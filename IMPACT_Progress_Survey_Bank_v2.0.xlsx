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tables/table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https://sucafina0.sharepoint.com/sites/FarmerHubProject/Shared Documents/5. Data Management/03_projects/impact_data_validation/01_general/"/>
    </mc:Choice>
  </mc:AlternateContent>
  <xr:revisionPtr revIDLastSave="9924" documentId="8_{C736B45F-0ABC-47B7-974E-8E740F6CD9B7}" xr6:coauthVersionLast="47" xr6:coauthVersionMax="47" xr10:uidLastSave="{1A0B73A7-FDBF-47AF-9067-484053164EF6}"/>
  <bookViews>
    <workbookView xWindow="-120" yWindow="-120" windowWidth="20730" windowHeight="11040" activeTab="3" xr2:uid="{C81B86A5-3D78-E941-BB90-EAC9EA4F2A81}"/>
  </bookViews>
  <sheets>
    <sheet name="questions" sheetId="1" r:id="rId1"/>
    <sheet name="instruction" sheetId="9" r:id="rId2"/>
    <sheet name="stability" sheetId="3" r:id="rId3"/>
    <sheet name="stability_2.0" sheetId="12" r:id="rId4"/>
    <sheet name="settings" sheetId="13" state="hidden" r:id="rId5"/>
  </sheets>
  <definedNames>
    <definedName name="CountryList">_xlfn.ANCHORARRAY(settings!$B$4)</definedName>
    <definedName name="similarity_range">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79" i="12" l="1"/>
  <c r="B4" i="13" a="1"/>
  <c r="AU12" i="12"/>
  <c r="AV12" i="12"/>
  <c r="AW12" i="12"/>
  <c r="AX12" i="12"/>
  <c r="AM12" i="12"/>
  <c r="S88" i="12"/>
  <c r="A88" i="12"/>
  <c r="X88" i="12"/>
  <c r="S85" i="12"/>
  <c r="A85" i="12"/>
  <c r="AN85" i="12" s="1"/>
  <c r="X85" i="12"/>
  <c r="S82" i="12"/>
  <c r="A82" i="12"/>
  <c r="X82" i="12"/>
  <c r="S79" i="12"/>
  <c r="A79" i="12"/>
  <c r="X79" i="12"/>
  <c r="S76" i="12"/>
  <c r="A76" i="12"/>
  <c r="X76" i="12"/>
  <c r="X25" i="12"/>
  <c r="X14" i="12"/>
  <c r="X15" i="12"/>
  <c r="X16" i="12"/>
  <c r="X17" i="12"/>
  <c r="X18" i="12"/>
  <c r="X19" i="12"/>
  <c r="X20" i="12"/>
  <c r="X21" i="12"/>
  <c r="X22" i="12"/>
  <c r="X23" i="12"/>
  <c r="X24" i="12"/>
  <c r="X26" i="12"/>
  <c r="X27" i="12"/>
  <c r="X28" i="12"/>
  <c r="X29" i="12"/>
  <c r="X30" i="12"/>
  <c r="X31" i="12"/>
  <c r="X32" i="12"/>
  <c r="X33" i="12"/>
  <c r="X34" i="12"/>
  <c r="X35" i="12"/>
  <c r="X36" i="12"/>
  <c r="X37" i="12"/>
  <c r="X38" i="12"/>
  <c r="X39" i="12"/>
  <c r="X40" i="12"/>
  <c r="X41" i="12"/>
  <c r="X42" i="12"/>
  <c r="X43" i="12"/>
  <c r="X44" i="12"/>
  <c r="X45" i="12"/>
  <c r="X46" i="12"/>
  <c r="X47" i="12"/>
  <c r="X48" i="12"/>
  <c r="X49" i="12"/>
  <c r="X50" i="12"/>
  <c r="X51" i="12"/>
  <c r="X52" i="12"/>
  <c r="X53" i="12"/>
  <c r="X54" i="12"/>
  <c r="X55" i="12"/>
  <c r="X56" i="12"/>
  <c r="X57" i="12"/>
  <c r="X58" i="12"/>
  <c r="X59" i="12"/>
  <c r="X60" i="12"/>
  <c r="X61" i="12"/>
  <c r="X62" i="12"/>
  <c r="X63" i="12"/>
  <c r="X64" i="12"/>
  <c r="X65" i="12"/>
  <c r="X66" i="12"/>
  <c r="X67" i="12"/>
  <c r="X68" i="12"/>
  <c r="X69" i="12"/>
  <c r="X70" i="12"/>
  <c r="X71" i="12"/>
  <c r="X72" i="12"/>
  <c r="X73" i="12"/>
  <c r="X74" i="12"/>
  <c r="X75" i="12"/>
  <c r="X77" i="12"/>
  <c r="X78" i="12"/>
  <c r="X80" i="12"/>
  <c r="X81" i="12"/>
  <c r="X83" i="12"/>
  <c r="X84" i="12"/>
  <c r="X86" i="12"/>
  <c r="X87" i="12"/>
  <c r="X89" i="12"/>
  <c r="X90" i="12"/>
  <c r="X91" i="12"/>
  <c r="X92" i="12"/>
  <c r="X93" i="12"/>
  <c r="X94" i="12"/>
  <c r="X95" i="12"/>
  <c r="X96" i="12"/>
  <c r="X97" i="12"/>
  <c r="X98" i="12"/>
  <c r="X99" i="12"/>
  <c r="X100" i="12"/>
  <c r="X101" i="12"/>
  <c r="X102" i="12"/>
  <c r="X103" i="12"/>
  <c r="X104" i="12"/>
  <c r="X105" i="12"/>
  <c r="X106" i="12"/>
  <c r="X107" i="12"/>
  <c r="X108" i="12"/>
  <c r="X109" i="12"/>
  <c r="X110" i="12"/>
  <c r="X111" i="12"/>
  <c r="X112" i="12"/>
  <c r="X113" i="12"/>
  <c r="X114" i="12"/>
  <c r="X115" i="12"/>
  <c r="X116" i="12"/>
  <c r="X117" i="12"/>
  <c r="X118" i="12"/>
  <c r="X119" i="12"/>
  <c r="X120" i="12"/>
  <c r="X121" i="12"/>
  <c r="X122" i="12"/>
  <c r="X123" i="12"/>
  <c r="X124" i="12"/>
  <c r="X125" i="12"/>
  <c r="X126" i="12"/>
  <c r="X127" i="12"/>
  <c r="X128" i="12"/>
  <c r="X129" i="12"/>
  <c r="X130" i="12"/>
  <c r="X131" i="12"/>
  <c r="X132" i="12"/>
  <c r="X133" i="12"/>
  <c r="X134" i="12"/>
  <c r="X135" i="12"/>
  <c r="X136" i="12"/>
  <c r="X137" i="12"/>
  <c r="X138" i="12"/>
  <c r="X139" i="12"/>
  <c r="X140" i="12"/>
  <c r="X141" i="12"/>
  <c r="X142" i="12"/>
  <c r="X143" i="12"/>
  <c r="X144" i="12"/>
  <c r="X145" i="12"/>
  <c r="X146" i="12"/>
  <c r="X147" i="12"/>
  <c r="X148" i="12"/>
  <c r="X149" i="12"/>
  <c r="X150" i="12"/>
  <c r="X151" i="12"/>
  <c r="X152" i="12"/>
  <c r="X153" i="12"/>
  <c r="X154" i="12"/>
  <c r="X155" i="12"/>
  <c r="X156" i="12"/>
  <c r="X157" i="12"/>
  <c r="X158" i="12"/>
  <c r="X159" i="12"/>
  <c r="X160" i="12"/>
  <c r="X161" i="12"/>
  <c r="X162" i="12"/>
  <c r="X163" i="12"/>
  <c r="X164" i="12"/>
  <c r="X165" i="12"/>
  <c r="X166" i="12"/>
  <c r="X167" i="12"/>
  <c r="X168" i="12"/>
  <c r="X169" i="12"/>
  <c r="X170" i="12"/>
  <c r="X171" i="12"/>
  <c r="X172" i="12"/>
  <c r="X173" i="12"/>
  <c r="X174" i="12"/>
  <c r="X175" i="12"/>
  <c r="X176" i="12"/>
  <c r="X177" i="12"/>
  <c r="X178" i="12"/>
  <c r="X179" i="12"/>
  <c r="X180" i="12"/>
  <c r="X181" i="12"/>
  <c r="X182" i="12"/>
  <c r="X183" i="12"/>
  <c r="X184" i="12"/>
  <c r="X185" i="12"/>
  <c r="X186" i="12"/>
  <c r="X187" i="12"/>
  <c r="X188" i="12"/>
  <c r="X189" i="12"/>
  <c r="X190" i="12"/>
  <c r="X191" i="12"/>
  <c r="X192" i="12"/>
  <c r="X193" i="12"/>
  <c r="X194" i="12"/>
  <c r="X195" i="12"/>
  <c r="X196" i="12"/>
  <c r="X197" i="12"/>
  <c r="X198" i="12"/>
  <c r="X199" i="12"/>
  <c r="X200" i="12"/>
  <c r="X201" i="12"/>
  <c r="X202" i="12"/>
  <c r="X203" i="12"/>
  <c r="X204" i="12"/>
  <c r="X205" i="12"/>
  <c r="X206" i="12"/>
  <c r="X207" i="12"/>
  <c r="X208" i="12"/>
  <c r="X209" i="12"/>
  <c r="X210" i="12"/>
  <c r="X211" i="12"/>
  <c r="X212" i="12"/>
  <c r="X213" i="12"/>
  <c r="X214" i="12"/>
  <c r="X215" i="12"/>
  <c r="X216" i="12"/>
  <c r="X217" i="12"/>
  <c r="X218" i="12"/>
  <c r="X219" i="12"/>
  <c r="X220" i="12"/>
  <c r="X221" i="12"/>
  <c r="X222" i="12"/>
  <c r="X223" i="12"/>
  <c r="X224" i="12"/>
  <c r="X225" i="12"/>
  <c r="X226" i="12"/>
  <c r="X227" i="12"/>
  <c r="X228" i="12"/>
  <c r="AL182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860" i="1"/>
  <c r="AL857" i="1"/>
  <c r="AL856"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24" i="1"/>
  <c r="AL823" i="1"/>
  <c r="AL822" i="1"/>
  <c r="AL821" i="1"/>
  <c r="AL820" i="1"/>
  <c r="AL819" i="1"/>
  <c r="AL818" i="1"/>
  <c r="AL817" i="1"/>
  <c r="AL816" i="1"/>
  <c r="AL815" i="1"/>
  <c r="AL814" i="1"/>
  <c r="AL813" i="1"/>
  <c r="AL812" i="1"/>
  <c r="AL811" i="1"/>
  <c r="AL810" i="1"/>
  <c r="AL809" i="1"/>
  <c r="AL808" i="1"/>
  <c r="AL807" i="1"/>
  <c r="AL806" i="1"/>
  <c r="AL345" i="1"/>
  <c r="AL344" i="1"/>
  <c r="AL343" i="1"/>
  <c r="AL342" i="1"/>
  <c r="AL341" i="1"/>
  <c r="AL340" i="1"/>
  <c r="AL339" i="1"/>
  <c r="AL338" i="1"/>
  <c r="AL337" i="1"/>
  <c r="AL336" i="1"/>
  <c r="AL335" i="1"/>
  <c r="AL334" i="1"/>
  <c r="AL333" i="1"/>
  <c r="AL332" i="1"/>
  <c r="AL331" i="1"/>
  <c r="AL330" i="1"/>
  <c r="AL329" i="1"/>
  <c r="AL328" i="1"/>
  <c r="AL327" i="1"/>
  <c r="AL326" i="1"/>
  <c r="AL325" i="1"/>
  <c r="AL324" i="1"/>
  <c r="AL323" i="1"/>
  <c r="AL322" i="1"/>
  <c r="AL321" i="1"/>
  <c r="AL320" i="1"/>
  <c r="AL319" i="1"/>
  <c r="AL318" i="1"/>
  <c r="AL317" i="1"/>
  <c r="AL316" i="1"/>
  <c r="AL315" i="1"/>
  <c r="AL314" i="1"/>
  <c r="AL313" i="1"/>
  <c r="AL312" i="1"/>
  <c r="AL311" i="1"/>
  <c r="AL310" i="1"/>
  <c r="AL309" i="1"/>
  <c r="AL308" i="1"/>
  <c r="AL307" i="1"/>
  <c r="AL306" i="1"/>
  <c r="AL305" i="1"/>
  <c r="AL304" i="1"/>
  <c r="AL303" i="1"/>
  <c r="AL302" i="1"/>
  <c r="AL301" i="1"/>
  <c r="AL300" i="1"/>
  <c r="AL299" i="1"/>
  <c r="AL298" i="1"/>
  <c r="AL297" i="1"/>
  <c r="AL296" i="1"/>
  <c r="AL295" i="1"/>
  <c r="AL294" i="1"/>
  <c r="AL293" i="1"/>
  <c r="AL292" i="1"/>
  <c r="AL291" i="1"/>
  <c r="AL290" i="1"/>
  <c r="AL289" i="1"/>
  <c r="AL288" i="1"/>
  <c r="AL287" i="1"/>
  <c r="AL286" i="1"/>
  <c r="AL285" i="1"/>
  <c r="AL284" i="1"/>
  <c r="AL283" i="1"/>
  <c r="AL282" i="1"/>
  <c r="AL281" i="1"/>
  <c r="AL280" i="1"/>
  <c r="AL279" i="1"/>
  <c r="AL278" i="1"/>
  <c r="AL277" i="1"/>
  <c r="AL276" i="1"/>
  <c r="AL275" i="1"/>
  <c r="AL274" i="1"/>
  <c r="AL273" i="1"/>
  <c r="AL272" i="1"/>
  <c r="AL271" i="1"/>
  <c r="AL270" i="1"/>
  <c r="AL269" i="1"/>
  <c r="AL268" i="1"/>
  <c r="AL267" i="1"/>
  <c r="AL266" i="1"/>
  <c r="AL265" i="1"/>
  <c r="AL264" i="1"/>
  <c r="AL263" i="1"/>
  <c r="AL262" i="1"/>
  <c r="AL261" i="1"/>
  <c r="AL260" i="1"/>
  <c r="AL259" i="1"/>
  <c r="AL258" i="1"/>
  <c r="AL257" i="1"/>
  <c r="AL256" i="1"/>
  <c r="AL255" i="1"/>
  <c r="AL254" i="1"/>
  <c r="AL253" i="1"/>
  <c r="AL252" i="1"/>
  <c r="AL251" i="1"/>
  <c r="AL250" i="1"/>
  <c r="AL249" i="1"/>
  <c r="AL248" i="1"/>
  <c r="AL247" i="1"/>
  <c r="AL246" i="1"/>
  <c r="AL245" i="1"/>
  <c r="AL244" i="1"/>
  <c r="AL243" i="1"/>
  <c r="AL242" i="1"/>
  <c r="AL241" i="1"/>
  <c r="AL240" i="1"/>
  <c r="AL239" i="1"/>
  <c r="AL238" i="1"/>
  <c r="AL237" i="1"/>
  <c r="AL236" i="1"/>
  <c r="AL235" i="1"/>
  <c r="AL234" i="1"/>
  <c r="AL233" i="1"/>
  <c r="AL232" i="1"/>
  <c r="AL231" i="1"/>
  <c r="AL230" i="1"/>
  <c r="AL229" i="1"/>
  <c r="AL228" i="1"/>
  <c r="AL227" i="1"/>
  <c r="AL226" i="1"/>
  <c r="AL225" i="1"/>
  <c r="AL224" i="1"/>
  <c r="AL223" i="1"/>
  <c r="AL222" i="1"/>
  <c r="AL221" i="1"/>
  <c r="AL220" i="1"/>
  <c r="AL219" i="1"/>
  <c r="AL218" i="1"/>
  <c r="AL217" i="1"/>
  <c r="AL216" i="1"/>
  <c r="AL215" i="1"/>
  <c r="AL214" i="1"/>
  <c r="AL213" i="1"/>
  <c r="AL212" i="1"/>
  <c r="AL211" i="1"/>
  <c r="AL210" i="1"/>
  <c r="AL209" i="1"/>
  <c r="AL208" i="1"/>
  <c r="AL207" i="1"/>
  <c r="AL206" i="1"/>
  <c r="AL205" i="1"/>
  <c r="AL204" i="1"/>
  <c r="AL203" i="1"/>
  <c r="AL202" i="1"/>
  <c r="AL201" i="1"/>
  <c r="AL200" i="1"/>
  <c r="AL199" i="1"/>
  <c r="AL198" i="1"/>
  <c r="AL197" i="1"/>
  <c r="AL196" i="1"/>
  <c r="AL195" i="1"/>
  <c r="AL194" i="1"/>
  <c r="AL193" i="1"/>
  <c r="AL192" i="1"/>
  <c r="AL191" i="1"/>
  <c r="AL190" i="1"/>
  <c r="AL189" i="1"/>
  <c r="AL188" i="1"/>
  <c r="AL187" i="1"/>
  <c r="AL186" i="1"/>
  <c r="AL185" i="1"/>
  <c r="AL184" i="1"/>
  <c r="AL183" i="1"/>
  <c r="AL182" i="1"/>
  <c r="AL181" i="1"/>
  <c r="AL180" i="1"/>
  <c r="AL179" i="1"/>
  <c r="AL178" i="1"/>
  <c r="AL177" i="1"/>
  <c r="AL176" i="1"/>
  <c r="AL175" i="1"/>
  <c r="AL174" i="1"/>
  <c r="AL173" i="1"/>
  <c r="AL172" i="1"/>
  <c r="AL171" i="1"/>
  <c r="AL170" i="1"/>
  <c r="AL169" i="1"/>
  <c r="AL168" i="1"/>
  <c r="AL167" i="1"/>
  <c r="AL166" i="1"/>
  <c r="AL165" i="1"/>
  <c r="AL164" i="1"/>
  <c r="AL163" i="1"/>
  <c r="AL162" i="1"/>
  <c r="AL161" i="1"/>
  <c r="AL160" i="1"/>
  <c r="AL159" i="1"/>
  <c r="AL158" i="1"/>
  <c r="AQ1742" i="1"/>
  <c r="AP1742" i="1"/>
  <c r="AL1742" i="1"/>
  <c r="AK1742" i="1"/>
  <c r="AJ1742" i="1"/>
  <c r="AI1742" i="1"/>
  <c r="AH1742" i="1"/>
  <c r="S1742" i="1"/>
  <c r="R1742" i="1" a="1"/>
  <c r="Q1742" i="1" a="1"/>
  <c r="P1742" i="1" a="1"/>
  <c r="O1742" i="1" a="1"/>
  <c r="N1742" i="1" a="1"/>
  <c r="M1742" i="1" a="1"/>
  <c r="L1742" i="1" a="1"/>
  <c r="K1742" i="1" a="1"/>
  <c r="J1742" i="1" a="1"/>
  <c r="I1742" i="1" a="1"/>
  <c r="AQ1741" i="1"/>
  <c r="AP1741" i="1"/>
  <c r="AL1741" i="1"/>
  <c r="AK1741" i="1"/>
  <c r="AJ1741" i="1"/>
  <c r="AI1741" i="1"/>
  <c r="AH1741" i="1"/>
  <c r="S1741" i="1"/>
  <c r="R1741" i="1" a="1"/>
  <c r="Q1741" i="1" a="1"/>
  <c r="P1741" i="1" a="1"/>
  <c r="O1741" i="1" a="1"/>
  <c r="N1741" i="1" a="1"/>
  <c r="M1741" i="1" a="1"/>
  <c r="L1741" i="1" a="1"/>
  <c r="K1741" i="1" a="1"/>
  <c r="J1741" i="1" a="1"/>
  <c r="I1741" i="1" a="1"/>
  <c r="I16" i="1" a="1"/>
  <c r="I17" i="1" a="1"/>
  <c r="I18" i="1" a="1"/>
  <c r="I19" i="1" a="1"/>
  <c r="I20" i="1" a="1"/>
  <c r="I21" i="1" a="1"/>
  <c r="I22" i="1" a="1"/>
  <c r="I23" i="1" a="1"/>
  <c r="I24" i="1" a="1"/>
  <c r="I25" i="1" a="1"/>
  <c r="I26" i="1" a="1"/>
  <c r="I27" i="1" a="1"/>
  <c r="I28" i="1" a="1"/>
  <c r="I29" i="1" a="1"/>
  <c r="I30" i="1" a="1"/>
  <c r="I31" i="1" a="1"/>
  <c r="I32" i="1" a="1"/>
  <c r="I33" i="1" a="1"/>
  <c r="I34" i="1" a="1"/>
  <c r="I35" i="1" a="1"/>
  <c r="I36" i="1" a="1"/>
  <c r="I37" i="1" a="1"/>
  <c r="I38" i="1" a="1"/>
  <c r="I39" i="1" a="1"/>
  <c r="I40" i="1" a="1"/>
  <c r="I41" i="1" a="1"/>
  <c r="I42" i="1" a="1"/>
  <c r="I43" i="1" a="1"/>
  <c r="I44" i="1" a="1"/>
  <c r="I45" i="1" a="1"/>
  <c r="I46" i="1" a="1"/>
  <c r="I47" i="1" a="1"/>
  <c r="I48" i="1" a="1"/>
  <c r="I49" i="1" a="1"/>
  <c r="I50" i="1" a="1"/>
  <c r="I51" i="1" a="1"/>
  <c r="I52" i="1" a="1"/>
  <c r="I53" i="1" a="1"/>
  <c r="I54" i="1" a="1"/>
  <c r="I55" i="1" a="1"/>
  <c r="I56" i="1" a="1"/>
  <c r="I57" i="1" a="1"/>
  <c r="I58" i="1" a="1"/>
  <c r="I59" i="1" a="1"/>
  <c r="I60" i="1" a="1"/>
  <c r="I61" i="1" a="1"/>
  <c r="I62" i="1" a="1"/>
  <c r="I63" i="1" a="1"/>
  <c r="I64" i="1" a="1"/>
  <c r="I65" i="1" a="1"/>
  <c r="I66" i="1" a="1"/>
  <c r="I67" i="1" a="1"/>
  <c r="I68" i="1" a="1"/>
  <c r="I69" i="1" a="1"/>
  <c r="I70" i="1" a="1"/>
  <c r="I71" i="1" a="1"/>
  <c r="I72" i="1" a="1"/>
  <c r="I73" i="1" a="1"/>
  <c r="I74" i="1" a="1"/>
  <c r="I75" i="1" a="1"/>
  <c r="I76" i="1" a="1"/>
  <c r="I77" i="1" a="1"/>
  <c r="I78" i="1" a="1"/>
  <c r="I79" i="1" a="1"/>
  <c r="I80" i="1" a="1"/>
  <c r="I81" i="1" a="1"/>
  <c r="I82" i="1" a="1"/>
  <c r="I83" i="1" a="1"/>
  <c r="I84" i="1" a="1"/>
  <c r="I85" i="1" a="1"/>
  <c r="I86" i="1" a="1"/>
  <c r="I87" i="1" a="1"/>
  <c r="I88" i="1" a="1"/>
  <c r="I89" i="1" a="1"/>
  <c r="I90" i="1" a="1"/>
  <c r="I91" i="1" a="1"/>
  <c r="I92" i="1" a="1"/>
  <c r="I93" i="1" a="1"/>
  <c r="I94" i="1" a="1"/>
  <c r="I95" i="1" a="1"/>
  <c r="I96" i="1" a="1"/>
  <c r="I97" i="1" a="1"/>
  <c r="I98" i="1" a="1"/>
  <c r="I99" i="1" a="1"/>
  <c r="I100" i="1" a="1"/>
  <c r="I101" i="1" a="1"/>
  <c r="I102" i="1" a="1"/>
  <c r="I103" i="1" a="1"/>
  <c r="I104" i="1" a="1"/>
  <c r="I105" i="1" a="1"/>
  <c r="I106" i="1" a="1"/>
  <c r="I107" i="1" a="1"/>
  <c r="I108" i="1" a="1"/>
  <c r="I109" i="1" a="1"/>
  <c r="I110" i="1" a="1"/>
  <c r="I111" i="1" a="1"/>
  <c r="I112" i="1" a="1"/>
  <c r="I113" i="1" a="1"/>
  <c r="I114" i="1" a="1"/>
  <c r="I115" i="1" a="1"/>
  <c r="I116" i="1" a="1"/>
  <c r="I117" i="1" a="1"/>
  <c r="I118" i="1" a="1"/>
  <c r="I119" i="1" a="1"/>
  <c r="I120" i="1" a="1"/>
  <c r="I121" i="1" a="1"/>
  <c r="I122" i="1" a="1"/>
  <c r="I123" i="1" a="1"/>
  <c r="I124" i="1" a="1"/>
  <c r="I125" i="1" a="1"/>
  <c r="I126" i="1" a="1"/>
  <c r="I127" i="1" a="1"/>
  <c r="I128" i="1" a="1"/>
  <c r="I129" i="1" a="1"/>
  <c r="I130" i="1" a="1"/>
  <c r="I131" i="1" a="1"/>
  <c r="I132" i="1" a="1"/>
  <c r="I133" i="1" a="1"/>
  <c r="I134" i="1" a="1"/>
  <c r="I135" i="1" a="1"/>
  <c r="I136" i="1" a="1"/>
  <c r="I137" i="1" a="1"/>
  <c r="I138" i="1" a="1"/>
  <c r="I139" i="1" a="1"/>
  <c r="I140" i="1" a="1"/>
  <c r="I141" i="1" a="1"/>
  <c r="I142" i="1" a="1"/>
  <c r="I143" i="1" a="1"/>
  <c r="I144" i="1" a="1"/>
  <c r="I145" i="1" a="1"/>
  <c r="I146" i="1" a="1"/>
  <c r="I147" i="1" a="1"/>
  <c r="I148" i="1" a="1"/>
  <c r="I149" i="1" a="1"/>
  <c r="I150" i="1" a="1"/>
  <c r="I151" i="1" a="1"/>
  <c r="I152" i="1" a="1"/>
  <c r="I153" i="1" a="1"/>
  <c r="I154" i="1" a="1"/>
  <c r="I155" i="1" a="1"/>
  <c r="I156" i="1" a="1"/>
  <c r="I157" i="1" a="1"/>
  <c r="I158" i="1" a="1"/>
  <c r="I159" i="1" a="1"/>
  <c r="I160" i="1" a="1"/>
  <c r="I161" i="1" a="1"/>
  <c r="I162" i="1" a="1"/>
  <c r="I163" i="1" a="1"/>
  <c r="I164" i="1" a="1"/>
  <c r="I165" i="1" a="1"/>
  <c r="I166" i="1" a="1"/>
  <c r="I167" i="1" a="1"/>
  <c r="I168" i="1" a="1"/>
  <c r="I169" i="1" a="1"/>
  <c r="I170" i="1" a="1"/>
  <c r="I171" i="1" a="1"/>
  <c r="I172" i="1" a="1"/>
  <c r="I173" i="1" a="1"/>
  <c r="I174" i="1" a="1"/>
  <c r="I175" i="1" a="1"/>
  <c r="I176" i="1" a="1"/>
  <c r="I177" i="1" a="1"/>
  <c r="I178" i="1" a="1"/>
  <c r="I179" i="1" a="1"/>
  <c r="I180" i="1" a="1"/>
  <c r="I181" i="1" a="1"/>
  <c r="I182" i="1" a="1"/>
  <c r="I183" i="1" a="1"/>
  <c r="I184" i="1" a="1"/>
  <c r="I185" i="1" a="1"/>
  <c r="I186" i="1" a="1"/>
  <c r="I187" i="1" a="1"/>
  <c r="I188" i="1" a="1"/>
  <c r="I189" i="1" a="1"/>
  <c r="I190" i="1" a="1"/>
  <c r="I191" i="1" a="1"/>
  <c r="I192" i="1" a="1"/>
  <c r="I193" i="1" a="1"/>
  <c r="I194" i="1" a="1"/>
  <c r="I195" i="1" a="1"/>
  <c r="I196" i="1" a="1"/>
  <c r="I197" i="1" a="1"/>
  <c r="I198" i="1" a="1"/>
  <c r="I199" i="1" a="1"/>
  <c r="I200" i="1" a="1"/>
  <c r="I201" i="1" a="1"/>
  <c r="I202" i="1" a="1"/>
  <c r="I203" i="1" a="1"/>
  <c r="I204" i="1" a="1"/>
  <c r="I205" i="1" a="1"/>
  <c r="I206" i="1" a="1"/>
  <c r="I207" i="1" a="1"/>
  <c r="I208" i="1" a="1"/>
  <c r="I209" i="1" a="1"/>
  <c r="I210" i="1" a="1"/>
  <c r="I211" i="1" a="1"/>
  <c r="I212" i="1" a="1"/>
  <c r="I213" i="1" a="1"/>
  <c r="I214" i="1" a="1"/>
  <c r="I215" i="1" a="1"/>
  <c r="I216" i="1" a="1"/>
  <c r="I217" i="1" a="1"/>
  <c r="I218" i="1" a="1"/>
  <c r="I219" i="1" a="1"/>
  <c r="I220" i="1" a="1"/>
  <c r="I221" i="1" a="1"/>
  <c r="I222" i="1" a="1"/>
  <c r="I223" i="1" a="1"/>
  <c r="I224" i="1" a="1"/>
  <c r="I225" i="1" a="1"/>
  <c r="I226" i="1" a="1"/>
  <c r="I227" i="1" a="1"/>
  <c r="I228" i="1" a="1"/>
  <c r="I229" i="1" a="1"/>
  <c r="I230" i="1" a="1"/>
  <c r="I231" i="1" a="1"/>
  <c r="I232" i="1" a="1"/>
  <c r="I233" i="1" a="1"/>
  <c r="I234" i="1" a="1"/>
  <c r="I235" i="1" a="1"/>
  <c r="I236" i="1" a="1"/>
  <c r="I237" i="1" a="1"/>
  <c r="I238" i="1" a="1"/>
  <c r="I239" i="1" a="1"/>
  <c r="I240" i="1" a="1"/>
  <c r="I241" i="1" a="1"/>
  <c r="I242" i="1" a="1"/>
  <c r="I243" i="1" a="1"/>
  <c r="I244" i="1" a="1"/>
  <c r="I245" i="1" a="1"/>
  <c r="I246" i="1" a="1"/>
  <c r="I247" i="1" a="1"/>
  <c r="I248" i="1" a="1"/>
  <c r="I249" i="1" a="1"/>
  <c r="I250" i="1" a="1"/>
  <c r="I251" i="1" a="1"/>
  <c r="I252" i="1" a="1"/>
  <c r="I253" i="1" a="1"/>
  <c r="I254" i="1" a="1"/>
  <c r="I255" i="1" a="1"/>
  <c r="I256" i="1" a="1"/>
  <c r="I257" i="1" a="1"/>
  <c r="I258" i="1" a="1"/>
  <c r="I259" i="1" a="1"/>
  <c r="I260" i="1" a="1"/>
  <c r="I261" i="1" a="1"/>
  <c r="I262" i="1" a="1"/>
  <c r="I263" i="1" a="1"/>
  <c r="I264" i="1" a="1"/>
  <c r="I265" i="1" a="1"/>
  <c r="I266" i="1" a="1"/>
  <c r="I267" i="1" a="1"/>
  <c r="I268" i="1" a="1"/>
  <c r="I269" i="1" a="1"/>
  <c r="I270" i="1" a="1"/>
  <c r="I271" i="1" a="1"/>
  <c r="I272" i="1" a="1"/>
  <c r="I273" i="1" a="1"/>
  <c r="I274" i="1" a="1"/>
  <c r="I275" i="1" a="1"/>
  <c r="I276" i="1" a="1"/>
  <c r="I277" i="1" a="1"/>
  <c r="I278" i="1" a="1"/>
  <c r="I279" i="1" a="1"/>
  <c r="I280" i="1" a="1"/>
  <c r="I281" i="1" a="1"/>
  <c r="I282" i="1" a="1"/>
  <c r="I283" i="1" a="1"/>
  <c r="I284" i="1" a="1"/>
  <c r="I285" i="1" a="1"/>
  <c r="I286" i="1" a="1"/>
  <c r="I287" i="1" a="1"/>
  <c r="I288" i="1" a="1"/>
  <c r="I289" i="1" a="1"/>
  <c r="I290" i="1" a="1"/>
  <c r="I291" i="1" a="1"/>
  <c r="I292" i="1" a="1"/>
  <c r="I293" i="1" a="1"/>
  <c r="I294" i="1" a="1"/>
  <c r="I295" i="1" a="1"/>
  <c r="I296" i="1" a="1"/>
  <c r="I297" i="1" a="1"/>
  <c r="I298" i="1" a="1"/>
  <c r="I299" i="1" a="1"/>
  <c r="I300" i="1" a="1"/>
  <c r="I301" i="1" a="1"/>
  <c r="I302" i="1" a="1"/>
  <c r="I303" i="1" a="1"/>
  <c r="I304" i="1" a="1"/>
  <c r="I305" i="1" a="1"/>
  <c r="I306" i="1" a="1"/>
  <c r="I307" i="1" a="1"/>
  <c r="I308" i="1" a="1"/>
  <c r="I309" i="1" a="1"/>
  <c r="I310" i="1" a="1"/>
  <c r="I311" i="1" a="1"/>
  <c r="I312" i="1" a="1"/>
  <c r="I313" i="1" a="1"/>
  <c r="I314" i="1" a="1"/>
  <c r="I315" i="1" a="1"/>
  <c r="I316" i="1" a="1"/>
  <c r="I317" i="1" a="1"/>
  <c r="I318" i="1" a="1"/>
  <c r="I319" i="1" a="1"/>
  <c r="I320" i="1" a="1"/>
  <c r="I321" i="1" a="1"/>
  <c r="I322" i="1" a="1"/>
  <c r="I323" i="1" a="1"/>
  <c r="I324" i="1" a="1"/>
  <c r="I325" i="1" a="1"/>
  <c r="I326" i="1" a="1"/>
  <c r="I327" i="1" a="1"/>
  <c r="I328" i="1" a="1"/>
  <c r="I329" i="1" a="1"/>
  <c r="I330" i="1" a="1"/>
  <c r="I331" i="1" a="1"/>
  <c r="I332" i="1" a="1"/>
  <c r="I333" i="1" a="1"/>
  <c r="I334" i="1" a="1"/>
  <c r="I335" i="1" a="1"/>
  <c r="I336" i="1" a="1"/>
  <c r="I337" i="1" a="1"/>
  <c r="I338" i="1" a="1"/>
  <c r="I339" i="1" a="1"/>
  <c r="I340" i="1" a="1"/>
  <c r="I341" i="1" a="1"/>
  <c r="I342" i="1" a="1"/>
  <c r="I343" i="1" a="1"/>
  <c r="I344" i="1" a="1"/>
  <c r="I345" i="1" a="1"/>
  <c r="I346" i="1" a="1"/>
  <c r="I347" i="1" a="1"/>
  <c r="I348" i="1" a="1"/>
  <c r="I349" i="1" a="1"/>
  <c r="I350" i="1" a="1"/>
  <c r="I351" i="1" a="1"/>
  <c r="I352" i="1" a="1"/>
  <c r="I353" i="1" a="1"/>
  <c r="I354" i="1" a="1"/>
  <c r="I355" i="1" a="1"/>
  <c r="I356" i="1" a="1"/>
  <c r="I357" i="1" a="1"/>
  <c r="I358" i="1" a="1"/>
  <c r="I359" i="1" a="1"/>
  <c r="I360" i="1" a="1"/>
  <c r="I361" i="1" a="1"/>
  <c r="I362" i="1" a="1"/>
  <c r="I363" i="1" a="1"/>
  <c r="I364" i="1" a="1"/>
  <c r="I365" i="1" a="1"/>
  <c r="I366" i="1" a="1"/>
  <c r="I367" i="1" a="1"/>
  <c r="I368" i="1" a="1"/>
  <c r="I369" i="1" a="1"/>
  <c r="I370" i="1" a="1"/>
  <c r="I371" i="1" a="1"/>
  <c r="I372" i="1" a="1"/>
  <c r="I373" i="1" a="1"/>
  <c r="I374" i="1" a="1"/>
  <c r="I375" i="1" a="1"/>
  <c r="I376" i="1" a="1"/>
  <c r="I377" i="1" a="1"/>
  <c r="I378" i="1" a="1"/>
  <c r="I379" i="1" a="1"/>
  <c r="I380" i="1" a="1"/>
  <c r="I381" i="1" a="1"/>
  <c r="I382" i="1" a="1"/>
  <c r="I383" i="1" a="1"/>
  <c r="I384" i="1" a="1"/>
  <c r="I385" i="1" a="1"/>
  <c r="I386" i="1" a="1"/>
  <c r="I387" i="1" a="1"/>
  <c r="I388" i="1" a="1"/>
  <c r="I389" i="1" a="1"/>
  <c r="I390" i="1" a="1"/>
  <c r="I391" i="1" a="1"/>
  <c r="I392" i="1" a="1"/>
  <c r="I393" i="1" a="1"/>
  <c r="I394" i="1" a="1"/>
  <c r="I395" i="1" a="1"/>
  <c r="I396" i="1" a="1"/>
  <c r="I397" i="1" a="1"/>
  <c r="I398" i="1" a="1"/>
  <c r="I399" i="1" a="1"/>
  <c r="I400" i="1" a="1"/>
  <c r="I401" i="1" a="1"/>
  <c r="I402" i="1" a="1"/>
  <c r="I403" i="1" a="1"/>
  <c r="I404" i="1" a="1"/>
  <c r="I405" i="1" a="1"/>
  <c r="I406" i="1" a="1"/>
  <c r="I407" i="1" a="1"/>
  <c r="I408" i="1" a="1"/>
  <c r="I409" i="1" a="1"/>
  <c r="I410" i="1" a="1"/>
  <c r="I411" i="1" a="1"/>
  <c r="I412" i="1" a="1"/>
  <c r="I413" i="1" a="1"/>
  <c r="I414" i="1" a="1"/>
  <c r="I415" i="1" a="1"/>
  <c r="I416" i="1" a="1"/>
  <c r="I417" i="1" a="1"/>
  <c r="I418" i="1" a="1"/>
  <c r="I419" i="1" a="1"/>
  <c r="I420" i="1" a="1"/>
  <c r="I421" i="1" a="1"/>
  <c r="I422" i="1" a="1"/>
  <c r="I423" i="1" a="1"/>
  <c r="I424" i="1" a="1"/>
  <c r="I425" i="1" a="1"/>
  <c r="I426" i="1" a="1"/>
  <c r="I427" i="1" a="1"/>
  <c r="I428" i="1" a="1"/>
  <c r="I429" i="1" a="1"/>
  <c r="I430" i="1" a="1"/>
  <c r="I431" i="1" a="1"/>
  <c r="I432" i="1" a="1"/>
  <c r="I433" i="1" a="1"/>
  <c r="I434" i="1" a="1"/>
  <c r="I435" i="1" a="1"/>
  <c r="I436" i="1" a="1"/>
  <c r="I437" i="1" a="1"/>
  <c r="I438" i="1" a="1"/>
  <c r="I439" i="1" a="1"/>
  <c r="I440" i="1" a="1"/>
  <c r="I441" i="1" a="1"/>
  <c r="I442" i="1" a="1"/>
  <c r="I443" i="1" a="1"/>
  <c r="I444" i="1" a="1"/>
  <c r="I445" i="1" a="1"/>
  <c r="I446" i="1" a="1"/>
  <c r="I447" i="1" a="1"/>
  <c r="I448" i="1" a="1"/>
  <c r="I449" i="1" a="1"/>
  <c r="I450" i="1" a="1"/>
  <c r="I451" i="1" a="1"/>
  <c r="I452" i="1" a="1"/>
  <c r="I453" i="1" a="1"/>
  <c r="I454" i="1" a="1"/>
  <c r="I455" i="1" a="1"/>
  <c r="I456" i="1" a="1"/>
  <c r="I457" i="1" a="1"/>
  <c r="I458" i="1" a="1"/>
  <c r="I459" i="1" a="1"/>
  <c r="I460" i="1" a="1"/>
  <c r="I461" i="1" a="1"/>
  <c r="I462" i="1" a="1"/>
  <c r="I463" i="1" a="1"/>
  <c r="I464" i="1" a="1"/>
  <c r="I465" i="1" a="1"/>
  <c r="I466" i="1" a="1"/>
  <c r="I467" i="1" a="1"/>
  <c r="I468" i="1" a="1"/>
  <c r="I469" i="1" a="1"/>
  <c r="I470" i="1" a="1"/>
  <c r="I471" i="1" a="1"/>
  <c r="I472" i="1" a="1"/>
  <c r="I473" i="1" a="1"/>
  <c r="I474" i="1" a="1"/>
  <c r="I475" i="1" a="1"/>
  <c r="I476" i="1" a="1"/>
  <c r="I477" i="1" a="1"/>
  <c r="I478" i="1" a="1"/>
  <c r="I479" i="1" a="1"/>
  <c r="I480" i="1" a="1"/>
  <c r="I481" i="1" a="1"/>
  <c r="I482" i="1" a="1"/>
  <c r="I483" i="1" a="1"/>
  <c r="I484" i="1" a="1"/>
  <c r="I485" i="1" a="1"/>
  <c r="I486" i="1" a="1"/>
  <c r="I487" i="1" a="1"/>
  <c r="I488" i="1" a="1"/>
  <c r="I489" i="1" a="1"/>
  <c r="I490" i="1" a="1"/>
  <c r="I491" i="1" a="1"/>
  <c r="I492" i="1" a="1"/>
  <c r="I493" i="1" a="1"/>
  <c r="I494" i="1" a="1"/>
  <c r="I495" i="1" a="1"/>
  <c r="I496" i="1" a="1"/>
  <c r="I497" i="1" a="1"/>
  <c r="I498" i="1" a="1"/>
  <c r="I499" i="1" a="1"/>
  <c r="I500" i="1" a="1"/>
  <c r="I501" i="1" a="1"/>
  <c r="I502" i="1" a="1"/>
  <c r="I503" i="1" a="1"/>
  <c r="I504" i="1" a="1"/>
  <c r="I505" i="1" a="1"/>
  <c r="I506" i="1" a="1"/>
  <c r="I507" i="1" a="1"/>
  <c r="I508" i="1" a="1"/>
  <c r="I509" i="1" a="1"/>
  <c r="I510" i="1" a="1"/>
  <c r="I511" i="1" a="1"/>
  <c r="I512" i="1" a="1"/>
  <c r="I513" i="1" a="1"/>
  <c r="I514" i="1" a="1"/>
  <c r="I515" i="1" a="1"/>
  <c r="I516" i="1" a="1"/>
  <c r="I517" i="1" a="1"/>
  <c r="I518" i="1" a="1"/>
  <c r="I519" i="1" a="1"/>
  <c r="I520" i="1" a="1"/>
  <c r="I521" i="1" a="1"/>
  <c r="I522" i="1" a="1"/>
  <c r="I523" i="1" a="1"/>
  <c r="I524" i="1" a="1"/>
  <c r="I525" i="1" a="1"/>
  <c r="I526" i="1" a="1"/>
  <c r="I527" i="1" a="1"/>
  <c r="I528" i="1" a="1"/>
  <c r="I529" i="1" a="1"/>
  <c r="I530" i="1" a="1"/>
  <c r="I531" i="1" a="1"/>
  <c r="I532" i="1" a="1"/>
  <c r="I533" i="1" a="1"/>
  <c r="I534" i="1" a="1"/>
  <c r="I535" i="1" a="1"/>
  <c r="I536" i="1" a="1"/>
  <c r="I537" i="1" a="1"/>
  <c r="I538" i="1" a="1"/>
  <c r="I539" i="1" a="1"/>
  <c r="I540" i="1" a="1"/>
  <c r="I541" i="1" a="1"/>
  <c r="I542" i="1" a="1"/>
  <c r="I543" i="1" a="1"/>
  <c r="I544" i="1" a="1"/>
  <c r="I545" i="1" a="1"/>
  <c r="I546" i="1" a="1"/>
  <c r="I547" i="1" a="1"/>
  <c r="I548" i="1" a="1"/>
  <c r="I549" i="1" a="1"/>
  <c r="I550" i="1" a="1"/>
  <c r="I551" i="1" a="1"/>
  <c r="I552" i="1" a="1"/>
  <c r="I553" i="1" a="1"/>
  <c r="I554" i="1" a="1"/>
  <c r="I555" i="1" a="1"/>
  <c r="I556" i="1" a="1"/>
  <c r="I557" i="1" a="1"/>
  <c r="I558" i="1" a="1"/>
  <c r="I559" i="1" a="1"/>
  <c r="I560" i="1" a="1"/>
  <c r="I561" i="1" a="1"/>
  <c r="I562" i="1" a="1"/>
  <c r="I563" i="1" a="1"/>
  <c r="I564" i="1" a="1"/>
  <c r="I565" i="1" a="1"/>
  <c r="I566" i="1" a="1"/>
  <c r="I567" i="1" a="1"/>
  <c r="I568" i="1" a="1"/>
  <c r="I569" i="1" a="1"/>
  <c r="I570" i="1" a="1"/>
  <c r="I571" i="1" a="1"/>
  <c r="I572" i="1" a="1"/>
  <c r="I573" i="1" a="1"/>
  <c r="I574" i="1" a="1"/>
  <c r="I575" i="1" a="1"/>
  <c r="I576" i="1" a="1"/>
  <c r="I577" i="1" a="1"/>
  <c r="I578" i="1" a="1"/>
  <c r="I579" i="1" a="1"/>
  <c r="I580" i="1" a="1"/>
  <c r="I581" i="1" a="1"/>
  <c r="I582" i="1" a="1"/>
  <c r="I583" i="1" a="1"/>
  <c r="I584" i="1" a="1"/>
  <c r="I585" i="1" a="1"/>
  <c r="I586" i="1" a="1"/>
  <c r="I587" i="1" a="1"/>
  <c r="I588" i="1" a="1"/>
  <c r="I589" i="1" a="1"/>
  <c r="I590" i="1" a="1"/>
  <c r="I591" i="1" a="1"/>
  <c r="I592" i="1" a="1"/>
  <c r="I593" i="1" a="1"/>
  <c r="I594" i="1" a="1"/>
  <c r="I595" i="1" a="1"/>
  <c r="I596" i="1" a="1"/>
  <c r="I597" i="1" a="1"/>
  <c r="I598" i="1" a="1"/>
  <c r="I599" i="1" a="1"/>
  <c r="I600" i="1" a="1"/>
  <c r="I601" i="1" a="1"/>
  <c r="I602" i="1" a="1"/>
  <c r="I603" i="1" a="1"/>
  <c r="I604" i="1" a="1"/>
  <c r="I605" i="1" a="1"/>
  <c r="I606" i="1" a="1"/>
  <c r="I607" i="1" a="1"/>
  <c r="I608" i="1" a="1"/>
  <c r="I609" i="1" a="1"/>
  <c r="I610" i="1" a="1"/>
  <c r="I611" i="1" a="1"/>
  <c r="I612" i="1" a="1"/>
  <c r="I613" i="1" a="1"/>
  <c r="I614" i="1" a="1"/>
  <c r="I615" i="1" a="1"/>
  <c r="I616" i="1" a="1"/>
  <c r="I617" i="1" a="1"/>
  <c r="I618" i="1" a="1"/>
  <c r="I619" i="1" a="1"/>
  <c r="I620" i="1" a="1"/>
  <c r="I621" i="1" a="1"/>
  <c r="I622" i="1" a="1"/>
  <c r="I623" i="1" a="1"/>
  <c r="I624" i="1" a="1"/>
  <c r="I625" i="1" a="1"/>
  <c r="I626" i="1" a="1"/>
  <c r="I627" i="1" a="1"/>
  <c r="I628" i="1" a="1"/>
  <c r="I629" i="1" a="1"/>
  <c r="I630" i="1" a="1"/>
  <c r="I631" i="1" a="1"/>
  <c r="I632" i="1" a="1"/>
  <c r="I633" i="1" a="1"/>
  <c r="I634" i="1" a="1"/>
  <c r="I635" i="1" a="1"/>
  <c r="I636" i="1" a="1"/>
  <c r="I637" i="1" a="1"/>
  <c r="I638" i="1" a="1"/>
  <c r="I639" i="1" a="1"/>
  <c r="I640" i="1" a="1"/>
  <c r="I641" i="1" a="1"/>
  <c r="I642" i="1" a="1"/>
  <c r="I643" i="1" a="1"/>
  <c r="I644" i="1" a="1"/>
  <c r="I645" i="1" a="1"/>
  <c r="I646" i="1" a="1"/>
  <c r="I647" i="1" a="1"/>
  <c r="I648" i="1" a="1"/>
  <c r="I649" i="1" a="1"/>
  <c r="I650" i="1" a="1"/>
  <c r="I651" i="1" a="1"/>
  <c r="I652" i="1" a="1"/>
  <c r="I653" i="1" a="1"/>
  <c r="I654" i="1" a="1"/>
  <c r="I655" i="1" a="1"/>
  <c r="I656" i="1" a="1"/>
  <c r="I657" i="1" a="1"/>
  <c r="I658" i="1" a="1"/>
  <c r="I659" i="1" a="1"/>
  <c r="I660" i="1" a="1"/>
  <c r="I661" i="1" a="1"/>
  <c r="I662" i="1" a="1"/>
  <c r="I663" i="1" a="1"/>
  <c r="I664" i="1" a="1"/>
  <c r="I665" i="1" a="1"/>
  <c r="I666" i="1" a="1"/>
  <c r="I667" i="1" a="1"/>
  <c r="I668" i="1" a="1"/>
  <c r="I669" i="1" a="1"/>
  <c r="I670" i="1" a="1"/>
  <c r="I671" i="1" a="1"/>
  <c r="I672" i="1" a="1"/>
  <c r="I673" i="1" a="1"/>
  <c r="I674" i="1" a="1"/>
  <c r="I675" i="1" a="1"/>
  <c r="I676" i="1" a="1"/>
  <c r="I677" i="1" a="1"/>
  <c r="I678" i="1" a="1"/>
  <c r="I679" i="1" a="1"/>
  <c r="I680" i="1" a="1"/>
  <c r="I681" i="1" a="1"/>
  <c r="I682" i="1" a="1"/>
  <c r="I683" i="1" a="1"/>
  <c r="I684" i="1" a="1"/>
  <c r="I685" i="1" a="1"/>
  <c r="I686" i="1" a="1"/>
  <c r="I687" i="1" a="1"/>
  <c r="I688" i="1" a="1"/>
  <c r="I689" i="1" a="1"/>
  <c r="I690" i="1" a="1"/>
  <c r="I691" i="1" a="1"/>
  <c r="I692" i="1" a="1"/>
  <c r="I693" i="1" a="1"/>
  <c r="I694" i="1" a="1"/>
  <c r="I695" i="1" a="1"/>
  <c r="I696" i="1" a="1"/>
  <c r="I697" i="1" a="1"/>
  <c r="I698" i="1" a="1"/>
  <c r="I699" i="1" a="1"/>
  <c r="I700" i="1" a="1"/>
  <c r="I701" i="1" a="1"/>
  <c r="I702" i="1" a="1"/>
  <c r="I703" i="1" a="1"/>
  <c r="I704" i="1" a="1"/>
  <c r="I705" i="1" a="1"/>
  <c r="I706" i="1" a="1"/>
  <c r="I707" i="1" a="1"/>
  <c r="I708" i="1" a="1"/>
  <c r="I709" i="1" a="1"/>
  <c r="I710" i="1" a="1"/>
  <c r="I711" i="1" a="1"/>
  <c r="I712" i="1" a="1"/>
  <c r="I713" i="1" a="1"/>
  <c r="I714" i="1" a="1"/>
  <c r="I715" i="1" a="1"/>
  <c r="I716" i="1" a="1"/>
  <c r="I717" i="1" a="1"/>
  <c r="I718" i="1" a="1"/>
  <c r="I719" i="1" a="1"/>
  <c r="I720" i="1" a="1"/>
  <c r="I721" i="1" a="1"/>
  <c r="I722" i="1" a="1"/>
  <c r="I723" i="1" a="1"/>
  <c r="I724" i="1" a="1"/>
  <c r="I725" i="1" a="1"/>
  <c r="I726" i="1" a="1"/>
  <c r="I727" i="1" a="1"/>
  <c r="I728" i="1" a="1"/>
  <c r="I729" i="1" a="1"/>
  <c r="I730" i="1" a="1"/>
  <c r="I731" i="1" a="1"/>
  <c r="I732" i="1" a="1"/>
  <c r="I733" i="1" a="1"/>
  <c r="I734" i="1" a="1"/>
  <c r="I735" i="1" a="1"/>
  <c r="I736" i="1" a="1"/>
  <c r="I737" i="1" a="1"/>
  <c r="I738" i="1" a="1"/>
  <c r="I739" i="1" a="1"/>
  <c r="I740" i="1" a="1"/>
  <c r="I741" i="1" a="1"/>
  <c r="I742" i="1" a="1"/>
  <c r="I743" i="1" a="1"/>
  <c r="I744" i="1" a="1"/>
  <c r="I745" i="1" a="1"/>
  <c r="I746" i="1" a="1"/>
  <c r="I747" i="1" a="1"/>
  <c r="I748" i="1" a="1"/>
  <c r="I749" i="1" a="1"/>
  <c r="I750" i="1" a="1"/>
  <c r="I751" i="1" a="1"/>
  <c r="I752" i="1" a="1"/>
  <c r="I753" i="1" a="1"/>
  <c r="I754" i="1" a="1"/>
  <c r="I755" i="1" a="1"/>
  <c r="I756" i="1" a="1"/>
  <c r="I757" i="1" a="1"/>
  <c r="I758" i="1" a="1"/>
  <c r="I759" i="1" a="1"/>
  <c r="I760" i="1" a="1"/>
  <c r="I761" i="1" a="1"/>
  <c r="I762" i="1" a="1"/>
  <c r="I763" i="1" a="1"/>
  <c r="I764" i="1" a="1"/>
  <c r="I765" i="1" a="1"/>
  <c r="I766" i="1" a="1"/>
  <c r="I767" i="1" a="1"/>
  <c r="I768" i="1" a="1"/>
  <c r="I769" i="1" a="1"/>
  <c r="I770" i="1" a="1"/>
  <c r="I771" i="1" a="1"/>
  <c r="I772" i="1" a="1"/>
  <c r="I773" i="1" a="1"/>
  <c r="I774" i="1" a="1"/>
  <c r="I775" i="1" a="1"/>
  <c r="I776" i="1" a="1"/>
  <c r="I777" i="1" a="1"/>
  <c r="I778" i="1" a="1"/>
  <c r="I779" i="1" a="1"/>
  <c r="I780" i="1" a="1"/>
  <c r="I781" i="1" a="1"/>
  <c r="I782" i="1" a="1"/>
  <c r="I783" i="1" a="1"/>
  <c r="I784" i="1" a="1"/>
  <c r="I785" i="1" a="1"/>
  <c r="I786" i="1" a="1"/>
  <c r="I787" i="1" a="1"/>
  <c r="I788" i="1" a="1"/>
  <c r="I789" i="1" a="1"/>
  <c r="I790" i="1" a="1"/>
  <c r="I791" i="1" a="1"/>
  <c r="I792" i="1" a="1"/>
  <c r="I793" i="1" a="1"/>
  <c r="I794" i="1" a="1"/>
  <c r="I795" i="1" a="1"/>
  <c r="I796" i="1" a="1"/>
  <c r="I797" i="1" a="1"/>
  <c r="I798" i="1" a="1"/>
  <c r="I799" i="1" a="1"/>
  <c r="I800" i="1" a="1"/>
  <c r="I801" i="1" a="1"/>
  <c r="I802" i="1" a="1"/>
  <c r="I803" i="1" a="1"/>
  <c r="I804" i="1" a="1"/>
  <c r="I805" i="1" a="1"/>
  <c r="I806" i="1" a="1"/>
  <c r="I807" i="1" a="1"/>
  <c r="I808" i="1" a="1"/>
  <c r="I809" i="1" a="1"/>
  <c r="I810" i="1" a="1"/>
  <c r="I811" i="1" a="1"/>
  <c r="I812" i="1" a="1"/>
  <c r="I813" i="1" a="1"/>
  <c r="I814" i="1" a="1"/>
  <c r="I815" i="1" a="1"/>
  <c r="I816" i="1" a="1"/>
  <c r="I817" i="1" a="1"/>
  <c r="I818" i="1" a="1"/>
  <c r="I819" i="1" a="1"/>
  <c r="I820" i="1" a="1"/>
  <c r="I821" i="1" a="1"/>
  <c r="I822" i="1" a="1"/>
  <c r="I823" i="1" a="1"/>
  <c r="I824" i="1" a="1"/>
  <c r="I825" i="1" a="1"/>
  <c r="I826" i="1" a="1"/>
  <c r="I827" i="1" a="1"/>
  <c r="I828" i="1" a="1"/>
  <c r="I829" i="1" a="1"/>
  <c r="I830" i="1" a="1"/>
  <c r="I831" i="1" a="1"/>
  <c r="I832" i="1" a="1"/>
  <c r="I833" i="1" a="1"/>
  <c r="I834" i="1" a="1"/>
  <c r="I835" i="1" a="1"/>
  <c r="I836" i="1" a="1"/>
  <c r="I837" i="1" a="1"/>
  <c r="I838" i="1" a="1"/>
  <c r="I839" i="1" a="1"/>
  <c r="I840" i="1" a="1"/>
  <c r="I841" i="1" a="1"/>
  <c r="I842" i="1" a="1"/>
  <c r="I843" i="1" a="1"/>
  <c r="I844" i="1" a="1"/>
  <c r="I845" i="1" a="1"/>
  <c r="I846" i="1" a="1"/>
  <c r="I847" i="1" a="1"/>
  <c r="I848" i="1" a="1"/>
  <c r="I849" i="1" a="1"/>
  <c r="I850" i="1" a="1"/>
  <c r="I851" i="1" a="1"/>
  <c r="I852" i="1" a="1"/>
  <c r="I853" i="1" a="1"/>
  <c r="I854" i="1" a="1"/>
  <c r="I855" i="1" a="1"/>
  <c r="I856" i="1" a="1"/>
  <c r="I857" i="1" a="1"/>
  <c r="I858" i="1" a="1"/>
  <c r="I859" i="1" a="1"/>
  <c r="I860" i="1" a="1"/>
  <c r="I861" i="1" a="1"/>
  <c r="I862" i="1" a="1"/>
  <c r="I863" i="1" a="1"/>
  <c r="I864" i="1" a="1"/>
  <c r="I865" i="1" a="1"/>
  <c r="I866" i="1" a="1"/>
  <c r="I867" i="1" a="1"/>
  <c r="I868" i="1" a="1"/>
  <c r="I869" i="1" a="1"/>
  <c r="I870" i="1" a="1"/>
  <c r="I871" i="1" a="1"/>
  <c r="I872" i="1" a="1"/>
  <c r="I873" i="1" a="1"/>
  <c r="I874" i="1" a="1"/>
  <c r="I875" i="1" a="1"/>
  <c r="I876" i="1" a="1"/>
  <c r="I877" i="1" a="1"/>
  <c r="I878" i="1" a="1"/>
  <c r="I879" i="1" a="1"/>
  <c r="I880" i="1" a="1"/>
  <c r="I881" i="1" a="1"/>
  <c r="I882" i="1" a="1"/>
  <c r="I883" i="1" a="1"/>
  <c r="I884" i="1" a="1"/>
  <c r="I885" i="1" a="1"/>
  <c r="I886" i="1" a="1"/>
  <c r="I887" i="1" a="1"/>
  <c r="I888" i="1" a="1"/>
  <c r="I889" i="1" a="1"/>
  <c r="I890" i="1" a="1"/>
  <c r="I891" i="1" a="1"/>
  <c r="I892" i="1" a="1"/>
  <c r="I893" i="1" a="1"/>
  <c r="I894" i="1" a="1"/>
  <c r="I895" i="1" a="1"/>
  <c r="I896" i="1" a="1"/>
  <c r="I897" i="1" a="1"/>
  <c r="I898" i="1" a="1"/>
  <c r="I899" i="1" a="1"/>
  <c r="I900" i="1" a="1"/>
  <c r="I901" i="1" a="1"/>
  <c r="I902" i="1" a="1"/>
  <c r="I903" i="1" a="1"/>
  <c r="I904" i="1" a="1"/>
  <c r="I905" i="1" a="1"/>
  <c r="I906" i="1" a="1"/>
  <c r="I907" i="1" a="1"/>
  <c r="I908" i="1" a="1"/>
  <c r="I909" i="1" a="1"/>
  <c r="I910" i="1" a="1"/>
  <c r="I911" i="1" a="1"/>
  <c r="I912" i="1" a="1"/>
  <c r="I913" i="1" a="1"/>
  <c r="I914" i="1" a="1"/>
  <c r="I915" i="1" a="1"/>
  <c r="I916" i="1" a="1"/>
  <c r="I917" i="1" a="1"/>
  <c r="I918" i="1" a="1"/>
  <c r="I919" i="1" a="1"/>
  <c r="I920" i="1" a="1"/>
  <c r="I921" i="1" a="1"/>
  <c r="I922" i="1" a="1"/>
  <c r="I923" i="1" a="1"/>
  <c r="I924" i="1" a="1"/>
  <c r="I925" i="1" a="1"/>
  <c r="I926" i="1" a="1"/>
  <c r="I927" i="1" a="1"/>
  <c r="I928" i="1" a="1"/>
  <c r="I929" i="1" a="1"/>
  <c r="I930" i="1" a="1"/>
  <c r="I931" i="1" a="1"/>
  <c r="I932" i="1" a="1"/>
  <c r="I933" i="1" a="1"/>
  <c r="I934" i="1" a="1"/>
  <c r="I935" i="1" a="1"/>
  <c r="I936" i="1" a="1"/>
  <c r="I937" i="1" a="1"/>
  <c r="I938" i="1" a="1"/>
  <c r="I939" i="1" a="1"/>
  <c r="I940" i="1" a="1"/>
  <c r="I941" i="1" a="1"/>
  <c r="I942" i="1" a="1"/>
  <c r="I943" i="1" a="1"/>
  <c r="I944" i="1" a="1"/>
  <c r="I945" i="1" a="1"/>
  <c r="I946" i="1" a="1"/>
  <c r="I947" i="1" a="1"/>
  <c r="I948" i="1" a="1"/>
  <c r="I949" i="1" a="1"/>
  <c r="I950" i="1" a="1"/>
  <c r="I951" i="1" a="1"/>
  <c r="I952" i="1" a="1"/>
  <c r="I953" i="1" a="1"/>
  <c r="I954" i="1" a="1"/>
  <c r="I955" i="1" a="1"/>
  <c r="I956" i="1" a="1"/>
  <c r="I957" i="1" a="1"/>
  <c r="I958" i="1" a="1"/>
  <c r="I959" i="1" a="1"/>
  <c r="I960" i="1" a="1"/>
  <c r="I961" i="1" a="1"/>
  <c r="I962" i="1" a="1"/>
  <c r="I963" i="1" a="1"/>
  <c r="I964" i="1" a="1"/>
  <c r="I965" i="1" a="1"/>
  <c r="I966" i="1" a="1"/>
  <c r="I967" i="1" a="1"/>
  <c r="I968" i="1" a="1"/>
  <c r="I969" i="1" a="1"/>
  <c r="I970" i="1" a="1"/>
  <c r="I971" i="1" a="1"/>
  <c r="I972" i="1" a="1"/>
  <c r="I973" i="1" a="1"/>
  <c r="I974" i="1" a="1"/>
  <c r="I975" i="1" a="1"/>
  <c r="I976" i="1" a="1"/>
  <c r="I977" i="1" a="1"/>
  <c r="I978" i="1" a="1"/>
  <c r="I979" i="1" a="1"/>
  <c r="I980" i="1" a="1"/>
  <c r="I981" i="1" a="1"/>
  <c r="I982" i="1" a="1"/>
  <c r="I983" i="1" a="1"/>
  <c r="I984" i="1" a="1"/>
  <c r="I985" i="1" a="1"/>
  <c r="I986" i="1" a="1"/>
  <c r="I987" i="1" a="1"/>
  <c r="I988" i="1" a="1"/>
  <c r="I989" i="1" a="1"/>
  <c r="I990" i="1" a="1"/>
  <c r="I991" i="1" a="1"/>
  <c r="I992" i="1" a="1"/>
  <c r="I993" i="1" a="1"/>
  <c r="I994" i="1" a="1"/>
  <c r="I995" i="1" a="1"/>
  <c r="I996" i="1" a="1"/>
  <c r="I997" i="1" a="1"/>
  <c r="I998" i="1" a="1"/>
  <c r="I999" i="1" a="1"/>
  <c r="I1000" i="1" a="1"/>
  <c r="I1001" i="1" a="1"/>
  <c r="I1002" i="1" a="1"/>
  <c r="I1003" i="1" a="1"/>
  <c r="I1004" i="1" a="1"/>
  <c r="I1005" i="1" a="1"/>
  <c r="I1006" i="1" a="1"/>
  <c r="I1007" i="1" a="1"/>
  <c r="I1008" i="1" a="1"/>
  <c r="I1009" i="1" a="1"/>
  <c r="I1010" i="1" a="1"/>
  <c r="I1011" i="1" a="1"/>
  <c r="I1012" i="1" a="1"/>
  <c r="I1013" i="1" a="1"/>
  <c r="I1014" i="1" a="1"/>
  <c r="I1015" i="1" a="1"/>
  <c r="I1016" i="1" a="1"/>
  <c r="I1017" i="1" a="1"/>
  <c r="I1018" i="1" a="1"/>
  <c r="I1019" i="1" a="1"/>
  <c r="I1020" i="1" a="1"/>
  <c r="I1021" i="1" a="1"/>
  <c r="I1022" i="1" a="1"/>
  <c r="I1023" i="1" a="1"/>
  <c r="I1024" i="1" a="1"/>
  <c r="I1025" i="1" a="1"/>
  <c r="I1026" i="1" a="1"/>
  <c r="I1027" i="1" a="1"/>
  <c r="I1028" i="1" a="1"/>
  <c r="I1029" i="1" a="1"/>
  <c r="I1030" i="1" a="1"/>
  <c r="I1031" i="1" a="1"/>
  <c r="I1032" i="1" a="1"/>
  <c r="I1033" i="1" a="1"/>
  <c r="I1034" i="1" a="1"/>
  <c r="I1035" i="1" a="1"/>
  <c r="I1036" i="1" a="1"/>
  <c r="I1037" i="1" a="1"/>
  <c r="I1038" i="1" a="1"/>
  <c r="I1039" i="1" a="1"/>
  <c r="I1040" i="1" a="1"/>
  <c r="I1041" i="1" a="1"/>
  <c r="I1042" i="1" a="1"/>
  <c r="I1043" i="1" a="1"/>
  <c r="I1044" i="1" a="1"/>
  <c r="I1045" i="1" a="1"/>
  <c r="I1046" i="1" a="1"/>
  <c r="I1047" i="1" a="1"/>
  <c r="I1048" i="1" a="1"/>
  <c r="I1049" i="1" a="1"/>
  <c r="I1050" i="1" a="1"/>
  <c r="I1051" i="1" a="1"/>
  <c r="I1052" i="1" a="1"/>
  <c r="I1053" i="1" a="1"/>
  <c r="I1054" i="1" a="1"/>
  <c r="I1055" i="1" a="1"/>
  <c r="I1056" i="1" a="1"/>
  <c r="I1057" i="1" a="1"/>
  <c r="I1058" i="1" a="1"/>
  <c r="I1059" i="1" a="1"/>
  <c r="I1060" i="1" a="1"/>
  <c r="I1061" i="1" a="1"/>
  <c r="I1062" i="1" a="1"/>
  <c r="I1063" i="1" a="1"/>
  <c r="I1064" i="1" a="1"/>
  <c r="I1065" i="1" a="1"/>
  <c r="I1066" i="1" a="1"/>
  <c r="I1067" i="1" a="1"/>
  <c r="I1068" i="1" a="1"/>
  <c r="I1069" i="1" a="1"/>
  <c r="I1070" i="1" a="1"/>
  <c r="I1071" i="1" a="1"/>
  <c r="I1072" i="1" a="1"/>
  <c r="I1073" i="1" a="1"/>
  <c r="I1074" i="1" a="1"/>
  <c r="I1075" i="1" a="1"/>
  <c r="I1076" i="1" a="1"/>
  <c r="I1077" i="1" a="1"/>
  <c r="I1078" i="1" a="1"/>
  <c r="I1079" i="1" a="1"/>
  <c r="I1080" i="1" a="1"/>
  <c r="I1081" i="1" a="1"/>
  <c r="I1082" i="1" a="1"/>
  <c r="I1083" i="1" a="1"/>
  <c r="I1084" i="1" a="1"/>
  <c r="I1085" i="1" a="1"/>
  <c r="I1086" i="1" a="1"/>
  <c r="I1087" i="1" a="1"/>
  <c r="I1088" i="1" a="1"/>
  <c r="I1089" i="1" a="1"/>
  <c r="I1090" i="1" a="1"/>
  <c r="I1091" i="1" a="1"/>
  <c r="I1092" i="1" a="1"/>
  <c r="I1093" i="1" a="1"/>
  <c r="I1094" i="1" a="1"/>
  <c r="I1095" i="1" a="1"/>
  <c r="I1096" i="1" a="1"/>
  <c r="I1097" i="1" a="1"/>
  <c r="I1098" i="1" a="1"/>
  <c r="I1099" i="1" a="1"/>
  <c r="I1100" i="1" a="1"/>
  <c r="I1101" i="1" a="1"/>
  <c r="I1102" i="1" a="1"/>
  <c r="I1103" i="1" a="1"/>
  <c r="I1104" i="1" a="1"/>
  <c r="I1105" i="1" a="1"/>
  <c r="I1106" i="1" a="1"/>
  <c r="I1107" i="1" a="1"/>
  <c r="I1108" i="1" a="1"/>
  <c r="I1109" i="1" a="1"/>
  <c r="I1110" i="1" a="1"/>
  <c r="I1111" i="1" a="1"/>
  <c r="I1112" i="1" a="1"/>
  <c r="I1113" i="1" a="1"/>
  <c r="I1114" i="1" a="1"/>
  <c r="I1115" i="1" a="1"/>
  <c r="I1116" i="1" a="1"/>
  <c r="I1117" i="1" a="1"/>
  <c r="I1118" i="1" a="1"/>
  <c r="I1119" i="1" a="1"/>
  <c r="I1120" i="1" a="1"/>
  <c r="I1121" i="1" a="1"/>
  <c r="I1122" i="1" a="1"/>
  <c r="I1123" i="1" a="1"/>
  <c r="I1124" i="1" a="1"/>
  <c r="I1125" i="1" a="1"/>
  <c r="I1126" i="1" a="1"/>
  <c r="I1127" i="1" a="1"/>
  <c r="I1128" i="1" a="1"/>
  <c r="I1129" i="1" a="1"/>
  <c r="I1130" i="1" a="1"/>
  <c r="I1131" i="1" a="1"/>
  <c r="I1132" i="1" a="1"/>
  <c r="I1133" i="1" a="1"/>
  <c r="I1134" i="1" a="1"/>
  <c r="I1135" i="1" a="1"/>
  <c r="I1136" i="1" a="1"/>
  <c r="I1137" i="1" a="1"/>
  <c r="I1138" i="1" a="1"/>
  <c r="I1139" i="1" a="1"/>
  <c r="I1140" i="1" a="1"/>
  <c r="I1141" i="1" a="1"/>
  <c r="I1142" i="1" a="1"/>
  <c r="I1143" i="1" a="1"/>
  <c r="I1144" i="1" a="1"/>
  <c r="I1145" i="1" a="1"/>
  <c r="I1146" i="1" a="1"/>
  <c r="I1147" i="1" a="1"/>
  <c r="I1148" i="1" a="1"/>
  <c r="I1149" i="1" a="1"/>
  <c r="I1150" i="1" a="1"/>
  <c r="I1151" i="1" a="1"/>
  <c r="I1152" i="1" a="1"/>
  <c r="I1153" i="1" a="1"/>
  <c r="I1154" i="1" a="1"/>
  <c r="I1155" i="1" a="1"/>
  <c r="I1156" i="1" a="1"/>
  <c r="I1157" i="1" a="1"/>
  <c r="I1158" i="1" a="1"/>
  <c r="I1159" i="1" a="1"/>
  <c r="I1160" i="1" a="1"/>
  <c r="I1161" i="1" a="1"/>
  <c r="I1162" i="1" a="1"/>
  <c r="I1163" i="1" a="1"/>
  <c r="I1164" i="1" a="1"/>
  <c r="I1165" i="1" a="1"/>
  <c r="I1166" i="1" a="1"/>
  <c r="I1167" i="1" a="1"/>
  <c r="I1168" i="1" a="1"/>
  <c r="I1169" i="1" a="1"/>
  <c r="I1170" i="1" a="1"/>
  <c r="I1171" i="1" a="1"/>
  <c r="I1172" i="1" a="1"/>
  <c r="I1173" i="1" a="1"/>
  <c r="I1174" i="1" a="1"/>
  <c r="I1175" i="1" a="1"/>
  <c r="I1176" i="1" a="1"/>
  <c r="I1177" i="1" a="1"/>
  <c r="I1178" i="1" a="1"/>
  <c r="I1179" i="1" a="1"/>
  <c r="I1180" i="1" a="1"/>
  <c r="I1181" i="1" a="1"/>
  <c r="I1182" i="1" a="1"/>
  <c r="I1183" i="1" a="1"/>
  <c r="I1184" i="1" a="1"/>
  <c r="I1185" i="1" a="1"/>
  <c r="I1186" i="1" a="1"/>
  <c r="I1187" i="1" a="1"/>
  <c r="I1188" i="1" a="1"/>
  <c r="I1189" i="1" a="1"/>
  <c r="I1190" i="1" a="1"/>
  <c r="I1191" i="1" a="1"/>
  <c r="I1192" i="1" a="1"/>
  <c r="I1193" i="1" a="1"/>
  <c r="I1194" i="1" a="1"/>
  <c r="I1195" i="1" a="1"/>
  <c r="I1196" i="1" a="1"/>
  <c r="I1197" i="1" a="1"/>
  <c r="I1198" i="1" a="1"/>
  <c r="I1199" i="1" a="1"/>
  <c r="I1200" i="1" a="1"/>
  <c r="I1201" i="1" a="1"/>
  <c r="I1202" i="1" a="1"/>
  <c r="I1203" i="1" a="1"/>
  <c r="I1204" i="1" a="1"/>
  <c r="I1205" i="1" a="1"/>
  <c r="I1206" i="1" a="1"/>
  <c r="I1207" i="1" a="1"/>
  <c r="I1208" i="1" a="1"/>
  <c r="I1209" i="1" a="1"/>
  <c r="I1210" i="1" a="1"/>
  <c r="I1211" i="1" a="1"/>
  <c r="I1212" i="1" a="1"/>
  <c r="I1213" i="1" a="1"/>
  <c r="I1214" i="1" a="1"/>
  <c r="I1215" i="1" a="1"/>
  <c r="I1216" i="1" a="1"/>
  <c r="I1217" i="1" a="1"/>
  <c r="I1218" i="1" a="1"/>
  <c r="I1219" i="1" a="1"/>
  <c r="I1220" i="1" a="1"/>
  <c r="I1221" i="1" a="1"/>
  <c r="I1222" i="1" a="1"/>
  <c r="I1223" i="1" a="1"/>
  <c r="I1224" i="1" a="1"/>
  <c r="I1225" i="1" a="1"/>
  <c r="I1226" i="1" a="1"/>
  <c r="I1227" i="1" a="1"/>
  <c r="I1228" i="1" a="1"/>
  <c r="I1229" i="1" a="1"/>
  <c r="I1230" i="1" a="1"/>
  <c r="I1231" i="1" a="1"/>
  <c r="I1232" i="1" a="1"/>
  <c r="I1233" i="1" a="1"/>
  <c r="I1234" i="1" a="1"/>
  <c r="I1235" i="1" a="1"/>
  <c r="I1236" i="1" a="1"/>
  <c r="I1237" i="1" a="1"/>
  <c r="I1238" i="1" a="1"/>
  <c r="I1239" i="1" a="1"/>
  <c r="I1240" i="1" a="1"/>
  <c r="I1241" i="1" a="1"/>
  <c r="I1242" i="1" a="1"/>
  <c r="I1243" i="1" a="1"/>
  <c r="I1244" i="1" a="1"/>
  <c r="I1245" i="1" a="1"/>
  <c r="I1246" i="1" a="1"/>
  <c r="I1247" i="1" a="1"/>
  <c r="I1248" i="1" a="1"/>
  <c r="I1249" i="1" a="1"/>
  <c r="I1250" i="1" a="1"/>
  <c r="I1251" i="1" a="1"/>
  <c r="I1252" i="1" a="1"/>
  <c r="I1253" i="1" a="1"/>
  <c r="I1254" i="1" a="1"/>
  <c r="I1255" i="1" a="1"/>
  <c r="I1256" i="1" a="1"/>
  <c r="I1257" i="1" a="1"/>
  <c r="I1258" i="1" a="1"/>
  <c r="I1259" i="1" a="1"/>
  <c r="I1260" i="1" a="1"/>
  <c r="I1261" i="1" a="1"/>
  <c r="I1262" i="1" a="1"/>
  <c r="I1263" i="1" a="1"/>
  <c r="I1264" i="1" a="1"/>
  <c r="I1265" i="1" a="1"/>
  <c r="I1266" i="1" a="1"/>
  <c r="I1267" i="1" a="1"/>
  <c r="I1268" i="1" a="1"/>
  <c r="I1269" i="1" a="1"/>
  <c r="I1270" i="1" a="1"/>
  <c r="I1271" i="1" a="1"/>
  <c r="I1272" i="1" a="1"/>
  <c r="I1273" i="1" a="1"/>
  <c r="I1274" i="1" a="1"/>
  <c r="I1275" i="1" a="1"/>
  <c r="I1276" i="1" a="1"/>
  <c r="I1277" i="1" a="1"/>
  <c r="I1278" i="1" a="1"/>
  <c r="I1279" i="1" a="1"/>
  <c r="I1280" i="1" a="1"/>
  <c r="I1281" i="1" a="1"/>
  <c r="I1282" i="1" a="1"/>
  <c r="I1283" i="1" a="1"/>
  <c r="I1284" i="1" a="1"/>
  <c r="I1285" i="1" a="1"/>
  <c r="I1286" i="1" a="1"/>
  <c r="I1287" i="1" a="1"/>
  <c r="I1288" i="1" a="1"/>
  <c r="I1289" i="1" a="1"/>
  <c r="I1290" i="1" a="1"/>
  <c r="I1291" i="1" a="1"/>
  <c r="I1292" i="1" a="1"/>
  <c r="I1293" i="1" a="1"/>
  <c r="I1294" i="1" a="1"/>
  <c r="I1295" i="1" a="1"/>
  <c r="I1296" i="1" a="1"/>
  <c r="I1297" i="1" a="1"/>
  <c r="I1298" i="1" a="1"/>
  <c r="I1299" i="1" a="1"/>
  <c r="I1300" i="1" a="1"/>
  <c r="I1301" i="1" a="1"/>
  <c r="I1302" i="1" a="1"/>
  <c r="I1303" i="1" a="1"/>
  <c r="I1304" i="1" a="1"/>
  <c r="I1305" i="1" a="1"/>
  <c r="I1306" i="1" a="1"/>
  <c r="I1307" i="1" a="1"/>
  <c r="I1308" i="1" a="1"/>
  <c r="I1309" i="1" a="1"/>
  <c r="I1310" i="1" a="1"/>
  <c r="I1311" i="1" a="1"/>
  <c r="I1312" i="1" a="1"/>
  <c r="I1313" i="1" a="1"/>
  <c r="I1314" i="1" a="1"/>
  <c r="I1315" i="1" a="1"/>
  <c r="I1316" i="1" a="1"/>
  <c r="I1317" i="1" a="1"/>
  <c r="I1318" i="1" a="1"/>
  <c r="I1319" i="1" a="1"/>
  <c r="I1320" i="1" a="1"/>
  <c r="I1321" i="1" a="1"/>
  <c r="I1322" i="1" a="1"/>
  <c r="I1323" i="1" a="1"/>
  <c r="I1324" i="1" a="1"/>
  <c r="I1325" i="1" a="1"/>
  <c r="I1326" i="1" a="1"/>
  <c r="I1327" i="1" a="1"/>
  <c r="I1328" i="1" a="1"/>
  <c r="I1329" i="1" a="1"/>
  <c r="I1330" i="1" a="1"/>
  <c r="I1331" i="1" a="1"/>
  <c r="I1332" i="1" a="1"/>
  <c r="I1333" i="1" a="1"/>
  <c r="I1334" i="1" a="1"/>
  <c r="I1335" i="1" a="1"/>
  <c r="I1336" i="1" a="1"/>
  <c r="I1337" i="1" a="1"/>
  <c r="I1338" i="1" a="1"/>
  <c r="I1339" i="1" a="1"/>
  <c r="I1340" i="1" a="1"/>
  <c r="I1341" i="1" a="1"/>
  <c r="I1342" i="1" a="1"/>
  <c r="I1343" i="1" a="1"/>
  <c r="I1344" i="1" a="1"/>
  <c r="I1345" i="1" a="1"/>
  <c r="I1346" i="1" a="1"/>
  <c r="I1347" i="1" a="1"/>
  <c r="I1348" i="1" a="1"/>
  <c r="I1349" i="1" a="1"/>
  <c r="I1350" i="1" a="1"/>
  <c r="I1351" i="1" a="1"/>
  <c r="I1352" i="1" a="1"/>
  <c r="I1353" i="1" a="1"/>
  <c r="I1354" i="1" a="1"/>
  <c r="I1355" i="1" a="1"/>
  <c r="I1356" i="1" a="1"/>
  <c r="I1357" i="1" a="1"/>
  <c r="I1358" i="1" a="1"/>
  <c r="I1359" i="1" a="1"/>
  <c r="I1360" i="1" a="1"/>
  <c r="I1361" i="1" a="1"/>
  <c r="I1362" i="1" a="1"/>
  <c r="I1363" i="1" a="1"/>
  <c r="I1364" i="1" a="1"/>
  <c r="I1365" i="1" a="1"/>
  <c r="I1366" i="1" a="1"/>
  <c r="I1367" i="1" a="1"/>
  <c r="I1368" i="1" a="1"/>
  <c r="I1369" i="1" a="1"/>
  <c r="I1370" i="1" a="1"/>
  <c r="I1371" i="1" a="1"/>
  <c r="I1372" i="1" a="1"/>
  <c r="I1373" i="1" a="1"/>
  <c r="I1374" i="1" a="1"/>
  <c r="I1375" i="1" a="1"/>
  <c r="I1376" i="1" a="1"/>
  <c r="I1377" i="1" a="1"/>
  <c r="I1378" i="1" a="1"/>
  <c r="I1379" i="1" a="1"/>
  <c r="I1380" i="1" a="1"/>
  <c r="I1381" i="1" a="1"/>
  <c r="I1382" i="1" a="1"/>
  <c r="I1383" i="1" a="1"/>
  <c r="I1384" i="1" a="1"/>
  <c r="I1385" i="1" a="1"/>
  <c r="I1386" i="1" a="1"/>
  <c r="I1387" i="1" a="1"/>
  <c r="I1388" i="1" a="1"/>
  <c r="I1389" i="1" a="1"/>
  <c r="I1390" i="1" a="1"/>
  <c r="I1391" i="1" a="1"/>
  <c r="I1392" i="1" a="1"/>
  <c r="I1393" i="1" a="1"/>
  <c r="I1394" i="1" a="1"/>
  <c r="I1395" i="1" a="1"/>
  <c r="I1396" i="1" a="1"/>
  <c r="I1397" i="1" a="1"/>
  <c r="I1398" i="1" a="1"/>
  <c r="I1399" i="1" a="1"/>
  <c r="I1400" i="1" a="1"/>
  <c r="I1401" i="1" a="1"/>
  <c r="I1402" i="1" a="1"/>
  <c r="I1403" i="1" a="1"/>
  <c r="I1404" i="1" a="1"/>
  <c r="I1405" i="1" a="1"/>
  <c r="I1406" i="1" a="1"/>
  <c r="I1407" i="1" a="1"/>
  <c r="I1408" i="1" a="1"/>
  <c r="I1409" i="1" a="1"/>
  <c r="I1410" i="1" a="1"/>
  <c r="I1411" i="1" a="1"/>
  <c r="I1412" i="1" a="1"/>
  <c r="I1413" i="1" a="1"/>
  <c r="I1414" i="1" a="1"/>
  <c r="I1415" i="1" a="1"/>
  <c r="I1416" i="1" a="1"/>
  <c r="I1417" i="1" a="1"/>
  <c r="I1418" i="1" a="1"/>
  <c r="I1419" i="1" a="1"/>
  <c r="I1420" i="1" a="1"/>
  <c r="I1421" i="1" a="1"/>
  <c r="I1422" i="1" a="1"/>
  <c r="I1423" i="1" a="1"/>
  <c r="I1424" i="1" a="1"/>
  <c r="I1425" i="1" a="1"/>
  <c r="I1426" i="1" a="1"/>
  <c r="I1427" i="1" a="1"/>
  <c r="I1428" i="1" a="1"/>
  <c r="I1429" i="1" a="1"/>
  <c r="I1430" i="1" a="1"/>
  <c r="I1431" i="1" a="1"/>
  <c r="I1432" i="1" a="1"/>
  <c r="I1433" i="1" a="1"/>
  <c r="I1434" i="1" a="1"/>
  <c r="I1435" i="1" a="1"/>
  <c r="I1436" i="1" a="1"/>
  <c r="I1437" i="1" a="1"/>
  <c r="I1438" i="1" a="1"/>
  <c r="I1439" i="1" a="1"/>
  <c r="I1440" i="1" a="1"/>
  <c r="I1441" i="1" a="1"/>
  <c r="I1442" i="1" a="1"/>
  <c r="I1443" i="1" a="1"/>
  <c r="I1444" i="1" a="1"/>
  <c r="I1445" i="1" a="1"/>
  <c r="I1446" i="1" a="1"/>
  <c r="I1447" i="1" a="1"/>
  <c r="I1448" i="1" a="1"/>
  <c r="I1449" i="1" a="1"/>
  <c r="I1450" i="1" a="1"/>
  <c r="I1451" i="1" a="1"/>
  <c r="I1452" i="1" a="1"/>
  <c r="I1453" i="1" a="1"/>
  <c r="I1454" i="1" a="1"/>
  <c r="I1455" i="1" a="1"/>
  <c r="I1456" i="1" a="1"/>
  <c r="I1457" i="1" a="1"/>
  <c r="I1458" i="1" a="1"/>
  <c r="I1459" i="1" a="1"/>
  <c r="I1460" i="1" a="1"/>
  <c r="I1461" i="1" a="1"/>
  <c r="I1462" i="1" a="1"/>
  <c r="I1463" i="1" a="1"/>
  <c r="I1464" i="1" a="1"/>
  <c r="I1465" i="1" a="1"/>
  <c r="I1466" i="1" a="1"/>
  <c r="I1467" i="1" a="1"/>
  <c r="I1468" i="1" a="1"/>
  <c r="I1469" i="1" a="1"/>
  <c r="I1470" i="1" a="1"/>
  <c r="I1471" i="1" a="1"/>
  <c r="I1472" i="1" a="1"/>
  <c r="I1473" i="1" a="1"/>
  <c r="I1474" i="1" a="1"/>
  <c r="I1475" i="1" a="1"/>
  <c r="I1476" i="1" a="1"/>
  <c r="I1477" i="1" a="1"/>
  <c r="I1478" i="1" a="1"/>
  <c r="I1479" i="1" a="1"/>
  <c r="I1480" i="1" a="1"/>
  <c r="I1481" i="1" a="1"/>
  <c r="I1482" i="1" a="1"/>
  <c r="I1483" i="1" a="1"/>
  <c r="I1484" i="1" a="1"/>
  <c r="I1485" i="1" a="1"/>
  <c r="I1486" i="1" a="1"/>
  <c r="I1487" i="1" a="1"/>
  <c r="I1488" i="1" a="1"/>
  <c r="I1489" i="1" a="1"/>
  <c r="I1490" i="1" a="1"/>
  <c r="I1491" i="1" a="1"/>
  <c r="I1492" i="1" a="1"/>
  <c r="I1493" i="1" a="1"/>
  <c r="I1494" i="1" a="1"/>
  <c r="I1495" i="1" a="1"/>
  <c r="I1496" i="1" a="1"/>
  <c r="I1497" i="1" a="1"/>
  <c r="I1498" i="1" a="1"/>
  <c r="I1499" i="1" a="1"/>
  <c r="I1500" i="1" a="1"/>
  <c r="I1501" i="1" a="1"/>
  <c r="I1502" i="1" a="1"/>
  <c r="I1503" i="1" a="1"/>
  <c r="I1504" i="1" a="1"/>
  <c r="I1505" i="1" a="1"/>
  <c r="I1506" i="1" a="1"/>
  <c r="I1507" i="1" a="1"/>
  <c r="I1508" i="1" a="1"/>
  <c r="I1509" i="1" a="1"/>
  <c r="I1510" i="1" a="1"/>
  <c r="I1511" i="1" a="1"/>
  <c r="I1512" i="1" a="1"/>
  <c r="I1513" i="1" a="1"/>
  <c r="I1514" i="1" a="1"/>
  <c r="I1515" i="1" a="1"/>
  <c r="I1516" i="1" a="1"/>
  <c r="I1517" i="1" a="1"/>
  <c r="I1518" i="1" a="1"/>
  <c r="I1519" i="1" a="1"/>
  <c r="I1520" i="1" a="1"/>
  <c r="I1521" i="1" a="1"/>
  <c r="I1522" i="1" a="1"/>
  <c r="I1523" i="1" a="1"/>
  <c r="I1524" i="1" a="1"/>
  <c r="I1525" i="1" a="1"/>
  <c r="I1526" i="1" a="1"/>
  <c r="I1527" i="1" a="1"/>
  <c r="I1528" i="1" a="1"/>
  <c r="I1529" i="1" a="1"/>
  <c r="I1530" i="1" a="1"/>
  <c r="I1531" i="1" a="1"/>
  <c r="I1532" i="1" a="1"/>
  <c r="I1533" i="1" a="1"/>
  <c r="I1534" i="1" a="1"/>
  <c r="I1535" i="1" a="1"/>
  <c r="I1536" i="1" a="1"/>
  <c r="I1537" i="1" a="1"/>
  <c r="I1538" i="1" a="1"/>
  <c r="I1539" i="1" a="1"/>
  <c r="I1540" i="1" a="1"/>
  <c r="I1541" i="1" a="1"/>
  <c r="I1542" i="1" a="1"/>
  <c r="I1543" i="1" a="1"/>
  <c r="I1544" i="1" a="1"/>
  <c r="I1545" i="1" a="1"/>
  <c r="I1546" i="1" a="1"/>
  <c r="I1547" i="1" a="1"/>
  <c r="I1548" i="1" a="1"/>
  <c r="I1549" i="1" a="1"/>
  <c r="I1550" i="1" a="1"/>
  <c r="I1551" i="1" a="1"/>
  <c r="I1552" i="1" a="1"/>
  <c r="I1553" i="1" a="1"/>
  <c r="I1554" i="1" a="1"/>
  <c r="I1555" i="1" a="1"/>
  <c r="I1556" i="1" a="1"/>
  <c r="I1557" i="1" a="1"/>
  <c r="I1558" i="1" a="1"/>
  <c r="I1559" i="1" a="1"/>
  <c r="I1560" i="1" a="1"/>
  <c r="I1561" i="1" a="1"/>
  <c r="I1562" i="1" a="1"/>
  <c r="I1563" i="1" a="1"/>
  <c r="I1564" i="1" a="1"/>
  <c r="I1565" i="1" a="1"/>
  <c r="I1566" i="1" a="1"/>
  <c r="I1567" i="1" a="1"/>
  <c r="I1568" i="1" a="1"/>
  <c r="I1569" i="1" a="1"/>
  <c r="I1570" i="1" a="1"/>
  <c r="I1571" i="1" a="1"/>
  <c r="I1572" i="1" a="1"/>
  <c r="I1573" i="1" a="1"/>
  <c r="I1574" i="1" a="1"/>
  <c r="I1575" i="1" a="1"/>
  <c r="I1576" i="1" a="1"/>
  <c r="I1577" i="1" a="1"/>
  <c r="I1578" i="1" a="1"/>
  <c r="I1579" i="1" a="1"/>
  <c r="I1580" i="1" a="1"/>
  <c r="I1581" i="1" a="1"/>
  <c r="I1582" i="1" a="1"/>
  <c r="I1583" i="1" a="1"/>
  <c r="I1584" i="1" a="1"/>
  <c r="I1585" i="1" a="1"/>
  <c r="I1586" i="1" a="1"/>
  <c r="I1587" i="1" a="1"/>
  <c r="I1588" i="1" a="1"/>
  <c r="I1589" i="1" a="1"/>
  <c r="I1590" i="1" a="1"/>
  <c r="I1591" i="1" a="1"/>
  <c r="I1592" i="1" a="1"/>
  <c r="I1593" i="1" a="1"/>
  <c r="I1594" i="1" a="1"/>
  <c r="I1595" i="1" a="1"/>
  <c r="I1596" i="1" a="1"/>
  <c r="I1597" i="1" a="1"/>
  <c r="I1598" i="1" a="1"/>
  <c r="I1599" i="1" a="1"/>
  <c r="I1600" i="1" a="1"/>
  <c r="I1601" i="1" a="1"/>
  <c r="I1602" i="1" a="1"/>
  <c r="I1603" i="1" a="1"/>
  <c r="I1604" i="1" a="1"/>
  <c r="I1605" i="1" a="1"/>
  <c r="I1606" i="1" a="1"/>
  <c r="I1607" i="1" a="1"/>
  <c r="I1608" i="1" a="1"/>
  <c r="I1609" i="1" a="1"/>
  <c r="I1610" i="1" a="1"/>
  <c r="I1611" i="1" a="1"/>
  <c r="I1612" i="1" a="1"/>
  <c r="I1613" i="1" a="1"/>
  <c r="I1614" i="1" a="1"/>
  <c r="I1615" i="1" a="1"/>
  <c r="I1616" i="1" a="1"/>
  <c r="I1617" i="1" a="1"/>
  <c r="I1618" i="1" a="1"/>
  <c r="I1619" i="1" a="1"/>
  <c r="I1620" i="1" a="1"/>
  <c r="I1621" i="1" a="1"/>
  <c r="I1622" i="1" a="1"/>
  <c r="I1623" i="1" a="1"/>
  <c r="I1624" i="1" a="1"/>
  <c r="I1625" i="1" a="1"/>
  <c r="I1626" i="1" a="1"/>
  <c r="I1627" i="1" a="1"/>
  <c r="I1628" i="1" a="1"/>
  <c r="I1629" i="1" a="1"/>
  <c r="I1630" i="1" a="1"/>
  <c r="I1631" i="1" a="1"/>
  <c r="I1632" i="1" a="1"/>
  <c r="I1633" i="1" a="1"/>
  <c r="I1634" i="1" a="1"/>
  <c r="I1635" i="1" a="1"/>
  <c r="I1636" i="1" a="1"/>
  <c r="I1637" i="1" a="1"/>
  <c r="I1638" i="1" a="1"/>
  <c r="I1639" i="1" a="1"/>
  <c r="I1640" i="1" a="1"/>
  <c r="I1641" i="1" a="1"/>
  <c r="I1642" i="1" a="1"/>
  <c r="I1643" i="1" a="1"/>
  <c r="I1644" i="1" a="1"/>
  <c r="I1645" i="1" a="1"/>
  <c r="I1646" i="1" a="1"/>
  <c r="I1647" i="1" a="1"/>
  <c r="I1648" i="1" a="1"/>
  <c r="I1649" i="1" a="1"/>
  <c r="I1650" i="1" a="1"/>
  <c r="I1651" i="1" a="1"/>
  <c r="I1652" i="1" a="1"/>
  <c r="I1653" i="1" a="1"/>
  <c r="I1654" i="1" a="1"/>
  <c r="I1655" i="1" a="1"/>
  <c r="I1656" i="1" a="1"/>
  <c r="I1657" i="1" a="1"/>
  <c r="I1658" i="1" a="1"/>
  <c r="I1659" i="1" a="1"/>
  <c r="I1660" i="1" a="1"/>
  <c r="I1661" i="1" a="1"/>
  <c r="I1662" i="1" a="1"/>
  <c r="I1663" i="1" a="1"/>
  <c r="I1664" i="1" a="1"/>
  <c r="I1665" i="1" a="1"/>
  <c r="I1666" i="1" a="1"/>
  <c r="I1667" i="1" a="1"/>
  <c r="I1668" i="1" a="1"/>
  <c r="I1669" i="1" a="1"/>
  <c r="I1670" i="1" a="1"/>
  <c r="I1671" i="1" a="1"/>
  <c r="I1672" i="1" a="1"/>
  <c r="I1673" i="1" a="1"/>
  <c r="I1674" i="1" a="1"/>
  <c r="I1675" i="1" a="1"/>
  <c r="I1676" i="1" a="1"/>
  <c r="I1677" i="1" a="1"/>
  <c r="I1678" i="1" a="1"/>
  <c r="I1679" i="1" a="1"/>
  <c r="I1680" i="1" a="1"/>
  <c r="I1681" i="1" a="1"/>
  <c r="I1682" i="1" a="1"/>
  <c r="I1683" i="1" a="1"/>
  <c r="I1684" i="1" a="1"/>
  <c r="I1685" i="1" a="1"/>
  <c r="I1686" i="1" a="1"/>
  <c r="I1687" i="1" a="1"/>
  <c r="I1688" i="1" a="1"/>
  <c r="I1689" i="1" a="1"/>
  <c r="I1690" i="1" a="1"/>
  <c r="I1691" i="1" a="1"/>
  <c r="I1692" i="1" a="1"/>
  <c r="I1693" i="1" a="1"/>
  <c r="I1694" i="1" a="1"/>
  <c r="I1695" i="1" a="1"/>
  <c r="I1696" i="1" a="1"/>
  <c r="I1697" i="1" a="1"/>
  <c r="I1698" i="1" a="1"/>
  <c r="I1699" i="1" a="1"/>
  <c r="I1700" i="1" a="1"/>
  <c r="I1701" i="1" a="1"/>
  <c r="I1702" i="1" a="1"/>
  <c r="I1703" i="1" a="1"/>
  <c r="I1704" i="1" a="1"/>
  <c r="I1705" i="1" a="1"/>
  <c r="I1706" i="1" a="1"/>
  <c r="I1707" i="1" a="1"/>
  <c r="I1708" i="1" a="1"/>
  <c r="I1709" i="1" a="1"/>
  <c r="I1710" i="1" a="1"/>
  <c r="I1711" i="1" a="1"/>
  <c r="I1712" i="1" a="1"/>
  <c r="I1713" i="1" a="1"/>
  <c r="I1714" i="1" a="1"/>
  <c r="I1715" i="1" a="1"/>
  <c r="I1716" i="1" a="1"/>
  <c r="I1717" i="1" a="1"/>
  <c r="I1718" i="1" a="1"/>
  <c r="I1719" i="1" a="1"/>
  <c r="I1720" i="1" a="1"/>
  <c r="I1721" i="1" a="1"/>
  <c r="I1722" i="1" a="1"/>
  <c r="I1723" i="1" a="1"/>
  <c r="I1724" i="1" a="1"/>
  <c r="I1725" i="1" a="1"/>
  <c r="I1726" i="1" a="1"/>
  <c r="I1727" i="1" a="1"/>
  <c r="I1728" i="1" a="1"/>
  <c r="I1729" i="1" a="1"/>
  <c r="I1730" i="1" a="1"/>
  <c r="I1731" i="1" a="1"/>
  <c r="I1732" i="1" a="1"/>
  <c r="I1733" i="1" a="1"/>
  <c r="I1734" i="1" a="1"/>
  <c r="I1735" i="1" a="1"/>
  <c r="I1736" i="1" a="1"/>
  <c r="I1737" i="1" a="1"/>
  <c r="I1738" i="1" a="1"/>
  <c r="I1739" i="1" a="1"/>
  <c r="I1740" i="1" a="1"/>
  <c r="I1743" i="1" a="1"/>
  <c r="I1744" i="1" a="1"/>
  <c r="I1745" i="1" a="1"/>
  <c r="I1746" i="1" a="1"/>
  <c r="I1747" i="1" a="1"/>
  <c r="I1748" i="1" a="1"/>
  <c r="I1749" i="1" a="1"/>
  <c r="I1750" i="1" a="1"/>
  <c r="I1751" i="1" a="1"/>
  <c r="I1752" i="1" a="1"/>
  <c r="I1753" i="1" a="1"/>
  <c r="I1754" i="1" a="1"/>
  <c r="I1755" i="1" a="1"/>
  <c r="I1756" i="1" a="1"/>
  <c r="I1757" i="1" a="1"/>
  <c r="I1758" i="1" a="1"/>
  <c r="I1759" i="1" a="1"/>
  <c r="I1760" i="1" a="1"/>
  <c r="I1761" i="1" a="1"/>
  <c r="I1762" i="1" a="1"/>
  <c r="I1763" i="1" a="1"/>
  <c r="I1764" i="1" a="1"/>
  <c r="I1765" i="1" a="1"/>
  <c r="I1766" i="1" a="1"/>
  <c r="I1767" i="1" a="1"/>
  <c r="I1768" i="1" a="1"/>
  <c r="I1769" i="1" a="1"/>
  <c r="I1770" i="1" a="1"/>
  <c r="I1771" i="1" a="1"/>
  <c r="I1772" i="1" a="1"/>
  <c r="I1773" i="1" a="1"/>
  <c r="I1774" i="1" a="1"/>
  <c r="I1775" i="1" a="1"/>
  <c r="I1776" i="1" a="1"/>
  <c r="I1777" i="1" a="1"/>
  <c r="I1778" i="1" a="1"/>
  <c r="I1779" i="1" a="1"/>
  <c r="I1780" i="1" a="1"/>
  <c r="I1781" i="1" a="1"/>
  <c r="I1782" i="1" a="1"/>
  <c r="I1783" i="1" a="1"/>
  <c r="I1784" i="1" a="1"/>
  <c r="I1785" i="1" a="1"/>
  <c r="I1786" i="1" a="1"/>
  <c r="I1787" i="1" a="1"/>
  <c r="I1788" i="1" a="1"/>
  <c r="I1789" i="1" a="1"/>
  <c r="I1790" i="1" a="1"/>
  <c r="I1791" i="1" a="1"/>
  <c r="I1792" i="1" a="1"/>
  <c r="I1793" i="1" a="1"/>
  <c r="I1794" i="1" a="1"/>
  <c r="I1795" i="1" a="1"/>
  <c r="I1796" i="1" a="1"/>
  <c r="I1797" i="1" a="1"/>
  <c r="I1798" i="1" a="1"/>
  <c r="I1799" i="1" a="1"/>
  <c r="I1800" i="1" a="1"/>
  <c r="I1801" i="1" a="1"/>
  <c r="I1802" i="1" a="1"/>
  <c r="I1803" i="1" a="1"/>
  <c r="I1804" i="1" a="1"/>
  <c r="I1805" i="1" a="1"/>
  <c r="I1806" i="1" a="1"/>
  <c r="I1807" i="1" a="1"/>
  <c r="I1808" i="1" a="1"/>
  <c r="I1809" i="1" a="1"/>
  <c r="I1810" i="1" a="1"/>
  <c r="I1811" i="1" a="1"/>
  <c r="I1812" i="1" a="1"/>
  <c r="I1813" i="1" a="1"/>
  <c r="I1814" i="1" a="1"/>
  <c r="I1815" i="1" a="1"/>
  <c r="I1816" i="1" a="1"/>
  <c r="I1817" i="1" a="1"/>
  <c r="I1818" i="1" a="1"/>
  <c r="I1819" i="1" a="1"/>
  <c r="I1820" i="1" a="1"/>
  <c r="I1821" i="1" a="1"/>
  <c r="I1822" i="1" a="1"/>
  <c r="I1823" i="1" a="1"/>
  <c r="I1824" i="1" a="1"/>
  <c r="I1825" i="1" a="1"/>
  <c r="I1826" i="1" a="1"/>
  <c r="I1827" i="1" a="1"/>
  <c r="I1828" i="1" a="1"/>
  <c r="I1829" i="1" a="1"/>
  <c r="I1830" i="1" a="1"/>
  <c r="I1831" i="1" a="1"/>
  <c r="I1832" i="1" a="1"/>
  <c r="I1833" i="1" a="1"/>
  <c r="I1834" i="1" a="1"/>
  <c r="I1835" i="1" a="1"/>
  <c r="I1836" i="1" a="1"/>
  <c r="I1837" i="1" a="1"/>
  <c r="I1838" i="1" a="1"/>
  <c r="I1839" i="1" a="1"/>
  <c r="I1840" i="1" a="1"/>
  <c r="I1841" i="1" a="1"/>
  <c r="I1842" i="1" a="1"/>
  <c r="I1843" i="1" a="1"/>
  <c r="I1844" i="1" a="1"/>
  <c r="J16" i="1" a="1"/>
  <c r="J17" i="1" a="1"/>
  <c r="J18" i="1" a="1"/>
  <c r="J19" i="1" a="1"/>
  <c r="J20" i="1" a="1"/>
  <c r="J21" i="1" a="1"/>
  <c r="J22" i="1" a="1"/>
  <c r="J23" i="1" a="1"/>
  <c r="J24" i="1" a="1"/>
  <c r="J25" i="1" a="1"/>
  <c r="J26" i="1" a="1"/>
  <c r="J27" i="1" a="1"/>
  <c r="J28" i="1" a="1"/>
  <c r="J29" i="1" a="1"/>
  <c r="J30" i="1" a="1"/>
  <c r="J31" i="1" a="1"/>
  <c r="J32" i="1" a="1"/>
  <c r="J33" i="1" a="1"/>
  <c r="J34" i="1" a="1"/>
  <c r="J35" i="1" a="1"/>
  <c r="J36" i="1" a="1"/>
  <c r="J37" i="1" a="1"/>
  <c r="J38" i="1" a="1"/>
  <c r="J39" i="1" a="1"/>
  <c r="J40" i="1" a="1"/>
  <c r="J41" i="1" a="1"/>
  <c r="J42" i="1" a="1"/>
  <c r="J43" i="1" a="1"/>
  <c r="J44" i="1" a="1"/>
  <c r="J45" i="1" a="1"/>
  <c r="J46" i="1" a="1"/>
  <c r="J47" i="1" a="1"/>
  <c r="J48" i="1" a="1"/>
  <c r="J49" i="1" a="1"/>
  <c r="J50" i="1" a="1"/>
  <c r="J51" i="1" a="1"/>
  <c r="J52" i="1" a="1"/>
  <c r="J53" i="1" a="1"/>
  <c r="J54" i="1" a="1"/>
  <c r="J55" i="1" a="1"/>
  <c r="J56" i="1" a="1"/>
  <c r="J57" i="1" a="1"/>
  <c r="J58" i="1" a="1"/>
  <c r="J59" i="1" a="1"/>
  <c r="J60" i="1" a="1"/>
  <c r="J61" i="1" a="1"/>
  <c r="J62" i="1" a="1"/>
  <c r="J63" i="1" a="1"/>
  <c r="J64" i="1" a="1"/>
  <c r="J65" i="1" a="1"/>
  <c r="J66" i="1" a="1"/>
  <c r="J67" i="1" a="1"/>
  <c r="J68" i="1" a="1"/>
  <c r="J69" i="1" a="1"/>
  <c r="J70" i="1" a="1"/>
  <c r="J71" i="1" a="1"/>
  <c r="J72" i="1" a="1"/>
  <c r="J73" i="1" a="1"/>
  <c r="J74" i="1" a="1"/>
  <c r="J75" i="1" a="1"/>
  <c r="J76" i="1" a="1"/>
  <c r="J77" i="1" a="1"/>
  <c r="J78" i="1" a="1"/>
  <c r="J79" i="1" a="1"/>
  <c r="J80" i="1" a="1"/>
  <c r="J81" i="1" a="1"/>
  <c r="J82" i="1" a="1"/>
  <c r="J83" i="1" a="1"/>
  <c r="J84" i="1" a="1"/>
  <c r="J85" i="1" a="1"/>
  <c r="J86" i="1" a="1"/>
  <c r="J87" i="1" a="1"/>
  <c r="J88" i="1" a="1"/>
  <c r="J89" i="1" a="1"/>
  <c r="J90" i="1" a="1"/>
  <c r="J91" i="1" a="1"/>
  <c r="J92" i="1" a="1"/>
  <c r="J93" i="1" a="1"/>
  <c r="J94" i="1" a="1"/>
  <c r="J95" i="1" a="1"/>
  <c r="J96" i="1" a="1"/>
  <c r="J97" i="1" a="1"/>
  <c r="J98" i="1" a="1"/>
  <c r="J99" i="1" a="1"/>
  <c r="J100" i="1" a="1"/>
  <c r="J101" i="1" a="1"/>
  <c r="J102" i="1" a="1"/>
  <c r="J103" i="1" a="1"/>
  <c r="J104" i="1" a="1"/>
  <c r="J105" i="1" a="1"/>
  <c r="J106" i="1" a="1"/>
  <c r="J107" i="1" a="1"/>
  <c r="J108" i="1" a="1"/>
  <c r="J109" i="1" a="1"/>
  <c r="J110" i="1" a="1"/>
  <c r="J111" i="1" a="1"/>
  <c r="J112" i="1" a="1"/>
  <c r="J113" i="1" a="1"/>
  <c r="J114" i="1" a="1"/>
  <c r="J115" i="1" a="1"/>
  <c r="J116" i="1" a="1"/>
  <c r="J117" i="1" a="1"/>
  <c r="J118" i="1" a="1"/>
  <c r="J119" i="1" a="1"/>
  <c r="J120" i="1" a="1"/>
  <c r="J121" i="1" a="1"/>
  <c r="J122" i="1" a="1"/>
  <c r="J123" i="1" a="1"/>
  <c r="J124" i="1" a="1"/>
  <c r="J125" i="1" a="1"/>
  <c r="J126" i="1" a="1"/>
  <c r="J127" i="1" a="1"/>
  <c r="J128" i="1" a="1"/>
  <c r="J129" i="1" a="1"/>
  <c r="J130" i="1" a="1"/>
  <c r="J131" i="1" a="1"/>
  <c r="J132" i="1" a="1"/>
  <c r="J133" i="1" a="1"/>
  <c r="J134" i="1" a="1"/>
  <c r="J135" i="1" a="1"/>
  <c r="J136" i="1" a="1"/>
  <c r="J137" i="1" a="1"/>
  <c r="J138" i="1" a="1"/>
  <c r="J139" i="1" a="1"/>
  <c r="J140" i="1" a="1"/>
  <c r="J141" i="1" a="1"/>
  <c r="J142" i="1" a="1"/>
  <c r="J143" i="1" a="1"/>
  <c r="J144" i="1" a="1"/>
  <c r="J145" i="1" a="1"/>
  <c r="J146" i="1" a="1"/>
  <c r="J147" i="1" a="1"/>
  <c r="J148" i="1" a="1"/>
  <c r="J149" i="1" a="1"/>
  <c r="J150" i="1" a="1"/>
  <c r="J151" i="1" a="1"/>
  <c r="J152" i="1" a="1"/>
  <c r="J153" i="1" a="1"/>
  <c r="J154" i="1" a="1"/>
  <c r="J155" i="1" a="1"/>
  <c r="J156" i="1" a="1"/>
  <c r="J157" i="1" a="1"/>
  <c r="J158" i="1" a="1"/>
  <c r="J159" i="1" a="1"/>
  <c r="J160" i="1" a="1"/>
  <c r="J161" i="1" a="1"/>
  <c r="J162" i="1" a="1"/>
  <c r="J163" i="1" a="1"/>
  <c r="J164" i="1" a="1"/>
  <c r="J165" i="1" a="1"/>
  <c r="J166" i="1" a="1"/>
  <c r="J167" i="1" a="1"/>
  <c r="J168" i="1" a="1"/>
  <c r="J169" i="1" a="1"/>
  <c r="J170" i="1" a="1"/>
  <c r="J171" i="1" a="1"/>
  <c r="J172" i="1" a="1"/>
  <c r="J173" i="1" a="1"/>
  <c r="J174" i="1" a="1"/>
  <c r="J175" i="1" a="1"/>
  <c r="J176" i="1" a="1"/>
  <c r="J177" i="1" a="1"/>
  <c r="J178" i="1" a="1"/>
  <c r="J179" i="1" a="1"/>
  <c r="J180" i="1" a="1"/>
  <c r="J181" i="1" a="1"/>
  <c r="J182" i="1" a="1"/>
  <c r="J183" i="1" a="1"/>
  <c r="J184" i="1" a="1"/>
  <c r="J185" i="1" a="1"/>
  <c r="J186" i="1" a="1"/>
  <c r="J187" i="1" a="1"/>
  <c r="J188" i="1" a="1"/>
  <c r="J189" i="1" a="1"/>
  <c r="J190" i="1" a="1"/>
  <c r="J191" i="1" a="1"/>
  <c r="J192" i="1" a="1"/>
  <c r="J193" i="1" a="1"/>
  <c r="J194" i="1" a="1"/>
  <c r="J195" i="1" a="1"/>
  <c r="J196" i="1" a="1"/>
  <c r="J197" i="1" a="1"/>
  <c r="J198" i="1" a="1"/>
  <c r="J199" i="1" a="1"/>
  <c r="J200" i="1" a="1"/>
  <c r="J201" i="1" a="1"/>
  <c r="J202" i="1" a="1"/>
  <c r="J203" i="1" a="1"/>
  <c r="J204" i="1" a="1"/>
  <c r="J205" i="1" a="1"/>
  <c r="J206" i="1" a="1"/>
  <c r="J207" i="1" a="1"/>
  <c r="J208" i="1" a="1"/>
  <c r="J209" i="1" a="1"/>
  <c r="J210" i="1" a="1"/>
  <c r="J211" i="1" a="1"/>
  <c r="J212" i="1" a="1"/>
  <c r="J213" i="1" a="1"/>
  <c r="J214" i="1" a="1"/>
  <c r="J215" i="1" a="1"/>
  <c r="J216" i="1" a="1"/>
  <c r="J217" i="1" a="1"/>
  <c r="J218" i="1" a="1"/>
  <c r="J219" i="1" a="1"/>
  <c r="J220" i="1" a="1"/>
  <c r="J221" i="1" a="1"/>
  <c r="J222" i="1" a="1"/>
  <c r="J223" i="1" a="1"/>
  <c r="J224" i="1" a="1"/>
  <c r="J225" i="1" a="1"/>
  <c r="J226" i="1" a="1"/>
  <c r="J227" i="1" a="1"/>
  <c r="J228" i="1" a="1"/>
  <c r="J229" i="1" a="1"/>
  <c r="J230" i="1" a="1"/>
  <c r="J231" i="1" a="1"/>
  <c r="J232" i="1" a="1"/>
  <c r="J233" i="1" a="1"/>
  <c r="J234" i="1" a="1"/>
  <c r="J235" i="1" a="1"/>
  <c r="J236" i="1" a="1"/>
  <c r="J237" i="1" a="1"/>
  <c r="J238" i="1" a="1"/>
  <c r="J239" i="1" a="1"/>
  <c r="J240" i="1" a="1"/>
  <c r="J241" i="1" a="1"/>
  <c r="J242" i="1" a="1"/>
  <c r="J243" i="1" a="1"/>
  <c r="J244" i="1" a="1"/>
  <c r="J245" i="1" a="1"/>
  <c r="J246" i="1" a="1"/>
  <c r="J247" i="1" a="1"/>
  <c r="J248" i="1" a="1"/>
  <c r="J249" i="1" a="1"/>
  <c r="J250" i="1" a="1"/>
  <c r="J251" i="1" a="1"/>
  <c r="J252" i="1" a="1"/>
  <c r="J253" i="1" a="1"/>
  <c r="J254" i="1" a="1"/>
  <c r="J255" i="1" a="1"/>
  <c r="J256" i="1" a="1"/>
  <c r="J257" i="1" a="1"/>
  <c r="J258" i="1" a="1"/>
  <c r="J259" i="1" a="1"/>
  <c r="J260" i="1" a="1"/>
  <c r="J261" i="1" a="1"/>
  <c r="J262" i="1" a="1"/>
  <c r="J263" i="1" a="1"/>
  <c r="J264" i="1" a="1"/>
  <c r="J265" i="1" a="1"/>
  <c r="J266" i="1" a="1"/>
  <c r="J267" i="1" a="1"/>
  <c r="J268" i="1" a="1"/>
  <c r="J269" i="1" a="1"/>
  <c r="J270" i="1" a="1"/>
  <c r="J271" i="1" a="1"/>
  <c r="J272" i="1" a="1"/>
  <c r="J273" i="1" a="1"/>
  <c r="J274" i="1" a="1"/>
  <c r="J275" i="1" a="1"/>
  <c r="J276" i="1" a="1"/>
  <c r="J277" i="1" a="1"/>
  <c r="J278" i="1" a="1"/>
  <c r="J279" i="1" a="1"/>
  <c r="J280" i="1" a="1"/>
  <c r="J281" i="1" a="1"/>
  <c r="J282" i="1" a="1"/>
  <c r="J283" i="1" a="1"/>
  <c r="J284" i="1" a="1"/>
  <c r="J285" i="1" a="1"/>
  <c r="J286" i="1" a="1"/>
  <c r="J287" i="1" a="1"/>
  <c r="J288" i="1" a="1"/>
  <c r="J289" i="1" a="1"/>
  <c r="J290" i="1" a="1"/>
  <c r="J291" i="1" a="1"/>
  <c r="J292" i="1" a="1"/>
  <c r="J293" i="1" a="1"/>
  <c r="J294" i="1" a="1"/>
  <c r="J295" i="1" a="1"/>
  <c r="J296" i="1" a="1"/>
  <c r="J297" i="1" a="1"/>
  <c r="J298" i="1" a="1"/>
  <c r="J299" i="1" a="1"/>
  <c r="J300" i="1" a="1"/>
  <c r="J301" i="1" a="1"/>
  <c r="J302" i="1" a="1"/>
  <c r="J303" i="1" a="1"/>
  <c r="J304" i="1" a="1"/>
  <c r="J305" i="1" a="1"/>
  <c r="J306" i="1" a="1"/>
  <c r="J307" i="1" a="1"/>
  <c r="J308" i="1" a="1"/>
  <c r="J309" i="1" a="1"/>
  <c r="J310" i="1" a="1"/>
  <c r="J311" i="1" a="1"/>
  <c r="J312" i="1" a="1"/>
  <c r="J313" i="1" a="1"/>
  <c r="J314" i="1" a="1"/>
  <c r="J315" i="1" a="1"/>
  <c r="J316" i="1" a="1"/>
  <c r="J317" i="1" a="1"/>
  <c r="J318" i="1" a="1"/>
  <c r="J319" i="1" a="1"/>
  <c r="J320" i="1" a="1"/>
  <c r="J321" i="1" a="1"/>
  <c r="J322" i="1" a="1"/>
  <c r="J323" i="1" a="1"/>
  <c r="J324" i="1" a="1"/>
  <c r="J325" i="1" a="1"/>
  <c r="J326" i="1" a="1"/>
  <c r="J327" i="1" a="1"/>
  <c r="J328" i="1" a="1"/>
  <c r="J329" i="1" a="1"/>
  <c r="J330" i="1" a="1"/>
  <c r="J331" i="1" a="1"/>
  <c r="J332" i="1" a="1"/>
  <c r="J333" i="1" a="1"/>
  <c r="J334" i="1" a="1"/>
  <c r="J335" i="1" a="1"/>
  <c r="J336" i="1" a="1"/>
  <c r="J337" i="1" a="1"/>
  <c r="J338" i="1" a="1"/>
  <c r="J339" i="1" a="1"/>
  <c r="J340" i="1" a="1"/>
  <c r="J341" i="1" a="1"/>
  <c r="J342" i="1" a="1"/>
  <c r="J343" i="1" a="1"/>
  <c r="J344" i="1" a="1"/>
  <c r="J345" i="1" a="1"/>
  <c r="J346" i="1" a="1"/>
  <c r="J347" i="1" a="1"/>
  <c r="J348" i="1" a="1"/>
  <c r="J349" i="1" a="1"/>
  <c r="J350" i="1" a="1"/>
  <c r="J351" i="1" a="1"/>
  <c r="J352" i="1" a="1"/>
  <c r="J353" i="1" a="1"/>
  <c r="J354" i="1" a="1"/>
  <c r="J355" i="1" a="1"/>
  <c r="J356" i="1" a="1"/>
  <c r="J357" i="1" a="1"/>
  <c r="J358" i="1" a="1"/>
  <c r="J359" i="1" a="1"/>
  <c r="J360" i="1" a="1"/>
  <c r="J361" i="1" a="1"/>
  <c r="J362" i="1" a="1"/>
  <c r="J363" i="1" a="1"/>
  <c r="J364" i="1" a="1"/>
  <c r="J365" i="1" a="1"/>
  <c r="J366" i="1" a="1"/>
  <c r="J367" i="1" a="1"/>
  <c r="J368" i="1" a="1"/>
  <c r="J369" i="1" a="1"/>
  <c r="J370" i="1" a="1"/>
  <c r="J371" i="1" a="1"/>
  <c r="J372" i="1" a="1"/>
  <c r="J373" i="1" a="1"/>
  <c r="J374" i="1" a="1"/>
  <c r="J375" i="1" a="1"/>
  <c r="J376" i="1" a="1"/>
  <c r="J377" i="1" a="1"/>
  <c r="J378" i="1" a="1"/>
  <c r="J379" i="1" a="1"/>
  <c r="J380" i="1" a="1"/>
  <c r="J381" i="1" a="1"/>
  <c r="J382" i="1" a="1"/>
  <c r="J383" i="1" a="1"/>
  <c r="J384" i="1" a="1"/>
  <c r="J385" i="1" a="1"/>
  <c r="J386" i="1" a="1"/>
  <c r="J387" i="1" a="1"/>
  <c r="J388" i="1" a="1"/>
  <c r="J389" i="1" a="1"/>
  <c r="J390" i="1" a="1"/>
  <c r="J391" i="1" a="1"/>
  <c r="J392" i="1" a="1"/>
  <c r="J393" i="1" a="1"/>
  <c r="J394" i="1" a="1"/>
  <c r="J395" i="1" a="1"/>
  <c r="J396" i="1" a="1"/>
  <c r="J397" i="1" a="1"/>
  <c r="J398" i="1" a="1"/>
  <c r="J399" i="1" a="1"/>
  <c r="J400" i="1" a="1"/>
  <c r="J401" i="1" a="1"/>
  <c r="J402" i="1" a="1"/>
  <c r="J403" i="1" a="1"/>
  <c r="J404" i="1" a="1"/>
  <c r="J405" i="1" a="1"/>
  <c r="J406" i="1" a="1"/>
  <c r="J407" i="1" a="1"/>
  <c r="J408" i="1" a="1"/>
  <c r="J409" i="1" a="1"/>
  <c r="J410" i="1" a="1"/>
  <c r="J411" i="1" a="1"/>
  <c r="J412" i="1" a="1"/>
  <c r="J413" i="1" a="1"/>
  <c r="J414" i="1" a="1"/>
  <c r="J415" i="1" a="1"/>
  <c r="J416" i="1" a="1"/>
  <c r="J417" i="1" a="1"/>
  <c r="J418" i="1" a="1"/>
  <c r="J419" i="1" a="1"/>
  <c r="J420" i="1" a="1"/>
  <c r="J421" i="1" a="1"/>
  <c r="J422" i="1" a="1"/>
  <c r="J423" i="1" a="1"/>
  <c r="J424" i="1" a="1"/>
  <c r="J425" i="1" a="1"/>
  <c r="J426" i="1" a="1"/>
  <c r="J427" i="1" a="1"/>
  <c r="J428" i="1" a="1"/>
  <c r="J429" i="1" a="1"/>
  <c r="J430" i="1" a="1"/>
  <c r="J431" i="1" a="1"/>
  <c r="J432" i="1" a="1"/>
  <c r="J433" i="1" a="1"/>
  <c r="J434" i="1" a="1"/>
  <c r="J435" i="1" a="1"/>
  <c r="J436" i="1" a="1"/>
  <c r="J437" i="1" a="1"/>
  <c r="J438" i="1" a="1"/>
  <c r="J439" i="1" a="1"/>
  <c r="J440" i="1" a="1"/>
  <c r="J441" i="1" a="1"/>
  <c r="J442" i="1" a="1"/>
  <c r="J443" i="1" a="1"/>
  <c r="J444" i="1" a="1"/>
  <c r="J445" i="1" a="1"/>
  <c r="J446" i="1" a="1"/>
  <c r="J447" i="1" a="1"/>
  <c r="J448" i="1" a="1"/>
  <c r="J449" i="1" a="1"/>
  <c r="J450" i="1" a="1"/>
  <c r="J451" i="1" a="1"/>
  <c r="J452" i="1" a="1"/>
  <c r="J453" i="1" a="1"/>
  <c r="J454" i="1" a="1"/>
  <c r="J455" i="1" a="1"/>
  <c r="J456" i="1" a="1"/>
  <c r="J457" i="1" a="1"/>
  <c r="J458" i="1" a="1"/>
  <c r="J459" i="1" a="1"/>
  <c r="J460" i="1" a="1"/>
  <c r="J461" i="1" a="1"/>
  <c r="J462" i="1" a="1"/>
  <c r="J463" i="1" a="1"/>
  <c r="J464" i="1" a="1"/>
  <c r="J465" i="1" a="1"/>
  <c r="J466" i="1" a="1"/>
  <c r="J467" i="1" a="1"/>
  <c r="J468" i="1" a="1"/>
  <c r="J469" i="1" a="1"/>
  <c r="J470" i="1" a="1"/>
  <c r="J471" i="1" a="1"/>
  <c r="J472" i="1" a="1"/>
  <c r="J473" i="1" a="1"/>
  <c r="J474" i="1" a="1"/>
  <c r="J475" i="1" a="1"/>
  <c r="J476" i="1" a="1"/>
  <c r="J477" i="1" a="1"/>
  <c r="J478" i="1" a="1"/>
  <c r="J479" i="1" a="1"/>
  <c r="J480" i="1" a="1"/>
  <c r="J481" i="1" a="1"/>
  <c r="J482" i="1" a="1"/>
  <c r="J483" i="1" a="1"/>
  <c r="J484" i="1" a="1"/>
  <c r="J485" i="1" a="1"/>
  <c r="J486" i="1" a="1"/>
  <c r="J487" i="1" a="1"/>
  <c r="J488" i="1" a="1"/>
  <c r="J489" i="1" a="1"/>
  <c r="J490" i="1" a="1"/>
  <c r="J491" i="1" a="1"/>
  <c r="J492" i="1" a="1"/>
  <c r="J493" i="1" a="1"/>
  <c r="J494" i="1" a="1"/>
  <c r="J495" i="1" a="1"/>
  <c r="J496" i="1" a="1"/>
  <c r="J497" i="1" a="1"/>
  <c r="J498" i="1" a="1"/>
  <c r="J499" i="1" a="1"/>
  <c r="J500" i="1" a="1"/>
  <c r="J501" i="1" a="1"/>
  <c r="J502" i="1" a="1"/>
  <c r="J503" i="1" a="1"/>
  <c r="J504" i="1" a="1"/>
  <c r="J505" i="1" a="1"/>
  <c r="J506" i="1" a="1"/>
  <c r="J507" i="1" a="1"/>
  <c r="J508" i="1" a="1"/>
  <c r="J509" i="1" a="1"/>
  <c r="J510" i="1" a="1"/>
  <c r="J511" i="1" a="1"/>
  <c r="J512" i="1" a="1"/>
  <c r="J513" i="1" a="1"/>
  <c r="J514" i="1" a="1"/>
  <c r="J515" i="1" a="1"/>
  <c r="J516" i="1" a="1"/>
  <c r="J517" i="1" a="1"/>
  <c r="J518" i="1" a="1"/>
  <c r="J519" i="1" a="1"/>
  <c r="J520" i="1" a="1"/>
  <c r="J521" i="1" a="1"/>
  <c r="J522" i="1" a="1"/>
  <c r="J523" i="1" a="1"/>
  <c r="J524" i="1" a="1"/>
  <c r="J525" i="1" a="1"/>
  <c r="J526" i="1" a="1"/>
  <c r="J527" i="1" a="1"/>
  <c r="J528" i="1" a="1"/>
  <c r="J529" i="1" a="1"/>
  <c r="J530" i="1" a="1"/>
  <c r="J531" i="1" a="1"/>
  <c r="J532" i="1" a="1"/>
  <c r="J533" i="1" a="1"/>
  <c r="J534" i="1" a="1"/>
  <c r="J535" i="1" a="1"/>
  <c r="J536" i="1" a="1"/>
  <c r="J537" i="1" a="1"/>
  <c r="J538" i="1" a="1"/>
  <c r="J539" i="1" a="1"/>
  <c r="J540" i="1" a="1"/>
  <c r="J541" i="1" a="1"/>
  <c r="J542" i="1" a="1"/>
  <c r="J543" i="1" a="1"/>
  <c r="J544" i="1" a="1"/>
  <c r="J545" i="1" a="1"/>
  <c r="J546" i="1" a="1"/>
  <c r="J547" i="1" a="1"/>
  <c r="J548" i="1" a="1"/>
  <c r="J549" i="1" a="1"/>
  <c r="J550" i="1" a="1"/>
  <c r="J551" i="1" a="1"/>
  <c r="J552" i="1" a="1"/>
  <c r="J553" i="1" a="1"/>
  <c r="J554" i="1" a="1"/>
  <c r="J555" i="1" a="1"/>
  <c r="J556" i="1" a="1"/>
  <c r="J557" i="1" a="1"/>
  <c r="J558" i="1" a="1"/>
  <c r="J559" i="1" a="1"/>
  <c r="J560" i="1" a="1"/>
  <c r="J561" i="1" a="1"/>
  <c r="J562" i="1" a="1"/>
  <c r="J563" i="1" a="1"/>
  <c r="J564" i="1" a="1"/>
  <c r="J565" i="1" a="1"/>
  <c r="J566" i="1" a="1"/>
  <c r="J567" i="1" a="1"/>
  <c r="J568" i="1" a="1"/>
  <c r="J569" i="1" a="1"/>
  <c r="J570" i="1" a="1"/>
  <c r="J571" i="1" a="1"/>
  <c r="J572" i="1" a="1"/>
  <c r="J573" i="1" a="1"/>
  <c r="J574" i="1" a="1"/>
  <c r="J575" i="1" a="1"/>
  <c r="J576" i="1" a="1"/>
  <c r="J577" i="1" a="1"/>
  <c r="J578" i="1" a="1"/>
  <c r="J579" i="1" a="1"/>
  <c r="J580" i="1" a="1"/>
  <c r="J581" i="1" a="1"/>
  <c r="J582" i="1" a="1"/>
  <c r="J583" i="1" a="1"/>
  <c r="J584" i="1" a="1"/>
  <c r="J585" i="1" a="1"/>
  <c r="J586" i="1" a="1"/>
  <c r="J587" i="1" a="1"/>
  <c r="J588" i="1" a="1"/>
  <c r="J589" i="1" a="1"/>
  <c r="J590" i="1" a="1"/>
  <c r="J591" i="1" a="1"/>
  <c r="J592" i="1" a="1"/>
  <c r="J593" i="1" a="1"/>
  <c r="J594" i="1" a="1"/>
  <c r="J595" i="1" a="1"/>
  <c r="J596" i="1" a="1"/>
  <c r="J597" i="1" a="1"/>
  <c r="J598" i="1" a="1"/>
  <c r="J599" i="1" a="1"/>
  <c r="J600" i="1" a="1"/>
  <c r="J601" i="1" a="1"/>
  <c r="J602" i="1" a="1"/>
  <c r="J603" i="1" a="1"/>
  <c r="J604" i="1" a="1"/>
  <c r="J605" i="1" a="1"/>
  <c r="J606" i="1" a="1"/>
  <c r="J607" i="1" a="1"/>
  <c r="J608" i="1" a="1"/>
  <c r="J609" i="1" a="1"/>
  <c r="J610" i="1" a="1"/>
  <c r="J611" i="1" a="1"/>
  <c r="J612" i="1" a="1"/>
  <c r="J613" i="1" a="1"/>
  <c r="J614" i="1" a="1"/>
  <c r="J615" i="1" a="1"/>
  <c r="J616" i="1" a="1"/>
  <c r="J617" i="1" a="1"/>
  <c r="J618" i="1" a="1"/>
  <c r="J619" i="1" a="1"/>
  <c r="J620" i="1" a="1"/>
  <c r="J621" i="1" a="1"/>
  <c r="J622" i="1" a="1"/>
  <c r="J623" i="1" a="1"/>
  <c r="J624" i="1" a="1"/>
  <c r="J625" i="1" a="1"/>
  <c r="J626" i="1" a="1"/>
  <c r="J627" i="1" a="1"/>
  <c r="J628" i="1" a="1"/>
  <c r="J629" i="1" a="1"/>
  <c r="J630" i="1" a="1"/>
  <c r="J631" i="1" a="1"/>
  <c r="J632" i="1" a="1"/>
  <c r="J633" i="1" a="1"/>
  <c r="J634" i="1" a="1"/>
  <c r="J635" i="1" a="1"/>
  <c r="J636" i="1" a="1"/>
  <c r="J637" i="1" a="1"/>
  <c r="J638" i="1" a="1"/>
  <c r="J639" i="1" a="1"/>
  <c r="J640" i="1" a="1"/>
  <c r="J641" i="1" a="1"/>
  <c r="J642" i="1" a="1"/>
  <c r="J643" i="1" a="1"/>
  <c r="J644" i="1" a="1"/>
  <c r="J645" i="1" a="1"/>
  <c r="J646" i="1" a="1"/>
  <c r="J647" i="1" a="1"/>
  <c r="J648" i="1" a="1"/>
  <c r="J649" i="1" a="1"/>
  <c r="J650" i="1" a="1"/>
  <c r="J651" i="1" a="1"/>
  <c r="J652" i="1" a="1"/>
  <c r="J653" i="1" a="1"/>
  <c r="J654" i="1" a="1"/>
  <c r="J655" i="1" a="1"/>
  <c r="J656" i="1" a="1"/>
  <c r="J657" i="1" a="1"/>
  <c r="J658" i="1" a="1"/>
  <c r="J659" i="1" a="1"/>
  <c r="J660" i="1" a="1"/>
  <c r="J661" i="1" a="1"/>
  <c r="J662" i="1" a="1"/>
  <c r="J663" i="1" a="1"/>
  <c r="J664" i="1" a="1"/>
  <c r="J665" i="1" a="1"/>
  <c r="J666" i="1" a="1"/>
  <c r="J667" i="1" a="1"/>
  <c r="J668" i="1" a="1"/>
  <c r="J669" i="1" a="1"/>
  <c r="J670" i="1" a="1"/>
  <c r="J671" i="1" a="1"/>
  <c r="J672" i="1" a="1"/>
  <c r="J673" i="1" a="1"/>
  <c r="J674" i="1" a="1"/>
  <c r="J675" i="1" a="1"/>
  <c r="J676" i="1" a="1"/>
  <c r="J677" i="1" a="1"/>
  <c r="J678" i="1" a="1"/>
  <c r="J679" i="1" a="1"/>
  <c r="J680" i="1" a="1"/>
  <c r="J681" i="1" a="1"/>
  <c r="J682" i="1" a="1"/>
  <c r="J683" i="1" a="1"/>
  <c r="J684" i="1" a="1"/>
  <c r="J685" i="1" a="1"/>
  <c r="J686" i="1" a="1"/>
  <c r="J687" i="1" a="1"/>
  <c r="J688" i="1" a="1"/>
  <c r="J689" i="1" a="1"/>
  <c r="J690" i="1" a="1"/>
  <c r="J691" i="1" a="1"/>
  <c r="J692" i="1" a="1"/>
  <c r="J693" i="1" a="1"/>
  <c r="J694" i="1" a="1"/>
  <c r="J695" i="1" a="1"/>
  <c r="J696" i="1" a="1"/>
  <c r="J697" i="1" a="1"/>
  <c r="J698" i="1" a="1"/>
  <c r="J699" i="1" a="1"/>
  <c r="J700" i="1" a="1"/>
  <c r="J701" i="1" a="1"/>
  <c r="J702" i="1" a="1"/>
  <c r="J703" i="1" a="1"/>
  <c r="J704" i="1" a="1"/>
  <c r="J705" i="1" a="1"/>
  <c r="J706" i="1" a="1"/>
  <c r="J707" i="1" a="1"/>
  <c r="J708" i="1" a="1"/>
  <c r="J709" i="1" a="1"/>
  <c r="J710" i="1" a="1"/>
  <c r="J711" i="1" a="1"/>
  <c r="J712" i="1" a="1"/>
  <c r="J713" i="1" a="1"/>
  <c r="J714" i="1" a="1"/>
  <c r="J715" i="1" a="1"/>
  <c r="J716" i="1" a="1"/>
  <c r="J717" i="1" a="1"/>
  <c r="J718" i="1" a="1"/>
  <c r="J719" i="1" a="1"/>
  <c r="J720" i="1" a="1"/>
  <c r="J721" i="1" a="1"/>
  <c r="J722" i="1" a="1"/>
  <c r="J723" i="1" a="1"/>
  <c r="J724" i="1" a="1"/>
  <c r="J725" i="1" a="1"/>
  <c r="J726" i="1" a="1"/>
  <c r="J727" i="1" a="1"/>
  <c r="J728" i="1" a="1"/>
  <c r="J729" i="1" a="1"/>
  <c r="J730" i="1" a="1"/>
  <c r="J731" i="1" a="1"/>
  <c r="J732" i="1" a="1"/>
  <c r="J733" i="1" a="1"/>
  <c r="J734" i="1" a="1"/>
  <c r="J735" i="1" a="1"/>
  <c r="J736" i="1" a="1"/>
  <c r="J737" i="1" a="1"/>
  <c r="J738" i="1" a="1"/>
  <c r="J739" i="1" a="1"/>
  <c r="J740" i="1" a="1"/>
  <c r="J741" i="1" a="1"/>
  <c r="J742" i="1" a="1"/>
  <c r="J743" i="1" a="1"/>
  <c r="J744" i="1" a="1"/>
  <c r="J745" i="1" a="1"/>
  <c r="J746" i="1" a="1"/>
  <c r="J747" i="1" a="1"/>
  <c r="J748" i="1" a="1"/>
  <c r="J749" i="1" a="1"/>
  <c r="J750" i="1" a="1"/>
  <c r="J751" i="1" a="1"/>
  <c r="J752" i="1" a="1"/>
  <c r="J753" i="1" a="1"/>
  <c r="J754" i="1" a="1"/>
  <c r="J755" i="1" a="1"/>
  <c r="J756" i="1" a="1"/>
  <c r="J757" i="1" a="1"/>
  <c r="J758" i="1" a="1"/>
  <c r="J759" i="1" a="1"/>
  <c r="J760" i="1" a="1"/>
  <c r="J761" i="1" a="1"/>
  <c r="J762" i="1" a="1"/>
  <c r="J763" i="1" a="1"/>
  <c r="J764" i="1" a="1"/>
  <c r="J765" i="1" a="1"/>
  <c r="J766" i="1" a="1"/>
  <c r="J767" i="1" a="1"/>
  <c r="J768" i="1" a="1"/>
  <c r="J769" i="1" a="1"/>
  <c r="J770" i="1" a="1"/>
  <c r="J771" i="1" a="1"/>
  <c r="J772" i="1" a="1"/>
  <c r="J773" i="1" a="1"/>
  <c r="J774" i="1" a="1"/>
  <c r="J775" i="1" a="1"/>
  <c r="J776" i="1" a="1"/>
  <c r="J777" i="1" a="1"/>
  <c r="J778" i="1" a="1"/>
  <c r="J779" i="1" a="1"/>
  <c r="J780" i="1" a="1"/>
  <c r="J781" i="1" a="1"/>
  <c r="J782" i="1" a="1"/>
  <c r="J783" i="1" a="1"/>
  <c r="J784" i="1" a="1"/>
  <c r="J785" i="1" a="1"/>
  <c r="J786" i="1" a="1"/>
  <c r="J787" i="1" a="1"/>
  <c r="J788" i="1" a="1"/>
  <c r="J789" i="1" a="1"/>
  <c r="J790" i="1" a="1"/>
  <c r="J791" i="1" a="1"/>
  <c r="J792" i="1" a="1"/>
  <c r="J793" i="1" a="1"/>
  <c r="J794" i="1" a="1"/>
  <c r="J795" i="1" a="1"/>
  <c r="J796" i="1" a="1"/>
  <c r="J797" i="1" a="1"/>
  <c r="J798" i="1" a="1"/>
  <c r="J799" i="1" a="1"/>
  <c r="J800" i="1" a="1"/>
  <c r="J801" i="1" a="1"/>
  <c r="J802" i="1" a="1"/>
  <c r="J803" i="1" a="1"/>
  <c r="J804" i="1" a="1"/>
  <c r="J805" i="1" a="1"/>
  <c r="J806" i="1" a="1"/>
  <c r="J807" i="1" a="1"/>
  <c r="J808" i="1" a="1"/>
  <c r="J809" i="1" a="1"/>
  <c r="J810" i="1" a="1"/>
  <c r="J811" i="1" a="1"/>
  <c r="J812" i="1" a="1"/>
  <c r="J813" i="1" a="1"/>
  <c r="J814" i="1" a="1"/>
  <c r="J815" i="1" a="1"/>
  <c r="J816" i="1" a="1"/>
  <c r="J817" i="1" a="1"/>
  <c r="J818" i="1" a="1"/>
  <c r="J819" i="1" a="1"/>
  <c r="J820" i="1" a="1"/>
  <c r="J821" i="1" a="1"/>
  <c r="J822" i="1" a="1"/>
  <c r="J823" i="1" a="1"/>
  <c r="J824" i="1" a="1"/>
  <c r="J825" i="1" a="1"/>
  <c r="J826" i="1" a="1"/>
  <c r="J827" i="1" a="1"/>
  <c r="J828" i="1" a="1"/>
  <c r="J829" i="1" a="1"/>
  <c r="J830" i="1" a="1"/>
  <c r="J831" i="1" a="1"/>
  <c r="J832" i="1" a="1"/>
  <c r="J833" i="1" a="1"/>
  <c r="J834" i="1" a="1"/>
  <c r="J835" i="1" a="1"/>
  <c r="J836" i="1" a="1"/>
  <c r="J837" i="1" a="1"/>
  <c r="J838" i="1" a="1"/>
  <c r="J839" i="1" a="1"/>
  <c r="J840" i="1" a="1"/>
  <c r="J841" i="1" a="1"/>
  <c r="J842" i="1" a="1"/>
  <c r="J843" i="1" a="1"/>
  <c r="J844" i="1" a="1"/>
  <c r="J845" i="1" a="1"/>
  <c r="J846" i="1" a="1"/>
  <c r="J847" i="1" a="1"/>
  <c r="J848" i="1" a="1"/>
  <c r="J849" i="1" a="1"/>
  <c r="J850" i="1" a="1"/>
  <c r="J851" i="1" a="1"/>
  <c r="J852" i="1" a="1"/>
  <c r="J853" i="1" a="1"/>
  <c r="J854" i="1" a="1"/>
  <c r="J855" i="1" a="1"/>
  <c r="J856" i="1" a="1"/>
  <c r="J857" i="1" a="1"/>
  <c r="J858" i="1" a="1"/>
  <c r="J859" i="1" a="1"/>
  <c r="J860" i="1" a="1"/>
  <c r="J861" i="1" a="1"/>
  <c r="J862" i="1" a="1"/>
  <c r="J863" i="1" a="1"/>
  <c r="J864" i="1" a="1"/>
  <c r="J865" i="1" a="1"/>
  <c r="J866" i="1" a="1"/>
  <c r="J867" i="1" a="1"/>
  <c r="J868" i="1" a="1"/>
  <c r="J869" i="1" a="1"/>
  <c r="J870" i="1" a="1"/>
  <c r="J871" i="1" a="1"/>
  <c r="J872" i="1" a="1"/>
  <c r="J873" i="1" a="1"/>
  <c r="J874" i="1" a="1"/>
  <c r="J875" i="1" a="1"/>
  <c r="J876" i="1" a="1"/>
  <c r="J877" i="1" a="1"/>
  <c r="J878" i="1" a="1"/>
  <c r="J879" i="1" a="1"/>
  <c r="J880" i="1" a="1"/>
  <c r="J881" i="1" a="1"/>
  <c r="J882" i="1" a="1"/>
  <c r="J883" i="1" a="1"/>
  <c r="J884" i="1" a="1"/>
  <c r="J885" i="1" a="1"/>
  <c r="J886" i="1" a="1"/>
  <c r="J887" i="1" a="1"/>
  <c r="J888" i="1" a="1"/>
  <c r="J889" i="1" a="1"/>
  <c r="J890" i="1" a="1"/>
  <c r="J891" i="1" a="1"/>
  <c r="J892" i="1" a="1"/>
  <c r="J893" i="1" a="1"/>
  <c r="J894" i="1" a="1"/>
  <c r="J895" i="1" a="1"/>
  <c r="J896" i="1" a="1"/>
  <c r="J897" i="1" a="1"/>
  <c r="J898" i="1" a="1"/>
  <c r="J899" i="1" a="1"/>
  <c r="J900" i="1" a="1"/>
  <c r="J901" i="1" a="1"/>
  <c r="J902" i="1" a="1"/>
  <c r="J903" i="1" a="1"/>
  <c r="J904" i="1" a="1"/>
  <c r="J905" i="1" a="1"/>
  <c r="J906" i="1" a="1"/>
  <c r="J907" i="1" a="1"/>
  <c r="J908" i="1" a="1"/>
  <c r="J909" i="1" a="1"/>
  <c r="J910" i="1" a="1"/>
  <c r="J911" i="1" a="1"/>
  <c r="J912" i="1" a="1"/>
  <c r="J913" i="1" a="1"/>
  <c r="J914" i="1" a="1"/>
  <c r="J915" i="1" a="1"/>
  <c r="J916" i="1" a="1"/>
  <c r="J917" i="1" a="1"/>
  <c r="J918" i="1" a="1"/>
  <c r="J919" i="1" a="1"/>
  <c r="J920" i="1" a="1"/>
  <c r="J921" i="1" a="1"/>
  <c r="J922" i="1" a="1"/>
  <c r="J923" i="1" a="1"/>
  <c r="J924" i="1" a="1"/>
  <c r="J925" i="1" a="1"/>
  <c r="J926" i="1" a="1"/>
  <c r="J927" i="1" a="1"/>
  <c r="J928" i="1" a="1"/>
  <c r="J929" i="1" a="1"/>
  <c r="J930" i="1" a="1"/>
  <c r="J931" i="1" a="1"/>
  <c r="J932" i="1" a="1"/>
  <c r="J933" i="1" a="1"/>
  <c r="J934" i="1" a="1"/>
  <c r="J935" i="1" a="1"/>
  <c r="J936" i="1" a="1"/>
  <c r="J937" i="1" a="1"/>
  <c r="J938" i="1" a="1"/>
  <c r="J939" i="1" a="1"/>
  <c r="J940" i="1" a="1"/>
  <c r="J941" i="1" a="1"/>
  <c r="J942" i="1" a="1"/>
  <c r="J943" i="1" a="1"/>
  <c r="J944" i="1" a="1"/>
  <c r="J945" i="1" a="1"/>
  <c r="J946" i="1" a="1"/>
  <c r="J947" i="1" a="1"/>
  <c r="J948" i="1" a="1"/>
  <c r="J949" i="1" a="1"/>
  <c r="J950" i="1" a="1"/>
  <c r="J951" i="1" a="1"/>
  <c r="J952" i="1" a="1"/>
  <c r="J953" i="1" a="1"/>
  <c r="J954" i="1" a="1"/>
  <c r="J955" i="1" a="1"/>
  <c r="J956" i="1" a="1"/>
  <c r="J957" i="1" a="1"/>
  <c r="J958" i="1" a="1"/>
  <c r="J959" i="1" a="1"/>
  <c r="J960" i="1" a="1"/>
  <c r="J961" i="1" a="1"/>
  <c r="J962" i="1" a="1"/>
  <c r="J963" i="1" a="1"/>
  <c r="J964" i="1" a="1"/>
  <c r="J965" i="1" a="1"/>
  <c r="J966" i="1" a="1"/>
  <c r="J967" i="1" a="1"/>
  <c r="J968" i="1" a="1"/>
  <c r="J969" i="1" a="1"/>
  <c r="J970" i="1" a="1"/>
  <c r="J971" i="1" a="1"/>
  <c r="J972" i="1" a="1"/>
  <c r="J973" i="1" a="1"/>
  <c r="J974" i="1" a="1"/>
  <c r="J975" i="1" a="1"/>
  <c r="J976" i="1" a="1"/>
  <c r="J977" i="1" a="1"/>
  <c r="J978" i="1" a="1"/>
  <c r="J979" i="1" a="1"/>
  <c r="J980" i="1" a="1"/>
  <c r="J981" i="1" a="1"/>
  <c r="J982" i="1" a="1"/>
  <c r="J983" i="1" a="1"/>
  <c r="J984" i="1" a="1"/>
  <c r="J985" i="1" a="1"/>
  <c r="J986" i="1" a="1"/>
  <c r="J987" i="1" a="1"/>
  <c r="J988" i="1" a="1"/>
  <c r="J989" i="1" a="1"/>
  <c r="J990" i="1" a="1"/>
  <c r="J991" i="1" a="1"/>
  <c r="J992" i="1" a="1"/>
  <c r="J993" i="1" a="1"/>
  <c r="J994" i="1" a="1"/>
  <c r="J995" i="1" a="1"/>
  <c r="J996" i="1" a="1"/>
  <c r="J997" i="1" a="1"/>
  <c r="J998" i="1" a="1"/>
  <c r="J999" i="1" a="1"/>
  <c r="J1000" i="1" a="1"/>
  <c r="J1001" i="1" a="1"/>
  <c r="J1002" i="1" a="1"/>
  <c r="J1003" i="1" a="1"/>
  <c r="J1004" i="1" a="1"/>
  <c r="J1005" i="1" a="1"/>
  <c r="J1006" i="1" a="1"/>
  <c r="J1007" i="1" a="1"/>
  <c r="J1008" i="1" a="1"/>
  <c r="J1009" i="1" a="1"/>
  <c r="J1010" i="1" a="1"/>
  <c r="J1011" i="1" a="1"/>
  <c r="J1012" i="1" a="1"/>
  <c r="J1013" i="1" a="1"/>
  <c r="J1014" i="1" a="1"/>
  <c r="J1015" i="1" a="1"/>
  <c r="J1016" i="1" a="1"/>
  <c r="J1017" i="1" a="1"/>
  <c r="J1018" i="1" a="1"/>
  <c r="J1019" i="1" a="1"/>
  <c r="J1020" i="1" a="1"/>
  <c r="J1021" i="1" a="1"/>
  <c r="J1022" i="1" a="1"/>
  <c r="J1023" i="1" a="1"/>
  <c r="J1024" i="1" a="1"/>
  <c r="J1025" i="1" a="1"/>
  <c r="J1026" i="1" a="1"/>
  <c r="J1027" i="1" a="1"/>
  <c r="J1028" i="1" a="1"/>
  <c r="J1029" i="1" a="1"/>
  <c r="J1030" i="1" a="1"/>
  <c r="J1031" i="1" a="1"/>
  <c r="J1032" i="1" a="1"/>
  <c r="J1033" i="1" a="1"/>
  <c r="J1034" i="1" a="1"/>
  <c r="J1035" i="1" a="1"/>
  <c r="J1036" i="1" a="1"/>
  <c r="J1037" i="1" a="1"/>
  <c r="J1038" i="1" a="1"/>
  <c r="J1039" i="1" a="1"/>
  <c r="J1040" i="1" a="1"/>
  <c r="J1041" i="1" a="1"/>
  <c r="J1042" i="1" a="1"/>
  <c r="J1043" i="1" a="1"/>
  <c r="J1044" i="1" a="1"/>
  <c r="J1045" i="1" a="1"/>
  <c r="J1046" i="1" a="1"/>
  <c r="J1047" i="1" a="1"/>
  <c r="J1048" i="1" a="1"/>
  <c r="J1049" i="1" a="1"/>
  <c r="J1050" i="1" a="1"/>
  <c r="J1051" i="1" a="1"/>
  <c r="J1052" i="1" a="1"/>
  <c r="J1053" i="1" a="1"/>
  <c r="J1054" i="1" a="1"/>
  <c r="J1055" i="1" a="1"/>
  <c r="J1056" i="1" a="1"/>
  <c r="J1057" i="1" a="1"/>
  <c r="J1058" i="1" a="1"/>
  <c r="J1059" i="1" a="1"/>
  <c r="J1060" i="1" a="1"/>
  <c r="J1061" i="1" a="1"/>
  <c r="J1062" i="1" a="1"/>
  <c r="J1063" i="1" a="1"/>
  <c r="J1064" i="1" a="1"/>
  <c r="J1065" i="1" a="1"/>
  <c r="J1066" i="1" a="1"/>
  <c r="J1067" i="1" a="1"/>
  <c r="J1068" i="1" a="1"/>
  <c r="J1069" i="1" a="1"/>
  <c r="J1070" i="1" a="1"/>
  <c r="J1071" i="1" a="1"/>
  <c r="J1072" i="1" a="1"/>
  <c r="J1073" i="1" a="1"/>
  <c r="J1074" i="1" a="1"/>
  <c r="J1075" i="1" a="1"/>
  <c r="J1076" i="1" a="1"/>
  <c r="J1077" i="1" a="1"/>
  <c r="J1078" i="1" a="1"/>
  <c r="J1079" i="1" a="1"/>
  <c r="J1080" i="1" a="1"/>
  <c r="J1081" i="1" a="1"/>
  <c r="J1082" i="1" a="1"/>
  <c r="J1083" i="1" a="1"/>
  <c r="J1084" i="1" a="1"/>
  <c r="J1085" i="1" a="1"/>
  <c r="J1086" i="1" a="1"/>
  <c r="J1087" i="1" a="1"/>
  <c r="J1088" i="1" a="1"/>
  <c r="J1089" i="1" a="1"/>
  <c r="J1090" i="1" a="1"/>
  <c r="J1091" i="1" a="1"/>
  <c r="J1092" i="1" a="1"/>
  <c r="J1093" i="1" a="1"/>
  <c r="J1094" i="1" a="1"/>
  <c r="J1095" i="1" a="1"/>
  <c r="J1096" i="1" a="1"/>
  <c r="J1097" i="1" a="1"/>
  <c r="J1098" i="1" a="1"/>
  <c r="J1099" i="1" a="1"/>
  <c r="J1100" i="1" a="1"/>
  <c r="J1101" i="1" a="1"/>
  <c r="J1102" i="1" a="1"/>
  <c r="J1103" i="1" a="1"/>
  <c r="J1104" i="1" a="1"/>
  <c r="J1105" i="1" a="1"/>
  <c r="J1106" i="1" a="1"/>
  <c r="J1107" i="1" a="1"/>
  <c r="J1108" i="1" a="1"/>
  <c r="J1109" i="1" a="1"/>
  <c r="J1110" i="1" a="1"/>
  <c r="J1111" i="1" a="1"/>
  <c r="J1112" i="1" a="1"/>
  <c r="J1113" i="1" a="1"/>
  <c r="J1114" i="1" a="1"/>
  <c r="J1115" i="1" a="1"/>
  <c r="J1116" i="1" a="1"/>
  <c r="J1117" i="1" a="1"/>
  <c r="J1118" i="1" a="1"/>
  <c r="J1119" i="1" a="1"/>
  <c r="J1120" i="1" a="1"/>
  <c r="J1121" i="1" a="1"/>
  <c r="J1122" i="1" a="1"/>
  <c r="J1123" i="1" a="1"/>
  <c r="J1124" i="1" a="1"/>
  <c r="J1125" i="1" a="1"/>
  <c r="J1126" i="1" a="1"/>
  <c r="J1127" i="1" a="1"/>
  <c r="J1128" i="1" a="1"/>
  <c r="J1129" i="1" a="1"/>
  <c r="J1130" i="1" a="1"/>
  <c r="J1131" i="1" a="1"/>
  <c r="J1132" i="1" a="1"/>
  <c r="J1133" i="1" a="1"/>
  <c r="J1134" i="1" a="1"/>
  <c r="J1135" i="1" a="1"/>
  <c r="J1136" i="1" a="1"/>
  <c r="J1137" i="1" a="1"/>
  <c r="J1138" i="1" a="1"/>
  <c r="J1139" i="1" a="1"/>
  <c r="J1140" i="1" a="1"/>
  <c r="J1141" i="1" a="1"/>
  <c r="J1142" i="1" a="1"/>
  <c r="J1143" i="1" a="1"/>
  <c r="J1144" i="1" a="1"/>
  <c r="J1145" i="1" a="1"/>
  <c r="J1146" i="1" a="1"/>
  <c r="J1147" i="1" a="1"/>
  <c r="J1148" i="1" a="1"/>
  <c r="J1149" i="1" a="1"/>
  <c r="J1150" i="1" a="1"/>
  <c r="J1151" i="1" a="1"/>
  <c r="J1152" i="1" a="1"/>
  <c r="J1153" i="1" a="1"/>
  <c r="J1154" i="1" a="1"/>
  <c r="J1155" i="1" a="1"/>
  <c r="J1156" i="1" a="1"/>
  <c r="J1157" i="1" a="1"/>
  <c r="J1158" i="1" a="1"/>
  <c r="J1159" i="1" a="1"/>
  <c r="J1160" i="1" a="1"/>
  <c r="J1161" i="1" a="1"/>
  <c r="J1162" i="1" a="1"/>
  <c r="J1163" i="1" a="1"/>
  <c r="J1164" i="1" a="1"/>
  <c r="J1165" i="1" a="1"/>
  <c r="J1166" i="1" a="1"/>
  <c r="J1167" i="1" a="1"/>
  <c r="J1168" i="1" a="1"/>
  <c r="J1169" i="1" a="1"/>
  <c r="J1170" i="1" a="1"/>
  <c r="J1171" i="1" a="1"/>
  <c r="J1172" i="1" a="1"/>
  <c r="J1173" i="1" a="1"/>
  <c r="J1174" i="1" a="1"/>
  <c r="J1175" i="1" a="1"/>
  <c r="J1176" i="1" a="1"/>
  <c r="J1177" i="1" a="1"/>
  <c r="J1178" i="1" a="1"/>
  <c r="J1179" i="1" a="1"/>
  <c r="J1180" i="1" a="1"/>
  <c r="J1181" i="1" a="1"/>
  <c r="J1182" i="1" a="1"/>
  <c r="J1183" i="1" a="1"/>
  <c r="J1184" i="1" a="1"/>
  <c r="J1185" i="1" a="1"/>
  <c r="J1186" i="1" a="1"/>
  <c r="J1187" i="1" a="1"/>
  <c r="J1188" i="1" a="1"/>
  <c r="J1189" i="1" a="1"/>
  <c r="J1190" i="1" a="1"/>
  <c r="J1191" i="1" a="1"/>
  <c r="J1192" i="1" a="1"/>
  <c r="J1193" i="1" a="1"/>
  <c r="J1194" i="1" a="1"/>
  <c r="J1195" i="1" a="1"/>
  <c r="J1196" i="1" a="1"/>
  <c r="J1197" i="1" a="1"/>
  <c r="J1198" i="1" a="1"/>
  <c r="J1199" i="1" a="1"/>
  <c r="J1200" i="1" a="1"/>
  <c r="J1201" i="1" a="1"/>
  <c r="J1202" i="1" a="1"/>
  <c r="J1203" i="1" a="1"/>
  <c r="J1204" i="1" a="1"/>
  <c r="J1205" i="1" a="1"/>
  <c r="J1206" i="1" a="1"/>
  <c r="J1207" i="1" a="1"/>
  <c r="J1208" i="1" a="1"/>
  <c r="J1209" i="1" a="1"/>
  <c r="J1210" i="1" a="1"/>
  <c r="J1211" i="1" a="1"/>
  <c r="J1212" i="1" a="1"/>
  <c r="J1213" i="1" a="1"/>
  <c r="J1214" i="1" a="1"/>
  <c r="J1215" i="1" a="1"/>
  <c r="J1216" i="1" a="1"/>
  <c r="J1217" i="1" a="1"/>
  <c r="J1218" i="1" a="1"/>
  <c r="J1219" i="1" a="1"/>
  <c r="J1220" i="1" a="1"/>
  <c r="J1221" i="1" a="1"/>
  <c r="J1222" i="1" a="1"/>
  <c r="J1223" i="1" a="1"/>
  <c r="J1224" i="1" a="1"/>
  <c r="J1225" i="1" a="1"/>
  <c r="J1226" i="1" a="1"/>
  <c r="J1227" i="1" a="1"/>
  <c r="J1228" i="1" a="1"/>
  <c r="J1229" i="1" a="1"/>
  <c r="J1230" i="1" a="1"/>
  <c r="J1231" i="1" a="1"/>
  <c r="J1232" i="1" a="1"/>
  <c r="J1233" i="1" a="1"/>
  <c r="J1234" i="1" a="1"/>
  <c r="J1235" i="1" a="1"/>
  <c r="J1236" i="1" a="1"/>
  <c r="J1237" i="1" a="1"/>
  <c r="J1238" i="1" a="1"/>
  <c r="J1239" i="1" a="1"/>
  <c r="J1240" i="1" a="1"/>
  <c r="J1241" i="1" a="1"/>
  <c r="J1242" i="1" a="1"/>
  <c r="J1243" i="1" a="1"/>
  <c r="J1244" i="1" a="1"/>
  <c r="J1245" i="1" a="1"/>
  <c r="J1246" i="1" a="1"/>
  <c r="J1247" i="1" a="1"/>
  <c r="J1248" i="1" a="1"/>
  <c r="J1249" i="1" a="1"/>
  <c r="J1250" i="1" a="1"/>
  <c r="J1251" i="1" a="1"/>
  <c r="J1252" i="1" a="1"/>
  <c r="J1253" i="1" a="1"/>
  <c r="J1254" i="1" a="1"/>
  <c r="J1255" i="1" a="1"/>
  <c r="J1256" i="1" a="1"/>
  <c r="J1257" i="1" a="1"/>
  <c r="J1258" i="1" a="1"/>
  <c r="J1259" i="1" a="1"/>
  <c r="J1260" i="1" a="1"/>
  <c r="J1261" i="1" a="1"/>
  <c r="J1262" i="1" a="1"/>
  <c r="J1263" i="1" a="1"/>
  <c r="J1264" i="1" a="1"/>
  <c r="J1265" i="1" a="1"/>
  <c r="J1266" i="1" a="1"/>
  <c r="J1267" i="1" a="1"/>
  <c r="J1268" i="1" a="1"/>
  <c r="J1269" i="1" a="1"/>
  <c r="J1270" i="1" a="1"/>
  <c r="J1271" i="1" a="1"/>
  <c r="J1272" i="1" a="1"/>
  <c r="J1273" i="1" a="1"/>
  <c r="J1274" i="1" a="1"/>
  <c r="J1275" i="1" a="1"/>
  <c r="J1276" i="1" a="1"/>
  <c r="J1277" i="1" a="1"/>
  <c r="J1278" i="1" a="1"/>
  <c r="J1279" i="1" a="1"/>
  <c r="J1280" i="1" a="1"/>
  <c r="J1281" i="1" a="1"/>
  <c r="J1282" i="1" a="1"/>
  <c r="J1283" i="1" a="1"/>
  <c r="J1284" i="1" a="1"/>
  <c r="J1285" i="1" a="1"/>
  <c r="J1286" i="1" a="1"/>
  <c r="J1287" i="1" a="1"/>
  <c r="J1288" i="1" a="1"/>
  <c r="J1289" i="1" a="1"/>
  <c r="J1290" i="1" a="1"/>
  <c r="J1291" i="1" a="1"/>
  <c r="J1292" i="1" a="1"/>
  <c r="J1293" i="1" a="1"/>
  <c r="J1294" i="1" a="1"/>
  <c r="J1295" i="1" a="1"/>
  <c r="J1296" i="1" a="1"/>
  <c r="J1297" i="1" a="1"/>
  <c r="J1298" i="1" a="1"/>
  <c r="J1299" i="1" a="1"/>
  <c r="J1300" i="1" a="1"/>
  <c r="J1301" i="1" a="1"/>
  <c r="J1302" i="1" a="1"/>
  <c r="J1303" i="1" a="1"/>
  <c r="J1304" i="1" a="1"/>
  <c r="J1305" i="1" a="1"/>
  <c r="J1306" i="1" a="1"/>
  <c r="J1307" i="1" a="1"/>
  <c r="J1308" i="1" a="1"/>
  <c r="J1309" i="1" a="1"/>
  <c r="J1310" i="1" a="1"/>
  <c r="J1311" i="1" a="1"/>
  <c r="J1312" i="1" a="1"/>
  <c r="J1313" i="1" a="1"/>
  <c r="J1314" i="1" a="1"/>
  <c r="J1315" i="1" a="1"/>
  <c r="J1316" i="1" a="1"/>
  <c r="J1317" i="1" a="1"/>
  <c r="J1318" i="1" a="1"/>
  <c r="J1319" i="1" a="1"/>
  <c r="J1320" i="1" a="1"/>
  <c r="J1321" i="1" a="1"/>
  <c r="J1322" i="1" a="1"/>
  <c r="J1323" i="1" a="1"/>
  <c r="J1324" i="1" a="1"/>
  <c r="J1325" i="1" a="1"/>
  <c r="J1326" i="1" a="1"/>
  <c r="J1327" i="1" a="1"/>
  <c r="J1328" i="1" a="1"/>
  <c r="J1329" i="1" a="1"/>
  <c r="J1330" i="1" a="1"/>
  <c r="J1331" i="1" a="1"/>
  <c r="J1332" i="1" a="1"/>
  <c r="J1333" i="1" a="1"/>
  <c r="J1334" i="1" a="1"/>
  <c r="J1335" i="1" a="1"/>
  <c r="J1336" i="1" a="1"/>
  <c r="J1337" i="1" a="1"/>
  <c r="J1338" i="1" a="1"/>
  <c r="J1339" i="1" a="1"/>
  <c r="J1340" i="1" a="1"/>
  <c r="J1341" i="1" a="1"/>
  <c r="J1342" i="1" a="1"/>
  <c r="J1343" i="1" a="1"/>
  <c r="J1344" i="1" a="1"/>
  <c r="J1345" i="1" a="1"/>
  <c r="J1346" i="1" a="1"/>
  <c r="J1347" i="1" a="1"/>
  <c r="J1348" i="1" a="1"/>
  <c r="J1349" i="1" a="1"/>
  <c r="J1350" i="1" a="1"/>
  <c r="J1351" i="1" a="1"/>
  <c r="J1352" i="1" a="1"/>
  <c r="J1353" i="1" a="1"/>
  <c r="J1354" i="1" a="1"/>
  <c r="J1355" i="1" a="1"/>
  <c r="J1356" i="1" a="1"/>
  <c r="J1357" i="1" a="1"/>
  <c r="J1358" i="1" a="1"/>
  <c r="J1359" i="1" a="1"/>
  <c r="J1360" i="1" a="1"/>
  <c r="J1361" i="1" a="1"/>
  <c r="J1362" i="1" a="1"/>
  <c r="J1363" i="1" a="1"/>
  <c r="J1364" i="1" a="1"/>
  <c r="J1365" i="1" a="1"/>
  <c r="J1366" i="1" a="1"/>
  <c r="J1367" i="1" a="1"/>
  <c r="J1368" i="1" a="1"/>
  <c r="J1369" i="1" a="1"/>
  <c r="J1370" i="1" a="1"/>
  <c r="J1371" i="1" a="1"/>
  <c r="J1372" i="1" a="1"/>
  <c r="J1373" i="1" a="1"/>
  <c r="J1374" i="1" a="1"/>
  <c r="J1375" i="1" a="1"/>
  <c r="J1376" i="1" a="1"/>
  <c r="J1377" i="1" a="1"/>
  <c r="J1378" i="1" a="1"/>
  <c r="J1379" i="1" a="1"/>
  <c r="J1380" i="1" a="1"/>
  <c r="J1381" i="1" a="1"/>
  <c r="J1382" i="1" a="1"/>
  <c r="J1383" i="1" a="1"/>
  <c r="J1384" i="1" a="1"/>
  <c r="J1385" i="1" a="1"/>
  <c r="J1386" i="1" a="1"/>
  <c r="J1387" i="1" a="1"/>
  <c r="J1388" i="1" a="1"/>
  <c r="J1389" i="1" a="1"/>
  <c r="J1390" i="1" a="1"/>
  <c r="J1391" i="1" a="1"/>
  <c r="J1392" i="1" a="1"/>
  <c r="J1393" i="1" a="1"/>
  <c r="J1394" i="1" a="1"/>
  <c r="J1395" i="1" a="1"/>
  <c r="J1396" i="1" a="1"/>
  <c r="J1397" i="1" a="1"/>
  <c r="J1398" i="1" a="1"/>
  <c r="J1399" i="1" a="1"/>
  <c r="J1400" i="1" a="1"/>
  <c r="J1401" i="1" a="1"/>
  <c r="J1402" i="1" a="1"/>
  <c r="J1403" i="1" a="1"/>
  <c r="J1404" i="1" a="1"/>
  <c r="J1405" i="1" a="1"/>
  <c r="J1406" i="1" a="1"/>
  <c r="J1407" i="1" a="1"/>
  <c r="J1408" i="1" a="1"/>
  <c r="J1409" i="1" a="1"/>
  <c r="J1410" i="1" a="1"/>
  <c r="J1411" i="1" a="1"/>
  <c r="J1412" i="1" a="1"/>
  <c r="J1413" i="1" a="1"/>
  <c r="J1414" i="1" a="1"/>
  <c r="J1415" i="1" a="1"/>
  <c r="J1416" i="1" a="1"/>
  <c r="J1417" i="1" a="1"/>
  <c r="J1418" i="1" a="1"/>
  <c r="J1419" i="1" a="1"/>
  <c r="J1420" i="1" a="1"/>
  <c r="J1421" i="1" a="1"/>
  <c r="J1422" i="1" a="1"/>
  <c r="J1423" i="1" a="1"/>
  <c r="J1424" i="1" a="1"/>
  <c r="J1425" i="1" a="1"/>
  <c r="J1426" i="1" a="1"/>
  <c r="J1427" i="1" a="1"/>
  <c r="J1428" i="1" a="1"/>
  <c r="J1429" i="1" a="1"/>
  <c r="J1430" i="1" a="1"/>
  <c r="J1431" i="1" a="1"/>
  <c r="J1432" i="1" a="1"/>
  <c r="J1433" i="1" a="1"/>
  <c r="J1434" i="1" a="1"/>
  <c r="J1435" i="1" a="1"/>
  <c r="J1436" i="1" a="1"/>
  <c r="J1437" i="1" a="1"/>
  <c r="J1438" i="1" a="1"/>
  <c r="J1439" i="1" a="1"/>
  <c r="J1440" i="1" a="1"/>
  <c r="J1441" i="1" a="1"/>
  <c r="J1442" i="1" a="1"/>
  <c r="J1443" i="1" a="1"/>
  <c r="J1444" i="1" a="1"/>
  <c r="J1445" i="1" a="1"/>
  <c r="J1446" i="1" a="1"/>
  <c r="J1447" i="1" a="1"/>
  <c r="J1448" i="1" a="1"/>
  <c r="J1449" i="1" a="1"/>
  <c r="J1450" i="1" a="1"/>
  <c r="J1451" i="1" a="1"/>
  <c r="J1452" i="1" a="1"/>
  <c r="J1453" i="1" a="1"/>
  <c r="J1454" i="1" a="1"/>
  <c r="J1455" i="1" a="1"/>
  <c r="J1456" i="1" a="1"/>
  <c r="J1457" i="1" a="1"/>
  <c r="J1458" i="1" a="1"/>
  <c r="J1459" i="1" a="1"/>
  <c r="J1460" i="1" a="1"/>
  <c r="J1461" i="1" a="1"/>
  <c r="J1462" i="1" a="1"/>
  <c r="J1463" i="1" a="1"/>
  <c r="J1464" i="1" a="1"/>
  <c r="J1465" i="1" a="1"/>
  <c r="J1466" i="1" a="1"/>
  <c r="J1467" i="1" a="1"/>
  <c r="J1468" i="1" a="1"/>
  <c r="J1469" i="1" a="1"/>
  <c r="J1470" i="1" a="1"/>
  <c r="J1471" i="1" a="1"/>
  <c r="J1472" i="1" a="1"/>
  <c r="J1473" i="1" a="1"/>
  <c r="J1474" i="1" a="1"/>
  <c r="J1475" i="1" a="1"/>
  <c r="J1476" i="1" a="1"/>
  <c r="J1477" i="1" a="1"/>
  <c r="J1478" i="1" a="1"/>
  <c r="J1479" i="1" a="1"/>
  <c r="J1480" i="1" a="1"/>
  <c r="J1481" i="1" a="1"/>
  <c r="J1482" i="1" a="1"/>
  <c r="J1483" i="1" a="1"/>
  <c r="J1484" i="1" a="1"/>
  <c r="J1485" i="1" a="1"/>
  <c r="J1486" i="1" a="1"/>
  <c r="J1487" i="1" a="1"/>
  <c r="J1488" i="1" a="1"/>
  <c r="J1489" i="1" a="1"/>
  <c r="J1490" i="1" a="1"/>
  <c r="J1491" i="1" a="1"/>
  <c r="J1492" i="1" a="1"/>
  <c r="J1493" i="1" a="1"/>
  <c r="J1494" i="1" a="1"/>
  <c r="J1495" i="1" a="1"/>
  <c r="J1496" i="1" a="1"/>
  <c r="J1497" i="1" a="1"/>
  <c r="J1498" i="1" a="1"/>
  <c r="J1499" i="1" a="1"/>
  <c r="J1500" i="1" a="1"/>
  <c r="J1501" i="1" a="1"/>
  <c r="J1502" i="1" a="1"/>
  <c r="J1503" i="1" a="1"/>
  <c r="J1504" i="1" a="1"/>
  <c r="J1505" i="1" a="1"/>
  <c r="J1506" i="1" a="1"/>
  <c r="J1507" i="1" a="1"/>
  <c r="J1508" i="1" a="1"/>
  <c r="J1509" i="1" a="1"/>
  <c r="J1510" i="1" a="1"/>
  <c r="J1511" i="1" a="1"/>
  <c r="J1512" i="1" a="1"/>
  <c r="J1513" i="1" a="1"/>
  <c r="J1514" i="1" a="1"/>
  <c r="J1515" i="1" a="1"/>
  <c r="J1516" i="1" a="1"/>
  <c r="J1517" i="1" a="1"/>
  <c r="J1518" i="1" a="1"/>
  <c r="J1519" i="1" a="1"/>
  <c r="J1520" i="1" a="1"/>
  <c r="J1521" i="1" a="1"/>
  <c r="J1522" i="1" a="1"/>
  <c r="J1523" i="1" a="1"/>
  <c r="J1524" i="1" a="1"/>
  <c r="J1525" i="1" a="1"/>
  <c r="J1526" i="1" a="1"/>
  <c r="J1527" i="1" a="1"/>
  <c r="J1528" i="1" a="1"/>
  <c r="J1529" i="1" a="1"/>
  <c r="J1530" i="1" a="1"/>
  <c r="J1531" i="1" a="1"/>
  <c r="J1532" i="1" a="1"/>
  <c r="J1533" i="1" a="1"/>
  <c r="J1534" i="1" a="1"/>
  <c r="J1535" i="1" a="1"/>
  <c r="J1536" i="1" a="1"/>
  <c r="J1537" i="1" a="1"/>
  <c r="J1538" i="1" a="1"/>
  <c r="J1539" i="1" a="1"/>
  <c r="J1540" i="1" a="1"/>
  <c r="J1541" i="1" a="1"/>
  <c r="J1542" i="1" a="1"/>
  <c r="J1543" i="1" a="1"/>
  <c r="J1544" i="1" a="1"/>
  <c r="J1545" i="1" a="1"/>
  <c r="J1546" i="1" a="1"/>
  <c r="J1547" i="1" a="1"/>
  <c r="J1548" i="1" a="1"/>
  <c r="J1549" i="1" a="1"/>
  <c r="J1550" i="1" a="1"/>
  <c r="J1551" i="1" a="1"/>
  <c r="J1552" i="1" a="1"/>
  <c r="J1553" i="1" a="1"/>
  <c r="J1554" i="1" a="1"/>
  <c r="J1555" i="1" a="1"/>
  <c r="J1556" i="1" a="1"/>
  <c r="J1557" i="1" a="1"/>
  <c r="J1558" i="1" a="1"/>
  <c r="J1559" i="1" a="1"/>
  <c r="J1560" i="1" a="1"/>
  <c r="J1561" i="1" a="1"/>
  <c r="J1562" i="1" a="1"/>
  <c r="J1563" i="1" a="1"/>
  <c r="J1564" i="1" a="1"/>
  <c r="J1565" i="1" a="1"/>
  <c r="J1566" i="1" a="1"/>
  <c r="J1567" i="1" a="1"/>
  <c r="J1568" i="1" a="1"/>
  <c r="J1569" i="1" a="1"/>
  <c r="J1570" i="1" a="1"/>
  <c r="J1571" i="1" a="1"/>
  <c r="J1572" i="1" a="1"/>
  <c r="J1573" i="1" a="1"/>
  <c r="J1574" i="1" a="1"/>
  <c r="J1575" i="1" a="1"/>
  <c r="J1576" i="1" a="1"/>
  <c r="J1577" i="1" a="1"/>
  <c r="J1578" i="1" a="1"/>
  <c r="J1579" i="1" a="1"/>
  <c r="J1580" i="1" a="1"/>
  <c r="J1581" i="1" a="1"/>
  <c r="J1582" i="1" a="1"/>
  <c r="J1583" i="1" a="1"/>
  <c r="J1584" i="1" a="1"/>
  <c r="J1585" i="1" a="1"/>
  <c r="J1586" i="1" a="1"/>
  <c r="J1587" i="1" a="1"/>
  <c r="J1588" i="1" a="1"/>
  <c r="J1589" i="1" a="1"/>
  <c r="J1590" i="1" a="1"/>
  <c r="J1591" i="1" a="1"/>
  <c r="J1592" i="1" a="1"/>
  <c r="J1593" i="1" a="1"/>
  <c r="J1594" i="1" a="1"/>
  <c r="J1595" i="1" a="1"/>
  <c r="J1596" i="1" a="1"/>
  <c r="J1597" i="1" a="1"/>
  <c r="J1598" i="1" a="1"/>
  <c r="J1599" i="1" a="1"/>
  <c r="J1600" i="1" a="1"/>
  <c r="J1601" i="1" a="1"/>
  <c r="J1602" i="1" a="1"/>
  <c r="J1603" i="1" a="1"/>
  <c r="J1604" i="1" a="1"/>
  <c r="J1605" i="1" a="1"/>
  <c r="J1606" i="1" a="1"/>
  <c r="J1607" i="1" a="1"/>
  <c r="J1608" i="1" a="1"/>
  <c r="J1609" i="1" a="1"/>
  <c r="J1610" i="1" a="1"/>
  <c r="J1611" i="1" a="1"/>
  <c r="J1612" i="1" a="1"/>
  <c r="J1613" i="1" a="1"/>
  <c r="J1614" i="1" a="1"/>
  <c r="J1615" i="1" a="1"/>
  <c r="J1616" i="1" a="1"/>
  <c r="J1617" i="1" a="1"/>
  <c r="J1618" i="1" a="1"/>
  <c r="J1619" i="1" a="1"/>
  <c r="J1620" i="1" a="1"/>
  <c r="J1621" i="1" a="1"/>
  <c r="J1622" i="1" a="1"/>
  <c r="J1623" i="1" a="1"/>
  <c r="J1624" i="1" a="1"/>
  <c r="J1625" i="1" a="1"/>
  <c r="J1626" i="1" a="1"/>
  <c r="J1627" i="1" a="1"/>
  <c r="J1628" i="1" a="1"/>
  <c r="J1629" i="1" a="1"/>
  <c r="J1630" i="1" a="1"/>
  <c r="J1631" i="1" a="1"/>
  <c r="J1632" i="1" a="1"/>
  <c r="J1633" i="1" a="1"/>
  <c r="J1634" i="1" a="1"/>
  <c r="J1635" i="1" a="1"/>
  <c r="J1636" i="1" a="1"/>
  <c r="J1637" i="1" a="1"/>
  <c r="J1638" i="1" a="1"/>
  <c r="J1639" i="1" a="1"/>
  <c r="J1640" i="1" a="1"/>
  <c r="J1641" i="1" a="1"/>
  <c r="J1642" i="1" a="1"/>
  <c r="J1643" i="1" a="1"/>
  <c r="J1644" i="1" a="1"/>
  <c r="J1645" i="1" a="1"/>
  <c r="J1646" i="1" a="1"/>
  <c r="J1647" i="1" a="1"/>
  <c r="J1648" i="1" a="1"/>
  <c r="J1649" i="1" a="1"/>
  <c r="J1650" i="1" a="1"/>
  <c r="J1651" i="1" a="1"/>
  <c r="J1652" i="1" a="1"/>
  <c r="J1653" i="1" a="1"/>
  <c r="J1654" i="1" a="1"/>
  <c r="J1655" i="1" a="1"/>
  <c r="J1656" i="1" a="1"/>
  <c r="J1657" i="1" a="1"/>
  <c r="J1658" i="1" a="1"/>
  <c r="J1659" i="1" a="1"/>
  <c r="J1660" i="1" a="1"/>
  <c r="J1661" i="1" a="1"/>
  <c r="J1662" i="1" a="1"/>
  <c r="J1663" i="1" a="1"/>
  <c r="J1664" i="1" a="1"/>
  <c r="J1665" i="1" a="1"/>
  <c r="J1666" i="1" a="1"/>
  <c r="J1667" i="1" a="1"/>
  <c r="J1668" i="1" a="1"/>
  <c r="J1669" i="1" a="1"/>
  <c r="J1670" i="1" a="1"/>
  <c r="J1671" i="1" a="1"/>
  <c r="J1672" i="1" a="1"/>
  <c r="J1673" i="1" a="1"/>
  <c r="J1674" i="1" a="1"/>
  <c r="J1675" i="1" a="1"/>
  <c r="J1676" i="1" a="1"/>
  <c r="J1677" i="1" a="1"/>
  <c r="J1678" i="1" a="1"/>
  <c r="J1679" i="1" a="1"/>
  <c r="J1680" i="1" a="1"/>
  <c r="J1681" i="1" a="1"/>
  <c r="J1682" i="1" a="1"/>
  <c r="J1683" i="1" a="1"/>
  <c r="J1684" i="1" a="1"/>
  <c r="J1685" i="1" a="1"/>
  <c r="J1686" i="1" a="1"/>
  <c r="J1687" i="1" a="1"/>
  <c r="J1688" i="1" a="1"/>
  <c r="J1689" i="1" a="1"/>
  <c r="J1690" i="1" a="1"/>
  <c r="J1691" i="1" a="1"/>
  <c r="J1692" i="1" a="1"/>
  <c r="J1693" i="1" a="1"/>
  <c r="J1694" i="1" a="1"/>
  <c r="J1695" i="1" a="1"/>
  <c r="J1696" i="1" a="1"/>
  <c r="J1697" i="1" a="1"/>
  <c r="J1698" i="1" a="1"/>
  <c r="J1699" i="1" a="1"/>
  <c r="J1700" i="1" a="1"/>
  <c r="J1701" i="1" a="1"/>
  <c r="J1702" i="1" a="1"/>
  <c r="J1703" i="1" a="1"/>
  <c r="J1704" i="1" a="1"/>
  <c r="J1705" i="1" a="1"/>
  <c r="J1706" i="1" a="1"/>
  <c r="J1707" i="1" a="1"/>
  <c r="J1708" i="1" a="1"/>
  <c r="J1709" i="1" a="1"/>
  <c r="J1710" i="1" a="1"/>
  <c r="J1711" i="1" a="1"/>
  <c r="J1712" i="1" a="1"/>
  <c r="J1713" i="1" a="1"/>
  <c r="J1714" i="1" a="1"/>
  <c r="J1715" i="1" a="1"/>
  <c r="J1716" i="1" a="1"/>
  <c r="J1717" i="1" a="1"/>
  <c r="J1718" i="1" a="1"/>
  <c r="J1719" i="1" a="1"/>
  <c r="J1720" i="1" a="1"/>
  <c r="J1721" i="1" a="1"/>
  <c r="J1722" i="1" a="1"/>
  <c r="J1723" i="1" a="1"/>
  <c r="J1724" i="1" a="1"/>
  <c r="J1725" i="1" a="1"/>
  <c r="J1726" i="1" a="1"/>
  <c r="J1727" i="1" a="1"/>
  <c r="J1728" i="1" a="1"/>
  <c r="J1729" i="1" a="1"/>
  <c r="J1730" i="1" a="1"/>
  <c r="J1731" i="1" a="1"/>
  <c r="J1732" i="1" a="1"/>
  <c r="J1733" i="1" a="1"/>
  <c r="J1734" i="1" a="1"/>
  <c r="J1735" i="1" a="1"/>
  <c r="J1736" i="1" a="1"/>
  <c r="J1737" i="1" a="1"/>
  <c r="J1738" i="1" a="1"/>
  <c r="J1739" i="1" a="1"/>
  <c r="J1740" i="1" a="1"/>
  <c r="J1743" i="1" a="1"/>
  <c r="J1744" i="1" a="1"/>
  <c r="J1745" i="1" a="1"/>
  <c r="J1746" i="1" a="1"/>
  <c r="J1747" i="1" a="1"/>
  <c r="J1748" i="1" a="1"/>
  <c r="J1749" i="1" a="1"/>
  <c r="J1750" i="1" a="1"/>
  <c r="J1751" i="1" a="1"/>
  <c r="J1752" i="1" a="1"/>
  <c r="J1753" i="1" a="1"/>
  <c r="J1754" i="1" a="1"/>
  <c r="J1755" i="1" a="1"/>
  <c r="J1756" i="1" a="1"/>
  <c r="J1757" i="1" a="1"/>
  <c r="J1758" i="1" a="1"/>
  <c r="J1759" i="1" a="1"/>
  <c r="J1760" i="1" a="1"/>
  <c r="J1761" i="1" a="1"/>
  <c r="J1762" i="1" a="1"/>
  <c r="J1763" i="1" a="1"/>
  <c r="J1764" i="1" a="1"/>
  <c r="J1765" i="1" a="1"/>
  <c r="J1766" i="1" a="1"/>
  <c r="J1767" i="1" a="1"/>
  <c r="J1768" i="1" a="1"/>
  <c r="J1769" i="1" a="1"/>
  <c r="J1770" i="1" a="1"/>
  <c r="J1771" i="1" a="1"/>
  <c r="J1772" i="1" a="1"/>
  <c r="J1773" i="1" a="1"/>
  <c r="J1774" i="1" a="1"/>
  <c r="J1775" i="1" a="1"/>
  <c r="J1776" i="1" a="1"/>
  <c r="J1777" i="1" a="1"/>
  <c r="J1778" i="1" a="1"/>
  <c r="J1779" i="1" a="1"/>
  <c r="J1780" i="1" a="1"/>
  <c r="J1781" i="1" a="1"/>
  <c r="J1782" i="1" a="1"/>
  <c r="J1783" i="1" a="1"/>
  <c r="J1784" i="1" a="1"/>
  <c r="J1785" i="1" a="1"/>
  <c r="J1786" i="1" a="1"/>
  <c r="J1787" i="1" a="1"/>
  <c r="J1788" i="1" a="1"/>
  <c r="J1789" i="1" a="1"/>
  <c r="J1790" i="1" a="1"/>
  <c r="J1791" i="1" a="1"/>
  <c r="J1792" i="1" a="1"/>
  <c r="J1793" i="1" a="1"/>
  <c r="J1794" i="1" a="1"/>
  <c r="J1795" i="1" a="1"/>
  <c r="J1796" i="1" a="1"/>
  <c r="J1797" i="1" a="1"/>
  <c r="J1798" i="1" a="1"/>
  <c r="J1799" i="1" a="1"/>
  <c r="J1800" i="1" a="1"/>
  <c r="J1801" i="1" a="1"/>
  <c r="J1802" i="1" a="1"/>
  <c r="J1803" i="1" a="1"/>
  <c r="J1804" i="1" a="1"/>
  <c r="J1805" i="1" a="1"/>
  <c r="J1806" i="1" a="1"/>
  <c r="J1807" i="1" a="1"/>
  <c r="J1808" i="1" a="1"/>
  <c r="J1809" i="1" a="1"/>
  <c r="J1810" i="1" a="1"/>
  <c r="J1811" i="1" a="1"/>
  <c r="J1812" i="1" a="1"/>
  <c r="J1813" i="1" a="1"/>
  <c r="J1814" i="1" a="1"/>
  <c r="J1815" i="1" a="1"/>
  <c r="J1816" i="1" a="1"/>
  <c r="J1817" i="1" a="1"/>
  <c r="J1818" i="1" a="1"/>
  <c r="J1819" i="1" a="1"/>
  <c r="J1820" i="1" a="1"/>
  <c r="J1821" i="1" a="1"/>
  <c r="J1822" i="1" a="1"/>
  <c r="J1823" i="1" a="1"/>
  <c r="J1824" i="1" a="1"/>
  <c r="J1825" i="1" a="1"/>
  <c r="J1826" i="1" a="1"/>
  <c r="J1827" i="1" a="1"/>
  <c r="J1828" i="1" a="1"/>
  <c r="J1829" i="1" a="1"/>
  <c r="J1830" i="1" a="1"/>
  <c r="J1831" i="1" a="1"/>
  <c r="J1832" i="1" a="1"/>
  <c r="J1833" i="1" a="1"/>
  <c r="J1834" i="1" a="1"/>
  <c r="J1835" i="1" a="1"/>
  <c r="J1836" i="1" a="1"/>
  <c r="J1837" i="1" a="1"/>
  <c r="J1838" i="1" a="1"/>
  <c r="J1839" i="1" a="1"/>
  <c r="J1840" i="1" a="1"/>
  <c r="J1841" i="1" a="1"/>
  <c r="J1842" i="1" a="1"/>
  <c r="J1843" i="1" a="1"/>
  <c r="J1844" i="1" a="1"/>
  <c r="K16" i="1" a="1"/>
  <c r="K17" i="1" a="1"/>
  <c r="K18" i="1" a="1"/>
  <c r="K19" i="1" a="1"/>
  <c r="K20" i="1" a="1"/>
  <c r="K21" i="1" a="1"/>
  <c r="K22" i="1" a="1"/>
  <c r="K23" i="1" a="1"/>
  <c r="K24" i="1" a="1"/>
  <c r="K25" i="1" a="1"/>
  <c r="K26" i="1" a="1"/>
  <c r="K27" i="1" a="1"/>
  <c r="K28" i="1" a="1"/>
  <c r="K29" i="1" a="1"/>
  <c r="K30" i="1" a="1"/>
  <c r="K31" i="1" a="1"/>
  <c r="K32" i="1" a="1"/>
  <c r="K33" i="1" a="1"/>
  <c r="K34" i="1" a="1"/>
  <c r="K35" i="1" a="1"/>
  <c r="K36" i="1" a="1"/>
  <c r="K37" i="1" a="1"/>
  <c r="K38" i="1" a="1"/>
  <c r="K39" i="1" a="1"/>
  <c r="K40" i="1" a="1"/>
  <c r="K41" i="1" a="1"/>
  <c r="K42" i="1" a="1"/>
  <c r="K43" i="1" a="1"/>
  <c r="K44" i="1" a="1"/>
  <c r="K45" i="1" a="1"/>
  <c r="K46" i="1" a="1"/>
  <c r="K47" i="1" a="1"/>
  <c r="K48" i="1" a="1"/>
  <c r="K49" i="1" a="1"/>
  <c r="K50" i="1" a="1"/>
  <c r="K51" i="1" a="1"/>
  <c r="K52" i="1" a="1"/>
  <c r="K53" i="1" a="1"/>
  <c r="K54" i="1" a="1"/>
  <c r="K55" i="1" a="1"/>
  <c r="K56" i="1" a="1"/>
  <c r="K57" i="1" a="1"/>
  <c r="K58" i="1" a="1"/>
  <c r="K59" i="1" a="1"/>
  <c r="K60" i="1" a="1"/>
  <c r="K61" i="1" a="1"/>
  <c r="K62" i="1" a="1"/>
  <c r="K63" i="1" a="1"/>
  <c r="K64" i="1" a="1"/>
  <c r="K65" i="1" a="1"/>
  <c r="K66" i="1" a="1"/>
  <c r="K67" i="1" a="1"/>
  <c r="K68" i="1" a="1"/>
  <c r="K69" i="1" a="1"/>
  <c r="K70" i="1" a="1"/>
  <c r="K71" i="1" a="1"/>
  <c r="K72" i="1" a="1"/>
  <c r="K73" i="1" a="1"/>
  <c r="K74" i="1" a="1"/>
  <c r="K75" i="1" a="1"/>
  <c r="K76" i="1" a="1"/>
  <c r="K77" i="1" a="1"/>
  <c r="K78" i="1" a="1"/>
  <c r="K79" i="1" a="1"/>
  <c r="K80" i="1" a="1"/>
  <c r="K81" i="1" a="1"/>
  <c r="K82" i="1" a="1"/>
  <c r="K83" i="1" a="1"/>
  <c r="K84" i="1" a="1"/>
  <c r="K85" i="1" a="1"/>
  <c r="K86" i="1" a="1"/>
  <c r="K87" i="1" a="1"/>
  <c r="K88" i="1" a="1"/>
  <c r="K89" i="1" a="1"/>
  <c r="K90" i="1" a="1"/>
  <c r="K91" i="1" a="1"/>
  <c r="K92" i="1" a="1"/>
  <c r="K93" i="1" a="1"/>
  <c r="K94" i="1" a="1"/>
  <c r="K95" i="1" a="1"/>
  <c r="K96" i="1" a="1"/>
  <c r="K97" i="1" a="1"/>
  <c r="K98" i="1" a="1"/>
  <c r="K99" i="1" a="1"/>
  <c r="K100" i="1" a="1"/>
  <c r="K101" i="1" a="1"/>
  <c r="K102" i="1" a="1"/>
  <c r="K103" i="1" a="1"/>
  <c r="K104" i="1" a="1"/>
  <c r="K105" i="1" a="1"/>
  <c r="K106" i="1" a="1"/>
  <c r="K107" i="1" a="1"/>
  <c r="K108" i="1" a="1"/>
  <c r="K109" i="1" a="1"/>
  <c r="K110" i="1" a="1"/>
  <c r="K111" i="1" a="1"/>
  <c r="K112" i="1" a="1"/>
  <c r="K113" i="1" a="1"/>
  <c r="K114" i="1" a="1"/>
  <c r="K115" i="1" a="1"/>
  <c r="K116" i="1" a="1"/>
  <c r="K117" i="1" a="1"/>
  <c r="K118" i="1" a="1"/>
  <c r="K119" i="1" a="1"/>
  <c r="K120" i="1" a="1"/>
  <c r="K121" i="1" a="1"/>
  <c r="K122" i="1" a="1"/>
  <c r="K123" i="1" a="1"/>
  <c r="K124" i="1" a="1"/>
  <c r="K125" i="1" a="1"/>
  <c r="K126" i="1" a="1"/>
  <c r="K127" i="1" a="1"/>
  <c r="K128" i="1" a="1"/>
  <c r="K129" i="1" a="1"/>
  <c r="K130" i="1" a="1"/>
  <c r="K131" i="1" a="1"/>
  <c r="K132" i="1" a="1"/>
  <c r="K133" i="1" a="1"/>
  <c r="K134" i="1" a="1"/>
  <c r="K135" i="1" a="1"/>
  <c r="K136" i="1" a="1"/>
  <c r="K137" i="1" a="1"/>
  <c r="K138" i="1" a="1"/>
  <c r="K139" i="1" a="1"/>
  <c r="K140" i="1" a="1"/>
  <c r="K141" i="1" a="1"/>
  <c r="K142" i="1" a="1"/>
  <c r="K143" i="1" a="1"/>
  <c r="K144" i="1" a="1"/>
  <c r="K145" i="1" a="1"/>
  <c r="K146" i="1" a="1"/>
  <c r="K147" i="1" a="1"/>
  <c r="K148" i="1" a="1"/>
  <c r="K149" i="1" a="1"/>
  <c r="K150" i="1" a="1"/>
  <c r="K151" i="1" a="1"/>
  <c r="K152" i="1" a="1"/>
  <c r="K153" i="1" a="1"/>
  <c r="K154" i="1" a="1"/>
  <c r="K155" i="1" a="1"/>
  <c r="K156" i="1" a="1"/>
  <c r="K157" i="1" a="1"/>
  <c r="K158" i="1" a="1"/>
  <c r="K159" i="1" a="1"/>
  <c r="K160" i="1" a="1"/>
  <c r="K161" i="1" a="1"/>
  <c r="K162" i="1" a="1"/>
  <c r="K163" i="1" a="1"/>
  <c r="K164" i="1" a="1"/>
  <c r="K165" i="1" a="1"/>
  <c r="K166" i="1" a="1"/>
  <c r="K167" i="1" a="1"/>
  <c r="K168" i="1" a="1"/>
  <c r="K169" i="1" a="1"/>
  <c r="K170" i="1" a="1"/>
  <c r="K171" i="1" a="1"/>
  <c r="K172" i="1" a="1"/>
  <c r="K173" i="1" a="1"/>
  <c r="K174" i="1" a="1"/>
  <c r="K175" i="1" a="1"/>
  <c r="K176" i="1" a="1"/>
  <c r="K177" i="1" a="1"/>
  <c r="K178" i="1" a="1"/>
  <c r="K179" i="1" a="1"/>
  <c r="K180" i="1" a="1"/>
  <c r="K181" i="1" a="1"/>
  <c r="K182" i="1" a="1"/>
  <c r="K183" i="1" a="1"/>
  <c r="K184" i="1" a="1"/>
  <c r="K185" i="1" a="1"/>
  <c r="K186" i="1" a="1"/>
  <c r="K187" i="1" a="1"/>
  <c r="K188" i="1" a="1"/>
  <c r="K189" i="1" a="1"/>
  <c r="K190" i="1" a="1"/>
  <c r="K191" i="1" a="1"/>
  <c r="K192" i="1" a="1"/>
  <c r="K193" i="1" a="1"/>
  <c r="K194" i="1" a="1"/>
  <c r="K195" i="1" a="1"/>
  <c r="K196" i="1" a="1"/>
  <c r="K197" i="1" a="1"/>
  <c r="K198" i="1" a="1"/>
  <c r="K199" i="1" a="1"/>
  <c r="K200" i="1" a="1"/>
  <c r="K201" i="1" a="1"/>
  <c r="K202" i="1" a="1"/>
  <c r="K203" i="1" a="1"/>
  <c r="K204" i="1" a="1"/>
  <c r="K205" i="1" a="1"/>
  <c r="K206" i="1" a="1"/>
  <c r="K207" i="1" a="1"/>
  <c r="K208" i="1" a="1"/>
  <c r="K209" i="1" a="1"/>
  <c r="K210" i="1" a="1"/>
  <c r="K211" i="1" a="1"/>
  <c r="K212" i="1" a="1"/>
  <c r="K213" i="1" a="1"/>
  <c r="K214" i="1" a="1"/>
  <c r="K215" i="1" a="1"/>
  <c r="K216" i="1" a="1"/>
  <c r="K217" i="1" a="1"/>
  <c r="K218" i="1" a="1"/>
  <c r="K219" i="1" a="1"/>
  <c r="K220" i="1" a="1"/>
  <c r="K221" i="1" a="1"/>
  <c r="K222" i="1" a="1"/>
  <c r="K223" i="1" a="1"/>
  <c r="K224" i="1" a="1"/>
  <c r="K225" i="1" a="1"/>
  <c r="K226" i="1" a="1"/>
  <c r="K227" i="1" a="1"/>
  <c r="K228" i="1" a="1"/>
  <c r="K229" i="1" a="1"/>
  <c r="K230" i="1" a="1"/>
  <c r="K231" i="1" a="1"/>
  <c r="K232" i="1" a="1"/>
  <c r="K233" i="1" a="1"/>
  <c r="K234" i="1" a="1"/>
  <c r="K235" i="1" a="1"/>
  <c r="K236" i="1" a="1"/>
  <c r="K237" i="1" a="1"/>
  <c r="K238" i="1" a="1"/>
  <c r="K239" i="1" a="1"/>
  <c r="K240" i="1" a="1"/>
  <c r="K241" i="1" a="1"/>
  <c r="K242" i="1" a="1"/>
  <c r="K243" i="1" a="1"/>
  <c r="K244" i="1" a="1"/>
  <c r="K245" i="1" a="1"/>
  <c r="K246" i="1" a="1"/>
  <c r="K247" i="1" a="1"/>
  <c r="K248" i="1" a="1"/>
  <c r="K249" i="1" a="1"/>
  <c r="K250" i="1" a="1"/>
  <c r="K251" i="1" a="1"/>
  <c r="K252" i="1" a="1"/>
  <c r="K253" i="1" a="1"/>
  <c r="K254" i="1" a="1"/>
  <c r="K255" i="1" a="1"/>
  <c r="K256" i="1" a="1"/>
  <c r="K257" i="1" a="1"/>
  <c r="K258" i="1" a="1"/>
  <c r="K259" i="1" a="1"/>
  <c r="K260" i="1" a="1"/>
  <c r="K261" i="1" a="1"/>
  <c r="K262" i="1" a="1"/>
  <c r="K263" i="1" a="1"/>
  <c r="K264" i="1" a="1"/>
  <c r="K265" i="1" a="1"/>
  <c r="K266" i="1" a="1"/>
  <c r="K267" i="1" a="1"/>
  <c r="K268" i="1" a="1"/>
  <c r="K269" i="1" a="1"/>
  <c r="K270" i="1" a="1"/>
  <c r="K271" i="1" a="1"/>
  <c r="K272" i="1" a="1"/>
  <c r="K273" i="1" a="1"/>
  <c r="K274" i="1" a="1"/>
  <c r="K275" i="1" a="1"/>
  <c r="K276" i="1" a="1"/>
  <c r="K277" i="1" a="1"/>
  <c r="K278" i="1" a="1"/>
  <c r="K279" i="1" a="1"/>
  <c r="K280" i="1" a="1"/>
  <c r="K281" i="1" a="1"/>
  <c r="K282" i="1" a="1"/>
  <c r="K283" i="1" a="1"/>
  <c r="K284" i="1" a="1"/>
  <c r="K285" i="1" a="1"/>
  <c r="K286" i="1" a="1"/>
  <c r="K287" i="1" a="1"/>
  <c r="K288" i="1" a="1"/>
  <c r="K289" i="1" a="1"/>
  <c r="K290" i="1" a="1"/>
  <c r="K291" i="1" a="1"/>
  <c r="K292" i="1" a="1"/>
  <c r="K293" i="1" a="1"/>
  <c r="K294" i="1" a="1"/>
  <c r="K295" i="1" a="1"/>
  <c r="K296" i="1" a="1"/>
  <c r="K297" i="1" a="1"/>
  <c r="K298" i="1" a="1"/>
  <c r="K299" i="1" a="1"/>
  <c r="K300" i="1" a="1"/>
  <c r="K301" i="1" a="1"/>
  <c r="K302" i="1" a="1"/>
  <c r="K303" i="1" a="1"/>
  <c r="K304" i="1" a="1"/>
  <c r="K305" i="1" a="1"/>
  <c r="K306" i="1" a="1"/>
  <c r="K307" i="1" a="1"/>
  <c r="K308" i="1" a="1"/>
  <c r="K309" i="1" a="1"/>
  <c r="K310" i="1" a="1"/>
  <c r="K311" i="1" a="1"/>
  <c r="K312" i="1" a="1"/>
  <c r="K313" i="1" a="1"/>
  <c r="K314" i="1" a="1"/>
  <c r="K315" i="1" a="1"/>
  <c r="K316" i="1" a="1"/>
  <c r="K317" i="1" a="1"/>
  <c r="K318" i="1" a="1"/>
  <c r="K319" i="1" a="1"/>
  <c r="K320" i="1" a="1"/>
  <c r="K321" i="1" a="1"/>
  <c r="K322" i="1" a="1"/>
  <c r="K323" i="1" a="1"/>
  <c r="K324" i="1" a="1"/>
  <c r="K325" i="1" a="1"/>
  <c r="K326" i="1" a="1"/>
  <c r="K327" i="1" a="1"/>
  <c r="K328" i="1" a="1"/>
  <c r="K329" i="1" a="1"/>
  <c r="K330" i="1" a="1"/>
  <c r="K331" i="1" a="1"/>
  <c r="K332" i="1" a="1"/>
  <c r="K333" i="1" a="1"/>
  <c r="K334" i="1" a="1"/>
  <c r="K335" i="1" a="1"/>
  <c r="K336" i="1" a="1"/>
  <c r="K337" i="1" a="1"/>
  <c r="K338" i="1" a="1"/>
  <c r="K339" i="1" a="1"/>
  <c r="K340" i="1" a="1"/>
  <c r="K341" i="1" a="1"/>
  <c r="K342" i="1" a="1"/>
  <c r="K343" i="1" a="1"/>
  <c r="K344" i="1" a="1"/>
  <c r="K345" i="1" a="1"/>
  <c r="K346" i="1" a="1"/>
  <c r="K347" i="1" a="1"/>
  <c r="K348" i="1" a="1"/>
  <c r="K349" i="1" a="1"/>
  <c r="K350" i="1" a="1"/>
  <c r="K351" i="1" a="1"/>
  <c r="K352" i="1" a="1"/>
  <c r="K353" i="1" a="1"/>
  <c r="K354" i="1" a="1"/>
  <c r="K355" i="1" a="1"/>
  <c r="K356" i="1" a="1"/>
  <c r="K357" i="1" a="1"/>
  <c r="K358" i="1" a="1"/>
  <c r="K359" i="1" a="1"/>
  <c r="K360" i="1" a="1"/>
  <c r="K361" i="1" a="1"/>
  <c r="K362" i="1" a="1"/>
  <c r="K363" i="1" a="1"/>
  <c r="K364" i="1" a="1"/>
  <c r="K365" i="1" a="1"/>
  <c r="K366" i="1" a="1"/>
  <c r="K367" i="1" a="1"/>
  <c r="K368" i="1" a="1"/>
  <c r="K369" i="1" a="1"/>
  <c r="K370" i="1" a="1"/>
  <c r="K371" i="1" a="1"/>
  <c r="K372" i="1" a="1"/>
  <c r="K373" i="1" a="1"/>
  <c r="K374" i="1" a="1"/>
  <c r="K375" i="1" a="1"/>
  <c r="K376" i="1" a="1"/>
  <c r="K377" i="1" a="1"/>
  <c r="K378" i="1" a="1"/>
  <c r="K379" i="1" a="1"/>
  <c r="K380" i="1" a="1"/>
  <c r="K381" i="1" a="1"/>
  <c r="K382" i="1" a="1"/>
  <c r="K383" i="1" a="1"/>
  <c r="K384" i="1" a="1"/>
  <c r="K385" i="1" a="1"/>
  <c r="K386" i="1" a="1"/>
  <c r="K387" i="1" a="1"/>
  <c r="K388" i="1" a="1"/>
  <c r="K389" i="1" a="1"/>
  <c r="K390" i="1" a="1"/>
  <c r="K391" i="1" a="1"/>
  <c r="K392" i="1" a="1"/>
  <c r="K393" i="1" a="1"/>
  <c r="K394" i="1" a="1"/>
  <c r="K395" i="1" a="1"/>
  <c r="K396" i="1" a="1"/>
  <c r="K397" i="1" a="1"/>
  <c r="K398" i="1" a="1"/>
  <c r="K399" i="1" a="1"/>
  <c r="K400" i="1" a="1"/>
  <c r="K401" i="1" a="1"/>
  <c r="K402" i="1" a="1"/>
  <c r="K403" i="1" a="1"/>
  <c r="K404" i="1" a="1"/>
  <c r="K405" i="1" a="1"/>
  <c r="K406" i="1" a="1"/>
  <c r="K407" i="1" a="1"/>
  <c r="K408" i="1" a="1"/>
  <c r="K409" i="1" a="1"/>
  <c r="K410" i="1" a="1"/>
  <c r="K411" i="1" a="1"/>
  <c r="K412" i="1" a="1"/>
  <c r="K413" i="1" a="1"/>
  <c r="K414" i="1" a="1"/>
  <c r="K415" i="1" a="1"/>
  <c r="K416" i="1" a="1"/>
  <c r="K417" i="1" a="1"/>
  <c r="K418" i="1" a="1"/>
  <c r="K419" i="1" a="1"/>
  <c r="K420" i="1" a="1"/>
  <c r="K421" i="1" a="1"/>
  <c r="K422" i="1" a="1"/>
  <c r="K423" i="1" a="1"/>
  <c r="K424" i="1" a="1"/>
  <c r="K425" i="1" a="1"/>
  <c r="K426" i="1" a="1"/>
  <c r="K427" i="1" a="1"/>
  <c r="K428" i="1" a="1"/>
  <c r="K429" i="1" a="1"/>
  <c r="K430" i="1" a="1"/>
  <c r="K431" i="1" a="1"/>
  <c r="K432" i="1" a="1"/>
  <c r="K433" i="1" a="1"/>
  <c r="K434" i="1" a="1"/>
  <c r="K435" i="1" a="1"/>
  <c r="K436" i="1" a="1"/>
  <c r="K437" i="1" a="1"/>
  <c r="K438" i="1" a="1"/>
  <c r="K439" i="1" a="1"/>
  <c r="K440" i="1" a="1"/>
  <c r="K441" i="1" a="1"/>
  <c r="K442" i="1" a="1"/>
  <c r="K443" i="1" a="1"/>
  <c r="K444" i="1" a="1"/>
  <c r="K445" i="1" a="1"/>
  <c r="K446" i="1" a="1"/>
  <c r="K447" i="1" a="1"/>
  <c r="K448" i="1" a="1"/>
  <c r="K449" i="1" a="1"/>
  <c r="K450" i="1" a="1"/>
  <c r="K451" i="1" a="1"/>
  <c r="K452" i="1" a="1"/>
  <c r="K453" i="1" a="1"/>
  <c r="K454" i="1" a="1"/>
  <c r="K455" i="1" a="1"/>
  <c r="K456" i="1" a="1"/>
  <c r="K457" i="1" a="1"/>
  <c r="K458" i="1" a="1"/>
  <c r="K459" i="1" a="1"/>
  <c r="K460" i="1" a="1"/>
  <c r="K461" i="1" a="1"/>
  <c r="K462" i="1" a="1"/>
  <c r="K463" i="1" a="1"/>
  <c r="K464" i="1" a="1"/>
  <c r="K465" i="1" a="1"/>
  <c r="K466" i="1" a="1"/>
  <c r="K467" i="1" a="1"/>
  <c r="K468" i="1" a="1"/>
  <c r="K469" i="1" a="1"/>
  <c r="K470" i="1" a="1"/>
  <c r="K471" i="1" a="1"/>
  <c r="K472" i="1" a="1"/>
  <c r="K473" i="1" a="1"/>
  <c r="K474" i="1" a="1"/>
  <c r="K475" i="1" a="1"/>
  <c r="K476" i="1" a="1"/>
  <c r="K477" i="1" a="1"/>
  <c r="K478" i="1" a="1"/>
  <c r="K479" i="1" a="1"/>
  <c r="K480" i="1" a="1"/>
  <c r="K481" i="1" a="1"/>
  <c r="K482" i="1" a="1"/>
  <c r="K483" i="1" a="1"/>
  <c r="K484" i="1" a="1"/>
  <c r="K485" i="1" a="1"/>
  <c r="K486" i="1" a="1"/>
  <c r="K487" i="1" a="1"/>
  <c r="K488" i="1" a="1"/>
  <c r="K489" i="1" a="1"/>
  <c r="K490" i="1" a="1"/>
  <c r="K491" i="1" a="1"/>
  <c r="K492" i="1" a="1"/>
  <c r="K493" i="1" a="1"/>
  <c r="K494" i="1" a="1"/>
  <c r="K495" i="1" a="1"/>
  <c r="K496" i="1" a="1"/>
  <c r="K497" i="1" a="1"/>
  <c r="K498" i="1" a="1"/>
  <c r="K499" i="1" a="1"/>
  <c r="K500" i="1" a="1"/>
  <c r="K501" i="1" a="1"/>
  <c r="K502" i="1" a="1"/>
  <c r="K503" i="1" a="1"/>
  <c r="K504" i="1" a="1"/>
  <c r="K505" i="1" a="1"/>
  <c r="K506" i="1" a="1"/>
  <c r="K507" i="1" a="1"/>
  <c r="K508" i="1" a="1"/>
  <c r="K509" i="1" a="1"/>
  <c r="K510" i="1" a="1"/>
  <c r="K511" i="1" a="1"/>
  <c r="K512" i="1" a="1"/>
  <c r="K513" i="1" a="1"/>
  <c r="K514" i="1" a="1"/>
  <c r="K515" i="1" a="1"/>
  <c r="K516" i="1" a="1"/>
  <c r="K517" i="1" a="1"/>
  <c r="K518" i="1" a="1"/>
  <c r="K519" i="1" a="1"/>
  <c r="K520" i="1" a="1"/>
  <c r="K521" i="1" a="1"/>
  <c r="K522" i="1" a="1"/>
  <c r="K523" i="1" a="1"/>
  <c r="K524" i="1" a="1"/>
  <c r="K525" i="1" a="1"/>
  <c r="K526" i="1" a="1"/>
  <c r="K527" i="1" a="1"/>
  <c r="K528" i="1" a="1"/>
  <c r="K529" i="1" a="1"/>
  <c r="K530" i="1" a="1"/>
  <c r="K531" i="1" a="1"/>
  <c r="K532" i="1" a="1"/>
  <c r="K533" i="1" a="1"/>
  <c r="K534" i="1" a="1"/>
  <c r="K535" i="1" a="1"/>
  <c r="K536" i="1" a="1"/>
  <c r="K537" i="1" a="1"/>
  <c r="K538" i="1" a="1"/>
  <c r="K539" i="1" a="1"/>
  <c r="K540" i="1" a="1"/>
  <c r="K541" i="1" a="1"/>
  <c r="K542" i="1" a="1"/>
  <c r="K543" i="1" a="1"/>
  <c r="K544" i="1" a="1"/>
  <c r="K545" i="1" a="1"/>
  <c r="K546" i="1" a="1"/>
  <c r="K547" i="1" a="1"/>
  <c r="K548" i="1" a="1"/>
  <c r="K549" i="1" a="1"/>
  <c r="K550" i="1" a="1"/>
  <c r="K551" i="1" a="1"/>
  <c r="K552" i="1" a="1"/>
  <c r="K553" i="1" a="1"/>
  <c r="K554" i="1" a="1"/>
  <c r="K555" i="1" a="1"/>
  <c r="K556" i="1" a="1"/>
  <c r="K557" i="1" a="1"/>
  <c r="K558" i="1" a="1"/>
  <c r="K559" i="1" a="1"/>
  <c r="K560" i="1" a="1"/>
  <c r="K561" i="1" a="1"/>
  <c r="K562" i="1" a="1"/>
  <c r="K563" i="1" a="1"/>
  <c r="K564" i="1" a="1"/>
  <c r="K565" i="1" a="1"/>
  <c r="K566" i="1" a="1"/>
  <c r="K567" i="1" a="1"/>
  <c r="K568" i="1" a="1"/>
  <c r="K569" i="1" a="1"/>
  <c r="K570" i="1" a="1"/>
  <c r="K571" i="1" a="1"/>
  <c r="K572" i="1" a="1"/>
  <c r="K573" i="1" a="1"/>
  <c r="K574" i="1" a="1"/>
  <c r="K575" i="1" a="1"/>
  <c r="K576" i="1" a="1"/>
  <c r="K577" i="1" a="1"/>
  <c r="K578" i="1" a="1"/>
  <c r="K579" i="1" a="1"/>
  <c r="K580" i="1" a="1"/>
  <c r="K581" i="1" a="1"/>
  <c r="K582" i="1" a="1"/>
  <c r="K583" i="1" a="1"/>
  <c r="K584" i="1" a="1"/>
  <c r="K585" i="1" a="1"/>
  <c r="K586" i="1" a="1"/>
  <c r="K587" i="1" a="1"/>
  <c r="K588" i="1" a="1"/>
  <c r="K589" i="1" a="1"/>
  <c r="K590" i="1" a="1"/>
  <c r="K591" i="1" a="1"/>
  <c r="K592" i="1" a="1"/>
  <c r="K593" i="1" a="1"/>
  <c r="K594" i="1" a="1"/>
  <c r="K595" i="1" a="1"/>
  <c r="K596" i="1" a="1"/>
  <c r="K597" i="1" a="1"/>
  <c r="K598" i="1" a="1"/>
  <c r="K599" i="1" a="1"/>
  <c r="K600" i="1" a="1"/>
  <c r="K601" i="1" a="1"/>
  <c r="K602" i="1" a="1"/>
  <c r="K603" i="1" a="1"/>
  <c r="K604" i="1" a="1"/>
  <c r="K605" i="1" a="1"/>
  <c r="K606" i="1" a="1"/>
  <c r="K607" i="1" a="1"/>
  <c r="K608" i="1" a="1"/>
  <c r="K609" i="1" a="1"/>
  <c r="K610" i="1" a="1"/>
  <c r="K611" i="1" a="1"/>
  <c r="K612" i="1" a="1"/>
  <c r="K613" i="1" a="1"/>
  <c r="K614" i="1" a="1"/>
  <c r="K615" i="1" a="1"/>
  <c r="K616" i="1" a="1"/>
  <c r="K617" i="1" a="1"/>
  <c r="K618" i="1" a="1"/>
  <c r="K619" i="1" a="1"/>
  <c r="K620" i="1" a="1"/>
  <c r="K621" i="1" a="1"/>
  <c r="K622" i="1" a="1"/>
  <c r="K623" i="1" a="1"/>
  <c r="K624" i="1" a="1"/>
  <c r="K625" i="1" a="1"/>
  <c r="K626" i="1" a="1"/>
  <c r="K627" i="1" a="1"/>
  <c r="K628" i="1" a="1"/>
  <c r="K629" i="1" a="1"/>
  <c r="K630" i="1" a="1"/>
  <c r="K631" i="1" a="1"/>
  <c r="K632" i="1" a="1"/>
  <c r="K633" i="1" a="1"/>
  <c r="K634" i="1" a="1"/>
  <c r="K635" i="1" a="1"/>
  <c r="K636" i="1" a="1"/>
  <c r="K637" i="1" a="1"/>
  <c r="K638" i="1" a="1"/>
  <c r="K639" i="1" a="1"/>
  <c r="K640" i="1" a="1"/>
  <c r="K641" i="1" a="1"/>
  <c r="K642" i="1" a="1"/>
  <c r="K643" i="1" a="1"/>
  <c r="K644" i="1" a="1"/>
  <c r="K645" i="1" a="1"/>
  <c r="K646" i="1" a="1"/>
  <c r="K647" i="1" a="1"/>
  <c r="K648" i="1" a="1"/>
  <c r="K649" i="1" a="1"/>
  <c r="K650" i="1" a="1"/>
  <c r="K651" i="1" a="1"/>
  <c r="K652" i="1" a="1"/>
  <c r="K653" i="1" a="1"/>
  <c r="K654" i="1" a="1"/>
  <c r="K655" i="1" a="1"/>
  <c r="K656" i="1" a="1"/>
  <c r="K657" i="1" a="1"/>
  <c r="K658" i="1" a="1"/>
  <c r="K659" i="1" a="1"/>
  <c r="K660" i="1" a="1"/>
  <c r="K661" i="1" a="1"/>
  <c r="K662" i="1" a="1"/>
  <c r="K663" i="1" a="1"/>
  <c r="K664" i="1" a="1"/>
  <c r="K665" i="1" a="1"/>
  <c r="K666" i="1" a="1"/>
  <c r="K667" i="1" a="1"/>
  <c r="K668" i="1" a="1"/>
  <c r="K669" i="1" a="1"/>
  <c r="K670" i="1" a="1"/>
  <c r="K671" i="1" a="1"/>
  <c r="K672" i="1" a="1"/>
  <c r="K673" i="1" a="1"/>
  <c r="K674" i="1" a="1"/>
  <c r="K675" i="1" a="1"/>
  <c r="K676" i="1" a="1"/>
  <c r="K677" i="1" a="1"/>
  <c r="K678" i="1" a="1"/>
  <c r="K679" i="1" a="1"/>
  <c r="K680" i="1" a="1"/>
  <c r="K681" i="1" a="1"/>
  <c r="K682" i="1" a="1"/>
  <c r="K683" i="1" a="1"/>
  <c r="K684" i="1" a="1"/>
  <c r="K685" i="1" a="1"/>
  <c r="K686" i="1" a="1"/>
  <c r="K687" i="1" a="1"/>
  <c r="K688" i="1" a="1"/>
  <c r="K689" i="1" a="1"/>
  <c r="K690" i="1" a="1"/>
  <c r="K691" i="1" a="1"/>
  <c r="K692" i="1" a="1"/>
  <c r="K693" i="1" a="1"/>
  <c r="K694" i="1" a="1"/>
  <c r="K695" i="1" a="1"/>
  <c r="K696" i="1" a="1"/>
  <c r="K697" i="1" a="1"/>
  <c r="K698" i="1" a="1"/>
  <c r="K699" i="1" a="1"/>
  <c r="K700" i="1" a="1"/>
  <c r="K701" i="1" a="1"/>
  <c r="K702" i="1" a="1"/>
  <c r="K703" i="1" a="1"/>
  <c r="K704" i="1" a="1"/>
  <c r="K705" i="1" a="1"/>
  <c r="K706" i="1" a="1"/>
  <c r="K707" i="1" a="1"/>
  <c r="K708" i="1" a="1"/>
  <c r="K709" i="1" a="1"/>
  <c r="K710" i="1" a="1"/>
  <c r="K711" i="1" a="1"/>
  <c r="K712" i="1" a="1"/>
  <c r="K713" i="1" a="1"/>
  <c r="K714" i="1" a="1"/>
  <c r="K715" i="1" a="1"/>
  <c r="K716" i="1" a="1"/>
  <c r="K717" i="1" a="1"/>
  <c r="K718" i="1" a="1"/>
  <c r="K719" i="1" a="1"/>
  <c r="K720" i="1" a="1"/>
  <c r="K721" i="1" a="1"/>
  <c r="K722" i="1" a="1"/>
  <c r="K723" i="1" a="1"/>
  <c r="K724" i="1" a="1"/>
  <c r="K725" i="1" a="1"/>
  <c r="K726" i="1" a="1"/>
  <c r="K727" i="1" a="1"/>
  <c r="K728" i="1" a="1"/>
  <c r="K729" i="1" a="1"/>
  <c r="K730" i="1" a="1"/>
  <c r="K731" i="1" a="1"/>
  <c r="K732" i="1" a="1"/>
  <c r="K733" i="1" a="1"/>
  <c r="K734" i="1" a="1"/>
  <c r="K735" i="1" a="1"/>
  <c r="K736" i="1" a="1"/>
  <c r="K737" i="1" a="1"/>
  <c r="K738" i="1" a="1"/>
  <c r="K739" i="1" a="1"/>
  <c r="K740" i="1" a="1"/>
  <c r="K741" i="1" a="1"/>
  <c r="K742" i="1" a="1"/>
  <c r="K743" i="1" a="1"/>
  <c r="K744" i="1" a="1"/>
  <c r="K745" i="1" a="1"/>
  <c r="K746" i="1" a="1"/>
  <c r="K747" i="1" a="1"/>
  <c r="K748" i="1" a="1"/>
  <c r="K749" i="1" a="1"/>
  <c r="K750" i="1" a="1"/>
  <c r="K751" i="1" a="1"/>
  <c r="K752" i="1" a="1"/>
  <c r="K753" i="1" a="1"/>
  <c r="K754" i="1" a="1"/>
  <c r="K755" i="1" a="1"/>
  <c r="K756" i="1" a="1"/>
  <c r="K757" i="1" a="1"/>
  <c r="K758" i="1" a="1"/>
  <c r="K759" i="1" a="1"/>
  <c r="K760" i="1" a="1"/>
  <c r="K761" i="1" a="1"/>
  <c r="K762" i="1" a="1"/>
  <c r="K763" i="1" a="1"/>
  <c r="K764" i="1" a="1"/>
  <c r="K765" i="1" a="1"/>
  <c r="K766" i="1" a="1"/>
  <c r="K767" i="1" a="1"/>
  <c r="K768" i="1" a="1"/>
  <c r="K769" i="1" a="1"/>
  <c r="K770" i="1" a="1"/>
  <c r="K771" i="1" a="1"/>
  <c r="K772" i="1" a="1"/>
  <c r="K773" i="1" a="1"/>
  <c r="K774" i="1" a="1"/>
  <c r="K775" i="1" a="1"/>
  <c r="K776" i="1" a="1"/>
  <c r="K777" i="1" a="1"/>
  <c r="K778" i="1" a="1"/>
  <c r="K779" i="1" a="1"/>
  <c r="K780" i="1" a="1"/>
  <c r="K781" i="1" a="1"/>
  <c r="K782" i="1" a="1"/>
  <c r="K783" i="1" a="1"/>
  <c r="K784" i="1" a="1"/>
  <c r="K785" i="1" a="1"/>
  <c r="K786" i="1" a="1"/>
  <c r="K787" i="1" a="1"/>
  <c r="K788" i="1" a="1"/>
  <c r="K789" i="1" a="1"/>
  <c r="K790" i="1" a="1"/>
  <c r="K791" i="1" a="1"/>
  <c r="K792" i="1" a="1"/>
  <c r="K793" i="1" a="1"/>
  <c r="K794" i="1" a="1"/>
  <c r="K795" i="1" a="1"/>
  <c r="K796" i="1" a="1"/>
  <c r="K797" i="1" a="1"/>
  <c r="K798" i="1" a="1"/>
  <c r="K799" i="1" a="1"/>
  <c r="K800" i="1" a="1"/>
  <c r="K801" i="1" a="1"/>
  <c r="K802" i="1" a="1"/>
  <c r="K803" i="1" a="1"/>
  <c r="K804" i="1" a="1"/>
  <c r="K805" i="1" a="1"/>
  <c r="K806" i="1" a="1"/>
  <c r="K807" i="1" a="1"/>
  <c r="K808" i="1" a="1"/>
  <c r="K809" i="1" a="1"/>
  <c r="K810" i="1" a="1"/>
  <c r="K811" i="1" a="1"/>
  <c r="K812" i="1" a="1"/>
  <c r="K813" i="1" a="1"/>
  <c r="K814" i="1" a="1"/>
  <c r="K815" i="1" a="1"/>
  <c r="K816" i="1" a="1"/>
  <c r="K817" i="1" a="1"/>
  <c r="K818" i="1" a="1"/>
  <c r="K819" i="1" a="1"/>
  <c r="K820" i="1" a="1"/>
  <c r="K821" i="1" a="1"/>
  <c r="K822" i="1" a="1"/>
  <c r="K823" i="1" a="1"/>
  <c r="K824" i="1" a="1"/>
  <c r="K825" i="1" a="1"/>
  <c r="K826" i="1" a="1"/>
  <c r="K827" i="1" a="1"/>
  <c r="K828" i="1" a="1"/>
  <c r="K829" i="1" a="1"/>
  <c r="K830" i="1" a="1"/>
  <c r="K831" i="1" a="1"/>
  <c r="K832" i="1" a="1"/>
  <c r="K833" i="1" a="1"/>
  <c r="K834" i="1" a="1"/>
  <c r="K835" i="1" a="1"/>
  <c r="K836" i="1" a="1"/>
  <c r="K837" i="1" a="1"/>
  <c r="K838" i="1" a="1"/>
  <c r="K839" i="1" a="1"/>
  <c r="K840" i="1" a="1"/>
  <c r="K841" i="1" a="1"/>
  <c r="K842" i="1" a="1"/>
  <c r="K843" i="1" a="1"/>
  <c r="K844" i="1" a="1"/>
  <c r="K845" i="1" a="1"/>
  <c r="K846" i="1" a="1"/>
  <c r="K847" i="1" a="1"/>
  <c r="K848" i="1" a="1"/>
  <c r="K849" i="1" a="1"/>
  <c r="K850" i="1" a="1"/>
  <c r="K851" i="1" a="1"/>
  <c r="K852" i="1" a="1"/>
  <c r="K853" i="1" a="1"/>
  <c r="K854" i="1" a="1"/>
  <c r="K855" i="1" a="1"/>
  <c r="K856" i="1" a="1"/>
  <c r="K857" i="1" a="1"/>
  <c r="K858" i="1" a="1"/>
  <c r="K859" i="1" a="1"/>
  <c r="K860" i="1" a="1"/>
  <c r="K861" i="1" a="1"/>
  <c r="K862" i="1" a="1"/>
  <c r="K863" i="1" a="1"/>
  <c r="K864" i="1" a="1"/>
  <c r="K865" i="1" a="1"/>
  <c r="K866" i="1" a="1"/>
  <c r="K867" i="1" a="1"/>
  <c r="K868" i="1" a="1"/>
  <c r="K869" i="1" a="1"/>
  <c r="K870" i="1" a="1"/>
  <c r="K871" i="1" a="1"/>
  <c r="K872" i="1" a="1"/>
  <c r="K873" i="1" a="1"/>
  <c r="K874" i="1" a="1"/>
  <c r="K875" i="1" a="1"/>
  <c r="K876" i="1" a="1"/>
  <c r="K877" i="1" a="1"/>
  <c r="K878" i="1" a="1"/>
  <c r="K879" i="1" a="1"/>
  <c r="K880" i="1" a="1"/>
  <c r="K881" i="1" a="1"/>
  <c r="K882" i="1" a="1"/>
  <c r="K883" i="1" a="1"/>
  <c r="K884" i="1" a="1"/>
  <c r="K885" i="1" a="1"/>
  <c r="K886" i="1" a="1"/>
  <c r="K887" i="1" a="1"/>
  <c r="K888" i="1" a="1"/>
  <c r="K889" i="1" a="1"/>
  <c r="K890" i="1" a="1"/>
  <c r="K891" i="1" a="1"/>
  <c r="K892" i="1" a="1"/>
  <c r="K893" i="1" a="1"/>
  <c r="K894" i="1" a="1"/>
  <c r="K895" i="1" a="1"/>
  <c r="K896" i="1" a="1"/>
  <c r="K897" i="1" a="1"/>
  <c r="K898" i="1" a="1"/>
  <c r="K899" i="1" a="1"/>
  <c r="K900" i="1" a="1"/>
  <c r="K901" i="1" a="1"/>
  <c r="K902" i="1" a="1"/>
  <c r="K903" i="1" a="1"/>
  <c r="K904" i="1" a="1"/>
  <c r="K905" i="1" a="1"/>
  <c r="K906" i="1" a="1"/>
  <c r="K907" i="1" a="1"/>
  <c r="K908" i="1" a="1"/>
  <c r="K909" i="1" a="1"/>
  <c r="K910" i="1" a="1"/>
  <c r="K911" i="1" a="1"/>
  <c r="K912" i="1" a="1"/>
  <c r="K913" i="1" a="1"/>
  <c r="K914" i="1" a="1"/>
  <c r="K915" i="1" a="1"/>
  <c r="K916" i="1" a="1"/>
  <c r="K917" i="1" a="1"/>
  <c r="K918" i="1" a="1"/>
  <c r="K919" i="1" a="1"/>
  <c r="K920" i="1" a="1"/>
  <c r="K921" i="1" a="1"/>
  <c r="K922" i="1" a="1"/>
  <c r="K923" i="1" a="1"/>
  <c r="K924" i="1" a="1"/>
  <c r="K925" i="1" a="1"/>
  <c r="K926" i="1" a="1"/>
  <c r="K927" i="1" a="1"/>
  <c r="K928" i="1" a="1"/>
  <c r="K929" i="1" a="1"/>
  <c r="K930" i="1" a="1"/>
  <c r="K931" i="1" a="1"/>
  <c r="K932" i="1" a="1"/>
  <c r="K933" i="1" a="1"/>
  <c r="K934" i="1" a="1"/>
  <c r="K935" i="1" a="1"/>
  <c r="K936" i="1" a="1"/>
  <c r="K937" i="1" a="1"/>
  <c r="K938" i="1" a="1"/>
  <c r="K939" i="1" a="1"/>
  <c r="K940" i="1" a="1"/>
  <c r="K941" i="1" a="1"/>
  <c r="K942" i="1" a="1"/>
  <c r="K943" i="1" a="1"/>
  <c r="K944" i="1" a="1"/>
  <c r="K945" i="1" a="1"/>
  <c r="K946" i="1" a="1"/>
  <c r="K947" i="1" a="1"/>
  <c r="K948" i="1" a="1"/>
  <c r="K949" i="1" a="1"/>
  <c r="K950" i="1" a="1"/>
  <c r="K951" i="1" a="1"/>
  <c r="K952" i="1" a="1"/>
  <c r="K953" i="1" a="1"/>
  <c r="K954" i="1" a="1"/>
  <c r="K955" i="1" a="1"/>
  <c r="K956" i="1" a="1"/>
  <c r="K957" i="1" a="1"/>
  <c r="K958" i="1" a="1"/>
  <c r="K959" i="1" a="1"/>
  <c r="K960" i="1" a="1"/>
  <c r="K961" i="1" a="1"/>
  <c r="K962" i="1" a="1"/>
  <c r="K963" i="1" a="1"/>
  <c r="K964" i="1" a="1"/>
  <c r="K965" i="1" a="1"/>
  <c r="K966" i="1" a="1"/>
  <c r="K967" i="1" a="1"/>
  <c r="K968" i="1" a="1"/>
  <c r="K969" i="1" a="1"/>
  <c r="K970" i="1" a="1"/>
  <c r="K971" i="1" a="1"/>
  <c r="K972" i="1" a="1"/>
  <c r="K973" i="1" a="1"/>
  <c r="K974" i="1" a="1"/>
  <c r="K975" i="1" a="1"/>
  <c r="K976" i="1" a="1"/>
  <c r="K977" i="1" a="1"/>
  <c r="K978" i="1" a="1"/>
  <c r="K979" i="1" a="1"/>
  <c r="K980" i="1" a="1"/>
  <c r="K981" i="1" a="1"/>
  <c r="K982" i="1" a="1"/>
  <c r="K983" i="1" a="1"/>
  <c r="K984" i="1" a="1"/>
  <c r="K985" i="1" a="1"/>
  <c r="K986" i="1" a="1"/>
  <c r="K987" i="1" a="1"/>
  <c r="K988" i="1" a="1"/>
  <c r="K989" i="1" a="1"/>
  <c r="K990" i="1" a="1"/>
  <c r="K991" i="1" a="1"/>
  <c r="K992" i="1" a="1"/>
  <c r="K993" i="1" a="1"/>
  <c r="K994" i="1" a="1"/>
  <c r="K995" i="1" a="1"/>
  <c r="K996" i="1" a="1"/>
  <c r="K997" i="1" a="1"/>
  <c r="K998" i="1" a="1"/>
  <c r="K999" i="1" a="1"/>
  <c r="K1000" i="1" a="1"/>
  <c r="K1001" i="1" a="1"/>
  <c r="K1002" i="1" a="1"/>
  <c r="K1003" i="1" a="1"/>
  <c r="K1004" i="1" a="1"/>
  <c r="K1005" i="1" a="1"/>
  <c r="K1006" i="1" a="1"/>
  <c r="K1007" i="1" a="1"/>
  <c r="K1008" i="1" a="1"/>
  <c r="K1009" i="1" a="1"/>
  <c r="K1010" i="1" a="1"/>
  <c r="K1011" i="1" a="1"/>
  <c r="K1012" i="1" a="1"/>
  <c r="K1013" i="1" a="1"/>
  <c r="K1014" i="1" a="1"/>
  <c r="K1015" i="1" a="1"/>
  <c r="K1016" i="1" a="1"/>
  <c r="K1017" i="1" a="1"/>
  <c r="K1018" i="1" a="1"/>
  <c r="K1019" i="1" a="1"/>
  <c r="K1020" i="1" a="1"/>
  <c r="K1021" i="1" a="1"/>
  <c r="K1022" i="1" a="1"/>
  <c r="K1023" i="1" a="1"/>
  <c r="K1024" i="1" a="1"/>
  <c r="K1025" i="1" a="1"/>
  <c r="K1026" i="1" a="1"/>
  <c r="K1027" i="1" a="1"/>
  <c r="K1028" i="1" a="1"/>
  <c r="K1029" i="1" a="1"/>
  <c r="K1030" i="1" a="1"/>
  <c r="K1031" i="1" a="1"/>
  <c r="K1032" i="1" a="1"/>
  <c r="K1033" i="1" a="1"/>
  <c r="K1034" i="1" a="1"/>
  <c r="K1035" i="1" a="1"/>
  <c r="K1036" i="1" a="1"/>
  <c r="K1037" i="1" a="1"/>
  <c r="K1038" i="1" a="1"/>
  <c r="K1039" i="1" a="1"/>
  <c r="K1040" i="1" a="1"/>
  <c r="K1041" i="1" a="1"/>
  <c r="K1042" i="1" a="1"/>
  <c r="K1043" i="1" a="1"/>
  <c r="K1044" i="1" a="1"/>
  <c r="K1045" i="1" a="1"/>
  <c r="K1046" i="1" a="1"/>
  <c r="K1047" i="1" a="1"/>
  <c r="K1048" i="1" a="1"/>
  <c r="K1049" i="1" a="1"/>
  <c r="K1050" i="1" a="1"/>
  <c r="K1051" i="1" a="1"/>
  <c r="K1052" i="1" a="1"/>
  <c r="K1053" i="1" a="1"/>
  <c r="K1054" i="1" a="1"/>
  <c r="K1055" i="1" a="1"/>
  <c r="K1056" i="1" a="1"/>
  <c r="K1057" i="1" a="1"/>
  <c r="K1058" i="1" a="1"/>
  <c r="K1059" i="1" a="1"/>
  <c r="K1060" i="1" a="1"/>
  <c r="K1061" i="1" a="1"/>
  <c r="K1062" i="1" a="1"/>
  <c r="K1063" i="1" a="1"/>
  <c r="K1064" i="1" a="1"/>
  <c r="K1065" i="1" a="1"/>
  <c r="K1066" i="1" a="1"/>
  <c r="K1067" i="1" a="1"/>
  <c r="K1068" i="1" a="1"/>
  <c r="K1069" i="1" a="1"/>
  <c r="K1070" i="1" a="1"/>
  <c r="K1071" i="1" a="1"/>
  <c r="K1072" i="1" a="1"/>
  <c r="K1073" i="1" a="1"/>
  <c r="K1074" i="1" a="1"/>
  <c r="K1075" i="1" a="1"/>
  <c r="K1076" i="1" a="1"/>
  <c r="K1077" i="1" a="1"/>
  <c r="K1078" i="1" a="1"/>
  <c r="K1079" i="1" a="1"/>
  <c r="K1080" i="1" a="1"/>
  <c r="K1081" i="1" a="1"/>
  <c r="K1082" i="1" a="1"/>
  <c r="K1083" i="1" a="1"/>
  <c r="K1084" i="1" a="1"/>
  <c r="K1085" i="1" a="1"/>
  <c r="K1086" i="1" a="1"/>
  <c r="K1087" i="1" a="1"/>
  <c r="K1088" i="1" a="1"/>
  <c r="K1089" i="1" a="1"/>
  <c r="K1090" i="1" a="1"/>
  <c r="K1091" i="1" a="1"/>
  <c r="K1092" i="1" a="1"/>
  <c r="K1093" i="1" a="1"/>
  <c r="K1094" i="1" a="1"/>
  <c r="K1095" i="1" a="1"/>
  <c r="K1096" i="1" a="1"/>
  <c r="K1097" i="1" a="1"/>
  <c r="K1098" i="1" a="1"/>
  <c r="K1099" i="1" a="1"/>
  <c r="K1100" i="1" a="1"/>
  <c r="K1101" i="1" a="1"/>
  <c r="K1102" i="1" a="1"/>
  <c r="K1103" i="1" a="1"/>
  <c r="K1104" i="1" a="1"/>
  <c r="K1105" i="1" a="1"/>
  <c r="K1106" i="1" a="1"/>
  <c r="K1107" i="1" a="1"/>
  <c r="K1108" i="1" a="1"/>
  <c r="K1109" i="1" a="1"/>
  <c r="K1110" i="1" a="1"/>
  <c r="K1111" i="1" a="1"/>
  <c r="K1112" i="1" a="1"/>
  <c r="K1113" i="1" a="1"/>
  <c r="K1114" i="1" a="1"/>
  <c r="K1115" i="1" a="1"/>
  <c r="K1116" i="1" a="1"/>
  <c r="K1117" i="1" a="1"/>
  <c r="K1118" i="1" a="1"/>
  <c r="K1119" i="1" a="1"/>
  <c r="K1120" i="1" a="1"/>
  <c r="K1121" i="1" a="1"/>
  <c r="K1122" i="1" a="1"/>
  <c r="K1123" i="1" a="1"/>
  <c r="K1124" i="1" a="1"/>
  <c r="K1125" i="1" a="1"/>
  <c r="K1126" i="1" a="1"/>
  <c r="K1127" i="1" a="1"/>
  <c r="K1128" i="1" a="1"/>
  <c r="K1129" i="1" a="1"/>
  <c r="K1130" i="1" a="1"/>
  <c r="K1131" i="1" a="1"/>
  <c r="K1132" i="1" a="1"/>
  <c r="K1133" i="1" a="1"/>
  <c r="K1134" i="1" a="1"/>
  <c r="K1135" i="1" a="1"/>
  <c r="K1136" i="1" a="1"/>
  <c r="K1137" i="1" a="1"/>
  <c r="K1138" i="1" a="1"/>
  <c r="K1139" i="1" a="1"/>
  <c r="K1140" i="1" a="1"/>
  <c r="K1141" i="1" a="1"/>
  <c r="K1142" i="1" a="1"/>
  <c r="K1143" i="1" a="1"/>
  <c r="K1144" i="1" a="1"/>
  <c r="K1145" i="1" a="1"/>
  <c r="K1146" i="1" a="1"/>
  <c r="K1147" i="1" a="1"/>
  <c r="K1148" i="1" a="1"/>
  <c r="K1149" i="1" a="1"/>
  <c r="K1150" i="1" a="1"/>
  <c r="K1151" i="1" a="1"/>
  <c r="K1152" i="1" a="1"/>
  <c r="K1153" i="1" a="1"/>
  <c r="K1154" i="1" a="1"/>
  <c r="K1155" i="1" a="1"/>
  <c r="K1156" i="1" a="1"/>
  <c r="K1157" i="1" a="1"/>
  <c r="K1158" i="1" a="1"/>
  <c r="K1159" i="1" a="1"/>
  <c r="K1160" i="1" a="1"/>
  <c r="K1161" i="1" a="1"/>
  <c r="K1162" i="1" a="1"/>
  <c r="K1163" i="1" a="1"/>
  <c r="K1164" i="1" a="1"/>
  <c r="K1165" i="1" a="1"/>
  <c r="K1166" i="1" a="1"/>
  <c r="K1167" i="1" a="1"/>
  <c r="K1168" i="1" a="1"/>
  <c r="K1169" i="1" a="1"/>
  <c r="K1170" i="1" a="1"/>
  <c r="K1171" i="1" a="1"/>
  <c r="K1172" i="1" a="1"/>
  <c r="K1173" i="1" a="1"/>
  <c r="K1174" i="1" a="1"/>
  <c r="K1175" i="1" a="1"/>
  <c r="K1176" i="1" a="1"/>
  <c r="K1177" i="1" a="1"/>
  <c r="K1178" i="1" a="1"/>
  <c r="K1179" i="1" a="1"/>
  <c r="K1180" i="1" a="1"/>
  <c r="K1181" i="1" a="1"/>
  <c r="K1182" i="1" a="1"/>
  <c r="K1183" i="1" a="1"/>
  <c r="K1184" i="1" a="1"/>
  <c r="K1185" i="1" a="1"/>
  <c r="K1186" i="1" a="1"/>
  <c r="K1187" i="1" a="1"/>
  <c r="K1188" i="1" a="1"/>
  <c r="K1189" i="1" a="1"/>
  <c r="K1190" i="1" a="1"/>
  <c r="K1191" i="1" a="1"/>
  <c r="K1192" i="1" a="1"/>
  <c r="K1193" i="1" a="1"/>
  <c r="K1194" i="1" a="1"/>
  <c r="K1195" i="1" a="1"/>
  <c r="K1196" i="1" a="1"/>
  <c r="K1197" i="1" a="1"/>
  <c r="K1198" i="1" a="1"/>
  <c r="K1199" i="1" a="1"/>
  <c r="K1200" i="1" a="1"/>
  <c r="K1201" i="1" a="1"/>
  <c r="K1202" i="1" a="1"/>
  <c r="K1203" i="1" a="1"/>
  <c r="K1204" i="1" a="1"/>
  <c r="K1205" i="1" a="1"/>
  <c r="K1206" i="1" a="1"/>
  <c r="K1207" i="1" a="1"/>
  <c r="K1208" i="1" a="1"/>
  <c r="K1209" i="1" a="1"/>
  <c r="K1210" i="1" a="1"/>
  <c r="K1211" i="1" a="1"/>
  <c r="K1212" i="1" a="1"/>
  <c r="K1213" i="1" a="1"/>
  <c r="K1214" i="1" a="1"/>
  <c r="K1215" i="1" a="1"/>
  <c r="K1216" i="1" a="1"/>
  <c r="K1217" i="1" a="1"/>
  <c r="K1218" i="1" a="1"/>
  <c r="K1219" i="1" a="1"/>
  <c r="K1220" i="1" a="1"/>
  <c r="K1221" i="1" a="1"/>
  <c r="K1222" i="1" a="1"/>
  <c r="K1223" i="1" a="1"/>
  <c r="K1224" i="1" a="1"/>
  <c r="K1225" i="1" a="1"/>
  <c r="K1226" i="1" a="1"/>
  <c r="K1227" i="1" a="1"/>
  <c r="K1228" i="1" a="1"/>
  <c r="K1229" i="1" a="1"/>
  <c r="K1230" i="1" a="1"/>
  <c r="K1231" i="1" a="1"/>
  <c r="K1232" i="1" a="1"/>
  <c r="K1233" i="1" a="1"/>
  <c r="K1234" i="1" a="1"/>
  <c r="K1235" i="1" a="1"/>
  <c r="K1236" i="1" a="1"/>
  <c r="K1237" i="1" a="1"/>
  <c r="K1238" i="1" a="1"/>
  <c r="K1239" i="1" a="1"/>
  <c r="K1240" i="1" a="1"/>
  <c r="K1241" i="1" a="1"/>
  <c r="K1242" i="1" a="1"/>
  <c r="K1243" i="1" a="1"/>
  <c r="K1244" i="1" a="1"/>
  <c r="K1245" i="1" a="1"/>
  <c r="K1246" i="1" a="1"/>
  <c r="K1247" i="1" a="1"/>
  <c r="K1248" i="1" a="1"/>
  <c r="K1249" i="1" a="1"/>
  <c r="K1250" i="1" a="1"/>
  <c r="K1251" i="1" a="1"/>
  <c r="K1252" i="1" a="1"/>
  <c r="K1253" i="1" a="1"/>
  <c r="K1254" i="1" a="1"/>
  <c r="K1255" i="1" a="1"/>
  <c r="K1256" i="1" a="1"/>
  <c r="K1257" i="1" a="1"/>
  <c r="K1258" i="1" a="1"/>
  <c r="K1259" i="1" a="1"/>
  <c r="K1260" i="1" a="1"/>
  <c r="K1261" i="1" a="1"/>
  <c r="K1262" i="1" a="1"/>
  <c r="K1263" i="1" a="1"/>
  <c r="K1264" i="1" a="1"/>
  <c r="K1265" i="1" a="1"/>
  <c r="K1266" i="1" a="1"/>
  <c r="K1267" i="1" a="1"/>
  <c r="K1268" i="1" a="1"/>
  <c r="K1269" i="1" a="1"/>
  <c r="K1270" i="1" a="1"/>
  <c r="K1271" i="1" a="1"/>
  <c r="K1272" i="1" a="1"/>
  <c r="K1273" i="1" a="1"/>
  <c r="K1274" i="1" a="1"/>
  <c r="K1275" i="1" a="1"/>
  <c r="K1276" i="1" a="1"/>
  <c r="K1277" i="1" a="1"/>
  <c r="K1278" i="1" a="1"/>
  <c r="K1279" i="1" a="1"/>
  <c r="K1280" i="1" a="1"/>
  <c r="K1281" i="1" a="1"/>
  <c r="K1282" i="1" a="1"/>
  <c r="K1283" i="1" a="1"/>
  <c r="K1284" i="1" a="1"/>
  <c r="K1285" i="1" a="1"/>
  <c r="K1286" i="1" a="1"/>
  <c r="K1287" i="1" a="1"/>
  <c r="K1288" i="1" a="1"/>
  <c r="K1289" i="1" a="1"/>
  <c r="K1290" i="1" a="1"/>
  <c r="K1291" i="1" a="1"/>
  <c r="K1292" i="1" a="1"/>
  <c r="K1293" i="1" a="1"/>
  <c r="K1294" i="1" a="1"/>
  <c r="K1295" i="1" a="1"/>
  <c r="K1296" i="1" a="1"/>
  <c r="K1297" i="1" a="1"/>
  <c r="K1298" i="1" a="1"/>
  <c r="K1299" i="1" a="1"/>
  <c r="K1300" i="1" a="1"/>
  <c r="K1301" i="1" a="1"/>
  <c r="K1302" i="1" a="1"/>
  <c r="K1303" i="1" a="1"/>
  <c r="K1304" i="1" a="1"/>
  <c r="K1305" i="1" a="1"/>
  <c r="K1306" i="1" a="1"/>
  <c r="K1307" i="1" a="1"/>
  <c r="K1308" i="1" a="1"/>
  <c r="K1309" i="1" a="1"/>
  <c r="K1310" i="1" a="1"/>
  <c r="K1311" i="1" a="1"/>
  <c r="K1312" i="1" a="1"/>
  <c r="K1313" i="1" a="1"/>
  <c r="K1314" i="1" a="1"/>
  <c r="K1315" i="1" a="1"/>
  <c r="K1316" i="1" a="1"/>
  <c r="K1317" i="1" a="1"/>
  <c r="K1318" i="1" a="1"/>
  <c r="K1319" i="1" a="1"/>
  <c r="K1320" i="1" a="1"/>
  <c r="K1321" i="1" a="1"/>
  <c r="K1322" i="1" a="1"/>
  <c r="K1323" i="1" a="1"/>
  <c r="K1324" i="1" a="1"/>
  <c r="K1325" i="1" a="1"/>
  <c r="K1326" i="1" a="1"/>
  <c r="K1327" i="1" a="1"/>
  <c r="K1328" i="1" a="1"/>
  <c r="K1329" i="1" a="1"/>
  <c r="K1330" i="1" a="1"/>
  <c r="K1331" i="1" a="1"/>
  <c r="K1332" i="1" a="1"/>
  <c r="K1333" i="1" a="1"/>
  <c r="K1334" i="1" a="1"/>
  <c r="K1335" i="1" a="1"/>
  <c r="K1336" i="1" a="1"/>
  <c r="K1337" i="1" a="1"/>
  <c r="K1338" i="1" a="1"/>
  <c r="K1339" i="1" a="1"/>
  <c r="K1340" i="1" a="1"/>
  <c r="K1341" i="1" a="1"/>
  <c r="K1342" i="1" a="1"/>
  <c r="K1343" i="1" a="1"/>
  <c r="K1344" i="1" a="1"/>
  <c r="K1345" i="1" a="1"/>
  <c r="K1346" i="1" a="1"/>
  <c r="K1347" i="1" a="1"/>
  <c r="K1348" i="1" a="1"/>
  <c r="K1349" i="1" a="1"/>
  <c r="K1350" i="1" a="1"/>
  <c r="K1351" i="1" a="1"/>
  <c r="K1352" i="1" a="1"/>
  <c r="K1353" i="1" a="1"/>
  <c r="K1354" i="1" a="1"/>
  <c r="K1355" i="1" a="1"/>
  <c r="K1356" i="1" a="1"/>
  <c r="K1357" i="1" a="1"/>
  <c r="K1358" i="1" a="1"/>
  <c r="K1359" i="1" a="1"/>
  <c r="K1360" i="1" a="1"/>
  <c r="K1361" i="1" a="1"/>
  <c r="K1362" i="1" a="1"/>
  <c r="K1363" i="1" a="1"/>
  <c r="K1364" i="1" a="1"/>
  <c r="K1365" i="1" a="1"/>
  <c r="K1366" i="1" a="1"/>
  <c r="K1367" i="1" a="1"/>
  <c r="K1368" i="1" a="1"/>
  <c r="K1369" i="1" a="1"/>
  <c r="K1370" i="1" a="1"/>
  <c r="K1371" i="1" a="1"/>
  <c r="K1372" i="1" a="1"/>
  <c r="K1373" i="1" a="1"/>
  <c r="K1374" i="1" a="1"/>
  <c r="K1375" i="1" a="1"/>
  <c r="K1376" i="1" a="1"/>
  <c r="K1377" i="1" a="1"/>
  <c r="K1378" i="1" a="1"/>
  <c r="K1379" i="1" a="1"/>
  <c r="K1380" i="1" a="1"/>
  <c r="K1381" i="1" a="1"/>
  <c r="K1382" i="1" a="1"/>
  <c r="K1383" i="1" a="1"/>
  <c r="K1384" i="1" a="1"/>
  <c r="K1385" i="1" a="1"/>
  <c r="K1386" i="1" a="1"/>
  <c r="K1387" i="1" a="1"/>
  <c r="K1388" i="1" a="1"/>
  <c r="K1389" i="1" a="1"/>
  <c r="K1390" i="1" a="1"/>
  <c r="K1391" i="1" a="1"/>
  <c r="K1392" i="1" a="1"/>
  <c r="K1393" i="1" a="1"/>
  <c r="K1394" i="1" a="1"/>
  <c r="K1395" i="1" a="1"/>
  <c r="K1396" i="1" a="1"/>
  <c r="K1397" i="1" a="1"/>
  <c r="K1398" i="1" a="1"/>
  <c r="K1399" i="1" a="1"/>
  <c r="K1400" i="1" a="1"/>
  <c r="K1401" i="1" a="1"/>
  <c r="K1402" i="1" a="1"/>
  <c r="K1403" i="1" a="1"/>
  <c r="K1404" i="1" a="1"/>
  <c r="K1405" i="1" a="1"/>
  <c r="K1406" i="1" a="1"/>
  <c r="K1407" i="1" a="1"/>
  <c r="K1408" i="1" a="1"/>
  <c r="K1409" i="1" a="1"/>
  <c r="K1410" i="1" a="1"/>
  <c r="K1411" i="1" a="1"/>
  <c r="K1412" i="1" a="1"/>
  <c r="K1413" i="1" a="1"/>
  <c r="K1414" i="1" a="1"/>
  <c r="K1415" i="1" a="1"/>
  <c r="K1416" i="1" a="1"/>
  <c r="K1417" i="1" a="1"/>
  <c r="K1418" i="1" a="1"/>
  <c r="K1419" i="1" a="1"/>
  <c r="K1420" i="1" a="1"/>
  <c r="K1421" i="1" a="1"/>
  <c r="K1422" i="1" a="1"/>
  <c r="K1423" i="1" a="1"/>
  <c r="K1424" i="1" a="1"/>
  <c r="K1425" i="1" a="1"/>
  <c r="K1426" i="1" a="1"/>
  <c r="K1427" i="1" a="1"/>
  <c r="K1428" i="1" a="1"/>
  <c r="K1429" i="1" a="1"/>
  <c r="K1430" i="1" a="1"/>
  <c r="K1431" i="1" a="1"/>
  <c r="K1432" i="1" a="1"/>
  <c r="K1433" i="1" a="1"/>
  <c r="K1434" i="1" a="1"/>
  <c r="K1435" i="1" a="1"/>
  <c r="K1436" i="1" a="1"/>
  <c r="K1437" i="1" a="1"/>
  <c r="K1438" i="1" a="1"/>
  <c r="K1439" i="1" a="1"/>
  <c r="K1440" i="1" a="1"/>
  <c r="K1441" i="1" a="1"/>
  <c r="K1442" i="1" a="1"/>
  <c r="K1443" i="1" a="1"/>
  <c r="K1444" i="1" a="1"/>
  <c r="K1445" i="1" a="1"/>
  <c r="K1446" i="1" a="1"/>
  <c r="K1447" i="1" a="1"/>
  <c r="K1448" i="1" a="1"/>
  <c r="K1449" i="1" a="1"/>
  <c r="K1450" i="1" a="1"/>
  <c r="K1451" i="1" a="1"/>
  <c r="K1452" i="1" a="1"/>
  <c r="K1453" i="1" a="1"/>
  <c r="K1454" i="1" a="1"/>
  <c r="K1455" i="1" a="1"/>
  <c r="K1456" i="1" a="1"/>
  <c r="K1457" i="1" a="1"/>
  <c r="K1458" i="1" a="1"/>
  <c r="K1459" i="1" a="1"/>
  <c r="K1460" i="1" a="1"/>
  <c r="K1461" i="1" a="1"/>
  <c r="K1462" i="1" a="1"/>
  <c r="K1463" i="1" a="1"/>
  <c r="K1464" i="1" a="1"/>
  <c r="K1465" i="1" a="1"/>
  <c r="K1466" i="1" a="1"/>
  <c r="K1467" i="1" a="1"/>
  <c r="K1468" i="1" a="1"/>
  <c r="K1469" i="1" a="1"/>
  <c r="K1470" i="1" a="1"/>
  <c r="K1471" i="1" a="1"/>
  <c r="K1472" i="1" a="1"/>
  <c r="K1473" i="1" a="1"/>
  <c r="K1474" i="1" a="1"/>
  <c r="K1475" i="1" a="1"/>
  <c r="K1476" i="1" a="1"/>
  <c r="K1477" i="1" a="1"/>
  <c r="K1478" i="1" a="1"/>
  <c r="K1479" i="1" a="1"/>
  <c r="K1480" i="1" a="1"/>
  <c r="K1481" i="1" a="1"/>
  <c r="K1482" i="1" a="1"/>
  <c r="K1483" i="1" a="1"/>
  <c r="K1484" i="1" a="1"/>
  <c r="K1485" i="1" a="1"/>
  <c r="K1486" i="1" a="1"/>
  <c r="K1487" i="1" a="1"/>
  <c r="K1488" i="1" a="1"/>
  <c r="K1489" i="1" a="1"/>
  <c r="K1490" i="1" a="1"/>
  <c r="K1491" i="1" a="1"/>
  <c r="K1492" i="1" a="1"/>
  <c r="K1493" i="1" a="1"/>
  <c r="K1494" i="1" a="1"/>
  <c r="K1495" i="1" a="1"/>
  <c r="K1496" i="1" a="1"/>
  <c r="K1497" i="1" a="1"/>
  <c r="K1498" i="1" a="1"/>
  <c r="K1499" i="1" a="1"/>
  <c r="K1500" i="1" a="1"/>
  <c r="K1501" i="1" a="1"/>
  <c r="K1502" i="1" a="1"/>
  <c r="K1503" i="1" a="1"/>
  <c r="K1504" i="1" a="1"/>
  <c r="K1505" i="1" a="1"/>
  <c r="K1506" i="1" a="1"/>
  <c r="K1507" i="1" a="1"/>
  <c r="K1508" i="1" a="1"/>
  <c r="K1509" i="1" a="1"/>
  <c r="K1510" i="1" a="1"/>
  <c r="K1511" i="1" a="1"/>
  <c r="K1512" i="1" a="1"/>
  <c r="K1513" i="1" a="1"/>
  <c r="K1514" i="1" a="1"/>
  <c r="K1515" i="1" a="1"/>
  <c r="K1516" i="1" a="1"/>
  <c r="K1517" i="1" a="1"/>
  <c r="K1518" i="1" a="1"/>
  <c r="K1519" i="1" a="1"/>
  <c r="K1520" i="1" a="1"/>
  <c r="K1521" i="1" a="1"/>
  <c r="K1522" i="1" a="1"/>
  <c r="K1523" i="1" a="1"/>
  <c r="K1524" i="1" a="1"/>
  <c r="K1525" i="1" a="1"/>
  <c r="K1526" i="1" a="1"/>
  <c r="K1527" i="1" a="1"/>
  <c r="K1528" i="1" a="1"/>
  <c r="K1529" i="1" a="1"/>
  <c r="K1530" i="1" a="1"/>
  <c r="K1531" i="1" a="1"/>
  <c r="K1532" i="1" a="1"/>
  <c r="K1533" i="1" a="1"/>
  <c r="K1534" i="1" a="1"/>
  <c r="K1535" i="1" a="1"/>
  <c r="K1536" i="1" a="1"/>
  <c r="K1537" i="1" a="1"/>
  <c r="K1538" i="1" a="1"/>
  <c r="K1539" i="1" a="1"/>
  <c r="K1540" i="1" a="1"/>
  <c r="K1541" i="1" a="1"/>
  <c r="K1542" i="1" a="1"/>
  <c r="K1543" i="1" a="1"/>
  <c r="K1544" i="1" a="1"/>
  <c r="K1545" i="1" a="1"/>
  <c r="K1546" i="1" a="1"/>
  <c r="K1547" i="1" a="1"/>
  <c r="K1548" i="1" a="1"/>
  <c r="K1549" i="1" a="1"/>
  <c r="K1550" i="1" a="1"/>
  <c r="K1551" i="1" a="1"/>
  <c r="K1552" i="1" a="1"/>
  <c r="K1553" i="1" a="1"/>
  <c r="K1554" i="1" a="1"/>
  <c r="K1555" i="1" a="1"/>
  <c r="K1556" i="1" a="1"/>
  <c r="K1557" i="1" a="1"/>
  <c r="K1558" i="1" a="1"/>
  <c r="K1559" i="1" a="1"/>
  <c r="K1560" i="1" a="1"/>
  <c r="K1561" i="1" a="1"/>
  <c r="K1562" i="1" a="1"/>
  <c r="K1563" i="1" a="1"/>
  <c r="K1564" i="1" a="1"/>
  <c r="K1565" i="1" a="1"/>
  <c r="K1566" i="1" a="1"/>
  <c r="K1567" i="1" a="1"/>
  <c r="K1568" i="1" a="1"/>
  <c r="K1569" i="1" a="1"/>
  <c r="K1570" i="1" a="1"/>
  <c r="K1571" i="1" a="1"/>
  <c r="K1572" i="1" a="1"/>
  <c r="K1573" i="1" a="1"/>
  <c r="K1574" i="1" a="1"/>
  <c r="K1575" i="1" a="1"/>
  <c r="K1576" i="1" a="1"/>
  <c r="K1577" i="1" a="1"/>
  <c r="K1578" i="1" a="1"/>
  <c r="K1579" i="1" a="1"/>
  <c r="K1580" i="1" a="1"/>
  <c r="K1581" i="1" a="1"/>
  <c r="K1582" i="1" a="1"/>
  <c r="K1583" i="1" a="1"/>
  <c r="K1584" i="1" a="1"/>
  <c r="K1585" i="1" a="1"/>
  <c r="K1586" i="1" a="1"/>
  <c r="K1587" i="1" a="1"/>
  <c r="K1588" i="1" a="1"/>
  <c r="K1589" i="1" a="1"/>
  <c r="K1590" i="1" a="1"/>
  <c r="K1591" i="1" a="1"/>
  <c r="K1592" i="1" a="1"/>
  <c r="K1593" i="1" a="1"/>
  <c r="K1594" i="1" a="1"/>
  <c r="K1595" i="1" a="1"/>
  <c r="K1596" i="1" a="1"/>
  <c r="K1597" i="1" a="1"/>
  <c r="K1598" i="1" a="1"/>
  <c r="K1599" i="1" a="1"/>
  <c r="K1600" i="1" a="1"/>
  <c r="K1601" i="1" a="1"/>
  <c r="K1602" i="1" a="1"/>
  <c r="K1603" i="1" a="1"/>
  <c r="K1604" i="1" a="1"/>
  <c r="K1605" i="1" a="1"/>
  <c r="K1606" i="1" a="1"/>
  <c r="K1607" i="1" a="1"/>
  <c r="K1608" i="1" a="1"/>
  <c r="K1609" i="1" a="1"/>
  <c r="K1610" i="1" a="1"/>
  <c r="K1611" i="1" a="1"/>
  <c r="K1612" i="1" a="1"/>
  <c r="K1613" i="1" a="1"/>
  <c r="K1614" i="1" a="1"/>
  <c r="K1615" i="1" a="1"/>
  <c r="K1616" i="1" a="1"/>
  <c r="K1617" i="1" a="1"/>
  <c r="K1618" i="1" a="1"/>
  <c r="K1619" i="1" a="1"/>
  <c r="K1620" i="1" a="1"/>
  <c r="K1621" i="1" a="1"/>
  <c r="K1622" i="1" a="1"/>
  <c r="K1623" i="1" a="1"/>
  <c r="K1624" i="1" a="1"/>
  <c r="K1625" i="1" a="1"/>
  <c r="K1626" i="1" a="1"/>
  <c r="K1627" i="1" a="1"/>
  <c r="K1628" i="1" a="1"/>
  <c r="K1629" i="1" a="1"/>
  <c r="K1630" i="1" a="1"/>
  <c r="K1631" i="1" a="1"/>
  <c r="K1632" i="1" a="1"/>
  <c r="K1633" i="1" a="1"/>
  <c r="K1634" i="1" a="1"/>
  <c r="K1635" i="1" a="1"/>
  <c r="K1636" i="1" a="1"/>
  <c r="K1637" i="1" a="1"/>
  <c r="K1638" i="1" a="1"/>
  <c r="K1639" i="1" a="1"/>
  <c r="K1640" i="1" a="1"/>
  <c r="K1641" i="1" a="1"/>
  <c r="K1642" i="1" a="1"/>
  <c r="K1643" i="1" a="1"/>
  <c r="K1644" i="1" a="1"/>
  <c r="K1645" i="1" a="1"/>
  <c r="K1646" i="1" a="1"/>
  <c r="K1647" i="1" a="1"/>
  <c r="K1648" i="1" a="1"/>
  <c r="K1649" i="1" a="1"/>
  <c r="K1650" i="1" a="1"/>
  <c r="K1651" i="1" a="1"/>
  <c r="K1652" i="1" a="1"/>
  <c r="K1653" i="1" a="1"/>
  <c r="K1654" i="1" a="1"/>
  <c r="K1655" i="1" a="1"/>
  <c r="K1656" i="1" a="1"/>
  <c r="K1657" i="1" a="1"/>
  <c r="K1658" i="1" a="1"/>
  <c r="K1659" i="1" a="1"/>
  <c r="K1660" i="1" a="1"/>
  <c r="K1661" i="1" a="1"/>
  <c r="K1662" i="1" a="1"/>
  <c r="K1663" i="1" a="1"/>
  <c r="K1664" i="1" a="1"/>
  <c r="K1665" i="1" a="1"/>
  <c r="K1666" i="1" a="1"/>
  <c r="K1667" i="1" a="1"/>
  <c r="K1668" i="1" a="1"/>
  <c r="K1669" i="1" a="1"/>
  <c r="K1670" i="1" a="1"/>
  <c r="K1671" i="1" a="1"/>
  <c r="K1672" i="1" a="1"/>
  <c r="K1673" i="1" a="1"/>
  <c r="K1674" i="1" a="1"/>
  <c r="K1675" i="1" a="1"/>
  <c r="K1676" i="1" a="1"/>
  <c r="K1677" i="1" a="1"/>
  <c r="K1678" i="1" a="1"/>
  <c r="K1679" i="1" a="1"/>
  <c r="K1680" i="1" a="1"/>
  <c r="K1681" i="1" a="1"/>
  <c r="K1682" i="1" a="1"/>
  <c r="K1683" i="1" a="1"/>
  <c r="K1684" i="1" a="1"/>
  <c r="K1685" i="1" a="1"/>
  <c r="K1686" i="1" a="1"/>
  <c r="K1687" i="1" a="1"/>
  <c r="K1688" i="1" a="1"/>
  <c r="K1689" i="1" a="1"/>
  <c r="K1690" i="1" a="1"/>
  <c r="K1691" i="1" a="1"/>
  <c r="K1692" i="1" a="1"/>
  <c r="K1693" i="1" a="1"/>
  <c r="K1694" i="1" a="1"/>
  <c r="K1695" i="1" a="1"/>
  <c r="K1696" i="1" a="1"/>
  <c r="K1697" i="1" a="1"/>
  <c r="K1698" i="1" a="1"/>
  <c r="K1699" i="1" a="1"/>
  <c r="K1700" i="1" a="1"/>
  <c r="K1701" i="1" a="1"/>
  <c r="K1702" i="1" a="1"/>
  <c r="K1703" i="1" a="1"/>
  <c r="K1704" i="1" a="1"/>
  <c r="K1705" i="1" a="1"/>
  <c r="K1706" i="1" a="1"/>
  <c r="K1707" i="1" a="1"/>
  <c r="K1708" i="1" a="1"/>
  <c r="K1709" i="1" a="1"/>
  <c r="K1710" i="1" a="1"/>
  <c r="K1711" i="1" a="1"/>
  <c r="K1712" i="1" a="1"/>
  <c r="K1713" i="1" a="1"/>
  <c r="K1714" i="1" a="1"/>
  <c r="K1715" i="1" a="1"/>
  <c r="K1716" i="1" a="1"/>
  <c r="K1717" i="1" a="1"/>
  <c r="K1718" i="1" a="1"/>
  <c r="K1719" i="1" a="1"/>
  <c r="K1720" i="1" a="1"/>
  <c r="K1721" i="1" a="1"/>
  <c r="K1722" i="1" a="1"/>
  <c r="K1723" i="1" a="1"/>
  <c r="K1724" i="1" a="1"/>
  <c r="K1725" i="1" a="1"/>
  <c r="K1726" i="1" a="1"/>
  <c r="K1727" i="1" a="1"/>
  <c r="K1728" i="1" a="1"/>
  <c r="K1729" i="1" a="1"/>
  <c r="K1730" i="1" a="1"/>
  <c r="K1731" i="1" a="1"/>
  <c r="K1732" i="1" a="1"/>
  <c r="K1733" i="1" a="1"/>
  <c r="K1734" i="1" a="1"/>
  <c r="K1735" i="1" a="1"/>
  <c r="K1736" i="1" a="1"/>
  <c r="K1737" i="1" a="1"/>
  <c r="K1738" i="1" a="1"/>
  <c r="K1739" i="1" a="1"/>
  <c r="K1740" i="1" a="1"/>
  <c r="K1743" i="1" a="1"/>
  <c r="K1744" i="1" a="1"/>
  <c r="K1745" i="1" a="1"/>
  <c r="K1746" i="1" a="1"/>
  <c r="K1747" i="1" a="1"/>
  <c r="K1748" i="1" a="1"/>
  <c r="K1749" i="1" a="1"/>
  <c r="K1750" i="1" a="1"/>
  <c r="K1751" i="1" a="1"/>
  <c r="K1752" i="1" a="1"/>
  <c r="K1753" i="1" a="1"/>
  <c r="K1754" i="1" a="1"/>
  <c r="K1755" i="1" a="1"/>
  <c r="K1756" i="1" a="1"/>
  <c r="K1757" i="1" a="1"/>
  <c r="K1758" i="1" a="1"/>
  <c r="K1759" i="1" a="1"/>
  <c r="K1760" i="1" a="1"/>
  <c r="K1761" i="1" a="1"/>
  <c r="K1762" i="1" a="1"/>
  <c r="K1763" i="1" a="1"/>
  <c r="K1764" i="1" a="1"/>
  <c r="K1765" i="1" a="1"/>
  <c r="K1766" i="1" a="1"/>
  <c r="K1767" i="1" a="1"/>
  <c r="K1768" i="1" a="1"/>
  <c r="K1769" i="1" a="1"/>
  <c r="K1770" i="1" a="1"/>
  <c r="K1771" i="1" a="1"/>
  <c r="K1772" i="1" a="1"/>
  <c r="K1773" i="1" a="1"/>
  <c r="K1774" i="1" a="1"/>
  <c r="K1775" i="1" a="1"/>
  <c r="K1776" i="1" a="1"/>
  <c r="K1777" i="1" a="1"/>
  <c r="K1778" i="1" a="1"/>
  <c r="K1779" i="1" a="1"/>
  <c r="K1780" i="1" a="1"/>
  <c r="K1781" i="1" a="1"/>
  <c r="K1782" i="1" a="1"/>
  <c r="K1783" i="1" a="1"/>
  <c r="K1784" i="1" a="1"/>
  <c r="K1785" i="1" a="1"/>
  <c r="K1786" i="1" a="1"/>
  <c r="K1787" i="1" a="1"/>
  <c r="K1788" i="1" a="1"/>
  <c r="K1789" i="1" a="1"/>
  <c r="K1790" i="1" a="1"/>
  <c r="K1791" i="1" a="1"/>
  <c r="K1792" i="1" a="1"/>
  <c r="K1793" i="1" a="1"/>
  <c r="K1794" i="1" a="1"/>
  <c r="K1795" i="1" a="1"/>
  <c r="K1796" i="1" a="1"/>
  <c r="K1797" i="1" a="1"/>
  <c r="K1798" i="1" a="1"/>
  <c r="K1799" i="1" a="1"/>
  <c r="K1800" i="1" a="1"/>
  <c r="K1801" i="1" a="1"/>
  <c r="K1802" i="1" a="1"/>
  <c r="K1803" i="1" a="1"/>
  <c r="K1804" i="1" a="1"/>
  <c r="K1805" i="1" a="1"/>
  <c r="K1806" i="1" a="1"/>
  <c r="K1807" i="1" a="1"/>
  <c r="K1808" i="1" a="1"/>
  <c r="K1809" i="1" a="1"/>
  <c r="K1810" i="1" a="1"/>
  <c r="K1811" i="1" a="1"/>
  <c r="K1812" i="1" a="1"/>
  <c r="K1813" i="1" a="1"/>
  <c r="K1814" i="1" a="1"/>
  <c r="K1815" i="1" a="1"/>
  <c r="K1816" i="1" a="1"/>
  <c r="K1817" i="1" a="1"/>
  <c r="K1818" i="1" a="1"/>
  <c r="K1819" i="1" a="1"/>
  <c r="K1820" i="1" a="1"/>
  <c r="K1821" i="1" a="1"/>
  <c r="K1822" i="1" a="1"/>
  <c r="K1823" i="1" a="1"/>
  <c r="K1824" i="1" a="1"/>
  <c r="K1825" i="1" a="1"/>
  <c r="K1826" i="1" a="1"/>
  <c r="K1827" i="1" a="1"/>
  <c r="K1828" i="1" a="1"/>
  <c r="K1829" i="1" a="1"/>
  <c r="K1830" i="1" a="1"/>
  <c r="K1831" i="1" a="1"/>
  <c r="K1832" i="1" a="1"/>
  <c r="K1833" i="1" a="1"/>
  <c r="K1834" i="1" a="1"/>
  <c r="K1835" i="1" a="1"/>
  <c r="K1836" i="1" a="1"/>
  <c r="K1837" i="1" a="1"/>
  <c r="K1838" i="1" a="1"/>
  <c r="K1839" i="1" a="1"/>
  <c r="K1840" i="1" a="1"/>
  <c r="K1841" i="1" a="1"/>
  <c r="K1842" i="1" a="1"/>
  <c r="K1843" i="1" a="1"/>
  <c r="K1844" i="1" a="1"/>
  <c r="L16" i="1" a="1"/>
  <c r="L17" i="1" a="1"/>
  <c r="L18" i="1" a="1"/>
  <c r="L19" i="1" a="1"/>
  <c r="L20" i="1" a="1"/>
  <c r="L21" i="1" a="1"/>
  <c r="L22" i="1" a="1"/>
  <c r="L23" i="1" a="1"/>
  <c r="L24" i="1" a="1"/>
  <c r="L25" i="1" a="1"/>
  <c r="L26" i="1" a="1"/>
  <c r="L27" i="1" a="1"/>
  <c r="L28" i="1" a="1"/>
  <c r="L29" i="1" a="1"/>
  <c r="L30" i="1" a="1"/>
  <c r="L31" i="1" a="1"/>
  <c r="L32" i="1" a="1"/>
  <c r="L33" i="1" a="1"/>
  <c r="L34" i="1" a="1"/>
  <c r="L35" i="1" a="1"/>
  <c r="L36" i="1" a="1"/>
  <c r="L37" i="1" a="1"/>
  <c r="L38" i="1" a="1"/>
  <c r="L39" i="1" a="1"/>
  <c r="L40" i="1" a="1"/>
  <c r="L41" i="1" a="1"/>
  <c r="L42" i="1" a="1"/>
  <c r="L43" i="1" a="1"/>
  <c r="L44" i="1" a="1"/>
  <c r="L45" i="1" a="1"/>
  <c r="L46" i="1" a="1"/>
  <c r="L47" i="1" a="1"/>
  <c r="L48" i="1" a="1"/>
  <c r="L49" i="1" a="1"/>
  <c r="L50" i="1" a="1"/>
  <c r="L51" i="1" a="1"/>
  <c r="L52" i="1" a="1"/>
  <c r="L53" i="1" a="1"/>
  <c r="L54" i="1" a="1"/>
  <c r="L55" i="1" a="1"/>
  <c r="L56" i="1" a="1"/>
  <c r="L57" i="1" a="1"/>
  <c r="L58" i="1" a="1"/>
  <c r="L59" i="1" a="1"/>
  <c r="L60" i="1" a="1"/>
  <c r="L61" i="1" a="1"/>
  <c r="L62" i="1" a="1"/>
  <c r="L63" i="1" a="1"/>
  <c r="L64" i="1" a="1"/>
  <c r="L65" i="1" a="1"/>
  <c r="L66" i="1" a="1"/>
  <c r="L67" i="1" a="1"/>
  <c r="L68" i="1" a="1"/>
  <c r="L69" i="1" a="1"/>
  <c r="L70" i="1" a="1"/>
  <c r="L71" i="1" a="1"/>
  <c r="L72" i="1" a="1"/>
  <c r="L73" i="1" a="1"/>
  <c r="L74" i="1" a="1"/>
  <c r="L75" i="1" a="1"/>
  <c r="L76" i="1" a="1"/>
  <c r="L77" i="1" a="1"/>
  <c r="L78" i="1" a="1"/>
  <c r="L79" i="1" a="1"/>
  <c r="L80" i="1" a="1"/>
  <c r="L81" i="1" a="1"/>
  <c r="L82" i="1" a="1"/>
  <c r="L83" i="1" a="1"/>
  <c r="L84" i="1" a="1"/>
  <c r="L85" i="1" a="1"/>
  <c r="L86" i="1" a="1"/>
  <c r="L87" i="1" a="1"/>
  <c r="L88" i="1" a="1"/>
  <c r="L89" i="1" a="1"/>
  <c r="L90" i="1" a="1"/>
  <c r="L91" i="1" a="1"/>
  <c r="L92" i="1" a="1"/>
  <c r="L93" i="1" a="1"/>
  <c r="L94" i="1" a="1"/>
  <c r="L95" i="1" a="1"/>
  <c r="L96" i="1" a="1"/>
  <c r="L97" i="1" a="1"/>
  <c r="L98" i="1" a="1"/>
  <c r="L99" i="1" a="1"/>
  <c r="L100" i="1" a="1"/>
  <c r="L101" i="1" a="1"/>
  <c r="L102" i="1" a="1"/>
  <c r="L103" i="1" a="1"/>
  <c r="L104" i="1" a="1"/>
  <c r="L105" i="1" a="1"/>
  <c r="L106" i="1" a="1"/>
  <c r="L107" i="1" a="1"/>
  <c r="L108" i="1" a="1"/>
  <c r="L109" i="1" a="1"/>
  <c r="L110" i="1" a="1"/>
  <c r="L111" i="1" a="1"/>
  <c r="L112" i="1" a="1"/>
  <c r="L113" i="1" a="1"/>
  <c r="L114" i="1" a="1"/>
  <c r="L115" i="1" a="1"/>
  <c r="L116" i="1" a="1"/>
  <c r="L117" i="1" a="1"/>
  <c r="L118" i="1" a="1"/>
  <c r="L119" i="1" a="1"/>
  <c r="L120" i="1" a="1"/>
  <c r="L121" i="1" a="1"/>
  <c r="L122" i="1" a="1"/>
  <c r="L123" i="1" a="1"/>
  <c r="L124" i="1" a="1"/>
  <c r="L125" i="1" a="1"/>
  <c r="L126" i="1" a="1"/>
  <c r="L127" i="1" a="1"/>
  <c r="L128" i="1" a="1"/>
  <c r="L129" i="1" a="1"/>
  <c r="L130" i="1" a="1"/>
  <c r="L131" i="1" a="1"/>
  <c r="L132" i="1" a="1"/>
  <c r="L133" i="1" a="1"/>
  <c r="L134" i="1" a="1"/>
  <c r="L135" i="1" a="1"/>
  <c r="L136" i="1" a="1"/>
  <c r="L137" i="1" a="1"/>
  <c r="L138" i="1" a="1"/>
  <c r="L139" i="1" a="1"/>
  <c r="L140" i="1" a="1"/>
  <c r="L141" i="1" a="1"/>
  <c r="L142" i="1" a="1"/>
  <c r="L143" i="1" a="1"/>
  <c r="L144" i="1" a="1"/>
  <c r="L145" i="1" a="1"/>
  <c r="L146" i="1" a="1"/>
  <c r="L147" i="1" a="1"/>
  <c r="L148" i="1" a="1"/>
  <c r="L149" i="1" a="1"/>
  <c r="L150" i="1" a="1"/>
  <c r="L151" i="1" a="1"/>
  <c r="L152" i="1" a="1"/>
  <c r="L153" i="1" a="1"/>
  <c r="L154" i="1" a="1"/>
  <c r="L155" i="1" a="1"/>
  <c r="L156" i="1" a="1"/>
  <c r="L157" i="1" a="1"/>
  <c r="L158" i="1" a="1"/>
  <c r="L159" i="1" a="1"/>
  <c r="L160" i="1" a="1"/>
  <c r="L161" i="1" a="1"/>
  <c r="L162" i="1" a="1"/>
  <c r="L163" i="1" a="1"/>
  <c r="L164" i="1" a="1"/>
  <c r="L165" i="1" a="1"/>
  <c r="L166" i="1" a="1"/>
  <c r="L167" i="1" a="1"/>
  <c r="L168" i="1" a="1"/>
  <c r="L169" i="1" a="1"/>
  <c r="L170" i="1" a="1"/>
  <c r="L171" i="1" a="1"/>
  <c r="L172" i="1" a="1"/>
  <c r="L173" i="1" a="1"/>
  <c r="L174" i="1" a="1"/>
  <c r="L175" i="1" a="1"/>
  <c r="L176" i="1" a="1"/>
  <c r="L177" i="1" a="1"/>
  <c r="L178" i="1" a="1"/>
  <c r="L179" i="1" a="1"/>
  <c r="L180" i="1" a="1"/>
  <c r="L181" i="1" a="1"/>
  <c r="L182" i="1" a="1"/>
  <c r="L183" i="1" a="1"/>
  <c r="L184" i="1" a="1"/>
  <c r="L185" i="1" a="1"/>
  <c r="L186" i="1" a="1"/>
  <c r="L187" i="1" a="1"/>
  <c r="L188" i="1" a="1"/>
  <c r="L189" i="1" a="1"/>
  <c r="L190" i="1" a="1"/>
  <c r="L191" i="1" a="1"/>
  <c r="L192" i="1" a="1"/>
  <c r="L193" i="1" a="1"/>
  <c r="L194" i="1" a="1"/>
  <c r="L195" i="1" a="1"/>
  <c r="L196" i="1" a="1"/>
  <c r="L197" i="1" a="1"/>
  <c r="L198" i="1" a="1"/>
  <c r="L199" i="1" a="1"/>
  <c r="L200" i="1" a="1"/>
  <c r="L201" i="1" a="1"/>
  <c r="L202" i="1" a="1"/>
  <c r="L203" i="1" a="1"/>
  <c r="L204" i="1" a="1"/>
  <c r="L205" i="1" a="1"/>
  <c r="L206" i="1" a="1"/>
  <c r="L207" i="1" a="1"/>
  <c r="L208" i="1" a="1"/>
  <c r="L209" i="1" a="1"/>
  <c r="L210" i="1" a="1"/>
  <c r="L211" i="1" a="1"/>
  <c r="L212" i="1" a="1"/>
  <c r="L213" i="1" a="1"/>
  <c r="L214" i="1" a="1"/>
  <c r="L215" i="1" a="1"/>
  <c r="L216" i="1" a="1"/>
  <c r="L217" i="1" a="1"/>
  <c r="L218" i="1" a="1"/>
  <c r="L219" i="1" a="1"/>
  <c r="L220" i="1" a="1"/>
  <c r="L221" i="1" a="1"/>
  <c r="L222" i="1" a="1"/>
  <c r="L223" i="1" a="1"/>
  <c r="L224" i="1" a="1"/>
  <c r="L225" i="1" a="1"/>
  <c r="L226" i="1" a="1"/>
  <c r="L227" i="1" a="1"/>
  <c r="L228" i="1" a="1"/>
  <c r="L229" i="1" a="1"/>
  <c r="L230" i="1" a="1"/>
  <c r="L231" i="1" a="1"/>
  <c r="L232" i="1" a="1"/>
  <c r="L233" i="1" a="1"/>
  <c r="L234" i="1" a="1"/>
  <c r="L235" i="1" a="1"/>
  <c r="L236" i="1" a="1"/>
  <c r="L237" i="1" a="1"/>
  <c r="L238" i="1" a="1"/>
  <c r="L239" i="1" a="1"/>
  <c r="L240" i="1" a="1"/>
  <c r="L241" i="1" a="1"/>
  <c r="L242" i="1" a="1"/>
  <c r="L243" i="1" a="1"/>
  <c r="L244" i="1" a="1"/>
  <c r="L245" i="1" a="1"/>
  <c r="L246" i="1" a="1"/>
  <c r="L247" i="1" a="1"/>
  <c r="L248" i="1" a="1"/>
  <c r="L249" i="1" a="1"/>
  <c r="L250" i="1" a="1"/>
  <c r="L251" i="1" a="1"/>
  <c r="L252" i="1" a="1"/>
  <c r="L253" i="1" a="1"/>
  <c r="L254" i="1" a="1"/>
  <c r="L255" i="1" a="1"/>
  <c r="L256" i="1" a="1"/>
  <c r="L257" i="1" a="1"/>
  <c r="L258" i="1" a="1"/>
  <c r="L259" i="1" a="1"/>
  <c r="L260" i="1" a="1"/>
  <c r="L261" i="1" a="1"/>
  <c r="L262" i="1" a="1"/>
  <c r="L263" i="1" a="1"/>
  <c r="L264" i="1" a="1"/>
  <c r="L265" i="1" a="1"/>
  <c r="L266" i="1" a="1"/>
  <c r="L267" i="1" a="1"/>
  <c r="L268" i="1" a="1"/>
  <c r="L269" i="1" a="1"/>
  <c r="L270" i="1" a="1"/>
  <c r="L271" i="1" a="1"/>
  <c r="L272" i="1" a="1"/>
  <c r="L273" i="1" a="1"/>
  <c r="L274" i="1" a="1"/>
  <c r="L275" i="1" a="1"/>
  <c r="L276" i="1" a="1"/>
  <c r="L277" i="1" a="1"/>
  <c r="L278" i="1" a="1"/>
  <c r="L279" i="1" a="1"/>
  <c r="L280" i="1" a="1"/>
  <c r="L281" i="1" a="1"/>
  <c r="L282" i="1" a="1"/>
  <c r="L283" i="1" a="1"/>
  <c r="L284" i="1" a="1"/>
  <c r="L285" i="1" a="1"/>
  <c r="L286" i="1" a="1"/>
  <c r="L287" i="1" a="1"/>
  <c r="L288" i="1" a="1"/>
  <c r="L289" i="1" a="1"/>
  <c r="L290" i="1" a="1"/>
  <c r="L291" i="1" a="1"/>
  <c r="L292" i="1" a="1"/>
  <c r="L293" i="1" a="1"/>
  <c r="L294" i="1" a="1"/>
  <c r="L295" i="1" a="1"/>
  <c r="L296" i="1" a="1"/>
  <c r="L297" i="1" a="1"/>
  <c r="L298" i="1" a="1"/>
  <c r="L299" i="1" a="1"/>
  <c r="L300" i="1" a="1"/>
  <c r="L301" i="1" a="1"/>
  <c r="L302" i="1" a="1"/>
  <c r="L303" i="1" a="1"/>
  <c r="L304" i="1" a="1"/>
  <c r="L305" i="1" a="1"/>
  <c r="L306" i="1" a="1"/>
  <c r="L307" i="1" a="1"/>
  <c r="L308" i="1" a="1"/>
  <c r="L309" i="1" a="1"/>
  <c r="L310" i="1" a="1"/>
  <c r="L311" i="1" a="1"/>
  <c r="L312" i="1" a="1"/>
  <c r="L313" i="1" a="1"/>
  <c r="L314" i="1" a="1"/>
  <c r="L315" i="1" a="1"/>
  <c r="L316" i="1" a="1"/>
  <c r="L317" i="1" a="1"/>
  <c r="L318" i="1" a="1"/>
  <c r="L319" i="1" a="1"/>
  <c r="L320" i="1" a="1"/>
  <c r="L321" i="1" a="1"/>
  <c r="L322" i="1" a="1"/>
  <c r="L323" i="1" a="1"/>
  <c r="L324" i="1" a="1"/>
  <c r="L325" i="1" a="1"/>
  <c r="L326" i="1" a="1"/>
  <c r="L327" i="1" a="1"/>
  <c r="L328" i="1" a="1"/>
  <c r="L329" i="1" a="1"/>
  <c r="L330" i="1" a="1"/>
  <c r="L331" i="1" a="1"/>
  <c r="L332" i="1" a="1"/>
  <c r="L333" i="1" a="1"/>
  <c r="L334" i="1" a="1"/>
  <c r="L335" i="1" a="1"/>
  <c r="L336" i="1" a="1"/>
  <c r="L337" i="1" a="1"/>
  <c r="L338" i="1" a="1"/>
  <c r="L339" i="1" a="1"/>
  <c r="L340" i="1" a="1"/>
  <c r="L341" i="1" a="1"/>
  <c r="L342" i="1" a="1"/>
  <c r="L343" i="1" a="1"/>
  <c r="L344" i="1" a="1"/>
  <c r="L345" i="1" a="1"/>
  <c r="L346" i="1" a="1"/>
  <c r="L347" i="1" a="1"/>
  <c r="L348" i="1" a="1"/>
  <c r="L349" i="1" a="1"/>
  <c r="L350" i="1" a="1"/>
  <c r="L351" i="1" a="1"/>
  <c r="L352" i="1" a="1"/>
  <c r="L353" i="1" a="1"/>
  <c r="L354" i="1" a="1"/>
  <c r="L355" i="1" a="1"/>
  <c r="L356" i="1" a="1"/>
  <c r="L357" i="1" a="1"/>
  <c r="L358" i="1" a="1"/>
  <c r="L359" i="1" a="1"/>
  <c r="L360" i="1" a="1"/>
  <c r="L361" i="1" a="1"/>
  <c r="L362" i="1" a="1"/>
  <c r="L363" i="1" a="1"/>
  <c r="L364" i="1" a="1"/>
  <c r="L365" i="1" a="1"/>
  <c r="L366" i="1" a="1"/>
  <c r="L367" i="1" a="1"/>
  <c r="L368" i="1" a="1"/>
  <c r="L369" i="1" a="1"/>
  <c r="L370" i="1" a="1"/>
  <c r="L371" i="1" a="1"/>
  <c r="L372" i="1" a="1"/>
  <c r="L373" i="1" a="1"/>
  <c r="L374" i="1" a="1"/>
  <c r="L375" i="1" a="1"/>
  <c r="L376" i="1" a="1"/>
  <c r="L377" i="1" a="1"/>
  <c r="L378" i="1" a="1"/>
  <c r="L379" i="1" a="1"/>
  <c r="L380" i="1" a="1"/>
  <c r="L381" i="1" a="1"/>
  <c r="L382" i="1" a="1"/>
  <c r="L383" i="1" a="1"/>
  <c r="L384" i="1" a="1"/>
  <c r="L385" i="1" a="1"/>
  <c r="L386" i="1" a="1"/>
  <c r="L387" i="1" a="1"/>
  <c r="L388" i="1" a="1"/>
  <c r="L389" i="1" a="1"/>
  <c r="L390" i="1" a="1"/>
  <c r="L391" i="1" a="1"/>
  <c r="L392" i="1" a="1"/>
  <c r="L393" i="1" a="1"/>
  <c r="L394" i="1" a="1"/>
  <c r="L395" i="1" a="1"/>
  <c r="L396" i="1" a="1"/>
  <c r="L397" i="1" a="1"/>
  <c r="L398" i="1" a="1"/>
  <c r="L399" i="1" a="1"/>
  <c r="L400" i="1" a="1"/>
  <c r="L401" i="1" a="1"/>
  <c r="L402" i="1" a="1"/>
  <c r="L403" i="1" a="1"/>
  <c r="L404" i="1" a="1"/>
  <c r="L405" i="1" a="1"/>
  <c r="L406" i="1" a="1"/>
  <c r="L407" i="1" a="1"/>
  <c r="L408" i="1" a="1"/>
  <c r="L409" i="1" a="1"/>
  <c r="L410" i="1" a="1"/>
  <c r="L411" i="1" a="1"/>
  <c r="L412" i="1" a="1"/>
  <c r="L413" i="1" a="1"/>
  <c r="L414" i="1" a="1"/>
  <c r="L415" i="1" a="1"/>
  <c r="L416" i="1" a="1"/>
  <c r="L417" i="1" a="1"/>
  <c r="L418" i="1" a="1"/>
  <c r="L419" i="1" a="1"/>
  <c r="L420" i="1" a="1"/>
  <c r="L421" i="1" a="1"/>
  <c r="L422" i="1" a="1"/>
  <c r="L423" i="1" a="1"/>
  <c r="L424" i="1" a="1"/>
  <c r="L425" i="1" a="1"/>
  <c r="L426" i="1" a="1"/>
  <c r="L427" i="1" a="1"/>
  <c r="L428" i="1" a="1"/>
  <c r="L429" i="1" a="1"/>
  <c r="L430" i="1" a="1"/>
  <c r="L431" i="1" a="1"/>
  <c r="L432" i="1" a="1"/>
  <c r="L433" i="1" a="1"/>
  <c r="L434" i="1" a="1"/>
  <c r="L435" i="1" a="1"/>
  <c r="L436" i="1" a="1"/>
  <c r="L437" i="1" a="1"/>
  <c r="L438" i="1" a="1"/>
  <c r="L439" i="1" a="1"/>
  <c r="L440" i="1" a="1"/>
  <c r="L441" i="1" a="1"/>
  <c r="L442" i="1" a="1"/>
  <c r="L443" i="1" a="1"/>
  <c r="L444" i="1" a="1"/>
  <c r="L445" i="1" a="1"/>
  <c r="L446" i="1" a="1"/>
  <c r="L447" i="1" a="1"/>
  <c r="L448" i="1" a="1"/>
  <c r="L449" i="1" a="1"/>
  <c r="L450" i="1" a="1"/>
  <c r="L451" i="1" a="1"/>
  <c r="L452" i="1" a="1"/>
  <c r="L453" i="1" a="1"/>
  <c r="L454" i="1" a="1"/>
  <c r="L455" i="1" a="1"/>
  <c r="L456" i="1" a="1"/>
  <c r="L457" i="1" a="1"/>
  <c r="L458" i="1" a="1"/>
  <c r="L459" i="1" a="1"/>
  <c r="L460" i="1" a="1"/>
  <c r="L461" i="1" a="1"/>
  <c r="L462" i="1" a="1"/>
  <c r="L463" i="1" a="1"/>
  <c r="L464" i="1" a="1"/>
  <c r="L465" i="1" a="1"/>
  <c r="L466" i="1" a="1"/>
  <c r="L467" i="1" a="1"/>
  <c r="L468" i="1" a="1"/>
  <c r="L469" i="1" a="1"/>
  <c r="L470" i="1" a="1"/>
  <c r="L471" i="1" a="1"/>
  <c r="L472" i="1" a="1"/>
  <c r="L473" i="1" a="1"/>
  <c r="L474" i="1" a="1"/>
  <c r="L475" i="1" a="1"/>
  <c r="L476" i="1" a="1"/>
  <c r="L477" i="1" a="1"/>
  <c r="L478" i="1" a="1"/>
  <c r="L479" i="1" a="1"/>
  <c r="L480" i="1" a="1"/>
  <c r="L481" i="1" a="1"/>
  <c r="L482" i="1" a="1"/>
  <c r="L483" i="1" a="1"/>
  <c r="L484" i="1" a="1"/>
  <c r="L485" i="1" a="1"/>
  <c r="L486" i="1" a="1"/>
  <c r="L487" i="1" a="1"/>
  <c r="L488" i="1" a="1"/>
  <c r="L489" i="1" a="1"/>
  <c r="L490" i="1" a="1"/>
  <c r="L491" i="1" a="1"/>
  <c r="L492" i="1" a="1"/>
  <c r="L493" i="1" a="1"/>
  <c r="L494" i="1" a="1"/>
  <c r="L495" i="1" a="1"/>
  <c r="L496" i="1" a="1"/>
  <c r="L497" i="1" a="1"/>
  <c r="L498" i="1" a="1"/>
  <c r="L499" i="1" a="1"/>
  <c r="L500" i="1" a="1"/>
  <c r="L501" i="1" a="1"/>
  <c r="L502" i="1" a="1"/>
  <c r="L503" i="1" a="1"/>
  <c r="L504" i="1" a="1"/>
  <c r="L505" i="1" a="1"/>
  <c r="L506" i="1" a="1"/>
  <c r="L507" i="1" a="1"/>
  <c r="L508" i="1" a="1"/>
  <c r="L509" i="1" a="1"/>
  <c r="L510" i="1" a="1"/>
  <c r="L511" i="1" a="1"/>
  <c r="L512" i="1" a="1"/>
  <c r="L513" i="1" a="1"/>
  <c r="L514" i="1" a="1"/>
  <c r="L515" i="1" a="1"/>
  <c r="L516" i="1" a="1"/>
  <c r="L517" i="1" a="1"/>
  <c r="L518" i="1" a="1"/>
  <c r="L519" i="1" a="1"/>
  <c r="L520" i="1" a="1"/>
  <c r="L521" i="1" a="1"/>
  <c r="L522" i="1" a="1"/>
  <c r="L523" i="1" a="1"/>
  <c r="L524" i="1" a="1"/>
  <c r="L525" i="1" a="1"/>
  <c r="L526" i="1" a="1"/>
  <c r="L527" i="1" a="1"/>
  <c r="L528" i="1" a="1"/>
  <c r="L529" i="1" a="1"/>
  <c r="L530" i="1" a="1"/>
  <c r="L531" i="1" a="1"/>
  <c r="L532" i="1" a="1"/>
  <c r="L533" i="1" a="1"/>
  <c r="L534" i="1" a="1"/>
  <c r="L535" i="1" a="1"/>
  <c r="L536" i="1" a="1"/>
  <c r="L537" i="1" a="1"/>
  <c r="L538" i="1" a="1"/>
  <c r="L539" i="1" a="1"/>
  <c r="L540" i="1" a="1"/>
  <c r="L541" i="1" a="1"/>
  <c r="L542" i="1" a="1"/>
  <c r="L543" i="1" a="1"/>
  <c r="L544" i="1" a="1"/>
  <c r="L545" i="1" a="1"/>
  <c r="L546" i="1" a="1"/>
  <c r="L547" i="1" a="1"/>
  <c r="L548" i="1" a="1"/>
  <c r="L549" i="1" a="1"/>
  <c r="L550" i="1" a="1"/>
  <c r="L551" i="1" a="1"/>
  <c r="L552" i="1" a="1"/>
  <c r="L553" i="1" a="1"/>
  <c r="L554" i="1" a="1"/>
  <c r="L555" i="1" a="1"/>
  <c r="L556" i="1" a="1"/>
  <c r="L557" i="1" a="1"/>
  <c r="L558" i="1" a="1"/>
  <c r="L559" i="1" a="1"/>
  <c r="L560" i="1" a="1"/>
  <c r="L561" i="1" a="1"/>
  <c r="L562" i="1" a="1"/>
  <c r="L563" i="1" a="1"/>
  <c r="L564" i="1" a="1"/>
  <c r="L565" i="1" a="1"/>
  <c r="L566" i="1" a="1"/>
  <c r="L567" i="1" a="1"/>
  <c r="L568" i="1" a="1"/>
  <c r="L569" i="1" a="1"/>
  <c r="L570" i="1" a="1"/>
  <c r="L571" i="1" a="1"/>
  <c r="L572" i="1" a="1"/>
  <c r="L573" i="1" a="1"/>
  <c r="L574" i="1" a="1"/>
  <c r="L575" i="1" a="1"/>
  <c r="L576" i="1" a="1"/>
  <c r="L577" i="1" a="1"/>
  <c r="L578" i="1" a="1"/>
  <c r="L579" i="1" a="1"/>
  <c r="L580" i="1" a="1"/>
  <c r="L581" i="1" a="1"/>
  <c r="L582" i="1" a="1"/>
  <c r="L583" i="1" a="1"/>
  <c r="L584" i="1" a="1"/>
  <c r="L585" i="1" a="1"/>
  <c r="L586" i="1" a="1"/>
  <c r="L587" i="1" a="1"/>
  <c r="L588" i="1" a="1"/>
  <c r="L589" i="1" a="1"/>
  <c r="L590" i="1" a="1"/>
  <c r="L591" i="1" a="1"/>
  <c r="L592" i="1" a="1"/>
  <c r="L593" i="1" a="1"/>
  <c r="L594" i="1" a="1"/>
  <c r="L595" i="1" a="1"/>
  <c r="L596" i="1" a="1"/>
  <c r="L597" i="1" a="1"/>
  <c r="L598" i="1" a="1"/>
  <c r="L599" i="1" a="1"/>
  <c r="L600" i="1" a="1"/>
  <c r="L601" i="1" a="1"/>
  <c r="L602" i="1" a="1"/>
  <c r="L603" i="1" a="1"/>
  <c r="L604" i="1" a="1"/>
  <c r="L605" i="1" a="1"/>
  <c r="L606" i="1" a="1"/>
  <c r="L607" i="1" a="1"/>
  <c r="L608" i="1" a="1"/>
  <c r="L609" i="1" a="1"/>
  <c r="L610" i="1" a="1"/>
  <c r="L611" i="1" a="1"/>
  <c r="L612" i="1" a="1"/>
  <c r="L613" i="1" a="1"/>
  <c r="L614" i="1" a="1"/>
  <c r="L615" i="1" a="1"/>
  <c r="L616" i="1" a="1"/>
  <c r="L617" i="1" a="1"/>
  <c r="L618" i="1" a="1"/>
  <c r="L619" i="1" a="1"/>
  <c r="L620" i="1" a="1"/>
  <c r="L621" i="1" a="1"/>
  <c r="L622" i="1" a="1"/>
  <c r="L623" i="1" a="1"/>
  <c r="L624" i="1" a="1"/>
  <c r="L625" i="1" a="1"/>
  <c r="L626" i="1" a="1"/>
  <c r="L627" i="1" a="1"/>
  <c r="L628" i="1" a="1"/>
  <c r="L629" i="1" a="1"/>
  <c r="L630" i="1" a="1"/>
  <c r="L631" i="1" a="1"/>
  <c r="L632" i="1" a="1"/>
  <c r="L633" i="1" a="1"/>
  <c r="L634" i="1" a="1"/>
  <c r="L635" i="1" a="1"/>
  <c r="L636" i="1" a="1"/>
  <c r="L637" i="1" a="1"/>
  <c r="L638" i="1" a="1"/>
  <c r="L639" i="1" a="1"/>
  <c r="L640" i="1" a="1"/>
  <c r="L641" i="1" a="1"/>
  <c r="L642" i="1" a="1"/>
  <c r="L643" i="1" a="1"/>
  <c r="L644" i="1" a="1"/>
  <c r="L645" i="1" a="1"/>
  <c r="L646" i="1" a="1"/>
  <c r="L647" i="1" a="1"/>
  <c r="L648" i="1" a="1"/>
  <c r="L649" i="1" a="1"/>
  <c r="L650" i="1" a="1"/>
  <c r="L651" i="1" a="1"/>
  <c r="L652" i="1" a="1"/>
  <c r="L653" i="1" a="1"/>
  <c r="L654" i="1" a="1"/>
  <c r="L655" i="1" a="1"/>
  <c r="L656" i="1" a="1"/>
  <c r="L657" i="1" a="1"/>
  <c r="L658" i="1" a="1"/>
  <c r="L659" i="1" a="1"/>
  <c r="L660" i="1" a="1"/>
  <c r="L661" i="1" a="1"/>
  <c r="L662" i="1" a="1"/>
  <c r="L663" i="1" a="1"/>
  <c r="L664" i="1" a="1"/>
  <c r="L665" i="1" a="1"/>
  <c r="L666" i="1" a="1"/>
  <c r="L667" i="1" a="1"/>
  <c r="L668" i="1" a="1"/>
  <c r="L669" i="1" a="1"/>
  <c r="L670" i="1" a="1"/>
  <c r="L671" i="1" a="1"/>
  <c r="L672" i="1" a="1"/>
  <c r="L673" i="1" a="1"/>
  <c r="L674" i="1" a="1"/>
  <c r="L675" i="1" a="1"/>
  <c r="L676" i="1" a="1"/>
  <c r="L677" i="1" a="1"/>
  <c r="L678" i="1" a="1"/>
  <c r="L679" i="1" a="1"/>
  <c r="L680" i="1" a="1"/>
  <c r="L681" i="1" a="1"/>
  <c r="L682" i="1" a="1"/>
  <c r="L683" i="1" a="1"/>
  <c r="L684" i="1" a="1"/>
  <c r="L685" i="1" a="1"/>
  <c r="L686" i="1" a="1"/>
  <c r="L687" i="1" a="1"/>
  <c r="L688" i="1" a="1"/>
  <c r="L689" i="1" a="1"/>
  <c r="L690" i="1" a="1"/>
  <c r="L691" i="1" a="1"/>
  <c r="L692" i="1" a="1"/>
  <c r="L693" i="1" a="1"/>
  <c r="L694" i="1" a="1"/>
  <c r="L695" i="1" a="1"/>
  <c r="L696" i="1" a="1"/>
  <c r="L697" i="1" a="1"/>
  <c r="L698" i="1" a="1"/>
  <c r="L699" i="1" a="1"/>
  <c r="L700" i="1" a="1"/>
  <c r="L701" i="1" a="1"/>
  <c r="L702" i="1" a="1"/>
  <c r="L703" i="1" a="1"/>
  <c r="L704" i="1" a="1"/>
  <c r="L705" i="1" a="1"/>
  <c r="L706" i="1" a="1"/>
  <c r="L707" i="1" a="1"/>
  <c r="L708" i="1" a="1"/>
  <c r="L709" i="1" a="1"/>
  <c r="L710" i="1" a="1"/>
  <c r="L711" i="1" a="1"/>
  <c r="L712" i="1" a="1"/>
  <c r="L713" i="1" a="1"/>
  <c r="L714" i="1" a="1"/>
  <c r="L715" i="1" a="1"/>
  <c r="L716" i="1" a="1"/>
  <c r="L717" i="1" a="1"/>
  <c r="L718" i="1" a="1"/>
  <c r="L719" i="1" a="1"/>
  <c r="L720" i="1" a="1"/>
  <c r="L721" i="1" a="1"/>
  <c r="L722" i="1" a="1"/>
  <c r="L723" i="1" a="1"/>
  <c r="L724" i="1" a="1"/>
  <c r="L725" i="1" a="1"/>
  <c r="L726" i="1" a="1"/>
  <c r="L727" i="1" a="1"/>
  <c r="L728" i="1" a="1"/>
  <c r="L729" i="1" a="1"/>
  <c r="L730" i="1" a="1"/>
  <c r="L731" i="1" a="1"/>
  <c r="L732" i="1" a="1"/>
  <c r="L733" i="1" a="1"/>
  <c r="L734" i="1" a="1"/>
  <c r="L735" i="1" a="1"/>
  <c r="L736" i="1" a="1"/>
  <c r="L737" i="1" a="1"/>
  <c r="L738" i="1" a="1"/>
  <c r="L739" i="1" a="1"/>
  <c r="L740" i="1" a="1"/>
  <c r="L741" i="1" a="1"/>
  <c r="L742" i="1" a="1"/>
  <c r="L743" i="1" a="1"/>
  <c r="L744" i="1" a="1"/>
  <c r="L745" i="1" a="1"/>
  <c r="L746" i="1" a="1"/>
  <c r="L747" i="1" a="1"/>
  <c r="L748" i="1" a="1"/>
  <c r="L749" i="1" a="1"/>
  <c r="L750" i="1" a="1"/>
  <c r="L751" i="1" a="1"/>
  <c r="L752" i="1" a="1"/>
  <c r="L753" i="1" a="1"/>
  <c r="L754" i="1" a="1"/>
  <c r="L755" i="1" a="1"/>
  <c r="L756" i="1" a="1"/>
  <c r="L757" i="1" a="1"/>
  <c r="L758" i="1" a="1"/>
  <c r="L759" i="1" a="1"/>
  <c r="L760" i="1" a="1"/>
  <c r="L761" i="1" a="1"/>
  <c r="L762" i="1" a="1"/>
  <c r="L763" i="1" a="1"/>
  <c r="L764" i="1" a="1"/>
  <c r="L765" i="1" a="1"/>
  <c r="L766" i="1" a="1"/>
  <c r="L767" i="1" a="1"/>
  <c r="L768" i="1" a="1"/>
  <c r="L769" i="1" a="1"/>
  <c r="L770" i="1" a="1"/>
  <c r="L771" i="1" a="1"/>
  <c r="L772" i="1" a="1"/>
  <c r="L773" i="1" a="1"/>
  <c r="L774" i="1" a="1"/>
  <c r="L775" i="1" a="1"/>
  <c r="L776" i="1" a="1"/>
  <c r="L777" i="1" a="1"/>
  <c r="L778" i="1" a="1"/>
  <c r="L779" i="1" a="1"/>
  <c r="L780" i="1" a="1"/>
  <c r="L781" i="1" a="1"/>
  <c r="L782" i="1" a="1"/>
  <c r="L783" i="1" a="1"/>
  <c r="L784" i="1" a="1"/>
  <c r="L785" i="1" a="1"/>
  <c r="L786" i="1" a="1"/>
  <c r="L787" i="1" a="1"/>
  <c r="L788" i="1" a="1"/>
  <c r="L789" i="1" a="1"/>
  <c r="L790" i="1" a="1"/>
  <c r="L791" i="1" a="1"/>
  <c r="L792" i="1" a="1"/>
  <c r="L793" i="1" a="1"/>
  <c r="L794" i="1" a="1"/>
  <c r="L795" i="1" a="1"/>
  <c r="L796" i="1" a="1"/>
  <c r="L797" i="1" a="1"/>
  <c r="L798" i="1" a="1"/>
  <c r="L799" i="1" a="1"/>
  <c r="L800" i="1" a="1"/>
  <c r="L801" i="1" a="1"/>
  <c r="L802" i="1" a="1"/>
  <c r="L803" i="1" a="1"/>
  <c r="L804" i="1" a="1"/>
  <c r="L805" i="1" a="1"/>
  <c r="L806" i="1" a="1"/>
  <c r="L807" i="1" a="1"/>
  <c r="L808" i="1" a="1"/>
  <c r="L809" i="1" a="1"/>
  <c r="L810" i="1" a="1"/>
  <c r="L811" i="1" a="1"/>
  <c r="L812" i="1" a="1"/>
  <c r="L813" i="1" a="1"/>
  <c r="L814" i="1" a="1"/>
  <c r="L815" i="1" a="1"/>
  <c r="L816" i="1" a="1"/>
  <c r="L817" i="1" a="1"/>
  <c r="L818" i="1" a="1"/>
  <c r="L819" i="1" a="1"/>
  <c r="L820" i="1" a="1"/>
  <c r="L821" i="1" a="1"/>
  <c r="L822" i="1" a="1"/>
  <c r="L823" i="1" a="1"/>
  <c r="L824" i="1" a="1"/>
  <c r="L825" i="1" a="1"/>
  <c r="L826" i="1" a="1"/>
  <c r="L827" i="1" a="1"/>
  <c r="L828" i="1" a="1"/>
  <c r="L829" i="1" a="1"/>
  <c r="L830" i="1" a="1"/>
  <c r="L831" i="1" a="1"/>
  <c r="L832" i="1" a="1"/>
  <c r="L833" i="1" a="1"/>
  <c r="L834" i="1" a="1"/>
  <c r="L835" i="1" a="1"/>
  <c r="L836" i="1" a="1"/>
  <c r="L837" i="1" a="1"/>
  <c r="L838" i="1" a="1"/>
  <c r="L839" i="1" a="1"/>
  <c r="L840" i="1" a="1"/>
  <c r="L841" i="1" a="1"/>
  <c r="L842" i="1" a="1"/>
  <c r="L843" i="1" a="1"/>
  <c r="L844" i="1" a="1"/>
  <c r="L845" i="1" a="1"/>
  <c r="L846" i="1" a="1"/>
  <c r="L847" i="1" a="1"/>
  <c r="L848" i="1" a="1"/>
  <c r="L849" i="1" a="1"/>
  <c r="L850" i="1" a="1"/>
  <c r="L851" i="1" a="1"/>
  <c r="L852" i="1" a="1"/>
  <c r="L853" i="1" a="1"/>
  <c r="L854" i="1" a="1"/>
  <c r="L855" i="1" a="1"/>
  <c r="L856" i="1" a="1"/>
  <c r="L857" i="1" a="1"/>
  <c r="L858" i="1" a="1"/>
  <c r="L859" i="1" a="1"/>
  <c r="L860" i="1" a="1"/>
  <c r="L861" i="1" a="1"/>
  <c r="L862" i="1" a="1"/>
  <c r="L863" i="1" a="1"/>
  <c r="L864" i="1" a="1"/>
  <c r="L865" i="1" a="1"/>
  <c r="L866" i="1" a="1"/>
  <c r="L867" i="1" a="1"/>
  <c r="L868" i="1" a="1"/>
  <c r="L869" i="1" a="1"/>
  <c r="L870" i="1" a="1"/>
  <c r="L871" i="1" a="1"/>
  <c r="L872" i="1" a="1"/>
  <c r="L873" i="1" a="1"/>
  <c r="L874" i="1" a="1"/>
  <c r="L875" i="1" a="1"/>
  <c r="L876" i="1" a="1"/>
  <c r="L877" i="1" a="1"/>
  <c r="L878" i="1" a="1"/>
  <c r="L879" i="1" a="1"/>
  <c r="L880" i="1" a="1"/>
  <c r="L881" i="1" a="1"/>
  <c r="L882" i="1" a="1"/>
  <c r="L883" i="1" a="1"/>
  <c r="L884" i="1" a="1"/>
  <c r="L885" i="1" a="1"/>
  <c r="L886" i="1" a="1"/>
  <c r="L887" i="1" a="1"/>
  <c r="L888" i="1" a="1"/>
  <c r="L889" i="1" a="1"/>
  <c r="L890" i="1" a="1"/>
  <c r="L891" i="1" a="1"/>
  <c r="L892" i="1" a="1"/>
  <c r="L893" i="1" a="1"/>
  <c r="L894" i="1" a="1"/>
  <c r="L895" i="1" a="1"/>
  <c r="L896" i="1" a="1"/>
  <c r="L897" i="1" a="1"/>
  <c r="L898" i="1" a="1"/>
  <c r="L899" i="1" a="1"/>
  <c r="L900" i="1" a="1"/>
  <c r="L901" i="1" a="1"/>
  <c r="L902" i="1" a="1"/>
  <c r="L903" i="1" a="1"/>
  <c r="L904" i="1" a="1"/>
  <c r="L905" i="1" a="1"/>
  <c r="L906" i="1" a="1"/>
  <c r="L907" i="1" a="1"/>
  <c r="L908" i="1" a="1"/>
  <c r="L909" i="1" a="1"/>
  <c r="L910" i="1" a="1"/>
  <c r="L911" i="1" a="1"/>
  <c r="L912" i="1" a="1"/>
  <c r="L913" i="1" a="1"/>
  <c r="L914" i="1" a="1"/>
  <c r="L915" i="1" a="1"/>
  <c r="L916" i="1" a="1"/>
  <c r="L917" i="1" a="1"/>
  <c r="L918" i="1" a="1"/>
  <c r="L919" i="1" a="1"/>
  <c r="L920" i="1" a="1"/>
  <c r="L921" i="1" a="1"/>
  <c r="L922" i="1" a="1"/>
  <c r="L923" i="1" a="1"/>
  <c r="L924" i="1" a="1"/>
  <c r="L925" i="1" a="1"/>
  <c r="L926" i="1" a="1"/>
  <c r="L927" i="1" a="1"/>
  <c r="L928" i="1" a="1"/>
  <c r="L929" i="1" a="1"/>
  <c r="L930" i="1" a="1"/>
  <c r="L931" i="1" a="1"/>
  <c r="L932" i="1" a="1"/>
  <c r="L933" i="1" a="1"/>
  <c r="L934" i="1" a="1"/>
  <c r="L935" i="1" a="1"/>
  <c r="L936" i="1" a="1"/>
  <c r="L937" i="1" a="1"/>
  <c r="L938" i="1" a="1"/>
  <c r="L939" i="1" a="1"/>
  <c r="L940" i="1" a="1"/>
  <c r="L941" i="1" a="1"/>
  <c r="L942" i="1" a="1"/>
  <c r="L943" i="1" a="1"/>
  <c r="L944" i="1" a="1"/>
  <c r="L945" i="1" a="1"/>
  <c r="L946" i="1" a="1"/>
  <c r="L947" i="1" a="1"/>
  <c r="L948" i="1" a="1"/>
  <c r="L949" i="1" a="1"/>
  <c r="L950" i="1" a="1"/>
  <c r="L951" i="1" a="1"/>
  <c r="L952" i="1" a="1"/>
  <c r="L953" i="1" a="1"/>
  <c r="L954" i="1" a="1"/>
  <c r="L955" i="1" a="1"/>
  <c r="L956" i="1" a="1"/>
  <c r="L957" i="1" a="1"/>
  <c r="L958" i="1" a="1"/>
  <c r="L959" i="1" a="1"/>
  <c r="L960" i="1" a="1"/>
  <c r="L961" i="1" a="1"/>
  <c r="L962" i="1" a="1"/>
  <c r="L963" i="1" a="1"/>
  <c r="L964" i="1" a="1"/>
  <c r="L965" i="1" a="1"/>
  <c r="L966" i="1" a="1"/>
  <c r="L967" i="1" a="1"/>
  <c r="L968" i="1" a="1"/>
  <c r="L969" i="1" a="1"/>
  <c r="L970" i="1" a="1"/>
  <c r="L971" i="1" a="1"/>
  <c r="L972" i="1" a="1"/>
  <c r="L973" i="1" a="1"/>
  <c r="L974" i="1" a="1"/>
  <c r="L975" i="1" a="1"/>
  <c r="L976" i="1" a="1"/>
  <c r="L977" i="1" a="1"/>
  <c r="L978" i="1" a="1"/>
  <c r="L979" i="1" a="1"/>
  <c r="L980" i="1" a="1"/>
  <c r="L981" i="1" a="1"/>
  <c r="L982" i="1" a="1"/>
  <c r="L983" i="1" a="1"/>
  <c r="L984" i="1" a="1"/>
  <c r="L985" i="1" a="1"/>
  <c r="L986" i="1" a="1"/>
  <c r="L987" i="1" a="1"/>
  <c r="L988" i="1" a="1"/>
  <c r="L989" i="1" a="1"/>
  <c r="L990" i="1" a="1"/>
  <c r="L991" i="1" a="1"/>
  <c r="L992" i="1" a="1"/>
  <c r="L993" i="1" a="1"/>
  <c r="L994" i="1" a="1"/>
  <c r="L995" i="1" a="1"/>
  <c r="L996" i="1" a="1"/>
  <c r="L997" i="1" a="1"/>
  <c r="L998" i="1" a="1"/>
  <c r="L999" i="1" a="1"/>
  <c r="L1000" i="1" a="1"/>
  <c r="L1001" i="1" a="1"/>
  <c r="L1002" i="1" a="1"/>
  <c r="L1003" i="1" a="1"/>
  <c r="L1004" i="1" a="1"/>
  <c r="L1005" i="1" a="1"/>
  <c r="L1006" i="1" a="1"/>
  <c r="L1007" i="1" a="1"/>
  <c r="L1008" i="1" a="1"/>
  <c r="L1009" i="1" a="1"/>
  <c r="L1010" i="1" a="1"/>
  <c r="L1011" i="1" a="1"/>
  <c r="L1012" i="1" a="1"/>
  <c r="L1013" i="1" a="1"/>
  <c r="L1014" i="1" a="1"/>
  <c r="L1015" i="1" a="1"/>
  <c r="L1016" i="1" a="1"/>
  <c r="L1017" i="1" a="1"/>
  <c r="L1018" i="1" a="1"/>
  <c r="L1019" i="1" a="1"/>
  <c r="L1020" i="1" a="1"/>
  <c r="L1021" i="1" a="1"/>
  <c r="L1022" i="1" a="1"/>
  <c r="L1023" i="1" a="1"/>
  <c r="L1024" i="1" a="1"/>
  <c r="L1025" i="1" a="1"/>
  <c r="L1026" i="1" a="1"/>
  <c r="L1027" i="1" a="1"/>
  <c r="L1028" i="1" a="1"/>
  <c r="L1029" i="1" a="1"/>
  <c r="L1030" i="1" a="1"/>
  <c r="L1031" i="1" a="1"/>
  <c r="L1032" i="1" a="1"/>
  <c r="L1033" i="1" a="1"/>
  <c r="L1034" i="1" a="1"/>
  <c r="L1035" i="1" a="1"/>
  <c r="L1036" i="1" a="1"/>
  <c r="L1037" i="1" a="1"/>
  <c r="L1038" i="1" a="1"/>
  <c r="L1039" i="1" a="1"/>
  <c r="L1040" i="1" a="1"/>
  <c r="L1041" i="1" a="1"/>
  <c r="L1042" i="1" a="1"/>
  <c r="L1043" i="1" a="1"/>
  <c r="L1044" i="1" a="1"/>
  <c r="L1045" i="1" a="1"/>
  <c r="L1046" i="1" a="1"/>
  <c r="L1047" i="1" a="1"/>
  <c r="L1048" i="1" a="1"/>
  <c r="L1049" i="1" a="1"/>
  <c r="L1050" i="1" a="1"/>
  <c r="L1051" i="1" a="1"/>
  <c r="L1052" i="1" a="1"/>
  <c r="L1053" i="1" a="1"/>
  <c r="L1054" i="1" a="1"/>
  <c r="L1055" i="1" a="1"/>
  <c r="L1056" i="1" a="1"/>
  <c r="L1057" i="1" a="1"/>
  <c r="L1058" i="1" a="1"/>
  <c r="L1059" i="1" a="1"/>
  <c r="L1060" i="1" a="1"/>
  <c r="L1061" i="1" a="1"/>
  <c r="L1062" i="1" a="1"/>
  <c r="L1063" i="1" a="1"/>
  <c r="L1064" i="1" a="1"/>
  <c r="L1065" i="1" a="1"/>
  <c r="L1066" i="1" a="1"/>
  <c r="L1067" i="1" a="1"/>
  <c r="L1068" i="1" a="1"/>
  <c r="L1069" i="1" a="1"/>
  <c r="L1070" i="1" a="1"/>
  <c r="L1071" i="1" a="1"/>
  <c r="L1072" i="1" a="1"/>
  <c r="L1073" i="1" a="1"/>
  <c r="L1074" i="1" a="1"/>
  <c r="L1075" i="1" a="1"/>
  <c r="L1076" i="1" a="1"/>
  <c r="L1077" i="1" a="1"/>
  <c r="L1078" i="1" a="1"/>
  <c r="L1079" i="1" a="1"/>
  <c r="L1080" i="1" a="1"/>
  <c r="L1081" i="1" a="1"/>
  <c r="L1082" i="1" a="1"/>
  <c r="L1083" i="1" a="1"/>
  <c r="L1084" i="1" a="1"/>
  <c r="L1085" i="1" a="1"/>
  <c r="L1086" i="1" a="1"/>
  <c r="L1087" i="1" a="1"/>
  <c r="L1088" i="1" a="1"/>
  <c r="L1089" i="1" a="1"/>
  <c r="L1090" i="1" a="1"/>
  <c r="L1091" i="1" a="1"/>
  <c r="L1092" i="1" a="1"/>
  <c r="L1093" i="1" a="1"/>
  <c r="L1094" i="1" a="1"/>
  <c r="L1095" i="1" a="1"/>
  <c r="L1096" i="1" a="1"/>
  <c r="L1097" i="1" a="1"/>
  <c r="L1098" i="1" a="1"/>
  <c r="L1099" i="1" a="1"/>
  <c r="L1100" i="1" a="1"/>
  <c r="L1101" i="1" a="1"/>
  <c r="L1102" i="1" a="1"/>
  <c r="L1103" i="1" a="1"/>
  <c r="L1104" i="1" a="1"/>
  <c r="L1105" i="1" a="1"/>
  <c r="L1106" i="1" a="1"/>
  <c r="L1107" i="1" a="1"/>
  <c r="L1108" i="1" a="1"/>
  <c r="L1109" i="1" a="1"/>
  <c r="L1110" i="1" a="1"/>
  <c r="L1111" i="1" a="1"/>
  <c r="L1112" i="1" a="1"/>
  <c r="L1113" i="1" a="1"/>
  <c r="L1114" i="1" a="1"/>
  <c r="L1115" i="1" a="1"/>
  <c r="L1116" i="1" a="1"/>
  <c r="L1117" i="1" a="1"/>
  <c r="L1118" i="1" a="1"/>
  <c r="L1119" i="1" a="1"/>
  <c r="L1120" i="1" a="1"/>
  <c r="L1121" i="1" a="1"/>
  <c r="L1122" i="1" a="1"/>
  <c r="L1123" i="1" a="1"/>
  <c r="L1124" i="1" a="1"/>
  <c r="L1125" i="1" a="1"/>
  <c r="L1126" i="1" a="1"/>
  <c r="L1127" i="1" a="1"/>
  <c r="L1128" i="1" a="1"/>
  <c r="L1129" i="1" a="1"/>
  <c r="L1130" i="1" a="1"/>
  <c r="L1131" i="1" a="1"/>
  <c r="L1132" i="1" a="1"/>
  <c r="L1133" i="1" a="1"/>
  <c r="L1134" i="1" a="1"/>
  <c r="L1135" i="1" a="1"/>
  <c r="L1136" i="1" a="1"/>
  <c r="L1137" i="1" a="1"/>
  <c r="L1138" i="1" a="1"/>
  <c r="L1139" i="1" a="1"/>
  <c r="L1140" i="1" a="1"/>
  <c r="L1141" i="1" a="1"/>
  <c r="L1142" i="1" a="1"/>
  <c r="L1143" i="1" a="1"/>
  <c r="L1144" i="1" a="1"/>
  <c r="L1145" i="1" a="1"/>
  <c r="L1146" i="1" a="1"/>
  <c r="L1147" i="1" a="1"/>
  <c r="L1148" i="1" a="1"/>
  <c r="L1149" i="1" a="1"/>
  <c r="L1150" i="1" a="1"/>
  <c r="L1151" i="1" a="1"/>
  <c r="L1152" i="1" a="1"/>
  <c r="L1153" i="1" a="1"/>
  <c r="L1154" i="1" a="1"/>
  <c r="L1155" i="1" a="1"/>
  <c r="L1156" i="1" a="1"/>
  <c r="L1157" i="1" a="1"/>
  <c r="L1158" i="1" a="1"/>
  <c r="L1159" i="1" a="1"/>
  <c r="L1160" i="1" a="1"/>
  <c r="L1161" i="1" a="1"/>
  <c r="L1162" i="1" a="1"/>
  <c r="L1163" i="1" a="1"/>
  <c r="L1164" i="1" a="1"/>
  <c r="L1165" i="1" a="1"/>
  <c r="L1166" i="1" a="1"/>
  <c r="L1167" i="1" a="1"/>
  <c r="L1168" i="1" a="1"/>
  <c r="L1169" i="1" a="1"/>
  <c r="L1170" i="1" a="1"/>
  <c r="L1171" i="1" a="1"/>
  <c r="L1172" i="1" a="1"/>
  <c r="L1173" i="1" a="1"/>
  <c r="L1174" i="1" a="1"/>
  <c r="L1175" i="1" a="1"/>
  <c r="L1176" i="1" a="1"/>
  <c r="L1177" i="1" a="1"/>
  <c r="L1178" i="1" a="1"/>
  <c r="L1179" i="1" a="1"/>
  <c r="L1180" i="1" a="1"/>
  <c r="L1181" i="1" a="1"/>
  <c r="L1182" i="1" a="1"/>
  <c r="L1183" i="1" a="1"/>
  <c r="L1184" i="1" a="1"/>
  <c r="L1185" i="1" a="1"/>
  <c r="L1186" i="1" a="1"/>
  <c r="L1187" i="1" a="1"/>
  <c r="L1188" i="1" a="1"/>
  <c r="L1189" i="1" a="1"/>
  <c r="L1190" i="1" a="1"/>
  <c r="L1191" i="1" a="1"/>
  <c r="L1192" i="1" a="1"/>
  <c r="L1193" i="1" a="1"/>
  <c r="L1194" i="1" a="1"/>
  <c r="L1195" i="1" a="1"/>
  <c r="L1196" i="1" a="1"/>
  <c r="L1197" i="1" a="1"/>
  <c r="L1198" i="1" a="1"/>
  <c r="L1199" i="1" a="1"/>
  <c r="L1200" i="1" a="1"/>
  <c r="L1201" i="1" a="1"/>
  <c r="L1202" i="1" a="1"/>
  <c r="L1203" i="1" a="1"/>
  <c r="L1204" i="1" a="1"/>
  <c r="L1205" i="1" a="1"/>
  <c r="L1206" i="1" a="1"/>
  <c r="L1207" i="1" a="1"/>
  <c r="L1208" i="1" a="1"/>
  <c r="L1209" i="1" a="1"/>
  <c r="L1210" i="1" a="1"/>
  <c r="L1211" i="1" a="1"/>
  <c r="L1212" i="1" a="1"/>
  <c r="L1213" i="1" a="1"/>
  <c r="L1214" i="1" a="1"/>
  <c r="L1215" i="1" a="1"/>
  <c r="L1216" i="1" a="1"/>
  <c r="L1217" i="1" a="1"/>
  <c r="L1218" i="1" a="1"/>
  <c r="L1219" i="1" a="1"/>
  <c r="L1220" i="1" a="1"/>
  <c r="L1221" i="1" a="1"/>
  <c r="L1222" i="1" a="1"/>
  <c r="L1223" i="1" a="1"/>
  <c r="L1224" i="1" a="1"/>
  <c r="L1225" i="1" a="1"/>
  <c r="L1226" i="1" a="1"/>
  <c r="L1227" i="1" a="1"/>
  <c r="L1228" i="1" a="1"/>
  <c r="L1229" i="1" a="1"/>
  <c r="L1230" i="1" a="1"/>
  <c r="L1231" i="1" a="1"/>
  <c r="L1232" i="1" a="1"/>
  <c r="L1233" i="1" a="1"/>
  <c r="L1234" i="1" a="1"/>
  <c r="L1235" i="1" a="1"/>
  <c r="L1236" i="1" a="1"/>
  <c r="L1237" i="1" a="1"/>
  <c r="L1238" i="1" a="1"/>
  <c r="L1239" i="1" a="1"/>
  <c r="L1240" i="1" a="1"/>
  <c r="L1241" i="1" a="1"/>
  <c r="L1242" i="1" a="1"/>
  <c r="L1243" i="1" a="1"/>
  <c r="L1244" i="1" a="1"/>
  <c r="L1245" i="1" a="1"/>
  <c r="L1246" i="1" a="1"/>
  <c r="L1247" i="1" a="1"/>
  <c r="L1248" i="1" a="1"/>
  <c r="L1249" i="1" a="1"/>
  <c r="L1250" i="1" a="1"/>
  <c r="L1251" i="1" a="1"/>
  <c r="L1252" i="1" a="1"/>
  <c r="L1253" i="1" a="1"/>
  <c r="L1254" i="1" a="1"/>
  <c r="L1255" i="1" a="1"/>
  <c r="L1256" i="1" a="1"/>
  <c r="L1257" i="1" a="1"/>
  <c r="L1258" i="1" a="1"/>
  <c r="L1259" i="1" a="1"/>
  <c r="L1260" i="1" a="1"/>
  <c r="L1261" i="1" a="1"/>
  <c r="L1262" i="1" a="1"/>
  <c r="L1263" i="1" a="1"/>
  <c r="L1264" i="1" a="1"/>
  <c r="L1265" i="1" a="1"/>
  <c r="L1266" i="1" a="1"/>
  <c r="L1267" i="1" a="1"/>
  <c r="L1268" i="1" a="1"/>
  <c r="L1269" i="1" a="1"/>
  <c r="L1270" i="1" a="1"/>
  <c r="L1271" i="1" a="1"/>
  <c r="L1272" i="1" a="1"/>
  <c r="L1273" i="1" a="1"/>
  <c r="L1274" i="1" a="1"/>
  <c r="L1275" i="1" a="1"/>
  <c r="L1276" i="1" a="1"/>
  <c r="L1277" i="1" a="1"/>
  <c r="L1278" i="1" a="1"/>
  <c r="L1279" i="1" a="1"/>
  <c r="L1280" i="1" a="1"/>
  <c r="L1281" i="1" a="1"/>
  <c r="L1282" i="1" a="1"/>
  <c r="L1283" i="1" a="1"/>
  <c r="L1284" i="1" a="1"/>
  <c r="L1285" i="1" a="1"/>
  <c r="L1286" i="1" a="1"/>
  <c r="L1287" i="1" a="1"/>
  <c r="L1288" i="1" a="1"/>
  <c r="L1289" i="1" a="1"/>
  <c r="L1290" i="1" a="1"/>
  <c r="L1291" i="1" a="1"/>
  <c r="L1292" i="1" a="1"/>
  <c r="L1293" i="1" a="1"/>
  <c r="L1294" i="1" a="1"/>
  <c r="L1295" i="1" a="1"/>
  <c r="L1296" i="1" a="1"/>
  <c r="L1297" i="1" a="1"/>
  <c r="L1298" i="1" a="1"/>
  <c r="L1299" i="1" a="1"/>
  <c r="L1300" i="1" a="1"/>
  <c r="L1301" i="1" a="1"/>
  <c r="L1302" i="1" a="1"/>
  <c r="L1303" i="1" a="1"/>
  <c r="L1304" i="1" a="1"/>
  <c r="L1305" i="1" a="1"/>
  <c r="L1306" i="1" a="1"/>
  <c r="L1307" i="1" a="1"/>
  <c r="L1308" i="1" a="1"/>
  <c r="L1309" i="1" a="1"/>
  <c r="L1310" i="1" a="1"/>
  <c r="L1311" i="1" a="1"/>
  <c r="L1312" i="1" a="1"/>
  <c r="L1313" i="1" a="1"/>
  <c r="L1314" i="1" a="1"/>
  <c r="L1315" i="1" a="1"/>
  <c r="L1316" i="1" a="1"/>
  <c r="L1317" i="1" a="1"/>
  <c r="L1318" i="1" a="1"/>
  <c r="L1319" i="1" a="1"/>
  <c r="L1320" i="1" a="1"/>
  <c r="L1321" i="1" a="1"/>
  <c r="L1322" i="1" a="1"/>
  <c r="L1323" i="1" a="1"/>
  <c r="L1324" i="1" a="1"/>
  <c r="L1325" i="1" a="1"/>
  <c r="L1326" i="1" a="1"/>
  <c r="L1327" i="1" a="1"/>
  <c r="L1328" i="1" a="1"/>
  <c r="L1329" i="1" a="1"/>
  <c r="L1330" i="1" a="1"/>
  <c r="L1331" i="1" a="1"/>
  <c r="L1332" i="1" a="1"/>
  <c r="L1333" i="1" a="1"/>
  <c r="L1334" i="1" a="1"/>
  <c r="L1335" i="1" a="1"/>
  <c r="L1336" i="1" a="1"/>
  <c r="L1337" i="1" a="1"/>
  <c r="L1338" i="1" a="1"/>
  <c r="L1339" i="1" a="1"/>
  <c r="L1340" i="1" a="1"/>
  <c r="L1341" i="1" a="1"/>
  <c r="L1342" i="1" a="1"/>
  <c r="L1343" i="1" a="1"/>
  <c r="L1344" i="1" a="1"/>
  <c r="L1345" i="1" a="1"/>
  <c r="L1346" i="1" a="1"/>
  <c r="L1347" i="1" a="1"/>
  <c r="L1348" i="1" a="1"/>
  <c r="L1349" i="1" a="1"/>
  <c r="L1350" i="1" a="1"/>
  <c r="L1351" i="1" a="1"/>
  <c r="L1352" i="1" a="1"/>
  <c r="L1353" i="1" a="1"/>
  <c r="L1354" i="1" a="1"/>
  <c r="L1355" i="1" a="1"/>
  <c r="L1356" i="1" a="1"/>
  <c r="L1357" i="1" a="1"/>
  <c r="L1358" i="1" a="1"/>
  <c r="L1359" i="1" a="1"/>
  <c r="L1360" i="1" a="1"/>
  <c r="L1361" i="1" a="1"/>
  <c r="L1362" i="1" a="1"/>
  <c r="L1363" i="1" a="1"/>
  <c r="L1364" i="1" a="1"/>
  <c r="L1365" i="1" a="1"/>
  <c r="L1366" i="1" a="1"/>
  <c r="L1367" i="1" a="1"/>
  <c r="L1368" i="1" a="1"/>
  <c r="L1369" i="1" a="1"/>
  <c r="L1370" i="1" a="1"/>
  <c r="L1371" i="1" a="1"/>
  <c r="L1372" i="1" a="1"/>
  <c r="L1373" i="1" a="1"/>
  <c r="L1374" i="1" a="1"/>
  <c r="L1375" i="1" a="1"/>
  <c r="L1376" i="1" a="1"/>
  <c r="L1377" i="1" a="1"/>
  <c r="L1378" i="1" a="1"/>
  <c r="L1379" i="1" a="1"/>
  <c r="L1380" i="1" a="1"/>
  <c r="L1381" i="1" a="1"/>
  <c r="L1382" i="1" a="1"/>
  <c r="L1383" i="1" a="1"/>
  <c r="L1384" i="1" a="1"/>
  <c r="L1385" i="1" a="1"/>
  <c r="L1386" i="1" a="1"/>
  <c r="L1387" i="1" a="1"/>
  <c r="L1388" i="1" a="1"/>
  <c r="L1389" i="1" a="1"/>
  <c r="L1390" i="1" a="1"/>
  <c r="L1391" i="1" a="1"/>
  <c r="L1392" i="1" a="1"/>
  <c r="L1393" i="1" a="1"/>
  <c r="L1394" i="1" a="1"/>
  <c r="L1395" i="1" a="1"/>
  <c r="L1396" i="1" a="1"/>
  <c r="L1397" i="1" a="1"/>
  <c r="L1398" i="1" a="1"/>
  <c r="L1399" i="1" a="1"/>
  <c r="L1400" i="1" a="1"/>
  <c r="L1401" i="1" a="1"/>
  <c r="L1402" i="1" a="1"/>
  <c r="L1403" i="1" a="1"/>
  <c r="L1404" i="1" a="1"/>
  <c r="L1405" i="1" a="1"/>
  <c r="L1406" i="1" a="1"/>
  <c r="L1407" i="1" a="1"/>
  <c r="L1408" i="1" a="1"/>
  <c r="L1409" i="1" a="1"/>
  <c r="L1410" i="1" a="1"/>
  <c r="L1411" i="1" a="1"/>
  <c r="L1412" i="1" a="1"/>
  <c r="L1413" i="1" a="1"/>
  <c r="L1414" i="1" a="1"/>
  <c r="L1415" i="1" a="1"/>
  <c r="L1416" i="1" a="1"/>
  <c r="L1417" i="1" a="1"/>
  <c r="L1418" i="1" a="1"/>
  <c r="L1419" i="1" a="1"/>
  <c r="L1420" i="1" a="1"/>
  <c r="L1421" i="1" a="1"/>
  <c r="L1422" i="1" a="1"/>
  <c r="L1423" i="1" a="1"/>
  <c r="L1424" i="1" a="1"/>
  <c r="L1425" i="1" a="1"/>
  <c r="L1426" i="1" a="1"/>
  <c r="L1427" i="1" a="1"/>
  <c r="L1428" i="1" a="1"/>
  <c r="L1429" i="1" a="1"/>
  <c r="L1430" i="1" a="1"/>
  <c r="L1431" i="1" a="1"/>
  <c r="L1432" i="1" a="1"/>
  <c r="L1433" i="1" a="1"/>
  <c r="L1434" i="1" a="1"/>
  <c r="L1435" i="1" a="1"/>
  <c r="L1436" i="1" a="1"/>
  <c r="L1437" i="1" a="1"/>
  <c r="L1438" i="1" a="1"/>
  <c r="L1439" i="1" a="1"/>
  <c r="L1440" i="1" a="1"/>
  <c r="L1441" i="1" a="1"/>
  <c r="L1442" i="1" a="1"/>
  <c r="L1443" i="1" a="1"/>
  <c r="L1444" i="1" a="1"/>
  <c r="L1445" i="1" a="1"/>
  <c r="L1446" i="1" a="1"/>
  <c r="L1447" i="1" a="1"/>
  <c r="L1448" i="1" a="1"/>
  <c r="L1449" i="1" a="1"/>
  <c r="L1450" i="1" a="1"/>
  <c r="L1451" i="1" a="1"/>
  <c r="L1452" i="1" a="1"/>
  <c r="L1453" i="1" a="1"/>
  <c r="L1454" i="1" a="1"/>
  <c r="L1455" i="1" a="1"/>
  <c r="L1456" i="1" a="1"/>
  <c r="L1457" i="1" a="1"/>
  <c r="L1458" i="1" a="1"/>
  <c r="L1459" i="1" a="1"/>
  <c r="L1460" i="1" a="1"/>
  <c r="L1461" i="1" a="1"/>
  <c r="L1462" i="1" a="1"/>
  <c r="L1463" i="1" a="1"/>
  <c r="L1464" i="1" a="1"/>
  <c r="L1465" i="1" a="1"/>
  <c r="L1466" i="1" a="1"/>
  <c r="L1467" i="1" a="1"/>
  <c r="L1468" i="1" a="1"/>
  <c r="L1469" i="1" a="1"/>
  <c r="L1470" i="1" a="1"/>
  <c r="L1471" i="1" a="1"/>
  <c r="L1472" i="1" a="1"/>
  <c r="L1473" i="1" a="1"/>
  <c r="L1474" i="1" a="1"/>
  <c r="L1475" i="1" a="1"/>
  <c r="L1476" i="1" a="1"/>
  <c r="L1477" i="1" a="1"/>
  <c r="L1478" i="1" a="1"/>
  <c r="L1479" i="1" a="1"/>
  <c r="L1480" i="1" a="1"/>
  <c r="L1481" i="1" a="1"/>
  <c r="L1482" i="1" a="1"/>
  <c r="L1483" i="1" a="1"/>
  <c r="L1484" i="1" a="1"/>
  <c r="L1485" i="1" a="1"/>
  <c r="L1486" i="1" a="1"/>
  <c r="L1487" i="1" a="1"/>
  <c r="L1488" i="1" a="1"/>
  <c r="L1489" i="1" a="1"/>
  <c r="L1490" i="1" a="1"/>
  <c r="L1491" i="1" a="1"/>
  <c r="L1492" i="1" a="1"/>
  <c r="L1493" i="1" a="1"/>
  <c r="L1494" i="1" a="1"/>
  <c r="L1495" i="1" a="1"/>
  <c r="L1496" i="1" a="1"/>
  <c r="L1497" i="1" a="1"/>
  <c r="L1498" i="1" a="1"/>
  <c r="L1499" i="1" a="1"/>
  <c r="L1500" i="1" a="1"/>
  <c r="L1501" i="1" a="1"/>
  <c r="L1502" i="1" a="1"/>
  <c r="L1503" i="1" a="1"/>
  <c r="L1504" i="1" a="1"/>
  <c r="L1505" i="1" a="1"/>
  <c r="L1506" i="1" a="1"/>
  <c r="L1507" i="1" a="1"/>
  <c r="L1508" i="1" a="1"/>
  <c r="L1509" i="1" a="1"/>
  <c r="L1510" i="1" a="1"/>
  <c r="L1511" i="1" a="1"/>
  <c r="L1512" i="1" a="1"/>
  <c r="L1513" i="1" a="1"/>
  <c r="L1514" i="1" a="1"/>
  <c r="L1515" i="1" a="1"/>
  <c r="L1516" i="1" a="1"/>
  <c r="L1517" i="1" a="1"/>
  <c r="L1518" i="1" a="1"/>
  <c r="L1519" i="1" a="1"/>
  <c r="L1520" i="1" a="1"/>
  <c r="L1521" i="1" a="1"/>
  <c r="L1522" i="1" a="1"/>
  <c r="L1523" i="1" a="1"/>
  <c r="L1524" i="1" a="1"/>
  <c r="L1525" i="1" a="1"/>
  <c r="L1526" i="1" a="1"/>
  <c r="L1527" i="1" a="1"/>
  <c r="L1528" i="1" a="1"/>
  <c r="L1529" i="1" a="1"/>
  <c r="L1530" i="1" a="1"/>
  <c r="L1531" i="1" a="1"/>
  <c r="L1532" i="1" a="1"/>
  <c r="L1533" i="1" a="1"/>
  <c r="L1534" i="1" a="1"/>
  <c r="L1535" i="1" a="1"/>
  <c r="L1536" i="1" a="1"/>
  <c r="L1537" i="1" a="1"/>
  <c r="L1538" i="1" a="1"/>
  <c r="L1539" i="1" a="1"/>
  <c r="L1540" i="1" a="1"/>
  <c r="L1541" i="1" a="1"/>
  <c r="L1542" i="1" a="1"/>
  <c r="L1543" i="1" a="1"/>
  <c r="L1544" i="1" a="1"/>
  <c r="L1545" i="1" a="1"/>
  <c r="L1546" i="1" a="1"/>
  <c r="L1547" i="1" a="1"/>
  <c r="L1548" i="1" a="1"/>
  <c r="L1549" i="1" a="1"/>
  <c r="L1550" i="1" a="1"/>
  <c r="L1551" i="1" a="1"/>
  <c r="L1552" i="1" a="1"/>
  <c r="L1553" i="1" a="1"/>
  <c r="L1554" i="1" a="1"/>
  <c r="L1555" i="1" a="1"/>
  <c r="L1556" i="1" a="1"/>
  <c r="L1557" i="1" a="1"/>
  <c r="L1558" i="1" a="1"/>
  <c r="L1559" i="1" a="1"/>
  <c r="L1560" i="1" a="1"/>
  <c r="L1561" i="1" a="1"/>
  <c r="L1562" i="1" a="1"/>
  <c r="L1563" i="1" a="1"/>
  <c r="L1564" i="1" a="1"/>
  <c r="L1565" i="1" a="1"/>
  <c r="L1566" i="1" a="1"/>
  <c r="L1567" i="1" a="1"/>
  <c r="L1568" i="1" a="1"/>
  <c r="L1569" i="1" a="1"/>
  <c r="L1570" i="1" a="1"/>
  <c r="L1571" i="1" a="1"/>
  <c r="L1572" i="1" a="1"/>
  <c r="L1573" i="1" a="1"/>
  <c r="L1574" i="1" a="1"/>
  <c r="L1575" i="1" a="1"/>
  <c r="L1576" i="1" a="1"/>
  <c r="L1577" i="1" a="1"/>
  <c r="L1578" i="1" a="1"/>
  <c r="L1579" i="1" a="1"/>
  <c r="L1580" i="1" a="1"/>
  <c r="L1581" i="1" a="1"/>
  <c r="L1582" i="1" a="1"/>
  <c r="L1583" i="1" a="1"/>
  <c r="L1584" i="1" a="1"/>
  <c r="L1585" i="1" a="1"/>
  <c r="L1586" i="1" a="1"/>
  <c r="L1587" i="1" a="1"/>
  <c r="L1588" i="1" a="1"/>
  <c r="L1589" i="1" a="1"/>
  <c r="L1590" i="1" a="1"/>
  <c r="L1591" i="1" a="1"/>
  <c r="L1592" i="1" a="1"/>
  <c r="L1593" i="1" a="1"/>
  <c r="L1594" i="1" a="1"/>
  <c r="L1595" i="1" a="1"/>
  <c r="L1596" i="1" a="1"/>
  <c r="L1597" i="1" a="1"/>
  <c r="L1598" i="1" a="1"/>
  <c r="L1599" i="1" a="1"/>
  <c r="L1600" i="1" a="1"/>
  <c r="L1601" i="1" a="1"/>
  <c r="L1602" i="1" a="1"/>
  <c r="L1603" i="1" a="1"/>
  <c r="L1604" i="1" a="1"/>
  <c r="L1605" i="1" a="1"/>
  <c r="L1606" i="1" a="1"/>
  <c r="L1607" i="1" a="1"/>
  <c r="L1608" i="1" a="1"/>
  <c r="L1609" i="1" a="1"/>
  <c r="L1610" i="1" a="1"/>
  <c r="L1611" i="1" a="1"/>
  <c r="L1612" i="1" a="1"/>
  <c r="L1613" i="1" a="1"/>
  <c r="L1614" i="1" a="1"/>
  <c r="L1615" i="1" a="1"/>
  <c r="L1616" i="1" a="1"/>
  <c r="L1617" i="1" a="1"/>
  <c r="L1618" i="1" a="1"/>
  <c r="L1619" i="1" a="1"/>
  <c r="L1620" i="1" a="1"/>
  <c r="L1621" i="1" a="1"/>
  <c r="L1622" i="1" a="1"/>
  <c r="L1623" i="1" a="1"/>
  <c r="L1624" i="1" a="1"/>
  <c r="L1625" i="1" a="1"/>
  <c r="L1626" i="1" a="1"/>
  <c r="L1627" i="1" a="1"/>
  <c r="L1628" i="1" a="1"/>
  <c r="L1629" i="1" a="1"/>
  <c r="L1630" i="1" a="1"/>
  <c r="L1631" i="1" a="1"/>
  <c r="L1632" i="1" a="1"/>
  <c r="L1633" i="1" a="1"/>
  <c r="L1634" i="1" a="1"/>
  <c r="L1635" i="1" a="1"/>
  <c r="L1636" i="1" a="1"/>
  <c r="L1637" i="1" a="1"/>
  <c r="L1638" i="1" a="1"/>
  <c r="L1639" i="1" a="1"/>
  <c r="L1640" i="1" a="1"/>
  <c r="L1641" i="1" a="1"/>
  <c r="L1642" i="1" a="1"/>
  <c r="L1643" i="1" a="1"/>
  <c r="L1644" i="1" a="1"/>
  <c r="L1645" i="1" a="1"/>
  <c r="L1646" i="1" a="1"/>
  <c r="L1647" i="1" a="1"/>
  <c r="L1648" i="1" a="1"/>
  <c r="L1649" i="1" a="1"/>
  <c r="L1650" i="1" a="1"/>
  <c r="L1651" i="1" a="1"/>
  <c r="L1652" i="1" a="1"/>
  <c r="L1653" i="1" a="1"/>
  <c r="L1654" i="1" a="1"/>
  <c r="L1655" i="1" a="1"/>
  <c r="L1656" i="1" a="1"/>
  <c r="L1657" i="1" a="1"/>
  <c r="L1658" i="1" a="1"/>
  <c r="L1659" i="1" a="1"/>
  <c r="L1660" i="1" a="1"/>
  <c r="L1661" i="1" a="1"/>
  <c r="L1662" i="1" a="1"/>
  <c r="L1663" i="1" a="1"/>
  <c r="L1664" i="1" a="1"/>
  <c r="L1665" i="1" a="1"/>
  <c r="L1666" i="1" a="1"/>
  <c r="L1667" i="1" a="1"/>
  <c r="L1668" i="1" a="1"/>
  <c r="L1669" i="1" a="1"/>
  <c r="L1670" i="1" a="1"/>
  <c r="L1671" i="1" a="1"/>
  <c r="L1672" i="1" a="1"/>
  <c r="L1673" i="1" a="1"/>
  <c r="L1674" i="1" a="1"/>
  <c r="L1675" i="1" a="1"/>
  <c r="L1676" i="1" a="1"/>
  <c r="L1677" i="1" a="1"/>
  <c r="L1678" i="1" a="1"/>
  <c r="L1679" i="1" a="1"/>
  <c r="L1680" i="1" a="1"/>
  <c r="L1681" i="1" a="1"/>
  <c r="L1682" i="1" a="1"/>
  <c r="L1683" i="1" a="1"/>
  <c r="L1684" i="1" a="1"/>
  <c r="L1685" i="1" a="1"/>
  <c r="L1686" i="1" a="1"/>
  <c r="L1687" i="1" a="1"/>
  <c r="L1688" i="1" a="1"/>
  <c r="L1689" i="1" a="1"/>
  <c r="L1690" i="1" a="1"/>
  <c r="L1691" i="1" a="1"/>
  <c r="L1692" i="1" a="1"/>
  <c r="L1693" i="1" a="1"/>
  <c r="L1694" i="1" a="1"/>
  <c r="L1695" i="1" a="1"/>
  <c r="L1696" i="1" a="1"/>
  <c r="L1697" i="1" a="1"/>
  <c r="L1698" i="1" a="1"/>
  <c r="L1699" i="1" a="1"/>
  <c r="L1700" i="1" a="1"/>
  <c r="L1701" i="1" a="1"/>
  <c r="L1702" i="1" a="1"/>
  <c r="L1703" i="1" a="1"/>
  <c r="L1704" i="1" a="1"/>
  <c r="L1705" i="1" a="1"/>
  <c r="L1706" i="1" a="1"/>
  <c r="L1707" i="1" a="1"/>
  <c r="L1708" i="1" a="1"/>
  <c r="L1709" i="1" a="1"/>
  <c r="L1710" i="1" a="1"/>
  <c r="L1711" i="1" a="1"/>
  <c r="L1712" i="1" a="1"/>
  <c r="L1713" i="1" a="1"/>
  <c r="L1714" i="1" a="1"/>
  <c r="L1715" i="1" a="1"/>
  <c r="L1716" i="1" a="1"/>
  <c r="L1717" i="1" a="1"/>
  <c r="L1718" i="1" a="1"/>
  <c r="L1719" i="1" a="1"/>
  <c r="L1720" i="1" a="1"/>
  <c r="L1721" i="1" a="1"/>
  <c r="L1722" i="1" a="1"/>
  <c r="L1723" i="1" a="1"/>
  <c r="L1724" i="1" a="1"/>
  <c r="L1725" i="1" a="1"/>
  <c r="L1726" i="1" a="1"/>
  <c r="L1727" i="1" a="1"/>
  <c r="L1728" i="1" a="1"/>
  <c r="L1729" i="1" a="1"/>
  <c r="L1730" i="1" a="1"/>
  <c r="L1731" i="1" a="1"/>
  <c r="L1732" i="1" a="1"/>
  <c r="L1733" i="1" a="1"/>
  <c r="L1734" i="1" a="1"/>
  <c r="L1735" i="1" a="1"/>
  <c r="L1736" i="1" a="1"/>
  <c r="L1737" i="1" a="1"/>
  <c r="L1738" i="1" a="1"/>
  <c r="L1739" i="1" a="1"/>
  <c r="L1740" i="1" a="1"/>
  <c r="L1743" i="1" a="1"/>
  <c r="L1744" i="1" a="1"/>
  <c r="L1745" i="1" a="1"/>
  <c r="L1746" i="1" a="1"/>
  <c r="L1747" i="1" a="1"/>
  <c r="L1748" i="1" a="1"/>
  <c r="L1749" i="1" a="1"/>
  <c r="L1750" i="1" a="1"/>
  <c r="L1751" i="1" a="1"/>
  <c r="L1752" i="1" a="1"/>
  <c r="L1753" i="1" a="1"/>
  <c r="L1754" i="1" a="1"/>
  <c r="L1755" i="1" a="1"/>
  <c r="L1756" i="1" a="1"/>
  <c r="L1757" i="1" a="1"/>
  <c r="L1758" i="1" a="1"/>
  <c r="L1759" i="1" a="1"/>
  <c r="L1760" i="1" a="1"/>
  <c r="L1761" i="1" a="1"/>
  <c r="L1762" i="1" a="1"/>
  <c r="L1763" i="1" a="1"/>
  <c r="L1764" i="1" a="1"/>
  <c r="L1765" i="1" a="1"/>
  <c r="L1766" i="1" a="1"/>
  <c r="L1767" i="1" a="1"/>
  <c r="L1768" i="1" a="1"/>
  <c r="L1769" i="1" a="1"/>
  <c r="L1770" i="1" a="1"/>
  <c r="L1771" i="1" a="1"/>
  <c r="L1772" i="1" a="1"/>
  <c r="L1773" i="1" a="1"/>
  <c r="L1774" i="1" a="1"/>
  <c r="L1775" i="1" a="1"/>
  <c r="L1776" i="1" a="1"/>
  <c r="L1777" i="1" a="1"/>
  <c r="L1778" i="1" a="1"/>
  <c r="L1779" i="1" a="1"/>
  <c r="L1780" i="1" a="1"/>
  <c r="L1781" i="1" a="1"/>
  <c r="L1782" i="1" a="1"/>
  <c r="L1783" i="1" a="1"/>
  <c r="L1784" i="1" a="1"/>
  <c r="L1785" i="1" a="1"/>
  <c r="L1786" i="1" a="1"/>
  <c r="L1787" i="1" a="1"/>
  <c r="L1788" i="1" a="1"/>
  <c r="L1789" i="1" a="1"/>
  <c r="L1790" i="1" a="1"/>
  <c r="L1791" i="1" a="1"/>
  <c r="L1792" i="1" a="1"/>
  <c r="L1793" i="1" a="1"/>
  <c r="L1794" i="1" a="1"/>
  <c r="L1795" i="1" a="1"/>
  <c r="L1796" i="1" a="1"/>
  <c r="L1797" i="1" a="1"/>
  <c r="L1798" i="1" a="1"/>
  <c r="L1799" i="1" a="1"/>
  <c r="L1800" i="1" a="1"/>
  <c r="L1801" i="1" a="1"/>
  <c r="L1802" i="1" a="1"/>
  <c r="L1803" i="1" a="1"/>
  <c r="L1804" i="1" a="1"/>
  <c r="L1805" i="1" a="1"/>
  <c r="L1806" i="1" a="1"/>
  <c r="L1807" i="1" a="1"/>
  <c r="L1808" i="1" a="1"/>
  <c r="L1809" i="1" a="1"/>
  <c r="L1810" i="1" a="1"/>
  <c r="L1811" i="1" a="1"/>
  <c r="L1812" i="1" a="1"/>
  <c r="L1813" i="1" a="1"/>
  <c r="L1814" i="1" a="1"/>
  <c r="L1815" i="1" a="1"/>
  <c r="L1816" i="1" a="1"/>
  <c r="L1817" i="1" a="1"/>
  <c r="L1818" i="1" a="1"/>
  <c r="L1819" i="1" a="1"/>
  <c r="L1820" i="1" a="1"/>
  <c r="L1821" i="1" a="1"/>
  <c r="L1822" i="1" a="1"/>
  <c r="L1823" i="1" a="1"/>
  <c r="L1824" i="1" a="1"/>
  <c r="L1825" i="1" a="1"/>
  <c r="L1826" i="1" a="1"/>
  <c r="L1827" i="1" a="1"/>
  <c r="L1828" i="1" a="1"/>
  <c r="L1829" i="1" a="1"/>
  <c r="L1830" i="1" a="1"/>
  <c r="L1831" i="1" a="1"/>
  <c r="L1832" i="1" a="1"/>
  <c r="L1833" i="1" a="1"/>
  <c r="L1834" i="1" a="1"/>
  <c r="L1835" i="1" a="1"/>
  <c r="L1836" i="1" a="1"/>
  <c r="L1837" i="1" a="1"/>
  <c r="L1838" i="1" a="1"/>
  <c r="L1839" i="1" a="1"/>
  <c r="L1840" i="1" a="1"/>
  <c r="L1841" i="1" a="1"/>
  <c r="L1842" i="1" a="1"/>
  <c r="L1843" i="1" a="1"/>
  <c r="L1844" i="1" a="1"/>
  <c r="M16" i="1" a="1"/>
  <c r="M17" i="1" a="1"/>
  <c r="M18" i="1" a="1"/>
  <c r="M19" i="1" a="1"/>
  <c r="M20" i="1" a="1"/>
  <c r="M21" i="1" a="1"/>
  <c r="M22" i="1" a="1"/>
  <c r="M23" i="1" a="1"/>
  <c r="M24" i="1" a="1"/>
  <c r="M25" i="1" a="1"/>
  <c r="M26" i="1" a="1"/>
  <c r="M27" i="1" a="1"/>
  <c r="M28" i="1" a="1"/>
  <c r="M29" i="1" a="1"/>
  <c r="M30" i="1" a="1"/>
  <c r="M31" i="1" a="1"/>
  <c r="M32" i="1" a="1"/>
  <c r="M33" i="1" a="1"/>
  <c r="M34" i="1" a="1"/>
  <c r="M35" i="1" a="1"/>
  <c r="M36" i="1" a="1"/>
  <c r="M37" i="1" a="1"/>
  <c r="M38" i="1" a="1"/>
  <c r="M39" i="1" a="1"/>
  <c r="M40" i="1" a="1"/>
  <c r="M41" i="1" a="1"/>
  <c r="M42" i="1" a="1"/>
  <c r="M43" i="1" a="1"/>
  <c r="M44" i="1" a="1"/>
  <c r="M45" i="1" a="1"/>
  <c r="M46" i="1" a="1"/>
  <c r="M47" i="1" a="1"/>
  <c r="M48" i="1" a="1"/>
  <c r="M49" i="1" a="1"/>
  <c r="M50" i="1" a="1"/>
  <c r="M51" i="1" a="1"/>
  <c r="M52" i="1" a="1"/>
  <c r="M53" i="1" a="1"/>
  <c r="M54" i="1" a="1"/>
  <c r="M55" i="1" a="1"/>
  <c r="M56" i="1" a="1"/>
  <c r="M57" i="1" a="1"/>
  <c r="M58" i="1" a="1"/>
  <c r="M59" i="1" a="1"/>
  <c r="M60" i="1" a="1"/>
  <c r="M61" i="1" a="1"/>
  <c r="M62" i="1" a="1"/>
  <c r="M63" i="1" a="1"/>
  <c r="M64" i="1" a="1"/>
  <c r="M65" i="1" a="1"/>
  <c r="M66" i="1" a="1"/>
  <c r="M67" i="1" a="1"/>
  <c r="M68" i="1" a="1"/>
  <c r="M69" i="1" a="1"/>
  <c r="M70" i="1" a="1"/>
  <c r="M71" i="1" a="1"/>
  <c r="M72" i="1" a="1"/>
  <c r="M73" i="1" a="1"/>
  <c r="M74" i="1" a="1"/>
  <c r="M75" i="1" a="1"/>
  <c r="M76" i="1" a="1"/>
  <c r="M77" i="1" a="1"/>
  <c r="M78" i="1" a="1"/>
  <c r="M79" i="1" a="1"/>
  <c r="M80" i="1" a="1"/>
  <c r="M81" i="1" a="1"/>
  <c r="M82" i="1" a="1"/>
  <c r="M83" i="1" a="1"/>
  <c r="M84" i="1" a="1"/>
  <c r="M85" i="1" a="1"/>
  <c r="M86" i="1" a="1"/>
  <c r="M87" i="1" a="1"/>
  <c r="M88" i="1" a="1"/>
  <c r="M89" i="1" a="1"/>
  <c r="M90" i="1" a="1"/>
  <c r="M91" i="1" a="1"/>
  <c r="M92" i="1" a="1"/>
  <c r="M93" i="1" a="1"/>
  <c r="M94" i="1" a="1"/>
  <c r="M95" i="1" a="1"/>
  <c r="M96" i="1" a="1"/>
  <c r="M97" i="1" a="1"/>
  <c r="M98" i="1" a="1"/>
  <c r="M99" i="1" a="1"/>
  <c r="M100" i="1" a="1"/>
  <c r="M101" i="1" a="1"/>
  <c r="M102" i="1" a="1"/>
  <c r="M103" i="1" a="1"/>
  <c r="M104" i="1" a="1"/>
  <c r="M105" i="1" a="1"/>
  <c r="M106" i="1" a="1"/>
  <c r="M107" i="1" a="1"/>
  <c r="M108" i="1" a="1"/>
  <c r="M109" i="1" a="1"/>
  <c r="M110" i="1" a="1"/>
  <c r="M111" i="1" a="1"/>
  <c r="M112" i="1" a="1"/>
  <c r="M113" i="1" a="1"/>
  <c r="M114" i="1" a="1"/>
  <c r="M115" i="1" a="1"/>
  <c r="M116" i="1" a="1"/>
  <c r="M117" i="1" a="1"/>
  <c r="M118" i="1" a="1"/>
  <c r="M119" i="1" a="1"/>
  <c r="M120" i="1" a="1"/>
  <c r="M121" i="1" a="1"/>
  <c r="M122" i="1" a="1"/>
  <c r="M123" i="1" a="1"/>
  <c r="M124" i="1" a="1"/>
  <c r="M125" i="1" a="1"/>
  <c r="M126" i="1" a="1"/>
  <c r="M127" i="1" a="1"/>
  <c r="M128" i="1" a="1"/>
  <c r="M129" i="1" a="1"/>
  <c r="M130" i="1" a="1"/>
  <c r="M131" i="1" a="1"/>
  <c r="M132" i="1" a="1"/>
  <c r="M133" i="1" a="1"/>
  <c r="M134" i="1" a="1"/>
  <c r="M135" i="1" a="1"/>
  <c r="M136" i="1" a="1"/>
  <c r="M137" i="1" a="1"/>
  <c r="M138" i="1" a="1"/>
  <c r="M139" i="1" a="1"/>
  <c r="M140" i="1" a="1"/>
  <c r="M141" i="1" a="1"/>
  <c r="M142" i="1" a="1"/>
  <c r="M143" i="1" a="1"/>
  <c r="M144" i="1" a="1"/>
  <c r="M145" i="1" a="1"/>
  <c r="M146" i="1" a="1"/>
  <c r="M147" i="1" a="1"/>
  <c r="M148" i="1" a="1"/>
  <c r="M149" i="1" a="1"/>
  <c r="M150" i="1" a="1"/>
  <c r="M151" i="1" a="1"/>
  <c r="M152" i="1" a="1"/>
  <c r="M153" i="1" a="1"/>
  <c r="M154" i="1" a="1"/>
  <c r="M155" i="1" a="1"/>
  <c r="M156" i="1" a="1"/>
  <c r="M157" i="1" a="1"/>
  <c r="M158" i="1" a="1"/>
  <c r="M159" i="1" a="1"/>
  <c r="M160" i="1" a="1"/>
  <c r="M161" i="1" a="1"/>
  <c r="M162" i="1" a="1"/>
  <c r="M163" i="1" a="1"/>
  <c r="M164" i="1" a="1"/>
  <c r="M165" i="1" a="1"/>
  <c r="M166" i="1" a="1"/>
  <c r="M167" i="1" a="1"/>
  <c r="M168" i="1" a="1"/>
  <c r="M169" i="1" a="1"/>
  <c r="M170" i="1" a="1"/>
  <c r="M171" i="1" a="1"/>
  <c r="M172" i="1" a="1"/>
  <c r="M173" i="1" a="1"/>
  <c r="M174" i="1" a="1"/>
  <c r="M175" i="1" a="1"/>
  <c r="M176" i="1" a="1"/>
  <c r="M177" i="1" a="1"/>
  <c r="M178" i="1" a="1"/>
  <c r="M179" i="1" a="1"/>
  <c r="M180" i="1" a="1"/>
  <c r="M181" i="1" a="1"/>
  <c r="M182" i="1" a="1"/>
  <c r="M183" i="1" a="1"/>
  <c r="M184" i="1" a="1"/>
  <c r="M185" i="1" a="1"/>
  <c r="M186" i="1" a="1"/>
  <c r="M187" i="1" a="1"/>
  <c r="M188" i="1" a="1"/>
  <c r="M189" i="1" a="1"/>
  <c r="M190" i="1" a="1"/>
  <c r="M191" i="1" a="1"/>
  <c r="M192" i="1" a="1"/>
  <c r="M193" i="1" a="1"/>
  <c r="M194" i="1" a="1"/>
  <c r="M195" i="1" a="1"/>
  <c r="M196" i="1" a="1"/>
  <c r="M197" i="1" a="1"/>
  <c r="M198" i="1" a="1"/>
  <c r="M199" i="1" a="1"/>
  <c r="M200" i="1" a="1"/>
  <c r="M201" i="1" a="1"/>
  <c r="M202" i="1" a="1"/>
  <c r="M203" i="1" a="1"/>
  <c r="M204" i="1" a="1"/>
  <c r="M205" i="1" a="1"/>
  <c r="M206" i="1" a="1"/>
  <c r="M207" i="1" a="1"/>
  <c r="M208" i="1" a="1"/>
  <c r="M209" i="1" a="1"/>
  <c r="M210" i="1" a="1"/>
  <c r="M211" i="1" a="1"/>
  <c r="M212" i="1" a="1"/>
  <c r="M213" i="1" a="1"/>
  <c r="M214" i="1" a="1"/>
  <c r="M215" i="1" a="1"/>
  <c r="M216" i="1" a="1"/>
  <c r="M217" i="1" a="1"/>
  <c r="M218" i="1" a="1"/>
  <c r="M219" i="1" a="1"/>
  <c r="M220" i="1" a="1"/>
  <c r="M221" i="1" a="1"/>
  <c r="M222" i="1" a="1"/>
  <c r="M223" i="1" a="1"/>
  <c r="M224" i="1" a="1"/>
  <c r="M225" i="1" a="1"/>
  <c r="M226" i="1" a="1"/>
  <c r="M227" i="1" a="1"/>
  <c r="M228" i="1" a="1"/>
  <c r="M229" i="1" a="1"/>
  <c r="M230" i="1" a="1"/>
  <c r="M231" i="1" a="1"/>
  <c r="M232" i="1" a="1"/>
  <c r="M233" i="1" a="1"/>
  <c r="M234" i="1" a="1"/>
  <c r="M235" i="1" a="1"/>
  <c r="M236" i="1" a="1"/>
  <c r="M237" i="1" a="1"/>
  <c r="M238" i="1" a="1"/>
  <c r="M239" i="1" a="1"/>
  <c r="M240" i="1" a="1"/>
  <c r="M241" i="1" a="1"/>
  <c r="M242" i="1" a="1"/>
  <c r="M243" i="1" a="1"/>
  <c r="M244" i="1" a="1"/>
  <c r="M245" i="1" a="1"/>
  <c r="M246" i="1" a="1"/>
  <c r="M247" i="1" a="1"/>
  <c r="M248" i="1" a="1"/>
  <c r="M249" i="1" a="1"/>
  <c r="M250" i="1" a="1"/>
  <c r="M251" i="1" a="1"/>
  <c r="M252" i="1" a="1"/>
  <c r="M253" i="1" a="1"/>
  <c r="M254" i="1" a="1"/>
  <c r="M255" i="1" a="1"/>
  <c r="M256" i="1" a="1"/>
  <c r="M257" i="1" a="1"/>
  <c r="M258" i="1" a="1"/>
  <c r="M259" i="1" a="1"/>
  <c r="M260" i="1" a="1"/>
  <c r="M261" i="1" a="1"/>
  <c r="M262" i="1" a="1"/>
  <c r="M263" i="1" a="1"/>
  <c r="M264" i="1" a="1"/>
  <c r="M265" i="1" a="1"/>
  <c r="M266" i="1" a="1"/>
  <c r="M267" i="1" a="1"/>
  <c r="M268" i="1" a="1"/>
  <c r="M269" i="1" a="1"/>
  <c r="M270" i="1" a="1"/>
  <c r="M271" i="1" a="1"/>
  <c r="M272" i="1" a="1"/>
  <c r="M273" i="1" a="1"/>
  <c r="M274" i="1" a="1"/>
  <c r="M275" i="1" a="1"/>
  <c r="M276" i="1" a="1"/>
  <c r="M277" i="1" a="1"/>
  <c r="M278" i="1" a="1"/>
  <c r="M279" i="1" a="1"/>
  <c r="M280" i="1" a="1"/>
  <c r="M281" i="1" a="1"/>
  <c r="M282" i="1" a="1"/>
  <c r="M283" i="1" a="1"/>
  <c r="M284" i="1" a="1"/>
  <c r="M285" i="1" a="1"/>
  <c r="M286" i="1" a="1"/>
  <c r="M287" i="1" a="1"/>
  <c r="M288" i="1" a="1"/>
  <c r="M289" i="1" a="1"/>
  <c r="M290" i="1" a="1"/>
  <c r="M291" i="1" a="1"/>
  <c r="M292" i="1" a="1"/>
  <c r="M293" i="1" a="1"/>
  <c r="M294" i="1" a="1"/>
  <c r="M295" i="1" a="1"/>
  <c r="M296" i="1" a="1"/>
  <c r="M297" i="1" a="1"/>
  <c r="M298" i="1" a="1"/>
  <c r="M299" i="1" a="1"/>
  <c r="M300" i="1" a="1"/>
  <c r="M301" i="1" a="1"/>
  <c r="M302" i="1" a="1"/>
  <c r="M303" i="1" a="1"/>
  <c r="M304" i="1" a="1"/>
  <c r="M305" i="1" a="1"/>
  <c r="M306" i="1" a="1"/>
  <c r="M307" i="1" a="1"/>
  <c r="M308" i="1" a="1"/>
  <c r="M309" i="1" a="1"/>
  <c r="M310" i="1" a="1"/>
  <c r="M311" i="1" a="1"/>
  <c r="M312" i="1" a="1"/>
  <c r="M313" i="1" a="1"/>
  <c r="M314" i="1" a="1"/>
  <c r="M315" i="1" a="1"/>
  <c r="M316" i="1" a="1"/>
  <c r="M317" i="1" a="1"/>
  <c r="M318" i="1" a="1"/>
  <c r="M319" i="1" a="1"/>
  <c r="M320" i="1" a="1"/>
  <c r="M321" i="1" a="1"/>
  <c r="M322" i="1" a="1"/>
  <c r="M323" i="1" a="1"/>
  <c r="M324" i="1" a="1"/>
  <c r="M325" i="1" a="1"/>
  <c r="M326" i="1" a="1"/>
  <c r="M327" i="1" a="1"/>
  <c r="M328" i="1" a="1"/>
  <c r="M329" i="1" a="1"/>
  <c r="M330" i="1" a="1"/>
  <c r="M331" i="1" a="1"/>
  <c r="M332" i="1" a="1"/>
  <c r="M333" i="1" a="1"/>
  <c r="M334" i="1" a="1"/>
  <c r="M335" i="1" a="1"/>
  <c r="M336" i="1" a="1"/>
  <c r="M337" i="1" a="1"/>
  <c r="M338" i="1" a="1"/>
  <c r="M339" i="1" a="1"/>
  <c r="M340" i="1" a="1"/>
  <c r="M341" i="1" a="1"/>
  <c r="M342" i="1" a="1"/>
  <c r="M343" i="1" a="1"/>
  <c r="M344" i="1" a="1"/>
  <c r="M345" i="1" a="1"/>
  <c r="M346" i="1" a="1"/>
  <c r="M347" i="1" a="1"/>
  <c r="M348" i="1" a="1"/>
  <c r="M349" i="1" a="1"/>
  <c r="M350" i="1" a="1"/>
  <c r="M351" i="1" a="1"/>
  <c r="M352" i="1" a="1"/>
  <c r="M353" i="1" a="1"/>
  <c r="M354" i="1" a="1"/>
  <c r="M355" i="1" a="1"/>
  <c r="M356" i="1" a="1"/>
  <c r="M357" i="1" a="1"/>
  <c r="M358" i="1" a="1"/>
  <c r="M359" i="1" a="1"/>
  <c r="M360" i="1" a="1"/>
  <c r="M361" i="1" a="1"/>
  <c r="M362" i="1" a="1"/>
  <c r="M363" i="1" a="1"/>
  <c r="M364" i="1" a="1"/>
  <c r="M365" i="1" a="1"/>
  <c r="M366" i="1" a="1"/>
  <c r="M367" i="1" a="1"/>
  <c r="M368" i="1" a="1"/>
  <c r="M369" i="1" a="1"/>
  <c r="M370" i="1" a="1"/>
  <c r="M371" i="1" a="1"/>
  <c r="M372" i="1" a="1"/>
  <c r="M373" i="1" a="1"/>
  <c r="M374" i="1" a="1"/>
  <c r="M375" i="1" a="1"/>
  <c r="M376" i="1" a="1"/>
  <c r="M377" i="1" a="1"/>
  <c r="M378" i="1" a="1"/>
  <c r="M379" i="1" a="1"/>
  <c r="M380" i="1" a="1"/>
  <c r="M381" i="1" a="1"/>
  <c r="M382" i="1" a="1"/>
  <c r="M383" i="1" a="1"/>
  <c r="M384" i="1" a="1"/>
  <c r="M385" i="1" a="1"/>
  <c r="M386" i="1" a="1"/>
  <c r="M387" i="1" a="1"/>
  <c r="M388" i="1" a="1"/>
  <c r="M389" i="1" a="1"/>
  <c r="M390" i="1" a="1"/>
  <c r="M391" i="1" a="1"/>
  <c r="M392" i="1" a="1"/>
  <c r="M393" i="1" a="1"/>
  <c r="M394" i="1" a="1"/>
  <c r="M395" i="1" a="1"/>
  <c r="M396" i="1" a="1"/>
  <c r="M397" i="1" a="1"/>
  <c r="M398" i="1" a="1"/>
  <c r="M399" i="1" a="1"/>
  <c r="M400" i="1" a="1"/>
  <c r="M401" i="1" a="1"/>
  <c r="M402" i="1" a="1"/>
  <c r="M403" i="1" a="1"/>
  <c r="M404" i="1" a="1"/>
  <c r="M405" i="1" a="1"/>
  <c r="M406" i="1" a="1"/>
  <c r="M407" i="1" a="1"/>
  <c r="M408" i="1" a="1"/>
  <c r="M409" i="1" a="1"/>
  <c r="M410" i="1" a="1"/>
  <c r="M411" i="1" a="1"/>
  <c r="M412" i="1" a="1"/>
  <c r="M413" i="1" a="1"/>
  <c r="M414" i="1" a="1"/>
  <c r="M415" i="1" a="1"/>
  <c r="M416" i="1" a="1"/>
  <c r="M417" i="1" a="1"/>
  <c r="M418" i="1" a="1"/>
  <c r="M419" i="1" a="1"/>
  <c r="M420" i="1" a="1"/>
  <c r="M421" i="1" a="1"/>
  <c r="M422" i="1" a="1"/>
  <c r="M423" i="1" a="1"/>
  <c r="M424" i="1" a="1"/>
  <c r="M425" i="1" a="1"/>
  <c r="M426" i="1" a="1"/>
  <c r="M427" i="1" a="1"/>
  <c r="M428" i="1" a="1"/>
  <c r="M429" i="1" a="1"/>
  <c r="M430" i="1" a="1"/>
  <c r="M431" i="1" a="1"/>
  <c r="M432" i="1" a="1"/>
  <c r="M433" i="1" a="1"/>
  <c r="M434" i="1" a="1"/>
  <c r="M435" i="1" a="1"/>
  <c r="M436" i="1" a="1"/>
  <c r="M437" i="1" a="1"/>
  <c r="M438" i="1" a="1"/>
  <c r="M439" i="1" a="1"/>
  <c r="M440" i="1" a="1"/>
  <c r="M441" i="1" a="1"/>
  <c r="M442" i="1" a="1"/>
  <c r="M443" i="1" a="1"/>
  <c r="M444" i="1" a="1"/>
  <c r="M445" i="1" a="1"/>
  <c r="M446" i="1" a="1"/>
  <c r="M447" i="1" a="1"/>
  <c r="M448" i="1" a="1"/>
  <c r="M449" i="1" a="1"/>
  <c r="M450" i="1" a="1"/>
  <c r="M451" i="1" a="1"/>
  <c r="M452" i="1" a="1"/>
  <c r="M453" i="1" a="1"/>
  <c r="M454" i="1" a="1"/>
  <c r="M455" i="1" a="1"/>
  <c r="M456" i="1" a="1"/>
  <c r="M457" i="1" a="1"/>
  <c r="M458" i="1" a="1"/>
  <c r="M459" i="1" a="1"/>
  <c r="M460" i="1" a="1"/>
  <c r="M461" i="1" a="1"/>
  <c r="M462" i="1" a="1"/>
  <c r="M463" i="1" a="1"/>
  <c r="M464" i="1" a="1"/>
  <c r="M465" i="1" a="1"/>
  <c r="M466" i="1" a="1"/>
  <c r="M467" i="1" a="1"/>
  <c r="M468" i="1" a="1"/>
  <c r="M469" i="1" a="1"/>
  <c r="M470" i="1" a="1"/>
  <c r="M471" i="1" a="1"/>
  <c r="M472" i="1" a="1"/>
  <c r="M473" i="1" a="1"/>
  <c r="M474" i="1" a="1"/>
  <c r="M475" i="1" a="1"/>
  <c r="M476" i="1" a="1"/>
  <c r="M477" i="1" a="1"/>
  <c r="M478" i="1" a="1"/>
  <c r="M479" i="1" a="1"/>
  <c r="M480" i="1" a="1"/>
  <c r="M481" i="1" a="1"/>
  <c r="M482" i="1" a="1"/>
  <c r="M483" i="1" a="1"/>
  <c r="M484" i="1" a="1"/>
  <c r="M485" i="1" a="1"/>
  <c r="M486" i="1" a="1"/>
  <c r="M487" i="1" a="1"/>
  <c r="M488" i="1" a="1"/>
  <c r="M489" i="1" a="1"/>
  <c r="M490" i="1" a="1"/>
  <c r="M491" i="1" a="1"/>
  <c r="M492" i="1" a="1"/>
  <c r="M493" i="1" a="1"/>
  <c r="M494" i="1" a="1"/>
  <c r="M495" i="1" a="1"/>
  <c r="M496" i="1" a="1"/>
  <c r="M497" i="1" a="1"/>
  <c r="M498" i="1" a="1"/>
  <c r="M499" i="1" a="1"/>
  <c r="M500" i="1" a="1"/>
  <c r="M501" i="1" a="1"/>
  <c r="M502" i="1" a="1"/>
  <c r="M503" i="1" a="1"/>
  <c r="M504" i="1" a="1"/>
  <c r="M505" i="1" a="1"/>
  <c r="M506" i="1" a="1"/>
  <c r="M507" i="1" a="1"/>
  <c r="M508" i="1" a="1"/>
  <c r="M509" i="1" a="1"/>
  <c r="M510" i="1" a="1"/>
  <c r="M511" i="1" a="1"/>
  <c r="M512" i="1" a="1"/>
  <c r="M513" i="1" a="1"/>
  <c r="M514" i="1" a="1"/>
  <c r="M515" i="1" a="1"/>
  <c r="M516" i="1" a="1"/>
  <c r="M517" i="1" a="1"/>
  <c r="M518" i="1" a="1"/>
  <c r="M519" i="1" a="1"/>
  <c r="M520" i="1" a="1"/>
  <c r="M521" i="1" a="1"/>
  <c r="M522" i="1" a="1"/>
  <c r="M523" i="1" a="1"/>
  <c r="M524" i="1" a="1"/>
  <c r="M525" i="1" a="1"/>
  <c r="M526" i="1" a="1"/>
  <c r="M527" i="1" a="1"/>
  <c r="M528" i="1" a="1"/>
  <c r="M529" i="1" a="1"/>
  <c r="M530" i="1" a="1"/>
  <c r="M531" i="1" a="1"/>
  <c r="M532" i="1" a="1"/>
  <c r="M533" i="1" a="1"/>
  <c r="M534" i="1" a="1"/>
  <c r="M535" i="1" a="1"/>
  <c r="M536" i="1" a="1"/>
  <c r="M537" i="1" a="1"/>
  <c r="M538" i="1" a="1"/>
  <c r="M539" i="1" a="1"/>
  <c r="M540" i="1" a="1"/>
  <c r="M541" i="1" a="1"/>
  <c r="M542" i="1" a="1"/>
  <c r="M543" i="1" a="1"/>
  <c r="M544" i="1" a="1"/>
  <c r="M545" i="1" a="1"/>
  <c r="M546" i="1" a="1"/>
  <c r="M547" i="1" a="1"/>
  <c r="M548" i="1" a="1"/>
  <c r="M549" i="1" a="1"/>
  <c r="M550" i="1" a="1"/>
  <c r="M551" i="1" a="1"/>
  <c r="M552" i="1" a="1"/>
  <c r="M553" i="1" a="1"/>
  <c r="M554" i="1" a="1"/>
  <c r="M555" i="1" a="1"/>
  <c r="M556" i="1" a="1"/>
  <c r="M557" i="1" a="1"/>
  <c r="M558" i="1" a="1"/>
  <c r="M559" i="1" a="1"/>
  <c r="M560" i="1" a="1"/>
  <c r="M561" i="1" a="1"/>
  <c r="M562" i="1" a="1"/>
  <c r="M563" i="1" a="1"/>
  <c r="M564" i="1" a="1"/>
  <c r="M565" i="1" a="1"/>
  <c r="M566" i="1" a="1"/>
  <c r="M567" i="1" a="1"/>
  <c r="M568" i="1" a="1"/>
  <c r="M569" i="1" a="1"/>
  <c r="M570" i="1" a="1"/>
  <c r="M571" i="1" a="1"/>
  <c r="M572" i="1" a="1"/>
  <c r="M573" i="1" a="1"/>
  <c r="M574" i="1" a="1"/>
  <c r="M575" i="1" a="1"/>
  <c r="M576" i="1" a="1"/>
  <c r="M577" i="1" a="1"/>
  <c r="M578" i="1" a="1"/>
  <c r="M579" i="1" a="1"/>
  <c r="M580" i="1" a="1"/>
  <c r="M581" i="1" a="1"/>
  <c r="M582" i="1" a="1"/>
  <c r="M583" i="1" a="1"/>
  <c r="M584" i="1" a="1"/>
  <c r="M585" i="1" a="1"/>
  <c r="M586" i="1" a="1"/>
  <c r="M587" i="1" a="1"/>
  <c r="M588" i="1" a="1"/>
  <c r="M589" i="1" a="1"/>
  <c r="M590" i="1" a="1"/>
  <c r="M591" i="1" a="1"/>
  <c r="M592" i="1" a="1"/>
  <c r="M593" i="1" a="1"/>
  <c r="M594" i="1" a="1"/>
  <c r="M595" i="1" a="1"/>
  <c r="M596" i="1" a="1"/>
  <c r="M597" i="1" a="1"/>
  <c r="M598" i="1" a="1"/>
  <c r="M599" i="1" a="1"/>
  <c r="M600" i="1" a="1"/>
  <c r="M601" i="1" a="1"/>
  <c r="M602" i="1" a="1"/>
  <c r="M603" i="1" a="1"/>
  <c r="M604" i="1" a="1"/>
  <c r="M605" i="1" a="1"/>
  <c r="M606" i="1" a="1"/>
  <c r="M607" i="1" a="1"/>
  <c r="M608" i="1" a="1"/>
  <c r="M609" i="1" a="1"/>
  <c r="M610" i="1" a="1"/>
  <c r="M611" i="1" a="1"/>
  <c r="M612" i="1" a="1"/>
  <c r="M613" i="1" a="1"/>
  <c r="M614" i="1" a="1"/>
  <c r="M615" i="1" a="1"/>
  <c r="M616" i="1" a="1"/>
  <c r="M617" i="1" a="1"/>
  <c r="M618" i="1" a="1"/>
  <c r="M619" i="1" a="1"/>
  <c r="M620" i="1" a="1"/>
  <c r="M621" i="1" a="1"/>
  <c r="M622" i="1" a="1"/>
  <c r="M623" i="1" a="1"/>
  <c r="M624" i="1" a="1"/>
  <c r="M625" i="1" a="1"/>
  <c r="M626" i="1" a="1"/>
  <c r="M627" i="1" a="1"/>
  <c r="M628" i="1" a="1"/>
  <c r="M629" i="1" a="1"/>
  <c r="M630" i="1" a="1"/>
  <c r="M631" i="1" a="1"/>
  <c r="M632" i="1" a="1"/>
  <c r="M633" i="1" a="1"/>
  <c r="M634" i="1" a="1"/>
  <c r="M635" i="1" a="1"/>
  <c r="M636" i="1" a="1"/>
  <c r="M637" i="1" a="1"/>
  <c r="M638" i="1" a="1"/>
  <c r="M639" i="1" a="1"/>
  <c r="M640" i="1" a="1"/>
  <c r="M641" i="1" a="1"/>
  <c r="M642" i="1" a="1"/>
  <c r="M643" i="1" a="1"/>
  <c r="M644" i="1" a="1"/>
  <c r="M645" i="1" a="1"/>
  <c r="M646" i="1" a="1"/>
  <c r="M647" i="1" a="1"/>
  <c r="M648" i="1" a="1"/>
  <c r="M649" i="1" a="1"/>
  <c r="M650" i="1" a="1"/>
  <c r="M651" i="1" a="1"/>
  <c r="M652" i="1" a="1"/>
  <c r="M653" i="1" a="1"/>
  <c r="M654" i="1" a="1"/>
  <c r="M655" i="1" a="1"/>
  <c r="M656" i="1" a="1"/>
  <c r="M657" i="1" a="1"/>
  <c r="M658" i="1" a="1"/>
  <c r="M659" i="1" a="1"/>
  <c r="M660" i="1" a="1"/>
  <c r="M661" i="1" a="1"/>
  <c r="M662" i="1" a="1"/>
  <c r="M663" i="1" a="1"/>
  <c r="M664" i="1" a="1"/>
  <c r="M665" i="1" a="1"/>
  <c r="M666" i="1" a="1"/>
  <c r="M667" i="1" a="1"/>
  <c r="M668" i="1" a="1"/>
  <c r="M669" i="1" a="1"/>
  <c r="M670" i="1" a="1"/>
  <c r="M671" i="1" a="1"/>
  <c r="M672" i="1" a="1"/>
  <c r="M673" i="1" a="1"/>
  <c r="M674" i="1" a="1"/>
  <c r="M675" i="1" a="1"/>
  <c r="M676" i="1" a="1"/>
  <c r="M677" i="1" a="1"/>
  <c r="M678" i="1" a="1"/>
  <c r="M679" i="1" a="1"/>
  <c r="M680" i="1" a="1"/>
  <c r="M681" i="1" a="1"/>
  <c r="M682" i="1" a="1"/>
  <c r="M683" i="1" a="1"/>
  <c r="M684" i="1" a="1"/>
  <c r="M685" i="1" a="1"/>
  <c r="M686" i="1" a="1"/>
  <c r="M687" i="1" a="1"/>
  <c r="M688" i="1" a="1"/>
  <c r="M689" i="1" a="1"/>
  <c r="M690" i="1" a="1"/>
  <c r="M691" i="1" a="1"/>
  <c r="M692" i="1" a="1"/>
  <c r="M693" i="1" a="1"/>
  <c r="M694" i="1" a="1"/>
  <c r="M695" i="1" a="1"/>
  <c r="M696" i="1" a="1"/>
  <c r="M697" i="1" a="1"/>
  <c r="M698" i="1" a="1"/>
  <c r="M699" i="1" a="1"/>
  <c r="M700" i="1" a="1"/>
  <c r="M701" i="1" a="1"/>
  <c r="M702" i="1" a="1"/>
  <c r="M703" i="1" a="1"/>
  <c r="M704" i="1" a="1"/>
  <c r="M705" i="1" a="1"/>
  <c r="M706" i="1" a="1"/>
  <c r="M707" i="1" a="1"/>
  <c r="M708" i="1" a="1"/>
  <c r="M709" i="1" a="1"/>
  <c r="M710" i="1" a="1"/>
  <c r="M711" i="1" a="1"/>
  <c r="M712" i="1" a="1"/>
  <c r="M713" i="1" a="1"/>
  <c r="M714" i="1" a="1"/>
  <c r="M715" i="1" a="1"/>
  <c r="M716" i="1" a="1"/>
  <c r="M717" i="1" a="1"/>
  <c r="M718" i="1" a="1"/>
  <c r="M719" i="1" a="1"/>
  <c r="M720" i="1" a="1"/>
  <c r="M721" i="1" a="1"/>
  <c r="M722" i="1" a="1"/>
  <c r="M723" i="1" a="1"/>
  <c r="M724" i="1" a="1"/>
  <c r="M725" i="1" a="1"/>
  <c r="M726" i="1" a="1"/>
  <c r="M727" i="1" a="1"/>
  <c r="M728" i="1" a="1"/>
  <c r="M729" i="1" a="1"/>
  <c r="M730" i="1" a="1"/>
  <c r="M731" i="1" a="1"/>
  <c r="M732" i="1" a="1"/>
  <c r="M733" i="1" a="1"/>
  <c r="M734" i="1" a="1"/>
  <c r="M735" i="1" a="1"/>
  <c r="M736" i="1" a="1"/>
  <c r="M737" i="1" a="1"/>
  <c r="M738" i="1" a="1"/>
  <c r="M739" i="1" a="1"/>
  <c r="M740" i="1" a="1"/>
  <c r="M741" i="1" a="1"/>
  <c r="M742" i="1" a="1"/>
  <c r="M743" i="1" a="1"/>
  <c r="M744" i="1" a="1"/>
  <c r="M745" i="1" a="1"/>
  <c r="M746" i="1" a="1"/>
  <c r="M747" i="1" a="1"/>
  <c r="M748" i="1" a="1"/>
  <c r="M749" i="1" a="1"/>
  <c r="M750" i="1" a="1"/>
  <c r="M751" i="1" a="1"/>
  <c r="M752" i="1" a="1"/>
  <c r="M753" i="1" a="1"/>
  <c r="M754" i="1" a="1"/>
  <c r="M755" i="1" a="1"/>
  <c r="M756" i="1" a="1"/>
  <c r="M757" i="1" a="1"/>
  <c r="M758" i="1" a="1"/>
  <c r="M759" i="1" a="1"/>
  <c r="M760" i="1" a="1"/>
  <c r="M761" i="1" a="1"/>
  <c r="M762" i="1" a="1"/>
  <c r="M763" i="1" a="1"/>
  <c r="M764" i="1" a="1"/>
  <c r="M765" i="1" a="1"/>
  <c r="M766" i="1" a="1"/>
  <c r="M767" i="1" a="1"/>
  <c r="M768" i="1" a="1"/>
  <c r="M769" i="1" a="1"/>
  <c r="M770" i="1" a="1"/>
  <c r="M771" i="1" a="1"/>
  <c r="M772" i="1" a="1"/>
  <c r="M773" i="1" a="1"/>
  <c r="M774" i="1" a="1"/>
  <c r="M775" i="1" a="1"/>
  <c r="M776" i="1" a="1"/>
  <c r="M777" i="1" a="1"/>
  <c r="M778" i="1" a="1"/>
  <c r="M779" i="1" a="1"/>
  <c r="M780" i="1" a="1"/>
  <c r="M781" i="1" a="1"/>
  <c r="M782" i="1" a="1"/>
  <c r="M783" i="1" a="1"/>
  <c r="M784" i="1" a="1"/>
  <c r="M785" i="1" a="1"/>
  <c r="M786" i="1" a="1"/>
  <c r="M787" i="1" a="1"/>
  <c r="M788" i="1" a="1"/>
  <c r="M789" i="1" a="1"/>
  <c r="M790" i="1" a="1"/>
  <c r="M791" i="1" a="1"/>
  <c r="M792" i="1" a="1"/>
  <c r="M793" i="1" a="1"/>
  <c r="M794" i="1" a="1"/>
  <c r="M795" i="1" a="1"/>
  <c r="M796" i="1" a="1"/>
  <c r="M797" i="1" a="1"/>
  <c r="M798" i="1" a="1"/>
  <c r="M799" i="1" a="1"/>
  <c r="M800" i="1" a="1"/>
  <c r="M801" i="1" a="1"/>
  <c r="M802" i="1" a="1"/>
  <c r="M803" i="1" a="1"/>
  <c r="M804" i="1" a="1"/>
  <c r="M805" i="1" a="1"/>
  <c r="M806" i="1" a="1"/>
  <c r="M807" i="1" a="1"/>
  <c r="M808" i="1" a="1"/>
  <c r="M809" i="1" a="1"/>
  <c r="M810" i="1" a="1"/>
  <c r="M811" i="1" a="1"/>
  <c r="M812" i="1" a="1"/>
  <c r="M813" i="1" a="1"/>
  <c r="M814" i="1" a="1"/>
  <c r="M815" i="1" a="1"/>
  <c r="M816" i="1" a="1"/>
  <c r="M817" i="1" a="1"/>
  <c r="M818" i="1" a="1"/>
  <c r="M819" i="1" a="1"/>
  <c r="M820" i="1" a="1"/>
  <c r="M821" i="1" a="1"/>
  <c r="M822" i="1" a="1"/>
  <c r="M823" i="1" a="1"/>
  <c r="M824" i="1" a="1"/>
  <c r="M825" i="1" a="1"/>
  <c r="M826" i="1" a="1"/>
  <c r="M827" i="1" a="1"/>
  <c r="M828" i="1" a="1"/>
  <c r="M829" i="1" a="1"/>
  <c r="M830" i="1" a="1"/>
  <c r="M831" i="1" a="1"/>
  <c r="M832" i="1" a="1"/>
  <c r="M833" i="1" a="1"/>
  <c r="M834" i="1" a="1"/>
  <c r="M835" i="1" a="1"/>
  <c r="M836" i="1" a="1"/>
  <c r="M837" i="1" a="1"/>
  <c r="M838" i="1" a="1"/>
  <c r="M839" i="1" a="1"/>
  <c r="M840" i="1" a="1"/>
  <c r="M841" i="1" a="1"/>
  <c r="M842" i="1" a="1"/>
  <c r="M843" i="1" a="1"/>
  <c r="M844" i="1" a="1"/>
  <c r="M845" i="1" a="1"/>
  <c r="M846" i="1" a="1"/>
  <c r="M847" i="1" a="1"/>
  <c r="M848" i="1" a="1"/>
  <c r="M849" i="1" a="1"/>
  <c r="M850" i="1" a="1"/>
  <c r="M851" i="1" a="1"/>
  <c r="M852" i="1" a="1"/>
  <c r="M853" i="1" a="1"/>
  <c r="M854" i="1" a="1"/>
  <c r="M855" i="1" a="1"/>
  <c r="M856" i="1" a="1"/>
  <c r="M857" i="1" a="1"/>
  <c r="M858" i="1" a="1"/>
  <c r="M859" i="1" a="1"/>
  <c r="M860" i="1" a="1"/>
  <c r="M861" i="1" a="1"/>
  <c r="M862" i="1" a="1"/>
  <c r="M863" i="1" a="1"/>
  <c r="M864" i="1" a="1"/>
  <c r="M865" i="1" a="1"/>
  <c r="M866" i="1" a="1"/>
  <c r="M867" i="1" a="1"/>
  <c r="M868" i="1" a="1"/>
  <c r="M869" i="1" a="1"/>
  <c r="M870" i="1" a="1"/>
  <c r="M871" i="1" a="1"/>
  <c r="M872" i="1" a="1"/>
  <c r="M873" i="1" a="1"/>
  <c r="M874" i="1" a="1"/>
  <c r="M875" i="1" a="1"/>
  <c r="M876" i="1" a="1"/>
  <c r="M877" i="1" a="1"/>
  <c r="M878" i="1" a="1"/>
  <c r="M879" i="1" a="1"/>
  <c r="M880" i="1" a="1"/>
  <c r="M881" i="1" a="1"/>
  <c r="M882" i="1" a="1"/>
  <c r="M883" i="1" a="1"/>
  <c r="M884" i="1" a="1"/>
  <c r="M885" i="1" a="1"/>
  <c r="M886" i="1" a="1"/>
  <c r="M887" i="1" a="1"/>
  <c r="M888" i="1" a="1"/>
  <c r="M889" i="1" a="1"/>
  <c r="M890" i="1" a="1"/>
  <c r="M891" i="1" a="1"/>
  <c r="M892" i="1" a="1"/>
  <c r="M893" i="1" a="1"/>
  <c r="M894" i="1" a="1"/>
  <c r="M895" i="1" a="1"/>
  <c r="M896" i="1" a="1"/>
  <c r="M897" i="1" a="1"/>
  <c r="M898" i="1" a="1"/>
  <c r="M899" i="1" a="1"/>
  <c r="M900" i="1" a="1"/>
  <c r="M901" i="1" a="1"/>
  <c r="M902" i="1" a="1"/>
  <c r="M903" i="1" a="1"/>
  <c r="M904" i="1" a="1"/>
  <c r="M905" i="1" a="1"/>
  <c r="M906" i="1" a="1"/>
  <c r="M907" i="1" a="1"/>
  <c r="M908" i="1" a="1"/>
  <c r="M909" i="1" a="1"/>
  <c r="M910" i="1" a="1"/>
  <c r="M911" i="1" a="1"/>
  <c r="M912" i="1" a="1"/>
  <c r="M913" i="1" a="1"/>
  <c r="M914" i="1" a="1"/>
  <c r="M915" i="1" a="1"/>
  <c r="M916" i="1" a="1"/>
  <c r="M917" i="1" a="1"/>
  <c r="M918" i="1" a="1"/>
  <c r="M919" i="1" a="1"/>
  <c r="M920" i="1" a="1"/>
  <c r="M921" i="1" a="1"/>
  <c r="M922" i="1" a="1"/>
  <c r="M923" i="1" a="1"/>
  <c r="M924" i="1" a="1"/>
  <c r="M925" i="1" a="1"/>
  <c r="M926" i="1" a="1"/>
  <c r="M927" i="1" a="1"/>
  <c r="M928" i="1" a="1"/>
  <c r="M929" i="1" a="1"/>
  <c r="M930" i="1" a="1"/>
  <c r="M931" i="1" a="1"/>
  <c r="M932" i="1" a="1"/>
  <c r="M933" i="1" a="1"/>
  <c r="M934" i="1" a="1"/>
  <c r="M935" i="1" a="1"/>
  <c r="M936" i="1" a="1"/>
  <c r="M937" i="1" a="1"/>
  <c r="M938" i="1" a="1"/>
  <c r="M939" i="1" a="1"/>
  <c r="M940" i="1" a="1"/>
  <c r="M941" i="1" a="1"/>
  <c r="M942" i="1" a="1"/>
  <c r="M943" i="1" a="1"/>
  <c r="M944" i="1" a="1"/>
  <c r="M945" i="1" a="1"/>
  <c r="M946" i="1" a="1"/>
  <c r="M947" i="1" a="1"/>
  <c r="M948" i="1" a="1"/>
  <c r="M949" i="1" a="1"/>
  <c r="M950" i="1" a="1"/>
  <c r="M951" i="1" a="1"/>
  <c r="M952" i="1" a="1"/>
  <c r="M953" i="1" a="1"/>
  <c r="M954" i="1" a="1"/>
  <c r="M955" i="1" a="1"/>
  <c r="M956" i="1" a="1"/>
  <c r="M957" i="1" a="1"/>
  <c r="M958" i="1" a="1"/>
  <c r="M959" i="1" a="1"/>
  <c r="M960" i="1" a="1"/>
  <c r="M961" i="1" a="1"/>
  <c r="M962" i="1" a="1"/>
  <c r="M963" i="1" a="1"/>
  <c r="M964" i="1" a="1"/>
  <c r="M965" i="1" a="1"/>
  <c r="M966" i="1" a="1"/>
  <c r="M967" i="1" a="1"/>
  <c r="M968" i="1" a="1"/>
  <c r="M969" i="1" a="1"/>
  <c r="M970" i="1" a="1"/>
  <c r="M971" i="1" a="1"/>
  <c r="M972" i="1" a="1"/>
  <c r="M973" i="1" a="1"/>
  <c r="M974" i="1" a="1"/>
  <c r="M975" i="1" a="1"/>
  <c r="M976" i="1" a="1"/>
  <c r="M977" i="1" a="1"/>
  <c r="M978" i="1" a="1"/>
  <c r="M979" i="1" a="1"/>
  <c r="M980" i="1" a="1"/>
  <c r="M981" i="1" a="1"/>
  <c r="M982" i="1" a="1"/>
  <c r="M983" i="1" a="1"/>
  <c r="M984" i="1" a="1"/>
  <c r="M985" i="1" a="1"/>
  <c r="M986" i="1" a="1"/>
  <c r="M987" i="1" a="1"/>
  <c r="M988" i="1" a="1"/>
  <c r="M989" i="1" a="1"/>
  <c r="M990" i="1" a="1"/>
  <c r="M991" i="1" a="1"/>
  <c r="M992" i="1" a="1"/>
  <c r="M993" i="1" a="1"/>
  <c r="M994" i="1" a="1"/>
  <c r="M995" i="1" a="1"/>
  <c r="M996" i="1" a="1"/>
  <c r="M997" i="1" a="1"/>
  <c r="M998" i="1" a="1"/>
  <c r="M999" i="1" a="1"/>
  <c r="M1000" i="1" a="1"/>
  <c r="M1001" i="1" a="1"/>
  <c r="M1002" i="1" a="1"/>
  <c r="M1003" i="1" a="1"/>
  <c r="M1004" i="1" a="1"/>
  <c r="M1005" i="1" a="1"/>
  <c r="M1006" i="1" a="1"/>
  <c r="M1007" i="1" a="1"/>
  <c r="M1008" i="1" a="1"/>
  <c r="M1009" i="1" a="1"/>
  <c r="M1010" i="1" a="1"/>
  <c r="M1011" i="1" a="1"/>
  <c r="M1012" i="1" a="1"/>
  <c r="M1013" i="1" a="1"/>
  <c r="M1014" i="1" a="1"/>
  <c r="M1015" i="1" a="1"/>
  <c r="M1016" i="1" a="1"/>
  <c r="M1017" i="1" a="1"/>
  <c r="M1018" i="1" a="1"/>
  <c r="M1019" i="1" a="1"/>
  <c r="M1020" i="1" a="1"/>
  <c r="M1021" i="1" a="1"/>
  <c r="M1022" i="1" a="1"/>
  <c r="M1023" i="1" a="1"/>
  <c r="M1024" i="1" a="1"/>
  <c r="M1025" i="1" a="1"/>
  <c r="M1026" i="1" a="1"/>
  <c r="M1027" i="1" a="1"/>
  <c r="M1028" i="1" a="1"/>
  <c r="M1029" i="1" a="1"/>
  <c r="M1030" i="1" a="1"/>
  <c r="M1031" i="1" a="1"/>
  <c r="M1032" i="1" a="1"/>
  <c r="M1033" i="1" a="1"/>
  <c r="M1034" i="1" a="1"/>
  <c r="M1035" i="1" a="1"/>
  <c r="M1036" i="1" a="1"/>
  <c r="M1037" i="1" a="1"/>
  <c r="M1038" i="1" a="1"/>
  <c r="M1039" i="1" a="1"/>
  <c r="M1040" i="1" a="1"/>
  <c r="M1041" i="1" a="1"/>
  <c r="M1042" i="1" a="1"/>
  <c r="M1043" i="1" a="1"/>
  <c r="M1044" i="1" a="1"/>
  <c r="M1045" i="1" a="1"/>
  <c r="M1046" i="1" a="1"/>
  <c r="M1047" i="1" a="1"/>
  <c r="M1048" i="1" a="1"/>
  <c r="M1049" i="1" a="1"/>
  <c r="M1050" i="1" a="1"/>
  <c r="M1051" i="1" a="1"/>
  <c r="M1052" i="1" a="1"/>
  <c r="M1053" i="1" a="1"/>
  <c r="M1054" i="1" a="1"/>
  <c r="M1055" i="1" a="1"/>
  <c r="M1056" i="1" a="1"/>
  <c r="M1057" i="1" a="1"/>
  <c r="M1058" i="1" a="1"/>
  <c r="M1059" i="1" a="1"/>
  <c r="M1060" i="1" a="1"/>
  <c r="M1061" i="1" a="1"/>
  <c r="M1062" i="1" a="1"/>
  <c r="M1063" i="1" a="1"/>
  <c r="M1064" i="1" a="1"/>
  <c r="M1065" i="1" a="1"/>
  <c r="M1066" i="1" a="1"/>
  <c r="M1067" i="1" a="1"/>
  <c r="M1068" i="1" a="1"/>
  <c r="M1069" i="1" a="1"/>
  <c r="M1070" i="1" a="1"/>
  <c r="M1071" i="1" a="1"/>
  <c r="M1072" i="1" a="1"/>
  <c r="M1073" i="1" a="1"/>
  <c r="M1074" i="1" a="1"/>
  <c r="M1075" i="1" a="1"/>
  <c r="M1076" i="1" a="1"/>
  <c r="M1077" i="1" a="1"/>
  <c r="M1078" i="1" a="1"/>
  <c r="M1079" i="1" a="1"/>
  <c r="M1080" i="1" a="1"/>
  <c r="M1081" i="1" a="1"/>
  <c r="M1082" i="1" a="1"/>
  <c r="M1083" i="1" a="1"/>
  <c r="M1084" i="1" a="1"/>
  <c r="M1085" i="1" a="1"/>
  <c r="M1086" i="1" a="1"/>
  <c r="M1087" i="1" a="1"/>
  <c r="M1088" i="1" a="1"/>
  <c r="M1089" i="1" a="1"/>
  <c r="M1090" i="1" a="1"/>
  <c r="M1091" i="1" a="1"/>
  <c r="M1092" i="1" a="1"/>
  <c r="M1093" i="1" a="1"/>
  <c r="M1094" i="1" a="1"/>
  <c r="M1095" i="1" a="1"/>
  <c r="M1096" i="1" a="1"/>
  <c r="M1097" i="1" a="1"/>
  <c r="M1098" i="1" a="1"/>
  <c r="M1099" i="1" a="1"/>
  <c r="M1100" i="1" a="1"/>
  <c r="M1101" i="1" a="1"/>
  <c r="M1102" i="1" a="1"/>
  <c r="M1103" i="1" a="1"/>
  <c r="M1104" i="1" a="1"/>
  <c r="M1105" i="1" a="1"/>
  <c r="M1106" i="1" a="1"/>
  <c r="M1107" i="1" a="1"/>
  <c r="M1108" i="1" a="1"/>
  <c r="M1109" i="1" a="1"/>
  <c r="M1110" i="1" a="1"/>
  <c r="M1111" i="1" a="1"/>
  <c r="M1112" i="1" a="1"/>
  <c r="M1113" i="1" a="1"/>
  <c r="M1114" i="1" a="1"/>
  <c r="M1115" i="1" a="1"/>
  <c r="M1116" i="1" a="1"/>
  <c r="M1117" i="1" a="1"/>
  <c r="M1118" i="1" a="1"/>
  <c r="M1119" i="1" a="1"/>
  <c r="M1120" i="1" a="1"/>
  <c r="M1121" i="1" a="1"/>
  <c r="M1122" i="1" a="1"/>
  <c r="M1123" i="1" a="1"/>
  <c r="M1124" i="1" a="1"/>
  <c r="M1125" i="1" a="1"/>
  <c r="M1126" i="1" a="1"/>
  <c r="M1127" i="1" a="1"/>
  <c r="M1128" i="1" a="1"/>
  <c r="M1129" i="1" a="1"/>
  <c r="M1130" i="1" a="1"/>
  <c r="M1131" i="1" a="1"/>
  <c r="M1132" i="1" a="1"/>
  <c r="M1133" i="1" a="1"/>
  <c r="M1134" i="1" a="1"/>
  <c r="M1135" i="1" a="1"/>
  <c r="M1136" i="1" a="1"/>
  <c r="M1137" i="1" a="1"/>
  <c r="M1138" i="1" a="1"/>
  <c r="M1139" i="1" a="1"/>
  <c r="M1140" i="1" a="1"/>
  <c r="M1141" i="1" a="1"/>
  <c r="M1142" i="1" a="1"/>
  <c r="M1143" i="1" a="1"/>
  <c r="M1144" i="1" a="1"/>
  <c r="M1145" i="1" a="1"/>
  <c r="M1146" i="1" a="1"/>
  <c r="M1147" i="1" a="1"/>
  <c r="M1148" i="1" a="1"/>
  <c r="M1149" i="1" a="1"/>
  <c r="M1150" i="1" a="1"/>
  <c r="M1151" i="1" a="1"/>
  <c r="M1152" i="1" a="1"/>
  <c r="M1153" i="1" a="1"/>
  <c r="M1154" i="1" a="1"/>
  <c r="M1155" i="1" a="1"/>
  <c r="M1156" i="1" a="1"/>
  <c r="M1157" i="1" a="1"/>
  <c r="M1158" i="1" a="1"/>
  <c r="M1159" i="1" a="1"/>
  <c r="M1160" i="1" a="1"/>
  <c r="M1161" i="1" a="1"/>
  <c r="M1162" i="1" a="1"/>
  <c r="M1163" i="1" a="1"/>
  <c r="M1164" i="1" a="1"/>
  <c r="M1165" i="1" a="1"/>
  <c r="M1166" i="1" a="1"/>
  <c r="M1167" i="1" a="1"/>
  <c r="M1168" i="1" a="1"/>
  <c r="M1169" i="1" a="1"/>
  <c r="M1170" i="1" a="1"/>
  <c r="M1171" i="1" a="1"/>
  <c r="M1172" i="1" a="1"/>
  <c r="M1173" i="1" a="1"/>
  <c r="M1174" i="1" a="1"/>
  <c r="M1175" i="1" a="1"/>
  <c r="M1176" i="1" a="1"/>
  <c r="M1177" i="1" a="1"/>
  <c r="M1178" i="1" a="1"/>
  <c r="M1179" i="1" a="1"/>
  <c r="M1180" i="1" a="1"/>
  <c r="M1181" i="1" a="1"/>
  <c r="M1182" i="1" a="1"/>
  <c r="M1183" i="1" a="1"/>
  <c r="M1184" i="1" a="1"/>
  <c r="M1185" i="1" a="1"/>
  <c r="M1186" i="1" a="1"/>
  <c r="M1187" i="1" a="1"/>
  <c r="M1188" i="1" a="1"/>
  <c r="M1189" i="1" a="1"/>
  <c r="M1190" i="1" a="1"/>
  <c r="M1191" i="1" a="1"/>
  <c r="M1192" i="1" a="1"/>
  <c r="M1193" i="1" a="1"/>
  <c r="M1194" i="1" a="1"/>
  <c r="M1195" i="1" a="1"/>
  <c r="M1196" i="1" a="1"/>
  <c r="M1197" i="1" a="1"/>
  <c r="M1198" i="1" a="1"/>
  <c r="M1199" i="1" a="1"/>
  <c r="M1200" i="1" a="1"/>
  <c r="M1201" i="1" a="1"/>
  <c r="M1202" i="1" a="1"/>
  <c r="M1203" i="1" a="1"/>
  <c r="M1204" i="1" a="1"/>
  <c r="M1205" i="1" a="1"/>
  <c r="M1206" i="1" a="1"/>
  <c r="M1207" i="1" a="1"/>
  <c r="M1208" i="1" a="1"/>
  <c r="M1209" i="1" a="1"/>
  <c r="M1210" i="1" a="1"/>
  <c r="M1211" i="1" a="1"/>
  <c r="M1212" i="1" a="1"/>
  <c r="M1213" i="1" a="1"/>
  <c r="M1214" i="1" a="1"/>
  <c r="M1215" i="1" a="1"/>
  <c r="M1216" i="1" a="1"/>
  <c r="M1217" i="1" a="1"/>
  <c r="M1218" i="1" a="1"/>
  <c r="M1219" i="1" a="1"/>
  <c r="M1220" i="1" a="1"/>
  <c r="M1221" i="1" a="1"/>
  <c r="M1222" i="1" a="1"/>
  <c r="M1223" i="1" a="1"/>
  <c r="M1224" i="1" a="1"/>
  <c r="M1225" i="1" a="1"/>
  <c r="M1226" i="1" a="1"/>
  <c r="M1227" i="1" a="1"/>
  <c r="M1228" i="1" a="1"/>
  <c r="M1229" i="1" a="1"/>
  <c r="M1230" i="1" a="1"/>
  <c r="M1231" i="1" a="1"/>
  <c r="M1232" i="1" a="1"/>
  <c r="M1233" i="1" a="1"/>
  <c r="M1234" i="1" a="1"/>
  <c r="M1235" i="1" a="1"/>
  <c r="M1236" i="1" a="1"/>
  <c r="M1237" i="1" a="1"/>
  <c r="M1238" i="1" a="1"/>
  <c r="M1239" i="1" a="1"/>
  <c r="M1240" i="1" a="1"/>
  <c r="M1241" i="1" a="1"/>
  <c r="M1242" i="1" a="1"/>
  <c r="M1243" i="1" a="1"/>
  <c r="M1244" i="1" a="1"/>
  <c r="M1245" i="1" a="1"/>
  <c r="M1246" i="1" a="1"/>
  <c r="M1247" i="1" a="1"/>
  <c r="M1248" i="1" a="1"/>
  <c r="M1249" i="1" a="1"/>
  <c r="M1250" i="1" a="1"/>
  <c r="M1251" i="1" a="1"/>
  <c r="M1252" i="1" a="1"/>
  <c r="M1253" i="1" a="1"/>
  <c r="M1254" i="1" a="1"/>
  <c r="M1255" i="1" a="1"/>
  <c r="M1256" i="1" a="1"/>
  <c r="M1257" i="1" a="1"/>
  <c r="M1258" i="1" a="1"/>
  <c r="M1259" i="1" a="1"/>
  <c r="M1260" i="1" a="1"/>
  <c r="M1261" i="1" a="1"/>
  <c r="M1262" i="1" a="1"/>
  <c r="M1263" i="1" a="1"/>
  <c r="M1264" i="1" a="1"/>
  <c r="M1265" i="1" a="1"/>
  <c r="M1266" i="1" a="1"/>
  <c r="M1267" i="1" a="1"/>
  <c r="M1268" i="1" a="1"/>
  <c r="M1269" i="1" a="1"/>
  <c r="M1270" i="1" a="1"/>
  <c r="M1271" i="1" a="1"/>
  <c r="M1272" i="1" a="1"/>
  <c r="M1273" i="1" a="1"/>
  <c r="M1274" i="1" a="1"/>
  <c r="M1275" i="1" a="1"/>
  <c r="M1276" i="1" a="1"/>
  <c r="M1277" i="1" a="1"/>
  <c r="M1278" i="1" a="1"/>
  <c r="M1279" i="1" a="1"/>
  <c r="M1280" i="1" a="1"/>
  <c r="M1281" i="1" a="1"/>
  <c r="M1282" i="1" a="1"/>
  <c r="M1283" i="1" a="1"/>
  <c r="M1284" i="1" a="1"/>
  <c r="M1285" i="1" a="1"/>
  <c r="M1286" i="1" a="1"/>
  <c r="M1287" i="1" a="1"/>
  <c r="M1288" i="1" a="1"/>
  <c r="M1289" i="1" a="1"/>
  <c r="M1290" i="1" a="1"/>
  <c r="M1291" i="1" a="1"/>
  <c r="M1292" i="1" a="1"/>
  <c r="M1293" i="1" a="1"/>
  <c r="M1294" i="1" a="1"/>
  <c r="M1295" i="1" a="1"/>
  <c r="M1296" i="1" a="1"/>
  <c r="M1297" i="1" a="1"/>
  <c r="M1298" i="1" a="1"/>
  <c r="M1299" i="1" a="1"/>
  <c r="M1300" i="1" a="1"/>
  <c r="M1301" i="1" a="1"/>
  <c r="M1302" i="1" a="1"/>
  <c r="M1303" i="1" a="1"/>
  <c r="M1304" i="1" a="1"/>
  <c r="M1305" i="1" a="1"/>
  <c r="M1306" i="1" a="1"/>
  <c r="M1307" i="1" a="1"/>
  <c r="M1308" i="1" a="1"/>
  <c r="M1309" i="1" a="1"/>
  <c r="M1310" i="1" a="1"/>
  <c r="M1311" i="1" a="1"/>
  <c r="M1312" i="1" a="1"/>
  <c r="M1313" i="1" a="1"/>
  <c r="M1314" i="1" a="1"/>
  <c r="M1315" i="1" a="1"/>
  <c r="M1316" i="1" a="1"/>
  <c r="M1317" i="1" a="1"/>
  <c r="M1318" i="1" a="1"/>
  <c r="M1319" i="1" a="1"/>
  <c r="M1320" i="1" a="1"/>
  <c r="M1321" i="1" a="1"/>
  <c r="M1322" i="1" a="1"/>
  <c r="M1323" i="1" a="1"/>
  <c r="M1324" i="1" a="1"/>
  <c r="M1325" i="1" a="1"/>
  <c r="M1326" i="1" a="1"/>
  <c r="M1327" i="1" a="1"/>
  <c r="M1328" i="1" a="1"/>
  <c r="M1329" i="1" a="1"/>
  <c r="M1330" i="1" a="1"/>
  <c r="M1331" i="1" a="1"/>
  <c r="M1332" i="1" a="1"/>
  <c r="M1333" i="1" a="1"/>
  <c r="M1334" i="1" a="1"/>
  <c r="M1335" i="1" a="1"/>
  <c r="M1336" i="1" a="1"/>
  <c r="M1337" i="1" a="1"/>
  <c r="M1338" i="1" a="1"/>
  <c r="M1339" i="1" a="1"/>
  <c r="M1340" i="1" a="1"/>
  <c r="M1341" i="1" a="1"/>
  <c r="M1342" i="1" a="1"/>
  <c r="M1343" i="1" a="1"/>
  <c r="M1344" i="1" a="1"/>
  <c r="M1345" i="1" a="1"/>
  <c r="M1346" i="1" a="1"/>
  <c r="M1347" i="1" a="1"/>
  <c r="M1348" i="1" a="1"/>
  <c r="M1349" i="1" a="1"/>
  <c r="M1350" i="1" a="1"/>
  <c r="M1351" i="1" a="1"/>
  <c r="M1352" i="1" a="1"/>
  <c r="M1353" i="1" a="1"/>
  <c r="M1354" i="1" a="1"/>
  <c r="M1355" i="1" a="1"/>
  <c r="M1356" i="1" a="1"/>
  <c r="M1357" i="1" a="1"/>
  <c r="M1358" i="1" a="1"/>
  <c r="M1359" i="1" a="1"/>
  <c r="M1360" i="1" a="1"/>
  <c r="M1361" i="1" a="1"/>
  <c r="M1362" i="1" a="1"/>
  <c r="M1363" i="1" a="1"/>
  <c r="M1364" i="1" a="1"/>
  <c r="M1365" i="1" a="1"/>
  <c r="M1366" i="1" a="1"/>
  <c r="M1367" i="1" a="1"/>
  <c r="M1368" i="1" a="1"/>
  <c r="M1369" i="1" a="1"/>
  <c r="M1370" i="1" a="1"/>
  <c r="M1371" i="1" a="1"/>
  <c r="M1372" i="1" a="1"/>
  <c r="M1373" i="1" a="1"/>
  <c r="M1374" i="1" a="1"/>
  <c r="M1375" i="1" a="1"/>
  <c r="M1376" i="1" a="1"/>
  <c r="M1377" i="1" a="1"/>
  <c r="M1378" i="1" a="1"/>
  <c r="M1379" i="1" a="1"/>
  <c r="M1380" i="1" a="1"/>
  <c r="M1381" i="1" a="1"/>
  <c r="M1382" i="1" a="1"/>
  <c r="M1383" i="1" a="1"/>
  <c r="M1384" i="1" a="1"/>
  <c r="M1385" i="1" a="1"/>
  <c r="M1386" i="1" a="1"/>
  <c r="M1387" i="1" a="1"/>
  <c r="M1388" i="1" a="1"/>
  <c r="M1389" i="1" a="1"/>
  <c r="M1390" i="1" a="1"/>
  <c r="M1391" i="1" a="1"/>
  <c r="M1392" i="1" a="1"/>
  <c r="M1393" i="1" a="1"/>
  <c r="M1394" i="1" a="1"/>
  <c r="M1395" i="1" a="1"/>
  <c r="M1396" i="1" a="1"/>
  <c r="M1397" i="1" a="1"/>
  <c r="M1398" i="1" a="1"/>
  <c r="M1399" i="1" a="1"/>
  <c r="M1400" i="1" a="1"/>
  <c r="M1401" i="1" a="1"/>
  <c r="M1402" i="1" a="1"/>
  <c r="M1403" i="1" a="1"/>
  <c r="M1404" i="1" a="1"/>
  <c r="M1405" i="1" a="1"/>
  <c r="M1406" i="1" a="1"/>
  <c r="M1407" i="1" a="1"/>
  <c r="M1408" i="1" a="1"/>
  <c r="M1409" i="1" a="1"/>
  <c r="M1410" i="1" a="1"/>
  <c r="M1411" i="1" a="1"/>
  <c r="M1412" i="1" a="1"/>
  <c r="M1413" i="1" a="1"/>
  <c r="M1414" i="1" a="1"/>
  <c r="M1415" i="1" a="1"/>
  <c r="M1416" i="1" a="1"/>
  <c r="M1417" i="1" a="1"/>
  <c r="M1418" i="1" a="1"/>
  <c r="M1419" i="1" a="1"/>
  <c r="M1420" i="1" a="1"/>
  <c r="M1421" i="1" a="1"/>
  <c r="M1422" i="1" a="1"/>
  <c r="M1423" i="1" a="1"/>
  <c r="M1424" i="1" a="1"/>
  <c r="M1425" i="1" a="1"/>
  <c r="M1426" i="1" a="1"/>
  <c r="M1427" i="1" a="1"/>
  <c r="M1428" i="1" a="1"/>
  <c r="M1429" i="1" a="1"/>
  <c r="M1430" i="1" a="1"/>
  <c r="M1431" i="1" a="1"/>
  <c r="M1432" i="1" a="1"/>
  <c r="M1433" i="1" a="1"/>
  <c r="M1434" i="1" a="1"/>
  <c r="M1435" i="1" a="1"/>
  <c r="M1436" i="1" a="1"/>
  <c r="M1437" i="1" a="1"/>
  <c r="M1438" i="1" a="1"/>
  <c r="M1439" i="1" a="1"/>
  <c r="M1440" i="1" a="1"/>
  <c r="M1441" i="1" a="1"/>
  <c r="M1442" i="1" a="1"/>
  <c r="M1443" i="1" a="1"/>
  <c r="M1444" i="1" a="1"/>
  <c r="M1445" i="1" a="1"/>
  <c r="M1446" i="1" a="1"/>
  <c r="M1447" i="1" a="1"/>
  <c r="M1448" i="1" a="1"/>
  <c r="M1449" i="1" a="1"/>
  <c r="M1450" i="1" a="1"/>
  <c r="M1451" i="1" a="1"/>
  <c r="M1452" i="1" a="1"/>
  <c r="M1453" i="1" a="1"/>
  <c r="M1454" i="1" a="1"/>
  <c r="M1455" i="1" a="1"/>
  <c r="M1456" i="1" a="1"/>
  <c r="M1457" i="1" a="1"/>
  <c r="M1458" i="1" a="1"/>
  <c r="M1459" i="1" a="1"/>
  <c r="M1460" i="1" a="1"/>
  <c r="M1461" i="1" a="1"/>
  <c r="M1462" i="1" a="1"/>
  <c r="M1463" i="1" a="1"/>
  <c r="M1464" i="1" a="1"/>
  <c r="M1465" i="1" a="1"/>
  <c r="M1466" i="1" a="1"/>
  <c r="M1467" i="1" a="1"/>
  <c r="M1468" i="1" a="1"/>
  <c r="M1469" i="1" a="1"/>
  <c r="M1470" i="1" a="1"/>
  <c r="M1471" i="1" a="1"/>
  <c r="M1472" i="1" a="1"/>
  <c r="M1473" i="1" a="1"/>
  <c r="M1474" i="1" a="1"/>
  <c r="M1475" i="1" a="1"/>
  <c r="M1476" i="1" a="1"/>
  <c r="M1477" i="1" a="1"/>
  <c r="M1478" i="1" a="1"/>
  <c r="M1479" i="1" a="1"/>
  <c r="M1480" i="1" a="1"/>
  <c r="M1481" i="1" a="1"/>
  <c r="M1482" i="1" a="1"/>
  <c r="M1483" i="1" a="1"/>
  <c r="M1484" i="1" a="1"/>
  <c r="M1485" i="1" a="1"/>
  <c r="M1486" i="1" a="1"/>
  <c r="M1487" i="1" a="1"/>
  <c r="M1488" i="1" a="1"/>
  <c r="M1489" i="1" a="1"/>
  <c r="M1490" i="1" a="1"/>
  <c r="M1491" i="1" a="1"/>
  <c r="M1492" i="1" a="1"/>
  <c r="M1493" i="1" a="1"/>
  <c r="M1494" i="1" a="1"/>
  <c r="M1495" i="1" a="1"/>
  <c r="M1496" i="1" a="1"/>
  <c r="M1497" i="1" a="1"/>
  <c r="M1498" i="1" a="1"/>
  <c r="M1499" i="1" a="1"/>
  <c r="M1500" i="1" a="1"/>
  <c r="M1501" i="1" a="1"/>
  <c r="M1502" i="1" a="1"/>
  <c r="M1503" i="1" a="1"/>
  <c r="M1504" i="1" a="1"/>
  <c r="M1505" i="1" a="1"/>
  <c r="M1506" i="1" a="1"/>
  <c r="M1507" i="1" a="1"/>
  <c r="M1508" i="1" a="1"/>
  <c r="M1509" i="1" a="1"/>
  <c r="M1510" i="1" a="1"/>
  <c r="M1511" i="1" a="1"/>
  <c r="M1512" i="1" a="1"/>
  <c r="M1513" i="1" a="1"/>
  <c r="M1514" i="1" a="1"/>
  <c r="M1515" i="1" a="1"/>
  <c r="M1516" i="1" a="1"/>
  <c r="M1517" i="1" a="1"/>
  <c r="M1518" i="1" a="1"/>
  <c r="M1519" i="1" a="1"/>
  <c r="M1520" i="1" a="1"/>
  <c r="M1521" i="1" a="1"/>
  <c r="M1522" i="1" a="1"/>
  <c r="M1523" i="1" a="1"/>
  <c r="M1524" i="1" a="1"/>
  <c r="M1525" i="1" a="1"/>
  <c r="M1526" i="1" a="1"/>
  <c r="M1527" i="1" a="1"/>
  <c r="M1528" i="1" a="1"/>
  <c r="M1529" i="1" a="1"/>
  <c r="M1530" i="1" a="1"/>
  <c r="M1531" i="1" a="1"/>
  <c r="M1532" i="1" a="1"/>
  <c r="M1533" i="1" a="1"/>
  <c r="M1534" i="1" a="1"/>
  <c r="M1535" i="1" a="1"/>
  <c r="M1536" i="1" a="1"/>
  <c r="M1537" i="1" a="1"/>
  <c r="M1538" i="1" a="1"/>
  <c r="M1539" i="1" a="1"/>
  <c r="M1540" i="1" a="1"/>
  <c r="M1541" i="1" a="1"/>
  <c r="M1542" i="1" a="1"/>
  <c r="M1543" i="1" a="1"/>
  <c r="M1544" i="1" a="1"/>
  <c r="M1545" i="1" a="1"/>
  <c r="M1546" i="1" a="1"/>
  <c r="M1547" i="1" a="1"/>
  <c r="M1548" i="1" a="1"/>
  <c r="M1549" i="1" a="1"/>
  <c r="M1550" i="1" a="1"/>
  <c r="M1551" i="1" a="1"/>
  <c r="M1552" i="1" a="1"/>
  <c r="M1553" i="1" a="1"/>
  <c r="M1554" i="1" a="1"/>
  <c r="M1555" i="1" a="1"/>
  <c r="M1556" i="1" a="1"/>
  <c r="M1557" i="1" a="1"/>
  <c r="M1558" i="1" a="1"/>
  <c r="M1559" i="1" a="1"/>
  <c r="M1560" i="1" a="1"/>
  <c r="M1561" i="1" a="1"/>
  <c r="M1562" i="1" a="1"/>
  <c r="M1563" i="1" a="1"/>
  <c r="M1564" i="1" a="1"/>
  <c r="M1565" i="1" a="1"/>
  <c r="M1566" i="1" a="1"/>
  <c r="M1567" i="1" a="1"/>
  <c r="M1568" i="1" a="1"/>
  <c r="M1569" i="1" a="1"/>
  <c r="M1570" i="1" a="1"/>
  <c r="M1571" i="1" a="1"/>
  <c r="M1572" i="1" a="1"/>
  <c r="M1573" i="1" a="1"/>
  <c r="M1574" i="1" a="1"/>
  <c r="M1575" i="1" a="1"/>
  <c r="M1576" i="1" a="1"/>
  <c r="M1577" i="1" a="1"/>
  <c r="M1578" i="1" a="1"/>
  <c r="M1579" i="1" a="1"/>
  <c r="M1580" i="1" a="1"/>
  <c r="M1581" i="1" a="1"/>
  <c r="M1582" i="1" a="1"/>
  <c r="M1583" i="1" a="1"/>
  <c r="M1584" i="1" a="1"/>
  <c r="M1585" i="1" a="1"/>
  <c r="M1586" i="1" a="1"/>
  <c r="M1587" i="1" a="1"/>
  <c r="M1588" i="1" a="1"/>
  <c r="M1589" i="1" a="1"/>
  <c r="M1590" i="1" a="1"/>
  <c r="M1591" i="1" a="1"/>
  <c r="M1592" i="1" a="1"/>
  <c r="M1593" i="1" a="1"/>
  <c r="M1594" i="1" a="1"/>
  <c r="M1595" i="1" a="1"/>
  <c r="M1596" i="1" a="1"/>
  <c r="M1597" i="1" a="1"/>
  <c r="M1598" i="1" a="1"/>
  <c r="M1599" i="1" a="1"/>
  <c r="M1600" i="1" a="1"/>
  <c r="M1601" i="1" a="1"/>
  <c r="M1602" i="1" a="1"/>
  <c r="M1603" i="1" a="1"/>
  <c r="M1604" i="1" a="1"/>
  <c r="M1605" i="1" a="1"/>
  <c r="M1606" i="1" a="1"/>
  <c r="M1607" i="1" a="1"/>
  <c r="M1608" i="1" a="1"/>
  <c r="M1609" i="1" a="1"/>
  <c r="M1610" i="1" a="1"/>
  <c r="M1611" i="1" a="1"/>
  <c r="M1612" i="1" a="1"/>
  <c r="M1613" i="1" a="1"/>
  <c r="M1614" i="1" a="1"/>
  <c r="M1615" i="1" a="1"/>
  <c r="M1616" i="1" a="1"/>
  <c r="M1617" i="1" a="1"/>
  <c r="M1618" i="1" a="1"/>
  <c r="M1619" i="1" a="1"/>
  <c r="M1620" i="1" a="1"/>
  <c r="M1621" i="1" a="1"/>
  <c r="M1622" i="1" a="1"/>
  <c r="M1623" i="1" a="1"/>
  <c r="M1624" i="1" a="1"/>
  <c r="M1625" i="1" a="1"/>
  <c r="M1626" i="1" a="1"/>
  <c r="M1627" i="1" a="1"/>
  <c r="M1628" i="1" a="1"/>
  <c r="M1629" i="1" a="1"/>
  <c r="M1630" i="1" a="1"/>
  <c r="M1631" i="1" a="1"/>
  <c r="M1632" i="1" a="1"/>
  <c r="M1633" i="1" a="1"/>
  <c r="M1634" i="1" a="1"/>
  <c r="M1635" i="1" a="1"/>
  <c r="M1636" i="1" a="1"/>
  <c r="M1637" i="1" a="1"/>
  <c r="M1638" i="1" a="1"/>
  <c r="M1639" i="1" a="1"/>
  <c r="M1640" i="1" a="1"/>
  <c r="M1641" i="1" a="1"/>
  <c r="M1642" i="1" a="1"/>
  <c r="M1643" i="1" a="1"/>
  <c r="M1644" i="1" a="1"/>
  <c r="M1645" i="1" a="1"/>
  <c r="M1646" i="1" a="1"/>
  <c r="M1647" i="1" a="1"/>
  <c r="M1648" i="1" a="1"/>
  <c r="M1649" i="1" a="1"/>
  <c r="M1650" i="1" a="1"/>
  <c r="M1651" i="1" a="1"/>
  <c r="M1652" i="1" a="1"/>
  <c r="M1653" i="1" a="1"/>
  <c r="M1654" i="1" a="1"/>
  <c r="M1655" i="1" a="1"/>
  <c r="M1656" i="1" a="1"/>
  <c r="M1657" i="1" a="1"/>
  <c r="M1658" i="1" a="1"/>
  <c r="M1659" i="1" a="1"/>
  <c r="M1660" i="1" a="1"/>
  <c r="M1661" i="1" a="1"/>
  <c r="M1662" i="1" a="1"/>
  <c r="M1663" i="1" a="1"/>
  <c r="M1664" i="1" a="1"/>
  <c r="M1665" i="1" a="1"/>
  <c r="M1666" i="1" a="1"/>
  <c r="M1667" i="1" a="1"/>
  <c r="M1668" i="1" a="1"/>
  <c r="M1669" i="1" a="1"/>
  <c r="M1670" i="1" a="1"/>
  <c r="M1671" i="1" a="1"/>
  <c r="M1672" i="1" a="1"/>
  <c r="M1673" i="1" a="1"/>
  <c r="M1674" i="1" a="1"/>
  <c r="M1675" i="1" a="1"/>
  <c r="M1676" i="1" a="1"/>
  <c r="M1677" i="1" a="1"/>
  <c r="M1678" i="1" a="1"/>
  <c r="M1679" i="1" a="1"/>
  <c r="M1680" i="1" a="1"/>
  <c r="M1681" i="1" a="1"/>
  <c r="M1682" i="1" a="1"/>
  <c r="M1683" i="1" a="1"/>
  <c r="M1684" i="1" a="1"/>
  <c r="M1685" i="1" a="1"/>
  <c r="M1686" i="1" a="1"/>
  <c r="M1687" i="1" a="1"/>
  <c r="M1688" i="1" a="1"/>
  <c r="M1689" i="1" a="1"/>
  <c r="M1690" i="1" a="1"/>
  <c r="M1691" i="1" a="1"/>
  <c r="M1692" i="1" a="1"/>
  <c r="M1693" i="1" a="1"/>
  <c r="M1694" i="1" a="1"/>
  <c r="M1695" i="1" a="1"/>
  <c r="M1696" i="1" a="1"/>
  <c r="M1697" i="1" a="1"/>
  <c r="M1698" i="1" a="1"/>
  <c r="M1699" i="1" a="1"/>
  <c r="M1700" i="1" a="1"/>
  <c r="M1701" i="1" a="1"/>
  <c r="M1702" i="1" a="1"/>
  <c r="M1703" i="1" a="1"/>
  <c r="M1704" i="1" a="1"/>
  <c r="M1705" i="1" a="1"/>
  <c r="M1706" i="1" a="1"/>
  <c r="M1707" i="1" a="1"/>
  <c r="M1708" i="1" a="1"/>
  <c r="M1709" i="1" a="1"/>
  <c r="M1710" i="1" a="1"/>
  <c r="M1711" i="1" a="1"/>
  <c r="M1712" i="1" a="1"/>
  <c r="M1713" i="1" a="1"/>
  <c r="M1714" i="1" a="1"/>
  <c r="M1715" i="1" a="1"/>
  <c r="M1716" i="1" a="1"/>
  <c r="M1717" i="1" a="1"/>
  <c r="M1718" i="1" a="1"/>
  <c r="M1719" i="1" a="1"/>
  <c r="M1720" i="1" a="1"/>
  <c r="M1721" i="1" a="1"/>
  <c r="M1722" i="1" a="1"/>
  <c r="M1723" i="1" a="1"/>
  <c r="M1724" i="1" a="1"/>
  <c r="M1725" i="1" a="1"/>
  <c r="M1726" i="1" a="1"/>
  <c r="M1727" i="1" a="1"/>
  <c r="M1728" i="1" a="1"/>
  <c r="M1729" i="1" a="1"/>
  <c r="M1730" i="1" a="1"/>
  <c r="M1731" i="1" a="1"/>
  <c r="M1732" i="1" a="1"/>
  <c r="M1733" i="1" a="1"/>
  <c r="M1734" i="1" a="1"/>
  <c r="M1735" i="1" a="1"/>
  <c r="M1736" i="1" a="1"/>
  <c r="M1737" i="1" a="1"/>
  <c r="M1738" i="1" a="1"/>
  <c r="M1739" i="1" a="1"/>
  <c r="M1740" i="1" a="1"/>
  <c r="M1743" i="1" a="1"/>
  <c r="M1744" i="1" a="1"/>
  <c r="M1745" i="1" a="1"/>
  <c r="M1746" i="1" a="1"/>
  <c r="M1747" i="1" a="1"/>
  <c r="M1748" i="1" a="1"/>
  <c r="M1749" i="1" a="1"/>
  <c r="M1750" i="1" a="1"/>
  <c r="M1751" i="1" a="1"/>
  <c r="M1752" i="1" a="1"/>
  <c r="M1753" i="1" a="1"/>
  <c r="M1754" i="1" a="1"/>
  <c r="M1755" i="1" a="1"/>
  <c r="M1756" i="1" a="1"/>
  <c r="M1757" i="1" a="1"/>
  <c r="M1758" i="1" a="1"/>
  <c r="M1759" i="1" a="1"/>
  <c r="M1760" i="1" a="1"/>
  <c r="M1761" i="1" a="1"/>
  <c r="M1762" i="1" a="1"/>
  <c r="M1763" i="1" a="1"/>
  <c r="M1764" i="1" a="1"/>
  <c r="M1765" i="1" a="1"/>
  <c r="M1766" i="1" a="1"/>
  <c r="M1767" i="1" a="1"/>
  <c r="M1768" i="1" a="1"/>
  <c r="M1769" i="1" a="1"/>
  <c r="M1770" i="1" a="1"/>
  <c r="M1771" i="1" a="1"/>
  <c r="M1772" i="1" a="1"/>
  <c r="M1773" i="1" a="1"/>
  <c r="M1774" i="1" a="1"/>
  <c r="M1775" i="1" a="1"/>
  <c r="M1776" i="1" a="1"/>
  <c r="M1777" i="1" a="1"/>
  <c r="M1778" i="1" a="1"/>
  <c r="M1779" i="1" a="1"/>
  <c r="M1780" i="1" a="1"/>
  <c r="M1781" i="1" a="1"/>
  <c r="M1782" i="1" a="1"/>
  <c r="M1783" i="1" a="1"/>
  <c r="M1784" i="1" a="1"/>
  <c r="M1785" i="1" a="1"/>
  <c r="M1786" i="1" a="1"/>
  <c r="M1787" i="1" a="1"/>
  <c r="M1788" i="1" a="1"/>
  <c r="M1789" i="1" a="1"/>
  <c r="M1790" i="1" a="1"/>
  <c r="M1791" i="1" a="1"/>
  <c r="M1792" i="1" a="1"/>
  <c r="M1793" i="1" a="1"/>
  <c r="M1794" i="1" a="1"/>
  <c r="M1795" i="1" a="1"/>
  <c r="M1796" i="1" a="1"/>
  <c r="M1797" i="1" a="1"/>
  <c r="M1798" i="1" a="1"/>
  <c r="M1799" i="1" a="1"/>
  <c r="M1800" i="1" a="1"/>
  <c r="M1801" i="1" a="1"/>
  <c r="M1802" i="1" a="1"/>
  <c r="M1803" i="1" a="1"/>
  <c r="M1804" i="1" a="1"/>
  <c r="M1805" i="1" a="1"/>
  <c r="M1806" i="1" a="1"/>
  <c r="M1807" i="1" a="1"/>
  <c r="M1808" i="1" a="1"/>
  <c r="M1809" i="1" a="1"/>
  <c r="M1810" i="1" a="1"/>
  <c r="M1811" i="1" a="1"/>
  <c r="M1812" i="1" a="1"/>
  <c r="M1813" i="1" a="1"/>
  <c r="M1814" i="1" a="1"/>
  <c r="M1815" i="1" a="1"/>
  <c r="M1816" i="1" a="1"/>
  <c r="M1817" i="1" a="1"/>
  <c r="M1818" i="1" a="1"/>
  <c r="M1819" i="1" a="1"/>
  <c r="M1820" i="1" a="1"/>
  <c r="M1821" i="1" a="1"/>
  <c r="M1822" i="1" a="1"/>
  <c r="M1823" i="1" a="1"/>
  <c r="M1824" i="1" a="1"/>
  <c r="M1825" i="1" a="1"/>
  <c r="M1826" i="1" a="1"/>
  <c r="M1827" i="1" a="1"/>
  <c r="M1828" i="1" a="1"/>
  <c r="M1829" i="1" a="1"/>
  <c r="M1830" i="1" a="1"/>
  <c r="M1831" i="1" a="1"/>
  <c r="M1832" i="1" a="1"/>
  <c r="M1833" i="1" a="1"/>
  <c r="M1834" i="1" a="1"/>
  <c r="M1835" i="1" a="1"/>
  <c r="M1836" i="1" a="1"/>
  <c r="M1837" i="1" a="1"/>
  <c r="M1838" i="1" a="1"/>
  <c r="M1839" i="1" a="1"/>
  <c r="M1840" i="1" a="1"/>
  <c r="M1841" i="1" a="1"/>
  <c r="M1842" i="1" a="1"/>
  <c r="M1843" i="1" a="1"/>
  <c r="M1844" i="1" a="1"/>
  <c r="N16" i="1" a="1"/>
  <c r="N17" i="1" a="1"/>
  <c r="N18" i="1" a="1"/>
  <c r="N19" i="1" a="1"/>
  <c r="N20" i="1" a="1"/>
  <c r="N21" i="1" a="1"/>
  <c r="N22" i="1" a="1"/>
  <c r="N23" i="1" a="1"/>
  <c r="N24" i="1" a="1"/>
  <c r="N25" i="1" a="1"/>
  <c r="N26" i="1" a="1"/>
  <c r="N27" i="1" a="1"/>
  <c r="N28" i="1" a="1"/>
  <c r="N29" i="1" a="1"/>
  <c r="N30" i="1" a="1"/>
  <c r="N31" i="1" a="1"/>
  <c r="N32" i="1" a="1"/>
  <c r="N33" i="1" a="1"/>
  <c r="N34" i="1" a="1"/>
  <c r="N35" i="1" a="1"/>
  <c r="N36" i="1" a="1"/>
  <c r="N37" i="1" a="1"/>
  <c r="N38" i="1" a="1"/>
  <c r="N39" i="1" a="1"/>
  <c r="N40" i="1" a="1"/>
  <c r="N41" i="1" a="1"/>
  <c r="N42" i="1" a="1"/>
  <c r="N43" i="1" a="1"/>
  <c r="N44" i="1" a="1"/>
  <c r="N45" i="1" a="1"/>
  <c r="N46" i="1" a="1"/>
  <c r="N47" i="1" a="1"/>
  <c r="N48" i="1" a="1"/>
  <c r="N49" i="1" a="1"/>
  <c r="N50" i="1" a="1"/>
  <c r="N51" i="1" a="1"/>
  <c r="N52" i="1" a="1"/>
  <c r="N53" i="1" a="1"/>
  <c r="N54" i="1" a="1"/>
  <c r="N55" i="1" a="1"/>
  <c r="N56" i="1" a="1"/>
  <c r="N57" i="1" a="1"/>
  <c r="N58" i="1" a="1"/>
  <c r="N59" i="1" a="1"/>
  <c r="N60" i="1" a="1"/>
  <c r="N61" i="1" a="1"/>
  <c r="N62" i="1" a="1"/>
  <c r="N63" i="1" a="1"/>
  <c r="N64" i="1" a="1"/>
  <c r="N65" i="1" a="1"/>
  <c r="N66" i="1" a="1"/>
  <c r="N67" i="1" a="1"/>
  <c r="N68" i="1" a="1"/>
  <c r="N69" i="1" a="1"/>
  <c r="N70" i="1" a="1"/>
  <c r="N71" i="1" a="1"/>
  <c r="N72" i="1" a="1"/>
  <c r="N73" i="1" a="1"/>
  <c r="N74" i="1" a="1"/>
  <c r="N75" i="1" a="1"/>
  <c r="N76" i="1" a="1"/>
  <c r="N77" i="1" a="1"/>
  <c r="N78" i="1" a="1"/>
  <c r="N79" i="1" a="1"/>
  <c r="N80" i="1" a="1"/>
  <c r="N81" i="1" a="1"/>
  <c r="N82" i="1" a="1"/>
  <c r="N83" i="1" a="1"/>
  <c r="N84" i="1" a="1"/>
  <c r="N85" i="1" a="1"/>
  <c r="N86" i="1" a="1"/>
  <c r="N87" i="1" a="1"/>
  <c r="N88" i="1" a="1"/>
  <c r="N89" i="1" a="1"/>
  <c r="N90" i="1" a="1"/>
  <c r="N91" i="1" a="1"/>
  <c r="N92" i="1" a="1"/>
  <c r="N93" i="1" a="1"/>
  <c r="N94" i="1" a="1"/>
  <c r="N95" i="1" a="1"/>
  <c r="N96" i="1" a="1"/>
  <c r="N97" i="1" a="1"/>
  <c r="N98" i="1" a="1"/>
  <c r="N99" i="1" a="1"/>
  <c r="N100" i="1" a="1"/>
  <c r="N101" i="1" a="1"/>
  <c r="N102" i="1" a="1"/>
  <c r="N103" i="1" a="1"/>
  <c r="N104" i="1" a="1"/>
  <c r="N105" i="1" a="1"/>
  <c r="N106" i="1" a="1"/>
  <c r="N107" i="1" a="1"/>
  <c r="N108" i="1" a="1"/>
  <c r="N109" i="1" a="1"/>
  <c r="N110" i="1" a="1"/>
  <c r="N111" i="1" a="1"/>
  <c r="N112" i="1" a="1"/>
  <c r="N113" i="1" a="1"/>
  <c r="N114" i="1" a="1"/>
  <c r="N115" i="1" a="1"/>
  <c r="N116" i="1" a="1"/>
  <c r="N117" i="1" a="1"/>
  <c r="N118" i="1" a="1"/>
  <c r="N119" i="1" a="1"/>
  <c r="N120" i="1" a="1"/>
  <c r="N121" i="1" a="1"/>
  <c r="N122" i="1" a="1"/>
  <c r="N123" i="1" a="1"/>
  <c r="N124" i="1" a="1"/>
  <c r="N125" i="1" a="1"/>
  <c r="N126" i="1" a="1"/>
  <c r="N127" i="1" a="1"/>
  <c r="N128" i="1" a="1"/>
  <c r="N129" i="1" a="1"/>
  <c r="N130" i="1" a="1"/>
  <c r="N131" i="1" a="1"/>
  <c r="N132" i="1" a="1"/>
  <c r="N133" i="1" a="1"/>
  <c r="N134" i="1" a="1"/>
  <c r="N135" i="1" a="1"/>
  <c r="N136" i="1" a="1"/>
  <c r="N137" i="1" a="1"/>
  <c r="N138" i="1" a="1"/>
  <c r="N139" i="1" a="1"/>
  <c r="N140" i="1" a="1"/>
  <c r="N141" i="1" a="1"/>
  <c r="N142" i="1" a="1"/>
  <c r="N143" i="1" a="1"/>
  <c r="N144" i="1" a="1"/>
  <c r="N145" i="1" a="1"/>
  <c r="N146" i="1" a="1"/>
  <c r="N147" i="1" a="1"/>
  <c r="N148" i="1" a="1"/>
  <c r="N149" i="1" a="1"/>
  <c r="N150" i="1" a="1"/>
  <c r="N151" i="1" a="1"/>
  <c r="N152" i="1" a="1"/>
  <c r="N153" i="1" a="1"/>
  <c r="N154" i="1" a="1"/>
  <c r="N155" i="1" a="1"/>
  <c r="N156" i="1" a="1"/>
  <c r="N157" i="1" a="1"/>
  <c r="N158" i="1" a="1"/>
  <c r="N159" i="1" a="1"/>
  <c r="N160" i="1" a="1"/>
  <c r="N161" i="1" a="1"/>
  <c r="N162" i="1" a="1"/>
  <c r="N163" i="1" a="1"/>
  <c r="N164" i="1" a="1"/>
  <c r="N165" i="1" a="1"/>
  <c r="N166" i="1" a="1"/>
  <c r="N167" i="1" a="1"/>
  <c r="N168" i="1" a="1"/>
  <c r="N169" i="1" a="1"/>
  <c r="N170" i="1" a="1"/>
  <c r="N171" i="1" a="1"/>
  <c r="N172" i="1" a="1"/>
  <c r="N173" i="1" a="1"/>
  <c r="N174" i="1" a="1"/>
  <c r="N175" i="1" a="1"/>
  <c r="N176" i="1" a="1"/>
  <c r="N177" i="1" a="1"/>
  <c r="N178" i="1" a="1"/>
  <c r="N179" i="1" a="1"/>
  <c r="N180" i="1" a="1"/>
  <c r="N181" i="1" a="1"/>
  <c r="N182" i="1" a="1"/>
  <c r="N183" i="1" a="1"/>
  <c r="N184" i="1" a="1"/>
  <c r="N185" i="1" a="1"/>
  <c r="N186" i="1" a="1"/>
  <c r="N187" i="1" a="1"/>
  <c r="N188" i="1" a="1"/>
  <c r="N189" i="1" a="1"/>
  <c r="N190" i="1" a="1"/>
  <c r="N191" i="1" a="1"/>
  <c r="N192" i="1" a="1"/>
  <c r="N193" i="1" a="1"/>
  <c r="N194" i="1" a="1"/>
  <c r="N195" i="1" a="1"/>
  <c r="N196" i="1" a="1"/>
  <c r="N197" i="1" a="1"/>
  <c r="N198" i="1" a="1"/>
  <c r="N199" i="1" a="1"/>
  <c r="N200" i="1" a="1"/>
  <c r="N201" i="1" a="1"/>
  <c r="N202" i="1" a="1"/>
  <c r="N203" i="1" a="1"/>
  <c r="N204" i="1" a="1"/>
  <c r="N205" i="1" a="1"/>
  <c r="N206" i="1" a="1"/>
  <c r="N207" i="1" a="1"/>
  <c r="N208" i="1" a="1"/>
  <c r="N209" i="1" a="1"/>
  <c r="N210" i="1" a="1"/>
  <c r="N211" i="1" a="1"/>
  <c r="N212" i="1" a="1"/>
  <c r="N213" i="1" a="1"/>
  <c r="N214" i="1" a="1"/>
  <c r="N215" i="1" a="1"/>
  <c r="N216" i="1" a="1"/>
  <c r="N217" i="1" a="1"/>
  <c r="N218" i="1" a="1"/>
  <c r="N219" i="1" a="1"/>
  <c r="N220" i="1" a="1"/>
  <c r="N221" i="1" a="1"/>
  <c r="N222" i="1" a="1"/>
  <c r="N223" i="1" a="1"/>
  <c r="N224" i="1" a="1"/>
  <c r="N225" i="1" a="1"/>
  <c r="N226" i="1" a="1"/>
  <c r="N227" i="1" a="1"/>
  <c r="N228" i="1" a="1"/>
  <c r="N229" i="1" a="1"/>
  <c r="N230" i="1" a="1"/>
  <c r="N231" i="1" a="1"/>
  <c r="N232" i="1" a="1"/>
  <c r="N233" i="1" a="1"/>
  <c r="N234" i="1" a="1"/>
  <c r="N235" i="1" a="1"/>
  <c r="N236" i="1" a="1"/>
  <c r="N237" i="1" a="1"/>
  <c r="N238" i="1" a="1"/>
  <c r="N239" i="1" a="1"/>
  <c r="N240" i="1" a="1"/>
  <c r="N241" i="1" a="1"/>
  <c r="N242" i="1" a="1"/>
  <c r="N243" i="1" a="1"/>
  <c r="N244" i="1" a="1"/>
  <c r="N245" i="1" a="1"/>
  <c r="N246" i="1" a="1"/>
  <c r="N247" i="1" a="1"/>
  <c r="N248" i="1" a="1"/>
  <c r="N249" i="1" a="1"/>
  <c r="N250" i="1" a="1"/>
  <c r="N251" i="1" a="1"/>
  <c r="N252" i="1" a="1"/>
  <c r="N253" i="1" a="1"/>
  <c r="N254" i="1" a="1"/>
  <c r="N255" i="1" a="1"/>
  <c r="N256" i="1" a="1"/>
  <c r="N257" i="1" a="1"/>
  <c r="N258" i="1" a="1"/>
  <c r="N259" i="1" a="1"/>
  <c r="N260" i="1" a="1"/>
  <c r="N261" i="1" a="1"/>
  <c r="N262" i="1" a="1"/>
  <c r="N263" i="1" a="1"/>
  <c r="N264" i="1" a="1"/>
  <c r="N265" i="1" a="1"/>
  <c r="N266" i="1" a="1"/>
  <c r="N267" i="1" a="1"/>
  <c r="N268" i="1" a="1"/>
  <c r="N269" i="1" a="1"/>
  <c r="N270" i="1" a="1"/>
  <c r="N271" i="1" a="1"/>
  <c r="N272" i="1" a="1"/>
  <c r="N273" i="1" a="1"/>
  <c r="N274" i="1" a="1"/>
  <c r="N275" i="1" a="1"/>
  <c r="N276" i="1" a="1"/>
  <c r="N277" i="1" a="1"/>
  <c r="N278" i="1" a="1"/>
  <c r="N279" i="1" a="1"/>
  <c r="N280" i="1" a="1"/>
  <c r="N281" i="1" a="1"/>
  <c r="N282" i="1" a="1"/>
  <c r="N283" i="1" a="1"/>
  <c r="N284" i="1" a="1"/>
  <c r="N285" i="1" a="1"/>
  <c r="N286" i="1" a="1"/>
  <c r="N287" i="1" a="1"/>
  <c r="N288" i="1" a="1"/>
  <c r="N289" i="1" a="1"/>
  <c r="N290" i="1" a="1"/>
  <c r="N291" i="1" a="1"/>
  <c r="N292" i="1" a="1"/>
  <c r="N293" i="1" a="1"/>
  <c r="N294" i="1" a="1"/>
  <c r="N295" i="1" a="1"/>
  <c r="N296" i="1" a="1"/>
  <c r="N297" i="1" a="1"/>
  <c r="N298" i="1" a="1"/>
  <c r="N299" i="1" a="1"/>
  <c r="N300" i="1" a="1"/>
  <c r="N301" i="1" a="1"/>
  <c r="N302" i="1" a="1"/>
  <c r="N303" i="1" a="1"/>
  <c r="N304" i="1" a="1"/>
  <c r="N305" i="1" a="1"/>
  <c r="N306" i="1" a="1"/>
  <c r="N307" i="1" a="1"/>
  <c r="N308" i="1" a="1"/>
  <c r="N309" i="1" a="1"/>
  <c r="N310" i="1" a="1"/>
  <c r="N311" i="1" a="1"/>
  <c r="N312" i="1" a="1"/>
  <c r="N313" i="1" a="1"/>
  <c r="N314" i="1" a="1"/>
  <c r="N315" i="1" a="1"/>
  <c r="N316" i="1" a="1"/>
  <c r="N317" i="1" a="1"/>
  <c r="N318" i="1" a="1"/>
  <c r="N319" i="1" a="1"/>
  <c r="N320" i="1" a="1"/>
  <c r="N321" i="1" a="1"/>
  <c r="N322" i="1" a="1"/>
  <c r="N323" i="1" a="1"/>
  <c r="N324" i="1" a="1"/>
  <c r="N325" i="1" a="1"/>
  <c r="N326" i="1" a="1"/>
  <c r="N327" i="1" a="1"/>
  <c r="N328" i="1" a="1"/>
  <c r="N329" i="1" a="1"/>
  <c r="N330" i="1" a="1"/>
  <c r="N331" i="1" a="1"/>
  <c r="N332" i="1" a="1"/>
  <c r="N333" i="1" a="1"/>
  <c r="N334" i="1" a="1"/>
  <c r="N335" i="1" a="1"/>
  <c r="N336" i="1" a="1"/>
  <c r="N337" i="1" a="1"/>
  <c r="N338" i="1" a="1"/>
  <c r="N339" i="1" a="1"/>
  <c r="N340" i="1" a="1"/>
  <c r="N341" i="1" a="1"/>
  <c r="N342" i="1" a="1"/>
  <c r="N343" i="1" a="1"/>
  <c r="N344" i="1" a="1"/>
  <c r="N345" i="1" a="1"/>
  <c r="N346" i="1" a="1"/>
  <c r="N347" i="1" a="1"/>
  <c r="N348" i="1" a="1"/>
  <c r="N349" i="1" a="1"/>
  <c r="N350" i="1" a="1"/>
  <c r="N351" i="1" a="1"/>
  <c r="N352" i="1" a="1"/>
  <c r="N353" i="1" a="1"/>
  <c r="N354" i="1" a="1"/>
  <c r="N355" i="1" a="1"/>
  <c r="N356" i="1" a="1"/>
  <c r="N357" i="1" a="1"/>
  <c r="N358" i="1" a="1"/>
  <c r="N359" i="1" a="1"/>
  <c r="N360" i="1" a="1"/>
  <c r="N361" i="1" a="1"/>
  <c r="N362" i="1" a="1"/>
  <c r="N363" i="1" a="1"/>
  <c r="N364" i="1" a="1"/>
  <c r="N365" i="1" a="1"/>
  <c r="N366" i="1" a="1"/>
  <c r="N367" i="1" a="1"/>
  <c r="N368" i="1" a="1"/>
  <c r="N369" i="1" a="1"/>
  <c r="N370" i="1" a="1"/>
  <c r="N371" i="1" a="1"/>
  <c r="N372" i="1" a="1"/>
  <c r="N373" i="1" a="1"/>
  <c r="N374" i="1" a="1"/>
  <c r="N375" i="1" a="1"/>
  <c r="N376" i="1" a="1"/>
  <c r="N377" i="1" a="1"/>
  <c r="N378" i="1" a="1"/>
  <c r="N379" i="1" a="1"/>
  <c r="N380" i="1" a="1"/>
  <c r="N381" i="1" a="1"/>
  <c r="N382" i="1" a="1"/>
  <c r="N383" i="1" a="1"/>
  <c r="N384" i="1" a="1"/>
  <c r="N385" i="1" a="1"/>
  <c r="N386" i="1" a="1"/>
  <c r="N387" i="1" a="1"/>
  <c r="N388" i="1" a="1"/>
  <c r="N389" i="1" a="1"/>
  <c r="N390" i="1" a="1"/>
  <c r="N391" i="1" a="1"/>
  <c r="N392" i="1" a="1"/>
  <c r="N393" i="1" a="1"/>
  <c r="N394" i="1" a="1"/>
  <c r="N395" i="1" a="1"/>
  <c r="N396" i="1" a="1"/>
  <c r="N397" i="1" a="1"/>
  <c r="N398" i="1" a="1"/>
  <c r="N399" i="1" a="1"/>
  <c r="N400" i="1" a="1"/>
  <c r="N401" i="1" a="1"/>
  <c r="N402" i="1" a="1"/>
  <c r="N403" i="1" a="1"/>
  <c r="N404" i="1" a="1"/>
  <c r="N405" i="1" a="1"/>
  <c r="N406" i="1" a="1"/>
  <c r="N407" i="1" a="1"/>
  <c r="N408" i="1" a="1"/>
  <c r="N409" i="1" a="1"/>
  <c r="N410" i="1" a="1"/>
  <c r="N411" i="1" a="1"/>
  <c r="N412" i="1" a="1"/>
  <c r="N413" i="1" a="1"/>
  <c r="N414" i="1" a="1"/>
  <c r="N415" i="1" a="1"/>
  <c r="N416" i="1" a="1"/>
  <c r="N417" i="1" a="1"/>
  <c r="N418" i="1" a="1"/>
  <c r="N419" i="1" a="1"/>
  <c r="N420" i="1" a="1"/>
  <c r="N421" i="1" a="1"/>
  <c r="N422" i="1" a="1"/>
  <c r="N423" i="1" a="1"/>
  <c r="N424" i="1" a="1"/>
  <c r="N425" i="1" a="1"/>
  <c r="N426" i="1" a="1"/>
  <c r="N427" i="1" a="1"/>
  <c r="N428" i="1" a="1"/>
  <c r="N429" i="1" a="1"/>
  <c r="N430" i="1" a="1"/>
  <c r="N431" i="1" a="1"/>
  <c r="N432" i="1" a="1"/>
  <c r="N433" i="1" a="1"/>
  <c r="N434" i="1" a="1"/>
  <c r="N435" i="1" a="1"/>
  <c r="N436" i="1" a="1"/>
  <c r="N437" i="1" a="1"/>
  <c r="N438" i="1" a="1"/>
  <c r="N439" i="1" a="1"/>
  <c r="N440" i="1" a="1"/>
  <c r="N441" i="1" a="1"/>
  <c r="N442" i="1" a="1"/>
  <c r="N443" i="1" a="1"/>
  <c r="N444" i="1" a="1"/>
  <c r="N445" i="1" a="1"/>
  <c r="N446" i="1" a="1"/>
  <c r="N447" i="1" a="1"/>
  <c r="N448" i="1" a="1"/>
  <c r="N449" i="1" a="1"/>
  <c r="N450" i="1" a="1"/>
  <c r="N451" i="1" a="1"/>
  <c r="N452" i="1" a="1"/>
  <c r="N453" i="1" a="1"/>
  <c r="N454" i="1" a="1"/>
  <c r="N455" i="1" a="1"/>
  <c r="N456" i="1" a="1"/>
  <c r="N457" i="1" a="1"/>
  <c r="N458" i="1" a="1"/>
  <c r="N459" i="1" a="1"/>
  <c r="N460" i="1" a="1"/>
  <c r="N461" i="1" a="1"/>
  <c r="N462" i="1" a="1"/>
  <c r="N463" i="1" a="1"/>
  <c r="N464" i="1" a="1"/>
  <c r="N465" i="1" a="1"/>
  <c r="N466" i="1" a="1"/>
  <c r="N467" i="1" a="1"/>
  <c r="N468" i="1" a="1"/>
  <c r="N469" i="1" a="1"/>
  <c r="N470" i="1" a="1"/>
  <c r="N471" i="1" a="1"/>
  <c r="N472" i="1" a="1"/>
  <c r="N473" i="1" a="1"/>
  <c r="N474" i="1" a="1"/>
  <c r="N475" i="1" a="1"/>
  <c r="N476" i="1" a="1"/>
  <c r="N477" i="1" a="1"/>
  <c r="N478" i="1" a="1"/>
  <c r="N479" i="1" a="1"/>
  <c r="N480" i="1" a="1"/>
  <c r="N481" i="1" a="1"/>
  <c r="N482" i="1" a="1"/>
  <c r="N483" i="1" a="1"/>
  <c r="N484" i="1" a="1"/>
  <c r="N485" i="1" a="1"/>
  <c r="N486" i="1" a="1"/>
  <c r="N487" i="1" a="1"/>
  <c r="N488" i="1" a="1"/>
  <c r="N489" i="1" a="1"/>
  <c r="N490" i="1" a="1"/>
  <c r="N491" i="1" a="1"/>
  <c r="N492" i="1" a="1"/>
  <c r="N493" i="1" a="1"/>
  <c r="N494" i="1" a="1"/>
  <c r="N495" i="1" a="1"/>
  <c r="N496" i="1" a="1"/>
  <c r="N497" i="1" a="1"/>
  <c r="N498" i="1" a="1"/>
  <c r="N499" i="1" a="1"/>
  <c r="N500" i="1" a="1"/>
  <c r="N501" i="1" a="1"/>
  <c r="N502" i="1" a="1"/>
  <c r="N503" i="1" a="1"/>
  <c r="N504" i="1" a="1"/>
  <c r="N505" i="1" a="1"/>
  <c r="N506" i="1" a="1"/>
  <c r="N507" i="1" a="1"/>
  <c r="N508" i="1" a="1"/>
  <c r="N509" i="1" a="1"/>
  <c r="N510" i="1" a="1"/>
  <c r="N511" i="1" a="1"/>
  <c r="N512" i="1" a="1"/>
  <c r="N513" i="1" a="1"/>
  <c r="N514" i="1" a="1"/>
  <c r="N515" i="1" a="1"/>
  <c r="N516" i="1" a="1"/>
  <c r="N517" i="1" a="1"/>
  <c r="N518" i="1" a="1"/>
  <c r="N519" i="1" a="1"/>
  <c r="N520" i="1" a="1"/>
  <c r="N521" i="1" a="1"/>
  <c r="N522" i="1" a="1"/>
  <c r="N523" i="1" a="1"/>
  <c r="N524" i="1" a="1"/>
  <c r="N525" i="1" a="1"/>
  <c r="N526" i="1" a="1"/>
  <c r="N527" i="1" a="1"/>
  <c r="N528" i="1" a="1"/>
  <c r="N529" i="1" a="1"/>
  <c r="N530" i="1" a="1"/>
  <c r="N531" i="1" a="1"/>
  <c r="N532" i="1" a="1"/>
  <c r="N533" i="1" a="1"/>
  <c r="N534" i="1" a="1"/>
  <c r="N535" i="1" a="1"/>
  <c r="N536" i="1" a="1"/>
  <c r="N537" i="1" a="1"/>
  <c r="N538" i="1" a="1"/>
  <c r="N539" i="1" a="1"/>
  <c r="N540" i="1" a="1"/>
  <c r="N541" i="1" a="1"/>
  <c r="N542" i="1" a="1"/>
  <c r="N543" i="1" a="1"/>
  <c r="N544" i="1" a="1"/>
  <c r="N545" i="1" a="1"/>
  <c r="N546" i="1" a="1"/>
  <c r="N547" i="1" a="1"/>
  <c r="N548" i="1" a="1"/>
  <c r="N549" i="1" a="1"/>
  <c r="N550" i="1" a="1"/>
  <c r="N551" i="1" a="1"/>
  <c r="N552" i="1" a="1"/>
  <c r="N553" i="1" a="1"/>
  <c r="N554" i="1" a="1"/>
  <c r="N555" i="1" a="1"/>
  <c r="N556" i="1" a="1"/>
  <c r="N557" i="1" a="1"/>
  <c r="N558" i="1" a="1"/>
  <c r="N559" i="1" a="1"/>
  <c r="N560" i="1" a="1"/>
  <c r="N561" i="1" a="1"/>
  <c r="N562" i="1" a="1"/>
  <c r="N563" i="1" a="1"/>
  <c r="N564" i="1" a="1"/>
  <c r="N565" i="1" a="1"/>
  <c r="N566" i="1" a="1"/>
  <c r="N567" i="1" a="1"/>
  <c r="N568" i="1" a="1"/>
  <c r="N569" i="1" a="1"/>
  <c r="N570" i="1" a="1"/>
  <c r="N571" i="1" a="1"/>
  <c r="N572" i="1" a="1"/>
  <c r="N573" i="1" a="1"/>
  <c r="N574" i="1" a="1"/>
  <c r="N575" i="1" a="1"/>
  <c r="N576" i="1" a="1"/>
  <c r="N577" i="1" a="1"/>
  <c r="N578" i="1" a="1"/>
  <c r="N579" i="1" a="1"/>
  <c r="N580" i="1" a="1"/>
  <c r="N581" i="1" a="1"/>
  <c r="N582" i="1" a="1"/>
  <c r="N583" i="1" a="1"/>
  <c r="N584" i="1" a="1"/>
  <c r="N585" i="1" a="1"/>
  <c r="N586" i="1" a="1"/>
  <c r="N587" i="1" a="1"/>
  <c r="N588" i="1" a="1"/>
  <c r="N589" i="1" a="1"/>
  <c r="N590" i="1" a="1"/>
  <c r="N591" i="1" a="1"/>
  <c r="N592" i="1" a="1"/>
  <c r="N593" i="1" a="1"/>
  <c r="N594" i="1" a="1"/>
  <c r="N595" i="1" a="1"/>
  <c r="N596" i="1" a="1"/>
  <c r="N597" i="1" a="1"/>
  <c r="N598" i="1" a="1"/>
  <c r="N599" i="1" a="1"/>
  <c r="N600" i="1" a="1"/>
  <c r="N601" i="1" a="1"/>
  <c r="N602" i="1" a="1"/>
  <c r="N603" i="1" a="1"/>
  <c r="N604" i="1" a="1"/>
  <c r="N605" i="1" a="1"/>
  <c r="N606" i="1" a="1"/>
  <c r="N607" i="1" a="1"/>
  <c r="N608" i="1" a="1"/>
  <c r="N609" i="1" a="1"/>
  <c r="N610" i="1" a="1"/>
  <c r="N611" i="1" a="1"/>
  <c r="N612" i="1" a="1"/>
  <c r="N613" i="1" a="1"/>
  <c r="N614" i="1" a="1"/>
  <c r="N615" i="1" a="1"/>
  <c r="N616" i="1" a="1"/>
  <c r="N617" i="1" a="1"/>
  <c r="N618" i="1" a="1"/>
  <c r="N619" i="1" a="1"/>
  <c r="N620" i="1" a="1"/>
  <c r="N621" i="1" a="1"/>
  <c r="N622" i="1" a="1"/>
  <c r="N623" i="1" a="1"/>
  <c r="N624" i="1" a="1"/>
  <c r="N625" i="1" a="1"/>
  <c r="N626" i="1" a="1"/>
  <c r="N627" i="1" a="1"/>
  <c r="N628" i="1" a="1"/>
  <c r="N629" i="1" a="1"/>
  <c r="N630" i="1" a="1"/>
  <c r="N631" i="1" a="1"/>
  <c r="N632" i="1" a="1"/>
  <c r="N633" i="1" a="1"/>
  <c r="N634" i="1" a="1"/>
  <c r="N635" i="1" a="1"/>
  <c r="N636" i="1" a="1"/>
  <c r="N637" i="1" a="1"/>
  <c r="N638" i="1" a="1"/>
  <c r="N639" i="1" a="1"/>
  <c r="N640" i="1" a="1"/>
  <c r="N641" i="1" a="1"/>
  <c r="N642" i="1" a="1"/>
  <c r="N643" i="1" a="1"/>
  <c r="N644" i="1" a="1"/>
  <c r="N645" i="1" a="1"/>
  <c r="N646" i="1" a="1"/>
  <c r="N647" i="1" a="1"/>
  <c r="N648" i="1" a="1"/>
  <c r="N649" i="1" a="1"/>
  <c r="N650" i="1" a="1"/>
  <c r="N651" i="1" a="1"/>
  <c r="N652" i="1" a="1"/>
  <c r="N653" i="1" a="1"/>
  <c r="N654" i="1" a="1"/>
  <c r="N655" i="1" a="1"/>
  <c r="N656" i="1" a="1"/>
  <c r="N657" i="1" a="1"/>
  <c r="N658" i="1" a="1"/>
  <c r="N659" i="1" a="1"/>
  <c r="N660" i="1" a="1"/>
  <c r="N661" i="1" a="1"/>
  <c r="N662" i="1" a="1"/>
  <c r="N663" i="1" a="1"/>
  <c r="N664" i="1" a="1"/>
  <c r="N665" i="1" a="1"/>
  <c r="N666" i="1" a="1"/>
  <c r="N667" i="1" a="1"/>
  <c r="N668" i="1" a="1"/>
  <c r="N669" i="1" a="1"/>
  <c r="N670" i="1" a="1"/>
  <c r="N671" i="1" a="1"/>
  <c r="N672" i="1" a="1"/>
  <c r="N673" i="1" a="1"/>
  <c r="N674" i="1" a="1"/>
  <c r="N675" i="1" a="1"/>
  <c r="N676" i="1" a="1"/>
  <c r="N677" i="1" a="1"/>
  <c r="N678" i="1" a="1"/>
  <c r="N679" i="1" a="1"/>
  <c r="N680" i="1" a="1"/>
  <c r="N681" i="1" a="1"/>
  <c r="N682" i="1" a="1"/>
  <c r="N683" i="1" a="1"/>
  <c r="N684" i="1" a="1"/>
  <c r="N685" i="1" a="1"/>
  <c r="N686" i="1" a="1"/>
  <c r="N687" i="1" a="1"/>
  <c r="N688" i="1" a="1"/>
  <c r="N689" i="1" a="1"/>
  <c r="N690" i="1" a="1"/>
  <c r="N691" i="1" a="1"/>
  <c r="N692" i="1" a="1"/>
  <c r="N693" i="1" a="1"/>
  <c r="N694" i="1" a="1"/>
  <c r="N695" i="1" a="1"/>
  <c r="N696" i="1" a="1"/>
  <c r="N697" i="1" a="1"/>
  <c r="N698" i="1" a="1"/>
  <c r="N699" i="1" a="1"/>
  <c r="N700" i="1" a="1"/>
  <c r="N701" i="1" a="1"/>
  <c r="N702" i="1" a="1"/>
  <c r="N703" i="1" a="1"/>
  <c r="N704" i="1" a="1"/>
  <c r="N705" i="1" a="1"/>
  <c r="N706" i="1" a="1"/>
  <c r="N707" i="1" a="1"/>
  <c r="N708" i="1" a="1"/>
  <c r="N709" i="1" a="1"/>
  <c r="N710" i="1" a="1"/>
  <c r="N711" i="1" a="1"/>
  <c r="N712" i="1" a="1"/>
  <c r="N713" i="1" a="1"/>
  <c r="N714" i="1" a="1"/>
  <c r="N715" i="1" a="1"/>
  <c r="N716" i="1" a="1"/>
  <c r="N717" i="1" a="1"/>
  <c r="N718" i="1" a="1"/>
  <c r="N719" i="1" a="1"/>
  <c r="N720" i="1" a="1"/>
  <c r="N721" i="1" a="1"/>
  <c r="N722" i="1" a="1"/>
  <c r="N723" i="1" a="1"/>
  <c r="N724" i="1" a="1"/>
  <c r="N725" i="1" a="1"/>
  <c r="N726" i="1" a="1"/>
  <c r="N727" i="1" a="1"/>
  <c r="N728" i="1" a="1"/>
  <c r="N729" i="1" a="1"/>
  <c r="N730" i="1" a="1"/>
  <c r="N731" i="1" a="1"/>
  <c r="N732" i="1" a="1"/>
  <c r="N733" i="1" a="1"/>
  <c r="N734" i="1" a="1"/>
  <c r="N735" i="1" a="1"/>
  <c r="N736" i="1" a="1"/>
  <c r="N737" i="1" a="1"/>
  <c r="N738" i="1" a="1"/>
  <c r="N739" i="1" a="1"/>
  <c r="N740" i="1" a="1"/>
  <c r="N741" i="1" a="1"/>
  <c r="N742" i="1" a="1"/>
  <c r="N743" i="1" a="1"/>
  <c r="N744" i="1" a="1"/>
  <c r="N745" i="1" a="1"/>
  <c r="N746" i="1" a="1"/>
  <c r="N747" i="1" a="1"/>
  <c r="N748" i="1" a="1"/>
  <c r="N749" i="1" a="1"/>
  <c r="N750" i="1" a="1"/>
  <c r="N751" i="1" a="1"/>
  <c r="N752" i="1" a="1"/>
  <c r="N753" i="1" a="1"/>
  <c r="N754" i="1" a="1"/>
  <c r="N755" i="1" a="1"/>
  <c r="N756" i="1" a="1"/>
  <c r="N757" i="1" a="1"/>
  <c r="N758" i="1" a="1"/>
  <c r="N759" i="1" a="1"/>
  <c r="N760" i="1" a="1"/>
  <c r="N761" i="1" a="1"/>
  <c r="N762" i="1" a="1"/>
  <c r="N763" i="1" a="1"/>
  <c r="N764" i="1" a="1"/>
  <c r="N765" i="1" a="1"/>
  <c r="N766" i="1" a="1"/>
  <c r="N767" i="1" a="1"/>
  <c r="N768" i="1" a="1"/>
  <c r="N769" i="1" a="1"/>
  <c r="N770" i="1" a="1"/>
  <c r="N771" i="1" a="1"/>
  <c r="N772" i="1" a="1"/>
  <c r="N773" i="1" a="1"/>
  <c r="N774" i="1" a="1"/>
  <c r="N775" i="1" a="1"/>
  <c r="N776" i="1" a="1"/>
  <c r="N777" i="1" a="1"/>
  <c r="N778" i="1" a="1"/>
  <c r="N779" i="1" a="1"/>
  <c r="N780" i="1" a="1"/>
  <c r="N781" i="1" a="1"/>
  <c r="N782" i="1" a="1"/>
  <c r="N783" i="1" a="1"/>
  <c r="N784" i="1" a="1"/>
  <c r="N785" i="1" a="1"/>
  <c r="N786" i="1" a="1"/>
  <c r="N787" i="1" a="1"/>
  <c r="N788" i="1" a="1"/>
  <c r="N789" i="1" a="1"/>
  <c r="N790" i="1" a="1"/>
  <c r="N791" i="1" a="1"/>
  <c r="N792" i="1" a="1"/>
  <c r="N793" i="1" a="1"/>
  <c r="N794" i="1" a="1"/>
  <c r="N795" i="1" a="1"/>
  <c r="N796" i="1" a="1"/>
  <c r="N797" i="1" a="1"/>
  <c r="N798" i="1" a="1"/>
  <c r="N799" i="1" a="1"/>
  <c r="N800" i="1" a="1"/>
  <c r="N801" i="1" a="1"/>
  <c r="N802" i="1" a="1"/>
  <c r="N803" i="1" a="1"/>
  <c r="N804" i="1" a="1"/>
  <c r="N805" i="1" a="1"/>
  <c r="N806" i="1" a="1"/>
  <c r="N807" i="1" a="1"/>
  <c r="N808" i="1" a="1"/>
  <c r="N809" i="1" a="1"/>
  <c r="N810" i="1" a="1"/>
  <c r="N811" i="1" a="1"/>
  <c r="N812" i="1" a="1"/>
  <c r="N813" i="1" a="1"/>
  <c r="N814" i="1" a="1"/>
  <c r="N815" i="1" a="1"/>
  <c r="N816" i="1" a="1"/>
  <c r="N817" i="1" a="1"/>
  <c r="N818" i="1" a="1"/>
  <c r="N819" i="1" a="1"/>
  <c r="N820" i="1" a="1"/>
  <c r="N821" i="1" a="1"/>
  <c r="N822" i="1" a="1"/>
  <c r="N823" i="1" a="1"/>
  <c r="N824" i="1" a="1"/>
  <c r="N825" i="1" a="1"/>
  <c r="N826" i="1" a="1"/>
  <c r="N827" i="1" a="1"/>
  <c r="N828" i="1" a="1"/>
  <c r="N829" i="1" a="1"/>
  <c r="N830" i="1" a="1"/>
  <c r="N831" i="1" a="1"/>
  <c r="N832" i="1" a="1"/>
  <c r="N833" i="1" a="1"/>
  <c r="N834" i="1" a="1"/>
  <c r="N835" i="1" a="1"/>
  <c r="N836" i="1" a="1"/>
  <c r="N837" i="1" a="1"/>
  <c r="N838" i="1" a="1"/>
  <c r="N839" i="1" a="1"/>
  <c r="N840" i="1" a="1"/>
  <c r="N841" i="1" a="1"/>
  <c r="N842" i="1" a="1"/>
  <c r="N843" i="1" a="1"/>
  <c r="N844" i="1" a="1"/>
  <c r="N845" i="1" a="1"/>
  <c r="N846" i="1" a="1"/>
  <c r="N847" i="1" a="1"/>
  <c r="N848" i="1" a="1"/>
  <c r="N849" i="1" a="1"/>
  <c r="N850" i="1" a="1"/>
  <c r="N851" i="1" a="1"/>
  <c r="N852" i="1" a="1"/>
  <c r="N853" i="1" a="1"/>
  <c r="N854" i="1" a="1"/>
  <c r="N855" i="1" a="1"/>
  <c r="N856" i="1" a="1"/>
  <c r="N857" i="1" a="1"/>
  <c r="N858" i="1" a="1"/>
  <c r="N859" i="1" a="1"/>
  <c r="N860" i="1" a="1"/>
  <c r="N861" i="1" a="1"/>
  <c r="N862" i="1" a="1"/>
  <c r="N863" i="1" a="1"/>
  <c r="N864" i="1" a="1"/>
  <c r="N865" i="1" a="1"/>
  <c r="N866" i="1" a="1"/>
  <c r="N867" i="1" a="1"/>
  <c r="N868" i="1" a="1"/>
  <c r="N869" i="1" a="1"/>
  <c r="N870" i="1" a="1"/>
  <c r="N871" i="1" a="1"/>
  <c r="N872" i="1" a="1"/>
  <c r="N873" i="1" a="1"/>
  <c r="N874" i="1" a="1"/>
  <c r="N875" i="1" a="1"/>
  <c r="N876" i="1" a="1"/>
  <c r="N877" i="1" a="1"/>
  <c r="N878" i="1" a="1"/>
  <c r="N879" i="1" a="1"/>
  <c r="N880" i="1" a="1"/>
  <c r="N881" i="1" a="1"/>
  <c r="N882" i="1" a="1"/>
  <c r="N883" i="1" a="1"/>
  <c r="N884" i="1" a="1"/>
  <c r="N885" i="1" a="1"/>
  <c r="N886" i="1" a="1"/>
  <c r="N887" i="1" a="1"/>
  <c r="N888" i="1" a="1"/>
  <c r="N889" i="1" a="1"/>
  <c r="N890" i="1" a="1"/>
  <c r="N891" i="1" a="1"/>
  <c r="N892" i="1" a="1"/>
  <c r="N893" i="1" a="1"/>
  <c r="N894" i="1" a="1"/>
  <c r="N895" i="1" a="1"/>
  <c r="N896" i="1" a="1"/>
  <c r="N897" i="1" a="1"/>
  <c r="N898" i="1" a="1"/>
  <c r="N899" i="1" a="1"/>
  <c r="N900" i="1" a="1"/>
  <c r="N901" i="1" a="1"/>
  <c r="N902" i="1" a="1"/>
  <c r="N903" i="1" a="1"/>
  <c r="N904" i="1" a="1"/>
  <c r="N905" i="1" a="1"/>
  <c r="N906" i="1" a="1"/>
  <c r="N907" i="1" a="1"/>
  <c r="N908" i="1" a="1"/>
  <c r="N909" i="1" a="1"/>
  <c r="N910" i="1" a="1"/>
  <c r="N911" i="1" a="1"/>
  <c r="N912" i="1" a="1"/>
  <c r="N913" i="1" a="1"/>
  <c r="N914" i="1" a="1"/>
  <c r="N915" i="1" a="1"/>
  <c r="N916" i="1" a="1"/>
  <c r="N917" i="1" a="1"/>
  <c r="N918" i="1" a="1"/>
  <c r="N919" i="1" a="1"/>
  <c r="N920" i="1" a="1"/>
  <c r="N921" i="1" a="1"/>
  <c r="N922" i="1" a="1"/>
  <c r="N923" i="1" a="1"/>
  <c r="N924" i="1" a="1"/>
  <c r="N925" i="1" a="1"/>
  <c r="N926" i="1" a="1"/>
  <c r="N927" i="1" a="1"/>
  <c r="N928" i="1" a="1"/>
  <c r="N929" i="1" a="1"/>
  <c r="N930" i="1" a="1"/>
  <c r="N931" i="1" a="1"/>
  <c r="N932" i="1" a="1"/>
  <c r="N933" i="1" a="1"/>
  <c r="N934" i="1" a="1"/>
  <c r="N935" i="1" a="1"/>
  <c r="N936" i="1" a="1"/>
  <c r="N937" i="1" a="1"/>
  <c r="N938" i="1" a="1"/>
  <c r="N939" i="1" a="1"/>
  <c r="N940" i="1" a="1"/>
  <c r="N941" i="1" a="1"/>
  <c r="N942" i="1" a="1"/>
  <c r="N943" i="1" a="1"/>
  <c r="N944" i="1" a="1"/>
  <c r="N945" i="1" a="1"/>
  <c r="N946" i="1" a="1"/>
  <c r="N947" i="1" a="1"/>
  <c r="N948" i="1" a="1"/>
  <c r="N949" i="1" a="1"/>
  <c r="N950" i="1" a="1"/>
  <c r="N951" i="1" a="1"/>
  <c r="N952" i="1" a="1"/>
  <c r="N953" i="1" a="1"/>
  <c r="N954" i="1" a="1"/>
  <c r="N955" i="1" a="1"/>
  <c r="N956" i="1" a="1"/>
  <c r="N957" i="1" a="1"/>
  <c r="N958" i="1" a="1"/>
  <c r="N959" i="1" a="1"/>
  <c r="N960" i="1" a="1"/>
  <c r="N961" i="1" a="1"/>
  <c r="N962" i="1" a="1"/>
  <c r="N963" i="1" a="1"/>
  <c r="N964" i="1" a="1"/>
  <c r="N965" i="1" a="1"/>
  <c r="N966" i="1" a="1"/>
  <c r="N967" i="1" a="1"/>
  <c r="N968" i="1" a="1"/>
  <c r="N969" i="1" a="1"/>
  <c r="N970" i="1" a="1"/>
  <c r="N971" i="1" a="1"/>
  <c r="N972" i="1" a="1"/>
  <c r="N973" i="1" a="1"/>
  <c r="N974" i="1" a="1"/>
  <c r="N975" i="1" a="1"/>
  <c r="N976" i="1" a="1"/>
  <c r="N977" i="1" a="1"/>
  <c r="N978" i="1" a="1"/>
  <c r="N979" i="1" a="1"/>
  <c r="N980" i="1" a="1"/>
  <c r="N981" i="1" a="1"/>
  <c r="N982" i="1" a="1"/>
  <c r="N983" i="1" a="1"/>
  <c r="N984" i="1" a="1"/>
  <c r="N985" i="1" a="1"/>
  <c r="N986" i="1" a="1"/>
  <c r="N987" i="1" a="1"/>
  <c r="N988" i="1" a="1"/>
  <c r="N989" i="1" a="1"/>
  <c r="N990" i="1" a="1"/>
  <c r="N991" i="1" a="1"/>
  <c r="N992" i="1" a="1"/>
  <c r="N993" i="1" a="1"/>
  <c r="N994" i="1" a="1"/>
  <c r="N995" i="1" a="1"/>
  <c r="N996" i="1" a="1"/>
  <c r="N997" i="1" a="1"/>
  <c r="N998" i="1" a="1"/>
  <c r="N999" i="1" a="1"/>
  <c r="N1000" i="1" a="1"/>
  <c r="N1001" i="1" a="1"/>
  <c r="N1002" i="1" a="1"/>
  <c r="N1003" i="1" a="1"/>
  <c r="N1004" i="1" a="1"/>
  <c r="N1005" i="1" a="1"/>
  <c r="N1006" i="1" a="1"/>
  <c r="N1007" i="1" a="1"/>
  <c r="N1008" i="1" a="1"/>
  <c r="N1009" i="1" a="1"/>
  <c r="N1010" i="1" a="1"/>
  <c r="N1011" i="1" a="1"/>
  <c r="N1012" i="1" a="1"/>
  <c r="N1013" i="1" a="1"/>
  <c r="N1014" i="1" a="1"/>
  <c r="N1015" i="1" a="1"/>
  <c r="N1016" i="1" a="1"/>
  <c r="N1017" i="1" a="1"/>
  <c r="N1018" i="1" a="1"/>
  <c r="N1019" i="1" a="1"/>
  <c r="N1020" i="1" a="1"/>
  <c r="N1021" i="1" a="1"/>
  <c r="N1022" i="1" a="1"/>
  <c r="N1023" i="1" a="1"/>
  <c r="N1024" i="1" a="1"/>
  <c r="N1025" i="1" a="1"/>
  <c r="N1026" i="1" a="1"/>
  <c r="N1027" i="1" a="1"/>
  <c r="N1028" i="1" a="1"/>
  <c r="N1029" i="1" a="1"/>
  <c r="N1030" i="1" a="1"/>
  <c r="N1031" i="1" a="1"/>
  <c r="N1032" i="1" a="1"/>
  <c r="N1033" i="1" a="1"/>
  <c r="N1034" i="1" a="1"/>
  <c r="N1035" i="1" a="1"/>
  <c r="N1036" i="1" a="1"/>
  <c r="N1037" i="1" a="1"/>
  <c r="N1038" i="1" a="1"/>
  <c r="N1039" i="1" a="1"/>
  <c r="N1040" i="1" a="1"/>
  <c r="N1041" i="1" a="1"/>
  <c r="N1042" i="1" a="1"/>
  <c r="N1043" i="1" a="1"/>
  <c r="N1044" i="1" a="1"/>
  <c r="N1045" i="1" a="1"/>
  <c r="N1046" i="1" a="1"/>
  <c r="N1047" i="1" a="1"/>
  <c r="N1048" i="1" a="1"/>
  <c r="N1049" i="1" a="1"/>
  <c r="N1050" i="1" a="1"/>
  <c r="N1051" i="1" a="1"/>
  <c r="N1052" i="1" a="1"/>
  <c r="N1053" i="1" a="1"/>
  <c r="N1054" i="1" a="1"/>
  <c r="N1055" i="1" a="1"/>
  <c r="N1056" i="1" a="1"/>
  <c r="N1057" i="1" a="1"/>
  <c r="N1058" i="1" a="1"/>
  <c r="N1059" i="1" a="1"/>
  <c r="N1060" i="1" a="1"/>
  <c r="N1061" i="1" a="1"/>
  <c r="N1062" i="1" a="1"/>
  <c r="N1063" i="1" a="1"/>
  <c r="N1064" i="1" a="1"/>
  <c r="N1065" i="1" a="1"/>
  <c r="N1066" i="1" a="1"/>
  <c r="N1067" i="1" a="1"/>
  <c r="N1068" i="1" a="1"/>
  <c r="N1069" i="1" a="1"/>
  <c r="N1070" i="1" a="1"/>
  <c r="N1071" i="1" a="1"/>
  <c r="N1072" i="1" a="1"/>
  <c r="N1073" i="1" a="1"/>
  <c r="N1074" i="1" a="1"/>
  <c r="N1075" i="1" a="1"/>
  <c r="N1076" i="1" a="1"/>
  <c r="N1077" i="1" a="1"/>
  <c r="N1078" i="1" a="1"/>
  <c r="N1079" i="1" a="1"/>
  <c r="N1080" i="1" a="1"/>
  <c r="N1081" i="1" a="1"/>
  <c r="N1082" i="1" a="1"/>
  <c r="N1083" i="1" a="1"/>
  <c r="N1084" i="1" a="1"/>
  <c r="N1085" i="1" a="1"/>
  <c r="N1086" i="1" a="1"/>
  <c r="N1087" i="1" a="1"/>
  <c r="N1088" i="1" a="1"/>
  <c r="N1089" i="1" a="1"/>
  <c r="N1090" i="1" a="1"/>
  <c r="N1091" i="1" a="1"/>
  <c r="N1092" i="1" a="1"/>
  <c r="N1093" i="1" a="1"/>
  <c r="N1094" i="1" a="1"/>
  <c r="N1095" i="1" a="1"/>
  <c r="N1096" i="1" a="1"/>
  <c r="N1097" i="1" a="1"/>
  <c r="N1098" i="1" a="1"/>
  <c r="N1099" i="1" a="1"/>
  <c r="N1100" i="1" a="1"/>
  <c r="N1101" i="1" a="1"/>
  <c r="N1102" i="1" a="1"/>
  <c r="N1103" i="1" a="1"/>
  <c r="N1104" i="1" a="1"/>
  <c r="N1105" i="1" a="1"/>
  <c r="N1106" i="1" a="1"/>
  <c r="N1107" i="1" a="1"/>
  <c r="N1108" i="1" a="1"/>
  <c r="N1109" i="1" a="1"/>
  <c r="N1110" i="1" a="1"/>
  <c r="N1111" i="1" a="1"/>
  <c r="N1112" i="1" a="1"/>
  <c r="N1113" i="1" a="1"/>
  <c r="N1114" i="1" a="1"/>
  <c r="N1115" i="1" a="1"/>
  <c r="N1116" i="1" a="1"/>
  <c r="N1117" i="1" a="1"/>
  <c r="N1118" i="1" a="1"/>
  <c r="N1119" i="1" a="1"/>
  <c r="N1120" i="1" a="1"/>
  <c r="N1121" i="1" a="1"/>
  <c r="N1122" i="1" a="1"/>
  <c r="N1123" i="1" a="1"/>
  <c r="N1124" i="1" a="1"/>
  <c r="N1125" i="1" a="1"/>
  <c r="N1126" i="1" a="1"/>
  <c r="N1127" i="1" a="1"/>
  <c r="N1128" i="1" a="1"/>
  <c r="N1129" i="1" a="1"/>
  <c r="N1130" i="1" a="1"/>
  <c r="N1131" i="1" a="1"/>
  <c r="N1132" i="1" a="1"/>
  <c r="N1133" i="1" a="1"/>
  <c r="N1134" i="1" a="1"/>
  <c r="N1135" i="1" a="1"/>
  <c r="N1136" i="1" a="1"/>
  <c r="N1137" i="1" a="1"/>
  <c r="N1138" i="1" a="1"/>
  <c r="N1139" i="1" a="1"/>
  <c r="N1140" i="1" a="1"/>
  <c r="N1141" i="1" a="1"/>
  <c r="N1142" i="1" a="1"/>
  <c r="N1143" i="1" a="1"/>
  <c r="N1144" i="1" a="1"/>
  <c r="N1145" i="1" a="1"/>
  <c r="N1146" i="1" a="1"/>
  <c r="N1147" i="1" a="1"/>
  <c r="N1148" i="1" a="1"/>
  <c r="N1149" i="1" a="1"/>
  <c r="N1150" i="1" a="1"/>
  <c r="N1151" i="1" a="1"/>
  <c r="N1152" i="1" a="1"/>
  <c r="N1153" i="1" a="1"/>
  <c r="N1154" i="1" a="1"/>
  <c r="N1155" i="1" a="1"/>
  <c r="N1156" i="1" a="1"/>
  <c r="N1157" i="1" a="1"/>
  <c r="N1158" i="1" a="1"/>
  <c r="N1159" i="1" a="1"/>
  <c r="N1160" i="1" a="1"/>
  <c r="N1161" i="1" a="1"/>
  <c r="N1162" i="1" a="1"/>
  <c r="N1163" i="1" a="1"/>
  <c r="N1164" i="1" a="1"/>
  <c r="N1165" i="1" a="1"/>
  <c r="N1166" i="1" a="1"/>
  <c r="N1167" i="1" a="1"/>
  <c r="N1168" i="1" a="1"/>
  <c r="N1169" i="1" a="1"/>
  <c r="N1170" i="1" a="1"/>
  <c r="N1171" i="1" a="1"/>
  <c r="N1172" i="1" a="1"/>
  <c r="N1173" i="1" a="1"/>
  <c r="N1174" i="1" a="1"/>
  <c r="N1175" i="1" a="1"/>
  <c r="N1176" i="1" a="1"/>
  <c r="N1177" i="1" a="1"/>
  <c r="N1178" i="1" a="1"/>
  <c r="N1179" i="1" a="1"/>
  <c r="N1180" i="1" a="1"/>
  <c r="N1181" i="1" a="1"/>
  <c r="N1182" i="1" a="1"/>
  <c r="N1183" i="1" a="1"/>
  <c r="N1184" i="1" a="1"/>
  <c r="N1185" i="1" a="1"/>
  <c r="N1186" i="1" a="1"/>
  <c r="N1187" i="1" a="1"/>
  <c r="N1188" i="1" a="1"/>
  <c r="N1189" i="1" a="1"/>
  <c r="N1190" i="1" a="1"/>
  <c r="N1191" i="1" a="1"/>
  <c r="N1192" i="1" a="1"/>
  <c r="N1193" i="1" a="1"/>
  <c r="N1194" i="1" a="1"/>
  <c r="N1195" i="1" a="1"/>
  <c r="N1196" i="1" a="1"/>
  <c r="N1197" i="1" a="1"/>
  <c r="N1198" i="1" a="1"/>
  <c r="N1199" i="1" a="1"/>
  <c r="N1200" i="1" a="1"/>
  <c r="N1201" i="1" a="1"/>
  <c r="N1202" i="1" a="1"/>
  <c r="N1203" i="1" a="1"/>
  <c r="N1204" i="1" a="1"/>
  <c r="N1205" i="1" a="1"/>
  <c r="N1206" i="1" a="1"/>
  <c r="N1207" i="1" a="1"/>
  <c r="N1208" i="1" a="1"/>
  <c r="N1209" i="1" a="1"/>
  <c r="N1210" i="1" a="1"/>
  <c r="N1211" i="1" a="1"/>
  <c r="N1212" i="1" a="1"/>
  <c r="N1213" i="1" a="1"/>
  <c r="N1214" i="1" a="1"/>
  <c r="N1215" i="1" a="1"/>
  <c r="N1216" i="1" a="1"/>
  <c r="N1217" i="1" a="1"/>
  <c r="N1218" i="1" a="1"/>
  <c r="N1219" i="1" a="1"/>
  <c r="N1220" i="1" a="1"/>
  <c r="N1221" i="1" a="1"/>
  <c r="N1222" i="1" a="1"/>
  <c r="N1223" i="1" a="1"/>
  <c r="N1224" i="1" a="1"/>
  <c r="N1225" i="1" a="1"/>
  <c r="N1226" i="1" a="1"/>
  <c r="N1227" i="1" a="1"/>
  <c r="N1228" i="1" a="1"/>
  <c r="N1229" i="1" a="1"/>
  <c r="N1230" i="1" a="1"/>
  <c r="N1231" i="1" a="1"/>
  <c r="N1232" i="1" a="1"/>
  <c r="N1233" i="1" a="1"/>
  <c r="N1234" i="1" a="1"/>
  <c r="N1235" i="1" a="1"/>
  <c r="N1236" i="1" a="1"/>
  <c r="N1237" i="1" a="1"/>
  <c r="N1238" i="1" a="1"/>
  <c r="N1239" i="1" a="1"/>
  <c r="N1240" i="1" a="1"/>
  <c r="N1241" i="1" a="1"/>
  <c r="N1242" i="1" a="1"/>
  <c r="N1243" i="1" a="1"/>
  <c r="N1244" i="1" a="1"/>
  <c r="N1245" i="1" a="1"/>
  <c r="N1246" i="1" a="1"/>
  <c r="N1247" i="1" a="1"/>
  <c r="N1248" i="1" a="1"/>
  <c r="N1249" i="1" a="1"/>
  <c r="N1250" i="1" a="1"/>
  <c r="N1251" i="1" a="1"/>
  <c r="N1252" i="1" a="1"/>
  <c r="N1253" i="1" a="1"/>
  <c r="N1254" i="1" a="1"/>
  <c r="N1255" i="1" a="1"/>
  <c r="N1256" i="1" a="1"/>
  <c r="N1257" i="1" a="1"/>
  <c r="N1258" i="1" a="1"/>
  <c r="N1259" i="1" a="1"/>
  <c r="N1260" i="1" a="1"/>
  <c r="N1261" i="1" a="1"/>
  <c r="N1262" i="1" a="1"/>
  <c r="N1263" i="1" a="1"/>
  <c r="N1264" i="1" a="1"/>
  <c r="N1265" i="1" a="1"/>
  <c r="N1266" i="1" a="1"/>
  <c r="N1267" i="1" a="1"/>
  <c r="N1268" i="1" a="1"/>
  <c r="N1269" i="1" a="1"/>
  <c r="N1270" i="1" a="1"/>
  <c r="N1271" i="1" a="1"/>
  <c r="N1272" i="1" a="1"/>
  <c r="N1273" i="1" a="1"/>
  <c r="N1274" i="1" a="1"/>
  <c r="N1275" i="1" a="1"/>
  <c r="N1276" i="1" a="1"/>
  <c r="N1277" i="1" a="1"/>
  <c r="N1278" i="1" a="1"/>
  <c r="N1279" i="1" a="1"/>
  <c r="N1280" i="1" a="1"/>
  <c r="N1281" i="1" a="1"/>
  <c r="N1282" i="1" a="1"/>
  <c r="N1283" i="1" a="1"/>
  <c r="N1284" i="1" a="1"/>
  <c r="N1285" i="1" a="1"/>
  <c r="N1286" i="1" a="1"/>
  <c r="N1287" i="1" a="1"/>
  <c r="N1288" i="1" a="1"/>
  <c r="N1289" i="1" a="1"/>
  <c r="N1290" i="1" a="1"/>
  <c r="N1291" i="1" a="1"/>
  <c r="N1292" i="1" a="1"/>
  <c r="N1293" i="1" a="1"/>
  <c r="N1294" i="1" a="1"/>
  <c r="N1295" i="1" a="1"/>
  <c r="N1296" i="1" a="1"/>
  <c r="N1297" i="1" a="1"/>
  <c r="N1298" i="1" a="1"/>
  <c r="N1299" i="1" a="1"/>
  <c r="N1300" i="1" a="1"/>
  <c r="N1301" i="1" a="1"/>
  <c r="N1302" i="1" a="1"/>
  <c r="N1303" i="1" a="1"/>
  <c r="N1304" i="1" a="1"/>
  <c r="N1305" i="1" a="1"/>
  <c r="N1306" i="1" a="1"/>
  <c r="N1307" i="1" a="1"/>
  <c r="N1308" i="1" a="1"/>
  <c r="N1309" i="1" a="1"/>
  <c r="N1310" i="1" a="1"/>
  <c r="N1311" i="1" a="1"/>
  <c r="N1312" i="1" a="1"/>
  <c r="N1313" i="1" a="1"/>
  <c r="N1314" i="1" a="1"/>
  <c r="N1315" i="1" a="1"/>
  <c r="N1316" i="1" a="1"/>
  <c r="N1317" i="1" a="1"/>
  <c r="N1318" i="1" a="1"/>
  <c r="N1319" i="1" a="1"/>
  <c r="N1320" i="1" a="1"/>
  <c r="N1321" i="1" a="1"/>
  <c r="N1322" i="1" a="1"/>
  <c r="N1323" i="1" a="1"/>
  <c r="N1324" i="1" a="1"/>
  <c r="N1325" i="1" a="1"/>
  <c r="N1326" i="1" a="1"/>
  <c r="N1327" i="1" a="1"/>
  <c r="N1328" i="1" a="1"/>
  <c r="N1329" i="1" a="1"/>
  <c r="N1330" i="1" a="1"/>
  <c r="N1331" i="1" a="1"/>
  <c r="N1332" i="1" a="1"/>
  <c r="N1333" i="1" a="1"/>
  <c r="N1334" i="1" a="1"/>
  <c r="N1335" i="1" a="1"/>
  <c r="N1336" i="1" a="1"/>
  <c r="N1337" i="1" a="1"/>
  <c r="N1338" i="1" a="1"/>
  <c r="N1339" i="1" a="1"/>
  <c r="N1340" i="1" a="1"/>
  <c r="N1341" i="1" a="1"/>
  <c r="N1342" i="1" a="1"/>
  <c r="N1343" i="1" a="1"/>
  <c r="N1344" i="1" a="1"/>
  <c r="N1345" i="1" a="1"/>
  <c r="N1346" i="1" a="1"/>
  <c r="N1347" i="1" a="1"/>
  <c r="N1348" i="1" a="1"/>
  <c r="N1349" i="1" a="1"/>
  <c r="N1350" i="1" a="1"/>
  <c r="N1351" i="1" a="1"/>
  <c r="N1352" i="1" a="1"/>
  <c r="N1353" i="1" a="1"/>
  <c r="N1354" i="1" a="1"/>
  <c r="N1355" i="1" a="1"/>
  <c r="N1356" i="1" a="1"/>
  <c r="N1357" i="1" a="1"/>
  <c r="N1358" i="1" a="1"/>
  <c r="N1359" i="1" a="1"/>
  <c r="N1360" i="1" a="1"/>
  <c r="N1361" i="1" a="1"/>
  <c r="N1362" i="1" a="1"/>
  <c r="N1363" i="1" a="1"/>
  <c r="N1364" i="1" a="1"/>
  <c r="N1365" i="1" a="1"/>
  <c r="N1366" i="1" a="1"/>
  <c r="N1367" i="1" a="1"/>
  <c r="N1368" i="1" a="1"/>
  <c r="N1369" i="1" a="1"/>
  <c r="N1370" i="1" a="1"/>
  <c r="N1371" i="1" a="1"/>
  <c r="N1372" i="1" a="1"/>
  <c r="N1373" i="1" a="1"/>
  <c r="N1374" i="1" a="1"/>
  <c r="N1375" i="1" a="1"/>
  <c r="N1376" i="1" a="1"/>
  <c r="N1377" i="1" a="1"/>
  <c r="N1378" i="1" a="1"/>
  <c r="N1379" i="1" a="1"/>
  <c r="N1380" i="1" a="1"/>
  <c r="N1381" i="1" a="1"/>
  <c r="N1382" i="1" a="1"/>
  <c r="N1383" i="1" a="1"/>
  <c r="N1384" i="1" a="1"/>
  <c r="N1385" i="1" a="1"/>
  <c r="N1386" i="1" a="1"/>
  <c r="N1387" i="1" a="1"/>
  <c r="N1388" i="1" a="1"/>
  <c r="N1389" i="1" a="1"/>
  <c r="N1390" i="1" a="1"/>
  <c r="N1391" i="1" a="1"/>
  <c r="N1392" i="1" a="1"/>
  <c r="N1393" i="1" a="1"/>
  <c r="N1394" i="1" a="1"/>
  <c r="N1395" i="1" a="1"/>
  <c r="N1396" i="1" a="1"/>
  <c r="N1397" i="1" a="1"/>
  <c r="N1398" i="1" a="1"/>
  <c r="N1399" i="1" a="1"/>
  <c r="N1400" i="1" a="1"/>
  <c r="N1401" i="1" a="1"/>
  <c r="N1402" i="1" a="1"/>
  <c r="N1403" i="1" a="1"/>
  <c r="N1404" i="1" a="1"/>
  <c r="N1405" i="1" a="1"/>
  <c r="N1406" i="1" a="1"/>
  <c r="N1407" i="1" a="1"/>
  <c r="N1408" i="1" a="1"/>
  <c r="N1409" i="1" a="1"/>
  <c r="N1410" i="1" a="1"/>
  <c r="N1411" i="1" a="1"/>
  <c r="N1412" i="1" a="1"/>
  <c r="N1413" i="1" a="1"/>
  <c r="N1414" i="1" a="1"/>
  <c r="N1415" i="1" a="1"/>
  <c r="N1416" i="1" a="1"/>
  <c r="N1417" i="1" a="1"/>
  <c r="N1418" i="1" a="1"/>
  <c r="N1419" i="1" a="1"/>
  <c r="N1420" i="1" a="1"/>
  <c r="N1421" i="1" a="1"/>
  <c r="N1422" i="1" a="1"/>
  <c r="N1423" i="1" a="1"/>
  <c r="N1424" i="1" a="1"/>
  <c r="N1425" i="1" a="1"/>
  <c r="N1426" i="1" a="1"/>
  <c r="N1427" i="1" a="1"/>
  <c r="N1428" i="1" a="1"/>
  <c r="N1429" i="1" a="1"/>
  <c r="N1430" i="1" a="1"/>
  <c r="N1431" i="1" a="1"/>
  <c r="N1432" i="1" a="1"/>
  <c r="N1433" i="1" a="1"/>
  <c r="N1434" i="1" a="1"/>
  <c r="N1435" i="1" a="1"/>
  <c r="N1436" i="1" a="1"/>
  <c r="N1437" i="1" a="1"/>
  <c r="N1438" i="1" a="1"/>
  <c r="N1439" i="1" a="1"/>
  <c r="N1440" i="1" a="1"/>
  <c r="N1441" i="1" a="1"/>
  <c r="N1442" i="1" a="1"/>
  <c r="N1443" i="1" a="1"/>
  <c r="N1444" i="1" a="1"/>
  <c r="N1445" i="1" a="1"/>
  <c r="N1446" i="1" a="1"/>
  <c r="N1447" i="1" a="1"/>
  <c r="N1448" i="1" a="1"/>
  <c r="N1449" i="1" a="1"/>
  <c r="N1450" i="1" a="1"/>
  <c r="N1451" i="1" a="1"/>
  <c r="N1452" i="1" a="1"/>
  <c r="N1453" i="1" a="1"/>
  <c r="N1454" i="1" a="1"/>
  <c r="N1455" i="1" a="1"/>
  <c r="N1456" i="1" a="1"/>
  <c r="N1457" i="1" a="1"/>
  <c r="N1458" i="1" a="1"/>
  <c r="N1459" i="1" a="1"/>
  <c r="N1460" i="1" a="1"/>
  <c r="N1461" i="1" a="1"/>
  <c r="N1462" i="1" a="1"/>
  <c r="N1463" i="1" a="1"/>
  <c r="N1464" i="1" a="1"/>
  <c r="N1465" i="1" a="1"/>
  <c r="N1466" i="1" a="1"/>
  <c r="N1467" i="1" a="1"/>
  <c r="N1468" i="1" a="1"/>
  <c r="N1469" i="1" a="1"/>
  <c r="N1470" i="1" a="1"/>
  <c r="N1471" i="1" a="1"/>
  <c r="N1472" i="1" a="1"/>
  <c r="N1473" i="1" a="1"/>
  <c r="N1474" i="1" a="1"/>
  <c r="N1475" i="1" a="1"/>
  <c r="N1476" i="1" a="1"/>
  <c r="N1477" i="1" a="1"/>
  <c r="N1478" i="1" a="1"/>
  <c r="N1479" i="1" a="1"/>
  <c r="N1480" i="1" a="1"/>
  <c r="N1481" i="1" a="1"/>
  <c r="N1482" i="1" a="1"/>
  <c r="N1483" i="1" a="1"/>
  <c r="N1484" i="1" a="1"/>
  <c r="N1485" i="1" a="1"/>
  <c r="N1486" i="1" a="1"/>
  <c r="N1487" i="1" a="1"/>
  <c r="N1488" i="1" a="1"/>
  <c r="N1489" i="1" a="1"/>
  <c r="N1490" i="1" a="1"/>
  <c r="N1491" i="1" a="1"/>
  <c r="N1492" i="1" a="1"/>
  <c r="N1493" i="1" a="1"/>
  <c r="N1494" i="1" a="1"/>
  <c r="N1495" i="1" a="1"/>
  <c r="N1496" i="1" a="1"/>
  <c r="N1497" i="1" a="1"/>
  <c r="N1498" i="1" a="1"/>
  <c r="N1499" i="1" a="1"/>
  <c r="N1500" i="1" a="1"/>
  <c r="N1501" i="1" a="1"/>
  <c r="N1502" i="1" a="1"/>
  <c r="N1503" i="1" a="1"/>
  <c r="N1504" i="1" a="1"/>
  <c r="N1505" i="1" a="1"/>
  <c r="N1506" i="1" a="1"/>
  <c r="N1507" i="1" a="1"/>
  <c r="N1508" i="1" a="1"/>
  <c r="N1509" i="1" a="1"/>
  <c r="N1510" i="1" a="1"/>
  <c r="N1511" i="1" a="1"/>
  <c r="N1512" i="1" a="1"/>
  <c r="N1513" i="1" a="1"/>
  <c r="N1514" i="1" a="1"/>
  <c r="N1515" i="1" a="1"/>
  <c r="N1516" i="1" a="1"/>
  <c r="N1517" i="1" a="1"/>
  <c r="N1518" i="1" a="1"/>
  <c r="N1519" i="1" a="1"/>
  <c r="N1520" i="1" a="1"/>
  <c r="N1521" i="1" a="1"/>
  <c r="N1522" i="1" a="1"/>
  <c r="N1523" i="1" a="1"/>
  <c r="N1524" i="1" a="1"/>
  <c r="N1525" i="1" a="1"/>
  <c r="N1526" i="1" a="1"/>
  <c r="N1527" i="1" a="1"/>
  <c r="N1528" i="1" a="1"/>
  <c r="N1529" i="1" a="1"/>
  <c r="N1530" i="1" a="1"/>
  <c r="N1531" i="1" a="1"/>
  <c r="N1532" i="1" a="1"/>
  <c r="N1533" i="1" a="1"/>
  <c r="N1534" i="1" a="1"/>
  <c r="N1535" i="1" a="1"/>
  <c r="N1536" i="1" a="1"/>
  <c r="N1537" i="1" a="1"/>
  <c r="N1538" i="1" a="1"/>
  <c r="N1539" i="1" a="1"/>
  <c r="N1540" i="1" a="1"/>
  <c r="N1541" i="1" a="1"/>
  <c r="N1542" i="1" a="1"/>
  <c r="N1543" i="1" a="1"/>
  <c r="N1544" i="1" a="1"/>
  <c r="N1545" i="1" a="1"/>
  <c r="N1546" i="1" a="1"/>
  <c r="N1547" i="1" a="1"/>
  <c r="N1548" i="1" a="1"/>
  <c r="N1549" i="1" a="1"/>
  <c r="N1550" i="1" a="1"/>
  <c r="N1551" i="1" a="1"/>
  <c r="N1552" i="1" a="1"/>
  <c r="N1553" i="1" a="1"/>
  <c r="N1554" i="1" a="1"/>
  <c r="N1555" i="1" a="1"/>
  <c r="N1556" i="1" a="1"/>
  <c r="N1557" i="1" a="1"/>
  <c r="N1558" i="1" a="1"/>
  <c r="N1559" i="1" a="1"/>
  <c r="N1560" i="1" a="1"/>
  <c r="N1561" i="1" a="1"/>
  <c r="N1562" i="1" a="1"/>
  <c r="N1563" i="1" a="1"/>
  <c r="N1564" i="1" a="1"/>
  <c r="N1565" i="1" a="1"/>
  <c r="N1566" i="1" a="1"/>
  <c r="N1567" i="1" a="1"/>
  <c r="N1568" i="1" a="1"/>
  <c r="N1569" i="1" a="1"/>
  <c r="N1570" i="1" a="1"/>
  <c r="N1571" i="1" a="1"/>
  <c r="N1572" i="1" a="1"/>
  <c r="N1573" i="1" a="1"/>
  <c r="N1574" i="1" a="1"/>
  <c r="N1575" i="1" a="1"/>
  <c r="N1576" i="1" a="1"/>
  <c r="N1577" i="1" a="1"/>
  <c r="N1578" i="1" a="1"/>
  <c r="N1579" i="1" a="1"/>
  <c r="N1580" i="1" a="1"/>
  <c r="N1581" i="1" a="1"/>
  <c r="N1582" i="1" a="1"/>
  <c r="N1583" i="1" a="1"/>
  <c r="N1584" i="1" a="1"/>
  <c r="N1585" i="1" a="1"/>
  <c r="N1586" i="1" a="1"/>
  <c r="N1587" i="1" a="1"/>
  <c r="N1588" i="1" a="1"/>
  <c r="N1589" i="1" a="1"/>
  <c r="N1590" i="1" a="1"/>
  <c r="N1591" i="1" a="1"/>
  <c r="N1592" i="1" a="1"/>
  <c r="N1593" i="1" a="1"/>
  <c r="N1594" i="1" a="1"/>
  <c r="N1595" i="1" a="1"/>
  <c r="N1596" i="1" a="1"/>
  <c r="N1597" i="1" a="1"/>
  <c r="N1598" i="1" a="1"/>
  <c r="N1599" i="1" a="1"/>
  <c r="N1600" i="1" a="1"/>
  <c r="N1601" i="1" a="1"/>
  <c r="N1602" i="1" a="1"/>
  <c r="N1603" i="1" a="1"/>
  <c r="N1604" i="1" a="1"/>
  <c r="N1605" i="1" a="1"/>
  <c r="N1606" i="1" a="1"/>
  <c r="N1607" i="1" a="1"/>
  <c r="N1608" i="1" a="1"/>
  <c r="N1609" i="1" a="1"/>
  <c r="N1610" i="1" a="1"/>
  <c r="N1611" i="1" a="1"/>
  <c r="N1612" i="1" a="1"/>
  <c r="N1613" i="1" a="1"/>
  <c r="N1614" i="1" a="1"/>
  <c r="N1615" i="1" a="1"/>
  <c r="N1616" i="1" a="1"/>
  <c r="N1617" i="1" a="1"/>
  <c r="N1618" i="1" a="1"/>
  <c r="N1619" i="1" a="1"/>
  <c r="N1620" i="1" a="1"/>
  <c r="N1621" i="1" a="1"/>
  <c r="N1622" i="1" a="1"/>
  <c r="N1623" i="1" a="1"/>
  <c r="N1624" i="1" a="1"/>
  <c r="N1625" i="1" a="1"/>
  <c r="N1626" i="1" a="1"/>
  <c r="N1627" i="1" a="1"/>
  <c r="N1628" i="1" a="1"/>
  <c r="N1629" i="1" a="1"/>
  <c r="N1630" i="1" a="1"/>
  <c r="N1631" i="1" a="1"/>
  <c r="N1632" i="1" a="1"/>
  <c r="N1633" i="1" a="1"/>
  <c r="N1634" i="1" a="1"/>
  <c r="N1635" i="1" a="1"/>
  <c r="N1636" i="1" a="1"/>
  <c r="N1637" i="1" a="1"/>
  <c r="N1638" i="1" a="1"/>
  <c r="N1639" i="1" a="1"/>
  <c r="N1640" i="1" a="1"/>
  <c r="N1641" i="1" a="1"/>
  <c r="N1642" i="1" a="1"/>
  <c r="N1643" i="1" a="1"/>
  <c r="N1644" i="1" a="1"/>
  <c r="N1645" i="1" a="1"/>
  <c r="N1646" i="1" a="1"/>
  <c r="N1647" i="1" a="1"/>
  <c r="N1648" i="1" a="1"/>
  <c r="N1649" i="1" a="1"/>
  <c r="N1650" i="1" a="1"/>
  <c r="N1651" i="1" a="1"/>
  <c r="N1652" i="1" a="1"/>
  <c r="N1653" i="1" a="1"/>
  <c r="N1654" i="1" a="1"/>
  <c r="N1655" i="1" a="1"/>
  <c r="N1656" i="1" a="1"/>
  <c r="N1657" i="1" a="1"/>
  <c r="N1658" i="1" a="1"/>
  <c r="N1659" i="1" a="1"/>
  <c r="N1660" i="1" a="1"/>
  <c r="N1661" i="1" a="1"/>
  <c r="N1662" i="1" a="1"/>
  <c r="N1663" i="1" a="1"/>
  <c r="N1664" i="1" a="1"/>
  <c r="N1665" i="1" a="1"/>
  <c r="N1666" i="1" a="1"/>
  <c r="N1667" i="1" a="1"/>
  <c r="N1668" i="1" a="1"/>
  <c r="N1669" i="1" a="1"/>
  <c r="N1670" i="1" a="1"/>
  <c r="N1671" i="1" a="1"/>
  <c r="N1672" i="1" a="1"/>
  <c r="N1673" i="1" a="1"/>
  <c r="N1674" i="1" a="1"/>
  <c r="N1675" i="1" a="1"/>
  <c r="N1676" i="1" a="1"/>
  <c r="N1677" i="1" a="1"/>
  <c r="N1678" i="1" a="1"/>
  <c r="N1679" i="1" a="1"/>
  <c r="N1680" i="1" a="1"/>
  <c r="N1681" i="1" a="1"/>
  <c r="N1682" i="1" a="1"/>
  <c r="N1683" i="1" a="1"/>
  <c r="N1684" i="1" a="1"/>
  <c r="N1685" i="1" a="1"/>
  <c r="N1686" i="1" a="1"/>
  <c r="N1687" i="1" a="1"/>
  <c r="N1688" i="1" a="1"/>
  <c r="N1689" i="1" a="1"/>
  <c r="N1690" i="1" a="1"/>
  <c r="N1691" i="1" a="1"/>
  <c r="N1692" i="1" a="1"/>
  <c r="N1693" i="1" a="1"/>
  <c r="N1694" i="1" a="1"/>
  <c r="N1695" i="1" a="1"/>
  <c r="N1696" i="1" a="1"/>
  <c r="N1697" i="1" a="1"/>
  <c r="N1698" i="1" a="1"/>
  <c r="N1699" i="1" a="1"/>
  <c r="N1700" i="1" a="1"/>
  <c r="N1701" i="1" a="1"/>
  <c r="N1702" i="1" a="1"/>
  <c r="N1703" i="1" a="1"/>
  <c r="N1704" i="1" a="1"/>
  <c r="N1705" i="1" a="1"/>
  <c r="N1706" i="1" a="1"/>
  <c r="N1707" i="1" a="1"/>
  <c r="N1708" i="1" a="1"/>
  <c r="N1709" i="1" a="1"/>
  <c r="N1710" i="1" a="1"/>
  <c r="N1711" i="1" a="1"/>
  <c r="N1712" i="1" a="1"/>
  <c r="N1713" i="1" a="1"/>
  <c r="N1714" i="1" a="1"/>
  <c r="N1715" i="1" a="1"/>
  <c r="N1716" i="1" a="1"/>
  <c r="N1717" i="1" a="1"/>
  <c r="N1718" i="1" a="1"/>
  <c r="N1719" i="1" a="1"/>
  <c r="N1720" i="1" a="1"/>
  <c r="N1721" i="1" a="1"/>
  <c r="N1722" i="1" a="1"/>
  <c r="N1723" i="1" a="1"/>
  <c r="N1724" i="1" a="1"/>
  <c r="N1725" i="1" a="1"/>
  <c r="N1726" i="1" a="1"/>
  <c r="N1727" i="1" a="1"/>
  <c r="N1728" i="1" a="1"/>
  <c r="N1729" i="1" a="1"/>
  <c r="N1730" i="1" a="1"/>
  <c r="N1731" i="1" a="1"/>
  <c r="N1732" i="1" a="1"/>
  <c r="N1733" i="1" a="1"/>
  <c r="N1734" i="1" a="1"/>
  <c r="N1735" i="1" a="1"/>
  <c r="N1736" i="1" a="1"/>
  <c r="N1737" i="1" a="1"/>
  <c r="N1738" i="1" a="1"/>
  <c r="N1739" i="1" a="1"/>
  <c r="N1740" i="1" a="1"/>
  <c r="N1743" i="1" a="1"/>
  <c r="N1744" i="1" a="1"/>
  <c r="N1745" i="1" a="1"/>
  <c r="N1746" i="1" a="1"/>
  <c r="N1747" i="1" a="1"/>
  <c r="N1748" i="1" a="1"/>
  <c r="N1749" i="1" a="1"/>
  <c r="N1750" i="1" a="1"/>
  <c r="N1751" i="1" a="1"/>
  <c r="N1752" i="1" a="1"/>
  <c r="N1753" i="1" a="1"/>
  <c r="N1754" i="1" a="1"/>
  <c r="N1755" i="1" a="1"/>
  <c r="N1756" i="1" a="1"/>
  <c r="N1757" i="1" a="1"/>
  <c r="N1758" i="1" a="1"/>
  <c r="N1759" i="1" a="1"/>
  <c r="N1760" i="1" a="1"/>
  <c r="N1761" i="1" a="1"/>
  <c r="N1762" i="1" a="1"/>
  <c r="N1763" i="1" a="1"/>
  <c r="N1764" i="1" a="1"/>
  <c r="N1765" i="1" a="1"/>
  <c r="N1766" i="1" a="1"/>
  <c r="N1767" i="1" a="1"/>
  <c r="N1768" i="1" a="1"/>
  <c r="N1769" i="1" a="1"/>
  <c r="N1770" i="1" a="1"/>
  <c r="N1771" i="1" a="1"/>
  <c r="N1772" i="1" a="1"/>
  <c r="N1773" i="1" a="1"/>
  <c r="N1774" i="1" a="1"/>
  <c r="N1775" i="1" a="1"/>
  <c r="N1776" i="1" a="1"/>
  <c r="N1777" i="1" a="1"/>
  <c r="N1778" i="1" a="1"/>
  <c r="N1779" i="1" a="1"/>
  <c r="N1780" i="1" a="1"/>
  <c r="N1781" i="1" a="1"/>
  <c r="N1782" i="1" a="1"/>
  <c r="N1783" i="1" a="1"/>
  <c r="N1784" i="1" a="1"/>
  <c r="N1785" i="1" a="1"/>
  <c r="N1786" i="1" a="1"/>
  <c r="N1787" i="1" a="1"/>
  <c r="N1788" i="1" a="1"/>
  <c r="N1789" i="1" a="1"/>
  <c r="N1790" i="1" a="1"/>
  <c r="N1791" i="1" a="1"/>
  <c r="N1792" i="1" a="1"/>
  <c r="N1793" i="1" a="1"/>
  <c r="N1794" i="1" a="1"/>
  <c r="N1795" i="1" a="1"/>
  <c r="N1796" i="1" a="1"/>
  <c r="N1797" i="1" a="1"/>
  <c r="N1798" i="1" a="1"/>
  <c r="N1799" i="1" a="1"/>
  <c r="N1800" i="1" a="1"/>
  <c r="N1801" i="1" a="1"/>
  <c r="N1802" i="1" a="1"/>
  <c r="N1803" i="1" a="1"/>
  <c r="N1804" i="1" a="1"/>
  <c r="N1805" i="1" a="1"/>
  <c r="N1806" i="1" a="1"/>
  <c r="N1807" i="1" a="1"/>
  <c r="N1808" i="1" a="1"/>
  <c r="N1809" i="1" a="1"/>
  <c r="N1810" i="1" a="1"/>
  <c r="N1811" i="1" a="1"/>
  <c r="N1812" i="1" a="1"/>
  <c r="N1813" i="1" a="1"/>
  <c r="N1814" i="1" a="1"/>
  <c r="N1815" i="1" a="1"/>
  <c r="N1816" i="1" a="1"/>
  <c r="N1817" i="1" a="1"/>
  <c r="N1818" i="1" a="1"/>
  <c r="N1819" i="1" a="1"/>
  <c r="N1820" i="1" a="1"/>
  <c r="N1821" i="1" a="1"/>
  <c r="N1822" i="1" a="1"/>
  <c r="N1823" i="1" a="1"/>
  <c r="N1824" i="1" a="1"/>
  <c r="N1825" i="1" a="1"/>
  <c r="N1826" i="1" a="1"/>
  <c r="N1827" i="1" a="1"/>
  <c r="N1828" i="1" a="1"/>
  <c r="N1829" i="1" a="1"/>
  <c r="N1830" i="1" a="1"/>
  <c r="N1831" i="1" a="1"/>
  <c r="N1832" i="1" a="1"/>
  <c r="N1833" i="1" a="1"/>
  <c r="N1834" i="1" a="1"/>
  <c r="N1835" i="1" a="1"/>
  <c r="N1836" i="1" a="1"/>
  <c r="N1837" i="1" a="1"/>
  <c r="N1838" i="1" a="1"/>
  <c r="N1839" i="1" a="1"/>
  <c r="N1840" i="1" a="1"/>
  <c r="N1841" i="1" a="1"/>
  <c r="N1842" i="1" a="1"/>
  <c r="N1843" i="1" a="1"/>
  <c r="N1844" i="1" a="1"/>
  <c r="O16" i="1" a="1"/>
  <c r="O17" i="1" a="1"/>
  <c r="O18" i="1" a="1"/>
  <c r="O19" i="1" a="1"/>
  <c r="O20" i="1" a="1"/>
  <c r="O21" i="1" a="1"/>
  <c r="O22" i="1" a="1"/>
  <c r="O23" i="1" a="1"/>
  <c r="O24" i="1" a="1"/>
  <c r="O25" i="1" a="1"/>
  <c r="O26" i="1" a="1"/>
  <c r="O27" i="1" a="1"/>
  <c r="O28" i="1" a="1"/>
  <c r="O29" i="1" a="1"/>
  <c r="O30" i="1" a="1"/>
  <c r="O31" i="1" a="1"/>
  <c r="O32" i="1" a="1"/>
  <c r="O33" i="1" a="1"/>
  <c r="O34" i="1" a="1"/>
  <c r="O35" i="1" a="1"/>
  <c r="O36" i="1" a="1"/>
  <c r="O37" i="1" a="1"/>
  <c r="O38" i="1" a="1"/>
  <c r="O39" i="1" a="1"/>
  <c r="O40" i="1" a="1"/>
  <c r="O41" i="1" a="1"/>
  <c r="O42" i="1" a="1"/>
  <c r="O43" i="1" a="1"/>
  <c r="O44" i="1" a="1"/>
  <c r="O45" i="1" a="1"/>
  <c r="O46" i="1" a="1"/>
  <c r="O47" i="1" a="1"/>
  <c r="O48" i="1" a="1"/>
  <c r="O49" i="1" a="1"/>
  <c r="O50" i="1" a="1"/>
  <c r="O51" i="1" a="1"/>
  <c r="O52" i="1" a="1"/>
  <c r="O53" i="1" a="1"/>
  <c r="O54" i="1" a="1"/>
  <c r="O55" i="1" a="1"/>
  <c r="O56" i="1" a="1"/>
  <c r="O57" i="1" a="1"/>
  <c r="O58" i="1" a="1"/>
  <c r="O59" i="1" a="1"/>
  <c r="O60" i="1" a="1"/>
  <c r="O61" i="1" a="1"/>
  <c r="O62" i="1" a="1"/>
  <c r="O63" i="1" a="1"/>
  <c r="O64" i="1" a="1"/>
  <c r="O65" i="1" a="1"/>
  <c r="O66" i="1" a="1"/>
  <c r="O67" i="1" a="1"/>
  <c r="O68" i="1" a="1"/>
  <c r="O69" i="1" a="1"/>
  <c r="O70" i="1" a="1"/>
  <c r="O71" i="1" a="1"/>
  <c r="O72" i="1" a="1"/>
  <c r="O73" i="1" a="1"/>
  <c r="O74" i="1" a="1"/>
  <c r="O75" i="1" a="1"/>
  <c r="O76" i="1" a="1"/>
  <c r="O77" i="1" a="1"/>
  <c r="O78" i="1" a="1"/>
  <c r="O79" i="1" a="1"/>
  <c r="O80" i="1" a="1"/>
  <c r="O81" i="1" a="1"/>
  <c r="O82" i="1" a="1"/>
  <c r="O83" i="1" a="1"/>
  <c r="O84" i="1" a="1"/>
  <c r="O85" i="1" a="1"/>
  <c r="O86" i="1" a="1"/>
  <c r="O87" i="1" a="1"/>
  <c r="O88" i="1" a="1"/>
  <c r="O89" i="1" a="1"/>
  <c r="O90" i="1" a="1"/>
  <c r="O91" i="1" a="1"/>
  <c r="O92" i="1" a="1"/>
  <c r="O93" i="1" a="1"/>
  <c r="O94" i="1" a="1"/>
  <c r="O95" i="1" a="1"/>
  <c r="O96" i="1" a="1"/>
  <c r="O97" i="1" a="1"/>
  <c r="O98" i="1" a="1"/>
  <c r="O99" i="1" a="1"/>
  <c r="O100" i="1" a="1"/>
  <c r="O101" i="1" a="1"/>
  <c r="O102" i="1" a="1"/>
  <c r="O103" i="1" a="1"/>
  <c r="O104" i="1" a="1"/>
  <c r="O105" i="1" a="1"/>
  <c r="O106" i="1" a="1"/>
  <c r="O107" i="1" a="1"/>
  <c r="O108" i="1" a="1"/>
  <c r="O109" i="1" a="1"/>
  <c r="O110" i="1" a="1"/>
  <c r="O111" i="1" a="1"/>
  <c r="O112" i="1" a="1"/>
  <c r="O113" i="1" a="1"/>
  <c r="O114" i="1" a="1"/>
  <c r="O115" i="1" a="1"/>
  <c r="O116" i="1" a="1"/>
  <c r="O117" i="1" a="1"/>
  <c r="O118" i="1" a="1"/>
  <c r="O119" i="1" a="1"/>
  <c r="O120" i="1" a="1"/>
  <c r="O121" i="1" a="1"/>
  <c r="O122" i="1" a="1"/>
  <c r="O123" i="1" a="1"/>
  <c r="O124" i="1" a="1"/>
  <c r="O125" i="1" a="1"/>
  <c r="O126" i="1" a="1"/>
  <c r="O127" i="1" a="1"/>
  <c r="O128" i="1" a="1"/>
  <c r="O129" i="1" a="1"/>
  <c r="O130" i="1" a="1"/>
  <c r="O131" i="1" a="1"/>
  <c r="O132" i="1" a="1"/>
  <c r="O133" i="1" a="1"/>
  <c r="O134" i="1" a="1"/>
  <c r="O135" i="1" a="1"/>
  <c r="O136" i="1" a="1"/>
  <c r="O137" i="1" a="1"/>
  <c r="O138" i="1" a="1"/>
  <c r="O139" i="1" a="1"/>
  <c r="O140" i="1" a="1"/>
  <c r="O141" i="1" a="1"/>
  <c r="O142" i="1" a="1"/>
  <c r="O143" i="1" a="1"/>
  <c r="O144" i="1" a="1"/>
  <c r="O145" i="1" a="1"/>
  <c r="O146" i="1" a="1"/>
  <c r="O147" i="1" a="1"/>
  <c r="O148" i="1" a="1"/>
  <c r="O149" i="1" a="1"/>
  <c r="O150" i="1" a="1"/>
  <c r="O151" i="1" a="1"/>
  <c r="O152" i="1" a="1"/>
  <c r="O153" i="1" a="1"/>
  <c r="O154" i="1" a="1"/>
  <c r="O155" i="1" a="1"/>
  <c r="O156" i="1" a="1"/>
  <c r="O157" i="1" a="1"/>
  <c r="O158" i="1" a="1"/>
  <c r="O159" i="1" a="1"/>
  <c r="O160" i="1" a="1"/>
  <c r="O161" i="1" a="1"/>
  <c r="O162" i="1" a="1"/>
  <c r="O163" i="1" a="1"/>
  <c r="O164" i="1" a="1"/>
  <c r="O165" i="1" a="1"/>
  <c r="O166" i="1" a="1"/>
  <c r="O167" i="1" a="1"/>
  <c r="O168" i="1" a="1"/>
  <c r="O169" i="1" a="1"/>
  <c r="O170" i="1" a="1"/>
  <c r="O171" i="1" a="1"/>
  <c r="O172" i="1" a="1"/>
  <c r="O173" i="1" a="1"/>
  <c r="O174" i="1" a="1"/>
  <c r="O175" i="1" a="1"/>
  <c r="O176" i="1" a="1"/>
  <c r="O177" i="1" a="1"/>
  <c r="O178" i="1" a="1"/>
  <c r="O179" i="1" a="1"/>
  <c r="O180" i="1" a="1"/>
  <c r="O181" i="1" a="1"/>
  <c r="O182" i="1" a="1"/>
  <c r="O183" i="1" a="1"/>
  <c r="O184" i="1" a="1"/>
  <c r="O185" i="1" a="1"/>
  <c r="O186" i="1" a="1"/>
  <c r="O187" i="1" a="1"/>
  <c r="O188" i="1" a="1"/>
  <c r="O189" i="1" a="1"/>
  <c r="O190" i="1" a="1"/>
  <c r="O191" i="1" a="1"/>
  <c r="O192" i="1" a="1"/>
  <c r="O193" i="1" a="1"/>
  <c r="O194" i="1" a="1"/>
  <c r="O195" i="1" a="1"/>
  <c r="O196" i="1" a="1"/>
  <c r="O197" i="1" a="1"/>
  <c r="O198" i="1" a="1"/>
  <c r="O199" i="1" a="1"/>
  <c r="O200" i="1" a="1"/>
  <c r="O201" i="1" a="1"/>
  <c r="O202" i="1" a="1"/>
  <c r="O203" i="1" a="1"/>
  <c r="O204" i="1" a="1"/>
  <c r="O205" i="1" a="1"/>
  <c r="O206" i="1" a="1"/>
  <c r="O207" i="1" a="1"/>
  <c r="O208" i="1" a="1"/>
  <c r="O209" i="1" a="1"/>
  <c r="O210" i="1" a="1"/>
  <c r="O211" i="1" a="1"/>
  <c r="O212" i="1" a="1"/>
  <c r="O213" i="1" a="1"/>
  <c r="O214" i="1" a="1"/>
  <c r="O215" i="1" a="1"/>
  <c r="O216" i="1" a="1"/>
  <c r="O217" i="1" a="1"/>
  <c r="O218" i="1" a="1"/>
  <c r="O219" i="1" a="1"/>
  <c r="O220" i="1" a="1"/>
  <c r="O221" i="1" a="1"/>
  <c r="O222" i="1" a="1"/>
  <c r="O223" i="1" a="1"/>
  <c r="O224" i="1" a="1"/>
  <c r="O225" i="1" a="1"/>
  <c r="O226" i="1" a="1"/>
  <c r="O227" i="1" a="1"/>
  <c r="O228" i="1" a="1"/>
  <c r="O229" i="1" a="1"/>
  <c r="O230" i="1" a="1"/>
  <c r="O231" i="1" a="1"/>
  <c r="O232" i="1" a="1"/>
  <c r="O233" i="1" a="1"/>
  <c r="O234" i="1" a="1"/>
  <c r="O235" i="1" a="1"/>
  <c r="O236" i="1" a="1"/>
  <c r="O237" i="1" a="1"/>
  <c r="O238" i="1" a="1"/>
  <c r="O239" i="1" a="1"/>
  <c r="O240" i="1" a="1"/>
  <c r="O241" i="1" a="1"/>
  <c r="O242" i="1" a="1"/>
  <c r="O243" i="1" a="1"/>
  <c r="O244" i="1" a="1"/>
  <c r="O245" i="1" a="1"/>
  <c r="O246" i="1" a="1"/>
  <c r="O247" i="1" a="1"/>
  <c r="O248" i="1" a="1"/>
  <c r="O249" i="1" a="1"/>
  <c r="O250" i="1" a="1"/>
  <c r="O251" i="1" a="1"/>
  <c r="O252" i="1" a="1"/>
  <c r="O253" i="1" a="1"/>
  <c r="O254" i="1" a="1"/>
  <c r="O255" i="1" a="1"/>
  <c r="O256" i="1" a="1"/>
  <c r="O257" i="1" a="1"/>
  <c r="O258" i="1" a="1"/>
  <c r="O259" i="1" a="1"/>
  <c r="O260" i="1" a="1"/>
  <c r="O261" i="1" a="1"/>
  <c r="O262" i="1" a="1"/>
  <c r="O263" i="1" a="1"/>
  <c r="O264" i="1" a="1"/>
  <c r="O265" i="1" a="1"/>
  <c r="O266" i="1" a="1"/>
  <c r="O267" i="1" a="1"/>
  <c r="O268" i="1" a="1"/>
  <c r="O269" i="1" a="1"/>
  <c r="O270" i="1" a="1"/>
  <c r="O271" i="1" a="1"/>
  <c r="O272" i="1" a="1"/>
  <c r="O273" i="1" a="1"/>
  <c r="O274" i="1" a="1"/>
  <c r="O275" i="1" a="1"/>
  <c r="O276" i="1" a="1"/>
  <c r="O277" i="1" a="1"/>
  <c r="O278" i="1" a="1"/>
  <c r="O279" i="1" a="1"/>
  <c r="O280" i="1" a="1"/>
  <c r="O281" i="1" a="1"/>
  <c r="O282" i="1" a="1"/>
  <c r="O283" i="1" a="1"/>
  <c r="O284" i="1" a="1"/>
  <c r="O285" i="1" a="1"/>
  <c r="O286" i="1" a="1"/>
  <c r="O287" i="1" a="1"/>
  <c r="O288" i="1" a="1"/>
  <c r="O289" i="1" a="1"/>
  <c r="O290" i="1" a="1"/>
  <c r="O291" i="1" a="1"/>
  <c r="O292" i="1" a="1"/>
  <c r="O293" i="1" a="1"/>
  <c r="O294" i="1" a="1"/>
  <c r="O295" i="1" a="1"/>
  <c r="O296" i="1" a="1"/>
  <c r="O297" i="1" a="1"/>
  <c r="O298" i="1" a="1"/>
  <c r="O299" i="1" a="1"/>
  <c r="O300" i="1" a="1"/>
  <c r="O301" i="1" a="1"/>
  <c r="O302" i="1" a="1"/>
  <c r="O303" i="1" a="1"/>
  <c r="O304" i="1" a="1"/>
  <c r="O305" i="1" a="1"/>
  <c r="O306" i="1" a="1"/>
  <c r="O307" i="1" a="1"/>
  <c r="O308" i="1" a="1"/>
  <c r="O309" i="1" a="1"/>
  <c r="O310" i="1" a="1"/>
  <c r="O311" i="1" a="1"/>
  <c r="O312" i="1" a="1"/>
  <c r="O313" i="1" a="1"/>
  <c r="O314" i="1" a="1"/>
  <c r="O315" i="1" a="1"/>
  <c r="O316" i="1" a="1"/>
  <c r="O317" i="1" a="1"/>
  <c r="O318" i="1" a="1"/>
  <c r="O319" i="1" a="1"/>
  <c r="O320" i="1" a="1"/>
  <c r="O321" i="1" a="1"/>
  <c r="O322" i="1" a="1"/>
  <c r="O323" i="1" a="1"/>
  <c r="O324" i="1" a="1"/>
  <c r="O325" i="1" a="1"/>
  <c r="O326" i="1" a="1"/>
  <c r="O327" i="1" a="1"/>
  <c r="O328" i="1" a="1"/>
  <c r="O329" i="1" a="1"/>
  <c r="O330" i="1" a="1"/>
  <c r="O331" i="1" a="1"/>
  <c r="O332" i="1" a="1"/>
  <c r="O333" i="1" a="1"/>
  <c r="O334" i="1" a="1"/>
  <c r="O335" i="1" a="1"/>
  <c r="O336" i="1" a="1"/>
  <c r="O337" i="1" a="1"/>
  <c r="O338" i="1" a="1"/>
  <c r="O339" i="1" a="1"/>
  <c r="O340" i="1" a="1"/>
  <c r="O341" i="1" a="1"/>
  <c r="O342" i="1" a="1"/>
  <c r="O343" i="1" a="1"/>
  <c r="O344" i="1" a="1"/>
  <c r="O345" i="1" a="1"/>
  <c r="O346" i="1" a="1"/>
  <c r="O347" i="1" a="1"/>
  <c r="O348" i="1" a="1"/>
  <c r="O349" i="1" a="1"/>
  <c r="O350" i="1" a="1"/>
  <c r="O351" i="1" a="1"/>
  <c r="O352" i="1" a="1"/>
  <c r="O353" i="1" a="1"/>
  <c r="O354" i="1" a="1"/>
  <c r="O355" i="1" a="1"/>
  <c r="O356" i="1" a="1"/>
  <c r="O357" i="1" a="1"/>
  <c r="O358" i="1" a="1"/>
  <c r="O359" i="1" a="1"/>
  <c r="O360" i="1" a="1"/>
  <c r="O361" i="1" a="1"/>
  <c r="O362" i="1" a="1"/>
  <c r="O363" i="1" a="1"/>
  <c r="O364" i="1" a="1"/>
  <c r="O365" i="1" a="1"/>
  <c r="O366" i="1" a="1"/>
  <c r="O367" i="1" a="1"/>
  <c r="O368" i="1" a="1"/>
  <c r="O369" i="1" a="1"/>
  <c r="O370" i="1" a="1"/>
  <c r="O371" i="1" a="1"/>
  <c r="O372" i="1" a="1"/>
  <c r="O373" i="1" a="1"/>
  <c r="O374" i="1" a="1"/>
  <c r="O375" i="1" a="1"/>
  <c r="O376" i="1" a="1"/>
  <c r="O377" i="1" a="1"/>
  <c r="O378" i="1" a="1"/>
  <c r="O379" i="1" a="1"/>
  <c r="O380" i="1" a="1"/>
  <c r="O381" i="1" a="1"/>
  <c r="O382" i="1" a="1"/>
  <c r="O383" i="1" a="1"/>
  <c r="O384" i="1" a="1"/>
  <c r="O385" i="1" a="1"/>
  <c r="O386" i="1" a="1"/>
  <c r="O387" i="1" a="1"/>
  <c r="O388" i="1" a="1"/>
  <c r="O389" i="1" a="1"/>
  <c r="O390" i="1" a="1"/>
  <c r="O391" i="1" a="1"/>
  <c r="O392" i="1" a="1"/>
  <c r="O393" i="1" a="1"/>
  <c r="O394" i="1" a="1"/>
  <c r="O395" i="1" a="1"/>
  <c r="O396" i="1" a="1"/>
  <c r="O397" i="1" a="1"/>
  <c r="O398" i="1" a="1"/>
  <c r="O399" i="1" a="1"/>
  <c r="O400" i="1" a="1"/>
  <c r="O401" i="1" a="1"/>
  <c r="O402" i="1" a="1"/>
  <c r="O403" i="1" a="1"/>
  <c r="O404" i="1" a="1"/>
  <c r="O405" i="1" a="1"/>
  <c r="O406" i="1" a="1"/>
  <c r="O407" i="1" a="1"/>
  <c r="O408" i="1" a="1"/>
  <c r="O409" i="1" a="1"/>
  <c r="O410" i="1" a="1"/>
  <c r="O411" i="1" a="1"/>
  <c r="O412" i="1" a="1"/>
  <c r="O413" i="1" a="1"/>
  <c r="O414" i="1" a="1"/>
  <c r="O415" i="1" a="1"/>
  <c r="O416" i="1" a="1"/>
  <c r="O417" i="1" a="1"/>
  <c r="O418" i="1" a="1"/>
  <c r="O419" i="1" a="1"/>
  <c r="O420" i="1" a="1"/>
  <c r="O421" i="1" a="1"/>
  <c r="O422" i="1" a="1"/>
  <c r="O423" i="1" a="1"/>
  <c r="O424" i="1" a="1"/>
  <c r="O425" i="1" a="1"/>
  <c r="O426" i="1" a="1"/>
  <c r="O427" i="1" a="1"/>
  <c r="O428" i="1" a="1"/>
  <c r="O429" i="1" a="1"/>
  <c r="O430" i="1" a="1"/>
  <c r="O431" i="1" a="1"/>
  <c r="O432" i="1" a="1"/>
  <c r="O433" i="1" a="1"/>
  <c r="O434" i="1" a="1"/>
  <c r="O435" i="1" a="1"/>
  <c r="O436" i="1" a="1"/>
  <c r="O437" i="1" a="1"/>
  <c r="O438" i="1" a="1"/>
  <c r="O439" i="1" a="1"/>
  <c r="O440" i="1" a="1"/>
  <c r="O441" i="1" a="1"/>
  <c r="O442" i="1" a="1"/>
  <c r="O443" i="1" a="1"/>
  <c r="O444" i="1" a="1"/>
  <c r="O445" i="1" a="1"/>
  <c r="O446" i="1" a="1"/>
  <c r="O447" i="1" a="1"/>
  <c r="O448" i="1" a="1"/>
  <c r="O449" i="1" a="1"/>
  <c r="O450" i="1" a="1"/>
  <c r="O451" i="1" a="1"/>
  <c r="O452" i="1" a="1"/>
  <c r="O453" i="1" a="1"/>
  <c r="O454" i="1" a="1"/>
  <c r="O455" i="1" a="1"/>
  <c r="O456" i="1" a="1"/>
  <c r="O457" i="1" a="1"/>
  <c r="O458" i="1" a="1"/>
  <c r="O459" i="1" a="1"/>
  <c r="O460" i="1" a="1"/>
  <c r="O461" i="1" a="1"/>
  <c r="O462" i="1" a="1"/>
  <c r="O463" i="1" a="1"/>
  <c r="O464" i="1" a="1"/>
  <c r="O465" i="1" a="1"/>
  <c r="O466" i="1" a="1"/>
  <c r="O467" i="1" a="1"/>
  <c r="O468" i="1" a="1"/>
  <c r="O469" i="1" a="1"/>
  <c r="O470" i="1" a="1"/>
  <c r="O471" i="1" a="1"/>
  <c r="O472" i="1" a="1"/>
  <c r="O473" i="1" a="1"/>
  <c r="O474" i="1" a="1"/>
  <c r="O475" i="1" a="1"/>
  <c r="O476" i="1" a="1"/>
  <c r="O477" i="1" a="1"/>
  <c r="O478" i="1" a="1"/>
  <c r="O479" i="1" a="1"/>
  <c r="O480" i="1" a="1"/>
  <c r="O481" i="1" a="1"/>
  <c r="O482" i="1" a="1"/>
  <c r="O483" i="1" a="1"/>
  <c r="O484" i="1" a="1"/>
  <c r="O485" i="1" a="1"/>
  <c r="O486" i="1" a="1"/>
  <c r="O487" i="1" a="1"/>
  <c r="O488" i="1" a="1"/>
  <c r="O489" i="1" a="1"/>
  <c r="O490" i="1" a="1"/>
  <c r="O491" i="1" a="1"/>
  <c r="O492" i="1" a="1"/>
  <c r="O493" i="1" a="1"/>
  <c r="O494" i="1" a="1"/>
  <c r="O495" i="1" a="1"/>
  <c r="O496" i="1" a="1"/>
  <c r="O497" i="1" a="1"/>
  <c r="O498" i="1" a="1"/>
  <c r="O499" i="1" a="1"/>
  <c r="O500" i="1" a="1"/>
  <c r="O501" i="1" a="1"/>
  <c r="O502" i="1" a="1"/>
  <c r="O503" i="1" a="1"/>
  <c r="O504" i="1" a="1"/>
  <c r="O505" i="1" a="1"/>
  <c r="O506" i="1" a="1"/>
  <c r="O507" i="1" a="1"/>
  <c r="O508" i="1" a="1"/>
  <c r="O509" i="1" a="1"/>
  <c r="O510" i="1" a="1"/>
  <c r="O511" i="1" a="1"/>
  <c r="O512" i="1" a="1"/>
  <c r="O513" i="1" a="1"/>
  <c r="O514" i="1" a="1"/>
  <c r="O515" i="1" a="1"/>
  <c r="O516" i="1" a="1"/>
  <c r="O517" i="1" a="1"/>
  <c r="O518" i="1" a="1"/>
  <c r="O519" i="1" a="1"/>
  <c r="O520" i="1" a="1"/>
  <c r="O521" i="1" a="1"/>
  <c r="O522" i="1" a="1"/>
  <c r="O523" i="1" a="1"/>
  <c r="O524" i="1" a="1"/>
  <c r="O525" i="1" a="1"/>
  <c r="O526" i="1" a="1"/>
  <c r="O527" i="1" a="1"/>
  <c r="O528" i="1" a="1"/>
  <c r="O529" i="1" a="1"/>
  <c r="O530" i="1" a="1"/>
  <c r="O531" i="1" a="1"/>
  <c r="O532" i="1" a="1"/>
  <c r="O533" i="1" a="1"/>
  <c r="O534" i="1" a="1"/>
  <c r="O535" i="1" a="1"/>
  <c r="O536" i="1" a="1"/>
  <c r="O537" i="1" a="1"/>
  <c r="O538" i="1" a="1"/>
  <c r="O539" i="1" a="1"/>
  <c r="O540" i="1" a="1"/>
  <c r="O541" i="1" a="1"/>
  <c r="O542" i="1" a="1"/>
  <c r="O543" i="1" a="1"/>
  <c r="O544" i="1" a="1"/>
  <c r="O545" i="1" a="1"/>
  <c r="O546" i="1" a="1"/>
  <c r="O547" i="1" a="1"/>
  <c r="O548" i="1" a="1"/>
  <c r="O549" i="1" a="1"/>
  <c r="O550" i="1" a="1"/>
  <c r="O551" i="1" a="1"/>
  <c r="O552" i="1" a="1"/>
  <c r="O553" i="1" a="1"/>
  <c r="O554" i="1" a="1"/>
  <c r="O555" i="1" a="1"/>
  <c r="O556" i="1" a="1"/>
  <c r="O557" i="1" a="1"/>
  <c r="O558" i="1" a="1"/>
  <c r="O559" i="1" a="1"/>
  <c r="O560" i="1" a="1"/>
  <c r="O561" i="1" a="1"/>
  <c r="O562" i="1" a="1"/>
  <c r="O563" i="1" a="1"/>
  <c r="O564" i="1" a="1"/>
  <c r="O565" i="1" a="1"/>
  <c r="O566" i="1" a="1"/>
  <c r="O567" i="1" a="1"/>
  <c r="O568" i="1" a="1"/>
  <c r="O569" i="1" a="1"/>
  <c r="O570" i="1" a="1"/>
  <c r="O571" i="1" a="1"/>
  <c r="O572" i="1" a="1"/>
  <c r="O573" i="1" a="1"/>
  <c r="O574" i="1" a="1"/>
  <c r="O575" i="1" a="1"/>
  <c r="O576" i="1" a="1"/>
  <c r="O577" i="1" a="1"/>
  <c r="O578" i="1" a="1"/>
  <c r="O579" i="1" a="1"/>
  <c r="O580" i="1" a="1"/>
  <c r="O581" i="1" a="1"/>
  <c r="O582" i="1" a="1"/>
  <c r="O583" i="1" a="1"/>
  <c r="O584" i="1" a="1"/>
  <c r="O585" i="1" a="1"/>
  <c r="O586" i="1" a="1"/>
  <c r="O587" i="1" a="1"/>
  <c r="O588" i="1" a="1"/>
  <c r="O589" i="1" a="1"/>
  <c r="O590" i="1" a="1"/>
  <c r="O591" i="1" a="1"/>
  <c r="O592" i="1" a="1"/>
  <c r="O593" i="1" a="1"/>
  <c r="O594" i="1" a="1"/>
  <c r="O595" i="1" a="1"/>
  <c r="O596" i="1" a="1"/>
  <c r="O597" i="1" a="1"/>
  <c r="O598" i="1" a="1"/>
  <c r="O599" i="1" a="1"/>
  <c r="O600" i="1" a="1"/>
  <c r="O601" i="1" a="1"/>
  <c r="O602" i="1" a="1"/>
  <c r="O603" i="1" a="1"/>
  <c r="O604" i="1" a="1"/>
  <c r="O605" i="1" a="1"/>
  <c r="O606" i="1" a="1"/>
  <c r="O607" i="1" a="1"/>
  <c r="O608" i="1" a="1"/>
  <c r="O609" i="1" a="1"/>
  <c r="O610" i="1" a="1"/>
  <c r="O611" i="1" a="1"/>
  <c r="O612" i="1" a="1"/>
  <c r="O613" i="1" a="1"/>
  <c r="O614" i="1" a="1"/>
  <c r="O615" i="1" a="1"/>
  <c r="O616" i="1" a="1"/>
  <c r="O617" i="1" a="1"/>
  <c r="O618" i="1" a="1"/>
  <c r="O619" i="1" a="1"/>
  <c r="O620" i="1" a="1"/>
  <c r="O621" i="1" a="1"/>
  <c r="O622" i="1" a="1"/>
  <c r="O623" i="1" a="1"/>
  <c r="O624" i="1" a="1"/>
  <c r="O625" i="1" a="1"/>
  <c r="O626" i="1" a="1"/>
  <c r="O627" i="1" a="1"/>
  <c r="O628" i="1" a="1"/>
  <c r="O629" i="1" a="1"/>
  <c r="O630" i="1" a="1"/>
  <c r="O631" i="1" a="1"/>
  <c r="O632" i="1" a="1"/>
  <c r="O633" i="1" a="1"/>
  <c r="O634" i="1" a="1"/>
  <c r="O635" i="1" a="1"/>
  <c r="O636" i="1" a="1"/>
  <c r="O637" i="1" a="1"/>
  <c r="O638" i="1" a="1"/>
  <c r="O639" i="1" a="1"/>
  <c r="O640" i="1" a="1"/>
  <c r="O641" i="1" a="1"/>
  <c r="O642" i="1" a="1"/>
  <c r="O643" i="1" a="1"/>
  <c r="O644" i="1" a="1"/>
  <c r="O645" i="1" a="1"/>
  <c r="O646" i="1" a="1"/>
  <c r="O647" i="1" a="1"/>
  <c r="O648" i="1" a="1"/>
  <c r="O649" i="1" a="1"/>
  <c r="O650" i="1" a="1"/>
  <c r="O651" i="1" a="1"/>
  <c r="O652" i="1" a="1"/>
  <c r="O653" i="1" a="1"/>
  <c r="O654" i="1" a="1"/>
  <c r="O655" i="1" a="1"/>
  <c r="O656" i="1" a="1"/>
  <c r="O657" i="1" a="1"/>
  <c r="O658" i="1" a="1"/>
  <c r="O659" i="1" a="1"/>
  <c r="O660" i="1" a="1"/>
  <c r="O661" i="1" a="1"/>
  <c r="O662" i="1" a="1"/>
  <c r="O663" i="1" a="1"/>
  <c r="O664" i="1" a="1"/>
  <c r="O665" i="1" a="1"/>
  <c r="O666" i="1" a="1"/>
  <c r="O667" i="1" a="1"/>
  <c r="O668" i="1" a="1"/>
  <c r="O669" i="1" a="1"/>
  <c r="O670" i="1" a="1"/>
  <c r="O671" i="1" a="1"/>
  <c r="O672" i="1" a="1"/>
  <c r="O673" i="1" a="1"/>
  <c r="O674" i="1" a="1"/>
  <c r="O675" i="1" a="1"/>
  <c r="O676" i="1" a="1"/>
  <c r="O677" i="1" a="1"/>
  <c r="O678" i="1" a="1"/>
  <c r="O679" i="1" a="1"/>
  <c r="O680" i="1" a="1"/>
  <c r="O681" i="1" a="1"/>
  <c r="O682" i="1" a="1"/>
  <c r="O683" i="1" a="1"/>
  <c r="O684" i="1" a="1"/>
  <c r="O685" i="1" a="1"/>
  <c r="O686" i="1" a="1"/>
  <c r="O687" i="1" a="1"/>
  <c r="O688" i="1" a="1"/>
  <c r="O689" i="1" a="1"/>
  <c r="O690" i="1" a="1"/>
  <c r="O691" i="1" a="1"/>
  <c r="O692" i="1" a="1"/>
  <c r="O693" i="1" a="1"/>
  <c r="O694" i="1" a="1"/>
  <c r="O695" i="1" a="1"/>
  <c r="O696" i="1" a="1"/>
  <c r="O697" i="1" a="1"/>
  <c r="O698" i="1" a="1"/>
  <c r="O699" i="1" a="1"/>
  <c r="O700" i="1" a="1"/>
  <c r="O701" i="1" a="1"/>
  <c r="O702" i="1" a="1"/>
  <c r="O703" i="1" a="1"/>
  <c r="O704" i="1" a="1"/>
  <c r="O705" i="1" a="1"/>
  <c r="O706" i="1" a="1"/>
  <c r="O707" i="1" a="1"/>
  <c r="O708" i="1" a="1"/>
  <c r="O709" i="1" a="1"/>
  <c r="O710" i="1" a="1"/>
  <c r="O711" i="1" a="1"/>
  <c r="O712" i="1" a="1"/>
  <c r="O713" i="1" a="1"/>
  <c r="O714" i="1" a="1"/>
  <c r="O715" i="1" a="1"/>
  <c r="O716" i="1" a="1"/>
  <c r="O717" i="1" a="1"/>
  <c r="O718" i="1" a="1"/>
  <c r="O719" i="1" a="1"/>
  <c r="O720" i="1" a="1"/>
  <c r="O721" i="1" a="1"/>
  <c r="O722" i="1" a="1"/>
  <c r="O723" i="1" a="1"/>
  <c r="O724" i="1" a="1"/>
  <c r="O725" i="1" a="1"/>
  <c r="O726" i="1" a="1"/>
  <c r="O727" i="1" a="1"/>
  <c r="O728" i="1" a="1"/>
  <c r="O729" i="1" a="1"/>
  <c r="O730" i="1" a="1"/>
  <c r="O731" i="1" a="1"/>
  <c r="O732" i="1" a="1"/>
  <c r="O733" i="1" a="1"/>
  <c r="O734" i="1" a="1"/>
  <c r="O735" i="1" a="1"/>
  <c r="O736" i="1" a="1"/>
  <c r="O737" i="1" a="1"/>
  <c r="O738" i="1" a="1"/>
  <c r="O739" i="1" a="1"/>
  <c r="O740" i="1" a="1"/>
  <c r="O741" i="1" a="1"/>
  <c r="O742" i="1" a="1"/>
  <c r="O743" i="1" a="1"/>
  <c r="O744" i="1" a="1"/>
  <c r="O745" i="1" a="1"/>
  <c r="O746" i="1" a="1"/>
  <c r="O747" i="1" a="1"/>
  <c r="O748" i="1" a="1"/>
  <c r="O749" i="1" a="1"/>
  <c r="O750" i="1" a="1"/>
  <c r="O751" i="1" a="1"/>
  <c r="O752" i="1" a="1"/>
  <c r="O753" i="1" a="1"/>
  <c r="O754" i="1" a="1"/>
  <c r="O755" i="1" a="1"/>
  <c r="O756" i="1" a="1"/>
  <c r="O757" i="1" a="1"/>
  <c r="O758" i="1" a="1"/>
  <c r="O759" i="1" a="1"/>
  <c r="O760" i="1" a="1"/>
  <c r="O761" i="1" a="1"/>
  <c r="O762" i="1" a="1"/>
  <c r="O763" i="1" a="1"/>
  <c r="O764" i="1" a="1"/>
  <c r="O765" i="1" a="1"/>
  <c r="O766" i="1" a="1"/>
  <c r="O767" i="1" a="1"/>
  <c r="O768" i="1" a="1"/>
  <c r="O769" i="1" a="1"/>
  <c r="O770" i="1" a="1"/>
  <c r="O771" i="1" a="1"/>
  <c r="O772" i="1" a="1"/>
  <c r="O773" i="1" a="1"/>
  <c r="O774" i="1" a="1"/>
  <c r="O775" i="1" a="1"/>
  <c r="O776" i="1" a="1"/>
  <c r="O777" i="1" a="1"/>
  <c r="O778" i="1" a="1"/>
  <c r="O779" i="1" a="1"/>
  <c r="O780" i="1" a="1"/>
  <c r="O781" i="1" a="1"/>
  <c r="O782" i="1" a="1"/>
  <c r="O783" i="1" a="1"/>
  <c r="O784" i="1" a="1"/>
  <c r="O785" i="1" a="1"/>
  <c r="O786" i="1" a="1"/>
  <c r="O787" i="1" a="1"/>
  <c r="O788" i="1" a="1"/>
  <c r="O789" i="1" a="1"/>
  <c r="O790" i="1" a="1"/>
  <c r="O791" i="1" a="1"/>
  <c r="O792" i="1" a="1"/>
  <c r="O793" i="1" a="1"/>
  <c r="O794" i="1" a="1"/>
  <c r="O795" i="1" a="1"/>
  <c r="O796" i="1" a="1"/>
  <c r="O797" i="1" a="1"/>
  <c r="O798" i="1" a="1"/>
  <c r="O799" i="1" a="1"/>
  <c r="O800" i="1" a="1"/>
  <c r="O801" i="1" a="1"/>
  <c r="O802" i="1" a="1"/>
  <c r="O803" i="1" a="1"/>
  <c r="O804" i="1" a="1"/>
  <c r="O805" i="1" a="1"/>
  <c r="O806" i="1" a="1"/>
  <c r="O807" i="1" a="1"/>
  <c r="O808" i="1" a="1"/>
  <c r="O809" i="1" a="1"/>
  <c r="O810" i="1" a="1"/>
  <c r="O811" i="1" a="1"/>
  <c r="O812" i="1" a="1"/>
  <c r="O813" i="1" a="1"/>
  <c r="O814" i="1" a="1"/>
  <c r="O815" i="1" a="1"/>
  <c r="O816" i="1" a="1"/>
  <c r="O817" i="1" a="1"/>
  <c r="O818" i="1" a="1"/>
  <c r="O819" i="1" a="1"/>
  <c r="O820" i="1" a="1"/>
  <c r="O821" i="1" a="1"/>
  <c r="O822" i="1" a="1"/>
  <c r="O823" i="1" a="1"/>
  <c r="O824" i="1" a="1"/>
  <c r="O825" i="1" a="1"/>
  <c r="O826" i="1" a="1"/>
  <c r="O827" i="1" a="1"/>
  <c r="O828" i="1" a="1"/>
  <c r="O829" i="1" a="1"/>
  <c r="O830" i="1" a="1"/>
  <c r="O831" i="1" a="1"/>
  <c r="O832" i="1" a="1"/>
  <c r="O833" i="1" a="1"/>
  <c r="O834" i="1" a="1"/>
  <c r="O835" i="1" a="1"/>
  <c r="O836" i="1" a="1"/>
  <c r="O837" i="1" a="1"/>
  <c r="O838" i="1" a="1"/>
  <c r="O839" i="1" a="1"/>
  <c r="O840" i="1" a="1"/>
  <c r="O841" i="1" a="1"/>
  <c r="O842" i="1" a="1"/>
  <c r="O843" i="1" a="1"/>
  <c r="O844" i="1" a="1"/>
  <c r="O845" i="1" a="1"/>
  <c r="O846" i="1" a="1"/>
  <c r="O847" i="1" a="1"/>
  <c r="O848" i="1" a="1"/>
  <c r="O849" i="1" a="1"/>
  <c r="O850" i="1" a="1"/>
  <c r="O851" i="1" a="1"/>
  <c r="O852" i="1" a="1"/>
  <c r="O853" i="1" a="1"/>
  <c r="O854" i="1" a="1"/>
  <c r="O855" i="1" a="1"/>
  <c r="O856" i="1" a="1"/>
  <c r="O857" i="1" a="1"/>
  <c r="O858" i="1" a="1"/>
  <c r="O859" i="1" a="1"/>
  <c r="O860" i="1" a="1"/>
  <c r="O861" i="1" a="1"/>
  <c r="O862" i="1" a="1"/>
  <c r="O863" i="1" a="1"/>
  <c r="O864" i="1" a="1"/>
  <c r="O865" i="1" a="1"/>
  <c r="O866" i="1" a="1"/>
  <c r="O867" i="1" a="1"/>
  <c r="O868" i="1" a="1"/>
  <c r="O869" i="1" a="1"/>
  <c r="O870" i="1" a="1"/>
  <c r="O871" i="1" a="1"/>
  <c r="O872" i="1" a="1"/>
  <c r="O873" i="1" a="1"/>
  <c r="O874" i="1" a="1"/>
  <c r="O875" i="1" a="1"/>
  <c r="O876" i="1" a="1"/>
  <c r="O877" i="1" a="1"/>
  <c r="O878" i="1" a="1"/>
  <c r="O879" i="1" a="1"/>
  <c r="O880" i="1" a="1"/>
  <c r="O881" i="1" a="1"/>
  <c r="O882" i="1" a="1"/>
  <c r="O883" i="1" a="1"/>
  <c r="O884" i="1" a="1"/>
  <c r="O885" i="1" a="1"/>
  <c r="O886" i="1" a="1"/>
  <c r="O887" i="1" a="1"/>
  <c r="O888" i="1" a="1"/>
  <c r="O889" i="1" a="1"/>
  <c r="O890" i="1" a="1"/>
  <c r="O891" i="1" a="1"/>
  <c r="O892" i="1" a="1"/>
  <c r="O893" i="1" a="1"/>
  <c r="O894" i="1" a="1"/>
  <c r="O895" i="1" a="1"/>
  <c r="O896" i="1" a="1"/>
  <c r="O897" i="1" a="1"/>
  <c r="O898" i="1" a="1"/>
  <c r="O899" i="1" a="1"/>
  <c r="O900" i="1" a="1"/>
  <c r="O901" i="1" a="1"/>
  <c r="O902" i="1" a="1"/>
  <c r="O903" i="1" a="1"/>
  <c r="O904" i="1" a="1"/>
  <c r="O905" i="1" a="1"/>
  <c r="O906" i="1" a="1"/>
  <c r="O907" i="1" a="1"/>
  <c r="O908" i="1" a="1"/>
  <c r="O909" i="1" a="1"/>
  <c r="O910" i="1" a="1"/>
  <c r="O911" i="1" a="1"/>
  <c r="O912" i="1" a="1"/>
  <c r="O913" i="1" a="1"/>
  <c r="O914" i="1" a="1"/>
  <c r="O915" i="1" a="1"/>
  <c r="O916" i="1" a="1"/>
  <c r="O917" i="1" a="1"/>
  <c r="O918" i="1" a="1"/>
  <c r="O919" i="1" a="1"/>
  <c r="O920" i="1" a="1"/>
  <c r="O921" i="1" a="1"/>
  <c r="O922" i="1" a="1"/>
  <c r="O923" i="1" a="1"/>
  <c r="O924" i="1" a="1"/>
  <c r="O925" i="1" a="1"/>
  <c r="O926" i="1" a="1"/>
  <c r="O927" i="1" a="1"/>
  <c r="O928" i="1" a="1"/>
  <c r="O929" i="1" a="1"/>
  <c r="O930" i="1" a="1"/>
  <c r="O931" i="1" a="1"/>
  <c r="O932" i="1" a="1"/>
  <c r="O933" i="1" a="1"/>
  <c r="O934" i="1" a="1"/>
  <c r="O935" i="1" a="1"/>
  <c r="O936" i="1" a="1"/>
  <c r="O937" i="1" a="1"/>
  <c r="O938" i="1" a="1"/>
  <c r="O939" i="1" a="1"/>
  <c r="O940" i="1" a="1"/>
  <c r="O941" i="1" a="1"/>
  <c r="O942" i="1" a="1"/>
  <c r="O943" i="1" a="1"/>
  <c r="O944" i="1" a="1"/>
  <c r="O945" i="1" a="1"/>
  <c r="O946" i="1" a="1"/>
  <c r="O947" i="1" a="1"/>
  <c r="O948" i="1" a="1"/>
  <c r="O949" i="1" a="1"/>
  <c r="O950" i="1" a="1"/>
  <c r="O951" i="1" a="1"/>
  <c r="O952" i="1" a="1"/>
  <c r="O953" i="1" a="1"/>
  <c r="O954" i="1" a="1"/>
  <c r="O955" i="1" a="1"/>
  <c r="O956" i="1" a="1"/>
  <c r="O957" i="1" a="1"/>
  <c r="O958" i="1" a="1"/>
  <c r="O959" i="1" a="1"/>
  <c r="O960" i="1" a="1"/>
  <c r="O961" i="1" a="1"/>
  <c r="O962" i="1" a="1"/>
  <c r="O963" i="1" a="1"/>
  <c r="O964" i="1" a="1"/>
  <c r="O965" i="1" a="1"/>
  <c r="O966" i="1" a="1"/>
  <c r="O967" i="1" a="1"/>
  <c r="O968" i="1" a="1"/>
  <c r="O969" i="1" a="1"/>
  <c r="O970" i="1" a="1"/>
  <c r="O971" i="1" a="1"/>
  <c r="O972" i="1" a="1"/>
  <c r="O973" i="1" a="1"/>
  <c r="O974" i="1" a="1"/>
  <c r="O975" i="1" a="1"/>
  <c r="O976" i="1" a="1"/>
  <c r="O977" i="1" a="1"/>
  <c r="O978" i="1" a="1"/>
  <c r="O979" i="1" a="1"/>
  <c r="O980" i="1" a="1"/>
  <c r="O981" i="1" a="1"/>
  <c r="O982" i="1" a="1"/>
  <c r="O983" i="1" a="1"/>
  <c r="O984" i="1" a="1"/>
  <c r="O985" i="1" a="1"/>
  <c r="O986" i="1" a="1"/>
  <c r="O987" i="1" a="1"/>
  <c r="O988" i="1" a="1"/>
  <c r="O989" i="1" a="1"/>
  <c r="O990" i="1" a="1"/>
  <c r="O991" i="1" a="1"/>
  <c r="O992" i="1" a="1"/>
  <c r="O993" i="1" a="1"/>
  <c r="O994" i="1" a="1"/>
  <c r="O995" i="1" a="1"/>
  <c r="O996" i="1" a="1"/>
  <c r="O997" i="1" a="1"/>
  <c r="O998" i="1" a="1"/>
  <c r="O999" i="1" a="1"/>
  <c r="O1000" i="1" a="1"/>
  <c r="O1001" i="1" a="1"/>
  <c r="O1002" i="1" a="1"/>
  <c r="O1003" i="1" a="1"/>
  <c r="O1004" i="1" a="1"/>
  <c r="O1005" i="1" a="1"/>
  <c r="O1006" i="1" a="1"/>
  <c r="O1007" i="1" a="1"/>
  <c r="O1008" i="1" a="1"/>
  <c r="O1009" i="1" a="1"/>
  <c r="O1010" i="1" a="1"/>
  <c r="O1011" i="1" a="1"/>
  <c r="O1012" i="1" a="1"/>
  <c r="O1013" i="1" a="1"/>
  <c r="O1014" i="1" a="1"/>
  <c r="O1015" i="1" a="1"/>
  <c r="O1016" i="1" a="1"/>
  <c r="O1017" i="1" a="1"/>
  <c r="O1018" i="1" a="1"/>
  <c r="O1019" i="1" a="1"/>
  <c r="O1020" i="1" a="1"/>
  <c r="O1021" i="1" a="1"/>
  <c r="O1022" i="1" a="1"/>
  <c r="O1023" i="1" a="1"/>
  <c r="O1024" i="1" a="1"/>
  <c r="O1025" i="1" a="1"/>
  <c r="O1026" i="1" a="1"/>
  <c r="O1027" i="1" a="1"/>
  <c r="O1028" i="1" a="1"/>
  <c r="O1029" i="1" a="1"/>
  <c r="O1030" i="1" a="1"/>
  <c r="O1031" i="1" a="1"/>
  <c r="O1032" i="1" a="1"/>
  <c r="O1033" i="1" a="1"/>
  <c r="O1034" i="1" a="1"/>
  <c r="O1035" i="1" a="1"/>
  <c r="O1036" i="1" a="1"/>
  <c r="O1037" i="1" a="1"/>
  <c r="O1038" i="1" a="1"/>
  <c r="O1039" i="1" a="1"/>
  <c r="O1040" i="1" a="1"/>
  <c r="O1041" i="1" a="1"/>
  <c r="O1042" i="1" a="1"/>
  <c r="O1043" i="1" a="1"/>
  <c r="O1044" i="1" a="1"/>
  <c r="O1045" i="1" a="1"/>
  <c r="O1046" i="1" a="1"/>
  <c r="O1047" i="1" a="1"/>
  <c r="O1048" i="1" a="1"/>
  <c r="O1049" i="1" a="1"/>
  <c r="O1050" i="1" a="1"/>
  <c r="O1051" i="1" a="1"/>
  <c r="O1052" i="1" a="1"/>
  <c r="O1053" i="1" a="1"/>
  <c r="O1054" i="1" a="1"/>
  <c r="O1055" i="1" a="1"/>
  <c r="O1056" i="1" a="1"/>
  <c r="O1057" i="1" a="1"/>
  <c r="O1058" i="1" a="1"/>
  <c r="O1059" i="1" a="1"/>
  <c r="O1060" i="1" a="1"/>
  <c r="O1061" i="1" a="1"/>
  <c r="O1062" i="1" a="1"/>
  <c r="O1063" i="1" a="1"/>
  <c r="O1064" i="1" a="1"/>
  <c r="O1065" i="1" a="1"/>
  <c r="O1066" i="1" a="1"/>
  <c r="O1067" i="1" a="1"/>
  <c r="O1068" i="1" a="1"/>
  <c r="O1069" i="1" a="1"/>
  <c r="O1070" i="1" a="1"/>
  <c r="O1071" i="1" a="1"/>
  <c r="O1072" i="1" a="1"/>
  <c r="O1073" i="1" a="1"/>
  <c r="O1074" i="1" a="1"/>
  <c r="O1075" i="1" a="1"/>
  <c r="O1076" i="1" a="1"/>
  <c r="O1077" i="1" a="1"/>
  <c r="O1078" i="1" a="1"/>
  <c r="O1079" i="1" a="1"/>
  <c r="O1080" i="1" a="1"/>
  <c r="O1081" i="1" a="1"/>
  <c r="O1082" i="1" a="1"/>
  <c r="O1083" i="1" a="1"/>
  <c r="O1084" i="1" a="1"/>
  <c r="O1085" i="1" a="1"/>
  <c r="O1086" i="1" a="1"/>
  <c r="O1087" i="1" a="1"/>
  <c r="O1088" i="1" a="1"/>
  <c r="O1089" i="1" a="1"/>
  <c r="O1090" i="1" a="1"/>
  <c r="O1091" i="1" a="1"/>
  <c r="O1092" i="1" a="1"/>
  <c r="O1093" i="1" a="1"/>
  <c r="O1094" i="1" a="1"/>
  <c r="O1095" i="1" a="1"/>
  <c r="O1096" i="1" a="1"/>
  <c r="O1097" i="1" a="1"/>
  <c r="O1098" i="1" a="1"/>
  <c r="O1099" i="1" a="1"/>
  <c r="O1100" i="1" a="1"/>
  <c r="O1101" i="1" a="1"/>
  <c r="O1102" i="1" a="1"/>
  <c r="O1103" i="1" a="1"/>
  <c r="O1104" i="1" a="1"/>
  <c r="O1105" i="1" a="1"/>
  <c r="O1106" i="1" a="1"/>
  <c r="O1107" i="1" a="1"/>
  <c r="O1108" i="1" a="1"/>
  <c r="O1109" i="1" a="1"/>
  <c r="O1110" i="1" a="1"/>
  <c r="O1111" i="1" a="1"/>
  <c r="O1112" i="1" a="1"/>
  <c r="O1113" i="1" a="1"/>
  <c r="O1114" i="1" a="1"/>
  <c r="O1115" i="1" a="1"/>
  <c r="O1116" i="1" a="1"/>
  <c r="O1117" i="1" a="1"/>
  <c r="O1118" i="1" a="1"/>
  <c r="O1119" i="1" a="1"/>
  <c r="O1120" i="1" a="1"/>
  <c r="O1121" i="1" a="1"/>
  <c r="O1122" i="1" a="1"/>
  <c r="O1123" i="1" a="1"/>
  <c r="O1124" i="1" a="1"/>
  <c r="O1125" i="1" a="1"/>
  <c r="O1126" i="1" a="1"/>
  <c r="O1127" i="1" a="1"/>
  <c r="O1128" i="1" a="1"/>
  <c r="O1129" i="1" a="1"/>
  <c r="O1130" i="1" a="1"/>
  <c r="O1131" i="1" a="1"/>
  <c r="O1132" i="1" a="1"/>
  <c r="O1133" i="1" a="1"/>
  <c r="O1134" i="1" a="1"/>
  <c r="O1135" i="1" a="1"/>
  <c r="O1136" i="1" a="1"/>
  <c r="O1137" i="1" a="1"/>
  <c r="O1138" i="1" a="1"/>
  <c r="O1139" i="1" a="1"/>
  <c r="O1140" i="1" a="1"/>
  <c r="O1141" i="1" a="1"/>
  <c r="O1142" i="1" a="1"/>
  <c r="O1143" i="1" a="1"/>
  <c r="O1144" i="1" a="1"/>
  <c r="O1145" i="1" a="1"/>
  <c r="O1146" i="1" a="1"/>
  <c r="O1147" i="1" a="1"/>
  <c r="O1148" i="1" a="1"/>
  <c r="O1149" i="1" a="1"/>
  <c r="O1150" i="1" a="1"/>
  <c r="O1151" i="1" a="1"/>
  <c r="O1152" i="1" a="1"/>
  <c r="O1153" i="1" a="1"/>
  <c r="O1154" i="1" a="1"/>
  <c r="O1155" i="1" a="1"/>
  <c r="O1156" i="1" a="1"/>
  <c r="O1157" i="1" a="1"/>
  <c r="O1158" i="1" a="1"/>
  <c r="O1159" i="1" a="1"/>
  <c r="O1160" i="1" a="1"/>
  <c r="O1161" i="1" a="1"/>
  <c r="O1162" i="1" a="1"/>
  <c r="O1163" i="1" a="1"/>
  <c r="O1164" i="1" a="1"/>
  <c r="O1165" i="1" a="1"/>
  <c r="O1166" i="1" a="1"/>
  <c r="O1167" i="1" a="1"/>
  <c r="O1168" i="1" a="1"/>
  <c r="O1169" i="1" a="1"/>
  <c r="O1170" i="1" a="1"/>
  <c r="O1171" i="1" a="1"/>
  <c r="O1172" i="1" a="1"/>
  <c r="O1173" i="1" a="1"/>
  <c r="O1174" i="1" a="1"/>
  <c r="O1175" i="1" a="1"/>
  <c r="O1176" i="1" a="1"/>
  <c r="O1177" i="1" a="1"/>
  <c r="O1178" i="1" a="1"/>
  <c r="O1179" i="1" a="1"/>
  <c r="O1180" i="1" a="1"/>
  <c r="O1181" i="1" a="1"/>
  <c r="O1182" i="1" a="1"/>
  <c r="O1183" i="1" a="1"/>
  <c r="O1184" i="1" a="1"/>
  <c r="O1185" i="1" a="1"/>
  <c r="O1186" i="1" a="1"/>
  <c r="O1187" i="1" a="1"/>
  <c r="O1188" i="1" a="1"/>
  <c r="O1189" i="1" a="1"/>
  <c r="O1190" i="1" a="1"/>
  <c r="O1191" i="1" a="1"/>
  <c r="O1192" i="1" a="1"/>
  <c r="O1193" i="1" a="1"/>
  <c r="O1194" i="1" a="1"/>
  <c r="O1195" i="1" a="1"/>
  <c r="O1196" i="1" a="1"/>
  <c r="O1197" i="1" a="1"/>
  <c r="O1198" i="1" a="1"/>
  <c r="O1199" i="1" a="1"/>
  <c r="O1200" i="1" a="1"/>
  <c r="O1201" i="1" a="1"/>
  <c r="O1202" i="1" a="1"/>
  <c r="O1203" i="1" a="1"/>
  <c r="O1204" i="1" a="1"/>
  <c r="O1205" i="1" a="1"/>
  <c r="O1206" i="1" a="1"/>
  <c r="O1207" i="1" a="1"/>
  <c r="O1208" i="1" a="1"/>
  <c r="O1209" i="1" a="1"/>
  <c r="O1210" i="1" a="1"/>
  <c r="O1211" i="1" a="1"/>
  <c r="O1212" i="1" a="1"/>
  <c r="O1213" i="1" a="1"/>
  <c r="O1214" i="1" a="1"/>
  <c r="O1215" i="1" a="1"/>
  <c r="O1216" i="1" a="1"/>
  <c r="O1217" i="1" a="1"/>
  <c r="O1218" i="1" a="1"/>
  <c r="O1219" i="1" a="1"/>
  <c r="O1220" i="1" a="1"/>
  <c r="O1221" i="1" a="1"/>
  <c r="O1222" i="1" a="1"/>
  <c r="O1223" i="1" a="1"/>
  <c r="O1224" i="1" a="1"/>
  <c r="O1225" i="1" a="1"/>
  <c r="O1226" i="1" a="1"/>
  <c r="O1227" i="1" a="1"/>
  <c r="O1228" i="1" a="1"/>
  <c r="O1229" i="1" a="1"/>
  <c r="O1230" i="1" a="1"/>
  <c r="O1231" i="1" a="1"/>
  <c r="O1232" i="1" a="1"/>
  <c r="O1233" i="1" a="1"/>
  <c r="O1234" i="1" a="1"/>
  <c r="O1235" i="1" a="1"/>
  <c r="O1236" i="1" a="1"/>
  <c r="O1237" i="1" a="1"/>
  <c r="O1238" i="1" a="1"/>
  <c r="O1239" i="1" a="1"/>
  <c r="O1240" i="1" a="1"/>
  <c r="O1241" i="1" a="1"/>
  <c r="O1242" i="1" a="1"/>
  <c r="O1243" i="1" a="1"/>
  <c r="O1244" i="1" a="1"/>
  <c r="O1245" i="1" a="1"/>
  <c r="O1246" i="1" a="1"/>
  <c r="O1247" i="1" a="1"/>
  <c r="O1248" i="1" a="1"/>
  <c r="O1249" i="1" a="1"/>
  <c r="O1250" i="1" a="1"/>
  <c r="O1251" i="1" a="1"/>
  <c r="O1252" i="1" a="1"/>
  <c r="O1253" i="1" a="1"/>
  <c r="O1254" i="1" a="1"/>
  <c r="O1255" i="1" a="1"/>
  <c r="O1256" i="1" a="1"/>
  <c r="O1257" i="1" a="1"/>
  <c r="O1258" i="1" a="1"/>
  <c r="O1259" i="1" a="1"/>
  <c r="O1260" i="1" a="1"/>
  <c r="O1261" i="1" a="1"/>
  <c r="O1262" i="1" a="1"/>
  <c r="O1263" i="1" a="1"/>
  <c r="O1264" i="1" a="1"/>
  <c r="O1265" i="1" a="1"/>
  <c r="O1266" i="1" a="1"/>
  <c r="O1267" i="1" a="1"/>
  <c r="O1268" i="1" a="1"/>
  <c r="O1269" i="1" a="1"/>
  <c r="O1270" i="1" a="1"/>
  <c r="O1271" i="1" a="1"/>
  <c r="O1272" i="1" a="1"/>
  <c r="O1273" i="1" a="1"/>
  <c r="O1274" i="1" a="1"/>
  <c r="O1275" i="1" a="1"/>
  <c r="O1276" i="1" a="1"/>
  <c r="O1277" i="1" a="1"/>
  <c r="O1278" i="1" a="1"/>
  <c r="O1279" i="1" a="1"/>
  <c r="O1280" i="1" a="1"/>
  <c r="O1281" i="1" a="1"/>
  <c r="O1282" i="1" a="1"/>
  <c r="O1283" i="1" a="1"/>
  <c r="O1284" i="1" a="1"/>
  <c r="O1285" i="1" a="1"/>
  <c r="O1286" i="1" a="1"/>
  <c r="O1287" i="1" a="1"/>
  <c r="O1288" i="1" a="1"/>
  <c r="O1289" i="1" a="1"/>
  <c r="O1290" i="1" a="1"/>
  <c r="O1291" i="1" a="1"/>
  <c r="O1292" i="1" a="1"/>
  <c r="O1293" i="1" a="1"/>
  <c r="O1294" i="1" a="1"/>
  <c r="O1295" i="1" a="1"/>
  <c r="O1296" i="1" a="1"/>
  <c r="O1297" i="1" a="1"/>
  <c r="O1298" i="1" a="1"/>
  <c r="O1299" i="1" a="1"/>
  <c r="O1300" i="1" a="1"/>
  <c r="O1301" i="1" a="1"/>
  <c r="O1302" i="1" a="1"/>
  <c r="O1303" i="1" a="1"/>
  <c r="O1304" i="1" a="1"/>
  <c r="O1305" i="1" a="1"/>
  <c r="O1306" i="1" a="1"/>
  <c r="O1307" i="1" a="1"/>
  <c r="O1308" i="1" a="1"/>
  <c r="O1309" i="1" a="1"/>
  <c r="O1310" i="1" a="1"/>
  <c r="O1311" i="1" a="1"/>
  <c r="O1312" i="1" a="1"/>
  <c r="O1313" i="1" a="1"/>
  <c r="O1314" i="1" a="1"/>
  <c r="O1315" i="1" a="1"/>
  <c r="O1316" i="1" a="1"/>
  <c r="O1317" i="1" a="1"/>
  <c r="O1318" i="1" a="1"/>
  <c r="O1319" i="1" a="1"/>
  <c r="O1320" i="1" a="1"/>
  <c r="O1321" i="1" a="1"/>
  <c r="O1322" i="1" a="1"/>
  <c r="O1323" i="1" a="1"/>
  <c r="O1324" i="1" a="1"/>
  <c r="O1325" i="1" a="1"/>
  <c r="O1326" i="1" a="1"/>
  <c r="O1327" i="1" a="1"/>
  <c r="O1328" i="1" a="1"/>
  <c r="O1329" i="1" a="1"/>
  <c r="O1330" i="1" a="1"/>
  <c r="O1331" i="1" a="1"/>
  <c r="O1332" i="1" a="1"/>
  <c r="O1333" i="1" a="1"/>
  <c r="O1334" i="1" a="1"/>
  <c r="O1335" i="1" a="1"/>
  <c r="O1336" i="1" a="1"/>
  <c r="O1337" i="1" a="1"/>
  <c r="O1338" i="1" a="1"/>
  <c r="O1339" i="1" a="1"/>
  <c r="O1340" i="1" a="1"/>
  <c r="O1341" i="1" a="1"/>
  <c r="O1342" i="1" a="1"/>
  <c r="O1343" i="1" a="1"/>
  <c r="O1344" i="1" a="1"/>
  <c r="O1345" i="1" a="1"/>
  <c r="O1346" i="1" a="1"/>
  <c r="O1347" i="1" a="1"/>
  <c r="O1348" i="1" a="1"/>
  <c r="O1349" i="1" a="1"/>
  <c r="O1350" i="1" a="1"/>
  <c r="O1351" i="1" a="1"/>
  <c r="O1352" i="1" a="1"/>
  <c r="O1353" i="1" a="1"/>
  <c r="O1354" i="1" a="1"/>
  <c r="O1355" i="1" a="1"/>
  <c r="O1356" i="1" a="1"/>
  <c r="O1357" i="1" a="1"/>
  <c r="O1358" i="1" a="1"/>
  <c r="O1359" i="1" a="1"/>
  <c r="O1360" i="1" a="1"/>
  <c r="O1361" i="1" a="1"/>
  <c r="O1362" i="1" a="1"/>
  <c r="O1363" i="1" a="1"/>
  <c r="O1364" i="1" a="1"/>
  <c r="O1365" i="1" a="1"/>
  <c r="O1366" i="1" a="1"/>
  <c r="O1367" i="1" a="1"/>
  <c r="O1368" i="1" a="1"/>
  <c r="O1369" i="1" a="1"/>
  <c r="O1370" i="1" a="1"/>
  <c r="O1371" i="1" a="1"/>
  <c r="O1372" i="1" a="1"/>
  <c r="O1373" i="1" a="1"/>
  <c r="O1374" i="1" a="1"/>
  <c r="O1375" i="1" a="1"/>
  <c r="O1376" i="1" a="1"/>
  <c r="O1377" i="1" a="1"/>
  <c r="O1378" i="1" a="1"/>
  <c r="O1379" i="1" a="1"/>
  <c r="O1380" i="1" a="1"/>
  <c r="O1381" i="1" a="1"/>
  <c r="O1382" i="1" a="1"/>
  <c r="O1383" i="1" a="1"/>
  <c r="O1384" i="1" a="1"/>
  <c r="O1385" i="1" a="1"/>
  <c r="O1386" i="1" a="1"/>
  <c r="O1387" i="1" a="1"/>
  <c r="O1388" i="1" a="1"/>
  <c r="O1389" i="1" a="1"/>
  <c r="O1390" i="1" a="1"/>
  <c r="O1391" i="1" a="1"/>
  <c r="O1392" i="1" a="1"/>
  <c r="O1393" i="1" a="1"/>
  <c r="O1394" i="1" a="1"/>
  <c r="O1395" i="1" a="1"/>
  <c r="O1396" i="1" a="1"/>
  <c r="O1397" i="1" a="1"/>
  <c r="O1398" i="1" a="1"/>
  <c r="O1399" i="1" a="1"/>
  <c r="O1400" i="1" a="1"/>
  <c r="O1401" i="1" a="1"/>
  <c r="O1402" i="1" a="1"/>
  <c r="O1403" i="1" a="1"/>
  <c r="O1404" i="1" a="1"/>
  <c r="O1405" i="1" a="1"/>
  <c r="O1406" i="1" a="1"/>
  <c r="O1407" i="1" a="1"/>
  <c r="O1408" i="1" a="1"/>
  <c r="O1409" i="1" a="1"/>
  <c r="O1410" i="1" a="1"/>
  <c r="O1411" i="1" a="1"/>
  <c r="O1412" i="1" a="1"/>
  <c r="O1413" i="1" a="1"/>
  <c r="O1414" i="1" a="1"/>
  <c r="O1415" i="1" a="1"/>
  <c r="O1416" i="1" a="1"/>
  <c r="O1417" i="1" a="1"/>
  <c r="O1418" i="1" a="1"/>
  <c r="O1419" i="1" a="1"/>
  <c r="O1420" i="1" a="1"/>
  <c r="O1421" i="1" a="1"/>
  <c r="O1422" i="1" a="1"/>
  <c r="O1423" i="1" a="1"/>
  <c r="O1424" i="1" a="1"/>
  <c r="O1425" i="1" a="1"/>
  <c r="O1426" i="1" a="1"/>
  <c r="O1427" i="1" a="1"/>
  <c r="O1428" i="1" a="1"/>
  <c r="O1429" i="1" a="1"/>
  <c r="O1430" i="1" a="1"/>
  <c r="O1431" i="1" a="1"/>
  <c r="O1432" i="1" a="1"/>
  <c r="O1433" i="1" a="1"/>
  <c r="O1434" i="1" a="1"/>
  <c r="O1435" i="1" a="1"/>
  <c r="O1436" i="1" a="1"/>
  <c r="O1437" i="1" a="1"/>
  <c r="O1438" i="1" a="1"/>
  <c r="O1439" i="1" a="1"/>
  <c r="O1440" i="1" a="1"/>
  <c r="O1441" i="1" a="1"/>
  <c r="O1442" i="1" a="1"/>
  <c r="O1443" i="1" a="1"/>
  <c r="O1444" i="1" a="1"/>
  <c r="O1445" i="1" a="1"/>
  <c r="O1446" i="1" a="1"/>
  <c r="O1447" i="1" a="1"/>
  <c r="O1448" i="1" a="1"/>
  <c r="O1449" i="1" a="1"/>
  <c r="O1450" i="1" a="1"/>
  <c r="O1451" i="1" a="1"/>
  <c r="O1452" i="1" a="1"/>
  <c r="O1453" i="1" a="1"/>
  <c r="O1454" i="1" a="1"/>
  <c r="O1455" i="1" a="1"/>
  <c r="O1456" i="1" a="1"/>
  <c r="O1457" i="1" a="1"/>
  <c r="O1458" i="1" a="1"/>
  <c r="O1459" i="1" a="1"/>
  <c r="O1460" i="1" a="1"/>
  <c r="O1461" i="1" a="1"/>
  <c r="O1462" i="1" a="1"/>
  <c r="O1463" i="1" a="1"/>
  <c r="O1464" i="1" a="1"/>
  <c r="O1465" i="1" a="1"/>
  <c r="O1466" i="1" a="1"/>
  <c r="O1467" i="1" a="1"/>
  <c r="O1468" i="1" a="1"/>
  <c r="O1469" i="1" a="1"/>
  <c r="O1470" i="1" a="1"/>
  <c r="O1471" i="1" a="1"/>
  <c r="O1472" i="1" a="1"/>
  <c r="O1473" i="1" a="1"/>
  <c r="O1474" i="1" a="1"/>
  <c r="O1475" i="1" a="1"/>
  <c r="O1476" i="1" a="1"/>
  <c r="O1477" i="1" a="1"/>
  <c r="O1478" i="1" a="1"/>
  <c r="O1479" i="1" a="1"/>
  <c r="O1480" i="1" a="1"/>
  <c r="O1481" i="1" a="1"/>
  <c r="O1482" i="1" a="1"/>
  <c r="O1483" i="1" a="1"/>
  <c r="O1484" i="1" a="1"/>
  <c r="O1485" i="1" a="1"/>
  <c r="O1486" i="1" a="1"/>
  <c r="O1487" i="1" a="1"/>
  <c r="O1488" i="1" a="1"/>
  <c r="O1489" i="1" a="1"/>
  <c r="O1490" i="1" a="1"/>
  <c r="O1491" i="1" a="1"/>
  <c r="O1492" i="1" a="1"/>
  <c r="O1493" i="1" a="1"/>
  <c r="O1494" i="1" a="1"/>
  <c r="O1495" i="1" a="1"/>
  <c r="O1496" i="1" a="1"/>
  <c r="O1497" i="1" a="1"/>
  <c r="O1498" i="1" a="1"/>
  <c r="O1499" i="1" a="1"/>
  <c r="O1500" i="1" a="1"/>
  <c r="O1501" i="1" a="1"/>
  <c r="O1502" i="1" a="1"/>
  <c r="O1503" i="1" a="1"/>
  <c r="O1504" i="1" a="1"/>
  <c r="O1505" i="1" a="1"/>
  <c r="O1506" i="1" a="1"/>
  <c r="O1507" i="1" a="1"/>
  <c r="O1508" i="1" a="1"/>
  <c r="O1509" i="1" a="1"/>
  <c r="O1510" i="1" a="1"/>
  <c r="O1511" i="1" a="1"/>
  <c r="O1512" i="1" a="1"/>
  <c r="O1513" i="1" a="1"/>
  <c r="O1514" i="1" a="1"/>
  <c r="O1515" i="1" a="1"/>
  <c r="O1516" i="1" a="1"/>
  <c r="O1517" i="1" a="1"/>
  <c r="O1518" i="1" a="1"/>
  <c r="O1519" i="1" a="1"/>
  <c r="O1520" i="1" a="1"/>
  <c r="O1521" i="1" a="1"/>
  <c r="O1522" i="1" a="1"/>
  <c r="O1523" i="1" a="1"/>
  <c r="O1524" i="1" a="1"/>
  <c r="O1525" i="1" a="1"/>
  <c r="O1526" i="1" a="1"/>
  <c r="O1527" i="1" a="1"/>
  <c r="O1528" i="1" a="1"/>
  <c r="O1529" i="1" a="1"/>
  <c r="O1530" i="1" a="1"/>
  <c r="O1531" i="1" a="1"/>
  <c r="O1532" i="1" a="1"/>
  <c r="O1533" i="1" a="1"/>
  <c r="O1534" i="1" a="1"/>
  <c r="O1535" i="1" a="1"/>
  <c r="O1536" i="1" a="1"/>
  <c r="O1537" i="1" a="1"/>
  <c r="O1538" i="1" a="1"/>
  <c r="O1539" i="1" a="1"/>
  <c r="O1540" i="1" a="1"/>
  <c r="O1541" i="1" a="1"/>
  <c r="O1542" i="1" a="1"/>
  <c r="O1543" i="1" a="1"/>
  <c r="O1544" i="1" a="1"/>
  <c r="O1545" i="1" a="1"/>
  <c r="O1546" i="1" a="1"/>
  <c r="O1547" i="1" a="1"/>
  <c r="O1548" i="1" a="1"/>
  <c r="O1549" i="1" a="1"/>
  <c r="O1550" i="1" a="1"/>
  <c r="O1551" i="1" a="1"/>
  <c r="O1552" i="1" a="1"/>
  <c r="O1553" i="1" a="1"/>
  <c r="O1554" i="1" a="1"/>
  <c r="O1555" i="1" a="1"/>
  <c r="O1556" i="1" a="1"/>
  <c r="O1557" i="1" a="1"/>
  <c r="O1558" i="1" a="1"/>
  <c r="O1559" i="1" a="1"/>
  <c r="O1560" i="1" a="1"/>
  <c r="O1561" i="1" a="1"/>
  <c r="O1562" i="1" a="1"/>
  <c r="O1563" i="1" a="1"/>
  <c r="O1564" i="1" a="1"/>
  <c r="O1565" i="1" a="1"/>
  <c r="O1566" i="1" a="1"/>
  <c r="O1567" i="1" a="1"/>
  <c r="O1568" i="1" a="1"/>
  <c r="O1569" i="1" a="1"/>
  <c r="O1570" i="1" a="1"/>
  <c r="O1571" i="1" a="1"/>
  <c r="O1572" i="1" a="1"/>
  <c r="O1573" i="1" a="1"/>
  <c r="O1574" i="1" a="1"/>
  <c r="O1575" i="1" a="1"/>
  <c r="O1576" i="1" a="1"/>
  <c r="O1577" i="1" a="1"/>
  <c r="O1578" i="1" a="1"/>
  <c r="O1579" i="1" a="1"/>
  <c r="O1580" i="1" a="1"/>
  <c r="O1581" i="1" a="1"/>
  <c r="O1582" i="1" a="1"/>
  <c r="O1583" i="1" a="1"/>
  <c r="O1584" i="1" a="1"/>
  <c r="O1585" i="1" a="1"/>
  <c r="O1586" i="1" a="1"/>
  <c r="O1587" i="1" a="1"/>
  <c r="O1588" i="1" a="1"/>
  <c r="O1589" i="1" a="1"/>
  <c r="O1590" i="1" a="1"/>
  <c r="O1591" i="1" a="1"/>
  <c r="O1592" i="1" a="1"/>
  <c r="O1593" i="1" a="1"/>
  <c r="O1594" i="1" a="1"/>
  <c r="O1595" i="1" a="1"/>
  <c r="O1596" i="1" a="1"/>
  <c r="O1597" i="1" a="1"/>
  <c r="O1598" i="1" a="1"/>
  <c r="O1599" i="1" a="1"/>
  <c r="O1600" i="1" a="1"/>
  <c r="O1601" i="1" a="1"/>
  <c r="O1602" i="1" a="1"/>
  <c r="O1603" i="1" a="1"/>
  <c r="O1604" i="1" a="1"/>
  <c r="O1605" i="1" a="1"/>
  <c r="O1606" i="1" a="1"/>
  <c r="O1607" i="1" a="1"/>
  <c r="O1608" i="1" a="1"/>
  <c r="O1609" i="1" a="1"/>
  <c r="O1610" i="1" a="1"/>
  <c r="O1611" i="1" a="1"/>
  <c r="O1612" i="1" a="1"/>
  <c r="O1613" i="1" a="1"/>
  <c r="O1614" i="1" a="1"/>
  <c r="O1615" i="1" a="1"/>
  <c r="O1616" i="1" a="1"/>
  <c r="O1617" i="1" a="1"/>
  <c r="O1618" i="1" a="1"/>
  <c r="O1619" i="1" a="1"/>
  <c r="O1620" i="1" a="1"/>
  <c r="O1621" i="1" a="1"/>
  <c r="O1622" i="1" a="1"/>
  <c r="O1623" i="1" a="1"/>
  <c r="O1624" i="1" a="1"/>
  <c r="O1625" i="1" a="1"/>
  <c r="O1626" i="1" a="1"/>
  <c r="O1627" i="1" a="1"/>
  <c r="O1628" i="1" a="1"/>
  <c r="O1629" i="1" a="1"/>
  <c r="O1630" i="1" a="1"/>
  <c r="O1631" i="1" a="1"/>
  <c r="O1632" i="1" a="1"/>
  <c r="O1633" i="1" a="1"/>
  <c r="O1634" i="1" a="1"/>
  <c r="O1635" i="1" a="1"/>
  <c r="O1636" i="1" a="1"/>
  <c r="O1637" i="1" a="1"/>
  <c r="O1638" i="1" a="1"/>
  <c r="O1639" i="1" a="1"/>
  <c r="O1640" i="1" a="1"/>
  <c r="O1641" i="1" a="1"/>
  <c r="O1642" i="1" a="1"/>
  <c r="O1643" i="1" a="1"/>
  <c r="O1644" i="1" a="1"/>
  <c r="O1645" i="1" a="1"/>
  <c r="O1646" i="1" a="1"/>
  <c r="O1647" i="1" a="1"/>
  <c r="O1648" i="1" a="1"/>
  <c r="O1649" i="1" a="1"/>
  <c r="O1650" i="1" a="1"/>
  <c r="O1651" i="1" a="1"/>
  <c r="O1652" i="1" a="1"/>
  <c r="O1653" i="1" a="1"/>
  <c r="O1654" i="1" a="1"/>
  <c r="O1655" i="1" a="1"/>
  <c r="O1656" i="1" a="1"/>
  <c r="O1657" i="1" a="1"/>
  <c r="O1658" i="1" a="1"/>
  <c r="O1659" i="1" a="1"/>
  <c r="O1660" i="1" a="1"/>
  <c r="O1661" i="1" a="1"/>
  <c r="O1662" i="1" a="1"/>
  <c r="O1663" i="1" a="1"/>
  <c r="O1664" i="1" a="1"/>
  <c r="O1665" i="1" a="1"/>
  <c r="O1666" i="1" a="1"/>
  <c r="O1667" i="1" a="1"/>
  <c r="O1668" i="1" a="1"/>
  <c r="O1669" i="1" a="1"/>
  <c r="O1670" i="1" a="1"/>
  <c r="O1671" i="1" a="1"/>
  <c r="O1672" i="1" a="1"/>
  <c r="O1673" i="1" a="1"/>
  <c r="O1674" i="1" a="1"/>
  <c r="O1675" i="1" a="1"/>
  <c r="O1676" i="1" a="1"/>
  <c r="O1677" i="1" a="1"/>
  <c r="O1678" i="1" a="1"/>
  <c r="O1679" i="1" a="1"/>
  <c r="O1680" i="1" a="1"/>
  <c r="O1681" i="1" a="1"/>
  <c r="O1682" i="1" a="1"/>
  <c r="O1683" i="1" a="1"/>
  <c r="O1684" i="1" a="1"/>
  <c r="O1685" i="1" a="1"/>
  <c r="O1686" i="1" a="1"/>
  <c r="O1687" i="1" a="1"/>
  <c r="O1688" i="1" a="1"/>
  <c r="O1689" i="1" a="1"/>
  <c r="O1690" i="1" a="1"/>
  <c r="O1691" i="1" a="1"/>
  <c r="O1692" i="1" a="1"/>
  <c r="O1693" i="1" a="1"/>
  <c r="O1694" i="1" a="1"/>
  <c r="O1695" i="1" a="1"/>
  <c r="O1696" i="1" a="1"/>
  <c r="O1697" i="1" a="1"/>
  <c r="O1698" i="1" a="1"/>
  <c r="O1699" i="1" a="1"/>
  <c r="O1700" i="1" a="1"/>
  <c r="O1701" i="1" a="1"/>
  <c r="O1702" i="1" a="1"/>
  <c r="O1703" i="1" a="1"/>
  <c r="O1704" i="1" a="1"/>
  <c r="O1705" i="1" a="1"/>
  <c r="O1706" i="1" a="1"/>
  <c r="O1707" i="1" a="1"/>
  <c r="O1708" i="1" a="1"/>
  <c r="O1709" i="1" a="1"/>
  <c r="O1710" i="1" a="1"/>
  <c r="O1711" i="1" a="1"/>
  <c r="O1712" i="1" a="1"/>
  <c r="O1713" i="1" a="1"/>
  <c r="O1714" i="1" a="1"/>
  <c r="O1715" i="1" a="1"/>
  <c r="O1716" i="1" a="1"/>
  <c r="O1717" i="1" a="1"/>
  <c r="O1718" i="1" a="1"/>
  <c r="O1719" i="1" a="1"/>
  <c r="O1720" i="1" a="1"/>
  <c r="O1721" i="1" a="1"/>
  <c r="O1722" i="1" a="1"/>
  <c r="O1723" i="1" a="1"/>
  <c r="O1724" i="1" a="1"/>
  <c r="O1725" i="1" a="1"/>
  <c r="O1726" i="1" a="1"/>
  <c r="O1727" i="1" a="1"/>
  <c r="O1728" i="1" a="1"/>
  <c r="O1729" i="1" a="1"/>
  <c r="O1730" i="1" a="1"/>
  <c r="O1731" i="1" a="1"/>
  <c r="O1732" i="1" a="1"/>
  <c r="O1733" i="1" a="1"/>
  <c r="O1734" i="1" a="1"/>
  <c r="O1735" i="1" a="1"/>
  <c r="O1736" i="1" a="1"/>
  <c r="O1737" i="1" a="1"/>
  <c r="O1738" i="1" a="1"/>
  <c r="O1739" i="1" a="1"/>
  <c r="O1740" i="1" a="1"/>
  <c r="O1743" i="1" a="1"/>
  <c r="O1744" i="1" a="1"/>
  <c r="O1745" i="1" a="1"/>
  <c r="O1746" i="1" a="1"/>
  <c r="O1747" i="1" a="1"/>
  <c r="O1748" i="1" a="1"/>
  <c r="O1749" i="1" a="1"/>
  <c r="O1750" i="1" a="1"/>
  <c r="O1751" i="1" a="1"/>
  <c r="O1752" i="1" a="1"/>
  <c r="O1753" i="1" a="1"/>
  <c r="O1754" i="1" a="1"/>
  <c r="O1755" i="1" a="1"/>
  <c r="O1756" i="1" a="1"/>
  <c r="O1757" i="1" a="1"/>
  <c r="O1758" i="1" a="1"/>
  <c r="O1759" i="1" a="1"/>
  <c r="O1760" i="1" a="1"/>
  <c r="O1761" i="1" a="1"/>
  <c r="O1762" i="1" a="1"/>
  <c r="O1763" i="1" a="1"/>
  <c r="O1764" i="1" a="1"/>
  <c r="O1765" i="1" a="1"/>
  <c r="O1766" i="1" a="1"/>
  <c r="O1767" i="1" a="1"/>
  <c r="O1768" i="1" a="1"/>
  <c r="O1769" i="1" a="1"/>
  <c r="O1770" i="1" a="1"/>
  <c r="O1771" i="1" a="1"/>
  <c r="O1772" i="1" a="1"/>
  <c r="O1773" i="1" a="1"/>
  <c r="O1774" i="1" a="1"/>
  <c r="O1775" i="1" a="1"/>
  <c r="O1776" i="1" a="1"/>
  <c r="O1777" i="1" a="1"/>
  <c r="O1778" i="1" a="1"/>
  <c r="O1779" i="1" a="1"/>
  <c r="O1780" i="1" a="1"/>
  <c r="O1781" i="1" a="1"/>
  <c r="O1782" i="1" a="1"/>
  <c r="O1783" i="1" a="1"/>
  <c r="O1784" i="1" a="1"/>
  <c r="O1785" i="1" a="1"/>
  <c r="O1786" i="1" a="1"/>
  <c r="O1787" i="1" a="1"/>
  <c r="O1788" i="1" a="1"/>
  <c r="O1789" i="1" a="1"/>
  <c r="O1790" i="1" a="1"/>
  <c r="O1791" i="1" a="1"/>
  <c r="O1792" i="1" a="1"/>
  <c r="O1793" i="1" a="1"/>
  <c r="O1794" i="1" a="1"/>
  <c r="O1795" i="1" a="1"/>
  <c r="O1796" i="1" a="1"/>
  <c r="O1797" i="1" a="1"/>
  <c r="O1798" i="1" a="1"/>
  <c r="O1799" i="1" a="1"/>
  <c r="O1800" i="1" a="1"/>
  <c r="O1801" i="1" a="1"/>
  <c r="O1802" i="1" a="1"/>
  <c r="O1803" i="1" a="1"/>
  <c r="O1804" i="1" a="1"/>
  <c r="O1805" i="1" a="1"/>
  <c r="O1806" i="1" a="1"/>
  <c r="O1807" i="1" a="1"/>
  <c r="O1808" i="1" a="1"/>
  <c r="O1809" i="1" a="1"/>
  <c r="O1810" i="1" a="1"/>
  <c r="O1811" i="1" a="1"/>
  <c r="O1812" i="1" a="1"/>
  <c r="O1813" i="1" a="1"/>
  <c r="O1814" i="1" a="1"/>
  <c r="O1815" i="1" a="1"/>
  <c r="O1816" i="1" a="1"/>
  <c r="O1817" i="1" a="1"/>
  <c r="O1818" i="1" a="1"/>
  <c r="O1819" i="1" a="1"/>
  <c r="O1820" i="1" a="1"/>
  <c r="O1821" i="1" a="1"/>
  <c r="O1822" i="1" a="1"/>
  <c r="O1823" i="1" a="1"/>
  <c r="O1824" i="1" a="1"/>
  <c r="O1825" i="1" a="1"/>
  <c r="O1826" i="1" a="1"/>
  <c r="O1827" i="1" a="1"/>
  <c r="O1828" i="1" a="1"/>
  <c r="O1829" i="1" a="1"/>
  <c r="O1830" i="1" a="1"/>
  <c r="O1831" i="1" a="1"/>
  <c r="O1832" i="1" a="1"/>
  <c r="O1833" i="1" a="1"/>
  <c r="O1834" i="1" a="1"/>
  <c r="O1835" i="1" a="1"/>
  <c r="O1836" i="1" a="1"/>
  <c r="O1837" i="1" a="1"/>
  <c r="O1838" i="1" a="1"/>
  <c r="O1839" i="1" a="1"/>
  <c r="O1840" i="1" a="1"/>
  <c r="O1841" i="1" a="1"/>
  <c r="O1842" i="1" a="1"/>
  <c r="O1843" i="1" a="1"/>
  <c r="O1844" i="1" a="1"/>
  <c r="P16" i="1" a="1"/>
  <c r="P17" i="1" a="1"/>
  <c r="P18" i="1" a="1"/>
  <c r="P19" i="1" a="1"/>
  <c r="P20" i="1" a="1"/>
  <c r="P21" i="1" a="1"/>
  <c r="P22" i="1" a="1"/>
  <c r="P23" i="1" a="1"/>
  <c r="P24" i="1" a="1"/>
  <c r="P25" i="1" a="1"/>
  <c r="P26" i="1" a="1"/>
  <c r="P27" i="1" a="1"/>
  <c r="P28" i="1" a="1"/>
  <c r="P29" i="1" a="1"/>
  <c r="P30" i="1" a="1"/>
  <c r="P31" i="1" a="1"/>
  <c r="P32" i="1" a="1"/>
  <c r="P33" i="1" a="1"/>
  <c r="P34" i="1" a="1"/>
  <c r="P35" i="1" a="1"/>
  <c r="P36" i="1" a="1"/>
  <c r="P37" i="1" a="1"/>
  <c r="P38" i="1" a="1"/>
  <c r="P39" i="1" a="1"/>
  <c r="P40" i="1" a="1"/>
  <c r="P41" i="1" a="1"/>
  <c r="P42" i="1" a="1"/>
  <c r="P43" i="1" a="1"/>
  <c r="P44" i="1" a="1"/>
  <c r="P45" i="1" a="1"/>
  <c r="P46" i="1" a="1"/>
  <c r="P47" i="1" a="1"/>
  <c r="P48" i="1" a="1"/>
  <c r="P49" i="1" a="1"/>
  <c r="P50" i="1" a="1"/>
  <c r="P51" i="1" a="1"/>
  <c r="P52" i="1" a="1"/>
  <c r="P53" i="1" a="1"/>
  <c r="P54" i="1" a="1"/>
  <c r="P55" i="1" a="1"/>
  <c r="P56" i="1" a="1"/>
  <c r="P57" i="1" a="1"/>
  <c r="P58" i="1" a="1"/>
  <c r="P59" i="1" a="1"/>
  <c r="P60" i="1" a="1"/>
  <c r="P61" i="1" a="1"/>
  <c r="P62" i="1" a="1"/>
  <c r="P63" i="1" a="1"/>
  <c r="P64" i="1" a="1"/>
  <c r="P65" i="1" a="1"/>
  <c r="P66" i="1" a="1"/>
  <c r="P67" i="1" a="1"/>
  <c r="P68" i="1" a="1"/>
  <c r="P69" i="1" a="1"/>
  <c r="P70" i="1" a="1"/>
  <c r="P71" i="1" a="1"/>
  <c r="P72" i="1" a="1"/>
  <c r="P73" i="1" a="1"/>
  <c r="P74" i="1" a="1"/>
  <c r="P75" i="1" a="1"/>
  <c r="P76" i="1" a="1"/>
  <c r="P77" i="1" a="1"/>
  <c r="P78" i="1" a="1"/>
  <c r="P79" i="1" a="1"/>
  <c r="P80" i="1" a="1"/>
  <c r="P81" i="1" a="1"/>
  <c r="P82" i="1" a="1"/>
  <c r="P83" i="1" a="1"/>
  <c r="P84" i="1" a="1"/>
  <c r="P85" i="1" a="1"/>
  <c r="P86" i="1" a="1"/>
  <c r="P87" i="1" a="1"/>
  <c r="P88" i="1" a="1"/>
  <c r="P89" i="1" a="1"/>
  <c r="P90" i="1" a="1"/>
  <c r="P91" i="1" a="1"/>
  <c r="P92" i="1" a="1"/>
  <c r="P93" i="1" a="1"/>
  <c r="P94" i="1" a="1"/>
  <c r="P95" i="1" a="1"/>
  <c r="P96" i="1" a="1"/>
  <c r="P97" i="1" a="1"/>
  <c r="P98" i="1" a="1"/>
  <c r="P99" i="1" a="1"/>
  <c r="P100" i="1" a="1"/>
  <c r="P101" i="1" a="1"/>
  <c r="P102" i="1" a="1"/>
  <c r="P103" i="1" a="1"/>
  <c r="P104" i="1" a="1"/>
  <c r="P105" i="1" a="1"/>
  <c r="P106" i="1" a="1"/>
  <c r="P107" i="1" a="1"/>
  <c r="P108" i="1" a="1"/>
  <c r="P109" i="1" a="1"/>
  <c r="P110" i="1" a="1"/>
  <c r="P111" i="1" a="1"/>
  <c r="P112" i="1" a="1"/>
  <c r="P113" i="1" a="1"/>
  <c r="P114" i="1" a="1"/>
  <c r="P115" i="1" a="1"/>
  <c r="P116" i="1" a="1"/>
  <c r="P117" i="1" a="1"/>
  <c r="P118" i="1" a="1"/>
  <c r="P119" i="1" a="1"/>
  <c r="P120" i="1" a="1"/>
  <c r="P121" i="1" a="1"/>
  <c r="P122" i="1" a="1"/>
  <c r="P123" i="1" a="1"/>
  <c r="P124" i="1" a="1"/>
  <c r="P125" i="1" a="1"/>
  <c r="P126" i="1" a="1"/>
  <c r="P127" i="1" a="1"/>
  <c r="P128" i="1" a="1"/>
  <c r="P129" i="1" a="1"/>
  <c r="P130" i="1" a="1"/>
  <c r="P131" i="1" a="1"/>
  <c r="P132" i="1" a="1"/>
  <c r="P133" i="1" a="1"/>
  <c r="P134" i="1" a="1"/>
  <c r="P135" i="1" a="1"/>
  <c r="P136" i="1" a="1"/>
  <c r="P137" i="1" a="1"/>
  <c r="P138" i="1" a="1"/>
  <c r="P139" i="1" a="1"/>
  <c r="P140" i="1" a="1"/>
  <c r="P141" i="1" a="1"/>
  <c r="P142" i="1" a="1"/>
  <c r="P143" i="1" a="1"/>
  <c r="P144" i="1" a="1"/>
  <c r="P145" i="1" a="1"/>
  <c r="P146" i="1" a="1"/>
  <c r="P147" i="1" a="1"/>
  <c r="P148" i="1" a="1"/>
  <c r="P149" i="1" a="1"/>
  <c r="P150" i="1" a="1"/>
  <c r="P151" i="1" a="1"/>
  <c r="P152" i="1" a="1"/>
  <c r="P153" i="1" a="1"/>
  <c r="P154" i="1" a="1"/>
  <c r="P155" i="1" a="1"/>
  <c r="P156" i="1" a="1"/>
  <c r="P157" i="1" a="1"/>
  <c r="P158" i="1" a="1"/>
  <c r="P159" i="1" a="1"/>
  <c r="P160" i="1" a="1"/>
  <c r="P161" i="1" a="1"/>
  <c r="P162" i="1" a="1"/>
  <c r="P163" i="1" a="1"/>
  <c r="P164" i="1" a="1"/>
  <c r="P165" i="1" a="1"/>
  <c r="P166" i="1" a="1"/>
  <c r="P167" i="1" a="1"/>
  <c r="P168" i="1" a="1"/>
  <c r="P169" i="1" a="1"/>
  <c r="P170" i="1" a="1"/>
  <c r="P171" i="1" a="1"/>
  <c r="P172" i="1" a="1"/>
  <c r="P173" i="1" a="1"/>
  <c r="P174" i="1" a="1"/>
  <c r="P175" i="1" a="1"/>
  <c r="P176" i="1" a="1"/>
  <c r="P177" i="1" a="1"/>
  <c r="P178" i="1" a="1"/>
  <c r="P179" i="1" a="1"/>
  <c r="P180" i="1" a="1"/>
  <c r="P181" i="1" a="1"/>
  <c r="P182" i="1" a="1"/>
  <c r="P183" i="1" a="1"/>
  <c r="P184" i="1" a="1"/>
  <c r="P185" i="1" a="1"/>
  <c r="P186" i="1" a="1"/>
  <c r="P187" i="1" a="1"/>
  <c r="P188" i="1" a="1"/>
  <c r="P189" i="1" a="1"/>
  <c r="P190" i="1" a="1"/>
  <c r="P191" i="1" a="1"/>
  <c r="P192" i="1" a="1"/>
  <c r="P193" i="1" a="1"/>
  <c r="P194" i="1" a="1"/>
  <c r="P195" i="1" a="1"/>
  <c r="P196" i="1" a="1"/>
  <c r="P197" i="1" a="1"/>
  <c r="P198" i="1" a="1"/>
  <c r="P199" i="1" a="1"/>
  <c r="P200" i="1" a="1"/>
  <c r="P201" i="1" a="1"/>
  <c r="P202" i="1" a="1"/>
  <c r="P203" i="1" a="1"/>
  <c r="P204" i="1" a="1"/>
  <c r="P205" i="1" a="1"/>
  <c r="P206" i="1" a="1"/>
  <c r="P207" i="1" a="1"/>
  <c r="P208" i="1" a="1"/>
  <c r="P209" i="1" a="1"/>
  <c r="P210" i="1" a="1"/>
  <c r="P211" i="1" a="1"/>
  <c r="P212" i="1" a="1"/>
  <c r="P213" i="1" a="1"/>
  <c r="P214" i="1" a="1"/>
  <c r="P215" i="1" a="1"/>
  <c r="P216" i="1" a="1"/>
  <c r="P217" i="1" a="1"/>
  <c r="P218" i="1" a="1"/>
  <c r="P219" i="1" a="1"/>
  <c r="P220" i="1" a="1"/>
  <c r="P221" i="1" a="1"/>
  <c r="P222" i="1" a="1"/>
  <c r="P223" i="1" a="1"/>
  <c r="P224" i="1" a="1"/>
  <c r="P225" i="1" a="1"/>
  <c r="P226" i="1" a="1"/>
  <c r="P227" i="1" a="1"/>
  <c r="P228" i="1" a="1"/>
  <c r="P229" i="1" a="1"/>
  <c r="P230" i="1" a="1"/>
  <c r="P231" i="1" a="1"/>
  <c r="P232" i="1" a="1"/>
  <c r="P233" i="1" a="1"/>
  <c r="P234" i="1" a="1"/>
  <c r="P235" i="1" a="1"/>
  <c r="P236" i="1" a="1"/>
  <c r="P237" i="1" a="1"/>
  <c r="P238" i="1" a="1"/>
  <c r="P239" i="1" a="1"/>
  <c r="P240" i="1" a="1"/>
  <c r="P241" i="1" a="1"/>
  <c r="P242" i="1" a="1"/>
  <c r="P243" i="1" a="1"/>
  <c r="P244" i="1" a="1"/>
  <c r="P245" i="1" a="1"/>
  <c r="P246" i="1" a="1"/>
  <c r="P247" i="1" a="1"/>
  <c r="P248" i="1" a="1"/>
  <c r="P249" i="1" a="1"/>
  <c r="P250" i="1" a="1"/>
  <c r="P251" i="1" a="1"/>
  <c r="P252" i="1" a="1"/>
  <c r="P253" i="1" a="1"/>
  <c r="P254" i="1" a="1"/>
  <c r="P255" i="1" a="1"/>
  <c r="P256" i="1" a="1"/>
  <c r="P257" i="1" a="1"/>
  <c r="P258" i="1" a="1"/>
  <c r="P259" i="1" a="1"/>
  <c r="P260" i="1" a="1"/>
  <c r="P261" i="1" a="1"/>
  <c r="P262" i="1" a="1"/>
  <c r="P263" i="1" a="1"/>
  <c r="P264" i="1" a="1"/>
  <c r="P265" i="1" a="1"/>
  <c r="P266" i="1" a="1"/>
  <c r="P267" i="1" a="1"/>
  <c r="P268" i="1" a="1"/>
  <c r="P269" i="1" a="1"/>
  <c r="P270" i="1" a="1"/>
  <c r="P271" i="1" a="1"/>
  <c r="P272" i="1" a="1"/>
  <c r="P273" i="1" a="1"/>
  <c r="P274" i="1" a="1"/>
  <c r="P275" i="1" a="1"/>
  <c r="P276" i="1" a="1"/>
  <c r="P277" i="1" a="1"/>
  <c r="P278" i="1" a="1"/>
  <c r="P279" i="1" a="1"/>
  <c r="P280" i="1" a="1"/>
  <c r="P281" i="1" a="1"/>
  <c r="P282" i="1" a="1"/>
  <c r="P283" i="1" a="1"/>
  <c r="P284" i="1" a="1"/>
  <c r="P285" i="1" a="1"/>
  <c r="P286" i="1" a="1"/>
  <c r="P287" i="1" a="1"/>
  <c r="P288" i="1" a="1"/>
  <c r="P289" i="1" a="1"/>
  <c r="P290" i="1" a="1"/>
  <c r="P291" i="1" a="1"/>
  <c r="P292" i="1" a="1"/>
  <c r="P293" i="1" a="1"/>
  <c r="P294" i="1" a="1"/>
  <c r="P295" i="1" a="1"/>
  <c r="P296" i="1" a="1"/>
  <c r="P297" i="1" a="1"/>
  <c r="P298" i="1" a="1"/>
  <c r="P299" i="1" a="1"/>
  <c r="P300" i="1" a="1"/>
  <c r="P301" i="1" a="1"/>
  <c r="P302" i="1" a="1"/>
  <c r="P303" i="1" a="1"/>
  <c r="P304" i="1" a="1"/>
  <c r="P305" i="1" a="1"/>
  <c r="P306" i="1" a="1"/>
  <c r="P307" i="1" a="1"/>
  <c r="P308" i="1" a="1"/>
  <c r="P309" i="1" a="1"/>
  <c r="P310" i="1" a="1"/>
  <c r="P311" i="1" a="1"/>
  <c r="P312" i="1" a="1"/>
  <c r="P313" i="1" a="1"/>
  <c r="P314" i="1" a="1"/>
  <c r="P315" i="1" a="1"/>
  <c r="P316" i="1" a="1"/>
  <c r="P317" i="1" a="1"/>
  <c r="P318" i="1" a="1"/>
  <c r="P319" i="1" a="1"/>
  <c r="P320" i="1" a="1"/>
  <c r="P321" i="1" a="1"/>
  <c r="P322" i="1" a="1"/>
  <c r="P323" i="1" a="1"/>
  <c r="P324" i="1" a="1"/>
  <c r="P325" i="1" a="1"/>
  <c r="P326" i="1" a="1"/>
  <c r="P327" i="1" a="1"/>
  <c r="P328" i="1" a="1"/>
  <c r="P329" i="1" a="1"/>
  <c r="P330" i="1" a="1"/>
  <c r="P331" i="1" a="1"/>
  <c r="P332" i="1" a="1"/>
  <c r="P333" i="1" a="1"/>
  <c r="P334" i="1" a="1"/>
  <c r="P335" i="1" a="1"/>
  <c r="P336" i="1" a="1"/>
  <c r="P337" i="1" a="1"/>
  <c r="P338" i="1" a="1"/>
  <c r="P339" i="1" a="1"/>
  <c r="P340" i="1" a="1"/>
  <c r="P341" i="1" a="1"/>
  <c r="P342" i="1" a="1"/>
  <c r="P343" i="1" a="1"/>
  <c r="P344" i="1" a="1"/>
  <c r="P345" i="1" a="1"/>
  <c r="P346" i="1" a="1"/>
  <c r="P347" i="1" a="1"/>
  <c r="P348" i="1" a="1"/>
  <c r="P349" i="1" a="1"/>
  <c r="P350" i="1" a="1"/>
  <c r="P351" i="1" a="1"/>
  <c r="P352" i="1" a="1"/>
  <c r="P353" i="1" a="1"/>
  <c r="P354" i="1" a="1"/>
  <c r="P355" i="1" a="1"/>
  <c r="P356" i="1" a="1"/>
  <c r="P357" i="1" a="1"/>
  <c r="P358" i="1" a="1"/>
  <c r="P359" i="1" a="1"/>
  <c r="P360" i="1" a="1"/>
  <c r="P361" i="1" a="1"/>
  <c r="P362" i="1" a="1"/>
  <c r="P363" i="1" a="1"/>
  <c r="P364" i="1" a="1"/>
  <c r="P365" i="1" a="1"/>
  <c r="P366" i="1" a="1"/>
  <c r="P367" i="1" a="1"/>
  <c r="P368" i="1" a="1"/>
  <c r="P369" i="1" a="1"/>
  <c r="P370" i="1" a="1"/>
  <c r="P371" i="1" a="1"/>
  <c r="P372" i="1" a="1"/>
  <c r="P373" i="1" a="1"/>
  <c r="P374" i="1" a="1"/>
  <c r="P375" i="1" a="1"/>
  <c r="P376" i="1" a="1"/>
  <c r="P377" i="1" a="1"/>
  <c r="P378" i="1" a="1"/>
  <c r="P379" i="1" a="1"/>
  <c r="P380" i="1" a="1"/>
  <c r="P381" i="1" a="1"/>
  <c r="P382" i="1" a="1"/>
  <c r="P383" i="1" a="1"/>
  <c r="P384" i="1" a="1"/>
  <c r="P385" i="1" a="1"/>
  <c r="P386" i="1" a="1"/>
  <c r="P387" i="1" a="1"/>
  <c r="P388" i="1" a="1"/>
  <c r="P389" i="1" a="1"/>
  <c r="P390" i="1" a="1"/>
  <c r="P391" i="1" a="1"/>
  <c r="P392" i="1" a="1"/>
  <c r="P393" i="1" a="1"/>
  <c r="P394" i="1" a="1"/>
  <c r="P395" i="1" a="1"/>
  <c r="P396" i="1" a="1"/>
  <c r="P397" i="1" a="1"/>
  <c r="P398" i="1" a="1"/>
  <c r="P399" i="1" a="1"/>
  <c r="P400" i="1" a="1"/>
  <c r="P401" i="1" a="1"/>
  <c r="P402" i="1" a="1"/>
  <c r="P403" i="1" a="1"/>
  <c r="P404" i="1" a="1"/>
  <c r="P405" i="1" a="1"/>
  <c r="P406" i="1" a="1"/>
  <c r="P407" i="1" a="1"/>
  <c r="P408" i="1" a="1"/>
  <c r="P409" i="1" a="1"/>
  <c r="P410" i="1" a="1"/>
  <c r="P411" i="1" a="1"/>
  <c r="P412" i="1" a="1"/>
  <c r="P413" i="1" a="1"/>
  <c r="P414" i="1" a="1"/>
  <c r="P415" i="1" a="1"/>
  <c r="P416" i="1" a="1"/>
  <c r="P417" i="1" a="1"/>
  <c r="P418" i="1" a="1"/>
  <c r="P419" i="1" a="1"/>
  <c r="P420" i="1" a="1"/>
  <c r="P421" i="1" a="1"/>
  <c r="P422" i="1" a="1"/>
  <c r="P423" i="1" a="1"/>
  <c r="P424" i="1" a="1"/>
  <c r="P425" i="1" a="1"/>
  <c r="P426" i="1" a="1"/>
  <c r="P427" i="1" a="1"/>
  <c r="P428" i="1" a="1"/>
  <c r="P429" i="1" a="1"/>
  <c r="P430" i="1" a="1"/>
  <c r="P431" i="1" a="1"/>
  <c r="P432" i="1" a="1"/>
  <c r="P433" i="1" a="1"/>
  <c r="P434" i="1" a="1"/>
  <c r="P435" i="1" a="1"/>
  <c r="P436" i="1" a="1"/>
  <c r="P437" i="1" a="1"/>
  <c r="P438" i="1" a="1"/>
  <c r="P439" i="1" a="1"/>
  <c r="P440" i="1" a="1"/>
  <c r="P441" i="1" a="1"/>
  <c r="P442" i="1" a="1"/>
  <c r="P443" i="1" a="1"/>
  <c r="P444" i="1" a="1"/>
  <c r="P445" i="1" a="1"/>
  <c r="P446" i="1" a="1"/>
  <c r="P447" i="1" a="1"/>
  <c r="P448" i="1" a="1"/>
  <c r="P449" i="1" a="1"/>
  <c r="P450" i="1" a="1"/>
  <c r="P451" i="1" a="1"/>
  <c r="P452" i="1" a="1"/>
  <c r="P453" i="1" a="1"/>
  <c r="P454" i="1" a="1"/>
  <c r="P455" i="1" a="1"/>
  <c r="P456" i="1" a="1"/>
  <c r="P457" i="1" a="1"/>
  <c r="P458" i="1" a="1"/>
  <c r="P459" i="1" a="1"/>
  <c r="P460" i="1" a="1"/>
  <c r="P461" i="1" a="1"/>
  <c r="P462" i="1" a="1"/>
  <c r="P463" i="1" a="1"/>
  <c r="P464" i="1" a="1"/>
  <c r="P465" i="1" a="1"/>
  <c r="P466" i="1" a="1"/>
  <c r="P467" i="1" a="1"/>
  <c r="P468" i="1" a="1"/>
  <c r="P469" i="1" a="1"/>
  <c r="P470" i="1" a="1"/>
  <c r="P471" i="1" a="1"/>
  <c r="P472" i="1" a="1"/>
  <c r="P473" i="1" a="1"/>
  <c r="P474" i="1" a="1"/>
  <c r="P475" i="1" a="1"/>
  <c r="P476" i="1" a="1"/>
  <c r="P477" i="1" a="1"/>
  <c r="P478" i="1" a="1"/>
  <c r="P479" i="1" a="1"/>
  <c r="P480" i="1" a="1"/>
  <c r="P481" i="1" a="1"/>
  <c r="P482" i="1" a="1"/>
  <c r="P483" i="1" a="1"/>
  <c r="P484" i="1" a="1"/>
  <c r="P485" i="1" a="1"/>
  <c r="P486" i="1" a="1"/>
  <c r="P487" i="1" a="1"/>
  <c r="P488" i="1" a="1"/>
  <c r="P489" i="1" a="1"/>
  <c r="P490" i="1" a="1"/>
  <c r="P491" i="1" a="1"/>
  <c r="P492" i="1" a="1"/>
  <c r="P493" i="1" a="1"/>
  <c r="P494" i="1" a="1"/>
  <c r="P495" i="1" a="1"/>
  <c r="P496" i="1" a="1"/>
  <c r="P497" i="1" a="1"/>
  <c r="P498" i="1" a="1"/>
  <c r="P499" i="1" a="1"/>
  <c r="P500" i="1" a="1"/>
  <c r="P501" i="1" a="1"/>
  <c r="P502" i="1" a="1"/>
  <c r="P503" i="1" a="1"/>
  <c r="P504" i="1" a="1"/>
  <c r="P505" i="1" a="1"/>
  <c r="P506" i="1" a="1"/>
  <c r="P507" i="1" a="1"/>
  <c r="P508" i="1" a="1"/>
  <c r="P509" i="1" a="1"/>
  <c r="P510" i="1" a="1"/>
  <c r="P511" i="1" a="1"/>
  <c r="P512" i="1" a="1"/>
  <c r="P513" i="1" a="1"/>
  <c r="P514" i="1" a="1"/>
  <c r="P515" i="1" a="1"/>
  <c r="P516" i="1" a="1"/>
  <c r="P517" i="1" a="1"/>
  <c r="P518" i="1" a="1"/>
  <c r="P519" i="1" a="1"/>
  <c r="P520" i="1" a="1"/>
  <c r="P521" i="1" a="1"/>
  <c r="P522" i="1" a="1"/>
  <c r="P523" i="1" a="1"/>
  <c r="P524" i="1" a="1"/>
  <c r="P525" i="1" a="1"/>
  <c r="P526" i="1" a="1"/>
  <c r="P527" i="1" a="1"/>
  <c r="P528" i="1" a="1"/>
  <c r="P529" i="1" a="1"/>
  <c r="P530" i="1" a="1"/>
  <c r="P531" i="1" a="1"/>
  <c r="P532" i="1" a="1"/>
  <c r="P533" i="1" a="1"/>
  <c r="P534" i="1" a="1"/>
  <c r="P535" i="1" a="1"/>
  <c r="P536" i="1" a="1"/>
  <c r="P537" i="1" a="1"/>
  <c r="P538" i="1" a="1"/>
  <c r="P539" i="1" a="1"/>
  <c r="P540" i="1" a="1"/>
  <c r="P541" i="1" a="1"/>
  <c r="P542" i="1" a="1"/>
  <c r="P543" i="1" a="1"/>
  <c r="P544" i="1" a="1"/>
  <c r="P545" i="1" a="1"/>
  <c r="P546" i="1" a="1"/>
  <c r="P547" i="1" a="1"/>
  <c r="P548" i="1" a="1"/>
  <c r="P549" i="1" a="1"/>
  <c r="P550" i="1" a="1"/>
  <c r="P551" i="1" a="1"/>
  <c r="P552" i="1" a="1"/>
  <c r="P553" i="1" a="1"/>
  <c r="P554" i="1" a="1"/>
  <c r="P555" i="1" a="1"/>
  <c r="P556" i="1" a="1"/>
  <c r="P557" i="1" a="1"/>
  <c r="P558" i="1" a="1"/>
  <c r="P559" i="1" a="1"/>
  <c r="P560" i="1" a="1"/>
  <c r="P561" i="1" a="1"/>
  <c r="P562" i="1" a="1"/>
  <c r="P563" i="1" a="1"/>
  <c r="P564" i="1" a="1"/>
  <c r="P565" i="1" a="1"/>
  <c r="P566" i="1" a="1"/>
  <c r="P567" i="1" a="1"/>
  <c r="P568" i="1" a="1"/>
  <c r="P569" i="1" a="1"/>
  <c r="P570" i="1" a="1"/>
  <c r="P571" i="1" a="1"/>
  <c r="P572" i="1" a="1"/>
  <c r="P573" i="1" a="1"/>
  <c r="P574" i="1" a="1"/>
  <c r="P575" i="1" a="1"/>
  <c r="P576" i="1" a="1"/>
  <c r="P577" i="1" a="1"/>
  <c r="P578" i="1" a="1"/>
  <c r="P579" i="1" a="1"/>
  <c r="P580" i="1" a="1"/>
  <c r="P581" i="1" a="1"/>
  <c r="P582" i="1" a="1"/>
  <c r="P583" i="1" a="1"/>
  <c r="P584" i="1" a="1"/>
  <c r="P585" i="1" a="1"/>
  <c r="P586" i="1" a="1"/>
  <c r="P587" i="1" a="1"/>
  <c r="P588" i="1" a="1"/>
  <c r="P589" i="1" a="1"/>
  <c r="P590" i="1" a="1"/>
  <c r="P591" i="1" a="1"/>
  <c r="P592" i="1" a="1"/>
  <c r="P593" i="1" a="1"/>
  <c r="P594" i="1" a="1"/>
  <c r="P595" i="1" a="1"/>
  <c r="P596" i="1" a="1"/>
  <c r="P597" i="1" a="1"/>
  <c r="P598" i="1" a="1"/>
  <c r="P599" i="1" a="1"/>
  <c r="P600" i="1" a="1"/>
  <c r="P601" i="1" a="1"/>
  <c r="P602" i="1" a="1"/>
  <c r="P603" i="1" a="1"/>
  <c r="P604" i="1" a="1"/>
  <c r="P605" i="1" a="1"/>
  <c r="P606" i="1" a="1"/>
  <c r="P607" i="1" a="1"/>
  <c r="P608" i="1" a="1"/>
  <c r="P609" i="1" a="1"/>
  <c r="P610" i="1" a="1"/>
  <c r="P611" i="1" a="1"/>
  <c r="P612" i="1" a="1"/>
  <c r="P613" i="1" a="1"/>
  <c r="P614" i="1" a="1"/>
  <c r="P615" i="1" a="1"/>
  <c r="P616" i="1" a="1"/>
  <c r="P617" i="1" a="1"/>
  <c r="P618" i="1" a="1"/>
  <c r="P619" i="1" a="1"/>
  <c r="P620" i="1" a="1"/>
  <c r="P621" i="1" a="1"/>
  <c r="P622" i="1" a="1"/>
  <c r="P623" i="1" a="1"/>
  <c r="P624" i="1" a="1"/>
  <c r="P625" i="1" a="1"/>
  <c r="P626" i="1" a="1"/>
  <c r="P627" i="1" a="1"/>
  <c r="P628" i="1" a="1"/>
  <c r="P629" i="1" a="1"/>
  <c r="P630" i="1" a="1"/>
  <c r="P631" i="1" a="1"/>
  <c r="P632" i="1" a="1"/>
  <c r="P633" i="1" a="1"/>
  <c r="P634" i="1" a="1"/>
  <c r="P635" i="1" a="1"/>
  <c r="P636" i="1" a="1"/>
  <c r="P637" i="1" a="1"/>
  <c r="P638" i="1" a="1"/>
  <c r="P639" i="1" a="1"/>
  <c r="P640" i="1" a="1"/>
  <c r="P641" i="1" a="1"/>
  <c r="P642" i="1" a="1"/>
  <c r="P643" i="1" a="1"/>
  <c r="P644" i="1" a="1"/>
  <c r="P645" i="1" a="1"/>
  <c r="P646" i="1" a="1"/>
  <c r="P647" i="1" a="1"/>
  <c r="P648" i="1" a="1"/>
  <c r="P649" i="1" a="1"/>
  <c r="P650" i="1" a="1"/>
  <c r="P651" i="1" a="1"/>
  <c r="P652" i="1" a="1"/>
  <c r="P653" i="1" a="1"/>
  <c r="P654" i="1" a="1"/>
  <c r="P655" i="1" a="1"/>
  <c r="P656" i="1" a="1"/>
  <c r="P657" i="1" a="1"/>
  <c r="P658" i="1" a="1"/>
  <c r="P659" i="1" a="1"/>
  <c r="P660" i="1" a="1"/>
  <c r="P661" i="1" a="1"/>
  <c r="P662" i="1" a="1"/>
  <c r="P663" i="1" a="1"/>
  <c r="P664" i="1" a="1"/>
  <c r="P665" i="1" a="1"/>
  <c r="P666" i="1" a="1"/>
  <c r="P667" i="1" a="1"/>
  <c r="P668" i="1" a="1"/>
  <c r="P669" i="1" a="1"/>
  <c r="P670" i="1" a="1"/>
  <c r="P671" i="1" a="1"/>
  <c r="P672" i="1" a="1"/>
  <c r="P673" i="1" a="1"/>
  <c r="P674" i="1" a="1"/>
  <c r="P675" i="1" a="1"/>
  <c r="P676" i="1" a="1"/>
  <c r="P677" i="1" a="1"/>
  <c r="P678" i="1" a="1"/>
  <c r="P679" i="1" a="1"/>
  <c r="P680" i="1" a="1"/>
  <c r="P681" i="1" a="1"/>
  <c r="P682" i="1" a="1"/>
  <c r="P683" i="1" a="1"/>
  <c r="P684" i="1" a="1"/>
  <c r="P685" i="1" a="1"/>
  <c r="P686" i="1" a="1"/>
  <c r="P687" i="1" a="1"/>
  <c r="P688" i="1" a="1"/>
  <c r="P689" i="1" a="1"/>
  <c r="P690" i="1" a="1"/>
  <c r="P691" i="1" a="1"/>
  <c r="P692" i="1" a="1"/>
  <c r="P693" i="1" a="1"/>
  <c r="P694" i="1" a="1"/>
  <c r="P695" i="1" a="1"/>
  <c r="P696" i="1" a="1"/>
  <c r="P697" i="1" a="1"/>
  <c r="P698" i="1" a="1"/>
  <c r="P699" i="1" a="1"/>
  <c r="P700" i="1" a="1"/>
  <c r="P701" i="1" a="1"/>
  <c r="P702" i="1" a="1"/>
  <c r="P703" i="1" a="1"/>
  <c r="P704" i="1" a="1"/>
  <c r="P705" i="1" a="1"/>
  <c r="P706" i="1" a="1"/>
  <c r="P707" i="1" a="1"/>
  <c r="P708" i="1" a="1"/>
  <c r="P709" i="1" a="1"/>
  <c r="P710" i="1" a="1"/>
  <c r="P711" i="1" a="1"/>
  <c r="P712" i="1" a="1"/>
  <c r="P713" i="1" a="1"/>
  <c r="P714" i="1" a="1"/>
  <c r="P715" i="1" a="1"/>
  <c r="P716" i="1" a="1"/>
  <c r="P717" i="1" a="1"/>
  <c r="P718" i="1" a="1"/>
  <c r="P719" i="1" a="1"/>
  <c r="P720" i="1" a="1"/>
  <c r="P721" i="1" a="1"/>
  <c r="P722" i="1" a="1"/>
  <c r="P723" i="1" a="1"/>
  <c r="P724" i="1" a="1"/>
  <c r="P725" i="1" a="1"/>
  <c r="P726" i="1" a="1"/>
  <c r="P727" i="1" a="1"/>
  <c r="P728" i="1" a="1"/>
  <c r="P729" i="1" a="1"/>
  <c r="P730" i="1" a="1"/>
  <c r="P731" i="1" a="1"/>
  <c r="P732" i="1" a="1"/>
  <c r="P733" i="1" a="1"/>
  <c r="P734" i="1" a="1"/>
  <c r="P735" i="1" a="1"/>
  <c r="P736" i="1" a="1"/>
  <c r="P737" i="1" a="1"/>
  <c r="P738" i="1" a="1"/>
  <c r="P739" i="1" a="1"/>
  <c r="P740" i="1" a="1"/>
  <c r="P741" i="1" a="1"/>
  <c r="P742" i="1" a="1"/>
  <c r="P743" i="1" a="1"/>
  <c r="P744" i="1" a="1"/>
  <c r="P745" i="1" a="1"/>
  <c r="P746" i="1" a="1"/>
  <c r="P747" i="1" a="1"/>
  <c r="P748" i="1" a="1"/>
  <c r="P749" i="1" a="1"/>
  <c r="P750" i="1" a="1"/>
  <c r="P751" i="1" a="1"/>
  <c r="P752" i="1" a="1"/>
  <c r="P753" i="1" a="1"/>
  <c r="P754" i="1" a="1"/>
  <c r="P755" i="1" a="1"/>
  <c r="P756" i="1" a="1"/>
  <c r="P757" i="1" a="1"/>
  <c r="P758" i="1" a="1"/>
  <c r="P759" i="1" a="1"/>
  <c r="P760" i="1" a="1"/>
  <c r="P761" i="1" a="1"/>
  <c r="P762" i="1" a="1"/>
  <c r="P763" i="1" a="1"/>
  <c r="P764" i="1" a="1"/>
  <c r="P765" i="1" a="1"/>
  <c r="P766" i="1" a="1"/>
  <c r="P767" i="1" a="1"/>
  <c r="P768" i="1" a="1"/>
  <c r="P769" i="1" a="1"/>
  <c r="P770" i="1" a="1"/>
  <c r="P771" i="1" a="1"/>
  <c r="P772" i="1" a="1"/>
  <c r="P773" i="1" a="1"/>
  <c r="P774" i="1" a="1"/>
  <c r="P775" i="1" a="1"/>
  <c r="P776" i="1" a="1"/>
  <c r="P777" i="1" a="1"/>
  <c r="P778" i="1" a="1"/>
  <c r="P779" i="1" a="1"/>
  <c r="P780" i="1" a="1"/>
  <c r="P781" i="1" a="1"/>
  <c r="P782" i="1" a="1"/>
  <c r="P783" i="1" a="1"/>
  <c r="P784" i="1" a="1"/>
  <c r="P785" i="1" a="1"/>
  <c r="P786" i="1" a="1"/>
  <c r="P787" i="1" a="1"/>
  <c r="P788" i="1" a="1"/>
  <c r="P789" i="1" a="1"/>
  <c r="P790" i="1" a="1"/>
  <c r="P791" i="1" a="1"/>
  <c r="P792" i="1" a="1"/>
  <c r="P793" i="1" a="1"/>
  <c r="P794" i="1" a="1"/>
  <c r="P795" i="1" a="1"/>
  <c r="P796" i="1" a="1"/>
  <c r="P797" i="1" a="1"/>
  <c r="P798" i="1" a="1"/>
  <c r="P799" i="1" a="1"/>
  <c r="P800" i="1" a="1"/>
  <c r="P801" i="1" a="1"/>
  <c r="P802" i="1" a="1"/>
  <c r="P803" i="1" a="1"/>
  <c r="P804" i="1" a="1"/>
  <c r="P805" i="1" a="1"/>
  <c r="P806" i="1" a="1"/>
  <c r="P807" i="1" a="1"/>
  <c r="P808" i="1" a="1"/>
  <c r="P809" i="1" a="1"/>
  <c r="P810" i="1" a="1"/>
  <c r="P811" i="1" a="1"/>
  <c r="P812" i="1" a="1"/>
  <c r="P813" i="1" a="1"/>
  <c r="P814" i="1" a="1"/>
  <c r="P815" i="1" a="1"/>
  <c r="P816" i="1" a="1"/>
  <c r="P817" i="1" a="1"/>
  <c r="P818" i="1" a="1"/>
  <c r="P819" i="1" a="1"/>
  <c r="P820" i="1" a="1"/>
  <c r="P821" i="1" a="1"/>
  <c r="P822" i="1" a="1"/>
  <c r="P823" i="1" a="1"/>
  <c r="P824" i="1" a="1"/>
  <c r="P825" i="1" a="1"/>
  <c r="P826" i="1" a="1"/>
  <c r="P827" i="1" a="1"/>
  <c r="P828" i="1" a="1"/>
  <c r="P829" i="1" a="1"/>
  <c r="P830" i="1" a="1"/>
  <c r="P831" i="1" a="1"/>
  <c r="P832" i="1" a="1"/>
  <c r="P833" i="1" a="1"/>
  <c r="P834" i="1" a="1"/>
  <c r="P835" i="1" a="1"/>
  <c r="P836" i="1" a="1"/>
  <c r="P837" i="1" a="1"/>
  <c r="P838" i="1" a="1"/>
  <c r="P839" i="1" a="1"/>
  <c r="P840" i="1" a="1"/>
  <c r="P841" i="1" a="1"/>
  <c r="P842" i="1" a="1"/>
  <c r="P843" i="1" a="1"/>
  <c r="P844" i="1" a="1"/>
  <c r="P845" i="1" a="1"/>
  <c r="P846" i="1" a="1"/>
  <c r="P847" i="1" a="1"/>
  <c r="P848" i="1" a="1"/>
  <c r="P849" i="1" a="1"/>
  <c r="P850" i="1" a="1"/>
  <c r="P851" i="1" a="1"/>
  <c r="P852" i="1" a="1"/>
  <c r="P853" i="1" a="1"/>
  <c r="P854" i="1" a="1"/>
  <c r="P855" i="1" a="1"/>
  <c r="P856" i="1" a="1"/>
  <c r="P857" i="1" a="1"/>
  <c r="P858" i="1" a="1"/>
  <c r="P859" i="1" a="1"/>
  <c r="P860" i="1" a="1"/>
  <c r="P861" i="1" a="1"/>
  <c r="P862" i="1" a="1"/>
  <c r="P863" i="1" a="1"/>
  <c r="P864" i="1" a="1"/>
  <c r="P865" i="1" a="1"/>
  <c r="P866" i="1" a="1"/>
  <c r="P867" i="1" a="1"/>
  <c r="P868" i="1" a="1"/>
  <c r="P869" i="1" a="1"/>
  <c r="P870" i="1" a="1"/>
  <c r="P871" i="1" a="1"/>
  <c r="P872" i="1" a="1"/>
  <c r="P873" i="1" a="1"/>
  <c r="P874" i="1" a="1"/>
  <c r="P875" i="1" a="1"/>
  <c r="P876" i="1" a="1"/>
  <c r="P877" i="1" a="1"/>
  <c r="P878" i="1" a="1"/>
  <c r="P879" i="1" a="1"/>
  <c r="P880" i="1" a="1"/>
  <c r="P881" i="1" a="1"/>
  <c r="P882" i="1" a="1"/>
  <c r="P883" i="1" a="1"/>
  <c r="P884" i="1" a="1"/>
  <c r="P885" i="1" a="1"/>
  <c r="P886" i="1" a="1"/>
  <c r="P887" i="1" a="1"/>
  <c r="P888" i="1" a="1"/>
  <c r="P889" i="1" a="1"/>
  <c r="P890" i="1" a="1"/>
  <c r="P891" i="1" a="1"/>
  <c r="P892" i="1" a="1"/>
  <c r="P893" i="1" a="1"/>
  <c r="P894" i="1" a="1"/>
  <c r="P895" i="1" a="1"/>
  <c r="P896" i="1" a="1"/>
  <c r="P897" i="1" a="1"/>
  <c r="P898" i="1" a="1"/>
  <c r="P899" i="1" a="1"/>
  <c r="P900" i="1" a="1"/>
  <c r="P901" i="1" a="1"/>
  <c r="P902" i="1" a="1"/>
  <c r="P903" i="1" a="1"/>
  <c r="P904" i="1" a="1"/>
  <c r="P905" i="1" a="1"/>
  <c r="P906" i="1" a="1"/>
  <c r="P907" i="1" a="1"/>
  <c r="P908" i="1" a="1"/>
  <c r="P909" i="1" a="1"/>
  <c r="P910" i="1" a="1"/>
  <c r="P911" i="1" a="1"/>
  <c r="P912" i="1" a="1"/>
  <c r="P913" i="1" a="1"/>
  <c r="P914" i="1" a="1"/>
  <c r="P915" i="1" a="1"/>
  <c r="P916" i="1" a="1"/>
  <c r="P917" i="1" a="1"/>
  <c r="P918" i="1" a="1"/>
  <c r="P919" i="1" a="1"/>
  <c r="P920" i="1" a="1"/>
  <c r="P921" i="1" a="1"/>
  <c r="P922" i="1" a="1"/>
  <c r="P923" i="1" a="1"/>
  <c r="P924" i="1" a="1"/>
  <c r="P925" i="1" a="1"/>
  <c r="P926" i="1" a="1"/>
  <c r="P927" i="1" a="1"/>
  <c r="P928" i="1" a="1"/>
  <c r="P929" i="1" a="1"/>
  <c r="P930" i="1" a="1"/>
  <c r="P931" i="1" a="1"/>
  <c r="P932" i="1" a="1"/>
  <c r="P933" i="1" a="1"/>
  <c r="P934" i="1" a="1"/>
  <c r="P935" i="1" a="1"/>
  <c r="P936" i="1" a="1"/>
  <c r="P937" i="1" a="1"/>
  <c r="P938" i="1" a="1"/>
  <c r="P939" i="1" a="1"/>
  <c r="P940" i="1" a="1"/>
  <c r="P941" i="1" a="1"/>
  <c r="P942" i="1" a="1"/>
  <c r="P943" i="1" a="1"/>
  <c r="P944" i="1" a="1"/>
  <c r="P945" i="1" a="1"/>
  <c r="P946" i="1" a="1"/>
  <c r="P947" i="1" a="1"/>
  <c r="P948" i="1" a="1"/>
  <c r="P949" i="1" a="1"/>
  <c r="P950" i="1" a="1"/>
  <c r="P951" i="1" a="1"/>
  <c r="P952" i="1" a="1"/>
  <c r="P953" i="1" a="1"/>
  <c r="P954" i="1" a="1"/>
  <c r="P955" i="1" a="1"/>
  <c r="P956" i="1" a="1"/>
  <c r="P957" i="1" a="1"/>
  <c r="P958" i="1" a="1"/>
  <c r="P959" i="1" a="1"/>
  <c r="P960" i="1" a="1"/>
  <c r="P961" i="1" a="1"/>
  <c r="P962" i="1" a="1"/>
  <c r="P963" i="1" a="1"/>
  <c r="P964" i="1" a="1"/>
  <c r="P965" i="1" a="1"/>
  <c r="P966" i="1" a="1"/>
  <c r="P967" i="1" a="1"/>
  <c r="P968" i="1" a="1"/>
  <c r="P969" i="1" a="1"/>
  <c r="P970" i="1" a="1"/>
  <c r="P971" i="1" a="1"/>
  <c r="P972" i="1" a="1"/>
  <c r="P973" i="1" a="1"/>
  <c r="P974" i="1" a="1"/>
  <c r="P975" i="1" a="1"/>
  <c r="P976" i="1" a="1"/>
  <c r="P977" i="1" a="1"/>
  <c r="P978" i="1" a="1"/>
  <c r="P979" i="1" a="1"/>
  <c r="P980" i="1" a="1"/>
  <c r="P981" i="1" a="1"/>
  <c r="P982" i="1" a="1"/>
  <c r="P983" i="1" a="1"/>
  <c r="P984" i="1" a="1"/>
  <c r="P985" i="1" a="1"/>
  <c r="P986" i="1" a="1"/>
  <c r="P987" i="1" a="1"/>
  <c r="P988" i="1" a="1"/>
  <c r="P989" i="1" a="1"/>
  <c r="P990" i="1" a="1"/>
  <c r="P991" i="1" a="1"/>
  <c r="P992" i="1" a="1"/>
  <c r="P993" i="1" a="1"/>
  <c r="P994" i="1" a="1"/>
  <c r="P995" i="1" a="1"/>
  <c r="P996" i="1" a="1"/>
  <c r="P997" i="1" a="1"/>
  <c r="P998" i="1" a="1"/>
  <c r="P999" i="1" a="1"/>
  <c r="P1000" i="1" a="1"/>
  <c r="P1001" i="1" a="1"/>
  <c r="P1002" i="1" a="1"/>
  <c r="P1003" i="1" a="1"/>
  <c r="P1004" i="1" a="1"/>
  <c r="P1005" i="1" a="1"/>
  <c r="P1006" i="1" a="1"/>
  <c r="P1007" i="1" a="1"/>
  <c r="P1008" i="1" a="1"/>
  <c r="P1009" i="1" a="1"/>
  <c r="P1010" i="1" a="1"/>
  <c r="P1011" i="1" a="1"/>
  <c r="P1012" i="1" a="1"/>
  <c r="P1013" i="1" a="1"/>
  <c r="P1014" i="1" a="1"/>
  <c r="P1015" i="1" a="1"/>
  <c r="P1016" i="1" a="1"/>
  <c r="P1017" i="1" a="1"/>
  <c r="P1018" i="1" a="1"/>
  <c r="P1019" i="1" a="1"/>
  <c r="P1020" i="1" a="1"/>
  <c r="P1021" i="1" a="1"/>
  <c r="P1022" i="1" a="1"/>
  <c r="P1023" i="1" a="1"/>
  <c r="P1024" i="1" a="1"/>
  <c r="P1025" i="1" a="1"/>
  <c r="P1026" i="1" a="1"/>
  <c r="P1027" i="1" a="1"/>
  <c r="P1028" i="1" a="1"/>
  <c r="P1029" i="1" a="1"/>
  <c r="P1030" i="1" a="1"/>
  <c r="P1031" i="1" a="1"/>
  <c r="P1032" i="1" a="1"/>
  <c r="P1033" i="1" a="1"/>
  <c r="P1034" i="1" a="1"/>
  <c r="P1035" i="1" a="1"/>
  <c r="P1036" i="1" a="1"/>
  <c r="P1037" i="1" a="1"/>
  <c r="P1038" i="1" a="1"/>
  <c r="P1039" i="1" a="1"/>
  <c r="P1040" i="1" a="1"/>
  <c r="P1041" i="1" a="1"/>
  <c r="P1042" i="1" a="1"/>
  <c r="P1043" i="1" a="1"/>
  <c r="P1044" i="1" a="1"/>
  <c r="P1045" i="1" a="1"/>
  <c r="P1046" i="1" a="1"/>
  <c r="P1047" i="1" a="1"/>
  <c r="P1048" i="1" a="1"/>
  <c r="P1049" i="1" a="1"/>
  <c r="P1050" i="1" a="1"/>
  <c r="P1051" i="1" a="1"/>
  <c r="P1052" i="1" a="1"/>
  <c r="P1053" i="1" a="1"/>
  <c r="P1054" i="1" a="1"/>
  <c r="P1055" i="1" a="1"/>
  <c r="P1056" i="1" a="1"/>
  <c r="P1057" i="1" a="1"/>
  <c r="P1058" i="1" a="1"/>
  <c r="P1059" i="1" a="1"/>
  <c r="P1060" i="1" a="1"/>
  <c r="P1061" i="1" a="1"/>
  <c r="P1062" i="1" a="1"/>
  <c r="P1063" i="1" a="1"/>
  <c r="P1064" i="1" a="1"/>
  <c r="P1065" i="1" a="1"/>
  <c r="P1066" i="1" a="1"/>
  <c r="P1067" i="1" a="1"/>
  <c r="P1068" i="1" a="1"/>
  <c r="P1069" i="1" a="1"/>
  <c r="P1070" i="1" a="1"/>
  <c r="P1071" i="1" a="1"/>
  <c r="P1072" i="1" a="1"/>
  <c r="P1073" i="1" a="1"/>
  <c r="P1074" i="1" a="1"/>
  <c r="P1075" i="1" a="1"/>
  <c r="P1076" i="1" a="1"/>
  <c r="P1077" i="1" a="1"/>
  <c r="P1078" i="1" a="1"/>
  <c r="P1079" i="1" a="1"/>
  <c r="P1080" i="1" a="1"/>
  <c r="P1081" i="1" a="1"/>
  <c r="P1082" i="1" a="1"/>
  <c r="P1083" i="1" a="1"/>
  <c r="P1084" i="1" a="1"/>
  <c r="P1085" i="1" a="1"/>
  <c r="P1086" i="1" a="1"/>
  <c r="P1087" i="1" a="1"/>
  <c r="P1088" i="1" a="1"/>
  <c r="P1089" i="1" a="1"/>
  <c r="P1090" i="1" a="1"/>
  <c r="P1091" i="1" a="1"/>
  <c r="P1092" i="1" a="1"/>
  <c r="P1093" i="1" a="1"/>
  <c r="P1094" i="1" a="1"/>
  <c r="P1095" i="1" a="1"/>
  <c r="P1096" i="1" a="1"/>
  <c r="P1097" i="1" a="1"/>
  <c r="P1098" i="1" a="1"/>
  <c r="P1099" i="1" a="1"/>
  <c r="P1100" i="1" a="1"/>
  <c r="P1101" i="1" a="1"/>
  <c r="P1102" i="1" a="1"/>
  <c r="P1103" i="1" a="1"/>
  <c r="P1104" i="1" a="1"/>
  <c r="P1105" i="1" a="1"/>
  <c r="P1106" i="1" a="1"/>
  <c r="P1107" i="1" a="1"/>
  <c r="P1108" i="1" a="1"/>
  <c r="P1109" i="1" a="1"/>
  <c r="P1110" i="1" a="1"/>
  <c r="P1111" i="1" a="1"/>
  <c r="P1112" i="1" a="1"/>
  <c r="P1113" i="1" a="1"/>
  <c r="P1114" i="1" a="1"/>
  <c r="P1115" i="1" a="1"/>
  <c r="P1116" i="1" a="1"/>
  <c r="P1117" i="1" a="1"/>
  <c r="P1118" i="1" a="1"/>
  <c r="P1119" i="1" a="1"/>
  <c r="P1120" i="1" a="1"/>
  <c r="P1121" i="1" a="1"/>
  <c r="P1122" i="1" a="1"/>
  <c r="P1123" i="1" a="1"/>
  <c r="P1124" i="1" a="1"/>
  <c r="P1125" i="1" a="1"/>
  <c r="P1126" i="1" a="1"/>
  <c r="P1127" i="1" a="1"/>
  <c r="P1128" i="1" a="1"/>
  <c r="P1129" i="1" a="1"/>
  <c r="P1130" i="1" a="1"/>
  <c r="P1131" i="1" a="1"/>
  <c r="P1132" i="1" a="1"/>
  <c r="P1133" i="1" a="1"/>
  <c r="P1134" i="1" a="1"/>
  <c r="P1135" i="1" a="1"/>
  <c r="P1136" i="1" a="1"/>
  <c r="P1137" i="1" a="1"/>
  <c r="P1138" i="1" a="1"/>
  <c r="P1139" i="1" a="1"/>
  <c r="P1140" i="1" a="1"/>
  <c r="P1141" i="1" a="1"/>
  <c r="P1142" i="1" a="1"/>
  <c r="P1143" i="1" a="1"/>
  <c r="P1144" i="1" a="1"/>
  <c r="P1145" i="1" a="1"/>
  <c r="P1146" i="1" a="1"/>
  <c r="P1147" i="1" a="1"/>
  <c r="P1148" i="1" a="1"/>
  <c r="P1149" i="1" a="1"/>
  <c r="P1150" i="1" a="1"/>
  <c r="P1151" i="1" a="1"/>
  <c r="P1152" i="1" a="1"/>
  <c r="P1153" i="1" a="1"/>
  <c r="P1154" i="1" a="1"/>
  <c r="P1155" i="1" a="1"/>
  <c r="P1156" i="1" a="1"/>
  <c r="P1157" i="1" a="1"/>
  <c r="P1158" i="1" a="1"/>
  <c r="P1159" i="1" a="1"/>
  <c r="P1160" i="1" a="1"/>
  <c r="P1161" i="1" a="1"/>
  <c r="P1162" i="1" a="1"/>
  <c r="P1163" i="1" a="1"/>
  <c r="P1164" i="1" a="1"/>
  <c r="P1165" i="1" a="1"/>
  <c r="P1166" i="1" a="1"/>
  <c r="P1167" i="1" a="1"/>
  <c r="P1168" i="1" a="1"/>
  <c r="P1169" i="1" a="1"/>
  <c r="P1170" i="1" a="1"/>
  <c r="P1171" i="1" a="1"/>
  <c r="P1172" i="1" a="1"/>
  <c r="P1173" i="1" a="1"/>
  <c r="P1174" i="1" a="1"/>
  <c r="P1175" i="1" a="1"/>
  <c r="P1176" i="1" a="1"/>
  <c r="P1177" i="1" a="1"/>
  <c r="P1178" i="1" a="1"/>
  <c r="P1179" i="1" a="1"/>
  <c r="P1180" i="1" a="1"/>
  <c r="P1181" i="1" a="1"/>
  <c r="P1182" i="1" a="1"/>
  <c r="P1183" i="1" a="1"/>
  <c r="P1184" i="1" a="1"/>
  <c r="P1185" i="1" a="1"/>
  <c r="P1186" i="1" a="1"/>
  <c r="P1187" i="1" a="1"/>
  <c r="P1188" i="1" a="1"/>
  <c r="P1189" i="1" a="1"/>
  <c r="P1190" i="1" a="1"/>
  <c r="P1191" i="1" a="1"/>
  <c r="P1192" i="1" a="1"/>
  <c r="P1193" i="1" a="1"/>
  <c r="P1194" i="1" a="1"/>
  <c r="P1195" i="1" a="1"/>
  <c r="P1196" i="1" a="1"/>
  <c r="P1197" i="1" a="1"/>
  <c r="P1198" i="1" a="1"/>
  <c r="P1199" i="1" a="1"/>
  <c r="P1200" i="1" a="1"/>
  <c r="P1201" i="1" a="1"/>
  <c r="P1202" i="1" a="1"/>
  <c r="P1203" i="1" a="1"/>
  <c r="P1204" i="1" a="1"/>
  <c r="P1205" i="1" a="1"/>
  <c r="P1206" i="1" a="1"/>
  <c r="P1207" i="1" a="1"/>
  <c r="P1208" i="1" a="1"/>
  <c r="P1209" i="1" a="1"/>
  <c r="P1210" i="1" a="1"/>
  <c r="P1211" i="1" a="1"/>
  <c r="P1212" i="1" a="1"/>
  <c r="P1213" i="1" a="1"/>
  <c r="P1214" i="1" a="1"/>
  <c r="P1215" i="1" a="1"/>
  <c r="P1216" i="1" a="1"/>
  <c r="P1217" i="1" a="1"/>
  <c r="P1218" i="1" a="1"/>
  <c r="P1219" i="1" a="1"/>
  <c r="P1220" i="1" a="1"/>
  <c r="P1221" i="1" a="1"/>
  <c r="P1222" i="1" a="1"/>
  <c r="P1223" i="1" a="1"/>
  <c r="P1224" i="1" a="1"/>
  <c r="P1225" i="1" a="1"/>
  <c r="P1226" i="1" a="1"/>
  <c r="P1227" i="1" a="1"/>
  <c r="P1228" i="1" a="1"/>
  <c r="P1229" i="1" a="1"/>
  <c r="P1230" i="1" a="1"/>
  <c r="P1231" i="1" a="1"/>
  <c r="P1232" i="1" a="1"/>
  <c r="P1233" i="1" a="1"/>
  <c r="P1234" i="1" a="1"/>
  <c r="P1235" i="1" a="1"/>
  <c r="P1236" i="1" a="1"/>
  <c r="P1237" i="1" a="1"/>
  <c r="P1238" i="1" a="1"/>
  <c r="P1239" i="1" a="1"/>
  <c r="P1240" i="1" a="1"/>
  <c r="P1241" i="1" a="1"/>
  <c r="P1242" i="1" a="1"/>
  <c r="P1243" i="1" a="1"/>
  <c r="P1244" i="1" a="1"/>
  <c r="P1245" i="1" a="1"/>
  <c r="P1246" i="1" a="1"/>
  <c r="P1247" i="1" a="1"/>
  <c r="P1248" i="1" a="1"/>
  <c r="P1249" i="1" a="1"/>
  <c r="P1250" i="1" a="1"/>
  <c r="P1251" i="1" a="1"/>
  <c r="P1252" i="1" a="1"/>
  <c r="P1253" i="1" a="1"/>
  <c r="P1254" i="1" a="1"/>
  <c r="P1255" i="1" a="1"/>
  <c r="P1256" i="1" a="1"/>
  <c r="P1257" i="1" a="1"/>
  <c r="P1258" i="1" a="1"/>
  <c r="P1259" i="1" a="1"/>
  <c r="P1260" i="1" a="1"/>
  <c r="P1261" i="1" a="1"/>
  <c r="P1262" i="1" a="1"/>
  <c r="P1263" i="1" a="1"/>
  <c r="P1264" i="1" a="1"/>
  <c r="P1265" i="1" a="1"/>
  <c r="P1266" i="1" a="1"/>
  <c r="P1267" i="1" a="1"/>
  <c r="P1268" i="1" a="1"/>
  <c r="P1269" i="1" a="1"/>
  <c r="P1270" i="1" a="1"/>
  <c r="P1271" i="1" a="1"/>
  <c r="P1272" i="1" a="1"/>
  <c r="P1273" i="1" a="1"/>
  <c r="P1274" i="1" a="1"/>
  <c r="P1275" i="1" a="1"/>
  <c r="P1276" i="1" a="1"/>
  <c r="P1277" i="1" a="1"/>
  <c r="P1278" i="1" a="1"/>
  <c r="P1279" i="1" a="1"/>
  <c r="P1280" i="1" a="1"/>
  <c r="P1281" i="1" a="1"/>
  <c r="P1282" i="1" a="1"/>
  <c r="P1283" i="1" a="1"/>
  <c r="P1284" i="1" a="1"/>
  <c r="P1285" i="1" a="1"/>
  <c r="P1286" i="1" a="1"/>
  <c r="P1287" i="1" a="1"/>
  <c r="P1288" i="1" a="1"/>
  <c r="P1289" i="1" a="1"/>
  <c r="P1290" i="1" a="1"/>
  <c r="P1291" i="1" a="1"/>
  <c r="P1292" i="1" a="1"/>
  <c r="P1293" i="1" a="1"/>
  <c r="P1294" i="1" a="1"/>
  <c r="P1295" i="1" a="1"/>
  <c r="P1296" i="1" a="1"/>
  <c r="P1297" i="1" a="1"/>
  <c r="P1298" i="1" a="1"/>
  <c r="P1299" i="1" a="1"/>
  <c r="P1300" i="1" a="1"/>
  <c r="P1301" i="1" a="1"/>
  <c r="P1302" i="1" a="1"/>
  <c r="P1303" i="1" a="1"/>
  <c r="P1304" i="1" a="1"/>
  <c r="P1305" i="1" a="1"/>
  <c r="P1306" i="1" a="1"/>
  <c r="P1307" i="1" a="1"/>
  <c r="P1308" i="1" a="1"/>
  <c r="P1309" i="1" a="1"/>
  <c r="P1310" i="1" a="1"/>
  <c r="P1311" i="1" a="1"/>
  <c r="P1312" i="1" a="1"/>
  <c r="P1313" i="1" a="1"/>
  <c r="P1314" i="1" a="1"/>
  <c r="P1315" i="1" a="1"/>
  <c r="P1316" i="1" a="1"/>
  <c r="P1317" i="1" a="1"/>
  <c r="P1318" i="1" a="1"/>
  <c r="P1319" i="1" a="1"/>
  <c r="P1320" i="1" a="1"/>
  <c r="P1321" i="1" a="1"/>
  <c r="P1322" i="1" a="1"/>
  <c r="P1323" i="1" a="1"/>
  <c r="P1324" i="1" a="1"/>
  <c r="P1325" i="1" a="1"/>
  <c r="P1326" i="1" a="1"/>
  <c r="P1327" i="1" a="1"/>
  <c r="P1328" i="1" a="1"/>
  <c r="P1329" i="1" a="1"/>
  <c r="P1330" i="1" a="1"/>
  <c r="P1331" i="1" a="1"/>
  <c r="P1332" i="1" a="1"/>
  <c r="P1333" i="1" a="1"/>
  <c r="P1334" i="1" a="1"/>
  <c r="P1335" i="1" a="1"/>
  <c r="P1336" i="1" a="1"/>
  <c r="P1337" i="1" a="1"/>
  <c r="P1338" i="1" a="1"/>
  <c r="P1339" i="1" a="1"/>
  <c r="P1340" i="1" a="1"/>
  <c r="P1341" i="1" a="1"/>
  <c r="P1342" i="1" a="1"/>
  <c r="P1343" i="1" a="1"/>
  <c r="P1344" i="1" a="1"/>
  <c r="P1345" i="1" a="1"/>
  <c r="P1346" i="1" a="1"/>
  <c r="P1347" i="1" a="1"/>
  <c r="P1348" i="1" a="1"/>
  <c r="P1349" i="1" a="1"/>
  <c r="P1350" i="1" a="1"/>
  <c r="P1351" i="1" a="1"/>
  <c r="P1352" i="1" a="1"/>
  <c r="P1353" i="1" a="1"/>
  <c r="P1354" i="1" a="1"/>
  <c r="P1355" i="1" a="1"/>
  <c r="P1356" i="1" a="1"/>
  <c r="P1357" i="1" a="1"/>
  <c r="P1358" i="1" a="1"/>
  <c r="P1359" i="1" a="1"/>
  <c r="P1360" i="1" a="1"/>
  <c r="P1361" i="1" a="1"/>
  <c r="P1362" i="1" a="1"/>
  <c r="P1363" i="1" a="1"/>
  <c r="P1364" i="1" a="1"/>
  <c r="P1365" i="1" a="1"/>
  <c r="P1366" i="1" a="1"/>
  <c r="P1367" i="1" a="1"/>
  <c r="P1368" i="1" a="1"/>
  <c r="P1369" i="1" a="1"/>
  <c r="P1370" i="1" a="1"/>
  <c r="P1371" i="1" a="1"/>
  <c r="P1372" i="1" a="1"/>
  <c r="P1373" i="1" a="1"/>
  <c r="P1374" i="1" a="1"/>
  <c r="P1375" i="1" a="1"/>
  <c r="P1376" i="1" a="1"/>
  <c r="P1377" i="1" a="1"/>
  <c r="P1378" i="1" a="1"/>
  <c r="P1379" i="1" a="1"/>
  <c r="P1380" i="1" a="1"/>
  <c r="P1381" i="1" a="1"/>
  <c r="P1382" i="1" a="1"/>
  <c r="P1383" i="1" a="1"/>
  <c r="P1384" i="1" a="1"/>
  <c r="P1385" i="1" a="1"/>
  <c r="P1386" i="1" a="1"/>
  <c r="P1387" i="1" a="1"/>
  <c r="P1388" i="1" a="1"/>
  <c r="P1389" i="1" a="1"/>
  <c r="P1390" i="1" a="1"/>
  <c r="P1391" i="1" a="1"/>
  <c r="P1392" i="1" a="1"/>
  <c r="P1393" i="1" a="1"/>
  <c r="P1394" i="1" a="1"/>
  <c r="P1395" i="1" a="1"/>
  <c r="P1396" i="1" a="1"/>
  <c r="P1397" i="1" a="1"/>
  <c r="P1398" i="1" a="1"/>
  <c r="P1399" i="1" a="1"/>
  <c r="P1400" i="1" a="1"/>
  <c r="P1401" i="1" a="1"/>
  <c r="P1402" i="1" a="1"/>
  <c r="P1403" i="1" a="1"/>
  <c r="P1404" i="1" a="1"/>
  <c r="P1405" i="1" a="1"/>
  <c r="P1406" i="1" a="1"/>
  <c r="P1407" i="1" a="1"/>
  <c r="P1408" i="1" a="1"/>
  <c r="P1409" i="1" a="1"/>
  <c r="P1410" i="1" a="1"/>
  <c r="P1411" i="1" a="1"/>
  <c r="P1412" i="1" a="1"/>
  <c r="P1413" i="1" a="1"/>
  <c r="P1414" i="1" a="1"/>
  <c r="P1415" i="1" a="1"/>
  <c r="P1416" i="1" a="1"/>
  <c r="P1417" i="1" a="1"/>
  <c r="P1418" i="1" a="1"/>
  <c r="P1419" i="1" a="1"/>
  <c r="P1420" i="1" a="1"/>
  <c r="P1421" i="1" a="1"/>
  <c r="P1422" i="1" a="1"/>
  <c r="P1423" i="1" a="1"/>
  <c r="P1424" i="1" a="1"/>
  <c r="P1425" i="1" a="1"/>
  <c r="P1426" i="1" a="1"/>
  <c r="P1427" i="1" a="1"/>
  <c r="P1428" i="1" a="1"/>
  <c r="P1429" i="1" a="1"/>
  <c r="P1430" i="1" a="1"/>
  <c r="P1431" i="1" a="1"/>
  <c r="P1432" i="1" a="1"/>
  <c r="P1433" i="1" a="1"/>
  <c r="P1434" i="1" a="1"/>
  <c r="P1435" i="1" a="1"/>
  <c r="P1436" i="1" a="1"/>
  <c r="P1437" i="1" a="1"/>
  <c r="P1438" i="1" a="1"/>
  <c r="P1439" i="1" a="1"/>
  <c r="P1440" i="1" a="1"/>
  <c r="P1441" i="1" a="1"/>
  <c r="P1442" i="1" a="1"/>
  <c r="P1443" i="1" a="1"/>
  <c r="P1444" i="1" a="1"/>
  <c r="P1445" i="1" a="1"/>
  <c r="P1446" i="1" a="1"/>
  <c r="P1447" i="1" a="1"/>
  <c r="P1448" i="1" a="1"/>
  <c r="P1449" i="1" a="1"/>
  <c r="P1450" i="1" a="1"/>
  <c r="P1451" i="1" a="1"/>
  <c r="P1452" i="1" a="1"/>
  <c r="P1453" i="1" a="1"/>
  <c r="P1454" i="1" a="1"/>
  <c r="P1455" i="1" a="1"/>
  <c r="P1456" i="1" a="1"/>
  <c r="P1457" i="1" a="1"/>
  <c r="P1458" i="1" a="1"/>
  <c r="P1459" i="1" a="1"/>
  <c r="P1460" i="1" a="1"/>
  <c r="P1461" i="1" a="1"/>
  <c r="P1462" i="1" a="1"/>
  <c r="P1463" i="1" a="1"/>
  <c r="P1464" i="1" a="1"/>
  <c r="P1465" i="1" a="1"/>
  <c r="P1466" i="1" a="1"/>
  <c r="P1467" i="1" a="1"/>
  <c r="P1468" i="1" a="1"/>
  <c r="P1469" i="1" a="1"/>
  <c r="P1470" i="1" a="1"/>
  <c r="P1471" i="1" a="1"/>
  <c r="P1472" i="1" a="1"/>
  <c r="P1473" i="1" a="1"/>
  <c r="P1474" i="1" a="1"/>
  <c r="P1475" i="1" a="1"/>
  <c r="P1476" i="1" a="1"/>
  <c r="P1477" i="1" a="1"/>
  <c r="P1478" i="1" a="1"/>
  <c r="P1479" i="1" a="1"/>
  <c r="P1480" i="1" a="1"/>
  <c r="P1481" i="1" a="1"/>
  <c r="P1482" i="1" a="1"/>
  <c r="P1483" i="1" a="1"/>
  <c r="P1484" i="1" a="1"/>
  <c r="P1485" i="1" a="1"/>
  <c r="P1486" i="1" a="1"/>
  <c r="P1487" i="1" a="1"/>
  <c r="P1488" i="1" a="1"/>
  <c r="P1489" i="1" a="1"/>
  <c r="P1490" i="1" a="1"/>
  <c r="P1491" i="1" a="1"/>
  <c r="P1492" i="1" a="1"/>
  <c r="P1493" i="1" a="1"/>
  <c r="P1494" i="1" a="1"/>
  <c r="P1495" i="1" a="1"/>
  <c r="P1496" i="1" a="1"/>
  <c r="P1497" i="1" a="1"/>
  <c r="P1498" i="1" a="1"/>
  <c r="P1499" i="1" a="1"/>
  <c r="P1500" i="1" a="1"/>
  <c r="P1501" i="1" a="1"/>
  <c r="P1502" i="1" a="1"/>
  <c r="P1503" i="1" a="1"/>
  <c r="P1504" i="1" a="1"/>
  <c r="P1505" i="1" a="1"/>
  <c r="P1506" i="1" a="1"/>
  <c r="P1507" i="1" a="1"/>
  <c r="P1508" i="1" a="1"/>
  <c r="P1509" i="1" a="1"/>
  <c r="P1510" i="1" a="1"/>
  <c r="P1511" i="1" a="1"/>
  <c r="P1512" i="1" a="1"/>
  <c r="P1513" i="1" a="1"/>
  <c r="P1514" i="1" a="1"/>
  <c r="P1515" i="1" a="1"/>
  <c r="P1516" i="1" a="1"/>
  <c r="P1517" i="1" a="1"/>
  <c r="P1518" i="1" a="1"/>
  <c r="P1519" i="1" a="1"/>
  <c r="P1520" i="1" a="1"/>
  <c r="P1521" i="1" a="1"/>
  <c r="P1522" i="1" a="1"/>
  <c r="P1523" i="1" a="1"/>
  <c r="P1524" i="1" a="1"/>
  <c r="P1525" i="1" a="1"/>
  <c r="P1526" i="1" a="1"/>
  <c r="P1527" i="1" a="1"/>
  <c r="P1528" i="1" a="1"/>
  <c r="P1529" i="1" a="1"/>
  <c r="P1530" i="1" a="1"/>
  <c r="P1531" i="1" a="1"/>
  <c r="P1532" i="1" a="1"/>
  <c r="P1533" i="1" a="1"/>
  <c r="P1534" i="1" a="1"/>
  <c r="P1535" i="1" a="1"/>
  <c r="P1536" i="1" a="1"/>
  <c r="P1537" i="1" a="1"/>
  <c r="P1538" i="1" a="1"/>
  <c r="P1539" i="1" a="1"/>
  <c r="P1540" i="1" a="1"/>
  <c r="P1541" i="1" a="1"/>
  <c r="P1542" i="1" a="1"/>
  <c r="P1543" i="1" a="1"/>
  <c r="P1544" i="1" a="1"/>
  <c r="P1545" i="1" a="1"/>
  <c r="P1546" i="1" a="1"/>
  <c r="P1547" i="1" a="1"/>
  <c r="P1548" i="1" a="1"/>
  <c r="P1549" i="1" a="1"/>
  <c r="P1550" i="1" a="1"/>
  <c r="P1551" i="1" a="1"/>
  <c r="P1552" i="1" a="1"/>
  <c r="P1553" i="1" a="1"/>
  <c r="P1554" i="1" a="1"/>
  <c r="P1555" i="1" a="1"/>
  <c r="P1556" i="1" a="1"/>
  <c r="P1557" i="1" a="1"/>
  <c r="P1558" i="1" a="1"/>
  <c r="P1559" i="1" a="1"/>
  <c r="P1560" i="1" a="1"/>
  <c r="P1561" i="1" a="1"/>
  <c r="P1562" i="1" a="1"/>
  <c r="P1563" i="1" a="1"/>
  <c r="P1564" i="1" a="1"/>
  <c r="P1565" i="1" a="1"/>
  <c r="P1566" i="1" a="1"/>
  <c r="P1567" i="1" a="1"/>
  <c r="P1568" i="1" a="1"/>
  <c r="P1569" i="1" a="1"/>
  <c r="P1570" i="1" a="1"/>
  <c r="P1571" i="1" a="1"/>
  <c r="P1572" i="1" a="1"/>
  <c r="P1573" i="1" a="1"/>
  <c r="P1574" i="1" a="1"/>
  <c r="P1575" i="1" a="1"/>
  <c r="P1576" i="1" a="1"/>
  <c r="P1577" i="1" a="1"/>
  <c r="P1578" i="1" a="1"/>
  <c r="P1579" i="1" a="1"/>
  <c r="P1580" i="1" a="1"/>
  <c r="P1581" i="1" a="1"/>
  <c r="P1582" i="1" a="1"/>
  <c r="P1583" i="1" a="1"/>
  <c r="P1584" i="1" a="1"/>
  <c r="P1585" i="1" a="1"/>
  <c r="P1586" i="1" a="1"/>
  <c r="P1587" i="1" a="1"/>
  <c r="P1588" i="1" a="1"/>
  <c r="P1589" i="1" a="1"/>
  <c r="P1590" i="1" a="1"/>
  <c r="P1591" i="1" a="1"/>
  <c r="P1592" i="1" a="1"/>
  <c r="P1593" i="1" a="1"/>
  <c r="P1594" i="1" a="1"/>
  <c r="P1595" i="1" a="1"/>
  <c r="P1596" i="1" a="1"/>
  <c r="P1597" i="1" a="1"/>
  <c r="P1598" i="1" a="1"/>
  <c r="P1599" i="1" a="1"/>
  <c r="P1600" i="1" a="1"/>
  <c r="P1601" i="1" a="1"/>
  <c r="P1602" i="1" a="1"/>
  <c r="P1603" i="1" a="1"/>
  <c r="P1604" i="1" a="1"/>
  <c r="P1605" i="1" a="1"/>
  <c r="P1606" i="1" a="1"/>
  <c r="P1607" i="1" a="1"/>
  <c r="P1608" i="1" a="1"/>
  <c r="P1609" i="1" a="1"/>
  <c r="P1610" i="1" a="1"/>
  <c r="P1611" i="1" a="1"/>
  <c r="P1612" i="1" a="1"/>
  <c r="P1613" i="1" a="1"/>
  <c r="P1614" i="1" a="1"/>
  <c r="P1615" i="1" a="1"/>
  <c r="P1616" i="1" a="1"/>
  <c r="P1617" i="1" a="1"/>
  <c r="P1618" i="1" a="1"/>
  <c r="P1619" i="1" a="1"/>
  <c r="P1620" i="1" a="1"/>
  <c r="P1621" i="1" a="1"/>
  <c r="P1622" i="1" a="1"/>
  <c r="P1623" i="1" a="1"/>
  <c r="P1624" i="1" a="1"/>
  <c r="P1625" i="1" a="1"/>
  <c r="P1626" i="1" a="1"/>
  <c r="P1627" i="1" a="1"/>
  <c r="P1628" i="1" a="1"/>
  <c r="P1629" i="1" a="1"/>
  <c r="P1630" i="1" a="1"/>
  <c r="P1631" i="1" a="1"/>
  <c r="P1632" i="1" a="1"/>
  <c r="P1633" i="1" a="1"/>
  <c r="P1634" i="1" a="1"/>
  <c r="P1635" i="1" a="1"/>
  <c r="P1636" i="1" a="1"/>
  <c r="P1637" i="1" a="1"/>
  <c r="P1638" i="1" a="1"/>
  <c r="P1639" i="1" a="1"/>
  <c r="P1640" i="1" a="1"/>
  <c r="P1641" i="1" a="1"/>
  <c r="P1642" i="1" a="1"/>
  <c r="P1643" i="1" a="1"/>
  <c r="P1644" i="1" a="1"/>
  <c r="P1645" i="1" a="1"/>
  <c r="P1646" i="1" a="1"/>
  <c r="P1647" i="1" a="1"/>
  <c r="P1648" i="1" a="1"/>
  <c r="P1649" i="1" a="1"/>
  <c r="P1650" i="1" a="1"/>
  <c r="P1651" i="1" a="1"/>
  <c r="P1652" i="1" a="1"/>
  <c r="P1653" i="1" a="1"/>
  <c r="P1654" i="1" a="1"/>
  <c r="P1655" i="1" a="1"/>
  <c r="P1656" i="1" a="1"/>
  <c r="P1657" i="1" a="1"/>
  <c r="P1658" i="1" a="1"/>
  <c r="P1659" i="1" a="1"/>
  <c r="P1660" i="1" a="1"/>
  <c r="P1661" i="1" a="1"/>
  <c r="P1662" i="1" a="1"/>
  <c r="P1663" i="1" a="1"/>
  <c r="P1664" i="1" a="1"/>
  <c r="P1665" i="1" a="1"/>
  <c r="P1666" i="1" a="1"/>
  <c r="P1667" i="1" a="1"/>
  <c r="P1668" i="1" a="1"/>
  <c r="P1669" i="1" a="1"/>
  <c r="P1670" i="1" a="1"/>
  <c r="P1671" i="1" a="1"/>
  <c r="P1672" i="1" a="1"/>
  <c r="P1673" i="1" a="1"/>
  <c r="P1674" i="1" a="1"/>
  <c r="P1675" i="1" a="1"/>
  <c r="P1676" i="1" a="1"/>
  <c r="P1677" i="1" a="1"/>
  <c r="P1678" i="1" a="1"/>
  <c r="P1679" i="1" a="1"/>
  <c r="P1680" i="1" a="1"/>
  <c r="P1681" i="1" a="1"/>
  <c r="P1682" i="1" a="1"/>
  <c r="P1683" i="1" a="1"/>
  <c r="P1684" i="1" a="1"/>
  <c r="P1685" i="1" a="1"/>
  <c r="P1686" i="1" a="1"/>
  <c r="P1687" i="1" a="1"/>
  <c r="P1688" i="1" a="1"/>
  <c r="P1689" i="1" a="1"/>
  <c r="P1690" i="1" a="1"/>
  <c r="P1691" i="1" a="1"/>
  <c r="P1692" i="1" a="1"/>
  <c r="P1693" i="1" a="1"/>
  <c r="P1694" i="1" a="1"/>
  <c r="P1695" i="1" a="1"/>
  <c r="P1696" i="1" a="1"/>
  <c r="P1697" i="1" a="1"/>
  <c r="P1698" i="1" a="1"/>
  <c r="P1699" i="1" a="1"/>
  <c r="P1700" i="1" a="1"/>
  <c r="P1701" i="1" a="1"/>
  <c r="P1702" i="1" a="1"/>
  <c r="P1703" i="1" a="1"/>
  <c r="P1704" i="1" a="1"/>
  <c r="P1705" i="1" a="1"/>
  <c r="P1706" i="1" a="1"/>
  <c r="P1707" i="1" a="1"/>
  <c r="P1708" i="1" a="1"/>
  <c r="P1709" i="1" a="1"/>
  <c r="P1710" i="1" a="1"/>
  <c r="P1711" i="1" a="1"/>
  <c r="P1712" i="1" a="1"/>
  <c r="P1713" i="1" a="1"/>
  <c r="P1714" i="1" a="1"/>
  <c r="P1715" i="1" a="1"/>
  <c r="P1716" i="1" a="1"/>
  <c r="P1717" i="1" a="1"/>
  <c r="P1718" i="1" a="1"/>
  <c r="P1719" i="1" a="1"/>
  <c r="P1720" i="1" a="1"/>
  <c r="P1721" i="1" a="1"/>
  <c r="P1722" i="1" a="1"/>
  <c r="P1723" i="1" a="1"/>
  <c r="P1724" i="1" a="1"/>
  <c r="P1725" i="1" a="1"/>
  <c r="P1726" i="1" a="1"/>
  <c r="P1727" i="1" a="1"/>
  <c r="P1728" i="1" a="1"/>
  <c r="P1729" i="1" a="1"/>
  <c r="P1730" i="1" a="1"/>
  <c r="P1731" i="1" a="1"/>
  <c r="P1732" i="1" a="1"/>
  <c r="P1733" i="1" a="1"/>
  <c r="P1734" i="1" a="1"/>
  <c r="P1735" i="1" a="1"/>
  <c r="P1736" i="1" a="1"/>
  <c r="P1737" i="1" a="1"/>
  <c r="P1738" i="1" a="1"/>
  <c r="P1739" i="1" a="1"/>
  <c r="P1740" i="1" a="1"/>
  <c r="P1743" i="1" a="1"/>
  <c r="P1744" i="1" a="1"/>
  <c r="P1745" i="1" a="1"/>
  <c r="P1746" i="1" a="1"/>
  <c r="P1747" i="1" a="1"/>
  <c r="P1748" i="1" a="1"/>
  <c r="P1749" i="1" a="1"/>
  <c r="P1750" i="1" a="1"/>
  <c r="P1751" i="1" a="1"/>
  <c r="P1752" i="1" a="1"/>
  <c r="P1753" i="1" a="1"/>
  <c r="P1754" i="1" a="1"/>
  <c r="P1755" i="1" a="1"/>
  <c r="P1756" i="1" a="1"/>
  <c r="P1757" i="1" a="1"/>
  <c r="P1758" i="1" a="1"/>
  <c r="P1759" i="1" a="1"/>
  <c r="P1760" i="1" a="1"/>
  <c r="P1761" i="1" a="1"/>
  <c r="P1762" i="1" a="1"/>
  <c r="P1763" i="1" a="1"/>
  <c r="P1764" i="1" a="1"/>
  <c r="P1765" i="1" a="1"/>
  <c r="P1766" i="1" a="1"/>
  <c r="P1767" i="1" a="1"/>
  <c r="P1768" i="1" a="1"/>
  <c r="P1769" i="1" a="1"/>
  <c r="P1770" i="1" a="1"/>
  <c r="P1771" i="1" a="1"/>
  <c r="P1772" i="1" a="1"/>
  <c r="P1773" i="1" a="1"/>
  <c r="P1774" i="1" a="1"/>
  <c r="P1775" i="1" a="1"/>
  <c r="P1776" i="1" a="1"/>
  <c r="P1777" i="1" a="1"/>
  <c r="P1778" i="1" a="1"/>
  <c r="P1779" i="1" a="1"/>
  <c r="P1780" i="1" a="1"/>
  <c r="P1781" i="1" a="1"/>
  <c r="P1782" i="1" a="1"/>
  <c r="P1783" i="1" a="1"/>
  <c r="P1784" i="1" a="1"/>
  <c r="P1785" i="1" a="1"/>
  <c r="P1786" i="1" a="1"/>
  <c r="P1787" i="1" a="1"/>
  <c r="P1788" i="1" a="1"/>
  <c r="P1789" i="1" a="1"/>
  <c r="P1790" i="1" a="1"/>
  <c r="P1791" i="1" a="1"/>
  <c r="P1792" i="1" a="1"/>
  <c r="P1793" i="1" a="1"/>
  <c r="P1794" i="1" a="1"/>
  <c r="P1795" i="1" a="1"/>
  <c r="P1796" i="1" a="1"/>
  <c r="P1797" i="1" a="1"/>
  <c r="P1798" i="1" a="1"/>
  <c r="P1799" i="1" a="1"/>
  <c r="P1800" i="1" a="1"/>
  <c r="P1801" i="1" a="1"/>
  <c r="P1802" i="1" a="1"/>
  <c r="P1803" i="1" a="1"/>
  <c r="P1804" i="1" a="1"/>
  <c r="P1805" i="1" a="1"/>
  <c r="P1806" i="1" a="1"/>
  <c r="P1807" i="1" a="1"/>
  <c r="P1808" i="1" a="1"/>
  <c r="P1809" i="1" a="1"/>
  <c r="P1810" i="1" a="1"/>
  <c r="P1811" i="1" a="1"/>
  <c r="P1812" i="1" a="1"/>
  <c r="P1813" i="1" a="1"/>
  <c r="P1814" i="1" a="1"/>
  <c r="P1815" i="1" a="1"/>
  <c r="P1816" i="1" a="1"/>
  <c r="P1817" i="1" a="1"/>
  <c r="P1818" i="1" a="1"/>
  <c r="P1819" i="1" a="1"/>
  <c r="P1820" i="1" a="1"/>
  <c r="P1821" i="1" a="1"/>
  <c r="P1822" i="1" a="1"/>
  <c r="P1823" i="1" a="1"/>
  <c r="P1824" i="1" a="1"/>
  <c r="P1825" i="1" a="1"/>
  <c r="P1826" i="1" a="1"/>
  <c r="P1827" i="1" a="1"/>
  <c r="P1828" i="1" a="1"/>
  <c r="P1829" i="1" a="1"/>
  <c r="P1830" i="1" a="1"/>
  <c r="P1831" i="1" a="1"/>
  <c r="P1832" i="1" a="1"/>
  <c r="P1833" i="1" a="1"/>
  <c r="P1834" i="1" a="1"/>
  <c r="P1835" i="1" a="1"/>
  <c r="P1836" i="1" a="1"/>
  <c r="P1837" i="1" a="1"/>
  <c r="P1838" i="1" a="1"/>
  <c r="P1839" i="1" a="1"/>
  <c r="P1840" i="1" a="1"/>
  <c r="P1841" i="1" a="1"/>
  <c r="P1842" i="1" a="1"/>
  <c r="P1843" i="1" a="1"/>
  <c r="P1844" i="1" a="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AH1472" i="1"/>
  <c r="AH1473" i="1"/>
  <c r="AH1474" i="1"/>
  <c r="AH1475" i="1"/>
  <c r="AH1476" i="1"/>
  <c r="AH1477" i="1"/>
  <c r="AH1478" i="1"/>
  <c r="AH1479" i="1"/>
  <c r="AH1480" i="1"/>
  <c r="AH1481" i="1"/>
  <c r="AH1482" i="1"/>
  <c r="AH1483" i="1"/>
  <c r="AH1484" i="1"/>
  <c r="AH1485" i="1"/>
  <c r="AH1486" i="1"/>
  <c r="AH1487" i="1"/>
  <c r="AH1488" i="1"/>
  <c r="AH1489" i="1"/>
  <c r="AH1490" i="1"/>
  <c r="AH1491" i="1"/>
  <c r="AH1492" i="1"/>
  <c r="AH1493" i="1"/>
  <c r="AH1494" i="1"/>
  <c r="AH1495" i="1"/>
  <c r="AH1496" i="1"/>
  <c r="AH1497" i="1"/>
  <c r="AH1498" i="1"/>
  <c r="AH1499" i="1"/>
  <c r="AH1500" i="1"/>
  <c r="AH1501" i="1"/>
  <c r="AH1502" i="1"/>
  <c r="AH1503" i="1"/>
  <c r="AH1504" i="1"/>
  <c r="AH1505" i="1"/>
  <c r="AH1506" i="1"/>
  <c r="AH1507" i="1"/>
  <c r="AH1508" i="1"/>
  <c r="AH1509" i="1"/>
  <c r="AH1510" i="1"/>
  <c r="AH1511" i="1"/>
  <c r="AH1512" i="1"/>
  <c r="AH1513" i="1"/>
  <c r="AH1514" i="1"/>
  <c r="AH1515" i="1"/>
  <c r="AH1516" i="1"/>
  <c r="AH1517" i="1"/>
  <c r="AH1518" i="1"/>
  <c r="AH1519" i="1"/>
  <c r="AH1520" i="1"/>
  <c r="AH1521" i="1"/>
  <c r="AH1522" i="1"/>
  <c r="AH1523" i="1"/>
  <c r="AH1524" i="1"/>
  <c r="AH1525" i="1"/>
  <c r="AH1526" i="1"/>
  <c r="AH1527" i="1"/>
  <c r="AH1528" i="1"/>
  <c r="AH1529" i="1"/>
  <c r="AH1530" i="1"/>
  <c r="AH1531" i="1"/>
  <c r="AH1532" i="1"/>
  <c r="AH1533" i="1"/>
  <c r="AH1534" i="1"/>
  <c r="AH1535" i="1"/>
  <c r="AH1536" i="1"/>
  <c r="AH1537" i="1"/>
  <c r="AH1538" i="1"/>
  <c r="AH1539" i="1"/>
  <c r="AH1540" i="1"/>
  <c r="AH1541" i="1"/>
  <c r="AH1542" i="1"/>
  <c r="AH1543" i="1"/>
  <c r="AH1544" i="1"/>
  <c r="AH1545" i="1"/>
  <c r="AH1546" i="1"/>
  <c r="AH1547" i="1"/>
  <c r="AH1548" i="1"/>
  <c r="AH1549" i="1"/>
  <c r="AH1550" i="1"/>
  <c r="AH1551" i="1"/>
  <c r="AH1552" i="1"/>
  <c r="AH1553" i="1"/>
  <c r="AH1554" i="1"/>
  <c r="AH1555" i="1"/>
  <c r="AH1556" i="1"/>
  <c r="AH1557" i="1"/>
  <c r="AH1558" i="1"/>
  <c r="AH1559" i="1"/>
  <c r="AH1560" i="1"/>
  <c r="AH1561" i="1"/>
  <c r="AH1562" i="1"/>
  <c r="AH1563" i="1"/>
  <c r="AH1564" i="1"/>
  <c r="AH1565" i="1"/>
  <c r="AH1566" i="1"/>
  <c r="AH1567" i="1"/>
  <c r="AH1568" i="1"/>
  <c r="AH1569" i="1"/>
  <c r="AH1570" i="1"/>
  <c r="AH1571" i="1"/>
  <c r="AH1572" i="1"/>
  <c r="AH1573" i="1"/>
  <c r="AH1574" i="1"/>
  <c r="AH1575" i="1"/>
  <c r="AH1576" i="1"/>
  <c r="AH1577" i="1"/>
  <c r="AH1578" i="1"/>
  <c r="AH1579" i="1"/>
  <c r="AH1580" i="1"/>
  <c r="AH1581" i="1"/>
  <c r="AH1582" i="1"/>
  <c r="AH1583" i="1"/>
  <c r="AH1584" i="1"/>
  <c r="AH1585" i="1"/>
  <c r="AH1586" i="1"/>
  <c r="AH1587" i="1"/>
  <c r="AH1588" i="1"/>
  <c r="AH1589" i="1"/>
  <c r="AH1590" i="1"/>
  <c r="AH1591" i="1"/>
  <c r="AH1592" i="1"/>
  <c r="AH1593" i="1"/>
  <c r="AH1594" i="1"/>
  <c r="AH1595" i="1"/>
  <c r="AH1596" i="1"/>
  <c r="AH1597" i="1"/>
  <c r="AH1598" i="1"/>
  <c r="AH1599" i="1"/>
  <c r="AH1600" i="1"/>
  <c r="AH1601" i="1"/>
  <c r="AH1602" i="1"/>
  <c r="AH1603" i="1"/>
  <c r="AH1604" i="1"/>
  <c r="AH1605" i="1"/>
  <c r="AH1606" i="1"/>
  <c r="AH1607" i="1"/>
  <c r="AH1608" i="1"/>
  <c r="AH1609" i="1"/>
  <c r="AH1610" i="1"/>
  <c r="AH1611" i="1"/>
  <c r="AH1612" i="1"/>
  <c r="AH1613" i="1"/>
  <c r="AH1614" i="1"/>
  <c r="AH1615" i="1"/>
  <c r="AH1616" i="1"/>
  <c r="AH1617" i="1"/>
  <c r="AH1618" i="1"/>
  <c r="AH1619" i="1"/>
  <c r="AH1620" i="1"/>
  <c r="AH1621" i="1"/>
  <c r="AH1622" i="1"/>
  <c r="AH1623" i="1"/>
  <c r="AH1624" i="1"/>
  <c r="AH1625" i="1"/>
  <c r="AH1626" i="1"/>
  <c r="AH1627" i="1"/>
  <c r="AH1628" i="1"/>
  <c r="AH1629" i="1"/>
  <c r="AH1630" i="1"/>
  <c r="AH1631" i="1"/>
  <c r="AH1632" i="1"/>
  <c r="AH1633" i="1"/>
  <c r="AH1634" i="1"/>
  <c r="AH1635" i="1"/>
  <c r="AH1636" i="1"/>
  <c r="AH1637" i="1"/>
  <c r="AH1638" i="1"/>
  <c r="AH1639" i="1"/>
  <c r="AH1640" i="1"/>
  <c r="AH1641" i="1"/>
  <c r="AH1642" i="1"/>
  <c r="AH1643" i="1"/>
  <c r="AH1644" i="1"/>
  <c r="AH1645" i="1"/>
  <c r="AH1646" i="1"/>
  <c r="AH1647" i="1"/>
  <c r="AH1648" i="1"/>
  <c r="AH1649" i="1"/>
  <c r="AH1650" i="1"/>
  <c r="AH1651" i="1"/>
  <c r="AH1652" i="1"/>
  <c r="AH1653" i="1"/>
  <c r="AH1654" i="1"/>
  <c r="AH1655" i="1"/>
  <c r="AH1656" i="1"/>
  <c r="AH1657" i="1"/>
  <c r="AH1658" i="1"/>
  <c r="AH1659" i="1"/>
  <c r="AH1660" i="1"/>
  <c r="AH1661" i="1"/>
  <c r="AH1662" i="1"/>
  <c r="AH1663" i="1"/>
  <c r="AH1664" i="1"/>
  <c r="AH1665" i="1"/>
  <c r="AH1666" i="1"/>
  <c r="AH1667" i="1"/>
  <c r="AH1668" i="1"/>
  <c r="AH1669" i="1"/>
  <c r="AH1670" i="1"/>
  <c r="AH1671" i="1"/>
  <c r="AH1672" i="1"/>
  <c r="AH1673" i="1"/>
  <c r="AH1674" i="1"/>
  <c r="AH1675" i="1"/>
  <c r="AH1676" i="1"/>
  <c r="AH1677" i="1"/>
  <c r="AH1678" i="1"/>
  <c r="AH1679" i="1"/>
  <c r="AH1680" i="1"/>
  <c r="AH1681" i="1"/>
  <c r="AH1682" i="1"/>
  <c r="AH1683" i="1"/>
  <c r="AH1684" i="1"/>
  <c r="AH1685" i="1"/>
  <c r="AH1686" i="1"/>
  <c r="AH1687" i="1"/>
  <c r="AH1688" i="1"/>
  <c r="AH1689" i="1"/>
  <c r="AH1690" i="1"/>
  <c r="AH1691" i="1"/>
  <c r="AH1692" i="1"/>
  <c r="AH1693" i="1"/>
  <c r="AH1694" i="1"/>
  <c r="AH1695" i="1"/>
  <c r="AH1696" i="1"/>
  <c r="AH1697" i="1"/>
  <c r="AH1698" i="1"/>
  <c r="AH1699" i="1"/>
  <c r="AH1700" i="1"/>
  <c r="AH1701" i="1"/>
  <c r="AH1702" i="1"/>
  <c r="AH1703" i="1"/>
  <c r="AH1704" i="1"/>
  <c r="AH1705" i="1"/>
  <c r="AH1706" i="1"/>
  <c r="AH1707" i="1"/>
  <c r="AH1708" i="1"/>
  <c r="AH1709" i="1"/>
  <c r="AH1710" i="1"/>
  <c r="AH1711" i="1"/>
  <c r="AH1712" i="1"/>
  <c r="AH1713" i="1"/>
  <c r="AH1714" i="1"/>
  <c r="AH1715" i="1"/>
  <c r="AH1716" i="1"/>
  <c r="AH1717" i="1"/>
  <c r="AH1718" i="1"/>
  <c r="AH1719" i="1"/>
  <c r="AH1720" i="1"/>
  <c r="AH1721" i="1"/>
  <c r="AH1722" i="1"/>
  <c r="AH1723" i="1"/>
  <c r="AH1724" i="1"/>
  <c r="AH1725" i="1"/>
  <c r="AH1726" i="1"/>
  <c r="AH1727" i="1"/>
  <c r="AH1728" i="1"/>
  <c r="AH1729" i="1"/>
  <c r="AH1730" i="1"/>
  <c r="AH1731" i="1"/>
  <c r="AH1732" i="1"/>
  <c r="AH1733" i="1"/>
  <c r="AH1734" i="1"/>
  <c r="AH1735" i="1"/>
  <c r="AH1736" i="1"/>
  <c r="AH1737" i="1"/>
  <c r="AH1738" i="1"/>
  <c r="AH1739" i="1"/>
  <c r="AH1740" i="1"/>
  <c r="AH1743" i="1"/>
  <c r="AH1744" i="1"/>
  <c r="AH1745" i="1"/>
  <c r="AH1746" i="1"/>
  <c r="AH1747" i="1"/>
  <c r="AH1748" i="1"/>
  <c r="AH1749" i="1"/>
  <c r="AH1750" i="1"/>
  <c r="AH1751" i="1"/>
  <c r="AH1752" i="1"/>
  <c r="AH1753" i="1"/>
  <c r="AH1754" i="1"/>
  <c r="AH1755" i="1"/>
  <c r="AH1756" i="1"/>
  <c r="AH1757" i="1"/>
  <c r="AH1758" i="1"/>
  <c r="AH1759" i="1"/>
  <c r="AH1760" i="1"/>
  <c r="AH1761" i="1"/>
  <c r="AH1762" i="1"/>
  <c r="AH1763" i="1"/>
  <c r="AH1764" i="1"/>
  <c r="AH1765" i="1"/>
  <c r="AH1766" i="1"/>
  <c r="AH1767" i="1"/>
  <c r="AH1768" i="1"/>
  <c r="AH1769" i="1"/>
  <c r="AH1770" i="1"/>
  <c r="AH1771" i="1"/>
  <c r="AH1772" i="1"/>
  <c r="AH1773" i="1"/>
  <c r="AH1774" i="1"/>
  <c r="AH1775" i="1"/>
  <c r="AH1776" i="1"/>
  <c r="AH1777" i="1"/>
  <c r="AH1778" i="1"/>
  <c r="AH1779" i="1"/>
  <c r="AH1780" i="1"/>
  <c r="AH1781" i="1"/>
  <c r="AH1782" i="1"/>
  <c r="AH1783" i="1"/>
  <c r="AH1784" i="1"/>
  <c r="AH1785" i="1"/>
  <c r="AH1786" i="1"/>
  <c r="AH1787" i="1"/>
  <c r="AH1788" i="1"/>
  <c r="AH1789" i="1"/>
  <c r="AH1790" i="1"/>
  <c r="AH1791" i="1"/>
  <c r="AH1792" i="1"/>
  <c r="AH1793" i="1"/>
  <c r="AH1794" i="1"/>
  <c r="AH1795" i="1"/>
  <c r="AH1796" i="1"/>
  <c r="AH1797" i="1"/>
  <c r="AH1798" i="1"/>
  <c r="AH1799" i="1"/>
  <c r="AH1800" i="1"/>
  <c r="AH1801" i="1"/>
  <c r="AH1802" i="1"/>
  <c r="AH1803" i="1"/>
  <c r="AH1804" i="1"/>
  <c r="AH1805" i="1"/>
  <c r="AH1806" i="1"/>
  <c r="AH1807" i="1"/>
  <c r="AH1808" i="1"/>
  <c r="AH1809" i="1"/>
  <c r="AH1810" i="1"/>
  <c r="AH1811" i="1"/>
  <c r="AH1812" i="1"/>
  <c r="AH1813" i="1"/>
  <c r="AH1814" i="1"/>
  <c r="AH1816" i="1"/>
  <c r="AH1817" i="1"/>
  <c r="AH1818" i="1"/>
  <c r="AH1819" i="1"/>
  <c r="AH1820" i="1"/>
  <c r="AH1821" i="1"/>
  <c r="AH1823" i="1"/>
  <c r="AH1824" i="1"/>
  <c r="AH1825" i="1"/>
  <c r="AH1826" i="1"/>
  <c r="AH1827" i="1"/>
  <c r="AH1828" i="1"/>
  <c r="AH1829" i="1"/>
  <c r="AH1830" i="1"/>
  <c r="AH1831" i="1"/>
  <c r="AH1832" i="1"/>
  <c r="AH1833" i="1"/>
  <c r="AH1834" i="1"/>
  <c r="AH1835" i="1"/>
  <c r="AH1836" i="1"/>
  <c r="AH1837" i="1"/>
  <c r="AH1838" i="1"/>
  <c r="AH1839" i="1"/>
  <c r="AH1840" i="1"/>
  <c r="AH1841" i="1"/>
  <c r="AH1842" i="1"/>
  <c r="AH1843" i="1"/>
  <c r="AH1844"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634" i="1"/>
  <c r="AI635" i="1"/>
  <c r="AI636" i="1"/>
  <c r="AI637" i="1"/>
  <c r="AI638" i="1"/>
  <c r="AI639" i="1"/>
  <c r="AI640" i="1"/>
  <c r="AI641" i="1"/>
  <c r="AI642" i="1"/>
  <c r="AI643" i="1"/>
  <c r="AI644" i="1"/>
  <c r="AI645" i="1"/>
  <c r="AI646" i="1"/>
  <c r="AI647" i="1"/>
  <c r="AI648" i="1"/>
  <c r="AI649" i="1"/>
  <c r="AI650" i="1"/>
  <c r="AI651" i="1"/>
  <c r="AI652" i="1"/>
  <c r="AI653" i="1"/>
  <c r="AI654" i="1"/>
  <c r="AI655" i="1"/>
  <c r="AI656" i="1"/>
  <c r="AI657" i="1"/>
  <c r="AI658" i="1"/>
  <c r="AI659" i="1"/>
  <c r="AI660" i="1"/>
  <c r="AI661" i="1"/>
  <c r="AI662" i="1"/>
  <c r="AI663" i="1"/>
  <c r="AI664" i="1"/>
  <c r="AI665" i="1"/>
  <c r="AI666" i="1"/>
  <c r="AI667" i="1"/>
  <c r="AI668" i="1"/>
  <c r="AI669" i="1"/>
  <c r="AI670" i="1"/>
  <c r="AI671" i="1"/>
  <c r="AI672" i="1"/>
  <c r="AI673" i="1"/>
  <c r="AI674" i="1"/>
  <c r="AI675" i="1"/>
  <c r="AI676" i="1"/>
  <c r="AI677" i="1"/>
  <c r="AI678" i="1"/>
  <c r="AI679" i="1"/>
  <c r="AI680" i="1"/>
  <c r="AI681" i="1"/>
  <c r="AI682" i="1"/>
  <c r="AI683" i="1"/>
  <c r="AI684" i="1"/>
  <c r="AI685" i="1"/>
  <c r="AI686" i="1"/>
  <c r="AI687" i="1"/>
  <c r="AI688" i="1"/>
  <c r="AI689" i="1"/>
  <c r="AI690" i="1"/>
  <c r="AI691" i="1"/>
  <c r="AI692" i="1"/>
  <c r="AI693" i="1"/>
  <c r="AI694" i="1"/>
  <c r="AI695" i="1"/>
  <c r="AI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720" i="1"/>
  <c r="AI721" i="1"/>
  <c r="AI722" i="1"/>
  <c r="AI723" i="1"/>
  <c r="AI724" i="1"/>
  <c r="AI725" i="1"/>
  <c r="AI726" i="1"/>
  <c r="AI727" i="1"/>
  <c r="AI728" i="1"/>
  <c r="AI729" i="1"/>
  <c r="AI730" i="1"/>
  <c r="AI731" i="1"/>
  <c r="AI732" i="1"/>
  <c r="AI733" i="1"/>
  <c r="AI734" i="1"/>
  <c r="AI735" i="1"/>
  <c r="AI736" i="1"/>
  <c r="AI737" i="1"/>
  <c r="AI738" i="1"/>
  <c r="AI739" i="1"/>
  <c r="AI740" i="1"/>
  <c r="AI741" i="1"/>
  <c r="AI742" i="1"/>
  <c r="AI743" i="1"/>
  <c r="AI744" i="1"/>
  <c r="AI745" i="1"/>
  <c r="AI746" i="1"/>
  <c r="AI747" i="1"/>
  <c r="AI748" i="1"/>
  <c r="AI749" i="1"/>
  <c r="AI750" i="1"/>
  <c r="AI751" i="1"/>
  <c r="AI752" i="1"/>
  <c r="AI753" i="1"/>
  <c r="AI754" i="1"/>
  <c r="AI755" i="1"/>
  <c r="AI756" i="1"/>
  <c r="AI757" i="1"/>
  <c r="AI758" i="1"/>
  <c r="AI759" i="1"/>
  <c r="AI760" i="1"/>
  <c r="AI761" i="1"/>
  <c r="AI762" i="1"/>
  <c r="AI763" i="1"/>
  <c r="AI764" i="1"/>
  <c r="AI765" i="1"/>
  <c r="AI766" i="1"/>
  <c r="AI767" i="1"/>
  <c r="AI768" i="1"/>
  <c r="AI769" i="1"/>
  <c r="AI770" i="1"/>
  <c r="AI771" i="1"/>
  <c r="AI772" i="1"/>
  <c r="AI773" i="1"/>
  <c r="AI774" i="1"/>
  <c r="AI775" i="1"/>
  <c r="AI776" i="1"/>
  <c r="AI777" i="1"/>
  <c r="AI778" i="1"/>
  <c r="AI779" i="1"/>
  <c r="AI780" i="1"/>
  <c r="AI781" i="1"/>
  <c r="AI782" i="1"/>
  <c r="AI783" i="1"/>
  <c r="AI784" i="1"/>
  <c r="AI785" i="1"/>
  <c r="AI786" i="1"/>
  <c r="AI787" i="1"/>
  <c r="AI788" i="1"/>
  <c r="AI789" i="1"/>
  <c r="AI790" i="1"/>
  <c r="AI791" i="1"/>
  <c r="AI792" i="1"/>
  <c r="AI793" i="1"/>
  <c r="AI794" i="1"/>
  <c r="AI795" i="1"/>
  <c r="AI796" i="1"/>
  <c r="AI797" i="1"/>
  <c r="AI798" i="1"/>
  <c r="AI799" i="1"/>
  <c r="AI800" i="1"/>
  <c r="AI801" i="1"/>
  <c r="AI802" i="1"/>
  <c r="AI803" i="1"/>
  <c r="AI804" i="1"/>
  <c r="AI805" i="1"/>
  <c r="AI806" i="1"/>
  <c r="AI807" i="1"/>
  <c r="AI808" i="1"/>
  <c r="AI809" i="1"/>
  <c r="AI810" i="1"/>
  <c r="AI811" i="1"/>
  <c r="AI812" i="1"/>
  <c r="AI813" i="1"/>
  <c r="AI814" i="1"/>
  <c r="AI815" i="1"/>
  <c r="AI816" i="1"/>
  <c r="AI817" i="1"/>
  <c r="AI818" i="1"/>
  <c r="AI819" i="1"/>
  <c r="AI820" i="1"/>
  <c r="AI821" i="1"/>
  <c r="AI822" i="1"/>
  <c r="AI823" i="1"/>
  <c r="AI824" i="1"/>
  <c r="AI825" i="1"/>
  <c r="AI826" i="1"/>
  <c r="AI827" i="1"/>
  <c r="AI828" i="1"/>
  <c r="AI829" i="1"/>
  <c r="AI830" i="1"/>
  <c r="AI831" i="1"/>
  <c r="AI832" i="1"/>
  <c r="AI833" i="1"/>
  <c r="AI834" i="1"/>
  <c r="AI835" i="1"/>
  <c r="AI836" i="1"/>
  <c r="AI837" i="1"/>
  <c r="AI838" i="1"/>
  <c r="AI839" i="1"/>
  <c r="AI840" i="1"/>
  <c r="AI841" i="1"/>
  <c r="AI842" i="1"/>
  <c r="AI843" i="1"/>
  <c r="AI844" i="1"/>
  <c r="AI845" i="1"/>
  <c r="AI846" i="1"/>
  <c r="AI847" i="1"/>
  <c r="AI848" i="1"/>
  <c r="AI849" i="1"/>
  <c r="AI850" i="1"/>
  <c r="AI851" i="1"/>
  <c r="AI852" i="1"/>
  <c r="AI853" i="1"/>
  <c r="AI854" i="1"/>
  <c r="AI855" i="1"/>
  <c r="AI856" i="1"/>
  <c r="AI857" i="1"/>
  <c r="AI858" i="1"/>
  <c r="AI859" i="1"/>
  <c r="AI860" i="1"/>
  <c r="AI861" i="1"/>
  <c r="AI862" i="1"/>
  <c r="AI863" i="1"/>
  <c r="AI864" i="1"/>
  <c r="AI865" i="1"/>
  <c r="AI866" i="1"/>
  <c r="AI867" i="1"/>
  <c r="AI868" i="1"/>
  <c r="AI869" i="1"/>
  <c r="AI870" i="1"/>
  <c r="AI871" i="1"/>
  <c r="AI872" i="1"/>
  <c r="AI873" i="1"/>
  <c r="AI874" i="1"/>
  <c r="AI875" i="1"/>
  <c r="AI876" i="1"/>
  <c r="AI877" i="1"/>
  <c r="AI878" i="1"/>
  <c r="AI879" i="1"/>
  <c r="AI880" i="1"/>
  <c r="AI881" i="1"/>
  <c r="AI882" i="1"/>
  <c r="AI883" i="1"/>
  <c r="AI884" i="1"/>
  <c r="AI885" i="1"/>
  <c r="AI886" i="1"/>
  <c r="AI887" i="1"/>
  <c r="AI888" i="1"/>
  <c r="AI889" i="1"/>
  <c r="AI890" i="1"/>
  <c r="AI891" i="1"/>
  <c r="AI892" i="1"/>
  <c r="AI893" i="1"/>
  <c r="AI894" i="1"/>
  <c r="AI895" i="1"/>
  <c r="AI896" i="1"/>
  <c r="AI897" i="1"/>
  <c r="AI898" i="1"/>
  <c r="AI899" i="1"/>
  <c r="AI900" i="1"/>
  <c r="AI901" i="1"/>
  <c r="AI902" i="1"/>
  <c r="AI903" i="1"/>
  <c r="AI904" i="1"/>
  <c r="AI905" i="1"/>
  <c r="AI906" i="1"/>
  <c r="AI907" i="1"/>
  <c r="AI908" i="1"/>
  <c r="AI909" i="1"/>
  <c r="AI910" i="1"/>
  <c r="AI911" i="1"/>
  <c r="AI912" i="1"/>
  <c r="AI913" i="1"/>
  <c r="AI914" i="1"/>
  <c r="AI915" i="1"/>
  <c r="AI916" i="1"/>
  <c r="AI917" i="1"/>
  <c r="AI918" i="1"/>
  <c r="AI919" i="1"/>
  <c r="AI920" i="1"/>
  <c r="AI921" i="1"/>
  <c r="AI922" i="1"/>
  <c r="AI923" i="1"/>
  <c r="AI924" i="1"/>
  <c r="AI925" i="1"/>
  <c r="AI926" i="1"/>
  <c r="AI927" i="1"/>
  <c r="AI928" i="1"/>
  <c r="AI929" i="1"/>
  <c r="AI930" i="1"/>
  <c r="AI931" i="1"/>
  <c r="AI932" i="1"/>
  <c r="AI933" i="1"/>
  <c r="AI934" i="1"/>
  <c r="AI935" i="1"/>
  <c r="AI936" i="1"/>
  <c r="AI937" i="1"/>
  <c r="AI938" i="1"/>
  <c r="AI939" i="1"/>
  <c r="AI940" i="1"/>
  <c r="AI941" i="1"/>
  <c r="AI942" i="1"/>
  <c r="AI943" i="1"/>
  <c r="AI944" i="1"/>
  <c r="AI945" i="1"/>
  <c r="AI946" i="1"/>
  <c r="AI947" i="1"/>
  <c r="AI948" i="1"/>
  <c r="AI949" i="1"/>
  <c r="AI950" i="1"/>
  <c r="AI951" i="1"/>
  <c r="AI952" i="1"/>
  <c r="AI953" i="1"/>
  <c r="AI954" i="1"/>
  <c r="AI955" i="1"/>
  <c r="AI956" i="1"/>
  <c r="AI957" i="1"/>
  <c r="AI958" i="1"/>
  <c r="AI959" i="1"/>
  <c r="AI960" i="1"/>
  <c r="AI961" i="1"/>
  <c r="AI962" i="1"/>
  <c r="AI963" i="1"/>
  <c r="AI964" i="1"/>
  <c r="AI965" i="1"/>
  <c r="AI966" i="1"/>
  <c r="AI967" i="1"/>
  <c r="AI968" i="1"/>
  <c r="AI969" i="1"/>
  <c r="AI970" i="1"/>
  <c r="AI971" i="1"/>
  <c r="AI972" i="1"/>
  <c r="AI973" i="1"/>
  <c r="AI974" i="1"/>
  <c r="AI975" i="1"/>
  <c r="AI976" i="1"/>
  <c r="AI977" i="1"/>
  <c r="AI978" i="1"/>
  <c r="AI979" i="1"/>
  <c r="AI980" i="1"/>
  <c r="AI981" i="1"/>
  <c r="AI982" i="1"/>
  <c r="AI983" i="1"/>
  <c r="AI984" i="1"/>
  <c r="AI985" i="1"/>
  <c r="AI986" i="1"/>
  <c r="AI987" i="1"/>
  <c r="AI988" i="1"/>
  <c r="AI989" i="1"/>
  <c r="AI990" i="1"/>
  <c r="AI991" i="1"/>
  <c r="AI992" i="1"/>
  <c r="AI993" i="1"/>
  <c r="AI994" i="1"/>
  <c r="AI995" i="1"/>
  <c r="AI996" i="1"/>
  <c r="AI997" i="1"/>
  <c r="AI998" i="1"/>
  <c r="AI999" i="1"/>
  <c r="AI1000" i="1"/>
  <c r="AI1001" i="1"/>
  <c r="AI1002" i="1"/>
  <c r="AI1003" i="1"/>
  <c r="AI1004" i="1"/>
  <c r="AI1005" i="1"/>
  <c r="AI1006" i="1"/>
  <c r="AI1007" i="1"/>
  <c r="AI1008" i="1"/>
  <c r="AI1009" i="1"/>
  <c r="AI1010" i="1"/>
  <c r="AI1011" i="1"/>
  <c r="AI1012" i="1"/>
  <c r="AI1013" i="1"/>
  <c r="AI1014" i="1"/>
  <c r="AI1015" i="1"/>
  <c r="AI1016" i="1"/>
  <c r="AI1017" i="1"/>
  <c r="AI1018" i="1"/>
  <c r="AI1019" i="1"/>
  <c r="AI1020" i="1"/>
  <c r="AI1021" i="1"/>
  <c r="AI1022" i="1"/>
  <c r="AI1023" i="1"/>
  <c r="AI1024" i="1"/>
  <c r="AI1025" i="1"/>
  <c r="AI1026" i="1"/>
  <c r="AI1027" i="1"/>
  <c r="AI1028" i="1"/>
  <c r="AI1029" i="1"/>
  <c r="AI1030" i="1"/>
  <c r="AI1031" i="1"/>
  <c r="AI1032" i="1"/>
  <c r="AI1033" i="1"/>
  <c r="AI1034" i="1"/>
  <c r="AI1035" i="1"/>
  <c r="AI1036" i="1"/>
  <c r="AI1037" i="1"/>
  <c r="AI1038" i="1"/>
  <c r="AI1039" i="1"/>
  <c r="AI1040" i="1"/>
  <c r="AI1041" i="1"/>
  <c r="AI1042" i="1"/>
  <c r="AI1043" i="1"/>
  <c r="AI1044" i="1"/>
  <c r="AI1045" i="1"/>
  <c r="AI1046" i="1"/>
  <c r="AI1047" i="1"/>
  <c r="AI1048" i="1"/>
  <c r="AI1049" i="1"/>
  <c r="AI1050" i="1"/>
  <c r="AI1051" i="1"/>
  <c r="AI1052" i="1"/>
  <c r="AI1053" i="1"/>
  <c r="AI1054" i="1"/>
  <c r="AI1055" i="1"/>
  <c r="AI1056" i="1"/>
  <c r="AI1057" i="1"/>
  <c r="AI1058" i="1"/>
  <c r="AI1059" i="1"/>
  <c r="AI1060" i="1"/>
  <c r="AI1061" i="1"/>
  <c r="AI1062" i="1"/>
  <c r="AI1063" i="1"/>
  <c r="AI1064" i="1"/>
  <c r="AI1065" i="1"/>
  <c r="AI1066" i="1"/>
  <c r="AI1067" i="1"/>
  <c r="AI1068" i="1"/>
  <c r="AI1069" i="1"/>
  <c r="AI1070" i="1"/>
  <c r="AI1071" i="1"/>
  <c r="AI1072" i="1"/>
  <c r="AI1073" i="1"/>
  <c r="AI1074" i="1"/>
  <c r="AI1075" i="1"/>
  <c r="AI1076" i="1"/>
  <c r="AI1077" i="1"/>
  <c r="AI1078" i="1"/>
  <c r="AI1079" i="1"/>
  <c r="AI1080" i="1"/>
  <c r="AI1081" i="1"/>
  <c r="AI1082" i="1"/>
  <c r="AI1083" i="1"/>
  <c r="AI1084" i="1"/>
  <c r="AI1085" i="1"/>
  <c r="AI1086" i="1"/>
  <c r="AI1087" i="1"/>
  <c r="AI1088" i="1"/>
  <c r="AI1089" i="1"/>
  <c r="AI1090" i="1"/>
  <c r="AI1091" i="1"/>
  <c r="AI1092" i="1"/>
  <c r="AI1093" i="1"/>
  <c r="AI1094" i="1"/>
  <c r="AI1095" i="1"/>
  <c r="AI1096" i="1"/>
  <c r="AI1097" i="1"/>
  <c r="AI1098" i="1"/>
  <c r="AI1099" i="1"/>
  <c r="AI1100" i="1"/>
  <c r="AI1101" i="1"/>
  <c r="AI1102" i="1"/>
  <c r="AI1103" i="1"/>
  <c r="AI1104" i="1"/>
  <c r="AI1105" i="1"/>
  <c r="AI1106" i="1"/>
  <c r="AI1107" i="1"/>
  <c r="AI1108" i="1"/>
  <c r="AI1109" i="1"/>
  <c r="AI1110" i="1"/>
  <c r="AI1111" i="1"/>
  <c r="AI1112" i="1"/>
  <c r="AI1113" i="1"/>
  <c r="AI1114" i="1"/>
  <c r="AI1115" i="1"/>
  <c r="AI1116" i="1"/>
  <c r="AI1117" i="1"/>
  <c r="AI1118" i="1"/>
  <c r="AI1119" i="1"/>
  <c r="AI1120" i="1"/>
  <c r="AI1121" i="1"/>
  <c r="AI1122" i="1"/>
  <c r="AI1123" i="1"/>
  <c r="AI1124" i="1"/>
  <c r="AI1125" i="1"/>
  <c r="AI1126" i="1"/>
  <c r="AI1127" i="1"/>
  <c r="AI1128" i="1"/>
  <c r="AI1129" i="1"/>
  <c r="AI1130" i="1"/>
  <c r="AI1131" i="1"/>
  <c r="AI1132" i="1"/>
  <c r="AI1133" i="1"/>
  <c r="AI1134" i="1"/>
  <c r="AI1135" i="1"/>
  <c r="AI1136" i="1"/>
  <c r="AI1137" i="1"/>
  <c r="AI1138" i="1"/>
  <c r="AI1139" i="1"/>
  <c r="AI1140" i="1"/>
  <c r="AI1141" i="1"/>
  <c r="AI1142" i="1"/>
  <c r="AI1143" i="1"/>
  <c r="AI1144" i="1"/>
  <c r="AI1145" i="1"/>
  <c r="AI1146" i="1"/>
  <c r="AI1147" i="1"/>
  <c r="AI1148" i="1"/>
  <c r="AI1149" i="1"/>
  <c r="AI1150" i="1"/>
  <c r="AI1151" i="1"/>
  <c r="AI1152" i="1"/>
  <c r="AI1153" i="1"/>
  <c r="AI1154" i="1"/>
  <c r="AI1155" i="1"/>
  <c r="AI1156" i="1"/>
  <c r="AI1157" i="1"/>
  <c r="AI1158" i="1"/>
  <c r="AI1159" i="1"/>
  <c r="AI1160" i="1"/>
  <c r="AI1161" i="1"/>
  <c r="AI1162" i="1"/>
  <c r="AI1163" i="1"/>
  <c r="AI1164" i="1"/>
  <c r="AI1165" i="1"/>
  <c r="AI1166" i="1"/>
  <c r="AI1167" i="1"/>
  <c r="AI1168" i="1"/>
  <c r="AI1169" i="1"/>
  <c r="AI1170" i="1"/>
  <c r="AI1171" i="1"/>
  <c r="AI1172" i="1"/>
  <c r="AI1173" i="1"/>
  <c r="AI1174" i="1"/>
  <c r="AI1175" i="1"/>
  <c r="AI1176" i="1"/>
  <c r="AI1177" i="1"/>
  <c r="AI1178" i="1"/>
  <c r="AI1179" i="1"/>
  <c r="AI1180" i="1"/>
  <c r="AI1181" i="1"/>
  <c r="AI1182" i="1"/>
  <c r="AI1183" i="1"/>
  <c r="AI1184" i="1"/>
  <c r="AI1185" i="1"/>
  <c r="AI1186" i="1"/>
  <c r="AI1187" i="1"/>
  <c r="AI1188" i="1"/>
  <c r="AI1189" i="1"/>
  <c r="AI1190" i="1"/>
  <c r="AI1191" i="1"/>
  <c r="AI1192" i="1"/>
  <c r="AI1193" i="1"/>
  <c r="AI1194" i="1"/>
  <c r="AI1195" i="1"/>
  <c r="AI1196" i="1"/>
  <c r="AI1197" i="1"/>
  <c r="AI1198" i="1"/>
  <c r="AI1199" i="1"/>
  <c r="AI1200" i="1"/>
  <c r="AI1201" i="1"/>
  <c r="AI1202" i="1"/>
  <c r="AI1203" i="1"/>
  <c r="AI1204" i="1"/>
  <c r="AI1205" i="1"/>
  <c r="AI1206" i="1"/>
  <c r="AI1207" i="1"/>
  <c r="AI1208" i="1"/>
  <c r="AI1209" i="1"/>
  <c r="AI1210" i="1"/>
  <c r="AI1211" i="1"/>
  <c r="AI1212" i="1"/>
  <c r="AI1213" i="1"/>
  <c r="AI1214" i="1"/>
  <c r="AI1215" i="1"/>
  <c r="AI1216" i="1"/>
  <c r="AI1217" i="1"/>
  <c r="AI1218" i="1"/>
  <c r="AI1219" i="1"/>
  <c r="AI1220" i="1"/>
  <c r="AI1221" i="1"/>
  <c r="AI1222" i="1"/>
  <c r="AI1223" i="1"/>
  <c r="AI1224" i="1"/>
  <c r="AI1225" i="1"/>
  <c r="AI1226" i="1"/>
  <c r="AI1227" i="1"/>
  <c r="AI1228" i="1"/>
  <c r="AI1229" i="1"/>
  <c r="AI1230" i="1"/>
  <c r="AI1231" i="1"/>
  <c r="AI1232" i="1"/>
  <c r="AI1233" i="1"/>
  <c r="AI1234" i="1"/>
  <c r="AI1235" i="1"/>
  <c r="AI1236" i="1"/>
  <c r="AI1237" i="1"/>
  <c r="AI1238" i="1"/>
  <c r="AI1239" i="1"/>
  <c r="AI1240" i="1"/>
  <c r="AI1241" i="1"/>
  <c r="AI1242" i="1"/>
  <c r="AI1243" i="1"/>
  <c r="AI1244" i="1"/>
  <c r="AI1245" i="1"/>
  <c r="AI1246" i="1"/>
  <c r="AI1247" i="1"/>
  <c r="AI1248" i="1"/>
  <c r="AI1249" i="1"/>
  <c r="AI1250" i="1"/>
  <c r="AI1251" i="1"/>
  <c r="AI1252" i="1"/>
  <c r="AI1253" i="1"/>
  <c r="AI1254" i="1"/>
  <c r="AI1255" i="1"/>
  <c r="AI1256" i="1"/>
  <c r="AI1257" i="1"/>
  <c r="AI1258" i="1"/>
  <c r="AI1259" i="1"/>
  <c r="AI1260" i="1"/>
  <c r="AI1261" i="1"/>
  <c r="AI1262" i="1"/>
  <c r="AI1263" i="1"/>
  <c r="AI1264" i="1"/>
  <c r="AI1265" i="1"/>
  <c r="AI1266" i="1"/>
  <c r="AI1267" i="1"/>
  <c r="AI1268" i="1"/>
  <c r="AI1269" i="1"/>
  <c r="AI1270" i="1"/>
  <c r="AI1271" i="1"/>
  <c r="AI1272" i="1"/>
  <c r="AI1273" i="1"/>
  <c r="AI1274" i="1"/>
  <c r="AI1275" i="1"/>
  <c r="AI1276" i="1"/>
  <c r="AI1277" i="1"/>
  <c r="AI1278" i="1"/>
  <c r="AI1279" i="1"/>
  <c r="AI1280" i="1"/>
  <c r="AI1281" i="1"/>
  <c r="AI1282" i="1"/>
  <c r="AI1283" i="1"/>
  <c r="AI1284" i="1"/>
  <c r="AI1285" i="1"/>
  <c r="AI1286" i="1"/>
  <c r="AI1287" i="1"/>
  <c r="AI1288" i="1"/>
  <c r="AI1289" i="1"/>
  <c r="AI1290" i="1"/>
  <c r="AI1291" i="1"/>
  <c r="AI1292" i="1"/>
  <c r="AI1293" i="1"/>
  <c r="AI1294" i="1"/>
  <c r="AI1295" i="1"/>
  <c r="AI1296" i="1"/>
  <c r="AI1297" i="1"/>
  <c r="AI1298" i="1"/>
  <c r="AI1299" i="1"/>
  <c r="AI1300" i="1"/>
  <c r="AI1301" i="1"/>
  <c r="AI1302" i="1"/>
  <c r="AI1303" i="1"/>
  <c r="AI1304" i="1"/>
  <c r="AI1305" i="1"/>
  <c r="AI1306" i="1"/>
  <c r="AI1307" i="1"/>
  <c r="AI1308" i="1"/>
  <c r="AI1309" i="1"/>
  <c r="AI1310" i="1"/>
  <c r="AI1311" i="1"/>
  <c r="AI1312" i="1"/>
  <c r="AI1313" i="1"/>
  <c r="AI1314" i="1"/>
  <c r="AI1315" i="1"/>
  <c r="AI1316" i="1"/>
  <c r="AI1317" i="1"/>
  <c r="AI1318" i="1"/>
  <c r="AI1319" i="1"/>
  <c r="AI1320" i="1"/>
  <c r="AI1321" i="1"/>
  <c r="AI1322" i="1"/>
  <c r="AI1323" i="1"/>
  <c r="AI1324" i="1"/>
  <c r="AI1325" i="1"/>
  <c r="AI1326" i="1"/>
  <c r="AI1327" i="1"/>
  <c r="AI1328" i="1"/>
  <c r="AI1329" i="1"/>
  <c r="AI1330" i="1"/>
  <c r="AI1331" i="1"/>
  <c r="AI1332" i="1"/>
  <c r="AI1333" i="1"/>
  <c r="AI1334" i="1"/>
  <c r="AI1335" i="1"/>
  <c r="AI1336" i="1"/>
  <c r="AI1337" i="1"/>
  <c r="AI1338" i="1"/>
  <c r="AI1339" i="1"/>
  <c r="AI1340" i="1"/>
  <c r="AI1341" i="1"/>
  <c r="AI1342" i="1"/>
  <c r="AI1343" i="1"/>
  <c r="AI1344" i="1"/>
  <c r="AI1345" i="1"/>
  <c r="AI1346" i="1"/>
  <c r="AI1347" i="1"/>
  <c r="AI1348" i="1"/>
  <c r="AI1349" i="1"/>
  <c r="AI1350" i="1"/>
  <c r="AI1351" i="1"/>
  <c r="AI1352" i="1"/>
  <c r="AI1353" i="1"/>
  <c r="AI1354" i="1"/>
  <c r="AI1355" i="1"/>
  <c r="AI1356" i="1"/>
  <c r="AI1357" i="1"/>
  <c r="AI1358" i="1"/>
  <c r="AI1359" i="1"/>
  <c r="AI1360" i="1"/>
  <c r="AI1361" i="1"/>
  <c r="AI1362" i="1"/>
  <c r="AI1363" i="1"/>
  <c r="AI1364" i="1"/>
  <c r="AI1365" i="1"/>
  <c r="AI1366" i="1"/>
  <c r="AI1367" i="1"/>
  <c r="AI1368" i="1"/>
  <c r="AI1369" i="1"/>
  <c r="AI1370" i="1"/>
  <c r="AI1371" i="1"/>
  <c r="AI1372" i="1"/>
  <c r="AI1373" i="1"/>
  <c r="AI1374" i="1"/>
  <c r="AI1375" i="1"/>
  <c r="AI1376" i="1"/>
  <c r="AI1377" i="1"/>
  <c r="AI1378" i="1"/>
  <c r="AI1379" i="1"/>
  <c r="AI1380" i="1"/>
  <c r="AI1381" i="1"/>
  <c r="AI1382" i="1"/>
  <c r="AI1383" i="1"/>
  <c r="AI1384" i="1"/>
  <c r="AI1385" i="1"/>
  <c r="AI1386" i="1"/>
  <c r="AI1387" i="1"/>
  <c r="AI1388" i="1"/>
  <c r="AI1389" i="1"/>
  <c r="AI1390" i="1"/>
  <c r="AI1391" i="1"/>
  <c r="AI1392" i="1"/>
  <c r="AI1393" i="1"/>
  <c r="AI1394" i="1"/>
  <c r="AI1395" i="1"/>
  <c r="AI1396" i="1"/>
  <c r="AI1397" i="1"/>
  <c r="AI1398" i="1"/>
  <c r="AI1399" i="1"/>
  <c r="AI1400" i="1"/>
  <c r="AI1401" i="1"/>
  <c r="AI1402" i="1"/>
  <c r="AI1403" i="1"/>
  <c r="AI1404" i="1"/>
  <c r="AI1405" i="1"/>
  <c r="AI1406" i="1"/>
  <c r="AI1407" i="1"/>
  <c r="AI1408" i="1"/>
  <c r="AI1409" i="1"/>
  <c r="AI1410" i="1"/>
  <c r="AI1411" i="1"/>
  <c r="AI1412" i="1"/>
  <c r="AI1413" i="1"/>
  <c r="AI1414" i="1"/>
  <c r="AI1415" i="1"/>
  <c r="AI1416" i="1"/>
  <c r="AI1417" i="1"/>
  <c r="AI1418" i="1"/>
  <c r="AI1419" i="1"/>
  <c r="AI1420" i="1"/>
  <c r="AI1421" i="1"/>
  <c r="AI1422" i="1"/>
  <c r="AI1423" i="1"/>
  <c r="AI1424" i="1"/>
  <c r="AI1425" i="1"/>
  <c r="AI1426" i="1"/>
  <c r="AI1427" i="1"/>
  <c r="AI1428" i="1"/>
  <c r="AI1429" i="1"/>
  <c r="AI1430" i="1"/>
  <c r="AI1431" i="1"/>
  <c r="AI1432" i="1"/>
  <c r="AI1433" i="1"/>
  <c r="AI1434" i="1"/>
  <c r="AI1435" i="1"/>
  <c r="AI1436" i="1"/>
  <c r="AI1437" i="1"/>
  <c r="AI1438" i="1"/>
  <c r="AI1439" i="1"/>
  <c r="AI1440" i="1"/>
  <c r="AI1441" i="1"/>
  <c r="AI1442" i="1"/>
  <c r="AI1443" i="1"/>
  <c r="AI1444" i="1"/>
  <c r="AI1445" i="1"/>
  <c r="AI1446" i="1"/>
  <c r="AI1447" i="1"/>
  <c r="AI1448" i="1"/>
  <c r="AI1449" i="1"/>
  <c r="AI1450" i="1"/>
  <c r="AI1451" i="1"/>
  <c r="AI1452" i="1"/>
  <c r="AI1453" i="1"/>
  <c r="AI1454" i="1"/>
  <c r="AI1455" i="1"/>
  <c r="AI1456" i="1"/>
  <c r="AI1457" i="1"/>
  <c r="AI1458" i="1"/>
  <c r="AI1459" i="1"/>
  <c r="AI1460" i="1"/>
  <c r="AI1461" i="1"/>
  <c r="AI1462" i="1"/>
  <c r="AI1463" i="1"/>
  <c r="AI1464" i="1"/>
  <c r="AI1465" i="1"/>
  <c r="AI1466" i="1"/>
  <c r="AI1467" i="1"/>
  <c r="AI1468" i="1"/>
  <c r="AI1469" i="1"/>
  <c r="AI1470" i="1"/>
  <c r="AI1471" i="1"/>
  <c r="AI1472" i="1"/>
  <c r="AI1473" i="1"/>
  <c r="AI1474" i="1"/>
  <c r="AI1475" i="1"/>
  <c r="AI1476" i="1"/>
  <c r="AI1477" i="1"/>
  <c r="AI1478" i="1"/>
  <c r="AI1479" i="1"/>
  <c r="AI1480" i="1"/>
  <c r="AI1481" i="1"/>
  <c r="AI1482" i="1"/>
  <c r="AI1483" i="1"/>
  <c r="AI1484" i="1"/>
  <c r="AI1485" i="1"/>
  <c r="AI1486" i="1"/>
  <c r="AI1487" i="1"/>
  <c r="AI1488" i="1"/>
  <c r="AI1489" i="1"/>
  <c r="AI1490" i="1"/>
  <c r="AI1491" i="1"/>
  <c r="AI1492" i="1"/>
  <c r="AI1493" i="1"/>
  <c r="AI1494" i="1"/>
  <c r="AI1495" i="1"/>
  <c r="AI1496" i="1"/>
  <c r="AI1497" i="1"/>
  <c r="AI1498" i="1"/>
  <c r="AI1499" i="1"/>
  <c r="AI1500" i="1"/>
  <c r="AI1501" i="1"/>
  <c r="AI1502" i="1"/>
  <c r="AI1503" i="1"/>
  <c r="AI1504" i="1"/>
  <c r="AI1505" i="1"/>
  <c r="AI1506" i="1"/>
  <c r="AI1507" i="1"/>
  <c r="AI1508" i="1"/>
  <c r="AI1509" i="1"/>
  <c r="AI1510" i="1"/>
  <c r="AI1511" i="1"/>
  <c r="AI1512" i="1"/>
  <c r="AI1513" i="1"/>
  <c r="AI1514" i="1"/>
  <c r="AI1515" i="1"/>
  <c r="AI1516" i="1"/>
  <c r="AI1517" i="1"/>
  <c r="AI1518" i="1"/>
  <c r="AI1519" i="1"/>
  <c r="AI1520" i="1"/>
  <c r="AI1521" i="1"/>
  <c r="AI1522" i="1"/>
  <c r="AI1523" i="1"/>
  <c r="AI1524" i="1"/>
  <c r="AI1525" i="1"/>
  <c r="AI1526" i="1"/>
  <c r="AI1527" i="1"/>
  <c r="AI1528" i="1"/>
  <c r="AI1529" i="1"/>
  <c r="AI1530" i="1"/>
  <c r="AI1531" i="1"/>
  <c r="AI1532" i="1"/>
  <c r="AI1533" i="1"/>
  <c r="AI1534" i="1"/>
  <c r="AI1535" i="1"/>
  <c r="AI1536" i="1"/>
  <c r="AI1537" i="1"/>
  <c r="AI1538" i="1"/>
  <c r="AI1539" i="1"/>
  <c r="AI1540" i="1"/>
  <c r="AI1541" i="1"/>
  <c r="AI1542" i="1"/>
  <c r="AI1543" i="1"/>
  <c r="AI1544" i="1"/>
  <c r="AI1545" i="1"/>
  <c r="AI1546" i="1"/>
  <c r="AI1547" i="1"/>
  <c r="AI1548" i="1"/>
  <c r="AI1549" i="1"/>
  <c r="AI1550" i="1"/>
  <c r="AI1551" i="1"/>
  <c r="AI1552" i="1"/>
  <c r="AI1553" i="1"/>
  <c r="AI1554" i="1"/>
  <c r="AI1555" i="1"/>
  <c r="AI1556" i="1"/>
  <c r="AI1557" i="1"/>
  <c r="AI1558" i="1"/>
  <c r="AI1559" i="1"/>
  <c r="AI1560" i="1"/>
  <c r="AI1561" i="1"/>
  <c r="AI1562" i="1"/>
  <c r="AI1563" i="1"/>
  <c r="AI1564" i="1"/>
  <c r="AI1565" i="1"/>
  <c r="AI1566" i="1"/>
  <c r="AI1567" i="1"/>
  <c r="AI1568" i="1"/>
  <c r="AI1569" i="1"/>
  <c r="AI1570" i="1"/>
  <c r="AI1571" i="1"/>
  <c r="AI1572" i="1"/>
  <c r="AI1573" i="1"/>
  <c r="AI1574" i="1"/>
  <c r="AI1575" i="1"/>
  <c r="AI1576" i="1"/>
  <c r="AI1577" i="1"/>
  <c r="AI1578" i="1"/>
  <c r="AI1579" i="1"/>
  <c r="AI1580" i="1"/>
  <c r="AI1581" i="1"/>
  <c r="AI1582" i="1"/>
  <c r="AI1583" i="1"/>
  <c r="AI1584" i="1"/>
  <c r="AI1585" i="1"/>
  <c r="AI1586" i="1"/>
  <c r="AI1587" i="1"/>
  <c r="AI1588" i="1"/>
  <c r="AI1589" i="1"/>
  <c r="AI1590" i="1"/>
  <c r="AI1591" i="1"/>
  <c r="AI1592" i="1"/>
  <c r="AI1593" i="1"/>
  <c r="AI1594" i="1"/>
  <c r="AI1595" i="1"/>
  <c r="AI1596" i="1"/>
  <c r="AI1597" i="1"/>
  <c r="AI1598" i="1"/>
  <c r="AI1599" i="1"/>
  <c r="AI1600" i="1"/>
  <c r="AI1601" i="1"/>
  <c r="AI1602" i="1"/>
  <c r="AI1603" i="1"/>
  <c r="AI1604" i="1"/>
  <c r="AI1605" i="1"/>
  <c r="AI1606" i="1"/>
  <c r="AI1607" i="1"/>
  <c r="AI1608" i="1"/>
  <c r="AI1609" i="1"/>
  <c r="AI1610" i="1"/>
  <c r="AI1611" i="1"/>
  <c r="AI1612" i="1"/>
  <c r="AI1613" i="1"/>
  <c r="AI1614" i="1"/>
  <c r="AI1615" i="1"/>
  <c r="AI1616" i="1"/>
  <c r="AI1617" i="1"/>
  <c r="AI1618" i="1"/>
  <c r="AI1619" i="1"/>
  <c r="AI1620" i="1"/>
  <c r="AI1621" i="1"/>
  <c r="AI1622" i="1"/>
  <c r="AI1623" i="1"/>
  <c r="AI1624" i="1"/>
  <c r="AI1625" i="1"/>
  <c r="AI1626" i="1"/>
  <c r="AI1627" i="1"/>
  <c r="AI1628" i="1"/>
  <c r="AI1629" i="1"/>
  <c r="AI1630" i="1"/>
  <c r="AI1631" i="1"/>
  <c r="AI1632" i="1"/>
  <c r="AI1633" i="1"/>
  <c r="AI1634" i="1"/>
  <c r="AI1635" i="1"/>
  <c r="AI1636" i="1"/>
  <c r="AI1637" i="1"/>
  <c r="AI1638" i="1"/>
  <c r="AI1639" i="1"/>
  <c r="AI1640" i="1"/>
  <c r="AI1641" i="1"/>
  <c r="AI1642" i="1"/>
  <c r="AI1643" i="1"/>
  <c r="AI1644" i="1"/>
  <c r="AI1645" i="1"/>
  <c r="AI1646" i="1"/>
  <c r="AI1647" i="1"/>
  <c r="AI1648" i="1"/>
  <c r="AI1649" i="1"/>
  <c r="AI1650" i="1"/>
  <c r="AI1651" i="1"/>
  <c r="AI1652" i="1"/>
  <c r="AI1653" i="1"/>
  <c r="AI1654" i="1"/>
  <c r="AI1655" i="1"/>
  <c r="AI1656" i="1"/>
  <c r="AI1657" i="1"/>
  <c r="AI1658" i="1"/>
  <c r="AI1659" i="1"/>
  <c r="AI1660" i="1"/>
  <c r="AI1661" i="1"/>
  <c r="AI1662" i="1"/>
  <c r="AI1663" i="1"/>
  <c r="AI1664" i="1"/>
  <c r="AI1665" i="1"/>
  <c r="AI1666" i="1"/>
  <c r="AI1667" i="1"/>
  <c r="AI1668" i="1"/>
  <c r="AI1669" i="1"/>
  <c r="AI1670" i="1"/>
  <c r="AI1671" i="1"/>
  <c r="AI1672" i="1"/>
  <c r="AI1673" i="1"/>
  <c r="AI1674" i="1"/>
  <c r="AI1675" i="1"/>
  <c r="AI1676" i="1"/>
  <c r="AI1677" i="1"/>
  <c r="AI1678" i="1"/>
  <c r="AI1679" i="1"/>
  <c r="AI1680" i="1"/>
  <c r="AI1681" i="1"/>
  <c r="AI1682" i="1"/>
  <c r="AI1683" i="1"/>
  <c r="AI1684" i="1"/>
  <c r="AI1685" i="1"/>
  <c r="AI1686" i="1"/>
  <c r="AI1687" i="1"/>
  <c r="AI1688" i="1"/>
  <c r="AI1689" i="1"/>
  <c r="AI1690" i="1"/>
  <c r="AI1691" i="1"/>
  <c r="AI1692" i="1"/>
  <c r="AI1693" i="1"/>
  <c r="AI1694" i="1"/>
  <c r="AI1695" i="1"/>
  <c r="AI1696" i="1"/>
  <c r="AI1697" i="1"/>
  <c r="AI1698" i="1"/>
  <c r="AI1699" i="1"/>
  <c r="AI1700" i="1"/>
  <c r="AI1701" i="1"/>
  <c r="AI1702" i="1"/>
  <c r="AI1703" i="1"/>
  <c r="AI1704" i="1"/>
  <c r="AI1705" i="1"/>
  <c r="AI1706" i="1"/>
  <c r="AI1707" i="1"/>
  <c r="AI1708" i="1"/>
  <c r="AI1709" i="1"/>
  <c r="AI1710" i="1"/>
  <c r="AI1711" i="1"/>
  <c r="AI1712" i="1"/>
  <c r="AI1713" i="1"/>
  <c r="AI1714" i="1"/>
  <c r="AI1715" i="1"/>
  <c r="AI1716" i="1"/>
  <c r="AI1717" i="1"/>
  <c r="AI1718" i="1"/>
  <c r="AI1719" i="1"/>
  <c r="AI1720" i="1"/>
  <c r="AI1721" i="1"/>
  <c r="AI1722" i="1"/>
  <c r="AI1723" i="1"/>
  <c r="AI1724" i="1"/>
  <c r="AI1725" i="1"/>
  <c r="AI1726" i="1"/>
  <c r="AI1727" i="1"/>
  <c r="AI1728" i="1"/>
  <c r="AI1729" i="1"/>
  <c r="AI1730" i="1"/>
  <c r="AI1731" i="1"/>
  <c r="AI1732" i="1"/>
  <c r="AI1733" i="1"/>
  <c r="AI1734" i="1"/>
  <c r="AI1735" i="1"/>
  <c r="AI1736" i="1"/>
  <c r="AI1737" i="1"/>
  <c r="AI1738" i="1"/>
  <c r="AI1739" i="1"/>
  <c r="AI1740" i="1"/>
  <c r="AI1743" i="1"/>
  <c r="AI1744" i="1"/>
  <c r="AI1745" i="1"/>
  <c r="AI1746" i="1"/>
  <c r="AI1747" i="1"/>
  <c r="AI1748" i="1"/>
  <c r="AI1749" i="1"/>
  <c r="AI1750" i="1"/>
  <c r="AI1751" i="1"/>
  <c r="AI1752" i="1"/>
  <c r="AI1753" i="1"/>
  <c r="AI1754" i="1"/>
  <c r="AI1755" i="1"/>
  <c r="AI1756" i="1"/>
  <c r="AI1757" i="1"/>
  <c r="AI1758" i="1"/>
  <c r="AI1759" i="1"/>
  <c r="AI1760" i="1"/>
  <c r="AI1761" i="1"/>
  <c r="AI1762" i="1"/>
  <c r="AI1763" i="1"/>
  <c r="AI1764" i="1"/>
  <c r="AI1765" i="1"/>
  <c r="AI1766" i="1"/>
  <c r="AI1767" i="1"/>
  <c r="AI1768" i="1"/>
  <c r="AI1769" i="1"/>
  <c r="AI1770" i="1"/>
  <c r="AI1771" i="1"/>
  <c r="AI1772" i="1"/>
  <c r="AI1773" i="1"/>
  <c r="AI1774" i="1"/>
  <c r="AI1775" i="1"/>
  <c r="AI1776" i="1"/>
  <c r="AI1777" i="1"/>
  <c r="AI1778" i="1"/>
  <c r="AI1779" i="1"/>
  <c r="AI1780" i="1"/>
  <c r="AI1781" i="1"/>
  <c r="AI1782" i="1"/>
  <c r="AI1783" i="1"/>
  <c r="AI1784" i="1"/>
  <c r="AI1785" i="1"/>
  <c r="AI1786" i="1"/>
  <c r="AI1787" i="1"/>
  <c r="AI1788" i="1"/>
  <c r="AI1789" i="1"/>
  <c r="AI1790" i="1"/>
  <c r="AI1791" i="1"/>
  <c r="AI1792" i="1"/>
  <c r="AI1793" i="1"/>
  <c r="AI1794" i="1"/>
  <c r="AI1795" i="1"/>
  <c r="AI1796" i="1"/>
  <c r="AI1797" i="1"/>
  <c r="AI1798" i="1"/>
  <c r="AI1799" i="1"/>
  <c r="AI1800" i="1"/>
  <c r="AI1801" i="1"/>
  <c r="AI1802" i="1"/>
  <c r="AI1803" i="1"/>
  <c r="AI1804" i="1"/>
  <c r="AI1805" i="1"/>
  <c r="AI1806" i="1"/>
  <c r="AI1807" i="1"/>
  <c r="AI1808" i="1"/>
  <c r="AI1809" i="1"/>
  <c r="AI1810" i="1"/>
  <c r="AI1811" i="1"/>
  <c r="AI1812" i="1"/>
  <c r="AI1813" i="1"/>
  <c r="AI1814" i="1"/>
  <c r="AI1816" i="1"/>
  <c r="AI1817" i="1"/>
  <c r="AI1818" i="1"/>
  <c r="AI1819" i="1"/>
  <c r="AI1820" i="1"/>
  <c r="AI1821" i="1"/>
  <c r="AI1823" i="1"/>
  <c r="AI1824" i="1"/>
  <c r="AI1825" i="1"/>
  <c r="AI1826" i="1"/>
  <c r="AI1827" i="1"/>
  <c r="AI1828" i="1"/>
  <c r="AI1829" i="1"/>
  <c r="AI1830" i="1"/>
  <c r="AI1831" i="1"/>
  <c r="AI1832" i="1"/>
  <c r="AI1833" i="1"/>
  <c r="AI1834" i="1"/>
  <c r="AI1835" i="1"/>
  <c r="AI1836" i="1"/>
  <c r="AI1837" i="1"/>
  <c r="AI1838" i="1"/>
  <c r="AI1839" i="1"/>
  <c r="AI1840" i="1"/>
  <c r="AI1841" i="1"/>
  <c r="AI1842" i="1"/>
  <c r="AI1843" i="1"/>
  <c r="AI1844"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AJ1472" i="1"/>
  <c r="AJ1473" i="1"/>
  <c r="AJ1474" i="1"/>
  <c r="AJ1475" i="1"/>
  <c r="AJ1476" i="1"/>
  <c r="AJ1477" i="1"/>
  <c r="AJ1478" i="1"/>
  <c r="AJ1479" i="1"/>
  <c r="AJ1480" i="1"/>
  <c r="AJ1481" i="1"/>
  <c r="AJ1482" i="1"/>
  <c r="AJ1483" i="1"/>
  <c r="AJ1484" i="1"/>
  <c r="AJ1485" i="1"/>
  <c r="AJ1486" i="1"/>
  <c r="AJ1487" i="1"/>
  <c r="AJ1488" i="1"/>
  <c r="AJ1489" i="1"/>
  <c r="AJ1490" i="1"/>
  <c r="AJ1491" i="1"/>
  <c r="AJ1492" i="1"/>
  <c r="AJ1493" i="1"/>
  <c r="AJ1494" i="1"/>
  <c r="AJ1495" i="1"/>
  <c r="AJ1496" i="1"/>
  <c r="AJ1497" i="1"/>
  <c r="AJ1498" i="1"/>
  <c r="AJ1499" i="1"/>
  <c r="AJ1500" i="1"/>
  <c r="AJ1501" i="1"/>
  <c r="AJ1502" i="1"/>
  <c r="AJ1503" i="1"/>
  <c r="AJ1504" i="1"/>
  <c r="AJ1505" i="1"/>
  <c r="AJ1506" i="1"/>
  <c r="AJ1507" i="1"/>
  <c r="AJ1508" i="1"/>
  <c r="AJ1509" i="1"/>
  <c r="AJ1510" i="1"/>
  <c r="AJ1511" i="1"/>
  <c r="AJ1512" i="1"/>
  <c r="AJ1513" i="1"/>
  <c r="AJ1514" i="1"/>
  <c r="AJ1515" i="1"/>
  <c r="AJ1516" i="1"/>
  <c r="AJ1517" i="1"/>
  <c r="AJ1518" i="1"/>
  <c r="AJ1519" i="1"/>
  <c r="AJ1520" i="1"/>
  <c r="AJ1521" i="1"/>
  <c r="AJ1522" i="1"/>
  <c r="AJ1523" i="1"/>
  <c r="AJ1524" i="1"/>
  <c r="AJ1525" i="1"/>
  <c r="AJ1526" i="1"/>
  <c r="AJ1527" i="1"/>
  <c r="AJ1528" i="1"/>
  <c r="AJ1529" i="1"/>
  <c r="AJ1530" i="1"/>
  <c r="AJ1531" i="1"/>
  <c r="AJ1532" i="1"/>
  <c r="AJ1533" i="1"/>
  <c r="AJ1534" i="1"/>
  <c r="AJ1535" i="1"/>
  <c r="AJ1536" i="1"/>
  <c r="AJ1537" i="1"/>
  <c r="AJ1538" i="1"/>
  <c r="AJ1539" i="1"/>
  <c r="AJ1540" i="1"/>
  <c r="AJ1541" i="1"/>
  <c r="AJ1542" i="1"/>
  <c r="AJ1543" i="1"/>
  <c r="AJ1544" i="1"/>
  <c r="AJ1545" i="1"/>
  <c r="AJ1546" i="1"/>
  <c r="AJ1547" i="1"/>
  <c r="AJ1548" i="1"/>
  <c r="AJ1549" i="1"/>
  <c r="AJ1550" i="1"/>
  <c r="AJ1551" i="1"/>
  <c r="AJ1552" i="1"/>
  <c r="AJ1553" i="1"/>
  <c r="AJ1554" i="1"/>
  <c r="AJ1555" i="1"/>
  <c r="AJ1556" i="1"/>
  <c r="AJ1557" i="1"/>
  <c r="AJ1558" i="1"/>
  <c r="AJ1559" i="1"/>
  <c r="AJ1560" i="1"/>
  <c r="AJ1561" i="1"/>
  <c r="AJ1562" i="1"/>
  <c r="AJ1563" i="1"/>
  <c r="AJ1564" i="1"/>
  <c r="AJ1565" i="1"/>
  <c r="AJ1566" i="1"/>
  <c r="AJ1567" i="1"/>
  <c r="AJ1568" i="1"/>
  <c r="AJ1569" i="1"/>
  <c r="AJ1570" i="1"/>
  <c r="AJ1571" i="1"/>
  <c r="AJ1572" i="1"/>
  <c r="AJ1573" i="1"/>
  <c r="AJ1574" i="1"/>
  <c r="AJ1575" i="1"/>
  <c r="AJ1576" i="1"/>
  <c r="AJ1577" i="1"/>
  <c r="AJ1578" i="1"/>
  <c r="AJ1579" i="1"/>
  <c r="AJ1580" i="1"/>
  <c r="AJ1581" i="1"/>
  <c r="AJ1582" i="1"/>
  <c r="AJ1583" i="1"/>
  <c r="AJ1584" i="1"/>
  <c r="AJ1585" i="1"/>
  <c r="AJ1586" i="1"/>
  <c r="AJ1587" i="1"/>
  <c r="AJ1588" i="1"/>
  <c r="AJ1589" i="1"/>
  <c r="AJ1590" i="1"/>
  <c r="AJ1591" i="1"/>
  <c r="AJ1592" i="1"/>
  <c r="AJ1593" i="1"/>
  <c r="AJ1594" i="1"/>
  <c r="AJ1595" i="1"/>
  <c r="AJ1596" i="1"/>
  <c r="AJ1597" i="1"/>
  <c r="AJ1598" i="1"/>
  <c r="AJ1599" i="1"/>
  <c r="AJ1600" i="1"/>
  <c r="AJ1601" i="1"/>
  <c r="AJ1602" i="1"/>
  <c r="AJ1603" i="1"/>
  <c r="AJ1604" i="1"/>
  <c r="AJ1605" i="1"/>
  <c r="AJ1606" i="1"/>
  <c r="AJ1607" i="1"/>
  <c r="AJ1608" i="1"/>
  <c r="AJ1609" i="1"/>
  <c r="AJ1610" i="1"/>
  <c r="AJ1611" i="1"/>
  <c r="AJ1612" i="1"/>
  <c r="AJ1613" i="1"/>
  <c r="AJ1614" i="1"/>
  <c r="AJ1615" i="1"/>
  <c r="AJ1616" i="1"/>
  <c r="AJ1617" i="1"/>
  <c r="AJ1618" i="1"/>
  <c r="AJ1619" i="1"/>
  <c r="AJ1620" i="1"/>
  <c r="AJ1621" i="1"/>
  <c r="AJ1622" i="1"/>
  <c r="AJ1623" i="1"/>
  <c r="AJ1624" i="1"/>
  <c r="AJ1625" i="1"/>
  <c r="AJ1626" i="1"/>
  <c r="AJ1627" i="1"/>
  <c r="AJ1628" i="1"/>
  <c r="AJ1629" i="1"/>
  <c r="AJ1630" i="1"/>
  <c r="AJ1631" i="1"/>
  <c r="AJ1632" i="1"/>
  <c r="AJ1633" i="1"/>
  <c r="AJ1634" i="1"/>
  <c r="AJ1635" i="1"/>
  <c r="AJ1636" i="1"/>
  <c r="AJ1637" i="1"/>
  <c r="AJ1638" i="1"/>
  <c r="AJ1639" i="1"/>
  <c r="AJ1640" i="1"/>
  <c r="AJ1641" i="1"/>
  <c r="AJ1642" i="1"/>
  <c r="AJ1643" i="1"/>
  <c r="AJ1644" i="1"/>
  <c r="AJ1645" i="1"/>
  <c r="AJ1646" i="1"/>
  <c r="AJ1647" i="1"/>
  <c r="AJ1648" i="1"/>
  <c r="AJ1649" i="1"/>
  <c r="AJ1650" i="1"/>
  <c r="AJ1651" i="1"/>
  <c r="AJ1652" i="1"/>
  <c r="AJ1653" i="1"/>
  <c r="AJ1654" i="1"/>
  <c r="AJ1655" i="1"/>
  <c r="AJ1656" i="1"/>
  <c r="AJ1657" i="1"/>
  <c r="AJ1658" i="1"/>
  <c r="AJ1659" i="1"/>
  <c r="AJ1660" i="1"/>
  <c r="AJ1661" i="1"/>
  <c r="AJ1662" i="1"/>
  <c r="AJ1663" i="1"/>
  <c r="AJ1664" i="1"/>
  <c r="AJ1665" i="1"/>
  <c r="AJ1666" i="1"/>
  <c r="AJ1667" i="1"/>
  <c r="AJ1668" i="1"/>
  <c r="AJ1669" i="1"/>
  <c r="AJ1670" i="1"/>
  <c r="AJ1671" i="1"/>
  <c r="AJ1672" i="1"/>
  <c r="AJ1673" i="1"/>
  <c r="AJ1674" i="1"/>
  <c r="AJ1675" i="1"/>
  <c r="AJ1676" i="1"/>
  <c r="AJ1677" i="1"/>
  <c r="AJ1678" i="1"/>
  <c r="AJ1679" i="1"/>
  <c r="AJ1680" i="1"/>
  <c r="AJ1681" i="1"/>
  <c r="AJ1682" i="1"/>
  <c r="AJ1683" i="1"/>
  <c r="AJ1684" i="1"/>
  <c r="AJ1685" i="1"/>
  <c r="AJ1686" i="1"/>
  <c r="AJ1687" i="1"/>
  <c r="AJ1688" i="1"/>
  <c r="AJ1689" i="1"/>
  <c r="AJ1690" i="1"/>
  <c r="AJ1691" i="1"/>
  <c r="AJ1692" i="1"/>
  <c r="AJ1693" i="1"/>
  <c r="AJ1694" i="1"/>
  <c r="AJ1695" i="1"/>
  <c r="AJ1696" i="1"/>
  <c r="AJ1697" i="1"/>
  <c r="AJ1698" i="1"/>
  <c r="AJ1699" i="1"/>
  <c r="AJ1700" i="1"/>
  <c r="AJ1701" i="1"/>
  <c r="AJ1702" i="1"/>
  <c r="AJ1703" i="1"/>
  <c r="AJ1704" i="1"/>
  <c r="AJ1705" i="1"/>
  <c r="AJ1706" i="1"/>
  <c r="AJ1707" i="1"/>
  <c r="AJ1708" i="1"/>
  <c r="AJ1709" i="1"/>
  <c r="AJ1710" i="1"/>
  <c r="AJ1711" i="1"/>
  <c r="AJ1712" i="1"/>
  <c r="AJ1713" i="1"/>
  <c r="AJ1714" i="1"/>
  <c r="AJ1715" i="1"/>
  <c r="AJ1716" i="1"/>
  <c r="AJ1717" i="1"/>
  <c r="AJ1718" i="1"/>
  <c r="AJ1719" i="1"/>
  <c r="AJ1720" i="1"/>
  <c r="AJ1721" i="1"/>
  <c r="AJ1722" i="1"/>
  <c r="AJ1723" i="1"/>
  <c r="AJ1724" i="1"/>
  <c r="AJ1725" i="1"/>
  <c r="AJ1726" i="1"/>
  <c r="AJ1727" i="1"/>
  <c r="AJ1728" i="1"/>
  <c r="AJ1729" i="1"/>
  <c r="AJ1730" i="1"/>
  <c r="AJ1731" i="1"/>
  <c r="AJ1732" i="1"/>
  <c r="AJ1733" i="1"/>
  <c r="AJ1734" i="1"/>
  <c r="AJ1735" i="1"/>
  <c r="AJ1736" i="1"/>
  <c r="AJ1737" i="1"/>
  <c r="AJ1738" i="1"/>
  <c r="AJ1739" i="1"/>
  <c r="AJ1740" i="1"/>
  <c r="AJ1743" i="1"/>
  <c r="AJ1744" i="1"/>
  <c r="AJ1745" i="1"/>
  <c r="AJ1746" i="1"/>
  <c r="AJ1747" i="1"/>
  <c r="AJ1748" i="1"/>
  <c r="AJ1749" i="1"/>
  <c r="AJ1750" i="1"/>
  <c r="AJ1751" i="1"/>
  <c r="AJ1752" i="1"/>
  <c r="AJ1753" i="1"/>
  <c r="AJ1754" i="1"/>
  <c r="AJ1755" i="1"/>
  <c r="AJ1756" i="1"/>
  <c r="AJ1757" i="1"/>
  <c r="AJ1758" i="1"/>
  <c r="AJ1759" i="1"/>
  <c r="AJ1760" i="1"/>
  <c r="AJ1761" i="1"/>
  <c r="AJ1762" i="1"/>
  <c r="AJ1763" i="1"/>
  <c r="AJ1764" i="1"/>
  <c r="AJ1765" i="1"/>
  <c r="AJ1766" i="1"/>
  <c r="AJ1767" i="1"/>
  <c r="AJ1768" i="1"/>
  <c r="AJ1769" i="1"/>
  <c r="AJ1770" i="1"/>
  <c r="AJ1771" i="1"/>
  <c r="AJ1772" i="1"/>
  <c r="AJ1773" i="1"/>
  <c r="AJ1774" i="1"/>
  <c r="AJ1775" i="1"/>
  <c r="AJ1776" i="1"/>
  <c r="AJ1777" i="1"/>
  <c r="AJ1778" i="1"/>
  <c r="AJ1779" i="1"/>
  <c r="AJ1780" i="1"/>
  <c r="AJ1781" i="1"/>
  <c r="AJ1782" i="1"/>
  <c r="AJ1783" i="1"/>
  <c r="AJ1784" i="1"/>
  <c r="AJ1785" i="1"/>
  <c r="AJ1786" i="1"/>
  <c r="AJ1787" i="1"/>
  <c r="AJ1788" i="1"/>
  <c r="AJ1789" i="1"/>
  <c r="AJ1790" i="1"/>
  <c r="AJ1791" i="1"/>
  <c r="AJ1792" i="1"/>
  <c r="AJ1793" i="1"/>
  <c r="AJ1794" i="1"/>
  <c r="AJ1795" i="1"/>
  <c r="AJ1796" i="1"/>
  <c r="AJ1797" i="1"/>
  <c r="AJ1798" i="1"/>
  <c r="AJ1799" i="1"/>
  <c r="AJ1800" i="1"/>
  <c r="AJ1801" i="1"/>
  <c r="AJ1802" i="1"/>
  <c r="AJ1803" i="1"/>
  <c r="AJ1804" i="1"/>
  <c r="AJ1805" i="1"/>
  <c r="AJ1806" i="1"/>
  <c r="AJ1807" i="1"/>
  <c r="AJ1808" i="1"/>
  <c r="AJ1809" i="1"/>
  <c r="AJ1810" i="1"/>
  <c r="AJ1811" i="1"/>
  <c r="AJ1812" i="1"/>
  <c r="AJ1813" i="1"/>
  <c r="AJ1814" i="1"/>
  <c r="AJ1816" i="1"/>
  <c r="AJ1817" i="1"/>
  <c r="AJ1818" i="1"/>
  <c r="AJ1819" i="1"/>
  <c r="AJ1820" i="1"/>
  <c r="AJ1821" i="1"/>
  <c r="AJ1823" i="1"/>
  <c r="AJ1824" i="1"/>
  <c r="AJ1825" i="1"/>
  <c r="AJ1826" i="1"/>
  <c r="AJ1827" i="1"/>
  <c r="AJ1828" i="1"/>
  <c r="AJ1829" i="1"/>
  <c r="AJ1830" i="1"/>
  <c r="AJ1831" i="1"/>
  <c r="AJ1832" i="1"/>
  <c r="AJ1833" i="1"/>
  <c r="AJ1834" i="1"/>
  <c r="AJ1835" i="1"/>
  <c r="AJ1836" i="1"/>
  <c r="AJ1837" i="1"/>
  <c r="AJ1838" i="1"/>
  <c r="AJ1839" i="1"/>
  <c r="AJ1840" i="1"/>
  <c r="AJ1841" i="1"/>
  <c r="AJ1842" i="1"/>
  <c r="AJ1843" i="1"/>
  <c r="AJ1844"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K1472" i="1"/>
  <c r="AK1473" i="1"/>
  <c r="AK1474" i="1"/>
  <c r="AK1475" i="1"/>
  <c r="AK1476" i="1"/>
  <c r="AK1477" i="1"/>
  <c r="AK1478" i="1"/>
  <c r="AK1479" i="1"/>
  <c r="AK1480" i="1"/>
  <c r="AK1481" i="1"/>
  <c r="AK1482" i="1"/>
  <c r="AK1483" i="1"/>
  <c r="AK1484" i="1"/>
  <c r="AK1485" i="1"/>
  <c r="AK1486" i="1"/>
  <c r="AK1487" i="1"/>
  <c r="AK1488" i="1"/>
  <c r="AK1489" i="1"/>
  <c r="AK1490" i="1"/>
  <c r="AK1491" i="1"/>
  <c r="AK1492" i="1"/>
  <c r="AK1493" i="1"/>
  <c r="AK1494" i="1"/>
  <c r="AK1495" i="1"/>
  <c r="AK1496" i="1"/>
  <c r="AK1497" i="1"/>
  <c r="AK1498" i="1"/>
  <c r="AK1499" i="1"/>
  <c r="AK1500" i="1"/>
  <c r="AK1501" i="1"/>
  <c r="AK1502" i="1"/>
  <c r="AK1503" i="1"/>
  <c r="AK1504" i="1"/>
  <c r="AK1505" i="1"/>
  <c r="AK1506" i="1"/>
  <c r="AK1507" i="1"/>
  <c r="AK1508" i="1"/>
  <c r="AK1509" i="1"/>
  <c r="AK1510" i="1"/>
  <c r="AK1511" i="1"/>
  <c r="AK1512" i="1"/>
  <c r="AK1513" i="1"/>
  <c r="AK1514" i="1"/>
  <c r="AK1515" i="1"/>
  <c r="AK1516" i="1"/>
  <c r="AK1517" i="1"/>
  <c r="AK1518" i="1"/>
  <c r="AK1519" i="1"/>
  <c r="AK1520" i="1"/>
  <c r="AK1521" i="1"/>
  <c r="AK1522" i="1"/>
  <c r="AK1523" i="1"/>
  <c r="AK1524" i="1"/>
  <c r="AK1525" i="1"/>
  <c r="AK1526" i="1"/>
  <c r="AK1527" i="1"/>
  <c r="AK1528" i="1"/>
  <c r="AK1529" i="1"/>
  <c r="AK1530" i="1"/>
  <c r="AK1531" i="1"/>
  <c r="AK1532" i="1"/>
  <c r="AK1533" i="1"/>
  <c r="AK1534" i="1"/>
  <c r="AK1535" i="1"/>
  <c r="AK1536" i="1"/>
  <c r="AK1537" i="1"/>
  <c r="AK1538" i="1"/>
  <c r="AK1539" i="1"/>
  <c r="AK1540" i="1"/>
  <c r="AK1541" i="1"/>
  <c r="AK1542" i="1"/>
  <c r="AK1543" i="1"/>
  <c r="AK1544" i="1"/>
  <c r="AK1545" i="1"/>
  <c r="AK1546" i="1"/>
  <c r="AK1547" i="1"/>
  <c r="AK1548" i="1"/>
  <c r="AK1549" i="1"/>
  <c r="AK1550" i="1"/>
  <c r="AK1551" i="1"/>
  <c r="AK1552" i="1"/>
  <c r="AK1553" i="1"/>
  <c r="AK1554" i="1"/>
  <c r="AK1555" i="1"/>
  <c r="AK1556" i="1"/>
  <c r="AK1557" i="1"/>
  <c r="AK1558" i="1"/>
  <c r="AK1559" i="1"/>
  <c r="AK1560" i="1"/>
  <c r="AK1561" i="1"/>
  <c r="AK1562" i="1"/>
  <c r="AK1563" i="1"/>
  <c r="AK1564" i="1"/>
  <c r="AK1565" i="1"/>
  <c r="AK1566" i="1"/>
  <c r="AK1567" i="1"/>
  <c r="AK1568" i="1"/>
  <c r="AK1569" i="1"/>
  <c r="AK1570" i="1"/>
  <c r="AK1571" i="1"/>
  <c r="AK1572" i="1"/>
  <c r="AK1573" i="1"/>
  <c r="AK1574" i="1"/>
  <c r="AK1575" i="1"/>
  <c r="AK1576" i="1"/>
  <c r="AK1577" i="1"/>
  <c r="AK1578" i="1"/>
  <c r="AK1579" i="1"/>
  <c r="AK1580" i="1"/>
  <c r="AK1581" i="1"/>
  <c r="AK1582" i="1"/>
  <c r="AK1583" i="1"/>
  <c r="AK1584" i="1"/>
  <c r="AK1585" i="1"/>
  <c r="AK1586" i="1"/>
  <c r="AK1587" i="1"/>
  <c r="AK1588" i="1"/>
  <c r="AK1589" i="1"/>
  <c r="AK1590" i="1"/>
  <c r="AK1591" i="1"/>
  <c r="AK1592" i="1"/>
  <c r="AK1593" i="1"/>
  <c r="AK1594" i="1"/>
  <c r="AK1595" i="1"/>
  <c r="AK1596" i="1"/>
  <c r="AK1597" i="1"/>
  <c r="AK1598" i="1"/>
  <c r="AK1599" i="1"/>
  <c r="AK1600" i="1"/>
  <c r="AK1601" i="1"/>
  <c r="AK1602" i="1"/>
  <c r="AK1603" i="1"/>
  <c r="AK1604" i="1"/>
  <c r="AK1605" i="1"/>
  <c r="AK1606" i="1"/>
  <c r="AK1607" i="1"/>
  <c r="AK1608" i="1"/>
  <c r="AK1609" i="1"/>
  <c r="AK1610" i="1"/>
  <c r="AK1611" i="1"/>
  <c r="AK1612" i="1"/>
  <c r="AK1613" i="1"/>
  <c r="AK1614" i="1"/>
  <c r="AK1615" i="1"/>
  <c r="AK1616" i="1"/>
  <c r="AK1617" i="1"/>
  <c r="AK1618" i="1"/>
  <c r="AK1619" i="1"/>
  <c r="AK1620" i="1"/>
  <c r="AK1621" i="1"/>
  <c r="AK1622" i="1"/>
  <c r="AK1623" i="1"/>
  <c r="AK1624" i="1"/>
  <c r="AK1625" i="1"/>
  <c r="AK1626" i="1"/>
  <c r="AK1627" i="1"/>
  <c r="AK1628" i="1"/>
  <c r="AK1629" i="1"/>
  <c r="AK1630" i="1"/>
  <c r="AK1631" i="1"/>
  <c r="AK1632" i="1"/>
  <c r="AK1633" i="1"/>
  <c r="AK1634" i="1"/>
  <c r="AK1635" i="1"/>
  <c r="AK1636" i="1"/>
  <c r="AK1637" i="1"/>
  <c r="AK1638" i="1"/>
  <c r="AK1639" i="1"/>
  <c r="AK1640" i="1"/>
  <c r="AK1641" i="1"/>
  <c r="AK1642" i="1"/>
  <c r="AK1643" i="1"/>
  <c r="AK1644" i="1"/>
  <c r="AK1645" i="1"/>
  <c r="AK1646" i="1"/>
  <c r="AK1647" i="1"/>
  <c r="AK1648" i="1"/>
  <c r="AK1649" i="1"/>
  <c r="AK1650" i="1"/>
  <c r="AK1651" i="1"/>
  <c r="AK1652" i="1"/>
  <c r="AK1653" i="1"/>
  <c r="AK1654" i="1"/>
  <c r="AK1655" i="1"/>
  <c r="AK1656" i="1"/>
  <c r="AK1657" i="1"/>
  <c r="AK1658" i="1"/>
  <c r="AK1659" i="1"/>
  <c r="AK1660" i="1"/>
  <c r="AK1661" i="1"/>
  <c r="AK1662" i="1"/>
  <c r="AK1663" i="1"/>
  <c r="AK1664" i="1"/>
  <c r="AK1665" i="1"/>
  <c r="AK1666" i="1"/>
  <c r="AK1667" i="1"/>
  <c r="AK1668" i="1"/>
  <c r="AK1669" i="1"/>
  <c r="AK1670" i="1"/>
  <c r="AK1671" i="1"/>
  <c r="AK1672" i="1"/>
  <c r="AK1673" i="1"/>
  <c r="AK1674" i="1"/>
  <c r="AK1675" i="1"/>
  <c r="AK1676" i="1"/>
  <c r="AK1677" i="1"/>
  <c r="AK1678" i="1"/>
  <c r="AK1679" i="1"/>
  <c r="AK1680" i="1"/>
  <c r="AK1681" i="1"/>
  <c r="AK1682" i="1"/>
  <c r="AK1683" i="1"/>
  <c r="AK1684" i="1"/>
  <c r="AK1685" i="1"/>
  <c r="AK1686" i="1"/>
  <c r="AK1687" i="1"/>
  <c r="AK1688" i="1"/>
  <c r="AK1689" i="1"/>
  <c r="AK1690" i="1"/>
  <c r="AK1691" i="1"/>
  <c r="AK1692" i="1"/>
  <c r="AK1693" i="1"/>
  <c r="AK1694" i="1"/>
  <c r="AK1695" i="1"/>
  <c r="AK1696" i="1"/>
  <c r="AK1697" i="1"/>
  <c r="AK1698" i="1"/>
  <c r="AK1699" i="1"/>
  <c r="AK1700" i="1"/>
  <c r="AK1701" i="1"/>
  <c r="AK1702" i="1"/>
  <c r="AK1703" i="1"/>
  <c r="AK1704" i="1"/>
  <c r="AK1705" i="1"/>
  <c r="AK1706" i="1"/>
  <c r="AK1707" i="1"/>
  <c r="AK1708" i="1"/>
  <c r="AK1709" i="1"/>
  <c r="AK1710" i="1"/>
  <c r="AK1711" i="1"/>
  <c r="AK1712" i="1"/>
  <c r="AK1713" i="1"/>
  <c r="AK1714" i="1"/>
  <c r="AK1715" i="1"/>
  <c r="AK1716" i="1"/>
  <c r="AK1717" i="1"/>
  <c r="AK1718" i="1"/>
  <c r="AK1719" i="1"/>
  <c r="AK1720" i="1"/>
  <c r="AK1721" i="1"/>
  <c r="AK1722" i="1"/>
  <c r="AK1723" i="1"/>
  <c r="AK1724" i="1"/>
  <c r="AK1725" i="1"/>
  <c r="AK1726" i="1"/>
  <c r="AK1727" i="1"/>
  <c r="AK1728" i="1"/>
  <c r="AK1729" i="1"/>
  <c r="AK1730" i="1"/>
  <c r="AK1731" i="1"/>
  <c r="AK1732" i="1"/>
  <c r="AK1733" i="1"/>
  <c r="AK1734" i="1"/>
  <c r="AK1735" i="1"/>
  <c r="AK1736" i="1"/>
  <c r="AK1737" i="1"/>
  <c r="AK1738" i="1"/>
  <c r="AK1739" i="1"/>
  <c r="AK1740" i="1"/>
  <c r="AK1743" i="1"/>
  <c r="AK1744" i="1"/>
  <c r="AK1745" i="1"/>
  <c r="AK1746" i="1"/>
  <c r="AK1747" i="1"/>
  <c r="AK1748" i="1"/>
  <c r="AK1749" i="1"/>
  <c r="AK1750" i="1"/>
  <c r="AK1751" i="1"/>
  <c r="AK1752" i="1"/>
  <c r="AK1753" i="1"/>
  <c r="AK1754" i="1"/>
  <c r="AK1755" i="1"/>
  <c r="AK1756" i="1"/>
  <c r="AK1757" i="1"/>
  <c r="AK1758" i="1"/>
  <c r="AK1759" i="1"/>
  <c r="AK1760" i="1"/>
  <c r="AK1761" i="1"/>
  <c r="AK1762" i="1"/>
  <c r="AK1763" i="1"/>
  <c r="AK1764" i="1"/>
  <c r="AK1765" i="1"/>
  <c r="AK1766" i="1"/>
  <c r="AK1767" i="1"/>
  <c r="AK1768" i="1"/>
  <c r="AK1769" i="1"/>
  <c r="AK1770" i="1"/>
  <c r="AK1771" i="1"/>
  <c r="AK1772" i="1"/>
  <c r="AK1773" i="1"/>
  <c r="AK1774" i="1"/>
  <c r="AK1775" i="1"/>
  <c r="AK1776" i="1"/>
  <c r="AK1777" i="1"/>
  <c r="AK1778" i="1"/>
  <c r="AK1779" i="1"/>
  <c r="AK1780" i="1"/>
  <c r="AK1781" i="1"/>
  <c r="AK1782" i="1"/>
  <c r="AK1783" i="1"/>
  <c r="AK1784" i="1"/>
  <c r="AK1785" i="1"/>
  <c r="AK1786" i="1"/>
  <c r="AK1787" i="1"/>
  <c r="AK1788" i="1"/>
  <c r="AK1789" i="1"/>
  <c r="AK1790" i="1"/>
  <c r="AK1791" i="1"/>
  <c r="AK1792" i="1"/>
  <c r="AK1793" i="1"/>
  <c r="AK1794" i="1"/>
  <c r="AK1795" i="1"/>
  <c r="AK1796" i="1"/>
  <c r="AK1797" i="1"/>
  <c r="AK1798" i="1"/>
  <c r="AK1799" i="1"/>
  <c r="AK1800" i="1"/>
  <c r="AK1801" i="1"/>
  <c r="AK1802" i="1"/>
  <c r="AK1803" i="1"/>
  <c r="AK1804" i="1"/>
  <c r="AK1805" i="1"/>
  <c r="AK1806" i="1"/>
  <c r="AK1807" i="1"/>
  <c r="AK1808" i="1"/>
  <c r="AK1809" i="1"/>
  <c r="AK1810" i="1"/>
  <c r="AK1811" i="1"/>
  <c r="AK1812" i="1"/>
  <c r="AK1813" i="1"/>
  <c r="AK1814" i="1"/>
  <c r="AK1816" i="1"/>
  <c r="AK1817" i="1"/>
  <c r="AK1818" i="1"/>
  <c r="AK1819" i="1"/>
  <c r="AK1820" i="1"/>
  <c r="AK1821" i="1"/>
  <c r="AK1823" i="1"/>
  <c r="AK1824" i="1"/>
  <c r="AK1825" i="1"/>
  <c r="AK1826" i="1"/>
  <c r="AK1827" i="1"/>
  <c r="AK1828" i="1"/>
  <c r="AK1829" i="1"/>
  <c r="AK1830" i="1"/>
  <c r="AK1831" i="1"/>
  <c r="AK1832" i="1"/>
  <c r="AK1833" i="1"/>
  <c r="AK1834" i="1"/>
  <c r="AK1835" i="1"/>
  <c r="AK1836" i="1"/>
  <c r="AK1837" i="1"/>
  <c r="AK1838" i="1"/>
  <c r="AK1839" i="1"/>
  <c r="AK1840" i="1"/>
  <c r="AK1841" i="1"/>
  <c r="AK1842" i="1"/>
  <c r="AK1843" i="1"/>
  <c r="AK1844" i="1"/>
  <c r="AP16" i="1"/>
  <c r="AP17" i="1"/>
  <c r="AP18" i="1"/>
  <c r="AP19" i="1"/>
  <c r="AP20" i="1"/>
  <c r="AP21" i="1"/>
  <c r="AP22" i="1"/>
  <c r="AP23" i="1"/>
  <c r="AP24" i="1"/>
  <c r="AP25" i="1"/>
  <c r="AP26" i="1"/>
  <c r="AP27" i="1"/>
  <c r="AP28" i="1"/>
  <c r="AP29" i="1"/>
  <c r="AP30" i="1"/>
  <c r="AP31" i="1"/>
  <c r="AP32" i="1"/>
  <c r="AP33" i="1"/>
  <c r="AP34" i="1"/>
  <c r="AP35" i="1"/>
  <c r="AP36" i="1"/>
  <c r="AP37" i="1"/>
  <c r="AP38" i="1"/>
  <c r="AP39" i="1"/>
  <c r="AP40" i="1"/>
  <c r="AP41" i="1"/>
  <c r="AP42" i="1"/>
  <c r="AP43" i="1"/>
  <c r="AP44" i="1"/>
  <c r="AP45" i="1"/>
  <c r="AP46" i="1"/>
  <c r="AP47" i="1"/>
  <c r="AP48" i="1"/>
  <c r="AP49" i="1"/>
  <c r="AP50" i="1"/>
  <c r="AP51" i="1"/>
  <c r="AP52" i="1"/>
  <c r="AP53" i="1"/>
  <c r="AP54" i="1"/>
  <c r="AP55" i="1"/>
  <c r="AP56" i="1"/>
  <c r="AP57" i="1"/>
  <c r="AP58" i="1"/>
  <c r="AP59" i="1"/>
  <c r="AP60" i="1"/>
  <c r="AP61" i="1"/>
  <c r="AP62" i="1"/>
  <c r="AP63" i="1"/>
  <c r="AP64" i="1"/>
  <c r="AP65" i="1"/>
  <c r="AP66" i="1"/>
  <c r="AP67" i="1"/>
  <c r="AP68" i="1"/>
  <c r="AP69" i="1"/>
  <c r="AP70" i="1"/>
  <c r="AP71" i="1"/>
  <c r="AP72" i="1"/>
  <c r="AP73" i="1"/>
  <c r="AP74" i="1"/>
  <c r="AP75" i="1"/>
  <c r="AP76" i="1"/>
  <c r="AP77" i="1"/>
  <c r="AP78" i="1"/>
  <c r="AP79" i="1"/>
  <c r="AP80" i="1"/>
  <c r="AP81" i="1"/>
  <c r="AP82" i="1"/>
  <c r="AP83" i="1"/>
  <c r="AP84" i="1"/>
  <c r="AP85" i="1"/>
  <c r="AP86" i="1"/>
  <c r="AP87" i="1"/>
  <c r="AP88" i="1"/>
  <c r="AP89" i="1"/>
  <c r="AP90" i="1"/>
  <c r="AP91" i="1"/>
  <c r="AP92" i="1"/>
  <c r="AP93" i="1"/>
  <c r="AP94" i="1"/>
  <c r="AP95" i="1"/>
  <c r="AP96" i="1"/>
  <c r="AP97" i="1"/>
  <c r="AP98" i="1"/>
  <c r="AP99" i="1"/>
  <c r="AP100" i="1"/>
  <c r="AP101" i="1"/>
  <c r="AP102" i="1"/>
  <c r="AP103" i="1"/>
  <c r="AP104" i="1"/>
  <c r="AP105" i="1"/>
  <c r="AP106" i="1"/>
  <c r="AP107" i="1"/>
  <c r="AP108" i="1"/>
  <c r="AP109" i="1"/>
  <c r="AP110" i="1"/>
  <c r="AP111" i="1"/>
  <c r="AP112" i="1"/>
  <c r="AP113" i="1"/>
  <c r="AP114" i="1"/>
  <c r="AP115" i="1"/>
  <c r="AP116" i="1"/>
  <c r="AP117" i="1"/>
  <c r="AP118" i="1"/>
  <c r="AP119" i="1"/>
  <c r="AP120" i="1"/>
  <c r="AP121" i="1"/>
  <c r="AP122" i="1"/>
  <c r="AP123" i="1"/>
  <c r="AP124" i="1"/>
  <c r="AP125" i="1"/>
  <c r="AP126" i="1"/>
  <c r="AP127" i="1"/>
  <c r="AP128" i="1"/>
  <c r="AP129" i="1"/>
  <c r="AP130" i="1"/>
  <c r="AP131" i="1"/>
  <c r="AP132" i="1"/>
  <c r="AP133" i="1"/>
  <c r="AP134" i="1"/>
  <c r="AP135" i="1"/>
  <c r="AP136" i="1"/>
  <c r="AP137" i="1"/>
  <c r="AP138" i="1"/>
  <c r="AP139" i="1"/>
  <c r="AP140" i="1"/>
  <c r="AP141" i="1"/>
  <c r="AP142" i="1"/>
  <c r="AP143" i="1"/>
  <c r="AP144" i="1"/>
  <c r="AP145" i="1"/>
  <c r="AP146" i="1"/>
  <c r="AP147" i="1"/>
  <c r="AP148" i="1"/>
  <c r="AP149" i="1"/>
  <c r="AP150" i="1"/>
  <c r="AP151" i="1"/>
  <c r="AP152" i="1"/>
  <c r="AP153" i="1"/>
  <c r="AP154" i="1"/>
  <c r="AP155" i="1"/>
  <c r="AP156" i="1"/>
  <c r="AP157" i="1"/>
  <c r="AP158" i="1"/>
  <c r="AP159" i="1"/>
  <c r="AP160" i="1"/>
  <c r="AP161" i="1"/>
  <c r="AP162" i="1"/>
  <c r="AP163" i="1"/>
  <c r="AP164" i="1"/>
  <c r="AP165" i="1"/>
  <c r="AP166" i="1"/>
  <c r="AP167" i="1"/>
  <c r="AP168" i="1"/>
  <c r="AP169" i="1"/>
  <c r="AP170" i="1"/>
  <c r="AP171" i="1"/>
  <c r="AP172" i="1"/>
  <c r="AP173" i="1"/>
  <c r="AP174" i="1"/>
  <c r="AP175" i="1"/>
  <c r="AP176" i="1"/>
  <c r="AP177" i="1"/>
  <c r="AP178" i="1"/>
  <c r="AP179" i="1"/>
  <c r="AP180" i="1"/>
  <c r="AP181" i="1"/>
  <c r="AP182" i="1"/>
  <c r="AP183" i="1"/>
  <c r="AP184" i="1"/>
  <c r="AP185" i="1"/>
  <c r="AP186" i="1"/>
  <c r="AP187" i="1"/>
  <c r="AP188" i="1"/>
  <c r="AP189" i="1"/>
  <c r="AP190" i="1"/>
  <c r="AP191" i="1"/>
  <c r="AP192" i="1"/>
  <c r="AP193" i="1"/>
  <c r="AP194" i="1"/>
  <c r="AP195" i="1"/>
  <c r="AP196" i="1"/>
  <c r="AP197" i="1"/>
  <c r="AP198" i="1"/>
  <c r="AP199" i="1"/>
  <c r="AP200" i="1"/>
  <c r="AP201" i="1"/>
  <c r="AP202" i="1"/>
  <c r="AP203" i="1"/>
  <c r="AP204" i="1"/>
  <c r="AP205" i="1"/>
  <c r="AP206" i="1"/>
  <c r="AP207" i="1"/>
  <c r="AP208" i="1"/>
  <c r="AP209" i="1"/>
  <c r="AP210" i="1"/>
  <c r="AP211" i="1"/>
  <c r="AP212" i="1"/>
  <c r="AP213" i="1"/>
  <c r="AP214" i="1"/>
  <c r="AP215" i="1"/>
  <c r="AP216" i="1"/>
  <c r="AP217" i="1"/>
  <c r="AP218" i="1"/>
  <c r="AP219" i="1"/>
  <c r="AP220" i="1"/>
  <c r="AP221" i="1"/>
  <c r="AP222" i="1"/>
  <c r="AP223" i="1"/>
  <c r="AP224" i="1"/>
  <c r="AP225" i="1"/>
  <c r="AP226" i="1"/>
  <c r="AP227" i="1"/>
  <c r="AP228" i="1"/>
  <c r="AP229" i="1"/>
  <c r="AP230" i="1"/>
  <c r="AP231" i="1"/>
  <c r="AP232" i="1"/>
  <c r="AP233" i="1"/>
  <c r="AP234" i="1"/>
  <c r="AP235" i="1"/>
  <c r="AP236" i="1"/>
  <c r="AP237" i="1"/>
  <c r="AP238" i="1"/>
  <c r="AP239" i="1"/>
  <c r="AP240" i="1"/>
  <c r="AP241" i="1"/>
  <c r="AP242" i="1"/>
  <c r="AP243" i="1"/>
  <c r="AP244" i="1"/>
  <c r="AP245" i="1"/>
  <c r="AP246" i="1"/>
  <c r="AP247" i="1"/>
  <c r="AP248" i="1"/>
  <c r="AP249" i="1"/>
  <c r="AP250" i="1"/>
  <c r="AP251" i="1"/>
  <c r="AP252" i="1"/>
  <c r="AP253" i="1"/>
  <c r="AP254" i="1"/>
  <c r="AP255" i="1"/>
  <c r="AP256" i="1"/>
  <c r="AP257" i="1"/>
  <c r="AP258" i="1"/>
  <c r="AP259" i="1"/>
  <c r="AP260" i="1"/>
  <c r="AP261" i="1"/>
  <c r="AP262" i="1"/>
  <c r="AP263" i="1"/>
  <c r="AP264" i="1"/>
  <c r="AP265" i="1"/>
  <c r="AP266" i="1"/>
  <c r="AP267" i="1"/>
  <c r="AP268" i="1"/>
  <c r="AP269" i="1"/>
  <c r="AP270" i="1"/>
  <c r="AP271" i="1"/>
  <c r="AP272" i="1"/>
  <c r="AP273" i="1"/>
  <c r="AP274" i="1"/>
  <c r="AP275" i="1"/>
  <c r="AP276" i="1"/>
  <c r="AP277" i="1"/>
  <c r="AP278" i="1"/>
  <c r="AP279" i="1"/>
  <c r="AP280" i="1"/>
  <c r="AP281" i="1"/>
  <c r="AP282" i="1"/>
  <c r="AP283" i="1"/>
  <c r="AP284" i="1"/>
  <c r="AP285" i="1"/>
  <c r="AP286" i="1"/>
  <c r="AP287" i="1"/>
  <c r="AP288" i="1"/>
  <c r="AP289" i="1"/>
  <c r="AP290" i="1"/>
  <c r="AP291" i="1"/>
  <c r="AP292" i="1"/>
  <c r="AP293" i="1"/>
  <c r="AP294" i="1"/>
  <c r="AP295" i="1"/>
  <c r="AP296" i="1"/>
  <c r="AP297" i="1"/>
  <c r="AP298" i="1"/>
  <c r="AP299" i="1"/>
  <c r="AP300" i="1"/>
  <c r="AP301" i="1"/>
  <c r="AP302" i="1"/>
  <c r="AP303" i="1"/>
  <c r="AP304" i="1"/>
  <c r="AP305" i="1"/>
  <c r="AP306" i="1"/>
  <c r="AP307" i="1"/>
  <c r="AP308" i="1"/>
  <c r="AP309" i="1"/>
  <c r="AP310" i="1"/>
  <c r="AP311" i="1"/>
  <c r="AP312" i="1"/>
  <c r="AP313" i="1"/>
  <c r="AP314" i="1"/>
  <c r="AP315" i="1"/>
  <c r="AP316" i="1"/>
  <c r="AP317" i="1"/>
  <c r="AP318" i="1"/>
  <c r="AP319" i="1"/>
  <c r="AP320" i="1"/>
  <c r="AP321" i="1"/>
  <c r="AP322" i="1"/>
  <c r="AP323" i="1"/>
  <c r="AP324" i="1"/>
  <c r="AP325" i="1"/>
  <c r="AP326" i="1"/>
  <c r="AP327" i="1"/>
  <c r="AP328" i="1"/>
  <c r="AP329" i="1"/>
  <c r="AP330" i="1"/>
  <c r="AP331" i="1"/>
  <c r="AP332" i="1"/>
  <c r="AP333" i="1"/>
  <c r="AP334" i="1"/>
  <c r="AP335" i="1"/>
  <c r="AP336" i="1"/>
  <c r="AP337" i="1"/>
  <c r="AP338" i="1"/>
  <c r="AP339" i="1"/>
  <c r="AP340" i="1"/>
  <c r="AP341" i="1"/>
  <c r="AP342" i="1"/>
  <c r="AP343" i="1"/>
  <c r="AP344" i="1"/>
  <c r="AP345" i="1"/>
  <c r="AP346" i="1"/>
  <c r="AP347" i="1"/>
  <c r="AP348" i="1"/>
  <c r="AP349" i="1"/>
  <c r="AP350" i="1"/>
  <c r="AP351" i="1"/>
  <c r="AP352" i="1"/>
  <c r="AP353" i="1"/>
  <c r="AP354" i="1"/>
  <c r="AP355" i="1"/>
  <c r="AP356" i="1"/>
  <c r="AP357" i="1"/>
  <c r="AP358" i="1"/>
  <c r="AP359" i="1"/>
  <c r="AP360" i="1"/>
  <c r="AP361" i="1"/>
  <c r="AP362" i="1"/>
  <c r="AP363" i="1"/>
  <c r="AP364" i="1"/>
  <c r="AP365" i="1"/>
  <c r="AP366" i="1"/>
  <c r="AP367" i="1"/>
  <c r="AP368" i="1"/>
  <c r="AP369" i="1"/>
  <c r="AP370" i="1"/>
  <c r="AP371" i="1"/>
  <c r="AP372" i="1"/>
  <c r="AP373" i="1"/>
  <c r="AP374" i="1"/>
  <c r="AP375" i="1"/>
  <c r="AP376" i="1"/>
  <c r="AP377" i="1"/>
  <c r="AP378" i="1"/>
  <c r="AP379" i="1"/>
  <c r="AP380" i="1"/>
  <c r="AP381" i="1"/>
  <c r="AP382" i="1"/>
  <c r="AP383" i="1"/>
  <c r="AP384" i="1"/>
  <c r="AP385" i="1"/>
  <c r="AP386" i="1"/>
  <c r="AP387" i="1"/>
  <c r="AP388" i="1"/>
  <c r="AP389" i="1"/>
  <c r="AP390" i="1"/>
  <c r="AP391" i="1"/>
  <c r="AP392" i="1"/>
  <c r="AP393" i="1"/>
  <c r="AP394" i="1"/>
  <c r="AP395" i="1"/>
  <c r="AP396" i="1"/>
  <c r="AP397" i="1"/>
  <c r="AP398" i="1"/>
  <c r="AP399" i="1"/>
  <c r="AP400" i="1"/>
  <c r="AP401" i="1"/>
  <c r="AP402" i="1"/>
  <c r="AP403" i="1"/>
  <c r="AP404" i="1"/>
  <c r="AP405" i="1"/>
  <c r="AP406" i="1"/>
  <c r="AP407" i="1"/>
  <c r="AP408" i="1"/>
  <c r="AP409" i="1"/>
  <c r="AP410" i="1"/>
  <c r="AP411" i="1"/>
  <c r="AP413" i="1"/>
  <c r="AP414" i="1"/>
  <c r="AP416" i="1"/>
  <c r="AP417" i="1"/>
  <c r="AP419" i="1"/>
  <c r="AP420" i="1"/>
  <c r="AP421" i="1"/>
  <c r="AP422" i="1"/>
  <c r="AP423" i="1"/>
  <c r="AP424" i="1"/>
  <c r="AP425" i="1"/>
  <c r="AP426" i="1"/>
  <c r="AP427" i="1"/>
  <c r="AP428" i="1"/>
  <c r="AP429" i="1"/>
  <c r="AP430" i="1"/>
  <c r="AP431" i="1"/>
  <c r="AP432" i="1"/>
  <c r="AP433" i="1"/>
  <c r="AP434" i="1"/>
  <c r="AP435" i="1"/>
  <c r="AP436" i="1"/>
  <c r="AP437" i="1"/>
  <c r="AP438" i="1"/>
  <c r="AP439" i="1"/>
  <c r="AP440" i="1"/>
  <c r="AP441" i="1"/>
  <c r="AP442" i="1"/>
  <c r="AP443" i="1"/>
  <c r="AP444" i="1"/>
  <c r="AP445" i="1"/>
  <c r="AP446" i="1"/>
  <c r="AP447" i="1"/>
  <c r="AP448" i="1"/>
  <c r="AP449" i="1"/>
  <c r="AP450" i="1"/>
  <c r="AP451" i="1"/>
  <c r="AP452" i="1"/>
  <c r="AP453" i="1"/>
  <c r="AP454" i="1"/>
  <c r="AP455" i="1"/>
  <c r="AP456" i="1"/>
  <c r="AP457" i="1"/>
  <c r="AP458" i="1"/>
  <c r="AP459" i="1"/>
  <c r="AP460" i="1"/>
  <c r="AP461" i="1"/>
  <c r="AP462" i="1"/>
  <c r="AP463" i="1"/>
  <c r="AP464" i="1"/>
  <c r="AP465" i="1"/>
  <c r="AP466" i="1"/>
  <c r="AP467" i="1"/>
  <c r="AP468" i="1"/>
  <c r="AP469" i="1"/>
  <c r="AP470" i="1"/>
  <c r="AP471" i="1"/>
  <c r="AP472" i="1"/>
  <c r="AP473" i="1"/>
  <c r="AP474" i="1"/>
  <c r="AP475" i="1"/>
  <c r="AP476" i="1"/>
  <c r="AP477" i="1"/>
  <c r="AP478" i="1"/>
  <c r="AP479" i="1"/>
  <c r="AP480" i="1"/>
  <c r="AP481" i="1"/>
  <c r="AP482" i="1"/>
  <c r="AP483" i="1"/>
  <c r="AP484" i="1"/>
  <c r="AP485" i="1"/>
  <c r="AP486" i="1"/>
  <c r="AP487" i="1"/>
  <c r="AP488" i="1"/>
  <c r="AP489" i="1"/>
  <c r="AP490" i="1"/>
  <c r="AP491" i="1"/>
  <c r="AP492" i="1"/>
  <c r="AP493" i="1"/>
  <c r="AP494" i="1"/>
  <c r="AP495" i="1"/>
  <c r="AP496" i="1"/>
  <c r="AP497" i="1"/>
  <c r="AP498" i="1"/>
  <c r="AP499" i="1"/>
  <c r="AP500" i="1"/>
  <c r="AP501" i="1"/>
  <c r="AP502" i="1"/>
  <c r="AP503" i="1"/>
  <c r="AP504" i="1"/>
  <c r="AP505" i="1"/>
  <c r="AP506" i="1"/>
  <c r="AP507" i="1"/>
  <c r="AP508" i="1"/>
  <c r="AP509" i="1"/>
  <c r="AP510" i="1"/>
  <c r="AP511" i="1"/>
  <c r="AP512" i="1"/>
  <c r="AP513" i="1"/>
  <c r="AP514" i="1"/>
  <c r="AP515" i="1"/>
  <c r="AP516" i="1"/>
  <c r="AP517" i="1"/>
  <c r="AP518" i="1"/>
  <c r="AP519" i="1"/>
  <c r="AP520" i="1"/>
  <c r="AP521" i="1"/>
  <c r="AP522" i="1"/>
  <c r="AP523" i="1"/>
  <c r="AP524" i="1"/>
  <c r="AP525" i="1"/>
  <c r="AP526" i="1"/>
  <c r="AP527" i="1"/>
  <c r="AP528" i="1"/>
  <c r="AP529" i="1"/>
  <c r="AP530" i="1"/>
  <c r="AP531" i="1"/>
  <c r="AP532" i="1"/>
  <c r="AP533" i="1"/>
  <c r="AP534" i="1"/>
  <c r="AP535" i="1"/>
  <c r="AP536" i="1"/>
  <c r="AP537" i="1"/>
  <c r="AP538" i="1"/>
  <c r="AP539" i="1"/>
  <c r="AP540" i="1"/>
  <c r="AP541" i="1"/>
  <c r="AP542" i="1"/>
  <c r="AP543" i="1"/>
  <c r="AP544" i="1"/>
  <c r="AP545" i="1"/>
  <c r="AP546" i="1"/>
  <c r="AP548" i="1"/>
  <c r="AP549" i="1"/>
  <c r="AP550" i="1"/>
  <c r="AP551" i="1"/>
  <c r="AP552" i="1"/>
  <c r="AP553" i="1"/>
  <c r="AP554" i="1"/>
  <c r="AP555" i="1"/>
  <c r="AP556" i="1"/>
  <c r="AP557" i="1"/>
  <c r="AP558" i="1"/>
  <c r="AP559" i="1"/>
  <c r="AP560" i="1"/>
  <c r="AP561" i="1"/>
  <c r="AP562" i="1"/>
  <c r="AP563" i="1"/>
  <c r="AP564" i="1"/>
  <c r="AP566" i="1"/>
  <c r="AP567" i="1"/>
  <c r="AP568" i="1"/>
  <c r="AP569" i="1"/>
  <c r="AP570" i="1"/>
  <c r="AP571" i="1"/>
  <c r="AP572" i="1"/>
  <c r="AP573" i="1"/>
  <c r="AP574" i="1"/>
  <c r="AP575" i="1"/>
  <c r="AP576" i="1"/>
  <c r="AP577" i="1"/>
  <c r="AP578" i="1"/>
  <c r="AP579" i="1"/>
  <c r="AP580" i="1"/>
  <c r="AP581" i="1"/>
  <c r="AP582" i="1"/>
  <c r="AP583" i="1"/>
  <c r="AP584" i="1"/>
  <c r="AP585" i="1"/>
  <c r="AP586" i="1"/>
  <c r="AP587" i="1"/>
  <c r="AP588" i="1"/>
  <c r="AP589" i="1"/>
  <c r="AP590" i="1"/>
  <c r="AP591" i="1"/>
  <c r="AP592" i="1"/>
  <c r="AP593" i="1"/>
  <c r="AP594" i="1"/>
  <c r="AP595" i="1"/>
  <c r="AP596" i="1"/>
  <c r="AP597" i="1"/>
  <c r="AP598" i="1"/>
  <c r="AP599" i="1"/>
  <c r="AP600" i="1"/>
  <c r="AP601" i="1"/>
  <c r="AP602" i="1"/>
  <c r="AP603" i="1"/>
  <c r="AP604" i="1"/>
  <c r="AP605" i="1"/>
  <c r="AP606" i="1"/>
  <c r="AP607" i="1"/>
  <c r="AP608" i="1"/>
  <c r="AP609" i="1"/>
  <c r="AP610" i="1"/>
  <c r="AP611" i="1"/>
  <c r="AP612" i="1"/>
  <c r="AP613" i="1"/>
  <c r="AP614" i="1"/>
  <c r="AP615" i="1"/>
  <c r="AP616" i="1"/>
  <c r="AP617" i="1"/>
  <c r="AP618" i="1"/>
  <c r="AP619" i="1"/>
  <c r="AP620" i="1"/>
  <c r="AP621" i="1"/>
  <c r="AP622" i="1"/>
  <c r="AP623" i="1"/>
  <c r="AP624" i="1"/>
  <c r="AP625" i="1"/>
  <c r="AP626" i="1"/>
  <c r="AP627" i="1"/>
  <c r="AP628" i="1"/>
  <c r="AP629" i="1"/>
  <c r="AP630" i="1"/>
  <c r="AP631" i="1"/>
  <c r="AP632" i="1"/>
  <c r="AP633" i="1"/>
  <c r="AP634" i="1"/>
  <c r="AP635" i="1"/>
  <c r="AP636" i="1"/>
  <c r="AP637" i="1"/>
  <c r="AP638" i="1"/>
  <c r="AP639" i="1"/>
  <c r="AP640" i="1"/>
  <c r="AP641" i="1"/>
  <c r="AP642" i="1"/>
  <c r="AP643" i="1"/>
  <c r="AP644" i="1"/>
  <c r="AP645" i="1"/>
  <c r="AP646" i="1"/>
  <c r="AP647" i="1"/>
  <c r="AP648" i="1"/>
  <c r="AP649" i="1"/>
  <c r="AP650" i="1"/>
  <c r="AP651" i="1"/>
  <c r="AP652" i="1"/>
  <c r="AP653" i="1"/>
  <c r="AP654" i="1"/>
  <c r="AP655" i="1"/>
  <c r="AP656" i="1"/>
  <c r="AP657" i="1"/>
  <c r="AP658" i="1"/>
  <c r="AP659" i="1"/>
  <c r="AP660" i="1"/>
  <c r="AP661" i="1"/>
  <c r="AP662" i="1"/>
  <c r="AP663" i="1"/>
  <c r="AP664" i="1"/>
  <c r="AP665" i="1"/>
  <c r="AP666" i="1"/>
  <c r="AP667" i="1"/>
  <c r="AP668" i="1"/>
  <c r="AP669" i="1"/>
  <c r="AP670" i="1"/>
  <c r="AP671" i="1"/>
  <c r="AP672" i="1"/>
  <c r="AP673" i="1"/>
  <c r="AP674" i="1"/>
  <c r="AP675" i="1"/>
  <c r="AP676" i="1"/>
  <c r="AP677" i="1"/>
  <c r="AP678" i="1"/>
  <c r="AP679" i="1"/>
  <c r="AP680" i="1"/>
  <c r="AP681" i="1"/>
  <c r="AP682" i="1"/>
  <c r="AP683" i="1"/>
  <c r="AP684" i="1"/>
  <c r="AP685" i="1"/>
  <c r="AP686" i="1"/>
  <c r="AP687" i="1"/>
  <c r="AP688" i="1"/>
  <c r="AP689" i="1"/>
  <c r="AP690" i="1"/>
  <c r="AP691" i="1"/>
  <c r="AP692" i="1"/>
  <c r="AP694" i="1"/>
  <c r="AP695" i="1"/>
  <c r="AP696" i="1"/>
  <c r="AP697" i="1"/>
  <c r="AP698" i="1"/>
  <c r="AP699" i="1"/>
  <c r="AP700" i="1"/>
  <c r="AP701" i="1"/>
  <c r="AP702" i="1"/>
  <c r="AP703" i="1"/>
  <c r="AP704" i="1"/>
  <c r="AP705" i="1"/>
  <c r="AP706" i="1"/>
  <c r="AP707" i="1"/>
  <c r="AP708" i="1"/>
  <c r="AP709" i="1"/>
  <c r="AP710" i="1"/>
  <c r="AP711" i="1"/>
  <c r="AP712" i="1"/>
  <c r="AP713" i="1"/>
  <c r="AP714" i="1"/>
  <c r="AP715" i="1"/>
  <c r="AP716" i="1"/>
  <c r="AP717" i="1"/>
  <c r="AP718" i="1"/>
  <c r="AP719" i="1"/>
  <c r="AP720" i="1"/>
  <c r="AP721" i="1"/>
  <c r="AP722" i="1"/>
  <c r="AP723" i="1"/>
  <c r="AP724" i="1"/>
  <c r="AP725" i="1"/>
  <c r="AP726" i="1"/>
  <c r="AP727" i="1"/>
  <c r="AP728" i="1"/>
  <c r="AP729" i="1"/>
  <c r="AP730" i="1"/>
  <c r="AP731" i="1"/>
  <c r="AP732" i="1"/>
  <c r="AP733" i="1"/>
  <c r="AP734" i="1"/>
  <c r="AP735" i="1"/>
  <c r="AP736" i="1"/>
  <c r="AP737" i="1"/>
  <c r="AP738" i="1"/>
  <c r="AP739" i="1"/>
  <c r="AP740" i="1"/>
  <c r="AP741" i="1"/>
  <c r="AP742" i="1"/>
  <c r="AP743" i="1"/>
  <c r="AP744" i="1"/>
  <c r="AP745" i="1"/>
  <c r="AP747" i="1"/>
  <c r="AP748" i="1"/>
  <c r="AP749" i="1"/>
  <c r="AP750" i="1"/>
  <c r="AP751" i="1"/>
  <c r="AP752" i="1"/>
  <c r="AP753" i="1"/>
  <c r="AP754" i="1"/>
  <c r="AP755" i="1"/>
  <c r="AP756" i="1"/>
  <c r="AP757" i="1"/>
  <c r="AP758" i="1"/>
  <c r="AP759" i="1"/>
  <c r="AP760" i="1"/>
  <c r="AP761" i="1"/>
  <c r="AP762" i="1"/>
  <c r="AP763" i="1"/>
  <c r="AP764" i="1"/>
  <c r="AP765" i="1"/>
  <c r="AP766" i="1"/>
  <c r="AP767" i="1"/>
  <c r="AP768" i="1"/>
  <c r="AP769" i="1"/>
  <c r="AP770" i="1"/>
  <c r="AP771" i="1"/>
  <c r="AP772" i="1"/>
  <c r="AP773" i="1"/>
  <c r="AP774" i="1"/>
  <c r="AP775" i="1"/>
  <c r="AP776" i="1"/>
  <c r="AP777" i="1"/>
  <c r="AP778" i="1"/>
  <c r="AP779" i="1"/>
  <c r="AP780" i="1"/>
  <c r="AP781" i="1"/>
  <c r="AP782" i="1"/>
  <c r="AP783" i="1"/>
  <c r="AP784" i="1"/>
  <c r="AP785" i="1"/>
  <c r="AP786" i="1"/>
  <c r="AP787" i="1"/>
  <c r="AP788" i="1"/>
  <c r="AP789" i="1"/>
  <c r="AP790" i="1"/>
  <c r="AP791" i="1"/>
  <c r="AP792" i="1"/>
  <c r="AP793" i="1"/>
  <c r="AP794" i="1"/>
  <c r="AP795" i="1"/>
  <c r="AP796" i="1"/>
  <c r="AP797" i="1"/>
  <c r="AP798" i="1"/>
  <c r="AP799" i="1"/>
  <c r="AP800" i="1"/>
  <c r="AP801" i="1"/>
  <c r="AP802" i="1"/>
  <c r="AP803" i="1"/>
  <c r="AP804" i="1"/>
  <c r="AP805" i="1"/>
  <c r="AP806" i="1"/>
  <c r="AP807" i="1"/>
  <c r="AP808" i="1"/>
  <c r="AP809" i="1"/>
  <c r="AP810" i="1"/>
  <c r="AP811" i="1"/>
  <c r="AP812" i="1"/>
  <c r="AP813" i="1"/>
  <c r="AP814" i="1"/>
  <c r="AP815" i="1"/>
  <c r="AP816" i="1"/>
  <c r="AP817" i="1"/>
  <c r="AP818" i="1"/>
  <c r="AP819" i="1"/>
  <c r="AP820" i="1"/>
  <c r="AP821" i="1"/>
  <c r="AP822" i="1"/>
  <c r="AP823" i="1"/>
  <c r="AP824" i="1"/>
  <c r="AP825" i="1"/>
  <c r="AP826" i="1"/>
  <c r="AP827" i="1"/>
  <c r="AP828" i="1"/>
  <c r="AP829" i="1"/>
  <c r="AP830" i="1"/>
  <c r="AP831" i="1"/>
  <c r="AP832" i="1"/>
  <c r="AP833" i="1"/>
  <c r="AP834" i="1"/>
  <c r="AP835" i="1"/>
  <c r="AP836" i="1"/>
  <c r="AP837" i="1"/>
  <c r="AP838" i="1"/>
  <c r="AP839" i="1"/>
  <c r="AP840" i="1"/>
  <c r="AP841" i="1"/>
  <c r="AP842" i="1"/>
  <c r="AP843" i="1"/>
  <c r="AP844" i="1"/>
  <c r="AP845" i="1"/>
  <c r="AP846" i="1"/>
  <c r="AP847" i="1"/>
  <c r="AP848" i="1"/>
  <c r="AP849" i="1"/>
  <c r="AP850" i="1"/>
  <c r="AP851" i="1"/>
  <c r="AP852" i="1"/>
  <c r="AP853" i="1"/>
  <c r="AP854" i="1"/>
  <c r="AP855" i="1"/>
  <c r="AP856" i="1"/>
  <c r="AP857" i="1"/>
  <c r="AP858" i="1"/>
  <c r="AP859" i="1"/>
  <c r="AP860" i="1"/>
  <c r="AP861" i="1"/>
  <c r="AP862" i="1"/>
  <c r="AP863" i="1"/>
  <c r="AP864" i="1"/>
  <c r="AP865" i="1"/>
  <c r="AP866" i="1"/>
  <c r="AP867" i="1"/>
  <c r="AP868" i="1"/>
  <c r="AP869" i="1"/>
  <c r="AP870" i="1"/>
  <c r="AP871" i="1"/>
  <c r="AP872" i="1"/>
  <c r="AP873" i="1"/>
  <c r="AP874" i="1"/>
  <c r="AP875" i="1"/>
  <c r="AP876" i="1"/>
  <c r="AP877" i="1"/>
  <c r="AP878" i="1"/>
  <c r="AP879" i="1"/>
  <c r="AP880" i="1"/>
  <c r="AP881" i="1"/>
  <c r="AP882" i="1"/>
  <c r="AP883" i="1"/>
  <c r="AP884" i="1"/>
  <c r="AP885" i="1"/>
  <c r="AP886" i="1"/>
  <c r="AP887" i="1"/>
  <c r="AP888" i="1"/>
  <c r="AP889" i="1"/>
  <c r="AP890" i="1"/>
  <c r="AP891" i="1"/>
  <c r="AP892" i="1"/>
  <c r="AP893" i="1"/>
  <c r="AP894" i="1"/>
  <c r="AP895" i="1"/>
  <c r="AP896" i="1"/>
  <c r="AP897" i="1"/>
  <c r="AP898" i="1"/>
  <c r="AP899" i="1"/>
  <c r="AP900" i="1"/>
  <c r="AP901" i="1"/>
  <c r="AP902" i="1"/>
  <c r="AP903" i="1"/>
  <c r="AP904" i="1"/>
  <c r="AP905" i="1"/>
  <c r="AP906" i="1"/>
  <c r="AP907" i="1"/>
  <c r="AP908" i="1"/>
  <c r="AP909" i="1"/>
  <c r="AP910" i="1"/>
  <c r="AP911" i="1"/>
  <c r="AP912" i="1"/>
  <c r="AP913" i="1"/>
  <c r="AP914" i="1"/>
  <c r="AP915" i="1"/>
  <c r="AP916" i="1"/>
  <c r="AP917" i="1"/>
  <c r="AP918" i="1"/>
  <c r="AP919" i="1"/>
  <c r="AP920" i="1"/>
  <c r="AP921" i="1"/>
  <c r="AP922" i="1"/>
  <c r="AP923" i="1"/>
  <c r="AP924" i="1"/>
  <c r="AP925" i="1"/>
  <c r="AP926" i="1"/>
  <c r="AP927" i="1"/>
  <c r="AP928" i="1"/>
  <c r="AP929" i="1"/>
  <c r="AP930" i="1"/>
  <c r="AP931" i="1"/>
  <c r="AP932" i="1"/>
  <c r="AP933" i="1"/>
  <c r="AP934" i="1"/>
  <c r="AP935" i="1"/>
  <c r="AP936" i="1"/>
  <c r="AP937" i="1"/>
  <c r="AP938" i="1"/>
  <c r="AP939" i="1"/>
  <c r="AP940" i="1"/>
  <c r="AP941" i="1"/>
  <c r="AP942" i="1"/>
  <c r="AP943" i="1"/>
  <c r="AP944" i="1"/>
  <c r="AP945" i="1"/>
  <c r="AP946" i="1"/>
  <c r="AP947" i="1"/>
  <c r="AP948" i="1"/>
  <c r="AP949" i="1"/>
  <c r="AP950" i="1"/>
  <c r="AP951" i="1"/>
  <c r="AP952" i="1"/>
  <c r="AP953" i="1"/>
  <c r="AP954" i="1"/>
  <c r="AP955" i="1"/>
  <c r="AP956" i="1"/>
  <c r="AP957" i="1"/>
  <c r="AP958" i="1"/>
  <c r="AP959" i="1"/>
  <c r="AP960" i="1"/>
  <c r="AP961" i="1"/>
  <c r="AP962" i="1"/>
  <c r="AP963" i="1"/>
  <c r="AP964" i="1"/>
  <c r="AP965" i="1"/>
  <c r="AP966" i="1"/>
  <c r="AP967" i="1"/>
  <c r="AP968" i="1"/>
  <c r="AP969" i="1"/>
  <c r="AP970" i="1"/>
  <c r="AP971" i="1"/>
  <c r="AP972" i="1"/>
  <c r="AP973" i="1"/>
  <c r="AP974" i="1"/>
  <c r="AP975" i="1"/>
  <c r="AP976" i="1"/>
  <c r="AP977" i="1"/>
  <c r="AP978" i="1"/>
  <c r="AP979" i="1"/>
  <c r="AP980" i="1"/>
  <c r="AP981" i="1"/>
  <c r="AP982" i="1"/>
  <c r="AP983" i="1"/>
  <c r="AP984" i="1"/>
  <c r="AP985" i="1"/>
  <c r="AP986" i="1"/>
  <c r="AP987" i="1"/>
  <c r="AP988" i="1"/>
  <c r="AP989" i="1"/>
  <c r="AP990" i="1"/>
  <c r="AP991" i="1"/>
  <c r="AP992" i="1"/>
  <c r="AP993" i="1"/>
  <c r="AP994" i="1"/>
  <c r="AP995" i="1"/>
  <c r="AP996" i="1"/>
  <c r="AP997" i="1"/>
  <c r="AP998" i="1"/>
  <c r="AP999" i="1"/>
  <c r="AP1000" i="1"/>
  <c r="AP1001" i="1"/>
  <c r="AP1002" i="1"/>
  <c r="AP1003" i="1"/>
  <c r="AP1004" i="1"/>
  <c r="AP1005" i="1"/>
  <c r="AP1006" i="1"/>
  <c r="AP1007" i="1"/>
  <c r="AP1008" i="1"/>
  <c r="AP1009" i="1"/>
  <c r="AP1010" i="1"/>
  <c r="AP1011" i="1"/>
  <c r="AP1012" i="1"/>
  <c r="AP1013" i="1"/>
  <c r="AP1014" i="1"/>
  <c r="AP1015" i="1"/>
  <c r="AP1016" i="1"/>
  <c r="AP1017" i="1"/>
  <c r="AP1018" i="1"/>
  <c r="AP1019" i="1"/>
  <c r="AP1020" i="1"/>
  <c r="AP1021" i="1"/>
  <c r="AP1022" i="1"/>
  <c r="AP1023" i="1"/>
  <c r="AP1024" i="1"/>
  <c r="AP1025" i="1"/>
  <c r="AP1026" i="1"/>
  <c r="AP1027" i="1"/>
  <c r="AP1028" i="1"/>
  <c r="AP1029" i="1"/>
  <c r="AP1030" i="1"/>
  <c r="AP1031" i="1"/>
  <c r="AP1032" i="1"/>
  <c r="AP1033" i="1"/>
  <c r="AP1034" i="1"/>
  <c r="AP1035" i="1"/>
  <c r="AP1036" i="1"/>
  <c r="AP1037" i="1"/>
  <c r="AP1038" i="1"/>
  <c r="AP1039" i="1"/>
  <c r="AP1040" i="1"/>
  <c r="AP1041" i="1"/>
  <c r="AP1042" i="1"/>
  <c r="AP1043" i="1"/>
  <c r="AP1044" i="1"/>
  <c r="AP1045" i="1"/>
  <c r="AP1046" i="1"/>
  <c r="AP1047" i="1"/>
  <c r="AP1048" i="1"/>
  <c r="AP1049" i="1"/>
  <c r="AP1050" i="1"/>
  <c r="AP1051" i="1"/>
  <c r="AP1052" i="1"/>
  <c r="AP1053" i="1"/>
  <c r="AP1054" i="1"/>
  <c r="AP1055" i="1"/>
  <c r="AP1056" i="1"/>
  <c r="AP1057" i="1"/>
  <c r="AP1058" i="1"/>
  <c r="AP1059" i="1"/>
  <c r="AP1060" i="1"/>
  <c r="AP1061" i="1"/>
  <c r="AP1062" i="1"/>
  <c r="AP1063" i="1"/>
  <c r="AP1064" i="1"/>
  <c r="AP1065" i="1"/>
  <c r="AP1066" i="1"/>
  <c r="AP1067" i="1"/>
  <c r="AP1068" i="1"/>
  <c r="AP1069" i="1"/>
  <c r="AP1070" i="1"/>
  <c r="AP1071" i="1"/>
  <c r="AP1072" i="1"/>
  <c r="AP1073" i="1"/>
  <c r="AP1074" i="1"/>
  <c r="AP1075" i="1"/>
  <c r="AP1076" i="1"/>
  <c r="AP1077" i="1"/>
  <c r="AP1078" i="1"/>
  <c r="AP1079" i="1"/>
  <c r="AP1080" i="1"/>
  <c r="AP1081" i="1"/>
  <c r="AP1082" i="1"/>
  <c r="AP1083" i="1"/>
  <c r="AP1084" i="1"/>
  <c r="AP1085" i="1"/>
  <c r="AP1086" i="1"/>
  <c r="AP1087" i="1"/>
  <c r="AP1088" i="1"/>
  <c r="AP1089" i="1"/>
  <c r="AP1090" i="1"/>
  <c r="AP1091" i="1"/>
  <c r="AP1092" i="1"/>
  <c r="AP1093" i="1"/>
  <c r="AP1094" i="1"/>
  <c r="AP1095" i="1"/>
  <c r="AP1096" i="1"/>
  <c r="AP1097" i="1"/>
  <c r="AP1098" i="1"/>
  <c r="AP1099" i="1"/>
  <c r="AP1100" i="1"/>
  <c r="AP1101" i="1"/>
  <c r="AP1102" i="1"/>
  <c r="AP1103" i="1"/>
  <c r="AP1104" i="1"/>
  <c r="AP1105" i="1"/>
  <c r="AP1106" i="1"/>
  <c r="AP1107" i="1"/>
  <c r="AP1108" i="1"/>
  <c r="AP1109" i="1"/>
  <c r="AP1110" i="1"/>
  <c r="AP1111" i="1"/>
  <c r="AP1112" i="1"/>
  <c r="AP1113" i="1"/>
  <c r="AP1114" i="1"/>
  <c r="AP1115" i="1"/>
  <c r="AP1116" i="1"/>
  <c r="AP1117" i="1"/>
  <c r="AP1118" i="1"/>
  <c r="AP1119" i="1"/>
  <c r="AP1120" i="1"/>
  <c r="AP1121" i="1"/>
  <c r="AP1122" i="1"/>
  <c r="AP1123" i="1"/>
  <c r="AP1124" i="1"/>
  <c r="AP1125" i="1"/>
  <c r="AP1126" i="1"/>
  <c r="AP1127" i="1"/>
  <c r="AP1128" i="1"/>
  <c r="AP1129" i="1"/>
  <c r="AP1130" i="1"/>
  <c r="AP1131" i="1"/>
  <c r="AP1132" i="1"/>
  <c r="AP1133" i="1"/>
  <c r="AP1134" i="1"/>
  <c r="AP1135" i="1"/>
  <c r="AP1136" i="1"/>
  <c r="AP1137" i="1"/>
  <c r="AP1138" i="1"/>
  <c r="AP1139" i="1"/>
  <c r="AP1140" i="1"/>
  <c r="AP1141" i="1"/>
  <c r="AP1142" i="1"/>
  <c r="AP1143" i="1"/>
  <c r="AP1144" i="1"/>
  <c r="AP1145" i="1"/>
  <c r="AP1146" i="1"/>
  <c r="AP1147" i="1"/>
  <c r="AP1148" i="1"/>
  <c r="AP1149" i="1"/>
  <c r="AP1150" i="1"/>
  <c r="AP1151" i="1"/>
  <c r="AP1152" i="1"/>
  <c r="AP1153" i="1"/>
  <c r="AP1154" i="1"/>
  <c r="AP1155" i="1"/>
  <c r="AP1156" i="1"/>
  <c r="AP1157" i="1"/>
  <c r="AP1158" i="1"/>
  <c r="AP1159" i="1"/>
  <c r="AP1160" i="1"/>
  <c r="AP1161" i="1"/>
  <c r="AP1162" i="1"/>
  <c r="AP1163" i="1"/>
  <c r="AP1164" i="1"/>
  <c r="AP1165" i="1"/>
  <c r="AP1166" i="1"/>
  <c r="AP1167" i="1"/>
  <c r="AP1168" i="1"/>
  <c r="AP1169" i="1"/>
  <c r="AP1170" i="1"/>
  <c r="AP1171" i="1"/>
  <c r="AP1172" i="1"/>
  <c r="AP1174" i="1"/>
  <c r="AP1175" i="1"/>
  <c r="AP1176" i="1"/>
  <c r="AP1177" i="1"/>
  <c r="AP1178" i="1"/>
  <c r="AP1179" i="1"/>
  <c r="AP1180" i="1"/>
  <c r="AP1181" i="1"/>
  <c r="AP1182" i="1"/>
  <c r="AP1183" i="1"/>
  <c r="AP1184" i="1"/>
  <c r="AP1185" i="1"/>
  <c r="AP1186" i="1"/>
  <c r="AP1187" i="1"/>
  <c r="AP1188" i="1"/>
  <c r="AP1189" i="1"/>
  <c r="AP1190" i="1"/>
  <c r="AP1191" i="1"/>
  <c r="AP1192" i="1"/>
  <c r="AP1193" i="1"/>
  <c r="AP1194" i="1"/>
  <c r="AP1195" i="1"/>
  <c r="AP1196" i="1"/>
  <c r="AP1197" i="1"/>
  <c r="AP1198" i="1"/>
  <c r="AP1199" i="1"/>
  <c r="AP1200" i="1"/>
  <c r="AP1201" i="1"/>
  <c r="AP1202" i="1"/>
  <c r="AP1203" i="1"/>
  <c r="AP1204" i="1"/>
  <c r="AP1205" i="1"/>
  <c r="AP1206" i="1"/>
  <c r="AP1207" i="1"/>
  <c r="AP1208" i="1"/>
  <c r="AP1209" i="1"/>
  <c r="AP1210" i="1"/>
  <c r="AP1211" i="1"/>
  <c r="AP1212" i="1"/>
  <c r="AP1213" i="1"/>
  <c r="AP1214" i="1"/>
  <c r="AP1215" i="1"/>
  <c r="AP1216" i="1"/>
  <c r="AP1217" i="1"/>
  <c r="AP1218" i="1"/>
  <c r="AP1219" i="1"/>
  <c r="AP1220" i="1"/>
  <c r="AP1221" i="1"/>
  <c r="AP1222" i="1"/>
  <c r="AP1223" i="1"/>
  <c r="AP1224" i="1"/>
  <c r="AP1225" i="1"/>
  <c r="AP1226" i="1"/>
  <c r="AP1227" i="1"/>
  <c r="AP1228" i="1"/>
  <c r="AP1229" i="1"/>
  <c r="AP1230" i="1"/>
  <c r="AP1231" i="1"/>
  <c r="AP1232" i="1"/>
  <c r="AP1233" i="1"/>
  <c r="AP1234" i="1"/>
  <c r="AP1235" i="1"/>
  <c r="AP1236" i="1"/>
  <c r="AP1237" i="1"/>
  <c r="AP1238" i="1"/>
  <c r="AP1239" i="1"/>
  <c r="AP1240" i="1"/>
  <c r="AP1241" i="1"/>
  <c r="AP1242" i="1"/>
  <c r="AP1243" i="1"/>
  <c r="AP1244" i="1"/>
  <c r="AP1245" i="1"/>
  <c r="AP1246" i="1"/>
  <c r="AP1247" i="1"/>
  <c r="AP1248" i="1"/>
  <c r="AP1249" i="1"/>
  <c r="AP1250" i="1"/>
  <c r="AP1251" i="1"/>
  <c r="AP1252" i="1"/>
  <c r="AP1253" i="1"/>
  <c r="AP1254" i="1"/>
  <c r="AP1255" i="1"/>
  <c r="AP1256" i="1"/>
  <c r="AP1257" i="1"/>
  <c r="AP1258" i="1"/>
  <c r="AP1259" i="1"/>
  <c r="AP1260" i="1"/>
  <c r="AP1261" i="1"/>
  <c r="AP1262" i="1"/>
  <c r="AP1263" i="1"/>
  <c r="AP1264" i="1"/>
  <c r="AP1265" i="1"/>
  <c r="AP1266" i="1"/>
  <c r="AP1267" i="1"/>
  <c r="AP1268" i="1"/>
  <c r="AP1269" i="1"/>
  <c r="AP1270" i="1"/>
  <c r="AP1271" i="1"/>
  <c r="AP1272" i="1"/>
  <c r="AP1273" i="1"/>
  <c r="AP1274" i="1"/>
  <c r="AP1275" i="1"/>
  <c r="AP1276" i="1"/>
  <c r="AP1277" i="1"/>
  <c r="AP1278" i="1"/>
  <c r="AP1279" i="1"/>
  <c r="AP1280" i="1"/>
  <c r="AP1281" i="1"/>
  <c r="AP1282" i="1"/>
  <c r="AP1283" i="1"/>
  <c r="AP1284" i="1"/>
  <c r="AP1285" i="1"/>
  <c r="AP1286" i="1"/>
  <c r="AP1287" i="1"/>
  <c r="AP1288" i="1"/>
  <c r="AP1289" i="1"/>
  <c r="AP1290" i="1"/>
  <c r="AP1291" i="1"/>
  <c r="AP1292" i="1"/>
  <c r="AP1293" i="1"/>
  <c r="AP1294" i="1"/>
  <c r="AP1295" i="1"/>
  <c r="AP1296" i="1"/>
  <c r="AP1297" i="1"/>
  <c r="AP1298" i="1"/>
  <c r="AP1299" i="1"/>
  <c r="AP1300" i="1"/>
  <c r="AP1301" i="1"/>
  <c r="AP1302" i="1"/>
  <c r="AP1303" i="1"/>
  <c r="AP1304" i="1"/>
  <c r="AP1305" i="1"/>
  <c r="AP1306" i="1"/>
  <c r="AP1307" i="1"/>
  <c r="AP1308" i="1"/>
  <c r="AP1309" i="1"/>
  <c r="AP1310" i="1"/>
  <c r="AP1311" i="1"/>
  <c r="AP1312" i="1"/>
  <c r="AP1313" i="1"/>
  <c r="AP1314" i="1"/>
  <c r="AP1315" i="1"/>
  <c r="AP1316" i="1"/>
  <c r="AP1317" i="1"/>
  <c r="AP1318" i="1"/>
  <c r="AP1319" i="1"/>
  <c r="AP1320" i="1"/>
  <c r="AP1321" i="1"/>
  <c r="AP1323" i="1"/>
  <c r="AP1324" i="1"/>
  <c r="AP1325" i="1"/>
  <c r="AP1326" i="1"/>
  <c r="AP1327" i="1"/>
  <c r="AP1328" i="1"/>
  <c r="AP1329" i="1"/>
  <c r="AP1330" i="1"/>
  <c r="AP1331" i="1"/>
  <c r="AP1332" i="1"/>
  <c r="AP1333" i="1"/>
  <c r="AP1334" i="1"/>
  <c r="AP1335" i="1"/>
  <c r="AP1336" i="1"/>
  <c r="AP1337" i="1"/>
  <c r="AP1338" i="1"/>
  <c r="AP1339" i="1"/>
  <c r="AP1340" i="1"/>
  <c r="AP1341" i="1"/>
  <c r="AP1342" i="1"/>
  <c r="AP1344" i="1"/>
  <c r="AP1345" i="1"/>
  <c r="AP1346" i="1"/>
  <c r="AP1347" i="1"/>
  <c r="AP1348" i="1"/>
  <c r="AP1349" i="1"/>
  <c r="AP1350" i="1"/>
  <c r="AP1351" i="1"/>
  <c r="AP1352" i="1"/>
  <c r="AP1353" i="1"/>
  <c r="AP1354" i="1"/>
  <c r="AP1355" i="1"/>
  <c r="AP1356" i="1"/>
  <c r="AP1357" i="1"/>
  <c r="AP1358" i="1"/>
  <c r="AP1359" i="1"/>
  <c r="AP1360" i="1"/>
  <c r="AP1361" i="1"/>
  <c r="AP1362" i="1"/>
  <c r="AP1363" i="1"/>
  <c r="AP1364" i="1"/>
  <c r="AP1365" i="1"/>
  <c r="AP1366" i="1"/>
  <c r="AP1367" i="1"/>
  <c r="AP1368" i="1"/>
  <c r="AP1369" i="1"/>
  <c r="AP1370" i="1"/>
  <c r="AP1371" i="1"/>
  <c r="AP1372" i="1"/>
  <c r="AP1373" i="1"/>
  <c r="AP1374" i="1"/>
  <c r="AP1375" i="1"/>
  <c r="AP1376" i="1"/>
  <c r="AP1377" i="1"/>
  <c r="AP1378" i="1"/>
  <c r="AP1379" i="1"/>
  <c r="AP1380" i="1"/>
  <c r="AP1381" i="1"/>
  <c r="AP1382" i="1"/>
  <c r="AP1383" i="1"/>
  <c r="AP1384" i="1"/>
  <c r="AP1385" i="1"/>
  <c r="AP1386" i="1"/>
  <c r="AP1387" i="1"/>
  <c r="AP1388" i="1"/>
  <c r="AP1389" i="1"/>
  <c r="AP1390" i="1"/>
  <c r="AP1391" i="1"/>
  <c r="AP1392" i="1"/>
  <c r="AP1393" i="1"/>
  <c r="AP1394" i="1"/>
  <c r="AP1395" i="1"/>
  <c r="AP1396" i="1"/>
  <c r="AP1397" i="1"/>
  <c r="AP1398" i="1"/>
  <c r="AP1399" i="1"/>
  <c r="AP1400" i="1"/>
  <c r="AP1401" i="1"/>
  <c r="AP1402" i="1"/>
  <c r="AP1403" i="1"/>
  <c r="AP1404" i="1"/>
  <c r="AP1405" i="1"/>
  <c r="AP1406" i="1"/>
  <c r="AP1407" i="1"/>
  <c r="AP1408" i="1"/>
  <c r="AP1409" i="1"/>
  <c r="AP1410" i="1"/>
  <c r="AP1411" i="1"/>
  <c r="AP1412" i="1"/>
  <c r="AP1413" i="1"/>
  <c r="AP1414" i="1"/>
  <c r="AP1415" i="1"/>
  <c r="AP1416" i="1"/>
  <c r="AP1417" i="1"/>
  <c r="AP1418" i="1"/>
  <c r="AP1419" i="1"/>
  <c r="AP1420" i="1"/>
  <c r="AP1421" i="1"/>
  <c r="AP1422" i="1"/>
  <c r="AP1423" i="1"/>
  <c r="AP1424" i="1"/>
  <c r="AP1425" i="1"/>
  <c r="AP1426" i="1"/>
  <c r="AP1427" i="1"/>
  <c r="AP1428" i="1"/>
  <c r="AP1429" i="1"/>
  <c r="AP1430" i="1"/>
  <c r="AP1431" i="1"/>
  <c r="AP1432" i="1"/>
  <c r="AP1433" i="1"/>
  <c r="AP1434" i="1"/>
  <c r="AP1435" i="1"/>
  <c r="AP1436" i="1"/>
  <c r="AP1437" i="1"/>
  <c r="AP1438" i="1"/>
  <c r="AP1439" i="1"/>
  <c r="AP1440" i="1"/>
  <c r="AP1441" i="1"/>
  <c r="AP1442" i="1"/>
  <c r="AP1443" i="1"/>
  <c r="AP1444" i="1"/>
  <c r="AP1445" i="1"/>
  <c r="AP1446" i="1"/>
  <c r="AP1447" i="1"/>
  <c r="AP1448" i="1"/>
  <c r="AP1449" i="1"/>
  <c r="AP1450" i="1"/>
  <c r="AP1451" i="1"/>
  <c r="AP1452" i="1"/>
  <c r="AP1453" i="1"/>
  <c r="AP1454" i="1"/>
  <c r="AP1455" i="1"/>
  <c r="AP1456" i="1"/>
  <c r="AP1457" i="1"/>
  <c r="AP1458" i="1"/>
  <c r="AP1459" i="1"/>
  <c r="AP1460" i="1"/>
  <c r="AP1461" i="1"/>
  <c r="AP1462" i="1"/>
  <c r="AP1463" i="1"/>
  <c r="AP1464" i="1"/>
  <c r="AP1465" i="1"/>
  <c r="AP1466" i="1"/>
  <c r="AP1467" i="1"/>
  <c r="AP1468" i="1"/>
  <c r="AP1469" i="1"/>
  <c r="AP1470" i="1"/>
  <c r="AP1471" i="1"/>
  <c r="AP1472" i="1"/>
  <c r="AP1473" i="1"/>
  <c r="AP1474" i="1"/>
  <c r="AP1475" i="1"/>
  <c r="AP1476" i="1"/>
  <c r="AP1477" i="1"/>
  <c r="AP1478" i="1"/>
  <c r="AP1479" i="1"/>
  <c r="AP1480" i="1"/>
  <c r="AP1481" i="1"/>
  <c r="AP1482" i="1"/>
  <c r="AP1483" i="1"/>
  <c r="AP1484" i="1"/>
  <c r="AP1485" i="1"/>
  <c r="AP1486" i="1"/>
  <c r="AP1487" i="1"/>
  <c r="AP1488" i="1"/>
  <c r="AP1489" i="1"/>
  <c r="AP1490" i="1"/>
  <c r="AP1491" i="1"/>
  <c r="AP1492" i="1"/>
  <c r="AP1493" i="1"/>
  <c r="AP1494" i="1"/>
  <c r="AP1495" i="1"/>
  <c r="AP1496" i="1"/>
  <c r="AP1497" i="1"/>
  <c r="AP1498" i="1"/>
  <c r="AP1499" i="1"/>
  <c r="AP1500" i="1"/>
  <c r="AP1501" i="1"/>
  <c r="AP1502" i="1"/>
  <c r="AP1503" i="1"/>
  <c r="AP1504" i="1"/>
  <c r="AP1505" i="1"/>
  <c r="AP1506" i="1"/>
  <c r="AP1507" i="1"/>
  <c r="AP1508" i="1"/>
  <c r="AP1509" i="1"/>
  <c r="AP1510" i="1"/>
  <c r="AP1511" i="1"/>
  <c r="AP1512" i="1"/>
  <c r="AP1513" i="1"/>
  <c r="AP1514" i="1"/>
  <c r="AP1515" i="1"/>
  <c r="AP1516" i="1"/>
  <c r="AP1517" i="1"/>
  <c r="AP1518" i="1"/>
  <c r="AP1519" i="1"/>
  <c r="AP1520" i="1"/>
  <c r="AP1521" i="1"/>
  <c r="AP1522" i="1"/>
  <c r="AP1523" i="1"/>
  <c r="AP1524" i="1"/>
  <c r="AP1525" i="1"/>
  <c r="AP1526" i="1"/>
  <c r="AP1527" i="1"/>
  <c r="AP1528" i="1"/>
  <c r="AP1529" i="1"/>
  <c r="AP1530" i="1"/>
  <c r="AP1531" i="1"/>
  <c r="AP1532" i="1"/>
  <c r="AP1533" i="1"/>
  <c r="AP1534" i="1"/>
  <c r="AP1535" i="1"/>
  <c r="AP1536" i="1"/>
  <c r="AP1537" i="1"/>
  <c r="AP1538" i="1"/>
  <c r="AP1539" i="1"/>
  <c r="AP1540" i="1"/>
  <c r="AP1541" i="1"/>
  <c r="AP1542" i="1"/>
  <c r="AP1543" i="1"/>
  <c r="AP1544" i="1"/>
  <c r="AP1545" i="1"/>
  <c r="AP1546" i="1"/>
  <c r="AP1547" i="1"/>
  <c r="AP1548" i="1"/>
  <c r="AP1549" i="1"/>
  <c r="AP1550" i="1"/>
  <c r="AP1551" i="1"/>
  <c r="AP1552" i="1"/>
  <c r="AP1553" i="1"/>
  <c r="AP1554" i="1"/>
  <c r="AP1555" i="1"/>
  <c r="AP1556" i="1"/>
  <c r="AP1557" i="1"/>
  <c r="AP1558" i="1"/>
  <c r="AP1559" i="1"/>
  <c r="AP1560" i="1"/>
  <c r="AP1561" i="1"/>
  <c r="AP1562" i="1"/>
  <c r="AP1563" i="1"/>
  <c r="AP1564" i="1"/>
  <c r="AP1565" i="1"/>
  <c r="AP1566" i="1"/>
  <c r="AP1567" i="1"/>
  <c r="AP1568" i="1"/>
  <c r="AP1569" i="1"/>
  <c r="AP1570" i="1"/>
  <c r="AP1571" i="1"/>
  <c r="AP1572" i="1"/>
  <c r="AP1573" i="1"/>
  <c r="AP1574" i="1"/>
  <c r="AP1575" i="1"/>
  <c r="AP1576" i="1"/>
  <c r="AP1577" i="1"/>
  <c r="AP1578" i="1"/>
  <c r="AP1579" i="1"/>
  <c r="AP1580" i="1"/>
  <c r="AP1581" i="1"/>
  <c r="AP1582" i="1"/>
  <c r="AP1583" i="1"/>
  <c r="AP1584" i="1"/>
  <c r="AP1585" i="1"/>
  <c r="AP1586" i="1"/>
  <c r="AP1588" i="1"/>
  <c r="AP1589" i="1"/>
  <c r="AP1590" i="1"/>
  <c r="AP1591" i="1"/>
  <c r="AP1592" i="1"/>
  <c r="AP1593" i="1"/>
  <c r="AP1594" i="1"/>
  <c r="AP1595" i="1"/>
  <c r="AP1596" i="1"/>
  <c r="AP1597" i="1"/>
  <c r="AP1598" i="1"/>
  <c r="AP1599" i="1"/>
  <c r="AP1600" i="1"/>
  <c r="AP1601" i="1"/>
  <c r="AP1602" i="1"/>
  <c r="AP1603" i="1"/>
  <c r="AP1604" i="1"/>
  <c r="AP1605" i="1"/>
  <c r="AP1606" i="1"/>
  <c r="AP1607" i="1"/>
  <c r="AP1609" i="1"/>
  <c r="AP1610" i="1"/>
  <c r="AP1611" i="1"/>
  <c r="AP1612" i="1"/>
  <c r="AP1613" i="1"/>
  <c r="AP1614" i="1"/>
  <c r="AP1615" i="1"/>
  <c r="AP1616" i="1"/>
  <c r="AP1617" i="1"/>
  <c r="AP1618" i="1"/>
  <c r="AP1619" i="1"/>
  <c r="AP1620" i="1"/>
  <c r="AP1621" i="1"/>
  <c r="AP1622" i="1"/>
  <c r="AP1623" i="1"/>
  <c r="AP1624" i="1"/>
  <c r="AP1625" i="1"/>
  <c r="AP1626" i="1"/>
  <c r="AP1627" i="1"/>
  <c r="AP1628" i="1"/>
  <c r="AP1629" i="1"/>
  <c r="AP1630" i="1"/>
  <c r="AP1631" i="1"/>
  <c r="AP1632" i="1"/>
  <c r="AP1633" i="1"/>
  <c r="AP1634" i="1"/>
  <c r="AP1635" i="1"/>
  <c r="AP1636" i="1"/>
  <c r="AP1637" i="1"/>
  <c r="AP1638" i="1"/>
  <c r="AP1639" i="1"/>
  <c r="AP1640" i="1"/>
  <c r="AP1641" i="1"/>
  <c r="AP1642" i="1"/>
  <c r="AP1643" i="1"/>
  <c r="AP1644" i="1"/>
  <c r="AP1645" i="1"/>
  <c r="AP1646" i="1"/>
  <c r="AP1647" i="1"/>
  <c r="AP1648" i="1"/>
  <c r="AP1649" i="1"/>
  <c r="AP1650" i="1"/>
  <c r="AP1651" i="1"/>
  <c r="AP1652" i="1"/>
  <c r="AP1653" i="1"/>
  <c r="AP1654" i="1"/>
  <c r="AP1655" i="1"/>
  <c r="AP1656" i="1"/>
  <c r="AP1657" i="1"/>
  <c r="AP1658" i="1"/>
  <c r="AP1659" i="1"/>
  <c r="AP1660" i="1"/>
  <c r="AP1661" i="1"/>
  <c r="AP1662" i="1"/>
  <c r="AP1663" i="1"/>
  <c r="AP1664" i="1"/>
  <c r="AP1665" i="1"/>
  <c r="AP1666" i="1"/>
  <c r="AP1667" i="1"/>
  <c r="AP1668" i="1"/>
  <c r="AP1669" i="1"/>
  <c r="AP1670" i="1"/>
  <c r="AP1671" i="1"/>
  <c r="AP1672" i="1"/>
  <c r="AP1673" i="1"/>
  <c r="AP1674" i="1"/>
  <c r="AP1675" i="1"/>
  <c r="AP1676" i="1"/>
  <c r="AP1677" i="1"/>
  <c r="AP1678" i="1"/>
  <c r="AP1679" i="1"/>
  <c r="AP1680" i="1"/>
  <c r="AP1681" i="1"/>
  <c r="AP1682" i="1"/>
  <c r="AP1683" i="1"/>
  <c r="AP1684" i="1"/>
  <c r="AP1685" i="1"/>
  <c r="AP1686" i="1"/>
  <c r="AP1687" i="1"/>
  <c r="AP1688" i="1"/>
  <c r="AP1689" i="1"/>
  <c r="AP1690" i="1"/>
  <c r="AP1691" i="1"/>
  <c r="AP1692" i="1"/>
  <c r="AP1693" i="1"/>
  <c r="AP1694" i="1"/>
  <c r="AP1695" i="1"/>
  <c r="AP1696" i="1"/>
  <c r="AP1697" i="1"/>
  <c r="AP1698" i="1"/>
  <c r="AP1699" i="1"/>
  <c r="AP1700" i="1"/>
  <c r="AP1701" i="1"/>
  <c r="AP1702" i="1"/>
  <c r="AP1703" i="1"/>
  <c r="AP1704" i="1"/>
  <c r="AP1705" i="1"/>
  <c r="AP1706" i="1"/>
  <c r="AP1707" i="1"/>
  <c r="AP1708" i="1"/>
  <c r="AP1709" i="1"/>
  <c r="AP1710" i="1"/>
  <c r="AP1711" i="1"/>
  <c r="AP1712" i="1"/>
  <c r="AP1713" i="1"/>
  <c r="AP1714" i="1"/>
  <c r="AP1715" i="1"/>
  <c r="AP1716" i="1"/>
  <c r="AP1717" i="1"/>
  <c r="AP1718" i="1"/>
  <c r="AP1719" i="1"/>
  <c r="AP1720" i="1"/>
  <c r="AP1721" i="1"/>
  <c r="AP1722" i="1"/>
  <c r="AP1723" i="1"/>
  <c r="AP1724" i="1"/>
  <c r="AP1725" i="1"/>
  <c r="AP1726" i="1"/>
  <c r="AP1727" i="1"/>
  <c r="AP1728" i="1"/>
  <c r="AP1729" i="1"/>
  <c r="AP1730" i="1"/>
  <c r="AP1731" i="1"/>
  <c r="AP1732" i="1"/>
  <c r="AP1733" i="1"/>
  <c r="AP1734" i="1"/>
  <c r="AP1735" i="1"/>
  <c r="AP1736" i="1"/>
  <c r="AP1737" i="1"/>
  <c r="AP1738" i="1"/>
  <c r="AP1739" i="1"/>
  <c r="AP1740" i="1"/>
  <c r="AP1743" i="1"/>
  <c r="AP1744" i="1"/>
  <c r="AP1745" i="1"/>
  <c r="AP1746" i="1"/>
  <c r="AP1747" i="1"/>
  <c r="AP1748" i="1"/>
  <c r="AP1749" i="1"/>
  <c r="AP1750" i="1"/>
  <c r="AP1751" i="1"/>
  <c r="AP1752" i="1"/>
  <c r="AP1753" i="1"/>
  <c r="AP1754" i="1"/>
  <c r="AP1755" i="1"/>
  <c r="AP1756" i="1"/>
  <c r="AP1757" i="1"/>
  <c r="AP1758" i="1"/>
  <c r="AP1759" i="1"/>
  <c r="AP1760" i="1"/>
  <c r="AP1761" i="1"/>
  <c r="AP1762" i="1"/>
  <c r="AP1763" i="1"/>
  <c r="AP1764" i="1"/>
  <c r="AP1765" i="1"/>
  <c r="AP1766" i="1"/>
  <c r="AP1767" i="1"/>
  <c r="AP1768" i="1"/>
  <c r="AP1769" i="1"/>
  <c r="AP1770" i="1"/>
  <c r="AP1771" i="1"/>
  <c r="AP1772" i="1"/>
  <c r="AP1773" i="1"/>
  <c r="AP1774" i="1"/>
  <c r="AP1775" i="1"/>
  <c r="AP1776" i="1"/>
  <c r="AP1777" i="1"/>
  <c r="AP1778" i="1"/>
  <c r="AP1779" i="1"/>
  <c r="AP1780" i="1"/>
  <c r="AP1781" i="1"/>
  <c r="AP1782" i="1"/>
  <c r="AP1783" i="1"/>
  <c r="AP1784" i="1"/>
  <c r="AP1785" i="1"/>
  <c r="AP1786" i="1"/>
  <c r="AP1787" i="1"/>
  <c r="AP1788" i="1"/>
  <c r="AP1789" i="1"/>
  <c r="AP1790" i="1"/>
  <c r="AP1791" i="1"/>
  <c r="AP1792" i="1"/>
  <c r="AP1793" i="1"/>
  <c r="AP1794" i="1"/>
  <c r="AP1795" i="1"/>
  <c r="AP1796" i="1"/>
  <c r="AP1797" i="1"/>
  <c r="AP1798" i="1"/>
  <c r="AP1799" i="1"/>
  <c r="AP1800" i="1"/>
  <c r="AP1801" i="1"/>
  <c r="AP1802" i="1"/>
  <c r="AP1803" i="1"/>
  <c r="AP1804" i="1"/>
  <c r="AP1805" i="1"/>
  <c r="AP1806" i="1"/>
  <c r="AP1807" i="1"/>
  <c r="AP1808" i="1"/>
  <c r="AP1809" i="1"/>
  <c r="AP1810" i="1"/>
  <c r="AP1811" i="1"/>
  <c r="AP1812" i="1"/>
  <c r="AP1813" i="1"/>
  <c r="AP1814" i="1"/>
  <c r="AP1815" i="1"/>
  <c r="AP1816" i="1"/>
  <c r="AP1817" i="1"/>
  <c r="AP1818" i="1"/>
  <c r="AP1819" i="1"/>
  <c r="AP1820" i="1"/>
  <c r="AP1821" i="1"/>
  <c r="AP1822" i="1"/>
  <c r="AP1823" i="1"/>
  <c r="AP1824" i="1"/>
  <c r="AP1825" i="1"/>
  <c r="AP1826" i="1"/>
  <c r="AP1827" i="1"/>
  <c r="AP1828" i="1"/>
  <c r="AP1829" i="1"/>
  <c r="AP1830" i="1"/>
  <c r="AP1831" i="1"/>
  <c r="AP1832" i="1"/>
  <c r="AP1833" i="1"/>
  <c r="AP1834" i="1"/>
  <c r="AP1835" i="1"/>
  <c r="AP1836" i="1"/>
  <c r="AP1837" i="1"/>
  <c r="AP1838" i="1"/>
  <c r="AP1839" i="1"/>
  <c r="AP1840" i="1"/>
  <c r="AP1841" i="1"/>
  <c r="AP1842" i="1"/>
  <c r="AP1843" i="1"/>
  <c r="AP1844"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694" i="1"/>
  <c r="A169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Q1822" i="1" a="1"/>
  <c r="R1822" i="1" a="1"/>
  <c r="S1822" i="1"/>
  <c r="AM1822" i="1"/>
  <c r="AO1822" i="1"/>
  <c r="AQ1822" i="1"/>
  <c r="Q1815" i="1" a="1"/>
  <c r="R1815" i="1" a="1"/>
  <c r="S1815" i="1"/>
  <c r="AL1815" i="1"/>
  <c r="AM1815" i="1"/>
  <c r="AO1815" i="1"/>
  <c r="AQ1815" i="1"/>
  <c r="S1745" i="1"/>
  <c r="S110" i="12"/>
  <c r="S228" i="12"/>
  <c r="A228" i="12"/>
  <c r="AN228" i="12" s="1"/>
  <c r="S227" i="12"/>
  <c r="A227" i="12"/>
  <c r="AN227" i="12" s="1"/>
  <c r="S226" i="12"/>
  <c r="A226" i="12"/>
  <c r="AN226" i="12" s="1"/>
  <c r="S225" i="12"/>
  <c r="A225" i="12"/>
  <c r="AN225" i="12" s="1"/>
  <c r="S224" i="12"/>
  <c r="A224" i="12"/>
  <c r="AN224" i="12" s="1"/>
  <c r="S223" i="12"/>
  <c r="A223" i="12"/>
  <c r="AN223" i="12" s="1"/>
  <c r="S222" i="12"/>
  <c r="A222" i="12"/>
  <c r="AN222" i="12" s="1"/>
  <c r="S221" i="12"/>
  <c r="A221" i="12"/>
  <c r="AN221" i="12" s="1"/>
  <c r="S220" i="12"/>
  <c r="A220" i="12"/>
  <c r="AN220" i="12" s="1"/>
  <c r="S219" i="12"/>
  <c r="A219" i="12"/>
  <c r="AN219" i="12" s="1"/>
  <c r="S218" i="12"/>
  <c r="A218" i="12"/>
  <c r="AN218" i="12" s="1"/>
  <c r="S217" i="12"/>
  <c r="A217" i="12"/>
  <c r="AN217" i="12" s="1"/>
  <c r="S216" i="12"/>
  <c r="A216" i="12"/>
  <c r="AN216" i="12" s="1"/>
  <c r="S215" i="12"/>
  <c r="A215" i="12"/>
  <c r="AN215" i="12" s="1"/>
  <c r="S214" i="12"/>
  <c r="A214" i="12"/>
  <c r="AN214" i="12" s="1"/>
  <c r="S213" i="12"/>
  <c r="A213" i="12"/>
  <c r="AN213" i="12" s="1"/>
  <c r="S212" i="12"/>
  <c r="A212" i="12"/>
  <c r="AN212" i="12" s="1"/>
  <c r="S211" i="12"/>
  <c r="A211" i="12"/>
  <c r="AN211" i="12" s="1"/>
  <c r="S210" i="12"/>
  <c r="A210" i="12"/>
  <c r="AN210" i="12" s="1"/>
  <c r="S209" i="12"/>
  <c r="A209" i="12"/>
  <c r="AN209" i="12" s="1"/>
  <c r="S208" i="12"/>
  <c r="A208" i="12"/>
  <c r="AN208" i="12" s="1"/>
  <c r="S207" i="12"/>
  <c r="A207" i="12"/>
  <c r="AN207" i="12" s="1"/>
  <c r="S206" i="12"/>
  <c r="A206" i="12"/>
  <c r="AN206" i="12" s="1"/>
  <c r="S205" i="12"/>
  <c r="A205" i="12"/>
  <c r="AN205" i="12" s="1"/>
  <c r="S204" i="12"/>
  <c r="A204" i="12"/>
  <c r="AN204" i="12" s="1"/>
  <c r="S203" i="12"/>
  <c r="A203" i="12"/>
  <c r="AN203" i="12" s="1"/>
  <c r="S202" i="12"/>
  <c r="A202" i="12"/>
  <c r="AN202" i="12" s="1"/>
  <c r="S201" i="12"/>
  <c r="A201" i="12"/>
  <c r="AN201" i="12" s="1"/>
  <c r="S200" i="12"/>
  <c r="A200" i="12"/>
  <c r="AN200" i="12" s="1"/>
  <c r="S199" i="12"/>
  <c r="A199" i="12"/>
  <c r="AN199" i="12" s="1"/>
  <c r="S198" i="12"/>
  <c r="A198" i="12"/>
  <c r="AN198" i="12" s="1"/>
  <c r="S197" i="12"/>
  <c r="A197" i="12"/>
  <c r="AN197" i="12" s="1"/>
  <c r="S196" i="12"/>
  <c r="A196" i="12"/>
  <c r="AN196" i="12" s="1"/>
  <c r="S195" i="12"/>
  <c r="A195" i="12"/>
  <c r="AN195" i="12" s="1"/>
  <c r="S194" i="12"/>
  <c r="A194" i="12"/>
  <c r="AN194" i="12" s="1"/>
  <c r="S193" i="12"/>
  <c r="A193" i="12"/>
  <c r="AN193" i="12" s="1"/>
  <c r="S192" i="12"/>
  <c r="A192" i="12"/>
  <c r="AN192" i="12" s="1"/>
  <c r="S191" i="12"/>
  <c r="A191" i="12"/>
  <c r="AN191" i="12" s="1"/>
  <c r="S190" i="12"/>
  <c r="A190" i="12"/>
  <c r="AN190" i="12" s="1"/>
  <c r="S189" i="12"/>
  <c r="A189" i="12"/>
  <c r="S188" i="12"/>
  <c r="A188" i="12"/>
  <c r="AN188" i="12" s="1"/>
  <c r="S187" i="12"/>
  <c r="A187" i="12"/>
  <c r="AN187" i="12" s="1"/>
  <c r="S186" i="12"/>
  <c r="A186" i="12"/>
  <c r="S185" i="12"/>
  <c r="A185" i="12"/>
  <c r="AN185" i="12" s="1"/>
  <c r="S184" i="12"/>
  <c r="A184" i="12"/>
  <c r="S183" i="12"/>
  <c r="A183" i="12"/>
  <c r="AN183" i="12" s="1"/>
  <c r="S182" i="12"/>
  <c r="A182" i="12"/>
  <c r="AN182" i="12" s="1"/>
  <c r="S181" i="12"/>
  <c r="A181" i="12"/>
  <c r="AN181" i="12" s="1"/>
  <c r="S180" i="12"/>
  <c r="A180" i="12"/>
  <c r="AN180" i="12" s="1"/>
  <c r="S179" i="12"/>
  <c r="S178" i="12"/>
  <c r="A178" i="12"/>
  <c r="AN178" i="12" s="1"/>
  <c r="S177" i="12"/>
  <c r="A177" i="12"/>
  <c r="AN177" i="12" s="1"/>
  <c r="S176" i="12"/>
  <c r="A176" i="12"/>
  <c r="AN176" i="12" s="1"/>
  <c r="S175" i="12"/>
  <c r="A175" i="12"/>
  <c r="AN175" i="12" s="1"/>
  <c r="S174" i="12"/>
  <c r="A174" i="12"/>
  <c r="AN174" i="12" s="1"/>
  <c r="S173" i="12"/>
  <c r="A173" i="12"/>
  <c r="AN173" i="12" s="1"/>
  <c r="S172" i="12"/>
  <c r="A172" i="12"/>
  <c r="AN172" i="12" s="1"/>
  <c r="S171" i="12"/>
  <c r="A171" i="12"/>
  <c r="AN171" i="12" s="1"/>
  <c r="S170" i="12"/>
  <c r="A170" i="12"/>
  <c r="AN170" i="12" s="1"/>
  <c r="S169" i="12"/>
  <c r="A169" i="12"/>
  <c r="AN169" i="12" s="1"/>
  <c r="S168" i="12"/>
  <c r="A168" i="12"/>
  <c r="AN168" i="12" s="1"/>
  <c r="S167" i="12"/>
  <c r="A167" i="12"/>
  <c r="AN167" i="12" s="1"/>
  <c r="S166" i="12"/>
  <c r="A166" i="12"/>
  <c r="AN166" i="12" s="1"/>
  <c r="S165" i="12"/>
  <c r="A165" i="12"/>
  <c r="AN165" i="12" s="1"/>
  <c r="S164" i="12"/>
  <c r="A164" i="12"/>
  <c r="AN164" i="12" s="1"/>
  <c r="S163" i="12"/>
  <c r="A163" i="12"/>
  <c r="AN163" i="12" s="1"/>
  <c r="S162" i="12"/>
  <c r="A162" i="12"/>
  <c r="AN162" i="12" s="1"/>
  <c r="S161" i="12"/>
  <c r="A161" i="12"/>
  <c r="AN161" i="12" s="1"/>
  <c r="S160" i="12"/>
  <c r="A160" i="12"/>
  <c r="AN160" i="12" s="1"/>
  <c r="S159" i="12"/>
  <c r="A159" i="12"/>
  <c r="AN159" i="12" s="1"/>
  <c r="S158" i="12"/>
  <c r="A158" i="12"/>
  <c r="AN158" i="12" s="1"/>
  <c r="S157" i="12"/>
  <c r="A157" i="12"/>
  <c r="AN157" i="12" s="1"/>
  <c r="S156" i="12"/>
  <c r="A156" i="12"/>
  <c r="AN156" i="12" s="1"/>
  <c r="S155" i="12"/>
  <c r="A155" i="12"/>
  <c r="AN155" i="12" s="1"/>
  <c r="S154" i="12"/>
  <c r="A154" i="12"/>
  <c r="AN154" i="12" s="1"/>
  <c r="S153" i="12"/>
  <c r="A153" i="12"/>
  <c r="AN153" i="12" s="1"/>
  <c r="S152" i="12"/>
  <c r="A152" i="12"/>
  <c r="AN152" i="12" s="1"/>
  <c r="S151" i="12"/>
  <c r="A151" i="12"/>
  <c r="AN151" i="12" s="1"/>
  <c r="S150" i="12"/>
  <c r="A150" i="12"/>
  <c r="AN150" i="12" s="1"/>
  <c r="S149" i="12"/>
  <c r="A149" i="12"/>
  <c r="AN149" i="12" s="1"/>
  <c r="S148" i="12"/>
  <c r="A148" i="12"/>
  <c r="AN148" i="12" s="1"/>
  <c r="S147" i="12"/>
  <c r="A147" i="12"/>
  <c r="AN147" i="12" s="1"/>
  <c r="S146" i="12"/>
  <c r="A146" i="12"/>
  <c r="AN146" i="12" s="1"/>
  <c r="S145" i="12"/>
  <c r="A145" i="12"/>
  <c r="AN145" i="12" s="1"/>
  <c r="S144" i="12"/>
  <c r="A144" i="12"/>
  <c r="AN144" i="12" s="1"/>
  <c r="S143" i="12"/>
  <c r="A143" i="12"/>
  <c r="AN143" i="12" s="1"/>
  <c r="S142" i="12"/>
  <c r="A142" i="12"/>
  <c r="AN142" i="12" s="1"/>
  <c r="S141" i="12"/>
  <c r="A141" i="12"/>
  <c r="AN141" i="12" s="1"/>
  <c r="S140" i="12"/>
  <c r="A140" i="12"/>
  <c r="AN140" i="12" s="1"/>
  <c r="S139" i="12"/>
  <c r="A139" i="12"/>
  <c r="AN139" i="12" s="1"/>
  <c r="S138" i="12"/>
  <c r="A138" i="12"/>
  <c r="AN138" i="12" s="1"/>
  <c r="S137" i="12"/>
  <c r="A137" i="12"/>
  <c r="AN137" i="12" s="1"/>
  <c r="S136" i="12"/>
  <c r="A136" i="12"/>
  <c r="AN136" i="12" s="1"/>
  <c r="S135" i="12"/>
  <c r="A135" i="12"/>
  <c r="AN135" i="12" s="1"/>
  <c r="S133" i="12"/>
  <c r="A133" i="12"/>
  <c r="AN133" i="12" s="1"/>
  <c r="S134" i="12"/>
  <c r="A134" i="12"/>
  <c r="AN134" i="12" s="1"/>
  <c r="S132" i="12"/>
  <c r="A132" i="12"/>
  <c r="AN132" i="12" s="1"/>
  <c r="S131" i="12"/>
  <c r="A131" i="12"/>
  <c r="S130" i="12"/>
  <c r="A130" i="12"/>
  <c r="S129" i="12"/>
  <c r="A129" i="12"/>
  <c r="S128" i="12"/>
  <c r="A128" i="12"/>
  <c r="S127" i="12"/>
  <c r="A127" i="12"/>
  <c r="S126" i="12"/>
  <c r="A126" i="12"/>
  <c r="S125" i="12"/>
  <c r="A125" i="12"/>
  <c r="S124" i="12"/>
  <c r="A124" i="12"/>
  <c r="S123" i="12"/>
  <c r="A123" i="12"/>
  <c r="S122" i="12"/>
  <c r="A122" i="12"/>
  <c r="S121" i="12"/>
  <c r="A121" i="12"/>
  <c r="S120" i="12"/>
  <c r="A120" i="12"/>
  <c r="S119" i="12"/>
  <c r="A119" i="12"/>
  <c r="AN119" i="12" s="1"/>
  <c r="S118" i="12"/>
  <c r="A118" i="12"/>
  <c r="AN118" i="12" s="1"/>
  <c r="S117" i="12"/>
  <c r="A117" i="12"/>
  <c r="AN117" i="12" s="1"/>
  <c r="S116" i="12"/>
  <c r="A116" i="12"/>
  <c r="AN116" i="12" s="1"/>
  <c r="S115" i="12"/>
  <c r="A115" i="12"/>
  <c r="AN115" i="12" s="1"/>
  <c r="S114" i="12"/>
  <c r="A114" i="12"/>
  <c r="AN114" i="12" s="1"/>
  <c r="S113" i="12"/>
  <c r="A113" i="12"/>
  <c r="AN113" i="12" s="1"/>
  <c r="S112" i="12"/>
  <c r="A112" i="12"/>
  <c r="AN112" i="12" s="1"/>
  <c r="S111" i="12"/>
  <c r="A111" i="12"/>
  <c r="AN111" i="12" s="1"/>
  <c r="A110" i="12"/>
  <c r="AN110" i="12" s="1"/>
  <c r="S109" i="12"/>
  <c r="A109" i="12"/>
  <c r="AN109" i="12" s="1"/>
  <c r="S108" i="12"/>
  <c r="A108" i="12"/>
  <c r="AN108" i="12" s="1"/>
  <c r="S107" i="12"/>
  <c r="A107" i="12"/>
  <c r="AN107" i="12" s="1"/>
  <c r="S106" i="12"/>
  <c r="A106" i="12"/>
  <c r="AN106" i="12" s="1"/>
  <c r="S105" i="12"/>
  <c r="A105" i="12"/>
  <c r="S104" i="12"/>
  <c r="A104" i="12"/>
  <c r="AN104" i="12" s="1"/>
  <c r="S103" i="12"/>
  <c r="A103" i="12"/>
  <c r="AN103" i="12" s="1"/>
  <c r="S102" i="12"/>
  <c r="A102" i="12"/>
  <c r="AN102" i="12" s="1"/>
  <c r="S101" i="12"/>
  <c r="A101" i="12"/>
  <c r="S100" i="12"/>
  <c r="A100" i="12"/>
  <c r="AN100" i="12" s="1"/>
  <c r="S99" i="12"/>
  <c r="A99" i="12"/>
  <c r="AN99" i="12" s="1"/>
  <c r="S98" i="12"/>
  <c r="A98" i="12"/>
  <c r="AN98" i="12" s="1"/>
  <c r="S97" i="12"/>
  <c r="A97" i="12"/>
  <c r="AN97" i="12" s="1"/>
  <c r="S96" i="12"/>
  <c r="A96" i="12"/>
  <c r="S95" i="12"/>
  <c r="A95" i="12"/>
  <c r="AN95" i="12" s="1"/>
  <c r="S94" i="12"/>
  <c r="A94" i="12"/>
  <c r="AN94" i="12" s="1"/>
  <c r="S93" i="12"/>
  <c r="A93" i="12"/>
  <c r="AN93" i="12" s="1"/>
  <c r="S92" i="12"/>
  <c r="A92" i="12"/>
  <c r="S91" i="12"/>
  <c r="A91" i="12"/>
  <c r="AN91" i="12" s="1"/>
  <c r="S90" i="12"/>
  <c r="A90" i="12"/>
  <c r="AN90" i="12" s="1"/>
  <c r="S89" i="12"/>
  <c r="A89" i="12"/>
  <c r="AN89" i="12" s="1"/>
  <c r="S87" i="12"/>
  <c r="A87" i="12"/>
  <c r="AN87" i="12" s="1"/>
  <c r="S86" i="12"/>
  <c r="A86" i="12"/>
  <c r="AN86" i="12" s="1"/>
  <c r="S84" i="12"/>
  <c r="A84" i="12"/>
  <c r="AN84" i="12" s="1"/>
  <c r="S83" i="12"/>
  <c r="A83" i="12"/>
  <c r="AN83" i="12" s="1"/>
  <c r="S81" i="12"/>
  <c r="A81" i="12"/>
  <c r="AN81" i="12" s="1"/>
  <c r="S80" i="12"/>
  <c r="A80" i="12"/>
  <c r="AN80" i="12" s="1"/>
  <c r="S78" i="12"/>
  <c r="A78" i="12"/>
  <c r="AN78" i="12" s="1"/>
  <c r="S77" i="12"/>
  <c r="A77" i="12"/>
  <c r="AN77" i="12" s="1"/>
  <c r="S75" i="12"/>
  <c r="A75" i="12"/>
  <c r="AN75" i="12" s="1"/>
  <c r="S74" i="12"/>
  <c r="A74" i="12"/>
  <c r="AN74" i="12" s="1"/>
  <c r="S73" i="12"/>
  <c r="A73" i="12"/>
  <c r="AN73" i="12" s="1"/>
  <c r="S72" i="12"/>
  <c r="A72" i="12"/>
  <c r="AN72" i="12" s="1"/>
  <c r="S71" i="12"/>
  <c r="A71" i="12"/>
  <c r="AN71" i="12" s="1"/>
  <c r="S70" i="12"/>
  <c r="A70" i="12"/>
  <c r="S69" i="12"/>
  <c r="A69" i="12"/>
  <c r="S68" i="12"/>
  <c r="A68" i="12"/>
  <c r="S67" i="12"/>
  <c r="A67" i="12"/>
  <c r="S66" i="12"/>
  <c r="A66" i="12"/>
  <c r="S65" i="12"/>
  <c r="A65" i="12"/>
  <c r="AN65" i="12" s="1"/>
  <c r="S64" i="12"/>
  <c r="A64" i="12"/>
  <c r="AN64" i="12" s="1"/>
  <c r="S63" i="12"/>
  <c r="A63" i="12"/>
  <c r="AN63" i="12" s="1"/>
  <c r="S62" i="12"/>
  <c r="A62" i="12"/>
  <c r="AN62" i="12" s="1"/>
  <c r="S61" i="12"/>
  <c r="A61" i="12"/>
  <c r="AN61" i="12" s="1"/>
  <c r="S60" i="12"/>
  <c r="A60" i="12"/>
  <c r="AN60" i="12" s="1"/>
  <c r="S59" i="12"/>
  <c r="A59" i="12"/>
  <c r="AN59" i="12" s="1"/>
  <c r="S58" i="12"/>
  <c r="A58" i="12"/>
  <c r="AN58" i="12" s="1"/>
  <c r="S57" i="12"/>
  <c r="A57" i="12"/>
  <c r="AN57" i="12" s="1"/>
  <c r="S56" i="12"/>
  <c r="A56" i="12"/>
  <c r="AN56" i="12" s="1"/>
  <c r="S55" i="12"/>
  <c r="A55" i="12"/>
  <c r="AN55" i="12" s="1"/>
  <c r="S54" i="12"/>
  <c r="A54" i="12"/>
  <c r="AN54" i="12" s="1"/>
  <c r="S53" i="12"/>
  <c r="A53" i="12"/>
  <c r="AN53" i="12" s="1"/>
  <c r="S52" i="12"/>
  <c r="A52" i="12"/>
  <c r="AN52" i="12" s="1"/>
  <c r="S51" i="12"/>
  <c r="A51" i="12"/>
  <c r="AN51" i="12" s="1"/>
  <c r="S50" i="12"/>
  <c r="A50" i="12"/>
  <c r="AN50" i="12" s="1"/>
  <c r="S49" i="12"/>
  <c r="A49" i="12"/>
  <c r="AN49" i="12" s="1"/>
  <c r="S48" i="12"/>
  <c r="A48" i="12"/>
  <c r="AN48" i="12" s="1"/>
  <c r="S47" i="12"/>
  <c r="A47" i="12"/>
  <c r="AN47" i="12" s="1"/>
  <c r="S46" i="12"/>
  <c r="A46" i="12"/>
  <c r="AN46" i="12" s="1"/>
  <c r="S45" i="12"/>
  <c r="A45" i="12"/>
  <c r="AN45" i="12" s="1"/>
  <c r="S44" i="12"/>
  <c r="A44" i="12"/>
  <c r="AN44" i="12" s="1"/>
  <c r="S43" i="12"/>
  <c r="A43" i="12"/>
  <c r="AN43" i="12" s="1"/>
  <c r="S42" i="12"/>
  <c r="A42" i="12"/>
  <c r="AN42" i="12" s="1"/>
  <c r="S41" i="12"/>
  <c r="A41" i="12"/>
  <c r="AN41" i="12" s="1"/>
  <c r="S40" i="12"/>
  <c r="A40" i="12"/>
  <c r="AN40" i="12" s="1"/>
  <c r="S39" i="12"/>
  <c r="A39" i="12"/>
  <c r="AN39" i="12" s="1"/>
  <c r="S38" i="12"/>
  <c r="A38" i="12"/>
  <c r="AN38" i="12" s="1"/>
  <c r="S37" i="12"/>
  <c r="A37" i="12"/>
  <c r="AN37" i="12" s="1"/>
  <c r="S36" i="12"/>
  <c r="A36" i="12"/>
  <c r="AN36" i="12" s="1"/>
  <c r="S35" i="12"/>
  <c r="A35" i="12"/>
  <c r="AN35" i="12" s="1"/>
  <c r="S34" i="12"/>
  <c r="A34" i="12"/>
  <c r="AN34" i="12" s="1"/>
  <c r="S33" i="12"/>
  <c r="A33" i="12"/>
  <c r="AN33" i="12" s="1"/>
  <c r="S32" i="12"/>
  <c r="A32" i="12"/>
  <c r="AN32" i="12" s="1"/>
  <c r="S31" i="12"/>
  <c r="A31" i="12"/>
  <c r="S30" i="12"/>
  <c r="A30" i="12"/>
  <c r="S29" i="12"/>
  <c r="A29" i="12"/>
  <c r="S28" i="12"/>
  <c r="A28" i="12"/>
  <c r="S27" i="12"/>
  <c r="A27" i="12"/>
  <c r="S26" i="12"/>
  <c r="A26" i="12"/>
  <c r="S25" i="12"/>
  <c r="A25" i="12"/>
  <c r="AN25" i="12" s="1"/>
  <c r="S24" i="12"/>
  <c r="A24" i="12"/>
  <c r="AN24" i="12" s="1"/>
  <c r="S23" i="12"/>
  <c r="A23" i="12"/>
  <c r="S22" i="12"/>
  <c r="A22" i="12"/>
  <c r="S21" i="12"/>
  <c r="A21" i="12"/>
  <c r="S20" i="12"/>
  <c r="A20" i="12"/>
  <c r="AN20" i="12" s="1"/>
  <c r="S19" i="12"/>
  <c r="A19" i="12"/>
  <c r="AN19" i="12" s="1"/>
  <c r="S18" i="12"/>
  <c r="A18" i="12"/>
  <c r="AN18" i="12" s="1"/>
  <c r="S17" i="12"/>
  <c r="A17" i="12"/>
  <c r="AN17" i="12" s="1"/>
  <c r="S16" i="12"/>
  <c r="A16" i="12"/>
  <c r="AN16" i="12" s="1"/>
  <c r="S15" i="12"/>
  <c r="A15" i="12"/>
  <c r="AN15" i="12" s="1"/>
  <c r="S14" i="12"/>
  <c r="A14" i="12"/>
  <c r="AN14" i="12" s="1"/>
  <c r="S1844" i="1"/>
  <c r="S1843" i="1"/>
  <c r="S1842" i="1"/>
  <c r="S1841" i="1"/>
  <c r="S1840" i="1"/>
  <c r="S1839" i="1"/>
  <c r="S1838" i="1"/>
  <c r="S1837" i="1"/>
  <c r="S1836" i="1"/>
  <c r="S1835" i="1"/>
  <c r="S1834" i="1"/>
  <c r="S1833" i="1"/>
  <c r="S1832" i="1"/>
  <c r="S1831" i="1"/>
  <c r="S1830" i="1"/>
  <c r="S1829" i="1"/>
  <c r="S1828" i="1"/>
  <c r="S1827" i="1"/>
  <c r="S1826" i="1"/>
  <c r="S1825" i="1"/>
  <c r="S1824" i="1"/>
  <c r="S1823" i="1"/>
  <c r="S1821" i="1"/>
  <c r="S1820" i="1"/>
  <c r="S1819" i="1"/>
  <c r="S1818" i="1"/>
  <c r="S1817" i="1"/>
  <c r="S1816" i="1"/>
  <c r="S1814" i="1"/>
  <c r="S1813" i="1"/>
  <c r="S1812" i="1"/>
  <c r="S1811" i="1"/>
  <c r="S1810" i="1"/>
  <c r="S1809" i="1"/>
  <c r="S1808" i="1"/>
  <c r="S1807" i="1"/>
  <c r="S1806" i="1"/>
  <c r="S1805" i="1"/>
  <c r="S1804" i="1"/>
  <c r="S1803" i="1"/>
  <c r="S1802" i="1"/>
  <c r="S1801" i="1"/>
  <c r="S1800" i="1"/>
  <c r="S1799" i="1"/>
  <c r="S1798" i="1"/>
  <c r="S1797" i="1"/>
  <c r="S1796" i="1"/>
  <c r="S1795" i="1"/>
  <c r="S1794" i="1"/>
  <c r="S1793" i="1"/>
  <c r="S1792" i="1"/>
  <c r="S1791" i="1"/>
  <c r="S1790" i="1"/>
  <c r="S1789" i="1"/>
  <c r="S1788" i="1"/>
  <c r="S1787" i="1"/>
  <c r="S1786" i="1"/>
  <c r="S1785" i="1"/>
  <c r="S1784" i="1"/>
  <c r="S1783" i="1"/>
  <c r="S1782" i="1"/>
  <c r="S1781" i="1"/>
  <c r="S1780" i="1"/>
  <c r="S1779" i="1"/>
  <c r="S1778" i="1"/>
  <c r="S1777" i="1"/>
  <c r="S1776" i="1"/>
  <c r="S1775" i="1"/>
  <c r="S1774" i="1"/>
  <c r="S1773" i="1"/>
  <c r="S1772" i="1"/>
  <c r="S1771" i="1"/>
  <c r="S1770" i="1"/>
  <c r="S1769" i="1"/>
  <c r="S1768" i="1"/>
  <c r="S1767" i="1"/>
  <c r="S1766" i="1"/>
  <c r="S1765" i="1"/>
  <c r="S1764" i="1"/>
  <c r="S1763" i="1"/>
  <c r="S1762" i="1"/>
  <c r="S1761" i="1"/>
  <c r="S1760" i="1"/>
  <c r="S1759" i="1"/>
  <c r="S1758" i="1"/>
  <c r="S1757" i="1"/>
  <c r="S1756" i="1"/>
  <c r="S1755" i="1"/>
  <c r="S1754" i="1"/>
  <c r="S1753" i="1"/>
  <c r="S1752" i="1"/>
  <c r="S1751" i="1"/>
  <c r="S1750" i="1"/>
  <c r="S1749" i="1"/>
  <c r="S1748" i="1"/>
  <c r="S1747" i="1"/>
  <c r="S1746" i="1"/>
  <c r="S1744" i="1"/>
  <c r="S1743" i="1"/>
  <c r="S1740" i="1"/>
  <c r="S1739" i="1"/>
  <c r="S1738" i="1"/>
  <c r="S1737" i="1"/>
  <c r="S1736" i="1"/>
  <c r="S1735" i="1"/>
  <c r="S1734" i="1"/>
  <c r="S1733" i="1"/>
  <c r="S1732" i="1"/>
  <c r="S1731" i="1"/>
  <c r="S1730" i="1"/>
  <c r="S1729" i="1"/>
  <c r="S1728" i="1"/>
  <c r="S1727" i="1"/>
  <c r="S1726" i="1"/>
  <c r="S1725" i="1"/>
  <c r="S1724" i="1"/>
  <c r="S1723" i="1"/>
  <c r="S1722" i="1"/>
  <c r="S1721" i="1"/>
  <c r="S1720" i="1"/>
  <c r="S1719" i="1"/>
  <c r="S1718" i="1"/>
  <c r="S1717" i="1"/>
  <c r="S1716" i="1"/>
  <c r="S1715" i="1"/>
  <c r="S1714" i="1"/>
  <c r="S1713" i="1"/>
  <c r="S1712" i="1"/>
  <c r="S1711" i="1"/>
  <c r="S1710" i="1"/>
  <c r="S1709" i="1"/>
  <c r="S1708" i="1"/>
  <c r="S1707" i="1"/>
  <c r="S1706" i="1"/>
  <c r="S1705" i="1"/>
  <c r="S1704" i="1"/>
  <c r="S1703" i="1"/>
  <c r="S1702" i="1"/>
  <c r="S1701" i="1"/>
  <c r="S1700" i="1"/>
  <c r="S1699" i="1"/>
  <c r="S1698" i="1"/>
  <c r="S1697" i="1"/>
  <c r="S1696" i="1"/>
  <c r="S1531" i="1"/>
  <c r="A186" i="3"/>
  <c r="S1512" i="1"/>
  <c r="S1505" i="1"/>
  <c r="R186" i="3"/>
  <c r="R179" i="3"/>
  <c r="A179" i="3"/>
  <c r="S1431" i="1"/>
  <c r="S1551" i="1"/>
  <c r="S1547" i="1"/>
  <c r="S1543" i="1"/>
  <c r="S1695" i="1"/>
  <c r="S1694" i="1"/>
  <c r="S1693" i="1"/>
  <c r="S1692" i="1"/>
  <c r="AA1691" i="1"/>
  <c r="Z1691" i="1"/>
  <c r="S1690" i="1"/>
  <c r="S1689" i="1"/>
  <c r="S1688" i="1"/>
  <c r="S1687" i="1"/>
  <c r="S1686" i="1"/>
  <c r="S1685" i="1"/>
  <c r="S1684" i="1"/>
  <c r="S1683" i="1"/>
  <c r="S1682" i="1"/>
  <c r="S1681" i="1"/>
  <c r="S1680" i="1"/>
  <c r="S1679" i="1"/>
  <c r="S1678" i="1"/>
  <c r="S1677" i="1"/>
  <c r="S1676" i="1"/>
  <c r="S1675" i="1"/>
  <c r="S1674" i="1"/>
  <c r="S1673" i="1"/>
  <c r="S1672" i="1"/>
  <c r="S1671" i="1"/>
  <c r="S1670" i="1"/>
  <c r="S1669" i="1"/>
  <c r="S1668" i="1"/>
  <c r="S1667" i="1"/>
  <c r="S1666" i="1"/>
  <c r="S1665" i="1"/>
  <c r="S1664" i="1"/>
  <c r="S1663" i="1"/>
  <c r="S1662" i="1"/>
  <c r="S1661" i="1"/>
  <c r="S1660" i="1"/>
  <c r="S1659" i="1"/>
  <c r="S1658" i="1"/>
  <c r="S1657" i="1"/>
  <c r="S1656" i="1"/>
  <c r="S1655" i="1"/>
  <c r="S1654" i="1"/>
  <c r="S1653" i="1"/>
  <c r="S1652" i="1"/>
  <c r="S1651" i="1"/>
  <c r="S1650" i="1"/>
  <c r="S1649" i="1"/>
  <c r="S1648" i="1"/>
  <c r="S1647" i="1"/>
  <c r="S1646" i="1"/>
  <c r="S1645" i="1"/>
  <c r="S1644" i="1"/>
  <c r="S1643" i="1"/>
  <c r="S1642" i="1"/>
  <c r="S1641" i="1"/>
  <c r="S1640" i="1"/>
  <c r="S1639" i="1"/>
  <c r="S1638" i="1"/>
  <c r="S1637" i="1"/>
  <c r="S1636" i="1"/>
  <c r="S1635" i="1"/>
  <c r="S1634" i="1"/>
  <c r="S1633" i="1"/>
  <c r="S1632" i="1"/>
  <c r="S1631" i="1"/>
  <c r="S1630" i="1"/>
  <c r="S1629" i="1"/>
  <c r="S1628" i="1"/>
  <c r="S1627" i="1"/>
  <c r="S1626" i="1"/>
  <c r="S1625" i="1"/>
  <c r="S1624" i="1"/>
  <c r="S1623" i="1"/>
  <c r="S1622" i="1"/>
  <c r="S1621" i="1"/>
  <c r="S1620" i="1"/>
  <c r="S1619" i="1"/>
  <c r="S1618" i="1"/>
  <c r="S1617" i="1"/>
  <c r="S1616" i="1"/>
  <c r="S1615" i="1"/>
  <c r="S1614" i="1"/>
  <c r="S1613" i="1"/>
  <c r="S1612" i="1"/>
  <c r="S1611" i="1"/>
  <c r="S1610" i="1"/>
  <c r="S1609" i="1"/>
  <c r="S1608" i="1"/>
  <c r="S1607" i="1"/>
  <c r="S1606" i="1"/>
  <c r="S1605" i="1"/>
  <c r="S1604" i="1"/>
  <c r="S1603" i="1"/>
  <c r="S1602" i="1"/>
  <c r="S1601" i="1"/>
  <c r="S1600" i="1"/>
  <c r="S1599" i="1"/>
  <c r="S1598" i="1"/>
  <c r="S1597" i="1"/>
  <c r="S1596" i="1"/>
  <c r="S1595" i="1"/>
  <c r="S1594" i="1"/>
  <c r="S1593" i="1"/>
  <c r="S1592" i="1"/>
  <c r="S1591" i="1"/>
  <c r="S1590" i="1"/>
  <c r="S1589" i="1"/>
  <c r="S1588" i="1"/>
  <c r="S1587" i="1"/>
  <c r="S1586" i="1"/>
  <c r="S1585" i="1"/>
  <c r="S1584" i="1"/>
  <c r="S1583" i="1"/>
  <c r="S1582" i="1"/>
  <c r="S1581" i="1"/>
  <c r="S1580" i="1"/>
  <c r="S1579" i="1"/>
  <c r="S1578" i="1"/>
  <c r="S1577" i="1"/>
  <c r="S1576" i="1"/>
  <c r="S1575" i="1"/>
  <c r="S1574" i="1"/>
  <c r="S1573" i="1"/>
  <c r="S1572" i="1"/>
  <c r="S1571" i="1"/>
  <c r="S1570" i="1"/>
  <c r="S1569" i="1"/>
  <c r="S1568" i="1"/>
  <c r="S1567" i="1"/>
  <c r="S1566" i="1"/>
  <c r="S1565" i="1"/>
  <c r="S1564" i="1"/>
  <c r="S1563" i="1"/>
  <c r="S1562" i="1"/>
  <c r="S1561" i="1"/>
  <c r="S1560" i="1"/>
  <c r="S1559" i="1"/>
  <c r="S1558" i="1"/>
  <c r="S1557" i="1"/>
  <c r="S1556" i="1"/>
  <c r="S1555" i="1"/>
  <c r="S1554" i="1"/>
  <c r="AO14" i="12" l="1"/>
  <c r="AN12" i="12"/>
  <c r="AQ85" i="12"/>
  <c r="AP85" i="12"/>
  <c r="AO85" i="12"/>
  <c r="AR14" i="12"/>
  <c r="AR226" i="12"/>
  <c r="AR218" i="12"/>
  <c r="AR210" i="12"/>
  <c r="AR202" i="12"/>
  <c r="AR194" i="12"/>
  <c r="AR178" i="12"/>
  <c r="AR170" i="12"/>
  <c r="AR162" i="12"/>
  <c r="AR154" i="12"/>
  <c r="AR146" i="12"/>
  <c r="AR138" i="12"/>
  <c r="AR130" i="12"/>
  <c r="AR122" i="12"/>
  <c r="AR114" i="12"/>
  <c r="AR106" i="12"/>
  <c r="AR98" i="12"/>
  <c r="AR90" i="12"/>
  <c r="AR78" i="12"/>
  <c r="AR61" i="12"/>
  <c r="AR53" i="12"/>
  <c r="AR45" i="12"/>
  <c r="AR37" i="12"/>
  <c r="AR225" i="12"/>
  <c r="AR217" i="12"/>
  <c r="AR209" i="12"/>
  <c r="AR201" i="12"/>
  <c r="AR193" i="12"/>
  <c r="AR185" i="12"/>
  <c r="AR177" i="12"/>
  <c r="AR169" i="12"/>
  <c r="AR161" i="12"/>
  <c r="AR153" i="12"/>
  <c r="AR145" i="12"/>
  <c r="AR137" i="12"/>
  <c r="AR129" i="12"/>
  <c r="AR121" i="12"/>
  <c r="AR113" i="12"/>
  <c r="AR97" i="12"/>
  <c r="AR89" i="12"/>
  <c r="AR77" i="12"/>
  <c r="AR60" i="12"/>
  <c r="AR52" i="12"/>
  <c r="AR44" i="12"/>
  <c r="AR36" i="12"/>
  <c r="AR20" i="12"/>
  <c r="AR224" i="12"/>
  <c r="AR216" i="12"/>
  <c r="AR208" i="12"/>
  <c r="AR200" i="12"/>
  <c r="AR192" i="12"/>
  <c r="AR176" i="12"/>
  <c r="AR168" i="12"/>
  <c r="AR160" i="12"/>
  <c r="AR152" i="12"/>
  <c r="AR144" i="12"/>
  <c r="AR136" i="12"/>
  <c r="AR128" i="12"/>
  <c r="AR120" i="12"/>
  <c r="AR112" i="12"/>
  <c r="AR104" i="12"/>
  <c r="AR87" i="12"/>
  <c r="AR75" i="12"/>
  <c r="AR59" i="12"/>
  <c r="AR51" i="12"/>
  <c r="AR43" i="12"/>
  <c r="AR35" i="12"/>
  <c r="AR19" i="12"/>
  <c r="AR223" i="12"/>
  <c r="AR215" i="12"/>
  <c r="AR207" i="12"/>
  <c r="AR199" i="12"/>
  <c r="AR191" i="12"/>
  <c r="AR183" i="12"/>
  <c r="AR175" i="12"/>
  <c r="AR167" i="12"/>
  <c r="AR159" i="12"/>
  <c r="AR151" i="12"/>
  <c r="AR143" i="12"/>
  <c r="AR135" i="12"/>
  <c r="AR127" i="12"/>
  <c r="AR119" i="12"/>
  <c r="AR111" i="12"/>
  <c r="AR103" i="12"/>
  <c r="AR95" i="12"/>
  <c r="AR86" i="12"/>
  <c r="AR74" i="12"/>
  <c r="AR58" i="12"/>
  <c r="AR50" i="12"/>
  <c r="AR42" i="12"/>
  <c r="AR34" i="12"/>
  <c r="AR18" i="12"/>
  <c r="AR222" i="12"/>
  <c r="AR214" i="12"/>
  <c r="AR206" i="12"/>
  <c r="AR198" i="12"/>
  <c r="AR190" i="12"/>
  <c r="AR182" i="12"/>
  <c r="AR174" i="12"/>
  <c r="AR166" i="12"/>
  <c r="AR158" i="12"/>
  <c r="AR150" i="12"/>
  <c r="AR142" i="12"/>
  <c r="AR134" i="12"/>
  <c r="AR126" i="12"/>
  <c r="AR118" i="12"/>
  <c r="AR110" i="12"/>
  <c r="AR102" i="12"/>
  <c r="AR94" i="12"/>
  <c r="AR84" i="12"/>
  <c r="AR73" i="12"/>
  <c r="AR65" i="12"/>
  <c r="AR57" i="12"/>
  <c r="AR49" i="12"/>
  <c r="AR41" i="12"/>
  <c r="AR33" i="12"/>
  <c r="AR25" i="12"/>
  <c r="AR17" i="12"/>
  <c r="AR221" i="12"/>
  <c r="AR213" i="12"/>
  <c r="AR205" i="12"/>
  <c r="AR197" i="12"/>
  <c r="AR181" i="12"/>
  <c r="AR173" i="12"/>
  <c r="AR165" i="12"/>
  <c r="AR157" i="12"/>
  <c r="AR149" i="12"/>
  <c r="AR141" i="12"/>
  <c r="AR133" i="12"/>
  <c r="AR125" i="12"/>
  <c r="AR117" i="12"/>
  <c r="AR109" i="12"/>
  <c r="AR93" i="12"/>
  <c r="AR83" i="12"/>
  <c r="AR72" i="12"/>
  <c r="AR64" i="12"/>
  <c r="AR56" i="12"/>
  <c r="AR48" i="12"/>
  <c r="AR40" i="12"/>
  <c r="AR32" i="12"/>
  <c r="AR24" i="12"/>
  <c r="AR16" i="12"/>
  <c r="AR228" i="12"/>
  <c r="AR220" i="12"/>
  <c r="AR212" i="12"/>
  <c r="AR204" i="12"/>
  <c r="AR196" i="12"/>
  <c r="AR188" i="12"/>
  <c r="AR180" i="12"/>
  <c r="AR172" i="12"/>
  <c r="AR164" i="12"/>
  <c r="AR156" i="12"/>
  <c r="AR148" i="12"/>
  <c r="AR140" i="12"/>
  <c r="AR132" i="12"/>
  <c r="AR124" i="12"/>
  <c r="AR116" i="12"/>
  <c r="AR108" i="12"/>
  <c r="AR100" i="12"/>
  <c r="AR81" i="12"/>
  <c r="AR63" i="12"/>
  <c r="AR55" i="12"/>
  <c r="AR47" i="12"/>
  <c r="AR39" i="12"/>
  <c r="AR15" i="12"/>
  <c r="AR227" i="12"/>
  <c r="AR219" i="12"/>
  <c r="AR211" i="12"/>
  <c r="AR203" i="12"/>
  <c r="AR195" i="12"/>
  <c r="AR187" i="12"/>
  <c r="AR171" i="12"/>
  <c r="AR163" i="12"/>
  <c r="AR155" i="12"/>
  <c r="AR147" i="12"/>
  <c r="AR139" i="12"/>
  <c r="AR131" i="12"/>
  <c r="AR123" i="12"/>
  <c r="AR115" i="12"/>
  <c r="AR107" i="12"/>
  <c r="AR99" i="12"/>
  <c r="AR91" i="12"/>
  <c r="AR80" i="12"/>
  <c r="AR62" i="12"/>
  <c r="AR54" i="12"/>
  <c r="AR46" i="12"/>
  <c r="AR38" i="12"/>
  <c r="AQ14" i="12"/>
  <c r="AQ226" i="12"/>
  <c r="AQ218" i="12"/>
  <c r="AQ210" i="12"/>
  <c r="AQ202" i="12"/>
  <c r="AQ194" i="12"/>
  <c r="AQ178" i="12"/>
  <c r="AQ170" i="12"/>
  <c r="AQ162" i="12"/>
  <c r="AQ154" i="12"/>
  <c r="AQ146" i="12"/>
  <c r="AQ138" i="12"/>
  <c r="AQ130" i="12"/>
  <c r="AQ122" i="12"/>
  <c r="AQ114" i="12"/>
  <c r="AQ106" i="12"/>
  <c r="AQ98" i="12"/>
  <c r="AQ90" i="12"/>
  <c r="AQ78" i="12"/>
  <c r="AQ61" i="12"/>
  <c r="AQ53" i="12"/>
  <c r="AQ45" i="12"/>
  <c r="AQ37" i="12"/>
  <c r="AQ225" i="12"/>
  <c r="AQ217" i="12"/>
  <c r="AQ209" i="12"/>
  <c r="AQ201" i="12"/>
  <c r="AQ193" i="12"/>
  <c r="AQ185" i="12"/>
  <c r="AQ177" i="12"/>
  <c r="AQ169" i="12"/>
  <c r="AQ161" i="12"/>
  <c r="AQ153" i="12"/>
  <c r="AQ145" i="12"/>
  <c r="AQ137" i="12"/>
  <c r="AQ129" i="12"/>
  <c r="AQ121" i="12"/>
  <c r="AQ113" i="12"/>
  <c r="AQ97" i="12"/>
  <c r="AQ89" i="12"/>
  <c r="AQ77" i="12"/>
  <c r="AQ60" i="12"/>
  <c r="AQ52" i="12"/>
  <c r="AQ44" i="12"/>
  <c r="AQ36" i="12"/>
  <c r="AQ20" i="12"/>
  <c r="AQ224" i="12"/>
  <c r="AQ216" i="12"/>
  <c r="AQ208" i="12"/>
  <c r="AQ200" i="12"/>
  <c r="AQ192" i="12"/>
  <c r="AQ176" i="12"/>
  <c r="AQ168" i="12"/>
  <c r="AQ160" i="12"/>
  <c r="AQ152" i="12"/>
  <c r="AQ144" i="12"/>
  <c r="AQ136" i="12"/>
  <c r="AQ128" i="12"/>
  <c r="AQ120" i="12"/>
  <c r="AQ112" i="12"/>
  <c r="AQ104" i="12"/>
  <c r="AQ87" i="12"/>
  <c r="AQ75" i="12"/>
  <c r="AQ59" i="12"/>
  <c r="AQ51" i="12"/>
  <c r="AQ43" i="12"/>
  <c r="AQ35" i="12"/>
  <c r="AQ19" i="12"/>
  <c r="AQ223" i="12"/>
  <c r="AQ215" i="12"/>
  <c r="AQ207" i="12"/>
  <c r="AQ199" i="12"/>
  <c r="AQ191" i="12"/>
  <c r="AQ183" i="12"/>
  <c r="AQ175" i="12"/>
  <c r="AQ167" i="12"/>
  <c r="AQ159" i="12"/>
  <c r="AQ151" i="12"/>
  <c r="AQ143" i="12"/>
  <c r="AQ135" i="12"/>
  <c r="AQ127" i="12"/>
  <c r="AQ119" i="12"/>
  <c r="AQ111" i="12"/>
  <c r="AQ103" i="12"/>
  <c r="AQ95" i="12"/>
  <c r="AQ86" i="12"/>
  <c r="AQ74" i="12"/>
  <c r="AQ58" i="12"/>
  <c r="AQ50" i="12"/>
  <c r="AQ42" i="12"/>
  <c r="AQ34" i="12"/>
  <c r="AQ18" i="12"/>
  <c r="AQ222" i="12"/>
  <c r="AQ214" i="12"/>
  <c r="AQ206" i="12"/>
  <c r="AQ198" i="12"/>
  <c r="AQ190" i="12"/>
  <c r="AQ182" i="12"/>
  <c r="AQ174" i="12"/>
  <c r="AQ166" i="12"/>
  <c r="AQ158" i="12"/>
  <c r="AQ150" i="12"/>
  <c r="AQ142" i="12"/>
  <c r="AQ134" i="12"/>
  <c r="AQ126" i="12"/>
  <c r="AQ118" i="12"/>
  <c r="AQ110" i="12"/>
  <c r="AQ102" i="12"/>
  <c r="AQ94" i="12"/>
  <c r="AQ84" i="12"/>
  <c r="AQ73" i="12"/>
  <c r="AQ65" i="12"/>
  <c r="AQ57" i="12"/>
  <c r="AQ49" i="12"/>
  <c r="AQ41" i="12"/>
  <c r="AQ33" i="12"/>
  <c r="AQ25" i="12"/>
  <c r="AQ17" i="12"/>
  <c r="AQ221" i="12"/>
  <c r="AQ213" i="12"/>
  <c r="AQ205" i="12"/>
  <c r="AQ197" i="12"/>
  <c r="AQ181" i="12"/>
  <c r="AQ173" i="12"/>
  <c r="AQ165" i="12"/>
  <c r="AQ157" i="12"/>
  <c r="AQ149" i="12"/>
  <c r="AQ141" i="12"/>
  <c r="AQ133" i="12"/>
  <c r="AQ125" i="12"/>
  <c r="AQ117" i="12"/>
  <c r="AQ109" i="12"/>
  <c r="AQ93" i="12"/>
  <c r="AQ83" i="12"/>
  <c r="AQ72" i="12"/>
  <c r="AQ64" i="12"/>
  <c r="AQ56" i="12"/>
  <c r="AQ48" i="12"/>
  <c r="AQ40" i="12"/>
  <c r="AQ32" i="12"/>
  <c r="AQ24" i="12"/>
  <c r="AQ16" i="12"/>
  <c r="AQ228" i="12"/>
  <c r="AQ220" i="12"/>
  <c r="AQ212" i="12"/>
  <c r="AQ204" i="12"/>
  <c r="AQ196" i="12"/>
  <c r="AQ188" i="12"/>
  <c r="AQ180" i="12"/>
  <c r="AQ172" i="12"/>
  <c r="AQ164" i="12"/>
  <c r="AQ156" i="12"/>
  <c r="AQ148" i="12"/>
  <c r="AQ140" i="12"/>
  <c r="AQ132" i="12"/>
  <c r="AQ124" i="12"/>
  <c r="AQ116" i="12"/>
  <c r="AQ108" i="12"/>
  <c r="AQ100" i="12"/>
  <c r="AQ81" i="12"/>
  <c r="AQ71" i="12"/>
  <c r="AQ63" i="12"/>
  <c r="AQ55" i="12"/>
  <c r="AQ47" i="12"/>
  <c r="AQ39" i="12"/>
  <c r="AQ15" i="12"/>
  <c r="AQ227" i="12"/>
  <c r="AQ219" i="12"/>
  <c r="AQ211" i="12"/>
  <c r="AQ203" i="12"/>
  <c r="AQ195" i="12"/>
  <c r="AQ187" i="12"/>
  <c r="AQ171" i="12"/>
  <c r="AQ163" i="12"/>
  <c r="AQ155" i="12"/>
  <c r="AQ147" i="12"/>
  <c r="AQ139" i="12"/>
  <c r="AQ131" i="12"/>
  <c r="AQ123" i="12"/>
  <c r="AQ115" i="12"/>
  <c r="AQ107" i="12"/>
  <c r="AQ99" i="12"/>
  <c r="AQ91" i="12"/>
  <c r="AQ80" i="12"/>
  <c r="AQ62" i="12"/>
  <c r="AQ54" i="12"/>
  <c r="AQ46" i="12"/>
  <c r="AQ38" i="12"/>
  <c r="AP14" i="12"/>
  <c r="AP226" i="12"/>
  <c r="AP218" i="12"/>
  <c r="AP210" i="12"/>
  <c r="AP202" i="12"/>
  <c r="AP194" i="12"/>
  <c r="AP178" i="12"/>
  <c r="AP170" i="12"/>
  <c r="AP162" i="12"/>
  <c r="AP154" i="12"/>
  <c r="AP146" i="12"/>
  <c r="AP138" i="12"/>
  <c r="AP130" i="12"/>
  <c r="AP122" i="12"/>
  <c r="AP114" i="12"/>
  <c r="AP106" i="12"/>
  <c r="AP98" i="12"/>
  <c r="AP90" i="12"/>
  <c r="AP78" i="12"/>
  <c r="AP61" i="12"/>
  <c r="AP53" i="12"/>
  <c r="AP45" i="12"/>
  <c r="AP37" i="12"/>
  <c r="AP225" i="12"/>
  <c r="AP217" i="12"/>
  <c r="AP209" i="12"/>
  <c r="AP201" i="12"/>
  <c r="AP193" i="12"/>
  <c r="AP185" i="12"/>
  <c r="AP177" i="12"/>
  <c r="AP169" i="12"/>
  <c r="AP161" i="12"/>
  <c r="AP153" i="12"/>
  <c r="AP145" i="12"/>
  <c r="AP137" i="12"/>
  <c r="AP129" i="12"/>
  <c r="AP121" i="12"/>
  <c r="AP113" i="12"/>
  <c r="AP97" i="12"/>
  <c r="AP89" i="12"/>
  <c r="AP77" i="12"/>
  <c r="AP60" i="12"/>
  <c r="AP52" i="12"/>
  <c r="AP44" i="12"/>
  <c r="AP36" i="12"/>
  <c r="AP20" i="12"/>
  <c r="AP224" i="12"/>
  <c r="AP216" i="12"/>
  <c r="AP208" i="12"/>
  <c r="AP200" i="12"/>
  <c r="AP192" i="12"/>
  <c r="AP176" i="12"/>
  <c r="AP168" i="12"/>
  <c r="AP160" i="12"/>
  <c r="AP152" i="12"/>
  <c r="AP144" i="12"/>
  <c r="AP136" i="12"/>
  <c r="AP128" i="12"/>
  <c r="AP120" i="12"/>
  <c r="AP112" i="12"/>
  <c r="AP104" i="12"/>
  <c r="AP87" i="12"/>
  <c r="AP75" i="12"/>
  <c r="AP59" i="12"/>
  <c r="AP51" i="12"/>
  <c r="AP43" i="12"/>
  <c r="AP35" i="12"/>
  <c r="AP19" i="12"/>
  <c r="AP223" i="12"/>
  <c r="AP215" i="12"/>
  <c r="AP207" i="12"/>
  <c r="AP199" i="12"/>
  <c r="AP191" i="12"/>
  <c r="AP183" i="12"/>
  <c r="AP175" i="12"/>
  <c r="AP167" i="12"/>
  <c r="AP159" i="12"/>
  <c r="AP151" i="12"/>
  <c r="AP143" i="12"/>
  <c r="AP135" i="12"/>
  <c r="AP127" i="12"/>
  <c r="AP119" i="12"/>
  <c r="AP111" i="12"/>
  <c r="AP103" i="12"/>
  <c r="AP95" i="12"/>
  <c r="AP86" i="12"/>
  <c r="AP74" i="12"/>
  <c r="AP58" i="12"/>
  <c r="AP50" i="12"/>
  <c r="AP42" i="12"/>
  <c r="AP34" i="12"/>
  <c r="AP18" i="12"/>
  <c r="AP222" i="12"/>
  <c r="AP214" i="12"/>
  <c r="AP206" i="12"/>
  <c r="AP198" i="12"/>
  <c r="AP190" i="12"/>
  <c r="AP182" i="12"/>
  <c r="AP174" i="12"/>
  <c r="AP166" i="12"/>
  <c r="AP158" i="12"/>
  <c r="AP150" i="12"/>
  <c r="AP142" i="12"/>
  <c r="AP134" i="12"/>
  <c r="AP126" i="12"/>
  <c r="AP118" i="12"/>
  <c r="AP110" i="12"/>
  <c r="AP102" i="12"/>
  <c r="AP94" i="12"/>
  <c r="AP84" i="12"/>
  <c r="AP73" i="12"/>
  <c r="AP65" i="12"/>
  <c r="AP57" i="12"/>
  <c r="AP49" i="12"/>
  <c r="AP41" i="12"/>
  <c r="AP33" i="12"/>
  <c r="AP25" i="12"/>
  <c r="AP17" i="12"/>
  <c r="AP221" i="12"/>
  <c r="AP213" i="12"/>
  <c r="AP205" i="12"/>
  <c r="AP197" i="12"/>
  <c r="AP181" i="12"/>
  <c r="AP173" i="12"/>
  <c r="AP165" i="12"/>
  <c r="AP157" i="12"/>
  <c r="AP149" i="12"/>
  <c r="AP141" i="12"/>
  <c r="AP133" i="12"/>
  <c r="AP125" i="12"/>
  <c r="AP117" i="12"/>
  <c r="AP109" i="12"/>
  <c r="AP93" i="12"/>
  <c r="AP83" i="12"/>
  <c r="AP72" i="12"/>
  <c r="AP64" i="12"/>
  <c r="AP56" i="12"/>
  <c r="AP48" i="12"/>
  <c r="AP40" i="12"/>
  <c r="AP32" i="12"/>
  <c r="AP24" i="12"/>
  <c r="AP16" i="12"/>
  <c r="AP228" i="12"/>
  <c r="AP220" i="12"/>
  <c r="AP212" i="12"/>
  <c r="AP204" i="12"/>
  <c r="AP196" i="12"/>
  <c r="AP188" i="12"/>
  <c r="AP180" i="12"/>
  <c r="AP172" i="12"/>
  <c r="AP164" i="12"/>
  <c r="AP156" i="12"/>
  <c r="AP148" i="12"/>
  <c r="AP140" i="12"/>
  <c r="AP132" i="12"/>
  <c r="AP124" i="12"/>
  <c r="AP116" i="12"/>
  <c r="AP108" i="12"/>
  <c r="AP100" i="12"/>
  <c r="AP81" i="12"/>
  <c r="AP71" i="12"/>
  <c r="AP63" i="12"/>
  <c r="AP55" i="12"/>
  <c r="AP47" i="12"/>
  <c r="AP39" i="12"/>
  <c r="AP15" i="12"/>
  <c r="AP227" i="12"/>
  <c r="AP219" i="12"/>
  <c r="AP211" i="12"/>
  <c r="AP203" i="12"/>
  <c r="AP195" i="12"/>
  <c r="AP187" i="12"/>
  <c r="AP171" i="12"/>
  <c r="AP163" i="12"/>
  <c r="AP155" i="12"/>
  <c r="AP147" i="12"/>
  <c r="AP139" i="12"/>
  <c r="AP131" i="12"/>
  <c r="AP123" i="12"/>
  <c r="AP115" i="12"/>
  <c r="AP107" i="12"/>
  <c r="AP99" i="12"/>
  <c r="AP91" i="12"/>
  <c r="AP80" i="12"/>
  <c r="AP62" i="12"/>
  <c r="AP54" i="12"/>
  <c r="AP46" i="12"/>
  <c r="AP38" i="12"/>
  <c r="AO226" i="12"/>
  <c r="AO218" i="12"/>
  <c r="AO210" i="12"/>
  <c r="AO202" i="12"/>
  <c r="AO194" i="12"/>
  <c r="AO178" i="12"/>
  <c r="AO170" i="12"/>
  <c r="AO162" i="12"/>
  <c r="AO154" i="12"/>
  <c r="AO146" i="12"/>
  <c r="AO138" i="12"/>
  <c r="AO130" i="12"/>
  <c r="AO122" i="12"/>
  <c r="AO114" i="12"/>
  <c r="AO106" i="12"/>
  <c r="AO98" i="12"/>
  <c r="AO90" i="12"/>
  <c r="AO78" i="12"/>
  <c r="AO61" i="12"/>
  <c r="AO53" i="12"/>
  <c r="AO45" i="12"/>
  <c r="AO37" i="12"/>
  <c r="AO225" i="12"/>
  <c r="AO217" i="12"/>
  <c r="AO209" i="12"/>
  <c r="AO201" i="12"/>
  <c r="AO193" i="12"/>
  <c r="AO185" i="12"/>
  <c r="AO177" i="12"/>
  <c r="AO169" i="12"/>
  <c r="AO161" i="12"/>
  <c r="AO153" i="12"/>
  <c r="AO145" i="12"/>
  <c r="AO137" i="12"/>
  <c r="AO129" i="12"/>
  <c r="AO121" i="12"/>
  <c r="AO113" i="12"/>
  <c r="AO97" i="12"/>
  <c r="AO89" i="12"/>
  <c r="AO77" i="12"/>
  <c r="AO60" i="12"/>
  <c r="AO52" i="12"/>
  <c r="AO44" i="12"/>
  <c r="AO36" i="12"/>
  <c r="AO20" i="12"/>
  <c r="AO224" i="12"/>
  <c r="AO216" i="12"/>
  <c r="AO208" i="12"/>
  <c r="AO200" i="12"/>
  <c r="AO192" i="12"/>
  <c r="AO176" i="12"/>
  <c r="AO168" i="12"/>
  <c r="AO160" i="12"/>
  <c r="AO152" i="12"/>
  <c r="AO144" i="12"/>
  <c r="AO136" i="12"/>
  <c r="AO128" i="12"/>
  <c r="AO120" i="12"/>
  <c r="AO112" i="12"/>
  <c r="AO104" i="12"/>
  <c r="AO87" i="12"/>
  <c r="AO75" i="12"/>
  <c r="AO59" i="12"/>
  <c r="AO51" i="12"/>
  <c r="AO43" i="12"/>
  <c r="AO35" i="12"/>
  <c r="AO19" i="12"/>
  <c r="AO223" i="12"/>
  <c r="AO215" i="12"/>
  <c r="AO207" i="12"/>
  <c r="AO199" i="12"/>
  <c r="AO191" i="12"/>
  <c r="AO183" i="12"/>
  <c r="AO175" i="12"/>
  <c r="AO167" i="12"/>
  <c r="AO159" i="12"/>
  <c r="AO151" i="12"/>
  <c r="AO143" i="12"/>
  <c r="AO135" i="12"/>
  <c r="AO127" i="12"/>
  <c r="AO119" i="12"/>
  <c r="AO111" i="12"/>
  <c r="AO103" i="12"/>
  <c r="AO95" i="12"/>
  <c r="AO86" i="12"/>
  <c r="AO74" i="12"/>
  <c r="AO58" i="12"/>
  <c r="AO50" i="12"/>
  <c r="AO42" i="12"/>
  <c r="AO34" i="12"/>
  <c r="AO18" i="12"/>
  <c r="AO222" i="12"/>
  <c r="AO214" i="12"/>
  <c r="AO206" i="12"/>
  <c r="AO198" i="12"/>
  <c r="AO190" i="12"/>
  <c r="AO182" i="12"/>
  <c r="AO174" i="12"/>
  <c r="AO166" i="12"/>
  <c r="AO158" i="12"/>
  <c r="AO150" i="12"/>
  <c r="AO142" i="12"/>
  <c r="AO134" i="12"/>
  <c r="AO126" i="12"/>
  <c r="AO118" i="12"/>
  <c r="AO110" i="12"/>
  <c r="AO102" i="12"/>
  <c r="AO94" i="12"/>
  <c r="AO84" i="12"/>
  <c r="AO73" i="12"/>
  <c r="AO65" i="12"/>
  <c r="AO57" i="12"/>
  <c r="AO49" i="12"/>
  <c r="AO41" i="12"/>
  <c r="AO33" i="12"/>
  <c r="AO25" i="12"/>
  <c r="AO17" i="12"/>
  <c r="AO221" i="12"/>
  <c r="AO213" i="12"/>
  <c r="AO205" i="12"/>
  <c r="AO197" i="12"/>
  <c r="AO181" i="12"/>
  <c r="AO173" i="12"/>
  <c r="AO165" i="12"/>
  <c r="AO157" i="12"/>
  <c r="AO149" i="12"/>
  <c r="AO141" i="12"/>
  <c r="AO133" i="12"/>
  <c r="AO125" i="12"/>
  <c r="AO117" i="12"/>
  <c r="AO109" i="12"/>
  <c r="AO93" i="12"/>
  <c r="AO83" i="12"/>
  <c r="AO72" i="12"/>
  <c r="AO64" i="12"/>
  <c r="AO56" i="12"/>
  <c r="AO48" i="12"/>
  <c r="AO40" i="12"/>
  <c r="AO32" i="12"/>
  <c r="AO24" i="12"/>
  <c r="AO16" i="12"/>
  <c r="AO228" i="12"/>
  <c r="AO220" i="12"/>
  <c r="AO212" i="12"/>
  <c r="AO204" i="12"/>
  <c r="AO196" i="12"/>
  <c r="AO188" i="12"/>
  <c r="AO180" i="12"/>
  <c r="AO172" i="12"/>
  <c r="AO164" i="12"/>
  <c r="AO156" i="12"/>
  <c r="AO148" i="12"/>
  <c r="AO140" i="12"/>
  <c r="AO132" i="12"/>
  <c r="AO124" i="12"/>
  <c r="AO116" i="12"/>
  <c r="AO108" i="12"/>
  <c r="AO100" i="12"/>
  <c r="AO81" i="12"/>
  <c r="AO71" i="12"/>
  <c r="AO63" i="12"/>
  <c r="AO55" i="12"/>
  <c r="AO47" i="12"/>
  <c r="AO39" i="12"/>
  <c r="AO15" i="12"/>
  <c r="AO227" i="12"/>
  <c r="AO219" i="12"/>
  <c r="AO211" i="12"/>
  <c r="AO203" i="12"/>
  <c r="AO195" i="12"/>
  <c r="AO187" i="12"/>
  <c r="AO171" i="12"/>
  <c r="AO163" i="12"/>
  <c r="AO155" i="12"/>
  <c r="AO147" i="12"/>
  <c r="AO139" i="12"/>
  <c r="AO131" i="12"/>
  <c r="AO123" i="12"/>
  <c r="AO115" i="12"/>
  <c r="AO107" i="12"/>
  <c r="AO99" i="12"/>
  <c r="AO91" i="12"/>
  <c r="AO80" i="12"/>
  <c r="AO62" i="12"/>
  <c r="AO54" i="12"/>
  <c r="AO46" i="12"/>
  <c r="AO38" i="12"/>
  <c r="AS1742" i="1"/>
  <c r="AR1741" i="1"/>
  <c r="AR1742" i="1"/>
  <c r="AN1741" i="1"/>
  <c r="AN1742" i="1"/>
  <c r="AS1741" i="1"/>
  <c r="H1749" i="1" a="1"/>
  <c r="H16" i="1" a="1"/>
  <c r="H17" i="1" a="1"/>
  <c r="H18" i="1" a="1"/>
  <c r="H19" i="1" a="1"/>
  <c r="H20" i="1" a="1"/>
  <c r="H21" i="1" a="1"/>
  <c r="H22" i="1" a="1"/>
  <c r="H23" i="1" a="1"/>
  <c r="H24" i="1" a="1"/>
  <c r="H25" i="1" a="1"/>
  <c r="H26" i="1" a="1"/>
  <c r="H27" i="1" a="1"/>
  <c r="H28" i="1" a="1"/>
  <c r="H29" i="1" a="1"/>
  <c r="H30" i="1" a="1"/>
  <c r="H31" i="1" a="1"/>
  <c r="H32" i="1" a="1"/>
  <c r="H33" i="1" a="1"/>
  <c r="H34" i="1" a="1"/>
  <c r="H35" i="1" a="1"/>
  <c r="H36" i="1" a="1"/>
  <c r="H37" i="1" a="1"/>
  <c r="H38" i="1" a="1"/>
  <c r="H39" i="1" a="1"/>
  <c r="H40" i="1" a="1"/>
  <c r="H41" i="1" a="1"/>
  <c r="H42" i="1" a="1"/>
  <c r="H43" i="1" a="1"/>
  <c r="H44" i="1" a="1"/>
  <c r="H45" i="1" a="1"/>
  <c r="H46" i="1" a="1"/>
  <c r="H47" i="1" a="1"/>
  <c r="H48" i="1" a="1"/>
  <c r="H49" i="1" a="1"/>
  <c r="H50" i="1" a="1"/>
  <c r="H51" i="1" a="1"/>
  <c r="H52" i="1" a="1"/>
  <c r="H53" i="1" a="1"/>
  <c r="H54" i="1" a="1"/>
  <c r="H55" i="1" a="1"/>
  <c r="H56" i="1" a="1"/>
  <c r="H57" i="1" a="1"/>
  <c r="H58" i="1" a="1"/>
  <c r="H59" i="1" a="1"/>
  <c r="H60" i="1" a="1"/>
  <c r="H61" i="1" a="1"/>
  <c r="H62" i="1" a="1"/>
  <c r="H63" i="1" a="1"/>
  <c r="H64" i="1" a="1"/>
  <c r="H65" i="1" a="1"/>
  <c r="H66" i="1" a="1"/>
  <c r="H67" i="1" a="1"/>
  <c r="H68" i="1" a="1"/>
  <c r="H69" i="1" a="1"/>
  <c r="H70" i="1" a="1"/>
  <c r="H71" i="1" a="1"/>
  <c r="H72" i="1" a="1"/>
  <c r="H73" i="1" a="1"/>
  <c r="H74" i="1" a="1"/>
  <c r="H75" i="1" a="1"/>
  <c r="H76" i="1" a="1"/>
  <c r="H77" i="1" a="1"/>
  <c r="H78" i="1" a="1"/>
  <c r="H79" i="1" a="1"/>
  <c r="H80" i="1" a="1"/>
  <c r="H81" i="1" a="1"/>
  <c r="H82" i="1" a="1"/>
  <c r="H83" i="1" a="1"/>
  <c r="H84" i="1" a="1"/>
  <c r="H85" i="1" a="1"/>
  <c r="H86" i="1" a="1"/>
  <c r="H87" i="1" a="1"/>
  <c r="H88" i="1" a="1"/>
  <c r="H89" i="1" a="1"/>
  <c r="H90" i="1" a="1"/>
  <c r="H91" i="1" a="1"/>
  <c r="H92" i="1" a="1"/>
  <c r="H93" i="1" a="1"/>
  <c r="H94" i="1" a="1"/>
  <c r="H95" i="1" a="1"/>
  <c r="H96" i="1" a="1"/>
  <c r="H97" i="1" a="1"/>
  <c r="H98" i="1" a="1"/>
  <c r="H99" i="1" a="1"/>
  <c r="H100" i="1" a="1"/>
  <c r="H101" i="1" a="1"/>
  <c r="H102" i="1" a="1"/>
  <c r="H103" i="1" a="1"/>
  <c r="H104" i="1" a="1"/>
  <c r="H105" i="1" a="1"/>
  <c r="H106" i="1" a="1"/>
  <c r="H107" i="1" a="1"/>
  <c r="H108" i="1" a="1"/>
  <c r="H109" i="1" a="1"/>
  <c r="H110" i="1" a="1"/>
  <c r="H111" i="1" a="1"/>
  <c r="H112" i="1" a="1"/>
  <c r="H113" i="1" a="1"/>
  <c r="H114" i="1" a="1"/>
  <c r="H115" i="1" a="1"/>
  <c r="H116" i="1" a="1"/>
  <c r="H117" i="1" a="1"/>
  <c r="H118" i="1" a="1"/>
  <c r="H119" i="1" a="1"/>
  <c r="H120" i="1" a="1"/>
  <c r="H121" i="1" a="1"/>
  <c r="H122" i="1" a="1"/>
  <c r="H123" i="1" a="1"/>
  <c r="H124" i="1" a="1"/>
  <c r="H125" i="1" a="1"/>
  <c r="H126" i="1" a="1"/>
  <c r="H127" i="1" a="1"/>
  <c r="H128" i="1" a="1"/>
  <c r="H129" i="1" a="1"/>
  <c r="H130" i="1" a="1"/>
  <c r="H131" i="1" a="1"/>
  <c r="H132" i="1" a="1"/>
  <c r="H133" i="1" a="1"/>
  <c r="H134" i="1" a="1"/>
  <c r="H135" i="1" a="1"/>
  <c r="H136" i="1" a="1"/>
  <c r="H137" i="1" a="1"/>
  <c r="H138" i="1" a="1"/>
  <c r="H139" i="1" a="1"/>
  <c r="H140" i="1" a="1"/>
  <c r="H141" i="1" a="1"/>
  <c r="H142" i="1" a="1"/>
  <c r="H143" i="1" a="1"/>
  <c r="H144" i="1" a="1"/>
  <c r="H145" i="1" a="1"/>
  <c r="H146" i="1" a="1"/>
  <c r="H147" i="1" a="1"/>
  <c r="H148" i="1" a="1"/>
  <c r="H149" i="1" a="1"/>
  <c r="H150" i="1" a="1"/>
  <c r="H151" i="1" a="1"/>
  <c r="H152" i="1" a="1"/>
  <c r="H153" i="1" a="1"/>
  <c r="H154" i="1" a="1"/>
  <c r="H155" i="1" a="1"/>
  <c r="H156" i="1" a="1"/>
  <c r="H157" i="1" a="1"/>
  <c r="H158" i="1" a="1"/>
  <c r="H159" i="1" a="1"/>
  <c r="H160" i="1" a="1"/>
  <c r="H161" i="1" a="1"/>
  <c r="H162" i="1" a="1"/>
  <c r="H163" i="1" a="1"/>
  <c r="H164" i="1" a="1"/>
  <c r="H165" i="1" a="1"/>
  <c r="H166" i="1" a="1"/>
  <c r="H167" i="1" a="1"/>
  <c r="H168" i="1" a="1"/>
  <c r="H169" i="1" a="1"/>
  <c r="H170" i="1" a="1"/>
  <c r="H171" i="1" a="1"/>
  <c r="H172" i="1" a="1"/>
  <c r="H173" i="1" a="1"/>
  <c r="H174" i="1" a="1"/>
  <c r="H175" i="1" a="1"/>
  <c r="H176" i="1" a="1"/>
  <c r="H177" i="1" a="1"/>
  <c r="H178" i="1" a="1"/>
  <c r="H179" i="1" a="1"/>
  <c r="H180" i="1" a="1"/>
  <c r="H181" i="1" a="1"/>
  <c r="H182" i="1" a="1"/>
  <c r="H183" i="1" a="1"/>
  <c r="H184" i="1" a="1"/>
  <c r="H185" i="1" a="1"/>
  <c r="H186" i="1" a="1"/>
  <c r="H187" i="1" a="1"/>
  <c r="H188" i="1" a="1"/>
  <c r="H189" i="1" a="1"/>
  <c r="H190" i="1" a="1"/>
  <c r="H191" i="1" a="1"/>
  <c r="H192" i="1" a="1"/>
  <c r="H193" i="1" a="1"/>
  <c r="H194" i="1" a="1"/>
  <c r="H195" i="1" a="1"/>
  <c r="H196" i="1" a="1"/>
  <c r="H197" i="1" a="1"/>
  <c r="H198" i="1" a="1"/>
  <c r="H199" i="1" a="1"/>
  <c r="H200" i="1" a="1"/>
  <c r="H201" i="1" a="1"/>
  <c r="H202" i="1" a="1"/>
  <c r="H203" i="1" a="1"/>
  <c r="H204" i="1" a="1"/>
  <c r="H205" i="1" a="1"/>
  <c r="H206" i="1" a="1"/>
  <c r="H207" i="1" a="1"/>
  <c r="H208" i="1" a="1"/>
  <c r="H209" i="1" a="1"/>
  <c r="H210" i="1" a="1"/>
  <c r="H211" i="1" a="1"/>
  <c r="H212" i="1" a="1"/>
  <c r="H213" i="1" a="1"/>
  <c r="H214" i="1" a="1"/>
  <c r="H215" i="1" a="1"/>
  <c r="H216" i="1" a="1"/>
  <c r="H217" i="1" a="1"/>
  <c r="H218" i="1" a="1"/>
  <c r="H219" i="1" a="1"/>
  <c r="H220" i="1" a="1"/>
  <c r="H221" i="1" a="1"/>
  <c r="H222" i="1" a="1"/>
  <c r="H223" i="1" a="1"/>
  <c r="H224" i="1" a="1"/>
  <c r="H225" i="1" a="1"/>
  <c r="H226" i="1" a="1"/>
  <c r="H227" i="1" a="1"/>
  <c r="H228" i="1" a="1"/>
  <c r="H229" i="1" a="1"/>
  <c r="H230" i="1" a="1"/>
  <c r="H231" i="1" a="1"/>
  <c r="H232" i="1" a="1"/>
  <c r="H233" i="1" a="1"/>
  <c r="H234" i="1" a="1"/>
  <c r="H235" i="1" a="1"/>
  <c r="H236" i="1" a="1"/>
  <c r="H237" i="1" a="1"/>
  <c r="H238" i="1" a="1"/>
  <c r="H239" i="1" a="1"/>
  <c r="H240" i="1" a="1"/>
  <c r="H241" i="1" a="1"/>
  <c r="H242" i="1" a="1"/>
  <c r="H243" i="1" a="1"/>
  <c r="H244" i="1" a="1"/>
  <c r="H245" i="1" a="1"/>
  <c r="H246" i="1" a="1"/>
  <c r="H247" i="1" a="1"/>
  <c r="H248" i="1" a="1"/>
  <c r="H249" i="1" a="1"/>
  <c r="H250" i="1" a="1"/>
  <c r="H251" i="1" a="1"/>
  <c r="H252" i="1" a="1"/>
  <c r="H253" i="1" a="1"/>
  <c r="H254" i="1" a="1"/>
  <c r="H255" i="1" a="1"/>
  <c r="H256" i="1" a="1"/>
  <c r="H257" i="1" a="1"/>
  <c r="H258" i="1" a="1"/>
  <c r="H259" i="1" a="1"/>
  <c r="H260" i="1" a="1"/>
  <c r="H261" i="1" a="1"/>
  <c r="H262" i="1" a="1"/>
  <c r="H263" i="1" a="1"/>
  <c r="H264" i="1" a="1"/>
  <c r="H265" i="1" a="1"/>
  <c r="H266" i="1" a="1"/>
  <c r="H267" i="1" a="1"/>
  <c r="H268" i="1" a="1"/>
  <c r="H269" i="1" a="1"/>
  <c r="H270" i="1" a="1"/>
  <c r="H271" i="1" a="1"/>
  <c r="H272" i="1" a="1"/>
  <c r="H273" i="1" a="1"/>
  <c r="H274" i="1" a="1"/>
  <c r="H275" i="1" a="1"/>
  <c r="H276" i="1" a="1"/>
  <c r="H277" i="1" a="1"/>
  <c r="H278" i="1" a="1"/>
  <c r="H279" i="1" a="1"/>
  <c r="H280" i="1" a="1"/>
  <c r="H281" i="1" a="1"/>
  <c r="H282" i="1" a="1"/>
  <c r="H283" i="1" a="1"/>
  <c r="H284" i="1" a="1"/>
  <c r="H285" i="1" a="1"/>
  <c r="H286" i="1" a="1"/>
  <c r="H287" i="1" a="1"/>
  <c r="H288" i="1" a="1"/>
  <c r="H289" i="1" a="1"/>
  <c r="H290" i="1" a="1"/>
  <c r="H291" i="1" a="1"/>
  <c r="H292" i="1" a="1"/>
  <c r="H293" i="1" a="1"/>
  <c r="H294" i="1" a="1"/>
  <c r="H295" i="1" a="1"/>
  <c r="H296" i="1" a="1"/>
  <c r="H297" i="1" a="1"/>
  <c r="H298" i="1" a="1"/>
  <c r="H299" i="1" a="1"/>
  <c r="H300" i="1" a="1"/>
  <c r="H301" i="1" a="1"/>
  <c r="H302" i="1" a="1"/>
  <c r="H303" i="1" a="1"/>
  <c r="H304" i="1" a="1"/>
  <c r="H305" i="1" a="1"/>
  <c r="H306" i="1" a="1"/>
  <c r="H307" i="1" a="1"/>
  <c r="H308" i="1" a="1"/>
  <c r="H309" i="1" a="1"/>
  <c r="H310" i="1" a="1"/>
  <c r="H311" i="1" a="1"/>
  <c r="H312" i="1" a="1"/>
  <c r="H313" i="1" a="1"/>
  <c r="H314" i="1" a="1"/>
  <c r="H315" i="1" a="1"/>
  <c r="H316" i="1" a="1"/>
  <c r="H317" i="1" a="1"/>
  <c r="H318" i="1" a="1"/>
  <c r="H319" i="1" a="1"/>
  <c r="H320" i="1" a="1"/>
  <c r="H321" i="1" a="1"/>
  <c r="H322" i="1" a="1"/>
  <c r="H323" i="1" a="1"/>
  <c r="H324" i="1" a="1"/>
  <c r="H325" i="1" a="1"/>
  <c r="H326" i="1" a="1"/>
  <c r="H327" i="1" a="1"/>
  <c r="H328" i="1" a="1"/>
  <c r="H329" i="1" a="1"/>
  <c r="H330" i="1" a="1"/>
  <c r="H331" i="1" a="1"/>
  <c r="H332" i="1" a="1"/>
  <c r="H333" i="1" a="1"/>
  <c r="H334" i="1" a="1"/>
  <c r="H335" i="1" a="1"/>
  <c r="H336" i="1" a="1"/>
  <c r="H337" i="1" a="1"/>
  <c r="H338" i="1" a="1"/>
  <c r="H339" i="1" a="1"/>
  <c r="H340" i="1" a="1"/>
  <c r="H341" i="1" a="1"/>
  <c r="H342" i="1" a="1"/>
  <c r="H343" i="1" a="1"/>
  <c r="H344" i="1" a="1"/>
  <c r="H345" i="1" a="1"/>
  <c r="H346" i="1" a="1"/>
  <c r="H347" i="1" a="1"/>
  <c r="H348" i="1" a="1"/>
  <c r="H349" i="1" a="1"/>
  <c r="H350" i="1" a="1"/>
  <c r="H351" i="1" a="1"/>
  <c r="H352" i="1" a="1"/>
  <c r="H353" i="1" a="1"/>
  <c r="H354" i="1" a="1"/>
  <c r="H355" i="1" a="1"/>
  <c r="H356" i="1" a="1"/>
  <c r="H357" i="1" a="1"/>
  <c r="H358" i="1" a="1"/>
  <c r="H359" i="1" a="1"/>
  <c r="H360" i="1" a="1"/>
  <c r="H361" i="1" a="1"/>
  <c r="H362" i="1" a="1"/>
  <c r="H363" i="1" a="1"/>
  <c r="H364" i="1" a="1"/>
  <c r="H365" i="1" a="1"/>
  <c r="H366" i="1" a="1"/>
  <c r="H367" i="1" a="1"/>
  <c r="H368" i="1" a="1"/>
  <c r="H369" i="1" a="1"/>
  <c r="H370" i="1" a="1"/>
  <c r="H371" i="1" a="1"/>
  <c r="H372" i="1" a="1"/>
  <c r="H373" i="1" a="1"/>
  <c r="H374" i="1" a="1"/>
  <c r="H375" i="1" a="1"/>
  <c r="H376" i="1" a="1"/>
  <c r="H377" i="1" a="1"/>
  <c r="H378" i="1" a="1"/>
  <c r="H379" i="1" a="1"/>
  <c r="H380" i="1" a="1"/>
  <c r="H381" i="1" a="1"/>
  <c r="H382" i="1" a="1"/>
  <c r="H383" i="1" a="1"/>
  <c r="H384" i="1" a="1"/>
  <c r="H385" i="1" a="1"/>
  <c r="H386" i="1" a="1"/>
  <c r="H387" i="1" a="1"/>
  <c r="H388" i="1" a="1"/>
  <c r="H389" i="1" a="1"/>
  <c r="H390" i="1" a="1"/>
  <c r="H391" i="1" a="1"/>
  <c r="H392" i="1" a="1"/>
  <c r="H393" i="1" a="1"/>
  <c r="H394" i="1" a="1"/>
  <c r="H395" i="1" a="1"/>
  <c r="H396" i="1" a="1"/>
  <c r="H397" i="1" a="1"/>
  <c r="H398" i="1" a="1"/>
  <c r="H399" i="1" a="1"/>
  <c r="H400" i="1" a="1"/>
  <c r="H401" i="1" a="1"/>
  <c r="H402" i="1" a="1"/>
  <c r="H403" i="1" a="1"/>
  <c r="H404" i="1" a="1"/>
  <c r="H405" i="1" a="1"/>
  <c r="H406" i="1" a="1"/>
  <c r="H407" i="1" a="1"/>
  <c r="H408" i="1" a="1"/>
  <c r="H409" i="1" a="1"/>
  <c r="H410" i="1" a="1"/>
  <c r="H411" i="1" a="1"/>
  <c r="H412" i="1" a="1"/>
  <c r="H413" i="1" a="1"/>
  <c r="H414" i="1" a="1"/>
  <c r="H415" i="1" a="1"/>
  <c r="H416" i="1" a="1"/>
  <c r="H417" i="1" a="1"/>
  <c r="H418" i="1" a="1"/>
  <c r="H419" i="1" a="1"/>
  <c r="H420" i="1" a="1"/>
  <c r="H421" i="1" a="1"/>
  <c r="H422" i="1" a="1"/>
  <c r="H423" i="1" a="1"/>
  <c r="H424" i="1" a="1"/>
  <c r="H425" i="1" a="1"/>
  <c r="H426" i="1" a="1"/>
  <c r="H427" i="1" a="1"/>
  <c r="H428" i="1" a="1"/>
  <c r="H429" i="1" a="1"/>
  <c r="H430" i="1" a="1"/>
  <c r="H431" i="1" a="1"/>
  <c r="H432" i="1" a="1"/>
  <c r="H433" i="1" a="1"/>
  <c r="H434" i="1" a="1"/>
  <c r="H435" i="1" a="1"/>
  <c r="H436" i="1" a="1"/>
  <c r="H437" i="1" a="1"/>
  <c r="H438" i="1" a="1"/>
  <c r="H439" i="1" a="1"/>
  <c r="H440" i="1" a="1"/>
  <c r="H441" i="1" a="1"/>
  <c r="H442" i="1" a="1"/>
  <c r="H443" i="1" a="1"/>
  <c r="H444" i="1" a="1"/>
  <c r="H445" i="1" a="1"/>
  <c r="H446" i="1" a="1"/>
  <c r="H447" i="1" a="1"/>
  <c r="H448" i="1" a="1"/>
  <c r="H449" i="1" a="1"/>
  <c r="H450" i="1" a="1"/>
  <c r="H451" i="1" a="1"/>
  <c r="H452" i="1" a="1"/>
  <c r="H453" i="1" a="1"/>
  <c r="H454" i="1" a="1"/>
  <c r="H455" i="1" a="1"/>
  <c r="H456" i="1" a="1"/>
  <c r="H457" i="1" a="1"/>
  <c r="H458" i="1" a="1"/>
  <c r="H459" i="1" a="1"/>
  <c r="H460" i="1" a="1"/>
  <c r="H461" i="1" a="1"/>
  <c r="H462" i="1" a="1"/>
  <c r="H463" i="1" a="1"/>
  <c r="H464" i="1" a="1"/>
  <c r="H465" i="1" a="1"/>
  <c r="H466" i="1" a="1"/>
  <c r="H467" i="1" a="1"/>
  <c r="H468" i="1" a="1"/>
  <c r="H469" i="1" a="1"/>
  <c r="H470" i="1" a="1"/>
  <c r="H471" i="1" a="1"/>
  <c r="H472" i="1" a="1"/>
  <c r="H473" i="1" a="1"/>
  <c r="H474" i="1" a="1"/>
  <c r="H475" i="1" a="1"/>
  <c r="H476" i="1" a="1"/>
  <c r="H477" i="1" a="1"/>
  <c r="H478" i="1" a="1"/>
  <c r="H479" i="1" a="1"/>
  <c r="H480" i="1" a="1"/>
  <c r="H481" i="1" a="1"/>
  <c r="H482" i="1" a="1"/>
  <c r="H483" i="1" a="1"/>
  <c r="H484" i="1" a="1"/>
  <c r="H485" i="1" a="1"/>
  <c r="H486" i="1" a="1"/>
  <c r="H487" i="1" a="1"/>
  <c r="H488" i="1" a="1"/>
  <c r="H489" i="1" a="1"/>
  <c r="H490" i="1" a="1"/>
  <c r="H491" i="1" a="1"/>
  <c r="H492" i="1" a="1"/>
  <c r="H493" i="1" a="1"/>
  <c r="H494" i="1" a="1"/>
  <c r="H495" i="1" a="1"/>
  <c r="H496" i="1" a="1"/>
  <c r="H497" i="1" a="1"/>
  <c r="H498" i="1" a="1"/>
  <c r="H499" i="1" a="1"/>
  <c r="H500" i="1" a="1"/>
  <c r="H501" i="1" a="1"/>
  <c r="H502" i="1" a="1"/>
  <c r="H503" i="1" a="1"/>
  <c r="H504" i="1" a="1"/>
  <c r="H505" i="1" a="1"/>
  <c r="H506" i="1" a="1"/>
  <c r="H507" i="1" a="1"/>
  <c r="H508" i="1" a="1"/>
  <c r="H509" i="1" a="1"/>
  <c r="H510" i="1" a="1"/>
  <c r="H511" i="1" a="1"/>
  <c r="H512" i="1" a="1"/>
  <c r="H513" i="1" a="1"/>
  <c r="H514" i="1" a="1"/>
  <c r="H515" i="1" a="1"/>
  <c r="H516" i="1" a="1"/>
  <c r="H517" i="1" a="1"/>
  <c r="H518" i="1" a="1"/>
  <c r="H519" i="1" a="1"/>
  <c r="H520" i="1" a="1"/>
  <c r="H521" i="1" a="1"/>
  <c r="H522" i="1" a="1"/>
  <c r="H523" i="1" a="1"/>
  <c r="H524" i="1" a="1"/>
  <c r="H525" i="1" a="1"/>
  <c r="H526" i="1" a="1"/>
  <c r="H527" i="1" a="1"/>
  <c r="H528" i="1" a="1"/>
  <c r="H529" i="1" a="1"/>
  <c r="H530" i="1" a="1"/>
  <c r="H531" i="1" a="1"/>
  <c r="H532" i="1" a="1"/>
  <c r="H533" i="1" a="1"/>
  <c r="H534" i="1" a="1"/>
  <c r="H535" i="1" a="1"/>
  <c r="H536" i="1" a="1"/>
  <c r="H537" i="1" a="1"/>
  <c r="H538" i="1" a="1"/>
  <c r="H539" i="1" a="1"/>
  <c r="H540" i="1" a="1"/>
  <c r="H541" i="1" a="1"/>
  <c r="H542" i="1" a="1"/>
  <c r="H543" i="1" a="1"/>
  <c r="H544" i="1" a="1"/>
  <c r="H545" i="1" a="1"/>
  <c r="H546" i="1" a="1"/>
  <c r="H547" i="1" a="1"/>
  <c r="H548" i="1" a="1"/>
  <c r="H549" i="1" a="1"/>
  <c r="H550" i="1" a="1"/>
  <c r="H551" i="1" a="1"/>
  <c r="H552" i="1" a="1"/>
  <c r="H553" i="1" a="1"/>
  <c r="H554" i="1" a="1"/>
  <c r="H555" i="1" a="1"/>
  <c r="H556" i="1" a="1"/>
  <c r="H557" i="1" a="1"/>
  <c r="H558" i="1" a="1"/>
  <c r="H559" i="1" a="1"/>
  <c r="H560" i="1" a="1"/>
  <c r="H561" i="1" a="1"/>
  <c r="H562" i="1" a="1"/>
  <c r="H563" i="1" a="1"/>
  <c r="H564" i="1" a="1"/>
  <c r="H565" i="1" a="1"/>
  <c r="H566" i="1" a="1"/>
  <c r="H567" i="1" a="1"/>
  <c r="H568" i="1" a="1"/>
  <c r="H569" i="1" a="1"/>
  <c r="H570" i="1" a="1"/>
  <c r="H571" i="1" a="1"/>
  <c r="H572" i="1" a="1"/>
  <c r="H573" i="1" a="1"/>
  <c r="H574" i="1" a="1"/>
  <c r="H575" i="1" a="1"/>
  <c r="H576" i="1" a="1"/>
  <c r="H577" i="1" a="1"/>
  <c r="H578" i="1" a="1"/>
  <c r="H579" i="1" a="1"/>
  <c r="H580" i="1" a="1"/>
  <c r="H581" i="1" a="1"/>
  <c r="H582" i="1" a="1"/>
  <c r="H583" i="1" a="1"/>
  <c r="H584" i="1" a="1"/>
  <c r="H585" i="1" a="1"/>
  <c r="H586" i="1" a="1"/>
  <c r="H587" i="1" a="1"/>
  <c r="H588" i="1" a="1"/>
  <c r="H589" i="1" a="1"/>
  <c r="H590" i="1" a="1"/>
  <c r="H591" i="1" a="1"/>
  <c r="H592" i="1" a="1"/>
  <c r="H593" i="1" a="1"/>
  <c r="H594" i="1" a="1"/>
  <c r="H595" i="1" a="1"/>
  <c r="H596" i="1" a="1"/>
  <c r="H597" i="1" a="1"/>
  <c r="H598" i="1" a="1"/>
  <c r="H599" i="1" a="1"/>
  <c r="H600" i="1" a="1"/>
  <c r="H601" i="1" a="1"/>
  <c r="H602" i="1" a="1"/>
  <c r="H603" i="1" a="1"/>
  <c r="H604" i="1" a="1"/>
  <c r="H605" i="1" a="1"/>
  <c r="H606" i="1" a="1"/>
  <c r="H607" i="1" a="1"/>
  <c r="H608" i="1" a="1"/>
  <c r="H609" i="1" a="1"/>
  <c r="H610" i="1" a="1"/>
  <c r="H611" i="1" a="1"/>
  <c r="H612" i="1" a="1"/>
  <c r="H613" i="1" a="1"/>
  <c r="H614" i="1" a="1"/>
  <c r="H615" i="1" a="1"/>
  <c r="H616" i="1" a="1"/>
  <c r="H617" i="1" a="1"/>
  <c r="H618" i="1" a="1"/>
  <c r="H619" i="1" a="1"/>
  <c r="H620" i="1" a="1"/>
  <c r="H621" i="1" a="1"/>
  <c r="H622" i="1" a="1"/>
  <c r="H623" i="1" a="1"/>
  <c r="H624" i="1" a="1"/>
  <c r="H625" i="1" a="1"/>
  <c r="H626" i="1" a="1"/>
  <c r="H627" i="1" a="1"/>
  <c r="H628" i="1" a="1"/>
  <c r="H629" i="1" a="1"/>
  <c r="H630" i="1" a="1"/>
  <c r="H631" i="1" a="1"/>
  <c r="H632" i="1" a="1"/>
  <c r="H633" i="1" a="1"/>
  <c r="H634" i="1" a="1"/>
  <c r="H635" i="1" a="1"/>
  <c r="H636" i="1" a="1"/>
  <c r="H637" i="1" a="1"/>
  <c r="H638" i="1" a="1"/>
  <c r="H639" i="1" a="1"/>
  <c r="H640" i="1" a="1"/>
  <c r="H641" i="1" a="1"/>
  <c r="H642" i="1" a="1"/>
  <c r="H643" i="1" a="1"/>
  <c r="H644" i="1" a="1"/>
  <c r="H645" i="1" a="1"/>
  <c r="H646" i="1" a="1"/>
  <c r="H647" i="1" a="1"/>
  <c r="H648" i="1" a="1"/>
  <c r="H649" i="1" a="1"/>
  <c r="H650" i="1" a="1"/>
  <c r="H651" i="1" a="1"/>
  <c r="H652" i="1" a="1"/>
  <c r="H653" i="1" a="1"/>
  <c r="H654" i="1" a="1"/>
  <c r="H655" i="1" a="1"/>
  <c r="H656" i="1" a="1"/>
  <c r="H657" i="1" a="1"/>
  <c r="H658" i="1" a="1"/>
  <c r="H659" i="1" a="1"/>
  <c r="H660" i="1" a="1"/>
  <c r="H661" i="1" a="1"/>
  <c r="H662" i="1" a="1"/>
  <c r="H663" i="1" a="1"/>
  <c r="H664" i="1" a="1"/>
  <c r="H665" i="1" a="1"/>
  <c r="H666" i="1" a="1"/>
  <c r="H667" i="1" a="1"/>
  <c r="H668" i="1" a="1"/>
  <c r="H669" i="1" a="1"/>
  <c r="H670" i="1" a="1"/>
  <c r="H671" i="1" a="1"/>
  <c r="H672" i="1" a="1"/>
  <c r="H673" i="1" a="1"/>
  <c r="H674" i="1" a="1"/>
  <c r="H675" i="1" a="1"/>
  <c r="H676" i="1" a="1"/>
  <c r="H677" i="1" a="1"/>
  <c r="H678" i="1" a="1"/>
  <c r="H679" i="1" a="1"/>
  <c r="H680" i="1" a="1"/>
  <c r="H681" i="1" a="1"/>
  <c r="H682" i="1" a="1"/>
  <c r="H683" i="1" a="1"/>
  <c r="H684" i="1" a="1"/>
  <c r="H685" i="1" a="1"/>
  <c r="H686" i="1" a="1"/>
  <c r="H687" i="1" a="1"/>
  <c r="H688" i="1" a="1"/>
  <c r="H689" i="1" a="1"/>
  <c r="H690" i="1" a="1"/>
  <c r="H691" i="1" a="1"/>
  <c r="H692" i="1" a="1"/>
  <c r="H693" i="1" a="1"/>
  <c r="H694" i="1" a="1"/>
  <c r="H695" i="1" a="1"/>
  <c r="H696" i="1" a="1"/>
  <c r="H697" i="1" a="1"/>
  <c r="H698" i="1" a="1"/>
  <c r="H699" i="1" a="1"/>
  <c r="H700" i="1" a="1"/>
  <c r="H701" i="1" a="1"/>
  <c r="H702" i="1" a="1"/>
  <c r="H703" i="1" a="1"/>
  <c r="H704" i="1" a="1"/>
  <c r="H705" i="1" a="1"/>
  <c r="H706" i="1" a="1"/>
  <c r="H707" i="1" a="1"/>
  <c r="H708" i="1" a="1"/>
  <c r="H709" i="1" a="1"/>
  <c r="H710" i="1" a="1"/>
  <c r="H711" i="1" a="1"/>
  <c r="H712" i="1" a="1"/>
  <c r="H713" i="1" a="1"/>
  <c r="H714" i="1" a="1"/>
  <c r="H715" i="1" a="1"/>
  <c r="H716" i="1" a="1"/>
  <c r="H717" i="1" a="1"/>
  <c r="H718" i="1" a="1"/>
  <c r="H719" i="1" a="1"/>
  <c r="H720" i="1" a="1"/>
  <c r="H721" i="1" a="1"/>
  <c r="H722" i="1" a="1"/>
  <c r="H723" i="1" a="1"/>
  <c r="H724" i="1" a="1"/>
  <c r="H725" i="1" a="1"/>
  <c r="H726" i="1" a="1"/>
  <c r="H727" i="1" a="1"/>
  <c r="H728" i="1" a="1"/>
  <c r="H729" i="1" a="1"/>
  <c r="H730" i="1" a="1"/>
  <c r="H731" i="1" a="1"/>
  <c r="H732" i="1" a="1"/>
  <c r="H733" i="1" a="1"/>
  <c r="H734" i="1" a="1"/>
  <c r="H735" i="1" a="1"/>
  <c r="H736" i="1" a="1"/>
  <c r="H737" i="1" a="1"/>
  <c r="H738" i="1" a="1"/>
  <c r="H739" i="1" a="1"/>
  <c r="H740" i="1" a="1"/>
  <c r="H741" i="1" a="1"/>
  <c r="H742" i="1" a="1"/>
  <c r="H743" i="1" a="1"/>
  <c r="H744" i="1" a="1"/>
  <c r="H745" i="1" a="1"/>
  <c r="H746" i="1" a="1"/>
  <c r="H747" i="1" a="1"/>
  <c r="H748" i="1" a="1"/>
  <c r="H749" i="1" a="1"/>
  <c r="H750" i="1" a="1"/>
  <c r="H751" i="1" a="1"/>
  <c r="H752" i="1" a="1"/>
  <c r="H753" i="1" a="1"/>
  <c r="H754" i="1" a="1"/>
  <c r="H755" i="1" a="1"/>
  <c r="H756" i="1" a="1"/>
  <c r="H757" i="1" a="1"/>
  <c r="H758" i="1" a="1"/>
  <c r="H759" i="1" a="1"/>
  <c r="H760" i="1" a="1"/>
  <c r="H761" i="1" a="1"/>
  <c r="H762" i="1" a="1"/>
  <c r="H763" i="1" a="1"/>
  <c r="H764" i="1" a="1"/>
  <c r="H765" i="1" a="1"/>
  <c r="H766" i="1" a="1"/>
  <c r="H767" i="1" a="1"/>
  <c r="H768" i="1" a="1"/>
  <c r="H769" i="1" a="1"/>
  <c r="H770" i="1" a="1"/>
  <c r="H771" i="1" a="1"/>
  <c r="H772" i="1" a="1"/>
  <c r="H773" i="1" a="1"/>
  <c r="H774" i="1" a="1"/>
  <c r="H775" i="1" a="1"/>
  <c r="H776" i="1" a="1"/>
  <c r="H777" i="1" a="1"/>
  <c r="H778" i="1" a="1"/>
  <c r="H779" i="1" a="1"/>
  <c r="H780" i="1" a="1"/>
  <c r="H781" i="1" a="1"/>
  <c r="H782" i="1" a="1"/>
  <c r="H783" i="1" a="1"/>
  <c r="H784" i="1" a="1"/>
  <c r="H785" i="1" a="1"/>
  <c r="H786" i="1" a="1"/>
  <c r="H787" i="1" a="1"/>
  <c r="H788" i="1" a="1"/>
  <c r="H789" i="1" a="1"/>
  <c r="H790" i="1" a="1"/>
  <c r="H791" i="1" a="1"/>
  <c r="H792" i="1" a="1"/>
  <c r="H793" i="1" a="1"/>
  <c r="H794" i="1" a="1"/>
  <c r="H795" i="1" a="1"/>
  <c r="H796" i="1" a="1"/>
  <c r="H797" i="1" a="1"/>
  <c r="H798" i="1" a="1"/>
  <c r="H799" i="1" a="1"/>
  <c r="H800" i="1" a="1"/>
  <c r="H801" i="1" a="1"/>
  <c r="H802" i="1" a="1"/>
  <c r="H803" i="1" a="1"/>
  <c r="H804" i="1" a="1"/>
  <c r="H805" i="1" a="1"/>
  <c r="H806" i="1" a="1"/>
  <c r="H807" i="1" a="1"/>
  <c r="H808" i="1" a="1"/>
  <c r="H809" i="1" a="1"/>
  <c r="H810" i="1" a="1"/>
  <c r="H811" i="1" a="1"/>
  <c r="H812" i="1" a="1"/>
  <c r="H813" i="1" a="1"/>
  <c r="H814" i="1" a="1"/>
  <c r="H815" i="1" a="1"/>
  <c r="H816" i="1" a="1"/>
  <c r="H817" i="1" a="1"/>
  <c r="H818" i="1" a="1"/>
  <c r="H819" i="1" a="1"/>
  <c r="H820" i="1" a="1"/>
  <c r="H821" i="1" a="1"/>
  <c r="H822" i="1" a="1"/>
  <c r="H823" i="1" a="1"/>
  <c r="H824" i="1" a="1"/>
  <c r="H825" i="1" a="1"/>
  <c r="H826" i="1" a="1"/>
  <c r="H827" i="1" a="1"/>
  <c r="H828" i="1" a="1"/>
  <c r="H829" i="1" a="1"/>
  <c r="H830" i="1" a="1"/>
  <c r="H831" i="1" a="1"/>
  <c r="H832" i="1" a="1"/>
  <c r="H833" i="1" a="1"/>
  <c r="H834" i="1" a="1"/>
  <c r="H835" i="1" a="1"/>
  <c r="H836" i="1" a="1"/>
  <c r="H837" i="1" a="1"/>
  <c r="H838" i="1" a="1"/>
  <c r="H839" i="1" a="1"/>
  <c r="H840" i="1" a="1"/>
  <c r="H841" i="1" a="1"/>
  <c r="H842" i="1" a="1"/>
  <c r="H843" i="1" a="1"/>
  <c r="H844" i="1" a="1"/>
  <c r="H845" i="1" a="1"/>
  <c r="H846" i="1" a="1"/>
  <c r="H847" i="1" a="1"/>
  <c r="H848" i="1" a="1"/>
  <c r="H849" i="1" a="1"/>
  <c r="H850" i="1" a="1"/>
  <c r="H851" i="1" a="1"/>
  <c r="H852" i="1" a="1"/>
  <c r="H853" i="1" a="1"/>
  <c r="H854" i="1" a="1"/>
  <c r="H855" i="1" a="1"/>
  <c r="H856" i="1" a="1"/>
  <c r="H857" i="1" a="1"/>
  <c r="H858" i="1" a="1"/>
  <c r="H859" i="1" a="1"/>
  <c r="H860" i="1" a="1"/>
  <c r="H861" i="1" a="1"/>
  <c r="H862" i="1" a="1"/>
  <c r="H863" i="1" a="1"/>
  <c r="H864" i="1" a="1"/>
  <c r="H865" i="1" a="1"/>
  <c r="H866" i="1" a="1"/>
  <c r="H867" i="1" a="1"/>
  <c r="H868" i="1" a="1"/>
  <c r="H869" i="1" a="1"/>
  <c r="H870" i="1" a="1"/>
  <c r="H871" i="1" a="1"/>
  <c r="H872" i="1" a="1"/>
  <c r="H873" i="1" a="1"/>
  <c r="H874" i="1" a="1"/>
  <c r="H875" i="1" a="1"/>
  <c r="H876" i="1" a="1"/>
  <c r="H877" i="1" a="1"/>
  <c r="H878" i="1" a="1"/>
  <c r="H879" i="1" a="1"/>
  <c r="H880" i="1" a="1"/>
  <c r="H881" i="1" a="1"/>
  <c r="H882" i="1" a="1"/>
  <c r="H883" i="1" a="1"/>
  <c r="H884" i="1" a="1"/>
  <c r="H885" i="1" a="1"/>
  <c r="H886" i="1" a="1"/>
  <c r="H887" i="1" a="1"/>
  <c r="H888" i="1" a="1"/>
  <c r="H889" i="1" a="1"/>
  <c r="H890" i="1" a="1"/>
  <c r="H891" i="1" a="1"/>
  <c r="H892" i="1" a="1"/>
  <c r="H893" i="1" a="1"/>
  <c r="H894" i="1" a="1"/>
  <c r="H895" i="1" a="1"/>
  <c r="H896" i="1" a="1"/>
  <c r="H897" i="1" a="1"/>
  <c r="H898" i="1" a="1"/>
  <c r="H899" i="1" a="1"/>
  <c r="H900" i="1" a="1"/>
  <c r="H901" i="1" a="1"/>
  <c r="H902" i="1" a="1"/>
  <c r="H903" i="1" a="1"/>
  <c r="H904" i="1" a="1"/>
  <c r="H905" i="1" a="1"/>
  <c r="H906" i="1" a="1"/>
  <c r="H907" i="1" a="1"/>
  <c r="H908" i="1" a="1"/>
  <c r="H909" i="1" a="1"/>
  <c r="H910" i="1" a="1"/>
  <c r="H911" i="1" a="1"/>
  <c r="H912" i="1" a="1"/>
  <c r="H913" i="1" a="1"/>
  <c r="H914" i="1" a="1"/>
  <c r="H915" i="1" a="1"/>
  <c r="H916" i="1" a="1"/>
  <c r="H917" i="1" a="1"/>
  <c r="H918" i="1" a="1"/>
  <c r="H919" i="1" a="1"/>
  <c r="H920" i="1" a="1"/>
  <c r="H921" i="1" a="1"/>
  <c r="H922" i="1" a="1"/>
  <c r="H923" i="1" a="1"/>
  <c r="H924" i="1" a="1"/>
  <c r="H925" i="1" a="1"/>
  <c r="H926" i="1" a="1"/>
  <c r="H927" i="1" a="1"/>
  <c r="H928" i="1" a="1"/>
  <c r="H929" i="1" a="1"/>
  <c r="H930" i="1" a="1"/>
  <c r="H931" i="1" a="1"/>
  <c r="H932" i="1" a="1"/>
  <c r="H933" i="1" a="1"/>
  <c r="H934" i="1" a="1"/>
  <c r="H935" i="1" a="1"/>
  <c r="H936" i="1" a="1"/>
  <c r="H937" i="1" a="1"/>
  <c r="H938" i="1" a="1"/>
  <c r="H939" i="1" a="1"/>
  <c r="H940" i="1" a="1"/>
  <c r="H941" i="1" a="1"/>
  <c r="H942" i="1" a="1"/>
  <c r="H943" i="1" a="1"/>
  <c r="H944" i="1" a="1"/>
  <c r="H945" i="1" a="1"/>
  <c r="H946" i="1" a="1"/>
  <c r="H947" i="1" a="1"/>
  <c r="H948" i="1" a="1"/>
  <c r="H949" i="1" a="1"/>
  <c r="H950" i="1" a="1"/>
  <c r="H951" i="1" a="1"/>
  <c r="H952" i="1" a="1"/>
  <c r="H953" i="1" a="1"/>
  <c r="H954" i="1" a="1"/>
  <c r="H955" i="1" a="1"/>
  <c r="H956" i="1" a="1"/>
  <c r="H957" i="1" a="1"/>
  <c r="H958" i="1" a="1"/>
  <c r="H959" i="1" a="1"/>
  <c r="H960" i="1" a="1"/>
  <c r="H961" i="1" a="1"/>
  <c r="H962" i="1" a="1"/>
  <c r="H963" i="1" a="1"/>
  <c r="H964" i="1" a="1"/>
  <c r="H965" i="1" a="1"/>
  <c r="H966" i="1" a="1"/>
  <c r="H967" i="1" a="1"/>
  <c r="H968" i="1" a="1"/>
  <c r="H969" i="1" a="1"/>
  <c r="H970" i="1" a="1"/>
  <c r="H971" i="1" a="1"/>
  <c r="H972" i="1" a="1"/>
  <c r="H973" i="1" a="1"/>
  <c r="H974" i="1" a="1"/>
  <c r="H975" i="1" a="1"/>
  <c r="H976" i="1" a="1"/>
  <c r="H977" i="1" a="1"/>
  <c r="H978" i="1" a="1"/>
  <c r="H979" i="1" a="1"/>
  <c r="H980" i="1" a="1"/>
  <c r="H981" i="1" a="1"/>
  <c r="H982" i="1" a="1"/>
  <c r="H983" i="1" a="1"/>
  <c r="H984" i="1" a="1"/>
  <c r="H985" i="1" a="1"/>
  <c r="H986" i="1" a="1"/>
  <c r="H987" i="1" a="1"/>
  <c r="H988" i="1" a="1"/>
  <c r="H989" i="1" a="1"/>
  <c r="H990" i="1" a="1"/>
  <c r="H991" i="1" a="1"/>
  <c r="H992" i="1" a="1"/>
  <c r="H993" i="1" a="1"/>
  <c r="H994" i="1" a="1"/>
  <c r="H995" i="1" a="1"/>
  <c r="H996" i="1" a="1"/>
  <c r="H997" i="1" a="1"/>
  <c r="H998" i="1" a="1"/>
  <c r="H999" i="1" a="1"/>
  <c r="H1000" i="1" a="1"/>
  <c r="H1001" i="1" a="1"/>
  <c r="H1002" i="1" a="1"/>
  <c r="H1003" i="1" a="1"/>
  <c r="H1004" i="1" a="1"/>
  <c r="H1005" i="1" a="1"/>
  <c r="H1006" i="1" a="1"/>
  <c r="H1007" i="1" a="1"/>
  <c r="H1008" i="1" a="1"/>
  <c r="H1009" i="1" a="1"/>
  <c r="H1010" i="1" a="1"/>
  <c r="H1011" i="1" a="1"/>
  <c r="H1012" i="1" a="1"/>
  <c r="H1013" i="1" a="1"/>
  <c r="H1014" i="1" a="1"/>
  <c r="H1015" i="1" a="1"/>
  <c r="H1016" i="1" a="1"/>
  <c r="H1017" i="1" a="1"/>
  <c r="H1018" i="1" a="1"/>
  <c r="H1019" i="1" a="1"/>
  <c r="H1020" i="1" a="1"/>
  <c r="H1021" i="1" a="1"/>
  <c r="H1022" i="1" a="1"/>
  <c r="H1023" i="1" a="1"/>
  <c r="H1024" i="1" a="1"/>
  <c r="H1025" i="1" a="1"/>
  <c r="H1026" i="1" a="1"/>
  <c r="H1027" i="1" a="1"/>
  <c r="H1028" i="1" a="1"/>
  <c r="H1029" i="1" a="1"/>
  <c r="H1030" i="1" a="1"/>
  <c r="H1031" i="1" a="1"/>
  <c r="H1032" i="1" a="1"/>
  <c r="H1033" i="1" a="1"/>
  <c r="H1034" i="1" a="1"/>
  <c r="H1035" i="1" a="1"/>
  <c r="H1036" i="1" a="1"/>
  <c r="H1037" i="1" a="1"/>
  <c r="H1038" i="1" a="1"/>
  <c r="H1039" i="1" a="1"/>
  <c r="H1040" i="1" a="1"/>
  <c r="H1041" i="1" a="1"/>
  <c r="H1042" i="1" a="1"/>
  <c r="H1043" i="1" a="1"/>
  <c r="H1044" i="1" a="1"/>
  <c r="H1045" i="1" a="1"/>
  <c r="H1046" i="1" a="1"/>
  <c r="H1047" i="1" a="1"/>
  <c r="H1048" i="1" a="1"/>
  <c r="H1049" i="1" a="1"/>
  <c r="H1050" i="1" a="1"/>
  <c r="H1051" i="1" a="1"/>
  <c r="H1052" i="1" a="1"/>
  <c r="H1053" i="1" a="1"/>
  <c r="H1054" i="1" a="1"/>
  <c r="H1055" i="1" a="1"/>
  <c r="H1056" i="1" a="1"/>
  <c r="H1057" i="1" a="1"/>
  <c r="H1058" i="1" a="1"/>
  <c r="H1059" i="1" a="1"/>
  <c r="H1060" i="1" a="1"/>
  <c r="H1061" i="1" a="1"/>
  <c r="H1062" i="1" a="1"/>
  <c r="H1063" i="1" a="1"/>
  <c r="H1064" i="1" a="1"/>
  <c r="H1065" i="1" a="1"/>
  <c r="H1066" i="1" a="1"/>
  <c r="H1067" i="1" a="1"/>
  <c r="H1068" i="1" a="1"/>
  <c r="H1069" i="1" a="1"/>
  <c r="H1070" i="1" a="1"/>
  <c r="H1071" i="1" a="1"/>
  <c r="H1072" i="1" a="1"/>
  <c r="H1073" i="1" a="1"/>
  <c r="H1074" i="1" a="1"/>
  <c r="H1075" i="1" a="1"/>
  <c r="H1076" i="1" a="1"/>
  <c r="H1077" i="1" a="1"/>
  <c r="H1078" i="1" a="1"/>
  <c r="H1079" i="1" a="1"/>
  <c r="H1080" i="1" a="1"/>
  <c r="H1081" i="1" a="1"/>
  <c r="H1082" i="1" a="1"/>
  <c r="H1083" i="1" a="1"/>
  <c r="H1084" i="1" a="1"/>
  <c r="H1085" i="1" a="1"/>
  <c r="H1086" i="1" a="1"/>
  <c r="H1087" i="1" a="1"/>
  <c r="H1088" i="1" a="1"/>
  <c r="H1089" i="1" a="1"/>
  <c r="H1090" i="1" a="1"/>
  <c r="H1091" i="1" a="1"/>
  <c r="H1092" i="1" a="1"/>
  <c r="H1093" i="1" a="1"/>
  <c r="H1094" i="1" a="1"/>
  <c r="H1095" i="1" a="1"/>
  <c r="H1096" i="1" a="1"/>
  <c r="H1097" i="1" a="1"/>
  <c r="H1098" i="1" a="1"/>
  <c r="H1099" i="1" a="1"/>
  <c r="H1100" i="1" a="1"/>
  <c r="H1101" i="1" a="1"/>
  <c r="H1102" i="1" a="1"/>
  <c r="H1103" i="1" a="1"/>
  <c r="H1104" i="1" a="1"/>
  <c r="H1105" i="1" a="1"/>
  <c r="H1106" i="1" a="1"/>
  <c r="H1107" i="1" a="1"/>
  <c r="H1108" i="1" a="1"/>
  <c r="H1109" i="1" a="1"/>
  <c r="H1110" i="1" a="1"/>
  <c r="H1111" i="1" a="1"/>
  <c r="H1112" i="1" a="1"/>
  <c r="H1113" i="1" a="1"/>
  <c r="H1114" i="1" a="1"/>
  <c r="H1115" i="1" a="1"/>
  <c r="H1116" i="1" a="1"/>
  <c r="H1117" i="1" a="1"/>
  <c r="H1118" i="1" a="1"/>
  <c r="H1119" i="1" a="1"/>
  <c r="H1120" i="1" a="1"/>
  <c r="H1121" i="1" a="1"/>
  <c r="H1122" i="1" a="1"/>
  <c r="H1123" i="1" a="1"/>
  <c r="H1124" i="1" a="1"/>
  <c r="H1125" i="1" a="1"/>
  <c r="H1126" i="1" a="1"/>
  <c r="H1127" i="1" a="1"/>
  <c r="H1128" i="1" a="1"/>
  <c r="H1129" i="1" a="1"/>
  <c r="H1130" i="1" a="1"/>
  <c r="H1131" i="1" a="1"/>
  <c r="H1132" i="1" a="1"/>
  <c r="H1133" i="1" a="1"/>
  <c r="H1134" i="1" a="1"/>
  <c r="H1135" i="1" a="1"/>
  <c r="H1136" i="1" a="1"/>
  <c r="H1137" i="1" a="1"/>
  <c r="H1138" i="1" a="1"/>
  <c r="H1139" i="1" a="1"/>
  <c r="H1140" i="1" a="1"/>
  <c r="H1141" i="1" a="1"/>
  <c r="H1142" i="1" a="1"/>
  <c r="H1143" i="1" a="1"/>
  <c r="H1144" i="1" a="1"/>
  <c r="H1145" i="1" a="1"/>
  <c r="H1146" i="1" a="1"/>
  <c r="H1147" i="1" a="1"/>
  <c r="H1148" i="1" a="1"/>
  <c r="H1149" i="1" a="1"/>
  <c r="H1150" i="1" a="1"/>
  <c r="H1151" i="1" a="1"/>
  <c r="H1152" i="1" a="1"/>
  <c r="H1153" i="1" a="1"/>
  <c r="H1154" i="1" a="1"/>
  <c r="H1155" i="1" a="1"/>
  <c r="H1156" i="1" a="1"/>
  <c r="H1157" i="1" a="1"/>
  <c r="H1158" i="1" a="1"/>
  <c r="H1159" i="1" a="1"/>
  <c r="H1160" i="1" a="1"/>
  <c r="H1161" i="1" a="1"/>
  <c r="H1162" i="1" a="1"/>
  <c r="H1163" i="1" a="1"/>
  <c r="H1164" i="1" a="1"/>
  <c r="H1165" i="1" a="1"/>
  <c r="H1166" i="1" a="1"/>
  <c r="H1167" i="1" a="1"/>
  <c r="H1168" i="1" a="1"/>
  <c r="H1169" i="1" a="1"/>
  <c r="H1170" i="1" a="1"/>
  <c r="H1171" i="1" a="1"/>
  <c r="H1172" i="1" a="1"/>
  <c r="H1173" i="1" a="1"/>
  <c r="H1174" i="1" a="1"/>
  <c r="H1175" i="1" a="1"/>
  <c r="H1176" i="1" a="1"/>
  <c r="H1177" i="1" a="1"/>
  <c r="H1178" i="1" a="1"/>
  <c r="H1179" i="1" a="1"/>
  <c r="H1180" i="1" a="1"/>
  <c r="H1181" i="1" a="1"/>
  <c r="H1182" i="1" a="1"/>
  <c r="H1183" i="1" a="1"/>
  <c r="H1184" i="1" a="1"/>
  <c r="H1185" i="1" a="1"/>
  <c r="H1186" i="1" a="1"/>
  <c r="H1187" i="1" a="1"/>
  <c r="H1188" i="1" a="1"/>
  <c r="H1189" i="1" a="1"/>
  <c r="H1190" i="1" a="1"/>
  <c r="H1191" i="1" a="1"/>
  <c r="H1192" i="1" a="1"/>
  <c r="H1193" i="1" a="1"/>
  <c r="H1194" i="1" a="1"/>
  <c r="H1195" i="1" a="1"/>
  <c r="H1196" i="1" a="1"/>
  <c r="H1197" i="1" a="1"/>
  <c r="H1198" i="1" a="1"/>
  <c r="H1199" i="1" a="1"/>
  <c r="H1200" i="1" a="1"/>
  <c r="H1201" i="1" a="1"/>
  <c r="H1202" i="1" a="1"/>
  <c r="H1203" i="1" a="1"/>
  <c r="H1204" i="1" a="1"/>
  <c r="H1205" i="1" a="1"/>
  <c r="H1206" i="1" a="1"/>
  <c r="H1207" i="1" a="1"/>
  <c r="H1208" i="1" a="1"/>
  <c r="H1209" i="1" a="1"/>
  <c r="H1210" i="1" a="1"/>
  <c r="H1211" i="1" a="1"/>
  <c r="H1212" i="1" a="1"/>
  <c r="H1213" i="1" a="1"/>
  <c r="H1214" i="1" a="1"/>
  <c r="H1215" i="1" a="1"/>
  <c r="H1216" i="1" a="1"/>
  <c r="H1217" i="1" a="1"/>
  <c r="H1218" i="1" a="1"/>
  <c r="H1219" i="1" a="1"/>
  <c r="H1220" i="1" a="1"/>
  <c r="H1221" i="1" a="1"/>
  <c r="H1222" i="1" a="1"/>
  <c r="H1223" i="1" a="1"/>
  <c r="H1224" i="1" a="1"/>
  <c r="H1225" i="1" a="1"/>
  <c r="H1226" i="1" a="1"/>
  <c r="H1227" i="1" a="1"/>
  <c r="H1228" i="1" a="1"/>
  <c r="H1229" i="1" a="1"/>
  <c r="H1230" i="1" a="1"/>
  <c r="H1231" i="1" a="1"/>
  <c r="H1232" i="1" a="1"/>
  <c r="H1233" i="1" a="1"/>
  <c r="H1234" i="1" a="1"/>
  <c r="H1235" i="1" a="1"/>
  <c r="H1236" i="1" a="1"/>
  <c r="H1237" i="1" a="1"/>
  <c r="H1238" i="1" a="1"/>
  <c r="H1239" i="1" a="1"/>
  <c r="H1240" i="1" a="1"/>
  <c r="H1241" i="1" a="1"/>
  <c r="H1242" i="1" a="1"/>
  <c r="H1243" i="1" a="1"/>
  <c r="H1244" i="1" a="1"/>
  <c r="H1245" i="1" a="1"/>
  <c r="H1246" i="1" a="1"/>
  <c r="H1247" i="1" a="1"/>
  <c r="H1248" i="1" a="1"/>
  <c r="H1249" i="1" a="1"/>
  <c r="H1250" i="1" a="1"/>
  <c r="H1251" i="1" a="1"/>
  <c r="H1252" i="1" a="1"/>
  <c r="H1253" i="1" a="1"/>
  <c r="H1254" i="1" a="1"/>
  <c r="H1255" i="1" a="1"/>
  <c r="H1256" i="1" a="1"/>
  <c r="H1257" i="1" a="1"/>
  <c r="H1258" i="1" a="1"/>
  <c r="H1259" i="1" a="1"/>
  <c r="H1260" i="1" a="1"/>
  <c r="H1261" i="1" a="1"/>
  <c r="H1262" i="1" a="1"/>
  <c r="H1263" i="1" a="1"/>
  <c r="H1264" i="1" a="1"/>
  <c r="H1265" i="1" a="1"/>
  <c r="H1266" i="1" a="1"/>
  <c r="H1267" i="1" a="1"/>
  <c r="H1268" i="1" a="1"/>
  <c r="H1269" i="1" a="1"/>
  <c r="H1270" i="1" a="1"/>
  <c r="H1271" i="1" a="1"/>
  <c r="H1272" i="1" a="1"/>
  <c r="H1273" i="1" a="1"/>
  <c r="H1274" i="1" a="1"/>
  <c r="H1275" i="1" a="1"/>
  <c r="H1276" i="1" a="1"/>
  <c r="H1277" i="1" a="1"/>
  <c r="H1278" i="1" a="1"/>
  <c r="H1279" i="1" a="1"/>
  <c r="H1280" i="1" a="1"/>
  <c r="H1281" i="1" a="1"/>
  <c r="H1282" i="1" a="1"/>
  <c r="H1283" i="1" a="1"/>
  <c r="H1284" i="1" a="1"/>
  <c r="H1285" i="1" a="1"/>
  <c r="H1286" i="1" a="1"/>
  <c r="H1287" i="1" a="1"/>
  <c r="H1288" i="1" a="1"/>
  <c r="H1289" i="1" a="1"/>
  <c r="H1290" i="1" a="1"/>
  <c r="H1291" i="1" a="1"/>
  <c r="H1292" i="1" a="1"/>
  <c r="H1293" i="1" a="1"/>
  <c r="H1294" i="1" a="1"/>
  <c r="H1295" i="1" a="1"/>
  <c r="H1296" i="1" a="1"/>
  <c r="H1297" i="1" a="1"/>
  <c r="H1298" i="1" a="1"/>
  <c r="H1299" i="1" a="1"/>
  <c r="H1300" i="1" a="1"/>
  <c r="H1301" i="1" a="1"/>
  <c r="H1302" i="1" a="1"/>
  <c r="H1303" i="1" a="1"/>
  <c r="H1304" i="1" a="1"/>
  <c r="H1305" i="1" a="1"/>
  <c r="H1306" i="1" a="1"/>
  <c r="H1307" i="1" a="1"/>
  <c r="H1308" i="1" a="1"/>
  <c r="H1309" i="1" a="1"/>
  <c r="H1310" i="1" a="1"/>
  <c r="H1311" i="1" a="1"/>
  <c r="H1312" i="1" a="1"/>
  <c r="H1313" i="1" a="1"/>
  <c r="H1314" i="1" a="1"/>
  <c r="H1315" i="1" a="1"/>
  <c r="H1316" i="1" a="1"/>
  <c r="H1317" i="1" a="1"/>
  <c r="H1318" i="1" a="1"/>
  <c r="H1319" i="1" a="1"/>
  <c r="H1320" i="1" a="1"/>
  <c r="H1321" i="1" a="1"/>
  <c r="H1322" i="1" a="1"/>
  <c r="H1323" i="1" a="1"/>
  <c r="H1324" i="1" a="1"/>
  <c r="H1325" i="1" a="1"/>
  <c r="H1326" i="1" a="1"/>
  <c r="H1327" i="1" a="1"/>
  <c r="H1328" i="1" a="1"/>
  <c r="H1329" i="1" a="1"/>
  <c r="H1330" i="1" a="1"/>
  <c r="H1331" i="1" a="1"/>
  <c r="H1332" i="1" a="1"/>
  <c r="H1333" i="1" a="1"/>
  <c r="H1334" i="1" a="1"/>
  <c r="H1335" i="1" a="1"/>
  <c r="H1336" i="1" a="1"/>
  <c r="H1337" i="1" a="1"/>
  <c r="H1338" i="1" a="1"/>
  <c r="H1339" i="1" a="1"/>
  <c r="H1340" i="1" a="1"/>
  <c r="H1341" i="1" a="1"/>
  <c r="H1342" i="1" a="1"/>
  <c r="H1343" i="1" a="1"/>
  <c r="H1344" i="1" a="1"/>
  <c r="H1345" i="1" a="1"/>
  <c r="H1346" i="1" a="1"/>
  <c r="H1347" i="1" a="1"/>
  <c r="H1348" i="1" a="1"/>
  <c r="H1349" i="1" a="1"/>
  <c r="H1350" i="1" a="1"/>
  <c r="H1351" i="1" a="1"/>
  <c r="H1352" i="1" a="1"/>
  <c r="H1353" i="1" a="1"/>
  <c r="H1354" i="1" a="1"/>
  <c r="H1355" i="1" a="1"/>
  <c r="H1356" i="1" a="1"/>
  <c r="H1357" i="1" a="1"/>
  <c r="H1358" i="1" a="1"/>
  <c r="H1359" i="1" a="1"/>
  <c r="H1360" i="1" a="1"/>
  <c r="H1361" i="1" a="1"/>
  <c r="H1362" i="1" a="1"/>
  <c r="H1363" i="1" a="1"/>
  <c r="H1364" i="1" a="1"/>
  <c r="H1365" i="1" a="1"/>
  <c r="H1366" i="1" a="1"/>
  <c r="H1367" i="1" a="1"/>
  <c r="H1368" i="1" a="1"/>
  <c r="H1369" i="1" a="1"/>
  <c r="H1370" i="1" a="1"/>
  <c r="H1371" i="1" a="1"/>
  <c r="H1372" i="1" a="1"/>
  <c r="H1373" i="1" a="1"/>
  <c r="H1374" i="1" a="1"/>
  <c r="H1375" i="1" a="1"/>
  <c r="H1376" i="1" a="1"/>
  <c r="H1377" i="1" a="1"/>
  <c r="H1378" i="1" a="1"/>
  <c r="H1379" i="1" a="1"/>
  <c r="H1380" i="1" a="1"/>
  <c r="H1381" i="1" a="1"/>
  <c r="H1382" i="1" a="1"/>
  <c r="H1383" i="1" a="1"/>
  <c r="H1384" i="1" a="1"/>
  <c r="H1385" i="1" a="1"/>
  <c r="H1386" i="1" a="1"/>
  <c r="H1387" i="1" a="1"/>
  <c r="H1388" i="1" a="1"/>
  <c r="H1389" i="1" a="1"/>
  <c r="H1390" i="1" a="1"/>
  <c r="H1391" i="1" a="1"/>
  <c r="H1392" i="1" a="1"/>
  <c r="H1393" i="1" a="1"/>
  <c r="H1394" i="1" a="1"/>
  <c r="H1395" i="1" a="1"/>
  <c r="H1396" i="1" a="1"/>
  <c r="H1397" i="1" a="1"/>
  <c r="H1398" i="1" a="1"/>
  <c r="H1399" i="1" a="1"/>
  <c r="H1400" i="1" a="1"/>
  <c r="H1401" i="1" a="1"/>
  <c r="H1402" i="1" a="1"/>
  <c r="H1403" i="1" a="1"/>
  <c r="H1404" i="1" a="1"/>
  <c r="H1405" i="1" a="1"/>
  <c r="H1406" i="1" a="1"/>
  <c r="H1407" i="1" a="1"/>
  <c r="H1408" i="1" a="1"/>
  <c r="H1409" i="1" a="1"/>
  <c r="H1410" i="1" a="1"/>
  <c r="H1411" i="1" a="1"/>
  <c r="H1412" i="1" a="1"/>
  <c r="H1413" i="1" a="1"/>
  <c r="H1414" i="1" a="1"/>
  <c r="H1415" i="1" a="1"/>
  <c r="H1416" i="1" a="1"/>
  <c r="H1417" i="1" a="1"/>
  <c r="H1418" i="1" a="1"/>
  <c r="H1419" i="1" a="1"/>
  <c r="H1420" i="1" a="1"/>
  <c r="H1421" i="1" a="1"/>
  <c r="H1422" i="1" a="1"/>
  <c r="H1423" i="1" a="1"/>
  <c r="H1424" i="1" a="1"/>
  <c r="H1425" i="1" a="1"/>
  <c r="H1426" i="1" a="1"/>
  <c r="H1427" i="1" a="1"/>
  <c r="H1428" i="1" a="1"/>
  <c r="H1429" i="1" a="1"/>
  <c r="H1430" i="1" a="1"/>
  <c r="H1431" i="1" a="1"/>
  <c r="H1432" i="1" a="1"/>
  <c r="H1433" i="1" a="1"/>
  <c r="H1434" i="1" a="1"/>
  <c r="H1435" i="1" a="1"/>
  <c r="H1436" i="1" a="1"/>
  <c r="H1437" i="1" a="1"/>
  <c r="H1438" i="1" a="1"/>
  <c r="H1439" i="1" a="1"/>
  <c r="H1440" i="1" a="1"/>
  <c r="H1441" i="1" a="1"/>
  <c r="H1442" i="1" a="1"/>
  <c r="H1443" i="1" a="1"/>
  <c r="H1444" i="1" a="1"/>
  <c r="H1445" i="1" a="1"/>
  <c r="H1446" i="1" a="1"/>
  <c r="H1447" i="1" a="1"/>
  <c r="H1448" i="1" a="1"/>
  <c r="H1449" i="1" a="1"/>
  <c r="H1450" i="1" a="1"/>
  <c r="H1451" i="1" a="1"/>
  <c r="H1452" i="1" a="1"/>
  <c r="H1453" i="1" a="1"/>
  <c r="H1454" i="1" a="1"/>
  <c r="H1455" i="1" a="1"/>
  <c r="H1456" i="1" a="1"/>
  <c r="H1457" i="1" a="1"/>
  <c r="H1458" i="1" a="1"/>
  <c r="H1459" i="1" a="1"/>
  <c r="H1460" i="1" a="1"/>
  <c r="H1461" i="1" a="1"/>
  <c r="H1462" i="1" a="1"/>
  <c r="H1463" i="1" a="1"/>
  <c r="H1464" i="1" a="1"/>
  <c r="H1465" i="1" a="1"/>
  <c r="H1466" i="1" a="1"/>
  <c r="H1467" i="1" a="1"/>
  <c r="H1468" i="1" a="1"/>
  <c r="H1469" i="1" a="1"/>
  <c r="H1470" i="1" a="1"/>
  <c r="H1471" i="1" a="1"/>
  <c r="H1472" i="1" a="1"/>
  <c r="H1473" i="1" a="1"/>
  <c r="H1474" i="1" a="1"/>
  <c r="H1475" i="1" a="1"/>
  <c r="H1476" i="1" a="1"/>
  <c r="H1477" i="1" a="1"/>
  <c r="H1478" i="1" a="1"/>
  <c r="H1479" i="1" a="1"/>
  <c r="H1480" i="1" a="1"/>
  <c r="H1481" i="1" a="1"/>
  <c r="H1482" i="1" a="1"/>
  <c r="H1483" i="1" a="1"/>
  <c r="H1484" i="1" a="1"/>
  <c r="H1485" i="1" a="1"/>
  <c r="H1486" i="1" a="1"/>
  <c r="H1487" i="1" a="1"/>
  <c r="H1488" i="1" a="1"/>
  <c r="H1489" i="1" a="1"/>
  <c r="H1490" i="1" a="1"/>
  <c r="H1491" i="1" a="1"/>
  <c r="H1492" i="1" a="1"/>
  <c r="H1493" i="1" a="1"/>
  <c r="H1494" i="1" a="1"/>
  <c r="H1495" i="1" a="1"/>
  <c r="H1496" i="1" a="1"/>
  <c r="H1497" i="1" a="1"/>
  <c r="H1498" i="1" a="1"/>
  <c r="H1499" i="1" a="1"/>
  <c r="H1500" i="1" a="1"/>
  <c r="H1501" i="1" a="1"/>
  <c r="H1502" i="1" a="1"/>
  <c r="H1503" i="1" a="1"/>
  <c r="H1504" i="1" a="1"/>
  <c r="H1505" i="1" a="1"/>
  <c r="H1506" i="1" a="1"/>
  <c r="H1507" i="1" a="1"/>
  <c r="H1508" i="1" a="1"/>
  <c r="H1509" i="1" a="1"/>
  <c r="H1510" i="1" a="1"/>
  <c r="H1511" i="1" a="1"/>
  <c r="H1512" i="1" a="1"/>
  <c r="H1513" i="1" a="1"/>
  <c r="H1514" i="1" a="1"/>
  <c r="H1515" i="1" a="1"/>
  <c r="H1516" i="1" a="1"/>
  <c r="H1517" i="1" a="1"/>
  <c r="H1518" i="1" a="1"/>
  <c r="H1519" i="1" a="1"/>
  <c r="H1520" i="1" a="1"/>
  <c r="H1521" i="1" a="1"/>
  <c r="H1522" i="1" a="1"/>
  <c r="H1523" i="1" a="1"/>
  <c r="H1524" i="1" a="1"/>
  <c r="H1525" i="1" a="1"/>
  <c r="H1526" i="1" a="1"/>
  <c r="H1527" i="1" a="1"/>
  <c r="H1528" i="1" a="1"/>
  <c r="H1529" i="1" a="1"/>
  <c r="H1530" i="1" a="1"/>
  <c r="H1531" i="1" a="1"/>
  <c r="H1532" i="1" a="1"/>
  <c r="H1533" i="1" a="1"/>
  <c r="H1534" i="1" a="1"/>
  <c r="H1535" i="1" a="1"/>
  <c r="H1536" i="1" a="1"/>
  <c r="H1537" i="1" a="1"/>
  <c r="H1538" i="1" a="1"/>
  <c r="H1539" i="1" a="1"/>
  <c r="H1540" i="1" a="1"/>
  <c r="H1541" i="1" a="1"/>
  <c r="H1542" i="1" a="1"/>
  <c r="H1543" i="1" a="1"/>
  <c r="H1544" i="1" a="1"/>
  <c r="H1545" i="1" a="1"/>
  <c r="H1546" i="1" a="1"/>
  <c r="H1547" i="1" a="1"/>
  <c r="H1548" i="1" a="1"/>
  <c r="H1549" i="1" a="1"/>
  <c r="H1550" i="1" a="1"/>
  <c r="H1551" i="1" a="1"/>
  <c r="H1552" i="1" a="1"/>
  <c r="H1553" i="1" a="1"/>
  <c r="H1554" i="1" a="1"/>
  <c r="H1555" i="1" a="1"/>
  <c r="H1556" i="1" a="1"/>
  <c r="H1557" i="1" a="1"/>
  <c r="H1558" i="1" a="1"/>
  <c r="H1559" i="1" a="1"/>
  <c r="H1560" i="1" a="1"/>
  <c r="H1561" i="1" a="1"/>
  <c r="H1562" i="1" a="1"/>
  <c r="H1563" i="1" a="1"/>
  <c r="H1564" i="1" a="1"/>
  <c r="H1565" i="1" a="1"/>
  <c r="H1566" i="1" a="1"/>
  <c r="H1567" i="1" a="1"/>
  <c r="H1568" i="1" a="1"/>
  <c r="H1569" i="1" a="1"/>
  <c r="H1570" i="1" a="1"/>
  <c r="H1571" i="1" a="1"/>
  <c r="H1572" i="1" a="1"/>
  <c r="H1573" i="1" a="1"/>
  <c r="H1574" i="1" a="1"/>
  <c r="H1575" i="1" a="1"/>
  <c r="H1576" i="1" a="1"/>
  <c r="H1577" i="1" a="1"/>
  <c r="H1578" i="1" a="1"/>
  <c r="H1579" i="1" a="1"/>
  <c r="H1580" i="1" a="1"/>
  <c r="H1581" i="1" a="1"/>
  <c r="H1582" i="1" a="1"/>
  <c r="H1583" i="1" a="1"/>
  <c r="H1584" i="1" a="1"/>
  <c r="H1585" i="1" a="1"/>
  <c r="H1586" i="1" a="1"/>
  <c r="H1587" i="1" a="1"/>
  <c r="H1588" i="1" a="1"/>
  <c r="H1589" i="1" a="1"/>
  <c r="H1590" i="1" a="1"/>
  <c r="H1591" i="1" a="1"/>
  <c r="H1592" i="1" a="1"/>
  <c r="H1593" i="1" a="1"/>
  <c r="H1594" i="1" a="1"/>
  <c r="H1595" i="1" a="1"/>
  <c r="H1596" i="1" a="1"/>
  <c r="H1597" i="1" a="1"/>
  <c r="H1598" i="1" a="1"/>
  <c r="H1599" i="1" a="1"/>
  <c r="H1600" i="1" a="1"/>
  <c r="H1601" i="1" a="1"/>
  <c r="H1602" i="1" a="1"/>
  <c r="H1603" i="1" a="1"/>
  <c r="H1604" i="1" a="1"/>
  <c r="H1605" i="1" a="1"/>
  <c r="H1606" i="1" a="1"/>
  <c r="H1607" i="1" a="1"/>
  <c r="H1608" i="1" a="1"/>
  <c r="H1609" i="1" a="1"/>
  <c r="H1610" i="1" a="1"/>
  <c r="H1611" i="1" a="1"/>
  <c r="H1612" i="1" a="1"/>
  <c r="H1613" i="1" a="1"/>
  <c r="H1614" i="1" a="1"/>
  <c r="H1615" i="1" a="1"/>
  <c r="H1616" i="1" a="1"/>
  <c r="H1617" i="1" a="1"/>
  <c r="H1618" i="1" a="1"/>
  <c r="H1619" i="1" a="1"/>
  <c r="H1620" i="1" a="1"/>
  <c r="H1621" i="1" a="1"/>
  <c r="H1622" i="1" a="1"/>
  <c r="H1623" i="1" a="1"/>
  <c r="H1624" i="1" a="1"/>
  <c r="H1625" i="1" a="1"/>
  <c r="H1626" i="1" a="1"/>
  <c r="H1627" i="1" a="1"/>
  <c r="H1628" i="1" a="1"/>
  <c r="H1629" i="1" a="1"/>
  <c r="H1630" i="1" a="1"/>
  <c r="H1631" i="1" a="1"/>
  <c r="H1632" i="1" a="1"/>
  <c r="H1633" i="1" a="1"/>
  <c r="H1634" i="1" a="1"/>
  <c r="H1635" i="1" a="1"/>
  <c r="H1636" i="1" a="1"/>
  <c r="H1637" i="1" a="1"/>
  <c r="H1638" i="1" a="1"/>
  <c r="H1639" i="1" a="1"/>
  <c r="H1640" i="1" a="1"/>
  <c r="H1641" i="1" a="1"/>
  <c r="H1642" i="1" a="1"/>
  <c r="H1643" i="1" a="1"/>
  <c r="H1644" i="1" a="1"/>
  <c r="H1645" i="1" a="1"/>
  <c r="H1646" i="1" a="1"/>
  <c r="H1647" i="1" a="1"/>
  <c r="H1648" i="1" a="1"/>
  <c r="H1649" i="1" a="1"/>
  <c r="H1650" i="1" a="1"/>
  <c r="H1651" i="1" a="1"/>
  <c r="H1652" i="1" a="1"/>
  <c r="H1653" i="1" a="1"/>
  <c r="H1654" i="1" a="1"/>
  <c r="H1655" i="1" a="1"/>
  <c r="H1656" i="1" a="1"/>
  <c r="H1657" i="1" a="1"/>
  <c r="H1658" i="1" a="1"/>
  <c r="H1659" i="1" a="1"/>
  <c r="H1660" i="1" a="1"/>
  <c r="H1661" i="1" a="1"/>
  <c r="H1662" i="1" a="1"/>
  <c r="H1663" i="1" a="1"/>
  <c r="H1664" i="1" a="1"/>
  <c r="H1665" i="1" a="1"/>
  <c r="H1666" i="1" a="1"/>
  <c r="H1667" i="1" a="1"/>
  <c r="H1668" i="1" a="1"/>
  <c r="H1669" i="1" a="1"/>
  <c r="H1670" i="1" a="1"/>
  <c r="H1671" i="1" a="1"/>
  <c r="H1672" i="1" a="1"/>
  <c r="H1673" i="1" a="1"/>
  <c r="H1674" i="1" a="1"/>
  <c r="H1675" i="1" a="1"/>
  <c r="H1676" i="1" a="1"/>
  <c r="H1677" i="1" a="1"/>
  <c r="H1678" i="1" a="1"/>
  <c r="H1679" i="1" a="1"/>
  <c r="H1680" i="1" a="1"/>
  <c r="H1681" i="1" a="1"/>
  <c r="H1682" i="1" a="1"/>
  <c r="H1683" i="1" a="1"/>
  <c r="H1684" i="1" a="1"/>
  <c r="H1685" i="1" a="1"/>
  <c r="H1686" i="1" a="1"/>
  <c r="H1687" i="1" a="1"/>
  <c r="H1688" i="1" a="1"/>
  <c r="H1689" i="1" a="1"/>
  <c r="H1690" i="1" a="1"/>
  <c r="H1691" i="1" a="1"/>
  <c r="H1692" i="1" a="1"/>
  <c r="H1693" i="1" a="1"/>
  <c r="H1694" i="1" a="1"/>
  <c r="H1695" i="1" a="1"/>
  <c r="H1696" i="1" a="1"/>
  <c r="H1697" i="1" a="1"/>
  <c r="H1698" i="1" a="1"/>
  <c r="H1699" i="1" a="1"/>
  <c r="H1700" i="1" a="1"/>
  <c r="H1701" i="1" a="1"/>
  <c r="H1702" i="1" a="1"/>
  <c r="H1703" i="1" a="1"/>
  <c r="H1704" i="1" a="1"/>
  <c r="H1705" i="1" a="1"/>
  <c r="H1706" i="1" a="1"/>
  <c r="H1707" i="1" a="1"/>
  <c r="H1708" i="1" a="1"/>
  <c r="H1709" i="1" a="1"/>
  <c r="H1710" i="1" a="1"/>
  <c r="H1711" i="1" a="1"/>
  <c r="H1712" i="1" a="1"/>
  <c r="H1713" i="1" a="1"/>
  <c r="H1714" i="1" a="1"/>
  <c r="H1715" i="1" a="1"/>
  <c r="H1716" i="1" a="1"/>
  <c r="H1717" i="1" a="1"/>
  <c r="H1718" i="1" a="1"/>
  <c r="H1719" i="1" a="1"/>
  <c r="H1720" i="1" a="1"/>
  <c r="H1721" i="1" a="1"/>
  <c r="H1722" i="1" a="1"/>
  <c r="H1723" i="1" a="1"/>
  <c r="H1724" i="1" a="1"/>
  <c r="H1725" i="1" a="1"/>
  <c r="H1726" i="1" a="1"/>
  <c r="H1727" i="1" a="1"/>
  <c r="H1728" i="1" a="1"/>
  <c r="H1729" i="1" a="1"/>
  <c r="H1730" i="1" a="1"/>
  <c r="H1731" i="1" a="1"/>
  <c r="H1732" i="1" a="1"/>
  <c r="H1733" i="1" a="1"/>
  <c r="H1734" i="1" a="1"/>
  <c r="H1735" i="1" a="1"/>
  <c r="H1736" i="1" a="1"/>
  <c r="H1737" i="1" a="1"/>
  <c r="H1738" i="1" a="1"/>
  <c r="H1739" i="1" a="1"/>
  <c r="H1740" i="1" a="1"/>
  <c r="H1741" i="1" a="1"/>
  <c r="H1742" i="1" a="1"/>
  <c r="H1743" i="1" a="1"/>
  <c r="H1744" i="1" a="1"/>
  <c r="H1745" i="1" a="1"/>
  <c r="H1746" i="1" a="1"/>
  <c r="H1747" i="1" a="1"/>
  <c r="H1748" i="1" a="1"/>
  <c r="H1750" i="1" a="1"/>
  <c r="H1751" i="1" a="1"/>
  <c r="H1752" i="1" a="1"/>
  <c r="H1753" i="1" a="1"/>
  <c r="H1754" i="1" a="1"/>
  <c r="H1755" i="1" a="1"/>
  <c r="H1756" i="1" a="1"/>
  <c r="H1757" i="1" a="1"/>
  <c r="H1758" i="1" a="1"/>
  <c r="H1759" i="1" a="1"/>
  <c r="H1760" i="1" a="1"/>
  <c r="H1761" i="1" a="1"/>
  <c r="H1762" i="1" a="1"/>
  <c r="H1763" i="1" a="1"/>
  <c r="H1764" i="1" a="1"/>
  <c r="H1765" i="1" a="1"/>
  <c r="H1766" i="1" a="1"/>
  <c r="H1767" i="1" a="1"/>
  <c r="H1768" i="1" a="1"/>
  <c r="H1769" i="1" a="1"/>
  <c r="H1770" i="1" a="1"/>
  <c r="H1771" i="1" a="1"/>
  <c r="H1772" i="1" a="1"/>
  <c r="H1773" i="1" a="1"/>
  <c r="H1774" i="1" a="1"/>
  <c r="H1775" i="1" a="1"/>
  <c r="H1776" i="1" a="1"/>
  <c r="H1777" i="1" a="1"/>
  <c r="H1778" i="1" a="1"/>
  <c r="H1779" i="1" a="1"/>
  <c r="H1780" i="1" a="1"/>
  <c r="H1781" i="1" a="1"/>
  <c r="H1782" i="1" a="1"/>
  <c r="H1783" i="1" a="1"/>
  <c r="H1784" i="1" a="1"/>
  <c r="H1785" i="1" a="1"/>
  <c r="H1786" i="1" a="1"/>
  <c r="H1787" i="1" a="1"/>
  <c r="H1788" i="1" a="1"/>
  <c r="H1789" i="1" a="1"/>
  <c r="H1790" i="1" a="1"/>
  <c r="H1791" i="1" a="1"/>
  <c r="H1792" i="1" a="1"/>
  <c r="H1793" i="1" a="1"/>
  <c r="H1794" i="1" a="1"/>
  <c r="H1795" i="1" a="1"/>
  <c r="H1796" i="1" a="1"/>
  <c r="H1797" i="1" a="1"/>
  <c r="H1798" i="1" a="1"/>
  <c r="H1799" i="1" a="1"/>
  <c r="H1800" i="1" a="1"/>
  <c r="H1801" i="1" a="1"/>
  <c r="H1802" i="1" a="1"/>
  <c r="H1803" i="1" a="1"/>
  <c r="H1804" i="1" a="1"/>
  <c r="H1805" i="1" a="1"/>
  <c r="H1806" i="1" a="1"/>
  <c r="H1807" i="1" a="1"/>
  <c r="H1808" i="1" a="1"/>
  <c r="H1809" i="1" a="1"/>
  <c r="H1810" i="1" a="1"/>
  <c r="H1811" i="1" a="1"/>
  <c r="H1812" i="1" a="1"/>
  <c r="H1813" i="1" a="1"/>
  <c r="H1814" i="1" a="1"/>
  <c r="H1815" i="1" a="1"/>
  <c r="H1816" i="1" a="1"/>
  <c r="H1817" i="1" a="1"/>
  <c r="H1818" i="1" a="1"/>
  <c r="H1819" i="1" a="1"/>
  <c r="H1820" i="1" a="1"/>
  <c r="H1821" i="1" a="1"/>
  <c r="H1822" i="1" a="1"/>
  <c r="H1823" i="1" a="1"/>
  <c r="H1824" i="1" a="1"/>
  <c r="H1825" i="1" a="1"/>
  <c r="H1826" i="1" a="1"/>
  <c r="H1827" i="1" a="1"/>
  <c r="H1828" i="1" a="1"/>
  <c r="H1829" i="1" a="1"/>
  <c r="H1830" i="1" a="1"/>
  <c r="H1831" i="1" a="1"/>
  <c r="H1832" i="1" a="1"/>
  <c r="H1833" i="1" a="1"/>
  <c r="H1834" i="1" a="1"/>
  <c r="H1835" i="1" a="1"/>
  <c r="H1836" i="1" a="1"/>
  <c r="H1837" i="1" a="1"/>
  <c r="H1838" i="1" a="1"/>
  <c r="H1839" i="1" a="1"/>
  <c r="H1840" i="1" a="1"/>
  <c r="H1841" i="1" a="1"/>
  <c r="H1842" i="1" a="1"/>
  <c r="H1843" i="1" a="1"/>
  <c r="H1844" i="1" a="1"/>
  <c r="AO1741" i="1"/>
  <c r="AM1741" i="1"/>
  <c r="AO1742" i="1"/>
  <c r="AM1742" i="1"/>
  <c r="AR1822" i="1"/>
  <c r="AN1822" i="1"/>
  <c r="AS1822" i="1"/>
  <c r="AR1815" i="1"/>
  <c r="AN1815" i="1"/>
  <c r="AS1815" i="1"/>
  <c r="S1691" i="1"/>
  <c r="A14" i="3"/>
  <c r="A86" i="3"/>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6" i="1"/>
  <c r="S1507" i="1"/>
  <c r="S1508" i="1"/>
  <c r="S1509" i="1"/>
  <c r="S1510" i="1"/>
  <c r="S1511" i="1"/>
  <c r="S1513" i="1"/>
  <c r="S1514" i="1"/>
  <c r="S1515" i="1"/>
  <c r="S1516" i="1"/>
  <c r="S1517" i="1"/>
  <c r="S1518" i="1"/>
  <c r="S1519" i="1"/>
  <c r="S1520" i="1"/>
  <c r="S1521" i="1"/>
  <c r="S1523" i="1"/>
  <c r="S1524" i="1"/>
  <c r="S1525" i="1"/>
  <c r="S1526" i="1"/>
  <c r="S1527" i="1"/>
  <c r="S1528" i="1"/>
  <c r="S1529" i="1"/>
  <c r="S1530" i="1"/>
  <c r="S1532" i="1"/>
  <c r="S1533" i="1"/>
  <c r="S1534" i="1"/>
  <c r="S1535" i="1"/>
  <c r="S1536" i="1"/>
  <c r="S1537" i="1"/>
  <c r="S1538" i="1"/>
  <c r="S1539" i="1"/>
  <c r="S1540" i="1"/>
  <c r="S1541" i="1"/>
  <c r="S1542" i="1"/>
  <c r="S1544" i="1"/>
  <c r="S1545" i="1"/>
  <c r="S1546" i="1"/>
  <c r="S1548" i="1"/>
  <c r="S1549" i="1"/>
  <c r="S1550" i="1"/>
  <c r="S1552" i="1"/>
  <c r="S1553" i="1"/>
  <c r="AT12" i="12" l="1"/>
  <c r="AS12" i="12"/>
  <c r="AO12" i="12"/>
  <c r="AP12" i="12"/>
  <c r="AQ12" i="12"/>
  <c r="AR12" i="12"/>
  <c r="AQ1696" i="1"/>
  <c r="R1696" i="1" a="1"/>
  <c r="Q1696" i="1" a="1"/>
  <c r="AS1696" i="1" s="1"/>
  <c r="R16" i="1" a="1"/>
  <c r="R158" i="1" a="1"/>
  <c r="R346" i="1" a="1"/>
  <c r="R514" i="1" a="1"/>
  <c r="R653" i="1" a="1"/>
  <c r="R806" i="1" a="1"/>
  <c r="R965" i="1" a="1"/>
  <c r="R1133" i="1" a="1"/>
  <c r="R1289" i="1" a="1"/>
  <c r="R1431" i="1" a="1"/>
  <c r="R1554" i="1" a="1"/>
  <c r="Q16" i="1" a="1"/>
  <c r="Q158" i="1" a="1"/>
  <c r="Q346" i="1" a="1"/>
  <c r="Q514" i="1" a="1"/>
  <c r="Q653" i="1" a="1"/>
  <c r="Q806" i="1" a="1"/>
  <c r="Q965" i="1" a="1"/>
  <c r="Q1133" i="1" a="1"/>
  <c r="Q1289" i="1" a="1"/>
  <c r="Q1431" i="1" a="1"/>
  <c r="Q1554" i="1" a="1"/>
  <c r="AQ1554" i="1"/>
  <c r="S1199" i="1"/>
  <c r="S1343" i="1"/>
  <c r="S1340" i="1"/>
  <c r="S1329" i="1"/>
  <c r="S1326" i="1"/>
  <c r="S1334" i="1"/>
  <c r="S1333" i="1"/>
  <c r="S1332"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7" i="1"/>
  <c r="S1328" i="1"/>
  <c r="S1330" i="1"/>
  <c r="S1331" i="1"/>
  <c r="S1335" i="1"/>
  <c r="S1336" i="1"/>
  <c r="S1337" i="1"/>
  <c r="S1338" i="1"/>
  <c r="S1339" i="1"/>
  <c r="S1341" i="1"/>
  <c r="S1342"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7" i="1"/>
  <c r="S1428" i="1"/>
  <c r="S1429" i="1"/>
  <c r="S1430" i="1"/>
  <c r="AR1554" i="1" l="1"/>
  <c r="AN1696" i="1"/>
  <c r="AR1696" i="1"/>
  <c r="AO1696" i="1"/>
  <c r="AM1696" i="1"/>
  <c r="AS1554" i="1"/>
  <c r="AN1554" i="1"/>
  <c r="AO1554" i="1"/>
  <c r="AM1554" i="1"/>
  <c r="AA1426" i="1"/>
  <c r="Z1426" i="1"/>
  <c r="AA1284" i="1"/>
  <c r="Z1284" i="1"/>
  <c r="S1426" i="1" l="1"/>
  <c r="S1284" i="1"/>
  <c r="AA801" i="1"/>
  <c r="Z801" i="1"/>
  <c r="AA648" i="1"/>
  <c r="Z648" i="1"/>
  <c r="S801" i="1" l="1"/>
  <c r="S648" i="1"/>
  <c r="A55" i="3" l="1"/>
  <c r="A71" i="3" l="1"/>
  <c r="A32" i="3"/>
  <c r="A33" i="3"/>
  <c r="A83" i="3"/>
  <c r="A84" i="3"/>
  <c r="A85" i="3"/>
  <c r="A143" i="3"/>
  <c r="A210" i="3"/>
  <c r="A119" i="3"/>
  <c r="A118" i="3"/>
  <c r="A117" i="3"/>
  <c r="A80" i="3" l="1"/>
  <c r="A81" i="3"/>
  <c r="A82" i="3"/>
  <c r="A64" i="3"/>
  <c r="A63" i="3"/>
  <c r="A43" i="3" l="1"/>
  <c r="A15" i="3" l="1"/>
  <c r="A16" i="3"/>
  <c r="A17" i="3"/>
  <c r="A18" i="3"/>
  <c r="A19" i="3"/>
  <c r="A20" i="3"/>
  <c r="A21" i="3"/>
  <c r="A22" i="3"/>
  <c r="A23" i="3"/>
  <c r="A24" i="3"/>
  <c r="A25" i="3"/>
  <c r="A26" i="3"/>
  <c r="A27" i="3"/>
  <c r="A28" i="3"/>
  <c r="A29" i="3"/>
  <c r="A30" i="3"/>
  <c r="A31" i="3"/>
  <c r="A34" i="3"/>
  <c r="A35" i="3"/>
  <c r="A36" i="3"/>
  <c r="A37" i="3"/>
  <c r="A38" i="3"/>
  <c r="A39" i="3"/>
  <c r="A40" i="3"/>
  <c r="A41" i="3"/>
  <c r="A42" i="3"/>
  <c r="A44" i="3"/>
  <c r="A45" i="3"/>
  <c r="A46" i="3"/>
  <c r="A47" i="3"/>
  <c r="A48" i="3"/>
  <c r="A49" i="3"/>
  <c r="A50" i="3"/>
  <c r="A51" i="3"/>
  <c r="A52" i="3"/>
  <c r="A53" i="3"/>
  <c r="A54" i="3"/>
  <c r="A56" i="3"/>
  <c r="A57" i="3"/>
  <c r="A58" i="3"/>
  <c r="A59" i="3"/>
  <c r="A60" i="3"/>
  <c r="A61" i="3"/>
  <c r="A62" i="3"/>
  <c r="A65" i="3"/>
  <c r="A66" i="3"/>
  <c r="A67" i="3"/>
  <c r="A68" i="3"/>
  <c r="A69" i="3"/>
  <c r="A70" i="3"/>
  <c r="A72" i="3"/>
  <c r="A73" i="3"/>
  <c r="A74" i="3"/>
  <c r="A75" i="3"/>
  <c r="A76" i="3"/>
  <c r="A77" i="3"/>
  <c r="A78" i="3"/>
  <c r="A79"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20" i="3"/>
  <c r="A121" i="3"/>
  <c r="A122" i="3"/>
  <c r="A123" i="3"/>
  <c r="A124" i="3"/>
  <c r="A125" i="3"/>
  <c r="A126" i="3"/>
  <c r="A127" i="3"/>
  <c r="A128" i="3"/>
  <c r="A129" i="3"/>
  <c r="A130" i="3"/>
  <c r="A131" i="3"/>
  <c r="A132" i="3"/>
  <c r="A133" i="3"/>
  <c r="A134" i="3"/>
  <c r="A135" i="3"/>
  <c r="A136" i="3"/>
  <c r="A137" i="3"/>
  <c r="A138" i="3"/>
  <c r="A139" i="3"/>
  <c r="A140" i="3"/>
  <c r="A141" i="3"/>
  <c r="A142"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80" i="3"/>
  <c r="A181" i="3"/>
  <c r="A182" i="3"/>
  <c r="A183" i="3"/>
  <c r="A184" i="3"/>
  <c r="A185" i="3"/>
  <c r="A187" i="3"/>
  <c r="A188" i="3"/>
  <c r="A189" i="3"/>
  <c r="A190" i="3"/>
  <c r="A191" i="3"/>
  <c r="A192" i="3"/>
  <c r="A193" i="3"/>
  <c r="A194" i="3"/>
  <c r="A195" i="3"/>
  <c r="A196" i="3"/>
  <c r="A197" i="3"/>
  <c r="A198" i="3"/>
  <c r="A199" i="3"/>
  <c r="A200" i="3"/>
  <c r="A201" i="3"/>
  <c r="A202" i="3"/>
  <c r="A203" i="3"/>
  <c r="A204" i="3"/>
  <c r="A205" i="3"/>
  <c r="A206" i="3"/>
  <c r="A207" i="3"/>
  <c r="A208" i="3"/>
  <c r="A209" i="3"/>
  <c r="A211" i="3"/>
  <c r="A212" i="3"/>
  <c r="A213" i="3"/>
  <c r="A214" i="3"/>
  <c r="A215" i="3"/>
  <c r="A216" i="3"/>
  <c r="A217" i="3"/>
  <c r="A218" i="3"/>
  <c r="A219" i="3"/>
  <c r="A220" i="3"/>
  <c r="A221" i="3"/>
  <c r="A222" i="3"/>
  <c r="A223" i="3"/>
  <c r="A224" i="3"/>
  <c r="A225" i="3"/>
  <c r="A226" i="3"/>
  <c r="A227" i="3"/>
  <c r="A228" i="3"/>
  <c r="AL1708" i="1" l="1"/>
  <c r="AL1709" i="1"/>
  <c r="AL1710" i="1"/>
  <c r="AL1711" i="1"/>
  <c r="AL1712" i="1"/>
  <c r="AL1713" i="1"/>
  <c r="AL1714" i="1"/>
  <c r="AL1715" i="1"/>
  <c r="AL1716" i="1"/>
  <c r="AL1717" i="1"/>
  <c r="AL1718" i="1"/>
  <c r="AL1719" i="1"/>
  <c r="AL1720" i="1"/>
  <c r="AL1721" i="1"/>
  <c r="AL1722" i="1"/>
  <c r="AL1723" i="1"/>
  <c r="AL1724" i="1"/>
  <c r="AL1725" i="1"/>
  <c r="AL1726" i="1"/>
  <c r="AL1727" i="1"/>
  <c r="AL1728" i="1"/>
  <c r="AL1729" i="1"/>
  <c r="AL1730" i="1"/>
  <c r="AL1731" i="1"/>
  <c r="AL1732" i="1"/>
  <c r="AL1733" i="1"/>
  <c r="AL1734" i="1"/>
  <c r="AL1735" i="1"/>
  <c r="AL1736" i="1"/>
  <c r="AL1737" i="1"/>
  <c r="AL1739" i="1"/>
  <c r="AL1743" i="1"/>
  <c r="AL1745" i="1"/>
  <c r="AL1746" i="1"/>
  <c r="AL1747" i="1"/>
  <c r="AL1748" i="1"/>
  <c r="AL1749" i="1"/>
  <c r="AL1750" i="1"/>
  <c r="AL1751" i="1"/>
  <c r="AL1752" i="1"/>
  <c r="AL1753" i="1"/>
  <c r="AL1754" i="1"/>
  <c r="AL1755" i="1"/>
  <c r="AL1756" i="1"/>
  <c r="AL1757" i="1"/>
  <c r="AL1758" i="1"/>
  <c r="AL1759" i="1"/>
  <c r="AL1760" i="1"/>
  <c r="AL1761" i="1"/>
  <c r="AL1762" i="1"/>
  <c r="AL1763" i="1"/>
  <c r="AL1764" i="1"/>
  <c r="AL1765" i="1"/>
  <c r="AL1766" i="1"/>
  <c r="AL1767" i="1"/>
  <c r="AL1768" i="1"/>
  <c r="AL1769" i="1"/>
  <c r="AL1770" i="1"/>
  <c r="AL1771" i="1"/>
  <c r="AL1772" i="1"/>
  <c r="AL1773" i="1"/>
  <c r="AL1774" i="1"/>
  <c r="AL1775" i="1"/>
  <c r="AL1776" i="1"/>
  <c r="AL1777" i="1"/>
  <c r="AL1778" i="1"/>
  <c r="AL1779" i="1"/>
  <c r="AL1780" i="1"/>
  <c r="AL1781" i="1"/>
  <c r="AL1782" i="1"/>
  <c r="AL1783" i="1"/>
  <c r="AL1784" i="1"/>
  <c r="AL1785" i="1"/>
  <c r="AL1786" i="1"/>
  <c r="AL1787" i="1"/>
  <c r="AL1788" i="1"/>
  <c r="AL1789" i="1"/>
  <c r="AL1790" i="1"/>
  <c r="AL1791" i="1"/>
  <c r="AL1792" i="1"/>
  <c r="AL1793" i="1"/>
  <c r="AL1794" i="1"/>
  <c r="AL1795" i="1"/>
  <c r="AL1796" i="1"/>
  <c r="AL1797" i="1"/>
  <c r="AL1798" i="1"/>
  <c r="AL1799" i="1"/>
  <c r="AL1800" i="1"/>
  <c r="AL1801" i="1"/>
  <c r="AL1802" i="1"/>
  <c r="AL1803" i="1"/>
  <c r="AL1804" i="1"/>
  <c r="AL1805" i="1"/>
  <c r="AL1806" i="1"/>
  <c r="AL1807" i="1"/>
  <c r="AL1808" i="1"/>
  <c r="AL1809" i="1"/>
  <c r="AL1810" i="1"/>
  <c r="AL1811" i="1"/>
  <c r="AL1812" i="1"/>
  <c r="AL1813" i="1"/>
  <c r="AL1814" i="1"/>
  <c r="AL1816" i="1"/>
  <c r="AL1817" i="1"/>
  <c r="AL1818" i="1"/>
  <c r="AL1819" i="1"/>
  <c r="AL1820" i="1"/>
  <c r="AL1821" i="1"/>
  <c r="AL1823" i="1"/>
  <c r="AL1824" i="1"/>
  <c r="AL1825" i="1"/>
  <c r="AL1826" i="1"/>
  <c r="AL1827" i="1"/>
  <c r="AL1828" i="1"/>
  <c r="AL1829" i="1"/>
  <c r="AL1830" i="1"/>
  <c r="AL1831" i="1"/>
  <c r="AL1832" i="1"/>
  <c r="AL1833" i="1"/>
  <c r="AL1834" i="1"/>
  <c r="AL1835" i="1"/>
  <c r="AL1836" i="1"/>
  <c r="AL1837" i="1"/>
  <c r="AL1838" i="1"/>
  <c r="AL1839" i="1"/>
  <c r="AL1840" i="1"/>
  <c r="AL1841" i="1"/>
  <c r="AL1842" i="1"/>
  <c r="AL1843" i="1"/>
  <c r="AL1844" i="1"/>
  <c r="AQ1844" i="1"/>
  <c r="R1844" i="1" a="1"/>
  <c r="Q1844" i="1" a="1"/>
  <c r="AS1844" i="1" s="1"/>
  <c r="AQ1843" i="1"/>
  <c r="R1843" i="1" a="1"/>
  <c r="Q1843" i="1" a="1"/>
  <c r="AS1843" i="1" s="1"/>
  <c r="AQ1842" i="1"/>
  <c r="R1842" i="1" a="1"/>
  <c r="Q1842" i="1" a="1"/>
  <c r="AS1842" i="1" s="1"/>
  <c r="AQ1841" i="1"/>
  <c r="R1841" i="1" a="1"/>
  <c r="Q1841" i="1" a="1"/>
  <c r="AS1841" i="1" s="1"/>
  <c r="AQ1840" i="1"/>
  <c r="R1840" i="1" a="1"/>
  <c r="Q1840" i="1" a="1"/>
  <c r="AS1840" i="1" s="1"/>
  <c r="AQ1839" i="1"/>
  <c r="R1839" i="1" a="1"/>
  <c r="Q1839" i="1" a="1"/>
  <c r="AS1839" i="1" s="1"/>
  <c r="AQ1838" i="1"/>
  <c r="R1838" i="1" a="1"/>
  <c r="Q1838" i="1" a="1"/>
  <c r="AS1838" i="1" s="1"/>
  <c r="AQ1837" i="1"/>
  <c r="R1837" i="1" a="1"/>
  <c r="Q1837" i="1" a="1"/>
  <c r="AS1837" i="1" s="1"/>
  <c r="AQ1836" i="1"/>
  <c r="R1836" i="1" a="1"/>
  <c r="Q1836" i="1" a="1"/>
  <c r="AS1836" i="1" s="1"/>
  <c r="AQ1835" i="1"/>
  <c r="R1835" i="1" a="1"/>
  <c r="Q1835" i="1" a="1"/>
  <c r="AS1835" i="1" s="1"/>
  <c r="AQ1834" i="1"/>
  <c r="R1834" i="1" a="1"/>
  <c r="Q1834" i="1" a="1"/>
  <c r="AS1834" i="1" s="1"/>
  <c r="AQ1833" i="1"/>
  <c r="R1833" i="1" a="1"/>
  <c r="Q1833" i="1" a="1"/>
  <c r="AS1833" i="1" s="1"/>
  <c r="AQ1832" i="1"/>
  <c r="R1832" i="1" a="1"/>
  <c r="Q1832" i="1" a="1"/>
  <c r="AS1832" i="1" s="1"/>
  <c r="AQ1831" i="1"/>
  <c r="R1831" i="1" a="1"/>
  <c r="Q1831" i="1" a="1"/>
  <c r="AS1831" i="1" s="1"/>
  <c r="AQ1830" i="1"/>
  <c r="R1830" i="1" a="1"/>
  <c r="Q1830" i="1" a="1"/>
  <c r="AS1830" i="1" s="1"/>
  <c r="AQ1829" i="1"/>
  <c r="R1829" i="1" a="1"/>
  <c r="Q1829" i="1" a="1"/>
  <c r="AS1829" i="1" s="1"/>
  <c r="AQ1828" i="1"/>
  <c r="R1828" i="1" a="1"/>
  <c r="Q1828" i="1" a="1"/>
  <c r="AS1828" i="1" s="1"/>
  <c r="AQ1827" i="1"/>
  <c r="R1827" i="1" a="1"/>
  <c r="Q1827" i="1" a="1"/>
  <c r="AS1827" i="1" s="1"/>
  <c r="AQ1826" i="1"/>
  <c r="R1826" i="1" a="1"/>
  <c r="Q1826" i="1" a="1"/>
  <c r="AS1826" i="1" s="1"/>
  <c r="AQ1825" i="1"/>
  <c r="R1825" i="1" a="1"/>
  <c r="Q1825" i="1" a="1"/>
  <c r="AS1825" i="1" s="1"/>
  <c r="AQ1824" i="1"/>
  <c r="R1824" i="1" a="1"/>
  <c r="Q1824" i="1" a="1"/>
  <c r="AS1824" i="1" s="1"/>
  <c r="AQ1823" i="1"/>
  <c r="R1823" i="1" a="1"/>
  <c r="Q1823" i="1" a="1"/>
  <c r="AS1823" i="1" s="1"/>
  <c r="AQ1821" i="1"/>
  <c r="R1821" i="1" a="1"/>
  <c r="Q1821" i="1" a="1"/>
  <c r="AS1821" i="1" s="1"/>
  <c r="AQ1820" i="1"/>
  <c r="R1820" i="1" a="1"/>
  <c r="Q1820" i="1" a="1"/>
  <c r="AS1820" i="1" s="1"/>
  <c r="AQ1819" i="1"/>
  <c r="R1819" i="1" a="1"/>
  <c r="Q1819" i="1" a="1"/>
  <c r="AS1819" i="1" s="1"/>
  <c r="AQ1818" i="1"/>
  <c r="R1818" i="1" a="1"/>
  <c r="Q1818" i="1" a="1"/>
  <c r="AS1818" i="1" s="1"/>
  <c r="AQ1817" i="1"/>
  <c r="R1817" i="1" a="1"/>
  <c r="Q1817" i="1" a="1"/>
  <c r="AS1817" i="1" s="1"/>
  <c r="AQ1816" i="1"/>
  <c r="R1816" i="1" a="1"/>
  <c r="Q1816" i="1" a="1"/>
  <c r="AS1816" i="1" s="1"/>
  <c r="AQ1814" i="1"/>
  <c r="R1814" i="1" a="1"/>
  <c r="Q1814" i="1" a="1"/>
  <c r="AS1814" i="1" s="1"/>
  <c r="AQ1813" i="1"/>
  <c r="R1813" i="1" a="1"/>
  <c r="Q1813" i="1" a="1"/>
  <c r="AS1813" i="1" s="1"/>
  <c r="AQ1812" i="1"/>
  <c r="R1812" i="1" a="1"/>
  <c r="Q1812" i="1" a="1"/>
  <c r="AS1812" i="1" s="1"/>
  <c r="AQ1811" i="1"/>
  <c r="R1811" i="1" a="1"/>
  <c r="Q1811" i="1" a="1"/>
  <c r="AS1811" i="1" s="1"/>
  <c r="AQ1810" i="1"/>
  <c r="R1810" i="1" a="1"/>
  <c r="Q1810" i="1" a="1"/>
  <c r="AS1810" i="1" s="1"/>
  <c r="AQ1809" i="1"/>
  <c r="R1809" i="1" a="1"/>
  <c r="Q1809" i="1" a="1"/>
  <c r="AS1809" i="1" s="1"/>
  <c r="AQ1808" i="1"/>
  <c r="R1808" i="1" a="1"/>
  <c r="Q1808" i="1" a="1"/>
  <c r="AS1808" i="1" s="1"/>
  <c r="AQ1807" i="1"/>
  <c r="R1807" i="1" a="1"/>
  <c r="Q1807" i="1" a="1"/>
  <c r="AS1807" i="1" s="1"/>
  <c r="AQ1806" i="1"/>
  <c r="R1806" i="1" a="1"/>
  <c r="Q1806" i="1" a="1"/>
  <c r="AS1806" i="1" s="1"/>
  <c r="AQ1805" i="1"/>
  <c r="R1805" i="1" a="1"/>
  <c r="Q1805" i="1" a="1"/>
  <c r="AS1805" i="1" s="1"/>
  <c r="AQ1804" i="1"/>
  <c r="R1804" i="1" a="1"/>
  <c r="Q1804" i="1" a="1"/>
  <c r="AS1804" i="1" s="1"/>
  <c r="AQ1803" i="1"/>
  <c r="R1803" i="1" a="1"/>
  <c r="Q1803" i="1" a="1"/>
  <c r="AS1803" i="1" s="1"/>
  <c r="AQ1802" i="1"/>
  <c r="R1802" i="1" a="1"/>
  <c r="Q1802" i="1" a="1"/>
  <c r="AS1802" i="1" s="1"/>
  <c r="AQ1801" i="1"/>
  <c r="R1801" i="1" a="1"/>
  <c r="Q1801" i="1" a="1"/>
  <c r="AS1801" i="1" s="1"/>
  <c r="AQ1800" i="1"/>
  <c r="R1800" i="1" a="1"/>
  <c r="Q1800" i="1" a="1"/>
  <c r="AQ1799" i="1"/>
  <c r="R1799" i="1" a="1"/>
  <c r="Q1799" i="1" a="1"/>
  <c r="AS1799" i="1" s="1"/>
  <c r="AQ1798" i="1"/>
  <c r="R1798" i="1" a="1"/>
  <c r="Q1798" i="1" a="1"/>
  <c r="AS1798" i="1" s="1"/>
  <c r="AQ1797" i="1"/>
  <c r="R1797" i="1" a="1"/>
  <c r="Q1797" i="1" a="1"/>
  <c r="AN1797" i="1" s="1"/>
  <c r="AQ1796" i="1"/>
  <c r="R1796" i="1" a="1"/>
  <c r="Q1796" i="1" a="1"/>
  <c r="AQ1795" i="1"/>
  <c r="R1795" i="1" a="1"/>
  <c r="Q1795" i="1" a="1"/>
  <c r="AS1795" i="1" s="1"/>
  <c r="AQ1794" i="1"/>
  <c r="R1794" i="1" a="1"/>
  <c r="Q1794" i="1" a="1"/>
  <c r="AS1794" i="1" s="1"/>
  <c r="AQ1793" i="1"/>
  <c r="R1793" i="1" a="1"/>
  <c r="Q1793" i="1" a="1"/>
  <c r="AS1793" i="1" s="1"/>
  <c r="AQ1792" i="1"/>
  <c r="R1792" i="1" a="1"/>
  <c r="Q1792" i="1" a="1"/>
  <c r="AQ1791" i="1"/>
  <c r="R1791" i="1" a="1"/>
  <c r="Q1791" i="1" a="1"/>
  <c r="AS1791" i="1" s="1"/>
  <c r="AQ1790" i="1"/>
  <c r="R1790" i="1" a="1"/>
  <c r="Q1790" i="1" a="1"/>
  <c r="AS1790" i="1" s="1"/>
  <c r="AQ1789" i="1"/>
  <c r="R1789" i="1" a="1"/>
  <c r="Q1789" i="1" a="1"/>
  <c r="AS1789" i="1" s="1"/>
  <c r="AQ1788" i="1"/>
  <c r="R1788" i="1" a="1"/>
  <c r="Q1788" i="1" a="1"/>
  <c r="AQ1787" i="1"/>
  <c r="R1787" i="1" a="1"/>
  <c r="Q1787" i="1" a="1"/>
  <c r="AS1787" i="1" s="1"/>
  <c r="AQ1786" i="1"/>
  <c r="R1786" i="1" a="1"/>
  <c r="Q1786" i="1" a="1"/>
  <c r="AS1786" i="1" s="1"/>
  <c r="AQ1785" i="1"/>
  <c r="R1785" i="1" a="1"/>
  <c r="Q1785" i="1" a="1"/>
  <c r="AS1785" i="1" s="1"/>
  <c r="AQ1784" i="1"/>
  <c r="R1784" i="1" a="1"/>
  <c r="Q1784" i="1" a="1"/>
  <c r="AQ1783" i="1"/>
  <c r="R1783" i="1" a="1"/>
  <c r="Q1783" i="1" a="1"/>
  <c r="AS1783" i="1" s="1"/>
  <c r="AQ1782" i="1"/>
  <c r="R1782" i="1" a="1"/>
  <c r="Q1782" i="1" a="1"/>
  <c r="AS1782" i="1" s="1"/>
  <c r="AQ1781" i="1"/>
  <c r="R1781" i="1" a="1"/>
  <c r="Q1781" i="1" a="1"/>
  <c r="AN1781" i="1" s="1"/>
  <c r="AQ1780" i="1"/>
  <c r="R1780" i="1" a="1"/>
  <c r="Q1780" i="1" a="1"/>
  <c r="AQ1779" i="1"/>
  <c r="R1779" i="1" a="1"/>
  <c r="Q1779" i="1" a="1"/>
  <c r="AS1779" i="1" s="1"/>
  <c r="AQ1778" i="1"/>
  <c r="R1778" i="1" a="1"/>
  <c r="Q1778" i="1" a="1"/>
  <c r="AS1778" i="1" s="1"/>
  <c r="AQ1777" i="1"/>
  <c r="R1777" i="1" a="1"/>
  <c r="Q1777" i="1" a="1"/>
  <c r="AS1777" i="1" s="1"/>
  <c r="AQ1776" i="1"/>
  <c r="R1776" i="1" a="1"/>
  <c r="Q1776" i="1" a="1"/>
  <c r="AQ1775" i="1"/>
  <c r="R1775" i="1" a="1"/>
  <c r="Q1775" i="1" a="1"/>
  <c r="AQ1774" i="1"/>
  <c r="R1774" i="1" a="1"/>
  <c r="Q1774" i="1" a="1"/>
  <c r="AS1774" i="1" s="1"/>
  <c r="AQ1773" i="1"/>
  <c r="R1773" i="1" a="1"/>
  <c r="Q1773" i="1" a="1"/>
  <c r="AQ1772" i="1"/>
  <c r="R1772" i="1" a="1"/>
  <c r="Q1772" i="1" a="1"/>
  <c r="AS1772" i="1" s="1"/>
  <c r="AQ1771" i="1"/>
  <c r="R1771" i="1" a="1"/>
  <c r="Q1771" i="1" a="1"/>
  <c r="AS1771" i="1" s="1"/>
  <c r="AQ1770" i="1"/>
  <c r="R1770" i="1" a="1"/>
  <c r="Q1770" i="1" a="1"/>
  <c r="AQ1769" i="1"/>
  <c r="R1769" i="1" a="1"/>
  <c r="Q1769" i="1" a="1"/>
  <c r="AS1769" i="1" s="1"/>
  <c r="AQ1768" i="1"/>
  <c r="R1768" i="1" a="1"/>
  <c r="Q1768" i="1" a="1"/>
  <c r="AS1768" i="1" s="1"/>
  <c r="AQ1767" i="1"/>
  <c r="R1767" i="1" a="1"/>
  <c r="Q1767" i="1" a="1"/>
  <c r="AQ1766" i="1"/>
  <c r="R1766" i="1" a="1"/>
  <c r="Q1766" i="1" a="1"/>
  <c r="AS1766" i="1" s="1"/>
  <c r="AQ1765" i="1"/>
  <c r="R1765" i="1" a="1"/>
  <c r="Q1765" i="1" a="1"/>
  <c r="AS1765" i="1" s="1"/>
  <c r="AQ1764" i="1"/>
  <c r="R1764" i="1" a="1"/>
  <c r="Q1764" i="1" a="1"/>
  <c r="AQ1763" i="1"/>
  <c r="R1763" i="1" a="1"/>
  <c r="Q1763" i="1" a="1"/>
  <c r="AS1763" i="1" s="1"/>
  <c r="AQ1762" i="1"/>
  <c r="R1762" i="1" a="1"/>
  <c r="Q1762" i="1" a="1"/>
  <c r="AS1762" i="1" s="1"/>
  <c r="AQ1761" i="1"/>
  <c r="R1761" i="1" a="1"/>
  <c r="Q1761" i="1" a="1"/>
  <c r="AQ1760" i="1"/>
  <c r="R1760" i="1" a="1"/>
  <c r="Q1760" i="1" a="1"/>
  <c r="AS1760" i="1" s="1"/>
  <c r="AQ1759" i="1"/>
  <c r="R1759" i="1" a="1"/>
  <c r="Q1759" i="1" a="1"/>
  <c r="AS1759" i="1" s="1"/>
  <c r="AQ1758" i="1"/>
  <c r="R1758" i="1" a="1"/>
  <c r="Q1758" i="1" a="1"/>
  <c r="AQ1757" i="1"/>
  <c r="R1757" i="1" a="1"/>
  <c r="Q1757" i="1" a="1"/>
  <c r="AS1757" i="1" s="1"/>
  <c r="AQ1756" i="1"/>
  <c r="R1756" i="1" a="1"/>
  <c r="Q1756" i="1" a="1"/>
  <c r="AQ1755" i="1"/>
  <c r="R1755" i="1" a="1"/>
  <c r="Q1755" i="1" a="1"/>
  <c r="AS1755" i="1" s="1"/>
  <c r="AQ1754" i="1"/>
  <c r="R1754" i="1" a="1"/>
  <c r="Q1754" i="1" a="1"/>
  <c r="AQ1753" i="1"/>
  <c r="R1753" i="1" a="1"/>
  <c r="Q1753" i="1" a="1"/>
  <c r="AS1753" i="1" s="1"/>
  <c r="AQ1752" i="1"/>
  <c r="R1752" i="1" a="1"/>
  <c r="Q1752" i="1" a="1"/>
  <c r="AS1752" i="1" s="1"/>
  <c r="AQ1751" i="1"/>
  <c r="R1751" i="1" a="1"/>
  <c r="Q1751" i="1" a="1"/>
  <c r="AQ1750" i="1"/>
  <c r="R1750" i="1" a="1"/>
  <c r="Q1750" i="1" a="1"/>
  <c r="AS1750" i="1" s="1"/>
  <c r="AQ1749" i="1"/>
  <c r="R1749" i="1" a="1"/>
  <c r="Q1749" i="1" a="1"/>
  <c r="AQ1748" i="1"/>
  <c r="R1748" i="1" a="1"/>
  <c r="Q1748" i="1" a="1"/>
  <c r="AS1748" i="1" s="1"/>
  <c r="AQ1747" i="1"/>
  <c r="R1747" i="1" a="1"/>
  <c r="Q1747" i="1" a="1"/>
  <c r="AQ1746" i="1"/>
  <c r="R1746" i="1" a="1"/>
  <c r="Q1746" i="1" a="1"/>
  <c r="AS1746" i="1" s="1"/>
  <c r="AQ1745" i="1"/>
  <c r="R1745" i="1" a="1"/>
  <c r="Q1745" i="1" a="1"/>
  <c r="AS1745" i="1" s="1"/>
  <c r="AQ1744" i="1"/>
  <c r="AL1744" i="1"/>
  <c r="R1744" i="1" a="1"/>
  <c r="Q1744" i="1" a="1"/>
  <c r="AQ1743" i="1"/>
  <c r="R1743" i="1" a="1"/>
  <c r="Q1743" i="1" a="1"/>
  <c r="AS1743" i="1" s="1"/>
  <c r="AQ1740" i="1"/>
  <c r="AL1740" i="1"/>
  <c r="R1740" i="1" a="1"/>
  <c r="Q1740" i="1" a="1"/>
  <c r="AS1740" i="1" s="1"/>
  <c r="AQ1739" i="1"/>
  <c r="R1739" i="1" a="1"/>
  <c r="Q1739" i="1" a="1"/>
  <c r="AQ1738" i="1"/>
  <c r="AL1738" i="1"/>
  <c r="R1738" i="1" a="1"/>
  <c r="Q1738" i="1" a="1"/>
  <c r="AS1738" i="1" s="1"/>
  <c r="AQ1737" i="1"/>
  <c r="R1737" i="1" a="1"/>
  <c r="Q1737" i="1" a="1"/>
  <c r="AN1737" i="1" s="1"/>
  <c r="AQ1736" i="1"/>
  <c r="R1736" i="1" a="1"/>
  <c r="Q1736" i="1" a="1"/>
  <c r="AQ1735" i="1"/>
  <c r="R1735" i="1" a="1"/>
  <c r="Q1735" i="1" a="1"/>
  <c r="AS1735" i="1" s="1"/>
  <c r="AQ1734" i="1"/>
  <c r="R1734" i="1" a="1"/>
  <c r="Q1734" i="1" a="1"/>
  <c r="AN1734" i="1" s="1"/>
  <c r="AQ1733" i="1"/>
  <c r="R1733" i="1" a="1"/>
  <c r="Q1733" i="1" a="1"/>
  <c r="AQ1732" i="1"/>
  <c r="R1732" i="1" a="1"/>
  <c r="Q1732" i="1" a="1"/>
  <c r="AS1732" i="1" s="1"/>
  <c r="AQ1731" i="1"/>
  <c r="R1731" i="1" a="1"/>
  <c r="Q1731" i="1" a="1"/>
  <c r="AN1731" i="1" s="1"/>
  <c r="AQ1730" i="1"/>
  <c r="R1730" i="1" a="1"/>
  <c r="Q1730" i="1" a="1"/>
  <c r="AQ1729" i="1"/>
  <c r="R1729" i="1" a="1"/>
  <c r="Q1729" i="1" a="1"/>
  <c r="AS1729" i="1" s="1"/>
  <c r="AQ1728" i="1"/>
  <c r="R1728" i="1" a="1"/>
  <c r="Q1728" i="1" a="1"/>
  <c r="AQ1727" i="1"/>
  <c r="R1727" i="1" a="1"/>
  <c r="Q1727" i="1" a="1"/>
  <c r="AQ1726" i="1"/>
  <c r="R1726" i="1" a="1"/>
  <c r="Q1726" i="1" a="1"/>
  <c r="AS1726" i="1" s="1"/>
  <c r="AQ1725" i="1"/>
  <c r="R1725" i="1" a="1"/>
  <c r="Q1725" i="1" a="1"/>
  <c r="AQ1724" i="1"/>
  <c r="R1724" i="1" a="1"/>
  <c r="Q1724" i="1" a="1"/>
  <c r="AQ1723" i="1"/>
  <c r="R1723" i="1" a="1"/>
  <c r="Q1723" i="1" a="1"/>
  <c r="AS1723" i="1" s="1"/>
  <c r="AQ1722" i="1"/>
  <c r="R1722" i="1" a="1"/>
  <c r="Q1722" i="1" a="1"/>
  <c r="AN1722" i="1" s="1"/>
  <c r="AQ1721" i="1"/>
  <c r="R1721" i="1" a="1"/>
  <c r="Q1721" i="1" a="1"/>
  <c r="AQ1720" i="1"/>
  <c r="R1720" i="1" a="1"/>
  <c r="Q1720" i="1" a="1"/>
  <c r="AS1720" i="1" s="1"/>
  <c r="AQ1719" i="1"/>
  <c r="R1719" i="1" a="1"/>
  <c r="Q1719" i="1" a="1"/>
  <c r="AQ1718" i="1"/>
  <c r="R1718" i="1" a="1"/>
  <c r="Q1718" i="1" a="1"/>
  <c r="AQ1717" i="1"/>
  <c r="R1717" i="1" a="1"/>
  <c r="Q1717" i="1" a="1"/>
  <c r="AS1717" i="1" s="1"/>
  <c r="AQ1716" i="1"/>
  <c r="R1716" i="1" a="1"/>
  <c r="Q1716" i="1" a="1"/>
  <c r="AQ1715" i="1"/>
  <c r="R1715" i="1" a="1"/>
  <c r="Q1715" i="1" a="1"/>
  <c r="AQ1714" i="1"/>
  <c r="R1714" i="1" a="1"/>
  <c r="Q1714" i="1" a="1"/>
  <c r="AQ1713" i="1"/>
  <c r="R1713" i="1" a="1"/>
  <c r="Q1713" i="1" a="1"/>
  <c r="AQ1712" i="1"/>
  <c r="R1712" i="1" a="1"/>
  <c r="Q1712" i="1" a="1"/>
  <c r="AQ1711" i="1"/>
  <c r="R1711" i="1" a="1"/>
  <c r="Q1711" i="1" a="1"/>
  <c r="AQ1710" i="1"/>
  <c r="R1710" i="1" a="1"/>
  <c r="Q1710" i="1" a="1"/>
  <c r="AQ1709" i="1"/>
  <c r="R1709" i="1" a="1"/>
  <c r="Q1709" i="1" a="1"/>
  <c r="AQ1708" i="1"/>
  <c r="R1708" i="1" a="1"/>
  <c r="Q1708" i="1" a="1"/>
  <c r="AQ1707" i="1"/>
  <c r="AL1707" i="1"/>
  <c r="R1707" i="1" a="1"/>
  <c r="Q1707" i="1" a="1"/>
  <c r="AQ1706" i="1"/>
  <c r="AL1706" i="1"/>
  <c r="R1706" i="1" a="1"/>
  <c r="Q1706" i="1" a="1"/>
  <c r="AQ1705" i="1"/>
  <c r="AL1705" i="1"/>
  <c r="R1705" i="1" a="1"/>
  <c r="Q1705" i="1" a="1"/>
  <c r="AQ1704" i="1"/>
  <c r="AL1704" i="1"/>
  <c r="R1704" i="1" a="1"/>
  <c r="Q1704" i="1" a="1"/>
  <c r="AQ1703" i="1"/>
  <c r="AL1703" i="1"/>
  <c r="R1703" i="1" a="1"/>
  <c r="Q1703" i="1" a="1"/>
  <c r="AQ1702" i="1"/>
  <c r="AL1702" i="1"/>
  <c r="R1702" i="1" a="1"/>
  <c r="Q1702" i="1" a="1"/>
  <c r="AQ1701" i="1"/>
  <c r="AL1701" i="1"/>
  <c r="R1701" i="1" a="1"/>
  <c r="Q1701" i="1" a="1"/>
  <c r="AQ1700" i="1"/>
  <c r="AL1700" i="1"/>
  <c r="R1700" i="1" a="1"/>
  <c r="Q1700" i="1" a="1"/>
  <c r="AQ1699" i="1"/>
  <c r="AL1699" i="1"/>
  <c r="R1699" i="1" a="1"/>
  <c r="Q1699" i="1" a="1"/>
  <c r="AQ1698" i="1"/>
  <c r="AL1698" i="1"/>
  <c r="R1698" i="1" a="1"/>
  <c r="Q1698" i="1" a="1"/>
  <c r="AQ1697" i="1"/>
  <c r="AL1697" i="1"/>
  <c r="R1697" i="1" a="1"/>
  <c r="Q1697" i="1" a="1"/>
  <c r="AL1696" i="1"/>
  <c r="R18" i="1" a="1"/>
  <c r="R21" i="1" a="1"/>
  <c r="R24" i="1" a="1"/>
  <c r="R27" i="1" a="1"/>
  <c r="R30" i="1" a="1"/>
  <c r="R33" i="1" a="1"/>
  <c r="R36" i="1" a="1"/>
  <c r="R39" i="1" a="1"/>
  <c r="R42" i="1" a="1"/>
  <c r="R45" i="1" a="1"/>
  <c r="R48" i="1" a="1"/>
  <c r="R51" i="1" a="1"/>
  <c r="R54" i="1" a="1"/>
  <c r="R57" i="1" a="1"/>
  <c r="R60" i="1" a="1"/>
  <c r="R63" i="1" a="1"/>
  <c r="R66" i="1" a="1"/>
  <c r="R69" i="1" a="1"/>
  <c r="R72" i="1" a="1"/>
  <c r="R75" i="1" a="1"/>
  <c r="R78" i="1" a="1"/>
  <c r="R81" i="1" a="1"/>
  <c r="R84" i="1" a="1"/>
  <c r="R87" i="1" a="1"/>
  <c r="R90" i="1" a="1"/>
  <c r="R93" i="1" a="1"/>
  <c r="R96" i="1" a="1"/>
  <c r="R99" i="1" a="1"/>
  <c r="R102" i="1" a="1"/>
  <c r="R105" i="1" a="1"/>
  <c r="R108" i="1" a="1"/>
  <c r="R111" i="1" a="1"/>
  <c r="R114" i="1" a="1"/>
  <c r="R117" i="1" a="1"/>
  <c r="R120" i="1" a="1"/>
  <c r="R123" i="1" a="1"/>
  <c r="R126" i="1" a="1"/>
  <c r="R129" i="1" a="1"/>
  <c r="R132" i="1" a="1"/>
  <c r="R135" i="1" a="1"/>
  <c r="R138" i="1" a="1"/>
  <c r="R141" i="1" a="1"/>
  <c r="R144" i="1" a="1"/>
  <c r="R147" i="1" a="1"/>
  <c r="R150" i="1" a="1"/>
  <c r="R153" i="1" a="1"/>
  <c r="R156" i="1" a="1"/>
  <c r="R159" i="1" a="1"/>
  <c r="R162" i="1" a="1"/>
  <c r="R165" i="1" a="1"/>
  <c r="R168" i="1" a="1"/>
  <c r="R171" i="1" a="1"/>
  <c r="R174" i="1" a="1"/>
  <c r="R177" i="1" a="1"/>
  <c r="R180" i="1" a="1"/>
  <c r="R183" i="1" a="1"/>
  <c r="R186" i="1" a="1"/>
  <c r="R189" i="1" a="1"/>
  <c r="R192" i="1" a="1"/>
  <c r="R195" i="1" a="1"/>
  <c r="R198" i="1" a="1"/>
  <c r="R201" i="1" a="1"/>
  <c r="R204" i="1" a="1"/>
  <c r="R207" i="1" a="1"/>
  <c r="R210" i="1" a="1"/>
  <c r="R213" i="1" a="1"/>
  <c r="R216" i="1" a="1"/>
  <c r="R219" i="1" a="1"/>
  <c r="R222" i="1" a="1"/>
  <c r="R225" i="1" a="1"/>
  <c r="R228" i="1" a="1"/>
  <c r="R231" i="1" a="1"/>
  <c r="R234" i="1" a="1"/>
  <c r="R237" i="1" a="1"/>
  <c r="R240" i="1" a="1"/>
  <c r="R243" i="1" a="1"/>
  <c r="R246" i="1" a="1"/>
  <c r="R249" i="1" a="1"/>
  <c r="R252" i="1" a="1"/>
  <c r="R255" i="1" a="1"/>
  <c r="R258" i="1" a="1"/>
  <c r="R261" i="1" a="1"/>
  <c r="R264" i="1" a="1"/>
  <c r="R267" i="1" a="1"/>
  <c r="R270" i="1" a="1"/>
  <c r="R273" i="1" a="1"/>
  <c r="R276" i="1" a="1"/>
  <c r="R279" i="1" a="1"/>
  <c r="R282" i="1" a="1"/>
  <c r="R285" i="1" a="1"/>
  <c r="R288" i="1" a="1"/>
  <c r="R291" i="1" a="1"/>
  <c r="R294" i="1" a="1"/>
  <c r="R297" i="1" a="1"/>
  <c r="R300" i="1" a="1"/>
  <c r="R303" i="1" a="1"/>
  <c r="R306" i="1" a="1"/>
  <c r="R309" i="1" a="1"/>
  <c r="R312" i="1" a="1"/>
  <c r="R315" i="1" a="1"/>
  <c r="R318" i="1" a="1"/>
  <c r="R321" i="1" a="1"/>
  <c r="R324" i="1" a="1"/>
  <c r="R327" i="1" a="1"/>
  <c r="R330" i="1" a="1"/>
  <c r="R333" i="1" a="1"/>
  <c r="R336" i="1" a="1"/>
  <c r="R339" i="1" a="1"/>
  <c r="R342" i="1" a="1"/>
  <c r="R345" i="1" a="1"/>
  <c r="R348" i="1" a="1"/>
  <c r="R351" i="1" a="1"/>
  <c r="R354" i="1" a="1"/>
  <c r="R357" i="1" a="1"/>
  <c r="R360" i="1" a="1"/>
  <c r="R363" i="1" a="1"/>
  <c r="R366" i="1" a="1"/>
  <c r="R369" i="1" a="1"/>
  <c r="R372" i="1" a="1"/>
  <c r="R375" i="1" a="1"/>
  <c r="R378" i="1" a="1"/>
  <c r="R381" i="1" a="1"/>
  <c r="R384" i="1" a="1"/>
  <c r="R387" i="1" a="1"/>
  <c r="R390" i="1" a="1"/>
  <c r="R393" i="1" a="1"/>
  <c r="R396" i="1" a="1"/>
  <c r="R399" i="1" a="1"/>
  <c r="R402" i="1" a="1"/>
  <c r="R405" i="1" a="1"/>
  <c r="R408" i="1" a="1"/>
  <c r="R411" i="1" a="1"/>
  <c r="R414" i="1" a="1"/>
  <c r="R417" i="1" a="1"/>
  <c r="R420" i="1" a="1"/>
  <c r="R423" i="1" a="1"/>
  <c r="R426" i="1" a="1"/>
  <c r="R429" i="1" a="1"/>
  <c r="R432" i="1" a="1"/>
  <c r="R435" i="1" a="1"/>
  <c r="R438" i="1" a="1"/>
  <c r="R441" i="1" a="1"/>
  <c r="R444" i="1" a="1"/>
  <c r="R447" i="1" a="1"/>
  <c r="R450" i="1" a="1"/>
  <c r="R453" i="1" a="1"/>
  <c r="R456" i="1" a="1"/>
  <c r="R459" i="1" a="1"/>
  <c r="R462" i="1" a="1"/>
  <c r="R465" i="1" a="1"/>
  <c r="R468" i="1" a="1"/>
  <c r="R471" i="1" a="1"/>
  <c r="R474" i="1" a="1"/>
  <c r="R477" i="1" a="1"/>
  <c r="R480" i="1" a="1"/>
  <c r="R483" i="1" a="1"/>
  <c r="R486" i="1" a="1"/>
  <c r="R489" i="1" a="1"/>
  <c r="R492" i="1" a="1"/>
  <c r="R495" i="1" a="1"/>
  <c r="R498" i="1" a="1"/>
  <c r="R501" i="1" a="1"/>
  <c r="R504" i="1" a="1"/>
  <c r="R507" i="1" a="1"/>
  <c r="R510" i="1" a="1"/>
  <c r="R513" i="1" a="1"/>
  <c r="R516" i="1" a="1"/>
  <c r="R519" i="1" a="1"/>
  <c r="R522" i="1" a="1"/>
  <c r="R525" i="1" a="1"/>
  <c r="R528" i="1" a="1"/>
  <c r="R531" i="1" a="1"/>
  <c r="R534" i="1" a="1"/>
  <c r="R537" i="1" a="1"/>
  <c r="R540" i="1" a="1"/>
  <c r="R543" i="1" a="1"/>
  <c r="R546" i="1" a="1"/>
  <c r="R549" i="1" a="1"/>
  <c r="R552" i="1" a="1"/>
  <c r="R555" i="1" a="1"/>
  <c r="R558" i="1" a="1"/>
  <c r="R561" i="1" a="1"/>
  <c r="R564" i="1" a="1"/>
  <c r="R567" i="1" a="1"/>
  <c r="R570" i="1" a="1"/>
  <c r="R573" i="1" a="1"/>
  <c r="R576" i="1" a="1"/>
  <c r="R579" i="1" a="1"/>
  <c r="R582" i="1" a="1"/>
  <c r="R585" i="1" a="1"/>
  <c r="R588" i="1" a="1"/>
  <c r="R591" i="1" a="1"/>
  <c r="R594" i="1" a="1"/>
  <c r="R597" i="1" a="1"/>
  <c r="R600" i="1" a="1"/>
  <c r="R603" i="1" a="1"/>
  <c r="R606" i="1" a="1"/>
  <c r="R609" i="1" a="1"/>
  <c r="R612" i="1" a="1"/>
  <c r="R615" i="1" a="1"/>
  <c r="R618" i="1" a="1"/>
  <c r="R621" i="1" a="1"/>
  <c r="R624" i="1" a="1"/>
  <c r="R627" i="1" a="1"/>
  <c r="R630" i="1" a="1"/>
  <c r="R633" i="1" a="1"/>
  <c r="R636" i="1" a="1"/>
  <c r="R639" i="1" a="1"/>
  <c r="R642" i="1" a="1"/>
  <c r="R645" i="1" a="1"/>
  <c r="R648" i="1" a="1"/>
  <c r="R651" i="1" a="1"/>
  <c r="R654" i="1" a="1"/>
  <c r="R657" i="1" a="1"/>
  <c r="R660" i="1" a="1"/>
  <c r="R663" i="1" a="1"/>
  <c r="R666" i="1" a="1"/>
  <c r="R669" i="1" a="1"/>
  <c r="R672" i="1" a="1"/>
  <c r="R675" i="1" a="1"/>
  <c r="R678" i="1" a="1"/>
  <c r="R681" i="1" a="1"/>
  <c r="R684" i="1" a="1"/>
  <c r="R687" i="1" a="1"/>
  <c r="R690" i="1" a="1"/>
  <c r="R693" i="1" a="1"/>
  <c r="R696" i="1" a="1"/>
  <c r="R699" i="1" a="1"/>
  <c r="R702" i="1" a="1"/>
  <c r="R705" i="1" a="1"/>
  <c r="R708" i="1" a="1"/>
  <c r="R711" i="1" a="1"/>
  <c r="R714" i="1" a="1"/>
  <c r="R717" i="1" a="1"/>
  <c r="R720" i="1" a="1"/>
  <c r="R723" i="1" a="1"/>
  <c r="R726" i="1" a="1"/>
  <c r="R729" i="1" a="1"/>
  <c r="R732" i="1" a="1"/>
  <c r="R735" i="1" a="1"/>
  <c r="R738" i="1" a="1"/>
  <c r="R741" i="1" a="1"/>
  <c r="R744" i="1" a="1"/>
  <c r="R747" i="1" a="1"/>
  <c r="R750" i="1" a="1"/>
  <c r="R753" i="1" a="1"/>
  <c r="R756" i="1" a="1"/>
  <c r="R759" i="1" a="1"/>
  <c r="R762" i="1" a="1"/>
  <c r="R765" i="1" a="1"/>
  <c r="R768" i="1" a="1"/>
  <c r="R771" i="1" a="1"/>
  <c r="R774" i="1" a="1"/>
  <c r="R777" i="1" a="1"/>
  <c r="R780" i="1" a="1"/>
  <c r="R783" i="1" a="1"/>
  <c r="R786" i="1" a="1"/>
  <c r="R789" i="1" a="1"/>
  <c r="R792" i="1" a="1"/>
  <c r="R795" i="1" a="1"/>
  <c r="R798" i="1" a="1"/>
  <c r="R801" i="1" a="1"/>
  <c r="R804" i="1" a="1"/>
  <c r="R807" i="1" a="1"/>
  <c r="R810" i="1" a="1"/>
  <c r="R813" i="1" a="1"/>
  <c r="R816" i="1" a="1"/>
  <c r="R819" i="1" a="1"/>
  <c r="R822" i="1" a="1"/>
  <c r="R825" i="1" a="1"/>
  <c r="R828" i="1" a="1"/>
  <c r="R831" i="1" a="1"/>
  <c r="R834" i="1" a="1"/>
  <c r="R837" i="1" a="1"/>
  <c r="R840" i="1" a="1"/>
  <c r="R843" i="1" a="1"/>
  <c r="R846" i="1" a="1"/>
  <c r="R849" i="1" a="1"/>
  <c r="R852" i="1" a="1"/>
  <c r="R855" i="1" a="1"/>
  <c r="R858" i="1" a="1"/>
  <c r="R861" i="1" a="1"/>
  <c r="R864" i="1" a="1"/>
  <c r="R867" i="1" a="1"/>
  <c r="R870" i="1" a="1"/>
  <c r="R873" i="1" a="1"/>
  <c r="R876" i="1" a="1"/>
  <c r="R879" i="1" a="1"/>
  <c r="R882" i="1" a="1"/>
  <c r="R885" i="1" a="1"/>
  <c r="R888" i="1" a="1"/>
  <c r="R891" i="1" a="1"/>
  <c r="R894" i="1" a="1"/>
  <c r="R897" i="1" a="1"/>
  <c r="R900" i="1" a="1"/>
  <c r="R903" i="1" a="1"/>
  <c r="R906" i="1" a="1"/>
  <c r="R909" i="1" a="1"/>
  <c r="R912" i="1" a="1"/>
  <c r="R915" i="1" a="1"/>
  <c r="R918" i="1" a="1"/>
  <c r="R921" i="1" a="1"/>
  <c r="R924" i="1" a="1"/>
  <c r="R927" i="1" a="1"/>
  <c r="R930" i="1" a="1"/>
  <c r="R933" i="1" a="1"/>
  <c r="R936" i="1" a="1"/>
  <c r="R939" i="1" a="1"/>
  <c r="R942" i="1" a="1"/>
  <c r="R945" i="1" a="1"/>
  <c r="R948" i="1" a="1"/>
  <c r="R951" i="1" a="1"/>
  <c r="R954" i="1" a="1"/>
  <c r="R957" i="1" a="1"/>
  <c r="R960" i="1" a="1"/>
  <c r="R963" i="1" a="1"/>
  <c r="R966" i="1" a="1"/>
  <c r="R969" i="1" a="1"/>
  <c r="R972" i="1" a="1"/>
  <c r="R975" i="1" a="1"/>
  <c r="R978" i="1" a="1"/>
  <c r="R981" i="1" a="1"/>
  <c r="R984" i="1" a="1"/>
  <c r="R987" i="1" a="1"/>
  <c r="R990" i="1" a="1"/>
  <c r="R993" i="1" a="1"/>
  <c r="R996" i="1" a="1"/>
  <c r="R999" i="1" a="1"/>
  <c r="R1002" i="1" a="1"/>
  <c r="R1005" i="1" a="1"/>
  <c r="R1008" i="1" a="1"/>
  <c r="R1011" i="1" a="1"/>
  <c r="R1014" i="1" a="1"/>
  <c r="R1017" i="1" a="1"/>
  <c r="R1020" i="1" a="1"/>
  <c r="R1023" i="1" a="1"/>
  <c r="R1026" i="1" a="1"/>
  <c r="R1029" i="1" a="1"/>
  <c r="R1032" i="1" a="1"/>
  <c r="R1035" i="1" a="1"/>
  <c r="R1038" i="1" a="1"/>
  <c r="R1041" i="1" a="1"/>
  <c r="R1044" i="1" a="1"/>
  <c r="R1047" i="1" a="1"/>
  <c r="R1050" i="1" a="1"/>
  <c r="R1053" i="1" a="1"/>
  <c r="R1056" i="1" a="1"/>
  <c r="R1059" i="1" a="1"/>
  <c r="R1062" i="1" a="1"/>
  <c r="R1065" i="1" a="1"/>
  <c r="R1068" i="1" a="1"/>
  <c r="R1071" i="1" a="1"/>
  <c r="R1074" i="1" a="1"/>
  <c r="R1077" i="1" a="1"/>
  <c r="R1080" i="1" a="1"/>
  <c r="R1083" i="1" a="1"/>
  <c r="R1086" i="1" a="1"/>
  <c r="R1089" i="1" a="1"/>
  <c r="R1092" i="1" a="1"/>
  <c r="R1095" i="1" a="1"/>
  <c r="R1098" i="1" a="1"/>
  <c r="R1101" i="1" a="1"/>
  <c r="R1104" i="1" a="1"/>
  <c r="R1107" i="1" a="1"/>
  <c r="R1110" i="1" a="1"/>
  <c r="R1113" i="1" a="1"/>
  <c r="R1116" i="1" a="1"/>
  <c r="R1119" i="1" a="1"/>
  <c r="R1122" i="1" a="1"/>
  <c r="R1125" i="1" a="1"/>
  <c r="R1128" i="1" a="1"/>
  <c r="R1131" i="1" a="1"/>
  <c r="R1134" i="1" a="1"/>
  <c r="R1137" i="1" a="1"/>
  <c r="R1140" i="1" a="1"/>
  <c r="R1143" i="1" a="1"/>
  <c r="R1146" i="1" a="1"/>
  <c r="R1149" i="1" a="1"/>
  <c r="R1152" i="1" a="1"/>
  <c r="R1155" i="1" a="1"/>
  <c r="R1158" i="1" a="1"/>
  <c r="R1161" i="1" a="1"/>
  <c r="R1164" i="1" a="1"/>
  <c r="R1167" i="1" a="1"/>
  <c r="R1170" i="1" a="1"/>
  <c r="R1173" i="1" a="1"/>
  <c r="R1176" i="1" a="1"/>
  <c r="R1179" i="1" a="1"/>
  <c r="R1182" i="1" a="1"/>
  <c r="R1185" i="1" a="1"/>
  <c r="R1188" i="1" a="1"/>
  <c r="R1191" i="1" a="1"/>
  <c r="R1194" i="1" a="1"/>
  <c r="R1197" i="1" a="1"/>
  <c r="R1200" i="1" a="1"/>
  <c r="R1203" i="1" a="1"/>
  <c r="R1206" i="1" a="1"/>
  <c r="R1209" i="1" a="1"/>
  <c r="R1212" i="1" a="1"/>
  <c r="R1215" i="1" a="1"/>
  <c r="R1218" i="1" a="1"/>
  <c r="R1221" i="1" a="1"/>
  <c r="R1224" i="1" a="1"/>
  <c r="R1227" i="1" a="1"/>
  <c r="R1230" i="1" a="1"/>
  <c r="R1233" i="1" a="1"/>
  <c r="R1236" i="1" a="1"/>
  <c r="R1239" i="1" a="1"/>
  <c r="R1242" i="1" a="1"/>
  <c r="R1245" i="1" a="1"/>
  <c r="R1248" i="1" a="1"/>
  <c r="R1251" i="1" a="1"/>
  <c r="R1254" i="1" a="1"/>
  <c r="R1257" i="1" a="1"/>
  <c r="R1260" i="1" a="1"/>
  <c r="R1263" i="1" a="1"/>
  <c r="R1266" i="1" a="1"/>
  <c r="R1269" i="1" a="1"/>
  <c r="R1272" i="1" a="1"/>
  <c r="R1275" i="1" a="1"/>
  <c r="R1278" i="1" a="1"/>
  <c r="R1281" i="1" a="1"/>
  <c r="R1284" i="1" a="1"/>
  <c r="R1287" i="1" a="1"/>
  <c r="R1290" i="1" a="1"/>
  <c r="R1293" i="1" a="1"/>
  <c r="R1296" i="1" a="1"/>
  <c r="R1299" i="1" a="1"/>
  <c r="R1302" i="1" a="1"/>
  <c r="R1305" i="1" a="1"/>
  <c r="R1308" i="1" a="1"/>
  <c r="R1311" i="1" a="1"/>
  <c r="R1314" i="1" a="1"/>
  <c r="R1317" i="1" a="1"/>
  <c r="R1320" i="1" a="1"/>
  <c r="R1323" i="1" a="1"/>
  <c r="R1326" i="1" a="1"/>
  <c r="R1329" i="1" a="1"/>
  <c r="R1332" i="1" a="1"/>
  <c r="R1335" i="1" a="1"/>
  <c r="R1338" i="1" a="1"/>
  <c r="R1341" i="1" a="1"/>
  <c r="R1344" i="1" a="1"/>
  <c r="R1347" i="1" a="1"/>
  <c r="R1350" i="1" a="1"/>
  <c r="R1353" i="1" a="1"/>
  <c r="R1356" i="1" a="1"/>
  <c r="R1359" i="1" a="1"/>
  <c r="R1362" i="1" a="1"/>
  <c r="R1365" i="1" a="1"/>
  <c r="R1368" i="1" a="1"/>
  <c r="R1371" i="1" a="1"/>
  <c r="R1374" i="1" a="1"/>
  <c r="R1377" i="1" a="1"/>
  <c r="R1380" i="1" a="1"/>
  <c r="R1383" i="1" a="1"/>
  <c r="R1386" i="1" a="1"/>
  <c r="R1389" i="1" a="1"/>
  <c r="R1392" i="1" a="1"/>
  <c r="R1395" i="1" a="1"/>
  <c r="R1398" i="1" a="1"/>
  <c r="R1401" i="1" a="1"/>
  <c r="R1404" i="1" a="1"/>
  <c r="R1407" i="1" a="1"/>
  <c r="R1410" i="1" a="1"/>
  <c r="R1413" i="1" a="1"/>
  <c r="R1416" i="1" a="1"/>
  <c r="R1419" i="1" a="1"/>
  <c r="R1422" i="1" a="1"/>
  <c r="R1425" i="1" a="1"/>
  <c r="R1428" i="1" a="1"/>
  <c r="R1434" i="1" a="1"/>
  <c r="R19" i="1" a="1"/>
  <c r="R22" i="1" a="1"/>
  <c r="R25" i="1" a="1"/>
  <c r="R28" i="1" a="1"/>
  <c r="R31" i="1" a="1"/>
  <c r="R34" i="1" a="1"/>
  <c r="R37" i="1" a="1"/>
  <c r="R40" i="1" a="1"/>
  <c r="R43" i="1" a="1"/>
  <c r="R46" i="1" a="1"/>
  <c r="R49" i="1" a="1"/>
  <c r="R52" i="1" a="1"/>
  <c r="R55" i="1" a="1"/>
  <c r="R58" i="1" a="1"/>
  <c r="R61" i="1" a="1"/>
  <c r="R64" i="1" a="1"/>
  <c r="R67" i="1" a="1"/>
  <c r="R70" i="1" a="1"/>
  <c r="R73" i="1" a="1"/>
  <c r="R76" i="1" a="1"/>
  <c r="R79" i="1" a="1"/>
  <c r="R82" i="1" a="1"/>
  <c r="R85" i="1" a="1"/>
  <c r="R88" i="1" a="1"/>
  <c r="R91" i="1" a="1"/>
  <c r="R94" i="1" a="1"/>
  <c r="R97" i="1" a="1"/>
  <c r="R100" i="1" a="1"/>
  <c r="R103" i="1" a="1"/>
  <c r="R106" i="1" a="1"/>
  <c r="R109" i="1" a="1"/>
  <c r="R112" i="1" a="1"/>
  <c r="R115" i="1" a="1"/>
  <c r="R118" i="1" a="1"/>
  <c r="R121" i="1" a="1"/>
  <c r="R124" i="1" a="1"/>
  <c r="R127" i="1" a="1"/>
  <c r="R130" i="1" a="1"/>
  <c r="R133" i="1" a="1"/>
  <c r="R136" i="1" a="1"/>
  <c r="R139" i="1" a="1"/>
  <c r="R142" i="1" a="1"/>
  <c r="R145" i="1" a="1"/>
  <c r="R148" i="1" a="1"/>
  <c r="R151" i="1" a="1"/>
  <c r="R154" i="1" a="1"/>
  <c r="R157" i="1" a="1"/>
  <c r="R160" i="1" a="1"/>
  <c r="R163" i="1" a="1"/>
  <c r="R166" i="1" a="1"/>
  <c r="R169" i="1" a="1"/>
  <c r="R172" i="1" a="1"/>
  <c r="R175" i="1" a="1"/>
  <c r="R178" i="1" a="1"/>
  <c r="R181" i="1" a="1"/>
  <c r="R184" i="1" a="1"/>
  <c r="R187" i="1" a="1"/>
  <c r="R190" i="1" a="1"/>
  <c r="R193" i="1" a="1"/>
  <c r="R196" i="1" a="1"/>
  <c r="R199" i="1" a="1"/>
  <c r="R202" i="1" a="1"/>
  <c r="R205" i="1" a="1"/>
  <c r="R208" i="1" a="1"/>
  <c r="R211" i="1" a="1"/>
  <c r="R214" i="1" a="1"/>
  <c r="R217" i="1" a="1"/>
  <c r="R220" i="1" a="1"/>
  <c r="R223" i="1" a="1"/>
  <c r="R226" i="1" a="1"/>
  <c r="R229" i="1" a="1"/>
  <c r="R232" i="1" a="1"/>
  <c r="R235" i="1" a="1"/>
  <c r="R238" i="1" a="1"/>
  <c r="R241" i="1" a="1"/>
  <c r="R244" i="1" a="1"/>
  <c r="R247" i="1" a="1"/>
  <c r="R250" i="1" a="1"/>
  <c r="R253" i="1" a="1"/>
  <c r="R256" i="1" a="1"/>
  <c r="R259" i="1" a="1"/>
  <c r="R262" i="1" a="1"/>
  <c r="R265" i="1" a="1"/>
  <c r="R268" i="1" a="1"/>
  <c r="R271" i="1" a="1"/>
  <c r="R274" i="1" a="1"/>
  <c r="R277" i="1" a="1"/>
  <c r="R280" i="1" a="1"/>
  <c r="R283" i="1" a="1"/>
  <c r="R286" i="1" a="1"/>
  <c r="R289" i="1" a="1"/>
  <c r="R292" i="1" a="1"/>
  <c r="R295" i="1" a="1"/>
  <c r="R298" i="1" a="1"/>
  <c r="R301" i="1" a="1"/>
  <c r="R304" i="1" a="1"/>
  <c r="R307" i="1" a="1"/>
  <c r="R310" i="1" a="1"/>
  <c r="R313" i="1" a="1"/>
  <c r="R316" i="1" a="1"/>
  <c r="R319" i="1" a="1"/>
  <c r="R322" i="1" a="1"/>
  <c r="R325" i="1" a="1"/>
  <c r="R328" i="1" a="1"/>
  <c r="R331" i="1" a="1"/>
  <c r="R334" i="1" a="1"/>
  <c r="R337" i="1" a="1"/>
  <c r="R340" i="1" a="1"/>
  <c r="R343" i="1" a="1"/>
  <c r="R349" i="1" a="1"/>
  <c r="R352" i="1" a="1"/>
  <c r="R355" i="1" a="1"/>
  <c r="R358" i="1" a="1"/>
  <c r="R361" i="1" a="1"/>
  <c r="R364" i="1" a="1"/>
  <c r="R367" i="1" a="1"/>
  <c r="R370" i="1" a="1"/>
  <c r="R373" i="1" a="1"/>
  <c r="R376" i="1" a="1"/>
  <c r="R379" i="1" a="1"/>
  <c r="R382" i="1" a="1"/>
  <c r="R385" i="1" a="1"/>
  <c r="R388" i="1" a="1"/>
  <c r="R391" i="1" a="1"/>
  <c r="R394" i="1" a="1"/>
  <c r="R397" i="1" a="1"/>
  <c r="R400" i="1" a="1"/>
  <c r="R403" i="1" a="1"/>
  <c r="R406" i="1" a="1"/>
  <c r="R409" i="1" a="1"/>
  <c r="R412" i="1" a="1"/>
  <c r="R415" i="1" a="1"/>
  <c r="R418" i="1" a="1"/>
  <c r="R421" i="1" a="1"/>
  <c r="R424" i="1" a="1"/>
  <c r="R427" i="1" a="1"/>
  <c r="R430" i="1" a="1"/>
  <c r="R433" i="1" a="1"/>
  <c r="R436" i="1" a="1"/>
  <c r="R439" i="1" a="1"/>
  <c r="R442" i="1" a="1"/>
  <c r="R445" i="1" a="1"/>
  <c r="R448" i="1" a="1"/>
  <c r="R451" i="1" a="1"/>
  <c r="R454" i="1" a="1"/>
  <c r="R457" i="1" a="1"/>
  <c r="R460" i="1" a="1"/>
  <c r="R463" i="1" a="1"/>
  <c r="R466" i="1" a="1"/>
  <c r="R469" i="1" a="1"/>
  <c r="R472" i="1" a="1"/>
  <c r="R475" i="1" a="1"/>
  <c r="R478" i="1" a="1"/>
  <c r="R481" i="1" a="1"/>
  <c r="R484" i="1" a="1"/>
  <c r="R487" i="1" a="1"/>
  <c r="R490" i="1" a="1"/>
  <c r="R493" i="1" a="1"/>
  <c r="R496" i="1" a="1"/>
  <c r="R499" i="1" a="1"/>
  <c r="R502" i="1" a="1"/>
  <c r="R505" i="1" a="1"/>
  <c r="R508" i="1" a="1"/>
  <c r="R511" i="1" a="1"/>
  <c r="R517" i="1" a="1"/>
  <c r="R520" i="1" a="1"/>
  <c r="R523" i="1" a="1"/>
  <c r="R526" i="1" a="1"/>
  <c r="R529" i="1" a="1"/>
  <c r="R532" i="1" a="1"/>
  <c r="R535" i="1" a="1"/>
  <c r="R538" i="1" a="1"/>
  <c r="R541" i="1" a="1"/>
  <c r="R544" i="1" a="1"/>
  <c r="R547" i="1" a="1"/>
  <c r="R550" i="1" a="1"/>
  <c r="R553" i="1" a="1"/>
  <c r="R556" i="1" a="1"/>
  <c r="R559" i="1" a="1"/>
  <c r="R562" i="1" a="1"/>
  <c r="R565" i="1" a="1"/>
  <c r="R568" i="1" a="1"/>
  <c r="R571" i="1" a="1"/>
  <c r="R574" i="1" a="1"/>
  <c r="R577" i="1" a="1"/>
  <c r="R580" i="1" a="1"/>
  <c r="R583" i="1" a="1"/>
  <c r="R586" i="1" a="1"/>
  <c r="R589" i="1" a="1"/>
  <c r="R592" i="1" a="1"/>
  <c r="R595" i="1" a="1"/>
  <c r="R598" i="1" a="1"/>
  <c r="R601" i="1" a="1"/>
  <c r="R604" i="1" a="1"/>
  <c r="R607" i="1" a="1"/>
  <c r="R610" i="1" a="1"/>
  <c r="R613" i="1" a="1"/>
  <c r="R616" i="1" a="1"/>
  <c r="R619" i="1" a="1"/>
  <c r="R622" i="1" a="1"/>
  <c r="R625" i="1" a="1"/>
  <c r="R628" i="1" a="1"/>
  <c r="R631" i="1" a="1"/>
  <c r="R634" i="1" a="1"/>
  <c r="R637" i="1" a="1"/>
  <c r="R640" i="1" a="1"/>
  <c r="R643" i="1" a="1"/>
  <c r="R646" i="1" a="1"/>
  <c r="R649" i="1" a="1"/>
  <c r="R652" i="1" a="1"/>
  <c r="R655" i="1" a="1"/>
  <c r="R658" i="1" a="1"/>
  <c r="R661" i="1" a="1"/>
  <c r="R664" i="1" a="1"/>
  <c r="R667" i="1" a="1"/>
  <c r="R670" i="1" a="1"/>
  <c r="R673" i="1" a="1"/>
  <c r="R676" i="1" a="1"/>
  <c r="R679" i="1" a="1"/>
  <c r="R682" i="1" a="1"/>
  <c r="R685" i="1" a="1"/>
  <c r="R688" i="1" a="1"/>
  <c r="R691" i="1" a="1"/>
  <c r="R694" i="1" a="1"/>
  <c r="R697" i="1" a="1"/>
  <c r="R700" i="1" a="1"/>
  <c r="R703" i="1" a="1"/>
  <c r="R706" i="1" a="1"/>
  <c r="R709" i="1" a="1"/>
  <c r="R712" i="1" a="1"/>
  <c r="R715" i="1" a="1"/>
  <c r="R718" i="1" a="1"/>
  <c r="R721" i="1" a="1"/>
  <c r="R724" i="1" a="1"/>
  <c r="R727" i="1" a="1"/>
  <c r="R730" i="1" a="1"/>
  <c r="R733" i="1" a="1"/>
  <c r="R736" i="1" a="1"/>
  <c r="R739" i="1" a="1"/>
  <c r="R742" i="1" a="1"/>
  <c r="R745" i="1" a="1"/>
  <c r="R748" i="1" a="1"/>
  <c r="R751" i="1" a="1"/>
  <c r="R754" i="1" a="1"/>
  <c r="R757" i="1" a="1"/>
  <c r="R760" i="1" a="1"/>
  <c r="R763" i="1" a="1"/>
  <c r="R766" i="1" a="1"/>
  <c r="R769" i="1" a="1"/>
  <c r="R772" i="1" a="1"/>
  <c r="R775" i="1" a="1"/>
  <c r="R778" i="1" a="1"/>
  <c r="R781" i="1" a="1"/>
  <c r="R784" i="1" a="1"/>
  <c r="R787" i="1" a="1"/>
  <c r="R790" i="1" a="1"/>
  <c r="R793" i="1" a="1"/>
  <c r="R796" i="1" a="1"/>
  <c r="R799" i="1" a="1"/>
  <c r="R802" i="1" a="1"/>
  <c r="R805" i="1" a="1"/>
  <c r="R808" i="1" a="1"/>
  <c r="R811" i="1" a="1"/>
  <c r="R814" i="1" a="1"/>
  <c r="R817" i="1" a="1"/>
  <c r="R820" i="1" a="1"/>
  <c r="R823" i="1" a="1"/>
  <c r="R826" i="1" a="1"/>
  <c r="R829" i="1" a="1"/>
  <c r="R832" i="1" a="1"/>
  <c r="R835" i="1" a="1"/>
  <c r="R838" i="1" a="1"/>
  <c r="R841" i="1" a="1"/>
  <c r="R844" i="1" a="1"/>
  <c r="R847" i="1" a="1"/>
  <c r="R850" i="1" a="1"/>
  <c r="R853" i="1" a="1"/>
  <c r="R856" i="1" a="1"/>
  <c r="R859" i="1" a="1"/>
  <c r="R862" i="1" a="1"/>
  <c r="R865" i="1" a="1"/>
  <c r="R868" i="1" a="1"/>
  <c r="R871" i="1" a="1"/>
  <c r="R874" i="1" a="1"/>
  <c r="R877" i="1" a="1"/>
  <c r="R880" i="1" a="1"/>
  <c r="R883" i="1" a="1"/>
  <c r="R886" i="1" a="1"/>
  <c r="R889" i="1" a="1"/>
  <c r="R892" i="1" a="1"/>
  <c r="R895" i="1" a="1"/>
  <c r="R898" i="1" a="1"/>
  <c r="R901" i="1" a="1"/>
  <c r="R904" i="1" a="1"/>
  <c r="R907" i="1" a="1"/>
  <c r="R910" i="1" a="1"/>
  <c r="R913" i="1" a="1"/>
  <c r="R916" i="1" a="1"/>
  <c r="R919" i="1" a="1"/>
  <c r="R922" i="1" a="1"/>
  <c r="R925" i="1" a="1"/>
  <c r="R928" i="1" a="1"/>
  <c r="R931" i="1" a="1"/>
  <c r="R934" i="1" a="1"/>
  <c r="R937" i="1" a="1"/>
  <c r="R940" i="1" a="1"/>
  <c r="R943" i="1" a="1"/>
  <c r="R946" i="1" a="1"/>
  <c r="R949" i="1" a="1"/>
  <c r="R952" i="1" a="1"/>
  <c r="R955" i="1" a="1"/>
  <c r="R958" i="1" a="1"/>
  <c r="R961" i="1" a="1"/>
  <c r="R964" i="1" a="1"/>
  <c r="R967" i="1" a="1"/>
  <c r="R970" i="1" a="1"/>
  <c r="R973" i="1" a="1"/>
  <c r="R976" i="1" a="1"/>
  <c r="R979" i="1" a="1"/>
  <c r="R982" i="1" a="1"/>
  <c r="R985" i="1" a="1"/>
  <c r="R988" i="1" a="1"/>
  <c r="R991" i="1" a="1"/>
  <c r="R994" i="1" a="1"/>
  <c r="R997" i="1" a="1"/>
  <c r="R1000" i="1" a="1"/>
  <c r="R1003" i="1" a="1"/>
  <c r="R1006" i="1" a="1"/>
  <c r="R1009" i="1" a="1"/>
  <c r="R1012" i="1" a="1"/>
  <c r="R1015" i="1" a="1"/>
  <c r="R1018" i="1" a="1"/>
  <c r="R1021" i="1" a="1"/>
  <c r="R1024" i="1" a="1"/>
  <c r="R1027" i="1" a="1"/>
  <c r="R1030" i="1" a="1"/>
  <c r="R1033" i="1" a="1"/>
  <c r="R1036" i="1" a="1"/>
  <c r="R1039" i="1" a="1"/>
  <c r="R1042" i="1" a="1"/>
  <c r="R1045" i="1" a="1"/>
  <c r="R1048" i="1" a="1"/>
  <c r="R1051" i="1" a="1"/>
  <c r="R1054" i="1" a="1"/>
  <c r="R1057" i="1" a="1"/>
  <c r="R1060" i="1" a="1"/>
  <c r="R1063" i="1" a="1"/>
  <c r="R1066" i="1" a="1"/>
  <c r="R1069" i="1" a="1"/>
  <c r="R1072" i="1" a="1"/>
  <c r="R1075" i="1" a="1"/>
  <c r="R1078" i="1" a="1"/>
  <c r="R1081" i="1" a="1"/>
  <c r="R1084" i="1" a="1"/>
  <c r="R1087" i="1" a="1"/>
  <c r="R1090" i="1" a="1"/>
  <c r="R1093" i="1" a="1"/>
  <c r="R1096" i="1" a="1"/>
  <c r="R1099" i="1" a="1"/>
  <c r="R1102" i="1" a="1"/>
  <c r="R1105" i="1" a="1"/>
  <c r="R1108" i="1" a="1"/>
  <c r="R1111" i="1" a="1"/>
  <c r="R1114" i="1" a="1"/>
  <c r="R1117" i="1" a="1"/>
  <c r="R1120" i="1" a="1"/>
  <c r="R1123" i="1" a="1"/>
  <c r="R1126" i="1" a="1"/>
  <c r="R1129" i="1" a="1"/>
  <c r="R1132" i="1" a="1"/>
  <c r="R1135" i="1" a="1"/>
  <c r="R1138" i="1" a="1"/>
  <c r="R1141" i="1" a="1"/>
  <c r="R1144" i="1" a="1"/>
  <c r="R1147" i="1" a="1"/>
  <c r="R1150" i="1" a="1"/>
  <c r="R1153" i="1" a="1"/>
  <c r="R1156" i="1" a="1"/>
  <c r="R1159" i="1" a="1"/>
  <c r="R1162" i="1" a="1"/>
  <c r="R1165" i="1" a="1"/>
  <c r="R1168" i="1" a="1"/>
  <c r="R1171" i="1" a="1"/>
  <c r="R1174" i="1" a="1"/>
  <c r="R1177" i="1" a="1"/>
  <c r="R1180" i="1" a="1"/>
  <c r="R1183" i="1" a="1"/>
  <c r="R1186" i="1" a="1"/>
  <c r="R1189" i="1" a="1"/>
  <c r="R1192" i="1" a="1"/>
  <c r="R1195" i="1" a="1"/>
  <c r="R1198" i="1" a="1"/>
  <c r="R1201" i="1" a="1"/>
  <c r="R1204" i="1" a="1"/>
  <c r="R1207" i="1" a="1"/>
  <c r="R1210" i="1" a="1"/>
  <c r="R1213" i="1" a="1"/>
  <c r="R1216" i="1" a="1"/>
  <c r="R1219" i="1" a="1"/>
  <c r="R1222" i="1" a="1"/>
  <c r="R1225" i="1" a="1"/>
  <c r="R1228" i="1" a="1"/>
  <c r="R1231" i="1" a="1"/>
  <c r="R1234" i="1" a="1"/>
  <c r="R1237" i="1" a="1"/>
  <c r="R1240" i="1" a="1"/>
  <c r="R1243" i="1" a="1"/>
  <c r="R1246" i="1" a="1"/>
  <c r="R1249" i="1" a="1"/>
  <c r="R1252" i="1" a="1"/>
  <c r="R1255" i="1" a="1"/>
  <c r="R1258" i="1" a="1"/>
  <c r="R1261" i="1" a="1"/>
  <c r="R1264" i="1" a="1"/>
  <c r="R1267" i="1" a="1"/>
  <c r="R1270" i="1" a="1"/>
  <c r="R1273" i="1" a="1"/>
  <c r="R1276" i="1" a="1"/>
  <c r="R1279" i="1" a="1"/>
  <c r="R1282" i="1" a="1"/>
  <c r="R1285" i="1" a="1"/>
  <c r="R1288" i="1" a="1"/>
  <c r="R1291" i="1" a="1"/>
  <c r="R1294" i="1" a="1"/>
  <c r="R1297" i="1" a="1"/>
  <c r="R1300" i="1" a="1"/>
  <c r="R1303" i="1" a="1"/>
  <c r="R1306" i="1" a="1"/>
  <c r="R1309" i="1" a="1"/>
  <c r="R1312" i="1" a="1"/>
  <c r="R1315" i="1" a="1"/>
  <c r="R1318" i="1" a="1"/>
  <c r="R1321" i="1" a="1"/>
  <c r="R1324" i="1" a="1"/>
  <c r="R1327" i="1" a="1"/>
  <c r="R1330" i="1" a="1"/>
  <c r="R1333" i="1" a="1"/>
  <c r="R1336" i="1" a="1"/>
  <c r="R1339" i="1" a="1"/>
  <c r="R1342" i="1" a="1"/>
  <c r="R1345" i="1" a="1"/>
  <c r="R1348" i="1" a="1"/>
  <c r="R1351" i="1" a="1"/>
  <c r="R1354" i="1" a="1"/>
  <c r="R1357" i="1" a="1"/>
  <c r="R1360" i="1" a="1"/>
  <c r="R1363" i="1" a="1"/>
  <c r="R1366" i="1" a="1"/>
  <c r="R1369" i="1" a="1"/>
  <c r="R1372" i="1" a="1"/>
  <c r="R1375" i="1" a="1"/>
  <c r="R1378" i="1" a="1"/>
  <c r="R1381" i="1" a="1"/>
  <c r="R1384" i="1" a="1"/>
  <c r="R1387" i="1" a="1"/>
  <c r="R1390" i="1" a="1"/>
  <c r="R1393" i="1" a="1"/>
  <c r="R1396" i="1" a="1"/>
  <c r="R1399" i="1" a="1"/>
  <c r="R1402" i="1" a="1"/>
  <c r="R1405" i="1" a="1"/>
  <c r="R1408" i="1" a="1"/>
  <c r="R1411" i="1" a="1"/>
  <c r="R17" i="1" a="1"/>
  <c r="R20" i="1" a="1"/>
  <c r="R23" i="1" a="1"/>
  <c r="R26" i="1" a="1"/>
  <c r="R29" i="1" a="1"/>
  <c r="R32" i="1" a="1"/>
  <c r="R35" i="1" a="1"/>
  <c r="R38" i="1" a="1"/>
  <c r="R41" i="1" a="1"/>
  <c r="R44" i="1" a="1"/>
  <c r="R47" i="1" a="1"/>
  <c r="R50" i="1" a="1"/>
  <c r="R53" i="1" a="1"/>
  <c r="R56" i="1" a="1"/>
  <c r="R59" i="1" a="1"/>
  <c r="R62" i="1" a="1"/>
  <c r="R65" i="1" a="1"/>
  <c r="R68" i="1" a="1"/>
  <c r="R71" i="1" a="1"/>
  <c r="R74" i="1" a="1"/>
  <c r="R77" i="1" a="1"/>
  <c r="R80" i="1" a="1"/>
  <c r="R83" i="1" a="1"/>
  <c r="R86" i="1" a="1"/>
  <c r="R89" i="1" a="1"/>
  <c r="R92" i="1" a="1"/>
  <c r="R95" i="1" a="1"/>
  <c r="R98" i="1" a="1"/>
  <c r="R101" i="1" a="1"/>
  <c r="R104" i="1" a="1"/>
  <c r="R107" i="1" a="1"/>
  <c r="R110" i="1" a="1"/>
  <c r="R113" i="1" a="1"/>
  <c r="R116" i="1" a="1"/>
  <c r="R119" i="1" a="1"/>
  <c r="R122" i="1" a="1"/>
  <c r="R125" i="1" a="1"/>
  <c r="R128" i="1" a="1"/>
  <c r="R131" i="1" a="1"/>
  <c r="R134" i="1" a="1"/>
  <c r="R137" i="1" a="1"/>
  <c r="R140" i="1" a="1"/>
  <c r="R143" i="1" a="1"/>
  <c r="R146" i="1" a="1"/>
  <c r="R149" i="1" a="1"/>
  <c r="R152" i="1" a="1"/>
  <c r="R155" i="1" a="1"/>
  <c r="R161" i="1" a="1"/>
  <c r="R164" i="1" a="1"/>
  <c r="R167" i="1" a="1"/>
  <c r="R170" i="1" a="1"/>
  <c r="R173" i="1" a="1"/>
  <c r="R176" i="1" a="1"/>
  <c r="R179" i="1" a="1"/>
  <c r="R182" i="1" a="1"/>
  <c r="R185" i="1" a="1"/>
  <c r="R188" i="1" a="1"/>
  <c r="R191" i="1" a="1"/>
  <c r="R194" i="1" a="1"/>
  <c r="R197" i="1" a="1"/>
  <c r="R200" i="1" a="1"/>
  <c r="R203" i="1" a="1"/>
  <c r="R206" i="1" a="1"/>
  <c r="R209" i="1" a="1"/>
  <c r="R212" i="1" a="1"/>
  <c r="R215" i="1" a="1"/>
  <c r="R218" i="1" a="1"/>
  <c r="R221" i="1" a="1"/>
  <c r="R224" i="1" a="1"/>
  <c r="R227" i="1" a="1"/>
  <c r="R230" i="1" a="1"/>
  <c r="R233" i="1" a="1"/>
  <c r="R236" i="1" a="1"/>
  <c r="R239" i="1" a="1"/>
  <c r="R242" i="1" a="1"/>
  <c r="R245" i="1" a="1"/>
  <c r="R248" i="1" a="1"/>
  <c r="R251" i="1" a="1"/>
  <c r="R254" i="1" a="1"/>
  <c r="R257" i="1" a="1"/>
  <c r="R260" i="1" a="1"/>
  <c r="R263" i="1" a="1"/>
  <c r="R266" i="1" a="1"/>
  <c r="R269" i="1" a="1"/>
  <c r="R272" i="1" a="1"/>
  <c r="R275" i="1" a="1"/>
  <c r="R278" i="1" a="1"/>
  <c r="R281" i="1" a="1"/>
  <c r="R284" i="1" a="1"/>
  <c r="R287" i="1" a="1"/>
  <c r="R290" i="1" a="1"/>
  <c r="R293" i="1" a="1"/>
  <c r="R296" i="1" a="1"/>
  <c r="R299" i="1" a="1"/>
  <c r="R302" i="1" a="1"/>
  <c r="R305" i="1" a="1"/>
  <c r="R308" i="1" a="1"/>
  <c r="R311" i="1" a="1"/>
  <c r="R314" i="1" a="1"/>
  <c r="R317" i="1" a="1"/>
  <c r="R320" i="1" a="1"/>
  <c r="R323" i="1" a="1"/>
  <c r="R326" i="1" a="1"/>
  <c r="R329" i="1" a="1"/>
  <c r="R332" i="1" a="1"/>
  <c r="R335" i="1" a="1"/>
  <c r="R338" i="1" a="1"/>
  <c r="R341" i="1" a="1"/>
  <c r="R344" i="1" a="1"/>
  <c r="R347" i="1" a="1"/>
  <c r="R350" i="1" a="1"/>
  <c r="R353" i="1" a="1"/>
  <c r="R356" i="1" a="1"/>
  <c r="R359" i="1" a="1"/>
  <c r="R362" i="1" a="1"/>
  <c r="R365" i="1" a="1"/>
  <c r="R368" i="1" a="1"/>
  <c r="R371" i="1" a="1"/>
  <c r="R374" i="1" a="1"/>
  <c r="R377" i="1" a="1"/>
  <c r="R380" i="1" a="1"/>
  <c r="R383" i="1" a="1"/>
  <c r="R386" i="1" a="1"/>
  <c r="R389" i="1" a="1"/>
  <c r="R392" i="1" a="1"/>
  <c r="R395" i="1" a="1"/>
  <c r="R398" i="1" a="1"/>
  <c r="R401" i="1" a="1"/>
  <c r="R404" i="1" a="1"/>
  <c r="R407" i="1" a="1"/>
  <c r="R410" i="1" a="1"/>
  <c r="R413" i="1" a="1"/>
  <c r="R416" i="1" a="1"/>
  <c r="R419" i="1" a="1"/>
  <c r="R422" i="1" a="1"/>
  <c r="R425" i="1" a="1"/>
  <c r="R428" i="1" a="1"/>
  <c r="R431" i="1" a="1"/>
  <c r="R434" i="1" a="1"/>
  <c r="R437" i="1" a="1"/>
  <c r="R440" i="1" a="1"/>
  <c r="R443" i="1" a="1"/>
  <c r="R446" i="1" a="1"/>
  <c r="R449" i="1" a="1"/>
  <c r="R452" i="1" a="1"/>
  <c r="R455" i="1" a="1"/>
  <c r="R458" i="1" a="1"/>
  <c r="R461" i="1" a="1"/>
  <c r="R464" i="1" a="1"/>
  <c r="R467" i="1" a="1"/>
  <c r="R470" i="1" a="1"/>
  <c r="R473" i="1" a="1"/>
  <c r="R476" i="1" a="1"/>
  <c r="R479" i="1" a="1"/>
  <c r="R482" i="1" a="1"/>
  <c r="R485" i="1" a="1"/>
  <c r="R488" i="1" a="1"/>
  <c r="R491" i="1" a="1"/>
  <c r="R494" i="1" a="1"/>
  <c r="R497" i="1" a="1"/>
  <c r="R500" i="1" a="1"/>
  <c r="R503" i="1" a="1"/>
  <c r="R506" i="1" a="1"/>
  <c r="R509" i="1" a="1"/>
  <c r="R512" i="1" a="1"/>
  <c r="R515" i="1" a="1"/>
  <c r="R518" i="1" a="1"/>
  <c r="R521" i="1" a="1"/>
  <c r="R524" i="1" a="1"/>
  <c r="R527" i="1" a="1"/>
  <c r="R530" i="1" a="1"/>
  <c r="R533" i="1" a="1"/>
  <c r="R536" i="1" a="1"/>
  <c r="R539" i="1" a="1"/>
  <c r="R542" i="1" a="1"/>
  <c r="R545" i="1" a="1"/>
  <c r="R548" i="1" a="1"/>
  <c r="R551" i="1" a="1"/>
  <c r="R554" i="1" a="1"/>
  <c r="R557" i="1" a="1"/>
  <c r="R560" i="1" a="1"/>
  <c r="R563" i="1" a="1"/>
  <c r="R566" i="1" a="1"/>
  <c r="R569" i="1" a="1"/>
  <c r="R572" i="1" a="1"/>
  <c r="R575" i="1" a="1"/>
  <c r="R578" i="1" a="1"/>
  <c r="R581" i="1" a="1"/>
  <c r="R584" i="1" a="1"/>
  <c r="R587" i="1" a="1"/>
  <c r="R590" i="1" a="1"/>
  <c r="R593" i="1" a="1"/>
  <c r="R596" i="1" a="1"/>
  <c r="R599" i="1" a="1"/>
  <c r="R602" i="1" a="1"/>
  <c r="R605" i="1" a="1"/>
  <c r="R608" i="1" a="1"/>
  <c r="R611" i="1" a="1"/>
  <c r="R614" i="1" a="1"/>
  <c r="R617" i="1" a="1"/>
  <c r="R620" i="1" a="1"/>
  <c r="R623" i="1" a="1"/>
  <c r="R626" i="1" a="1"/>
  <c r="R629" i="1" a="1"/>
  <c r="R632" i="1" a="1"/>
  <c r="R635" i="1" a="1"/>
  <c r="R638" i="1" a="1"/>
  <c r="R641" i="1" a="1"/>
  <c r="R644" i="1" a="1"/>
  <c r="R647" i="1" a="1"/>
  <c r="R650" i="1" a="1"/>
  <c r="R656" i="1" a="1"/>
  <c r="R659" i="1" a="1"/>
  <c r="R662" i="1" a="1"/>
  <c r="R665" i="1" a="1"/>
  <c r="R668" i="1" a="1"/>
  <c r="R671" i="1" a="1"/>
  <c r="R674" i="1" a="1"/>
  <c r="R677" i="1" a="1"/>
  <c r="R680" i="1" a="1"/>
  <c r="R683" i="1" a="1"/>
  <c r="R686" i="1" a="1"/>
  <c r="R689" i="1" a="1"/>
  <c r="R692" i="1" a="1"/>
  <c r="R695" i="1" a="1"/>
  <c r="R698" i="1" a="1"/>
  <c r="R701" i="1" a="1"/>
  <c r="R704" i="1" a="1"/>
  <c r="R707" i="1" a="1"/>
  <c r="R710" i="1" a="1"/>
  <c r="R713" i="1" a="1"/>
  <c r="R716" i="1" a="1"/>
  <c r="R719" i="1" a="1"/>
  <c r="R722" i="1" a="1"/>
  <c r="R725" i="1" a="1"/>
  <c r="R728" i="1" a="1"/>
  <c r="R731" i="1" a="1"/>
  <c r="R734" i="1" a="1"/>
  <c r="R737" i="1" a="1"/>
  <c r="R740" i="1" a="1"/>
  <c r="R743" i="1" a="1"/>
  <c r="R746" i="1" a="1"/>
  <c r="R749" i="1" a="1"/>
  <c r="R752" i="1" a="1"/>
  <c r="R755" i="1" a="1"/>
  <c r="R758" i="1" a="1"/>
  <c r="R761" i="1" a="1"/>
  <c r="R764" i="1" a="1"/>
  <c r="R767" i="1" a="1"/>
  <c r="R770" i="1" a="1"/>
  <c r="R773" i="1" a="1"/>
  <c r="R776" i="1" a="1"/>
  <c r="R779" i="1" a="1"/>
  <c r="R782" i="1" a="1"/>
  <c r="R785" i="1" a="1"/>
  <c r="R788" i="1" a="1"/>
  <c r="R791" i="1" a="1"/>
  <c r="R794" i="1" a="1"/>
  <c r="R797" i="1" a="1"/>
  <c r="R800" i="1" a="1"/>
  <c r="R803" i="1" a="1"/>
  <c r="R809" i="1" a="1"/>
  <c r="R812" i="1" a="1"/>
  <c r="R815" i="1" a="1"/>
  <c r="R818" i="1" a="1"/>
  <c r="R821" i="1" a="1"/>
  <c r="R824" i="1" a="1"/>
  <c r="R827" i="1" a="1"/>
  <c r="R830" i="1" a="1"/>
  <c r="R833" i="1" a="1"/>
  <c r="R836" i="1" a="1"/>
  <c r="R839" i="1" a="1"/>
  <c r="R842" i="1" a="1"/>
  <c r="R845" i="1" a="1"/>
  <c r="R848" i="1" a="1"/>
  <c r="R851" i="1" a="1"/>
  <c r="R854" i="1" a="1"/>
  <c r="R857" i="1" a="1"/>
  <c r="R860" i="1" a="1"/>
  <c r="R863" i="1" a="1"/>
  <c r="R866" i="1" a="1"/>
  <c r="R869" i="1" a="1"/>
  <c r="R872" i="1" a="1"/>
  <c r="R875" i="1" a="1"/>
  <c r="R878" i="1" a="1"/>
  <c r="R881" i="1" a="1"/>
  <c r="R884" i="1" a="1"/>
  <c r="R887" i="1" a="1"/>
  <c r="R890" i="1" a="1"/>
  <c r="R893" i="1" a="1"/>
  <c r="R896" i="1" a="1"/>
  <c r="R899" i="1" a="1"/>
  <c r="R902" i="1" a="1"/>
  <c r="R905" i="1" a="1"/>
  <c r="R908" i="1" a="1"/>
  <c r="R911" i="1" a="1"/>
  <c r="R914" i="1" a="1"/>
  <c r="R917" i="1" a="1"/>
  <c r="R920" i="1" a="1"/>
  <c r="R923" i="1" a="1"/>
  <c r="R926" i="1" a="1"/>
  <c r="R929" i="1" a="1"/>
  <c r="R932" i="1" a="1"/>
  <c r="R935" i="1" a="1"/>
  <c r="R938" i="1" a="1"/>
  <c r="R941" i="1" a="1"/>
  <c r="R944" i="1" a="1"/>
  <c r="R947" i="1" a="1"/>
  <c r="R950" i="1" a="1"/>
  <c r="R953" i="1" a="1"/>
  <c r="R956" i="1" a="1"/>
  <c r="R959" i="1" a="1"/>
  <c r="R962" i="1" a="1"/>
  <c r="R968" i="1" a="1"/>
  <c r="R971" i="1" a="1"/>
  <c r="R974" i="1" a="1"/>
  <c r="R977" i="1" a="1"/>
  <c r="R980" i="1" a="1"/>
  <c r="R983" i="1" a="1"/>
  <c r="R986" i="1" a="1"/>
  <c r="R989" i="1" a="1"/>
  <c r="R992" i="1" a="1"/>
  <c r="R995" i="1" a="1"/>
  <c r="R998" i="1" a="1"/>
  <c r="R1001" i="1" a="1"/>
  <c r="R1004" i="1" a="1"/>
  <c r="R1007" i="1" a="1"/>
  <c r="R1010" i="1" a="1"/>
  <c r="R1013" i="1" a="1"/>
  <c r="R1016" i="1" a="1"/>
  <c r="R1019" i="1" a="1"/>
  <c r="R1022" i="1" a="1"/>
  <c r="R1025" i="1" a="1"/>
  <c r="R1028" i="1" a="1"/>
  <c r="R1031" i="1" a="1"/>
  <c r="R1034" i="1" a="1"/>
  <c r="R1037" i="1" a="1"/>
  <c r="R1040" i="1" a="1"/>
  <c r="R1043" i="1" a="1"/>
  <c r="R1046" i="1" a="1"/>
  <c r="R1049" i="1" a="1"/>
  <c r="R1052" i="1" a="1"/>
  <c r="R1055" i="1" a="1"/>
  <c r="R1058" i="1" a="1"/>
  <c r="R1061" i="1" a="1"/>
  <c r="R1064" i="1" a="1"/>
  <c r="R1067" i="1" a="1"/>
  <c r="R1070" i="1" a="1"/>
  <c r="R1073" i="1" a="1"/>
  <c r="R1076" i="1" a="1"/>
  <c r="R1079" i="1" a="1"/>
  <c r="R1082" i="1" a="1"/>
  <c r="R1085" i="1" a="1"/>
  <c r="R1088" i="1" a="1"/>
  <c r="R1091" i="1" a="1"/>
  <c r="R1094" i="1" a="1"/>
  <c r="R1097" i="1" a="1"/>
  <c r="R1100" i="1" a="1"/>
  <c r="R1103" i="1" a="1"/>
  <c r="R1106" i="1" a="1"/>
  <c r="R1109" i="1" a="1"/>
  <c r="R1112" i="1" a="1"/>
  <c r="R1115" i="1" a="1"/>
  <c r="R1118" i="1" a="1"/>
  <c r="R1121" i="1" a="1"/>
  <c r="R1124" i="1" a="1"/>
  <c r="R1127" i="1" a="1"/>
  <c r="R1130" i="1" a="1"/>
  <c r="R1136" i="1" a="1"/>
  <c r="R1139" i="1" a="1"/>
  <c r="R1142" i="1" a="1"/>
  <c r="R1145" i="1" a="1"/>
  <c r="R1148" i="1" a="1"/>
  <c r="R1151" i="1" a="1"/>
  <c r="R1154" i="1" a="1"/>
  <c r="R1157" i="1" a="1"/>
  <c r="R1160" i="1" a="1"/>
  <c r="R1163" i="1" a="1"/>
  <c r="R1166" i="1" a="1"/>
  <c r="R1169" i="1" a="1"/>
  <c r="R1172" i="1" a="1"/>
  <c r="R1175" i="1" a="1"/>
  <c r="R1178" i="1" a="1"/>
  <c r="R1181" i="1" a="1"/>
  <c r="R1184" i="1" a="1"/>
  <c r="R1187" i="1" a="1"/>
  <c r="R1190" i="1" a="1"/>
  <c r="R1193" i="1" a="1"/>
  <c r="R1196" i="1" a="1"/>
  <c r="R1199" i="1" a="1"/>
  <c r="R1202" i="1" a="1"/>
  <c r="R1205" i="1" a="1"/>
  <c r="R1208" i="1" a="1"/>
  <c r="R1211" i="1" a="1"/>
  <c r="R1214" i="1" a="1"/>
  <c r="R1217" i="1" a="1"/>
  <c r="R1220" i="1" a="1"/>
  <c r="R1223" i="1" a="1"/>
  <c r="R1226" i="1" a="1"/>
  <c r="R1229" i="1" a="1"/>
  <c r="R1232" i="1" a="1"/>
  <c r="R1235" i="1" a="1"/>
  <c r="R1238" i="1" a="1"/>
  <c r="R1241" i="1" a="1"/>
  <c r="R1244" i="1" a="1"/>
  <c r="R1247" i="1" a="1"/>
  <c r="R1250" i="1" a="1"/>
  <c r="R1253" i="1" a="1"/>
  <c r="R1256" i="1" a="1"/>
  <c r="R1259" i="1" a="1"/>
  <c r="R1262" i="1" a="1"/>
  <c r="R1265" i="1" a="1"/>
  <c r="R1268" i="1" a="1"/>
  <c r="R1271" i="1" a="1"/>
  <c r="R1274" i="1" a="1"/>
  <c r="R1277" i="1" a="1"/>
  <c r="R1280" i="1" a="1"/>
  <c r="R1283" i="1" a="1"/>
  <c r="R1286" i="1" a="1"/>
  <c r="R1292" i="1" a="1"/>
  <c r="R1295" i="1" a="1"/>
  <c r="R1298" i="1" a="1"/>
  <c r="R1301" i="1" a="1"/>
  <c r="R1304" i="1" a="1"/>
  <c r="R1307" i="1" a="1"/>
  <c r="R1310" i="1" a="1"/>
  <c r="R1313" i="1" a="1"/>
  <c r="R1316" i="1" a="1"/>
  <c r="R1319" i="1" a="1"/>
  <c r="R1322" i="1" a="1"/>
  <c r="R1325" i="1" a="1"/>
  <c r="R1328" i="1" a="1"/>
  <c r="R1331" i="1" a="1"/>
  <c r="R1334" i="1" a="1"/>
  <c r="R1337" i="1" a="1"/>
  <c r="R1340" i="1" a="1"/>
  <c r="R1343" i="1" a="1"/>
  <c r="R1346" i="1" a="1"/>
  <c r="R1349" i="1" a="1"/>
  <c r="R1352" i="1" a="1"/>
  <c r="R1355" i="1" a="1"/>
  <c r="R1358" i="1" a="1"/>
  <c r="R1361" i="1" a="1"/>
  <c r="R1364" i="1" a="1"/>
  <c r="R1367" i="1" a="1"/>
  <c r="R1370" i="1" a="1"/>
  <c r="R1373" i="1" a="1"/>
  <c r="R1376" i="1" a="1"/>
  <c r="R1379" i="1" a="1"/>
  <c r="R1382" i="1" a="1"/>
  <c r="R1385" i="1" a="1"/>
  <c r="R1388" i="1" a="1"/>
  <c r="R1391" i="1" a="1"/>
  <c r="R1394" i="1" a="1"/>
  <c r="R1397" i="1" a="1"/>
  <c r="R1400" i="1" a="1"/>
  <c r="R1403" i="1" a="1"/>
  <c r="R1406" i="1" a="1"/>
  <c r="R1409" i="1" a="1"/>
  <c r="R1412" i="1" a="1"/>
  <c r="R1415" i="1" a="1"/>
  <c r="R1418" i="1" a="1"/>
  <c r="R1421" i="1" a="1"/>
  <c r="R1420" i="1" a="1"/>
  <c r="R1426" i="1" a="1"/>
  <c r="R1430" i="1" a="1"/>
  <c r="R1433" i="1" a="1"/>
  <c r="R1437" i="1" a="1"/>
  <c r="R1440" i="1" a="1"/>
  <c r="R1443" i="1" a="1"/>
  <c r="R1446" i="1" a="1"/>
  <c r="R1449" i="1" a="1"/>
  <c r="R1452" i="1" a="1"/>
  <c r="R1455" i="1" a="1"/>
  <c r="R1458" i="1" a="1"/>
  <c r="R1461" i="1" a="1"/>
  <c r="R1464" i="1" a="1"/>
  <c r="R1467" i="1" a="1"/>
  <c r="R1470" i="1" a="1"/>
  <c r="R1473" i="1" a="1"/>
  <c r="R1476" i="1" a="1"/>
  <c r="R1479" i="1" a="1"/>
  <c r="R1482" i="1" a="1"/>
  <c r="R1485" i="1" a="1"/>
  <c r="R1488" i="1" a="1"/>
  <c r="R1491" i="1" a="1"/>
  <c r="R1494" i="1" a="1"/>
  <c r="R1497" i="1" a="1"/>
  <c r="R1500" i="1" a="1"/>
  <c r="R1503" i="1" a="1"/>
  <c r="R1506" i="1" a="1"/>
  <c r="R1509" i="1" a="1"/>
  <c r="R1512" i="1" a="1"/>
  <c r="R1515" i="1" a="1"/>
  <c r="R1518" i="1" a="1"/>
  <c r="R1521" i="1" a="1"/>
  <c r="R1524" i="1" a="1"/>
  <c r="R1527" i="1" a="1"/>
  <c r="R1530" i="1" a="1"/>
  <c r="R1533" i="1" a="1"/>
  <c r="R1536" i="1" a="1"/>
  <c r="R1539" i="1" a="1"/>
  <c r="R1542" i="1" a="1"/>
  <c r="R1545" i="1" a="1"/>
  <c r="R1548" i="1" a="1"/>
  <c r="R1551" i="1" a="1"/>
  <c r="R1557" i="1" a="1"/>
  <c r="R1560" i="1" a="1"/>
  <c r="R1563" i="1" a="1"/>
  <c r="R1566" i="1" a="1"/>
  <c r="R1569" i="1" a="1"/>
  <c r="R1572" i="1" a="1"/>
  <c r="R1575" i="1" a="1"/>
  <c r="R1578" i="1" a="1"/>
  <c r="R1581" i="1" a="1"/>
  <c r="R1584" i="1" a="1"/>
  <c r="R1587" i="1" a="1"/>
  <c r="R1590" i="1" a="1"/>
  <c r="R1593" i="1" a="1"/>
  <c r="R1596" i="1" a="1"/>
  <c r="R1599" i="1" a="1"/>
  <c r="R1602" i="1" a="1"/>
  <c r="R1605" i="1" a="1"/>
  <c r="R1608" i="1" a="1"/>
  <c r="R1611" i="1" a="1"/>
  <c r="R1614" i="1" a="1"/>
  <c r="R1617" i="1" a="1"/>
  <c r="R1620" i="1" a="1"/>
  <c r="R1623" i="1" a="1"/>
  <c r="R1626" i="1" a="1"/>
  <c r="R1629" i="1" a="1"/>
  <c r="R1632" i="1" a="1"/>
  <c r="R1635" i="1" a="1"/>
  <c r="R1638" i="1" a="1"/>
  <c r="R1641" i="1" a="1"/>
  <c r="R1644" i="1" a="1"/>
  <c r="R1647" i="1" a="1"/>
  <c r="R1650" i="1" a="1"/>
  <c r="R1653" i="1" a="1"/>
  <c r="R1656" i="1" a="1"/>
  <c r="R1659" i="1" a="1"/>
  <c r="R1662" i="1" a="1"/>
  <c r="R1665" i="1" a="1"/>
  <c r="R1668" i="1" a="1"/>
  <c r="R1671" i="1" a="1"/>
  <c r="R1674" i="1" a="1"/>
  <c r="R1677" i="1" a="1"/>
  <c r="R1680" i="1" a="1"/>
  <c r="R1683" i="1" a="1"/>
  <c r="R1686" i="1" a="1"/>
  <c r="R1689" i="1" a="1"/>
  <c r="R1692" i="1" a="1"/>
  <c r="R1695" i="1" a="1"/>
  <c r="Q18" i="1" a="1"/>
  <c r="Q21" i="1" a="1"/>
  <c r="Q24" i="1" a="1"/>
  <c r="Q27" i="1" a="1"/>
  <c r="Q30" i="1" a="1"/>
  <c r="Q33" i="1" a="1"/>
  <c r="Q36" i="1" a="1"/>
  <c r="Q39" i="1" a="1"/>
  <c r="Q42" i="1" a="1"/>
  <c r="Q45" i="1" a="1"/>
  <c r="Q48" i="1" a="1"/>
  <c r="Q51" i="1" a="1"/>
  <c r="Q54" i="1" a="1"/>
  <c r="Q57" i="1" a="1"/>
  <c r="Q60" i="1" a="1"/>
  <c r="Q63" i="1" a="1"/>
  <c r="Q66" i="1" a="1"/>
  <c r="Q69" i="1" a="1"/>
  <c r="Q72" i="1" a="1"/>
  <c r="Q75" i="1" a="1"/>
  <c r="Q78" i="1" a="1"/>
  <c r="Q81" i="1" a="1"/>
  <c r="Q84" i="1" a="1"/>
  <c r="Q87" i="1" a="1"/>
  <c r="Q90" i="1" a="1"/>
  <c r="Q93" i="1" a="1"/>
  <c r="Q96" i="1" a="1"/>
  <c r="Q99" i="1" a="1"/>
  <c r="Q102" i="1" a="1"/>
  <c r="Q105" i="1" a="1"/>
  <c r="Q108" i="1" a="1"/>
  <c r="Q111" i="1" a="1"/>
  <c r="Q114" i="1" a="1"/>
  <c r="Q117" i="1" a="1"/>
  <c r="Q120" i="1" a="1"/>
  <c r="Q123" i="1" a="1"/>
  <c r="Q126" i="1" a="1"/>
  <c r="Q129" i="1" a="1"/>
  <c r="Q132" i="1" a="1"/>
  <c r="Q135" i="1" a="1"/>
  <c r="Q138" i="1" a="1"/>
  <c r="Q141" i="1" a="1"/>
  <c r="Q144" i="1" a="1"/>
  <c r="Q147" i="1" a="1"/>
  <c r="Q150" i="1" a="1"/>
  <c r="Q153" i="1" a="1"/>
  <c r="Q156" i="1" a="1"/>
  <c r="Q159" i="1" a="1"/>
  <c r="Q162" i="1" a="1"/>
  <c r="Q165" i="1" a="1"/>
  <c r="Q168" i="1" a="1"/>
  <c r="Q171" i="1" a="1"/>
  <c r="Q174" i="1" a="1"/>
  <c r="Q177" i="1" a="1"/>
  <c r="Q180" i="1" a="1"/>
  <c r="Q183" i="1" a="1"/>
  <c r="Q186" i="1" a="1"/>
  <c r="Q189" i="1" a="1"/>
  <c r="Q192" i="1" a="1"/>
  <c r="Q195" i="1" a="1"/>
  <c r="Q198" i="1" a="1"/>
  <c r="Q201" i="1" a="1"/>
  <c r="Q204" i="1" a="1"/>
  <c r="Q207" i="1" a="1"/>
  <c r="Q210" i="1" a="1"/>
  <c r="Q213" i="1" a="1"/>
  <c r="Q216" i="1" a="1"/>
  <c r="Q219" i="1" a="1"/>
  <c r="Q222" i="1" a="1"/>
  <c r="Q225" i="1" a="1"/>
  <c r="Q228" i="1" a="1"/>
  <c r="Q231" i="1" a="1"/>
  <c r="Q234" i="1" a="1"/>
  <c r="Q237" i="1" a="1"/>
  <c r="Q240" i="1" a="1"/>
  <c r="Q243" i="1" a="1"/>
  <c r="Q246" i="1" a="1"/>
  <c r="Q249" i="1" a="1"/>
  <c r="Q252" i="1" a="1"/>
  <c r="Q255" i="1" a="1"/>
  <c r="Q258" i="1" a="1"/>
  <c r="Q261" i="1" a="1"/>
  <c r="Q264" i="1" a="1"/>
  <c r="Q267" i="1" a="1"/>
  <c r="Q270" i="1" a="1"/>
  <c r="Q273" i="1" a="1"/>
  <c r="Q276" i="1" a="1"/>
  <c r="Q279" i="1" a="1"/>
  <c r="Q282" i="1" a="1"/>
  <c r="Q285" i="1" a="1"/>
  <c r="Q288" i="1" a="1"/>
  <c r="Q291" i="1" a="1"/>
  <c r="Q294" i="1" a="1"/>
  <c r="Q297" i="1" a="1"/>
  <c r="Q300" i="1" a="1"/>
  <c r="Q303" i="1" a="1"/>
  <c r="Q306" i="1" a="1"/>
  <c r="Q309" i="1" a="1"/>
  <c r="Q312" i="1" a="1"/>
  <c r="Q315" i="1" a="1"/>
  <c r="Q318" i="1" a="1"/>
  <c r="Q321" i="1" a="1"/>
  <c r="Q324" i="1" a="1"/>
  <c r="Q327" i="1" a="1"/>
  <c r="Q330" i="1" a="1"/>
  <c r="Q333" i="1" a="1"/>
  <c r="Q336" i="1" a="1"/>
  <c r="Q339" i="1" a="1"/>
  <c r="Q342" i="1" a="1"/>
  <c r="Q345" i="1" a="1"/>
  <c r="Q348" i="1" a="1"/>
  <c r="Q351" i="1" a="1"/>
  <c r="Q354" i="1" a="1"/>
  <c r="Q357" i="1" a="1"/>
  <c r="Q360" i="1" a="1"/>
  <c r="Q363" i="1" a="1"/>
  <c r="Q366" i="1" a="1"/>
  <c r="Q369" i="1" a="1"/>
  <c r="Q372" i="1" a="1"/>
  <c r="Q375" i="1" a="1"/>
  <c r="Q378" i="1" a="1"/>
  <c r="Q381" i="1" a="1"/>
  <c r="Q384" i="1" a="1"/>
  <c r="Q387" i="1" a="1"/>
  <c r="Q390" i="1" a="1"/>
  <c r="Q393" i="1" a="1"/>
  <c r="Q396" i="1" a="1"/>
  <c r="Q399" i="1" a="1"/>
  <c r="Q402" i="1" a="1"/>
  <c r="Q405" i="1" a="1"/>
  <c r="Q408" i="1" a="1"/>
  <c r="Q411" i="1" a="1"/>
  <c r="Q414" i="1" a="1"/>
  <c r="Q417" i="1" a="1"/>
  <c r="Q420" i="1" a="1"/>
  <c r="Q423" i="1" a="1"/>
  <c r="Q426" i="1" a="1"/>
  <c r="Q429" i="1" a="1"/>
  <c r="Q432" i="1" a="1"/>
  <c r="Q435" i="1" a="1"/>
  <c r="Q438" i="1" a="1"/>
  <c r="Q441" i="1" a="1"/>
  <c r="Q444" i="1" a="1"/>
  <c r="Q447" i="1" a="1"/>
  <c r="Q450" i="1" a="1"/>
  <c r="Q453" i="1" a="1"/>
  <c r="Q456" i="1" a="1"/>
  <c r="Q459" i="1" a="1"/>
  <c r="Q462" i="1" a="1"/>
  <c r="Q465" i="1" a="1"/>
  <c r="Q468" i="1" a="1"/>
  <c r="Q471" i="1" a="1"/>
  <c r="Q474" i="1" a="1"/>
  <c r="Q477" i="1" a="1"/>
  <c r="Q480" i="1" a="1"/>
  <c r="Q483" i="1" a="1"/>
  <c r="Q486" i="1" a="1"/>
  <c r="Q489" i="1" a="1"/>
  <c r="Q492" i="1" a="1"/>
  <c r="Q495" i="1" a="1"/>
  <c r="Q498" i="1" a="1"/>
  <c r="Q501" i="1" a="1"/>
  <c r="Q504" i="1" a="1"/>
  <c r="Q507" i="1" a="1"/>
  <c r="Q510" i="1" a="1"/>
  <c r="Q513" i="1" a="1"/>
  <c r="Q516" i="1" a="1"/>
  <c r="Q519" i="1" a="1"/>
  <c r="Q522" i="1" a="1"/>
  <c r="Q525" i="1" a="1"/>
  <c r="Q528" i="1" a="1"/>
  <c r="Q531" i="1" a="1"/>
  <c r="Q534" i="1" a="1"/>
  <c r="Q537" i="1" a="1"/>
  <c r="Q540" i="1" a="1"/>
  <c r="Q543" i="1" a="1"/>
  <c r="Q546" i="1" a="1"/>
  <c r="Q549" i="1" a="1"/>
  <c r="Q552" i="1" a="1"/>
  <c r="Q555" i="1" a="1"/>
  <c r="Q558" i="1" a="1"/>
  <c r="Q561" i="1" a="1"/>
  <c r="Q564" i="1" a="1"/>
  <c r="Q567" i="1" a="1"/>
  <c r="Q570" i="1" a="1"/>
  <c r="Q573" i="1" a="1"/>
  <c r="Q576" i="1" a="1"/>
  <c r="Q579" i="1" a="1"/>
  <c r="Q582" i="1" a="1"/>
  <c r="Q585" i="1" a="1"/>
  <c r="Q588" i="1" a="1"/>
  <c r="Q591" i="1" a="1"/>
  <c r="Q594" i="1" a="1"/>
  <c r="Q597" i="1" a="1"/>
  <c r="Q600" i="1" a="1"/>
  <c r="Q603" i="1" a="1"/>
  <c r="Q606" i="1" a="1"/>
  <c r="Q609" i="1" a="1"/>
  <c r="Q612" i="1" a="1"/>
  <c r="Q615" i="1" a="1"/>
  <c r="Q618" i="1" a="1"/>
  <c r="Q621" i="1" a="1"/>
  <c r="Q624" i="1" a="1"/>
  <c r="Q627" i="1" a="1"/>
  <c r="Q630" i="1" a="1"/>
  <c r="Q633" i="1" a="1"/>
  <c r="Q636" i="1" a="1"/>
  <c r="Q639" i="1" a="1"/>
  <c r="Q642" i="1" a="1"/>
  <c r="Q645" i="1" a="1"/>
  <c r="Q648" i="1" a="1"/>
  <c r="Q651" i="1" a="1"/>
  <c r="Q654" i="1" a="1"/>
  <c r="Q657" i="1" a="1"/>
  <c r="Q660" i="1" a="1"/>
  <c r="Q663" i="1" a="1"/>
  <c r="Q666" i="1" a="1"/>
  <c r="Q669" i="1" a="1"/>
  <c r="Q672" i="1" a="1"/>
  <c r="Q675" i="1" a="1"/>
  <c r="Q678" i="1" a="1"/>
  <c r="Q681" i="1" a="1"/>
  <c r="Q684" i="1" a="1"/>
  <c r="Q687" i="1" a="1"/>
  <c r="Q690" i="1" a="1"/>
  <c r="Q693" i="1" a="1"/>
  <c r="Q696" i="1" a="1"/>
  <c r="Q699" i="1" a="1"/>
  <c r="Q702" i="1" a="1"/>
  <c r="Q705" i="1" a="1"/>
  <c r="Q708" i="1" a="1"/>
  <c r="Q711" i="1" a="1"/>
  <c r="Q714" i="1" a="1"/>
  <c r="Q717" i="1" a="1"/>
  <c r="Q720" i="1" a="1"/>
  <c r="Q723" i="1" a="1"/>
  <c r="Q726" i="1" a="1"/>
  <c r="Q729" i="1" a="1"/>
  <c r="Q732" i="1" a="1"/>
  <c r="Q735" i="1" a="1"/>
  <c r="Q738" i="1" a="1"/>
  <c r="Q741" i="1" a="1"/>
  <c r="Q744" i="1" a="1"/>
  <c r="Q747" i="1" a="1"/>
  <c r="Q750" i="1" a="1"/>
  <c r="Q753" i="1" a="1"/>
  <c r="Q756" i="1" a="1"/>
  <c r="Q759" i="1" a="1"/>
  <c r="Q762" i="1" a="1"/>
  <c r="Q765" i="1" a="1"/>
  <c r="Q768" i="1" a="1"/>
  <c r="Q771" i="1" a="1"/>
  <c r="Q774" i="1" a="1"/>
  <c r="Q777" i="1" a="1"/>
  <c r="Q780" i="1" a="1"/>
  <c r="Q783" i="1" a="1"/>
  <c r="Q786" i="1" a="1"/>
  <c r="Q789" i="1" a="1"/>
  <c r="Q792" i="1" a="1"/>
  <c r="Q795" i="1" a="1"/>
  <c r="Q798" i="1" a="1"/>
  <c r="Q801" i="1" a="1"/>
  <c r="Q804" i="1" a="1"/>
  <c r="Q807" i="1" a="1"/>
  <c r="Q810" i="1" a="1"/>
  <c r="Q813" i="1" a="1"/>
  <c r="Q816" i="1" a="1"/>
  <c r="Q819" i="1" a="1"/>
  <c r="Q822" i="1" a="1"/>
  <c r="Q825" i="1" a="1"/>
  <c r="Q828" i="1" a="1"/>
  <c r="Q831" i="1" a="1"/>
  <c r="Q834" i="1" a="1"/>
  <c r="Q837" i="1" a="1"/>
  <c r="Q840" i="1" a="1"/>
  <c r="Q843" i="1" a="1"/>
  <c r="Q846" i="1" a="1"/>
  <c r="Q849" i="1" a="1"/>
  <c r="Q852" i="1" a="1"/>
  <c r="Q855" i="1" a="1"/>
  <c r="Q858" i="1" a="1"/>
  <c r="Q861" i="1" a="1"/>
  <c r="Q864" i="1" a="1"/>
  <c r="Q867" i="1" a="1"/>
  <c r="Q870" i="1" a="1"/>
  <c r="Q873" i="1" a="1"/>
  <c r="Q876" i="1" a="1"/>
  <c r="Q879" i="1" a="1"/>
  <c r="Q882" i="1" a="1"/>
  <c r="Q885" i="1" a="1"/>
  <c r="Q888" i="1" a="1"/>
  <c r="Q891" i="1" a="1"/>
  <c r="Q894" i="1" a="1"/>
  <c r="Q897" i="1" a="1"/>
  <c r="Q900" i="1" a="1"/>
  <c r="Q903" i="1" a="1"/>
  <c r="Q906" i="1" a="1"/>
  <c r="Q909" i="1" a="1"/>
  <c r="Q912" i="1" a="1"/>
  <c r="Q915" i="1" a="1"/>
  <c r="Q918" i="1" a="1"/>
  <c r="Q921" i="1" a="1"/>
  <c r="Q924" i="1" a="1"/>
  <c r="Q927" i="1" a="1"/>
  <c r="Q930" i="1" a="1"/>
  <c r="Q933" i="1" a="1"/>
  <c r="Q936" i="1" a="1"/>
  <c r="Q939" i="1" a="1"/>
  <c r="Q942" i="1" a="1"/>
  <c r="Q945" i="1" a="1"/>
  <c r="Q948" i="1" a="1"/>
  <c r="Q951" i="1" a="1"/>
  <c r="Q954" i="1" a="1"/>
  <c r="Q957" i="1" a="1"/>
  <c r="Q960" i="1" a="1"/>
  <c r="Q963" i="1" a="1"/>
  <c r="Q966" i="1" a="1"/>
  <c r="Q969" i="1" a="1"/>
  <c r="Q972" i="1" a="1"/>
  <c r="Q975" i="1" a="1"/>
  <c r="Q978" i="1" a="1"/>
  <c r="Q981" i="1" a="1"/>
  <c r="Q984" i="1" a="1"/>
  <c r="Q987" i="1" a="1"/>
  <c r="Q990" i="1" a="1"/>
  <c r="Q993" i="1" a="1"/>
  <c r="Q996" i="1" a="1"/>
  <c r="Q999" i="1" a="1"/>
  <c r="Q1002" i="1" a="1"/>
  <c r="Q1005" i="1" a="1"/>
  <c r="Q1008" i="1" a="1"/>
  <c r="Q1011" i="1" a="1"/>
  <c r="Q1014" i="1" a="1"/>
  <c r="Q1017" i="1" a="1"/>
  <c r="Q1020" i="1" a="1"/>
  <c r="Q1023" i="1" a="1"/>
  <c r="Q1026" i="1" a="1"/>
  <c r="Q1029" i="1" a="1"/>
  <c r="Q1032" i="1" a="1"/>
  <c r="Q1035" i="1" a="1"/>
  <c r="Q1038" i="1" a="1"/>
  <c r="Q1041" i="1" a="1"/>
  <c r="Q1044" i="1" a="1"/>
  <c r="Q1047" i="1" a="1"/>
  <c r="Q1050" i="1" a="1"/>
  <c r="Q1053" i="1" a="1"/>
  <c r="Q1056" i="1" a="1"/>
  <c r="Q1059" i="1" a="1"/>
  <c r="Q1062" i="1" a="1"/>
  <c r="Q1065" i="1" a="1"/>
  <c r="Q1068" i="1" a="1"/>
  <c r="Q1071" i="1" a="1"/>
  <c r="Q1074" i="1" a="1"/>
  <c r="Q1077" i="1" a="1"/>
  <c r="Q1080" i="1" a="1"/>
  <c r="Q1083" i="1" a="1"/>
  <c r="Q1086" i="1" a="1"/>
  <c r="Q1089" i="1" a="1"/>
  <c r="Q1092" i="1" a="1"/>
  <c r="Q1095" i="1" a="1"/>
  <c r="Q1098" i="1" a="1"/>
  <c r="Q1101" i="1" a="1"/>
  <c r="Q1104" i="1" a="1"/>
  <c r="Q1107" i="1" a="1"/>
  <c r="Q1110" i="1" a="1"/>
  <c r="Q1113" i="1" a="1"/>
  <c r="Q1116" i="1" a="1"/>
  <c r="Q1119" i="1" a="1"/>
  <c r="Q1122" i="1" a="1"/>
  <c r="Q1125" i="1" a="1"/>
  <c r="Q1128" i="1" a="1"/>
  <c r="Q1131" i="1" a="1"/>
  <c r="Q1134" i="1" a="1"/>
  <c r="Q1137" i="1" a="1"/>
  <c r="Q1140" i="1" a="1"/>
  <c r="Q1143" i="1" a="1"/>
  <c r="Q1146" i="1" a="1"/>
  <c r="Q1149" i="1" a="1"/>
  <c r="Q1152" i="1" a="1"/>
  <c r="Q1155" i="1" a="1"/>
  <c r="Q1158" i="1" a="1"/>
  <c r="Q1161" i="1" a="1"/>
  <c r="Q1164" i="1" a="1"/>
  <c r="Q1167" i="1" a="1"/>
  <c r="Q1170" i="1" a="1"/>
  <c r="Q1173" i="1" a="1"/>
  <c r="Q1176" i="1" a="1"/>
  <c r="Q1179" i="1" a="1"/>
  <c r="Q1182" i="1" a="1"/>
  <c r="Q1185" i="1" a="1"/>
  <c r="Q1188" i="1" a="1"/>
  <c r="Q1191" i="1" a="1"/>
  <c r="Q1194" i="1" a="1"/>
  <c r="Q1197" i="1" a="1"/>
  <c r="Q1200" i="1" a="1"/>
  <c r="Q1203" i="1" a="1"/>
  <c r="Q1206" i="1" a="1"/>
  <c r="Q1209" i="1" a="1"/>
  <c r="Q1212" i="1" a="1"/>
  <c r="Q1215" i="1" a="1"/>
  <c r="Q1218" i="1" a="1"/>
  <c r="Q1221" i="1" a="1"/>
  <c r="Q1224" i="1" a="1"/>
  <c r="Q1227" i="1" a="1"/>
  <c r="Q1230" i="1" a="1"/>
  <c r="Q1233" i="1" a="1"/>
  <c r="Q1236" i="1" a="1"/>
  <c r="Q1239" i="1" a="1"/>
  <c r="Q1242" i="1" a="1"/>
  <c r="Q1245" i="1" a="1"/>
  <c r="Q1248" i="1" a="1"/>
  <c r="Q1251" i="1" a="1"/>
  <c r="Q1254" i="1" a="1"/>
  <c r="Q1257" i="1" a="1"/>
  <c r="Q1260" i="1" a="1"/>
  <c r="Q1263" i="1" a="1"/>
  <c r="Q1266" i="1" a="1"/>
  <c r="Q1269" i="1" a="1"/>
  <c r="Q1272" i="1" a="1"/>
  <c r="Q1275" i="1" a="1"/>
  <c r="Q1278" i="1" a="1"/>
  <c r="Q1281" i="1" a="1"/>
  <c r="Q1284" i="1" a="1"/>
  <c r="Q1287" i="1" a="1"/>
  <c r="Q1290" i="1" a="1"/>
  <c r="Q1293" i="1" a="1"/>
  <c r="Q1296" i="1" a="1"/>
  <c r="Q1299" i="1" a="1"/>
  <c r="Q1302" i="1" a="1"/>
  <c r="Q1305" i="1" a="1"/>
  <c r="Q1308" i="1" a="1"/>
  <c r="Q1311" i="1" a="1"/>
  <c r="Q1314" i="1" a="1"/>
  <c r="Q1317" i="1" a="1"/>
  <c r="Q1320" i="1" a="1"/>
  <c r="Q1323" i="1" a="1"/>
  <c r="Q1326" i="1" a="1"/>
  <c r="Q1329" i="1" a="1"/>
  <c r="Q1332" i="1" a="1"/>
  <c r="Q1335" i="1" a="1"/>
  <c r="Q1338" i="1" a="1"/>
  <c r="Q1341" i="1" a="1"/>
  <c r="Q1344" i="1" a="1"/>
  <c r="Q1347" i="1" a="1"/>
  <c r="Q1350" i="1" a="1"/>
  <c r="Q1353" i="1" a="1"/>
  <c r="Q1356" i="1" a="1"/>
  <c r="Q1359" i="1" a="1"/>
  <c r="Q1362" i="1" a="1"/>
  <c r="Q1365" i="1" a="1"/>
  <c r="Q1368" i="1" a="1"/>
  <c r="Q1371" i="1" a="1"/>
  <c r="Q1374" i="1" a="1"/>
  <c r="Q1377" i="1" a="1"/>
  <c r="Q1380" i="1" a="1"/>
  <c r="Q1383" i="1" a="1"/>
  <c r="Q1386" i="1" a="1"/>
  <c r="AS1386" i="1" s="1"/>
  <c r="Q1389" i="1" a="1"/>
  <c r="Q1392" i="1" a="1"/>
  <c r="Q1395" i="1" a="1"/>
  <c r="Q1398" i="1" a="1"/>
  <c r="Q1401" i="1" a="1"/>
  <c r="Q1404" i="1" a="1"/>
  <c r="Q1407" i="1" a="1"/>
  <c r="Q1410" i="1" a="1"/>
  <c r="Q1413" i="1" a="1"/>
  <c r="Q1416" i="1" a="1"/>
  <c r="Q1419" i="1" a="1"/>
  <c r="Q1422" i="1" a="1"/>
  <c r="Q1425" i="1" a="1"/>
  <c r="Q1428" i="1" a="1"/>
  <c r="Q1434" i="1" a="1"/>
  <c r="Q1437" i="1" a="1"/>
  <c r="Q1440" i="1" a="1"/>
  <c r="Q1443" i="1" a="1"/>
  <c r="Q1446" i="1" a="1"/>
  <c r="Q1449" i="1" a="1"/>
  <c r="Q1452" i="1" a="1"/>
  <c r="Q1455" i="1" a="1"/>
  <c r="Q1458" i="1" a="1"/>
  <c r="Q1461" i="1" a="1"/>
  <c r="Q1464" i="1" a="1"/>
  <c r="Q1467" i="1" a="1"/>
  <c r="Q1470" i="1" a="1"/>
  <c r="Q1473" i="1" a="1"/>
  <c r="Q1476" i="1" a="1"/>
  <c r="Q1479" i="1" a="1"/>
  <c r="Q1482" i="1" a="1"/>
  <c r="Q1485" i="1" a="1"/>
  <c r="Q1488" i="1" a="1"/>
  <c r="Q1491" i="1" a="1"/>
  <c r="AS1491" i="1" s="1"/>
  <c r="Q1494" i="1" a="1"/>
  <c r="Q1497" i="1" a="1"/>
  <c r="Q1500" i="1" a="1"/>
  <c r="Q1503" i="1" a="1"/>
  <c r="AS1503" i="1" s="1"/>
  <c r="Q1506" i="1" a="1"/>
  <c r="Q1509" i="1" a="1"/>
  <c r="Q1512" i="1" a="1"/>
  <c r="Q1515" i="1" a="1"/>
  <c r="AS1515" i="1" s="1"/>
  <c r="Q1518" i="1" a="1"/>
  <c r="Q1521" i="1" a="1"/>
  <c r="Q1524" i="1" a="1"/>
  <c r="Q1527" i="1" a="1"/>
  <c r="Q1530" i="1" a="1"/>
  <c r="Q1533" i="1" a="1"/>
  <c r="Q1536" i="1" a="1"/>
  <c r="AS1536" i="1" s="1"/>
  <c r="Q1539" i="1" a="1"/>
  <c r="Q1542" i="1" a="1"/>
  <c r="Q1545" i="1" a="1"/>
  <c r="Q1548" i="1" a="1"/>
  <c r="Q1551" i="1" a="1"/>
  <c r="Q1557" i="1" a="1"/>
  <c r="Q1560" i="1" a="1"/>
  <c r="Q1563" i="1" a="1"/>
  <c r="Q1566" i="1" a="1"/>
  <c r="Q1569" i="1" a="1"/>
  <c r="Q1572" i="1" a="1"/>
  <c r="Q1575" i="1" a="1"/>
  <c r="Q1578" i="1" a="1"/>
  <c r="Q1581" i="1" a="1"/>
  <c r="Q1584" i="1" a="1"/>
  <c r="Q1587" i="1" a="1"/>
  <c r="AS1587" i="1" s="1"/>
  <c r="Q1590" i="1" a="1"/>
  <c r="AS1590" i="1" s="1"/>
  <c r="Q1593" i="1" a="1"/>
  <c r="AS1593" i="1" s="1"/>
  <c r="Q1596" i="1" a="1"/>
  <c r="AS1596" i="1" s="1"/>
  <c r="Q1599" i="1" a="1"/>
  <c r="AS1599" i="1" s="1"/>
  <c r="Q1602" i="1" a="1"/>
  <c r="AS1602" i="1" s="1"/>
  <c r="Q1605" i="1" a="1"/>
  <c r="AS1605" i="1" s="1"/>
  <c r="Q1608" i="1" a="1"/>
  <c r="AS1608" i="1" s="1"/>
  <c r="Q1611" i="1" a="1"/>
  <c r="AS1611" i="1" s="1"/>
  <c r="Q1614" i="1" a="1"/>
  <c r="AS1614" i="1" s="1"/>
  <c r="Q1617" i="1" a="1"/>
  <c r="AS1617" i="1" s="1"/>
  <c r="Q1620" i="1" a="1"/>
  <c r="AS1620" i="1" s="1"/>
  <c r="Q1623" i="1" a="1"/>
  <c r="AS1623" i="1" s="1"/>
  <c r="Q1626" i="1" a="1"/>
  <c r="AS1626" i="1" s="1"/>
  <c r="Q1629" i="1" a="1"/>
  <c r="AS1629" i="1" s="1"/>
  <c r="Q1632" i="1" a="1"/>
  <c r="AS1632" i="1" s="1"/>
  <c r="Q1635" i="1" a="1"/>
  <c r="AS1635" i="1" s="1"/>
  <c r="Q1638" i="1" a="1"/>
  <c r="AS1638" i="1" s="1"/>
  <c r="Q1641" i="1" a="1"/>
  <c r="AS1641" i="1" s="1"/>
  <c r="Q1644" i="1" a="1"/>
  <c r="AS1644" i="1" s="1"/>
  <c r="Q1647" i="1" a="1"/>
  <c r="AS1647" i="1" s="1"/>
  <c r="Q1650" i="1" a="1"/>
  <c r="AS1650" i="1" s="1"/>
  <c r="Q1653" i="1" a="1"/>
  <c r="AS1653" i="1" s="1"/>
  <c r="Q1656" i="1" a="1"/>
  <c r="AS1656" i="1" s="1"/>
  <c r="Q1659" i="1" a="1"/>
  <c r="AS1659" i="1" s="1"/>
  <c r="Q1662" i="1" a="1"/>
  <c r="AS1662" i="1" s="1"/>
  <c r="Q1665" i="1" a="1"/>
  <c r="AS1665" i="1" s="1"/>
  <c r="Q1668" i="1" a="1"/>
  <c r="AS1668" i="1" s="1"/>
  <c r="Q1671" i="1" a="1"/>
  <c r="AS1671" i="1" s="1"/>
  <c r="Q1674" i="1" a="1"/>
  <c r="AS1674" i="1" s="1"/>
  <c r="Q1677" i="1" a="1"/>
  <c r="AS1677" i="1" s="1"/>
  <c r="Q1680" i="1" a="1"/>
  <c r="AS1680" i="1" s="1"/>
  <c r="Q1683" i="1" a="1"/>
  <c r="AS1683" i="1" s="1"/>
  <c r="Q1686" i="1" a="1"/>
  <c r="AS1686" i="1" s="1"/>
  <c r="Q1689" i="1" a="1"/>
  <c r="AS1689" i="1" s="1"/>
  <c r="Q1692" i="1" a="1"/>
  <c r="AS1692" i="1" s="1"/>
  <c r="Q1695" i="1" a="1"/>
  <c r="AS1695" i="1" s="1"/>
  <c r="R1414" i="1" a="1"/>
  <c r="R1423" i="1" a="1"/>
  <c r="R1427" i="1" a="1"/>
  <c r="R1435" i="1" a="1"/>
  <c r="R1438" i="1" a="1"/>
  <c r="R1441" i="1" a="1"/>
  <c r="R1444" i="1" a="1"/>
  <c r="R1447" i="1" a="1"/>
  <c r="R1450" i="1" a="1"/>
  <c r="R1453" i="1" a="1"/>
  <c r="R1456" i="1" a="1"/>
  <c r="R1459" i="1" a="1"/>
  <c r="R1462" i="1" a="1"/>
  <c r="R1465" i="1" a="1"/>
  <c r="R1468" i="1" a="1"/>
  <c r="R1471" i="1" a="1"/>
  <c r="R1474" i="1" a="1"/>
  <c r="R1477" i="1" a="1"/>
  <c r="R1480" i="1" a="1"/>
  <c r="R1483" i="1" a="1"/>
  <c r="R1486" i="1" a="1"/>
  <c r="R1489" i="1" a="1"/>
  <c r="R1492" i="1" a="1"/>
  <c r="R1495" i="1" a="1"/>
  <c r="R1498" i="1" a="1"/>
  <c r="R1501" i="1" a="1"/>
  <c r="R1504" i="1" a="1"/>
  <c r="R1507" i="1" a="1"/>
  <c r="R1510" i="1" a="1"/>
  <c r="R1513" i="1" a="1"/>
  <c r="R1516" i="1" a="1"/>
  <c r="R1519" i="1" a="1"/>
  <c r="R1522" i="1" a="1"/>
  <c r="R1525" i="1" a="1"/>
  <c r="R1528" i="1" a="1"/>
  <c r="R1531" i="1" a="1"/>
  <c r="R1534" i="1" a="1"/>
  <c r="R1537" i="1" a="1"/>
  <c r="R1540" i="1" a="1"/>
  <c r="R1543" i="1" a="1"/>
  <c r="R1546" i="1" a="1"/>
  <c r="R1549" i="1" a="1"/>
  <c r="R1552" i="1" a="1"/>
  <c r="R1555" i="1" a="1"/>
  <c r="R1558" i="1" a="1"/>
  <c r="R1561" i="1" a="1"/>
  <c r="R1564" i="1" a="1"/>
  <c r="R1567" i="1" a="1"/>
  <c r="R1570" i="1" a="1"/>
  <c r="R1573" i="1" a="1"/>
  <c r="R1576" i="1" a="1"/>
  <c r="R1579" i="1" a="1"/>
  <c r="R1582" i="1" a="1"/>
  <c r="R1585" i="1" a="1"/>
  <c r="R1588" i="1" a="1"/>
  <c r="R1591" i="1" a="1"/>
  <c r="R1594" i="1" a="1"/>
  <c r="R1597" i="1" a="1"/>
  <c r="R1600" i="1" a="1"/>
  <c r="R1603" i="1" a="1"/>
  <c r="R1606" i="1" a="1"/>
  <c r="R1609" i="1" a="1"/>
  <c r="R1612" i="1" a="1"/>
  <c r="R1615" i="1" a="1"/>
  <c r="R1618" i="1" a="1"/>
  <c r="R1621" i="1" a="1"/>
  <c r="R1624" i="1" a="1"/>
  <c r="R1627" i="1" a="1"/>
  <c r="R1630" i="1" a="1"/>
  <c r="R1633" i="1" a="1"/>
  <c r="R1636" i="1" a="1"/>
  <c r="R1639" i="1" a="1"/>
  <c r="R1642" i="1" a="1"/>
  <c r="R1645" i="1" a="1"/>
  <c r="R1648" i="1" a="1"/>
  <c r="R1651" i="1" a="1"/>
  <c r="R1654" i="1" a="1"/>
  <c r="R1657" i="1" a="1"/>
  <c r="R1660" i="1" a="1"/>
  <c r="R1663" i="1" a="1"/>
  <c r="R1666" i="1" a="1"/>
  <c r="R1669" i="1" a="1"/>
  <c r="R1672" i="1" a="1"/>
  <c r="R1675" i="1" a="1"/>
  <c r="R1678" i="1" a="1"/>
  <c r="R1681" i="1" a="1"/>
  <c r="R1684" i="1" a="1"/>
  <c r="R1687" i="1" a="1"/>
  <c r="R1690" i="1" a="1"/>
  <c r="R1693" i="1" a="1"/>
  <c r="Q19" i="1" a="1"/>
  <c r="Q22" i="1" a="1"/>
  <c r="Q25" i="1" a="1"/>
  <c r="Q28" i="1" a="1"/>
  <c r="Q31" i="1" a="1"/>
  <c r="Q34" i="1" a="1"/>
  <c r="Q37" i="1" a="1"/>
  <c r="Q40" i="1" a="1"/>
  <c r="Q43" i="1" a="1"/>
  <c r="Q46" i="1" a="1"/>
  <c r="Q49" i="1" a="1"/>
  <c r="Q52" i="1" a="1"/>
  <c r="Q55" i="1" a="1"/>
  <c r="Q58" i="1" a="1"/>
  <c r="Q61" i="1" a="1"/>
  <c r="Q64" i="1" a="1"/>
  <c r="Q67" i="1" a="1"/>
  <c r="Q70" i="1" a="1"/>
  <c r="Q73" i="1" a="1"/>
  <c r="Q76" i="1" a="1"/>
  <c r="Q79" i="1" a="1"/>
  <c r="Q82" i="1" a="1"/>
  <c r="Q85" i="1" a="1"/>
  <c r="Q88" i="1" a="1"/>
  <c r="Q91" i="1" a="1"/>
  <c r="Q94" i="1" a="1"/>
  <c r="Q97" i="1" a="1"/>
  <c r="Q100" i="1" a="1"/>
  <c r="Q103" i="1" a="1"/>
  <c r="Q106" i="1" a="1"/>
  <c r="Q109" i="1" a="1"/>
  <c r="Q112" i="1" a="1"/>
  <c r="Q115" i="1" a="1"/>
  <c r="Q118" i="1" a="1"/>
  <c r="Q121" i="1" a="1"/>
  <c r="Q124" i="1" a="1"/>
  <c r="Q127" i="1" a="1"/>
  <c r="Q130" i="1" a="1"/>
  <c r="Q133" i="1" a="1"/>
  <c r="Q136" i="1" a="1"/>
  <c r="Q139" i="1" a="1"/>
  <c r="Q142" i="1" a="1"/>
  <c r="Q145" i="1" a="1"/>
  <c r="Q148" i="1" a="1"/>
  <c r="Q151" i="1" a="1"/>
  <c r="Q154" i="1" a="1"/>
  <c r="Q157" i="1" a="1"/>
  <c r="Q160" i="1" a="1"/>
  <c r="Q163" i="1" a="1"/>
  <c r="Q166" i="1" a="1"/>
  <c r="Q169" i="1" a="1"/>
  <c r="Q172" i="1" a="1"/>
  <c r="Q175" i="1" a="1"/>
  <c r="Q178" i="1" a="1"/>
  <c r="Q181" i="1" a="1"/>
  <c r="Q184" i="1" a="1"/>
  <c r="Q187" i="1" a="1"/>
  <c r="Q190" i="1" a="1"/>
  <c r="Q193" i="1" a="1"/>
  <c r="Q196" i="1" a="1"/>
  <c r="Q199" i="1" a="1"/>
  <c r="Q202" i="1" a="1"/>
  <c r="Q205" i="1" a="1"/>
  <c r="Q208" i="1" a="1"/>
  <c r="Q211" i="1" a="1"/>
  <c r="Q214" i="1" a="1"/>
  <c r="Q217" i="1" a="1"/>
  <c r="Q220" i="1" a="1"/>
  <c r="Q223" i="1" a="1"/>
  <c r="Q226" i="1" a="1"/>
  <c r="Q229" i="1" a="1"/>
  <c r="Q232" i="1" a="1"/>
  <c r="Q235" i="1" a="1"/>
  <c r="Q238" i="1" a="1"/>
  <c r="Q241" i="1" a="1"/>
  <c r="Q244" i="1" a="1"/>
  <c r="Q247" i="1" a="1"/>
  <c r="Q250" i="1" a="1"/>
  <c r="Q253" i="1" a="1"/>
  <c r="Q256" i="1" a="1"/>
  <c r="Q259" i="1" a="1"/>
  <c r="Q262" i="1" a="1"/>
  <c r="Q265" i="1" a="1"/>
  <c r="Q268" i="1" a="1"/>
  <c r="Q271" i="1" a="1"/>
  <c r="Q274" i="1" a="1"/>
  <c r="Q277" i="1" a="1"/>
  <c r="Q280" i="1" a="1"/>
  <c r="Q283" i="1" a="1"/>
  <c r="Q286" i="1" a="1"/>
  <c r="Q289" i="1" a="1"/>
  <c r="Q292" i="1" a="1"/>
  <c r="Q295" i="1" a="1"/>
  <c r="Q298" i="1" a="1"/>
  <c r="Q301" i="1" a="1"/>
  <c r="Q304" i="1" a="1"/>
  <c r="Q307" i="1" a="1"/>
  <c r="Q310" i="1" a="1"/>
  <c r="Q313" i="1" a="1"/>
  <c r="Q316" i="1" a="1"/>
  <c r="Q319" i="1" a="1"/>
  <c r="Q322" i="1" a="1"/>
  <c r="Q325" i="1" a="1"/>
  <c r="Q328" i="1" a="1"/>
  <c r="Q331" i="1" a="1"/>
  <c r="Q334" i="1" a="1"/>
  <c r="Q337" i="1" a="1"/>
  <c r="Q340" i="1" a="1"/>
  <c r="Q343" i="1" a="1"/>
  <c r="Q349" i="1" a="1"/>
  <c r="Q352" i="1" a="1"/>
  <c r="Q355" i="1" a="1"/>
  <c r="Q358" i="1" a="1"/>
  <c r="Q361" i="1" a="1"/>
  <c r="Q364" i="1" a="1"/>
  <c r="Q367" i="1" a="1"/>
  <c r="Q370" i="1" a="1"/>
  <c r="Q373" i="1" a="1"/>
  <c r="Q376" i="1" a="1"/>
  <c r="Q379" i="1" a="1"/>
  <c r="Q382" i="1" a="1"/>
  <c r="Q385" i="1" a="1"/>
  <c r="Q388" i="1" a="1"/>
  <c r="Q391" i="1" a="1"/>
  <c r="Q394" i="1" a="1"/>
  <c r="Q397" i="1" a="1"/>
  <c r="Q400" i="1" a="1"/>
  <c r="Q403" i="1" a="1"/>
  <c r="Q406" i="1" a="1"/>
  <c r="Q409" i="1" a="1"/>
  <c r="Q412" i="1" a="1"/>
  <c r="Q415" i="1" a="1"/>
  <c r="Q418" i="1" a="1"/>
  <c r="Q421" i="1" a="1"/>
  <c r="Q424" i="1" a="1"/>
  <c r="Q427" i="1" a="1"/>
  <c r="Q430" i="1" a="1"/>
  <c r="Q433" i="1" a="1"/>
  <c r="Q436" i="1" a="1"/>
  <c r="Q439" i="1" a="1"/>
  <c r="Q442" i="1" a="1"/>
  <c r="Q445" i="1" a="1"/>
  <c r="Q448" i="1" a="1"/>
  <c r="Q451" i="1" a="1"/>
  <c r="Q454" i="1" a="1"/>
  <c r="Q457" i="1" a="1"/>
  <c r="Q460" i="1" a="1"/>
  <c r="Q463" i="1" a="1"/>
  <c r="Q466" i="1" a="1"/>
  <c r="Q469" i="1" a="1"/>
  <c r="Q472" i="1" a="1"/>
  <c r="Q475" i="1" a="1"/>
  <c r="Q478" i="1" a="1"/>
  <c r="Q481" i="1" a="1"/>
  <c r="Q484" i="1" a="1"/>
  <c r="Q487" i="1" a="1"/>
  <c r="Q490" i="1" a="1"/>
  <c r="Q493" i="1" a="1"/>
  <c r="Q496" i="1" a="1"/>
  <c r="Q499" i="1" a="1"/>
  <c r="Q502" i="1" a="1"/>
  <c r="Q505" i="1" a="1"/>
  <c r="Q508" i="1" a="1"/>
  <c r="Q511" i="1" a="1"/>
  <c r="Q517" i="1" a="1"/>
  <c r="Q520" i="1" a="1"/>
  <c r="Q523" i="1" a="1"/>
  <c r="Q526" i="1" a="1"/>
  <c r="Q529" i="1" a="1"/>
  <c r="Q532" i="1" a="1"/>
  <c r="Q535" i="1" a="1"/>
  <c r="Q538" i="1" a="1"/>
  <c r="Q541" i="1" a="1"/>
  <c r="Q544" i="1" a="1"/>
  <c r="Q547" i="1" a="1"/>
  <c r="Q550" i="1" a="1"/>
  <c r="Q553" i="1" a="1"/>
  <c r="Q556" i="1" a="1"/>
  <c r="Q559" i="1" a="1"/>
  <c r="Q562" i="1" a="1"/>
  <c r="Q565" i="1" a="1"/>
  <c r="Q568" i="1" a="1"/>
  <c r="Q571" i="1" a="1"/>
  <c r="Q574" i="1" a="1"/>
  <c r="Q577" i="1" a="1"/>
  <c r="Q580" i="1" a="1"/>
  <c r="Q583" i="1" a="1"/>
  <c r="Q586" i="1" a="1"/>
  <c r="Q589" i="1" a="1"/>
  <c r="Q592" i="1" a="1"/>
  <c r="Q595" i="1" a="1"/>
  <c r="Q598" i="1" a="1"/>
  <c r="Q601" i="1" a="1"/>
  <c r="Q604" i="1" a="1"/>
  <c r="Q607" i="1" a="1"/>
  <c r="Q610" i="1" a="1"/>
  <c r="Q613" i="1" a="1"/>
  <c r="Q616" i="1" a="1"/>
  <c r="Q619" i="1" a="1"/>
  <c r="Q622" i="1" a="1"/>
  <c r="Q625" i="1" a="1"/>
  <c r="Q628" i="1" a="1"/>
  <c r="Q631" i="1" a="1"/>
  <c r="Q634" i="1" a="1"/>
  <c r="Q637" i="1" a="1"/>
  <c r="Q640" i="1" a="1"/>
  <c r="Q643" i="1" a="1"/>
  <c r="Q646" i="1" a="1"/>
  <c r="Q649" i="1" a="1"/>
  <c r="Q652" i="1" a="1"/>
  <c r="Q655" i="1" a="1"/>
  <c r="Q658" i="1" a="1"/>
  <c r="Q661" i="1" a="1"/>
  <c r="Q664" i="1" a="1"/>
  <c r="Q667" i="1" a="1"/>
  <c r="Q670" i="1" a="1"/>
  <c r="Q673" i="1" a="1"/>
  <c r="Q676" i="1" a="1"/>
  <c r="Q679" i="1" a="1"/>
  <c r="Q682" i="1" a="1"/>
  <c r="Q685" i="1" a="1"/>
  <c r="Q688" i="1" a="1"/>
  <c r="Q691" i="1" a="1"/>
  <c r="Q694" i="1" a="1"/>
  <c r="Q697" i="1" a="1"/>
  <c r="AS697" i="1" s="1"/>
  <c r="Q700" i="1" a="1"/>
  <c r="Q703" i="1" a="1"/>
  <c r="Q706" i="1" a="1"/>
  <c r="Q709" i="1" a="1"/>
  <c r="Q712" i="1" a="1"/>
  <c r="Q715" i="1" a="1"/>
  <c r="Q718" i="1" a="1"/>
  <c r="Q721" i="1" a="1"/>
  <c r="Q724" i="1" a="1"/>
  <c r="Q727" i="1" a="1"/>
  <c r="Q730" i="1" a="1"/>
  <c r="Q733" i="1" a="1"/>
  <c r="Q736" i="1" a="1"/>
  <c r="Q739" i="1" a="1"/>
  <c r="Q742" i="1" a="1"/>
  <c r="Q745" i="1" a="1"/>
  <c r="Q748" i="1" a="1"/>
  <c r="Q751" i="1" a="1"/>
  <c r="Q754" i="1" a="1"/>
  <c r="Q757" i="1" a="1"/>
  <c r="Q760" i="1" a="1"/>
  <c r="Q763" i="1" a="1"/>
  <c r="Q766" i="1" a="1"/>
  <c r="Q769" i="1" a="1"/>
  <c r="Q772" i="1" a="1"/>
  <c r="Q775" i="1" a="1"/>
  <c r="Q778" i="1" a="1"/>
  <c r="Q781" i="1" a="1"/>
  <c r="Q784" i="1" a="1"/>
  <c r="Q787" i="1" a="1"/>
  <c r="Q790" i="1" a="1"/>
  <c r="Q793" i="1" a="1"/>
  <c r="Q796" i="1" a="1"/>
  <c r="Q799" i="1" a="1"/>
  <c r="Q802" i="1" a="1"/>
  <c r="Q805" i="1" a="1"/>
  <c r="Q808" i="1" a="1"/>
  <c r="Q811" i="1" a="1"/>
  <c r="Q814" i="1" a="1"/>
  <c r="Q817" i="1" a="1"/>
  <c r="Q820" i="1" a="1"/>
  <c r="Q823" i="1" a="1"/>
  <c r="Q826" i="1" a="1"/>
  <c r="Q829" i="1" a="1"/>
  <c r="Q832" i="1" a="1"/>
  <c r="Q835" i="1" a="1"/>
  <c r="Q838" i="1" a="1"/>
  <c r="Q841" i="1" a="1"/>
  <c r="Q844" i="1" a="1"/>
  <c r="Q847" i="1" a="1"/>
  <c r="Q850" i="1" a="1"/>
  <c r="Q853" i="1" a="1"/>
  <c r="Q856" i="1" a="1"/>
  <c r="Q859" i="1" a="1"/>
  <c r="Q862" i="1" a="1"/>
  <c r="Q865" i="1" a="1"/>
  <c r="Q868" i="1" a="1"/>
  <c r="Q871" i="1" a="1"/>
  <c r="Q874" i="1" a="1"/>
  <c r="Q877" i="1" a="1"/>
  <c r="Q880" i="1" a="1"/>
  <c r="Q883" i="1" a="1"/>
  <c r="Q886" i="1" a="1"/>
  <c r="Q889" i="1" a="1"/>
  <c r="Q892" i="1" a="1"/>
  <c r="Q895" i="1" a="1"/>
  <c r="Q898" i="1" a="1"/>
  <c r="Q901" i="1" a="1"/>
  <c r="Q904" i="1" a="1"/>
  <c r="Q907" i="1" a="1"/>
  <c r="Q910" i="1" a="1"/>
  <c r="Q913" i="1" a="1"/>
  <c r="Q916" i="1" a="1"/>
  <c r="Q919" i="1" a="1"/>
  <c r="Q922" i="1" a="1"/>
  <c r="Q925" i="1" a="1"/>
  <c r="Q928" i="1" a="1"/>
  <c r="Q931" i="1" a="1"/>
  <c r="Q934" i="1" a="1"/>
  <c r="Q937" i="1" a="1"/>
  <c r="Q940" i="1" a="1"/>
  <c r="Q943" i="1" a="1"/>
  <c r="Q946" i="1" a="1"/>
  <c r="Q949" i="1" a="1"/>
  <c r="Q952" i="1" a="1"/>
  <c r="Q955" i="1" a="1"/>
  <c r="Q958" i="1" a="1"/>
  <c r="Q961" i="1" a="1"/>
  <c r="Q964" i="1" a="1"/>
  <c r="Q967" i="1" a="1"/>
  <c r="Q970" i="1" a="1"/>
  <c r="Q973" i="1" a="1"/>
  <c r="Q976" i="1" a="1"/>
  <c r="Q979" i="1" a="1"/>
  <c r="Q982" i="1" a="1"/>
  <c r="Q985" i="1" a="1"/>
  <c r="Q988" i="1" a="1"/>
  <c r="Q991" i="1" a="1"/>
  <c r="Q994" i="1" a="1"/>
  <c r="Q997" i="1" a="1"/>
  <c r="Q1000" i="1" a="1"/>
  <c r="Q1003" i="1" a="1"/>
  <c r="Q1006" i="1" a="1"/>
  <c r="Q1009" i="1" a="1"/>
  <c r="AS1009" i="1" s="1"/>
  <c r="Q1012" i="1" a="1"/>
  <c r="AS1012" i="1" s="1"/>
  <c r="Q1015" i="1" a="1"/>
  <c r="Q1018" i="1" a="1"/>
  <c r="Q1021" i="1" a="1"/>
  <c r="Q1024" i="1" a="1"/>
  <c r="Q1027" i="1" a="1"/>
  <c r="Q1030" i="1" a="1"/>
  <c r="Q1033" i="1" a="1"/>
  <c r="Q1036" i="1" a="1"/>
  <c r="Q1039" i="1" a="1"/>
  <c r="Q1042" i="1" a="1"/>
  <c r="Q1045" i="1" a="1"/>
  <c r="Q1048" i="1" a="1"/>
  <c r="Q1051" i="1" a="1"/>
  <c r="Q1054" i="1" a="1"/>
  <c r="Q1057" i="1" a="1"/>
  <c r="Q1060" i="1" a="1"/>
  <c r="Q1063" i="1" a="1"/>
  <c r="Q1066" i="1" a="1"/>
  <c r="Q1069" i="1" a="1"/>
  <c r="Q1072" i="1" a="1"/>
  <c r="Q1075" i="1" a="1"/>
  <c r="Q1078" i="1" a="1"/>
  <c r="Q1081" i="1" a="1"/>
  <c r="Q1084" i="1" a="1"/>
  <c r="Q1087" i="1" a="1"/>
  <c r="Q1090" i="1" a="1"/>
  <c r="Q1093" i="1" a="1"/>
  <c r="Q1096" i="1" a="1"/>
  <c r="Q1099" i="1" a="1"/>
  <c r="Q1102" i="1" a="1"/>
  <c r="Q1105" i="1" a="1"/>
  <c r="Q1108" i="1" a="1"/>
  <c r="Q1111" i="1" a="1"/>
  <c r="Q1114" i="1" a="1"/>
  <c r="Q1117" i="1" a="1"/>
  <c r="Q1120" i="1" a="1"/>
  <c r="Q1123" i="1" a="1"/>
  <c r="Q1126" i="1" a="1"/>
  <c r="Q1129" i="1" a="1"/>
  <c r="Q1132" i="1" a="1"/>
  <c r="Q1135" i="1" a="1"/>
  <c r="Q1138" i="1" a="1"/>
  <c r="Q1141" i="1" a="1"/>
  <c r="Q1144" i="1" a="1"/>
  <c r="Q1147" i="1" a="1"/>
  <c r="Q1150" i="1" a="1"/>
  <c r="Q1153" i="1" a="1"/>
  <c r="Q1156" i="1" a="1"/>
  <c r="Q1159" i="1" a="1"/>
  <c r="Q1162" i="1" a="1"/>
  <c r="Q1165" i="1" a="1"/>
  <c r="Q1168" i="1" a="1"/>
  <c r="Q1171" i="1" a="1"/>
  <c r="Q1174" i="1" a="1"/>
  <c r="Q1177" i="1" a="1"/>
  <c r="Q1180" i="1" a="1"/>
  <c r="Q1183" i="1" a="1"/>
  <c r="Q1186" i="1" a="1"/>
  <c r="Q1189" i="1" a="1"/>
  <c r="Q1192" i="1" a="1"/>
  <c r="Q1195" i="1" a="1"/>
  <c r="Q1198" i="1" a="1"/>
  <c r="Q1201" i="1" a="1"/>
  <c r="Q1204" i="1" a="1"/>
  <c r="Q1207" i="1" a="1"/>
  <c r="Q1210" i="1" a="1"/>
  <c r="Q1213" i="1" a="1"/>
  <c r="Q1216" i="1" a="1"/>
  <c r="Q1219" i="1" a="1"/>
  <c r="Q1222" i="1" a="1"/>
  <c r="Q1225" i="1" a="1"/>
  <c r="Q1228" i="1" a="1"/>
  <c r="Q1231" i="1" a="1"/>
  <c r="Q1234" i="1" a="1"/>
  <c r="Q1237" i="1" a="1"/>
  <c r="Q1240" i="1" a="1"/>
  <c r="Q1243" i="1" a="1"/>
  <c r="Q1246" i="1" a="1"/>
  <c r="Q1249" i="1" a="1"/>
  <c r="Q1252" i="1" a="1"/>
  <c r="Q1255" i="1" a="1"/>
  <c r="Q1258" i="1" a="1"/>
  <c r="Q1261" i="1" a="1"/>
  <c r="Q1264" i="1" a="1"/>
  <c r="Q1267" i="1" a="1"/>
  <c r="Q1270" i="1" a="1"/>
  <c r="Q1273" i="1" a="1"/>
  <c r="Q1276" i="1" a="1"/>
  <c r="Q1279" i="1" a="1"/>
  <c r="Q1282" i="1" a="1"/>
  <c r="Q1285" i="1" a="1"/>
  <c r="Q1288" i="1" a="1"/>
  <c r="Q1291" i="1" a="1"/>
  <c r="Q1294" i="1" a="1"/>
  <c r="Q1297" i="1" a="1"/>
  <c r="Q1300" i="1" a="1"/>
  <c r="Q1303" i="1" a="1"/>
  <c r="Q1306" i="1" a="1"/>
  <c r="Q1309" i="1" a="1"/>
  <c r="Q1312" i="1" a="1"/>
  <c r="Q1315" i="1" a="1"/>
  <c r="Q1318" i="1" a="1"/>
  <c r="Q1321" i="1" a="1"/>
  <c r="Q1324" i="1" a="1"/>
  <c r="Q1327" i="1" a="1"/>
  <c r="Q1330" i="1" a="1"/>
  <c r="Q1333" i="1" a="1"/>
  <c r="Q1336" i="1" a="1"/>
  <c r="Q1339" i="1" a="1"/>
  <c r="Q1342" i="1" a="1"/>
  <c r="Q1345" i="1" a="1"/>
  <c r="Q1348" i="1" a="1"/>
  <c r="Q1351" i="1" a="1"/>
  <c r="Q1354" i="1" a="1"/>
  <c r="Q1357" i="1" a="1"/>
  <c r="Q1360" i="1" a="1"/>
  <c r="Q1363" i="1" a="1"/>
  <c r="Q1366" i="1" a="1"/>
  <c r="Q1369" i="1" a="1"/>
  <c r="Q1372" i="1" a="1"/>
  <c r="Q1375" i="1" a="1"/>
  <c r="Q1378" i="1" a="1"/>
  <c r="Q1381" i="1" a="1"/>
  <c r="Q1384" i="1" a="1"/>
  <c r="Q1387" i="1" a="1"/>
  <c r="Q1390" i="1" a="1"/>
  <c r="Q1393" i="1" a="1"/>
  <c r="Q1396" i="1" a="1"/>
  <c r="Q1399" i="1" a="1"/>
  <c r="Q1402" i="1" a="1"/>
  <c r="Q1405" i="1" a="1"/>
  <c r="Q1408" i="1" a="1"/>
  <c r="Q1411" i="1" a="1"/>
  <c r="Q1414" i="1" a="1"/>
  <c r="Q1417" i="1" a="1"/>
  <c r="Q1420" i="1" a="1"/>
  <c r="Q1423" i="1" a="1"/>
  <c r="Q1426" i="1" a="1"/>
  <c r="AS1426" i="1" s="1"/>
  <c r="Q1429" i="1" a="1"/>
  <c r="Q1432" i="1" a="1"/>
  <c r="Q1435" i="1" a="1"/>
  <c r="Q1438" i="1" a="1"/>
  <c r="Q1441" i="1" a="1"/>
  <c r="AS1441" i="1" s="1"/>
  <c r="Q1444" i="1" a="1"/>
  <c r="Q1447" i="1" a="1"/>
  <c r="Q1450" i="1" a="1"/>
  <c r="Q1453" i="1" a="1"/>
  <c r="Q1456" i="1" a="1"/>
  <c r="Q1459" i="1" a="1"/>
  <c r="Q1462" i="1" a="1"/>
  <c r="Q1465" i="1" a="1"/>
  <c r="Q1468" i="1" a="1"/>
  <c r="Q1471" i="1" a="1"/>
  <c r="Q1474" i="1" a="1"/>
  <c r="Q1477" i="1" a="1"/>
  <c r="Q1480" i="1" a="1"/>
  <c r="Q1483" i="1" a="1"/>
  <c r="Q1486" i="1" a="1"/>
  <c r="Q1489" i="1" a="1"/>
  <c r="Q1492" i="1" a="1"/>
  <c r="Q1495" i="1" a="1"/>
  <c r="Q1498" i="1" a="1"/>
  <c r="Q1501" i="1" a="1"/>
  <c r="Q1504" i="1" a="1"/>
  <c r="AS1504" i="1" s="1"/>
  <c r="Q1507" i="1" a="1"/>
  <c r="Q1510" i="1" a="1"/>
  <c r="Q1513" i="1" a="1"/>
  <c r="Q1516" i="1" a="1"/>
  <c r="Q1519" i="1" a="1"/>
  <c r="Q1522" i="1" a="1"/>
  <c r="Q1525" i="1" a="1"/>
  <c r="Q1528" i="1" a="1"/>
  <c r="Q1531" i="1" a="1"/>
  <c r="Q1534" i="1" a="1"/>
  <c r="Q1537" i="1" a="1"/>
  <c r="Q1540" i="1" a="1"/>
  <c r="Q1543" i="1" a="1"/>
  <c r="Q1546" i="1" a="1"/>
  <c r="Q1549" i="1" a="1"/>
  <c r="Q1552" i="1" a="1"/>
  <c r="Q1555" i="1" a="1"/>
  <c r="Q1558" i="1" a="1"/>
  <c r="Q1561" i="1" a="1"/>
  <c r="Q1564" i="1" a="1"/>
  <c r="Q1567" i="1" a="1"/>
  <c r="Q1570" i="1" a="1"/>
  <c r="Q1573" i="1" a="1"/>
  <c r="Q1576" i="1" a="1"/>
  <c r="Q1579" i="1" a="1"/>
  <c r="Q1582" i="1" a="1"/>
  <c r="Q1585" i="1" a="1"/>
  <c r="Q1588" i="1" a="1"/>
  <c r="AS1588" i="1" s="1"/>
  <c r="Q1591" i="1" a="1"/>
  <c r="AS1591" i="1" s="1"/>
  <c r="Q1594" i="1" a="1"/>
  <c r="AS1594" i="1" s="1"/>
  <c r="Q1597" i="1" a="1"/>
  <c r="AS1597" i="1" s="1"/>
  <c r="Q1600" i="1" a="1"/>
  <c r="AS1600" i="1" s="1"/>
  <c r="Q1603" i="1" a="1"/>
  <c r="AS1603" i="1" s="1"/>
  <c r="Q1606" i="1" a="1"/>
  <c r="AS1606" i="1" s="1"/>
  <c r="Q1609" i="1" a="1"/>
  <c r="AS1609" i="1" s="1"/>
  <c r="Q1612" i="1" a="1"/>
  <c r="AS1612" i="1" s="1"/>
  <c r="Q1615" i="1" a="1"/>
  <c r="AS1615" i="1" s="1"/>
  <c r="Q1618" i="1" a="1"/>
  <c r="AS1618" i="1" s="1"/>
  <c r="Q1621" i="1" a="1"/>
  <c r="AS1621" i="1" s="1"/>
  <c r="Q1624" i="1" a="1"/>
  <c r="AS1624" i="1" s="1"/>
  <c r="Q1627" i="1" a="1"/>
  <c r="AS1627" i="1" s="1"/>
  <c r="Q1630" i="1" a="1"/>
  <c r="AS1630" i="1" s="1"/>
  <c r="Q1633" i="1" a="1"/>
  <c r="AS1633" i="1" s="1"/>
  <c r="Q1636" i="1" a="1"/>
  <c r="AS1636" i="1" s="1"/>
  <c r="Q1639" i="1" a="1"/>
  <c r="AS1639" i="1" s="1"/>
  <c r="Q1642" i="1" a="1"/>
  <c r="AS1642" i="1" s="1"/>
  <c r="Q1645" i="1" a="1"/>
  <c r="AS1645" i="1" s="1"/>
  <c r="Q1648" i="1" a="1"/>
  <c r="AS1648" i="1" s="1"/>
  <c r="Q1651" i="1" a="1"/>
  <c r="AS1651" i="1" s="1"/>
  <c r="Q1654" i="1" a="1"/>
  <c r="AS1654" i="1" s="1"/>
  <c r="Q1657" i="1" a="1"/>
  <c r="AS1657" i="1" s="1"/>
  <c r="Q1660" i="1" a="1"/>
  <c r="AS1660" i="1" s="1"/>
  <c r="Q1663" i="1" a="1"/>
  <c r="AS1663" i="1" s="1"/>
  <c r="Q1666" i="1" a="1"/>
  <c r="AS1666" i="1" s="1"/>
  <c r="Q1669" i="1" a="1"/>
  <c r="AS1669" i="1" s="1"/>
  <c r="Q1672" i="1" a="1"/>
  <c r="AS1672" i="1" s="1"/>
  <c r="Q1675" i="1" a="1"/>
  <c r="AS1675" i="1" s="1"/>
  <c r="Q1678" i="1" a="1"/>
  <c r="AS1678" i="1" s="1"/>
  <c r="Q1681" i="1" a="1"/>
  <c r="AS1681" i="1" s="1"/>
  <c r="Q1684" i="1" a="1"/>
  <c r="AS1684" i="1" s="1"/>
  <c r="Q1687" i="1" a="1"/>
  <c r="AS1687" i="1" s="1"/>
  <c r="Q1690" i="1" a="1"/>
  <c r="AS1690" i="1" s="1"/>
  <c r="Q1693" i="1" a="1"/>
  <c r="AS1693" i="1" s="1"/>
  <c r="R1417" i="1" a="1"/>
  <c r="R1424" i="1" a="1"/>
  <c r="R1429" i="1" a="1"/>
  <c r="R1432" i="1" a="1"/>
  <c r="R1436" i="1" a="1"/>
  <c r="R1439" i="1" a="1"/>
  <c r="R1442" i="1" a="1"/>
  <c r="R1445" i="1" a="1"/>
  <c r="R1448" i="1" a="1"/>
  <c r="R1451" i="1" a="1"/>
  <c r="R1454" i="1" a="1"/>
  <c r="R1457" i="1" a="1"/>
  <c r="R1460" i="1" a="1"/>
  <c r="R1463" i="1" a="1"/>
  <c r="R1466" i="1" a="1"/>
  <c r="R1469" i="1" a="1"/>
  <c r="R1472" i="1" a="1"/>
  <c r="R1475" i="1" a="1"/>
  <c r="R1478" i="1" a="1"/>
  <c r="R1481" i="1" a="1"/>
  <c r="R1484" i="1" a="1"/>
  <c r="R1487" i="1" a="1"/>
  <c r="R1490" i="1" a="1"/>
  <c r="R1493" i="1" a="1"/>
  <c r="R1496" i="1" a="1"/>
  <c r="R1499" i="1" a="1"/>
  <c r="R1502" i="1" a="1"/>
  <c r="R1505" i="1" a="1"/>
  <c r="R1508" i="1" a="1"/>
  <c r="R1511" i="1" a="1"/>
  <c r="R1514" i="1" a="1"/>
  <c r="R1517" i="1" a="1"/>
  <c r="R1520" i="1" a="1"/>
  <c r="R1523" i="1" a="1"/>
  <c r="R1526" i="1" a="1"/>
  <c r="R1529" i="1" a="1"/>
  <c r="R1532" i="1" a="1"/>
  <c r="R1535" i="1" a="1"/>
  <c r="R1538" i="1" a="1"/>
  <c r="R1541" i="1" a="1"/>
  <c r="R1544" i="1" a="1"/>
  <c r="R1547" i="1" a="1"/>
  <c r="R1550" i="1" a="1"/>
  <c r="R1553" i="1" a="1"/>
  <c r="R1556" i="1" a="1"/>
  <c r="R1559" i="1" a="1"/>
  <c r="R1562" i="1" a="1"/>
  <c r="R1565" i="1" a="1"/>
  <c r="R1568" i="1" a="1"/>
  <c r="R1571" i="1" a="1"/>
  <c r="R1574" i="1" a="1"/>
  <c r="R1577" i="1" a="1"/>
  <c r="R1580" i="1" a="1"/>
  <c r="R1583" i="1" a="1"/>
  <c r="R1586" i="1" a="1"/>
  <c r="R1589" i="1" a="1"/>
  <c r="R1592" i="1" a="1"/>
  <c r="R1595" i="1" a="1"/>
  <c r="R1598" i="1" a="1"/>
  <c r="R1601" i="1" a="1"/>
  <c r="R1604" i="1" a="1"/>
  <c r="R1607" i="1" a="1"/>
  <c r="R1610" i="1" a="1"/>
  <c r="R1613" i="1" a="1"/>
  <c r="R1616" i="1" a="1"/>
  <c r="R1619" i="1" a="1"/>
  <c r="R1622" i="1" a="1"/>
  <c r="R1625" i="1" a="1"/>
  <c r="R1628" i="1" a="1"/>
  <c r="R1631" i="1" a="1"/>
  <c r="R1634" i="1" a="1"/>
  <c r="R1637" i="1" a="1"/>
  <c r="R1640" i="1" a="1"/>
  <c r="R1643" i="1" a="1"/>
  <c r="R1646" i="1" a="1"/>
  <c r="R1649" i="1" a="1"/>
  <c r="R1652" i="1" a="1"/>
  <c r="R1655" i="1" a="1"/>
  <c r="R1658" i="1" a="1"/>
  <c r="R1661" i="1" a="1"/>
  <c r="R1664" i="1" a="1"/>
  <c r="R1667" i="1" a="1"/>
  <c r="R1670" i="1" a="1"/>
  <c r="R1673" i="1" a="1"/>
  <c r="R1676" i="1" a="1"/>
  <c r="R1679" i="1" a="1"/>
  <c r="R1682" i="1" a="1"/>
  <c r="R1685" i="1" a="1"/>
  <c r="R1688" i="1" a="1"/>
  <c r="R1691" i="1" a="1"/>
  <c r="R1694" i="1" a="1"/>
  <c r="Q17" i="1" a="1"/>
  <c r="Q20" i="1" a="1"/>
  <c r="Q23" i="1" a="1"/>
  <c r="Q26" i="1" a="1"/>
  <c r="Q29" i="1" a="1"/>
  <c r="Q32" i="1" a="1"/>
  <c r="Q35" i="1" a="1"/>
  <c r="Q38" i="1" a="1"/>
  <c r="Q41" i="1" a="1"/>
  <c r="Q44" i="1" a="1"/>
  <c r="Q47" i="1" a="1"/>
  <c r="Q50" i="1" a="1"/>
  <c r="Q53" i="1" a="1"/>
  <c r="Q56" i="1" a="1"/>
  <c r="Q59" i="1" a="1"/>
  <c r="Q62" i="1" a="1"/>
  <c r="Q65" i="1" a="1"/>
  <c r="Q68" i="1" a="1"/>
  <c r="Q71" i="1" a="1"/>
  <c r="Q74" i="1" a="1"/>
  <c r="Q77" i="1" a="1"/>
  <c r="Q80" i="1" a="1"/>
  <c r="Q83" i="1" a="1"/>
  <c r="Q86" i="1" a="1"/>
  <c r="Q89" i="1" a="1"/>
  <c r="Q92" i="1" a="1"/>
  <c r="Q95" i="1" a="1"/>
  <c r="Q98" i="1" a="1"/>
  <c r="Q101" i="1" a="1"/>
  <c r="Q104" i="1" a="1"/>
  <c r="Q107" i="1" a="1"/>
  <c r="Q110" i="1" a="1"/>
  <c r="Q113" i="1" a="1"/>
  <c r="Q116" i="1" a="1"/>
  <c r="Q119" i="1" a="1"/>
  <c r="Q122" i="1" a="1"/>
  <c r="Q125" i="1" a="1"/>
  <c r="Q128" i="1" a="1"/>
  <c r="Q131" i="1" a="1"/>
  <c r="Q134" i="1" a="1"/>
  <c r="Q137" i="1" a="1"/>
  <c r="Q140" i="1" a="1"/>
  <c r="Q143" i="1" a="1"/>
  <c r="Q146" i="1" a="1"/>
  <c r="Q149" i="1" a="1"/>
  <c r="Q152" i="1" a="1"/>
  <c r="Q155" i="1" a="1"/>
  <c r="Q161" i="1" a="1"/>
  <c r="Q164" i="1" a="1"/>
  <c r="Q167" i="1" a="1"/>
  <c r="Q170" i="1" a="1"/>
  <c r="Q173" i="1" a="1"/>
  <c r="Q176" i="1" a="1"/>
  <c r="Q179" i="1" a="1"/>
  <c r="Q182" i="1" a="1"/>
  <c r="Q185" i="1" a="1"/>
  <c r="Q188" i="1" a="1"/>
  <c r="Q191" i="1" a="1"/>
  <c r="Q194" i="1" a="1"/>
  <c r="Q197" i="1" a="1"/>
  <c r="Q200" i="1" a="1"/>
  <c r="Q203" i="1" a="1"/>
  <c r="Q206" i="1" a="1"/>
  <c r="Q209" i="1" a="1"/>
  <c r="Q212" i="1" a="1"/>
  <c r="Q215" i="1" a="1"/>
  <c r="Q218" i="1" a="1"/>
  <c r="Q221" i="1" a="1"/>
  <c r="Q224" i="1" a="1"/>
  <c r="Q227" i="1" a="1"/>
  <c r="Q230" i="1" a="1"/>
  <c r="Q233" i="1" a="1"/>
  <c r="Q236" i="1" a="1"/>
  <c r="Q239" i="1" a="1"/>
  <c r="Q242" i="1" a="1"/>
  <c r="Q245" i="1" a="1"/>
  <c r="Q248" i="1" a="1"/>
  <c r="Q251" i="1" a="1"/>
  <c r="Q254" i="1" a="1"/>
  <c r="Q257" i="1" a="1"/>
  <c r="Q260" i="1" a="1"/>
  <c r="Q263" i="1" a="1"/>
  <c r="Q266" i="1" a="1"/>
  <c r="Q269" i="1" a="1"/>
  <c r="Q272" i="1" a="1"/>
  <c r="Q275" i="1" a="1"/>
  <c r="Q278" i="1" a="1"/>
  <c r="Q281" i="1" a="1"/>
  <c r="Q284" i="1" a="1"/>
  <c r="Q287" i="1" a="1"/>
  <c r="Q290" i="1" a="1"/>
  <c r="Q293" i="1" a="1"/>
  <c r="Q296" i="1" a="1"/>
  <c r="Q299" i="1" a="1"/>
  <c r="Q302" i="1" a="1"/>
  <c r="Q305" i="1" a="1"/>
  <c r="Q308" i="1" a="1"/>
  <c r="Q311" i="1" a="1"/>
  <c r="Q314" i="1" a="1"/>
  <c r="Q317" i="1" a="1"/>
  <c r="Q320" i="1" a="1"/>
  <c r="Q323" i="1" a="1"/>
  <c r="Q326" i="1" a="1"/>
  <c r="Q329" i="1" a="1"/>
  <c r="Q332" i="1" a="1"/>
  <c r="Q335" i="1" a="1"/>
  <c r="Q338" i="1" a="1"/>
  <c r="Q341" i="1" a="1"/>
  <c r="Q344" i="1" a="1"/>
  <c r="Q347" i="1" a="1"/>
  <c r="Q350" i="1" a="1"/>
  <c r="Q353" i="1" a="1"/>
  <c r="Q356" i="1" a="1"/>
  <c r="Q359" i="1" a="1"/>
  <c r="Q362" i="1" a="1"/>
  <c r="Q365" i="1" a="1"/>
  <c r="Q368" i="1" a="1"/>
  <c r="Q371" i="1" a="1"/>
  <c r="Q374" i="1" a="1"/>
  <c r="Q377" i="1" a="1"/>
  <c r="Q380" i="1" a="1"/>
  <c r="Q383" i="1" a="1"/>
  <c r="Q386" i="1" a="1"/>
  <c r="Q389" i="1" a="1"/>
  <c r="Q392" i="1" a="1"/>
  <c r="Q395" i="1" a="1"/>
  <c r="Q398" i="1" a="1"/>
  <c r="Q401" i="1" a="1"/>
  <c r="Q404" i="1" a="1"/>
  <c r="Q407" i="1" a="1"/>
  <c r="Q410" i="1" a="1"/>
  <c r="Q413" i="1" a="1"/>
  <c r="Q416" i="1" a="1"/>
  <c r="Q419" i="1" a="1"/>
  <c r="Q422" i="1" a="1"/>
  <c r="Q425" i="1" a="1"/>
  <c r="Q428" i="1" a="1"/>
  <c r="Q431" i="1" a="1"/>
  <c r="Q434" i="1" a="1"/>
  <c r="Q437" i="1" a="1"/>
  <c r="Q440" i="1" a="1"/>
  <c r="Q443" i="1" a="1"/>
  <c r="Q446" i="1" a="1"/>
  <c r="Q449" i="1" a="1"/>
  <c r="Q452" i="1" a="1"/>
  <c r="Q455" i="1" a="1"/>
  <c r="Q458" i="1" a="1"/>
  <c r="Q461" i="1" a="1"/>
  <c r="Q464" i="1" a="1"/>
  <c r="Q467" i="1" a="1"/>
  <c r="Q470" i="1" a="1"/>
  <c r="Q473" i="1" a="1"/>
  <c r="Q476" i="1" a="1"/>
  <c r="Q479" i="1" a="1"/>
  <c r="Q482" i="1" a="1"/>
  <c r="Q485" i="1" a="1"/>
  <c r="Q488" i="1" a="1"/>
  <c r="Q491" i="1" a="1"/>
  <c r="Q494" i="1" a="1"/>
  <c r="Q497" i="1" a="1"/>
  <c r="Q500" i="1" a="1"/>
  <c r="Q503" i="1" a="1"/>
  <c r="Q506" i="1" a="1"/>
  <c r="Q509" i="1" a="1"/>
  <c r="Q512" i="1" a="1"/>
  <c r="Q515" i="1" a="1"/>
  <c r="Q518" i="1" a="1"/>
  <c r="Q521" i="1" a="1"/>
  <c r="Q524" i="1" a="1"/>
  <c r="Q527" i="1" a="1"/>
  <c r="Q530" i="1" a="1"/>
  <c r="Q533" i="1" a="1"/>
  <c r="Q536" i="1" a="1"/>
  <c r="Q539" i="1" a="1"/>
  <c r="Q542" i="1" a="1"/>
  <c r="Q545" i="1" a="1"/>
  <c r="Q548" i="1" a="1"/>
  <c r="Q551" i="1" a="1"/>
  <c r="Q554" i="1" a="1"/>
  <c r="Q557" i="1" a="1"/>
  <c r="Q560" i="1" a="1"/>
  <c r="Q563" i="1" a="1"/>
  <c r="Q566" i="1" a="1"/>
  <c r="Q569" i="1" a="1"/>
  <c r="Q572" i="1" a="1"/>
  <c r="Q575" i="1" a="1"/>
  <c r="Q578" i="1" a="1"/>
  <c r="Q581" i="1" a="1"/>
  <c r="Q584" i="1" a="1"/>
  <c r="Q587" i="1" a="1"/>
  <c r="Q590" i="1" a="1"/>
  <c r="Q593" i="1" a="1"/>
  <c r="Q596" i="1" a="1"/>
  <c r="Q599" i="1" a="1"/>
  <c r="Q602" i="1" a="1"/>
  <c r="Q605" i="1" a="1"/>
  <c r="Q608" i="1" a="1"/>
  <c r="Q611" i="1" a="1"/>
  <c r="Q614" i="1" a="1"/>
  <c r="Q617" i="1" a="1"/>
  <c r="Q620" i="1" a="1"/>
  <c r="Q623" i="1" a="1"/>
  <c r="Q626" i="1" a="1"/>
  <c r="Q629" i="1" a="1"/>
  <c r="Q632" i="1" a="1"/>
  <c r="Q635" i="1" a="1"/>
  <c r="Q638" i="1" a="1"/>
  <c r="Q641" i="1" a="1"/>
  <c r="Q644" i="1" a="1"/>
  <c r="Q647" i="1" a="1"/>
  <c r="Q650" i="1" a="1"/>
  <c r="Q656" i="1" a="1"/>
  <c r="Q659" i="1" a="1"/>
  <c r="Q662" i="1" a="1"/>
  <c r="Q665" i="1" a="1"/>
  <c r="Q668" i="1" a="1"/>
  <c r="Q671" i="1" a="1"/>
  <c r="Q674" i="1" a="1"/>
  <c r="Q677" i="1" a="1"/>
  <c r="Q680" i="1" a="1"/>
  <c r="Q683" i="1" a="1"/>
  <c r="Q686" i="1" a="1"/>
  <c r="Q689" i="1" a="1"/>
  <c r="Q692" i="1" a="1"/>
  <c r="Q695" i="1" a="1"/>
  <c r="Q698" i="1" a="1"/>
  <c r="Q701" i="1" a="1"/>
  <c r="Q704" i="1" a="1"/>
  <c r="Q707" i="1" a="1"/>
  <c r="Q710" i="1" a="1"/>
  <c r="Q713" i="1" a="1"/>
  <c r="Q716" i="1" a="1"/>
  <c r="Q719" i="1" a="1"/>
  <c r="Q722" i="1" a="1"/>
  <c r="Q725" i="1" a="1"/>
  <c r="Q728" i="1" a="1"/>
  <c r="Q731" i="1" a="1"/>
  <c r="Q734" i="1" a="1"/>
  <c r="Q737" i="1" a="1"/>
  <c r="Q740" i="1" a="1"/>
  <c r="Q743" i="1" a="1"/>
  <c r="Q746" i="1" a="1"/>
  <c r="Q749" i="1" a="1"/>
  <c r="Q752" i="1" a="1"/>
  <c r="Q755" i="1" a="1"/>
  <c r="Q758" i="1" a="1"/>
  <c r="Q761" i="1" a="1"/>
  <c r="Q764" i="1" a="1"/>
  <c r="Q767" i="1" a="1"/>
  <c r="Q770" i="1" a="1"/>
  <c r="Q773" i="1" a="1"/>
  <c r="Q776" i="1" a="1"/>
  <c r="Q779" i="1" a="1"/>
  <c r="Q782" i="1" a="1"/>
  <c r="Q785" i="1" a="1"/>
  <c r="Q788" i="1" a="1"/>
  <c r="Q791" i="1" a="1"/>
  <c r="Q794" i="1" a="1"/>
  <c r="Q797" i="1" a="1"/>
  <c r="Q800" i="1" a="1"/>
  <c r="Q803" i="1" a="1"/>
  <c r="Q809" i="1" a="1"/>
  <c r="Q812" i="1" a="1"/>
  <c r="Q815" i="1" a="1"/>
  <c r="Q818" i="1" a="1"/>
  <c r="Q821" i="1" a="1"/>
  <c r="Q824" i="1" a="1"/>
  <c r="Q827" i="1" a="1"/>
  <c r="Q830" i="1" a="1"/>
  <c r="Q833" i="1" a="1"/>
  <c r="Q836" i="1" a="1"/>
  <c r="Q839" i="1" a="1"/>
  <c r="Q842" i="1" a="1"/>
  <c r="Q845" i="1" a="1"/>
  <c r="Q848" i="1" a="1"/>
  <c r="Q851" i="1" a="1"/>
  <c r="Q854" i="1" a="1"/>
  <c r="Q857" i="1" a="1"/>
  <c r="Q860" i="1" a="1"/>
  <c r="Q863" i="1" a="1"/>
  <c r="Q866" i="1" a="1"/>
  <c r="Q869" i="1" a="1"/>
  <c r="Q872" i="1" a="1"/>
  <c r="Q875" i="1" a="1"/>
  <c r="Q878" i="1" a="1"/>
  <c r="Q881" i="1" a="1"/>
  <c r="Q884" i="1" a="1"/>
  <c r="Q887" i="1" a="1"/>
  <c r="Q890" i="1" a="1"/>
  <c r="Q893" i="1" a="1"/>
  <c r="Q896" i="1" a="1"/>
  <c r="Q899" i="1" a="1"/>
  <c r="Q902" i="1" a="1"/>
  <c r="Q905" i="1" a="1"/>
  <c r="Q908" i="1" a="1"/>
  <c r="Q911" i="1" a="1"/>
  <c r="Q914" i="1" a="1"/>
  <c r="Q917" i="1" a="1"/>
  <c r="Q920" i="1" a="1"/>
  <c r="Q923" i="1" a="1"/>
  <c r="Q926" i="1" a="1"/>
  <c r="Q929" i="1" a="1"/>
  <c r="Q932" i="1" a="1"/>
  <c r="Q935" i="1" a="1"/>
  <c r="Q938" i="1" a="1"/>
  <c r="Q941" i="1" a="1"/>
  <c r="Q944" i="1" a="1"/>
  <c r="Q947" i="1" a="1"/>
  <c r="Q950" i="1" a="1"/>
  <c r="Q953" i="1" a="1"/>
  <c r="Q956" i="1" a="1"/>
  <c r="Q959" i="1" a="1"/>
  <c r="Q962" i="1" a="1"/>
  <c r="Q968" i="1" a="1"/>
  <c r="Q971" i="1" a="1"/>
  <c r="Q974" i="1" a="1"/>
  <c r="Q977" i="1" a="1"/>
  <c r="Q980" i="1" a="1"/>
  <c r="Q983" i="1" a="1"/>
  <c r="Q986" i="1" a="1"/>
  <c r="Q989" i="1" a="1"/>
  <c r="Q992" i="1" a="1"/>
  <c r="Q995" i="1" a="1"/>
  <c r="Q998" i="1" a="1"/>
  <c r="Q1001" i="1" a="1"/>
  <c r="Q1004" i="1" a="1"/>
  <c r="Q1007" i="1" a="1"/>
  <c r="Q1010" i="1" a="1"/>
  <c r="AS1010" i="1" s="1"/>
  <c r="Q1013" i="1" a="1"/>
  <c r="AS1013" i="1" s="1"/>
  <c r="Q1016" i="1" a="1"/>
  <c r="Q1019" i="1" a="1"/>
  <c r="Q1022" i="1" a="1"/>
  <c r="Q1025" i="1" a="1"/>
  <c r="Q1028" i="1" a="1"/>
  <c r="Q1031" i="1" a="1"/>
  <c r="Q1034" i="1" a="1"/>
  <c r="Q1037" i="1" a="1"/>
  <c r="Q1040" i="1" a="1"/>
  <c r="Q1043" i="1" a="1"/>
  <c r="Q1046" i="1" a="1"/>
  <c r="Q1049" i="1" a="1"/>
  <c r="Q1052" i="1" a="1"/>
  <c r="Q1055" i="1" a="1"/>
  <c r="Q1058" i="1" a="1"/>
  <c r="Q1061" i="1" a="1"/>
  <c r="Q1064" i="1" a="1"/>
  <c r="Q1067" i="1" a="1"/>
  <c r="Q1070" i="1" a="1"/>
  <c r="Q1073" i="1" a="1"/>
  <c r="Q1076" i="1" a="1"/>
  <c r="Q1079" i="1" a="1"/>
  <c r="Q1082" i="1" a="1"/>
  <c r="Q1085" i="1" a="1"/>
  <c r="Q1088" i="1" a="1"/>
  <c r="Q1091" i="1" a="1"/>
  <c r="Q1094" i="1" a="1"/>
  <c r="Q1097" i="1" a="1"/>
  <c r="Q1100" i="1" a="1"/>
  <c r="Q1103" i="1" a="1"/>
  <c r="Q1106" i="1" a="1"/>
  <c r="Q1109" i="1" a="1"/>
  <c r="Q1112" i="1" a="1"/>
  <c r="Q1115" i="1" a="1"/>
  <c r="Q1118" i="1" a="1"/>
  <c r="Q1121" i="1" a="1"/>
  <c r="Q1124" i="1" a="1"/>
  <c r="Q1127" i="1" a="1"/>
  <c r="Q1130" i="1" a="1"/>
  <c r="Q1136" i="1" a="1"/>
  <c r="Q1139" i="1" a="1"/>
  <c r="Q1142" i="1" a="1"/>
  <c r="Q1145" i="1" a="1"/>
  <c r="Q1148" i="1" a="1"/>
  <c r="Q1151" i="1" a="1"/>
  <c r="Q1154" i="1" a="1"/>
  <c r="Q1157" i="1" a="1"/>
  <c r="Q1160" i="1" a="1"/>
  <c r="Q1163" i="1" a="1"/>
  <c r="Q1166" i="1" a="1"/>
  <c r="Q1169" i="1" a="1"/>
  <c r="Q1172" i="1" a="1"/>
  <c r="Q1175" i="1" a="1"/>
  <c r="Q1178" i="1" a="1"/>
  <c r="Q1181" i="1" a="1"/>
  <c r="Q1184" i="1" a="1"/>
  <c r="Q1187" i="1" a="1"/>
  <c r="Q1190" i="1" a="1"/>
  <c r="Q1193" i="1" a="1"/>
  <c r="Q1196" i="1" a="1"/>
  <c r="Q1199" i="1" a="1"/>
  <c r="Q1202" i="1" a="1"/>
  <c r="Q1205" i="1" a="1"/>
  <c r="Q1208" i="1" a="1"/>
  <c r="Q1211" i="1" a="1"/>
  <c r="Q1214" i="1" a="1"/>
  <c r="Q1217" i="1" a="1"/>
  <c r="Q1220" i="1" a="1"/>
  <c r="Q1223" i="1" a="1"/>
  <c r="Q1226" i="1" a="1"/>
  <c r="Q1229" i="1" a="1"/>
  <c r="Q1232" i="1" a="1"/>
  <c r="Q1235" i="1" a="1"/>
  <c r="Q1238" i="1" a="1"/>
  <c r="Q1241" i="1" a="1"/>
  <c r="Q1244" i="1" a="1"/>
  <c r="Q1247" i="1" a="1"/>
  <c r="Q1250" i="1" a="1"/>
  <c r="Q1253" i="1" a="1"/>
  <c r="Q1256" i="1" a="1"/>
  <c r="Q1259" i="1" a="1"/>
  <c r="Q1262" i="1" a="1"/>
  <c r="Q1265" i="1" a="1"/>
  <c r="Q1268" i="1" a="1"/>
  <c r="Q1271" i="1" a="1"/>
  <c r="Q1274" i="1" a="1"/>
  <c r="Q1277" i="1" a="1"/>
  <c r="Q1280" i="1" a="1"/>
  <c r="Q1283" i="1" a="1"/>
  <c r="Q1286" i="1" a="1"/>
  <c r="Q1292" i="1" a="1"/>
  <c r="Q1295" i="1" a="1"/>
  <c r="Q1298" i="1" a="1"/>
  <c r="Q1301" i="1" a="1"/>
  <c r="Q1304" i="1" a="1"/>
  <c r="Q1307" i="1" a="1"/>
  <c r="Q1310" i="1" a="1"/>
  <c r="Q1313" i="1" a="1"/>
  <c r="Q1316" i="1" a="1"/>
  <c r="Q1319" i="1" a="1"/>
  <c r="Q1322" i="1" a="1"/>
  <c r="Q1325" i="1" a="1"/>
  <c r="Q1328" i="1" a="1"/>
  <c r="Q1331" i="1" a="1"/>
  <c r="Q1334" i="1" a="1"/>
  <c r="Q1337" i="1" a="1"/>
  <c r="AS1337" i="1" s="1"/>
  <c r="Q1340" i="1" a="1"/>
  <c r="Q1343" i="1" a="1"/>
  <c r="Q1346" i="1" a="1"/>
  <c r="Q1349" i="1" a="1"/>
  <c r="Q1352" i="1" a="1"/>
  <c r="Q1355" i="1" a="1"/>
  <c r="Q1358" i="1" a="1"/>
  <c r="Q1361" i="1" a="1"/>
  <c r="Q1364" i="1" a="1"/>
  <c r="Q1367" i="1" a="1"/>
  <c r="Q1370" i="1" a="1"/>
  <c r="Q1373" i="1" a="1"/>
  <c r="Q1376" i="1" a="1"/>
  <c r="Q1379" i="1" a="1"/>
  <c r="Q1382" i="1" a="1"/>
  <c r="Q1385" i="1" a="1"/>
  <c r="Q1388" i="1" a="1"/>
  <c r="Q1391" i="1" a="1"/>
  <c r="Q1394" i="1" a="1"/>
  <c r="Q1397" i="1" a="1"/>
  <c r="Q1400" i="1" a="1"/>
  <c r="Q1403" i="1" a="1"/>
  <c r="Q1406" i="1" a="1"/>
  <c r="Q1409" i="1" a="1"/>
  <c r="Q1412" i="1" a="1"/>
  <c r="Q1415" i="1" a="1"/>
  <c r="Q1418" i="1" a="1"/>
  <c r="Q1421" i="1" a="1"/>
  <c r="Q1424" i="1" a="1"/>
  <c r="Q1427" i="1" a="1"/>
  <c r="Q1430" i="1" a="1"/>
  <c r="Q1433" i="1" a="1"/>
  <c r="AS1433" i="1" s="1"/>
  <c r="Q1436" i="1" a="1"/>
  <c r="Q1439" i="1" a="1"/>
  <c r="Q1442" i="1" a="1"/>
  <c r="Q1445" i="1" a="1"/>
  <c r="Q1448" i="1" a="1"/>
  <c r="Q1451" i="1" a="1"/>
  <c r="Q1454" i="1" a="1"/>
  <c r="Q1457" i="1" a="1"/>
  <c r="Q1460" i="1" a="1"/>
  <c r="Q1463" i="1" a="1"/>
  <c r="Q1466" i="1" a="1"/>
  <c r="Q1469" i="1" a="1"/>
  <c r="Q1472" i="1" a="1"/>
  <c r="Q1475" i="1" a="1"/>
  <c r="AS1475" i="1" s="1"/>
  <c r="Q1478" i="1" a="1"/>
  <c r="Q1481" i="1" a="1"/>
  <c r="Q1484" i="1" a="1"/>
  <c r="Q1487" i="1" a="1"/>
  <c r="Q1490" i="1" a="1"/>
  <c r="Q1493" i="1" a="1"/>
  <c r="Q1496" i="1" a="1"/>
  <c r="AS1496" i="1" s="1"/>
  <c r="Q1499" i="1" a="1"/>
  <c r="Q1502" i="1" a="1"/>
  <c r="Q1505" i="1" a="1"/>
  <c r="Q1508" i="1" a="1"/>
  <c r="Q1511" i="1" a="1"/>
  <c r="Q1514" i="1" a="1"/>
  <c r="Q1517" i="1" a="1"/>
  <c r="Q1520" i="1" a="1"/>
  <c r="Q1523" i="1" a="1"/>
  <c r="Q1526" i="1" a="1"/>
  <c r="Q1529" i="1" a="1"/>
  <c r="Q1532" i="1" a="1"/>
  <c r="Q1535" i="1" a="1"/>
  <c r="Q1538" i="1" a="1"/>
  <c r="Q1541" i="1" a="1"/>
  <c r="Q1544" i="1" a="1"/>
  <c r="Q1547" i="1" a="1"/>
  <c r="Q1550" i="1" a="1"/>
  <c r="Q1553" i="1" a="1"/>
  <c r="Q1556" i="1" a="1"/>
  <c r="Q1559" i="1" a="1"/>
  <c r="Q1562" i="1" a="1"/>
  <c r="Q1565" i="1" a="1"/>
  <c r="Q1568" i="1" a="1"/>
  <c r="Q1571" i="1" a="1"/>
  <c r="Q1574" i="1" a="1"/>
  <c r="Q1577" i="1" a="1"/>
  <c r="Q1580" i="1" a="1"/>
  <c r="Q1583" i="1" a="1"/>
  <c r="Q1586" i="1" a="1"/>
  <c r="Q1589" i="1" a="1"/>
  <c r="AS1589" i="1" s="1"/>
  <c r="Q1592" i="1" a="1"/>
  <c r="AS1592" i="1" s="1"/>
  <c r="Q1595" i="1" a="1"/>
  <c r="Q1598" i="1" a="1"/>
  <c r="Q1601" i="1" a="1"/>
  <c r="AS1601" i="1" s="1"/>
  <c r="Q1604" i="1" a="1"/>
  <c r="AS1604" i="1" s="1"/>
  <c r="Q1607" i="1" a="1"/>
  <c r="Q1610" i="1" a="1"/>
  <c r="AS1610" i="1" s="1"/>
  <c r="Q1613" i="1" a="1"/>
  <c r="AS1613" i="1" s="1"/>
  <c r="Q1616" i="1" a="1"/>
  <c r="AS1616" i="1" s="1"/>
  <c r="Q1619" i="1" a="1"/>
  <c r="AS1619" i="1" s="1"/>
  <c r="Q1622" i="1" a="1"/>
  <c r="AS1622" i="1" s="1"/>
  <c r="Q1625" i="1" a="1"/>
  <c r="AS1625" i="1" s="1"/>
  <c r="Q1628" i="1" a="1"/>
  <c r="AS1628" i="1" s="1"/>
  <c r="Q1631" i="1" a="1"/>
  <c r="AS1631" i="1" s="1"/>
  <c r="Q1634" i="1" a="1"/>
  <c r="AS1634" i="1" s="1"/>
  <c r="Q1637" i="1" a="1"/>
  <c r="AS1637" i="1" s="1"/>
  <c r="Q1640" i="1" a="1"/>
  <c r="AS1640" i="1" s="1"/>
  <c r="Q1643" i="1" a="1"/>
  <c r="AS1643" i="1" s="1"/>
  <c r="Q1646" i="1" a="1"/>
  <c r="AS1646" i="1" s="1"/>
  <c r="Q1649" i="1" a="1"/>
  <c r="AS1649" i="1" s="1"/>
  <c r="Q1652" i="1" a="1"/>
  <c r="AS1652" i="1" s="1"/>
  <c r="Q1655" i="1" a="1"/>
  <c r="AS1655" i="1" s="1"/>
  <c r="Q1658" i="1" a="1"/>
  <c r="AS1658" i="1" s="1"/>
  <c r="Q1661" i="1" a="1"/>
  <c r="AS1661" i="1" s="1"/>
  <c r="Q1664" i="1" a="1"/>
  <c r="AS1664" i="1" s="1"/>
  <c r="Q1667" i="1" a="1"/>
  <c r="AS1667" i="1" s="1"/>
  <c r="Q1670" i="1" a="1"/>
  <c r="AS1670" i="1" s="1"/>
  <c r="Q1673" i="1" a="1"/>
  <c r="AS1673" i="1" s="1"/>
  <c r="Q1676" i="1" a="1"/>
  <c r="AS1676" i="1" s="1"/>
  <c r="Q1679" i="1" a="1"/>
  <c r="AS1679" i="1" s="1"/>
  <c r="Q1682" i="1" a="1"/>
  <c r="AS1682" i="1" s="1"/>
  <c r="Q1685" i="1" a="1"/>
  <c r="AS1685" i="1" s="1"/>
  <c r="Q1688" i="1" a="1"/>
  <c r="AS1688" i="1" s="1"/>
  <c r="Q1691" i="1" a="1"/>
  <c r="AS1691" i="1" s="1"/>
  <c r="Q1694" i="1" a="1"/>
  <c r="AS1694" i="1" s="1"/>
  <c r="AL1512" i="1"/>
  <c r="AQ1512" i="1"/>
  <c r="AL1505" i="1"/>
  <c r="AQ1505" i="1"/>
  <c r="AL1551" i="1"/>
  <c r="AQ1551" i="1"/>
  <c r="AL1547" i="1"/>
  <c r="AQ1547" i="1"/>
  <c r="AL1543" i="1"/>
  <c r="AQ1543" i="1"/>
  <c r="AQ1695" i="1"/>
  <c r="AL1695" i="1"/>
  <c r="AQ1694" i="1"/>
  <c r="AL1694" i="1"/>
  <c r="AQ1693" i="1"/>
  <c r="AL1693" i="1"/>
  <c r="AQ1692" i="1"/>
  <c r="AL1692" i="1"/>
  <c r="AQ1691" i="1"/>
  <c r="AL1691" i="1"/>
  <c r="AQ1690" i="1"/>
  <c r="AL1690" i="1"/>
  <c r="AQ1689" i="1"/>
  <c r="AL1689" i="1"/>
  <c r="AQ1688" i="1"/>
  <c r="AL1688" i="1"/>
  <c r="AQ1687" i="1"/>
  <c r="AL1687" i="1"/>
  <c r="AQ1686" i="1"/>
  <c r="AL1686" i="1"/>
  <c r="AQ1685" i="1"/>
  <c r="AL1685" i="1"/>
  <c r="AQ1684" i="1"/>
  <c r="AL1684" i="1"/>
  <c r="AQ1683" i="1"/>
  <c r="AL1683" i="1"/>
  <c r="AQ1682" i="1"/>
  <c r="AL1682" i="1"/>
  <c r="AQ1681" i="1"/>
  <c r="AL1681" i="1"/>
  <c r="AQ1680" i="1"/>
  <c r="AL1680" i="1"/>
  <c r="AQ1679" i="1"/>
  <c r="AL1679" i="1"/>
  <c r="AQ1678" i="1"/>
  <c r="AL1678" i="1"/>
  <c r="AQ1677" i="1"/>
  <c r="AL1677" i="1"/>
  <c r="AQ1676" i="1"/>
  <c r="AL1676" i="1"/>
  <c r="AQ1675" i="1"/>
  <c r="AL1675" i="1"/>
  <c r="AQ1674" i="1"/>
  <c r="AL1674" i="1"/>
  <c r="AQ1673" i="1"/>
  <c r="AL1673" i="1"/>
  <c r="AQ1672" i="1"/>
  <c r="AL1672" i="1"/>
  <c r="AQ1671" i="1"/>
  <c r="AL1671" i="1"/>
  <c r="AQ1670" i="1"/>
  <c r="AL1670" i="1"/>
  <c r="AQ1669" i="1"/>
  <c r="AL1669" i="1"/>
  <c r="AQ1668" i="1"/>
  <c r="AL1668" i="1"/>
  <c r="AQ1667" i="1"/>
  <c r="AL1667" i="1"/>
  <c r="AQ1666" i="1"/>
  <c r="AL1666" i="1"/>
  <c r="AQ1665" i="1"/>
  <c r="AL1665" i="1"/>
  <c r="AQ1664" i="1"/>
  <c r="AL1664" i="1"/>
  <c r="AQ1663" i="1"/>
  <c r="AL1663" i="1"/>
  <c r="AQ1662" i="1"/>
  <c r="AL1662" i="1"/>
  <c r="AQ1661" i="1"/>
  <c r="AL1661" i="1"/>
  <c r="AQ1660" i="1"/>
  <c r="AL1660" i="1"/>
  <c r="AQ1659" i="1"/>
  <c r="AL1659" i="1"/>
  <c r="AQ1658" i="1"/>
  <c r="AL1658" i="1"/>
  <c r="AQ1657" i="1"/>
  <c r="AL1657" i="1"/>
  <c r="AQ1656" i="1"/>
  <c r="AL1656" i="1"/>
  <c r="AQ1655" i="1"/>
  <c r="AL1655" i="1"/>
  <c r="AQ1654" i="1"/>
  <c r="AL1654" i="1"/>
  <c r="AQ1653" i="1"/>
  <c r="AL1653" i="1"/>
  <c r="AQ1652" i="1"/>
  <c r="AL1652" i="1"/>
  <c r="AQ1651" i="1"/>
  <c r="AL1651" i="1"/>
  <c r="AQ1650" i="1"/>
  <c r="AL1650" i="1"/>
  <c r="AQ1649" i="1"/>
  <c r="AL1649" i="1"/>
  <c r="AQ1648" i="1"/>
  <c r="AL1648" i="1"/>
  <c r="AQ1647" i="1"/>
  <c r="AL1647" i="1"/>
  <c r="AQ1646" i="1"/>
  <c r="AL1646" i="1"/>
  <c r="AQ1645" i="1"/>
  <c r="AL1645" i="1"/>
  <c r="AQ1644" i="1"/>
  <c r="AL1644" i="1"/>
  <c r="AQ1643" i="1"/>
  <c r="AL1643" i="1"/>
  <c r="AQ1642" i="1"/>
  <c r="AL1642" i="1"/>
  <c r="AQ1641" i="1"/>
  <c r="AL1641" i="1"/>
  <c r="AQ1640" i="1"/>
  <c r="AL1640" i="1"/>
  <c r="AQ1639" i="1"/>
  <c r="AL1639" i="1"/>
  <c r="AQ1638" i="1"/>
  <c r="AL1638" i="1"/>
  <c r="AQ1637" i="1"/>
  <c r="AL1637" i="1"/>
  <c r="AQ1636" i="1"/>
  <c r="AL1636" i="1"/>
  <c r="AQ1635" i="1"/>
  <c r="AL1635" i="1"/>
  <c r="AQ1634" i="1"/>
  <c r="AL1634" i="1"/>
  <c r="AQ1633" i="1"/>
  <c r="AL1633" i="1"/>
  <c r="AQ1632" i="1"/>
  <c r="AL1632" i="1"/>
  <c r="AQ1631" i="1"/>
  <c r="AL1631" i="1"/>
  <c r="AQ1630" i="1"/>
  <c r="AL1630" i="1"/>
  <c r="AQ1629" i="1"/>
  <c r="AL1629" i="1"/>
  <c r="AQ1628" i="1"/>
  <c r="AL1628" i="1"/>
  <c r="AQ1627" i="1"/>
  <c r="AL1627" i="1"/>
  <c r="AQ1626" i="1"/>
  <c r="AL1626" i="1"/>
  <c r="AQ1625" i="1"/>
  <c r="AL1625" i="1"/>
  <c r="AQ1624" i="1"/>
  <c r="AL1624" i="1"/>
  <c r="AQ1623" i="1"/>
  <c r="AL1623" i="1"/>
  <c r="AQ1622" i="1"/>
  <c r="AL1622" i="1"/>
  <c r="AQ1621" i="1"/>
  <c r="AL1621" i="1"/>
  <c r="AQ1620" i="1"/>
  <c r="AL1620" i="1"/>
  <c r="AQ1619" i="1"/>
  <c r="AL1619" i="1"/>
  <c r="AQ1618" i="1"/>
  <c r="AL1618" i="1"/>
  <c r="AQ1617" i="1"/>
  <c r="AL1617" i="1"/>
  <c r="AQ1616" i="1"/>
  <c r="AL1616" i="1"/>
  <c r="AQ1615" i="1"/>
  <c r="AL1615" i="1"/>
  <c r="AQ1614" i="1"/>
  <c r="AL1614" i="1"/>
  <c r="AQ1613" i="1"/>
  <c r="AL1613" i="1"/>
  <c r="AQ1612" i="1"/>
  <c r="AL1612" i="1"/>
  <c r="AQ1611" i="1"/>
  <c r="AL1611" i="1"/>
  <c r="AQ1610" i="1"/>
  <c r="AL1610" i="1"/>
  <c r="AQ1609" i="1"/>
  <c r="AL1609" i="1"/>
  <c r="AQ1608" i="1"/>
  <c r="AL1608" i="1"/>
  <c r="G1608" i="1"/>
  <c r="AP1608" i="1" s="1"/>
  <c r="AQ1607" i="1"/>
  <c r="AL1607" i="1"/>
  <c r="AQ1606" i="1"/>
  <c r="AL1606" i="1"/>
  <c r="AQ1605" i="1"/>
  <c r="AL1605" i="1"/>
  <c r="AQ1604" i="1"/>
  <c r="AL1604" i="1"/>
  <c r="AQ1603" i="1"/>
  <c r="AL1603" i="1"/>
  <c r="AQ1602" i="1"/>
  <c r="AL1602" i="1"/>
  <c r="AQ1601" i="1"/>
  <c r="AL1601" i="1"/>
  <c r="AQ1600" i="1"/>
  <c r="AL1600" i="1"/>
  <c r="AQ1599" i="1"/>
  <c r="AL1599" i="1"/>
  <c r="AQ1598" i="1"/>
  <c r="AL1598" i="1"/>
  <c r="AQ1597" i="1"/>
  <c r="AL1597" i="1"/>
  <c r="AQ1596" i="1"/>
  <c r="AL1596" i="1"/>
  <c r="AQ1595" i="1"/>
  <c r="AL1595" i="1"/>
  <c r="AQ1594" i="1"/>
  <c r="AL1594" i="1"/>
  <c r="AQ1593" i="1"/>
  <c r="AL1593" i="1"/>
  <c r="AQ1592" i="1"/>
  <c r="AL1592" i="1"/>
  <c r="AQ1591" i="1"/>
  <c r="AL1591" i="1"/>
  <c r="AQ1590" i="1"/>
  <c r="AL1590" i="1"/>
  <c r="AQ1589" i="1"/>
  <c r="AL1589" i="1"/>
  <c r="AQ1588" i="1"/>
  <c r="AL1588" i="1"/>
  <c r="AQ1587" i="1"/>
  <c r="AL1587" i="1"/>
  <c r="G1587" i="1"/>
  <c r="AP1587" i="1" s="1"/>
  <c r="AQ1586" i="1"/>
  <c r="AL1586" i="1"/>
  <c r="AQ1585" i="1"/>
  <c r="AL1585" i="1"/>
  <c r="AQ1584" i="1"/>
  <c r="AL1584" i="1"/>
  <c r="AQ1583" i="1"/>
  <c r="AL1583" i="1"/>
  <c r="AQ1582" i="1"/>
  <c r="AL1582" i="1"/>
  <c r="AQ1581" i="1"/>
  <c r="AL1581" i="1"/>
  <c r="AQ1580" i="1"/>
  <c r="AL1580" i="1"/>
  <c r="AQ1579" i="1"/>
  <c r="AL1579" i="1"/>
  <c r="AQ1578" i="1"/>
  <c r="AL1578" i="1"/>
  <c r="AQ1577" i="1"/>
  <c r="AL1577" i="1"/>
  <c r="AQ1576" i="1"/>
  <c r="AL1576" i="1"/>
  <c r="AQ1575" i="1"/>
  <c r="AL1575" i="1"/>
  <c r="AQ1574" i="1"/>
  <c r="AL1574" i="1"/>
  <c r="AQ1573" i="1"/>
  <c r="AL1573" i="1"/>
  <c r="AQ1572" i="1"/>
  <c r="AL1572" i="1"/>
  <c r="AQ1571" i="1"/>
  <c r="AL1571" i="1"/>
  <c r="AQ1570" i="1"/>
  <c r="AL1570" i="1"/>
  <c r="AQ1569" i="1"/>
  <c r="AL1569" i="1"/>
  <c r="AQ1568" i="1"/>
  <c r="AL1568" i="1"/>
  <c r="AQ1567" i="1"/>
  <c r="AL1567" i="1"/>
  <c r="AQ1566" i="1"/>
  <c r="AL1566" i="1"/>
  <c r="AQ1565" i="1"/>
  <c r="AL1565" i="1"/>
  <c r="AQ1564" i="1"/>
  <c r="AL1564" i="1"/>
  <c r="AQ1563" i="1"/>
  <c r="AL1563" i="1"/>
  <c r="AQ1562" i="1"/>
  <c r="AL1562" i="1"/>
  <c r="AQ1561" i="1"/>
  <c r="AL1561" i="1"/>
  <c r="AQ1560" i="1"/>
  <c r="AL1560" i="1"/>
  <c r="AQ1559" i="1"/>
  <c r="AL1559" i="1"/>
  <c r="AQ1558" i="1"/>
  <c r="AL1558" i="1"/>
  <c r="AQ1557" i="1"/>
  <c r="AL1557" i="1"/>
  <c r="AQ1556" i="1"/>
  <c r="AL1556" i="1"/>
  <c r="AQ1555" i="1"/>
  <c r="AL1555" i="1"/>
  <c r="AL1554" i="1"/>
  <c r="AQ1431" i="1"/>
  <c r="AR1431" i="1" s="1"/>
  <c r="AQ1289" i="1"/>
  <c r="AR1289" i="1" s="1"/>
  <c r="AQ1133" i="1"/>
  <c r="AR1133" i="1" s="1"/>
  <c r="AQ965" i="1"/>
  <c r="AR965" i="1" s="1"/>
  <c r="AQ806" i="1"/>
  <c r="AR806" i="1" s="1"/>
  <c r="AQ346" i="1"/>
  <c r="AR346" i="1" s="1"/>
  <c r="AL1479" i="1"/>
  <c r="AL1545" i="1"/>
  <c r="AL1456" i="1"/>
  <c r="AL1521" i="1"/>
  <c r="AL1433" i="1"/>
  <c r="AL1496" i="1"/>
  <c r="AQ1446" i="1"/>
  <c r="AL1481" i="1"/>
  <c r="AL1549" i="1"/>
  <c r="AL1482" i="1"/>
  <c r="AL1550" i="1"/>
  <c r="AL1460" i="1"/>
  <c r="AL1525" i="1"/>
  <c r="AL1437" i="1"/>
  <c r="AL1486" i="1"/>
  <c r="AL1464" i="1"/>
  <c r="AL1529" i="1"/>
  <c r="AL1441" i="1"/>
  <c r="AL1504" i="1"/>
  <c r="AQ1454" i="1"/>
  <c r="AL1489" i="1"/>
  <c r="AL1490" i="1"/>
  <c r="AL1468" i="1"/>
  <c r="AL1431" i="1"/>
  <c r="AL1494" i="1"/>
  <c r="AL1472" i="1"/>
  <c r="AL1537" i="1"/>
  <c r="AL1449" i="1"/>
  <c r="AL1514" i="1"/>
  <c r="AQ1462" i="1"/>
  <c r="AL1434" i="1"/>
  <c r="AL1497" i="1"/>
  <c r="AQ1439" i="1"/>
  <c r="AL1435" i="1"/>
  <c r="AL1498" i="1"/>
  <c r="AL1476" i="1"/>
  <c r="AL1439" i="1"/>
  <c r="AL1502" i="1"/>
  <c r="AL1480" i="1"/>
  <c r="AL1546" i="1"/>
  <c r="AL1457" i="1"/>
  <c r="AL1522" i="1"/>
  <c r="AQ1470" i="1"/>
  <c r="AL1442" i="1"/>
  <c r="AL1506" i="1"/>
  <c r="AQ1447" i="1"/>
  <c r="AL1443" i="1"/>
  <c r="AL1507" i="1"/>
  <c r="AL1483" i="1"/>
  <c r="AL1447" i="1"/>
  <c r="AL1511" i="1"/>
  <c r="AL1487" i="1"/>
  <c r="AS1458" i="1"/>
  <c r="AL1465" i="1"/>
  <c r="AL1530" i="1"/>
  <c r="AQ1478" i="1"/>
  <c r="AL1450" i="1"/>
  <c r="AL1515" i="1"/>
  <c r="AQ1455" i="1"/>
  <c r="AL1451" i="1"/>
  <c r="AL1516" i="1"/>
  <c r="AL1455" i="1"/>
  <c r="AL1520" i="1"/>
  <c r="AL1432" i="1"/>
  <c r="AL1495" i="1"/>
  <c r="AL1473" i="1"/>
  <c r="AL1538" i="1"/>
  <c r="AQ1485" i="1"/>
  <c r="AL1458" i="1"/>
  <c r="AL1523" i="1"/>
  <c r="AQ1463" i="1"/>
  <c r="AL1459" i="1"/>
  <c r="AL1524" i="1"/>
  <c r="AL1436" i="1"/>
  <c r="AL1463" i="1"/>
  <c r="AL1528" i="1"/>
  <c r="AL1440" i="1"/>
  <c r="AL1503" i="1"/>
  <c r="AL1548" i="1"/>
  <c r="AL1466" i="1"/>
  <c r="AL1531" i="1"/>
  <c r="AL1467" i="1"/>
  <c r="AL1532" i="1"/>
  <c r="AL1444" i="1"/>
  <c r="AL1471" i="1"/>
  <c r="AL1536" i="1"/>
  <c r="AL1448" i="1"/>
  <c r="AL1513" i="1"/>
  <c r="AL1488" i="1"/>
  <c r="AQ1438" i="1"/>
  <c r="AL1474" i="1"/>
  <c r="AL1539" i="1"/>
  <c r="AL1475" i="1"/>
  <c r="AL1540" i="1"/>
  <c r="AL1491" i="1"/>
  <c r="AL1500" i="1"/>
  <c r="AQ1442" i="1"/>
  <c r="AL1478" i="1"/>
  <c r="AL1544" i="1"/>
  <c r="AQ1441" i="1"/>
  <c r="AQ1545" i="1"/>
  <c r="AQ1503" i="1"/>
  <c r="AQ1496" i="1"/>
  <c r="AQ1432" i="1"/>
  <c r="AQ1531" i="1"/>
  <c r="AQ1468" i="1"/>
  <c r="AQ1540" i="1"/>
  <c r="AQ1552" i="1"/>
  <c r="AQ1483" i="1"/>
  <c r="AQ1553" i="1"/>
  <c r="AL1499" i="1"/>
  <c r="AL1445" i="1"/>
  <c r="AL1509" i="1"/>
  <c r="AQ1450" i="1"/>
  <c r="AL1485" i="1"/>
  <c r="AQ1435" i="1"/>
  <c r="AQ1457" i="1"/>
  <c r="AQ1444" i="1"/>
  <c r="AQ1513" i="1"/>
  <c r="AQ1514" i="1"/>
  <c r="AQ1464" i="1"/>
  <c r="AQ1433" i="1"/>
  <c r="AQ1480" i="1"/>
  <c r="AQ1550" i="1"/>
  <c r="AQ1491" i="1"/>
  <c r="AQ1493" i="1"/>
  <c r="AQ1492" i="1"/>
  <c r="AQ1501" i="1"/>
  <c r="AL1508" i="1"/>
  <c r="AL1453" i="1"/>
  <c r="AL1518" i="1"/>
  <c r="AQ1458" i="1"/>
  <c r="AL1493" i="1"/>
  <c r="AQ1443" i="1"/>
  <c r="AQ1472" i="1"/>
  <c r="AQ1511" i="1"/>
  <c r="AQ1521" i="1"/>
  <c r="AQ1530" i="1"/>
  <c r="AQ1488" i="1"/>
  <c r="AQ1465" i="1"/>
  <c r="AQ1490" i="1"/>
  <c r="AQ1510" i="1"/>
  <c r="AQ1499" i="1"/>
  <c r="AQ1527" i="1"/>
  <c r="AQ1500" i="1"/>
  <c r="AQ1535" i="1"/>
  <c r="AL1517" i="1"/>
  <c r="AL1461" i="1"/>
  <c r="AL1526" i="1"/>
  <c r="AQ1466" i="1"/>
  <c r="AL1438" i="1"/>
  <c r="AL1501" i="1"/>
  <c r="AQ1451" i="1"/>
  <c r="AQ1484" i="1"/>
  <c r="AQ1445" i="1"/>
  <c r="AQ1529" i="1"/>
  <c r="AQ1538" i="1"/>
  <c r="AQ1504" i="1"/>
  <c r="AQ1489" i="1"/>
  <c r="AQ1498" i="1"/>
  <c r="AQ1486" i="1"/>
  <c r="AQ1508" i="1"/>
  <c r="AQ1473" i="1"/>
  <c r="AQ1509" i="1"/>
  <c r="AQ1494" i="1"/>
  <c r="AL1533" i="1"/>
  <c r="AL1469" i="1"/>
  <c r="AL1534" i="1"/>
  <c r="AQ1474" i="1"/>
  <c r="AL1446" i="1"/>
  <c r="AL1510" i="1"/>
  <c r="AQ1459" i="1"/>
  <c r="AQ1519" i="1"/>
  <c r="AQ1461" i="1"/>
  <c r="AQ1537" i="1"/>
  <c r="AQ1449" i="1"/>
  <c r="AQ1522" i="1"/>
  <c r="AQ1515" i="1"/>
  <c r="AQ1507" i="1"/>
  <c r="AQ1536" i="1"/>
  <c r="AQ1517" i="1"/>
  <c r="AQ1520" i="1"/>
  <c r="AQ1518" i="1"/>
  <c r="AQ1528" i="1"/>
  <c r="AL1541" i="1"/>
  <c r="AL1477" i="1"/>
  <c r="AL1542" i="1"/>
  <c r="AQ1481" i="1"/>
  <c r="AL1454" i="1"/>
  <c r="AL1519" i="1"/>
  <c r="AQ1467" i="1"/>
  <c r="AQ1544" i="1"/>
  <c r="AQ1476" i="1"/>
  <c r="AQ1546" i="1"/>
  <c r="AQ1497" i="1"/>
  <c r="AQ1548" i="1"/>
  <c r="AQ1539" i="1"/>
  <c r="AQ1516" i="1"/>
  <c r="AQ1437" i="1"/>
  <c r="AQ1525" i="1"/>
  <c r="AQ1440" i="1"/>
  <c r="AQ1526" i="1"/>
  <c r="AL1552" i="1"/>
  <c r="AL1484" i="1"/>
  <c r="AL1553" i="1"/>
  <c r="AL1462" i="1"/>
  <c r="AL1527" i="1"/>
  <c r="AQ1475" i="1"/>
  <c r="AQ1460" i="1"/>
  <c r="AQ1487" i="1"/>
  <c r="AQ1448" i="1"/>
  <c r="AQ1523" i="1"/>
  <c r="AQ1479" i="1"/>
  <c r="AQ1436" i="1"/>
  <c r="AQ1524" i="1"/>
  <c r="AQ1453" i="1"/>
  <c r="AQ1533" i="1"/>
  <c r="AQ1456" i="1"/>
  <c r="AQ1534" i="1"/>
  <c r="AL1452" i="1"/>
  <c r="AL1492" i="1"/>
  <c r="AQ1434" i="1"/>
  <c r="AL1470" i="1"/>
  <c r="AL1535" i="1"/>
  <c r="AQ1482" i="1"/>
  <c r="AQ1502" i="1"/>
  <c r="AQ1495" i="1"/>
  <c r="AQ1477" i="1"/>
  <c r="AQ1549" i="1"/>
  <c r="AQ1506" i="1"/>
  <c r="AQ1452" i="1"/>
  <c r="AQ1532" i="1"/>
  <c r="AQ1469" i="1"/>
  <c r="AQ1541" i="1"/>
  <c r="AQ1471" i="1"/>
  <c r="AQ1542" i="1"/>
  <c r="AQ1297" i="1"/>
  <c r="AQ1313" i="1"/>
  <c r="AQ1301" i="1"/>
  <c r="AQ1309" i="1"/>
  <c r="AQ1290" i="1"/>
  <c r="G1322" i="1"/>
  <c r="AP1322" i="1" s="1"/>
  <c r="AQ1315" i="1"/>
  <c r="AQ1300" i="1"/>
  <c r="AQ1303" i="1"/>
  <c r="AQ1319" i="1"/>
  <c r="AQ1304" i="1"/>
  <c r="AQ1299" i="1"/>
  <c r="AQ1292" i="1"/>
  <c r="AQ1312" i="1"/>
  <c r="AQ1308" i="1"/>
  <c r="AQ1291" i="1"/>
  <c r="AQ1316" i="1"/>
  <c r="AQ1314" i="1"/>
  <c r="AQ1302" i="1"/>
  <c r="AQ1318" i="1"/>
  <c r="AQ1306" i="1"/>
  <c r="AQ1293" i="1"/>
  <c r="AQ1317" i="1"/>
  <c r="AQ1307" i="1"/>
  <c r="AQ1324" i="1"/>
  <c r="AQ1295" i="1"/>
  <c r="AQ1311" i="1"/>
  <c r="AQ1322" i="1"/>
  <c r="AQ1305" i="1"/>
  <c r="AQ1321" i="1"/>
  <c r="AQ1325" i="1"/>
  <c r="AQ1323" i="1"/>
  <c r="AQ1294" i="1"/>
  <c r="AQ1310" i="1"/>
  <c r="AQ1298" i="1"/>
  <c r="AQ1296" i="1"/>
  <c r="AQ1320" i="1"/>
  <c r="AQ1334" i="1"/>
  <c r="AQ1333" i="1"/>
  <c r="AQ1332" i="1"/>
  <c r="AQ1326" i="1"/>
  <c r="AQ1327" i="1"/>
  <c r="AL1332" i="1"/>
  <c r="AL1334" i="1"/>
  <c r="AL1333" i="1"/>
  <c r="AQ1369" i="1"/>
  <c r="AQ1361" i="1"/>
  <c r="AQ1353" i="1"/>
  <c r="AQ1345" i="1"/>
  <c r="AQ1337" i="1"/>
  <c r="AQ1359" i="1"/>
  <c r="AQ1343" i="1"/>
  <c r="AQ1372" i="1"/>
  <c r="AQ1364" i="1"/>
  <c r="AQ1356" i="1"/>
  <c r="AQ1348" i="1"/>
  <c r="AQ1340" i="1"/>
  <c r="AQ1329" i="1"/>
  <c r="AQ1351" i="1"/>
  <c r="AQ1335" i="1"/>
  <c r="AQ1367" i="1"/>
  <c r="AQ1370" i="1"/>
  <c r="AQ1362" i="1"/>
  <c r="AQ1354" i="1"/>
  <c r="AQ1346" i="1"/>
  <c r="AQ1338" i="1"/>
  <c r="AQ1373" i="1"/>
  <c r="AQ1365" i="1"/>
  <c r="AQ1357" i="1"/>
  <c r="AQ1349" i="1"/>
  <c r="AQ1341" i="1"/>
  <c r="AQ1330" i="1"/>
  <c r="AQ1368" i="1"/>
  <c r="AQ1360" i="1"/>
  <c r="AQ1352" i="1"/>
  <c r="AQ1344" i="1"/>
  <c r="G1343" i="1"/>
  <c r="AP1343" i="1" s="1"/>
  <c r="AQ1336" i="1"/>
  <c r="AQ1371" i="1"/>
  <c r="AQ1363" i="1"/>
  <c r="AQ1355" i="1"/>
  <c r="AQ1347" i="1"/>
  <c r="AQ1339" i="1"/>
  <c r="AQ1328" i="1"/>
  <c r="AQ1342" i="1"/>
  <c r="AQ1331" i="1"/>
  <c r="AQ1366" i="1"/>
  <c r="AQ1358" i="1"/>
  <c r="AQ1350" i="1"/>
  <c r="AQ1429" i="1"/>
  <c r="AL1427" i="1"/>
  <c r="AQ1420" i="1"/>
  <c r="AL1418" i="1"/>
  <c r="AQ1412" i="1"/>
  <c r="AL1410" i="1"/>
  <c r="AQ1404" i="1"/>
  <c r="AL1402" i="1"/>
  <c r="AQ1396" i="1"/>
  <c r="AL1394" i="1"/>
  <c r="AQ1388" i="1"/>
  <c r="AL1386" i="1"/>
  <c r="AQ1430" i="1"/>
  <c r="AL1428" i="1"/>
  <c r="AQ1421" i="1"/>
  <c r="AL1419" i="1"/>
  <c r="AQ1413" i="1"/>
  <c r="AL1411" i="1"/>
  <c r="AQ1405" i="1"/>
  <c r="AL1403" i="1"/>
  <c r="AQ1397" i="1"/>
  <c r="AL1395" i="1"/>
  <c r="AQ1389" i="1"/>
  <c r="AL1387" i="1"/>
  <c r="AQ1381" i="1"/>
  <c r="AL1379" i="1"/>
  <c r="AL1429" i="1"/>
  <c r="AQ1422" i="1"/>
  <c r="AL1420" i="1"/>
  <c r="AQ1414" i="1"/>
  <c r="AL1412" i="1"/>
  <c r="AQ1406" i="1"/>
  <c r="AL1404" i="1"/>
  <c r="AQ1398" i="1"/>
  <c r="AL1396" i="1"/>
  <c r="AQ1390" i="1"/>
  <c r="AL1388" i="1"/>
  <c r="AL1430" i="1"/>
  <c r="AQ1427" i="1"/>
  <c r="AL1425" i="1"/>
  <c r="AQ1424" i="1"/>
  <c r="AQ1418" i="1"/>
  <c r="AL1415" i="1"/>
  <c r="AL1409" i="1"/>
  <c r="AQ1408" i="1"/>
  <c r="AQ1402" i="1"/>
  <c r="AL1399" i="1"/>
  <c r="AL1393" i="1"/>
  <c r="AQ1392" i="1"/>
  <c r="AQ1386" i="1"/>
  <c r="AL1384" i="1"/>
  <c r="AL1381" i="1"/>
  <c r="AL1368" i="1"/>
  <c r="AL1360" i="1"/>
  <c r="AL1352" i="1"/>
  <c r="AL1344" i="1"/>
  <c r="AL1336" i="1"/>
  <c r="AL1326" i="1"/>
  <c r="AL1318" i="1"/>
  <c r="AL1310" i="1"/>
  <c r="AL1302" i="1"/>
  <c r="AL1294" i="1"/>
  <c r="AL1303" i="1"/>
  <c r="AL1364" i="1"/>
  <c r="AL1314" i="1"/>
  <c r="AL1298" i="1"/>
  <c r="AL1365" i="1"/>
  <c r="AL1421" i="1"/>
  <c r="AQ1411" i="1"/>
  <c r="AL1405" i="1"/>
  <c r="AQ1395" i="1"/>
  <c r="AL1389" i="1"/>
  <c r="AQ1382" i="1"/>
  <c r="AL1378" i="1"/>
  <c r="AL1375" i="1"/>
  <c r="AL1369" i="1"/>
  <c r="AL1361" i="1"/>
  <c r="AL1353" i="1"/>
  <c r="AL1345" i="1"/>
  <c r="AL1337" i="1"/>
  <c r="AL1327" i="1"/>
  <c r="AL1319" i="1"/>
  <c r="AL1311" i="1"/>
  <c r="AL1295" i="1"/>
  <c r="AL1356" i="1"/>
  <c r="AL1330" i="1"/>
  <c r="AL1323" i="1"/>
  <c r="AL1291" i="1"/>
  <c r="AQ1415" i="1"/>
  <c r="AL1400" i="1"/>
  <c r="AL1366" i="1"/>
  <c r="AL1343" i="1"/>
  <c r="AQ1426" i="1"/>
  <c r="AL1424" i="1"/>
  <c r="AQ1423" i="1"/>
  <c r="AQ1417" i="1"/>
  <c r="AL1414" i="1"/>
  <c r="AL1408" i="1"/>
  <c r="AQ1407" i="1"/>
  <c r="AQ1401" i="1"/>
  <c r="AL1398" i="1"/>
  <c r="AL1392" i="1"/>
  <c r="AQ1391" i="1"/>
  <c r="AQ1379" i="1"/>
  <c r="AQ1376" i="1"/>
  <c r="AL1370" i="1"/>
  <c r="AL1362" i="1"/>
  <c r="AL1354" i="1"/>
  <c r="AL1346" i="1"/>
  <c r="AL1338" i="1"/>
  <c r="AL1328" i="1"/>
  <c r="AL1320" i="1"/>
  <c r="AL1312" i="1"/>
  <c r="AL1304" i="1"/>
  <c r="AL1296" i="1"/>
  <c r="AL1357" i="1"/>
  <c r="AL1300" i="1"/>
  <c r="AQ1385" i="1"/>
  <c r="AQ1383" i="1"/>
  <c r="AL1382" i="1"/>
  <c r="AL1371" i="1"/>
  <c r="AL1363" i="1"/>
  <c r="AL1355" i="1"/>
  <c r="AL1347" i="1"/>
  <c r="AL1339" i="1"/>
  <c r="AL1329" i="1"/>
  <c r="AL1322" i="1"/>
  <c r="AL1321" i="1"/>
  <c r="AL1313" i="1"/>
  <c r="AL1305" i="1"/>
  <c r="AL1297" i="1"/>
  <c r="AL1289" i="1"/>
  <c r="AL1372" i="1"/>
  <c r="AL1340" i="1"/>
  <c r="AL1350" i="1"/>
  <c r="AL1316" i="1"/>
  <c r="AL1426" i="1"/>
  <c r="AL1423" i="1"/>
  <c r="AL1417" i="1"/>
  <c r="AQ1416" i="1"/>
  <c r="AQ1410" i="1"/>
  <c r="AL1407" i="1"/>
  <c r="AL1401" i="1"/>
  <c r="AQ1400" i="1"/>
  <c r="AQ1394" i="1"/>
  <c r="AL1391" i="1"/>
  <c r="AQ1380" i="1"/>
  <c r="AL1376" i="1"/>
  <c r="AL1348" i="1"/>
  <c r="AL1306" i="1"/>
  <c r="AL1290" i="1"/>
  <c r="AL1349" i="1"/>
  <c r="AL1341" i="1"/>
  <c r="AL1307" i="1"/>
  <c r="AL1299" i="1"/>
  <c r="AL1406" i="1"/>
  <c r="AQ1393" i="1"/>
  <c r="AL1390" i="1"/>
  <c r="AQ1384" i="1"/>
  <c r="AL1380" i="1"/>
  <c r="AL1358" i="1"/>
  <c r="AL1342" i="1"/>
  <c r="AL1324" i="1"/>
  <c r="AL1308" i="1"/>
  <c r="AL1292" i="1"/>
  <c r="AQ1428" i="1"/>
  <c r="AQ1419" i="1"/>
  <c r="AL1413" i="1"/>
  <c r="AQ1403" i="1"/>
  <c r="AL1397" i="1"/>
  <c r="AQ1387" i="1"/>
  <c r="AL1385" i="1"/>
  <c r="AL1383" i="1"/>
  <c r="AQ1377" i="1"/>
  <c r="AQ1374" i="1"/>
  <c r="AL1373" i="1"/>
  <c r="AL1331" i="1"/>
  <c r="AL1315" i="1"/>
  <c r="AL1416" i="1"/>
  <c r="AQ1409" i="1"/>
  <c r="AQ1399" i="1"/>
  <c r="AQ1425" i="1"/>
  <c r="AL1422" i="1"/>
  <c r="AQ1378" i="1"/>
  <c r="AL1351" i="1"/>
  <c r="AL1317" i="1"/>
  <c r="AQ1375" i="1"/>
  <c r="AL1335" i="1"/>
  <c r="AL1367" i="1"/>
  <c r="AL1293" i="1"/>
  <c r="AL1309" i="1"/>
  <c r="AL1301" i="1"/>
  <c r="AL1325" i="1"/>
  <c r="AL1377" i="1"/>
  <c r="AL1374" i="1"/>
  <c r="AL1359" i="1"/>
  <c r="AL1187" i="1"/>
  <c r="AQ1187" i="1"/>
  <c r="AL1188" i="1"/>
  <c r="AQ1188" i="1"/>
  <c r="AL1186" i="1"/>
  <c r="AQ1186"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Q1134" i="1"/>
  <c r="AQ1135" i="1"/>
  <c r="AQ1136" i="1"/>
  <c r="AQ1137" i="1"/>
  <c r="AQ1138" i="1"/>
  <c r="AQ1139" i="1"/>
  <c r="AQ1140" i="1"/>
  <c r="AQ1141" i="1"/>
  <c r="AQ1142" i="1"/>
  <c r="AQ1143" i="1"/>
  <c r="AQ1144" i="1"/>
  <c r="AQ1145" i="1"/>
  <c r="AQ1146" i="1"/>
  <c r="AQ1147" i="1"/>
  <c r="AQ1148" i="1"/>
  <c r="AQ1149" i="1"/>
  <c r="AQ1150" i="1"/>
  <c r="AQ1151" i="1"/>
  <c r="AQ1152" i="1"/>
  <c r="AQ1153" i="1"/>
  <c r="AQ1154" i="1"/>
  <c r="AQ1155" i="1"/>
  <c r="AQ1156" i="1"/>
  <c r="AQ1157" i="1"/>
  <c r="AQ1158" i="1"/>
  <c r="AQ1159" i="1"/>
  <c r="AQ1160" i="1"/>
  <c r="AQ1161" i="1"/>
  <c r="AQ1162" i="1"/>
  <c r="AQ1163" i="1"/>
  <c r="AQ1164" i="1"/>
  <c r="AQ1165" i="1"/>
  <c r="AQ1166" i="1"/>
  <c r="AQ1167" i="1"/>
  <c r="AQ1168" i="1"/>
  <c r="AQ1169" i="1"/>
  <c r="AQ1170" i="1"/>
  <c r="AQ1171" i="1"/>
  <c r="AQ1172" i="1"/>
  <c r="AQ1173" i="1"/>
  <c r="AQ1174" i="1"/>
  <c r="AQ1175" i="1"/>
  <c r="AQ1176" i="1"/>
  <c r="AQ1177" i="1"/>
  <c r="AQ1178" i="1"/>
  <c r="AQ1179" i="1"/>
  <c r="AQ1180" i="1"/>
  <c r="AQ1181" i="1"/>
  <c r="AQ1182" i="1"/>
  <c r="AQ1183" i="1"/>
  <c r="AQ1184" i="1"/>
  <c r="AQ1185" i="1"/>
  <c r="AQ1189" i="1"/>
  <c r="AQ1190" i="1"/>
  <c r="AQ1191" i="1"/>
  <c r="AQ1192" i="1"/>
  <c r="AQ1193" i="1"/>
  <c r="AQ1194" i="1"/>
  <c r="AQ1195" i="1"/>
  <c r="AQ1196" i="1"/>
  <c r="AQ1197" i="1"/>
  <c r="AQ1198" i="1"/>
  <c r="AQ1199" i="1"/>
  <c r="AQ1200" i="1"/>
  <c r="AQ1201" i="1"/>
  <c r="AQ1202" i="1"/>
  <c r="AQ1203" i="1"/>
  <c r="AQ1204" i="1"/>
  <c r="AQ1205" i="1"/>
  <c r="AQ1206" i="1"/>
  <c r="AQ1207" i="1"/>
  <c r="AQ1208" i="1"/>
  <c r="AQ1209" i="1"/>
  <c r="AQ1210" i="1"/>
  <c r="AQ1211" i="1"/>
  <c r="AQ1212" i="1"/>
  <c r="AQ1213" i="1"/>
  <c r="AQ1214" i="1"/>
  <c r="AQ1215" i="1"/>
  <c r="AQ1216" i="1"/>
  <c r="AQ1217" i="1"/>
  <c r="AQ1218" i="1"/>
  <c r="AQ1219" i="1"/>
  <c r="AQ1220" i="1"/>
  <c r="AQ1221" i="1"/>
  <c r="AQ1222" i="1"/>
  <c r="AQ1223" i="1"/>
  <c r="AQ1224" i="1"/>
  <c r="AQ1225" i="1"/>
  <c r="AQ1226" i="1"/>
  <c r="AQ1227" i="1"/>
  <c r="AQ1228" i="1"/>
  <c r="AQ1229" i="1"/>
  <c r="AQ1230" i="1"/>
  <c r="AQ1231" i="1"/>
  <c r="AQ1232" i="1"/>
  <c r="AQ1233" i="1"/>
  <c r="AQ1234" i="1"/>
  <c r="AQ1235" i="1"/>
  <c r="AQ1236" i="1"/>
  <c r="AQ1237" i="1"/>
  <c r="AQ1238" i="1"/>
  <c r="AQ1239" i="1"/>
  <c r="AQ1240" i="1"/>
  <c r="AQ1241" i="1"/>
  <c r="AQ1242" i="1"/>
  <c r="AQ1243" i="1"/>
  <c r="AQ1244" i="1"/>
  <c r="AQ1245" i="1"/>
  <c r="AQ1246" i="1"/>
  <c r="AQ1247" i="1"/>
  <c r="AQ1248" i="1"/>
  <c r="AQ1249" i="1"/>
  <c r="AQ1250" i="1"/>
  <c r="AQ1251" i="1"/>
  <c r="AQ1252" i="1"/>
  <c r="AQ1253" i="1"/>
  <c r="AQ1254" i="1"/>
  <c r="AQ1255" i="1"/>
  <c r="AQ1256" i="1"/>
  <c r="AQ1257" i="1"/>
  <c r="AQ1258" i="1"/>
  <c r="AQ1259" i="1"/>
  <c r="AQ1260" i="1"/>
  <c r="AQ1261" i="1"/>
  <c r="AQ1262" i="1"/>
  <c r="AQ1263" i="1"/>
  <c r="AQ1264" i="1"/>
  <c r="AQ1265" i="1"/>
  <c r="AQ1266" i="1"/>
  <c r="AQ1267" i="1"/>
  <c r="AQ1268" i="1"/>
  <c r="AQ1269" i="1"/>
  <c r="AQ1270" i="1"/>
  <c r="AQ1271" i="1"/>
  <c r="AQ1272" i="1"/>
  <c r="AQ1273" i="1"/>
  <c r="AQ1274" i="1"/>
  <c r="AQ1275" i="1"/>
  <c r="AQ1276" i="1"/>
  <c r="AQ1277" i="1"/>
  <c r="AQ1278" i="1"/>
  <c r="AQ1279" i="1"/>
  <c r="AQ1280" i="1"/>
  <c r="AQ1281" i="1"/>
  <c r="AQ1282" i="1"/>
  <c r="AQ1283" i="1"/>
  <c r="AQ1284" i="1"/>
  <c r="AQ1285" i="1"/>
  <c r="AQ1286" i="1"/>
  <c r="AQ1287" i="1"/>
  <c r="AQ1288" i="1"/>
  <c r="G1173" i="1"/>
  <c r="AP1173" i="1" s="1"/>
  <c r="AS999" i="1"/>
  <c r="AS1008" i="1"/>
  <c r="AS1011" i="1"/>
  <c r="AQ984" i="1"/>
  <c r="AQ985" i="1"/>
  <c r="AQ986" i="1"/>
  <c r="AQ987" i="1"/>
  <c r="AQ988" i="1"/>
  <c r="AQ989" i="1"/>
  <c r="AQ990" i="1"/>
  <c r="AQ991" i="1"/>
  <c r="AQ992" i="1"/>
  <c r="AQ993" i="1"/>
  <c r="AQ994" i="1"/>
  <c r="AQ995" i="1"/>
  <c r="AQ996" i="1"/>
  <c r="AQ997" i="1"/>
  <c r="AQ998" i="1"/>
  <c r="AQ999" i="1"/>
  <c r="AQ1000" i="1"/>
  <c r="AQ1001" i="1"/>
  <c r="AQ1002" i="1"/>
  <c r="AQ1003" i="1"/>
  <c r="AQ1004" i="1"/>
  <c r="AQ1005" i="1"/>
  <c r="AQ1006" i="1"/>
  <c r="AQ1007" i="1"/>
  <c r="AQ1008" i="1"/>
  <c r="AQ1009" i="1"/>
  <c r="AQ1010" i="1"/>
  <c r="AQ1011" i="1"/>
  <c r="AQ1012" i="1"/>
  <c r="AQ1013" i="1"/>
  <c r="AQ1014" i="1"/>
  <c r="AQ1015" i="1"/>
  <c r="AQ1016" i="1"/>
  <c r="AQ1017" i="1"/>
  <c r="AQ1018" i="1"/>
  <c r="AQ1019" i="1"/>
  <c r="AQ1020" i="1"/>
  <c r="AQ1021" i="1"/>
  <c r="AQ1022" i="1"/>
  <c r="AQ1023" i="1"/>
  <c r="AQ1024" i="1"/>
  <c r="AQ1025" i="1"/>
  <c r="AQ1026" i="1"/>
  <c r="AQ1027" i="1"/>
  <c r="AQ1028" i="1"/>
  <c r="AQ1029" i="1"/>
  <c r="AQ1030" i="1"/>
  <c r="AQ1031" i="1"/>
  <c r="AQ1032" i="1"/>
  <c r="AQ1033" i="1"/>
  <c r="AQ1034" i="1"/>
  <c r="AQ1035" i="1"/>
  <c r="AQ1036" i="1"/>
  <c r="AQ1037" i="1"/>
  <c r="AQ1038" i="1"/>
  <c r="AQ1039" i="1"/>
  <c r="AQ1040" i="1"/>
  <c r="AQ1041" i="1"/>
  <c r="AQ1042" i="1"/>
  <c r="AQ1043" i="1"/>
  <c r="AQ1044" i="1"/>
  <c r="AQ1045" i="1"/>
  <c r="AQ1046" i="1"/>
  <c r="AQ1047" i="1"/>
  <c r="AQ1048" i="1"/>
  <c r="AQ1049" i="1"/>
  <c r="AQ1050" i="1"/>
  <c r="AQ1051" i="1"/>
  <c r="AQ1052" i="1"/>
  <c r="AQ1053" i="1"/>
  <c r="AQ1054" i="1"/>
  <c r="AQ1055" i="1"/>
  <c r="AQ1056" i="1"/>
  <c r="AQ1057" i="1"/>
  <c r="AQ1058" i="1"/>
  <c r="AQ1059" i="1"/>
  <c r="AQ1060" i="1"/>
  <c r="AQ1061" i="1"/>
  <c r="AQ1062" i="1"/>
  <c r="AQ1063" i="1"/>
  <c r="AQ1064" i="1"/>
  <c r="AQ1065" i="1"/>
  <c r="AQ1066" i="1"/>
  <c r="AQ1067" i="1"/>
  <c r="AQ1068" i="1"/>
  <c r="AQ1069" i="1"/>
  <c r="AQ1070" i="1"/>
  <c r="AQ1071" i="1"/>
  <c r="AQ1072" i="1"/>
  <c r="AQ1073" i="1"/>
  <c r="AQ1074" i="1"/>
  <c r="AQ1075" i="1"/>
  <c r="AQ1076" i="1"/>
  <c r="AQ1077" i="1"/>
  <c r="AQ1078" i="1"/>
  <c r="AQ1079" i="1"/>
  <c r="AQ1080" i="1"/>
  <c r="AQ1081" i="1"/>
  <c r="AQ1082" i="1"/>
  <c r="AQ1083" i="1"/>
  <c r="AQ1084" i="1"/>
  <c r="AQ1085" i="1"/>
  <c r="AQ1086" i="1"/>
  <c r="AQ1087" i="1"/>
  <c r="AQ1088" i="1"/>
  <c r="AQ1089" i="1"/>
  <c r="AQ1090" i="1"/>
  <c r="AQ1091" i="1"/>
  <c r="AQ1092" i="1"/>
  <c r="AQ1093" i="1"/>
  <c r="AQ1094" i="1"/>
  <c r="AQ1095" i="1"/>
  <c r="AQ1096" i="1"/>
  <c r="AQ1097" i="1"/>
  <c r="AQ1098" i="1"/>
  <c r="AQ1099" i="1"/>
  <c r="AQ1100" i="1"/>
  <c r="AQ1101" i="1"/>
  <c r="AQ1102" i="1"/>
  <c r="AQ1103" i="1"/>
  <c r="AQ1104" i="1"/>
  <c r="AQ1105" i="1"/>
  <c r="AQ1106" i="1"/>
  <c r="AQ1107" i="1"/>
  <c r="AQ1108" i="1"/>
  <c r="AQ1109" i="1"/>
  <c r="AQ1110" i="1"/>
  <c r="AQ1111" i="1"/>
  <c r="AQ1112" i="1"/>
  <c r="AQ1113" i="1"/>
  <c r="AQ1114" i="1"/>
  <c r="AQ1115" i="1"/>
  <c r="AQ1116" i="1"/>
  <c r="AQ1117" i="1"/>
  <c r="AQ1118" i="1"/>
  <c r="AQ1119" i="1"/>
  <c r="AQ1120" i="1"/>
  <c r="AQ1121" i="1"/>
  <c r="AQ1122" i="1"/>
  <c r="AQ1123" i="1"/>
  <c r="AQ1124" i="1"/>
  <c r="AQ1125" i="1"/>
  <c r="AQ1126" i="1"/>
  <c r="AQ1127" i="1"/>
  <c r="AQ1128" i="1"/>
  <c r="AQ1129" i="1"/>
  <c r="AQ1130" i="1"/>
  <c r="AQ1131" i="1"/>
  <c r="AQ1132" i="1"/>
  <c r="AL966" i="1"/>
  <c r="AL967" i="1"/>
  <c r="AL968" i="1"/>
  <c r="AL969" i="1"/>
  <c r="AL970" i="1"/>
  <c r="AL971" i="1"/>
  <c r="AL972" i="1"/>
  <c r="AL973" i="1"/>
  <c r="AL974" i="1"/>
  <c r="AL975" i="1"/>
  <c r="AL976" i="1"/>
  <c r="AL977" i="1"/>
  <c r="AL978" i="1"/>
  <c r="AL979" i="1"/>
  <c r="AL980" i="1"/>
  <c r="AL981" i="1"/>
  <c r="AL982" i="1"/>
  <c r="AL983" i="1"/>
  <c r="AQ966" i="1"/>
  <c r="AQ967" i="1"/>
  <c r="AQ968" i="1"/>
  <c r="AQ969" i="1"/>
  <c r="AQ970" i="1"/>
  <c r="AQ971" i="1"/>
  <c r="AQ972" i="1"/>
  <c r="AQ973" i="1"/>
  <c r="AQ974" i="1"/>
  <c r="AQ975" i="1"/>
  <c r="AQ976" i="1"/>
  <c r="AQ977" i="1"/>
  <c r="AQ978" i="1"/>
  <c r="AQ979" i="1"/>
  <c r="AQ980" i="1"/>
  <c r="AQ981" i="1"/>
  <c r="AQ982" i="1"/>
  <c r="AQ983" i="1"/>
  <c r="AL965" i="1"/>
  <c r="AL861" i="1"/>
  <c r="AQ861" i="1"/>
  <c r="AL862" i="1"/>
  <c r="AQ862" i="1"/>
  <c r="AL859" i="1"/>
  <c r="AQ859" i="1"/>
  <c r="AL858" i="1"/>
  <c r="AQ858" i="1"/>
  <c r="AL855" i="1"/>
  <c r="AQ855" i="1"/>
  <c r="AQ856" i="1"/>
  <c r="AQ922" i="1"/>
  <c r="AQ923" i="1"/>
  <c r="AQ924" i="1"/>
  <c r="AQ925" i="1"/>
  <c r="AQ926" i="1"/>
  <c r="AQ927" i="1"/>
  <c r="AQ928" i="1"/>
  <c r="AQ929" i="1"/>
  <c r="AQ930" i="1"/>
  <c r="AQ931" i="1"/>
  <c r="AQ932" i="1"/>
  <c r="AQ933" i="1"/>
  <c r="AQ934" i="1"/>
  <c r="AQ935" i="1"/>
  <c r="AQ936" i="1"/>
  <c r="AQ937" i="1"/>
  <c r="AQ938" i="1"/>
  <c r="AQ939" i="1"/>
  <c r="AQ940" i="1"/>
  <c r="AQ941" i="1"/>
  <c r="AQ942" i="1"/>
  <c r="AQ943" i="1"/>
  <c r="AQ944" i="1"/>
  <c r="AQ945" i="1"/>
  <c r="AQ946" i="1"/>
  <c r="AQ947" i="1"/>
  <c r="AQ948" i="1"/>
  <c r="AQ949" i="1"/>
  <c r="AQ950" i="1"/>
  <c r="AQ951" i="1"/>
  <c r="AQ952" i="1"/>
  <c r="AQ953" i="1"/>
  <c r="AQ954" i="1"/>
  <c r="AQ955" i="1"/>
  <c r="AQ956" i="1"/>
  <c r="AQ957" i="1"/>
  <c r="AQ958" i="1"/>
  <c r="AQ959" i="1"/>
  <c r="AQ960" i="1"/>
  <c r="AQ961" i="1"/>
  <c r="AQ962" i="1"/>
  <c r="AQ963" i="1"/>
  <c r="AQ964" i="1"/>
  <c r="AQ889" i="1"/>
  <c r="AQ890" i="1"/>
  <c r="AQ891" i="1"/>
  <c r="AQ892" i="1"/>
  <c r="AQ893" i="1"/>
  <c r="AQ894" i="1"/>
  <c r="AQ895" i="1"/>
  <c r="AQ896" i="1"/>
  <c r="AQ897" i="1"/>
  <c r="AQ898" i="1"/>
  <c r="AQ899" i="1"/>
  <c r="AQ900" i="1"/>
  <c r="AQ901" i="1"/>
  <c r="AQ902" i="1"/>
  <c r="AQ903" i="1"/>
  <c r="AQ904" i="1"/>
  <c r="AQ905" i="1"/>
  <c r="AQ906" i="1"/>
  <c r="AQ907" i="1"/>
  <c r="AQ908" i="1"/>
  <c r="AQ909" i="1"/>
  <c r="AQ910" i="1"/>
  <c r="AQ911" i="1"/>
  <c r="AQ912" i="1"/>
  <c r="AQ913" i="1"/>
  <c r="AQ914" i="1"/>
  <c r="AQ915" i="1"/>
  <c r="AQ916" i="1"/>
  <c r="AQ917" i="1"/>
  <c r="AQ918" i="1"/>
  <c r="AQ919" i="1"/>
  <c r="AQ920" i="1"/>
  <c r="AQ921" i="1"/>
  <c r="AQ825" i="1"/>
  <c r="AQ826" i="1"/>
  <c r="AQ827" i="1"/>
  <c r="AQ828" i="1"/>
  <c r="AQ829" i="1"/>
  <c r="AQ830" i="1"/>
  <c r="AQ831" i="1"/>
  <c r="AQ832" i="1"/>
  <c r="AQ833" i="1"/>
  <c r="AQ834" i="1"/>
  <c r="AQ835" i="1"/>
  <c r="AQ836" i="1"/>
  <c r="AQ837" i="1"/>
  <c r="AQ838" i="1"/>
  <c r="AQ839" i="1"/>
  <c r="AQ840" i="1"/>
  <c r="AQ841" i="1"/>
  <c r="AQ842" i="1"/>
  <c r="AQ843" i="1"/>
  <c r="AQ844" i="1"/>
  <c r="AQ845" i="1"/>
  <c r="AQ846" i="1"/>
  <c r="AQ847" i="1"/>
  <c r="AQ848" i="1"/>
  <c r="AQ849" i="1"/>
  <c r="AQ850" i="1"/>
  <c r="AQ851" i="1"/>
  <c r="AQ852" i="1"/>
  <c r="AQ853" i="1"/>
  <c r="AQ854" i="1"/>
  <c r="AQ857" i="1"/>
  <c r="AQ860" i="1"/>
  <c r="AQ863" i="1"/>
  <c r="AQ864" i="1"/>
  <c r="AQ865" i="1"/>
  <c r="AQ866" i="1"/>
  <c r="AQ867" i="1"/>
  <c r="AQ868" i="1"/>
  <c r="AQ869" i="1"/>
  <c r="AQ870" i="1"/>
  <c r="AQ871" i="1"/>
  <c r="AQ872" i="1"/>
  <c r="AQ873" i="1"/>
  <c r="AQ874" i="1"/>
  <c r="AQ875" i="1"/>
  <c r="AQ876" i="1"/>
  <c r="AQ877" i="1"/>
  <c r="AQ878" i="1"/>
  <c r="AQ879" i="1"/>
  <c r="AQ880" i="1"/>
  <c r="AQ881" i="1"/>
  <c r="AQ882" i="1"/>
  <c r="AQ883" i="1"/>
  <c r="AQ884" i="1"/>
  <c r="AQ885" i="1"/>
  <c r="AQ886" i="1"/>
  <c r="AQ887" i="1"/>
  <c r="AQ888" i="1"/>
  <c r="AQ807" i="1"/>
  <c r="AQ808" i="1"/>
  <c r="AQ809" i="1"/>
  <c r="AQ810" i="1"/>
  <c r="AQ811" i="1"/>
  <c r="AQ812" i="1"/>
  <c r="AQ813" i="1"/>
  <c r="AQ814" i="1"/>
  <c r="AQ815" i="1"/>
  <c r="AQ816" i="1"/>
  <c r="AQ817" i="1"/>
  <c r="AQ818" i="1"/>
  <c r="AQ819" i="1"/>
  <c r="AQ820" i="1"/>
  <c r="AQ821" i="1"/>
  <c r="AQ822" i="1"/>
  <c r="AQ823" i="1"/>
  <c r="AQ824" i="1"/>
  <c r="AL558" i="1"/>
  <c r="AQ558" i="1"/>
  <c r="AL559" i="1"/>
  <c r="AQ559" i="1"/>
  <c r="AL555" i="1"/>
  <c r="AQ555" i="1"/>
  <c r="AL556" i="1"/>
  <c r="AQ556" i="1"/>
  <c r="AL552" i="1"/>
  <c r="AQ552" i="1"/>
  <c r="AL553" i="1"/>
  <c r="AQ553" i="1"/>
  <c r="AS705" i="1"/>
  <c r="AL705" i="1"/>
  <c r="AQ705" i="1"/>
  <c r="AS702" i="1"/>
  <c r="AL702" i="1"/>
  <c r="AQ702" i="1"/>
  <c r="AS699" i="1"/>
  <c r="AL699" i="1"/>
  <c r="AQ699" i="1"/>
  <c r="G746" i="1"/>
  <c r="AP746" i="1" s="1"/>
  <c r="G565" i="1"/>
  <c r="AP565" i="1" s="1"/>
  <c r="AL694" i="1"/>
  <c r="AQ694" i="1"/>
  <c r="G693" i="1"/>
  <c r="AP693" i="1" s="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Q763" i="1"/>
  <c r="AQ764" i="1"/>
  <c r="AQ765" i="1"/>
  <c r="AQ766" i="1"/>
  <c r="AQ767" i="1"/>
  <c r="AQ768" i="1"/>
  <c r="AQ769" i="1"/>
  <c r="AQ770" i="1"/>
  <c r="AQ771" i="1"/>
  <c r="AQ772" i="1"/>
  <c r="AQ773" i="1"/>
  <c r="AQ774" i="1"/>
  <c r="AQ775" i="1"/>
  <c r="AQ776" i="1"/>
  <c r="AQ777" i="1"/>
  <c r="AQ778" i="1"/>
  <c r="AQ779" i="1"/>
  <c r="AQ780" i="1"/>
  <c r="AQ781" i="1"/>
  <c r="AQ782" i="1"/>
  <c r="AQ783" i="1"/>
  <c r="AQ784" i="1"/>
  <c r="AQ785" i="1"/>
  <c r="AQ786" i="1"/>
  <c r="AQ787" i="1"/>
  <c r="AQ788" i="1"/>
  <c r="AQ789" i="1"/>
  <c r="AQ790" i="1"/>
  <c r="AQ791" i="1"/>
  <c r="AQ792" i="1"/>
  <c r="AQ793" i="1"/>
  <c r="AQ794" i="1"/>
  <c r="AQ795" i="1"/>
  <c r="AQ796" i="1"/>
  <c r="AQ797" i="1"/>
  <c r="AQ798" i="1"/>
  <c r="AQ799" i="1"/>
  <c r="AQ800" i="1"/>
  <c r="AQ801" i="1"/>
  <c r="AQ802" i="1"/>
  <c r="AQ803" i="1"/>
  <c r="AQ804" i="1"/>
  <c r="AQ805"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Q732" i="1"/>
  <c r="AQ733" i="1"/>
  <c r="AQ734" i="1"/>
  <c r="AQ735" i="1"/>
  <c r="AQ736" i="1"/>
  <c r="AQ737" i="1"/>
  <c r="AQ738" i="1"/>
  <c r="AQ739" i="1"/>
  <c r="AQ740" i="1"/>
  <c r="AQ741" i="1"/>
  <c r="AQ742" i="1"/>
  <c r="AQ743" i="1"/>
  <c r="AQ744" i="1"/>
  <c r="AQ745" i="1"/>
  <c r="AQ746" i="1"/>
  <c r="AQ747" i="1"/>
  <c r="AQ748" i="1"/>
  <c r="AQ749" i="1"/>
  <c r="AQ750" i="1"/>
  <c r="AQ751" i="1"/>
  <c r="AQ752" i="1"/>
  <c r="AQ753" i="1"/>
  <c r="AQ754" i="1"/>
  <c r="AQ755" i="1"/>
  <c r="AQ756" i="1"/>
  <c r="AQ757" i="1"/>
  <c r="AQ758" i="1"/>
  <c r="AQ759" i="1"/>
  <c r="AQ760" i="1"/>
  <c r="AQ761" i="1"/>
  <c r="AQ762" i="1"/>
  <c r="AO701" i="1"/>
  <c r="AL672" i="1"/>
  <c r="AL673" i="1"/>
  <c r="AL674" i="1"/>
  <c r="AL675" i="1"/>
  <c r="AL676" i="1"/>
  <c r="AL677" i="1"/>
  <c r="AL678" i="1"/>
  <c r="AL679" i="1"/>
  <c r="AL680" i="1"/>
  <c r="AL681" i="1"/>
  <c r="AL682" i="1"/>
  <c r="AL683" i="1"/>
  <c r="AL684" i="1"/>
  <c r="AL685" i="1"/>
  <c r="AL686" i="1"/>
  <c r="AL687" i="1"/>
  <c r="AL688" i="1"/>
  <c r="AL689" i="1"/>
  <c r="AL690" i="1"/>
  <c r="AL691" i="1"/>
  <c r="AL692" i="1"/>
  <c r="AL693" i="1"/>
  <c r="AL695" i="1"/>
  <c r="AL696" i="1"/>
  <c r="AL697" i="1"/>
  <c r="AL698" i="1"/>
  <c r="AL700" i="1"/>
  <c r="AL701" i="1"/>
  <c r="AL703" i="1"/>
  <c r="AL704"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Q672" i="1"/>
  <c r="AQ673" i="1"/>
  <c r="AQ674" i="1"/>
  <c r="AQ675" i="1"/>
  <c r="AQ676" i="1"/>
  <c r="AQ677" i="1"/>
  <c r="AQ678" i="1"/>
  <c r="AQ679" i="1"/>
  <c r="AQ680" i="1"/>
  <c r="AQ681" i="1"/>
  <c r="AQ682" i="1"/>
  <c r="AQ683" i="1"/>
  <c r="AQ684" i="1"/>
  <c r="AQ685" i="1"/>
  <c r="AQ686" i="1"/>
  <c r="AQ687" i="1"/>
  <c r="AQ688" i="1"/>
  <c r="AQ689" i="1"/>
  <c r="AQ690" i="1"/>
  <c r="AQ691" i="1"/>
  <c r="AQ692" i="1"/>
  <c r="AQ693" i="1"/>
  <c r="AQ695" i="1"/>
  <c r="AQ696" i="1"/>
  <c r="AQ697" i="1"/>
  <c r="AQ698" i="1"/>
  <c r="AQ700" i="1"/>
  <c r="AQ701" i="1"/>
  <c r="AQ703" i="1"/>
  <c r="AQ704" i="1"/>
  <c r="AQ706" i="1"/>
  <c r="AQ707" i="1"/>
  <c r="AQ708" i="1"/>
  <c r="AQ709" i="1"/>
  <c r="AQ710" i="1"/>
  <c r="AQ711" i="1"/>
  <c r="AQ712" i="1"/>
  <c r="AQ713" i="1"/>
  <c r="AQ714" i="1"/>
  <c r="AQ715" i="1"/>
  <c r="AQ716" i="1"/>
  <c r="AQ717" i="1"/>
  <c r="AQ718" i="1"/>
  <c r="AQ719" i="1"/>
  <c r="AQ720" i="1"/>
  <c r="AQ721" i="1"/>
  <c r="AQ722" i="1"/>
  <c r="AQ723" i="1"/>
  <c r="AQ724" i="1"/>
  <c r="AQ725" i="1"/>
  <c r="AQ726" i="1"/>
  <c r="AQ727" i="1"/>
  <c r="AQ728" i="1"/>
  <c r="AQ729" i="1"/>
  <c r="AQ730" i="1"/>
  <c r="AQ731" i="1"/>
  <c r="AL654" i="1"/>
  <c r="AL655" i="1"/>
  <c r="AL656" i="1"/>
  <c r="AL657" i="1"/>
  <c r="AL658" i="1"/>
  <c r="AL659" i="1"/>
  <c r="AL660" i="1"/>
  <c r="AL661" i="1"/>
  <c r="AL662" i="1"/>
  <c r="AL663" i="1"/>
  <c r="AL664" i="1"/>
  <c r="AL665" i="1"/>
  <c r="AL666" i="1"/>
  <c r="AL667" i="1"/>
  <c r="AL668" i="1"/>
  <c r="AL669" i="1"/>
  <c r="AL670" i="1"/>
  <c r="AL671" i="1"/>
  <c r="AQ654" i="1"/>
  <c r="AQ655" i="1"/>
  <c r="AQ656" i="1"/>
  <c r="AQ657" i="1"/>
  <c r="AQ658" i="1"/>
  <c r="AQ659" i="1"/>
  <c r="AQ660" i="1"/>
  <c r="AQ661" i="1"/>
  <c r="AQ662" i="1"/>
  <c r="AQ663" i="1"/>
  <c r="AQ664" i="1"/>
  <c r="AQ665" i="1"/>
  <c r="AQ666" i="1"/>
  <c r="AQ667" i="1"/>
  <c r="AQ668" i="1"/>
  <c r="AQ669" i="1"/>
  <c r="AQ670" i="1"/>
  <c r="AQ671" i="1"/>
  <c r="AL653" i="1"/>
  <c r="AQ653" i="1"/>
  <c r="AR653" i="1" s="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Q548" i="1"/>
  <c r="G547" i="1"/>
  <c r="AP547" i="1" s="1"/>
  <c r="AO539" i="1"/>
  <c r="AQ533" i="1"/>
  <c r="AQ534" i="1"/>
  <c r="AQ535" i="1"/>
  <c r="AQ536" i="1"/>
  <c r="AQ537" i="1"/>
  <c r="AQ538" i="1"/>
  <c r="AQ539" i="1"/>
  <c r="AQ540" i="1"/>
  <c r="AQ541" i="1"/>
  <c r="AQ542" i="1"/>
  <c r="AQ543" i="1"/>
  <c r="AQ544" i="1"/>
  <c r="AQ545" i="1"/>
  <c r="AQ546" i="1"/>
  <c r="AQ547" i="1"/>
  <c r="AQ549" i="1"/>
  <c r="AQ550" i="1"/>
  <c r="AQ551" i="1"/>
  <c r="AQ554" i="1"/>
  <c r="AQ557" i="1"/>
  <c r="AQ560" i="1"/>
  <c r="AQ561" i="1"/>
  <c r="AQ562" i="1"/>
  <c r="AQ563" i="1"/>
  <c r="AQ564" i="1"/>
  <c r="AQ515" i="1"/>
  <c r="AQ516" i="1"/>
  <c r="AQ517" i="1"/>
  <c r="AQ518" i="1"/>
  <c r="AQ519" i="1"/>
  <c r="AQ520" i="1"/>
  <c r="AQ521" i="1"/>
  <c r="AQ522" i="1"/>
  <c r="AQ523" i="1"/>
  <c r="AQ524" i="1"/>
  <c r="AQ525" i="1"/>
  <c r="AQ526" i="1"/>
  <c r="AQ527" i="1"/>
  <c r="AQ528" i="1"/>
  <c r="AQ529" i="1"/>
  <c r="AQ530" i="1"/>
  <c r="AQ531" i="1"/>
  <c r="AQ532" i="1"/>
  <c r="AL548" i="1"/>
  <c r="AQ612" i="1"/>
  <c r="AQ624" i="1"/>
  <c r="AQ636" i="1"/>
  <c r="AQ648" i="1"/>
  <c r="AL590" i="1"/>
  <c r="AL602" i="1"/>
  <c r="AQ587" i="1"/>
  <c r="AQ599" i="1"/>
  <c r="AQ613" i="1"/>
  <c r="AQ625" i="1"/>
  <c r="AQ637" i="1"/>
  <c r="AQ649" i="1"/>
  <c r="AL591" i="1"/>
  <c r="AQ617" i="1"/>
  <c r="AQ629" i="1"/>
  <c r="AQ641" i="1"/>
  <c r="AL595" i="1"/>
  <c r="AL607" i="1"/>
  <c r="AQ592" i="1"/>
  <c r="AQ604" i="1"/>
  <c r="AQ620" i="1"/>
  <c r="AQ635" i="1"/>
  <c r="AQ652" i="1"/>
  <c r="AL598" i="1"/>
  <c r="AQ595" i="1"/>
  <c r="AQ609" i="1"/>
  <c r="AL543" i="1"/>
  <c r="AL571" i="1"/>
  <c r="AL583" i="1"/>
  <c r="AQ572" i="1"/>
  <c r="AQ584" i="1"/>
  <c r="AQ621" i="1"/>
  <c r="AQ638" i="1"/>
  <c r="AL599" i="1"/>
  <c r="AQ596" i="1"/>
  <c r="AL544" i="1"/>
  <c r="AL560" i="1"/>
  <c r="AL572" i="1"/>
  <c r="AL584" i="1"/>
  <c r="AQ573" i="1"/>
  <c r="AQ585" i="1"/>
  <c r="AO636" i="1"/>
  <c r="AQ610" i="1"/>
  <c r="AQ627" i="1"/>
  <c r="AQ643" i="1"/>
  <c r="AL588" i="1"/>
  <c r="AL604" i="1"/>
  <c r="AQ586" i="1"/>
  <c r="AQ601" i="1"/>
  <c r="AL536" i="1"/>
  <c r="AL549" i="1"/>
  <c r="AL564" i="1"/>
  <c r="AL576" i="1"/>
  <c r="AQ565" i="1"/>
  <c r="AQ577" i="1"/>
  <c r="AQ619" i="1"/>
  <c r="AQ634" i="1"/>
  <c r="AQ651" i="1"/>
  <c r="AL597" i="1"/>
  <c r="AQ594" i="1"/>
  <c r="AQ608" i="1"/>
  <c r="AL542" i="1"/>
  <c r="AL557" i="1"/>
  <c r="AL570" i="1"/>
  <c r="AL582" i="1"/>
  <c r="AQ571" i="1"/>
  <c r="AQ583" i="1"/>
  <c r="AQ632" i="1"/>
  <c r="AL587" i="1"/>
  <c r="AL609" i="1"/>
  <c r="AQ600" i="1"/>
  <c r="AL534" i="1"/>
  <c r="AL574" i="1"/>
  <c r="AQ578" i="1"/>
  <c r="AL526" i="1"/>
  <c r="AQ614" i="1"/>
  <c r="AQ603" i="1"/>
  <c r="AL537" i="1"/>
  <c r="AQ611" i="1"/>
  <c r="AQ633" i="1"/>
  <c r="AL589" i="1"/>
  <c r="AQ602" i="1"/>
  <c r="AL535" i="1"/>
  <c r="AL554" i="1"/>
  <c r="AL575" i="1"/>
  <c r="AQ579" i="1"/>
  <c r="AL515" i="1"/>
  <c r="AL527" i="1"/>
  <c r="AQ639" i="1"/>
  <c r="AL577" i="1"/>
  <c r="AO624" i="1"/>
  <c r="AQ618" i="1"/>
  <c r="AQ644" i="1"/>
  <c r="AL596" i="1"/>
  <c r="AQ588" i="1"/>
  <c r="AQ607" i="1"/>
  <c r="AL540" i="1"/>
  <c r="AL563" i="1"/>
  <c r="AL580" i="1"/>
  <c r="AQ567" i="1"/>
  <c r="AL519" i="1"/>
  <c r="AL531" i="1"/>
  <c r="AQ622" i="1"/>
  <c r="AQ645" i="1"/>
  <c r="AQ631" i="1"/>
  <c r="AL586" i="1"/>
  <c r="AL608" i="1"/>
  <c r="AQ598" i="1"/>
  <c r="AL533" i="1"/>
  <c r="AL551" i="1"/>
  <c r="AL573" i="1"/>
  <c r="AQ576" i="1"/>
  <c r="AL525" i="1"/>
  <c r="AL592" i="1"/>
  <c r="AQ580" i="1"/>
  <c r="AQ630" i="1"/>
  <c r="AL594" i="1"/>
  <c r="AQ591" i="1"/>
  <c r="AL550" i="1"/>
  <c r="AQ582" i="1"/>
  <c r="AL522" i="1"/>
  <c r="AL524" i="1"/>
  <c r="AL565" i="1"/>
  <c r="AQ647" i="1"/>
  <c r="AL566" i="1"/>
  <c r="AL532" i="1"/>
  <c r="AQ569" i="1"/>
  <c r="AL581" i="1"/>
  <c r="AQ640" i="1"/>
  <c r="AL600" i="1"/>
  <c r="AQ593" i="1"/>
  <c r="AL561" i="1"/>
  <c r="AL523" i="1"/>
  <c r="AQ646" i="1"/>
  <c r="AQ605" i="1"/>
  <c r="AQ568" i="1"/>
  <c r="AQ615" i="1"/>
  <c r="AL578" i="1"/>
  <c r="AL579" i="1"/>
  <c r="AQ589" i="1"/>
  <c r="AL546" i="1"/>
  <c r="AQ642" i="1"/>
  <c r="AL601" i="1"/>
  <c r="AQ597" i="1"/>
  <c r="AL562" i="1"/>
  <c r="AL605" i="1"/>
  <c r="AL529" i="1"/>
  <c r="AL539" i="1"/>
  <c r="AL541" i="1"/>
  <c r="AQ574" i="1"/>
  <c r="AL518" i="1"/>
  <c r="AQ650" i="1"/>
  <c r="AL606" i="1"/>
  <c r="AL567" i="1"/>
  <c r="AQ566" i="1"/>
  <c r="AL530" i="1"/>
  <c r="AL538" i="1"/>
  <c r="AL568" i="1"/>
  <c r="AL516" i="1"/>
  <c r="AQ623" i="1"/>
  <c r="AQ575" i="1"/>
  <c r="AQ628" i="1"/>
  <c r="AL593" i="1"/>
  <c r="AQ590" i="1"/>
  <c r="AL547" i="1"/>
  <c r="AL585" i="1"/>
  <c r="AQ581" i="1"/>
  <c r="AL521" i="1"/>
  <c r="AL603" i="1"/>
  <c r="AL528" i="1"/>
  <c r="AQ606" i="1"/>
  <c r="AO648" i="1"/>
  <c r="AL569" i="1"/>
  <c r="AQ616" i="1"/>
  <c r="AQ570" i="1"/>
  <c r="AL517" i="1"/>
  <c r="AL545" i="1"/>
  <c r="AQ626" i="1"/>
  <c r="AL520" i="1"/>
  <c r="AL514" i="1"/>
  <c r="AQ514" i="1"/>
  <c r="AR514" i="1" s="1"/>
  <c r="G418" i="1"/>
  <c r="AP418" i="1" s="1"/>
  <c r="G415" i="1"/>
  <c r="AP415" i="1" s="1"/>
  <c r="G412" i="1"/>
  <c r="AP412" i="1" s="1"/>
  <c r="AQ434" i="1"/>
  <c r="AQ495" i="1"/>
  <c r="AQ427" i="1"/>
  <c r="AQ429" i="1"/>
  <c r="AQ428" i="1"/>
  <c r="AQ424" i="1"/>
  <c r="AQ426" i="1"/>
  <c r="AQ394" i="1"/>
  <c r="AQ391" i="1"/>
  <c r="AQ392" i="1"/>
  <c r="AO391" i="1"/>
  <c r="AQ393" i="1"/>
  <c r="AQ425" i="1"/>
  <c r="AQ423" i="1"/>
  <c r="AQ389" i="1"/>
  <c r="AQ390" i="1"/>
  <c r="AQ354" i="1"/>
  <c r="AQ373" i="1"/>
  <c r="AQ367" i="1"/>
  <c r="AQ361" i="1"/>
  <c r="AQ355" i="1"/>
  <c r="AQ349" i="1"/>
  <c r="AQ348" i="1"/>
  <c r="AQ371" i="1"/>
  <c r="AQ353" i="1"/>
  <c r="AQ347" i="1"/>
  <c r="AQ352" i="1"/>
  <c r="AQ366" i="1"/>
  <c r="AQ360" i="1"/>
  <c r="AQ365" i="1"/>
  <c r="AQ364" i="1"/>
  <c r="AQ372" i="1"/>
  <c r="AQ359" i="1"/>
  <c r="AQ370" i="1"/>
  <c r="AQ358" i="1"/>
  <c r="AQ374" i="1"/>
  <c r="AQ368" i="1"/>
  <c r="AQ350" i="1"/>
  <c r="AQ363" i="1"/>
  <c r="AQ357" i="1"/>
  <c r="AQ362" i="1"/>
  <c r="AQ369" i="1"/>
  <c r="AQ351" i="1"/>
  <c r="AQ356" i="1"/>
  <c r="AQ492" i="1"/>
  <c r="AQ485" i="1"/>
  <c r="AQ488" i="1"/>
  <c r="AQ479" i="1"/>
  <c r="AQ473" i="1"/>
  <c r="AQ467" i="1"/>
  <c r="AQ461" i="1"/>
  <c r="AQ487" i="1"/>
  <c r="AQ446" i="1"/>
  <c r="AQ440" i="1"/>
  <c r="AQ433" i="1"/>
  <c r="AQ486" i="1"/>
  <c r="AQ478" i="1"/>
  <c r="AQ472" i="1"/>
  <c r="AQ466" i="1"/>
  <c r="AQ460" i="1"/>
  <c r="AQ454" i="1"/>
  <c r="AQ422" i="1"/>
  <c r="AQ418" i="1"/>
  <c r="AQ414" i="1"/>
  <c r="AQ410" i="1"/>
  <c r="AQ406" i="1"/>
  <c r="AQ402" i="1"/>
  <c r="AQ398" i="1"/>
  <c r="AQ383" i="1"/>
  <c r="AQ375" i="1"/>
  <c r="AQ481" i="1"/>
  <c r="AQ468" i="1"/>
  <c r="AQ482" i="1"/>
  <c r="AQ469" i="1"/>
  <c r="AQ420" i="1"/>
  <c r="AQ483" i="1"/>
  <c r="AQ471" i="1"/>
  <c r="AQ489" i="1"/>
  <c r="AQ452" i="1"/>
  <c r="AQ435" i="1"/>
  <c r="AQ411" i="1"/>
  <c r="AQ436" i="1"/>
  <c r="AQ403" i="1"/>
  <c r="AQ397" i="1"/>
  <c r="AQ494" i="1"/>
  <c r="AQ453" i="1"/>
  <c r="AQ437" i="1"/>
  <c r="AQ417" i="1"/>
  <c r="AQ385" i="1"/>
  <c r="AQ384" i="1"/>
  <c r="AQ480" i="1"/>
  <c r="AQ459" i="1"/>
  <c r="AQ456" i="1"/>
  <c r="AO384" i="1"/>
  <c r="AQ378" i="1"/>
  <c r="AQ474" i="1"/>
  <c r="AQ462" i="1"/>
  <c r="AQ447" i="1"/>
  <c r="AQ442" i="1"/>
  <c r="AQ438" i="1"/>
  <c r="AQ450" i="1"/>
  <c r="AQ377" i="1"/>
  <c r="AQ490" i="1"/>
  <c r="AQ477" i="1"/>
  <c r="AQ465" i="1"/>
  <c r="AQ457" i="1"/>
  <c r="AQ430" i="1"/>
  <c r="AQ419" i="1"/>
  <c r="AQ413" i="1"/>
  <c r="AQ388" i="1"/>
  <c r="AQ451" i="1"/>
  <c r="AQ470" i="1"/>
  <c r="AQ493" i="1"/>
  <c r="AQ399" i="1"/>
  <c r="AQ376" i="1"/>
  <c r="AQ458" i="1"/>
  <c r="AQ463" i="1"/>
  <c r="AQ455" i="1"/>
  <c r="AQ444" i="1"/>
  <c r="AQ404" i="1"/>
  <c r="AQ381" i="1"/>
  <c r="AQ432" i="1"/>
  <c r="AQ405" i="1"/>
  <c r="AQ400" i="1"/>
  <c r="AQ449" i="1"/>
  <c r="AQ491" i="1"/>
  <c r="AQ475" i="1"/>
  <c r="AQ416" i="1"/>
  <c r="AQ409" i="1"/>
  <c r="AQ421" i="1"/>
  <c r="AQ407" i="1"/>
  <c r="AQ386" i="1"/>
  <c r="AQ382" i="1"/>
  <c r="AQ395" i="1"/>
  <c r="AO380" i="1"/>
  <c r="AQ412" i="1"/>
  <c r="AQ443" i="1"/>
  <c r="AQ387" i="1"/>
  <c r="AQ484" i="1"/>
  <c r="AQ464" i="1"/>
  <c r="AQ445" i="1"/>
  <c r="AQ441" i="1"/>
  <c r="AQ476" i="1"/>
  <c r="AQ439" i="1"/>
  <c r="AQ415" i="1"/>
  <c r="AQ396" i="1"/>
  <c r="AQ380" i="1"/>
  <c r="AQ408" i="1"/>
  <c r="AQ448" i="1"/>
  <c r="AQ431" i="1"/>
  <c r="AQ401" i="1"/>
  <c r="AQ379" i="1"/>
  <c r="AQ306" i="1"/>
  <c r="AQ130" i="1"/>
  <c r="AQ194" i="1"/>
  <c r="AQ35" i="1"/>
  <c r="AQ98" i="1"/>
  <c r="AQ162" i="1"/>
  <c r="AQ226" i="1"/>
  <c r="AQ286" i="1"/>
  <c r="AQ21" i="1"/>
  <c r="AQ322" i="1"/>
  <c r="AQ50" i="1"/>
  <c r="AQ114" i="1"/>
  <c r="AQ178" i="1"/>
  <c r="AQ242" i="1"/>
  <c r="AQ325" i="1"/>
  <c r="AQ321" i="1"/>
  <c r="AQ317" i="1"/>
  <c r="AQ313" i="1"/>
  <c r="AQ309" i="1"/>
  <c r="AQ305" i="1"/>
  <c r="AQ301" i="1"/>
  <c r="AQ297" i="1"/>
  <c r="AQ267" i="1"/>
  <c r="AQ289" i="1"/>
  <c r="AQ285" i="1"/>
  <c r="AQ281" i="1"/>
  <c r="AQ277" i="1"/>
  <c r="AQ273" i="1"/>
  <c r="AQ269" i="1"/>
  <c r="AQ265" i="1"/>
  <c r="AQ261" i="1"/>
  <c r="AQ257" i="1"/>
  <c r="AQ253" i="1"/>
  <c r="AQ249" i="1"/>
  <c r="AQ245" i="1"/>
  <c r="AQ241" i="1"/>
  <c r="AQ307" i="1"/>
  <c r="AQ233" i="1"/>
  <c r="AQ229" i="1"/>
  <c r="AQ314" i="1"/>
  <c r="AQ323" i="1"/>
  <c r="AQ217" i="1"/>
  <c r="AQ213" i="1"/>
  <c r="AQ209" i="1"/>
  <c r="AQ205" i="1"/>
  <c r="AQ201" i="1"/>
  <c r="AQ197" i="1"/>
  <c r="AQ193" i="1"/>
  <c r="AQ189" i="1"/>
  <c r="AQ185" i="1"/>
  <c r="AQ181" i="1"/>
  <c r="AQ177" i="1"/>
  <c r="AQ173" i="1"/>
  <c r="AQ169" i="1"/>
  <c r="AQ165" i="1"/>
  <c r="AQ161" i="1"/>
  <c r="AQ153" i="1"/>
  <c r="AQ149" i="1"/>
  <c r="AQ145" i="1"/>
  <c r="AQ141" i="1"/>
  <c r="AQ137" i="1"/>
  <c r="AQ133" i="1"/>
  <c r="AQ129" i="1"/>
  <c r="AQ125" i="1"/>
  <c r="AQ121" i="1"/>
  <c r="AQ117" i="1"/>
  <c r="AQ113" i="1"/>
  <c r="AQ109" i="1"/>
  <c r="AQ105" i="1"/>
  <c r="AQ101" i="1"/>
  <c r="AQ97" i="1"/>
  <c r="AQ93" i="1"/>
  <c r="AQ89" i="1"/>
  <c r="AQ85" i="1"/>
  <c r="AQ81" i="1"/>
  <c r="AQ77" i="1"/>
  <c r="AQ73" i="1"/>
  <c r="AQ69" i="1"/>
  <c r="AQ65" i="1"/>
  <c r="AQ61" i="1"/>
  <c r="AQ57" i="1"/>
  <c r="AQ53" i="1"/>
  <c r="AQ49" i="1"/>
  <c r="AQ45" i="1"/>
  <c r="AQ41" i="1"/>
  <c r="AQ37" i="1"/>
  <c r="AQ33" i="1"/>
  <c r="AQ29" i="1"/>
  <c r="AQ25" i="1"/>
  <c r="AQ324" i="1"/>
  <c r="AQ320" i="1"/>
  <c r="AQ316" i="1"/>
  <c r="AQ312" i="1"/>
  <c r="AQ308" i="1"/>
  <c r="AQ304" i="1"/>
  <c r="AQ240" i="1"/>
  <c r="AQ296" i="1"/>
  <c r="AQ292" i="1"/>
  <c r="AQ288" i="1"/>
  <c r="AQ284" i="1"/>
  <c r="AQ280" i="1"/>
  <c r="AQ276" i="1"/>
  <c r="AQ272" i="1"/>
  <c r="AQ268" i="1"/>
  <c r="AQ264" i="1"/>
  <c r="AQ260" i="1"/>
  <c r="AQ256" i="1"/>
  <c r="AQ252" i="1"/>
  <c r="AQ248" i="1"/>
  <c r="AQ244" i="1"/>
  <c r="AQ300" i="1"/>
  <c r="AQ236" i="1"/>
  <c r="AQ232" i="1"/>
  <c r="AQ228" i="1"/>
  <c r="AQ224" i="1"/>
  <c r="AQ220" i="1"/>
  <c r="AQ216" i="1"/>
  <c r="AQ212" i="1"/>
  <c r="AQ208" i="1"/>
  <c r="AQ204" i="1"/>
  <c r="AQ200" i="1"/>
  <c r="AQ196" i="1"/>
  <c r="AQ192" i="1"/>
  <c r="AQ188" i="1"/>
  <c r="AQ184" i="1"/>
  <c r="AQ180" i="1"/>
  <c r="AQ176" i="1"/>
  <c r="AQ172" i="1"/>
  <c r="AQ168" i="1"/>
  <c r="AQ164" i="1"/>
  <c r="AQ160" i="1"/>
  <c r="AQ156" i="1"/>
  <c r="AQ152" i="1"/>
  <c r="AQ148" i="1"/>
  <c r="AQ144" i="1"/>
  <c r="AQ140" i="1"/>
  <c r="AQ136" i="1"/>
  <c r="AQ132" i="1"/>
  <c r="AQ128" i="1"/>
  <c r="AQ124" i="1"/>
  <c r="AQ120" i="1"/>
  <c r="AQ116" i="1"/>
  <c r="AQ112" i="1"/>
  <c r="AQ108" i="1"/>
  <c r="AQ104" i="1"/>
  <c r="AQ100" i="1"/>
  <c r="AQ96" i="1"/>
  <c r="AQ92" i="1"/>
  <c r="AQ88" i="1"/>
  <c r="AQ84" i="1"/>
  <c r="AQ80" i="1"/>
  <c r="AQ76" i="1"/>
  <c r="AQ72" i="1"/>
  <c r="AQ68" i="1"/>
  <c r="AQ64" i="1"/>
  <c r="AQ60" i="1"/>
  <c r="AQ56" i="1"/>
  <c r="AQ52" i="1"/>
  <c r="AQ48" i="1"/>
  <c r="AQ44" i="1"/>
  <c r="AQ40" i="1"/>
  <c r="AQ36" i="1"/>
  <c r="AQ32" i="1"/>
  <c r="AQ28" i="1"/>
  <c r="AQ24" i="1"/>
  <c r="AQ20" i="1"/>
  <c r="AQ16" i="1"/>
  <c r="AR16" i="1" s="1"/>
  <c r="AQ327" i="1"/>
  <c r="AQ221" i="1"/>
  <c r="AQ319" i="1"/>
  <c r="AQ315" i="1"/>
  <c r="AQ311" i="1"/>
  <c r="AQ237" i="1"/>
  <c r="AQ303" i="1"/>
  <c r="AQ243" i="1"/>
  <c r="AQ295" i="1"/>
  <c r="AQ291" i="1"/>
  <c r="AQ287" i="1"/>
  <c r="AQ283" i="1"/>
  <c r="AQ279" i="1"/>
  <c r="AQ275" i="1"/>
  <c r="AQ271" i="1"/>
  <c r="AQ293" i="1"/>
  <c r="AQ263" i="1"/>
  <c r="AQ259" i="1"/>
  <c r="AQ255" i="1"/>
  <c r="AQ251" i="1"/>
  <c r="AQ247" i="1"/>
  <c r="AQ299" i="1"/>
  <c r="AQ239" i="1"/>
  <c r="AQ235" i="1"/>
  <c r="AQ231" i="1"/>
  <c r="AQ227" i="1"/>
  <c r="AQ223" i="1"/>
  <c r="AQ219" i="1"/>
  <c r="AQ215" i="1"/>
  <c r="AQ211" i="1"/>
  <c r="AQ207" i="1"/>
  <c r="AQ203" i="1"/>
  <c r="AQ199" i="1"/>
  <c r="AQ195" i="1"/>
  <c r="AQ191" i="1"/>
  <c r="AQ187" i="1"/>
  <c r="AQ183" i="1"/>
  <c r="AQ179" i="1"/>
  <c r="AQ175" i="1"/>
  <c r="AQ171" i="1"/>
  <c r="AQ167" i="1"/>
  <c r="AQ163" i="1"/>
  <c r="AQ159" i="1"/>
  <c r="AQ155" i="1"/>
  <c r="AQ151" i="1"/>
  <c r="AQ147" i="1"/>
  <c r="AQ143" i="1"/>
  <c r="AQ139" i="1"/>
  <c r="AQ135" i="1"/>
  <c r="AQ131" i="1"/>
  <c r="AQ127" i="1"/>
  <c r="AQ123" i="1"/>
  <c r="AQ119" i="1"/>
  <c r="AQ115" i="1"/>
  <c r="AQ111" i="1"/>
  <c r="AQ107" i="1"/>
  <c r="AQ103" i="1"/>
  <c r="AQ99" i="1"/>
  <c r="AQ95" i="1"/>
  <c r="AQ91" i="1"/>
  <c r="AQ87" i="1"/>
  <c r="AQ83" i="1"/>
  <c r="AQ79" i="1"/>
  <c r="AQ75" i="1"/>
  <c r="AQ71" i="1"/>
  <c r="AQ67" i="1"/>
  <c r="AQ63" i="1"/>
  <c r="AQ59" i="1"/>
  <c r="AQ55" i="1"/>
  <c r="AQ51" i="1"/>
  <c r="AQ47" i="1"/>
  <c r="AQ43" i="1"/>
  <c r="AQ39" i="1"/>
  <c r="AQ326" i="1"/>
  <c r="AQ310" i="1"/>
  <c r="AQ294" i="1"/>
  <c r="AQ278" i="1"/>
  <c r="AQ262" i="1"/>
  <c r="AQ246" i="1"/>
  <c r="AQ230" i="1"/>
  <c r="AQ214" i="1"/>
  <c r="AQ198" i="1"/>
  <c r="AQ182" i="1"/>
  <c r="AQ166" i="1"/>
  <c r="AQ150" i="1"/>
  <c r="AQ134" i="1"/>
  <c r="AQ118" i="1"/>
  <c r="AQ102" i="1"/>
  <c r="AQ86" i="1"/>
  <c r="AQ70" i="1"/>
  <c r="AQ54" i="1"/>
  <c r="AQ38" i="1"/>
  <c r="AQ30" i="1"/>
  <c r="AQ22" i="1"/>
  <c r="AQ17" i="1"/>
  <c r="AQ318" i="1"/>
  <c r="AQ302" i="1"/>
  <c r="AQ290" i="1"/>
  <c r="AQ270" i="1"/>
  <c r="AQ254" i="1"/>
  <c r="AQ238" i="1"/>
  <c r="AQ222" i="1"/>
  <c r="AQ206" i="1"/>
  <c r="AQ190" i="1"/>
  <c r="AQ174" i="1"/>
  <c r="AQ158" i="1"/>
  <c r="AR158" i="1" s="1"/>
  <c r="AQ142" i="1"/>
  <c r="AQ126" i="1"/>
  <c r="AQ110" i="1"/>
  <c r="AQ94" i="1"/>
  <c r="AQ78" i="1"/>
  <c r="AQ62" i="1"/>
  <c r="AQ46" i="1"/>
  <c r="AQ34" i="1"/>
  <c r="AQ26" i="1"/>
  <c r="AQ19" i="1"/>
  <c r="AQ225" i="1"/>
  <c r="AQ298" i="1"/>
  <c r="AQ282" i="1"/>
  <c r="AQ266" i="1"/>
  <c r="AQ250" i="1"/>
  <c r="AQ234" i="1"/>
  <c r="AQ218" i="1"/>
  <c r="AQ202" i="1"/>
  <c r="AQ186" i="1"/>
  <c r="AQ170" i="1"/>
  <c r="AQ154" i="1"/>
  <c r="AQ138" i="1"/>
  <c r="AQ122" i="1"/>
  <c r="AQ106" i="1"/>
  <c r="AQ90" i="1"/>
  <c r="AQ74" i="1"/>
  <c r="AQ58" i="1"/>
  <c r="AQ42" i="1"/>
  <c r="AQ31" i="1"/>
  <c r="AQ23" i="1"/>
  <c r="AQ18" i="1"/>
  <c r="AQ66" i="1"/>
  <c r="AQ258" i="1"/>
  <c r="AQ27" i="1"/>
  <c r="AQ82" i="1"/>
  <c r="AQ146" i="1"/>
  <c r="AQ210" i="1"/>
  <c r="AQ274" i="1"/>
  <c r="AO16" i="1"/>
  <c r="AO20" i="1"/>
  <c r="AO160" i="1"/>
  <c r="AO24" i="1"/>
  <c r="AO32" i="1"/>
  <c r="AO40" i="1"/>
  <c r="AO168" i="1"/>
  <c r="AO180" i="1"/>
  <c r="AO18" i="1"/>
  <c r="AO22" i="1"/>
  <c r="AO26" i="1"/>
  <c r="AO30" i="1"/>
  <c r="AO34" i="1"/>
  <c r="AO38" i="1"/>
  <c r="AO158" i="1"/>
  <c r="AO162" i="1"/>
  <c r="AO166" i="1"/>
  <c r="AO170" i="1"/>
  <c r="AO174" i="1"/>
  <c r="AO178" i="1"/>
  <c r="AO183" i="1"/>
  <c r="AO28" i="1"/>
  <c r="AO36" i="1"/>
  <c r="AO164" i="1"/>
  <c r="AO176" i="1"/>
  <c r="AO19" i="1"/>
  <c r="AO23" i="1"/>
  <c r="AO27" i="1"/>
  <c r="AO31" i="1"/>
  <c r="AO35" i="1"/>
  <c r="AO39" i="1"/>
  <c r="AO159" i="1"/>
  <c r="AO163" i="1"/>
  <c r="AO167" i="1"/>
  <c r="AO171" i="1"/>
  <c r="AO175" i="1"/>
  <c r="AO179" i="1"/>
  <c r="AO185" i="1"/>
  <c r="AO172" i="1"/>
  <c r="AO17" i="1"/>
  <c r="AO21" i="1"/>
  <c r="AO25" i="1"/>
  <c r="AO29" i="1"/>
  <c r="AO33" i="1"/>
  <c r="AO37" i="1"/>
  <c r="AO41" i="1"/>
  <c r="AO161" i="1"/>
  <c r="AO165" i="1"/>
  <c r="AO169" i="1"/>
  <c r="AO173" i="1"/>
  <c r="AO177" i="1"/>
  <c r="AO181" i="1"/>
  <c r="AO42" i="1"/>
  <c r="AO186" i="1"/>
  <c r="AO194" i="1"/>
  <c r="AO184" i="1"/>
  <c r="AO44" i="1"/>
  <c r="AO48" i="1"/>
  <c r="AO52" i="1"/>
  <c r="AO56" i="1"/>
  <c r="AO60" i="1"/>
  <c r="AO64" i="1"/>
  <c r="AO68" i="1"/>
  <c r="AO72" i="1"/>
  <c r="AO76" i="1"/>
  <c r="AO80" i="1"/>
  <c r="AO84" i="1"/>
  <c r="AO88" i="1"/>
  <c r="AO92" i="1"/>
  <c r="AO96" i="1"/>
  <c r="AO100" i="1"/>
  <c r="AO104" i="1"/>
  <c r="AO108" i="1"/>
  <c r="AO112" i="1"/>
  <c r="AO116" i="1"/>
  <c r="AO120" i="1"/>
  <c r="AO124" i="1"/>
  <c r="AO128" i="1"/>
  <c r="AO132" i="1"/>
  <c r="AO136" i="1"/>
  <c r="AO140" i="1"/>
  <c r="AO144" i="1"/>
  <c r="AO148" i="1"/>
  <c r="AO152" i="1"/>
  <c r="AO156" i="1"/>
  <c r="AO188" i="1"/>
  <c r="AO193" i="1"/>
  <c r="AO199" i="1"/>
  <c r="AO207" i="1"/>
  <c r="AO223" i="1"/>
  <c r="AO239" i="1"/>
  <c r="AO255" i="1"/>
  <c r="AO271" i="1"/>
  <c r="AO287" i="1"/>
  <c r="AO303" i="1"/>
  <c r="AO319" i="1"/>
  <c r="AO45" i="1"/>
  <c r="AO49" i="1"/>
  <c r="AO53" i="1"/>
  <c r="AO57" i="1"/>
  <c r="AO61" i="1"/>
  <c r="AO65" i="1"/>
  <c r="AO69" i="1"/>
  <c r="AO73" i="1"/>
  <c r="AO77" i="1"/>
  <c r="AO81" i="1"/>
  <c r="AO85" i="1"/>
  <c r="AO89" i="1"/>
  <c r="AO93" i="1"/>
  <c r="AO97" i="1"/>
  <c r="AO101" i="1"/>
  <c r="AO105" i="1"/>
  <c r="AO109" i="1"/>
  <c r="AO113" i="1"/>
  <c r="AO117" i="1"/>
  <c r="AO121" i="1"/>
  <c r="AO125" i="1"/>
  <c r="AO129" i="1"/>
  <c r="AO133" i="1"/>
  <c r="AO137" i="1"/>
  <c r="AO141" i="1"/>
  <c r="AO145" i="1"/>
  <c r="AO149" i="1"/>
  <c r="AO153" i="1"/>
  <c r="AO189" i="1"/>
  <c r="AO202" i="1"/>
  <c r="AO211" i="1"/>
  <c r="AO227" i="1"/>
  <c r="AO243" i="1"/>
  <c r="AO259" i="1"/>
  <c r="AO275" i="1"/>
  <c r="AO291" i="1"/>
  <c r="AO307" i="1"/>
  <c r="AO323" i="1"/>
  <c r="AO46" i="1"/>
  <c r="AO50" i="1"/>
  <c r="AO54" i="1"/>
  <c r="AO58" i="1"/>
  <c r="AO62" i="1"/>
  <c r="AO66" i="1"/>
  <c r="AO70" i="1"/>
  <c r="AO74" i="1"/>
  <c r="AO78" i="1"/>
  <c r="AO82" i="1"/>
  <c r="AO86" i="1"/>
  <c r="AO90" i="1"/>
  <c r="AO94" i="1"/>
  <c r="AO98" i="1"/>
  <c r="AO102" i="1"/>
  <c r="AO106" i="1"/>
  <c r="AO110" i="1"/>
  <c r="AO114" i="1"/>
  <c r="AO118" i="1"/>
  <c r="AO122" i="1"/>
  <c r="AO126" i="1"/>
  <c r="AO130" i="1"/>
  <c r="AO134" i="1"/>
  <c r="AO138" i="1"/>
  <c r="AO142" i="1"/>
  <c r="AO146" i="1"/>
  <c r="AO150" i="1"/>
  <c r="AO154" i="1"/>
  <c r="AO182" i="1"/>
  <c r="AO190" i="1"/>
  <c r="AO195" i="1"/>
  <c r="AO203" i="1"/>
  <c r="AO215" i="1"/>
  <c r="AO231" i="1"/>
  <c r="AO247" i="1"/>
  <c r="AO263" i="1"/>
  <c r="AO279" i="1"/>
  <c r="AO295" i="1"/>
  <c r="AO311" i="1"/>
  <c r="AO327" i="1"/>
  <c r="AO326" i="1"/>
  <c r="AO322" i="1"/>
  <c r="AO318" i="1"/>
  <c r="AO314" i="1"/>
  <c r="AO310" i="1"/>
  <c r="AO306" i="1"/>
  <c r="AO302" i="1"/>
  <c r="AO298" i="1"/>
  <c r="AO294" i="1"/>
  <c r="AO290" i="1"/>
  <c r="AO286" i="1"/>
  <c r="AO282" i="1"/>
  <c r="AO278" i="1"/>
  <c r="AO274" i="1"/>
  <c r="AO270" i="1"/>
  <c r="AO266" i="1"/>
  <c r="AO262" i="1"/>
  <c r="AO258" i="1"/>
  <c r="AO254" i="1"/>
  <c r="AO250" i="1"/>
  <c r="AO246" i="1"/>
  <c r="AO242" i="1"/>
  <c r="AO238" i="1"/>
  <c r="AO234" i="1"/>
  <c r="AO230" i="1"/>
  <c r="AO226" i="1"/>
  <c r="AO222" i="1"/>
  <c r="AO218" i="1"/>
  <c r="AO214" i="1"/>
  <c r="AO210" i="1"/>
  <c r="AO325" i="1"/>
  <c r="AO321" i="1"/>
  <c r="AO317" i="1"/>
  <c r="AO313" i="1"/>
  <c r="AO309" i="1"/>
  <c r="AO305" i="1"/>
  <c r="AO301" i="1"/>
  <c r="AO297" i="1"/>
  <c r="AO293" i="1"/>
  <c r="AO289" i="1"/>
  <c r="AO285" i="1"/>
  <c r="AO281" i="1"/>
  <c r="AO277" i="1"/>
  <c r="AO273" i="1"/>
  <c r="AO269" i="1"/>
  <c r="AO265" i="1"/>
  <c r="AO261" i="1"/>
  <c r="AO257" i="1"/>
  <c r="AO253" i="1"/>
  <c r="AO249" i="1"/>
  <c r="AO245" i="1"/>
  <c r="AO241" i="1"/>
  <c r="AO237" i="1"/>
  <c r="AO233" i="1"/>
  <c r="AO229" i="1"/>
  <c r="AO225" i="1"/>
  <c r="AO221" i="1"/>
  <c r="AO217" i="1"/>
  <c r="AO213" i="1"/>
  <c r="AO209" i="1"/>
  <c r="AO205" i="1"/>
  <c r="AO201" i="1"/>
  <c r="AO197" i="1"/>
  <c r="AO324" i="1"/>
  <c r="AO320" i="1"/>
  <c r="AO316" i="1"/>
  <c r="AO312" i="1"/>
  <c r="AO308" i="1"/>
  <c r="AO304" i="1"/>
  <c r="AO300" i="1"/>
  <c r="AO296" i="1"/>
  <c r="AO292" i="1"/>
  <c r="AO288" i="1"/>
  <c r="AO284" i="1"/>
  <c r="AO280" i="1"/>
  <c r="AO276" i="1"/>
  <c r="AO272" i="1"/>
  <c r="AO268" i="1"/>
  <c r="AO264" i="1"/>
  <c r="AO260" i="1"/>
  <c r="AO256" i="1"/>
  <c r="AO252" i="1"/>
  <c r="AO248" i="1"/>
  <c r="AO244" i="1"/>
  <c r="AO240" i="1"/>
  <c r="AO236" i="1"/>
  <c r="AO232" i="1"/>
  <c r="AO228" i="1"/>
  <c r="AO224" i="1"/>
  <c r="AO220" i="1"/>
  <c r="AO216" i="1"/>
  <c r="AO212" i="1"/>
  <c r="AO208" i="1"/>
  <c r="AO204" i="1"/>
  <c r="AO200" i="1"/>
  <c r="AO196" i="1"/>
  <c r="AO192" i="1"/>
  <c r="AO43" i="1"/>
  <c r="AO47" i="1"/>
  <c r="AO51" i="1"/>
  <c r="AO55" i="1"/>
  <c r="AO59" i="1"/>
  <c r="AO63" i="1"/>
  <c r="AO67" i="1"/>
  <c r="AO71" i="1"/>
  <c r="AO75" i="1"/>
  <c r="AO79" i="1"/>
  <c r="AO83" i="1"/>
  <c r="AO87" i="1"/>
  <c r="AO91" i="1"/>
  <c r="AO95" i="1"/>
  <c r="AO99" i="1"/>
  <c r="AO103" i="1"/>
  <c r="AO107" i="1"/>
  <c r="AO111" i="1"/>
  <c r="AO115" i="1"/>
  <c r="AO119" i="1"/>
  <c r="AO123" i="1"/>
  <c r="AO127" i="1"/>
  <c r="AO131" i="1"/>
  <c r="AO135" i="1"/>
  <c r="AO139" i="1"/>
  <c r="AO143" i="1"/>
  <c r="AO147" i="1"/>
  <c r="AO151" i="1"/>
  <c r="AO155" i="1"/>
  <c r="AO187" i="1"/>
  <c r="AO191" i="1"/>
  <c r="AO198" i="1"/>
  <c r="AO206" i="1"/>
  <c r="AO219" i="1"/>
  <c r="AO235" i="1"/>
  <c r="AO251" i="1"/>
  <c r="AO267" i="1"/>
  <c r="AO283" i="1"/>
  <c r="AO299" i="1"/>
  <c r="AO315" i="1"/>
  <c r="AN1789" i="1" l="1"/>
  <c r="AS1734" i="1"/>
  <c r="AN1777" i="1"/>
  <c r="AS1797" i="1"/>
  <c r="AN1798" i="1"/>
  <c r="AS1731" i="1"/>
  <c r="AN1771" i="1"/>
  <c r="AN1778" i="1"/>
  <c r="AS1722" i="1"/>
  <c r="AS1737" i="1"/>
  <c r="AN1740" i="1"/>
  <c r="AN1765" i="1"/>
  <c r="AN1793" i="1"/>
  <c r="AN1759" i="1"/>
  <c r="AS1781" i="1"/>
  <c r="AN1782" i="1"/>
  <c r="AN1794" i="1"/>
  <c r="AN1757" i="1"/>
  <c r="AN1762" i="1"/>
  <c r="AN1768" i="1"/>
  <c r="AN1774" i="1"/>
  <c r="AN1785" i="1"/>
  <c r="AN1790" i="1"/>
  <c r="AN1801" i="1"/>
  <c r="AN1805" i="1"/>
  <c r="AN1809" i="1"/>
  <c r="AN1813" i="1"/>
  <c r="AN1818" i="1"/>
  <c r="AN1823" i="1"/>
  <c r="AN1827" i="1"/>
  <c r="AN1831" i="1"/>
  <c r="AN1835" i="1"/>
  <c r="AN1839" i="1"/>
  <c r="AN1843" i="1"/>
  <c r="AN1786" i="1"/>
  <c r="AN1802" i="1"/>
  <c r="AN1806" i="1"/>
  <c r="AN1810" i="1"/>
  <c r="AN1814" i="1"/>
  <c r="AN1819" i="1"/>
  <c r="AN1824" i="1"/>
  <c r="AN1828" i="1"/>
  <c r="AN1832" i="1"/>
  <c r="AN1836" i="1"/>
  <c r="AN1840" i="1"/>
  <c r="AN1844" i="1"/>
  <c r="AR1574" i="1"/>
  <c r="AR1586" i="1"/>
  <c r="AR1562" i="1"/>
  <c r="AR1538" i="1"/>
  <c r="AR1490" i="1"/>
  <c r="AR1442" i="1"/>
  <c r="AR1358" i="1"/>
  <c r="AR1346" i="1"/>
  <c r="AR1175" i="1"/>
  <c r="AR1163" i="1"/>
  <c r="AR1151" i="1"/>
  <c r="AR1139" i="1"/>
  <c r="AR980" i="1"/>
  <c r="AR968" i="1"/>
  <c r="AR953" i="1"/>
  <c r="AR941" i="1"/>
  <c r="AR929" i="1"/>
  <c r="AR917" i="1"/>
  <c r="AR905" i="1"/>
  <c r="AR893" i="1"/>
  <c r="AR794" i="1"/>
  <c r="AR782" i="1"/>
  <c r="AR770" i="1"/>
  <c r="AR1684" i="1"/>
  <c r="AR1672" i="1"/>
  <c r="AR1660" i="1"/>
  <c r="AR1648" i="1"/>
  <c r="AR1636" i="1"/>
  <c r="AR1624" i="1"/>
  <c r="AR1612" i="1"/>
  <c r="AR1576" i="1"/>
  <c r="AR1564" i="1"/>
  <c r="AR1420" i="1"/>
  <c r="AR1372" i="1"/>
  <c r="AR1324" i="1"/>
  <c r="AR976" i="1"/>
  <c r="AR856" i="1"/>
  <c r="AR844" i="1"/>
  <c r="AR832" i="1"/>
  <c r="AR724" i="1"/>
  <c r="AR712" i="1"/>
  <c r="AR688" i="1"/>
  <c r="AR676" i="1"/>
  <c r="AR664" i="1"/>
  <c r="AR445" i="1"/>
  <c r="AR262" i="1"/>
  <c r="AR106" i="1"/>
  <c r="AR94" i="1"/>
  <c r="AR70" i="1"/>
  <c r="AR1599" i="1"/>
  <c r="AR1500" i="1"/>
  <c r="AR1476" i="1"/>
  <c r="AR1464" i="1"/>
  <c r="AR1440" i="1"/>
  <c r="AR1425" i="1"/>
  <c r="AR1389" i="1"/>
  <c r="AR1377" i="1"/>
  <c r="AR1365" i="1"/>
  <c r="AR1305" i="1"/>
  <c r="AR1125" i="1"/>
  <c r="AR1113" i="1"/>
  <c r="AR1101" i="1"/>
  <c r="AR1089" i="1"/>
  <c r="AR1077" i="1"/>
  <c r="AR1065" i="1"/>
  <c r="AR1053" i="1"/>
  <c r="AR1041" i="1"/>
  <c r="AR1029" i="1"/>
  <c r="AR1017" i="1"/>
  <c r="AR1005" i="1"/>
  <c r="AR993" i="1"/>
  <c r="AR957" i="1"/>
  <c r="AR945" i="1"/>
  <c r="AR933" i="1"/>
  <c r="AR921" i="1"/>
  <c r="AR909" i="1"/>
  <c r="AR897" i="1"/>
  <c r="AR753" i="1"/>
  <c r="AR741" i="1"/>
  <c r="AR537" i="1"/>
  <c r="AR465" i="1"/>
  <c r="AR225" i="1"/>
  <c r="AR189" i="1"/>
  <c r="AR298" i="1"/>
  <c r="AR227" i="1"/>
  <c r="AR237" i="1"/>
  <c r="AR57" i="1"/>
  <c r="AR285" i="1"/>
  <c r="AR21" i="1"/>
  <c r="AR640" i="1"/>
  <c r="AR585" i="1"/>
  <c r="AR58" i="1"/>
  <c r="AR238" i="1"/>
  <c r="AR214" i="1"/>
  <c r="AR167" i="1"/>
  <c r="AR215" i="1"/>
  <c r="AR311" i="1"/>
  <c r="AR44" i="1"/>
  <c r="AR140" i="1"/>
  <c r="AR93" i="1"/>
  <c r="AR177" i="1"/>
  <c r="AR321" i="1"/>
  <c r="AR286" i="1"/>
  <c r="AR419" i="1"/>
  <c r="AR397" i="1"/>
  <c r="AR361" i="1"/>
  <c r="AR623" i="1"/>
  <c r="AR568" i="1"/>
  <c r="AR645" i="1"/>
  <c r="AR633" i="1"/>
  <c r="AR604" i="1"/>
  <c r="AR599" i="1"/>
  <c r="AR707" i="1"/>
  <c r="AR683" i="1"/>
  <c r="AR748" i="1"/>
  <c r="AR556" i="1"/>
  <c r="AR885" i="1"/>
  <c r="AR869" i="1"/>
  <c r="AR857" i="1"/>
  <c r="AR916" i="1"/>
  <c r="AR892" i="1"/>
  <c r="AR940" i="1"/>
  <c r="AR928" i="1"/>
  <c r="AR1120" i="1"/>
  <c r="AR1108" i="1"/>
  <c r="AR1096" i="1"/>
  <c r="AR1088" i="1"/>
  <c r="AR1076" i="1"/>
  <c r="AR1064" i="1"/>
  <c r="AR1024" i="1"/>
  <c r="AR1016" i="1"/>
  <c r="AR1004" i="1"/>
  <c r="AR992" i="1"/>
  <c r="AR1281" i="1"/>
  <c r="AR1269" i="1"/>
  <c r="AR1257" i="1"/>
  <c r="AR1245" i="1"/>
  <c r="AR1300" i="1"/>
  <c r="AR1525" i="1"/>
  <c r="AR1528" i="1"/>
  <c r="AR1536" i="1"/>
  <c r="AR1552" i="1"/>
  <c r="AR1432" i="1"/>
  <c r="AR1478" i="1"/>
  <c r="AR1598" i="1"/>
  <c r="AR1611" i="1"/>
  <c r="AR1623" i="1"/>
  <c r="AR1635" i="1"/>
  <c r="AR1643" i="1"/>
  <c r="AR1647" i="1"/>
  <c r="AR1655" i="1"/>
  <c r="AR1659" i="1"/>
  <c r="AR1671" i="1"/>
  <c r="AR1683" i="1"/>
  <c r="AR1691" i="1"/>
  <c r="AR1695" i="1"/>
  <c r="AR1679" i="1"/>
  <c r="AR1667" i="1"/>
  <c r="AR1631" i="1"/>
  <c r="AR1619" i="1"/>
  <c r="AR1607" i="1"/>
  <c r="AR1595" i="1"/>
  <c r="AR1547" i="1"/>
  <c r="AR1511" i="1"/>
  <c r="AR1451" i="1"/>
  <c r="AR1439" i="1"/>
  <c r="AR1427" i="1"/>
  <c r="AR1403" i="1"/>
  <c r="AR1391" i="1"/>
  <c r="AR1367" i="1"/>
  <c r="AR1307" i="1"/>
  <c r="AR1121" i="1"/>
  <c r="AR1109" i="1"/>
  <c r="AR1097" i="1"/>
  <c r="AR1085" i="1"/>
  <c r="AR1073" i="1"/>
  <c r="AR1061" i="1"/>
  <c r="AR1049" i="1"/>
  <c r="AR1037" i="1"/>
  <c r="AR1025" i="1"/>
  <c r="AR1013" i="1"/>
  <c r="AR1001" i="1"/>
  <c r="AR989" i="1"/>
  <c r="AR878" i="1"/>
  <c r="AR866" i="1"/>
  <c r="AR818" i="1"/>
  <c r="AR659" i="1"/>
  <c r="AR608" i="1"/>
  <c r="AR560" i="1"/>
  <c r="AR464" i="1"/>
  <c r="AR368" i="1"/>
  <c r="AR356" i="1"/>
  <c r="AR284" i="1"/>
  <c r="AR200" i="1"/>
  <c r="AR137" i="1"/>
  <c r="AR125" i="1"/>
  <c r="AR77" i="1"/>
  <c r="AR29" i="1"/>
  <c r="AR1549" i="1"/>
  <c r="AR1501" i="1"/>
  <c r="AR1477" i="1"/>
  <c r="AR1441" i="1"/>
  <c r="AR1405" i="1"/>
  <c r="AR1345" i="1"/>
  <c r="AR1297" i="1"/>
  <c r="AR1237" i="1"/>
  <c r="AR1225" i="1"/>
  <c r="AR1213" i="1"/>
  <c r="AR1129" i="1"/>
  <c r="AR1117" i="1"/>
  <c r="AR1105" i="1"/>
  <c r="AR1093" i="1"/>
  <c r="AR1081" i="1"/>
  <c r="AR1069" i="1"/>
  <c r="AR1057" i="1"/>
  <c r="AR1045" i="1"/>
  <c r="AR1033" i="1"/>
  <c r="AR1021" i="1"/>
  <c r="AR1009" i="1"/>
  <c r="AR997" i="1"/>
  <c r="AR985" i="1"/>
  <c r="AR961" i="1"/>
  <c r="AR949" i="1"/>
  <c r="AR937" i="1"/>
  <c r="AR925" i="1"/>
  <c r="AR913" i="1"/>
  <c r="AR901" i="1"/>
  <c r="AR889" i="1"/>
  <c r="AR877" i="1"/>
  <c r="AR817" i="1"/>
  <c r="AR757" i="1"/>
  <c r="AR745" i="1"/>
  <c r="AR733" i="1"/>
  <c r="AR697" i="1"/>
  <c r="AR649" i="1"/>
  <c r="AR613" i="1"/>
  <c r="AR601" i="1"/>
  <c r="AR589" i="1"/>
  <c r="AR553" i="1"/>
  <c r="AR541" i="1"/>
  <c r="AR529" i="1"/>
  <c r="AR382" i="1"/>
  <c r="AR307" i="1"/>
  <c r="AR259" i="1"/>
  <c r="AR247" i="1"/>
  <c r="AR211" i="1"/>
  <c r="AR115" i="1"/>
  <c r="AR103" i="1"/>
  <c r="AR67" i="1"/>
  <c r="AR1692" i="1"/>
  <c r="AR1680" i="1"/>
  <c r="AR1668" i="1"/>
  <c r="AR1656" i="1"/>
  <c r="AR1644" i="1"/>
  <c r="AR1632" i="1"/>
  <c r="AR1620" i="1"/>
  <c r="AR1584" i="1"/>
  <c r="AR1572" i="1"/>
  <c r="AR1560" i="1"/>
  <c r="AR1545" i="1"/>
  <c r="AR1533" i="1"/>
  <c r="AR1521" i="1"/>
  <c r="AR1509" i="1"/>
  <c r="AR1449" i="1"/>
  <c r="AR1398" i="1"/>
  <c r="AR1326" i="1"/>
  <c r="AR1290" i="1"/>
  <c r="AR1278" i="1"/>
  <c r="AR1266" i="1"/>
  <c r="AR1254" i="1"/>
  <c r="AR1242" i="1"/>
  <c r="AR1230" i="1"/>
  <c r="AR1218" i="1"/>
  <c r="AR1206" i="1"/>
  <c r="AR1194" i="1"/>
  <c r="AR882" i="1"/>
  <c r="AR870" i="1"/>
  <c r="AR858" i="1"/>
  <c r="AR822" i="1"/>
  <c r="AR810" i="1"/>
  <c r="AR798" i="1"/>
  <c r="AR786" i="1"/>
  <c r="AR774" i="1"/>
  <c r="AR678" i="1"/>
  <c r="AR594" i="1"/>
  <c r="AR582" i="1"/>
  <c r="AR522" i="1"/>
  <c r="AR450" i="1"/>
  <c r="AR438" i="1"/>
  <c r="AR378" i="1"/>
  <c r="AR222" i="1"/>
  <c r="AR186" i="1"/>
  <c r="AR150" i="1"/>
  <c r="AR30" i="1"/>
  <c r="AR18" i="1"/>
  <c r="AR1738" i="1"/>
  <c r="AN1750" i="1"/>
  <c r="AN1752" i="1"/>
  <c r="AN1779" i="1"/>
  <c r="AN1783" i="1"/>
  <c r="AN1787" i="1"/>
  <c r="AN1791" i="1"/>
  <c r="AN1795" i="1"/>
  <c r="AN1799" i="1"/>
  <c r="AN1803" i="1"/>
  <c r="AN1807" i="1"/>
  <c r="AN1811" i="1"/>
  <c r="AN1816" i="1"/>
  <c r="AN1820" i="1"/>
  <c r="AN1825" i="1"/>
  <c r="AN1829" i="1"/>
  <c r="AN1833" i="1"/>
  <c r="AN1837" i="1"/>
  <c r="AN1841" i="1"/>
  <c r="AR163" i="1"/>
  <c r="AR275" i="1"/>
  <c r="AR105" i="1"/>
  <c r="AR493" i="1"/>
  <c r="AR478" i="1"/>
  <c r="AR575" i="1"/>
  <c r="AR644" i="1"/>
  <c r="AR620" i="1"/>
  <c r="AR545" i="1"/>
  <c r="AR82" i="1"/>
  <c r="AR250" i="1"/>
  <c r="AR46" i="1"/>
  <c r="AR174" i="1"/>
  <c r="AR55" i="1"/>
  <c r="AR151" i="1"/>
  <c r="AR199" i="1"/>
  <c r="AR263" i="1"/>
  <c r="AR295" i="1"/>
  <c r="AR92" i="1"/>
  <c r="AR188" i="1"/>
  <c r="AR236" i="1"/>
  <c r="AR45" i="1"/>
  <c r="AR141" i="1"/>
  <c r="AR161" i="1"/>
  <c r="AR273" i="1"/>
  <c r="AR114" i="1"/>
  <c r="AR416" i="1"/>
  <c r="AR404" i="1"/>
  <c r="AR477" i="1"/>
  <c r="AR474" i="1"/>
  <c r="AR417" i="1"/>
  <c r="AR414" i="1"/>
  <c r="AR486" i="1"/>
  <c r="AR479" i="1"/>
  <c r="AR357" i="1"/>
  <c r="AR366" i="1"/>
  <c r="AR371" i="1"/>
  <c r="AR390" i="1"/>
  <c r="AR393" i="1"/>
  <c r="AR394" i="1"/>
  <c r="AR429" i="1"/>
  <c r="AR597" i="1"/>
  <c r="AR647" i="1"/>
  <c r="AR630" i="1"/>
  <c r="AR618" i="1"/>
  <c r="AR632" i="1"/>
  <c r="AR573" i="1"/>
  <c r="AR621" i="1"/>
  <c r="AR525" i="1"/>
  <c r="AR517" i="1"/>
  <c r="AR563" i="1"/>
  <c r="AR549" i="1"/>
  <c r="AR544" i="1"/>
  <c r="AR536" i="1"/>
  <c r="AR671" i="1"/>
  <c r="AR731" i="1"/>
  <c r="AR719" i="1"/>
  <c r="AR760" i="1"/>
  <c r="AR736" i="1"/>
  <c r="AR805" i="1"/>
  <c r="AR801" i="1"/>
  <c r="AR793" i="1"/>
  <c r="AR789" i="1"/>
  <c r="AR781" i="1"/>
  <c r="AR777" i="1"/>
  <c r="AR769" i="1"/>
  <c r="AR765" i="1"/>
  <c r="AR821" i="1"/>
  <c r="AR813" i="1"/>
  <c r="AR809" i="1"/>
  <c r="AR881" i="1"/>
  <c r="AR873" i="1"/>
  <c r="AR865" i="1"/>
  <c r="AR904" i="1"/>
  <c r="AR964" i="1"/>
  <c r="AR952" i="1"/>
  <c r="AR1132" i="1"/>
  <c r="AR1124" i="1"/>
  <c r="AR1112" i="1"/>
  <c r="AR1100" i="1"/>
  <c r="AR1084" i="1"/>
  <c r="AR1072" i="1"/>
  <c r="AR1060" i="1"/>
  <c r="AR1052" i="1"/>
  <c r="AR1048" i="1"/>
  <c r="AR1040" i="1"/>
  <c r="AR1036" i="1"/>
  <c r="AR1028" i="1"/>
  <c r="AR1012" i="1"/>
  <c r="AR1000" i="1"/>
  <c r="AR988" i="1"/>
  <c r="AR1285" i="1"/>
  <c r="AR1277" i="1"/>
  <c r="AR1273" i="1"/>
  <c r="AR1261" i="1"/>
  <c r="AR1253" i="1"/>
  <c r="AR1249" i="1"/>
  <c r="AR1233" i="1"/>
  <c r="AR1221" i="1"/>
  <c r="AR1209" i="1"/>
  <c r="AR1201" i="1"/>
  <c r="AR1197" i="1"/>
  <c r="AR1189" i="1"/>
  <c r="AR1182" i="1"/>
  <c r="AR1170" i="1"/>
  <c r="AR1158" i="1"/>
  <c r="AR1146" i="1"/>
  <c r="AR1134" i="1"/>
  <c r="AR1378" i="1"/>
  <c r="AR1393" i="1"/>
  <c r="AR1394" i="1"/>
  <c r="AR1410" i="1"/>
  <c r="AR1386" i="1"/>
  <c r="AR1418" i="1"/>
  <c r="AR1341" i="1"/>
  <c r="AR1348" i="1"/>
  <c r="AR1353" i="1"/>
  <c r="AR1309" i="1"/>
  <c r="AR1453" i="1"/>
  <c r="AR1523" i="1"/>
  <c r="AR1475" i="1"/>
  <c r="AR1548" i="1"/>
  <c r="AR1465" i="1"/>
  <c r="AR1550" i="1"/>
  <c r="AR1514" i="1"/>
  <c r="AR1485" i="1"/>
  <c r="AR274" i="1"/>
  <c r="AR138" i="1"/>
  <c r="AR202" i="1"/>
  <c r="AR19" i="1"/>
  <c r="AR126" i="1"/>
  <c r="AR190" i="1"/>
  <c r="AR318" i="1"/>
  <c r="AR38" i="1"/>
  <c r="AR102" i="1"/>
  <c r="AR166" i="1"/>
  <c r="AR294" i="1"/>
  <c r="AR43" i="1"/>
  <c r="AR91" i="1"/>
  <c r="AR139" i="1"/>
  <c r="AR187" i="1"/>
  <c r="AR203" i="1"/>
  <c r="AR235" i="1"/>
  <c r="AR251" i="1"/>
  <c r="AR283" i="1"/>
  <c r="AR32" i="1"/>
  <c r="AR80" i="1"/>
  <c r="AR128" i="1"/>
  <c r="AR176" i="1"/>
  <c r="AR224" i="1"/>
  <c r="AR272" i="1"/>
  <c r="AR320" i="1"/>
  <c r="AR33" i="1"/>
  <c r="AR65" i="1"/>
  <c r="AR81" i="1"/>
  <c r="AR113" i="1"/>
  <c r="AR129" i="1"/>
  <c r="AR165" i="1"/>
  <c r="AR213" i="1"/>
  <c r="AR261" i="1"/>
  <c r="AR309" i="1"/>
  <c r="AR226" i="1"/>
  <c r="AR401" i="1"/>
  <c r="AR380" i="1"/>
  <c r="AR476" i="1"/>
  <c r="AR407" i="1"/>
  <c r="AR405" i="1"/>
  <c r="AR430" i="1"/>
  <c r="AR490" i="1"/>
  <c r="AR442" i="1"/>
  <c r="AR452" i="1"/>
  <c r="AR481" i="1"/>
  <c r="AR402" i="1"/>
  <c r="AR466" i="1"/>
  <c r="AR433" i="1"/>
  <c r="AR488" i="1"/>
  <c r="AR358" i="1"/>
  <c r="AR426" i="1"/>
  <c r="AR570" i="1"/>
  <c r="AR606" i="1"/>
  <c r="AR593" i="1"/>
  <c r="AR580" i="1"/>
  <c r="AR611" i="1"/>
  <c r="AR577" i="1"/>
  <c r="AR596" i="1"/>
  <c r="AR584" i="1"/>
  <c r="AR652" i="1"/>
  <c r="AR592" i="1"/>
  <c r="AR637" i="1"/>
  <c r="AR587" i="1"/>
  <c r="AR532" i="1"/>
  <c r="AR524" i="1"/>
  <c r="AR520" i="1"/>
  <c r="AR539" i="1"/>
  <c r="AR666" i="1"/>
  <c r="AR662" i="1"/>
  <c r="AR654" i="1"/>
  <c r="AR726" i="1"/>
  <c r="AR722" i="1"/>
  <c r="AR714" i="1"/>
  <c r="AR710" i="1"/>
  <c r="AR700" i="1"/>
  <c r="AR695" i="1"/>
  <c r="AR690" i="1"/>
  <c r="AR686" i="1"/>
  <c r="AR682" i="1"/>
  <c r="AR674" i="1"/>
  <c r="AR755" i="1"/>
  <c r="AR743" i="1"/>
  <c r="AR796" i="1"/>
  <c r="AR784" i="1"/>
  <c r="AR772" i="1"/>
  <c r="AR764" i="1"/>
  <c r="AR705" i="1"/>
  <c r="AR820" i="1"/>
  <c r="AR808" i="1"/>
  <c r="AR880" i="1"/>
  <c r="AR868" i="1"/>
  <c r="AR854" i="1"/>
  <c r="AR846" i="1"/>
  <c r="AR842" i="1"/>
  <c r="AR834" i="1"/>
  <c r="AR830" i="1"/>
  <c r="AR911" i="1"/>
  <c r="AR959" i="1"/>
  <c r="AR861" i="1"/>
  <c r="AR978" i="1"/>
  <c r="AR966" i="1"/>
  <c r="AR1119" i="1"/>
  <c r="AR1071" i="1"/>
  <c r="AR1023" i="1"/>
  <c r="AR1288" i="1"/>
  <c r="AR1280" i="1"/>
  <c r="AR1276" i="1"/>
  <c r="AR1268" i="1"/>
  <c r="AR1264" i="1"/>
  <c r="AR1256" i="1"/>
  <c r="AR1252" i="1"/>
  <c r="AR1244" i="1"/>
  <c r="AR1240" i="1"/>
  <c r="AR1232" i="1"/>
  <c r="AR1228" i="1"/>
  <c r="AR1220" i="1"/>
  <c r="AR1216" i="1"/>
  <c r="AR1208" i="1"/>
  <c r="AR1204" i="1"/>
  <c r="AR1196" i="1"/>
  <c r="AR1192" i="1"/>
  <c r="AR1185" i="1"/>
  <c r="AR1181" i="1"/>
  <c r="AR1177" i="1"/>
  <c r="AR1165" i="1"/>
  <c r="AR1161" i="1"/>
  <c r="AR1153" i="1"/>
  <c r="AR1149" i="1"/>
  <c r="AR1141" i="1"/>
  <c r="AR1137" i="1"/>
  <c r="AR1376" i="1"/>
  <c r="AR1426" i="1"/>
  <c r="AR1415" i="1"/>
  <c r="AR1382" i="1"/>
  <c r="AR1408" i="1"/>
  <c r="AR1381" i="1"/>
  <c r="AR1413" i="1"/>
  <c r="AR1430" i="1"/>
  <c r="AR1396" i="1"/>
  <c r="AR1429" i="1"/>
  <c r="AR1331" i="1"/>
  <c r="AR1336" i="1"/>
  <c r="AR1360" i="1"/>
  <c r="AR1362" i="1"/>
  <c r="AR1333" i="1"/>
  <c r="AR1298" i="1"/>
  <c r="AR1317" i="1"/>
  <c r="AR1302" i="1"/>
  <c r="AR1304" i="1"/>
  <c r="AR1452" i="1"/>
  <c r="AR1524" i="1"/>
  <c r="AR1448" i="1"/>
  <c r="AR1437" i="1"/>
  <c r="AR1497" i="1"/>
  <c r="AR1537" i="1"/>
  <c r="AR1473" i="1"/>
  <c r="AR1489" i="1"/>
  <c r="AR1499" i="1"/>
  <c r="AR1488" i="1"/>
  <c r="AR1472" i="1"/>
  <c r="AR1492" i="1"/>
  <c r="AR1480" i="1"/>
  <c r="AR1513" i="1"/>
  <c r="AR1540" i="1"/>
  <c r="AR1496" i="1"/>
  <c r="AR1463" i="1"/>
  <c r="AR1454" i="1"/>
  <c r="AR1559" i="1"/>
  <c r="AR1561" i="1"/>
  <c r="AR1563" i="1"/>
  <c r="AR1571" i="1"/>
  <c r="AR1573" i="1"/>
  <c r="AR1575" i="1"/>
  <c r="AR1583" i="1"/>
  <c r="AR1585" i="1"/>
  <c r="AS1595" i="1"/>
  <c r="AR1597" i="1"/>
  <c r="AS1607" i="1"/>
  <c r="AR1610" i="1"/>
  <c r="AR1622" i="1"/>
  <c r="AR1634" i="1"/>
  <c r="AR1642" i="1"/>
  <c r="AR1646" i="1"/>
  <c r="AR1658" i="1"/>
  <c r="AR1670" i="1"/>
  <c r="AR1682" i="1"/>
  <c r="AR1690" i="1"/>
  <c r="AR1694" i="1"/>
  <c r="AR1512" i="1"/>
  <c r="AR1688" i="1"/>
  <c r="AR1676" i="1"/>
  <c r="AR1664" i="1"/>
  <c r="AR1652" i="1"/>
  <c r="AR1640" i="1"/>
  <c r="AR1628" i="1"/>
  <c r="AR1616" i="1"/>
  <c r="AR1580" i="1"/>
  <c r="AR1568" i="1"/>
  <c r="AR1556" i="1"/>
  <c r="AR1544" i="1"/>
  <c r="AR1532" i="1"/>
  <c r="AR1460" i="1"/>
  <c r="AR1424" i="1"/>
  <c r="AR1412" i="1"/>
  <c r="AR1400" i="1"/>
  <c r="AR1388" i="1"/>
  <c r="AR1352" i="1"/>
  <c r="AR1340" i="1"/>
  <c r="AR1328" i="1"/>
  <c r="AR1316" i="1"/>
  <c r="AR1292" i="1"/>
  <c r="AR1265" i="1"/>
  <c r="AR1241" i="1"/>
  <c r="AR1217" i="1"/>
  <c r="AR1205" i="1"/>
  <c r="AR1193" i="1"/>
  <c r="AR1169" i="1"/>
  <c r="AR1157" i="1"/>
  <c r="AR1145" i="1"/>
  <c r="AR1118" i="1"/>
  <c r="AR1070" i="1"/>
  <c r="AR1022" i="1"/>
  <c r="AR974" i="1"/>
  <c r="AR947" i="1"/>
  <c r="AR935" i="1"/>
  <c r="AR923" i="1"/>
  <c r="AR899" i="1"/>
  <c r="AR851" i="1"/>
  <c r="AR839" i="1"/>
  <c r="AR827" i="1"/>
  <c r="AR800" i="1"/>
  <c r="AR788" i="1"/>
  <c r="AR776" i="1"/>
  <c r="AR752" i="1"/>
  <c r="AR740" i="1"/>
  <c r="AR728" i="1"/>
  <c r="AR716" i="1"/>
  <c r="AR704" i="1"/>
  <c r="AR692" i="1"/>
  <c r="AR680" i="1"/>
  <c r="AR668" i="1"/>
  <c r="AR656" i="1"/>
  <c r="AR641" i="1"/>
  <c r="AR629" i="1"/>
  <c r="AR605" i="1"/>
  <c r="AR581" i="1"/>
  <c r="AR569" i="1"/>
  <c r="AR557" i="1"/>
  <c r="AR533" i="1"/>
  <c r="AR521" i="1"/>
  <c r="AR485" i="1"/>
  <c r="AR461" i="1"/>
  <c r="AR449" i="1"/>
  <c r="AR437" i="1"/>
  <c r="AR425" i="1"/>
  <c r="AR389" i="1"/>
  <c r="AR317" i="1"/>
  <c r="AR305" i="1"/>
  <c r="AR293" i="1"/>
  <c r="AR269" i="1"/>
  <c r="AR257" i="1"/>
  <c r="AR245" i="1"/>
  <c r="AR221" i="1"/>
  <c r="AR209" i="1"/>
  <c r="AR197" i="1"/>
  <c r="AR173" i="1"/>
  <c r="AR146" i="1"/>
  <c r="AR134" i="1"/>
  <c r="AR122" i="1"/>
  <c r="AR110" i="1"/>
  <c r="AR98" i="1"/>
  <c r="AR86" i="1"/>
  <c r="AR74" i="1"/>
  <c r="AR62" i="1"/>
  <c r="AR50" i="1"/>
  <c r="AR26" i="1"/>
  <c r="AR1678" i="1"/>
  <c r="AR1666" i="1"/>
  <c r="AR1654" i="1"/>
  <c r="AR1630" i="1"/>
  <c r="AR1618" i="1"/>
  <c r="AR1606" i="1"/>
  <c r="AR1594" i="1"/>
  <c r="AR1582" i="1"/>
  <c r="AR1570" i="1"/>
  <c r="AR1558" i="1"/>
  <c r="AR1534" i="1"/>
  <c r="AR1522" i="1"/>
  <c r="AR1510" i="1"/>
  <c r="AR1498" i="1"/>
  <c r="AR1486" i="1"/>
  <c r="AR1474" i="1"/>
  <c r="AR1414" i="1"/>
  <c r="AR1402" i="1"/>
  <c r="AR1366" i="1"/>
  <c r="AR1354" i="1"/>
  <c r="AR1330" i="1"/>
  <c r="AR1318" i="1"/>
  <c r="AR1306" i="1"/>
  <c r="AR1294" i="1"/>
  <c r="AR1282" i="1"/>
  <c r="AR1270" i="1"/>
  <c r="AR1258" i="1"/>
  <c r="AR1246" i="1"/>
  <c r="AR1234" i="1"/>
  <c r="AR1222" i="1"/>
  <c r="AR1210" i="1"/>
  <c r="AR1198" i="1"/>
  <c r="AR1174" i="1"/>
  <c r="AR1162" i="1"/>
  <c r="AR1150" i="1"/>
  <c r="AR1138" i="1"/>
  <c r="AR1102" i="1"/>
  <c r="AR1054" i="1"/>
  <c r="AR1006" i="1"/>
  <c r="AR982" i="1"/>
  <c r="AR970" i="1"/>
  <c r="AR934" i="1"/>
  <c r="AR910" i="1"/>
  <c r="AR886" i="1"/>
  <c r="AR874" i="1"/>
  <c r="AR862" i="1"/>
  <c r="AR850" i="1"/>
  <c r="AR838" i="1"/>
  <c r="AR826" i="1"/>
  <c r="AR814" i="1"/>
  <c r="AR802" i="1"/>
  <c r="AR790" i="1"/>
  <c r="AR778" i="1"/>
  <c r="AR766" i="1"/>
  <c r="AR742" i="1"/>
  <c r="AR730" i="1"/>
  <c r="AR718" i="1"/>
  <c r="AR706" i="1"/>
  <c r="AR694" i="1"/>
  <c r="AR670" i="1"/>
  <c r="AR658" i="1"/>
  <c r="AR634" i="1"/>
  <c r="AR622" i="1"/>
  <c r="AR610" i="1"/>
  <c r="AR598" i="1"/>
  <c r="AR586" i="1"/>
  <c r="AR574" i="1"/>
  <c r="AR562" i="1"/>
  <c r="AR550" i="1"/>
  <c r="AR526" i="1"/>
  <c r="AR487" i="1"/>
  <c r="AR475" i="1"/>
  <c r="AR463" i="1"/>
  <c r="AR451" i="1"/>
  <c r="AR439" i="1"/>
  <c r="AR427" i="1"/>
  <c r="AR403" i="1"/>
  <c r="AR379" i="1"/>
  <c r="AR367" i="1"/>
  <c r="AR316" i="1"/>
  <c r="AR304" i="1"/>
  <c r="AR280" i="1"/>
  <c r="AR268" i="1"/>
  <c r="AR256" i="1"/>
  <c r="AR232" i="1"/>
  <c r="AR220" i="1"/>
  <c r="AR208" i="1"/>
  <c r="AR184" i="1"/>
  <c r="AR172" i="1"/>
  <c r="AR160" i="1"/>
  <c r="AR136" i="1"/>
  <c r="AR124" i="1"/>
  <c r="AR112" i="1"/>
  <c r="AR88" i="1"/>
  <c r="AR76" i="1"/>
  <c r="AR64" i="1"/>
  <c r="AR40" i="1"/>
  <c r="AR28" i="1"/>
  <c r="AR1689" i="1"/>
  <c r="AR1641" i="1"/>
  <c r="AR1605" i="1"/>
  <c r="AR1593" i="1"/>
  <c r="AR1581" i="1"/>
  <c r="AR1569" i="1"/>
  <c r="AR1557" i="1"/>
  <c r="AR1542" i="1"/>
  <c r="AR1518" i="1"/>
  <c r="AR1494" i="1"/>
  <c r="AR1482" i="1"/>
  <c r="AR1470" i="1"/>
  <c r="AR1458" i="1"/>
  <c r="AR1419" i="1"/>
  <c r="AR1407" i="1"/>
  <c r="AR1395" i="1"/>
  <c r="AR1371" i="1"/>
  <c r="AR1359" i="1"/>
  <c r="AR1347" i="1"/>
  <c r="AR1335" i="1"/>
  <c r="AR1323" i="1"/>
  <c r="AR1311" i="1"/>
  <c r="AR1299" i="1"/>
  <c r="AR1275" i="1"/>
  <c r="AR1227" i="1"/>
  <c r="AR1179" i="1"/>
  <c r="AR1167" i="1"/>
  <c r="AR1155" i="1"/>
  <c r="AR1143" i="1"/>
  <c r="AR1131" i="1"/>
  <c r="AR1107" i="1"/>
  <c r="AR1095" i="1"/>
  <c r="AR1083" i="1"/>
  <c r="AR1059" i="1"/>
  <c r="AR1047" i="1"/>
  <c r="AR1035" i="1"/>
  <c r="AR1011" i="1"/>
  <c r="AR999" i="1"/>
  <c r="AR987" i="1"/>
  <c r="AR975" i="1"/>
  <c r="AR963" i="1"/>
  <c r="AR951" i="1"/>
  <c r="AR939" i="1"/>
  <c r="AR927" i="1"/>
  <c r="AR915" i="1"/>
  <c r="AR903" i="1"/>
  <c r="AR891" i="1"/>
  <c r="AR867" i="1"/>
  <c r="AR855" i="1"/>
  <c r="AR843" i="1"/>
  <c r="AR831" i="1"/>
  <c r="AR795" i="1"/>
  <c r="AR759" i="1"/>
  <c r="AR747" i="1"/>
  <c r="AR735" i="1"/>
  <c r="AR723" i="1"/>
  <c r="AR699" i="1"/>
  <c r="AR687" i="1"/>
  <c r="AR675" i="1"/>
  <c r="AR663" i="1"/>
  <c r="AR651" i="1"/>
  <c r="AR639" i="1"/>
  <c r="AR627" i="1"/>
  <c r="AR615" i="1"/>
  <c r="AR603" i="1"/>
  <c r="AR579" i="1"/>
  <c r="AR567" i="1"/>
  <c r="AR555" i="1"/>
  <c r="AR543" i="1"/>
  <c r="AR483" i="1"/>
  <c r="AR471" i="1"/>
  <c r="AR459" i="1"/>
  <c r="AR435" i="1"/>
  <c r="AR363" i="1"/>
  <c r="AR351" i="1"/>
  <c r="AR327" i="1"/>
  <c r="AR315" i="1"/>
  <c r="AR291" i="1"/>
  <c r="AR279" i="1"/>
  <c r="AR267" i="1"/>
  <c r="AR243" i="1"/>
  <c r="AR231" i="1"/>
  <c r="AR219" i="1"/>
  <c r="AR195" i="1"/>
  <c r="AR183" i="1"/>
  <c r="AR171" i="1"/>
  <c r="AR147" i="1"/>
  <c r="AR135" i="1"/>
  <c r="AR123" i="1"/>
  <c r="AR99" i="1"/>
  <c r="AR87" i="1"/>
  <c r="AR75" i="1"/>
  <c r="AR51" i="1"/>
  <c r="AR39" i="1"/>
  <c r="AR27" i="1"/>
  <c r="AR1709" i="1"/>
  <c r="AR1711" i="1"/>
  <c r="AR1713" i="1"/>
  <c r="AR1715" i="1"/>
  <c r="AR1718" i="1"/>
  <c r="AR1721" i="1"/>
  <c r="AR1724" i="1"/>
  <c r="AR1727" i="1"/>
  <c r="AR1730" i="1"/>
  <c r="AR1733" i="1"/>
  <c r="AR1736" i="1"/>
  <c r="AR1740" i="1"/>
  <c r="AR1744" i="1"/>
  <c r="AN1745" i="1"/>
  <c r="AR1745" i="1"/>
  <c r="AR1746" i="1"/>
  <c r="AR1749" i="1"/>
  <c r="AR1751" i="1"/>
  <c r="AR1754" i="1"/>
  <c r="AR1755" i="1"/>
  <c r="AR1757" i="1"/>
  <c r="AR1759" i="1"/>
  <c r="AR1760" i="1"/>
  <c r="AR1762" i="1"/>
  <c r="AR1763" i="1"/>
  <c r="AR1765" i="1"/>
  <c r="AR1766" i="1"/>
  <c r="AR1768" i="1"/>
  <c r="AR1769" i="1"/>
  <c r="AR1771" i="1"/>
  <c r="AR1772" i="1"/>
  <c r="AR1774" i="1"/>
  <c r="AR1776" i="1"/>
  <c r="AR1778" i="1"/>
  <c r="AN1780" i="1"/>
  <c r="AR1780" i="1"/>
  <c r="AR1782" i="1"/>
  <c r="AN1784" i="1"/>
  <c r="AR1784" i="1"/>
  <c r="AR1786" i="1"/>
  <c r="AN1788" i="1"/>
  <c r="AR1788" i="1"/>
  <c r="AR1790" i="1"/>
  <c r="AN1792" i="1"/>
  <c r="AR1792" i="1"/>
  <c r="AR1794" i="1"/>
  <c r="AN1796" i="1"/>
  <c r="AR1796" i="1"/>
  <c r="AR1798" i="1"/>
  <c r="AN1800" i="1"/>
  <c r="AR1800" i="1"/>
  <c r="AR1802" i="1"/>
  <c r="AN1804" i="1"/>
  <c r="AR1804" i="1"/>
  <c r="AR1806" i="1"/>
  <c r="AN1808" i="1"/>
  <c r="AR1808" i="1"/>
  <c r="AR1810" i="1"/>
  <c r="AN1812" i="1"/>
  <c r="AR1812" i="1"/>
  <c r="AR1814" i="1"/>
  <c r="AN1817" i="1"/>
  <c r="AR1817" i="1"/>
  <c r="AR1819" i="1"/>
  <c r="AN1821" i="1"/>
  <c r="AR1821" i="1"/>
  <c r="AR1824" i="1"/>
  <c r="AN1826" i="1"/>
  <c r="AR1826" i="1"/>
  <c r="AR1828" i="1"/>
  <c r="AN1830" i="1"/>
  <c r="AR1830" i="1"/>
  <c r="AR1832" i="1"/>
  <c r="AN1834" i="1"/>
  <c r="AR1834" i="1"/>
  <c r="AR1836" i="1"/>
  <c r="AN1838" i="1"/>
  <c r="AR1838" i="1"/>
  <c r="AR1840" i="1"/>
  <c r="AN1842" i="1"/>
  <c r="AR1842" i="1"/>
  <c r="AR1844" i="1"/>
  <c r="AR66" i="1"/>
  <c r="AR42" i="1"/>
  <c r="AR234" i="1"/>
  <c r="AR34" i="1"/>
  <c r="AR22" i="1"/>
  <c r="AR198" i="1"/>
  <c r="AR179" i="1"/>
  <c r="AR299" i="1"/>
  <c r="AR56" i="1"/>
  <c r="AR104" i="1"/>
  <c r="AR152" i="1"/>
  <c r="AR248" i="1"/>
  <c r="AR296" i="1"/>
  <c r="AR41" i="1"/>
  <c r="AR89" i="1"/>
  <c r="AR153" i="1"/>
  <c r="AR323" i="1"/>
  <c r="AR301" i="1"/>
  <c r="AR178" i="1"/>
  <c r="AR306" i="1"/>
  <c r="AR443" i="1"/>
  <c r="AR409" i="1"/>
  <c r="AR381" i="1"/>
  <c r="AR413" i="1"/>
  <c r="AR462" i="1"/>
  <c r="AR385" i="1"/>
  <c r="AR411" i="1"/>
  <c r="AR383" i="1"/>
  <c r="AR454" i="1"/>
  <c r="AR473" i="1"/>
  <c r="AR359" i="1"/>
  <c r="AR353" i="1"/>
  <c r="AR355" i="1"/>
  <c r="AR354" i="1"/>
  <c r="AR391" i="1"/>
  <c r="AR428" i="1"/>
  <c r="AR210" i="1"/>
  <c r="AR258" i="1"/>
  <c r="AR31" i="1"/>
  <c r="AR90" i="1"/>
  <c r="AR154" i="1"/>
  <c r="AR282" i="1"/>
  <c r="AR78" i="1"/>
  <c r="AR142" i="1"/>
  <c r="AR270" i="1"/>
  <c r="AR17" i="1"/>
  <c r="AR54" i="1"/>
  <c r="AR118" i="1"/>
  <c r="AR246" i="1"/>
  <c r="AR310" i="1"/>
  <c r="AR63" i="1"/>
  <c r="AR79" i="1"/>
  <c r="AR95" i="1"/>
  <c r="AR111" i="1"/>
  <c r="AR127" i="1"/>
  <c r="AR143" i="1"/>
  <c r="AR159" i="1"/>
  <c r="AR175" i="1"/>
  <c r="AR191" i="1"/>
  <c r="AR207" i="1"/>
  <c r="AR223" i="1"/>
  <c r="AR239" i="1"/>
  <c r="AR255" i="1"/>
  <c r="AR271" i="1"/>
  <c r="AR287" i="1"/>
  <c r="AR303" i="1"/>
  <c r="AR319" i="1"/>
  <c r="AR20" i="1"/>
  <c r="AR36" i="1"/>
  <c r="AR52" i="1"/>
  <c r="AR68" i="1"/>
  <c r="AR84" i="1"/>
  <c r="AR100" i="1"/>
  <c r="AR116" i="1"/>
  <c r="AR148" i="1"/>
  <c r="AR164" i="1"/>
  <c r="AR196" i="1"/>
  <c r="AR212" i="1"/>
  <c r="AR228" i="1"/>
  <c r="AR244" i="1"/>
  <c r="AR260" i="1"/>
  <c r="AR276" i="1"/>
  <c r="AR292" i="1"/>
  <c r="AR308" i="1"/>
  <c r="AR53" i="1"/>
  <c r="AR69" i="1"/>
  <c r="AR101" i="1"/>
  <c r="AR117" i="1"/>
  <c r="AR149" i="1"/>
  <c r="AR169" i="1"/>
  <c r="AR185" i="1"/>
  <c r="AR201" i="1"/>
  <c r="AR233" i="1"/>
  <c r="AR249" i="1"/>
  <c r="AR281" i="1"/>
  <c r="AR297" i="1"/>
  <c r="AR322" i="1"/>
  <c r="AR162" i="1"/>
  <c r="AR130" i="1"/>
  <c r="AR431" i="1"/>
  <c r="AR441" i="1"/>
  <c r="AR387" i="1"/>
  <c r="AR395" i="1"/>
  <c r="AR421" i="1"/>
  <c r="AR491" i="1"/>
  <c r="AR455" i="1"/>
  <c r="AR399" i="1"/>
  <c r="AR457" i="1"/>
  <c r="AR377" i="1"/>
  <c r="AR447" i="1"/>
  <c r="AR453" i="1"/>
  <c r="AR489" i="1"/>
  <c r="AR469" i="1"/>
  <c r="AR375" i="1"/>
  <c r="AR406" i="1"/>
  <c r="AR440" i="1"/>
  <c r="AR467" i="1"/>
  <c r="AR369" i="1"/>
  <c r="AR370" i="1"/>
  <c r="AR365" i="1"/>
  <c r="AR347" i="1"/>
  <c r="AR349" i="1"/>
  <c r="AR373" i="1"/>
  <c r="AR423" i="1"/>
  <c r="AR392" i="1"/>
  <c r="AR424" i="1"/>
  <c r="AR495" i="1"/>
  <c r="AR616" i="1"/>
  <c r="AR628" i="1"/>
  <c r="AR642" i="1"/>
  <c r="AR646" i="1"/>
  <c r="AR591" i="1"/>
  <c r="AR572" i="1"/>
  <c r="AR609" i="1"/>
  <c r="AR635" i="1"/>
  <c r="AR617" i="1"/>
  <c r="AR625" i="1"/>
  <c r="AR531" i="1"/>
  <c r="AR527" i="1"/>
  <c r="AR519" i="1"/>
  <c r="AR515" i="1"/>
  <c r="AR561" i="1"/>
  <c r="AR551" i="1"/>
  <c r="AR546" i="1"/>
  <c r="AR542" i="1"/>
  <c r="AR538" i="1"/>
  <c r="AR534" i="1"/>
  <c r="AR548" i="1"/>
  <c r="AR669" i="1"/>
  <c r="AR661" i="1"/>
  <c r="AR657" i="1"/>
  <c r="AR729" i="1"/>
  <c r="AR721" i="1"/>
  <c r="AR717" i="1"/>
  <c r="AR713" i="1"/>
  <c r="AR709" i="1"/>
  <c r="AR698" i="1"/>
  <c r="AR689" i="1"/>
  <c r="AR685" i="1"/>
  <c r="AR681" i="1"/>
  <c r="AR673" i="1"/>
  <c r="AR762" i="1"/>
  <c r="AR758" i="1"/>
  <c r="AR754" i="1"/>
  <c r="AR750" i="1"/>
  <c r="AR738" i="1"/>
  <c r="AR734" i="1"/>
  <c r="AR803" i="1"/>
  <c r="AR791" i="1"/>
  <c r="AR783" i="1"/>
  <c r="AR779" i="1"/>
  <c r="AR775" i="1"/>
  <c r="AR771" i="1"/>
  <c r="AR767" i="1"/>
  <c r="AR702" i="1"/>
  <c r="AR558" i="1"/>
  <c r="AR823" i="1"/>
  <c r="AR819" i="1"/>
  <c r="AR815" i="1"/>
  <c r="AR807" i="1"/>
  <c r="AR887" i="1"/>
  <c r="AR879" i="1"/>
  <c r="AR875" i="1"/>
  <c r="AR871" i="1"/>
  <c r="AR863" i="1"/>
  <c r="AR853" i="1"/>
  <c r="AR849" i="1"/>
  <c r="AR845" i="1"/>
  <c r="AR841" i="1"/>
  <c r="AR837" i="1"/>
  <c r="AR833" i="1"/>
  <c r="AR829" i="1"/>
  <c r="AR825" i="1"/>
  <c r="AR918" i="1"/>
  <c r="AR914" i="1"/>
  <c r="AR906" i="1"/>
  <c r="AR902" i="1"/>
  <c r="AR898" i="1"/>
  <c r="AR894" i="1"/>
  <c r="AR890" i="1"/>
  <c r="AR962" i="1"/>
  <c r="AR958" i="1"/>
  <c r="AR954" i="1"/>
  <c r="AR950" i="1"/>
  <c r="AR946" i="1"/>
  <c r="AR942" i="1"/>
  <c r="AR938" i="1"/>
  <c r="AR930" i="1"/>
  <c r="AR926" i="1"/>
  <c r="AR922" i="1"/>
  <c r="AR981" i="1"/>
  <c r="AR977" i="1"/>
  <c r="AR973" i="1"/>
  <c r="AR969" i="1"/>
  <c r="AR1130" i="1"/>
  <c r="AR1126" i="1"/>
  <c r="AR1122" i="1"/>
  <c r="AR1114" i="1"/>
  <c r="AR1110" i="1"/>
  <c r="AR1106" i="1"/>
  <c r="AR1098" i="1"/>
  <c r="AR1094" i="1"/>
  <c r="AR1090" i="1"/>
  <c r="AR1086" i="1"/>
  <c r="AR1082" i="1"/>
  <c r="AR1078" i="1"/>
  <c r="AR1074" i="1"/>
  <c r="AR1066" i="1"/>
  <c r="AR1062" i="1"/>
  <c r="AR1058" i="1"/>
  <c r="AR1050" i="1"/>
  <c r="AR1046" i="1"/>
  <c r="AR1042" i="1"/>
  <c r="AR1038" i="1"/>
  <c r="AR1034" i="1"/>
  <c r="AR1030" i="1"/>
  <c r="AR1026" i="1"/>
  <c r="AR1018" i="1"/>
  <c r="AR1014" i="1"/>
  <c r="AR1010" i="1"/>
  <c r="AR1002" i="1"/>
  <c r="AR998" i="1"/>
  <c r="AR994" i="1"/>
  <c r="AR990" i="1"/>
  <c r="AR986" i="1"/>
  <c r="AR1287" i="1"/>
  <c r="AR1283" i="1"/>
  <c r="AR1271" i="1"/>
  <c r="AR1263" i="1"/>
  <c r="AR1259" i="1"/>
  <c r="AR1255" i="1"/>
  <c r="AR1251" i="1"/>
  <c r="AR1247" i="1"/>
  <c r="AR1239" i="1"/>
  <c r="AR1235" i="1"/>
  <c r="AR1223" i="1"/>
  <c r="AR1215" i="1"/>
  <c r="AR1211" i="1"/>
  <c r="AR1207" i="1"/>
  <c r="AR1203" i="1"/>
  <c r="AR1199" i="1"/>
  <c r="AR1191" i="1"/>
  <c r="AR1184" i="1"/>
  <c r="AR1180" i="1"/>
  <c r="AR1172" i="1"/>
  <c r="AR1168" i="1"/>
  <c r="AR1160" i="1"/>
  <c r="AR1156" i="1"/>
  <c r="AR1148" i="1"/>
  <c r="AR1144" i="1"/>
  <c r="AR1140" i="1"/>
  <c r="AR1136" i="1"/>
  <c r="AR1186" i="1"/>
  <c r="AR1187" i="1"/>
  <c r="AR1374" i="1"/>
  <c r="AR1384" i="1"/>
  <c r="AR1380" i="1"/>
  <c r="AR1383" i="1"/>
  <c r="AR1379" i="1"/>
  <c r="AR1401" i="1"/>
  <c r="AR1417" i="1"/>
  <c r="AR1390" i="1"/>
  <c r="AR1406" i="1"/>
  <c r="AR1422" i="1"/>
  <c r="AR1350" i="1"/>
  <c r="AR1342" i="1"/>
  <c r="AR1355" i="1"/>
  <c r="AR1357" i="1"/>
  <c r="AR1338" i="1"/>
  <c r="AR1370" i="1"/>
  <c r="AR1329" i="1"/>
  <c r="AR1364" i="1"/>
  <c r="AR1369" i="1"/>
  <c r="AR1334" i="1"/>
  <c r="AR1310" i="1"/>
  <c r="AR1321" i="1"/>
  <c r="AR1295" i="1"/>
  <c r="AR1293" i="1"/>
  <c r="AR1314" i="1"/>
  <c r="AR1312" i="1"/>
  <c r="AR1319" i="1"/>
  <c r="AR1541" i="1"/>
  <c r="AR1506" i="1"/>
  <c r="AR1502" i="1"/>
  <c r="AR1434" i="1"/>
  <c r="AR1456" i="1"/>
  <c r="AR1436" i="1"/>
  <c r="AR1487" i="1"/>
  <c r="AR1526" i="1"/>
  <c r="AR1516" i="1"/>
  <c r="AR1546" i="1"/>
  <c r="AR1520" i="1"/>
  <c r="AR1461" i="1"/>
  <c r="AR1508" i="1"/>
  <c r="AR1504" i="1"/>
  <c r="AR1484" i="1"/>
  <c r="AR1466" i="1"/>
  <c r="AR1535" i="1"/>
  <c r="AR1530" i="1"/>
  <c r="AR1444" i="1"/>
  <c r="AR1450" i="1"/>
  <c r="AR1468" i="1"/>
  <c r="AR1503" i="1"/>
  <c r="AR1438" i="1"/>
  <c r="AR1462" i="1"/>
  <c r="AR1446" i="1"/>
  <c r="AR1588" i="1"/>
  <c r="AR1592" i="1"/>
  <c r="AR1596" i="1"/>
  <c r="AS1598" i="1"/>
  <c r="AR1600" i="1"/>
  <c r="AR1604" i="1"/>
  <c r="AR1609" i="1"/>
  <c r="AR1613" i="1"/>
  <c r="AR1617" i="1"/>
  <c r="AR1621" i="1"/>
  <c r="AR1629" i="1"/>
  <c r="AR1633" i="1"/>
  <c r="AR1645" i="1"/>
  <c r="AR1653" i="1"/>
  <c r="AR1657" i="1"/>
  <c r="AR1661" i="1"/>
  <c r="AR1665" i="1"/>
  <c r="AR1669" i="1"/>
  <c r="AR1677" i="1"/>
  <c r="AR1681" i="1"/>
  <c r="AR1693" i="1"/>
  <c r="AR1685" i="1"/>
  <c r="AR1673" i="1"/>
  <c r="AR1649" i="1"/>
  <c r="AR1637" i="1"/>
  <c r="AR1625" i="1"/>
  <c r="AR1601" i="1"/>
  <c r="AR1589" i="1"/>
  <c r="AR1577" i="1"/>
  <c r="AR1565" i="1"/>
  <c r="AR1553" i="1"/>
  <c r="AR1529" i="1"/>
  <c r="AR1517" i="1"/>
  <c r="AR1505" i="1"/>
  <c r="AR1493" i="1"/>
  <c r="AR1481" i="1"/>
  <c r="AR1469" i="1"/>
  <c r="AR1457" i="1"/>
  <c r="AR1445" i="1"/>
  <c r="AR1433" i="1"/>
  <c r="AR1421" i="1"/>
  <c r="AR1409" i="1"/>
  <c r="AR1397" i="1"/>
  <c r="AR1385" i="1"/>
  <c r="AR1373" i="1"/>
  <c r="AR1361" i="1"/>
  <c r="AR1349" i="1"/>
  <c r="AR1337" i="1"/>
  <c r="AR1325" i="1"/>
  <c r="AR1313" i="1"/>
  <c r="AR1301" i="1"/>
  <c r="AR1286" i="1"/>
  <c r="AR1274" i="1"/>
  <c r="AR1262" i="1"/>
  <c r="AR1250" i="1"/>
  <c r="AR1238" i="1"/>
  <c r="AR1226" i="1"/>
  <c r="AR1214" i="1"/>
  <c r="AR1202" i="1"/>
  <c r="AR1190" i="1"/>
  <c r="AR1178" i="1"/>
  <c r="AR1166" i="1"/>
  <c r="AR1154" i="1"/>
  <c r="AR1142" i="1"/>
  <c r="AR1127" i="1"/>
  <c r="AR1115" i="1"/>
  <c r="AR1103" i="1"/>
  <c r="AR1091" i="1"/>
  <c r="AR1079" i="1"/>
  <c r="AR1067" i="1"/>
  <c r="AR1055" i="1"/>
  <c r="AR1043" i="1"/>
  <c r="AR1031" i="1"/>
  <c r="AR1019" i="1"/>
  <c r="AR1007" i="1"/>
  <c r="AR995" i="1"/>
  <c r="AR983" i="1"/>
  <c r="AR971" i="1"/>
  <c r="AR956" i="1"/>
  <c r="AR944" i="1"/>
  <c r="AR932" i="1"/>
  <c r="AR920" i="1"/>
  <c r="AR908" i="1"/>
  <c r="AR896" i="1"/>
  <c r="AR884" i="1"/>
  <c r="AR872" i="1"/>
  <c r="AR860" i="1"/>
  <c r="AR848" i="1"/>
  <c r="AR836" i="1"/>
  <c r="AR824" i="1"/>
  <c r="AR812" i="1"/>
  <c r="AR797" i="1"/>
  <c r="AR785" i="1"/>
  <c r="AR773" i="1"/>
  <c r="AR761" i="1"/>
  <c r="AR749" i="1"/>
  <c r="AR737" i="1"/>
  <c r="AR725" i="1"/>
  <c r="AR701" i="1"/>
  <c r="AR677" i="1"/>
  <c r="AR665" i="1"/>
  <c r="AR650" i="1"/>
  <c r="AR638" i="1"/>
  <c r="AR626" i="1"/>
  <c r="AR614" i="1"/>
  <c r="AR602" i="1"/>
  <c r="AR590" i="1"/>
  <c r="AR578" i="1"/>
  <c r="AR566" i="1"/>
  <c r="AR554" i="1"/>
  <c r="AR530" i="1"/>
  <c r="AR518" i="1"/>
  <c r="AR494" i="1"/>
  <c r="AR482" i="1"/>
  <c r="AR470" i="1"/>
  <c r="AR458" i="1"/>
  <c r="AR446" i="1"/>
  <c r="AR434" i="1"/>
  <c r="AR422" i="1"/>
  <c r="AR410" i="1"/>
  <c r="AR398" i="1"/>
  <c r="AR386" i="1"/>
  <c r="AR374" i="1"/>
  <c r="AR362" i="1"/>
  <c r="AR350" i="1"/>
  <c r="AR326" i="1"/>
  <c r="AR314" i="1"/>
  <c r="AR302" i="1"/>
  <c r="AR290" i="1"/>
  <c r="AR278" i="1"/>
  <c r="AR266" i="1"/>
  <c r="AR254" i="1"/>
  <c r="AR242" i="1"/>
  <c r="AR230" i="1"/>
  <c r="AR218" i="1"/>
  <c r="AR206" i="1"/>
  <c r="AR194" i="1"/>
  <c r="AR182" i="1"/>
  <c r="AR170" i="1"/>
  <c r="AR155" i="1"/>
  <c r="AR131" i="1"/>
  <c r="AR119" i="1"/>
  <c r="AR107" i="1"/>
  <c r="AR83" i="1"/>
  <c r="AR71" i="1"/>
  <c r="AR59" i="1"/>
  <c r="AR47" i="1"/>
  <c r="AR35" i="1"/>
  <c r="AR23" i="1"/>
  <c r="AR1687" i="1"/>
  <c r="AR1675" i="1"/>
  <c r="AR1663" i="1"/>
  <c r="AR1651" i="1"/>
  <c r="AR1639" i="1"/>
  <c r="AR1627" i="1"/>
  <c r="AR1615" i="1"/>
  <c r="AR1603" i="1"/>
  <c r="AR1591" i="1"/>
  <c r="AR1579" i="1"/>
  <c r="AR1567" i="1"/>
  <c r="AR1555" i="1"/>
  <c r="AR1543" i="1"/>
  <c r="AR1531" i="1"/>
  <c r="AR1519" i="1"/>
  <c r="AR1507" i="1"/>
  <c r="AR1495" i="1"/>
  <c r="AR1483" i="1"/>
  <c r="AR1471" i="1"/>
  <c r="AR1459" i="1"/>
  <c r="AR1447" i="1"/>
  <c r="AR1435" i="1"/>
  <c r="AR1423" i="1"/>
  <c r="AR1411" i="1"/>
  <c r="AR1399" i="1"/>
  <c r="AR1387" i="1"/>
  <c r="AR1375" i="1"/>
  <c r="AR1363" i="1"/>
  <c r="AR1351" i="1"/>
  <c r="AR1339" i="1"/>
  <c r="AR1327" i="1"/>
  <c r="AR1315" i="1"/>
  <c r="AR1303" i="1"/>
  <c r="AR1291" i="1"/>
  <c r="AR1279" i="1"/>
  <c r="AR1267" i="1"/>
  <c r="AR1243" i="1"/>
  <c r="AR1231" i="1"/>
  <c r="AR1219" i="1"/>
  <c r="AR1195" i="1"/>
  <c r="AR1183" i="1"/>
  <c r="AR1171" i="1"/>
  <c r="AR1159" i="1"/>
  <c r="AR1147" i="1"/>
  <c r="AR1135" i="1"/>
  <c r="AR1123" i="1"/>
  <c r="AR1111" i="1"/>
  <c r="AR1099" i="1"/>
  <c r="AR1087" i="1"/>
  <c r="AR1075" i="1"/>
  <c r="AR1063" i="1"/>
  <c r="AR1051" i="1"/>
  <c r="AR1039" i="1"/>
  <c r="AR1027" i="1"/>
  <c r="AR1015" i="1"/>
  <c r="AR1003" i="1"/>
  <c r="AR991" i="1"/>
  <c r="AR979" i="1"/>
  <c r="AR967" i="1"/>
  <c r="AR955" i="1"/>
  <c r="AR943" i="1"/>
  <c r="AR931" i="1"/>
  <c r="AR919" i="1"/>
  <c r="AR907" i="1"/>
  <c r="AR895" i="1"/>
  <c r="AR883" i="1"/>
  <c r="AR859" i="1"/>
  <c r="AR847" i="1"/>
  <c r="AR835" i="1"/>
  <c r="AR811" i="1"/>
  <c r="AR799" i="1"/>
  <c r="AR787" i="1"/>
  <c r="AR763" i="1"/>
  <c r="AR751" i="1"/>
  <c r="AR739" i="1"/>
  <c r="AR727" i="1"/>
  <c r="AR715" i="1"/>
  <c r="AR703" i="1"/>
  <c r="AR691" i="1"/>
  <c r="AR679" i="1"/>
  <c r="AR667" i="1"/>
  <c r="AR655" i="1"/>
  <c r="AR643" i="1"/>
  <c r="AR631" i="1"/>
  <c r="AR619" i="1"/>
  <c r="AR607" i="1"/>
  <c r="AR595" i="1"/>
  <c r="AR583" i="1"/>
  <c r="AR571" i="1"/>
  <c r="AR559" i="1"/>
  <c r="AR535" i="1"/>
  <c r="AR523" i="1"/>
  <c r="AR484" i="1"/>
  <c r="AR472" i="1"/>
  <c r="AR460" i="1"/>
  <c r="AR448" i="1"/>
  <c r="AR436" i="1"/>
  <c r="AR400" i="1"/>
  <c r="AR388" i="1"/>
  <c r="AR376" i="1"/>
  <c r="AR364" i="1"/>
  <c r="AR352" i="1"/>
  <c r="AR325" i="1"/>
  <c r="AR313" i="1"/>
  <c r="AR289" i="1"/>
  <c r="AR277" i="1"/>
  <c r="AR265" i="1"/>
  <c r="AR253" i="1"/>
  <c r="AR241" i="1"/>
  <c r="AR229" i="1"/>
  <c r="AR217" i="1"/>
  <c r="AR205" i="1"/>
  <c r="AR193" i="1"/>
  <c r="AR181" i="1"/>
  <c r="AR145" i="1"/>
  <c r="AR133" i="1"/>
  <c r="AR121" i="1"/>
  <c r="AR109" i="1"/>
  <c r="AR97" i="1"/>
  <c r="AR85" i="1"/>
  <c r="AR73" i="1"/>
  <c r="AR61" i="1"/>
  <c r="AR49" i="1"/>
  <c r="AR37" i="1"/>
  <c r="AR25" i="1"/>
  <c r="AR1686" i="1"/>
  <c r="AR1674" i="1"/>
  <c r="AR1662" i="1"/>
  <c r="AR1650" i="1"/>
  <c r="AR1638" i="1"/>
  <c r="AR1626" i="1"/>
  <c r="AR1614" i="1"/>
  <c r="AR1602" i="1"/>
  <c r="AR1590" i="1"/>
  <c r="AR1578" i="1"/>
  <c r="AR1566" i="1"/>
  <c r="AR1551" i="1"/>
  <c r="AR1539" i="1"/>
  <c r="AR1527" i="1"/>
  <c r="AR1515" i="1"/>
  <c r="AR1491" i="1"/>
  <c r="AR1479" i="1"/>
  <c r="AR1467" i="1"/>
  <c r="AR1455" i="1"/>
  <c r="AR1443" i="1"/>
  <c r="AR1428" i="1"/>
  <c r="AR1416" i="1"/>
  <c r="AR1404" i="1"/>
  <c r="AR1392" i="1"/>
  <c r="AR1368" i="1"/>
  <c r="AR1356" i="1"/>
  <c r="AR1344" i="1"/>
  <c r="AR1332" i="1"/>
  <c r="AR1320" i="1"/>
  <c r="AR1308" i="1"/>
  <c r="AR1296" i="1"/>
  <c r="AR1284" i="1"/>
  <c r="AR1272" i="1"/>
  <c r="AR1260" i="1"/>
  <c r="AR1248" i="1"/>
  <c r="AR1236" i="1"/>
  <c r="AR1224" i="1"/>
  <c r="AR1212" i="1"/>
  <c r="AR1200" i="1"/>
  <c r="AR1188" i="1"/>
  <c r="AR1176" i="1"/>
  <c r="AR1164" i="1"/>
  <c r="AR1152" i="1"/>
  <c r="AR1128" i="1"/>
  <c r="AR1116" i="1"/>
  <c r="AR1104" i="1"/>
  <c r="AR1092" i="1"/>
  <c r="AR1080" i="1"/>
  <c r="AR1068" i="1"/>
  <c r="AR1056" i="1"/>
  <c r="AR1044" i="1"/>
  <c r="AR1032" i="1"/>
  <c r="AR1020" i="1"/>
  <c r="AR1008" i="1"/>
  <c r="AR996" i="1"/>
  <c r="AR984" i="1"/>
  <c r="AR972" i="1"/>
  <c r="AR960" i="1"/>
  <c r="AR948" i="1"/>
  <c r="AR936" i="1"/>
  <c r="AR924" i="1"/>
  <c r="AR912" i="1"/>
  <c r="AR900" i="1"/>
  <c r="AR888" i="1"/>
  <c r="AR876" i="1"/>
  <c r="AR864" i="1"/>
  <c r="AR852" i="1"/>
  <c r="AR840" i="1"/>
  <c r="AR828" i="1"/>
  <c r="AR816" i="1"/>
  <c r="AR804" i="1"/>
  <c r="AR792" i="1"/>
  <c r="AR780" i="1"/>
  <c r="AR768" i="1"/>
  <c r="AR756" i="1"/>
  <c r="AR744" i="1"/>
  <c r="AR732" i="1"/>
  <c r="AR720" i="1"/>
  <c r="AR708" i="1"/>
  <c r="AR696" i="1"/>
  <c r="AR684" i="1"/>
  <c r="AR672" i="1"/>
  <c r="AR660" i="1"/>
  <c r="AR648" i="1"/>
  <c r="AR636" i="1"/>
  <c r="AR624" i="1"/>
  <c r="AR612" i="1"/>
  <c r="AR600" i="1"/>
  <c r="AR588" i="1"/>
  <c r="AR576" i="1"/>
  <c r="AR564" i="1"/>
  <c r="AR552" i="1"/>
  <c r="AR540" i="1"/>
  <c r="AR528" i="1"/>
  <c r="AR516" i="1"/>
  <c r="AR492" i="1"/>
  <c r="AR480" i="1"/>
  <c r="AR468" i="1"/>
  <c r="AR456" i="1"/>
  <c r="AR444" i="1"/>
  <c r="AR432" i="1"/>
  <c r="AR420" i="1"/>
  <c r="AR408" i="1"/>
  <c r="AR396" i="1"/>
  <c r="AR384" i="1"/>
  <c r="AR372" i="1"/>
  <c r="AR360" i="1"/>
  <c r="AR348" i="1"/>
  <c r="AR324" i="1"/>
  <c r="AR312" i="1"/>
  <c r="AR300" i="1"/>
  <c r="AR288" i="1"/>
  <c r="AR264" i="1"/>
  <c r="AR252" i="1"/>
  <c r="AR240" i="1"/>
  <c r="AR216" i="1"/>
  <c r="AR204" i="1"/>
  <c r="AR192" i="1"/>
  <c r="AR180" i="1"/>
  <c r="AR168" i="1"/>
  <c r="AR156" i="1"/>
  <c r="AR144" i="1"/>
  <c r="AR132" i="1"/>
  <c r="AR120" i="1"/>
  <c r="AR108" i="1"/>
  <c r="AR96" i="1"/>
  <c r="AR72" i="1"/>
  <c r="AR60" i="1"/>
  <c r="AR48" i="1"/>
  <c r="AR24" i="1"/>
  <c r="AR1697" i="1"/>
  <c r="AR1698" i="1"/>
  <c r="AR1699" i="1"/>
  <c r="AR1700" i="1"/>
  <c r="AR1701" i="1"/>
  <c r="AR1702" i="1"/>
  <c r="AR1703" i="1"/>
  <c r="AR1704" i="1"/>
  <c r="AR1705" i="1"/>
  <c r="AR1706" i="1"/>
  <c r="AR1707" i="1"/>
  <c r="AR1708" i="1"/>
  <c r="AR1710" i="1"/>
  <c r="AR1712" i="1"/>
  <c r="AR1714" i="1"/>
  <c r="AR1716" i="1"/>
  <c r="AR1717" i="1"/>
  <c r="AR1719" i="1"/>
  <c r="AR1720" i="1"/>
  <c r="AR1722" i="1"/>
  <c r="AR1723" i="1"/>
  <c r="AR1725" i="1"/>
  <c r="AR1726" i="1"/>
  <c r="AR1728" i="1"/>
  <c r="AR1729" i="1"/>
  <c r="AR1731" i="1"/>
  <c r="AR1732" i="1"/>
  <c r="AR1734" i="1"/>
  <c r="AR1735" i="1"/>
  <c r="AR1737" i="1"/>
  <c r="AR1739" i="1"/>
  <c r="AR1743" i="1"/>
  <c r="AR1747" i="1"/>
  <c r="AR1748" i="1"/>
  <c r="AR1750" i="1"/>
  <c r="AR1752" i="1"/>
  <c r="AR1753" i="1"/>
  <c r="AR1756" i="1"/>
  <c r="AR1758" i="1"/>
  <c r="AR1761" i="1"/>
  <c r="AR1764" i="1"/>
  <c r="AR1767" i="1"/>
  <c r="AR1770" i="1"/>
  <c r="AR1773" i="1"/>
  <c r="AR1775" i="1"/>
  <c r="AR1777" i="1"/>
  <c r="AR1779" i="1"/>
  <c r="AS1780" i="1"/>
  <c r="AR1781" i="1"/>
  <c r="AR1783" i="1"/>
  <c r="AS1784" i="1"/>
  <c r="AR1785" i="1"/>
  <c r="AR1787" i="1"/>
  <c r="AS1788" i="1"/>
  <c r="AR1789" i="1"/>
  <c r="AR1791" i="1"/>
  <c r="AS1792" i="1"/>
  <c r="AR1793" i="1"/>
  <c r="AR1795" i="1"/>
  <c r="AS1796" i="1"/>
  <c r="AR1797" i="1"/>
  <c r="AR1799" i="1"/>
  <c r="AS1800" i="1"/>
  <c r="AR1801" i="1"/>
  <c r="AR1803" i="1"/>
  <c r="AR1805" i="1"/>
  <c r="AR1807" i="1"/>
  <c r="AR1809" i="1"/>
  <c r="AR1811" i="1"/>
  <c r="AR1813" i="1"/>
  <c r="AR1816" i="1"/>
  <c r="AR1818" i="1"/>
  <c r="AR1820" i="1"/>
  <c r="AR1823" i="1"/>
  <c r="AR1825" i="1"/>
  <c r="AR1827" i="1"/>
  <c r="AR1829" i="1"/>
  <c r="AR1831" i="1"/>
  <c r="AR1833" i="1"/>
  <c r="AR1835" i="1"/>
  <c r="AR1837" i="1"/>
  <c r="AR1839" i="1"/>
  <c r="AR1841" i="1"/>
  <c r="AR1843" i="1"/>
  <c r="AS1697" i="1"/>
  <c r="AS1700" i="1"/>
  <c r="AS1703" i="1"/>
  <c r="AS1705" i="1"/>
  <c r="AS1708" i="1"/>
  <c r="AS1711" i="1"/>
  <c r="AS1714" i="1"/>
  <c r="AN1710" i="1"/>
  <c r="AS1710" i="1"/>
  <c r="AN1713" i="1"/>
  <c r="AS1713" i="1"/>
  <c r="AN1716" i="1"/>
  <c r="AS1716" i="1"/>
  <c r="AN1719" i="1"/>
  <c r="AS1719" i="1"/>
  <c r="AN1698" i="1"/>
  <c r="AS1698" i="1"/>
  <c r="AN1704" i="1"/>
  <c r="AS1704" i="1"/>
  <c r="AN1706" i="1"/>
  <c r="AS1706" i="1"/>
  <c r="AN1701" i="1"/>
  <c r="AS1701" i="1"/>
  <c r="AN1725" i="1"/>
  <c r="AS1725" i="1"/>
  <c r="AN1728" i="1"/>
  <c r="AS1728" i="1"/>
  <c r="AO1697" i="1"/>
  <c r="AM1697" i="1"/>
  <c r="AO1700" i="1"/>
  <c r="AM1700" i="1"/>
  <c r="AO1703" i="1"/>
  <c r="AM1703" i="1"/>
  <c r="AO1705" i="1"/>
  <c r="AM1705" i="1"/>
  <c r="AO1708" i="1"/>
  <c r="AM1708" i="1"/>
  <c r="AO1711" i="1"/>
  <c r="AM1711" i="1"/>
  <c r="AO1714" i="1"/>
  <c r="AM1714" i="1"/>
  <c r="AO1717" i="1"/>
  <c r="AM1717" i="1"/>
  <c r="AO1720" i="1"/>
  <c r="AM1720" i="1"/>
  <c r="AO1723" i="1"/>
  <c r="AM1723" i="1"/>
  <c r="AO1726" i="1"/>
  <c r="AM1726" i="1"/>
  <c r="AO1729" i="1"/>
  <c r="AM1729" i="1"/>
  <c r="AO1732" i="1"/>
  <c r="AM1732" i="1"/>
  <c r="AO1735" i="1"/>
  <c r="AM1735" i="1"/>
  <c r="AO1738" i="1"/>
  <c r="AM1738" i="1"/>
  <c r="AO1743" i="1"/>
  <c r="AM1743" i="1"/>
  <c r="AO1746" i="1"/>
  <c r="AM1746" i="1"/>
  <c r="AO1748" i="1"/>
  <c r="AM1748" i="1"/>
  <c r="AO1753" i="1"/>
  <c r="AM1753" i="1"/>
  <c r="AO1755" i="1"/>
  <c r="AM1755" i="1"/>
  <c r="AO1760" i="1"/>
  <c r="AM1760" i="1"/>
  <c r="AO1763" i="1"/>
  <c r="AM1763" i="1"/>
  <c r="AO1766" i="1"/>
  <c r="AM1766" i="1"/>
  <c r="AO1769" i="1"/>
  <c r="AM1769" i="1"/>
  <c r="AO1772" i="1"/>
  <c r="AM1772" i="1"/>
  <c r="AO1775" i="1"/>
  <c r="AM1775" i="1"/>
  <c r="AO1778" i="1"/>
  <c r="AM1778" i="1"/>
  <c r="AN1697" i="1"/>
  <c r="AO1699" i="1"/>
  <c r="AM1699" i="1"/>
  <c r="AN1700" i="1"/>
  <c r="AO1702" i="1"/>
  <c r="AM1702" i="1"/>
  <c r="AN1703" i="1"/>
  <c r="AN1705" i="1"/>
  <c r="AO1707" i="1"/>
  <c r="AM1707" i="1"/>
  <c r="AN1708" i="1"/>
  <c r="AO1709" i="1"/>
  <c r="AM1709" i="1"/>
  <c r="AN1711" i="1"/>
  <c r="AO1712" i="1"/>
  <c r="AM1712" i="1"/>
  <c r="AN1714" i="1"/>
  <c r="AO1715" i="1"/>
  <c r="AM1715" i="1"/>
  <c r="AN1717" i="1"/>
  <c r="AO1718" i="1"/>
  <c r="AM1718" i="1"/>
  <c r="AN1720" i="1"/>
  <c r="AO1721" i="1"/>
  <c r="AM1721" i="1"/>
  <c r="AN1723" i="1"/>
  <c r="AO1724" i="1"/>
  <c r="AM1724" i="1"/>
  <c r="AN1726" i="1"/>
  <c r="AO1727" i="1"/>
  <c r="AM1727" i="1"/>
  <c r="AN1729" i="1"/>
  <c r="AO1730" i="1"/>
  <c r="AM1730" i="1"/>
  <c r="AN1732" i="1"/>
  <c r="AO1733" i="1"/>
  <c r="AM1733" i="1"/>
  <c r="AN1735" i="1"/>
  <c r="AO1736" i="1"/>
  <c r="AM1736" i="1"/>
  <c r="AN1738" i="1"/>
  <c r="AO1739" i="1"/>
  <c r="AM1739" i="1"/>
  <c r="AN1743" i="1"/>
  <c r="AO1744" i="1"/>
  <c r="AM1744" i="1"/>
  <c r="AN1746" i="1"/>
  <c r="AO1747" i="1"/>
  <c r="AM1747" i="1"/>
  <c r="AN1748" i="1"/>
  <c r="AO1749" i="1"/>
  <c r="AM1749" i="1"/>
  <c r="AO1751" i="1"/>
  <c r="AM1751" i="1"/>
  <c r="AN1753" i="1"/>
  <c r="AO1754" i="1"/>
  <c r="AM1754" i="1"/>
  <c r="AN1755" i="1"/>
  <c r="AO1756" i="1"/>
  <c r="AM1756" i="1"/>
  <c r="AO1758" i="1"/>
  <c r="AM1758" i="1"/>
  <c r="AN1760" i="1"/>
  <c r="AO1761" i="1"/>
  <c r="AM1761" i="1"/>
  <c r="AN1763" i="1"/>
  <c r="AO1764" i="1"/>
  <c r="AM1764" i="1"/>
  <c r="AN1766" i="1"/>
  <c r="AO1767" i="1"/>
  <c r="AM1767" i="1"/>
  <c r="AN1769" i="1"/>
  <c r="AO1770" i="1"/>
  <c r="AM1770" i="1"/>
  <c r="AN1772" i="1"/>
  <c r="AO1773" i="1"/>
  <c r="AM1773" i="1"/>
  <c r="AN1775" i="1"/>
  <c r="AS1775" i="1"/>
  <c r="AO1776" i="1"/>
  <c r="AM1776" i="1"/>
  <c r="AO1698" i="1"/>
  <c r="AM1698" i="1"/>
  <c r="AN1699" i="1"/>
  <c r="AS1699" i="1"/>
  <c r="AO1701" i="1"/>
  <c r="AM1701" i="1"/>
  <c r="AN1702" i="1"/>
  <c r="AS1702" i="1"/>
  <c r="AO1704" i="1"/>
  <c r="AM1704" i="1"/>
  <c r="AO1706" i="1"/>
  <c r="AM1706" i="1"/>
  <c r="AN1707" i="1"/>
  <c r="AS1707" i="1"/>
  <c r="AN1709" i="1"/>
  <c r="AS1709" i="1"/>
  <c r="AO1710" i="1"/>
  <c r="AM1710" i="1"/>
  <c r="AN1712" i="1"/>
  <c r="AS1712" i="1"/>
  <c r="AO1713" i="1"/>
  <c r="AM1713" i="1"/>
  <c r="AN1715" i="1"/>
  <c r="AS1715" i="1"/>
  <c r="AO1716" i="1"/>
  <c r="AM1716" i="1"/>
  <c r="AN1718" i="1"/>
  <c r="AS1718" i="1"/>
  <c r="AO1719" i="1"/>
  <c r="AM1719" i="1"/>
  <c r="AN1721" i="1"/>
  <c r="AS1721" i="1"/>
  <c r="AO1722" i="1"/>
  <c r="AM1722" i="1"/>
  <c r="AN1724" i="1"/>
  <c r="AS1724" i="1"/>
  <c r="AO1725" i="1"/>
  <c r="AM1725" i="1"/>
  <c r="AN1727" i="1"/>
  <c r="AS1727" i="1"/>
  <c r="AO1728" i="1"/>
  <c r="AM1728" i="1"/>
  <c r="AN1730" i="1"/>
  <c r="AS1730" i="1"/>
  <c r="AO1731" i="1"/>
  <c r="AM1731" i="1"/>
  <c r="AN1733" i="1"/>
  <c r="AS1733" i="1"/>
  <c r="AO1734" i="1"/>
  <c r="AM1734" i="1"/>
  <c r="AN1736" i="1"/>
  <c r="AS1736" i="1"/>
  <c r="AO1737" i="1"/>
  <c r="AM1737" i="1"/>
  <c r="AN1739" i="1"/>
  <c r="AS1739" i="1"/>
  <c r="AO1740" i="1"/>
  <c r="AM1740" i="1"/>
  <c r="AN1744" i="1"/>
  <c r="AS1744" i="1"/>
  <c r="AO1745" i="1"/>
  <c r="AM1745" i="1"/>
  <c r="AN1747" i="1"/>
  <c r="AS1747" i="1"/>
  <c r="AN1749" i="1"/>
  <c r="AS1749" i="1"/>
  <c r="AO1750" i="1"/>
  <c r="AM1750" i="1"/>
  <c r="AN1751" i="1"/>
  <c r="AS1751" i="1"/>
  <c r="AO1752" i="1"/>
  <c r="AM1752" i="1"/>
  <c r="AN1754" i="1"/>
  <c r="AS1754" i="1"/>
  <c r="AN1756" i="1"/>
  <c r="AS1756" i="1"/>
  <c r="AO1757" i="1"/>
  <c r="AM1757" i="1"/>
  <c r="AN1758" i="1"/>
  <c r="AS1758" i="1"/>
  <c r="AO1759" i="1"/>
  <c r="AM1759" i="1"/>
  <c r="AN1761" i="1"/>
  <c r="AS1761" i="1"/>
  <c r="AO1762" i="1"/>
  <c r="AM1762" i="1"/>
  <c r="AN1764" i="1"/>
  <c r="AS1764" i="1"/>
  <c r="AO1765" i="1"/>
  <c r="AM1765" i="1"/>
  <c r="AN1767" i="1"/>
  <c r="AS1767" i="1"/>
  <c r="AO1768" i="1"/>
  <c r="AM1768" i="1"/>
  <c r="AN1770" i="1"/>
  <c r="AS1770" i="1"/>
  <c r="AO1771" i="1"/>
  <c r="AM1771" i="1"/>
  <c r="AN1773" i="1"/>
  <c r="AS1773" i="1"/>
  <c r="AO1774" i="1"/>
  <c r="AM1774" i="1"/>
  <c r="AN1776" i="1"/>
  <c r="AS1776" i="1"/>
  <c r="AO1777" i="1"/>
  <c r="AM1777" i="1"/>
  <c r="AO1779" i="1"/>
  <c r="AM1779" i="1"/>
  <c r="AO1780" i="1"/>
  <c r="AM1780" i="1"/>
  <c r="AO1781" i="1"/>
  <c r="AM1781" i="1"/>
  <c r="AO1782" i="1"/>
  <c r="AM1782" i="1"/>
  <c r="AO1783" i="1"/>
  <c r="AM1783" i="1"/>
  <c r="AO1784" i="1"/>
  <c r="AM1784" i="1"/>
  <c r="AO1785" i="1"/>
  <c r="AM1785" i="1"/>
  <c r="AO1786" i="1"/>
  <c r="AM1786" i="1"/>
  <c r="AO1787" i="1"/>
  <c r="AM1787" i="1"/>
  <c r="AO1788" i="1"/>
  <c r="AM1788" i="1"/>
  <c r="AO1789" i="1"/>
  <c r="AM1789" i="1"/>
  <c r="AO1790" i="1"/>
  <c r="AM1790" i="1"/>
  <c r="AO1791" i="1"/>
  <c r="AM1791" i="1"/>
  <c r="AO1792" i="1"/>
  <c r="AM1792" i="1"/>
  <c r="AO1793" i="1"/>
  <c r="AM1793" i="1"/>
  <c r="AO1794" i="1"/>
  <c r="AM1794" i="1"/>
  <c r="AO1795" i="1"/>
  <c r="AM1795" i="1"/>
  <c r="AO1796" i="1"/>
  <c r="AM1796" i="1"/>
  <c r="AO1797" i="1"/>
  <c r="AM1797" i="1"/>
  <c r="AO1798" i="1"/>
  <c r="AM1798" i="1"/>
  <c r="AO1799" i="1"/>
  <c r="AM1799" i="1"/>
  <c r="AO1800" i="1"/>
  <c r="AM1800" i="1"/>
  <c r="AO1801" i="1"/>
  <c r="AM1801" i="1"/>
  <c r="AO1802" i="1"/>
  <c r="AM1802" i="1"/>
  <c r="AO1803" i="1"/>
  <c r="AM1803" i="1"/>
  <c r="AO1804" i="1"/>
  <c r="AM1804" i="1"/>
  <c r="AO1805" i="1"/>
  <c r="AM1805" i="1"/>
  <c r="AO1806" i="1"/>
  <c r="AM1806" i="1"/>
  <c r="AO1807" i="1"/>
  <c r="AM1807" i="1"/>
  <c r="AO1808" i="1"/>
  <c r="AM1808" i="1"/>
  <c r="AO1809" i="1"/>
  <c r="AM1809" i="1"/>
  <c r="AO1810" i="1"/>
  <c r="AM1810" i="1"/>
  <c r="AO1811" i="1"/>
  <c r="AM1811" i="1"/>
  <c r="AO1812" i="1"/>
  <c r="AM1812" i="1"/>
  <c r="AO1813" i="1"/>
  <c r="AM1813" i="1"/>
  <c r="AO1814" i="1"/>
  <c r="AM1814" i="1"/>
  <c r="AO1816" i="1"/>
  <c r="AM1816" i="1"/>
  <c r="AO1817" i="1"/>
  <c r="AM1817" i="1"/>
  <c r="AO1818" i="1"/>
  <c r="AM1818" i="1"/>
  <c r="AO1819" i="1"/>
  <c r="AM1819" i="1"/>
  <c r="AO1820" i="1"/>
  <c r="AM1820" i="1"/>
  <c r="AO1821" i="1"/>
  <c r="AM1821" i="1"/>
  <c r="AO1823" i="1"/>
  <c r="AM1823" i="1"/>
  <c r="AO1824" i="1"/>
  <c r="AM1824" i="1"/>
  <c r="AO1825" i="1"/>
  <c r="AM1825" i="1"/>
  <c r="AO1826" i="1"/>
  <c r="AM1826" i="1"/>
  <c r="AO1827" i="1"/>
  <c r="AM1827" i="1"/>
  <c r="AO1828" i="1"/>
  <c r="AM1828" i="1"/>
  <c r="AO1829" i="1"/>
  <c r="AM1829" i="1"/>
  <c r="AO1830" i="1"/>
  <c r="AM1830" i="1"/>
  <c r="AO1831" i="1"/>
  <c r="AM1831" i="1"/>
  <c r="AO1832" i="1"/>
  <c r="AM1832" i="1"/>
  <c r="AO1833" i="1"/>
  <c r="AM1833" i="1"/>
  <c r="AO1834" i="1"/>
  <c r="AM1834" i="1"/>
  <c r="AO1835" i="1"/>
  <c r="AM1835" i="1"/>
  <c r="AO1836" i="1"/>
  <c r="AM1836" i="1"/>
  <c r="AO1837" i="1"/>
  <c r="AM1837" i="1"/>
  <c r="AO1838" i="1"/>
  <c r="AM1838" i="1"/>
  <c r="AO1839" i="1"/>
  <c r="AM1839" i="1"/>
  <c r="AO1840" i="1"/>
  <c r="AM1840" i="1"/>
  <c r="AO1841" i="1"/>
  <c r="AM1841" i="1"/>
  <c r="AO1842" i="1"/>
  <c r="AM1842" i="1"/>
  <c r="AO1843" i="1"/>
  <c r="AM1843" i="1"/>
  <c r="AO1844" i="1"/>
  <c r="AM1844" i="1"/>
  <c r="AR1587" i="1"/>
  <c r="AR1608" i="1"/>
  <c r="AS1418" i="1"/>
  <c r="AN1555" i="1"/>
  <c r="AN1556" i="1"/>
  <c r="AN1557" i="1"/>
  <c r="AN1558" i="1"/>
  <c r="AN1559" i="1"/>
  <c r="AN1560" i="1"/>
  <c r="AN1561" i="1"/>
  <c r="AN1562" i="1"/>
  <c r="AN1563" i="1"/>
  <c r="AN1564" i="1"/>
  <c r="AN1565" i="1"/>
  <c r="AN1566" i="1"/>
  <c r="AN1567" i="1"/>
  <c r="AN1568" i="1"/>
  <c r="AN1569" i="1"/>
  <c r="AN1570" i="1"/>
  <c r="AN1571" i="1"/>
  <c r="AN1572" i="1"/>
  <c r="AN1573" i="1"/>
  <c r="AN1574" i="1"/>
  <c r="AN1575" i="1"/>
  <c r="AN1576" i="1"/>
  <c r="AN1577" i="1"/>
  <c r="AN1578" i="1"/>
  <c r="AN1579" i="1"/>
  <c r="AN1580" i="1"/>
  <c r="AN1581" i="1"/>
  <c r="AN1582" i="1"/>
  <c r="AN1583" i="1"/>
  <c r="AN1584" i="1"/>
  <c r="AN1585" i="1"/>
  <c r="AN1586" i="1"/>
  <c r="AN1587" i="1"/>
  <c r="AN1588" i="1"/>
  <c r="AN1589" i="1"/>
  <c r="AN1590" i="1"/>
  <c r="AN1591" i="1"/>
  <c r="AN1592" i="1"/>
  <c r="AN1593" i="1"/>
  <c r="AN1594" i="1"/>
  <c r="AN1595" i="1"/>
  <c r="AN1596" i="1"/>
  <c r="AN1597" i="1"/>
  <c r="AN1598" i="1"/>
  <c r="AN1599" i="1"/>
  <c r="AN1600" i="1"/>
  <c r="AN1601" i="1"/>
  <c r="AN1602" i="1"/>
  <c r="AN1603" i="1"/>
  <c r="AN1604" i="1"/>
  <c r="AN1605" i="1"/>
  <c r="AN1606" i="1"/>
  <c r="AN1607" i="1"/>
  <c r="AR746" i="1"/>
  <c r="AS1440" i="1"/>
  <c r="AN1608" i="1"/>
  <c r="AN1609" i="1"/>
  <c r="AN1610" i="1"/>
  <c r="AN1611" i="1"/>
  <c r="AN1612" i="1"/>
  <c r="AN1613" i="1"/>
  <c r="AN1614" i="1"/>
  <c r="AN1615" i="1"/>
  <c r="AN1616" i="1"/>
  <c r="AN1617" i="1"/>
  <c r="AN1618" i="1"/>
  <c r="AN1619" i="1"/>
  <c r="AN1620" i="1"/>
  <c r="AN1621" i="1"/>
  <c r="AN1622" i="1"/>
  <c r="AN1623" i="1"/>
  <c r="AN1624" i="1"/>
  <c r="AN1625" i="1"/>
  <c r="AN1626" i="1"/>
  <c r="AN1627" i="1"/>
  <c r="AN1628" i="1"/>
  <c r="AN1629" i="1"/>
  <c r="AN1630" i="1"/>
  <c r="AN1631" i="1"/>
  <c r="AN1632" i="1"/>
  <c r="AN1633" i="1"/>
  <c r="AN1634" i="1"/>
  <c r="AN1635" i="1"/>
  <c r="AN1636" i="1"/>
  <c r="AN1637" i="1"/>
  <c r="AN1638" i="1"/>
  <c r="AN1639" i="1"/>
  <c r="AN1640" i="1"/>
  <c r="AN1641" i="1"/>
  <c r="AN1642" i="1"/>
  <c r="AN1643" i="1"/>
  <c r="AN1644" i="1"/>
  <c r="AN1645" i="1"/>
  <c r="AN1646" i="1"/>
  <c r="AN1647" i="1"/>
  <c r="AN1648" i="1"/>
  <c r="AN1649" i="1"/>
  <c r="AN1650" i="1"/>
  <c r="AN1651" i="1"/>
  <c r="AN1652" i="1"/>
  <c r="AN1653" i="1"/>
  <c r="AN1654" i="1"/>
  <c r="AN1655" i="1"/>
  <c r="AN1656" i="1"/>
  <c r="AN1657" i="1"/>
  <c r="AN1658" i="1"/>
  <c r="AN1659" i="1"/>
  <c r="AN1660" i="1"/>
  <c r="AN1661" i="1"/>
  <c r="AN1662" i="1"/>
  <c r="AN1663" i="1"/>
  <c r="AN1664" i="1"/>
  <c r="AN1665" i="1"/>
  <c r="AN1666" i="1"/>
  <c r="AN1667" i="1"/>
  <c r="AN1668" i="1"/>
  <c r="AN1669" i="1"/>
  <c r="AN1670" i="1"/>
  <c r="AN1671" i="1"/>
  <c r="AN1672" i="1"/>
  <c r="AN1673" i="1"/>
  <c r="AN1674" i="1"/>
  <c r="AN1675" i="1"/>
  <c r="AN1676" i="1"/>
  <c r="AN1677" i="1"/>
  <c r="AN1678" i="1"/>
  <c r="AN1679" i="1"/>
  <c r="AN1680" i="1"/>
  <c r="AN1681" i="1"/>
  <c r="AN1682" i="1"/>
  <c r="AN1683" i="1"/>
  <c r="AN1684" i="1"/>
  <c r="AN1685" i="1"/>
  <c r="AN1686" i="1"/>
  <c r="AN1687" i="1"/>
  <c r="AN1688" i="1"/>
  <c r="AN1689" i="1"/>
  <c r="AN1690" i="1"/>
  <c r="AN1691" i="1"/>
  <c r="AN1692" i="1"/>
  <c r="AN1693" i="1"/>
  <c r="AN1694" i="1"/>
  <c r="AN1695" i="1"/>
  <c r="AS1330" i="1"/>
  <c r="AS1555" i="1"/>
  <c r="AS1556" i="1"/>
  <c r="AS1557" i="1"/>
  <c r="AS1558" i="1"/>
  <c r="AS1559" i="1"/>
  <c r="AS1560" i="1"/>
  <c r="AS1561" i="1"/>
  <c r="AS1562" i="1"/>
  <c r="AS1563" i="1"/>
  <c r="AS1564" i="1"/>
  <c r="AS1565" i="1"/>
  <c r="AS1566" i="1"/>
  <c r="AS1567" i="1"/>
  <c r="AS1568" i="1"/>
  <c r="AS1569" i="1"/>
  <c r="AS1570" i="1"/>
  <c r="AS1571" i="1"/>
  <c r="AS1572" i="1"/>
  <c r="AS1573" i="1"/>
  <c r="AS1574" i="1"/>
  <c r="AS1575" i="1"/>
  <c r="AS1576" i="1"/>
  <c r="AS1577" i="1"/>
  <c r="AS1578" i="1"/>
  <c r="AS1579" i="1"/>
  <c r="AS1580" i="1"/>
  <c r="AS1581" i="1"/>
  <c r="AS1582" i="1"/>
  <c r="AS1583" i="1"/>
  <c r="AS1584" i="1"/>
  <c r="AS1585" i="1"/>
  <c r="AS1586" i="1"/>
  <c r="AS1374" i="1"/>
  <c r="AS1341" i="1"/>
  <c r="AS1467" i="1"/>
  <c r="AS1512" i="1"/>
  <c r="AN1512" i="1"/>
  <c r="AM1512" i="1"/>
  <c r="AO1512" i="1"/>
  <c r="AS1422" i="1"/>
  <c r="AS1505" i="1"/>
  <c r="AN1505" i="1"/>
  <c r="AM1505" i="1"/>
  <c r="AO1505" i="1"/>
  <c r="AS1308" i="1"/>
  <c r="AS1543" i="1"/>
  <c r="AN1543" i="1"/>
  <c r="AM1543" i="1"/>
  <c r="AO1543" i="1"/>
  <c r="AS1547" i="1"/>
  <c r="AN1547" i="1"/>
  <c r="AM1547" i="1"/>
  <c r="AO1547" i="1"/>
  <c r="AS1551" i="1"/>
  <c r="AN1551" i="1"/>
  <c r="AM1551" i="1"/>
  <c r="AO1551" i="1"/>
  <c r="AM1555" i="1"/>
  <c r="AO1555" i="1"/>
  <c r="AM1556" i="1"/>
  <c r="AO1556" i="1"/>
  <c r="AM1557" i="1"/>
  <c r="AO1557" i="1"/>
  <c r="AO1558" i="1"/>
  <c r="AM1558" i="1"/>
  <c r="AO1559" i="1"/>
  <c r="AM1559" i="1"/>
  <c r="AM1560" i="1"/>
  <c r="AO1560" i="1"/>
  <c r="AO1561" i="1"/>
  <c r="AM1561" i="1"/>
  <c r="AO1562" i="1"/>
  <c r="AM1562" i="1"/>
  <c r="AO1563" i="1"/>
  <c r="AM1563" i="1"/>
  <c r="AM1564" i="1"/>
  <c r="AO1564" i="1"/>
  <c r="AO1565" i="1"/>
  <c r="AM1565" i="1"/>
  <c r="AO1566" i="1"/>
  <c r="AM1566" i="1"/>
  <c r="AM1567" i="1"/>
  <c r="AO1567" i="1"/>
  <c r="AM1568" i="1"/>
  <c r="AO1568" i="1"/>
  <c r="AM1569" i="1"/>
  <c r="AO1569" i="1"/>
  <c r="AO1570" i="1"/>
  <c r="AM1570" i="1"/>
  <c r="AO1571" i="1"/>
  <c r="AM1571" i="1"/>
  <c r="AO1572" i="1"/>
  <c r="AM1572" i="1"/>
  <c r="AM1573" i="1"/>
  <c r="AO1573" i="1"/>
  <c r="AM1574" i="1"/>
  <c r="AO1574" i="1"/>
  <c r="AO1575" i="1"/>
  <c r="AM1575" i="1"/>
  <c r="AM1576" i="1"/>
  <c r="AO1576" i="1"/>
  <c r="AO1577" i="1"/>
  <c r="AM1577" i="1"/>
  <c r="AO1578" i="1"/>
  <c r="AM1578" i="1"/>
  <c r="AO1579" i="1"/>
  <c r="AM1579" i="1"/>
  <c r="AM1580" i="1"/>
  <c r="AO1580" i="1"/>
  <c r="AM1581" i="1"/>
  <c r="AO1581" i="1"/>
  <c r="AO1582" i="1"/>
  <c r="AM1582" i="1"/>
  <c r="AO1583" i="1"/>
  <c r="AM1583" i="1"/>
  <c r="AO1584" i="1"/>
  <c r="AM1584" i="1"/>
  <c r="AM1585" i="1"/>
  <c r="AO1585" i="1"/>
  <c r="AO1586" i="1"/>
  <c r="AM1586" i="1"/>
  <c r="AM1587" i="1"/>
  <c r="AO1587" i="1"/>
  <c r="AO1588" i="1"/>
  <c r="AM1588" i="1"/>
  <c r="AO1589" i="1"/>
  <c r="AM1589" i="1"/>
  <c r="AO1590" i="1"/>
  <c r="AM1590" i="1"/>
  <c r="AO1591" i="1"/>
  <c r="AM1591" i="1"/>
  <c r="AM1592" i="1"/>
  <c r="AO1592" i="1"/>
  <c r="AO1593" i="1"/>
  <c r="AM1593" i="1"/>
  <c r="AO1594" i="1"/>
  <c r="AM1594" i="1"/>
  <c r="AM1595" i="1"/>
  <c r="AO1595" i="1"/>
  <c r="AM1596" i="1"/>
  <c r="AO1596" i="1"/>
  <c r="AO1597" i="1"/>
  <c r="AM1597" i="1"/>
  <c r="AO1598" i="1"/>
  <c r="AM1598" i="1"/>
  <c r="AO1599" i="1"/>
  <c r="AM1599" i="1"/>
  <c r="AM1600" i="1"/>
  <c r="AO1600" i="1"/>
  <c r="AO1601" i="1"/>
  <c r="AM1601" i="1"/>
  <c r="AO1602" i="1"/>
  <c r="AM1602" i="1"/>
  <c r="AM1603" i="1"/>
  <c r="AO1603" i="1"/>
  <c r="AO1604" i="1"/>
  <c r="AM1604" i="1"/>
  <c r="AO1605" i="1"/>
  <c r="AM1605" i="1"/>
  <c r="AO1606" i="1"/>
  <c r="AM1606" i="1"/>
  <c r="AO1607" i="1"/>
  <c r="AM1607" i="1"/>
  <c r="AO1608" i="1"/>
  <c r="AM1608" i="1"/>
  <c r="AO1609" i="1"/>
  <c r="AM1609" i="1"/>
  <c r="AM1610" i="1"/>
  <c r="AO1610" i="1"/>
  <c r="AM1611" i="1"/>
  <c r="AO1611" i="1"/>
  <c r="AO1612" i="1"/>
  <c r="AM1612" i="1"/>
  <c r="AO1613" i="1"/>
  <c r="AM1613" i="1"/>
  <c r="AO1614" i="1"/>
  <c r="AM1614" i="1"/>
  <c r="AM1615" i="1"/>
  <c r="AO1615" i="1"/>
  <c r="AO1616" i="1"/>
  <c r="AM1616" i="1"/>
  <c r="AO1617" i="1"/>
  <c r="AM1617" i="1"/>
  <c r="AM1618" i="1"/>
  <c r="AO1618" i="1"/>
  <c r="AO1619" i="1"/>
  <c r="AM1619" i="1"/>
  <c r="AO1620" i="1"/>
  <c r="AM1620" i="1"/>
  <c r="AO1621" i="1"/>
  <c r="AM1621" i="1"/>
  <c r="AO1622" i="1"/>
  <c r="AM1622" i="1"/>
  <c r="AO1623" i="1"/>
  <c r="AM1623" i="1"/>
  <c r="AO1624" i="1"/>
  <c r="AM1624" i="1"/>
  <c r="AO1625" i="1"/>
  <c r="AM1625" i="1"/>
  <c r="AM1626" i="1"/>
  <c r="AO1626" i="1"/>
  <c r="AO1627" i="1"/>
  <c r="AM1627" i="1"/>
  <c r="AM1628" i="1"/>
  <c r="AO1628" i="1"/>
  <c r="AO1629" i="1"/>
  <c r="AM1629" i="1"/>
  <c r="AO1630" i="1"/>
  <c r="AM1630" i="1"/>
  <c r="AO1631" i="1"/>
  <c r="AM1631" i="1"/>
  <c r="AO1632" i="1"/>
  <c r="AM1632" i="1"/>
  <c r="AO1633" i="1"/>
  <c r="AM1633" i="1"/>
  <c r="AM1634" i="1"/>
  <c r="AO1634" i="1"/>
  <c r="AO1635" i="1"/>
  <c r="AM1635" i="1"/>
  <c r="AO1636" i="1"/>
  <c r="AM1636" i="1"/>
  <c r="AO1637" i="1"/>
  <c r="AM1637" i="1"/>
  <c r="AO1638" i="1"/>
  <c r="AM1638" i="1"/>
  <c r="AO1639" i="1"/>
  <c r="AM1639" i="1"/>
  <c r="AO1640" i="1"/>
  <c r="AM1640" i="1"/>
  <c r="AO1641" i="1"/>
  <c r="AM1641" i="1"/>
  <c r="AM1642" i="1"/>
  <c r="AO1642" i="1"/>
  <c r="AO1643" i="1"/>
  <c r="AM1643" i="1"/>
  <c r="AO1644" i="1"/>
  <c r="AM1644" i="1"/>
  <c r="AO1645" i="1"/>
  <c r="AM1645" i="1"/>
  <c r="AO1646" i="1"/>
  <c r="AM1646" i="1"/>
  <c r="AO1647" i="1"/>
  <c r="AM1647" i="1"/>
  <c r="AO1648" i="1"/>
  <c r="AM1648" i="1"/>
  <c r="AO1649" i="1"/>
  <c r="AM1649" i="1"/>
  <c r="AM1650" i="1"/>
  <c r="AO1650" i="1"/>
  <c r="AM1651" i="1"/>
  <c r="AO1651" i="1"/>
  <c r="AO1652" i="1"/>
  <c r="AM1652" i="1"/>
  <c r="AO1653" i="1"/>
  <c r="AM1653" i="1"/>
  <c r="AO1654" i="1"/>
  <c r="AM1654" i="1"/>
  <c r="AO1655" i="1"/>
  <c r="AM1655" i="1"/>
  <c r="AO1656" i="1"/>
  <c r="AM1656" i="1"/>
  <c r="AO1657" i="1"/>
  <c r="AM1657" i="1"/>
  <c r="AM1658" i="1"/>
  <c r="AO1658" i="1"/>
  <c r="AM1659" i="1"/>
  <c r="AO1659" i="1"/>
  <c r="AO1660" i="1"/>
  <c r="AM1660" i="1"/>
  <c r="AO1661" i="1"/>
  <c r="AM1661" i="1"/>
  <c r="AO1662" i="1"/>
  <c r="AM1662" i="1"/>
  <c r="AO1663" i="1"/>
  <c r="AM1663" i="1"/>
  <c r="AO1664" i="1"/>
  <c r="AM1664" i="1"/>
  <c r="AO1665" i="1"/>
  <c r="AM1665" i="1"/>
  <c r="AM1666" i="1"/>
  <c r="AO1666" i="1"/>
  <c r="AM1667" i="1"/>
  <c r="AO1667" i="1"/>
  <c r="AM1668" i="1"/>
  <c r="AO1668" i="1"/>
  <c r="AO1669" i="1"/>
  <c r="AM1669" i="1"/>
  <c r="AM1670" i="1"/>
  <c r="AO1670" i="1"/>
  <c r="AO1671" i="1"/>
  <c r="AM1671" i="1"/>
  <c r="AO1672" i="1"/>
  <c r="AM1672" i="1"/>
  <c r="AO1673" i="1"/>
  <c r="AM1673" i="1"/>
  <c r="AM1674" i="1"/>
  <c r="AO1674" i="1"/>
  <c r="AM1675" i="1"/>
  <c r="AO1675" i="1"/>
  <c r="AM1676" i="1"/>
  <c r="AO1676" i="1"/>
  <c r="AO1677" i="1"/>
  <c r="AM1677" i="1"/>
  <c r="AM1678" i="1"/>
  <c r="AO1678" i="1"/>
  <c r="AO1679" i="1"/>
  <c r="AM1679" i="1"/>
  <c r="AO1680" i="1"/>
  <c r="AM1680" i="1"/>
  <c r="AO1681" i="1"/>
  <c r="AM1681" i="1"/>
  <c r="AM1682" i="1"/>
  <c r="AO1682" i="1"/>
  <c r="AM1683" i="1"/>
  <c r="AO1683" i="1"/>
  <c r="AM1684" i="1"/>
  <c r="AO1684" i="1"/>
  <c r="AO1685" i="1"/>
  <c r="AM1685" i="1"/>
  <c r="AM1686" i="1"/>
  <c r="AO1686" i="1"/>
  <c r="AM1687" i="1"/>
  <c r="AO1687" i="1"/>
  <c r="AO1688" i="1"/>
  <c r="AM1688" i="1"/>
  <c r="AO1689" i="1"/>
  <c r="AM1689" i="1"/>
  <c r="AM1690" i="1"/>
  <c r="AO1690" i="1"/>
  <c r="AO1691" i="1"/>
  <c r="AM1691" i="1"/>
  <c r="AM1692" i="1"/>
  <c r="AO1692" i="1"/>
  <c r="AM1693" i="1"/>
  <c r="AO1693" i="1"/>
  <c r="AO1694" i="1"/>
  <c r="AM1694" i="1"/>
  <c r="AO1695" i="1"/>
  <c r="AM1695" i="1"/>
  <c r="AN1494" i="1"/>
  <c r="AS1523" i="1"/>
  <c r="AS1459" i="1"/>
  <c r="AS1446" i="1"/>
  <c r="AS1439" i="1"/>
  <c r="AN1508" i="1"/>
  <c r="AS1289" i="1"/>
  <c r="AS1471" i="1"/>
  <c r="AN1470" i="1"/>
  <c r="AS1462" i="1"/>
  <c r="AN1436" i="1"/>
  <c r="AS1539" i="1"/>
  <c r="AN1502" i="1"/>
  <c r="AS1448" i="1"/>
  <c r="AS1495" i="1"/>
  <c r="AN1289" i="1"/>
  <c r="AS806" i="1"/>
  <c r="AS965" i="1"/>
  <c r="AS1133" i="1"/>
  <c r="AS1431" i="1"/>
  <c r="AN806" i="1"/>
  <c r="AM806" i="1"/>
  <c r="AO806" i="1"/>
  <c r="AN965" i="1"/>
  <c r="AM965" i="1"/>
  <c r="AO965" i="1"/>
  <c r="AN1133" i="1"/>
  <c r="AM1133" i="1"/>
  <c r="AO1133" i="1"/>
  <c r="AO1289" i="1"/>
  <c r="AM1289" i="1"/>
  <c r="AM1431" i="1"/>
  <c r="AO1431" i="1"/>
  <c r="AN1431" i="1"/>
  <c r="AN1509" i="1"/>
  <c r="AS1506" i="1"/>
  <c r="AS1525" i="1"/>
  <c r="AS1454" i="1"/>
  <c r="AS1443" i="1"/>
  <c r="AS1516" i="1"/>
  <c r="AN1530" i="1"/>
  <c r="AS1529" i="1"/>
  <c r="AS1513" i="1"/>
  <c r="AS1474" i="1"/>
  <c r="AS1480" i="1"/>
  <c r="AS1508" i="1"/>
  <c r="AN1452" i="1"/>
  <c r="AS1489" i="1"/>
  <c r="AN1518" i="1"/>
  <c r="AS1537" i="1"/>
  <c r="AS1521" i="1"/>
  <c r="AS1432" i="1"/>
  <c r="AS1487" i="1"/>
  <c r="AS1466" i="1"/>
  <c r="AS1546" i="1"/>
  <c r="AS1478" i="1"/>
  <c r="AN1483" i="1"/>
  <c r="AS1511" i="1"/>
  <c r="AN1485" i="1"/>
  <c r="AN1520" i="1"/>
  <c r="AS1532" i="1"/>
  <c r="AS1463" i="1"/>
  <c r="AN1444" i="1"/>
  <c r="AS1464" i="1"/>
  <c r="AN1522" i="1"/>
  <c r="AS1541" i="1"/>
  <c r="AS1455" i="1"/>
  <c r="AS1519" i="1"/>
  <c r="AN1546" i="1"/>
  <c r="AM1432" i="1"/>
  <c r="AO1432" i="1"/>
  <c r="AS1442" i="1"/>
  <c r="AS1465" i="1"/>
  <c r="AN1525" i="1"/>
  <c r="AN1468" i="1"/>
  <c r="AS1486" i="1"/>
  <c r="AN1550" i="1"/>
  <c r="AN1538" i="1"/>
  <c r="AS1545" i="1"/>
  <c r="AS1453" i="1"/>
  <c r="AM1544" i="1"/>
  <c r="AO1544" i="1"/>
  <c r="AN1471" i="1"/>
  <c r="AM1435" i="1"/>
  <c r="AO1435" i="1"/>
  <c r="AM1523" i="1"/>
  <c r="AO1523" i="1"/>
  <c r="AN1524" i="1"/>
  <c r="AN1549" i="1"/>
  <c r="AO1476" i="1"/>
  <c r="AM1476" i="1"/>
  <c r="AS1500" i="1"/>
  <c r="AN1459" i="1"/>
  <c r="AN1455" i="1"/>
  <c r="AM1506" i="1"/>
  <c r="AO1506" i="1"/>
  <c r="AN1499" i="1"/>
  <c r="AN1531" i="1"/>
  <c r="AN1465" i="1"/>
  <c r="AO1525" i="1"/>
  <c r="AM1525" i="1"/>
  <c r="AN1437" i="1"/>
  <c r="AO1484" i="1"/>
  <c r="AM1484" i="1"/>
  <c r="AN1492" i="1"/>
  <c r="AO1457" i="1"/>
  <c r="AM1457" i="1"/>
  <c r="AO1477" i="1"/>
  <c r="AM1477" i="1"/>
  <c r="AN1495" i="1"/>
  <c r="AN1441" i="1"/>
  <c r="AO1499" i="1"/>
  <c r="AM1499" i="1"/>
  <c r="AM1521" i="1"/>
  <c r="AO1521" i="1"/>
  <c r="AM1511" i="1"/>
  <c r="AO1511" i="1"/>
  <c r="AM1507" i="1"/>
  <c r="AO1507" i="1"/>
  <c r="AN1535" i="1"/>
  <c r="AS1528" i="1"/>
  <c r="AS1476" i="1"/>
  <c r="AN1472" i="1"/>
  <c r="AN1519" i="1"/>
  <c r="AS1460" i="1"/>
  <c r="AS1538" i="1"/>
  <c r="AN1553" i="1"/>
  <c r="AS1498" i="1"/>
  <c r="AN1529" i="1"/>
  <c r="AM1487" i="1"/>
  <c r="AO1487" i="1"/>
  <c r="AS1527" i="1"/>
  <c r="AN1528" i="1"/>
  <c r="AN1446" i="1"/>
  <c r="AS1479" i="1"/>
  <c r="AN1460" i="1"/>
  <c r="AN1515" i="1"/>
  <c r="AM1478" i="1"/>
  <c r="AO1478" i="1"/>
  <c r="AM1458" i="1"/>
  <c r="AO1458" i="1"/>
  <c r="AS1437" i="1"/>
  <c r="AM1527" i="1"/>
  <c r="AO1527" i="1"/>
  <c r="AM1442" i="1"/>
  <c r="AO1442" i="1"/>
  <c r="AM1545" i="1"/>
  <c r="AO1545" i="1"/>
  <c r="AO1460" i="1"/>
  <c r="AM1460" i="1"/>
  <c r="AN1480" i="1"/>
  <c r="AN1523" i="1"/>
  <c r="AN1457" i="1"/>
  <c r="AO1517" i="1"/>
  <c r="AM1517" i="1"/>
  <c r="AN1514" i="1"/>
  <c r="AO1508" i="1"/>
  <c r="AM1508" i="1"/>
  <c r="AM1520" i="1"/>
  <c r="AO1520" i="1"/>
  <c r="AO1436" i="1"/>
  <c r="AM1436" i="1"/>
  <c r="AS1526" i="1"/>
  <c r="AN1482" i="1"/>
  <c r="AM1447" i="1"/>
  <c r="AO1447" i="1"/>
  <c r="AN1479" i="1"/>
  <c r="AM1443" i="1"/>
  <c r="AO1443" i="1"/>
  <c r="AM1531" i="1"/>
  <c r="AO1531" i="1"/>
  <c r="AS1552" i="1"/>
  <c r="AM1503" i="1"/>
  <c r="AO1503" i="1"/>
  <c r="AS1488" i="1"/>
  <c r="AS1533" i="1"/>
  <c r="AM1495" i="1"/>
  <c r="AO1495" i="1"/>
  <c r="AS1447" i="1"/>
  <c r="AS1473" i="1"/>
  <c r="AS1435" i="1"/>
  <c r="AS1444" i="1"/>
  <c r="AN1534" i="1"/>
  <c r="AN1450" i="1"/>
  <c r="AM1494" i="1"/>
  <c r="AO1494" i="1"/>
  <c r="AM1490" i="1"/>
  <c r="AO1490" i="1"/>
  <c r="AN1497" i="1"/>
  <c r="AM1462" i="1"/>
  <c r="AO1462" i="1"/>
  <c r="AO1538" i="1"/>
  <c r="AM1538" i="1"/>
  <c r="AN1516" i="1"/>
  <c r="AM1479" i="1"/>
  <c r="AO1479" i="1"/>
  <c r="AN1432" i="1"/>
  <c r="AM1540" i="1"/>
  <c r="AO1540" i="1"/>
  <c r="AM1529" i="1"/>
  <c r="AO1529" i="1"/>
  <c r="AM1536" i="1"/>
  <c r="AO1536" i="1"/>
  <c r="AO1452" i="1"/>
  <c r="AM1452" i="1"/>
  <c r="AN1511" i="1"/>
  <c r="AN1449" i="1"/>
  <c r="AO1444" i="1"/>
  <c r="AM1444" i="1"/>
  <c r="AM1524" i="1"/>
  <c r="AO1524" i="1"/>
  <c r="AS1534" i="1"/>
  <c r="AN1490" i="1"/>
  <c r="AM1455" i="1"/>
  <c r="AO1455" i="1"/>
  <c r="AM1516" i="1"/>
  <c r="AO1516" i="1"/>
  <c r="AS1438" i="1"/>
  <c r="AS1461" i="1"/>
  <c r="AM1485" i="1"/>
  <c r="AO1485" i="1"/>
  <c r="AM1466" i="1"/>
  <c r="AO1466" i="1"/>
  <c r="AS1510" i="1"/>
  <c r="AS1493" i="1"/>
  <c r="AN1544" i="1"/>
  <c r="AS1483" i="1"/>
  <c r="AN1493" i="1"/>
  <c r="AS1524" i="1"/>
  <c r="AM1546" i="1"/>
  <c r="AO1546" i="1"/>
  <c r="AS1468" i="1"/>
  <c r="AS1548" i="1"/>
  <c r="AS1507" i="1"/>
  <c r="AS1501" i="1"/>
  <c r="AS1434" i="1"/>
  <c r="AS1457" i="1"/>
  <c r="AS1499" i="1"/>
  <c r="AN1521" i="1"/>
  <c r="AN1526" i="1"/>
  <c r="AO1518" i="1"/>
  <c r="AM1518" i="1"/>
  <c r="AO1488" i="1"/>
  <c r="AM1488" i="1"/>
  <c r="AS1509" i="1"/>
  <c r="AN1467" i="1"/>
  <c r="AM1535" i="1"/>
  <c r="AO1535" i="1"/>
  <c r="AN1463" i="1"/>
  <c r="AM1515" i="1"/>
  <c r="AO1515" i="1"/>
  <c r="AN1434" i="1"/>
  <c r="AO1473" i="1"/>
  <c r="AM1473" i="1"/>
  <c r="AS1492" i="1"/>
  <c r="AN1451" i="1"/>
  <c r="AM1475" i="1"/>
  <c r="AO1475" i="1"/>
  <c r="AN1462" i="1"/>
  <c r="AS1553" i="1"/>
  <c r="AN1507" i="1"/>
  <c r="AM1471" i="1"/>
  <c r="AO1471" i="1"/>
  <c r="AM1532" i="1"/>
  <c r="AO1532" i="1"/>
  <c r="AM1464" i="1"/>
  <c r="AO1464" i="1"/>
  <c r="AM1528" i="1"/>
  <c r="AO1528" i="1"/>
  <c r="AM1459" i="1"/>
  <c r="AO1459" i="1"/>
  <c r="AM1549" i="1"/>
  <c r="AO1549" i="1"/>
  <c r="AS1469" i="1"/>
  <c r="AN1486" i="1"/>
  <c r="AM1451" i="1"/>
  <c r="AO1451" i="1"/>
  <c r="AM1539" i="1"/>
  <c r="AO1539" i="1"/>
  <c r="AS1544" i="1"/>
  <c r="AN1552" i="1"/>
  <c r="AM1440" i="1"/>
  <c r="AO1440" i="1"/>
  <c r="AN1464" i="1"/>
  <c r="AN1533" i="1"/>
  <c r="AN1454" i="1"/>
  <c r="AN1545" i="1"/>
  <c r="AS1494" i="1"/>
  <c r="AS1490" i="1"/>
  <c r="AS1531" i="1"/>
  <c r="AS1436" i="1"/>
  <c r="AS1514" i="1"/>
  <c r="AN1532" i="1"/>
  <c r="AN1488" i="1"/>
  <c r="AO1453" i="1"/>
  <c r="AM1453" i="1"/>
  <c r="AO1552" i="1"/>
  <c r="AM1552" i="1"/>
  <c r="AN1461" i="1"/>
  <c r="AS1445" i="1"/>
  <c r="AN1506" i="1"/>
  <c r="AM1470" i="1"/>
  <c r="AO1470" i="1"/>
  <c r="AM1450" i="1"/>
  <c r="AO1450" i="1"/>
  <c r="AO1500" i="1"/>
  <c r="AM1500" i="1"/>
  <c r="AO1533" i="1"/>
  <c r="AM1533" i="1"/>
  <c r="AN1445" i="1"/>
  <c r="AM1519" i="1"/>
  <c r="AO1519" i="1"/>
  <c r="AN1447" i="1"/>
  <c r="AM1497" i="1"/>
  <c r="AO1497" i="1"/>
  <c r="AM1472" i="1"/>
  <c r="AO1472" i="1"/>
  <c r="AS1484" i="1"/>
  <c r="AN1443" i="1"/>
  <c r="AM1467" i="1"/>
  <c r="AO1467" i="1"/>
  <c r="AS1542" i="1"/>
  <c r="AN1498" i="1"/>
  <c r="AM1463" i="1"/>
  <c r="AO1463" i="1"/>
  <c r="AM1481" i="1"/>
  <c r="AO1481" i="1"/>
  <c r="AM1493" i="1"/>
  <c r="AO1493" i="1"/>
  <c r="AM1474" i="1"/>
  <c r="AO1474" i="1"/>
  <c r="AN1458" i="1"/>
  <c r="AO1526" i="1"/>
  <c r="AM1526" i="1"/>
  <c r="AO1496" i="1"/>
  <c r="AM1496" i="1"/>
  <c r="AS1450" i="1"/>
  <c r="AM1480" i="1"/>
  <c r="AO1480" i="1"/>
  <c r="AS1535" i="1"/>
  <c r="AM1448" i="1"/>
  <c r="AO1448" i="1"/>
  <c r="AN1487" i="1"/>
  <c r="AN1517" i="1"/>
  <c r="AS1550" i="1"/>
  <c r="AS1449" i="1"/>
  <c r="AN1456" i="1"/>
  <c r="AO1483" i="1"/>
  <c r="AM1483" i="1"/>
  <c r="AN1442" i="1"/>
  <c r="AO1548" i="1"/>
  <c r="AM1548" i="1"/>
  <c r="AN1513" i="1"/>
  <c r="AN1539" i="1"/>
  <c r="AN1473" i="1"/>
  <c r="AO1437" i="1"/>
  <c r="AM1437" i="1"/>
  <c r="AO1468" i="1"/>
  <c r="AM1468" i="1"/>
  <c r="AN1489" i="1"/>
  <c r="AM1454" i="1"/>
  <c r="AO1454" i="1"/>
  <c r="AM1434" i="1"/>
  <c r="AO1434" i="1"/>
  <c r="AM1510" i="1"/>
  <c r="AO1510" i="1"/>
  <c r="AN1439" i="1"/>
  <c r="AM1489" i="1"/>
  <c r="AO1489" i="1"/>
  <c r="AS1477" i="1"/>
  <c r="AN1435" i="1"/>
  <c r="AN1466" i="1"/>
  <c r="AN1496" i="1"/>
  <c r="AO1461" i="1"/>
  <c r="AM1461" i="1"/>
  <c r="AN1469" i="1"/>
  <c r="AM1433" i="1"/>
  <c r="AO1433" i="1"/>
  <c r="AN1510" i="1"/>
  <c r="AS1451" i="1"/>
  <c r="AN1541" i="1"/>
  <c r="AN1476" i="1"/>
  <c r="AS1485" i="1"/>
  <c r="AS1517" i="1"/>
  <c r="AN1537" i="1"/>
  <c r="AN1542" i="1"/>
  <c r="AN1548" i="1"/>
  <c r="AM1537" i="1"/>
  <c r="AO1537" i="1"/>
  <c r="AS1482" i="1"/>
  <c r="AN1501" i="1"/>
  <c r="AM1456" i="1"/>
  <c r="AO1456" i="1"/>
  <c r="AM1502" i="1"/>
  <c r="AO1502" i="1"/>
  <c r="AO1509" i="1"/>
  <c r="AM1509" i="1"/>
  <c r="AM1550" i="1"/>
  <c r="AO1550" i="1"/>
  <c r="AO1530" i="1"/>
  <c r="AM1530" i="1"/>
  <c r="AN1481" i="1"/>
  <c r="AM1446" i="1"/>
  <c r="AO1446" i="1"/>
  <c r="AM1501" i="1"/>
  <c r="AO1501" i="1"/>
  <c r="AO1514" i="1"/>
  <c r="AM1514" i="1"/>
  <c r="AO1534" i="1"/>
  <c r="AM1534" i="1"/>
  <c r="AO1504" i="1"/>
  <c r="AM1504" i="1"/>
  <c r="AN1540" i="1"/>
  <c r="AN1433" i="1"/>
  <c r="AO1491" i="1"/>
  <c r="AM1491" i="1"/>
  <c r="AS1497" i="1"/>
  <c r="AS1540" i="1"/>
  <c r="AS1481" i="1"/>
  <c r="AS1472" i="1"/>
  <c r="AN1438" i="1"/>
  <c r="AN1491" i="1"/>
  <c r="AN1527" i="1"/>
  <c r="AS1520" i="1"/>
  <c r="AS1456" i="1"/>
  <c r="AM1513" i="1"/>
  <c r="AO1513" i="1"/>
  <c r="AN1448" i="1"/>
  <c r="AN1503" i="1"/>
  <c r="AS1502" i="1"/>
  <c r="AS1452" i="1"/>
  <c r="AS1530" i="1"/>
  <c r="AS1470" i="1"/>
  <c r="AN1536" i="1"/>
  <c r="AS1549" i="1"/>
  <c r="AS1518" i="1"/>
  <c r="AN1475" i="1"/>
  <c r="AM1439" i="1"/>
  <c r="AO1439" i="1"/>
  <c r="AM1498" i="1"/>
  <c r="AO1498" i="1"/>
  <c r="AO1445" i="1"/>
  <c r="AM1445" i="1"/>
  <c r="AO1541" i="1"/>
  <c r="AM1541" i="1"/>
  <c r="AN1453" i="1"/>
  <c r="AM1486" i="1"/>
  <c r="AO1486" i="1"/>
  <c r="AN1440" i="1"/>
  <c r="AM1482" i="1"/>
  <c r="AO1482" i="1"/>
  <c r="AO1492" i="1"/>
  <c r="AM1492" i="1"/>
  <c r="AN1500" i="1"/>
  <c r="AO1465" i="1"/>
  <c r="AM1465" i="1"/>
  <c r="AO1553" i="1"/>
  <c r="AM1553" i="1"/>
  <c r="AO1522" i="1"/>
  <c r="AM1522" i="1"/>
  <c r="AN1474" i="1"/>
  <c r="AM1438" i="1"/>
  <c r="AO1438" i="1"/>
  <c r="AO1542" i="1"/>
  <c r="AM1542" i="1"/>
  <c r="AN1484" i="1"/>
  <c r="AO1449" i="1"/>
  <c r="AM1449" i="1"/>
  <c r="AN1504" i="1"/>
  <c r="AO1469" i="1"/>
  <c r="AM1469" i="1"/>
  <c r="AN1477" i="1"/>
  <c r="AM1441" i="1"/>
  <c r="AO1441" i="1"/>
  <c r="AN1478" i="1"/>
  <c r="AS1320" i="1"/>
  <c r="AS1294" i="1"/>
  <c r="AS1307" i="1"/>
  <c r="AS1323" i="1"/>
  <c r="AS1324" i="1"/>
  <c r="AS1304" i="1"/>
  <c r="AS1310" i="1"/>
  <c r="AS1301" i="1"/>
  <c r="AS1316" i="1"/>
  <c r="AN1310" i="1"/>
  <c r="AN1317" i="1"/>
  <c r="AS1317" i="1"/>
  <c r="AS1300" i="1"/>
  <c r="AS1298" i="1"/>
  <c r="AS1309" i="1"/>
  <c r="AS1332" i="1"/>
  <c r="AS1322" i="1"/>
  <c r="AN1316" i="1"/>
  <c r="AS1292" i="1"/>
  <c r="AS1305" i="1"/>
  <c r="AS1314" i="1"/>
  <c r="AS1315" i="1"/>
  <c r="AS1297" i="1"/>
  <c r="AN1294" i="1"/>
  <c r="AN1304" i="1"/>
  <c r="AS1296" i="1"/>
  <c r="AO1305" i="1"/>
  <c r="AM1305" i="1"/>
  <c r="AO1318" i="1"/>
  <c r="AM1318" i="1"/>
  <c r="AO1290" i="1"/>
  <c r="AM1290" i="1"/>
  <c r="AN1295" i="1"/>
  <c r="AN1314" i="1"/>
  <c r="AN1303" i="1"/>
  <c r="AO1311" i="1"/>
  <c r="AM1311" i="1"/>
  <c r="AN1315" i="1"/>
  <c r="AO1291" i="1"/>
  <c r="AM1291" i="1"/>
  <c r="AO1310" i="1"/>
  <c r="AM1310" i="1"/>
  <c r="AO1303" i="1"/>
  <c r="AM1303" i="1"/>
  <c r="AO1300" i="1"/>
  <c r="AM1300" i="1"/>
  <c r="AO1307" i="1"/>
  <c r="AM1307" i="1"/>
  <c r="AN1308" i="1"/>
  <c r="AN1321" i="1"/>
  <c r="AO1295" i="1"/>
  <c r="AM1295" i="1"/>
  <c r="AR1322" i="1"/>
  <c r="AS1295" i="1"/>
  <c r="AO1302" i="1"/>
  <c r="AM1302" i="1"/>
  <c r="AO1293" i="1"/>
  <c r="AM1293" i="1"/>
  <c r="AO1313" i="1"/>
  <c r="AM1313" i="1"/>
  <c r="AO1301" i="1"/>
  <c r="AM1301" i="1"/>
  <c r="AN1309" i="1"/>
  <c r="AN1326" i="1"/>
  <c r="AO1315" i="1"/>
  <c r="AM1315" i="1"/>
  <c r="AN1292" i="1"/>
  <c r="AN1299" i="1"/>
  <c r="AO1312" i="1"/>
  <c r="AM1312" i="1"/>
  <c r="AM1325" i="1"/>
  <c r="AO1325" i="1"/>
  <c r="AO1321" i="1"/>
  <c r="AM1321" i="1"/>
  <c r="AN1297" i="1"/>
  <c r="AS1318" i="1"/>
  <c r="AN1306" i="1"/>
  <c r="AS1306" i="1"/>
  <c r="AO1320" i="1"/>
  <c r="AM1320" i="1"/>
  <c r="AS1291" i="1"/>
  <c r="AS1321" i="1"/>
  <c r="AO1316" i="1"/>
  <c r="AM1316" i="1"/>
  <c r="AN1300" i="1"/>
  <c r="AN1305" i="1"/>
  <c r="AN1312" i="1"/>
  <c r="AN1325" i="1"/>
  <c r="AS1312" i="1"/>
  <c r="AS1325" i="1"/>
  <c r="AS1313" i="1"/>
  <c r="AN1302" i="1"/>
  <c r="AO1308" i="1"/>
  <c r="AM1308" i="1"/>
  <c r="AS1327" i="1"/>
  <c r="AO1292" i="1"/>
  <c r="AM1292" i="1"/>
  <c r="AS1299" i="1"/>
  <c r="AO1298" i="1"/>
  <c r="AM1298" i="1"/>
  <c r="AN1301" i="1"/>
  <c r="AN1323" i="1"/>
  <c r="AN1311" i="1"/>
  <c r="AN1324" i="1"/>
  <c r="AS1311" i="1"/>
  <c r="AN1318" i="1"/>
  <c r="AO1297" i="1"/>
  <c r="AM1297" i="1"/>
  <c r="AO1317" i="1"/>
  <c r="AM1317" i="1"/>
  <c r="AN1319" i="1"/>
  <c r="AS1319" i="1"/>
  <c r="AN1293" i="1"/>
  <c r="AS1293" i="1"/>
  <c r="AO1314" i="1"/>
  <c r="AM1314" i="1"/>
  <c r="AS1326" i="1"/>
  <c r="AN1291" i="1"/>
  <c r="AO1299" i="1"/>
  <c r="AM1299" i="1"/>
  <c r="AO1319" i="1"/>
  <c r="AM1319" i="1"/>
  <c r="AO1306" i="1"/>
  <c r="AM1306" i="1"/>
  <c r="AS1303" i="1"/>
  <c r="AS1290" i="1"/>
  <c r="AO1296" i="1"/>
  <c r="AM1296" i="1"/>
  <c r="AS1302" i="1"/>
  <c r="AO1323" i="1"/>
  <c r="AM1323" i="1"/>
  <c r="AO1324" i="1"/>
  <c r="AM1324" i="1"/>
  <c r="AO1304" i="1"/>
  <c r="AM1304" i="1"/>
  <c r="AN1290" i="1"/>
  <c r="AN1320" i="1"/>
  <c r="AN1313" i="1"/>
  <c r="AN1322" i="1"/>
  <c r="AN1298" i="1"/>
  <c r="AN1296" i="1"/>
  <c r="AO1309" i="1"/>
  <c r="AM1309" i="1"/>
  <c r="AO1322" i="1"/>
  <c r="AM1322" i="1"/>
  <c r="AO1294" i="1"/>
  <c r="AM1294" i="1"/>
  <c r="AN1307" i="1"/>
  <c r="AN1333" i="1"/>
  <c r="AS1333" i="1"/>
  <c r="AN1334" i="1"/>
  <c r="AN1327" i="1"/>
  <c r="AS1334" i="1"/>
  <c r="AO1333" i="1"/>
  <c r="AM1333" i="1"/>
  <c r="AO1332" i="1"/>
  <c r="AM1332" i="1"/>
  <c r="AO1327" i="1"/>
  <c r="AM1327" i="1"/>
  <c r="AN1332" i="1"/>
  <c r="AO1326" i="1"/>
  <c r="AM1326" i="1"/>
  <c r="AO1334" i="1"/>
  <c r="AM1334" i="1"/>
  <c r="AS1371" i="1"/>
  <c r="AS1353" i="1"/>
  <c r="AN1339" i="1"/>
  <c r="AS1328" i="1"/>
  <c r="AS1356" i="1"/>
  <c r="AS1335" i="1"/>
  <c r="AS1329" i="1"/>
  <c r="AS1366" i="1"/>
  <c r="AR1343" i="1"/>
  <c r="AS1355" i="1"/>
  <c r="AS1343" i="1"/>
  <c r="AS1369" i="1"/>
  <c r="AS1331" i="1"/>
  <c r="AN1356" i="1"/>
  <c r="AS1373" i="1"/>
  <c r="AS1428" i="1"/>
  <c r="AS1359" i="1"/>
  <c r="AS1350" i="1"/>
  <c r="AS1362" i="1"/>
  <c r="AS1349" i="1"/>
  <c r="AN1352" i="1"/>
  <c r="AS1363" i="1"/>
  <c r="AN1351" i="1"/>
  <c r="AS1368" i="1"/>
  <c r="AN1337" i="1"/>
  <c r="AS1354" i="1"/>
  <c r="AN1342" i="1"/>
  <c r="AS1427" i="1"/>
  <c r="AN1347" i="1"/>
  <c r="AS1364" i="1"/>
  <c r="AN1371" i="1"/>
  <c r="AS1351" i="1"/>
  <c r="AS1424" i="1"/>
  <c r="AN1366" i="1"/>
  <c r="AS1347" i="1"/>
  <c r="AS1357" i="1"/>
  <c r="AS1361" i="1"/>
  <c r="AN1328" i="1"/>
  <c r="AS1339" i="1"/>
  <c r="AO1365" i="1"/>
  <c r="AM1365" i="1"/>
  <c r="AO1370" i="1"/>
  <c r="AM1370" i="1"/>
  <c r="AO1367" i="1"/>
  <c r="AM1367" i="1"/>
  <c r="AM1369" i="1"/>
  <c r="AO1369" i="1"/>
  <c r="AO1331" i="1"/>
  <c r="AM1331" i="1"/>
  <c r="AN1346" i="1"/>
  <c r="AO1345" i="1"/>
  <c r="AM1345" i="1"/>
  <c r="AN1357" i="1"/>
  <c r="AO1339" i="1"/>
  <c r="AM1339" i="1"/>
  <c r="AM1336" i="1"/>
  <c r="AO1336" i="1"/>
  <c r="AN1336" i="1"/>
  <c r="AO1364" i="1"/>
  <c r="AM1364" i="1"/>
  <c r="AM1358" i="1"/>
  <c r="AO1358" i="1"/>
  <c r="AN1370" i="1"/>
  <c r="AS1358" i="1"/>
  <c r="AO1363" i="1"/>
  <c r="AM1363" i="1"/>
  <c r="AO1368" i="1"/>
  <c r="AM1368" i="1"/>
  <c r="AO1349" i="1"/>
  <c r="AM1349" i="1"/>
  <c r="AN1361" i="1"/>
  <c r="AO1354" i="1"/>
  <c r="AM1354" i="1"/>
  <c r="AO1351" i="1"/>
  <c r="AM1351" i="1"/>
  <c r="AN1363" i="1"/>
  <c r="AN1365" i="1"/>
  <c r="AO1337" i="1"/>
  <c r="AM1337" i="1"/>
  <c r="AM1361" i="1"/>
  <c r="AO1361" i="1"/>
  <c r="AN1335" i="1"/>
  <c r="AS1352" i="1"/>
  <c r="AN1329" i="1"/>
  <c r="AN1343" i="1"/>
  <c r="AS1338" i="1"/>
  <c r="AO1373" i="1"/>
  <c r="AM1373" i="1"/>
  <c r="AS1340" i="1"/>
  <c r="AO1343" i="1"/>
  <c r="AM1343" i="1"/>
  <c r="AO1348" i="1"/>
  <c r="AM1348" i="1"/>
  <c r="AN1360" i="1"/>
  <c r="AO1342" i="1"/>
  <c r="AM1342" i="1"/>
  <c r="AN1354" i="1"/>
  <c r="AN1349" i="1"/>
  <c r="AO1347" i="1"/>
  <c r="AM1347" i="1"/>
  <c r="AN1359" i="1"/>
  <c r="AM1352" i="1"/>
  <c r="AO1352" i="1"/>
  <c r="AN1364" i="1"/>
  <c r="AO1344" i="1"/>
  <c r="AM1344" i="1"/>
  <c r="AO1330" i="1"/>
  <c r="AM1330" i="1"/>
  <c r="AN1345" i="1"/>
  <c r="AM1338" i="1"/>
  <c r="AO1338" i="1"/>
  <c r="AN1350" i="1"/>
  <c r="AS1367" i="1"/>
  <c r="AO1335" i="1"/>
  <c r="AM1335" i="1"/>
  <c r="AO1329" i="1"/>
  <c r="AM1329" i="1"/>
  <c r="AO1372" i="1"/>
  <c r="AM1372" i="1"/>
  <c r="AM1366" i="1"/>
  <c r="AO1366" i="1"/>
  <c r="AS1336" i="1"/>
  <c r="AO1371" i="1"/>
  <c r="AM1371" i="1"/>
  <c r="AO1357" i="1"/>
  <c r="AM1357" i="1"/>
  <c r="AN1369" i="1"/>
  <c r="AO1362" i="1"/>
  <c r="AM1362" i="1"/>
  <c r="AN1331" i="1"/>
  <c r="AO1359" i="1"/>
  <c r="AM1359" i="1"/>
  <c r="AN1344" i="1"/>
  <c r="AN1373" i="1"/>
  <c r="AO1353" i="1"/>
  <c r="AM1353" i="1"/>
  <c r="AN1338" i="1"/>
  <c r="AN1341" i="1"/>
  <c r="AM1328" i="1"/>
  <c r="AO1328" i="1"/>
  <c r="AS1360" i="1"/>
  <c r="AN1348" i="1"/>
  <c r="AS1365" i="1"/>
  <c r="AN1340" i="1"/>
  <c r="AS1346" i="1"/>
  <c r="AS1348" i="1"/>
  <c r="AO1356" i="1"/>
  <c r="AM1356" i="1"/>
  <c r="AN1368" i="1"/>
  <c r="AM1350" i="1"/>
  <c r="AO1350" i="1"/>
  <c r="AN1362" i="1"/>
  <c r="AS1342" i="1"/>
  <c r="AO1355" i="1"/>
  <c r="AM1355" i="1"/>
  <c r="AN1367" i="1"/>
  <c r="AO1360" i="1"/>
  <c r="AM1360" i="1"/>
  <c r="AN1372" i="1"/>
  <c r="AO1341" i="1"/>
  <c r="AM1341" i="1"/>
  <c r="AN1353" i="1"/>
  <c r="AS1370" i="1"/>
  <c r="AM1346" i="1"/>
  <c r="AO1346" i="1"/>
  <c r="AN1358" i="1"/>
  <c r="AN1355" i="1"/>
  <c r="AS1372" i="1"/>
  <c r="AM1340" i="1"/>
  <c r="AO1340" i="1"/>
  <c r="AS1345" i="1"/>
  <c r="AN1330" i="1"/>
  <c r="AS1344" i="1"/>
  <c r="AS1375" i="1"/>
  <c r="AS1398" i="1"/>
  <c r="AN1392" i="1"/>
  <c r="AS1406" i="1"/>
  <c r="AS1402" i="1"/>
  <c r="AS1377" i="1"/>
  <c r="AN1415" i="1"/>
  <c r="AS1392" i="1"/>
  <c r="AS1408" i="1"/>
  <c r="AS1389" i="1"/>
  <c r="AS1430" i="1"/>
  <c r="AS1412" i="1"/>
  <c r="AS1393" i="1"/>
  <c r="AS1409" i="1"/>
  <c r="AS1425" i="1"/>
  <c r="AN1374" i="1"/>
  <c r="AN1399" i="1"/>
  <c r="AS1400" i="1"/>
  <c r="AS1416" i="1"/>
  <c r="AN1403" i="1"/>
  <c r="AS1403" i="1"/>
  <c r="AS1429" i="1"/>
  <c r="AN1408" i="1"/>
  <c r="AN1423" i="1"/>
  <c r="AN1387" i="1"/>
  <c r="AS1384" i="1"/>
  <c r="AN1407" i="1"/>
  <c r="AN1375" i="1"/>
  <c r="AN1393" i="1"/>
  <c r="AS1410" i="1"/>
  <c r="AN1416" i="1"/>
  <c r="AS1399" i="1"/>
  <c r="AS1419" i="1"/>
  <c r="AN1424" i="1"/>
  <c r="AN1402" i="1"/>
  <c r="AS1404" i="1"/>
  <c r="AS1405" i="1"/>
  <c r="AS1394" i="1"/>
  <c r="AN1378" i="1"/>
  <c r="AS1378" i="1"/>
  <c r="AS1421" i="1"/>
  <c r="AN1428" i="1"/>
  <c r="AS1387" i="1"/>
  <c r="AN1384" i="1"/>
  <c r="AS1411" i="1"/>
  <c r="AO1375" i="1"/>
  <c r="AM1375" i="1"/>
  <c r="AM1404" i="1"/>
  <c r="AO1404" i="1"/>
  <c r="AO1381" i="1"/>
  <c r="AM1381" i="1"/>
  <c r="AM1414" i="1"/>
  <c r="AO1414" i="1"/>
  <c r="AN1401" i="1"/>
  <c r="AN1388" i="1"/>
  <c r="AN1404" i="1"/>
  <c r="AN1420" i="1"/>
  <c r="AM1403" i="1"/>
  <c r="AO1403" i="1"/>
  <c r="AO1382" i="1"/>
  <c r="AM1382" i="1"/>
  <c r="AM1420" i="1"/>
  <c r="AO1420" i="1"/>
  <c r="AO1374" i="1"/>
  <c r="AM1374" i="1"/>
  <c r="AN1417" i="1"/>
  <c r="AO1430" i="1"/>
  <c r="AM1430" i="1"/>
  <c r="AM1394" i="1"/>
  <c r="AO1394" i="1"/>
  <c r="AM1410" i="1"/>
  <c r="AO1410" i="1"/>
  <c r="AM1426" i="1"/>
  <c r="AO1426" i="1"/>
  <c r="AO1385" i="1"/>
  <c r="AM1385" i="1"/>
  <c r="AO1401" i="1"/>
  <c r="AM1401" i="1"/>
  <c r="AO1417" i="1"/>
  <c r="AM1417" i="1"/>
  <c r="AS1415" i="1"/>
  <c r="AS1395" i="1"/>
  <c r="AS1382" i="1"/>
  <c r="AN1409" i="1"/>
  <c r="AO1429" i="1"/>
  <c r="AM1429" i="1"/>
  <c r="AN1376" i="1"/>
  <c r="AO1398" i="1"/>
  <c r="AM1398" i="1"/>
  <c r="AM1400" i="1"/>
  <c r="AO1400" i="1"/>
  <c r="AO1416" i="1"/>
  <c r="AM1416" i="1"/>
  <c r="AN1391" i="1"/>
  <c r="AM1396" i="1"/>
  <c r="AO1396" i="1"/>
  <c r="AO1412" i="1"/>
  <c r="AM1412" i="1"/>
  <c r="AO1387" i="1"/>
  <c r="AM1387" i="1"/>
  <c r="AM1422" i="1"/>
  <c r="AO1422" i="1"/>
  <c r="AO1383" i="1"/>
  <c r="AM1383" i="1"/>
  <c r="AN1425" i="1"/>
  <c r="AN1377" i="1"/>
  <c r="AM1391" i="1"/>
  <c r="AO1391" i="1"/>
  <c r="AO1423" i="1"/>
  <c r="AM1423" i="1"/>
  <c r="AS1388" i="1"/>
  <c r="AN1383" i="1"/>
  <c r="AS1390" i="1"/>
  <c r="AN1400" i="1"/>
  <c r="AN1382" i="1"/>
  <c r="AN1395" i="1"/>
  <c r="AN1390" i="1"/>
  <c r="AN1406" i="1"/>
  <c r="AN1422" i="1"/>
  <c r="AO1427" i="1"/>
  <c r="AM1427" i="1"/>
  <c r="AN1381" i="1"/>
  <c r="AN1397" i="1"/>
  <c r="AN1413" i="1"/>
  <c r="AS1420" i="1"/>
  <c r="AN1427" i="1"/>
  <c r="AS1379" i="1"/>
  <c r="AM1376" i="1"/>
  <c r="AO1376" i="1"/>
  <c r="AS1414" i="1"/>
  <c r="AO1379" i="1"/>
  <c r="AM1379" i="1"/>
  <c r="AM1378" i="1"/>
  <c r="AO1378" i="1"/>
  <c r="AO1384" i="1"/>
  <c r="AM1384" i="1"/>
  <c r="AO1411" i="1"/>
  <c r="AM1411" i="1"/>
  <c r="AS1383" i="1"/>
  <c r="AO1389" i="1"/>
  <c r="AM1389" i="1"/>
  <c r="AS1397" i="1"/>
  <c r="AN1411" i="1"/>
  <c r="AS1385" i="1"/>
  <c r="AS1401" i="1"/>
  <c r="AS1417" i="1"/>
  <c r="AS1376" i="1"/>
  <c r="AN1430" i="1"/>
  <c r="AN1396" i="1"/>
  <c r="AN1412" i="1"/>
  <c r="AO1399" i="1"/>
  <c r="AM1399" i="1"/>
  <c r="AM1406" i="1"/>
  <c r="AO1406" i="1"/>
  <c r="AN1386" i="1"/>
  <c r="AN1380" i="1"/>
  <c r="AN1394" i="1"/>
  <c r="AN1385" i="1"/>
  <c r="AO1405" i="1"/>
  <c r="AM1405" i="1"/>
  <c r="AS1413" i="1"/>
  <c r="AM1386" i="1"/>
  <c r="AO1386" i="1"/>
  <c r="AM1402" i="1"/>
  <c r="AO1402" i="1"/>
  <c r="AM1418" i="1"/>
  <c r="AO1418" i="1"/>
  <c r="AM1377" i="1"/>
  <c r="AO1377" i="1"/>
  <c r="AM1393" i="1"/>
  <c r="AO1393" i="1"/>
  <c r="AO1409" i="1"/>
  <c r="AM1409" i="1"/>
  <c r="AO1425" i="1"/>
  <c r="AM1425" i="1"/>
  <c r="AS1391" i="1"/>
  <c r="AS1407" i="1"/>
  <c r="AS1423" i="1"/>
  <c r="AN1429" i="1"/>
  <c r="AO1380" i="1"/>
  <c r="AM1380" i="1"/>
  <c r="AN1418" i="1"/>
  <c r="AO1397" i="1"/>
  <c r="AM1397" i="1"/>
  <c r="AN1419" i="1"/>
  <c r="AS1381" i="1"/>
  <c r="AN1410" i="1"/>
  <c r="AN1379" i="1"/>
  <c r="AM1395" i="1"/>
  <c r="AO1395" i="1"/>
  <c r="AO1415" i="1"/>
  <c r="AM1415" i="1"/>
  <c r="AO1421" i="1"/>
  <c r="AM1421" i="1"/>
  <c r="AO1392" i="1"/>
  <c r="AM1392" i="1"/>
  <c r="AO1408" i="1"/>
  <c r="AM1408" i="1"/>
  <c r="AM1424" i="1"/>
  <c r="AO1424" i="1"/>
  <c r="AO1390" i="1"/>
  <c r="AM1390" i="1"/>
  <c r="AO1419" i="1"/>
  <c r="AM1419" i="1"/>
  <c r="AO1428" i="1"/>
  <c r="AM1428" i="1"/>
  <c r="AM1413" i="1"/>
  <c r="AO1413" i="1"/>
  <c r="AM1407" i="1"/>
  <c r="AO1407" i="1"/>
  <c r="AM1388" i="1"/>
  <c r="AO1388" i="1"/>
  <c r="AS1396" i="1"/>
  <c r="AN1426" i="1"/>
  <c r="AS1380" i="1"/>
  <c r="AN1398" i="1"/>
  <c r="AN1414" i="1"/>
  <c r="AN1389" i="1"/>
  <c r="AN1405" i="1"/>
  <c r="AN1421" i="1"/>
  <c r="AR1173" i="1"/>
  <c r="AR1229" i="1"/>
  <c r="AS1188" i="1"/>
  <c r="AN1188" i="1"/>
  <c r="AM1188" i="1"/>
  <c r="AO1188" i="1"/>
  <c r="AS1187" i="1"/>
  <c r="AN1187" i="1"/>
  <c r="AM1187" i="1"/>
  <c r="AO1187" i="1"/>
  <c r="AS1186" i="1"/>
  <c r="AS1185" i="1"/>
  <c r="AS1184" i="1"/>
  <c r="AS1182" i="1"/>
  <c r="AS1181" i="1"/>
  <c r="AS1179" i="1"/>
  <c r="AS1178" i="1"/>
  <c r="AS1177" i="1"/>
  <c r="AN1186" i="1"/>
  <c r="AM1186" i="1"/>
  <c r="AO1186" i="1"/>
  <c r="AS983" i="1"/>
  <c r="AS982" i="1"/>
  <c r="AS981" i="1"/>
  <c r="AS980" i="1"/>
  <c r="AS979" i="1"/>
  <c r="AS978" i="1"/>
  <c r="AS977" i="1"/>
  <c r="AS976" i="1"/>
  <c r="AS975" i="1"/>
  <c r="AS974" i="1"/>
  <c r="AS973" i="1"/>
  <c r="AS972" i="1"/>
  <c r="AS971" i="1"/>
  <c r="AS970" i="1"/>
  <c r="AS969" i="1"/>
  <c r="AS968" i="1"/>
  <c r="AS967" i="1"/>
  <c r="AS966" i="1"/>
  <c r="AN983" i="1"/>
  <c r="AN982" i="1"/>
  <c r="AN981" i="1"/>
  <c r="AN980" i="1"/>
  <c r="AN979" i="1"/>
  <c r="AN978" i="1"/>
  <c r="AN977" i="1"/>
  <c r="AN976" i="1"/>
  <c r="AN975" i="1"/>
  <c r="AN974" i="1"/>
  <c r="AN973" i="1"/>
  <c r="AN972" i="1"/>
  <c r="AN971" i="1"/>
  <c r="AN970" i="1"/>
  <c r="AN969" i="1"/>
  <c r="AN968" i="1"/>
  <c r="AN967" i="1"/>
  <c r="AN966" i="1"/>
  <c r="AM983" i="1"/>
  <c r="AO983" i="1"/>
  <c r="AM982" i="1"/>
  <c r="AO982" i="1"/>
  <c r="AM981" i="1"/>
  <c r="AO981" i="1"/>
  <c r="AM980" i="1"/>
  <c r="AO980" i="1"/>
  <c r="AM979" i="1"/>
  <c r="AO979" i="1"/>
  <c r="AM978" i="1"/>
  <c r="AO978" i="1"/>
  <c r="AM977" i="1"/>
  <c r="AO977" i="1"/>
  <c r="AM976" i="1"/>
  <c r="AO976" i="1"/>
  <c r="AM975" i="1"/>
  <c r="AO975" i="1"/>
  <c r="AM974" i="1"/>
  <c r="AO974" i="1"/>
  <c r="AM973" i="1"/>
  <c r="AO973" i="1"/>
  <c r="AM972" i="1"/>
  <c r="AO972" i="1"/>
  <c r="AM971" i="1"/>
  <c r="AO971" i="1"/>
  <c r="AM970" i="1"/>
  <c r="AO970" i="1"/>
  <c r="AM969" i="1"/>
  <c r="AO969" i="1"/>
  <c r="AM968" i="1"/>
  <c r="AO968" i="1"/>
  <c r="AM967" i="1"/>
  <c r="AO967" i="1"/>
  <c r="AM966" i="1"/>
  <c r="AO966" i="1"/>
  <c r="AS1132" i="1"/>
  <c r="AS1131" i="1"/>
  <c r="AS1130" i="1"/>
  <c r="AS1129" i="1"/>
  <c r="AS1128" i="1"/>
  <c r="AS1127" i="1"/>
  <c r="AS1126" i="1"/>
  <c r="AS1125" i="1"/>
  <c r="AS1124" i="1"/>
  <c r="AS1123" i="1"/>
  <c r="AS1122" i="1"/>
  <c r="AS1121" i="1"/>
  <c r="AS1120" i="1"/>
  <c r="AS1119" i="1"/>
  <c r="AS1118" i="1"/>
  <c r="AS1117" i="1"/>
  <c r="AS1116" i="1"/>
  <c r="AS1115" i="1"/>
  <c r="AS1114" i="1"/>
  <c r="AS1113" i="1"/>
  <c r="AS1112" i="1"/>
  <c r="AS1111" i="1"/>
  <c r="AS1110" i="1"/>
  <c r="AS1109" i="1"/>
  <c r="AS1108" i="1"/>
  <c r="AS1107" i="1"/>
  <c r="AS1106" i="1"/>
  <c r="AS1105" i="1"/>
  <c r="AS1104" i="1"/>
  <c r="AS1103" i="1"/>
  <c r="AS1102" i="1"/>
  <c r="AS1101" i="1"/>
  <c r="AS1100" i="1"/>
  <c r="AS1099" i="1"/>
  <c r="AS1098" i="1"/>
  <c r="AS1097" i="1"/>
  <c r="AS1096" i="1"/>
  <c r="AS1095" i="1"/>
  <c r="AS1094" i="1"/>
  <c r="AS1093" i="1"/>
  <c r="AS1092" i="1"/>
  <c r="AS1091" i="1"/>
  <c r="AS1090" i="1"/>
  <c r="AS1089" i="1"/>
  <c r="AS1088" i="1"/>
  <c r="AS1087" i="1"/>
  <c r="AS1086" i="1"/>
  <c r="AS1085" i="1"/>
  <c r="AS1084" i="1"/>
  <c r="AS1083" i="1"/>
  <c r="AS1082" i="1"/>
  <c r="AS1081" i="1"/>
  <c r="AS1080" i="1"/>
  <c r="AS1079" i="1"/>
  <c r="AS1078" i="1"/>
  <c r="AS1077" i="1"/>
  <c r="AS1076" i="1"/>
  <c r="AS1075" i="1"/>
  <c r="AS1074" i="1"/>
  <c r="AS1073" i="1"/>
  <c r="AS1072" i="1"/>
  <c r="AS1071" i="1"/>
  <c r="AS1070" i="1"/>
  <c r="AS1069" i="1"/>
  <c r="AS1068" i="1"/>
  <c r="AS1067" i="1"/>
  <c r="AS1066" i="1"/>
  <c r="AS1065" i="1"/>
  <c r="AS1064" i="1"/>
  <c r="AS1063" i="1"/>
  <c r="AS1062" i="1"/>
  <c r="AS1061" i="1"/>
  <c r="AS1060" i="1"/>
  <c r="AS1059" i="1"/>
  <c r="AS1058" i="1"/>
  <c r="AS1057" i="1"/>
  <c r="AS1056" i="1"/>
  <c r="AS1055" i="1"/>
  <c r="AS1054" i="1"/>
  <c r="AS1053" i="1"/>
  <c r="AS1052" i="1"/>
  <c r="AS1051" i="1"/>
  <c r="AS1050" i="1"/>
  <c r="AS1049" i="1"/>
  <c r="AS1048" i="1"/>
  <c r="AS1047" i="1"/>
  <c r="AS1046" i="1"/>
  <c r="AS1045" i="1"/>
  <c r="AS1044" i="1"/>
  <c r="AS1043" i="1"/>
  <c r="AS1042" i="1"/>
  <c r="AS1041" i="1"/>
  <c r="AS1040" i="1"/>
  <c r="AS1039" i="1"/>
  <c r="AS1038" i="1"/>
  <c r="AS1037" i="1"/>
  <c r="AS1036" i="1"/>
  <c r="AS1035" i="1"/>
  <c r="AS1034" i="1"/>
  <c r="AS1033" i="1"/>
  <c r="AS1032" i="1"/>
  <c r="AS1031" i="1"/>
  <c r="AS1030" i="1"/>
  <c r="AS1029" i="1"/>
  <c r="AS1028" i="1"/>
  <c r="AS1027" i="1"/>
  <c r="AS1026" i="1"/>
  <c r="AS1025" i="1"/>
  <c r="AS1024" i="1"/>
  <c r="AS1023" i="1"/>
  <c r="AS1022" i="1"/>
  <c r="AS1021" i="1"/>
  <c r="AS1020" i="1"/>
  <c r="AS1019" i="1"/>
  <c r="AS1018" i="1"/>
  <c r="AS1017" i="1"/>
  <c r="AS1016" i="1"/>
  <c r="AS1015" i="1"/>
  <c r="AS1014" i="1"/>
  <c r="AS1007" i="1"/>
  <c r="AS1006" i="1"/>
  <c r="AS1005" i="1"/>
  <c r="AS1004" i="1"/>
  <c r="AS1003" i="1"/>
  <c r="AS1002" i="1"/>
  <c r="AS1001" i="1"/>
  <c r="AS1000" i="1"/>
  <c r="AS998" i="1"/>
  <c r="AS997" i="1"/>
  <c r="AS996" i="1"/>
  <c r="AS995" i="1"/>
  <c r="AS994" i="1"/>
  <c r="AS993" i="1"/>
  <c r="AS992" i="1"/>
  <c r="AS991" i="1"/>
  <c r="AS990" i="1"/>
  <c r="AS989" i="1"/>
  <c r="AS988" i="1"/>
  <c r="AS987" i="1"/>
  <c r="AS986" i="1"/>
  <c r="AS985" i="1"/>
  <c r="AS984" i="1"/>
  <c r="AS1288" i="1"/>
  <c r="AS1287" i="1"/>
  <c r="AS1286" i="1"/>
  <c r="AS1285" i="1"/>
  <c r="AS1284" i="1"/>
  <c r="AS1283" i="1"/>
  <c r="AS1282" i="1"/>
  <c r="AS1281" i="1"/>
  <c r="AS1280" i="1"/>
  <c r="AS1279" i="1"/>
  <c r="AS1278" i="1"/>
  <c r="AS1277" i="1"/>
  <c r="AS1276" i="1"/>
  <c r="AS1275" i="1"/>
  <c r="AS1274" i="1"/>
  <c r="AS1273" i="1"/>
  <c r="AS1272" i="1"/>
  <c r="AS1271" i="1"/>
  <c r="AS1270" i="1"/>
  <c r="AS1269" i="1"/>
  <c r="AS1268" i="1"/>
  <c r="AS1267" i="1"/>
  <c r="AS1266" i="1"/>
  <c r="AS1265" i="1"/>
  <c r="AS1264" i="1"/>
  <c r="AS1263" i="1"/>
  <c r="AS1262" i="1"/>
  <c r="AS1261" i="1"/>
  <c r="AS1260" i="1"/>
  <c r="AS1259" i="1"/>
  <c r="AS1258" i="1"/>
  <c r="AS1257" i="1"/>
  <c r="AS1256" i="1"/>
  <c r="AS1255" i="1"/>
  <c r="AS1254" i="1"/>
  <c r="AS1253" i="1"/>
  <c r="AS1252" i="1"/>
  <c r="AS1251" i="1"/>
  <c r="AS1250" i="1"/>
  <c r="AS1249" i="1"/>
  <c r="AS1248" i="1"/>
  <c r="AS1247" i="1"/>
  <c r="AS1246" i="1"/>
  <c r="AS1245" i="1"/>
  <c r="AS1244" i="1"/>
  <c r="AS1243" i="1"/>
  <c r="AS1242" i="1"/>
  <c r="AS1241" i="1"/>
  <c r="AS1240" i="1"/>
  <c r="AS1239" i="1"/>
  <c r="AS1238" i="1"/>
  <c r="AS1237" i="1"/>
  <c r="AS1236" i="1"/>
  <c r="AS1235" i="1"/>
  <c r="AS1234" i="1"/>
  <c r="AS1233" i="1"/>
  <c r="AS1232" i="1"/>
  <c r="AS1231" i="1"/>
  <c r="AS1230" i="1"/>
  <c r="AS1229" i="1"/>
  <c r="AS1228" i="1"/>
  <c r="AS1227" i="1"/>
  <c r="AS1226" i="1"/>
  <c r="AS1225" i="1"/>
  <c r="AS1224" i="1"/>
  <c r="AS1223" i="1"/>
  <c r="AS1222" i="1"/>
  <c r="AS1221" i="1"/>
  <c r="AS1220" i="1"/>
  <c r="AS1219" i="1"/>
  <c r="AS1218" i="1"/>
  <c r="AS1217" i="1"/>
  <c r="AS1216" i="1"/>
  <c r="AS1215" i="1"/>
  <c r="AS1214" i="1"/>
  <c r="AS1213" i="1"/>
  <c r="AS1212" i="1"/>
  <c r="AS1211" i="1"/>
  <c r="AS1210" i="1"/>
  <c r="AS1209" i="1"/>
  <c r="AS1208" i="1"/>
  <c r="AS1207" i="1"/>
  <c r="AS1206" i="1"/>
  <c r="AS1205" i="1"/>
  <c r="AS1204" i="1"/>
  <c r="AS1203" i="1"/>
  <c r="AS1202" i="1"/>
  <c r="AS1201" i="1"/>
  <c r="AS1200" i="1"/>
  <c r="AS1199" i="1"/>
  <c r="AS1198" i="1"/>
  <c r="AS1197" i="1"/>
  <c r="AS1196" i="1"/>
  <c r="AS1195" i="1"/>
  <c r="AS1194" i="1"/>
  <c r="AS1193" i="1"/>
  <c r="AS1192" i="1"/>
  <c r="AS1191" i="1"/>
  <c r="AS1190" i="1"/>
  <c r="AS1189" i="1"/>
  <c r="AS1183" i="1"/>
  <c r="AS1180" i="1"/>
  <c r="AS1176" i="1"/>
  <c r="AS1175" i="1"/>
  <c r="AS1174" i="1"/>
  <c r="AS1173" i="1"/>
  <c r="AS1172" i="1"/>
  <c r="AS1171" i="1"/>
  <c r="AS1170" i="1"/>
  <c r="AS1169" i="1"/>
  <c r="AS1168" i="1"/>
  <c r="AS1167" i="1"/>
  <c r="AS1166" i="1"/>
  <c r="AS1165" i="1"/>
  <c r="AS1164" i="1"/>
  <c r="AS1163" i="1"/>
  <c r="AS1162" i="1"/>
  <c r="AS1161" i="1"/>
  <c r="AS1160" i="1"/>
  <c r="AS1159" i="1"/>
  <c r="AS1158" i="1"/>
  <c r="AS1157" i="1"/>
  <c r="AS1156" i="1"/>
  <c r="AS1155" i="1"/>
  <c r="AS1154" i="1"/>
  <c r="AS1153" i="1"/>
  <c r="AS1152" i="1"/>
  <c r="AS1151" i="1"/>
  <c r="AS1150" i="1"/>
  <c r="AS1149" i="1"/>
  <c r="AS1148" i="1"/>
  <c r="AS1147" i="1"/>
  <c r="AS1146" i="1"/>
  <c r="AS1145" i="1"/>
  <c r="AS1144" i="1"/>
  <c r="AS1143" i="1"/>
  <c r="AS1142" i="1"/>
  <c r="AS1141" i="1"/>
  <c r="AS1140" i="1"/>
  <c r="AS1139" i="1"/>
  <c r="AS1138" i="1"/>
  <c r="AS1137" i="1"/>
  <c r="AS1136" i="1"/>
  <c r="AS1135" i="1"/>
  <c r="AS1134" i="1"/>
  <c r="AN1288" i="1"/>
  <c r="AN1287" i="1"/>
  <c r="AN1286" i="1"/>
  <c r="AN1285" i="1"/>
  <c r="AN1284" i="1"/>
  <c r="AN1283" i="1"/>
  <c r="AN1282" i="1"/>
  <c r="AN1281" i="1"/>
  <c r="AN1280" i="1"/>
  <c r="AN1279" i="1"/>
  <c r="AN1278" i="1"/>
  <c r="AN1277" i="1"/>
  <c r="AN1276" i="1"/>
  <c r="AN1275" i="1"/>
  <c r="AN1274" i="1"/>
  <c r="AN1273" i="1"/>
  <c r="AN1272" i="1"/>
  <c r="AN1271" i="1"/>
  <c r="AN1270" i="1"/>
  <c r="AN1269" i="1"/>
  <c r="AN1268" i="1"/>
  <c r="AN1267" i="1"/>
  <c r="AN1266" i="1"/>
  <c r="AN1265" i="1"/>
  <c r="AN1264" i="1"/>
  <c r="AN1263" i="1"/>
  <c r="AN1262" i="1"/>
  <c r="AN1261" i="1"/>
  <c r="AN1260" i="1"/>
  <c r="AN1259" i="1"/>
  <c r="AN1258" i="1"/>
  <c r="AN1257" i="1"/>
  <c r="AN1256" i="1"/>
  <c r="AN1255" i="1"/>
  <c r="AN1254" i="1"/>
  <c r="AN1253" i="1"/>
  <c r="AN1252" i="1"/>
  <c r="AN1251" i="1"/>
  <c r="AN1250" i="1"/>
  <c r="AN1249" i="1"/>
  <c r="AN1248" i="1"/>
  <c r="AN1247" i="1"/>
  <c r="AN1246" i="1"/>
  <c r="AN1245" i="1"/>
  <c r="AN1244" i="1"/>
  <c r="AN1243" i="1"/>
  <c r="AN1242" i="1"/>
  <c r="AN1241" i="1"/>
  <c r="AN1240" i="1"/>
  <c r="AN1239" i="1"/>
  <c r="AN1238" i="1"/>
  <c r="AN1237" i="1"/>
  <c r="AN1236" i="1"/>
  <c r="AN1235" i="1"/>
  <c r="AN1234" i="1"/>
  <c r="AN1233" i="1"/>
  <c r="AN1232" i="1"/>
  <c r="AN1231" i="1"/>
  <c r="AN1230" i="1"/>
  <c r="AN1229" i="1"/>
  <c r="AN1228" i="1"/>
  <c r="AN1227" i="1"/>
  <c r="AN1226" i="1"/>
  <c r="AN1225" i="1"/>
  <c r="AN1224" i="1"/>
  <c r="AN1223" i="1"/>
  <c r="AN1222" i="1"/>
  <c r="AN1221" i="1"/>
  <c r="AN1220" i="1"/>
  <c r="AN1219" i="1"/>
  <c r="AN1218" i="1"/>
  <c r="AN1217" i="1"/>
  <c r="AN1216" i="1"/>
  <c r="AN1215" i="1"/>
  <c r="AN1214" i="1"/>
  <c r="AN1213" i="1"/>
  <c r="AN1212" i="1"/>
  <c r="AN1211" i="1"/>
  <c r="AN1210" i="1"/>
  <c r="AN1209" i="1"/>
  <c r="AN1208" i="1"/>
  <c r="AN1207" i="1"/>
  <c r="AN1206" i="1"/>
  <c r="AN1205" i="1"/>
  <c r="AN1204" i="1"/>
  <c r="AN1203" i="1"/>
  <c r="AN1202" i="1"/>
  <c r="AN1201" i="1"/>
  <c r="AN1200" i="1"/>
  <c r="AN1199" i="1"/>
  <c r="AN1198" i="1"/>
  <c r="AN1197" i="1"/>
  <c r="AN1196" i="1"/>
  <c r="AN1195" i="1"/>
  <c r="AN1194" i="1"/>
  <c r="AN1193" i="1"/>
  <c r="AN1192" i="1"/>
  <c r="AN1191" i="1"/>
  <c r="AN1190" i="1"/>
  <c r="AN1189" i="1"/>
  <c r="AN1185" i="1"/>
  <c r="AN1184" i="1"/>
  <c r="AN1183" i="1"/>
  <c r="AN1182" i="1"/>
  <c r="AN1181" i="1"/>
  <c r="AN1180" i="1"/>
  <c r="AN1179" i="1"/>
  <c r="AN1178" i="1"/>
  <c r="AN1177" i="1"/>
  <c r="AN1176" i="1"/>
  <c r="AN1175" i="1"/>
  <c r="AN1174" i="1"/>
  <c r="AN1173" i="1"/>
  <c r="AN1172" i="1"/>
  <c r="AN1171" i="1"/>
  <c r="AN1170" i="1"/>
  <c r="AN1169" i="1"/>
  <c r="AN1168" i="1"/>
  <c r="AN1167" i="1"/>
  <c r="AN1166" i="1"/>
  <c r="AN1165" i="1"/>
  <c r="AN1164" i="1"/>
  <c r="AN1163" i="1"/>
  <c r="AN1162" i="1"/>
  <c r="AN1161" i="1"/>
  <c r="AN1160" i="1"/>
  <c r="AN1159" i="1"/>
  <c r="AN1158" i="1"/>
  <c r="AN1157" i="1"/>
  <c r="AN1156" i="1"/>
  <c r="AN1155" i="1"/>
  <c r="AN1154" i="1"/>
  <c r="AN1153" i="1"/>
  <c r="AN1152" i="1"/>
  <c r="AN1151" i="1"/>
  <c r="AN1150" i="1"/>
  <c r="AN1149" i="1"/>
  <c r="AN1148" i="1"/>
  <c r="AN1147" i="1"/>
  <c r="AN1146" i="1"/>
  <c r="AN1145" i="1"/>
  <c r="AN1144" i="1"/>
  <c r="AN1143" i="1"/>
  <c r="AN1142" i="1"/>
  <c r="AN1141" i="1"/>
  <c r="AN1140" i="1"/>
  <c r="AN1139" i="1"/>
  <c r="AN1138" i="1"/>
  <c r="AN1137" i="1"/>
  <c r="AN1136" i="1"/>
  <c r="AN1135" i="1"/>
  <c r="AN1134" i="1"/>
  <c r="AM1288" i="1"/>
  <c r="AO1288" i="1"/>
  <c r="AM1287" i="1"/>
  <c r="AO1287" i="1"/>
  <c r="AM1286" i="1"/>
  <c r="AO1286" i="1"/>
  <c r="AM1285" i="1"/>
  <c r="AO1285" i="1"/>
  <c r="AM1284" i="1"/>
  <c r="AO1284" i="1"/>
  <c r="AM1283" i="1"/>
  <c r="AO1283" i="1"/>
  <c r="AM1282" i="1"/>
  <c r="AO1282" i="1"/>
  <c r="AM1281" i="1"/>
  <c r="AO1281" i="1"/>
  <c r="AM1280" i="1"/>
  <c r="AO1280" i="1"/>
  <c r="AM1279" i="1"/>
  <c r="AO1279" i="1"/>
  <c r="AM1278" i="1"/>
  <c r="AO1278" i="1"/>
  <c r="AM1277" i="1"/>
  <c r="AO1277" i="1"/>
  <c r="AM1276" i="1"/>
  <c r="AO1276" i="1"/>
  <c r="AM1275" i="1"/>
  <c r="AO1275" i="1"/>
  <c r="AM1274" i="1"/>
  <c r="AO1274" i="1"/>
  <c r="AM1273" i="1"/>
  <c r="AO1273" i="1"/>
  <c r="AM1272" i="1"/>
  <c r="AO1272" i="1"/>
  <c r="AM1271" i="1"/>
  <c r="AO1271" i="1"/>
  <c r="AM1270" i="1"/>
  <c r="AO1270" i="1"/>
  <c r="AM1269" i="1"/>
  <c r="AO1269" i="1"/>
  <c r="AM1268" i="1"/>
  <c r="AO1268" i="1"/>
  <c r="AM1267" i="1"/>
  <c r="AO1267" i="1"/>
  <c r="AM1266" i="1"/>
  <c r="AO1266" i="1"/>
  <c r="AM1265" i="1"/>
  <c r="AO1265" i="1"/>
  <c r="AM1264" i="1"/>
  <c r="AO1264" i="1"/>
  <c r="AM1263" i="1"/>
  <c r="AO1263" i="1"/>
  <c r="AM1262" i="1"/>
  <c r="AO1262" i="1"/>
  <c r="AM1261" i="1"/>
  <c r="AO1261" i="1"/>
  <c r="AM1260" i="1"/>
  <c r="AO1260" i="1"/>
  <c r="AM1259" i="1"/>
  <c r="AO1259" i="1"/>
  <c r="AM1258" i="1"/>
  <c r="AO1258" i="1"/>
  <c r="AM1257" i="1"/>
  <c r="AO1257" i="1"/>
  <c r="AM1256" i="1"/>
  <c r="AO1256" i="1"/>
  <c r="AM1255" i="1"/>
  <c r="AO1255" i="1"/>
  <c r="AM1254" i="1"/>
  <c r="AO1254" i="1"/>
  <c r="AM1253" i="1"/>
  <c r="AO1253" i="1"/>
  <c r="AM1252" i="1"/>
  <c r="AO1252" i="1"/>
  <c r="AM1251" i="1"/>
  <c r="AO1251" i="1"/>
  <c r="AM1250" i="1"/>
  <c r="AO1250" i="1"/>
  <c r="AM1249" i="1"/>
  <c r="AO1249" i="1"/>
  <c r="AM1248" i="1"/>
  <c r="AO1248" i="1"/>
  <c r="AM1247" i="1"/>
  <c r="AO1247" i="1"/>
  <c r="AM1246" i="1"/>
  <c r="AO1246" i="1"/>
  <c r="AM1245" i="1"/>
  <c r="AO1245" i="1"/>
  <c r="AM1244" i="1"/>
  <c r="AO1244" i="1"/>
  <c r="AM1243" i="1"/>
  <c r="AO1243" i="1"/>
  <c r="AM1242" i="1"/>
  <c r="AO1242" i="1"/>
  <c r="AM1241" i="1"/>
  <c r="AO1241" i="1"/>
  <c r="AM1240" i="1"/>
  <c r="AO1240" i="1"/>
  <c r="AM1239" i="1"/>
  <c r="AO1239" i="1"/>
  <c r="AM1238" i="1"/>
  <c r="AO1238" i="1"/>
  <c r="AM1237" i="1"/>
  <c r="AO1237" i="1"/>
  <c r="AM1236" i="1"/>
  <c r="AO1236" i="1"/>
  <c r="AM1235" i="1"/>
  <c r="AO1235" i="1"/>
  <c r="AM1234" i="1"/>
  <c r="AO1234" i="1"/>
  <c r="AM1233" i="1"/>
  <c r="AO1233" i="1"/>
  <c r="AM1232" i="1"/>
  <c r="AO1232" i="1"/>
  <c r="AM1231" i="1"/>
  <c r="AO1231" i="1"/>
  <c r="AM1230" i="1"/>
  <c r="AO1230" i="1"/>
  <c r="AM1229" i="1"/>
  <c r="AO1229" i="1"/>
  <c r="AM1228" i="1"/>
  <c r="AO1228" i="1"/>
  <c r="AM1227" i="1"/>
  <c r="AO1227" i="1"/>
  <c r="AM1226" i="1"/>
  <c r="AO1226" i="1"/>
  <c r="AM1225" i="1"/>
  <c r="AO1225" i="1"/>
  <c r="AM1224" i="1"/>
  <c r="AO1224" i="1"/>
  <c r="AM1223" i="1"/>
  <c r="AO1223" i="1"/>
  <c r="AM1222" i="1"/>
  <c r="AO1222" i="1"/>
  <c r="AM1221" i="1"/>
  <c r="AO1221" i="1"/>
  <c r="AM1220" i="1"/>
  <c r="AO1220" i="1"/>
  <c r="AM1219" i="1"/>
  <c r="AO1219" i="1"/>
  <c r="AM1218" i="1"/>
  <c r="AO1218" i="1"/>
  <c r="AM1217" i="1"/>
  <c r="AO1217" i="1"/>
  <c r="AM1216" i="1"/>
  <c r="AO1216" i="1"/>
  <c r="AM1215" i="1"/>
  <c r="AO1215" i="1"/>
  <c r="AM1214" i="1"/>
  <c r="AO1214" i="1"/>
  <c r="AM1213" i="1"/>
  <c r="AO1213" i="1"/>
  <c r="AM1212" i="1"/>
  <c r="AO1212" i="1"/>
  <c r="AM1211" i="1"/>
  <c r="AO1211" i="1"/>
  <c r="AM1210" i="1"/>
  <c r="AO1210" i="1"/>
  <c r="AM1209" i="1"/>
  <c r="AO1209" i="1"/>
  <c r="AM1208" i="1"/>
  <c r="AO1208" i="1"/>
  <c r="AM1207" i="1"/>
  <c r="AO1207" i="1"/>
  <c r="AM1206" i="1"/>
  <c r="AO1206" i="1"/>
  <c r="AM1205" i="1"/>
  <c r="AO1205" i="1"/>
  <c r="AM1204" i="1"/>
  <c r="AO1204" i="1"/>
  <c r="AM1203" i="1"/>
  <c r="AO1203" i="1"/>
  <c r="AM1202" i="1"/>
  <c r="AO1202" i="1"/>
  <c r="AM1201" i="1"/>
  <c r="AO1201" i="1"/>
  <c r="AM1200" i="1"/>
  <c r="AO1200" i="1"/>
  <c r="AM1199" i="1"/>
  <c r="AO1199" i="1"/>
  <c r="AM1198" i="1"/>
  <c r="AO1198" i="1"/>
  <c r="AM1197" i="1"/>
  <c r="AO1197" i="1"/>
  <c r="AM1196" i="1"/>
  <c r="AO1196" i="1"/>
  <c r="AM1195" i="1"/>
  <c r="AO1195" i="1"/>
  <c r="AM1194" i="1"/>
  <c r="AO1194" i="1"/>
  <c r="AM1193" i="1"/>
  <c r="AO1193" i="1"/>
  <c r="AM1192" i="1"/>
  <c r="AO1192" i="1"/>
  <c r="AM1191" i="1"/>
  <c r="AO1191" i="1"/>
  <c r="AM1190" i="1"/>
  <c r="AO1190" i="1"/>
  <c r="AM1189" i="1"/>
  <c r="AO1189" i="1"/>
  <c r="AM1185" i="1"/>
  <c r="AO1185" i="1"/>
  <c r="AM1184" i="1"/>
  <c r="AO1184" i="1"/>
  <c r="AM1183" i="1"/>
  <c r="AO1183" i="1"/>
  <c r="AM1182" i="1"/>
  <c r="AO1182" i="1"/>
  <c r="AM1181" i="1"/>
  <c r="AO1181" i="1"/>
  <c r="AM1180" i="1"/>
  <c r="AO1180" i="1"/>
  <c r="AM1179" i="1"/>
  <c r="AO1179" i="1"/>
  <c r="AM1178" i="1"/>
  <c r="AO1178" i="1"/>
  <c r="AM1177" i="1"/>
  <c r="AO1177" i="1"/>
  <c r="AM1176" i="1"/>
  <c r="AO1176" i="1"/>
  <c r="AM1175" i="1"/>
  <c r="AO1175" i="1"/>
  <c r="AM1174" i="1"/>
  <c r="AO1174" i="1"/>
  <c r="AM1173" i="1"/>
  <c r="AO1173" i="1"/>
  <c r="AM1172" i="1"/>
  <c r="AO1172" i="1"/>
  <c r="AM1171" i="1"/>
  <c r="AO1171" i="1"/>
  <c r="AM1170" i="1"/>
  <c r="AO1170" i="1"/>
  <c r="AM1169" i="1"/>
  <c r="AO1169" i="1"/>
  <c r="AM1168" i="1"/>
  <c r="AO1168" i="1"/>
  <c r="AM1167" i="1"/>
  <c r="AO1167" i="1"/>
  <c r="AM1166" i="1"/>
  <c r="AO1166" i="1"/>
  <c r="AM1165" i="1"/>
  <c r="AO1165" i="1"/>
  <c r="AM1164" i="1"/>
  <c r="AO1164" i="1"/>
  <c r="AM1163" i="1"/>
  <c r="AO1163" i="1"/>
  <c r="AM1162" i="1"/>
  <c r="AO1162" i="1"/>
  <c r="AM1161" i="1"/>
  <c r="AO1161" i="1"/>
  <c r="AM1160" i="1"/>
  <c r="AO1160" i="1"/>
  <c r="AM1159" i="1"/>
  <c r="AO1159" i="1"/>
  <c r="AM1158" i="1"/>
  <c r="AO1158" i="1"/>
  <c r="AM1157" i="1"/>
  <c r="AO1157" i="1"/>
  <c r="AM1156" i="1"/>
  <c r="AO1156" i="1"/>
  <c r="AM1155" i="1"/>
  <c r="AO1155" i="1"/>
  <c r="AM1154" i="1"/>
  <c r="AO1154" i="1"/>
  <c r="AM1153" i="1"/>
  <c r="AO1153" i="1"/>
  <c r="AM1152" i="1"/>
  <c r="AO1152" i="1"/>
  <c r="AM1151" i="1"/>
  <c r="AO1151" i="1"/>
  <c r="AM1150" i="1"/>
  <c r="AO1150" i="1"/>
  <c r="AM1149" i="1"/>
  <c r="AO1149" i="1"/>
  <c r="AM1148" i="1"/>
  <c r="AO1148" i="1"/>
  <c r="AM1147" i="1"/>
  <c r="AO1147" i="1"/>
  <c r="AM1146" i="1"/>
  <c r="AO1146" i="1"/>
  <c r="AM1145" i="1"/>
  <c r="AO1145" i="1"/>
  <c r="AM1144" i="1"/>
  <c r="AO1144" i="1"/>
  <c r="AM1143" i="1"/>
  <c r="AO1143" i="1"/>
  <c r="AM1142" i="1"/>
  <c r="AO1142" i="1"/>
  <c r="AM1141" i="1"/>
  <c r="AO1141" i="1"/>
  <c r="AM1140" i="1"/>
  <c r="AO1140" i="1"/>
  <c r="AM1139" i="1"/>
  <c r="AO1139" i="1"/>
  <c r="AM1138" i="1"/>
  <c r="AO1138" i="1"/>
  <c r="AM1137" i="1"/>
  <c r="AO1137" i="1"/>
  <c r="AM1136" i="1"/>
  <c r="AO1136" i="1"/>
  <c r="AM1135" i="1"/>
  <c r="AO1135" i="1"/>
  <c r="AM1134" i="1"/>
  <c r="AO1134" i="1"/>
  <c r="AS552" i="1"/>
  <c r="AS555" i="1"/>
  <c r="AS559" i="1"/>
  <c r="AS862" i="1"/>
  <c r="AS861" i="1"/>
  <c r="AS856" i="1"/>
  <c r="AS855" i="1"/>
  <c r="AS858" i="1"/>
  <c r="AS859" i="1"/>
  <c r="AN856" i="1"/>
  <c r="AM856" i="1"/>
  <c r="AO856" i="1"/>
  <c r="AN855" i="1"/>
  <c r="AM855" i="1"/>
  <c r="AO855" i="1"/>
  <c r="AN858" i="1"/>
  <c r="AM858" i="1"/>
  <c r="AO858" i="1"/>
  <c r="AN859" i="1"/>
  <c r="AM859" i="1"/>
  <c r="AO859" i="1"/>
  <c r="AN862" i="1"/>
  <c r="AM862" i="1"/>
  <c r="AO862" i="1"/>
  <c r="AN861" i="1"/>
  <c r="AM861" i="1"/>
  <c r="AO861" i="1"/>
  <c r="AS854" i="1"/>
  <c r="AS824" i="1"/>
  <c r="AS823" i="1"/>
  <c r="AS822" i="1"/>
  <c r="AS821" i="1"/>
  <c r="AS820" i="1"/>
  <c r="AS819" i="1"/>
  <c r="AS818" i="1"/>
  <c r="AS817" i="1"/>
  <c r="AS816" i="1"/>
  <c r="AS815" i="1"/>
  <c r="AS814" i="1"/>
  <c r="AS813" i="1"/>
  <c r="AS812" i="1"/>
  <c r="AS811" i="1"/>
  <c r="AS810" i="1"/>
  <c r="AS809" i="1"/>
  <c r="AS808" i="1"/>
  <c r="AS807" i="1"/>
  <c r="AN824" i="1"/>
  <c r="AN823" i="1"/>
  <c r="AN822" i="1"/>
  <c r="AN821" i="1"/>
  <c r="AN820" i="1"/>
  <c r="AN819" i="1"/>
  <c r="AN818" i="1"/>
  <c r="AN817" i="1"/>
  <c r="AN816" i="1"/>
  <c r="AN815" i="1"/>
  <c r="AN814" i="1"/>
  <c r="AN813" i="1"/>
  <c r="AN812" i="1"/>
  <c r="AN811" i="1"/>
  <c r="AN810" i="1"/>
  <c r="AN809" i="1"/>
  <c r="AN808" i="1"/>
  <c r="AN807" i="1"/>
  <c r="AM824" i="1"/>
  <c r="AO824" i="1"/>
  <c r="AM823" i="1"/>
  <c r="AO823" i="1"/>
  <c r="AM822" i="1"/>
  <c r="AO822" i="1"/>
  <c r="AM821" i="1"/>
  <c r="AO821" i="1"/>
  <c r="AM820" i="1"/>
  <c r="AO820" i="1"/>
  <c r="AM819" i="1"/>
  <c r="AO819" i="1"/>
  <c r="AM818" i="1"/>
  <c r="AO818" i="1"/>
  <c r="AM817" i="1"/>
  <c r="AO817" i="1"/>
  <c r="AM816" i="1"/>
  <c r="AO816" i="1"/>
  <c r="AM815" i="1"/>
  <c r="AO815" i="1"/>
  <c r="AM814" i="1"/>
  <c r="AO814" i="1"/>
  <c r="AM813" i="1"/>
  <c r="AO813" i="1"/>
  <c r="AM812" i="1"/>
  <c r="AO812" i="1"/>
  <c r="AM811" i="1"/>
  <c r="AO811" i="1"/>
  <c r="AM810" i="1"/>
  <c r="AO810" i="1"/>
  <c r="AM809" i="1"/>
  <c r="AO809" i="1"/>
  <c r="AM808" i="1"/>
  <c r="AO808" i="1"/>
  <c r="AM807" i="1"/>
  <c r="AO807" i="1"/>
  <c r="AS888" i="1"/>
  <c r="AS887" i="1"/>
  <c r="AS886" i="1"/>
  <c r="AS885" i="1"/>
  <c r="AS884" i="1"/>
  <c r="AS883" i="1"/>
  <c r="AS882" i="1"/>
  <c r="AS881" i="1"/>
  <c r="AS880" i="1"/>
  <c r="AS879" i="1"/>
  <c r="AS878" i="1"/>
  <c r="AS877" i="1"/>
  <c r="AS876" i="1"/>
  <c r="AS875" i="1"/>
  <c r="AS874" i="1"/>
  <c r="AS873" i="1"/>
  <c r="AS872" i="1"/>
  <c r="AS871" i="1"/>
  <c r="AS870" i="1"/>
  <c r="AS869" i="1"/>
  <c r="AS868" i="1"/>
  <c r="AS867" i="1"/>
  <c r="AS866" i="1"/>
  <c r="AS865" i="1"/>
  <c r="AS864" i="1"/>
  <c r="AS863" i="1"/>
  <c r="AS860" i="1"/>
  <c r="AS857" i="1"/>
  <c r="AS853" i="1"/>
  <c r="AS852" i="1"/>
  <c r="AS851" i="1"/>
  <c r="AS850" i="1"/>
  <c r="AS849" i="1"/>
  <c r="AS848" i="1"/>
  <c r="AS847" i="1"/>
  <c r="AS846" i="1"/>
  <c r="AS845" i="1"/>
  <c r="AS844" i="1"/>
  <c r="AS843" i="1"/>
  <c r="AS842" i="1"/>
  <c r="AS841" i="1"/>
  <c r="AS840" i="1"/>
  <c r="AS839" i="1"/>
  <c r="AS838" i="1"/>
  <c r="AS837" i="1"/>
  <c r="AS836" i="1"/>
  <c r="AS835" i="1"/>
  <c r="AS834" i="1"/>
  <c r="AS833" i="1"/>
  <c r="AS832" i="1"/>
  <c r="AS831" i="1"/>
  <c r="AS830" i="1"/>
  <c r="AS829" i="1"/>
  <c r="AS828" i="1"/>
  <c r="AS827" i="1"/>
  <c r="AS826" i="1"/>
  <c r="AS825" i="1"/>
  <c r="AN888" i="1"/>
  <c r="AN887" i="1"/>
  <c r="AN886" i="1"/>
  <c r="AN885" i="1"/>
  <c r="AN884" i="1"/>
  <c r="AN883" i="1"/>
  <c r="AN882" i="1"/>
  <c r="AN881" i="1"/>
  <c r="AN880" i="1"/>
  <c r="AN879" i="1"/>
  <c r="AN878" i="1"/>
  <c r="AN877" i="1"/>
  <c r="AN876" i="1"/>
  <c r="AN875" i="1"/>
  <c r="AN874" i="1"/>
  <c r="AN873" i="1"/>
  <c r="AN872" i="1"/>
  <c r="AN871" i="1"/>
  <c r="AN870" i="1"/>
  <c r="AN869" i="1"/>
  <c r="AN868" i="1"/>
  <c r="AN867" i="1"/>
  <c r="AN866" i="1"/>
  <c r="AN865" i="1"/>
  <c r="AN864" i="1"/>
  <c r="AN863" i="1"/>
  <c r="AN860" i="1"/>
  <c r="AN857" i="1"/>
  <c r="AN854" i="1"/>
  <c r="AN853" i="1"/>
  <c r="AN852" i="1"/>
  <c r="AN851" i="1"/>
  <c r="AN850" i="1"/>
  <c r="AN849" i="1"/>
  <c r="AN848" i="1"/>
  <c r="AN847" i="1"/>
  <c r="AN846" i="1"/>
  <c r="AN845" i="1"/>
  <c r="AN844" i="1"/>
  <c r="AN843" i="1"/>
  <c r="AN842" i="1"/>
  <c r="AN841" i="1"/>
  <c r="AN840" i="1"/>
  <c r="AN839" i="1"/>
  <c r="AN838" i="1"/>
  <c r="AN837" i="1"/>
  <c r="AN836" i="1"/>
  <c r="AN835" i="1"/>
  <c r="AN834" i="1"/>
  <c r="AN833" i="1"/>
  <c r="AN832" i="1"/>
  <c r="AN831" i="1"/>
  <c r="AN830" i="1"/>
  <c r="AN829" i="1"/>
  <c r="AN828" i="1"/>
  <c r="AN827" i="1"/>
  <c r="AN826" i="1"/>
  <c r="AN825" i="1"/>
  <c r="AM888" i="1"/>
  <c r="AO888" i="1"/>
  <c r="AM887" i="1"/>
  <c r="AO887" i="1"/>
  <c r="AM886" i="1"/>
  <c r="AO886" i="1"/>
  <c r="AM885" i="1"/>
  <c r="AO885" i="1"/>
  <c r="AM884" i="1"/>
  <c r="AO884" i="1"/>
  <c r="AM883" i="1"/>
  <c r="AO883" i="1"/>
  <c r="AM882" i="1"/>
  <c r="AO882" i="1"/>
  <c r="AM881" i="1"/>
  <c r="AO881" i="1"/>
  <c r="AM880" i="1"/>
  <c r="AO880" i="1"/>
  <c r="AM879" i="1"/>
  <c r="AO879" i="1"/>
  <c r="AM878" i="1"/>
  <c r="AO878" i="1"/>
  <c r="AM877" i="1"/>
  <c r="AO877" i="1"/>
  <c r="AM876" i="1"/>
  <c r="AO876" i="1"/>
  <c r="AM875" i="1"/>
  <c r="AO875" i="1"/>
  <c r="AM874" i="1"/>
  <c r="AO874" i="1"/>
  <c r="AM873" i="1"/>
  <c r="AO873" i="1"/>
  <c r="AM872" i="1"/>
  <c r="AO872" i="1"/>
  <c r="AM871" i="1"/>
  <c r="AO871" i="1"/>
  <c r="AM870" i="1"/>
  <c r="AO870" i="1"/>
  <c r="AM869" i="1"/>
  <c r="AO869" i="1"/>
  <c r="AM868" i="1"/>
  <c r="AO868" i="1"/>
  <c r="AM867" i="1"/>
  <c r="AO867" i="1"/>
  <c r="AM866" i="1"/>
  <c r="AO866" i="1"/>
  <c r="AM865" i="1"/>
  <c r="AO865" i="1"/>
  <c r="AM864" i="1"/>
  <c r="AO864" i="1"/>
  <c r="AM863" i="1"/>
  <c r="AO863" i="1"/>
  <c r="AM860" i="1"/>
  <c r="AO860" i="1"/>
  <c r="AM857" i="1"/>
  <c r="AO857" i="1"/>
  <c r="AM854" i="1"/>
  <c r="AO854" i="1"/>
  <c r="AM853" i="1"/>
  <c r="AO853" i="1"/>
  <c r="AM852" i="1"/>
  <c r="AO852" i="1"/>
  <c r="AM851" i="1"/>
  <c r="AO851" i="1"/>
  <c r="AM850" i="1"/>
  <c r="AO850" i="1"/>
  <c r="AM849" i="1"/>
  <c r="AO849" i="1"/>
  <c r="AM848" i="1"/>
  <c r="AO848" i="1"/>
  <c r="AM847" i="1"/>
  <c r="AO847" i="1"/>
  <c r="AM846" i="1"/>
  <c r="AO846" i="1"/>
  <c r="AM845" i="1"/>
  <c r="AO845" i="1"/>
  <c r="AM844" i="1"/>
  <c r="AO844" i="1"/>
  <c r="AM843" i="1"/>
  <c r="AO843" i="1"/>
  <c r="AM842" i="1"/>
  <c r="AO842" i="1"/>
  <c r="AM841" i="1"/>
  <c r="AO841" i="1"/>
  <c r="AM840" i="1"/>
  <c r="AO840" i="1"/>
  <c r="AM839" i="1"/>
  <c r="AO839" i="1"/>
  <c r="AM838" i="1"/>
  <c r="AO838" i="1"/>
  <c r="AM837" i="1"/>
  <c r="AO837" i="1"/>
  <c r="AM836" i="1"/>
  <c r="AO836" i="1"/>
  <c r="AM835" i="1"/>
  <c r="AO835" i="1"/>
  <c r="AM834" i="1"/>
  <c r="AO834" i="1"/>
  <c r="AM833" i="1"/>
  <c r="AO833" i="1"/>
  <c r="AM832" i="1"/>
  <c r="AO832" i="1"/>
  <c r="AM831" i="1"/>
  <c r="AO831" i="1"/>
  <c r="AM830" i="1"/>
  <c r="AO830" i="1"/>
  <c r="AM829" i="1"/>
  <c r="AO829" i="1"/>
  <c r="AM828" i="1"/>
  <c r="AO828" i="1"/>
  <c r="AM827" i="1"/>
  <c r="AO827" i="1"/>
  <c r="AM826" i="1"/>
  <c r="AO826" i="1"/>
  <c r="AM825" i="1"/>
  <c r="AO825" i="1"/>
  <c r="AS921" i="1"/>
  <c r="AS920" i="1"/>
  <c r="AS919" i="1"/>
  <c r="AS918" i="1"/>
  <c r="AS917" i="1"/>
  <c r="AS916" i="1"/>
  <c r="AS915" i="1"/>
  <c r="AS914" i="1"/>
  <c r="AS913" i="1"/>
  <c r="AS912" i="1"/>
  <c r="AS911" i="1"/>
  <c r="AS910" i="1"/>
  <c r="AS909" i="1"/>
  <c r="AS908" i="1"/>
  <c r="AS907" i="1"/>
  <c r="AS906" i="1"/>
  <c r="AS905" i="1"/>
  <c r="AS904" i="1"/>
  <c r="AS903" i="1"/>
  <c r="AS902" i="1"/>
  <c r="AS901" i="1"/>
  <c r="AS900" i="1"/>
  <c r="AS899" i="1"/>
  <c r="AS898" i="1"/>
  <c r="AS897" i="1"/>
  <c r="AS896" i="1"/>
  <c r="AS895" i="1"/>
  <c r="AS894" i="1"/>
  <c r="AS893" i="1"/>
  <c r="AS892" i="1"/>
  <c r="AS891" i="1"/>
  <c r="AS890" i="1"/>
  <c r="AS889" i="1"/>
  <c r="AN921" i="1"/>
  <c r="AN920" i="1"/>
  <c r="AN919" i="1"/>
  <c r="AN918" i="1"/>
  <c r="AN917" i="1"/>
  <c r="AN916" i="1"/>
  <c r="AN915" i="1"/>
  <c r="AN914" i="1"/>
  <c r="AN913" i="1"/>
  <c r="AN912" i="1"/>
  <c r="AN911" i="1"/>
  <c r="AN910" i="1"/>
  <c r="AN909" i="1"/>
  <c r="AN908" i="1"/>
  <c r="AN907" i="1"/>
  <c r="AN906" i="1"/>
  <c r="AN905" i="1"/>
  <c r="AN904" i="1"/>
  <c r="AN903" i="1"/>
  <c r="AN902" i="1"/>
  <c r="AN901" i="1"/>
  <c r="AN900" i="1"/>
  <c r="AN899" i="1"/>
  <c r="AN898" i="1"/>
  <c r="AN897" i="1"/>
  <c r="AN896" i="1"/>
  <c r="AN895" i="1"/>
  <c r="AN894" i="1"/>
  <c r="AN893" i="1"/>
  <c r="AN892" i="1"/>
  <c r="AN891" i="1"/>
  <c r="AN890" i="1"/>
  <c r="AN889" i="1"/>
  <c r="AM921" i="1"/>
  <c r="AO921" i="1"/>
  <c r="AM920" i="1"/>
  <c r="AO920" i="1"/>
  <c r="AM919" i="1"/>
  <c r="AO919" i="1"/>
  <c r="AM918" i="1"/>
  <c r="AO918" i="1"/>
  <c r="AM917" i="1"/>
  <c r="AO917" i="1"/>
  <c r="AM916" i="1"/>
  <c r="AO916" i="1"/>
  <c r="AM915" i="1"/>
  <c r="AO915" i="1"/>
  <c r="AM914" i="1"/>
  <c r="AO914" i="1"/>
  <c r="AM913" i="1"/>
  <c r="AO913" i="1"/>
  <c r="AM912" i="1"/>
  <c r="AO912" i="1"/>
  <c r="AM911" i="1"/>
  <c r="AO911" i="1"/>
  <c r="AM910" i="1"/>
  <c r="AO910" i="1"/>
  <c r="AM909" i="1"/>
  <c r="AO909" i="1"/>
  <c r="AM908" i="1"/>
  <c r="AO908" i="1"/>
  <c r="AM907" i="1"/>
  <c r="AO907" i="1"/>
  <c r="AM906" i="1"/>
  <c r="AO906" i="1"/>
  <c r="AM905" i="1"/>
  <c r="AO905" i="1"/>
  <c r="AM904" i="1"/>
  <c r="AO904" i="1"/>
  <c r="AM903" i="1"/>
  <c r="AO903" i="1"/>
  <c r="AM902" i="1"/>
  <c r="AO902" i="1"/>
  <c r="AM901" i="1"/>
  <c r="AO901" i="1"/>
  <c r="AM900" i="1"/>
  <c r="AO900" i="1"/>
  <c r="AM899" i="1"/>
  <c r="AO899" i="1"/>
  <c r="AM898" i="1"/>
  <c r="AO898" i="1"/>
  <c r="AM897" i="1"/>
  <c r="AO897" i="1"/>
  <c r="AM896" i="1"/>
  <c r="AO896" i="1"/>
  <c r="AM895" i="1"/>
  <c r="AO895" i="1"/>
  <c r="AM894" i="1"/>
  <c r="AO894" i="1"/>
  <c r="AM893" i="1"/>
  <c r="AO893" i="1"/>
  <c r="AM892" i="1"/>
  <c r="AO892" i="1"/>
  <c r="AM891" i="1"/>
  <c r="AO891" i="1"/>
  <c r="AM890" i="1"/>
  <c r="AO890" i="1"/>
  <c r="AM889" i="1"/>
  <c r="AO889" i="1"/>
  <c r="AS964" i="1"/>
  <c r="AS963" i="1"/>
  <c r="AS962" i="1"/>
  <c r="AS961" i="1"/>
  <c r="AS960" i="1"/>
  <c r="AS959" i="1"/>
  <c r="AS958" i="1"/>
  <c r="AS957" i="1"/>
  <c r="AS956" i="1"/>
  <c r="AS955" i="1"/>
  <c r="AS954" i="1"/>
  <c r="AS953" i="1"/>
  <c r="AS952" i="1"/>
  <c r="AS951" i="1"/>
  <c r="AS950" i="1"/>
  <c r="AS949" i="1"/>
  <c r="AS948" i="1"/>
  <c r="AS947" i="1"/>
  <c r="AS946" i="1"/>
  <c r="AS945" i="1"/>
  <c r="AS944" i="1"/>
  <c r="AS943" i="1"/>
  <c r="AS942" i="1"/>
  <c r="AS941" i="1"/>
  <c r="AS940" i="1"/>
  <c r="AS939" i="1"/>
  <c r="AS938" i="1"/>
  <c r="AS937" i="1"/>
  <c r="AS936" i="1"/>
  <c r="AS935" i="1"/>
  <c r="AS934" i="1"/>
  <c r="AS933" i="1"/>
  <c r="AS932" i="1"/>
  <c r="AS931" i="1"/>
  <c r="AS930" i="1"/>
  <c r="AS929" i="1"/>
  <c r="AS928" i="1"/>
  <c r="AS927" i="1"/>
  <c r="AS926" i="1"/>
  <c r="AS925" i="1"/>
  <c r="AS924" i="1"/>
  <c r="AS923" i="1"/>
  <c r="AS922" i="1"/>
  <c r="AN964" i="1"/>
  <c r="AN963" i="1"/>
  <c r="AN962" i="1"/>
  <c r="AN961" i="1"/>
  <c r="AN960" i="1"/>
  <c r="AN959" i="1"/>
  <c r="AN958" i="1"/>
  <c r="AN957" i="1"/>
  <c r="AN956" i="1"/>
  <c r="AN955" i="1"/>
  <c r="AN954" i="1"/>
  <c r="AN953" i="1"/>
  <c r="AN952" i="1"/>
  <c r="AN951" i="1"/>
  <c r="AN950" i="1"/>
  <c r="AN949" i="1"/>
  <c r="AN948" i="1"/>
  <c r="AN947" i="1"/>
  <c r="AN946" i="1"/>
  <c r="AN945" i="1"/>
  <c r="AN944" i="1"/>
  <c r="AN943" i="1"/>
  <c r="AN942" i="1"/>
  <c r="AN941" i="1"/>
  <c r="AN940" i="1"/>
  <c r="AN939" i="1"/>
  <c r="AN938" i="1"/>
  <c r="AN937" i="1"/>
  <c r="AN936" i="1"/>
  <c r="AN935" i="1"/>
  <c r="AN934" i="1"/>
  <c r="AN933" i="1"/>
  <c r="AN932" i="1"/>
  <c r="AN931" i="1"/>
  <c r="AN930" i="1"/>
  <c r="AN929" i="1"/>
  <c r="AN928" i="1"/>
  <c r="AN927" i="1"/>
  <c r="AN926" i="1"/>
  <c r="AN925" i="1"/>
  <c r="AN924" i="1"/>
  <c r="AN923" i="1"/>
  <c r="AN922" i="1"/>
  <c r="AM964" i="1"/>
  <c r="AO964" i="1"/>
  <c r="AM963" i="1"/>
  <c r="AO963" i="1"/>
  <c r="AM962" i="1"/>
  <c r="AO962" i="1"/>
  <c r="AM961" i="1"/>
  <c r="AO961" i="1"/>
  <c r="AM960" i="1"/>
  <c r="AO960" i="1"/>
  <c r="AM959" i="1"/>
  <c r="AO959" i="1"/>
  <c r="AM958" i="1"/>
  <c r="AO958" i="1"/>
  <c r="AM957" i="1"/>
  <c r="AO957" i="1"/>
  <c r="AM956" i="1"/>
  <c r="AO956" i="1"/>
  <c r="AM955" i="1"/>
  <c r="AO955" i="1"/>
  <c r="AM954" i="1"/>
  <c r="AO954" i="1"/>
  <c r="AM953" i="1"/>
  <c r="AO953" i="1"/>
  <c r="AM952" i="1"/>
  <c r="AO952" i="1"/>
  <c r="AM951" i="1"/>
  <c r="AO951" i="1"/>
  <c r="AM950" i="1"/>
  <c r="AO950" i="1"/>
  <c r="AM949" i="1"/>
  <c r="AO949" i="1"/>
  <c r="AM948" i="1"/>
  <c r="AO948" i="1"/>
  <c r="AM947" i="1"/>
  <c r="AO947" i="1"/>
  <c r="AM946" i="1"/>
  <c r="AO946" i="1"/>
  <c r="AM945" i="1"/>
  <c r="AO945" i="1"/>
  <c r="AM944" i="1"/>
  <c r="AO944" i="1"/>
  <c r="AM943" i="1"/>
  <c r="AO943" i="1"/>
  <c r="AM942" i="1"/>
  <c r="AO942" i="1"/>
  <c r="AM941" i="1"/>
  <c r="AO941" i="1"/>
  <c r="AM940" i="1"/>
  <c r="AO940" i="1"/>
  <c r="AM939" i="1"/>
  <c r="AO939" i="1"/>
  <c r="AM938" i="1"/>
  <c r="AO938" i="1"/>
  <c r="AM937" i="1"/>
  <c r="AO937" i="1"/>
  <c r="AM936" i="1"/>
  <c r="AO936" i="1"/>
  <c r="AM935" i="1"/>
  <c r="AO935" i="1"/>
  <c r="AM934" i="1"/>
  <c r="AO934" i="1"/>
  <c r="AM933" i="1"/>
  <c r="AO933" i="1"/>
  <c r="AM932" i="1"/>
  <c r="AO932" i="1"/>
  <c r="AM931" i="1"/>
  <c r="AO931" i="1"/>
  <c r="AM930" i="1"/>
  <c r="AO930" i="1"/>
  <c r="AM929" i="1"/>
  <c r="AO929" i="1"/>
  <c r="AM928" i="1"/>
  <c r="AO928" i="1"/>
  <c r="AM927" i="1"/>
  <c r="AO927" i="1"/>
  <c r="AM926" i="1"/>
  <c r="AO926" i="1"/>
  <c r="AM925" i="1"/>
  <c r="AO925" i="1"/>
  <c r="AM924" i="1"/>
  <c r="AO924" i="1"/>
  <c r="AM923" i="1"/>
  <c r="AO923" i="1"/>
  <c r="AM922" i="1"/>
  <c r="AO922" i="1"/>
  <c r="AS569" i="1"/>
  <c r="AN699" i="1"/>
  <c r="AM699" i="1"/>
  <c r="AO699" i="1"/>
  <c r="AN702" i="1"/>
  <c r="AM702" i="1"/>
  <c r="AO702" i="1"/>
  <c r="AN705" i="1"/>
  <c r="AM705" i="1"/>
  <c r="AO705" i="1"/>
  <c r="AS553" i="1"/>
  <c r="AN553" i="1"/>
  <c r="AO553" i="1"/>
  <c r="AM553" i="1"/>
  <c r="AN552" i="1"/>
  <c r="AO552" i="1"/>
  <c r="AM552" i="1"/>
  <c r="AS556" i="1"/>
  <c r="AN556" i="1"/>
  <c r="AO556" i="1"/>
  <c r="AM556" i="1"/>
  <c r="AN555" i="1"/>
  <c r="AO555" i="1"/>
  <c r="AM555" i="1"/>
  <c r="AN559" i="1"/>
  <c r="AM559" i="1"/>
  <c r="AO559" i="1"/>
  <c r="AN558" i="1"/>
  <c r="AS558" i="1"/>
  <c r="AM558" i="1"/>
  <c r="AO558" i="1"/>
  <c r="AS621" i="1"/>
  <c r="AR565" i="1"/>
  <c r="AR711" i="1"/>
  <c r="AS615" i="1"/>
  <c r="AR547" i="1"/>
  <c r="AS571" i="1"/>
  <c r="AS651" i="1"/>
  <c r="AS637" i="1"/>
  <c r="AS642" i="1"/>
  <c r="AS630" i="1"/>
  <c r="AS644" i="1"/>
  <c r="AS625" i="1"/>
  <c r="AS585" i="1"/>
  <c r="AS639" i="1"/>
  <c r="AS638" i="1"/>
  <c r="AS650" i="1"/>
  <c r="AS593" i="1"/>
  <c r="AM539" i="1"/>
  <c r="AS649" i="1"/>
  <c r="AS636" i="1"/>
  <c r="AS622" i="1"/>
  <c r="AS652" i="1"/>
  <c r="AS573" i="1"/>
  <c r="AS646" i="1"/>
  <c r="AS530" i="1"/>
  <c r="AS518" i="1"/>
  <c r="AS547" i="1"/>
  <c r="AS612" i="1"/>
  <c r="AS618" i="1"/>
  <c r="AN629" i="1"/>
  <c r="AS610" i="1"/>
  <c r="AS671" i="1"/>
  <c r="AS670" i="1"/>
  <c r="AS669" i="1"/>
  <c r="AS668" i="1"/>
  <c r="AS667" i="1"/>
  <c r="AS666" i="1"/>
  <c r="AS665" i="1"/>
  <c r="AS664" i="1"/>
  <c r="AS663" i="1"/>
  <c r="AS662" i="1"/>
  <c r="AS661" i="1"/>
  <c r="AS660" i="1"/>
  <c r="AS659" i="1"/>
  <c r="AS658" i="1"/>
  <c r="AS657" i="1"/>
  <c r="AS656" i="1"/>
  <c r="AS655" i="1"/>
  <c r="AS654" i="1"/>
  <c r="AN671" i="1"/>
  <c r="AN670" i="1"/>
  <c r="AN669" i="1"/>
  <c r="AN668" i="1"/>
  <c r="AN667" i="1"/>
  <c r="AN666" i="1"/>
  <c r="AN665" i="1"/>
  <c r="AN664" i="1"/>
  <c r="AN663" i="1"/>
  <c r="AN662" i="1"/>
  <c r="AN661" i="1"/>
  <c r="AN660" i="1"/>
  <c r="AN659" i="1"/>
  <c r="AN658" i="1"/>
  <c r="AN657" i="1"/>
  <c r="AN656" i="1"/>
  <c r="AN655" i="1"/>
  <c r="AN654" i="1"/>
  <c r="AM671" i="1"/>
  <c r="AO671" i="1"/>
  <c r="AM670" i="1"/>
  <c r="AO670" i="1"/>
  <c r="AM669" i="1"/>
  <c r="AO669" i="1"/>
  <c r="AM668" i="1"/>
  <c r="AO668" i="1"/>
  <c r="AM667" i="1"/>
  <c r="AO667" i="1"/>
  <c r="AM666" i="1"/>
  <c r="AO666" i="1"/>
  <c r="AM665" i="1"/>
  <c r="AO665" i="1"/>
  <c r="AM664" i="1"/>
  <c r="AO664" i="1"/>
  <c r="AM663" i="1"/>
  <c r="AO663" i="1"/>
  <c r="AM662" i="1"/>
  <c r="AO662" i="1"/>
  <c r="AM661" i="1"/>
  <c r="AO661" i="1"/>
  <c r="AM660" i="1"/>
  <c r="AO660" i="1"/>
  <c r="AM659" i="1"/>
  <c r="AO659" i="1"/>
  <c r="AM658" i="1"/>
  <c r="AO658" i="1"/>
  <c r="AM657" i="1"/>
  <c r="AO657" i="1"/>
  <c r="AM656" i="1"/>
  <c r="AO656" i="1"/>
  <c r="AM655" i="1"/>
  <c r="AO655" i="1"/>
  <c r="AM654" i="1"/>
  <c r="AO654" i="1"/>
  <c r="AS731" i="1"/>
  <c r="AS730" i="1"/>
  <c r="AS729" i="1"/>
  <c r="AS728" i="1"/>
  <c r="AS727" i="1"/>
  <c r="AS726" i="1"/>
  <c r="AS725" i="1"/>
  <c r="AS724" i="1"/>
  <c r="AS723" i="1"/>
  <c r="AS722" i="1"/>
  <c r="AS721" i="1"/>
  <c r="AS720" i="1"/>
  <c r="AS719" i="1"/>
  <c r="AS718" i="1"/>
  <c r="AS717" i="1"/>
  <c r="AS716" i="1"/>
  <c r="AS715" i="1"/>
  <c r="AS714" i="1"/>
  <c r="AS713" i="1"/>
  <c r="AS712" i="1"/>
  <c r="AS711" i="1"/>
  <c r="AS710" i="1"/>
  <c r="AS709" i="1"/>
  <c r="AS708" i="1"/>
  <c r="AS707" i="1"/>
  <c r="AS706" i="1"/>
  <c r="AS704" i="1"/>
  <c r="AS703" i="1"/>
  <c r="AS701" i="1"/>
  <c r="AS700" i="1"/>
  <c r="AS698" i="1"/>
  <c r="AS696" i="1"/>
  <c r="AS695" i="1"/>
  <c r="AS693" i="1"/>
  <c r="AS692" i="1"/>
  <c r="AS691" i="1"/>
  <c r="AS690" i="1"/>
  <c r="AS689" i="1"/>
  <c r="AS688" i="1"/>
  <c r="AS687" i="1"/>
  <c r="AS686" i="1"/>
  <c r="AS685" i="1"/>
  <c r="AS684" i="1"/>
  <c r="AS683" i="1"/>
  <c r="AS682" i="1"/>
  <c r="AS681" i="1"/>
  <c r="AS680" i="1"/>
  <c r="AS679" i="1"/>
  <c r="AS678" i="1"/>
  <c r="AS677" i="1"/>
  <c r="AS676" i="1"/>
  <c r="AS675" i="1"/>
  <c r="AS674" i="1"/>
  <c r="AS673" i="1"/>
  <c r="AS672" i="1"/>
  <c r="AN731" i="1"/>
  <c r="AN730" i="1"/>
  <c r="AN729" i="1"/>
  <c r="AN728" i="1"/>
  <c r="AN727" i="1"/>
  <c r="AN726" i="1"/>
  <c r="AN725" i="1"/>
  <c r="AN724" i="1"/>
  <c r="AN723" i="1"/>
  <c r="AN722" i="1"/>
  <c r="AN721" i="1"/>
  <c r="AN720" i="1"/>
  <c r="AN719" i="1"/>
  <c r="AN718" i="1"/>
  <c r="AN717" i="1"/>
  <c r="AN716" i="1"/>
  <c r="AN715" i="1"/>
  <c r="AN714" i="1"/>
  <c r="AN713" i="1"/>
  <c r="AN712" i="1"/>
  <c r="AN711" i="1"/>
  <c r="AN710" i="1"/>
  <c r="AN709" i="1"/>
  <c r="AN708" i="1"/>
  <c r="AN707" i="1"/>
  <c r="AN706" i="1"/>
  <c r="AN704" i="1"/>
  <c r="AN703" i="1"/>
  <c r="AN701" i="1"/>
  <c r="AN700" i="1"/>
  <c r="AN698" i="1"/>
  <c r="AN697" i="1"/>
  <c r="AN696" i="1"/>
  <c r="AN695" i="1"/>
  <c r="AN693" i="1"/>
  <c r="AN692" i="1"/>
  <c r="AN691" i="1"/>
  <c r="AN690" i="1"/>
  <c r="AN689" i="1"/>
  <c r="AN688" i="1"/>
  <c r="AN687" i="1"/>
  <c r="AN686" i="1"/>
  <c r="AN685" i="1"/>
  <c r="AN684" i="1"/>
  <c r="AN683" i="1"/>
  <c r="AN682" i="1"/>
  <c r="AN681" i="1"/>
  <c r="AN680" i="1"/>
  <c r="AN679" i="1"/>
  <c r="AN678" i="1"/>
  <c r="AN677" i="1"/>
  <c r="AN676" i="1"/>
  <c r="AN675" i="1"/>
  <c r="AN674" i="1"/>
  <c r="AN673" i="1"/>
  <c r="AN672" i="1"/>
  <c r="AM731" i="1"/>
  <c r="AO731" i="1"/>
  <c r="AM730" i="1"/>
  <c r="AO730" i="1"/>
  <c r="AM729" i="1"/>
  <c r="AO729" i="1"/>
  <c r="AM728" i="1"/>
  <c r="AO728" i="1"/>
  <c r="AM727" i="1"/>
  <c r="AO727" i="1"/>
  <c r="AM726" i="1"/>
  <c r="AO726" i="1"/>
  <c r="AM725" i="1"/>
  <c r="AO725" i="1"/>
  <c r="AM724" i="1"/>
  <c r="AO724" i="1"/>
  <c r="AM723" i="1"/>
  <c r="AO723" i="1"/>
  <c r="AM722" i="1"/>
  <c r="AO722" i="1"/>
  <c r="AM721" i="1"/>
  <c r="AO721" i="1"/>
  <c r="AM720" i="1"/>
  <c r="AO720" i="1"/>
  <c r="AM719" i="1"/>
  <c r="AO719" i="1"/>
  <c r="AM718" i="1"/>
  <c r="AO718" i="1"/>
  <c r="AM717" i="1"/>
  <c r="AO717" i="1"/>
  <c r="AM716" i="1"/>
  <c r="AO716" i="1"/>
  <c r="AM715" i="1"/>
  <c r="AO715" i="1"/>
  <c r="AM714" i="1"/>
  <c r="AO714" i="1"/>
  <c r="AM713" i="1"/>
  <c r="AO713" i="1"/>
  <c r="AM712" i="1"/>
  <c r="AO712" i="1"/>
  <c r="AM711" i="1"/>
  <c r="AO711" i="1"/>
  <c r="AM710" i="1"/>
  <c r="AO710" i="1"/>
  <c r="AM709" i="1"/>
  <c r="AO709" i="1"/>
  <c r="AM708" i="1"/>
  <c r="AO708" i="1"/>
  <c r="AM707" i="1"/>
  <c r="AO707" i="1"/>
  <c r="AM706" i="1"/>
  <c r="AO706" i="1"/>
  <c r="AM704" i="1"/>
  <c r="AO704" i="1"/>
  <c r="AM703" i="1"/>
  <c r="AO703" i="1"/>
  <c r="AM701" i="1"/>
  <c r="AM700" i="1"/>
  <c r="AO700" i="1"/>
  <c r="AM698" i="1"/>
  <c r="AO698" i="1"/>
  <c r="AM697" i="1"/>
  <c r="AO697" i="1"/>
  <c r="AM696" i="1"/>
  <c r="AO696" i="1"/>
  <c r="AM695" i="1"/>
  <c r="AO695" i="1"/>
  <c r="AM693" i="1"/>
  <c r="AO693" i="1"/>
  <c r="AM692" i="1"/>
  <c r="AO692" i="1"/>
  <c r="AM691" i="1"/>
  <c r="AO691" i="1"/>
  <c r="AM690" i="1"/>
  <c r="AO690" i="1"/>
  <c r="AM689" i="1"/>
  <c r="AO689" i="1"/>
  <c r="AM688" i="1"/>
  <c r="AO688" i="1"/>
  <c r="AM687" i="1"/>
  <c r="AO687" i="1"/>
  <c r="AM686" i="1"/>
  <c r="AO686" i="1"/>
  <c r="AM685" i="1"/>
  <c r="AO685" i="1"/>
  <c r="AM684" i="1"/>
  <c r="AO684" i="1"/>
  <c r="AM683" i="1"/>
  <c r="AO683" i="1"/>
  <c r="AM682" i="1"/>
  <c r="AO682" i="1"/>
  <c r="AM681" i="1"/>
  <c r="AO681" i="1"/>
  <c r="AM680" i="1"/>
  <c r="AO680" i="1"/>
  <c r="AM679" i="1"/>
  <c r="AO679" i="1"/>
  <c r="AM678" i="1"/>
  <c r="AO678" i="1"/>
  <c r="AM677" i="1"/>
  <c r="AO677" i="1"/>
  <c r="AM676" i="1"/>
  <c r="AO676" i="1"/>
  <c r="AM675" i="1"/>
  <c r="AO675" i="1"/>
  <c r="AM674" i="1"/>
  <c r="AO674" i="1"/>
  <c r="AM673" i="1"/>
  <c r="AO673" i="1"/>
  <c r="AM672" i="1"/>
  <c r="AO672" i="1"/>
  <c r="AS762" i="1"/>
  <c r="AS761" i="1"/>
  <c r="AS760" i="1"/>
  <c r="AS759" i="1"/>
  <c r="AS758" i="1"/>
  <c r="AS757" i="1"/>
  <c r="AS756" i="1"/>
  <c r="AS755" i="1"/>
  <c r="AS754" i="1"/>
  <c r="AS753" i="1"/>
  <c r="AS752" i="1"/>
  <c r="AS751" i="1"/>
  <c r="AS750" i="1"/>
  <c r="AS749" i="1"/>
  <c r="AS748" i="1"/>
  <c r="AS747" i="1"/>
  <c r="AS746" i="1"/>
  <c r="AS745" i="1"/>
  <c r="AS744" i="1"/>
  <c r="AS743" i="1"/>
  <c r="AS742" i="1"/>
  <c r="AS741" i="1"/>
  <c r="AS740" i="1"/>
  <c r="AS739" i="1"/>
  <c r="AS738" i="1"/>
  <c r="AS737" i="1"/>
  <c r="AS736" i="1"/>
  <c r="AS735" i="1"/>
  <c r="AS734" i="1"/>
  <c r="AS733" i="1"/>
  <c r="AS732" i="1"/>
  <c r="AN762" i="1"/>
  <c r="AN761" i="1"/>
  <c r="AN760" i="1"/>
  <c r="AN759" i="1"/>
  <c r="AN758" i="1"/>
  <c r="AN757" i="1"/>
  <c r="AN756" i="1"/>
  <c r="AN755" i="1"/>
  <c r="AN754" i="1"/>
  <c r="AN753" i="1"/>
  <c r="AN752" i="1"/>
  <c r="AN751" i="1"/>
  <c r="AN750" i="1"/>
  <c r="AN749" i="1"/>
  <c r="AN748" i="1"/>
  <c r="AN747" i="1"/>
  <c r="AN746" i="1"/>
  <c r="AN745" i="1"/>
  <c r="AN744" i="1"/>
  <c r="AN743" i="1"/>
  <c r="AN742" i="1"/>
  <c r="AN741" i="1"/>
  <c r="AN740" i="1"/>
  <c r="AN739" i="1"/>
  <c r="AN738" i="1"/>
  <c r="AN737" i="1"/>
  <c r="AN736" i="1"/>
  <c r="AN735" i="1"/>
  <c r="AN734" i="1"/>
  <c r="AN733" i="1"/>
  <c r="AN732" i="1"/>
  <c r="AM762" i="1"/>
  <c r="AO762" i="1"/>
  <c r="AM761" i="1"/>
  <c r="AO761" i="1"/>
  <c r="AM760" i="1"/>
  <c r="AO760" i="1"/>
  <c r="AM759" i="1"/>
  <c r="AO759" i="1"/>
  <c r="AM758" i="1"/>
  <c r="AO758" i="1"/>
  <c r="AM757" i="1"/>
  <c r="AO757" i="1"/>
  <c r="AM756" i="1"/>
  <c r="AO756" i="1"/>
  <c r="AM755" i="1"/>
  <c r="AO755" i="1"/>
  <c r="AM754" i="1"/>
  <c r="AO754" i="1"/>
  <c r="AM753" i="1"/>
  <c r="AO753" i="1"/>
  <c r="AM752" i="1"/>
  <c r="AO752" i="1"/>
  <c r="AM751" i="1"/>
  <c r="AO751" i="1"/>
  <c r="AM750" i="1"/>
  <c r="AO750" i="1"/>
  <c r="AM749" i="1"/>
  <c r="AO749" i="1"/>
  <c r="AM748" i="1"/>
  <c r="AO748" i="1"/>
  <c r="AM747" i="1"/>
  <c r="AO747" i="1"/>
  <c r="AM746" i="1"/>
  <c r="AO746" i="1"/>
  <c r="AM745" i="1"/>
  <c r="AO745" i="1"/>
  <c r="AM744" i="1"/>
  <c r="AO744" i="1"/>
  <c r="AM743" i="1"/>
  <c r="AO743" i="1"/>
  <c r="AM742" i="1"/>
  <c r="AO742" i="1"/>
  <c r="AM741" i="1"/>
  <c r="AO741" i="1"/>
  <c r="AM740" i="1"/>
  <c r="AO740" i="1"/>
  <c r="AM739" i="1"/>
  <c r="AO739" i="1"/>
  <c r="AM738" i="1"/>
  <c r="AO738" i="1"/>
  <c r="AM737" i="1"/>
  <c r="AO737" i="1"/>
  <c r="AM736" i="1"/>
  <c r="AO736" i="1"/>
  <c r="AM735" i="1"/>
  <c r="AO735" i="1"/>
  <c r="AM734" i="1"/>
  <c r="AO734" i="1"/>
  <c r="AM733" i="1"/>
  <c r="AO733" i="1"/>
  <c r="AM732" i="1"/>
  <c r="AO732" i="1"/>
  <c r="AS805" i="1"/>
  <c r="AS804" i="1"/>
  <c r="AS803" i="1"/>
  <c r="AS802" i="1"/>
  <c r="AS801" i="1"/>
  <c r="AS800" i="1"/>
  <c r="AS799" i="1"/>
  <c r="AS798" i="1"/>
  <c r="AS797" i="1"/>
  <c r="AS796" i="1"/>
  <c r="AS795" i="1"/>
  <c r="AS794" i="1"/>
  <c r="AS793" i="1"/>
  <c r="AS792" i="1"/>
  <c r="AS791" i="1"/>
  <c r="AS790" i="1"/>
  <c r="AS789" i="1"/>
  <c r="AS788" i="1"/>
  <c r="AS787" i="1"/>
  <c r="AS786" i="1"/>
  <c r="AS785" i="1"/>
  <c r="AS784" i="1"/>
  <c r="AS783" i="1"/>
  <c r="AS782" i="1"/>
  <c r="AS781" i="1"/>
  <c r="AS780" i="1"/>
  <c r="AS779" i="1"/>
  <c r="AS778" i="1"/>
  <c r="AS777" i="1"/>
  <c r="AS776" i="1"/>
  <c r="AS775" i="1"/>
  <c r="AS774" i="1"/>
  <c r="AS773" i="1"/>
  <c r="AS772" i="1"/>
  <c r="AS771" i="1"/>
  <c r="AS770" i="1"/>
  <c r="AS769" i="1"/>
  <c r="AS768" i="1"/>
  <c r="AS767" i="1"/>
  <c r="AS766" i="1"/>
  <c r="AS765" i="1"/>
  <c r="AS764" i="1"/>
  <c r="AS763" i="1"/>
  <c r="AN805" i="1"/>
  <c r="AN804" i="1"/>
  <c r="AN803" i="1"/>
  <c r="AN802" i="1"/>
  <c r="AN801" i="1"/>
  <c r="AN800" i="1"/>
  <c r="AN799" i="1"/>
  <c r="AN798" i="1"/>
  <c r="AN797" i="1"/>
  <c r="AN796" i="1"/>
  <c r="AN795" i="1"/>
  <c r="AN794" i="1"/>
  <c r="AN793" i="1"/>
  <c r="AN792" i="1"/>
  <c r="AN791" i="1"/>
  <c r="AN790" i="1"/>
  <c r="AN789" i="1"/>
  <c r="AN788" i="1"/>
  <c r="AN787" i="1"/>
  <c r="AN786" i="1"/>
  <c r="AN785" i="1"/>
  <c r="AN784" i="1"/>
  <c r="AN783" i="1"/>
  <c r="AN782" i="1"/>
  <c r="AN781" i="1"/>
  <c r="AN780" i="1"/>
  <c r="AN779" i="1"/>
  <c r="AN778" i="1"/>
  <c r="AN777" i="1"/>
  <c r="AN776" i="1"/>
  <c r="AN775" i="1"/>
  <c r="AN774" i="1"/>
  <c r="AN773" i="1"/>
  <c r="AN772" i="1"/>
  <c r="AN771" i="1"/>
  <c r="AN770" i="1"/>
  <c r="AN769" i="1"/>
  <c r="AN768" i="1"/>
  <c r="AN767" i="1"/>
  <c r="AN766" i="1"/>
  <c r="AN765" i="1"/>
  <c r="AN764" i="1"/>
  <c r="AN763" i="1"/>
  <c r="AM805" i="1"/>
  <c r="AO805" i="1"/>
  <c r="AM804" i="1"/>
  <c r="AO804" i="1"/>
  <c r="AM803" i="1"/>
  <c r="AO803" i="1"/>
  <c r="AM802" i="1"/>
  <c r="AO802" i="1"/>
  <c r="AM801" i="1"/>
  <c r="AO801" i="1"/>
  <c r="AM800" i="1"/>
  <c r="AO800" i="1"/>
  <c r="AM799" i="1"/>
  <c r="AO799" i="1"/>
  <c r="AM798" i="1"/>
  <c r="AO798" i="1"/>
  <c r="AM797" i="1"/>
  <c r="AO797" i="1"/>
  <c r="AM796" i="1"/>
  <c r="AO796" i="1"/>
  <c r="AM795" i="1"/>
  <c r="AO795" i="1"/>
  <c r="AM794" i="1"/>
  <c r="AO794" i="1"/>
  <c r="AM793" i="1"/>
  <c r="AO793" i="1"/>
  <c r="AM792" i="1"/>
  <c r="AO792" i="1"/>
  <c r="AM791" i="1"/>
  <c r="AO791" i="1"/>
  <c r="AM790" i="1"/>
  <c r="AO790" i="1"/>
  <c r="AM789" i="1"/>
  <c r="AO789" i="1"/>
  <c r="AM788" i="1"/>
  <c r="AO788" i="1"/>
  <c r="AM787" i="1"/>
  <c r="AO787" i="1"/>
  <c r="AM786" i="1"/>
  <c r="AO786" i="1"/>
  <c r="AM785" i="1"/>
  <c r="AO785" i="1"/>
  <c r="AM784" i="1"/>
  <c r="AO784" i="1"/>
  <c r="AM783" i="1"/>
  <c r="AO783" i="1"/>
  <c r="AM782" i="1"/>
  <c r="AO782" i="1"/>
  <c r="AM781" i="1"/>
  <c r="AO781" i="1"/>
  <c r="AM780" i="1"/>
  <c r="AO780" i="1"/>
  <c r="AM779" i="1"/>
  <c r="AO779" i="1"/>
  <c r="AM778" i="1"/>
  <c r="AO778" i="1"/>
  <c r="AM777" i="1"/>
  <c r="AO777" i="1"/>
  <c r="AM776" i="1"/>
  <c r="AO776" i="1"/>
  <c r="AM775" i="1"/>
  <c r="AO775" i="1"/>
  <c r="AM774" i="1"/>
  <c r="AO774" i="1"/>
  <c r="AM773" i="1"/>
  <c r="AO773" i="1"/>
  <c r="AM772" i="1"/>
  <c r="AO772" i="1"/>
  <c r="AM771" i="1"/>
  <c r="AO771" i="1"/>
  <c r="AM770" i="1"/>
  <c r="AO770" i="1"/>
  <c r="AM769" i="1"/>
  <c r="AO769" i="1"/>
  <c r="AM768" i="1"/>
  <c r="AO768" i="1"/>
  <c r="AM767" i="1"/>
  <c r="AO767" i="1"/>
  <c r="AM766" i="1"/>
  <c r="AO766" i="1"/>
  <c r="AM765" i="1"/>
  <c r="AO765" i="1"/>
  <c r="AM764" i="1"/>
  <c r="AO764" i="1"/>
  <c r="AM763" i="1"/>
  <c r="AO763" i="1"/>
  <c r="AR693" i="1"/>
  <c r="AS694" i="1"/>
  <c r="AN694" i="1"/>
  <c r="AM694" i="1"/>
  <c r="AO694" i="1"/>
  <c r="AS653" i="1"/>
  <c r="AN653" i="1"/>
  <c r="AM653" i="1"/>
  <c r="AO653" i="1"/>
  <c r="AS532" i="1"/>
  <c r="AS531" i="1"/>
  <c r="AS529" i="1"/>
  <c r="AS528" i="1"/>
  <c r="AS527" i="1"/>
  <c r="AS526" i="1"/>
  <c r="AS525" i="1"/>
  <c r="AS524" i="1"/>
  <c r="AS523" i="1"/>
  <c r="AS522" i="1"/>
  <c r="AS521" i="1"/>
  <c r="AS520" i="1"/>
  <c r="AS519" i="1"/>
  <c r="AS517" i="1"/>
  <c r="AS516" i="1"/>
  <c r="AS515" i="1"/>
  <c r="AN532" i="1"/>
  <c r="AN531" i="1"/>
  <c r="AN530" i="1"/>
  <c r="AN529" i="1"/>
  <c r="AN528" i="1"/>
  <c r="AN527" i="1"/>
  <c r="AN526" i="1"/>
  <c r="AN525" i="1"/>
  <c r="AN524" i="1"/>
  <c r="AN523" i="1"/>
  <c r="AN522" i="1"/>
  <c r="AN521" i="1"/>
  <c r="AN520" i="1"/>
  <c r="AN519" i="1"/>
  <c r="AN518" i="1"/>
  <c r="AN517" i="1"/>
  <c r="AN516" i="1"/>
  <c r="AN515" i="1"/>
  <c r="AM532" i="1"/>
  <c r="AO532" i="1"/>
  <c r="AM531" i="1"/>
  <c r="AO531" i="1"/>
  <c r="AM530" i="1"/>
  <c r="AO530" i="1"/>
  <c r="AM529" i="1"/>
  <c r="AO529" i="1"/>
  <c r="AM528" i="1"/>
  <c r="AO528" i="1"/>
  <c r="AM527" i="1"/>
  <c r="AO527" i="1"/>
  <c r="AO526" i="1"/>
  <c r="AM526" i="1"/>
  <c r="AM525" i="1"/>
  <c r="AO525" i="1"/>
  <c r="AO524" i="1"/>
  <c r="AM524" i="1"/>
  <c r="AO523" i="1"/>
  <c r="AM523" i="1"/>
  <c r="AO522" i="1"/>
  <c r="AM522" i="1"/>
  <c r="AO521" i="1"/>
  <c r="AM521" i="1"/>
  <c r="AM520" i="1"/>
  <c r="AO520" i="1"/>
  <c r="AM519" i="1"/>
  <c r="AO519" i="1"/>
  <c r="AM518" i="1"/>
  <c r="AO518" i="1"/>
  <c r="AO517" i="1"/>
  <c r="AM517" i="1"/>
  <c r="AM516" i="1"/>
  <c r="AO516" i="1"/>
  <c r="AO515" i="1"/>
  <c r="AM515" i="1"/>
  <c r="AS564" i="1"/>
  <c r="AS563" i="1"/>
  <c r="AS562" i="1"/>
  <c r="AS561" i="1"/>
  <c r="AS560" i="1"/>
  <c r="AS557" i="1"/>
  <c r="AS554" i="1"/>
  <c r="AS551" i="1"/>
  <c r="AS550" i="1"/>
  <c r="AS549" i="1"/>
  <c r="AS546" i="1"/>
  <c r="AS545" i="1"/>
  <c r="AS544" i="1"/>
  <c r="AS543" i="1"/>
  <c r="AS542" i="1"/>
  <c r="AS541" i="1"/>
  <c r="AS540" i="1"/>
  <c r="AS539" i="1"/>
  <c r="AS538" i="1"/>
  <c r="AS537" i="1"/>
  <c r="AS536" i="1"/>
  <c r="AS535" i="1"/>
  <c r="AS534" i="1"/>
  <c r="AS533" i="1"/>
  <c r="AN564" i="1"/>
  <c r="AN563" i="1"/>
  <c r="AN562" i="1"/>
  <c r="AN561" i="1"/>
  <c r="AN560" i="1"/>
  <c r="AN557" i="1"/>
  <c r="AN554" i="1"/>
  <c r="AN551" i="1"/>
  <c r="AN550" i="1"/>
  <c r="AN549" i="1"/>
  <c r="AN547" i="1"/>
  <c r="AN546" i="1"/>
  <c r="AN545" i="1"/>
  <c r="AN544" i="1"/>
  <c r="AN543" i="1"/>
  <c r="AN542" i="1"/>
  <c r="AN541" i="1"/>
  <c r="AN540" i="1"/>
  <c r="AN539" i="1"/>
  <c r="AN538" i="1"/>
  <c r="AN537" i="1"/>
  <c r="AN536" i="1"/>
  <c r="AN535" i="1"/>
  <c r="AN534" i="1"/>
  <c r="AN533" i="1"/>
  <c r="AO564" i="1"/>
  <c r="AM564" i="1"/>
  <c r="AM563" i="1"/>
  <c r="AO563" i="1"/>
  <c r="AO562" i="1"/>
  <c r="AM562" i="1"/>
  <c r="AO561" i="1"/>
  <c r="AM561" i="1"/>
  <c r="AO560" i="1"/>
  <c r="AM560" i="1"/>
  <c r="AO557" i="1"/>
  <c r="AM557" i="1"/>
  <c r="AM554" i="1"/>
  <c r="AO554" i="1"/>
  <c r="AO551" i="1"/>
  <c r="AM551" i="1"/>
  <c r="AO550" i="1"/>
  <c r="AM550" i="1"/>
  <c r="AO549" i="1"/>
  <c r="AM549" i="1"/>
  <c r="AM547" i="1"/>
  <c r="AO547" i="1"/>
  <c r="AO546" i="1"/>
  <c r="AM546" i="1"/>
  <c r="AO545" i="1"/>
  <c r="AM545" i="1"/>
  <c r="AO544" i="1"/>
  <c r="AM544" i="1"/>
  <c r="AO543" i="1"/>
  <c r="AM543" i="1"/>
  <c r="AO542" i="1"/>
  <c r="AM542" i="1"/>
  <c r="AO541" i="1"/>
  <c r="AM541" i="1"/>
  <c r="AO540" i="1"/>
  <c r="AM540" i="1"/>
  <c r="AO538" i="1"/>
  <c r="AM538" i="1"/>
  <c r="AO537" i="1"/>
  <c r="AM537" i="1"/>
  <c r="AM536" i="1"/>
  <c r="AO536" i="1"/>
  <c r="AM535" i="1"/>
  <c r="AO535" i="1"/>
  <c r="AO534" i="1"/>
  <c r="AM534" i="1"/>
  <c r="AO533" i="1"/>
  <c r="AM533" i="1"/>
  <c r="AS548" i="1"/>
  <c r="AN548" i="1"/>
  <c r="AO548" i="1"/>
  <c r="AM548" i="1"/>
  <c r="AS604" i="1"/>
  <c r="AN643" i="1"/>
  <c r="AS576" i="1"/>
  <c r="AS601" i="1"/>
  <c r="AS609" i="1"/>
  <c r="AN566" i="1"/>
  <c r="AS583" i="1"/>
  <c r="AS581" i="1"/>
  <c r="AS587" i="1"/>
  <c r="AS595" i="1"/>
  <c r="AS591" i="1"/>
  <c r="AS648" i="1"/>
  <c r="AN633" i="1"/>
  <c r="AS584" i="1"/>
  <c r="AS613" i="1"/>
  <c r="AS643" i="1"/>
  <c r="AS608" i="1"/>
  <c r="AN630" i="1"/>
  <c r="AN580" i="1"/>
  <c r="AS620" i="1"/>
  <c r="AN648" i="1"/>
  <c r="AN594" i="1"/>
  <c r="AS592" i="1"/>
  <c r="AN587" i="1"/>
  <c r="AN601" i="1"/>
  <c r="AS602" i="1"/>
  <c r="AS627" i="1"/>
  <c r="AS586" i="1"/>
  <c r="AN596" i="1"/>
  <c r="AO598" i="1"/>
  <c r="AM598" i="1"/>
  <c r="AN623" i="1"/>
  <c r="AS628" i="1"/>
  <c r="AO641" i="1"/>
  <c r="AM641" i="1"/>
  <c r="AS570" i="1"/>
  <c r="AS597" i="1"/>
  <c r="AO572" i="1"/>
  <c r="AM572" i="1"/>
  <c r="AN641" i="1"/>
  <c r="AO621" i="1"/>
  <c r="AM621" i="1"/>
  <c r="AS634" i="1"/>
  <c r="AN584" i="1"/>
  <c r="AO568" i="1"/>
  <c r="AM568" i="1"/>
  <c r="AO595" i="1"/>
  <c r="AM595" i="1"/>
  <c r="AS617" i="1"/>
  <c r="AO630" i="1"/>
  <c r="AM630" i="1"/>
  <c r="AO591" i="1"/>
  <c r="AM591" i="1"/>
  <c r="AN610" i="1"/>
  <c r="AO638" i="1"/>
  <c r="AM638" i="1"/>
  <c r="AN571" i="1"/>
  <c r="AM609" i="1"/>
  <c r="AO609" i="1"/>
  <c r="AN568" i="1"/>
  <c r="AO571" i="1"/>
  <c r="AM571" i="1"/>
  <c r="AS580" i="1"/>
  <c r="AO619" i="1"/>
  <c r="AM619" i="1"/>
  <c r="AS578" i="1"/>
  <c r="AN597" i="1"/>
  <c r="AN625" i="1"/>
  <c r="AS619" i="1"/>
  <c r="AN570" i="1"/>
  <c r="AO618" i="1"/>
  <c r="AM618" i="1"/>
  <c r="AO626" i="1"/>
  <c r="AM626" i="1"/>
  <c r="AN645" i="1"/>
  <c r="AM645" i="1"/>
  <c r="AO645" i="1"/>
  <c r="AN620" i="1"/>
  <c r="AS631" i="1"/>
  <c r="AN579" i="1"/>
  <c r="AO622" i="1"/>
  <c r="AM622" i="1"/>
  <c r="AN615" i="1"/>
  <c r="AM617" i="1"/>
  <c r="AO617" i="1"/>
  <c r="AN649" i="1"/>
  <c r="AM629" i="1"/>
  <c r="AO629" i="1"/>
  <c r="AS579" i="1"/>
  <c r="AN572" i="1"/>
  <c r="AO589" i="1"/>
  <c r="AM589" i="1"/>
  <c r="AM636" i="1"/>
  <c r="AN607" i="1"/>
  <c r="AN603" i="1"/>
  <c r="AS590" i="1"/>
  <c r="AO606" i="1"/>
  <c r="AM606" i="1"/>
  <c r="AS600" i="1"/>
  <c r="AO578" i="1"/>
  <c r="AM578" i="1"/>
  <c r="AO585" i="1"/>
  <c r="AM585" i="1"/>
  <c r="AO601" i="1"/>
  <c r="AM601" i="1"/>
  <c r="AN581" i="1"/>
  <c r="AO639" i="1"/>
  <c r="AM639" i="1"/>
  <c r="AM648" i="1"/>
  <c r="AN565" i="1"/>
  <c r="AM579" i="1"/>
  <c r="AO579" i="1"/>
  <c r="AN605" i="1"/>
  <c r="AN632" i="1"/>
  <c r="AM612" i="1"/>
  <c r="AO612" i="1"/>
  <c r="AS566" i="1"/>
  <c r="AS640" i="1"/>
  <c r="AM608" i="1"/>
  <c r="AO608" i="1"/>
  <c r="AS598" i="1"/>
  <c r="AN595" i="1"/>
  <c r="AN591" i="1"/>
  <c r="AO602" i="1"/>
  <c r="AM602" i="1"/>
  <c r="AN621" i="1"/>
  <c r="AO649" i="1"/>
  <c r="AM649" i="1"/>
  <c r="AO643" i="1"/>
  <c r="AM643" i="1"/>
  <c r="AO611" i="1"/>
  <c r="AM611" i="1"/>
  <c r="AO652" i="1"/>
  <c r="AM652" i="1"/>
  <c r="AS596" i="1"/>
  <c r="AN639" i="1"/>
  <c r="AO620" i="1"/>
  <c r="AM620" i="1"/>
  <c r="AN586" i="1"/>
  <c r="AO565" i="1"/>
  <c r="AM565" i="1"/>
  <c r="AN588" i="1"/>
  <c r="AN617" i="1"/>
  <c r="AO592" i="1"/>
  <c r="AM592" i="1"/>
  <c r="AO646" i="1"/>
  <c r="AM646" i="1"/>
  <c r="AO590" i="1"/>
  <c r="AM590" i="1"/>
  <c r="AO637" i="1"/>
  <c r="AM637" i="1"/>
  <c r="AS514" i="1"/>
  <c r="AO610" i="1"/>
  <c r="AM610" i="1"/>
  <c r="AN628" i="1"/>
  <c r="AN616" i="1"/>
  <c r="AO600" i="1"/>
  <c r="AM600" i="1"/>
  <c r="AO623" i="1"/>
  <c r="AM623" i="1"/>
  <c r="AS614" i="1"/>
  <c r="AO627" i="1"/>
  <c r="AM627" i="1"/>
  <c r="AO651" i="1"/>
  <c r="AM651" i="1"/>
  <c r="AO576" i="1"/>
  <c r="AM576" i="1"/>
  <c r="AM587" i="1"/>
  <c r="AO587" i="1"/>
  <c r="AN613" i="1"/>
  <c r="AO577" i="1"/>
  <c r="AM577" i="1"/>
  <c r="AS599" i="1"/>
  <c r="AO647" i="1"/>
  <c r="AM647" i="1"/>
  <c r="AN651" i="1"/>
  <c r="AO631" i="1"/>
  <c r="AM631" i="1"/>
  <c r="AS568" i="1"/>
  <c r="AM575" i="1"/>
  <c r="AO575" i="1"/>
  <c r="AO625" i="1"/>
  <c r="AM625" i="1"/>
  <c r="AO596" i="1"/>
  <c r="AM596" i="1"/>
  <c r="AN585" i="1"/>
  <c r="AO583" i="1"/>
  <c r="AM583" i="1"/>
  <c r="AO569" i="1"/>
  <c r="AM569" i="1"/>
  <c r="AO634" i="1"/>
  <c r="AM634" i="1"/>
  <c r="AS565" i="1"/>
  <c r="AN636" i="1"/>
  <c r="AN599" i="1"/>
  <c r="AN574" i="1"/>
  <c r="AN637" i="1"/>
  <c r="AO597" i="1"/>
  <c r="AM597" i="1"/>
  <c r="AN652" i="1"/>
  <c r="AO632" i="1"/>
  <c r="AM632" i="1"/>
  <c r="AN635" i="1"/>
  <c r="AO615" i="1"/>
  <c r="AM615" i="1"/>
  <c r="AO613" i="1"/>
  <c r="AM613" i="1"/>
  <c r="AO640" i="1"/>
  <c r="AM640" i="1"/>
  <c r="AO614" i="1"/>
  <c r="AM614" i="1"/>
  <c r="AS626" i="1"/>
  <c r="AS572" i="1"/>
  <c r="AO635" i="1"/>
  <c r="AM635" i="1"/>
  <c r="AS577" i="1"/>
  <c r="AN577" i="1"/>
  <c r="AN598" i="1"/>
  <c r="AN593" i="1"/>
  <c r="AO574" i="1"/>
  <c r="AM574" i="1"/>
  <c r="AN612" i="1"/>
  <c r="AN582" i="1"/>
  <c r="AS632" i="1"/>
  <c r="AN576" i="1"/>
  <c r="AS605" i="1"/>
  <c r="AO616" i="1"/>
  <c r="AM616" i="1"/>
  <c r="AS574" i="1"/>
  <c r="AO581" i="1"/>
  <c r="AM581" i="1"/>
  <c r="AN606" i="1"/>
  <c r="AN618" i="1"/>
  <c r="AN650" i="1"/>
  <c r="AN602" i="1"/>
  <c r="AN640" i="1"/>
  <c r="AO644" i="1"/>
  <c r="AM644" i="1"/>
  <c r="AN604" i="1"/>
  <c r="AM633" i="1"/>
  <c r="AO633" i="1"/>
  <c r="AO594" i="1"/>
  <c r="AM594" i="1"/>
  <c r="AM573" i="1"/>
  <c r="AO573" i="1"/>
  <c r="AN631" i="1"/>
  <c r="AM586" i="1"/>
  <c r="AO586" i="1"/>
  <c r="AN569" i="1"/>
  <c r="AS616" i="1"/>
  <c r="AS588" i="1"/>
  <c r="AN619" i="1"/>
  <c r="AO566" i="1"/>
  <c r="AM566" i="1"/>
  <c r="AN589" i="1"/>
  <c r="AS623" i="1"/>
  <c r="AS607" i="1"/>
  <c r="AN638" i="1"/>
  <c r="AS603" i="1"/>
  <c r="AN646" i="1"/>
  <c r="AN590" i="1"/>
  <c r="AN567" i="1"/>
  <c r="AN573" i="1"/>
  <c r="AS647" i="1"/>
  <c r="AS606" i="1"/>
  <c r="AO570" i="1"/>
  <c r="AM570" i="1"/>
  <c r="AN611" i="1"/>
  <c r="AN647" i="1"/>
  <c r="AO593" i="1"/>
  <c r="AM593" i="1"/>
  <c r="AO605" i="1"/>
  <c r="AM605" i="1"/>
  <c r="AM582" i="1"/>
  <c r="AO582" i="1"/>
  <c r="AN608" i="1"/>
  <c r="AS624" i="1"/>
  <c r="AS641" i="1"/>
  <c r="AN626" i="1"/>
  <c r="AN634" i="1"/>
  <c r="AS594" i="1"/>
  <c r="AN627" i="1"/>
  <c r="AN575" i="1"/>
  <c r="AS645" i="1"/>
  <c r="AN609" i="1"/>
  <c r="AO604" i="1"/>
  <c r="AM604" i="1"/>
  <c r="AS567" i="1"/>
  <c r="AO628" i="1"/>
  <c r="AM628" i="1"/>
  <c r="AN578" i="1"/>
  <c r="AN600" i="1"/>
  <c r="AN642" i="1"/>
  <c r="AO599" i="1"/>
  <c r="AM599" i="1"/>
  <c r="AN624" i="1"/>
  <c r="AO584" i="1"/>
  <c r="AM584" i="1"/>
  <c r="AN644" i="1"/>
  <c r="AS635" i="1"/>
  <c r="AS582" i="1"/>
  <c r="AS589" i="1"/>
  <c r="AS611" i="1"/>
  <c r="AM624" i="1"/>
  <c r="AM588" i="1"/>
  <c r="AO588" i="1"/>
  <c r="AS575" i="1"/>
  <c r="AO567" i="1"/>
  <c r="AM567" i="1"/>
  <c r="AN592" i="1"/>
  <c r="AS633" i="1"/>
  <c r="AO580" i="1"/>
  <c r="AM580" i="1"/>
  <c r="AO607" i="1"/>
  <c r="AM607" i="1"/>
  <c r="AS629" i="1"/>
  <c r="AN614" i="1"/>
  <c r="AO642" i="1"/>
  <c r="AM642" i="1"/>
  <c r="AO603" i="1"/>
  <c r="AM603" i="1"/>
  <c r="AN622" i="1"/>
  <c r="AO650" i="1"/>
  <c r="AM650" i="1"/>
  <c r="AN583" i="1"/>
  <c r="AN514" i="1"/>
  <c r="AO514" i="1"/>
  <c r="AM514" i="1"/>
  <c r="AS279" i="1"/>
  <c r="AS155" i="1"/>
  <c r="AS323" i="1"/>
  <c r="AS27" i="1"/>
  <c r="AS181" i="1"/>
  <c r="AS235" i="1"/>
  <c r="AR415" i="1"/>
  <c r="AS44" i="1"/>
  <c r="AR418" i="1"/>
  <c r="AS176" i="1"/>
  <c r="AS272" i="1"/>
  <c r="AS201" i="1"/>
  <c r="AR412" i="1"/>
  <c r="AS122" i="1"/>
  <c r="AS225" i="1"/>
  <c r="AS268" i="1"/>
  <c r="AS281" i="1"/>
  <c r="AS125" i="1"/>
  <c r="AS37" i="1"/>
  <c r="AS54" i="1"/>
  <c r="AS121" i="1"/>
  <c r="AS254" i="1"/>
  <c r="AS191" i="1"/>
  <c r="AS120" i="1"/>
  <c r="AS221" i="1"/>
  <c r="AS177" i="1"/>
  <c r="AS174" i="1"/>
  <c r="AS90" i="1"/>
  <c r="AS236" i="1"/>
  <c r="AS248" i="1"/>
  <c r="AS165" i="1"/>
  <c r="AS434" i="1"/>
  <c r="AS48" i="1"/>
  <c r="AS159" i="1"/>
  <c r="AS425" i="1"/>
  <c r="AS429" i="1"/>
  <c r="AM495" i="1"/>
  <c r="AO495" i="1"/>
  <c r="AN434" i="1"/>
  <c r="AS495" i="1"/>
  <c r="AS427" i="1"/>
  <c r="AM434" i="1"/>
  <c r="AO434" i="1"/>
  <c r="AN495" i="1"/>
  <c r="AM428" i="1"/>
  <c r="AO428" i="1"/>
  <c r="AN428" i="1"/>
  <c r="AN427" i="1"/>
  <c r="AN429" i="1"/>
  <c r="AM429" i="1"/>
  <c r="AO429" i="1"/>
  <c r="AO427" i="1"/>
  <c r="AM427" i="1"/>
  <c r="AS428" i="1"/>
  <c r="AS456" i="1"/>
  <c r="AS443" i="1"/>
  <c r="AS448" i="1"/>
  <c r="AS391" i="1"/>
  <c r="AS426" i="1"/>
  <c r="AS160" i="1"/>
  <c r="AN393" i="1"/>
  <c r="AS424" i="1"/>
  <c r="AS423" i="1"/>
  <c r="AS45" i="1"/>
  <c r="AS161" i="1"/>
  <c r="AS444" i="1"/>
  <c r="AS390" i="1"/>
  <c r="AS393" i="1"/>
  <c r="AN390" i="1"/>
  <c r="AN426" i="1"/>
  <c r="AS392" i="1"/>
  <c r="AN392" i="1"/>
  <c r="AO389" i="1"/>
  <c r="AM389" i="1"/>
  <c r="AS394" i="1"/>
  <c r="AN391" i="1"/>
  <c r="AM424" i="1"/>
  <c r="AO424" i="1"/>
  <c r="AO390" i="1"/>
  <c r="AM390" i="1"/>
  <c r="AM391" i="1"/>
  <c r="AS389" i="1"/>
  <c r="AO423" i="1"/>
  <c r="AM423" i="1"/>
  <c r="AN425" i="1"/>
  <c r="AO393" i="1"/>
  <c r="AM393" i="1"/>
  <c r="AN394" i="1"/>
  <c r="AN424" i="1"/>
  <c r="AO394" i="1"/>
  <c r="AM394" i="1"/>
  <c r="AM425" i="1"/>
  <c r="AO425" i="1"/>
  <c r="AO392" i="1"/>
  <c r="AM392" i="1"/>
  <c r="AM426" i="1"/>
  <c r="AO426" i="1"/>
  <c r="AN423" i="1"/>
  <c r="AS172" i="1"/>
  <c r="AN389" i="1"/>
  <c r="AS21" i="1"/>
  <c r="AS162" i="1"/>
  <c r="AS158" i="1"/>
  <c r="AN168" i="1"/>
  <c r="AS450" i="1"/>
  <c r="AS441" i="1"/>
  <c r="AS168" i="1"/>
  <c r="AN158" i="1"/>
  <c r="AS171" i="1"/>
  <c r="AS22" i="1"/>
  <c r="AS317" i="1"/>
  <c r="AS19" i="1"/>
  <c r="AS348" i="1"/>
  <c r="AM380" i="1"/>
  <c r="AS385" i="1"/>
  <c r="AS28" i="1"/>
  <c r="AS371" i="1"/>
  <c r="AS362" i="1"/>
  <c r="AS167" i="1"/>
  <c r="AS16" i="1"/>
  <c r="AS356" i="1"/>
  <c r="AS112" i="1"/>
  <c r="AS302" i="1"/>
  <c r="AS32" i="1"/>
  <c r="AS380" i="1"/>
  <c r="AS369" i="1"/>
  <c r="AN161" i="1"/>
  <c r="AS17" i="1"/>
  <c r="AS490" i="1"/>
  <c r="AS373" i="1"/>
  <c r="AS440" i="1"/>
  <c r="AN18" i="1"/>
  <c r="AN173" i="1"/>
  <c r="AS435" i="1"/>
  <c r="AS24" i="1"/>
  <c r="AS364" i="1"/>
  <c r="AN355" i="1"/>
  <c r="AN350" i="1"/>
  <c r="AN30" i="1"/>
  <c r="AS436" i="1"/>
  <c r="AS361" i="1"/>
  <c r="AS483" i="1"/>
  <c r="AN367" i="1"/>
  <c r="AS367" i="1"/>
  <c r="AS163" i="1"/>
  <c r="AS374" i="1"/>
  <c r="AS352" i="1"/>
  <c r="AN159" i="1"/>
  <c r="AN162" i="1"/>
  <c r="AS31" i="1"/>
  <c r="AS25" i="1"/>
  <c r="AS169" i="1"/>
  <c r="AS173" i="1"/>
  <c r="AS29" i="1"/>
  <c r="AS347" i="1"/>
  <c r="AS228" i="1"/>
  <c r="AN24" i="1"/>
  <c r="AN19" i="1"/>
  <c r="AS164" i="1"/>
  <c r="AN20" i="1"/>
  <c r="AN28" i="1"/>
  <c r="AS26" i="1"/>
  <c r="AN169" i="1"/>
  <c r="AS166" i="1"/>
  <c r="AN27" i="1"/>
  <c r="AN26" i="1"/>
  <c r="AN29" i="1"/>
  <c r="AN31" i="1"/>
  <c r="AN165" i="1"/>
  <c r="AN17" i="1"/>
  <c r="AS357" i="1"/>
  <c r="AN21" i="1"/>
  <c r="AS30" i="1"/>
  <c r="AS20" i="1"/>
  <c r="AS18" i="1"/>
  <c r="AN436" i="1"/>
  <c r="AS479" i="1"/>
  <c r="AS410" i="1"/>
  <c r="AN417" i="1"/>
  <c r="AS485" i="1"/>
  <c r="AN170" i="1"/>
  <c r="AN163" i="1"/>
  <c r="AN160" i="1"/>
  <c r="AS324" i="1"/>
  <c r="AN22" i="1"/>
  <c r="AN166" i="1"/>
  <c r="AN16" i="1"/>
  <c r="AN172" i="1"/>
  <c r="AN23" i="1"/>
  <c r="AN25" i="1"/>
  <c r="AS370" i="1"/>
  <c r="AS350" i="1"/>
  <c r="AN167" i="1"/>
  <c r="AS353" i="1"/>
  <c r="AS110" i="1"/>
  <c r="AS150" i="1"/>
  <c r="AS287" i="1"/>
  <c r="AS133" i="1"/>
  <c r="AS113" i="1"/>
  <c r="AS118" i="1"/>
  <c r="AS274" i="1"/>
  <c r="AS245" i="1"/>
  <c r="AS307" i="1"/>
  <c r="AS134" i="1"/>
  <c r="AS138" i="1"/>
  <c r="AS98" i="1"/>
  <c r="AS119" i="1"/>
  <c r="AS273" i="1"/>
  <c r="AS303" i="1"/>
  <c r="AN448" i="1"/>
  <c r="AO364" i="1"/>
  <c r="AM364" i="1"/>
  <c r="AO361" i="1"/>
  <c r="AM361" i="1"/>
  <c r="AN164" i="1"/>
  <c r="AO356" i="1"/>
  <c r="AM356" i="1"/>
  <c r="AN370" i="1"/>
  <c r="AO358" i="1"/>
  <c r="AM358" i="1"/>
  <c r="AO365" i="1"/>
  <c r="AM365" i="1"/>
  <c r="AS442" i="1"/>
  <c r="AN348" i="1"/>
  <c r="AN354" i="1"/>
  <c r="AO369" i="1"/>
  <c r="AM369" i="1"/>
  <c r="AO363" i="1"/>
  <c r="AM363" i="1"/>
  <c r="AS346" i="1"/>
  <c r="AO349" i="1"/>
  <c r="AM349" i="1"/>
  <c r="AO354" i="1"/>
  <c r="AM354" i="1"/>
  <c r="AS378" i="1"/>
  <c r="AS384" i="1"/>
  <c r="AO374" i="1"/>
  <c r="AM374" i="1"/>
  <c r="AO350" i="1"/>
  <c r="AM350" i="1"/>
  <c r="AS354" i="1"/>
  <c r="AO370" i="1"/>
  <c r="AM370" i="1"/>
  <c r="AS355" i="1"/>
  <c r="AO359" i="1"/>
  <c r="AM359" i="1"/>
  <c r="AN372" i="1"/>
  <c r="AN171" i="1"/>
  <c r="AS23" i="1"/>
  <c r="AN486" i="1"/>
  <c r="AN445" i="1"/>
  <c r="AS445" i="1"/>
  <c r="AS475" i="1"/>
  <c r="AO357" i="1"/>
  <c r="AM357" i="1"/>
  <c r="AN374" i="1"/>
  <c r="AN346" i="1"/>
  <c r="AO360" i="1"/>
  <c r="AM360" i="1"/>
  <c r="AS351" i="1"/>
  <c r="AS363" i="1"/>
  <c r="AN353" i="1"/>
  <c r="AO367" i="1"/>
  <c r="AM367" i="1"/>
  <c r="AS170" i="1"/>
  <c r="AS212" i="1"/>
  <c r="AS405" i="1"/>
  <c r="AN387" i="1"/>
  <c r="AN376" i="1"/>
  <c r="AS467" i="1"/>
  <c r="AS446" i="1"/>
  <c r="AN461" i="1"/>
  <c r="AS431" i="1"/>
  <c r="AN360" i="1"/>
  <c r="AS359" i="1"/>
  <c r="AO346" i="1"/>
  <c r="AM346" i="1"/>
  <c r="AS368" i="1"/>
  <c r="AS360" i="1"/>
  <c r="AS372" i="1"/>
  <c r="AN347" i="1"/>
  <c r="AO347" i="1"/>
  <c r="AM347" i="1"/>
  <c r="AN358" i="1"/>
  <c r="AO372" i="1"/>
  <c r="AM372" i="1"/>
  <c r="AN368" i="1"/>
  <c r="AO371" i="1"/>
  <c r="AM371" i="1"/>
  <c r="AN365" i="1"/>
  <c r="AS472" i="1"/>
  <c r="AS439" i="1"/>
  <c r="AN442" i="1"/>
  <c r="AS375" i="1"/>
  <c r="AS421" i="1"/>
  <c r="AN401" i="1"/>
  <c r="AS455" i="1"/>
  <c r="AN447" i="1"/>
  <c r="AS477" i="1"/>
  <c r="AS470" i="1"/>
  <c r="AS482" i="1"/>
  <c r="AN366" i="1"/>
  <c r="AO351" i="1"/>
  <c r="AM351" i="1"/>
  <c r="AN357" i="1"/>
  <c r="AO348" i="1"/>
  <c r="AM348" i="1"/>
  <c r="AO355" i="1"/>
  <c r="AM355" i="1"/>
  <c r="AS386" i="1"/>
  <c r="AS415" i="1"/>
  <c r="AO362" i="1"/>
  <c r="AM362" i="1"/>
  <c r="AN361" i="1"/>
  <c r="AN362" i="1"/>
  <c r="AN373" i="1"/>
  <c r="AS349" i="1"/>
  <c r="AN363" i="1"/>
  <c r="AN364" i="1"/>
  <c r="AS366" i="1"/>
  <c r="AN351" i="1"/>
  <c r="AN371" i="1"/>
  <c r="AS365" i="1"/>
  <c r="AS416" i="1"/>
  <c r="AS463" i="1"/>
  <c r="AO368" i="1"/>
  <c r="AM368" i="1"/>
  <c r="AN369" i="1"/>
  <c r="AO353" i="1"/>
  <c r="AM353" i="1"/>
  <c r="AO352" i="1"/>
  <c r="AM352" i="1"/>
  <c r="AN349" i="1"/>
  <c r="AS358" i="1"/>
  <c r="AN352" i="1"/>
  <c r="AO366" i="1"/>
  <c r="AM366" i="1"/>
  <c r="AN356" i="1"/>
  <c r="AN359" i="1"/>
  <c r="AO373" i="1"/>
  <c r="AM373" i="1"/>
  <c r="AS49" i="1"/>
  <c r="AS194" i="1"/>
  <c r="AS382" i="1"/>
  <c r="AN402" i="1"/>
  <c r="AN375" i="1"/>
  <c r="AS422" i="1"/>
  <c r="AN380" i="1"/>
  <c r="AS397" i="1"/>
  <c r="AS409" i="1"/>
  <c r="AS459" i="1"/>
  <c r="AS471" i="1"/>
  <c r="AS237" i="1"/>
  <c r="AS102" i="1"/>
  <c r="AS41" i="1"/>
  <c r="AN450" i="1"/>
  <c r="AS214" i="1"/>
  <c r="AS325" i="1"/>
  <c r="AN438" i="1"/>
  <c r="AN462" i="1"/>
  <c r="AN415" i="1"/>
  <c r="AS388" i="1"/>
  <c r="AS452" i="1"/>
  <c r="AN405" i="1"/>
  <c r="AN408" i="1"/>
  <c r="AS494" i="1"/>
  <c r="AS491" i="1"/>
  <c r="AM419" i="1"/>
  <c r="AO419" i="1"/>
  <c r="AO410" i="1"/>
  <c r="AM410" i="1"/>
  <c r="AM381" i="1"/>
  <c r="AO381" i="1"/>
  <c r="AN458" i="1"/>
  <c r="AS197" i="1"/>
  <c r="AS211" i="1"/>
  <c r="AO395" i="1"/>
  <c r="AM395" i="1"/>
  <c r="AS460" i="1"/>
  <c r="AO477" i="1"/>
  <c r="AM477" i="1"/>
  <c r="AN474" i="1"/>
  <c r="AM411" i="1"/>
  <c r="AO411" i="1"/>
  <c r="AO382" i="1"/>
  <c r="AM382" i="1"/>
  <c r="AM405" i="1"/>
  <c r="AO405" i="1"/>
  <c r="AS395" i="1"/>
  <c r="AN407" i="1"/>
  <c r="AS461" i="1"/>
  <c r="AO456" i="1"/>
  <c r="AM456" i="1"/>
  <c r="AS468" i="1"/>
  <c r="AO408" i="1"/>
  <c r="AM408" i="1"/>
  <c r="AN449" i="1"/>
  <c r="AN492" i="1"/>
  <c r="AN493" i="1"/>
  <c r="AS458" i="1"/>
  <c r="AS493" i="1"/>
  <c r="AS66" i="1"/>
  <c r="AN451" i="1"/>
  <c r="AS377" i="1"/>
  <c r="AS492" i="1"/>
  <c r="AN386" i="1"/>
  <c r="AO435" i="1"/>
  <c r="AM435" i="1"/>
  <c r="AS399" i="1"/>
  <c r="AO481" i="1"/>
  <c r="AM481" i="1"/>
  <c r="AN378" i="1"/>
  <c r="AO441" i="1"/>
  <c r="AM441" i="1"/>
  <c r="AM416" i="1"/>
  <c r="AO416" i="1"/>
  <c r="AN398" i="1"/>
  <c r="AN403" i="1"/>
  <c r="AN421" i="1"/>
  <c r="AS487" i="1"/>
  <c r="AN381" i="1"/>
  <c r="AS381" i="1"/>
  <c r="AS396" i="1"/>
  <c r="AS408" i="1"/>
  <c r="AN439" i="1"/>
  <c r="AN485" i="1"/>
  <c r="AS411" i="1"/>
  <c r="AO433" i="1"/>
  <c r="AM433" i="1"/>
  <c r="AO440" i="1"/>
  <c r="AM440" i="1"/>
  <c r="AO460" i="1"/>
  <c r="AM460" i="1"/>
  <c r="AO478" i="1"/>
  <c r="AM478" i="1"/>
  <c r="AS469" i="1"/>
  <c r="AN459" i="1"/>
  <c r="AN471" i="1"/>
  <c r="AN483" i="1"/>
  <c r="AN494" i="1"/>
  <c r="AO487" i="1"/>
  <c r="AM487" i="1"/>
  <c r="AO489" i="1"/>
  <c r="AM489" i="1"/>
  <c r="AO398" i="1"/>
  <c r="AM398" i="1"/>
  <c r="AM445" i="1"/>
  <c r="AO445" i="1"/>
  <c r="AN468" i="1"/>
  <c r="AO446" i="1"/>
  <c r="AM446" i="1"/>
  <c r="AO399" i="1"/>
  <c r="AM399" i="1"/>
  <c r="AO443" i="1"/>
  <c r="AM443" i="1"/>
  <c r="AN457" i="1"/>
  <c r="AN491" i="1"/>
  <c r="AO397" i="1"/>
  <c r="AM397" i="1"/>
  <c r="AS223" i="1"/>
  <c r="AS311" i="1"/>
  <c r="AS82" i="1"/>
  <c r="AO479" i="1"/>
  <c r="AM479" i="1"/>
  <c r="AS438" i="1"/>
  <c r="AN465" i="1"/>
  <c r="AN431" i="1"/>
  <c r="AS398" i="1"/>
  <c r="AN385" i="1"/>
  <c r="AS401" i="1"/>
  <c r="AO377" i="1"/>
  <c r="AM377" i="1"/>
  <c r="AN397" i="1"/>
  <c r="AN409" i="1"/>
  <c r="AS437" i="1"/>
  <c r="AO482" i="1"/>
  <c r="AM482" i="1"/>
  <c r="AM384" i="1"/>
  <c r="AS400" i="1"/>
  <c r="AS451" i="1"/>
  <c r="AN460" i="1"/>
  <c r="AN437" i="1"/>
  <c r="AN452" i="1"/>
  <c r="AS462" i="1"/>
  <c r="AS474" i="1"/>
  <c r="AS486" i="1"/>
  <c r="AS210" i="1"/>
  <c r="AM471" i="1"/>
  <c r="AO471" i="1"/>
  <c r="AN433" i="1"/>
  <c r="AN416" i="1"/>
  <c r="AS321" i="1"/>
  <c r="AM385" i="1"/>
  <c r="AO385" i="1"/>
  <c r="AM465" i="1"/>
  <c r="AO465" i="1"/>
  <c r="AO469" i="1"/>
  <c r="AM469" i="1"/>
  <c r="AS203" i="1"/>
  <c r="AS193" i="1"/>
  <c r="AS298" i="1"/>
  <c r="AN400" i="1"/>
  <c r="AO386" i="1"/>
  <c r="AM386" i="1"/>
  <c r="AO442" i="1"/>
  <c r="AM442" i="1"/>
  <c r="AO488" i="1"/>
  <c r="AM488" i="1"/>
  <c r="AM438" i="1"/>
  <c r="AO438" i="1"/>
  <c r="AN406" i="1"/>
  <c r="AN388" i="1"/>
  <c r="AN410" i="1"/>
  <c r="AS412" i="1"/>
  <c r="AS473" i="1"/>
  <c r="AN395" i="1"/>
  <c r="AN443" i="1"/>
  <c r="AO476" i="1"/>
  <c r="AM476" i="1"/>
  <c r="AN430" i="1"/>
  <c r="AN464" i="1"/>
  <c r="AO466" i="1"/>
  <c r="AM466" i="1"/>
  <c r="AN463" i="1"/>
  <c r="AN475" i="1"/>
  <c r="AN487" i="1"/>
  <c r="AO485" i="1"/>
  <c r="AM485" i="1"/>
  <c r="AO417" i="1"/>
  <c r="AM417" i="1"/>
  <c r="AO464" i="1"/>
  <c r="AM464" i="1"/>
  <c r="AN466" i="1"/>
  <c r="AO403" i="1"/>
  <c r="AM403" i="1"/>
  <c r="AO493" i="1"/>
  <c r="AM493" i="1"/>
  <c r="AN412" i="1"/>
  <c r="AO375" i="1"/>
  <c r="AM375" i="1"/>
  <c r="AS222" i="1"/>
  <c r="AS226" i="1"/>
  <c r="AS103" i="1"/>
  <c r="AS104" i="1"/>
  <c r="AN384" i="1"/>
  <c r="AN480" i="1"/>
  <c r="AO378" i="1"/>
  <c r="AM378" i="1"/>
  <c r="AM491" i="1"/>
  <c r="AO491" i="1"/>
  <c r="AS481" i="1"/>
  <c r="AS63" i="1"/>
  <c r="AS219" i="1"/>
  <c r="AO430" i="1"/>
  <c r="AM430" i="1"/>
  <c r="AN419" i="1"/>
  <c r="AO457" i="1"/>
  <c r="AM457" i="1"/>
  <c r="AN379" i="1"/>
  <c r="AN469" i="1"/>
  <c r="AO387" i="1"/>
  <c r="AM387" i="1"/>
  <c r="AS488" i="1"/>
  <c r="AO413" i="1"/>
  <c r="AM413" i="1"/>
  <c r="AO404" i="1"/>
  <c r="AM404" i="1"/>
  <c r="AS453" i="1"/>
  <c r="AO383" i="1"/>
  <c r="AM383" i="1"/>
  <c r="AN441" i="1"/>
  <c r="AN440" i="1"/>
  <c r="AN489" i="1"/>
  <c r="AN382" i="1"/>
  <c r="AN399" i="1"/>
  <c r="AS413" i="1"/>
  <c r="AO475" i="1"/>
  <c r="AM475" i="1"/>
  <c r="AO470" i="1"/>
  <c r="AM470" i="1"/>
  <c r="AO458" i="1"/>
  <c r="AM458" i="1"/>
  <c r="AM462" i="1"/>
  <c r="AO462" i="1"/>
  <c r="AN477" i="1"/>
  <c r="AS417" i="1"/>
  <c r="AS447" i="1"/>
  <c r="AN456" i="1"/>
  <c r="AO494" i="1"/>
  <c r="AM494" i="1"/>
  <c r="AO379" i="1"/>
  <c r="AM379" i="1"/>
  <c r="AO406" i="1"/>
  <c r="AM406" i="1"/>
  <c r="AO418" i="1"/>
  <c r="AM418" i="1"/>
  <c r="AO439" i="1"/>
  <c r="AM439" i="1"/>
  <c r="AN476" i="1"/>
  <c r="AN444" i="1"/>
  <c r="AN484" i="1"/>
  <c r="AO492" i="1"/>
  <c r="AM492" i="1"/>
  <c r="AO396" i="1"/>
  <c r="AM396" i="1"/>
  <c r="AO448" i="1"/>
  <c r="AM448" i="1"/>
  <c r="AN454" i="1"/>
  <c r="AO422" i="1"/>
  <c r="AM422" i="1"/>
  <c r="AS476" i="1"/>
  <c r="AO414" i="1"/>
  <c r="AM414" i="1"/>
  <c r="AN420" i="1"/>
  <c r="AO484" i="1"/>
  <c r="AM484" i="1"/>
  <c r="AN482" i="1"/>
  <c r="AS204" i="1"/>
  <c r="AS179" i="1"/>
  <c r="AS178" i="1"/>
  <c r="AS322" i="1"/>
  <c r="AN377" i="1"/>
  <c r="AO412" i="1"/>
  <c r="AM412" i="1"/>
  <c r="AS407" i="1"/>
  <c r="AM450" i="1"/>
  <c r="AO450" i="1"/>
  <c r="AM483" i="1"/>
  <c r="AO483" i="1"/>
  <c r="AS379" i="1"/>
  <c r="AO400" i="1"/>
  <c r="AM400" i="1"/>
  <c r="AM444" i="1"/>
  <c r="AO444" i="1"/>
  <c r="AN396" i="1"/>
  <c r="AS414" i="1"/>
  <c r="AN478" i="1"/>
  <c r="AS432" i="1"/>
  <c r="AS418" i="1"/>
  <c r="AO463" i="1"/>
  <c r="AM463" i="1"/>
  <c r="AO432" i="1"/>
  <c r="AM432" i="1"/>
  <c r="AN472" i="1"/>
  <c r="AN470" i="1"/>
  <c r="AO486" i="1"/>
  <c r="AM486" i="1"/>
  <c r="AO467" i="1"/>
  <c r="AM467" i="1"/>
  <c r="AO409" i="1"/>
  <c r="AM409" i="1"/>
  <c r="AM459" i="1"/>
  <c r="AO459" i="1"/>
  <c r="AO437" i="1"/>
  <c r="AM437" i="1"/>
  <c r="AO407" i="1"/>
  <c r="AM407" i="1"/>
  <c r="AO388" i="1"/>
  <c r="AM388" i="1"/>
  <c r="AO473" i="1"/>
  <c r="AM473" i="1"/>
  <c r="AO402" i="1"/>
  <c r="AM402" i="1"/>
  <c r="AO451" i="1"/>
  <c r="AM451" i="1"/>
  <c r="AS68" i="1"/>
  <c r="AO455" i="1"/>
  <c r="AM455" i="1"/>
  <c r="AN176" i="1"/>
  <c r="AS47" i="1"/>
  <c r="AS205" i="1"/>
  <c r="AS56" i="1"/>
  <c r="AS34" i="1"/>
  <c r="AS190" i="1"/>
  <c r="AS376" i="1"/>
  <c r="AO415" i="1"/>
  <c r="AM415" i="1"/>
  <c r="AN383" i="1"/>
  <c r="AO436" i="1"/>
  <c r="AM436" i="1"/>
  <c r="AM480" i="1"/>
  <c r="AO480" i="1"/>
  <c r="AS404" i="1"/>
  <c r="AO447" i="1"/>
  <c r="AM447" i="1"/>
  <c r="AS480" i="1"/>
  <c r="AO401" i="1"/>
  <c r="AM401" i="1"/>
  <c r="AN413" i="1"/>
  <c r="AO431" i="1"/>
  <c r="AM431" i="1"/>
  <c r="AN422" i="1"/>
  <c r="AS433" i="1"/>
  <c r="AS406" i="1"/>
  <c r="AS419" i="1"/>
  <c r="AO452" i="1"/>
  <c r="AM452" i="1"/>
  <c r="AN418" i="1"/>
  <c r="AS464" i="1"/>
  <c r="AS449" i="1"/>
  <c r="AS454" i="1"/>
  <c r="AS466" i="1"/>
  <c r="AS478" i="1"/>
  <c r="AS489" i="1"/>
  <c r="AO461" i="1"/>
  <c r="AM461" i="1"/>
  <c r="AO449" i="1"/>
  <c r="AM449" i="1"/>
  <c r="AM468" i="1"/>
  <c r="AO468" i="1"/>
  <c r="AN488" i="1"/>
  <c r="AS182" i="1"/>
  <c r="AN435" i="1"/>
  <c r="AS43" i="1"/>
  <c r="AS180" i="1"/>
  <c r="AS224" i="1"/>
  <c r="AO490" i="1"/>
  <c r="AM490" i="1"/>
  <c r="AO376" i="1"/>
  <c r="AM376" i="1"/>
  <c r="AS402" i="1"/>
  <c r="AS430" i="1"/>
  <c r="AN481" i="1"/>
  <c r="AS403" i="1"/>
  <c r="AS457" i="1"/>
  <c r="AS383" i="1"/>
  <c r="AO421" i="1"/>
  <c r="AM421" i="1"/>
  <c r="AS387" i="1"/>
  <c r="AN414" i="1"/>
  <c r="AN432" i="1"/>
  <c r="AN446" i="1"/>
  <c r="AN473" i="1"/>
  <c r="AN411" i="1"/>
  <c r="AN404" i="1"/>
  <c r="AS484" i="1"/>
  <c r="AO474" i="1"/>
  <c r="AM474" i="1"/>
  <c r="AS420" i="1"/>
  <c r="AM453" i="1"/>
  <c r="AO453" i="1"/>
  <c r="AN453" i="1"/>
  <c r="AS465" i="1"/>
  <c r="AM420" i="1"/>
  <c r="AO420" i="1"/>
  <c r="AO454" i="1"/>
  <c r="AM454" i="1"/>
  <c r="AO472" i="1"/>
  <c r="AM472" i="1"/>
  <c r="AN455" i="1"/>
  <c r="AN467" i="1"/>
  <c r="AN479" i="1"/>
  <c r="AN490" i="1"/>
  <c r="AS97" i="1"/>
  <c r="AS116" i="1"/>
  <c r="AS242" i="1"/>
  <c r="AS114" i="1"/>
  <c r="AS258" i="1"/>
  <c r="AS199" i="1"/>
  <c r="AS146" i="1"/>
  <c r="AS200" i="1"/>
  <c r="AS198" i="1"/>
  <c r="AN290" i="1"/>
  <c r="AS238" i="1"/>
  <c r="AN106" i="1"/>
  <c r="AS276" i="1"/>
  <c r="AS266" i="1"/>
  <c r="AS132" i="1"/>
  <c r="AS129" i="1"/>
  <c r="AS139" i="1"/>
  <c r="AS288" i="1"/>
  <c r="AS106" i="1"/>
  <c r="AS262" i="1"/>
  <c r="AS152" i="1"/>
  <c r="AS285" i="1"/>
  <c r="AS312" i="1"/>
  <c r="AS309" i="1"/>
  <c r="AN287" i="1"/>
  <c r="AS283" i="1"/>
  <c r="AS284" i="1"/>
  <c r="AN238" i="1"/>
  <c r="AN206" i="1"/>
  <c r="AS278" i="1"/>
  <c r="AS310" i="1"/>
  <c r="AS301" i="1"/>
  <c r="AS313" i="1"/>
  <c r="AS153" i="1"/>
  <c r="AS156" i="1"/>
  <c r="AS300" i="1"/>
  <c r="AS195" i="1"/>
  <c r="AS149" i="1"/>
  <c r="AS187" i="1"/>
  <c r="AS188" i="1"/>
  <c r="AN188" i="1"/>
  <c r="AS88" i="1"/>
  <c r="AS42" i="1"/>
  <c r="AS308" i="1"/>
  <c r="AM144" i="1"/>
  <c r="AN44" i="1"/>
  <c r="AN48" i="1"/>
  <c r="AS291" i="1"/>
  <c r="AS270" i="1"/>
  <c r="AN267" i="1"/>
  <c r="AS136" i="1"/>
  <c r="AS62" i="1"/>
  <c r="AS147" i="1"/>
  <c r="AS239" i="1"/>
  <c r="AS85" i="1"/>
  <c r="AS94" i="1"/>
  <c r="AS299" i="1"/>
  <c r="AS46" i="1"/>
  <c r="AS202" i="1"/>
  <c r="AS234" i="1"/>
  <c r="AN259" i="1"/>
  <c r="AN156" i="1"/>
  <c r="AS249" i="1"/>
  <c r="AS271" i="1"/>
  <c r="AN281" i="1"/>
  <c r="AS185" i="1"/>
  <c r="AS259" i="1"/>
  <c r="AS260" i="1"/>
  <c r="AN109" i="1"/>
  <c r="AS89" i="1"/>
  <c r="AS65" i="1"/>
  <c r="AS58" i="1"/>
  <c r="AS247" i="1"/>
  <c r="AS229" i="1"/>
  <c r="AN239" i="1"/>
  <c r="AN60" i="1"/>
  <c r="AS50" i="1"/>
  <c r="AS71" i="1"/>
  <c r="AS217" i="1"/>
  <c r="AN283" i="1"/>
  <c r="AN277" i="1"/>
  <c r="AN47" i="1"/>
  <c r="AN240" i="1"/>
  <c r="AS252" i="1"/>
  <c r="AN41" i="1"/>
  <c r="AS218" i="1"/>
  <c r="AS315" i="1"/>
  <c r="AS227" i="1"/>
  <c r="AS265" i="1"/>
  <c r="AN191" i="1"/>
  <c r="AS108" i="1"/>
  <c r="AS233" i="1"/>
  <c r="AS314" i="1"/>
  <c r="AS83" i="1"/>
  <c r="AS111" i="1"/>
  <c r="AS117" i="1"/>
  <c r="AS241" i="1"/>
  <c r="AS81" i="1"/>
  <c r="AS95" i="1"/>
  <c r="AS253" i="1"/>
  <c r="AS275" i="1"/>
  <c r="AS289" i="1"/>
  <c r="AS53" i="1"/>
  <c r="AS230" i="1"/>
  <c r="AM27" i="1"/>
  <c r="AS293" i="1"/>
  <c r="AS220" i="1"/>
  <c r="AN177" i="1"/>
  <c r="AN54" i="1"/>
  <c r="AS295" i="1"/>
  <c r="AS77" i="1"/>
  <c r="AS93" i="1"/>
  <c r="AS75" i="1"/>
  <c r="AS79" i="1"/>
  <c r="AN199" i="1"/>
  <c r="AS206" i="1"/>
  <c r="AS72" i="1"/>
  <c r="AS257" i="1"/>
  <c r="AN300" i="1"/>
  <c r="AN310" i="1"/>
  <c r="AN155" i="1"/>
  <c r="AS107" i="1"/>
  <c r="AS84" i="1"/>
  <c r="AN132" i="1"/>
  <c r="AN263" i="1"/>
  <c r="AN94" i="1"/>
  <c r="AN82" i="1"/>
  <c r="AS246" i="1"/>
  <c r="AS140" i="1"/>
  <c r="AS91" i="1"/>
  <c r="AS92" i="1"/>
  <c r="AS73" i="1"/>
  <c r="AS69" i="1"/>
  <c r="AN278" i="1"/>
  <c r="AS294" i="1"/>
  <c r="AS96" i="1"/>
  <c r="AS296" i="1"/>
  <c r="AS38" i="1"/>
  <c r="AS78" i="1"/>
  <c r="AS215" i="1"/>
  <c r="AS61" i="1"/>
  <c r="AN314" i="1"/>
  <c r="AN61" i="1"/>
  <c r="AN67" i="1"/>
  <c r="AN230" i="1"/>
  <c r="AN56" i="1"/>
  <c r="AN196" i="1"/>
  <c r="AN35" i="1"/>
  <c r="AN202" i="1"/>
  <c r="AS131" i="1"/>
  <c r="AS264" i="1"/>
  <c r="AS327" i="1"/>
  <c r="AS137" i="1"/>
  <c r="AS130" i="1"/>
  <c r="AS290" i="1"/>
  <c r="AS135" i="1"/>
  <c r="AN146" i="1"/>
  <c r="AN120" i="1"/>
  <c r="AN298" i="1"/>
  <c r="AN311" i="1"/>
  <c r="AN86" i="1"/>
  <c r="AN80" i="1"/>
  <c r="AS267" i="1"/>
  <c r="AN139" i="1"/>
  <c r="AN236" i="1"/>
  <c r="AN97" i="1"/>
  <c r="AN253" i="1"/>
  <c r="AN232" i="1"/>
  <c r="AN100" i="1"/>
  <c r="AS40" i="1"/>
  <c r="AS99" i="1"/>
  <c r="AN127" i="1"/>
  <c r="AN84" i="1"/>
  <c r="AS277" i="1"/>
  <c r="AN221" i="1"/>
  <c r="AN213" i="1"/>
  <c r="AN224" i="1"/>
  <c r="AN227" i="1"/>
  <c r="AN134" i="1"/>
  <c r="AN128" i="1"/>
  <c r="AN326" i="1"/>
  <c r="AN126" i="1"/>
  <c r="AS183" i="1"/>
  <c r="AN318" i="1"/>
  <c r="AS319" i="1"/>
  <c r="AS144" i="1"/>
  <c r="AN145" i="1"/>
  <c r="AS141" i="1"/>
  <c r="AS286" i="1"/>
  <c r="AN66" i="1"/>
  <c r="AN63" i="1"/>
  <c r="AN275" i="1"/>
  <c r="AN233" i="1"/>
  <c r="AN78" i="1"/>
  <c r="AN293" i="1"/>
  <c r="AN75" i="1"/>
  <c r="AN64" i="1"/>
  <c r="AN51" i="1"/>
  <c r="AN219" i="1"/>
  <c r="AS148" i="1"/>
  <c r="AN208" i="1"/>
  <c r="AN55" i="1"/>
  <c r="AN121" i="1"/>
  <c r="AN152" i="1"/>
  <c r="AS151" i="1"/>
  <c r="AN69" i="1"/>
  <c r="AS186" i="1"/>
  <c r="AN38" i="1"/>
  <c r="AN102" i="1"/>
  <c r="AN323" i="1"/>
  <c r="AN212" i="1"/>
  <c r="AS231" i="1"/>
  <c r="AN180" i="1"/>
  <c r="AS142" i="1"/>
  <c r="AN229" i="1"/>
  <c r="AN144" i="1"/>
  <c r="AN42" i="1"/>
  <c r="AN198" i="1"/>
  <c r="AN324" i="1"/>
  <c r="AS240" i="1"/>
  <c r="AN65" i="1"/>
  <c r="AS316" i="1"/>
  <c r="AN242" i="1"/>
  <c r="AN57" i="1"/>
  <c r="AN225" i="1"/>
  <c r="AN140" i="1"/>
  <c r="AS51" i="1"/>
  <c r="AS55" i="1"/>
  <c r="AS80" i="1"/>
  <c r="AN58" i="1"/>
  <c r="AN214" i="1"/>
  <c r="AS143" i="1"/>
  <c r="AN149" i="1"/>
  <c r="AN76" i="1"/>
  <c r="AN319" i="1"/>
  <c r="AN96" i="1"/>
  <c r="AN299" i="1"/>
  <c r="AN45" i="1"/>
  <c r="AS326" i="1"/>
  <c r="AN131" i="1"/>
  <c r="AS297" i="1"/>
  <c r="AS320" i="1"/>
  <c r="AN312" i="1"/>
  <c r="AS318" i="1"/>
  <c r="AS209" i="1"/>
  <c r="AS255" i="1"/>
  <c r="AS145" i="1"/>
  <c r="AN301" i="1"/>
  <c r="AN248" i="1"/>
  <c r="AN265" i="1"/>
  <c r="AN138" i="1"/>
  <c r="AN297" i="1"/>
  <c r="AN228" i="1"/>
  <c r="AN234" i="1"/>
  <c r="AS175" i="1"/>
  <c r="AN62" i="1"/>
  <c r="AN181" i="1"/>
  <c r="AN313" i="1"/>
  <c r="AN194" i="1"/>
  <c r="AN33" i="1"/>
  <c r="AN73" i="1"/>
  <c r="AN147" i="1"/>
  <c r="AN308" i="1"/>
  <c r="AN89" i="1"/>
  <c r="AN257" i="1"/>
  <c r="AN153" i="1"/>
  <c r="AN235" i="1"/>
  <c r="AN217" i="1"/>
  <c r="AS208" i="1"/>
  <c r="AN266" i="1"/>
  <c r="AN92" i="1"/>
  <c r="AN258" i="1"/>
  <c r="AN123" i="1"/>
  <c r="AN117" i="1"/>
  <c r="AN154" i="1"/>
  <c r="AS59" i="1"/>
  <c r="AS33" i="1"/>
  <c r="AN317" i="1"/>
  <c r="AS36" i="1"/>
  <c r="AN90" i="1"/>
  <c r="AN246" i="1"/>
  <c r="AS192" i="1"/>
  <c r="AS189" i="1"/>
  <c r="AS123" i="1"/>
  <c r="AS101" i="1"/>
  <c r="AS269" i="1"/>
  <c r="AN288" i="1"/>
  <c r="AS282" i="1"/>
  <c r="AN289" i="1"/>
  <c r="AS127" i="1"/>
  <c r="AS128" i="1"/>
  <c r="AS109" i="1"/>
  <c r="AN279" i="1"/>
  <c r="AN105" i="1"/>
  <c r="AN150" i="1"/>
  <c r="AN187" i="1"/>
  <c r="AS67" i="1"/>
  <c r="AS57" i="1"/>
  <c r="AS60" i="1"/>
  <c r="AS216" i="1"/>
  <c r="AS213" i="1"/>
  <c r="AN325" i="1"/>
  <c r="AN200" i="1"/>
  <c r="AN83" i="1"/>
  <c r="AN71" i="1"/>
  <c r="AN216" i="1"/>
  <c r="AN174" i="1"/>
  <c r="AN276" i="1"/>
  <c r="AS243" i="1"/>
  <c r="AN49" i="1"/>
  <c r="AN205" i="1"/>
  <c r="AN50" i="1"/>
  <c r="AN218" i="1"/>
  <c r="AN195" i="1"/>
  <c r="AN34" i="1"/>
  <c r="AN74" i="1"/>
  <c r="AN184" i="1"/>
  <c r="AS39" i="1"/>
  <c r="AN113" i="1"/>
  <c r="AN203" i="1"/>
  <c r="AN209" i="1"/>
  <c r="AN85" i="1"/>
  <c r="AN245" i="1"/>
  <c r="AN122" i="1"/>
  <c r="AN286" i="1"/>
  <c r="AN116" i="1"/>
  <c r="AN306" i="1"/>
  <c r="AS305" i="1"/>
  <c r="AN315" i="1"/>
  <c r="AS52" i="1"/>
  <c r="AN40" i="1"/>
  <c r="AN190" i="1"/>
  <c r="AN197" i="1"/>
  <c r="AS64" i="1"/>
  <c r="AN320" i="1"/>
  <c r="AN98" i="1"/>
  <c r="AN201" i="1"/>
  <c r="AN43" i="1"/>
  <c r="AN252" i="1"/>
  <c r="AN251" i="1"/>
  <c r="AN37" i="1"/>
  <c r="AN193" i="1"/>
  <c r="AN32" i="1"/>
  <c r="AN183" i="1"/>
  <c r="AN148" i="1"/>
  <c r="AN101" i="1"/>
  <c r="AN179" i="1"/>
  <c r="AN91" i="1"/>
  <c r="AN247" i="1"/>
  <c r="AN110" i="1"/>
  <c r="AN104" i="1"/>
  <c r="AN303" i="1"/>
  <c r="AS306" i="1"/>
  <c r="AN185" i="1"/>
  <c r="AN264" i="1"/>
  <c r="AS154" i="1"/>
  <c r="AN72" i="1"/>
  <c r="AN151" i="1"/>
  <c r="AS105" i="1"/>
  <c r="AS261" i="1"/>
  <c r="AS74" i="1"/>
  <c r="AN142" i="1"/>
  <c r="AM16" i="1"/>
  <c r="AN59" i="1"/>
  <c r="AN103" i="1"/>
  <c r="AN189" i="1"/>
  <c r="AN302" i="1"/>
  <c r="AN39" i="1"/>
  <c r="AN79" i="1"/>
  <c r="AS232" i="1"/>
  <c r="AN294" i="1"/>
  <c r="AN243" i="1"/>
  <c r="AN46" i="1"/>
  <c r="AS207" i="1"/>
  <c r="AN261" i="1"/>
  <c r="AN70" i="1"/>
  <c r="AS196" i="1"/>
  <c r="AN133" i="1"/>
  <c r="AN241" i="1"/>
  <c r="AN111" i="1"/>
  <c r="AN115" i="1"/>
  <c r="AN269" i="1"/>
  <c r="AN178" i="1"/>
  <c r="AN53" i="1"/>
  <c r="AN81" i="1"/>
  <c r="AS86" i="1"/>
  <c r="AS126" i="1"/>
  <c r="AN87" i="1"/>
  <c r="AN255" i="1"/>
  <c r="AN307" i="1"/>
  <c r="AS280" i="1"/>
  <c r="AN107" i="1"/>
  <c r="AS263" i="1"/>
  <c r="AN119" i="1"/>
  <c r="AN114" i="1"/>
  <c r="AN271" i="1"/>
  <c r="AS244" i="1"/>
  <c r="AN305" i="1"/>
  <c r="AN272" i="1"/>
  <c r="AN222" i="1"/>
  <c r="AN282" i="1"/>
  <c r="AN68" i="1"/>
  <c r="AN99" i="1"/>
  <c r="AN304" i="1"/>
  <c r="AN130" i="1"/>
  <c r="AS304" i="1"/>
  <c r="AN125" i="1"/>
  <c r="AS70" i="1"/>
  <c r="AN95" i="1"/>
  <c r="AN284" i="1"/>
  <c r="AN204" i="1"/>
  <c r="AN210" i="1"/>
  <c r="AS124" i="1"/>
  <c r="AS292" i="1"/>
  <c r="AN182" i="1"/>
  <c r="AN296" i="1"/>
  <c r="AN237" i="1"/>
  <c r="AN231" i="1"/>
  <c r="AN124" i="1"/>
  <c r="AN295" i="1"/>
  <c r="AN77" i="1"/>
  <c r="AN129" i="1"/>
  <c r="AS184" i="1"/>
  <c r="AN254" i="1"/>
  <c r="AN316" i="1"/>
  <c r="AS35" i="1"/>
  <c r="AN137" i="1"/>
  <c r="AS115" i="1"/>
  <c r="AN244" i="1"/>
  <c r="AN249" i="1"/>
  <c r="AN143" i="1"/>
  <c r="AN112" i="1"/>
  <c r="AN280" i="1"/>
  <c r="AS256" i="1"/>
  <c r="AS250" i="1"/>
  <c r="AN262" i="1"/>
  <c r="AN292" i="1"/>
  <c r="AN136" i="1"/>
  <c r="AN285" i="1"/>
  <c r="AN291" i="1"/>
  <c r="AS251" i="1"/>
  <c r="AN321" i="1"/>
  <c r="AN270" i="1"/>
  <c r="AN135" i="1"/>
  <c r="AN215" i="1"/>
  <c r="AN211" i="1"/>
  <c r="AM31" i="1"/>
  <c r="AN186" i="1"/>
  <c r="AS87" i="1"/>
  <c r="AN327" i="1"/>
  <c r="AS76" i="1"/>
  <c r="AN52" i="1"/>
  <c r="AN220" i="1"/>
  <c r="AN141" i="1"/>
  <c r="AN309" i="1"/>
  <c r="AS100" i="1"/>
  <c r="AN192" i="1"/>
  <c r="AN175" i="1"/>
  <c r="AN223" i="1"/>
  <c r="AN118" i="1"/>
  <c r="AN322" i="1"/>
  <c r="AN207" i="1"/>
  <c r="AN93" i="1"/>
  <c r="AN250" i="1"/>
  <c r="AN260" i="1"/>
  <c r="AN88" i="1"/>
  <c r="AN256" i="1"/>
  <c r="AN108" i="1"/>
  <c r="AN226" i="1"/>
  <c r="AN274" i="1"/>
  <c r="AN273" i="1"/>
  <c r="AN36" i="1"/>
  <c r="AN268" i="1"/>
  <c r="AM39" i="1"/>
  <c r="AM160" i="1"/>
  <c r="AM181" i="1"/>
  <c r="AM178" i="1"/>
  <c r="AM174" i="1"/>
  <c r="AM170" i="1"/>
  <c r="AM21" i="1"/>
  <c r="AM17" i="1"/>
  <c r="AM24" i="1"/>
  <c r="AM167" i="1"/>
  <c r="AM166" i="1"/>
  <c r="AM173" i="1"/>
  <c r="AM25" i="1"/>
  <c r="AM169" i="1"/>
  <c r="AM35" i="1"/>
  <c r="AM186" i="1"/>
  <c r="AM34" i="1"/>
  <c r="AM172" i="1"/>
  <c r="AM185" i="1"/>
  <c r="AM26" i="1"/>
  <c r="AM18" i="1"/>
  <c r="AM138" i="1"/>
  <c r="AM29" i="1"/>
  <c r="AM28" i="1"/>
  <c r="AM168" i="1"/>
  <c r="AM190" i="1"/>
  <c r="AM33" i="1"/>
  <c r="AM37" i="1"/>
  <c r="AM20" i="1"/>
  <c r="AM132" i="1"/>
  <c r="AM179" i="1"/>
  <c r="AM38" i="1"/>
  <c r="AM184" i="1"/>
  <c r="AM162" i="1"/>
  <c r="AM30" i="1"/>
  <c r="AM165" i="1"/>
  <c r="AM176" i="1"/>
  <c r="AM163" i="1"/>
  <c r="AM22" i="1"/>
  <c r="AM175" i="1"/>
  <c r="AM72" i="1"/>
  <c r="AM161" i="1"/>
  <c r="AM56" i="1"/>
  <c r="AM42" i="1"/>
  <c r="AM177" i="1"/>
  <c r="AM194" i="1"/>
  <c r="AM180" i="1"/>
  <c r="AM19" i="1"/>
  <c r="AM41" i="1"/>
  <c r="AM159" i="1"/>
  <c r="AM32" i="1"/>
  <c r="AM183" i="1"/>
  <c r="AM164" i="1"/>
  <c r="AM171" i="1"/>
  <c r="AM23" i="1"/>
  <c r="AM36" i="1"/>
  <c r="AM40" i="1"/>
  <c r="AM52" i="1"/>
  <c r="AM68" i="1"/>
  <c r="AM84" i="1"/>
  <c r="AM44" i="1"/>
  <c r="AM60" i="1"/>
  <c r="AM76" i="1"/>
  <c r="AM156" i="1"/>
  <c r="AM88" i="1"/>
  <c r="AM129" i="1"/>
  <c r="AM145" i="1"/>
  <c r="AM189" i="1"/>
  <c r="AM152" i="1"/>
  <c r="AM275" i="1"/>
  <c r="AM295" i="1"/>
  <c r="AM125" i="1"/>
  <c r="AM141" i="1"/>
  <c r="AM133" i="1"/>
  <c r="AM149" i="1"/>
  <c r="AM182" i="1"/>
  <c r="AM215" i="1"/>
  <c r="AM104" i="1"/>
  <c r="AM120" i="1"/>
  <c r="AM54" i="1"/>
  <c r="AM70" i="1"/>
  <c r="AM102" i="1"/>
  <c r="AM118" i="1"/>
  <c r="AM188" i="1"/>
  <c r="AM103" i="1"/>
  <c r="AM150" i="1"/>
  <c r="AM246" i="1"/>
  <c r="AM279" i="1"/>
  <c r="AM327" i="1"/>
  <c r="AM117" i="1"/>
  <c r="AM231" i="1"/>
  <c r="AM247" i="1"/>
  <c r="AM263" i="1"/>
  <c r="AM311" i="1"/>
  <c r="AM154" i="1"/>
  <c r="AM57" i="1"/>
  <c r="AM126" i="1"/>
  <c r="AM314" i="1"/>
  <c r="AM139" i="1"/>
  <c r="AM45" i="1"/>
  <c r="AM281" i="1"/>
  <c r="AM313" i="1"/>
  <c r="AM142" i="1"/>
  <c r="AM262" i="1"/>
  <c r="AM278" i="1"/>
  <c r="AM294" i="1"/>
  <c r="AM255" i="1"/>
  <c r="AM303" i="1"/>
  <c r="AM319" i="1"/>
  <c r="AM65" i="1"/>
  <c r="AM81" i="1"/>
  <c r="AM113" i="1"/>
  <c r="AM195" i="1"/>
  <c r="AM227" i="1"/>
  <c r="AM243" i="1"/>
  <c r="AM259" i="1"/>
  <c r="AM291" i="1"/>
  <c r="AM323" i="1"/>
  <c r="AM59" i="1"/>
  <c r="AM123" i="1"/>
  <c r="AM148" i="1"/>
  <c r="AM69" i="1"/>
  <c r="AM85" i="1"/>
  <c r="AM101" i="1"/>
  <c r="AM230" i="1"/>
  <c r="AM137" i="1"/>
  <c r="AM153" i="1"/>
  <c r="AM241" i="1"/>
  <c r="AM211" i="1"/>
  <c r="AM307" i="1"/>
  <c r="AM100" i="1"/>
  <c r="AM116" i="1"/>
  <c r="AM256" i="1"/>
  <c r="AM273" i="1"/>
  <c r="AM305" i="1"/>
  <c r="AM257" i="1"/>
  <c r="AM136" i="1"/>
  <c r="AM309" i="1"/>
  <c r="AM325" i="1"/>
  <c r="AM219" i="1"/>
  <c r="AM312" i="1"/>
  <c r="AM43" i="1"/>
  <c r="AM46" i="1"/>
  <c r="AM198" i="1"/>
  <c r="AM130" i="1"/>
  <c r="AM49" i="1"/>
  <c r="AM97" i="1"/>
  <c r="AM251" i="1"/>
  <c r="AM50" i="1"/>
  <c r="AM66" i="1"/>
  <c r="AM82" i="1"/>
  <c r="AM98" i="1"/>
  <c r="AM114" i="1"/>
  <c r="AM225" i="1"/>
  <c r="AM289" i="1"/>
  <c r="AM321" i="1"/>
  <c r="AM90" i="1"/>
  <c r="AM71" i="1"/>
  <c r="AM135" i="1"/>
  <c r="AM146" i="1"/>
  <c r="AM134" i="1"/>
  <c r="AM214" i="1"/>
  <c r="AM258" i="1"/>
  <c r="AM274" i="1"/>
  <c r="AM290" i="1"/>
  <c r="AM306" i="1"/>
  <c r="AM322" i="1"/>
  <c r="AM207" i="1"/>
  <c r="AM223" i="1"/>
  <c r="AM239" i="1"/>
  <c r="AM271" i="1"/>
  <c r="AM287" i="1"/>
  <c r="AM265" i="1"/>
  <c r="AM272" i="1"/>
  <c r="AM228" i="1"/>
  <c r="AM276" i="1"/>
  <c r="AM292" i="1"/>
  <c r="AM89" i="1"/>
  <c r="AM121" i="1"/>
  <c r="AM213" i="1"/>
  <c r="AM229" i="1"/>
  <c r="AM293" i="1"/>
  <c r="AM83" i="1"/>
  <c r="AM285" i="1"/>
  <c r="AM205" i="1"/>
  <c r="AM320" i="1"/>
  <c r="AM95" i="1"/>
  <c r="AM92" i="1"/>
  <c r="AM108" i="1"/>
  <c r="AM124" i="1"/>
  <c r="AM58" i="1"/>
  <c r="AM74" i="1"/>
  <c r="AM106" i="1"/>
  <c r="AM122" i="1"/>
  <c r="AM201" i="1"/>
  <c r="AM217" i="1"/>
  <c r="AM233" i="1"/>
  <c r="AM249" i="1"/>
  <c r="AM297" i="1"/>
  <c r="AM310" i="1"/>
  <c r="AM326" i="1"/>
  <c r="AM218" i="1"/>
  <c r="AM234" i="1"/>
  <c r="AM250" i="1"/>
  <c r="AM53" i="1"/>
  <c r="AM199" i="1"/>
  <c r="AM196" i="1"/>
  <c r="AM244" i="1"/>
  <c r="AM260" i="1"/>
  <c r="AM308" i="1"/>
  <c r="AM324" i="1"/>
  <c r="AM73" i="1"/>
  <c r="AM105" i="1"/>
  <c r="AM197" i="1"/>
  <c r="AM245" i="1"/>
  <c r="AM51" i="1"/>
  <c r="AM62" i="1"/>
  <c r="AM78" i="1"/>
  <c r="AM94" i="1"/>
  <c r="AM110" i="1"/>
  <c r="AM222" i="1"/>
  <c r="AM238" i="1"/>
  <c r="AM254" i="1"/>
  <c r="AM270" i="1"/>
  <c r="AM286" i="1"/>
  <c r="AM302" i="1"/>
  <c r="AM318" i="1"/>
  <c r="AM112" i="1"/>
  <c r="AM63" i="1"/>
  <c r="AM111" i="1"/>
  <c r="AM143" i="1"/>
  <c r="AM187" i="1"/>
  <c r="AM203" i="1"/>
  <c r="AM283" i="1"/>
  <c r="AM299" i="1"/>
  <c r="AM61" i="1"/>
  <c r="AM93" i="1"/>
  <c r="AM128" i="1"/>
  <c r="AM202" i="1"/>
  <c r="AM131" i="1"/>
  <c r="AM191" i="1"/>
  <c r="AM220" i="1"/>
  <c r="AM193" i="1"/>
  <c r="AM209" i="1"/>
  <c r="AM200" i="1"/>
  <c r="AM253" i="1"/>
  <c r="AM242" i="1"/>
  <c r="AM317" i="1"/>
  <c r="AM87" i="1"/>
  <c r="AM268" i="1"/>
  <c r="AM301" i="1"/>
  <c r="AM248" i="1"/>
  <c r="AM264" i="1"/>
  <c r="AM315" i="1"/>
  <c r="AM96" i="1"/>
  <c r="AM261" i="1"/>
  <c r="AM86" i="1"/>
  <c r="AM266" i="1"/>
  <c r="AM282" i="1"/>
  <c r="AM298" i="1"/>
  <c r="AM267" i="1"/>
  <c r="AM155" i="1"/>
  <c r="AM107" i="1"/>
  <c r="AM210" i="1"/>
  <c r="AM296" i="1"/>
  <c r="AM280" i="1"/>
  <c r="AM80" i="1"/>
  <c r="AM55" i="1"/>
  <c r="AM140" i="1"/>
  <c r="AM204" i="1"/>
  <c r="AM236" i="1"/>
  <c r="AM316" i="1"/>
  <c r="AM77" i="1"/>
  <c r="AM109" i="1"/>
  <c r="AM119" i="1"/>
  <c r="AM300" i="1"/>
  <c r="AM151" i="1"/>
  <c r="AM269" i="1"/>
  <c r="AM221" i="1"/>
  <c r="AM75" i="1"/>
  <c r="AM216" i="1"/>
  <c r="AM91" i="1"/>
  <c r="AM232" i="1"/>
  <c r="AM237" i="1"/>
  <c r="AM226" i="1"/>
  <c r="AM235" i="1"/>
  <c r="AM99" i="1"/>
  <c r="AM252" i="1"/>
  <c r="AM284" i="1"/>
  <c r="AM64" i="1"/>
  <c r="AM206" i="1"/>
  <c r="AM277" i="1"/>
  <c r="AM224" i="1"/>
  <c r="AM48" i="1"/>
  <c r="AM240" i="1"/>
  <c r="AM304" i="1"/>
  <c r="AM288" i="1"/>
  <c r="AM79" i="1"/>
  <c r="AM147" i="1"/>
  <c r="AM127" i="1"/>
  <c r="AM67" i="1"/>
  <c r="AM47" i="1"/>
  <c r="AM115" i="1"/>
  <c r="AM212" i="1"/>
  <c r="AM208" i="1"/>
  <c r="AM192" i="1"/>
  <c r="AM158" i="1"/>
  <c r="AO334" i="1" l="1"/>
  <c r="AO512" i="1"/>
  <c r="AO498" i="1"/>
  <c r="AO508" i="1"/>
  <c r="AO499" i="1"/>
  <c r="AO504" i="1"/>
  <c r="AO500" i="1"/>
  <c r="AO329" i="1"/>
  <c r="AO337" i="1"/>
  <c r="AO513" i="1"/>
  <c r="AO497" i="1"/>
  <c r="AO333" i="1"/>
  <c r="AL16" i="1"/>
  <c r="AO339" i="1"/>
  <c r="AO501" i="1"/>
  <c r="AO496" i="1"/>
  <c r="AQ157" i="1"/>
  <c r="AR157" i="1" s="1"/>
  <c r="AO340" i="1"/>
  <c r="AO328" i="1"/>
  <c r="AO345" i="1"/>
  <c r="AO344" i="1"/>
  <c r="AO330" i="1"/>
  <c r="AO341" i="1"/>
  <c r="AO507" i="1"/>
  <c r="AO505" i="1"/>
  <c r="AO511" i="1"/>
  <c r="AO509" i="1"/>
  <c r="AL363" i="1"/>
  <c r="AQ500" i="1"/>
  <c r="AR500" i="1" s="1"/>
  <c r="AL497" i="1"/>
  <c r="AL509" i="1"/>
  <c r="AL425" i="1"/>
  <c r="AL72" i="1"/>
  <c r="AL85" i="1"/>
  <c r="AL416" i="1"/>
  <c r="AL368" i="1"/>
  <c r="AL420" i="1"/>
  <c r="AL422" i="1"/>
  <c r="AL490" i="1"/>
  <c r="AL508" i="1"/>
  <c r="AQ508" i="1"/>
  <c r="AR508" i="1" s="1"/>
  <c r="AL367" i="1"/>
  <c r="AL398" i="1"/>
  <c r="AL507" i="1"/>
  <c r="AL479" i="1"/>
  <c r="AL502" i="1"/>
  <c r="AL461" i="1"/>
  <c r="AL473" i="1"/>
  <c r="AL485" i="1"/>
  <c r="AL54" i="1"/>
  <c r="AL24" i="1"/>
  <c r="AL55" i="1"/>
  <c r="AL124" i="1"/>
  <c r="AL452" i="1"/>
  <c r="AL445" i="1"/>
  <c r="AL137" i="1"/>
  <c r="AL128" i="1"/>
  <c r="AQ330" i="1"/>
  <c r="AR330" i="1" s="1"/>
  <c r="AQ335" i="1"/>
  <c r="AR335" i="1" s="1"/>
  <c r="AQ340" i="1"/>
  <c r="AR340" i="1" s="1"/>
  <c r="AL45" i="1"/>
  <c r="AL93" i="1"/>
  <c r="AL141" i="1"/>
  <c r="AL18" i="1"/>
  <c r="AL66" i="1"/>
  <c r="AL114" i="1"/>
  <c r="AL63" i="1"/>
  <c r="AL111" i="1"/>
  <c r="AL36" i="1"/>
  <c r="AL84" i="1"/>
  <c r="AL132" i="1"/>
  <c r="AQ339" i="1"/>
  <c r="AR339" i="1" s="1"/>
  <c r="AQ344" i="1"/>
  <c r="AR344" i="1" s="1"/>
  <c r="AL400" i="1"/>
  <c r="AL444" i="1"/>
  <c r="AL381" i="1"/>
  <c r="AL415" i="1"/>
  <c r="AL442" i="1"/>
  <c r="AL354" i="1"/>
  <c r="AL449" i="1"/>
  <c r="AL476" i="1"/>
  <c r="AL371" i="1"/>
  <c r="AL387" i="1"/>
  <c r="AQ504" i="1"/>
  <c r="AR504" i="1" s="1"/>
  <c r="AL450" i="1"/>
  <c r="AL494" i="1"/>
  <c r="AQ505" i="1"/>
  <c r="AR505" i="1" s="1"/>
  <c r="AL393" i="1"/>
  <c r="AL33" i="1"/>
  <c r="AL62" i="1"/>
  <c r="AL67" i="1"/>
  <c r="AL369" i="1"/>
  <c r="AL484" i="1"/>
  <c r="AL364" i="1"/>
  <c r="AL356" i="1"/>
  <c r="AL409" i="1"/>
  <c r="AL418" i="1"/>
  <c r="AL385" i="1"/>
  <c r="AL374" i="1"/>
  <c r="AL386" i="1"/>
  <c r="AL506" i="1"/>
  <c r="AL412" i="1"/>
  <c r="AL496" i="1"/>
  <c r="AL487" i="1"/>
  <c r="AL489" i="1"/>
  <c r="AL389" i="1"/>
  <c r="AL429" i="1"/>
  <c r="AL434" i="1"/>
  <c r="AL51" i="1"/>
  <c r="AL103" i="1"/>
  <c r="AL349" i="1"/>
  <c r="AQ503" i="1"/>
  <c r="AR503" i="1" s="1"/>
  <c r="AL510" i="1"/>
  <c r="AL59" i="1"/>
  <c r="AL49" i="1"/>
  <c r="AL22" i="1"/>
  <c r="AL19" i="1"/>
  <c r="AQ343" i="1"/>
  <c r="AR343" i="1" s="1"/>
  <c r="AL53" i="1"/>
  <c r="AL101" i="1"/>
  <c r="AL149" i="1"/>
  <c r="AL26" i="1"/>
  <c r="AL74" i="1"/>
  <c r="AL122" i="1"/>
  <c r="AL23" i="1"/>
  <c r="AL71" i="1"/>
  <c r="AL119" i="1"/>
  <c r="AL44" i="1"/>
  <c r="AL92" i="1"/>
  <c r="AL140" i="1"/>
  <c r="AL410" i="1"/>
  <c r="AL373" i="1"/>
  <c r="AL361" i="1"/>
  <c r="AL399" i="1"/>
  <c r="AL360" i="1"/>
  <c r="AL498" i="1"/>
  <c r="AL413" i="1"/>
  <c r="AL475" i="1"/>
  <c r="AL435" i="1"/>
  <c r="AL468" i="1"/>
  <c r="AL501" i="1"/>
  <c r="AL513" i="1"/>
  <c r="AL120" i="1"/>
  <c r="AL58" i="1"/>
  <c r="AL448" i="1"/>
  <c r="AL110" i="1"/>
  <c r="AL105" i="1"/>
  <c r="AL96" i="1"/>
  <c r="AL382" i="1"/>
  <c r="AL470" i="1"/>
  <c r="AL405" i="1"/>
  <c r="AL380" i="1"/>
  <c r="AL431" i="1"/>
  <c r="AL478" i="1"/>
  <c r="AL402" i="1"/>
  <c r="AL504" i="1"/>
  <c r="AL456" i="1"/>
  <c r="AL453" i="1"/>
  <c r="AL465" i="1"/>
  <c r="AL477" i="1"/>
  <c r="AL391" i="1"/>
  <c r="AL428" i="1"/>
  <c r="AL37" i="1"/>
  <c r="AL384" i="1"/>
  <c r="AL107" i="1"/>
  <c r="AL115" i="1"/>
  <c r="AL30" i="1"/>
  <c r="AL144" i="1"/>
  <c r="AL130" i="1"/>
  <c r="AL383" i="1"/>
  <c r="AL376" i="1"/>
  <c r="AQ506" i="1"/>
  <c r="AR506" i="1" s="1"/>
  <c r="AL417" i="1"/>
  <c r="AL471" i="1"/>
  <c r="AL447" i="1"/>
  <c r="AQ511" i="1"/>
  <c r="AR511" i="1" s="1"/>
  <c r="AL480" i="1"/>
  <c r="AQ497" i="1"/>
  <c r="AR497" i="1" s="1"/>
  <c r="AQ509" i="1"/>
  <c r="AR509" i="1" s="1"/>
  <c r="AL426" i="1"/>
  <c r="AL394" i="1"/>
  <c r="AL81" i="1"/>
  <c r="AL147" i="1"/>
  <c r="AL133" i="1"/>
  <c r="AL28" i="1"/>
  <c r="AL379" i="1"/>
  <c r="AL491" i="1"/>
  <c r="AL97" i="1"/>
  <c r="AL136" i="1"/>
  <c r="AL57" i="1"/>
  <c r="AL123" i="1"/>
  <c r="AL61" i="1"/>
  <c r="AL34" i="1"/>
  <c r="AL127" i="1"/>
  <c r="AL148" i="1"/>
  <c r="AL17" i="1"/>
  <c r="AL65" i="1"/>
  <c r="AL113" i="1"/>
  <c r="AL38" i="1"/>
  <c r="AL86" i="1"/>
  <c r="AL134" i="1"/>
  <c r="AL35" i="1"/>
  <c r="AL83" i="1"/>
  <c r="AL131" i="1"/>
  <c r="AL56" i="1"/>
  <c r="AL104" i="1"/>
  <c r="AL152" i="1"/>
  <c r="AQ329" i="1"/>
  <c r="AR329" i="1" s="1"/>
  <c r="AL403" i="1"/>
  <c r="AL458" i="1"/>
  <c r="AL451" i="1"/>
  <c r="AL357" i="1"/>
  <c r="AL460" i="1"/>
  <c r="AL482" i="1"/>
  <c r="AL495" i="1"/>
  <c r="AL129" i="1"/>
  <c r="AL99" i="1"/>
  <c r="AL154" i="1"/>
  <c r="AL76" i="1"/>
  <c r="AQ502" i="1"/>
  <c r="AR502" i="1" s="1"/>
  <c r="AL472" i="1"/>
  <c r="AL41" i="1"/>
  <c r="AL32" i="1"/>
  <c r="AL70" i="1"/>
  <c r="AL153" i="1"/>
  <c r="AL27" i="1"/>
  <c r="AL157" i="1"/>
  <c r="AL79" i="1"/>
  <c r="AL100" i="1"/>
  <c r="AL21" i="1"/>
  <c r="AL69" i="1"/>
  <c r="AL117" i="1"/>
  <c r="AL42" i="1"/>
  <c r="AL90" i="1"/>
  <c r="AL138" i="1"/>
  <c r="AL39" i="1"/>
  <c r="AL87" i="1"/>
  <c r="AL135" i="1"/>
  <c r="AL60" i="1"/>
  <c r="AL108" i="1"/>
  <c r="AL156" i="1"/>
  <c r="AQ338" i="1"/>
  <c r="AR338" i="1" s="1"/>
  <c r="AQ333" i="1"/>
  <c r="AR333" i="1" s="1"/>
  <c r="AL407" i="1"/>
  <c r="AL419" i="1"/>
  <c r="AL377" i="1"/>
  <c r="AL396" i="1"/>
  <c r="AL348" i="1"/>
  <c r="AL378" i="1"/>
  <c r="AL433" i="1"/>
  <c r="AL366" i="1"/>
  <c r="AL347" i="1"/>
  <c r="AL404" i="1"/>
  <c r="AL483" i="1"/>
  <c r="AQ507" i="1"/>
  <c r="AR507" i="1" s="1"/>
  <c r="AL421" i="1"/>
  <c r="AL436" i="1"/>
  <c r="AL511" i="1"/>
  <c r="AQ498" i="1"/>
  <c r="AR498" i="1" s="1"/>
  <c r="AQ510" i="1"/>
  <c r="AR510" i="1" s="1"/>
  <c r="AL492" i="1"/>
  <c r="AL505" i="1"/>
  <c r="AL423" i="1"/>
  <c r="AL427" i="1"/>
  <c r="AL102" i="1"/>
  <c r="AL106" i="1"/>
  <c r="AQ331" i="1"/>
  <c r="AR331" i="1" s="1"/>
  <c r="AL370" i="1"/>
  <c r="AL467" i="1"/>
  <c r="AL89" i="1"/>
  <c r="AL80" i="1"/>
  <c r="AL118" i="1"/>
  <c r="AL88" i="1"/>
  <c r="AL126" i="1"/>
  <c r="AL48" i="1"/>
  <c r="AL109" i="1"/>
  <c r="AL25" i="1"/>
  <c r="AL121" i="1"/>
  <c r="AL46" i="1"/>
  <c r="AL142" i="1"/>
  <c r="AL91" i="1"/>
  <c r="AL139" i="1"/>
  <c r="AL64" i="1"/>
  <c r="AL112" i="1"/>
  <c r="AQ337" i="1"/>
  <c r="AR337" i="1" s="1"/>
  <c r="AL443" i="1"/>
  <c r="AL353" i="1"/>
  <c r="AL432" i="1"/>
  <c r="AL411" i="1"/>
  <c r="AL493" i="1"/>
  <c r="AL397" i="1"/>
  <c r="AL352" i="1"/>
  <c r="AL414" i="1"/>
  <c r="AL372" i="1"/>
  <c r="AL406" i="1"/>
  <c r="AL350" i="1"/>
  <c r="AL459" i="1"/>
  <c r="AL351" i="1"/>
  <c r="AL463" i="1"/>
  <c r="AL437" i="1"/>
  <c r="AL466" i="1"/>
  <c r="AL486" i="1"/>
  <c r="AL500" i="1"/>
  <c r="AL512" i="1"/>
  <c r="AQ499" i="1"/>
  <c r="AR499" i="1" s="1"/>
  <c r="AL462" i="1"/>
  <c r="AL457" i="1"/>
  <c r="AL469" i="1"/>
  <c r="AL481" i="1"/>
  <c r="AL390" i="1"/>
  <c r="AL150" i="1"/>
  <c r="AL151" i="1"/>
  <c r="AQ336" i="1"/>
  <c r="AR336" i="1" s="1"/>
  <c r="AL365" i="1"/>
  <c r="AL446" i="1"/>
  <c r="AL155" i="1"/>
  <c r="AL145" i="1"/>
  <c r="AL40" i="1"/>
  <c r="AL78" i="1"/>
  <c r="AL75" i="1"/>
  <c r="AL82" i="1"/>
  <c r="AL31" i="1"/>
  <c r="AL52" i="1"/>
  <c r="AL73" i="1"/>
  <c r="AL94" i="1"/>
  <c r="AL43" i="1"/>
  <c r="AL29" i="1"/>
  <c r="AL77" i="1"/>
  <c r="AL125" i="1"/>
  <c r="AL50" i="1"/>
  <c r="AL98" i="1"/>
  <c r="AL146" i="1"/>
  <c r="AL47" i="1"/>
  <c r="AL95" i="1"/>
  <c r="AL143" i="1"/>
  <c r="AL20" i="1"/>
  <c r="AL68" i="1"/>
  <c r="AL116" i="1"/>
  <c r="AQ342" i="1"/>
  <c r="AR342" i="1" s="1"/>
  <c r="AQ328" i="1"/>
  <c r="AR328" i="1" s="1"/>
  <c r="AQ341" i="1"/>
  <c r="AR341" i="1" s="1"/>
  <c r="AL440" i="1"/>
  <c r="AQ496" i="1"/>
  <c r="AR496" i="1" s="1"/>
  <c r="AL375" i="1"/>
  <c r="AL408" i="1"/>
  <c r="AL362" i="1"/>
  <c r="AL346" i="1"/>
  <c r="AL464" i="1"/>
  <c r="AL355" i="1"/>
  <c r="AL438" i="1"/>
  <c r="AL488" i="1"/>
  <c r="AQ512" i="1"/>
  <c r="AR512" i="1" s="1"/>
  <c r="AQ501" i="1"/>
  <c r="AR501" i="1" s="1"/>
  <c r="AQ513" i="1"/>
  <c r="AR513" i="1" s="1"/>
  <c r="AL392" i="1"/>
  <c r="AQ334" i="1"/>
  <c r="AR334" i="1" s="1"/>
  <c r="AQ332" i="1"/>
  <c r="AR332" i="1" s="1"/>
  <c r="AQ345" i="1"/>
  <c r="AR345" i="1" s="1"/>
  <c r="AL395" i="1"/>
  <c r="AL454" i="1"/>
  <c r="AL401" i="1"/>
  <c r="AS510" i="1"/>
  <c r="AL358" i="1"/>
  <c r="AL359" i="1"/>
  <c r="AL503" i="1"/>
  <c r="AL439" i="1"/>
  <c r="AL499" i="1"/>
  <c r="AL388" i="1"/>
  <c r="AL455" i="1"/>
  <c r="AL430" i="1"/>
  <c r="AL441" i="1"/>
  <c r="AL474" i="1"/>
  <c r="AL424" i="1"/>
  <c r="R79" i="3"/>
  <c r="R66" i="3"/>
  <c r="R54" i="3"/>
  <c r="R42" i="3"/>
  <c r="R28" i="3"/>
  <c r="R16" i="3"/>
  <c r="R32" i="3"/>
  <c r="R218" i="3"/>
  <c r="R78" i="3"/>
  <c r="R65" i="3"/>
  <c r="R53" i="3"/>
  <c r="R41" i="3"/>
  <c r="R27" i="3"/>
  <c r="R15" i="3"/>
  <c r="R193" i="3"/>
  <c r="R167" i="3"/>
  <c r="R143" i="3"/>
  <c r="R122" i="3"/>
  <c r="R228" i="3"/>
  <c r="R204" i="3"/>
  <c r="R178" i="3"/>
  <c r="R166" i="3"/>
  <c r="R154" i="3"/>
  <c r="R142" i="3"/>
  <c r="R118" i="3"/>
  <c r="R121" i="3"/>
  <c r="R215" i="3"/>
  <c r="R191" i="3"/>
  <c r="R153" i="3"/>
  <c r="R120" i="3"/>
  <c r="R226" i="3"/>
  <c r="R214" i="3"/>
  <c r="R202" i="3"/>
  <c r="R190" i="3"/>
  <c r="R176" i="3"/>
  <c r="R92" i="3"/>
  <c r="R77" i="3"/>
  <c r="R62" i="3"/>
  <c r="R52" i="3"/>
  <c r="R40" i="3"/>
  <c r="R26" i="3"/>
  <c r="R85" i="3"/>
  <c r="R164" i="3"/>
  <c r="R152" i="3"/>
  <c r="R140" i="3"/>
  <c r="R131" i="3"/>
  <c r="R116" i="3"/>
  <c r="R104" i="3"/>
  <c r="R225" i="3"/>
  <c r="R213" i="3"/>
  <c r="R201" i="3"/>
  <c r="R189" i="3"/>
  <c r="R175" i="3"/>
  <c r="R163" i="3"/>
  <c r="R151" i="3"/>
  <c r="R139" i="3"/>
  <c r="R130" i="3"/>
  <c r="R115" i="3"/>
  <c r="R103" i="3"/>
  <c r="R91" i="3"/>
  <c r="R76" i="3"/>
  <c r="R64" i="3"/>
  <c r="R43" i="3"/>
  <c r="R39" i="3"/>
  <c r="R25" i="3"/>
  <c r="R71" i="3"/>
  <c r="R177" i="3"/>
  <c r="R141" i="3"/>
  <c r="R84" i="3"/>
  <c r="R114" i="3"/>
  <c r="R102" i="3"/>
  <c r="R90" i="3"/>
  <c r="R75" i="3"/>
  <c r="R63" i="3"/>
  <c r="R51" i="3"/>
  <c r="R38" i="3"/>
  <c r="R24" i="3"/>
  <c r="R223" i="3"/>
  <c r="R211" i="3"/>
  <c r="R199" i="3"/>
  <c r="R187" i="3"/>
  <c r="R173" i="3"/>
  <c r="R161" i="3"/>
  <c r="R149" i="3"/>
  <c r="R137" i="3"/>
  <c r="R128" i="3"/>
  <c r="R113" i="3"/>
  <c r="R101" i="3"/>
  <c r="R89" i="3"/>
  <c r="R74" i="3"/>
  <c r="R61" i="3"/>
  <c r="R50" i="3"/>
  <c r="R37" i="3"/>
  <c r="R23" i="3"/>
  <c r="R106" i="3"/>
  <c r="R227" i="3"/>
  <c r="R203" i="3"/>
  <c r="R165" i="3"/>
  <c r="R117" i="3"/>
  <c r="R105" i="3"/>
  <c r="R212" i="3"/>
  <c r="R188" i="3"/>
  <c r="R162" i="3"/>
  <c r="R138" i="3"/>
  <c r="R129" i="3"/>
  <c r="R222" i="3"/>
  <c r="R210" i="3"/>
  <c r="R198" i="3"/>
  <c r="R185" i="3"/>
  <c r="R172" i="3"/>
  <c r="R160" i="3"/>
  <c r="R148" i="3"/>
  <c r="R136" i="3"/>
  <c r="R127" i="3"/>
  <c r="R112" i="3"/>
  <c r="R100" i="3"/>
  <c r="R82" i="3"/>
  <c r="R73" i="3"/>
  <c r="R60" i="3"/>
  <c r="R49" i="3"/>
  <c r="R36" i="3"/>
  <c r="R22" i="3"/>
  <c r="R83" i="3"/>
  <c r="R206" i="3"/>
  <c r="R181" i="3"/>
  <c r="R217" i="3"/>
  <c r="R205" i="3"/>
  <c r="R180" i="3"/>
  <c r="R155" i="3"/>
  <c r="R119" i="3"/>
  <c r="R216" i="3"/>
  <c r="R192" i="3"/>
  <c r="R197" i="3"/>
  <c r="R184" i="3"/>
  <c r="R171" i="3"/>
  <c r="R159" i="3"/>
  <c r="R147" i="3"/>
  <c r="R135" i="3"/>
  <c r="R126" i="3"/>
  <c r="R111" i="3"/>
  <c r="R99" i="3"/>
  <c r="R81" i="3"/>
  <c r="R72" i="3"/>
  <c r="R59" i="3"/>
  <c r="R48" i="3"/>
  <c r="R35" i="3"/>
  <c r="R21" i="3"/>
  <c r="R80" i="3"/>
  <c r="R70" i="3"/>
  <c r="R58" i="3"/>
  <c r="R47" i="3"/>
  <c r="R34" i="3"/>
  <c r="R20" i="3"/>
  <c r="R94" i="3"/>
  <c r="R93" i="3"/>
  <c r="R224" i="3"/>
  <c r="R200" i="3"/>
  <c r="R174" i="3"/>
  <c r="R150" i="3"/>
  <c r="R221" i="3"/>
  <c r="R209" i="3"/>
  <c r="R220" i="3"/>
  <c r="R208" i="3"/>
  <c r="R196" i="3"/>
  <c r="R183" i="3"/>
  <c r="R170" i="3"/>
  <c r="R158" i="3"/>
  <c r="R146" i="3"/>
  <c r="R134" i="3"/>
  <c r="R125" i="3"/>
  <c r="R110" i="3"/>
  <c r="R98" i="3"/>
  <c r="R219" i="3"/>
  <c r="R207" i="3"/>
  <c r="R195" i="3"/>
  <c r="R182" i="3"/>
  <c r="R169" i="3"/>
  <c r="R157" i="3"/>
  <c r="R145" i="3"/>
  <c r="R133" i="3"/>
  <c r="R124" i="3"/>
  <c r="R109" i="3"/>
  <c r="R97" i="3"/>
  <c r="R88" i="3"/>
  <c r="R69" i="3"/>
  <c r="R57" i="3"/>
  <c r="R46" i="3"/>
  <c r="R31" i="3"/>
  <c r="R19" i="3"/>
  <c r="R14" i="3"/>
  <c r="R194" i="3"/>
  <c r="R168" i="3"/>
  <c r="R156" i="3"/>
  <c r="R144" i="3"/>
  <c r="R132" i="3"/>
  <c r="R123" i="3"/>
  <c r="R108" i="3"/>
  <c r="R96" i="3"/>
  <c r="R87" i="3"/>
  <c r="R68" i="3"/>
  <c r="R56" i="3"/>
  <c r="R45" i="3"/>
  <c r="R30" i="3"/>
  <c r="R18" i="3"/>
  <c r="R33" i="3"/>
  <c r="R107" i="3"/>
  <c r="R95" i="3"/>
  <c r="R86" i="3"/>
  <c r="R67" i="3"/>
  <c r="R55" i="3"/>
  <c r="R44" i="3"/>
  <c r="R29" i="3"/>
  <c r="R17" i="3"/>
  <c r="B7" i="1" l="1"/>
  <c r="AS502" i="1"/>
  <c r="AS329" i="1"/>
  <c r="AS339" i="1"/>
  <c r="AS345" i="1"/>
  <c r="AM508" i="1"/>
  <c r="AS500" i="1"/>
  <c r="AM339" i="1"/>
  <c r="AN334" i="1"/>
  <c r="AS496" i="1"/>
  <c r="AS511" i="1"/>
  <c r="AS505" i="1"/>
  <c r="AM496" i="1"/>
  <c r="AN501" i="1"/>
  <c r="AS498" i="1"/>
  <c r="AN497" i="1"/>
  <c r="AN329" i="1"/>
  <c r="AS506" i="1"/>
  <c r="AS332" i="1"/>
  <c r="AM340" i="1"/>
  <c r="AS157" i="1"/>
  <c r="AM345" i="1"/>
  <c r="AS336" i="1"/>
  <c r="AS342" i="1"/>
  <c r="AM512" i="1"/>
  <c r="AS331" i="1"/>
  <c r="AS333" i="1"/>
  <c r="AM342" i="1"/>
  <c r="AM335" i="1"/>
  <c r="AM337" i="1"/>
  <c r="AM503" i="1"/>
  <c r="AS344" i="1"/>
  <c r="AN157" i="1"/>
  <c r="AM330" i="1"/>
  <c r="AN332" i="1"/>
  <c r="AN512" i="1"/>
  <c r="AN340" i="1"/>
  <c r="AN345" i="1"/>
  <c r="AN511" i="1"/>
  <c r="AM157" i="1"/>
  <c r="AM504" i="1"/>
  <c r="AN508" i="1"/>
  <c r="AN505" i="1"/>
  <c r="AN343" i="1"/>
  <c r="AM502" i="1"/>
  <c r="AN335" i="1"/>
  <c r="AO157" i="1"/>
  <c r="AM329" i="1"/>
  <c r="AS338" i="1"/>
  <c r="AN507" i="1"/>
  <c r="AM333" i="1"/>
  <c r="AM510" i="1"/>
  <c r="AN344" i="1"/>
  <c r="AM344" i="1"/>
  <c r="AN506" i="1"/>
  <c r="AM332" i="1"/>
  <c r="AN337" i="1"/>
  <c r="AS503" i="1"/>
  <c r="AM511" i="1"/>
  <c r="AM505" i="1"/>
  <c r="AS504" i="1"/>
  <c r="AN498" i="1"/>
  <c r="AN328" i="1"/>
  <c r="AM331" i="1"/>
  <c r="AN336" i="1"/>
  <c r="AS341" i="1"/>
  <c r="AS507" i="1"/>
  <c r="AS512" i="1"/>
  <c r="AN496" i="1"/>
  <c r="AM343" i="1"/>
  <c r="AN339" i="1"/>
  <c r="AN513" i="1"/>
  <c r="AS343" i="1"/>
  <c r="AN504" i="1"/>
  <c r="AN502" i="1"/>
  <c r="AN500" i="1"/>
  <c r="AM507" i="1"/>
  <c r="AS334" i="1"/>
  <c r="AS340" i="1"/>
  <c r="AN503" i="1"/>
  <c r="AN510" i="1"/>
  <c r="AM334" i="1"/>
  <c r="AS501" i="1"/>
  <c r="AN338" i="1"/>
  <c r="AS328" i="1"/>
  <c r="AN509" i="1"/>
  <c r="AS509" i="1"/>
  <c r="AM506" i="1"/>
  <c r="AS508" i="1"/>
  <c r="AS330" i="1"/>
  <c r="AM499" i="1"/>
  <c r="AN341" i="1"/>
  <c r="AS335" i="1"/>
  <c r="AN333" i="1"/>
  <c r="AS513" i="1"/>
  <c r="AN330" i="1"/>
  <c r="AN499" i="1"/>
  <c r="AN331" i="1"/>
  <c r="AS337" i="1"/>
  <c r="AM500" i="1"/>
  <c r="AS499" i="1"/>
  <c r="AM338" i="1"/>
  <c r="AN342" i="1"/>
  <c r="AM336" i="1"/>
  <c r="AS497" i="1"/>
  <c r="AM341" i="1"/>
  <c r="AM328" i="1"/>
  <c r="AM497" i="1"/>
  <c r="AO343" i="1"/>
  <c r="AM501" i="1"/>
  <c r="AO338" i="1"/>
  <c r="AO332" i="1"/>
  <c r="AM513" i="1"/>
  <c r="AO510" i="1"/>
  <c r="AO506" i="1"/>
  <c r="AO502" i="1"/>
  <c r="AM509" i="1"/>
  <c r="AO503" i="1"/>
  <c r="AO342" i="1"/>
  <c r="AO335" i="1"/>
  <c r="AO336" i="1"/>
  <c r="AO331" i="1"/>
  <c r="AM498" i="1"/>
  <c r="B6" i="1" l="1"/>
  <c r="S1522" i="1"/>
  <c r="B9" i="1"/>
  <c r="D9" i="1"/>
  <c r="B5" i="1"/>
  <c r="D5" i="1"/>
  <c r="A1742" i="1"/>
  <c r="D6" i="1"/>
  <c r="A1741" i="1"/>
  <c r="D10" i="1"/>
  <c r="B10" i="1"/>
  <c r="D7" i="1"/>
  <c r="AS1522" i="1" l="1"/>
  <c r="D8" i="1" l="1"/>
  <c r="B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tc={A82B7D82-0DE6-4EC6-B7AC-0C30FDF5EB1C}</author>
    <author>tc={235E9066-A8D4-4522-89FF-441D02B56CCC}</author>
    <author>tc={9FFC6A80-8743-4480-A059-9051411114DA}</author>
    <author>tc={5DFAD93F-770A-4DD1-9324-5BF6475C06EF}</author>
    <author>tc={D3E1BD1F-83D0-4DCF-AF83-EC969D6BF622}</author>
    <author>tc={CCB7856F-AA46-4979-BF1D-6CE15CB4DEFE}</author>
    <author>tc={DE903623-FFD5-4801-B873-12D9D97F512C}</author>
    <author>tc={2011C117-545B-49B2-8D1A-D7E066FDC272}</author>
    <author>tc={3E2AA507-C95A-4554-9025-BE184BB2CD48}</author>
    <author>tc={01D8F301-F172-4681-834A-C8F1280DA83D}</author>
    <author>tc={D8578DC7-91EC-42AC-8484-471C40A16CB1}</author>
    <author>tc={63F13FE0-322E-4497-AED9-3D64D68030AC}</author>
    <author>tc={9A97827D-3D1B-4E49-B4CB-484A893F8D83}</author>
    <author>tc={5500CC0F-C7B5-4DAB-B455-B4BEEAF81D37}</author>
    <author>tc={73A5D110-82F3-453A-A21D-7A53C64DCBB9}</author>
    <author>tc={F29AAB7C-D060-4109-B776-30051DA8CF7A}</author>
    <author>tc={7CA62FFC-0192-4224-96DA-B427C25E2D84}</author>
    <author>tc={337F6584-0A1B-4B99-96FF-4155EF9F740C}</author>
    <author>tc={77A0D08A-C5CD-4966-91D4-576AF4B54B53}</author>
    <author>tc={1757E01F-5EDD-4470-85C0-76A4A859FABB}</author>
    <author>tc={2EDAC4BD-5926-44FE-BC51-8078606DB3BB}</author>
    <author>tc={69A5FFF8-AC4B-4382-B925-514E42D0491E}</author>
    <author>tc={5A29D729-9F26-4325-B91B-8538DF25DF39}</author>
    <author>tc={8E1FEFFA-1D71-44A8-904C-41E7AE0B2E8B}</author>
    <author>tc={A449DC2A-6275-4E47-965B-B7E50D1F0FEA}</author>
    <author>tc={2C316D80-29FA-4962-9F70-465DF12CCC84}</author>
    <author>tc={BE1F94AB-AC01-4120-80D4-24B5C6F41148}</author>
    <author>tc={53BD749B-8CB7-4BB9-98A8-F42C40F4D4E5}</author>
    <author>tc={FF3F9E21-7F13-4036-A343-F263A9FC173F}</author>
    <author>tc={34DD7512-C58E-4899-BDF9-C6780DBD7ACF}</author>
    <author>tc={5D1D80D4-7C87-4115-93A9-57541E46C0B5}</author>
    <author>tc={BA10BA0B-2BE0-4E4D-A86D-29192023D36D}</author>
    <author>tc={01B343A8-1269-477F-B70F-901132B6A6FB}</author>
    <author>tc={7E52AFA1-00FC-46BA-96FE-16B2D8AFF3CD}</author>
    <author>tc={AA9E87B8-09EE-4D21-BD87-00CEE82F62D4}</author>
    <author>tc={233D74B7-22B8-471B-8689-AB9E5185BB27}</author>
    <author>tc={13CDE507-D51B-4D43-9335-57FF1F59A8EB}</author>
    <author>tc={19BACEEC-89BF-479B-B7CC-E3E57F55EAB3}</author>
    <author>tc={B41CA10B-DD9F-48C0-B9C1-0DACE1ED9883}</author>
    <author>tc={5F4410C6-F1E2-413F-A6EA-E754F4E89132}</author>
    <author>tc={682B02C0-3D91-4792-AECE-46C49432B5C2}</author>
    <author>tc={0A688994-24A4-4621-A67E-72FE6DC6724A}</author>
    <author>tc={ED789541-D388-4135-A38C-02E694E1BEEE}</author>
    <author>tc={AC0FE4F2-B466-4C2F-8F69-A54751A9FE70}</author>
    <author>tc={BFB7CEBB-C44A-49E5-B76A-3B60C66596F3}</author>
    <author>tc={0B37344D-1040-4112-9BCE-5453C6C99383}</author>
    <author>tc={DE4AED75-EBA3-4FBE-AE2C-DDE050CBEABB}</author>
    <author>tc={D25614E5-B3A1-4F86-8AB7-5043E8BC0906}</author>
    <author>tc={16AE8BF6-357C-4C9B-ACC1-A275E004B9AD}</author>
    <author>tc={47024848-4D3B-4B2B-AE93-E638496942B0}</author>
    <author>tc={4BE9FF5F-BC34-429E-9C4B-7CCC298BFCA7}</author>
    <author>tc={32EF85E3-416D-46B4-B645-18021B79D9DD}</author>
    <author>tc={413040F9-5B3D-4A5E-846F-15822C3CB4D2}</author>
    <author>tc={CC7EEABB-85DD-493D-998A-3FECEE2FE9CC}</author>
    <author>tc={2CC0CF69-B2B0-4178-A98A-7706516AFB59}</author>
    <author>tc={F618268B-B33A-43CC-9CEE-C7A5EED5706F}</author>
    <author>tc={B094454D-D813-4F15-85A7-EF10CB1D50F1}</author>
    <author>tc={1D0779E3-00B0-4342-9E07-A5F1DC811C7A}</author>
    <author>tc={623947D9-FB3B-4CBA-A005-B86FA9F27632}</author>
    <author>tc={8444C67A-0510-4C23-B845-39C381A8B6D2}</author>
    <author>tc={29DC55BA-B003-4A59-9370-CAF0DDF9714A}</author>
    <author>tc={0907E075-D15D-42C7-A07E-34BC54C8D83C}</author>
    <author>tc={4C794A32-345A-48D9-8580-C8E5959B0744}</author>
    <author>tc={673A892B-1E14-4DC7-8373-2A9224757C46}</author>
    <author>tc={D8DE68F6-54AD-467C-BDE8-4F02FBC76B78}</author>
    <author>tc={3C908A2E-65E5-4F7A-8C6D-D5077061A4AB}</author>
    <author>tc={2B199D4C-F41D-4566-B32C-5D9A21E0AFF1}</author>
    <author>tc={3D06580A-D6D4-4907-91A0-68A3DD78A3AB}</author>
    <author>tc={7A7C95FB-A05C-4C38-B173-BE79CE4E1400}</author>
    <author>tc={2C56A1A8-85AD-43AC-983B-B5DF442C517C}</author>
    <author>tc={B73D9736-AFB5-4FC7-A051-507A3914F215}</author>
  </authors>
  <commentList>
    <comment ref="H539" authorId="0" shapeId="0" xr:uid="{A82B7D82-0DE6-4EC6-B7AC-0C30FDF5EB1C}">
      <text>
        <t>[Threaded comment]
Your version of Excel allows you to read this threaded comment; however, any edits to it will get removed if the file is opened in a newer version of Excel. Learn more: https://go.microsoft.com/fwlink/?linkid=870924
Comment:
    should "In case you are part of multiple certification schemes, consider the one that you are in longest." be added as in the updated question on the left so as to facilitate responses?
Reply:
    Yes this can be adjusted in the Stability sheet and should be the standard from now on
Reply:
    thanks! Stability sheet adjusted</t>
      </text>
    </comment>
    <comment ref="H547" authorId="1" shapeId="0" xr:uid="{235E9066-A8D4-4522-89FF-441D02B56CCC}">
      <text>
        <t>[Threaded comment]
Your version of Excel allows you to read this threaded comment; however, any edits to it will get removed if the file is opened in a newer version of Excel. Learn more: https://go.microsoft.com/fwlink/?linkid=870924
Comment:
    should we also change this question to Area (hectares/acre) instead of the number of plots? (Which are we more interested in knowing, area or no. of plots?)
Reply:
    See previous comment
Reply:
    well noted, thanks!</t>
      </text>
    </comment>
    <comment ref="G569" authorId="2" shapeId="0" xr:uid="{9FFC6A80-8743-4480-A059-9051411114DA}">
      <text>
        <t>[Threaded comment]
Your version of Excel allows you to read this threaded comment; however, any edits to it will get removed if the file is opened in a newer version of Excel. Learn more: https://go.microsoft.com/fwlink/?linkid=870924
Comment:
    to ask Eddy/Collins to add a section at the end of the survey in Cropin for enumerator to take a picture of the plot after polygon mapping</t>
      </text>
    </comment>
    <comment ref="G580" authorId="3" shapeId="0" xr:uid="{5DFAD93F-770A-4DD1-9324-5BF6475C06EF}">
      <text>
        <t>[Threaded comment]
Your version of Excel allows you to read this threaded comment; however, any edits to it will get removed if the file is opened in a newer version of Excel. Learn more: https://go.microsoft.com/fwlink/?linkid=870924
Comment:
    needs a preceding question!
Reply:
    Yes, I agree, this refers somewhat awkwardly to question 5600, but we never got feedback that it causes confusion and I think it is quite simple like this. Let's keep it like it is until we have a tool with skiplogic</t>
      </text>
    </comment>
    <comment ref="G583" authorId="4" shapeId="0" xr:uid="{D3E1BD1F-83D0-4DCF-AF83-EC969D6BF622}">
      <text>
        <t>[Threaded comment]
Your version of Excel allows you to read this threaded comment; however, any edits to it will get removed if the file is opened in a newer version of Excel. Learn more: https://go.microsoft.com/fwlink/?linkid=870924
Comment:
    needs a preceding question!
Reply:
    Yes, I agree, this refers somewhat awkwardly to question 5600, but we never got feedback that it causes confusion and I think it is quite simple like this. Let's keep it like it is until we have a tool with skiplogic  
Reply:
    okay, thanks!</t>
      </text>
    </comment>
    <comment ref="Q680" authorId="5" shapeId="0" xr:uid="{CCB7856F-AA46-4979-BF1D-6CE15CB4DEFE}">
      <text>
        <t xml:space="preserve">[Threaded comment]
Your version of Excel allows you to read this threaded comment; however, any edits to it will get removed if the file is opened in a newer version of Excel. Learn more: https://go.microsoft.com/fwlink/?linkid=870924
Comment:
    should this be TRUE instead? </t>
      </text>
    </comment>
    <comment ref="N697" authorId="6" shapeId="0" xr:uid="{DE903623-FFD5-4801-B873-12D9D97F512C}">
      <text>
        <t>[Threaded comment]
Your version of Excel allows you to read this threaded comment; however, any edits to it will get removed if the file is opened in a newer version of Excel. Learn more: https://go.microsoft.com/fwlink/?linkid=870924
Comment:
    ?</t>
      </text>
    </comment>
    <comment ref="G699" authorId="7" shapeId="0" xr:uid="{2011C117-545B-49B2-8D1A-D7E066FDC272}">
      <text>
        <t xml:space="preserve">[Threaded comment]
Your version of Excel allows you to read this threaded comment; however, any edits to it will get removed if the file is opened in a newer version of Excel. Learn more: https://go.microsoft.com/fwlink/?linkid=870924
Comment:
    Can this be a question with a fixed, prefilled answer (kg)? Is that possible in Cropin? </t>
      </text>
    </comment>
    <comment ref="G702" authorId="8" shapeId="0" xr:uid="{3E2AA507-C95A-4554-9025-BE184BB2CD48}">
      <text>
        <t xml:space="preserve">[Threaded comment]
Your version of Excel allows you to read this threaded comment; however, any edits to it will get removed if the file is opened in a newer version of Excel. Learn more: https://go.microsoft.com/fwlink/?linkid=870924
Comment:
    Can this be a question with a fixed, prefilled answer (kg)? Is that possible in Cropin? </t>
      </text>
    </comment>
    <comment ref="G705" authorId="9" shapeId="0" xr:uid="{01D8F301-F172-4681-834A-C8F1280DA83D}">
      <text>
        <t xml:space="preserve">[Threaded comment]
Your version of Excel allows you to read this threaded comment; however, any edits to it will get removed if the file is opened in a newer version of Excel. Learn more: https://go.microsoft.com/fwlink/?linkid=870924
Comment:
    Can this be a question with a fixed, prefilled answer (kg)? Is that possible in Cropin? </t>
      </text>
    </comment>
    <comment ref="G1014" authorId="10" shapeId="0" xr:uid="{D8578DC7-91EC-42AC-8484-471C40A16CB1}">
      <text>
        <t>[Threaded comment]
Your version of Excel allows you to read this threaded comment; however, any edits to it will get removed if the file is opened in a newer version of Excel. Learn more: https://go.microsoft.com/fwlink/?linkid=870924
Comment:
    in the Vietnamse version, Nhu set the answer for this question as "Lime" so as to ensure that Lime is accounted for among the fertilizers..</t>
      </text>
    </comment>
    <comment ref="G1113" authorId="11" shapeId="0" xr:uid="{63F13FE0-322E-4497-AED9-3D64D68030AC}">
      <text>
        <t>[Threaded comment]
Your version of Excel allows you to read this threaded comment; however, any edits to it will get removed if the file is opened in a newer version of Excel. Learn more: https://go.microsoft.com/fwlink/?linkid=870924
Comment:
    answer options were adapted to the below (global team forgot to adjust the answer options when sharing the survey questions with VN team, so VN team did the adjustment from their end..)
Apply to coffee farms within the supply, right after processing (e.g. after de-pulping in wet processing and after de-husking in dry processing) without composting
Apply to other crops without composting
Compost and add to coffee farms within the supply chain
Compost and add to other farms outside the supply chain
Temporarily left untreated in a heap/pit (max. 6 months), after which it is applied to the coffee farms within the supply chain
Temporarily left untreated in a heap/pit (max. 6 months), after which it sold or given away (outside the supply chain)
Leave them in a pile untreated (min. 6 months or longer) and then applied to the coffee farms within the supply chain
Leave them in a pile untreated (min. 6 months or longer), no other management
Burned at washingstation/hulling station/dry mill
Sell to a buyer or given away (outside the supply chain)</t>
      </text>
    </comment>
    <comment ref="AB1157" authorId="12" shapeId="0" xr:uid="{9A97827D-3D1B-4E49-B4CB-484A893F8D83}">
      <text>
        <t>[Threaded comment]
Your version of Excel allows you to read this threaded comment; however, any edits to it will get removed if the file is opened in a newer version of Excel. Learn more: https://go.microsoft.com/fwlink/?linkid=870924
Comment:
    does SAP provide a space for specifying this?</t>
      </text>
    </comment>
    <comment ref="S1172" authorId="13" shapeId="0" xr:uid="{5500CC0F-C7B5-4DAB-B455-B4BEEAF81D37}">
      <text>
        <t>[Threaded comment]
Your version of Excel allows you to read this threaded comment; however, any edits to it will get removed if the file is opened in a newer version of Excel. Learn more: https://go.microsoft.com/fwlink/?linkid=870924
Comment:
    not getting the answer options!</t>
      </text>
    </comment>
    <comment ref="F1177" authorId="14" shapeId="0" xr:uid="{73A5D110-82F3-453A-A21D-7A53C64DCBB9}">
      <text>
        <t xml:space="preserve">[Threaded comment]
Your version of Excel allows you to read this threaded comment; however, any edits to it will get removed if the file is opened in a newer version of Excel. Learn more: https://go.microsoft.com/fwlink/?linkid=870924
Comment:
    should we use this one for Lime instead?
</t>
      </text>
    </comment>
    <comment ref="T1177" authorId="15" shapeId="0" xr:uid="{F29AAB7C-D060-4109-B776-30051DA8CF7A}">
      <text>
        <t>[Threaded comment]
Your version of Excel allows you to read this threaded comment; however, any edits to it will get removed if the file is opened in a newer version of Excel. Learn more: https://go.microsoft.com/fwlink/?linkid=870924
Comment:
    to confirm with Wytze</t>
      </text>
    </comment>
    <comment ref="AG1177" authorId="16" shapeId="0" xr:uid="{7CA62FFC-0192-4224-96DA-B427C25E2D84}">
      <text>
        <t>[Threaded comment]
Your version of Excel allows you to read this threaded comment; however, any edits to it will get removed if the file is opened in a newer version of Excel. Learn more: https://go.microsoft.com/fwlink/?linkid=870924
Comment:
    should add a space for specifying..</t>
      </text>
    </comment>
    <comment ref="G1179" authorId="17" shapeId="0" xr:uid="{337F6584-0A1B-4B99-96FF-4155EF9F740C}">
      <text>
        <t xml:space="preserve">[Threaded comment]
Your version of Excel allows you to read this threaded comment; however, any edits to it will get removed if the file is opened in a newer version of Excel. Learn more: https://go.microsoft.com/fwlink/?linkid=870924
Comment:
    this should be a fixed, prefilled answer (kg)
</t>
      </text>
    </comment>
    <comment ref="T1180" authorId="18" shapeId="0" xr:uid="{77A0D08A-C5CD-4966-91D4-576AF4B54B53}">
      <text>
        <t>[Threaded comment]
Your version of Excel allows you to read this threaded comment; however, any edits to it will get removed if the file is opened in a newer version of Excel. Learn more: https://go.microsoft.com/fwlink/?linkid=870924
Comment:
    to confirm with Wytze</t>
      </text>
    </comment>
    <comment ref="AG1180" authorId="19" shapeId="0" xr:uid="{1757E01F-5EDD-4470-85C0-76A4A859FABB}">
      <text>
        <t>[Threaded comment]
Your version of Excel allows you to read this threaded comment; however, any edits to it will get removed if the file is opened in a newer version of Excel. Learn more: https://go.microsoft.com/fwlink/?linkid=870924
Comment:
    should add a space for specifying..</t>
      </text>
    </comment>
    <comment ref="G1182" authorId="20" shapeId="0" xr:uid="{2EDAC4BD-5926-44FE-BC51-8078606DB3BB}">
      <text>
        <t xml:space="preserve">[Threaded comment]
Your version of Excel allows you to read this threaded comment; however, any edits to it will get removed if the file is opened in a newer version of Excel. Learn more: https://go.microsoft.com/fwlink/?linkid=870924
Comment:
    this should be a fixed, prefilled answer (kg)
</t>
      </text>
    </comment>
    <comment ref="F1183" authorId="21" shapeId="0" xr:uid="{69A5FFF8-AC4B-4382-B925-514E42D0491E}">
      <text>
        <t>[Threaded comment]
Your version of Excel allows you to read this threaded comment; however, any edits to it will get removed if the file is opened in a newer version of Excel. Learn more: https://go.microsoft.com/fwlink/?linkid=870924
Comment:
    changed from '5140' to '5120'</t>
      </text>
    </comment>
    <comment ref="F1184" authorId="22" shapeId="0" xr:uid="{5A29D729-9F26-4325-B91B-8538DF25DF39}">
      <text>
        <t>[Threaded comment]
Your version of Excel allows you to read this threaded comment; however, any edits to it will get removed if the file is opened in a newer version of Excel. Learn more: https://go.microsoft.com/fwlink/?linkid=870924
Comment:
    changed from '5140' to '5120'</t>
      </text>
    </comment>
    <comment ref="F1185" authorId="23" shapeId="0" xr:uid="{8E1FEFFA-1D71-44A8-904C-41E7AE0B2E8B}">
      <text>
        <t>[Threaded comment]
Your version of Excel allows you to read this threaded comment; however, any edits to it will get removed if the file is opened in a newer version of Excel. Learn more: https://go.microsoft.com/fwlink/?linkid=870924
Comment:
    changed from '5140' to '5120'</t>
      </text>
    </comment>
    <comment ref="G1185" authorId="24" shapeId="0" xr:uid="{A449DC2A-6275-4E47-965B-B7E50D1F0FEA}">
      <text>
        <t xml:space="preserve">[Threaded comment]
Your version of Excel allows you to read this threaded comment; however, any edits to it will get removed if the file is opened in a newer version of Excel. Learn more: https://go.microsoft.com/fwlink/?linkid=870924
Comment:
    this should be a fixed, prefilled answer (kg)
</t>
      </text>
    </comment>
    <comment ref="G1188" authorId="25" shapeId="0" xr:uid="{2C316D80-29FA-4962-9F70-465DF12CCC84}">
      <text>
        <t xml:space="preserve">[Threaded comment]
Your version of Excel allows you to read this threaded comment; however, any edits to it will get removed if the file is opened in a newer version of Excel. Learn more: https://go.microsoft.com/fwlink/?linkid=870924
Comment:
    this should be a fixed, prefilled answer (kg)
</t>
      </text>
    </comment>
    <comment ref="T1190" authorId="26" shapeId="0" xr:uid="{BE1F94AB-AC01-4120-80D4-24B5C6F41148}">
      <text>
        <t>[Threaded comment]
Your version of Excel allows you to read this threaded comment; however, any edits to it will get removed if the file is opened in a newer version of Excel. Learn more: https://go.microsoft.com/fwlink/?linkid=870924
Comment:
    in case of Vietnam, it should be "In-farm coffee-related organic fertilizer"</t>
      </text>
    </comment>
    <comment ref="G1192" authorId="27" shapeId="0" xr:uid="{53BD749B-8CB7-4BB9-98A8-F42C40F4D4E5}">
      <text>
        <t xml:space="preserve">[Threaded comment]
Your version of Excel allows you to read this threaded comment; however, any edits to it will get removed if the file is opened in a newer version of Excel. Learn more: https://go.microsoft.com/fwlink/?linkid=870924
Comment:
    this should be a fixed, prefilled answer (kg)
</t>
      </text>
    </comment>
    <comment ref="G1196" authorId="28" shapeId="0" xr:uid="{FF3F9E21-7F13-4036-A343-F263A9FC173F}">
      <text>
        <t xml:space="preserve">[Threaded comment]
Your version of Excel allows you to read this threaded comment; however, any edits to it will get removed if the file is opened in a newer version of Excel. Learn more: https://go.microsoft.com/fwlink/?linkid=870924
Comment:
    this should be a fixed, prefilled answer (kg)
</t>
      </text>
    </comment>
    <comment ref="G1201" authorId="29" shapeId="0" xr:uid="{34DD7512-C58E-4899-BDF9-C6780DBD7ACF}">
      <text>
        <t>[Threaded comment]
Your version of Excel allows you to read this threaded comment; however, any edits to it will get removed if the file is opened in a newer version of Excel. Learn more: https://go.microsoft.com/fwlink/?linkid=870924
Comment:
    Fix this to Kgs</t>
      </text>
    </comment>
    <comment ref="F1217" authorId="30" shapeId="0" xr:uid="{5D1D80D4-7C87-4115-93A9-57541E46C0B5}">
      <text>
        <t>[Threaded comment]
Your version of Excel allows you to read this threaded comment; however, any edits to it will get removed if the file is opened in a newer version of Excel. Learn more: https://go.microsoft.com/fwlink/?linkid=870924
Comment:
    changed numbering in these cells</t>
      </text>
    </comment>
    <comment ref="G1220" authorId="31" shapeId="0" xr:uid="{BA10BA0B-2BE0-4E4D-A86D-29192023D36D}">
      <text>
        <t>[Threaded comment]
Your version of Excel allows you to read this threaded comment; however, any edits to it will get removed if the file is opened in a newer version of Excel. Learn more: https://go.microsoft.com/fwlink/?linkid=870924
Comment:
    Changed from: If yes, every day, how many people would you hire most of the time for this main activity, during the fly season? Number of people:</t>
      </text>
    </comment>
    <comment ref="G1224" authorId="32" shapeId="0" xr:uid="{01B343A8-1269-477F-B70F-901132B6A6FB}">
      <text>
        <t>[Threaded comment]
Your version of Excel allows you to read this threaded comment; however, any edits to it will get removed if the file is opened in a newer version of Excel. Learn more: https://go.microsoft.com/fwlink/?linkid=870924
Comment:
    Changed from: If yes, every day, how many people would you hire most of the time for this main activity, during the main season? Number of people:</t>
      </text>
    </comment>
    <comment ref="G1225" authorId="33" shapeId="0" xr:uid="{7E52AFA1-00FC-46BA-96FE-16B2D8AFF3CD}">
      <text>
        <t>[Threaded comment]
Your version of Excel allows you to read this threaded comment; however, any edits to it will get removed if the file is opened in a newer version of Excel. Learn more: https://go.microsoft.com/fwlink/?linkid=870924
Comment:
    Changed from: Did you use any money loan for coffee last year?</t>
      </text>
    </comment>
    <comment ref="T1226" authorId="34" shapeId="0" xr:uid="{AA9E87B8-09EE-4D21-BD87-00CEE82F62D4}">
      <text>
        <t>[Threaded comment]
Your version of Excel allows you to read this threaded comment; however, any edits to it will get removed if the file is opened in a newer version of Excel. Learn more: https://go.microsoft.com/fwlink/?linkid=870924
Comment:
    options just added for 2025</t>
      </text>
    </comment>
    <comment ref="G1236" authorId="35" shapeId="0" xr:uid="{233D74B7-22B8-471B-8689-AB9E5185BB27}">
      <text>
        <t>[Threaded comment]
Your version of Excel allows you to read this threaded comment; however, any edits to it will get removed if the file is opened in a newer version of Excel. Learn more: https://go.microsoft.com/fwlink/?linkid=870924
Comment:
    this is not a question!</t>
      </text>
    </comment>
    <comment ref="G1237" authorId="36" shapeId="0" xr:uid="{13CDE507-D51B-4D43-9335-57FF1F59A8EB}">
      <text>
        <t>[Threaded comment]
Your version of Excel allows you to read this threaded comment; however, any edits to it will get removed if the file is opened in a newer version of Excel. Learn more: https://go.microsoft.com/fwlink/?linkid=870924
Comment:
    response for this question cannot be blank or 0</t>
      </text>
    </comment>
    <comment ref="AB1313" authorId="37" shapeId="0" xr:uid="{19BACEEC-89BF-479B-B7CC-E3E57F55EAB3}">
      <text>
        <t>[Threaded comment]
Your version of Excel allows you to read this threaded comment; however, any edits to it will get removed if the file is opened in a newer version of Excel. Learn more: https://go.microsoft.com/fwlink/?linkid=870924
Comment:
    does SAP provide a space for specifying this?</t>
      </text>
    </comment>
    <comment ref="H1314" authorId="38" shapeId="0" xr:uid="{B41CA10B-DD9F-48C0-B9C1-0DACE1ED9883}">
      <text>
        <t>[Threaded comment]
Your version of Excel allows you to read this threaded comment; however, any edits to it will get removed if the file is opened in a newer version of Excel. Learn more: https://go.microsoft.com/fwlink/?linkid=870924
Comment:
    should "In case you are part of multiple certification schemes, consider the one that you are in longest." be added as in the updated question on the left so as to facilitate responses?
Reply:
    Yes this can be adjusted in the Stability sheet and should be the standard from now on
Reply:
    thanks! Stability sheet adjusted</t>
      </text>
    </comment>
    <comment ref="H1322" authorId="39" shapeId="0" xr:uid="{5F4410C6-F1E2-413F-A6EA-E754F4E89132}">
      <text>
        <t>[Threaded comment]
Your version of Excel allows you to read this threaded comment; however, any edits to it will get removed if the file is opened in a newer version of Excel. Learn more: https://go.microsoft.com/fwlink/?linkid=870924
Comment:
    should we also change this question to Area (hectares/acre) instead of the number of plots? (Which are we more interested in knowing, area or no. of plots?)
Reply:
    See previous comment
Reply:
    well noted, thanks!</t>
      </text>
    </comment>
    <comment ref="T1326" authorId="40" shapeId="0" xr:uid="{682B02C0-3D91-4792-AECE-46C49432B5C2}">
      <text>
        <t>[Threaded comment]
Your version of Excel allows you to read this threaded comment; however, any edits to it will get removed if the file is opened in a newer version of Excel. Learn more: https://go.microsoft.com/fwlink/?linkid=870924
Comment:
    to confirm with Wytze</t>
      </text>
    </comment>
    <comment ref="AG1326" authorId="41" shapeId="0" xr:uid="{0A688994-24A4-4621-A67E-72FE6DC6724A}">
      <text>
        <t>[Threaded comment]
Your version of Excel allows you to read this threaded comment; however, any edits to it will get removed if the file is opened in a newer version of Excel. Learn more: https://go.microsoft.com/fwlink/?linkid=870924
Comment:
    should add a space for specifying..</t>
      </text>
    </comment>
    <comment ref="T1329" authorId="42" shapeId="0" xr:uid="{ED789541-D388-4135-A38C-02E694E1BEEE}">
      <text>
        <t>[Threaded comment]
Your version of Excel allows you to read this threaded comment; however, any edits to it will get removed if the file is opened in a newer version of Excel. Learn more: https://go.microsoft.com/fwlink/?linkid=870924
Comment:
    to confirm with Wytze</t>
      </text>
    </comment>
    <comment ref="AG1329" authorId="43" shapeId="0" xr:uid="{AC0FE4F2-B466-4C2F-8F69-A54751A9FE70}">
      <text>
        <t>[Threaded comment]
Your version of Excel allows you to read this threaded comment; however, any edits to it will get removed if the file is opened in a newer version of Excel. Learn more: https://go.microsoft.com/fwlink/?linkid=870924
Comment:
    should add a space for specifying..</t>
      </text>
    </comment>
    <comment ref="F1332" authorId="44" shapeId="0" xr:uid="{BFB7CEBB-C44A-49E5-B76A-3B60C66596F3}">
      <text>
        <t>[Threaded comment]
Your version of Excel allows you to read this threaded comment; however, any edits to it will get removed if the file is opened in a newer version of Excel. Learn more: https://go.microsoft.com/fwlink/?linkid=870924
Comment:
    changed from '5140' to '5120'</t>
      </text>
    </comment>
    <comment ref="F1333" authorId="45" shapeId="0" xr:uid="{0B37344D-1040-4112-9BCE-5453C6C99383}">
      <text>
        <t>[Threaded comment]
Your version of Excel allows you to read this threaded comment; however, any edits to it will get removed if the file is opened in a newer version of Excel. Learn more: https://go.microsoft.com/fwlink/?linkid=870924
Comment:
    changed from '5140' to '5120'</t>
      </text>
    </comment>
    <comment ref="F1334" authorId="46" shapeId="0" xr:uid="{DE4AED75-EBA3-4FBE-AE2C-DDE050CBEABB}">
      <text>
        <t>[Threaded comment]
Your version of Excel allows you to read this threaded comment; however, any edits to it will get removed if the file is opened in a newer version of Excel. Learn more: https://go.microsoft.com/fwlink/?linkid=870924
Comment:
    changed from '5140' to '5120'</t>
      </text>
    </comment>
    <comment ref="G1334" authorId="47" shapeId="0" xr:uid="{D25614E5-B3A1-4F86-8AB7-5043E8BC0906}">
      <text>
        <t xml:space="preserve">[Threaded comment]
Your version of Excel allows you to read this threaded comment; however, any edits to it will get removed if the file is opened in a newer version of Excel. Learn more: https://go.microsoft.com/fwlink/?linkid=870924
Comment:
    this should be a fixed, prefilled answer (kg)
</t>
      </text>
    </comment>
    <comment ref="T1339" authorId="48" shapeId="0" xr:uid="{16AE8BF6-357C-4C9B-ACC1-A275E004B9AD}">
      <text>
        <t>[Threaded comment]
Your version of Excel allows you to read this threaded comment; however, any edits to it will get removed if the file is opened in a newer version of Excel. Learn more: https://go.microsoft.com/fwlink/?linkid=870924
Comment:
    in case of Vietnam, it should be "In-farm coffee-related organic fertilizer"</t>
      </text>
    </comment>
    <comment ref="G1341" authorId="49" shapeId="0" xr:uid="{47024848-4D3B-4B2B-AE93-E638496942B0}">
      <text>
        <t xml:space="preserve">[Threaded comment]
Your version of Excel allows you to read this threaded comment; however, any edits to it will get removed if the file is opened in a newer version of Excel. Learn more: https://go.microsoft.com/fwlink/?linkid=870924
Comment:
    this should be a fixed, prefilled answer (kg)
</t>
      </text>
    </comment>
    <comment ref="T1343" authorId="50" shapeId="0" xr:uid="{4BE9FF5F-BC34-429E-9C4B-7CCC298BFCA7}">
      <text>
        <t>[Threaded comment]
Your version of Excel allows you to read this threaded comment; however, any edits to it will get removed if the file is opened in a newer version of Excel. Learn more: https://go.microsoft.com/fwlink/?linkid=870924
Comment:
    in case of Vietnam, it should be "In-farm coffee-related organic fertilizer"</t>
      </text>
    </comment>
    <comment ref="G1345" authorId="51" shapeId="0" xr:uid="{32EF85E3-416D-46B4-B645-18021B79D9DD}">
      <text>
        <t xml:space="preserve">[Threaded comment]
Your version of Excel allows you to read this threaded comment; however, any edits to it will get removed if the file is opened in a newer version of Excel. Learn more: https://go.microsoft.com/fwlink/?linkid=870924
Comment:
    this should be a fixed, prefilled answer (kg)
</t>
      </text>
    </comment>
    <comment ref="G1347" authorId="52" shapeId="0" xr:uid="{413040F9-5B3D-4A5E-846F-15822C3CB4D2}">
      <text>
        <t>[Threaded comment]
Your version of Excel allows you to read this threaded comment; however, any edits to it will get removed if the file is opened in a newer version of Excel. Learn more: https://go.microsoft.com/fwlink/?linkid=870924
Comment:
    to ask Eddy/Collins to add a section at the end of the survey in Cropin for enumerator to take a picture of the plot after polygon mapping</t>
      </text>
    </comment>
    <comment ref="G1350" authorId="53" shapeId="0" xr:uid="{CC7EEABB-85DD-493D-998A-3FECEE2FE9CC}">
      <text>
        <t>[Threaded comment]
Your version of Excel allows you to read this threaded comment; however, any edits to it will get removed if the file is opened in a newer version of Excel. Learn more: https://go.microsoft.com/fwlink/?linkid=870924
Comment:
    Fix this to Kgs</t>
      </text>
    </comment>
    <comment ref="G1358" authorId="54" shapeId="0" xr:uid="{2CC0CF69-B2B0-4178-A98A-7706516AFB59}">
      <text>
        <t>[Threaded comment]
Your version of Excel allows you to read this threaded comment; however, any edits to it will get removed if the file is opened in a newer version of Excel. Learn more: https://go.microsoft.com/fwlink/?linkid=870924
Comment:
    needs a preceding question!
Reply:
    Yes, I agree, this refers somewhat awkwardly to question 5600, but we never got feedback that it causes confusion and I think it is quite simple like this. Let's keep it like it is until we have a tool with skiplogic</t>
      </text>
    </comment>
    <comment ref="G1361" authorId="55" shapeId="0" xr:uid="{F618268B-B33A-43CC-9CEE-C7A5EED5706F}">
      <text>
        <t>[Threaded comment]
Your version of Excel allows you to read this threaded comment; however, any edits to it will get removed if the file is opened in a newer version of Excel. Learn more: https://go.microsoft.com/fwlink/?linkid=870924
Comment:
    needs a preceding question!
Reply:
    Yes, I agree, this refers somewhat awkwardly to question 5600, but we never got feedback that it causes confusion and I think it is quite simple like this. Let's keep it like it is until we have a tool with skiplogic  
Reply:
    okay, thanks!</t>
      </text>
    </comment>
    <comment ref="G1369" authorId="56" shapeId="0" xr:uid="{B094454D-D813-4F15-85A7-EF10CB1D50F1}">
      <text>
        <t>[Threaded comment]
Your version of Excel allows you to read this threaded comment; however, any edits to it will get removed if the file is opened in a newer version of Excel. Learn more: https://go.microsoft.com/fwlink/?linkid=870924
Comment:
    Changed from: If yes, every day, how many people would you hire most of the time for this main activity, during last season? Number of people:</t>
      </text>
    </comment>
    <comment ref="G1370" authorId="57" shapeId="0" xr:uid="{1D0779E3-00B0-4342-9E07-A5F1DC811C7A}">
      <text>
        <t>[Threaded comment]
Your version of Excel allows you to read this threaded comment; however, any edits to it will get removed if the file is opened in a newer version of Excel. Learn more: https://go.microsoft.com/fwlink/?linkid=870924
Comment:
    Changed from: Did you use any money loan for coffee last year?</t>
      </text>
    </comment>
    <comment ref="T1371" authorId="58" shapeId="0" xr:uid="{623947D9-FB3B-4CBA-A005-B86FA9F27632}">
      <text>
        <t>[Threaded comment]
Your version of Excel allows you to read this threaded comment; however, any edits to it will get removed if the file is opened in a newer version of Excel. Learn more: https://go.microsoft.com/fwlink/?linkid=870924
Comment:
    options just added for 2025</t>
      </text>
    </comment>
    <comment ref="G1378" authorId="59" shapeId="0" xr:uid="{8444C67A-0510-4C23-B845-39C381A8B6D2}">
      <text>
        <t>[Threaded comment]
Your version of Excel allows you to read this threaded comment; however, any edits to it will get removed if the file is opened in a newer version of Excel. Learn more: https://go.microsoft.com/fwlink/?linkid=870924
Comment:
    this is not a question!</t>
      </text>
    </comment>
    <comment ref="G1379" authorId="60" shapeId="0" xr:uid="{29DC55BA-B003-4A59-9370-CAF0DDF9714A}">
      <text>
        <t>[Threaded comment]
Your version of Excel allows you to read this threaded comment; however, any edits to it will get removed if the file is opened in a newer version of Excel. Learn more: https://go.microsoft.com/fwlink/?linkid=870924
Comment:
    response for this question cannot be blank or 0</t>
      </text>
    </comment>
    <comment ref="AB1578" authorId="61" shapeId="0" xr:uid="{0907E075-D15D-42C7-A07E-34BC54C8D83C}">
      <text>
        <t>[Threaded comment]
Your version of Excel allows you to read this threaded comment; however, any edits to it will get removed if the file is opened in a newer version of Excel. Learn more: https://go.microsoft.com/fwlink/?linkid=870924
Comment:
    does SAP provide a space for specifying this?</t>
      </text>
    </comment>
    <comment ref="H1579" authorId="62" shapeId="0" xr:uid="{4C794A32-345A-48D9-8580-C8E5959B0744}">
      <text>
        <t>[Threaded comment]
Your version of Excel allows you to read this threaded comment; however, any edits to it will get removed if the file is opened in a newer version of Excel. Learn more: https://go.microsoft.com/fwlink/?linkid=870924
Comment:
    should "In case you are part of multiple certification schemes, consider the one that you are in longest." be added as in the updated question on the left so as to facilitate responses?
Reply:
    Yes this can be adjusted in the Stability sheet and should be the standard from now on
Reply:
    thanks! Stability sheet adjusted</t>
      </text>
    </comment>
    <comment ref="H1587" authorId="63" shapeId="0" xr:uid="{673A892B-1E14-4DC7-8373-2A9224757C46}">
      <text>
        <t>[Threaded comment]
Your version of Excel allows you to read this threaded comment; however, any edits to it will get removed if the file is opened in a newer version of Excel. Learn more: https://go.microsoft.com/fwlink/?linkid=870924
Comment:
    should we also change this question to Area (hectares/acre) instead of the number of plots? (Which are we more interested in knowing, area or no. of plots?)
Reply:
    See previous comment
Reply:
    well noted, thanks!</t>
      </text>
    </comment>
    <comment ref="T1591" authorId="64" shapeId="0" xr:uid="{D8DE68F6-54AD-467C-BDE8-4F02FBC76B78}">
      <text>
        <t>[Threaded comment]
Your version of Excel allows you to read this threaded comment; however, any edits to it will get removed if the file is opened in a newer version of Excel. Learn more: https://go.microsoft.com/fwlink/?linkid=870924
Comment:
    to confirm with Wytze</t>
      </text>
    </comment>
    <comment ref="AG1591" authorId="65" shapeId="0" xr:uid="{3C908A2E-65E5-4F7A-8C6D-D5077061A4AB}">
      <text>
        <t>[Threaded comment]
Your version of Excel allows you to read this threaded comment; however, any edits to it will get removed if the file is opened in a newer version of Excel. Learn more: https://go.microsoft.com/fwlink/?linkid=870924
Comment:
    should add a space for specifying..</t>
      </text>
    </comment>
    <comment ref="T1594" authorId="66" shapeId="0" xr:uid="{2B199D4C-F41D-4566-B32C-5D9A21E0AFF1}">
      <text>
        <t>[Threaded comment]
Your version of Excel allows you to read this threaded comment; however, any edits to it will get removed if the file is opened in a newer version of Excel. Learn more: https://go.microsoft.com/fwlink/?linkid=870924
Comment:
    to confirm with Wytze</t>
      </text>
    </comment>
    <comment ref="AG1594" authorId="67" shapeId="0" xr:uid="{3D06580A-D6D4-4907-91A0-68A3DD78A3AB}">
      <text>
        <t>[Threaded comment]
Your version of Excel allows you to read this threaded comment; however, any edits to it will get removed if the file is opened in a newer version of Excel. Learn more: https://go.microsoft.com/fwlink/?linkid=870924
Comment:
    should add a space for specifying..</t>
      </text>
    </comment>
    <comment ref="T1604" authorId="68" shapeId="0" xr:uid="{7A7C95FB-A05C-4C38-B173-BE79CE4E1400}">
      <text>
        <t>[Threaded comment]
Your version of Excel allows you to read this threaded comment; however, any edits to it will get removed if the file is opened in a newer version of Excel. Learn more: https://go.microsoft.com/fwlink/?linkid=870924
Comment:
    in case of Vietnam, it should be "In-farm coffee-related organic fertilizer"</t>
      </text>
    </comment>
    <comment ref="T1608" authorId="69" shapeId="0" xr:uid="{2C56A1A8-85AD-43AC-983B-B5DF442C517C}">
      <text>
        <t>[Threaded comment]
Your version of Excel allows you to read this threaded comment; however, any edits to it will get removed if the file is opened in a newer version of Excel. Learn more: https://go.microsoft.com/fwlink/?linkid=870924
Comment:
    in case of Vietnam, it should be "In-farm coffee-related organic fertilizer"</t>
      </text>
    </comment>
    <comment ref="T1636" authorId="70" shapeId="0" xr:uid="{B73D9736-AFB5-4FC7-A051-507A3914F215}">
      <text>
        <t>[Threaded comment]
Your version of Excel allows you to read this threaded comment; however, any edits to it will get removed if the file is opened in a newer version of Excel. Learn more: https://go.microsoft.com/fwlink/?linkid=870924
Comment:
    options just added for 2025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tc={3C3A0492-2BE4-4AB1-9B48-55824DAD3F0D}</author>
    <author>tc={2882A1CD-49CA-488E-A383-CE99776ED655}</author>
    <author>tc={8777E564-52C1-4852-B738-827C7C053A7D}</author>
    <author>tc={01C6457C-07F0-4BDC-A72E-8D0795A52E75}</author>
    <author>tc={879176AC-0351-418D-BEAA-20D93D47E1EC}</author>
    <author>tc={FAB17C19-E209-4104-AEA8-26C003800C35}</author>
    <author>tc={7A4284B5-477C-447F-A46A-C402E656FCCF}</author>
    <author>tc={63713195-0ACA-4C40-89CC-A6A75F92CC0A}</author>
    <author>tc={E6C458D6-7285-45BA-9F7D-1B4986FECF4F}</author>
    <author>tc={FCCEB3F8-C986-4B9C-8493-4EEE90C1201F}</author>
    <author>tc={AF178343-56AD-4F1E-9B25-F9AB53523AD5}</author>
    <author>tc={3942DB88-3951-43FE-9C04-B5735029F26B}</author>
    <author>tc={5B9CE261-FDC1-4A34-B328-8061B6810CC4}</author>
    <author>tc={D87A8850-EB85-44EC-B7ED-EA0874EE9C69}</author>
    <author>tc={9BAA2C7D-EFDD-4D66-875C-923EA36F47F1}</author>
    <author>tc={6F5C6DBA-F2F8-4791-BAC7-5004E7D662DB}</author>
    <author>tc={E20E1EBD-6D8B-447C-BFC9-4BAC604A881A}</author>
    <author>tc={6894CED8-F62D-404D-80BA-FE43C5235C40}</author>
    <author>tc={4415789E-EC53-4592-817E-1A2C14E50CEE}</author>
    <author>tc={12456066-A814-4967-A9AF-45C6531B62E7}</author>
    <author>tc={4B2E91BA-26F4-4214-8CFF-31409618E932}</author>
    <author>tc={C1C4052B-A785-44D5-9256-61A6E82B2409}</author>
    <author>tc={512C5176-547A-41DE-BCB3-CD367CDAA672}</author>
    <author>tc={78F949FE-D087-42C4-BE50-F12CBB93F819}</author>
    <author>tc={6510B4AD-9E58-45F5-9584-1C29CAB4A68A}</author>
    <author>tc={ED0B27EF-1D3D-4D2B-AFF4-B66B139B9974}</author>
    <author>tc={E3DCFE8E-61DF-4534-B623-B9A3B31EED92}</author>
    <author>tc={1615E11E-0790-47B6-B8D2-76A688BE382D}</author>
    <author>tc={40E6C55D-8465-4587-8BC1-D70E24E74BA2}</author>
  </authors>
  <commentList>
    <comment ref="G30" authorId="0" shapeId="0" xr:uid="{3C3A0492-2BE4-4AB1-9B48-55824DAD3F0D}">
      <text>
        <t xml:space="preserve">[Threaded comment]
Your version of Excel allows you to read this threaded comment; however, any edits to it will get removed if the file is opened in a newer version of Excel. Learn more: https://go.microsoft.com/fwlink/?linkid=870924
Comment:
    should be removed?
</t>
      </text>
    </comment>
    <comment ref="B71" authorId="1" shapeId="0" xr:uid="{2882A1CD-49CA-488E-A383-CE99776ED655}">
      <text>
        <t>[Threaded comment]
Your version of Excel allows you to read this threaded comment; however, any edits to it will get removed if the file is opened in a newer version of Excel. Learn more: https://go.microsoft.com/fwlink/?linkid=870924
Comment:
    should we remove this question?</t>
      </text>
    </comment>
    <comment ref="M74" authorId="2" shapeId="0" xr:uid="{8777E564-52C1-4852-B738-827C7C053A7D}">
      <text>
        <t>[Threaded comment]
Your version of Excel allows you to read this threaded comment; however, any edits to it will get removed if the file is opened in a newer version of Excel. Learn more: https://go.microsoft.com/fwlink/?linkid=870924
Comment:
    discuss with Yasin</t>
      </text>
    </comment>
    <comment ref="O74" authorId="3" shapeId="0" xr:uid="{01C6457C-07F0-4BDC-A72E-8D0795A52E75}">
      <text>
        <t>[Threaded comment]
Your version of Excel allows you to read this threaded comment; however, any edits to it will get removed if the file is opened in a newer version of Excel. Learn more: https://go.microsoft.com/fwlink/?linkid=870924
Comment:
    discuss with Yasin</t>
      </text>
    </comment>
    <comment ref="M77" authorId="4" shapeId="0" xr:uid="{879176AC-0351-418D-BEAA-20D93D47E1EC}">
      <text>
        <t>[Threaded comment]
Your version of Excel allows you to read this threaded comment; however, any edits to it will get removed if the file is opened in a newer version of Excel. Learn more: https://go.microsoft.com/fwlink/?linkid=870924
Comment:
    discuss with Yasin</t>
      </text>
    </comment>
    <comment ref="O77" authorId="5" shapeId="0" xr:uid="{FAB17C19-E209-4104-AEA8-26C003800C35}">
      <text>
        <t>[Threaded comment]
Your version of Excel allows you to read this threaded comment; however, any edits to it will get removed if the file is opened in a newer version of Excel. Learn more: https://go.microsoft.com/fwlink/?linkid=870924
Comment:
    discuss with Yasin</t>
      </text>
    </comment>
    <comment ref="B86" authorId="6" shapeId="0" xr:uid="{7A4284B5-477C-447F-A46A-C402E656FCCF}">
      <text>
        <t xml:space="preserve">[Threaded comment]
Your version of Excel allows you to read this threaded comment; however, any edits to it will get removed if the file is opened in a newer version of Excel. Learn more: https://go.microsoft.com/fwlink/?linkid=870924
Comment:
    modified on 2025 06 09 to include Lime </t>
      </text>
    </comment>
    <comment ref="H86" authorId="7" shapeId="0" xr:uid="{63713195-0ACA-4C40-89CC-A6A75F92CC0A}">
      <text>
        <t>[Threaded comment]
Your version of Excel allows you to read this threaded comment; however, any edits to it will get removed if the file is opened in a newer version of Excel. Learn more: https://go.microsoft.com/fwlink/?linkid=870924
Comment:
    changed from FALSE to TRUE</t>
      </text>
    </comment>
    <comment ref="K86" authorId="8" shapeId="0" xr:uid="{E6C458D6-7285-45BA-9F7D-1B4986FECF4F}">
      <text>
        <t>[Threaded comment]
Your version of Excel allows you to read this threaded comment; however, any edits to it will get removed if the file is opened in a newer version of Excel. Learn more: https://go.microsoft.com/fwlink/?linkid=870924
Comment:
    changed from FALSE to TRUE</t>
      </text>
    </comment>
    <comment ref="M86" authorId="9" shapeId="0" xr:uid="{FCCEB3F8-C986-4B9C-8493-4EEE90C1201F}">
      <text>
        <t>[Threaded comment]
Your version of Excel allows you to read this threaded comment; however, any edits to it will get removed if the file is opened in a newer version of Excel. Learn more: https://go.microsoft.com/fwlink/?linkid=870924
Comment:
    changed from TRUE to FALSE</t>
      </text>
    </comment>
    <comment ref="O86" authorId="10" shapeId="0" xr:uid="{AF178343-56AD-4F1E-9B25-F9AB53523AD5}">
      <text>
        <t>[Threaded comment]
Your version of Excel allows you to read this threaded comment; however, any edits to it will get removed if the file is opened in a newer version of Excel. Learn more: https://go.microsoft.com/fwlink/?linkid=870924
Comment:
    changed from FALSE to TRUE</t>
      </text>
    </comment>
    <comment ref="O90" authorId="11" shapeId="0" xr:uid="{3942DB88-3951-43FE-9C04-B5735029F26B}">
      <text>
        <t>[Threaded comment]
Your version of Excel allows you to read this threaded comment; however, any edits to it will get removed if the file is opened in a newer version of Excel. Learn more: https://go.microsoft.com/fwlink/?linkid=870924
Comment:
    changed from FALSE to TRUE due to new calculations for carbon emissions from organic fertilizer..</t>
      </text>
    </comment>
    <comment ref="O94" authorId="12" shapeId="0" xr:uid="{5B9CE261-FDC1-4A34-B328-8061B6810CC4}">
      <text>
        <t>[Threaded comment]
Your version of Excel allows you to read this threaded comment; however, any edits to it will get removed if the file is opened in a newer version of Excel. Learn more: https://go.microsoft.com/fwlink/?linkid=870924
Comment:
    changed from FALSE to TRUE due to new calculations for carbon emissions from organic fertilizer..</t>
      </text>
    </comment>
    <comment ref="M99" authorId="13" shapeId="0" xr:uid="{D87A8850-EB85-44EC-B7ED-EA0874EE9C69}">
      <text>
        <t>[Threaded comment]
Your version of Excel allows you to read this threaded comment; however, any edits to it will get removed if the file is opened in a newer version of Excel. Learn more: https://go.microsoft.com/fwlink/?linkid=870924
Comment:
    Changed from TRUE to FALSE</t>
      </text>
    </comment>
    <comment ref="P99" authorId="14" shapeId="0" xr:uid="{9BAA2C7D-EFDD-4D66-875C-923EA36F47F1}">
      <text>
        <t>[Threaded comment]
Your version of Excel allows you to read this threaded comment; however, any edits to it will get removed if the file is opened in a newer version of Excel. Learn more: https://go.microsoft.com/fwlink/?linkid=870924
Comment:
    Changed from FALSE to TRUE</t>
      </text>
    </comment>
    <comment ref="B105" authorId="15" shapeId="0" xr:uid="{6F5C6DBA-F2F8-4791-BAC7-5004E7D662D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should we have separate questions for pesticides and herbicides? @Hue Thanh
Reply:
    No need for this question anymore, since we now have individuals on 7246 and 7254
Reply:
    @Hue Thanh to modify reporting file accordingly</t>
      </text>
    </comment>
    <comment ref="B123" authorId="16" shapeId="0" xr:uid="{E20E1EBD-6D8B-447C-BFC9-4BAC604A881A}">
      <text>
        <t>[Threaded comment]
Your version of Excel allows you to read this threaded comment; however, any edits to it will get removed if the file is opened in a newer version of Excel. Learn more: https://go.microsoft.com/fwlink/?linkid=870924
Comment:
    Changed from: If yes, every day, how many people would you hire most of the time for this main activity, during the fly season? Number of people:</t>
      </text>
    </comment>
    <comment ref="B127" authorId="17" shapeId="0" xr:uid="{6894CED8-F62D-404D-80BA-FE43C5235C40}">
      <text>
        <t>[Threaded comment]
Your version of Excel allows you to read this threaded comment; however, any edits to it will get removed if the file is opened in a newer version of Excel. Learn more: https://go.microsoft.com/fwlink/?linkid=870924
Comment:
    Changed from: If yes, every day, how many people would you hire most of the time for this main activity, during the main season? Number of people:</t>
      </text>
    </comment>
    <comment ref="B131" authorId="18" shapeId="0" xr:uid="{4415789E-EC53-4592-817E-1A2C14E50CEE}">
      <text>
        <t>[Threaded comment]
Your version of Excel allows you to read this threaded comment; however, any edits to it will get removed if the file is opened in a newer version of Excel. Learn more: https://go.microsoft.com/fwlink/?linkid=870924
Comment:
    Changed from: If yes, every day, how many people would you hire most of the time for this main activity, during last season? Number of people:</t>
      </text>
    </comment>
    <comment ref="B132" authorId="19" shapeId="0" xr:uid="{12456066-A814-4967-A9AF-45C6531B62E7}">
      <text>
        <t>[Threaded comment]
Your version of Excel allows you to read this threaded comment; however, any edits to it will get removed if the file is opened in a newer version of Excel. Learn more: https://go.microsoft.com/fwlink/?linkid=870924
Comment:
    Changed from: Did you use any money loan for coffee last year?</t>
      </text>
    </comment>
    <comment ref="B133" authorId="20" shapeId="0" xr:uid="{4B2E91BA-26F4-4214-8CFF-31409618E932}">
      <text>
        <t xml:space="preserve">[Threaded comment]
Your version of Excel allows you to read this threaded comment; however, any edits to it will get removed if the file is opened in a newer version of Excel. Learn more: https://go.microsoft.com/fwlink/?linkid=870924
Comment:
    When we update questions for the new application in the future, Questions 6101 and 6102 should switch positions for a better flow of information (i.e. the "amount of total loan" should go before the "how did you pay for the loan") </t>
      </text>
    </comment>
    <comment ref="M133" authorId="21" shapeId="0" xr:uid="{C1C4052B-A785-44D5-9256-61A6E82B2409}">
      <text>
        <t>[Threaded comment]
Your version of Excel allows you to read this threaded comment; however, any edits to it will get removed if the file is opened in a newer version of Excel. Learn more: https://go.microsoft.com/fwlink/?linkid=870924
Comment:
    changed from TRUE to FALSE</t>
      </text>
    </comment>
    <comment ref="P133" authorId="22" shapeId="0" xr:uid="{512C5176-547A-41DE-BCB3-CD367CDAA672}">
      <text>
        <t>[Threaded comment]
Your version of Excel allows you to read this threaded comment; however, any edits to it will get removed if the file is opened in a newer version of Excel. Learn more: https://go.microsoft.com/fwlink/?linkid=870924
Comment:
    changed from FALSE to TRUE</t>
      </text>
    </comment>
    <comment ref="B134" authorId="23" shapeId="0" xr:uid="{78F949FE-D087-42C4-BE50-F12CBB93F819}">
      <text>
        <t xml:space="preserve">[Threaded comment]
Your version of Excel allows you to read this threaded comment; however, any edits to it will get removed if the file is opened in a newer version of Excel. Learn more: https://go.microsoft.com/fwlink/?linkid=870924
Comment:
    When we update questions for the new application in the future, Questions 6101 and 6102 should switch positions for a better flow of information (i.e. the "amount of total loan" should go before the "how did you pay for the loan") </t>
      </text>
    </comment>
    <comment ref="B144" authorId="24" shapeId="0" xr:uid="{6510B4AD-9E58-45F5-9584-1C29CAB4A68A}">
      <text>
        <t>[Threaded comment]
Your version of Excel allows you to read this threaded comment; however, any edits to it will get removed if the file is opened in a newer version of Excel. Learn more: https://go.microsoft.com/fwlink/?linkid=870924
Comment:
    Changed from original question:
Did you buy and/or receive coffee seedlings for your farm last year?</t>
      </text>
    </comment>
    <comment ref="B151" authorId="25" shapeId="0" xr:uid="{ED0B27EF-1D3D-4D2B-AFF4-B66B139B997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@Wytze Marinus is this a real question or just an 'introduction' for the following ones?
Reply:
    just an introduction
Reply:
    should modify this sentence so that it does not sound like a question (remove 'can' and replace with 'please estimate...'
Reply:
    Yes,perfect</t>
      </text>
    </comment>
    <comment ref="B165" authorId="26" shapeId="0" xr:uid="{E3DCFE8E-61DF-4534-B623-B9A3B31EED92}">
      <text>
        <t>[Threaded comment]
Your version of Excel allows you to read this threaded comment; however, any edits to it will get removed if the file is opened in a newer version of Excel. Learn more: https://go.microsoft.com/fwlink/?linkid=870924
Comment:
    to consider breaking this into smaller and simple cross-check questions so as to confirm farmers' knowledge about basic principles and main practices of RegenAg ...</t>
      </text>
    </comment>
    <comment ref="B179" authorId="27" shapeId="0" xr:uid="{1615E11E-0790-47B6-B8D2-76A688BE382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@Hue Thanh to modify reporting file accordingly</t>
      </text>
    </comment>
    <comment ref="B186" authorId="28" shapeId="0" xr:uid="{40E6C55D-8465-4587-8BC1-D70E24E74BA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@Hue Thanh to modify reporting file accordingly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tc={78BF7931-FA68-4769-BFB1-B41CF757A217}</author>
    <author>tc={4829C4AC-79B8-4B11-80AB-FF67E988339B}</author>
    <author>tc={9F2F4ACB-68F2-4B6C-B6A6-5E06303682AE}</author>
    <author>tc={E8B6B6BF-37A6-43BF-9903-31CAF3455148}</author>
    <author>tc={EE46CBC0-E2E0-43C4-9566-6AEC2EB6821E}</author>
    <author>tc={2986CCEB-C0A7-456F-9994-3808085DA606}</author>
    <author>tc={2A4D6146-3350-4C57-8400-A2D6B0D76B8F}</author>
    <author>tc={42F2F2DE-4C0F-4223-AAF9-308B3BAD561D}</author>
    <author>tc={9F3B60F2-FBE8-4F3B-AA3C-683449AD0CBC}</author>
    <author>tc={09C7E7F3-BCA9-4C1A-AF64-4797C9FA9167}</author>
    <author>tc={950A9F3D-0DFA-4A74-9C3C-DBC435275280}</author>
    <author>tc={6280ADEB-1FA1-406D-87E4-3696278B21F3}</author>
    <author>tc={A2D20C87-246F-4A22-A4C4-3AAC6DE021BF}</author>
    <author>tc={0665217F-C373-4BFF-8F1E-BEBDAD24AC2C}</author>
  </authors>
  <commentList>
    <comment ref="N74" authorId="0" shapeId="0" xr:uid="{78BF7931-FA68-4769-BFB1-B41CF757A217}">
      <text>
        <t>[Threaded comment]
Your version of Excel allows you to read this threaded comment; however, any edits to it will get removed if the file is opened in a newer version of Excel. Learn more: https://go.microsoft.com/fwlink/?linkid=870924
Comment:
    discuss with Yasin</t>
      </text>
    </comment>
    <comment ref="P74" authorId="1" shapeId="0" xr:uid="{4829C4AC-79B8-4B11-80AB-FF67E988339B}">
      <text>
        <t>[Threaded comment]
Your version of Excel allows you to read this threaded comment; however, any edits to it will get removed if the file is opened in a newer version of Excel. Learn more: https://go.microsoft.com/fwlink/?linkid=870924
Comment:
    discuss with Yasin</t>
      </text>
    </comment>
    <comment ref="N77" authorId="2" shapeId="0" xr:uid="{9F2F4ACB-68F2-4B6C-B6A6-5E06303682AE}">
      <text>
        <t>[Threaded comment]
Your version of Excel allows you to read this threaded comment; however, any edits to it will get removed if the file is opened in a newer version of Excel. Learn more: https://go.microsoft.com/fwlink/?linkid=870924
Comment:
    discuss with Yasin</t>
      </text>
    </comment>
    <comment ref="P77" authorId="3" shapeId="0" xr:uid="{E8B6B6BF-37A6-43BF-9903-31CAF3455148}">
      <text>
        <t>[Threaded comment]
Your version of Excel allows you to read this threaded comment; however, any edits to it will get removed if the file is opened in a newer version of Excel. Learn more: https://go.microsoft.com/fwlink/?linkid=870924
Comment:
    discuss with Yasin</t>
      </text>
    </comment>
    <comment ref="B86" authorId="4" shapeId="0" xr:uid="{EE46CBC0-E2E0-43C4-9566-6AEC2EB6821E}">
      <text>
        <t>[Threaded comment]
Your version of Excel allows you to read this threaded comment; however, any edits to it will get removed if the file is opened in a newer version of Excel. Learn more: https://go.microsoft.com/fwlink/?linkid=870924
Comment:
    Check if limestone is synthetic fertilizer</t>
      </text>
    </comment>
    <comment ref="G86" authorId="5" shapeId="0" xr:uid="{2986CCEB-C0A7-456F-9994-3808085DA606}">
      <text>
        <t>[Threaded comment]
Your version of Excel allows you to read this threaded comment; however, any edits to it will get removed if the file is opened in a newer version of Excel. Learn more: https://go.microsoft.com/fwlink/?linkid=870924
Comment:
    Hue to change old name: synthetic_fertilizer_last_year_other_name
to new name:
synthetic_fertilizer_last_year_limestone_name
in the analysis sheet</t>
      </text>
    </comment>
    <comment ref="I86" authorId="6" shapeId="0" xr:uid="{2A4D6146-3350-4C57-8400-A2D6B0D76B8F}">
      <text>
        <t>[Threaded comment]
Your version of Excel allows you to read this threaded comment; however, any edits to it will get removed if the file is opened in a newer version of Excel. Learn more: https://go.microsoft.com/fwlink/?linkid=870924
Comment:
    changed from FALSE to TRUE</t>
      </text>
    </comment>
    <comment ref="L86" authorId="7" shapeId="0" xr:uid="{42F2F2DE-4C0F-4223-AAF9-308B3BAD561D}">
      <text>
        <t>[Threaded comment]
Your version of Excel allows you to read this threaded comment; however, any edits to it will get removed if the file is opened in a newer version of Excel. Learn more: https://go.microsoft.com/fwlink/?linkid=870924
Comment:
    changed from FALSE to TRUE</t>
      </text>
    </comment>
    <comment ref="N86" authorId="8" shapeId="0" xr:uid="{9F3B60F2-FBE8-4F3B-AA3C-683449AD0CBC}">
      <text>
        <t>[Threaded comment]
Your version of Excel allows you to read this threaded comment; however, any edits to it will get removed if the file is opened in a newer version of Excel. Learn more: https://go.microsoft.com/fwlink/?linkid=870924
Comment:
    changed from TRUE to FALSE</t>
      </text>
    </comment>
    <comment ref="P86" authorId="9" shapeId="0" xr:uid="{09C7E7F3-BCA9-4C1A-AF64-4797C9FA9167}">
      <text>
        <t>[Threaded comment]
Your version of Excel allows you to read this threaded comment; however, any edits to it will get removed if the file is opened in a newer version of Excel. Learn more: https://go.microsoft.com/fwlink/?linkid=870924
Comment:
    changed from FALSE to TRUE</t>
      </text>
    </comment>
    <comment ref="P90" authorId="10" shapeId="0" xr:uid="{950A9F3D-0DFA-4A74-9C3C-DBC435275280}">
      <text>
        <t>[Threaded comment]
Your version of Excel allows you to read this threaded comment; however, any edits to it will get removed if the file is opened in a newer version of Excel. Learn more: https://go.microsoft.com/fwlink/?linkid=870924
Comment:
    changed from FALSE to TRUE due to new calculations for carbon emissions from organic fertilizer..</t>
      </text>
    </comment>
    <comment ref="Y90" authorId="11" shapeId="0" xr:uid="{6280ADEB-1FA1-406D-87E4-3696278B21F3}">
      <text>
        <t>[Threaded comment]
Your version of Excel allows you to read this threaded comment; however, any edits to it will get removed if the file is opened in a newer version of Excel. Learn more: https://go.microsoft.com/fwlink/?linkid=870924
Comment:
    In case of Vietnam, it should be "In-farm coffee-related organic fertilizer"</t>
      </text>
    </comment>
    <comment ref="P94" authorId="12" shapeId="0" xr:uid="{A2D20C87-246F-4A22-A4C4-3AAC6DE021BF}">
      <text>
        <t>[Threaded comment]
Your version of Excel allows you to read this threaded comment; however, any edits to it will get removed if the file is opened in a newer version of Excel. Learn more: https://go.microsoft.com/fwlink/?linkid=870924
Comment:
    changed from FALSE to TRUE due to new calculations for carbon emissions from organic fertilizer..</t>
      </text>
    </comment>
    <comment ref="Y94" authorId="13" shapeId="0" xr:uid="{0665217F-C373-4BFF-8F1E-BEBDAD24AC2C}">
      <text>
        <t>[Threaded comment]
Your version of Excel allows you to read this threaded comment; however, any edits to it will get removed if the file is opened in a newer version of Excel. Learn more: https://go.microsoft.com/fwlink/?linkid=870924
Comment:
    In case of Vietnam, it should be "In-farm coffee-related organic fertilizer"</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<sst xmlns="http://schemas.openxmlformats.org/spreadsheetml/2006/main" count="16191" uniqueCount="1448">
  <si>
    <r>
      <rPr>
        <b/>
        <sz val="14"/>
        <color theme="4"/>
        <rFont val="Calibri"/>
        <family val="2"/>
        <scheme val="minor"/>
      </rPr>
      <t>IMPACT Progress Data Validation</t>
    </r>
    <r>
      <rPr>
        <sz val="14"/>
        <color theme="4"/>
        <rFont val="Calibri"/>
        <family val="2"/>
        <scheme val="minor"/>
      </rPr>
      <t xml:space="preserve"> | Questions</t>
    </r>
  </si>
  <si>
    <t>Checks</t>
  </si>
  <si>
    <t>Status</t>
  </si>
  <si>
    <t>Which column to filter?</t>
  </si>
  <si>
    <t>How many rows fail the check?</t>
  </si>
  <si>
    <t>Are all question numbers unique?</t>
  </si>
  <si>
    <t>check_if_number_is_unique</t>
  </si>
  <si>
    <t>Are fixed questions exactly the same?</t>
  </si>
  <si>
    <t>check_for_fixed_questions</t>
  </si>
  <si>
    <t>Are localized/supply chain questions similar in between origins</t>
  </si>
  <si>
    <t>check_for_similarity</t>
  </si>
  <si>
    <t>Do all single/multi select questions have selection options specified?</t>
  </si>
  <si>
    <t>check_if_options_are_provided</t>
  </si>
  <si>
    <t>Do all questions have a type (fixed, localized, supply chain dependent)</t>
  </si>
  <si>
    <t>check_for_type</t>
  </si>
  <si>
    <t>Do all questions have a valid response type (text, numerical, choice)</t>
  </si>
  <si>
    <t>check_for_response</t>
  </si>
  <si>
    <t>calculated</t>
  </si>
  <si>
    <t>input</t>
  </si>
  <si>
    <t>qid</t>
  </si>
  <si>
    <t>origin</t>
  </si>
  <si>
    <t>variety</t>
  </si>
  <si>
    <t>supply_chain</t>
  </si>
  <si>
    <t>year_of_survey</t>
  </si>
  <si>
    <t>qno</t>
  </si>
  <si>
    <t>question</t>
  </si>
  <si>
    <t>question_objective_text (not localized, only to help)</t>
  </si>
  <si>
    <t>is_fixed</t>
  </si>
  <si>
    <t>is_localized</t>
  </si>
  <si>
    <t>is_supply_chain_dependent</t>
  </si>
  <si>
    <t>is_mandatory</t>
  </si>
  <si>
    <t>is_automated</t>
  </si>
  <si>
    <t>is_free_text</t>
  </si>
  <si>
    <t>is_numerical</t>
  </si>
  <si>
    <t>is_single_select</t>
  </si>
  <si>
    <t>is_multi_select</t>
  </si>
  <si>
    <t>is_skip_logic</t>
  </si>
  <si>
    <t>answer_opt_combined</t>
  </si>
  <si>
    <t>ans_opt_1</t>
  </si>
  <si>
    <t>ans_opt_2</t>
  </si>
  <si>
    <t>ans_opt_3</t>
  </si>
  <si>
    <t>ans_opt_4</t>
  </si>
  <si>
    <t>ans_opt_5</t>
  </si>
  <si>
    <t>ans_opt_6</t>
  </si>
  <si>
    <t>ans_opt_7</t>
  </si>
  <si>
    <t>ans_opt_8</t>
  </si>
  <si>
    <t>ans_opt_9</t>
  </si>
  <si>
    <t>ans_opt_10</t>
  </si>
  <si>
    <t>ans_opt_11</t>
  </si>
  <si>
    <t>ans_opt_12</t>
  </si>
  <si>
    <t>ans_opt_13</t>
  </si>
  <si>
    <t>ans_opt_14</t>
  </si>
  <si>
    <t>q_standard</t>
  </si>
  <si>
    <t>q_living_income</t>
  </si>
  <si>
    <t>q_carbon</t>
  </si>
  <si>
    <t>q_regen_ag</t>
  </si>
  <si>
    <t>question_first_characters</t>
  </si>
  <si>
    <t>stability_first_characters</t>
  </si>
  <si>
    <t>Indonesia</t>
  </si>
  <si>
    <t>Arabica</t>
  </si>
  <si>
    <t>west_java_impact</t>
  </si>
  <si>
    <t>1000</t>
  </si>
  <si>
    <t>Origin</t>
  </si>
  <si>
    <t>1001</t>
  </si>
  <si>
    <t>Type</t>
  </si>
  <si>
    <t>1002</t>
  </si>
  <si>
    <t>Supply chain</t>
  </si>
  <si>
    <t>1003</t>
  </si>
  <si>
    <t>Year</t>
  </si>
  <si>
    <t>1104</t>
  </si>
  <si>
    <t>Managed by</t>
  </si>
  <si>
    <t>1105</t>
  </si>
  <si>
    <t>Field staff(s)</t>
  </si>
  <si>
    <t>1106</t>
  </si>
  <si>
    <t>Completion Date</t>
  </si>
  <si>
    <t>1110</t>
  </si>
  <si>
    <t>Approved / Rejected By</t>
  </si>
  <si>
    <t>1111</t>
  </si>
  <si>
    <t>Approved / Rejected Date</t>
  </si>
  <si>
    <t>1112</t>
  </si>
  <si>
    <t>Approval / Rejection Reason</t>
  </si>
  <si>
    <t>1200</t>
  </si>
  <si>
    <t>Farmer code</t>
  </si>
  <si>
    <t>1201</t>
  </si>
  <si>
    <t>Farmer name</t>
  </si>
  <si>
    <t>1202</t>
  </si>
  <si>
    <t>Farmer tags</t>
  </si>
  <si>
    <t>1203</t>
  </si>
  <si>
    <t>Address</t>
  </si>
  <si>
    <t>1210</t>
  </si>
  <si>
    <t>Plot name</t>
  </si>
  <si>
    <t>1211</t>
  </si>
  <si>
    <t>Plot tags</t>
  </si>
  <si>
    <t>1212</t>
  </si>
  <si>
    <t>Declared area (acre)</t>
  </si>
  <si>
    <t>1213</t>
  </si>
  <si>
    <t>Audited area (acre)</t>
  </si>
  <si>
    <t>1216</t>
  </si>
  <si>
    <t>Coordinates</t>
  </si>
  <si>
    <t>2000</t>
  </si>
  <si>
    <t>Who was present and answering the questions for the interview?</t>
  </si>
  <si>
    <t>Wife</t>
  </si>
  <si>
    <t>Husband</t>
  </si>
  <si>
    <t>Other important household member</t>
  </si>
  <si>
    <t>2001</t>
  </si>
  <si>
    <t>What is the gender of the lead farmer in the household? The person that is selling the coffee.</t>
  </si>
  <si>
    <t>Female</t>
  </si>
  <si>
    <t>Male</t>
  </si>
  <si>
    <t>2002</t>
  </si>
  <si>
    <t>What type of household is this?</t>
  </si>
  <si>
    <t>Male headed</t>
  </si>
  <si>
    <t>Female headed</t>
  </si>
  <si>
    <t>Other</t>
  </si>
  <si>
    <t>2003</t>
  </si>
  <si>
    <t>How many adults live in your household, that are above 18 years? Household members are those that stay more than three months per year within the same household and that 'eat from the same pot'.</t>
  </si>
  <si>
    <t>2004</t>
  </si>
  <si>
    <t>How many children living in your household, that are below 18 years? Household members are those that stay more than three months per year within the same household and that 'eat from the same pot'.</t>
  </si>
  <si>
    <t>2100</t>
  </si>
  <si>
    <t>Is your farm certified? If yes, under which certification scheme?</t>
  </si>
  <si>
    <t>No</t>
  </si>
  <si>
    <t>IMPACT</t>
  </si>
  <si>
    <t>4C</t>
  </si>
  <si>
    <t>Fair Trade</t>
  </si>
  <si>
    <t>Rainforest Alliance</t>
  </si>
  <si>
    <t>Organic</t>
  </si>
  <si>
    <t>CAFÉ practices</t>
  </si>
  <si>
    <t>RegenAgri</t>
  </si>
  <si>
    <t>2101</t>
  </si>
  <si>
    <t>If yes, since when have you been certified?</t>
  </si>
  <si>
    <t>1-2 years</t>
  </si>
  <si>
    <t>3-4 years</t>
  </si>
  <si>
    <t>&gt;=5 years</t>
  </si>
  <si>
    <t>2200</t>
  </si>
  <si>
    <t xml:space="preserve">To which Sucafina washing station do you deliver your coffee (or is closest to you)? </t>
  </si>
  <si>
    <t>Agus Hidayat</t>
  </si>
  <si>
    <t>Haris Permana</t>
  </si>
  <si>
    <t>Yusup</t>
  </si>
  <si>
    <t>3300</t>
  </si>
  <si>
    <t>How many kilograms of fresh cherries did you sell last season (previous 12 months)?</t>
  </si>
  <si>
    <t>3301</t>
  </si>
  <si>
    <t>What was the most common price per kilogram that you received for the fresh cherries harvested in the last season? (IDR)</t>
  </si>
  <si>
    <t>3309</t>
  </si>
  <si>
    <t>Did you also pay workers in kind with coffee cherries? If yes, how many kg of cherries did you give away in kind?</t>
  </si>
  <si>
    <t>4000</t>
  </si>
  <si>
    <t>Can you estimate how many coffee trees you have in total in all your coffee plots combined?</t>
  </si>
  <si>
    <t>4100</t>
  </si>
  <si>
    <t>In total, how many plots with coffee do you have?</t>
  </si>
  <si>
    <t>4101</t>
  </si>
  <si>
    <t>Can we go to measure/polygon map (area audit) each of these plots?</t>
  </si>
  <si>
    <t>Yes</t>
  </si>
  <si>
    <t>4102</t>
  </si>
  <si>
    <t>If no, what is the reason why we can not visit this plot (s) to measure/polygon map it?</t>
  </si>
  <si>
    <t>Too far</t>
  </si>
  <si>
    <t>Farmer not willing</t>
  </si>
  <si>
    <t>Other reason</t>
  </si>
  <si>
    <t>4103</t>
  </si>
  <si>
    <t>How many coffee plots are there that we can not visit, of the total coffee plots that you have?</t>
  </si>
  <si>
    <t>4104</t>
  </si>
  <si>
    <t>What is the total area of these other plots with coffee that we can not visit, in acres?</t>
  </si>
  <si>
    <t>5000</t>
  </si>
  <si>
    <t>Did you use synthetic fertilizers for your coffee last year?</t>
  </si>
  <si>
    <t>5001</t>
  </si>
  <si>
    <t>If yes, how many types of synthetic fertilizer did you use last year?</t>
  </si>
  <si>
    <t>5100</t>
  </si>
  <si>
    <t>What is the name of the synthetic fertilizer that you used most, terms of total volume, last year? Please give full name including NPK content, for instance NPK 15-15-15</t>
  </si>
  <si>
    <t>5101</t>
  </si>
  <si>
    <t>What was the total quantity that you used last year, of the  synthetic fertilizer  type that you used most? In kgs?</t>
  </si>
  <si>
    <t>5110</t>
  </si>
  <si>
    <t>What is the name of the synthetic fertilizer that you used second, terms of total volume, most last year? Please give full name including NPK content, for instance NPK 15-15-15</t>
  </si>
  <si>
    <t>5111</t>
  </si>
  <si>
    <t>What was the total quantity that you used last year, of the synthetic fertilizer type that you used second most? In kgs?</t>
  </si>
  <si>
    <t>5140</t>
  </si>
  <si>
    <t>Is there any other type of synthetic fertilizer that you used last year? Please describe the name of this other fertilizer as complete as possible, including the NPK content or other nutrient contents.</t>
  </si>
  <si>
    <t>5121</t>
  </si>
  <si>
    <t>What was the total quantity that you used last year, of the other synthetic fertilizer type? In kgs?</t>
  </si>
  <si>
    <t>5400</t>
  </si>
  <si>
    <t>Did you use any type of animal manure, compost, or organic fertilizers for your coffee last year?</t>
  </si>
  <si>
    <t>5401</t>
  </si>
  <si>
    <t>If yes, what was the type of animal manure, compost, or organic fertilizer that you used most last year? Please give the name of the type used. For instance cow manure or the brand name and type of organic fertilizer.</t>
  </si>
  <si>
    <t>5402</t>
  </si>
  <si>
    <t>What was the total quantity of this type of animal manure/compost/organic fertilizer that you used most?</t>
  </si>
  <si>
    <t>5403</t>
  </si>
  <si>
    <t>What was the unit of this type of animal manure/compost/organic fertilizer that you used most (kg, basins, 50 kg bags, wheel barrows, small truck/tipper, large truck)?</t>
  </si>
  <si>
    <t>5404</t>
  </si>
  <si>
    <t>Did you buy this manure/compost/organic fertilizer that you used most, or did it come from your own farm?</t>
  </si>
  <si>
    <t>Bought</t>
  </si>
  <si>
    <t>From own farm</t>
  </si>
  <si>
    <t>Received for free</t>
  </si>
  <si>
    <t>Both from own farm &amp; bought/received from outside the farm</t>
  </si>
  <si>
    <t>5410</t>
  </si>
  <si>
    <t>If yes, what was the type of animal manure, compost, or organic fertilizer that you used second most last year? Please give the name of the type used. For instance cow manure or the brand name and type of organic fertilizer.</t>
  </si>
  <si>
    <t>5411</t>
  </si>
  <si>
    <t>What was the total quantity of this type of animal manure/compost/organic fertilizer that you used second most?</t>
  </si>
  <si>
    <t>5412</t>
  </si>
  <si>
    <t>What was the unit of this type of animal manure/compost/organic fertilizer that you used second most (kg, basins, 50 kg bags, wheel barrows, small truck/tipper, large truck)?</t>
  </si>
  <si>
    <t>5413</t>
  </si>
  <si>
    <t>Did you buy this manure/compost/organic fertilizer that you used second most, or did it come from your own farm?</t>
  </si>
  <si>
    <t>5500</t>
  </si>
  <si>
    <t>Did you apply any type of mulch on your coffee last year?</t>
  </si>
  <si>
    <t>5501</t>
  </si>
  <si>
    <t>What type of mulch? Please describe, for instance grasses, maize stover, etc.</t>
  </si>
  <si>
    <t>5502</t>
  </si>
  <si>
    <t>What was the total quantity of mulch that you used ?</t>
  </si>
  <si>
    <t>5503</t>
  </si>
  <si>
    <t>What was the unit, for the mulch used (kg, basins, bags, wheel barrows, small truck/tipper, large truck)</t>
  </si>
  <si>
    <t>5504</t>
  </si>
  <si>
    <t>From where was this mulch sourced, from insided the coffee plot (for instance from grasses) or outside the coffee plot?</t>
  </si>
  <si>
    <t>Outside the coffee plot</t>
  </si>
  <si>
    <t>Inside the coffee plot</t>
  </si>
  <si>
    <t>Both from inside and outside the coffee plot</t>
  </si>
  <si>
    <t>5505</t>
  </si>
  <si>
    <t>If it was from outside the coffee plot, was did you buy this mulch, or did it come from your own farm?</t>
  </si>
  <si>
    <t>5600</t>
  </si>
  <si>
    <t>Did you use pesticides, fungicides or herbicides for your coffee last year?</t>
  </si>
  <si>
    <t>5601</t>
  </si>
  <si>
    <t>If yes, how many types of pesticides, fungicides and/or herbicides did you use last year for your coffee, in total?</t>
  </si>
  <si>
    <t>5610</t>
  </si>
  <si>
    <t>If yes, what was the name of the pesticide/fungicide or herbicide that you used most, last year? Please include the brand name and active ingredient (if possible)</t>
  </si>
  <si>
    <t>5611</t>
  </si>
  <si>
    <t>What was the quantity used of this most used pesticide/fungicide/herbicide last year?</t>
  </si>
  <si>
    <t>5612</t>
  </si>
  <si>
    <t>What was the unit of this most used pesticide/fungicide/herbicide</t>
  </si>
  <si>
    <t>Kgs</t>
  </si>
  <si>
    <t>Grams</t>
  </si>
  <si>
    <t>Liters</t>
  </si>
  <si>
    <t>Mililiters</t>
  </si>
  <si>
    <t>5620</t>
  </si>
  <si>
    <t>If yes, what was the name of the second most used pesticide/ fungicide/herbicide used last year? Please include the brand name and active ingredient (if possible)</t>
  </si>
  <si>
    <t>5621</t>
  </si>
  <si>
    <t>What was the quantity used of this second most used pesticide/fungicide/herbicide last year?</t>
  </si>
  <si>
    <t>5622</t>
  </si>
  <si>
    <t>What was the unit of this second most used pesticide/fungicide/herbicide</t>
  </si>
  <si>
    <t>5630</t>
  </si>
  <si>
    <t>If yes, what was the name of the third most used pesticide/ fungicide/herbicide used last year? Please include the brand name and active ingredient (if possible)</t>
  </si>
  <si>
    <t>5631</t>
  </si>
  <si>
    <t>What was the quantity used of this third most used pesticide/fungicide/herbicide last year?</t>
  </si>
  <si>
    <t>5632</t>
  </si>
  <si>
    <t>What was the unit of this third most used pesticide/fungicide/herbicide</t>
  </si>
  <si>
    <t>6000</t>
  </si>
  <si>
    <t>Did you hire any permanent laborer's, for your coffee plots, last year?</t>
  </si>
  <si>
    <t>6001</t>
  </si>
  <si>
    <t>If yes, how many people did you hire, permanently for your coffee plots, last year?</t>
  </si>
  <si>
    <t>6030</t>
  </si>
  <si>
    <t>Did you hire any people to work on your coffee plots for seasonal activities during last season?</t>
  </si>
  <si>
    <t>6031</t>
  </si>
  <si>
    <t>If yes, what was the main activity that you hired people for during last season?</t>
  </si>
  <si>
    <t>Harvesting</t>
  </si>
  <si>
    <t>Pruning</t>
  </si>
  <si>
    <t>Weeding</t>
  </si>
  <si>
    <t>Spraying</t>
  </si>
  <si>
    <t>Planting new trees</t>
  </si>
  <si>
    <t>NA</t>
  </si>
  <si>
    <t>6032</t>
  </si>
  <si>
    <t>If yes, how many days in total did you hire people for this main activity, during last season? Number of days:</t>
  </si>
  <si>
    <t>6033</t>
  </si>
  <si>
    <t>If yes, every day, how many people would you hire most of the time for this main activity, during last season? Number of people:</t>
  </si>
  <si>
    <t>6100</t>
  </si>
  <si>
    <t>Did you use any money loan for coffee last year?</t>
  </si>
  <si>
    <t>6101</t>
  </si>
  <si>
    <t>If yes, how did you have to pay for this? In cash or in cherries? Or otherwise, please explain</t>
  </si>
  <si>
    <t>6102</t>
  </si>
  <si>
    <t>If yes, can you estimate what the total loan was, that you took last year (IDR)</t>
  </si>
  <si>
    <t>6103</t>
  </si>
  <si>
    <t>If yes, can you estimate how much you had to repay, in total, for the loan last year, including interest (IDR)</t>
  </si>
  <si>
    <t>6210</t>
  </si>
  <si>
    <t>Last year, did you pay rent for the land that you use for coffee cultivation?</t>
  </si>
  <si>
    <t>6211</t>
  </si>
  <si>
    <t xml:space="preserve">If yes, what was the amount of rent dat you have to pay for the land on which you cultivate coffee, in total last year (IDR)? </t>
  </si>
  <si>
    <t>6300</t>
  </si>
  <si>
    <t>Did you buy coffee seedlings for your farm last year?</t>
  </si>
  <si>
    <t>6301</t>
  </si>
  <si>
    <t>If yes what was the main type seedlings?</t>
  </si>
  <si>
    <t>Linis S (S 795)</t>
  </si>
  <si>
    <t>USDA 762</t>
  </si>
  <si>
    <t>Andung sari – 1</t>
  </si>
  <si>
    <t>Sigarar Utang</t>
  </si>
  <si>
    <t>Kartika 1</t>
  </si>
  <si>
    <t>Kartika 2</t>
  </si>
  <si>
    <t>Andung sari 2K</t>
  </si>
  <si>
    <t>Gayo 1</t>
  </si>
  <si>
    <t>Gayo 2</t>
  </si>
  <si>
    <t>Komasti</t>
  </si>
  <si>
    <t>6302</t>
  </si>
  <si>
    <t>How many seedlings did you buy last year?</t>
  </si>
  <si>
    <t>6400</t>
  </si>
  <si>
    <t>Did you organize the transport to the washing station yourselves last year?</t>
  </si>
  <si>
    <t>6401</t>
  </si>
  <si>
    <t>If yes, how many trips do you need to make last year?</t>
  </si>
  <si>
    <t>6402</t>
  </si>
  <si>
    <t>If yes, in general what were the cost per trip (the cost you make your self, or what you pay to someone to do the transport for you)?</t>
  </si>
  <si>
    <t>6500</t>
  </si>
  <si>
    <t>What are your sources of income for the total household, from the farm and off-farm?</t>
  </si>
  <si>
    <t>Coffee</t>
  </si>
  <si>
    <t>Cropping</t>
  </si>
  <si>
    <t>Livestock</t>
  </si>
  <si>
    <t>Casual labor in agriculture</t>
  </si>
  <si>
    <t>Casual labor off-farm</t>
  </si>
  <si>
    <t>Other business</t>
  </si>
  <si>
    <t>Salaried job</t>
  </si>
  <si>
    <t>Pension</t>
  </si>
  <si>
    <t>Remittances</t>
  </si>
  <si>
    <t>6501</t>
  </si>
  <si>
    <t>For each of the sources of income that you have, can you estimate the importance in terms of income for last year, as compared to the total household income? (next questions)</t>
  </si>
  <si>
    <t>6510</t>
  </si>
  <si>
    <t>Coffee, what was the estimated importance?</t>
  </si>
  <si>
    <t>All or nearly all - 80-100%</t>
  </si>
  <si>
    <t>More than half of it  - 60-80%</t>
  </si>
  <si>
    <t>About half of it - 40-60%</t>
  </si>
  <si>
    <t>Less than half of it - 20-40%</t>
  </si>
  <si>
    <t>A small amount - 0-20%</t>
  </si>
  <si>
    <t>6511</t>
  </si>
  <si>
    <t>Cropping other than coffee, what was the estimated importance?</t>
  </si>
  <si>
    <t>6512</t>
  </si>
  <si>
    <t>Livestock, what was the estimated importance?</t>
  </si>
  <si>
    <t>6513</t>
  </si>
  <si>
    <t>Casual labor on other peoples farm, what was the estimated importance?</t>
  </si>
  <si>
    <t>6514</t>
  </si>
  <si>
    <t>Casual labor off-farm, what was the estimated importance?</t>
  </si>
  <si>
    <t>6515</t>
  </si>
  <si>
    <t>Other business, what was the estimated importance?</t>
  </si>
  <si>
    <t>6516</t>
  </si>
  <si>
    <t>Salaried job, what was the estimated importance?</t>
  </si>
  <si>
    <t>6517</t>
  </si>
  <si>
    <t>Pension, what was the estimated importance?</t>
  </si>
  <si>
    <t>6518</t>
  </si>
  <si>
    <t>Remittances, what was the estimated importance?</t>
  </si>
  <si>
    <t>7000</t>
  </si>
  <si>
    <t>Have you received any training on Regenartive Agriculture principles and practices in last 1-2 years? For instance on mulching, cover crops, manure or fertiliser application, stumping, integrated pest management, etc.</t>
  </si>
  <si>
    <t>7001</t>
  </si>
  <si>
    <t>If NO formal training received, are you aware of Regen Ag. and can explain its basics principles and main practices?</t>
  </si>
  <si>
    <t>7100</t>
  </si>
  <si>
    <t>Do you implement mulching and/or cover crops-plants (e.g. beans, peanuts/groundnuts, brachiaria, desmodium…) in your coffee plots? If the answer is NO, you do not need to answer the next 2 questions</t>
  </si>
  <si>
    <t>Yes-Crop residues mulching</t>
  </si>
  <si>
    <t>Yes-Other mulching</t>
  </si>
  <si>
    <t>Yes-Cover crops</t>
  </si>
  <si>
    <t>Yes-Cover crops &amp; Mulching</t>
  </si>
  <si>
    <t>7101</t>
  </si>
  <si>
    <t>If so, what is the % or proportion of your coffee plots using mulching and/or cover crops?</t>
  </si>
  <si>
    <t>1% to 25% - little to a quarter</t>
  </si>
  <si>
    <t>26% to 50% - less than half</t>
  </si>
  <si>
    <t>51% to 75% - more than half</t>
  </si>
  <si>
    <t>76% to 100% - almost all</t>
  </si>
  <si>
    <t>7102</t>
  </si>
  <si>
    <t>And for how many months/year?</t>
  </si>
  <si>
    <t>&lt;6 months</t>
  </si>
  <si>
    <t>6-8 months</t>
  </si>
  <si>
    <t>&gt;8 months</t>
  </si>
  <si>
    <t>7113</t>
  </si>
  <si>
    <t>Does any area of your coffee plots have significative risk of water and/or wind erosion due to heavy rain or irrigation, terrain slope, strong winds during dry periods…? If the answer is NO, you do not need to answer the next 2 questions</t>
  </si>
  <si>
    <t>7114</t>
  </si>
  <si>
    <t xml:space="preserve">If there is erosion risk, do you implement anti-erosion measures/control (e.g. trenches, terracing, windbreaks, soil coverage/mulching, bunds, contour planting…)? </t>
  </si>
  <si>
    <t>Yes-Terracing</t>
  </si>
  <si>
    <t>Yes-Trenches</t>
  </si>
  <si>
    <t>Yes-Windbreaks</t>
  </si>
  <si>
    <t>Yes-Mulching</t>
  </si>
  <si>
    <t>Yes-Cover Crops</t>
  </si>
  <si>
    <t>Yes-Water dykes</t>
  </si>
  <si>
    <t>Yes-Contour Planting</t>
  </si>
  <si>
    <t>Yes-A combination of previous practices</t>
  </si>
  <si>
    <t>Yes-Other practices</t>
  </si>
  <si>
    <t>7115</t>
  </si>
  <si>
    <t>Of the area of your coffee plots with risk of erosion, can you estimate the % or proportion of that area to which you apply anti-erosion measures/control?</t>
  </si>
  <si>
    <t>0% - none</t>
  </si>
  <si>
    <t>7126</t>
  </si>
  <si>
    <t>Do you take soil samples and carry out soil analysis of your coffee plots and how often?</t>
  </si>
  <si>
    <t>Yes-every year</t>
  </si>
  <si>
    <t>Yes-every 2 years</t>
  </si>
  <si>
    <t>Yes-every 3 years</t>
  </si>
  <si>
    <t>Yes-every &gt; 3 years</t>
  </si>
  <si>
    <t>7127</t>
  </si>
  <si>
    <t>If you don´t or last analysis is older than 3 years ago, do you know the basic characteristics of the soil of your coffee plots (e.g. pH-acidity, texture-light/medium/heavy, organic matter-high/good/poor, general fertility-good/average/poor...)?</t>
  </si>
  <si>
    <t>7128</t>
  </si>
  <si>
    <t>What is the most common system to determine the amount and/or the type of organic and synthetic fertilizers that you use in your coffee crop?</t>
  </si>
  <si>
    <t>Based on my own judgment-experience</t>
  </si>
  <si>
    <t>Based on what I can afford</t>
  </si>
  <si>
    <t>I always use the same fertilization</t>
  </si>
  <si>
    <t>Based on soil analysis or soil knowledge</t>
  </si>
  <si>
    <t>Based on soil analysis or soil knowledge and the expected yield of the crop</t>
  </si>
  <si>
    <t>Based on recommendations from experts (agronomists, field officers, extension services...)</t>
  </si>
  <si>
    <t>Based on recommendations from input suppliers</t>
  </si>
  <si>
    <t>I don't use organic or synthetic fertilizers, based on other reasons then the above options</t>
  </si>
  <si>
    <t>7131</t>
  </si>
  <si>
    <t>How often do you apply synthetic fertilizer per season in your coffee crop?</t>
  </si>
  <si>
    <t>I don't apply</t>
  </si>
  <si>
    <t>I apply once per season</t>
  </si>
  <si>
    <t>I apply multiple times throughout the season</t>
  </si>
  <si>
    <t>7132</t>
  </si>
  <si>
    <t>How do you apply the organic and synthetic fertilizers to the coffee trees in the coffee plots?</t>
  </si>
  <si>
    <t>Around the tree</t>
  </si>
  <si>
    <t>In bands close to the trees</t>
  </si>
  <si>
    <t>Broadcasted in all the field</t>
  </si>
  <si>
    <t>Through the irrigation system (e.g. drip)</t>
  </si>
  <si>
    <t>7133</t>
  </si>
  <si>
    <t>Do you know the 4R principles of using organic and synthetic fertilizers in crops (Right Amount, Right Product, Right Time, Right Place)?</t>
  </si>
  <si>
    <t>7240</t>
  </si>
  <si>
    <t>Did you use chemical pesticides and/or fungicides last year (also check with the answers in questions 23-25)?</t>
  </si>
  <si>
    <t>7241</t>
  </si>
  <si>
    <t>If you apply chemical pesticides or fungicides, are you aware of the IPM-Integrated Pest Management concept and practices (e.g. pest-disease identification +monitoring, right moment for control, use of a combination of biological, cultural, mechanical and chemical tools to prevent and control)?</t>
  </si>
  <si>
    <t>7242</t>
  </si>
  <si>
    <t>If you apply chemical pesticides and/or fungicides, do you apply IPM principles and practices to prevent and control pest &amp; diseases and reduce the use of chemical pesticides and/or fungicides?</t>
  </si>
  <si>
    <t>7243</t>
  </si>
  <si>
    <t>If you apply chemical pesticides and/or fungicides, can you prove/show that all are locally authorized for coffee (e.g. coffee is in the product label), and that you respect the recommended dose and post-harvest intervals of the label of the product?</t>
  </si>
  <si>
    <t>7244</t>
  </si>
  <si>
    <t>If you apply chemical pesticides and/or fungicides to control pests and diseases in your farm, how many applications do you apply in an average per year?</t>
  </si>
  <si>
    <t>&gt;5</t>
  </si>
  <si>
    <t>7245</t>
  </si>
  <si>
    <t>Have you decreased or increased the number of chemical pesticide and/or fungicide applications in the last 3 years, and what was the main reason for that? e.g. increase due to more pest/disease pressure, resistance to chemical pesticides and/or fungicides, adverse weather conditions…</t>
  </si>
  <si>
    <t>Increased - pest/disease pressure</t>
  </si>
  <si>
    <t>Increased - weather conditions</t>
  </si>
  <si>
    <t>Increased - pest/disease resistance</t>
  </si>
  <si>
    <t>Decreased - pest/disease pressure</t>
  </si>
  <si>
    <t>Decreased - adverse weather conditions</t>
  </si>
  <si>
    <t>Decreased - increased cost</t>
  </si>
  <si>
    <t>Decreased - replaced by regenerative agriculture</t>
  </si>
  <si>
    <t>7250</t>
  </si>
  <si>
    <t>Did you use herbicides last year (also check with the answers in questions 23-25)?</t>
  </si>
  <si>
    <t>Yes / 1-2 herbicides (active ingredients)</t>
  </si>
  <si>
    <t>Yes / 3-4 herbicides (active ingredients)</t>
  </si>
  <si>
    <t>Yes / &gt;=5 herbicides (active ingredients)</t>
  </si>
  <si>
    <t>7251</t>
  </si>
  <si>
    <t>If you apply chemical herbicides in your coffee, to which % of area of the coffee plots do you apply these?</t>
  </si>
  <si>
    <t>1% to 10% - very little</t>
  </si>
  <si>
    <t>11% to 20% - little</t>
  </si>
  <si>
    <t>21% to 50% - less than half</t>
  </si>
  <si>
    <t>7252</t>
  </si>
  <si>
    <t>If applying herbicides, can you prove that all are locally authorized for coffee use, and that you respect the doses and post-harvest intervals of the label of the product</t>
  </si>
  <si>
    <t>7253</t>
  </si>
  <si>
    <t>If you use or do not use herbicides to control weeds, what is the other main method/s that you use to control weeds?  - e.g. manual removal-mechanical removal, mulching, cover crops…</t>
  </si>
  <si>
    <t>Manual removal</t>
  </si>
  <si>
    <t>Mechanical removal</t>
  </si>
  <si>
    <t>Mulching</t>
  </si>
  <si>
    <t>Cover crops</t>
  </si>
  <si>
    <t>A combination of the above</t>
  </si>
  <si>
    <t>7300</t>
  </si>
  <si>
    <t>Do you irrigate your crop and if yes, what irrigation system/s do you use? If the answer is NO, you do not need to answer the next question</t>
  </si>
  <si>
    <t>Yes / drip irrigation</t>
  </si>
  <si>
    <t>Yes / minisprinkler irrigation</t>
  </si>
  <si>
    <t>Yes / overhead irrigation (sprinklers, pivot, rain gun)</t>
  </si>
  <si>
    <t>Yes / flood-furrow-hose pipe irrigation</t>
  </si>
  <si>
    <t>7301</t>
  </si>
  <si>
    <t>Do you have a systems to know when and how much to irrigate and according to the irrigation system (balance sheet with rainfall and evapotranspiration, sensors, irrigation app-software, weather stations...)?</t>
  </si>
  <si>
    <t>7400</t>
  </si>
  <si>
    <t>Are you implementing a plan to renovate/rehabilitate the coffee trees of your coffee plots? e.g. stumping, partial stumping, capping, side pruning, uprooting and replanting, or a mix of systems. If the answer is NO, you do not need to answer the next 2 questions</t>
  </si>
  <si>
    <t>7401</t>
  </si>
  <si>
    <t>What % or proportion of trees have you renovated/rehabilitated in last 3 years?</t>
  </si>
  <si>
    <t>7402</t>
  </si>
  <si>
    <t>What is the main renovation-rehabilitation systems do you use to renovate/rehabilitate (e.g. full stumping, partial stumping, capping, side pruning, uprooting and planting new trees)?</t>
  </si>
  <si>
    <t>full stumping</t>
  </si>
  <si>
    <t>partial stumping</t>
  </si>
  <si>
    <t>capping</t>
  </si>
  <si>
    <t>side pruning</t>
  </si>
  <si>
    <t>capping and side prunning</t>
  </si>
  <si>
    <t>uprooting and planting new trees</t>
  </si>
  <si>
    <t>7410</t>
  </si>
  <si>
    <t>How many coffee varieties do you grow in your coffee plots?</t>
  </si>
  <si>
    <t>7411</t>
  </si>
  <si>
    <t>What % or proportion of the cultivated area is planted with the main variety? Or What % or proportion over the total number of trees of the cultivated area is planted with the main variety?</t>
  </si>
  <si>
    <t>7412</t>
  </si>
  <si>
    <t>If you grow only one variety, how many years ago was this variety planted?</t>
  </si>
  <si>
    <t>1-5 years</t>
  </si>
  <si>
    <t>6-10 years</t>
  </si>
  <si>
    <t>11-15 years</t>
  </si>
  <si>
    <t>15-20 years</t>
  </si>
  <si>
    <t>20-30 years</t>
  </si>
  <si>
    <t>&gt;30 years</t>
  </si>
  <si>
    <t>7500</t>
  </si>
  <si>
    <t>Do you plant shade trees and/or fruit trees in your coffee plots? If the answer is NO, go to question 47.f.</t>
  </si>
  <si>
    <t>Yes - forest shade trees</t>
  </si>
  <si>
    <t>Yes - fruit trees</t>
  </si>
  <si>
    <t>Yes - mix of forest shade trees and fruit trees</t>
  </si>
  <si>
    <t>7501</t>
  </si>
  <si>
    <t>If so, on what % or proportion of your coffee plots do you have shade and/or fruit trees? e.g. if all agro-forestry trees are only distributed in a quarter of the coffee plot, and the rest of the plot does not have agro-forestry trees, then it is 25%</t>
  </si>
  <si>
    <t>7502</t>
  </si>
  <si>
    <t>How many different species of shade and/or fruit trees do you have in your coffee plots?</t>
  </si>
  <si>
    <t>7503</t>
  </si>
  <si>
    <t>Can you estimate how many shade trees (including fruit and other trees) you have in your coffee plots, in total (inside and boundary trees)?</t>
  </si>
  <si>
    <t>7504</t>
  </si>
  <si>
    <t>What describes best the size of these shade trees?</t>
  </si>
  <si>
    <t>Big sized, full grown, shade trees</t>
  </si>
  <si>
    <t>Medium sized shade trees- including fruit trees</t>
  </si>
  <si>
    <t>Multipurpose mix of trees(different types &amp; sizes)</t>
  </si>
  <si>
    <t>7600</t>
  </si>
  <si>
    <t>Do you keep bee hives in your farm (own bee hives or termporary during flowering season)?</t>
  </si>
  <si>
    <t>7700</t>
  </si>
  <si>
    <t>Do you have riparian areas (a buffer area or strip of vegetation along the bank of a stream or river that spatially separates agricultural land from the water) in your coffee plots and/or its boundaries and how many?  If the answer is NO, you do not need to answer the next question.</t>
  </si>
  <si>
    <t>Yes -1 stream/river</t>
  </si>
  <si>
    <t>Yes -2 streams/rivers</t>
  </si>
  <si>
    <t>Yes -3 streams/rivers</t>
  </si>
  <si>
    <t>Yes -4 streams/rivers</t>
  </si>
  <si>
    <t>Yes -5 streams/rivers</t>
  </si>
  <si>
    <t>7701</t>
  </si>
  <si>
    <t>How many of the riparian areas in your coffee plots are covered/protected with natural vegetation</t>
  </si>
  <si>
    <t>All</t>
  </si>
  <si>
    <t>Some</t>
  </si>
  <si>
    <t>8000</t>
  </si>
  <si>
    <t>What describes the soil type best in the coffee plot of the farmer (please observe your self)</t>
  </si>
  <si>
    <t>High activity clay soils</t>
  </si>
  <si>
    <t>Low activity clay soils</t>
  </si>
  <si>
    <t>Sandy soils</t>
  </si>
  <si>
    <t>Loamy soils</t>
  </si>
  <si>
    <t>Volcanic soils</t>
  </si>
  <si>
    <t>Wetland soils</t>
  </si>
  <si>
    <t>Organic soils</t>
  </si>
  <si>
    <t>8010</t>
  </si>
  <si>
    <t>What type of tillage/ploughing do you use in your coffee plots mostly (full tillages=fully turning the soil; reduced tillages is only losening the soil; No till is no tillage or ploughing of the soil at all)?</t>
  </si>
  <si>
    <t>Full-tillage</t>
  </si>
  <si>
    <t>Reduced tillage</t>
  </si>
  <si>
    <t>No till</t>
  </si>
  <si>
    <t>9000</t>
  </si>
  <si>
    <t>Final check: did you measure/polygon map all the plots of the farmer?</t>
  </si>
  <si>
    <t>Not possible</t>
  </si>
  <si>
    <t>Uganda</t>
  </si>
  <si>
    <t>Sbux</t>
  </si>
  <si>
    <t>Wife and husband</t>
  </si>
  <si>
    <t>Mubuku</t>
  </si>
  <si>
    <t>Katerera</t>
  </si>
  <si>
    <t>Nyabubare</t>
  </si>
  <si>
    <t>Katete</t>
  </si>
  <si>
    <t>Kisiizi</t>
  </si>
  <si>
    <t>Bunyangabu</t>
  </si>
  <si>
    <t>3000</t>
  </si>
  <si>
    <t>What were the types of coffee that you sold last year?</t>
  </si>
  <si>
    <t>Fresh cherries</t>
  </si>
  <si>
    <t>Dried cherries</t>
  </si>
  <si>
    <t>Hulled beans</t>
  </si>
  <si>
    <t>Green beans</t>
  </si>
  <si>
    <t>3100</t>
  </si>
  <si>
    <t>How many kilograms of fresh cherries did you sell during the fly season?</t>
  </si>
  <si>
    <t>3101</t>
  </si>
  <si>
    <t>What was the most common price per kilogram that you received for the fresh cherries harvested in the fly season? (Ush)</t>
  </si>
  <si>
    <t>3110</t>
  </si>
  <si>
    <t>How many kilograms of Drugar (hulled beans) did you sell during the fly season?</t>
  </si>
  <si>
    <t>3111</t>
  </si>
  <si>
    <t>What was the most common price per kilogram that you received for Drugar (hulled beans) harvested in the fly season? (Ush)</t>
  </si>
  <si>
    <t>3120</t>
  </si>
  <si>
    <t>How many kilograms of Kiboko (dried cherries) did you sell during the fly season?</t>
  </si>
  <si>
    <t>3121</t>
  </si>
  <si>
    <t>What was the most common price per kilogram that you received for Kiboko (dried cherries) harvested in the fly season? (Ush)</t>
  </si>
  <si>
    <t>3198</t>
  </si>
  <si>
    <t>Of the initial coffee cherries that were formed after flowering, what proportion was lost before sale, during the fly season?</t>
  </si>
  <si>
    <t>3199</t>
  </si>
  <si>
    <t>Of the coffee cherries lost during the fly season, what were the main reasons for the loss? You can choose multiple reasons.</t>
  </si>
  <si>
    <t>3200</t>
  </si>
  <si>
    <t>How many kilograms of fresh cherries did you sell during the main season?</t>
  </si>
  <si>
    <t>3201</t>
  </si>
  <si>
    <t>What was the most common price per kilogram that you received for fresh cherries harvested in the fly season? (Ush)</t>
  </si>
  <si>
    <t>3210</t>
  </si>
  <si>
    <t>How many kilograms of Drugar (hulled beans) did you sell during the main season?</t>
  </si>
  <si>
    <t>3211</t>
  </si>
  <si>
    <t>What was the most common price per kilogram that you received for Drugar (hulled beans) harvested in the main season? (Ush)</t>
  </si>
  <si>
    <t>3220</t>
  </si>
  <si>
    <t>How many kilograms of Kiboko (dried cherries) did you sell during the main season?</t>
  </si>
  <si>
    <t>3221</t>
  </si>
  <si>
    <t>What was the most common price per kilogram that you received for Kiboko (dried cherries) harvested in the main season? (Ush)</t>
  </si>
  <si>
    <t>3298</t>
  </si>
  <si>
    <t>Of the initial coffee cherries that were formed after flowering, what proportion was lost before sale, during the main season?</t>
  </si>
  <si>
    <t>3299</t>
  </si>
  <si>
    <t>Of the coffee cherries lost during the main season, what were the main reasons for the loss? You can choose multiple reasons.</t>
  </si>
  <si>
    <t>What is the name of the synthetic fertilizer that you used most, terms of total volume, last year?</t>
  </si>
  <si>
    <t>What was the total quantity that you used last year, of the synthetic fertilizer type that you used most?</t>
  </si>
  <si>
    <t>5102</t>
  </si>
  <si>
    <t>What was the unit of the synthetic fertilizer type that you used most? (bags, kg)</t>
  </si>
  <si>
    <t>kg</t>
  </si>
  <si>
    <t>bags</t>
  </si>
  <si>
    <t>liters</t>
  </si>
  <si>
    <t>What is the name of the synthetic fertilizer that you used second, terms of total volume, most last year?</t>
  </si>
  <si>
    <t>What was the total quantity that you used last year, of the synthetic fertilizer type that you used second most?</t>
  </si>
  <si>
    <t>5112</t>
  </si>
  <si>
    <t>What was the unit of the synthetic fertilizer type that you used second most ? (bags, kg)</t>
  </si>
  <si>
    <t>What was the total quantity that you used last year, of the other synthetic fertilizer type?</t>
  </si>
  <si>
    <t>5122</t>
  </si>
  <si>
    <t>What was the unit of the other synthetic fertilizer ? (bags, kg)</t>
  </si>
  <si>
    <t>6010</t>
  </si>
  <si>
    <t>Did you hire any people to work on your coffee plots for seasonal activities during the fly season, last year?</t>
  </si>
  <si>
    <t>6011</t>
  </si>
  <si>
    <t>If yes, what was the main activity that you hired people for, during the fly season?</t>
  </si>
  <si>
    <t>6012</t>
  </si>
  <si>
    <t>If yes, how many days in total did you hire people for this main activity, during the fly season? Number of days:</t>
  </si>
  <si>
    <t>6013</t>
  </si>
  <si>
    <t>If yes, every day, how many people would you hire most of the time for this main activity, during the fly season? Number of people:</t>
  </si>
  <si>
    <t>6020</t>
  </si>
  <si>
    <t>Did you hire any people to work on your coffee plots for seasonal activities during the main season, last year?</t>
  </si>
  <si>
    <t>6021</t>
  </si>
  <si>
    <t>If yes, what was the main activity that you hired people for, during the main season?</t>
  </si>
  <si>
    <t>6022</t>
  </si>
  <si>
    <t>If yes, how many days in total did you hire people for this main activity, during the main season? Number of days:</t>
  </si>
  <si>
    <t>6023</t>
  </si>
  <si>
    <t>If yes, every day, how many people would you hire most of the time for this main activity, during the main season? Number of people:</t>
  </si>
  <si>
    <t>If yes, can you estimate what the total loan was, that you took last year (Ugx)</t>
  </si>
  <si>
    <t>If yes, can you estimate how much you had to repay, in total, for the loan last year, including interest (Ugx)</t>
  </si>
  <si>
    <t>6190</t>
  </si>
  <si>
    <t>Have you ever used a loan before, no only last year, but in general? This can be both a formal loan from a SACCO or bank, as well as informal loans from traders or a VSLA.</t>
  </si>
  <si>
    <t>6191</t>
  </si>
  <si>
    <t>If yes, what are the main reasons to take a loan, what do you use it for? Please describe</t>
  </si>
  <si>
    <t>6192</t>
  </si>
  <si>
    <t>In general, what are the main difficulties for you in taking credit? Please describe. For instance too expensive, not available, etc.</t>
  </si>
  <si>
    <t>6200</t>
  </si>
  <si>
    <t>Are you member of a coffee cooperative?</t>
  </si>
  <si>
    <t>6201</t>
  </si>
  <si>
    <t>If yes, what subscription fee did you pay per year, in total (Ugx)?</t>
  </si>
  <si>
    <t>Nyasaland (traditional)</t>
  </si>
  <si>
    <t>Improved Elite</t>
  </si>
  <si>
    <t>Improved Clonal</t>
  </si>
  <si>
    <t>SL28</t>
  </si>
  <si>
    <t>SL14</t>
  </si>
  <si>
    <t>Nasalanda (traditional)</t>
  </si>
  <si>
    <t>If yes, in general what were the cost per trip (the cost you make your self, or what you pay to someone to do the transport for you)? (Ugx)</t>
  </si>
  <si>
    <t>6900</t>
  </si>
  <si>
    <t>How important do you feel the production and sale of coffee is to your household’s quality of life?</t>
  </si>
  <si>
    <t>6901</t>
  </si>
  <si>
    <t>In the next 2-3 years, how do you plan to change the land area, time spent on production and/ or resources spent on coffee production?</t>
  </si>
  <si>
    <t>6902</t>
  </si>
  <si>
    <t>Do you want to see your children to continue to grow coffee in future?</t>
  </si>
  <si>
    <t>Do you plant shade trees and/or fruit trees in your coffee plots? If the answer is NO, go to question 47.d.</t>
  </si>
  <si>
    <t>7505</t>
  </si>
  <si>
    <t>If planting trees is only possible in the coffee plot boundaries/perimeter (i.e. due to mechanical harvest and/or tree species used are only suitable for boundaries), do you have &gt;= 75% of boundaries/perimeter with boundary trees, AND use 3 or more tree species?</t>
  </si>
  <si>
    <t>8100</t>
  </si>
  <si>
    <t>After pulping the cherries, what did you do with the pulp, last year?</t>
  </si>
  <si>
    <r>
      <t xml:space="preserve">Apply to coffee farms within the supply chain, </t>
    </r>
    <r>
      <rPr>
        <u/>
        <sz val="9"/>
        <color rgb="FFFF0000"/>
        <rFont val="Segoe UI"/>
        <family val="2"/>
      </rPr>
      <t>right after processing</t>
    </r>
    <r>
      <rPr>
        <sz val="9"/>
        <color rgb="FFFF0000"/>
        <rFont val="Segoe UI"/>
        <family val="2"/>
      </rPr>
      <t xml:space="preserve"> (e.g. after de-pulping in wet processing and after de-husking in dry processing) </t>
    </r>
    <r>
      <rPr>
        <b/>
        <u/>
        <sz val="9"/>
        <color rgb="FFFF0000"/>
        <rFont val="Segoe UI"/>
        <family val="2"/>
      </rPr>
      <t>without composting</t>
    </r>
  </si>
  <si>
    <t>Apply to other crops without composting</t>
  </si>
  <si>
    <t>Compost and add to coffee farms within the supply chain</t>
  </si>
  <si>
    <t>Compost and add to other farms outside the supply chain</t>
  </si>
  <si>
    <t>Temporarily left untreated in a heap/pit (max. 6 months), after which it is applied to the coffee farms within the supply chain</t>
  </si>
  <si>
    <t>Temporarily left untreated in a heap/pit (max. 6 months), after which it sold or given away (outside the supply chain)</t>
  </si>
  <si>
    <t>Leave them in a pile untreated (min. 6 months or longer) and then applied to the coffee farms within the supply chain</t>
  </si>
  <si>
    <t>Leave them in a pile untreated (min. 6 months or longer), no other management</t>
  </si>
  <si>
    <t>Burn on farm</t>
  </si>
  <si>
    <t>Sell to a buyer or given away (outside the supply chain)</t>
  </si>
  <si>
    <t>8200</t>
  </si>
  <si>
    <t>Did you use water for pulping/processing your coffee last year?</t>
  </si>
  <si>
    <t>8201</t>
  </si>
  <si>
    <t>If yes, what was the source of this water?</t>
  </si>
  <si>
    <t>Tap water</t>
  </si>
  <si>
    <t>Natural stream</t>
  </si>
  <si>
    <t>Rain water</t>
  </si>
  <si>
    <t>Ground water</t>
  </si>
  <si>
    <t>8202</t>
  </si>
  <si>
    <t>If yes, can you estimate how many liters did you use per day?</t>
  </si>
  <si>
    <t>8203</t>
  </si>
  <si>
    <t>If yes, how many days did you use water last year?</t>
  </si>
  <si>
    <t>8204</t>
  </si>
  <si>
    <t>If yes, what did you do with the waste water? Please describe as precisely as possible? Was it directly put back in natural streams, put in a soaking pit, stored in a shallow lagoon (&lt;2 m deep), stored in a deep lagoon (&gt;2 m deep), put through a treatment system, if so describe this system</t>
  </si>
  <si>
    <t>8300</t>
  </si>
  <si>
    <t>Did you use diesel in any process in your coffee farming last year?</t>
  </si>
  <si>
    <t>8301</t>
  </si>
  <si>
    <t>If yes, for what</t>
  </si>
  <si>
    <t>Processing</t>
  </si>
  <si>
    <t>Transport</t>
  </si>
  <si>
    <t>Power Generator</t>
  </si>
  <si>
    <t>Irrigation</t>
  </si>
  <si>
    <t>8302</t>
  </si>
  <si>
    <t>How many liters per day?</t>
  </si>
  <si>
    <t>8303</t>
  </si>
  <si>
    <t>How many days per year</t>
  </si>
  <si>
    <t>8400</t>
  </si>
  <si>
    <t>Did you use petrol in any process in your coffee farming last year?</t>
  </si>
  <si>
    <t>8401</t>
  </si>
  <si>
    <t>If yes, where do you use it for?</t>
  </si>
  <si>
    <t>Weed cutter</t>
  </si>
  <si>
    <t>8402</t>
  </si>
  <si>
    <t>8403</t>
  </si>
  <si>
    <t>8500</t>
  </si>
  <si>
    <t>Did you use electrisity in any process in your coffee farming last year?</t>
  </si>
  <si>
    <t>8501</t>
  </si>
  <si>
    <t>If yes, what is the source of this electrisity?</t>
  </si>
  <si>
    <t>Local grid</t>
  </si>
  <si>
    <t>Solar power</t>
  </si>
  <si>
    <t>Generator petrol</t>
  </si>
  <si>
    <t>Generator diesel</t>
  </si>
  <si>
    <t>8502</t>
  </si>
  <si>
    <t>If local grid or sollar power, how much was your average monthly electricity bill last year?</t>
  </si>
  <si>
    <t>8503</t>
  </si>
  <si>
    <t>Was all of this electrisity used for coffee processing, or also part for other usage? Can you estimate what proportion of this electricity bill was used for coffee processing?</t>
  </si>
  <si>
    <t>Vietnam</t>
  </si>
  <si>
    <t>Robusta</t>
  </si>
  <si>
    <t>Lam_Dong_Nestlé_IMPACT</t>
  </si>
  <si>
    <t>3310</t>
  </si>
  <si>
    <t>How many kilograms of green beans did you harvest last year (2023)?</t>
  </si>
  <si>
    <t>3311</t>
  </si>
  <si>
    <t>What was the most common price (VND) per kilogram that you received for the green coffee harvested last year?</t>
  </si>
  <si>
    <t>What was the unit of the  synthetic fertilizer  type that you used most? (kg, liters)</t>
  </si>
  <si>
    <t>What is the name of the synthetic fertilizer that you used second most, in terms of total volume, last year?</t>
  </si>
  <si>
    <t>What was the unit of the  synthetic fertilizer  type that you used second most ? (kg, liters)</t>
  </si>
  <si>
    <t>5120</t>
  </si>
  <si>
    <t>What is the name of the synthetic fertilizer that you used third most, in terms of total volume, last year?</t>
  </si>
  <si>
    <t>What was the total quantity that you used last year, of the synthetic fertilizer type that you used third most?</t>
  </si>
  <si>
    <t>5132</t>
  </si>
  <si>
    <t>What was the unit of the  synthetic fertilizer  type that you used  third most ? (kg, liters)</t>
  </si>
  <si>
    <t>5130</t>
  </si>
  <si>
    <t>What is the name of the synthetic fertilizer that you used fourth most, in terms of total volume, last year?</t>
  </si>
  <si>
    <t>5131</t>
  </si>
  <si>
    <t>What was the total quantity that you used last year, of the synthetic fertilizer type that you used fourth most?</t>
  </si>
  <si>
    <t>5142</t>
  </si>
  <si>
    <t>What was the unit of the  synthetic fertilizer  type that you used fourth most ? (bags, kg)</t>
  </si>
  <si>
    <t>6007</t>
  </si>
  <si>
    <t>Did you hire any seasonal labourers, for multiple months in a row, last year? (seasonal labourers are those labourers that you hire for multiple months in a row)</t>
  </si>
  <si>
    <t>6008</t>
  </si>
  <si>
    <t>If yes, how many seasonal labourers did you hire last year?</t>
  </si>
  <si>
    <t>6009</t>
  </si>
  <si>
    <t>If yes, how many months in total did you hire these seaonal labourers last year? (calculate the average number of months days if you hired more than one seasonal labourer, but if this was not for the same number of months)</t>
  </si>
  <si>
    <t>Did you hire any people to work on your coffee plots for day to day activities last year? (day to day laborers are those laborers that you hire for peek labour demands, for instance for harvesting)</t>
  </si>
  <si>
    <t>If yes, what was the main activity that you hired people for, for day to day activities last year?</t>
  </si>
  <si>
    <t>If yes, how many days in total did you hire people for this main activity, for day to day activities last year? Number of days:</t>
  </si>
  <si>
    <t>If yes, every day, how many people would you hire most of the time for this main activity, for day to day activities last year? Number of people:</t>
  </si>
  <si>
    <t>If yes, can you estimate what the total loan was, that you took last year (VND)</t>
  </si>
  <si>
    <t>If yes, can you estimate how much you had to repay, in total, for the loan last year, including interest (VND)</t>
  </si>
  <si>
    <t>6220</t>
  </si>
  <si>
    <t>What machinery do you own that you use for coffee farming and/or coffee processing?</t>
  </si>
  <si>
    <t>Dry mill</t>
  </si>
  <si>
    <t>Water pump (irrigation)</t>
  </si>
  <si>
    <t>Spray pump (insecticide/fungicide/herbicide application)</t>
  </si>
  <si>
    <t>Weed/grass trimmer</t>
  </si>
  <si>
    <t>Two-wheeled tractor</t>
  </si>
  <si>
    <t>Four wheeled tractor</t>
  </si>
  <si>
    <t>If yes, in general what were the cost per trip (VND, the cost you make your self, or what you pay to someone to do the transport for you)?</t>
  </si>
  <si>
    <t>After hulling the dried coffee cherries, what did you do with the husks, last year?</t>
  </si>
  <si>
    <t>8101</t>
  </si>
  <si>
    <t>Can you estimate the amount of husks that remained after hulling, in kg, of your coffee processed last year?</t>
  </si>
  <si>
    <t>If local grid or sollar power, how much was your average monthly electricity bill last year, in VND?</t>
  </si>
  <si>
    <t>Rwanda</t>
  </si>
  <si>
    <t>Nestle_Illy_IMPACT</t>
  </si>
  <si>
    <t>Rainforest alliance</t>
  </si>
  <si>
    <t>Fair trade</t>
  </si>
  <si>
    <t>If yes, since when have you been certified? In case you are part of multiple certification schemes, consider the one that you are in longest.</t>
  </si>
  <si>
    <t xml:space="preserve">To which Rwacof washing station do you deliver your coffee (or is closest to you)? </t>
  </si>
  <si>
    <t>Karenge</t>
  </si>
  <si>
    <t>Kayumbu</t>
  </si>
  <si>
    <t>Mubuga</t>
  </si>
  <si>
    <t>Nyamyumba</t>
  </si>
  <si>
    <t>Musasa</t>
  </si>
  <si>
    <t>Muhura</t>
  </si>
  <si>
    <t>How many kilograms of fresh cherries did you sell the previous 12 months?</t>
  </si>
  <si>
    <t>What was the most common price per kilogram that you received for the fresh cherries harvested in the last season (RWF)?</t>
  </si>
  <si>
    <t>What was the total number of coffee trees counted for this farmer?</t>
  </si>
  <si>
    <t>Can we go to measure/polygon map each of these plots?</t>
  </si>
  <si>
    <t>Yes - too far</t>
  </si>
  <si>
    <t>Yes - farmer not willing</t>
  </si>
  <si>
    <t>Yes - other reason</t>
  </si>
  <si>
    <t>What is the total area of these other plots with coffee that we can not visit, in ha?</t>
  </si>
  <si>
    <r>
      <t xml:space="preserve">Did you use </t>
    </r>
    <r>
      <rPr>
        <sz val="11"/>
        <color rgb="FFFF0000"/>
        <rFont val="Calibri"/>
        <family val="2"/>
        <scheme val="major"/>
      </rPr>
      <t>synthetic fertilizers for your coffee last year?</t>
    </r>
  </si>
  <si>
    <t xml:space="preserve">What is the name of the synthetic fertilizer that you used most, terms of total volume, last year? </t>
  </si>
  <si>
    <t>Yara Milla Java (NPK 26-6-12)</t>
  </si>
  <si>
    <t>NPK 17-17-17</t>
  </si>
  <si>
    <t>Urea (46% N)</t>
  </si>
  <si>
    <t>DAP (di-ammonium phosphate, 18% N)</t>
  </si>
  <si>
    <t>What was the total quantity that you used last year, of the synthetic fertilizer type that you used most, in kg?</t>
  </si>
  <si>
    <t>Please ensure that the answer reported in question 5101 is in kg.</t>
  </si>
  <si>
    <t>What is the name of the synthetic fertilizer that you used second most, terms of total volume, last year?</t>
  </si>
  <si>
    <t>What was the total quantity that you used last year, of the synthetic fertilizer type that you used second most, in kg?</t>
  </si>
  <si>
    <t>Please ensure that the answer reported in question 5111 is in kg.</t>
  </si>
  <si>
    <t>5141</t>
  </si>
  <si>
    <t>What was the total quantity that you used last year, of the other synthetic fertilizer type, in kg?</t>
  </si>
  <si>
    <t>Please ensure that the answer reported in question 5141 is in kg.</t>
  </si>
  <si>
    <t>If yes, what was the type of animal manure, compost,  or organic fertilizer that you used most last year? Please give the name of the type used. For instance cow manure or the brand name and type of organic fertilizer.</t>
  </si>
  <si>
    <t>kg's</t>
  </si>
  <si>
    <t>basins (11 kg/basin)</t>
  </si>
  <si>
    <t>wheel barrows (40 kg/basin)</t>
  </si>
  <si>
    <t>small truck (1000 kg/load)</t>
  </si>
  <si>
    <t>medium truck (3000 kg/load)</t>
  </si>
  <si>
    <t>large truck (6000 kg/load)</t>
  </si>
  <si>
    <t>How did you get this manure/compost/organic fertilizer that you used most? For example: bought from outside, took from your own farm, or received for free from RAB, Rwacof, etc.</t>
  </si>
  <si>
    <t>How did you get this manure/compost/organic fertilizer that you used second most? For example: bought from outside, took from your own farm, or received for free from RAB, Rwacof, etc.</t>
  </si>
  <si>
    <t>What was the total amount of mulch that you used ?</t>
  </si>
  <si>
    <t>basins (3 kg/basin)</t>
  </si>
  <si>
    <t>wheel barrows (10 kg/basin)</t>
  </si>
  <si>
    <t>small truck (250 kg/load)</t>
  </si>
  <si>
    <t>medium truck (750 kg/load)</t>
  </si>
  <si>
    <t>large truck (1500 kg/load)</t>
  </si>
  <si>
    <t>From where was this mulch sourced, from inside the coffee plot (for instance from grasses) or outside the coffee plot?</t>
  </si>
  <si>
    <t>If it was from outside the coffee plot, did you buy this mulch, or did it come from your own farm?</t>
  </si>
  <si>
    <r>
      <t xml:space="preserve">Did you use pesticides, fungicides or herbicides for your coffee last </t>
    </r>
    <r>
      <rPr>
        <sz val="11"/>
        <color rgb="FFFF0000"/>
        <rFont val="Calibri"/>
        <family val="2"/>
        <scheme val="major"/>
      </rPr>
      <t>year?</t>
    </r>
  </si>
  <si>
    <t>If yes, what was the name of the pesticide/fungicide or herbicide that you used most, last year?</t>
  </si>
  <si>
    <t>What was the unit of this most used pesticide/fungicide/herbicide?</t>
  </si>
  <si>
    <t>If yes, what was the name of the second most used pesticide/ fungicide/herbicide used last year</t>
  </si>
  <si>
    <t>What was the unit of this second most used pesticide/fungicide/herbicide?</t>
  </si>
  <si>
    <t>If yes, what was the name of the third most used pesticide/ fungicide/herbicide used last year</t>
  </si>
  <si>
    <t>What was the unit of this third most used pesticide/fungicide/herbicide?</t>
  </si>
  <si>
    <t>Did you hire any casual labourers to work on your coffee plots for seasonal activities during last season?</t>
  </si>
  <si>
    <t>If yes, can you estimate what the total loan was, that you took last year (RWF)</t>
  </si>
  <si>
    <t>If yes, can you estimate how much you had to repay, in total, for the loan last year, including interest (RWF)</t>
  </si>
  <si>
    <t>Did you buy and/or receive coffee seedlings for your farm last year?</t>
  </si>
  <si>
    <t>Yes, mainly bought</t>
  </si>
  <si>
    <t>Yes, mainly received for free</t>
  </si>
  <si>
    <t>If yes what was the main variety of the seedlings bought/received?</t>
  </si>
  <si>
    <t>RAB C15</t>
  </si>
  <si>
    <t>Bourbon Mayaguez 139- BM 139</t>
  </si>
  <si>
    <t>Jackson Jackson</t>
  </si>
  <si>
    <t>Harar Rwanda</t>
  </si>
  <si>
    <t>Mibirizi</t>
  </si>
  <si>
    <t xml:space="preserve">Pop 3303/21 </t>
  </si>
  <si>
    <t>How many seedlings did you buy/receive last year?</t>
  </si>
  <si>
    <t>For each of the sources of income that you have, can you estimate the importance in terms of income? (next questions)</t>
  </si>
  <si>
    <t>Have you received any training on Regen Ag. principles and practices in last 1-2 years? For instance on mulching, cover crops, manure or fertiliser application, stumping, integrated pest management, etc.</t>
  </si>
  <si>
    <t>Does any area of your coffee plots have significative risk of water and/or wind erosion? This can be due to heavy rains or irrigation, steep slopes, strong winds during dry periods, etc. If the answer is NO, you do not need to answer questions 39.a. &amp; 39.b.</t>
  </si>
  <si>
    <t xml:space="preserve">If there is erosion risk, do you implement anti-erosion measures/control (e.g. trenches, terracing, windbreaks, soil coverage/mulching, contour bunds to reduce run-off, contour planting…)? </t>
  </si>
  <si>
    <t>Do you or someone else (on your behafl) take soil samples and carry out soil analysis of your coffee plots and how often?</t>
  </si>
  <si>
    <t xml:space="preserve">Based on recommendations from experts (agronomists, field officers, extension services...) </t>
  </si>
  <si>
    <t xml:space="preserve">Around the tree </t>
  </si>
  <si>
    <t xml:space="preserve">Do you know the 4R principles of using organic and synthetic fertilizers in crops (Right Amount, Right Product, Right Time, Right Place)?  </t>
  </si>
  <si>
    <t>Did you use chemical pesticides and/or fungicides last year (also check with the answers in questions 5610-5630)?</t>
  </si>
  <si>
    <t>If you apply chemical pesticides or fungicides, do you know about the Integrated Pest Management (IPM) concept &amp; practices? This can include pest-disease identification+monitoring, right moment for control, combined use of biological, cultural, mechanical and chemical tools to prevent&amp;control?</t>
  </si>
  <si>
    <t xml:space="preserve">If you apply chemical pesticides and/or fungicides, do you apply IPM principles and practices to prevent and control pest &amp; diseases and reduce the use of chemical pesticides and/or fungicides? </t>
  </si>
  <si>
    <t>If you apply chemical pesticides and/or fungicides, can you prove/show that all are locally authorized for using it in coffee (e.g. coffee is in the product label)? And that you use and respect the maximum recommended dose and the minimum post-harvest intervals of the label of the product?</t>
  </si>
  <si>
    <t xml:space="preserve">If you apply chemical pesticides and/or fungicides to control pests and diseases in your farm, how many applications do you apply in an average per year? </t>
  </si>
  <si>
    <t>Have you decreased or increased the number of chemical pesticide and/or fungicide applications in the last 3 years? And if so, what was the main reason for that? e.g. increase due to more pest/disease pressure, resistance to chemical pesticides and/or fungicides, adverse weather conditions…</t>
  </si>
  <si>
    <t>Did you use herbicides last year (also check with the answers in questions 5610-5630)?</t>
  </si>
  <si>
    <t>Amix of different systems</t>
  </si>
  <si>
    <t xml:space="preserve">What % or proportion of trees have you renovated/rehabilitated in last 3 years? </t>
  </si>
  <si>
    <t xml:space="preserve">What is the main renovation-rehabilitation systems do you use to renovate/rehabilitate (e.g. full stumping, partial stumping, capping, side pruning, uprooting and planting new trees)? </t>
  </si>
  <si>
    <t>What % or proportion of the cultivated area is planted with the main variety?
Or What % or proportion over the total number of trees of the cultivated area is planted with the main variety?</t>
  </si>
  <si>
    <t>Do you plant shade trees and/or fruit trees in your coffee plots? If the answer is NO, go to question 7600</t>
  </si>
  <si>
    <t xml:space="preserve">If so, on what % or proportion of your coffee plots do you have shade and/or fruit trees? 
e.g. if all agro-forestry trees are only distributed in a quarter of the coffee plot, and the rest of the plot does not have agro-forestry trees, then it is 25% </t>
  </si>
  <si>
    <t>Medium sized shade trees, including fruit trees</t>
  </si>
  <si>
    <t>Multipurpose mix of trees (different types and sizes)</t>
  </si>
  <si>
    <t>Is there a stream or river passing through your coffee plot(s) or bordering your coffee plot? If yes, how many streams/rivers are there? If the answer is NO, you do not need to answer the next question.</t>
  </si>
  <si>
    <t xml:space="preserve">If yes, how many of these streams/rivers have a buffer area or strip of vegetation along the bank of a stream or river that spatially separates agricultural land from the water (riparian areas) in your coffee plots and/or its boundaries?  </t>
  </si>
  <si>
    <t>What the describes the soil type best in the coffee plot of the farmer (please observe your self: high activity clay soisl show big cracks when dried out, low activity clay soils don't)</t>
  </si>
  <si>
    <t xml:space="preserve">High activity clay soils </t>
  </si>
  <si>
    <t>Kenya</t>
  </si>
  <si>
    <t>Nestle</t>
  </si>
  <si>
    <t>If yes, since when have you been certified? In case you are part of multiple certification schemes, considere the one that you are in longest.</t>
  </si>
  <si>
    <t xml:space="preserve">To which cooperative do you deliver your coffee (or is closest to you)? </t>
  </si>
  <si>
    <t>Thikagiki</t>
  </si>
  <si>
    <t>Chepnorio</t>
  </si>
  <si>
    <t>Kikai</t>
  </si>
  <si>
    <t>Kichawir</t>
  </si>
  <si>
    <t xml:space="preserve">Gathugu &amp; Gatina </t>
  </si>
  <si>
    <t>Gitareini</t>
  </si>
  <si>
    <r>
      <t xml:space="preserve">How many kilograms of </t>
    </r>
    <r>
      <rPr>
        <b/>
        <sz val="11"/>
        <color rgb="FF000000"/>
        <rFont val="Calibri"/>
        <family val="2"/>
        <scheme val="major"/>
      </rPr>
      <t xml:space="preserve">fresh cherries </t>
    </r>
    <r>
      <rPr>
        <sz val="11"/>
        <color rgb="FF000000"/>
        <rFont val="Calibri"/>
        <family val="2"/>
        <scheme val="major"/>
      </rPr>
      <t xml:space="preserve">did you sell </t>
    </r>
    <r>
      <rPr>
        <b/>
        <sz val="11"/>
        <color rgb="FF000000"/>
        <rFont val="Calibri"/>
        <family val="2"/>
        <scheme val="major"/>
      </rPr>
      <t>during the fly season (Dara Mwaka)</t>
    </r>
    <r>
      <rPr>
        <sz val="11"/>
        <color rgb="FF000000"/>
        <rFont val="Calibri"/>
        <family val="2"/>
        <scheme val="major"/>
      </rPr>
      <t>?</t>
    </r>
  </si>
  <si>
    <t>What was the most common price per kilogram that you received for the fresh cherries harvested in the fly season (Dara Mwaka)? (Ksh)</t>
  </si>
  <si>
    <r>
      <t xml:space="preserve">How many kilograms of </t>
    </r>
    <r>
      <rPr>
        <b/>
        <sz val="11"/>
        <color rgb="FF000000"/>
        <rFont val="Calibri"/>
        <family val="2"/>
        <scheme val="major"/>
      </rPr>
      <t xml:space="preserve">Mbuni (dried cherries) </t>
    </r>
    <r>
      <rPr>
        <sz val="11"/>
        <color rgb="FF000000"/>
        <rFont val="Calibri"/>
        <family val="2"/>
        <scheme val="major"/>
      </rPr>
      <t xml:space="preserve">did you sell </t>
    </r>
    <r>
      <rPr>
        <b/>
        <sz val="11"/>
        <color rgb="FF000000"/>
        <rFont val="Calibri"/>
        <family val="2"/>
        <scheme val="major"/>
      </rPr>
      <t>during the fly season (Dara Mwaka)</t>
    </r>
    <r>
      <rPr>
        <sz val="11"/>
        <color rgb="FF000000"/>
        <rFont val="Calibri"/>
        <family val="2"/>
        <scheme val="major"/>
      </rPr>
      <t>?</t>
    </r>
  </si>
  <si>
    <t>What was the most common price per kilogram that you received for Mbuni (dried cherries) harvested in the fly season (Dara Mwaka)? (Ksh)</t>
  </si>
  <si>
    <r>
      <t xml:space="preserve">How many kilograms of </t>
    </r>
    <r>
      <rPr>
        <b/>
        <sz val="11"/>
        <color rgb="FF000000"/>
        <rFont val="Calibri"/>
        <family val="2"/>
        <scheme val="major"/>
      </rPr>
      <t>fresh cherries</t>
    </r>
    <r>
      <rPr>
        <sz val="11"/>
        <color rgb="FF000000"/>
        <rFont val="Calibri"/>
        <family val="2"/>
        <scheme val="major"/>
      </rPr>
      <t xml:space="preserve">  did you sell </t>
    </r>
    <r>
      <rPr>
        <b/>
        <sz val="11"/>
        <color rgb="FF000000"/>
        <rFont val="Calibri"/>
        <family val="2"/>
        <scheme val="major"/>
      </rPr>
      <t>during the main season (Kimera)</t>
    </r>
    <r>
      <rPr>
        <sz val="11"/>
        <color rgb="FF000000"/>
        <rFont val="Calibri"/>
        <family val="2"/>
        <scheme val="major"/>
      </rPr>
      <t xml:space="preserve">?  </t>
    </r>
  </si>
  <si>
    <t>What was the most common price per kilogram that you received for fresh cherries harvested in the main season (Kimera)? (Ksh)</t>
  </si>
  <si>
    <r>
      <t xml:space="preserve">How many kilograms of </t>
    </r>
    <r>
      <rPr>
        <b/>
        <sz val="11"/>
        <color rgb="FF000000"/>
        <rFont val="Calibri"/>
        <family val="2"/>
        <scheme val="major"/>
      </rPr>
      <t xml:space="preserve">Mbuni (dried cherries) </t>
    </r>
    <r>
      <rPr>
        <sz val="11"/>
        <color rgb="FF000000"/>
        <rFont val="Calibri"/>
        <family val="2"/>
        <scheme val="major"/>
      </rPr>
      <t xml:space="preserve">did you sell during the </t>
    </r>
    <r>
      <rPr>
        <b/>
        <sz val="11"/>
        <color rgb="FF000000"/>
        <rFont val="Calibri"/>
        <family val="2"/>
        <scheme val="major"/>
      </rPr>
      <t>main season (Kimera)</t>
    </r>
    <r>
      <rPr>
        <sz val="11"/>
        <color rgb="FF000000"/>
        <rFont val="Calibri"/>
        <family val="2"/>
        <scheme val="major"/>
      </rPr>
      <t xml:space="preserve">?  </t>
    </r>
  </si>
  <si>
    <t>What was the most common price per kilogram that you received for Mbuni (dried cherries) harvested in the main season (Kimera)? (Ksh)</t>
  </si>
  <si>
    <t>NPK 26-6-12 - "special</t>
  </si>
  <si>
    <t>CAN (calcium ammonium nitrate, 27% N)</t>
  </si>
  <si>
    <t>Ammonium sulphate (21% N)</t>
  </si>
  <si>
    <t>basins (11 kg/load)</t>
  </si>
  <si>
    <t>debe (11 kg/load)</t>
  </si>
  <si>
    <t>wheel barrows (40 kg/load)</t>
  </si>
  <si>
    <t xml:space="preserve">How did you get this manure/compost/organic fertilizer that you used most? For example: bought from outside, took from your own farm, or received for free </t>
  </si>
  <si>
    <t>Was there a second type of animal manure, compost, or organic fertilizer and if yes, what was the type of this second most used manure/compost/organic fertilizer last year? Please give the name of the type used. For instance cow manure or the brand name and type of organic fertilizer.</t>
  </si>
  <si>
    <t>What was the unit, for the mulch used (kg, basins, bags, wheel barrows, small truck/tipper, large truck)?</t>
  </si>
  <si>
    <t>debe (3 kg/load)</t>
  </si>
  <si>
    <t>wheel barrows (10 kg/load)</t>
  </si>
  <si>
    <r>
      <t xml:space="preserve">Did you use pesticides, fungicides or herbicides for your coffee last </t>
    </r>
    <r>
      <rPr>
        <b/>
        <sz val="11"/>
        <color rgb="FFFF0000"/>
        <rFont val="Calibri"/>
        <family val="2"/>
        <scheme val="major"/>
      </rPr>
      <t>year</t>
    </r>
    <r>
      <rPr>
        <sz val="11"/>
        <color rgb="FFFF0000"/>
        <rFont val="Calibri"/>
        <family val="2"/>
        <scheme val="major"/>
      </rPr>
      <t>?</t>
    </r>
  </si>
  <si>
    <t>If yes, what was the name of the second most used pesticide/ fungicide/herbicide used last year?</t>
  </si>
  <si>
    <t>If yes, what was the name of the third most used pesticide/ fungicide/herbicide used last year?</t>
  </si>
  <si>
    <r>
      <t xml:space="preserve">Did you hire any people to work on your coffee plots  for seasonal activities during the </t>
    </r>
    <r>
      <rPr>
        <b/>
        <sz val="11"/>
        <color rgb="FFFF0000"/>
        <rFont val="Calibri"/>
        <family val="2"/>
        <scheme val="major"/>
      </rPr>
      <t>fly</t>
    </r>
    <r>
      <rPr>
        <sz val="11"/>
        <color rgb="FFFF0000"/>
        <rFont val="Calibri"/>
        <family val="2"/>
        <scheme val="major"/>
      </rPr>
      <t xml:space="preserve"> </t>
    </r>
    <r>
      <rPr>
        <b/>
        <sz val="11"/>
        <color rgb="FFFF0000"/>
        <rFont val="Calibri"/>
        <family val="2"/>
        <scheme val="major"/>
      </rPr>
      <t>season (Dara Mwaka)</t>
    </r>
    <r>
      <rPr>
        <sz val="11"/>
        <color rgb="FFFF0000"/>
        <rFont val="Calibri"/>
        <family val="2"/>
        <scheme val="major"/>
      </rPr>
      <t>, last year?</t>
    </r>
  </si>
  <si>
    <r>
      <rPr>
        <sz val="11"/>
        <color rgb="FFFF0000"/>
        <rFont val="Calibri Light"/>
        <family val="2"/>
      </rPr>
      <t xml:space="preserve">Did you hire any people to work on your coffee plots for seasonal activities during the </t>
    </r>
    <r>
      <rPr>
        <b/>
        <sz val="11"/>
        <color rgb="FFFF0000"/>
        <rFont val="Calibri Light"/>
        <family val="2"/>
      </rPr>
      <t>main</t>
    </r>
    <r>
      <rPr>
        <sz val="11"/>
        <color rgb="FFFF0000"/>
        <rFont val="Calibri Light"/>
        <family val="2"/>
      </rPr>
      <t xml:space="preserve"> </t>
    </r>
    <r>
      <rPr>
        <b/>
        <sz val="11"/>
        <color rgb="FFFF0000"/>
        <rFont val="Calibri Light"/>
        <family val="2"/>
      </rPr>
      <t>season (Kimera)</t>
    </r>
    <r>
      <rPr>
        <sz val="11"/>
        <color rgb="FFFF0000"/>
        <rFont val="Calibri Light"/>
        <family val="2"/>
      </rPr>
      <t>, last year?</t>
    </r>
  </si>
  <si>
    <t>If yes, can you estimate how much you had to repay, in total, for the loan last year, including interest (Ugx)?</t>
  </si>
  <si>
    <t>If yes what was the main variety of the seedlings bought?</t>
  </si>
  <si>
    <t>SL34</t>
  </si>
  <si>
    <t>K7</t>
  </si>
  <si>
    <t>Ruiru 11</t>
  </si>
  <si>
    <t>Batain</t>
  </si>
  <si>
    <t>Did you organize the transport to the hulling/washing station yourselves last year?</t>
  </si>
  <si>
    <t>If yes, how many trips did you need to make last year?</t>
  </si>
  <si>
    <t>If yes, in general what were the costs per trip (the costs you make your self, or what you pay to someone to do the transport for you)?</t>
  </si>
  <si>
    <t>And for how many months per year?</t>
  </si>
  <si>
    <t xml:space="preserve">If you apply chemical pesticides and/or fungicides to control pests and diseases in your farm, how many applications do you apply on average per year? </t>
  </si>
  <si>
    <t>Do you plant shade trees and/or fruit trees in your coffee plots? If the answer is NO, go to question 7600.</t>
  </si>
  <si>
    <t>Nespresso</t>
  </si>
  <si>
    <t>How many adults live in your household, that are above 18 years (includinng the respondent)? Household members are those that stay more than three months per year within the same household and that 'eat from the same pot'.</t>
  </si>
  <si>
    <t>Nespresso AAA</t>
  </si>
  <si>
    <t xml:space="preserve">To which Hulling station/coop do you deliver your coffee (or is closest to you)? </t>
  </si>
  <si>
    <t>KINONI DRY MILL</t>
  </si>
  <si>
    <t>LUKAYA DRY MILL</t>
  </si>
  <si>
    <t>MATEETE DRY MILL</t>
  </si>
  <si>
    <t>BULENGE DRY MILL</t>
  </si>
  <si>
    <t>KIKOMA DRY MILL</t>
  </si>
  <si>
    <t>LWANDA FARMERS COOP</t>
  </si>
  <si>
    <t>KUSAKIMU-KATWADDE FARMERS COOP</t>
  </si>
  <si>
    <t>ST.KIZITO MOTHERS GROUP</t>
  </si>
  <si>
    <t>KALISIZO FARMERS COOP</t>
  </si>
  <si>
    <t xml:space="preserve">How many kilograms of FAQ (hulled coffee)  did you sell during the fly season?  </t>
  </si>
  <si>
    <t>What was the most common price per kilogram that you received for FAQ (hulled coffee) harvested in the fly season? (Ush)</t>
  </si>
  <si>
    <t xml:space="preserve">How many kilograms of Kiboko (dried cherries) did you sell during the fly season?  </t>
  </si>
  <si>
    <t xml:space="preserve">How many kilograms of fresh cherries did you sell during the fly season?  </t>
  </si>
  <si>
    <t>How many kilograms of FAQ (hulled coffee) did you sell during the main season?</t>
  </si>
  <si>
    <t>What was the most common price per kilogram that you received for the FAQ (hulled coffee) harvested in the main season? (Ush)</t>
  </si>
  <si>
    <t>What was the most common price per kilogram that you received for the fresh cherries harvested in the main season? (Ush)</t>
  </si>
  <si>
    <r>
      <t xml:space="preserve">Did you use </t>
    </r>
    <r>
      <rPr>
        <b/>
        <sz val="11"/>
        <color rgb="FFFF0000"/>
        <rFont val="Calibri"/>
        <family val="2"/>
        <scheme val="major"/>
      </rPr>
      <t>synthetic fertilizers</t>
    </r>
    <r>
      <rPr>
        <sz val="11"/>
        <color rgb="FFFF0000"/>
        <rFont val="Calibri"/>
        <family val="2"/>
        <scheme val="major"/>
      </rPr>
      <t xml:space="preserve"> for your coffee</t>
    </r>
    <r>
      <rPr>
        <b/>
        <sz val="11"/>
        <color rgb="FFFF0000"/>
        <rFont val="Calibri"/>
        <family val="2"/>
        <scheme val="major"/>
      </rPr>
      <t xml:space="preserve"> last year</t>
    </r>
    <r>
      <rPr>
        <sz val="11"/>
        <color rgb="FFFF0000"/>
        <rFont val="Calibri"/>
        <family val="2"/>
        <scheme val="major"/>
      </rPr>
      <t>?</t>
    </r>
  </si>
  <si>
    <t>NPK 15-15-15</t>
  </si>
  <si>
    <t>Grainpulse coffee (NPK 16-2-31)</t>
  </si>
  <si>
    <t>Grainpulse coffee &lt;2 yr (NPK 19-11-22)</t>
  </si>
  <si>
    <t>Yara bela sulfan (24N 6S)</t>
  </si>
  <si>
    <t>NPK 25-5-5 S</t>
  </si>
  <si>
    <t>If yes, what was the type of animal manure, compost,  or organic fertilizer that you used second most last year? Please give the name of the type used. For instance cow manure or the brand name and type of organic fertilizer.</t>
  </si>
  <si>
    <t>Did you buy this manure/compost/organic fertilizer that you used second  most, or did it come from your own farm?</t>
  </si>
  <si>
    <t>If yes, what was the name of the pesticide/fungicide or herbicide that you used most, last year</t>
  </si>
  <si>
    <t>Did you hire any people to work on your coffee plots  for seasonal activities during the fly season, last year?</t>
  </si>
  <si>
    <t>If yes, what was the fly activity that you hired people for, during the fly season?</t>
  </si>
  <si>
    <t>If yes, how many days in total did you hire people for this fly activity, during the fly season? Number of days:</t>
  </si>
  <si>
    <t>If yes, every day, how many people would you hire most of the time for this fly activity, during the fly season? Number of people:</t>
  </si>
  <si>
    <t>Did you hire any people to work on your coffee plots  for seasonal activities during the main season, last year?</t>
  </si>
  <si>
    <t xml:space="preserve">If yes, what subscription fee did you pay per year, in total (Ugx)? </t>
  </si>
  <si>
    <t>Elite</t>
  </si>
  <si>
    <t>Cuttings (clonal)</t>
  </si>
  <si>
    <t>Did you organize the transport to the hulling station yourselves last year?</t>
  </si>
  <si>
    <t xml:space="preserve">How many of the riparian areas in your coffee plots are covered/protected with natural vegetation </t>
  </si>
  <si>
    <t>What the describes the soil type best in the coffee plot of the farmer (please observe your self)</t>
  </si>
  <si>
    <t>Nestle_Selecta</t>
  </si>
  <si>
    <t xml:space="preserve">To which intermediary do you deliver your coffee (or is closest to you)? </t>
  </si>
  <si>
    <t>CAN (Lamdong)</t>
  </si>
  <si>
    <t>Gia Lai Huyen Phat One Member Limited Company</t>
  </si>
  <si>
    <t>PHUC VAN LOC (Lamdong)</t>
  </si>
  <si>
    <t>LY THANH (Lamdong)</t>
  </si>
  <si>
    <t>SON HUYEN PHAT (Gai Lai)</t>
  </si>
  <si>
    <t>Others</t>
  </si>
  <si>
    <t>If no, how many coffee plots are there that we can not visit, of the total coffee plots that you have?</t>
  </si>
  <si>
    <t>If no, what is the total area of these other plots with coffee that we can not visit, in hectares?</t>
  </si>
  <si>
    <t>What is the name and formula of the synthetic fertilizer that you used most, in terms of total volume, last year? Please describe the name and formula as complete as possible.</t>
  </si>
  <si>
    <t>What was the total amount that you used last year, of the  synthetic fertilizer  type that you used most?</t>
  </si>
  <si>
    <r>
      <t xml:space="preserve">What was the unit of the  synthetic fertilizer  type that you used most? (kg, </t>
    </r>
    <r>
      <rPr>
        <strike/>
        <sz val="11"/>
        <color rgb="FF000000"/>
        <rFont val="Calibri"/>
        <family val="2"/>
        <scheme val="major"/>
      </rPr>
      <t>liters</t>
    </r>
    <r>
      <rPr>
        <sz val="11"/>
        <color rgb="FF000000"/>
        <rFont val="Calibri"/>
        <family val="2"/>
        <scheme val="major"/>
      </rPr>
      <t>)</t>
    </r>
  </si>
  <si>
    <t>What is the name and formula of the synthetic fertilizer that you used second most, in terms of total volume, last year? Please describe the name and formula as complete as possible.</t>
  </si>
  <si>
    <t>What was the total amount that you used last year, of the synthetic fertilizer type that you used second most?</t>
  </si>
  <si>
    <r>
      <t xml:space="preserve">What was the unit of the  synthetic fertilizer  type that you used second most ? (kg, </t>
    </r>
    <r>
      <rPr>
        <strike/>
        <sz val="11"/>
        <color rgb="FF000000"/>
        <rFont val="Calibri"/>
        <family val="2"/>
        <scheme val="major"/>
      </rPr>
      <t>liters</t>
    </r>
    <r>
      <rPr>
        <sz val="11"/>
        <color rgb="FF000000"/>
        <rFont val="Calibri"/>
        <family val="2"/>
        <scheme val="major"/>
      </rPr>
      <t>)</t>
    </r>
  </si>
  <si>
    <t>What is the name and formula of the synthetic fertilizer that you used third most, in terms of total volume, last year? Please describe the name and formula as complete as possible.</t>
  </si>
  <si>
    <t>What was the total amount that you used last year, of the synthetic fertilizer type that you used third most?</t>
  </si>
  <si>
    <r>
      <t xml:space="preserve">What was the unit of the  synthetic fertilizer  type that you used  third most ? (kg, </t>
    </r>
    <r>
      <rPr>
        <strike/>
        <sz val="11"/>
        <color rgb="FF000000"/>
        <rFont val="Calibri"/>
        <family val="2"/>
        <scheme val="major"/>
      </rPr>
      <t>liters</t>
    </r>
    <r>
      <rPr>
        <sz val="11"/>
        <color rgb="FF000000"/>
        <rFont val="Calibri"/>
        <family val="2"/>
        <scheme val="major"/>
      </rPr>
      <t>)</t>
    </r>
  </si>
  <si>
    <t>What is the name and formula of the synthetic fertilizer that you used fourth most, in terms of total volume, last year? Please describe the name and formula as complete as possible.</t>
  </si>
  <si>
    <t>What was the total amount that you used last year, of the synthetic fertilizer type that you used fourth most?</t>
  </si>
  <si>
    <r>
      <t>What was the unit of the  synthetic fertilizer  type that you used fourth most ? (</t>
    </r>
    <r>
      <rPr>
        <strike/>
        <sz val="11"/>
        <color rgb="FF000000"/>
        <rFont val="Calibri"/>
        <family val="2"/>
        <scheme val="major"/>
      </rPr>
      <t>bags</t>
    </r>
    <r>
      <rPr>
        <sz val="11"/>
        <color rgb="FF000000"/>
        <rFont val="Calibri"/>
        <family val="2"/>
        <scheme val="major"/>
      </rPr>
      <t>, kg)</t>
    </r>
  </si>
  <si>
    <r>
      <rPr>
        <sz val="11"/>
        <color rgb="FF000000"/>
        <rFont val="Calibri"/>
        <family val="2"/>
        <scheme val="major"/>
      </rPr>
      <t>What was the unit of the other synthetic fertilizer ? (</t>
    </r>
    <r>
      <rPr>
        <strike/>
        <sz val="11"/>
        <color rgb="FF000000"/>
        <rFont val="Calibri"/>
        <family val="2"/>
        <scheme val="major"/>
      </rPr>
      <t>bags</t>
    </r>
    <r>
      <rPr>
        <sz val="11"/>
        <color rgb="FF000000"/>
        <rFont val="Calibri"/>
        <family val="2"/>
        <scheme val="major"/>
      </rPr>
      <t>, kg)</t>
    </r>
  </si>
  <si>
    <r>
      <t xml:space="preserve">What was the unit of this type of animal manure/compost/organic fertilizer that you used most (kg, </t>
    </r>
    <r>
      <rPr>
        <strike/>
        <sz val="11"/>
        <color rgb="FF000000"/>
        <rFont val="Calibri"/>
        <family val="2"/>
        <scheme val="major"/>
      </rPr>
      <t>basins, 50 kg bags, wheel barrows, small truck/tipper, large truck</t>
    </r>
    <r>
      <rPr>
        <sz val="11"/>
        <color rgb="FF000000"/>
        <rFont val="Calibri"/>
        <family val="2"/>
        <scheme val="major"/>
      </rPr>
      <t>)?</t>
    </r>
  </si>
  <si>
    <r>
      <t xml:space="preserve">What was the unit of this type of animal manure/compost/organic fertilizer that you used second most (kg, </t>
    </r>
    <r>
      <rPr>
        <strike/>
        <sz val="11"/>
        <color rgb="FF000000"/>
        <rFont val="Calibri"/>
        <family val="2"/>
        <scheme val="major"/>
      </rPr>
      <t>basins, 50 kg bags, wheel barrows, small truck/tipper, large truck</t>
    </r>
    <r>
      <rPr>
        <sz val="11"/>
        <color rgb="FF000000"/>
        <rFont val="Calibri"/>
        <family val="2"/>
        <scheme val="major"/>
      </rPr>
      <t>)?</t>
    </r>
  </si>
  <si>
    <t>What was the total quantity of mulch that you used in Kg?</t>
  </si>
  <si>
    <r>
      <t xml:space="preserve">What was the unit, for the mulch used (kg, </t>
    </r>
    <r>
      <rPr>
        <strike/>
        <sz val="11"/>
        <color rgb="FF000000"/>
        <rFont val="Calibri"/>
        <family val="2"/>
        <scheme val="major"/>
      </rPr>
      <t>basins, bags, wheel barrows, small truck/tipper, large truck</t>
    </r>
    <r>
      <rPr>
        <sz val="11"/>
        <color rgb="FF000000"/>
        <rFont val="Calibri"/>
        <family val="2"/>
        <scheme val="major"/>
      </rPr>
      <t>)</t>
    </r>
  </si>
  <si>
    <t>Did you hire any permanent laborer's, for your coffee plots, last year? (permanent laborer's are laborer's that you hire for the full year)</t>
  </si>
  <si>
    <t>Did you hire any people to work on your coffee plots  last year? (day to day laborers are those laborers that you hire for peek labour demands, for instance for harvesting)</t>
  </si>
  <si>
    <t>If yes, what was the main activities that you hired people for, for day to day activities last year?</t>
  </si>
  <si>
    <t>Did you use any money loan for coffee cultivation last year? This can be money loans as well as input loans.</t>
  </si>
  <si>
    <t>If yes, how did you have to pay for this? In cash or in cofee? Or otherwise, please explain</t>
  </si>
  <si>
    <t>TR4</t>
  </si>
  <si>
    <t>TR9</t>
  </si>
  <si>
    <t>Thien Truong</t>
  </si>
  <si>
    <t>Xanh Lun</t>
  </si>
  <si>
    <t>Old varieties</t>
  </si>
  <si>
    <t>Didt you organize the transport to the hulling station (intermediary) yourselves last year?</t>
  </si>
  <si>
    <t>For each of the sources of income that you have, please estimate the importance in terms of income for last year, as compared to the total household income. (next questions)</t>
  </si>
  <si>
    <r>
      <t xml:space="preserve">Did you use chemical pesticides and/or fungicides last year (also check with the answers in questions </t>
    </r>
    <r>
      <rPr>
        <strike/>
        <sz val="11"/>
        <color rgb="FFFF0000"/>
        <rFont val="Calibri"/>
        <family val="2"/>
        <scheme val="major"/>
      </rPr>
      <t xml:space="preserve">23-25 </t>
    </r>
    <r>
      <rPr>
        <sz val="11"/>
        <color rgb="FFFF0000"/>
        <rFont val="Calibri"/>
        <family val="2"/>
        <scheme val="major"/>
      </rPr>
      <t>5610-5630)?</t>
    </r>
  </si>
  <si>
    <r>
      <t xml:space="preserve">Did you use herbicides last year (also check with the answers in questions </t>
    </r>
    <r>
      <rPr>
        <strike/>
        <sz val="11"/>
        <color rgb="FFFF0000"/>
        <rFont val="Calibri"/>
        <family val="2"/>
        <scheme val="major"/>
      </rPr>
      <t>23-25</t>
    </r>
    <r>
      <rPr>
        <sz val="11"/>
        <color rgb="FFFF0000"/>
        <rFont val="Calibri"/>
        <family val="2"/>
        <scheme val="major"/>
      </rPr>
      <t xml:space="preserve"> 5610-5630)?</t>
    </r>
  </si>
  <si>
    <t>Did you use electricity in any process in your coffee farming last year?</t>
  </si>
  <si>
    <t>If yes, what is the source of this electricity?</t>
  </si>
  <si>
    <t>Was all of this electricity used for coffee processing, or also part for other usage? Can you estimate what proportion of this electricity bill was used for coffee processing?</t>
  </si>
  <si>
    <r>
      <rPr>
        <sz val="12"/>
        <color rgb="FF000000"/>
        <rFont val="Calibri"/>
        <family val="2"/>
        <scheme val="minor"/>
      </rPr>
      <t>How many adults live in your household, that are above 18 years (</t>
    </r>
    <r>
      <rPr>
        <b/>
        <sz val="12"/>
        <color rgb="FF000000"/>
        <rFont val="Calibri"/>
        <family val="2"/>
        <scheme val="minor"/>
      </rPr>
      <t>including the respondent</t>
    </r>
    <r>
      <rPr>
        <sz val="12"/>
        <color rgb="FF000000"/>
        <rFont val="Calibri"/>
        <family val="2"/>
        <scheme val="minor"/>
      </rPr>
      <t>)? Household members are those that stay more than three months per year within the same household and that 'eat from the same pot'.</t>
    </r>
  </si>
  <si>
    <t>What was the most common price per kilogram that you received for the fresh cherries harvested in the fly season (Dara Mwaka)? (KSh)</t>
  </si>
  <si>
    <t>What was the most common price per kilogram that you received for Mbuni (dried cherries) harvested in the fly season (Dara Mwaka)? (KSh)</t>
  </si>
  <si>
    <t>What was the most common price per kilogram that you received for fresh cherries harvested in the main season (Kimera)? (KSh)</t>
  </si>
  <si>
    <t>What was the most common price per kilogram that you received for Mbuni (dried cherries) harvested in the main season (Kimera)? (KSh)</t>
  </si>
  <si>
    <r>
      <t xml:space="preserve">What is the name of the </t>
    </r>
    <r>
      <rPr>
        <b/>
        <sz val="12"/>
        <color rgb="FF000000"/>
        <rFont val="Calibri"/>
        <family val="2"/>
        <scheme val="minor"/>
      </rPr>
      <t>synthetic fertilizer</t>
    </r>
    <r>
      <rPr>
        <sz val="12"/>
        <color rgb="FF000000"/>
        <rFont val="Calibri"/>
        <family val="2"/>
        <scheme val="minor"/>
      </rPr>
      <t xml:space="preserve"> that you used </t>
    </r>
    <r>
      <rPr>
        <b/>
        <sz val="12"/>
        <color rgb="FF000000"/>
        <rFont val="Calibri"/>
        <family val="2"/>
        <scheme val="minor"/>
      </rPr>
      <t>most</t>
    </r>
    <r>
      <rPr>
        <sz val="12"/>
        <color rgb="FF000000"/>
        <rFont val="Calibri"/>
        <family val="2"/>
        <scheme val="minor"/>
      </rPr>
      <t xml:space="preserve">, last year? </t>
    </r>
  </si>
  <si>
    <t>NPK 26-6-12 - "special"</t>
  </si>
  <si>
    <t>Lavender NPK 24:24:18</t>
  </si>
  <si>
    <t>NPK 22:22:12</t>
  </si>
  <si>
    <t>NPK 12:18:14</t>
  </si>
  <si>
    <t>NPK 20:20:10+Te</t>
  </si>
  <si>
    <t>NPK 14:13:18+Te</t>
  </si>
  <si>
    <t>Zinc Boron</t>
  </si>
  <si>
    <t>OMEX</t>
  </si>
  <si>
    <r>
      <t xml:space="preserve">What is the name of the </t>
    </r>
    <r>
      <rPr>
        <b/>
        <sz val="12"/>
        <color rgb="FF000000"/>
        <rFont val="Calibri"/>
        <family val="2"/>
        <scheme val="minor"/>
      </rPr>
      <t>synthetic fertilizer</t>
    </r>
    <r>
      <rPr>
        <sz val="12"/>
        <color rgb="FF000000"/>
        <rFont val="Calibri"/>
        <family val="2"/>
        <scheme val="minor"/>
      </rPr>
      <t xml:space="preserve"> that you used </t>
    </r>
    <r>
      <rPr>
        <b/>
        <sz val="12"/>
        <color rgb="FF000000"/>
        <rFont val="Calibri"/>
        <family val="2"/>
        <scheme val="minor"/>
      </rPr>
      <t>second most</t>
    </r>
    <r>
      <rPr>
        <sz val="12"/>
        <color rgb="FF000000"/>
        <rFont val="Calibri"/>
        <family val="2"/>
        <scheme val="minor"/>
      </rPr>
      <t>, last year?</t>
    </r>
  </si>
  <si>
    <r>
      <t xml:space="preserve">What is the name of the synthetic fertilizer that you used </t>
    </r>
    <r>
      <rPr>
        <b/>
        <sz val="12"/>
        <color rgb="FF000000"/>
        <rFont val="Calibri"/>
        <family val="2"/>
        <scheme val="minor"/>
      </rPr>
      <t>third most</t>
    </r>
    <r>
      <rPr>
        <sz val="12"/>
        <color rgb="FF000000"/>
        <rFont val="Calibri"/>
        <family val="2"/>
        <scheme val="minor"/>
      </rPr>
      <t>, last year?</t>
    </r>
  </si>
  <si>
    <t>What was the total quantity that you used last year, of the synthetic fertilizer type that you used third most, in kg?</t>
  </si>
  <si>
    <t>Please ensure that the answer reported in question 5121 is in kg.</t>
  </si>
  <si>
    <t>Did you use Limestone or Dolomitic Limestone (Dolomite) last year?</t>
  </si>
  <si>
    <t>Limestone</t>
  </si>
  <si>
    <t>Dolomitic Limestone (Dolomite)</t>
  </si>
  <si>
    <t>What was the total quantity that you used last year, of the Limestone or Dolomitic Limestone (Dolomite)?</t>
  </si>
  <si>
    <r>
      <t xml:space="preserve">If yes, what was the type of animal manure, compost, or </t>
    </r>
    <r>
      <rPr>
        <b/>
        <sz val="12"/>
        <color rgb="FFFF0000"/>
        <rFont val="Calibri"/>
        <family val="2"/>
        <scheme val="minor"/>
      </rPr>
      <t>organic fertilizer</t>
    </r>
    <r>
      <rPr>
        <sz val="12"/>
        <color rgb="FFFF0000"/>
        <rFont val="Calibri"/>
        <family val="2"/>
        <scheme val="minor"/>
      </rPr>
      <t xml:space="preserve"> that you </t>
    </r>
    <r>
      <rPr>
        <b/>
        <sz val="12"/>
        <color rgb="FFFF0000"/>
        <rFont val="Calibri"/>
        <family val="2"/>
        <scheme val="minor"/>
      </rPr>
      <t>used most</t>
    </r>
    <r>
      <rPr>
        <sz val="12"/>
        <color rgb="FFFF0000"/>
        <rFont val="Calibri"/>
        <family val="2"/>
        <scheme val="minor"/>
      </rPr>
      <t xml:space="preserve"> last year?</t>
    </r>
  </si>
  <si>
    <t xml:space="preserve">"Coffee-related organic fertilizer" received from CWSs/Mills </t>
  </si>
  <si>
    <t>Commercial organic fertilizer</t>
  </si>
  <si>
    <t>Organic manure sheep</t>
  </si>
  <si>
    <t>Organic manure poultry</t>
  </si>
  <si>
    <t>Organic manure horse</t>
  </si>
  <si>
    <t>Organic manure swine</t>
  </si>
  <si>
    <t>Goat manure mixed with grass</t>
  </si>
  <si>
    <t>Composted from rubbish</t>
  </si>
  <si>
    <t>Organic manure cattle</t>
  </si>
  <si>
    <t>What was the total quantity of this type of animal manure/compost/organic fertilizer that you used most, in kg?</t>
  </si>
  <si>
    <t>Please ensure that the answer reported in question 5402 is in kg.</t>
  </si>
  <si>
    <r>
      <t xml:space="preserve">Was there a second type of animal manure, compost, or </t>
    </r>
    <r>
      <rPr>
        <b/>
        <sz val="12"/>
        <color rgb="FFFF0000"/>
        <rFont val="Calibri"/>
        <family val="2"/>
        <scheme val="minor"/>
      </rPr>
      <t xml:space="preserve">organic fertilizer </t>
    </r>
    <r>
      <rPr>
        <sz val="12"/>
        <color rgb="FFFF0000"/>
        <rFont val="Calibri"/>
        <family val="2"/>
        <scheme val="minor"/>
      </rPr>
      <t xml:space="preserve">and if yes, what was the type of this </t>
    </r>
    <r>
      <rPr>
        <b/>
        <sz val="12"/>
        <color rgb="FFFF0000"/>
        <rFont val="Calibri"/>
        <family val="2"/>
        <scheme val="minor"/>
      </rPr>
      <t>second most used</t>
    </r>
    <r>
      <rPr>
        <sz val="12"/>
        <color rgb="FFFF0000"/>
        <rFont val="Calibri"/>
        <family val="2"/>
        <scheme val="minor"/>
      </rPr>
      <t xml:space="preserve"> manure/compost/organic fertilizer last year? </t>
    </r>
  </si>
  <si>
    <t>What was the total quantity of this type of animal manure/compost/organic fertilizer that you used second most, in kg?</t>
  </si>
  <si>
    <t>Please ensure that the answer reported in question 5411 is in kg.</t>
  </si>
  <si>
    <r>
      <t xml:space="preserve">Did you apply any type of </t>
    </r>
    <r>
      <rPr>
        <b/>
        <sz val="12"/>
        <color rgb="FFFF0000"/>
        <rFont val="Calibri"/>
        <family val="2"/>
        <scheme val="minor"/>
      </rPr>
      <t>mulch</t>
    </r>
    <r>
      <rPr>
        <sz val="12"/>
        <color rgb="FFFF0000"/>
        <rFont val="Calibri"/>
        <family val="2"/>
        <scheme val="minor"/>
      </rPr>
      <t xml:space="preserve"> on your coffee last year?</t>
    </r>
  </si>
  <si>
    <t>Crop residues (e.g., maize stalks, bean husks)</t>
  </si>
  <si>
    <t>Tree leaves and branches (e.g., pruned branches, dry leaves, twigs)</t>
  </si>
  <si>
    <t>Grasses (e.g., Napier grass, lawn clippings)</t>
  </si>
  <si>
    <t>Please ensure that the answer reported in question 5502 is in kg.</t>
  </si>
  <si>
    <t>90kg bag</t>
  </si>
  <si>
    <r>
      <rPr>
        <sz val="12"/>
        <color rgb="FFFF0000"/>
        <rFont val="Calibri"/>
        <family val="2"/>
        <scheme val="minor"/>
      </rPr>
      <t xml:space="preserve">Did you use pesticides, fungicides or herbicides for your coffee last </t>
    </r>
    <r>
      <rPr>
        <sz val="11"/>
        <color rgb="FFFF0000"/>
        <rFont val="Calibri"/>
        <family val="2"/>
        <scheme val="major"/>
      </rPr>
      <t>year?</t>
    </r>
  </si>
  <si>
    <r>
      <rPr>
        <sz val="12"/>
        <color rgb="FF000000"/>
        <rFont val="Calibri"/>
        <family val="2"/>
        <scheme val="minor"/>
      </rPr>
      <t xml:space="preserve">If yes, what was the name of the </t>
    </r>
    <r>
      <rPr>
        <b/>
        <sz val="12"/>
        <color rgb="FF000000"/>
        <rFont val="Calibri"/>
        <family val="2"/>
        <scheme val="minor"/>
      </rPr>
      <t>pesticide/fungicide or herbicide that you used most</t>
    </r>
    <r>
      <rPr>
        <sz val="12"/>
        <color rgb="FF000000"/>
        <rFont val="Calibri"/>
        <family val="2"/>
        <scheme val="minor"/>
      </rPr>
      <t>, last year?</t>
    </r>
  </si>
  <si>
    <r>
      <rPr>
        <sz val="12"/>
        <color rgb="FF000000"/>
        <rFont val="Calibri"/>
        <family val="2"/>
        <scheme val="minor"/>
      </rPr>
      <t xml:space="preserve">If yes, what was the name of the </t>
    </r>
    <r>
      <rPr>
        <b/>
        <sz val="12"/>
        <color rgb="FF000000"/>
        <rFont val="Calibri"/>
        <family val="2"/>
        <scheme val="minor"/>
      </rPr>
      <t>second most used pesticide/ fungicide/herbicide</t>
    </r>
    <r>
      <rPr>
        <sz val="12"/>
        <color rgb="FF000000"/>
        <rFont val="Calibri"/>
        <family val="2"/>
        <scheme val="minor"/>
      </rPr>
      <t xml:space="preserve"> used last year?</t>
    </r>
  </si>
  <si>
    <r>
      <rPr>
        <sz val="12"/>
        <color rgb="FF000000"/>
        <rFont val="Calibri"/>
        <family val="2"/>
        <scheme val="minor"/>
      </rPr>
      <t xml:space="preserve">If yes, what was the name of the </t>
    </r>
    <r>
      <rPr>
        <b/>
        <sz val="12"/>
        <color rgb="FF000000"/>
        <rFont val="Calibri"/>
        <family val="2"/>
        <scheme val="minor"/>
      </rPr>
      <t>third most used pesticide/ fungicide/herbicide</t>
    </r>
    <r>
      <rPr>
        <sz val="12"/>
        <color rgb="FF000000"/>
        <rFont val="Calibri"/>
        <family val="2"/>
        <scheme val="minor"/>
      </rPr>
      <t xml:space="preserve"> used last year?</t>
    </r>
  </si>
  <si>
    <t>If yes, what were the activities that you hired people for, during the fly season?</t>
  </si>
  <si>
    <t>If yes, how many days in total did you hire people for these activities, during the fly season?</t>
  </si>
  <si>
    <t>If yes, how many people did you typically hire per day for this main activity during fly season?</t>
  </si>
  <si>
    <t>If yes, what were the activities that you hired people for, during the main season?</t>
  </si>
  <si>
    <t>If yes, how many days in total did you hire people for these activities, during the main season?</t>
  </si>
  <si>
    <t>If yes, how many people did you typically hire per day for these  activities during main season?</t>
  </si>
  <si>
    <t>Did you use any monetary loan for coffee activities last year?</t>
  </si>
  <si>
    <t>Cash</t>
  </si>
  <si>
    <t>Cherries</t>
  </si>
  <si>
    <t>If yes, can you estimate what the total loan was, that you took last year (KSh)</t>
  </si>
  <si>
    <t>If yes, can you estimate how much you had to repay, in total, for the loan last year, including interest (KSh)?</t>
  </si>
  <si>
    <t>Did you buy coffee seedlings last year?</t>
  </si>
  <si>
    <t>No-mainly received for free</t>
  </si>
  <si>
    <t>No-Mainly produced on farm</t>
  </si>
  <si>
    <t>If yes, in general what were the costs per trip (the costs you make yourself, or what you pay to someone to do the transport for you)? (KSh)</t>
  </si>
  <si>
    <t>For each of the sources of income that you have, please estimate the importance in terms of income for last year, as compared to the total household income! (next questions)</t>
  </si>
  <si>
    <t>Do you irrigate your coffee crop and if yes, what irrigation system/s do you use? If the answer is NO, you do not need to answer the next question</t>
  </si>
  <si>
    <t>Are you implementing a plan to renovate/rehabilitate the coffee trees of your coffee plots? e.g. stumping, partial stumping, capping, side pruning, uprooting and replanting, uprooting and planting new trees, or a mix of systems. If the answer is NO, you do not need to answer the next 2 questions</t>
  </si>
  <si>
    <t>What % or proportion over the total number of tress of the cultivated area is planted with the main variety?
Or What % or proportion over the total number of trees of the cultivated area is planted with the main variety?</t>
  </si>
  <si>
    <t>Karambi</t>
  </si>
  <si>
    <t>Rwinyoni</t>
  </si>
  <si>
    <t xml:space="preserve">What is the name of the synthetic fertilizer that you used most, last year? </t>
  </si>
  <si>
    <t>Yara Mila Java (NPK 22:6:12)</t>
  </si>
  <si>
    <t>Kg</t>
  </si>
  <si>
    <t>What is the name of the synthetic fertilizer that you used second most, last year?</t>
  </si>
  <si>
    <t>If yes, what was the type of animal manure, compost, or organic fertilizer that you used most last year?</t>
  </si>
  <si>
    <t>If yes, what were the activities that you hired people for during last season?</t>
  </si>
  <si>
    <t>If yes, how many days in total did you hire people for these activities, during last season?</t>
  </si>
  <si>
    <t>If yes, how many people did you typically hire per day for these activities during last season?</t>
  </si>
  <si>
    <t>What % or proportion over the total number of trees of the cultivated area is planted with the main variety?</t>
  </si>
  <si>
    <t>Brazil</t>
  </si>
  <si>
    <t>1214</t>
  </si>
  <si>
    <t>Declared area (ha)</t>
  </si>
  <si>
    <t>How many kilograms of green beans did you sell last season (previous 12 months)?</t>
  </si>
  <si>
    <t>4105</t>
  </si>
  <si>
    <t>What is the total area of these other plots with coffee that we can not visit, in hectares?</t>
  </si>
  <si>
    <t>What is the name of the synthetic fertilizer that you used most, last year?</t>
  </si>
  <si>
    <t>What is the name of the synthetic fertilizer that you used third most, last year?</t>
  </si>
  <si>
    <t>What is the name of the synthetic fertilizer that you used fourth most, last year?</t>
  </si>
  <si>
    <t>What was the total quantity that you used last year, of the synthetic fertilizer type that you used fourth most, in kg?</t>
  </si>
  <si>
    <t>What was the total quantity that you used last year, of the Limestone or Dolomitic Limestone (Dolomite), in kg?</t>
  </si>
  <si>
    <t xml:space="preserve">If yes, what was the type of animal manure, compost, or organic fertilizer that you used most last year? </t>
  </si>
  <si>
    <t>Coffee-related organic fertilizer</t>
  </si>
  <si>
    <t>How did you get this manure/compost/organic fertilizer that you used most? For example: bought from outside, took from your own farm, or received for free?</t>
  </si>
  <si>
    <t>How did you get this manure/compost/organic fertilizer that you used second most? For example: bought from outside, took from your own farm, or received for free?</t>
  </si>
  <si>
    <t>What was the total quantity of mulch that you used in,kg?</t>
  </si>
  <si>
    <t>Do you apply chemical PPPs (plant protection products) like pesticides/fungicides/nematicides in your coffee crop, and how  any different active ingredients per crop season? If the answer is NO, you do not need to answer the next 6 questions</t>
  </si>
  <si>
    <t>Yes / 1-3 active ingredients</t>
  </si>
  <si>
    <t>Yes / 4-5 active ingredients</t>
  </si>
  <si>
    <t>Yes / &gt; 5 active ingredients</t>
  </si>
  <si>
    <t>7246</t>
  </si>
  <si>
    <t>If yes, list the names of all the pesticides and/or fungicides that you used, last year.</t>
  </si>
  <si>
    <t>If you apply chemical PPPs, are you aware of the IPM-Integrated Pest Management concept and practices (e.g. pest-disease identification and monitoring, right moment for control, use of a combination of biological, cultural, physical/mechanical and chemical tools to prevent and control)?</t>
  </si>
  <si>
    <t>If you apply chemical PPPs, do you apply IPM principles and practices to prevent and control pest &amp; diseases and reduce the use of chemical PPPs?</t>
  </si>
  <si>
    <t>If you apply chemical PPPs, can you prove/show that all are locally authorized for coffee (e.g. coffee is in the product label), and that you respect the recommended dose and post-harvest intervals of the label of the product?</t>
  </si>
  <si>
    <t>If you apply chemical PPPs to control pests and diseases in your farm, how many applications do you apply on average per year?</t>
  </si>
  <si>
    <t>Have you decreased or increased the number of chemical PPPs in the last 3 years, and what was the main reason for that? e.g. increase due to more pest/disease pressure, resistance to PPPs, adverse weather conditions…</t>
  </si>
  <si>
    <t>Do you apply chemical herbicides to your coffee crop and how many (different active ingredients) per crop season? If the answer is NO, you do not need to answer the next 2 questions</t>
  </si>
  <si>
    <t>If yes, list the names of all the herbicides that you used, last year.</t>
  </si>
  <si>
    <t>If applying herbicides, to which % of area of the coffee plots? e.g. if the coffee area is 1 hectare and herbicides are sprayed to only 0.5 hectare (where there is high weed pressure), then it is 50%</t>
  </si>
  <si>
    <t>Do you plant shade trees and/or fruit trees in your coffee plots?</t>
  </si>
  <si>
    <t>If local grid or sollar power, how much was your average monthly electricity bill last year, in local currency?</t>
  </si>
  <si>
    <t>Burundi</t>
  </si>
  <si>
    <t>IKAWA RES PROJECT</t>
  </si>
  <si>
    <t xml:space="preserve">To which washing station do you deliver your coffee (or is closest to you)? </t>
  </si>
  <si>
    <t>What was the most common price per kilogram that you received for the fresh cherries harvested in the last season (BIF)?</t>
  </si>
  <si>
    <t>If yes, can you estimate what the total loan was, that you took last year (BIF)</t>
  </si>
  <si>
    <t>If yes, can you estimate how much you had to repay, in total, for the loan last year, including interest (BIF)</t>
  </si>
  <si>
    <t xml:space="preserve">questions </t>
  </si>
  <si>
    <t>note for answer</t>
  </si>
  <si>
    <t>note for question</t>
  </si>
  <si>
    <t>answer</t>
  </si>
  <si>
    <t>. 'Coffee-related organic fertilizer' includes composted or non-composted coffee pulp/husk 
. 'Commercial organic fertilizer' is: 
- animal manure which has undergone any types of processing/composting... 
- or other products apart from manure, like for instance agricultural/market/food waste (e.g. KOMIX 3/2/2 made of coffee grounds-soyabean cake...)
. 'Organic manure...' is pure animal manure with no processing at all</t>
  </si>
  <si>
    <t>residue management</t>
  </si>
  <si>
    <r>
      <rPr>
        <sz val="9"/>
        <color rgb="FF333333"/>
        <rFont val="Segoe UI"/>
        <family val="2"/>
      </rPr>
      <t xml:space="preserve">Apply to coffee farms within the supply chain, </t>
    </r>
    <r>
      <rPr>
        <u/>
        <sz val="9"/>
        <color rgb="FF333333"/>
        <rFont val="Segoe UI"/>
        <family val="2"/>
      </rPr>
      <t>right after processing</t>
    </r>
    <r>
      <rPr>
        <sz val="9"/>
        <color rgb="FF333333"/>
        <rFont val="Segoe UI"/>
        <family val="2"/>
      </rPr>
      <t xml:space="preserve"> (e.g. after de-pulping in wet processing and after de-husking in dry processing) </t>
    </r>
    <r>
      <rPr>
        <b/>
        <u/>
        <sz val="9"/>
        <color rgb="FF333333"/>
        <rFont val="Segoe UI"/>
        <family val="2"/>
      </rPr>
      <t>without composting</t>
    </r>
  </si>
  <si>
    <r>
      <rPr>
        <sz val="12"/>
        <color rgb="FF000000"/>
        <rFont val="Calibri"/>
        <family val="2"/>
        <scheme val="minor"/>
      </rPr>
      <t xml:space="preserve">for </t>
    </r>
    <r>
      <rPr>
        <b/>
        <sz val="12"/>
        <color rgb="FF000000"/>
        <rFont val="Calibri"/>
        <family val="2"/>
        <scheme val="minor"/>
      </rPr>
      <t xml:space="preserve">Brazil Semeia
</t>
    </r>
    <r>
      <rPr>
        <sz val="12"/>
        <color rgb="FF000000"/>
        <rFont val="Calibri"/>
        <family val="2"/>
        <scheme val="minor"/>
      </rPr>
      <t>. '</t>
    </r>
    <r>
      <rPr>
        <b/>
        <sz val="12"/>
        <color rgb="FF000000"/>
        <rFont val="Calibri"/>
        <family val="2"/>
        <scheme val="minor"/>
      </rPr>
      <t xml:space="preserve">Commercial organic fertilizer' is: if there is compost but outsourced (whether is coffee or non-coffee related) or if in some cases there is in-farm coffee related compost
</t>
    </r>
    <r>
      <rPr>
        <sz val="12"/>
        <color rgb="FF000000"/>
        <rFont val="Calibri"/>
        <family val="2"/>
        <scheme val="minor"/>
      </rPr>
      <t>. 'Organic manure...' is pure animal manure with no processing at all</t>
    </r>
  </si>
  <si>
    <t>Isaac to Roots team &lt;&gt; to map a response from qn 5500 at qn 7100 --- both should have the same input data</t>
  </si>
  <si>
    <t>Isaac to Roots team &lt;&gt; to map a response from qn 5600 at qn 7240 --- both should have the same input data</t>
  </si>
  <si>
    <t>Isaac to add unit columns for all fertilisers reported in the standardized dataset--only one unit(kg)</t>
  </si>
  <si>
    <t>report production, inputs, for all plots owned by the farmer</t>
  </si>
  <si>
    <t>Isaac, Hue, develop IMPACT Progress data survey methodology/manaul</t>
  </si>
  <si>
    <t>IMPACT Progress Data Validation | Question validity</t>
  </si>
  <si>
    <t>Please consult with Isaac/Data responsibles before changing/adding anything in the below table</t>
  </si>
  <si>
    <t>Question numbering</t>
  </si>
  <si>
    <t>1st digit</t>
  </si>
  <si>
    <t>2nd digit</t>
  </si>
  <si>
    <t>3rd digit</t>
  </si>
  <si>
    <t>4th digit</t>
  </si>
  <si>
    <t>Group of survey questions</t>
  </si>
  <si>
    <t>Subgroup of the survey questions</t>
  </si>
  <si>
    <t>Question order, 0 for the first question of the subgroup, 1 for the second question and so on</t>
  </si>
  <si>
    <t>question_flag</t>
  </si>
  <si>
    <t>group_0_no</t>
  </si>
  <si>
    <t>subgroup_1_no</t>
  </si>
  <si>
    <t>subgroup_2_no</t>
  </si>
  <si>
    <t>order_no</t>
  </si>
  <si>
    <t>q_group</t>
  </si>
  <si>
    <t>is_duplicate</t>
  </si>
  <si>
    <t>1</t>
  </si>
  <si>
    <t>0</t>
  </si>
  <si>
    <t>survey_origin</t>
  </si>
  <si>
    <t>survey_coffee_type</t>
  </si>
  <si>
    <t>2</t>
  </si>
  <si>
    <t>survey_supply_chain</t>
  </si>
  <si>
    <t>3</t>
  </si>
  <si>
    <t>survey_year</t>
  </si>
  <si>
    <t>4</t>
  </si>
  <si>
    <t>survey_person_manager</t>
  </si>
  <si>
    <t>5</t>
  </si>
  <si>
    <t>survey_person_field_staff</t>
  </si>
  <si>
    <t>6</t>
  </si>
  <si>
    <t>survey_date_completion</t>
  </si>
  <si>
    <t>survey_person_review</t>
  </si>
  <si>
    <t>survey_date_review</t>
  </si>
  <si>
    <t>survey_reason_approved_or_rejected</t>
  </si>
  <si>
    <t>farmer_id</t>
  </si>
  <si>
    <t>farmer_name</t>
  </si>
  <si>
    <t>farmer_tag</t>
  </si>
  <si>
    <t>farmer_address</t>
  </si>
  <si>
    <t>farm_plot_name</t>
  </si>
  <si>
    <t>farm_plot_tags</t>
  </si>
  <si>
    <t>farm_declared_area_acre</t>
  </si>
  <si>
    <t>farm_audited_area_acre</t>
  </si>
  <si>
    <t>farm_declared_area_ha</t>
  </si>
  <si>
    <t>Audited area (ha)</t>
  </si>
  <si>
    <t>farm_audited_area_ha</t>
  </si>
  <si>
    <t>farm_coordinates</t>
  </si>
  <si>
    <t>farmer_name_interview</t>
  </si>
  <si>
    <t>farmer_gender</t>
  </si>
  <si>
    <t>household_type</t>
  </si>
  <si>
    <t>household_adult_count</t>
  </si>
  <si>
    <t>household_children_count</t>
  </si>
  <si>
    <t>farm_certification</t>
  </si>
  <si>
    <t>farm_certification_inception_date</t>
  </si>
  <si>
    <t>farm_related_sucafina_point</t>
  </si>
  <si>
    <t>coffee_types_sold_last_year</t>
  </si>
  <si>
    <t>sold_fresh_cherries_dry_season_quantity</t>
  </si>
  <si>
    <t>What was the most common price per kilogram that you received for the fresh cherries harvested in the fly season?</t>
  </si>
  <si>
    <t>sold_fresh_cherries_dry_season_price_per_quantity</t>
  </si>
  <si>
    <t>How many kilograms of hulled beans did you sell during the fly season?</t>
  </si>
  <si>
    <t>sold_hulled_beans_dry_season_quantity</t>
  </si>
  <si>
    <t>What was the most common price per kilogram that you received for hulled beans harvested in the fly season?</t>
  </si>
  <si>
    <t>sold_hulled_beans_dry_season_price_per_quantity</t>
  </si>
  <si>
    <t>How many kilograms of dried cherries did you sell during the fly season?</t>
  </si>
  <si>
    <t>sold_dried_cherries_dry_season_quantity</t>
  </si>
  <si>
    <t>What was the most common price per kilogram that you received for dried cherries harvested in the fly season?</t>
  </si>
  <si>
    <t>sold_dried_cherries_dry_season_price_per_quantity</t>
  </si>
  <si>
    <t>9</t>
  </si>
  <si>
    <t>8</t>
  </si>
  <si>
    <t>lost_cherries_dry_season_share</t>
  </si>
  <si>
    <t>lost_cherries_dry_season_reason</t>
  </si>
  <si>
    <t>sold_fresh_cherries_main_season_quantity</t>
  </si>
  <si>
    <t>What was the most common price per kilogram that you received for fresh cherries harvested in the main season?</t>
  </si>
  <si>
    <t>sold_fresh_cherries_main_season_price_per_quantity</t>
  </si>
  <si>
    <t>sold_hulled_beans_main_season_quantity</t>
  </si>
  <si>
    <t>What was the most common price per kilogram that you received for hulled beans harvested in the main season?</t>
  </si>
  <si>
    <t>sold_hulled_beans_main_season_price_per_quantity</t>
  </si>
  <si>
    <t>How many kilograms of dried cherries did you sell during the main season?</t>
  </si>
  <si>
    <t>sold_dried_cherries_main_season_quantity</t>
  </si>
  <si>
    <t>What was the most common price per kilogram that you received for dried cherries harvested in the main season?</t>
  </si>
  <si>
    <t>sold_dried_cherries_main_season_price_per_quantity</t>
  </si>
  <si>
    <t>lost_cherries_main_season_share</t>
  </si>
  <si>
    <t>lost_cherries_main_season_reason</t>
  </si>
  <si>
    <t>How many kilograms of fresh cherries did you sell last season(s) (previous 12 months)?</t>
  </si>
  <si>
    <t>sold_fresh_cherries_last_season_quantity</t>
  </si>
  <si>
    <t>What was the most common price per kilogram that you received for the fresh cherries harvested in the last season?</t>
  </si>
  <si>
    <t>sold_fresh_cherries_last_season_price_per_quantity</t>
  </si>
  <si>
    <t>sold_fresh_cherries_last_season_in_kind_quantity</t>
  </si>
  <si>
    <t>sold_green_beans_last_season_quantity</t>
  </si>
  <si>
    <t>What was the most common price per kilogram that you received for the green coffee harvested in the last season?</t>
  </si>
  <si>
    <t>sold_green_beans_last_season_price_per_quantity</t>
  </si>
  <si>
    <t>farm_coffee_plots_coffee_trees_count</t>
  </si>
  <si>
    <t>farm_coffee_plots_count</t>
  </si>
  <si>
    <t>farm_coffee_plots_polygon_map_possibility</t>
  </si>
  <si>
    <t>farm_coffee_plots_no_polygon_map_reason</t>
  </si>
  <si>
    <t>farm_coffee_plots_no_polygon_count</t>
  </si>
  <si>
    <t>farm_coffee_plots_no_polygon_size_acre</t>
  </si>
  <si>
    <t>farm_coffee_plots_no_polygon_size_ha</t>
  </si>
  <si>
    <t>synthetic_fertilizer_last_year_used</t>
  </si>
  <si>
    <t>synthetic_fertilizer_last_year_type_count</t>
  </si>
  <si>
    <r>
      <t xml:space="preserve">What is the name of the </t>
    </r>
    <r>
      <rPr>
        <b/>
        <sz val="12"/>
        <color rgb="FF000000"/>
        <rFont val="Calibri"/>
        <family val="2"/>
        <scheme val="minor"/>
      </rPr>
      <t>synthetic fertilizer</t>
    </r>
    <r>
      <rPr>
        <sz val="12"/>
        <color rgb="FF000000"/>
        <rFont val="Calibri"/>
        <family val="2"/>
        <scheme val="minor"/>
      </rPr>
      <t xml:space="preserve"> that you used </t>
    </r>
    <r>
      <rPr>
        <b/>
        <sz val="12"/>
        <color rgb="FF000000"/>
        <rFont val="Calibri"/>
        <family val="2"/>
        <scheme val="minor"/>
      </rPr>
      <t>most</t>
    </r>
    <r>
      <rPr>
        <sz val="12"/>
        <color rgb="FF000000"/>
        <rFont val="Calibri"/>
        <family val="2"/>
        <scheme val="minor"/>
      </rPr>
      <t>, last year?</t>
    </r>
  </si>
  <si>
    <t>synthetic_fertilizer_last_year_1_name</t>
  </si>
  <si>
    <t>synthetic_fertilizer_last_year_1_quantity</t>
  </si>
  <si>
    <t>synthetic_fertilizer_last_year_1_unit</t>
  </si>
  <si>
    <r>
      <rPr>
        <sz val="12"/>
        <color rgb="FF000000"/>
        <rFont val="Calibri"/>
        <family val="2"/>
        <scheme val="minor"/>
      </rPr>
      <t xml:space="preserve">What is the name of the synthetic fertilizer that you used </t>
    </r>
    <r>
      <rPr>
        <b/>
        <sz val="12"/>
        <color rgb="FF000000"/>
        <rFont val="Calibri"/>
        <family val="2"/>
        <scheme val="minor"/>
      </rPr>
      <t>second most</t>
    </r>
    <r>
      <rPr>
        <sz val="12"/>
        <color rgb="FF000000"/>
        <rFont val="Calibri"/>
        <family val="2"/>
        <scheme val="minor"/>
      </rPr>
      <t>, last year?</t>
    </r>
  </si>
  <si>
    <t>synthetic_fertilizer_last_year_2_name</t>
  </si>
  <si>
    <t>synthetic_fertilizer_last_year_2_quantity</t>
  </si>
  <si>
    <t>synthetic_fertilizer_last_year_2_unit</t>
  </si>
  <si>
    <t>synthetic_fertilizer_last_year_3_name</t>
  </si>
  <si>
    <t>synthetic_fertilizer_last_year_3_quantity</t>
  </si>
  <si>
    <t>What was the unit of the synthetic fertilizer type that you used third most ? (bags, kg)</t>
  </si>
  <si>
    <t>synthetic_fertilizer_last_year_3_unit</t>
  </si>
  <si>
    <r>
      <t xml:space="preserve">What is the name of the synthetic fertilizer that you used </t>
    </r>
    <r>
      <rPr>
        <b/>
        <sz val="12"/>
        <color rgb="FF000000"/>
        <rFont val="Calibri"/>
        <family val="2"/>
        <scheme val="minor"/>
      </rPr>
      <t>fourth most</t>
    </r>
    <r>
      <rPr>
        <sz val="12"/>
        <color rgb="FF000000"/>
        <rFont val="Calibri"/>
        <family val="2"/>
        <scheme val="minor"/>
      </rPr>
      <t>, last year?</t>
    </r>
  </si>
  <si>
    <t>synthetic_fertilizer_last_year_4_name</t>
  </si>
  <si>
    <t>synthetic_fertilizer_last_year_4_quantity</t>
  </si>
  <si>
    <t>What was the unit of the synthetic fertilizer type that you used fourth most ? (bags, kg)</t>
  </si>
  <si>
    <t>synthetic_fertilizer_last_year_4_unit</t>
  </si>
  <si>
    <r>
      <t xml:space="preserve">Did you use Limestone or Dolomitic Limestone (Dolomite) last year?
</t>
    </r>
    <r>
      <rPr>
        <strike/>
        <sz val="12"/>
        <color rgb="FF000000"/>
        <rFont val="Calibri"/>
        <family val="2"/>
        <scheme val="minor"/>
      </rPr>
      <t xml:space="preserve">Is there any </t>
    </r>
    <r>
      <rPr>
        <b/>
        <strike/>
        <sz val="12"/>
        <color rgb="FF000000"/>
        <rFont val="Calibri"/>
        <family val="2"/>
        <scheme val="minor"/>
      </rPr>
      <t>other type</t>
    </r>
    <r>
      <rPr>
        <strike/>
        <sz val="12"/>
        <color rgb="FF000000"/>
        <rFont val="Calibri"/>
        <family val="2"/>
        <scheme val="minor"/>
      </rPr>
      <t xml:space="preserve"> of synthetic fertilizer that you used last year? Please describe the name of this other fertilizer as complete as possible, including the NPK content or other nutrient contents.</t>
    </r>
  </si>
  <si>
    <t>synthetic_fertilizer_last_year_other_name</t>
  </si>
  <si>
    <t>synthetic_fertilizer_last_year_other_quantity</t>
  </si>
  <si>
    <r>
      <rPr>
        <sz val="12"/>
        <color rgb="FF000000"/>
        <rFont val="Calibri"/>
        <family val="2"/>
        <scheme val="minor"/>
      </rPr>
      <t xml:space="preserve">What was the unit of the Limestone or Dolomitic Limestone (Dolomite) </t>
    </r>
    <r>
      <rPr>
        <strike/>
        <sz val="12"/>
        <color rgb="FF000000"/>
        <rFont val="Calibri"/>
        <family val="2"/>
        <scheme val="minor"/>
      </rPr>
      <t xml:space="preserve">other synthetic fertilizer </t>
    </r>
    <r>
      <rPr>
        <sz val="12"/>
        <color rgb="FF000000"/>
        <rFont val="Calibri"/>
        <family val="2"/>
        <scheme val="minor"/>
      </rPr>
      <t>? (bags, kg)</t>
    </r>
  </si>
  <si>
    <t>synthetic_fertilizer_last_year_other_unit</t>
  </si>
  <si>
    <t>organic_fertilizer_last_year_used</t>
  </si>
  <si>
    <r>
      <rPr>
        <sz val="12"/>
        <color rgb="FF000000"/>
        <rFont val="Calibri"/>
        <family val="2"/>
        <scheme val="minor"/>
      </rPr>
      <t xml:space="preserve">If yes, what was the type of animal manure, compost, or organic fertilizer that you used most last year? </t>
    </r>
    <r>
      <rPr>
        <strike/>
        <sz val="12"/>
        <color rgb="FF000000"/>
        <rFont val="Calibri"/>
        <family val="2"/>
        <scheme val="minor"/>
      </rPr>
      <t>Please give the name of the type used. For instance cow manure or the brand name and type of organic fertilizer.</t>
    </r>
  </si>
  <si>
    <t>organic_fertilizer_last_year_1_name</t>
  </si>
  <si>
    <t>organic_fertilizer_last_year_1_quantity</t>
  </si>
  <si>
    <t>organic_fertilizer_last_year_1_unit</t>
  </si>
  <si>
    <t>organic_fertilizer_last_year_1_source</t>
  </si>
  <si>
    <r>
      <rPr>
        <sz val="12"/>
        <color rgb="FF000000"/>
        <rFont val="Calibri"/>
        <family val="2"/>
        <scheme val="minor"/>
      </rPr>
      <t xml:space="preserve">Was there a second type of animal manure, compost, or organic fertilizer and if yes, what was the type of this second most used manure/compost/organic fertilizer last year? </t>
    </r>
    <r>
      <rPr>
        <strike/>
        <sz val="12"/>
        <color rgb="FF000000"/>
        <rFont val="Calibri"/>
        <family val="2"/>
        <scheme val="minor"/>
      </rPr>
      <t>Please give the name of the type used. For instance cow manure or the brand name and type of organic fertilizer.</t>
    </r>
  </si>
  <si>
    <t>organic_fertilizer_last_year_2_name</t>
  </si>
  <si>
    <t>organic_fertilizer_last_year_2_quantity</t>
  </si>
  <si>
    <t>organic_fertilizer_last_year_2_unit</t>
  </si>
  <si>
    <t>organic_fertilizer_last_year_2_source</t>
  </si>
  <si>
    <t>mulch_applied_or_not</t>
  </si>
  <si>
    <t>mulch_applied_type</t>
  </si>
  <si>
    <t>mulch_applied_quantity</t>
  </si>
  <si>
    <t>mulch_applied_unit</t>
  </si>
  <si>
    <t>mulch_applied_source</t>
  </si>
  <si>
    <t>mulch_applied_source_purchase</t>
  </si>
  <si>
    <t xml:space="preserve">Did you use pesticides, fungicides or herbicides for your coffee last year? </t>
  </si>
  <si>
    <t>agrochemical_applied_or_not</t>
  </si>
  <si>
    <t xml:space="preserve">If yes, how many types of pesticides, fungicides and/or herbicides did you use last year for your coffee, in total? </t>
  </si>
  <si>
    <t>agrochemical_applied_type_count</t>
  </si>
  <si>
    <t>agrochemical_applied_1_name</t>
  </si>
  <si>
    <t>agrochemical_applied_1_quantity</t>
  </si>
  <si>
    <t>agrochemical_applied_1_unit</t>
  </si>
  <si>
    <t>agrochemical_applied_2_name</t>
  </si>
  <si>
    <t>agrochemical_applied_2_quantity</t>
  </si>
  <si>
    <t>agrochemical_applied_2_unit</t>
  </si>
  <si>
    <t>agrochemical_applied_3_name</t>
  </si>
  <si>
    <t>agrochemical_applied_3_quantity</t>
  </si>
  <si>
    <t>agrochemical_applied_3_unit</t>
  </si>
  <si>
    <t>laborers_permanent_hired_or_not</t>
  </si>
  <si>
    <t>laborers_permanent_count</t>
  </si>
  <si>
    <t>laborers_seasonal_last_year_or_not</t>
  </si>
  <si>
    <t>laborers_seasonal_last_year_count</t>
  </si>
  <si>
    <t>If yes, how many months in total did you hire these seasonal labourers last year? (calculate the average number of months days if you hired more than one seasonal labourer, but if this was not for the same number of months)</t>
  </si>
  <si>
    <t>laborers_seasonal_last_year_number_of_people_months</t>
  </si>
  <si>
    <r>
      <rPr>
        <sz val="12"/>
        <color rgb="FF000000"/>
        <rFont val="Calibri"/>
        <family val="2"/>
        <scheme val="minor"/>
      </rPr>
      <t xml:space="preserve">Did you hire any people to work on your coffee plots for seasonal activities during the </t>
    </r>
    <r>
      <rPr>
        <b/>
        <sz val="12"/>
        <color rgb="FF000000"/>
        <rFont val="Calibri"/>
        <family val="2"/>
        <scheme val="minor"/>
      </rPr>
      <t>fly season</t>
    </r>
    <r>
      <rPr>
        <sz val="12"/>
        <color rgb="FF000000"/>
        <rFont val="Calibri"/>
        <family val="2"/>
        <scheme val="minor"/>
      </rPr>
      <t>, last year?</t>
    </r>
  </si>
  <si>
    <t>laborers_fly_season_or_not</t>
  </si>
  <si>
    <t>laborers_fly_season_activity</t>
  </si>
  <si>
    <t>laborers_fly_season_number_of_days</t>
  </si>
  <si>
    <t>laborers_fly_season_number_of_people_per_day</t>
  </si>
  <si>
    <r>
      <rPr>
        <sz val="12"/>
        <color rgb="FF000000"/>
        <rFont val="Calibri"/>
        <family val="2"/>
        <scheme val="minor"/>
      </rPr>
      <t xml:space="preserve">Did you hire any people to work on your coffee plots for seasonal activities during the </t>
    </r>
    <r>
      <rPr>
        <b/>
        <sz val="12"/>
        <color rgb="FF000000"/>
        <rFont val="Calibri"/>
        <family val="2"/>
        <scheme val="minor"/>
      </rPr>
      <t>main season</t>
    </r>
    <r>
      <rPr>
        <sz val="12"/>
        <color rgb="FF000000"/>
        <rFont val="Calibri"/>
        <family val="2"/>
        <scheme val="minor"/>
      </rPr>
      <t>, last year?</t>
    </r>
  </si>
  <si>
    <t>laborers_main_season_or_not</t>
  </si>
  <si>
    <t>laborers_main_season_activity</t>
  </si>
  <si>
    <t>laborers_main_season_number_of_days</t>
  </si>
  <si>
    <t>If yes, how many people did you typically hire per day for this main activity during main season?</t>
  </si>
  <si>
    <t>laborers_main_season_number_of_people_per_day</t>
  </si>
  <si>
    <t>Did you hire any people to work on your coffee plots  for seasonal activities during last season?</t>
  </si>
  <si>
    <t>laborers_last_season_or_not</t>
  </si>
  <si>
    <t>laborers_last_season_activity</t>
  </si>
  <si>
    <t>laborers_last_season_number_of_days</t>
  </si>
  <si>
    <t>laborers_last_season_number_of_people_per_day</t>
  </si>
  <si>
    <t>loan_used_or_not</t>
  </si>
  <si>
    <t>loan_payment_type</t>
  </si>
  <si>
    <t>If yes, can you estimate what the total loan was, that you took last year</t>
  </si>
  <si>
    <t>loan_total_amount</t>
  </si>
  <si>
    <t>loan_total_repayment_with_interest</t>
  </si>
  <si>
    <t>loan_used_historically_or_not</t>
  </si>
  <si>
    <t>loan_use_reasons</t>
  </si>
  <si>
    <t>loan_grant_difficulties_text</t>
  </si>
  <si>
    <t>cooperative_membership</t>
  </si>
  <si>
    <t>If yes, what subscription fee did you pay per year, in total?</t>
  </si>
  <si>
    <t>cooperative_subscription_fee_amount</t>
  </si>
  <si>
    <t>rent_paid_for_coffee_cultivation_or_not</t>
  </si>
  <si>
    <t xml:space="preserve">If yes, what was the amount of rent dat you have to pay for the land on which you cultivate coffee, in total last year? </t>
  </si>
  <si>
    <t>rent_paid_for_coffee_cultivation_amount</t>
  </si>
  <si>
    <t>machinery_owned</t>
  </si>
  <si>
    <t>seedlings_bought_last_year_or_not</t>
  </si>
  <si>
    <t>seedlings_bought_last_year_type</t>
  </si>
  <si>
    <t>seedlings_bought_last_year_quantity</t>
  </si>
  <si>
    <t>transport_to_stations_organized_by_farmer_or_not</t>
  </si>
  <si>
    <t>transport_to_stations_trip_count</t>
  </si>
  <si>
    <t>transport_to_stations_trip_cost_amount</t>
  </si>
  <si>
    <t>source_of_income_for_total_household</t>
  </si>
  <si>
    <t>source_of_income_importance_question</t>
  </si>
  <si>
    <t>source_of_income_importance_of_coffee</t>
  </si>
  <si>
    <t>source_of_income_importance_of_cropping</t>
  </si>
  <si>
    <t>source_of_income_importance_of_livestock</t>
  </si>
  <si>
    <t>source_of_income_importance_of_labor_on_farm</t>
  </si>
  <si>
    <t>source_of_income_importance_of_labor_off_farm</t>
  </si>
  <si>
    <t>source_of_income_importance_of_other_business</t>
  </si>
  <si>
    <t>source_of_income_importance_of_salaried_job</t>
  </si>
  <si>
    <t>7</t>
  </si>
  <si>
    <t>source_of_income_importance_of_pension</t>
  </si>
  <si>
    <t>source_of_income_importance_of_remittances</t>
  </si>
  <si>
    <t>farmer_importance_of_sale_of_coffee_to_household</t>
  </si>
  <si>
    <t>farmer_plans_for_coffee_farming_and_farm</t>
  </si>
  <si>
    <t>farmer_children_interest_in_coffee_agriculture</t>
  </si>
  <si>
    <t>regen_ag_training_in_last_2_years</t>
  </si>
  <si>
    <t>regen_ag_awareness</t>
  </si>
  <si>
    <t>regen_ag_mulching_applied_or_not</t>
  </si>
  <si>
    <t>regen_ag_mulching_share_among_plots</t>
  </si>
  <si>
    <t>regen_ag_mulching_duration</t>
  </si>
  <si>
    <t>regen_ag_water_or_wind_erosion_risk</t>
  </si>
  <si>
    <t>regen_ag_anti_erosion_measures</t>
  </si>
  <si>
    <t>regen_ag_anti_erosion_measures_share_of_area</t>
  </si>
  <si>
    <t>regen_ag_soil_analysis</t>
  </si>
  <si>
    <t>regen_ag_soil_characteristics_awareness</t>
  </si>
  <si>
    <t>regen_ag_fertilizer_determinant</t>
  </si>
  <si>
    <t>regen_ag_synthetic_fertilizer_application_frequency</t>
  </si>
  <si>
    <t>regen_ag_synthetic_fertilizer_application_method</t>
  </si>
  <si>
    <t>regen_ag_awareness_of_4r_principles</t>
  </si>
  <si>
    <r>
      <rPr>
        <strike/>
        <sz val="12"/>
        <color rgb="FF000000"/>
        <rFont val="Calibri"/>
        <family val="2"/>
      </rPr>
      <t xml:space="preserve">Did you use chemical pesticides and/or fungicides last year (also check with the answers in questions 5600-5632)? </t>
    </r>
    <r>
      <rPr>
        <sz val="12"/>
        <color rgb="FF000000"/>
        <rFont val="Calibri"/>
        <family val="2"/>
      </rPr>
      <t>Do you apply chemical PPPs (plant protection products) like pesticides/fungicides/nematicides in your coffee crop, and how many different active ingredients per crop season? If the answer is NO, you do not need to answer the next 5 questions</t>
    </r>
  </si>
  <si>
    <t>regen_ag_pesticide_use</t>
  </si>
  <si>
    <t>regen_ag_pesticide_names</t>
  </si>
  <si>
    <t>regen_ag_pesticide_ipm_awareness</t>
  </si>
  <si>
    <t>regen_ag_pesticide_ipm_application</t>
  </si>
  <si>
    <t>regen_ag_pesticide_authorization</t>
  </si>
  <si>
    <t>regen_ag_pesticide_frequency_per_year</t>
  </si>
  <si>
    <t>regen_ag_pesticide_usage_change</t>
  </si>
  <si>
    <r>
      <rPr>
        <strike/>
        <sz val="12"/>
        <color rgb="FF000000"/>
        <rFont val="Calibri"/>
        <family val="2"/>
      </rPr>
      <t xml:space="preserve">Did you use herbicides last year (also check with the answers in questions 5610-5630)? </t>
    </r>
    <r>
      <rPr>
        <sz val="12"/>
        <color rgb="FF000000"/>
        <rFont val="Calibri"/>
        <family val="2"/>
      </rPr>
      <t>Do you apply chemical herbicides to your coffee crop and how many (different active ingredients) per crop season? If the answer is NO, you do not need to answer the next 2 questions</t>
    </r>
  </si>
  <si>
    <t>regen_ag_herbicide_use</t>
  </si>
  <si>
    <t>regen_ag_herbicide_names</t>
  </si>
  <si>
    <r>
      <rPr>
        <strike/>
        <sz val="12"/>
        <color rgb="FF000000"/>
        <rFont val="Calibri"/>
        <family val="2"/>
        <scheme val="minor"/>
      </rPr>
      <t>If you apply chemical herbicides in your coffee, to which % of area of the coffee plots do you apply these?</t>
    </r>
    <r>
      <rPr>
        <sz val="12"/>
        <color rgb="FF000000"/>
        <rFont val="Calibri"/>
        <family val="2"/>
        <scheme val="minor"/>
      </rPr>
      <t xml:space="preserve"> If applying herbicides, to which % of area of the coffee plots? e.g. if the coffee area is 1 hectare and herbicides are sprayed to only 0.5 hectare (where there is high weed pressure), then it is 50%</t>
    </r>
  </si>
  <si>
    <t>regen_ag_herbicide_share_of_area</t>
  </si>
  <si>
    <t>If applying herbicides, can you prove that all are locally authorized for coffee use, and that you respect the doses and post-harvest intervals of the label of the product. If applying herbicides, to which % of area of the coffee plots? e.g. if the coffee area is 1 hectare and herbicides are sprayed to only 0.5 hectare (where there is high weed pressure), then it is 50%</t>
  </si>
  <si>
    <t>regen_ag_herbicide_authorization</t>
  </si>
  <si>
    <t>regen_ag_method_to_control_weeds</t>
  </si>
  <si>
    <t>regen_ag_irrigation_system</t>
  </si>
  <si>
    <t>regen_ag_irrigation_application_awareness</t>
  </si>
  <si>
    <t>regen_ag_coffee_renovation_implementation</t>
  </si>
  <si>
    <t>regen_ag_coffee_renovation_share_of_trees_in_3_years</t>
  </si>
  <si>
    <t>regen_ag_coffee_renovation_systems</t>
  </si>
  <si>
    <t>regen_ag_coffee_varieties_count</t>
  </si>
  <si>
    <t>regen_ag_variety_1_share_of_area</t>
  </si>
  <si>
    <t>regen_ag_variety_1_years_planted</t>
  </si>
  <si>
    <t>regen_ag_shade_trees_plantation</t>
  </si>
  <si>
    <t>regen_ag_shade_trees_share_of_area</t>
  </si>
  <si>
    <t>regen_ag_shade_trees_type_count</t>
  </si>
  <si>
    <t>regen_ag_shade_trees_count</t>
  </si>
  <si>
    <t>regen_ag_shade_trees_size_description</t>
  </si>
  <si>
    <t>regen_ag_boundary_trees_conditional_assessment</t>
  </si>
  <si>
    <t>regen_ag_bee_hives_presence</t>
  </si>
  <si>
    <t>regen_ag_riparian_areas</t>
  </si>
  <si>
    <t>regen_ag_riparian_areas_veg_coverage_count</t>
  </si>
  <si>
    <t>regen_ag_soil_type_description</t>
  </si>
  <si>
    <t>regen_ag_tillage_type</t>
  </si>
  <si>
    <t>pulping_pulp_use</t>
  </si>
  <si>
    <t>pulping_amount</t>
  </si>
  <si>
    <t>pulping_water_use</t>
  </si>
  <si>
    <t>pulping_water_source</t>
  </si>
  <si>
    <t>pulping_water_use_amount_per_day</t>
  </si>
  <si>
    <t>pulping_water_use_number_of_days</t>
  </si>
  <si>
    <t>pulping_water_wastewater_description</t>
  </si>
  <si>
    <t>farming_process_diesel_use</t>
  </si>
  <si>
    <t>farming_process_diesel_use_description</t>
  </si>
  <si>
    <t>farming_process_diesel_use_amount_per_day</t>
  </si>
  <si>
    <t>farming_process_diesel_days_per_year</t>
  </si>
  <si>
    <t>farming_process_petrol_use</t>
  </si>
  <si>
    <t>farming_process_petrol_use_description</t>
  </si>
  <si>
    <t>farming_process_petrol_use_amount_per_day</t>
  </si>
  <si>
    <t>farming_process_petrol_days_per_year</t>
  </si>
  <si>
    <t>farming_process_electricity_use</t>
  </si>
  <si>
    <t>farming_process_electricity_source</t>
  </si>
  <si>
    <t>farming_process_electricity_bill_per_year</t>
  </si>
  <si>
    <t>farming_process_electricity_use_share_of_coffee</t>
  </si>
  <si>
    <t>check_for_polygon_mapping_of_all_plots</t>
  </si>
  <si>
    <t>qn_is_considered</t>
  </si>
  <si>
    <t>Colombia</t>
  </si>
  <si>
    <t>Wife and Husband</t>
  </si>
  <si>
    <t>What is the gender of the lead farmer in the household? (The person that is selling the coffee)</t>
  </si>
  <si>
    <t>How many adults live in your household, that are above 18 years (including the respondent)? (Household members are those that stay more than three months per year within the same household and that 'eat from the same pot'.)</t>
  </si>
  <si>
    <t>How many children living in your household, are below 18 years? (Household members are those that stay more than three months per year within the same household and that 'eat from the same pot.')</t>
  </si>
  <si>
    <t>If your farm is certified, under which certification scheme(s) is it certified?</t>
  </si>
  <si>
    <t>CAFÉ Practices</t>
  </si>
  <si>
    <t>If yes, since when have you been certified? (In case you are part of multiple certification schemes, consider the one that you are in longest.)</t>
  </si>
  <si>
    <t>What is the name of the Sucafina coffee collection point you delivered your coffee to (e.g. name of  washing station/hulling station/cooperative/ intermediary), or which one is closest to you?</t>
  </si>
  <si>
    <t>Dried parchment</t>
  </si>
  <si>
    <r>
      <t xml:space="preserve">How many kilograms of fresh cherries did you sell during the </t>
    </r>
    <r>
      <rPr>
        <sz val="12"/>
        <color rgb="FFFF0000"/>
        <rFont val="Calibri"/>
        <family val="2"/>
        <scheme val="minor"/>
      </rPr>
      <t>fly</t>
    </r>
    <r>
      <rPr>
        <sz val="12"/>
        <color theme="1"/>
        <rFont val="Calibri"/>
        <family val="2"/>
        <scheme val="minor"/>
      </rPr>
      <t xml:space="preserve"> season?</t>
    </r>
  </si>
  <si>
    <r>
      <t xml:space="preserve">What was the most common price per kilogram that you received for the fresh cherries harvested in the </t>
    </r>
    <r>
      <rPr>
        <sz val="12"/>
        <color rgb="FFFF0000"/>
        <rFont val="Calibri"/>
        <family val="2"/>
        <scheme val="minor"/>
      </rPr>
      <t>fly</t>
    </r>
    <r>
      <rPr>
        <sz val="12"/>
        <color theme="1"/>
        <rFont val="Calibri"/>
        <family val="2"/>
        <scheme val="minor"/>
      </rPr>
      <t xml:space="preserve"> season? (in local currency)</t>
    </r>
  </si>
  <si>
    <r>
      <t xml:space="preserve">How many kilograms of hulled beans did you sell during the </t>
    </r>
    <r>
      <rPr>
        <sz val="12"/>
        <color rgb="FFFF0000"/>
        <rFont val="Calibri"/>
        <family val="2"/>
        <scheme val="minor"/>
      </rPr>
      <t>fly</t>
    </r>
    <r>
      <rPr>
        <sz val="12"/>
        <color theme="1"/>
        <rFont val="Calibri"/>
        <family val="2"/>
        <scheme val="minor"/>
      </rPr>
      <t xml:space="preserve"> season?</t>
    </r>
  </si>
  <si>
    <r>
      <t xml:space="preserve">What was the most common price per kilogram that you received for hulled beans harvested in the </t>
    </r>
    <r>
      <rPr>
        <sz val="12"/>
        <color rgb="FFFF0000"/>
        <rFont val="Calibri"/>
        <family val="2"/>
        <scheme val="minor"/>
      </rPr>
      <t>fly</t>
    </r>
    <r>
      <rPr>
        <sz val="12"/>
        <color theme="1"/>
        <rFont val="Calibri"/>
        <family val="2"/>
        <scheme val="minor"/>
      </rPr>
      <t xml:space="preserve"> season? (in local currency)</t>
    </r>
  </si>
  <si>
    <r>
      <t xml:space="preserve">How many kilograms of dried cherries did you sell during the </t>
    </r>
    <r>
      <rPr>
        <sz val="12"/>
        <color rgb="FFFF0000"/>
        <rFont val="Calibri"/>
        <family val="2"/>
        <scheme val="minor"/>
      </rPr>
      <t>fly</t>
    </r>
    <r>
      <rPr>
        <sz val="12"/>
        <color theme="1"/>
        <rFont val="Calibri"/>
        <family val="2"/>
        <scheme val="minor"/>
      </rPr>
      <t xml:space="preserve"> season?</t>
    </r>
  </si>
  <si>
    <r>
      <t xml:space="preserve">What was the most common price per kilogram that you received for dried cherries harvested in the </t>
    </r>
    <r>
      <rPr>
        <sz val="12"/>
        <color rgb="FFFF0000"/>
        <rFont val="Calibri"/>
        <family val="2"/>
        <scheme val="minor"/>
      </rPr>
      <t>fly</t>
    </r>
    <r>
      <rPr>
        <sz val="12"/>
        <color theme="1"/>
        <rFont val="Calibri"/>
        <family val="2"/>
        <scheme val="minor"/>
      </rPr>
      <t xml:space="preserve"> season? (in local currency)</t>
    </r>
  </si>
  <si>
    <r>
      <t xml:space="preserve">Of the initial coffee cherries that were formed after flowering, what proportion was lost before sale, during the </t>
    </r>
    <r>
      <rPr>
        <sz val="12"/>
        <color rgb="FFFF0000"/>
        <rFont val="Calibri"/>
        <family val="2"/>
        <scheme val="minor"/>
      </rPr>
      <t>fly</t>
    </r>
    <r>
      <rPr>
        <sz val="12"/>
        <color theme="1"/>
        <rFont val="Calibri"/>
        <family val="2"/>
        <scheme val="minor"/>
      </rPr>
      <t xml:space="preserve"> season?</t>
    </r>
  </si>
  <si>
    <r>
      <t xml:space="preserve">Of the coffee cherries lost during the </t>
    </r>
    <r>
      <rPr>
        <sz val="12"/>
        <color rgb="FFFF0000"/>
        <rFont val="Calibri"/>
        <family val="2"/>
        <scheme val="minor"/>
      </rPr>
      <t>fly</t>
    </r>
    <r>
      <rPr>
        <sz val="12"/>
        <color theme="1"/>
        <rFont val="Calibri"/>
        <family val="2"/>
        <scheme val="minor"/>
      </rPr>
      <t xml:space="preserve"> season, what were the main reasons for the loss? (You can choose multiple reasons)</t>
    </r>
  </si>
  <si>
    <r>
      <t xml:space="preserve">How many kilograms of fresh cherries did you sell during the </t>
    </r>
    <r>
      <rPr>
        <sz val="12"/>
        <color rgb="FF00B0F0"/>
        <rFont val="Calibri"/>
        <family val="2"/>
        <scheme val="minor"/>
      </rPr>
      <t>main</t>
    </r>
    <r>
      <rPr>
        <sz val="12"/>
        <color theme="1"/>
        <rFont val="Calibri"/>
        <family val="2"/>
        <scheme val="minor"/>
      </rPr>
      <t xml:space="preserve"> season?</t>
    </r>
  </si>
  <si>
    <r>
      <t xml:space="preserve">What was the most common price per kilogram that you received for fresh cherries harvested in the </t>
    </r>
    <r>
      <rPr>
        <sz val="12"/>
        <color rgb="FF00B0F0"/>
        <rFont val="Calibri"/>
        <family val="2"/>
        <scheme val="minor"/>
      </rPr>
      <t>main</t>
    </r>
    <r>
      <rPr>
        <sz val="12"/>
        <color theme="1"/>
        <rFont val="Calibri"/>
        <family val="2"/>
        <scheme val="minor"/>
      </rPr>
      <t xml:space="preserve"> season? (in local currency)</t>
    </r>
  </si>
  <si>
    <r>
      <t xml:space="preserve">How many kilograms of hulled beans did you sell during the </t>
    </r>
    <r>
      <rPr>
        <sz val="12"/>
        <color rgb="FF00B0F0"/>
        <rFont val="Calibri"/>
        <family val="2"/>
        <scheme val="minor"/>
      </rPr>
      <t>main</t>
    </r>
    <r>
      <rPr>
        <sz val="12"/>
        <color theme="1"/>
        <rFont val="Calibri"/>
        <family val="2"/>
        <scheme val="minor"/>
      </rPr>
      <t xml:space="preserve"> season?</t>
    </r>
  </si>
  <si>
    <r>
      <t xml:space="preserve">What was the most common price per kilogram that you received for hulled beans harvested in the </t>
    </r>
    <r>
      <rPr>
        <sz val="12"/>
        <color rgb="FF00B0F0"/>
        <rFont val="Calibri"/>
        <family val="2"/>
        <scheme val="minor"/>
      </rPr>
      <t>main</t>
    </r>
    <r>
      <rPr>
        <sz val="12"/>
        <color theme="1"/>
        <rFont val="Calibri"/>
        <family val="2"/>
        <scheme val="minor"/>
      </rPr>
      <t xml:space="preserve"> season?</t>
    </r>
  </si>
  <si>
    <t>What was the most common price per kilogram that you received for dried cherries harvested in the main season? (in local currency)</t>
  </si>
  <si>
    <t>Of the coffee cherries lost during the main season, what were the main reasons for the loss? (You can choose multiple reasons.)</t>
  </si>
  <si>
    <t>What was the most common price per kilogram that you received for the fresh cherries harvested in the last season? (in local currency)</t>
  </si>
  <si>
    <t>If you paid workers in kind with coffee cherries, how many kilograms of coffee cherries did you give away?</t>
  </si>
  <si>
    <t>What was the most common price per kilogram of green beans that you sold last season (previous 12 months)? (in local currency)</t>
  </si>
  <si>
    <t>About how many coffee trees do you have across all your coffee plots combined?</t>
  </si>
  <si>
    <t>If No, what is the reason why we cannot visit this/these plot (s) to measure/polygon map it/them?</t>
  </si>
  <si>
    <t>Farmer not wlling</t>
  </si>
  <si>
    <t>Of your total coffee plots, how many cannot be visited during the survey?</t>
  </si>
  <si>
    <t>Of the coffee plots that cannot be visited, what is the total area of these plots? (in acres)</t>
  </si>
  <si>
    <t>Of the coffee plots that cannot be visited, what is the total area of these plots? (in hectares)</t>
  </si>
  <si>
    <t>What was the name of the synthetic fertilizer that you used most, last year?</t>
  </si>
  <si>
    <t>What was the total quantity of the synthetic fertilizer that you used most, last year? (Kg)</t>
  </si>
  <si>
    <t>What was the name of the synthetic fertilizer that you used second most, last year?</t>
  </si>
  <si>
    <t>What was the total quantity of the synthetic fertilizer that you used second most, last year? (Kg)</t>
  </si>
  <si>
    <t>What was the name of the synthetic fertilizer that you used third most, last year?</t>
  </si>
  <si>
    <t>What was the total quantity of the synthetic fertilizer that you used third most, last year? (Kg)</t>
  </si>
  <si>
    <t>What was the name of the synthetic fertilizer that you used fourth most, last year?</t>
  </si>
  <si>
    <t>What was the total quantity of the synthetic fertilizer that you used fourth most, last year? (Kg)</t>
  </si>
  <si>
    <t>synthetic_fertilizer_last_year_limestone_name</t>
  </si>
  <si>
    <t>What was the total quantity of the Limestone or Dolomitic Limestone (Dolomite) that you used last year? (Kg)</t>
  </si>
  <si>
    <t>synthetic_fertilizer_last_year_limestone_quantity</t>
  </si>
  <si>
    <t>What was the unit of the Limestone or Dolomitic Limestone (Dolomite)? (bags, kg)</t>
  </si>
  <si>
    <t>What was the type of animal manure, compost, or organic fertilizer that you used most last year?</t>
  </si>
  <si>
    <t>What was the total quantity of this type of animal manure/compost/organic fertilizer that you used most (Kg)?</t>
  </si>
  <si>
    <t>How did you get this manure/compost/organic fertilizer that you used most?</t>
  </si>
  <si>
    <t>What was the type of animal manure, compost, or organic fertilizer that you used second most last year?</t>
  </si>
  <si>
    <t>What was the total quantity of this type of animal manure/compost/organic fertilizer that you used second most? (Kg)</t>
  </si>
  <si>
    <t>How did you get this manure/compost/organic fertilizer that you used second most?</t>
  </si>
  <si>
    <t>What type of mulch?</t>
  </si>
  <si>
    <t>What was the total quantity of mulch that you used? (Kg)</t>
  </si>
  <si>
    <t>From where was this mulch sourced?</t>
  </si>
  <si>
    <t>What was the name of the pesticide/fungicide or herbicide that you used most, last year?</t>
  </si>
  <si>
    <t>What was the name of the pesticide/fungicide or herbicide that you used second most, last year?</t>
  </si>
  <si>
    <t>What was the name of the pesticide/fungicide or herbicide that you used third most, last year?</t>
  </si>
  <si>
    <t>How many people did you hire, permanently for your coffee plots, last year?</t>
  </si>
  <si>
    <t>How many seasonal labourers did you hire last year?</t>
  </si>
  <si>
    <t>How many months in total did you hire these seasonal labourers last year? (calculate the average number of months days if you hired more than one seasonal labourer, but if this was not for the same number of months)</t>
  </si>
  <si>
    <t>What were the activities that you hired people for, during the fly season?</t>
  </si>
  <si>
    <t>How many days in total did you hire people for this main activity, during the fly season? (Number of days)</t>
  </si>
  <si>
    <t>How many people did you typically hire per day for this main activity during fly season?</t>
  </si>
  <si>
    <t>What were the activities that you hired people for, during the main season?</t>
  </si>
  <si>
    <t>How many days in total did you hire people for this main activity, during the main season? (Number of days)</t>
  </si>
  <si>
    <t>How many people did you typically hire per day for this main activity during main season?</t>
  </si>
  <si>
    <t>Did you hire any people to work on your coffee plots  for seasonal activities during last year?</t>
  </si>
  <si>
    <t>What were the activities that you hired people for during last year?</t>
  </si>
  <si>
    <t>How many days in total did you hire people for these activities, during last year?</t>
  </si>
  <si>
    <t>How many people did you typically hire per day for these activities during last year?</t>
  </si>
  <si>
    <t>What was the total amount of loans you borrowed last year (in your local currency)?</t>
  </si>
  <si>
    <t>How did you have to pay for this? (in cash or in cherries? Please explain)</t>
  </si>
  <si>
    <t>Can you estimate how much you had to repay, in total, for the loan last year, including interest (in local currency)</t>
  </si>
  <si>
    <t>What are the main reasons to take a loan, what do you use it for?</t>
  </si>
  <si>
    <t>What subscription fee did you pay per year, in total? (in local currency)</t>
  </si>
  <si>
    <t>Did you pay rent for the land that you use for coffee cultivation last year?</t>
  </si>
  <si>
    <t>What was the total amount of rent you paid last year for the land on which you cultivate your coffee? (in local currency)</t>
  </si>
  <si>
    <t>What was the main type seedlings bought?</t>
  </si>
  <si>
    <t>Did you organize your own transport to the Sucafina coffee collection point where you delivered your coffee last year?</t>
  </si>
  <si>
    <t>How many trips did you need to make last year?</t>
  </si>
  <si>
    <t>What were the costs per trip (the costs you make your self, or what you pay to someone to do the transport for you)? (in local currency)</t>
  </si>
  <si>
    <t>Around the tree , In bands close to the trees, Broadcasted in all the field, Through the irrigation system (e.g. drip)</t>
  </si>
  <si>
    <t>Do you apply chemical PPPs (plant protection products) like pesticides/fungicides/nematicides in your coffee crop, and how many different active ingredients per crop season?</t>
  </si>
  <si>
    <t>Do you apply chemical herbicides to your coffee crop and how many (different active ingredients) per crop season?</t>
  </si>
  <si>
    <t>Apply to coffee farms within the supply chain, right after processing (e.g. after de-pulping in wet processing and after de-husking in dry processing) without composting</t>
  </si>
  <si>
    <t>Can you estimate the amount of husks that remained after hulling of your coffee processed last year? (Kg)</t>
  </si>
  <si>
    <t>If yes, for what?</t>
  </si>
  <si>
    <t>How many days per year?</t>
  </si>
  <si>
    <t>If local grid or sollar power, how much was your average monthly electricity bill last year? (in local currency)</t>
  </si>
  <si>
    <t>automated</t>
  </si>
  <si>
    <t>manual input</t>
  </si>
  <si>
    <t>country</t>
  </si>
  <si>
    <t>IMPACT_goals_options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</si>
</sst>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1" x14ac:knownFonts="1">
    <font>
      <sz val="12"/>
      <color theme="1"/>
      <name val="Calibri"/>
      <family val="2"/>
      <scheme val="minor"/>
    </font>
    <font>
      <b/>
      <sz val="12"/>
      <color theme="1"/>
      <name val="Calibri"/>
      <family val="2"/>
      <scheme val="minor"/>
    </font>
    <font>
      <sz val="14"/>
      <color theme="4"/>
      <name val="Calibri"/>
      <family val="2"/>
      <scheme val="minor"/>
    </font>
    <font>
      <b/>
      <sz val="14"/>
      <color theme="4"/>
      <name val="Calibri"/>
      <family val="2"/>
      <scheme val="minor"/>
    </font>
    <font>
      <sz val="8"/>
      <name val="Calibri"/>
      <family val="2"/>
      <scheme val="minor"/>
    </font>
    <font>
      <sz val="12"/>
      <color rgb="FF000000"/>
      <name val="Calibri"/>
      <family val="2"/>
      <scheme val="minor"/>
    </font>
    <font>
      <sz val="11"/>
      <name val="Calibri"/>
      <family val="2"/>
      <scheme val="major"/>
    </font>
    <font>
      <sz val="11"/>
      <color rgb="FF000000"/>
      <name val="Calibri"/>
      <family val="2"/>
      <scheme val="major"/>
    </font>
    <font>
      <sz val="12"/>
      <color rgb="FF000000"/>
      <name val="Calibri"/>
      <family val="2"/>
    </font>
    <font>
      <sz val="11"/>
      <color rgb="FFFF0000"/>
      <name val="Calibri"/>
      <family val="2"/>
      <scheme val="minor"/>
    </font>
    <font>
      <sz val="11"/>
      <color theme="1"/>
      <name val="Calibri"/>
      <family val="2"/>
      <scheme val="major"/>
    </font>
    <font>
      <sz val="11"/>
      <color rgb="FFFF0000"/>
      <name val="Calibri"/>
      <family val="2"/>
      <scheme val="major"/>
    </font>
    <font>
      <b/>
      <sz val="11"/>
      <color theme="1"/>
      <name val="Calibri"/>
      <family val="2"/>
      <scheme val="major"/>
    </font>
    <font>
      <strike/>
      <sz val="11"/>
      <color rgb="FF000000"/>
      <name val="Calibri"/>
      <family val="2"/>
      <scheme val="major"/>
    </font>
    <font>
      <b/>
      <sz val="11"/>
      <color rgb="FF000000"/>
      <name val="Calibri"/>
      <family val="2"/>
      <scheme val="major"/>
    </font>
    <font>
      <b/>
      <sz val="12"/>
      <color rgb="FF000000"/>
      <name val="Calibri"/>
      <family val="2"/>
      <scheme val="minor"/>
    </font>
    <font>
      <strike/>
      <sz val="12"/>
      <color rgb="FF000000"/>
      <name val="Calibri"/>
      <family val="2"/>
      <scheme val="minor"/>
    </font>
    <font>
      <sz val="11"/>
      <color rgb="FF242424"/>
      <name val="Aptos Narrow"/>
      <family val="2"/>
    </font>
    <font>
      <b/>
      <strike/>
      <sz val="12"/>
      <color rgb="FF000000"/>
      <name val="Calibri"/>
      <family val="2"/>
      <scheme val="minor"/>
    </font>
    <font>
      <sz val="12"/>
      <color rgb="FFFF0000"/>
      <name val="Calibri"/>
      <family val="2"/>
      <scheme val="minor"/>
    </font>
    <font>
      <sz val="12"/>
      <color rgb="FF4EA72E"/>
      <name val="Aptos"/>
      <family val="2"/>
    </font>
    <font>
      <sz val="9"/>
      <color rgb="FF333333"/>
      <name val="Segoe UI"/>
      <family val="2"/>
    </font>
    <font>
      <u/>
      <sz val="9"/>
      <color rgb="FF333333"/>
      <name val="Segoe UI"/>
      <family val="2"/>
    </font>
    <font>
      <b/>
      <u/>
      <sz val="9"/>
      <color rgb="FF333333"/>
      <name val="Segoe UI"/>
      <family val="2"/>
    </font>
    <font>
      <sz val="12"/>
      <color rgb="FFCD5937"/>
      <name val="Calibri"/>
      <family val="2"/>
      <scheme val="minor"/>
    </font>
    <font>
      <strike/>
      <sz val="12"/>
      <color rgb="FFFF0000"/>
      <name val="Calibri"/>
      <family val="2"/>
      <scheme val="minor"/>
    </font>
    <font>
      <sz val="12"/>
      <color rgb="FF00B0F0"/>
      <name val="Calibri"/>
      <family val="2"/>
      <scheme val="minor"/>
    </font>
    <font>
      <strike/>
      <sz val="12"/>
      <color rgb="FFFF0000"/>
      <name val="Calibri"/>
      <family val="2"/>
      <scheme val="minor"/>
    </font>
    <font>
      <strike/>
      <sz val="12"/>
      <color rgb="FF000000"/>
      <name val="Calibri"/>
      <family val="2"/>
    </font>
    <font>
      <strike/>
      <sz val="11"/>
      <color rgb="FFFF0000"/>
      <name val="Calibri"/>
      <family val="2"/>
      <scheme val="major"/>
    </font>
    <font>
      <b/>
      <sz val="11"/>
      <color rgb="FFFF0000"/>
      <name val="Calibri"/>
      <family val="2"/>
      <scheme val="major"/>
    </font>
    <font>
      <b/>
      <sz val="12"/>
      <color rgb="FFFF0000"/>
      <name val="Calibri"/>
      <family val="2"/>
      <scheme val="minor"/>
    </font>
    <font>
      <sz val="12"/>
      <color rgb="FFFF0000"/>
      <name val="Calibri"/>
      <family val="2"/>
    </font>
    <font>
      <sz val="11"/>
      <color rgb="FFFF0000"/>
      <name val="Calibri Light"/>
      <family val="2"/>
    </font>
    <font>
      <b/>
      <sz val="11"/>
      <color rgb="FFFF0000"/>
      <name val="Calibri Light"/>
      <family val="2"/>
    </font>
    <font>
      <sz val="9"/>
      <color rgb="FFFF0000"/>
      <name val="Segoe UI"/>
      <family val="2"/>
    </font>
    <font>
      <u/>
      <sz val="9"/>
      <color rgb="FFFF0000"/>
      <name val="Segoe UI"/>
      <family val="2"/>
    </font>
    <font>
      <b/>
      <u/>
      <sz val="9"/>
      <color rgb="FFFF0000"/>
      <name val="Segoe UI"/>
      <family val="2"/>
    </font>
    <font>
      <sz val="11"/>
      <color rgb="FFFF0000"/>
      <name val="Aptos Narrow"/>
      <family val="2"/>
    </font>
    <font>
      <sz val="12"/>
      <name val="Calibri"/>
      <family val="2"/>
      <scheme val="minor"/>
    </font>
    <font>
      <sz val="12"/>
      <color theme="4"/>
      <name val="Calibri"/>
      <family val="2"/>
      <scheme val="minor"/>
    </font>
  </fonts>
  <fills count="27">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rgb="FFFFC000"/>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0"/>
        <bgColor indexed="64"/>
      </patternFill>
    </fill>
    <fill>
      <patternFill patternType="solid">
        <fgColor rgb="FFFF0000"/>
        <bgColor indexed="64"/>
      </patternFill>
    </fill>
    <fill>
      <patternFill patternType="solid">
        <fgColor rgb="FF92D050"/>
        <bgColor indexed="64"/>
      </patternFill>
    </fill>
    <fill>
      <patternFill patternType="solid">
        <fgColor rgb="FFFFFFFF"/>
        <bgColor indexed="64"/>
      </patternFill>
    </fill>
    <fill>
      <patternFill patternType="solid">
        <fgColor theme="7" tint="0.39997558519241921"/>
        <bgColor indexed="64"/>
      </patternFill>
    </fill>
    <fill>
      <patternFill patternType="solid">
        <fgColor theme="4"/>
        <bgColor indexed="64"/>
      </patternFill>
    </fill>
  </fills>
  <borders count="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rgb="FF007680"/>
      </top>
      <bottom/>
      <diagonal/>
    </border>
    <border>
      <left/>
      <right/>
      <top style="thin">
        <color theme="4"/>
      </top>
      <bottom/>
      <diagonal/>
    </border>
    <border>
      <left/>
      <right style="medium">
        <color indexed="64"/>
      </right>
      <top/>
      <bottom/>
      <diagonal/>
    </border>
    <border>
      <left style="medium">
        <color indexed="64"/>
      </left>
      <right/>
      <top/>
      <bottom/>
      <diagonal/>
    </border>
    <border>
      <left style="thin">
        <color theme="4"/>
      </left>
      <right/>
      <top style="thin">
        <color theme="4"/>
      </top>
      <bottom/>
      <diagonal/>
    </border>
  </borders>
  <cellStyleXfs count="1">
    <xf numFmtId="0" fontId="0" fillId="0" borderId="0"/>
  </cellStyleXfs>
  <cellXfs count="252">
    <xf numFmtId="0" fontId="0" fillId="0" borderId="0" xfId="0"/>
    <xf numFmtId="0" fontId="0" fillId="0" borderId="0" xfId="0" applyAlignment="1">
      <alignment vertical="top"/>
    </xf>
    <xf numFmtId="0" fontId="0" fillId="0" borderId="0" xfId="0" quotePrefix="1" applyAlignment="1">
      <alignment vertical="top" wrapText="1"/>
    </xf>
    <xf numFmtId="0" fontId="24" fillId="0" borderId="0" xfId="0" applyFont="1" applyAlignment="1">
      <alignment vertical="top"/>
    </xf>
    <xf numFmtId="0" fontId="1" fillId="0" borderId="0" xfId="0" applyFont="1" applyAlignment="1">
      <alignment vertical="top"/>
    </xf>
    <xf numFmtId="0" fontId="0" fillId="0" borderId="0" xfId="0" applyAlignment="1">
      <alignment vertical="top" wrapText="1"/>
    </xf>
    <xf numFmtId="0" fontId="5" fillId="0" borderId="0" xfId="0" quotePrefix="1" applyFont="1" applyAlignment="1">
      <alignment vertical="top" wrapText="1"/>
    </xf>
    <xf numFmtId="0" fontId="2" fillId="0" borderId="1" xfId="0" applyFont="1" applyBorder="1" applyAlignment="1">
      <alignment vertical="center"/>
    </xf>
    <xf numFmtId="0" fontId="2" fillId="0" borderId="0" xfId="0" applyFont="1" applyAlignment="1">
      <alignment vertical="center"/>
    </xf>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0" fontId="1" fillId="0" borderId="0" xfId="0" applyFont="1" applyAlignment="1">
      <alignment horizontal="center" vertical="center"/>
    </xf>
    <xf numFmtId="0" fontId="0" fillId="2" borderId="2" xfId="0" applyFill="1" applyBorder="1" applyAlignment="1">
      <alignment horizontal="center" vertical="center"/>
    </xf>
    <xf numFmtId="0" fontId="0" fillId="3" borderId="2" xfId="0" applyFill="1" applyBorder="1" applyAlignment="1">
      <alignment horizontal="center" vertical="center"/>
    </xf>
    <xf numFmtId="49" fontId="0" fillId="0" borderId="0" xfId="0" applyNumberFormat="1" applyAlignment="1">
      <alignment vertical="center"/>
    </xf>
    <xf numFmtId="0" fontId="0" fillId="0" borderId="0" xfId="0" applyAlignment="1">
      <alignment horizontal="center" vertical="center"/>
    </xf>
    <xf numFmtId="0" fontId="0" fillId="11" borderId="0" xfId="0" applyFill="1" applyAlignment="1">
      <alignment vertical="center"/>
    </xf>
    <xf numFmtId="49" fontId="5" fillId="0" borderId="0" xfId="0" applyNumberFormat="1" applyFont="1" applyAlignment="1">
      <alignment vertical="center"/>
    </xf>
    <xf numFmtId="49" fontId="0" fillId="0" borderId="0" xfId="0" applyNumberFormat="1" applyAlignment="1">
      <alignment horizontal="left" vertical="center"/>
    </xf>
    <xf numFmtId="49" fontId="5" fillId="4" borderId="0" xfId="0" applyNumberFormat="1" applyFont="1" applyFill="1" applyAlignment="1">
      <alignment vertical="center"/>
    </xf>
    <xf numFmtId="49" fontId="0" fillId="4" borderId="0" xfId="0" applyNumberFormat="1" applyFill="1" applyAlignment="1">
      <alignment vertical="center"/>
    </xf>
    <xf numFmtId="0" fontId="0" fillId="4" borderId="0" xfId="0" applyFill="1" applyAlignment="1">
      <alignment vertical="center"/>
    </xf>
    <xf numFmtId="49" fontId="1" fillId="0" borderId="0" xfId="0" applyNumberFormat="1" applyFont="1" applyAlignment="1">
      <alignment vertical="center"/>
    </xf>
    <xf numFmtId="1" fontId="0" fillId="0" borderId="0" xfId="0" applyNumberFormat="1" applyAlignment="1">
      <alignment vertical="center"/>
    </xf>
    <xf numFmtId="49" fontId="0" fillId="0" borderId="0" xfId="0" applyNumberFormat="1" applyAlignment="1">
      <alignment vertical="center" wrapText="1"/>
    </xf>
    <xf numFmtId="49" fontId="5" fillId="0" borderId="0" xfId="0" applyNumberFormat="1" applyFont="1" applyAlignment="1">
      <alignment vertical="center" wrapText="1"/>
    </xf>
    <xf numFmtId="0" fontId="0" fillId="25" borderId="0" xfId="0" applyFill="1" applyAlignment="1">
      <alignment horizontal="centerContinuous" vertical="center"/>
    </xf>
    <xf numFmtId="49" fontId="1" fillId="4" borderId="0" xfId="0" applyNumberFormat="1" applyFont="1" applyFill="1" applyAlignment="1">
      <alignment vertical="center"/>
    </xf>
    <xf numFmtId="0" fontId="0" fillId="4" borderId="0" xfId="0" applyFill="1" applyAlignment="1">
      <alignment horizontal="center" vertical="center"/>
    </xf>
    <xf numFmtId="1" fontId="0" fillId="4" borderId="0" xfId="0" applyNumberFormat="1" applyFill="1" applyAlignment="1">
      <alignment vertical="center"/>
    </xf>
    <xf numFmtId="0" fontId="3" fillId="0" borderId="1" xfId="0" applyFont="1" applyBorder="1" applyAlignment="1">
      <alignment vertical="center"/>
    </xf>
    <xf numFmtId="0" fontId="0" fillId="0" borderId="0" xfId="0" quotePrefix="1" applyAlignment="1">
      <alignment vertical="center"/>
    </xf>
    <xf numFmtId="0" fontId="5" fillId="0" borderId="0" xfId="0" applyFont="1" applyAlignment="1">
      <alignment vertical="center"/>
    </xf>
    <xf numFmtId="1" fontId="5" fillId="0" borderId="0" xfId="0" applyNumberFormat="1" applyFont="1" applyAlignment="1">
      <alignment vertical="center"/>
    </xf>
    <xf numFmtId="0" fontId="5" fillId="0" borderId="0" xfId="0" quotePrefix="1" applyFont="1" applyAlignment="1">
      <alignment vertical="center"/>
    </xf>
    <xf numFmtId="1" fontId="6" fillId="0" borderId="0" xfId="0" applyNumberFormat="1" applyFont="1" applyAlignment="1">
      <alignment horizontal="left" vertical="center" wrapText="1"/>
    </xf>
    <xf numFmtId="49" fontId="0" fillId="0" borderId="4" xfId="0" applyNumberFormat="1" applyBorder="1" applyAlignment="1">
      <alignment vertical="center"/>
    </xf>
    <xf numFmtId="49" fontId="0" fillId="4" borderId="4" xfId="0" applyNumberFormat="1" applyFill="1" applyBorder="1" applyAlignment="1">
      <alignment vertical="center"/>
    </xf>
    <xf numFmtId="1" fontId="6" fillId="0" borderId="0" xfId="0" quotePrefix="1" applyNumberFormat="1" applyFont="1" applyAlignment="1">
      <alignment horizontal="left" vertical="center" wrapText="1"/>
    </xf>
    <xf numFmtId="0" fontId="0" fillId="0" borderId="0" xfId="0" applyAlignment="1">
      <alignment horizontal="left" vertical="center"/>
    </xf>
    <xf numFmtId="1" fontId="7" fillId="0" borderId="0" xfId="0" applyNumberFormat="1" applyFont="1" applyAlignment="1">
      <alignment horizontal="left" vertical="center" wrapText="1"/>
    </xf>
    <xf numFmtId="1" fontId="7" fillId="0" borderId="0" xfId="0" applyNumberFormat="1" applyFont="1" applyAlignment="1">
      <alignment horizontal="left" vertical="center"/>
    </xf>
    <xf numFmtId="1" fontId="7" fillId="0" borderId="0" xfId="0" quotePrefix="1" applyNumberFormat="1" applyFont="1" applyAlignment="1">
      <alignment horizontal="left" vertical="center" wrapText="1"/>
    </xf>
    <xf numFmtId="0" fontId="7" fillId="0" borderId="0" xfId="0" applyFont="1" applyAlignment="1">
      <alignment vertical="center"/>
    </xf>
    <xf numFmtId="0" fontId="13" fillId="0" borderId="0" xfId="0" applyFont="1" applyAlignment="1">
      <alignment vertical="center"/>
    </xf>
    <xf numFmtId="0" fontId="7" fillId="0" borderId="0" xfId="0" applyFont="1" applyAlignment="1">
      <alignment horizontal="left" vertical="center"/>
    </xf>
    <xf numFmtId="0" fontId="7" fillId="0" borderId="0" xfId="0" applyFont="1" applyAlignment="1">
      <alignment vertical="center" wrapText="1"/>
    </xf>
    <xf numFmtId="0" fontId="14" fillId="0" borderId="0" xfId="0" applyFont="1" applyAlignment="1">
      <alignment vertical="center"/>
    </xf>
    <xf numFmtId="0" fontId="5" fillId="4" borderId="0" xfId="0" applyFont="1" applyFill="1" applyAlignment="1">
      <alignment vertical="center"/>
    </xf>
    <xf numFmtId="1" fontId="7" fillId="4" borderId="0" xfId="0" applyNumberFormat="1" applyFont="1" applyFill="1" applyAlignment="1">
      <alignment horizontal="left" vertical="center" wrapText="1"/>
    </xf>
    <xf numFmtId="0" fontId="7" fillId="4" borderId="0" xfId="0" applyFont="1" applyFill="1" applyAlignment="1">
      <alignment horizontal="left" vertical="center"/>
    </xf>
    <xf numFmtId="0" fontId="7" fillId="4" borderId="0" xfId="0" applyFont="1" applyFill="1" applyAlignment="1">
      <alignment vertical="center" wrapText="1"/>
    </xf>
    <xf numFmtId="1" fontId="7" fillId="4" borderId="0" xfId="0" quotePrefix="1" applyNumberFormat="1" applyFont="1" applyFill="1" applyAlignment="1">
      <alignment horizontal="left" vertical="center" wrapText="1"/>
    </xf>
    <xf numFmtId="0" fontId="5" fillId="3" borderId="0" xfId="0" applyFont="1" applyFill="1" applyAlignment="1">
      <alignment vertical="center"/>
    </xf>
    <xf numFmtId="1" fontId="7" fillId="3" borderId="0" xfId="0" applyNumberFormat="1" applyFont="1" applyFill="1" applyAlignment="1">
      <alignment horizontal="left" vertical="center" wrapText="1"/>
    </xf>
    <xf numFmtId="0" fontId="7" fillId="3" borderId="0" xfId="0" applyFont="1" applyFill="1" applyAlignment="1">
      <alignment vertical="center"/>
    </xf>
    <xf numFmtId="0" fontId="7" fillId="3" borderId="0" xfId="0" applyFont="1" applyFill="1" applyAlignment="1">
      <alignment horizontal="left" vertical="center"/>
    </xf>
    <xf numFmtId="0" fontId="0" fillId="3" borderId="0" xfId="0" applyFill="1" applyAlignment="1">
      <alignment vertical="center"/>
    </xf>
    <xf numFmtId="17" fontId="7" fillId="3" borderId="0" xfId="0" quotePrefix="1" applyNumberFormat="1" applyFont="1" applyFill="1" applyAlignment="1">
      <alignment vertical="center"/>
    </xf>
    <xf numFmtId="0" fontId="5" fillId="23" borderId="0" xfId="0" applyFont="1" applyFill="1" applyAlignment="1">
      <alignment vertical="center"/>
    </xf>
    <xf numFmtId="1" fontId="14" fillId="0" borderId="0" xfId="0" applyNumberFormat="1" applyFont="1" applyAlignment="1">
      <alignment horizontal="left" vertical="center" wrapText="1"/>
    </xf>
    <xf numFmtId="0" fontId="5" fillId="11" borderId="0" xfId="0" applyFont="1" applyFill="1" applyAlignment="1">
      <alignment vertical="center" wrapText="1"/>
    </xf>
    <xf numFmtId="0" fontId="20" fillId="0" borderId="0" xfId="0" applyFont="1" applyAlignment="1">
      <alignment vertical="center"/>
    </xf>
    <xf numFmtId="49" fontId="5" fillId="23" borderId="0" xfId="0" applyNumberFormat="1" applyFont="1" applyFill="1" applyAlignment="1">
      <alignment vertical="center"/>
    </xf>
    <xf numFmtId="1" fontId="14" fillId="11" borderId="0" xfId="0" applyNumberFormat="1" applyFont="1" applyFill="1" applyAlignment="1">
      <alignment horizontal="left" vertical="center" wrapText="1"/>
    </xf>
    <xf numFmtId="0" fontId="5" fillId="22" borderId="0" xfId="0" applyFont="1" applyFill="1" applyAlignment="1">
      <alignment vertical="center"/>
    </xf>
    <xf numFmtId="0" fontId="17" fillId="22" borderId="0" xfId="0" applyFont="1" applyFill="1" applyAlignment="1">
      <alignment vertical="center"/>
    </xf>
    <xf numFmtId="1" fontId="5" fillId="22" borderId="0" xfId="0" applyNumberFormat="1" applyFont="1" applyFill="1" applyAlignment="1">
      <alignment vertical="center"/>
    </xf>
    <xf numFmtId="0" fontId="19" fillId="11" borderId="0" xfId="0" applyFont="1" applyFill="1" applyAlignment="1">
      <alignment vertical="center" wrapText="1"/>
    </xf>
    <xf numFmtId="1" fontId="7" fillId="23" borderId="0" xfId="0" applyNumberFormat="1" applyFont="1" applyFill="1" applyAlignment="1">
      <alignment horizontal="left" vertical="center" wrapText="1"/>
    </xf>
    <xf numFmtId="49" fontId="8" fillId="0" borderId="0" xfId="0" applyNumberFormat="1" applyFont="1" applyAlignment="1">
      <alignment vertical="center"/>
    </xf>
    <xf numFmtId="1" fontId="7" fillId="11" borderId="0" xfId="0" applyNumberFormat="1" applyFont="1" applyFill="1" applyAlignment="1">
      <alignment horizontal="left" vertical="center" wrapText="1"/>
    </xf>
    <xf numFmtId="49" fontId="0" fillId="23" borderId="4" xfId="0" applyNumberFormat="1" applyFill="1" applyBorder="1" applyAlignment="1">
      <alignment vertical="center"/>
    </xf>
    <xf numFmtId="1" fontId="6" fillId="23" borderId="0" xfId="0" applyNumberFormat="1" applyFont="1" applyFill="1" applyAlignment="1">
      <alignment horizontal="left" vertical="center" wrapText="1"/>
    </xf>
    <xf numFmtId="1" fontId="6" fillId="11" borderId="0" xfId="0" applyNumberFormat="1" applyFont="1" applyFill="1" applyAlignment="1">
      <alignment horizontal="left" vertical="center" wrapText="1"/>
    </xf>
    <xf numFmtId="0" fontId="17" fillId="0" borderId="0" xfId="0" applyFont="1" applyAlignment="1">
      <alignment vertical="center"/>
    </xf>
    <xf numFmtId="0" fontId="19" fillId="0" borderId="0" xfId="0" applyFont="1" applyAlignment="1">
      <alignment vertical="center"/>
    </xf>
    <xf numFmtId="49" fontId="19" fillId="0" borderId="0" xfId="0" applyNumberFormat="1" applyFont="1" applyAlignment="1">
      <alignment vertical="center"/>
    </xf>
    <xf numFmtId="49" fontId="0" fillId="4" borderId="0" xfId="0" applyNumberFormat="1" applyFill="1" applyAlignment="1">
      <alignment vertical="center" wrapText="1"/>
    </xf>
    <xf numFmtId="0" fontId="19" fillId="0" borderId="0" xfId="0" applyFont="1" applyAlignment="1">
      <alignment vertical="top"/>
    </xf>
    <xf numFmtId="49" fontId="0" fillId="0" borderId="7" xfId="0" applyNumberFormat="1" applyBorder="1" applyAlignment="1">
      <alignment vertical="center"/>
    </xf>
    <xf numFmtId="49" fontId="19" fillId="0" borderId="4" xfId="0" applyNumberFormat="1" applyFont="1" applyBorder="1" applyAlignment="1">
      <alignment vertical="center"/>
    </xf>
    <xf numFmtId="49" fontId="0" fillId="3" borderId="0" xfId="0" applyNumberFormat="1" applyFill="1" applyAlignment="1">
      <alignment vertical="center"/>
    </xf>
    <xf numFmtId="49" fontId="26" fillId="0" borderId="0" xfId="0" applyNumberFormat="1" applyFont="1" applyAlignment="1">
      <alignment vertical="center"/>
    </xf>
    <xf numFmtId="49" fontId="25" fillId="0" borderId="0" xfId="0" applyNumberFormat="1" applyFont="1" applyAlignment="1">
      <alignment vertical="center" wrapText="1"/>
    </xf>
    <xf numFmtId="0" fontId="27" fillId="0" borderId="0" xfId="0" applyFont="1" applyAlignment="1">
      <alignment vertical="center"/>
    </xf>
    <xf numFmtId="2" fontId="0" fillId="0" borderId="0" xfId="0" applyNumberFormat="1" applyAlignment="1">
      <alignment horizontal="left" vertical="center"/>
    </xf>
    <xf numFmtId="2" fontId="2" fillId="0" borderId="1" xfId="0" applyNumberFormat="1" applyFont="1" applyBorder="1" applyAlignment="1">
      <alignment horizontal="left" vertical="center"/>
    </xf>
    <xf numFmtId="2" fontId="0" fillId="3" borderId="2" xfId="0" applyNumberFormat="1" applyFill="1" applyBorder="1" applyAlignment="1">
      <alignment horizontal="left" vertical="center"/>
    </xf>
    <xf numFmtId="49" fontId="0" fillId="4" borderId="0" xfId="0" applyNumberFormat="1" applyFill="1" applyAlignment="1">
      <alignment horizontal="left" vertical="center"/>
    </xf>
    <xf numFmtId="0" fontId="11" fillId="0" borderId="0" xfId="0" applyFont="1" applyAlignment="1">
      <alignment vertical="center"/>
    </xf>
    <xf numFmtId="49" fontId="25" fillId="0" borderId="0" xfId="0" applyNumberFormat="1" applyFont="1" applyAlignment="1">
      <alignment vertical="center"/>
    </xf>
    <xf numFmtId="0" fontId="25" fillId="0" borderId="0" xfId="0" applyFont="1" applyAlignment="1">
      <alignment vertical="center"/>
    </xf>
    <xf numFmtId="0" fontId="25" fillId="0" borderId="0" xfId="0" applyFont="1" applyAlignment="1">
      <alignment horizontal="center" vertical="center"/>
    </xf>
    <xf numFmtId="49" fontId="8" fillId="4" borderId="0" xfId="0" applyNumberFormat="1" applyFont="1" applyFill="1" applyAlignment="1">
      <alignment vertical="center" wrapText="1"/>
    </xf>
    <xf numFmtId="0" fontId="21" fillId="24" borderId="4" xfId="0" applyFont="1" applyFill="1" applyBorder="1" applyAlignment="1">
      <alignment vertical="center" wrapText="1"/>
    </xf>
    <xf numFmtId="0" fontId="7" fillId="4" borderId="4" xfId="0" applyFont="1" applyFill="1" applyBorder="1" applyAlignment="1">
      <alignment vertical="center"/>
    </xf>
    <xf numFmtId="0" fontId="19" fillId="0" borderId="0" xfId="0" applyFont="1" applyAlignment="1">
      <alignment horizontal="center" vertical="center"/>
    </xf>
    <xf numFmtId="0" fontId="5" fillId="0" borderId="0" xfId="0" applyFont="1" applyAlignment="1">
      <alignment horizontal="center" vertical="center"/>
    </xf>
    <xf numFmtId="0" fontId="19" fillId="11" borderId="0" xfId="0" applyFont="1" applyFill="1" applyAlignment="1">
      <alignment vertical="center"/>
    </xf>
    <xf numFmtId="1" fontId="0" fillId="0" borderId="0" xfId="0" applyNumberFormat="1" applyAlignment="1">
      <alignment horizontal="left" vertical="center"/>
    </xf>
    <xf numFmtId="0" fontId="0" fillId="0" borderId="2" xfId="0" applyBorder="1" applyAlignment="1">
      <alignment horizontal="center" vertical="center"/>
    </xf>
    <xf numFmtId="0" fontId="19" fillId="0" borderId="0" xfId="0" quotePrefix="1" applyFont="1" applyAlignment="1">
      <alignment vertical="center"/>
    </xf>
    <xf numFmtId="1" fontId="19" fillId="0" borderId="0" xfId="0" applyNumberFormat="1" applyFont="1" applyAlignment="1">
      <alignment vertical="center"/>
    </xf>
    <xf numFmtId="1" fontId="11" fillId="0" borderId="0" xfId="0" applyNumberFormat="1" applyFont="1" applyAlignment="1">
      <alignment horizontal="left" vertical="center" wrapText="1"/>
    </xf>
    <xf numFmtId="0" fontId="29" fillId="0" borderId="0" xfId="0" applyFont="1" applyAlignment="1">
      <alignment vertical="center"/>
    </xf>
    <xf numFmtId="49" fontId="19" fillId="0" borderId="0" xfId="0" applyNumberFormat="1" applyFont="1" applyAlignment="1">
      <alignment horizontal="left" vertical="center"/>
    </xf>
    <xf numFmtId="1" fontId="11" fillId="0" borderId="0" xfId="0" applyNumberFormat="1" applyFont="1" applyAlignment="1">
      <alignment horizontal="left" vertical="center"/>
    </xf>
    <xf numFmtId="49" fontId="11" fillId="0" borderId="0" xfId="0" applyNumberFormat="1" applyFont="1" applyAlignment="1">
      <alignment horizontal="left" vertical="center"/>
    </xf>
    <xf numFmtId="0" fontId="11" fillId="0" borderId="0" xfId="0" applyFont="1" applyAlignment="1">
      <alignment horizontal="left" vertical="center"/>
    </xf>
    <xf numFmtId="0" fontId="11" fillId="0" borderId="0" xfId="0" applyFont="1" applyAlignment="1">
      <alignment horizontal="left" vertical="center" wrapText="1"/>
    </xf>
    <xf numFmtId="0" fontId="19" fillId="23" borderId="0" xfId="0" applyFont="1" applyFill="1" applyAlignment="1">
      <alignment vertical="center"/>
    </xf>
    <xf numFmtId="0" fontId="11" fillId="0" borderId="0" xfId="0" applyFont="1" applyAlignment="1">
      <alignment vertical="center" wrapText="1"/>
    </xf>
    <xf numFmtId="1" fontId="11" fillId="0" borderId="0" xfId="0" quotePrefix="1" applyNumberFormat="1" applyFont="1" applyAlignment="1">
      <alignment horizontal="left" vertical="center" wrapText="1"/>
    </xf>
    <xf numFmtId="49" fontId="11" fillId="0" borderId="0" xfId="0" applyNumberFormat="1" applyFont="1" applyAlignment="1">
      <alignment vertical="center"/>
    </xf>
    <xf numFmtId="49" fontId="32" fillId="0" borderId="0" xfId="0" applyNumberFormat="1" applyFont="1" applyAlignment="1">
      <alignment vertical="center"/>
    </xf>
    <xf numFmtId="0" fontId="32" fillId="0" borderId="3" xfId="0" applyFont="1" applyBorder="1" applyAlignment="1">
      <alignment vertical="center"/>
    </xf>
    <xf numFmtId="49" fontId="32" fillId="0" borderId="3" xfId="0" applyNumberFormat="1" applyFont="1" applyBorder="1" applyAlignment="1">
      <alignment vertical="center"/>
    </xf>
    <xf numFmtId="1" fontId="11" fillId="11" borderId="0" xfId="0" applyNumberFormat="1" applyFont="1" applyFill="1" applyAlignment="1">
      <alignment horizontal="left" vertical="center" wrapText="1"/>
    </xf>
    <xf numFmtId="49" fontId="19" fillId="4" borderId="0" xfId="0" applyNumberFormat="1" applyFont="1" applyFill="1" applyAlignment="1">
      <alignment vertical="center"/>
    </xf>
    <xf numFmtId="0" fontId="19" fillId="0" borderId="0" xfId="0" applyFont="1" applyAlignment="1">
      <alignment horizontal="left" vertical="center"/>
    </xf>
    <xf numFmtId="17" fontId="11" fillId="0" borderId="0" xfId="0" quotePrefix="1" applyNumberFormat="1" applyFont="1" applyAlignment="1">
      <alignment horizontal="left" vertical="center"/>
    </xf>
    <xf numFmtId="0" fontId="19" fillId="0" borderId="3" xfId="0" applyFont="1" applyBorder="1" applyAlignment="1">
      <alignment vertical="center"/>
    </xf>
    <xf numFmtId="0" fontId="7" fillId="0" borderId="0" xfId="0" applyFont="1" applyAlignment="1">
      <alignment horizontal="center" vertical="center"/>
    </xf>
    <xf numFmtId="0" fontId="0" fillId="5" borderId="5" xfId="0" applyFill="1" applyBorder="1" applyAlignment="1">
      <alignment horizontal="center" vertical="center"/>
    </xf>
    <xf numFmtId="0" fontId="11" fillId="0" borderId="0" xfId="0" applyFont="1" applyAlignment="1">
      <alignment horizontal="center" vertical="center"/>
    </xf>
    <xf numFmtId="0" fontId="11" fillId="5" borderId="5" xfId="0" applyFont="1" applyFill="1" applyBorder="1" applyAlignment="1">
      <alignment horizontal="center" vertical="center"/>
    </xf>
    <xf numFmtId="0" fontId="19" fillId="5" borderId="5" xfId="0" applyFont="1" applyFill="1" applyBorder="1" applyAlignment="1">
      <alignment horizontal="center" vertical="center"/>
    </xf>
    <xf numFmtId="9" fontId="11" fillId="0" borderId="0" xfId="0" applyNumberFormat="1" applyFont="1" applyAlignment="1">
      <alignment horizontal="left" vertical="center"/>
    </xf>
    <xf numFmtId="17" fontId="11" fillId="0" borderId="0" xfId="0" quotePrefix="1" applyNumberFormat="1" applyFont="1" applyAlignment="1">
      <alignment vertical="center"/>
    </xf>
    <xf numFmtId="0" fontId="19" fillId="0" borderId="0" xfId="0" applyFont="1" applyAlignment="1">
      <alignment vertical="center" wrapText="1"/>
    </xf>
    <xf numFmtId="1" fontId="11" fillId="4" borderId="0" xfId="0" applyNumberFormat="1" applyFont="1" applyFill="1" applyAlignment="1">
      <alignment horizontal="left" vertical="center" wrapText="1"/>
    </xf>
    <xf numFmtId="0" fontId="19" fillId="3" borderId="0" xfId="0" applyFont="1" applyFill="1" applyAlignment="1">
      <alignment vertical="center"/>
    </xf>
    <xf numFmtId="1" fontId="11" fillId="3" borderId="0" xfId="0" applyNumberFormat="1" applyFont="1" applyFill="1" applyAlignment="1">
      <alignment horizontal="left" vertical="center" wrapText="1"/>
    </xf>
    <xf numFmtId="0" fontId="11" fillId="3" borderId="0" xfId="0" applyFont="1" applyFill="1" applyAlignment="1">
      <alignment horizontal="left" vertical="center"/>
    </xf>
    <xf numFmtId="0" fontId="11" fillId="3" borderId="0" xfId="0" applyFont="1" applyFill="1" applyAlignment="1">
      <alignment vertical="center"/>
    </xf>
    <xf numFmtId="0" fontId="35" fillId="24" borderId="0" xfId="0" applyFont="1" applyFill="1" applyAlignment="1">
      <alignment vertical="center"/>
    </xf>
    <xf numFmtId="0" fontId="19" fillId="4" borderId="0" xfId="0" applyFont="1" applyFill="1" applyAlignment="1">
      <alignment vertical="center"/>
    </xf>
    <xf numFmtId="1" fontId="11" fillId="4" borderId="0" xfId="0" applyNumberFormat="1" applyFont="1" applyFill="1" applyAlignment="1">
      <alignment horizontal="left" vertical="center"/>
    </xf>
    <xf numFmtId="49" fontId="11" fillId="4" borderId="0" xfId="0" applyNumberFormat="1" applyFont="1" applyFill="1" applyAlignment="1">
      <alignment horizontal="left" vertical="center"/>
    </xf>
    <xf numFmtId="0" fontId="11" fillId="4" borderId="0" xfId="0" applyFont="1" applyFill="1" applyAlignment="1">
      <alignment vertical="center"/>
    </xf>
    <xf numFmtId="0" fontId="38" fillId="0" borderId="0" xfId="0" applyFont="1" applyAlignment="1">
      <alignment vertical="center"/>
    </xf>
    <xf numFmtId="1" fontId="11" fillId="4" borderId="0" xfId="0" quotePrefix="1" applyNumberFormat="1" applyFont="1" applyFill="1" applyAlignment="1">
      <alignment horizontal="left" vertical="center" wrapText="1"/>
    </xf>
    <xf numFmtId="0" fontId="2" fillId="0" borderId="1" xfId="0" applyFont="1" applyBorder="1" applyAlignment="1">
      <alignment horizontal="center" vertical="center"/>
    </xf>
    <xf numFmtId="0" fontId="2" fillId="0" borderId="0" xfId="0" applyFont="1" applyAlignment="1">
      <alignment horizontal="center" vertical="center"/>
    </xf>
    <xf numFmtId="0" fontId="10" fillId="0" borderId="0" xfId="0" applyFont="1" applyAlignment="1">
      <alignment horizontal="center" vertical="center"/>
    </xf>
    <xf numFmtId="0" fontId="11" fillId="5" borderId="0" xfId="0" applyFont="1" applyFill="1" applyAlignment="1">
      <alignment horizontal="center" vertical="center"/>
    </xf>
    <xf numFmtId="0" fontId="14" fillId="0" borderId="0" xfId="0" applyFont="1" applyAlignment="1">
      <alignment horizontal="center" vertical="center"/>
    </xf>
    <xf numFmtId="0" fontId="12" fillId="12" borderId="0" xfId="0" applyFont="1" applyFill="1" applyAlignment="1">
      <alignment horizontal="center" vertical="center"/>
    </xf>
    <xf numFmtId="0" fontId="10" fillId="12" borderId="0" xfId="0" applyFont="1" applyFill="1" applyAlignment="1">
      <alignment horizontal="center" vertical="center"/>
    </xf>
    <xf numFmtId="0" fontId="10" fillId="6" borderId="0" xfId="0" applyFont="1" applyFill="1" applyAlignment="1">
      <alignment horizontal="center" vertical="center"/>
    </xf>
    <xf numFmtId="0" fontId="0" fillId="8" borderId="0" xfId="0" applyFill="1" applyAlignment="1">
      <alignment horizontal="center" vertical="center"/>
    </xf>
    <xf numFmtId="0" fontId="19" fillId="8" borderId="0" xfId="0" applyFont="1" applyFill="1" applyAlignment="1">
      <alignment horizontal="center" vertical="center"/>
    </xf>
    <xf numFmtId="0" fontId="11" fillId="13" borderId="0" xfId="0" applyFont="1" applyFill="1" applyAlignment="1">
      <alignment horizontal="center" vertical="center"/>
    </xf>
    <xf numFmtId="0" fontId="10" fillId="13" borderId="0" xfId="0" applyFont="1" applyFill="1" applyAlignment="1">
      <alignment horizontal="center" vertical="center"/>
    </xf>
    <xf numFmtId="0" fontId="11" fillId="14" borderId="0" xfId="0" applyFont="1" applyFill="1" applyAlignment="1">
      <alignment horizontal="center" vertical="center"/>
    </xf>
    <xf numFmtId="0" fontId="7" fillId="4" borderId="0" xfId="0" applyFont="1" applyFill="1" applyAlignment="1">
      <alignment horizontal="center" vertical="center"/>
    </xf>
    <xf numFmtId="0" fontId="10" fillId="4" borderId="0" xfId="0" applyFont="1" applyFill="1" applyAlignment="1">
      <alignment horizontal="center" vertical="center"/>
    </xf>
    <xf numFmtId="0" fontId="10" fillId="14" borderId="0" xfId="0" applyFont="1" applyFill="1" applyAlignment="1">
      <alignment horizontal="center" vertical="center"/>
    </xf>
    <xf numFmtId="0" fontId="10" fillId="15" borderId="0" xfId="0" applyFont="1" applyFill="1" applyAlignment="1">
      <alignment horizontal="center" vertical="center"/>
    </xf>
    <xf numFmtId="0" fontId="11" fillId="15" borderId="0" xfId="0" applyFont="1" applyFill="1" applyAlignment="1">
      <alignment horizontal="center" vertical="center"/>
    </xf>
    <xf numFmtId="0" fontId="11" fillId="16" borderId="0" xfId="0" applyFont="1" applyFill="1" applyAlignment="1">
      <alignment horizontal="center" vertical="center"/>
    </xf>
    <xf numFmtId="0" fontId="10" fillId="16" borderId="0" xfId="0" applyFont="1" applyFill="1" applyAlignment="1">
      <alignment horizontal="center" vertical="center"/>
    </xf>
    <xf numFmtId="0" fontId="11" fillId="12" borderId="0" xfId="0" applyFont="1" applyFill="1" applyAlignment="1">
      <alignment horizontal="center" vertical="center"/>
    </xf>
    <xf numFmtId="0" fontId="11" fillId="9" borderId="0" xfId="0" applyFont="1" applyFill="1" applyAlignment="1">
      <alignment horizontal="center" vertical="center"/>
    </xf>
    <xf numFmtId="0" fontId="10" fillId="9" borderId="0" xfId="0" applyFont="1" applyFill="1" applyAlignment="1">
      <alignment horizontal="center" vertical="center"/>
    </xf>
    <xf numFmtId="0" fontId="11" fillId="17" borderId="0" xfId="0" applyFont="1" applyFill="1" applyAlignment="1">
      <alignment horizontal="center" vertical="center"/>
    </xf>
    <xf numFmtId="0" fontId="10" fillId="17" borderId="0" xfId="0" applyFont="1" applyFill="1" applyAlignment="1">
      <alignment horizontal="center" vertical="center"/>
    </xf>
    <xf numFmtId="0" fontId="11" fillId="18" borderId="0" xfId="0" applyFont="1" applyFill="1" applyAlignment="1">
      <alignment horizontal="center" vertical="center"/>
    </xf>
    <xf numFmtId="0" fontId="10" fillId="18" borderId="0" xfId="0" applyFont="1" applyFill="1" applyAlignment="1">
      <alignment horizontal="center" vertical="center"/>
    </xf>
    <xf numFmtId="0" fontId="7" fillId="0" borderId="0" xfId="0" applyFont="1" applyAlignment="1">
      <alignment horizontal="center" vertical="center" wrapText="1"/>
    </xf>
    <xf numFmtId="0" fontId="10" fillId="18" borderId="0" xfId="0" applyFont="1" applyFill="1" applyAlignment="1">
      <alignment horizontal="center" vertical="center" wrapText="1"/>
    </xf>
    <xf numFmtId="0" fontId="11" fillId="2" borderId="0" xfId="0" applyFont="1" applyFill="1" applyAlignment="1">
      <alignment horizontal="center" vertical="center"/>
    </xf>
    <xf numFmtId="0" fontId="11" fillId="19" borderId="0" xfId="0" applyFont="1" applyFill="1" applyAlignment="1">
      <alignment horizontal="center" vertical="center"/>
    </xf>
    <xf numFmtId="0" fontId="10" fillId="19" borderId="0" xfId="0" applyFont="1" applyFill="1" applyAlignment="1">
      <alignment horizontal="center" vertical="center"/>
    </xf>
    <xf numFmtId="0" fontId="10" fillId="8" borderId="0" xfId="0" applyFont="1" applyFill="1" applyAlignment="1">
      <alignment horizontal="center" vertical="center"/>
    </xf>
    <xf numFmtId="0" fontId="11" fillId="8" borderId="0" xfId="0" applyFont="1" applyFill="1" applyAlignment="1">
      <alignment horizontal="center" vertical="center"/>
    </xf>
    <xf numFmtId="0" fontId="11" fillId="9" borderId="5" xfId="0" applyFont="1" applyFill="1" applyBorder="1" applyAlignment="1">
      <alignment horizontal="center" vertical="center"/>
    </xf>
    <xf numFmtId="0" fontId="11" fillId="21" borderId="0" xfId="0" applyFont="1" applyFill="1" applyAlignment="1">
      <alignment horizontal="center" vertical="center"/>
    </xf>
    <xf numFmtId="0" fontId="11" fillId="2" borderId="5" xfId="0" applyFont="1" applyFill="1" applyBorder="1" applyAlignment="1">
      <alignment horizontal="center" vertical="center"/>
    </xf>
    <xf numFmtId="0" fontId="11" fillId="3" borderId="5" xfId="0" applyFont="1" applyFill="1" applyBorder="1" applyAlignment="1">
      <alignment horizontal="center" vertical="center"/>
    </xf>
    <xf numFmtId="0" fontId="11" fillId="10" borderId="5" xfId="0" applyFont="1" applyFill="1" applyBorder="1" applyAlignment="1">
      <alignment horizontal="center" vertical="center"/>
    </xf>
    <xf numFmtId="0" fontId="11" fillId="6" borderId="5" xfId="0" applyFont="1" applyFill="1" applyBorder="1" applyAlignment="1">
      <alignment horizontal="center" vertical="center"/>
    </xf>
    <xf numFmtId="0" fontId="11" fillId="8" borderId="5" xfId="0" applyFont="1" applyFill="1" applyBorder="1" applyAlignment="1">
      <alignment horizontal="center" vertical="center"/>
    </xf>
    <xf numFmtId="0" fontId="11" fillId="7" borderId="5" xfId="0" applyFont="1" applyFill="1" applyBorder="1" applyAlignment="1">
      <alignment horizontal="center" vertical="center"/>
    </xf>
    <xf numFmtId="0" fontId="11" fillId="3" borderId="0" xfId="0" applyFont="1" applyFill="1" applyAlignment="1">
      <alignment horizontal="center" vertical="center"/>
    </xf>
    <xf numFmtId="0" fontId="19" fillId="3" borderId="0" xfId="0" applyFont="1" applyFill="1" applyAlignment="1">
      <alignment horizontal="center" vertical="center"/>
    </xf>
    <xf numFmtId="0" fontId="7" fillId="3" borderId="0" xfId="0" applyFont="1" applyFill="1" applyAlignment="1">
      <alignment horizontal="center" vertical="center"/>
    </xf>
    <xf numFmtId="0" fontId="10" fillId="3" borderId="5" xfId="0" applyFont="1" applyFill="1" applyBorder="1" applyAlignment="1">
      <alignment horizontal="center" vertical="center"/>
    </xf>
    <xf numFmtId="0" fontId="10" fillId="3" borderId="0" xfId="0" applyFont="1" applyFill="1" applyAlignment="1">
      <alignment horizontal="center" vertical="center"/>
    </xf>
    <xf numFmtId="0" fontId="0" fillId="3" borderId="0" xfId="0" applyFill="1" applyAlignment="1">
      <alignment horizontal="center" vertical="center"/>
    </xf>
    <xf numFmtId="0" fontId="11" fillId="4" borderId="0" xfId="0" applyFont="1" applyFill="1" applyAlignment="1">
      <alignment horizontal="center" vertical="center"/>
    </xf>
    <xf numFmtId="0" fontId="6" fillId="16" borderId="0" xfId="0" applyFont="1" applyFill="1" applyAlignment="1">
      <alignment horizontal="center" vertical="center"/>
    </xf>
    <xf numFmtId="0" fontId="11" fillId="20" borderId="0" xfId="0" applyFont="1" applyFill="1" applyAlignment="1">
      <alignment horizontal="center" vertical="center"/>
    </xf>
    <xf numFmtId="0" fontId="10" fillId="20" borderId="0" xfId="0" applyFont="1" applyFill="1" applyAlignment="1">
      <alignment horizontal="center" vertical="center"/>
    </xf>
    <xf numFmtId="0" fontId="5" fillId="23" borderId="0" xfId="0" applyFont="1" applyFill="1" applyAlignment="1">
      <alignment horizontal="center" vertical="center"/>
    </xf>
    <xf numFmtId="0" fontId="19" fillId="9" borderId="5" xfId="0" applyFont="1" applyFill="1" applyBorder="1" applyAlignment="1">
      <alignment horizontal="center" vertical="center"/>
    </xf>
    <xf numFmtId="0" fontId="19" fillId="2" borderId="5" xfId="0" applyFont="1" applyFill="1" applyBorder="1" applyAlignment="1">
      <alignment horizontal="center" vertical="center"/>
    </xf>
    <xf numFmtId="0" fontId="19" fillId="3" borderId="5" xfId="0" applyFont="1" applyFill="1" applyBorder="1" applyAlignment="1">
      <alignment horizontal="center" vertical="center"/>
    </xf>
    <xf numFmtId="0" fontId="9" fillId="10" borderId="5" xfId="0" applyFont="1" applyFill="1" applyBorder="1" applyAlignment="1">
      <alignment horizontal="center" vertical="center"/>
    </xf>
    <xf numFmtId="0" fontId="19" fillId="10" borderId="5" xfId="0" applyFont="1" applyFill="1" applyBorder="1" applyAlignment="1">
      <alignment horizontal="center" vertical="center"/>
    </xf>
    <xf numFmtId="0" fontId="9" fillId="0" borderId="0" xfId="0" applyFont="1" applyAlignment="1">
      <alignment horizontal="center" vertical="center"/>
    </xf>
    <xf numFmtId="0" fontId="19" fillId="6" borderId="5" xfId="0" applyFont="1" applyFill="1" applyBorder="1" applyAlignment="1">
      <alignment horizontal="center" vertical="center"/>
    </xf>
    <xf numFmtId="0" fontId="19" fillId="8" borderId="5" xfId="0" applyFont="1" applyFill="1" applyBorder="1" applyAlignment="1">
      <alignment horizontal="center" vertical="center"/>
    </xf>
    <xf numFmtId="0" fontId="19" fillId="7" borderId="5" xfId="0" applyFont="1" applyFill="1" applyBorder="1" applyAlignment="1">
      <alignment horizontal="center" vertical="center"/>
    </xf>
    <xf numFmtId="0" fontId="9" fillId="5" borderId="5" xfId="0" applyFont="1" applyFill="1" applyBorder="1" applyAlignment="1">
      <alignment horizontal="center" vertical="center"/>
    </xf>
    <xf numFmtId="0" fontId="19" fillId="5" borderId="0" xfId="0" applyFont="1" applyFill="1" applyAlignment="1">
      <alignment horizontal="center" vertical="center"/>
    </xf>
    <xf numFmtId="0" fontId="19" fillId="7" borderId="0" xfId="0" applyFont="1" applyFill="1" applyAlignment="1">
      <alignment horizontal="center" vertical="center"/>
    </xf>
    <xf numFmtId="49" fontId="25" fillId="0" borderId="0" xfId="0" applyNumberFormat="1" applyFont="1" applyAlignment="1">
      <alignment horizontal="center" vertical="center"/>
    </xf>
    <xf numFmtId="0" fontId="25" fillId="20" borderId="0" xfId="0" applyFont="1" applyFill="1" applyAlignment="1">
      <alignment vertical="center"/>
    </xf>
    <xf numFmtId="0" fontId="26" fillId="0" borderId="0" xfId="0" applyFont="1" applyAlignment="1">
      <alignment vertical="center"/>
    </xf>
    <xf numFmtId="0" fontId="26" fillId="0" borderId="0" xfId="0" applyFont="1" applyAlignment="1">
      <alignment horizontal="center" vertical="center"/>
    </xf>
    <xf numFmtId="49" fontId="0" fillId="0" borderId="0" xfId="0" applyNumberFormat="1" applyAlignment="1">
      <alignment horizontal="center" vertical="center"/>
    </xf>
    <xf numFmtId="49" fontId="6" fillId="4" borderId="0" xfId="0" applyNumberFormat="1" applyFont="1" applyFill="1" applyAlignment="1">
      <alignment horizontal="left" vertical="center"/>
    </xf>
    <xf numFmtId="49" fontId="6" fillId="4" borderId="0" xfId="0" quotePrefix="1" applyNumberFormat="1" applyFont="1" applyFill="1" applyAlignment="1">
      <alignment horizontal="left" vertical="center"/>
    </xf>
    <xf numFmtId="49" fontId="7" fillId="4" borderId="0" xfId="0" applyNumberFormat="1" applyFont="1" applyFill="1" applyAlignment="1">
      <alignment horizontal="left" vertical="center"/>
    </xf>
    <xf numFmtId="49" fontId="7" fillId="4" borderId="0" xfId="0" quotePrefix="1" applyNumberFormat="1" applyFont="1" applyFill="1" applyAlignment="1">
      <alignment horizontal="left" vertical="center"/>
    </xf>
    <xf numFmtId="49" fontId="7" fillId="0" borderId="0" xfId="0" applyNumberFormat="1" applyFont="1" applyAlignment="1">
      <alignment horizontal="left" vertical="center"/>
    </xf>
    <xf numFmtId="49" fontId="7" fillId="11" borderId="0" xfId="0" applyNumberFormat="1" applyFont="1" applyFill="1" applyAlignment="1">
      <alignment horizontal="left" vertical="center"/>
    </xf>
    <xf numFmtId="49" fontId="7" fillId="0" borderId="0" xfId="0" quotePrefix="1" applyNumberFormat="1" applyFont="1" applyAlignment="1">
      <alignment horizontal="left" vertical="center"/>
    </xf>
    <xf numFmtId="49" fontId="11" fillId="0" borderId="0" xfId="0" quotePrefix="1" applyNumberFormat="1" applyFont="1" applyAlignment="1">
      <alignment horizontal="left" vertical="center"/>
    </xf>
    <xf numFmtId="49" fontId="7" fillId="0" borderId="0" xfId="0" applyNumberFormat="1" applyFont="1" applyAlignment="1">
      <alignment vertical="center"/>
    </xf>
    <xf numFmtId="49" fontId="11" fillId="0" borderId="6" xfId="0" applyNumberFormat="1" applyFont="1" applyBorder="1" applyAlignment="1">
      <alignment horizontal="left" vertical="center"/>
    </xf>
    <xf numFmtId="49" fontId="11" fillId="3" borderId="6" xfId="0" applyNumberFormat="1" applyFont="1" applyFill="1" applyBorder="1" applyAlignment="1">
      <alignment horizontal="left" vertical="center"/>
    </xf>
    <xf numFmtId="49" fontId="11" fillId="3" borderId="0" xfId="0" applyNumberFormat="1" applyFont="1" applyFill="1" applyAlignment="1">
      <alignment horizontal="left" vertical="center"/>
    </xf>
    <xf numFmtId="49" fontId="7" fillId="3" borderId="0" xfId="0" applyNumberFormat="1" applyFont="1" applyFill="1" applyAlignment="1">
      <alignment horizontal="left" vertical="center"/>
    </xf>
    <xf numFmtId="49" fontId="19" fillId="11" borderId="0" xfId="0" applyNumberFormat="1" applyFont="1" applyFill="1" applyAlignment="1">
      <alignment vertical="center"/>
    </xf>
    <xf numFmtId="49" fontId="0" fillId="20" borderId="0" xfId="0" applyNumberFormat="1" applyFill="1" applyAlignment="1">
      <alignment vertical="center"/>
    </xf>
    <xf numFmtId="49" fontId="0" fillId="20" borderId="0" xfId="0" applyNumberFormat="1" applyFill="1" applyAlignment="1">
      <alignment horizontal="center" vertical="center"/>
    </xf>
    <xf numFmtId="0" fontId="0" fillId="20" borderId="0" xfId="0" applyFill="1" applyAlignment="1">
      <alignment vertical="center"/>
    </xf>
    <xf numFmtId="0" fontId="0" fillId="20" borderId="0" xfId="0" applyFill="1" applyAlignment="1">
      <alignment horizontal="center" vertical="center"/>
    </xf>
    <xf numFmtId="49" fontId="0" fillId="4" borderId="0" xfId="0" applyNumberFormat="1" applyFill="1" applyAlignment="1">
      <alignment horizontal="center" vertical="center"/>
    </xf>
    <xf numFmtId="49" fontId="5" fillId="20" borderId="0" xfId="0" applyNumberFormat="1" applyFont="1" applyFill="1" applyAlignment="1">
      <alignment vertical="center"/>
    </xf>
    <xf numFmtId="49" fontId="8" fillId="20" borderId="0" xfId="0" applyNumberFormat="1" applyFont="1" applyFill="1" applyAlignment="1">
      <alignment vertical="center"/>
    </xf>
    <xf numFmtId="49" fontId="0" fillId="0" borderId="1" xfId="0" applyNumberFormat="1" applyBorder="1" applyAlignment="1">
      <alignment vertical="center"/>
    </xf>
    <xf numFmtId="49" fontId="26" fillId="0" borderId="0" xfId="0" applyNumberFormat="1" applyFont="1" applyAlignment="1">
      <alignment horizontal="center" vertical="center"/>
    </xf>
    <xf numFmtId="0" fontId="0" fillId="26" borderId="0" xfId="0" applyFill="1" applyAlignment="1">
      <alignment vertical="top"/>
    </xf>
    <xf numFmtId="49" fontId="39" fillId="0" borderId="0" xfId="0" applyNumberFormat="1" applyFont="1" applyAlignment="1">
      <alignment vertical="center"/>
    </xf>
    <xf numFmtId="49" fontId="39" fillId="0" borderId="0" xfId="0" applyNumberFormat="1" applyFont="1" applyAlignment="1">
      <alignment horizontal="center" vertical="center"/>
    </xf>
    <xf numFmtId="0" fontId="39" fillId="0" borderId="0" xfId="0" applyFont="1" applyAlignment="1">
      <alignment vertical="center"/>
    </xf>
    <xf numFmtId="0" fontId="39" fillId="0" borderId="0" xfId="0" applyFont="1" applyAlignment="1">
      <alignment horizontal="center" vertical="center"/>
    </xf>
    <xf numFmtId="49" fontId="8" fillId="4" borderId="0" xfId="0" applyNumberFormat="1" applyFont="1" applyFill="1" applyAlignment="1">
      <alignment vertical="center"/>
    </xf>
    <xf numFmtId="49" fontId="0" fillId="16" borderId="0" xfId="0" applyNumberFormat="1" applyFill="1" applyAlignment="1">
      <alignment vertical="center"/>
    </xf>
    <xf numFmtId="49" fontId="0" fillId="16" borderId="0" xfId="0" applyNumberFormat="1" applyFill="1" applyAlignment="1">
      <alignment horizontal="center" vertical="center"/>
    </xf>
    <xf numFmtId="0" fontId="0" fillId="16" borderId="0" xfId="0" applyFill="1" applyAlignment="1">
      <alignment vertical="center"/>
    </xf>
    <xf numFmtId="0" fontId="0" fillId="16" borderId="0" xfId="0" applyFill="1" applyAlignment="1">
      <alignment horizontal="center" vertical="center"/>
    </xf>
    <xf numFmtId="49" fontId="40" fillId="0" borderId="0" xfId="0" applyNumberFormat="1" applyFont="1" applyAlignment="1">
      <alignment vertical="center"/>
    </xf>
    <xf numFmtId="49" fontId="40" fillId="0" borderId="0" xfId="0" applyNumberFormat="1" applyFont="1" applyAlignment="1">
      <alignment horizontal="center" vertical="center"/>
    </xf>
    <xf numFmtId="0" fontId="40" fillId="0" borderId="0" xfId="0" applyFont="1" applyAlignment="1">
      <alignment vertical="center"/>
    </xf>
    <xf numFmtId="0" fontId="40" fillId="0" borderId="0" xfId="0" applyFont="1" applyAlignment="1">
      <alignment horizontal="center" vertical="center"/>
    </xf>
    <xf numFmtId="0" fontId="3" fillId="0" borderId="0" xfId="0" applyFont="1" applyAlignment="1">
      <alignment vertical="center"/>
    </xf>
  </cellXfs>
  <cellStyles count="1">
    <cellStyle name="Normal" xfId="0" builtinId="0"/>
  </cellStyles>
  <dxfs count="120">
    <dxf>
      <font>
        <color rgb="FF9C0006"/>
      </font>
      <fill>
        <patternFill>
          <bgColor rgb="FFFFC7CE"/>
        </patternFill>
      </fill>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horizontal="center" vertical="center" textRotation="0" wrapText="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alignment vertical="center" textRotation="0" indent="0" justifyLastLine="0" shrinkToFit="0" readingOrder="0"/>
    </dxf>
    <dxf>
      <numFmt numFmtId="30" formatCode="@"/>
      <alignment vertical="center" textRotation="0" indent="0" justifyLastLine="0" shrinkToFit="0" readingOrder="0"/>
    </dxf>
    <dxf>
      <numFmt numFmtId="30" formatCode="@"/>
      <alignment vertical="center" textRotation="0" indent="0" justifyLastLine="0" shrinkToFit="0" readingOrder="0"/>
    </dxf>
    <dxf>
      <numFmt numFmtId="30" formatCode="@"/>
      <alignment vertical="center" textRotation="0" indent="0" justifyLastLine="0" shrinkToFit="0" readingOrder="0"/>
    </dxf>
    <dxf>
      <numFmt numFmtId="30" formatCode="@"/>
      <alignment vertical="center" textRotation="0" indent="0" justifyLastLine="0" shrinkToFit="0" readingOrder="0"/>
    </dxf>
    <dxf>
      <numFmt numFmtId="30" formatCode="@"/>
      <alignment vertical="center" textRotation="0" indent="0" justifyLastLine="0" shrinkToFit="0" readingOrder="0"/>
    </dxf>
    <dxf>
      <numFmt numFmtId="30" formatCode="@"/>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numFmt numFmtId="0" formatCode="General"/>
      <alignment horizontal="center" vertical="center" textRotation="0" indent="0" justifyLastLine="0" shrinkToFit="0" readingOrder="0"/>
    </dxf>
    <dxf>
      <numFmt numFmtId="0" formatCode="General"/>
      <alignment horizontal="center" vertical="center" textRotation="0" indent="0" justifyLastLine="0" shrinkToFit="0" readingOrder="0"/>
    </dxf>
    <dxf>
      <numFmt numFmtId="0" formatCode="General"/>
      <alignment horizontal="center" vertical="center" textRotation="0" indent="0" justifyLastLine="0" shrinkToFit="0" readingOrder="0"/>
    </dxf>
    <dxf>
      <numFmt numFmtId="0" formatCode="General"/>
      <alignment horizontal="center" vertical="center" textRotation="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vertical="center" textRotation="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vertical="center" textRotation="0" indent="0" justifyLastLine="0" shrinkToFit="0" readingOrder="0"/>
    </dxf>
    <dxf>
      <numFmt numFmtId="30" formatCode="@"/>
      <alignment vertical="center" textRotation="0" wrapText="0" indent="0" justifyLastLine="0" shrinkToFit="0" readingOrder="0"/>
    </dxf>
    <dxf>
      <numFmt numFmtId="1" formatCode="0"/>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2"/>
        <color rgb="FF000000"/>
        <name val="Calibri"/>
        <family val="2"/>
        <scheme val="minor"/>
      </font>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numFmt numFmtId="0" formatCode="General"/>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font>
        <b val="0"/>
      </font>
      <numFmt numFmtId="0" formatCode="General"/>
      <alignment horizontal="center" vertical="center" textRotation="0" wrapText="0" indent="0" justifyLastLine="0" shrinkToFit="0" readingOrder="0"/>
    </dxf>
    <dxf>
      <font>
        <b val="0"/>
      </font>
      <numFmt numFmtId="0" formatCode="General"/>
      <alignment horizontal="center" vertical="center" textRotation="0" wrapText="0" indent="0" justifyLastLine="0" shrinkToFit="0" readingOrder="0"/>
    </dxf>
    <dxf>
      <font>
        <b val="0"/>
      </font>
      <numFmt numFmtId="0" formatCode="General"/>
      <alignment horizontal="center" vertical="center" textRotation="0" wrapText="0" indent="0" justifyLastLine="0" shrinkToFit="0" readingOrder="0"/>
    </dxf>
    <dxf>
      <font>
        <b val="0"/>
      </font>
      <numFmt numFmtId="0" formatCode="General"/>
      <alignment horizontal="center" vertical="center" textRotation="0" wrapText="0" indent="0" justifyLastLine="0" shrinkToFit="0" readingOrder="0"/>
    </dxf>
    <dxf>
      <font>
        <b val="0"/>
      </font>
      <numFmt numFmtId="0" formatCode="General"/>
      <alignment horizontal="center" vertical="center" textRotation="0" wrapText="0" indent="0" justifyLastLine="0" shrinkToFit="0" readingOrder="0"/>
    </dxf>
    <dxf>
      <font>
        <b val="0"/>
      </font>
      <numFmt numFmtId="0" formatCode="General"/>
      <alignment horizontal="center" vertical="center" textRotation="0" wrapText="0" indent="0" justifyLastLine="0" shrinkToFit="0" readingOrder="0"/>
    </dxf>
    <dxf>
      <font>
        <b val="0"/>
      </font>
      <numFmt numFmtId="0" formatCode="General"/>
      <alignment horizontal="center" vertical="center" textRotation="0" wrapText="0" indent="0" justifyLastLine="0" shrinkToFit="0" readingOrder="0"/>
    </dxf>
    <dxf>
      <font>
        <b val="0"/>
      </font>
      <numFmt numFmtId="0" formatCode="General"/>
      <alignment horizontal="center" vertical="center" textRotation="0" wrapText="0" indent="0" justifyLastLine="0" shrinkToFit="0" readingOrder="0"/>
    </dxf>
    <dxf>
      <font>
        <b val="0"/>
      </font>
      <numFmt numFmtId="0" formatCode="General"/>
      <alignment vertical="center" textRotation="0" wrapText="0" indent="0" justifyLastLine="0" shrinkToFit="0" readingOrder="0"/>
    </dxf>
    <dxf>
      <font>
        <b val="0"/>
      </font>
      <numFmt numFmtId="0" formatCode="General"/>
      <alignment vertical="center" textRotation="0" wrapText="0" indent="0" justifyLastLine="0" shrinkToFit="0" readingOrder="0"/>
    </dxf>
    <dxf>
      <font>
        <b val="0"/>
      </font>
      <numFmt numFmtId="0" formatCode="General"/>
      <alignment vertical="center" textRotation="0" wrapText="0" indent="0" justifyLastLine="0" shrinkToFit="0" readingOrder="0"/>
    </dxf>
    <dxf>
      <font>
        <b val="0"/>
      </font>
      <numFmt numFmtId="0" formatCode="General"/>
      <alignment vertical="center" textRotation="0" wrapText="0" indent="0" justifyLastLine="0" shrinkToFit="0" readingOrder="0"/>
    </dxf>
    <dxf>
      <font>
        <b val="0"/>
      </font>
      <numFmt numFmtId="0" formatCode="General"/>
      <alignment vertical="center" textRotation="0" wrapText="0" indent="0" justifyLastLine="0" shrinkToFit="0" readingOrder="0"/>
    </dxf>
    <dxf>
      <font>
        <b val="0"/>
      </font>
      <numFmt numFmtId="0" formatCode="General"/>
      <alignment vertical="center" textRotation="0" wrapText="0" indent="0" justifyLastLine="0" shrinkToFit="0" readingOrder="0"/>
    </dxf>
    <dxf>
      <font>
        <b val="0"/>
      </font>
      <numFmt numFmtId="0" formatCode="General"/>
      <alignment vertical="center" textRotation="0" wrapText="0" indent="0" justifyLastLine="0" shrinkToFit="0" readingOrder="0"/>
    </dxf>
    <dxf>
      <font>
        <b val="0"/>
      </font>
      <numFmt numFmtId="0" formatCode="General"/>
      <alignment vertical="center" textRotation="0" wrapText="0" indent="0" justifyLastLine="0" shrinkToFit="0" readingOrder="0"/>
    </dxf>
    <dxf>
      <font>
        <b val="0"/>
      </font>
      <numFmt numFmtId="0" formatCode="General"/>
      <alignment vertical="center" textRotation="0" wrapText="0" indent="0" justifyLastLine="0" shrinkToFit="0" readingOrder="0"/>
    </dxf>
    <dxf>
      <font>
        <b val="0"/>
      </font>
      <numFmt numFmtId="0" formatCode="General"/>
      <alignment vertical="center" textRotation="0" wrapText="0" indent="0" justifyLastLine="0" shrinkToFit="0" readingOrder="0"/>
    </dxf>
    <dxf>
      <font>
        <b val="0"/>
      </font>
      <numFmt numFmtId="0" formatCode="General"/>
      <alignment vertical="center" textRotation="0" wrapText="0" indent="0" justifyLastLine="0" shrinkToFit="0" readingOrder="0"/>
    </dxf>
    <dxf>
      <font>
        <b val="0"/>
      </font>
      <numFmt numFmtId="0" formatCode="General"/>
      <alignment vertical="center" textRotation="0" wrapText="0" indent="0" justifyLastLine="0" shrinkToFit="0" readingOrder="0"/>
    </dxf>
    <dxf>
      <font>
        <b val="0"/>
      </font>
      <numFmt numFmtId="0" formatCode="General"/>
      <alignment vertical="center" textRotation="0" wrapText="0" indent="0" justifyLastLine="0" shrinkToFit="0" readingOrder="0"/>
    </dxf>
    <dxf>
      <font>
        <b val="0"/>
      </font>
      <numFmt numFmtId="0" formatCode="General"/>
      <alignment vertical="center" textRotation="0" wrapText="0" indent="0" justifyLastLine="0" shrinkToFit="0" readingOrder="0"/>
    </dxf>
    <dxf>
      <font>
        <b val="0"/>
      </font>
      <numFmt numFmtId="0" formatCode="General"/>
      <alignment vertical="center" textRotation="0" wrapText="0" indent="0" justifyLastLine="0" shrinkToFit="0" readingOrder="0"/>
    </dxf>
    <dxf>
      <font>
        <b val="0"/>
      </font>
      <numFmt numFmtId="0" formatCode="General"/>
      <alignment vertical="center" textRotation="0" wrapText="0" indent="0" justifyLastLine="0" shrinkToFit="0" readingOrder="0"/>
    </dxf>
    <dxf>
      <font>
        <b val="0"/>
      </font>
      <numFmt numFmtId="0" formatCode="General"/>
      <alignment vertical="center" textRotation="0" wrapText="0" indent="0" justifyLastLine="0" shrinkToFit="0" readingOrder="0"/>
    </dxf>
    <dxf>
      <font>
        <b val="0"/>
      </font>
      <numFmt numFmtId="0" formatCode="General"/>
      <alignment vertical="center" textRotation="0" wrapText="0" indent="0" justifyLastLine="0" shrinkToFit="0" readingOrder="0"/>
    </dxf>
    <dxf>
      <font>
        <b val="0"/>
      </font>
      <numFmt numFmtId="0" formatCode="General"/>
      <alignment vertical="center" textRotation="0" wrapText="0" indent="0" justifyLastLine="0" shrinkToFit="0" readingOrder="0"/>
    </dxf>
    <dxf>
      <font>
        <b val="0"/>
      </font>
      <numFmt numFmtId="0" formatCode="General"/>
      <alignment horizontal="center" vertical="center" textRotation="0" wrapText="0" indent="0" justifyLastLine="0" shrinkToFit="0" readingOrder="0"/>
    </dxf>
    <dxf>
      <font>
        <b val="0"/>
      </font>
      <numFmt numFmtId="0" formatCode="General"/>
      <alignment vertical="center" textRotation="0" wrapText="0" indent="0" justifyLastLine="0" shrinkToFit="0" readingOrder="0"/>
    </dxf>
    <dxf>
      <font>
        <b val="0"/>
      </font>
      <numFmt numFmtId="0" formatCode="General"/>
      <alignment vertical="center" textRotation="0" wrapText="0" indent="0" justifyLastLine="0" shrinkToFit="0" readingOrder="0"/>
    </dxf>
    <dxf>
      <font>
        <b val="0"/>
      </font>
      <numFmt numFmtId="0" formatCode="General"/>
      <alignment vertical="center" textRotation="0" wrapText="0" indent="0" justifyLastLine="0" shrinkToFit="0" readingOrder="0"/>
    </dxf>
    <dxf>
      <font>
        <b val="0"/>
      </font>
      <numFmt numFmtId="0" formatCode="General"/>
      <alignment vertical="center" textRotation="0" wrapText="0" indent="0" justifyLastLine="0" shrinkToFit="0" readingOrder="0"/>
    </dxf>
    <dxf>
      <font>
        <b val="0"/>
      </font>
      <numFmt numFmtId="0" formatCode="General"/>
      <alignment vertical="center" textRotation="0" wrapText="0" indent="0" justifyLastLine="0" shrinkToFit="0" readingOrder="0"/>
    </dxf>
    <dxf>
      <font>
        <b val="0"/>
      </font>
      <numFmt numFmtId="0" formatCode="General"/>
      <alignment vertical="center" textRotation="0" wrapText="0" indent="0" justifyLastLine="0" shrinkToFit="0" readingOrder="0"/>
    </dxf>
    <dxf>
      <font>
        <b val="0"/>
      </font>
      <numFmt numFmtId="0" formatCode="General"/>
      <alignment vertical="center" textRotation="0" wrapText="0" indent="0" justifyLastLine="0" shrinkToFit="0" readingOrder="0"/>
    </dxf>
    <dxf>
      <font>
        <b val="0"/>
      </font>
      <numFmt numFmtId="0" formatCode="General"/>
      <alignment vertical="center" textRotation="0" wrapText="0" indent="0" justifyLastLine="0" shrinkToFit="0" readingOrder="0"/>
    </dxf>
    <dxf>
      <font>
        <b val="0"/>
      </font>
      <numFmt numFmtId="0" formatCode="General"/>
      <alignment vertical="center" textRotation="0" wrapText="0" indent="0" justifyLastLine="0" shrinkToFit="0" readingOrder="0"/>
    </dxf>
    <dxf>
      <font>
        <b val="0"/>
      </font>
      <numFmt numFmtId="0" formatCode="General"/>
      <alignment vertical="center" textRotation="0" wrapText="0" indent="0" justifyLastLine="0" shrinkToFit="0" readingOrder="0"/>
    </dxf>
    <dxf>
      <alignment horizontal="general" vertical="center" textRotation="0" wrapText="0" indent="0" justifyLastLine="0" shrinkToFit="0" readingOrder="0"/>
    </dxf>
    <dxf>
      <font>
        <b val="0"/>
      </font>
      <alignment vertical="center" textRotation="0" wrapText="0" indent="0" justifyLastLine="0" shrinkToFit="0" readingOrder="0"/>
    </dxf>
    <dxf>
      <font>
        <b val="0"/>
      </font>
      <numFmt numFmtId="30" formatCode="@"/>
      <alignment horizontal="center" vertical="center" textRotation="0" wrapText="0" indent="0" justifyLastLine="0" shrinkToFit="0" readingOrder="0"/>
    </dxf>
    <dxf>
      <font>
        <b val="0"/>
      </font>
      <numFmt numFmtId="30" formatCode="@"/>
      <alignment horizontal="center" vertical="center" textRotation="0" wrapText="0" indent="0" justifyLastLine="0" shrinkToFit="0" readingOrder="0"/>
    </dxf>
    <dxf>
      <font>
        <b val="0"/>
      </font>
      <numFmt numFmtId="30" formatCode="@"/>
      <alignment horizontal="center" vertical="center" textRotation="0" wrapText="0" indent="0" justifyLastLine="0" shrinkToFit="0" readingOrder="0"/>
    </dxf>
    <dxf>
      <font>
        <b val="0"/>
      </font>
      <numFmt numFmtId="30" formatCode="@"/>
      <alignment horizontal="center" vertical="center" textRotation="0" wrapText="0" indent="0" justifyLastLine="0" shrinkToFit="0" readingOrder="0"/>
    </dxf>
    <dxf>
      <font>
        <b val="0"/>
      </font>
      <numFmt numFmtId="30" formatCode="@"/>
      <alignment vertical="center" textRotation="0" wrapText="0" indent="0" justifyLastLine="0" shrinkToFit="0" readingOrder="0"/>
    </dxf>
    <dxf>
      <font>
        <b val="0"/>
      </font>
      <numFmt numFmtId="30" formatCode="@"/>
      <alignment vertical="center" textRotation="0" wrapText="0" indent="0" justifyLastLine="0" shrinkToFit="0" readingOrder="0"/>
    </dxf>
    <dxf>
      <font>
        <b val="0"/>
      </font>
      <alignment vertical="center" textRotation="0" wrapText="0" indent="0" justifyLastLine="0" shrinkToFit="0" readingOrder="0"/>
    </dxf>
    <dxf>
      <alignment vertical="center" textRotation="0" wrapText="0" indent="0" justifyLastLine="0" shrinkToFit="0" readingOrder="0"/>
    </dxf>
  </dxfs>
  <tableStyles count="1" defaultTableStyle="TableStyleMedium2" defaultPivotStyle="PivotStyleLight16">
    <tableStyle name="Invisible" pivot="0" table="0" count="0" xr9:uid="{1BD052DB-A462-4D99-B9C0-375FBA2C9FA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3.xml"/></Relationships>
</file>

<file path=xl/documenttasks/documenttask1.xml><?xml version="1.0" encoding="utf-8"?>
<Tasks xmlns="http://schemas.microsoft.com/office/tasks/2019/documenttasks">
  <Task id="{44B0D736-F7F2-4A4E-9E30-9DCFFD7385FF}">
    <Anchor>
      <Comment id="{40E6C55D-8465-4587-8BC1-D70E24E74BA2}"/>
    </Anchor>
    <History>
      <Event time="2026-06-18T10:10:42.99" id="{B0916AB8-942D-4A2E-8CB3-DDD68B3EF01A}">
        <Attribution userId="S::hti@sucafina.com::429c7a3c-1790-4ef4-a7d9-9da96de6b942" userName="Hue Thanh" userProvider="AD"/>
        <Anchor>
          <Comment id="{40E6C55D-8465-4587-8BC1-D70E24E74BA2}"/>
        </Anchor>
        <Create/>
      </Event>
      <Event time="2026-06-18T10:10:42.99" id="{0B38190C-E4BF-48AA-904B-2FBD30356755}">
        <Attribution userId="S::hti@sucafina.com::429c7a3c-1790-4ef4-a7d9-9da96de6b942" userName="Hue Thanh" userProvider="AD"/>
        <Anchor>
          <Comment id="{40E6C55D-8465-4587-8BC1-D70E24E74BA2}"/>
        </Anchor>
        <Assign userId="S::hti@sucafina.com::429c7a3c-1790-4ef4-a7d9-9da96de6b942" userName="Hue Thanh" userProvider="AD"/>
      </Event>
      <Event time="2026-06-18T10:10:42.99" id="{AC3A52E0-53AD-48B0-9ECD-4920DFBF63C9}">
        <Attribution userId="S::hti@sucafina.com::429c7a3c-1790-4ef4-a7d9-9da96de6b942" userName="Hue Thanh" userProvider="AD"/>
        <Anchor>
          <Comment id="{40E6C55D-8465-4587-8BC1-D70E24E74BA2}"/>
        </Anchor>
        <SetTitle title="@Hue Thanh to modify reporting file accordingly"/>
      </Event>
    </History>
  </Task>
  <Task id="{860BB74A-DBF6-49EE-9B10-E6816B3E153A}">
    <Anchor>
      <Comment id="{ED0B27EF-1D3D-4D2B-AFF4-B66B139B9974}"/>
    </Anchor>
    <History>
      <Event time="2024-11-26T04:40:52.35" id="{881D84A1-0034-40A9-A9E7-4F6BAE69368A}">
        <Attribution userId="S::hti@sucafina.com::429c7a3c-1790-4ef4-a7d9-9da96de6b942" userName="Hue Thanh" userProvider="AD"/>
        <Anchor>
          <Comment id="{ED0B27EF-1D3D-4D2B-AFF4-B66B139B9974}"/>
        </Anchor>
        <Create/>
      </Event>
      <Event time="2024-11-26T04:40:52.35" id="{3D5F51A6-1124-4142-9BAC-D4BADB24EBF2}">
        <Attribution userId="S::hti@sucafina.com::429c7a3c-1790-4ef4-a7d9-9da96de6b942" userName="Hue Thanh" userProvider="AD"/>
        <Anchor>
          <Comment id="{ED0B27EF-1D3D-4D2B-AFF4-B66B139B9974}"/>
        </Anchor>
        <Assign userId="S::wym@sucafina.com::3758a2c7-f63e-4aef-9b5d-a95ee75c050b" userName="Wytze Marinus" userProvider="AD"/>
      </Event>
      <Event time="2024-11-26T04:40:52.35" id="{BEB3AAE2-9021-4436-966D-B4A09E6BCC46}">
        <Attribution userId="S::hti@sucafina.com::429c7a3c-1790-4ef4-a7d9-9da96de6b942" userName="Hue Thanh" userProvider="AD"/>
        <Anchor>
          <Comment id="{ED0B27EF-1D3D-4D2B-AFF4-B66B139B9974}"/>
        </Anchor>
        <SetTitle title="@Wytze Marinus is this a real question or just an 'introduction' for the following ones?"/>
      </Event>
      <Event time="2024-11-26T11:35:27.66" id="{3963569D-8975-46D5-81AF-6542F6A49391}">
        <Attribution userId="S::hti@sucafina.com::429c7a3c-1790-4ef4-a7d9-9da96de6b942" userName="Hue Thanh" userProvider="AD"/>
        <Progress percentComplete="100"/>
      </Event>
      <Event time="2025-01-16T02:56:17.07" id="{EA7C2858-CBF2-4506-B432-8A92877BED68}">
        <Attribution userId="S::hti@sucafina.com::429c7a3c-1790-4ef4-a7d9-9da96de6b942" userName="Hue Thanh" userProvider="AD"/>
        <Progress percentComplete="0"/>
      </Event>
    </History>
  </Task>
  <Task id="{03DAFE66-C459-40B5-B0D2-98899DCA52A0}">
    <Anchor>
      <Comment id="{6F5C6DBA-F2F8-4791-BAC7-5004E7D662DB}"/>
    </Anchor>
    <History>
      <Event time="2026-06-16T08:32:00.30" id="{C2D3D257-481E-4020-B022-5DB8119477E3}">
        <Attribution userId="S::hti@sucafina.com::429c7a3c-1790-4ef4-a7d9-9da96de6b942" userName="Hue Thanh" userProvider="AD"/>
        <Anchor>
          <Comment id="{6F5C6DBA-F2F8-4791-BAC7-5004E7D662DB}"/>
        </Anchor>
        <Create/>
      </Event>
      <Event time="2026-06-16T08:32:00.30" id="{0858AE7F-E4C7-4803-8C77-EB19CB1C6E00}">
        <Attribution userId="S::hti@sucafina.com::429c7a3c-1790-4ef4-a7d9-9da96de6b942" userName="Hue Thanh" userProvider="AD"/>
        <Anchor>
          <Comment id="{6F5C6DBA-F2F8-4791-BAC7-5004E7D662DB}"/>
        </Anchor>
        <Assign userId="S::hti@sucafina.com::429c7a3c-1790-4ef4-a7d9-9da96de6b942" userName="Hue Thanh" userProvider="AD"/>
      </Event>
      <Event time="2026-06-16T08:32:00.30" id="{9008E538-B035-41AA-8AD7-13BE8FB49909}">
        <Attribution userId="S::hti@sucafina.com::429c7a3c-1790-4ef4-a7d9-9da96de6b942" userName="Hue Thanh" userProvider="AD"/>
        <Anchor>
          <Comment id="{6F5C6DBA-F2F8-4791-BAC7-5004E7D662DB}"/>
        </Anchor>
        <SetTitle title="should we have separate questions for pesticides and herbicides? @Hue Thanh"/>
      </Event>
    </History>
  </Task>
  <Task id="{0866BEAD-5717-49EE-A090-3AA43F6A8C3E}">
    <Anchor>
      <Comment id="{1615E11E-0790-47B6-B8D2-76A688BE382D}"/>
    </Anchor>
    <History>
      <Event time="2026-06-18T10:10:42.99" id="{B0916AB8-942D-4A2E-8CB3-DDD68B3EF01A}">
        <Attribution userId="S::hti@sucafina.com::429c7a3c-1790-4ef4-a7d9-9da96de6b942" userName="Hue Thanh" userProvider="AD"/>
        <Anchor>
          <Comment id="{1615E11E-0790-47B6-B8D2-76A688BE382D}"/>
        </Anchor>
        <Create/>
      </Event>
      <Event time="2026-06-18T10:10:42.99" id="{0B38190C-E4BF-48AA-904B-2FBD30356755}">
        <Attribution userId="S::hti@sucafina.com::429c7a3c-1790-4ef4-a7d9-9da96de6b942" userName="Hue Thanh" userProvider="AD"/>
        <Anchor>
          <Comment id="{1615E11E-0790-47B6-B8D2-76A688BE382D}"/>
        </Anchor>
        <Assign userId="S::hti@sucafina.com::429c7a3c-1790-4ef4-a7d9-9da96de6b942" userName="Hue Thanh" userProvider="AD"/>
      </Event>
      <Event time="2026-06-18T10:10:42.99" id="{AC3A52E0-53AD-48B0-9ECD-4920DFBF63C9}">
        <Attribution userId="S::hti@sucafina.com::429c7a3c-1790-4ef4-a7d9-9da96de6b942" userName="Hue Thanh" userProvider="AD"/>
        <Anchor>
          <Comment id="{1615E11E-0790-47B6-B8D2-76A688BE382D}"/>
        </Anchor>
        <SetTitle title="@Hue Thanh to modify reporting file accordingly"/>
      </Event>
    </History>
  </Task>
</Tasks>
</file>

<file path=xl/persons/person.xml><?xml version="1.0" encoding="utf-8"?>
<personList xmlns="http://schemas.microsoft.com/office/spreadsheetml/2018/threadedcomments" xmlns:x="http://schemas.openxmlformats.org/spreadsheetml/2006/main">
  <person displayName="Isaac Etungu" id="{2E212703-88FE-40BB-B13B-E066CF1C21FA}" userId="Isaac Etungu" providerId="None"/>
  <person displayName="Hue Thanh" id="{9601E1DF-EC3E-4989-A7B0-59A99046BDCE}" userId="hti@sucafina.com" providerId="PeoplePicker"/>
  <person displayName="Wytze Marinus" id="{06FCAFBB-6C80-4BB5-9249-62A466F0E2B6}" userId="wym@sucafina.com" providerId="PeoplePicker"/>
  <person displayName="Hue Thanh" id="{084BF22E-E515-448F-B52D-285189AB4BF0}" userId="S::hti@sucafina.com::429c7a3c-1790-4ef4-a7d9-9da96de6b942" providerId="AD"/>
  <person displayName="Isaac Etungu" id="{2639C2AC-BAE2-4CE2-8D09-8FBC99015BF5}" userId="S::iet@sucafina.com::f334e89e-1ef6-4355-85df-a5589a8a39ee" providerId="AD"/>
  <person displayName="Wytze Marinus" id="{813DD752-FDB0-459D-8D1D-6DCF2C91443E}" userId="S::wym@sucafina.com::3758a2c7-f63e-4aef-9b5d-a95ee75c050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655981-67BF-3B46-BCDE-D48D30B8BE2A}" name="questions" displayName="questions" ref="A15:AS1844" totalsRowShown="0" headerRowDxfId="71" dataDxfId="70">
  <autoFilter ref="A15:AS1844" xr:uid="{56655981-67BF-3B46-BCDE-D48D30B8BE2A}"/>
  <sortState xmlns:xlrd2="http://schemas.microsoft.com/office/spreadsheetml/2017/richdata2" ref="A1133:AS1430">
    <sortCondition ref="F15:F1430"/>
  </sortState>
  <tableColumns count="45">
    <tableColumn id="1" xr3:uid="{091BF2B9-7D15-0F44-865C-1D0E741858C5}" name="qid" dataDxfId="69">
      <calculatedColumnFormula>_xlfn.TEXTJOIN("_",TRUE,questions[[#This Row],[origin]:[qno]])</calculatedColumnFormula>
    </tableColumn>
    <tableColumn id="2" xr3:uid="{3D9109FC-AA08-E747-845F-215CA4AA7ED4}" name="origin" dataDxfId="68"/>
    <tableColumn id="3" xr3:uid="{F978C5EE-EDB8-5A43-85B3-7672F15AD5AE}" name="variety" dataDxfId="67"/>
    <tableColumn id="4" xr3:uid="{C13270FD-B4F1-5B46-A9AE-33B6747841EE}" name="supply_chain" dataDxfId="66"/>
    <tableColumn id="11" xr3:uid="{A26AAEEF-1C2F-491C-80DB-EA6D64653824}" name="year_of_survey" dataDxfId="65"/>
    <tableColumn id="10" xr3:uid="{537EEF5C-A507-4FA6-A582-22809415C645}" name="qno" dataDxfId="64"/>
    <tableColumn id="6" xr3:uid="{7AD3AFC7-1F6A-B442-A699-4B636B79AE40}" name="question" dataDxfId="63"/>
    <tableColumn id="45" xr3:uid="{018573CD-5427-614C-8E20-A70541BF7EA8}" name="question_objective_text (not localized, only to help)" dataDxfId="62">
      <calculatedColumnFormula array="1">INDEX(stableR[question],MATCH(VALUE(questions[[#This Row],[qno]]),VALUE(stableR[qno]),0))</calculatedColumnFormula>
    </tableColumn>
    <tableColumn id="15" xr3:uid="{8463AC07-CE3C-EB4E-9218-06C11F89918F}" name="is_fixed" dataDxfId="61">
      <calculatedColumnFormula array="1">INDEX(stable[is_fixed],MATCH(VALUE(questions[[#This Row],[qno]]),VALUE(stable[qno]),0))</calculatedColumnFormula>
    </tableColumn>
    <tableColumn id="16" xr3:uid="{8B13C3B4-FEC9-5C4D-AB34-15B7860E9645}" name="is_localized" dataDxfId="60">
      <calculatedColumnFormula array="1">INDEX(stable[is_localized],MATCH(VALUE(questions[[#This Row],[qno]]),VALUE(stable[qno]),0))</calculatedColumnFormula>
    </tableColumn>
    <tableColumn id="17" xr3:uid="{0141AFEA-899D-FC4E-BFAF-B6A2DF99F66E}" name="is_supply_chain_dependent" dataDxfId="59">
      <calculatedColumnFormula array="1">INDEX(stable[is_supply_chain_dependent],MATCH(VALUE(questions[[#This Row],[qno]]),VALUE(stable[qno]),0))</calculatedColumnFormula>
    </tableColumn>
    <tableColumn id="7" xr3:uid="{7FE0D837-8317-894B-B56C-FC2452B3ED92}" name="is_mandatory" dataDxfId="58">
      <calculatedColumnFormula array="1">INDEX(stable[is_mandatory],MATCH(VALUE(questions[[#This Row],[qno]]),VALUE(stable[qno]),0))</calculatedColumnFormula>
    </tableColumn>
    <tableColumn id="20" xr3:uid="{421DDA43-5EBF-0D43-A553-C9F8C32E36BD}" name="is_automated" dataDxfId="57">
      <calculatedColumnFormula array="1">INDEX(stable[is_automated],MATCH(VALUE(questions[[#This Row],[qno]]),VALUE(stable[qno]),0))</calculatedColumnFormula>
    </tableColumn>
    <tableColumn id="13" xr3:uid="{C89C4175-8BD4-F347-850B-CAB1BA8F6FB6}" name="is_free_text" dataDxfId="56">
      <calculatedColumnFormula array="1">INDEX(stable[is_free_text],MATCH(VALUE(questions[[#This Row],[qno]]),VALUE(stable[qno]),0))</calculatedColumnFormula>
    </tableColumn>
    <tableColumn id="14" xr3:uid="{434583C7-DB49-6749-AC21-1D89E0F5FD62}" name="is_numerical" dataDxfId="55">
      <calculatedColumnFormula array="1">INDEX(stable[is_numerical],MATCH(VALUE(questions[[#This Row],[qno]]),VALUE(stable[qno]),0))</calculatedColumnFormula>
    </tableColumn>
    <tableColumn id="8" xr3:uid="{1766CE69-1746-BE44-9036-75D196FA5896}" name="is_single_select" dataDxfId="54">
      <calculatedColumnFormula array="1">INDEX(stable[is_single_select],MATCH(VALUE(questions[[#This Row],[qno]]),VALUE(stable[qno]),0))</calculatedColumnFormula>
    </tableColumn>
    <tableColumn id="9" xr3:uid="{B3902549-8C27-A241-A88D-80BA739D93F0}" name="is_multi_select" dataDxfId="53">
      <calculatedColumnFormula array="1">INDEX(stable[is_multi_select],MATCH(VALUE(questions[[#This Row],[qno]]),VALUE(stable[qno]),0))</calculatedColumnFormula>
    </tableColumn>
    <tableColumn id="22" xr3:uid="{DCC2510C-586A-472D-868E-0232B4C5BEA1}" name="is_skip_logic" dataDxfId="52">
      <calculatedColumnFormula array="1">INDEX(stable[is_skip_logic],MATCH(VALUE(questions[[#This Row],[qno]]),VALUE(stable[qno]),0))</calculatedColumnFormula>
    </tableColumn>
    <tableColumn id="25" xr3:uid="{3CC259C2-9F8E-0947-9FAB-2ED119C15FDC}" name="answer_opt_combined" dataDxfId="51">
      <calculatedColumnFormula>_xlfn.TEXTJOIN(", ",TRUE,questions[[#This Row],[ans_opt_1]:[ans_opt_14]])</calculatedColumnFormula>
    </tableColumn>
    <tableColumn id="28" xr3:uid="{2B27F32A-09C7-4028-9CCB-5094B57B9A1D}" name="ans_opt_1" dataDxfId="50"/>
    <tableColumn id="29" xr3:uid="{BD2320D4-5DE6-4FC6-9DFB-A253559C3415}" name="ans_opt_2" dataDxfId="49"/>
    <tableColumn id="30" xr3:uid="{51036F27-1C11-450E-9C67-938FE6CD320F}" name="ans_opt_3" dataDxfId="48"/>
    <tableColumn id="31" xr3:uid="{FE4FDA48-B402-42D3-981D-076290CC328A}" name="ans_opt_4" dataDxfId="47"/>
    <tableColumn id="32" xr3:uid="{18DB5953-C43E-4192-9485-55D55A88C3A9}" name="ans_opt_5" dataDxfId="46"/>
    <tableColumn id="33" xr3:uid="{22A19639-0128-445C-9F1D-6DE327D5998E}" name="ans_opt_6" dataDxfId="45"/>
    <tableColumn id="34" xr3:uid="{DBFC045A-77A3-4300-9317-0211E4233A0F}" name="ans_opt_7" dataDxfId="44"/>
    <tableColumn id="35" xr3:uid="{62C520D4-94D6-4559-AB4A-062B13AA0E6B}" name="ans_opt_8" dataDxfId="43"/>
    <tableColumn id="36" xr3:uid="{4892B77F-B205-4847-94F1-330A43595CA9}" name="ans_opt_9" dataDxfId="42"/>
    <tableColumn id="37" xr3:uid="{C88C1E8A-AEDD-4648-8BF9-0EBEB7A35DF4}" name="ans_opt_10" dataDxfId="41"/>
    <tableColumn id="38" xr3:uid="{C138E52F-37DB-4B75-8FF4-1BFB54BB258C}" name="ans_opt_11" dataDxfId="40"/>
    <tableColumn id="39" xr3:uid="{958B288E-D663-4D57-BB20-44E4984DEF86}" name="ans_opt_12" dataDxfId="39"/>
    <tableColumn id="21" xr3:uid="{4B6D99F0-D4F7-447E-BA74-9AC35FA654F0}" name="ans_opt_13" dataDxfId="38"/>
    <tableColumn id="12" xr3:uid="{B504F472-1C07-4F79-87BE-C6B6C44B2ECB}" name="ans_opt_14" dataDxfId="37"/>
    <tableColumn id="23" xr3:uid="{BE0C78DF-3ED5-42FF-B901-1CF6FC16E749}" name="q_standard" dataDxfId="36">
      <calculatedColumnFormula>INDEX(stable[q_standard],MATCH(questions[[#This Row],[qno]],stable[qno],0))</calculatedColumnFormula>
    </tableColumn>
    <tableColumn id="24" xr3:uid="{7B10364D-2F3D-4148-90EA-A705FD0ACCCD}" name="q_living_income" dataDxfId="35">
      <calculatedColumnFormula>INDEX(stable[q_living_income],MATCH(questions[[#This Row],[qno]],stable[qno],0))</calculatedColumnFormula>
    </tableColumn>
    <tableColumn id="43" xr3:uid="{96A5DE42-72F5-4586-8345-F0931B300088}" name="q_carbon" dataDxfId="34">
      <calculatedColumnFormula>INDEX(stable[q_carbon],MATCH(questions[[#This Row],[qno]],stable[qno],0))</calculatedColumnFormula>
    </tableColumn>
    <tableColumn id="44" xr3:uid="{62868E24-24D3-44DB-8433-ED0D62A92DED}" name="q_regen_ag" dataDxfId="33">
      <calculatedColumnFormula>INDEX(stable[q_regen_ag],MATCH(questions[[#This Row],[qno]],stable[qno],0))</calculatedColumnFormula>
    </tableColumn>
    <tableColumn id="5" xr3:uid="{FFCACABA-AE09-ED48-9922-03034A114BEB}" name="check_if_number_is_unique" dataDxfId="32">
      <calculatedColumnFormula>COUNTIFS(stable[qno],questions[[#This Row],[qno]])=1</calculatedColumnFormula>
    </tableColumn>
    <tableColumn id="18" xr3:uid="{E67A6AB7-176E-E542-BC4B-F5636E0DC4D5}" name="check_for_type" dataDxfId="31">
      <calculatedColumnFormula>OR(questions[[#This Row],[is_fixed]],questions[[#This Row],[is_localized]],questions[[#This Row],[is_supply_chain_dependent]])</calculatedColumnFormula>
    </tableColumn>
    <tableColumn id="19" xr3:uid="{6239E27D-4602-554E-831D-264F2E0142E8}" name="check_for_response" dataDxfId="30">
      <calculatedColumnFormula>COUNTIFS(questions[[#This Row],[is_automated]:[is_multi_select]],TRUE)=1</calculatedColumnFormula>
    </tableColumn>
    <tableColumn id="40" xr3:uid="{21C4E036-B17A-724B-A370-CC95DE43B2E9}" name="check_for_fixed_questions" dataDxfId="29">
      <calculatedColumnFormula>IF(questions[[#This Row],[is_fixed]],questions[[#This Row],[question]]=INDEX(stable[question],MATCH(questions[[#This Row],[qno]],stable[qno],0)),TRUE)</calculatedColumnFormula>
    </tableColumn>
    <tableColumn id="26" xr3:uid="{32696B30-B161-0B4B-A051-199EBE2ACB13}" name="question_first_characters" dataDxfId="28">
      <calculatedColumnFormula>LEFT(questions[[#This Row],[question]],similarity_range)</calculatedColumnFormula>
    </tableColumn>
    <tableColumn id="27" xr3:uid="{E015A60A-6512-3D4D-828F-2BAA942BF01A}" name="stability_first_characters" dataDxfId="27">
      <calculatedColumnFormula>LEFT(INDEX(stable[question],MATCH(questions[[#This Row],[qno]],stable[qno],0)),similarity_range)</calculatedColumnFormula>
    </tableColumn>
    <tableColumn id="41" xr3:uid="{162325BA-21A7-3A47-B660-67548AE6D7E7}" name="check_for_similarity" dataDxfId="26">
      <calculatedColumnFormula>questions[[#This Row],[question_first_characters]]=questions[[#This Row],[stability_first_characters]]</calculatedColumnFormula>
    </tableColumn>
    <tableColumn id="42" xr3:uid="{AB77F82B-7141-CC45-9CAC-87EEAD208312}" name="check_if_options_are_provided" dataDxfId="25">
      <calculatedColumnFormula>IF(OR(questions[[#This Row],[is_single_select]],questions[[#This Row],[is_multi_select]]),NOT(ISBLANK(questions[[#This Row],[answer_opt_combined]])),TRUE)</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C7A9308-6B26-CB4A-A6CA-779C68905FDC}" name="stable" displayName="stable" ref="A13:V228" totalsRowShown="0" headerRowDxfId="24" dataDxfId="23">
  <autoFilter ref="A13:V228" xr:uid="{2C7A9308-6B26-CB4A-A6CA-779C68905FDC}"/>
  <sortState xmlns:xlrd2="http://schemas.microsoft.com/office/spreadsheetml/2017/richdata2" ref="A14:R228">
    <sortCondition ref="A13:A228"/>
  </sortState>
  <tableColumns count="22">
    <tableColumn id="1" xr3:uid="{330F1F10-5EAB-C74B-AAAD-060A400B13AD}" name="qno" dataDxfId="22">
      <calculatedColumnFormula>_xlfn.CONCAT(stable[[#This Row],[group_0_no]:[order_no]])</calculatedColumnFormula>
    </tableColumn>
    <tableColumn id="20" xr3:uid="{219BC062-7A2A-4544-9165-0DC3AECCC766}" name="question" dataDxfId="21"/>
    <tableColumn id="5" xr3:uid="{86B38CD0-4B38-9047-B02D-639C208D85B2}" name="group_0_no" dataDxfId="20"/>
    <tableColumn id="8" xr3:uid="{49184517-5D29-4A46-86D8-F9797BD1F6B0}" name="subgroup_1_no" dataDxfId="19"/>
    <tableColumn id="7" xr3:uid="{A97D3E27-522D-2940-ADD1-EAF5FBB2F641}" name="subgroup_2_no" dataDxfId="18"/>
    <tableColumn id="6" xr3:uid="{2B21300A-F015-544C-96EB-6C715454E579}" name="order_no" dataDxfId="17"/>
    <tableColumn id="2" xr3:uid="{BDBC1DC0-1371-2A46-9A22-67AF33FF418D}" name="q_group" dataDxfId="16"/>
    <tableColumn id="9" xr3:uid="{79010487-BE38-C640-86B9-7D62CE9B58BA}" name="is_fixed" dataDxfId="15"/>
    <tableColumn id="10" xr3:uid="{00A46916-7B12-214C-8BF7-E23D628D05BF}" name="is_localized" dataDxfId="14"/>
    <tableColumn id="11" xr3:uid="{FEEA2056-527A-C340-B9BC-F34CC5A532C9}" name="is_supply_chain_dependent" dataDxfId="13"/>
    <tableColumn id="17" xr3:uid="{C150E212-B731-DF4E-81D1-5FAEB862C144}" name="is_mandatory" dataDxfId="12"/>
    <tableColumn id="19" xr3:uid="{BB287C7F-64EA-E744-8CAE-95FF6BD0DAF3}" name="is_automated" dataDxfId="11"/>
    <tableColumn id="21" xr3:uid="{CA364271-B028-D740-9AFE-4CB8FD19E9E1}" name="is_free_text" dataDxfId="10"/>
    <tableColumn id="22" xr3:uid="{C757C095-3EBD-994A-939E-82D7B1203D09}" name="is_numerical" dataDxfId="9"/>
    <tableColumn id="23" xr3:uid="{371DCB07-4177-A648-BE67-EE6414678A54}" name="is_single_select" dataDxfId="8"/>
    <tableColumn id="24" xr3:uid="{B710067D-EBE4-F241-B435-8676B699C43F}" name="is_multi_select" dataDxfId="7"/>
    <tableColumn id="4" xr3:uid="{D7E66CA3-D1A0-481D-BA0E-A3CCC4F1B35C}" name="is_skip_logic" dataDxfId="6"/>
    <tableColumn id="3" xr3:uid="{76EA7E49-3E6B-0845-AE1B-177855123592}" name="is_duplicate" dataDxfId="5">
      <calculatedColumnFormula>COUNTIFS(stable[q_group],stable[[#This Row],[q_group]])</calculatedColumnFormula>
    </tableColumn>
    <tableColumn id="12" xr3:uid="{16E63EA8-ECAA-473E-8C40-258241C87137}" name="q_standard" dataDxfId="4"/>
    <tableColumn id="13" xr3:uid="{D1BC1495-073E-42DF-92CA-F6F9AE0A0088}" name="q_living_income" dataDxfId="3"/>
    <tableColumn id="14" xr3:uid="{5DC45222-EDD7-4988-AAFC-CFE7A5C894C9}" name="q_carbon" dataDxfId="2"/>
    <tableColumn id="15" xr3:uid="{39B624EE-D8A9-4384-9B68-156C799B3C3C}" name="q_regen_ag" dataDxfId="1"/>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6D8D4AA-B9B0-4374-BD3F-CC9046F0B045}" name="stableR" displayName="stableR" ref="A13:AT228" totalsRowShown="0" headerRowDxfId="119" dataDxfId="118">
  <autoFilter ref="A13:AT228" xr:uid="{2C7A9308-6B26-CB4A-A6CA-779C68905FDC}"/>
  <sortState xmlns:xlrd2="http://schemas.microsoft.com/office/spreadsheetml/2017/richdata2" ref="A14:S228">
    <sortCondition ref="A13:A228"/>
  </sortState>
  <tableColumns count="46">
    <tableColumn id="1" xr3:uid="{38DC37BD-1A62-437A-855F-D598A449984D}" name="qno" dataDxfId="117">
      <calculatedColumnFormula>_xlfn.CONCAT(stableR[[#This Row],[group_0_no]:[order_no]])</calculatedColumnFormula>
    </tableColumn>
    <tableColumn id="20" xr3:uid="{23A30CA2-66E3-49D0-BC33-D4B7579B26A9}" name="question" dataDxfId="116"/>
    <tableColumn id="5" xr3:uid="{8DFCB882-AE32-47AA-841A-D91AB459972B}" name="group_0_no" dataDxfId="115"/>
    <tableColumn id="8" xr3:uid="{621A6D4F-8087-4C18-A1C5-BBC65159888E}" name="subgroup_1_no" dataDxfId="114"/>
    <tableColumn id="7" xr3:uid="{0BCD22C0-832D-4A71-807C-25F47F601157}" name="subgroup_2_no" dataDxfId="113"/>
    <tableColumn id="6" xr3:uid="{11D2E95E-CC75-496C-9F4A-2CE1225A1C15}" name="order_no" dataDxfId="112"/>
    <tableColumn id="2" xr3:uid="{EE736664-FEB7-4756-86A6-986232F448D0}" name="q_group" dataDxfId="111"/>
    <tableColumn id="46" xr3:uid="{AAA19FA9-66B7-4880-BFED-0E52F048C37C}" name="qn_is_considered" dataDxfId="110"/>
    <tableColumn id="9" xr3:uid="{CE4870B0-2B75-4B1D-BC14-2254F03D609E}" name="is_fixed" dataDxfId="109"/>
    <tableColumn id="10" xr3:uid="{8FCAB7A6-CF16-4D73-B18B-CF89A07FDAA4}" name="is_localized" dataDxfId="108"/>
    <tableColumn id="11" xr3:uid="{931FD530-A5D3-45E0-9E4F-A62FE7482DBE}" name="is_supply_chain_dependent" dataDxfId="107"/>
    <tableColumn id="17" xr3:uid="{DFB9E2DA-A060-4132-841C-35644D1C35B6}" name="is_mandatory" dataDxfId="106"/>
    <tableColumn id="19" xr3:uid="{96BA4C57-8635-45F7-B2D2-CC196B617860}" name="is_automated" dataDxfId="105"/>
    <tableColumn id="21" xr3:uid="{D3153950-4A35-4F4F-A08E-C715D922B994}" name="is_free_text" dataDxfId="104"/>
    <tableColumn id="22" xr3:uid="{4DB104CB-6C35-42D2-B34A-A779F5CD9B4F}" name="is_numerical" dataDxfId="103"/>
    <tableColumn id="23" xr3:uid="{29DAEC66-E6D2-491B-8AD0-2A7A6DD5437F}" name="is_single_select" dataDxfId="102"/>
    <tableColumn id="24" xr3:uid="{106C9398-EA14-444A-B808-CBCEE412B17A}" name="is_multi_select" dataDxfId="101"/>
    <tableColumn id="4" xr3:uid="{F77AB009-6D0B-4F5D-95CC-2DD2A42C0FE3}" name="is_skip_logic" dataDxfId="100"/>
    <tableColumn id="3" xr3:uid="{9F4BCDFB-BBAB-4DC4-B718-A189903930A4}" name="is_duplicate" dataDxfId="99">
      <calculatedColumnFormula>COUNTIFS(stableR[q_group],stableR[[#This Row],[q_group]])</calculatedColumnFormula>
    </tableColumn>
    <tableColumn id="12" xr3:uid="{458A9DF0-BDCF-49DF-91E3-BFED9B620F7E}" name="q_standard" dataDxfId="98"/>
    <tableColumn id="13" xr3:uid="{3DE3E77B-4C70-4D7E-904B-6141B1CD39AD}" name="q_living_income" dataDxfId="97"/>
    <tableColumn id="14" xr3:uid="{9CE7A6E0-3366-4218-99E5-5768452569C9}" name="q_carbon" dataDxfId="96"/>
    <tableColumn id="15" xr3:uid="{B3448CAE-8A08-42A5-898E-A72809B1404A}" name="q_regen_ag" dataDxfId="95"/>
    <tableColumn id="18" xr3:uid="{2EF87771-DEA0-4306-B441-619CE47A8414}" name="answer_opt_combined" dataDxfId="94">
      <calculatedColumnFormula>_xlfn.TEXTJOIN(", ",TRUE,stableR[[#This Row],[ans_opt_1]:[ans_opt_14]])</calculatedColumnFormula>
    </tableColumn>
    <tableColumn id="25" xr3:uid="{A922CE27-28B5-4F46-9231-F4D13197766B}" name="ans_opt_1" dataDxfId="93"/>
    <tableColumn id="26" xr3:uid="{3501CBC8-B2B2-4E96-8FE7-99C5549290ED}" name="ans_opt_2" dataDxfId="92"/>
    <tableColumn id="27" xr3:uid="{69DC8056-8AC3-4FA0-A142-E68181F12D14}" name="ans_opt_3" dataDxfId="91"/>
    <tableColumn id="28" xr3:uid="{859A9EB9-3E1D-4033-95E3-B13A126D06C8}" name="ans_opt_4" dataDxfId="90"/>
    <tableColumn id="29" xr3:uid="{AF11C386-B04E-4B45-B37B-85BA51E1EDB2}" name="ans_opt_5" dataDxfId="89"/>
    <tableColumn id="30" xr3:uid="{587979A3-CA21-4B3A-83B3-79019569BEDC}" name="ans_opt_6" dataDxfId="88"/>
    <tableColumn id="31" xr3:uid="{01B0B626-1390-473B-BF6B-07166911B948}" name="ans_opt_7" dataDxfId="87"/>
    <tableColumn id="32" xr3:uid="{CAEE5484-5D33-4CE2-9ADB-46E4126BB473}" name="ans_opt_8" dataDxfId="86"/>
    <tableColumn id="33" xr3:uid="{334D1C8D-F453-45E5-91CF-6443B826B6A0}" name="ans_opt_9" dataDxfId="85"/>
    <tableColumn id="34" xr3:uid="{AC4FE289-B15E-471F-975B-DEADDBC1AEE4}" name="ans_opt_10" dataDxfId="84"/>
    <tableColumn id="35" xr3:uid="{A8BEE276-8C4E-4022-9DF0-83BE3B05B35E}" name="ans_opt_11" dataDxfId="83"/>
    <tableColumn id="36" xr3:uid="{81B5779C-9820-4BF7-A5E3-5FA8F8D68D56}" name="ans_opt_12" dataDxfId="82"/>
    <tableColumn id="37" xr3:uid="{D6C4E213-4B41-47EC-A642-02AF1D83CAC0}" name="ans_opt_13" dataDxfId="81"/>
    <tableColumn id="38" xr3:uid="{D5EFEEEE-F4A2-4A9D-8C96-57C2F697B2C0}" name="ans_opt_14" dataDxfId="80"/>
    <tableColumn id="39" xr3:uid="{823555E4-21BB-47A4-923C-5DF9BAEF491E}" name="Uganda" dataDxfId="79"/>
    <tableColumn id="40" xr3:uid="{653AE434-CE1D-4D3C-B2DA-D77419236C27}" name="Kenya" dataDxfId="78">
      <calculatedColumnFormula>COUNTIFS(questions[qno],stableR[[#This Row],[qno]],questions[year_of_survey],2025,questions[origin],"Kenya")&gt;0</calculatedColumnFormula>
    </tableColumn>
    <tableColumn id="41" xr3:uid="{6AFC955B-A9A5-4E85-BB87-7DEFA2616488}" name="Rwanda" dataDxfId="77">
      <calculatedColumnFormula>COUNTIFS(questions[qno],stableR[[#This Row],[qno]],questions[year_of_survey],2025,questions[origin],"Rwanda")&gt;0</calculatedColumnFormula>
    </tableColumn>
    <tableColumn id="42" xr3:uid="{A2726C85-E7F3-4E25-8D11-29745EA2B22E}" name="Burundi" dataDxfId="76">
      <calculatedColumnFormula>COUNTIFS(questions[qno],stableR[[#This Row],[qno]],questions[year_of_survey],2026,questions[origin],"Burundi")&gt;0</calculatedColumnFormula>
    </tableColumn>
    <tableColumn id="43" xr3:uid="{64DCA7B6-79E5-45F4-8422-B9A211DC50A2}" name="Indonesia" dataDxfId="75">
      <calculatedColumnFormula>COUNTIFS(questions[qno],stableR[[#This Row],[qno]],questions[year_of_survey],"",questions[origin],"Indonesia")&gt;0</calculatedColumnFormula>
    </tableColumn>
    <tableColumn id="44" xr3:uid="{1F100D45-05E8-4F56-8178-B2773FB67FA7}" name="Vietnam" dataDxfId="74">
      <calculatedColumnFormula>COUNTIFS(questions[qno],stableR[[#This Row],[qno]],questions[year_of_survey],2025,questions[origin],"Vietnam")&gt;0</calculatedColumnFormula>
    </tableColumn>
    <tableColumn id="45" xr3:uid="{D26D02C0-1955-43B8-BD8B-135FDE4C09D1}" name="Brazil" dataDxfId="73"/>
    <tableColumn id="16" xr3:uid="{27B11599-D7AF-4016-8265-22F81B1A692A}" name="Colombia" dataDxfId="72"/>
  </tableColumns>
  <tableStyleInfo name="TableStyleLight9" showFirstColumn="0" showLastColumn="0" showRowStripes="1" showColumnStripes="0"/>
</table>
</file>

<file path=xl/theme/theme1.xml><?xml version="1.0" encoding="utf-8"?>
<a:theme xmlns:a="http://schemas.openxmlformats.org/drawingml/2006/main" name="Theme5">
  <a:themeElements>
    <a:clrScheme name="Personnalisé 10">
      <a:dk1>
        <a:sysClr val="windowText" lastClr="000000"/>
      </a:dk1>
      <a:lt1>
        <a:sysClr val="window" lastClr="FFFFFF"/>
      </a:lt1>
      <a:dk2>
        <a:srgbClr val="51534A"/>
      </a:dk2>
      <a:lt2>
        <a:srgbClr val="968C83"/>
      </a:lt2>
      <a:accent1>
        <a:srgbClr val="007680"/>
      </a:accent1>
      <a:accent2>
        <a:srgbClr val="968C83"/>
      </a:accent2>
      <a:accent3>
        <a:srgbClr val="97D700"/>
      </a:accent3>
      <a:accent4>
        <a:srgbClr val="B9975B"/>
      </a:accent4>
      <a:accent5>
        <a:srgbClr val="6FA287"/>
      </a:accent5>
      <a:accent6>
        <a:srgbClr val="A7BDB1"/>
      </a:accent6>
      <a:hlink>
        <a:srgbClr val="003D6A"/>
      </a:hlink>
      <a:folHlink>
        <a:srgbClr val="DAE8EA"/>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Them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2"/>
        </a:solidFill>
        <a:ln>
          <a:noFill/>
        </a:ln>
      </a:spPr>
      <a:bodyPr lIns="180000" tIns="180000" rIns="180000" bIns="180000" rtlCol="0" anchor="t"/>
      <a:lstStyle>
        <a:defPPr algn="l">
          <a:lnSpc>
            <a:spcPts val="1800"/>
          </a:lnSpc>
          <a:spcBef>
            <a:spcPts val="1200"/>
          </a:spcBef>
          <a:defRPr sz="1600" b="1" cap="all" dirty="0" smtClean="0"/>
        </a:defPPr>
      </a:lstStyle>
      <a:style>
        <a:lnRef idx="2">
          <a:schemeClr val="accent1">
            <a:shade val="50000"/>
          </a:schemeClr>
        </a:lnRef>
        <a:fillRef idx="1">
          <a:schemeClr val="accent1"/>
        </a:fillRef>
        <a:effectRef idx="0">
          <a:schemeClr val="accent1"/>
        </a:effectRef>
        <a:fontRef idx="minor">
          <a:schemeClr val="lt1"/>
        </a:fontRef>
      </a:style>
    </a:spDef>
    <a:txDef>
      <a:spPr>
        <a:noFill/>
      </a:spPr>
      <a:bodyPr wrap="square" lIns="0" tIns="0" rIns="0" bIns="0" rtlCol="0">
        <a:spAutoFit/>
      </a:bodyPr>
      <a:lstStyle>
        <a:defPPr algn="l">
          <a:lnSpc>
            <a:spcPts val="1500"/>
          </a:lnSpc>
          <a:defRPr sz="1300" dirty="0" err="1" smtClean="0">
            <a:solidFill>
              <a:schemeClr val="tx2"/>
            </a:solidFill>
          </a:defRPr>
        </a:defPPr>
      </a:lstStyle>
    </a:txDef>
  </a:objectDefaults>
  <a:extraClrSchemeLst/>
  <a:extLst>
    <a:ext uri="{05A4C25C-085E-4340-85A3-A5531E510DB2}">
      <thm15:themeFamily xmlns:thm15="http://schemas.microsoft.com/office/thememl/2012/main" name="Theme5" id="{18FCBEC6-0026-EA4C-AD97-80F36FF3271A}" vid="{A88C0E18-70D3-1D49-B174-7C534892CE7C}"/>
    </a:ext>
  </a:extLst>
</a:theme>
</file>

<file path=xl/threadedComments/threadedComment1.xml><?xml version="1.0" encoding="utf-8"?>
<ThreadedComments xmlns="http://schemas.microsoft.com/office/spreadsheetml/2018/threadedcomments" xmlns:x="http://schemas.openxmlformats.org/spreadsheetml/2006/main">
  <threadedComment ref="H539" dT="2024-07-19T03:17:35.57" personId="{084BF22E-E515-448F-B52D-285189AB4BF0}" id="{A82B7D82-0DE6-4EC6-B7AC-0C30FDF5EB1C}" done="1">
    <text>should "In case you are part of multiple certification schemes, consider the one that you are in longest." be added as in the updated question on the left so as to facilitate responses?</text>
  </threadedComment>
  <threadedComment ref="H539" dT="2024-07-19T09:47:25.54" personId="{813DD752-FDB0-459D-8D1D-6DCF2C91443E}" id="{C86DB961-B9F8-4413-B299-B83403146FD4}" parentId="{A82B7D82-0DE6-4EC6-B7AC-0C30FDF5EB1C}">
    <text>Yes this can be adjusted in the Stability sheet and should be the standard from now on</text>
  </threadedComment>
  <threadedComment ref="H539" dT="2024-07-22T02:45:08.49" personId="{084BF22E-E515-448F-B52D-285189AB4BF0}" id="{F929C7C2-B8F1-47F0-9E69-7072B8D03BA6}" parentId="{A82B7D82-0DE6-4EC6-B7AC-0C30FDF5EB1C}">
    <text>thanks! Stability sheet adjusted</text>
  </threadedComment>
  <threadedComment ref="H547" dT="2024-07-19T03:57:06.86" personId="{084BF22E-E515-448F-B52D-285189AB4BF0}" id="{235E9066-A8D4-4522-89FF-441D02B56CCC}" done="1">
    <text>should we also change this question to Area (hectares/acre) instead of the number of plots? (Which are we more interested in knowing, area or no. of plots?)</text>
  </threadedComment>
  <threadedComment ref="H547" dT="2024-07-19T09:57:13.23" personId="{813DD752-FDB0-459D-8D1D-6DCF2C91443E}" id="{70FE1B80-E7F8-4EDF-86F3-7AA290272FE8}" parentId="{235E9066-A8D4-4522-89FF-441D02B56CCC}">
    <text>See previous comment</text>
  </threadedComment>
  <threadedComment ref="H547" dT="2024-07-22T03:09:02.20" personId="{084BF22E-E515-448F-B52D-285189AB4BF0}" id="{D8EBCF0D-2C9D-46AA-B04D-E59F48387391}" parentId="{235E9066-A8D4-4522-89FF-441D02B56CCC}">
    <text>well noted, thanks!</text>
  </threadedComment>
  <threadedComment ref="G569" dT="2024-08-08T08:11:17.24" personId="{084BF22E-E515-448F-B52D-285189AB4BF0}" id="{9FFC6A80-8743-4480-A059-9051411114DA}">
    <text>to ask Eddy/Collins to add a section at the end of the survey in Cropin for enumerator to take a picture of the plot after polygon mapping</text>
  </threadedComment>
  <threadedComment ref="G580" dT="2024-07-22T04:21:37.37" personId="{084BF22E-E515-448F-B52D-285189AB4BF0}" id="{5DFAD93F-770A-4DD1-9324-5BF6475C06EF}" done="1">
    <text>needs a preceding question!</text>
  </threadedComment>
  <threadedComment ref="G580" dT="2024-07-22T07:45:34.75" personId="{813DD752-FDB0-459D-8D1D-6DCF2C91443E}" id="{FD1F7F90-950F-4E9B-85E7-CD4B836B232E}" parentId="{5DFAD93F-770A-4DD1-9324-5BF6475C06EF}">
    <text>Yes, I agree, this refers somewhat awkwardly to question 5600, but we never got feedback that it causes confusion and I think it is quite simple like this. Let's keep it like it is until we have a tool with skiplogic</text>
  </threadedComment>
  <threadedComment ref="G583" dT="2024-07-22T04:22:49.53" personId="{084BF22E-E515-448F-B52D-285189AB4BF0}" id="{D3E1BD1F-83D0-4DCF-AF83-EC969D6BF622}" done="1">
    <text>needs a preceding question!</text>
  </threadedComment>
  <threadedComment ref="G583" dT="2024-07-22T07:45:10.26" personId="{813DD752-FDB0-459D-8D1D-6DCF2C91443E}" id="{635AEE29-5D10-42DA-B206-C3E107F590E0}" parentId="{D3E1BD1F-83D0-4DCF-AF83-EC969D6BF622}">
    <text xml:space="preserve">Yes, I agree, this refers somewhat awkwardly to question 5600, but we never got feedback that it causes confusion and I think it is quite simple like this. Let's keep it like it is until we have a tool with skiplogic  </text>
  </threadedComment>
  <threadedComment ref="G583" dT="2024-07-22T09:27:00.93" personId="{084BF22E-E515-448F-B52D-285189AB4BF0}" id="{55DBDB6D-9C49-4BAC-B1FD-61CF955A2E0D}" parentId="{D3E1BD1F-83D0-4DCF-AF83-EC969D6BF622}">
    <text>okay, thanks!</text>
  </threadedComment>
  <threadedComment ref="Q680" dT="2024-07-22T09:37:33.14" personId="{084BF22E-E515-448F-B52D-285189AB4BF0}" id="{CCB7856F-AA46-4979-BF1D-6CE15CB4DEFE}" done="1">
    <text xml:space="preserve">should this be TRUE instead? </text>
  </threadedComment>
  <threadedComment ref="N697" dT="2024-07-24T03:40:49.74" personId="{084BF22E-E515-448F-B52D-285189AB4BF0}" id="{DE903623-FFD5-4801-B873-12D9D97F512C}">
    <text>?</text>
  </threadedComment>
  <threadedComment ref="G699" dT="2024-08-16T09:21:19.80" personId="{813DD752-FDB0-459D-8D1D-6DCF2C91443E}" id="{2011C117-545B-49B2-8D1A-D7E066FDC272}">
    <text xml:space="preserve">Can this be a question with a fixed, prefilled answer (kg)? Is that possible in Cropin? </text>
  </threadedComment>
  <threadedComment ref="G702" dT="2024-08-16T09:21:25.57" personId="{813DD752-FDB0-459D-8D1D-6DCF2C91443E}" id="{3E2AA507-C95A-4554-9025-BE184BB2CD48}">
    <text xml:space="preserve">Can this be a question with a fixed, prefilled answer (kg)? Is that possible in Cropin? </text>
  </threadedComment>
  <threadedComment ref="G705" dT="2024-08-16T09:21:30.53" personId="{813DD752-FDB0-459D-8D1D-6DCF2C91443E}" id="{01D8F301-F172-4681-834A-C8F1280DA83D}">
    <text xml:space="preserve">Can this be a question with a fixed, prefilled answer (kg)? Is that possible in Cropin? </text>
  </threadedComment>
  <threadedComment ref="G1014" dT="2025-03-21T07:16:56.82" personId="{084BF22E-E515-448F-B52D-285189AB4BF0}" id="{D8578DC7-91EC-42AC-8484-471C40A16CB1}">
    <text>in the Vietnamse version, Nhu set the answer for this question as "Lime" so as to ensure that Lime is accounted for among the fertilizers..</text>
  </threadedComment>
  <threadedComment ref="G1113" dT="2025-03-28T07:53:46.23" personId="{084BF22E-E515-448F-B52D-285189AB4BF0}" id="{63F13FE0-322E-4497-AED9-3D64D68030AC}">
    <text>answer options were adapted to the below (global team forgot to adjust the answer options when sharing the survey questions with VN team, so VN team did the adjustment from their end..)
Apply to coffee farms within the supply, right after processing (e.g. after de-pulping in wet processing and after de-husking in dry processing) without composting
Apply to other crops without composting
Compost and add to coffee farms within the supply chain
Compost and add to other farms outside the supply chain
Temporarily left untreated in a heap/pit (max. 6 months), after which it is applied to the coffee farms within the supply chain
Temporarily left untreated in a heap/pit (max. 6 months), after which it sold or given away (outside the supply chain)
Leave them in a pile untreated (min. 6 months or longer) and then applied to the coffee farms within the supply chain
Leave them in a pile untreated (min. 6 months or longer), no other management
Burned at washingstation/hulling station/dry mill
Sell to a buyer or given away (outside the supply chain)</text>
  </threadedComment>
  <threadedComment ref="AB1157" dT="2025-05-20T06:44:53.07" personId="{084BF22E-E515-448F-B52D-285189AB4BF0}" id="{9A97827D-3D1B-4E49-B4CB-484A893F8D83}">
    <text>does SAP provide a space for specifying this?</text>
  </threadedComment>
  <threadedComment ref="S1172" dT="2025-05-20T07:30:55.87" personId="{084BF22E-E515-448F-B52D-285189AB4BF0}" id="{5500CC0F-C7B5-4DAB-B455-B4BEEAF81D37}" done="1">
    <text>not getting the answer options!</text>
  </threadedComment>
  <threadedComment ref="F1177" dT="2025-06-04T10:18:52.40" personId="{084BF22E-E515-448F-B52D-285189AB4BF0}" id="{73A5D110-82F3-453A-A21D-7A53C64DCBB9}">
    <text xml:space="preserve">should we use this one for Lime instead?
</text>
  </threadedComment>
  <threadedComment ref="T1177" dT="2025-05-20T07:39:22.38" personId="{084BF22E-E515-448F-B52D-285189AB4BF0}" id="{F29AAB7C-D060-4109-B776-30051DA8CF7A}" done="1">
    <text>to confirm with Wytze</text>
  </threadedComment>
  <threadedComment ref="AG1177" dT="2025-05-20T07:38:24.62" personId="{084BF22E-E515-448F-B52D-285189AB4BF0}" id="{7CA62FFC-0192-4224-96DA-B427C25E2D84}">
    <text>should add a space for specifying..</text>
  </threadedComment>
  <threadedComment ref="G1179" dT="2025-05-19T08:46:38.91" personId="{084BF22E-E515-448F-B52D-285189AB4BF0}" id="{337F6584-0A1B-4B99-96FF-4155EF9F740C}">
    <text xml:space="preserve">this should be a fixed, prefilled answer (kg)
</text>
  </threadedComment>
  <threadedComment ref="T1180" dT="2025-05-20T07:39:22.38" personId="{084BF22E-E515-448F-B52D-285189AB4BF0}" id="{77A0D08A-C5CD-4966-91D4-576AF4B54B53}" done="1">
    <text>to confirm with Wytze</text>
  </threadedComment>
  <threadedComment ref="AG1180" dT="2025-05-20T07:38:24.62" personId="{084BF22E-E515-448F-B52D-285189AB4BF0}" id="{1757E01F-5EDD-4470-85C0-76A4A859FABB}">
    <text>should add a space for specifying..</text>
  </threadedComment>
  <threadedComment ref="G1182" dT="2025-05-19T08:47:00.61" personId="{084BF22E-E515-448F-B52D-285189AB4BF0}" id="{2EDAC4BD-5926-44FE-BC51-8078606DB3BB}">
    <text xml:space="preserve">this should be a fixed, prefilled answer (kg)
</text>
  </threadedComment>
  <threadedComment ref="F1183" dT="2025-06-09T08:00:08.80" personId="{084BF22E-E515-448F-B52D-285189AB4BF0}" id="{69A5FFF8-AC4B-4382-B925-514E42D0491E}">
    <text>changed from '5140' to '5120'</text>
  </threadedComment>
  <threadedComment ref="F1184" dT="2025-06-09T08:00:08.80" personId="{084BF22E-E515-448F-B52D-285189AB4BF0}" id="{5A29D729-9F26-4325-B91B-8538DF25DF39}">
    <text>changed from '5140' to '5120'</text>
  </threadedComment>
  <threadedComment ref="F1185" dT="2025-06-09T08:00:08.80" personId="{084BF22E-E515-448F-B52D-285189AB4BF0}" id="{8E1FEFFA-1D71-44A8-904C-41E7AE0B2E8B}">
    <text>changed from '5140' to '5120'</text>
  </threadedComment>
  <threadedComment ref="G1185" dT="2025-05-19T08:47:13.80" personId="{084BF22E-E515-448F-B52D-285189AB4BF0}" id="{A449DC2A-6275-4E47-965B-B7E50D1F0FEA}">
    <text xml:space="preserve">this should be a fixed, prefilled answer (kg)
</text>
  </threadedComment>
  <threadedComment ref="G1188" dT="2025-05-19T08:47:13.80" personId="{084BF22E-E515-448F-B52D-285189AB4BF0}" id="{2C316D80-29FA-4962-9F70-465DF12CCC84}">
    <text xml:space="preserve">this should be a fixed, prefilled answer (kg)
</text>
  </threadedComment>
  <threadedComment ref="T1190" dT="2025-06-12T09:35:01.22" personId="{084BF22E-E515-448F-B52D-285189AB4BF0}" id="{BE1F94AB-AC01-4120-80D4-24B5C6F41148}">
    <text>in case of Vietnam, it should be "In-farm coffee-related organic fertilizer"</text>
  </threadedComment>
  <threadedComment ref="G1192" dT="2025-05-19T08:47:28.19" personId="{084BF22E-E515-448F-B52D-285189AB4BF0}" id="{53BD749B-8CB7-4BB9-98A8-F42C40F4D4E5}">
    <text xml:space="preserve">this should be a fixed, prefilled answer (kg)
</text>
  </threadedComment>
  <threadedComment ref="G1196" dT="2025-05-19T08:47:28.19" personId="{084BF22E-E515-448F-B52D-285189AB4BF0}" id="{FF3F9E21-7F13-4036-A343-F263A9FC173F}">
    <text xml:space="preserve">this should be a fixed, prefilled answer (kg)
</text>
  </threadedComment>
  <threadedComment ref="G1201" dT="2025-06-24T06:43:18.01" personId="{2E212703-88FE-40BB-B13B-E066CF1C21FA}" id="{34DD7512-C58E-4899-BDF9-C6780DBD7ACF}">
    <text>Fix this to Kgs</text>
  </threadedComment>
  <threadedComment ref="F1217" dT="2025-06-03T10:56:58.06" personId="{084BF22E-E515-448F-B52D-285189AB4BF0}" id="{5D1D80D4-7C87-4115-93A9-57541E46C0B5}">
    <text>changed numbering in these cells</text>
  </threadedComment>
  <threadedComment ref="G1220" dT="2025-07-09T07:18:26.16" personId="{2E212703-88FE-40BB-B13B-E066CF1C21FA}" id="{BA10BA0B-2BE0-4E4D-A86D-29192023D36D}">
    <text>Changed from: If yes, every day, how many people would you hire most of the time for this main activity, during the fly season? Number of people:</text>
  </threadedComment>
  <threadedComment ref="G1224" dT="2025-07-09T07:17:27.71" personId="{2E212703-88FE-40BB-B13B-E066CF1C21FA}" id="{01B343A8-1269-477F-B70F-901132B6A6FB}">
    <text>Changed from: If yes, every day, how many people would you hire most of the time for this main activity, during the main season? Number of people:</text>
  </threadedComment>
  <threadedComment ref="G1225" dT="2025-07-09T07:24:37.22" personId="{2E212703-88FE-40BB-B13B-E066CF1C21FA}" id="{7E52AFA1-00FC-46BA-96FE-16B2D8AFF3CD}">
    <text>Changed from: Did you use any money loan for coffee last year?</text>
  </threadedComment>
  <threadedComment ref="T1226" dT="2025-05-20T11:30:50.66" personId="{084BF22E-E515-448F-B52D-285189AB4BF0}" id="{AA9E87B8-09EE-4D21-BD87-00CEE82F62D4}">
    <text>options just added for 2025</text>
  </threadedComment>
  <threadedComment ref="G1236" dT="2025-05-20T04:23:56.09" personId="{084BF22E-E515-448F-B52D-285189AB4BF0}" id="{233D74B7-22B8-471B-8689-AB9E5185BB27}">
    <text>this is not a question!</text>
  </threadedComment>
  <threadedComment ref="G1237" dT="2025-06-11T08:26:07.81" personId="{084BF22E-E515-448F-B52D-285189AB4BF0}" id="{13CDE507-D51B-4D43-9335-57FF1F59A8EB}">
    <text>response for this question cannot be blank or 0</text>
  </threadedComment>
  <threadedComment ref="AB1313" dT="2025-05-20T06:44:53.07" personId="{084BF22E-E515-448F-B52D-285189AB4BF0}" id="{19BACEEC-89BF-479B-B7CC-E3E57F55EAB3}">
    <text>does SAP provide a space for specifying this?</text>
  </threadedComment>
  <threadedComment ref="H1314" dT="2024-07-19T03:17:35.57" personId="{084BF22E-E515-448F-B52D-285189AB4BF0}" id="{B41CA10B-DD9F-48C0-B9C1-0DACE1ED9883}" done="1">
    <text>should "In case you are part of multiple certification schemes, consider the one that you are in longest." be added as in the updated question on the left so as to facilitate responses?</text>
  </threadedComment>
  <threadedComment ref="H1314" dT="2024-07-19T09:47:25.54" personId="{813DD752-FDB0-459D-8D1D-6DCF2C91443E}" id="{FF126816-0F8F-48B3-904A-6E4430BCE3E4}" parentId="{B41CA10B-DD9F-48C0-B9C1-0DACE1ED9883}">
    <text>Yes this can be adjusted in the Stability sheet and should be the standard from now on</text>
  </threadedComment>
  <threadedComment ref="H1314" dT="2024-07-22T02:45:08.49" personId="{084BF22E-E515-448F-B52D-285189AB4BF0}" id="{DACD3445-AC97-424D-9226-4D4E579A4418}" parentId="{B41CA10B-DD9F-48C0-B9C1-0DACE1ED9883}">
    <text>thanks! Stability sheet adjusted</text>
  </threadedComment>
  <threadedComment ref="H1322" dT="2024-07-19T03:57:06.86" personId="{084BF22E-E515-448F-B52D-285189AB4BF0}" id="{5F4410C6-F1E2-413F-A6EA-E754F4E89132}" done="1">
    <text>should we also change this question to Area (hectares/acre) instead of the number of plots? (Which are we more interested in knowing, area or no. of plots?)</text>
  </threadedComment>
  <threadedComment ref="H1322" dT="2024-07-19T09:57:13.23" personId="{813DD752-FDB0-459D-8D1D-6DCF2C91443E}" id="{367D01B6-3205-41B9-A07A-659B0F216576}" parentId="{5F4410C6-F1E2-413F-A6EA-E754F4E89132}">
    <text>See previous comment</text>
  </threadedComment>
  <threadedComment ref="H1322" dT="2024-07-22T03:09:02.20" personId="{084BF22E-E515-448F-B52D-285189AB4BF0}" id="{A92F6EE0-DD4A-4168-8D53-BB1293DA9F6F}" parentId="{5F4410C6-F1E2-413F-A6EA-E754F4E89132}">
    <text>well noted, thanks!</text>
  </threadedComment>
  <threadedComment ref="T1326" dT="2025-05-20T07:39:22.38" personId="{084BF22E-E515-448F-B52D-285189AB4BF0}" id="{682B02C0-3D91-4792-AECE-46C49432B5C2}" done="1">
    <text>to confirm with Wytze</text>
  </threadedComment>
  <threadedComment ref="AG1326" dT="2025-05-20T07:38:24.62" personId="{084BF22E-E515-448F-B52D-285189AB4BF0}" id="{0A688994-24A4-4621-A67E-72FE6DC6724A}">
    <text>should add a space for specifying..</text>
  </threadedComment>
  <threadedComment ref="T1329" dT="2025-05-20T07:39:22.38" personId="{084BF22E-E515-448F-B52D-285189AB4BF0}" id="{ED789541-D388-4135-A38C-02E694E1BEEE}" done="1">
    <text>to confirm with Wytze</text>
  </threadedComment>
  <threadedComment ref="AG1329" dT="2025-05-20T07:38:24.62" personId="{084BF22E-E515-448F-B52D-285189AB4BF0}" id="{AC0FE4F2-B466-4C2F-8F69-A54751A9FE70}">
    <text>should add a space for specifying..</text>
  </threadedComment>
  <threadedComment ref="F1332" dT="2025-06-09T08:00:08.80" personId="{084BF22E-E515-448F-B52D-285189AB4BF0}" id="{BFB7CEBB-C44A-49E5-B76A-3B60C66596F3}">
    <text>changed from '5140' to '5120'</text>
  </threadedComment>
  <threadedComment ref="F1333" dT="2025-06-09T08:00:08.80" personId="{084BF22E-E515-448F-B52D-285189AB4BF0}" id="{0B37344D-1040-4112-9BCE-5453C6C99383}">
    <text>changed from '5140' to '5120'</text>
  </threadedComment>
  <threadedComment ref="F1334" dT="2025-06-09T08:00:08.80" personId="{084BF22E-E515-448F-B52D-285189AB4BF0}" id="{DE4AED75-EBA3-4FBE-AE2C-DDE050CBEABB}">
    <text>changed from '5140' to '5120'</text>
  </threadedComment>
  <threadedComment ref="G1334" dT="2025-05-19T08:47:13.80" personId="{084BF22E-E515-448F-B52D-285189AB4BF0}" id="{D25614E5-B3A1-4F86-8AB7-5043E8BC0906}">
    <text xml:space="preserve">this should be a fixed, prefilled answer (kg)
</text>
  </threadedComment>
  <threadedComment ref="T1339" dT="2025-06-12T09:35:01.22" personId="{084BF22E-E515-448F-B52D-285189AB4BF0}" id="{16AE8BF6-357C-4C9B-ACC1-A275E004B9AD}">
    <text>in case of Vietnam, it should be "In-farm coffee-related organic fertilizer"</text>
  </threadedComment>
  <threadedComment ref="G1341" dT="2025-05-19T08:47:28.19" personId="{084BF22E-E515-448F-B52D-285189AB4BF0}" id="{47024848-4D3B-4B2B-AE93-E638496942B0}">
    <text xml:space="preserve">this should be a fixed, prefilled answer (kg)
</text>
  </threadedComment>
  <threadedComment ref="T1343" dT="2025-06-12T09:35:01.22" personId="{084BF22E-E515-448F-B52D-285189AB4BF0}" id="{4BE9FF5F-BC34-429E-9C4B-7CCC298BFCA7}">
    <text>in case of Vietnam, it should be "In-farm coffee-related organic fertilizer"</text>
  </threadedComment>
  <threadedComment ref="G1345" dT="2025-05-19T08:47:28.19" personId="{084BF22E-E515-448F-B52D-285189AB4BF0}" id="{32EF85E3-416D-46B4-B645-18021B79D9DD}">
    <text xml:space="preserve">this should be a fixed, prefilled answer (kg)
</text>
  </threadedComment>
  <threadedComment ref="G1347" dT="2024-08-08T08:11:17.24" personId="{084BF22E-E515-448F-B52D-285189AB4BF0}" id="{413040F9-5B3D-4A5E-846F-15822C3CB4D2}">
    <text>to ask Eddy/Collins to add a section at the end of the survey in Cropin for enumerator to take a picture of the plot after polygon mapping</text>
  </threadedComment>
  <threadedComment ref="G1350" dT="2025-06-24T06:43:18.01" personId="{2E212703-88FE-40BB-B13B-E066CF1C21FA}" id="{CC7EEABB-85DD-493D-998A-3FECEE2FE9CC}">
    <text>Fix this to Kgs</text>
  </threadedComment>
  <threadedComment ref="G1358" dT="2024-07-22T04:21:37.37" personId="{084BF22E-E515-448F-B52D-285189AB4BF0}" id="{2CC0CF69-B2B0-4178-A98A-7706516AFB59}" done="1">
    <text>needs a preceding question!</text>
  </threadedComment>
  <threadedComment ref="G1358" dT="2024-07-22T07:45:34.75" personId="{813DD752-FDB0-459D-8D1D-6DCF2C91443E}" id="{CEC3A9F8-61C0-4311-AA1B-769D7E45440C}" parentId="{2CC0CF69-B2B0-4178-A98A-7706516AFB59}">
    <text>Yes, I agree, this refers somewhat awkwardly to question 5600, but we never got feedback that it causes confusion and I think it is quite simple like this. Let's keep it like it is until we have a tool with skiplogic</text>
  </threadedComment>
  <threadedComment ref="G1361" dT="2024-07-22T04:22:49.53" personId="{084BF22E-E515-448F-B52D-285189AB4BF0}" id="{F618268B-B33A-43CC-9CEE-C7A5EED5706F}" done="1">
    <text>needs a preceding question!</text>
  </threadedComment>
  <threadedComment ref="G1361" dT="2024-07-22T07:45:10.26" personId="{813DD752-FDB0-459D-8D1D-6DCF2C91443E}" id="{534148DB-F63A-4918-A6A4-0B1C8B9893E9}" parentId="{F618268B-B33A-43CC-9CEE-C7A5EED5706F}">
    <text xml:space="preserve">Yes, I agree, this refers somewhat awkwardly to question 5600, but we never got feedback that it causes confusion and I think it is quite simple like this. Let's keep it like it is until we have a tool with skiplogic  </text>
  </threadedComment>
  <threadedComment ref="G1361" dT="2024-07-22T09:27:00.93" personId="{084BF22E-E515-448F-B52D-285189AB4BF0}" id="{DBA9E088-3B79-41D5-B911-EA43C0A92497}" parentId="{F618268B-B33A-43CC-9CEE-C7A5EED5706F}">
    <text>okay, thanks!</text>
  </threadedComment>
  <threadedComment ref="G1369" dT="2025-07-09T07:21:09.34" personId="{2E212703-88FE-40BB-B13B-E066CF1C21FA}" id="{B094454D-D813-4F15-85A7-EF10CB1D50F1}">
    <text>Changed from: If yes, every day, how many people would you hire most of the time for this main activity, during last season? Number of people:</text>
  </threadedComment>
  <threadedComment ref="G1370" dT="2025-07-09T07:23:50.59" personId="{2E212703-88FE-40BB-B13B-E066CF1C21FA}" id="{1D0779E3-00B0-4342-9E07-A5F1DC811C7A}">
    <text>Changed from: Did you use any money loan for coffee last year?</text>
  </threadedComment>
  <threadedComment ref="T1371" dT="2025-05-20T11:30:50.66" personId="{084BF22E-E515-448F-B52D-285189AB4BF0}" id="{623947D9-FB3B-4CBA-A005-B86FA9F27632}">
    <text>options just added for 2025</text>
  </threadedComment>
  <threadedComment ref="G1378" dT="2025-05-20T04:23:56.09" personId="{084BF22E-E515-448F-B52D-285189AB4BF0}" id="{8444C67A-0510-4C23-B845-39C381A8B6D2}">
    <text>this is not a question!</text>
  </threadedComment>
  <threadedComment ref="G1379" dT="2025-06-11T08:26:07.81" personId="{084BF22E-E515-448F-B52D-285189AB4BF0}" id="{29DC55BA-B003-4A59-9370-CAF0DDF9714A}">
    <text>response for this question cannot be blank or 0</text>
  </threadedComment>
  <threadedComment ref="AB1578" dT="2025-05-20T06:44:53.07" personId="{084BF22E-E515-448F-B52D-285189AB4BF0}" id="{0907E075-D15D-42C7-A07E-34BC54C8D83C}">
    <text>does SAP provide a space for specifying this?</text>
  </threadedComment>
  <threadedComment ref="H1579" dT="2024-07-19T03:17:35.57" personId="{084BF22E-E515-448F-B52D-285189AB4BF0}" id="{4C794A32-345A-48D9-8580-C8E5959B0744}" done="1">
    <text>should "In case you are part of multiple certification schemes, consider the one that you are in longest." be added as in the updated question on the left so as to facilitate responses?</text>
  </threadedComment>
  <threadedComment ref="H1579" dT="2024-07-19T09:47:25.54" personId="{813DD752-FDB0-459D-8D1D-6DCF2C91443E}" id="{5D84D818-A942-468F-B455-96850821EBE5}" parentId="{4C794A32-345A-48D9-8580-C8E5959B0744}">
    <text>Yes this can be adjusted in the Stability sheet and should be the standard from now on</text>
  </threadedComment>
  <threadedComment ref="H1579" dT="2024-07-22T02:45:08.49" personId="{084BF22E-E515-448F-B52D-285189AB4BF0}" id="{14F82DB2-6DF8-43A9-B017-096D804056D5}" parentId="{4C794A32-345A-48D9-8580-C8E5959B0744}">
    <text>thanks! Stability sheet adjusted</text>
  </threadedComment>
  <threadedComment ref="H1587" dT="2024-07-19T03:57:06.86" personId="{084BF22E-E515-448F-B52D-285189AB4BF0}" id="{673A892B-1E14-4DC7-8373-2A9224757C46}" done="1">
    <text>should we also change this question to Area (hectares/acre) instead of the number of plots? (Which are we more interested in knowing, area or no. of plots?)</text>
  </threadedComment>
  <threadedComment ref="H1587" dT="2024-07-19T09:57:13.23" personId="{813DD752-FDB0-459D-8D1D-6DCF2C91443E}" id="{DBD7D92D-BD06-40EE-A764-EB17E5CA750D}" parentId="{673A892B-1E14-4DC7-8373-2A9224757C46}">
    <text>See previous comment</text>
  </threadedComment>
  <threadedComment ref="H1587" dT="2024-07-22T03:09:02.20" personId="{084BF22E-E515-448F-B52D-285189AB4BF0}" id="{13D2FBB0-EC07-479B-A25E-5C9CB2258566}" parentId="{673A892B-1E14-4DC7-8373-2A9224757C46}">
    <text>well noted, thanks!</text>
  </threadedComment>
  <threadedComment ref="T1591" dT="2025-05-20T07:39:22.38" personId="{084BF22E-E515-448F-B52D-285189AB4BF0}" id="{D8DE68F6-54AD-467C-BDE8-4F02FBC76B78}" done="1">
    <text>to confirm with Wytze</text>
  </threadedComment>
  <threadedComment ref="AG1591" dT="2025-05-20T07:38:24.62" personId="{084BF22E-E515-448F-B52D-285189AB4BF0}" id="{3C908A2E-65E5-4F7A-8C6D-D5077061A4AB}">
    <text>should add a space for specifying..</text>
  </threadedComment>
  <threadedComment ref="T1594" dT="2025-05-20T07:39:22.38" personId="{084BF22E-E515-448F-B52D-285189AB4BF0}" id="{2B199D4C-F41D-4566-B32C-5D9A21E0AFF1}" done="1">
    <text>to confirm with Wytze</text>
  </threadedComment>
  <threadedComment ref="AG1594" dT="2025-05-20T07:38:24.62" personId="{084BF22E-E515-448F-B52D-285189AB4BF0}" id="{3D06580A-D6D4-4907-91A0-68A3DD78A3AB}">
    <text>should add a space for specifying..</text>
  </threadedComment>
  <threadedComment ref="T1604" dT="2025-06-12T09:35:01.22" personId="{084BF22E-E515-448F-B52D-285189AB4BF0}" id="{7A7C95FB-A05C-4C38-B173-BE79CE4E1400}">
    <text>in case of Vietnam, it should be "In-farm coffee-related organic fertilizer"</text>
  </threadedComment>
  <threadedComment ref="T1608" dT="2025-06-12T09:35:01.22" personId="{084BF22E-E515-448F-B52D-285189AB4BF0}" id="{2C56A1A8-85AD-43AC-983B-B5DF442C517C}">
    <text>in case of Vietnam, it should be "In-farm coffee-related organic fertilizer"</text>
  </threadedComment>
  <threadedComment ref="T1636" dT="2025-05-20T11:30:50.66" personId="{084BF22E-E515-448F-B52D-285189AB4BF0}" id="{B73D9736-AFB5-4FC7-A051-507A3914F215}">
    <text>options just added for 2025</text>
  </threadedComment>
</ThreadedComments>
</file>

<file path=xl/threadedComments/threadedComment2.xml><?xml version="1.0" encoding="utf-8"?>
<ThreadedComments xmlns="http://schemas.microsoft.com/office/spreadsheetml/2018/threadedcomments" xmlns:x="http://schemas.openxmlformats.org/spreadsheetml/2006/main">
  <threadedComment ref="G30" dT="2025-08-25T09:33:13.13" personId="{084BF22E-E515-448F-B52D-285189AB4BF0}" id="{3C3A0492-2BE4-4AB1-9B48-55824DAD3F0D}">
    <text xml:space="preserve">should be removed?
</text>
  </threadedComment>
  <threadedComment ref="B71" dT="2025-08-25T09:30:33.11" personId="{084BF22E-E515-448F-B52D-285189AB4BF0}" id="{2882A1CD-49CA-488E-A383-CE99776ED655}">
    <text>should we remove this question?</text>
  </threadedComment>
  <threadedComment ref="M74" dT="2024-09-17T09:30:21.59" personId="{084BF22E-E515-448F-B52D-285189AB4BF0}" id="{8777E564-52C1-4852-B738-827C7C053A7D}">
    <text>discuss with Yasin</text>
  </threadedComment>
  <threadedComment ref="O74" dT="2024-09-23T09:45:35.19" personId="{084BF22E-E515-448F-B52D-285189AB4BF0}" id="{01C6457C-07F0-4BDC-A72E-8D0795A52E75}">
    <text>discuss with Yasin</text>
  </threadedComment>
  <threadedComment ref="M77" dT="2024-09-17T09:30:21.59" personId="{084BF22E-E515-448F-B52D-285189AB4BF0}" id="{879176AC-0351-418D-BEAA-20D93D47E1EC}">
    <text>discuss with Yasin</text>
  </threadedComment>
  <threadedComment ref="O77" dT="2024-09-23T09:45:35.19" personId="{084BF22E-E515-448F-B52D-285189AB4BF0}" id="{FAB17C19-E209-4104-AEA8-26C003800C35}">
    <text>discuss with Yasin</text>
  </threadedComment>
  <threadedComment ref="B86" dT="2025-06-09T08:17:27.88" personId="{084BF22E-E515-448F-B52D-285189AB4BF0}" id="{7A4284B5-477C-447F-A46A-C402E656FCCF}">
    <text xml:space="preserve">modified on 2025 06 09 to include Lime </text>
  </threadedComment>
  <threadedComment ref="H86" dT="2025-06-09T08:23:53.89" personId="{084BF22E-E515-448F-B52D-285189AB4BF0}" id="{63713195-0ACA-4C40-89CC-A6A75F92CC0A}">
    <text>changed from FALSE to TRUE</text>
  </threadedComment>
  <threadedComment ref="K86" dT="2025-06-09T08:23:53.89" personId="{084BF22E-E515-448F-B52D-285189AB4BF0}" id="{E6C458D6-7285-45BA-9F7D-1B4986FECF4F}">
    <text>changed from FALSE to TRUE</text>
  </threadedComment>
  <threadedComment ref="M86" dT="2025-06-09T08:25:27.70" personId="{084BF22E-E515-448F-B52D-285189AB4BF0}" id="{FCCEB3F8-C986-4B9C-8493-4EEE90C1201F}">
    <text>changed from TRUE to FALSE</text>
  </threadedComment>
  <threadedComment ref="O86" dT="2025-06-09T08:23:53.89" personId="{084BF22E-E515-448F-B52D-285189AB4BF0}" id="{AF178343-56AD-4F1E-9B25-F9AB53523AD5}">
    <text>changed from FALSE to TRUE</text>
  </threadedComment>
  <threadedComment ref="O90" dT="2025-06-03T11:05:20.38" personId="{084BF22E-E515-448F-B52D-285189AB4BF0}" id="{3942DB88-3951-43FE-9C04-B5735029F26B}">
    <text>changed from FALSE to TRUE due to new calculations for carbon emissions from organic fertilizer..</text>
  </threadedComment>
  <threadedComment ref="O94" dT="2025-06-03T11:05:20.38" personId="{084BF22E-E515-448F-B52D-285189AB4BF0}" id="{5B9CE261-FDC1-4A34-B328-8061B6810CC4}">
    <text>changed from FALSE to TRUE due to new calculations for carbon emissions from organic fertilizer..</text>
  </threadedComment>
  <threadedComment ref="M99" dT="2025-07-09T06:41:28.97" personId="{2E212703-88FE-40BB-B13B-E066CF1C21FA}" id="{D87A8850-EB85-44EC-B7ED-EA0874EE9C69}">
    <text>Changed from TRUE to FALSE</text>
  </threadedComment>
  <threadedComment ref="P99" dT="2025-07-09T06:50:36.19" personId="{2E212703-88FE-40BB-B13B-E066CF1C21FA}" id="{9BAA2C7D-EFDD-4D66-875C-923EA36F47F1}">
    <text>Changed from FALSE to TRUE</text>
  </threadedComment>
  <threadedComment ref="B105" dT="2026-06-16T08:32:00.49" personId="{084BF22E-E515-448F-B52D-285189AB4BF0}" id="{6F5C6DBA-F2F8-4791-BAC7-5004E7D662DB}">
    <text>should we have separate questions for pesticides and herbicides? @Hue Thanh</text>
    <mentions>
      <mention mentionpersonId="{9601E1DF-EC3E-4989-A7B0-59A99046BDCE}" mentionId="{6748604A-F808-44E9-A934-E8BF103B60C1}" startIndex="65" length="10"/>
    </mentions>
  </threadedComment>
  <threadedComment ref="B105" dT="2026-06-18T10:09:17.78" personId="{2639C2AC-BAE2-4CE2-8D09-8FBC99015BF5}" id="{6FA3F196-CFB5-4C8F-839B-CFAB97FC648B}" parentId="{6F5C6DBA-F2F8-4791-BAC7-5004E7D662DB}">
    <text>No need for this question anymore, since we now have individuals on 7246 and 7254</text>
  </threadedComment>
  <threadedComment ref="B105" dT="2026-06-18T10:10:10.62" personId="{084BF22E-E515-448F-B52D-285189AB4BF0}" id="{5E41C881-EDCB-4533-B3DB-5B5EFFA10A51}" parentId="{6F5C6DBA-F2F8-4791-BAC7-5004E7D662DB}">
    <text>@Hue Thanh to modify reporting file accordingly</text>
    <mentions>
      <mention mentionpersonId="{9601E1DF-EC3E-4989-A7B0-59A99046BDCE}" mentionId="{1F65A26D-F2FF-4438-A255-F47D4C10C59D}" startIndex="0" length="10"/>
    </mentions>
  </threadedComment>
  <threadedComment ref="B123" dT="2025-07-09T07:18:26.16" personId="{2E212703-88FE-40BB-B13B-E066CF1C21FA}" id="{E20E1EBD-6D8B-447C-BFC9-4BAC604A881A}">
    <text>Changed from: If yes, every day, how many people would you hire most of the time for this main activity, during the fly season? Number of people:</text>
  </threadedComment>
  <threadedComment ref="B127" dT="2025-07-09T07:17:27.71" personId="{2E212703-88FE-40BB-B13B-E066CF1C21FA}" id="{6894CED8-F62D-404D-80BA-FE43C5235C40}">
    <text>Changed from: If yes, every day, how many people would you hire most of the time for this main activity, during the main season? Number of people:</text>
  </threadedComment>
  <threadedComment ref="B131" dT="2025-07-09T07:04:11.93" personId="{2E212703-88FE-40BB-B13B-E066CF1C21FA}" id="{4415789E-EC53-4592-817E-1A2C14E50CEE}">
    <text>Changed from: If yes, every day, how many people would you hire most of the time for this main activity, during last season? Number of people:</text>
  </threadedComment>
  <threadedComment ref="B132" dT="2025-07-09T07:24:37.22" personId="{2E212703-88FE-40BB-B13B-E066CF1C21FA}" id="{12456066-A814-4967-A9AF-45C6531B62E7}">
    <text>Changed from: Did you use any money loan for coffee last year?</text>
  </threadedComment>
  <threadedComment ref="B133" dT="2024-08-05T11:01:00.33" personId="{084BF22E-E515-448F-B52D-285189AB4BF0}" id="{4B2E91BA-26F4-4214-8CFF-31409618E932}">
    <text xml:space="preserve">When we update questions for the new application in the future, Questions 6101 and 6102 should switch positions for a better flow of information (i.e. the "amount of total loan" should go before the "how did you pay for the loan") </text>
  </threadedComment>
  <threadedComment ref="M133" dT="2025-05-20T11:30:05.26" personId="{084BF22E-E515-448F-B52D-285189AB4BF0}" id="{C1C4052B-A785-44D5-9256-61A6E82B2409}">
    <text>changed from TRUE to FALSE</text>
  </threadedComment>
  <threadedComment ref="P133" dT="2025-05-20T11:29:12.51" personId="{084BF22E-E515-448F-B52D-285189AB4BF0}" id="{512C5176-547A-41DE-BCB3-CD367CDAA672}">
    <text>changed from FALSE to TRUE</text>
  </threadedComment>
  <threadedComment ref="B134" dT="2024-08-05T11:01:18.05" personId="{084BF22E-E515-448F-B52D-285189AB4BF0}" id="{78F949FE-D087-42C4-BE50-F12CBB93F819}">
    <text xml:space="preserve">When we update questions for the new application in the future, Questions 6101 and 6102 should switch positions for a better flow of information (i.e. the "amount of total loan" should go before the "how did you pay for the loan") </text>
  </threadedComment>
  <threadedComment ref="B144" dT="2025-07-08T09:11:57.61" personId="{2E212703-88FE-40BB-B13B-E066CF1C21FA}" id="{6510B4AD-9E58-45F5-9584-1C29CAB4A68A}">
    <text>Changed from original question:
Did you buy and/or receive coffee seedlings for your farm last year?</text>
  </threadedComment>
  <threadedComment ref="B151" dT="2024-11-26T04:40:54.56" personId="{084BF22E-E515-448F-B52D-285189AB4BF0}" id="{ED0B27EF-1D3D-4D2B-AFF4-B66B139B9974}">
    <text>@Wytze Marinus is this a real question or just an 'introduction' for the following ones?</text>
    <mentions>
      <mention mentionpersonId="{06FCAFBB-6C80-4BB5-9249-62A466F0E2B6}" mentionId="{94D090C6-9EC4-4A94-B700-AB80F1BB2966}" startIndex="0" length="14"/>
    </mentions>
  </threadedComment>
  <threadedComment ref="B151" dT="2024-11-26T11:35:26.06" personId="{084BF22E-E515-448F-B52D-285189AB4BF0}" id="{B5B07FCB-7988-4FC5-B2CA-D8BBB41B5DBD}" parentId="{ED0B27EF-1D3D-4D2B-AFF4-B66B139B9974}">
    <text>just an introduction</text>
  </threadedComment>
  <threadedComment ref="B151" dT="2025-01-16T02:58:47.47" personId="{084BF22E-E515-448F-B52D-285189AB4BF0}" id="{0F709F2C-1AED-4B3E-9F4E-EC6D36DE6F98}" parentId="{ED0B27EF-1D3D-4D2B-AFF4-B66B139B9974}">
    <text>should modify this sentence so that it does not sound like a question (remove 'can' and replace with 'please estimate...'</text>
  </threadedComment>
  <threadedComment ref="B151" dT="2025-01-17T08:22:11.61" personId="{813DD752-FDB0-459D-8D1D-6DCF2C91443E}" id="{19BAFC9B-289F-4A27-AB88-B63742018FB3}" parentId="{ED0B27EF-1D3D-4D2B-AFF4-B66B139B9974}">
    <text>Yes,perfect</text>
  </threadedComment>
  <threadedComment ref="B165" dT="2025-05-21T07:04:03.36" personId="{084BF22E-E515-448F-B52D-285189AB4BF0}" id="{E3DCFE8E-61DF-4534-B623-B9A3B31EED92}">
    <text>to consider breaking this into smaller and simple cross-check questions so as to confirm farmers' knowledge about basic principles and main practices of RegenAg ...</text>
  </threadedComment>
  <threadedComment ref="B179" dT="2026-06-18T10:10:43.20" personId="{084BF22E-E515-448F-B52D-285189AB4BF0}" id="{1615E11E-0790-47B6-B8D2-76A688BE382D}">
    <text>@Hue Thanh to modify reporting file accordingly</text>
    <mentions>
      <mention mentionpersonId="{9601E1DF-EC3E-4989-A7B0-59A99046BDCE}" mentionId="{6131E217-2090-4329-8FF0-DB4769455EF8}" startIndex="0" length="10"/>
    </mentions>
  </threadedComment>
  <threadedComment ref="B186" dT="2026-06-18T10:10:43.20" personId="{084BF22E-E515-448F-B52D-285189AB4BF0}" id="{40E6C55D-8465-4587-8BC1-D70E24E74BA2}">
    <text>@Hue Thanh to modify reporting file accordingly</text>
    <mentions>
      <mention mentionpersonId="{9601E1DF-EC3E-4989-A7B0-59A99046BDCE}" mentionId="{8083F2FE-52B6-419E-B7F3-71DF327E3754}" startIndex="0" length="1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N74" dT="2024-09-17T09:30:21.59" personId="{084BF22E-E515-448F-B52D-285189AB4BF0}" id="{78BF7931-FA68-4769-BFB1-B41CF757A217}">
    <text>discuss with Yasin</text>
  </threadedComment>
  <threadedComment ref="P74" dT="2024-09-23T09:45:35.19" personId="{084BF22E-E515-448F-B52D-285189AB4BF0}" id="{4829C4AC-79B8-4B11-80AB-FF67E988339B}">
    <text>discuss with Yasin</text>
  </threadedComment>
  <threadedComment ref="N77" dT="2024-09-17T09:30:21.59" personId="{084BF22E-E515-448F-B52D-285189AB4BF0}" id="{9F2F4ACB-68F2-4B6C-B6A6-5E06303682AE}">
    <text>discuss with Yasin</text>
  </threadedComment>
  <threadedComment ref="P77" dT="2024-09-23T09:45:35.19" personId="{084BF22E-E515-448F-B52D-285189AB4BF0}" id="{E8B6B6BF-37A6-43BF-9903-31CAF3455148}">
    <text>discuss with Yasin</text>
  </threadedComment>
  <threadedComment ref="B86" dT="2026-07-07T10:06:40.90" personId="{2E212703-88FE-40BB-B13B-E066CF1C21FA}" id="{EE46CBC0-E2E0-43C4-9566-6AEC2EB6821E}">
    <text>Check if limestone is synthetic fertilizer</text>
  </threadedComment>
  <threadedComment ref="G86" dT="2026-07-17T07:52:20.74" personId="{2E212703-88FE-40BB-B13B-E066CF1C21FA}" id="{2986CCEB-C0A7-456F-9994-3808085DA606}">
    <text>Hue to change old name: synthetic_fertilizer_last_year_other_name
to new name:
synthetic_fertilizer_last_year_limestone_name
in the analysis sheet</text>
  </threadedComment>
  <threadedComment ref="I86" dT="2025-06-09T08:23:53.89" personId="{084BF22E-E515-448F-B52D-285189AB4BF0}" id="{2A4D6146-3350-4C57-8400-A2D6B0D76B8F}">
    <text>changed from FALSE to TRUE</text>
  </threadedComment>
  <threadedComment ref="L86" dT="2025-06-09T08:23:53.89" personId="{084BF22E-E515-448F-B52D-285189AB4BF0}" id="{42F2F2DE-4C0F-4223-AAF9-308B3BAD561D}">
    <text>changed from FALSE to TRUE</text>
  </threadedComment>
  <threadedComment ref="N86" dT="2025-06-09T08:25:27.70" personId="{084BF22E-E515-448F-B52D-285189AB4BF0}" id="{9F3B60F2-FBE8-4F3B-AA3C-683449AD0CBC}">
    <text>changed from TRUE to FALSE</text>
  </threadedComment>
  <threadedComment ref="P86" dT="2025-06-09T08:23:53.89" personId="{084BF22E-E515-448F-B52D-285189AB4BF0}" id="{09C7E7F3-BCA9-4C1A-AF64-4797C9FA9167}">
    <text>changed from FALSE to TRUE</text>
  </threadedComment>
  <threadedComment ref="P90" dT="2025-06-03T11:05:20.38" personId="{084BF22E-E515-448F-B52D-285189AB4BF0}" id="{950A9F3D-0DFA-4A74-9C3C-DBC435275280}">
    <text>changed from FALSE to TRUE due to new calculations for carbon emissions from organic fertilizer..</text>
  </threadedComment>
  <threadedComment ref="Y90" dT="2026-07-07T14:45:52.10" personId="{2E212703-88FE-40BB-B13B-E066CF1C21FA}" id="{6280ADEB-1FA1-406D-87E4-3696278B21F3}">
    <text>In case of Vietnam, it should be "In-farm coffee-related organic fertilizer"</text>
  </threadedComment>
  <threadedComment ref="P94" dT="2025-06-03T11:05:20.38" personId="{084BF22E-E515-448F-B52D-285189AB4BF0}" id="{A2D20C87-246F-4A22-A4C4-3AAC6DE021BF}">
    <text>changed from FALSE to TRUE due to new calculations for carbon emissions from organic fertilizer..</text>
  </threadedComment>
  <threadedComment ref="Y94" dT="2026-07-07T14:45:52.10" personId="{2E212703-88FE-40BB-B13B-E066CF1C21FA}" id="{0665217F-C373-4BFF-8F1E-BEBDAD24AC2C}">
    <text>In case of Vietnam, it should be "In-farm coffee-related organic fertilizer"</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 Id="rId5" Type="http://schemas.microsoft.com/office/2019/04/relationships/documenttask" Target="../documenttasks/documenttask1.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3.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ED0A0-868A-8242-9FCE-D52785BD8C71}">
  <sheetPr codeName="Sheet1"/>
  <dimension ref="A1:AS1844"/>
  <sheetViews>
    <sheetView showGridLines="0" zoomScale="90" zoomScaleNormal="90" workbookViewId="0">
      <selection activeCell="A24" sqref="A24"/>
    </sheetView>
  </sheetViews>
  <sheetFormatPr defaultColWidth="9" defaultRowHeight="15.75" customHeight="1" outlineLevelRow="1" outlineLevelCol="1" x14ac:dyDescent="0.25"/>
  <cols>
    <col min="1" max="1" width="57.625" style="9" bestFit="1" customWidth="1"/>
    <col min="2" max="2" width="8.75" style="9" bestFit="1" customWidth="1"/>
    <col min="3" max="3" width="26.75" style="9" bestFit="1" customWidth="1"/>
    <col min="4" max="4" width="27.875" style="9" bestFit="1" customWidth="1"/>
    <col min="5" max="5" width="16.125" style="9" bestFit="1" customWidth="1"/>
    <col min="6" max="6" width="9" style="87" customWidth="1"/>
    <col min="7" max="7" width="81.25" style="9" customWidth="1"/>
    <col min="8" max="8" width="103.5" style="9" hidden="1" customWidth="1" outlineLevel="1"/>
    <col min="9" max="9" width="11.5" style="9" hidden="1" customWidth="1" outlineLevel="1"/>
    <col min="10" max="10" width="14.75" style="9" hidden="1" customWidth="1" outlineLevel="1"/>
    <col min="11" max="11" width="29.25" style="9" hidden="1" customWidth="1" outlineLevel="1"/>
    <col min="12" max="13" width="16.75" style="9" hidden="1" customWidth="1" outlineLevel="1"/>
    <col min="14" max="14" width="22.25" style="9" hidden="1" customWidth="1" outlineLevel="1"/>
    <col min="15" max="15" width="7.75" style="9" hidden="1" customWidth="1" outlineLevel="1"/>
    <col min="16" max="16" width="18.125" style="9" bestFit="1" customWidth="1" collapsed="1"/>
    <col min="17" max="17" width="17.625" style="9" bestFit="1" customWidth="1"/>
    <col min="18" max="18" width="15.625" style="9" customWidth="1"/>
    <col min="19" max="19" width="19.75" style="9" customWidth="1"/>
    <col min="20" max="20" width="18.5" style="9" customWidth="1"/>
    <col min="21" max="21" width="18.625" style="9" customWidth="1"/>
    <col min="22" max="22" width="12" style="9" customWidth="1"/>
    <col min="23" max="23" width="18.5" style="9" customWidth="1"/>
    <col min="24" max="24" width="16.5" style="9" customWidth="1"/>
    <col min="25" max="25" width="17.625" style="9" customWidth="1"/>
    <col min="26" max="26" width="14.25" style="9" customWidth="1"/>
    <col min="27" max="28" width="13.75" style="9" customWidth="1"/>
    <col min="29" max="29" width="16.5" style="9" customWidth="1"/>
    <col min="30" max="30" width="32.875" style="9" bestFit="1" customWidth="1"/>
    <col min="31" max="31" width="20.125" style="9" customWidth="1"/>
    <col min="32" max="32" width="26" style="9" customWidth="1"/>
    <col min="33" max="33" width="24.875" style="9" customWidth="1"/>
    <col min="34" max="34" width="15" style="16" bestFit="1" customWidth="1"/>
    <col min="35" max="35" width="19" style="16" bestFit="1" customWidth="1"/>
    <col min="36" max="36" width="13.375" style="16" bestFit="1" customWidth="1"/>
    <col min="37" max="37" width="15.125" style="16" bestFit="1" customWidth="1"/>
    <col min="38" max="38" width="27.375" style="16" bestFit="1" customWidth="1"/>
    <col min="39" max="39" width="16.25" style="16" bestFit="1" customWidth="1"/>
    <col min="40" max="40" width="20.125" style="16" bestFit="1" customWidth="1"/>
    <col min="41" max="41" width="26" style="16" bestFit="1" customWidth="1"/>
    <col min="42" max="42" width="25" style="16" bestFit="1" customWidth="1"/>
    <col min="43" max="43" width="24.375" style="16" bestFit="1" customWidth="1"/>
    <col min="44" max="44" width="20.375" style="16" bestFit="1" customWidth="1"/>
    <col min="45" max="45" width="30.375" style="16" bestFit="1" customWidth="1"/>
    <col min="46" max="16384" width="9" style="9"/>
  </cols>
  <sheetData>
    <row r="1" spans="1:45" s="8" customFormat="1" ht="18.75" x14ac:dyDescent="0.25">
      <c r="A1" s="7" t="s">
        <v>0</v>
      </c>
      <c r="B1" s="7"/>
      <c r="C1" s="7"/>
      <c r="D1" s="7"/>
      <c r="E1" s="7"/>
      <c r="F1" s="88"/>
      <c r="G1" s="7"/>
      <c r="H1" s="7"/>
      <c r="I1" s="7"/>
      <c r="J1" s="7"/>
      <c r="K1" s="7"/>
      <c r="L1" s="7"/>
      <c r="M1" s="7"/>
      <c r="N1" s="7"/>
      <c r="O1" s="7"/>
      <c r="P1" s="7"/>
      <c r="Q1" s="7"/>
      <c r="R1" s="7"/>
      <c r="S1" s="7"/>
      <c r="T1" s="7"/>
      <c r="U1" s="7"/>
      <c r="V1" s="7"/>
      <c r="W1" s="7"/>
      <c r="X1" s="7"/>
      <c r="Y1" s="7"/>
      <c r="Z1" s="7"/>
      <c r="AA1" s="7"/>
      <c r="AB1" s="7"/>
      <c r="AC1" s="7"/>
      <c r="AD1" s="7"/>
      <c r="AE1" s="7"/>
      <c r="AF1" s="7"/>
      <c r="AG1" s="7"/>
      <c r="AH1" s="144"/>
      <c r="AI1" s="144"/>
      <c r="AJ1" s="144"/>
      <c r="AK1" s="144"/>
      <c r="AL1" s="144"/>
      <c r="AM1" s="144"/>
      <c r="AN1" s="144"/>
      <c r="AO1" s="145"/>
      <c r="AP1" s="145"/>
      <c r="AQ1" s="145"/>
      <c r="AR1" s="145"/>
      <c r="AS1" s="145"/>
    </row>
    <row r="3" spans="1:45" ht="15.75" hidden="1" customHeight="1" outlineLevel="1" x14ac:dyDescent="0.25">
      <c r="F3" s="15"/>
    </row>
    <row r="4" spans="1:45" ht="15.75" hidden="1" customHeight="1" outlineLevel="1" x14ac:dyDescent="0.25">
      <c r="A4" s="12" t="s">
        <v>1</v>
      </c>
      <c r="B4" s="12" t="s">
        <v>2</v>
      </c>
      <c r="C4" s="10" t="s">
        <v>3</v>
      </c>
      <c r="D4" s="10" t="s">
        <v>4</v>
      </c>
      <c r="E4" s="10"/>
      <c r="F4" s="9"/>
    </row>
    <row r="5" spans="1:45" ht="15.75" hidden="1" customHeight="1" outlineLevel="1" x14ac:dyDescent="0.25">
      <c r="A5" s="9" t="s">
        <v>5</v>
      </c>
      <c r="B5" s="9" t="b">
        <f>IF(AND(questions[check_if_number_is_unique]),TRUE,FALSE)</f>
        <v>1</v>
      </c>
      <c r="C5" s="9" t="s">
        <v>6</v>
      </c>
      <c r="D5" s="9">
        <f>COUNTIFS(questions[check_if_number_is_unique],FALSE)</f>
        <v>0</v>
      </c>
      <c r="F5" s="9"/>
    </row>
    <row r="6" spans="1:45" ht="15.75" hidden="1" customHeight="1" outlineLevel="1" x14ac:dyDescent="0.25">
      <c r="A6" s="9" t="s">
        <v>7</v>
      </c>
      <c r="B6" s="9" t="e">
        <f>IF(AND(questions[check_for_fixed_questions]),TRUE,FALSE)</f>
        <v>#N/A</v>
      </c>
      <c r="C6" s="9" t="s">
        <v>8</v>
      </c>
      <c r="D6" s="9">
        <f>COUNTIFS(questions[check_for_fixed_questions],FALSE)</f>
        <v>396</v>
      </c>
      <c r="F6" s="9"/>
    </row>
    <row r="7" spans="1:45" ht="15.75" hidden="1" customHeight="1" outlineLevel="1" x14ac:dyDescent="0.25">
      <c r="A7" s="9" t="s">
        <v>9</v>
      </c>
      <c r="B7" s="9" t="e">
        <f>IF(AND(questions[check_for_similarity]),TRUE,FALSE)</f>
        <v>#N/A</v>
      </c>
      <c r="C7" s="9" t="s">
        <v>10</v>
      </c>
      <c r="D7" s="9">
        <f>COUNTIFS(questions[check_for_similarity],FALSE)</f>
        <v>127</v>
      </c>
      <c r="F7" s="9"/>
    </row>
    <row r="8" spans="1:45" ht="15.75" hidden="1" customHeight="1" outlineLevel="1" x14ac:dyDescent="0.25">
      <c r="A8" s="9" t="s">
        <v>11</v>
      </c>
      <c r="B8" s="9" t="b">
        <f>IF(AND(questions[check_if_options_are_provided]),TRUE,FALSE)</f>
        <v>1</v>
      </c>
      <c r="C8" s="9" t="s">
        <v>12</v>
      </c>
      <c r="D8" s="9">
        <f>COUNTIFS(questions[check_if_options_are_provided],FALSE)</f>
        <v>0</v>
      </c>
      <c r="F8" s="9"/>
    </row>
    <row r="9" spans="1:45" hidden="1" outlineLevel="1" x14ac:dyDescent="0.25">
      <c r="A9" s="9" t="s">
        <v>13</v>
      </c>
      <c r="B9" s="9" t="b">
        <f>IF(AND(questions[check_for_type]),TRUE,FALSE)</f>
        <v>1</v>
      </c>
      <c r="C9" s="9" t="s">
        <v>14</v>
      </c>
      <c r="D9" s="9">
        <f>COUNTIFS(questions[check_for_type],FALSE)</f>
        <v>0</v>
      </c>
      <c r="F9" s="15"/>
    </row>
    <row r="10" spans="1:45" hidden="1" outlineLevel="1" x14ac:dyDescent="0.25">
      <c r="A10" s="9" t="s">
        <v>15</v>
      </c>
      <c r="B10" s="9" t="b">
        <f>IF(AND(questions[check_for_response]),TRUE,FALSE)</f>
        <v>0</v>
      </c>
      <c r="C10" s="9" t="s">
        <v>16</v>
      </c>
      <c r="D10" s="9">
        <f>COUNTIFS(questions[check_for_response],FALSE)</f>
        <v>45</v>
      </c>
      <c r="F10" s="15"/>
    </row>
    <row r="11" spans="1:45" collapsed="1" x14ac:dyDescent="0.25">
      <c r="A11" s="11"/>
    </row>
    <row r="13" spans="1:45" s="16" customFormat="1" x14ac:dyDescent="0.25">
      <c r="A13" s="13" t="s">
        <v>17</v>
      </c>
      <c r="B13" s="14" t="s">
        <v>18</v>
      </c>
      <c r="C13" s="14" t="s">
        <v>18</v>
      </c>
      <c r="D13" s="14" t="s">
        <v>18</v>
      </c>
      <c r="E13" s="14"/>
      <c r="F13" s="89" t="s">
        <v>18</v>
      </c>
      <c r="G13" s="14" t="s">
        <v>18</v>
      </c>
      <c r="H13" s="13" t="s">
        <v>17</v>
      </c>
      <c r="I13" s="13" t="s">
        <v>17</v>
      </c>
      <c r="J13" s="13" t="s">
        <v>17</v>
      </c>
      <c r="K13" s="13" t="s">
        <v>17</v>
      </c>
      <c r="L13" s="13" t="s">
        <v>17</v>
      </c>
      <c r="M13" s="13" t="s">
        <v>17</v>
      </c>
      <c r="N13" s="13" t="s">
        <v>17</v>
      </c>
      <c r="O13" s="13" t="s">
        <v>17</v>
      </c>
      <c r="P13" s="13" t="s">
        <v>17</v>
      </c>
      <c r="Q13" s="13" t="s">
        <v>17</v>
      </c>
      <c r="R13" s="13" t="s">
        <v>17</v>
      </c>
      <c r="S13" s="13" t="s">
        <v>17</v>
      </c>
      <c r="T13" s="14" t="s">
        <v>18</v>
      </c>
      <c r="U13" s="14" t="s">
        <v>18</v>
      </c>
      <c r="V13" s="14" t="s">
        <v>18</v>
      </c>
      <c r="W13" s="14" t="s">
        <v>18</v>
      </c>
      <c r="X13" s="14" t="s">
        <v>18</v>
      </c>
      <c r="Y13" s="14" t="s">
        <v>18</v>
      </c>
      <c r="Z13" s="14" t="s">
        <v>18</v>
      </c>
      <c r="AA13" s="14" t="s">
        <v>18</v>
      </c>
      <c r="AB13" s="14" t="s">
        <v>18</v>
      </c>
      <c r="AC13" s="14" t="s">
        <v>18</v>
      </c>
      <c r="AD13" s="14" t="s">
        <v>18</v>
      </c>
      <c r="AE13" s="14" t="s">
        <v>18</v>
      </c>
      <c r="AF13" s="14" t="s">
        <v>18</v>
      </c>
      <c r="AG13" s="14" t="s">
        <v>18</v>
      </c>
      <c r="AH13" s="13" t="s">
        <v>17</v>
      </c>
      <c r="AI13" s="13" t="s">
        <v>17</v>
      </c>
      <c r="AJ13" s="13" t="s">
        <v>17</v>
      </c>
      <c r="AK13" s="13" t="s">
        <v>17</v>
      </c>
      <c r="AL13" s="13" t="s">
        <v>17</v>
      </c>
      <c r="AM13" s="13" t="s">
        <v>17</v>
      </c>
      <c r="AN13" s="13" t="s">
        <v>17</v>
      </c>
      <c r="AO13" s="13" t="s">
        <v>17</v>
      </c>
      <c r="AP13" s="13" t="s">
        <v>17</v>
      </c>
      <c r="AQ13" s="13" t="s">
        <v>17</v>
      </c>
      <c r="AR13" s="13" t="s">
        <v>17</v>
      </c>
      <c r="AS13" s="13" t="s">
        <v>17</v>
      </c>
    </row>
    <row r="15" spans="1:45" x14ac:dyDescent="0.25">
      <c r="A15" s="9" t="s">
        <v>19</v>
      </c>
      <c r="B15" s="9" t="s">
        <v>20</v>
      </c>
      <c r="C15" s="9" t="s">
        <v>21</v>
      </c>
      <c r="D15" s="9" t="s">
        <v>22</v>
      </c>
      <c r="E15" s="9" t="s">
        <v>23</v>
      </c>
      <c r="F15" s="87" t="s">
        <v>24</v>
      </c>
      <c r="G15" s="15" t="s">
        <v>25</v>
      </c>
      <c r="H15" s="9" t="s">
        <v>26</v>
      </c>
      <c r="I15" s="16" t="s">
        <v>27</v>
      </c>
      <c r="J15" s="16" t="s">
        <v>28</v>
      </c>
      <c r="K15" s="16" t="s">
        <v>29</v>
      </c>
      <c r="L15" s="16" t="s">
        <v>30</v>
      </c>
      <c r="M15" s="16" t="s">
        <v>31</v>
      </c>
      <c r="N15" s="16" t="s">
        <v>32</v>
      </c>
      <c r="O15" s="16" t="s">
        <v>33</v>
      </c>
      <c r="P15" s="16" t="s">
        <v>34</v>
      </c>
      <c r="Q15" s="16" t="s">
        <v>35</v>
      </c>
      <c r="R15" s="16" t="s">
        <v>36</v>
      </c>
      <c r="S15" s="9" t="s">
        <v>37</v>
      </c>
      <c r="T15" s="9" t="s">
        <v>38</v>
      </c>
      <c r="U15" s="9" t="s">
        <v>39</v>
      </c>
      <c r="V15" s="9" t="s">
        <v>40</v>
      </c>
      <c r="W15" s="9" t="s">
        <v>41</v>
      </c>
      <c r="X15" s="9" t="s">
        <v>42</v>
      </c>
      <c r="Y15" s="9" t="s">
        <v>43</v>
      </c>
      <c r="Z15" s="9" t="s">
        <v>44</v>
      </c>
      <c r="AA15" s="9" t="s">
        <v>45</v>
      </c>
      <c r="AB15" s="9" t="s">
        <v>46</v>
      </c>
      <c r="AC15" s="9" t="s">
        <v>47</v>
      </c>
      <c r="AD15" s="9" t="s">
        <v>48</v>
      </c>
      <c r="AE15" s="9" t="s">
        <v>49</v>
      </c>
      <c r="AF15" s="9" t="s">
        <v>50</v>
      </c>
      <c r="AG15" s="9" t="s">
        <v>51</v>
      </c>
      <c r="AH15" s="16" t="s">
        <v>52</v>
      </c>
      <c r="AI15" s="16" t="s">
        <v>53</v>
      </c>
      <c r="AJ15" s="16" t="s">
        <v>54</v>
      </c>
      <c r="AK15" s="16" t="s">
        <v>55</v>
      </c>
      <c r="AL15" s="16" t="s">
        <v>6</v>
      </c>
      <c r="AM15" s="16" t="s">
        <v>14</v>
      </c>
      <c r="AN15" s="16" t="s">
        <v>16</v>
      </c>
      <c r="AO15" s="16" t="s">
        <v>8</v>
      </c>
      <c r="AP15" s="16" t="s">
        <v>56</v>
      </c>
      <c r="AQ15" s="16" t="s">
        <v>57</v>
      </c>
      <c r="AR15" s="16" t="s">
        <v>10</v>
      </c>
      <c r="AS15" s="16" t="s">
        <v>12</v>
      </c>
    </row>
    <row r="16" spans="1:45" x14ac:dyDescent="0.25">
      <c r="A16" s="9" t="str">
        <f>_xlfn.TEXTJOIN("_",TRUE,questions[[#This Row],[origin]:[qno]])</f>
        <v>Indonesia_Arabica_west_java_impact_1000</v>
      </c>
      <c r="B16" s="9" t="s">
        <v>58</v>
      </c>
      <c r="C16" s="9" t="s">
        <v>59</v>
      </c>
      <c r="D16" s="9" t="s">
        <v>60</v>
      </c>
      <c r="F16" s="9" t="s">
        <v>61</v>
      </c>
      <c r="G16" s="9" t="s">
        <v>62</v>
      </c>
      <c r="H16" s="9" t="str" cm="1">
        <f t="array" ref="H16">INDEX(stableR[question],MATCH(VALUE(questions[[#This Row],[qno]]),VALUE(stableR[qno]),0))</f>
        <v>Origin</v>
      </c>
      <c r="I16" s="9" t="b" cm="1">
        <f t="array" ref="I16">INDEX(stable[is_fixed],MATCH(VALUE(questions[[#This Row],[qno]]),VALUE(stable[qno]),0))</f>
        <v>1</v>
      </c>
      <c r="J16" s="9" t="b" cm="1">
        <f t="array" ref="J16">INDEX(stable[is_localized],MATCH(VALUE(questions[[#This Row],[qno]]),VALUE(stable[qno]),0))</f>
        <v>0</v>
      </c>
      <c r="K16" s="9" t="b" cm="1">
        <f t="array" ref="K16">INDEX(stable[is_supply_chain_dependent],MATCH(VALUE(questions[[#This Row],[qno]]),VALUE(stable[qno]),0))</f>
        <v>0</v>
      </c>
      <c r="L16" s="9" t="b" cm="1">
        <f t="array" ref="L16">INDEX(stable[is_mandatory],MATCH(VALUE(questions[[#This Row],[qno]]),VALUE(stable[qno]),0))</f>
        <v>1</v>
      </c>
      <c r="M16" s="9" t="b" cm="1">
        <f t="array" ref="M16">INDEX(stable[is_automated],MATCH(VALUE(questions[[#This Row],[qno]]),VALUE(stable[qno]),0))</f>
        <v>1</v>
      </c>
      <c r="N16" s="9" t="b" cm="1">
        <f t="array" ref="N16">INDEX(stable[is_free_text],MATCH(VALUE(questions[[#This Row],[qno]]),VALUE(stable[qno]),0))</f>
        <v>0</v>
      </c>
      <c r="O16" s="9" t="b" cm="1">
        <f t="array" ref="O16">INDEX(stable[is_numerical],MATCH(VALUE(questions[[#This Row],[qno]]),VALUE(stable[qno]),0))</f>
        <v>0</v>
      </c>
      <c r="P16" s="32" t="b" cm="1">
        <f t="array" ref="P16">INDEX(stable[is_single_select],MATCH(VALUE(questions[[#This Row],[qno]]),VALUE(stable[qno]),0))</f>
        <v>0</v>
      </c>
      <c r="Q16" s="9" t="b" cm="1">
        <f t="array" ref="Q16">INDEX(stable[is_multi_select],MATCH(VALUE(questions[[#This Row],[qno]]),VALUE(stable[qno]),0))</f>
        <v>0</v>
      </c>
      <c r="R16" s="9" t="b" cm="1">
        <f t="array" ref="R16">INDEX(stable[is_skip_logic],MATCH(VALUE(questions[[#This Row],[qno]]),VALUE(stable[qno]),0))</f>
        <v>0</v>
      </c>
      <c r="S16" s="9" t="str">
        <f>_xlfn.TEXTJOIN(", ",TRUE,questions[[#This Row],[ans_opt_1]:[ans_opt_14]])</f>
        <v/>
      </c>
      <c r="AH16" s="16" t="b">
        <f>INDEX(stable[q_standard],MATCH(questions[[#This Row],[qno]],stable[qno],0))</f>
        <v>1</v>
      </c>
      <c r="AI16" s="16" t="b">
        <f>INDEX(stable[q_living_income],MATCH(questions[[#This Row],[qno]],stable[qno],0))</f>
        <v>0</v>
      </c>
      <c r="AJ16" s="16" t="b">
        <f>INDEX(stable[q_carbon],MATCH(questions[[#This Row],[qno]],stable[qno],0))</f>
        <v>0</v>
      </c>
      <c r="AK16" s="16" t="b">
        <f>INDEX(stable[q_regen_ag],MATCH(questions[[#This Row],[qno]],stable[qno],0))</f>
        <v>0</v>
      </c>
      <c r="AL16" s="16" t="b">
        <f>COUNTIFS(stable[qno],questions[[#This Row],[qno]])=1</f>
        <v>1</v>
      </c>
      <c r="AM16" s="16" t="b">
        <f>OR(questions[[#This Row],[is_fixed]],questions[[#This Row],[is_localized]],questions[[#This Row],[is_supply_chain_dependent]])</f>
        <v>1</v>
      </c>
      <c r="AN16" s="16" t="b">
        <f>COUNTIFS(questions[[#This Row],[is_automated]:[is_multi_select]],TRUE)=1</f>
        <v>1</v>
      </c>
      <c r="AO16" s="16" t="b">
        <f>IF(questions[[#This Row],[is_fixed]],questions[[#This Row],[question]]=INDEX(stable[question],MATCH(questions[[#This Row],[qno]],stable[qno],0)),TRUE)</f>
        <v>1</v>
      </c>
      <c r="AP16" s="16" t="str">
        <f>LEFT(questions[[#This Row],[question]],similarity_range)</f>
        <v>Origin</v>
      </c>
      <c r="AQ16" s="16" t="str">
        <f>LEFT(INDEX(stable[question],MATCH(questions[[#This Row],[qno]],stable[qno],0)),similarity_range)</f>
        <v>Origin</v>
      </c>
      <c r="AR16" s="16" t="b">
        <f>questions[[#This Row],[question_first_characters]]=questions[[#This Row],[stability_first_characters]]</f>
        <v>1</v>
      </c>
      <c r="AS16" s="16" t="b">
        <f>IF(OR(questions[[#This Row],[is_single_select]],questions[[#This Row],[is_multi_select]]),NOT(ISBLANK(questions[[#This Row],[answer_opt_combined]])),TRUE)</f>
        <v>1</v>
      </c>
    </row>
    <row r="17" spans="1:45" x14ac:dyDescent="0.25">
      <c r="A17" s="9" t="str">
        <f>_xlfn.TEXTJOIN("_",TRUE,questions[[#This Row],[origin]:[qno]])</f>
        <v>Indonesia_Arabica_west_java_impact_1001</v>
      </c>
      <c r="B17" s="9" t="s">
        <v>58</v>
      </c>
      <c r="C17" s="9" t="s">
        <v>59</v>
      </c>
      <c r="D17" s="9" t="s">
        <v>60</v>
      </c>
      <c r="F17" s="9" t="s">
        <v>63</v>
      </c>
      <c r="G17" s="9" t="s">
        <v>64</v>
      </c>
      <c r="H17" s="9" t="str" cm="1">
        <f t="array" ref="H17">INDEX(stableR[question],MATCH(VALUE(questions[[#This Row],[qno]]),VALUE(stableR[qno]),0))</f>
        <v>Type</v>
      </c>
      <c r="I17" s="9" t="b" cm="1">
        <f t="array" ref="I17">INDEX(stable[is_fixed],MATCH(VALUE(questions[[#This Row],[qno]]),VALUE(stable[qno]),0))</f>
        <v>1</v>
      </c>
      <c r="J17" s="9" t="b" cm="1">
        <f t="array" ref="J17">INDEX(stable[is_localized],MATCH(VALUE(questions[[#This Row],[qno]]),VALUE(stable[qno]),0))</f>
        <v>0</v>
      </c>
      <c r="K17" s="9" t="b" cm="1">
        <f t="array" ref="K17">INDEX(stable[is_supply_chain_dependent],MATCH(VALUE(questions[[#This Row],[qno]]),VALUE(stable[qno]),0))</f>
        <v>0</v>
      </c>
      <c r="L17" s="9" t="b" cm="1">
        <f t="array" ref="L17">INDEX(stable[is_mandatory],MATCH(VALUE(questions[[#This Row],[qno]]),VALUE(stable[qno]),0))</f>
        <v>1</v>
      </c>
      <c r="M17" s="9" t="b" cm="1">
        <f t="array" ref="M17">INDEX(stable[is_automated],MATCH(VALUE(questions[[#This Row],[qno]]),VALUE(stable[qno]),0))</f>
        <v>1</v>
      </c>
      <c r="N17" s="9" t="b" cm="1">
        <f t="array" ref="N17">INDEX(stable[is_free_text],MATCH(VALUE(questions[[#This Row],[qno]]),VALUE(stable[qno]),0))</f>
        <v>0</v>
      </c>
      <c r="O17" s="9" t="b" cm="1">
        <f t="array" ref="O17">INDEX(stable[is_numerical],MATCH(VALUE(questions[[#This Row],[qno]]),VALUE(stable[qno]),0))</f>
        <v>0</v>
      </c>
      <c r="P17" s="32" t="b" cm="1">
        <f t="array" ref="P17">INDEX(stable[is_single_select],MATCH(VALUE(questions[[#This Row],[qno]]),VALUE(stable[qno]),0))</f>
        <v>0</v>
      </c>
      <c r="Q17" s="9" t="b" cm="1">
        <f t="array" ref="Q17">INDEX(stable[is_multi_select],MATCH(VALUE(questions[[#This Row],[qno]]),VALUE(stable[qno]),0))</f>
        <v>0</v>
      </c>
      <c r="R17" s="9" t="b" cm="1">
        <f t="array" ref="R17">INDEX(stable[is_skip_logic],MATCH(VALUE(questions[[#This Row],[qno]]),VALUE(stable[qno]),0))</f>
        <v>0</v>
      </c>
      <c r="S17" s="9" t="str">
        <f>_xlfn.TEXTJOIN(", ",TRUE,questions[[#This Row],[ans_opt_1]:[ans_opt_14]])</f>
        <v/>
      </c>
      <c r="AH17" s="16" t="b">
        <f>INDEX(stable[q_standard],MATCH(questions[[#This Row],[qno]],stable[qno],0))</f>
        <v>1</v>
      </c>
      <c r="AI17" s="16" t="b">
        <f>INDEX(stable[q_living_income],MATCH(questions[[#This Row],[qno]],stable[qno],0))</f>
        <v>0</v>
      </c>
      <c r="AJ17" s="16" t="b">
        <f>INDEX(stable[q_carbon],MATCH(questions[[#This Row],[qno]],stable[qno],0))</f>
        <v>0</v>
      </c>
      <c r="AK17" s="16" t="b">
        <f>INDEX(stable[q_regen_ag],MATCH(questions[[#This Row],[qno]],stable[qno],0))</f>
        <v>0</v>
      </c>
      <c r="AL17" s="16" t="b">
        <f>COUNTIFS(stable[qno],questions[[#This Row],[qno]])=1</f>
        <v>1</v>
      </c>
      <c r="AM17" s="16" t="b">
        <f>OR(questions[[#This Row],[is_fixed]],questions[[#This Row],[is_localized]],questions[[#This Row],[is_supply_chain_dependent]])</f>
        <v>1</v>
      </c>
      <c r="AN17" s="16" t="b">
        <f>COUNTIFS(questions[[#This Row],[is_automated]:[is_multi_select]],TRUE)=1</f>
        <v>1</v>
      </c>
      <c r="AO17" s="16" t="b">
        <f>IF(questions[[#This Row],[is_fixed]],questions[[#This Row],[question]]=INDEX(stable[question],MATCH(questions[[#This Row],[qno]],stable[qno],0)),TRUE)</f>
        <v>1</v>
      </c>
      <c r="AP17" s="16" t="str">
        <f>LEFT(questions[[#This Row],[question]],similarity_range)</f>
        <v>Type</v>
      </c>
      <c r="AQ17" s="16" t="str">
        <f>LEFT(INDEX(stable[question],MATCH(questions[[#This Row],[qno]],stable[qno],0)),similarity_range)</f>
        <v>Type</v>
      </c>
      <c r="AR17" s="16" t="b">
        <f>questions[[#This Row],[question_first_characters]]=questions[[#This Row],[stability_first_characters]]</f>
        <v>1</v>
      </c>
      <c r="AS17" s="16" t="b">
        <f>IF(OR(questions[[#This Row],[is_single_select]],questions[[#This Row],[is_multi_select]]),NOT(ISBLANK(questions[[#This Row],[answer_opt_combined]])),TRUE)</f>
        <v>1</v>
      </c>
    </row>
    <row r="18" spans="1:45" x14ac:dyDescent="0.25">
      <c r="A18" s="9" t="str">
        <f>_xlfn.TEXTJOIN("_",TRUE,questions[[#This Row],[origin]:[qno]])</f>
        <v>Indonesia_Arabica_west_java_impact_1002</v>
      </c>
      <c r="B18" s="9" t="s">
        <v>58</v>
      </c>
      <c r="C18" s="9" t="s">
        <v>59</v>
      </c>
      <c r="D18" s="9" t="s">
        <v>60</v>
      </c>
      <c r="F18" s="9" t="s">
        <v>65</v>
      </c>
      <c r="G18" s="9" t="s">
        <v>66</v>
      </c>
      <c r="H18" s="9" t="str" cm="1">
        <f t="array" ref="H18">INDEX(stableR[question],MATCH(VALUE(questions[[#This Row],[qno]]),VALUE(stableR[qno]),0))</f>
        <v>Supply chain</v>
      </c>
      <c r="I18" s="9" t="b" cm="1">
        <f t="array" ref="I18">INDEX(stable[is_fixed],MATCH(VALUE(questions[[#This Row],[qno]]),VALUE(stable[qno]),0))</f>
        <v>1</v>
      </c>
      <c r="J18" s="9" t="b" cm="1">
        <f t="array" ref="J18">INDEX(stable[is_localized],MATCH(VALUE(questions[[#This Row],[qno]]),VALUE(stable[qno]),0))</f>
        <v>0</v>
      </c>
      <c r="K18" s="9" t="b" cm="1">
        <f t="array" ref="K18">INDEX(stable[is_supply_chain_dependent],MATCH(VALUE(questions[[#This Row],[qno]]),VALUE(stable[qno]),0))</f>
        <v>0</v>
      </c>
      <c r="L18" s="9" t="b" cm="1">
        <f t="array" ref="L18">INDEX(stable[is_mandatory],MATCH(VALUE(questions[[#This Row],[qno]]),VALUE(stable[qno]),0))</f>
        <v>1</v>
      </c>
      <c r="M18" s="9" t="b" cm="1">
        <f t="array" ref="M18">INDEX(stable[is_automated],MATCH(VALUE(questions[[#This Row],[qno]]),VALUE(stable[qno]),0))</f>
        <v>1</v>
      </c>
      <c r="N18" s="9" t="b" cm="1">
        <f t="array" ref="N18">INDEX(stable[is_free_text],MATCH(VALUE(questions[[#This Row],[qno]]),VALUE(stable[qno]),0))</f>
        <v>0</v>
      </c>
      <c r="O18" s="9" t="b" cm="1">
        <f t="array" ref="O18">INDEX(stable[is_numerical],MATCH(VALUE(questions[[#This Row],[qno]]),VALUE(stable[qno]),0))</f>
        <v>0</v>
      </c>
      <c r="P18" s="32" t="b" cm="1">
        <f t="array" ref="P18">INDEX(stable[is_single_select],MATCH(VALUE(questions[[#This Row],[qno]]),VALUE(stable[qno]),0))</f>
        <v>0</v>
      </c>
      <c r="Q18" s="9" t="b" cm="1">
        <f t="array" ref="Q18">INDEX(stable[is_multi_select],MATCH(VALUE(questions[[#This Row],[qno]]),VALUE(stable[qno]),0))</f>
        <v>0</v>
      </c>
      <c r="R18" s="9" t="b" cm="1">
        <f t="array" ref="R18">INDEX(stable[is_skip_logic],MATCH(VALUE(questions[[#This Row],[qno]]),VALUE(stable[qno]),0))</f>
        <v>0</v>
      </c>
      <c r="S18" s="9" t="str">
        <f>_xlfn.TEXTJOIN(", ",TRUE,questions[[#This Row],[ans_opt_1]:[ans_opt_14]])</f>
        <v/>
      </c>
      <c r="AH18" s="16" t="b">
        <f>INDEX(stable[q_standard],MATCH(questions[[#This Row],[qno]],stable[qno],0))</f>
        <v>1</v>
      </c>
      <c r="AI18" s="16" t="b">
        <f>INDEX(stable[q_living_income],MATCH(questions[[#This Row],[qno]],stable[qno],0))</f>
        <v>0</v>
      </c>
      <c r="AJ18" s="16" t="b">
        <f>INDEX(stable[q_carbon],MATCH(questions[[#This Row],[qno]],stable[qno],0))</f>
        <v>0</v>
      </c>
      <c r="AK18" s="16" t="b">
        <f>INDEX(stable[q_regen_ag],MATCH(questions[[#This Row],[qno]],stable[qno],0))</f>
        <v>0</v>
      </c>
      <c r="AL18" s="16" t="b">
        <f>COUNTIFS(stable[qno],questions[[#This Row],[qno]])=1</f>
        <v>1</v>
      </c>
      <c r="AM18" s="16" t="b">
        <f>OR(questions[[#This Row],[is_fixed]],questions[[#This Row],[is_localized]],questions[[#This Row],[is_supply_chain_dependent]])</f>
        <v>1</v>
      </c>
      <c r="AN18" s="16" t="b">
        <f>COUNTIFS(questions[[#This Row],[is_automated]:[is_multi_select]],TRUE)=1</f>
        <v>1</v>
      </c>
      <c r="AO18" s="16" t="b">
        <f>IF(questions[[#This Row],[is_fixed]],questions[[#This Row],[question]]=INDEX(stable[question],MATCH(questions[[#This Row],[qno]],stable[qno],0)),TRUE)</f>
        <v>1</v>
      </c>
      <c r="AP18" s="16" t="str">
        <f>LEFT(questions[[#This Row],[question]],similarity_range)</f>
        <v>Supply chain</v>
      </c>
      <c r="AQ18" s="16" t="str">
        <f>LEFT(INDEX(stable[question],MATCH(questions[[#This Row],[qno]],stable[qno],0)),similarity_range)</f>
        <v>Supply chain</v>
      </c>
      <c r="AR18" s="16" t="b">
        <f>questions[[#This Row],[question_first_characters]]=questions[[#This Row],[stability_first_characters]]</f>
        <v>1</v>
      </c>
      <c r="AS18" s="16" t="b">
        <f>IF(OR(questions[[#This Row],[is_single_select]],questions[[#This Row],[is_multi_select]]),NOT(ISBLANK(questions[[#This Row],[answer_opt_combined]])),TRUE)</f>
        <v>1</v>
      </c>
    </row>
    <row r="19" spans="1:45" x14ac:dyDescent="0.25">
      <c r="A19" s="9" t="str">
        <f>_xlfn.TEXTJOIN("_",TRUE,questions[[#This Row],[origin]:[qno]])</f>
        <v>Indonesia_Arabica_west_java_impact_1003</v>
      </c>
      <c r="B19" s="9" t="s">
        <v>58</v>
      </c>
      <c r="C19" s="9" t="s">
        <v>59</v>
      </c>
      <c r="D19" s="9" t="s">
        <v>60</v>
      </c>
      <c r="F19" s="9" t="s">
        <v>67</v>
      </c>
      <c r="G19" s="9" t="s">
        <v>68</v>
      </c>
      <c r="H19" s="9" t="str" cm="1">
        <f t="array" ref="H19">INDEX(stableR[question],MATCH(VALUE(questions[[#This Row],[qno]]),VALUE(stableR[qno]),0))</f>
        <v>Year</v>
      </c>
      <c r="I19" s="9" t="b" cm="1">
        <f t="array" ref="I19">INDEX(stable[is_fixed],MATCH(VALUE(questions[[#This Row],[qno]]),VALUE(stable[qno]),0))</f>
        <v>1</v>
      </c>
      <c r="J19" s="9" t="b" cm="1">
        <f t="array" ref="J19">INDEX(stable[is_localized],MATCH(VALUE(questions[[#This Row],[qno]]),VALUE(stable[qno]),0))</f>
        <v>0</v>
      </c>
      <c r="K19" s="9" t="b" cm="1">
        <f t="array" ref="K19">INDEX(stable[is_supply_chain_dependent],MATCH(VALUE(questions[[#This Row],[qno]]),VALUE(stable[qno]),0))</f>
        <v>0</v>
      </c>
      <c r="L19" s="9" t="b" cm="1">
        <f t="array" ref="L19">INDEX(stable[is_mandatory],MATCH(VALUE(questions[[#This Row],[qno]]),VALUE(stable[qno]),0))</f>
        <v>1</v>
      </c>
      <c r="M19" s="9" t="b" cm="1">
        <f t="array" ref="M19">INDEX(stable[is_automated],MATCH(VALUE(questions[[#This Row],[qno]]),VALUE(stable[qno]),0))</f>
        <v>1</v>
      </c>
      <c r="N19" s="9" t="b" cm="1">
        <f t="array" ref="N19">INDEX(stable[is_free_text],MATCH(VALUE(questions[[#This Row],[qno]]),VALUE(stable[qno]),0))</f>
        <v>0</v>
      </c>
      <c r="O19" s="9" t="b" cm="1">
        <f t="array" ref="O19">INDEX(stable[is_numerical],MATCH(VALUE(questions[[#This Row],[qno]]),VALUE(stable[qno]),0))</f>
        <v>0</v>
      </c>
      <c r="P19" s="32" t="b" cm="1">
        <f t="array" ref="P19">INDEX(stable[is_single_select],MATCH(VALUE(questions[[#This Row],[qno]]),VALUE(stable[qno]),0))</f>
        <v>0</v>
      </c>
      <c r="Q19" s="9" t="b" cm="1">
        <f t="array" ref="Q19">INDEX(stable[is_multi_select],MATCH(VALUE(questions[[#This Row],[qno]]),VALUE(stable[qno]),0))</f>
        <v>0</v>
      </c>
      <c r="R19" s="9" t="b" cm="1">
        <f t="array" ref="R19">INDEX(stable[is_skip_logic],MATCH(VALUE(questions[[#This Row],[qno]]),VALUE(stable[qno]),0))</f>
        <v>0</v>
      </c>
      <c r="S19" s="9" t="str">
        <f>_xlfn.TEXTJOIN(", ",TRUE,questions[[#This Row],[ans_opt_1]:[ans_opt_14]])</f>
        <v/>
      </c>
      <c r="AH19" s="16" t="b">
        <f>INDEX(stable[q_standard],MATCH(questions[[#This Row],[qno]],stable[qno],0))</f>
        <v>1</v>
      </c>
      <c r="AI19" s="16" t="b">
        <f>INDEX(stable[q_living_income],MATCH(questions[[#This Row],[qno]],stable[qno],0))</f>
        <v>0</v>
      </c>
      <c r="AJ19" s="16" t="b">
        <f>INDEX(stable[q_carbon],MATCH(questions[[#This Row],[qno]],stable[qno],0))</f>
        <v>0</v>
      </c>
      <c r="AK19" s="16" t="b">
        <f>INDEX(stable[q_regen_ag],MATCH(questions[[#This Row],[qno]],stable[qno],0))</f>
        <v>0</v>
      </c>
      <c r="AL19" s="16" t="b">
        <f>COUNTIFS(stable[qno],questions[[#This Row],[qno]])=1</f>
        <v>1</v>
      </c>
      <c r="AM19" s="16" t="b">
        <f>OR(questions[[#This Row],[is_fixed]],questions[[#This Row],[is_localized]],questions[[#This Row],[is_supply_chain_dependent]])</f>
        <v>1</v>
      </c>
      <c r="AN19" s="16" t="b">
        <f>COUNTIFS(questions[[#This Row],[is_automated]:[is_multi_select]],TRUE)=1</f>
        <v>1</v>
      </c>
      <c r="AO19" s="16" t="b">
        <f>IF(questions[[#This Row],[is_fixed]],questions[[#This Row],[question]]=INDEX(stable[question],MATCH(questions[[#This Row],[qno]],stable[qno],0)),TRUE)</f>
        <v>1</v>
      </c>
      <c r="AP19" s="16" t="str">
        <f>LEFT(questions[[#This Row],[question]],similarity_range)</f>
        <v>Year</v>
      </c>
      <c r="AQ19" s="16" t="str">
        <f>LEFT(INDEX(stable[question],MATCH(questions[[#This Row],[qno]],stable[qno],0)),similarity_range)</f>
        <v>Year</v>
      </c>
      <c r="AR19" s="16" t="b">
        <f>questions[[#This Row],[question_first_characters]]=questions[[#This Row],[stability_first_characters]]</f>
        <v>1</v>
      </c>
      <c r="AS19" s="16" t="b">
        <f>IF(OR(questions[[#This Row],[is_single_select]],questions[[#This Row],[is_multi_select]]),NOT(ISBLANK(questions[[#This Row],[answer_opt_combined]])),TRUE)</f>
        <v>1</v>
      </c>
    </row>
    <row r="20" spans="1:45" x14ac:dyDescent="0.25">
      <c r="A20" s="9" t="str">
        <f>_xlfn.TEXTJOIN("_",TRUE,questions[[#This Row],[origin]:[qno]])</f>
        <v>Indonesia_Arabica_west_java_impact_1104</v>
      </c>
      <c r="B20" s="9" t="s">
        <v>58</v>
      </c>
      <c r="C20" s="9" t="s">
        <v>59</v>
      </c>
      <c r="D20" s="9" t="s">
        <v>60</v>
      </c>
      <c r="F20" s="9" t="s">
        <v>69</v>
      </c>
      <c r="G20" s="9" t="s">
        <v>70</v>
      </c>
      <c r="H20" s="9" t="str" cm="1">
        <f t="array" ref="H20">INDEX(stableR[question],MATCH(VALUE(questions[[#This Row],[qno]]),VALUE(stableR[qno]),0))</f>
        <v>Managed by</v>
      </c>
      <c r="I20" s="9" t="b" cm="1">
        <f t="array" ref="I20">INDEX(stable[is_fixed],MATCH(VALUE(questions[[#This Row],[qno]]),VALUE(stable[qno]),0))</f>
        <v>1</v>
      </c>
      <c r="J20" s="9" t="b" cm="1">
        <f t="array" ref="J20">INDEX(stable[is_localized],MATCH(VALUE(questions[[#This Row],[qno]]),VALUE(stable[qno]),0))</f>
        <v>0</v>
      </c>
      <c r="K20" s="9" t="b" cm="1">
        <f t="array" ref="K20">INDEX(stable[is_supply_chain_dependent],MATCH(VALUE(questions[[#This Row],[qno]]),VALUE(stable[qno]),0))</f>
        <v>0</v>
      </c>
      <c r="L20" s="9" t="b" cm="1">
        <f t="array" ref="L20">INDEX(stable[is_mandatory],MATCH(VALUE(questions[[#This Row],[qno]]),VALUE(stable[qno]),0))</f>
        <v>1</v>
      </c>
      <c r="M20" s="9" t="b" cm="1">
        <f t="array" ref="M20">INDEX(stable[is_automated],MATCH(VALUE(questions[[#This Row],[qno]]),VALUE(stable[qno]),0))</f>
        <v>1</v>
      </c>
      <c r="N20" s="9" t="b" cm="1">
        <f t="array" ref="N20">INDEX(stable[is_free_text],MATCH(VALUE(questions[[#This Row],[qno]]),VALUE(stable[qno]),0))</f>
        <v>0</v>
      </c>
      <c r="O20" s="9" t="b" cm="1">
        <f t="array" ref="O20">INDEX(stable[is_numerical],MATCH(VALUE(questions[[#This Row],[qno]]),VALUE(stable[qno]),0))</f>
        <v>0</v>
      </c>
      <c r="P20" s="32" t="b" cm="1">
        <f t="array" ref="P20">INDEX(stable[is_single_select],MATCH(VALUE(questions[[#This Row],[qno]]),VALUE(stable[qno]),0))</f>
        <v>0</v>
      </c>
      <c r="Q20" s="9" t="b" cm="1">
        <f t="array" ref="Q20">INDEX(stable[is_multi_select],MATCH(VALUE(questions[[#This Row],[qno]]),VALUE(stable[qno]),0))</f>
        <v>0</v>
      </c>
      <c r="R20" s="9" t="b" cm="1">
        <f t="array" ref="R20">INDEX(stable[is_skip_logic],MATCH(VALUE(questions[[#This Row],[qno]]),VALUE(stable[qno]),0))</f>
        <v>0</v>
      </c>
      <c r="S20" s="9" t="str">
        <f>_xlfn.TEXTJOIN(", ",TRUE,questions[[#This Row],[ans_opt_1]:[ans_opt_14]])</f>
        <v/>
      </c>
      <c r="AH20" s="16" t="b">
        <f>INDEX(stable[q_standard],MATCH(questions[[#This Row],[qno]],stable[qno],0))</f>
        <v>1</v>
      </c>
      <c r="AI20" s="16" t="b">
        <f>INDEX(stable[q_living_income],MATCH(questions[[#This Row],[qno]],stable[qno],0))</f>
        <v>0</v>
      </c>
      <c r="AJ20" s="16" t="b">
        <f>INDEX(stable[q_carbon],MATCH(questions[[#This Row],[qno]],stable[qno],0))</f>
        <v>0</v>
      </c>
      <c r="AK20" s="16" t="b">
        <f>INDEX(stable[q_regen_ag],MATCH(questions[[#This Row],[qno]],stable[qno],0))</f>
        <v>0</v>
      </c>
      <c r="AL20" s="16" t="b">
        <f>COUNTIFS(stable[qno],questions[[#This Row],[qno]])=1</f>
        <v>1</v>
      </c>
      <c r="AM20" s="16" t="b">
        <f>OR(questions[[#This Row],[is_fixed]],questions[[#This Row],[is_localized]],questions[[#This Row],[is_supply_chain_dependent]])</f>
        <v>1</v>
      </c>
      <c r="AN20" s="16" t="b">
        <f>COUNTIFS(questions[[#This Row],[is_automated]:[is_multi_select]],TRUE)=1</f>
        <v>1</v>
      </c>
      <c r="AO20" s="16" t="b">
        <f>IF(questions[[#This Row],[is_fixed]],questions[[#This Row],[question]]=INDEX(stable[question],MATCH(questions[[#This Row],[qno]],stable[qno],0)),TRUE)</f>
        <v>1</v>
      </c>
      <c r="AP20" s="16" t="str">
        <f>LEFT(questions[[#This Row],[question]],similarity_range)</f>
        <v>Managed by</v>
      </c>
      <c r="AQ20" s="16" t="str">
        <f>LEFT(INDEX(stable[question],MATCH(questions[[#This Row],[qno]],stable[qno],0)),similarity_range)</f>
        <v>Managed by</v>
      </c>
      <c r="AR20" s="16" t="b">
        <f>questions[[#This Row],[question_first_characters]]=questions[[#This Row],[stability_first_characters]]</f>
        <v>1</v>
      </c>
      <c r="AS20" s="16" t="b">
        <f>IF(OR(questions[[#This Row],[is_single_select]],questions[[#This Row],[is_multi_select]]),NOT(ISBLANK(questions[[#This Row],[answer_opt_combined]])),TRUE)</f>
        <v>1</v>
      </c>
    </row>
    <row r="21" spans="1:45" x14ac:dyDescent="0.25">
      <c r="A21" s="9" t="str">
        <f>_xlfn.TEXTJOIN("_",TRUE,questions[[#This Row],[origin]:[qno]])</f>
        <v>Indonesia_Arabica_west_java_impact_1105</v>
      </c>
      <c r="B21" s="9" t="s">
        <v>58</v>
      </c>
      <c r="C21" s="9" t="s">
        <v>59</v>
      </c>
      <c r="D21" s="9" t="s">
        <v>60</v>
      </c>
      <c r="F21" s="9" t="s">
        <v>71</v>
      </c>
      <c r="G21" s="9" t="s">
        <v>72</v>
      </c>
      <c r="H21" s="9" t="str" cm="1">
        <f t="array" ref="H21">INDEX(stableR[question],MATCH(VALUE(questions[[#This Row],[qno]]),VALUE(stableR[qno]),0))</f>
        <v>Field staff(s)</v>
      </c>
      <c r="I21" s="9" t="b" cm="1">
        <f t="array" ref="I21">INDEX(stable[is_fixed],MATCH(VALUE(questions[[#This Row],[qno]]),VALUE(stable[qno]),0))</f>
        <v>1</v>
      </c>
      <c r="J21" s="9" t="b" cm="1">
        <f t="array" ref="J21">INDEX(stable[is_localized],MATCH(VALUE(questions[[#This Row],[qno]]),VALUE(stable[qno]),0))</f>
        <v>0</v>
      </c>
      <c r="K21" s="9" t="b" cm="1">
        <f t="array" ref="K21">INDEX(stable[is_supply_chain_dependent],MATCH(VALUE(questions[[#This Row],[qno]]),VALUE(stable[qno]),0))</f>
        <v>0</v>
      </c>
      <c r="L21" s="9" t="b" cm="1">
        <f t="array" ref="L21">INDEX(stable[is_mandatory],MATCH(VALUE(questions[[#This Row],[qno]]),VALUE(stable[qno]),0))</f>
        <v>1</v>
      </c>
      <c r="M21" s="9" t="b" cm="1">
        <f t="array" ref="M21">INDEX(stable[is_automated],MATCH(VALUE(questions[[#This Row],[qno]]),VALUE(stable[qno]),0))</f>
        <v>1</v>
      </c>
      <c r="N21" s="9" t="b" cm="1">
        <f t="array" ref="N21">INDEX(stable[is_free_text],MATCH(VALUE(questions[[#This Row],[qno]]),VALUE(stable[qno]),0))</f>
        <v>0</v>
      </c>
      <c r="O21" s="9" t="b" cm="1">
        <f t="array" ref="O21">INDEX(stable[is_numerical],MATCH(VALUE(questions[[#This Row],[qno]]),VALUE(stable[qno]),0))</f>
        <v>0</v>
      </c>
      <c r="P21" s="32" t="b" cm="1">
        <f t="array" ref="P21">INDEX(stable[is_single_select],MATCH(VALUE(questions[[#This Row],[qno]]),VALUE(stable[qno]),0))</f>
        <v>0</v>
      </c>
      <c r="Q21" s="9" t="b" cm="1">
        <f t="array" ref="Q21">INDEX(stable[is_multi_select],MATCH(VALUE(questions[[#This Row],[qno]]),VALUE(stable[qno]),0))</f>
        <v>0</v>
      </c>
      <c r="R21" s="9" t="b" cm="1">
        <f t="array" ref="R21">INDEX(stable[is_skip_logic],MATCH(VALUE(questions[[#This Row],[qno]]),VALUE(stable[qno]),0))</f>
        <v>0</v>
      </c>
      <c r="S21" s="9" t="str">
        <f>_xlfn.TEXTJOIN(", ",TRUE,questions[[#This Row],[ans_opt_1]:[ans_opt_14]])</f>
        <v/>
      </c>
      <c r="AH21" s="16" t="b">
        <f>INDEX(stable[q_standard],MATCH(questions[[#This Row],[qno]],stable[qno],0))</f>
        <v>1</v>
      </c>
      <c r="AI21" s="16" t="b">
        <f>INDEX(stable[q_living_income],MATCH(questions[[#This Row],[qno]],stable[qno],0))</f>
        <v>0</v>
      </c>
      <c r="AJ21" s="16" t="b">
        <f>INDEX(stable[q_carbon],MATCH(questions[[#This Row],[qno]],stable[qno],0))</f>
        <v>0</v>
      </c>
      <c r="AK21" s="16" t="b">
        <f>INDEX(stable[q_regen_ag],MATCH(questions[[#This Row],[qno]],stable[qno],0))</f>
        <v>0</v>
      </c>
      <c r="AL21" s="16" t="b">
        <f>COUNTIFS(stable[qno],questions[[#This Row],[qno]])=1</f>
        <v>1</v>
      </c>
      <c r="AM21" s="16" t="b">
        <f>OR(questions[[#This Row],[is_fixed]],questions[[#This Row],[is_localized]],questions[[#This Row],[is_supply_chain_dependent]])</f>
        <v>1</v>
      </c>
      <c r="AN21" s="16" t="b">
        <f>COUNTIFS(questions[[#This Row],[is_automated]:[is_multi_select]],TRUE)=1</f>
        <v>1</v>
      </c>
      <c r="AO21" s="16" t="b">
        <f>IF(questions[[#This Row],[is_fixed]],questions[[#This Row],[question]]=INDEX(stable[question],MATCH(questions[[#This Row],[qno]],stable[qno],0)),TRUE)</f>
        <v>1</v>
      </c>
      <c r="AP21" s="16" t="str">
        <f>LEFT(questions[[#This Row],[question]],similarity_range)</f>
        <v>Field staff(s)</v>
      </c>
      <c r="AQ21" s="16" t="str">
        <f>LEFT(INDEX(stable[question],MATCH(questions[[#This Row],[qno]],stable[qno],0)),similarity_range)</f>
        <v>Field staff(s)</v>
      </c>
      <c r="AR21" s="16" t="b">
        <f>questions[[#This Row],[question_first_characters]]=questions[[#This Row],[stability_first_characters]]</f>
        <v>1</v>
      </c>
      <c r="AS21" s="16" t="b">
        <f>IF(OR(questions[[#This Row],[is_single_select]],questions[[#This Row],[is_multi_select]]),NOT(ISBLANK(questions[[#This Row],[answer_opt_combined]])),TRUE)</f>
        <v>1</v>
      </c>
    </row>
    <row r="22" spans="1:45" x14ac:dyDescent="0.25">
      <c r="A22" s="9" t="str">
        <f>_xlfn.TEXTJOIN("_",TRUE,questions[[#This Row],[origin]:[qno]])</f>
        <v>Indonesia_Arabica_west_java_impact_1106</v>
      </c>
      <c r="B22" s="9" t="s">
        <v>58</v>
      </c>
      <c r="C22" s="9" t="s">
        <v>59</v>
      </c>
      <c r="D22" s="9" t="s">
        <v>60</v>
      </c>
      <c r="F22" s="9" t="s">
        <v>73</v>
      </c>
      <c r="G22" s="9" t="s">
        <v>74</v>
      </c>
      <c r="H22" s="9" t="str" cm="1">
        <f t="array" ref="H22">INDEX(stableR[question],MATCH(VALUE(questions[[#This Row],[qno]]),VALUE(stableR[qno]),0))</f>
        <v>Completion Date</v>
      </c>
      <c r="I22" s="9" t="b" cm="1">
        <f t="array" ref="I22">INDEX(stable[is_fixed],MATCH(VALUE(questions[[#This Row],[qno]]),VALUE(stable[qno]),0))</f>
        <v>1</v>
      </c>
      <c r="J22" s="9" t="b" cm="1">
        <f t="array" ref="J22">INDEX(stable[is_localized],MATCH(VALUE(questions[[#This Row],[qno]]),VALUE(stable[qno]),0))</f>
        <v>0</v>
      </c>
      <c r="K22" s="9" t="b" cm="1">
        <f t="array" ref="K22">INDEX(stable[is_supply_chain_dependent],MATCH(VALUE(questions[[#This Row],[qno]]),VALUE(stable[qno]),0))</f>
        <v>0</v>
      </c>
      <c r="L22" s="9" t="b" cm="1">
        <f t="array" ref="L22">INDEX(stable[is_mandatory],MATCH(VALUE(questions[[#This Row],[qno]]),VALUE(stable[qno]),0))</f>
        <v>1</v>
      </c>
      <c r="M22" s="9" t="b" cm="1">
        <f t="array" ref="M22">INDEX(stable[is_automated],MATCH(VALUE(questions[[#This Row],[qno]]),VALUE(stable[qno]),0))</f>
        <v>1</v>
      </c>
      <c r="N22" s="9" t="b" cm="1">
        <f t="array" ref="N22">INDEX(stable[is_free_text],MATCH(VALUE(questions[[#This Row],[qno]]),VALUE(stable[qno]),0))</f>
        <v>0</v>
      </c>
      <c r="O22" s="9" t="b" cm="1">
        <f t="array" ref="O22">INDEX(stable[is_numerical],MATCH(VALUE(questions[[#This Row],[qno]]),VALUE(stable[qno]),0))</f>
        <v>0</v>
      </c>
      <c r="P22" s="32" t="b" cm="1">
        <f t="array" ref="P22">INDEX(stable[is_single_select],MATCH(VALUE(questions[[#This Row],[qno]]),VALUE(stable[qno]),0))</f>
        <v>0</v>
      </c>
      <c r="Q22" s="9" t="b" cm="1">
        <f t="array" ref="Q22">INDEX(stable[is_multi_select],MATCH(VALUE(questions[[#This Row],[qno]]),VALUE(stable[qno]),0))</f>
        <v>0</v>
      </c>
      <c r="R22" s="9" t="b" cm="1">
        <f t="array" ref="R22">INDEX(stable[is_skip_logic],MATCH(VALUE(questions[[#This Row],[qno]]),VALUE(stable[qno]),0))</f>
        <v>0</v>
      </c>
      <c r="S22" s="9" t="str">
        <f>_xlfn.TEXTJOIN(", ",TRUE,questions[[#This Row],[ans_opt_1]:[ans_opt_14]])</f>
        <v/>
      </c>
      <c r="AH22" s="16" t="b">
        <f>INDEX(stable[q_standard],MATCH(questions[[#This Row],[qno]],stable[qno],0))</f>
        <v>1</v>
      </c>
      <c r="AI22" s="16" t="b">
        <f>INDEX(stable[q_living_income],MATCH(questions[[#This Row],[qno]],stable[qno],0))</f>
        <v>0</v>
      </c>
      <c r="AJ22" s="16" t="b">
        <f>INDEX(stable[q_carbon],MATCH(questions[[#This Row],[qno]],stable[qno],0))</f>
        <v>0</v>
      </c>
      <c r="AK22" s="16" t="b">
        <f>INDEX(stable[q_regen_ag],MATCH(questions[[#This Row],[qno]],stable[qno],0))</f>
        <v>0</v>
      </c>
      <c r="AL22" s="16" t="b">
        <f>COUNTIFS(stable[qno],questions[[#This Row],[qno]])=1</f>
        <v>1</v>
      </c>
      <c r="AM22" s="16" t="b">
        <f>OR(questions[[#This Row],[is_fixed]],questions[[#This Row],[is_localized]],questions[[#This Row],[is_supply_chain_dependent]])</f>
        <v>1</v>
      </c>
      <c r="AN22" s="16" t="b">
        <f>COUNTIFS(questions[[#This Row],[is_automated]:[is_multi_select]],TRUE)=1</f>
        <v>1</v>
      </c>
      <c r="AO22" s="16" t="b">
        <f>IF(questions[[#This Row],[is_fixed]],questions[[#This Row],[question]]=INDEX(stable[question],MATCH(questions[[#This Row],[qno]],stable[qno],0)),TRUE)</f>
        <v>1</v>
      </c>
      <c r="AP22" s="16" t="str">
        <f>LEFT(questions[[#This Row],[question]],similarity_range)</f>
        <v>Completion Date</v>
      </c>
      <c r="AQ22" s="16" t="str">
        <f>LEFT(INDEX(stable[question],MATCH(questions[[#This Row],[qno]],stable[qno],0)),similarity_range)</f>
        <v>Completion Date</v>
      </c>
      <c r="AR22" s="16" t="b">
        <f>questions[[#This Row],[question_first_characters]]=questions[[#This Row],[stability_first_characters]]</f>
        <v>1</v>
      </c>
      <c r="AS22" s="16" t="b">
        <f>IF(OR(questions[[#This Row],[is_single_select]],questions[[#This Row],[is_multi_select]]),NOT(ISBLANK(questions[[#This Row],[answer_opt_combined]])),TRUE)</f>
        <v>1</v>
      </c>
    </row>
    <row r="23" spans="1:45" x14ac:dyDescent="0.25">
      <c r="A23" s="9" t="str">
        <f>_xlfn.TEXTJOIN("_",TRUE,questions[[#This Row],[origin]:[qno]])</f>
        <v>Indonesia_Arabica_west_java_impact_1110</v>
      </c>
      <c r="B23" s="9" t="s">
        <v>58</v>
      </c>
      <c r="C23" s="9" t="s">
        <v>59</v>
      </c>
      <c r="D23" s="9" t="s">
        <v>60</v>
      </c>
      <c r="F23" s="9" t="s">
        <v>75</v>
      </c>
      <c r="G23" s="9" t="s">
        <v>76</v>
      </c>
      <c r="H23" s="9" t="str" cm="1">
        <f t="array" ref="H23">INDEX(stableR[question],MATCH(VALUE(questions[[#This Row],[qno]]),VALUE(stableR[qno]),0))</f>
        <v>Approved / Rejected By</v>
      </c>
      <c r="I23" s="9" t="b" cm="1">
        <f t="array" ref="I23">INDEX(stable[is_fixed],MATCH(VALUE(questions[[#This Row],[qno]]),VALUE(stable[qno]),0))</f>
        <v>1</v>
      </c>
      <c r="J23" s="9" t="b" cm="1">
        <f t="array" ref="J23">INDEX(stable[is_localized],MATCH(VALUE(questions[[#This Row],[qno]]),VALUE(stable[qno]),0))</f>
        <v>0</v>
      </c>
      <c r="K23" s="9" t="b" cm="1">
        <f t="array" ref="K23">INDEX(stable[is_supply_chain_dependent],MATCH(VALUE(questions[[#This Row],[qno]]),VALUE(stable[qno]),0))</f>
        <v>0</v>
      </c>
      <c r="L23" s="9" t="b" cm="1">
        <f t="array" ref="L23">INDEX(stable[is_mandatory],MATCH(VALUE(questions[[#This Row],[qno]]),VALUE(stable[qno]),0))</f>
        <v>1</v>
      </c>
      <c r="M23" s="9" t="b" cm="1">
        <f t="array" ref="M23">INDEX(stable[is_automated],MATCH(VALUE(questions[[#This Row],[qno]]),VALUE(stable[qno]),0))</f>
        <v>1</v>
      </c>
      <c r="N23" s="9" t="b" cm="1">
        <f t="array" ref="N23">INDEX(stable[is_free_text],MATCH(VALUE(questions[[#This Row],[qno]]),VALUE(stable[qno]),0))</f>
        <v>0</v>
      </c>
      <c r="O23" s="9" t="b" cm="1">
        <f t="array" ref="O23">INDEX(stable[is_numerical],MATCH(VALUE(questions[[#This Row],[qno]]),VALUE(stable[qno]),0))</f>
        <v>0</v>
      </c>
      <c r="P23" s="32" t="b" cm="1">
        <f t="array" ref="P23">INDEX(stable[is_single_select],MATCH(VALUE(questions[[#This Row],[qno]]),VALUE(stable[qno]),0))</f>
        <v>0</v>
      </c>
      <c r="Q23" s="9" t="b" cm="1">
        <f t="array" ref="Q23">INDEX(stable[is_multi_select],MATCH(VALUE(questions[[#This Row],[qno]]),VALUE(stable[qno]),0))</f>
        <v>0</v>
      </c>
      <c r="R23" s="9" t="b" cm="1">
        <f t="array" ref="R23">INDEX(stable[is_skip_logic],MATCH(VALUE(questions[[#This Row],[qno]]),VALUE(stable[qno]),0))</f>
        <v>0</v>
      </c>
      <c r="S23" s="9" t="str">
        <f>_xlfn.TEXTJOIN(", ",TRUE,questions[[#This Row],[ans_opt_1]:[ans_opt_14]])</f>
        <v/>
      </c>
      <c r="AH23" s="16" t="b">
        <f>INDEX(stable[q_standard],MATCH(questions[[#This Row],[qno]],stable[qno],0))</f>
        <v>1</v>
      </c>
      <c r="AI23" s="16" t="b">
        <f>INDEX(stable[q_living_income],MATCH(questions[[#This Row],[qno]],stable[qno],0))</f>
        <v>0</v>
      </c>
      <c r="AJ23" s="16" t="b">
        <f>INDEX(stable[q_carbon],MATCH(questions[[#This Row],[qno]],stable[qno],0))</f>
        <v>0</v>
      </c>
      <c r="AK23" s="16" t="b">
        <f>INDEX(stable[q_regen_ag],MATCH(questions[[#This Row],[qno]],stable[qno],0))</f>
        <v>0</v>
      </c>
      <c r="AL23" s="16" t="b">
        <f>COUNTIFS(stable[qno],questions[[#This Row],[qno]])=1</f>
        <v>1</v>
      </c>
      <c r="AM23" s="16" t="b">
        <f>OR(questions[[#This Row],[is_fixed]],questions[[#This Row],[is_localized]],questions[[#This Row],[is_supply_chain_dependent]])</f>
        <v>1</v>
      </c>
      <c r="AN23" s="16" t="b">
        <f>COUNTIFS(questions[[#This Row],[is_automated]:[is_multi_select]],TRUE)=1</f>
        <v>1</v>
      </c>
      <c r="AO23" s="16" t="b">
        <f>IF(questions[[#This Row],[is_fixed]],questions[[#This Row],[question]]=INDEX(stable[question],MATCH(questions[[#This Row],[qno]],stable[qno],0)),TRUE)</f>
        <v>1</v>
      </c>
      <c r="AP23" s="16" t="str">
        <f>LEFT(questions[[#This Row],[question]],similarity_range)</f>
        <v xml:space="preserve">Approved / Rejected </v>
      </c>
      <c r="AQ23" s="16" t="str">
        <f>LEFT(INDEX(stable[question],MATCH(questions[[#This Row],[qno]],stable[qno],0)),similarity_range)</f>
        <v xml:space="preserve">Approved / Rejected </v>
      </c>
      <c r="AR23" s="16" t="b">
        <f>questions[[#This Row],[question_first_characters]]=questions[[#This Row],[stability_first_characters]]</f>
        <v>1</v>
      </c>
      <c r="AS23" s="16" t="b">
        <f>IF(OR(questions[[#This Row],[is_single_select]],questions[[#This Row],[is_multi_select]]),NOT(ISBLANK(questions[[#This Row],[answer_opt_combined]])),TRUE)</f>
        <v>1</v>
      </c>
    </row>
    <row r="24" spans="1:45" x14ac:dyDescent="0.25">
      <c r="A24" s="9" t="str">
        <f>_xlfn.TEXTJOIN("_",TRUE,questions[[#This Row],[origin]:[qno]])</f>
        <v>Indonesia_Arabica_west_java_impact_1111</v>
      </c>
      <c r="B24" s="9" t="s">
        <v>58</v>
      </c>
      <c r="C24" s="9" t="s">
        <v>59</v>
      </c>
      <c r="D24" s="9" t="s">
        <v>60</v>
      </c>
      <c r="F24" s="9" t="s">
        <v>77</v>
      </c>
      <c r="G24" s="9" t="s">
        <v>78</v>
      </c>
      <c r="H24" s="9" t="str" cm="1">
        <f t="array" ref="H24">INDEX(stableR[question],MATCH(VALUE(questions[[#This Row],[qno]]),VALUE(stableR[qno]),0))</f>
        <v>Approved / Rejected Date</v>
      </c>
      <c r="I24" s="9" t="b" cm="1">
        <f t="array" ref="I24">INDEX(stable[is_fixed],MATCH(VALUE(questions[[#This Row],[qno]]),VALUE(stable[qno]),0))</f>
        <v>1</v>
      </c>
      <c r="J24" s="9" t="b" cm="1">
        <f t="array" ref="J24">INDEX(stable[is_localized],MATCH(VALUE(questions[[#This Row],[qno]]),VALUE(stable[qno]),0))</f>
        <v>0</v>
      </c>
      <c r="K24" s="9" t="b" cm="1">
        <f t="array" ref="K24">INDEX(stable[is_supply_chain_dependent],MATCH(VALUE(questions[[#This Row],[qno]]),VALUE(stable[qno]),0))</f>
        <v>0</v>
      </c>
      <c r="L24" s="9" t="b" cm="1">
        <f t="array" ref="L24">INDEX(stable[is_mandatory],MATCH(VALUE(questions[[#This Row],[qno]]),VALUE(stable[qno]),0))</f>
        <v>1</v>
      </c>
      <c r="M24" s="9" t="b" cm="1">
        <f t="array" ref="M24">INDEX(stable[is_automated],MATCH(VALUE(questions[[#This Row],[qno]]),VALUE(stable[qno]),0))</f>
        <v>1</v>
      </c>
      <c r="N24" s="9" t="b" cm="1">
        <f t="array" ref="N24">INDEX(stable[is_free_text],MATCH(VALUE(questions[[#This Row],[qno]]),VALUE(stable[qno]),0))</f>
        <v>0</v>
      </c>
      <c r="O24" s="9" t="b" cm="1">
        <f t="array" ref="O24">INDEX(stable[is_numerical],MATCH(VALUE(questions[[#This Row],[qno]]),VALUE(stable[qno]),0))</f>
        <v>0</v>
      </c>
      <c r="P24" s="32" t="b" cm="1">
        <f t="array" ref="P24">INDEX(stable[is_single_select],MATCH(VALUE(questions[[#This Row],[qno]]),VALUE(stable[qno]),0))</f>
        <v>0</v>
      </c>
      <c r="Q24" s="9" t="b" cm="1">
        <f t="array" ref="Q24">INDEX(stable[is_multi_select],MATCH(VALUE(questions[[#This Row],[qno]]),VALUE(stable[qno]),0))</f>
        <v>0</v>
      </c>
      <c r="R24" s="9" t="b" cm="1">
        <f t="array" ref="R24">INDEX(stable[is_skip_logic],MATCH(VALUE(questions[[#This Row],[qno]]),VALUE(stable[qno]),0))</f>
        <v>0</v>
      </c>
      <c r="S24" s="9" t="str">
        <f>_xlfn.TEXTJOIN(", ",TRUE,questions[[#This Row],[ans_opt_1]:[ans_opt_14]])</f>
        <v/>
      </c>
      <c r="AH24" s="16" t="b">
        <f>INDEX(stable[q_standard],MATCH(questions[[#This Row],[qno]],stable[qno],0))</f>
        <v>1</v>
      </c>
      <c r="AI24" s="16" t="b">
        <f>INDEX(stable[q_living_income],MATCH(questions[[#This Row],[qno]],stable[qno],0))</f>
        <v>0</v>
      </c>
      <c r="AJ24" s="16" t="b">
        <f>INDEX(stable[q_carbon],MATCH(questions[[#This Row],[qno]],stable[qno],0))</f>
        <v>0</v>
      </c>
      <c r="AK24" s="16" t="b">
        <f>INDEX(stable[q_regen_ag],MATCH(questions[[#This Row],[qno]],stable[qno],0))</f>
        <v>0</v>
      </c>
      <c r="AL24" s="16" t="b">
        <f>COUNTIFS(stable[qno],questions[[#This Row],[qno]])=1</f>
        <v>1</v>
      </c>
      <c r="AM24" s="16" t="b">
        <f>OR(questions[[#This Row],[is_fixed]],questions[[#This Row],[is_localized]],questions[[#This Row],[is_supply_chain_dependent]])</f>
        <v>1</v>
      </c>
      <c r="AN24" s="16" t="b">
        <f>COUNTIFS(questions[[#This Row],[is_automated]:[is_multi_select]],TRUE)=1</f>
        <v>1</v>
      </c>
      <c r="AO24" s="16" t="b">
        <f>IF(questions[[#This Row],[is_fixed]],questions[[#This Row],[question]]=INDEX(stable[question],MATCH(questions[[#This Row],[qno]],stable[qno],0)),TRUE)</f>
        <v>1</v>
      </c>
      <c r="AP24" s="16" t="str">
        <f>LEFT(questions[[#This Row],[question]],similarity_range)</f>
        <v xml:space="preserve">Approved / Rejected </v>
      </c>
      <c r="AQ24" s="16" t="str">
        <f>LEFT(INDEX(stable[question],MATCH(questions[[#This Row],[qno]],stable[qno],0)),similarity_range)</f>
        <v xml:space="preserve">Approved / Rejected </v>
      </c>
      <c r="AR24" s="16" t="b">
        <f>questions[[#This Row],[question_first_characters]]=questions[[#This Row],[stability_first_characters]]</f>
        <v>1</v>
      </c>
      <c r="AS24" s="16" t="b">
        <f>IF(OR(questions[[#This Row],[is_single_select]],questions[[#This Row],[is_multi_select]]),NOT(ISBLANK(questions[[#This Row],[answer_opt_combined]])),TRUE)</f>
        <v>1</v>
      </c>
    </row>
    <row r="25" spans="1:45" x14ac:dyDescent="0.25">
      <c r="A25" s="9" t="str">
        <f>_xlfn.TEXTJOIN("_",TRUE,questions[[#This Row],[origin]:[qno]])</f>
        <v>Indonesia_Arabica_west_java_impact_1112</v>
      </c>
      <c r="B25" s="9" t="s">
        <v>58</v>
      </c>
      <c r="C25" s="9" t="s">
        <v>59</v>
      </c>
      <c r="D25" s="9" t="s">
        <v>60</v>
      </c>
      <c r="F25" s="9" t="s">
        <v>79</v>
      </c>
      <c r="G25" s="9" t="s">
        <v>80</v>
      </c>
      <c r="H25" s="9" t="str" cm="1">
        <f t="array" ref="H25">INDEX(stableR[question],MATCH(VALUE(questions[[#This Row],[qno]]),VALUE(stableR[qno]),0))</f>
        <v>Approval / Rejection Reason</v>
      </c>
      <c r="I25" s="9" t="b" cm="1">
        <f t="array" ref="I25">INDEX(stable[is_fixed],MATCH(VALUE(questions[[#This Row],[qno]]),VALUE(stable[qno]),0))</f>
        <v>1</v>
      </c>
      <c r="J25" s="9" t="b" cm="1">
        <f t="array" ref="J25">INDEX(stable[is_localized],MATCH(VALUE(questions[[#This Row],[qno]]),VALUE(stable[qno]),0))</f>
        <v>0</v>
      </c>
      <c r="K25" s="9" t="b" cm="1">
        <f t="array" ref="K25">INDEX(stable[is_supply_chain_dependent],MATCH(VALUE(questions[[#This Row],[qno]]),VALUE(stable[qno]),0))</f>
        <v>0</v>
      </c>
      <c r="L25" s="9" t="b" cm="1">
        <f t="array" ref="L25">INDEX(stable[is_mandatory],MATCH(VALUE(questions[[#This Row],[qno]]),VALUE(stable[qno]),0))</f>
        <v>1</v>
      </c>
      <c r="M25" s="9" t="b" cm="1">
        <f t="array" ref="M25">INDEX(stable[is_automated],MATCH(VALUE(questions[[#This Row],[qno]]),VALUE(stable[qno]),0))</f>
        <v>1</v>
      </c>
      <c r="N25" s="9" t="b" cm="1">
        <f t="array" ref="N25">INDEX(stable[is_free_text],MATCH(VALUE(questions[[#This Row],[qno]]),VALUE(stable[qno]),0))</f>
        <v>0</v>
      </c>
      <c r="O25" s="9" t="b" cm="1">
        <f t="array" ref="O25">INDEX(stable[is_numerical],MATCH(VALUE(questions[[#This Row],[qno]]),VALUE(stable[qno]),0))</f>
        <v>0</v>
      </c>
      <c r="P25" s="32" t="b" cm="1">
        <f t="array" ref="P25">INDEX(stable[is_single_select],MATCH(VALUE(questions[[#This Row],[qno]]),VALUE(stable[qno]),0))</f>
        <v>0</v>
      </c>
      <c r="Q25" s="9" t="b" cm="1">
        <f t="array" ref="Q25">INDEX(stable[is_multi_select],MATCH(VALUE(questions[[#This Row],[qno]]),VALUE(stable[qno]),0))</f>
        <v>0</v>
      </c>
      <c r="R25" s="9" t="b" cm="1">
        <f t="array" ref="R25">INDEX(stable[is_skip_logic],MATCH(VALUE(questions[[#This Row],[qno]]),VALUE(stable[qno]),0))</f>
        <v>0</v>
      </c>
      <c r="S25" s="9" t="str">
        <f>_xlfn.TEXTJOIN(", ",TRUE,questions[[#This Row],[ans_opt_1]:[ans_opt_14]])</f>
        <v/>
      </c>
      <c r="AH25" s="16" t="b">
        <f>INDEX(stable[q_standard],MATCH(questions[[#This Row],[qno]],stable[qno],0))</f>
        <v>1</v>
      </c>
      <c r="AI25" s="16" t="b">
        <f>INDEX(stable[q_living_income],MATCH(questions[[#This Row],[qno]],stable[qno],0))</f>
        <v>0</v>
      </c>
      <c r="AJ25" s="16" t="b">
        <f>INDEX(stable[q_carbon],MATCH(questions[[#This Row],[qno]],stable[qno],0))</f>
        <v>0</v>
      </c>
      <c r="AK25" s="16" t="b">
        <f>INDEX(stable[q_regen_ag],MATCH(questions[[#This Row],[qno]],stable[qno],0))</f>
        <v>0</v>
      </c>
      <c r="AL25" s="16" t="b">
        <f>COUNTIFS(stable[qno],questions[[#This Row],[qno]])=1</f>
        <v>1</v>
      </c>
      <c r="AM25" s="16" t="b">
        <f>OR(questions[[#This Row],[is_fixed]],questions[[#This Row],[is_localized]],questions[[#This Row],[is_supply_chain_dependent]])</f>
        <v>1</v>
      </c>
      <c r="AN25" s="16" t="b">
        <f>COUNTIFS(questions[[#This Row],[is_automated]:[is_multi_select]],TRUE)=1</f>
        <v>1</v>
      </c>
      <c r="AO25" s="16" t="b">
        <f>IF(questions[[#This Row],[is_fixed]],questions[[#This Row],[question]]=INDEX(stable[question],MATCH(questions[[#This Row],[qno]],stable[qno],0)),TRUE)</f>
        <v>1</v>
      </c>
      <c r="AP25" s="16" t="str">
        <f>LEFT(questions[[#This Row],[question]],similarity_range)</f>
        <v>Approval / Rejection</v>
      </c>
      <c r="AQ25" s="16" t="str">
        <f>LEFT(INDEX(stable[question],MATCH(questions[[#This Row],[qno]],stable[qno],0)),similarity_range)</f>
        <v>Approval / Rejection</v>
      </c>
      <c r="AR25" s="16" t="b">
        <f>questions[[#This Row],[question_first_characters]]=questions[[#This Row],[stability_first_characters]]</f>
        <v>1</v>
      </c>
      <c r="AS25" s="16" t="b">
        <f>IF(OR(questions[[#This Row],[is_single_select]],questions[[#This Row],[is_multi_select]]),NOT(ISBLANK(questions[[#This Row],[answer_opt_combined]])),TRUE)</f>
        <v>1</v>
      </c>
    </row>
    <row r="26" spans="1:45" x14ac:dyDescent="0.25">
      <c r="A26" s="9" t="str">
        <f>_xlfn.TEXTJOIN("_",TRUE,questions[[#This Row],[origin]:[qno]])</f>
        <v>Indonesia_Arabica_west_java_impact_1200</v>
      </c>
      <c r="B26" s="9" t="s">
        <v>58</v>
      </c>
      <c r="C26" s="9" t="s">
        <v>59</v>
      </c>
      <c r="D26" s="9" t="s">
        <v>60</v>
      </c>
      <c r="F26" s="9" t="s">
        <v>81</v>
      </c>
      <c r="G26" s="9" t="s">
        <v>82</v>
      </c>
      <c r="H26" s="9" t="str" cm="1">
        <f t="array" ref="H26">INDEX(stableR[question],MATCH(VALUE(questions[[#This Row],[qno]]),VALUE(stableR[qno]),0))</f>
        <v>Farmer code</v>
      </c>
      <c r="I26" s="9" t="b" cm="1">
        <f t="array" ref="I26">INDEX(stable[is_fixed],MATCH(VALUE(questions[[#This Row],[qno]]),VALUE(stable[qno]),0))</f>
        <v>1</v>
      </c>
      <c r="J26" s="9" t="b" cm="1">
        <f t="array" ref="J26">INDEX(stable[is_localized],MATCH(VALUE(questions[[#This Row],[qno]]),VALUE(stable[qno]),0))</f>
        <v>0</v>
      </c>
      <c r="K26" s="9" t="b" cm="1">
        <f t="array" ref="K26">INDEX(stable[is_supply_chain_dependent],MATCH(VALUE(questions[[#This Row],[qno]]),VALUE(stable[qno]),0))</f>
        <v>0</v>
      </c>
      <c r="L26" s="9" t="b" cm="1">
        <f t="array" ref="L26">INDEX(stable[is_mandatory],MATCH(VALUE(questions[[#This Row],[qno]]),VALUE(stable[qno]),0))</f>
        <v>1</v>
      </c>
      <c r="M26" s="9" t="b" cm="1">
        <f t="array" ref="M26">INDEX(stable[is_automated],MATCH(VALUE(questions[[#This Row],[qno]]),VALUE(stable[qno]),0))</f>
        <v>1</v>
      </c>
      <c r="N26" s="9" t="b" cm="1">
        <f t="array" ref="N26">INDEX(stable[is_free_text],MATCH(VALUE(questions[[#This Row],[qno]]),VALUE(stable[qno]),0))</f>
        <v>0</v>
      </c>
      <c r="O26" s="9" t="b" cm="1">
        <f t="array" ref="O26">INDEX(stable[is_numerical],MATCH(VALUE(questions[[#This Row],[qno]]),VALUE(stable[qno]),0))</f>
        <v>0</v>
      </c>
      <c r="P26" s="32" t="b" cm="1">
        <f t="array" ref="P26">INDEX(stable[is_single_select],MATCH(VALUE(questions[[#This Row],[qno]]),VALUE(stable[qno]),0))</f>
        <v>0</v>
      </c>
      <c r="Q26" s="9" t="b" cm="1">
        <f t="array" ref="Q26">INDEX(stable[is_multi_select],MATCH(VALUE(questions[[#This Row],[qno]]),VALUE(stable[qno]),0))</f>
        <v>0</v>
      </c>
      <c r="R26" s="9" t="b" cm="1">
        <f t="array" ref="R26">INDEX(stable[is_skip_logic],MATCH(VALUE(questions[[#This Row],[qno]]),VALUE(stable[qno]),0))</f>
        <v>0</v>
      </c>
      <c r="S26" s="9" t="str">
        <f>_xlfn.TEXTJOIN(", ",TRUE,questions[[#This Row],[ans_opt_1]:[ans_opt_14]])</f>
        <v/>
      </c>
      <c r="AH26" s="16" t="b">
        <f>INDEX(stable[q_standard],MATCH(questions[[#This Row],[qno]],stable[qno],0))</f>
        <v>1</v>
      </c>
      <c r="AI26" s="16" t="b">
        <f>INDEX(stable[q_living_income],MATCH(questions[[#This Row],[qno]],stable[qno],0))</f>
        <v>0</v>
      </c>
      <c r="AJ26" s="16" t="b">
        <f>INDEX(stable[q_carbon],MATCH(questions[[#This Row],[qno]],stable[qno],0))</f>
        <v>0</v>
      </c>
      <c r="AK26" s="16" t="b">
        <f>INDEX(stable[q_regen_ag],MATCH(questions[[#This Row],[qno]],stable[qno],0))</f>
        <v>0</v>
      </c>
      <c r="AL26" s="16" t="b">
        <f>COUNTIFS(stable[qno],questions[[#This Row],[qno]])=1</f>
        <v>1</v>
      </c>
      <c r="AM26" s="16" t="b">
        <f>OR(questions[[#This Row],[is_fixed]],questions[[#This Row],[is_localized]],questions[[#This Row],[is_supply_chain_dependent]])</f>
        <v>1</v>
      </c>
      <c r="AN26" s="16" t="b">
        <f>COUNTIFS(questions[[#This Row],[is_automated]:[is_multi_select]],TRUE)=1</f>
        <v>1</v>
      </c>
      <c r="AO26" s="16" t="b">
        <f>IF(questions[[#This Row],[is_fixed]],questions[[#This Row],[question]]=INDEX(stable[question],MATCH(questions[[#This Row],[qno]],stable[qno],0)),TRUE)</f>
        <v>1</v>
      </c>
      <c r="AP26" s="16" t="str">
        <f>LEFT(questions[[#This Row],[question]],similarity_range)</f>
        <v>Farmer code</v>
      </c>
      <c r="AQ26" s="16" t="str">
        <f>LEFT(INDEX(stable[question],MATCH(questions[[#This Row],[qno]],stable[qno],0)),similarity_range)</f>
        <v>Farmer code</v>
      </c>
      <c r="AR26" s="16" t="b">
        <f>questions[[#This Row],[question_first_characters]]=questions[[#This Row],[stability_first_characters]]</f>
        <v>1</v>
      </c>
      <c r="AS26" s="16" t="b">
        <f>IF(OR(questions[[#This Row],[is_single_select]],questions[[#This Row],[is_multi_select]]),NOT(ISBLANK(questions[[#This Row],[answer_opt_combined]])),TRUE)</f>
        <v>1</v>
      </c>
    </row>
    <row r="27" spans="1:45" x14ac:dyDescent="0.25">
      <c r="A27" s="9" t="str">
        <f>_xlfn.TEXTJOIN("_",TRUE,questions[[#This Row],[origin]:[qno]])</f>
        <v>Indonesia_Arabica_west_java_impact_1201</v>
      </c>
      <c r="B27" s="9" t="s">
        <v>58</v>
      </c>
      <c r="C27" s="9" t="s">
        <v>59</v>
      </c>
      <c r="D27" s="9" t="s">
        <v>60</v>
      </c>
      <c r="F27" s="9" t="s">
        <v>83</v>
      </c>
      <c r="G27" s="9" t="s">
        <v>84</v>
      </c>
      <c r="H27" s="9" t="str" cm="1">
        <f t="array" ref="H27">INDEX(stableR[question],MATCH(VALUE(questions[[#This Row],[qno]]),VALUE(stableR[qno]),0))</f>
        <v>Farmer name</v>
      </c>
      <c r="I27" s="9" t="b" cm="1">
        <f t="array" ref="I27">INDEX(stable[is_fixed],MATCH(VALUE(questions[[#This Row],[qno]]),VALUE(stable[qno]),0))</f>
        <v>1</v>
      </c>
      <c r="J27" s="9" t="b" cm="1">
        <f t="array" ref="J27">INDEX(stable[is_localized],MATCH(VALUE(questions[[#This Row],[qno]]),VALUE(stable[qno]),0))</f>
        <v>0</v>
      </c>
      <c r="K27" s="9" t="b" cm="1">
        <f t="array" ref="K27">INDEX(stable[is_supply_chain_dependent],MATCH(VALUE(questions[[#This Row],[qno]]),VALUE(stable[qno]),0))</f>
        <v>0</v>
      </c>
      <c r="L27" s="9" t="b" cm="1">
        <f t="array" ref="L27">INDEX(stable[is_mandatory],MATCH(VALUE(questions[[#This Row],[qno]]),VALUE(stable[qno]),0))</f>
        <v>1</v>
      </c>
      <c r="M27" s="9" t="b" cm="1">
        <f t="array" ref="M27">INDEX(stable[is_automated],MATCH(VALUE(questions[[#This Row],[qno]]),VALUE(stable[qno]),0))</f>
        <v>1</v>
      </c>
      <c r="N27" s="9" t="b" cm="1">
        <f t="array" ref="N27">INDEX(stable[is_free_text],MATCH(VALUE(questions[[#This Row],[qno]]),VALUE(stable[qno]),0))</f>
        <v>0</v>
      </c>
      <c r="O27" s="9" t="b" cm="1">
        <f t="array" ref="O27">INDEX(stable[is_numerical],MATCH(VALUE(questions[[#This Row],[qno]]),VALUE(stable[qno]),0))</f>
        <v>0</v>
      </c>
      <c r="P27" s="32" t="b" cm="1">
        <f t="array" ref="P27">INDEX(stable[is_single_select],MATCH(VALUE(questions[[#This Row],[qno]]),VALUE(stable[qno]),0))</f>
        <v>0</v>
      </c>
      <c r="Q27" s="9" t="b" cm="1">
        <f t="array" ref="Q27">INDEX(stable[is_multi_select],MATCH(VALUE(questions[[#This Row],[qno]]),VALUE(stable[qno]),0))</f>
        <v>0</v>
      </c>
      <c r="R27" s="9" t="b" cm="1">
        <f t="array" ref="R27">INDEX(stable[is_skip_logic],MATCH(VALUE(questions[[#This Row],[qno]]),VALUE(stable[qno]),0))</f>
        <v>0</v>
      </c>
      <c r="S27" s="9" t="str">
        <f>_xlfn.TEXTJOIN(", ",TRUE,questions[[#This Row],[ans_opt_1]:[ans_opt_14]])</f>
        <v/>
      </c>
      <c r="AH27" s="16" t="b">
        <f>INDEX(stable[q_standard],MATCH(questions[[#This Row],[qno]],stable[qno],0))</f>
        <v>1</v>
      </c>
      <c r="AI27" s="16" t="b">
        <f>INDEX(stable[q_living_income],MATCH(questions[[#This Row],[qno]],stable[qno],0))</f>
        <v>0</v>
      </c>
      <c r="AJ27" s="16" t="b">
        <f>INDEX(stable[q_carbon],MATCH(questions[[#This Row],[qno]],stable[qno],0))</f>
        <v>0</v>
      </c>
      <c r="AK27" s="16" t="b">
        <f>INDEX(stable[q_regen_ag],MATCH(questions[[#This Row],[qno]],stable[qno],0))</f>
        <v>0</v>
      </c>
      <c r="AL27" s="16" t="b">
        <f>COUNTIFS(stable[qno],questions[[#This Row],[qno]])=1</f>
        <v>1</v>
      </c>
      <c r="AM27" s="16" t="b">
        <f>OR(questions[[#This Row],[is_fixed]],questions[[#This Row],[is_localized]],questions[[#This Row],[is_supply_chain_dependent]])</f>
        <v>1</v>
      </c>
      <c r="AN27" s="16" t="b">
        <f>COUNTIFS(questions[[#This Row],[is_automated]:[is_multi_select]],TRUE)=1</f>
        <v>1</v>
      </c>
      <c r="AO27" s="16" t="b">
        <f>IF(questions[[#This Row],[is_fixed]],questions[[#This Row],[question]]=INDEX(stable[question],MATCH(questions[[#This Row],[qno]],stable[qno],0)),TRUE)</f>
        <v>1</v>
      </c>
      <c r="AP27" s="16" t="str">
        <f>LEFT(questions[[#This Row],[question]],similarity_range)</f>
        <v>Farmer name</v>
      </c>
      <c r="AQ27" s="16" t="str">
        <f>LEFT(INDEX(stable[question],MATCH(questions[[#This Row],[qno]],stable[qno],0)),similarity_range)</f>
        <v>Farmer name</v>
      </c>
      <c r="AR27" s="16" t="b">
        <f>questions[[#This Row],[question_first_characters]]=questions[[#This Row],[stability_first_characters]]</f>
        <v>1</v>
      </c>
      <c r="AS27" s="16" t="b">
        <f>IF(OR(questions[[#This Row],[is_single_select]],questions[[#This Row],[is_multi_select]]),NOT(ISBLANK(questions[[#This Row],[answer_opt_combined]])),TRUE)</f>
        <v>1</v>
      </c>
    </row>
    <row r="28" spans="1:45" x14ac:dyDescent="0.25">
      <c r="A28" s="9" t="str">
        <f>_xlfn.TEXTJOIN("_",TRUE,questions[[#This Row],[origin]:[qno]])</f>
        <v>Indonesia_Arabica_west_java_impact_1202</v>
      </c>
      <c r="B28" s="9" t="s">
        <v>58</v>
      </c>
      <c r="C28" s="9" t="s">
        <v>59</v>
      </c>
      <c r="D28" s="9" t="s">
        <v>60</v>
      </c>
      <c r="F28" s="9" t="s">
        <v>85</v>
      </c>
      <c r="G28" s="9" t="s">
        <v>86</v>
      </c>
      <c r="H28" s="9" t="str" cm="1">
        <f t="array" ref="H28">INDEX(stableR[question],MATCH(VALUE(questions[[#This Row],[qno]]),VALUE(stableR[qno]),0))</f>
        <v>Farmer tags</v>
      </c>
      <c r="I28" s="9" t="b" cm="1">
        <f t="array" ref="I28">INDEX(stable[is_fixed],MATCH(VALUE(questions[[#This Row],[qno]]),VALUE(stable[qno]),0))</f>
        <v>1</v>
      </c>
      <c r="J28" s="9" t="b" cm="1">
        <f t="array" ref="J28">INDEX(stable[is_localized],MATCH(VALUE(questions[[#This Row],[qno]]),VALUE(stable[qno]),0))</f>
        <v>0</v>
      </c>
      <c r="K28" s="9" t="b" cm="1">
        <f t="array" ref="K28">INDEX(stable[is_supply_chain_dependent],MATCH(VALUE(questions[[#This Row],[qno]]),VALUE(stable[qno]),0))</f>
        <v>0</v>
      </c>
      <c r="L28" s="9" t="b" cm="1">
        <f t="array" ref="L28">INDEX(stable[is_mandatory],MATCH(VALUE(questions[[#This Row],[qno]]),VALUE(stable[qno]),0))</f>
        <v>1</v>
      </c>
      <c r="M28" s="9" t="b" cm="1">
        <f t="array" ref="M28">INDEX(stable[is_automated],MATCH(VALUE(questions[[#This Row],[qno]]),VALUE(stable[qno]),0))</f>
        <v>1</v>
      </c>
      <c r="N28" s="9" t="b" cm="1">
        <f t="array" ref="N28">INDEX(stable[is_free_text],MATCH(VALUE(questions[[#This Row],[qno]]),VALUE(stable[qno]),0))</f>
        <v>0</v>
      </c>
      <c r="O28" s="9" t="b" cm="1">
        <f t="array" ref="O28">INDEX(stable[is_numerical],MATCH(VALUE(questions[[#This Row],[qno]]),VALUE(stable[qno]),0))</f>
        <v>0</v>
      </c>
      <c r="P28" s="32" t="b" cm="1">
        <f t="array" ref="P28">INDEX(stable[is_single_select],MATCH(VALUE(questions[[#This Row],[qno]]),VALUE(stable[qno]),0))</f>
        <v>0</v>
      </c>
      <c r="Q28" s="9" t="b" cm="1">
        <f t="array" ref="Q28">INDEX(stable[is_multi_select],MATCH(VALUE(questions[[#This Row],[qno]]),VALUE(stable[qno]),0))</f>
        <v>0</v>
      </c>
      <c r="R28" s="9" t="b" cm="1">
        <f t="array" ref="R28">INDEX(stable[is_skip_logic],MATCH(VALUE(questions[[#This Row],[qno]]),VALUE(stable[qno]),0))</f>
        <v>0</v>
      </c>
      <c r="S28" s="9" t="str">
        <f>_xlfn.TEXTJOIN(", ",TRUE,questions[[#This Row],[ans_opt_1]:[ans_opt_14]])</f>
        <v/>
      </c>
      <c r="AH28" s="16" t="b">
        <f>INDEX(stable[q_standard],MATCH(questions[[#This Row],[qno]],stable[qno],0))</f>
        <v>1</v>
      </c>
      <c r="AI28" s="16" t="b">
        <f>INDEX(stable[q_living_income],MATCH(questions[[#This Row],[qno]],stable[qno],0))</f>
        <v>0</v>
      </c>
      <c r="AJ28" s="16" t="b">
        <f>INDEX(stable[q_carbon],MATCH(questions[[#This Row],[qno]],stable[qno],0))</f>
        <v>0</v>
      </c>
      <c r="AK28" s="16" t="b">
        <f>INDEX(stable[q_regen_ag],MATCH(questions[[#This Row],[qno]],stable[qno],0))</f>
        <v>0</v>
      </c>
      <c r="AL28" s="16" t="b">
        <f>COUNTIFS(stable[qno],questions[[#This Row],[qno]])=1</f>
        <v>1</v>
      </c>
      <c r="AM28" s="16" t="b">
        <f>OR(questions[[#This Row],[is_fixed]],questions[[#This Row],[is_localized]],questions[[#This Row],[is_supply_chain_dependent]])</f>
        <v>1</v>
      </c>
      <c r="AN28" s="16" t="b">
        <f>COUNTIFS(questions[[#This Row],[is_automated]:[is_multi_select]],TRUE)=1</f>
        <v>1</v>
      </c>
      <c r="AO28" s="16" t="b">
        <f>IF(questions[[#This Row],[is_fixed]],questions[[#This Row],[question]]=INDEX(stable[question],MATCH(questions[[#This Row],[qno]],stable[qno],0)),TRUE)</f>
        <v>1</v>
      </c>
      <c r="AP28" s="16" t="str">
        <f>LEFT(questions[[#This Row],[question]],similarity_range)</f>
        <v>Farmer tags</v>
      </c>
      <c r="AQ28" s="16" t="str">
        <f>LEFT(INDEX(stable[question],MATCH(questions[[#This Row],[qno]],stable[qno],0)),similarity_range)</f>
        <v>Farmer tags</v>
      </c>
      <c r="AR28" s="16" t="b">
        <f>questions[[#This Row],[question_first_characters]]=questions[[#This Row],[stability_first_characters]]</f>
        <v>1</v>
      </c>
      <c r="AS28" s="16" t="b">
        <f>IF(OR(questions[[#This Row],[is_single_select]],questions[[#This Row],[is_multi_select]]),NOT(ISBLANK(questions[[#This Row],[answer_opt_combined]])),TRUE)</f>
        <v>1</v>
      </c>
    </row>
    <row r="29" spans="1:45" x14ac:dyDescent="0.25">
      <c r="A29" s="9" t="str">
        <f>_xlfn.TEXTJOIN("_",TRUE,questions[[#This Row],[origin]:[qno]])</f>
        <v>Indonesia_Arabica_west_java_impact_1203</v>
      </c>
      <c r="B29" s="9" t="s">
        <v>58</v>
      </c>
      <c r="C29" s="9" t="s">
        <v>59</v>
      </c>
      <c r="D29" s="9" t="s">
        <v>60</v>
      </c>
      <c r="F29" s="9" t="s">
        <v>87</v>
      </c>
      <c r="G29" s="9" t="s">
        <v>88</v>
      </c>
      <c r="H29" s="9" t="str" cm="1">
        <f t="array" ref="H29">INDEX(stableR[question],MATCH(VALUE(questions[[#This Row],[qno]]),VALUE(stableR[qno]),0))</f>
        <v>Address</v>
      </c>
      <c r="I29" s="9" t="b" cm="1">
        <f t="array" ref="I29">INDEX(stable[is_fixed],MATCH(VALUE(questions[[#This Row],[qno]]),VALUE(stable[qno]),0))</f>
        <v>1</v>
      </c>
      <c r="J29" s="9" t="b" cm="1">
        <f t="array" ref="J29">INDEX(stable[is_localized],MATCH(VALUE(questions[[#This Row],[qno]]),VALUE(stable[qno]),0))</f>
        <v>0</v>
      </c>
      <c r="K29" s="9" t="b" cm="1">
        <f t="array" ref="K29">INDEX(stable[is_supply_chain_dependent],MATCH(VALUE(questions[[#This Row],[qno]]),VALUE(stable[qno]),0))</f>
        <v>0</v>
      </c>
      <c r="L29" s="9" t="b" cm="1">
        <f t="array" ref="L29">INDEX(stable[is_mandatory],MATCH(VALUE(questions[[#This Row],[qno]]),VALUE(stable[qno]),0))</f>
        <v>1</v>
      </c>
      <c r="M29" s="9" t="b" cm="1">
        <f t="array" ref="M29">INDEX(stable[is_automated],MATCH(VALUE(questions[[#This Row],[qno]]),VALUE(stable[qno]),0))</f>
        <v>1</v>
      </c>
      <c r="N29" s="9" t="b" cm="1">
        <f t="array" ref="N29">INDEX(stable[is_free_text],MATCH(VALUE(questions[[#This Row],[qno]]),VALUE(stable[qno]),0))</f>
        <v>0</v>
      </c>
      <c r="O29" s="9" t="b" cm="1">
        <f t="array" ref="O29">INDEX(stable[is_numerical],MATCH(VALUE(questions[[#This Row],[qno]]),VALUE(stable[qno]),0))</f>
        <v>0</v>
      </c>
      <c r="P29" s="32" t="b" cm="1">
        <f t="array" ref="P29">INDEX(stable[is_single_select],MATCH(VALUE(questions[[#This Row],[qno]]),VALUE(stable[qno]),0))</f>
        <v>0</v>
      </c>
      <c r="Q29" s="9" t="b" cm="1">
        <f t="array" ref="Q29">INDEX(stable[is_multi_select],MATCH(VALUE(questions[[#This Row],[qno]]),VALUE(stable[qno]),0))</f>
        <v>0</v>
      </c>
      <c r="R29" s="9" t="b" cm="1">
        <f t="array" ref="R29">INDEX(stable[is_skip_logic],MATCH(VALUE(questions[[#This Row],[qno]]),VALUE(stable[qno]),0))</f>
        <v>0</v>
      </c>
      <c r="S29" s="9" t="str">
        <f>_xlfn.TEXTJOIN(", ",TRUE,questions[[#This Row],[ans_opt_1]:[ans_opt_14]])</f>
        <v/>
      </c>
      <c r="AH29" s="16" t="b">
        <f>INDEX(stable[q_standard],MATCH(questions[[#This Row],[qno]],stable[qno],0))</f>
        <v>1</v>
      </c>
      <c r="AI29" s="16" t="b">
        <f>INDEX(stable[q_living_income],MATCH(questions[[#This Row],[qno]],stable[qno],0))</f>
        <v>0</v>
      </c>
      <c r="AJ29" s="16" t="b">
        <f>INDEX(stable[q_carbon],MATCH(questions[[#This Row],[qno]],stable[qno],0))</f>
        <v>0</v>
      </c>
      <c r="AK29" s="16" t="b">
        <f>INDEX(stable[q_regen_ag],MATCH(questions[[#This Row],[qno]],stable[qno],0))</f>
        <v>0</v>
      </c>
      <c r="AL29" s="16" t="b">
        <f>COUNTIFS(stable[qno],questions[[#This Row],[qno]])=1</f>
        <v>1</v>
      </c>
      <c r="AM29" s="16" t="b">
        <f>OR(questions[[#This Row],[is_fixed]],questions[[#This Row],[is_localized]],questions[[#This Row],[is_supply_chain_dependent]])</f>
        <v>1</v>
      </c>
      <c r="AN29" s="16" t="b">
        <f>COUNTIFS(questions[[#This Row],[is_automated]:[is_multi_select]],TRUE)=1</f>
        <v>1</v>
      </c>
      <c r="AO29" s="16" t="b">
        <f>IF(questions[[#This Row],[is_fixed]],questions[[#This Row],[question]]=INDEX(stable[question],MATCH(questions[[#This Row],[qno]],stable[qno],0)),TRUE)</f>
        <v>1</v>
      </c>
      <c r="AP29" s="16" t="str">
        <f>LEFT(questions[[#This Row],[question]],similarity_range)</f>
        <v>Address</v>
      </c>
      <c r="AQ29" s="16" t="str">
        <f>LEFT(INDEX(stable[question],MATCH(questions[[#This Row],[qno]],stable[qno],0)),similarity_range)</f>
        <v>Address</v>
      </c>
      <c r="AR29" s="16" t="b">
        <f>questions[[#This Row],[question_first_characters]]=questions[[#This Row],[stability_first_characters]]</f>
        <v>1</v>
      </c>
      <c r="AS29" s="16" t="b">
        <f>IF(OR(questions[[#This Row],[is_single_select]],questions[[#This Row],[is_multi_select]]),NOT(ISBLANK(questions[[#This Row],[answer_opt_combined]])),TRUE)</f>
        <v>1</v>
      </c>
    </row>
    <row r="30" spans="1:45" x14ac:dyDescent="0.25">
      <c r="A30" s="9" t="str">
        <f>_xlfn.TEXTJOIN("_",TRUE,questions[[#This Row],[origin]:[qno]])</f>
        <v>Indonesia_Arabica_west_java_impact_1210</v>
      </c>
      <c r="B30" s="9" t="s">
        <v>58</v>
      </c>
      <c r="C30" s="9" t="s">
        <v>59</v>
      </c>
      <c r="D30" s="9" t="s">
        <v>60</v>
      </c>
      <c r="F30" s="9" t="s">
        <v>89</v>
      </c>
      <c r="G30" s="9" t="s">
        <v>90</v>
      </c>
      <c r="H30" s="9" t="str" cm="1">
        <f t="array" ref="H30">INDEX(stableR[question],MATCH(VALUE(questions[[#This Row],[qno]]),VALUE(stableR[qno]),0))</f>
        <v>Plot name</v>
      </c>
      <c r="I30" s="9" t="b" cm="1">
        <f t="array" ref="I30">INDEX(stable[is_fixed],MATCH(VALUE(questions[[#This Row],[qno]]),VALUE(stable[qno]),0))</f>
        <v>1</v>
      </c>
      <c r="J30" s="9" t="b" cm="1">
        <f t="array" ref="J30">INDEX(stable[is_localized],MATCH(VALUE(questions[[#This Row],[qno]]),VALUE(stable[qno]),0))</f>
        <v>0</v>
      </c>
      <c r="K30" s="9" t="b" cm="1">
        <f t="array" ref="K30">INDEX(stable[is_supply_chain_dependent],MATCH(VALUE(questions[[#This Row],[qno]]),VALUE(stable[qno]),0))</f>
        <v>0</v>
      </c>
      <c r="L30" s="9" t="b" cm="1">
        <f t="array" ref="L30">INDEX(stable[is_mandatory],MATCH(VALUE(questions[[#This Row],[qno]]),VALUE(stable[qno]),0))</f>
        <v>1</v>
      </c>
      <c r="M30" s="9" t="b" cm="1">
        <f t="array" ref="M30">INDEX(stable[is_automated],MATCH(VALUE(questions[[#This Row],[qno]]),VALUE(stable[qno]),0))</f>
        <v>1</v>
      </c>
      <c r="N30" s="9" t="b" cm="1">
        <f t="array" ref="N30">INDEX(stable[is_free_text],MATCH(VALUE(questions[[#This Row],[qno]]),VALUE(stable[qno]),0))</f>
        <v>0</v>
      </c>
      <c r="O30" s="9" t="b" cm="1">
        <f t="array" ref="O30">INDEX(stable[is_numerical],MATCH(VALUE(questions[[#This Row],[qno]]),VALUE(stable[qno]),0))</f>
        <v>0</v>
      </c>
      <c r="P30" s="32" t="b" cm="1">
        <f t="array" ref="P30">INDEX(stable[is_single_select],MATCH(VALUE(questions[[#This Row],[qno]]),VALUE(stable[qno]),0))</f>
        <v>0</v>
      </c>
      <c r="Q30" s="9" t="b" cm="1">
        <f t="array" ref="Q30">INDEX(stable[is_multi_select],MATCH(VALUE(questions[[#This Row],[qno]]),VALUE(stable[qno]),0))</f>
        <v>0</v>
      </c>
      <c r="R30" s="9" t="b" cm="1">
        <f t="array" ref="R30">INDEX(stable[is_skip_logic],MATCH(VALUE(questions[[#This Row],[qno]]),VALUE(stable[qno]),0))</f>
        <v>0</v>
      </c>
      <c r="S30" s="9" t="str">
        <f>_xlfn.TEXTJOIN(", ",TRUE,questions[[#This Row],[ans_opt_1]:[ans_opt_14]])</f>
        <v/>
      </c>
      <c r="AH30" s="16" t="b">
        <f>INDEX(stable[q_standard],MATCH(questions[[#This Row],[qno]],stable[qno],0))</f>
        <v>1</v>
      </c>
      <c r="AI30" s="16" t="b">
        <f>INDEX(stable[q_living_income],MATCH(questions[[#This Row],[qno]],stable[qno],0))</f>
        <v>0</v>
      </c>
      <c r="AJ30" s="16" t="b">
        <f>INDEX(stable[q_carbon],MATCH(questions[[#This Row],[qno]],stable[qno],0))</f>
        <v>0</v>
      </c>
      <c r="AK30" s="16" t="b">
        <f>INDEX(stable[q_regen_ag],MATCH(questions[[#This Row],[qno]],stable[qno],0))</f>
        <v>0</v>
      </c>
      <c r="AL30" s="16" t="b">
        <f>COUNTIFS(stable[qno],questions[[#This Row],[qno]])=1</f>
        <v>1</v>
      </c>
      <c r="AM30" s="16" t="b">
        <f>OR(questions[[#This Row],[is_fixed]],questions[[#This Row],[is_localized]],questions[[#This Row],[is_supply_chain_dependent]])</f>
        <v>1</v>
      </c>
      <c r="AN30" s="16" t="b">
        <f>COUNTIFS(questions[[#This Row],[is_automated]:[is_multi_select]],TRUE)=1</f>
        <v>1</v>
      </c>
      <c r="AO30" s="16" t="b">
        <f>IF(questions[[#This Row],[is_fixed]],questions[[#This Row],[question]]=INDEX(stable[question],MATCH(questions[[#This Row],[qno]],stable[qno],0)),TRUE)</f>
        <v>1</v>
      </c>
      <c r="AP30" s="16" t="str">
        <f>LEFT(questions[[#This Row],[question]],similarity_range)</f>
        <v>Plot name</v>
      </c>
      <c r="AQ30" s="16" t="str">
        <f>LEFT(INDEX(stable[question],MATCH(questions[[#This Row],[qno]],stable[qno],0)),similarity_range)</f>
        <v>Plot name</v>
      </c>
      <c r="AR30" s="16" t="b">
        <f>questions[[#This Row],[question_first_characters]]=questions[[#This Row],[stability_first_characters]]</f>
        <v>1</v>
      </c>
      <c r="AS30" s="16" t="b">
        <f>IF(OR(questions[[#This Row],[is_single_select]],questions[[#This Row],[is_multi_select]]),NOT(ISBLANK(questions[[#This Row],[answer_opt_combined]])),TRUE)</f>
        <v>1</v>
      </c>
    </row>
    <row r="31" spans="1:45" x14ac:dyDescent="0.25">
      <c r="A31" s="9" t="str">
        <f>_xlfn.TEXTJOIN("_",TRUE,questions[[#This Row],[origin]:[qno]])</f>
        <v>Indonesia_Arabica_west_java_impact_1211</v>
      </c>
      <c r="B31" s="9" t="s">
        <v>58</v>
      </c>
      <c r="C31" s="9" t="s">
        <v>59</v>
      </c>
      <c r="D31" s="9" t="s">
        <v>60</v>
      </c>
      <c r="F31" s="9" t="s">
        <v>91</v>
      </c>
      <c r="G31" s="9" t="s">
        <v>92</v>
      </c>
      <c r="H31" s="9" t="str" cm="1">
        <f t="array" ref="H31">INDEX(stableR[question],MATCH(VALUE(questions[[#This Row],[qno]]),VALUE(stableR[qno]),0))</f>
        <v>Plot tags</v>
      </c>
      <c r="I31" s="9" t="b" cm="1">
        <f t="array" ref="I31">INDEX(stable[is_fixed],MATCH(VALUE(questions[[#This Row],[qno]]),VALUE(stable[qno]),0))</f>
        <v>1</v>
      </c>
      <c r="J31" s="9" t="b" cm="1">
        <f t="array" ref="J31">INDEX(stable[is_localized],MATCH(VALUE(questions[[#This Row],[qno]]),VALUE(stable[qno]),0))</f>
        <v>0</v>
      </c>
      <c r="K31" s="9" t="b" cm="1">
        <f t="array" ref="K31">INDEX(stable[is_supply_chain_dependent],MATCH(VALUE(questions[[#This Row],[qno]]),VALUE(stable[qno]),0))</f>
        <v>0</v>
      </c>
      <c r="L31" s="9" t="b" cm="1">
        <f t="array" ref="L31">INDEX(stable[is_mandatory],MATCH(VALUE(questions[[#This Row],[qno]]),VALUE(stable[qno]),0))</f>
        <v>1</v>
      </c>
      <c r="M31" s="9" t="b" cm="1">
        <f t="array" ref="M31">INDEX(stable[is_automated],MATCH(VALUE(questions[[#This Row],[qno]]),VALUE(stable[qno]),0))</f>
        <v>1</v>
      </c>
      <c r="N31" s="9" t="b" cm="1">
        <f t="array" ref="N31">INDEX(stable[is_free_text],MATCH(VALUE(questions[[#This Row],[qno]]),VALUE(stable[qno]),0))</f>
        <v>0</v>
      </c>
      <c r="O31" s="9" t="b" cm="1">
        <f t="array" ref="O31">INDEX(stable[is_numerical],MATCH(VALUE(questions[[#This Row],[qno]]),VALUE(stable[qno]),0))</f>
        <v>0</v>
      </c>
      <c r="P31" s="32" t="b" cm="1">
        <f t="array" ref="P31">INDEX(stable[is_single_select],MATCH(VALUE(questions[[#This Row],[qno]]),VALUE(stable[qno]),0))</f>
        <v>0</v>
      </c>
      <c r="Q31" s="9" t="b" cm="1">
        <f t="array" ref="Q31">INDEX(stable[is_multi_select],MATCH(VALUE(questions[[#This Row],[qno]]),VALUE(stable[qno]),0))</f>
        <v>0</v>
      </c>
      <c r="R31" s="9" t="b" cm="1">
        <f t="array" ref="R31">INDEX(stable[is_skip_logic],MATCH(VALUE(questions[[#This Row],[qno]]),VALUE(stable[qno]),0))</f>
        <v>0</v>
      </c>
      <c r="S31" s="9" t="str">
        <f>_xlfn.TEXTJOIN(", ",TRUE,questions[[#This Row],[ans_opt_1]:[ans_opt_14]])</f>
        <v/>
      </c>
      <c r="AH31" s="16" t="b">
        <f>INDEX(stable[q_standard],MATCH(questions[[#This Row],[qno]],stable[qno],0))</f>
        <v>1</v>
      </c>
      <c r="AI31" s="16" t="b">
        <f>INDEX(stable[q_living_income],MATCH(questions[[#This Row],[qno]],stable[qno],0))</f>
        <v>0</v>
      </c>
      <c r="AJ31" s="16" t="b">
        <f>INDEX(stable[q_carbon],MATCH(questions[[#This Row],[qno]],stable[qno],0))</f>
        <v>0</v>
      </c>
      <c r="AK31" s="16" t="b">
        <f>INDEX(stable[q_regen_ag],MATCH(questions[[#This Row],[qno]],stable[qno],0))</f>
        <v>0</v>
      </c>
      <c r="AL31" s="16" t="b">
        <f>COUNTIFS(stable[qno],questions[[#This Row],[qno]])=1</f>
        <v>1</v>
      </c>
      <c r="AM31" s="16" t="b">
        <f>OR(questions[[#This Row],[is_fixed]],questions[[#This Row],[is_localized]],questions[[#This Row],[is_supply_chain_dependent]])</f>
        <v>1</v>
      </c>
      <c r="AN31" s="16" t="b">
        <f>COUNTIFS(questions[[#This Row],[is_automated]:[is_multi_select]],TRUE)=1</f>
        <v>1</v>
      </c>
      <c r="AO31" s="16" t="b">
        <f>IF(questions[[#This Row],[is_fixed]],questions[[#This Row],[question]]=INDEX(stable[question],MATCH(questions[[#This Row],[qno]],stable[qno],0)),TRUE)</f>
        <v>1</v>
      </c>
      <c r="AP31" s="16" t="str">
        <f>LEFT(questions[[#This Row],[question]],similarity_range)</f>
        <v>Plot tags</v>
      </c>
      <c r="AQ31" s="16" t="str">
        <f>LEFT(INDEX(stable[question],MATCH(questions[[#This Row],[qno]],stable[qno],0)),similarity_range)</f>
        <v>Plot tags</v>
      </c>
      <c r="AR31" s="16" t="b">
        <f>questions[[#This Row],[question_first_characters]]=questions[[#This Row],[stability_first_characters]]</f>
        <v>1</v>
      </c>
      <c r="AS31" s="16" t="b">
        <f>IF(OR(questions[[#This Row],[is_single_select]],questions[[#This Row],[is_multi_select]]),NOT(ISBLANK(questions[[#This Row],[answer_opt_combined]])),TRUE)</f>
        <v>1</v>
      </c>
    </row>
    <row r="32" spans="1:45" x14ac:dyDescent="0.25">
      <c r="A32" s="9" t="str">
        <f>_xlfn.TEXTJOIN("_",TRUE,questions[[#This Row],[origin]:[qno]])</f>
        <v>Indonesia_Arabica_west_java_impact_1212</v>
      </c>
      <c r="B32" s="9" t="s">
        <v>58</v>
      </c>
      <c r="C32" s="9" t="s">
        <v>59</v>
      </c>
      <c r="D32" s="9" t="s">
        <v>60</v>
      </c>
      <c r="F32" s="9" t="s">
        <v>93</v>
      </c>
      <c r="G32" s="9" t="s">
        <v>94</v>
      </c>
      <c r="H32" s="9" t="str" cm="1">
        <f t="array" ref="H32">INDEX(stableR[question],MATCH(VALUE(questions[[#This Row],[qno]]),VALUE(stableR[qno]),0))</f>
        <v>Declared area (acre)</v>
      </c>
      <c r="I32" s="9" t="b" cm="1">
        <f t="array" ref="I32">INDEX(stable[is_fixed],MATCH(VALUE(questions[[#This Row],[qno]]),VALUE(stable[qno]),0))</f>
        <v>1</v>
      </c>
      <c r="J32" s="9" t="b" cm="1">
        <f t="array" ref="J32">INDEX(stable[is_localized],MATCH(VALUE(questions[[#This Row],[qno]]),VALUE(stable[qno]),0))</f>
        <v>0</v>
      </c>
      <c r="K32" s="9" t="b" cm="1">
        <f t="array" ref="K32">INDEX(stable[is_supply_chain_dependent],MATCH(VALUE(questions[[#This Row],[qno]]),VALUE(stable[qno]),0))</f>
        <v>0</v>
      </c>
      <c r="L32" s="9" t="b" cm="1">
        <f t="array" ref="L32">INDEX(stable[is_mandatory],MATCH(VALUE(questions[[#This Row],[qno]]),VALUE(stable[qno]),0))</f>
        <v>1</v>
      </c>
      <c r="M32" s="9" t="b" cm="1">
        <f t="array" ref="M32">INDEX(stable[is_automated],MATCH(VALUE(questions[[#This Row],[qno]]),VALUE(stable[qno]),0))</f>
        <v>1</v>
      </c>
      <c r="N32" s="9" t="b" cm="1">
        <f t="array" ref="N32">INDEX(stable[is_free_text],MATCH(VALUE(questions[[#This Row],[qno]]),VALUE(stable[qno]),0))</f>
        <v>0</v>
      </c>
      <c r="O32" s="9" t="b" cm="1">
        <f t="array" ref="O32">INDEX(stable[is_numerical],MATCH(VALUE(questions[[#This Row],[qno]]),VALUE(stable[qno]),0))</f>
        <v>1</v>
      </c>
      <c r="P32" s="32" t="b" cm="1">
        <f t="array" ref="P32">INDEX(stable[is_single_select],MATCH(VALUE(questions[[#This Row],[qno]]),VALUE(stable[qno]),0))</f>
        <v>0</v>
      </c>
      <c r="Q32" s="9" t="b" cm="1">
        <f t="array" ref="Q32">INDEX(stable[is_multi_select],MATCH(VALUE(questions[[#This Row],[qno]]),VALUE(stable[qno]),0))</f>
        <v>0</v>
      </c>
      <c r="R32" s="9" t="b" cm="1">
        <f t="array" ref="R32">INDEX(stable[is_skip_logic],MATCH(VALUE(questions[[#This Row],[qno]]),VALUE(stable[qno]),0))</f>
        <v>0</v>
      </c>
      <c r="S32" s="9" t="str">
        <f>_xlfn.TEXTJOIN(", ",TRUE,questions[[#This Row],[ans_opt_1]:[ans_opt_14]])</f>
        <v/>
      </c>
      <c r="AH32" s="16" t="b">
        <f>INDEX(stable[q_standard],MATCH(questions[[#This Row],[qno]],stable[qno],0))</f>
        <v>1</v>
      </c>
      <c r="AI32" s="16" t="b">
        <f>INDEX(stable[q_living_income],MATCH(questions[[#This Row],[qno]],stable[qno],0))</f>
        <v>0</v>
      </c>
      <c r="AJ32" s="16" t="b">
        <f>INDEX(stable[q_carbon],MATCH(questions[[#This Row],[qno]],stable[qno],0))</f>
        <v>0</v>
      </c>
      <c r="AK32" s="16" t="b">
        <f>INDEX(stable[q_regen_ag],MATCH(questions[[#This Row],[qno]],stable[qno],0))</f>
        <v>0</v>
      </c>
      <c r="AL32" s="16" t="b">
        <f>COUNTIFS(stable[qno],questions[[#This Row],[qno]])=1</f>
        <v>1</v>
      </c>
      <c r="AM32" s="16" t="b">
        <f>OR(questions[[#This Row],[is_fixed]],questions[[#This Row],[is_localized]],questions[[#This Row],[is_supply_chain_dependent]])</f>
        <v>1</v>
      </c>
      <c r="AN32" s="16" t="b">
        <f>COUNTIFS(questions[[#This Row],[is_automated]:[is_multi_select]],TRUE)=1</f>
        <v>0</v>
      </c>
      <c r="AO32" s="16" t="b">
        <f>IF(questions[[#This Row],[is_fixed]],questions[[#This Row],[question]]=INDEX(stable[question],MATCH(questions[[#This Row],[qno]],stable[qno],0)),TRUE)</f>
        <v>1</v>
      </c>
      <c r="AP32" s="16" t="str">
        <f>LEFT(questions[[#This Row],[question]],similarity_range)</f>
        <v>Declared area (acre)</v>
      </c>
      <c r="AQ32" s="16" t="str">
        <f>LEFT(INDEX(stable[question],MATCH(questions[[#This Row],[qno]],stable[qno],0)),similarity_range)</f>
        <v>Declared area (acre)</v>
      </c>
      <c r="AR32" s="16" t="b">
        <f>questions[[#This Row],[question_first_characters]]=questions[[#This Row],[stability_first_characters]]</f>
        <v>1</v>
      </c>
      <c r="AS32" s="16" t="b">
        <f>IF(OR(questions[[#This Row],[is_single_select]],questions[[#This Row],[is_multi_select]]),NOT(ISBLANK(questions[[#This Row],[answer_opt_combined]])),TRUE)</f>
        <v>1</v>
      </c>
    </row>
    <row r="33" spans="1:45" x14ac:dyDescent="0.25">
      <c r="A33" s="9" t="str">
        <f>_xlfn.TEXTJOIN("_",TRUE,questions[[#This Row],[origin]:[qno]])</f>
        <v>Indonesia_Arabica_west_java_impact_1213</v>
      </c>
      <c r="B33" s="9" t="s">
        <v>58</v>
      </c>
      <c r="C33" s="9" t="s">
        <v>59</v>
      </c>
      <c r="D33" s="9" t="s">
        <v>60</v>
      </c>
      <c r="F33" s="9" t="s">
        <v>95</v>
      </c>
      <c r="G33" s="9" t="s">
        <v>96</v>
      </c>
      <c r="H33" s="9" t="str" cm="1">
        <f t="array" ref="H33">INDEX(stableR[question],MATCH(VALUE(questions[[#This Row],[qno]]),VALUE(stableR[qno]),0))</f>
        <v>Audited area (acre)</v>
      </c>
      <c r="I33" s="9" t="b" cm="1">
        <f t="array" ref="I33">INDEX(stable[is_fixed],MATCH(VALUE(questions[[#This Row],[qno]]),VALUE(stable[qno]),0))</f>
        <v>1</v>
      </c>
      <c r="J33" s="9" t="b" cm="1">
        <f t="array" ref="J33">INDEX(stable[is_localized],MATCH(VALUE(questions[[#This Row],[qno]]),VALUE(stable[qno]),0))</f>
        <v>0</v>
      </c>
      <c r="K33" s="9" t="b" cm="1">
        <f t="array" ref="K33">INDEX(stable[is_supply_chain_dependent],MATCH(VALUE(questions[[#This Row],[qno]]),VALUE(stable[qno]),0))</f>
        <v>0</v>
      </c>
      <c r="L33" s="9" t="b" cm="1">
        <f t="array" ref="L33">INDEX(stable[is_mandatory],MATCH(VALUE(questions[[#This Row],[qno]]),VALUE(stable[qno]),0))</f>
        <v>1</v>
      </c>
      <c r="M33" s="9" t="b" cm="1">
        <f t="array" ref="M33">INDEX(stable[is_automated],MATCH(VALUE(questions[[#This Row],[qno]]),VALUE(stable[qno]),0))</f>
        <v>1</v>
      </c>
      <c r="N33" s="9" t="b" cm="1">
        <f t="array" ref="N33">INDEX(stable[is_free_text],MATCH(VALUE(questions[[#This Row],[qno]]),VALUE(stable[qno]),0))</f>
        <v>0</v>
      </c>
      <c r="O33" s="9" t="b" cm="1">
        <f t="array" ref="O33">INDEX(stable[is_numerical],MATCH(VALUE(questions[[#This Row],[qno]]),VALUE(stable[qno]),0))</f>
        <v>1</v>
      </c>
      <c r="P33" s="32" t="b" cm="1">
        <f t="array" ref="P33">INDEX(stable[is_single_select],MATCH(VALUE(questions[[#This Row],[qno]]),VALUE(stable[qno]),0))</f>
        <v>0</v>
      </c>
      <c r="Q33" s="9" t="b" cm="1">
        <f t="array" ref="Q33">INDEX(stable[is_multi_select],MATCH(VALUE(questions[[#This Row],[qno]]),VALUE(stable[qno]),0))</f>
        <v>0</v>
      </c>
      <c r="R33" s="9" t="b" cm="1">
        <f t="array" ref="R33">INDEX(stable[is_skip_logic],MATCH(VALUE(questions[[#This Row],[qno]]),VALUE(stable[qno]),0))</f>
        <v>0</v>
      </c>
      <c r="S33" s="9" t="str">
        <f>_xlfn.TEXTJOIN(", ",TRUE,questions[[#This Row],[ans_opt_1]:[ans_opt_14]])</f>
        <v/>
      </c>
      <c r="AH33" s="16" t="b">
        <f>INDEX(stable[q_standard],MATCH(questions[[#This Row],[qno]],stable[qno],0))</f>
        <v>1</v>
      </c>
      <c r="AI33" s="16" t="b">
        <f>INDEX(stable[q_living_income],MATCH(questions[[#This Row],[qno]],stable[qno],0))</f>
        <v>0</v>
      </c>
      <c r="AJ33" s="16" t="b">
        <f>INDEX(stable[q_carbon],MATCH(questions[[#This Row],[qno]],stable[qno],0))</f>
        <v>0</v>
      </c>
      <c r="AK33" s="16" t="b">
        <f>INDEX(stable[q_regen_ag],MATCH(questions[[#This Row],[qno]],stable[qno],0))</f>
        <v>0</v>
      </c>
      <c r="AL33" s="16" t="b">
        <f>COUNTIFS(stable[qno],questions[[#This Row],[qno]])=1</f>
        <v>1</v>
      </c>
      <c r="AM33" s="16" t="b">
        <f>OR(questions[[#This Row],[is_fixed]],questions[[#This Row],[is_localized]],questions[[#This Row],[is_supply_chain_dependent]])</f>
        <v>1</v>
      </c>
      <c r="AN33" s="16" t="b">
        <f>COUNTIFS(questions[[#This Row],[is_automated]:[is_multi_select]],TRUE)=1</f>
        <v>0</v>
      </c>
      <c r="AO33" s="16" t="b">
        <f>IF(questions[[#This Row],[is_fixed]],questions[[#This Row],[question]]=INDEX(stable[question],MATCH(questions[[#This Row],[qno]],stable[qno],0)),TRUE)</f>
        <v>1</v>
      </c>
      <c r="AP33" s="16" t="str">
        <f>LEFT(questions[[#This Row],[question]],similarity_range)</f>
        <v>Audited area (acre)</v>
      </c>
      <c r="AQ33" s="16" t="str">
        <f>LEFT(INDEX(stable[question],MATCH(questions[[#This Row],[qno]],stable[qno],0)),similarity_range)</f>
        <v>Audited area (acre)</v>
      </c>
      <c r="AR33" s="16" t="b">
        <f>questions[[#This Row],[question_first_characters]]=questions[[#This Row],[stability_first_characters]]</f>
        <v>1</v>
      </c>
      <c r="AS33" s="16" t="b">
        <f>IF(OR(questions[[#This Row],[is_single_select]],questions[[#This Row],[is_multi_select]]),NOT(ISBLANK(questions[[#This Row],[answer_opt_combined]])),TRUE)</f>
        <v>1</v>
      </c>
    </row>
    <row r="34" spans="1:45" x14ac:dyDescent="0.25">
      <c r="A34" s="9" t="str">
        <f>_xlfn.TEXTJOIN("_",TRUE,questions[[#This Row],[origin]:[qno]])</f>
        <v>Indonesia_Arabica_west_java_impact_1216</v>
      </c>
      <c r="B34" s="9" t="s">
        <v>58</v>
      </c>
      <c r="C34" s="9" t="s">
        <v>59</v>
      </c>
      <c r="D34" s="9" t="s">
        <v>60</v>
      </c>
      <c r="F34" s="9" t="s">
        <v>97</v>
      </c>
      <c r="G34" s="9" t="s">
        <v>98</v>
      </c>
      <c r="H34" s="9" t="str" cm="1">
        <f t="array" ref="H34">INDEX(stableR[question],MATCH(VALUE(questions[[#This Row],[qno]]),VALUE(stableR[qno]),0))</f>
        <v>Coordinates</v>
      </c>
      <c r="I34" s="9" t="b" cm="1">
        <f t="array" ref="I34">INDEX(stable[is_fixed],MATCH(VALUE(questions[[#This Row],[qno]]),VALUE(stable[qno]),0))</f>
        <v>1</v>
      </c>
      <c r="J34" s="9" t="b" cm="1">
        <f t="array" ref="J34">INDEX(stable[is_localized],MATCH(VALUE(questions[[#This Row],[qno]]),VALUE(stable[qno]),0))</f>
        <v>0</v>
      </c>
      <c r="K34" s="9" t="b" cm="1">
        <f t="array" ref="K34">INDEX(stable[is_supply_chain_dependent],MATCH(VALUE(questions[[#This Row],[qno]]),VALUE(stable[qno]),0))</f>
        <v>0</v>
      </c>
      <c r="L34" s="9" t="b" cm="1">
        <f t="array" ref="L34">INDEX(stable[is_mandatory],MATCH(VALUE(questions[[#This Row],[qno]]),VALUE(stable[qno]),0))</f>
        <v>1</v>
      </c>
      <c r="M34" s="9" t="b" cm="1">
        <f t="array" ref="M34">INDEX(stable[is_automated],MATCH(VALUE(questions[[#This Row],[qno]]),VALUE(stable[qno]),0))</f>
        <v>1</v>
      </c>
      <c r="N34" s="9" t="b" cm="1">
        <f t="array" ref="N34">INDEX(stable[is_free_text],MATCH(VALUE(questions[[#This Row],[qno]]),VALUE(stable[qno]),0))</f>
        <v>0</v>
      </c>
      <c r="O34" s="9" t="b" cm="1">
        <f t="array" ref="O34">INDEX(stable[is_numerical],MATCH(VALUE(questions[[#This Row],[qno]]),VALUE(stable[qno]),0))</f>
        <v>0</v>
      </c>
      <c r="P34" s="32" t="b" cm="1">
        <f t="array" ref="P34">INDEX(stable[is_single_select],MATCH(VALUE(questions[[#This Row],[qno]]),VALUE(stable[qno]),0))</f>
        <v>0</v>
      </c>
      <c r="Q34" s="9" t="b" cm="1">
        <f t="array" ref="Q34">INDEX(stable[is_multi_select],MATCH(VALUE(questions[[#This Row],[qno]]),VALUE(stable[qno]),0))</f>
        <v>0</v>
      </c>
      <c r="R34" s="9" t="b" cm="1">
        <f t="array" ref="R34">INDEX(stable[is_skip_logic],MATCH(VALUE(questions[[#This Row],[qno]]),VALUE(stable[qno]),0))</f>
        <v>0</v>
      </c>
      <c r="S34" s="9" t="str">
        <f>_xlfn.TEXTJOIN(", ",TRUE,questions[[#This Row],[ans_opt_1]:[ans_opt_14]])</f>
        <v/>
      </c>
      <c r="AH34" s="16" t="b">
        <f>INDEX(stable[q_standard],MATCH(questions[[#This Row],[qno]],stable[qno],0))</f>
        <v>1</v>
      </c>
      <c r="AI34" s="16" t="b">
        <f>INDEX(stable[q_living_income],MATCH(questions[[#This Row],[qno]],stable[qno],0))</f>
        <v>0</v>
      </c>
      <c r="AJ34" s="16" t="b">
        <f>INDEX(stable[q_carbon],MATCH(questions[[#This Row],[qno]],stable[qno],0))</f>
        <v>0</v>
      </c>
      <c r="AK34" s="16" t="b">
        <f>INDEX(stable[q_regen_ag],MATCH(questions[[#This Row],[qno]],stable[qno],0))</f>
        <v>0</v>
      </c>
      <c r="AL34" s="16" t="b">
        <f>COUNTIFS(stable[qno],questions[[#This Row],[qno]])=1</f>
        <v>1</v>
      </c>
      <c r="AM34" s="16" t="b">
        <f>OR(questions[[#This Row],[is_fixed]],questions[[#This Row],[is_localized]],questions[[#This Row],[is_supply_chain_dependent]])</f>
        <v>1</v>
      </c>
      <c r="AN34" s="16" t="b">
        <f>COUNTIFS(questions[[#This Row],[is_automated]:[is_multi_select]],TRUE)=1</f>
        <v>1</v>
      </c>
      <c r="AO34" s="16" t="b">
        <f>IF(questions[[#This Row],[is_fixed]],questions[[#This Row],[question]]=INDEX(stable[question],MATCH(questions[[#This Row],[qno]],stable[qno],0)),TRUE)</f>
        <v>1</v>
      </c>
      <c r="AP34" s="16" t="str">
        <f>LEFT(questions[[#This Row],[question]],similarity_range)</f>
        <v>Coordinates</v>
      </c>
      <c r="AQ34" s="16" t="str">
        <f>LEFT(INDEX(stable[question],MATCH(questions[[#This Row],[qno]],stable[qno],0)),similarity_range)</f>
        <v>Coordinates</v>
      </c>
      <c r="AR34" s="16" t="b">
        <f>questions[[#This Row],[question_first_characters]]=questions[[#This Row],[stability_first_characters]]</f>
        <v>1</v>
      </c>
      <c r="AS34" s="16" t="b">
        <f>IF(OR(questions[[#This Row],[is_single_select]],questions[[#This Row],[is_multi_select]]),NOT(ISBLANK(questions[[#This Row],[answer_opt_combined]])),TRUE)</f>
        <v>1</v>
      </c>
    </row>
    <row r="35" spans="1:45" s="77" customFormat="1" x14ac:dyDescent="0.25">
      <c r="A35" s="77" t="str">
        <f>_xlfn.TEXTJOIN("_",TRUE,questions[[#This Row],[origin]:[qno]])</f>
        <v>Indonesia_Arabica_west_java_impact_2000</v>
      </c>
      <c r="B35" s="77" t="s">
        <v>58</v>
      </c>
      <c r="C35" s="77" t="s">
        <v>59</v>
      </c>
      <c r="D35" s="77" t="s">
        <v>60</v>
      </c>
      <c r="F35" s="77" t="s">
        <v>99</v>
      </c>
      <c r="G35" s="77" t="s">
        <v>100</v>
      </c>
      <c r="H35" s="9" t="str" cm="1">
        <f t="array" ref="H35">INDEX(stableR[question],MATCH(VALUE(questions[[#This Row],[qno]]),VALUE(stableR[qno]),0))</f>
        <v>Who was present and answering the questions for the interview?</v>
      </c>
      <c r="I35" s="9" t="b" cm="1">
        <f t="array" ref="I35">INDEX(stable[is_fixed],MATCH(VALUE(questions[[#This Row],[qno]]),VALUE(stable[qno]),0))</f>
        <v>1</v>
      </c>
      <c r="J35" s="9" t="b" cm="1">
        <f t="array" ref="J35">INDEX(stable[is_localized],MATCH(VALUE(questions[[#This Row],[qno]]),VALUE(stable[qno]),0))</f>
        <v>0</v>
      </c>
      <c r="K35" s="9" t="b" cm="1">
        <f t="array" ref="K35">INDEX(stable[is_supply_chain_dependent],MATCH(VALUE(questions[[#This Row],[qno]]),VALUE(stable[qno]),0))</f>
        <v>0</v>
      </c>
      <c r="L35" s="9" t="b" cm="1">
        <f t="array" ref="L35">INDEX(stable[is_mandatory],MATCH(VALUE(questions[[#This Row],[qno]]),VALUE(stable[qno]),0))</f>
        <v>1</v>
      </c>
      <c r="M35" s="9" t="b" cm="1">
        <f t="array" ref="M35">INDEX(stable[is_automated],MATCH(VALUE(questions[[#This Row],[qno]]),VALUE(stable[qno]),0))</f>
        <v>0</v>
      </c>
      <c r="N35" s="9" t="b" cm="1">
        <f t="array" ref="N35">INDEX(stable[is_free_text],MATCH(VALUE(questions[[#This Row],[qno]]),VALUE(stable[qno]),0))</f>
        <v>0</v>
      </c>
      <c r="O35" s="9" t="b" cm="1">
        <f t="array" ref="O35">INDEX(stable[is_numerical],MATCH(VALUE(questions[[#This Row],[qno]]),VALUE(stable[qno]),0))</f>
        <v>0</v>
      </c>
      <c r="P35" s="103" t="b" cm="1">
        <f t="array" ref="P35">INDEX(stable[is_single_select],MATCH(VALUE(questions[[#This Row],[qno]]),VALUE(stable[qno]),0))</f>
        <v>0</v>
      </c>
      <c r="Q35" s="77" t="b" cm="1">
        <f t="array" ref="Q35">INDEX(stable[is_multi_select],MATCH(VALUE(questions[[#This Row],[qno]]),VALUE(stable[qno]),0))</f>
        <v>1</v>
      </c>
      <c r="R35" s="77" t="b" cm="1">
        <f t="array" ref="R35">INDEX(stable[is_skip_logic],MATCH(VALUE(questions[[#This Row],[qno]]),VALUE(stable[qno]),0))</f>
        <v>0</v>
      </c>
      <c r="S35" s="77" t="str">
        <f>_xlfn.TEXTJOIN(", ",TRUE,questions[[#This Row],[ans_opt_1]:[ans_opt_14]])</f>
        <v>Wife, Husband, Other important household member</v>
      </c>
      <c r="T35" s="77" t="s">
        <v>101</v>
      </c>
      <c r="U35" s="77" t="s">
        <v>102</v>
      </c>
      <c r="V35" s="77" t="s">
        <v>103</v>
      </c>
      <c r="AH35" s="98" t="b">
        <f>INDEX(stable[q_standard],MATCH(questions[[#This Row],[qno]],stable[qno],0))</f>
        <v>1</v>
      </c>
      <c r="AI35" s="98" t="b">
        <f>INDEX(stable[q_living_income],MATCH(questions[[#This Row],[qno]],stable[qno],0))</f>
        <v>0</v>
      </c>
      <c r="AJ35" s="98" t="b">
        <f>INDEX(stable[q_carbon],MATCH(questions[[#This Row],[qno]],stable[qno],0))</f>
        <v>0</v>
      </c>
      <c r="AK35" s="98" t="b">
        <f>INDEX(stable[q_regen_ag],MATCH(questions[[#This Row],[qno]],stable[qno],0))</f>
        <v>0</v>
      </c>
      <c r="AL35" s="98" t="b">
        <f>COUNTIFS(stable[qno],questions[[#This Row],[qno]])=1</f>
        <v>1</v>
      </c>
      <c r="AM35" s="98" t="b">
        <f>OR(questions[[#This Row],[is_fixed]],questions[[#This Row],[is_localized]],questions[[#This Row],[is_supply_chain_dependent]])</f>
        <v>1</v>
      </c>
      <c r="AN35" s="98" t="b">
        <f>COUNTIFS(questions[[#This Row],[is_automated]:[is_multi_select]],TRUE)=1</f>
        <v>1</v>
      </c>
      <c r="AO35" s="98" t="b">
        <f>IF(questions[[#This Row],[is_fixed]],questions[[#This Row],[question]]=INDEX(stable[question],MATCH(questions[[#This Row],[qno]],stable[qno],0)),TRUE)</f>
        <v>1</v>
      </c>
      <c r="AP35" s="98" t="str">
        <f>LEFT(questions[[#This Row],[question]],similarity_range)</f>
        <v xml:space="preserve">Who was present and </v>
      </c>
      <c r="AQ35" s="98" t="str">
        <f>LEFT(INDEX(stable[question],MATCH(questions[[#This Row],[qno]],stable[qno],0)),similarity_range)</f>
        <v xml:space="preserve">Who was present and </v>
      </c>
      <c r="AR35" s="98" t="b">
        <f>questions[[#This Row],[question_first_characters]]=questions[[#This Row],[stability_first_characters]]</f>
        <v>1</v>
      </c>
      <c r="AS35" s="98" t="b">
        <f>IF(OR(questions[[#This Row],[is_single_select]],questions[[#This Row],[is_multi_select]]),NOT(ISBLANK(questions[[#This Row],[answer_opt_combined]])),TRUE)</f>
        <v>1</v>
      </c>
    </row>
    <row r="36" spans="1:45" s="77" customFormat="1" x14ac:dyDescent="0.25">
      <c r="A36" s="77" t="str">
        <f>_xlfn.TEXTJOIN("_",TRUE,questions[[#This Row],[origin]:[qno]])</f>
        <v>Indonesia_Arabica_west_java_impact_2001</v>
      </c>
      <c r="B36" s="77" t="s">
        <v>58</v>
      </c>
      <c r="C36" s="77" t="s">
        <v>59</v>
      </c>
      <c r="D36" s="77" t="s">
        <v>60</v>
      </c>
      <c r="F36" s="77" t="s">
        <v>104</v>
      </c>
      <c r="G36" s="77" t="s">
        <v>105</v>
      </c>
      <c r="H36" s="9" t="str" cm="1">
        <f t="array" ref="H36">INDEX(stableR[question],MATCH(VALUE(questions[[#This Row],[qno]]),VALUE(stableR[qno]),0))</f>
        <v>What is the gender of the lead farmer in the household? (The person that is selling the coffee)</v>
      </c>
      <c r="I36" s="9" t="b" cm="1">
        <f t="array" ref="I36">INDEX(stable[is_fixed],MATCH(VALUE(questions[[#This Row],[qno]]),VALUE(stable[qno]),0))</f>
        <v>1</v>
      </c>
      <c r="J36" s="9" t="b" cm="1">
        <f t="array" ref="J36">INDEX(stable[is_localized],MATCH(VALUE(questions[[#This Row],[qno]]),VALUE(stable[qno]),0))</f>
        <v>0</v>
      </c>
      <c r="K36" s="9" t="b" cm="1">
        <f t="array" ref="K36">INDEX(stable[is_supply_chain_dependent],MATCH(VALUE(questions[[#This Row],[qno]]),VALUE(stable[qno]),0))</f>
        <v>0</v>
      </c>
      <c r="L36" s="9" t="b" cm="1">
        <f t="array" ref="L36">INDEX(stable[is_mandatory],MATCH(VALUE(questions[[#This Row],[qno]]),VALUE(stable[qno]),0))</f>
        <v>1</v>
      </c>
      <c r="M36" s="9" t="b" cm="1">
        <f t="array" ref="M36">INDEX(stable[is_automated],MATCH(VALUE(questions[[#This Row],[qno]]),VALUE(stable[qno]),0))</f>
        <v>0</v>
      </c>
      <c r="N36" s="9" t="b" cm="1">
        <f t="array" ref="N36">INDEX(stable[is_free_text],MATCH(VALUE(questions[[#This Row],[qno]]),VALUE(stable[qno]),0))</f>
        <v>0</v>
      </c>
      <c r="O36" s="9" t="b" cm="1">
        <f t="array" ref="O36">INDEX(stable[is_numerical],MATCH(VALUE(questions[[#This Row],[qno]]),VALUE(stable[qno]),0))</f>
        <v>0</v>
      </c>
      <c r="P36" s="103" t="b" cm="1">
        <f t="array" ref="P36">INDEX(stable[is_single_select],MATCH(VALUE(questions[[#This Row],[qno]]),VALUE(stable[qno]),0))</f>
        <v>1</v>
      </c>
      <c r="Q36" s="77" t="b" cm="1">
        <f t="array" ref="Q36">INDEX(stable[is_multi_select],MATCH(VALUE(questions[[#This Row],[qno]]),VALUE(stable[qno]),0))</f>
        <v>0</v>
      </c>
      <c r="R36" s="77" t="b" cm="1">
        <f t="array" ref="R36">INDEX(stable[is_skip_logic],MATCH(VALUE(questions[[#This Row],[qno]]),VALUE(stable[qno]),0))</f>
        <v>0</v>
      </c>
      <c r="S36" s="77" t="str">
        <f>_xlfn.TEXTJOIN(", ",TRUE,questions[[#This Row],[ans_opt_1]:[ans_opt_14]])</f>
        <v>Female, Male</v>
      </c>
      <c r="T36" s="77" t="s">
        <v>106</v>
      </c>
      <c r="U36" s="77" t="s">
        <v>107</v>
      </c>
      <c r="AH36" s="98" t="b">
        <f>INDEX(stable[q_standard],MATCH(questions[[#This Row],[qno]],stable[qno],0))</f>
        <v>1</v>
      </c>
      <c r="AI36" s="98" t="b">
        <f>INDEX(stable[q_living_income],MATCH(questions[[#This Row],[qno]],stable[qno],0))</f>
        <v>0</v>
      </c>
      <c r="AJ36" s="98" t="b">
        <f>INDEX(stable[q_carbon],MATCH(questions[[#This Row],[qno]],stable[qno],0))</f>
        <v>0</v>
      </c>
      <c r="AK36" s="98" t="b">
        <f>INDEX(stable[q_regen_ag],MATCH(questions[[#This Row],[qno]],stable[qno],0))</f>
        <v>0</v>
      </c>
      <c r="AL36" s="98" t="b">
        <f>COUNTIFS(stable[qno],questions[[#This Row],[qno]])=1</f>
        <v>1</v>
      </c>
      <c r="AM36" s="98" t="b">
        <f>OR(questions[[#This Row],[is_fixed]],questions[[#This Row],[is_localized]],questions[[#This Row],[is_supply_chain_dependent]])</f>
        <v>1</v>
      </c>
      <c r="AN36" s="98" t="b">
        <f>COUNTIFS(questions[[#This Row],[is_automated]:[is_multi_select]],TRUE)=1</f>
        <v>1</v>
      </c>
      <c r="AO36" s="98" t="b">
        <f>IF(questions[[#This Row],[is_fixed]],questions[[#This Row],[question]]=INDEX(stable[question],MATCH(questions[[#This Row],[qno]],stable[qno],0)),TRUE)</f>
        <v>1</v>
      </c>
      <c r="AP36" s="98" t="str">
        <f>LEFT(questions[[#This Row],[question]],similarity_range)</f>
        <v>What is the gender o</v>
      </c>
      <c r="AQ36" s="98" t="str">
        <f>LEFT(INDEX(stable[question],MATCH(questions[[#This Row],[qno]],stable[qno],0)),similarity_range)</f>
        <v>What is the gender o</v>
      </c>
      <c r="AR36" s="98" t="b">
        <f>questions[[#This Row],[question_first_characters]]=questions[[#This Row],[stability_first_characters]]</f>
        <v>1</v>
      </c>
      <c r="AS36" s="98" t="b">
        <f>IF(OR(questions[[#This Row],[is_single_select]],questions[[#This Row],[is_multi_select]]),NOT(ISBLANK(questions[[#This Row],[answer_opt_combined]])),TRUE)</f>
        <v>1</v>
      </c>
    </row>
    <row r="37" spans="1:45" s="77" customFormat="1" x14ac:dyDescent="0.25">
      <c r="A37" s="77" t="str">
        <f>_xlfn.TEXTJOIN("_",TRUE,questions[[#This Row],[origin]:[qno]])</f>
        <v>Indonesia_Arabica_west_java_impact_2002</v>
      </c>
      <c r="B37" s="77" t="s">
        <v>58</v>
      </c>
      <c r="C37" s="77" t="s">
        <v>59</v>
      </c>
      <c r="D37" s="77" t="s">
        <v>60</v>
      </c>
      <c r="F37" s="77" t="s">
        <v>108</v>
      </c>
      <c r="G37" s="77" t="s">
        <v>109</v>
      </c>
      <c r="H37" s="9" t="str" cm="1">
        <f t="array" ref="H37">INDEX(stableR[question],MATCH(VALUE(questions[[#This Row],[qno]]),VALUE(stableR[qno]),0))</f>
        <v>What type of household is this?</v>
      </c>
      <c r="I37" s="9" t="b" cm="1">
        <f t="array" ref="I37">INDEX(stable[is_fixed],MATCH(VALUE(questions[[#This Row],[qno]]),VALUE(stable[qno]),0))</f>
        <v>1</v>
      </c>
      <c r="J37" s="9" t="b" cm="1">
        <f t="array" ref="J37">INDEX(stable[is_localized],MATCH(VALUE(questions[[#This Row],[qno]]),VALUE(stable[qno]),0))</f>
        <v>0</v>
      </c>
      <c r="K37" s="9" t="b" cm="1">
        <f t="array" ref="K37">INDEX(stable[is_supply_chain_dependent],MATCH(VALUE(questions[[#This Row],[qno]]),VALUE(stable[qno]),0))</f>
        <v>0</v>
      </c>
      <c r="L37" s="9" t="b" cm="1">
        <f t="array" ref="L37">INDEX(stable[is_mandatory],MATCH(VALUE(questions[[#This Row],[qno]]),VALUE(stable[qno]),0))</f>
        <v>1</v>
      </c>
      <c r="M37" s="9" t="b" cm="1">
        <f t="array" ref="M37">INDEX(stable[is_automated],MATCH(VALUE(questions[[#This Row],[qno]]),VALUE(stable[qno]),0))</f>
        <v>0</v>
      </c>
      <c r="N37" s="9" t="b" cm="1">
        <f t="array" ref="N37">INDEX(stable[is_free_text],MATCH(VALUE(questions[[#This Row],[qno]]),VALUE(stable[qno]),0))</f>
        <v>0</v>
      </c>
      <c r="O37" s="9" t="b" cm="1">
        <f t="array" ref="O37">INDEX(stable[is_numerical],MATCH(VALUE(questions[[#This Row],[qno]]),VALUE(stable[qno]),0))</f>
        <v>0</v>
      </c>
      <c r="P37" s="103" t="b" cm="1">
        <f t="array" ref="P37">INDEX(stable[is_single_select],MATCH(VALUE(questions[[#This Row],[qno]]),VALUE(stable[qno]),0))</f>
        <v>1</v>
      </c>
      <c r="Q37" s="77" t="b" cm="1">
        <f t="array" ref="Q37">INDEX(stable[is_multi_select],MATCH(VALUE(questions[[#This Row],[qno]]),VALUE(stable[qno]),0))</f>
        <v>0</v>
      </c>
      <c r="R37" s="77" t="b" cm="1">
        <f t="array" ref="R37">INDEX(stable[is_skip_logic],MATCH(VALUE(questions[[#This Row],[qno]]),VALUE(stable[qno]),0))</f>
        <v>0</v>
      </c>
      <c r="S37" s="77" t="str">
        <f>_xlfn.TEXTJOIN(", ",TRUE,questions[[#This Row],[ans_opt_1]:[ans_opt_14]])</f>
        <v>Male headed, Female headed, Other</v>
      </c>
      <c r="T37" s="77" t="s">
        <v>110</v>
      </c>
      <c r="U37" s="77" t="s">
        <v>111</v>
      </c>
      <c r="V37" s="77" t="s">
        <v>112</v>
      </c>
      <c r="AH37" s="98" t="b">
        <f>INDEX(stable[q_standard],MATCH(questions[[#This Row],[qno]],stable[qno],0))</f>
        <v>1</v>
      </c>
      <c r="AI37" s="98" t="b">
        <f>INDEX(stable[q_living_income],MATCH(questions[[#This Row],[qno]],stable[qno],0))</f>
        <v>0</v>
      </c>
      <c r="AJ37" s="98" t="b">
        <f>INDEX(stable[q_carbon],MATCH(questions[[#This Row],[qno]],stable[qno],0))</f>
        <v>0</v>
      </c>
      <c r="AK37" s="98" t="b">
        <f>INDEX(stable[q_regen_ag],MATCH(questions[[#This Row],[qno]],stable[qno],0))</f>
        <v>0</v>
      </c>
      <c r="AL37" s="98" t="b">
        <f>COUNTIFS(stable[qno],questions[[#This Row],[qno]])=1</f>
        <v>1</v>
      </c>
      <c r="AM37" s="98" t="b">
        <f>OR(questions[[#This Row],[is_fixed]],questions[[#This Row],[is_localized]],questions[[#This Row],[is_supply_chain_dependent]])</f>
        <v>1</v>
      </c>
      <c r="AN37" s="98" t="b">
        <f>COUNTIFS(questions[[#This Row],[is_automated]:[is_multi_select]],TRUE)=1</f>
        <v>1</v>
      </c>
      <c r="AO37" s="98" t="b">
        <f>IF(questions[[#This Row],[is_fixed]],questions[[#This Row],[question]]=INDEX(stable[question],MATCH(questions[[#This Row],[qno]],stable[qno],0)),TRUE)</f>
        <v>1</v>
      </c>
      <c r="AP37" s="98" t="str">
        <f>LEFT(questions[[#This Row],[question]],similarity_range)</f>
        <v>What type of househo</v>
      </c>
      <c r="AQ37" s="98" t="str">
        <f>LEFT(INDEX(stable[question],MATCH(questions[[#This Row],[qno]],stable[qno],0)),similarity_range)</f>
        <v>What type of househo</v>
      </c>
      <c r="AR37" s="98" t="b">
        <f>questions[[#This Row],[question_first_characters]]=questions[[#This Row],[stability_first_characters]]</f>
        <v>1</v>
      </c>
      <c r="AS37" s="98" t="b">
        <f>IF(OR(questions[[#This Row],[is_single_select]],questions[[#This Row],[is_multi_select]]),NOT(ISBLANK(questions[[#This Row],[answer_opt_combined]])),TRUE)</f>
        <v>1</v>
      </c>
    </row>
    <row r="38" spans="1:45" x14ac:dyDescent="0.25">
      <c r="A38" s="9" t="str">
        <f>_xlfn.TEXTJOIN("_",TRUE,questions[[#This Row],[origin]:[qno]])</f>
        <v>Indonesia_Arabica_west_java_impact_2003</v>
      </c>
      <c r="B38" s="9" t="s">
        <v>58</v>
      </c>
      <c r="C38" s="9" t="s">
        <v>59</v>
      </c>
      <c r="D38" s="9" t="s">
        <v>60</v>
      </c>
      <c r="F38" s="9" t="s">
        <v>113</v>
      </c>
      <c r="G38" s="9" t="s">
        <v>114</v>
      </c>
      <c r="H38" s="9" t="str" cm="1">
        <f t="array" ref="H38">INDEX(stableR[question],MATCH(VALUE(questions[[#This Row],[qno]]),VALUE(stableR[qno]),0))</f>
        <v>How many adults live in your household, that are above 18 years (including the respondent)? (Household members are those that stay more than three months per year within the same household and that 'eat from the same pot'.)</v>
      </c>
      <c r="I38" s="9" t="b" cm="1">
        <f t="array" ref="I38">INDEX(stable[is_fixed],MATCH(VALUE(questions[[#This Row],[qno]]),VALUE(stable[qno]),0))</f>
        <v>1</v>
      </c>
      <c r="J38" s="9" t="b" cm="1">
        <f t="array" ref="J38">INDEX(stable[is_localized],MATCH(VALUE(questions[[#This Row],[qno]]),VALUE(stable[qno]),0))</f>
        <v>0</v>
      </c>
      <c r="K38" s="9" t="b" cm="1">
        <f t="array" ref="K38">INDEX(stable[is_supply_chain_dependent],MATCH(VALUE(questions[[#This Row],[qno]]),VALUE(stable[qno]),0))</f>
        <v>0</v>
      </c>
      <c r="L38" s="9" t="b" cm="1">
        <f t="array" ref="L38">INDEX(stable[is_mandatory],MATCH(VALUE(questions[[#This Row],[qno]]),VALUE(stable[qno]),0))</f>
        <v>1</v>
      </c>
      <c r="M38" s="9" t="b" cm="1">
        <f t="array" ref="M38">INDEX(stable[is_automated],MATCH(VALUE(questions[[#This Row],[qno]]),VALUE(stable[qno]),0))</f>
        <v>0</v>
      </c>
      <c r="N38" s="9" t="b" cm="1">
        <f t="array" ref="N38">INDEX(stable[is_free_text],MATCH(VALUE(questions[[#This Row],[qno]]),VALUE(stable[qno]),0))</f>
        <v>0</v>
      </c>
      <c r="O38" s="9" t="b" cm="1">
        <f t="array" ref="O38">INDEX(stable[is_numerical],MATCH(VALUE(questions[[#This Row],[qno]]),VALUE(stable[qno]),0))</f>
        <v>1</v>
      </c>
      <c r="P38" s="32" t="b" cm="1">
        <f t="array" ref="P38">INDEX(stable[is_single_select],MATCH(VALUE(questions[[#This Row],[qno]]),VALUE(stable[qno]),0))</f>
        <v>0</v>
      </c>
      <c r="Q38" s="9" t="b" cm="1">
        <f t="array" ref="Q38">INDEX(stable[is_multi_select],MATCH(VALUE(questions[[#This Row],[qno]]),VALUE(stable[qno]),0))</f>
        <v>0</v>
      </c>
      <c r="R38" s="9" t="b" cm="1">
        <f t="array" ref="R38">INDEX(stable[is_skip_logic],MATCH(VALUE(questions[[#This Row],[qno]]),VALUE(stable[qno]),0))</f>
        <v>0</v>
      </c>
      <c r="S38" s="9" t="str">
        <f>_xlfn.TEXTJOIN(", ",TRUE,questions[[#This Row],[ans_opt_1]:[ans_opt_14]])</f>
        <v/>
      </c>
      <c r="AH38" s="16" t="b">
        <f>INDEX(stable[q_standard],MATCH(questions[[#This Row],[qno]],stable[qno],0))</f>
        <v>1</v>
      </c>
      <c r="AI38" s="16" t="b">
        <f>INDEX(stable[q_living_income],MATCH(questions[[#This Row],[qno]],stable[qno],0))</f>
        <v>0</v>
      </c>
      <c r="AJ38" s="16" t="b">
        <f>INDEX(stable[q_carbon],MATCH(questions[[#This Row],[qno]],stable[qno],0))</f>
        <v>0</v>
      </c>
      <c r="AK38" s="16" t="b">
        <f>INDEX(stable[q_regen_ag],MATCH(questions[[#This Row],[qno]],stable[qno],0))</f>
        <v>0</v>
      </c>
      <c r="AL38" s="16" t="b">
        <f>COUNTIFS(stable[qno],questions[[#This Row],[qno]])=1</f>
        <v>1</v>
      </c>
      <c r="AM38" s="16" t="b">
        <f>OR(questions[[#This Row],[is_fixed]],questions[[#This Row],[is_localized]],questions[[#This Row],[is_supply_chain_dependent]])</f>
        <v>1</v>
      </c>
      <c r="AN38" s="16" t="b">
        <f>COUNTIFS(questions[[#This Row],[is_automated]:[is_multi_select]],TRUE)=1</f>
        <v>1</v>
      </c>
      <c r="AO38" s="16" t="b">
        <f>IF(questions[[#This Row],[is_fixed]],questions[[#This Row],[question]]=INDEX(stable[question],MATCH(questions[[#This Row],[qno]],stable[qno],0)),TRUE)</f>
        <v>0</v>
      </c>
      <c r="AP38" s="16" t="str">
        <f>LEFT(questions[[#This Row],[question]],similarity_range)</f>
        <v>How many adults live</v>
      </c>
      <c r="AQ38" s="16" t="str">
        <f>LEFT(INDEX(stable[question],MATCH(questions[[#This Row],[qno]],stable[qno],0)),similarity_range)</f>
        <v>How many adults live</v>
      </c>
      <c r="AR38" s="16" t="b">
        <f>questions[[#This Row],[question_first_characters]]=questions[[#This Row],[stability_first_characters]]</f>
        <v>1</v>
      </c>
      <c r="AS38" s="16" t="b">
        <f>IF(OR(questions[[#This Row],[is_single_select]],questions[[#This Row],[is_multi_select]]),NOT(ISBLANK(questions[[#This Row],[answer_opt_combined]])),TRUE)</f>
        <v>1</v>
      </c>
    </row>
    <row r="39" spans="1:45" x14ac:dyDescent="0.25">
      <c r="A39" s="9" t="str">
        <f>_xlfn.TEXTJOIN("_",TRUE,questions[[#This Row],[origin]:[qno]])</f>
        <v>Indonesia_Arabica_west_java_impact_2004</v>
      </c>
      <c r="B39" s="9" t="s">
        <v>58</v>
      </c>
      <c r="C39" s="9" t="s">
        <v>59</v>
      </c>
      <c r="D39" s="9" t="s">
        <v>60</v>
      </c>
      <c r="F39" s="9" t="s">
        <v>115</v>
      </c>
      <c r="G39" s="9" t="s">
        <v>116</v>
      </c>
      <c r="H39" s="9" t="str" cm="1">
        <f t="array" ref="H39">INDEX(stableR[question],MATCH(VALUE(questions[[#This Row],[qno]]),VALUE(stableR[qno]),0))</f>
        <v>How many children living in your household, are below 18 years? (Household members are those that stay more than three months per year within the same household and that 'eat from the same pot.')</v>
      </c>
      <c r="I39" s="9" t="b" cm="1">
        <f t="array" ref="I39">INDEX(stable[is_fixed],MATCH(VALUE(questions[[#This Row],[qno]]),VALUE(stable[qno]),0))</f>
        <v>1</v>
      </c>
      <c r="J39" s="9" t="b" cm="1">
        <f t="array" ref="J39">INDEX(stable[is_localized],MATCH(VALUE(questions[[#This Row],[qno]]),VALUE(stable[qno]),0))</f>
        <v>0</v>
      </c>
      <c r="K39" s="9" t="b" cm="1">
        <f t="array" ref="K39">INDEX(stable[is_supply_chain_dependent],MATCH(VALUE(questions[[#This Row],[qno]]),VALUE(stable[qno]),0))</f>
        <v>0</v>
      </c>
      <c r="L39" s="9" t="b" cm="1">
        <f t="array" ref="L39">INDEX(stable[is_mandatory],MATCH(VALUE(questions[[#This Row],[qno]]),VALUE(stable[qno]),0))</f>
        <v>1</v>
      </c>
      <c r="M39" s="9" t="b" cm="1">
        <f t="array" ref="M39">INDEX(stable[is_automated],MATCH(VALUE(questions[[#This Row],[qno]]),VALUE(stable[qno]),0))</f>
        <v>0</v>
      </c>
      <c r="N39" s="9" t="b" cm="1">
        <f t="array" ref="N39">INDEX(stable[is_free_text],MATCH(VALUE(questions[[#This Row],[qno]]),VALUE(stable[qno]),0))</f>
        <v>0</v>
      </c>
      <c r="O39" s="9" t="b" cm="1">
        <f t="array" ref="O39">INDEX(stable[is_numerical],MATCH(VALUE(questions[[#This Row],[qno]]),VALUE(stable[qno]),0))</f>
        <v>1</v>
      </c>
      <c r="P39" s="32" t="b" cm="1">
        <f t="array" ref="P39">INDEX(stable[is_single_select],MATCH(VALUE(questions[[#This Row],[qno]]),VALUE(stable[qno]),0))</f>
        <v>0</v>
      </c>
      <c r="Q39" s="9" t="b" cm="1">
        <f t="array" ref="Q39">INDEX(stable[is_multi_select],MATCH(VALUE(questions[[#This Row],[qno]]),VALUE(stable[qno]),0))</f>
        <v>0</v>
      </c>
      <c r="R39" s="9" t="b" cm="1">
        <f t="array" ref="R39">INDEX(stable[is_skip_logic],MATCH(VALUE(questions[[#This Row],[qno]]),VALUE(stable[qno]),0))</f>
        <v>0</v>
      </c>
      <c r="S39" s="9" t="str">
        <f>_xlfn.TEXTJOIN(", ",TRUE,questions[[#This Row],[ans_opt_1]:[ans_opt_14]])</f>
        <v/>
      </c>
      <c r="AH39" s="16" t="b">
        <f>INDEX(stable[q_standard],MATCH(questions[[#This Row],[qno]],stable[qno],0))</f>
        <v>1</v>
      </c>
      <c r="AI39" s="16" t="b">
        <f>INDEX(stable[q_living_income],MATCH(questions[[#This Row],[qno]],stable[qno],0))</f>
        <v>0</v>
      </c>
      <c r="AJ39" s="16" t="b">
        <f>INDEX(stable[q_carbon],MATCH(questions[[#This Row],[qno]],stable[qno],0))</f>
        <v>0</v>
      </c>
      <c r="AK39" s="16" t="b">
        <f>INDEX(stable[q_regen_ag],MATCH(questions[[#This Row],[qno]],stable[qno],0))</f>
        <v>0</v>
      </c>
      <c r="AL39" s="16" t="b">
        <f>COUNTIFS(stable[qno],questions[[#This Row],[qno]])=1</f>
        <v>1</v>
      </c>
      <c r="AM39" s="16" t="b">
        <f>OR(questions[[#This Row],[is_fixed]],questions[[#This Row],[is_localized]],questions[[#This Row],[is_supply_chain_dependent]])</f>
        <v>1</v>
      </c>
      <c r="AN39" s="16" t="b">
        <f>COUNTIFS(questions[[#This Row],[is_automated]:[is_multi_select]],TRUE)=1</f>
        <v>1</v>
      </c>
      <c r="AO39" s="16" t="b">
        <f>IF(questions[[#This Row],[is_fixed]],questions[[#This Row],[question]]=INDEX(stable[question],MATCH(questions[[#This Row],[qno]],stable[qno],0)),TRUE)</f>
        <v>1</v>
      </c>
      <c r="AP39" s="16" t="str">
        <f>LEFT(questions[[#This Row],[question]],similarity_range)</f>
        <v>How many children li</v>
      </c>
      <c r="AQ39" s="16" t="str">
        <f>LEFT(INDEX(stable[question],MATCH(questions[[#This Row],[qno]],stable[qno],0)),similarity_range)</f>
        <v>How many children li</v>
      </c>
      <c r="AR39" s="16" t="b">
        <f>questions[[#This Row],[question_first_characters]]=questions[[#This Row],[stability_first_characters]]</f>
        <v>1</v>
      </c>
      <c r="AS39" s="16" t="b">
        <f>IF(OR(questions[[#This Row],[is_single_select]],questions[[#This Row],[is_multi_select]]),NOT(ISBLANK(questions[[#This Row],[answer_opt_combined]])),TRUE)</f>
        <v>1</v>
      </c>
    </row>
    <row r="40" spans="1:45" s="77" customFormat="1" x14ac:dyDescent="0.25">
      <c r="A40" s="77" t="str">
        <f>_xlfn.TEXTJOIN("_",TRUE,questions[[#This Row],[origin]:[qno]])</f>
        <v>Indonesia_Arabica_west_java_impact_2100</v>
      </c>
      <c r="B40" s="77" t="s">
        <v>58</v>
      </c>
      <c r="C40" s="77" t="s">
        <v>59</v>
      </c>
      <c r="D40" s="77" t="s">
        <v>60</v>
      </c>
      <c r="F40" s="77" t="s">
        <v>117</v>
      </c>
      <c r="G40" s="77" t="s">
        <v>118</v>
      </c>
      <c r="H40" s="9" t="str" cm="1">
        <f t="array" ref="H40">INDEX(stableR[question],MATCH(VALUE(questions[[#This Row],[qno]]),VALUE(stableR[qno]),0))</f>
        <v>If your farm is certified, under which certification scheme(s) is it certified?</v>
      </c>
      <c r="I40" s="9" t="b" cm="1">
        <f t="array" ref="I40">INDEX(stable[is_fixed],MATCH(VALUE(questions[[#This Row],[qno]]),VALUE(stable[qno]),0))</f>
        <v>1</v>
      </c>
      <c r="J40" s="9" t="b" cm="1">
        <f t="array" ref="J40">INDEX(stable[is_localized],MATCH(VALUE(questions[[#This Row],[qno]]),VALUE(stable[qno]),0))</f>
        <v>0</v>
      </c>
      <c r="K40" s="9" t="b" cm="1">
        <f t="array" ref="K40">INDEX(stable[is_supply_chain_dependent],MATCH(VALUE(questions[[#This Row],[qno]]),VALUE(stable[qno]),0))</f>
        <v>0</v>
      </c>
      <c r="L40" s="9" t="b" cm="1">
        <f t="array" ref="L40">INDEX(stable[is_mandatory],MATCH(VALUE(questions[[#This Row],[qno]]),VALUE(stable[qno]),0))</f>
        <v>1</v>
      </c>
      <c r="M40" s="9" t="b" cm="1">
        <f t="array" ref="M40">INDEX(stable[is_automated],MATCH(VALUE(questions[[#This Row],[qno]]),VALUE(stable[qno]),0))</f>
        <v>0</v>
      </c>
      <c r="N40" s="9" t="b" cm="1">
        <f t="array" ref="N40">INDEX(stable[is_free_text],MATCH(VALUE(questions[[#This Row],[qno]]),VALUE(stable[qno]),0))</f>
        <v>0</v>
      </c>
      <c r="O40" s="9" t="b" cm="1">
        <f t="array" ref="O40">INDEX(stable[is_numerical],MATCH(VALUE(questions[[#This Row],[qno]]),VALUE(stable[qno]),0))</f>
        <v>0</v>
      </c>
      <c r="P40" s="103" t="b" cm="1">
        <f t="array" ref="P40">INDEX(stable[is_single_select],MATCH(VALUE(questions[[#This Row],[qno]]),VALUE(stable[qno]),0))</f>
        <v>0</v>
      </c>
      <c r="Q40" s="77" t="b" cm="1">
        <f t="array" ref="Q40">INDEX(stable[is_multi_select],MATCH(VALUE(questions[[#This Row],[qno]]),VALUE(stable[qno]),0))</f>
        <v>1</v>
      </c>
      <c r="R40" s="77" t="b" cm="1">
        <f t="array" ref="R40">INDEX(stable[is_skip_logic],MATCH(VALUE(questions[[#This Row],[qno]]),VALUE(stable[qno]),0))</f>
        <v>1</v>
      </c>
      <c r="S40" s="77" t="str">
        <f>_xlfn.TEXTJOIN(", ",TRUE,questions[[#This Row],[ans_opt_1]:[ans_opt_14]])</f>
        <v>No, IMPACT, 4C, Fair Trade, Rainforest Alliance, Organic, CAFÉ practices, RegenAgri, Other</v>
      </c>
      <c r="T40" s="77" t="s">
        <v>119</v>
      </c>
      <c r="U40" s="77" t="s">
        <v>120</v>
      </c>
      <c r="V40" s="77" t="s">
        <v>121</v>
      </c>
      <c r="W40" s="77" t="s">
        <v>122</v>
      </c>
      <c r="X40" s="77" t="s">
        <v>123</v>
      </c>
      <c r="Y40" s="77" t="s">
        <v>124</v>
      </c>
      <c r="Z40" s="77" t="s">
        <v>125</v>
      </c>
      <c r="AA40" s="77" t="s">
        <v>126</v>
      </c>
      <c r="AB40" s="77" t="s">
        <v>112</v>
      </c>
      <c r="AH40" s="98" t="b">
        <f>INDEX(stable[q_standard],MATCH(questions[[#This Row],[qno]],stable[qno],0))</f>
        <v>0</v>
      </c>
      <c r="AI40" s="98" t="b">
        <f>INDEX(stable[q_living_income],MATCH(questions[[#This Row],[qno]],stable[qno],0))</f>
        <v>0</v>
      </c>
      <c r="AJ40" s="98" t="b">
        <f>INDEX(stable[q_carbon],MATCH(questions[[#This Row],[qno]],stable[qno],0))</f>
        <v>0</v>
      </c>
      <c r="AK40" s="98" t="b">
        <f>INDEX(stable[q_regen_ag],MATCH(questions[[#This Row],[qno]],stable[qno],0))</f>
        <v>1</v>
      </c>
      <c r="AL40" s="98" t="b">
        <f>COUNTIFS(stable[qno],questions[[#This Row],[qno]])=1</f>
        <v>1</v>
      </c>
      <c r="AM40" s="98" t="b">
        <f>OR(questions[[#This Row],[is_fixed]],questions[[#This Row],[is_localized]],questions[[#This Row],[is_supply_chain_dependent]])</f>
        <v>1</v>
      </c>
      <c r="AN40" s="98" t="b">
        <f>COUNTIFS(questions[[#This Row],[is_automated]:[is_multi_select]],TRUE)=1</f>
        <v>1</v>
      </c>
      <c r="AO40" s="98" t="b">
        <f>IF(questions[[#This Row],[is_fixed]],questions[[#This Row],[question]]=INDEX(stable[question],MATCH(questions[[#This Row],[qno]],stable[qno],0)),TRUE)</f>
        <v>1</v>
      </c>
      <c r="AP40" s="98" t="str">
        <f>LEFT(questions[[#This Row],[question]],similarity_range)</f>
        <v>Is your farm certifi</v>
      </c>
      <c r="AQ40" s="98" t="str">
        <f>LEFT(INDEX(stable[question],MATCH(questions[[#This Row],[qno]],stable[qno],0)),similarity_range)</f>
        <v>Is your farm certifi</v>
      </c>
      <c r="AR40" s="98" t="b">
        <f>questions[[#This Row],[question_first_characters]]=questions[[#This Row],[stability_first_characters]]</f>
        <v>1</v>
      </c>
      <c r="AS40" s="98" t="b">
        <f>IF(OR(questions[[#This Row],[is_single_select]],questions[[#This Row],[is_multi_select]]),NOT(ISBLANK(questions[[#This Row],[answer_opt_combined]])),TRUE)</f>
        <v>1</v>
      </c>
    </row>
    <row r="41" spans="1:45" s="77" customFormat="1" x14ac:dyDescent="0.25">
      <c r="A41" s="77" t="str">
        <f>_xlfn.TEXTJOIN("_",TRUE,questions[[#This Row],[origin]:[qno]])</f>
        <v>Indonesia_Arabica_west_java_impact_2101</v>
      </c>
      <c r="B41" s="77" t="s">
        <v>58</v>
      </c>
      <c r="C41" s="77" t="s">
        <v>59</v>
      </c>
      <c r="D41" s="77" t="s">
        <v>60</v>
      </c>
      <c r="F41" s="77" t="s">
        <v>127</v>
      </c>
      <c r="G41" s="77" t="s">
        <v>128</v>
      </c>
      <c r="H41" s="9" t="str" cm="1">
        <f t="array" ref="H41">INDEX(stableR[question],MATCH(VALUE(questions[[#This Row],[qno]]),VALUE(stableR[qno]),0))</f>
        <v>If yes, since when have you been certified? (In case you are part of multiple certification schemes, consider the one that you are in longest.)</v>
      </c>
      <c r="I41" s="9" t="b" cm="1">
        <f t="array" ref="I41">INDEX(stable[is_fixed],MATCH(VALUE(questions[[#This Row],[qno]]),VALUE(stable[qno]),0))</f>
        <v>1</v>
      </c>
      <c r="J41" s="9" t="b" cm="1">
        <f t="array" ref="J41">INDEX(stable[is_localized],MATCH(VALUE(questions[[#This Row],[qno]]),VALUE(stable[qno]),0))</f>
        <v>0</v>
      </c>
      <c r="K41" s="9" t="b" cm="1">
        <f t="array" ref="K41">INDEX(stable[is_supply_chain_dependent],MATCH(VALUE(questions[[#This Row],[qno]]),VALUE(stable[qno]),0))</f>
        <v>0</v>
      </c>
      <c r="L41" s="9" t="b" cm="1">
        <f t="array" ref="L41">INDEX(stable[is_mandatory],MATCH(VALUE(questions[[#This Row],[qno]]),VALUE(stable[qno]),0))</f>
        <v>0</v>
      </c>
      <c r="M41" s="9" t="b" cm="1">
        <f t="array" ref="M41">INDEX(stable[is_automated],MATCH(VALUE(questions[[#This Row],[qno]]),VALUE(stable[qno]),0))</f>
        <v>0</v>
      </c>
      <c r="N41" s="9" t="b" cm="1">
        <f t="array" ref="N41">INDEX(stable[is_free_text],MATCH(VALUE(questions[[#This Row],[qno]]),VALUE(stable[qno]),0))</f>
        <v>0</v>
      </c>
      <c r="O41" s="9" t="b" cm="1">
        <f t="array" ref="O41">INDEX(stable[is_numerical],MATCH(VALUE(questions[[#This Row],[qno]]),VALUE(stable[qno]),0))</f>
        <v>0</v>
      </c>
      <c r="P41" s="103" t="b" cm="1">
        <f t="array" ref="P41">INDEX(stable[is_single_select],MATCH(VALUE(questions[[#This Row],[qno]]),VALUE(stable[qno]),0))</f>
        <v>1</v>
      </c>
      <c r="Q41" s="77" t="b" cm="1">
        <f t="array" ref="Q41">INDEX(stable[is_multi_select],MATCH(VALUE(questions[[#This Row],[qno]]),VALUE(stable[qno]),0))</f>
        <v>0</v>
      </c>
      <c r="R41" s="77" t="b" cm="1">
        <f t="array" ref="R41">INDEX(stable[is_skip_logic],MATCH(VALUE(questions[[#This Row],[qno]]),VALUE(stable[qno]),0))</f>
        <v>1</v>
      </c>
      <c r="S41" s="77" t="str">
        <f>_xlfn.TEXTJOIN(", ",TRUE,questions[[#This Row],[ans_opt_1]:[ans_opt_14]])</f>
        <v>1-2 years, 3-4 years, &gt;=5 years</v>
      </c>
      <c r="T41" s="77" t="s">
        <v>129</v>
      </c>
      <c r="U41" s="77" t="s">
        <v>130</v>
      </c>
      <c r="V41" s="77" t="s">
        <v>131</v>
      </c>
      <c r="AH41" s="98" t="b">
        <f>INDEX(stable[q_standard],MATCH(questions[[#This Row],[qno]],stable[qno],0))</f>
        <v>0</v>
      </c>
      <c r="AI41" s="98" t="b">
        <f>INDEX(stable[q_living_income],MATCH(questions[[#This Row],[qno]],stable[qno],0))</f>
        <v>0</v>
      </c>
      <c r="AJ41" s="98" t="b">
        <f>INDEX(stable[q_carbon],MATCH(questions[[#This Row],[qno]],stable[qno],0))</f>
        <v>0</v>
      </c>
      <c r="AK41" s="98" t="b">
        <f>INDEX(stable[q_regen_ag],MATCH(questions[[#This Row],[qno]],stable[qno],0))</f>
        <v>1</v>
      </c>
      <c r="AL41" s="98" t="b">
        <f>COUNTIFS(stable[qno],questions[[#This Row],[qno]])=1</f>
        <v>1</v>
      </c>
      <c r="AM41" s="98" t="b">
        <f>OR(questions[[#This Row],[is_fixed]],questions[[#This Row],[is_localized]],questions[[#This Row],[is_supply_chain_dependent]])</f>
        <v>1</v>
      </c>
      <c r="AN41" s="98" t="b">
        <f>COUNTIFS(questions[[#This Row],[is_automated]:[is_multi_select]],TRUE)=1</f>
        <v>1</v>
      </c>
      <c r="AO41" s="98" t="b">
        <f>IF(questions[[#This Row],[is_fixed]],questions[[#This Row],[question]]=INDEX(stable[question],MATCH(questions[[#This Row],[qno]],stable[qno],0)),TRUE)</f>
        <v>0</v>
      </c>
      <c r="AP41" s="98" t="str">
        <f>LEFT(questions[[#This Row],[question]],similarity_range)</f>
        <v>If yes, since when h</v>
      </c>
      <c r="AQ41" s="98" t="str">
        <f>LEFT(INDEX(stable[question],MATCH(questions[[#This Row],[qno]],stable[qno],0)),similarity_range)</f>
        <v>If yes, since when h</v>
      </c>
      <c r="AR41" s="98" t="b">
        <f>questions[[#This Row],[question_first_characters]]=questions[[#This Row],[stability_first_characters]]</f>
        <v>1</v>
      </c>
      <c r="AS41" s="98" t="b">
        <f>IF(OR(questions[[#This Row],[is_single_select]],questions[[#This Row],[is_multi_select]]),NOT(ISBLANK(questions[[#This Row],[answer_opt_combined]])),TRUE)</f>
        <v>1</v>
      </c>
    </row>
    <row r="42" spans="1:45" s="77" customFormat="1" x14ac:dyDescent="0.25">
      <c r="A42" s="77" t="str">
        <f>_xlfn.TEXTJOIN("_",TRUE,questions[[#This Row],[origin]:[qno]])</f>
        <v>Indonesia_Arabica_west_java_impact_2200</v>
      </c>
      <c r="B42" s="77" t="s">
        <v>58</v>
      </c>
      <c r="C42" s="77" t="s">
        <v>59</v>
      </c>
      <c r="D42" s="77" t="s">
        <v>60</v>
      </c>
      <c r="F42" s="77" t="s">
        <v>132</v>
      </c>
      <c r="G42" s="77" t="s">
        <v>133</v>
      </c>
      <c r="H42" s="9" t="str" cm="1">
        <f t="array" ref="H42">INDEX(stableR[question],MATCH(VALUE(questions[[#This Row],[qno]]),VALUE(stableR[qno]),0))</f>
        <v>What is the name of the Sucafina coffee collection point you delivered your coffee to (e.g. name of  washing station/hulling station/cooperative/ intermediary), or which one is closest to you?</v>
      </c>
      <c r="I42" s="9" t="b" cm="1">
        <f t="array" ref="I42">INDEX(stable[is_fixed],MATCH(VALUE(questions[[#This Row],[qno]]),VALUE(stable[qno]),0))</f>
        <v>0</v>
      </c>
      <c r="J42" s="9" t="b" cm="1">
        <f t="array" ref="J42">INDEX(stable[is_localized],MATCH(VALUE(questions[[#This Row],[qno]]),VALUE(stable[qno]),0))</f>
        <v>1</v>
      </c>
      <c r="K42" s="9" t="b" cm="1">
        <f t="array" ref="K42">INDEX(stable[is_supply_chain_dependent],MATCH(VALUE(questions[[#This Row],[qno]]),VALUE(stable[qno]),0))</f>
        <v>0</v>
      </c>
      <c r="L42" s="9" t="b" cm="1">
        <f t="array" ref="L42">INDEX(stable[is_mandatory],MATCH(VALUE(questions[[#This Row],[qno]]),VALUE(stable[qno]),0))</f>
        <v>1</v>
      </c>
      <c r="M42" s="9" t="b" cm="1">
        <f t="array" ref="M42">INDEX(stable[is_automated],MATCH(VALUE(questions[[#This Row],[qno]]),VALUE(stable[qno]),0))</f>
        <v>0</v>
      </c>
      <c r="N42" s="9" t="b" cm="1">
        <f t="array" ref="N42">INDEX(stable[is_free_text],MATCH(VALUE(questions[[#This Row],[qno]]),VALUE(stable[qno]),0))</f>
        <v>0</v>
      </c>
      <c r="O42" s="9" t="b" cm="1">
        <f t="array" ref="O42">INDEX(stable[is_numerical],MATCH(VALUE(questions[[#This Row],[qno]]),VALUE(stable[qno]),0))</f>
        <v>0</v>
      </c>
      <c r="P42" s="103" t="b" cm="1">
        <f t="array" ref="P42">INDEX(stable[is_single_select],MATCH(VALUE(questions[[#This Row],[qno]]),VALUE(stable[qno]),0))</f>
        <v>1</v>
      </c>
      <c r="Q42" s="77" t="b" cm="1">
        <f t="array" ref="Q42">INDEX(stable[is_multi_select],MATCH(VALUE(questions[[#This Row],[qno]]),VALUE(stable[qno]),0))</f>
        <v>0</v>
      </c>
      <c r="R42" s="77" t="b" cm="1">
        <f t="array" ref="R42">INDEX(stable[is_skip_logic],MATCH(VALUE(questions[[#This Row],[qno]]),VALUE(stable[qno]),0))</f>
        <v>0</v>
      </c>
      <c r="S42" s="77" t="str">
        <f>_xlfn.TEXTJOIN(", ",TRUE,questions[[#This Row],[ans_opt_1]:[ans_opt_14]])</f>
        <v>Agus Hidayat, Haris Permana, Yusup</v>
      </c>
      <c r="T42" s="77" t="s">
        <v>134</v>
      </c>
      <c r="U42" s="77" t="s">
        <v>135</v>
      </c>
      <c r="V42" s="77" t="s">
        <v>136</v>
      </c>
      <c r="AH42" s="98" t="b">
        <f>INDEX(stable[q_standard],MATCH(questions[[#This Row],[qno]],stable[qno],0))</f>
        <v>1</v>
      </c>
      <c r="AI42" s="98" t="b">
        <f>INDEX(stable[q_living_income],MATCH(questions[[#This Row],[qno]],stable[qno],0))</f>
        <v>0</v>
      </c>
      <c r="AJ42" s="98" t="b">
        <f>INDEX(stable[q_carbon],MATCH(questions[[#This Row],[qno]],stable[qno],0))</f>
        <v>0</v>
      </c>
      <c r="AK42" s="98" t="b">
        <f>INDEX(stable[q_regen_ag],MATCH(questions[[#This Row],[qno]],stable[qno],0))</f>
        <v>0</v>
      </c>
      <c r="AL42" s="98" t="b">
        <f>COUNTIFS(stable[qno],questions[[#This Row],[qno]])=1</f>
        <v>1</v>
      </c>
      <c r="AM42" s="98" t="b">
        <f>OR(questions[[#This Row],[is_fixed]],questions[[#This Row],[is_localized]],questions[[#This Row],[is_supply_chain_dependent]])</f>
        <v>1</v>
      </c>
      <c r="AN42" s="98" t="b">
        <f>COUNTIFS(questions[[#This Row],[is_automated]:[is_multi_select]],TRUE)=1</f>
        <v>1</v>
      </c>
      <c r="AO42" s="98" t="b">
        <f>IF(questions[[#This Row],[is_fixed]],questions[[#This Row],[question]]=INDEX(stable[question],MATCH(questions[[#This Row],[qno]],stable[qno],0)),TRUE)</f>
        <v>1</v>
      </c>
      <c r="AP42" s="98" t="str">
        <f>LEFT(questions[[#This Row],[question]],similarity_range)</f>
        <v>To which Sucafina wa</v>
      </c>
      <c r="AQ42" s="98" t="str">
        <f>LEFT(INDEX(stable[question],MATCH(questions[[#This Row],[qno]],stable[qno],0)),similarity_range)</f>
        <v>To which Sucafina wa</v>
      </c>
      <c r="AR42" s="98" t="b">
        <f>questions[[#This Row],[question_first_characters]]=questions[[#This Row],[stability_first_characters]]</f>
        <v>1</v>
      </c>
      <c r="AS42" s="98" t="b">
        <f>IF(OR(questions[[#This Row],[is_single_select]],questions[[#This Row],[is_multi_select]]),NOT(ISBLANK(questions[[#This Row],[answer_opt_combined]])),TRUE)</f>
        <v>1</v>
      </c>
    </row>
    <row r="43" spans="1:45" x14ac:dyDescent="0.25">
      <c r="A43" s="9" t="str">
        <f>_xlfn.TEXTJOIN("_",TRUE,questions[[#This Row],[origin]:[qno]])</f>
        <v>Indonesia_Arabica_west_java_impact_3300</v>
      </c>
      <c r="B43" s="9" t="s">
        <v>58</v>
      </c>
      <c r="C43" s="9" t="s">
        <v>59</v>
      </c>
      <c r="D43" s="9" t="s">
        <v>60</v>
      </c>
      <c r="F43" s="9" t="s">
        <v>137</v>
      </c>
      <c r="G43" s="9" t="s">
        <v>138</v>
      </c>
      <c r="H43" s="9" t="str" cm="1">
        <f t="array" ref="H43">INDEX(stableR[question],MATCH(VALUE(questions[[#This Row],[qno]]),VALUE(stableR[qno]),0))</f>
        <v>How many kilograms of fresh cherries did you sell last season(s) (previous 12 months)?</v>
      </c>
      <c r="I43" s="9" t="b" cm="1">
        <f t="array" ref="I43">INDEX(stable[is_fixed],MATCH(VALUE(questions[[#This Row],[qno]]),VALUE(stable[qno]),0))</f>
        <v>0</v>
      </c>
      <c r="J43" s="9" t="b" cm="1">
        <f t="array" ref="J43">INDEX(stable[is_localized],MATCH(VALUE(questions[[#This Row],[qno]]),VALUE(stable[qno]),0))</f>
        <v>1</v>
      </c>
      <c r="K43" s="9" t="b" cm="1">
        <f t="array" ref="K43">INDEX(stable[is_supply_chain_dependent],MATCH(VALUE(questions[[#This Row],[qno]]),VALUE(stable[qno]),0))</f>
        <v>0</v>
      </c>
      <c r="L43" s="9" t="b" cm="1">
        <f t="array" ref="L43">INDEX(stable[is_mandatory],MATCH(VALUE(questions[[#This Row],[qno]]),VALUE(stable[qno]),0))</f>
        <v>0</v>
      </c>
      <c r="M43" s="9" t="b" cm="1">
        <f t="array" ref="M43">INDEX(stable[is_automated],MATCH(VALUE(questions[[#This Row],[qno]]),VALUE(stable[qno]),0))</f>
        <v>0</v>
      </c>
      <c r="N43" s="9" t="b" cm="1">
        <f t="array" ref="N43">INDEX(stable[is_free_text],MATCH(VALUE(questions[[#This Row],[qno]]),VALUE(stable[qno]),0))</f>
        <v>0</v>
      </c>
      <c r="O43" s="9" t="b" cm="1">
        <f t="array" ref="O43">INDEX(stable[is_numerical],MATCH(VALUE(questions[[#This Row],[qno]]),VALUE(stable[qno]),0))</f>
        <v>1</v>
      </c>
      <c r="P43" s="32" t="b" cm="1">
        <f t="array" ref="P43">INDEX(stable[is_single_select],MATCH(VALUE(questions[[#This Row],[qno]]),VALUE(stable[qno]),0))</f>
        <v>0</v>
      </c>
      <c r="Q43" s="9" t="b" cm="1">
        <f t="array" ref="Q43">INDEX(stable[is_multi_select],MATCH(VALUE(questions[[#This Row],[qno]]),VALUE(stable[qno]),0))</f>
        <v>0</v>
      </c>
      <c r="R43" s="9" t="b" cm="1">
        <f t="array" ref="R43">INDEX(stable[is_skip_logic],MATCH(VALUE(questions[[#This Row],[qno]]),VALUE(stable[qno]),0))</f>
        <v>0</v>
      </c>
      <c r="S43" s="9" t="str">
        <f>_xlfn.TEXTJOIN(", ",TRUE,questions[[#This Row],[ans_opt_1]:[ans_opt_14]])</f>
        <v/>
      </c>
      <c r="AH43" s="16" t="b">
        <f>INDEX(stable[q_standard],MATCH(questions[[#This Row],[qno]],stable[qno],0))</f>
        <v>0</v>
      </c>
      <c r="AI43" s="16" t="b">
        <f>INDEX(stable[q_living_income],MATCH(questions[[#This Row],[qno]],stable[qno],0))</f>
        <v>1</v>
      </c>
      <c r="AJ43" s="16" t="b">
        <f>INDEX(stable[q_carbon],MATCH(questions[[#This Row],[qno]],stable[qno],0))</f>
        <v>1</v>
      </c>
      <c r="AK43" s="16" t="b">
        <f>INDEX(stable[q_regen_ag],MATCH(questions[[#This Row],[qno]],stable[qno],0))</f>
        <v>1</v>
      </c>
      <c r="AL43" s="16" t="b">
        <f>COUNTIFS(stable[qno],questions[[#This Row],[qno]])=1</f>
        <v>1</v>
      </c>
      <c r="AM43" s="16" t="b">
        <f>OR(questions[[#This Row],[is_fixed]],questions[[#This Row],[is_localized]],questions[[#This Row],[is_supply_chain_dependent]])</f>
        <v>1</v>
      </c>
      <c r="AN43" s="16" t="b">
        <f>COUNTIFS(questions[[#This Row],[is_automated]:[is_multi_select]],TRUE)=1</f>
        <v>1</v>
      </c>
      <c r="AO43" s="16" t="b">
        <f>IF(questions[[#This Row],[is_fixed]],questions[[#This Row],[question]]=INDEX(stable[question],MATCH(questions[[#This Row],[qno]],stable[qno],0)),TRUE)</f>
        <v>1</v>
      </c>
      <c r="AP43" s="16" t="str">
        <f>LEFT(questions[[#This Row],[question]],similarity_range)</f>
        <v>How many kilograms o</v>
      </c>
      <c r="AQ43" s="16" t="str">
        <f>LEFT(INDEX(stable[question],MATCH(questions[[#This Row],[qno]],stable[qno],0)),similarity_range)</f>
        <v>How many kilograms o</v>
      </c>
      <c r="AR43" s="16" t="b">
        <f>questions[[#This Row],[question_first_characters]]=questions[[#This Row],[stability_first_characters]]</f>
        <v>1</v>
      </c>
      <c r="AS43" s="16" t="b">
        <f>IF(OR(questions[[#This Row],[is_single_select]],questions[[#This Row],[is_multi_select]]),NOT(ISBLANK(questions[[#This Row],[answer_opt_combined]])),TRUE)</f>
        <v>1</v>
      </c>
    </row>
    <row r="44" spans="1:45" x14ac:dyDescent="0.25">
      <c r="A44" s="9" t="str">
        <f>_xlfn.TEXTJOIN("_",TRUE,questions[[#This Row],[origin]:[qno]])</f>
        <v>Indonesia_Arabica_west_java_impact_3301</v>
      </c>
      <c r="B44" s="9" t="s">
        <v>58</v>
      </c>
      <c r="C44" s="9" t="s">
        <v>59</v>
      </c>
      <c r="D44" s="9" t="s">
        <v>60</v>
      </c>
      <c r="F44" s="9" t="s">
        <v>139</v>
      </c>
      <c r="G44" s="9" t="s">
        <v>140</v>
      </c>
      <c r="H44" s="9" t="str" cm="1">
        <f t="array" ref="H44">INDEX(stableR[question],MATCH(VALUE(questions[[#This Row],[qno]]),VALUE(stableR[qno]),0))</f>
        <v>What was the most common price per kilogram that you received for the fresh cherries harvested in the last season? (in local currency)</v>
      </c>
      <c r="I44" s="9" t="b" cm="1">
        <f t="array" ref="I44">INDEX(stable[is_fixed],MATCH(VALUE(questions[[#This Row],[qno]]),VALUE(stable[qno]),0))</f>
        <v>0</v>
      </c>
      <c r="J44" s="9" t="b" cm="1">
        <f t="array" ref="J44">INDEX(stable[is_localized],MATCH(VALUE(questions[[#This Row],[qno]]),VALUE(stable[qno]),0))</f>
        <v>1</v>
      </c>
      <c r="K44" s="9" t="b" cm="1">
        <f t="array" ref="K44">INDEX(stable[is_supply_chain_dependent],MATCH(VALUE(questions[[#This Row],[qno]]),VALUE(stable[qno]),0))</f>
        <v>0</v>
      </c>
      <c r="L44" s="9" t="b" cm="1">
        <f t="array" ref="L44">INDEX(stable[is_mandatory],MATCH(VALUE(questions[[#This Row],[qno]]),VALUE(stable[qno]),0))</f>
        <v>0</v>
      </c>
      <c r="M44" s="9" t="b" cm="1">
        <f t="array" ref="M44">INDEX(stable[is_automated],MATCH(VALUE(questions[[#This Row],[qno]]),VALUE(stable[qno]),0))</f>
        <v>0</v>
      </c>
      <c r="N44" s="9" t="b" cm="1">
        <f t="array" ref="N44">INDEX(stable[is_free_text],MATCH(VALUE(questions[[#This Row],[qno]]),VALUE(stable[qno]),0))</f>
        <v>0</v>
      </c>
      <c r="O44" s="9" t="b" cm="1">
        <f t="array" ref="O44">INDEX(stable[is_numerical],MATCH(VALUE(questions[[#This Row],[qno]]),VALUE(stable[qno]),0))</f>
        <v>1</v>
      </c>
      <c r="P44" s="32" t="b" cm="1">
        <f t="array" ref="P44">INDEX(stable[is_single_select],MATCH(VALUE(questions[[#This Row],[qno]]),VALUE(stable[qno]),0))</f>
        <v>0</v>
      </c>
      <c r="Q44" s="9" t="b" cm="1">
        <f t="array" ref="Q44">INDEX(stable[is_multi_select],MATCH(VALUE(questions[[#This Row],[qno]]),VALUE(stable[qno]),0))</f>
        <v>0</v>
      </c>
      <c r="R44" s="9" t="b" cm="1">
        <f t="array" ref="R44">INDEX(stable[is_skip_logic],MATCH(VALUE(questions[[#This Row],[qno]]),VALUE(stable[qno]),0))</f>
        <v>0</v>
      </c>
      <c r="S44" s="9" t="str">
        <f>_xlfn.TEXTJOIN(", ",TRUE,questions[[#This Row],[ans_opt_1]:[ans_opt_14]])</f>
        <v/>
      </c>
      <c r="AH44" s="16" t="b">
        <f>INDEX(stable[q_standard],MATCH(questions[[#This Row],[qno]],stable[qno],0))</f>
        <v>0</v>
      </c>
      <c r="AI44" s="16" t="b">
        <f>INDEX(stable[q_living_income],MATCH(questions[[#This Row],[qno]],stable[qno],0))</f>
        <v>1</v>
      </c>
      <c r="AJ44" s="16" t="b">
        <f>INDEX(stable[q_carbon],MATCH(questions[[#This Row],[qno]],stable[qno],0))</f>
        <v>0</v>
      </c>
      <c r="AK44" s="16" t="b">
        <f>INDEX(stable[q_regen_ag],MATCH(questions[[#This Row],[qno]],stable[qno],0))</f>
        <v>0</v>
      </c>
      <c r="AL44" s="16" t="b">
        <f>COUNTIFS(stable[qno],questions[[#This Row],[qno]])=1</f>
        <v>1</v>
      </c>
      <c r="AM44" s="16" t="b">
        <f>OR(questions[[#This Row],[is_fixed]],questions[[#This Row],[is_localized]],questions[[#This Row],[is_supply_chain_dependent]])</f>
        <v>1</v>
      </c>
      <c r="AN44" s="16" t="b">
        <f>COUNTIFS(questions[[#This Row],[is_automated]:[is_multi_select]],TRUE)=1</f>
        <v>1</v>
      </c>
      <c r="AO44" s="16" t="b">
        <f>IF(questions[[#This Row],[is_fixed]],questions[[#This Row],[question]]=INDEX(stable[question],MATCH(questions[[#This Row],[qno]],stable[qno],0)),TRUE)</f>
        <v>1</v>
      </c>
      <c r="AP44" s="16" t="str">
        <f>LEFT(questions[[#This Row],[question]],similarity_range)</f>
        <v>What was the most co</v>
      </c>
      <c r="AQ44" s="16" t="str">
        <f>LEFT(INDEX(stable[question],MATCH(questions[[#This Row],[qno]],stable[qno],0)),similarity_range)</f>
        <v>What was the most co</v>
      </c>
      <c r="AR44" s="16" t="b">
        <f>questions[[#This Row],[question_first_characters]]=questions[[#This Row],[stability_first_characters]]</f>
        <v>1</v>
      </c>
      <c r="AS44" s="16" t="b">
        <f>IF(OR(questions[[#This Row],[is_single_select]],questions[[#This Row],[is_multi_select]]),NOT(ISBLANK(questions[[#This Row],[answer_opt_combined]])),TRUE)</f>
        <v>1</v>
      </c>
    </row>
    <row r="45" spans="1:45" x14ac:dyDescent="0.25">
      <c r="A45" s="9" t="str">
        <f>_xlfn.TEXTJOIN("_",TRUE,questions[[#This Row],[origin]:[qno]])</f>
        <v>Indonesia_Arabica_west_java_impact_3309</v>
      </c>
      <c r="B45" s="9" t="s">
        <v>58</v>
      </c>
      <c r="C45" s="9" t="s">
        <v>59</v>
      </c>
      <c r="D45" s="9" t="s">
        <v>60</v>
      </c>
      <c r="F45" s="9" t="s">
        <v>141</v>
      </c>
      <c r="G45" s="9" t="s">
        <v>142</v>
      </c>
      <c r="H45" s="9" t="str" cm="1">
        <f t="array" ref="H45">INDEX(stableR[question],MATCH(VALUE(questions[[#This Row],[qno]]),VALUE(stableR[qno]),0))</f>
        <v>If you paid workers in kind with coffee cherries, how many kilograms of coffee cherries did you give away?</v>
      </c>
      <c r="I45" s="9" t="b" cm="1">
        <f t="array" ref="I45">INDEX(stable[is_fixed],MATCH(VALUE(questions[[#This Row],[qno]]),VALUE(stable[qno]),0))</f>
        <v>0</v>
      </c>
      <c r="J45" s="9" t="b" cm="1">
        <f t="array" ref="J45">INDEX(stable[is_localized],MATCH(VALUE(questions[[#This Row],[qno]]),VALUE(stable[qno]),0))</f>
        <v>1</v>
      </c>
      <c r="K45" s="9" t="b" cm="1">
        <f t="array" ref="K45">INDEX(stable[is_supply_chain_dependent],MATCH(VALUE(questions[[#This Row],[qno]]),VALUE(stable[qno]),0))</f>
        <v>1</v>
      </c>
      <c r="L45" s="9" t="b" cm="1">
        <f t="array" ref="L45">INDEX(stable[is_mandatory],MATCH(VALUE(questions[[#This Row],[qno]]),VALUE(stable[qno]),0))</f>
        <v>0</v>
      </c>
      <c r="M45" s="9" t="b" cm="1">
        <f t="array" ref="M45">INDEX(stable[is_automated],MATCH(VALUE(questions[[#This Row],[qno]]),VALUE(stable[qno]),0))</f>
        <v>0</v>
      </c>
      <c r="N45" s="9" t="b" cm="1">
        <f t="array" ref="N45">INDEX(stable[is_free_text],MATCH(VALUE(questions[[#This Row],[qno]]),VALUE(stable[qno]),0))</f>
        <v>0</v>
      </c>
      <c r="O45" s="9" t="b" cm="1">
        <f t="array" ref="O45">INDEX(stable[is_numerical],MATCH(VALUE(questions[[#This Row],[qno]]),VALUE(stable[qno]),0))</f>
        <v>1</v>
      </c>
      <c r="P45" s="32" t="b" cm="1">
        <f t="array" ref="P45">INDEX(stable[is_single_select],MATCH(VALUE(questions[[#This Row],[qno]]),VALUE(stable[qno]),0))</f>
        <v>0</v>
      </c>
      <c r="Q45" s="9" t="b" cm="1">
        <f t="array" ref="Q45">INDEX(stable[is_multi_select],MATCH(VALUE(questions[[#This Row],[qno]]),VALUE(stable[qno]),0))</f>
        <v>0</v>
      </c>
      <c r="R45" s="9" t="b" cm="1">
        <f t="array" ref="R45">INDEX(stable[is_skip_logic],MATCH(VALUE(questions[[#This Row],[qno]]),VALUE(stable[qno]),0))</f>
        <v>0</v>
      </c>
      <c r="S45" s="9" t="str">
        <f>_xlfn.TEXTJOIN(", ",TRUE,questions[[#This Row],[ans_opt_1]:[ans_opt_14]])</f>
        <v/>
      </c>
      <c r="AH45" s="16" t="b">
        <f>INDEX(stable[q_standard],MATCH(questions[[#This Row],[qno]],stable[qno],0))</f>
        <v>0</v>
      </c>
      <c r="AI45" s="16" t="b">
        <f>INDEX(stable[q_living_income],MATCH(questions[[#This Row],[qno]],stable[qno],0))</f>
        <v>1</v>
      </c>
      <c r="AJ45" s="16" t="b">
        <f>INDEX(stable[q_carbon],MATCH(questions[[#This Row],[qno]],stable[qno],0))</f>
        <v>1</v>
      </c>
      <c r="AK45" s="16" t="b">
        <f>INDEX(stable[q_regen_ag],MATCH(questions[[#This Row],[qno]],stable[qno],0))</f>
        <v>1</v>
      </c>
      <c r="AL45" s="16" t="b">
        <f>COUNTIFS(stable[qno],questions[[#This Row],[qno]])=1</f>
        <v>1</v>
      </c>
      <c r="AM45" s="16" t="b">
        <f>OR(questions[[#This Row],[is_fixed]],questions[[#This Row],[is_localized]],questions[[#This Row],[is_supply_chain_dependent]])</f>
        <v>1</v>
      </c>
      <c r="AN45" s="16" t="b">
        <f>COUNTIFS(questions[[#This Row],[is_automated]:[is_multi_select]],TRUE)=1</f>
        <v>1</v>
      </c>
      <c r="AO45" s="16" t="b">
        <f>IF(questions[[#This Row],[is_fixed]],questions[[#This Row],[question]]=INDEX(stable[question],MATCH(questions[[#This Row],[qno]],stable[qno],0)),TRUE)</f>
        <v>1</v>
      </c>
      <c r="AP45" s="16" t="str">
        <f>LEFT(questions[[#This Row],[question]],similarity_range)</f>
        <v>Did you also pay wor</v>
      </c>
      <c r="AQ45" s="16" t="str">
        <f>LEFT(INDEX(stable[question],MATCH(questions[[#This Row],[qno]],stable[qno],0)),similarity_range)</f>
        <v>Did you also pay wor</v>
      </c>
      <c r="AR45" s="16" t="b">
        <f>questions[[#This Row],[question_first_characters]]=questions[[#This Row],[stability_first_characters]]</f>
        <v>1</v>
      </c>
      <c r="AS45" s="16" t="b">
        <f>IF(OR(questions[[#This Row],[is_single_select]],questions[[#This Row],[is_multi_select]]),NOT(ISBLANK(questions[[#This Row],[answer_opt_combined]])),TRUE)</f>
        <v>1</v>
      </c>
    </row>
    <row r="46" spans="1:45" x14ac:dyDescent="0.25">
      <c r="A46" s="9" t="str">
        <f>_xlfn.TEXTJOIN("_",TRUE,questions[[#This Row],[origin]:[qno]])</f>
        <v>Indonesia_Arabica_west_java_impact_4000</v>
      </c>
      <c r="B46" s="9" t="s">
        <v>58</v>
      </c>
      <c r="C46" s="9" t="s">
        <v>59</v>
      </c>
      <c r="D46" s="9" t="s">
        <v>60</v>
      </c>
      <c r="F46" s="9" t="s">
        <v>143</v>
      </c>
      <c r="G46" s="9" t="s">
        <v>144</v>
      </c>
      <c r="H46" s="9" t="str" cm="1">
        <f t="array" ref="H46">INDEX(stableR[question],MATCH(VALUE(questions[[#This Row],[qno]]),VALUE(stableR[qno]),0))</f>
        <v>About how many coffee trees do you have across all your coffee plots combined?</v>
      </c>
      <c r="I46" s="9" t="b" cm="1">
        <f t="array" ref="I46">INDEX(stable[is_fixed],MATCH(VALUE(questions[[#This Row],[qno]]),VALUE(stable[qno]),0))</f>
        <v>1</v>
      </c>
      <c r="J46" s="9" t="b" cm="1">
        <f t="array" ref="J46">INDEX(stable[is_localized],MATCH(VALUE(questions[[#This Row],[qno]]),VALUE(stable[qno]),0))</f>
        <v>0</v>
      </c>
      <c r="K46" s="9" t="b" cm="1">
        <f t="array" ref="K46">INDEX(stable[is_supply_chain_dependent],MATCH(VALUE(questions[[#This Row],[qno]]),VALUE(stable[qno]),0))</f>
        <v>0</v>
      </c>
      <c r="L46" s="9" t="b" cm="1">
        <f t="array" ref="L46">INDEX(stable[is_mandatory],MATCH(VALUE(questions[[#This Row],[qno]]),VALUE(stable[qno]),0))</f>
        <v>1</v>
      </c>
      <c r="M46" s="9" t="b" cm="1">
        <f t="array" ref="M46">INDEX(stable[is_automated],MATCH(VALUE(questions[[#This Row],[qno]]),VALUE(stable[qno]),0))</f>
        <v>0</v>
      </c>
      <c r="N46" s="9" t="b" cm="1">
        <f t="array" ref="N46">INDEX(stable[is_free_text],MATCH(VALUE(questions[[#This Row],[qno]]),VALUE(stable[qno]),0))</f>
        <v>0</v>
      </c>
      <c r="O46" s="9" t="b" cm="1">
        <f t="array" ref="O46">INDEX(stable[is_numerical],MATCH(VALUE(questions[[#This Row],[qno]]),VALUE(stable[qno]),0))</f>
        <v>1</v>
      </c>
      <c r="P46" s="32" t="b" cm="1">
        <f t="array" ref="P46">INDEX(stable[is_single_select],MATCH(VALUE(questions[[#This Row],[qno]]),VALUE(stable[qno]),0))</f>
        <v>0</v>
      </c>
      <c r="Q46" s="9" t="b" cm="1">
        <f t="array" ref="Q46">INDEX(stable[is_multi_select],MATCH(VALUE(questions[[#This Row],[qno]]),VALUE(stable[qno]),0))</f>
        <v>0</v>
      </c>
      <c r="R46" s="9" t="b" cm="1">
        <f t="array" ref="R46">INDEX(stable[is_skip_logic],MATCH(VALUE(questions[[#This Row],[qno]]),VALUE(stable[qno]),0))</f>
        <v>0</v>
      </c>
      <c r="S46" s="9" t="str">
        <f>_xlfn.TEXTJOIN(", ",TRUE,questions[[#This Row],[ans_opt_1]:[ans_opt_14]])</f>
        <v/>
      </c>
      <c r="AH46" s="16" t="b">
        <f>INDEX(stable[q_standard],MATCH(questions[[#This Row],[qno]],stable[qno],0))</f>
        <v>0</v>
      </c>
      <c r="AI46" s="16" t="b">
        <f>INDEX(stable[q_living_income],MATCH(questions[[#This Row],[qno]],stable[qno],0))</f>
        <v>1</v>
      </c>
      <c r="AJ46" s="16" t="b">
        <f>INDEX(stable[q_carbon],MATCH(questions[[#This Row],[qno]],stable[qno],0))</f>
        <v>1</v>
      </c>
      <c r="AK46" s="16" t="b">
        <f>INDEX(stable[q_regen_ag],MATCH(questions[[#This Row],[qno]],stable[qno],0))</f>
        <v>1</v>
      </c>
      <c r="AL46" s="16" t="b">
        <f>COUNTIFS(stable[qno],questions[[#This Row],[qno]])=1</f>
        <v>1</v>
      </c>
      <c r="AM46" s="16" t="b">
        <f>OR(questions[[#This Row],[is_fixed]],questions[[#This Row],[is_localized]],questions[[#This Row],[is_supply_chain_dependent]])</f>
        <v>1</v>
      </c>
      <c r="AN46" s="16" t="b">
        <f>COUNTIFS(questions[[#This Row],[is_automated]:[is_multi_select]],TRUE)=1</f>
        <v>1</v>
      </c>
      <c r="AO46" s="16" t="b">
        <f>IF(questions[[#This Row],[is_fixed]],questions[[#This Row],[question]]=INDEX(stable[question],MATCH(questions[[#This Row],[qno]],stable[qno],0)),TRUE)</f>
        <v>1</v>
      </c>
      <c r="AP46" s="16" t="str">
        <f>LEFT(questions[[#This Row],[question]],similarity_range)</f>
        <v>Can you estimate how</v>
      </c>
      <c r="AQ46" s="16" t="str">
        <f>LEFT(INDEX(stable[question],MATCH(questions[[#This Row],[qno]],stable[qno],0)),similarity_range)</f>
        <v>Can you estimate how</v>
      </c>
      <c r="AR46" s="16" t="b">
        <f>questions[[#This Row],[question_first_characters]]=questions[[#This Row],[stability_first_characters]]</f>
        <v>1</v>
      </c>
      <c r="AS46" s="16" t="b">
        <f>IF(OR(questions[[#This Row],[is_single_select]],questions[[#This Row],[is_multi_select]]),NOT(ISBLANK(questions[[#This Row],[answer_opt_combined]])),TRUE)</f>
        <v>1</v>
      </c>
    </row>
    <row r="47" spans="1:45" x14ac:dyDescent="0.25">
      <c r="A47" s="9" t="str">
        <f>_xlfn.TEXTJOIN("_",TRUE,questions[[#This Row],[origin]:[qno]])</f>
        <v>Indonesia_Arabica_west_java_impact_4100</v>
      </c>
      <c r="B47" s="9" t="s">
        <v>58</v>
      </c>
      <c r="C47" s="9" t="s">
        <v>59</v>
      </c>
      <c r="D47" s="9" t="s">
        <v>60</v>
      </c>
      <c r="F47" s="9" t="s">
        <v>145</v>
      </c>
      <c r="G47" s="9" t="s">
        <v>146</v>
      </c>
      <c r="H47" s="9" t="str" cm="1">
        <f t="array" ref="H47">INDEX(stableR[question],MATCH(VALUE(questions[[#This Row],[qno]]),VALUE(stableR[qno]),0))</f>
        <v>In total, how many plots with coffee do you have?</v>
      </c>
      <c r="I47" s="9" t="b" cm="1">
        <f t="array" ref="I47">INDEX(stable[is_fixed],MATCH(VALUE(questions[[#This Row],[qno]]),VALUE(stable[qno]),0))</f>
        <v>1</v>
      </c>
      <c r="J47" s="9" t="b" cm="1">
        <f t="array" ref="J47">INDEX(stable[is_localized],MATCH(VALUE(questions[[#This Row],[qno]]),VALUE(stable[qno]),0))</f>
        <v>0</v>
      </c>
      <c r="K47" s="9" t="b" cm="1">
        <f t="array" ref="K47">INDEX(stable[is_supply_chain_dependent],MATCH(VALUE(questions[[#This Row],[qno]]),VALUE(stable[qno]),0))</f>
        <v>0</v>
      </c>
      <c r="L47" s="9" t="b" cm="1">
        <f t="array" ref="L47">INDEX(stable[is_mandatory],MATCH(VALUE(questions[[#This Row],[qno]]),VALUE(stable[qno]),0))</f>
        <v>1</v>
      </c>
      <c r="M47" s="9" t="b" cm="1">
        <f t="array" ref="M47">INDEX(stable[is_automated],MATCH(VALUE(questions[[#This Row],[qno]]),VALUE(stable[qno]),0))</f>
        <v>0</v>
      </c>
      <c r="N47" s="9" t="b" cm="1">
        <f t="array" ref="N47">INDEX(stable[is_free_text],MATCH(VALUE(questions[[#This Row],[qno]]),VALUE(stable[qno]),0))</f>
        <v>0</v>
      </c>
      <c r="O47" s="9" t="b" cm="1">
        <f t="array" ref="O47">INDEX(stable[is_numerical],MATCH(VALUE(questions[[#This Row],[qno]]),VALUE(stable[qno]),0))</f>
        <v>1</v>
      </c>
      <c r="P47" s="32" t="b" cm="1">
        <f t="array" ref="P47">INDEX(stable[is_single_select],MATCH(VALUE(questions[[#This Row],[qno]]),VALUE(stable[qno]),0))</f>
        <v>0</v>
      </c>
      <c r="Q47" s="9" t="b" cm="1">
        <f t="array" ref="Q47">INDEX(stable[is_multi_select],MATCH(VALUE(questions[[#This Row],[qno]]),VALUE(stable[qno]),0))</f>
        <v>0</v>
      </c>
      <c r="R47" s="9" t="b" cm="1">
        <f t="array" ref="R47">INDEX(stable[is_skip_logic],MATCH(VALUE(questions[[#This Row],[qno]]),VALUE(stable[qno]),0))</f>
        <v>0</v>
      </c>
      <c r="S47" s="9" t="str">
        <f>_xlfn.TEXTJOIN(", ",TRUE,questions[[#This Row],[ans_opt_1]:[ans_opt_14]])</f>
        <v/>
      </c>
      <c r="AH47" s="16" t="b">
        <f>INDEX(stable[q_standard],MATCH(questions[[#This Row],[qno]],stable[qno],0))</f>
        <v>0</v>
      </c>
      <c r="AI47" s="16" t="b">
        <f>INDEX(stable[q_living_income],MATCH(questions[[#This Row],[qno]],stable[qno],0))</f>
        <v>1</v>
      </c>
      <c r="AJ47" s="16" t="b">
        <f>INDEX(stable[q_carbon],MATCH(questions[[#This Row],[qno]],stable[qno],0))</f>
        <v>1</v>
      </c>
      <c r="AK47" s="16" t="b">
        <f>INDEX(stable[q_regen_ag],MATCH(questions[[#This Row],[qno]],stable[qno],0))</f>
        <v>1</v>
      </c>
      <c r="AL47" s="16" t="b">
        <f>COUNTIFS(stable[qno],questions[[#This Row],[qno]])=1</f>
        <v>1</v>
      </c>
      <c r="AM47" s="16" t="b">
        <f>OR(questions[[#This Row],[is_fixed]],questions[[#This Row],[is_localized]],questions[[#This Row],[is_supply_chain_dependent]])</f>
        <v>1</v>
      </c>
      <c r="AN47" s="16" t="b">
        <f>COUNTIFS(questions[[#This Row],[is_automated]:[is_multi_select]],TRUE)=1</f>
        <v>1</v>
      </c>
      <c r="AO47" s="16" t="b">
        <f>IF(questions[[#This Row],[is_fixed]],questions[[#This Row],[question]]=INDEX(stable[question],MATCH(questions[[#This Row],[qno]],stable[qno],0)),TRUE)</f>
        <v>1</v>
      </c>
      <c r="AP47" s="16" t="str">
        <f>LEFT(questions[[#This Row],[question]],similarity_range)</f>
        <v>In total, how many p</v>
      </c>
      <c r="AQ47" s="16" t="str">
        <f>LEFT(INDEX(stable[question],MATCH(questions[[#This Row],[qno]],stable[qno],0)),similarity_range)</f>
        <v>In total, how many p</v>
      </c>
      <c r="AR47" s="16" t="b">
        <f>questions[[#This Row],[question_first_characters]]=questions[[#This Row],[stability_first_characters]]</f>
        <v>1</v>
      </c>
      <c r="AS47" s="16" t="b">
        <f>IF(OR(questions[[#This Row],[is_single_select]],questions[[#This Row],[is_multi_select]]),NOT(ISBLANK(questions[[#This Row],[answer_opt_combined]])),TRUE)</f>
        <v>1</v>
      </c>
    </row>
    <row r="48" spans="1:45" s="77" customFormat="1" x14ac:dyDescent="0.25">
      <c r="A48" s="77" t="str">
        <f>_xlfn.TEXTJOIN("_",TRUE,questions[[#This Row],[origin]:[qno]])</f>
        <v>Indonesia_Arabica_west_java_impact_4101</v>
      </c>
      <c r="B48" s="77" t="s">
        <v>58</v>
      </c>
      <c r="C48" s="77" t="s">
        <v>59</v>
      </c>
      <c r="D48" s="77" t="s">
        <v>60</v>
      </c>
      <c r="F48" s="77" t="s">
        <v>147</v>
      </c>
      <c r="G48" s="77" t="s">
        <v>148</v>
      </c>
      <c r="H48" s="9" t="str" cm="1">
        <f t="array" ref="H48">INDEX(stableR[question],MATCH(VALUE(questions[[#This Row],[qno]]),VALUE(stableR[qno]),0))</f>
        <v>Can we go to measure/polygon map (area audit) each of these plots?</v>
      </c>
      <c r="I48" s="9" t="b" cm="1">
        <f t="array" ref="I48">INDEX(stable[is_fixed],MATCH(VALUE(questions[[#This Row],[qno]]),VALUE(stable[qno]),0))</f>
        <v>1</v>
      </c>
      <c r="J48" s="9" t="b" cm="1">
        <f t="array" ref="J48">INDEX(stable[is_localized],MATCH(VALUE(questions[[#This Row],[qno]]),VALUE(stable[qno]),0))</f>
        <v>0</v>
      </c>
      <c r="K48" s="9" t="b" cm="1">
        <f t="array" ref="K48">INDEX(stable[is_supply_chain_dependent],MATCH(VALUE(questions[[#This Row],[qno]]),VALUE(stable[qno]),0))</f>
        <v>0</v>
      </c>
      <c r="L48" s="9" t="b" cm="1">
        <f t="array" ref="L48">INDEX(stable[is_mandatory],MATCH(VALUE(questions[[#This Row],[qno]]),VALUE(stable[qno]),0))</f>
        <v>1</v>
      </c>
      <c r="M48" s="9" t="b" cm="1">
        <f t="array" ref="M48">INDEX(stable[is_automated],MATCH(VALUE(questions[[#This Row],[qno]]),VALUE(stable[qno]),0))</f>
        <v>0</v>
      </c>
      <c r="N48" s="9" t="b" cm="1">
        <f t="array" ref="N48">INDEX(stable[is_free_text],MATCH(VALUE(questions[[#This Row],[qno]]),VALUE(stable[qno]),0))</f>
        <v>0</v>
      </c>
      <c r="O48" s="9" t="b" cm="1">
        <f t="array" ref="O48">INDEX(stable[is_numerical],MATCH(VALUE(questions[[#This Row],[qno]]),VALUE(stable[qno]),0))</f>
        <v>0</v>
      </c>
      <c r="P48" s="103" t="b" cm="1">
        <f t="array" ref="P48">INDEX(stable[is_single_select],MATCH(VALUE(questions[[#This Row],[qno]]),VALUE(stable[qno]),0))</f>
        <v>1</v>
      </c>
      <c r="Q48" s="77" t="b" cm="1">
        <f t="array" ref="Q48">INDEX(stable[is_multi_select],MATCH(VALUE(questions[[#This Row],[qno]]),VALUE(stable[qno]),0))</f>
        <v>0</v>
      </c>
      <c r="R48" s="77" t="b" cm="1">
        <f t="array" ref="R48">INDEX(stable[is_skip_logic],MATCH(VALUE(questions[[#This Row],[qno]]),VALUE(stable[qno]),0))</f>
        <v>1</v>
      </c>
      <c r="S48" s="77" t="str">
        <f>_xlfn.TEXTJOIN(", ",TRUE,questions[[#This Row],[ans_opt_1]:[ans_opt_14]])</f>
        <v>Yes, No</v>
      </c>
      <c r="T48" s="77" t="s">
        <v>149</v>
      </c>
      <c r="U48" s="77" t="s">
        <v>119</v>
      </c>
      <c r="AH48" s="98" t="b">
        <f>INDEX(stable[q_standard],MATCH(questions[[#This Row],[qno]],stable[qno],0))</f>
        <v>0</v>
      </c>
      <c r="AI48" s="98" t="b">
        <f>INDEX(stable[q_living_income],MATCH(questions[[#This Row],[qno]],stable[qno],0))</f>
        <v>1</v>
      </c>
      <c r="AJ48" s="98" t="b">
        <f>INDEX(stable[q_carbon],MATCH(questions[[#This Row],[qno]],stable[qno],0))</f>
        <v>1</v>
      </c>
      <c r="AK48" s="98" t="b">
        <f>INDEX(stable[q_regen_ag],MATCH(questions[[#This Row],[qno]],stable[qno],0))</f>
        <v>1</v>
      </c>
      <c r="AL48" s="98" t="b">
        <f>COUNTIFS(stable[qno],questions[[#This Row],[qno]])=1</f>
        <v>1</v>
      </c>
      <c r="AM48" s="98" t="b">
        <f>OR(questions[[#This Row],[is_fixed]],questions[[#This Row],[is_localized]],questions[[#This Row],[is_supply_chain_dependent]])</f>
        <v>1</v>
      </c>
      <c r="AN48" s="98" t="b">
        <f>COUNTIFS(questions[[#This Row],[is_automated]:[is_multi_select]],TRUE)=1</f>
        <v>1</v>
      </c>
      <c r="AO48" s="98" t="b">
        <f>IF(questions[[#This Row],[is_fixed]],questions[[#This Row],[question]]=INDEX(stable[question],MATCH(questions[[#This Row],[qno]],stable[qno],0)),TRUE)</f>
        <v>1</v>
      </c>
      <c r="AP48" s="98" t="str">
        <f>LEFT(questions[[#This Row],[question]],similarity_range)</f>
        <v>Can we go to measure</v>
      </c>
      <c r="AQ48" s="98" t="str">
        <f>LEFT(INDEX(stable[question],MATCH(questions[[#This Row],[qno]],stable[qno],0)),similarity_range)</f>
        <v>Can we go to measure</v>
      </c>
      <c r="AR48" s="98" t="b">
        <f>questions[[#This Row],[question_first_characters]]=questions[[#This Row],[stability_first_characters]]</f>
        <v>1</v>
      </c>
      <c r="AS48" s="98" t="b">
        <f>IF(OR(questions[[#This Row],[is_single_select]],questions[[#This Row],[is_multi_select]]),NOT(ISBLANK(questions[[#This Row],[answer_opt_combined]])),TRUE)</f>
        <v>1</v>
      </c>
    </row>
    <row r="49" spans="1:45" s="77" customFormat="1" x14ac:dyDescent="0.25">
      <c r="A49" s="77" t="str">
        <f>_xlfn.TEXTJOIN("_",TRUE,questions[[#This Row],[origin]:[qno]])</f>
        <v>Indonesia_Arabica_west_java_impact_4102</v>
      </c>
      <c r="B49" s="77" t="s">
        <v>58</v>
      </c>
      <c r="C49" s="77" t="s">
        <v>59</v>
      </c>
      <c r="D49" s="77" t="s">
        <v>60</v>
      </c>
      <c r="F49" s="77" t="s">
        <v>150</v>
      </c>
      <c r="G49" s="77" t="s">
        <v>151</v>
      </c>
      <c r="H49" s="9" t="str" cm="1">
        <f t="array" ref="H49">INDEX(stableR[question],MATCH(VALUE(questions[[#This Row],[qno]]),VALUE(stableR[qno]),0))</f>
        <v>If No, what is the reason why we cannot visit this/these plot (s) to measure/polygon map it/them?</v>
      </c>
      <c r="I49" s="9" t="b" cm="1">
        <f t="array" ref="I49">INDEX(stable[is_fixed],MATCH(VALUE(questions[[#This Row],[qno]]),VALUE(stable[qno]),0))</f>
        <v>1</v>
      </c>
      <c r="J49" s="9" t="b" cm="1">
        <f t="array" ref="J49">INDEX(stable[is_localized],MATCH(VALUE(questions[[#This Row],[qno]]),VALUE(stable[qno]),0))</f>
        <v>0</v>
      </c>
      <c r="K49" s="9" t="b" cm="1">
        <f t="array" ref="K49">INDEX(stable[is_supply_chain_dependent],MATCH(VALUE(questions[[#This Row],[qno]]),VALUE(stable[qno]),0))</f>
        <v>0</v>
      </c>
      <c r="L49" s="9" t="b" cm="1">
        <f t="array" ref="L49">INDEX(stable[is_mandatory],MATCH(VALUE(questions[[#This Row],[qno]]),VALUE(stable[qno]),0))</f>
        <v>0</v>
      </c>
      <c r="M49" s="9" t="b" cm="1">
        <f t="array" ref="M49">INDEX(stable[is_automated],MATCH(VALUE(questions[[#This Row],[qno]]),VALUE(stable[qno]),0))</f>
        <v>0</v>
      </c>
      <c r="N49" s="9" t="b" cm="1">
        <f t="array" ref="N49">INDEX(stable[is_free_text],MATCH(VALUE(questions[[#This Row],[qno]]),VALUE(stable[qno]),0))</f>
        <v>0</v>
      </c>
      <c r="O49" s="9" t="b" cm="1">
        <f t="array" ref="O49">INDEX(stable[is_numerical],MATCH(VALUE(questions[[#This Row],[qno]]),VALUE(stable[qno]),0))</f>
        <v>0</v>
      </c>
      <c r="P49" s="103" t="b" cm="1">
        <f t="array" ref="P49">INDEX(stable[is_single_select],MATCH(VALUE(questions[[#This Row],[qno]]),VALUE(stable[qno]),0))</f>
        <v>1</v>
      </c>
      <c r="Q49" s="77" t="b" cm="1">
        <f t="array" ref="Q49">INDEX(stable[is_multi_select],MATCH(VALUE(questions[[#This Row],[qno]]),VALUE(stable[qno]),0))</f>
        <v>0</v>
      </c>
      <c r="R49" s="77" t="b" cm="1">
        <f t="array" ref="R49">INDEX(stable[is_skip_logic],MATCH(VALUE(questions[[#This Row],[qno]]),VALUE(stable[qno]),0))</f>
        <v>1</v>
      </c>
      <c r="S49" s="77" t="str">
        <f>_xlfn.TEXTJOIN(", ",TRUE,questions[[#This Row],[ans_opt_1]:[ans_opt_14]])</f>
        <v>Too far, Farmer not willing, Other reason</v>
      </c>
      <c r="T49" s="77" t="s">
        <v>152</v>
      </c>
      <c r="U49" s="77" t="s">
        <v>153</v>
      </c>
      <c r="V49" s="77" t="s">
        <v>154</v>
      </c>
      <c r="AH49" s="98" t="b">
        <f>INDEX(stable[q_standard],MATCH(questions[[#This Row],[qno]],stable[qno],0))</f>
        <v>0</v>
      </c>
      <c r="AI49" s="98" t="b">
        <f>INDEX(stable[q_living_income],MATCH(questions[[#This Row],[qno]],stable[qno],0))</f>
        <v>1</v>
      </c>
      <c r="AJ49" s="98" t="b">
        <f>INDEX(stable[q_carbon],MATCH(questions[[#This Row],[qno]],stable[qno],0))</f>
        <v>1</v>
      </c>
      <c r="AK49" s="98" t="b">
        <f>INDEX(stable[q_regen_ag],MATCH(questions[[#This Row],[qno]],stable[qno],0))</f>
        <v>1</v>
      </c>
      <c r="AL49" s="98" t="b">
        <f>COUNTIFS(stable[qno],questions[[#This Row],[qno]])=1</f>
        <v>1</v>
      </c>
      <c r="AM49" s="98" t="b">
        <f>OR(questions[[#This Row],[is_fixed]],questions[[#This Row],[is_localized]],questions[[#This Row],[is_supply_chain_dependent]])</f>
        <v>1</v>
      </c>
      <c r="AN49" s="98" t="b">
        <f>COUNTIFS(questions[[#This Row],[is_automated]:[is_multi_select]],TRUE)=1</f>
        <v>1</v>
      </c>
      <c r="AO49" s="98" t="b">
        <f>IF(questions[[#This Row],[is_fixed]],questions[[#This Row],[question]]=INDEX(stable[question],MATCH(questions[[#This Row],[qno]],stable[qno],0)),TRUE)</f>
        <v>1</v>
      </c>
      <c r="AP49" s="98" t="str">
        <f>LEFT(questions[[#This Row],[question]],similarity_range)</f>
        <v>If no, what is the r</v>
      </c>
      <c r="AQ49" s="98" t="str">
        <f>LEFT(INDEX(stable[question],MATCH(questions[[#This Row],[qno]],stable[qno],0)),similarity_range)</f>
        <v>If no, what is the r</v>
      </c>
      <c r="AR49" s="98" t="b">
        <f>questions[[#This Row],[question_first_characters]]=questions[[#This Row],[stability_first_characters]]</f>
        <v>1</v>
      </c>
      <c r="AS49" s="98" t="b">
        <f>IF(OR(questions[[#This Row],[is_single_select]],questions[[#This Row],[is_multi_select]]),NOT(ISBLANK(questions[[#This Row],[answer_opt_combined]])),TRUE)</f>
        <v>1</v>
      </c>
    </row>
    <row r="50" spans="1:45" x14ac:dyDescent="0.25">
      <c r="A50" s="9" t="str">
        <f>_xlfn.TEXTJOIN("_",TRUE,questions[[#This Row],[origin]:[qno]])</f>
        <v>Indonesia_Arabica_west_java_impact_4103</v>
      </c>
      <c r="B50" s="9" t="s">
        <v>58</v>
      </c>
      <c r="C50" s="9" t="s">
        <v>59</v>
      </c>
      <c r="D50" s="9" t="s">
        <v>60</v>
      </c>
      <c r="F50" s="9" t="s">
        <v>155</v>
      </c>
      <c r="G50" s="9" t="s">
        <v>156</v>
      </c>
      <c r="H50" s="9" t="str" cm="1">
        <f t="array" ref="H50">INDEX(stableR[question],MATCH(VALUE(questions[[#This Row],[qno]]),VALUE(stableR[qno]),0))</f>
        <v>Of your total coffee plots, how many cannot be visited during the survey?</v>
      </c>
      <c r="I50" s="9" t="b" cm="1">
        <f t="array" ref="I50">INDEX(stable[is_fixed],MATCH(VALUE(questions[[#This Row],[qno]]),VALUE(stable[qno]),0))</f>
        <v>1</v>
      </c>
      <c r="J50" s="9" t="b" cm="1">
        <f t="array" ref="J50">INDEX(stable[is_localized],MATCH(VALUE(questions[[#This Row],[qno]]),VALUE(stable[qno]),0))</f>
        <v>0</v>
      </c>
      <c r="K50" s="9" t="b" cm="1">
        <f t="array" ref="K50">INDEX(stable[is_supply_chain_dependent],MATCH(VALUE(questions[[#This Row],[qno]]),VALUE(stable[qno]),0))</f>
        <v>0</v>
      </c>
      <c r="L50" s="9" t="b" cm="1">
        <f t="array" ref="L50">INDEX(stable[is_mandatory],MATCH(VALUE(questions[[#This Row],[qno]]),VALUE(stable[qno]),0))</f>
        <v>0</v>
      </c>
      <c r="M50" s="9" t="b" cm="1">
        <f t="array" ref="M50">INDEX(stable[is_automated],MATCH(VALUE(questions[[#This Row],[qno]]),VALUE(stable[qno]),0))</f>
        <v>0</v>
      </c>
      <c r="N50" s="9" t="b" cm="1">
        <f t="array" ref="N50">INDEX(stable[is_free_text],MATCH(VALUE(questions[[#This Row],[qno]]),VALUE(stable[qno]),0))</f>
        <v>0</v>
      </c>
      <c r="O50" s="9" t="b" cm="1">
        <f t="array" ref="O50">INDEX(stable[is_numerical],MATCH(VALUE(questions[[#This Row],[qno]]),VALUE(stable[qno]),0))</f>
        <v>1</v>
      </c>
      <c r="P50" s="32" t="b" cm="1">
        <f t="array" ref="P50">INDEX(stable[is_single_select],MATCH(VALUE(questions[[#This Row],[qno]]),VALUE(stable[qno]),0))</f>
        <v>0</v>
      </c>
      <c r="Q50" s="9" t="b" cm="1">
        <f t="array" ref="Q50">INDEX(stable[is_multi_select],MATCH(VALUE(questions[[#This Row],[qno]]),VALUE(stable[qno]),0))</f>
        <v>0</v>
      </c>
      <c r="R50" s="9" t="b" cm="1">
        <f t="array" ref="R50">INDEX(stable[is_skip_logic],MATCH(VALUE(questions[[#This Row],[qno]]),VALUE(stable[qno]),0))</f>
        <v>0</v>
      </c>
      <c r="S50" s="9" t="str">
        <f>_xlfn.TEXTJOIN(", ",TRUE,questions[[#This Row],[ans_opt_1]:[ans_opt_14]])</f>
        <v/>
      </c>
      <c r="AH50" s="16" t="b">
        <f>INDEX(stable[q_standard],MATCH(questions[[#This Row],[qno]],stable[qno],0))</f>
        <v>0</v>
      </c>
      <c r="AI50" s="16" t="b">
        <f>INDEX(stable[q_living_income],MATCH(questions[[#This Row],[qno]],stable[qno],0))</f>
        <v>1</v>
      </c>
      <c r="AJ50" s="16" t="b">
        <f>INDEX(stable[q_carbon],MATCH(questions[[#This Row],[qno]],stable[qno],0))</f>
        <v>1</v>
      </c>
      <c r="AK50" s="16" t="b">
        <f>INDEX(stable[q_regen_ag],MATCH(questions[[#This Row],[qno]],stable[qno],0))</f>
        <v>1</v>
      </c>
      <c r="AL50" s="16" t="b">
        <f>COUNTIFS(stable[qno],questions[[#This Row],[qno]])=1</f>
        <v>1</v>
      </c>
      <c r="AM50" s="16" t="b">
        <f>OR(questions[[#This Row],[is_fixed]],questions[[#This Row],[is_localized]],questions[[#This Row],[is_supply_chain_dependent]])</f>
        <v>1</v>
      </c>
      <c r="AN50" s="16" t="b">
        <f>COUNTIFS(questions[[#This Row],[is_automated]:[is_multi_select]],TRUE)=1</f>
        <v>1</v>
      </c>
      <c r="AO50" s="16" t="b">
        <f>IF(questions[[#This Row],[is_fixed]],questions[[#This Row],[question]]=INDEX(stable[question],MATCH(questions[[#This Row],[qno]],stable[qno],0)),TRUE)</f>
        <v>1</v>
      </c>
      <c r="AP50" s="16" t="str">
        <f>LEFT(questions[[#This Row],[question]],similarity_range)</f>
        <v>How many coffee plot</v>
      </c>
      <c r="AQ50" s="16" t="str">
        <f>LEFT(INDEX(stable[question],MATCH(questions[[#This Row],[qno]],stable[qno],0)),similarity_range)</f>
        <v>How many coffee plot</v>
      </c>
      <c r="AR50" s="16" t="b">
        <f>questions[[#This Row],[question_first_characters]]=questions[[#This Row],[stability_first_characters]]</f>
        <v>1</v>
      </c>
      <c r="AS50" s="16" t="b">
        <f>IF(OR(questions[[#This Row],[is_single_select]],questions[[#This Row],[is_multi_select]]),NOT(ISBLANK(questions[[#This Row],[answer_opt_combined]])),TRUE)</f>
        <v>1</v>
      </c>
    </row>
    <row r="51" spans="1:45" x14ac:dyDescent="0.25">
      <c r="A51" s="9" t="str">
        <f>_xlfn.TEXTJOIN("_",TRUE,questions[[#This Row],[origin]:[qno]])</f>
        <v>Indonesia_Arabica_west_java_impact_4104</v>
      </c>
      <c r="B51" s="9" t="s">
        <v>58</v>
      </c>
      <c r="C51" s="9" t="s">
        <v>59</v>
      </c>
      <c r="D51" s="9" t="s">
        <v>60</v>
      </c>
      <c r="F51" s="9" t="s">
        <v>157</v>
      </c>
      <c r="G51" s="9" t="s">
        <v>158</v>
      </c>
      <c r="H51" s="9" t="str" cm="1">
        <f t="array" ref="H51">INDEX(stableR[question],MATCH(VALUE(questions[[#This Row],[qno]]),VALUE(stableR[qno]),0))</f>
        <v>Of the coffee plots that cannot be visited, what is the total area of these plots? (in acres)</v>
      </c>
      <c r="I51" s="9" t="b" cm="1">
        <f t="array" ref="I51">INDEX(stable[is_fixed],MATCH(VALUE(questions[[#This Row],[qno]]),VALUE(stable[qno]),0))</f>
        <v>1</v>
      </c>
      <c r="J51" s="9" t="b" cm="1">
        <f t="array" ref="J51">INDEX(stable[is_localized],MATCH(VALUE(questions[[#This Row],[qno]]),VALUE(stable[qno]),0))</f>
        <v>0</v>
      </c>
      <c r="K51" s="9" t="b" cm="1">
        <f t="array" ref="K51">INDEX(stable[is_supply_chain_dependent],MATCH(VALUE(questions[[#This Row],[qno]]),VALUE(stable[qno]),0))</f>
        <v>0</v>
      </c>
      <c r="L51" s="9" t="b" cm="1">
        <f t="array" ref="L51">INDEX(stable[is_mandatory],MATCH(VALUE(questions[[#This Row],[qno]]),VALUE(stable[qno]),0))</f>
        <v>0</v>
      </c>
      <c r="M51" s="9" t="b" cm="1">
        <f t="array" ref="M51">INDEX(stable[is_automated],MATCH(VALUE(questions[[#This Row],[qno]]),VALUE(stable[qno]),0))</f>
        <v>0</v>
      </c>
      <c r="N51" s="9" t="b" cm="1">
        <f t="array" ref="N51">INDEX(stable[is_free_text],MATCH(VALUE(questions[[#This Row],[qno]]),VALUE(stable[qno]),0))</f>
        <v>0</v>
      </c>
      <c r="O51" s="9" t="b" cm="1">
        <f t="array" ref="O51">INDEX(stable[is_numerical],MATCH(VALUE(questions[[#This Row],[qno]]),VALUE(stable[qno]),0))</f>
        <v>1</v>
      </c>
      <c r="P51" s="32" t="b" cm="1">
        <f t="array" ref="P51">INDEX(stable[is_single_select],MATCH(VALUE(questions[[#This Row],[qno]]),VALUE(stable[qno]),0))</f>
        <v>0</v>
      </c>
      <c r="Q51" s="9" t="b" cm="1">
        <f t="array" ref="Q51">INDEX(stable[is_multi_select],MATCH(VALUE(questions[[#This Row],[qno]]),VALUE(stable[qno]),0))</f>
        <v>0</v>
      </c>
      <c r="R51" s="9" t="b" cm="1">
        <f t="array" ref="R51">INDEX(stable[is_skip_logic],MATCH(VALUE(questions[[#This Row],[qno]]),VALUE(stable[qno]),0))</f>
        <v>0</v>
      </c>
      <c r="S51" s="9" t="str">
        <f>_xlfn.TEXTJOIN(", ",TRUE,questions[[#This Row],[ans_opt_1]:[ans_opt_14]])</f>
        <v/>
      </c>
      <c r="AH51" s="16" t="b">
        <f>INDEX(stable[q_standard],MATCH(questions[[#This Row],[qno]],stable[qno],0))</f>
        <v>0</v>
      </c>
      <c r="AI51" s="16" t="b">
        <f>INDEX(stable[q_living_income],MATCH(questions[[#This Row],[qno]],stable[qno],0))</f>
        <v>1</v>
      </c>
      <c r="AJ51" s="16" t="b">
        <f>INDEX(stable[q_carbon],MATCH(questions[[#This Row],[qno]],stable[qno],0))</f>
        <v>1</v>
      </c>
      <c r="AK51" s="16" t="b">
        <f>INDEX(stable[q_regen_ag],MATCH(questions[[#This Row],[qno]],stable[qno],0))</f>
        <v>1</v>
      </c>
      <c r="AL51" s="16" t="b">
        <f>COUNTIFS(stable[qno],questions[[#This Row],[qno]])=1</f>
        <v>1</v>
      </c>
      <c r="AM51" s="16" t="b">
        <f>OR(questions[[#This Row],[is_fixed]],questions[[#This Row],[is_localized]],questions[[#This Row],[is_supply_chain_dependent]])</f>
        <v>1</v>
      </c>
      <c r="AN51" s="16" t="b">
        <f>COUNTIFS(questions[[#This Row],[is_automated]:[is_multi_select]],TRUE)=1</f>
        <v>1</v>
      </c>
      <c r="AO51" s="16" t="b">
        <f>IF(questions[[#This Row],[is_fixed]],questions[[#This Row],[question]]=INDEX(stable[question],MATCH(questions[[#This Row],[qno]],stable[qno],0)),TRUE)</f>
        <v>1</v>
      </c>
      <c r="AP51" s="16" t="str">
        <f>LEFT(questions[[#This Row],[question]],similarity_range)</f>
        <v>What is the total ar</v>
      </c>
      <c r="AQ51" s="16" t="str">
        <f>LEFT(INDEX(stable[question],MATCH(questions[[#This Row],[qno]],stable[qno],0)),similarity_range)</f>
        <v>What is the total ar</v>
      </c>
      <c r="AR51" s="16" t="b">
        <f>questions[[#This Row],[question_first_characters]]=questions[[#This Row],[stability_first_characters]]</f>
        <v>1</v>
      </c>
      <c r="AS51" s="16" t="b">
        <f>IF(OR(questions[[#This Row],[is_single_select]],questions[[#This Row],[is_multi_select]]),NOT(ISBLANK(questions[[#This Row],[answer_opt_combined]])),TRUE)</f>
        <v>1</v>
      </c>
    </row>
    <row r="52" spans="1:45" s="77" customFormat="1" x14ac:dyDescent="0.25">
      <c r="A52" s="77" t="str">
        <f>_xlfn.TEXTJOIN("_",TRUE,questions[[#This Row],[origin]:[qno]])</f>
        <v>Indonesia_Arabica_west_java_impact_5000</v>
      </c>
      <c r="B52" s="77" t="s">
        <v>58</v>
      </c>
      <c r="C52" s="77" t="s">
        <v>59</v>
      </c>
      <c r="D52" s="77" t="s">
        <v>60</v>
      </c>
      <c r="F52" s="77" t="s">
        <v>159</v>
      </c>
      <c r="G52" s="77" t="s">
        <v>160</v>
      </c>
      <c r="H52" s="9" t="str" cm="1">
        <f t="array" ref="H52">INDEX(stableR[question],MATCH(VALUE(questions[[#This Row],[qno]]),VALUE(stableR[qno]),0))</f>
        <v>Did you use synthetic fertilizers for your coffee last year?</v>
      </c>
      <c r="I52" s="9" t="b" cm="1">
        <f t="array" ref="I52">INDEX(stable[is_fixed],MATCH(VALUE(questions[[#This Row],[qno]]),VALUE(stable[qno]),0))</f>
        <v>1</v>
      </c>
      <c r="J52" s="9" t="b" cm="1">
        <f t="array" ref="J52">INDEX(stable[is_localized],MATCH(VALUE(questions[[#This Row],[qno]]),VALUE(stable[qno]),0))</f>
        <v>0</v>
      </c>
      <c r="K52" s="9" t="b" cm="1">
        <f t="array" ref="K52">INDEX(stable[is_supply_chain_dependent],MATCH(VALUE(questions[[#This Row],[qno]]),VALUE(stable[qno]),0))</f>
        <v>0</v>
      </c>
      <c r="L52" s="9" t="b" cm="1">
        <f t="array" ref="L52">INDEX(stable[is_mandatory],MATCH(VALUE(questions[[#This Row],[qno]]),VALUE(stable[qno]),0))</f>
        <v>1</v>
      </c>
      <c r="M52" s="9" t="b" cm="1">
        <f t="array" ref="M52">INDEX(stable[is_automated],MATCH(VALUE(questions[[#This Row],[qno]]),VALUE(stable[qno]),0))</f>
        <v>0</v>
      </c>
      <c r="N52" s="9" t="b" cm="1">
        <f t="array" ref="N52">INDEX(stable[is_free_text],MATCH(VALUE(questions[[#This Row],[qno]]),VALUE(stable[qno]),0))</f>
        <v>0</v>
      </c>
      <c r="O52" s="9" t="b" cm="1">
        <f t="array" ref="O52">INDEX(stable[is_numerical],MATCH(VALUE(questions[[#This Row],[qno]]),VALUE(stable[qno]),0))</f>
        <v>0</v>
      </c>
      <c r="P52" s="103" t="b" cm="1">
        <f t="array" ref="P52">INDEX(stable[is_single_select],MATCH(VALUE(questions[[#This Row],[qno]]),VALUE(stable[qno]),0))</f>
        <v>1</v>
      </c>
      <c r="Q52" s="77" t="b" cm="1">
        <f t="array" ref="Q52">INDEX(stable[is_multi_select],MATCH(VALUE(questions[[#This Row],[qno]]),VALUE(stable[qno]),0))</f>
        <v>0</v>
      </c>
      <c r="R52" s="77" t="b" cm="1">
        <f t="array" ref="R52">INDEX(stable[is_skip_logic],MATCH(VALUE(questions[[#This Row],[qno]]),VALUE(stable[qno]),0))</f>
        <v>1</v>
      </c>
      <c r="S52" s="77" t="str">
        <f>_xlfn.TEXTJOIN(", ",TRUE,questions[[#This Row],[ans_opt_1]:[ans_opt_14]])</f>
        <v>Yes, No</v>
      </c>
      <c r="T52" s="77" t="s">
        <v>149</v>
      </c>
      <c r="U52" s="77" t="s">
        <v>119</v>
      </c>
      <c r="AH52" s="98" t="b">
        <f>INDEX(stable[q_standard],MATCH(questions[[#This Row],[qno]],stable[qno],0))</f>
        <v>0</v>
      </c>
      <c r="AI52" s="98" t="b">
        <f>INDEX(stable[q_living_income],MATCH(questions[[#This Row],[qno]],stable[qno],0))</f>
        <v>1</v>
      </c>
      <c r="AJ52" s="98" t="b">
        <f>INDEX(stable[q_carbon],MATCH(questions[[#This Row],[qno]],stable[qno],0))</f>
        <v>1</v>
      </c>
      <c r="AK52" s="98" t="b">
        <f>INDEX(stable[q_regen_ag],MATCH(questions[[#This Row],[qno]],stable[qno],0))</f>
        <v>0</v>
      </c>
      <c r="AL52" s="98" t="b">
        <f>COUNTIFS(stable[qno],questions[[#This Row],[qno]])=1</f>
        <v>1</v>
      </c>
      <c r="AM52" s="98" t="b">
        <f>OR(questions[[#This Row],[is_fixed]],questions[[#This Row],[is_localized]],questions[[#This Row],[is_supply_chain_dependent]])</f>
        <v>1</v>
      </c>
      <c r="AN52" s="98" t="b">
        <f>COUNTIFS(questions[[#This Row],[is_automated]:[is_multi_select]],TRUE)=1</f>
        <v>1</v>
      </c>
      <c r="AO52" s="98" t="b">
        <f>IF(questions[[#This Row],[is_fixed]],questions[[#This Row],[question]]=INDEX(stable[question],MATCH(questions[[#This Row],[qno]],stable[qno],0)),TRUE)</f>
        <v>1</v>
      </c>
      <c r="AP52" s="98" t="str">
        <f>LEFT(questions[[#This Row],[question]],similarity_range)</f>
        <v>Did you use syntheti</v>
      </c>
      <c r="AQ52" s="98" t="str">
        <f>LEFT(INDEX(stable[question],MATCH(questions[[#This Row],[qno]],stable[qno],0)),similarity_range)</f>
        <v>Did you use syntheti</v>
      </c>
      <c r="AR52" s="98" t="b">
        <f>questions[[#This Row],[question_first_characters]]=questions[[#This Row],[stability_first_characters]]</f>
        <v>1</v>
      </c>
      <c r="AS52" s="98" t="b">
        <f>IF(OR(questions[[#This Row],[is_single_select]],questions[[#This Row],[is_multi_select]]),NOT(ISBLANK(questions[[#This Row],[answer_opt_combined]])),TRUE)</f>
        <v>1</v>
      </c>
    </row>
    <row r="53" spans="1:45" x14ac:dyDescent="0.25">
      <c r="A53" s="9" t="str">
        <f>_xlfn.TEXTJOIN("_",TRUE,questions[[#This Row],[origin]:[qno]])</f>
        <v>Indonesia_Arabica_west_java_impact_5001</v>
      </c>
      <c r="B53" s="9" t="s">
        <v>58</v>
      </c>
      <c r="C53" s="9" t="s">
        <v>59</v>
      </c>
      <c r="D53" s="9" t="s">
        <v>60</v>
      </c>
      <c r="F53" s="9" t="s">
        <v>161</v>
      </c>
      <c r="G53" s="9" t="s">
        <v>162</v>
      </c>
      <c r="H53" s="9" t="str" cm="1">
        <f t="array" ref="H53">INDEX(stableR[question],MATCH(VALUE(questions[[#This Row],[qno]]),VALUE(stableR[qno]),0))</f>
        <v>If yes, how many types of synthetic fertilizer did you use last year?</v>
      </c>
      <c r="I53" s="9" t="b" cm="1">
        <f t="array" ref="I53">INDEX(stable[is_fixed],MATCH(VALUE(questions[[#This Row],[qno]]),VALUE(stable[qno]),0))</f>
        <v>1</v>
      </c>
      <c r="J53" s="9" t="b" cm="1">
        <f t="array" ref="J53">INDEX(stable[is_localized],MATCH(VALUE(questions[[#This Row],[qno]]),VALUE(stable[qno]),0))</f>
        <v>0</v>
      </c>
      <c r="K53" s="9" t="b" cm="1">
        <f t="array" ref="K53">INDEX(stable[is_supply_chain_dependent],MATCH(VALUE(questions[[#This Row],[qno]]),VALUE(stable[qno]),0))</f>
        <v>0</v>
      </c>
      <c r="L53" s="9" t="b" cm="1">
        <f t="array" ref="L53">INDEX(stable[is_mandatory],MATCH(VALUE(questions[[#This Row],[qno]]),VALUE(stable[qno]),0))</f>
        <v>0</v>
      </c>
      <c r="M53" s="9" t="b" cm="1">
        <f t="array" ref="M53">INDEX(stable[is_automated],MATCH(VALUE(questions[[#This Row],[qno]]),VALUE(stable[qno]),0))</f>
        <v>0</v>
      </c>
      <c r="N53" s="9" t="b" cm="1">
        <f t="array" ref="N53">INDEX(stable[is_free_text],MATCH(VALUE(questions[[#This Row],[qno]]),VALUE(stable[qno]),0))</f>
        <v>0</v>
      </c>
      <c r="O53" s="9" t="b" cm="1">
        <f t="array" ref="O53">INDEX(stable[is_numerical],MATCH(VALUE(questions[[#This Row],[qno]]),VALUE(stable[qno]),0))</f>
        <v>1</v>
      </c>
      <c r="P53" s="32" t="b" cm="1">
        <f t="array" ref="P53">INDEX(stable[is_single_select],MATCH(VALUE(questions[[#This Row],[qno]]),VALUE(stable[qno]),0))</f>
        <v>0</v>
      </c>
      <c r="Q53" s="9" t="b" cm="1">
        <f t="array" ref="Q53">INDEX(stable[is_multi_select],MATCH(VALUE(questions[[#This Row],[qno]]),VALUE(stable[qno]),0))</f>
        <v>0</v>
      </c>
      <c r="R53" s="9" t="b" cm="1">
        <f t="array" ref="R53">INDEX(stable[is_skip_logic],MATCH(VALUE(questions[[#This Row],[qno]]),VALUE(stable[qno]),0))</f>
        <v>1</v>
      </c>
      <c r="S53" s="9" t="str">
        <f>_xlfn.TEXTJOIN(", ",TRUE,questions[[#This Row],[ans_opt_1]:[ans_opt_14]])</f>
        <v/>
      </c>
      <c r="AH53" s="16" t="b">
        <f>INDEX(stable[q_standard],MATCH(questions[[#This Row],[qno]],stable[qno],0))</f>
        <v>0</v>
      </c>
      <c r="AI53" s="16" t="b">
        <f>INDEX(stable[q_living_income],MATCH(questions[[#This Row],[qno]],stable[qno],0))</f>
        <v>1</v>
      </c>
      <c r="AJ53" s="16" t="b">
        <f>INDEX(stable[q_carbon],MATCH(questions[[#This Row],[qno]],stable[qno],0))</f>
        <v>1</v>
      </c>
      <c r="AK53" s="16" t="b">
        <f>INDEX(stable[q_regen_ag],MATCH(questions[[#This Row],[qno]],stable[qno],0))</f>
        <v>0</v>
      </c>
      <c r="AL53" s="16" t="b">
        <f>COUNTIFS(stable[qno],questions[[#This Row],[qno]])=1</f>
        <v>1</v>
      </c>
      <c r="AM53" s="16" t="b">
        <f>OR(questions[[#This Row],[is_fixed]],questions[[#This Row],[is_localized]],questions[[#This Row],[is_supply_chain_dependent]])</f>
        <v>1</v>
      </c>
      <c r="AN53" s="16" t="b">
        <f>COUNTIFS(questions[[#This Row],[is_automated]:[is_multi_select]],TRUE)=1</f>
        <v>1</v>
      </c>
      <c r="AO53" s="16" t="b">
        <f>IF(questions[[#This Row],[is_fixed]],questions[[#This Row],[question]]=INDEX(stable[question],MATCH(questions[[#This Row],[qno]],stable[qno],0)),TRUE)</f>
        <v>1</v>
      </c>
      <c r="AP53" s="16" t="str">
        <f>LEFT(questions[[#This Row],[question]],similarity_range)</f>
        <v>If yes, how many typ</v>
      </c>
      <c r="AQ53" s="16" t="str">
        <f>LEFT(INDEX(stable[question],MATCH(questions[[#This Row],[qno]],stable[qno],0)),similarity_range)</f>
        <v>If yes, how many typ</v>
      </c>
      <c r="AR53" s="16" t="b">
        <f>questions[[#This Row],[question_first_characters]]=questions[[#This Row],[stability_first_characters]]</f>
        <v>1</v>
      </c>
      <c r="AS53" s="16" t="b">
        <f>IF(OR(questions[[#This Row],[is_single_select]],questions[[#This Row],[is_multi_select]]),NOT(ISBLANK(questions[[#This Row],[answer_opt_combined]])),TRUE)</f>
        <v>1</v>
      </c>
    </row>
    <row r="54" spans="1:45" x14ac:dyDescent="0.25">
      <c r="A54" s="9" t="str">
        <f>_xlfn.TEXTJOIN("_",TRUE,questions[[#This Row],[origin]:[qno]])</f>
        <v>Indonesia_Arabica_west_java_impact_5100</v>
      </c>
      <c r="B54" s="9" t="s">
        <v>58</v>
      </c>
      <c r="C54" s="9" t="s">
        <v>59</v>
      </c>
      <c r="D54" s="9" t="s">
        <v>60</v>
      </c>
      <c r="F54" s="9" t="s">
        <v>163</v>
      </c>
      <c r="G54" s="9" t="s">
        <v>164</v>
      </c>
      <c r="H54" s="9" t="str" cm="1">
        <f t="array" ref="H54">INDEX(stableR[question],MATCH(VALUE(questions[[#This Row],[qno]]),VALUE(stableR[qno]),0))</f>
        <v>What was the name of the synthetic fertilizer that you used most, last year?</v>
      </c>
      <c r="I54" s="9" t="b" cm="1">
        <f t="array" ref="I54">INDEX(stable[is_fixed],MATCH(VALUE(questions[[#This Row],[qno]]),VALUE(stable[qno]),0))</f>
        <v>0</v>
      </c>
      <c r="J54" s="9" t="b" cm="1">
        <f t="array" ref="J54">INDEX(stable[is_localized],MATCH(VALUE(questions[[#This Row],[qno]]),VALUE(stable[qno]),0))</f>
        <v>1</v>
      </c>
      <c r="K54" s="9" t="b" cm="1">
        <f t="array" ref="K54">INDEX(stable[is_supply_chain_dependent],MATCH(VALUE(questions[[#This Row],[qno]]),VALUE(stable[qno]),0))</f>
        <v>0</v>
      </c>
      <c r="L54" s="9" t="b" cm="1">
        <f t="array" ref="L54">INDEX(stable[is_mandatory],MATCH(VALUE(questions[[#This Row],[qno]]),VALUE(stable[qno]),0))</f>
        <v>0</v>
      </c>
      <c r="M54" s="9" t="b" cm="1">
        <f t="array" ref="M54">INDEX(stable[is_automated],MATCH(VALUE(questions[[#This Row],[qno]]),VALUE(stable[qno]),0))</f>
        <v>0</v>
      </c>
      <c r="N54" s="9" t="b" cm="1">
        <f t="array" ref="N54">INDEX(stable[is_free_text],MATCH(VALUE(questions[[#This Row],[qno]]),VALUE(stable[qno]),0))</f>
        <v>0</v>
      </c>
      <c r="O54" s="9" t="b" cm="1">
        <f t="array" ref="O54">INDEX(stable[is_numerical],MATCH(VALUE(questions[[#This Row],[qno]]),VALUE(stable[qno]),0))</f>
        <v>0</v>
      </c>
      <c r="P54" s="32" t="b" cm="1">
        <f t="array" ref="P54">INDEX(stable[is_single_select],MATCH(VALUE(questions[[#This Row],[qno]]),VALUE(stable[qno]),0))</f>
        <v>1</v>
      </c>
      <c r="Q54" s="9" t="b" cm="1">
        <f t="array" ref="Q54">INDEX(stable[is_multi_select],MATCH(VALUE(questions[[#This Row],[qno]]),VALUE(stable[qno]),0))</f>
        <v>0</v>
      </c>
      <c r="R54" s="9" t="b" cm="1">
        <f t="array" ref="R54">INDEX(stable[is_skip_logic],MATCH(VALUE(questions[[#This Row],[qno]]),VALUE(stable[qno]),0))</f>
        <v>1</v>
      </c>
      <c r="S54" s="9" t="str">
        <f>_xlfn.TEXTJOIN(", ",TRUE,questions[[#This Row],[ans_opt_1]:[ans_opt_14]])</f>
        <v/>
      </c>
      <c r="AH54" s="16" t="b">
        <f>INDEX(stable[q_standard],MATCH(questions[[#This Row],[qno]],stable[qno],0))</f>
        <v>0</v>
      </c>
      <c r="AI54" s="16" t="b">
        <f>INDEX(stable[q_living_income],MATCH(questions[[#This Row],[qno]],stable[qno],0))</f>
        <v>1</v>
      </c>
      <c r="AJ54" s="16" t="b">
        <f>INDEX(stable[q_carbon],MATCH(questions[[#This Row],[qno]],stable[qno],0))</f>
        <v>1</v>
      </c>
      <c r="AK54" s="16" t="b">
        <f>INDEX(stable[q_regen_ag],MATCH(questions[[#This Row],[qno]],stable[qno],0))</f>
        <v>0</v>
      </c>
      <c r="AL54" s="16" t="b">
        <f>COUNTIFS(stable[qno],questions[[#This Row],[qno]])=1</f>
        <v>1</v>
      </c>
      <c r="AM54" s="16" t="b">
        <f>OR(questions[[#This Row],[is_fixed]],questions[[#This Row],[is_localized]],questions[[#This Row],[is_supply_chain_dependent]])</f>
        <v>1</v>
      </c>
      <c r="AN54" s="16" t="b">
        <f>COUNTIFS(questions[[#This Row],[is_automated]:[is_multi_select]],TRUE)=1</f>
        <v>1</v>
      </c>
      <c r="AO54" s="16" t="b">
        <f>IF(questions[[#This Row],[is_fixed]],questions[[#This Row],[question]]=INDEX(stable[question],MATCH(questions[[#This Row],[qno]],stable[qno],0)),TRUE)</f>
        <v>1</v>
      </c>
      <c r="AP54" s="16" t="str">
        <f>LEFT(questions[[#This Row],[question]],similarity_range)</f>
        <v xml:space="preserve">What is the name of </v>
      </c>
      <c r="AQ54" s="16" t="str">
        <f>LEFT(INDEX(stable[question],MATCH(questions[[#This Row],[qno]],stable[qno],0)),similarity_range)</f>
        <v xml:space="preserve">What is the name of </v>
      </c>
      <c r="AR54" s="16" t="b">
        <f>questions[[#This Row],[question_first_characters]]=questions[[#This Row],[stability_first_characters]]</f>
        <v>1</v>
      </c>
      <c r="AS54" s="16" t="b">
        <f>IF(OR(questions[[#This Row],[is_single_select]],questions[[#This Row],[is_multi_select]]),NOT(ISBLANK(questions[[#This Row],[answer_opt_combined]])),TRUE)</f>
        <v>1</v>
      </c>
    </row>
    <row r="55" spans="1:45" x14ac:dyDescent="0.25">
      <c r="A55" s="9" t="str">
        <f>_xlfn.TEXTJOIN("_",TRUE,questions[[#This Row],[origin]:[qno]])</f>
        <v>Indonesia_Arabica_west_java_impact_5101</v>
      </c>
      <c r="B55" s="9" t="s">
        <v>58</v>
      </c>
      <c r="C55" s="9" t="s">
        <v>59</v>
      </c>
      <c r="D55" s="9" t="s">
        <v>60</v>
      </c>
      <c r="F55" s="9" t="s">
        <v>165</v>
      </c>
      <c r="G55" s="9" t="s">
        <v>166</v>
      </c>
      <c r="H55" s="9" t="str" cm="1">
        <f t="array" ref="H55">INDEX(stableR[question],MATCH(VALUE(questions[[#This Row],[qno]]),VALUE(stableR[qno]),0))</f>
        <v>What was the total quantity of the synthetic fertilizer that you used most, last year? (Kg)</v>
      </c>
      <c r="I55" s="9" t="b" cm="1">
        <f t="array" ref="I55">INDEX(stable[is_fixed],MATCH(VALUE(questions[[#This Row],[qno]]),VALUE(stable[qno]),0))</f>
        <v>0</v>
      </c>
      <c r="J55" s="9" t="b" cm="1">
        <f t="array" ref="J55">INDEX(stable[is_localized],MATCH(VALUE(questions[[#This Row],[qno]]),VALUE(stable[qno]),0))</f>
        <v>1</v>
      </c>
      <c r="K55" s="9" t="b" cm="1">
        <f t="array" ref="K55">INDEX(stable[is_supply_chain_dependent],MATCH(VALUE(questions[[#This Row],[qno]]),VALUE(stable[qno]),0))</f>
        <v>0</v>
      </c>
      <c r="L55" s="9" t="b" cm="1">
        <f t="array" ref="L55">INDEX(stable[is_mandatory],MATCH(VALUE(questions[[#This Row],[qno]]),VALUE(stable[qno]),0))</f>
        <v>0</v>
      </c>
      <c r="M55" s="9" t="b" cm="1">
        <f t="array" ref="M55">INDEX(stable[is_automated],MATCH(VALUE(questions[[#This Row],[qno]]),VALUE(stable[qno]),0))</f>
        <v>0</v>
      </c>
      <c r="N55" s="9" t="b" cm="1">
        <f t="array" ref="N55">INDEX(stable[is_free_text],MATCH(VALUE(questions[[#This Row],[qno]]),VALUE(stable[qno]),0))</f>
        <v>0</v>
      </c>
      <c r="O55" s="9" t="b" cm="1">
        <f t="array" ref="O55">INDEX(stable[is_numerical],MATCH(VALUE(questions[[#This Row],[qno]]),VALUE(stable[qno]),0))</f>
        <v>1</v>
      </c>
      <c r="P55" s="32" t="b" cm="1">
        <f t="array" ref="P55">INDEX(stable[is_single_select],MATCH(VALUE(questions[[#This Row],[qno]]),VALUE(stable[qno]),0))</f>
        <v>0</v>
      </c>
      <c r="Q55" s="9" t="b" cm="1">
        <f t="array" ref="Q55">INDEX(stable[is_multi_select],MATCH(VALUE(questions[[#This Row],[qno]]),VALUE(stable[qno]),0))</f>
        <v>0</v>
      </c>
      <c r="R55" s="9" t="b" cm="1">
        <f t="array" ref="R55">INDEX(stable[is_skip_logic],MATCH(VALUE(questions[[#This Row],[qno]]),VALUE(stable[qno]),0))</f>
        <v>1</v>
      </c>
      <c r="S55" s="9" t="str">
        <f>_xlfn.TEXTJOIN(", ",TRUE,questions[[#This Row],[ans_opt_1]:[ans_opt_14]])</f>
        <v/>
      </c>
      <c r="AH55" s="16" t="b">
        <f>INDEX(stable[q_standard],MATCH(questions[[#This Row],[qno]],stable[qno],0))</f>
        <v>0</v>
      </c>
      <c r="AI55" s="16" t="b">
        <f>INDEX(stable[q_living_income],MATCH(questions[[#This Row],[qno]],stable[qno],0))</f>
        <v>1</v>
      </c>
      <c r="AJ55" s="16" t="b">
        <f>INDEX(stable[q_carbon],MATCH(questions[[#This Row],[qno]],stable[qno],0))</f>
        <v>1</v>
      </c>
      <c r="AK55" s="16" t="b">
        <f>INDEX(stable[q_regen_ag],MATCH(questions[[#This Row],[qno]],stable[qno],0))</f>
        <v>0</v>
      </c>
      <c r="AL55" s="16" t="b">
        <f>COUNTIFS(stable[qno],questions[[#This Row],[qno]])=1</f>
        <v>1</v>
      </c>
      <c r="AM55" s="16" t="b">
        <f>OR(questions[[#This Row],[is_fixed]],questions[[#This Row],[is_localized]],questions[[#This Row],[is_supply_chain_dependent]])</f>
        <v>1</v>
      </c>
      <c r="AN55" s="16" t="b">
        <f>COUNTIFS(questions[[#This Row],[is_automated]:[is_multi_select]],TRUE)=1</f>
        <v>1</v>
      </c>
      <c r="AO55" s="16" t="b">
        <f>IF(questions[[#This Row],[is_fixed]],questions[[#This Row],[question]]=INDEX(stable[question],MATCH(questions[[#This Row],[qno]],stable[qno],0)),TRUE)</f>
        <v>1</v>
      </c>
      <c r="AP55" s="16" t="str">
        <f>LEFT(questions[[#This Row],[question]],similarity_range)</f>
        <v>What was the total q</v>
      </c>
      <c r="AQ55" s="16" t="str">
        <f>LEFT(INDEX(stable[question],MATCH(questions[[#This Row],[qno]],stable[qno],0)),similarity_range)</f>
        <v>What was the total q</v>
      </c>
      <c r="AR55" s="16" t="b">
        <f>questions[[#This Row],[question_first_characters]]=questions[[#This Row],[stability_first_characters]]</f>
        <v>1</v>
      </c>
      <c r="AS55" s="16" t="b">
        <f>IF(OR(questions[[#This Row],[is_single_select]],questions[[#This Row],[is_multi_select]]),NOT(ISBLANK(questions[[#This Row],[answer_opt_combined]])),TRUE)</f>
        <v>1</v>
      </c>
    </row>
    <row r="56" spans="1:45" x14ac:dyDescent="0.25">
      <c r="A56" s="9" t="str">
        <f>_xlfn.TEXTJOIN("_",TRUE,questions[[#This Row],[origin]:[qno]])</f>
        <v>Indonesia_Arabica_west_java_impact_5110</v>
      </c>
      <c r="B56" s="9" t="s">
        <v>58</v>
      </c>
      <c r="C56" s="9" t="s">
        <v>59</v>
      </c>
      <c r="D56" s="9" t="s">
        <v>60</v>
      </c>
      <c r="F56" s="9" t="s">
        <v>167</v>
      </c>
      <c r="G56" s="9" t="s">
        <v>168</v>
      </c>
      <c r="H56" s="9" t="str" cm="1">
        <f t="array" ref="H56">INDEX(stableR[question],MATCH(VALUE(questions[[#This Row],[qno]]),VALUE(stableR[qno]),0))</f>
        <v>What was the name of the synthetic fertilizer that you used second most, last year?</v>
      </c>
      <c r="I56" s="9" t="b" cm="1">
        <f t="array" ref="I56">INDEX(stable[is_fixed],MATCH(VALUE(questions[[#This Row],[qno]]),VALUE(stable[qno]),0))</f>
        <v>0</v>
      </c>
      <c r="J56" s="9" t="b" cm="1">
        <f t="array" ref="J56">INDEX(stable[is_localized],MATCH(VALUE(questions[[#This Row],[qno]]),VALUE(stable[qno]),0))</f>
        <v>1</v>
      </c>
      <c r="K56" s="9" t="b" cm="1">
        <f t="array" ref="K56">INDEX(stable[is_supply_chain_dependent],MATCH(VALUE(questions[[#This Row],[qno]]),VALUE(stable[qno]),0))</f>
        <v>0</v>
      </c>
      <c r="L56" s="9" t="b" cm="1">
        <f t="array" ref="L56">INDEX(stable[is_mandatory],MATCH(VALUE(questions[[#This Row],[qno]]),VALUE(stable[qno]),0))</f>
        <v>0</v>
      </c>
      <c r="M56" s="9" t="b" cm="1">
        <f t="array" ref="M56">INDEX(stable[is_automated],MATCH(VALUE(questions[[#This Row],[qno]]),VALUE(stable[qno]),0))</f>
        <v>0</v>
      </c>
      <c r="N56" s="9" t="b" cm="1">
        <f t="array" ref="N56">INDEX(stable[is_free_text],MATCH(VALUE(questions[[#This Row],[qno]]),VALUE(stable[qno]),0))</f>
        <v>0</v>
      </c>
      <c r="O56" s="9" t="b" cm="1">
        <f t="array" ref="O56">INDEX(stable[is_numerical],MATCH(VALUE(questions[[#This Row],[qno]]),VALUE(stable[qno]),0))</f>
        <v>0</v>
      </c>
      <c r="P56" s="32" t="b" cm="1">
        <f t="array" ref="P56">INDEX(stable[is_single_select],MATCH(VALUE(questions[[#This Row],[qno]]),VALUE(stable[qno]),0))</f>
        <v>1</v>
      </c>
      <c r="Q56" s="9" t="b" cm="1">
        <f t="array" ref="Q56">INDEX(stable[is_multi_select],MATCH(VALUE(questions[[#This Row],[qno]]),VALUE(stable[qno]),0))</f>
        <v>0</v>
      </c>
      <c r="R56" s="9" t="b" cm="1">
        <f t="array" ref="R56">INDEX(stable[is_skip_logic],MATCH(VALUE(questions[[#This Row],[qno]]),VALUE(stable[qno]),0))</f>
        <v>1</v>
      </c>
      <c r="S56" s="9" t="str">
        <f>_xlfn.TEXTJOIN(", ",TRUE,questions[[#This Row],[ans_opt_1]:[ans_opt_14]])</f>
        <v/>
      </c>
      <c r="AH56" s="16" t="b">
        <f>INDEX(stable[q_standard],MATCH(questions[[#This Row],[qno]],stable[qno],0))</f>
        <v>0</v>
      </c>
      <c r="AI56" s="16" t="b">
        <f>INDEX(stable[q_living_income],MATCH(questions[[#This Row],[qno]],stable[qno],0))</f>
        <v>1</v>
      </c>
      <c r="AJ56" s="16" t="b">
        <f>INDEX(stable[q_carbon],MATCH(questions[[#This Row],[qno]],stable[qno],0))</f>
        <v>1</v>
      </c>
      <c r="AK56" s="16" t="b">
        <f>INDEX(stable[q_regen_ag],MATCH(questions[[#This Row],[qno]],stable[qno],0))</f>
        <v>0</v>
      </c>
      <c r="AL56" s="16" t="b">
        <f>COUNTIFS(stable[qno],questions[[#This Row],[qno]])=1</f>
        <v>1</v>
      </c>
      <c r="AM56" s="16" t="b">
        <f>OR(questions[[#This Row],[is_fixed]],questions[[#This Row],[is_localized]],questions[[#This Row],[is_supply_chain_dependent]])</f>
        <v>1</v>
      </c>
      <c r="AN56" s="16" t="b">
        <f>COUNTIFS(questions[[#This Row],[is_automated]:[is_multi_select]],TRUE)=1</f>
        <v>1</v>
      </c>
      <c r="AO56" s="16" t="b">
        <f>IF(questions[[#This Row],[is_fixed]],questions[[#This Row],[question]]=INDEX(stable[question],MATCH(questions[[#This Row],[qno]],stable[qno],0)),TRUE)</f>
        <v>1</v>
      </c>
      <c r="AP56" s="16" t="str">
        <f>LEFT(questions[[#This Row],[question]],similarity_range)</f>
        <v xml:space="preserve">What is the name of </v>
      </c>
      <c r="AQ56" s="16" t="str">
        <f>LEFT(INDEX(stable[question],MATCH(questions[[#This Row],[qno]],stable[qno],0)),similarity_range)</f>
        <v xml:space="preserve">What is the name of </v>
      </c>
      <c r="AR56" s="16" t="b">
        <f>questions[[#This Row],[question_first_characters]]=questions[[#This Row],[stability_first_characters]]</f>
        <v>1</v>
      </c>
      <c r="AS56" s="16" t="b">
        <f>IF(OR(questions[[#This Row],[is_single_select]],questions[[#This Row],[is_multi_select]]),NOT(ISBLANK(questions[[#This Row],[answer_opt_combined]])),TRUE)</f>
        <v>1</v>
      </c>
    </row>
    <row r="57" spans="1:45" x14ac:dyDescent="0.25">
      <c r="A57" s="9" t="str">
        <f>_xlfn.TEXTJOIN("_",TRUE,questions[[#This Row],[origin]:[qno]])</f>
        <v>Indonesia_Arabica_west_java_impact_5111</v>
      </c>
      <c r="B57" s="9" t="s">
        <v>58</v>
      </c>
      <c r="C57" s="9" t="s">
        <v>59</v>
      </c>
      <c r="D57" s="9" t="s">
        <v>60</v>
      </c>
      <c r="F57" s="9" t="s">
        <v>169</v>
      </c>
      <c r="G57" s="9" t="s">
        <v>170</v>
      </c>
      <c r="H57" s="9" t="str" cm="1">
        <f t="array" ref="H57">INDEX(stableR[question],MATCH(VALUE(questions[[#This Row],[qno]]),VALUE(stableR[qno]),0))</f>
        <v>What was the total quantity of the synthetic fertilizer that you used second most, last year? (Kg)</v>
      </c>
      <c r="I57" s="9" t="b" cm="1">
        <f t="array" ref="I57">INDEX(stable[is_fixed],MATCH(VALUE(questions[[#This Row],[qno]]),VALUE(stable[qno]),0))</f>
        <v>0</v>
      </c>
      <c r="J57" s="9" t="b" cm="1">
        <f t="array" ref="J57">INDEX(stable[is_localized],MATCH(VALUE(questions[[#This Row],[qno]]),VALUE(stable[qno]),0))</f>
        <v>1</v>
      </c>
      <c r="K57" s="9" t="b" cm="1">
        <f t="array" ref="K57">INDEX(stable[is_supply_chain_dependent],MATCH(VALUE(questions[[#This Row],[qno]]),VALUE(stable[qno]),0))</f>
        <v>0</v>
      </c>
      <c r="L57" s="9" t="b" cm="1">
        <f t="array" ref="L57">INDEX(stable[is_mandatory],MATCH(VALUE(questions[[#This Row],[qno]]),VALUE(stable[qno]),0))</f>
        <v>0</v>
      </c>
      <c r="M57" s="9" t="b" cm="1">
        <f t="array" ref="M57">INDEX(stable[is_automated],MATCH(VALUE(questions[[#This Row],[qno]]),VALUE(stable[qno]),0))</f>
        <v>0</v>
      </c>
      <c r="N57" s="9" t="b" cm="1">
        <f t="array" ref="N57">INDEX(stable[is_free_text],MATCH(VALUE(questions[[#This Row],[qno]]),VALUE(stable[qno]),0))</f>
        <v>0</v>
      </c>
      <c r="O57" s="9" t="b" cm="1">
        <f t="array" ref="O57">INDEX(stable[is_numerical],MATCH(VALUE(questions[[#This Row],[qno]]),VALUE(stable[qno]),0))</f>
        <v>1</v>
      </c>
      <c r="P57" s="32" t="b" cm="1">
        <f t="array" ref="P57">INDEX(stable[is_single_select],MATCH(VALUE(questions[[#This Row],[qno]]),VALUE(stable[qno]),0))</f>
        <v>0</v>
      </c>
      <c r="Q57" s="9" t="b" cm="1">
        <f t="array" ref="Q57">INDEX(stable[is_multi_select],MATCH(VALUE(questions[[#This Row],[qno]]),VALUE(stable[qno]),0))</f>
        <v>0</v>
      </c>
      <c r="R57" s="9" t="b" cm="1">
        <f t="array" ref="R57">INDEX(stable[is_skip_logic],MATCH(VALUE(questions[[#This Row],[qno]]),VALUE(stable[qno]),0))</f>
        <v>1</v>
      </c>
      <c r="S57" s="9" t="str">
        <f>_xlfn.TEXTJOIN(", ",TRUE,questions[[#This Row],[ans_opt_1]:[ans_opt_14]])</f>
        <v/>
      </c>
      <c r="AH57" s="16" t="b">
        <f>INDEX(stable[q_standard],MATCH(questions[[#This Row],[qno]],stable[qno],0))</f>
        <v>0</v>
      </c>
      <c r="AI57" s="16" t="b">
        <f>INDEX(stable[q_living_income],MATCH(questions[[#This Row],[qno]],stable[qno],0))</f>
        <v>1</v>
      </c>
      <c r="AJ57" s="16" t="b">
        <f>INDEX(stable[q_carbon],MATCH(questions[[#This Row],[qno]],stable[qno],0))</f>
        <v>1</v>
      </c>
      <c r="AK57" s="16" t="b">
        <f>INDEX(stable[q_regen_ag],MATCH(questions[[#This Row],[qno]],stable[qno],0))</f>
        <v>0</v>
      </c>
      <c r="AL57" s="16" t="b">
        <f>COUNTIFS(stable[qno],questions[[#This Row],[qno]])=1</f>
        <v>1</v>
      </c>
      <c r="AM57" s="16" t="b">
        <f>OR(questions[[#This Row],[is_fixed]],questions[[#This Row],[is_localized]],questions[[#This Row],[is_supply_chain_dependent]])</f>
        <v>1</v>
      </c>
      <c r="AN57" s="16" t="b">
        <f>COUNTIFS(questions[[#This Row],[is_automated]:[is_multi_select]],TRUE)=1</f>
        <v>1</v>
      </c>
      <c r="AO57" s="16" t="b">
        <f>IF(questions[[#This Row],[is_fixed]],questions[[#This Row],[question]]=INDEX(stable[question],MATCH(questions[[#This Row],[qno]],stable[qno],0)),TRUE)</f>
        <v>1</v>
      </c>
      <c r="AP57" s="16" t="str">
        <f>LEFT(questions[[#This Row],[question]],similarity_range)</f>
        <v>What was the total q</v>
      </c>
      <c r="AQ57" s="16" t="str">
        <f>LEFT(INDEX(stable[question],MATCH(questions[[#This Row],[qno]],stable[qno],0)),similarity_range)</f>
        <v>What was the total q</v>
      </c>
      <c r="AR57" s="16" t="b">
        <f>questions[[#This Row],[question_first_characters]]=questions[[#This Row],[stability_first_characters]]</f>
        <v>1</v>
      </c>
      <c r="AS57" s="16" t="b">
        <f>IF(OR(questions[[#This Row],[is_single_select]],questions[[#This Row],[is_multi_select]]),NOT(ISBLANK(questions[[#This Row],[answer_opt_combined]])),TRUE)</f>
        <v>1</v>
      </c>
    </row>
    <row r="58" spans="1:45" x14ac:dyDescent="0.25">
      <c r="A58" s="9" t="str">
        <f>_xlfn.TEXTJOIN("_",TRUE,questions[[#This Row],[origin]:[qno]])</f>
        <v>Indonesia_Arabica_west_java_impact_5140</v>
      </c>
      <c r="B58" s="9" t="s">
        <v>58</v>
      </c>
      <c r="C58" s="9" t="s">
        <v>59</v>
      </c>
      <c r="D58" s="9" t="s">
        <v>60</v>
      </c>
      <c r="F58" s="9" t="s">
        <v>171</v>
      </c>
      <c r="G58" s="9" t="s">
        <v>172</v>
      </c>
      <c r="H58" s="9" t="str" cm="1">
        <f t="array" ref="H58">INDEX(stableR[question],MATCH(VALUE(questions[[#This Row],[qno]]),VALUE(stableR[qno]),0))</f>
        <v>Did you use Limestone or Dolomitic Limestone (Dolomite) last year?</v>
      </c>
      <c r="I58" s="9" t="b" cm="1">
        <f t="array" ref="I58">INDEX(stable[is_fixed],MATCH(VALUE(questions[[#This Row],[qno]]),VALUE(stable[qno]),0))</f>
        <v>1</v>
      </c>
      <c r="J58" s="9" t="b" cm="1">
        <f t="array" ref="J58">INDEX(stable[is_localized],MATCH(VALUE(questions[[#This Row],[qno]]),VALUE(stable[qno]),0))</f>
        <v>1</v>
      </c>
      <c r="K58" s="9" t="b" cm="1">
        <f t="array" ref="K58">INDEX(stable[is_supply_chain_dependent],MATCH(VALUE(questions[[#This Row],[qno]]),VALUE(stable[qno]),0))</f>
        <v>0</v>
      </c>
      <c r="L58" s="9" t="b" cm="1">
        <f t="array" ref="L58">INDEX(stable[is_mandatory],MATCH(VALUE(questions[[#This Row],[qno]]),VALUE(stable[qno]),0))</f>
        <v>1</v>
      </c>
      <c r="M58" s="9" t="b" cm="1">
        <f t="array" ref="M58">INDEX(stable[is_automated],MATCH(VALUE(questions[[#This Row],[qno]]),VALUE(stable[qno]),0))</f>
        <v>0</v>
      </c>
      <c r="N58" s="9" t="b" cm="1">
        <f t="array" ref="N58">INDEX(stable[is_free_text],MATCH(VALUE(questions[[#This Row],[qno]]),VALUE(stable[qno]),0))</f>
        <v>0</v>
      </c>
      <c r="O58" s="9" t="b" cm="1">
        <f t="array" ref="O58">INDEX(stable[is_numerical],MATCH(VALUE(questions[[#This Row],[qno]]),VALUE(stable[qno]),0))</f>
        <v>0</v>
      </c>
      <c r="P58" s="32" t="b" cm="1">
        <f t="array" ref="P58">INDEX(stable[is_single_select],MATCH(VALUE(questions[[#This Row],[qno]]),VALUE(stable[qno]),0))</f>
        <v>1</v>
      </c>
      <c r="Q58" s="9" t="b" cm="1">
        <f t="array" ref="Q58">INDEX(stable[is_multi_select],MATCH(VALUE(questions[[#This Row],[qno]]),VALUE(stable[qno]),0))</f>
        <v>0</v>
      </c>
      <c r="R58" s="9" t="b" cm="1">
        <f t="array" ref="R58">INDEX(stable[is_skip_logic],MATCH(VALUE(questions[[#This Row],[qno]]),VALUE(stable[qno]),0))</f>
        <v>1</v>
      </c>
      <c r="S58" s="9" t="str">
        <f>_xlfn.TEXTJOIN(", ",TRUE,questions[[#This Row],[ans_opt_1]:[ans_opt_14]])</f>
        <v/>
      </c>
      <c r="AH58" s="16" t="b">
        <f>INDEX(stable[q_standard],MATCH(questions[[#This Row],[qno]],stable[qno],0))</f>
        <v>0</v>
      </c>
      <c r="AI58" s="16" t="b">
        <f>INDEX(stable[q_living_income],MATCH(questions[[#This Row],[qno]],stable[qno],0))</f>
        <v>1</v>
      </c>
      <c r="AJ58" s="16" t="b">
        <f>INDEX(stable[q_carbon],MATCH(questions[[#This Row],[qno]],stable[qno],0))</f>
        <v>1</v>
      </c>
      <c r="AK58" s="16" t="b">
        <f>INDEX(stable[q_regen_ag],MATCH(questions[[#This Row],[qno]],stable[qno],0))</f>
        <v>0</v>
      </c>
      <c r="AL58" s="16" t="b">
        <f>COUNTIFS(stable[qno],questions[[#This Row],[qno]])=1</f>
        <v>1</v>
      </c>
      <c r="AM58" s="16" t="b">
        <f>OR(questions[[#This Row],[is_fixed]],questions[[#This Row],[is_localized]],questions[[#This Row],[is_supply_chain_dependent]])</f>
        <v>1</v>
      </c>
      <c r="AN58" s="16" t="b">
        <f>COUNTIFS(questions[[#This Row],[is_automated]:[is_multi_select]],TRUE)=1</f>
        <v>1</v>
      </c>
      <c r="AO58" s="16" t="b">
        <f>IF(questions[[#This Row],[is_fixed]],questions[[#This Row],[question]]=INDEX(stable[question],MATCH(questions[[#This Row],[qno]],stable[qno],0)),TRUE)</f>
        <v>0</v>
      </c>
      <c r="AP58" s="16" t="str">
        <f>LEFT(questions[[#This Row],[question]],similarity_range)</f>
        <v>Is there any other t</v>
      </c>
      <c r="AQ58" s="16" t="str">
        <f>LEFT(INDEX(stable[question],MATCH(questions[[#This Row],[qno]],stable[qno],0)),similarity_range)</f>
        <v>Did you use Limeston</v>
      </c>
      <c r="AR58" s="16" t="b">
        <f>questions[[#This Row],[question_first_characters]]=questions[[#This Row],[stability_first_characters]]</f>
        <v>0</v>
      </c>
      <c r="AS58" s="16" t="b">
        <f>IF(OR(questions[[#This Row],[is_single_select]],questions[[#This Row],[is_multi_select]]),NOT(ISBLANK(questions[[#This Row],[answer_opt_combined]])),TRUE)</f>
        <v>1</v>
      </c>
    </row>
    <row r="59" spans="1:45" x14ac:dyDescent="0.25">
      <c r="A59" s="9" t="str">
        <f>_xlfn.TEXTJOIN("_",TRUE,questions[[#This Row],[origin]:[qno]])</f>
        <v>Indonesia_Arabica_west_java_impact_5121</v>
      </c>
      <c r="B59" s="9" t="s">
        <v>58</v>
      </c>
      <c r="C59" s="9" t="s">
        <v>59</v>
      </c>
      <c r="D59" s="9" t="s">
        <v>60</v>
      </c>
      <c r="F59" s="9" t="s">
        <v>173</v>
      </c>
      <c r="G59" s="9" t="s">
        <v>174</v>
      </c>
      <c r="H59" s="9" t="str" cm="1">
        <f t="array" ref="H59">INDEX(stableR[question],MATCH(VALUE(questions[[#This Row],[qno]]),VALUE(stableR[qno]),0))</f>
        <v>What was the total quantity of the synthetic fertilizer that you used third most, last year? (Kg)</v>
      </c>
      <c r="I59" s="9" t="b" cm="1">
        <f t="array" ref="I59">INDEX(stable[is_fixed],MATCH(VALUE(questions[[#This Row],[qno]]),VALUE(stable[qno]),0))</f>
        <v>0</v>
      </c>
      <c r="J59" s="9" t="b" cm="1">
        <f t="array" ref="J59">INDEX(stable[is_localized],MATCH(VALUE(questions[[#This Row],[qno]]),VALUE(stable[qno]),0))</f>
        <v>1</v>
      </c>
      <c r="K59" s="9" t="b" cm="1">
        <f t="array" ref="K59">INDEX(stable[is_supply_chain_dependent],MATCH(VALUE(questions[[#This Row],[qno]]),VALUE(stable[qno]),0))</f>
        <v>1</v>
      </c>
      <c r="L59" s="9" t="b" cm="1">
        <f t="array" ref="L59">INDEX(stable[is_mandatory],MATCH(VALUE(questions[[#This Row],[qno]]),VALUE(stable[qno]),0))</f>
        <v>0</v>
      </c>
      <c r="M59" s="9" t="b" cm="1">
        <f t="array" ref="M59">INDEX(stable[is_automated],MATCH(VALUE(questions[[#This Row],[qno]]),VALUE(stable[qno]),0))</f>
        <v>0</v>
      </c>
      <c r="N59" s="9" t="b" cm="1">
        <f t="array" ref="N59">INDEX(stable[is_free_text],MATCH(VALUE(questions[[#This Row],[qno]]),VALUE(stable[qno]),0))</f>
        <v>0</v>
      </c>
      <c r="O59" s="9" t="b" cm="1">
        <f t="array" ref="O59">INDEX(stable[is_numerical],MATCH(VALUE(questions[[#This Row],[qno]]),VALUE(stable[qno]),0))</f>
        <v>1</v>
      </c>
      <c r="P59" s="32" t="b" cm="1">
        <f t="array" ref="P59">INDEX(stable[is_single_select],MATCH(VALUE(questions[[#This Row],[qno]]),VALUE(stable[qno]),0))</f>
        <v>0</v>
      </c>
      <c r="Q59" s="9" t="b" cm="1">
        <f t="array" ref="Q59">INDEX(stable[is_multi_select],MATCH(VALUE(questions[[#This Row],[qno]]),VALUE(stable[qno]),0))</f>
        <v>0</v>
      </c>
      <c r="R59" s="9" t="b" cm="1">
        <f t="array" ref="R59">INDEX(stable[is_skip_logic],MATCH(VALUE(questions[[#This Row],[qno]]),VALUE(stable[qno]),0))</f>
        <v>1</v>
      </c>
      <c r="S59" s="9" t="str">
        <f>_xlfn.TEXTJOIN(", ",TRUE,questions[[#This Row],[ans_opt_1]:[ans_opt_14]])</f>
        <v/>
      </c>
      <c r="AH59" s="16" t="b">
        <f>INDEX(stable[q_standard],MATCH(questions[[#This Row],[qno]],stable[qno],0))</f>
        <v>0</v>
      </c>
      <c r="AI59" s="16" t="b">
        <f>INDEX(stable[q_living_income],MATCH(questions[[#This Row],[qno]],stable[qno],0))</f>
        <v>1</v>
      </c>
      <c r="AJ59" s="16" t="b">
        <f>INDEX(stable[q_carbon],MATCH(questions[[#This Row],[qno]],stable[qno],0))</f>
        <v>1</v>
      </c>
      <c r="AK59" s="16" t="b">
        <f>INDEX(stable[q_regen_ag],MATCH(questions[[#This Row],[qno]],stable[qno],0))</f>
        <v>0</v>
      </c>
      <c r="AL59" s="16" t="b">
        <f>COUNTIFS(stable[qno],questions[[#This Row],[qno]])=1</f>
        <v>1</v>
      </c>
      <c r="AM59" s="16" t="b">
        <f>OR(questions[[#This Row],[is_fixed]],questions[[#This Row],[is_localized]],questions[[#This Row],[is_supply_chain_dependent]])</f>
        <v>1</v>
      </c>
      <c r="AN59" s="16" t="b">
        <f>COUNTIFS(questions[[#This Row],[is_automated]:[is_multi_select]],TRUE)=1</f>
        <v>1</v>
      </c>
      <c r="AO59" s="16" t="b">
        <f>IF(questions[[#This Row],[is_fixed]],questions[[#This Row],[question]]=INDEX(stable[question],MATCH(questions[[#This Row],[qno]],stable[qno],0)),TRUE)</f>
        <v>1</v>
      </c>
      <c r="AP59" s="16" t="str">
        <f>LEFT(questions[[#This Row],[question]],similarity_range)</f>
        <v>What was the total q</v>
      </c>
      <c r="AQ59" s="16" t="str">
        <f>LEFT(INDEX(stable[question],MATCH(questions[[#This Row],[qno]],stable[qno],0)),similarity_range)</f>
        <v>What was the total q</v>
      </c>
      <c r="AR59" s="16" t="b">
        <f>questions[[#This Row],[question_first_characters]]=questions[[#This Row],[stability_first_characters]]</f>
        <v>1</v>
      </c>
      <c r="AS59" s="16" t="b">
        <f>IF(OR(questions[[#This Row],[is_single_select]],questions[[#This Row],[is_multi_select]]),NOT(ISBLANK(questions[[#This Row],[answer_opt_combined]])),TRUE)</f>
        <v>1</v>
      </c>
    </row>
    <row r="60" spans="1:45" s="77" customFormat="1" x14ac:dyDescent="0.25">
      <c r="A60" s="77" t="str">
        <f>_xlfn.TEXTJOIN("_",TRUE,questions[[#This Row],[origin]:[qno]])</f>
        <v>Indonesia_Arabica_west_java_impact_5400</v>
      </c>
      <c r="B60" s="77" t="s">
        <v>58</v>
      </c>
      <c r="C60" s="77" t="s">
        <v>59</v>
      </c>
      <c r="D60" s="77" t="s">
        <v>60</v>
      </c>
      <c r="F60" s="77" t="s">
        <v>175</v>
      </c>
      <c r="G60" s="77" t="s">
        <v>176</v>
      </c>
      <c r="H60" s="9" t="str" cm="1">
        <f t="array" ref="H60">INDEX(stableR[question],MATCH(VALUE(questions[[#This Row],[qno]]),VALUE(stableR[qno]),0))</f>
        <v>Did you use any type of animal manure, compost, or organic fertilizers for your coffee last year?</v>
      </c>
      <c r="I60" s="9" t="b" cm="1">
        <f t="array" ref="I60">INDEX(stable[is_fixed],MATCH(VALUE(questions[[#This Row],[qno]]),VALUE(stable[qno]),0))</f>
        <v>1</v>
      </c>
      <c r="J60" s="9" t="b" cm="1">
        <f t="array" ref="J60">INDEX(stable[is_localized],MATCH(VALUE(questions[[#This Row],[qno]]),VALUE(stable[qno]),0))</f>
        <v>0</v>
      </c>
      <c r="K60" s="9" t="b" cm="1">
        <f t="array" ref="K60">INDEX(stable[is_supply_chain_dependent],MATCH(VALUE(questions[[#This Row],[qno]]),VALUE(stable[qno]),0))</f>
        <v>0</v>
      </c>
      <c r="L60" s="9" t="b" cm="1">
        <f t="array" ref="L60">INDEX(stable[is_mandatory],MATCH(VALUE(questions[[#This Row],[qno]]),VALUE(stable[qno]),0))</f>
        <v>1</v>
      </c>
      <c r="M60" s="9" t="b" cm="1">
        <f t="array" ref="M60">INDEX(stable[is_automated],MATCH(VALUE(questions[[#This Row],[qno]]),VALUE(stable[qno]),0))</f>
        <v>0</v>
      </c>
      <c r="N60" s="9" t="b" cm="1">
        <f t="array" ref="N60">INDEX(stable[is_free_text],MATCH(VALUE(questions[[#This Row],[qno]]),VALUE(stable[qno]),0))</f>
        <v>0</v>
      </c>
      <c r="O60" s="9" t="b" cm="1">
        <f t="array" ref="O60">INDEX(stable[is_numerical],MATCH(VALUE(questions[[#This Row],[qno]]),VALUE(stable[qno]),0))</f>
        <v>0</v>
      </c>
      <c r="P60" s="103" t="b" cm="1">
        <f t="array" ref="P60">INDEX(stable[is_single_select],MATCH(VALUE(questions[[#This Row],[qno]]),VALUE(stable[qno]),0))</f>
        <v>1</v>
      </c>
      <c r="Q60" s="77" t="b" cm="1">
        <f t="array" ref="Q60">INDEX(stable[is_multi_select],MATCH(VALUE(questions[[#This Row],[qno]]),VALUE(stable[qno]),0))</f>
        <v>0</v>
      </c>
      <c r="R60" s="77" t="b" cm="1">
        <f t="array" ref="R60">INDEX(stable[is_skip_logic],MATCH(VALUE(questions[[#This Row],[qno]]),VALUE(stable[qno]),0))</f>
        <v>1</v>
      </c>
      <c r="S60" s="77" t="str">
        <f>_xlfn.TEXTJOIN(", ",TRUE,questions[[#This Row],[ans_opt_1]:[ans_opt_14]])</f>
        <v>Yes, No</v>
      </c>
      <c r="T60" s="77" t="s">
        <v>149</v>
      </c>
      <c r="U60" s="77" t="s">
        <v>119</v>
      </c>
      <c r="AH60" s="98" t="b">
        <f>INDEX(stable[q_standard],MATCH(questions[[#This Row],[qno]],stable[qno],0))</f>
        <v>0</v>
      </c>
      <c r="AI60" s="98" t="b">
        <f>INDEX(stable[q_living_income],MATCH(questions[[#This Row],[qno]],stable[qno],0))</f>
        <v>1</v>
      </c>
      <c r="AJ60" s="98" t="b">
        <f>INDEX(stable[q_carbon],MATCH(questions[[#This Row],[qno]],stable[qno],0))</f>
        <v>1</v>
      </c>
      <c r="AK60" s="98" t="b">
        <f>INDEX(stable[q_regen_ag],MATCH(questions[[#This Row],[qno]],stable[qno],0))</f>
        <v>0</v>
      </c>
      <c r="AL60" s="98" t="b">
        <f>COUNTIFS(stable[qno],questions[[#This Row],[qno]])=1</f>
        <v>1</v>
      </c>
      <c r="AM60" s="98" t="b">
        <f>OR(questions[[#This Row],[is_fixed]],questions[[#This Row],[is_localized]],questions[[#This Row],[is_supply_chain_dependent]])</f>
        <v>1</v>
      </c>
      <c r="AN60" s="98" t="b">
        <f>COUNTIFS(questions[[#This Row],[is_automated]:[is_multi_select]],TRUE)=1</f>
        <v>1</v>
      </c>
      <c r="AO60" s="98" t="b">
        <f>IF(questions[[#This Row],[is_fixed]],questions[[#This Row],[question]]=INDEX(stable[question],MATCH(questions[[#This Row],[qno]],stable[qno],0)),TRUE)</f>
        <v>1</v>
      </c>
      <c r="AP60" s="98" t="str">
        <f>LEFT(questions[[#This Row],[question]],similarity_range)</f>
        <v>Did you use any type</v>
      </c>
      <c r="AQ60" s="98" t="str">
        <f>LEFT(INDEX(stable[question],MATCH(questions[[#This Row],[qno]],stable[qno],0)),similarity_range)</f>
        <v>Did you use any type</v>
      </c>
      <c r="AR60" s="98" t="b">
        <f>questions[[#This Row],[question_first_characters]]=questions[[#This Row],[stability_first_characters]]</f>
        <v>1</v>
      </c>
      <c r="AS60" s="98" t="b">
        <f>IF(OR(questions[[#This Row],[is_single_select]],questions[[#This Row],[is_multi_select]]),NOT(ISBLANK(questions[[#This Row],[answer_opt_combined]])),TRUE)</f>
        <v>1</v>
      </c>
    </row>
    <row r="61" spans="1:45" x14ac:dyDescent="0.25">
      <c r="A61" s="9" t="str">
        <f>_xlfn.TEXTJOIN("_",TRUE,questions[[#This Row],[origin]:[qno]])</f>
        <v>Indonesia_Arabica_west_java_impact_5401</v>
      </c>
      <c r="B61" s="9" t="s">
        <v>58</v>
      </c>
      <c r="C61" s="9" t="s">
        <v>59</v>
      </c>
      <c r="D61" s="9" t="s">
        <v>60</v>
      </c>
      <c r="F61" s="9" t="s">
        <v>177</v>
      </c>
      <c r="G61" s="9" t="s">
        <v>178</v>
      </c>
      <c r="H61" s="9" t="str" cm="1">
        <f t="array" ref="H61">INDEX(stableR[question],MATCH(VALUE(questions[[#This Row],[qno]]),VALUE(stableR[qno]),0))</f>
        <v>What was the type of animal manure, compost, or organic fertilizer that you used most last year?</v>
      </c>
      <c r="I61" s="9" t="b" cm="1">
        <f t="array" ref="I61">INDEX(stable[is_fixed],MATCH(VALUE(questions[[#This Row],[qno]]),VALUE(stable[qno]),0))</f>
        <v>1</v>
      </c>
      <c r="J61" s="9" t="b" cm="1">
        <f t="array" ref="J61">INDEX(stable[is_localized],MATCH(VALUE(questions[[#This Row],[qno]]),VALUE(stable[qno]),0))</f>
        <v>0</v>
      </c>
      <c r="K61" s="9" t="b" cm="1">
        <f t="array" ref="K61">INDEX(stable[is_supply_chain_dependent],MATCH(VALUE(questions[[#This Row],[qno]]),VALUE(stable[qno]),0))</f>
        <v>0</v>
      </c>
      <c r="L61" s="9" t="b" cm="1">
        <f t="array" ref="L61">INDEX(stable[is_mandatory],MATCH(VALUE(questions[[#This Row],[qno]]),VALUE(stable[qno]),0))</f>
        <v>0</v>
      </c>
      <c r="M61" s="9" t="b" cm="1">
        <f t="array" ref="M61">INDEX(stable[is_automated],MATCH(VALUE(questions[[#This Row],[qno]]),VALUE(stable[qno]),0))</f>
        <v>0</v>
      </c>
      <c r="N61" s="9" t="b" cm="1">
        <f t="array" ref="N61">INDEX(stable[is_free_text],MATCH(VALUE(questions[[#This Row],[qno]]),VALUE(stable[qno]),0))</f>
        <v>1</v>
      </c>
      <c r="O61" s="9" t="b" cm="1">
        <f t="array" ref="O61">INDEX(stable[is_numerical],MATCH(VALUE(questions[[#This Row],[qno]]),VALUE(stable[qno]),0))</f>
        <v>0</v>
      </c>
      <c r="P61" s="32" t="b" cm="1">
        <f t="array" ref="P61">INDEX(stable[is_single_select],MATCH(VALUE(questions[[#This Row],[qno]]),VALUE(stable[qno]),0))</f>
        <v>1</v>
      </c>
      <c r="Q61" s="9" t="b" cm="1">
        <f t="array" ref="Q61">INDEX(stable[is_multi_select],MATCH(VALUE(questions[[#This Row],[qno]]),VALUE(stable[qno]),0))</f>
        <v>0</v>
      </c>
      <c r="R61" s="9" t="b" cm="1">
        <f t="array" ref="R61">INDEX(stable[is_skip_logic],MATCH(VALUE(questions[[#This Row],[qno]]),VALUE(stable[qno]),0))</f>
        <v>1</v>
      </c>
      <c r="S61" s="9" t="str">
        <f>_xlfn.TEXTJOIN(", ",TRUE,questions[[#This Row],[ans_opt_1]:[ans_opt_14]])</f>
        <v/>
      </c>
      <c r="AH61" s="16" t="b">
        <f>INDEX(stable[q_standard],MATCH(questions[[#This Row],[qno]],stable[qno],0))</f>
        <v>0</v>
      </c>
      <c r="AI61" s="16" t="b">
        <f>INDEX(stable[q_living_income],MATCH(questions[[#This Row],[qno]],stable[qno],0))</f>
        <v>1</v>
      </c>
      <c r="AJ61" s="16" t="b">
        <f>INDEX(stable[q_carbon],MATCH(questions[[#This Row],[qno]],stable[qno],0))</f>
        <v>1</v>
      </c>
      <c r="AK61" s="16" t="b">
        <f>INDEX(stable[q_regen_ag],MATCH(questions[[#This Row],[qno]],stable[qno],0))</f>
        <v>0</v>
      </c>
      <c r="AL61" s="16" t="b">
        <f>COUNTIFS(stable[qno],questions[[#This Row],[qno]])=1</f>
        <v>1</v>
      </c>
      <c r="AM61" s="16" t="b">
        <f>OR(questions[[#This Row],[is_fixed]],questions[[#This Row],[is_localized]],questions[[#This Row],[is_supply_chain_dependent]])</f>
        <v>1</v>
      </c>
      <c r="AN61" s="16" t="b">
        <f>COUNTIFS(questions[[#This Row],[is_automated]:[is_multi_select]],TRUE)=1</f>
        <v>0</v>
      </c>
      <c r="AO61" s="16" t="b">
        <f>IF(questions[[#This Row],[is_fixed]],questions[[#This Row],[question]]=INDEX(stable[question],MATCH(questions[[#This Row],[qno]],stable[qno],0)),TRUE)</f>
        <v>1</v>
      </c>
      <c r="AP61" s="16" t="str">
        <f>LEFT(questions[[#This Row],[question]],similarity_range)</f>
        <v>If yes, what was the</v>
      </c>
      <c r="AQ61" s="16" t="str">
        <f>LEFT(INDEX(stable[question],MATCH(questions[[#This Row],[qno]],stable[qno],0)),similarity_range)</f>
        <v>If yes, what was the</v>
      </c>
      <c r="AR61" s="16" t="b">
        <f>questions[[#This Row],[question_first_characters]]=questions[[#This Row],[stability_first_characters]]</f>
        <v>1</v>
      </c>
      <c r="AS61" s="16" t="b">
        <f>IF(OR(questions[[#This Row],[is_single_select]],questions[[#This Row],[is_multi_select]]),NOT(ISBLANK(questions[[#This Row],[answer_opt_combined]])),TRUE)</f>
        <v>1</v>
      </c>
    </row>
    <row r="62" spans="1:45" x14ac:dyDescent="0.25">
      <c r="A62" s="9" t="str">
        <f>_xlfn.TEXTJOIN("_",TRUE,questions[[#This Row],[origin]:[qno]])</f>
        <v>Indonesia_Arabica_west_java_impact_5402</v>
      </c>
      <c r="B62" s="9" t="s">
        <v>58</v>
      </c>
      <c r="C62" s="9" t="s">
        <v>59</v>
      </c>
      <c r="D62" s="9" t="s">
        <v>60</v>
      </c>
      <c r="F62" s="9" t="s">
        <v>179</v>
      </c>
      <c r="G62" s="9" t="s">
        <v>180</v>
      </c>
      <c r="H62" s="9" t="str" cm="1">
        <f t="array" ref="H62">INDEX(stableR[question],MATCH(VALUE(questions[[#This Row],[qno]]),VALUE(stableR[qno]),0))</f>
        <v>What was the total quantity of this type of animal manure/compost/organic fertilizer that you used most (Kg)?</v>
      </c>
      <c r="I62" s="9" t="b" cm="1">
        <f t="array" ref="I62">INDEX(stable[is_fixed],MATCH(VALUE(questions[[#This Row],[qno]]),VALUE(stable[qno]),0))</f>
        <v>1</v>
      </c>
      <c r="J62" s="9" t="b" cm="1">
        <f t="array" ref="J62">INDEX(stable[is_localized],MATCH(VALUE(questions[[#This Row],[qno]]),VALUE(stable[qno]),0))</f>
        <v>0</v>
      </c>
      <c r="K62" s="9" t="b" cm="1">
        <f t="array" ref="K62">INDEX(stable[is_supply_chain_dependent],MATCH(VALUE(questions[[#This Row],[qno]]),VALUE(stable[qno]),0))</f>
        <v>0</v>
      </c>
      <c r="L62" s="9" t="b" cm="1">
        <f t="array" ref="L62">INDEX(stable[is_mandatory],MATCH(VALUE(questions[[#This Row],[qno]]),VALUE(stable[qno]),0))</f>
        <v>0</v>
      </c>
      <c r="M62" s="9" t="b" cm="1">
        <f t="array" ref="M62">INDEX(stable[is_automated],MATCH(VALUE(questions[[#This Row],[qno]]),VALUE(stable[qno]),0))</f>
        <v>0</v>
      </c>
      <c r="N62" s="9" t="b" cm="1">
        <f t="array" ref="N62">INDEX(stable[is_free_text],MATCH(VALUE(questions[[#This Row],[qno]]),VALUE(stable[qno]),0))</f>
        <v>0</v>
      </c>
      <c r="O62" s="9" t="b" cm="1">
        <f t="array" ref="O62">INDEX(stable[is_numerical],MATCH(VALUE(questions[[#This Row],[qno]]),VALUE(stable[qno]),0))</f>
        <v>1</v>
      </c>
      <c r="P62" s="32" t="b" cm="1">
        <f t="array" ref="P62">INDEX(stable[is_single_select],MATCH(VALUE(questions[[#This Row],[qno]]),VALUE(stable[qno]),0))</f>
        <v>0</v>
      </c>
      <c r="Q62" s="9" t="b" cm="1">
        <f t="array" ref="Q62">INDEX(stable[is_multi_select],MATCH(VALUE(questions[[#This Row],[qno]]),VALUE(stable[qno]),0))</f>
        <v>0</v>
      </c>
      <c r="R62" s="9" t="b" cm="1">
        <f t="array" ref="R62">INDEX(stable[is_skip_logic],MATCH(VALUE(questions[[#This Row],[qno]]),VALUE(stable[qno]),0))</f>
        <v>1</v>
      </c>
      <c r="S62" s="9" t="str">
        <f>_xlfn.TEXTJOIN(", ",TRUE,questions[[#This Row],[ans_opt_1]:[ans_opt_14]])</f>
        <v/>
      </c>
      <c r="AH62" s="16" t="b">
        <f>INDEX(stable[q_standard],MATCH(questions[[#This Row],[qno]],stable[qno],0))</f>
        <v>0</v>
      </c>
      <c r="AI62" s="16" t="b">
        <f>INDEX(stable[q_living_income],MATCH(questions[[#This Row],[qno]],stable[qno],0))</f>
        <v>1</v>
      </c>
      <c r="AJ62" s="16" t="b">
        <f>INDEX(stable[q_carbon],MATCH(questions[[#This Row],[qno]],stable[qno],0))</f>
        <v>1</v>
      </c>
      <c r="AK62" s="16" t="b">
        <f>INDEX(stable[q_regen_ag],MATCH(questions[[#This Row],[qno]],stable[qno],0))</f>
        <v>0</v>
      </c>
      <c r="AL62" s="16" t="b">
        <f>COUNTIFS(stable[qno],questions[[#This Row],[qno]])=1</f>
        <v>1</v>
      </c>
      <c r="AM62" s="16" t="b">
        <f>OR(questions[[#This Row],[is_fixed]],questions[[#This Row],[is_localized]],questions[[#This Row],[is_supply_chain_dependent]])</f>
        <v>1</v>
      </c>
      <c r="AN62" s="16" t="b">
        <f>COUNTIFS(questions[[#This Row],[is_automated]:[is_multi_select]],TRUE)=1</f>
        <v>1</v>
      </c>
      <c r="AO62" s="16" t="b">
        <f>IF(questions[[#This Row],[is_fixed]],questions[[#This Row],[question]]=INDEX(stable[question],MATCH(questions[[#This Row],[qno]],stable[qno],0)),TRUE)</f>
        <v>1</v>
      </c>
      <c r="AP62" s="16" t="str">
        <f>LEFT(questions[[#This Row],[question]],similarity_range)</f>
        <v>What was the total q</v>
      </c>
      <c r="AQ62" s="16" t="str">
        <f>LEFT(INDEX(stable[question],MATCH(questions[[#This Row],[qno]],stable[qno],0)),similarity_range)</f>
        <v>What was the total q</v>
      </c>
      <c r="AR62" s="16" t="b">
        <f>questions[[#This Row],[question_first_characters]]=questions[[#This Row],[stability_first_characters]]</f>
        <v>1</v>
      </c>
      <c r="AS62" s="16" t="b">
        <f>IF(OR(questions[[#This Row],[is_single_select]],questions[[#This Row],[is_multi_select]]),NOT(ISBLANK(questions[[#This Row],[answer_opt_combined]])),TRUE)</f>
        <v>1</v>
      </c>
    </row>
    <row r="63" spans="1:45" x14ac:dyDescent="0.25">
      <c r="A63" s="9" t="str">
        <f>_xlfn.TEXTJOIN("_",TRUE,questions[[#This Row],[origin]:[qno]])</f>
        <v>Indonesia_Arabica_west_java_impact_5403</v>
      </c>
      <c r="B63" s="9" t="s">
        <v>58</v>
      </c>
      <c r="C63" s="9" t="s">
        <v>59</v>
      </c>
      <c r="D63" s="9" t="s">
        <v>60</v>
      </c>
      <c r="F63" s="9" t="s">
        <v>181</v>
      </c>
      <c r="G63" s="9" t="s">
        <v>182</v>
      </c>
      <c r="H63" s="9" t="str" cm="1">
        <f t="array" ref="H63">INDEX(stableR[question],MATCH(VALUE(questions[[#This Row],[qno]]),VALUE(stableR[qno]),0))</f>
        <v>What was the unit of this type of animal manure/compost/organic fertilizer that you used most (kg, basins, 50 kg bags, wheel barrows, small truck/tipper, large truck)?</v>
      </c>
      <c r="I63" s="9" t="b" cm="1">
        <f t="array" ref="I63">INDEX(stable[is_fixed],MATCH(VALUE(questions[[#This Row],[qno]]),VALUE(stable[qno]),0))</f>
        <v>1</v>
      </c>
      <c r="J63" s="9" t="b" cm="1">
        <f t="array" ref="J63">INDEX(stable[is_localized],MATCH(VALUE(questions[[#This Row],[qno]]),VALUE(stable[qno]),0))</f>
        <v>0</v>
      </c>
      <c r="K63" s="9" t="b" cm="1">
        <f t="array" ref="K63">INDEX(stable[is_supply_chain_dependent],MATCH(VALUE(questions[[#This Row],[qno]]),VALUE(stable[qno]),0))</f>
        <v>0</v>
      </c>
      <c r="L63" s="9" t="b" cm="1">
        <f t="array" ref="L63">INDEX(stable[is_mandatory],MATCH(VALUE(questions[[#This Row],[qno]]),VALUE(stable[qno]),0))</f>
        <v>0</v>
      </c>
      <c r="M63" s="9" t="b" cm="1">
        <f t="array" ref="M63">INDEX(stable[is_automated],MATCH(VALUE(questions[[#This Row],[qno]]),VALUE(stable[qno]),0))</f>
        <v>0</v>
      </c>
      <c r="N63" s="9" t="b" cm="1">
        <f t="array" ref="N63">INDEX(stable[is_free_text],MATCH(VALUE(questions[[#This Row],[qno]]),VALUE(stable[qno]),0))</f>
        <v>1</v>
      </c>
      <c r="O63" s="9" t="b" cm="1">
        <f t="array" ref="O63">INDEX(stable[is_numerical],MATCH(VALUE(questions[[#This Row],[qno]]),VALUE(stable[qno]),0))</f>
        <v>0</v>
      </c>
      <c r="P63" s="32" t="b" cm="1">
        <f t="array" ref="P63">INDEX(stable[is_single_select],MATCH(VALUE(questions[[#This Row],[qno]]),VALUE(stable[qno]),0))</f>
        <v>0</v>
      </c>
      <c r="Q63" s="9" t="b" cm="1">
        <f t="array" ref="Q63">INDEX(stable[is_multi_select],MATCH(VALUE(questions[[#This Row],[qno]]),VALUE(stable[qno]),0))</f>
        <v>0</v>
      </c>
      <c r="R63" s="9" t="b" cm="1">
        <f t="array" ref="R63">INDEX(stable[is_skip_logic],MATCH(VALUE(questions[[#This Row],[qno]]),VALUE(stable[qno]),0))</f>
        <v>1</v>
      </c>
      <c r="S63" s="9" t="str">
        <f>_xlfn.TEXTJOIN(", ",TRUE,questions[[#This Row],[ans_opt_1]:[ans_opt_14]])</f>
        <v/>
      </c>
      <c r="AH63" s="16" t="b">
        <f>INDEX(stable[q_standard],MATCH(questions[[#This Row],[qno]],stable[qno],0))</f>
        <v>0</v>
      </c>
      <c r="AI63" s="16" t="b">
        <f>INDEX(stable[q_living_income],MATCH(questions[[#This Row],[qno]],stable[qno],0))</f>
        <v>1</v>
      </c>
      <c r="AJ63" s="16" t="b">
        <f>INDEX(stable[q_carbon],MATCH(questions[[#This Row],[qno]],stable[qno],0))</f>
        <v>1</v>
      </c>
      <c r="AK63" s="16" t="b">
        <f>INDEX(stable[q_regen_ag],MATCH(questions[[#This Row],[qno]],stable[qno],0))</f>
        <v>0</v>
      </c>
      <c r="AL63" s="16" t="b">
        <f>COUNTIFS(stable[qno],questions[[#This Row],[qno]])=1</f>
        <v>1</v>
      </c>
      <c r="AM63" s="16" t="b">
        <f>OR(questions[[#This Row],[is_fixed]],questions[[#This Row],[is_localized]],questions[[#This Row],[is_supply_chain_dependent]])</f>
        <v>1</v>
      </c>
      <c r="AN63" s="16" t="b">
        <f>COUNTIFS(questions[[#This Row],[is_automated]:[is_multi_select]],TRUE)=1</f>
        <v>1</v>
      </c>
      <c r="AO63" s="16" t="b">
        <f>IF(questions[[#This Row],[is_fixed]],questions[[#This Row],[question]]=INDEX(stable[question],MATCH(questions[[#This Row],[qno]],stable[qno],0)),TRUE)</f>
        <v>1</v>
      </c>
      <c r="AP63" s="16" t="str">
        <f>LEFT(questions[[#This Row],[question]],similarity_range)</f>
        <v>What was the unit of</v>
      </c>
      <c r="AQ63" s="16" t="str">
        <f>LEFT(INDEX(stable[question],MATCH(questions[[#This Row],[qno]],stable[qno],0)),similarity_range)</f>
        <v>What was the unit of</v>
      </c>
      <c r="AR63" s="16" t="b">
        <f>questions[[#This Row],[question_first_characters]]=questions[[#This Row],[stability_first_characters]]</f>
        <v>1</v>
      </c>
      <c r="AS63" s="16" t="b">
        <f>IF(OR(questions[[#This Row],[is_single_select]],questions[[#This Row],[is_multi_select]]),NOT(ISBLANK(questions[[#This Row],[answer_opt_combined]])),TRUE)</f>
        <v>1</v>
      </c>
    </row>
    <row r="64" spans="1:45" s="77" customFormat="1" x14ac:dyDescent="0.25">
      <c r="A64" s="77" t="str">
        <f>_xlfn.TEXTJOIN("_",TRUE,questions[[#This Row],[origin]:[qno]])</f>
        <v>Indonesia_Arabica_west_java_impact_5404</v>
      </c>
      <c r="B64" s="77" t="s">
        <v>58</v>
      </c>
      <c r="C64" s="77" t="s">
        <v>59</v>
      </c>
      <c r="D64" s="77" t="s">
        <v>60</v>
      </c>
      <c r="F64" s="77" t="s">
        <v>183</v>
      </c>
      <c r="G64" s="77" t="s">
        <v>184</v>
      </c>
      <c r="H64" s="9" t="str" cm="1">
        <f t="array" ref="H64">INDEX(stableR[question],MATCH(VALUE(questions[[#This Row],[qno]]),VALUE(stableR[qno]),0))</f>
        <v>How did you get this manure/compost/organic fertilizer that you used most?</v>
      </c>
      <c r="I64" s="9" t="b" cm="1">
        <f t="array" ref="I64">INDEX(stable[is_fixed],MATCH(VALUE(questions[[#This Row],[qno]]),VALUE(stable[qno]),0))</f>
        <v>1</v>
      </c>
      <c r="J64" s="9" t="b" cm="1">
        <f t="array" ref="J64">INDEX(stable[is_localized],MATCH(VALUE(questions[[#This Row],[qno]]),VALUE(stable[qno]),0))</f>
        <v>0</v>
      </c>
      <c r="K64" s="9" t="b" cm="1">
        <f t="array" ref="K64">INDEX(stable[is_supply_chain_dependent],MATCH(VALUE(questions[[#This Row],[qno]]),VALUE(stable[qno]),0))</f>
        <v>0</v>
      </c>
      <c r="L64" s="9" t="b" cm="1">
        <f t="array" ref="L64">INDEX(stable[is_mandatory],MATCH(VALUE(questions[[#This Row],[qno]]),VALUE(stable[qno]),0))</f>
        <v>0</v>
      </c>
      <c r="M64" s="9" t="b" cm="1">
        <f t="array" ref="M64">INDEX(stable[is_automated],MATCH(VALUE(questions[[#This Row],[qno]]),VALUE(stable[qno]),0))</f>
        <v>0</v>
      </c>
      <c r="N64" s="9" t="b" cm="1">
        <f t="array" ref="N64">INDEX(stable[is_free_text],MATCH(VALUE(questions[[#This Row],[qno]]),VALUE(stable[qno]),0))</f>
        <v>0</v>
      </c>
      <c r="O64" s="9" t="b" cm="1">
        <f t="array" ref="O64">INDEX(stable[is_numerical],MATCH(VALUE(questions[[#This Row],[qno]]),VALUE(stable[qno]),0))</f>
        <v>0</v>
      </c>
      <c r="P64" s="103" t="b" cm="1">
        <f t="array" ref="P64">INDEX(stable[is_single_select],MATCH(VALUE(questions[[#This Row],[qno]]),VALUE(stable[qno]),0))</f>
        <v>1</v>
      </c>
      <c r="Q64" s="77" t="b" cm="1">
        <f t="array" ref="Q64">INDEX(stable[is_multi_select],MATCH(VALUE(questions[[#This Row],[qno]]),VALUE(stable[qno]),0))</f>
        <v>0</v>
      </c>
      <c r="R64" s="77" t="b" cm="1">
        <f t="array" ref="R64">INDEX(stable[is_skip_logic],MATCH(VALUE(questions[[#This Row],[qno]]),VALUE(stable[qno]),0))</f>
        <v>1</v>
      </c>
      <c r="S64" s="77" t="str">
        <f>_xlfn.TEXTJOIN(", ",TRUE,questions[[#This Row],[ans_opt_1]:[ans_opt_14]])</f>
        <v>Bought, From own farm, Received for free, Both from own farm &amp; bought/received from outside the farm</v>
      </c>
      <c r="T64" s="77" t="s">
        <v>185</v>
      </c>
      <c r="U64" s="77" t="s">
        <v>186</v>
      </c>
      <c r="V64" s="77" t="s">
        <v>187</v>
      </c>
      <c r="W64" s="77" t="s">
        <v>188</v>
      </c>
      <c r="AH64" s="98" t="b">
        <f>INDEX(stable[q_standard],MATCH(questions[[#This Row],[qno]],stable[qno],0))</f>
        <v>0</v>
      </c>
      <c r="AI64" s="98" t="b">
        <f>INDEX(stable[q_living_income],MATCH(questions[[#This Row],[qno]],stable[qno],0))</f>
        <v>1</v>
      </c>
      <c r="AJ64" s="98" t="b">
        <f>INDEX(stable[q_carbon],MATCH(questions[[#This Row],[qno]],stable[qno],0))</f>
        <v>1</v>
      </c>
      <c r="AK64" s="98" t="b">
        <f>INDEX(stable[q_regen_ag],MATCH(questions[[#This Row],[qno]],stable[qno],0))</f>
        <v>0</v>
      </c>
      <c r="AL64" s="98" t="b">
        <f>COUNTIFS(stable[qno],questions[[#This Row],[qno]])=1</f>
        <v>1</v>
      </c>
      <c r="AM64" s="98" t="b">
        <f>OR(questions[[#This Row],[is_fixed]],questions[[#This Row],[is_localized]],questions[[#This Row],[is_supply_chain_dependent]])</f>
        <v>1</v>
      </c>
      <c r="AN64" s="98" t="b">
        <f>COUNTIFS(questions[[#This Row],[is_automated]:[is_multi_select]],TRUE)=1</f>
        <v>1</v>
      </c>
      <c r="AO64" s="98" t="b">
        <f>IF(questions[[#This Row],[is_fixed]],questions[[#This Row],[question]]=INDEX(stable[question],MATCH(questions[[#This Row],[qno]],stable[qno],0)),TRUE)</f>
        <v>0</v>
      </c>
      <c r="AP64" s="98" t="str">
        <f>LEFT(questions[[#This Row],[question]],similarity_range)</f>
        <v>Did you buy this man</v>
      </c>
      <c r="AQ64" s="98" t="str">
        <f>LEFT(INDEX(stable[question],MATCH(questions[[#This Row],[qno]],stable[qno],0)),similarity_range)</f>
        <v>How did you get this</v>
      </c>
      <c r="AR64" s="98" t="b">
        <f>questions[[#This Row],[question_first_characters]]=questions[[#This Row],[stability_first_characters]]</f>
        <v>0</v>
      </c>
      <c r="AS64" s="98" t="b">
        <f>IF(OR(questions[[#This Row],[is_single_select]],questions[[#This Row],[is_multi_select]]),NOT(ISBLANK(questions[[#This Row],[answer_opt_combined]])),TRUE)</f>
        <v>1</v>
      </c>
    </row>
    <row r="65" spans="1:45" x14ac:dyDescent="0.25">
      <c r="A65" s="9" t="str">
        <f>_xlfn.TEXTJOIN("_",TRUE,questions[[#This Row],[origin]:[qno]])</f>
        <v>Indonesia_Arabica_west_java_impact_5410</v>
      </c>
      <c r="B65" s="9" t="s">
        <v>58</v>
      </c>
      <c r="C65" s="9" t="s">
        <v>59</v>
      </c>
      <c r="D65" s="9" t="s">
        <v>60</v>
      </c>
      <c r="F65" s="9" t="s">
        <v>189</v>
      </c>
      <c r="G65" s="9" t="s">
        <v>190</v>
      </c>
      <c r="H65" s="9" t="str" cm="1">
        <f t="array" ref="H65">INDEX(stableR[question],MATCH(VALUE(questions[[#This Row],[qno]]),VALUE(stableR[qno]),0))</f>
        <v>What was the type of animal manure, compost, or organic fertilizer that you used second most last year?</v>
      </c>
      <c r="I65" s="9" t="b" cm="1">
        <f t="array" ref="I65">INDEX(stable[is_fixed],MATCH(VALUE(questions[[#This Row],[qno]]),VALUE(stable[qno]),0))</f>
        <v>1</v>
      </c>
      <c r="J65" s="9" t="b" cm="1">
        <f t="array" ref="J65">INDEX(stable[is_localized],MATCH(VALUE(questions[[#This Row],[qno]]),VALUE(stable[qno]),0))</f>
        <v>0</v>
      </c>
      <c r="K65" s="9" t="b" cm="1">
        <f t="array" ref="K65">INDEX(stable[is_supply_chain_dependent],MATCH(VALUE(questions[[#This Row],[qno]]),VALUE(stable[qno]),0))</f>
        <v>0</v>
      </c>
      <c r="L65" s="9" t="b" cm="1">
        <f t="array" ref="L65">INDEX(stable[is_mandatory],MATCH(VALUE(questions[[#This Row],[qno]]),VALUE(stable[qno]),0))</f>
        <v>0</v>
      </c>
      <c r="M65" s="9" t="b" cm="1">
        <f t="array" ref="M65">INDEX(stable[is_automated],MATCH(VALUE(questions[[#This Row],[qno]]),VALUE(stable[qno]),0))</f>
        <v>0</v>
      </c>
      <c r="N65" s="9" t="b" cm="1">
        <f t="array" ref="N65">INDEX(stable[is_free_text],MATCH(VALUE(questions[[#This Row],[qno]]),VALUE(stable[qno]),0))</f>
        <v>1</v>
      </c>
      <c r="O65" s="9" t="b" cm="1">
        <f t="array" ref="O65">INDEX(stable[is_numerical],MATCH(VALUE(questions[[#This Row],[qno]]),VALUE(stable[qno]),0))</f>
        <v>0</v>
      </c>
      <c r="P65" s="32" t="b" cm="1">
        <f t="array" ref="P65">INDEX(stable[is_single_select],MATCH(VALUE(questions[[#This Row],[qno]]),VALUE(stable[qno]),0))</f>
        <v>1</v>
      </c>
      <c r="Q65" s="9" t="b" cm="1">
        <f t="array" ref="Q65">INDEX(stable[is_multi_select],MATCH(VALUE(questions[[#This Row],[qno]]),VALUE(stable[qno]),0))</f>
        <v>0</v>
      </c>
      <c r="R65" s="9" t="b" cm="1">
        <f t="array" ref="R65">INDEX(stable[is_skip_logic],MATCH(VALUE(questions[[#This Row],[qno]]),VALUE(stable[qno]),0))</f>
        <v>1</v>
      </c>
      <c r="S65" s="9" t="str">
        <f>_xlfn.TEXTJOIN(", ",TRUE,questions[[#This Row],[ans_opt_1]:[ans_opt_14]])</f>
        <v/>
      </c>
      <c r="AH65" s="16" t="b">
        <f>INDEX(stable[q_standard],MATCH(questions[[#This Row],[qno]],stable[qno],0))</f>
        <v>0</v>
      </c>
      <c r="AI65" s="16" t="b">
        <f>INDEX(stable[q_living_income],MATCH(questions[[#This Row],[qno]],stable[qno],0))</f>
        <v>1</v>
      </c>
      <c r="AJ65" s="16" t="b">
        <f>INDEX(stable[q_carbon],MATCH(questions[[#This Row],[qno]],stable[qno],0))</f>
        <v>1</v>
      </c>
      <c r="AK65" s="16" t="b">
        <f>INDEX(stable[q_regen_ag],MATCH(questions[[#This Row],[qno]],stable[qno],0))</f>
        <v>0</v>
      </c>
      <c r="AL65" s="16" t="b">
        <f>COUNTIFS(stable[qno],questions[[#This Row],[qno]])=1</f>
        <v>1</v>
      </c>
      <c r="AM65" s="16" t="b">
        <f>OR(questions[[#This Row],[is_fixed]],questions[[#This Row],[is_localized]],questions[[#This Row],[is_supply_chain_dependent]])</f>
        <v>1</v>
      </c>
      <c r="AN65" s="16" t="b">
        <f>COUNTIFS(questions[[#This Row],[is_automated]:[is_multi_select]],TRUE)=1</f>
        <v>0</v>
      </c>
      <c r="AO65" s="16" t="b">
        <f>IF(questions[[#This Row],[is_fixed]],questions[[#This Row],[question]]=INDEX(stable[question],MATCH(questions[[#This Row],[qno]],stable[qno],0)),TRUE)</f>
        <v>0</v>
      </c>
      <c r="AP65" s="16" t="str">
        <f>LEFT(questions[[#This Row],[question]],similarity_range)</f>
        <v>If yes, what was the</v>
      </c>
      <c r="AQ65" s="16" t="str">
        <f>LEFT(INDEX(stable[question],MATCH(questions[[#This Row],[qno]],stable[qno],0)),similarity_range)</f>
        <v>Was there a second t</v>
      </c>
      <c r="AR65" s="16" t="b">
        <f>questions[[#This Row],[question_first_characters]]=questions[[#This Row],[stability_first_characters]]</f>
        <v>0</v>
      </c>
      <c r="AS65" s="16" t="b">
        <f>IF(OR(questions[[#This Row],[is_single_select]],questions[[#This Row],[is_multi_select]]),NOT(ISBLANK(questions[[#This Row],[answer_opt_combined]])),TRUE)</f>
        <v>1</v>
      </c>
    </row>
    <row r="66" spans="1:45" x14ac:dyDescent="0.25">
      <c r="A66" s="9" t="str">
        <f>_xlfn.TEXTJOIN("_",TRUE,questions[[#This Row],[origin]:[qno]])</f>
        <v>Indonesia_Arabica_west_java_impact_5411</v>
      </c>
      <c r="B66" s="9" t="s">
        <v>58</v>
      </c>
      <c r="C66" s="9" t="s">
        <v>59</v>
      </c>
      <c r="D66" s="9" t="s">
        <v>60</v>
      </c>
      <c r="F66" s="9" t="s">
        <v>191</v>
      </c>
      <c r="G66" s="9" t="s">
        <v>192</v>
      </c>
      <c r="H66" s="9" t="str" cm="1">
        <f t="array" ref="H66">INDEX(stableR[question],MATCH(VALUE(questions[[#This Row],[qno]]),VALUE(stableR[qno]),0))</f>
        <v>What was the total quantity of this type of animal manure/compost/organic fertilizer that you used second most? (Kg)</v>
      </c>
      <c r="I66" s="9" t="b" cm="1">
        <f t="array" ref="I66">INDEX(stable[is_fixed],MATCH(VALUE(questions[[#This Row],[qno]]),VALUE(stable[qno]),0))</f>
        <v>1</v>
      </c>
      <c r="J66" s="9" t="b" cm="1">
        <f t="array" ref="J66">INDEX(stable[is_localized],MATCH(VALUE(questions[[#This Row],[qno]]),VALUE(stable[qno]),0))</f>
        <v>0</v>
      </c>
      <c r="K66" s="9" t="b" cm="1">
        <f t="array" ref="K66">INDEX(stable[is_supply_chain_dependent],MATCH(VALUE(questions[[#This Row],[qno]]),VALUE(stable[qno]),0))</f>
        <v>0</v>
      </c>
      <c r="L66" s="9" t="b" cm="1">
        <f t="array" ref="L66">INDEX(stable[is_mandatory],MATCH(VALUE(questions[[#This Row],[qno]]),VALUE(stable[qno]),0))</f>
        <v>0</v>
      </c>
      <c r="M66" s="9" t="b" cm="1">
        <f t="array" ref="M66">INDEX(stable[is_automated],MATCH(VALUE(questions[[#This Row],[qno]]),VALUE(stable[qno]),0))</f>
        <v>0</v>
      </c>
      <c r="N66" s="9" t="b" cm="1">
        <f t="array" ref="N66">INDEX(stable[is_free_text],MATCH(VALUE(questions[[#This Row],[qno]]),VALUE(stable[qno]),0))</f>
        <v>0</v>
      </c>
      <c r="O66" s="9" t="b" cm="1">
        <f t="array" ref="O66">INDEX(stable[is_numerical],MATCH(VALUE(questions[[#This Row],[qno]]),VALUE(stable[qno]),0))</f>
        <v>1</v>
      </c>
      <c r="P66" s="32" t="b" cm="1">
        <f t="array" ref="P66">INDEX(stable[is_single_select],MATCH(VALUE(questions[[#This Row],[qno]]),VALUE(stable[qno]),0))</f>
        <v>0</v>
      </c>
      <c r="Q66" s="9" t="b" cm="1">
        <f t="array" ref="Q66">INDEX(stable[is_multi_select],MATCH(VALUE(questions[[#This Row],[qno]]),VALUE(stable[qno]),0))</f>
        <v>0</v>
      </c>
      <c r="R66" s="9" t="b" cm="1">
        <f t="array" ref="R66">INDEX(stable[is_skip_logic],MATCH(VALUE(questions[[#This Row],[qno]]),VALUE(stable[qno]),0))</f>
        <v>1</v>
      </c>
      <c r="S66" s="9" t="str">
        <f>_xlfn.TEXTJOIN(", ",TRUE,questions[[#This Row],[ans_opt_1]:[ans_opt_14]])</f>
        <v/>
      </c>
      <c r="AH66" s="16" t="b">
        <f>INDEX(stable[q_standard],MATCH(questions[[#This Row],[qno]],stable[qno],0))</f>
        <v>0</v>
      </c>
      <c r="AI66" s="16" t="b">
        <f>INDEX(stable[q_living_income],MATCH(questions[[#This Row],[qno]],stable[qno],0))</f>
        <v>1</v>
      </c>
      <c r="AJ66" s="16" t="b">
        <f>INDEX(stable[q_carbon],MATCH(questions[[#This Row],[qno]],stable[qno],0))</f>
        <v>1</v>
      </c>
      <c r="AK66" s="16" t="b">
        <f>INDEX(stable[q_regen_ag],MATCH(questions[[#This Row],[qno]],stable[qno],0))</f>
        <v>0</v>
      </c>
      <c r="AL66" s="16" t="b">
        <f>COUNTIFS(stable[qno],questions[[#This Row],[qno]])=1</f>
        <v>1</v>
      </c>
      <c r="AM66" s="16" t="b">
        <f>OR(questions[[#This Row],[is_fixed]],questions[[#This Row],[is_localized]],questions[[#This Row],[is_supply_chain_dependent]])</f>
        <v>1</v>
      </c>
      <c r="AN66" s="16" t="b">
        <f>COUNTIFS(questions[[#This Row],[is_automated]:[is_multi_select]],TRUE)=1</f>
        <v>1</v>
      </c>
      <c r="AO66" s="16" t="b">
        <f>IF(questions[[#This Row],[is_fixed]],questions[[#This Row],[question]]=INDEX(stable[question],MATCH(questions[[#This Row],[qno]],stable[qno],0)),TRUE)</f>
        <v>1</v>
      </c>
      <c r="AP66" s="16" t="str">
        <f>LEFT(questions[[#This Row],[question]],similarity_range)</f>
        <v>What was the total q</v>
      </c>
      <c r="AQ66" s="16" t="str">
        <f>LEFT(INDEX(stable[question],MATCH(questions[[#This Row],[qno]],stable[qno],0)),similarity_range)</f>
        <v>What was the total q</v>
      </c>
      <c r="AR66" s="16" t="b">
        <f>questions[[#This Row],[question_first_characters]]=questions[[#This Row],[stability_first_characters]]</f>
        <v>1</v>
      </c>
      <c r="AS66" s="16" t="b">
        <f>IF(OR(questions[[#This Row],[is_single_select]],questions[[#This Row],[is_multi_select]]),NOT(ISBLANK(questions[[#This Row],[answer_opt_combined]])),TRUE)</f>
        <v>1</v>
      </c>
    </row>
    <row r="67" spans="1:45" x14ac:dyDescent="0.25">
      <c r="A67" s="9" t="str">
        <f>_xlfn.TEXTJOIN("_",TRUE,questions[[#This Row],[origin]:[qno]])</f>
        <v>Indonesia_Arabica_west_java_impact_5412</v>
      </c>
      <c r="B67" s="9" t="s">
        <v>58</v>
      </c>
      <c r="C67" s="9" t="s">
        <v>59</v>
      </c>
      <c r="D67" s="9" t="s">
        <v>60</v>
      </c>
      <c r="F67" s="9" t="s">
        <v>193</v>
      </c>
      <c r="G67" s="9" t="s">
        <v>194</v>
      </c>
      <c r="H67" s="9" t="str" cm="1">
        <f t="array" ref="H67">INDEX(stableR[question],MATCH(VALUE(questions[[#This Row],[qno]]),VALUE(stableR[qno]),0))</f>
        <v>What was the unit of this type of animal manure/compost/organic fertilizer that you used second most (kg, basins, 50 kg bags, wheel barrows, small truck/tipper, large truck)?</v>
      </c>
      <c r="I67" s="9" t="b" cm="1">
        <f t="array" ref="I67">INDEX(stable[is_fixed],MATCH(VALUE(questions[[#This Row],[qno]]),VALUE(stable[qno]),0))</f>
        <v>1</v>
      </c>
      <c r="J67" s="9" t="b" cm="1">
        <f t="array" ref="J67">INDEX(stable[is_localized],MATCH(VALUE(questions[[#This Row],[qno]]),VALUE(stable[qno]),0))</f>
        <v>0</v>
      </c>
      <c r="K67" s="9" t="b" cm="1">
        <f t="array" ref="K67">INDEX(stable[is_supply_chain_dependent],MATCH(VALUE(questions[[#This Row],[qno]]),VALUE(stable[qno]),0))</f>
        <v>0</v>
      </c>
      <c r="L67" s="9" t="b" cm="1">
        <f t="array" ref="L67">INDEX(stable[is_mandatory],MATCH(VALUE(questions[[#This Row],[qno]]),VALUE(stable[qno]),0))</f>
        <v>0</v>
      </c>
      <c r="M67" s="9" t="b" cm="1">
        <f t="array" ref="M67">INDEX(stable[is_automated],MATCH(VALUE(questions[[#This Row],[qno]]),VALUE(stable[qno]),0))</f>
        <v>0</v>
      </c>
      <c r="N67" s="9" t="b" cm="1">
        <f t="array" ref="N67">INDEX(stable[is_free_text],MATCH(VALUE(questions[[#This Row],[qno]]),VALUE(stable[qno]),0))</f>
        <v>1</v>
      </c>
      <c r="O67" s="9" t="b" cm="1">
        <f t="array" ref="O67">INDEX(stable[is_numerical],MATCH(VALUE(questions[[#This Row],[qno]]),VALUE(stable[qno]),0))</f>
        <v>0</v>
      </c>
      <c r="P67" s="32" t="b" cm="1">
        <f t="array" ref="P67">INDEX(stable[is_single_select],MATCH(VALUE(questions[[#This Row],[qno]]),VALUE(stable[qno]),0))</f>
        <v>0</v>
      </c>
      <c r="Q67" s="9" t="b" cm="1">
        <f t="array" ref="Q67">INDEX(stable[is_multi_select],MATCH(VALUE(questions[[#This Row],[qno]]),VALUE(stable[qno]),0))</f>
        <v>0</v>
      </c>
      <c r="R67" s="9" t="b" cm="1">
        <f t="array" ref="R67">INDEX(stable[is_skip_logic],MATCH(VALUE(questions[[#This Row],[qno]]),VALUE(stable[qno]),0))</f>
        <v>1</v>
      </c>
      <c r="S67" s="9" t="str">
        <f>_xlfn.TEXTJOIN(", ",TRUE,questions[[#This Row],[ans_opt_1]:[ans_opt_14]])</f>
        <v/>
      </c>
      <c r="AH67" s="16" t="b">
        <f>INDEX(stable[q_standard],MATCH(questions[[#This Row],[qno]],stable[qno],0))</f>
        <v>0</v>
      </c>
      <c r="AI67" s="16" t="b">
        <f>INDEX(stable[q_living_income],MATCH(questions[[#This Row],[qno]],stable[qno],0))</f>
        <v>1</v>
      </c>
      <c r="AJ67" s="16" t="b">
        <f>INDEX(stable[q_carbon],MATCH(questions[[#This Row],[qno]],stable[qno],0))</f>
        <v>1</v>
      </c>
      <c r="AK67" s="16" t="b">
        <f>INDEX(stable[q_regen_ag],MATCH(questions[[#This Row],[qno]],stable[qno],0))</f>
        <v>0</v>
      </c>
      <c r="AL67" s="16" t="b">
        <f>COUNTIFS(stable[qno],questions[[#This Row],[qno]])=1</f>
        <v>1</v>
      </c>
      <c r="AM67" s="16" t="b">
        <f>OR(questions[[#This Row],[is_fixed]],questions[[#This Row],[is_localized]],questions[[#This Row],[is_supply_chain_dependent]])</f>
        <v>1</v>
      </c>
      <c r="AN67" s="16" t="b">
        <f>COUNTIFS(questions[[#This Row],[is_automated]:[is_multi_select]],TRUE)=1</f>
        <v>1</v>
      </c>
      <c r="AO67" s="16" t="b">
        <f>IF(questions[[#This Row],[is_fixed]],questions[[#This Row],[question]]=INDEX(stable[question],MATCH(questions[[#This Row],[qno]],stable[qno],0)),TRUE)</f>
        <v>1</v>
      </c>
      <c r="AP67" s="16" t="str">
        <f>LEFT(questions[[#This Row],[question]],similarity_range)</f>
        <v>What was the unit of</v>
      </c>
      <c r="AQ67" s="16" t="str">
        <f>LEFT(INDEX(stable[question],MATCH(questions[[#This Row],[qno]],stable[qno],0)),similarity_range)</f>
        <v>What was the unit of</v>
      </c>
      <c r="AR67" s="16" t="b">
        <f>questions[[#This Row],[question_first_characters]]=questions[[#This Row],[stability_first_characters]]</f>
        <v>1</v>
      </c>
      <c r="AS67" s="16" t="b">
        <f>IF(OR(questions[[#This Row],[is_single_select]],questions[[#This Row],[is_multi_select]]),NOT(ISBLANK(questions[[#This Row],[answer_opt_combined]])),TRUE)</f>
        <v>1</v>
      </c>
    </row>
    <row r="68" spans="1:45" s="77" customFormat="1" x14ac:dyDescent="0.25">
      <c r="A68" s="77" t="str">
        <f>_xlfn.TEXTJOIN("_",TRUE,questions[[#This Row],[origin]:[qno]])</f>
        <v>Indonesia_Arabica_west_java_impact_5413</v>
      </c>
      <c r="B68" s="77" t="s">
        <v>58</v>
      </c>
      <c r="C68" s="77" t="s">
        <v>59</v>
      </c>
      <c r="D68" s="77" t="s">
        <v>60</v>
      </c>
      <c r="F68" s="77" t="s">
        <v>195</v>
      </c>
      <c r="G68" s="77" t="s">
        <v>196</v>
      </c>
      <c r="H68" s="9" t="str" cm="1">
        <f t="array" ref="H68">INDEX(stableR[question],MATCH(VALUE(questions[[#This Row],[qno]]),VALUE(stableR[qno]),0))</f>
        <v>How did you get this manure/compost/organic fertilizer that you used second most?</v>
      </c>
      <c r="I68" s="9" t="b" cm="1">
        <f t="array" ref="I68">INDEX(stable[is_fixed],MATCH(VALUE(questions[[#This Row],[qno]]),VALUE(stable[qno]),0))</f>
        <v>1</v>
      </c>
      <c r="J68" s="9" t="b" cm="1">
        <f t="array" ref="J68">INDEX(stable[is_localized],MATCH(VALUE(questions[[#This Row],[qno]]),VALUE(stable[qno]),0))</f>
        <v>0</v>
      </c>
      <c r="K68" s="9" t="b" cm="1">
        <f t="array" ref="K68">INDEX(stable[is_supply_chain_dependent],MATCH(VALUE(questions[[#This Row],[qno]]),VALUE(stable[qno]),0))</f>
        <v>0</v>
      </c>
      <c r="L68" s="9" t="b" cm="1">
        <f t="array" ref="L68">INDEX(stable[is_mandatory],MATCH(VALUE(questions[[#This Row],[qno]]),VALUE(stable[qno]),0))</f>
        <v>0</v>
      </c>
      <c r="M68" s="9" t="b" cm="1">
        <f t="array" ref="M68">INDEX(stable[is_automated],MATCH(VALUE(questions[[#This Row],[qno]]),VALUE(stable[qno]),0))</f>
        <v>0</v>
      </c>
      <c r="N68" s="9" t="b" cm="1">
        <f t="array" ref="N68">INDEX(stable[is_free_text],MATCH(VALUE(questions[[#This Row],[qno]]),VALUE(stable[qno]),0))</f>
        <v>0</v>
      </c>
      <c r="O68" s="9" t="b" cm="1">
        <f t="array" ref="O68">INDEX(stable[is_numerical],MATCH(VALUE(questions[[#This Row],[qno]]),VALUE(stable[qno]),0))</f>
        <v>0</v>
      </c>
      <c r="P68" s="103" t="b" cm="1">
        <f t="array" ref="P68">INDEX(stable[is_single_select],MATCH(VALUE(questions[[#This Row],[qno]]),VALUE(stable[qno]),0))</f>
        <v>1</v>
      </c>
      <c r="Q68" s="77" t="b" cm="1">
        <f t="array" ref="Q68">INDEX(stable[is_multi_select],MATCH(VALUE(questions[[#This Row],[qno]]),VALUE(stable[qno]),0))</f>
        <v>0</v>
      </c>
      <c r="R68" s="77" t="b" cm="1">
        <f t="array" ref="R68">INDEX(stable[is_skip_logic],MATCH(VALUE(questions[[#This Row],[qno]]),VALUE(stable[qno]),0))</f>
        <v>1</v>
      </c>
      <c r="S68" s="77" t="str">
        <f>_xlfn.TEXTJOIN(", ",TRUE,questions[[#This Row],[ans_opt_1]:[ans_opt_14]])</f>
        <v>Bought, From own farm, Received for free, Both from own farm &amp; bought/received from outside the farm</v>
      </c>
      <c r="T68" s="77" t="s">
        <v>185</v>
      </c>
      <c r="U68" s="77" t="s">
        <v>186</v>
      </c>
      <c r="V68" s="77" t="s">
        <v>187</v>
      </c>
      <c r="W68" s="77" t="s">
        <v>188</v>
      </c>
      <c r="AH68" s="98" t="b">
        <f>INDEX(stable[q_standard],MATCH(questions[[#This Row],[qno]],stable[qno],0))</f>
        <v>0</v>
      </c>
      <c r="AI68" s="98" t="b">
        <f>INDEX(stable[q_living_income],MATCH(questions[[#This Row],[qno]],stable[qno],0))</f>
        <v>1</v>
      </c>
      <c r="AJ68" s="98" t="b">
        <f>INDEX(stable[q_carbon],MATCH(questions[[#This Row],[qno]],stable[qno],0))</f>
        <v>1</v>
      </c>
      <c r="AK68" s="98" t="b">
        <f>INDEX(stable[q_regen_ag],MATCH(questions[[#This Row],[qno]],stable[qno],0))</f>
        <v>0</v>
      </c>
      <c r="AL68" s="98" t="b">
        <f>COUNTIFS(stable[qno],questions[[#This Row],[qno]])=1</f>
        <v>1</v>
      </c>
      <c r="AM68" s="98" t="b">
        <f>OR(questions[[#This Row],[is_fixed]],questions[[#This Row],[is_localized]],questions[[#This Row],[is_supply_chain_dependent]])</f>
        <v>1</v>
      </c>
      <c r="AN68" s="98" t="b">
        <f>COUNTIFS(questions[[#This Row],[is_automated]:[is_multi_select]],TRUE)=1</f>
        <v>1</v>
      </c>
      <c r="AO68" s="98" t="b">
        <f>IF(questions[[#This Row],[is_fixed]],questions[[#This Row],[question]]=INDEX(stable[question],MATCH(questions[[#This Row],[qno]],stable[qno],0)),TRUE)</f>
        <v>0</v>
      </c>
      <c r="AP68" s="98" t="str">
        <f>LEFT(questions[[#This Row],[question]],similarity_range)</f>
        <v>Did you buy this man</v>
      </c>
      <c r="AQ68" s="98" t="str">
        <f>LEFT(INDEX(stable[question],MATCH(questions[[#This Row],[qno]],stable[qno],0)),similarity_range)</f>
        <v>How did you get this</v>
      </c>
      <c r="AR68" s="98" t="b">
        <f>questions[[#This Row],[question_first_characters]]=questions[[#This Row],[stability_first_characters]]</f>
        <v>0</v>
      </c>
      <c r="AS68" s="98" t="b">
        <f>IF(OR(questions[[#This Row],[is_single_select]],questions[[#This Row],[is_multi_select]]),NOT(ISBLANK(questions[[#This Row],[answer_opt_combined]])),TRUE)</f>
        <v>1</v>
      </c>
    </row>
    <row r="69" spans="1:45" s="77" customFormat="1" x14ac:dyDescent="0.25">
      <c r="A69" s="77" t="str">
        <f>_xlfn.TEXTJOIN("_",TRUE,questions[[#This Row],[origin]:[qno]])</f>
        <v>Indonesia_Arabica_west_java_impact_5500</v>
      </c>
      <c r="B69" s="77" t="s">
        <v>58</v>
      </c>
      <c r="C69" s="77" t="s">
        <v>59</v>
      </c>
      <c r="D69" s="77" t="s">
        <v>60</v>
      </c>
      <c r="F69" s="77" t="s">
        <v>197</v>
      </c>
      <c r="G69" s="77" t="s">
        <v>198</v>
      </c>
      <c r="H69" s="9" t="str" cm="1">
        <f t="array" ref="H69">INDEX(stableR[question],MATCH(VALUE(questions[[#This Row],[qno]]),VALUE(stableR[qno]),0))</f>
        <v>Did you apply any type of mulch on your coffee last year?</v>
      </c>
      <c r="I69" s="9" t="b" cm="1">
        <f t="array" ref="I69">INDEX(stable[is_fixed],MATCH(VALUE(questions[[#This Row],[qno]]),VALUE(stable[qno]),0))</f>
        <v>1</v>
      </c>
      <c r="J69" s="9" t="b" cm="1">
        <f t="array" ref="J69">INDEX(stable[is_localized],MATCH(VALUE(questions[[#This Row],[qno]]),VALUE(stable[qno]),0))</f>
        <v>0</v>
      </c>
      <c r="K69" s="9" t="b" cm="1">
        <f t="array" ref="K69">INDEX(stable[is_supply_chain_dependent],MATCH(VALUE(questions[[#This Row],[qno]]),VALUE(stable[qno]),0))</f>
        <v>0</v>
      </c>
      <c r="L69" s="9" t="b" cm="1">
        <f t="array" ref="L69">INDEX(stable[is_mandatory],MATCH(VALUE(questions[[#This Row],[qno]]),VALUE(stable[qno]),0))</f>
        <v>1</v>
      </c>
      <c r="M69" s="9" t="b" cm="1">
        <f t="array" ref="M69">INDEX(stable[is_automated],MATCH(VALUE(questions[[#This Row],[qno]]),VALUE(stable[qno]),0))</f>
        <v>0</v>
      </c>
      <c r="N69" s="9" t="b" cm="1">
        <f t="array" ref="N69">INDEX(stable[is_free_text],MATCH(VALUE(questions[[#This Row],[qno]]),VALUE(stable[qno]),0))</f>
        <v>0</v>
      </c>
      <c r="O69" s="9" t="b" cm="1">
        <f t="array" ref="O69">INDEX(stable[is_numerical],MATCH(VALUE(questions[[#This Row],[qno]]),VALUE(stable[qno]),0))</f>
        <v>0</v>
      </c>
      <c r="P69" s="103" t="b" cm="1">
        <f t="array" ref="P69">INDEX(stable[is_single_select],MATCH(VALUE(questions[[#This Row],[qno]]),VALUE(stable[qno]),0))</f>
        <v>1</v>
      </c>
      <c r="Q69" s="77" t="b" cm="1">
        <f t="array" ref="Q69">INDEX(stable[is_multi_select],MATCH(VALUE(questions[[#This Row],[qno]]),VALUE(stable[qno]),0))</f>
        <v>0</v>
      </c>
      <c r="R69" s="77" t="b" cm="1">
        <f t="array" ref="R69">INDEX(stable[is_skip_logic],MATCH(VALUE(questions[[#This Row],[qno]]),VALUE(stable[qno]),0))</f>
        <v>1</v>
      </c>
      <c r="S69" s="77" t="str">
        <f>_xlfn.TEXTJOIN(", ",TRUE,questions[[#This Row],[ans_opt_1]:[ans_opt_14]])</f>
        <v>Yes, No</v>
      </c>
      <c r="T69" s="77" t="s">
        <v>149</v>
      </c>
      <c r="U69" s="77" t="s">
        <v>119</v>
      </c>
      <c r="AH69" s="98" t="b">
        <f>INDEX(stable[q_standard],MATCH(questions[[#This Row],[qno]],stable[qno],0))</f>
        <v>0</v>
      </c>
      <c r="AI69" s="98" t="b">
        <f>INDEX(stable[q_living_income],MATCH(questions[[#This Row],[qno]],stable[qno],0))</f>
        <v>1</v>
      </c>
      <c r="AJ69" s="98" t="b">
        <f>INDEX(stable[q_carbon],MATCH(questions[[#This Row],[qno]],stable[qno],0))</f>
        <v>1</v>
      </c>
      <c r="AK69" s="98" t="b">
        <f>INDEX(stable[q_regen_ag],MATCH(questions[[#This Row],[qno]],stable[qno],0))</f>
        <v>0</v>
      </c>
      <c r="AL69" s="98" t="b">
        <f>COUNTIFS(stable[qno],questions[[#This Row],[qno]])=1</f>
        <v>1</v>
      </c>
      <c r="AM69" s="98" t="b">
        <f>OR(questions[[#This Row],[is_fixed]],questions[[#This Row],[is_localized]],questions[[#This Row],[is_supply_chain_dependent]])</f>
        <v>1</v>
      </c>
      <c r="AN69" s="98" t="b">
        <f>COUNTIFS(questions[[#This Row],[is_automated]:[is_multi_select]],TRUE)=1</f>
        <v>1</v>
      </c>
      <c r="AO69" s="98" t="b">
        <f>IF(questions[[#This Row],[is_fixed]],questions[[#This Row],[question]]=INDEX(stable[question],MATCH(questions[[#This Row],[qno]],stable[qno],0)),TRUE)</f>
        <v>1</v>
      </c>
      <c r="AP69" s="98" t="str">
        <f>LEFT(questions[[#This Row],[question]],similarity_range)</f>
        <v>Did you apply any ty</v>
      </c>
      <c r="AQ69" s="98" t="str">
        <f>LEFT(INDEX(stable[question],MATCH(questions[[#This Row],[qno]],stable[qno],0)),similarity_range)</f>
        <v>Did you apply any ty</v>
      </c>
      <c r="AR69" s="98" t="b">
        <f>questions[[#This Row],[question_first_characters]]=questions[[#This Row],[stability_first_characters]]</f>
        <v>1</v>
      </c>
      <c r="AS69" s="98" t="b">
        <f>IF(OR(questions[[#This Row],[is_single_select]],questions[[#This Row],[is_multi_select]]),NOT(ISBLANK(questions[[#This Row],[answer_opt_combined]])),TRUE)</f>
        <v>1</v>
      </c>
    </row>
    <row r="70" spans="1:45" x14ac:dyDescent="0.25">
      <c r="A70" s="9" t="str">
        <f>_xlfn.TEXTJOIN("_",TRUE,questions[[#This Row],[origin]:[qno]])</f>
        <v>Indonesia_Arabica_west_java_impact_5501</v>
      </c>
      <c r="B70" s="9" t="s">
        <v>58</v>
      </c>
      <c r="C70" s="9" t="s">
        <v>59</v>
      </c>
      <c r="D70" s="9" t="s">
        <v>60</v>
      </c>
      <c r="F70" s="9" t="s">
        <v>199</v>
      </c>
      <c r="G70" s="9" t="s">
        <v>200</v>
      </c>
      <c r="H70" s="9" t="str" cm="1">
        <f t="array" ref="H70">INDEX(stableR[question],MATCH(VALUE(questions[[#This Row],[qno]]),VALUE(stableR[qno]),0))</f>
        <v>What type of mulch?</v>
      </c>
      <c r="I70" s="9" t="b" cm="1">
        <f t="array" ref="I70">INDEX(stable[is_fixed],MATCH(VALUE(questions[[#This Row],[qno]]),VALUE(stable[qno]),0))</f>
        <v>1</v>
      </c>
      <c r="J70" s="9" t="b" cm="1">
        <f t="array" ref="J70">INDEX(stable[is_localized],MATCH(VALUE(questions[[#This Row],[qno]]),VALUE(stable[qno]),0))</f>
        <v>0</v>
      </c>
      <c r="K70" s="9" t="b" cm="1">
        <f t="array" ref="K70">INDEX(stable[is_supply_chain_dependent],MATCH(VALUE(questions[[#This Row],[qno]]),VALUE(stable[qno]),0))</f>
        <v>0</v>
      </c>
      <c r="L70" s="9" t="b" cm="1">
        <f t="array" ref="L70">INDEX(stable[is_mandatory],MATCH(VALUE(questions[[#This Row],[qno]]),VALUE(stable[qno]),0))</f>
        <v>0</v>
      </c>
      <c r="M70" s="9" t="b" cm="1">
        <f t="array" ref="M70">INDEX(stable[is_automated],MATCH(VALUE(questions[[#This Row],[qno]]),VALUE(stable[qno]),0))</f>
        <v>0</v>
      </c>
      <c r="N70" s="9" t="b" cm="1">
        <f t="array" ref="N70">INDEX(stable[is_free_text],MATCH(VALUE(questions[[#This Row],[qno]]),VALUE(stable[qno]),0))</f>
        <v>0</v>
      </c>
      <c r="O70" s="9" t="b" cm="1">
        <f t="array" ref="O70">INDEX(stable[is_numerical],MATCH(VALUE(questions[[#This Row],[qno]]),VALUE(stable[qno]),0))</f>
        <v>0</v>
      </c>
      <c r="P70" s="32" t="b" cm="1">
        <f t="array" ref="P70">INDEX(stable[is_single_select],MATCH(VALUE(questions[[#This Row],[qno]]),VALUE(stable[qno]),0))</f>
        <v>0</v>
      </c>
      <c r="Q70" s="9" t="b" cm="1">
        <f t="array" ref="Q70">INDEX(stable[is_multi_select],MATCH(VALUE(questions[[#This Row],[qno]]),VALUE(stable[qno]),0))</f>
        <v>1</v>
      </c>
      <c r="R70" s="9" t="b" cm="1">
        <f t="array" ref="R70">INDEX(stable[is_skip_logic],MATCH(VALUE(questions[[#This Row],[qno]]),VALUE(stable[qno]),0))</f>
        <v>1</v>
      </c>
      <c r="S70" s="9" t="str">
        <f>_xlfn.TEXTJOIN(", ",TRUE,questions[[#This Row],[ans_opt_1]:[ans_opt_14]])</f>
        <v/>
      </c>
      <c r="AH70" s="16" t="b">
        <f>INDEX(stable[q_standard],MATCH(questions[[#This Row],[qno]],stable[qno],0))</f>
        <v>0</v>
      </c>
      <c r="AI70" s="16" t="b">
        <f>INDEX(stable[q_living_income],MATCH(questions[[#This Row],[qno]],stable[qno],0))</f>
        <v>1</v>
      </c>
      <c r="AJ70" s="16" t="b">
        <f>INDEX(stable[q_carbon],MATCH(questions[[#This Row],[qno]],stable[qno],0))</f>
        <v>1</v>
      </c>
      <c r="AK70" s="16" t="b">
        <f>INDEX(stable[q_regen_ag],MATCH(questions[[#This Row],[qno]],stable[qno],0))</f>
        <v>0</v>
      </c>
      <c r="AL70" s="16" t="b">
        <f>COUNTIFS(stable[qno],questions[[#This Row],[qno]])=1</f>
        <v>1</v>
      </c>
      <c r="AM70" s="16" t="b">
        <f>OR(questions[[#This Row],[is_fixed]],questions[[#This Row],[is_localized]],questions[[#This Row],[is_supply_chain_dependent]])</f>
        <v>1</v>
      </c>
      <c r="AN70" s="16" t="b">
        <f>COUNTIFS(questions[[#This Row],[is_automated]:[is_multi_select]],TRUE)=1</f>
        <v>1</v>
      </c>
      <c r="AO70" s="16" t="b">
        <f>IF(questions[[#This Row],[is_fixed]],questions[[#This Row],[question]]=INDEX(stable[question],MATCH(questions[[#This Row],[qno]],stable[qno],0)),TRUE)</f>
        <v>1</v>
      </c>
      <c r="AP70" s="16" t="str">
        <f>LEFT(questions[[#This Row],[question]],similarity_range)</f>
        <v xml:space="preserve">What type of mulch? </v>
      </c>
      <c r="AQ70" s="16" t="str">
        <f>LEFT(INDEX(stable[question],MATCH(questions[[#This Row],[qno]],stable[qno],0)),similarity_range)</f>
        <v xml:space="preserve">What type of mulch? </v>
      </c>
      <c r="AR70" s="16" t="b">
        <f>questions[[#This Row],[question_first_characters]]=questions[[#This Row],[stability_first_characters]]</f>
        <v>1</v>
      </c>
      <c r="AS70" s="16" t="b">
        <f>IF(OR(questions[[#This Row],[is_single_select]],questions[[#This Row],[is_multi_select]]),NOT(ISBLANK(questions[[#This Row],[answer_opt_combined]])),TRUE)</f>
        <v>1</v>
      </c>
    </row>
    <row r="71" spans="1:45" x14ac:dyDescent="0.25">
      <c r="A71" s="9" t="str">
        <f>_xlfn.TEXTJOIN("_",TRUE,questions[[#This Row],[origin]:[qno]])</f>
        <v>Indonesia_Arabica_west_java_impact_5502</v>
      </c>
      <c r="B71" s="9" t="s">
        <v>58</v>
      </c>
      <c r="C71" s="9" t="s">
        <v>59</v>
      </c>
      <c r="D71" s="9" t="s">
        <v>60</v>
      </c>
      <c r="F71" s="9" t="s">
        <v>201</v>
      </c>
      <c r="G71" s="9" t="s">
        <v>202</v>
      </c>
      <c r="H71" s="9" t="str" cm="1">
        <f t="array" ref="H71">INDEX(stableR[question],MATCH(VALUE(questions[[#This Row],[qno]]),VALUE(stableR[qno]),0))</f>
        <v>What was the total quantity of mulch that you used? (Kg)</v>
      </c>
      <c r="I71" s="9" t="b" cm="1">
        <f t="array" ref="I71">INDEX(stable[is_fixed],MATCH(VALUE(questions[[#This Row],[qno]]),VALUE(stable[qno]),0))</f>
        <v>1</v>
      </c>
      <c r="J71" s="9" t="b" cm="1">
        <f t="array" ref="J71">INDEX(stable[is_localized],MATCH(VALUE(questions[[#This Row],[qno]]),VALUE(stable[qno]),0))</f>
        <v>0</v>
      </c>
      <c r="K71" s="9" t="b" cm="1">
        <f t="array" ref="K71">INDEX(stable[is_supply_chain_dependent],MATCH(VALUE(questions[[#This Row],[qno]]),VALUE(stable[qno]),0))</f>
        <v>0</v>
      </c>
      <c r="L71" s="9" t="b" cm="1">
        <f t="array" ref="L71">INDEX(stable[is_mandatory],MATCH(VALUE(questions[[#This Row],[qno]]),VALUE(stable[qno]),0))</f>
        <v>0</v>
      </c>
      <c r="M71" s="9" t="b" cm="1">
        <f t="array" ref="M71">INDEX(stable[is_automated],MATCH(VALUE(questions[[#This Row],[qno]]),VALUE(stable[qno]),0))</f>
        <v>0</v>
      </c>
      <c r="N71" s="9" t="b" cm="1">
        <f t="array" ref="N71">INDEX(stable[is_free_text],MATCH(VALUE(questions[[#This Row],[qno]]),VALUE(stable[qno]),0))</f>
        <v>0</v>
      </c>
      <c r="O71" s="9" t="b" cm="1">
        <f t="array" ref="O71">INDEX(stable[is_numerical],MATCH(VALUE(questions[[#This Row],[qno]]),VALUE(stable[qno]),0))</f>
        <v>1</v>
      </c>
      <c r="P71" s="32" t="b" cm="1">
        <f t="array" ref="P71">INDEX(stable[is_single_select],MATCH(VALUE(questions[[#This Row],[qno]]),VALUE(stable[qno]),0))</f>
        <v>0</v>
      </c>
      <c r="Q71" s="9" t="b" cm="1">
        <f t="array" ref="Q71">INDEX(stable[is_multi_select],MATCH(VALUE(questions[[#This Row],[qno]]),VALUE(stable[qno]),0))</f>
        <v>0</v>
      </c>
      <c r="R71" s="9" t="b" cm="1">
        <f t="array" ref="R71">INDEX(stable[is_skip_logic],MATCH(VALUE(questions[[#This Row],[qno]]),VALUE(stable[qno]),0))</f>
        <v>1</v>
      </c>
      <c r="S71" s="9" t="str">
        <f>_xlfn.TEXTJOIN(", ",TRUE,questions[[#This Row],[ans_opt_1]:[ans_opt_14]])</f>
        <v/>
      </c>
      <c r="AH71" s="16" t="b">
        <f>INDEX(stable[q_standard],MATCH(questions[[#This Row],[qno]],stable[qno],0))</f>
        <v>0</v>
      </c>
      <c r="AI71" s="16" t="b">
        <f>INDEX(stable[q_living_income],MATCH(questions[[#This Row],[qno]],stable[qno],0))</f>
        <v>1</v>
      </c>
      <c r="AJ71" s="16" t="b">
        <f>INDEX(stable[q_carbon],MATCH(questions[[#This Row],[qno]],stable[qno],0))</f>
        <v>1</v>
      </c>
      <c r="AK71" s="16" t="b">
        <f>INDEX(stable[q_regen_ag],MATCH(questions[[#This Row],[qno]],stable[qno],0))</f>
        <v>0</v>
      </c>
      <c r="AL71" s="16" t="b">
        <f>COUNTIFS(stable[qno],questions[[#This Row],[qno]])=1</f>
        <v>1</v>
      </c>
      <c r="AM71" s="16" t="b">
        <f>OR(questions[[#This Row],[is_fixed]],questions[[#This Row],[is_localized]],questions[[#This Row],[is_supply_chain_dependent]])</f>
        <v>1</v>
      </c>
      <c r="AN71" s="16" t="b">
        <f>COUNTIFS(questions[[#This Row],[is_automated]:[is_multi_select]],TRUE)=1</f>
        <v>1</v>
      </c>
      <c r="AO71" s="16" t="b">
        <f>IF(questions[[#This Row],[is_fixed]],questions[[#This Row],[question]]=INDEX(stable[question],MATCH(questions[[#This Row],[qno]],stable[qno],0)),TRUE)</f>
        <v>0</v>
      </c>
      <c r="AP71" s="16" t="str">
        <f>LEFT(questions[[#This Row],[question]],similarity_range)</f>
        <v>What was the total q</v>
      </c>
      <c r="AQ71" s="16" t="str">
        <f>LEFT(INDEX(stable[question],MATCH(questions[[#This Row],[qno]],stable[qno],0)),similarity_range)</f>
        <v>What was the total q</v>
      </c>
      <c r="AR71" s="16" t="b">
        <f>questions[[#This Row],[question_first_characters]]=questions[[#This Row],[stability_first_characters]]</f>
        <v>1</v>
      </c>
      <c r="AS71" s="16" t="b">
        <f>IF(OR(questions[[#This Row],[is_single_select]],questions[[#This Row],[is_multi_select]]),NOT(ISBLANK(questions[[#This Row],[answer_opt_combined]])),TRUE)</f>
        <v>1</v>
      </c>
    </row>
    <row r="72" spans="1:45" x14ac:dyDescent="0.25">
      <c r="A72" s="9" t="str">
        <f>_xlfn.TEXTJOIN("_",TRUE,questions[[#This Row],[origin]:[qno]])</f>
        <v>Indonesia_Arabica_west_java_impact_5503</v>
      </c>
      <c r="B72" s="9" t="s">
        <v>58</v>
      </c>
      <c r="C72" s="9" t="s">
        <v>59</v>
      </c>
      <c r="D72" s="9" t="s">
        <v>60</v>
      </c>
      <c r="F72" s="9" t="s">
        <v>203</v>
      </c>
      <c r="G72" s="9" t="s">
        <v>204</v>
      </c>
      <c r="H72" s="9" t="str" cm="1">
        <f t="array" ref="H72">INDEX(stableR[question],MATCH(VALUE(questions[[#This Row],[qno]]),VALUE(stableR[qno]),0))</f>
        <v>What was the unit, for the mulch used (kg, basins, bags, wheel barrows, small truck/tipper, large truck)</v>
      </c>
      <c r="I72" s="9" t="b" cm="1">
        <f t="array" ref="I72">INDEX(stable[is_fixed],MATCH(VALUE(questions[[#This Row],[qno]]),VALUE(stable[qno]),0))</f>
        <v>1</v>
      </c>
      <c r="J72" s="9" t="b" cm="1">
        <f t="array" ref="J72">INDEX(stable[is_localized],MATCH(VALUE(questions[[#This Row],[qno]]),VALUE(stable[qno]),0))</f>
        <v>0</v>
      </c>
      <c r="K72" s="9" t="b" cm="1">
        <f t="array" ref="K72">INDEX(stable[is_supply_chain_dependent],MATCH(VALUE(questions[[#This Row],[qno]]),VALUE(stable[qno]),0))</f>
        <v>0</v>
      </c>
      <c r="L72" s="9" t="b" cm="1">
        <f t="array" ref="L72">INDEX(stable[is_mandatory],MATCH(VALUE(questions[[#This Row],[qno]]),VALUE(stable[qno]),0))</f>
        <v>0</v>
      </c>
      <c r="M72" s="9" t="b" cm="1">
        <f t="array" ref="M72">INDEX(stable[is_automated],MATCH(VALUE(questions[[#This Row],[qno]]),VALUE(stable[qno]),0))</f>
        <v>0</v>
      </c>
      <c r="N72" s="9" t="b" cm="1">
        <f t="array" ref="N72">INDEX(stable[is_free_text],MATCH(VALUE(questions[[#This Row],[qno]]),VALUE(stable[qno]),0))</f>
        <v>1</v>
      </c>
      <c r="O72" s="9" t="b" cm="1">
        <f t="array" ref="O72">INDEX(stable[is_numerical],MATCH(VALUE(questions[[#This Row],[qno]]),VALUE(stable[qno]),0))</f>
        <v>0</v>
      </c>
      <c r="P72" s="32" t="b" cm="1">
        <f t="array" ref="P72">INDEX(stable[is_single_select],MATCH(VALUE(questions[[#This Row],[qno]]),VALUE(stable[qno]),0))</f>
        <v>0</v>
      </c>
      <c r="Q72" s="9" t="b" cm="1">
        <f t="array" ref="Q72">INDEX(stable[is_multi_select],MATCH(VALUE(questions[[#This Row],[qno]]),VALUE(stable[qno]),0))</f>
        <v>0</v>
      </c>
      <c r="R72" s="9" t="b" cm="1">
        <f t="array" ref="R72">INDEX(stable[is_skip_logic],MATCH(VALUE(questions[[#This Row],[qno]]),VALUE(stable[qno]),0))</f>
        <v>1</v>
      </c>
      <c r="S72" s="9" t="str">
        <f>_xlfn.TEXTJOIN(", ",TRUE,questions[[#This Row],[ans_opt_1]:[ans_opt_14]])</f>
        <v/>
      </c>
      <c r="AH72" s="16" t="b">
        <f>INDEX(stable[q_standard],MATCH(questions[[#This Row],[qno]],stable[qno],0))</f>
        <v>0</v>
      </c>
      <c r="AI72" s="16" t="b">
        <f>INDEX(stable[q_living_income],MATCH(questions[[#This Row],[qno]],stable[qno],0))</f>
        <v>1</v>
      </c>
      <c r="AJ72" s="16" t="b">
        <f>INDEX(stable[q_carbon],MATCH(questions[[#This Row],[qno]],stable[qno],0))</f>
        <v>1</v>
      </c>
      <c r="AK72" s="16" t="b">
        <f>INDEX(stable[q_regen_ag],MATCH(questions[[#This Row],[qno]],stable[qno],0))</f>
        <v>0</v>
      </c>
      <c r="AL72" s="16" t="b">
        <f>COUNTIFS(stable[qno],questions[[#This Row],[qno]])=1</f>
        <v>1</v>
      </c>
      <c r="AM72" s="16" t="b">
        <f>OR(questions[[#This Row],[is_fixed]],questions[[#This Row],[is_localized]],questions[[#This Row],[is_supply_chain_dependent]])</f>
        <v>1</v>
      </c>
      <c r="AN72" s="16" t="b">
        <f>COUNTIFS(questions[[#This Row],[is_automated]:[is_multi_select]],TRUE)=1</f>
        <v>1</v>
      </c>
      <c r="AO72" s="16" t="b">
        <f>IF(questions[[#This Row],[is_fixed]],questions[[#This Row],[question]]=INDEX(stable[question],MATCH(questions[[#This Row],[qno]],stable[qno],0)),TRUE)</f>
        <v>1</v>
      </c>
      <c r="AP72" s="16" t="str">
        <f>LEFT(questions[[#This Row],[question]],similarity_range)</f>
        <v>What was the unit, f</v>
      </c>
      <c r="AQ72" s="16" t="str">
        <f>LEFT(INDEX(stable[question],MATCH(questions[[#This Row],[qno]],stable[qno],0)),similarity_range)</f>
        <v>What was the unit, f</v>
      </c>
      <c r="AR72" s="16" t="b">
        <f>questions[[#This Row],[question_first_characters]]=questions[[#This Row],[stability_first_characters]]</f>
        <v>1</v>
      </c>
      <c r="AS72" s="16" t="b">
        <f>IF(OR(questions[[#This Row],[is_single_select]],questions[[#This Row],[is_multi_select]]),NOT(ISBLANK(questions[[#This Row],[answer_opt_combined]])),TRUE)</f>
        <v>1</v>
      </c>
    </row>
    <row r="73" spans="1:45" s="77" customFormat="1" x14ac:dyDescent="0.25">
      <c r="A73" s="77" t="str">
        <f>_xlfn.TEXTJOIN("_",TRUE,questions[[#This Row],[origin]:[qno]])</f>
        <v>Indonesia_Arabica_west_java_impact_5504</v>
      </c>
      <c r="B73" s="77" t="s">
        <v>58</v>
      </c>
      <c r="C73" s="77" t="s">
        <v>59</v>
      </c>
      <c r="D73" s="77" t="s">
        <v>60</v>
      </c>
      <c r="F73" s="77" t="s">
        <v>205</v>
      </c>
      <c r="G73" s="77" t="s">
        <v>206</v>
      </c>
      <c r="H73" s="9" t="str" cm="1">
        <f t="array" ref="H73">INDEX(stableR[question],MATCH(VALUE(questions[[#This Row],[qno]]),VALUE(stableR[qno]),0))</f>
        <v>From where was this mulch sourced?</v>
      </c>
      <c r="I73" s="9" t="b" cm="1">
        <f t="array" ref="I73">INDEX(stable[is_fixed],MATCH(VALUE(questions[[#This Row],[qno]]),VALUE(stable[qno]),0))</f>
        <v>1</v>
      </c>
      <c r="J73" s="9" t="b" cm="1">
        <f t="array" ref="J73">INDEX(stable[is_localized],MATCH(VALUE(questions[[#This Row],[qno]]),VALUE(stable[qno]),0))</f>
        <v>0</v>
      </c>
      <c r="K73" s="9" t="b" cm="1">
        <f t="array" ref="K73">INDEX(stable[is_supply_chain_dependent],MATCH(VALUE(questions[[#This Row],[qno]]),VALUE(stable[qno]),0))</f>
        <v>0</v>
      </c>
      <c r="L73" s="9" t="b" cm="1">
        <f t="array" ref="L73">INDEX(stable[is_mandatory],MATCH(VALUE(questions[[#This Row],[qno]]),VALUE(stable[qno]),0))</f>
        <v>0</v>
      </c>
      <c r="M73" s="9" t="b" cm="1">
        <f t="array" ref="M73">INDEX(stable[is_automated],MATCH(VALUE(questions[[#This Row],[qno]]),VALUE(stable[qno]),0))</f>
        <v>0</v>
      </c>
      <c r="N73" s="9" t="b" cm="1">
        <f t="array" ref="N73">INDEX(stable[is_free_text],MATCH(VALUE(questions[[#This Row],[qno]]),VALUE(stable[qno]),0))</f>
        <v>0</v>
      </c>
      <c r="O73" s="9" t="b" cm="1">
        <f t="array" ref="O73">INDEX(stable[is_numerical],MATCH(VALUE(questions[[#This Row],[qno]]),VALUE(stable[qno]),0))</f>
        <v>0</v>
      </c>
      <c r="P73" s="103" t="b" cm="1">
        <f t="array" ref="P73">INDEX(stable[is_single_select],MATCH(VALUE(questions[[#This Row],[qno]]),VALUE(stable[qno]),0))</f>
        <v>1</v>
      </c>
      <c r="Q73" s="77" t="b" cm="1">
        <f t="array" ref="Q73">INDEX(stable[is_multi_select],MATCH(VALUE(questions[[#This Row],[qno]]),VALUE(stable[qno]),0))</f>
        <v>0</v>
      </c>
      <c r="R73" s="77" t="b" cm="1">
        <f t="array" ref="R73">INDEX(stable[is_skip_logic],MATCH(VALUE(questions[[#This Row],[qno]]),VALUE(stable[qno]),0))</f>
        <v>1</v>
      </c>
      <c r="S73" s="77" t="str">
        <f>_xlfn.TEXTJOIN(", ",TRUE,questions[[#This Row],[ans_opt_1]:[ans_opt_14]])</f>
        <v>Outside the coffee plot, Inside the coffee plot, Both from inside and outside the coffee plot</v>
      </c>
      <c r="T73" s="77" t="s">
        <v>207</v>
      </c>
      <c r="U73" s="77" t="s">
        <v>208</v>
      </c>
      <c r="V73" s="77" t="s">
        <v>209</v>
      </c>
      <c r="AH73" s="98" t="b">
        <f>INDEX(stable[q_standard],MATCH(questions[[#This Row],[qno]],stable[qno],0))</f>
        <v>0</v>
      </c>
      <c r="AI73" s="98" t="b">
        <f>INDEX(stable[q_living_income],MATCH(questions[[#This Row],[qno]],stable[qno],0))</f>
        <v>1</v>
      </c>
      <c r="AJ73" s="98" t="b">
        <f>INDEX(stable[q_carbon],MATCH(questions[[#This Row],[qno]],stable[qno],0))</f>
        <v>1</v>
      </c>
      <c r="AK73" s="98" t="b">
        <f>INDEX(stable[q_regen_ag],MATCH(questions[[#This Row],[qno]],stable[qno],0))</f>
        <v>0</v>
      </c>
      <c r="AL73" s="98" t="b">
        <f>COUNTIFS(stable[qno],questions[[#This Row],[qno]])=1</f>
        <v>1</v>
      </c>
      <c r="AM73" s="98" t="b">
        <f>OR(questions[[#This Row],[is_fixed]],questions[[#This Row],[is_localized]],questions[[#This Row],[is_supply_chain_dependent]])</f>
        <v>1</v>
      </c>
      <c r="AN73" s="98" t="b">
        <f>COUNTIFS(questions[[#This Row],[is_automated]:[is_multi_select]],TRUE)=1</f>
        <v>1</v>
      </c>
      <c r="AO73" s="98" t="b">
        <f>IF(questions[[#This Row],[is_fixed]],questions[[#This Row],[question]]=INDEX(stable[question],MATCH(questions[[#This Row],[qno]],stable[qno],0)),TRUE)</f>
        <v>0</v>
      </c>
      <c r="AP73" s="98" t="str">
        <f>LEFT(questions[[#This Row],[question]],similarity_range)</f>
        <v xml:space="preserve">From where was this </v>
      </c>
      <c r="AQ73" s="98" t="str">
        <f>LEFT(INDEX(stable[question],MATCH(questions[[#This Row],[qno]],stable[qno],0)),similarity_range)</f>
        <v xml:space="preserve">From where was this </v>
      </c>
      <c r="AR73" s="98" t="b">
        <f>questions[[#This Row],[question_first_characters]]=questions[[#This Row],[stability_first_characters]]</f>
        <v>1</v>
      </c>
      <c r="AS73" s="98" t="b">
        <f>IF(OR(questions[[#This Row],[is_single_select]],questions[[#This Row],[is_multi_select]]),NOT(ISBLANK(questions[[#This Row],[answer_opt_combined]])),TRUE)</f>
        <v>1</v>
      </c>
    </row>
    <row r="74" spans="1:45" s="77" customFormat="1" x14ac:dyDescent="0.25">
      <c r="A74" s="77" t="str">
        <f>_xlfn.TEXTJOIN("_",TRUE,questions[[#This Row],[origin]:[qno]])</f>
        <v>Indonesia_Arabica_west_java_impact_5505</v>
      </c>
      <c r="B74" s="77" t="s">
        <v>58</v>
      </c>
      <c r="C74" s="77" t="s">
        <v>59</v>
      </c>
      <c r="D74" s="77" t="s">
        <v>60</v>
      </c>
      <c r="F74" s="77" t="s">
        <v>210</v>
      </c>
      <c r="G74" s="77" t="s">
        <v>211</v>
      </c>
      <c r="H74" s="9" t="str" cm="1">
        <f t="array" ref="H74">INDEX(stableR[question],MATCH(VALUE(questions[[#This Row],[qno]]),VALUE(stableR[qno]),0))</f>
        <v>If it was from outside the coffee plot, did you buy this mulch, or did it come from your own farm?</v>
      </c>
      <c r="I74" s="9" t="b" cm="1">
        <f t="array" ref="I74">INDEX(stable[is_fixed],MATCH(VALUE(questions[[#This Row],[qno]]),VALUE(stable[qno]),0))</f>
        <v>1</v>
      </c>
      <c r="J74" s="9" t="b" cm="1">
        <f t="array" ref="J74">INDEX(stable[is_localized],MATCH(VALUE(questions[[#This Row],[qno]]),VALUE(stable[qno]),0))</f>
        <v>0</v>
      </c>
      <c r="K74" s="9" t="b" cm="1">
        <f t="array" ref="K74">INDEX(stable[is_supply_chain_dependent],MATCH(VALUE(questions[[#This Row],[qno]]),VALUE(stable[qno]),0))</f>
        <v>0</v>
      </c>
      <c r="L74" s="9" t="b" cm="1">
        <f t="array" ref="L74">INDEX(stable[is_mandatory],MATCH(VALUE(questions[[#This Row],[qno]]),VALUE(stable[qno]),0))</f>
        <v>0</v>
      </c>
      <c r="M74" s="9" t="b" cm="1">
        <f t="array" ref="M74">INDEX(stable[is_automated],MATCH(VALUE(questions[[#This Row],[qno]]),VALUE(stable[qno]),0))</f>
        <v>0</v>
      </c>
      <c r="N74" s="9" t="b" cm="1">
        <f t="array" ref="N74">INDEX(stable[is_free_text],MATCH(VALUE(questions[[#This Row],[qno]]),VALUE(stable[qno]),0))</f>
        <v>0</v>
      </c>
      <c r="O74" s="9" t="b" cm="1">
        <f t="array" ref="O74">INDEX(stable[is_numerical],MATCH(VALUE(questions[[#This Row],[qno]]),VALUE(stable[qno]),0))</f>
        <v>0</v>
      </c>
      <c r="P74" s="103" t="b" cm="1">
        <f t="array" ref="P74">INDEX(stable[is_single_select],MATCH(VALUE(questions[[#This Row],[qno]]),VALUE(stable[qno]),0))</f>
        <v>1</v>
      </c>
      <c r="Q74" s="77" t="b" cm="1">
        <f t="array" ref="Q74">INDEX(stable[is_multi_select],MATCH(VALUE(questions[[#This Row],[qno]]),VALUE(stable[qno]),0))</f>
        <v>0</v>
      </c>
      <c r="R74" s="77" t="b" cm="1">
        <f t="array" ref="R74">INDEX(stable[is_skip_logic],MATCH(VALUE(questions[[#This Row],[qno]]),VALUE(stable[qno]),0))</f>
        <v>1</v>
      </c>
      <c r="S74" s="77" t="str">
        <f>_xlfn.TEXTJOIN(", ",TRUE,questions[[#This Row],[ans_opt_1]:[ans_opt_14]])</f>
        <v>Bought, From own farm, Received for free, Both from own farm &amp; bought/received from outside the farm</v>
      </c>
      <c r="T74" s="77" t="s">
        <v>185</v>
      </c>
      <c r="U74" s="77" t="s">
        <v>186</v>
      </c>
      <c r="V74" s="77" t="s">
        <v>187</v>
      </c>
      <c r="W74" s="77" t="s">
        <v>188</v>
      </c>
      <c r="AH74" s="98" t="b">
        <f>INDEX(stable[q_standard],MATCH(questions[[#This Row],[qno]],stable[qno],0))</f>
        <v>0</v>
      </c>
      <c r="AI74" s="98" t="b">
        <f>INDEX(stable[q_living_income],MATCH(questions[[#This Row],[qno]],stable[qno],0))</f>
        <v>1</v>
      </c>
      <c r="AJ74" s="98" t="b">
        <f>INDEX(stable[q_carbon],MATCH(questions[[#This Row],[qno]],stable[qno],0))</f>
        <v>1</v>
      </c>
      <c r="AK74" s="98" t="b">
        <f>INDEX(stable[q_regen_ag],MATCH(questions[[#This Row],[qno]],stable[qno],0))</f>
        <v>0</v>
      </c>
      <c r="AL74" s="98" t="b">
        <f>COUNTIFS(stable[qno],questions[[#This Row],[qno]])=1</f>
        <v>1</v>
      </c>
      <c r="AM74" s="98" t="b">
        <f>OR(questions[[#This Row],[is_fixed]],questions[[#This Row],[is_localized]],questions[[#This Row],[is_supply_chain_dependent]])</f>
        <v>1</v>
      </c>
      <c r="AN74" s="98" t="b">
        <f>COUNTIFS(questions[[#This Row],[is_automated]:[is_multi_select]],TRUE)=1</f>
        <v>1</v>
      </c>
      <c r="AO74" s="98" t="b">
        <f>IF(questions[[#This Row],[is_fixed]],questions[[#This Row],[question]]=INDEX(stable[question],MATCH(questions[[#This Row],[qno]],stable[qno],0)),TRUE)</f>
        <v>0</v>
      </c>
      <c r="AP74" s="98" t="str">
        <f>LEFT(questions[[#This Row],[question]],similarity_range)</f>
        <v>If it was from outsi</v>
      </c>
      <c r="AQ74" s="98" t="str">
        <f>LEFT(INDEX(stable[question],MATCH(questions[[#This Row],[qno]],stable[qno],0)),similarity_range)</f>
        <v>If it was from outsi</v>
      </c>
      <c r="AR74" s="98" t="b">
        <f>questions[[#This Row],[question_first_characters]]=questions[[#This Row],[stability_first_characters]]</f>
        <v>1</v>
      </c>
      <c r="AS74" s="98" t="b">
        <f>IF(OR(questions[[#This Row],[is_single_select]],questions[[#This Row],[is_multi_select]]),NOT(ISBLANK(questions[[#This Row],[answer_opt_combined]])),TRUE)</f>
        <v>1</v>
      </c>
    </row>
    <row r="75" spans="1:45" s="77" customFormat="1" x14ac:dyDescent="0.25">
      <c r="A75" s="77" t="str">
        <f>_xlfn.TEXTJOIN("_",TRUE,questions[[#This Row],[origin]:[qno]])</f>
        <v>Indonesia_Arabica_west_java_impact_5600</v>
      </c>
      <c r="B75" s="77" t="s">
        <v>58</v>
      </c>
      <c r="C75" s="77" t="s">
        <v>59</v>
      </c>
      <c r="D75" s="77" t="s">
        <v>60</v>
      </c>
      <c r="F75" s="77" t="s">
        <v>212</v>
      </c>
      <c r="G75" s="77" t="s">
        <v>213</v>
      </c>
      <c r="H75" s="9" t="str" cm="1">
        <f t="array" ref="H75">INDEX(stableR[question],MATCH(VALUE(questions[[#This Row],[qno]]),VALUE(stableR[qno]),0))</f>
        <v xml:space="preserve">Did you use pesticides, fungicides or herbicides for your coffee last year? </v>
      </c>
      <c r="I75" s="9" t="b" cm="1">
        <f t="array" ref="I75">INDEX(stable[is_fixed],MATCH(VALUE(questions[[#This Row],[qno]]),VALUE(stable[qno]),0))</f>
        <v>1</v>
      </c>
      <c r="J75" s="9" t="b" cm="1">
        <f t="array" ref="J75">INDEX(stable[is_localized],MATCH(VALUE(questions[[#This Row],[qno]]),VALUE(stable[qno]),0))</f>
        <v>0</v>
      </c>
      <c r="K75" s="9" t="b" cm="1">
        <f t="array" ref="K75">INDEX(stable[is_supply_chain_dependent],MATCH(VALUE(questions[[#This Row],[qno]]),VALUE(stable[qno]),0))</f>
        <v>0</v>
      </c>
      <c r="L75" s="9" t="b" cm="1">
        <f t="array" ref="L75">INDEX(stable[is_mandatory],MATCH(VALUE(questions[[#This Row],[qno]]),VALUE(stable[qno]),0))</f>
        <v>1</v>
      </c>
      <c r="M75" s="9" t="b" cm="1">
        <f t="array" ref="M75">INDEX(stable[is_automated],MATCH(VALUE(questions[[#This Row],[qno]]),VALUE(stable[qno]),0))</f>
        <v>0</v>
      </c>
      <c r="N75" s="9" t="b" cm="1">
        <f t="array" ref="N75">INDEX(stable[is_free_text],MATCH(VALUE(questions[[#This Row],[qno]]),VALUE(stable[qno]),0))</f>
        <v>0</v>
      </c>
      <c r="O75" s="9" t="b" cm="1">
        <f t="array" ref="O75">INDEX(stable[is_numerical],MATCH(VALUE(questions[[#This Row],[qno]]),VALUE(stable[qno]),0))</f>
        <v>0</v>
      </c>
      <c r="P75" s="103" t="b" cm="1">
        <f t="array" ref="P75">INDEX(stable[is_single_select],MATCH(VALUE(questions[[#This Row],[qno]]),VALUE(stable[qno]),0))</f>
        <v>1</v>
      </c>
      <c r="Q75" s="77" t="b" cm="1">
        <f t="array" ref="Q75">INDEX(stable[is_multi_select],MATCH(VALUE(questions[[#This Row],[qno]]),VALUE(stable[qno]),0))</f>
        <v>0</v>
      </c>
      <c r="R75" s="77" t="b" cm="1">
        <f t="array" ref="R75">INDEX(stable[is_skip_logic],MATCH(VALUE(questions[[#This Row],[qno]]),VALUE(stable[qno]),0))</f>
        <v>1</v>
      </c>
      <c r="S75" s="77" t="str">
        <f>_xlfn.TEXTJOIN(", ",TRUE,questions[[#This Row],[ans_opt_1]:[ans_opt_14]])</f>
        <v>Yes, No</v>
      </c>
      <c r="T75" s="77" t="s">
        <v>149</v>
      </c>
      <c r="U75" s="77" t="s">
        <v>119</v>
      </c>
      <c r="AH75" s="98" t="b">
        <f>INDEX(stable[q_standard],MATCH(questions[[#This Row],[qno]],stable[qno],0))</f>
        <v>0</v>
      </c>
      <c r="AI75" s="98" t="b">
        <f>INDEX(stable[q_living_income],MATCH(questions[[#This Row],[qno]],stable[qno],0))</f>
        <v>1</v>
      </c>
      <c r="AJ75" s="98" t="b">
        <f>INDEX(stable[q_carbon],MATCH(questions[[#This Row],[qno]],stable[qno],0))</f>
        <v>1</v>
      </c>
      <c r="AK75" s="98" t="b">
        <f>INDEX(stable[q_regen_ag],MATCH(questions[[#This Row],[qno]],stable[qno],0))</f>
        <v>0</v>
      </c>
      <c r="AL75" s="98" t="b">
        <f>COUNTIFS(stable[qno],questions[[#This Row],[qno]])=1</f>
        <v>1</v>
      </c>
      <c r="AM75" s="98" t="b">
        <f>OR(questions[[#This Row],[is_fixed]],questions[[#This Row],[is_localized]],questions[[#This Row],[is_supply_chain_dependent]])</f>
        <v>1</v>
      </c>
      <c r="AN75" s="98" t="b">
        <f>COUNTIFS(questions[[#This Row],[is_automated]:[is_multi_select]],TRUE)=1</f>
        <v>1</v>
      </c>
      <c r="AO75" s="98" t="b">
        <f>IF(questions[[#This Row],[is_fixed]],questions[[#This Row],[question]]=INDEX(stable[question],MATCH(questions[[#This Row],[qno]],stable[qno],0)),TRUE)</f>
        <v>0</v>
      </c>
      <c r="AP75" s="98" t="str">
        <f>LEFT(questions[[#This Row],[question]],similarity_range)</f>
        <v>Did you use pesticid</v>
      </c>
      <c r="AQ75" s="98" t="str">
        <f>LEFT(INDEX(stable[question],MATCH(questions[[#This Row],[qno]],stable[qno],0)),similarity_range)</f>
        <v>Did you use pesticid</v>
      </c>
      <c r="AR75" s="98" t="b">
        <f>questions[[#This Row],[question_first_characters]]=questions[[#This Row],[stability_first_characters]]</f>
        <v>1</v>
      </c>
      <c r="AS75" s="98" t="b">
        <f>IF(OR(questions[[#This Row],[is_single_select]],questions[[#This Row],[is_multi_select]]),NOT(ISBLANK(questions[[#This Row],[answer_opt_combined]])),TRUE)</f>
        <v>1</v>
      </c>
    </row>
    <row r="76" spans="1:45" x14ac:dyDescent="0.25">
      <c r="A76" s="9" t="str">
        <f>_xlfn.TEXTJOIN("_",TRUE,questions[[#This Row],[origin]:[qno]])</f>
        <v>Indonesia_Arabica_west_java_impact_5601</v>
      </c>
      <c r="B76" s="9" t="s">
        <v>58</v>
      </c>
      <c r="C76" s="9" t="s">
        <v>59</v>
      </c>
      <c r="D76" s="9" t="s">
        <v>60</v>
      </c>
      <c r="F76" s="9" t="s">
        <v>214</v>
      </c>
      <c r="G76" s="9" t="s">
        <v>215</v>
      </c>
      <c r="H76" s="9" t="str" cm="1">
        <f t="array" ref="H76">INDEX(stableR[question],MATCH(VALUE(questions[[#This Row],[qno]]),VALUE(stableR[qno]),0))</f>
        <v xml:space="preserve">If yes, how many types of pesticides, fungicides and/or herbicides did you use last year for your coffee, in total? </v>
      </c>
      <c r="I76" s="9" t="b" cm="1">
        <f t="array" ref="I76">INDEX(stable[is_fixed],MATCH(VALUE(questions[[#This Row],[qno]]),VALUE(stable[qno]),0))</f>
        <v>1</v>
      </c>
      <c r="J76" s="9" t="b" cm="1">
        <f t="array" ref="J76">INDEX(stable[is_localized],MATCH(VALUE(questions[[#This Row],[qno]]),VALUE(stable[qno]),0))</f>
        <v>0</v>
      </c>
      <c r="K76" s="9" t="b" cm="1">
        <f t="array" ref="K76">INDEX(stable[is_supply_chain_dependent],MATCH(VALUE(questions[[#This Row],[qno]]),VALUE(stable[qno]),0))</f>
        <v>0</v>
      </c>
      <c r="L76" s="9" t="b" cm="1">
        <f t="array" ref="L76">INDEX(stable[is_mandatory],MATCH(VALUE(questions[[#This Row],[qno]]),VALUE(stable[qno]),0))</f>
        <v>0</v>
      </c>
      <c r="M76" s="9" t="b" cm="1">
        <f t="array" ref="M76">INDEX(stable[is_automated],MATCH(VALUE(questions[[#This Row],[qno]]),VALUE(stable[qno]),0))</f>
        <v>0</v>
      </c>
      <c r="N76" s="9" t="b" cm="1">
        <f t="array" ref="N76">INDEX(stable[is_free_text],MATCH(VALUE(questions[[#This Row],[qno]]),VALUE(stable[qno]),0))</f>
        <v>0</v>
      </c>
      <c r="O76" s="9" t="b" cm="1">
        <f t="array" ref="O76">INDEX(stable[is_numerical],MATCH(VALUE(questions[[#This Row],[qno]]),VALUE(stable[qno]),0))</f>
        <v>1</v>
      </c>
      <c r="P76" s="32" t="b" cm="1">
        <f t="array" ref="P76">INDEX(stable[is_single_select],MATCH(VALUE(questions[[#This Row],[qno]]),VALUE(stable[qno]),0))</f>
        <v>0</v>
      </c>
      <c r="Q76" s="9" t="b" cm="1">
        <f t="array" ref="Q76">INDEX(stable[is_multi_select],MATCH(VALUE(questions[[#This Row],[qno]]),VALUE(stable[qno]),0))</f>
        <v>0</v>
      </c>
      <c r="R76" s="9" t="b" cm="1">
        <f t="array" ref="R76">INDEX(stable[is_skip_logic],MATCH(VALUE(questions[[#This Row],[qno]]),VALUE(stable[qno]),0))</f>
        <v>1</v>
      </c>
      <c r="S76" s="9" t="str">
        <f>_xlfn.TEXTJOIN(", ",TRUE,questions[[#This Row],[ans_opt_1]:[ans_opt_14]])</f>
        <v/>
      </c>
      <c r="AH76" s="16" t="b">
        <f>INDEX(stable[q_standard],MATCH(questions[[#This Row],[qno]],stable[qno],0))</f>
        <v>0</v>
      </c>
      <c r="AI76" s="16" t="b">
        <f>INDEX(stable[q_living_income],MATCH(questions[[#This Row],[qno]],stable[qno],0))</f>
        <v>1</v>
      </c>
      <c r="AJ76" s="16" t="b">
        <f>INDEX(stable[q_carbon],MATCH(questions[[#This Row],[qno]],stable[qno],0))</f>
        <v>1</v>
      </c>
      <c r="AK76" s="16" t="b">
        <f>INDEX(stable[q_regen_ag],MATCH(questions[[#This Row],[qno]],stable[qno],0))</f>
        <v>0</v>
      </c>
      <c r="AL76" s="16" t="b">
        <f>COUNTIFS(stable[qno],questions[[#This Row],[qno]])=1</f>
        <v>1</v>
      </c>
      <c r="AM76" s="16" t="b">
        <f>OR(questions[[#This Row],[is_fixed]],questions[[#This Row],[is_localized]],questions[[#This Row],[is_supply_chain_dependent]])</f>
        <v>1</v>
      </c>
      <c r="AN76" s="16" t="b">
        <f>COUNTIFS(questions[[#This Row],[is_automated]:[is_multi_select]],TRUE)=1</f>
        <v>1</v>
      </c>
      <c r="AO76" s="16" t="b">
        <f>IF(questions[[#This Row],[is_fixed]],questions[[#This Row],[question]]=INDEX(stable[question],MATCH(questions[[#This Row],[qno]],stable[qno],0)),TRUE)</f>
        <v>0</v>
      </c>
      <c r="AP76" s="16" t="str">
        <f>LEFT(questions[[#This Row],[question]],similarity_range)</f>
        <v>If yes, how many typ</v>
      </c>
      <c r="AQ76" s="16" t="str">
        <f>LEFT(INDEX(stable[question],MATCH(questions[[#This Row],[qno]],stable[qno],0)),similarity_range)</f>
        <v>If yes, how many typ</v>
      </c>
      <c r="AR76" s="16" t="b">
        <f>questions[[#This Row],[question_first_characters]]=questions[[#This Row],[stability_first_characters]]</f>
        <v>1</v>
      </c>
      <c r="AS76" s="16" t="b">
        <f>IF(OR(questions[[#This Row],[is_single_select]],questions[[#This Row],[is_multi_select]]),NOT(ISBLANK(questions[[#This Row],[answer_opt_combined]])),TRUE)</f>
        <v>1</v>
      </c>
    </row>
    <row r="77" spans="1:45" x14ac:dyDescent="0.25">
      <c r="A77" s="9" t="str">
        <f>_xlfn.TEXTJOIN("_",TRUE,questions[[#This Row],[origin]:[qno]])</f>
        <v>Indonesia_Arabica_west_java_impact_5610</v>
      </c>
      <c r="B77" s="9" t="s">
        <v>58</v>
      </c>
      <c r="C77" s="9" t="s">
        <v>59</v>
      </c>
      <c r="D77" s="9" t="s">
        <v>60</v>
      </c>
      <c r="F77" s="9" t="s">
        <v>216</v>
      </c>
      <c r="G77" s="9" t="s">
        <v>217</v>
      </c>
      <c r="H77" s="9" t="str" cm="1">
        <f t="array" ref="H77">INDEX(stableR[question],MATCH(VALUE(questions[[#This Row],[qno]]),VALUE(stableR[qno]),0))</f>
        <v>What was the name of the pesticide/fungicide or herbicide that you used most, last year?</v>
      </c>
      <c r="I77" s="9" t="b" cm="1">
        <f t="array" ref="I77">INDEX(stable[is_fixed],MATCH(VALUE(questions[[#This Row],[qno]]),VALUE(stable[qno]),0))</f>
        <v>1</v>
      </c>
      <c r="J77" s="9" t="b" cm="1">
        <f t="array" ref="J77">INDEX(stable[is_localized],MATCH(VALUE(questions[[#This Row],[qno]]),VALUE(stable[qno]),0))</f>
        <v>0</v>
      </c>
      <c r="K77" s="9" t="b" cm="1">
        <f t="array" ref="K77">INDEX(stable[is_supply_chain_dependent],MATCH(VALUE(questions[[#This Row],[qno]]),VALUE(stable[qno]),0))</f>
        <v>0</v>
      </c>
      <c r="L77" s="9" t="b" cm="1">
        <f t="array" ref="L77">INDEX(stable[is_mandatory],MATCH(VALUE(questions[[#This Row],[qno]]),VALUE(stable[qno]),0))</f>
        <v>0</v>
      </c>
      <c r="M77" s="9" t="b" cm="1">
        <f t="array" ref="M77">INDEX(stable[is_automated],MATCH(VALUE(questions[[#This Row],[qno]]),VALUE(stable[qno]),0))</f>
        <v>0</v>
      </c>
      <c r="N77" s="9" t="b" cm="1">
        <f t="array" ref="N77">INDEX(stable[is_free_text],MATCH(VALUE(questions[[#This Row],[qno]]),VALUE(stable[qno]),0))</f>
        <v>1</v>
      </c>
      <c r="O77" s="9" t="b" cm="1">
        <f t="array" ref="O77">INDEX(stable[is_numerical],MATCH(VALUE(questions[[#This Row],[qno]]),VALUE(stable[qno]),0))</f>
        <v>0</v>
      </c>
      <c r="P77" s="32" t="b" cm="1">
        <f t="array" ref="P77">INDEX(stable[is_single_select],MATCH(VALUE(questions[[#This Row],[qno]]),VALUE(stable[qno]),0))</f>
        <v>0</v>
      </c>
      <c r="Q77" s="9" t="b" cm="1">
        <f t="array" ref="Q77">INDEX(stable[is_multi_select],MATCH(VALUE(questions[[#This Row],[qno]]),VALUE(stable[qno]),0))</f>
        <v>0</v>
      </c>
      <c r="R77" s="9" t="b" cm="1">
        <f t="array" ref="R77">INDEX(stable[is_skip_logic],MATCH(VALUE(questions[[#This Row],[qno]]),VALUE(stable[qno]),0))</f>
        <v>1</v>
      </c>
      <c r="S77" s="9" t="str">
        <f>_xlfn.TEXTJOIN(", ",TRUE,questions[[#This Row],[ans_opt_1]:[ans_opt_14]])</f>
        <v/>
      </c>
      <c r="AH77" s="16" t="b">
        <f>INDEX(stable[q_standard],MATCH(questions[[#This Row],[qno]],stable[qno],0))</f>
        <v>0</v>
      </c>
      <c r="AI77" s="16" t="b">
        <f>INDEX(stable[q_living_income],MATCH(questions[[#This Row],[qno]],stable[qno],0))</f>
        <v>1</v>
      </c>
      <c r="AJ77" s="16" t="b">
        <f>INDEX(stable[q_carbon],MATCH(questions[[#This Row],[qno]],stable[qno],0))</f>
        <v>1</v>
      </c>
      <c r="AK77" s="16" t="b">
        <f>INDEX(stable[q_regen_ag],MATCH(questions[[#This Row],[qno]],stable[qno],0))</f>
        <v>0</v>
      </c>
      <c r="AL77" s="16" t="b">
        <f>COUNTIFS(stable[qno],questions[[#This Row],[qno]])=1</f>
        <v>1</v>
      </c>
      <c r="AM77" s="16" t="b">
        <f>OR(questions[[#This Row],[is_fixed]],questions[[#This Row],[is_localized]],questions[[#This Row],[is_supply_chain_dependent]])</f>
        <v>1</v>
      </c>
      <c r="AN77" s="16" t="b">
        <f>COUNTIFS(questions[[#This Row],[is_automated]:[is_multi_select]],TRUE)=1</f>
        <v>1</v>
      </c>
      <c r="AO77" s="16" t="b">
        <f>IF(questions[[#This Row],[is_fixed]],questions[[#This Row],[question]]=INDEX(stable[question],MATCH(questions[[#This Row],[qno]],stable[qno],0)),TRUE)</f>
        <v>1</v>
      </c>
      <c r="AP77" s="16" t="str">
        <f>LEFT(questions[[#This Row],[question]],similarity_range)</f>
        <v>If yes, what was the</v>
      </c>
      <c r="AQ77" s="16" t="str">
        <f>LEFT(INDEX(stable[question],MATCH(questions[[#This Row],[qno]],stable[qno],0)),similarity_range)</f>
        <v>If yes, what was the</v>
      </c>
      <c r="AR77" s="16" t="b">
        <f>questions[[#This Row],[question_first_characters]]=questions[[#This Row],[stability_first_characters]]</f>
        <v>1</v>
      </c>
      <c r="AS77" s="16" t="b">
        <f>IF(OR(questions[[#This Row],[is_single_select]],questions[[#This Row],[is_multi_select]]),NOT(ISBLANK(questions[[#This Row],[answer_opt_combined]])),TRUE)</f>
        <v>1</v>
      </c>
    </row>
    <row r="78" spans="1:45" x14ac:dyDescent="0.25">
      <c r="A78" s="9" t="str">
        <f>_xlfn.TEXTJOIN("_",TRUE,questions[[#This Row],[origin]:[qno]])</f>
        <v>Indonesia_Arabica_west_java_impact_5611</v>
      </c>
      <c r="B78" s="9" t="s">
        <v>58</v>
      </c>
      <c r="C78" s="9" t="s">
        <v>59</v>
      </c>
      <c r="D78" s="9" t="s">
        <v>60</v>
      </c>
      <c r="F78" s="9" t="s">
        <v>218</v>
      </c>
      <c r="G78" s="9" t="s">
        <v>219</v>
      </c>
      <c r="H78" s="9" t="str" cm="1">
        <f t="array" ref="H78">INDEX(stableR[question],MATCH(VALUE(questions[[#This Row],[qno]]),VALUE(stableR[qno]),0))</f>
        <v>What was the quantity used of this most used pesticide/fungicide/herbicide last year?</v>
      </c>
      <c r="I78" s="9" t="b" cm="1">
        <f t="array" ref="I78">INDEX(stable[is_fixed],MATCH(VALUE(questions[[#This Row],[qno]]),VALUE(stable[qno]),0))</f>
        <v>1</v>
      </c>
      <c r="J78" s="9" t="b" cm="1">
        <f t="array" ref="J78">INDEX(stable[is_localized],MATCH(VALUE(questions[[#This Row],[qno]]),VALUE(stable[qno]),0))</f>
        <v>0</v>
      </c>
      <c r="K78" s="9" t="b" cm="1">
        <f t="array" ref="K78">INDEX(stable[is_supply_chain_dependent],MATCH(VALUE(questions[[#This Row],[qno]]),VALUE(stable[qno]),0))</f>
        <v>0</v>
      </c>
      <c r="L78" s="9" t="b" cm="1">
        <f t="array" ref="L78">INDEX(stable[is_mandatory],MATCH(VALUE(questions[[#This Row],[qno]]),VALUE(stable[qno]),0))</f>
        <v>0</v>
      </c>
      <c r="M78" s="9" t="b" cm="1">
        <f t="array" ref="M78">INDEX(stable[is_automated],MATCH(VALUE(questions[[#This Row],[qno]]),VALUE(stable[qno]),0))</f>
        <v>0</v>
      </c>
      <c r="N78" s="9" t="b" cm="1">
        <f t="array" ref="N78">INDEX(stable[is_free_text],MATCH(VALUE(questions[[#This Row],[qno]]),VALUE(stable[qno]),0))</f>
        <v>0</v>
      </c>
      <c r="O78" s="9" t="b" cm="1">
        <f t="array" ref="O78">INDEX(stable[is_numerical],MATCH(VALUE(questions[[#This Row],[qno]]),VALUE(stable[qno]),0))</f>
        <v>1</v>
      </c>
      <c r="P78" s="32" t="b" cm="1">
        <f t="array" ref="P78">INDEX(stable[is_single_select],MATCH(VALUE(questions[[#This Row],[qno]]),VALUE(stable[qno]),0))</f>
        <v>0</v>
      </c>
      <c r="Q78" s="9" t="b" cm="1">
        <f t="array" ref="Q78">INDEX(stable[is_multi_select],MATCH(VALUE(questions[[#This Row],[qno]]),VALUE(stable[qno]),0))</f>
        <v>0</v>
      </c>
      <c r="R78" s="9" t="b" cm="1">
        <f t="array" ref="R78">INDEX(stable[is_skip_logic],MATCH(VALUE(questions[[#This Row],[qno]]),VALUE(stable[qno]),0))</f>
        <v>1</v>
      </c>
      <c r="S78" s="9" t="str">
        <f>_xlfn.TEXTJOIN(", ",TRUE,questions[[#This Row],[ans_opt_1]:[ans_opt_14]])</f>
        <v/>
      </c>
      <c r="AH78" s="16" t="b">
        <f>INDEX(stable[q_standard],MATCH(questions[[#This Row],[qno]],stable[qno],0))</f>
        <v>0</v>
      </c>
      <c r="AI78" s="16" t="b">
        <f>INDEX(stable[q_living_income],MATCH(questions[[#This Row],[qno]],stable[qno],0))</f>
        <v>1</v>
      </c>
      <c r="AJ78" s="16" t="b">
        <f>INDEX(stable[q_carbon],MATCH(questions[[#This Row],[qno]],stable[qno],0))</f>
        <v>1</v>
      </c>
      <c r="AK78" s="16" t="b">
        <f>INDEX(stable[q_regen_ag],MATCH(questions[[#This Row],[qno]],stable[qno],0))</f>
        <v>0</v>
      </c>
      <c r="AL78" s="16" t="b">
        <f>COUNTIFS(stable[qno],questions[[#This Row],[qno]])=1</f>
        <v>1</v>
      </c>
      <c r="AM78" s="16" t="b">
        <f>OR(questions[[#This Row],[is_fixed]],questions[[#This Row],[is_localized]],questions[[#This Row],[is_supply_chain_dependent]])</f>
        <v>1</v>
      </c>
      <c r="AN78" s="16" t="b">
        <f>COUNTIFS(questions[[#This Row],[is_automated]:[is_multi_select]],TRUE)=1</f>
        <v>1</v>
      </c>
      <c r="AO78" s="16" t="b">
        <f>IF(questions[[#This Row],[is_fixed]],questions[[#This Row],[question]]=INDEX(stable[question],MATCH(questions[[#This Row],[qno]],stable[qno],0)),TRUE)</f>
        <v>1</v>
      </c>
      <c r="AP78" s="16" t="str">
        <f>LEFT(questions[[#This Row],[question]],similarity_range)</f>
        <v>What was the quantit</v>
      </c>
      <c r="AQ78" s="16" t="str">
        <f>LEFT(INDEX(stable[question],MATCH(questions[[#This Row],[qno]],stable[qno],0)),similarity_range)</f>
        <v>What was the quantit</v>
      </c>
      <c r="AR78" s="16" t="b">
        <f>questions[[#This Row],[question_first_characters]]=questions[[#This Row],[stability_first_characters]]</f>
        <v>1</v>
      </c>
      <c r="AS78" s="16" t="b">
        <f>IF(OR(questions[[#This Row],[is_single_select]],questions[[#This Row],[is_multi_select]]),NOT(ISBLANK(questions[[#This Row],[answer_opt_combined]])),TRUE)</f>
        <v>1</v>
      </c>
    </row>
    <row r="79" spans="1:45" s="77" customFormat="1" x14ac:dyDescent="0.25">
      <c r="A79" s="77" t="str">
        <f>_xlfn.TEXTJOIN("_",TRUE,questions[[#This Row],[origin]:[qno]])</f>
        <v>Indonesia_Arabica_west_java_impact_5612</v>
      </c>
      <c r="B79" s="77" t="s">
        <v>58</v>
      </c>
      <c r="C79" s="77" t="s">
        <v>59</v>
      </c>
      <c r="D79" s="77" t="s">
        <v>60</v>
      </c>
      <c r="F79" s="77" t="s">
        <v>220</v>
      </c>
      <c r="G79" s="77" t="s">
        <v>221</v>
      </c>
      <c r="H79" s="9" t="str" cm="1">
        <f t="array" ref="H79">INDEX(stableR[question],MATCH(VALUE(questions[[#This Row],[qno]]),VALUE(stableR[qno]),0))</f>
        <v>What was the unit of this most used pesticide/fungicide/herbicide?</v>
      </c>
      <c r="I79" s="9" t="b" cm="1">
        <f t="array" ref="I79">INDEX(stable[is_fixed],MATCH(VALUE(questions[[#This Row],[qno]]),VALUE(stable[qno]),0))</f>
        <v>1</v>
      </c>
      <c r="J79" s="9" t="b" cm="1">
        <f t="array" ref="J79">INDEX(stable[is_localized],MATCH(VALUE(questions[[#This Row],[qno]]),VALUE(stable[qno]),0))</f>
        <v>0</v>
      </c>
      <c r="K79" s="9" t="b" cm="1">
        <f t="array" ref="K79">INDEX(stable[is_supply_chain_dependent],MATCH(VALUE(questions[[#This Row],[qno]]),VALUE(stable[qno]),0))</f>
        <v>0</v>
      </c>
      <c r="L79" s="9" t="b" cm="1">
        <f t="array" ref="L79">INDEX(stable[is_mandatory],MATCH(VALUE(questions[[#This Row],[qno]]),VALUE(stable[qno]),0))</f>
        <v>0</v>
      </c>
      <c r="M79" s="9" t="b" cm="1">
        <f t="array" ref="M79">INDEX(stable[is_automated],MATCH(VALUE(questions[[#This Row],[qno]]),VALUE(stable[qno]),0))</f>
        <v>0</v>
      </c>
      <c r="N79" s="9" t="b" cm="1">
        <f t="array" ref="N79">INDEX(stable[is_free_text],MATCH(VALUE(questions[[#This Row],[qno]]),VALUE(stable[qno]),0))</f>
        <v>0</v>
      </c>
      <c r="O79" s="9" t="b" cm="1">
        <f t="array" ref="O79">INDEX(stable[is_numerical],MATCH(VALUE(questions[[#This Row],[qno]]),VALUE(stable[qno]),0))</f>
        <v>0</v>
      </c>
      <c r="P79" s="103" t="b" cm="1">
        <f t="array" ref="P79">INDEX(stable[is_single_select],MATCH(VALUE(questions[[#This Row],[qno]]),VALUE(stable[qno]),0))</f>
        <v>1</v>
      </c>
      <c r="Q79" s="77" t="b" cm="1">
        <f t="array" ref="Q79">INDEX(stable[is_multi_select],MATCH(VALUE(questions[[#This Row],[qno]]),VALUE(stable[qno]),0))</f>
        <v>0</v>
      </c>
      <c r="R79" s="77" t="b" cm="1">
        <f t="array" ref="R79">INDEX(stable[is_skip_logic],MATCH(VALUE(questions[[#This Row],[qno]]),VALUE(stable[qno]),0))</f>
        <v>1</v>
      </c>
      <c r="S79" s="77" t="str">
        <f>_xlfn.TEXTJOIN(", ",TRUE,questions[[#This Row],[ans_opt_1]:[ans_opt_14]])</f>
        <v>Kgs, Grams, Liters, Mililiters</v>
      </c>
      <c r="T79" s="77" t="s">
        <v>222</v>
      </c>
      <c r="U79" s="77" t="s">
        <v>223</v>
      </c>
      <c r="V79" s="77" t="s">
        <v>224</v>
      </c>
      <c r="W79" s="77" t="s">
        <v>225</v>
      </c>
      <c r="AH79" s="98" t="b">
        <f>INDEX(stable[q_standard],MATCH(questions[[#This Row],[qno]],stable[qno],0))</f>
        <v>0</v>
      </c>
      <c r="AI79" s="98" t="b">
        <f>INDEX(stable[q_living_income],MATCH(questions[[#This Row],[qno]],stable[qno],0))</f>
        <v>1</v>
      </c>
      <c r="AJ79" s="98" t="b">
        <f>INDEX(stable[q_carbon],MATCH(questions[[#This Row],[qno]],stable[qno],0))</f>
        <v>1</v>
      </c>
      <c r="AK79" s="98" t="b">
        <f>INDEX(stable[q_regen_ag],MATCH(questions[[#This Row],[qno]],stable[qno],0))</f>
        <v>0</v>
      </c>
      <c r="AL79" s="98" t="b">
        <f>COUNTIFS(stable[qno],questions[[#This Row],[qno]])=1</f>
        <v>1</v>
      </c>
      <c r="AM79" s="98" t="b">
        <f>OR(questions[[#This Row],[is_fixed]],questions[[#This Row],[is_localized]],questions[[#This Row],[is_supply_chain_dependent]])</f>
        <v>1</v>
      </c>
      <c r="AN79" s="98" t="b">
        <f>COUNTIFS(questions[[#This Row],[is_automated]:[is_multi_select]],TRUE)=1</f>
        <v>1</v>
      </c>
      <c r="AO79" s="98" t="b">
        <f>IF(questions[[#This Row],[is_fixed]],questions[[#This Row],[question]]=INDEX(stable[question],MATCH(questions[[#This Row],[qno]],stable[qno],0)),TRUE)</f>
        <v>1</v>
      </c>
      <c r="AP79" s="98" t="str">
        <f>LEFT(questions[[#This Row],[question]],similarity_range)</f>
        <v>What was the unit of</v>
      </c>
      <c r="AQ79" s="98" t="str">
        <f>LEFT(INDEX(stable[question],MATCH(questions[[#This Row],[qno]],stable[qno],0)),similarity_range)</f>
        <v>What was the unit of</v>
      </c>
      <c r="AR79" s="98" t="b">
        <f>questions[[#This Row],[question_first_characters]]=questions[[#This Row],[stability_first_characters]]</f>
        <v>1</v>
      </c>
      <c r="AS79" s="98" t="b">
        <f>IF(OR(questions[[#This Row],[is_single_select]],questions[[#This Row],[is_multi_select]]),NOT(ISBLANK(questions[[#This Row],[answer_opt_combined]])),TRUE)</f>
        <v>1</v>
      </c>
    </row>
    <row r="80" spans="1:45" x14ac:dyDescent="0.25">
      <c r="A80" s="9" t="str">
        <f>_xlfn.TEXTJOIN("_",TRUE,questions[[#This Row],[origin]:[qno]])</f>
        <v>Indonesia_Arabica_west_java_impact_5620</v>
      </c>
      <c r="B80" s="9" t="s">
        <v>58</v>
      </c>
      <c r="C80" s="9" t="s">
        <v>59</v>
      </c>
      <c r="D80" s="9" t="s">
        <v>60</v>
      </c>
      <c r="F80" s="9" t="s">
        <v>226</v>
      </c>
      <c r="G80" s="9" t="s">
        <v>227</v>
      </c>
      <c r="H80" s="9" t="str" cm="1">
        <f t="array" ref="H80">INDEX(stableR[question],MATCH(VALUE(questions[[#This Row],[qno]]),VALUE(stableR[qno]),0))</f>
        <v>What was the name of the pesticide/fungicide or herbicide that you used second most, last year?</v>
      </c>
      <c r="I80" s="9" t="b" cm="1">
        <f t="array" ref="I80">INDEX(stable[is_fixed],MATCH(VALUE(questions[[#This Row],[qno]]),VALUE(stable[qno]),0))</f>
        <v>1</v>
      </c>
      <c r="J80" s="9" t="b" cm="1">
        <f t="array" ref="J80">INDEX(stable[is_localized],MATCH(VALUE(questions[[#This Row],[qno]]),VALUE(stable[qno]),0))</f>
        <v>0</v>
      </c>
      <c r="K80" s="9" t="b" cm="1">
        <f t="array" ref="K80">INDEX(stable[is_supply_chain_dependent],MATCH(VALUE(questions[[#This Row],[qno]]),VALUE(stable[qno]),0))</f>
        <v>0</v>
      </c>
      <c r="L80" s="9" t="b" cm="1">
        <f t="array" ref="L80">INDEX(stable[is_mandatory],MATCH(VALUE(questions[[#This Row],[qno]]),VALUE(stable[qno]),0))</f>
        <v>0</v>
      </c>
      <c r="M80" s="9" t="b" cm="1">
        <f t="array" ref="M80">INDEX(stable[is_automated],MATCH(VALUE(questions[[#This Row],[qno]]),VALUE(stable[qno]),0))</f>
        <v>0</v>
      </c>
      <c r="N80" s="9" t="b" cm="1">
        <f t="array" ref="N80">INDEX(stable[is_free_text],MATCH(VALUE(questions[[#This Row],[qno]]),VALUE(stable[qno]),0))</f>
        <v>1</v>
      </c>
      <c r="O80" s="9" t="b" cm="1">
        <f t="array" ref="O80">INDEX(stable[is_numerical],MATCH(VALUE(questions[[#This Row],[qno]]),VALUE(stable[qno]),0))</f>
        <v>0</v>
      </c>
      <c r="P80" s="32" t="b" cm="1">
        <f t="array" ref="P80">INDEX(stable[is_single_select],MATCH(VALUE(questions[[#This Row],[qno]]),VALUE(stable[qno]),0))</f>
        <v>0</v>
      </c>
      <c r="Q80" s="9" t="b" cm="1">
        <f t="array" ref="Q80">INDEX(stable[is_multi_select],MATCH(VALUE(questions[[#This Row],[qno]]),VALUE(stable[qno]),0))</f>
        <v>0</v>
      </c>
      <c r="R80" s="9" t="b" cm="1">
        <f t="array" ref="R80">INDEX(stable[is_skip_logic],MATCH(VALUE(questions[[#This Row],[qno]]),VALUE(stable[qno]),0))</f>
        <v>1</v>
      </c>
      <c r="S80" s="9" t="str">
        <f>_xlfn.TEXTJOIN(", ",TRUE,questions[[#This Row],[ans_opt_1]:[ans_opt_14]])</f>
        <v/>
      </c>
      <c r="AH80" s="16" t="b">
        <f>INDEX(stable[q_standard],MATCH(questions[[#This Row],[qno]],stable[qno],0))</f>
        <v>0</v>
      </c>
      <c r="AI80" s="16" t="b">
        <f>INDEX(stable[q_living_income],MATCH(questions[[#This Row],[qno]],stable[qno],0))</f>
        <v>1</v>
      </c>
      <c r="AJ80" s="16" t="b">
        <f>INDEX(stable[q_carbon],MATCH(questions[[#This Row],[qno]],stable[qno],0))</f>
        <v>1</v>
      </c>
      <c r="AK80" s="16" t="b">
        <f>INDEX(stable[q_regen_ag],MATCH(questions[[#This Row],[qno]],stable[qno],0))</f>
        <v>0</v>
      </c>
      <c r="AL80" s="16" t="b">
        <f>COUNTIFS(stable[qno],questions[[#This Row],[qno]])=1</f>
        <v>1</v>
      </c>
      <c r="AM80" s="16" t="b">
        <f>OR(questions[[#This Row],[is_fixed]],questions[[#This Row],[is_localized]],questions[[#This Row],[is_supply_chain_dependent]])</f>
        <v>1</v>
      </c>
      <c r="AN80" s="16" t="b">
        <f>COUNTIFS(questions[[#This Row],[is_automated]:[is_multi_select]],TRUE)=1</f>
        <v>1</v>
      </c>
      <c r="AO80" s="16" t="b">
        <f>IF(questions[[#This Row],[is_fixed]],questions[[#This Row],[question]]=INDEX(stable[question],MATCH(questions[[#This Row],[qno]],stable[qno],0)),TRUE)</f>
        <v>1</v>
      </c>
      <c r="AP80" s="16" t="str">
        <f>LEFT(questions[[#This Row],[question]],similarity_range)</f>
        <v>If yes, what was the</v>
      </c>
      <c r="AQ80" s="16" t="str">
        <f>LEFT(INDEX(stable[question],MATCH(questions[[#This Row],[qno]],stable[qno],0)),similarity_range)</f>
        <v>If yes, what was the</v>
      </c>
      <c r="AR80" s="16" t="b">
        <f>questions[[#This Row],[question_first_characters]]=questions[[#This Row],[stability_first_characters]]</f>
        <v>1</v>
      </c>
      <c r="AS80" s="16" t="b">
        <f>IF(OR(questions[[#This Row],[is_single_select]],questions[[#This Row],[is_multi_select]]),NOT(ISBLANK(questions[[#This Row],[answer_opt_combined]])),TRUE)</f>
        <v>1</v>
      </c>
    </row>
    <row r="81" spans="1:45" x14ac:dyDescent="0.25">
      <c r="A81" s="9" t="str">
        <f>_xlfn.TEXTJOIN("_",TRUE,questions[[#This Row],[origin]:[qno]])</f>
        <v>Indonesia_Arabica_west_java_impact_5621</v>
      </c>
      <c r="B81" s="9" t="s">
        <v>58</v>
      </c>
      <c r="C81" s="9" t="s">
        <v>59</v>
      </c>
      <c r="D81" s="9" t="s">
        <v>60</v>
      </c>
      <c r="F81" s="9" t="s">
        <v>228</v>
      </c>
      <c r="G81" s="9" t="s">
        <v>229</v>
      </c>
      <c r="H81" s="9" t="str" cm="1">
        <f t="array" ref="H81">INDEX(stableR[question],MATCH(VALUE(questions[[#This Row],[qno]]),VALUE(stableR[qno]),0))</f>
        <v>What was the quantity used of this second most used pesticide/fungicide/herbicide last year?</v>
      </c>
      <c r="I81" s="9" t="b" cm="1">
        <f t="array" ref="I81">INDEX(stable[is_fixed],MATCH(VALUE(questions[[#This Row],[qno]]),VALUE(stable[qno]),0))</f>
        <v>1</v>
      </c>
      <c r="J81" s="9" t="b" cm="1">
        <f t="array" ref="J81">INDEX(stable[is_localized],MATCH(VALUE(questions[[#This Row],[qno]]),VALUE(stable[qno]),0))</f>
        <v>0</v>
      </c>
      <c r="K81" s="9" t="b" cm="1">
        <f t="array" ref="K81">INDEX(stable[is_supply_chain_dependent],MATCH(VALUE(questions[[#This Row],[qno]]),VALUE(stable[qno]),0))</f>
        <v>0</v>
      </c>
      <c r="L81" s="9" t="b" cm="1">
        <f t="array" ref="L81">INDEX(stable[is_mandatory],MATCH(VALUE(questions[[#This Row],[qno]]),VALUE(stable[qno]),0))</f>
        <v>0</v>
      </c>
      <c r="M81" s="9" t="b" cm="1">
        <f t="array" ref="M81">INDEX(stable[is_automated],MATCH(VALUE(questions[[#This Row],[qno]]),VALUE(stable[qno]),0))</f>
        <v>0</v>
      </c>
      <c r="N81" s="9" t="b" cm="1">
        <f t="array" ref="N81">INDEX(stable[is_free_text],MATCH(VALUE(questions[[#This Row],[qno]]),VALUE(stable[qno]),0))</f>
        <v>0</v>
      </c>
      <c r="O81" s="9" t="b" cm="1">
        <f t="array" ref="O81">INDEX(stable[is_numerical],MATCH(VALUE(questions[[#This Row],[qno]]),VALUE(stable[qno]),0))</f>
        <v>1</v>
      </c>
      <c r="P81" s="32" t="b" cm="1">
        <f t="array" ref="P81">INDEX(stable[is_single_select],MATCH(VALUE(questions[[#This Row],[qno]]),VALUE(stable[qno]),0))</f>
        <v>0</v>
      </c>
      <c r="Q81" s="9" t="b" cm="1">
        <f t="array" ref="Q81">INDEX(stable[is_multi_select],MATCH(VALUE(questions[[#This Row],[qno]]),VALUE(stable[qno]),0))</f>
        <v>0</v>
      </c>
      <c r="R81" s="9" t="b" cm="1">
        <f t="array" ref="R81">INDEX(stable[is_skip_logic],MATCH(VALUE(questions[[#This Row],[qno]]),VALUE(stable[qno]),0))</f>
        <v>1</v>
      </c>
      <c r="S81" s="9" t="str">
        <f>_xlfn.TEXTJOIN(", ",TRUE,questions[[#This Row],[ans_opt_1]:[ans_opt_14]])</f>
        <v/>
      </c>
      <c r="AH81" s="16" t="b">
        <f>INDEX(stable[q_standard],MATCH(questions[[#This Row],[qno]],stable[qno],0))</f>
        <v>0</v>
      </c>
      <c r="AI81" s="16" t="b">
        <f>INDEX(stable[q_living_income],MATCH(questions[[#This Row],[qno]],stable[qno],0))</f>
        <v>1</v>
      </c>
      <c r="AJ81" s="16" t="b">
        <f>INDEX(stable[q_carbon],MATCH(questions[[#This Row],[qno]],stable[qno],0))</f>
        <v>1</v>
      </c>
      <c r="AK81" s="16" t="b">
        <f>INDEX(stable[q_regen_ag],MATCH(questions[[#This Row],[qno]],stable[qno],0))</f>
        <v>0</v>
      </c>
      <c r="AL81" s="16" t="b">
        <f>COUNTIFS(stable[qno],questions[[#This Row],[qno]])=1</f>
        <v>1</v>
      </c>
      <c r="AM81" s="16" t="b">
        <f>OR(questions[[#This Row],[is_fixed]],questions[[#This Row],[is_localized]],questions[[#This Row],[is_supply_chain_dependent]])</f>
        <v>1</v>
      </c>
      <c r="AN81" s="16" t="b">
        <f>COUNTIFS(questions[[#This Row],[is_automated]:[is_multi_select]],TRUE)=1</f>
        <v>1</v>
      </c>
      <c r="AO81" s="16" t="b">
        <f>IF(questions[[#This Row],[is_fixed]],questions[[#This Row],[question]]=INDEX(stable[question],MATCH(questions[[#This Row],[qno]],stable[qno],0)),TRUE)</f>
        <v>1</v>
      </c>
      <c r="AP81" s="16" t="str">
        <f>LEFT(questions[[#This Row],[question]],similarity_range)</f>
        <v>What was the quantit</v>
      </c>
      <c r="AQ81" s="16" t="str">
        <f>LEFT(INDEX(stable[question],MATCH(questions[[#This Row],[qno]],stable[qno],0)),similarity_range)</f>
        <v>What was the quantit</v>
      </c>
      <c r="AR81" s="16" t="b">
        <f>questions[[#This Row],[question_first_characters]]=questions[[#This Row],[stability_first_characters]]</f>
        <v>1</v>
      </c>
      <c r="AS81" s="16" t="b">
        <f>IF(OR(questions[[#This Row],[is_single_select]],questions[[#This Row],[is_multi_select]]),NOT(ISBLANK(questions[[#This Row],[answer_opt_combined]])),TRUE)</f>
        <v>1</v>
      </c>
    </row>
    <row r="82" spans="1:45" s="77" customFormat="1" x14ac:dyDescent="0.25">
      <c r="A82" s="77" t="str">
        <f>_xlfn.TEXTJOIN("_",TRUE,questions[[#This Row],[origin]:[qno]])</f>
        <v>Indonesia_Arabica_west_java_impact_5622</v>
      </c>
      <c r="B82" s="77" t="s">
        <v>58</v>
      </c>
      <c r="C82" s="77" t="s">
        <v>59</v>
      </c>
      <c r="D82" s="77" t="s">
        <v>60</v>
      </c>
      <c r="F82" s="77" t="s">
        <v>230</v>
      </c>
      <c r="G82" s="77" t="s">
        <v>231</v>
      </c>
      <c r="H82" s="9" t="str" cm="1">
        <f t="array" ref="H82">INDEX(stableR[question],MATCH(VALUE(questions[[#This Row],[qno]]),VALUE(stableR[qno]),0))</f>
        <v>What was the unit of this second most used pesticide/fungicide/herbicide?</v>
      </c>
      <c r="I82" s="9" t="b" cm="1">
        <f t="array" ref="I82">INDEX(stable[is_fixed],MATCH(VALUE(questions[[#This Row],[qno]]),VALUE(stable[qno]),0))</f>
        <v>1</v>
      </c>
      <c r="J82" s="9" t="b" cm="1">
        <f t="array" ref="J82">INDEX(stable[is_localized],MATCH(VALUE(questions[[#This Row],[qno]]),VALUE(stable[qno]),0))</f>
        <v>0</v>
      </c>
      <c r="K82" s="9" t="b" cm="1">
        <f t="array" ref="K82">INDEX(stable[is_supply_chain_dependent],MATCH(VALUE(questions[[#This Row],[qno]]),VALUE(stable[qno]),0))</f>
        <v>0</v>
      </c>
      <c r="L82" s="9" t="b" cm="1">
        <f t="array" ref="L82">INDEX(stable[is_mandatory],MATCH(VALUE(questions[[#This Row],[qno]]),VALUE(stable[qno]),0))</f>
        <v>0</v>
      </c>
      <c r="M82" s="9" t="b" cm="1">
        <f t="array" ref="M82">INDEX(stable[is_automated],MATCH(VALUE(questions[[#This Row],[qno]]),VALUE(stable[qno]),0))</f>
        <v>0</v>
      </c>
      <c r="N82" s="9" t="b" cm="1">
        <f t="array" ref="N82">INDEX(stable[is_free_text],MATCH(VALUE(questions[[#This Row],[qno]]),VALUE(stable[qno]),0))</f>
        <v>0</v>
      </c>
      <c r="O82" s="9" t="b" cm="1">
        <f t="array" ref="O82">INDEX(stable[is_numerical],MATCH(VALUE(questions[[#This Row],[qno]]),VALUE(stable[qno]),0))</f>
        <v>0</v>
      </c>
      <c r="P82" s="103" t="b" cm="1">
        <f t="array" ref="P82">INDEX(stable[is_single_select],MATCH(VALUE(questions[[#This Row],[qno]]),VALUE(stable[qno]),0))</f>
        <v>1</v>
      </c>
      <c r="Q82" s="77" t="b" cm="1">
        <f t="array" ref="Q82">INDEX(stable[is_multi_select],MATCH(VALUE(questions[[#This Row],[qno]]),VALUE(stable[qno]),0))</f>
        <v>0</v>
      </c>
      <c r="R82" s="77" t="b" cm="1">
        <f t="array" ref="R82">INDEX(stable[is_skip_logic],MATCH(VALUE(questions[[#This Row],[qno]]),VALUE(stable[qno]),0))</f>
        <v>1</v>
      </c>
      <c r="S82" s="77" t="str">
        <f>_xlfn.TEXTJOIN(", ",TRUE,questions[[#This Row],[ans_opt_1]:[ans_opt_14]])</f>
        <v>Kgs, Grams, Liters, Mililiters</v>
      </c>
      <c r="T82" s="77" t="s">
        <v>222</v>
      </c>
      <c r="U82" s="77" t="s">
        <v>223</v>
      </c>
      <c r="V82" s="77" t="s">
        <v>224</v>
      </c>
      <c r="W82" s="77" t="s">
        <v>225</v>
      </c>
      <c r="AH82" s="98" t="b">
        <f>INDEX(stable[q_standard],MATCH(questions[[#This Row],[qno]],stable[qno],0))</f>
        <v>0</v>
      </c>
      <c r="AI82" s="98" t="b">
        <f>INDEX(stable[q_living_income],MATCH(questions[[#This Row],[qno]],stable[qno],0))</f>
        <v>1</v>
      </c>
      <c r="AJ82" s="98" t="b">
        <f>INDEX(stable[q_carbon],MATCH(questions[[#This Row],[qno]],stable[qno],0))</f>
        <v>1</v>
      </c>
      <c r="AK82" s="98" t="b">
        <f>INDEX(stable[q_regen_ag],MATCH(questions[[#This Row],[qno]],stable[qno],0))</f>
        <v>0</v>
      </c>
      <c r="AL82" s="98" t="b">
        <f>COUNTIFS(stable[qno],questions[[#This Row],[qno]])=1</f>
        <v>1</v>
      </c>
      <c r="AM82" s="98" t="b">
        <f>OR(questions[[#This Row],[is_fixed]],questions[[#This Row],[is_localized]],questions[[#This Row],[is_supply_chain_dependent]])</f>
        <v>1</v>
      </c>
      <c r="AN82" s="98" t="b">
        <f>COUNTIFS(questions[[#This Row],[is_automated]:[is_multi_select]],TRUE)=1</f>
        <v>1</v>
      </c>
      <c r="AO82" s="98" t="b">
        <f>IF(questions[[#This Row],[is_fixed]],questions[[#This Row],[question]]=INDEX(stable[question],MATCH(questions[[#This Row],[qno]],stable[qno],0)),TRUE)</f>
        <v>1</v>
      </c>
      <c r="AP82" s="98" t="str">
        <f>LEFT(questions[[#This Row],[question]],similarity_range)</f>
        <v>What was the unit of</v>
      </c>
      <c r="AQ82" s="98" t="str">
        <f>LEFT(INDEX(stable[question],MATCH(questions[[#This Row],[qno]],stable[qno],0)),similarity_range)</f>
        <v>What was the unit of</v>
      </c>
      <c r="AR82" s="98" t="b">
        <f>questions[[#This Row],[question_first_characters]]=questions[[#This Row],[stability_first_characters]]</f>
        <v>1</v>
      </c>
      <c r="AS82" s="98" t="b">
        <f>IF(OR(questions[[#This Row],[is_single_select]],questions[[#This Row],[is_multi_select]]),NOT(ISBLANK(questions[[#This Row],[answer_opt_combined]])),TRUE)</f>
        <v>1</v>
      </c>
    </row>
    <row r="83" spans="1:45" x14ac:dyDescent="0.25">
      <c r="A83" s="9" t="str">
        <f>_xlfn.TEXTJOIN("_",TRUE,questions[[#This Row],[origin]:[qno]])</f>
        <v>Indonesia_Arabica_west_java_impact_5630</v>
      </c>
      <c r="B83" s="9" t="s">
        <v>58</v>
      </c>
      <c r="C83" s="9" t="s">
        <v>59</v>
      </c>
      <c r="D83" s="9" t="s">
        <v>60</v>
      </c>
      <c r="F83" s="9" t="s">
        <v>232</v>
      </c>
      <c r="G83" s="9" t="s">
        <v>233</v>
      </c>
      <c r="H83" s="9" t="str" cm="1">
        <f t="array" ref="H83">INDEX(stableR[question],MATCH(VALUE(questions[[#This Row],[qno]]),VALUE(stableR[qno]),0))</f>
        <v>What was the name of the pesticide/fungicide or herbicide that you used third most, last year?</v>
      </c>
      <c r="I83" s="9" t="b" cm="1">
        <f t="array" ref="I83">INDEX(stable[is_fixed],MATCH(VALUE(questions[[#This Row],[qno]]),VALUE(stable[qno]),0))</f>
        <v>1</v>
      </c>
      <c r="J83" s="9" t="b" cm="1">
        <f t="array" ref="J83">INDEX(stable[is_localized],MATCH(VALUE(questions[[#This Row],[qno]]),VALUE(stable[qno]),0))</f>
        <v>0</v>
      </c>
      <c r="K83" s="9" t="b" cm="1">
        <f t="array" ref="K83">INDEX(stable[is_supply_chain_dependent],MATCH(VALUE(questions[[#This Row],[qno]]),VALUE(stable[qno]),0))</f>
        <v>0</v>
      </c>
      <c r="L83" s="9" t="b" cm="1">
        <f t="array" ref="L83">INDEX(stable[is_mandatory],MATCH(VALUE(questions[[#This Row],[qno]]),VALUE(stable[qno]),0))</f>
        <v>0</v>
      </c>
      <c r="M83" s="9" t="b" cm="1">
        <f t="array" ref="M83">INDEX(stable[is_automated],MATCH(VALUE(questions[[#This Row],[qno]]),VALUE(stable[qno]),0))</f>
        <v>0</v>
      </c>
      <c r="N83" s="9" t="b" cm="1">
        <f t="array" ref="N83">INDEX(stable[is_free_text],MATCH(VALUE(questions[[#This Row],[qno]]),VALUE(stable[qno]),0))</f>
        <v>1</v>
      </c>
      <c r="O83" s="9" t="b" cm="1">
        <f t="array" ref="O83">INDEX(stable[is_numerical],MATCH(VALUE(questions[[#This Row],[qno]]),VALUE(stable[qno]),0))</f>
        <v>0</v>
      </c>
      <c r="P83" s="32" t="b" cm="1">
        <f t="array" ref="P83">INDEX(stable[is_single_select],MATCH(VALUE(questions[[#This Row],[qno]]),VALUE(stable[qno]),0))</f>
        <v>0</v>
      </c>
      <c r="Q83" s="9" t="b" cm="1">
        <f t="array" ref="Q83">INDEX(stable[is_multi_select],MATCH(VALUE(questions[[#This Row],[qno]]),VALUE(stable[qno]),0))</f>
        <v>0</v>
      </c>
      <c r="R83" s="9" t="b" cm="1">
        <f t="array" ref="R83">INDEX(stable[is_skip_logic],MATCH(VALUE(questions[[#This Row],[qno]]),VALUE(stable[qno]),0))</f>
        <v>1</v>
      </c>
      <c r="S83" s="9" t="str">
        <f>_xlfn.TEXTJOIN(", ",TRUE,questions[[#This Row],[ans_opt_1]:[ans_opt_14]])</f>
        <v/>
      </c>
      <c r="AH83" s="16" t="b">
        <f>INDEX(stable[q_standard],MATCH(questions[[#This Row],[qno]],stable[qno],0))</f>
        <v>0</v>
      </c>
      <c r="AI83" s="16" t="b">
        <f>INDEX(stable[q_living_income],MATCH(questions[[#This Row],[qno]],stable[qno],0))</f>
        <v>1</v>
      </c>
      <c r="AJ83" s="16" t="b">
        <f>INDEX(stable[q_carbon],MATCH(questions[[#This Row],[qno]],stable[qno],0))</f>
        <v>1</v>
      </c>
      <c r="AK83" s="16" t="b">
        <f>INDEX(stable[q_regen_ag],MATCH(questions[[#This Row],[qno]],stable[qno],0))</f>
        <v>0</v>
      </c>
      <c r="AL83" s="16" t="b">
        <f>COUNTIFS(stable[qno],questions[[#This Row],[qno]])=1</f>
        <v>1</v>
      </c>
      <c r="AM83" s="16" t="b">
        <f>OR(questions[[#This Row],[is_fixed]],questions[[#This Row],[is_localized]],questions[[#This Row],[is_supply_chain_dependent]])</f>
        <v>1</v>
      </c>
      <c r="AN83" s="16" t="b">
        <f>COUNTIFS(questions[[#This Row],[is_automated]:[is_multi_select]],TRUE)=1</f>
        <v>1</v>
      </c>
      <c r="AO83" s="16" t="b">
        <f>IF(questions[[#This Row],[is_fixed]],questions[[#This Row],[question]]=INDEX(stable[question],MATCH(questions[[#This Row],[qno]],stable[qno],0)),TRUE)</f>
        <v>1</v>
      </c>
      <c r="AP83" s="16" t="str">
        <f>LEFT(questions[[#This Row],[question]],similarity_range)</f>
        <v>If yes, what was the</v>
      </c>
      <c r="AQ83" s="16" t="str">
        <f>LEFT(INDEX(stable[question],MATCH(questions[[#This Row],[qno]],stable[qno],0)),similarity_range)</f>
        <v>If yes, what was the</v>
      </c>
      <c r="AR83" s="16" t="b">
        <f>questions[[#This Row],[question_first_characters]]=questions[[#This Row],[stability_first_characters]]</f>
        <v>1</v>
      </c>
      <c r="AS83" s="16" t="b">
        <f>IF(OR(questions[[#This Row],[is_single_select]],questions[[#This Row],[is_multi_select]]),NOT(ISBLANK(questions[[#This Row],[answer_opt_combined]])),TRUE)</f>
        <v>1</v>
      </c>
    </row>
    <row r="84" spans="1:45" x14ac:dyDescent="0.25">
      <c r="A84" s="9" t="str">
        <f>_xlfn.TEXTJOIN("_",TRUE,questions[[#This Row],[origin]:[qno]])</f>
        <v>Indonesia_Arabica_west_java_impact_5631</v>
      </c>
      <c r="B84" s="9" t="s">
        <v>58</v>
      </c>
      <c r="C84" s="9" t="s">
        <v>59</v>
      </c>
      <c r="D84" s="9" t="s">
        <v>60</v>
      </c>
      <c r="F84" s="9" t="s">
        <v>234</v>
      </c>
      <c r="G84" s="9" t="s">
        <v>235</v>
      </c>
      <c r="H84" s="9" t="str" cm="1">
        <f t="array" ref="H84">INDEX(stableR[question],MATCH(VALUE(questions[[#This Row],[qno]]),VALUE(stableR[qno]),0))</f>
        <v>What was the quantity used of this third most used pesticide/fungicide/herbicide last year?</v>
      </c>
      <c r="I84" s="9" t="b" cm="1">
        <f t="array" ref="I84">INDEX(stable[is_fixed],MATCH(VALUE(questions[[#This Row],[qno]]),VALUE(stable[qno]),0))</f>
        <v>1</v>
      </c>
      <c r="J84" s="9" t="b" cm="1">
        <f t="array" ref="J84">INDEX(stable[is_localized],MATCH(VALUE(questions[[#This Row],[qno]]),VALUE(stable[qno]),0))</f>
        <v>0</v>
      </c>
      <c r="K84" s="9" t="b" cm="1">
        <f t="array" ref="K84">INDEX(stable[is_supply_chain_dependent],MATCH(VALUE(questions[[#This Row],[qno]]),VALUE(stable[qno]),0))</f>
        <v>0</v>
      </c>
      <c r="L84" s="9" t="b" cm="1">
        <f t="array" ref="L84">INDEX(stable[is_mandatory],MATCH(VALUE(questions[[#This Row],[qno]]),VALUE(stable[qno]),0))</f>
        <v>0</v>
      </c>
      <c r="M84" s="9" t="b" cm="1">
        <f t="array" ref="M84">INDEX(stable[is_automated],MATCH(VALUE(questions[[#This Row],[qno]]),VALUE(stable[qno]),0))</f>
        <v>0</v>
      </c>
      <c r="N84" s="9" t="b" cm="1">
        <f t="array" ref="N84">INDEX(stable[is_free_text],MATCH(VALUE(questions[[#This Row],[qno]]),VALUE(stable[qno]),0))</f>
        <v>0</v>
      </c>
      <c r="O84" s="9" t="b" cm="1">
        <f t="array" ref="O84">INDEX(stable[is_numerical],MATCH(VALUE(questions[[#This Row],[qno]]),VALUE(stable[qno]),0))</f>
        <v>1</v>
      </c>
      <c r="P84" s="32" t="b" cm="1">
        <f t="array" ref="P84">INDEX(stable[is_single_select],MATCH(VALUE(questions[[#This Row],[qno]]),VALUE(stable[qno]),0))</f>
        <v>0</v>
      </c>
      <c r="Q84" s="9" t="b" cm="1">
        <f t="array" ref="Q84">INDEX(stable[is_multi_select],MATCH(VALUE(questions[[#This Row],[qno]]),VALUE(stable[qno]),0))</f>
        <v>0</v>
      </c>
      <c r="R84" s="9" t="b" cm="1">
        <f t="array" ref="R84">INDEX(stable[is_skip_logic],MATCH(VALUE(questions[[#This Row],[qno]]),VALUE(stable[qno]),0))</f>
        <v>1</v>
      </c>
      <c r="S84" s="9" t="str">
        <f>_xlfn.TEXTJOIN(", ",TRUE,questions[[#This Row],[ans_opt_1]:[ans_opt_14]])</f>
        <v/>
      </c>
      <c r="AH84" s="16" t="b">
        <f>INDEX(stable[q_standard],MATCH(questions[[#This Row],[qno]],stable[qno],0))</f>
        <v>0</v>
      </c>
      <c r="AI84" s="16" t="b">
        <f>INDEX(stable[q_living_income],MATCH(questions[[#This Row],[qno]],stable[qno],0))</f>
        <v>1</v>
      </c>
      <c r="AJ84" s="16" t="b">
        <f>INDEX(stable[q_carbon],MATCH(questions[[#This Row],[qno]],stable[qno],0))</f>
        <v>1</v>
      </c>
      <c r="AK84" s="16" t="b">
        <f>INDEX(stable[q_regen_ag],MATCH(questions[[#This Row],[qno]],stable[qno],0))</f>
        <v>0</v>
      </c>
      <c r="AL84" s="16" t="b">
        <f>COUNTIFS(stable[qno],questions[[#This Row],[qno]])=1</f>
        <v>1</v>
      </c>
      <c r="AM84" s="16" t="b">
        <f>OR(questions[[#This Row],[is_fixed]],questions[[#This Row],[is_localized]],questions[[#This Row],[is_supply_chain_dependent]])</f>
        <v>1</v>
      </c>
      <c r="AN84" s="16" t="b">
        <f>COUNTIFS(questions[[#This Row],[is_automated]:[is_multi_select]],TRUE)=1</f>
        <v>1</v>
      </c>
      <c r="AO84" s="16" t="b">
        <f>IF(questions[[#This Row],[is_fixed]],questions[[#This Row],[question]]=INDEX(stable[question],MATCH(questions[[#This Row],[qno]],stable[qno],0)),TRUE)</f>
        <v>1</v>
      </c>
      <c r="AP84" s="16" t="str">
        <f>LEFT(questions[[#This Row],[question]],similarity_range)</f>
        <v>What was the quantit</v>
      </c>
      <c r="AQ84" s="16" t="str">
        <f>LEFT(INDEX(stable[question],MATCH(questions[[#This Row],[qno]],stable[qno],0)),similarity_range)</f>
        <v>What was the quantit</v>
      </c>
      <c r="AR84" s="16" t="b">
        <f>questions[[#This Row],[question_first_characters]]=questions[[#This Row],[stability_first_characters]]</f>
        <v>1</v>
      </c>
      <c r="AS84" s="16" t="b">
        <f>IF(OR(questions[[#This Row],[is_single_select]],questions[[#This Row],[is_multi_select]]),NOT(ISBLANK(questions[[#This Row],[answer_opt_combined]])),TRUE)</f>
        <v>1</v>
      </c>
    </row>
    <row r="85" spans="1:45" s="77" customFormat="1" x14ac:dyDescent="0.25">
      <c r="A85" s="77" t="str">
        <f>_xlfn.TEXTJOIN("_",TRUE,questions[[#This Row],[origin]:[qno]])</f>
        <v>Indonesia_Arabica_west_java_impact_5632</v>
      </c>
      <c r="B85" s="77" t="s">
        <v>58</v>
      </c>
      <c r="C85" s="77" t="s">
        <v>59</v>
      </c>
      <c r="D85" s="77" t="s">
        <v>60</v>
      </c>
      <c r="F85" s="77" t="s">
        <v>236</v>
      </c>
      <c r="G85" s="77" t="s">
        <v>237</v>
      </c>
      <c r="H85" s="9" t="str" cm="1">
        <f t="array" ref="H85">INDEX(stableR[question],MATCH(VALUE(questions[[#This Row],[qno]]),VALUE(stableR[qno]),0))</f>
        <v>What was the unit of this third most used pesticide/fungicide/herbicide</v>
      </c>
      <c r="I85" s="9" t="b" cm="1">
        <f t="array" ref="I85">INDEX(stable[is_fixed],MATCH(VALUE(questions[[#This Row],[qno]]),VALUE(stable[qno]),0))</f>
        <v>1</v>
      </c>
      <c r="J85" s="9" t="b" cm="1">
        <f t="array" ref="J85">INDEX(stable[is_localized],MATCH(VALUE(questions[[#This Row],[qno]]),VALUE(stable[qno]),0))</f>
        <v>0</v>
      </c>
      <c r="K85" s="9" t="b" cm="1">
        <f t="array" ref="K85">INDEX(stable[is_supply_chain_dependent],MATCH(VALUE(questions[[#This Row],[qno]]),VALUE(stable[qno]),0))</f>
        <v>0</v>
      </c>
      <c r="L85" s="9" t="b" cm="1">
        <f t="array" ref="L85">INDEX(stable[is_mandatory],MATCH(VALUE(questions[[#This Row],[qno]]),VALUE(stable[qno]),0))</f>
        <v>0</v>
      </c>
      <c r="M85" s="9" t="b" cm="1">
        <f t="array" ref="M85">INDEX(stable[is_automated],MATCH(VALUE(questions[[#This Row],[qno]]),VALUE(stable[qno]),0))</f>
        <v>0</v>
      </c>
      <c r="N85" s="9" t="b" cm="1">
        <f t="array" ref="N85">INDEX(stable[is_free_text],MATCH(VALUE(questions[[#This Row],[qno]]),VALUE(stable[qno]),0))</f>
        <v>0</v>
      </c>
      <c r="O85" s="9" t="b" cm="1">
        <f t="array" ref="O85">INDEX(stable[is_numerical],MATCH(VALUE(questions[[#This Row],[qno]]),VALUE(stable[qno]),0))</f>
        <v>0</v>
      </c>
      <c r="P85" s="103" t="b" cm="1">
        <f t="array" ref="P85">INDEX(stable[is_single_select],MATCH(VALUE(questions[[#This Row],[qno]]),VALUE(stable[qno]),0))</f>
        <v>1</v>
      </c>
      <c r="Q85" s="77" t="b" cm="1">
        <f t="array" ref="Q85">INDEX(stable[is_multi_select],MATCH(VALUE(questions[[#This Row],[qno]]),VALUE(stable[qno]),0))</f>
        <v>0</v>
      </c>
      <c r="R85" s="77" t="b" cm="1">
        <f t="array" ref="R85">INDEX(stable[is_skip_logic],MATCH(VALUE(questions[[#This Row],[qno]]),VALUE(stable[qno]),0))</f>
        <v>1</v>
      </c>
      <c r="S85" s="77" t="str">
        <f>_xlfn.TEXTJOIN(", ",TRUE,questions[[#This Row],[ans_opt_1]:[ans_opt_14]])</f>
        <v>Kgs, Grams, Liters, Mililiters</v>
      </c>
      <c r="T85" s="77" t="s">
        <v>222</v>
      </c>
      <c r="U85" s="77" t="s">
        <v>223</v>
      </c>
      <c r="V85" s="77" t="s">
        <v>224</v>
      </c>
      <c r="W85" s="77" t="s">
        <v>225</v>
      </c>
      <c r="AH85" s="98" t="b">
        <f>INDEX(stable[q_standard],MATCH(questions[[#This Row],[qno]],stable[qno],0))</f>
        <v>0</v>
      </c>
      <c r="AI85" s="98" t="b">
        <f>INDEX(stable[q_living_income],MATCH(questions[[#This Row],[qno]],stable[qno],0))</f>
        <v>1</v>
      </c>
      <c r="AJ85" s="98" t="b">
        <f>INDEX(stable[q_carbon],MATCH(questions[[#This Row],[qno]],stable[qno],0))</f>
        <v>1</v>
      </c>
      <c r="AK85" s="98" t="b">
        <f>INDEX(stable[q_regen_ag],MATCH(questions[[#This Row],[qno]],stable[qno],0))</f>
        <v>0</v>
      </c>
      <c r="AL85" s="98" t="b">
        <f>COUNTIFS(stable[qno],questions[[#This Row],[qno]])=1</f>
        <v>1</v>
      </c>
      <c r="AM85" s="98" t="b">
        <f>OR(questions[[#This Row],[is_fixed]],questions[[#This Row],[is_localized]],questions[[#This Row],[is_supply_chain_dependent]])</f>
        <v>1</v>
      </c>
      <c r="AN85" s="98" t="b">
        <f>COUNTIFS(questions[[#This Row],[is_automated]:[is_multi_select]],TRUE)=1</f>
        <v>1</v>
      </c>
      <c r="AO85" s="98" t="b">
        <f>IF(questions[[#This Row],[is_fixed]],questions[[#This Row],[question]]=INDEX(stable[question],MATCH(questions[[#This Row],[qno]],stable[qno],0)),TRUE)</f>
        <v>1</v>
      </c>
      <c r="AP85" s="98" t="str">
        <f>LEFT(questions[[#This Row],[question]],similarity_range)</f>
        <v>What was the unit of</v>
      </c>
      <c r="AQ85" s="98" t="str">
        <f>LEFT(INDEX(stable[question],MATCH(questions[[#This Row],[qno]],stable[qno],0)),similarity_range)</f>
        <v>What was the unit of</v>
      </c>
      <c r="AR85" s="98" t="b">
        <f>questions[[#This Row],[question_first_characters]]=questions[[#This Row],[stability_first_characters]]</f>
        <v>1</v>
      </c>
      <c r="AS85" s="98" t="b">
        <f>IF(OR(questions[[#This Row],[is_single_select]],questions[[#This Row],[is_multi_select]]),NOT(ISBLANK(questions[[#This Row],[answer_opt_combined]])),TRUE)</f>
        <v>1</v>
      </c>
    </row>
    <row r="86" spans="1:45" s="77" customFormat="1" x14ac:dyDescent="0.25">
      <c r="A86" s="77" t="str">
        <f>_xlfn.TEXTJOIN("_",TRUE,questions[[#This Row],[origin]:[qno]])</f>
        <v>Indonesia_Arabica_west_java_impact_6000</v>
      </c>
      <c r="B86" s="77" t="s">
        <v>58</v>
      </c>
      <c r="C86" s="77" t="s">
        <v>59</v>
      </c>
      <c r="D86" s="77" t="s">
        <v>60</v>
      </c>
      <c r="F86" s="77" t="s">
        <v>238</v>
      </c>
      <c r="G86" s="77" t="s">
        <v>239</v>
      </c>
      <c r="H86" s="9" t="str" cm="1">
        <f t="array" ref="H86">INDEX(stableR[question],MATCH(VALUE(questions[[#This Row],[qno]]),VALUE(stableR[qno]),0))</f>
        <v>Did you hire any permanent laborer's, for your coffee plots, last year?</v>
      </c>
      <c r="I86" s="9" t="b" cm="1">
        <f t="array" ref="I86">INDEX(stable[is_fixed],MATCH(VALUE(questions[[#This Row],[qno]]),VALUE(stable[qno]),0))</f>
        <v>1</v>
      </c>
      <c r="J86" s="9" t="b" cm="1">
        <f t="array" ref="J86">INDEX(stable[is_localized],MATCH(VALUE(questions[[#This Row],[qno]]),VALUE(stable[qno]),0))</f>
        <v>0</v>
      </c>
      <c r="K86" s="9" t="b" cm="1">
        <f t="array" ref="K86">INDEX(stable[is_supply_chain_dependent],MATCH(VALUE(questions[[#This Row],[qno]]),VALUE(stable[qno]),0))</f>
        <v>0</v>
      </c>
      <c r="L86" s="9" t="b" cm="1">
        <f t="array" ref="L86">INDEX(stable[is_mandatory],MATCH(VALUE(questions[[#This Row],[qno]]),VALUE(stable[qno]),0))</f>
        <v>1</v>
      </c>
      <c r="M86" s="9" t="b" cm="1">
        <f t="array" ref="M86">INDEX(stable[is_automated],MATCH(VALUE(questions[[#This Row],[qno]]),VALUE(stable[qno]),0))</f>
        <v>0</v>
      </c>
      <c r="N86" s="9" t="b" cm="1">
        <f t="array" ref="N86">INDEX(stable[is_free_text],MATCH(VALUE(questions[[#This Row],[qno]]),VALUE(stable[qno]),0))</f>
        <v>0</v>
      </c>
      <c r="O86" s="9" t="b" cm="1">
        <f t="array" ref="O86">INDEX(stable[is_numerical],MATCH(VALUE(questions[[#This Row],[qno]]),VALUE(stable[qno]),0))</f>
        <v>0</v>
      </c>
      <c r="P86" s="103" t="b" cm="1">
        <f t="array" ref="P86">INDEX(stable[is_single_select],MATCH(VALUE(questions[[#This Row],[qno]]),VALUE(stable[qno]),0))</f>
        <v>1</v>
      </c>
      <c r="Q86" s="77" t="b" cm="1">
        <f t="array" ref="Q86">INDEX(stable[is_multi_select],MATCH(VALUE(questions[[#This Row],[qno]]),VALUE(stable[qno]),0))</f>
        <v>0</v>
      </c>
      <c r="R86" s="77" t="b" cm="1">
        <f t="array" ref="R86">INDEX(stable[is_skip_logic],MATCH(VALUE(questions[[#This Row],[qno]]),VALUE(stable[qno]),0))</f>
        <v>1</v>
      </c>
      <c r="S86" s="77" t="str">
        <f>_xlfn.TEXTJOIN(", ",TRUE,questions[[#This Row],[ans_opt_1]:[ans_opt_14]])</f>
        <v>Yes, No</v>
      </c>
      <c r="T86" s="77" t="s">
        <v>149</v>
      </c>
      <c r="U86" s="77" t="s">
        <v>119</v>
      </c>
      <c r="AH86" s="98" t="b">
        <f>INDEX(stable[q_standard],MATCH(questions[[#This Row],[qno]],stable[qno],0))</f>
        <v>0</v>
      </c>
      <c r="AI86" s="98" t="b">
        <f>INDEX(stable[q_living_income],MATCH(questions[[#This Row],[qno]],stable[qno],0))</f>
        <v>1</v>
      </c>
      <c r="AJ86" s="98" t="b">
        <f>INDEX(stable[q_carbon],MATCH(questions[[#This Row],[qno]],stable[qno],0))</f>
        <v>0</v>
      </c>
      <c r="AK86" s="98" t="b">
        <f>INDEX(stable[q_regen_ag],MATCH(questions[[#This Row],[qno]],stable[qno],0))</f>
        <v>0</v>
      </c>
      <c r="AL86" s="98" t="b">
        <f>COUNTIFS(stable[qno],questions[[#This Row],[qno]])=1</f>
        <v>1</v>
      </c>
      <c r="AM86" s="98" t="b">
        <f>OR(questions[[#This Row],[is_fixed]],questions[[#This Row],[is_localized]],questions[[#This Row],[is_supply_chain_dependent]])</f>
        <v>1</v>
      </c>
      <c r="AN86" s="98" t="b">
        <f>COUNTIFS(questions[[#This Row],[is_automated]:[is_multi_select]],TRUE)=1</f>
        <v>1</v>
      </c>
      <c r="AO86" s="98" t="b">
        <f>IF(questions[[#This Row],[is_fixed]],questions[[#This Row],[question]]=INDEX(stable[question],MATCH(questions[[#This Row],[qno]],stable[qno],0)),TRUE)</f>
        <v>1</v>
      </c>
      <c r="AP86" s="98" t="str">
        <f>LEFT(questions[[#This Row],[question]],similarity_range)</f>
        <v>Did you hire any per</v>
      </c>
      <c r="AQ86" s="98" t="str">
        <f>LEFT(INDEX(stable[question],MATCH(questions[[#This Row],[qno]],stable[qno],0)),similarity_range)</f>
        <v>Did you hire any per</v>
      </c>
      <c r="AR86" s="98" t="b">
        <f>questions[[#This Row],[question_first_characters]]=questions[[#This Row],[stability_first_characters]]</f>
        <v>1</v>
      </c>
      <c r="AS86" s="98" t="b">
        <f>IF(OR(questions[[#This Row],[is_single_select]],questions[[#This Row],[is_multi_select]]),NOT(ISBLANK(questions[[#This Row],[answer_opt_combined]])),TRUE)</f>
        <v>1</v>
      </c>
    </row>
    <row r="87" spans="1:45" x14ac:dyDescent="0.25">
      <c r="A87" s="9" t="str">
        <f>_xlfn.TEXTJOIN("_",TRUE,questions[[#This Row],[origin]:[qno]])</f>
        <v>Indonesia_Arabica_west_java_impact_6001</v>
      </c>
      <c r="B87" s="9" t="s">
        <v>58</v>
      </c>
      <c r="C87" s="9" t="s">
        <v>59</v>
      </c>
      <c r="D87" s="9" t="s">
        <v>60</v>
      </c>
      <c r="F87" s="9" t="s">
        <v>240</v>
      </c>
      <c r="G87" s="9" t="s">
        <v>241</v>
      </c>
      <c r="H87" s="9" t="str" cm="1">
        <f t="array" ref="H87">INDEX(stableR[question],MATCH(VALUE(questions[[#This Row],[qno]]),VALUE(stableR[qno]),0))</f>
        <v>How many people did you hire, permanently for your coffee plots, last year?</v>
      </c>
      <c r="I87" s="9" t="b" cm="1">
        <f t="array" ref="I87">INDEX(stable[is_fixed],MATCH(VALUE(questions[[#This Row],[qno]]),VALUE(stable[qno]),0))</f>
        <v>1</v>
      </c>
      <c r="J87" s="9" t="b" cm="1">
        <f t="array" ref="J87">INDEX(stable[is_localized],MATCH(VALUE(questions[[#This Row],[qno]]),VALUE(stable[qno]),0))</f>
        <v>0</v>
      </c>
      <c r="K87" s="9" t="b" cm="1">
        <f t="array" ref="K87">INDEX(stable[is_supply_chain_dependent],MATCH(VALUE(questions[[#This Row],[qno]]),VALUE(stable[qno]),0))</f>
        <v>0</v>
      </c>
      <c r="L87" s="9" t="b" cm="1">
        <f t="array" ref="L87">INDEX(stable[is_mandatory],MATCH(VALUE(questions[[#This Row],[qno]]),VALUE(stable[qno]),0))</f>
        <v>0</v>
      </c>
      <c r="M87" s="9" t="b" cm="1">
        <f t="array" ref="M87">INDEX(stable[is_automated],MATCH(VALUE(questions[[#This Row],[qno]]),VALUE(stable[qno]),0))</f>
        <v>0</v>
      </c>
      <c r="N87" s="9" t="b" cm="1">
        <f t="array" ref="N87">INDEX(stable[is_free_text],MATCH(VALUE(questions[[#This Row],[qno]]),VALUE(stable[qno]),0))</f>
        <v>0</v>
      </c>
      <c r="O87" s="9" t="b" cm="1">
        <f t="array" ref="O87">INDEX(stable[is_numerical],MATCH(VALUE(questions[[#This Row],[qno]]),VALUE(stable[qno]),0))</f>
        <v>1</v>
      </c>
      <c r="P87" s="32" t="b" cm="1">
        <f t="array" ref="P87">INDEX(stable[is_single_select],MATCH(VALUE(questions[[#This Row],[qno]]),VALUE(stable[qno]),0))</f>
        <v>0</v>
      </c>
      <c r="Q87" s="9" t="b" cm="1">
        <f t="array" ref="Q87">INDEX(stable[is_multi_select],MATCH(VALUE(questions[[#This Row],[qno]]),VALUE(stable[qno]),0))</f>
        <v>0</v>
      </c>
      <c r="R87" s="9" t="b" cm="1">
        <f t="array" ref="R87">INDEX(stable[is_skip_logic],MATCH(VALUE(questions[[#This Row],[qno]]),VALUE(stable[qno]),0))</f>
        <v>1</v>
      </c>
      <c r="S87" s="9" t="str">
        <f>_xlfn.TEXTJOIN(", ",TRUE,questions[[#This Row],[ans_opt_1]:[ans_opt_14]])</f>
        <v/>
      </c>
      <c r="AH87" s="16" t="b">
        <f>INDEX(stable[q_standard],MATCH(questions[[#This Row],[qno]],stable[qno],0))</f>
        <v>0</v>
      </c>
      <c r="AI87" s="16" t="b">
        <f>INDEX(stable[q_living_income],MATCH(questions[[#This Row],[qno]],stable[qno],0))</f>
        <v>1</v>
      </c>
      <c r="AJ87" s="16" t="b">
        <f>INDEX(stable[q_carbon],MATCH(questions[[#This Row],[qno]],stable[qno],0))</f>
        <v>0</v>
      </c>
      <c r="AK87" s="16" t="b">
        <f>INDEX(stable[q_regen_ag],MATCH(questions[[#This Row],[qno]],stable[qno],0))</f>
        <v>0</v>
      </c>
      <c r="AL87" s="16" t="b">
        <f>COUNTIFS(stable[qno],questions[[#This Row],[qno]])=1</f>
        <v>1</v>
      </c>
      <c r="AM87" s="16" t="b">
        <f>OR(questions[[#This Row],[is_fixed]],questions[[#This Row],[is_localized]],questions[[#This Row],[is_supply_chain_dependent]])</f>
        <v>1</v>
      </c>
      <c r="AN87" s="16" t="b">
        <f>COUNTIFS(questions[[#This Row],[is_automated]:[is_multi_select]],TRUE)=1</f>
        <v>1</v>
      </c>
      <c r="AO87" s="16" t="b">
        <f>IF(questions[[#This Row],[is_fixed]],questions[[#This Row],[question]]=INDEX(stable[question],MATCH(questions[[#This Row],[qno]],stable[qno],0)),TRUE)</f>
        <v>1</v>
      </c>
      <c r="AP87" s="16" t="str">
        <f>LEFT(questions[[#This Row],[question]],similarity_range)</f>
        <v>If yes, how many peo</v>
      </c>
      <c r="AQ87" s="16" t="str">
        <f>LEFT(INDEX(stable[question],MATCH(questions[[#This Row],[qno]],stable[qno],0)),similarity_range)</f>
        <v>If yes, how many peo</v>
      </c>
      <c r="AR87" s="16" t="b">
        <f>questions[[#This Row],[question_first_characters]]=questions[[#This Row],[stability_first_characters]]</f>
        <v>1</v>
      </c>
      <c r="AS87" s="16" t="b">
        <f>IF(OR(questions[[#This Row],[is_single_select]],questions[[#This Row],[is_multi_select]]),NOT(ISBLANK(questions[[#This Row],[answer_opt_combined]])),TRUE)</f>
        <v>1</v>
      </c>
    </row>
    <row r="88" spans="1:45" s="77" customFormat="1" x14ac:dyDescent="0.25">
      <c r="A88" s="77" t="str">
        <f>_xlfn.TEXTJOIN("_",TRUE,questions[[#This Row],[origin]:[qno]])</f>
        <v>Indonesia_Arabica_west_java_impact_6030</v>
      </c>
      <c r="B88" s="77" t="s">
        <v>58</v>
      </c>
      <c r="C88" s="77" t="s">
        <v>59</v>
      </c>
      <c r="D88" s="77" t="s">
        <v>60</v>
      </c>
      <c r="F88" s="77" t="s">
        <v>242</v>
      </c>
      <c r="G88" s="77" t="s">
        <v>243</v>
      </c>
      <c r="H88" s="9" t="str" cm="1">
        <f t="array" ref="H88">INDEX(stableR[question],MATCH(VALUE(questions[[#This Row],[qno]]),VALUE(stableR[qno]),0))</f>
        <v>Did you hire any people to work on your coffee plots  for seasonal activities during last year?</v>
      </c>
      <c r="I88" s="9" t="b" cm="1">
        <f t="array" ref="I88">INDEX(stable[is_fixed],MATCH(VALUE(questions[[#This Row],[qno]]),VALUE(stable[qno]),0))</f>
        <v>0</v>
      </c>
      <c r="J88" s="9" t="b" cm="1">
        <f t="array" ref="J88">INDEX(stable[is_localized],MATCH(VALUE(questions[[#This Row],[qno]]),VALUE(stable[qno]),0))</f>
        <v>1</v>
      </c>
      <c r="K88" s="9" t="b" cm="1">
        <f t="array" ref="K88">INDEX(stable[is_supply_chain_dependent],MATCH(VALUE(questions[[#This Row],[qno]]),VALUE(stable[qno]),0))</f>
        <v>0</v>
      </c>
      <c r="L88" s="9" t="b" cm="1">
        <f t="array" ref="L88">INDEX(stable[is_mandatory],MATCH(VALUE(questions[[#This Row],[qno]]),VALUE(stable[qno]),0))</f>
        <v>1</v>
      </c>
      <c r="M88" s="9" t="b" cm="1">
        <f t="array" ref="M88">INDEX(stable[is_automated],MATCH(VALUE(questions[[#This Row],[qno]]),VALUE(stable[qno]),0))</f>
        <v>0</v>
      </c>
      <c r="N88" s="9" t="b" cm="1">
        <f t="array" ref="N88">INDEX(stable[is_free_text],MATCH(VALUE(questions[[#This Row],[qno]]),VALUE(stable[qno]),0))</f>
        <v>0</v>
      </c>
      <c r="O88" s="9" t="b" cm="1">
        <f t="array" ref="O88">INDEX(stable[is_numerical],MATCH(VALUE(questions[[#This Row],[qno]]),VALUE(stable[qno]),0))</f>
        <v>0</v>
      </c>
      <c r="P88" s="103" t="b" cm="1">
        <f t="array" ref="P88">INDEX(stable[is_single_select],MATCH(VALUE(questions[[#This Row],[qno]]),VALUE(stable[qno]),0))</f>
        <v>1</v>
      </c>
      <c r="Q88" s="77" t="b" cm="1">
        <f t="array" ref="Q88">INDEX(stable[is_multi_select],MATCH(VALUE(questions[[#This Row],[qno]]),VALUE(stable[qno]),0))</f>
        <v>0</v>
      </c>
      <c r="R88" s="77" t="b" cm="1">
        <f t="array" ref="R88">INDEX(stable[is_skip_logic],MATCH(VALUE(questions[[#This Row],[qno]]),VALUE(stable[qno]),0))</f>
        <v>1</v>
      </c>
      <c r="S88" s="77" t="str">
        <f>_xlfn.TEXTJOIN(", ",TRUE,questions[[#This Row],[ans_opt_1]:[ans_opt_14]])</f>
        <v>Yes, No</v>
      </c>
      <c r="T88" s="77" t="s">
        <v>149</v>
      </c>
      <c r="U88" s="77" t="s">
        <v>119</v>
      </c>
      <c r="AH88" s="98" t="b">
        <f>INDEX(stable[q_standard],MATCH(questions[[#This Row],[qno]],stable[qno],0))</f>
        <v>0</v>
      </c>
      <c r="AI88" s="98" t="b">
        <f>INDEX(stable[q_living_income],MATCH(questions[[#This Row],[qno]],stable[qno],0))</f>
        <v>1</v>
      </c>
      <c r="AJ88" s="98" t="b">
        <f>INDEX(stable[q_carbon],MATCH(questions[[#This Row],[qno]],stable[qno],0))</f>
        <v>0</v>
      </c>
      <c r="AK88" s="98" t="b">
        <f>INDEX(stable[q_regen_ag],MATCH(questions[[#This Row],[qno]],stable[qno],0))</f>
        <v>0</v>
      </c>
      <c r="AL88" s="98" t="b">
        <f>COUNTIFS(stable[qno],questions[[#This Row],[qno]])=1</f>
        <v>1</v>
      </c>
      <c r="AM88" s="98" t="b">
        <f>OR(questions[[#This Row],[is_fixed]],questions[[#This Row],[is_localized]],questions[[#This Row],[is_supply_chain_dependent]])</f>
        <v>1</v>
      </c>
      <c r="AN88" s="98" t="b">
        <f>COUNTIFS(questions[[#This Row],[is_automated]:[is_multi_select]],TRUE)=1</f>
        <v>1</v>
      </c>
      <c r="AO88" s="98" t="b">
        <f>IF(questions[[#This Row],[is_fixed]],questions[[#This Row],[question]]=INDEX(stable[question],MATCH(questions[[#This Row],[qno]],stable[qno],0)),TRUE)</f>
        <v>1</v>
      </c>
      <c r="AP88" s="98" t="str">
        <f>LEFT(questions[[#This Row],[question]],similarity_range)</f>
        <v>Did you hire any peo</v>
      </c>
      <c r="AQ88" s="98" t="str">
        <f>LEFT(INDEX(stable[question],MATCH(questions[[#This Row],[qno]],stable[qno],0)),similarity_range)</f>
        <v>Did you hire any peo</v>
      </c>
      <c r="AR88" s="98" t="b">
        <f>questions[[#This Row],[question_first_characters]]=questions[[#This Row],[stability_first_characters]]</f>
        <v>1</v>
      </c>
      <c r="AS88" s="98" t="b">
        <f>IF(OR(questions[[#This Row],[is_single_select]],questions[[#This Row],[is_multi_select]]),NOT(ISBLANK(questions[[#This Row],[answer_opt_combined]])),TRUE)</f>
        <v>1</v>
      </c>
    </row>
    <row r="89" spans="1:45" s="77" customFormat="1" x14ac:dyDescent="0.25">
      <c r="A89" s="77" t="str">
        <f>_xlfn.TEXTJOIN("_",TRUE,questions[[#This Row],[origin]:[qno]])</f>
        <v>Indonesia_Arabica_west_java_impact_6031</v>
      </c>
      <c r="B89" s="77" t="s">
        <v>58</v>
      </c>
      <c r="C89" s="77" t="s">
        <v>59</v>
      </c>
      <c r="D89" s="77" t="s">
        <v>60</v>
      </c>
      <c r="F89" s="77" t="s">
        <v>244</v>
      </c>
      <c r="G89" s="77" t="s">
        <v>245</v>
      </c>
      <c r="H89" s="9" t="str" cm="1">
        <f t="array" ref="H89">INDEX(stableR[question],MATCH(VALUE(questions[[#This Row],[qno]]),VALUE(stableR[qno]),0))</f>
        <v>What were the activities that you hired people for during last year?</v>
      </c>
      <c r="I89" s="9" t="b" cm="1">
        <f t="array" ref="I89">INDEX(stable[is_fixed],MATCH(VALUE(questions[[#This Row],[qno]]),VALUE(stable[qno]),0))</f>
        <v>0</v>
      </c>
      <c r="J89" s="9" t="b" cm="1">
        <f t="array" ref="J89">INDEX(stable[is_localized],MATCH(VALUE(questions[[#This Row],[qno]]),VALUE(stable[qno]),0))</f>
        <v>1</v>
      </c>
      <c r="K89" s="9" t="b" cm="1">
        <f t="array" ref="K89">INDEX(stable[is_supply_chain_dependent],MATCH(VALUE(questions[[#This Row],[qno]]),VALUE(stable[qno]),0))</f>
        <v>0</v>
      </c>
      <c r="L89" s="9" t="b" cm="1">
        <f t="array" ref="L89">INDEX(stable[is_mandatory],MATCH(VALUE(questions[[#This Row],[qno]]),VALUE(stable[qno]),0))</f>
        <v>0</v>
      </c>
      <c r="M89" s="9" t="b" cm="1">
        <f t="array" ref="M89">INDEX(stable[is_automated],MATCH(VALUE(questions[[#This Row],[qno]]),VALUE(stable[qno]),0))</f>
        <v>0</v>
      </c>
      <c r="N89" s="9" t="b" cm="1">
        <f t="array" ref="N89">INDEX(stable[is_free_text],MATCH(VALUE(questions[[#This Row],[qno]]),VALUE(stable[qno]),0))</f>
        <v>0</v>
      </c>
      <c r="O89" s="9" t="b" cm="1">
        <f t="array" ref="O89">INDEX(stable[is_numerical],MATCH(VALUE(questions[[#This Row],[qno]]),VALUE(stable[qno]),0))</f>
        <v>0</v>
      </c>
      <c r="P89" s="103" t="b" cm="1">
        <f t="array" ref="P89">INDEX(stable[is_single_select],MATCH(VALUE(questions[[#This Row],[qno]]),VALUE(stable[qno]),0))</f>
        <v>0</v>
      </c>
      <c r="Q89" s="77" t="b" cm="1">
        <f t="array" ref="Q89">INDEX(stable[is_multi_select],MATCH(VALUE(questions[[#This Row],[qno]]),VALUE(stable[qno]),0))</f>
        <v>1</v>
      </c>
      <c r="R89" s="77" t="b" cm="1">
        <f t="array" ref="R89">INDEX(stable[is_skip_logic],MATCH(VALUE(questions[[#This Row],[qno]]),VALUE(stable[qno]),0))</f>
        <v>1</v>
      </c>
      <c r="S89" s="77" t="str">
        <f>_xlfn.TEXTJOIN(", ",TRUE,questions[[#This Row],[ans_opt_1]:[ans_opt_14]])</f>
        <v>Harvesting, Pruning, Weeding, Spraying, Planting new trees, Other, NA</v>
      </c>
      <c r="T89" s="77" t="s">
        <v>246</v>
      </c>
      <c r="U89" s="77" t="s">
        <v>247</v>
      </c>
      <c r="V89" s="77" t="s">
        <v>248</v>
      </c>
      <c r="W89" s="77" t="s">
        <v>249</v>
      </c>
      <c r="X89" s="77" t="s">
        <v>250</v>
      </c>
      <c r="Y89" s="77" t="s">
        <v>112</v>
      </c>
      <c r="Z89" s="77" t="s">
        <v>251</v>
      </c>
      <c r="AH89" s="98" t="b">
        <f>INDEX(stable[q_standard],MATCH(questions[[#This Row],[qno]],stable[qno],0))</f>
        <v>0</v>
      </c>
      <c r="AI89" s="98" t="b">
        <f>INDEX(stable[q_living_income],MATCH(questions[[#This Row],[qno]],stable[qno],0))</f>
        <v>1</v>
      </c>
      <c r="AJ89" s="98" t="b">
        <f>INDEX(stable[q_carbon],MATCH(questions[[#This Row],[qno]],stable[qno],0))</f>
        <v>0</v>
      </c>
      <c r="AK89" s="98" t="b">
        <f>INDEX(stable[q_regen_ag],MATCH(questions[[#This Row],[qno]],stable[qno],0))</f>
        <v>0</v>
      </c>
      <c r="AL89" s="98" t="b">
        <f>COUNTIFS(stable[qno],questions[[#This Row],[qno]])=1</f>
        <v>1</v>
      </c>
      <c r="AM89" s="98" t="b">
        <f>OR(questions[[#This Row],[is_fixed]],questions[[#This Row],[is_localized]],questions[[#This Row],[is_supply_chain_dependent]])</f>
        <v>1</v>
      </c>
      <c r="AN89" s="98" t="b">
        <f>COUNTIFS(questions[[#This Row],[is_automated]:[is_multi_select]],TRUE)=1</f>
        <v>1</v>
      </c>
      <c r="AO89" s="98" t="b">
        <f>IF(questions[[#This Row],[is_fixed]],questions[[#This Row],[question]]=INDEX(stable[question],MATCH(questions[[#This Row],[qno]],stable[qno],0)),TRUE)</f>
        <v>1</v>
      </c>
      <c r="AP89" s="98" t="str">
        <f>LEFT(questions[[#This Row],[question]],similarity_range)</f>
        <v>If yes, what was the</v>
      </c>
      <c r="AQ89" s="98" t="str">
        <f>LEFT(INDEX(stable[question],MATCH(questions[[#This Row],[qno]],stable[qno],0)),similarity_range)</f>
        <v>If yes, what were th</v>
      </c>
      <c r="AR89" s="98" t="b">
        <f>questions[[#This Row],[question_first_characters]]=questions[[#This Row],[stability_first_characters]]</f>
        <v>0</v>
      </c>
      <c r="AS89" s="98" t="b">
        <f>IF(OR(questions[[#This Row],[is_single_select]],questions[[#This Row],[is_multi_select]]),NOT(ISBLANK(questions[[#This Row],[answer_opt_combined]])),TRUE)</f>
        <v>1</v>
      </c>
    </row>
    <row r="90" spans="1:45" x14ac:dyDescent="0.25">
      <c r="A90" s="9" t="str">
        <f>_xlfn.TEXTJOIN("_",TRUE,questions[[#This Row],[origin]:[qno]])</f>
        <v>Indonesia_Arabica_west_java_impact_6032</v>
      </c>
      <c r="B90" s="9" t="s">
        <v>58</v>
      </c>
      <c r="C90" s="9" t="s">
        <v>59</v>
      </c>
      <c r="D90" s="9" t="s">
        <v>60</v>
      </c>
      <c r="F90" s="9" t="s">
        <v>252</v>
      </c>
      <c r="G90" s="9" t="s">
        <v>253</v>
      </c>
      <c r="H90" s="9" t="str" cm="1">
        <f t="array" ref="H90">INDEX(stableR[question],MATCH(VALUE(questions[[#This Row],[qno]]),VALUE(stableR[qno]),0))</f>
        <v>How many days in total did you hire people for these activities, during last year?</v>
      </c>
      <c r="I90" s="9" t="b" cm="1">
        <f t="array" ref="I90">INDEX(stable[is_fixed],MATCH(VALUE(questions[[#This Row],[qno]]),VALUE(stable[qno]),0))</f>
        <v>0</v>
      </c>
      <c r="J90" s="9" t="b" cm="1">
        <f t="array" ref="J90">INDEX(stable[is_localized],MATCH(VALUE(questions[[#This Row],[qno]]),VALUE(stable[qno]),0))</f>
        <v>1</v>
      </c>
      <c r="K90" s="9" t="b" cm="1">
        <f t="array" ref="K90">INDEX(stable[is_supply_chain_dependent],MATCH(VALUE(questions[[#This Row],[qno]]),VALUE(stable[qno]),0))</f>
        <v>0</v>
      </c>
      <c r="L90" s="9" t="b" cm="1">
        <f t="array" ref="L90">INDEX(stable[is_mandatory],MATCH(VALUE(questions[[#This Row],[qno]]),VALUE(stable[qno]),0))</f>
        <v>0</v>
      </c>
      <c r="M90" s="9" t="b" cm="1">
        <f t="array" ref="M90">INDEX(stable[is_automated],MATCH(VALUE(questions[[#This Row],[qno]]),VALUE(stable[qno]),0))</f>
        <v>0</v>
      </c>
      <c r="N90" s="9" t="b" cm="1">
        <f t="array" ref="N90">INDEX(stable[is_free_text],MATCH(VALUE(questions[[#This Row],[qno]]),VALUE(stable[qno]),0))</f>
        <v>0</v>
      </c>
      <c r="O90" s="9" t="b" cm="1">
        <f t="array" ref="O90">INDEX(stable[is_numerical],MATCH(VALUE(questions[[#This Row],[qno]]),VALUE(stable[qno]),0))</f>
        <v>1</v>
      </c>
      <c r="P90" s="32" t="b" cm="1">
        <f t="array" ref="P90">INDEX(stable[is_single_select],MATCH(VALUE(questions[[#This Row],[qno]]),VALUE(stable[qno]),0))</f>
        <v>0</v>
      </c>
      <c r="Q90" s="9" t="b" cm="1">
        <f t="array" ref="Q90">INDEX(stable[is_multi_select],MATCH(VALUE(questions[[#This Row],[qno]]),VALUE(stable[qno]),0))</f>
        <v>0</v>
      </c>
      <c r="R90" s="9" t="b" cm="1">
        <f t="array" ref="R90">INDEX(stable[is_skip_logic],MATCH(VALUE(questions[[#This Row],[qno]]),VALUE(stable[qno]),0))</f>
        <v>1</v>
      </c>
      <c r="S90" s="9" t="str">
        <f>_xlfn.TEXTJOIN(", ",TRUE,questions[[#This Row],[ans_opt_1]:[ans_opt_14]])</f>
        <v/>
      </c>
      <c r="AH90" s="16" t="b">
        <f>INDEX(stable[q_standard],MATCH(questions[[#This Row],[qno]],stable[qno],0))</f>
        <v>0</v>
      </c>
      <c r="AI90" s="16" t="b">
        <f>INDEX(stable[q_living_income],MATCH(questions[[#This Row],[qno]],stable[qno],0))</f>
        <v>1</v>
      </c>
      <c r="AJ90" s="16" t="b">
        <f>INDEX(stable[q_carbon],MATCH(questions[[#This Row],[qno]],stable[qno],0))</f>
        <v>0</v>
      </c>
      <c r="AK90" s="16" t="b">
        <f>INDEX(stable[q_regen_ag],MATCH(questions[[#This Row],[qno]],stable[qno],0))</f>
        <v>0</v>
      </c>
      <c r="AL90" s="16" t="b">
        <f>COUNTIFS(stable[qno],questions[[#This Row],[qno]])=1</f>
        <v>1</v>
      </c>
      <c r="AM90" s="16" t="b">
        <f>OR(questions[[#This Row],[is_fixed]],questions[[#This Row],[is_localized]],questions[[#This Row],[is_supply_chain_dependent]])</f>
        <v>1</v>
      </c>
      <c r="AN90" s="16" t="b">
        <f>COUNTIFS(questions[[#This Row],[is_automated]:[is_multi_select]],TRUE)=1</f>
        <v>1</v>
      </c>
      <c r="AO90" s="16" t="b">
        <f>IF(questions[[#This Row],[is_fixed]],questions[[#This Row],[question]]=INDEX(stable[question],MATCH(questions[[#This Row],[qno]],stable[qno],0)),TRUE)</f>
        <v>1</v>
      </c>
      <c r="AP90" s="16" t="str">
        <f>LEFT(questions[[#This Row],[question]],similarity_range)</f>
        <v>If yes, how many day</v>
      </c>
      <c r="AQ90" s="16" t="str">
        <f>LEFT(INDEX(stable[question],MATCH(questions[[#This Row],[qno]],stable[qno],0)),similarity_range)</f>
        <v>If yes, how many day</v>
      </c>
      <c r="AR90" s="16" t="b">
        <f>questions[[#This Row],[question_first_characters]]=questions[[#This Row],[stability_first_characters]]</f>
        <v>1</v>
      </c>
      <c r="AS90" s="16" t="b">
        <f>IF(OR(questions[[#This Row],[is_single_select]],questions[[#This Row],[is_multi_select]]),NOT(ISBLANK(questions[[#This Row],[answer_opt_combined]])),TRUE)</f>
        <v>1</v>
      </c>
    </row>
    <row r="91" spans="1:45" x14ac:dyDescent="0.25">
      <c r="A91" s="9" t="str">
        <f>_xlfn.TEXTJOIN("_",TRUE,questions[[#This Row],[origin]:[qno]])</f>
        <v>Indonesia_Arabica_west_java_impact_6033</v>
      </c>
      <c r="B91" s="9" t="s">
        <v>58</v>
      </c>
      <c r="C91" s="9" t="s">
        <v>59</v>
      </c>
      <c r="D91" s="9" t="s">
        <v>60</v>
      </c>
      <c r="F91" s="9" t="s">
        <v>254</v>
      </c>
      <c r="G91" s="9" t="s">
        <v>255</v>
      </c>
      <c r="H91" s="9" t="str" cm="1">
        <f t="array" ref="H91">INDEX(stableR[question],MATCH(VALUE(questions[[#This Row],[qno]]),VALUE(stableR[qno]),0))</f>
        <v>How many people did you typically hire per day for these activities during last year?</v>
      </c>
      <c r="I91" s="9" t="b" cm="1">
        <f t="array" ref="I91">INDEX(stable[is_fixed],MATCH(VALUE(questions[[#This Row],[qno]]),VALUE(stable[qno]),0))</f>
        <v>0</v>
      </c>
      <c r="J91" s="9" t="b" cm="1">
        <f t="array" ref="J91">INDEX(stable[is_localized],MATCH(VALUE(questions[[#This Row],[qno]]),VALUE(stable[qno]),0))</f>
        <v>1</v>
      </c>
      <c r="K91" s="9" t="b" cm="1">
        <f t="array" ref="K91">INDEX(stable[is_supply_chain_dependent],MATCH(VALUE(questions[[#This Row],[qno]]),VALUE(stable[qno]),0))</f>
        <v>0</v>
      </c>
      <c r="L91" s="9" t="b" cm="1">
        <f t="array" ref="L91">INDEX(stable[is_mandatory],MATCH(VALUE(questions[[#This Row],[qno]]),VALUE(stable[qno]),0))</f>
        <v>0</v>
      </c>
      <c r="M91" s="9" t="b" cm="1">
        <f t="array" ref="M91">INDEX(stable[is_automated],MATCH(VALUE(questions[[#This Row],[qno]]),VALUE(stable[qno]),0))</f>
        <v>0</v>
      </c>
      <c r="N91" s="9" t="b" cm="1">
        <f t="array" ref="N91">INDEX(stable[is_free_text],MATCH(VALUE(questions[[#This Row],[qno]]),VALUE(stable[qno]),0))</f>
        <v>0</v>
      </c>
      <c r="O91" s="9" t="b" cm="1">
        <f t="array" ref="O91">INDEX(stable[is_numerical],MATCH(VALUE(questions[[#This Row],[qno]]),VALUE(stable[qno]),0))</f>
        <v>1</v>
      </c>
      <c r="P91" s="32" t="b" cm="1">
        <f t="array" ref="P91">INDEX(stable[is_single_select],MATCH(VALUE(questions[[#This Row],[qno]]),VALUE(stable[qno]),0))</f>
        <v>0</v>
      </c>
      <c r="Q91" s="9" t="b" cm="1">
        <f t="array" ref="Q91">INDEX(stable[is_multi_select],MATCH(VALUE(questions[[#This Row],[qno]]),VALUE(stable[qno]),0))</f>
        <v>0</v>
      </c>
      <c r="R91" s="9" t="b" cm="1">
        <f t="array" ref="R91">INDEX(stable[is_skip_logic],MATCH(VALUE(questions[[#This Row],[qno]]),VALUE(stable[qno]),0))</f>
        <v>1</v>
      </c>
      <c r="S91" s="9" t="str">
        <f>_xlfn.TEXTJOIN(", ",TRUE,questions[[#This Row],[ans_opt_1]:[ans_opt_14]])</f>
        <v/>
      </c>
      <c r="AH91" s="16" t="b">
        <f>INDEX(stable[q_standard],MATCH(questions[[#This Row],[qno]],stable[qno],0))</f>
        <v>0</v>
      </c>
      <c r="AI91" s="16" t="b">
        <f>INDEX(stable[q_living_income],MATCH(questions[[#This Row],[qno]],stable[qno],0))</f>
        <v>1</v>
      </c>
      <c r="AJ91" s="16" t="b">
        <f>INDEX(stable[q_carbon],MATCH(questions[[#This Row],[qno]],stable[qno],0))</f>
        <v>0</v>
      </c>
      <c r="AK91" s="16" t="b">
        <f>INDEX(stable[q_regen_ag],MATCH(questions[[#This Row],[qno]],stable[qno],0))</f>
        <v>0</v>
      </c>
      <c r="AL91" s="16" t="b">
        <f>COUNTIFS(stable[qno],questions[[#This Row],[qno]])=1</f>
        <v>1</v>
      </c>
      <c r="AM91" s="16" t="b">
        <f>OR(questions[[#This Row],[is_fixed]],questions[[#This Row],[is_localized]],questions[[#This Row],[is_supply_chain_dependent]])</f>
        <v>1</v>
      </c>
      <c r="AN91" s="16" t="b">
        <f>COUNTIFS(questions[[#This Row],[is_automated]:[is_multi_select]],TRUE)=1</f>
        <v>1</v>
      </c>
      <c r="AO91" s="16" t="b">
        <f>IF(questions[[#This Row],[is_fixed]],questions[[#This Row],[question]]=INDEX(stable[question],MATCH(questions[[#This Row],[qno]],stable[qno],0)),TRUE)</f>
        <v>1</v>
      </c>
      <c r="AP91" s="16" t="str">
        <f>LEFT(questions[[#This Row],[question]],similarity_range)</f>
        <v>If yes, every day, h</v>
      </c>
      <c r="AQ91" s="16" t="str">
        <f>LEFT(INDEX(stable[question],MATCH(questions[[#This Row],[qno]],stable[qno],0)),similarity_range)</f>
        <v>If yes, how many peo</v>
      </c>
      <c r="AR91" s="16" t="b">
        <f>questions[[#This Row],[question_first_characters]]=questions[[#This Row],[stability_first_characters]]</f>
        <v>0</v>
      </c>
      <c r="AS91" s="16" t="b">
        <f>IF(OR(questions[[#This Row],[is_single_select]],questions[[#This Row],[is_multi_select]]),NOT(ISBLANK(questions[[#This Row],[answer_opt_combined]])),TRUE)</f>
        <v>1</v>
      </c>
    </row>
    <row r="92" spans="1:45" s="77" customFormat="1" x14ac:dyDescent="0.25">
      <c r="A92" s="77" t="str">
        <f>_xlfn.TEXTJOIN("_",TRUE,questions[[#This Row],[origin]:[qno]])</f>
        <v>Indonesia_Arabica_west_java_impact_6100</v>
      </c>
      <c r="B92" s="77" t="s">
        <v>58</v>
      </c>
      <c r="C92" s="77" t="s">
        <v>59</v>
      </c>
      <c r="D92" s="77" t="s">
        <v>60</v>
      </c>
      <c r="F92" s="77" t="s">
        <v>256</v>
      </c>
      <c r="G92" s="77" t="s">
        <v>257</v>
      </c>
      <c r="H92" s="9" t="str" cm="1">
        <f t="array" ref="H92">INDEX(stableR[question],MATCH(VALUE(questions[[#This Row],[qno]]),VALUE(stableR[qno]),0))</f>
        <v>Did you use any monetary loan for coffee activities last year?</v>
      </c>
      <c r="I92" s="9" t="b" cm="1">
        <f t="array" ref="I92">INDEX(stable[is_fixed],MATCH(VALUE(questions[[#This Row],[qno]]),VALUE(stable[qno]),0))</f>
        <v>1</v>
      </c>
      <c r="J92" s="9" t="b" cm="1">
        <f t="array" ref="J92">INDEX(stable[is_localized],MATCH(VALUE(questions[[#This Row],[qno]]),VALUE(stable[qno]),0))</f>
        <v>0</v>
      </c>
      <c r="K92" s="9" t="b" cm="1">
        <f t="array" ref="K92">INDEX(stable[is_supply_chain_dependent],MATCH(VALUE(questions[[#This Row],[qno]]),VALUE(stable[qno]),0))</f>
        <v>0</v>
      </c>
      <c r="L92" s="9" t="b" cm="1">
        <f t="array" ref="L92">INDEX(stable[is_mandatory],MATCH(VALUE(questions[[#This Row],[qno]]),VALUE(stable[qno]),0))</f>
        <v>1</v>
      </c>
      <c r="M92" s="9" t="b" cm="1">
        <f t="array" ref="M92">INDEX(stable[is_automated],MATCH(VALUE(questions[[#This Row],[qno]]),VALUE(stable[qno]),0))</f>
        <v>0</v>
      </c>
      <c r="N92" s="9" t="b" cm="1">
        <f t="array" ref="N92">INDEX(stable[is_free_text],MATCH(VALUE(questions[[#This Row],[qno]]),VALUE(stable[qno]),0))</f>
        <v>0</v>
      </c>
      <c r="O92" s="9" t="b" cm="1">
        <f t="array" ref="O92">INDEX(stable[is_numerical],MATCH(VALUE(questions[[#This Row],[qno]]),VALUE(stable[qno]),0))</f>
        <v>0</v>
      </c>
      <c r="P92" s="103" t="b" cm="1">
        <f t="array" ref="P92">INDEX(stable[is_single_select],MATCH(VALUE(questions[[#This Row],[qno]]),VALUE(stable[qno]),0))</f>
        <v>1</v>
      </c>
      <c r="Q92" s="77" t="b" cm="1">
        <f t="array" ref="Q92">INDEX(stable[is_multi_select],MATCH(VALUE(questions[[#This Row],[qno]]),VALUE(stable[qno]),0))</f>
        <v>0</v>
      </c>
      <c r="R92" s="77" t="b" cm="1">
        <f t="array" ref="R92">INDEX(stable[is_skip_logic],MATCH(VALUE(questions[[#This Row],[qno]]),VALUE(stable[qno]),0))</f>
        <v>1</v>
      </c>
      <c r="S92" s="77" t="str">
        <f>_xlfn.TEXTJOIN(", ",TRUE,questions[[#This Row],[ans_opt_1]:[ans_opt_14]])</f>
        <v>Yes, No</v>
      </c>
      <c r="T92" s="77" t="s">
        <v>149</v>
      </c>
      <c r="U92" s="77" t="s">
        <v>119</v>
      </c>
      <c r="AH92" s="98" t="b">
        <f>INDEX(stable[q_standard],MATCH(questions[[#This Row],[qno]],stable[qno],0))</f>
        <v>0</v>
      </c>
      <c r="AI92" s="98" t="b">
        <f>INDEX(stable[q_living_income],MATCH(questions[[#This Row],[qno]],stable[qno],0))</f>
        <v>1</v>
      </c>
      <c r="AJ92" s="98" t="b">
        <f>INDEX(stable[q_carbon],MATCH(questions[[#This Row],[qno]],stable[qno],0))</f>
        <v>0</v>
      </c>
      <c r="AK92" s="98" t="b">
        <f>INDEX(stable[q_regen_ag],MATCH(questions[[#This Row],[qno]],stable[qno],0))</f>
        <v>0</v>
      </c>
      <c r="AL92" s="98" t="b">
        <f>COUNTIFS(stable[qno],questions[[#This Row],[qno]])=1</f>
        <v>1</v>
      </c>
      <c r="AM92" s="98" t="b">
        <f>OR(questions[[#This Row],[is_fixed]],questions[[#This Row],[is_localized]],questions[[#This Row],[is_supply_chain_dependent]])</f>
        <v>1</v>
      </c>
      <c r="AN92" s="98" t="b">
        <f>COUNTIFS(questions[[#This Row],[is_automated]:[is_multi_select]],TRUE)=1</f>
        <v>1</v>
      </c>
      <c r="AO92" s="98" t="b">
        <f>IF(questions[[#This Row],[is_fixed]],questions[[#This Row],[question]]=INDEX(stable[question],MATCH(questions[[#This Row],[qno]],stable[qno],0)),TRUE)</f>
        <v>0</v>
      </c>
      <c r="AP92" s="98" t="str">
        <f>LEFT(questions[[#This Row],[question]],similarity_range)</f>
        <v>Did you use any mone</v>
      </c>
      <c r="AQ92" s="98" t="str">
        <f>LEFT(INDEX(stable[question],MATCH(questions[[#This Row],[qno]],stable[qno],0)),similarity_range)</f>
        <v>Did you use any mone</v>
      </c>
      <c r="AR92" s="98" t="b">
        <f>questions[[#This Row],[question_first_characters]]=questions[[#This Row],[stability_first_characters]]</f>
        <v>1</v>
      </c>
      <c r="AS92" s="98" t="b">
        <f>IF(OR(questions[[#This Row],[is_single_select]],questions[[#This Row],[is_multi_select]]),NOT(ISBLANK(questions[[#This Row],[answer_opt_combined]])),TRUE)</f>
        <v>1</v>
      </c>
    </row>
    <row r="93" spans="1:45" x14ac:dyDescent="0.25">
      <c r="A93" s="9" t="str">
        <f>_xlfn.TEXTJOIN("_",TRUE,questions[[#This Row],[origin]:[qno]])</f>
        <v>Indonesia_Arabica_west_java_impact_6101</v>
      </c>
      <c r="B93" s="9" t="s">
        <v>58</v>
      </c>
      <c r="C93" s="9" t="s">
        <v>59</v>
      </c>
      <c r="D93" s="9" t="s">
        <v>60</v>
      </c>
      <c r="F93" s="9" t="s">
        <v>258</v>
      </c>
      <c r="G93" s="9" t="s">
        <v>259</v>
      </c>
      <c r="H93" s="9" t="str" cm="1">
        <f t="array" ref="H93">INDEX(stableR[question],MATCH(VALUE(questions[[#This Row],[qno]]),VALUE(stableR[qno]),0))</f>
        <v>What was the total amount of loans you borrowed last year (in your local currency)?</v>
      </c>
      <c r="I93" s="9" t="b" cm="1">
        <f t="array" ref="I93">INDEX(stable[is_fixed],MATCH(VALUE(questions[[#This Row],[qno]]),VALUE(stable[qno]),0))</f>
        <v>1</v>
      </c>
      <c r="J93" s="9" t="b" cm="1">
        <f t="array" ref="J93">INDEX(stable[is_localized],MATCH(VALUE(questions[[#This Row],[qno]]),VALUE(stable[qno]),0))</f>
        <v>0</v>
      </c>
      <c r="K93" s="9" t="b" cm="1">
        <f t="array" ref="K93">INDEX(stable[is_supply_chain_dependent],MATCH(VALUE(questions[[#This Row],[qno]]),VALUE(stable[qno]),0))</f>
        <v>0</v>
      </c>
      <c r="L93" s="9" t="b" cm="1">
        <f t="array" ref="L93">INDEX(stable[is_mandatory],MATCH(VALUE(questions[[#This Row],[qno]]),VALUE(stable[qno]),0))</f>
        <v>0</v>
      </c>
      <c r="M93" s="9" t="b" cm="1">
        <f t="array" ref="M93">INDEX(stable[is_automated],MATCH(VALUE(questions[[#This Row],[qno]]),VALUE(stable[qno]),0))</f>
        <v>0</v>
      </c>
      <c r="N93" s="9" t="b" cm="1">
        <f t="array" ref="N93">INDEX(stable[is_free_text],MATCH(VALUE(questions[[#This Row],[qno]]),VALUE(stable[qno]),0))</f>
        <v>0</v>
      </c>
      <c r="O93" s="9" t="b" cm="1">
        <f t="array" ref="O93">INDEX(stable[is_numerical],MATCH(VALUE(questions[[#This Row],[qno]]),VALUE(stable[qno]),0))</f>
        <v>0</v>
      </c>
      <c r="P93" s="32" t="b" cm="1">
        <f t="array" ref="P93">INDEX(stable[is_single_select],MATCH(VALUE(questions[[#This Row],[qno]]),VALUE(stable[qno]),0))</f>
        <v>0</v>
      </c>
      <c r="Q93" s="9" t="b" cm="1">
        <f t="array" ref="Q93">INDEX(stable[is_multi_select],MATCH(VALUE(questions[[#This Row],[qno]]),VALUE(stable[qno]),0))</f>
        <v>1</v>
      </c>
      <c r="R93" s="9" t="b" cm="1">
        <f t="array" ref="R93">INDEX(stable[is_skip_logic],MATCH(VALUE(questions[[#This Row],[qno]]),VALUE(stable[qno]),0))</f>
        <v>1</v>
      </c>
      <c r="S93" s="9" t="str">
        <f>_xlfn.TEXTJOIN(", ",TRUE,questions[[#This Row],[ans_opt_1]:[ans_opt_14]])</f>
        <v/>
      </c>
      <c r="AH93" s="16" t="b">
        <f>INDEX(stable[q_standard],MATCH(questions[[#This Row],[qno]],stable[qno],0))</f>
        <v>0</v>
      </c>
      <c r="AI93" s="16" t="b">
        <f>INDEX(stable[q_living_income],MATCH(questions[[#This Row],[qno]],stable[qno],0))</f>
        <v>1</v>
      </c>
      <c r="AJ93" s="16" t="b">
        <f>INDEX(stable[q_carbon],MATCH(questions[[#This Row],[qno]],stable[qno],0))</f>
        <v>0</v>
      </c>
      <c r="AK93" s="16" t="b">
        <f>INDEX(stable[q_regen_ag],MATCH(questions[[#This Row],[qno]],stable[qno],0))</f>
        <v>0</v>
      </c>
      <c r="AL93" s="16" t="b">
        <f>COUNTIFS(stable[qno],questions[[#This Row],[qno]])=1</f>
        <v>1</v>
      </c>
      <c r="AM93" s="16" t="b">
        <f>OR(questions[[#This Row],[is_fixed]],questions[[#This Row],[is_localized]],questions[[#This Row],[is_supply_chain_dependent]])</f>
        <v>1</v>
      </c>
      <c r="AN93" s="16" t="b">
        <f>COUNTIFS(questions[[#This Row],[is_automated]:[is_multi_select]],TRUE)=1</f>
        <v>1</v>
      </c>
      <c r="AO93" s="16" t="b">
        <f>IF(questions[[#This Row],[is_fixed]],questions[[#This Row],[question]]=INDEX(stable[question],MATCH(questions[[#This Row],[qno]],stable[qno],0)),TRUE)</f>
        <v>1</v>
      </c>
      <c r="AP93" s="16" t="str">
        <f>LEFT(questions[[#This Row],[question]],similarity_range)</f>
        <v xml:space="preserve">If yes, how did you </v>
      </c>
      <c r="AQ93" s="16" t="str">
        <f>LEFT(INDEX(stable[question],MATCH(questions[[#This Row],[qno]],stable[qno],0)),similarity_range)</f>
        <v xml:space="preserve">If yes, how did you </v>
      </c>
      <c r="AR93" s="16" t="b">
        <f>questions[[#This Row],[question_first_characters]]=questions[[#This Row],[stability_first_characters]]</f>
        <v>1</v>
      </c>
      <c r="AS93" s="16" t="b">
        <f>IF(OR(questions[[#This Row],[is_single_select]],questions[[#This Row],[is_multi_select]]),NOT(ISBLANK(questions[[#This Row],[answer_opt_combined]])),TRUE)</f>
        <v>1</v>
      </c>
    </row>
    <row r="94" spans="1:45" x14ac:dyDescent="0.25">
      <c r="A94" s="9" t="str">
        <f>_xlfn.TEXTJOIN("_",TRUE,questions[[#This Row],[origin]:[qno]])</f>
        <v>Indonesia_Arabica_west_java_impact_6102</v>
      </c>
      <c r="B94" s="9" t="s">
        <v>58</v>
      </c>
      <c r="C94" s="9" t="s">
        <v>59</v>
      </c>
      <c r="D94" s="9" t="s">
        <v>60</v>
      </c>
      <c r="F94" s="9" t="s">
        <v>260</v>
      </c>
      <c r="G94" s="9" t="s">
        <v>261</v>
      </c>
      <c r="H94" s="9" t="str" cm="1">
        <f t="array" ref="H94">INDEX(stableR[question],MATCH(VALUE(questions[[#This Row],[qno]]),VALUE(stableR[qno]),0))</f>
        <v>How did you have to pay for this? (in cash or in cherries? Please explain)</v>
      </c>
      <c r="I94" s="9" t="b" cm="1">
        <f t="array" ref="I94">INDEX(stable[is_fixed],MATCH(VALUE(questions[[#This Row],[qno]]),VALUE(stable[qno]),0))</f>
        <v>0</v>
      </c>
      <c r="J94" s="9" t="b" cm="1">
        <f t="array" ref="J94">INDEX(stable[is_localized],MATCH(VALUE(questions[[#This Row],[qno]]),VALUE(stable[qno]),0))</f>
        <v>1</v>
      </c>
      <c r="K94" s="9" t="b" cm="1">
        <f t="array" ref="K94">INDEX(stable[is_supply_chain_dependent],MATCH(VALUE(questions[[#This Row],[qno]]),VALUE(stable[qno]),0))</f>
        <v>0</v>
      </c>
      <c r="L94" s="9" t="b" cm="1">
        <f t="array" ref="L94">INDEX(stable[is_mandatory],MATCH(VALUE(questions[[#This Row],[qno]]),VALUE(stable[qno]),0))</f>
        <v>0</v>
      </c>
      <c r="M94" s="9" t="b" cm="1">
        <f t="array" ref="M94">INDEX(stable[is_automated],MATCH(VALUE(questions[[#This Row],[qno]]),VALUE(stable[qno]),0))</f>
        <v>0</v>
      </c>
      <c r="N94" s="9" t="b" cm="1">
        <f t="array" ref="N94">INDEX(stable[is_free_text],MATCH(VALUE(questions[[#This Row],[qno]]),VALUE(stable[qno]),0))</f>
        <v>0</v>
      </c>
      <c r="O94" s="9" t="b" cm="1">
        <f t="array" ref="O94">INDEX(stable[is_numerical],MATCH(VALUE(questions[[#This Row],[qno]]),VALUE(stable[qno]),0))</f>
        <v>1</v>
      </c>
      <c r="P94" s="32" t="b" cm="1">
        <f t="array" ref="P94">INDEX(stable[is_single_select],MATCH(VALUE(questions[[#This Row],[qno]]),VALUE(stable[qno]),0))</f>
        <v>0</v>
      </c>
      <c r="Q94" s="9" t="b" cm="1">
        <f t="array" ref="Q94">INDEX(stable[is_multi_select],MATCH(VALUE(questions[[#This Row],[qno]]),VALUE(stable[qno]),0))</f>
        <v>0</v>
      </c>
      <c r="R94" s="9" t="b" cm="1">
        <f t="array" ref="R94">INDEX(stable[is_skip_logic],MATCH(VALUE(questions[[#This Row],[qno]]),VALUE(stable[qno]),0))</f>
        <v>1</v>
      </c>
      <c r="S94" s="9" t="str">
        <f>_xlfn.TEXTJOIN(", ",TRUE,questions[[#This Row],[ans_opt_1]:[ans_opt_14]])</f>
        <v/>
      </c>
      <c r="AH94" s="16" t="b">
        <f>INDEX(stable[q_standard],MATCH(questions[[#This Row],[qno]],stable[qno],0))</f>
        <v>0</v>
      </c>
      <c r="AI94" s="16" t="b">
        <f>INDEX(stable[q_living_income],MATCH(questions[[#This Row],[qno]],stable[qno],0))</f>
        <v>1</v>
      </c>
      <c r="AJ94" s="16" t="b">
        <f>INDEX(stable[q_carbon],MATCH(questions[[#This Row],[qno]],stable[qno],0))</f>
        <v>0</v>
      </c>
      <c r="AK94" s="16" t="b">
        <f>INDEX(stable[q_regen_ag],MATCH(questions[[#This Row],[qno]],stable[qno],0))</f>
        <v>0</v>
      </c>
      <c r="AL94" s="16" t="b">
        <f>COUNTIFS(stable[qno],questions[[#This Row],[qno]])=1</f>
        <v>1</v>
      </c>
      <c r="AM94" s="16" t="b">
        <f>OR(questions[[#This Row],[is_fixed]],questions[[#This Row],[is_localized]],questions[[#This Row],[is_supply_chain_dependent]])</f>
        <v>1</v>
      </c>
      <c r="AN94" s="16" t="b">
        <f>COUNTIFS(questions[[#This Row],[is_automated]:[is_multi_select]],TRUE)=1</f>
        <v>1</v>
      </c>
      <c r="AO94" s="16" t="b">
        <f>IF(questions[[#This Row],[is_fixed]],questions[[#This Row],[question]]=INDEX(stable[question],MATCH(questions[[#This Row],[qno]],stable[qno],0)),TRUE)</f>
        <v>1</v>
      </c>
      <c r="AP94" s="16" t="str">
        <f>LEFT(questions[[#This Row],[question]],similarity_range)</f>
        <v>If yes, can you esti</v>
      </c>
      <c r="AQ94" s="16" t="str">
        <f>LEFT(INDEX(stable[question],MATCH(questions[[#This Row],[qno]],stable[qno],0)),similarity_range)</f>
        <v>If yes, can you esti</v>
      </c>
      <c r="AR94" s="16" t="b">
        <f>questions[[#This Row],[question_first_characters]]=questions[[#This Row],[stability_first_characters]]</f>
        <v>1</v>
      </c>
      <c r="AS94" s="16" t="b">
        <f>IF(OR(questions[[#This Row],[is_single_select]],questions[[#This Row],[is_multi_select]]),NOT(ISBLANK(questions[[#This Row],[answer_opt_combined]])),TRUE)</f>
        <v>1</v>
      </c>
    </row>
    <row r="95" spans="1:45" x14ac:dyDescent="0.25">
      <c r="A95" s="9" t="str">
        <f>_xlfn.TEXTJOIN("_",TRUE,questions[[#This Row],[origin]:[qno]])</f>
        <v>Indonesia_Arabica_west_java_impact_6103</v>
      </c>
      <c r="B95" s="9" t="s">
        <v>58</v>
      </c>
      <c r="C95" s="9" t="s">
        <v>59</v>
      </c>
      <c r="D95" s="9" t="s">
        <v>60</v>
      </c>
      <c r="F95" s="9" t="s">
        <v>262</v>
      </c>
      <c r="G95" s="9" t="s">
        <v>263</v>
      </c>
      <c r="H95" s="9" t="str" cm="1">
        <f t="array" ref="H95">INDEX(stableR[question],MATCH(VALUE(questions[[#This Row],[qno]]),VALUE(stableR[qno]),0))</f>
        <v>Can you estimate how much you had to repay, in total, for the loan last year, including interest (in local currency)</v>
      </c>
      <c r="I95" s="9" t="b" cm="1">
        <f t="array" ref="I95">INDEX(stable[is_fixed],MATCH(VALUE(questions[[#This Row],[qno]]),VALUE(stable[qno]),0))</f>
        <v>0</v>
      </c>
      <c r="J95" s="9" t="b" cm="1">
        <f t="array" ref="J95">INDEX(stable[is_localized],MATCH(VALUE(questions[[#This Row],[qno]]),VALUE(stable[qno]),0))</f>
        <v>1</v>
      </c>
      <c r="K95" s="9" t="b" cm="1">
        <f t="array" ref="K95">INDEX(stable[is_supply_chain_dependent],MATCH(VALUE(questions[[#This Row],[qno]]),VALUE(stable[qno]),0))</f>
        <v>0</v>
      </c>
      <c r="L95" s="9" t="b" cm="1">
        <f t="array" ref="L95">INDEX(stable[is_mandatory],MATCH(VALUE(questions[[#This Row],[qno]]),VALUE(stable[qno]),0))</f>
        <v>0</v>
      </c>
      <c r="M95" s="9" t="b" cm="1">
        <f t="array" ref="M95">INDEX(stable[is_automated],MATCH(VALUE(questions[[#This Row],[qno]]),VALUE(stable[qno]),0))</f>
        <v>0</v>
      </c>
      <c r="N95" s="9" t="b" cm="1">
        <f t="array" ref="N95">INDEX(stable[is_free_text],MATCH(VALUE(questions[[#This Row],[qno]]),VALUE(stable[qno]),0))</f>
        <v>0</v>
      </c>
      <c r="O95" s="9" t="b" cm="1">
        <f t="array" ref="O95">INDEX(stable[is_numerical],MATCH(VALUE(questions[[#This Row],[qno]]),VALUE(stable[qno]),0))</f>
        <v>1</v>
      </c>
      <c r="P95" s="32" t="b" cm="1">
        <f t="array" ref="P95">INDEX(stable[is_single_select],MATCH(VALUE(questions[[#This Row],[qno]]),VALUE(stable[qno]),0))</f>
        <v>0</v>
      </c>
      <c r="Q95" s="9" t="b" cm="1">
        <f t="array" ref="Q95">INDEX(stable[is_multi_select],MATCH(VALUE(questions[[#This Row],[qno]]),VALUE(stable[qno]),0))</f>
        <v>0</v>
      </c>
      <c r="R95" s="9" t="b" cm="1">
        <f t="array" ref="R95">INDEX(stable[is_skip_logic],MATCH(VALUE(questions[[#This Row],[qno]]),VALUE(stable[qno]),0))</f>
        <v>1</v>
      </c>
      <c r="S95" s="9" t="str">
        <f>_xlfn.TEXTJOIN(", ",TRUE,questions[[#This Row],[ans_opt_1]:[ans_opt_14]])</f>
        <v/>
      </c>
      <c r="AH95" s="16" t="b">
        <f>INDEX(stable[q_standard],MATCH(questions[[#This Row],[qno]],stable[qno],0))</f>
        <v>0</v>
      </c>
      <c r="AI95" s="16" t="b">
        <f>INDEX(stable[q_living_income],MATCH(questions[[#This Row],[qno]],stable[qno],0))</f>
        <v>1</v>
      </c>
      <c r="AJ95" s="16" t="b">
        <f>INDEX(stable[q_carbon],MATCH(questions[[#This Row],[qno]],stable[qno],0))</f>
        <v>0</v>
      </c>
      <c r="AK95" s="16" t="b">
        <f>INDEX(stable[q_regen_ag],MATCH(questions[[#This Row],[qno]],stable[qno],0))</f>
        <v>0</v>
      </c>
      <c r="AL95" s="16" t="b">
        <f>COUNTIFS(stable[qno],questions[[#This Row],[qno]])=1</f>
        <v>1</v>
      </c>
      <c r="AM95" s="16" t="b">
        <f>OR(questions[[#This Row],[is_fixed]],questions[[#This Row],[is_localized]],questions[[#This Row],[is_supply_chain_dependent]])</f>
        <v>1</v>
      </c>
      <c r="AN95" s="16" t="b">
        <f>COUNTIFS(questions[[#This Row],[is_automated]:[is_multi_select]],TRUE)=1</f>
        <v>1</v>
      </c>
      <c r="AO95" s="16" t="b">
        <f>IF(questions[[#This Row],[is_fixed]],questions[[#This Row],[question]]=INDEX(stable[question],MATCH(questions[[#This Row],[qno]],stable[qno],0)),TRUE)</f>
        <v>1</v>
      </c>
      <c r="AP95" s="16" t="str">
        <f>LEFT(questions[[#This Row],[question]],similarity_range)</f>
        <v>If yes, can you esti</v>
      </c>
      <c r="AQ95" s="16" t="str">
        <f>LEFT(INDEX(stable[question],MATCH(questions[[#This Row],[qno]],stable[qno],0)),similarity_range)</f>
        <v>If yes, can you esti</v>
      </c>
      <c r="AR95" s="16" t="b">
        <f>questions[[#This Row],[question_first_characters]]=questions[[#This Row],[stability_first_characters]]</f>
        <v>1</v>
      </c>
      <c r="AS95" s="16" t="b">
        <f>IF(OR(questions[[#This Row],[is_single_select]],questions[[#This Row],[is_multi_select]]),NOT(ISBLANK(questions[[#This Row],[answer_opt_combined]])),TRUE)</f>
        <v>1</v>
      </c>
    </row>
    <row r="96" spans="1:45" s="77" customFormat="1" x14ac:dyDescent="0.25">
      <c r="A96" s="77" t="str">
        <f>_xlfn.TEXTJOIN("_",TRUE,questions[[#This Row],[origin]:[qno]])</f>
        <v>Indonesia_Arabica_west_java_impact_6210</v>
      </c>
      <c r="B96" s="77" t="s">
        <v>58</v>
      </c>
      <c r="C96" s="77" t="s">
        <v>59</v>
      </c>
      <c r="D96" s="77" t="s">
        <v>60</v>
      </c>
      <c r="F96" s="77" t="s">
        <v>264</v>
      </c>
      <c r="G96" s="77" t="s">
        <v>265</v>
      </c>
      <c r="H96" s="9" t="str" cm="1">
        <f t="array" ref="H96">INDEX(stableR[question],MATCH(VALUE(questions[[#This Row],[qno]]),VALUE(stableR[qno]),0))</f>
        <v>Did you pay rent for the land that you use for coffee cultivation last year?</v>
      </c>
      <c r="I96" s="9" t="b" cm="1">
        <f t="array" ref="I96">INDEX(stable[is_fixed],MATCH(VALUE(questions[[#This Row],[qno]]),VALUE(stable[qno]),0))</f>
        <v>0</v>
      </c>
      <c r="J96" s="9" t="b" cm="1">
        <f t="array" ref="J96">INDEX(stable[is_localized],MATCH(VALUE(questions[[#This Row],[qno]]),VALUE(stable[qno]),0))</f>
        <v>1</v>
      </c>
      <c r="K96" s="9" t="b" cm="1">
        <f t="array" ref="K96">INDEX(stable[is_supply_chain_dependent],MATCH(VALUE(questions[[#This Row],[qno]]),VALUE(stable[qno]),0))</f>
        <v>1</v>
      </c>
      <c r="L96" s="9" t="b" cm="1">
        <f t="array" ref="L96">INDEX(stable[is_mandatory],MATCH(VALUE(questions[[#This Row],[qno]]),VALUE(stable[qno]),0))</f>
        <v>1</v>
      </c>
      <c r="M96" s="9" t="b" cm="1">
        <f t="array" ref="M96">INDEX(stable[is_automated],MATCH(VALUE(questions[[#This Row],[qno]]),VALUE(stable[qno]),0))</f>
        <v>0</v>
      </c>
      <c r="N96" s="9" t="b" cm="1">
        <f t="array" ref="N96">INDEX(stable[is_free_text],MATCH(VALUE(questions[[#This Row],[qno]]),VALUE(stable[qno]),0))</f>
        <v>0</v>
      </c>
      <c r="O96" s="9" t="b" cm="1">
        <f t="array" ref="O96">INDEX(stable[is_numerical],MATCH(VALUE(questions[[#This Row],[qno]]),VALUE(stable[qno]),0))</f>
        <v>0</v>
      </c>
      <c r="P96" s="103" t="b" cm="1">
        <f t="array" ref="P96">INDEX(stable[is_single_select],MATCH(VALUE(questions[[#This Row],[qno]]),VALUE(stable[qno]),0))</f>
        <v>1</v>
      </c>
      <c r="Q96" s="77" t="b" cm="1">
        <f t="array" ref="Q96">INDEX(stable[is_multi_select],MATCH(VALUE(questions[[#This Row],[qno]]),VALUE(stable[qno]),0))</f>
        <v>0</v>
      </c>
      <c r="R96" s="77" t="b" cm="1">
        <f t="array" ref="R96">INDEX(stable[is_skip_logic],MATCH(VALUE(questions[[#This Row],[qno]]),VALUE(stable[qno]),0))</f>
        <v>1</v>
      </c>
      <c r="S96" s="77" t="str">
        <f>_xlfn.TEXTJOIN(", ",TRUE,questions[[#This Row],[ans_opt_1]:[ans_opt_14]])</f>
        <v>Yes, No</v>
      </c>
      <c r="T96" s="77" t="s">
        <v>149</v>
      </c>
      <c r="U96" s="77" t="s">
        <v>119</v>
      </c>
      <c r="AH96" s="98" t="b">
        <f>INDEX(stable[q_standard],MATCH(questions[[#This Row],[qno]],stable[qno],0))</f>
        <v>0</v>
      </c>
      <c r="AI96" s="98" t="b">
        <f>INDEX(stable[q_living_income],MATCH(questions[[#This Row],[qno]],stable[qno],0))</f>
        <v>1</v>
      </c>
      <c r="AJ96" s="98" t="b">
        <f>INDEX(stable[q_carbon],MATCH(questions[[#This Row],[qno]],stable[qno],0))</f>
        <v>0</v>
      </c>
      <c r="AK96" s="98" t="b">
        <f>INDEX(stable[q_regen_ag],MATCH(questions[[#This Row],[qno]],stable[qno],0))</f>
        <v>0</v>
      </c>
      <c r="AL96" s="98" t="b">
        <f>COUNTIFS(stable[qno],questions[[#This Row],[qno]])=1</f>
        <v>1</v>
      </c>
      <c r="AM96" s="98" t="b">
        <f>OR(questions[[#This Row],[is_fixed]],questions[[#This Row],[is_localized]],questions[[#This Row],[is_supply_chain_dependent]])</f>
        <v>1</v>
      </c>
      <c r="AN96" s="98" t="b">
        <f>COUNTIFS(questions[[#This Row],[is_automated]:[is_multi_select]],TRUE)=1</f>
        <v>1</v>
      </c>
      <c r="AO96" s="98" t="b">
        <f>IF(questions[[#This Row],[is_fixed]],questions[[#This Row],[question]]=INDEX(stable[question],MATCH(questions[[#This Row],[qno]],stable[qno],0)),TRUE)</f>
        <v>1</v>
      </c>
      <c r="AP96" s="98" t="str">
        <f>LEFT(questions[[#This Row],[question]],similarity_range)</f>
        <v>Last year, did you p</v>
      </c>
      <c r="AQ96" s="98" t="str">
        <f>LEFT(INDEX(stable[question],MATCH(questions[[#This Row],[qno]],stable[qno],0)),similarity_range)</f>
        <v>Last year, did you p</v>
      </c>
      <c r="AR96" s="98" t="b">
        <f>questions[[#This Row],[question_first_characters]]=questions[[#This Row],[stability_first_characters]]</f>
        <v>1</v>
      </c>
      <c r="AS96" s="98" t="b">
        <f>IF(OR(questions[[#This Row],[is_single_select]],questions[[#This Row],[is_multi_select]]),NOT(ISBLANK(questions[[#This Row],[answer_opt_combined]])),TRUE)</f>
        <v>1</v>
      </c>
    </row>
    <row r="97" spans="1:45" x14ac:dyDescent="0.25">
      <c r="A97" s="9" t="str">
        <f>_xlfn.TEXTJOIN("_",TRUE,questions[[#This Row],[origin]:[qno]])</f>
        <v>Indonesia_Arabica_west_java_impact_6211</v>
      </c>
      <c r="B97" s="9" t="s">
        <v>58</v>
      </c>
      <c r="C97" s="9" t="s">
        <v>59</v>
      </c>
      <c r="D97" s="9" t="s">
        <v>60</v>
      </c>
      <c r="F97" s="9" t="s">
        <v>266</v>
      </c>
      <c r="G97" s="9" t="s">
        <v>267</v>
      </c>
      <c r="H97" s="9" t="str" cm="1">
        <f t="array" ref="H97">INDEX(stableR[question],MATCH(VALUE(questions[[#This Row],[qno]]),VALUE(stableR[qno]),0))</f>
        <v>What was the total amount of rent you paid last year for the land on which you cultivate your coffee? (in local currency)</v>
      </c>
      <c r="I97" s="9" t="b" cm="1">
        <f t="array" ref="I97">INDEX(stable[is_fixed],MATCH(VALUE(questions[[#This Row],[qno]]),VALUE(stable[qno]),0))</f>
        <v>0</v>
      </c>
      <c r="J97" s="9" t="b" cm="1">
        <f t="array" ref="J97">INDEX(stable[is_localized],MATCH(VALUE(questions[[#This Row],[qno]]),VALUE(stable[qno]),0))</f>
        <v>1</v>
      </c>
      <c r="K97" s="9" t="b" cm="1">
        <f t="array" ref="K97">INDEX(stable[is_supply_chain_dependent],MATCH(VALUE(questions[[#This Row],[qno]]),VALUE(stable[qno]),0))</f>
        <v>1</v>
      </c>
      <c r="L97" s="9" t="b" cm="1">
        <f t="array" ref="L97">INDEX(stable[is_mandatory],MATCH(VALUE(questions[[#This Row],[qno]]),VALUE(stable[qno]),0))</f>
        <v>0</v>
      </c>
      <c r="M97" s="9" t="b" cm="1">
        <f t="array" ref="M97">INDEX(stable[is_automated],MATCH(VALUE(questions[[#This Row],[qno]]),VALUE(stable[qno]),0))</f>
        <v>0</v>
      </c>
      <c r="N97" s="9" t="b" cm="1">
        <f t="array" ref="N97">INDEX(stable[is_free_text],MATCH(VALUE(questions[[#This Row],[qno]]),VALUE(stable[qno]),0))</f>
        <v>1</v>
      </c>
      <c r="O97" s="9" t="b" cm="1">
        <f t="array" ref="O97">INDEX(stable[is_numerical],MATCH(VALUE(questions[[#This Row],[qno]]),VALUE(stable[qno]),0))</f>
        <v>0</v>
      </c>
      <c r="P97" s="32" t="b" cm="1">
        <f t="array" ref="P97">INDEX(stable[is_single_select],MATCH(VALUE(questions[[#This Row],[qno]]),VALUE(stable[qno]),0))</f>
        <v>0</v>
      </c>
      <c r="Q97" s="9" t="b" cm="1">
        <f t="array" ref="Q97">INDEX(stable[is_multi_select],MATCH(VALUE(questions[[#This Row],[qno]]),VALUE(stable[qno]),0))</f>
        <v>0</v>
      </c>
      <c r="R97" s="9" t="b" cm="1">
        <f t="array" ref="R97">INDEX(stable[is_skip_logic],MATCH(VALUE(questions[[#This Row],[qno]]),VALUE(stable[qno]),0))</f>
        <v>1</v>
      </c>
      <c r="S97" s="9" t="str">
        <f>_xlfn.TEXTJOIN(", ",TRUE,questions[[#This Row],[ans_opt_1]:[ans_opt_14]])</f>
        <v/>
      </c>
      <c r="AH97" s="16" t="b">
        <f>INDEX(stable[q_standard],MATCH(questions[[#This Row],[qno]],stable[qno],0))</f>
        <v>0</v>
      </c>
      <c r="AI97" s="16" t="b">
        <f>INDEX(stable[q_living_income],MATCH(questions[[#This Row],[qno]],stable[qno],0))</f>
        <v>1</v>
      </c>
      <c r="AJ97" s="16" t="b">
        <f>INDEX(stable[q_carbon],MATCH(questions[[#This Row],[qno]],stable[qno],0))</f>
        <v>0</v>
      </c>
      <c r="AK97" s="16" t="b">
        <f>INDEX(stable[q_regen_ag],MATCH(questions[[#This Row],[qno]],stable[qno],0))</f>
        <v>0</v>
      </c>
      <c r="AL97" s="16" t="b">
        <f>COUNTIFS(stable[qno],questions[[#This Row],[qno]])=1</f>
        <v>1</v>
      </c>
      <c r="AM97" s="16" t="b">
        <f>OR(questions[[#This Row],[is_fixed]],questions[[#This Row],[is_localized]],questions[[#This Row],[is_supply_chain_dependent]])</f>
        <v>1</v>
      </c>
      <c r="AN97" s="16" t="b">
        <f>COUNTIFS(questions[[#This Row],[is_automated]:[is_multi_select]],TRUE)=1</f>
        <v>1</v>
      </c>
      <c r="AO97" s="16" t="b">
        <f>IF(questions[[#This Row],[is_fixed]],questions[[#This Row],[question]]=INDEX(stable[question],MATCH(questions[[#This Row],[qno]],stable[qno],0)),TRUE)</f>
        <v>1</v>
      </c>
      <c r="AP97" s="16" t="str">
        <f>LEFT(questions[[#This Row],[question]],similarity_range)</f>
        <v>If yes, what was the</v>
      </c>
      <c r="AQ97" s="16" t="str">
        <f>LEFT(INDEX(stable[question],MATCH(questions[[#This Row],[qno]],stable[qno],0)),similarity_range)</f>
        <v>If yes, what was the</v>
      </c>
      <c r="AR97" s="16" t="b">
        <f>questions[[#This Row],[question_first_characters]]=questions[[#This Row],[stability_first_characters]]</f>
        <v>1</v>
      </c>
      <c r="AS97" s="16" t="b">
        <f>IF(OR(questions[[#This Row],[is_single_select]],questions[[#This Row],[is_multi_select]]),NOT(ISBLANK(questions[[#This Row],[answer_opt_combined]])),TRUE)</f>
        <v>1</v>
      </c>
    </row>
    <row r="98" spans="1:45" s="77" customFormat="1" x14ac:dyDescent="0.25">
      <c r="A98" s="77" t="str">
        <f>_xlfn.TEXTJOIN("_",TRUE,questions[[#This Row],[origin]:[qno]])</f>
        <v>Indonesia_Arabica_west_java_impact_6300</v>
      </c>
      <c r="B98" s="77" t="s">
        <v>58</v>
      </c>
      <c r="C98" s="77" t="s">
        <v>59</v>
      </c>
      <c r="D98" s="77" t="s">
        <v>60</v>
      </c>
      <c r="F98" s="77" t="s">
        <v>268</v>
      </c>
      <c r="G98" s="77" t="s">
        <v>269</v>
      </c>
      <c r="H98" s="9" t="str" cm="1">
        <f t="array" ref="H98">INDEX(stableR[question],MATCH(VALUE(questions[[#This Row],[qno]]),VALUE(stableR[qno]),0))</f>
        <v>Did you buy coffee seedlings last year?</v>
      </c>
      <c r="I98" s="9" t="b" cm="1">
        <f t="array" ref="I98">INDEX(stable[is_fixed],MATCH(VALUE(questions[[#This Row],[qno]]),VALUE(stable[qno]),0))</f>
        <v>1</v>
      </c>
      <c r="J98" s="9" t="b" cm="1">
        <f t="array" ref="J98">INDEX(stable[is_localized],MATCH(VALUE(questions[[#This Row],[qno]]),VALUE(stable[qno]),0))</f>
        <v>0</v>
      </c>
      <c r="K98" s="9" t="b" cm="1">
        <f t="array" ref="K98">INDEX(stable[is_supply_chain_dependent],MATCH(VALUE(questions[[#This Row],[qno]]),VALUE(stable[qno]),0))</f>
        <v>0</v>
      </c>
      <c r="L98" s="9" t="b" cm="1">
        <f t="array" ref="L98">INDEX(stable[is_mandatory],MATCH(VALUE(questions[[#This Row],[qno]]),VALUE(stable[qno]),0))</f>
        <v>1</v>
      </c>
      <c r="M98" s="9" t="b" cm="1">
        <f t="array" ref="M98">INDEX(stable[is_automated],MATCH(VALUE(questions[[#This Row],[qno]]),VALUE(stable[qno]),0))</f>
        <v>0</v>
      </c>
      <c r="N98" s="9" t="b" cm="1">
        <f t="array" ref="N98">INDEX(stable[is_free_text],MATCH(VALUE(questions[[#This Row],[qno]]),VALUE(stable[qno]),0))</f>
        <v>0</v>
      </c>
      <c r="O98" s="9" t="b" cm="1">
        <f t="array" ref="O98">INDEX(stable[is_numerical],MATCH(VALUE(questions[[#This Row],[qno]]),VALUE(stable[qno]),0))</f>
        <v>0</v>
      </c>
      <c r="P98" s="103" t="b" cm="1">
        <f t="array" ref="P98">INDEX(stable[is_single_select],MATCH(VALUE(questions[[#This Row],[qno]]),VALUE(stable[qno]),0))</f>
        <v>1</v>
      </c>
      <c r="Q98" s="77" t="b" cm="1">
        <f t="array" ref="Q98">INDEX(stable[is_multi_select],MATCH(VALUE(questions[[#This Row],[qno]]),VALUE(stable[qno]),0))</f>
        <v>0</v>
      </c>
      <c r="R98" s="77" t="b" cm="1">
        <f t="array" ref="R98">INDEX(stable[is_skip_logic],MATCH(VALUE(questions[[#This Row],[qno]]),VALUE(stable[qno]),0))</f>
        <v>1</v>
      </c>
      <c r="S98" s="77" t="str">
        <f>_xlfn.TEXTJOIN(", ",TRUE,questions[[#This Row],[ans_opt_1]:[ans_opt_14]])</f>
        <v>Yes, No</v>
      </c>
      <c r="T98" s="77" t="s">
        <v>149</v>
      </c>
      <c r="U98" s="77" t="s">
        <v>119</v>
      </c>
      <c r="AH98" s="98" t="b">
        <f>INDEX(stable[q_standard],MATCH(questions[[#This Row],[qno]],stable[qno],0))</f>
        <v>0</v>
      </c>
      <c r="AI98" s="98" t="b">
        <f>INDEX(stable[q_living_income],MATCH(questions[[#This Row],[qno]],stable[qno],0))</f>
        <v>1</v>
      </c>
      <c r="AJ98" s="98" t="b">
        <f>INDEX(stable[q_carbon],MATCH(questions[[#This Row],[qno]],stable[qno],0))</f>
        <v>0</v>
      </c>
      <c r="AK98" s="98" t="b">
        <f>INDEX(stable[q_regen_ag],MATCH(questions[[#This Row],[qno]],stable[qno],0))</f>
        <v>0</v>
      </c>
      <c r="AL98" s="98" t="b">
        <f>COUNTIFS(stable[qno],questions[[#This Row],[qno]])=1</f>
        <v>1</v>
      </c>
      <c r="AM98" s="98" t="b">
        <f>OR(questions[[#This Row],[is_fixed]],questions[[#This Row],[is_localized]],questions[[#This Row],[is_supply_chain_dependent]])</f>
        <v>1</v>
      </c>
      <c r="AN98" s="98" t="b">
        <f>COUNTIFS(questions[[#This Row],[is_automated]:[is_multi_select]],TRUE)=1</f>
        <v>1</v>
      </c>
      <c r="AO98" s="98" t="b">
        <f>IF(questions[[#This Row],[is_fixed]],questions[[#This Row],[question]]=INDEX(stable[question],MATCH(questions[[#This Row],[qno]],stable[qno],0)),TRUE)</f>
        <v>0</v>
      </c>
      <c r="AP98" s="98" t="str">
        <f>LEFT(questions[[#This Row],[question]],similarity_range)</f>
        <v>Did you buy coffee s</v>
      </c>
      <c r="AQ98" s="98" t="str">
        <f>LEFT(INDEX(stable[question],MATCH(questions[[#This Row],[qno]],stable[qno],0)),similarity_range)</f>
        <v>Did you buy coffee s</v>
      </c>
      <c r="AR98" s="98" t="b">
        <f>questions[[#This Row],[question_first_characters]]=questions[[#This Row],[stability_first_characters]]</f>
        <v>1</v>
      </c>
      <c r="AS98" s="98" t="b">
        <f>IF(OR(questions[[#This Row],[is_single_select]],questions[[#This Row],[is_multi_select]]),NOT(ISBLANK(questions[[#This Row],[answer_opt_combined]])),TRUE)</f>
        <v>1</v>
      </c>
    </row>
    <row r="99" spans="1:45" s="77" customFormat="1" x14ac:dyDescent="0.25">
      <c r="A99" s="77" t="str">
        <f>_xlfn.TEXTJOIN("_",TRUE,questions[[#This Row],[origin]:[qno]])</f>
        <v>Indonesia_Arabica_west_java_impact_6301</v>
      </c>
      <c r="B99" s="77" t="s">
        <v>58</v>
      </c>
      <c r="C99" s="77" t="s">
        <v>59</v>
      </c>
      <c r="D99" s="77" t="s">
        <v>60</v>
      </c>
      <c r="F99" s="77" t="s">
        <v>270</v>
      </c>
      <c r="G99" s="77" t="s">
        <v>271</v>
      </c>
      <c r="H99" s="9" t="str" cm="1">
        <f t="array" ref="H99">INDEX(stableR[question],MATCH(VALUE(questions[[#This Row],[qno]]),VALUE(stableR[qno]),0))</f>
        <v>What was the main type seedlings bought?</v>
      </c>
      <c r="I99" s="9" t="b" cm="1">
        <f t="array" ref="I99">INDEX(stable[is_fixed],MATCH(VALUE(questions[[#This Row],[qno]]),VALUE(stable[qno]),0))</f>
        <v>1</v>
      </c>
      <c r="J99" s="9" t="b" cm="1">
        <f t="array" ref="J99">INDEX(stable[is_localized],MATCH(VALUE(questions[[#This Row],[qno]]),VALUE(stable[qno]),0))</f>
        <v>0</v>
      </c>
      <c r="K99" s="9" t="b" cm="1">
        <f t="array" ref="K99">INDEX(stable[is_supply_chain_dependent],MATCH(VALUE(questions[[#This Row],[qno]]),VALUE(stable[qno]),0))</f>
        <v>0</v>
      </c>
      <c r="L99" s="9" t="b" cm="1">
        <f t="array" ref="L99">INDEX(stable[is_mandatory],MATCH(VALUE(questions[[#This Row],[qno]]),VALUE(stable[qno]),0))</f>
        <v>0</v>
      </c>
      <c r="M99" s="9" t="b" cm="1">
        <f t="array" ref="M99">INDEX(stable[is_automated],MATCH(VALUE(questions[[#This Row],[qno]]),VALUE(stable[qno]),0))</f>
        <v>0</v>
      </c>
      <c r="N99" s="9" t="b" cm="1">
        <f t="array" ref="N99">INDEX(stable[is_free_text],MATCH(VALUE(questions[[#This Row],[qno]]),VALUE(stable[qno]),0))</f>
        <v>0</v>
      </c>
      <c r="O99" s="9" t="b" cm="1">
        <f t="array" ref="O99">INDEX(stable[is_numerical],MATCH(VALUE(questions[[#This Row],[qno]]),VALUE(stable[qno]),0))</f>
        <v>0</v>
      </c>
      <c r="P99" s="103" t="b" cm="1">
        <f t="array" ref="P99">INDEX(stable[is_single_select],MATCH(VALUE(questions[[#This Row],[qno]]),VALUE(stable[qno]),0))</f>
        <v>1</v>
      </c>
      <c r="Q99" s="77" t="b" cm="1">
        <f t="array" ref="Q99">INDEX(stable[is_multi_select],MATCH(VALUE(questions[[#This Row],[qno]]),VALUE(stable[qno]),0))</f>
        <v>0</v>
      </c>
      <c r="R99" s="77" t="b" cm="1">
        <f t="array" ref="R99">INDEX(stable[is_skip_logic],MATCH(VALUE(questions[[#This Row],[qno]]),VALUE(stable[qno]),0))</f>
        <v>1</v>
      </c>
      <c r="S99" s="77" t="str">
        <f>_xlfn.TEXTJOIN(", ",TRUE,questions[[#This Row],[ans_opt_1]:[ans_opt_14]])</f>
        <v>Linis S (S 795), USDA 762, Andung sari – 1, Sigarar Utang, Kartika 1, Kartika 2, Andung sari 2K, Gayo 1, Gayo 2, Komasti, Other, NA</v>
      </c>
      <c r="T99" s="77" t="s">
        <v>272</v>
      </c>
      <c r="U99" s="77" t="s">
        <v>273</v>
      </c>
      <c r="V99" s="77" t="s">
        <v>274</v>
      </c>
      <c r="W99" s="77" t="s">
        <v>275</v>
      </c>
      <c r="X99" s="77" t="s">
        <v>276</v>
      </c>
      <c r="Y99" s="77" t="s">
        <v>277</v>
      </c>
      <c r="Z99" s="77" t="s">
        <v>278</v>
      </c>
      <c r="AA99" s="77" t="s">
        <v>279</v>
      </c>
      <c r="AB99" s="77" t="s">
        <v>280</v>
      </c>
      <c r="AC99" s="77" t="s">
        <v>281</v>
      </c>
      <c r="AD99" s="77" t="s">
        <v>112</v>
      </c>
      <c r="AE99" s="77" t="s">
        <v>251</v>
      </c>
      <c r="AH99" s="98" t="b">
        <f>INDEX(stable[q_standard],MATCH(questions[[#This Row],[qno]],stable[qno],0))</f>
        <v>0</v>
      </c>
      <c r="AI99" s="98" t="b">
        <f>INDEX(stable[q_living_income],MATCH(questions[[#This Row],[qno]],stable[qno],0))</f>
        <v>1</v>
      </c>
      <c r="AJ99" s="98" t="b">
        <f>INDEX(stable[q_carbon],MATCH(questions[[#This Row],[qno]],stable[qno],0))</f>
        <v>0</v>
      </c>
      <c r="AK99" s="98" t="b">
        <f>INDEX(stable[q_regen_ag],MATCH(questions[[#This Row],[qno]],stable[qno],0))</f>
        <v>0</v>
      </c>
      <c r="AL99" s="98" t="b">
        <f>COUNTIFS(stable[qno],questions[[#This Row],[qno]])=1</f>
        <v>1</v>
      </c>
      <c r="AM99" s="98" t="b">
        <f>OR(questions[[#This Row],[is_fixed]],questions[[#This Row],[is_localized]],questions[[#This Row],[is_supply_chain_dependent]])</f>
        <v>1</v>
      </c>
      <c r="AN99" s="98" t="b">
        <f>COUNTIFS(questions[[#This Row],[is_automated]:[is_multi_select]],TRUE)=1</f>
        <v>1</v>
      </c>
      <c r="AO99" s="98" t="b">
        <f>IF(questions[[#This Row],[is_fixed]],questions[[#This Row],[question]]=INDEX(stable[question],MATCH(questions[[#This Row],[qno]],stable[qno],0)),TRUE)</f>
        <v>1</v>
      </c>
      <c r="AP99" s="98" t="str">
        <f>LEFT(questions[[#This Row],[question]],similarity_range)</f>
        <v xml:space="preserve">If yes what was the </v>
      </c>
      <c r="AQ99" s="98" t="str">
        <f>LEFT(INDEX(stable[question],MATCH(questions[[#This Row],[qno]],stable[qno],0)),similarity_range)</f>
        <v xml:space="preserve">If yes what was the </v>
      </c>
      <c r="AR99" s="98" t="b">
        <f>questions[[#This Row],[question_first_characters]]=questions[[#This Row],[stability_first_characters]]</f>
        <v>1</v>
      </c>
      <c r="AS99" s="98" t="b">
        <f>IF(OR(questions[[#This Row],[is_single_select]],questions[[#This Row],[is_multi_select]]),NOT(ISBLANK(questions[[#This Row],[answer_opt_combined]])),TRUE)</f>
        <v>1</v>
      </c>
    </row>
    <row r="100" spans="1:45" x14ac:dyDescent="0.25">
      <c r="A100" s="9" t="str">
        <f>_xlfn.TEXTJOIN("_",TRUE,questions[[#This Row],[origin]:[qno]])</f>
        <v>Indonesia_Arabica_west_java_impact_6302</v>
      </c>
      <c r="B100" s="9" t="s">
        <v>58</v>
      </c>
      <c r="C100" s="9" t="s">
        <v>59</v>
      </c>
      <c r="D100" s="9" t="s">
        <v>60</v>
      </c>
      <c r="F100" s="9" t="s">
        <v>282</v>
      </c>
      <c r="G100" s="9" t="s">
        <v>283</v>
      </c>
      <c r="H100" s="9" t="str" cm="1">
        <f t="array" ref="H100">INDEX(stableR[question],MATCH(VALUE(questions[[#This Row],[qno]]),VALUE(stableR[qno]),0))</f>
        <v>How many seedlings did you buy last year?</v>
      </c>
      <c r="I100" s="9" t="b" cm="1">
        <f t="array" ref="I100">INDEX(stable[is_fixed],MATCH(VALUE(questions[[#This Row],[qno]]),VALUE(stable[qno]),0))</f>
        <v>1</v>
      </c>
      <c r="J100" s="9" t="b" cm="1">
        <f t="array" ref="J100">INDEX(stable[is_localized],MATCH(VALUE(questions[[#This Row],[qno]]),VALUE(stable[qno]),0))</f>
        <v>0</v>
      </c>
      <c r="K100" s="9" t="b" cm="1">
        <f t="array" ref="K100">INDEX(stable[is_supply_chain_dependent],MATCH(VALUE(questions[[#This Row],[qno]]),VALUE(stable[qno]),0))</f>
        <v>0</v>
      </c>
      <c r="L100" s="9" t="b" cm="1">
        <f t="array" ref="L100">INDEX(stable[is_mandatory],MATCH(VALUE(questions[[#This Row],[qno]]),VALUE(stable[qno]),0))</f>
        <v>0</v>
      </c>
      <c r="M100" s="9" t="b" cm="1">
        <f t="array" ref="M100">INDEX(stable[is_automated],MATCH(VALUE(questions[[#This Row],[qno]]),VALUE(stable[qno]),0))</f>
        <v>0</v>
      </c>
      <c r="N100" s="9" t="b" cm="1">
        <f t="array" ref="N100">INDEX(stable[is_free_text],MATCH(VALUE(questions[[#This Row],[qno]]),VALUE(stable[qno]),0))</f>
        <v>0</v>
      </c>
      <c r="O100" s="9" t="b" cm="1">
        <f t="array" ref="O100">INDEX(stable[is_numerical],MATCH(VALUE(questions[[#This Row],[qno]]),VALUE(stable[qno]),0))</f>
        <v>1</v>
      </c>
      <c r="P100" s="32" t="b" cm="1">
        <f t="array" ref="P100">INDEX(stable[is_single_select],MATCH(VALUE(questions[[#This Row],[qno]]),VALUE(stable[qno]),0))</f>
        <v>0</v>
      </c>
      <c r="Q100" s="9" t="b" cm="1">
        <f t="array" ref="Q100">INDEX(stable[is_multi_select],MATCH(VALUE(questions[[#This Row],[qno]]),VALUE(stable[qno]),0))</f>
        <v>0</v>
      </c>
      <c r="R100" s="9" t="b" cm="1">
        <f t="array" ref="R100">INDEX(stable[is_skip_logic],MATCH(VALUE(questions[[#This Row],[qno]]),VALUE(stable[qno]),0))</f>
        <v>1</v>
      </c>
      <c r="S100" s="9" t="str">
        <f>_xlfn.TEXTJOIN(", ",TRUE,questions[[#This Row],[ans_opt_1]:[ans_opt_14]])</f>
        <v/>
      </c>
      <c r="AH100" s="16" t="b">
        <f>INDEX(stable[q_standard],MATCH(questions[[#This Row],[qno]],stable[qno],0))</f>
        <v>0</v>
      </c>
      <c r="AI100" s="16" t="b">
        <f>INDEX(stable[q_living_income],MATCH(questions[[#This Row],[qno]],stable[qno],0))</f>
        <v>1</v>
      </c>
      <c r="AJ100" s="16" t="b">
        <f>INDEX(stable[q_carbon],MATCH(questions[[#This Row],[qno]],stable[qno],0))</f>
        <v>0</v>
      </c>
      <c r="AK100" s="16" t="b">
        <f>INDEX(stable[q_regen_ag],MATCH(questions[[#This Row],[qno]],stable[qno],0))</f>
        <v>0</v>
      </c>
      <c r="AL100" s="16" t="b">
        <f>COUNTIFS(stable[qno],questions[[#This Row],[qno]])=1</f>
        <v>1</v>
      </c>
      <c r="AM100" s="16" t="b">
        <f>OR(questions[[#This Row],[is_fixed]],questions[[#This Row],[is_localized]],questions[[#This Row],[is_supply_chain_dependent]])</f>
        <v>1</v>
      </c>
      <c r="AN100" s="16" t="b">
        <f>COUNTIFS(questions[[#This Row],[is_automated]:[is_multi_select]],TRUE)=1</f>
        <v>1</v>
      </c>
      <c r="AO100" s="16" t="b">
        <f>IF(questions[[#This Row],[is_fixed]],questions[[#This Row],[question]]=INDEX(stable[question],MATCH(questions[[#This Row],[qno]],stable[qno],0)),TRUE)</f>
        <v>1</v>
      </c>
      <c r="AP100" s="16" t="str">
        <f>LEFT(questions[[#This Row],[question]],similarity_range)</f>
        <v>How many seedlings d</v>
      </c>
      <c r="AQ100" s="16" t="str">
        <f>LEFT(INDEX(stable[question],MATCH(questions[[#This Row],[qno]],stable[qno],0)),similarity_range)</f>
        <v>How many seedlings d</v>
      </c>
      <c r="AR100" s="16" t="b">
        <f>questions[[#This Row],[question_first_characters]]=questions[[#This Row],[stability_first_characters]]</f>
        <v>1</v>
      </c>
      <c r="AS100" s="16" t="b">
        <f>IF(OR(questions[[#This Row],[is_single_select]],questions[[#This Row],[is_multi_select]]),NOT(ISBLANK(questions[[#This Row],[answer_opt_combined]])),TRUE)</f>
        <v>1</v>
      </c>
    </row>
    <row r="101" spans="1:45" s="77" customFormat="1" x14ac:dyDescent="0.25">
      <c r="A101" s="77" t="str">
        <f>_xlfn.TEXTJOIN("_",TRUE,questions[[#This Row],[origin]:[qno]])</f>
        <v>Indonesia_Arabica_west_java_impact_6400</v>
      </c>
      <c r="B101" s="77" t="s">
        <v>58</v>
      </c>
      <c r="C101" s="77" t="s">
        <v>59</v>
      </c>
      <c r="D101" s="77" t="s">
        <v>60</v>
      </c>
      <c r="F101" s="77" t="s">
        <v>284</v>
      </c>
      <c r="G101" s="77" t="s">
        <v>285</v>
      </c>
      <c r="H101" s="9" t="str" cm="1">
        <f t="array" ref="H101">INDEX(stableR[question],MATCH(VALUE(questions[[#This Row],[qno]]),VALUE(stableR[qno]),0))</f>
        <v>Did you organize your own transport to the Sucafina coffee collection point where you delivered your coffee last year?</v>
      </c>
      <c r="I101" s="9" t="b" cm="1">
        <f t="array" ref="I101">INDEX(stable[is_fixed],MATCH(VALUE(questions[[#This Row],[qno]]),VALUE(stable[qno]),0))</f>
        <v>1</v>
      </c>
      <c r="J101" s="9" t="b" cm="1">
        <f t="array" ref="J101">INDEX(stable[is_localized],MATCH(VALUE(questions[[#This Row],[qno]]),VALUE(stable[qno]),0))</f>
        <v>0</v>
      </c>
      <c r="K101" s="9" t="b" cm="1">
        <f t="array" ref="K101">INDEX(stable[is_supply_chain_dependent],MATCH(VALUE(questions[[#This Row],[qno]]),VALUE(stable[qno]),0))</f>
        <v>0</v>
      </c>
      <c r="L101" s="9" t="b" cm="1">
        <f t="array" ref="L101">INDEX(stable[is_mandatory],MATCH(VALUE(questions[[#This Row],[qno]]),VALUE(stable[qno]),0))</f>
        <v>1</v>
      </c>
      <c r="M101" s="9" t="b" cm="1">
        <f t="array" ref="M101">INDEX(stable[is_automated],MATCH(VALUE(questions[[#This Row],[qno]]),VALUE(stable[qno]),0))</f>
        <v>0</v>
      </c>
      <c r="N101" s="9" t="b" cm="1">
        <f t="array" ref="N101">INDEX(stable[is_free_text],MATCH(VALUE(questions[[#This Row],[qno]]),VALUE(stable[qno]),0))</f>
        <v>0</v>
      </c>
      <c r="O101" s="9" t="b" cm="1">
        <f t="array" ref="O101">INDEX(stable[is_numerical],MATCH(VALUE(questions[[#This Row],[qno]]),VALUE(stable[qno]),0))</f>
        <v>0</v>
      </c>
      <c r="P101" s="103" t="b" cm="1">
        <f t="array" ref="P101">INDEX(stable[is_single_select],MATCH(VALUE(questions[[#This Row],[qno]]),VALUE(stable[qno]),0))</f>
        <v>1</v>
      </c>
      <c r="Q101" s="77" t="b" cm="1">
        <f t="array" ref="Q101">INDEX(stable[is_multi_select],MATCH(VALUE(questions[[#This Row],[qno]]),VALUE(stable[qno]),0))</f>
        <v>0</v>
      </c>
      <c r="R101" s="77" t="b" cm="1">
        <f t="array" ref="R101">INDEX(stable[is_skip_logic],MATCH(VALUE(questions[[#This Row],[qno]]),VALUE(stable[qno]),0))</f>
        <v>1</v>
      </c>
      <c r="S101" s="77" t="str">
        <f>_xlfn.TEXTJOIN(", ",TRUE,questions[[#This Row],[ans_opt_1]:[ans_opt_14]])</f>
        <v>Yes, No</v>
      </c>
      <c r="T101" s="77" t="s">
        <v>149</v>
      </c>
      <c r="U101" s="77" t="s">
        <v>119</v>
      </c>
      <c r="AH101" s="98" t="b">
        <f>INDEX(stable[q_standard],MATCH(questions[[#This Row],[qno]],stable[qno],0))</f>
        <v>0</v>
      </c>
      <c r="AI101" s="98" t="b">
        <f>INDEX(stable[q_living_income],MATCH(questions[[#This Row],[qno]],stable[qno],0))</f>
        <v>1</v>
      </c>
      <c r="AJ101" s="98" t="b">
        <f>INDEX(stable[q_carbon],MATCH(questions[[#This Row],[qno]],stable[qno],0))</f>
        <v>0</v>
      </c>
      <c r="AK101" s="98" t="b">
        <f>INDEX(stable[q_regen_ag],MATCH(questions[[#This Row],[qno]],stable[qno],0))</f>
        <v>0</v>
      </c>
      <c r="AL101" s="98" t="b">
        <f>COUNTIFS(stable[qno],questions[[#This Row],[qno]])=1</f>
        <v>1</v>
      </c>
      <c r="AM101" s="98" t="b">
        <f>OR(questions[[#This Row],[is_fixed]],questions[[#This Row],[is_localized]],questions[[#This Row],[is_supply_chain_dependent]])</f>
        <v>1</v>
      </c>
      <c r="AN101" s="98" t="b">
        <f>COUNTIFS(questions[[#This Row],[is_automated]:[is_multi_select]],TRUE)=1</f>
        <v>1</v>
      </c>
      <c r="AO101" s="98" t="b">
        <f>IF(questions[[#This Row],[is_fixed]],questions[[#This Row],[question]]=INDEX(stable[question],MATCH(questions[[#This Row],[qno]],stable[qno],0)),TRUE)</f>
        <v>1</v>
      </c>
      <c r="AP101" s="98" t="str">
        <f>LEFT(questions[[#This Row],[question]],similarity_range)</f>
        <v>Did you organize the</v>
      </c>
      <c r="AQ101" s="98" t="str">
        <f>LEFT(INDEX(stable[question],MATCH(questions[[#This Row],[qno]],stable[qno],0)),similarity_range)</f>
        <v>Did you organize the</v>
      </c>
      <c r="AR101" s="98" t="b">
        <f>questions[[#This Row],[question_first_characters]]=questions[[#This Row],[stability_first_characters]]</f>
        <v>1</v>
      </c>
      <c r="AS101" s="98" t="b">
        <f>IF(OR(questions[[#This Row],[is_single_select]],questions[[#This Row],[is_multi_select]]),NOT(ISBLANK(questions[[#This Row],[answer_opt_combined]])),TRUE)</f>
        <v>1</v>
      </c>
    </row>
    <row r="102" spans="1:45" x14ac:dyDescent="0.25">
      <c r="A102" s="9" t="str">
        <f>_xlfn.TEXTJOIN("_",TRUE,questions[[#This Row],[origin]:[qno]])</f>
        <v>Indonesia_Arabica_west_java_impact_6401</v>
      </c>
      <c r="B102" s="9" t="s">
        <v>58</v>
      </c>
      <c r="C102" s="9" t="s">
        <v>59</v>
      </c>
      <c r="D102" s="9" t="s">
        <v>60</v>
      </c>
      <c r="F102" s="9" t="s">
        <v>286</v>
      </c>
      <c r="G102" s="9" t="s">
        <v>287</v>
      </c>
      <c r="H102" s="9" t="str" cm="1">
        <f t="array" ref="H102">INDEX(stableR[question],MATCH(VALUE(questions[[#This Row],[qno]]),VALUE(stableR[qno]),0))</f>
        <v>How many trips did you need to make last year?</v>
      </c>
      <c r="I102" s="9" t="b" cm="1">
        <f t="array" ref="I102">INDEX(stable[is_fixed],MATCH(VALUE(questions[[#This Row],[qno]]),VALUE(stable[qno]),0))</f>
        <v>1</v>
      </c>
      <c r="J102" s="9" t="b" cm="1">
        <f t="array" ref="J102">INDEX(stable[is_localized],MATCH(VALUE(questions[[#This Row],[qno]]),VALUE(stable[qno]),0))</f>
        <v>0</v>
      </c>
      <c r="K102" s="9" t="b" cm="1">
        <f t="array" ref="K102">INDEX(stable[is_supply_chain_dependent],MATCH(VALUE(questions[[#This Row],[qno]]),VALUE(stable[qno]),0))</f>
        <v>0</v>
      </c>
      <c r="L102" s="9" t="b" cm="1">
        <f t="array" ref="L102">INDEX(stable[is_mandatory],MATCH(VALUE(questions[[#This Row],[qno]]),VALUE(stable[qno]),0))</f>
        <v>0</v>
      </c>
      <c r="M102" s="9" t="b" cm="1">
        <f t="array" ref="M102">INDEX(stable[is_automated],MATCH(VALUE(questions[[#This Row],[qno]]),VALUE(stable[qno]),0))</f>
        <v>0</v>
      </c>
      <c r="N102" s="9" t="b" cm="1">
        <f t="array" ref="N102">INDEX(stable[is_free_text],MATCH(VALUE(questions[[#This Row],[qno]]),VALUE(stable[qno]),0))</f>
        <v>0</v>
      </c>
      <c r="O102" s="9" t="b" cm="1">
        <f t="array" ref="O102">INDEX(stable[is_numerical],MATCH(VALUE(questions[[#This Row],[qno]]),VALUE(stable[qno]),0))</f>
        <v>1</v>
      </c>
      <c r="P102" s="32" t="b" cm="1">
        <f t="array" ref="P102">INDEX(stable[is_single_select],MATCH(VALUE(questions[[#This Row],[qno]]),VALUE(stable[qno]),0))</f>
        <v>0</v>
      </c>
      <c r="Q102" s="9" t="b" cm="1">
        <f t="array" ref="Q102">INDEX(stable[is_multi_select],MATCH(VALUE(questions[[#This Row],[qno]]),VALUE(stable[qno]),0))</f>
        <v>0</v>
      </c>
      <c r="R102" s="9" t="b" cm="1">
        <f t="array" ref="R102">INDEX(stable[is_skip_logic],MATCH(VALUE(questions[[#This Row],[qno]]),VALUE(stable[qno]),0))</f>
        <v>1</v>
      </c>
      <c r="S102" s="9" t="str">
        <f>_xlfn.TEXTJOIN(", ",TRUE,questions[[#This Row],[ans_opt_1]:[ans_opt_14]])</f>
        <v/>
      </c>
      <c r="AH102" s="16" t="b">
        <f>INDEX(stable[q_standard],MATCH(questions[[#This Row],[qno]],stable[qno],0))</f>
        <v>0</v>
      </c>
      <c r="AI102" s="16" t="b">
        <f>INDEX(stable[q_living_income],MATCH(questions[[#This Row],[qno]],stable[qno],0))</f>
        <v>1</v>
      </c>
      <c r="AJ102" s="16" t="b">
        <f>INDEX(stable[q_carbon],MATCH(questions[[#This Row],[qno]],stable[qno],0))</f>
        <v>0</v>
      </c>
      <c r="AK102" s="16" t="b">
        <f>INDEX(stable[q_regen_ag],MATCH(questions[[#This Row],[qno]],stable[qno],0))</f>
        <v>0</v>
      </c>
      <c r="AL102" s="16" t="b">
        <f>COUNTIFS(stable[qno],questions[[#This Row],[qno]])=1</f>
        <v>1</v>
      </c>
      <c r="AM102" s="16" t="b">
        <f>OR(questions[[#This Row],[is_fixed]],questions[[#This Row],[is_localized]],questions[[#This Row],[is_supply_chain_dependent]])</f>
        <v>1</v>
      </c>
      <c r="AN102" s="16" t="b">
        <f>COUNTIFS(questions[[#This Row],[is_automated]:[is_multi_select]],TRUE)=1</f>
        <v>1</v>
      </c>
      <c r="AO102" s="16" t="b">
        <f>IF(questions[[#This Row],[is_fixed]],questions[[#This Row],[question]]=INDEX(stable[question],MATCH(questions[[#This Row],[qno]],stable[qno],0)),TRUE)</f>
        <v>0</v>
      </c>
      <c r="AP102" s="16" t="str">
        <f>LEFT(questions[[#This Row],[question]],similarity_range)</f>
        <v>If yes, how many tri</v>
      </c>
      <c r="AQ102" s="16" t="str">
        <f>LEFT(INDEX(stable[question],MATCH(questions[[#This Row],[qno]],stable[qno],0)),similarity_range)</f>
        <v>If yes, how many tri</v>
      </c>
      <c r="AR102" s="16" t="b">
        <f>questions[[#This Row],[question_first_characters]]=questions[[#This Row],[stability_first_characters]]</f>
        <v>1</v>
      </c>
      <c r="AS102" s="16" t="b">
        <f>IF(OR(questions[[#This Row],[is_single_select]],questions[[#This Row],[is_multi_select]]),NOT(ISBLANK(questions[[#This Row],[answer_opt_combined]])),TRUE)</f>
        <v>1</v>
      </c>
    </row>
    <row r="103" spans="1:45" x14ac:dyDescent="0.25">
      <c r="A103" s="9" t="str">
        <f>_xlfn.TEXTJOIN("_",TRUE,questions[[#This Row],[origin]:[qno]])</f>
        <v>Indonesia_Arabica_west_java_impact_6402</v>
      </c>
      <c r="B103" s="9" t="s">
        <v>58</v>
      </c>
      <c r="C103" s="9" t="s">
        <v>59</v>
      </c>
      <c r="D103" s="9" t="s">
        <v>60</v>
      </c>
      <c r="F103" s="9" t="s">
        <v>288</v>
      </c>
      <c r="G103" s="9" t="s">
        <v>289</v>
      </c>
      <c r="H103" s="9" t="str" cm="1">
        <f t="array" ref="H103">INDEX(stableR[question],MATCH(VALUE(questions[[#This Row],[qno]]),VALUE(stableR[qno]),0))</f>
        <v>What were the costs per trip (the costs you make your self, or what you pay to someone to do the transport for you)? (in local currency)</v>
      </c>
      <c r="I103" s="9" t="b" cm="1">
        <f t="array" ref="I103">INDEX(stable[is_fixed],MATCH(VALUE(questions[[#This Row],[qno]]),VALUE(stable[qno]),0))</f>
        <v>0</v>
      </c>
      <c r="J103" s="9" t="b" cm="1">
        <f t="array" ref="J103">INDEX(stable[is_localized],MATCH(VALUE(questions[[#This Row],[qno]]),VALUE(stable[qno]),0))</f>
        <v>1</v>
      </c>
      <c r="K103" s="9" t="b" cm="1">
        <f t="array" ref="K103">INDEX(stable[is_supply_chain_dependent],MATCH(VALUE(questions[[#This Row],[qno]]),VALUE(stable[qno]),0))</f>
        <v>0</v>
      </c>
      <c r="L103" s="9" t="b" cm="1">
        <f t="array" ref="L103">INDEX(stable[is_mandatory],MATCH(VALUE(questions[[#This Row],[qno]]),VALUE(stable[qno]),0))</f>
        <v>0</v>
      </c>
      <c r="M103" s="9" t="b" cm="1">
        <f t="array" ref="M103">INDEX(stable[is_automated],MATCH(VALUE(questions[[#This Row],[qno]]),VALUE(stable[qno]),0))</f>
        <v>0</v>
      </c>
      <c r="N103" s="9" t="b" cm="1">
        <f t="array" ref="N103">INDEX(stable[is_free_text],MATCH(VALUE(questions[[#This Row],[qno]]),VALUE(stable[qno]),0))</f>
        <v>0</v>
      </c>
      <c r="O103" s="9" t="b" cm="1">
        <f t="array" ref="O103">INDEX(stable[is_numerical],MATCH(VALUE(questions[[#This Row],[qno]]),VALUE(stable[qno]),0))</f>
        <v>1</v>
      </c>
      <c r="P103" s="32" t="b" cm="1">
        <f t="array" ref="P103">INDEX(stable[is_single_select],MATCH(VALUE(questions[[#This Row],[qno]]),VALUE(stable[qno]),0))</f>
        <v>0</v>
      </c>
      <c r="Q103" s="9" t="b" cm="1">
        <f t="array" ref="Q103">INDEX(stable[is_multi_select],MATCH(VALUE(questions[[#This Row],[qno]]),VALUE(stable[qno]),0))</f>
        <v>0</v>
      </c>
      <c r="R103" s="9" t="b" cm="1">
        <f t="array" ref="R103">INDEX(stable[is_skip_logic],MATCH(VALUE(questions[[#This Row],[qno]]),VALUE(stable[qno]),0))</f>
        <v>1</v>
      </c>
      <c r="S103" s="9" t="str">
        <f>_xlfn.TEXTJOIN(", ",TRUE,questions[[#This Row],[ans_opt_1]:[ans_opt_14]])</f>
        <v/>
      </c>
      <c r="AH103" s="16" t="b">
        <f>INDEX(stable[q_standard],MATCH(questions[[#This Row],[qno]],stable[qno],0))</f>
        <v>0</v>
      </c>
      <c r="AI103" s="16" t="b">
        <f>INDEX(stable[q_living_income],MATCH(questions[[#This Row],[qno]],stable[qno],0))</f>
        <v>1</v>
      </c>
      <c r="AJ103" s="16" t="b">
        <f>INDEX(stable[q_carbon],MATCH(questions[[#This Row],[qno]],stable[qno],0))</f>
        <v>0</v>
      </c>
      <c r="AK103" s="16" t="b">
        <f>INDEX(stable[q_regen_ag],MATCH(questions[[#This Row],[qno]],stable[qno],0))</f>
        <v>0</v>
      </c>
      <c r="AL103" s="16" t="b">
        <f>COUNTIFS(stable[qno],questions[[#This Row],[qno]])=1</f>
        <v>1</v>
      </c>
      <c r="AM103" s="16" t="b">
        <f>OR(questions[[#This Row],[is_fixed]],questions[[#This Row],[is_localized]],questions[[#This Row],[is_supply_chain_dependent]])</f>
        <v>1</v>
      </c>
      <c r="AN103" s="16" t="b">
        <f>COUNTIFS(questions[[#This Row],[is_automated]:[is_multi_select]],TRUE)=1</f>
        <v>1</v>
      </c>
      <c r="AO103" s="16" t="b">
        <f>IF(questions[[#This Row],[is_fixed]],questions[[#This Row],[question]]=INDEX(stable[question],MATCH(questions[[#This Row],[qno]],stable[qno],0)),TRUE)</f>
        <v>1</v>
      </c>
      <c r="AP103" s="16" t="str">
        <f>LEFT(questions[[#This Row],[question]],similarity_range)</f>
        <v>If yes, in general w</v>
      </c>
      <c r="AQ103" s="16" t="str">
        <f>LEFT(INDEX(stable[question],MATCH(questions[[#This Row],[qno]],stable[qno],0)),similarity_range)</f>
        <v>If yes, in general w</v>
      </c>
      <c r="AR103" s="16" t="b">
        <f>questions[[#This Row],[question_first_characters]]=questions[[#This Row],[stability_first_characters]]</f>
        <v>1</v>
      </c>
      <c r="AS103" s="16" t="b">
        <f>IF(OR(questions[[#This Row],[is_single_select]],questions[[#This Row],[is_multi_select]]),NOT(ISBLANK(questions[[#This Row],[answer_opt_combined]])),TRUE)</f>
        <v>1</v>
      </c>
    </row>
    <row r="104" spans="1:45" s="77" customFormat="1" x14ac:dyDescent="0.25">
      <c r="A104" s="77" t="str">
        <f>_xlfn.TEXTJOIN("_",TRUE,questions[[#This Row],[origin]:[qno]])</f>
        <v>Indonesia_Arabica_west_java_impact_6500</v>
      </c>
      <c r="B104" s="77" t="s">
        <v>58</v>
      </c>
      <c r="C104" s="77" t="s">
        <v>59</v>
      </c>
      <c r="D104" s="77" t="s">
        <v>60</v>
      </c>
      <c r="F104" s="77" t="s">
        <v>290</v>
      </c>
      <c r="G104" s="77" t="s">
        <v>291</v>
      </c>
      <c r="H104" s="9" t="str" cm="1">
        <f t="array" ref="H104">INDEX(stableR[question],MATCH(VALUE(questions[[#This Row],[qno]]),VALUE(stableR[qno]),0))</f>
        <v>What are your sources of income for the total household, from the farm and off-farm?</v>
      </c>
      <c r="I104" s="9" t="b" cm="1">
        <f t="array" ref="I104">INDEX(stable[is_fixed],MATCH(VALUE(questions[[#This Row],[qno]]),VALUE(stable[qno]),0))</f>
        <v>1</v>
      </c>
      <c r="J104" s="9" t="b" cm="1">
        <f t="array" ref="J104">INDEX(stable[is_localized],MATCH(VALUE(questions[[#This Row],[qno]]),VALUE(stable[qno]),0))</f>
        <v>0</v>
      </c>
      <c r="K104" s="9" t="b" cm="1">
        <f t="array" ref="K104">INDEX(stable[is_supply_chain_dependent],MATCH(VALUE(questions[[#This Row],[qno]]),VALUE(stable[qno]),0))</f>
        <v>0</v>
      </c>
      <c r="L104" s="9" t="b" cm="1">
        <f t="array" ref="L104">INDEX(stable[is_mandatory],MATCH(VALUE(questions[[#This Row],[qno]]),VALUE(stable[qno]),0))</f>
        <v>1</v>
      </c>
      <c r="M104" s="9" t="b" cm="1">
        <f t="array" ref="M104">INDEX(stable[is_automated],MATCH(VALUE(questions[[#This Row],[qno]]),VALUE(stable[qno]),0))</f>
        <v>0</v>
      </c>
      <c r="N104" s="9" t="b" cm="1">
        <f t="array" ref="N104">INDEX(stable[is_free_text],MATCH(VALUE(questions[[#This Row],[qno]]),VALUE(stable[qno]),0))</f>
        <v>0</v>
      </c>
      <c r="O104" s="9" t="b" cm="1">
        <f t="array" ref="O104">INDEX(stable[is_numerical],MATCH(VALUE(questions[[#This Row],[qno]]),VALUE(stable[qno]),0))</f>
        <v>0</v>
      </c>
      <c r="P104" s="103" t="b" cm="1">
        <f t="array" ref="P104">INDEX(stable[is_single_select],MATCH(VALUE(questions[[#This Row],[qno]]),VALUE(stable[qno]),0))</f>
        <v>0</v>
      </c>
      <c r="Q104" s="77" t="b" cm="1">
        <f t="array" ref="Q104">INDEX(stable[is_multi_select],MATCH(VALUE(questions[[#This Row],[qno]]),VALUE(stable[qno]),0))</f>
        <v>1</v>
      </c>
      <c r="R104" s="77" t="b" cm="1">
        <f t="array" ref="R104">INDEX(stable[is_skip_logic],MATCH(VALUE(questions[[#This Row],[qno]]),VALUE(stable[qno]),0))</f>
        <v>1</v>
      </c>
      <c r="S104" s="77" t="str">
        <f>_xlfn.TEXTJOIN(", ",TRUE,questions[[#This Row],[ans_opt_1]:[ans_opt_14]])</f>
        <v>Coffee, Cropping, Livestock, Casual labor in agriculture, Casual labor off-farm, Other business, Salaried job, Pension, Remittances</v>
      </c>
      <c r="T104" s="77" t="s">
        <v>292</v>
      </c>
      <c r="U104" s="77" t="s">
        <v>293</v>
      </c>
      <c r="V104" s="77" t="s">
        <v>294</v>
      </c>
      <c r="W104" s="77" t="s">
        <v>295</v>
      </c>
      <c r="X104" s="77" t="s">
        <v>296</v>
      </c>
      <c r="Y104" s="77" t="s">
        <v>297</v>
      </c>
      <c r="Z104" s="77" t="s">
        <v>298</v>
      </c>
      <c r="AA104" s="77" t="s">
        <v>299</v>
      </c>
      <c r="AB104" s="77" t="s">
        <v>300</v>
      </c>
      <c r="AH104" s="98" t="b">
        <f>INDEX(stable[q_standard],MATCH(questions[[#This Row],[qno]],stable[qno],0))</f>
        <v>0</v>
      </c>
      <c r="AI104" s="98" t="b">
        <f>INDEX(stable[q_living_income],MATCH(questions[[#This Row],[qno]],stable[qno],0))</f>
        <v>1</v>
      </c>
      <c r="AJ104" s="98" t="b">
        <f>INDEX(stable[q_carbon],MATCH(questions[[#This Row],[qno]],stable[qno],0))</f>
        <v>0</v>
      </c>
      <c r="AK104" s="98" t="b">
        <f>INDEX(stable[q_regen_ag],MATCH(questions[[#This Row],[qno]],stable[qno],0))</f>
        <v>0</v>
      </c>
      <c r="AL104" s="98" t="b">
        <f>COUNTIFS(stable[qno],questions[[#This Row],[qno]])=1</f>
        <v>1</v>
      </c>
      <c r="AM104" s="98" t="b">
        <f>OR(questions[[#This Row],[is_fixed]],questions[[#This Row],[is_localized]],questions[[#This Row],[is_supply_chain_dependent]])</f>
        <v>1</v>
      </c>
      <c r="AN104" s="98" t="b">
        <f>COUNTIFS(questions[[#This Row],[is_automated]:[is_multi_select]],TRUE)=1</f>
        <v>1</v>
      </c>
      <c r="AO104" s="98" t="b">
        <f>IF(questions[[#This Row],[is_fixed]],questions[[#This Row],[question]]=INDEX(stable[question],MATCH(questions[[#This Row],[qno]],stable[qno],0)),TRUE)</f>
        <v>1</v>
      </c>
      <c r="AP104" s="98" t="str">
        <f>LEFT(questions[[#This Row],[question]],similarity_range)</f>
        <v>What are your source</v>
      </c>
      <c r="AQ104" s="98" t="str">
        <f>LEFT(INDEX(stable[question],MATCH(questions[[#This Row],[qno]],stable[qno],0)),similarity_range)</f>
        <v>What are your source</v>
      </c>
      <c r="AR104" s="98" t="b">
        <f>questions[[#This Row],[question_first_characters]]=questions[[#This Row],[stability_first_characters]]</f>
        <v>1</v>
      </c>
      <c r="AS104" s="98" t="b">
        <f>IF(OR(questions[[#This Row],[is_single_select]],questions[[#This Row],[is_multi_select]]),NOT(ISBLANK(questions[[#This Row],[answer_opt_combined]])),TRUE)</f>
        <v>1</v>
      </c>
    </row>
    <row r="105" spans="1:45" x14ac:dyDescent="0.25">
      <c r="A105" s="9" t="str">
        <f>_xlfn.TEXTJOIN("_",TRUE,questions[[#This Row],[origin]:[qno]])</f>
        <v>Indonesia_Arabica_west_java_impact_6501</v>
      </c>
      <c r="B105" s="9" t="s">
        <v>58</v>
      </c>
      <c r="C105" s="9" t="s">
        <v>59</v>
      </c>
      <c r="D105" s="9" t="s">
        <v>60</v>
      </c>
      <c r="F105" s="9" t="s">
        <v>301</v>
      </c>
      <c r="G105" s="9" t="s">
        <v>302</v>
      </c>
      <c r="H105" s="9" t="str" cm="1">
        <f t="array" ref="H105">INDEX(stableR[question],MATCH(VALUE(questions[[#This Row],[qno]]),VALUE(stableR[qno]),0))</f>
        <v>For each of the sources of income that you have, please estimate the importance in terms of income for last year, as compared to the total household income! (next questions)</v>
      </c>
      <c r="I105" s="9" t="b" cm="1">
        <f t="array" ref="I105">INDEX(stable[is_fixed],MATCH(VALUE(questions[[#This Row],[qno]]),VALUE(stable[qno]),0))</f>
        <v>1</v>
      </c>
      <c r="J105" s="9" t="b" cm="1">
        <f t="array" ref="J105">INDEX(stable[is_localized],MATCH(VALUE(questions[[#This Row],[qno]]),VALUE(stable[qno]),0))</f>
        <v>0</v>
      </c>
      <c r="K105" s="9" t="b" cm="1">
        <f t="array" ref="K105">INDEX(stable[is_supply_chain_dependent],MATCH(VALUE(questions[[#This Row],[qno]]),VALUE(stable[qno]),0))</f>
        <v>0</v>
      </c>
      <c r="L105" s="9" t="b" cm="1">
        <f t="array" ref="L105">INDEX(stable[is_mandatory],MATCH(VALUE(questions[[#This Row],[qno]]),VALUE(stable[qno]),0))</f>
        <v>1</v>
      </c>
      <c r="M105" s="9" t="b" cm="1">
        <f t="array" ref="M105">INDEX(stable[is_automated],MATCH(VALUE(questions[[#This Row],[qno]]),VALUE(stable[qno]),0))</f>
        <v>1</v>
      </c>
      <c r="N105" s="9" t="b" cm="1">
        <f t="array" ref="N105">INDEX(stable[is_free_text],MATCH(VALUE(questions[[#This Row],[qno]]),VALUE(stable[qno]),0))</f>
        <v>0</v>
      </c>
      <c r="O105" s="9" t="b" cm="1">
        <f t="array" ref="O105">INDEX(stable[is_numerical],MATCH(VALUE(questions[[#This Row],[qno]]),VALUE(stable[qno]),0))</f>
        <v>0</v>
      </c>
      <c r="P105" s="32" t="b" cm="1">
        <f t="array" ref="P105">INDEX(stable[is_single_select],MATCH(VALUE(questions[[#This Row],[qno]]),VALUE(stable[qno]),0))</f>
        <v>0</v>
      </c>
      <c r="Q105" s="9" t="b" cm="1">
        <f t="array" ref="Q105">INDEX(stable[is_multi_select],MATCH(VALUE(questions[[#This Row],[qno]]),VALUE(stable[qno]),0))</f>
        <v>0</v>
      </c>
      <c r="R105" s="9" t="b" cm="1">
        <f t="array" ref="R105">INDEX(stable[is_skip_logic],MATCH(VALUE(questions[[#This Row],[qno]]),VALUE(stable[qno]),0))</f>
        <v>0</v>
      </c>
      <c r="S105" s="9" t="str">
        <f>_xlfn.TEXTJOIN(", ",TRUE,questions[[#This Row],[ans_opt_1]:[ans_opt_14]])</f>
        <v/>
      </c>
      <c r="AH105" s="16" t="b">
        <f>INDEX(stable[q_standard],MATCH(questions[[#This Row],[qno]],stable[qno],0))</f>
        <v>0</v>
      </c>
      <c r="AI105" s="16" t="b">
        <f>INDEX(stable[q_living_income],MATCH(questions[[#This Row],[qno]],stable[qno],0))</f>
        <v>1</v>
      </c>
      <c r="AJ105" s="16" t="b">
        <f>INDEX(stable[q_carbon],MATCH(questions[[#This Row],[qno]],stable[qno],0))</f>
        <v>0</v>
      </c>
      <c r="AK105" s="16" t="b">
        <f>INDEX(stable[q_regen_ag],MATCH(questions[[#This Row],[qno]],stable[qno],0))</f>
        <v>0</v>
      </c>
      <c r="AL105" s="16" t="b">
        <f>COUNTIFS(stable[qno],questions[[#This Row],[qno]])=1</f>
        <v>1</v>
      </c>
      <c r="AM105" s="16" t="b">
        <f>OR(questions[[#This Row],[is_fixed]],questions[[#This Row],[is_localized]],questions[[#This Row],[is_supply_chain_dependent]])</f>
        <v>1</v>
      </c>
      <c r="AN105" s="16" t="b">
        <f>COUNTIFS(questions[[#This Row],[is_automated]:[is_multi_select]],TRUE)=1</f>
        <v>1</v>
      </c>
      <c r="AO105" s="16" t="b">
        <f>IF(questions[[#This Row],[is_fixed]],questions[[#This Row],[question]]=INDEX(stable[question],MATCH(questions[[#This Row],[qno]],stable[qno],0)),TRUE)</f>
        <v>0</v>
      </c>
      <c r="AP105" s="16" t="str">
        <f>LEFT(questions[[#This Row],[question]],similarity_range)</f>
        <v>For each of the sour</v>
      </c>
      <c r="AQ105" s="16" t="str">
        <f>LEFT(INDEX(stable[question],MATCH(questions[[#This Row],[qno]],stable[qno],0)),similarity_range)</f>
        <v>For each of the sour</v>
      </c>
      <c r="AR105" s="16" t="b">
        <f>questions[[#This Row],[question_first_characters]]=questions[[#This Row],[stability_first_characters]]</f>
        <v>1</v>
      </c>
      <c r="AS105" s="16" t="b">
        <f>IF(OR(questions[[#This Row],[is_single_select]],questions[[#This Row],[is_multi_select]]),NOT(ISBLANK(questions[[#This Row],[answer_opt_combined]])),TRUE)</f>
        <v>1</v>
      </c>
    </row>
    <row r="106" spans="1:45" s="77" customFormat="1" x14ac:dyDescent="0.25">
      <c r="A106" s="77" t="str">
        <f>_xlfn.TEXTJOIN("_",TRUE,questions[[#This Row],[origin]:[qno]])</f>
        <v>Indonesia_Arabica_west_java_impact_6510</v>
      </c>
      <c r="B106" s="77" t="s">
        <v>58</v>
      </c>
      <c r="C106" s="77" t="s">
        <v>59</v>
      </c>
      <c r="D106" s="77" t="s">
        <v>60</v>
      </c>
      <c r="F106" s="77" t="s">
        <v>303</v>
      </c>
      <c r="G106" s="77" t="s">
        <v>304</v>
      </c>
      <c r="H106" s="9" t="str" cm="1">
        <f t="array" ref="H106">INDEX(stableR[question],MATCH(VALUE(questions[[#This Row],[qno]]),VALUE(stableR[qno]),0))</f>
        <v>Coffee, what was the estimated importance?</v>
      </c>
      <c r="I106" s="9" t="b" cm="1">
        <f t="array" ref="I106">INDEX(stable[is_fixed],MATCH(VALUE(questions[[#This Row],[qno]]),VALUE(stable[qno]),0))</f>
        <v>1</v>
      </c>
      <c r="J106" s="9" t="b" cm="1">
        <f t="array" ref="J106">INDEX(stable[is_localized],MATCH(VALUE(questions[[#This Row],[qno]]),VALUE(stable[qno]),0))</f>
        <v>0</v>
      </c>
      <c r="K106" s="9" t="b" cm="1">
        <f t="array" ref="K106">INDEX(stable[is_supply_chain_dependent],MATCH(VALUE(questions[[#This Row],[qno]]),VALUE(stable[qno]),0))</f>
        <v>0</v>
      </c>
      <c r="L106" s="9" t="b" cm="1">
        <f t="array" ref="L106">INDEX(stable[is_mandatory],MATCH(VALUE(questions[[#This Row],[qno]]),VALUE(stable[qno]),0))</f>
        <v>0</v>
      </c>
      <c r="M106" s="9" t="b" cm="1">
        <f t="array" ref="M106">INDEX(stable[is_automated],MATCH(VALUE(questions[[#This Row],[qno]]),VALUE(stable[qno]),0))</f>
        <v>0</v>
      </c>
      <c r="N106" s="9" t="b" cm="1">
        <f t="array" ref="N106">INDEX(stable[is_free_text],MATCH(VALUE(questions[[#This Row],[qno]]),VALUE(stable[qno]),0))</f>
        <v>0</v>
      </c>
      <c r="O106" s="9" t="b" cm="1">
        <f t="array" ref="O106">INDEX(stable[is_numerical],MATCH(VALUE(questions[[#This Row],[qno]]),VALUE(stable[qno]),0))</f>
        <v>0</v>
      </c>
      <c r="P106" s="103" t="b" cm="1">
        <f t="array" ref="P106">INDEX(stable[is_single_select],MATCH(VALUE(questions[[#This Row],[qno]]),VALUE(stable[qno]),0))</f>
        <v>1</v>
      </c>
      <c r="Q106" s="77" t="b" cm="1">
        <f t="array" ref="Q106">INDEX(stable[is_multi_select],MATCH(VALUE(questions[[#This Row],[qno]]),VALUE(stable[qno]),0))</f>
        <v>0</v>
      </c>
      <c r="R106" s="77" t="b" cm="1">
        <f t="array" ref="R106">INDEX(stable[is_skip_logic],MATCH(VALUE(questions[[#This Row],[qno]]),VALUE(stable[qno]),0))</f>
        <v>0</v>
      </c>
      <c r="S106" s="77" t="str">
        <f>_xlfn.TEXTJOIN(", ",TRUE,questions[[#This Row],[ans_opt_1]:[ans_opt_14]])</f>
        <v>All or nearly all - 80-100%, More than half of it  - 60-80%, About half of it - 40-60%, Less than half of it - 20-40%, A small amount - 0-20%</v>
      </c>
      <c r="T106" s="77" t="s">
        <v>305</v>
      </c>
      <c r="U106" s="77" t="s">
        <v>306</v>
      </c>
      <c r="V106" s="77" t="s">
        <v>307</v>
      </c>
      <c r="W106" s="77" t="s">
        <v>308</v>
      </c>
      <c r="X106" s="77" t="s">
        <v>309</v>
      </c>
      <c r="AH106" s="98" t="b">
        <f>INDEX(stable[q_standard],MATCH(questions[[#This Row],[qno]],stable[qno],0))</f>
        <v>0</v>
      </c>
      <c r="AI106" s="98" t="b">
        <f>INDEX(stable[q_living_income],MATCH(questions[[#This Row],[qno]],stable[qno],0))</f>
        <v>1</v>
      </c>
      <c r="AJ106" s="98" t="b">
        <f>INDEX(stable[q_carbon],MATCH(questions[[#This Row],[qno]],stable[qno],0))</f>
        <v>0</v>
      </c>
      <c r="AK106" s="98" t="b">
        <f>INDEX(stable[q_regen_ag],MATCH(questions[[#This Row],[qno]],stable[qno],0))</f>
        <v>0</v>
      </c>
      <c r="AL106" s="98" t="b">
        <f>COUNTIFS(stable[qno],questions[[#This Row],[qno]])=1</f>
        <v>1</v>
      </c>
      <c r="AM106" s="98" t="b">
        <f>OR(questions[[#This Row],[is_fixed]],questions[[#This Row],[is_localized]],questions[[#This Row],[is_supply_chain_dependent]])</f>
        <v>1</v>
      </c>
      <c r="AN106" s="98" t="b">
        <f>COUNTIFS(questions[[#This Row],[is_automated]:[is_multi_select]],TRUE)=1</f>
        <v>1</v>
      </c>
      <c r="AO106" s="98" t="b">
        <f>IF(questions[[#This Row],[is_fixed]],questions[[#This Row],[question]]=INDEX(stable[question],MATCH(questions[[#This Row],[qno]],stable[qno],0)),TRUE)</f>
        <v>1</v>
      </c>
      <c r="AP106" s="98" t="str">
        <f>LEFT(questions[[#This Row],[question]],similarity_range)</f>
        <v>Coffee, what was the</v>
      </c>
      <c r="AQ106" s="98" t="str">
        <f>LEFT(INDEX(stable[question],MATCH(questions[[#This Row],[qno]],stable[qno],0)),similarity_range)</f>
        <v>Coffee, what was the</v>
      </c>
      <c r="AR106" s="98" t="b">
        <f>questions[[#This Row],[question_first_characters]]=questions[[#This Row],[stability_first_characters]]</f>
        <v>1</v>
      </c>
      <c r="AS106" s="98" t="b">
        <f>IF(OR(questions[[#This Row],[is_single_select]],questions[[#This Row],[is_multi_select]]),NOT(ISBLANK(questions[[#This Row],[answer_opt_combined]])),TRUE)</f>
        <v>1</v>
      </c>
    </row>
    <row r="107" spans="1:45" s="77" customFormat="1" x14ac:dyDescent="0.25">
      <c r="A107" s="77" t="str">
        <f>_xlfn.TEXTJOIN("_",TRUE,questions[[#This Row],[origin]:[qno]])</f>
        <v>Indonesia_Arabica_west_java_impact_6511</v>
      </c>
      <c r="B107" s="77" t="s">
        <v>58</v>
      </c>
      <c r="C107" s="77" t="s">
        <v>59</v>
      </c>
      <c r="D107" s="77" t="s">
        <v>60</v>
      </c>
      <c r="F107" s="77" t="s">
        <v>310</v>
      </c>
      <c r="G107" s="77" t="s">
        <v>311</v>
      </c>
      <c r="H107" s="9" t="str" cm="1">
        <f t="array" ref="H107">INDEX(stableR[question],MATCH(VALUE(questions[[#This Row],[qno]]),VALUE(stableR[qno]),0))</f>
        <v>Cropping other than coffee, what was the estimated importance?</v>
      </c>
      <c r="I107" s="9" t="b" cm="1">
        <f t="array" ref="I107">INDEX(stable[is_fixed],MATCH(VALUE(questions[[#This Row],[qno]]),VALUE(stable[qno]),0))</f>
        <v>1</v>
      </c>
      <c r="J107" s="9" t="b" cm="1">
        <f t="array" ref="J107">INDEX(stable[is_localized],MATCH(VALUE(questions[[#This Row],[qno]]),VALUE(stable[qno]),0))</f>
        <v>0</v>
      </c>
      <c r="K107" s="9" t="b" cm="1">
        <f t="array" ref="K107">INDEX(stable[is_supply_chain_dependent],MATCH(VALUE(questions[[#This Row],[qno]]),VALUE(stable[qno]),0))</f>
        <v>0</v>
      </c>
      <c r="L107" s="9" t="b" cm="1">
        <f t="array" ref="L107">INDEX(stable[is_mandatory],MATCH(VALUE(questions[[#This Row],[qno]]),VALUE(stable[qno]),0))</f>
        <v>0</v>
      </c>
      <c r="M107" s="9" t="b" cm="1">
        <f t="array" ref="M107">INDEX(stable[is_automated],MATCH(VALUE(questions[[#This Row],[qno]]),VALUE(stable[qno]),0))</f>
        <v>0</v>
      </c>
      <c r="N107" s="9" t="b" cm="1">
        <f t="array" ref="N107">INDEX(stable[is_free_text],MATCH(VALUE(questions[[#This Row],[qno]]),VALUE(stable[qno]),0))</f>
        <v>0</v>
      </c>
      <c r="O107" s="9" t="b" cm="1">
        <f t="array" ref="O107">INDEX(stable[is_numerical],MATCH(VALUE(questions[[#This Row],[qno]]),VALUE(stable[qno]),0))</f>
        <v>0</v>
      </c>
      <c r="P107" s="103" t="b" cm="1">
        <f t="array" ref="P107">INDEX(stable[is_single_select],MATCH(VALUE(questions[[#This Row],[qno]]),VALUE(stable[qno]),0))</f>
        <v>1</v>
      </c>
      <c r="Q107" s="77" t="b" cm="1">
        <f t="array" ref="Q107">INDEX(stable[is_multi_select],MATCH(VALUE(questions[[#This Row],[qno]]),VALUE(stable[qno]),0))</f>
        <v>0</v>
      </c>
      <c r="R107" s="77" t="b" cm="1">
        <f t="array" ref="R107">INDEX(stable[is_skip_logic],MATCH(VALUE(questions[[#This Row],[qno]]),VALUE(stable[qno]),0))</f>
        <v>0</v>
      </c>
      <c r="S107" s="77" t="str">
        <f>_xlfn.TEXTJOIN(", ",TRUE,questions[[#This Row],[ans_opt_1]:[ans_opt_14]])</f>
        <v>All or nearly all - 80-100%, More than half of it  - 60-80%, About half of it - 40-60%, Less than half of it - 20-40%, A small amount - 0-20%</v>
      </c>
      <c r="T107" s="77" t="s">
        <v>305</v>
      </c>
      <c r="U107" s="77" t="s">
        <v>306</v>
      </c>
      <c r="V107" s="77" t="s">
        <v>307</v>
      </c>
      <c r="W107" s="77" t="s">
        <v>308</v>
      </c>
      <c r="X107" s="77" t="s">
        <v>309</v>
      </c>
      <c r="AH107" s="98" t="b">
        <f>INDEX(stable[q_standard],MATCH(questions[[#This Row],[qno]],stable[qno],0))</f>
        <v>0</v>
      </c>
      <c r="AI107" s="98" t="b">
        <f>INDEX(stable[q_living_income],MATCH(questions[[#This Row],[qno]],stable[qno],0))</f>
        <v>1</v>
      </c>
      <c r="AJ107" s="98" t="b">
        <f>INDEX(stable[q_carbon],MATCH(questions[[#This Row],[qno]],stable[qno],0))</f>
        <v>0</v>
      </c>
      <c r="AK107" s="98" t="b">
        <f>INDEX(stable[q_regen_ag],MATCH(questions[[#This Row],[qno]],stable[qno],0))</f>
        <v>0</v>
      </c>
      <c r="AL107" s="98" t="b">
        <f>COUNTIFS(stable[qno],questions[[#This Row],[qno]])=1</f>
        <v>1</v>
      </c>
      <c r="AM107" s="98" t="b">
        <f>OR(questions[[#This Row],[is_fixed]],questions[[#This Row],[is_localized]],questions[[#This Row],[is_supply_chain_dependent]])</f>
        <v>1</v>
      </c>
      <c r="AN107" s="98" t="b">
        <f>COUNTIFS(questions[[#This Row],[is_automated]:[is_multi_select]],TRUE)=1</f>
        <v>1</v>
      </c>
      <c r="AO107" s="98" t="b">
        <f>IF(questions[[#This Row],[is_fixed]],questions[[#This Row],[question]]=INDEX(stable[question],MATCH(questions[[#This Row],[qno]],stable[qno],0)),TRUE)</f>
        <v>1</v>
      </c>
      <c r="AP107" s="98" t="str">
        <f>LEFT(questions[[#This Row],[question]],similarity_range)</f>
        <v xml:space="preserve">Cropping other than </v>
      </c>
      <c r="AQ107" s="98" t="str">
        <f>LEFT(INDEX(stable[question],MATCH(questions[[#This Row],[qno]],stable[qno],0)),similarity_range)</f>
        <v xml:space="preserve">Cropping other than </v>
      </c>
      <c r="AR107" s="98" t="b">
        <f>questions[[#This Row],[question_first_characters]]=questions[[#This Row],[stability_first_characters]]</f>
        <v>1</v>
      </c>
      <c r="AS107" s="98" t="b">
        <f>IF(OR(questions[[#This Row],[is_single_select]],questions[[#This Row],[is_multi_select]]),NOT(ISBLANK(questions[[#This Row],[answer_opt_combined]])),TRUE)</f>
        <v>1</v>
      </c>
    </row>
    <row r="108" spans="1:45" s="77" customFormat="1" x14ac:dyDescent="0.25">
      <c r="A108" s="77" t="str">
        <f>_xlfn.TEXTJOIN("_",TRUE,questions[[#This Row],[origin]:[qno]])</f>
        <v>Indonesia_Arabica_west_java_impact_6512</v>
      </c>
      <c r="B108" s="77" t="s">
        <v>58</v>
      </c>
      <c r="C108" s="77" t="s">
        <v>59</v>
      </c>
      <c r="D108" s="77" t="s">
        <v>60</v>
      </c>
      <c r="F108" s="77" t="s">
        <v>312</v>
      </c>
      <c r="G108" s="77" t="s">
        <v>313</v>
      </c>
      <c r="H108" s="9" t="str" cm="1">
        <f t="array" ref="H108">INDEX(stableR[question],MATCH(VALUE(questions[[#This Row],[qno]]),VALUE(stableR[qno]),0))</f>
        <v>Livestock, what was the estimated importance?</v>
      </c>
      <c r="I108" s="9" t="b" cm="1">
        <f t="array" ref="I108">INDEX(stable[is_fixed],MATCH(VALUE(questions[[#This Row],[qno]]),VALUE(stable[qno]),0))</f>
        <v>1</v>
      </c>
      <c r="J108" s="9" t="b" cm="1">
        <f t="array" ref="J108">INDEX(stable[is_localized],MATCH(VALUE(questions[[#This Row],[qno]]),VALUE(stable[qno]),0))</f>
        <v>0</v>
      </c>
      <c r="K108" s="9" t="b" cm="1">
        <f t="array" ref="K108">INDEX(stable[is_supply_chain_dependent],MATCH(VALUE(questions[[#This Row],[qno]]),VALUE(stable[qno]),0))</f>
        <v>0</v>
      </c>
      <c r="L108" s="9" t="b" cm="1">
        <f t="array" ref="L108">INDEX(stable[is_mandatory],MATCH(VALUE(questions[[#This Row],[qno]]),VALUE(stable[qno]),0))</f>
        <v>0</v>
      </c>
      <c r="M108" s="9" t="b" cm="1">
        <f t="array" ref="M108">INDEX(stable[is_automated],MATCH(VALUE(questions[[#This Row],[qno]]),VALUE(stable[qno]),0))</f>
        <v>0</v>
      </c>
      <c r="N108" s="9" t="b" cm="1">
        <f t="array" ref="N108">INDEX(stable[is_free_text],MATCH(VALUE(questions[[#This Row],[qno]]),VALUE(stable[qno]),0))</f>
        <v>0</v>
      </c>
      <c r="O108" s="9" t="b" cm="1">
        <f t="array" ref="O108">INDEX(stable[is_numerical],MATCH(VALUE(questions[[#This Row],[qno]]),VALUE(stable[qno]),0))</f>
        <v>0</v>
      </c>
      <c r="P108" s="103" t="b" cm="1">
        <f t="array" ref="P108">INDEX(stable[is_single_select],MATCH(VALUE(questions[[#This Row],[qno]]),VALUE(stable[qno]),0))</f>
        <v>1</v>
      </c>
      <c r="Q108" s="77" t="b" cm="1">
        <f t="array" ref="Q108">INDEX(stable[is_multi_select],MATCH(VALUE(questions[[#This Row],[qno]]),VALUE(stable[qno]),0))</f>
        <v>0</v>
      </c>
      <c r="R108" s="77" t="b" cm="1">
        <f t="array" ref="R108">INDEX(stable[is_skip_logic],MATCH(VALUE(questions[[#This Row],[qno]]),VALUE(stable[qno]),0))</f>
        <v>0</v>
      </c>
      <c r="S108" s="77" t="str">
        <f>_xlfn.TEXTJOIN(", ",TRUE,questions[[#This Row],[ans_opt_1]:[ans_opt_14]])</f>
        <v>All or nearly all - 80-100%, More than half of it  - 60-80%, About half of it - 40-60%, Less than half of it - 20-40%, A small amount - 0-20%</v>
      </c>
      <c r="T108" s="77" t="s">
        <v>305</v>
      </c>
      <c r="U108" s="77" t="s">
        <v>306</v>
      </c>
      <c r="V108" s="77" t="s">
        <v>307</v>
      </c>
      <c r="W108" s="77" t="s">
        <v>308</v>
      </c>
      <c r="X108" s="77" t="s">
        <v>309</v>
      </c>
      <c r="AH108" s="98" t="b">
        <f>INDEX(stable[q_standard],MATCH(questions[[#This Row],[qno]],stable[qno],0))</f>
        <v>0</v>
      </c>
      <c r="AI108" s="98" t="b">
        <f>INDEX(stable[q_living_income],MATCH(questions[[#This Row],[qno]],stable[qno],0))</f>
        <v>1</v>
      </c>
      <c r="AJ108" s="98" t="b">
        <f>INDEX(stable[q_carbon],MATCH(questions[[#This Row],[qno]],stable[qno],0))</f>
        <v>0</v>
      </c>
      <c r="AK108" s="98" t="b">
        <f>INDEX(stable[q_regen_ag],MATCH(questions[[#This Row],[qno]],stable[qno],0))</f>
        <v>0</v>
      </c>
      <c r="AL108" s="98" t="b">
        <f>COUNTIFS(stable[qno],questions[[#This Row],[qno]])=1</f>
        <v>1</v>
      </c>
      <c r="AM108" s="98" t="b">
        <f>OR(questions[[#This Row],[is_fixed]],questions[[#This Row],[is_localized]],questions[[#This Row],[is_supply_chain_dependent]])</f>
        <v>1</v>
      </c>
      <c r="AN108" s="98" t="b">
        <f>COUNTIFS(questions[[#This Row],[is_automated]:[is_multi_select]],TRUE)=1</f>
        <v>1</v>
      </c>
      <c r="AO108" s="98" t="b">
        <f>IF(questions[[#This Row],[is_fixed]],questions[[#This Row],[question]]=INDEX(stable[question],MATCH(questions[[#This Row],[qno]],stable[qno],0)),TRUE)</f>
        <v>1</v>
      </c>
      <c r="AP108" s="98" t="str">
        <f>LEFT(questions[[#This Row],[question]],similarity_range)</f>
        <v xml:space="preserve">Livestock, what was </v>
      </c>
      <c r="AQ108" s="98" t="str">
        <f>LEFT(INDEX(stable[question],MATCH(questions[[#This Row],[qno]],stable[qno],0)),similarity_range)</f>
        <v xml:space="preserve">Livestock, what was </v>
      </c>
      <c r="AR108" s="98" t="b">
        <f>questions[[#This Row],[question_first_characters]]=questions[[#This Row],[stability_first_characters]]</f>
        <v>1</v>
      </c>
      <c r="AS108" s="98" t="b">
        <f>IF(OR(questions[[#This Row],[is_single_select]],questions[[#This Row],[is_multi_select]]),NOT(ISBLANK(questions[[#This Row],[answer_opt_combined]])),TRUE)</f>
        <v>1</v>
      </c>
    </row>
    <row r="109" spans="1:45" s="77" customFormat="1" x14ac:dyDescent="0.25">
      <c r="A109" s="77" t="str">
        <f>_xlfn.TEXTJOIN("_",TRUE,questions[[#This Row],[origin]:[qno]])</f>
        <v>Indonesia_Arabica_west_java_impact_6513</v>
      </c>
      <c r="B109" s="77" t="s">
        <v>58</v>
      </c>
      <c r="C109" s="77" t="s">
        <v>59</v>
      </c>
      <c r="D109" s="77" t="s">
        <v>60</v>
      </c>
      <c r="F109" s="77" t="s">
        <v>314</v>
      </c>
      <c r="G109" s="77" t="s">
        <v>315</v>
      </c>
      <c r="H109" s="9" t="str" cm="1">
        <f t="array" ref="H109">INDEX(stableR[question],MATCH(VALUE(questions[[#This Row],[qno]]),VALUE(stableR[qno]),0))</f>
        <v>Casual labor on other peoples farm, what was the estimated importance?</v>
      </c>
      <c r="I109" s="9" t="b" cm="1">
        <f t="array" ref="I109">INDEX(stable[is_fixed],MATCH(VALUE(questions[[#This Row],[qno]]),VALUE(stable[qno]),0))</f>
        <v>1</v>
      </c>
      <c r="J109" s="9" t="b" cm="1">
        <f t="array" ref="J109">INDEX(stable[is_localized],MATCH(VALUE(questions[[#This Row],[qno]]),VALUE(stable[qno]),0))</f>
        <v>0</v>
      </c>
      <c r="K109" s="9" t="b" cm="1">
        <f t="array" ref="K109">INDEX(stable[is_supply_chain_dependent],MATCH(VALUE(questions[[#This Row],[qno]]),VALUE(stable[qno]),0))</f>
        <v>0</v>
      </c>
      <c r="L109" s="9" t="b" cm="1">
        <f t="array" ref="L109">INDEX(stable[is_mandatory],MATCH(VALUE(questions[[#This Row],[qno]]),VALUE(stable[qno]),0))</f>
        <v>0</v>
      </c>
      <c r="M109" s="9" t="b" cm="1">
        <f t="array" ref="M109">INDEX(stable[is_automated],MATCH(VALUE(questions[[#This Row],[qno]]),VALUE(stable[qno]),0))</f>
        <v>0</v>
      </c>
      <c r="N109" s="9" t="b" cm="1">
        <f t="array" ref="N109">INDEX(stable[is_free_text],MATCH(VALUE(questions[[#This Row],[qno]]),VALUE(stable[qno]),0))</f>
        <v>0</v>
      </c>
      <c r="O109" s="9" t="b" cm="1">
        <f t="array" ref="O109">INDEX(stable[is_numerical],MATCH(VALUE(questions[[#This Row],[qno]]),VALUE(stable[qno]),0))</f>
        <v>0</v>
      </c>
      <c r="P109" s="103" t="b" cm="1">
        <f t="array" ref="P109">INDEX(stable[is_single_select],MATCH(VALUE(questions[[#This Row],[qno]]),VALUE(stable[qno]),0))</f>
        <v>1</v>
      </c>
      <c r="Q109" s="77" t="b" cm="1">
        <f t="array" ref="Q109">INDEX(stable[is_multi_select],MATCH(VALUE(questions[[#This Row],[qno]]),VALUE(stable[qno]),0))</f>
        <v>0</v>
      </c>
      <c r="R109" s="77" t="b" cm="1">
        <f t="array" ref="R109">INDEX(stable[is_skip_logic],MATCH(VALUE(questions[[#This Row],[qno]]),VALUE(stable[qno]),0))</f>
        <v>0</v>
      </c>
      <c r="S109" s="77" t="str">
        <f>_xlfn.TEXTJOIN(", ",TRUE,questions[[#This Row],[ans_opt_1]:[ans_opt_14]])</f>
        <v>All or nearly all - 80-100%, More than half of it  - 60-80%, About half of it - 40-60%, Less than half of it - 20-40%, A small amount - 0-20%</v>
      </c>
      <c r="T109" s="77" t="s">
        <v>305</v>
      </c>
      <c r="U109" s="77" t="s">
        <v>306</v>
      </c>
      <c r="V109" s="77" t="s">
        <v>307</v>
      </c>
      <c r="W109" s="77" t="s">
        <v>308</v>
      </c>
      <c r="X109" s="77" t="s">
        <v>309</v>
      </c>
      <c r="AH109" s="98" t="b">
        <f>INDEX(stable[q_standard],MATCH(questions[[#This Row],[qno]],stable[qno],0))</f>
        <v>0</v>
      </c>
      <c r="AI109" s="98" t="b">
        <f>INDEX(stable[q_living_income],MATCH(questions[[#This Row],[qno]],stable[qno],0))</f>
        <v>1</v>
      </c>
      <c r="AJ109" s="98" t="b">
        <f>INDEX(stable[q_carbon],MATCH(questions[[#This Row],[qno]],stable[qno],0))</f>
        <v>0</v>
      </c>
      <c r="AK109" s="98" t="b">
        <f>INDEX(stable[q_regen_ag],MATCH(questions[[#This Row],[qno]],stable[qno],0))</f>
        <v>0</v>
      </c>
      <c r="AL109" s="98" t="b">
        <f>COUNTIFS(stable[qno],questions[[#This Row],[qno]])=1</f>
        <v>1</v>
      </c>
      <c r="AM109" s="98" t="b">
        <f>OR(questions[[#This Row],[is_fixed]],questions[[#This Row],[is_localized]],questions[[#This Row],[is_supply_chain_dependent]])</f>
        <v>1</v>
      </c>
      <c r="AN109" s="98" t="b">
        <f>COUNTIFS(questions[[#This Row],[is_automated]:[is_multi_select]],TRUE)=1</f>
        <v>1</v>
      </c>
      <c r="AO109" s="98" t="b">
        <f>IF(questions[[#This Row],[is_fixed]],questions[[#This Row],[question]]=INDEX(stable[question],MATCH(questions[[#This Row],[qno]],stable[qno],0)),TRUE)</f>
        <v>1</v>
      </c>
      <c r="AP109" s="98" t="str">
        <f>LEFT(questions[[#This Row],[question]],similarity_range)</f>
        <v>Casual labor on othe</v>
      </c>
      <c r="AQ109" s="98" t="str">
        <f>LEFT(INDEX(stable[question],MATCH(questions[[#This Row],[qno]],stable[qno],0)),similarity_range)</f>
        <v>Casual labor on othe</v>
      </c>
      <c r="AR109" s="98" t="b">
        <f>questions[[#This Row],[question_first_characters]]=questions[[#This Row],[stability_first_characters]]</f>
        <v>1</v>
      </c>
      <c r="AS109" s="98" t="b">
        <f>IF(OR(questions[[#This Row],[is_single_select]],questions[[#This Row],[is_multi_select]]),NOT(ISBLANK(questions[[#This Row],[answer_opt_combined]])),TRUE)</f>
        <v>1</v>
      </c>
    </row>
    <row r="110" spans="1:45" s="77" customFormat="1" x14ac:dyDescent="0.25">
      <c r="A110" s="77" t="str">
        <f>_xlfn.TEXTJOIN("_",TRUE,questions[[#This Row],[origin]:[qno]])</f>
        <v>Indonesia_Arabica_west_java_impact_6514</v>
      </c>
      <c r="B110" s="77" t="s">
        <v>58</v>
      </c>
      <c r="C110" s="77" t="s">
        <v>59</v>
      </c>
      <c r="D110" s="77" t="s">
        <v>60</v>
      </c>
      <c r="F110" s="77" t="s">
        <v>316</v>
      </c>
      <c r="G110" s="77" t="s">
        <v>317</v>
      </c>
      <c r="H110" s="9" t="str" cm="1">
        <f t="array" ref="H110">INDEX(stableR[question],MATCH(VALUE(questions[[#This Row],[qno]]),VALUE(stableR[qno]),0))</f>
        <v>Casual labor off-farm, what was the estimated importance?</v>
      </c>
      <c r="I110" s="9" t="b" cm="1">
        <f t="array" ref="I110">INDEX(stable[is_fixed],MATCH(VALUE(questions[[#This Row],[qno]]),VALUE(stable[qno]),0))</f>
        <v>1</v>
      </c>
      <c r="J110" s="9" t="b" cm="1">
        <f t="array" ref="J110">INDEX(stable[is_localized],MATCH(VALUE(questions[[#This Row],[qno]]),VALUE(stable[qno]),0))</f>
        <v>0</v>
      </c>
      <c r="K110" s="9" t="b" cm="1">
        <f t="array" ref="K110">INDEX(stable[is_supply_chain_dependent],MATCH(VALUE(questions[[#This Row],[qno]]),VALUE(stable[qno]),0))</f>
        <v>0</v>
      </c>
      <c r="L110" s="9" t="b" cm="1">
        <f t="array" ref="L110">INDEX(stable[is_mandatory],MATCH(VALUE(questions[[#This Row],[qno]]),VALUE(stable[qno]),0))</f>
        <v>0</v>
      </c>
      <c r="M110" s="9" t="b" cm="1">
        <f t="array" ref="M110">INDEX(stable[is_automated],MATCH(VALUE(questions[[#This Row],[qno]]),VALUE(stable[qno]),0))</f>
        <v>0</v>
      </c>
      <c r="N110" s="9" t="b" cm="1">
        <f t="array" ref="N110">INDEX(stable[is_free_text],MATCH(VALUE(questions[[#This Row],[qno]]),VALUE(stable[qno]),0))</f>
        <v>0</v>
      </c>
      <c r="O110" s="9" t="b" cm="1">
        <f t="array" ref="O110">INDEX(stable[is_numerical],MATCH(VALUE(questions[[#This Row],[qno]]),VALUE(stable[qno]),0))</f>
        <v>0</v>
      </c>
      <c r="P110" s="103" t="b" cm="1">
        <f t="array" ref="P110">INDEX(stable[is_single_select],MATCH(VALUE(questions[[#This Row],[qno]]),VALUE(stable[qno]),0))</f>
        <v>1</v>
      </c>
      <c r="Q110" s="77" t="b" cm="1">
        <f t="array" ref="Q110">INDEX(stable[is_multi_select],MATCH(VALUE(questions[[#This Row],[qno]]),VALUE(stable[qno]),0))</f>
        <v>0</v>
      </c>
      <c r="R110" s="77" t="b" cm="1">
        <f t="array" ref="R110">INDEX(stable[is_skip_logic],MATCH(VALUE(questions[[#This Row],[qno]]),VALUE(stable[qno]),0))</f>
        <v>0</v>
      </c>
      <c r="S110" s="77" t="str">
        <f>_xlfn.TEXTJOIN(", ",TRUE,questions[[#This Row],[ans_opt_1]:[ans_opt_14]])</f>
        <v>All or nearly all - 80-100%, More than half of it  - 60-80%, About half of it - 40-60%, Less than half of it - 20-40%, A small amount - 0-20%</v>
      </c>
      <c r="T110" s="77" t="s">
        <v>305</v>
      </c>
      <c r="U110" s="77" t="s">
        <v>306</v>
      </c>
      <c r="V110" s="77" t="s">
        <v>307</v>
      </c>
      <c r="W110" s="77" t="s">
        <v>308</v>
      </c>
      <c r="X110" s="77" t="s">
        <v>309</v>
      </c>
      <c r="AH110" s="98" t="b">
        <f>INDEX(stable[q_standard],MATCH(questions[[#This Row],[qno]],stable[qno],0))</f>
        <v>0</v>
      </c>
      <c r="AI110" s="98" t="b">
        <f>INDEX(stable[q_living_income],MATCH(questions[[#This Row],[qno]],stable[qno],0))</f>
        <v>1</v>
      </c>
      <c r="AJ110" s="98" t="b">
        <f>INDEX(stable[q_carbon],MATCH(questions[[#This Row],[qno]],stable[qno],0))</f>
        <v>0</v>
      </c>
      <c r="AK110" s="98" t="b">
        <f>INDEX(stable[q_regen_ag],MATCH(questions[[#This Row],[qno]],stable[qno],0))</f>
        <v>0</v>
      </c>
      <c r="AL110" s="98" t="b">
        <f>COUNTIFS(stable[qno],questions[[#This Row],[qno]])=1</f>
        <v>1</v>
      </c>
      <c r="AM110" s="98" t="b">
        <f>OR(questions[[#This Row],[is_fixed]],questions[[#This Row],[is_localized]],questions[[#This Row],[is_supply_chain_dependent]])</f>
        <v>1</v>
      </c>
      <c r="AN110" s="98" t="b">
        <f>COUNTIFS(questions[[#This Row],[is_automated]:[is_multi_select]],TRUE)=1</f>
        <v>1</v>
      </c>
      <c r="AO110" s="98" t="b">
        <f>IF(questions[[#This Row],[is_fixed]],questions[[#This Row],[question]]=INDEX(stable[question],MATCH(questions[[#This Row],[qno]],stable[qno],0)),TRUE)</f>
        <v>1</v>
      </c>
      <c r="AP110" s="98" t="str">
        <f>LEFT(questions[[#This Row],[question]],similarity_range)</f>
        <v>Casual labor off-far</v>
      </c>
      <c r="AQ110" s="98" t="str">
        <f>LEFT(INDEX(stable[question],MATCH(questions[[#This Row],[qno]],stable[qno],0)),similarity_range)</f>
        <v>Casual labor off-far</v>
      </c>
      <c r="AR110" s="98" t="b">
        <f>questions[[#This Row],[question_first_characters]]=questions[[#This Row],[stability_first_characters]]</f>
        <v>1</v>
      </c>
      <c r="AS110" s="98" t="b">
        <f>IF(OR(questions[[#This Row],[is_single_select]],questions[[#This Row],[is_multi_select]]),NOT(ISBLANK(questions[[#This Row],[answer_opt_combined]])),TRUE)</f>
        <v>1</v>
      </c>
    </row>
    <row r="111" spans="1:45" s="77" customFormat="1" x14ac:dyDescent="0.25">
      <c r="A111" s="77" t="str">
        <f>_xlfn.TEXTJOIN("_",TRUE,questions[[#This Row],[origin]:[qno]])</f>
        <v>Indonesia_Arabica_west_java_impact_6515</v>
      </c>
      <c r="B111" s="77" t="s">
        <v>58</v>
      </c>
      <c r="C111" s="77" t="s">
        <v>59</v>
      </c>
      <c r="D111" s="77" t="s">
        <v>60</v>
      </c>
      <c r="F111" s="77" t="s">
        <v>318</v>
      </c>
      <c r="G111" s="77" t="s">
        <v>319</v>
      </c>
      <c r="H111" s="9" t="str" cm="1">
        <f t="array" ref="H111">INDEX(stableR[question],MATCH(VALUE(questions[[#This Row],[qno]]),VALUE(stableR[qno]),0))</f>
        <v>Other business, what was the estimated importance?</v>
      </c>
      <c r="I111" s="9" t="b" cm="1">
        <f t="array" ref="I111">INDEX(stable[is_fixed],MATCH(VALUE(questions[[#This Row],[qno]]),VALUE(stable[qno]),0))</f>
        <v>1</v>
      </c>
      <c r="J111" s="9" t="b" cm="1">
        <f t="array" ref="J111">INDEX(stable[is_localized],MATCH(VALUE(questions[[#This Row],[qno]]),VALUE(stable[qno]),0))</f>
        <v>0</v>
      </c>
      <c r="K111" s="9" t="b" cm="1">
        <f t="array" ref="K111">INDEX(stable[is_supply_chain_dependent],MATCH(VALUE(questions[[#This Row],[qno]]),VALUE(stable[qno]),0))</f>
        <v>0</v>
      </c>
      <c r="L111" s="9" t="b" cm="1">
        <f t="array" ref="L111">INDEX(stable[is_mandatory],MATCH(VALUE(questions[[#This Row],[qno]]),VALUE(stable[qno]),0))</f>
        <v>0</v>
      </c>
      <c r="M111" s="9" t="b" cm="1">
        <f t="array" ref="M111">INDEX(stable[is_automated],MATCH(VALUE(questions[[#This Row],[qno]]),VALUE(stable[qno]),0))</f>
        <v>0</v>
      </c>
      <c r="N111" s="9" t="b" cm="1">
        <f t="array" ref="N111">INDEX(stable[is_free_text],MATCH(VALUE(questions[[#This Row],[qno]]),VALUE(stable[qno]),0))</f>
        <v>0</v>
      </c>
      <c r="O111" s="9" t="b" cm="1">
        <f t="array" ref="O111">INDEX(stable[is_numerical],MATCH(VALUE(questions[[#This Row],[qno]]),VALUE(stable[qno]),0))</f>
        <v>0</v>
      </c>
      <c r="P111" s="103" t="b" cm="1">
        <f t="array" ref="P111">INDEX(stable[is_single_select],MATCH(VALUE(questions[[#This Row],[qno]]),VALUE(stable[qno]),0))</f>
        <v>1</v>
      </c>
      <c r="Q111" s="77" t="b" cm="1">
        <f t="array" ref="Q111">INDEX(stable[is_multi_select],MATCH(VALUE(questions[[#This Row],[qno]]),VALUE(stable[qno]),0))</f>
        <v>0</v>
      </c>
      <c r="R111" s="77" t="b" cm="1">
        <f t="array" ref="R111">INDEX(stable[is_skip_logic],MATCH(VALUE(questions[[#This Row],[qno]]),VALUE(stable[qno]),0))</f>
        <v>0</v>
      </c>
      <c r="S111" s="77" t="str">
        <f>_xlfn.TEXTJOIN(", ",TRUE,questions[[#This Row],[ans_opt_1]:[ans_opt_14]])</f>
        <v>All or nearly all - 80-100%, More than half of it  - 60-80%, About half of it - 40-60%, Less than half of it - 20-40%, A small amount - 0-20%</v>
      </c>
      <c r="T111" s="77" t="s">
        <v>305</v>
      </c>
      <c r="U111" s="77" t="s">
        <v>306</v>
      </c>
      <c r="V111" s="77" t="s">
        <v>307</v>
      </c>
      <c r="W111" s="77" t="s">
        <v>308</v>
      </c>
      <c r="X111" s="77" t="s">
        <v>309</v>
      </c>
      <c r="AH111" s="98" t="b">
        <f>INDEX(stable[q_standard],MATCH(questions[[#This Row],[qno]],stable[qno],0))</f>
        <v>0</v>
      </c>
      <c r="AI111" s="98" t="b">
        <f>INDEX(stable[q_living_income],MATCH(questions[[#This Row],[qno]],stable[qno],0))</f>
        <v>1</v>
      </c>
      <c r="AJ111" s="98" t="b">
        <f>INDEX(stable[q_carbon],MATCH(questions[[#This Row],[qno]],stable[qno],0))</f>
        <v>0</v>
      </c>
      <c r="AK111" s="98" t="b">
        <f>INDEX(stable[q_regen_ag],MATCH(questions[[#This Row],[qno]],stable[qno],0))</f>
        <v>0</v>
      </c>
      <c r="AL111" s="98" t="b">
        <f>COUNTIFS(stable[qno],questions[[#This Row],[qno]])=1</f>
        <v>1</v>
      </c>
      <c r="AM111" s="98" t="b">
        <f>OR(questions[[#This Row],[is_fixed]],questions[[#This Row],[is_localized]],questions[[#This Row],[is_supply_chain_dependent]])</f>
        <v>1</v>
      </c>
      <c r="AN111" s="98" t="b">
        <f>COUNTIFS(questions[[#This Row],[is_automated]:[is_multi_select]],TRUE)=1</f>
        <v>1</v>
      </c>
      <c r="AO111" s="98" t="b">
        <f>IF(questions[[#This Row],[is_fixed]],questions[[#This Row],[question]]=INDEX(stable[question],MATCH(questions[[#This Row],[qno]],stable[qno],0)),TRUE)</f>
        <v>1</v>
      </c>
      <c r="AP111" s="98" t="str">
        <f>LEFT(questions[[#This Row],[question]],similarity_range)</f>
        <v>Other business, what</v>
      </c>
      <c r="AQ111" s="98" t="str">
        <f>LEFT(INDEX(stable[question],MATCH(questions[[#This Row],[qno]],stable[qno],0)),similarity_range)</f>
        <v>Other business, what</v>
      </c>
      <c r="AR111" s="98" t="b">
        <f>questions[[#This Row],[question_first_characters]]=questions[[#This Row],[stability_first_characters]]</f>
        <v>1</v>
      </c>
      <c r="AS111" s="98" t="b">
        <f>IF(OR(questions[[#This Row],[is_single_select]],questions[[#This Row],[is_multi_select]]),NOT(ISBLANK(questions[[#This Row],[answer_opt_combined]])),TRUE)</f>
        <v>1</v>
      </c>
    </row>
    <row r="112" spans="1:45" s="77" customFormat="1" x14ac:dyDescent="0.25">
      <c r="A112" s="77" t="str">
        <f>_xlfn.TEXTJOIN("_",TRUE,questions[[#This Row],[origin]:[qno]])</f>
        <v>Indonesia_Arabica_west_java_impact_6516</v>
      </c>
      <c r="B112" s="77" t="s">
        <v>58</v>
      </c>
      <c r="C112" s="77" t="s">
        <v>59</v>
      </c>
      <c r="D112" s="77" t="s">
        <v>60</v>
      </c>
      <c r="F112" s="77" t="s">
        <v>320</v>
      </c>
      <c r="G112" s="77" t="s">
        <v>321</v>
      </c>
      <c r="H112" s="9" t="str" cm="1">
        <f t="array" ref="H112">INDEX(stableR[question],MATCH(VALUE(questions[[#This Row],[qno]]),VALUE(stableR[qno]),0))</f>
        <v>Salaried job, what was the estimated importance?</v>
      </c>
      <c r="I112" s="9" t="b" cm="1">
        <f t="array" ref="I112">INDEX(stable[is_fixed],MATCH(VALUE(questions[[#This Row],[qno]]),VALUE(stable[qno]),0))</f>
        <v>1</v>
      </c>
      <c r="J112" s="9" t="b" cm="1">
        <f t="array" ref="J112">INDEX(stable[is_localized],MATCH(VALUE(questions[[#This Row],[qno]]),VALUE(stable[qno]),0))</f>
        <v>0</v>
      </c>
      <c r="K112" s="9" t="b" cm="1">
        <f t="array" ref="K112">INDEX(stable[is_supply_chain_dependent],MATCH(VALUE(questions[[#This Row],[qno]]),VALUE(stable[qno]),0))</f>
        <v>0</v>
      </c>
      <c r="L112" s="9" t="b" cm="1">
        <f t="array" ref="L112">INDEX(stable[is_mandatory],MATCH(VALUE(questions[[#This Row],[qno]]),VALUE(stable[qno]),0))</f>
        <v>0</v>
      </c>
      <c r="M112" s="9" t="b" cm="1">
        <f t="array" ref="M112">INDEX(stable[is_automated],MATCH(VALUE(questions[[#This Row],[qno]]),VALUE(stable[qno]),0))</f>
        <v>0</v>
      </c>
      <c r="N112" s="9" t="b" cm="1">
        <f t="array" ref="N112">INDEX(stable[is_free_text],MATCH(VALUE(questions[[#This Row],[qno]]),VALUE(stable[qno]),0))</f>
        <v>0</v>
      </c>
      <c r="O112" s="9" t="b" cm="1">
        <f t="array" ref="O112">INDEX(stable[is_numerical],MATCH(VALUE(questions[[#This Row],[qno]]),VALUE(stable[qno]),0))</f>
        <v>0</v>
      </c>
      <c r="P112" s="103" t="b" cm="1">
        <f t="array" ref="P112">INDEX(stable[is_single_select],MATCH(VALUE(questions[[#This Row],[qno]]),VALUE(stable[qno]),0))</f>
        <v>1</v>
      </c>
      <c r="Q112" s="77" t="b" cm="1">
        <f t="array" ref="Q112">INDEX(stable[is_multi_select],MATCH(VALUE(questions[[#This Row],[qno]]),VALUE(stable[qno]),0))</f>
        <v>0</v>
      </c>
      <c r="R112" s="77" t="b" cm="1">
        <f t="array" ref="R112">INDEX(stable[is_skip_logic],MATCH(VALUE(questions[[#This Row],[qno]]),VALUE(stable[qno]),0))</f>
        <v>0</v>
      </c>
      <c r="S112" s="77" t="str">
        <f>_xlfn.TEXTJOIN(", ",TRUE,questions[[#This Row],[ans_opt_1]:[ans_opt_14]])</f>
        <v>All or nearly all - 80-100%, More than half of it  - 60-80%, About half of it - 40-60%, Less than half of it - 20-40%, A small amount - 0-20%</v>
      </c>
      <c r="T112" s="77" t="s">
        <v>305</v>
      </c>
      <c r="U112" s="77" t="s">
        <v>306</v>
      </c>
      <c r="V112" s="77" t="s">
        <v>307</v>
      </c>
      <c r="W112" s="77" t="s">
        <v>308</v>
      </c>
      <c r="X112" s="77" t="s">
        <v>309</v>
      </c>
      <c r="AH112" s="98" t="b">
        <f>INDEX(stable[q_standard],MATCH(questions[[#This Row],[qno]],stable[qno],0))</f>
        <v>0</v>
      </c>
      <c r="AI112" s="98" t="b">
        <f>INDEX(stable[q_living_income],MATCH(questions[[#This Row],[qno]],stable[qno],0))</f>
        <v>1</v>
      </c>
      <c r="AJ112" s="98" t="b">
        <f>INDEX(stable[q_carbon],MATCH(questions[[#This Row],[qno]],stable[qno],0))</f>
        <v>0</v>
      </c>
      <c r="AK112" s="98" t="b">
        <f>INDEX(stable[q_regen_ag],MATCH(questions[[#This Row],[qno]],stable[qno],0))</f>
        <v>0</v>
      </c>
      <c r="AL112" s="98" t="b">
        <f>COUNTIFS(stable[qno],questions[[#This Row],[qno]])=1</f>
        <v>1</v>
      </c>
      <c r="AM112" s="98" t="b">
        <f>OR(questions[[#This Row],[is_fixed]],questions[[#This Row],[is_localized]],questions[[#This Row],[is_supply_chain_dependent]])</f>
        <v>1</v>
      </c>
      <c r="AN112" s="98" t="b">
        <f>COUNTIFS(questions[[#This Row],[is_automated]:[is_multi_select]],TRUE)=1</f>
        <v>1</v>
      </c>
      <c r="AO112" s="98" t="b">
        <f>IF(questions[[#This Row],[is_fixed]],questions[[#This Row],[question]]=INDEX(stable[question],MATCH(questions[[#This Row],[qno]],stable[qno],0)),TRUE)</f>
        <v>1</v>
      </c>
      <c r="AP112" s="98" t="str">
        <f>LEFT(questions[[#This Row],[question]],similarity_range)</f>
        <v>Salaried job, what w</v>
      </c>
      <c r="AQ112" s="98" t="str">
        <f>LEFT(INDEX(stable[question],MATCH(questions[[#This Row],[qno]],stable[qno],0)),similarity_range)</f>
        <v>Salaried job, what w</v>
      </c>
      <c r="AR112" s="98" t="b">
        <f>questions[[#This Row],[question_first_characters]]=questions[[#This Row],[stability_first_characters]]</f>
        <v>1</v>
      </c>
      <c r="AS112" s="98" t="b">
        <f>IF(OR(questions[[#This Row],[is_single_select]],questions[[#This Row],[is_multi_select]]),NOT(ISBLANK(questions[[#This Row],[answer_opt_combined]])),TRUE)</f>
        <v>1</v>
      </c>
    </row>
    <row r="113" spans="1:45" s="77" customFormat="1" x14ac:dyDescent="0.25">
      <c r="A113" s="77" t="str">
        <f>_xlfn.TEXTJOIN("_",TRUE,questions[[#This Row],[origin]:[qno]])</f>
        <v>Indonesia_Arabica_west_java_impact_6517</v>
      </c>
      <c r="B113" s="77" t="s">
        <v>58</v>
      </c>
      <c r="C113" s="77" t="s">
        <v>59</v>
      </c>
      <c r="D113" s="77" t="s">
        <v>60</v>
      </c>
      <c r="F113" s="77" t="s">
        <v>322</v>
      </c>
      <c r="G113" s="77" t="s">
        <v>323</v>
      </c>
      <c r="H113" s="9" t="str" cm="1">
        <f t="array" ref="H113">INDEX(stableR[question],MATCH(VALUE(questions[[#This Row],[qno]]),VALUE(stableR[qno]),0))</f>
        <v>Pension, what was the estimated importance?</v>
      </c>
      <c r="I113" s="9" t="b" cm="1">
        <f t="array" ref="I113">INDEX(stable[is_fixed],MATCH(VALUE(questions[[#This Row],[qno]]),VALUE(stable[qno]),0))</f>
        <v>1</v>
      </c>
      <c r="J113" s="9" t="b" cm="1">
        <f t="array" ref="J113">INDEX(stable[is_localized],MATCH(VALUE(questions[[#This Row],[qno]]),VALUE(stable[qno]),0))</f>
        <v>0</v>
      </c>
      <c r="K113" s="9" t="b" cm="1">
        <f t="array" ref="K113">INDEX(stable[is_supply_chain_dependent],MATCH(VALUE(questions[[#This Row],[qno]]),VALUE(stable[qno]),0))</f>
        <v>0</v>
      </c>
      <c r="L113" s="9" t="b" cm="1">
        <f t="array" ref="L113">INDEX(stable[is_mandatory],MATCH(VALUE(questions[[#This Row],[qno]]),VALUE(stable[qno]),0))</f>
        <v>0</v>
      </c>
      <c r="M113" s="9" t="b" cm="1">
        <f t="array" ref="M113">INDEX(stable[is_automated],MATCH(VALUE(questions[[#This Row],[qno]]),VALUE(stable[qno]),0))</f>
        <v>0</v>
      </c>
      <c r="N113" s="9" t="b" cm="1">
        <f t="array" ref="N113">INDEX(stable[is_free_text],MATCH(VALUE(questions[[#This Row],[qno]]),VALUE(stable[qno]),0))</f>
        <v>0</v>
      </c>
      <c r="O113" s="9" t="b" cm="1">
        <f t="array" ref="O113">INDEX(stable[is_numerical],MATCH(VALUE(questions[[#This Row],[qno]]),VALUE(stable[qno]),0))</f>
        <v>0</v>
      </c>
      <c r="P113" s="103" t="b" cm="1">
        <f t="array" ref="P113">INDEX(stable[is_single_select],MATCH(VALUE(questions[[#This Row],[qno]]),VALUE(stable[qno]),0))</f>
        <v>1</v>
      </c>
      <c r="Q113" s="77" t="b" cm="1">
        <f t="array" ref="Q113">INDEX(stable[is_multi_select],MATCH(VALUE(questions[[#This Row],[qno]]),VALUE(stable[qno]),0))</f>
        <v>0</v>
      </c>
      <c r="R113" s="77" t="b" cm="1">
        <f t="array" ref="R113">INDEX(stable[is_skip_logic],MATCH(VALUE(questions[[#This Row],[qno]]),VALUE(stable[qno]),0))</f>
        <v>0</v>
      </c>
      <c r="S113" s="77" t="str">
        <f>_xlfn.TEXTJOIN(", ",TRUE,questions[[#This Row],[ans_opt_1]:[ans_opt_14]])</f>
        <v>All or nearly all - 80-100%, More than half of it  - 60-80%, About half of it - 40-60%, Less than half of it - 20-40%, A small amount - 0-20%</v>
      </c>
      <c r="T113" s="77" t="s">
        <v>305</v>
      </c>
      <c r="U113" s="77" t="s">
        <v>306</v>
      </c>
      <c r="V113" s="77" t="s">
        <v>307</v>
      </c>
      <c r="W113" s="77" t="s">
        <v>308</v>
      </c>
      <c r="X113" s="77" t="s">
        <v>309</v>
      </c>
      <c r="AH113" s="98" t="b">
        <f>INDEX(stable[q_standard],MATCH(questions[[#This Row],[qno]],stable[qno],0))</f>
        <v>0</v>
      </c>
      <c r="AI113" s="98" t="b">
        <f>INDEX(stable[q_living_income],MATCH(questions[[#This Row],[qno]],stable[qno],0))</f>
        <v>1</v>
      </c>
      <c r="AJ113" s="98" t="b">
        <f>INDEX(stable[q_carbon],MATCH(questions[[#This Row],[qno]],stable[qno],0))</f>
        <v>0</v>
      </c>
      <c r="AK113" s="98" t="b">
        <f>INDEX(stable[q_regen_ag],MATCH(questions[[#This Row],[qno]],stable[qno],0))</f>
        <v>0</v>
      </c>
      <c r="AL113" s="98" t="b">
        <f>COUNTIFS(stable[qno],questions[[#This Row],[qno]])=1</f>
        <v>1</v>
      </c>
      <c r="AM113" s="98" t="b">
        <f>OR(questions[[#This Row],[is_fixed]],questions[[#This Row],[is_localized]],questions[[#This Row],[is_supply_chain_dependent]])</f>
        <v>1</v>
      </c>
      <c r="AN113" s="98" t="b">
        <f>COUNTIFS(questions[[#This Row],[is_automated]:[is_multi_select]],TRUE)=1</f>
        <v>1</v>
      </c>
      <c r="AO113" s="98" t="b">
        <f>IF(questions[[#This Row],[is_fixed]],questions[[#This Row],[question]]=INDEX(stable[question],MATCH(questions[[#This Row],[qno]],stable[qno],0)),TRUE)</f>
        <v>1</v>
      </c>
      <c r="AP113" s="98" t="str">
        <f>LEFT(questions[[#This Row],[question]],similarity_range)</f>
        <v>Pension, what was th</v>
      </c>
      <c r="AQ113" s="98" t="str">
        <f>LEFT(INDEX(stable[question],MATCH(questions[[#This Row],[qno]],stable[qno],0)),similarity_range)</f>
        <v>Pension, what was th</v>
      </c>
      <c r="AR113" s="98" t="b">
        <f>questions[[#This Row],[question_first_characters]]=questions[[#This Row],[stability_first_characters]]</f>
        <v>1</v>
      </c>
      <c r="AS113" s="98" t="b">
        <f>IF(OR(questions[[#This Row],[is_single_select]],questions[[#This Row],[is_multi_select]]),NOT(ISBLANK(questions[[#This Row],[answer_opt_combined]])),TRUE)</f>
        <v>1</v>
      </c>
    </row>
    <row r="114" spans="1:45" s="77" customFormat="1" x14ac:dyDescent="0.25">
      <c r="A114" s="77" t="str">
        <f>_xlfn.TEXTJOIN("_",TRUE,questions[[#This Row],[origin]:[qno]])</f>
        <v>Indonesia_Arabica_west_java_impact_6518</v>
      </c>
      <c r="B114" s="77" t="s">
        <v>58</v>
      </c>
      <c r="C114" s="77" t="s">
        <v>59</v>
      </c>
      <c r="D114" s="77" t="s">
        <v>60</v>
      </c>
      <c r="F114" s="77" t="s">
        <v>324</v>
      </c>
      <c r="G114" s="77" t="s">
        <v>325</v>
      </c>
      <c r="H114" s="9" t="str" cm="1">
        <f t="array" ref="H114">INDEX(stableR[question],MATCH(VALUE(questions[[#This Row],[qno]]),VALUE(stableR[qno]),0))</f>
        <v>Remittances, what was the estimated importance?</v>
      </c>
      <c r="I114" s="9" t="b" cm="1">
        <f t="array" ref="I114">INDEX(stable[is_fixed],MATCH(VALUE(questions[[#This Row],[qno]]),VALUE(stable[qno]),0))</f>
        <v>1</v>
      </c>
      <c r="J114" s="9" t="b" cm="1">
        <f t="array" ref="J114">INDEX(stable[is_localized],MATCH(VALUE(questions[[#This Row],[qno]]),VALUE(stable[qno]),0))</f>
        <v>0</v>
      </c>
      <c r="K114" s="9" t="b" cm="1">
        <f t="array" ref="K114">INDEX(stable[is_supply_chain_dependent],MATCH(VALUE(questions[[#This Row],[qno]]),VALUE(stable[qno]),0))</f>
        <v>0</v>
      </c>
      <c r="L114" s="9" t="b" cm="1">
        <f t="array" ref="L114">INDEX(stable[is_mandatory],MATCH(VALUE(questions[[#This Row],[qno]]),VALUE(stable[qno]),0))</f>
        <v>0</v>
      </c>
      <c r="M114" s="9" t="b" cm="1">
        <f t="array" ref="M114">INDEX(stable[is_automated],MATCH(VALUE(questions[[#This Row],[qno]]),VALUE(stable[qno]),0))</f>
        <v>0</v>
      </c>
      <c r="N114" s="9" t="b" cm="1">
        <f t="array" ref="N114">INDEX(stable[is_free_text],MATCH(VALUE(questions[[#This Row],[qno]]),VALUE(stable[qno]),0))</f>
        <v>0</v>
      </c>
      <c r="O114" s="9" t="b" cm="1">
        <f t="array" ref="O114">INDEX(stable[is_numerical],MATCH(VALUE(questions[[#This Row],[qno]]),VALUE(stable[qno]),0))</f>
        <v>0</v>
      </c>
      <c r="P114" s="103" t="b" cm="1">
        <f t="array" ref="P114">INDEX(stable[is_single_select],MATCH(VALUE(questions[[#This Row],[qno]]),VALUE(stable[qno]),0))</f>
        <v>1</v>
      </c>
      <c r="Q114" s="77" t="b" cm="1">
        <f t="array" ref="Q114">INDEX(stable[is_multi_select],MATCH(VALUE(questions[[#This Row],[qno]]),VALUE(stable[qno]),0))</f>
        <v>0</v>
      </c>
      <c r="R114" s="77" t="b" cm="1">
        <f t="array" ref="R114">INDEX(stable[is_skip_logic],MATCH(VALUE(questions[[#This Row],[qno]]),VALUE(stable[qno]),0))</f>
        <v>0</v>
      </c>
      <c r="S114" s="77" t="str">
        <f>_xlfn.TEXTJOIN(", ",TRUE,questions[[#This Row],[ans_opt_1]:[ans_opt_14]])</f>
        <v>All or nearly all - 80-100%, More than half of it  - 60-80%, About half of it - 40-60%, Less than half of it - 20-40%, A small amount - 0-20%</v>
      </c>
      <c r="T114" s="77" t="s">
        <v>305</v>
      </c>
      <c r="U114" s="77" t="s">
        <v>306</v>
      </c>
      <c r="V114" s="77" t="s">
        <v>307</v>
      </c>
      <c r="W114" s="77" t="s">
        <v>308</v>
      </c>
      <c r="X114" s="77" t="s">
        <v>309</v>
      </c>
      <c r="AH114" s="98" t="b">
        <f>INDEX(stable[q_standard],MATCH(questions[[#This Row],[qno]],stable[qno],0))</f>
        <v>0</v>
      </c>
      <c r="AI114" s="98" t="b">
        <f>INDEX(stable[q_living_income],MATCH(questions[[#This Row],[qno]],stable[qno],0))</f>
        <v>1</v>
      </c>
      <c r="AJ114" s="98" t="b">
        <f>INDEX(stable[q_carbon],MATCH(questions[[#This Row],[qno]],stable[qno],0))</f>
        <v>0</v>
      </c>
      <c r="AK114" s="98" t="b">
        <f>INDEX(stable[q_regen_ag],MATCH(questions[[#This Row],[qno]],stable[qno],0))</f>
        <v>0</v>
      </c>
      <c r="AL114" s="98" t="b">
        <f>COUNTIFS(stable[qno],questions[[#This Row],[qno]])=1</f>
        <v>1</v>
      </c>
      <c r="AM114" s="98" t="b">
        <f>OR(questions[[#This Row],[is_fixed]],questions[[#This Row],[is_localized]],questions[[#This Row],[is_supply_chain_dependent]])</f>
        <v>1</v>
      </c>
      <c r="AN114" s="98" t="b">
        <f>COUNTIFS(questions[[#This Row],[is_automated]:[is_multi_select]],TRUE)=1</f>
        <v>1</v>
      </c>
      <c r="AO114" s="98" t="b">
        <f>IF(questions[[#This Row],[is_fixed]],questions[[#This Row],[question]]=INDEX(stable[question],MATCH(questions[[#This Row],[qno]],stable[qno],0)),TRUE)</f>
        <v>1</v>
      </c>
      <c r="AP114" s="98" t="str">
        <f>LEFT(questions[[#This Row],[question]],similarity_range)</f>
        <v>Remittances, what wa</v>
      </c>
      <c r="AQ114" s="98" t="str">
        <f>LEFT(INDEX(stable[question],MATCH(questions[[#This Row],[qno]],stable[qno],0)),similarity_range)</f>
        <v>Remittances, what wa</v>
      </c>
      <c r="AR114" s="98" t="b">
        <f>questions[[#This Row],[question_first_characters]]=questions[[#This Row],[stability_first_characters]]</f>
        <v>1</v>
      </c>
      <c r="AS114" s="98" t="b">
        <f>IF(OR(questions[[#This Row],[is_single_select]],questions[[#This Row],[is_multi_select]]),NOT(ISBLANK(questions[[#This Row],[answer_opt_combined]])),TRUE)</f>
        <v>1</v>
      </c>
    </row>
    <row r="115" spans="1:45" s="77" customFormat="1" x14ac:dyDescent="0.25">
      <c r="A115" s="77" t="str">
        <f>_xlfn.TEXTJOIN("_",TRUE,questions[[#This Row],[origin]:[qno]])</f>
        <v>Indonesia_Arabica_west_java_impact_7000</v>
      </c>
      <c r="B115" s="77" t="s">
        <v>58</v>
      </c>
      <c r="C115" s="77" t="s">
        <v>59</v>
      </c>
      <c r="D115" s="77" t="s">
        <v>60</v>
      </c>
      <c r="F115" s="77" t="s">
        <v>326</v>
      </c>
      <c r="G115" s="77" t="s">
        <v>327</v>
      </c>
      <c r="H115" s="9" t="str" cm="1">
        <f t="array" ref="H115">INDEX(stableR[question],MATCH(VALUE(questions[[#This Row],[qno]]),VALUE(stableR[qno]),0))</f>
        <v>Have you received any training on Regenartive Agriculture principles and practices in last 1-2 years? For instance on mulching, cover crops, manure or fertiliser application, stumping, integrated pest management, etc.</v>
      </c>
      <c r="I115" s="9" t="b" cm="1">
        <f t="array" ref="I115">INDEX(stable[is_fixed],MATCH(VALUE(questions[[#This Row],[qno]]),VALUE(stable[qno]),0))</f>
        <v>1</v>
      </c>
      <c r="J115" s="9" t="b" cm="1">
        <f t="array" ref="J115">INDEX(stable[is_localized],MATCH(VALUE(questions[[#This Row],[qno]]),VALUE(stable[qno]),0))</f>
        <v>0</v>
      </c>
      <c r="K115" s="9" t="b" cm="1">
        <f t="array" ref="K115">INDEX(stable[is_supply_chain_dependent],MATCH(VALUE(questions[[#This Row],[qno]]),VALUE(stable[qno]),0))</f>
        <v>0</v>
      </c>
      <c r="L115" s="9" t="b" cm="1">
        <f t="array" ref="L115">INDEX(stable[is_mandatory],MATCH(VALUE(questions[[#This Row],[qno]]),VALUE(stable[qno]),0))</f>
        <v>1</v>
      </c>
      <c r="M115" s="9" t="b" cm="1">
        <f t="array" ref="M115">INDEX(stable[is_automated],MATCH(VALUE(questions[[#This Row],[qno]]),VALUE(stable[qno]),0))</f>
        <v>0</v>
      </c>
      <c r="N115" s="9" t="b" cm="1">
        <f t="array" ref="N115">INDEX(stable[is_free_text],MATCH(VALUE(questions[[#This Row],[qno]]),VALUE(stable[qno]),0))</f>
        <v>0</v>
      </c>
      <c r="O115" s="9" t="b" cm="1">
        <f t="array" ref="O115">INDEX(stable[is_numerical],MATCH(VALUE(questions[[#This Row],[qno]]),VALUE(stable[qno]),0))</f>
        <v>0</v>
      </c>
      <c r="P115" s="103" t="b" cm="1">
        <f t="array" ref="P115">INDEX(stable[is_single_select],MATCH(VALUE(questions[[#This Row],[qno]]),VALUE(stable[qno]),0))</f>
        <v>1</v>
      </c>
      <c r="Q115" s="77" t="b" cm="1">
        <f t="array" ref="Q115">INDEX(stable[is_multi_select],MATCH(VALUE(questions[[#This Row],[qno]]),VALUE(stable[qno]),0))</f>
        <v>0</v>
      </c>
      <c r="R115" s="77" t="b" cm="1">
        <f t="array" ref="R115">INDEX(stable[is_skip_logic],MATCH(VALUE(questions[[#This Row],[qno]]),VALUE(stable[qno]),0))</f>
        <v>1</v>
      </c>
      <c r="S115" s="77" t="str">
        <f>_xlfn.TEXTJOIN(", ",TRUE,questions[[#This Row],[ans_opt_1]:[ans_opt_14]])</f>
        <v>Yes, No</v>
      </c>
      <c r="T115" s="77" t="s">
        <v>149</v>
      </c>
      <c r="U115" s="77" t="s">
        <v>119</v>
      </c>
      <c r="AH115" s="98" t="b">
        <f>INDEX(stable[q_standard],MATCH(questions[[#This Row],[qno]],stable[qno],0))</f>
        <v>0</v>
      </c>
      <c r="AI115" s="98" t="b">
        <f>INDEX(stable[q_living_income],MATCH(questions[[#This Row],[qno]],stable[qno],0))</f>
        <v>0</v>
      </c>
      <c r="AJ115" s="98" t="b">
        <f>INDEX(stable[q_carbon],MATCH(questions[[#This Row],[qno]],stable[qno],0))</f>
        <v>0</v>
      </c>
      <c r="AK115" s="98" t="b">
        <f>INDEX(stable[q_regen_ag],MATCH(questions[[#This Row],[qno]],stable[qno],0))</f>
        <v>1</v>
      </c>
      <c r="AL115" s="98" t="b">
        <f>COUNTIFS(stable[qno],questions[[#This Row],[qno]])=1</f>
        <v>1</v>
      </c>
      <c r="AM115" s="98" t="b">
        <f>OR(questions[[#This Row],[is_fixed]],questions[[#This Row],[is_localized]],questions[[#This Row],[is_supply_chain_dependent]])</f>
        <v>1</v>
      </c>
      <c r="AN115" s="98" t="b">
        <f>COUNTIFS(questions[[#This Row],[is_automated]:[is_multi_select]],TRUE)=1</f>
        <v>1</v>
      </c>
      <c r="AO115" s="98" t="b">
        <f>IF(questions[[#This Row],[is_fixed]],questions[[#This Row],[question]]=INDEX(stable[question],MATCH(questions[[#This Row],[qno]],stable[qno],0)),TRUE)</f>
        <v>1</v>
      </c>
      <c r="AP115" s="98" t="str">
        <f>LEFT(questions[[#This Row],[question]],similarity_range)</f>
        <v>Have you received an</v>
      </c>
      <c r="AQ115" s="98" t="str">
        <f>LEFT(INDEX(stable[question],MATCH(questions[[#This Row],[qno]],stable[qno],0)),similarity_range)</f>
        <v>Have you received an</v>
      </c>
      <c r="AR115" s="98" t="b">
        <f>questions[[#This Row],[question_first_characters]]=questions[[#This Row],[stability_first_characters]]</f>
        <v>1</v>
      </c>
      <c r="AS115" s="98" t="b">
        <f>IF(OR(questions[[#This Row],[is_single_select]],questions[[#This Row],[is_multi_select]]),NOT(ISBLANK(questions[[#This Row],[answer_opt_combined]])),TRUE)</f>
        <v>1</v>
      </c>
    </row>
    <row r="116" spans="1:45" s="77" customFormat="1" x14ac:dyDescent="0.25">
      <c r="A116" s="77" t="str">
        <f>_xlfn.TEXTJOIN("_",TRUE,questions[[#This Row],[origin]:[qno]])</f>
        <v>Indonesia_Arabica_west_java_impact_7001</v>
      </c>
      <c r="B116" s="77" t="s">
        <v>58</v>
      </c>
      <c r="C116" s="77" t="s">
        <v>59</v>
      </c>
      <c r="D116" s="77" t="s">
        <v>60</v>
      </c>
      <c r="F116" s="77" t="s">
        <v>328</v>
      </c>
      <c r="G116" s="77" t="s">
        <v>329</v>
      </c>
      <c r="H116" s="9" t="str" cm="1">
        <f t="array" ref="H116">INDEX(stableR[question],MATCH(VALUE(questions[[#This Row],[qno]]),VALUE(stableR[qno]),0))</f>
        <v>If NO formal training received, are you aware of Regen Ag. and can explain its basics principles and main practices?</v>
      </c>
      <c r="I116" s="9" t="b" cm="1">
        <f t="array" ref="I116">INDEX(stable[is_fixed],MATCH(VALUE(questions[[#This Row],[qno]]),VALUE(stable[qno]),0))</f>
        <v>1</v>
      </c>
      <c r="J116" s="9" t="b" cm="1">
        <f t="array" ref="J116">INDEX(stable[is_localized],MATCH(VALUE(questions[[#This Row],[qno]]),VALUE(stable[qno]),0))</f>
        <v>0</v>
      </c>
      <c r="K116" s="9" t="b" cm="1">
        <f t="array" ref="K116">INDEX(stable[is_supply_chain_dependent],MATCH(VALUE(questions[[#This Row],[qno]]),VALUE(stable[qno]),0))</f>
        <v>0</v>
      </c>
      <c r="L116" s="9" t="b" cm="1">
        <f t="array" ref="L116">INDEX(stable[is_mandatory],MATCH(VALUE(questions[[#This Row],[qno]]),VALUE(stable[qno]),0))</f>
        <v>0</v>
      </c>
      <c r="M116" s="9" t="b" cm="1">
        <f t="array" ref="M116">INDEX(stable[is_automated],MATCH(VALUE(questions[[#This Row],[qno]]),VALUE(stable[qno]),0))</f>
        <v>0</v>
      </c>
      <c r="N116" s="9" t="b" cm="1">
        <f t="array" ref="N116">INDEX(stable[is_free_text],MATCH(VALUE(questions[[#This Row],[qno]]),VALUE(stable[qno]),0))</f>
        <v>0</v>
      </c>
      <c r="O116" s="9" t="b" cm="1">
        <f t="array" ref="O116">INDEX(stable[is_numerical],MATCH(VALUE(questions[[#This Row],[qno]]),VALUE(stable[qno]),0))</f>
        <v>0</v>
      </c>
      <c r="P116" s="103" t="b" cm="1">
        <f t="array" ref="P116">INDEX(stable[is_single_select],MATCH(VALUE(questions[[#This Row],[qno]]),VALUE(stable[qno]),0))</f>
        <v>1</v>
      </c>
      <c r="Q116" s="77" t="b" cm="1">
        <f t="array" ref="Q116">INDEX(stable[is_multi_select],MATCH(VALUE(questions[[#This Row],[qno]]),VALUE(stable[qno]),0))</f>
        <v>0</v>
      </c>
      <c r="R116" s="77" t="b" cm="1">
        <f t="array" ref="R116">INDEX(stable[is_skip_logic],MATCH(VALUE(questions[[#This Row],[qno]]),VALUE(stable[qno]),0))</f>
        <v>1</v>
      </c>
      <c r="S116" s="77" t="str">
        <f>_xlfn.TEXTJOIN(", ",TRUE,questions[[#This Row],[ans_opt_1]:[ans_opt_14]])</f>
        <v>Yes, No</v>
      </c>
      <c r="T116" s="77" t="s">
        <v>149</v>
      </c>
      <c r="U116" s="77" t="s">
        <v>119</v>
      </c>
      <c r="AH116" s="98" t="b">
        <f>INDEX(stable[q_standard],MATCH(questions[[#This Row],[qno]],stable[qno],0))</f>
        <v>0</v>
      </c>
      <c r="AI116" s="98" t="b">
        <f>INDEX(stable[q_living_income],MATCH(questions[[#This Row],[qno]],stable[qno],0))</f>
        <v>0</v>
      </c>
      <c r="AJ116" s="98" t="b">
        <f>INDEX(stable[q_carbon],MATCH(questions[[#This Row],[qno]],stable[qno],0))</f>
        <v>0</v>
      </c>
      <c r="AK116" s="98" t="b">
        <f>INDEX(stable[q_regen_ag],MATCH(questions[[#This Row],[qno]],stable[qno],0))</f>
        <v>1</v>
      </c>
      <c r="AL116" s="98" t="b">
        <f>COUNTIFS(stable[qno],questions[[#This Row],[qno]])=1</f>
        <v>1</v>
      </c>
      <c r="AM116" s="98" t="b">
        <f>OR(questions[[#This Row],[is_fixed]],questions[[#This Row],[is_localized]],questions[[#This Row],[is_supply_chain_dependent]])</f>
        <v>1</v>
      </c>
      <c r="AN116" s="98" t="b">
        <f>COUNTIFS(questions[[#This Row],[is_automated]:[is_multi_select]],TRUE)=1</f>
        <v>1</v>
      </c>
      <c r="AO116" s="98" t="b">
        <f>IF(questions[[#This Row],[is_fixed]],questions[[#This Row],[question]]=INDEX(stable[question],MATCH(questions[[#This Row],[qno]],stable[qno],0)),TRUE)</f>
        <v>1</v>
      </c>
      <c r="AP116" s="98" t="str">
        <f>LEFT(questions[[#This Row],[question]],similarity_range)</f>
        <v>If NO formal trainin</v>
      </c>
      <c r="AQ116" s="98" t="str">
        <f>LEFT(INDEX(stable[question],MATCH(questions[[#This Row],[qno]],stable[qno],0)),similarity_range)</f>
        <v>If NO formal trainin</v>
      </c>
      <c r="AR116" s="98" t="b">
        <f>questions[[#This Row],[question_first_characters]]=questions[[#This Row],[stability_first_characters]]</f>
        <v>1</v>
      </c>
      <c r="AS116" s="98" t="b">
        <f>IF(OR(questions[[#This Row],[is_single_select]],questions[[#This Row],[is_multi_select]]),NOT(ISBLANK(questions[[#This Row],[answer_opt_combined]])),TRUE)</f>
        <v>1</v>
      </c>
    </row>
    <row r="117" spans="1:45" s="77" customFormat="1" x14ac:dyDescent="0.25">
      <c r="A117" s="77" t="str">
        <f>_xlfn.TEXTJOIN("_",TRUE,questions[[#This Row],[origin]:[qno]])</f>
        <v>Indonesia_Arabica_west_java_impact_7100</v>
      </c>
      <c r="B117" s="77" t="s">
        <v>58</v>
      </c>
      <c r="C117" s="77" t="s">
        <v>59</v>
      </c>
      <c r="D117" s="77" t="s">
        <v>60</v>
      </c>
      <c r="F117" s="77" t="s">
        <v>330</v>
      </c>
      <c r="G117" s="77" t="s">
        <v>331</v>
      </c>
      <c r="H117" s="9" t="str" cm="1">
        <f t="array" ref="H117">INDEX(stableR[question],MATCH(VALUE(questions[[#This Row],[qno]]),VALUE(stableR[qno]),0))</f>
        <v>Do you implement mulching and/or cover crops-plants (e.g. beans, peanuts/groundnuts, brachiaria, desmodium…) in your coffee plots? If the answer is NO, you do not need to answer the next 2 questions</v>
      </c>
      <c r="I117" s="9" t="b" cm="1">
        <f t="array" ref="I117">INDEX(stable[is_fixed],MATCH(VALUE(questions[[#This Row],[qno]]),VALUE(stable[qno]),0))</f>
        <v>1</v>
      </c>
      <c r="J117" s="9" t="b" cm="1">
        <f t="array" ref="J117">INDEX(stable[is_localized],MATCH(VALUE(questions[[#This Row],[qno]]),VALUE(stable[qno]),0))</f>
        <v>0</v>
      </c>
      <c r="K117" s="9" t="b" cm="1">
        <f t="array" ref="K117">INDEX(stable[is_supply_chain_dependent],MATCH(VALUE(questions[[#This Row],[qno]]),VALUE(stable[qno]),0))</f>
        <v>0</v>
      </c>
      <c r="L117" s="9" t="b" cm="1">
        <f t="array" ref="L117">INDEX(stable[is_mandatory],MATCH(VALUE(questions[[#This Row],[qno]]),VALUE(stable[qno]),0))</f>
        <v>1</v>
      </c>
      <c r="M117" s="9" t="b" cm="1">
        <f t="array" ref="M117">INDEX(stable[is_automated],MATCH(VALUE(questions[[#This Row],[qno]]),VALUE(stable[qno]),0))</f>
        <v>0</v>
      </c>
      <c r="N117" s="9" t="b" cm="1">
        <f t="array" ref="N117">INDEX(stable[is_free_text],MATCH(VALUE(questions[[#This Row],[qno]]),VALUE(stable[qno]),0))</f>
        <v>0</v>
      </c>
      <c r="O117" s="9" t="b" cm="1">
        <f t="array" ref="O117">INDEX(stable[is_numerical],MATCH(VALUE(questions[[#This Row],[qno]]),VALUE(stable[qno]),0))</f>
        <v>0</v>
      </c>
      <c r="P117" s="103" t="b" cm="1">
        <f t="array" ref="P117">INDEX(stable[is_single_select],MATCH(VALUE(questions[[#This Row],[qno]]),VALUE(stable[qno]),0))</f>
        <v>1</v>
      </c>
      <c r="Q117" s="77" t="b" cm="1">
        <f t="array" ref="Q117">INDEX(stable[is_multi_select],MATCH(VALUE(questions[[#This Row],[qno]]),VALUE(stable[qno]),0))</f>
        <v>0</v>
      </c>
      <c r="R117" s="77" t="b" cm="1">
        <f t="array" ref="R117">INDEX(stable[is_skip_logic],MATCH(VALUE(questions[[#This Row],[qno]]),VALUE(stable[qno]),0))</f>
        <v>1</v>
      </c>
      <c r="S117" s="77" t="str">
        <f>_xlfn.TEXTJOIN(", ",TRUE,questions[[#This Row],[ans_opt_1]:[ans_opt_14]])</f>
        <v>No, Yes-Crop residues mulching, Yes-Other mulching, Yes-Cover crops, Yes-Cover crops &amp; Mulching</v>
      </c>
      <c r="T117" s="77" t="s">
        <v>119</v>
      </c>
      <c r="U117" s="77" t="s">
        <v>332</v>
      </c>
      <c r="V117" s="77" t="s">
        <v>333</v>
      </c>
      <c r="W117" s="77" t="s">
        <v>334</v>
      </c>
      <c r="X117" s="77" t="s">
        <v>335</v>
      </c>
      <c r="AH117" s="98" t="b">
        <f>INDEX(stable[q_standard],MATCH(questions[[#This Row],[qno]],stable[qno],0))</f>
        <v>0</v>
      </c>
      <c r="AI117" s="98" t="b">
        <f>INDEX(stable[q_living_income],MATCH(questions[[#This Row],[qno]],stable[qno],0))</f>
        <v>0</v>
      </c>
      <c r="AJ117" s="98" t="b">
        <f>INDEX(stable[q_carbon],MATCH(questions[[#This Row],[qno]],stable[qno],0))</f>
        <v>0</v>
      </c>
      <c r="AK117" s="98" t="b">
        <f>INDEX(stable[q_regen_ag],MATCH(questions[[#This Row],[qno]],stable[qno],0))</f>
        <v>1</v>
      </c>
      <c r="AL117" s="98" t="b">
        <f>COUNTIFS(stable[qno],questions[[#This Row],[qno]])=1</f>
        <v>1</v>
      </c>
      <c r="AM117" s="98" t="b">
        <f>OR(questions[[#This Row],[is_fixed]],questions[[#This Row],[is_localized]],questions[[#This Row],[is_supply_chain_dependent]])</f>
        <v>1</v>
      </c>
      <c r="AN117" s="98" t="b">
        <f>COUNTIFS(questions[[#This Row],[is_automated]:[is_multi_select]],TRUE)=1</f>
        <v>1</v>
      </c>
      <c r="AO117" s="98" t="b">
        <f>IF(questions[[#This Row],[is_fixed]],questions[[#This Row],[question]]=INDEX(stable[question],MATCH(questions[[#This Row],[qno]],stable[qno],0)),TRUE)</f>
        <v>1</v>
      </c>
      <c r="AP117" s="98" t="str">
        <f>LEFT(questions[[#This Row],[question]],similarity_range)</f>
        <v>Do you implement mul</v>
      </c>
      <c r="AQ117" s="98" t="str">
        <f>LEFT(INDEX(stable[question],MATCH(questions[[#This Row],[qno]],stable[qno],0)),similarity_range)</f>
        <v>Do you implement mul</v>
      </c>
      <c r="AR117" s="98" t="b">
        <f>questions[[#This Row],[question_first_characters]]=questions[[#This Row],[stability_first_characters]]</f>
        <v>1</v>
      </c>
      <c r="AS117" s="98" t="b">
        <f>IF(OR(questions[[#This Row],[is_single_select]],questions[[#This Row],[is_multi_select]]),NOT(ISBLANK(questions[[#This Row],[answer_opt_combined]])),TRUE)</f>
        <v>1</v>
      </c>
    </row>
    <row r="118" spans="1:45" s="77" customFormat="1" x14ac:dyDescent="0.25">
      <c r="A118" s="77" t="str">
        <f>_xlfn.TEXTJOIN("_",TRUE,questions[[#This Row],[origin]:[qno]])</f>
        <v>Indonesia_Arabica_west_java_impact_7101</v>
      </c>
      <c r="B118" s="77" t="s">
        <v>58</v>
      </c>
      <c r="C118" s="77" t="s">
        <v>59</v>
      </c>
      <c r="D118" s="77" t="s">
        <v>60</v>
      </c>
      <c r="F118" s="77" t="s">
        <v>336</v>
      </c>
      <c r="G118" s="77" t="s">
        <v>337</v>
      </c>
      <c r="H118" s="9" t="str" cm="1">
        <f t="array" ref="H118">INDEX(stableR[question],MATCH(VALUE(questions[[#This Row],[qno]]),VALUE(stableR[qno]),0))</f>
        <v>If so, what is the % or proportion of your coffee plots using mulching and/or cover crops?</v>
      </c>
      <c r="I118" s="9" t="b" cm="1">
        <f t="array" ref="I118">INDEX(stable[is_fixed],MATCH(VALUE(questions[[#This Row],[qno]]),VALUE(stable[qno]),0))</f>
        <v>1</v>
      </c>
      <c r="J118" s="9" t="b" cm="1">
        <f t="array" ref="J118">INDEX(stable[is_localized],MATCH(VALUE(questions[[#This Row],[qno]]),VALUE(stable[qno]),0))</f>
        <v>0</v>
      </c>
      <c r="K118" s="9" t="b" cm="1">
        <f t="array" ref="K118">INDEX(stable[is_supply_chain_dependent],MATCH(VALUE(questions[[#This Row],[qno]]),VALUE(stable[qno]),0))</f>
        <v>0</v>
      </c>
      <c r="L118" s="9" t="b" cm="1">
        <f t="array" ref="L118">INDEX(stable[is_mandatory],MATCH(VALUE(questions[[#This Row],[qno]]),VALUE(stable[qno]),0))</f>
        <v>0</v>
      </c>
      <c r="M118" s="9" t="b" cm="1">
        <f t="array" ref="M118">INDEX(stable[is_automated],MATCH(VALUE(questions[[#This Row],[qno]]),VALUE(stable[qno]),0))</f>
        <v>0</v>
      </c>
      <c r="N118" s="9" t="b" cm="1">
        <f t="array" ref="N118">INDEX(stable[is_free_text],MATCH(VALUE(questions[[#This Row],[qno]]),VALUE(stable[qno]),0))</f>
        <v>0</v>
      </c>
      <c r="O118" s="9" t="b" cm="1">
        <f t="array" ref="O118">INDEX(stable[is_numerical],MATCH(VALUE(questions[[#This Row],[qno]]),VALUE(stable[qno]),0))</f>
        <v>0</v>
      </c>
      <c r="P118" s="103" t="b" cm="1">
        <f t="array" ref="P118">INDEX(stable[is_single_select],MATCH(VALUE(questions[[#This Row],[qno]]),VALUE(stable[qno]),0))</f>
        <v>1</v>
      </c>
      <c r="Q118" s="77" t="b" cm="1">
        <f t="array" ref="Q118">INDEX(stable[is_multi_select],MATCH(VALUE(questions[[#This Row],[qno]]),VALUE(stable[qno]),0))</f>
        <v>0</v>
      </c>
      <c r="R118" s="77" t="b" cm="1">
        <f t="array" ref="R118">INDEX(stable[is_skip_logic],MATCH(VALUE(questions[[#This Row],[qno]]),VALUE(stable[qno]),0))</f>
        <v>1</v>
      </c>
      <c r="S118" s="77" t="str">
        <f>_xlfn.TEXTJOIN(", ",TRUE,questions[[#This Row],[ans_opt_1]:[ans_opt_14]])</f>
        <v>1% to 25% - little to a quarter, 26% to 50% - less than half, 51% to 75% - more than half, 76% to 100% - almost all</v>
      </c>
      <c r="T118" s="77" t="s">
        <v>338</v>
      </c>
      <c r="U118" s="77" t="s">
        <v>339</v>
      </c>
      <c r="V118" s="77" t="s">
        <v>340</v>
      </c>
      <c r="W118" s="77" t="s">
        <v>341</v>
      </c>
      <c r="AH118" s="98" t="b">
        <f>INDEX(stable[q_standard],MATCH(questions[[#This Row],[qno]],stable[qno],0))</f>
        <v>0</v>
      </c>
      <c r="AI118" s="98" t="b">
        <f>INDEX(stable[q_living_income],MATCH(questions[[#This Row],[qno]],stable[qno],0))</f>
        <v>0</v>
      </c>
      <c r="AJ118" s="98" t="b">
        <f>INDEX(stable[q_carbon],MATCH(questions[[#This Row],[qno]],stable[qno],0))</f>
        <v>0</v>
      </c>
      <c r="AK118" s="98" t="b">
        <f>INDEX(stable[q_regen_ag],MATCH(questions[[#This Row],[qno]],stable[qno],0))</f>
        <v>1</v>
      </c>
      <c r="AL118" s="98" t="b">
        <f>COUNTIFS(stable[qno],questions[[#This Row],[qno]])=1</f>
        <v>1</v>
      </c>
      <c r="AM118" s="98" t="b">
        <f>OR(questions[[#This Row],[is_fixed]],questions[[#This Row],[is_localized]],questions[[#This Row],[is_supply_chain_dependent]])</f>
        <v>1</v>
      </c>
      <c r="AN118" s="98" t="b">
        <f>COUNTIFS(questions[[#This Row],[is_automated]:[is_multi_select]],TRUE)=1</f>
        <v>1</v>
      </c>
      <c r="AO118" s="98" t="b">
        <f>IF(questions[[#This Row],[is_fixed]],questions[[#This Row],[question]]=INDEX(stable[question],MATCH(questions[[#This Row],[qno]],stable[qno],0)),TRUE)</f>
        <v>1</v>
      </c>
      <c r="AP118" s="98" t="str">
        <f>LEFT(questions[[#This Row],[question]],similarity_range)</f>
        <v>If so, what is the %</v>
      </c>
      <c r="AQ118" s="98" t="str">
        <f>LEFT(INDEX(stable[question],MATCH(questions[[#This Row],[qno]],stable[qno],0)),similarity_range)</f>
        <v>If so, what is the %</v>
      </c>
      <c r="AR118" s="98" t="b">
        <f>questions[[#This Row],[question_first_characters]]=questions[[#This Row],[stability_first_characters]]</f>
        <v>1</v>
      </c>
      <c r="AS118" s="98" t="b">
        <f>IF(OR(questions[[#This Row],[is_single_select]],questions[[#This Row],[is_multi_select]]),NOT(ISBLANK(questions[[#This Row],[answer_opt_combined]])),TRUE)</f>
        <v>1</v>
      </c>
    </row>
    <row r="119" spans="1:45" s="77" customFormat="1" x14ac:dyDescent="0.25">
      <c r="A119" s="77" t="str">
        <f>_xlfn.TEXTJOIN("_",TRUE,questions[[#This Row],[origin]:[qno]])</f>
        <v>Indonesia_Arabica_west_java_impact_7102</v>
      </c>
      <c r="B119" s="77" t="s">
        <v>58</v>
      </c>
      <c r="C119" s="77" t="s">
        <v>59</v>
      </c>
      <c r="D119" s="77" t="s">
        <v>60</v>
      </c>
      <c r="F119" s="77" t="s">
        <v>342</v>
      </c>
      <c r="G119" s="77" t="s">
        <v>343</v>
      </c>
      <c r="H119" s="9" t="str" cm="1">
        <f t="array" ref="H119">INDEX(stableR[question],MATCH(VALUE(questions[[#This Row],[qno]]),VALUE(stableR[qno]),0))</f>
        <v>And for how many months per year?</v>
      </c>
      <c r="I119" s="9" t="b" cm="1">
        <f t="array" ref="I119">INDEX(stable[is_fixed],MATCH(VALUE(questions[[#This Row],[qno]]),VALUE(stable[qno]),0))</f>
        <v>1</v>
      </c>
      <c r="J119" s="9" t="b" cm="1">
        <f t="array" ref="J119">INDEX(stable[is_localized],MATCH(VALUE(questions[[#This Row],[qno]]),VALUE(stable[qno]),0))</f>
        <v>0</v>
      </c>
      <c r="K119" s="9" t="b" cm="1">
        <f t="array" ref="K119">INDEX(stable[is_supply_chain_dependent],MATCH(VALUE(questions[[#This Row],[qno]]),VALUE(stable[qno]),0))</f>
        <v>0</v>
      </c>
      <c r="L119" s="9" t="b" cm="1">
        <f t="array" ref="L119">INDEX(stable[is_mandatory],MATCH(VALUE(questions[[#This Row],[qno]]),VALUE(stable[qno]),0))</f>
        <v>0</v>
      </c>
      <c r="M119" s="9" t="b" cm="1">
        <f t="array" ref="M119">INDEX(stable[is_automated],MATCH(VALUE(questions[[#This Row],[qno]]),VALUE(stable[qno]),0))</f>
        <v>0</v>
      </c>
      <c r="N119" s="9" t="b" cm="1">
        <f t="array" ref="N119">INDEX(stable[is_free_text],MATCH(VALUE(questions[[#This Row],[qno]]),VALUE(stable[qno]),0))</f>
        <v>0</v>
      </c>
      <c r="O119" s="9" t="b" cm="1">
        <f t="array" ref="O119">INDEX(stable[is_numerical],MATCH(VALUE(questions[[#This Row],[qno]]),VALUE(stable[qno]),0))</f>
        <v>0</v>
      </c>
      <c r="P119" s="103" t="b" cm="1">
        <f t="array" ref="P119">INDEX(stable[is_single_select],MATCH(VALUE(questions[[#This Row],[qno]]),VALUE(stable[qno]),0))</f>
        <v>1</v>
      </c>
      <c r="Q119" s="77" t="b" cm="1">
        <f t="array" ref="Q119">INDEX(stable[is_multi_select],MATCH(VALUE(questions[[#This Row],[qno]]),VALUE(stable[qno]),0))</f>
        <v>0</v>
      </c>
      <c r="R119" s="77" t="b" cm="1">
        <f t="array" ref="R119">INDEX(stable[is_skip_logic],MATCH(VALUE(questions[[#This Row],[qno]]),VALUE(stable[qno]),0))</f>
        <v>1</v>
      </c>
      <c r="S119" s="77" t="str">
        <f>_xlfn.TEXTJOIN(", ",TRUE,questions[[#This Row],[ans_opt_1]:[ans_opt_14]])</f>
        <v>&lt;6 months, 6-8 months, &gt;8 months</v>
      </c>
      <c r="T119" s="77" t="s">
        <v>344</v>
      </c>
      <c r="U119" s="77" t="s">
        <v>345</v>
      </c>
      <c r="V119" s="77" t="s">
        <v>346</v>
      </c>
      <c r="AH119" s="98" t="b">
        <f>INDEX(stable[q_standard],MATCH(questions[[#This Row],[qno]],stable[qno],0))</f>
        <v>0</v>
      </c>
      <c r="AI119" s="98" t="b">
        <f>INDEX(stable[q_living_income],MATCH(questions[[#This Row],[qno]],stable[qno],0))</f>
        <v>0</v>
      </c>
      <c r="AJ119" s="98" t="b">
        <f>INDEX(stable[q_carbon],MATCH(questions[[#This Row],[qno]],stable[qno],0))</f>
        <v>0</v>
      </c>
      <c r="AK119" s="98" t="b">
        <f>INDEX(stable[q_regen_ag],MATCH(questions[[#This Row],[qno]],stable[qno],0))</f>
        <v>1</v>
      </c>
      <c r="AL119" s="98" t="b">
        <f>COUNTIFS(stable[qno],questions[[#This Row],[qno]])=1</f>
        <v>1</v>
      </c>
      <c r="AM119" s="98" t="b">
        <f>OR(questions[[#This Row],[is_fixed]],questions[[#This Row],[is_localized]],questions[[#This Row],[is_supply_chain_dependent]])</f>
        <v>1</v>
      </c>
      <c r="AN119" s="98" t="b">
        <f>COUNTIFS(questions[[#This Row],[is_automated]:[is_multi_select]],TRUE)=1</f>
        <v>1</v>
      </c>
      <c r="AO119" s="98" t="b">
        <f>IF(questions[[#This Row],[is_fixed]],questions[[#This Row],[question]]=INDEX(stable[question],MATCH(questions[[#This Row],[qno]],stable[qno],0)),TRUE)</f>
        <v>0</v>
      </c>
      <c r="AP119" s="98" t="str">
        <f>LEFT(questions[[#This Row],[question]],similarity_range)</f>
        <v>And for how many mon</v>
      </c>
      <c r="AQ119" s="98" t="str">
        <f>LEFT(INDEX(stable[question],MATCH(questions[[#This Row],[qno]],stable[qno],0)),similarity_range)</f>
        <v>And for how many mon</v>
      </c>
      <c r="AR119" s="98" t="b">
        <f>questions[[#This Row],[question_first_characters]]=questions[[#This Row],[stability_first_characters]]</f>
        <v>1</v>
      </c>
      <c r="AS119" s="98" t="b">
        <f>IF(OR(questions[[#This Row],[is_single_select]],questions[[#This Row],[is_multi_select]]),NOT(ISBLANK(questions[[#This Row],[answer_opt_combined]])),TRUE)</f>
        <v>1</v>
      </c>
    </row>
    <row r="120" spans="1:45" s="77" customFormat="1" x14ac:dyDescent="0.25">
      <c r="A120" s="77" t="str">
        <f>_xlfn.TEXTJOIN("_",TRUE,questions[[#This Row],[origin]:[qno]])</f>
        <v>Indonesia_Arabica_west_java_impact_7113</v>
      </c>
      <c r="B120" s="77" t="s">
        <v>58</v>
      </c>
      <c r="C120" s="77" t="s">
        <v>59</v>
      </c>
      <c r="D120" s="77" t="s">
        <v>60</v>
      </c>
      <c r="F120" s="77" t="s">
        <v>347</v>
      </c>
      <c r="G120" s="77" t="s">
        <v>348</v>
      </c>
      <c r="H120" s="9" t="str" cm="1">
        <f t="array" ref="H120">INDEX(stableR[question],MATCH(VALUE(questions[[#This Row],[qno]]),VALUE(stableR[qno]),0))</f>
        <v>Does any area of your coffee plots have significative risk of water and/or wind erosion due to heavy rain or irrigation, terrain slope, strong winds during dry periods…? If the answer is NO, you do not need to answer the next 2 questions</v>
      </c>
      <c r="I120" s="9" t="b" cm="1">
        <f t="array" ref="I120">INDEX(stable[is_fixed],MATCH(VALUE(questions[[#This Row],[qno]]),VALUE(stable[qno]),0))</f>
        <v>1</v>
      </c>
      <c r="J120" s="9" t="b" cm="1">
        <f t="array" ref="J120">INDEX(stable[is_localized],MATCH(VALUE(questions[[#This Row],[qno]]),VALUE(stable[qno]),0))</f>
        <v>0</v>
      </c>
      <c r="K120" s="9" t="b" cm="1">
        <f t="array" ref="K120">INDEX(stable[is_supply_chain_dependent],MATCH(VALUE(questions[[#This Row],[qno]]),VALUE(stable[qno]),0))</f>
        <v>0</v>
      </c>
      <c r="L120" s="9" t="b" cm="1">
        <f t="array" ref="L120">INDEX(stable[is_mandatory],MATCH(VALUE(questions[[#This Row],[qno]]),VALUE(stable[qno]),0))</f>
        <v>1</v>
      </c>
      <c r="M120" s="9" t="b" cm="1">
        <f t="array" ref="M120">INDEX(stable[is_automated],MATCH(VALUE(questions[[#This Row],[qno]]),VALUE(stable[qno]),0))</f>
        <v>0</v>
      </c>
      <c r="N120" s="9" t="b" cm="1">
        <f t="array" ref="N120">INDEX(stable[is_free_text],MATCH(VALUE(questions[[#This Row],[qno]]),VALUE(stable[qno]),0))</f>
        <v>0</v>
      </c>
      <c r="O120" s="9" t="b" cm="1">
        <f t="array" ref="O120">INDEX(stable[is_numerical],MATCH(VALUE(questions[[#This Row],[qno]]),VALUE(stable[qno]),0))</f>
        <v>0</v>
      </c>
      <c r="P120" s="103" t="b" cm="1">
        <f t="array" ref="P120">INDEX(stable[is_single_select],MATCH(VALUE(questions[[#This Row],[qno]]),VALUE(stable[qno]),0))</f>
        <v>1</v>
      </c>
      <c r="Q120" s="77" t="b" cm="1">
        <f t="array" ref="Q120">INDEX(stable[is_multi_select],MATCH(VALUE(questions[[#This Row],[qno]]),VALUE(stable[qno]),0))</f>
        <v>0</v>
      </c>
      <c r="R120" s="77" t="b" cm="1">
        <f t="array" ref="R120">INDEX(stable[is_skip_logic],MATCH(VALUE(questions[[#This Row],[qno]]),VALUE(stable[qno]),0))</f>
        <v>1</v>
      </c>
      <c r="S120" s="77" t="str">
        <f>_xlfn.TEXTJOIN(", ",TRUE,questions[[#This Row],[ans_opt_1]:[ans_opt_14]])</f>
        <v>Yes, No</v>
      </c>
      <c r="T120" s="77" t="s">
        <v>149</v>
      </c>
      <c r="U120" s="77" t="s">
        <v>119</v>
      </c>
      <c r="AH120" s="98" t="b">
        <f>INDEX(stable[q_standard],MATCH(questions[[#This Row],[qno]],stable[qno],0))</f>
        <v>0</v>
      </c>
      <c r="AI120" s="98" t="b">
        <f>INDEX(stable[q_living_income],MATCH(questions[[#This Row],[qno]],stable[qno],0))</f>
        <v>0</v>
      </c>
      <c r="AJ120" s="98" t="b">
        <f>INDEX(stable[q_carbon],MATCH(questions[[#This Row],[qno]],stable[qno],0))</f>
        <v>0</v>
      </c>
      <c r="AK120" s="98" t="b">
        <f>INDEX(stable[q_regen_ag],MATCH(questions[[#This Row],[qno]],stable[qno],0))</f>
        <v>1</v>
      </c>
      <c r="AL120" s="98" t="b">
        <f>COUNTIFS(stable[qno],questions[[#This Row],[qno]])=1</f>
        <v>1</v>
      </c>
      <c r="AM120" s="98" t="b">
        <f>OR(questions[[#This Row],[is_fixed]],questions[[#This Row],[is_localized]],questions[[#This Row],[is_supply_chain_dependent]])</f>
        <v>1</v>
      </c>
      <c r="AN120" s="98" t="b">
        <f>COUNTIFS(questions[[#This Row],[is_automated]:[is_multi_select]],TRUE)=1</f>
        <v>1</v>
      </c>
      <c r="AO120" s="98" t="b">
        <f>IF(questions[[#This Row],[is_fixed]],questions[[#This Row],[question]]=INDEX(stable[question],MATCH(questions[[#This Row],[qno]],stable[qno],0)),TRUE)</f>
        <v>1</v>
      </c>
      <c r="AP120" s="98" t="str">
        <f>LEFT(questions[[#This Row],[question]],similarity_range)</f>
        <v>Does any area of you</v>
      </c>
      <c r="AQ120" s="98" t="str">
        <f>LEFT(INDEX(stable[question],MATCH(questions[[#This Row],[qno]],stable[qno],0)),similarity_range)</f>
        <v>Does any area of you</v>
      </c>
      <c r="AR120" s="98" t="b">
        <f>questions[[#This Row],[question_first_characters]]=questions[[#This Row],[stability_first_characters]]</f>
        <v>1</v>
      </c>
      <c r="AS120" s="98" t="b">
        <f>IF(OR(questions[[#This Row],[is_single_select]],questions[[#This Row],[is_multi_select]]),NOT(ISBLANK(questions[[#This Row],[answer_opt_combined]])),TRUE)</f>
        <v>1</v>
      </c>
    </row>
    <row r="121" spans="1:45" s="77" customFormat="1" x14ac:dyDescent="0.25">
      <c r="A121" s="77" t="str">
        <f>_xlfn.TEXTJOIN("_",TRUE,questions[[#This Row],[origin]:[qno]])</f>
        <v>Indonesia_Arabica_west_java_impact_7114</v>
      </c>
      <c r="B121" s="77" t="s">
        <v>58</v>
      </c>
      <c r="C121" s="77" t="s">
        <v>59</v>
      </c>
      <c r="D121" s="77" t="s">
        <v>60</v>
      </c>
      <c r="F121" s="77" t="s">
        <v>349</v>
      </c>
      <c r="G121" s="77" t="s">
        <v>350</v>
      </c>
      <c r="H121" s="9" t="str" cm="1">
        <f t="array" ref="H121">INDEX(stableR[question],MATCH(VALUE(questions[[#This Row],[qno]]),VALUE(stableR[qno]),0))</f>
        <v xml:space="preserve">If there is erosion risk, do you implement anti-erosion measures/control (e.g. trenches, terracing, windbreaks, soil coverage/mulching, bunds, contour planting…)? </v>
      </c>
      <c r="I121" s="9" t="b" cm="1">
        <f t="array" ref="I121">INDEX(stable[is_fixed],MATCH(VALUE(questions[[#This Row],[qno]]),VALUE(stable[qno]),0))</f>
        <v>1</v>
      </c>
      <c r="J121" s="9" t="b" cm="1">
        <f t="array" ref="J121">INDEX(stable[is_localized],MATCH(VALUE(questions[[#This Row],[qno]]),VALUE(stable[qno]),0))</f>
        <v>0</v>
      </c>
      <c r="K121" s="9" t="b" cm="1">
        <f t="array" ref="K121">INDEX(stable[is_supply_chain_dependent],MATCH(VALUE(questions[[#This Row],[qno]]),VALUE(stable[qno]),0))</f>
        <v>0</v>
      </c>
      <c r="L121" s="9" t="b" cm="1">
        <f t="array" ref="L121">INDEX(stable[is_mandatory],MATCH(VALUE(questions[[#This Row],[qno]]),VALUE(stable[qno]),0))</f>
        <v>0</v>
      </c>
      <c r="M121" s="9" t="b" cm="1">
        <f t="array" ref="M121">INDEX(stable[is_automated],MATCH(VALUE(questions[[#This Row],[qno]]),VALUE(stable[qno]),0))</f>
        <v>0</v>
      </c>
      <c r="N121" s="9" t="b" cm="1">
        <f t="array" ref="N121">INDEX(stable[is_free_text],MATCH(VALUE(questions[[#This Row],[qno]]),VALUE(stable[qno]),0))</f>
        <v>0</v>
      </c>
      <c r="O121" s="9" t="b" cm="1">
        <f t="array" ref="O121">INDEX(stable[is_numerical],MATCH(VALUE(questions[[#This Row],[qno]]),VALUE(stable[qno]),0))</f>
        <v>0</v>
      </c>
      <c r="P121" s="103" t="b" cm="1">
        <f t="array" ref="P121">INDEX(stable[is_single_select],MATCH(VALUE(questions[[#This Row],[qno]]),VALUE(stable[qno]),0))</f>
        <v>1</v>
      </c>
      <c r="Q121" s="77" t="b" cm="1">
        <f t="array" ref="Q121">INDEX(stable[is_multi_select],MATCH(VALUE(questions[[#This Row],[qno]]),VALUE(stable[qno]),0))</f>
        <v>0</v>
      </c>
      <c r="R121" s="77" t="b" cm="1">
        <f t="array" ref="R121">INDEX(stable[is_skip_logic],MATCH(VALUE(questions[[#This Row],[qno]]),VALUE(stable[qno]),0))</f>
        <v>1</v>
      </c>
      <c r="S121" s="77" t="str">
        <f>_xlfn.TEXTJOIN(", ",TRUE,questions[[#This Row],[ans_opt_1]:[ans_opt_14]])</f>
        <v>No, Yes-Terracing, Yes-Trenches, Yes-Windbreaks, Yes-Mulching, Yes-Cover Crops, Yes-Water dykes, Yes-Contour Planting, Yes-A combination of previous practices, Yes-Other practices</v>
      </c>
      <c r="T121" s="77" t="s">
        <v>119</v>
      </c>
      <c r="U121" s="77" t="s">
        <v>351</v>
      </c>
      <c r="V121" s="77" t="s">
        <v>352</v>
      </c>
      <c r="W121" s="77" t="s">
        <v>353</v>
      </c>
      <c r="X121" s="77" t="s">
        <v>354</v>
      </c>
      <c r="Y121" s="77" t="s">
        <v>355</v>
      </c>
      <c r="Z121" s="77" t="s">
        <v>356</v>
      </c>
      <c r="AA121" s="77" t="s">
        <v>357</v>
      </c>
      <c r="AB121" s="77" t="s">
        <v>358</v>
      </c>
      <c r="AC121" s="77" t="s">
        <v>359</v>
      </c>
      <c r="AH121" s="98" t="b">
        <f>INDEX(stable[q_standard],MATCH(questions[[#This Row],[qno]],stable[qno],0))</f>
        <v>0</v>
      </c>
      <c r="AI121" s="98" t="b">
        <f>INDEX(stable[q_living_income],MATCH(questions[[#This Row],[qno]],stable[qno],0))</f>
        <v>0</v>
      </c>
      <c r="AJ121" s="98" t="b">
        <f>INDEX(stable[q_carbon],MATCH(questions[[#This Row],[qno]],stable[qno],0))</f>
        <v>0</v>
      </c>
      <c r="AK121" s="98" t="b">
        <f>INDEX(stable[q_regen_ag],MATCH(questions[[#This Row],[qno]],stable[qno],0))</f>
        <v>1</v>
      </c>
      <c r="AL121" s="98" t="b">
        <f>COUNTIFS(stable[qno],questions[[#This Row],[qno]])=1</f>
        <v>1</v>
      </c>
      <c r="AM121" s="98" t="b">
        <f>OR(questions[[#This Row],[is_fixed]],questions[[#This Row],[is_localized]],questions[[#This Row],[is_supply_chain_dependent]])</f>
        <v>1</v>
      </c>
      <c r="AN121" s="98" t="b">
        <f>COUNTIFS(questions[[#This Row],[is_automated]:[is_multi_select]],TRUE)=1</f>
        <v>1</v>
      </c>
      <c r="AO121" s="98" t="b">
        <f>IF(questions[[#This Row],[is_fixed]],questions[[#This Row],[question]]=INDEX(stable[question],MATCH(questions[[#This Row],[qno]],stable[qno],0)),TRUE)</f>
        <v>1</v>
      </c>
      <c r="AP121" s="98" t="str">
        <f>LEFT(questions[[#This Row],[question]],similarity_range)</f>
        <v xml:space="preserve">If there is erosion </v>
      </c>
      <c r="AQ121" s="98" t="str">
        <f>LEFT(INDEX(stable[question],MATCH(questions[[#This Row],[qno]],stable[qno],0)),similarity_range)</f>
        <v xml:space="preserve">If there is erosion </v>
      </c>
      <c r="AR121" s="98" t="b">
        <f>questions[[#This Row],[question_first_characters]]=questions[[#This Row],[stability_first_characters]]</f>
        <v>1</v>
      </c>
      <c r="AS121" s="98" t="b">
        <f>IF(OR(questions[[#This Row],[is_single_select]],questions[[#This Row],[is_multi_select]]),NOT(ISBLANK(questions[[#This Row],[answer_opt_combined]])),TRUE)</f>
        <v>1</v>
      </c>
    </row>
    <row r="122" spans="1:45" s="77" customFormat="1" x14ac:dyDescent="0.25">
      <c r="A122" s="77" t="str">
        <f>_xlfn.TEXTJOIN("_",TRUE,questions[[#This Row],[origin]:[qno]])</f>
        <v>Indonesia_Arabica_west_java_impact_7115</v>
      </c>
      <c r="B122" s="77" t="s">
        <v>58</v>
      </c>
      <c r="C122" s="77" t="s">
        <v>59</v>
      </c>
      <c r="D122" s="77" t="s">
        <v>60</v>
      </c>
      <c r="F122" s="77" t="s">
        <v>360</v>
      </c>
      <c r="G122" s="77" t="s">
        <v>361</v>
      </c>
      <c r="H122" s="9" t="str" cm="1">
        <f t="array" ref="H122">INDEX(stableR[question],MATCH(VALUE(questions[[#This Row],[qno]]),VALUE(stableR[qno]),0))</f>
        <v>Of the area of your coffee plots with risk of erosion, can you estimate the % or proportion of that area to which you apply anti-erosion measures/control?</v>
      </c>
      <c r="I122" s="9" t="b" cm="1">
        <f t="array" ref="I122">INDEX(stable[is_fixed],MATCH(VALUE(questions[[#This Row],[qno]]),VALUE(stable[qno]),0))</f>
        <v>1</v>
      </c>
      <c r="J122" s="9" t="b" cm="1">
        <f t="array" ref="J122">INDEX(stable[is_localized],MATCH(VALUE(questions[[#This Row],[qno]]),VALUE(stable[qno]),0))</f>
        <v>0</v>
      </c>
      <c r="K122" s="9" t="b" cm="1">
        <f t="array" ref="K122">INDEX(stable[is_supply_chain_dependent],MATCH(VALUE(questions[[#This Row],[qno]]),VALUE(stable[qno]),0))</f>
        <v>0</v>
      </c>
      <c r="L122" s="9" t="b" cm="1">
        <f t="array" ref="L122">INDEX(stable[is_mandatory],MATCH(VALUE(questions[[#This Row],[qno]]),VALUE(stable[qno]),0))</f>
        <v>0</v>
      </c>
      <c r="M122" s="9" t="b" cm="1">
        <f t="array" ref="M122">INDEX(stable[is_automated],MATCH(VALUE(questions[[#This Row],[qno]]),VALUE(stable[qno]),0))</f>
        <v>0</v>
      </c>
      <c r="N122" s="9" t="b" cm="1">
        <f t="array" ref="N122">INDEX(stable[is_free_text],MATCH(VALUE(questions[[#This Row],[qno]]),VALUE(stable[qno]),0))</f>
        <v>0</v>
      </c>
      <c r="O122" s="9" t="b" cm="1">
        <f t="array" ref="O122">INDEX(stable[is_numerical],MATCH(VALUE(questions[[#This Row],[qno]]),VALUE(stable[qno]),0))</f>
        <v>0</v>
      </c>
      <c r="P122" s="103" t="b" cm="1">
        <f t="array" ref="P122">INDEX(stable[is_single_select],MATCH(VALUE(questions[[#This Row],[qno]]),VALUE(stable[qno]),0))</f>
        <v>1</v>
      </c>
      <c r="Q122" s="77" t="b" cm="1">
        <f t="array" ref="Q122">INDEX(stable[is_multi_select],MATCH(VALUE(questions[[#This Row],[qno]]),VALUE(stable[qno]),0))</f>
        <v>0</v>
      </c>
      <c r="R122" s="77" t="b" cm="1">
        <f t="array" ref="R122">INDEX(stable[is_skip_logic],MATCH(VALUE(questions[[#This Row],[qno]]),VALUE(stable[qno]),0))</f>
        <v>1</v>
      </c>
      <c r="S122" s="77" t="str">
        <f>_xlfn.TEXTJOIN(", ",TRUE,questions[[#This Row],[ans_opt_1]:[ans_opt_14]])</f>
        <v>0% - none, 1% to 25% - little to a quarter, 26% to 50% - less than half, 51% to 75% - more than half, 76% to 100% - almost all</v>
      </c>
      <c r="T122" s="77" t="s">
        <v>362</v>
      </c>
      <c r="U122" s="77" t="s">
        <v>338</v>
      </c>
      <c r="V122" s="77" t="s">
        <v>339</v>
      </c>
      <c r="W122" s="77" t="s">
        <v>340</v>
      </c>
      <c r="X122" s="77" t="s">
        <v>341</v>
      </c>
      <c r="AH122" s="98" t="b">
        <f>INDEX(stable[q_standard],MATCH(questions[[#This Row],[qno]],stable[qno],0))</f>
        <v>0</v>
      </c>
      <c r="AI122" s="98" t="b">
        <f>INDEX(stable[q_living_income],MATCH(questions[[#This Row],[qno]],stable[qno],0))</f>
        <v>0</v>
      </c>
      <c r="AJ122" s="98" t="b">
        <f>INDEX(stable[q_carbon],MATCH(questions[[#This Row],[qno]],stable[qno],0))</f>
        <v>0</v>
      </c>
      <c r="AK122" s="98" t="b">
        <f>INDEX(stable[q_regen_ag],MATCH(questions[[#This Row],[qno]],stable[qno],0))</f>
        <v>1</v>
      </c>
      <c r="AL122" s="98" t="b">
        <f>COUNTIFS(stable[qno],questions[[#This Row],[qno]])=1</f>
        <v>1</v>
      </c>
      <c r="AM122" s="98" t="b">
        <f>OR(questions[[#This Row],[is_fixed]],questions[[#This Row],[is_localized]],questions[[#This Row],[is_supply_chain_dependent]])</f>
        <v>1</v>
      </c>
      <c r="AN122" s="98" t="b">
        <f>COUNTIFS(questions[[#This Row],[is_automated]:[is_multi_select]],TRUE)=1</f>
        <v>1</v>
      </c>
      <c r="AO122" s="98" t="b">
        <f>IF(questions[[#This Row],[is_fixed]],questions[[#This Row],[question]]=INDEX(stable[question],MATCH(questions[[#This Row],[qno]],stable[qno],0)),TRUE)</f>
        <v>1</v>
      </c>
      <c r="AP122" s="98" t="str">
        <f>LEFT(questions[[#This Row],[question]],similarity_range)</f>
        <v xml:space="preserve">Of the area of your </v>
      </c>
      <c r="AQ122" s="98" t="str">
        <f>LEFT(INDEX(stable[question],MATCH(questions[[#This Row],[qno]],stable[qno],0)),similarity_range)</f>
        <v xml:space="preserve">Of the area of your </v>
      </c>
      <c r="AR122" s="98" t="b">
        <f>questions[[#This Row],[question_first_characters]]=questions[[#This Row],[stability_first_characters]]</f>
        <v>1</v>
      </c>
      <c r="AS122" s="98" t="b">
        <f>IF(OR(questions[[#This Row],[is_single_select]],questions[[#This Row],[is_multi_select]]),NOT(ISBLANK(questions[[#This Row],[answer_opt_combined]])),TRUE)</f>
        <v>1</v>
      </c>
    </row>
    <row r="123" spans="1:45" s="77" customFormat="1" x14ac:dyDescent="0.25">
      <c r="A123" s="77" t="str">
        <f>_xlfn.TEXTJOIN("_",TRUE,questions[[#This Row],[origin]:[qno]])</f>
        <v>Indonesia_Arabica_west_java_impact_7126</v>
      </c>
      <c r="B123" s="77" t="s">
        <v>58</v>
      </c>
      <c r="C123" s="77" t="s">
        <v>59</v>
      </c>
      <c r="D123" s="77" t="s">
        <v>60</v>
      </c>
      <c r="F123" s="77" t="s">
        <v>363</v>
      </c>
      <c r="G123" s="77" t="s">
        <v>364</v>
      </c>
      <c r="H123" s="9" t="str" cm="1">
        <f t="array" ref="H123">INDEX(stableR[question],MATCH(VALUE(questions[[#This Row],[qno]]),VALUE(stableR[qno]),0))</f>
        <v>Do you take soil samples and carry out soil analysis of your coffee plots and how often?</v>
      </c>
      <c r="I123" s="9" t="b" cm="1">
        <f t="array" ref="I123">INDEX(stable[is_fixed],MATCH(VALUE(questions[[#This Row],[qno]]),VALUE(stable[qno]),0))</f>
        <v>1</v>
      </c>
      <c r="J123" s="9" t="b" cm="1">
        <f t="array" ref="J123">INDEX(stable[is_localized],MATCH(VALUE(questions[[#This Row],[qno]]),VALUE(stable[qno]),0))</f>
        <v>0</v>
      </c>
      <c r="K123" s="9" t="b" cm="1">
        <f t="array" ref="K123">INDEX(stable[is_supply_chain_dependent],MATCH(VALUE(questions[[#This Row],[qno]]),VALUE(stable[qno]),0))</f>
        <v>0</v>
      </c>
      <c r="L123" s="9" t="b" cm="1">
        <f t="array" ref="L123">INDEX(stable[is_mandatory],MATCH(VALUE(questions[[#This Row],[qno]]),VALUE(stable[qno]),0))</f>
        <v>1</v>
      </c>
      <c r="M123" s="9" t="b" cm="1">
        <f t="array" ref="M123">INDEX(stable[is_automated],MATCH(VALUE(questions[[#This Row],[qno]]),VALUE(stable[qno]),0))</f>
        <v>0</v>
      </c>
      <c r="N123" s="9" t="b" cm="1">
        <f t="array" ref="N123">INDEX(stable[is_free_text],MATCH(VALUE(questions[[#This Row],[qno]]),VALUE(stable[qno]),0))</f>
        <v>0</v>
      </c>
      <c r="O123" s="9" t="b" cm="1">
        <f t="array" ref="O123">INDEX(stable[is_numerical],MATCH(VALUE(questions[[#This Row],[qno]]),VALUE(stable[qno]),0))</f>
        <v>0</v>
      </c>
      <c r="P123" s="103" t="b" cm="1">
        <f t="array" ref="P123">INDEX(stable[is_single_select],MATCH(VALUE(questions[[#This Row],[qno]]),VALUE(stable[qno]),0))</f>
        <v>1</v>
      </c>
      <c r="Q123" s="77" t="b" cm="1">
        <f t="array" ref="Q123">INDEX(stable[is_multi_select],MATCH(VALUE(questions[[#This Row],[qno]]),VALUE(stable[qno]),0))</f>
        <v>0</v>
      </c>
      <c r="R123" s="77" t="b" cm="1">
        <f t="array" ref="R123">INDEX(stable[is_skip_logic],MATCH(VALUE(questions[[#This Row],[qno]]),VALUE(stable[qno]),0))</f>
        <v>1</v>
      </c>
      <c r="S123" s="77" t="str">
        <f>_xlfn.TEXTJOIN(", ",TRUE,questions[[#This Row],[ans_opt_1]:[ans_opt_14]])</f>
        <v>No, Yes-every year, Yes-every 2 years, Yes-every 3 years, Yes-every &gt; 3 years</v>
      </c>
      <c r="T123" s="77" t="s">
        <v>119</v>
      </c>
      <c r="U123" s="77" t="s">
        <v>365</v>
      </c>
      <c r="V123" s="77" t="s">
        <v>366</v>
      </c>
      <c r="W123" s="77" t="s">
        <v>367</v>
      </c>
      <c r="X123" s="77" t="s">
        <v>368</v>
      </c>
      <c r="AH123" s="98" t="b">
        <f>INDEX(stable[q_standard],MATCH(questions[[#This Row],[qno]],stable[qno],0))</f>
        <v>0</v>
      </c>
      <c r="AI123" s="98" t="b">
        <f>INDEX(stable[q_living_income],MATCH(questions[[#This Row],[qno]],stable[qno],0))</f>
        <v>0</v>
      </c>
      <c r="AJ123" s="98" t="b">
        <f>INDEX(stable[q_carbon],MATCH(questions[[#This Row],[qno]],stable[qno],0))</f>
        <v>0</v>
      </c>
      <c r="AK123" s="98" t="b">
        <f>INDEX(stable[q_regen_ag],MATCH(questions[[#This Row],[qno]],stable[qno],0))</f>
        <v>1</v>
      </c>
      <c r="AL123" s="98" t="b">
        <f>COUNTIFS(stable[qno],questions[[#This Row],[qno]])=1</f>
        <v>1</v>
      </c>
      <c r="AM123" s="98" t="b">
        <f>OR(questions[[#This Row],[is_fixed]],questions[[#This Row],[is_localized]],questions[[#This Row],[is_supply_chain_dependent]])</f>
        <v>1</v>
      </c>
      <c r="AN123" s="98" t="b">
        <f>COUNTIFS(questions[[#This Row],[is_automated]:[is_multi_select]],TRUE)=1</f>
        <v>1</v>
      </c>
      <c r="AO123" s="98" t="b">
        <f>IF(questions[[#This Row],[is_fixed]],questions[[#This Row],[question]]=INDEX(stable[question],MATCH(questions[[#This Row],[qno]],stable[qno],0)),TRUE)</f>
        <v>1</v>
      </c>
      <c r="AP123" s="98" t="str">
        <f>LEFT(questions[[#This Row],[question]],similarity_range)</f>
        <v>Do you take soil sam</v>
      </c>
      <c r="AQ123" s="98" t="str">
        <f>LEFT(INDEX(stable[question],MATCH(questions[[#This Row],[qno]],stable[qno],0)),similarity_range)</f>
        <v>Do you take soil sam</v>
      </c>
      <c r="AR123" s="98" t="b">
        <f>questions[[#This Row],[question_first_characters]]=questions[[#This Row],[stability_first_characters]]</f>
        <v>1</v>
      </c>
      <c r="AS123" s="98" t="b">
        <f>IF(OR(questions[[#This Row],[is_single_select]],questions[[#This Row],[is_multi_select]]),NOT(ISBLANK(questions[[#This Row],[answer_opt_combined]])),TRUE)</f>
        <v>1</v>
      </c>
    </row>
    <row r="124" spans="1:45" s="77" customFormat="1" x14ac:dyDescent="0.25">
      <c r="A124" s="77" t="str">
        <f>_xlfn.TEXTJOIN("_",TRUE,questions[[#This Row],[origin]:[qno]])</f>
        <v>Indonesia_Arabica_west_java_impact_7127</v>
      </c>
      <c r="B124" s="77" t="s">
        <v>58</v>
      </c>
      <c r="C124" s="77" t="s">
        <v>59</v>
      </c>
      <c r="D124" s="77" t="s">
        <v>60</v>
      </c>
      <c r="F124" s="77" t="s">
        <v>369</v>
      </c>
      <c r="G124" s="77" t="s">
        <v>370</v>
      </c>
      <c r="H124" s="9" t="str" cm="1">
        <f t="array" ref="H124">INDEX(stableR[question],MATCH(VALUE(questions[[#This Row],[qno]]),VALUE(stableR[qno]),0))</f>
        <v>If you don´t or last analysis is older than 3 years ago, do you know the basic characteristics of the soil of your coffee plots (e.g. pH-acidity, texture-light/medium/heavy, organic matter-high/good/poor, general fertility-good/average/poor...)?</v>
      </c>
      <c r="I124" s="9" t="b" cm="1">
        <f t="array" ref="I124">INDEX(stable[is_fixed],MATCH(VALUE(questions[[#This Row],[qno]]),VALUE(stable[qno]),0))</f>
        <v>1</v>
      </c>
      <c r="J124" s="9" t="b" cm="1">
        <f t="array" ref="J124">INDEX(stable[is_localized],MATCH(VALUE(questions[[#This Row],[qno]]),VALUE(stable[qno]),0))</f>
        <v>0</v>
      </c>
      <c r="K124" s="9" t="b" cm="1">
        <f t="array" ref="K124">INDEX(stable[is_supply_chain_dependent],MATCH(VALUE(questions[[#This Row],[qno]]),VALUE(stable[qno]),0))</f>
        <v>0</v>
      </c>
      <c r="L124" s="9" t="b" cm="1">
        <f t="array" ref="L124">INDEX(stable[is_mandatory],MATCH(VALUE(questions[[#This Row],[qno]]),VALUE(stable[qno]),0))</f>
        <v>0</v>
      </c>
      <c r="M124" s="9" t="b" cm="1">
        <f t="array" ref="M124">INDEX(stable[is_automated],MATCH(VALUE(questions[[#This Row],[qno]]),VALUE(stable[qno]),0))</f>
        <v>0</v>
      </c>
      <c r="N124" s="9" t="b" cm="1">
        <f t="array" ref="N124">INDEX(stable[is_free_text],MATCH(VALUE(questions[[#This Row],[qno]]),VALUE(stable[qno]),0))</f>
        <v>0</v>
      </c>
      <c r="O124" s="9" t="b" cm="1">
        <f t="array" ref="O124">INDEX(stable[is_numerical],MATCH(VALUE(questions[[#This Row],[qno]]),VALUE(stable[qno]),0))</f>
        <v>0</v>
      </c>
      <c r="P124" s="103" t="b" cm="1">
        <f t="array" ref="P124">INDEX(stable[is_single_select],MATCH(VALUE(questions[[#This Row],[qno]]),VALUE(stable[qno]),0))</f>
        <v>1</v>
      </c>
      <c r="Q124" s="77" t="b" cm="1">
        <f t="array" ref="Q124">INDEX(stable[is_multi_select],MATCH(VALUE(questions[[#This Row],[qno]]),VALUE(stable[qno]),0))</f>
        <v>0</v>
      </c>
      <c r="R124" s="77" t="b" cm="1">
        <f t="array" ref="R124">INDEX(stable[is_skip_logic],MATCH(VALUE(questions[[#This Row],[qno]]),VALUE(stable[qno]),0))</f>
        <v>1</v>
      </c>
      <c r="S124" s="77" t="str">
        <f>_xlfn.TEXTJOIN(", ",TRUE,questions[[#This Row],[ans_opt_1]:[ans_opt_14]])</f>
        <v>Yes, No</v>
      </c>
      <c r="T124" s="77" t="s">
        <v>149</v>
      </c>
      <c r="U124" s="77" t="s">
        <v>119</v>
      </c>
      <c r="AH124" s="98" t="b">
        <f>INDEX(stable[q_standard],MATCH(questions[[#This Row],[qno]],stable[qno],0))</f>
        <v>0</v>
      </c>
      <c r="AI124" s="98" t="b">
        <f>INDEX(stable[q_living_income],MATCH(questions[[#This Row],[qno]],stable[qno],0))</f>
        <v>0</v>
      </c>
      <c r="AJ124" s="98" t="b">
        <f>INDEX(stable[q_carbon],MATCH(questions[[#This Row],[qno]],stable[qno],0))</f>
        <v>0</v>
      </c>
      <c r="AK124" s="98" t="b">
        <f>INDEX(stable[q_regen_ag],MATCH(questions[[#This Row],[qno]],stable[qno],0))</f>
        <v>1</v>
      </c>
      <c r="AL124" s="98" t="b">
        <f>COUNTIFS(stable[qno],questions[[#This Row],[qno]])=1</f>
        <v>1</v>
      </c>
      <c r="AM124" s="98" t="b">
        <f>OR(questions[[#This Row],[is_fixed]],questions[[#This Row],[is_localized]],questions[[#This Row],[is_supply_chain_dependent]])</f>
        <v>1</v>
      </c>
      <c r="AN124" s="98" t="b">
        <f>COUNTIFS(questions[[#This Row],[is_automated]:[is_multi_select]],TRUE)=1</f>
        <v>1</v>
      </c>
      <c r="AO124" s="98" t="b">
        <f>IF(questions[[#This Row],[is_fixed]],questions[[#This Row],[question]]=INDEX(stable[question],MATCH(questions[[#This Row],[qno]],stable[qno],0)),TRUE)</f>
        <v>1</v>
      </c>
      <c r="AP124" s="98" t="str">
        <f>LEFT(questions[[#This Row],[question]],similarity_range)</f>
        <v>If you don´t or last</v>
      </c>
      <c r="AQ124" s="98" t="str">
        <f>LEFT(INDEX(stable[question],MATCH(questions[[#This Row],[qno]],stable[qno],0)),similarity_range)</f>
        <v>If you don´t or last</v>
      </c>
      <c r="AR124" s="98" t="b">
        <f>questions[[#This Row],[question_first_characters]]=questions[[#This Row],[stability_first_characters]]</f>
        <v>1</v>
      </c>
      <c r="AS124" s="98" t="b">
        <f>IF(OR(questions[[#This Row],[is_single_select]],questions[[#This Row],[is_multi_select]]),NOT(ISBLANK(questions[[#This Row],[answer_opt_combined]])),TRUE)</f>
        <v>1</v>
      </c>
    </row>
    <row r="125" spans="1:45" s="77" customFormat="1" x14ac:dyDescent="0.25">
      <c r="A125" s="77" t="str">
        <f>_xlfn.TEXTJOIN("_",TRUE,questions[[#This Row],[origin]:[qno]])</f>
        <v>Indonesia_Arabica_west_java_impact_7128</v>
      </c>
      <c r="B125" s="77" t="s">
        <v>58</v>
      </c>
      <c r="C125" s="77" t="s">
        <v>59</v>
      </c>
      <c r="D125" s="77" t="s">
        <v>60</v>
      </c>
      <c r="F125" s="77" t="s">
        <v>371</v>
      </c>
      <c r="G125" s="77" t="s">
        <v>372</v>
      </c>
      <c r="H125" s="9" t="str" cm="1">
        <f t="array" ref="H125">INDEX(stableR[question],MATCH(VALUE(questions[[#This Row],[qno]]),VALUE(stableR[qno]),0))</f>
        <v>What is the most common system to determine the amount and/or the type of organic and synthetic fertilizers that you use in your coffee crop?</v>
      </c>
      <c r="I125" s="9" t="b" cm="1">
        <f t="array" ref="I125">INDEX(stable[is_fixed],MATCH(VALUE(questions[[#This Row],[qno]]),VALUE(stable[qno]),0))</f>
        <v>1</v>
      </c>
      <c r="J125" s="9" t="b" cm="1">
        <f t="array" ref="J125">INDEX(stable[is_localized],MATCH(VALUE(questions[[#This Row],[qno]]),VALUE(stable[qno]),0))</f>
        <v>0</v>
      </c>
      <c r="K125" s="9" t="b" cm="1">
        <f t="array" ref="K125">INDEX(stable[is_supply_chain_dependent],MATCH(VALUE(questions[[#This Row],[qno]]),VALUE(stable[qno]),0))</f>
        <v>0</v>
      </c>
      <c r="L125" s="9" t="b" cm="1">
        <f t="array" ref="L125">INDEX(stable[is_mandatory],MATCH(VALUE(questions[[#This Row],[qno]]),VALUE(stable[qno]),0))</f>
        <v>1</v>
      </c>
      <c r="M125" s="9" t="b" cm="1">
        <f t="array" ref="M125">INDEX(stable[is_automated],MATCH(VALUE(questions[[#This Row],[qno]]),VALUE(stable[qno]),0))</f>
        <v>0</v>
      </c>
      <c r="N125" s="9" t="b" cm="1">
        <f t="array" ref="N125">INDEX(stable[is_free_text],MATCH(VALUE(questions[[#This Row],[qno]]),VALUE(stable[qno]),0))</f>
        <v>0</v>
      </c>
      <c r="O125" s="9" t="b" cm="1">
        <f t="array" ref="O125">INDEX(stable[is_numerical],MATCH(VALUE(questions[[#This Row],[qno]]),VALUE(stable[qno]),0))</f>
        <v>0</v>
      </c>
      <c r="P125" s="103" t="b" cm="1">
        <f t="array" ref="P125">INDEX(stable[is_single_select],MATCH(VALUE(questions[[#This Row],[qno]]),VALUE(stable[qno]),0))</f>
        <v>1</v>
      </c>
      <c r="Q125" s="77" t="b" cm="1">
        <f t="array" ref="Q125">INDEX(stable[is_multi_select],MATCH(VALUE(questions[[#This Row],[qno]]),VALUE(stable[qno]),0))</f>
        <v>0</v>
      </c>
      <c r="R125" s="77" t="b" cm="1">
        <f t="array" ref="R125">INDEX(stable[is_skip_logic],MATCH(VALUE(questions[[#This Row],[qno]]),VALUE(stable[qno]),0))</f>
        <v>0</v>
      </c>
      <c r="S125" s="77" t="str">
        <f>_xlfn.TEXTJOIN(", ",TRUE,questions[[#This Row],[ans_opt_1]:[ans_opt_14]])</f>
        <v>Based on my own judgment-experience, Based on what I can afford, I always use the same fertilization, Based on soil analysis or soil knowledge, Based on soil analysis or soil knowledge and the expected yield of the crop, Based on recommendations from experts (agronomists, field officers, extension services...), Based on recommendations from input suppliers, I don't use organic or synthetic fertilizers, based on other reasons then the above options</v>
      </c>
      <c r="T125" s="77" t="s">
        <v>373</v>
      </c>
      <c r="U125" s="77" t="s">
        <v>374</v>
      </c>
      <c r="V125" s="77" t="s">
        <v>375</v>
      </c>
      <c r="W125" s="77" t="s">
        <v>376</v>
      </c>
      <c r="X125" s="77" t="s">
        <v>377</v>
      </c>
      <c r="Y125" s="77" t="s">
        <v>378</v>
      </c>
      <c r="Z125" s="77" t="s">
        <v>379</v>
      </c>
      <c r="AA125" s="77" t="s">
        <v>380</v>
      </c>
      <c r="AH125" s="98" t="b">
        <f>INDEX(stable[q_standard],MATCH(questions[[#This Row],[qno]],stable[qno],0))</f>
        <v>0</v>
      </c>
      <c r="AI125" s="98" t="b">
        <f>INDEX(stable[q_living_income],MATCH(questions[[#This Row],[qno]],stable[qno],0))</f>
        <v>0</v>
      </c>
      <c r="AJ125" s="98" t="b">
        <f>INDEX(stable[q_carbon],MATCH(questions[[#This Row],[qno]],stable[qno],0))</f>
        <v>0</v>
      </c>
      <c r="AK125" s="98" t="b">
        <f>INDEX(stable[q_regen_ag],MATCH(questions[[#This Row],[qno]],stable[qno],0))</f>
        <v>1</v>
      </c>
      <c r="AL125" s="98" t="b">
        <f>COUNTIFS(stable[qno],questions[[#This Row],[qno]])=1</f>
        <v>1</v>
      </c>
      <c r="AM125" s="98" t="b">
        <f>OR(questions[[#This Row],[is_fixed]],questions[[#This Row],[is_localized]],questions[[#This Row],[is_supply_chain_dependent]])</f>
        <v>1</v>
      </c>
      <c r="AN125" s="98" t="b">
        <f>COUNTIFS(questions[[#This Row],[is_automated]:[is_multi_select]],TRUE)=1</f>
        <v>1</v>
      </c>
      <c r="AO125" s="98" t="b">
        <f>IF(questions[[#This Row],[is_fixed]],questions[[#This Row],[question]]=INDEX(stable[question],MATCH(questions[[#This Row],[qno]],stable[qno],0)),TRUE)</f>
        <v>1</v>
      </c>
      <c r="AP125" s="98" t="str">
        <f>LEFT(questions[[#This Row],[question]],similarity_range)</f>
        <v>What is the most com</v>
      </c>
      <c r="AQ125" s="98" t="str">
        <f>LEFT(INDEX(stable[question],MATCH(questions[[#This Row],[qno]],stable[qno],0)),similarity_range)</f>
        <v>What is the most com</v>
      </c>
      <c r="AR125" s="98" t="b">
        <f>questions[[#This Row],[question_first_characters]]=questions[[#This Row],[stability_first_characters]]</f>
        <v>1</v>
      </c>
      <c r="AS125" s="98" t="b">
        <f>IF(OR(questions[[#This Row],[is_single_select]],questions[[#This Row],[is_multi_select]]),NOT(ISBLANK(questions[[#This Row],[answer_opt_combined]])),TRUE)</f>
        <v>1</v>
      </c>
    </row>
    <row r="126" spans="1:45" s="77" customFormat="1" x14ac:dyDescent="0.25">
      <c r="A126" s="77" t="str">
        <f>_xlfn.TEXTJOIN("_",TRUE,questions[[#This Row],[origin]:[qno]])</f>
        <v>Indonesia_Arabica_west_java_impact_7131</v>
      </c>
      <c r="B126" s="77" t="s">
        <v>58</v>
      </c>
      <c r="C126" s="77" t="s">
        <v>59</v>
      </c>
      <c r="D126" s="77" t="s">
        <v>60</v>
      </c>
      <c r="F126" s="77" t="s">
        <v>381</v>
      </c>
      <c r="G126" s="77" t="s">
        <v>382</v>
      </c>
      <c r="H126" s="9" t="str" cm="1">
        <f t="array" ref="H126">INDEX(stableR[question],MATCH(VALUE(questions[[#This Row],[qno]]),VALUE(stableR[qno]),0))</f>
        <v>How often do you apply synthetic fertilizer per season in your coffee crop?</v>
      </c>
      <c r="I126" s="9" t="b" cm="1">
        <f t="array" ref="I126">INDEX(stable[is_fixed],MATCH(VALUE(questions[[#This Row],[qno]]),VALUE(stable[qno]),0))</f>
        <v>1</v>
      </c>
      <c r="J126" s="9" t="b" cm="1">
        <f t="array" ref="J126">INDEX(stable[is_localized],MATCH(VALUE(questions[[#This Row],[qno]]),VALUE(stable[qno]),0))</f>
        <v>0</v>
      </c>
      <c r="K126" s="9" t="b" cm="1">
        <f t="array" ref="K126">INDEX(stable[is_supply_chain_dependent],MATCH(VALUE(questions[[#This Row],[qno]]),VALUE(stable[qno]),0))</f>
        <v>0</v>
      </c>
      <c r="L126" s="9" t="b" cm="1">
        <f t="array" ref="L126">INDEX(stable[is_mandatory],MATCH(VALUE(questions[[#This Row],[qno]]),VALUE(stable[qno]),0))</f>
        <v>1</v>
      </c>
      <c r="M126" s="9" t="b" cm="1">
        <f t="array" ref="M126">INDEX(stable[is_automated],MATCH(VALUE(questions[[#This Row],[qno]]),VALUE(stable[qno]),0))</f>
        <v>0</v>
      </c>
      <c r="N126" s="9" t="b" cm="1">
        <f t="array" ref="N126">INDEX(stable[is_free_text],MATCH(VALUE(questions[[#This Row],[qno]]),VALUE(stable[qno]),0))</f>
        <v>0</v>
      </c>
      <c r="O126" s="9" t="b" cm="1">
        <f t="array" ref="O126">INDEX(stable[is_numerical],MATCH(VALUE(questions[[#This Row],[qno]]),VALUE(stable[qno]),0))</f>
        <v>0</v>
      </c>
      <c r="P126" s="103" t="b" cm="1">
        <f t="array" ref="P126">INDEX(stable[is_single_select],MATCH(VALUE(questions[[#This Row],[qno]]),VALUE(stable[qno]),0))</f>
        <v>1</v>
      </c>
      <c r="Q126" s="77" t="b" cm="1">
        <f t="array" ref="Q126">INDEX(stable[is_multi_select],MATCH(VALUE(questions[[#This Row],[qno]]),VALUE(stable[qno]),0))</f>
        <v>0</v>
      </c>
      <c r="R126" s="77" t="b" cm="1">
        <f t="array" ref="R126">INDEX(stable[is_skip_logic],MATCH(VALUE(questions[[#This Row],[qno]]),VALUE(stable[qno]),0))</f>
        <v>0</v>
      </c>
      <c r="S126" s="77" t="str">
        <f>_xlfn.TEXTJOIN(", ",TRUE,questions[[#This Row],[ans_opt_1]:[ans_opt_14]])</f>
        <v>I don't apply, I apply once per season, I apply multiple times throughout the season</v>
      </c>
      <c r="T126" s="77" t="s">
        <v>383</v>
      </c>
      <c r="U126" s="77" t="s">
        <v>384</v>
      </c>
      <c r="V126" s="77" t="s">
        <v>385</v>
      </c>
      <c r="AH126" s="98" t="b">
        <f>INDEX(stable[q_standard],MATCH(questions[[#This Row],[qno]],stable[qno],0))</f>
        <v>0</v>
      </c>
      <c r="AI126" s="98" t="b">
        <f>INDEX(stable[q_living_income],MATCH(questions[[#This Row],[qno]],stable[qno],0))</f>
        <v>0</v>
      </c>
      <c r="AJ126" s="98" t="b">
        <f>INDEX(stable[q_carbon],MATCH(questions[[#This Row],[qno]],stable[qno],0))</f>
        <v>0</v>
      </c>
      <c r="AK126" s="98" t="b">
        <f>INDEX(stable[q_regen_ag],MATCH(questions[[#This Row],[qno]],stable[qno],0))</f>
        <v>1</v>
      </c>
      <c r="AL126" s="98" t="b">
        <f>COUNTIFS(stable[qno],questions[[#This Row],[qno]])=1</f>
        <v>1</v>
      </c>
      <c r="AM126" s="98" t="b">
        <f>OR(questions[[#This Row],[is_fixed]],questions[[#This Row],[is_localized]],questions[[#This Row],[is_supply_chain_dependent]])</f>
        <v>1</v>
      </c>
      <c r="AN126" s="98" t="b">
        <f>COUNTIFS(questions[[#This Row],[is_automated]:[is_multi_select]],TRUE)=1</f>
        <v>1</v>
      </c>
      <c r="AO126" s="98" t="b">
        <f>IF(questions[[#This Row],[is_fixed]],questions[[#This Row],[question]]=INDEX(stable[question],MATCH(questions[[#This Row],[qno]],stable[qno],0)),TRUE)</f>
        <v>1</v>
      </c>
      <c r="AP126" s="98" t="str">
        <f>LEFT(questions[[#This Row],[question]],similarity_range)</f>
        <v>How often do you app</v>
      </c>
      <c r="AQ126" s="98" t="str">
        <f>LEFT(INDEX(stable[question],MATCH(questions[[#This Row],[qno]],stable[qno],0)),similarity_range)</f>
        <v>How often do you app</v>
      </c>
      <c r="AR126" s="98" t="b">
        <f>questions[[#This Row],[question_first_characters]]=questions[[#This Row],[stability_first_characters]]</f>
        <v>1</v>
      </c>
      <c r="AS126" s="98" t="b">
        <f>IF(OR(questions[[#This Row],[is_single_select]],questions[[#This Row],[is_multi_select]]),NOT(ISBLANK(questions[[#This Row],[answer_opt_combined]])),TRUE)</f>
        <v>1</v>
      </c>
    </row>
    <row r="127" spans="1:45" s="77" customFormat="1" x14ac:dyDescent="0.25">
      <c r="A127" s="77" t="str">
        <f>_xlfn.TEXTJOIN("_",TRUE,questions[[#This Row],[origin]:[qno]])</f>
        <v>Indonesia_Arabica_west_java_impact_7132</v>
      </c>
      <c r="B127" s="77" t="s">
        <v>58</v>
      </c>
      <c r="C127" s="77" t="s">
        <v>59</v>
      </c>
      <c r="D127" s="77" t="s">
        <v>60</v>
      </c>
      <c r="F127" s="77" t="s">
        <v>386</v>
      </c>
      <c r="G127" s="77" t="s">
        <v>387</v>
      </c>
      <c r="H127" s="9" t="str" cm="1">
        <f t="array" ref="H127">INDEX(stableR[question],MATCH(VALUE(questions[[#This Row],[qno]]),VALUE(stableR[qno]),0))</f>
        <v>How do you apply the organic and synthetic fertilizers to the coffee trees in the coffee plots?</v>
      </c>
      <c r="I127" s="9" t="b" cm="1">
        <f t="array" ref="I127">INDEX(stable[is_fixed],MATCH(VALUE(questions[[#This Row],[qno]]),VALUE(stable[qno]),0))</f>
        <v>1</v>
      </c>
      <c r="J127" s="9" t="b" cm="1">
        <f t="array" ref="J127">INDEX(stable[is_localized],MATCH(VALUE(questions[[#This Row],[qno]]),VALUE(stable[qno]),0))</f>
        <v>0</v>
      </c>
      <c r="K127" s="9" t="b" cm="1">
        <f t="array" ref="K127">INDEX(stable[is_supply_chain_dependent],MATCH(VALUE(questions[[#This Row],[qno]]),VALUE(stable[qno]),0))</f>
        <v>0</v>
      </c>
      <c r="L127" s="9" t="b" cm="1">
        <f t="array" ref="L127">INDEX(stable[is_mandatory],MATCH(VALUE(questions[[#This Row],[qno]]),VALUE(stable[qno]),0))</f>
        <v>0</v>
      </c>
      <c r="M127" s="9" t="b" cm="1">
        <f t="array" ref="M127">INDEX(stable[is_automated],MATCH(VALUE(questions[[#This Row],[qno]]),VALUE(stable[qno]),0))</f>
        <v>0</v>
      </c>
      <c r="N127" s="9" t="b" cm="1">
        <f t="array" ref="N127">INDEX(stable[is_free_text],MATCH(VALUE(questions[[#This Row],[qno]]),VALUE(stable[qno]),0))</f>
        <v>0</v>
      </c>
      <c r="O127" s="9" t="b" cm="1">
        <f t="array" ref="O127">INDEX(stable[is_numerical],MATCH(VALUE(questions[[#This Row],[qno]]),VALUE(stable[qno]),0))</f>
        <v>0</v>
      </c>
      <c r="P127" s="103" t="b" cm="1">
        <f t="array" ref="P127">INDEX(stable[is_single_select],MATCH(VALUE(questions[[#This Row],[qno]]),VALUE(stable[qno]),0))</f>
        <v>1</v>
      </c>
      <c r="Q127" s="77" t="b" cm="1">
        <f t="array" ref="Q127">INDEX(stable[is_multi_select],MATCH(VALUE(questions[[#This Row],[qno]]),VALUE(stable[qno]),0))</f>
        <v>0</v>
      </c>
      <c r="R127" s="77" t="b" cm="1">
        <f t="array" ref="R127">INDEX(stable[is_skip_logic],MATCH(VALUE(questions[[#This Row],[qno]]),VALUE(stable[qno]),0))</f>
        <v>0</v>
      </c>
      <c r="S127" s="77" t="str">
        <f>_xlfn.TEXTJOIN(", ",TRUE,questions[[#This Row],[ans_opt_1]:[ans_opt_14]])</f>
        <v>Around the tree, In bands close to the trees, Broadcasted in all the field, Through the irrigation system (e.g. drip)</v>
      </c>
      <c r="T127" s="77" t="s">
        <v>388</v>
      </c>
      <c r="U127" s="77" t="s">
        <v>389</v>
      </c>
      <c r="V127" s="77" t="s">
        <v>390</v>
      </c>
      <c r="W127" s="77" t="s">
        <v>391</v>
      </c>
      <c r="AH127" s="98" t="b">
        <f>INDEX(stable[q_standard],MATCH(questions[[#This Row],[qno]],stable[qno],0))</f>
        <v>0</v>
      </c>
      <c r="AI127" s="98" t="b">
        <f>INDEX(stable[q_living_income],MATCH(questions[[#This Row],[qno]],stable[qno],0))</f>
        <v>0</v>
      </c>
      <c r="AJ127" s="98" t="b">
        <f>INDEX(stable[q_carbon],MATCH(questions[[#This Row],[qno]],stable[qno],0))</f>
        <v>0</v>
      </c>
      <c r="AK127" s="98" t="b">
        <f>INDEX(stable[q_regen_ag],MATCH(questions[[#This Row],[qno]],stable[qno],0))</f>
        <v>1</v>
      </c>
      <c r="AL127" s="98" t="b">
        <f>COUNTIFS(stable[qno],questions[[#This Row],[qno]])=1</f>
        <v>1</v>
      </c>
      <c r="AM127" s="98" t="b">
        <f>OR(questions[[#This Row],[is_fixed]],questions[[#This Row],[is_localized]],questions[[#This Row],[is_supply_chain_dependent]])</f>
        <v>1</v>
      </c>
      <c r="AN127" s="98" t="b">
        <f>COUNTIFS(questions[[#This Row],[is_automated]:[is_multi_select]],TRUE)=1</f>
        <v>1</v>
      </c>
      <c r="AO127" s="98" t="b">
        <f>IF(questions[[#This Row],[is_fixed]],questions[[#This Row],[question]]=INDEX(stable[question],MATCH(questions[[#This Row],[qno]],stable[qno],0)),TRUE)</f>
        <v>1</v>
      </c>
      <c r="AP127" s="98" t="str">
        <f>LEFT(questions[[#This Row],[question]],similarity_range)</f>
        <v>How do you apply the</v>
      </c>
      <c r="AQ127" s="98" t="str">
        <f>LEFT(INDEX(stable[question],MATCH(questions[[#This Row],[qno]],stable[qno],0)),similarity_range)</f>
        <v>How do you apply the</v>
      </c>
      <c r="AR127" s="98" t="b">
        <f>questions[[#This Row],[question_first_characters]]=questions[[#This Row],[stability_first_characters]]</f>
        <v>1</v>
      </c>
      <c r="AS127" s="98" t="b">
        <f>IF(OR(questions[[#This Row],[is_single_select]],questions[[#This Row],[is_multi_select]]),NOT(ISBLANK(questions[[#This Row],[answer_opt_combined]])),TRUE)</f>
        <v>1</v>
      </c>
    </row>
    <row r="128" spans="1:45" s="77" customFormat="1" x14ac:dyDescent="0.25">
      <c r="A128" s="77" t="str">
        <f>_xlfn.TEXTJOIN("_",TRUE,questions[[#This Row],[origin]:[qno]])</f>
        <v>Indonesia_Arabica_west_java_impact_7133</v>
      </c>
      <c r="B128" s="77" t="s">
        <v>58</v>
      </c>
      <c r="C128" s="77" t="s">
        <v>59</v>
      </c>
      <c r="D128" s="77" t="s">
        <v>60</v>
      </c>
      <c r="F128" s="77" t="s">
        <v>392</v>
      </c>
      <c r="G128" s="77" t="s">
        <v>393</v>
      </c>
      <c r="H128" s="9" t="str" cm="1">
        <f t="array" ref="H128">INDEX(stableR[question],MATCH(VALUE(questions[[#This Row],[qno]]),VALUE(stableR[qno]),0))</f>
        <v>Do you know the 4R principles of using organic and synthetic fertilizers in crops (Right Amount, Right Product, Right Time, Right Place)?</v>
      </c>
      <c r="I128" s="9" t="b" cm="1">
        <f t="array" ref="I128">INDEX(stable[is_fixed],MATCH(VALUE(questions[[#This Row],[qno]]),VALUE(stable[qno]),0))</f>
        <v>1</v>
      </c>
      <c r="J128" s="9" t="b" cm="1">
        <f t="array" ref="J128">INDEX(stable[is_localized],MATCH(VALUE(questions[[#This Row],[qno]]),VALUE(stable[qno]),0))</f>
        <v>0</v>
      </c>
      <c r="K128" s="9" t="b" cm="1">
        <f t="array" ref="K128">INDEX(stable[is_supply_chain_dependent],MATCH(VALUE(questions[[#This Row],[qno]]),VALUE(stable[qno]),0))</f>
        <v>0</v>
      </c>
      <c r="L128" s="9" t="b" cm="1">
        <f t="array" ref="L128">INDEX(stable[is_mandatory],MATCH(VALUE(questions[[#This Row],[qno]]),VALUE(stable[qno]),0))</f>
        <v>1</v>
      </c>
      <c r="M128" s="9" t="b" cm="1">
        <f t="array" ref="M128">INDEX(stable[is_automated],MATCH(VALUE(questions[[#This Row],[qno]]),VALUE(stable[qno]),0))</f>
        <v>0</v>
      </c>
      <c r="N128" s="9" t="b" cm="1">
        <f t="array" ref="N128">INDEX(stable[is_free_text],MATCH(VALUE(questions[[#This Row],[qno]]),VALUE(stable[qno]),0))</f>
        <v>0</v>
      </c>
      <c r="O128" s="9" t="b" cm="1">
        <f t="array" ref="O128">INDEX(stable[is_numerical],MATCH(VALUE(questions[[#This Row],[qno]]),VALUE(stable[qno]),0))</f>
        <v>0</v>
      </c>
      <c r="P128" s="103" t="b" cm="1">
        <f t="array" ref="P128">INDEX(stable[is_single_select],MATCH(VALUE(questions[[#This Row],[qno]]),VALUE(stable[qno]),0))</f>
        <v>1</v>
      </c>
      <c r="Q128" s="77" t="b" cm="1">
        <f t="array" ref="Q128">INDEX(stable[is_multi_select],MATCH(VALUE(questions[[#This Row],[qno]]),VALUE(stable[qno]),0))</f>
        <v>0</v>
      </c>
      <c r="R128" s="77" t="b" cm="1">
        <f t="array" ref="R128">INDEX(stable[is_skip_logic],MATCH(VALUE(questions[[#This Row],[qno]]),VALUE(stable[qno]),0))</f>
        <v>0</v>
      </c>
      <c r="S128" s="77" t="str">
        <f>_xlfn.TEXTJOIN(", ",TRUE,questions[[#This Row],[ans_opt_1]:[ans_opt_14]])</f>
        <v>Yes, No</v>
      </c>
      <c r="T128" s="77" t="s">
        <v>149</v>
      </c>
      <c r="U128" s="77" t="s">
        <v>119</v>
      </c>
      <c r="AH128" s="98" t="b">
        <f>INDEX(stable[q_standard],MATCH(questions[[#This Row],[qno]],stable[qno],0))</f>
        <v>0</v>
      </c>
      <c r="AI128" s="98" t="b">
        <f>INDEX(stable[q_living_income],MATCH(questions[[#This Row],[qno]],stable[qno],0))</f>
        <v>0</v>
      </c>
      <c r="AJ128" s="98" t="b">
        <f>INDEX(stable[q_carbon],MATCH(questions[[#This Row],[qno]],stable[qno],0))</f>
        <v>0</v>
      </c>
      <c r="AK128" s="98" t="b">
        <f>INDEX(stable[q_regen_ag],MATCH(questions[[#This Row],[qno]],stable[qno],0))</f>
        <v>1</v>
      </c>
      <c r="AL128" s="98" t="b">
        <f>COUNTIFS(stable[qno],questions[[#This Row],[qno]])=1</f>
        <v>1</v>
      </c>
      <c r="AM128" s="98" t="b">
        <f>OR(questions[[#This Row],[is_fixed]],questions[[#This Row],[is_localized]],questions[[#This Row],[is_supply_chain_dependent]])</f>
        <v>1</v>
      </c>
      <c r="AN128" s="98" t="b">
        <f>COUNTIFS(questions[[#This Row],[is_automated]:[is_multi_select]],TRUE)=1</f>
        <v>1</v>
      </c>
      <c r="AO128" s="98" t="b">
        <f>IF(questions[[#This Row],[is_fixed]],questions[[#This Row],[question]]=INDEX(stable[question],MATCH(questions[[#This Row],[qno]],stable[qno],0)),TRUE)</f>
        <v>1</v>
      </c>
      <c r="AP128" s="98" t="str">
        <f>LEFT(questions[[#This Row],[question]],similarity_range)</f>
        <v>Do you know the 4R p</v>
      </c>
      <c r="AQ128" s="98" t="str">
        <f>LEFT(INDEX(stable[question],MATCH(questions[[#This Row],[qno]],stable[qno],0)),similarity_range)</f>
        <v>Do you know the 4R p</v>
      </c>
      <c r="AR128" s="98" t="b">
        <f>questions[[#This Row],[question_first_characters]]=questions[[#This Row],[stability_first_characters]]</f>
        <v>1</v>
      </c>
      <c r="AS128" s="98" t="b">
        <f>IF(OR(questions[[#This Row],[is_single_select]],questions[[#This Row],[is_multi_select]]),NOT(ISBLANK(questions[[#This Row],[answer_opt_combined]])),TRUE)</f>
        <v>1</v>
      </c>
    </row>
    <row r="129" spans="1:45" s="77" customFormat="1" x14ac:dyDescent="0.25">
      <c r="A129" s="77" t="str">
        <f>_xlfn.TEXTJOIN("_",TRUE,questions[[#This Row],[origin]:[qno]])</f>
        <v>Indonesia_Arabica_west_java_impact_7240</v>
      </c>
      <c r="B129" s="77" t="s">
        <v>58</v>
      </c>
      <c r="C129" s="77" t="s">
        <v>59</v>
      </c>
      <c r="D129" s="77" t="s">
        <v>60</v>
      </c>
      <c r="F129" s="77" t="s">
        <v>394</v>
      </c>
      <c r="G129" s="77" t="s">
        <v>395</v>
      </c>
      <c r="H129" s="9" t="str" cm="1">
        <f t="array" ref="H129">INDEX(stableR[question],MATCH(VALUE(questions[[#This Row],[qno]]),VALUE(stableR[qno]),0))</f>
        <v>Do you apply chemical PPPs (plant protection products) like pesticides/fungicides/nematicides in your coffee crop, and how many different active ingredients per crop season?</v>
      </c>
      <c r="I129" s="9" t="b" cm="1">
        <f t="array" ref="I129">INDEX(stable[is_fixed],MATCH(VALUE(questions[[#This Row],[qno]]),VALUE(stable[qno]),0))</f>
        <v>1</v>
      </c>
      <c r="J129" s="9" t="b" cm="1">
        <f t="array" ref="J129">INDEX(stable[is_localized],MATCH(VALUE(questions[[#This Row],[qno]]),VALUE(stable[qno]),0))</f>
        <v>0</v>
      </c>
      <c r="K129" s="9" t="b" cm="1">
        <f t="array" ref="K129">INDEX(stable[is_supply_chain_dependent],MATCH(VALUE(questions[[#This Row],[qno]]),VALUE(stable[qno]),0))</f>
        <v>0</v>
      </c>
      <c r="L129" s="9" t="b" cm="1">
        <f t="array" ref="L129">INDEX(stable[is_mandatory],MATCH(VALUE(questions[[#This Row],[qno]]),VALUE(stable[qno]),0))</f>
        <v>1</v>
      </c>
      <c r="M129" s="9" t="b" cm="1">
        <f t="array" ref="M129">INDEX(stable[is_automated],MATCH(VALUE(questions[[#This Row],[qno]]),VALUE(stable[qno]),0))</f>
        <v>0</v>
      </c>
      <c r="N129" s="9" t="b" cm="1">
        <f t="array" ref="N129">INDEX(stable[is_free_text],MATCH(VALUE(questions[[#This Row],[qno]]),VALUE(stable[qno]),0))</f>
        <v>0</v>
      </c>
      <c r="O129" s="9" t="b" cm="1">
        <f t="array" ref="O129">INDEX(stable[is_numerical],MATCH(VALUE(questions[[#This Row],[qno]]),VALUE(stable[qno]),0))</f>
        <v>0</v>
      </c>
      <c r="P129" s="103" t="b" cm="1">
        <f t="array" ref="P129">INDEX(stable[is_single_select],MATCH(VALUE(questions[[#This Row],[qno]]),VALUE(stable[qno]),0))</f>
        <v>1</v>
      </c>
      <c r="Q129" s="77" t="b" cm="1">
        <f t="array" ref="Q129">INDEX(stable[is_multi_select],MATCH(VALUE(questions[[#This Row],[qno]]),VALUE(stable[qno]),0))</f>
        <v>0</v>
      </c>
      <c r="R129" s="77" t="b" cm="1">
        <f t="array" ref="R129">INDEX(stable[is_skip_logic],MATCH(VALUE(questions[[#This Row],[qno]]),VALUE(stable[qno]),0))</f>
        <v>1</v>
      </c>
      <c r="S129" s="77" t="str">
        <f>_xlfn.TEXTJOIN(", ",TRUE,questions[[#This Row],[ans_opt_1]:[ans_opt_14]])</f>
        <v>Yes, No</v>
      </c>
      <c r="T129" s="77" t="s">
        <v>149</v>
      </c>
      <c r="U129" s="77" t="s">
        <v>119</v>
      </c>
      <c r="AH129" s="98" t="b">
        <f>INDEX(stable[q_standard],MATCH(questions[[#This Row],[qno]],stable[qno],0))</f>
        <v>0</v>
      </c>
      <c r="AI129" s="98" t="b">
        <f>INDEX(stable[q_living_income],MATCH(questions[[#This Row],[qno]],stable[qno],0))</f>
        <v>0</v>
      </c>
      <c r="AJ129" s="98" t="b">
        <f>INDEX(stable[q_carbon],MATCH(questions[[#This Row],[qno]],stable[qno],0))</f>
        <v>0</v>
      </c>
      <c r="AK129" s="98" t="b">
        <f>INDEX(stable[q_regen_ag],MATCH(questions[[#This Row],[qno]],stable[qno],0))</f>
        <v>1</v>
      </c>
      <c r="AL129" s="98" t="b">
        <f>COUNTIFS(stable[qno],questions[[#This Row],[qno]])=1</f>
        <v>1</v>
      </c>
      <c r="AM129" s="98" t="b">
        <f>OR(questions[[#This Row],[is_fixed]],questions[[#This Row],[is_localized]],questions[[#This Row],[is_supply_chain_dependent]])</f>
        <v>1</v>
      </c>
      <c r="AN129" s="98" t="b">
        <f>COUNTIFS(questions[[#This Row],[is_automated]:[is_multi_select]],TRUE)=1</f>
        <v>1</v>
      </c>
      <c r="AO129" s="98" t="b">
        <f>IF(questions[[#This Row],[is_fixed]],questions[[#This Row],[question]]=INDEX(stable[question],MATCH(questions[[#This Row],[qno]],stable[qno],0)),TRUE)</f>
        <v>0</v>
      </c>
      <c r="AP129" s="98" t="str">
        <f>LEFT(questions[[#This Row],[question]],similarity_range)</f>
        <v>Did you use chemical</v>
      </c>
      <c r="AQ129" s="98" t="str">
        <f>LEFT(INDEX(stable[question],MATCH(questions[[#This Row],[qno]],stable[qno],0)),similarity_range)</f>
        <v>Did you use chemical</v>
      </c>
      <c r="AR129" s="98" t="b">
        <f>questions[[#This Row],[question_first_characters]]=questions[[#This Row],[stability_first_characters]]</f>
        <v>1</v>
      </c>
      <c r="AS129" s="98" t="b">
        <f>IF(OR(questions[[#This Row],[is_single_select]],questions[[#This Row],[is_multi_select]]),NOT(ISBLANK(questions[[#This Row],[answer_opt_combined]])),TRUE)</f>
        <v>1</v>
      </c>
    </row>
    <row r="130" spans="1:45" s="77" customFormat="1" x14ac:dyDescent="0.25">
      <c r="A130" s="77" t="str">
        <f>_xlfn.TEXTJOIN("_",TRUE,questions[[#This Row],[origin]:[qno]])</f>
        <v>Indonesia_Arabica_west_java_impact_7241</v>
      </c>
      <c r="B130" s="77" t="s">
        <v>58</v>
      </c>
      <c r="C130" s="77" t="s">
        <v>59</v>
      </c>
      <c r="D130" s="77" t="s">
        <v>60</v>
      </c>
      <c r="F130" s="77" t="s">
        <v>396</v>
      </c>
      <c r="G130" s="77" t="s">
        <v>397</v>
      </c>
      <c r="H130" s="9" t="str" cm="1">
        <f t="array" ref="H130">INDEX(stableR[question],MATCH(VALUE(questions[[#This Row],[qno]]),VALUE(stableR[qno]),0))</f>
        <v>If yes, list the names of all the pesticides and/or fungicides that you used, last year.</v>
      </c>
      <c r="I130" s="9" t="b" cm="1">
        <f t="array" ref="I130">INDEX(stable[is_fixed],MATCH(VALUE(questions[[#This Row],[qno]]),VALUE(stable[qno]),0))</f>
        <v>1</v>
      </c>
      <c r="J130" s="9" t="b" cm="1">
        <f t="array" ref="J130">INDEX(stable[is_localized],MATCH(VALUE(questions[[#This Row],[qno]]),VALUE(stable[qno]),0))</f>
        <v>0</v>
      </c>
      <c r="K130" s="9" t="b" cm="1">
        <f t="array" ref="K130">INDEX(stable[is_supply_chain_dependent],MATCH(VALUE(questions[[#This Row],[qno]]),VALUE(stable[qno]),0))</f>
        <v>0</v>
      </c>
      <c r="L130" s="9" t="b" cm="1">
        <f t="array" ref="L130">INDEX(stable[is_mandatory],MATCH(VALUE(questions[[#This Row],[qno]]),VALUE(stable[qno]),0))</f>
        <v>0</v>
      </c>
      <c r="M130" s="9" t="b" cm="1">
        <f t="array" ref="M130">INDEX(stable[is_automated],MATCH(VALUE(questions[[#This Row],[qno]]),VALUE(stable[qno]),0))</f>
        <v>0</v>
      </c>
      <c r="N130" s="9" t="b" cm="1">
        <f t="array" ref="N130">INDEX(stable[is_free_text],MATCH(VALUE(questions[[#This Row],[qno]]),VALUE(stable[qno]),0))</f>
        <v>0</v>
      </c>
      <c r="O130" s="9" t="b" cm="1">
        <f t="array" ref="O130">INDEX(stable[is_numerical],MATCH(VALUE(questions[[#This Row],[qno]]),VALUE(stable[qno]),0))</f>
        <v>0</v>
      </c>
      <c r="P130" s="103" t="b" cm="1">
        <f t="array" ref="P130">INDEX(stable[is_single_select],MATCH(VALUE(questions[[#This Row],[qno]]),VALUE(stable[qno]),0))</f>
        <v>1</v>
      </c>
      <c r="Q130" s="77" t="b" cm="1">
        <f t="array" ref="Q130">INDEX(stable[is_multi_select],MATCH(VALUE(questions[[#This Row],[qno]]),VALUE(stable[qno]),0))</f>
        <v>0</v>
      </c>
      <c r="R130" s="77" t="b" cm="1">
        <f t="array" ref="R130">INDEX(stable[is_skip_logic],MATCH(VALUE(questions[[#This Row],[qno]]),VALUE(stable[qno]),0))</f>
        <v>1</v>
      </c>
      <c r="S130" s="77" t="str">
        <f>_xlfn.TEXTJOIN(", ",TRUE,questions[[#This Row],[ans_opt_1]:[ans_opt_14]])</f>
        <v>Yes, No</v>
      </c>
      <c r="T130" s="77" t="s">
        <v>149</v>
      </c>
      <c r="U130" s="77" t="s">
        <v>119</v>
      </c>
      <c r="AH130" s="98" t="b">
        <f>INDEX(stable[q_standard],MATCH(questions[[#This Row],[qno]],stable[qno],0))</f>
        <v>0</v>
      </c>
      <c r="AI130" s="98" t="b">
        <f>INDEX(stable[q_living_income],MATCH(questions[[#This Row],[qno]],stable[qno],0))</f>
        <v>0</v>
      </c>
      <c r="AJ130" s="98" t="b">
        <f>INDEX(stable[q_carbon],MATCH(questions[[#This Row],[qno]],stable[qno],0))</f>
        <v>0</v>
      </c>
      <c r="AK130" s="98" t="b">
        <f>INDEX(stable[q_regen_ag],MATCH(questions[[#This Row],[qno]],stable[qno],0))</f>
        <v>1</v>
      </c>
      <c r="AL130" s="98" t="b">
        <f>COUNTIFS(stable[qno],questions[[#This Row],[qno]])=1</f>
        <v>1</v>
      </c>
      <c r="AM130" s="98" t="b">
        <f>OR(questions[[#This Row],[is_fixed]],questions[[#This Row],[is_localized]],questions[[#This Row],[is_supply_chain_dependent]])</f>
        <v>1</v>
      </c>
      <c r="AN130" s="98" t="b">
        <f>COUNTIFS(questions[[#This Row],[is_automated]:[is_multi_select]],TRUE)=1</f>
        <v>1</v>
      </c>
      <c r="AO130" s="98" t="b">
        <f>IF(questions[[#This Row],[is_fixed]],questions[[#This Row],[question]]=INDEX(stable[question],MATCH(questions[[#This Row],[qno]],stable[qno],0)),TRUE)</f>
        <v>0</v>
      </c>
      <c r="AP130" s="98" t="str">
        <f>LEFT(questions[[#This Row],[question]],similarity_range)</f>
        <v>If you apply chemica</v>
      </c>
      <c r="AQ130" s="98" t="str">
        <f>LEFT(INDEX(stable[question],MATCH(questions[[#This Row],[qno]],stable[qno],0)),similarity_range)</f>
        <v>If you apply chemica</v>
      </c>
      <c r="AR130" s="98" t="b">
        <f>questions[[#This Row],[question_first_characters]]=questions[[#This Row],[stability_first_characters]]</f>
        <v>1</v>
      </c>
      <c r="AS130" s="98" t="b">
        <f>IF(OR(questions[[#This Row],[is_single_select]],questions[[#This Row],[is_multi_select]]),NOT(ISBLANK(questions[[#This Row],[answer_opt_combined]])),TRUE)</f>
        <v>1</v>
      </c>
    </row>
    <row r="131" spans="1:45" s="77" customFormat="1" x14ac:dyDescent="0.25">
      <c r="A131" s="77" t="str">
        <f>_xlfn.TEXTJOIN("_",TRUE,questions[[#This Row],[origin]:[qno]])</f>
        <v>Indonesia_Arabica_west_java_impact_7242</v>
      </c>
      <c r="B131" s="77" t="s">
        <v>58</v>
      </c>
      <c r="C131" s="77" t="s">
        <v>59</v>
      </c>
      <c r="D131" s="77" t="s">
        <v>60</v>
      </c>
      <c r="F131" s="77" t="s">
        <v>398</v>
      </c>
      <c r="G131" s="77" t="s">
        <v>399</v>
      </c>
      <c r="H131" s="9" t="str" cm="1">
        <f t="array" ref="H131">INDEX(stableR[question],MATCH(VALUE(questions[[#This Row],[qno]]),VALUE(stableR[qno]),0))</f>
        <v>If you apply chemical PPPs, are you aware of the IPM-Integrated Pest Management concept and practices (e.g. pest-disease identification and monitoring, right moment for control, use of a combination of biological, cultural, physical/mechanical and chemical tools to prevent and control)?</v>
      </c>
      <c r="I131" s="9" t="b" cm="1">
        <f t="array" ref="I131">INDEX(stable[is_fixed],MATCH(VALUE(questions[[#This Row],[qno]]),VALUE(stable[qno]),0))</f>
        <v>1</v>
      </c>
      <c r="J131" s="9" t="b" cm="1">
        <f t="array" ref="J131">INDEX(stable[is_localized],MATCH(VALUE(questions[[#This Row],[qno]]),VALUE(stable[qno]),0))</f>
        <v>0</v>
      </c>
      <c r="K131" s="9" t="b" cm="1">
        <f t="array" ref="K131">INDEX(stable[is_supply_chain_dependent],MATCH(VALUE(questions[[#This Row],[qno]]),VALUE(stable[qno]),0))</f>
        <v>0</v>
      </c>
      <c r="L131" s="9" t="b" cm="1">
        <f t="array" ref="L131">INDEX(stable[is_mandatory],MATCH(VALUE(questions[[#This Row],[qno]]),VALUE(stable[qno]),0))</f>
        <v>0</v>
      </c>
      <c r="M131" s="9" t="b" cm="1">
        <f t="array" ref="M131">INDEX(stable[is_automated],MATCH(VALUE(questions[[#This Row],[qno]]),VALUE(stable[qno]),0))</f>
        <v>0</v>
      </c>
      <c r="N131" s="9" t="b" cm="1">
        <f t="array" ref="N131">INDEX(stable[is_free_text],MATCH(VALUE(questions[[#This Row],[qno]]),VALUE(stable[qno]),0))</f>
        <v>0</v>
      </c>
      <c r="O131" s="9" t="b" cm="1">
        <f t="array" ref="O131">INDEX(stable[is_numerical],MATCH(VALUE(questions[[#This Row],[qno]]),VALUE(stable[qno]),0))</f>
        <v>0</v>
      </c>
      <c r="P131" s="103" t="b" cm="1">
        <f t="array" ref="P131">INDEX(stable[is_single_select],MATCH(VALUE(questions[[#This Row],[qno]]),VALUE(stable[qno]),0))</f>
        <v>1</v>
      </c>
      <c r="Q131" s="77" t="b" cm="1">
        <f t="array" ref="Q131">INDEX(stable[is_multi_select],MATCH(VALUE(questions[[#This Row],[qno]]),VALUE(stable[qno]),0))</f>
        <v>0</v>
      </c>
      <c r="R131" s="77" t="b" cm="1">
        <f t="array" ref="R131">INDEX(stable[is_skip_logic],MATCH(VALUE(questions[[#This Row],[qno]]),VALUE(stable[qno]),0))</f>
        <v>1</v>
      </c>
      <c r="S131" s="77" t="str">
        <f>_xlfn.TEXTJOIN(", ",TRUE,questions[[#This Row],[ans_opt_1]:[ans_opt_14]])</f>
        <v>Yes, No</v>
      </c>
      <c r="T131" s="77" t="s">
        <v>149</v>
      </c>
      <c r="U131" s="77" t="s">
        <v>119</v>
      </c>
      <c r="AH131" s="98" t="b">
        <f>INDEX(stable[q_standard],MATCH(questions[[#This Row],[qno]],stable[qno],0))</f>
        <v>0</v>
      </c>
      <c r="AI131" s="98" t="b">
        <f>INDEX(stable[q_living_income],MATCH(questions[[#This Row],[qno]],stable[qno],0))</f>
        <v>0</v>
      </c>
      <c r="AJ131" s="98" t="b">
        <f>INDEX(stable[q_carbon],MATCH(questions[[#This Row],[qno]],stable[qno],0))</f>
        <v>0</v>
      </c>
      <c r="AK131" s="98" t="b">
        <f>INDEX(stable[q_regen_ag],MATCH(questions[[#This Row],[qno]],stable[qno],0))</f>
        <v>1</v>
      </c>
      <c r="AL131" s="98" t="b">
        <f>COUNTIFS(stable[qno],questions[[#This Row],[qno]])=1</f>
        <v>1</v>
      </c>
      <c r="AM131" s="98" t="b">
        <f>OR(questions[[#This Row],[is_fixed]],questions[[#This Row],[is_localized]],questions[[#This Row],[is_supply_chain_dependent]])</f>
        <v>1</v>
      </c>
      <c r="AN131" s="98" t="b">
        <f>COUNTIFS(questions[[#This Row],[is_automated]:[is_multi_select]],TRUE)=1</f>
        <v>1</v>
      </c>
      <c r="AO131" s="98" t="b">
        <f>IF(questions[[#This Row],[is_fixed]],questions[[#This Row],[question]]=INDEX(stable[question],MATCH(questions[[#This Row],[qno]],stable[qno],0)),TRUE)</f>
        <v>0</v>
      </c>
      <c r="AP131" s="98" t="str">
        <f>LEFT(questions[[#This Row],[question]],similarity_range)</f>
        <v>If you apply chemica</v>
      </c>
      <c r="AQ131" s="98" t="str">
        <f>LEFT(INDEX(stable[question],MATCH(questions[[#This Row],[qno]],stable[qno],0)),similarity_range)</f>
        <v>If you apply chemica</v>
      </c>
      <c r="AR131" s="98" t="b">
        <f>questions[[#This Row],[question_first_characters]]=questions[[#This Row],[stability_first_characters]]</f>
        <v>1</v>
      </c>
      <c r="AS131" s="98" t="b">
        <f>IF(OR(questions[[#This Row],[is_single_select]],questions[[#This Row],[is_multi_select]]),NOT(ISBLANK(questions[[#This Row],[answer_opt_combined]])),TRUE)</f>
        <v>1</v>
      </c>
    </row>
    <row r="132" spans="1:45" s="77" customFormat="1" x14ac:dyDescent="0.25">
      <c r="A132" s="77" t="str">
        <f>_xlfn.TEXTJOIN("_",TRUE,questions[[#This Row],[origin]:[qno]])</f>
        <v>Indonesia_Arabica_west_java_impact_7243</v>
      </c>
      <c r="B132" s="77" t="s">
        <v>58</v>
      </c>
      <c r="C132" s="77" t="s">
        <v>59</v>
      </c>
      <c r="D132" s="77" t="s">
        <v>60</v>
      </c>
      <c r="F132" s="77" t="s">
        <v>400</v>
      </c>
      <c r="G132" s="77" t="s">
        <v>401</v>
      </c>
      <c r="H132" s="9" t="str" cm="1">
        <f t="array" ref="H132">INDEX(stableR[question],MATCH(VALUE(questions[[#This Row],[qno]]),VALUE(stableR[qno]),0))</f>
        <v>If you apply chemical PPPs, do you apply IPM principles and practices to prevent and control pest &amp; diseases and reduce the use of chemical PPPs?</v>
      </c>
      <c r="I132" s="9" t="b" cm="1">
        <f t="array" ref="I132">INDEX(stable[is_fixed],MATCH(VALUE(questions[[#This Row],[qno]]),VALUE(stable[qno]),0))</f>
        <v>1</v>
      </c>
      <c r="J132" s="9" t="b" cm="1">
        <f t="array" ref="J132">INDEX(stable[is_localized],MATCH(VALUE(questions[[#This Row],[qno]]),VALUE(stable[qno]),0))</f>
        <v>0</v>
      </c>
      <c r="K132" s="9" t="b" cm="1">
        <f t="array" ref="K132">INDEX(stable[is_supply_chain_dependent],MATCH(VALUE(questions[[#This Row],[qno]]),VALUE(stable[qno]),0))</f>
        <v>0</v>
      </c>
      <c r="L132" s="9" t="b" cm="1">
        <f t="array" ref="L132">INDEX(stable[is_mandatory],MATCH(VALUE(questions[[#This Row],[qno]]),VALUE(stable[qno]),0))</f>
        <v>0</v>
      </c>
      <c r="M132" s="9" t="b" cm="1">
        <f t="array" ref="M132">INDEX(stable[is_automated],MATCH(VALUE(questions[[#This Row],[qno]]),VALUE(stable[qno]),0))</f>
        <v>0</v>
      </c>
      <c r="N132" s="9" t="b" cm="1">
        <f t="array" ref="N132">INDEX(stable[is_free_text],MATCH(VALUE(questions[[#This Row],[qno]]),VALUE(stable[qno]),0))</f>
        <v>0</v>
      </c>
      <c r="O132" s="9" t="b" cm="1">
        <f t="array" ref="O132">INDEX(stable[is_numerical],MATCH(VALUE(questions[[#This Row],[qno]]),VALUE(stable[qno]),0))</f>
        <v>0</v>
      </c>
      <c r="P132" s="103" t="b" cm="1">
        <f t="array" ref="P132">INDEX(stable[is_single_select],MATCH(VALUE(questions[[#This Row],[qno]]),VALUE(stable[qno]),0))</f>
        <v>1</v>
      </c>
      <c r="Q132" s="77" t="b" cm="1">
        <f t="array" ref="Q132">INDEX(stable[is_multi_select],MATCH(VALUE(questions[[#This Row],[qno]]),VALUE(stable[qno]),0))</f>
        <v>0</v>
      </c>
      <c r="R132" s="77" t="b" cm="1">
        <f t="array" ref="R132">INDEX(stable[is_skip_logic],MATCH(VALUE(questions[[#This Row],[qno]]),VALUE(stable[qno]),0))</f>
        <v>1</v>
      </c>
      <c r="S132" s="77" t="str">
        <f>_xlfn.TEXTJOIN(", ",TRUE,questions[[#This Row],[ans_opt_1]:[ans_opt_14]])</f>
        <v>Yes, No</v>
      </c>
      <c r="T132" s="77" t="s">
        <v>149</v>
      </c>
      <c r="U132" s="77" t="s">
        <v>119</v>
      </c>
      <c r="AH132" s="98" t="b">
        <f>INDEX(stable[q_standard],MATCH(questions[[#This Row],[qno]],stable[qno],0))</f>
        <v>0</v>
      </c>
      <c r="AI132" s="98" t="b">
        <f>INDEX(stable[q_living_income],MATCH(questions[[#This Row],[qno]],stable[qno],0))</f>
        <v>0</v>
      </c>
      <c r="AJ132" s="98" t="b">
        <f>INDEX(stable[q_carbon],MATCH(questions[[#This Row],[qno]],stable[qno],0))</f>
        <v>0</v>
      </c>
      <c r="AK132" s="98" t="b">
        <f>INDEX(stable[q_regen_ag],MATCH(questions[[#This Row],[qno]],stable[qno],0))</f>
        <v>1</v>
      </c>
      <c r="AL132" s="98" t="b">
        <f>COUNTIFS(stable[qno],questions[[#This Row],[qno]])=1</f>
        <v>1</v>
      </c>
      <c r="AM132" s="98" t="b">
        <f>OR(questions[[#This Row],[is_fixed]],questions[[#This Row],[is_localized]],questions[[#This Row],[is_supply_chain_dependent]])</f>
        <v>1</v>
      </c>
      <c r="AN132" s="98" t="b">
        <f>COUNTIFS(questions[[#This Row],[is_automated]:[is_multi_select]],TRUE)=1</f>
        <v>1</v>
      </c>
      <c r="AO132" s="98" t="b">
        <f>IF(questions[[#This Row],[is_fixed]],questions[[#This Row],[question]]=INDEX(stable[question],MATCH(questions[[#This Row],[qno]],stable[qno],0)),TRUE)</f>
        <v>0</v>
      </c>
      <c r="AP132" s="98" t="str">
        <f>LEFT(questions[[#This Row],[question]],similarity_range)</f>
        <v>If you apply chemica</v>
      </c>
      <c r="AQ132" s="98" t="str">
        <f>LEFT(INDEX(stable[question],MATCH(questions[[#This Row],[qno]],stable[qno],0)),similarity_range)</f>
        <v>If you apply chemica</v>
      </c>
      <c r="AR132" s="98" t="b">
        <f>questions[[#This Row],[question_first_characters]]=questions[[#This Row],[stability_first_characters]]</f>
        <v>1</v>
      </c>
      <c r="AS132" s="98" t="b">
        <f>IF(OR(questions[[#This Row],[is_single_select]],questions[[#This Row],[is_multi_select]]),NOT(ISBLANK(questions[[#This Row],[answer_opt_combined]])),TRUE)</f>
        <v>1</v>
      </c>
    </row>
    <row r="133" spans="1:45" s="77" customFormat="1" x14ac:dyDescent="0.25">
      <c r="A133" s="77" t="str">
        <f>_xlfn.TEXTJOIN("_",TRUE,questions[[#This Row],[origin]:[qno]])</f>
        <v>Indonesia_Arabica_west_java_impact_7244</v>
      </c>
      <c r="B133" s="77" t="s">
        <v>58</v>
      </c>
      <c r="C133" s="77" t="s">
        <v>59</v>
      </c>
      <c r="D133" s="77" t="s">
        <v>60</v>
      </c>
      <c r="F133" s="77" t="s">
        <v>402</v>
      </c>
      <c r="G133" s="77" t="s">
        <v>403</v>
      </c>
      <c r="H133" s="9" t="str" cm="1">
        <f t="array" ref="H133">INDEX(stableR[question],MATCH(VALUE(questions[[#This Row],[qno]]),VALUE(stableR[qno]),0))</f>
        <v>If you apply chemical PPPs, can you prove/show that all are locally authorized for coffee (e.g. coffee is in the product label), and that you respect the recommended dose and post-harvest intervals of the label of the product?</v>
      </c>
      <c r="I133" s="9" t="b" cm="1">
        <f t="array" ref="I133">INDEX(stable[is_fixed],MATCH(VALUE(questions[[#This Row],[qno]]),VALUE(stable[qno]),0))</f>
        <v>1</v>
      </c>
      <c r="J133" s="9" t="b" cm="1">
        <f t="array" ref="J133">INDEX(stable[is_localized],MATCH(VALUE(questions[[#This Row],[qno]]),VALUE(stable[qno]),0))</f>
        <v>0</v>
      </c>
      <c r="K133" s="9" t="b" cm="1">
        <f t="array" ref="K133">INDEX(stable[is_supply_chain_dependent],MATCH(VALUE(questions[[#This Row],[qno]]),VALUE(stable[qno]),0))</f>
        <v>0</v>
      </c>
      <c r="L133" s="9" t="b" cm="1">
        <f t="array" ref="L133">INDEX(stable[is_mandatory],MATCH(VALUE(questions[[#This Row],[qno]]),VALUE(stable[qno]),0))</f>
        <v>0</v>
      </c>
      <c r="M133" s="9" t="b" cm="1">
        <f t="array" ref="M133">INDEX(stable[is_automated],MATCH(VALUE(questions[[#This Row],[qno]]),VALUE(stable[qno]),0))</f>
        <v>0</v>
      </c>
      <c r="N133" s="9" t="b" cm="1">
        <f t="array" ref="N133">INDEX(stable[is_free_text],MATCH(VALUE(questions[[#This Row],[qno]]),VALUE(stable[qno]),0))</f>
        <v>0</v>
      </c>
      <c r="O133" s="9" t="b" cm="1">
        <f t="array" ref="O133">INDEX(stable[is_numerical],MATCH(VALUE(questions[[#This Row],[qno]]),VALUE(stable[qno]),0))</f>
        <v>0</v>
      </c>
      <c r="P133" s="103" t="b" cm="1">
        <f t="array" ref="P133">INDEX(stable[is_single_select],MATCH(VALUE(questions[[#This Row],[qno]]),VALUE(stable[qno]),0))</f>
        <v>1</v>
      </c>
      <c r="Q133" s="77" t="b" cm="1">
        <f t="array" ref="Q133">INDEX(stable[is_multi_select],MATCH(VALUE(questions[[#This Row],[qno]]),VALUE(stable[qno]),0))</f>
        <v>0</v>
      </c>
      <c r="R133" s="77" t="b" cm="1">
        <f t="array" ref="R133">INDEX(stable[is_skip_logic],MATCH(VALUE(questions[[#This Row],[qno]]),VALUE(stable[qno]),0))</f>
        <v>1</v>
      </c>
      <c r="S133" s="77" t="str">
        <f>_xlfn.TEXTJOIN(", ",TRUE,questions[[#This Row],[ans_opt_1]:[ans_opt_14]])</f>
        <v>1, 2, 3, 4, 5, &gt;5</v>
      </c>
      <c r="T133" s="77">
        <v>1</v>
      </c>
      <c r="U133" s="77">
        <v>2</v>
      </c>
      <c r="V133" s="77">
        <v>3</v>
      </c>
      <c r="W133" s="77">
        <v>4</v>
      </c>
      <c r="X133" s="77">
        <v>5</v>
      </c>
      <c r="Y133" s="77" t="s">
        <v>404</v>
      </c>
      <c r="AH133" s="98" t="b">
        <f>INDEX(stable[q_standard],MATCH(questions[[#This Row],[qno]],stable[qno],0))</f>
        <v>0</v>
      </c>
      <c r="AI133" s="98" t="b">
        <f>INDEX(stable[q_living_income],MATCH(questions[[#This Row],[qno]],stable[qno],0))</f>
        <v>0</v>
      </c>
      <c r="AJ133" s="98" t="b">
        <f>INDEX(stable[q_carbon],MATCH(questions[[#This Row],[qno]],stable[qno],0))</f>
        <v>0</v>
      </c>
      <c r="AK133" s="98" t="b">
        <f>INDEX(stable[q_regen_ag],MATCH(questions[[#This Row],[qno]],stable[qno],0))</f>
        <v>1</v>
      </c>
      <c r="AL133" s="98" t="b">
        <f>COUNTIFS(stable[qno],questions[[#This Row],[qno]])=1</f>
        <v>1</v>
      </c>
      <c r="AM133" s="98" t="b">
        <f>OR(questions[[#This Row],[is_fixed]],questions[[#This Row],[is_localized]],questions[[#This Row],[is_supply_chain_dependent]])</f>
        <v>1</v>
      </c>
      <c r="AN133" s="98" t="b">
        <f>COUNTIFS(questions[[#This Row],[is_automated]:[is_multi_select]],TRUE)=1</f>
        <v>1</v>
      </c>
      <c r="AO133" s="98" t="b">
        <f>IF(questions[[#This Row],[is_fixed]],questions[[#This Row],[question]]=INDEX(stable[question],MATCH(questions[[#This Row],[qno]],stable[qno],0)),TRUE)</f>
        <v>0</v>
      </c>
      <c r="AP133" s="98" t="str">
        <f>LEFT(questions[[#This Row],[question]],similarity_range)</f>
        <v>If you apply chemica</v>
      </c>
      <c r="AQ133" s="98" t="str">
        <f>LEFT(INDEX(stable[question],MATCH(questions[[#This Row],[qno]],stable[qno],0)),similarity_range)</f>
        <v>If you apply chemica</v>
      </c>
      <c r="AR133" s="98" t="b">
        <f>questions[[#This Row],[question_first_characters]]=questions[[#This Row],[stability_first_characters]]</f>
        <v>1</v>
      </c>
      <c r="AS133" s="98" t="b">
        <f>IF(OR(questions[[#This Row],[is_single_select]],questions[[#This Row],[is_multi_select]]),NOT(ISBLANK(questions[[#This Row],[answer_opt_combined]])),TRUE)</f>
        <v>1</v>
      </c>
    </row>
    <row r="134" spans="1:45" s="77" customFormat="1" x14ac:dyDescent="0.25">
      <c r="A134" s="77" t="str">
        <f>_xlfn.TEXTJOIN("_",TRUE,questions[[#This Row],[origin]:[qno]])</f>
        <v>Indonesia_Arabica_west_java_impact_7245</v>
      </c>
      <c r="B134" s="77" t="s">
        <v>58</v>
      </c>
      <c r="C134" s="77" t="s">
        <v>59</v>
      </c>
      <c r="D134" s="77" t="s">
        <v>60</v>
      </c>
      <c r="F134" s="77" t="s">
        <v>405</v>
      </c>
      <c r="G134" s="77" t="s">
        <v>406</v>
      </c>
      <c r="H134" s="9" t="str" cm="1">
        <f t="array" ref="H134">INDEX(stableR[question],MATCH(VALUE(questions[[#This Row],[qno]]),VALUE(stableR[qno]),0))</f>
        <v>If you apply chemical PPPs to control pests and diseases in your farm, how many applications do you apply on average per year?</v>
      </c>
      <c r="I134" s="9" t="b" cm="1">
        <f t="array" ref="I134">INDEX(stable[is_fixed],MATCH(VALUE(questions[[#This Row],[qno]]),VALUE(stable[qno]),0))</f>
        <v>1</v>
      </c>
      <c r="J134" s="9" t="b" cm="1">
        <f t="array" ref="J134">INDEX(stable[is_localized],MATCH(VALUE(questions[[#This Row],[qno]]),VALUE(stable[qno]),0))</f>
        <v>0</v>
      </c>
      <c r="K134" s="9" t="b" cm="1">
        <f t="array" ref="K134">INDEX(stable[is_supply_chain_dependent],MATCH(VALUE(questions[[#This Row],[qno]]),VALUE(stable[qno]),0))</f>
        <v>0</v>
      </c>
      <c r="L134" s="9" t="b" cm="1">
        <f t="array" ref="L134">INDEX(stable[is_mandatory],MATCH(VALUE(questions[[#This Row],[qno]]),VALUE(stable[qno]),0))</f>
        <v>0</v>
      </c>
      <c r="M134" s="9" t="b" cm="1">
        <f t="array" ref="M134">INDEX(stable[is_automated],MATCH(VALUE(questions[[#This Row],[qno]]),VALUE(stable[qno]),0))</f>
        <v>0</v>
      </c>
      <c r="N134" s="9" t="b" cm="1">
        <f t="array" ref="N134">INDEX(stable[is_free_text],MATCH(VALUE(questions[[#This Row],[qno]]),VALUE(stable[qno]),0))</f>
        <v>0</v>
      </c>
      <c r="O134" s="9" t="b" cm="1">
        <f t="array" ref="O134">INDEX(stable[is_numerical],MATCH(VALUE(questions[[#This Row],[qno]]),VALUE(stable[qno]),0))</f>
        <v>0</v>
      </c>
      <c r="P134" s="103" t="b" cm="1">
        <f t="array" ref="P134">INDEX(stable[is_single_select],MATCH(VALUE(questions[[#This Row],[qno]]),VALUE(stable[qno]),0))</f>
        <v>1</v>
      </c>
      <c r="Q134" s="77" t="b" cm="1">
        <f t="array" ref="Q134">INDEX(stable[is_multi_select],MATCH(VALUE(questions[[#This Row],[qno]]),VALUE(stable[qno]),0))</f>
        <v>0</v>
      </c>
      <c r="R134" s="77" t="b" cm="1">
        <f t="array" ref="R134">INDEX(stable[is_skip_logic],MATCH(VALUE(questions[[#This Row],[qno]]),VALUE(stable[qno]),0))</f>
        <v>1</v>
      </c>
      <c r="S134" s="77" t="str">
        <f>_xlfn.TEXTJOIN(", ",TRUE,questions[[#This Row],[ans_opt_1]:[ans_opt_14]])</f>
        <v>Increased - pest/disease pressure, Increased - weather conditions, Increased - pest/disease resistance, Decreased - pest/disease pressure, Decreased - adverse weather conditions, Decreased - increased cost, Decreased - replaced by regenerative agriculture</v>
      </c>
      <c r="T134" s="77" t="s">
        <v>407</v>
      </c>
      <c r="U134" s="77" t="s">
        <v>408</v>
      </c>
      <c r="V134" s="77" t="s">
        <v>409</v>
      </c>
      <c r="W134" s="77" t="s">
        <v>410</v>
      </c>
      <c r="X134" s="77" t="s">
        <v>411</v>
      </c>
      <c r="Y134" s="77" t="s">
        <v>412</v>
      </c>
      <c r="Z134" s="77" t="s">
        <v>413</v>
      </c>
      <c r="AH134" s="98" t="b">
        <f>INDEX(stable[q_standard],MATCH(questions[[#This Row],[qno]],stable[qno],0))</f>
        <v>0</v>
      </c>
      <c r="AI134" s="98" t="b">
        <f>INDEX(stable[q_living_income],MATCH(questions[[#This Row],[qno]],stable[qno],0))</f>
        <v>0</v>
      </c>
      <c r="AJ134" s="98" t="b">
        <f>INDEX(stable[q_carbon],MATCH(questions[[#This Row],[qno]],stable[qno],0))</f>
        <v>0</v>
      </c>
      <c r="AK134" s="98" t="b">
        <f>INDEX(stable[q_regen_ag],MATCH(questions[[#This Row],[qno]],stable[qno],0))</f>
        <v>1</v>
      </c>
      <c r="AL134" s="98" t="b">
        <f>COUNTIFS(stable[qno],questions[[#This Row],[qno]])=1</f>
        <v>1</v>
      </c>
      <c r="AM134" s="98" t="b">
        <f>OR(questions[[#This Row],[is_fixed]],questions[[#This Row],[is_localized]],questions[[#This Row],[is_supply_chain_dependent]])</f>
        <v>1</v>
      </c>
      <c r="AN134" s="98" t="b">
        <f>COUNTIFS(questions[[#This Row],[is_automated]:[is_multi_select]],TRUE)=1</f>
        <v>1</v>
      </c>
      <c r="AO134" s="98" t="b">
        <f>IF(questions[[#This Row],[is_fixed]],questions[[#This Row],[question]]=INDEX(stable[question],MATCH(questions[[#This Row],[qno]],stable[qno],0)),TRUE)</f>
        <v>0</v>
      </c>
      <c r="AP134" s="98" t="str">
        <f>LEFT(questions[[#This Row],[question]],similarity_range)</f>
        <v>Have you decreased o</v>
      </c>
      <c r="AQ134" s="98" t="str">
        <f>LEFT(INDEX(stable[question],MATCH(questions[[#This Row],[qno]],stable[qno],0)),similarity_range)</f>
        <v>Have you decreased o</v>
      </c>
      <c r="AR134" s="98" t="b">
        <f>questions[[#This Row],[question_first_characters]]=questions[[#This Row],[stability_first_characters]]</f>
        <v>1</v>
      </c>
      <c r="AS134" s="98" t="b">
        <f>IF(OR(questions[[#This Row],[is_single_select]],questions[[#This Row],[is_multi_select]]),NOT(ISBLANK(questions[[#This Row],[answer_opt_combined]])),TRUE)</f>
        <v>1</v>
      </c>
    </row>
    <row r="135" spans="1:45" s="77" customFormat="1" x14ac:dyDescent="0.25">
      <c r="A135" s="77" t="str">
        <f>_xlfn.TEXTJOIN("_",TRUE,questions[[#This Row],[origin]:[qno]])</f>
        <v>Indonesia_Arabica_west_java_impact_7250</v>
      </c>
      <c r="B135" s="77" t="s">
        <v>58</v>
      </c>
      <c r="C135" s="77" t="s">
        <v>59</v>
      </c>
      <c r="D135" s="77" t="s">
        <v>60</v>
      </c>
      <c r="F135" s="77" t="s">
        <v>414</v>
      </c>
      <c r="G135" s="77" t="s">
        <v>415</v>
      </c>
      <c r="H135" s="9" t="str" cm="1">
        <f t="array" ref="H135">INDEX(stableR[question],MATCH(VALUE(questions[[#This Row],[qno]]),VALUE(stableR[qno]),0))</f>
        <v>Do you apply chemical herbicides to your coffee crop and how many (different active ingredients) per crop season?</v>
      </c>
      <c r="I135" s="9" t="b" cm="1">
        <f t="array" ref="I135">INDEX(stable[is_fixed],MATCH(VALUE(questions[[#This Row],[qno]]),VALUE(stable[qno]),0))</f>
        <v>1</v>
      </c>
      <c r="J135" s="9" t="b" cm="1">
        <f t="array" ref="J135">INDEX(stable[is_localized],MATCH(VALUE(questions[[#This Row],[qno]]),VALUE(stable[qno]),0))</f>
        <v>0</v>
      </c>
      <c r="K135" s="9" t="b" cm="1">
        <f t="array" ref="K135">INDEX(stable[is_supply_chain_dependent],MATCH(VALUE(questions[[#This Row],[qno]]),VALUE(stable[qno]),0))</f>
        <v>0</v>
      </c>
      <c r="L135" s="9" t="b" cm="1">
        <f t="array" ref="L135">INDEX(stable[is_mandatory],MATCH(VALUE(questions[[#This Row],[qno]]),VALUE(stable[qno]),0))</f>
        <v>1</v>
      </c>
      <c r="M135" s="9" t="b" cm="1">
        <f t="array" ref="M135">INDEX(stable[is_automated],MATCH(VALUE(questions[[#This Row],[qno]]),VALUE(stable[qno]),0))</f>
        <v>0</v>
      </c>
      <c r="N135" s="9" t="b" cm="1">
        <f t="array" ref="N135">INDEX(stable[is_free_text],MATCH(VALUE(questions[[#This Row],[qno]]),VALUE(stable[qno]),0))</f>
        <v>0</v>
      </c>
      <c r="O135" s="9" t="b" cm="1">
        <f t="array" ref="O135">INDEX(stable[is_numerical],MATCH(VALUE(questions[[#This Row],[qno]]),VALUE(stable[qno]),0))</f>
        <v>0</v>
      </c>
      <c r="P135" s="103" t="b" cm="1">
        <f t="array" ref="P135">INDEX(stable[is_single_select],MATCH(VALUE(questions[[#This Row],[qno]]),VALUE(stable[qno]),0))</f>
        <v>1</v>
      </c>
      <c r="Q135" s="77" t="b" cm="1">
        <f t="array" ref="Q135">INDEX(stable[is_multi_select],MATCH(VALUE(questions[[#This Row],[qno]]),VALUE(stable[qno]),0))</f>
        <v>0</v>
      </c>
      <c r="R135" s="77" t="b" cm="1">
        <f t="array" ref="R135">INDEX(stable[is_skip_logic],MATCH(VALUE(questions[[#This Row],[qno]]),VALUE(stable[qno]),0))</f>
        <v>1</v>
      </c>
      <c r="S135" s="77" t="str">
        <f>_xlfn.TEXTJOIN(", ",TRUE,questions[[#This Row],[ans_opt_1]:[ans_opt_14]])</f>
        <v>No, Yes / 1-2 herbicides (active ingredients), Yes / 3-4 herbicides (active ingredients), Yes / &gt;=5 herbicides (active ingredients)</v>
      </c>
      <c r="T135" s="77" t="s">
        <v>119</v>
      </c>
      <c r="U135" s="77" t="s">
        <v>416</v>
      </c>
      <c r="V135" s="77" t="s">
        <v>417</v>
      </c>
      <c r="W135" s="77" t="s">
        <v>418</v>
      </c>
      <c r="AH135" s="98" t="b">
        <f>INDEX(stable[q_standard],MATCH(questions[[#This Row],[qno]],stable[qno],0))</f>
        <v>0</v>
      </c>
      <c r="AI135" s="98" t="b">
        <f>INDEX(stable[q_living_income],MATCH(questions[[#This Row],[qno]],stable[qno],0))</f>
        <v>0</v>
      </c>
      <c r="AJ135" s="98" t="b">
        <f>INDEX(stable[q_carbon],MATCH(questions[[#This Row],[qno]],stable[qno],0))</f>
        <v>0</v>
      </c>
      <c r="AK135" s="98" t="b">
        <f>INDEX(stable[q_regen_ag],MATCH(questions[[#This Row],[qno]],stable[qno],0))</f>
        <v>1</v>
      </c>
      <c r="AL135" s="98" t="b">
        <f>COUNTIFS(stable[qno],questions[[#This Row],[qno]])=1</f>
        <v>1</v>
      </c>
      <c r="AM135" s="98" t="b">
        <f>OR(questions[[#This Row],[is_fixed]],questions[[#This Row],[is_localized]],questions[[#This Row],[is_supply_chain_dependent]])</f>
        <v>1</v>
      </c>
      <c r="AN135" s="98" t="b">
        <f>COUNTIFS(questions[[#This Row],[is_automated]:[is_multi_select]],TRUE)=1</f>
        <v>1</v>
      </c>
      <c r="AO135" s="98" t="b">
        <f>IF(questions[[#This Row],[is_fixed]],questions[[#This Row],[question]]=INDEX(stable[question],MATCH(questions[[#This Row],[qno]],stable[qno],0)),TRUE)</f>
        <v>0</v>
      </c>
      <c r="AP135" s="98" t="str">
        <f>LEFT(questions[[#This Row],[question]],similarity_range)</f>
        <v>Did you use herbicid</v>
      </c>
      <c r="AQ135" s="98" t="str">
        <f>LEFT(INDEX(stable[question],MATCH(questions[[#This Row],[qno]],stable[qno],0)),similarity_range)</f>
        <v>Did you use herbicid</v>
      </c>
      <c r="AR135" s="98" t="b">
        <f>questions[[#This Row],[question_first_characters]]=questions[[#This Row],[stability_first_characters]]</f>
        <v>1</v>
      </c>
      <c r="AS135" s="98" t="b">
        <f>IF(OR(questions[[#This Row],[is_single_select]],questions[[#This Row],[is_multi_select]]),NOT(ISBLANK(questions[[#This Row],[answer_opt_combined]])),TRUE)</f>
        <v>1</v>
      </c>
    </row>
    <row r="136" spans="1:45" s="77" customFormat="1" x14ac:dyDescent="0.25">
      <c r="A136" s="77" t="str">
        <f>_xlfn.TEXTJOIN("_",TRUE,questions[[#This Row],[origin]:[qno]])</f>
        <v>Indonesia_Arabica_west_java_impact_7251</v>
      </c>
      <c r="B136" s="77" t="s">
        <v>58</v>
      </c>
      <c r="C136" s="77" t="s">
        <v>59</v>
      </c>
      <c r="D136" s="77" t="s">
        <v>60</v>
      </c>
      <c r="F136" s="77" t="s">
        <v>419</v>
      </c>
      <c r="G136" s="77" t="s">
        <v>420</v>
      </c>
      <c r="H136" s="9" t="str" cm="1">
        <f t="array" ref="H136">INDEX(stableR[question],MATCH(VALUE(questions[[#This Row],[qno]]),VALUE(stableR[qno]),0))</f>
        <v>If yes, list the names of all the herbicides that you used, last year.</v>
      </c>
      <c r="I136" s="9" t="b" cm="1">
        <f t="array" ref="I136">INDEX(stable[is_fixed],MATCH(VALUE(questions[[#This Row],[qno]]),VALUE(stable[qno]),0))</f>
        <v>1</v>
      </c>
      <c r="J136" s="9" t="b" cm="1">
        <f t="array" ref="J136">INDEX(stable[is_localized],MATCH(VALUE(questions[[#This Row],[qno]]),VALUE(stable[qno]),0))</f>
        <v>0</v>
      </c>
      <c r="K136" s="9" t="b" cm="1">
        <f t="array" ref="K136">INDEX(stable[is_supply_chain_dependent],MATCH(VALUE(questions[[#This Row],[qno]]),VALUE(stable[qno]),0))</f>
        <v>0</v>
      </c>
      <c r="L136" s="9" t="b" cm="1">
        <f t="array" ref="L136">INDEX(stable[is_mandatory],MATCH(VALUE(questions[[#This Row],[qno]]),VALUE(stable[qno]),0))</f>
        <v>0</v>
      </c>
      <c r="M136" s="9" t="b" cm="1">
        <f t="array" ref="M136">INDEX(stable[is_automated],MATCH(VALUE(questions[[#This Row],[qno]]),VALUE(stable[qno]),0))</f>
        <v>0</v>
      </c>
      <c r="N136" s="9" t="b" cm="1">
        <f t="array" ref="N136">INDEX(stable[is_free_text],MATCH(VALUE(questions[[#This Row],[qno]]),VALUE(stable[qno]),0))</f>
        <v>0</v>
      </c>
      <c r="O136" s="9" t="b" cm="1">
        <f t="array" ref="O136">INDEX(stable[is_numerical],MATCH(VALUE(questions[[#This Row],[qno]]),VALUE(stable[qno]),0))</f>
        <v>0</v>
      </c>
      <c r="P136" s="103" t="b" cm="1">
        <f t="array" ref="P136">INDEX(stable[is_single_select],MATCH(VALUE(questions[[#This Row],[qno]]),VALUE(stable[qno]),0))</f>
        <v>1</v>
      </c>
      <c r="Q136" s="77" t="b" cm="1">
        <f t="array" ref="Q136">INDEX(stable[is_multi_select],MATCH(VALUE(questions[[#This Row],[qno]]),VALUE(stable[qno]),0))</f>
        <v>0</v>
      </c>
      <c r="R136" s="77" t="b" cm="1">
        <f t="array" ref="R136">INDEX(stable[is_skip_logic],MATCH(VALUE(questions[[#This Row],[qno]]),VALUE(stable[qno]),0))</f>
        <v>1</v>
      </c>
      <c r="S136" s="77" t="str">
        <f>_xlfn.TEXTJOIN(", ",TRUE,questions[[#This Row],[ans_opt_1]:[ans_opt_14]])</f>
        <v>1% to 10% - very little, 11% to 20% - little, 21% to 50% - less than half, 51% to 75% - more than half, 76% to 100% - almost all</v>
      </c>
      <c r="T136" s="77" t="s">
        <v>421</v>
      </c>
      <c r="U136" s="77" t="s">
        <v>422</v>
      </c>
      <c r="V136" s="77" t="s">
        <v>423</v>
      </c>
      <c r="W136" s="77" t="s">
        <v>340</v>
      </c>
      <c r="X136" s="77" t="s">
        <v>341</v>
      </c>
      <c r="AH136" s="98" t="b">
        <f>INDEX(stable[q_standard],MATCH(questions[[#This Row],[qno]],stable[qno],0))</f>
        <v>0</v>
      </c>
      <c r="AI136" s="98" t="b">
        <f>INDEX(stable[q_living_income],MATCH(questions[[#This Row],[qno]],stable[qno],0))</f>
        <v>0</v>
      </c>
      <c r="AJ136" s="98" t="b">
        <f>INDEX(stable[q_carbon],MATCH(questions[[#This Row],[qno]],stable[qno],0))</f>
        <v>0</v>
      </c>
      <c r="AK136" s="98" t="b">
        <f>INDEX(stable[q_regen_ag],MATCH(questions[[#This Row],[qno]],stable[qno],0))</f>
        <v>1</v>
      </c>
      <c r="AL136" s="98" t="b">
        <f>COUNTIFS(stable[qno],questions[[#This Row],[qno]])=1</f>
        <v>1</v>
      </c>
      <c r="AM136" s="98" t="b">
        <f>OR(questions[[#This Row],[is_fixed]],questions[[#This Row],[is_localized]],questions[[#This Row],[is_supply_chain_dependent]])</f>
        <v>1</v>
      </c>
      <c r="AN136" s="98" t="b">
        <f>COUNTIFS(questions[[#This Row],[is_automated]:[is_multi_select]],TRUE)=1</f>
        <v>1</v>
      </c>
      <c r="AO136" s="98" t="b">
        <f>IF(questions[[#This Row],[is_fixed]],questions[[#This Row],[question]]=INDEX(stable[question],MATCH(questions[[#This Row],[qno]],stable[qno],0)),TRUE)</f>
        <v>0</v>
      </c>
      <c r="AP136" s="98" t="str">
        <f>LEFT(questions[[#This Row],[question]],similarity_range)</f>
        <v>If you apply chemica</v>
      </c>
      <c r="AQ136" s="98" t="str">
        <f>LEFT(INDEX(stable[question],MATCH(questions[[#This Row],[qno]],stable[qno],0)),similarity_range)</f>
        <v>If you apply chemica</v>
      </c>
      <c r="AR136" s="98" t="b">
        <f>questions[[#This Row],[question_first_characters]]=questions[[#This Row],[stability_first_characters]]</f>
        <v>1</v>
      </c>
      <c r="AS136" s="98" t="b">
        <f>IF(OR(questions[[#This Row],[is_single_select]],questions[[#This Row],[is_multi_select]]),NOT(ISBLANK(questions[[#This Row],[answer_opt_combined]])),TRUE)</f>
        <v>1</v>
      </c>
    </row>
    <row r="137" spans="1:45" s="77" customFormat="1" x14ac:dyDescent="0.25">
      <c r="A137" s="77" t="str">
        <f>_xlfn.TEXTJOIN("_",TRUE,questions[[#This Row],[origin]:[qno]])</f>
        <v>Indonesia_Arabica_west_java_impact_7252</v>
      </c>
      <c r="B137" s="77" t="s">
        <v>58</v>
      </c>
      <c r="C137" s="77" t="s">
        <v>59</v>
      </c>
      <c r="D137" s="77" t="s">
        <v>60</v>
      </c>
      <c r="F137" s="77" t="s">
        <v>424</v>
      </c>
      <c r="G137" s="77" t="s">
        <v>425</v>
      </c>
      <c r="H137" s="9" t="str" cm="1">
        <f t="array" ref="H137">INDEX(stableR[question],MATCH(VALUE(questions[[#This Row],[qno]]),VALUE(stableR[qno]),0))</f>
        <v>If applying herbicides, to which % of area of the coffee plots? e.g. if the coffee area is 1 hectare and herbicides are sprayed to only 0.5 hectare (where there is high weed pressure), then it is 50%</v>
      </c>
      <c r="I137" s="9" t="b" cm="1">
        <f t="array" ref="I137">INDEX(stable[is_fixed],MATCH(VALUE(questions[[#This Row],[qno]]),VALUE(stable[qno]),0))</f>
        <v>1</v>
      </c>
      <c r="J137" s="9" t="b" cm="1">
        <f t="array" ref="J137">INDEX(stable[is_localized],MATCH(VALUE(questions[[#This Row],[qno]]),VALUE(stable[qno]),0))</f>
        <v>0</v>
      </c>
      <c r="K137" s="9" t="b" cm="1">
        <f t="array" ref="K137">INDEX(stable[is_supply_chain_dependent],MATCH(VALUE(questions[[#This Row],[qno]]),VALUE(stable[qno]),0))</f>
        <v>0</v>
      </c>
      <c r="L137" s="9" t="b" cm="1">
        <f t="array" ref="L137">INDEX(stable[is_mandatory],MATCH(VALUE(questions[[#This Row],[qno]]),VALUE(stable[qno]),0))</f>
        <v>0</v>
      </c>
      <c r="M137" s="9" t="b" cm="1">
        <f t="array" ref="M137">INDEX(stable[is_automated],MATCH(VALUE(questions[[#This Row],[qno]]),VALUE(stable[qno]),0))</f>
        <v>0</v>
      </c>
      <c r="N137" s="9" t="b" cm="1">
        <f t="array" ref="N137">INDEX(stable[is_free_text],MATCH(VALUE(questions[[#This Row],[qno]]),VALUE(stable[qno]),0))</f>
        <v>0</v>
      </c>
      <c r="O137" s="9" t="b" cm="1">
        <f t="array" ref="O137">INDEX(stable[is_numerical],MATCH(VALUE(questions[[#This Row],[qno]]),VALUE(stable[qno]),0))</f>
        <v>0</v>
      </c>
      <c r="P137" s="103" t="b" cm="1">
        <f t="array" ref="P137">INDEX(stable[is_single_select],MATCH(VALUE(questions[[#This Row],[qno]]),VALUE(stable[qno]),0))</f>
        <v>1</v>
      </c>
      <c r="Q137" s="77" t="b" cm="1">
        <f t="array" ref="Q137">INDEX(stable[is_multi_select],MATCH(VALUE(questions[[#This Row],[qno]]),VALUE(stable[qno]),0))</f>
        <v>0</v>
      </c>
      <c r="R137" s="77" t="b" cm="1">
        <f t="array" ref="R137">INDEX(stable[is_skip_logic],MATCH(VALUE(questions[[#This Row],[qno]]),VALUE(stable[qno]),0))</f>
        <v>1</v>
      </c>
      <c r="S137" s="77" t="str">
        <f>_xlfn.TEXTJOIN(", ",TRUE,questions[[#This Row],[ans_opt_1]:[ans_opt_14]])</f>
        <v>Yes, No</v>
      </c>
      <c r="T137" s="77" t="s">
        <v>149</v>
      </c>
      <c r="U137" s="77" t="s">
        <v>119</v>
      </c>
      <c r="AH137" s="98" t="b">
        <f>INDEX(stable[q_standard],MATCH(questions[[#This Row],[qno]],stable[qno],0))</f>
        <v>0</v>
      </c>
      <c r="AI137" s="98" t="b">
        <f>INDEX(stable[q_living_income],MATCH(questions[[#This Row],[qno]],stable[qno],0))</f>
        <v>0</v>
      </c>
      <c r="AJ137" s="98" t="b">
        <f>INDEX(stable[q_carbon],MATCH(questions[[#This Row],[qno]],stable[qno],0))</f>
        <v>0</v>
      </c>
      <c r="AK137" s="98" t="b">
        <f>INDEX(stable[q_regen_ag],MATCH(questions[[#This Row],[qno]],stable[qno],0))</f>
        <v>1</v>
      </c>
      <c r="AL137" s="98" t="b">
        <f>COUNTIFS(stable[qno],questions[[#This Row],[qno]])=1</f>
        <v>1</v>
      </c>
      <c r="AM137" s="98" t="b">
        <f>OR(questions[[#This Row],[is_fixed]],questions[[#This Row],[is_localized]],questions[[#This Row],[is_supply_chain_dependent]])</f>
        <v>1</v>
      </c>
      <c r="AN137" s="98" t="b">
        <f>COUNTIFS(questions[[#This Row],[is_automated]:[is_multi_select]],TRUE)=1</f>
        <v>1</v>
      </c>
      <c r="AO137" s="98" t="b">
        <f>IF(questions[[#This Row],[is_fixed]],questions[[#This Row],[question]]=INDEX(stable[question],MATCH(questions[[#This Row],[qno]],stable[qno],0)),TRUE)</f>
        <v>0</v>
      </c>
      <c r="AP137" s="98" t="str">
        <f>LEFT(questions[[#This Row],[question]],similarity_range)</f>
        <v>If applying herbicid</v>
      </c>
      <c r="AQ137" s="98" t="str">
        <f>LEFT(INDEX(stable[question],MATCH(questions[[#This Row],[qno]],stable[qno],0)),similarity_range)</f>
        <v>If applying herbicid</v>
      </c>
      <c r="AR137" s="98" t="b">
        <f>questions[[#This Row],[question_first_characters]]=questions[[#This Row],[stability_first_characters]]</f>
        <v>1</v>
      </c>
      <c r="AS137" s="98" t="b">
        <f>IF(OR(questions[[#This Row],[is_single_select]],questions[[#This Row],[is_multi_select]]),NOT(ISBLANK(questions[[#This Row],[answer_opt_combined]])),TRUE)</f>
        <v>1</v>
      </c>
    </row>
    <row r="138" spans="1:45" s="77" customFormat="1" x14ac:dyDescent="0.25">
      <c r="A138" s="77" t="str">
        <f>_xlfn.TEXTJOIN("_",TRUE,questions[[#This Row],[origin]:[qno]])</f>
        <v>Indonesia_Arabica_west_java_impact_7253</v>
      </c>
      <c r="B138" s="77" t="s">
        <v>58</v>
      </c>
      <c r="C138" s="77" t="s">
        <v>59</v>
      </c>
      <c r="D138" s="77" t="s">
        <v>60</v>
      </c>
      <c r="F138" s="77" t="s">
        <v>426</v>
      </c>
      <c r="G138" s="77" t="s">
        <v>427</v>
      </c>
      <c r="H138" s="9" t="str" cm="1">
        <f t="array" ref="H138">INDEX(stableR[question],MATCH(VALUE(questions[[#This Row],[qno]]),VALUE(stableR[qno]),0))</f>
        <v>If applying herbicides, can you prove that all are locally authorized for coffee use, and that you respect the doses and post-harvest intervals of the label of the product. If applying herbicides, to which % of area of the coffee plots? e.g. if the coffee area is 1 hectare and herbicides are sprayed to only 0.5 hectare (where there is high weed pressure), then it is 50%</v>
      </c>
      <c r="I138" s="9" t="b" cm="1">
        <f t="array" ref="I138">INDEX(stable[is_fixed],MATCH(VALUE(questions[[#This Row],[qno]]),VALUE(stable[qno]),0))</f>
        <v>1</v>
      </c>
      <c r="J138" s="9" t="b" cm="1">
        <f t="array" ref="J138">INDEX(stable[is_localized],MATCH(VALUE(questions[[#This Row],[qno]]),VALUE(stable[qno]),0))</f>
        <v>0</v>
      </c>
      <c r="K138" s="9" t="b" cm="1">
        <f t="array" ref="K138">INDEX(stable[is_supply_chain_dependent],MATCH(VALUE(questions[[#This Row],[qno]]),VALUE(stable[qno]),0))</f>
        <v>0</v>
      </c>
      <c r="L138" s="9" t="b" cm="1">
        <f t="array" ref="L138">INDEX(stable[is_mandatory],MATCH(VALUE(questions[[#This Row],[qno]]),VALUE(stable[qno]),0))</f>
        <v>1</v>
      </c>
      <c r="M138" s="9" t="b" cm="1">
        <f t="array" ref="M138">INDEX(stable[is_automated],MATCH(VALUE(questions[[#This Row],[qno]]),VALUE(stable[qno]),0))</f>
        <v>0</v>
      </c>
      <c r="N138" s="9" t="b" cm="1">
        <f t="array" ref="N138">INDEX(stable[is_free_text],MATCH(VALUE(questions[[#This Row],[qno]]),VALUE(stable[qno]),0))</f>
        <v>0</v>
      </c>
      <c r="O138" s="9" t="b" cm="1">
        <f t="array" ref="O138">INDEX(stable[is_numerical],MATCH(VALUE(questions[[#This Row],[qno]]),VALUE(stable[qno]),0))</f>
        <v>0</v>
      </c>
      <c r="P138" s="103" t="b" cm="1">
        <f t="array" ref="P138">INDEX(stable[is_single_select],MATCH(VALUE(questions[[#This Row],[qno]]),VALUE(stable[qno]),0))</f>
        <v>1</v>
      </c>
      <c r="Q138" s="77" t="b" cm="1">
        <f t="array" ref="Q138">INDEX(stable[is_multi_select],MATCH(VALUE(questions[[#This Row],[qno]]),VALUE(stable[qno]),0))</f>
        <v>0</v>
      </c>
      <c r="R138" s="77" t="b" cm="1">
        <f t="array" ref="R138">INDEX(stable[is_skip_logic],MATCH(VALUE(questions[[#This Row],[qno]]),VALUE(stable[qno]),0))</f>
        <v>1</v>
      </c>
      <c r="S138" s="77" t="str">
        <f>_xlfn.TEXTJOIN(", ",TRUE,questions[[#This Row],[ans_opt_1]:[ans_opt_14]])</f>
        <v>Manual removal, Mechanical removal, Mulching, Cover crops, A combination of the above</v>
      </c>
      <c r="T138" s="77" t="s">
        <v>428</v>
      </c>
      <c r="U138" s="77" t="s">
        <v>429</v>
      </c>
      <c r="V138" s="77" t="s">
        <v>430</v>
      </c>
      <c r="W138" s="77" t="s">
        <v>431</v>
      </c>
      <c r="X138" s="77" t="s">
        <v>432</v>
      </c>
      <c r="AH138" s="98" t="b">
        <f>INDEX(stable[q_standard],MATCH(questions[[#This Row],[qno]],stable[qno],0))</f>
        <v>0</v>
      </c>
      <c r="AI138" s="98" t="b">
        <f>INDEX(stable[q_living_income],MATCH(questions[[#This Row],[qno]],stable[qno],0))</f>
        <v>0</v>
      </c>
      <c r="AJ138" s="98" t="b">
        <f>INDEX(stable[q_carbon],MATCH(questions[[#This Row],[qno]],stable[qno],0))</f>
        <v>0</v>
      </c>
      <c r="AK138" s="98" t="b">
        <f>INDEX(stable[q_regen_ag],MATCH(questions[[#This Row],[qno]],stable[qno],0))</f>
        <v>1</v>
      </c>
      <c r="AL138" s="98" t="b">
        <f>COUNTIFS(stable[qno],questions[[#This Row],[qno]])=1</f>
        <v>1</v>
      </c>
      <c r="AM138" s="98" t="b">
        <f>OR(questions[[#This Row],[is_fixed]],questions[[#This Row],[is_localized]],questions[[#This Row],[is_supply_chain_dependent]])</f>
        <v>1</v>
      </c>
      <c r="AN138" s="98" t="b">
        <f>COUNTIFS(questions[[#This Row],[is_automated]:[is_multi_select]],TRUE)=1</f>
        <v>1</v>
      </c>
      <c r="AO138" s="98" t="b">
        <f>IF(questions[[#This Row],[is_fixed]],questions[[#This Row],[question]]=INDEX(stable[question],MATCH(questions[[#This Row],[qno]],stable[qno],0)),TRUE)</f>
        <v>1</v>
      </c>
      <c r="AP138" s="98" t="str">
        <f>LEFT(questions[[#This Row],[question]],similarity_range)</f>
        <v>If you use or do not</v>
      </c>
      <c r="AQ138" s="98" t="str">
        <f>LEFT(INDEX(stable[question],MATCH(questions[[#This Row],[qno]],stable[qno],0)),similarity_range)</f>
        <v>If you use or do not</v>
      </c>
      <c r="AR138" s="98" t="b">
        <f>questions[[#This Row],[question_first_characters]]=questions[[#This Row],[stability_first_characters]]</f>
        <v>1</v>
      </c>
      <c r="AS138" s="98" t="b">
        <f>IF(OR(questions[[#This Row],[is_single_select]],questions[[#This Row],[is_multi_select]]),NOT(ISBLANK(questions[[#This Row],[answer_opt_combined]])),TRUE)</f>
        <v>1</v>
      </c>
    </row>
    <row r="139" spans="1:45" s="77" customFormat="1" x14ac:dyDescent="0.25">
      <c r="A139" s="77" t="str">
        <f>_xlfn.TEXTJOIN("_",TRUE,questions[[#This Row],[origin]:[qno]])</f>
        <v>Indonesia_Arabica_west_java_impact_7300</v>
      </c>
      <c r="B139" s="77" t="s">
        <v>58</v>
      </c>
      <c r="C139" s="77" t="s">
        <v>59</v>
      </c>
      <c r="D139" s="77" t="s">
        <v>60</v>
      </c>
      <c r="F139" s="77" t="s">
        <v>433</v>
      </c>
      <c r="G139" s="77" t="s">
        <v>434</v>
      </c>
      <c r="H139" s="9" t="str" cm="1">
        <f t="array" ref="H139">INDEX(stableR[question],MATCH(VALUE(questions[[#This Row],[qno]]),VALUE(stableR[qno]),0))</f>
        <v>Do you irrigate your coffee crop and if yes, what irrigation system/s do you use? If the answer is NO, you do not need to answer the next question</v>
      </c>
      <c r="I139" s="9" t="b" cm="1">
        <f t="array" ref="I139">INDEX(stable[is_fixed],MATCH(VALUE(questions[[#This Row],[qno]]),VALUE(stable[qno]),0))</f>
        <v>1</v>
      </c>
      <c r="J139" s="9" t="b" cm="1">
        <f t="array" ref="J139">INDEX(stable[is_localized],MATCH(VALUE(questions[[#This Row],[qno]]),VALUE(stable[qno]),0))</f>
        <v>0</v>
      </c>
      <c r="K139" s="9" t="b" cm="1">
        <f t="array" ref="K139">INDEX(stable[is_supply_chain_dependent],MATCH(VALUE(questions[[#This Row],[qno]]),VALUE(stable[qno]),0))</f>
        <v>0</v>
      </c>
      <c r="L139" s="9" t="b" cm="1">
        <f t="array" ref="L139">INDEX(stable[is_mandatory],MATCH(VALUE(questions[[#This Row],[qno]]),VALUE(stable[qno]),0))</f>
        <v>1</v>
      </c>
      <c r="M139" s="9" t="b" cm="1">
        <f t="array" ref="M139">INDEX(stable[is_automated],MATCH(VALUE(questions[[#This Row],[qno]]),VALUE(stable[qno]),0))</f>
        <v>0</v>
      </c>
      <c r="N139" s="9" t="b" cm="1">
        <f t="array" ref="N139">INDEX(stable[is_free_text],MATCH(VALUE(questions[[#This Row],[qno]]),VALUE(stable[qno]),0))</f>
        <v>0</v>
      </c>
      <c r="O139" s="9" t="b" cm="1">
        <f t="array" ref="O139">INDEX(stable[is_numerical],MATCH(VALUE(questions[[#This Row],[qno]]),VALUE(stable[qno]),0))</f>
        <v>0</v>
      </c>
      <c r="P139" s="103" t="b" cm="1">
        <f t="array" ref="P139">INDEX(stable[is_single_select],MATCH(VALUE(questions[[#This Row],[qno]]),VALUE(stable[qno]),0))</f>
        <v>1</v>
      </c>
      <c r="Q139" s="77" t="b" cm="1">
        <f t="array" ref="Q139">INDEX(stable[is_multi_select],MATCH(VALUE(questions[[#This Row],[qno]]),VALUE(stable[qno]),0))</f>
        <v>0</v>
      </c>
      <c r="R139" s="77" t="b" cm="1">
        <f t="array" ref="R139">INDEX(stable[is_skip_logic],MATCH(VALUE(questions[[#This Row],[qno]]),VALUE(stable[qno]),0))</f>
        <v>0</v>
      </c>
      <c r="S139" s="77" t="str">
        <f>_xlfn.TEXTJOIN(", ",TRUE,questions[[#This Row],[ans_opt_1]:[ans_opt_14]])</f>
        <v>No, Yes / drip irrigation, Yes / minisprinkler irrigation, Yes / overhead irrigation (sprinklers, pivot, rain gun), Yes / flood-furrow-hose pipe irrigation</v>
      </c>
      <c r="T139" s="77" t="s">
        <v>119</v>
      </c>
      <c r="U139" s="77" t="s">
        <v>435</v>
      </c>
      <c r="V139" s="77" t="s">
        <v>436</v>
      </c>
      <c r="W139" s="77" t="s">
        <v>437</v>
      </c>
      <c r="X139" s="77" t="s">
        <v>438</v>
      </c>
      <c r="AH139" s="98" t="b">
        <f>INDEX(stable[q_standard],MATCH(questions[[#This Row],[qno]],stable[qno],0))</f>
        <v>0</v>
      </c>
      <c r="AI139" s="98" t="b">
        <f>INDEX(stable[q_living_income],MATCH(questions[[#This Row],[qno]],stable[qno],0))</f>
        <v>0</v>
      </c>
      <c r="AJ139" s="98" t="b">
        <f>INDEX(stable[q_carbon],MATCH(questions[[#This Row],[qno]],stable[qno],0))</f>
        <v>0</v>
      </c>
      <c r="AK139" s="98" t="b">
        <f>INDEX(stable[q_regen_ag],MATCH(questions[[#This Row],[qno]],stable[qno],0))</f>
        <v>1</v>
      </c>
      <c r="AL139" s="98" t="b">
        <f>COUNTIFS(stable[qno],questions[[#This Row],[qno]])=1</f>
        <v>1</v>
      </c>
      <c r="AM139" s="98" t="b">
        <f>OR(questions[[#This Row],[is_fixed]],questions[[#This Row],[is_localized]],questions[[#This Row],[is_supply_chain_dependent]])</f>
        <v>1</v>
      </c>
      <c r="AN139" s="98" t="b">
        <f>COUNTIFS(questions[[#This Row],[is_automated]:[is_multi_select]],TRUE)=1</f>
        <v>1</v>
      </c>
      <c r="AO139" s="98" t="b">
        <f>IF(questions[[#This Row],[is_fixed]],questions[[#This Row],[question]]=INDEX(stable[question],MATCH(questions[[#This Row],[qno]],stable[qno],0)),TRUE)</f>
        <v>0</v>
      </c>
      <c r="AP139" s="98" t="str">
        <f>LEFT(questions[[#This Row],[question]],similarity_range)</f>
        <v>Do you irrigate your</v>
      </c>
      <c r="AQ139" s="98" t="str">
        <f>LEFT(INDEX(stable[question],MATCH(questions[[#This Row],[qno]],stable[qno],0)),similarity_range)</f>
        <v>Do you irrigate your</v>
      </c>
      <c r="AR139" s="98" t="b">
        <f>questions[[#This Row],[question_first_characters]]=questions[[#This Row],[stability_first_characters]]</f>
        <v>1</v>
      </c>
      <c r="AS139" s="98" t="b">
        <f>IF(OR(questions[[#This Row],[is_single_select]],questions[[#This Row],[is_multi_select]]),NOT(ISBLANK(questions[[#This Row],[answer_opt_combined]])),TRUE)</f>
        <v>1</v>
      </c>
    </row>
    <row r="140" spans="1:45" s="77" customFormat="1" x14ac:dyDescent="0.25">
      <c r="A140" s="77" t="str">
        <f>_xlfn.TEXTJOIN("_",TRUE,questions[[#This Row],[origin]:[qno]])</f>
        <v>Indonesia_Arabica_west_java_impact_7301</v>
      </c>
      <c r="B140" s="77" t="s">
        <v>58</v>
      </c>
      <c r="C140" s="77" t="s">
        <v>59</v>
      </c>
      <c r="D140" s="77" t="s">
        <v>60</v>
      </c>
      <c r="F140" s="77" t="s">
        <v>439</v>
      </c>
      <c r="G140" s="77" t="s">
        <v>440</v>
      </c>
      <c r="H140" s="9" t="str" cm="1">
        <f t="array" ref="H140">INDEX(stableR[question],MATCH(VALUE(questions[[#This Row],[qno]]),VALUE(stableR[qno]),0))</f>
        <v>Do you have a systems to know when and how much to irrigate and according to the irrigation system (balance sheet with rainfall and evapotranspiration, sensors, irrigation app-software, weather stations...)?</v>
      </c>
      <c r="I140" s="9" t="b" cm="1">
        <f t="array" ref="I140">INDEX(stable[is_fixed],MATCH(VALUE(questions[[#This Row],[qno]]),VALUE(stable[qno]),0))</f>
        <v>1</v>
      </c>
      <c r="J140" s="9" t="b" cm="1">
        <f t="array" ref="J140">INDEX(stable[is_localized],MATCH(VALUE(questions[[#This Row],[qno]]),VALUE(stable[qno]),0))</f>
        <v>0</v>
      </c>
      <c r="K140" s="9" t="b" cm="1">
        <f t="array" ref="K140">INDEX(stable[is_supply_chain_dependent],MATCH(VALUE(questions[[#This Row],[qno]]),VALUE(stable[qno]),0))</f>
        <v>0</v>
      </c>
      <c r="L140" s="9" t="b" cm="1">
        <f t="array" ref="L140">INDEX(stable[is_mandatory],MATCH(VALUE(questions[[#This Row],[qno]]),VALUE(stable[qno]),0))</f>
        <v>0</v>
      </c>
      <c r="M140" s="9" t="b" cm="1">
        <f t="array" ref="M140">INDEX(stable[is_automated],MATCH(VALUE(questions[[#This Row],[qno]]),VALUE(stable[qno]),0))</f>
        <v>0</v>
      </c>
      <c r="N140" s="9" t="b" cm="1">
        <f t="array" ref="N140">INDEX(stable[is_free_text],MATCH(VALUE(questions[[#This Row],[qno]]),VALUE(stable[qno]),0))</f>
        <v>0</v>
      </c>
      <c r="O140" s="9" t="b" cm="1">
        <f t="array" ref="O140">INDEX(stable[is_numerical],MATCH(VALUE(questions[[#This Row],[qno]]),VALUE(stable[qno]),0))</f>
        <v>0</v>
      </c>
      <c r="P140" s="103" t="b" cm="1">
        <f t="array" ref="P140">INDEX(stable[is_single_select],MATCH(VALUE(questions[[#This Row],[qno]]),VALUE(stable[qno]),0))</f>
        <v>1</v>
      </c>
      <c r="Q140" s="77" t="b" cm="1">
        <f t="array" ref="Q140">INDEX(stable[is_multi_select],MATCH(VALUE(questions[[#This Row],[qno]]),VALUE(stable[qno]),0))</f>
        <v>0</v>
      </c>
      <c r="R140" s="77" t="b" cm="1">
        <f t="array" ref="R140">INDEX(stable[is_skip_logic],MATCH(VALUE(questions[[#This Row],[qno]]),VALUE(stable[qno]),0))</f>
        <v>0</v>
      </c>
      <c r="S140" s="77" t="str">
        <f>_xlfn.TEXTJOIN(", ",TRUE,questions[[#This Row],[ans_opt_1]:[ans_opt_14]])</f>
        <v>Yes, No</v>
      </c>
      <c r="T140" s="77" t="s">
        <v>149</v>
      </c>
      <c r="U140" s="77" t="s">
        <v>119</v>
      </c>
      <c r="AH140" s="98" t="b">
        <f>INDEX(stable[q_standard],MATCH(questions[[#This Row],[qno]],stable[qno],0))</f>
        <v>0</v>
      </c>
      <c r="AI140" s="98" t="b">
        <f>INDEX(stable[q_living_income],MATCH(questions[[#This Row],[qno]],stable[qno],0))</f>
        <v>0</v>
      </c>
      <c r="AJ140" s="98" t="b">
        <f>INDEX(stable[q_carbon],MATCH(questions[[#This Row],[qno]],stable[qno],0))</f>
        <v>0</v>
      </c>
      <c r="AK140" s="98" t="b">
        <f>INDEX(stable[q_regen_ag],MATCH(questions[[#This Row],[qno]],stable[qno],0))</f>
        <v>1</v>
      </c>
      <c r="AL140" s="98" t="b">
        <f>COUNTIFS(stable[qno],questions[[#This Row],[qno]])=1</f>
        <v>1</v>
      </c>
      <c r="AM140" s="98" t="b">
        <f>OR(questions[[#This Row],[is_fixed]],questions[[#This Row],[is_localized]],questions[[#This Row],[is_supply_chain_dependent]])</f>
        <v>1</v>
      </c>
      <c r="AN140" s="98" t="b">
        <f>COUNTIFS(questions[[#This Row],[is_automated]:[is_multi_select]],TRUE)=1</f>
        <v>1</v>
      </c>
      <c r="AO140" s="98" t="b">
        <f>IF(questions[[#This Row],[is_fixed]],questions[[#This Row],[question]]=INDEX(stable[question],MATCH(questions[[#This Row],[qno]],stable[qno],0)),TRUE)</f>
        <v>1</v>
      </c>
      <c r="AP140" s="98" t="str">
        <f>LEFT(questions[[#This Row],[question]],similarity_range)</f>
        <v>Do you have a system</v>
      </c>
      <c r="AQ140" s="98" t="str">
        <f>LEFT(INDEX(stable[question],MATCH(questions[[#This Row],[qno]],stable[qno],0)),similarity_range)</f>
        <v>Do you have a system</v>
      </c>
      <c r="AR140" s="98" t="b">
        <f>questions[[#This Row],[question_first_characters]]=questions[[#This Row],[stability_first_characters]]</f>
        <v>1</v>
      </c>
      <c r="AS140" s="98" t="b">
        <f>IF(OR(questions[[#This Row],[is_single_select]],questions[[#This Row],[is_multi_select]]),NOT(ISBLANK(questions[[#This Row],[answer_opt_combined]])),TRUE)</f>
        <v>1</v>
      </c>
    </row>
    <row r="141" spans="1:45" s="77" customFormat="1" x14ac:dyDescent="0.25">
      <c r="A141" s="77" t="str">
        <f>_xlfn.TEXTJOIN("_",TRUE,questions[[#This Row],[origin]:[qno]])</f>
        <v>Indonesia_Arabica_west_java_impact_7400</v>
      </c>
      <c r="B141" s="77" t="s">
        <v>58</v>
      </c>
      <c r="C141" s="77" t="s">
        <v>59</v>
      </c>
      <c r="D141" s="77" t="s">
        <v>60</v>
      </c>
      <c r="F141" s="77" t="s">
        <v>441</v>
      </c>
      <c r="G141" s="77" t="s">
        <v>442</v>
      </c>
      <c r="H141" s="9" t="str" cm="1">
        <f t="array" ref="H141">INDEX(stableR[question],MATCH(VALUE(questions[[#This Row],[qno]]),VALUE(stableR[qno]),0))</f>
        <v>Are you implementing a plan to renovate/rehabilitate the coffee trees of your coffee plots? e.g. stumping, partial stumping, capping, side pruning, uprooting and replanting, uprooting and planting new trees, or a mix of systems. If the answer is NO, you do not need to answer the next 2 questions</v>
      </c>
      <c r="I141" s="9" t="b" cm="1">
        <f t="array" ref="I141">INDEX(stable[is_fixed],MATCH(VALUE(questions[[#This Row],[qno]]),VALUE(stable[qno]),0))</f>
        <v>1</v>
      </c>
      <c r="J141" s="9" t="b" cm="1">
        <f t="array" ref="J141">INDEX(stable[is_localized],MATCH(VALUE(questions[[#This Row],[qno]]),VALUE(stable[qno]),0))</f>
        <v>0</v>
      </c>
      <c r="K141" s="9" t="b" cm="1">
        <f t="array" ref="K141">INDEX(stable[is_supply_chain_dependent],MATCH(VALUE(questions[[#This Row],[qno]]),VALUE(stable[qno]),0))</f>
        <v>0</v>
      </c>
      <c r="L141" s="9" t="b" cm="1">
        <f t="array" ref="L141">INDEX(stable[is_mandatory],MATCH(VALUE(questions[[#This Row],[qno]]),VALUE(stable[qno]),0))</f>
        <v>1</v>
      </c>
      <c r="M141" s="9" t="b" cm="1">
        <f t="array" ref="M141">INDEX(stable[is_automated],MATCH(VALUE(questions[[#This Row],[qno]]),VALUE(stable[qno]),0))</f>
        <v>0</v>
      </c>
      <c r="N141" s="9" t="b" cm="1">
        <f t="array" ref="N141">INDEX(stable[is_free_text],MATCH(VALUE(questions[[#This Row],[qno]]),VALUE(stable[qno]),0))</f>
        <v>0</v>
      </c>
      <c r="O141" s="9" t="b" cm="1">
        <f t="array" ref="O141">INDEX(stable[is_numerical],MATCH(VALUE(questions[[#This Row],[qno]]),VALUE(stable[qno]),0))</f>
        <v>0</v>
      </c>
      <c r="P141" s="103" t="b" cm="1">
        <f t="array" ref="P141">INDEX(stable[is_single_select],MATCH(VALUE(questions[[#This Row],[qno]]),VALUE(stable[qno]),0))</f>
        <v>1</v>
      </c>
      <c r="Q141" s="77" t="b" cm="1">
        <f t="array" ref="Q141">INDEX(stable[is_multi_select],MATCH(VALUE(questions[[#This Row],[qno]]),VALUE(stable[qno]),0))</f>
        <v>0</v>
      </c>
      <c r="R141" s="77" t="b" cm="1">
        <f t="array" ref="R141">INDEX(stable[is_skip_logic],MATCH(VALUE(questions[[#This Row],[qno]]),VALUE(stable[qno]),0))</f>
        <v>1</v>
      </c>
      <c r="S141" s="77" t="str">
        <f>_xlfn.TEXTJOIN(", ",TRUE,questions[[#This Row],[ans_opt_1]:[ans_opt_14]])</f>
        <v>Yes, No</v>
      </c>
      <c r="T141" s="77" t="s">
        <v>149</v>
      </c>
      <c r="U141" s="77" t="s">
        <v>119</v>
      </c>
      <c r="AH141" s="98" t="b">
        <f>INDEX(stable[q_standard],MATCH(questions[[#This Row],[qno]],stable[qno],0))</f>
        <v>0</v>
      </c>
      <c r="AI141" s="98" t="b">
        <f>INDEX(stable[q_living_income],MATCH(questions[[#This Row],[qno]],stable[qno],0))</f>
        <v>0</v>
      </c>
      <c r="AJ141" s="98" t="b">
        <f>INDEX(stable[q_carbon],MATCH(questions[[#This Row],[qno]],stable[qno],0))</f>
        <v>0</v>
      </c>
      <c r="AK141" s="98" t="b">
        <f>INDEX(stable[q_regen_ag],MATCH(questions[[#This Row],[qno]],stable[qno],0))</f>
        <v>1</v>
      </c>
      <c r="AL141" s="98" t="b">
        <f>COUNTIFS(stable[qno],questions[[#This Row],[qno]])=1</f>
        <v>1</v>
      </c>
      <c r="AM141" s="98" t="b">
        <f>OR(questions[[#This Row],[is_fixed]],questions[[#This Row],[is_localized]],questions[[#This Row],[is_supply_chain_dependent]])</f>
        <v>1</v>
      </c>
      <c r="AN141" s="98" t="b">
        <f>COUNTIFS(questions[[#This Row],[is_automated]:[is_multi_select]],TRUE)=1</f>
        <v>1</v>
      </c>
      <c r="AO141" s="98" t="b">
        <f>IF(questions[[#This Row],[is_fixed]],questions[[#This Row],[question]]=INDEX(stable[question],MATCH(questions[[#This Row],[qno]],stable[qno],0)),TRUE)</f>
        <v>0</v>
      </c>
      <c r="AP141" s="98" t="str">
        <f>LEFT(questions[[#This Row],[question]],similarity_range)</f>
        <v>Are you implementing</v>
      </c>
      <c r="AQ141" s="98" t="str">
        <f>LEFT(INDEX(stable[question],MATCH(questions[[#This Row],[qno]],stable[qno],0)),similarity_range)</f>
        <v>Are you implementing</v>
      </c>
      <c r="AR141" s="98" t="b">
        <f>questions[[#This Row],[question_first_characters]]=questions[[#This Row],[stability_first_characters]]</f>
        <v>1</v>
      </c>
      <c r="AS141" s="98" t="b">
        <f>IF(OR(questions[[#This Row],[is_single_select]],questions[[#This Row],[is_multi_select]]),NOT(ISBLANK(questions[[#This Row],[answer_opt_combined]])),TRUE)</f>
        <v>1</v>
      </c>
    </row>
    <row r="142" spans="1:45" s="77" customFormat="1" x14ac:dyDescent="0.25">
      <c r="A142" s="77" t="str">
        <f>_xlfn.TEXTJOIN("_",TRUE,questions[[#This Row],[origin]:[qno]])</f>
        <v>Indonesia_Arabica_west_java_impact_7401</v>
      </c>
      <c r="B142" s="77" t="s">
        <v>58</v>
      </c>
      <c r="C142" s="77" t="s">
        <v>59</v>
      </c>
      <c r="D142" s="77" t="s">
        <v>60</v>
      </c>
      <c r="F142" s="77" t="s">
        <v>443</v>
      </c>
      <c r="G142" s="77" t="s">
        <v>444</v>
      </c>
      <c r="H142" s="9" t="str" cm="1">
        <f t="array" ref="H142">INDEX(stableR[question],MATCH(VALUE(questions[[#This Row],[qno]]),VALUE(stableR[qno]),0))</f>
        <v>What % or proportion of trees have you renovated/rehabilitated in last 3 years?</v>
      </c>
      <c r="I142" s="9" t="b" cm="1">
        <f t="array" ref="I142">INDEX(stable[is_fixed],MATCH(VALUE(questions[[#This Row],[qno]]),VALUE(stable[qno]),0))</f>
        <v>1</v>
      </c>
      <c r="J142" s="9" t="b" cm="1">
        <f t="array" ref="J142">INDEX(stable[is_localized],MATCH(VALUE(questions[[#This Row],[qno]]),VALUE(stable[qno]),0))</f>
        <v>0</v>
      </c>
      <c r="K142" s="9" t="b" cm="1">
        <f t="array" ref="K142">INDEX(stable[is_supply_chain_dependent],MATCH(VALUE(questions[[#This Row],[qno]]),VALUE(stable[qno]),0))</f>
        <v>0</v>
      </c>
      <c r="L142" s="9" t="b" cm="1">
        <f t="array" ref="L142">INDEX(stable[is_mandatory],MATCH(VALUE(questions[[#This Row],[qno]]),VALUE(stable[qno]),0))</f>
        <v>0</v>
      </c>
      <c r="M142" s="9" t="b" cm="1">
        <f t="array" ref="M142">INDEX(stable[is_automated],MATCH(VALUE(questions[[#This Row],[qno]]),VALUE(stable[qno]),0))</f>
        <v>0</v>
      </c>
      <c r="N142" s="9" t="b" cm="1">
        <f t="array" ref="N142">INDEX(stable[is_free_text],MATCH(VALUE(questions[[#This Row],[qno]]),VALUE(stable[qno]),0))</f>
        <v>0</v>
      </c>
      <c r="O142" s="9" t="b" cm="1">
        <f t="array" ref="O142">INDEX(stable[is_numerical],MATCH(VALUE(questions[[#This Row],[qno]]),VALUE(stable[qno]),0))</f>
        <v>0</v>
      </c>
      <c r="P142" s="103" t="b" cm="1">
        <f t="array" ref="P142">INDEX(stable[is_single_select],MATCH(VALUE(questions[[#This Row],[qno]]),VALUE(stable[qno]),0))</f>
        <v>1</v>
      </c>
      <c r="Q142" s="77" t="b" cm="1">
        <f t="array" ref="Q142">INDEX(stable[is_multi_select],MATCH(VALUE(questions[[#This Row],[qno]]),VALUE(stable[qno]),0))</f>
        <v>0</v>
      </c>
      <c r="R142" s="77" t="b" cm="1">
        <f t="array" ref="R142">INDEX(stable[is_skip_logic],MATCH(VALUE(questions[[#This Row],[qno]]),VALUE(stable[qno]),0))</f>
        <v>1</v>
      </c>
      <c r="S142" s="77" t="str">
        <f>_xlfn.TEXTJOIN(", ",TRUE,questions[[#This Row],[ans_opt_1]:[ans_opt_14]])</f>
        <v>1% to 10% - very little, 11% to 20% - little, 21% to 50% - less than half, 51% to 75% - more than half, 76% to 100% - almost all</v>
      </c>
      <c r="T142" s="77" t="s">
        <v>421</v>
      </c>
      <c r="U142" s="77" t="s">
        <v>422</v>
      </c>
      <c r="V142" s="77" t="s">
        <v>423</v>
      </c>
      <c r="W142" s="77" t="s">
        <v>340</v>
      </c>
      <c r="X142" s="77" t="s">
        <v>341</v>
      </c>
      <c r="AH142" s="98" t="b">
        <f>INDEX(stable[q_standard],MATCH(questions[[#This Row],[qno]],stable[qno],0))</f>
        <v>0</v>
      </c>
      <c r="AI142" s="98" t="b">
        <f>INDEX(stable[q_living_income],MATCH(questions[[#This Row],[qno]],stable[qno],0))</f>
        <v>0</v>
      </c>
      <c r="AJ142" s="98" t="b">
        <f>INDEX(stable[q_carbon],MATCH(questions[[#This Row],[qno]],stable[qno],0))</f>
        <v>0</v>
      </c>
      <c r="AK142" s="98" t="b">
        <f>INDEX(stable[q_regen_ag],MATCH(questions[[#This Row],[qno]],stable[qno],0))</f>
        <v>1</v>
      </c>
      <c r="AL142" s="98" t="b">
        <f>COUNTIFS(stable[qno],questions[[#This Row],[qno]])=1</f>
        <v>1</v>
      </c>
      <c r="AM142" s="98" t="b">
        <f>OR(questions[[#This Row],[is_fixed]],questions[[#This Row],[is_localized]],questions[[#This Row],[is_supply_chain_dependent]])</f>
        <v>1</v>
      </c>
      <c r="AN142" s="98" t="b">
        <f>COUNTIFS(questions[[#This Row],[is_automated]:[is_multi_select]],TRUE)=1</f>
        <v>1</v>
      </c>
      <c r="AO142" s="98" t="b">
        <f>IF(questions[[#This Row],[is_fixed]],questions[[#This Row],[question]]=INDEX(stable[question],MATCH(questions[[#This Row],[qno]],stable[qno],0)),TRUE)</f>
        <v>1</v>
      </c>
      <c r="AP142" s="98" t="str">
        <f>LEFT(questions[[#This Row],[question]],similarity_range)</f>
        <v>What % or proportion</v>
      </c>
      <c r="AQ142" s="98" t="str">
        <f>LEFT(INDEX(stable[question],MATCH(questions[[#This Row],[qno]],stable[qno],0)),similarity_range)</f>
        <v>What % or proportion</v>
      </c>
      <c r="AR142" s="98" t="b">
        <f>questions[[#This Row],[question_first_characters]]=questions[[#This Row],[stability_first_characters]]</f>
        <v>1</v>
      </c>
      <c r="AS142" s="98" t="b">
        <f>IF(OR(questions[[#This Row],[is_single_select]],questions[[#This Row],[is_multi_select]]),NOT(ISBLANK(questions[[#This Row],[answer_opt_combined]])),TRUE)</f>
        <v>1</v>
      </c>
    </row>
    <row r="143" spans="1:45" s="77" customFormat="1" x14ac:dyDescent="0.25">
      <c r="A143" s="77" t="str">
        <f>_xlfn.TEXTJOIN("_",TRUE,questions[[#This Row],[origin]:[qno]])</f>
        <v>Indonesia_Arabica_west_java_impact_7402</v>
      </c>
      <c r="B143" s="77" t="s">
        <v>58</v>
      </c>
      <c r="C143" s="77" t="s">
        <v>59</v>
      </c>
      <c r="D143" s="77" t="s">
        <v>60</v>
      </c>
      <c r="F143" s="77" t="s">
        <v>445</v>
      </c>
      <c r="G143" s="77" t="s">
        <v>446</v>
      </c>
      <c r="H143" s="9" t="str" cm="1">
        <f t="array" ref="H143">INDEX(stableR[question],MATCH(VALUE(questions[[#This Row],[qno]]),VALUE(stableR[qno]),0))</f>
        <v>What is the main renovation-rehabilitation systems do you use to renovate/rehabilitate (e.g. full stumping, partial stumping, capping, side pruning, uprooting and planting new trees)?</v>
      </c>
      <c r="I143" s="9" t="b" cm="1">
        <f t="array" ref="I143">INDEX(stable[is_fixed],MATCH(VALUE(questions[[#This Row],[qno]]),VALUE(stable[qno]),0))</f>
        <v>1</v>
      </c>
      <c r="J143" s="9" t="b" cm="1">
        <f t="array" ref="J143">INDEX(stable[is_localized],MATCH(VALUE(questions[[#This Row],[qno]]),VALUE(stable[qno]),0))</f>
        <v>0</v>
      </c>
      <c r="K143" s="9" t="b" cm="1">
        <f t="array" ref="K143">INDEX(stable[is_supply_chain_dependent],MATCH(VALUE(questions[[#This Row],[qno]]),VALUE(stable[qno]),0))</f>
        <v>0</v>
      </c>
      <c r="L143" s="9" t="b" cm="1">
        <f t="array" ref="L143">INDEX(stable[is_mandatory],MATCH(VALUE(questions[[#This Row],[qno]]),VALUE(stable[qno]),0))</f>
        <v>0</v>
      </c>
      <c r="M143" s="9" t="b" cm="1">
        <f t="array" ref="M143">INDEX(stable[is_automated],MATCH(VALUE(questions[[#This Row],[qno]]),VALUE(stable[qno]),0))</f>
        <v>0</v>
      </c>
      <c r="N143" s="9" t="b" cm="1">
        <f t="array" ref="N143">INDEX(stable[is_free_text],MATCH(VALUE(questions[[#This Row],[qno]]),VALUE(stable[qno]),0))</f>
        <v>0</v>
      </c>
      <c r="O143" s="9" t="b" cm="1">
        <f t="array" ref="O143">INDEX(stable[is_numerical],MATCH(VALUE(questions[[#This Row],[qno]]),VALUE(stable[qno]),0))</f>
        <v>0</v>
      </c>
      <c r="P143" s="103" t="b" cm="1">
        <f t="array" ref="P143">INDEX(stable[is_single_select],MATCH(VALUE(questions[[#This Row],[qno]]),VALUE(stable[qno]),0))</f>
        <v>1</v>
      </c>
      <c r="Q143" s="77" t="b" cm="1">
        <f t="array" ref="Q143">INDEX(stable[is_multi_select],MATCH(VALUE(questions[[#This Row],[qno]]),VALUE(stable[qno]),0))</f>
        <v>0</v>
      </c>
      <c r="R143" s="77" t="b" cm="1">
        <f t="array" ref="R143">INDEX(stable[is_skip_logic],MATCH(VALUE(questions[[#This Row],[qno]]),VALUE(stable[qno]),0))</f>
        <v>1</v>
      </c>
      <c r="S143" s="77" t="str">
        <f>_xlfn.TEXTJOIN(", ",TRUE,questions[[#This Row],[ans_opt_1]:[ans_opt_14]])</f>
        <v>full stumping, partial stumping, capping, side pruning, capping and side prunning, uprooting and planting new trees</v>
      </c>
      <c r="T143" s="77" t="s">
        <v>447</v>
      </c>
      <c r="U143" s="77" t="s">
        <v>448</v>
      </c>
      <c r="V143" s="77" t="s">
        <v>449</v>
      </c>
      <c r="W143" s="77" t="s">
        <v>450</v>
      </c>
      <c r="X143" s="77" t="s">
        <v>451</v>
      </c>
      <c r="Y143" s="77" t="s">
        <v>452</v>
      </c>
      <c r="AH143" s="98" t="b">
        <f>INDEX(stable[q_standard],MATCH(questions[[#This Row],[qno]],stable[qno],0))</f>
        <v>0</v>
      </c>
      <c r="AI143" s="98" t="b">
        <f>INDEX(stable[q_living_income],MATCH(questions[[#This Row],[qno]],stable[qno],0))</f>
        <v>0</v>
      </c>
      <c r="AJ143" s="98" t="b">
        <f>INDEX(stable[q_carbon],MATCH(questions[[#This Row],[qno]],stable[qno],0))</f>
        <v>0</v>
      </c>
      <c r="AK143" s="98" t="b">
        <f>INDEX(stable[q_regen_ag],MATCH(questions[[#This Row],[qno]],stable[qno],0))</f>
        <v>1</v>
      </c>
      <c r="AL143" s="98" t="b">
        <f>COUNTIFS(stable[qno],questions[[#This Row],[qno]])=1</f>
        <v>1</v>
      </c>
      <c r="AM143" s="98" t="b">
        <f>OR(questions[[#This Row],[is_fixed]],questions[[#This Row],[is_localized]],questions[[#This Row],[is_supply_chain_dependent]])</f>
        <v>1</v>
      </c>
      <c r="AN143" s="98" t="b">
        <f>COUNTIFS(questions[[#This Row],[is_automated]:[is_multi_select]],TRUE)=1</f>
        <v>1</v>
      </c>
      <c r="AO143" s="98" t="b">
        <f>IF(questions[[#This Row],[is_fixed]],questions[[#This Row],[question]]=INDEX(stable[question],MATCH(questions[[#This Row],[qno]],stable[qno],0)),TRUE)</f>
        <v>1</v>
      </c>
      <c r="AP143" s="98" t="str">
        <f>LEFT(questions[[#This Row],[question]],similarity_range)</f>
        <v>What is the main ren</v>
      </c>
      <c r="AQ143" s="98" t="str">
        <f>LEFT(INDEX(stable[question],MATCH(questions[[#This Row],[qno]],stable[qno],0)),similarity_range)</f>
        <v>What is the main ren</v>
      </c>
      <c r="AR143" s="98" t="b">
        <f>questions[[#This Row],[question_first_characters]]=questions[[#This Row],[stability_first_characters]]</f>
        <v>1</v>
      </c>
      <c r="AS143" s="98" t="b">
        <f>IF(OR(questions[[#This Row],[is_single_select]],questions[[#This Row],[is_multi_select]]),NOT(ISBLANK(questions[[#This Row],[answer_opt_combined]])),TRUE)</f>
        <v>1</v>
      </c>
    </row>
    <row r="144" spans="1:45" s="77" customFormat="1" x14ac:dyDescent="0.25">
      <c r="A144" s="77" t="str">
        <f>_xlfn.TEXTJOIN("_",TRUE,questions[[#This Row],[origin]:[qno]])</f>
        <v>Indonesia_Arabica_west_java_impact_7410</v>
      </c>
      <c r="B144" s="77" t="s">
        <v>58</v>
      </c>
      <c r="C144" s="77" t="s">
        <v>59</v>
      </c>
      <c r="D144" s="77" t="s">
        <v>60</v>
      </c>
      <c r="F144" s="77" t="s">
        <v>453</v>
      </c>
      <c r="G144" s="77" t="s">
        <v>454</v>
      </c>
      <c r="H144" s="9" t="str" cm="1">
        <f t="array" ref="H144">INDEX(stableR[question],MATCH(VALUE(questions[[#This Row],[qno]]),VALUE(stableR[qno]),0))</f>
        <v>How many coffee varieties do you grow in your coffee plots?</v>
      </c>
      <c r="I144" s="9" t="b" cm="1">
        <f t="array" ref="I144">INDEX(stable[is_fixed],MATCH(VALUE(questions[[#This Row],[qno]]),VALUE(stable[qno]),0))</f>
        <v>1</v>
      </c>
      <c r="J144" s="9" t="b" cm="1">
        <f t="array" ref="J144">INDEX(stable[is_localized],MATCH(VALUE(questions[[#This Row],[qno]]),VALUE(stable[qno]),0))</f>
        <v>0</v>
      </c>
      <c r="K144" s="9" t="b" cm="1">
        <f t="array" ref="K144">INDEX(stable[is_supply_chain_dependent],MATCH(VALUE(questions[[#This Row],[qno]]),VALUE(stable[qno]),0))</f>
        <v>0</v>
      </c>
      <c r="L144" s="9" t="b" cm="1">
        <f t="array" ref="L144">INDEX(stable[is_mandatory],MATCH(VALUE(questions[[#This Row],[qno]]),VALUE(stable[qno]),0))</f>
        <v>1</v>
      </c>
      <c r="M144" s="9" t="b" cm="1">
        <f t="array" ref="M144">INDEX(stable[is_automated],MATCH(VALUE(questions[[#This Row],[qno]]),VALUE(stable[qno]),0))</f>
        <v>0</v>
      </c>
      <c r="N144" s="9" t="b" cm="1">
        <f t="array" ref="N144">INDEX(stable[is_free_text],MATCH(VALUE(questions[[#This Row],[qno]]),VALUE(stable[qno]),0))</f>
        <v>0</v>
      </c>
      <c r="O144" s="9" t="b" cm="1">
        <f t="array" ref="O144">INDEX(stable[is_numerical],MATCH(VALUE(questions[[#This Row],[qno]]),VALUE(stable[qno]),0))</f>
        <v>0</v>
      </c>
      <c r="P144" s="103" t="b" cm="1">
        <f t="array" ref="P144">INDEX(stable[is_single_select],MATCH(VALUE(questions[[#This Row],[qno]]),VALUE(stable[qno]),0))</f>
        <v>1</v>
      </c>
      <c r="Q144" s="77" t="b" cm="1">
        <f t="array" ref="Q144">INDEX(stable[is_multi_select],MATCH(VALUE(questions[[#This Row],[qno]]),VALUE(stable[qno]),0))</f>
        <v>0</v>
      </c>
      <c r="R144" s="77" t="b" cm="1">
        <f t="array" ref="R144">INDEX(stable[is_skip_logic],MATCH(VALUE(questions[[#This Row],[qno]]),VALUE(stable[qno]),0))</f>
        <v>1</v>
      </c>
      <c r="S144" s="77" t="str">
        <f>_xlfn.TEXTJOIN(", ",TRUE,questions[[#This Row],[ans_opt_1]:[ans_opt_14]])</f>
        <v>1, 2, 3, 4, 5, &gt;5</v>
      </c>
      <c r="T144" s="77">
        <v>1</v>
      </c>
      <c r="U144" s="77">
        <v>2</v>
      </c>
      <c r="V144" s="77">
        <v>3</v>
      </c>
      <c r="W144" s="77">
        <v>4</v>
      </c>
      <c r="X144" s="77">
        <v>5</v>
      </c>
      <c r="Y144" s="77" t="s">
        <v>404</v>
      </c>
      <c r="AH144" s="98" t="b">
        <f>INDEX(stable[q_standard],MATCH(questions[[#This Row],[qno]],stable[qno],0))</f>
        <v>0</v>
      </c>
      <c r="AI144" s="98" t="b">
        <f>INDEX(stable[q_living_income],MATCH(questions[[#This Row],[qno]],stable[qno],0))</f>
        <v>0</v>
      </c>
      <c r="AJ144" s="98" t="b">
        <f>INDEX(stable[q_carbon],MATCH(questions[[#This Row],[qno]],stable[qno],0))</f>
        <v>0</v>
      </c>
      <c r="AK144" s="98" t="b">
        <f>INDEX(stable[q_regen_ag],MATCH(questions[[#This Row],[qno]],stable[qno],0))</f>
        <v>1</v>
      </c>
      <c r="AL144" s="98" t="b">
        <f>COUNTIFS(stable[qno],questions[[#This Row],[qno]])=1</f>
        <v>1</v>
      </c>
      <c r="AM144" s="98" t="b">
        <f>OR(questions[[#This Row],[is_fixed]],questions[[#This Row],[is_localized]],questions[[#This Row],[is_supply_chain_dependent]])</f>
        <v>1</v>
      </c>
      <c r="AN144" s="98" t="b">
        <f>COUNTIFS(questions[[#This Row],[is_automated]:[is_multi_select]],TRUE)=1</f>
        <v>1</v>
      </c>
      <c r="AO144" s="98" t="b">
        <f>IF(questions[[#This Row],[is_fixed]],questions[[#This Row],[question]]=INDEX(stable[question],MATCH(questions[[#This Row],[qno]],stable[qno],0)),TRUE)</f>
        <v>1</v>
      </c>
      <c r="AP144" s="98" t="str">
        <f>LEFT(questions[[#This Row],[question]],similarity_range)</f>
        <v>How many coffee vari</v>
      </c>
      <c r="AQ144" s="98" t="str">
        <f>LEFT(INDEX(stable[question],MATCH(questions[[#This Row],[qno]],stable[qno],0)),similarity_range)</f>
        <v>How many coffee vari</v>
      </c>
      <c r="AR144" s="98" t="b">
        <f>questions[[#This Row],[question_first_characters]]=questions[[#This Row],[stability_first_characters]]</f>
        <v>1</v>
      </c>
      <c r="AS144" s="98" t="b">
        <f>IF(OR(questions[[#This Row],[is_single_select]],questions[[#This Row],[is_multi_select]]),NOT(ISBLANK(questions[[#This Row],[answer_opt_combined]])),TRUE)</f>
        <v>1</v>
      </c>
    </row>
    <row r="145" spans="1:45" s="77" customFormat="1" x14ac:dyDescent="0.25">
      <c r="A145" s="77" t="str">
        <f>_xlfn.TEXTJOIN("_",TRUE,questions[[#This Row],[origin]:[qno]])</f>
        <v>Indonesia_Arabica_west_java_impact_7411</v>
      </c>
      <c r="B145" s="77" t="s">
        <v>58</v>
      </c>
      <c r="C145" s="77" t="s">
        <v>59</v>
      </c>
      <c r="D145" s="77" t="s">
        <v>60</v>
      </c>
      <c r="F145" s="77" t="s">
        <v>455</v>
      </c>
      <c r="G145" s="77" t="s">
        <v>456</v>
      </c>
      <c r="H145" s="9" t="str" cm="1">
        <f t="array" ref="H145">INDEX(stableR[question],MATCH(VALUE(questions[[#This Row],[qno]]),VALUE(stableR[qno]),0))</f>
        <v>What % or proportion over the total number of trees of the cultivated area is planted with the main variety?</v>
      </c>
      <c r="I145" s="9" t="b" cm="1">
        <f t="array" ref="I145">INDEX(stable[is_fixed],MATCH(VALUE(questions[[#This Row],[qno]]),VALUE(stable[qno]),0))</f>
        <v>1</v>
      </c>
      <c r="J145" s="9" t="b" cm="1">
        <f t="array" ref="J145">INDEX(stable[is_localized],MATCH(VALUE(questions[[#This Row],[qno]]),VALUE(stable[qno]),0))</f>
        <v>0</v>
      </c>
      <c r="K145" s="9" t="b" cm="1">
        <f t="array" ref="K145">INDEX(stable[is_supply_chain_dependent],MATCH(VALUE(questions[[#This Row],[qno]]),VALUE(stable[qno]),0))</f>
        <v>0</v>
      </c>
      <c r="L145" s="9" t="b" cm="1">
        <f t="array" ref="L145">INDEX(stable[is_mandatory],MATCH(VALUE(questions[[#This Row],[qno]]),VALUE(stable[qno]),0))</f>
        <v>1</v>
      </c>
      <c r="M145" s="9" t="b" cm="1">
        <f t="array" ref="M145">INDEX(stable[is_automated],MATCH(VALUE(questions[[#This Row],[qno]]),VALUE(stable[qno]),0))</f>
        <v>0</v>
      </c>
      <c r="N145" s="9" t="b" cm="1">
        <f t="array" ref="N145">INDEX(stable[is_free_text],MATCH(VALUE(questions[[#This Row],[qno]]),VALUE(stable[qno]),0))</f>
        <v>0</v>
      </c>
      <c r="O145" s="9" t="b" cm="1">
        <f t="array" ref="O145">INDEX(stable[is_numerical],MATCH(VALUE(questions[[#This Row],[qno]]),VALUE(stable[qno]),0))</f>
        <v>0</v>
      </c>
      <c r="P145" s="103" t="b" cm="1">
        <f t="array" ref="P145">INDEX(stable[is_single_select],MATCH(VALUE(questions[[#This Row],[qno]]),VALUE(stable[qno]),0))</f>
        <v>1</v>
      </c>
      <c r="Q145" s="77" t="b" cm="1">
        <f t="array" ref="Q145">INDEX(stable[is_multi_select],MATCH(VALUE(questions[[#This Row],[qno]]),VALUE(stable[qno]),0))</f>
        <v>0</v>
      </c>
      <c r="R145" s="77" t="b" cm="1">
        <f t="array" ref="R145">INDEX(stable[is_skip_logic],MATCH(VALUE(questions[[#This Row],[qno]]),VALUE(stable[qno]),0))</f>
        <v>1</v>
      </c>
      <c r="S145" s="77" t="str">
        <f>_xlfn.TEXTJOIN(", ",TRUE,questions[[#This Row],[ans_opt_1]:[ans_opt_14]])</f>
        <v>1% to 25% - little to a quarter, 26% to 50% - less than half, 51% to 75% - more than half, 76% to 100% - almost all</v>
      </c>
      <c r="T145" s="77" t="s">
        <v>338</v>
      </c>
      <c r="U145" s="77" t="s">
        <v>339</v>
      </c>
      <c r="V145" s="77" t="s">
        <v>340</v>
      </c>
      <c r="W145" s="77" t="s">
        <v>341</v>
      </c>
      <c r="AH145" s="98" t="b">
        <f>INDEX(stable[q_standard],MATCH(questions[[#This Row],[qno]],stable[qno],0))</f>
        <v>0</v>
      </c>
      <c r="AI145" s="98" t="b">
        <f>INDEX(stable[q_living_income],MATCH(questions[[#This Row],[qno]],stable[qno],0))</f>
        <v>0</v>
      </c>
      <c r="AJ145" s="98" t="b">
        <f>INDEX(stable[q_carbon],MATCH(questions[[#This Row],[qno]],stable[qno],0))</f>
        <v>0</v>
      </c>
      <c r="AK145" s="98" t="b">
        <f>INDEX(stable[q_regen_ag],MATCH(questions[[#This Row],[qno]],stable[qno],0))</f>
        <v>1</v>
      </c>
      <c r="AL145" s="98" t="b">
        <f>COUNTIFS(stable[qno],questions[[#This Row],[qno]])=1</f>
        <v>1</v>
      </c>
      <c r="AM145" s="98" t="b">
        <f>OR(questions[[#This Row],[is_fixed]],questions[[#This Row],[is_localized]],questions[[#This Row],[is_supply_chain_dependent]])</f>
        <v>1</v>
      </c>
      <c r="AN145" s="98" t="b">
        <f>COUNTIFS(questions[[#This Row],[is_automated]:[is_multi_select]],TRUE)=1</f>
        <v>1</v>
      </c>
      <c r="AO145" s="98" t="b">
        <f>IF(questions[[#This Row],[is_fixed]],questions[[#This Row],[question]]=INDEX(stable[question],MATCH(questions[[#This Row],[qno]],stable[qno],0)),TRUE)</f>
        <v>0</v>
      </c>
      <c r="AP145" s="98" t="str">
        <f>LEFT(questions[[#This Row],[question]],similarity_range)</f>
        <v>What % or proportion</v>
      </c>
      <c r="AQ145" s="98" t="str">
        <f>LEFT(INDEX(stable[question],MATCH(questions[[#This Row],[qno]],stable[qno],0)),similarity_range)</f>
        <v>What % or proportion</v>
      </c>
      <c r="AR145" s="98" t="b">
        <f>questions[[#This Row],[question_first_characters]]=questions[[#This Row],[stability_first_characters]]</f>
        <v>1</v>
      </c>
      <c r="AS145" s="98" t="b">
        <f>IF(OR(questions[[#This Row],[is_single_select]],questions[[#This Row],[is_multi_select]]),NOT(ISBLANK(questions[[#This Row],[answer_opt_combined]])),TRUE)</f>
        <v>1</v>
      </c>
    </row>
    <row r="146" spans="1:45" s="77" customFormat="1" x14ac:dyDescent="0.25">
      <c r="A146" s="77" t="str">
        <f>_xlfn.TEXTJOIN("_",TRUE,questions[[#This Row],[origin]:[qno]])</f>
        <v>Indonesia_Arabica_west_java_impact_7412</v>
      </c>
      <c r="B146" s="77" t="s">
        <v>58</v>
      </c>
      <c r="C146" s="77" t="s">
        <v>59</v>
      </c>
      <c r="D146" s="77" t="s">
        <v>60</v>
      </c>
      <c r="F146" s="77" t="s">
        <v>457</v>
      </c>
      <c r="G146" s="77" t="s">
        <v>458</v>
      </c>
      <c r="H146" s="9" t="str" cm="1">
        <f t="array" ref="H146">INDEX(stableR[question],MATCH(VALUE(questions[[#This Row],[qno]]),VALUE(stableR[qno]),0))</f>
        <v>If you grow only one variety, how many years ago was this variety planted?</v>
      </c>
      <c r="I146" s="9" t="b" cm="1">
        <f t="array" ref="I146">INDEX(stable[is_fixed],MATCH(VALUE(questions[[#This Row],[qno]]),VALUE(stable[qno]),0))</f>
        <v>1</v>
      </c>
      <c r="J146" s="9" t="b" cm="1">
        <f t="array" ref="J146">INDEX(stable[is_localized],MATCH(VALUE(questions[[#This Row],[qno]]),VALUE(stable[qno]),0))</f>
        <v>0</v>
      </c>
      <c r="K146" s="9" t="b" cm="1">
        <f t="array" ref="K146">INDEX(stable[is_supply_chain_dependent],MATCH(VALUE(questions[[#This Row],[qno]]),VALUE(stable[qno]),0))</f>
        <v>0</v>
      </c>
      <c r="L146" s="9" t="b" cm="1">
        <f t="array" ref="L146">INDEX(stable[is_mandatory],MATCH(VALUE(questions[[#This Row],[qno]]),VALUE(stable[qno]),0))</f>
        <v>0</v>
      </c>
      <c r="M146" s="9" t="b" cm="1">
        <f t="array" ref="M146">INDEX(stable[is_automated],MATCH(VALUE(questions[[#This Row],[qno]]),VALUE(stable[qno]),0))</f>
        <v>0</v>
      </c>
      <c r="N146" s="9" t="b" cm="1">
        <f t="array" ref="N146">INDEX(stable[is_free_text],MATCH(VALUE(questions[[#This Row],[qno]]),VALUE(stable[qno]),0))</f>
        <v>0</v>
      </c>
      <c r="O146" s="9" t="b" cm="1">
        <f t="array" ref="O146">INDEX(stable[is_numerical],MATCH(VALUE(questions[[#This Row],[qno]]),VALUE(stable[qno]),0))</f>
        <v>0</v>
      </c>
      <c r="P146" s="103" t="b" cm="1">
        <f t="array" ref="P146">INDEX(stable[is_single_select],MATCH(VALUE(questions[[#This Row],[qno]]),VALUE(stable[qno]),0))</f>
        <v>1</v>
      </c>
      <c r="Q146" s="77" t="b" cm="1">
        <f t="array" ref="Q146">INDEX(stable[is_multi_select],MATCH(VALUE(questions[[#This Row],[qno]]),VALUE(stable[qno]),0))</f>
        <v>0</v>
      </c>
      <c r="R146" s="77" t="b" cm="1">
        <f t="array" ref="R146">INDEX(stable[is_skip_logic],MATCH(VALUE(questions[[#This Row],[qno]]),VALUE(stable[qno]),0))</f>
        <v>1</v>
      </c>
      <c r="S146" s="77" t="str">
        <f>_xlfn.TEXTJOIN(", ",TRUE,questions[[#This Row],[ans_opt_1]:[ans_opt_14]])</f>
        <v>1-5 years, 6-10 years, 11-15 years, 15-20 years, 20-30 years, &gt;30 years</v>
      </c>
      <c r="T146" s="77" t="s">
        <v>459</v>
      </c>
      <c r="U146" s="77" t="s">
        <v>460</v>
      </c>
      <c r="V146" s="77" t="s">
        <v>461</v>
      </c>
      <c r="W146" s="77" t="s">
        <v>462</v>
      </c>
      <c r="X146" s="77" t="s">
        <v>463</v>
      </c>
      <c r="Y146" s="77" t="s">
        <v>464</v>
      </c>
      <c r="AH146" s="98" t="b">
        <f>INDEX(stable[q_standard],MATCH(questions[[#This Row],[qno]],stable[qno],0))</f>
        <v>0</v>
      </c>
      <c r="AI146" s="98" t="b">
        <f>INDEX(stable[q_living_income],MATCH(questions[[#This Row],[qno]],stable[qno],0))</f>
        <v>0</v>
      </c>
      <c r="AJ146" s="98" t="b">
        <f>INDEX(stable[q_carbon],MATCH(questions[[#This Row],[qno]],stable[qno],0))</f>
        <v>0</v>
      </c>
      <c r="AK146" s="98" t="b">
        <f>INDEX(stable[q_regen_ag],MATCH(questions[[#This Row],[qno]],stable[qno],0))</f>
        <v>1</v>
      </c>
      <c r="AL146" s="98" t="b">
        <f>COUNTIFS(stable[qno],questions[[#This Row],[qno]])=1</f>
        <v>1</v>
      </c>
      <c r="AM146" s="98" t="b">
        <f>OR(questions[[#This Row],[is_fixed]],questions[[#This Row],[is_localized]],questions[[#This Row],[is_supply_chain_dependent]])</f>
        <v>1</v>
      </c>
      <c r="AN146" s="98" t="b">
        <f>COUNTIFS(questions[[#This Row],[is_automated]:[is_multi_select]],TRUE)=1</f>
        <v>1</v>
      </c>
      <c r="AO146" s="98" t="b">
        <f>IF(questions[[#This Row],[is_fixed]],questions[[#This Row],[question]]=INDEX(stable[question],MATCH(questions[[#This Row],[qno]],stable[qno],0)),TRUE)</f>
        <v>1</v>
      </c>
      <c r="AP146" s="98" t="str">
        <f>LEFT(questions[[#This Row],[question]],similarity_range)</f>
        <v>If you grow only one</v>
      </c>
      <c r="AQ146" s="98" t="str">
        <f>LEFT(INDEX(stable[question],MATCH(questions[[#This Row],[qno]],stable[qno],0)),similarity_range)</f>
        <v>If you grow only one</v>
      </c>
      <c r="AR146" s="98" t="b">
        <f>questions[[#This Row],[question_first_characters]]=questions[[#This Row],[stability_first_characters]]</f>
        <v>1</v>
      </c>
      <c r="AS146" s="98" t="b">
        <f>IF(OR(questions[[#This Row],[is_single_select]],questions[[#This Row],[is_multi_select]]),NOT(ISBLANK(questions[[#This Row],[answer_opt_combined]])),TRUE)</f>
        <v>1</v>
      </c>
    </row>
    <row r="147" spans="1:45" s="77" customFormat="1" x14ac:dyDescent="0.25">
      <c r="A147" s="77" t="str">
        <f>_xlfn.TEXTJOIN("_",TRUE,questions[[#This Row],[origin]:[qno]])</f>
        <v>Indonesia_Arabica_west_java_impact_7500</v>
      </c>
      <c r="B147" s="77" t="s">
        <v>58</v>
      </c>
      <c r="C147" s="77" t="s">
        <v>59</v>
      </c>
      <c r="D147" s="77" t="s">
        <v>60</v>
      </c>
      <c r="F147" s="77" t="s">
        <v>465</v>
      </c>
      <c r="G147" s="77" t="s">
        <v>466</v>
      </c>
      <c r="H147" s="9" t="str" cm="1">
        <f t="array" ref="H147">INDEX(stableR[question],MATCH(VALUE(questions[[#This Row],[qno]]),VALUE(stableR[qno]),0))</f>
        <v>Do you plant shade trees and/or fruit trees in your coffee plots?</v>
      </c>
      <c r="I147" s="9" t="b" cm="1">
        <f t="array" ref="I147">INDEX(stable[is_fixed],MATCH(VALUE(questions[[#This Row],[qno]]),VALUE(stable[qno]),0))</f>
        <v>0</v>
      </c>
      <c r="J147" s="9" t="b" cm="1">
        <f t="array" ref="J147">INDEX(stable[is_localized],MATCH(VALUE(questions[[#This Row],[qno]]),VALUE(stable[qno]),0))</f>
        <v>1</v>
      </c>
      <c r="K147" s="9" t="b" cm="1">
        <f t="array" ref="K147">INDEX(stable[is_supply_chain_dependent],MATCH(VALUE(questions[[#This Row],[qno]]),VALUE(stable[qno]),0))</f>
        <v>0</v>
      </c>
      <c r="L147" s="9" t="b" cm="1">
        <f t="array" ref="L147">INDEX(stable[is_mandatory],MATCH(VALUE(questions[[#This Row],[qno]]),VALUE(stable[qno]),0))</f>
        <v>1</v>
      </c>
      <c r="M147" s="9" t="b" cm="1">
        <f t="array" ref="M147">INDEX(stable[is_automated],MATCH(VALUE(questions[[#This Row],[qno]]),VALUE(stable[qno]),0))</f>
        <v>0</v>
      </c>
      <c r="N147" s="9" t="b" cm="1">
        <f t="array" ref="N147">INDEX(stable[is_free_text],MATCH(VALUE(questions[[#This Row],[qno]]),VALUE(stable[qno]),0))</f>
        <v>0</v>
      </c>
      <c r="O147" s="9" t="b" cm="1">
        <f t="array" ref="O147">INDEX(stable[is_numerical],MATCH(VALUE(questions[[#This Row],[qno]]),VALUE(stable[qno]),0))</f>
        <v>0</v>
      </c>
      <c r="P147" s="103" t="b" cm="1">
        <f t="array" ref="P147">INDEX(stable[is_single_select],MATCH(VALUE(questions[[#This Row],[qno]]),VALUE(stable[qno]),0))</f>
        <v>1</v>
      </c>
      <c r="Q147" s="77" t="b" cm="1">
        <f t="array" ref="Q147">INDEX(stable[is_multi_select],MATCH(VALUE(questions[[#This Row],[qno]]),VALUE(stable[qno]),0))</f>
        <v>0</v>
      </c>
      <c r="R147" s="77" t="b" cm="1">
        <f t="array" ref="R147">INDEX(stable[is_skip_logic],MATCH(VALUE(questions[[#This Row],[qno]]),VALUE(stable[qno]),0))</f>
        <v>1</v>
      </c>
      <c r="S147" s="77" t="str">
        <f>_xlfn.TEXTJOIN(", ",TRUE,questions[[#This Row],[ans_opt_1]:[ans_opt_14]])</f>
        <v>No, Yes - forest shade trees, Yes - fruit trees, Yes - mix of forest shade trees and fruit trees</v>
      </c>
      <c r="T147" s="77" t="s">
        <v>119</v>
      </c>
      <c r="U147" s="77" t="s">
        <v>467</v>
      </c>
      <c r="V147" s="77" t="s">
        <v>468</v>
      </c>
      <c r="W147" s="77" t="s">
        <v>469</v>
      </c>
      <c r="AH147" s="98" t="b">
        <f>INDEX(stable[q_standard],MATCH(questions[[#This Row],[qno]],stable[qno],0))</f>
        <v>0</v>
      </c>
      <c r="AI147" s="98" t="b">
        <f>INDEX(stable[q_living_income],MATCH(questions[[#This Row],[qno]],stable[qno],0))</f>
        <v>0</v>
      </c>
      <c r="AJ147" s="98" t="b">
        <f>INDEX(stable[q_carbon],MATCH(questions[[#This Row],[qno]],stable[qno],0))</f>
        <v>0</v>
      </c>
      <c r="AK147" s="98" t="b">
        <f>INDEX(stable[q_regen_ag],MATCH(questions[[#This Row],[qno]],stable[qno],0))</f>
        <v>1</v>
      </c>
      <c r="AL147" s="98" t="b">
        <f>COUNTIFS(stable[qno],questions[[#This Row],[qno]])=1</f>
        <v>1</v>
      </c>
      <c r="AM147" s="98" t="b">
        <f>OR(questions[[#This Row],[is_fixed]],questions[[#This Row],[is_localized]],questions[[#This Row],[is_supply_chain_dependent]])</f>
        <v>1</v>
      </c>
      <c r="AN147" s="98" t="b">
        <f>COUNTIFS(questions[[#This Row],[is_automated]:[is_multi_select]],TRUE)=1</f>
        <v>1</v>
      </c>
      <c r="AO147" s="98" t="b">
        <f>IF(questions[[#This Row],[is_fixed]],questions[[#This Row],[question]]=INDEX(stable[question],MATCH(questions[[#This Row],[qno]],stable[qno],0)),TRUE)</f>
        <v>1</v>
      </c>
      <c r="AP147" s="98" t="str">
        <f>LEFT(questions[[#This Row],[question]],similarity_range)</f>
        <v>Do you plant shade t</v>
      </c>
      <c r="AQ147" s="98" t="str">
        <f>LEFT(INDEX(stable[question],MATCH(questions[[#This Row],[qno]],stable[qno],0)),similarity_range)</f>
        <v>Do you plant shade t</v>
      </c>
      <c r="AR147" s="98" t="b">
        <f>questions[[#This Row],[question_first_characters]]=questions[[#This Row],[stability_first_characters]]</f>
        <v>1</v>
      </c>
      <c r="AS147" s="98" t="b">
        <f>IF(OR(questions[[#This Row],[is_single_select]],questions[[#This Row],[is_multi_select]]),NOT(ISBLANK(questions[[#This Row],[answer_opt_combined]])),TRUE)</f>
        <v>1</v>
      </c>
    </row>
    <row r="148" spans="1:45" s="77" customFormat="1" x14ac:dyDescent="0.25">
      <c r="A148" s="77" t="str">
        <f>_xlfn.TEXTJOIN("_",TRUE,questions[[#This Row],[origin]:[qno]])</f>
        <v>Indonesia_Arabica_west_java_impact_7501</v>
      </c>
      <c r="B148" s="77" t="s">
        <v>58</v>
      </c>
      <c r="C148" s="77" t="s">
        <v>59</v>
      </c>
      <c r="D148" s="77" t="s">
        <v>60</v>
      </c>
      <c r="F148" s="77" t="s">
        <v>470</v>
      </c>
      <c r="G148" s="77" t="s">
        <v>471</v>
      </c>
      <c r="H148" s="9" t="str" cm="1">
        <f t="array" ref="H148">INDEX(stableR[question],MATCH(VALUE(questions[[#This Row],[qno]]),VALUE(stableR[qno]),0))</f>
        <v>If so, on what % or proportion of your coffee plots do you have shade and/or fruit trees? e.g. if all agro-forestry trees are only distributed in a quarter of the coffee plot, and the rest of the plot does not have agro-forestry trees, then it is 25%</v>
      </c>
      <c r="I148" s="9" t="b" cm="1">
        <f t="array" ref="I148">INDEX(stable[is_fixed],MATCH(VALUE(questions[[#This Row],[qno]]),VALUE(stable[qno]),0))</f>
        <v>1</v>
      </c>
      <c r="J148" s="9" t="b" cm="1">
        <f t="array" ref="J148">INDEX(stable[is_localized],MATCH(VALUE(questions[[#This Row],[qno]]),VALUE(stable[qno]),0))</f>
        <v>0</v>
      </c>
      <c r="K148" s="9" t="b" cm="1">
        <f t="array" ref="K148">INDEX(stable[is_supply_chain_dependent],MATCH(VALUE(questions[[#This Row],[qno]]),VALUE(stable[qno]),0))</f>
        <v>0</v>
      </c>
      <c r="L148" s="9" t="b" cm="1">
        <f t="array" ref="L148">INDEX(stable[is_mandatory],MATCH(VALUE(questions[[#This Row],[qno]]),VALUE(stable[qno]),0))</f>
        <v>0</v>
      </c>
      <c r="M148" s="9" t="b" cm="1">
        <f t="array" ref="M148">INDEX(stable[is_automated],MATCH(VALUE(questions[[#This Row],[qno]]),VALUE(stable[qno]),0))</f>
        <v>0</v>
      </c>
      <c r="N148" s="9" t="b" cm="1">
        <f t="array" ref="N148">INDEX(stable[is_free_text],MATCH(VALUE(questions[[#This Row],[qno]]),VALUE(stable[qno]),0))</f>
        <v>0</v>
      </c>
      <c r="O148" s="9" t="b" cm="1">
        <f t="array" ref="O148">INDEX(stable[is_numerical],MATCH(VALUE(questions[[#This Row],[qno]]),VALUE(stable[qno]),0))</f>
        <v>0</v>
      </c>
      <c r="P148" s="103" t="b" cm="1">
        <f t="array" ref="P148">INDEX(stable[is_single_select],MATCH(VALUE(questions[[#This Row],[qno]]),VALUE(stable[qno]),0))</f>
        <v>1</v>
      </c>
      <c r="Q148" s="77" t="b" cm="1">
        <f t="array" ref="Q148">INDEX(stable[is_multi_select],MATCH(VALUE(questions[[#This Row],[qno]]),VALUE(stable[qno]),0))</f>
        <v>0</v>
      </c>
      <c r="R148" s="77" t="b" cm="1">
        <f t="array" ref="R148">INDEX(stable[is_skip_logic],MATCH(VALUE(questions[[#This Row],[qno]]),VALUE(stable[qno]),0))</f>
        <v>1</v>
      </c>
      <c r="S148" s="77" t="str">
        <f>_xlfn.TEXTJOIN(", ",TRUE,questions[[#This Row],[ans_opt_1]:[ans_opt_14]])</f>
        <v>1% to 25% - little to a quarter, 26% to 50% - less than half, 51% to 75% - more than half, 76% to 100% - almost all</v>
      </c>
      <c r="T148" s="77" t="s">
        <v>338</v>
      </c>
      <c r="U148" s="77" t="s">
        <v>339</v>
      </c>
      <c r="V148" s="77" t="s">
        <v>340</v>
      </c>
      <c r="W148" s="77" t="s">
        <v>341</v>
      </c>
      <c r="AH148" s="98" t="b">
        <f>INDEX(stable[q_standard],MATCH(questions[[#This Row],[qno]],stable[qno],0))</f>
        <v>0</v>
      </c>
      <c r="AI148" s="98" t="b">
        <f>INDEX(stable[q_living_income],MATCH(questions[[#This Row],[qno]],stable[qno],0))</f>
        <v>0</v>
      </c>
      <c r="AJ148" s="98" t="b">
        <f>INDEX(stable[q_carbon],MATCH(questions[[#This Row],[qno]],stable[qno],0))</f>
        <v>0</v>
      </c>
      <c r="AK148" s="98" t="b">
        <f>INDEX(stable[q_regen_ag],MATCH(questions[[#This Row],[qno]],stable[qno],0))</f>
        <v>1</v>
      </c>
      <c r="AL148" s="98" t="b">
        <f>COUNTIFS(stable[qno],questions[[#This Row],[qno]])=1</f>
        <v>1</v>
      </c>
      <c r="AM148" s="98" t="b">
        <f>OR(questions[[#This Row],[is_fixed]],questions[[#This Row],[is_localized]],questions[[#This Row],[is_supply_chain_dependent]])</f>
        <v>1</v>
      </c>
      <c r="AN148" s="98" t="b">
        <f>COUNTIFS(questions[[#This Row],[is_automated]:[is_multi_select]],TRUE)=1</f>
        <v>1</v>
      </c>
      <c r="AO148" s="98" t="b">
        <f>IF(questions[[#This Row],[is_fixed]],questions[[#This Row],[question]]=INDEX(stable[question],MATCH(questions[[#This Row],[qno]],stable[qno],0)),TRUE)</f>
        <v>1</v>
      </c>
      <c r="AP148" s="98" t="str">
        <f>LEFT(questions[[#This Row],[question]],similarity_range)</f>
        <v xml:space="preserve">If so, on what % or </v>
      </c>
      <c r="AQ148" s="98" t="str">
        <f>LEFT(INDEX(stable[question],MATCH(questions[[#This Row],[qno]],stable[qno],0)),similarity_range)</f>
        <v xml:space="preserve">If so, on what % or </v>
      </c>
      <c r="AR148" s="98" t="b">
        <f>questions[[#This Row],[question_first_characters]]=questions[[#This Row],[stability_first_characters]]</f>
        <v>1</v>
      </c>
      <c r="AS148" s="98" t="b">
        <f>IF(OR(questions[[#This Row],[is_single_select]],questions[[#This Row],[is_multi_select]]),NOT(ISBLANK(questions[[#This Row],[answer_opt_combined]])),TRUE)</f>
        <v>1</v>
      </c>
    </row>
    <row r="149" spans="1:45" x14ac:dyDescent="0.25">
      <c r="A149" s="9" t="str">
        <f>_xlfn.TEXTJOIN("_",TRUE,questions[[#This Row],[origin]:[qno]])</f>
        <v>Indonesia_Arabica_west_java_impact_7502</v>
      </c>
      <c r="B149" s="9" t="s">
        <v>58</v>
      </c>
      <c r="C149" s="9" t="s">
        <v>59</v>
      </c>
      <c r="D149" s="9" t="s">
        <v>60</v>
      </c>
      <c r="F149" s="9" t="s">
        <v>472</v>
      </c>
      <c r="G149" s="9" t="s">
        <v>473</v>
      </c>
      <c r="H149" s="9" t="str" cm="1">
        <f t="array" ref="H149">INDEX(stableR[question],MATCH(VALUE(questions[[#This Row],[qno]]),VALUE(stableR[qno]),0))</f>
        <v>How many different species of shade and/or fruit trees do you have in your coffee plots?</v>
      </c>
      <c r="I149" s="9" t="b" cm="1">
        <f t="array" ref="I149">INDEX(stable[is_fixed],MATCH(VALUE(questions[[#This Row],[qno]]),VALUE(stable[qno]),0))</f>
        <v>1</v>
      </c>
      <c r="J149" s="9" t="b" cm="1">
        <f t="array" ref="J149">INDEX(stable[is_localized],MATCH(VALUE(questions[[#This Row],[qno]]),VALUE(stable[qno]),0))</f>
        <v>0</v>
      </c>
      <c r="K149" s="9" t="b" cm="1">
        <f t="array" ref="K149">INDEX(stable[is_supply_chain_dependent],MATCH(VALUE(questions[[#This Row],[qno]]),VALUE(stable[qno]),0))</f>
        <v>0</v>
      </c>
      <c r="L149" s="9" t="b" cm="1">
        <f t="array" ref="L149">INDEX(stable[is_mandatory],MATCH(VALUE(questions[[#This Row],[qno]]),VALUE(stable[qno]),0))</f>
        <v>0</v>
      </c>
      <c r="M149" s="9" t="b" cm="1">
        <f t="array" ref="M149">INDEX(stable[is_automated],MATCH(VALUE(questions[[#This Row],[qno]]),VALUE(stable[qno]),0))</f>
        <v>0</v>
      </c>
      <c r="N149" s="9" t="b" cm="1">
        <f t="array" ref="N149">INDEX(stable[is_free_text],MATCH(VALUE(questions[[#This Row],[qno]]),VALUE(stable[qno]),0))</f>
        <v>0</v>
      </c>
      <c r="O149" s="9" t="b" cm="1">
        <f t="array" ref="O149">INDEX(stable[is_numerical],MATCH(VALUE(questions[[#This Row],[qno]]),VALUE(stable[qno]),0))</f>
        <v>1</v>
      </c>
      <c r="P149" s="32" t="b" cm="1">
        <f t="array" ref="P149">INDEX(stable[is_single_select],MATCH(VALUE(questions[[#This Row],[qno]]),VALUE(stable[qno]),0))</f>
        <v>0</v>
      </c>
      <c r="Q149" s="9" t="b" cm="1">
        <f t="array" ref="Q149">INDEX(stable[is_multi_select],MATCH(VALUE(questions[[#This Row],[qno]]),VALUE(stable[qno]),0))</f>
        <v>0</v>
      </c>
      <c r="R149" s="9" t="b" cm="1">
        <f t="array" ref="R149">INDEX(stable[is_skip_logic],MATCH(VALUE(questions[[#This Row],[qno]]),VALUE(stable[qno]),0))</f>
        <v>0</v>
      </c>
      <c r="S149" s="9" t="str">
        <f>_xlfn.TEXTJOIN(", ",TRUE,questions[[#This Row],[ans_opt_1]:[ans_opt_14]])</f>
        <v/>
      </c>
      <c r="AH149" s="16" t="b">
        <f>INDEX(stable[q_standard],MATCH(questions[[#This Row],[qno]],stable[qno],0))</f>
        <v>0</v>
      </c>
      <c r="AI149" s="16" t="b">
        <f>INDEX(stable[q_living_income],MATCH(questions[[#This Row],[qno]],stable[qno],0))</f>
        <v>0</v>
      </c>
      <c r="AJ149" s="16" t="b">
        <f>INDEX(stable[q_carbon],MATCH(questions[[#This Row],[qno]],stable[qno],0))</f>
        <v>0</v>
      </c>
      <c r="AK149" s="16" t="b">
        <f>INDEX(stable[q_regen_ag],MATCH(questions[[#This Row],[qno]],stable[qno],0))</f>
        <v>1</v>
      </c>
      <c r="AL149" s="16" t="b">
        <f>COUNTIFS(stable[qno],questions[[#This Row],[qno]])=1</f>
        <v>1</v>
      </c>
      <c r="AM149" s="16" t="b">
        <f>OR(questions[[#This Row],[is_fixed]],questions[[#This Row],[is_localized]],questions[[#This Row],[is_supply_chain_dependent]])</f>
        <v>1</v>
      </c>
      <c r="AN149" s="16" t="b">
        <f>COUNTIFS(questions[[#This Row],[is_automated]:[is_multi_select]],TRUE)=1</f>
        <v>1</v>
      </c>
      <c r="AO149" s="16" t="b">
        <f>IF(questions[[#This Row],[is_fixed]],questions[[#This Row],[question]]=INDEX(stable[question],MATCH(questions[[#This Row],[qno]],stable[qno],0)),TRUE)</f>
        <v>1</v>
      </c>
      <c r="AP149" s="16" t="str">
        <f>LEFT(questions[[#This Row],[question]],similarity_range)</f>
        <v>How many different s</v>
      </c>
      <c r="AQ149" s="16" t="str">
        <f>LEFT(INDEX(stable[question],MATCH(questions[[#This Row],[qno]],stable[qno],0)),similarity_range)</f>
        <v>How many different s</v>
      </c>
      <c r="AR149" s="16" t="b">
        <f>questions[[#This Row],[question_first_characters]]=questions[[#This Row],[stability_first_characters]]</f>
        <v>1</v>
      </c>
      <c r="AS149" s="16" t="b">
        <f>IF(OR(questions[[#This Row],[is_single_select]],questions[[#This Row],[is_multi_select]]),NOT(ISBLANK(questions[[#This Row],[answer_opt_combined]])),TRUE)</f>
        <v>1</v>
      </c>
    </row>
    <row r="150" spans="1:45" x14ac:dyDescent="0.25">
      <c r="A150" s="9" t="str">
        <f>_xlfn.TEXTJOIN("_",TRUE,questions[[#This Row],[origin]:[qno]])</f>
        <v>Indonesia_Arabica_west_java_impact_7503</v>
      </c>
      <c r="B150" s="9" t="s">
        <v>58</v>
      </c>
      <c r="C150" s="9" t="s">
        <v>59</v>
      </c>
      <c r="D150" s="9" t="s">
        <v>60</v>
      </c>
      <c r="F150" s="9" t="s">
        <v>474</v>
      </c>
      <c r="G150" s="9" t="s">
        <v>475</v>
      </c>
      <c r="H150" s="9" t="str" cm="1">
        <f t="array" ref="H150">INDEX(stableR[question],MATCH(VALUE(questions[[#This Row],[qno]]),VALUE(stableR[qno]),0))</f>
        <v>Can you estimate how many shade trees (including fruit and other trees) you have in your coffee plots, in total (inside and boundary trees)?</v>
      </c>
      <c r="I150" s="9" t="b" cm="1">
        <f t="array" ref="I150">INDEX(stable[is_fixed],MATCH(VALUE(questions[[#This Row],[qno]]),VALUE(stable[qno]),0))</f>
        <v>1</v>
      </c>
      <c r="J150" s="9" t="b" cm="1">
        <f t="array" ref="J150">INDEX(stable[is_localized],MATCH(VALUE(questions[[#This Row],[qno]]),VALUE(stable[qno]),0))</f>
        <v>0</v>
      </c>
      <c r="K150" s="9" t="b" cm="1">
        <f t="array" ref="K150">INDEX(stable[is_supply_chain_dependent],MATCH(VALUE(questions[[#This Row],[qno]]),VALUE(stable[qno]),0))</f>
        <v>0</v>
      </c>
      <c r="L150" s="9" t="b" cm="1">
        <f t="array" ref="L150">INDEX(stable[is_mandatory],MATCH(VALUE(questions[[#This Row],[qno]]),VALUE(stable[qno]),0))</f>
        <v>0</v>
      </c>
      <c r="M150" s="9" t="b" cm="1">
        <f t="array" ref="M150">INDEX(stable[is_automated],MATCH(VALUE(questions[[#This Row],[qno]]),VALUE(stable[qno]),0))</f>
        <v>0</v>
      </c>
      <c r="N150" s="9" t="b" cm="1">
        <f t="array" ref="N150">INDEX(stable[is_free_text],MATCH(VALUE(questions[[#This Row],[qno]]),VALUE(stable[qno]),0))</f>
        <v>0</v>
      </c>
      <c r="O150" s="9" t="b" cm="1">
        <f t="array" ref="O150">INDEX(stable[is_numerical],MATCH(VALUE(questions[[#This Row],[qno]]),VALUE(stable[qno]),0))</f>
        <v>1</v>
      </c>
      <c r="P150" s="32" t="b" cm="1">
        <f t="array" ref="P150">INDEX(stable[is_single_select],MATCH(VALUE(questions[[#This Row],[qno]]),VALUE(stable[qno]),0))</f>
        <v>0</v>
      </c>
      <c r="Q150" s="9" t="b" cm="1">
        <f t="array" ref="Q150">INDEX(stable[is_multi_select],MATCH(VALUE(questions[[#This Row],[qno]]),VALUE(stable[qno]),0))</f>
        <v>0</v>
      </c>
      <c r="R150" s="9" t="b" cm="1">
        <f t="array" ref="R150">INDEX(stable[is_skip_logic],MATCH(VALUE(questions[[#This Row],[qno]]),VALUE(stable[qno]),0))</f>
        <v>0</v>
      </c>
      <c r="S150" s="9" t="str">
        <f>_xlfn.TEXTJOIN(", ",TRUE,questions[[#This Row],[ans_opt_1]:[ans_opt_14]])</f>
        <v/>
      </c>
      <c r="AH150" s="16" t="b">
        <f>INDEX(stable[q_standard],MATCH(questions[[#This Row],[qno]],stable[qno],0))</f>
        <v>0</v>
      </c>
      <c r="AI150" s="16" t="b">
        <f>INDEX(stable[q_living_income],MATCH(questions[[#This Row],[qno]],stable[qno],0))</f>
        <v>0</v>
      </c>
      <c r="AJ150" s="16" t="b">
        <f>INDEX(stable[q_carbon],MATCH(questions[[#This Row],[qno]],stable[qno],0))</f>
        <v>0</v>
      </c>
      <c r="AK150" s="16" t="b">
        <f>INDEX(stable[q_regen_ag],MATCH(questions[[#This Row],[qno]],stable[qno],0))</f>
        <v>1</v>
      </c>
      <c r="AL150" s="16" t="b">
        <f>COUNTIFS(stable[qno],questions[[#This Row],[qno]])=1</f>
        <v>1</v>
      </c>
      <c r="AM150" s="16" t="b">
        <f>OR(questions[[#This Row],[is_fixed]],questions[[#This Row],[is_localized]],questions[[#This Row],[is_supply_chain_dependent]])</f>
        <v>1</v>
      </c>
      <c r="AN150" s="16" t="b">
        <f>COUNTIFS(questions[[#This Row],[is_automated]:[is_multi_select]],TRUE)=1</f>
        <v>1</v>
      </c>
      <c r="AO150" s="16" t="b">
        <f>IF(questions[[#This Row],[is_fixed]],questions[[#This Row],[question]]=INDEX(stable[question],MATCH(questions[[#This Row],[qno]],stable[qno],0)),TRUE)</f>
        <v>1</v>
      </c>
      <c r="AP150" s="16" t="str">
        <f>LEFT(questions[[#This Row],[question]],similarity_range)</f>
        <v>Can you estimate how</v>
      </c>
      <c r="AQ150" s="16" t="str">
        <f>LEFT(INDEX(stable[question],MATCH(questions[[#This Row],[qno]],stable[qno],0)),similarity_range)</f>
        <v>Can you estimate how</v>
      </c>
      <c r="AR150" s="16" t="b">
        <f>questions[[#This Row],[question_first_characters]]=questions[[#This Row],[stability_first_characters]]</f>
        <v>1</v>
      </c>
      <c r="AS150" s="16" t="b">
        <f>IF(OR(questions[[#This Row],[is_single_select]],questions[[#This Row],[is_multi_select]]),NOT(ISBLANK(questions[[#This Row],[answer_opt_combined]])),TRUE)</f>
        <v>1</v>
      </c>
    </row>
    <row r="151" spans="1:45" s="77" customFormat="1" x14ac:dyDescent="0.25">
      <c r="A151" s="77" t="str">
        <f>_xlfn.TEXTJOIN("_",TRUE,questions[[#This Row],[origin]:[qno]])</f>
        <v>Indonesia_Arabica_west_java_impact_7504</v>
      </c>
      <c r="B151" s="77" t="s">
        <v>58</v>
      </c>
      <c r="C151" s="77" t="s">
        <v>59</v>
      </c>
      <c r="D151" s="77" t="s">
        <v>60</v>
      </c>
      <c r="F151" s="77" t="s">
        <v>476</v>
      </c>
      <c r="G151" s="77" t="s">
        <v>477</v>
      </c>
      <c r="H151" s="9" t="str" cm="1">
        <f t="array" ref="H151">INDEX(stableR[question],MATCH(VALUE(questions[[#This Row],[qno]]),VALUE(stableR[qno]),0))</f>
        <v>What describes best the size of these shade trees?</v>
      </c>
      <c r="I151" s="9" t="b" cm="1">
        <f t="array" ref="I151">INDEX(stable[is_fixed],MATCH(VALUE(questions[[#This Row],[qno]]),VALUE(stable[qno]),0))</f>
        <v>1</v>
      </c>
      <c r="J151" s="9" t="b" cm="1">
        <f t="array" ref="J151">INDEX(stable[is_localized],MATCH(VALUE(questions[[#This Row],[qno]]),VALUE(stable[qno]),0))</f>
        <v>0</v>
      </c>
      <c r="K151" s="9" t="b" cm="1">
        <f t="array" ref="K151">INDEX(stable[is_supply_chain_dependent],MATCH(VALUE(questions[[#This Row],[qno]]),VALUE(stable[qno]),0))</f>
        <v>0</v>
      </c>
      <c r="L151" s="9" t="b" cm="1">
        <f t="array" ref="L151">INDEX(stable[is_mandatory],MATCH(VALUE(questions[[#This Row],[qno]]),VALUE(stable[qno]),0))</f>
        <v>0</v>
      </c>
      <c r="M151" s="9" t="b" cm="1">
        <f t="array" ref="M151">INDEX(stable[is_automated],MATCH(VALUE(questions[[#This Row],[qno]]),VALUE(stable[qno]),0))</f>
        <v>0</v>
      </c>
      <c r="N151" s="9" t="b" cm="1">
        <f t="array" ref="N151">INDEX(stable[is_free_text],MATCH(VALUE(questions[[#This Row],[qno]]),VALUE(stable[qno]),0))</f>
        <v>0</v>
      </c>
      <c r="O151" s="9" t="b" cm="1">
        <f t="array" ref="O151">INDEX(stable[is_numerical],MATCH(VALUE(questions[[#This Row],[qno]]),VALUE(stable[qno]),0))</f>
        <v>0</v>
      </c>
      <c r="P151" s="103" t="b" cm="1">
        <f t="array" ref="P151">INDEX(stable[is_single_select],MATCH(VALUE(questions[[#This Row],[qno]]),VALUE(stable[qno]),0))</f>
        <v>1</v>
      </c>
      <c r="Q151" s="77" t="b" cm="1">
        <f t="array" ref="Q151">INDEX(stable[is_multi_select],MATCH(VALUE(questions[[#This Row],[qno]]),VALUE(stable[qno]),0))</f>
        <v>0</v>
      </c>
      <c r="R151" s="77" t="b" cm="1">
        <f t="array" ref="R151">INDEX(stable[is_skip_logic],MATCH(VALUE(questions[[#This Row],[qno]]),VALUE(stable[qno]),0))</f>
        <v>0</v>
      </c>
      <c r="S151" s="77" t="str">
        <f>_xlfn.TEXTJOIN(", ",TRUE,questions[[#This Row],[ans_opt_1]:[ans_opt_14]])</f>
        <v>Big sized, full grown, shade trees, Medium sized shade trees- including fruit trees, Multipurpose mix of trees(different types &amp; sizes)</v>
      </c>
      <c r="T151" s="77" t="s">
        <v>478</v>
      </c>
      <c r="U151" s="77" t="s">
        <v>479</v>
      </c>
      <c r="V151" s="77" t="s">
        <v>480</v>
      </c>
      <c r="AH151" s="98" t="b">
        <f>INDEX(stable[q_standard],MATCH(questions[[#This Row],[qno]],stable[qno],0))</f>
        <v>0</v>
      </c>
      <c r="AI151" s="98" t="b">
        <f>INDEX(stable[q_living_income],MATCH(questions[[#This Row],[qno]],stable[qno],0))</f>
        <v>0</v>
      </c>
      <c r="AJ151" s="98" t="b">
        <f>INDEX(stable[q_carbon],MATCH(questions[[#This Row],[qno]],stable[qno],0))</f>
        <v>0</v>
      </c>
      <c r="AK151" s="98" t="b">
        <f>INDEX(stable[q_regen_ag],MATCH(questions[[#This Row],[qno]],stable[qno],0))</f>
        <v>1</v>
      </c>
      <c r="AL151" s="98" t="b">
        <f>COUNTIFS(stable[qno],questions[[#This Row],[qno]])=1</f>
        <v>1</v>
      </c>
      <c r="AM151" s="98" t="b">
        <f>OR(questions[[#This Row],[is_fixed]],questions[[#This Row],[is_localized]],questions[[#This Row],[is_supply_chain_dependent]])</f>
        <v>1</v>
      </c>
      <c r="AN151" s="98" t="b">
        <f>COUNTIFS(questions[[#This Row],[is_automated]:[is_multi_select]],TRUE)=1</f>
        <v>1</v>
      </c>
      <c r="AO151" s="98" t="b">
        <f>IF(questions[[#This Row],[is_fixed]],questions[[#This Row],[question]]=INDEX(stable[question],MATCH(questions[[#This Row],[qno]],stable[qno],0)),TRUE)</f>
        <v>1</v>
      </c>
      <c r="AP151" s="98" t="str">
        <f>LEFT(questions[[#This Row],[question]],similarity_range)</f>
        <v xml:space="preserve">What describes best </v>
      </c>
      <c r="AQ151" s="98" t="str">
        <f>LEFT(INDEX(stable[question],MATCH(questions[[#This Row],[qno]],stable[qno],0)),similarity_range)</f>
        <v xml:space="preserve">What describes best </v>
      </c>
      <c r="AR151" s="98" t="b">
        <f>questions[[#This Row],[question_first_characters]]=questions[[#This Row],[stability_first_characters]]</f>
        <v>1</v>
      </c>
      <c r="AS151" s="98" t="b">
        <f>IF(OR(questions[[#This Row],[is_single_select]],questions[[#This Row],[is_multi_select]]),NOT(ISBLANK(questions[[#This Row],[answer_opt_combined]])),TRUE)</f>
        <v>1</v>
      </c>
    </row>
    <row r="152" spans="1:45" s="77" customFormat="1" x14ac:dyDescent="0.25">
      <c r="A152" s="77" t="str">
        <f>_xlfn.TEXTJOIN("_",TRUE,questions[[#This Row],[origin]:[qno]])</f>
        <v>Indonesia_Arabica_west_java_impact_7600</v>
      </c>
      <c r="B152" s="77" t="s">
        <v>58</v>
      </c>
      <c r="C152" s="77" t="s">
        <v>59</v>
      </c>
      <c r="D152" s="77" t="s">
        <v>60</v>
      </c>
      <c r="F152" s="77" t="s">
        <v>481</v>
      </c>
      <c r="G152" s="77" t="s">
        <v>482</v>
      </c>
      <c r="H152" s="9" t="str" cm="1">
        <f t="array" ref="H152">INDEX(stableR[question],MATCH(VALUE(questions[[#This Row],[qno]]),VALUE(stableR[qno]),0))</f>
        <v>Do you keep bee hives in your farm (own bee hives or termporary during flowering season)?</v>
      </c>
      <c r="I152" s="9" t="b" cm="1">
        <f t="array" ref="I152">INDEX(stable[is_fixed],MATCH(VALUE(questions[[#This Row],[qno]]),VALUE(stable[qno]),0))</f>
        <v>1</v>
      </c>
      <c r="J152" s="9" t="b" cm="1">
        <f t="array" ref="J152">INDEX(stable[is_localized],MATCH(VALUE(questions[[#This Row],[qno]]),VALUE(stable[qno]),0))</f>
        <v>0</v>
      </c>
      <c r="K152" s="9" t="b" cm="1">
        <f t="array" ref="K152">INDEX(stable[is_supply_chain_dependent],MATCH(VALUE(questions[[#This Row],[qno]]),VALUE(stable[qno]),0))</f>
        <v>0</v>
      </c>
      <c r="L152" s="9" t="b" cm="1">
        <f t="array" ref="L152">INDEX(stable[is_mandatory],MATCH(VALUE(questions[[#This Row],[qno]]),VALUE(stable[qno]),0))</f>
        <v>1</v>
      </c>
      <c r="M152" s="9" t="b" cm="1">
        <f t="array" ref="M152">INDEX(stable[is_automated],MATCH(VALUE(questions[[#This Row],[qno]]),VALUE(stable[qno]),0))</f>
        <v>0</v>
      </c>
      <c r="N152" s="9" t="b" cm="1">
        <f t="array" ref="N152">INDEX(stable[is_free_text],MATCH(VALUE(questions[[#This Row],[qno]]),VALUE(stable[qno]),0))</f>
        <v>0</v>
      </c>
      <c r="O152" s="9" t="b" cm="1">
        <f t="array" ref="O152">INDEX(stable[is_numerical],MATCH(VALUE(questions[[#This Row],[qno]]),VALUE(stable[qno]),0))</f>
        <v>0</v>
      </c>
      <c r="P152" s="103" t="b" cm="1">
        <f t="array" ref="P152">INDEX(stable[is_single_select],MATCH(VALUE(questions[[#This Row],[qno]]),VALUE(stable[qno]),0))</f>
        <v>1</v>
      </c>
      <c r="Q152" s="77" t="b" cm="1">
        <f t="array" ref="Q152">INDEX(stable[is_multi_select],MATCH(VALUE(questions[[#This Row],[qno]]),VALUE(stable[qno]),0))</f>
        <v>0</v>
      </c>
      <c r="R152" s="77" t="b" cm="1">
        <f t="array" ref="R152">INDEX(stable[is_skip_logic],MATCH(VALUE(questions[[#This Row],[qno]]),VALUE(stable[qno]),0))</f>
        <v>0</v>
      </c>
      <c r="S152" s="77" t="str">
        <f>_xlfn.TEXTJOIN(", ",TRUE,questions[[#This Row],[ans_opt_1]:[ans_opt_14]])</f>
        <v>Yes, No</v>
      </c>
      <c r="T152" s="77" t="s">
        <v>149</v>
      </c>
      <c r="U152" s="77" t="s">
        <v>119</v>
      </c>
      <c r="AH152" s="98" t="b">
        <f>INDEX(stable[q_standard],MATCH(questions[[#This Row],[qno]],stable[qno],0))</f>
        <v>0</v>
      </c>
      <c r="AI152" s="98" t="b">
        <f>INDEX(stable[q_living_income],MATCH(questions[[#This Row],[qno]],stable[qno],0))</f>
        <v>0</v>
      </c>
      <c r="AJ152" s="98" t="b">
        <f>INDEX(stable[q_carbon],MATCH(questions[[#This Row],[qno]],stable[qno],0))</f>
        <v>0</v>
      </c>
      <c r="AK152" s="98" t="b">
        <f>INDEX(stable[q_regen_ag],MATCH(questions[[#This Row],[qno]],stable[qno],0))</f>
        <v>1</v>
      </c>
      <c r="AL152" s="98" t="b">
        <f>COUNTIFS(stable[qno],questions[[#This Row],[qno]])=1</f>
        <v>1</v>
      </c>
      <c r="AM152" s="98" t="b">
        <f>OR(questions[[#This Row],[is_fixed]],questions[[#This Row],[is_localized]],questions[[#This Row],[is_supply_chain_dependent]])</f>
        <v>1</v>
      </c>
      <c r="AN152" s="98" t="b">
        <f>COUNTIFS(questions[[#This Row],[is_automated]:[is_multi_select]],TRUE)=1</f>
        <v>1</v>
      </c>
      <c r="AO152" s="98" t="b">
        <f>IF(questions[[#This Row],[is_fixed]],questions[[#This Row],[question]]=INDEX(stable[question],MATCH(questions[[#This Row],[qno]],stable[qno],0)),TRUE)</f>
        <v>1</v>
      </c>
      <c r="AP152" s="98" t="str">
        <f>LEFT(questions[[#This Row],[question]],similarity_range)</f>
        <v>Do you keep bee hive</v>
      </c>
      <c r="AQ152" s="98" t="str">
        <f>LEFT(INDEX(stable[question],MATCH(questions[[#This Row],[qno]],stable[qno],0)),similarity_range)</f>
        <v>Do you keep bee hive</v>
      </c>
      <c r="AR152" s="98" t="b">
        <f>questions[[#This Row],[question_first_characters]]=questions[[#This Row],[stability_first_characters]]</f>
        <v>1</v>
      </c>
      <c r="AS152" s="98" t="b">
        <f>IF(OR(questions[[#This Row],[is_single_select]],questions[[#This Row],[is_multi_select]]),NOT(ISBLANK(questions[[#This Row],[answer_opt_combined]])),TRUE)</f>
        <v>1</v>
      </c>
    </row>
    <row r="153" spans="1:45" s="77" customFormat="1" x14ac:dyDescent="0.25">
      <c r="A153" s="77" t="str">
        <f>_xlfn.TEXTJOIN("_",TRUE,questions[[#This Row],[origin]:[qno]])</f>
        <v>Indonesia_Arabica_west_java_impact_7700</v>
      </c>
      <c r="B153" s="77" t="s">
        <v>58</v>
      </c>
      <c r="C153" s="77" t="s">
        <v>59</v>
      </c>
      <c r="D153" s="77" t="s">
        <v>60</v>
      </c>
      <c r="F153" s="77" t="s">
        <v>483</v>
      </c>
      <c r="G153" s="77" t="s">
        <v>484</v>
      </c>
      <c r="H153" s="9" t="str" cm="1">
        <f t="array" ref="H153">INDEX(stableR[question],MATCH(VALUE(questions[[#This Row],[qno]]),VALUE(stableR[qno]),0))</f>
        <v>Do you have riparian areas (a buffer area or strip of vegetation along the bank of a stream or river that spatially separates agricultural land from the water) in your coffee plots and/or its boundaries and how many?  If the answer is NO, you do not need to answer the next question.</v>
      </c>
      <c r="I153" s="9" t="b" cm="1">
        <f t="array" ref="I153">INDEX(stable[is_fixed],MATCH(VALUE(questions[[#This Row],[qno]]),VALUE(stable[qno]),0))</f>
        <v>1</v>
      </c>
      <c r="J153" s="9" t="b" cm="1">
        <f t="array" ref="J153">INDEX(stable[is_localized],MATCH(VALUE(questions[[#This Row],[qno]]),VALUE(stable[qno]),0))</f>
        <v>0</v>
      </c>
      <c r="K153" s="9" t="b" cm="1">
        <f t="array" ref="K153">INDEX(stable[is_supply_chain_dependent],MATCH(VALUE(questions[[#This Row],[qno]]),VALUE(stable[qno]),0))</f>
        <v>0</v>
      </c>
      <c r="L153" s="9" t="b" cm="1">
        <f t="array" ref="L153">INDEX(stable[is_mandatory],MATCH(VALUE(questions[[#This Row],[qno]]),VALUE(stable[qno]),0))</f>
        <v>1</v>
      </c>
      <c r="M153" s="9" t="b" cm="1">
        <f t="array" ref="M153">INDEX(stable[is_automated],MATCH(VALUE(questions[[#This Row],[qno]]),VALUE(stable[qno]),0))</f>
        <v>0</v>
      </c>
      <c r="N153" s="9" t="b" cm="1">
        <f t="array" ref="N153">INDEX(stable[is_free_text],MATCH(VALUE(questions[[#This Row],[qno]]),VALUE(stable[qno]),0))</f>
        <v>0</v>
      </c>
      <c r="O153" s="9" t="b" cm="1">
        <f t="array" ref="O153">INDEX(stable[is_numerical],MATCH(VALUE(questions[[#This Row],[qno]]),VALUE(stable[qno]),0))</f>
        <v>0</v>
      </c>
      <c r="P153" s="103" t="b" cm="1">
        <f t="array" ref="P153">INDEX(stable[is_single_select],MATCH(VALUE(questions[[#This Row],[qno]]),VALUE(stable[qno]),0))</f>
        <v>1</v>
      </c>
      <c r="Q153" s="77" t="b" cm="1">
        <f t="array" ref="Q153">INDEX(stable[is_multi_select],MATCH(VALUE(questions[[#This Row],[qno]]),VALUE(stable[qno]),0))</f>
        <v>0</v>
      </c>
      <c r="R153" s="77" t="b" cm="1">
        <f t="array" ref="R153">INDEX(stable[is_skip_logic],MATCH(VALUE(questions[[#This Row],[qno]]),VALUE(stable[qno]),0))</f>
        <v>0</v>
      </c>
      <c r="S153" s="77" t="str">
        <f>_xlfn.TEXTJOIN(", ",TRUE,questions[[#This Row],[ans_opt_1]:[ans_opt_14]])</f>
        <v>No, Yes -1 stream/river, Yes -2 streams/rivers, Yes -3 streams/rivers, Yes -4 streams/rivers, Yes -5 streams/rivers</v>
      </c>
      <c r="T153" s="77" t="s">
        <v>119</v>
      </c>
      <c r="U153" s="77" t="s">
        <v>485</v>
      </c>
      <c r="V153" s="77" t="s">
        <v>486</v>
      </c>
      <c r="W153" s="77" t="s">
        <v>487</v>
      </c>
      <c r="X153" s="77" t="s">
        <v>488</v>
      </c>
      <c r="Y153" s="77" t="s">
        <v>489</v>
      </c>
      <c r="AH153" s="98" t="b">
        <f>INDEX(stable[q_standard],MATCH(questions[[#This Row],[qno]],stable[qno],0))</f>
        <v>0</v>
      </c>
      <c r="AI153" s="98" t="b">
        <f>INDEX(stable[q_living_income],MATCH(questions[[#This Row],[qno]],stable[qno],0))</f>
        <v>0</v>
      </c>
      <c r="AJ153" s="98" t="b">
        <f>INDEX(stable[q_carbon],MATCH(questions[[#This Row],[qno]],stable[qno],0))</f>
        <v>0</v>
      </c>
      <c r="AK153" s="98" t="b">
        <f>INDEX(stable[q_regen_ag],MATCH(questions[[#This Row],[qno]],stable[qno],0))</f>
        <v>1</v>
      </c>
      <c r="AL153" s="98" t="b">
        <f>COUNTIFS(stable[qno],questions[[#This Row],[qno]])=1</f>
        <v>1</v>
      </c>
      <c r="AM153" s="98" t="b">
        <f>OR(questions[[#This Row],[is_fixed]],questions[[#This Row],[is_localized]],questions[[#This Row],[is_supply_chain_dependent]])</f>
        <v>1</v>
      </c>
      <c r="AN153" s="98" t="b">
        <f>COUNTIFS(questions[[#This Row],[is_automated]:[is_multi_select]],TRUE)=1</f>
        <v>1</v>
      </c>
      <c r="AO153" s="98" t="b">
        <f>IF(questions[[#This Row],[is_fixed]],questions[[#This Row],[question]]=INDEX(stable[question],MATCH(questions[[#This Row],[qno]],stable[qno],0)),TRUE)</f>
        <v>1</v>
      </c>
      <c r="AP153" s="98" t="str">
        <f>LEFT(questions[[#This Row],[question]],similarity_range)</f>
        <v>Do you have riparian</v>
      </c>
      <c r="AQ153" s="98" t="str">
        <f>LEFT(INDEX(stable[question],MATCH(questions[[#This Row],[qno]],stable[qno],0)),similarity_range)</f>
        <v>Do you have riparian</v>
      </c>
      <c r="AR153" s="98" t="b">
        <f>questions[[#This Row],[question_first_characters]]=questions[[#This Row],[stability_first_characters]]</f>
        <v>1</v>
      </c>
      <c r="AS153" s="98" t="b">
        <f>IF(OR(questions[[#This Row],[is_single_select]],questions[[#This Row],[is_multi_select]]),NOT(ISBLANK(questions[[#This Row],[answer_opt_combined]])),TRUE)</f>
        <v>1</v>
      </c>
    </row>
    <row r="154" spans="1:45" s="77" customFormat="1" x14ac:dyDescent="0.25">
      <c r="A154" s="77" t="str">
        <f>_xlfn.TEXTJOIN("_",TRUE,questions[[#This Row],[origin]:[qno]])</f>
        <v>Indonesia_Arabica_west_java_impact_7701</v>
      </c>
      <c r="B154" s="77" t="s">
        <v>58</v>
      </c>
      <c r="C154" s="77" t="s">
        <v>59</v>
      </c>
      <c r="D154" s="77" t="s">
        <v>60</v>
      </c>
      <c r="F154" s="77" t="s">
        <v>490</v>
      </c>
      <c r="G154" s="77" t="s">
        <v>491</v>
      </c>
      <c r="H154" s="9" t="str" cm="1">
        <f t="array" ref="H154">INDEX(stableR[question],MATCH(VALUE(questions[[#This Row],[qno]]),VALUE(stableR[qno]),0))</f>
        <v>How many of the riparian areas in your coffee plots are covered/protected with natural vegetation</v>
      </c>
      <c r="I154" s="9" t="b" cm="1">
        <f t="array" ref="I154">INDEX(stable[is_fixed],MATCH(VALUE(questions[[#This Row],[qno]]),VALUE(stable[qno]),0))</f>
        <v>1</v>
      </c>
      <c r="J154" s="9" t="b" cm="1">
        <f t="array" ref="J154">INDEX(stable[is_localized],MATCH(VALUE(questions[[#This Row],[qno]]),VALUE(stable[qno]),0))</f>
        <v>0</v>
      </c>
      <c r="K154" s="9" t="b" cm="1">
        <f t="array" ref="K154">INDEX(stable[is_supply_chain_dependent],MATCH(VALUE(questions[[#This Row],[qno]]),VALUE(stable[qno]),0))</f>
        <v>0</v>
      </c>
      <c r="L154" s="9" t="b" cm="1">
        <f t="array" ref="L154">INDEX(stable[is_mandatory],MATCH(VALUE(questions[[#This Row],[qno]]),VALUE(stable[qno]),0))</f>
        <v>0</v>
      </c>
      <c r="M154" s="9" t="b" cm="1">
        <f t="array" ref="M154">INDEX(stable[is_automated],MATCH(VALUE(questions[[#This Row],[qno]]),VALUE(stable[qno]),0))</f>
        <v>0</v>
      </c>
      <c r="N154" s="9" t="b" cm="1">
        <f t="array" ref="N154">INDEX(stable[is_free_text],MATCH(VALUE(questions[[#This Row],[qno]]),VALUE(stable[qno]),0))</f>
        <v>0</v>
      </c>
      <c r="O154" s="9" t="b" cm="1">
        <f t="array" ref="O154">INDEX(stable[is_numerical],MATCH(VALUE(questions[[#This Row],[qno]]),VALUE(stable[qno]),0))</f>
        <v>0</v>
      </c>
      <c r="P154" s="103" t="b" cm="1">
        <f t="array" ref="P154">INDEX(stable[is_single_select],MATCH(VALUE(questions[[#This Row],[qno]]),VALUE(stable[qno]),0))</f>
        <v>1</v>
      </c>
      <c r="Q154" s="77" t="b" cm="1">
        <f t="array" ref="Q154">INDEX(stable[is_multi_select],MATCH(VALUE(questions[[#This Row],[qno]]),VALUE(stable[qno]),0))</f>
        <v>0</v>
      </c>
      <c r="R154" s="77" t="b" cm="1">
        <f t="array" ref="R154">INDEX(stable[is_skip_logic],MATCH(VALUE(questions[[#This Row],[qno]]),VALUE(stable[qno]),0))</f>
        <v>0</v>
      </c>
      <c r="S154" s="77" t="str">
        <f>_xlfn.TEXTJOIN(", ",TRUE,questions[[#This Row],[ans_opt_1]:[ans_opt_14]])</f>
        <v>All, Some</v>
      </c>
      <c r="T154" s="77" t="s">
        <v>492</v>
      </c>
      <c r="U154" s="77" t="s">
        <v>493</v>
      </c>
      <c r="AH154" s="98" t="b">
        <f>INDEX(stable[q_standard],MATCH(questions[[#This Row],[qno]],stable[qno],0))</f>
        <v>0</v>
      </c>
      <c r="AI154" s="98" t="b">
        <f>INDEX(stable[q_living_income],MATCH(questions[[#This Row],[qno]],stable[qno],0))</f>
        <v>0</v>
      </c>
      <c r="AJ154" s="98" t="b">
        <f>INDEX(stable[q_carbon],MATCH(questions[[#This Row],[qno]],stable[qno],0))</f>
        <v>0</v>
      </c>
      <c r="AK154" s="98" t="b">
        <f>INDEX(stable[q_regen_ag],MATCH(questions[[#This Row],[qno]],stable[qno],0))</f>
        <v>1</v>
      </c>
      <c r="AL154" s="98" t="b">
        <f>COUNTIFS(stable[qno],questions[[#This Row],[qno]])=1</f>
        <v>1</v>
      </c>
      <c r="AM154" s="98" t="b">
        <f>OR(questions[[#This Row],[is_fixed]],questions[[#This Row],[is_localized]],questions[[#This Row],[is_supply_chain_dependent]])</f>
        <v>1</v>
      </c>
      <c r="AN154" s="98" t="b">
        <f>COUNTIFS(questions[[#This Row],[is_automated]:[is_multi_select]],TRUE)=1</f>
        <v>1</v>
      </c>
      <c r="AO154" s="98" t="b">
        <f>IF(questions[[#This Row],[is_fixed]],questions[[#This Row],[question]]=INDEX(stable[question],MATCH(questions[[#This Row],[qno]],stable[qno],0)),TRUE)</f>
        <v>1</v>
      </c>
      <c r="AP154" s="98" t="str">
        <f>LEFT(questions[[#This Row],[question]],similarity_range)</f>
        <v>How many of the ripa</v>
      </c>
      <c r="AQ154" s="98" t="str">
        <f>LEFT(INDEX(stable[question],MATCH(questions[[#This Row],[qno]],stable[qno],0)),similarity_range)</f>
        <v>How many of the ripa</v>
      </c>
      <c r="AR154" s="98" t="b">
        <f>questions[[#This Row],[question_first_characters]]=questions[[#This Row],[stability_first_characters]]</f>
        <v>1</v>
      </c>
      <c r="AS154" s="98" t="b">
        <f>IF(OR(questions[[#This Row],[is_single_select]],questions[[#This Row],[is_multi_select]]),NOT(ISBLANK(questions[[#This Row],[answer_opt_combined]])),TRUE)</f>
        <v>1</v>
      </c>
    </row>
    <row r="155" spans="1:45" s="77" customFormat="1" x14ac:dyDescent="0.25">
      <c r="A155" s="77" t="str">
        <f>_xlfn.TEXTJOIN("_",TRUE,questions[[#This Row],[origin]:[qno]])</f>
        <v>Indonesia_Arabica_west_java_impact_8000</v>
      </c>
      <c r="B155" s="77" t="s">
        <v>58</v>
      </c>
      <c r="C155" s="77" t="s">
        <v>59</v>
      </c>
      <c r="D155" s="77" t="s">
        <v>60</v>
      </c>
      <c r="F155" s="77" t="s">
        <v>494</v>
      </c>
      <c r="G155" s="77" t="s">
        <v>495</v>
      </c>
      <c r="H155" s="9" t="str" cm="1">
        <f t="array" ref="H155">INDEX(stableR[question],MATCH(VALUE(questions[[#This Row],[qno]]),VALUE(stableR[qno]),0))</f>
        <v>What describes the soil type best in the coffee plot of the farmer (please observe your self)</v>
      </c>
      <c r="I155" s="9" t="b" cm="1">
        <f t="array" ref="I155">INDEX(stable[is_fixed],MATCH(VALUE(questions[[#This Row],[qno]]),VALUE(stable[qno]),0))</f>
        <v>1</v>
      </c>
      <c r="J155" s="9" t="b" cm="1">
        <f t="array" ref="J155">INDEX(stable[is_localized],MATCH(VALUE(questions[[#This Row],[qno]]),VALUE(stable[qno]),0))</f>
        <v>0</v>
      </c>
      <c r="K155" s="9" t="b" cm="1">
        <f t="array" ref="K155">INDEX(stable[is_supply_chain_dependent],MATCH(VALUE(questions[[#This Row],[qno]]),VALUE(stable[qno]),0))</f>
        <v>0</v>
      </c>
      <c r="L155" s="9" t="b" cm="1">
        <f t="array" ref="L155">INDEX(stable[is_mandatory],MATCH(VALUE(questions[[#This Row],[qno]]),VALUE(stable[qno]),0))</f>
        <v>1</v>
      </c>
      <c r="M155" s="9" t="b" cm="1">
        <f t="array" ref="M155">INDEX(stable[is_automated],MATCH(VALUE(questions[[#This Row],[qno]]),VALUE(stable[qno]),0))</f>
        <v>0</v>
      </c>
      <c r="N155" s="9" t="b" cm="1">
        <f t="array" ref="N155">INDEX(stable[is_free_text],MATCH(VALUE(questions[[#This Row],[qno]]),VALUE(stable[qno]),0))</f>
        <v>0</v>
      </c>
      <c r="O155" s="9" t="b" cm="1">
        <f t="array" ref="O155">INDEX(stable[is_numerical],MATCH(VALUE(questions[[#This Row],[qno]]),VALUE(stable[qno]),0))</f>
        <v>0</v>
      </c>
      <c r="P155" s="103" t="b" cm="1">
        <f t="array" ref="P155">INDEX(stable[is_single_select],MATCH(VALUE(questions[[#This Row],[qno]]),VALUE(stable[qno]),0))</f>
        <v>1</v>
      </c>
      <c r="Q155" s="77" t="b" cm="1">
        <f t="array" ref="Q155">INDEX(stable[is_multi_select],MATCH(VALUE(questions[[#This Row],[qno]]),VALUE(stable[qno]),0))</f>
        <v>0</v>
      </c>
      <c r="R155" s="77" t="b" cm="1">
        <f t="array" ref="R155">INDEX(stable[is_skip_logic],MATCH(VALUE(questions[[#This Row],[qno]]),VALUE(stable[qno]),0))</f>
        <v>0</v>
      </c>
      <c r="S155" s="77" t="str">
        <f>_xlfn.TEXTJOIN(", ",TRUE,questions[[#This Row],[ans_opt_1]:[ans_opt_14]])</f>
        <v>High activity clay soils, Low activity clay soils, Sandy soils, Loamy soils, Volcanic soils, Wetland soils, Organic soils</v>
      </c>
      <c r="T155" s="77" t="s">
        <v>496</v>
      </c>
      <c r="U155" s="77" t="s">
        <v>497</v>
      </c>
      <c r="V155" s="77" t="s">
        <v>498</v>
      </c>
      <c r="W155" s="91" t="s">
        <v>499</v>
      </c>
      <c r="X155" s="77" t="s">
        <v>500</v>
      </c>
      <c r="Y155" s="77" t="s">
        <v>501</v>
      </c>
      <c r="Z155" s="77" t="s">
        <v>502</v>
      </c>
      <c r="AH155" s="98" t="b">
        <f>INDEX(stable[q_standard],MATCH(questions[[#This Row],[qno]],stable[qno],0))</f>
        <v>0</v>
      </c>
      <c r="AI155" s="98" t="b">
        <f>INDEX(stable[q_living_income],MATCH(questions[[#This Row],[qno]],stable[qno],0))</f>
        <v>0</v>
      </c>
      <c r="AJ155" s="98" t="b">
        <f>INDEX(stable[q_carbon],MATCH(questions[[#This Row],[qno]],stable[qno],0))</f>
        <v>0</v>
      </c>
      <c r="AK155" s="98" t="b">
        <f>INDEX(stable[q_regen_ag],MATCH(questions[[#This Row],[qno]],stable[qno],0))</f>
        <v>1</v>
      </c>
      <c r="AL155" s="98" t="b">
        <f>COUNTIFS(stable[qno],questions[[#This Row],[qno]])=1</f>
        <v>1</v>
      </c>
      <c r="AM155" s="98" t="b">
        <f>OR(questions[[#This Row],[is_fixed]],questions[[#This Row],[is_localized]],questions[[#This Row],[is_supply_chain_dependent]])</f>
        <v>1</v>
      </c>
      <c r="AN155" s="98" t="b">
        <f>COUNTIFS(questions[[#This Row],[is_automated]:[is_multi_select]],TRUE)=1</f>
        <v>1</v>
      </c>
      <c r="AO155" s="98" t="b">
        <f>IF(questions[[#This Row],[is_fixed]],questions[[#This Row],[question]]=INDEX(stable[question],MATCH(questions[[#This Row],[qno]],stable[qno],0)),TRUE)</f>
        <v>1</v>
      </c>
      <c r="AP155" s="98" t="str">
        <f>LEFT(questions[[#This Row],[question]],similarity_range)</f>
        <v>What describes the s</v>
      </c>
      <c r="AQ155" s="98" t="str">
        <f>LEFT(INDEX(stable[question],MATCH(questions[[#This Row],[qno]],stable[qno],0)),similarity_range)</f>
        <v>What describes the s</v>
      </c>
      <c r="AR155" s="98" t="b">
        <f>questions[[#This Row],[question_first_characters]]=questions[[#This Row],[stability_first_characters]]</f>
        <v>1</v>
      </c>
      <c r="AS155" s="98" t="b">
        <f>IF(OR(questions[[#This Row],[is_single_select]],questions[[#This Row],[is_multi_select]]),NOT(ISBLANK(questions[[#This Row],[answer_opt_combined]])),TRUE)</f>
        <v>1</v>
      </c>
    </row>
    <row r="156" spans="1:45" s="77" customFormat="1" x14ac:dyDescent="0.25">
      <c r="A156" s="77" t="str">
        <f>_xlfn.TEXTJOIN("_",TRUE,questions[[#This Row],[origin]:[qno]])</f>
        <v>Indonesia_Arabica_west_java_impact_8010</v>
      </c>
      <c r="B156" s="77" t="s">
        <v>58</v>
      </c>
      <c r="C156" s="77" t="s">
        <v>59</v>
      </c>
      <c r="D156" s="77" t="s">
        <v>60</v>
      </c>
      <c r="F156" s="77" t="s">
        <v>503</v>
      </c>
      <c r="G156" s="77" t="s">
        <v>504</v>
      </c>
      <c r="H156" s="9" t="str" cm="1">
        <f t="array" ref="H156">INDEX(stableR[question],MATCH(VALUE(questions[[#This Row],[qno]]),VALUE(stableR[qno]),0))</f>
        <v>What type of tillage/ploughing do you use in your coffee plots mostly (full tillages=fully turning the soil; reduced tillages is only losening the soil; No till is no tillage or ploughing of the soil at all)?</v>
      </c>
      <c r="I156" s="9" t="b" cm="1">
        <f t="array" ref="I156">INDEX(stable[is_fixed],MATCH(VALUE(questions[[#This Row],[qno]]),VALUE(stable[qno]),0))</f>
        <v>1</v>
      </c>
      <c r="J156" s="9" t="b" cm="1">
        <f t="array" ref="J156">INDEX(stable[is_localized],MATCH(VALUE(questions[[#This Row],[qno]]),VALUE(stable[qno]),0))</f>
        <v>0</v>
      </c>
      <c r="K156" s="9" t="b" cm="1">
        <f t="array" ref="K156">INDEX(stable[is_supply_chain_dependent],MATCH(VALUE(questions[[#This Row],[qno]]),VALUE(stable[qno]),0))</f>
        <v>0</v>
      </c>
      <c r="L156" s="9" t="b" cm="1">
        <f t="array" ref="L156">INDEX(stable[is_mandatory],MATCH(VALUE(questions[[#This Row],[qno]]),VALUE(stable[qno]),0))</f>
        <v>1</v>
      </c>
      <c r="M156" s="9" t="b" cm="1">
        <f t="array" ref="M156">INDEX(stable[is_automated],MATCH(VALUE(questions[[#This Row],[qno]]),VALUE(stable[qno]),0))</f>
        <v>0</v>
      </c>
      <c r="N156" s="9" t="b" cm="1">
        <f t="array" ref="N156">INDEX(stable[is_free_text],MATCH(VALUE(questions[[#This Row],[qno]]),VALUE(stable[qno]),0))</f>
        <v>0</v>
      </c>
      <c r="O156" s="9" t="b" cm="1">
        <f t="array" ref="O156">INDEX(stable[is_numerical],MATCH(VALUE(questions[[#This Row],[qno]]),VALUE(stable[qno]),0))</f>
        <v>0</v>
      </c>
      <c r="P156" s="103" t="b" cm="1">
        <f t="array" ref="P156">INDEX(stable[is_single_select],MATCH(VALUE(questions[[#This Row],[qno]]),VALUE(stable[qno]),0))</f>
        <v>1</v>
      </c>
      <c r="Q156" s="77" t="b" cm="1">
        <f t="array" ref="Q156">INDEX(stable[is_multi_select],MATCH(VALUE(questions[[#This Row],[qno]]),VALUE(stable[qno]),0))</f>
        <v>0</v>
      </c>
      <c r="R156" s="77" t="b" cm="1">
        <f t="array" ref="R156">INDEX(stable[is_skip_logic],MATCH(VALUE(questions[[#This Row],[qno]]),VALUE(stable[qno]),0))</f>
        <v>0</v>
      </c>
      <c r="S156" s="77" t="str">
        <f>_xlfn.TEXTJOIN(", ",TRUE,questions[[#This Row],[ans_opt_1]:[ans_opt_14]])</f>
        <v>Full-tillage, Reduced tillage, No till</v>
      </c>
      <c r="T156" s="77" t="s">
        <v>505</v>
      </c>
      <c r="U156" s="77" t="s">
        <v>506</v>
      </c>
      <c r="V156" s="77" t="s">
        <v>507</v>
      </c>
      <c r="AH156" s="98" t="b">
        <f>INDEX(stable[q_standard],MATCH(questions[[#This Row],[qno]],stable[qno],0))</f>
        <v>0</v>
      </c>
      <c r="AI156" s="98" t="b">
        <f>INDEX(stable[q_living_income],MATCH(questions[[#This Row],[qno]],stable[qno],0))</f>
        <v>0</v>
      </c>
      <c r="AJ156" s="98" t="b">
        <f>INDEX(stable[q_carbon],MATCH(questions[[#This Row],[qno]],stable[qno],0))</f>
        <v>0</v>
      </c>
      <c r="AK156" s="98" t="b">
        <f>INDEX(stable[q_regen_ag],MATCH(questions[[#This Row],[qno]],stable[qno],0))</f>
        <v>1</v>
      </c>
      <c r="AL156" s="98" t="b">
        <f>COUNTIFS(stable[qno],questions[[#This Row],[qno]])=1</f>
        <v>1</v>
      </c>
      <c r="AM156" s="98" t="b">
        <f>OR(questions[[#This Row],[is_fixed]],questions[[#This Row],[is_localized]],questions[[#This Row],[is_supply_chain_dependent]])</f>
        <v>1</v>
      </c>
      <c r="AN156" s="98" t="b">
        <f>COUNTIFS(questions[[#This Row],[is_automated]:[is_multi_select]],TRUE)=1</f>
        <v>1</v>
      </c>
      <c r="AO156" s="98" t="b">
        <f>IF(questions[[#This Row],[is_fixed]],questions[[#This Row],[question]]=INDEX(stable[question],MATCH(questions[[#This Row],[qno]],stable[qno],0)),TRUE)</f>
        <v>1</v>
      </c>
      <c r="AP156" s="98" t="str">
        <f>LEFT(questions[[#This Row],[question]],similarity_range)</f>
        <v>What type of tillage</v>
      </c>
      <c r="AQ156" s="98" t="str">
        <f>LEFT(INDEX(stable[question],MATCH(questions[[#This Row],[qno]],stable[qno],0)),similarity_range)</f>
        <v>What type of tillage</v>
      </c>
      <c r="AR156" s="98" t="b">
        <f>questions[[#This Row],[question_first_characters]]=questions[[#This Row],[stability_first_characters]]</f>
        <v>1</v>
      </c>
      <c r="AS156" s="98" t="b">
        <f>IF(OR(questions[[#This Row],[is_single_select]],questions[[#This Row],[is_multi_select]]),NOT(ISBLANK(questions[[#This Row],[answer_opt_combined]])),TRUE)</f>
        <v>1</v>
      </c>
    </row>
    <row r="157" spans="1:45" s="77" customFormat="1" x14ac:dyDescent="0.25">
      <c r="A157" s="77" t="str">
        <f>_xlfn.TEXTJOIN("_",TRUE,questions[[#This Row],[origin]:[qno]])</f>
        <v>Indonesia_Arabica_west_java_impact_9000</v>
      </c>
      <c r="B157" s="77" t="s">
        <v>58</v>
      </c>
      <c r="C157" s="77" t="s">
        <v>59</v>
      </c>
      <c r="D157" s="77" t="s">
        <v>60</v>
      </c>
      <c r="F157" s="77" t="s">
        <v>508</v>
      </c>
      <c r="G157" s="77" t="s">
        <v>509</v>
      </c>
      <c r="H157" s="9" t="str" cm="1">
        <f t="array" ref="H157">INDEX(stableR[question],MATCH(VALUE(questions[[#This Row],[qno]]),VALUE(stableR[qno]),0))</f>
        <v>Final check: did you measure/polygon map all the plots of the farmer?</v>
      </c>
      <c r="I157" s="9" t="b" cm="1">
        <f t="array" ref="I157">INDEX(stable[is_fixed],MATCH(VALUE(questions[[#This Row],[qno]]),VALUE(stable[qno]),0))</f>
        <v>1</v>
      </c>
      <c r="J157" s="9" t="b" cm="1">
        <f t="array" ref="J157">INDEX(stable[is_localized],MATCH(VALUE(questions[[#This Row],[qno]]),VALUE(stable[qno]),0))</f>
        <v>0</v>
      </c>
      <c r="K157" s="9" t="b" cm="1">
        <f t="array" ref="K157">INDEX(stable[is_supply_chain_dependent],MATCH(VALUE(questions[[#This Row],[qno]]),VALUE(stable[qno]),0))</f>
        <v>0</v>
      </c>
      <c r="L157" s="9" t="b" cm="1">
        <f t="array" ref="L157">INDEX(stable[is_mandatory],MATCH(VALUE(questions[[#This Row],[qno]]),VALUE(stable[qno]),0))</f>
        <v>1</v>
      </c>
      <c r="M157" s="9" t="b" cm="1">
        <f t="array" ref="M157">INDEX(stable[is_automated],MATCH(VALUE(questions[[#This Row],[qno]]),VALUE(stable[qno]),0))</f>
        <v>0</v>
      </c>
      <c r="N157" s="9" t="b" cm="1">
        <f t="array" ref="N157">INDEX(stable[is_free_text],MATCH(VALUE(questions[[#This Row],[qno]]),VALUE(stable[qno]),0))</f>
        <v>0</v>
      </c>
      <c r="O157" s="9" t="b" cm="1">
        <f t="array" ref="O157">INDEX(stable[is_numerical],MATCH(VALUE(questions[[#This Row],[qno]]),VALUE(stable[qno]),0))</f>
        <v>0</v>
      </c>
      <c r="P157" s="103" t="b" cm="1">
        <f t="array" ref="P157">INDEX(stable[is_single_select],MATCH(VALUE(questions[[#This Row],[qno]]),VALUE(stable[qno]),0))</f>
        <v>1</v>
      </c>
      <c r="Q157" s="77" t="b" cm="1">
        <f t="array" ref="Q157">INDEX(stable[is_multi_select],MATCH(VALUE(questions[[#This Row],[qno]]),VALUE(stable[qno]),0))</f>
        <v>0</v>
      </c>
      <c r="R157" s="77" t="b" cm="1">
        <f t="array" ref="R157">INDEX(stable[is_skip_logic],MATCH(VALUE(questions[[#This Row],[qno]]),VALUE(stable[qno]),0))</f>
        <v>0</v>
      </c>
      <c r="S157" s="77" t="str">
        <f>_xlfn.TEXTJOIN(", ",TRUE,questions[[#This Row],[ans_opt_1]:[ans_opt_14]])</f>
        <v>No, Yes, Not possible</v>
      </c>
      <c r="T157" s="77" t="s">
        <v>119</v>
      </c>
      <c r="U157" s="77" t="s">
        <v>149</v>
      </c>
      <c r="V157" s="77" t="s">
        <v>510</v>
      </c>
      <c r="AH157" s="98" t="b">
        <f>INDEX(stable[q_standard],MATCH(questions[[#This Row],[qno]],stable[qno],0))</f>
        <v>0</v>
      </c>
      <c r="AI157" s="98" t="b">
        <f>INDEX(stable[q_living_income],MATCH(questions[[#This Row],[qno]],stable[qno],0))</f>
        <v>0</v>
      </c>
      <c r="AJ157" s="98" t="b">
        <f>INDEX(stable[q_carbon],MATCH(questions[[#This Row],[qno]],stable[qno],0))</f>
        <v>0</v>
      </c>
      <c r="AK157" s="98" t="b">
        <f>INDEX(stable[q_regen_ag],MATCH(questions[[#This Row],[qno]],stable[qno],0))</f>
        <v>1</v>
      </c>
      <c r="AL157" s="98" t="b">
        <f>COUNTIFS(stable[qno],questions[[#This Row],[qno]])=1</f>
        <v>1</v>
      </c>
      <c r="AM157" s="98" t="b">
        <f>OR(questions[[#This Row],[is_fixed]],questions[[#This Row],[is_localized]],questions[[#This Row],[is_supply_chain_dependent]])</f>
        <v>1</v>
      </c>
      <c r="AN157" s="98" t="b">
        <f>COUNTIFS(questions[[#This Row],[is_automated]:[is_multi_select]],TRUE)=1</f>
        <v>1</v>
      </c>
      <c r="AO157" s="98" t="b">
        <f>IF(questions[[#This Row],[is_fixed]],questions[[#This Row],[question]]=INDEX(stable[question],MATCH(questions[[#This Row],[qno]],stable[qno],0)),TRUE)</f>
        <v>1</v>
      </c>
      <c r="AP157" s="98" t="str">
        <f>LEFT(questions[[#This Row],[question]],similarity_range)</f>
        <v>Final check: did you</v>
      </c>
      <c r="AQ157" s="98" t="str">
        <f>LEFT(INDEX(stable[question],MATCH(questions[[#This Row],[qno]],stable[qno],0)),similarity_range)</f>
        <v>Final check: did you</v>
      </c>
      <c r="AR157" s="98" t="b">
        <f>questions[[#This Row],[question_first_characters]]=questions[[#This Row],[stability_first_characters]]</f>
        <v>1</v>
      </c>
      <c r="AS157" s="98" t="b">
        <f>IF(OR(questions[[#This Row],[is_single_select]],questions[[#This Row],[is_multi_select]]),NOT(ISBLANK(questions[[#This Row],[answer_opt_combined]])),TRUE)</f>
        <v>1</v>
      </c>
    </row>
    <row r="158" spans="1:45" x14ac:dyDescent="0.25">
      <c r="A158" s="9" t="str">
        <f>_xlfn.TEXTJOIN("_",TRUE,questions[[#This Row],[origin]:[qno]])</f>
        <v>Uganda_Arabica_Sbux_1000</v>
      </c>
      <c r="B158" s="9" t="s">
        <v>511</v>
      </c>
      <c r="C158" s="9" t="s">
        <v>59</v>
      </c>
      <c r="D158" s="9" t="s">
        <v>512</v>
      </c>
      <c r="F158" s="24" t="s">
        <v>61</v>
      </c>
      <c r="G158" s="15" t="s">
        <v>62</v>
      </c>
      <c r="H158" s="9" t="str" cm="1">
        <f t="array" ref="H158">INDEX(stableR[question],MATCH(VALUE(questions[[#This Row],[qno]]),VALUE(stableR[qno]),0))</f>
        <v>Origin</v>
      </c>
      <c r="I158" s="9" t="b" cm="1">
        <f t="array" ref="I158">INDEX(stable[is_fixed],MATCH(VALUE(questions[[#This Row],[qno]]),VALUE(stable[qno]),0))</f>
        <v>1</v>
      </c>
      <c r="J158" s="9" t="b" cm="1">
        <f t="array" ref="J158">INDEX(stable[is_localized],MATCH(VALUE(questions[[#This Row],[qno]]),VALUE(stable[qno]),0))</f>
        <v>0</v>
      </c>
      <c r="K158" s="9" t="b" cm="1">
        <f t="array" ref="K158">INDEX(stable[is_supply_chain_dependent],MATCH(VALUE(questions[[#This Row],[qno]]),VALUE(stable[qno]),0))</f>
        <v>0</v>
      </c>
      <c r="L158" s="9" t="b" cm="1">
        <f t="array" ref="L158">INDEX(stable[is_mandatory],MATCH(VALUE(questions[[#This Row],[qno]]),VALUE(stable[qno]),0))</f>
        <v>1</v>
      </c>
      <c r="M158" s="9" t="b" cm="1">
        <f t="array" ref="M158">INDEX(stable[is_automated],MATCH(VALUE(questions[[#This Row],[qno]]),VALUE(stable[qno]),0))</f>
        <v>1</v>
      </c>
      <c r="N158" s="9" t="b" cm="1">
        <f t="array" ref="N158">INDEX(stable[is_free_text],MATCH(VALUE(questions[[#This Row],[qno]]),VALUE(stable[qno]),0))</f>
        <v>0</v>
      </c>
      <c r="O158" s="9" t="b" cm="1">
        <f t="array" ref="O158">INDEX(stable[is_numerical],MATCH(VALUE(questions[[#This Row],[qno]]),VALUE(stable[qno]),0))</f>
        <v>0</v>
      </c>
      <c r="P158" s="32" t="b" cm="1">
        <f t="array" ref="P158">INDEX(stable[is_single_select],MATCH(VALUE(questions[[#This Row],[qno]]),VALUE(stable[qno]),0))</f>
        <v>0</v>
      </c>
      <c r="Q158" s="9" t="b" cm="1">
        <f t="array" ref="Q158">INDEX(stable[is_multi_select],MATCH(VALUE(questions[[#This Row],[qno]]),VALUE(stable[qno]),0))</f>
        <v>0</v>
      </c>
      <c r="R158" s="9" t="b" cm="1">
        <f t="array" ref="R158">INDEX(stable[is_skip_logic],MATCH(VALUE(questions[[#This Row],[qno]]),VALUE(stable[qno]),0))</f>
        <v>0</v>
      </c>
      <c r="S158" s="9" t="str">
        <f>_xlfn.TEXTJOIN(", ",TRUE,questions[[#This Row],[ans_opt_1]:[ans_opt_14]])</f>
        <v/>
      </c>
      <c r="AH158" s="16" t="b">
        <f>INDEX(stable[q_standard],MATCH(questions[[#This Row],[qno]],stable[qno],0))</f>
        <v>1</v>
      </c>
      <c r="AI158" s="16" t="b">
        <f>INDEX(stable[q_living_income],MATCH(questions[[#This Row],[qno]],stable[qno],0))</f>
        <v>0</v>
      </c>
      <c r="AJ158" s="16" t="b">
        <f>INDEX(stable[q_carbon],MATCH(questions[[#This Row],[qno]],stable[qno],0))</f>
        <v>0</v>
      </c>
      <c r="AK158" s="16" t="b">
        <f>INDEX(stable[q_regen_ag],MATCH(questions[[#This Row],[qno]],stable[qno],0))</f>
        <v>0</v>
      </c>
      <c r="AL158" s="16" t="b">
        <f>COUNTIFS(stable[qno],questions[[#This Row],[qno]])=1</f>
        <v>1</v>
      </c>
      <c r="AM158" s="16" t="b">
        <f>OR(questions[[#This Row],[is_fixed]],questions[[#This Row],[is_localized]],questions[[#This Row],[is_supply_chain_dependent]])</f>
        <v>1</v>
      </c>
      <c r="AN158" s="16" t="b">
        <f>COUNTIFS(questions[[#This Row],[is_automated]:[is_multi_select]],TRUE)=1</f>
        <v>1</v>
      </c>
      <c r="AO158" s="16" t="b">
        <f>IF(questions[[#This Row],[is_fixed]],questions[[#This Row],[question]]=INDEX(stable[question],MATCH(questions[[#This Row],[qno]],stable[qno],0)),TRUE)</f>
        <v>1</v>
      </c>
      <c r="AP158" s="16" t="str">
        <f>LEFT(questions[[#This Row],[question]],similarity_range)</f>
        <v>Origin</v>
      </c>
      <c r="AQ158" s="16" t="str">
        <f>LEFT(INDEX(stable[question],MATCH(questions[[#This Row],[qno]],stable[qno],0)),similarity_range)</f>
        <v>Origin</v>
      </c>
      <c r="AR158" s="16" t="b">
        <f>questions[[#This Row],[question_first_characters]]=questions[[#This Row],[stability_first_characters]]</f>
        <v>1</v>
      </c>
      <c r="AS158" s="16" t="b">
        <f>IF(OR(questions[[#This Row],[is_single_select]],questions[[#This Row],[is_multi_select]]),NOT(ISBLANK(questions[[#This Row],[answer_opt_combined]])),TRUE)</f>
        <v>1</v>
      </c>
    </row>
    <row r="159" spans="1:45" x14ac:dyDescent="0.25">
      <c r="A159" s="9" t="str">
        <f>_xlfn.TEXTJOIN("_",TRUE,questions[[#This Row],[origin]:[qno]])</f>
        <v>Uganda_Arabica_Sbux_1001</v>
      </c>
      <c r="B159" s="9" t="s">
        <v>511</v>
      </c>
      <c r="C159" s="9" t="s">
        <v>59</v>
      </c>
      <c r="D159" s="9" t="s">
        <v>512</v>
      </c>
      <c r="F159" s="24" t="s">
        <v>63</v>
      </c>
      <c r="G159" s="15" t="s">
        <v>64</v>
      </c>
      <c r="H159" s="9" t="str" cm="1">
        <f t="array" ref="H159">INDEX(stableR[question],MATCH(VALUE(questions[[#This Row],[qno]]),VALUE(stableR[qno]),0))</f>
        <v>Type</v>
      </c>
      <c r="I159" s="9" t="b" cm="1">
        <f t="array" ref="I159">INDEX(stable[is_fixed],MATCH(VALUE(questions[[#This Row],[qno]]),VALUE(stable[qno]),0))</f>
        <v>1</v>
      </c>
      <c r="J159" s="9" t="b" cm="1">
        <f t="array" ref="J159">INDEX(stable[is_localized],MATCH(VALUE(questions[[#This Row],[qno]]),VALUE(stable[qno]),0))</f>
        <v>0</v>
      </c>
      <c r="K159" s="9" t="b" cm="1">
        <f t="array" ref="K159">INDEX(stable[is_supply_chain_dependent],MATCH(VALUE(questions[[#This Row],[qno]]),VALUE(stable[qno]),0))</f>
        <v>0</v>
      </c>
      <c r="L159" s="9" t="b" cm="1">
        <f t="array" ref="L159">INDEX(stable[is_mandatory],MATCH(VALUE(questions[[#This Row],[qno]]),VALUE(stable[qno]),0))</f>
        <v>1</v>
      </c>
      <c r="M159" s="9" t="b" cm="1">
        <f t="array" ref="M159">INDEX(stable[is_automated],MATCH(VALUE(questions[[#This Row],[qno]]),VALUE(stable[qno]),0))</f>
        <v>1</v>
      </c>
      <c r="N159" s="9" t="b" cm="1">
        <f t="array" ref="N159">INDEX(stable[is_free_text],MATCH(VALUE(questions[[#This Row],[qno]]),VALUE(stable[qno]),0))</f>
        <v>0</v>
      </c>
      <c r="O159" s="9" t="b" cm="1">
        <f t="array" ref="O159">INDEX(stable[is_numerical],MATCH(VALUE(questions[[#This Row],[qno]]),VALUE(stable[qno]),0))</f>
        <v>0</v>
      </c>
      <c r="P159" s="32" t="b" cm="1">
        <f t="array" ref="P159">INDEX(stable[is_single_select],MATCH(VALUE(questions[[#This Row],[qno]]),VALUE(stable[qno]),0))</f>
        <v>0</v>
      </c>
      <c r="Q159" s="9" t="b" cm="1">
        <f t="array" ref="Q159">INDEX(stable[is_multi_select],MATCH(VALUE(questions[[#This Row],[qno]]),VALUE(stable[qno]),0))</f>
        <v>0</v>
      </c>
      <c r="R159" s="9" t="b" cm="1">
        <f t="array" ref="R159">INDEX(stable[is_skip_logic],MATCH(VALUE(questions[[#This Row],[qno]]),VALUE(stable[qno]),0))</f>
        <v>0</v>
      </c>
      <c r="S159" s="9" t="str">
        <f>_xlfn.TEXTJOIN(", ",TRUE,questions[[#This Row],[ans_opt_1]:[ans_opt_14]])</f>
        <v/>
      </c>
      <c r="AH159" s="16" t="b">
        <f>INDEX(stable[q_standard],MATCH(questions[[#This Row],[qno]],stable[qno],0))</f>
        <v>1</v>
      </c>
      <c r="AI159" s="16" t="b">
        <f>INDEX(stable[q_living_income],MATCH(questions[[#This Row],[qno]],stable[qno],0))</f>
        <v>0</v>
      </c>
      <c r="AJ159" s="16" t="b">
        <f>INDEX(stable[q_carbon],MATCH(questions[[#This Row],[qno]],stable[qno],0))</f>
        <v>0</v>
      </c>
      <c r="AK159" s="16" t="b">
        <f>INDEX(stable[q_regen_ag],MATCH(questions[[#This Row],[qno]],stable[qno],0))</f>
        <v>0</v>
      </c>
      <c r="AL159" s="16" t="b">
        <f>COUNTIFS(stable[qno],questions[[#This Row],[qno]])=1</f>
        <v>1</v>
      </c>
      <c r="AM159" s="16" t="b">
        <f>OR(questions[[#This Row],[is_fixed]],questions[[#This Row],[is_localized]],questions[[#This Row],[is_supply_chain_dependent]])</f>
        <v>1</v>
      </c>
      <c r="AN159" s="16" t="b">
        <f>COUNTIFS(questions[[#This Row],[is_automated]:[is_multi_select]],TRUE)=1</f>
        <v>1</v>
      </c>
      <c r="AO159" s="16" t="b">
        <f>IF(questions[[#This Row],[is_fixed]],questions[[#This Row],[question]]=INDEX(stable[question],MATCH(questions[[#This Row],[qno]],stable[qno],0)),TRUE)</f>
        <v>1</v>
      </c>
      <c r="AP159" s="16" t="str">
        <f>LEFT(questions[[#This Row],[question]],similarity_range)</f>
        <v>Type</v>
      </c>
      <c r="AQ159" s="16" t="str">
        <f>LEFT(INDEX(stable[question],MATCH(questions[[#This Row],[qno]],stable[qno],0)),similarity_range)</f>
        <v>Type</v>
      </c>
      <c r="AR159" s="16" t="b">
        <f>questions[[#This Row],[question_first_characters]]=questions[[#This Row],[stability_first_characters]]</f>
        <v>1</v>
      </c>
      <c r="AS159" s="16" t="b">
        <f>IF(OR(questions[[#This Row],[is_single_select]],questions[[#This Row],[is_multi_select]]),NOT(ISBLANK(questions[[#This Row],[answer_opt_combined]])),TRUE)</f>
        <v>1</v>
      </c>
    </row>
    <row r="160" spans="1:45" x14ac:dyDescent="0.25">
      <c r="A160" s="9" t="str">
        <f>_xlfn.TEXTJOIN("_",TRUE,questions[[#This Row],[origin]:[qno]])</f>
        <v>Uganda_Arabica_Sbux_1002</v>
      </c>
      <c r="B160" s="9" t="s">
        <v>511</v>
      </c>
      <c r="C160" s="9" t="s">
        <v>59</v>
      </c>
      <c r="D160" s="9" t="s">
        <v>512</v>
      </c>
      <c r="F160" s="24" t="s">
        <v>65</v>
      </c>
      <c r="G160" s="15" t="s">
        <v>66</v>
      </c>
      <c r="H160" s="9" t="str" cm="1">
        <f t="array" ref="H160">INDEX(stableR[question],MATCH(VALUE(questions[[#This Row],[qno]]),VALUE(stableR[qno]),0))</f>
        <v>Supply chain</v>
      </c>
      <c r="I160" s="9" t="b" cm="1">
        <f t="array" ref="I160">INDEX(stable[is_fixed],MATCH(VALUE(questions[[#This Row],[qno]]),VALUE(stable[qno]),0))</f>
        <v>1</v>
      </c>
      <c r="J160" s="9" t="b" cm="1">
        <f t="array" ref="J160">INDEX(stable[is_localized],MATCH(VALUE(questions[[#This Row],[qno]]),VALUE(stable[qno]),0))</f>
        <v>0</v>
      </c>
      <c r="K160" s="9" t="b" cm="1">
        <f t="array" ref="K160">INDEX(stable[is_supply_chain_dependent],MATCH(VALUE(questions[[#This Row],[qno]]),VALUE(stable[qno]),0))</f>
        <v>0</v>
      </c>
      <c r="L160" s="9" t="b" cm="1">
        <f t="array" ref="L160">INDEX(stable[is_mandatory],MATCH(VALUE(questions[[#This Row],[qno]]),VALUE(stable[qno]),0))</f>
        <v>1</v>
      </c>
      <c r="M160" s="9" t="b" cm="1">
        <f t="array" ref="M160">INDEX(stable[is_automated],MATCH(VALUE(questions[[#This Row],[qno]]),VALUE(stable[qno]),0))</f>
        <v>1</v>
      </c>
      <c r="N160" s="9" t="b" cm="1">
        <f t="array" ref="N160">INDEX(stable[is_free_text],MATCH(VALUE(questions[[#This Row],[qno]]),VALUE(stable[qno]),0))</f>
        <v>0</v>
      </c>
      <c r="O160" s="9" t="b" cm="1">
        <f t="array" ref="O160">INDEX(stable[is_numerical],MATCH(VALUE(questions[[#This Row],[qno]]),VALUE(stable[qno]),0))</f>
        <v>0</v>
      </c>
      <c r="P160" s="32" t="b" cm="1">
        <f t="array" ref="P160">INDEX(stable[is_single_select],MATCH(VALUE(questions[[#This Row],[qno]]),VALUE(stable[qno]),0))</f>
        <v>0</v>
      </c>
      <c r="Q160" s="9" t="b" cm="1">
        <f t="array" ref="Q160">INDEX(stable[is_multi_select],MATCH(VALUE(questions[[#This Row],[qno]]),VALUE(stable[qno]),0))</f>
        <v>0</v>
      </c>
      <c r="R160" s="9" t="b" cm="1">
        <f t="array" ref="R160">INDEX(stable[is_skip_logic],MATCH(VALUE(questions[[#This Row],[qno]]),VALUE(stable[qno]),0))</f>
        <v>0</v>
      </c>
      <c r="S160" s="9" t="str">
        <f>_xlfn.TEXTJOIN(", ",TRUE,questions[[#This Row],[ans_opt_1]:[ans_opt_14]])</f>
        <v/>
      </c>
      <c r="AH160" s="16" t="b">
        <f>INDEX(stable[q_standard],MATCH(questions[[#This Row],[qno]],stable[qno],0))</f>
        <v>1</v>
      </c>
      <c r="AI160" s="16" t="b">
        <f>INDEX(stable[q_living_income],MATCH(questions[[#This Row],[qno]],stable[qno],0))</f>
        <v>0</v>
      </c>
      <c r="AJ160" s="16" t="b">
        <f>INDEX(stable[q_carbon],MATCH(questions[[#This Row],[qno]],stable[qno],0))</f>
        <v>0</v>
      </c>
      <c r="AK160" s="16" t="b">
        <f>INDEX(stable[q_regen_ag],MATCH(questions[[#This Row],[qno]],stable[qno],0))</f>
        <v>0</v>
      </c>
      <c r="AL160" s="16" t="b">
        <f>COUNTIFS(stable[qno],questions[[#This Row],[qno]])=1</f>
        <v>1</v>
      </c>
      <c r="AM160" s="16" t="b">
        <f>OR(questions[[#This Row],[is_fixed]],questions[[#This Row],[is_localized]],questions[[#This Row],[is_supply_chain_dependent]])</f>
        <v>1</v>
      </c>
      <c r="AN160" s="16" t="b">
        <f>COUNTIFS(questions[[#This Row],[is_automated]:[is_multi_select]],TRUE)=1</f>
        <v>1</v>
      </c>
      <c r="AO160" s="16" t="b">
        <f>IF(questions[[#This Row],[is_fixed]],questions[[#This Row],[question]]=INDEX(stable[question],MATCH(questions[[#This Row],[qno]],stable[qno],0)),TRUE)</f>
        <v>1</v>
      </c>
      <c r="AP160" s="16" t="str">
        <f>LEFT(questions[[#This Row],[question]],similarity_range)</f>
        <v>Supply chain</v>
      </c>
      <c r="AQ160" s="16" t="str">
        <f>LEFT(INDEX(stable[question],MATCH(questions[[#This Row],[qno]],stable[qno],0)),similarity_range)</f>
        <v>Supply chain</v>
      </c>
      <c r="AR160" s="16" t="b">
        <f>questions[[#This Row],[question_first_characters]]=questions[[#This Row],[stability_first_characters]]</f>
        <v>1</v>
      </c>
      <c r="AS160" s="16" t="b">
        <f>IF(OR(questions[[#This Row],[is_single_select]],questions[[#This Row],[is_multi_select]]),NOT(ISBLANK(questions[[#This Row],[answer_opt_combined]])),TRUE)</f>
        <v>1</v>
      </c>
    </row>
    <row r="161" spans="1:45" x14ac:dyDescent="0.25">
      <c r="A161" s="9" t="str">
        <f>_xlfn.TEXTJOIN("_",TRUE,questions[[#This Row],[origin]:[qno]])</f>
        <v>Uganda_Arabica_Sbux_1003</v>
      </c>
      <c r="B161" s="9" t="s">
        <v>511</v>
      </c>
      <c r="C161" s="9" t="s">
        <v>59</v>
      </c>
      <c r="D161" s="9" t="s">
        <v>512</v>
      </c>
      <c r="F161" s="24" t="s">
        <v>67</v>
      </c>
      <c r="G161" s="15" t="s">
        <v>68</v>
      </c>
      <c r="H161" s="9" t="str" cm="1">
        <f t="array" ref="H161">INDEX(stableR[question],MATCH(VALUE(questions[[#This Row],[qno]]),VALUE(stableR[qno]),0))</f>
        <v>Year</v>
      </c>
      <c r="I161" s="9" t="b" cm="1">
        <f t="array" ref="I161">INDEX(stable[is_fixed],MATCH(VALUE(questions[[#This Row],[qno]]),VALUE(stable[qno]),0))</f>
        <v>1</v>
      </c>
      <c r="J161" s="9" t="b" cm="1">
        <f t="array" ref="J161">INDEX(stable[is_localized],MATCH(VALUE(questions[[#This Row],[qno]]),VALUE(stable[qno]),0))</f>
        <v>0</v>
      </c>
      <c r="K161" s="9" t="b" cm="1">
        <f t="array" ref="K161">INDEX(stable[is_supply_chain_dependent],MATCH(VALUE(questions[[#This Row],[qno]]),VALUE(stable[qno]),0))</f>
        <v>0</v>
      </c>
      <c r="L161" s="9" t="b" cm="1">
        <f t="array" ref="L161">INDEX(stable[is_mandatory],MATCH(VALUE(questions[[#This Row],[qno]]),VALUE(stable[qno]),0))</f>
        <v>1</v>
      </c>
      <c r="M161" s="9" t="b" cm="1">
        <f t="array" ref="M161">INDEX(stable[is_automated],MATCH(VALUE(questions[[#This Row],[qno]]),VALUE(stable[qno]),0))</f>
        <v>1</v>
      </c>
      <c r="N161" s="9" t="b" cm="1">
        <f t="array" ref="N161">INDEX(stable[is_free_text],MATCH(VALUE(questions[[#This Row],[qno]]),VALUE(stable[qno]),0))</f>
        <v>0</v>
      </c>
      <c r="O161" s="9" t="b" cm="1">
        <f t="array" ref="O161">INDEX(stable[is_numerical],MATCH(VALUE(questions[[#This Row],[qno]]),VALUE(stable[qno]),0))</f>
        <v>0</v>
      </c>
      <c r="P161" s="32" t="b" cm="1">
        <f t="array" ref="P161">INDEX(stable[is_single_select],MATCH(VALUE(questions[[#This Row],[qno]]),VALUE(stable[qno]),0))</f>
        <v>0</v>
      </c>
      <c r="Q161" s="9" t="b" cm="1">
        <f t="array" ref="Q161">INDEX(stable[is_multi_select],MATCH(VALUE(questions[[#This Row],[qno]]),VALUE(stable[qno]),0))</f>
        <v>0</v>
      </c>
      <c r="R161" s="9" t="b" cm="1">
        <f t="array" ref="R161">INDEX(stable[is_skip_logic],MATCH(VALUE(questions[[#This Row],[qno]]),VALUE(stable[qno]),0))</f>
        <v>0</v>
      </c>
      <c r="S161" s="9" t="str">
        <f>_xlfn.TEXTJOIN(", ",TRUE,questions[[#This Row],[ans_opt_1]:[ans_opt_14]])</f>
        <v/>
      </c>
      <c r="AH161" s="16" t="b">
        <f>INDEX(stable[q_standard],MATCH(questions[[#This Row],[qno]],stable[qno],0))</f>
        <v>1</v>
      </c>
      <c r="AI161" s="16" t="b">
        <f>INDEX(stable[q_living_income],MATCH(questions[[#This Row],[qno]],stable[qno],0))</f>
        <v>0</v>
      </c>
      <c r="AJ161" s="16" t="b">
        <f>INDEX(stable[q_carbon],MATCH(questions[[#This Row],[qno]],stable[qno],0))</f>
        <v>0</v>
      </c>
      <c r="AK161" s="16" t="b">
        <f>INDEX(stable[q_regen_ag],MATCH(questions[[#This Row],[qno]],stable[qno],0))</f>
        <v>0</v>
      </c>
      <c r="AL161" s="16" t="b">
        <f>COUNTIFS(stable[qno],questions[[#This Row],[qno]])=1</f>
        <v>1</v>
      </c>
      <c r="AM161" s="16" t="b">
        <f>OR(questions[[#This Row],[is_fixed]],questions[[#This Row],[is_localized]],questions[[#This Row],[is_supply_chain_dependent]])</f>
        <v>1</v>
      </c>
      <c r="AN161" s="16" t="b">
        <f>COUNTIFS(questions[[#This Row],[is_automated]:[is_multi_select]],TRUE)=1</f>
        <v>1</v>
      </c>
      <c r="AO161" s="16" t="b">
        <f>IF(questions[[#This Row],[is_fixed]],questions[[#This Row],[question]]=INDEX(stable[question],MATCH(questions[[#This Row],[qno]],stable[qno],0)),TRUE)</f>
        <v>1</v>
      </c>
      <c r="AP161" s="16" t="str">
        <f>LEFT(questions[[#This Row],[question]],similarity_range)</f>
        <v>Year</v>
      </c>
      <c r="AQ161" s="16" t="str">
        <f>LEFT(INDEX(stable[question],MATCH(questions[[#This Row],[qno]],stable[qno],0)),similarity_range)</f>
        <v>Year</v>
      </c>
      <c r="AR161" s="16" t="b">
        <f>questions[[#This Row],[question_first_characters]]=questions[[#This Row],[stability_first_characters]]</f>
        <v>1</v>
      </c>
      <c r="AS161" s="16" t="b">
        <f>IF(OR(questions[[#This Row],[is_single_select]],questions[[#This Row],[is_multi_select]]),NOT(ISBLANK(questions[[#This Row],[answer_opt_combined]])),TRUE)</f>
        <v>1</v>
      </c>
    </row>
    <row r="162" spans="1:45" x14ac:dyDescent="0.25">
      <c r="A162" s="9" t="str">
        <f>_xlfn.TEXTJOIN("_",TRUE,questions[[#This Row],[origin]:[qno]])</f>
        <v>Uganda_Arabica_Sbux_1104</v>
      </c>
      <c r="B162" s="9" t="s">
        <v>511</v>
      </c>
      <c r="C162" s="9" t="s">
        <v>59</v>
      </c>
      <c r="D162" s="9" t="s">
        <v>512</v>
      </c>
      <c r="F162" s="24" t="s">
        <v>69</v>
      </c>
      <c r="G162" s="15" t="s">
        <v>70</v>
      </c>
      <c r="H162" s="9" t="str" cm="1">
        <f t="array" ref="H162">INDEX(stableR[question],MATCH(VALUE(questions[[#This Row],[qno]]),VALUE(stableR[qno]),0))</f>
        <v>Managed by</v>
      </c>
      <c r="I162" s="9" t="b" cm="1">
        <f t="array" ref="I162">INDEX(stable[is_fixed],MATCH(VALUE(questions[[#This Row],[qno]]),VALUE(stable[qno]),0))</f>
        <v>1</v>
      </c>
      <c r="J162" s="9" t="b" cm="1">
        <f t="array" ref="J162">INDEX(stable[is_localized],MATCH(VALUE(questions[[#This Row],[qno]]),VALUE(stable[qno]),0))</f>
        <v>0</v>
      </c>
      <c r="K162" s="9" t="b" cm="1">
        <f t="array" ref="K162">INDEX(stable[is_supply_chain_dependent],MATCH(VALUE(questions[[#This Row],[qno]]),VALUE(stable[qno]),0))</f>
        <v>0</v>
      </c>
      <c r="L162" s="9" t="b" cm="1">
        <f t="array" ref="L162">INDEX(stable[is_mandatory],MATCH(VALUE(questions[[#This Row],[qno]]),VALUE(stable[qno]),0))</f>
        <v>1</v>
      </c>
      <c r="M162" s="9" t="b" cm="1">
        <f t="array" ref="M162">INDEX(stable[is_automated],MATCH(VALUE(questions[[#This Row],[qno]]),VALUE(stable[qno]),0))</f>
        <v>1</v>
      </c>
      <c r="N162" s="9" t="b" cm="1">
        <f t="array" ref="N162">INDEX(stable[is_free_text],MATCH(VALUE(questions[[#This Row],[qno]]),VALUE(stable[qno]),0))</f>
        <v>0</v>
      </c>
      <c r="O162" s="9" t="b" cm="1">
        <f t="array" ref="O162">INDEX(stable[is_numerical],MATCH(VALUE(questions[[#This Row],[qno]]),VALUE(stable[qno]),0))</f>
        <v>0</v>
      </c>
      <c r="P162" s="32" t="b" cm="1">
        <f t="array" ref="P162">INDEX(stable[is_single_select],MATCH(VALUE(questions[[#This Row],[qno]]),VALUE(stable[qno]),0))</f>
        <v>0</v>
      </c>
      <c r="Q162" s="9" t="b" cm="1">
        <f t="array" ref="Q162">INDEX(stable[is_multi_select],MATCH(VALUE(questions[[#This Row],[qno]]),VALUE(stable[qno]),0))</f>
        <v>0</v>
      </c>
      <c r="R162" s="9" t="b" cm="1">
        <f t="array" ref="R162">INDEX(stable[is_skip_logic],MATCH(VALUE(questions[[#This Row],[qno]]),VALUE(stable[qno]),0))</f>
        <v>0</v>
      </c>
      <c r="S162" s="9" t="str">
        <f>_xlfn.TEXTJOIN(", ",TRUE,questions[[#This Row],[ans_opt_1]:[ans_opt_14]])</f>
        <v/>
      </c>
      <c r="AH162" s="16" t="b">
        <f>INDEX(stable[q_standard],MATCH(questions[[#This Row],[qno]],stable[qno],0))</f>
        <v>1</v>
      </c>
      <c r="AI162" s="16" t="b">
        <f>INDEX(stable[q_living_income],MATCH(questions[[#This Row],[qno]],stable[qno],0))</f>
        <v>0</v>
      </c>
      <c r="AJ162" s="16" t="b">
        <f>INDEX(stable[q_carbon],MATCH(questions[[#This Row],[qno]],stable[qno],0))</f>
        <v>0</v>
      </c>
      <c r="AK162" s="16" t="b">
        <f>INDEX(stable[q_regen_ag],MATCH(questions[[#This Row],[qno]],stable[qno],0))</f>
        <v>0</v>
      </c>
      <c r="AL162" s="16" t="b">
        <f>COUNTIFS(stable[qno],questions[[#This Row],[qno]])=1</f>
        <v>1</v>
      </c>
      <c r="AM162" s="16" t="b">
        <f>OR(questions[[#This Row],[is_fixed]],questions[[#This Row],[is_localized]],questions[[#This Row],[is_supply_chain_dependent]])</f>
        <v>1</v>
      </c>
      <c r="AN162" s="16" t="b">
        <f>COUNTIFS(questions[[#This Row],[is_automated]:[is_multi_select]],TRUE)=1</f>
        <v>1</v>
      </c>
      <c r="AO162" s="16" t="b">
        <f>IF(questions[[#This Row],[is_fixed]],questions[[#This Row],[question]]=INDEX(stable[question],MATCH(questions[[#This Row],[qno]],stable[qno],0)),TRUE)</f>
        <v>1</v>
      </c>
      <c r="AP162" s="16" t="str">
        <f>LEFT(questions[[#This Row],[question]],similarity_range)</f>
        <v>Managed by</v>
      </c>
      <c r="AQ162" s="16" t="str">
        <f>LEFT(INDEX(stable[question],MATCH(questions[[#This Row],[qno]],stable[qno],0)),similarity_range)</f>
        <v>Managed by</v>
      </c>
      <c r="AR162" s="16" t="b">
        <f>questions[[#This Row],[question_first_characters]]=questions[[#This Row],[stability_first_characters]]</f>
        <v>1</v>
      </c>
      <c r="AS162" s="16" t="b">
        <f>IF(OR(questions[[#This Row],[is_single_select]],questions[[#This Row],[is_multi_select]]),NOT(ISBLANK(questions[[#This Row],[answer_opt_combined]])),TRUE)</f>
        <v>1</v>
      </c>
    </row>
    <row r="163" spans="1:45" x14ac:dyDescent="0.25">
      <c r="A163" s="9" t="str">
        <f>_xlfn.TEXTJOIN("_",TRUE,questions[[#This Row],[origin]:[qno]])</f>
        <v>Uganda_Arabica_Sbux_1105</v>
      </c>
      <c r="B163" s="9" t="s">
        <v>511</v>
      </c>
      <c r="C163" s="9" t="s">
        <v>59</v>
      </c>
      <c r="D163" s="9" t="s">
        <v>512</v>
      </c>
      <c r="F163" s="24" t="s">
        <v>71</v>
      </c>
      <c r="G163" s="15" t="s">
        <v>72</v>
      </c>
      <c r="H163" s="9" t="str" cm="1">
        <f t="array" ref="H163">INDEX(stableR[question],MATCH(VALUE(questions[[#This Row],[qno]]),VALUE(stableR[qno]),0))</f>
        <v>Field staff(s)</v>
      </c>
      <c r="I163" s="9" t="b" cm="1">
        <f t="array" ref="I163">INDEX(stable[is_fixed],MATCH(VALUE(questions[[#This Row],[qno]]),VALUE(stable[qno]),0))</f>
        <v>1</v>
      </c>
      <c r="J163" s="9" t="b" cm="1">
        <f t="array" ref="J163">INDEX(stable[is_localized],MATCH(VALUE(questions[[#This Row],[qno]]),VALUE(stable[qno]),0))</f>
        <v>0</v>
      </c>
      <c r="K163" s="9" t="b" cm="1">
        <f t="array" ref="K163">INDEX(stable[is_supply_chain_dependent],MATCH(VALUE(questions[[#This Row],[qno]]),VALUE(stable[qno]),0))</f>
        <v>0</v>
      </c>
      <c r="L163" s="9" t="b" cm="1">
        <f t="array" ref="L163">INDEX(stable[is_mandatory],MATCH(VALUE(questions[[#This Row],[qno]]),VALUE(stable[qno]),0))</f>
        <v>1</v>
      </c>
      <c r="M163" s="9" t="b" cm="1">
        <f t="array" ref="M163">INDEX(stable[is_automated],MATCH(VALUE(questions[[#This Row],[qno]]),VALUE(stable[qno]),0))</f>
        <v>1</v>
      </c>
      <c r="N163" s="9" t="b" cm="1">
        <f t="array" ref="N163">INDEX(stable[is_free_text],MATCH(VALUE(questions[[#This Row],[qno]]),VALUE(stable[qno]),0))</f>
        <v>0</v>
      </c>
      <c r="O163" s="9" t="b" cm="1">
        <f t="array" ref="O163">INDEX(stable[is_numerical],MATCH(VALUE(questions[[#This Row],[qno]]),VALUE(stable[qno]),0))</f>
        <v>0</v>
      </c>
      <c r="P163" s="32" t="b" cm="1">
        <f t="array" ref="P163">INDEX(stable[is_single_select],MATCH(VALUE(questions[[#This Row],[qno]]),VALUE(stable[qno]),0))</f>
        <v>0</v>
      </c>
      <c r="Q163" s="9" t="b" cm="1">
        <f t="array" ref="Q163">INDEX(stable[is_multi_select],MATCH(VALUE(questions[[#This Row],[qno]]),VALUE(stable[qno]),0))</f>
        <v>0</v>
      </c>
      <c r="R163" s="9" t="b" cm="1">
        <f t="array" ref="R163">INDEX(stable[is_skip_logic],MATCH(VALUE(questions[[#This Row],[qno]]),VALUE(stable[qno]),0))</f>
        <v>0</v>
      </c>
      <c r="S163" s="9" t="str">
        <f>_xlfn.TEXTJOIN(", ",TRUE,questions[[#This Row],[ans_opt_1]:[ans_opt_14]])</f>
        <v/>
      </c>
      <c r="AH163" s="16" t="b">
        <f>INDEX(stable[q_standard],MATCH(questions[[#This Row],[qno]],stable[qno],0))</f>
        <v>1</v>
      </c>
      <c r="AI163" s="16" t="b">
        <f>INDEX(stable[q_living_income],MATCH(questions[[#This Row],[qno]],stable[qno],0))</f>
        <v>0</v>
      </c>
      <c r="AJ163" s="16" t="b">
        <f>INDEX(stable[q_carbon],MATCH(questions[[#This Row],[qno]],stable[qno],0))</f>
        <v>0</v>
      </c>
      <c r="AK163" s="16" t="b">
        <f>INDEX(stable[q_regen_ag],MATCH(questions[[#This Row],[qno]],stable[qno],0))</f>
        <v>0</v>
      </c>
      <c r="AL163" s="16" t="b">
        <f>COUNTIFS(stable[qno],questions[[#This Row],[qno]])=1</f>
        <v>1</v>
      </c>
      <c r="AM163" s="16" t="b">
        <f>OR(questions[[#This Row],[is_fixed]],questions[[#This Row],[is_localized]],questions[[#This Row],[is_supply_chain_dependent]])</f>
        <v>1</v>
      </c>
      <c r="AN163" s="16" t="b">
        <f>COUNTIFS(questions[[#This Row],[is_automated]:[is_multi_select]],TRUE)=1</f>
        <v>1</v>
      </c>
      <c r="AO163" s="16" t="b">
        <f>IF(questions[[#This Row],[is_fixed]],questions[[#This Row],[question]]=INDEX(stable[question],MATCH(questions[[#This Row],[qno]],stable[qno],0)),TRUE)</f>
        <v>1</v>
      </c>
      <c r="AP163" s="16" t="str">
        <f>LEFT(questions[[#This Row],[question]],similarity_range)</f>
        <v>Field staff(s)</v>
      </c>
      <c r="AQ163" s="16" t="str">
        <f>LEFT(INDEX(stable[question],MATCH(questions[[#This Row],[qno]],stable[qno],0)),similarity_range)</f>
        <v>Field staff(s)</v>
      </c>
      <c r="AR163" s="16" t="b">
        <f>questions[[#This Row],[question_first_characters]]=questions[[#This Row],[stability_first_characters]]</f>
        <v>1</v>
      </c>
      <c r="AS163" s="16" t="b">
        <f>IF(OR(questions[[#This Row],[is_single_select]],questions[[#This Row],[is_multi_select]]),NOT(ISBLANK(questions[[#This Row],[answer_opt_combined]])),TRUE)</f>
        <v>1</v>
      </c>
    </row>
    <row r="164" spans="1:45" x14ac:dyDescent="0.25">
      <c r="A164" s="9" t="str">
        <f>_xlfn.TEXTJOIN("_",TRUE,questions[[#This Row],[origin]:[qno]])</f>
        <v>Uganda_Arabica_Sbux_1106</v>
      </c>
      <c r="B164" s="9" t="s">
        <v>511</v>
      </c>
      <c r="C164" s="9" t="s">
        <v>59</v>
      </c>
      <c r="D164" s="9" t="s">
        <v>512</v>
      </c>
      <c r="F164" s="24" t="s">
        <v>73</v>
      </c>
      <c r="G164" s="15" t="s">
        <v>74</v>
      </c>
      <c r="H164" s="9" t="str" cm="1">
        <f t="array" ref="H164">INDEX(stableR[question],MATCH(VALUE(questions[[#This Row],[qno]]),VALUE(stableR[qno]),0))</f>
        <v>Completion Date</v>
      </c>
      <c r="I164" s="9" t="b" cm="1">
        <f t="array" ref="I164">INDEX(stable[is_fixed],MATCH(VALUE(questions[[#This Row],[qno]]),VALUE(stable[qno]),0))</f>
        <v>1</v>
      </c>
      <c r="J164" s="9" t="b" cm="1">
        <f t="array" ref="J164">INDEX(stable[is_localized],MATCH(VALUE(questions[[#This Row],[qno]]),VALUE(stable[qno]),0))</f>
        <v>0</v>
      </c>
      <c r="K164" s="9" t="b" cm="1">
        <f t="array" ref="K164">INDEX(stable[is_supply_chain_dependent],MATCH(VALUE(questions[[#This Row],[qno]]),VALUE(stable[qno]),0))</f>
        <v>0</v>
      </c>
      <c r="L164" s="9" t="b" cm="1">
        <f t="array" ref="L164">INDEX(stable[is_mandatory],MATCH(VALUE(questions[[#This Row],[qno]]),VALUE(stable[qno]),0))</f>
        <v>1</v>
      </c>
      <c r="M164" s="9" t="b" cm="1">
        <f t="array" ref="M164">INDEX(stable[is_automated],MATCH(VALUE(questions[[#This Row],[qno]]),VALUE(stable[qno]),0))</f>
        <v>1</v>
      </c>
      <c r="N164" s="9" t="b" cm="1">
        <f t="array" ref="N164">INDEX(stable[is_free_text],MATCH(VALUE(questions[[#This Row],[qno]]),VALUE(stable[qno]),0))</f>
        <v>0</v>
      </c>
      <c r="O164" s="9" t="b" cm="1">
        <f t="array" ref="O164">INDEX(stable[is_numerical],MATCH(VALUE(questions[[#This Row],[qno]]),VALUE(stable[qno]),0))</f>
        <v>0</v>
      </c>
      <c r="P164" s="32" t="b" cm="1">
        <f t="array" ref="P164">INDEX(stable[is_single_select],MATCH(VALUE(questions[[#This Row],[qno]]),VALUE(stable[qno]),0))</f>
        <v>0</v>
      </c>
      <c r="Q164" s="9" t="b" cm="1">
        <f t="array" ref="Q164">INDEX(stable[is_multi_select],MATCH(VALUE(questions[[#This Row],[qno]]),VALUE(stable[qno]),0))</f>
        <v>0</v>
      </c>
      <c r="R164" s="9" t="b" cm="1">
        <f t="array" ref="R164">INDEX(stable[is_skip_logic],MATCH(VALUE(questions[[#This Row],[qno]]),VALUE(stable[qno]),0))</f>
        <v>0</v>
      </c>
      <c r="S164" s="9" t="str">
        <f>_xlfn.TEXTJOIN(", ",TRUE,questions[[#This Row],[ans_opt_1]:[ans_opt_14]])</f>
        <v/>
      </c>
      <c r="AH164" s="16" t="b">
        <f>INDEX(stable[q_standard],MATCH(questions[[#This Row],[qno]],stable[qno],0))</f>
        <v>1</v>
      </c>
      <c r="AI164" s="16" t="b">
        <f>INDEX(stable[q_living_income],MATCH(questions[[#This Row],[qno]],stable[qno],0))</f>
        <v>0</v>
      </c>
      <c r="AJ164" s="16" t="b">
        <f>INDEX(stable[q_carbon],MATCH(questions[[#This Row],[qno]],stable[qno],0))</f>
        <v>0</v>
      </c>
      <c r="AK164" s="16" t="b">
        <f>INDEX(stable[q_regen_ag],MATCH(questions[[#This Row],[qno]],stable[qno],0))</f>
        <v>0</v>
      </c>
      <c r="AL164" s="16" t="b">
        <f>COUNTIFS(stable[qno],questions[[#This Row],[qno]])=1</f>
        <v>1</v>
      </c>
      <c r="AM164" s="16" t="b">
        <f>OR(questions[[#This Row],[is_fixed]],questions[[#This Row],[is_localized]],questions[[#This Row],[is_supply_chain_dependent]])</f>
        <v>1</v>
      </c>
      <c r="AN164" s="16" t="b">
        <f>COUNTIFS(questions[[#This Row],[is_automated]:[is_multi_select]],TRUE)=1</f>
        <v>1</v>
      </c>
      <c r="AO164" s="16" t="b">
        <f>IF(questions[[#This Row],[is_fixed]],questions[[#This Row],[question]]=INDEX(stable[question],MATCH(questions[[#This Row],[qno]],stable[qno],0)),TRUE)</f>
        <v>1</v>
      </c>
      <c r="AP164" s="16" t="str">
        <f>LEFT(questions[[#This Row],[question]],similarity_range)</f>
        <v>Completion Date</v>
      </c>
      <c r="AQ164" s="16" t="str">
        <f>LEFT(INDEX(stable[question],MATCH(questions[[#This Row],[qno]],stable[qno],0)),similarity_range)</f>
        <v>Completion Date</v>
      </c>
      <c r="AR164" s="16" t="b">
        <f>questions[[#This Row],[question_first_characters]]=questions[[#This Row],[stability_first_characters]]</f>
        <v>1</v>
      </c>
      <c r="AS164" s="16" t="b">
        <f>IF(OR(questions[[#This Row],[is_single_select]],questions[[#This Row],[is_multi_select]]),NOT(ISBLANK(questions[[#This Row],[answer_opt_combined]])),TRUE)</f>
        <v>1</v>
      </c>
    </row>
    <row r="165" spans="1:45" x14ac:dyDescent="0.25">
      <c r="A165" s="9" t="str">
        <f>_xlfn.TEXTJOIN("_",TRUE,questions[[#This Row],[origin]:[qno]])</f>
        <v>Uganda_Arabica_Sbux_1110</v>
      </c>
      <c r="B165" s="9" t="s">
        <v>511</v>
      </c>
      <c r="C165" s="9" t="s">
        <v>59</v>
      </c>
      <c r="D165" s="9" t="s">
        <v>512</v>
      </c>
      <c r="F165" s="24" t="s">
        <v>75</v>
      </c>
      <c r="G165" s="15" t="s">
        <v>76</v>
      </c>
      <c r="H165" s="9" t="str" cm="1">
        <f t="array" ref="H165">INDEX(stableR[question],MATCH(VALUE(questions[[#This Row],[qno]]),VALUE(stableR[qno]),0))</f>
        <v>Approved / Rejected By</v>
      </c>
      <c r="I165" s="9" t="b" cm="1">
        <f t="array" ref="I165">INDEX(stable[is_fixed],MATCH(VALUE(questions[[#This Row],[qno]]),VALUE(stable[qno]),0))</f>
        <v>1</v>
      </c>
      <c r="J165" s="9" t="b" cm="1">
        <f t="array" ref="J165">INDEX(stable[is_localized],MATCH(VALUE(questions[[#This Row],[qno]]),VALUE(stable[qno]),0))</f>
        <v>0</v>
      </c>
      <c r="K165" s="9" t="b" cm="1">
        <f t="array" ref="K165">INDEX(stable[is_supply_chain_dependent],MATCH(VALUE(questions[[#This Row],[qno]]),VALUE(stable[qno]),0))</f>
        <v>0</v>
      </c>
      <c r="L165" s="9" t="b" cm="1">
        <f t="array" ref="L165">INDEX(stable[is_mandatory],MATCH(VALUE(questions[[#This Row],[qno]]),VALUE(stable[qno]),0))</f>
        <v>1</v>
      </c>
      <c r="M165" s="9" t="b" cm="1">
        <f t="array" ref="M165">INDEX(stable[is_automated],MATCH(VALUE(questions[[#This Row],[qno]]),VALUE(stable[qno]),0))</f>
        <v>1</v>
      </c>
      <c r="N165" s="9" t="b" cm="1">
        <f t="array" ref="N165">INDEX(stable[is_free_text],MATCH(VALUE(questions[[#This Row],[qno]]),VALUE(stable[qno]),0))</f>
        <v>0</v>
      </c>
      <c r="O165" s="9" t="b" cm="1">
        <f t="array" ref="O165">INDEX(stable[is_numerical],MATCH(VALUE(questions[[#This Row],[qno]]),VALUE(stable[qno]),0))</f>
        <v>0</v>
      </c>
      <c r="P165" s="32" t="b" cm="1">
        <f t="array" ref="P165">INDEX(stable[is_single_select],MATCH(VALUE(questions[[#This Row],[qno]]),VALUE(stable[qno]),0))</f>
        <v>0</v>
      </c>
      <c r="Q165" s="9" t="b" cm="1">
        <f t="array" ref="Q165">INDEX(stable[is_multi_select],MATCH(VALUE(questions[[#This Row],[qno]]),VALUE(stable[qno]),0))</f>
        <v>0</v>
      </c>
      <c r="R165" s="9" t="b" cm="1">
        <f t="array" ref="R165">INDEX(stable[is_skip_logic],MATCH(VALUE(questions[[#This Row],[qno]]),VALUE(stable[qno]),0))</f>
        <v>0</v>
      </c>
      <c r="S165" s="9" t="str">
        <f>_xlfn.TEXTJOIN(", ",TRUE,questions[[#This Row],[ans_opt_1]:[ans_opt_14]])</f>
        <v/>
      </c>
      <c r="AH165" s="16" t="b">
        <f>INDEX(stable[q_standard],MATCH(questions[[#This Row],[qno]],stable[qno],0))</f>
        <v>1</v>
      </c>
      <c r="AI165" s="16" t="b">
        <f>INDEX(stable[q_living_income],MATCH(questions[[#This Row],[qno]],stable[qno],0))</f>
        <v>0</v>
      </c>
      <c r="AJ165" s="16" t="b">
        <f>INDEX(stable[q_carbon],MATCH(questions[[#This Row],[qno]],stable[qno],0))</f>
        <v>0</v>
      </c>
      <c r="AK165" s="16" t="b">
        <f>INDEX(stable[q_regen_ag],MATCH(questions[[#This Row],[qno]],stable[qno],0))</f>
        <v>0</v>
      </c>
      <c r="AL165" s="16" t="b">
        <f>COUNTIFS(stable[qno],questions[[#This Row],[qno]])=1</f>
        <v>1</v>
      </c>
      <c r="AM165" s="16" t="b">
        <f>OR(questions[[#This Row],[is_fixed]],questions[[#This Row],[is_localized]],questions[[#This Row],[is_supply_chain_dependent]])</f>
        <v>1</v>
      </c>
      <c r="AN165" s="16" t="b">
        <f>COUNTIFS(questions[[#This Row],[is_automated]:[is_multi_select]],TRUE)=1</f>
        <v>1</v>
      </c>
      <c r="AO165" s="16" t="b">
        <f>IF(questions[[#This Row],[is_fixed]],questions[[#This Row],[question]]=INDEX(stable[question],MATCH(questions[[#This Row],[qno]],stable[qno],0)),TRUE)</f>
        <v>1</v>
      </c>
      <c r="AP165" s="16" t="str">
        <f>LEFT(questions[[#This Row],[question]],similarity_range)</f>
        <v xml:space="preserve">Approved / Rejected </v>
      </c>
      <c r="AQ165" s="16" t="str">
        <f>LEFT(INDEX(stable[question],MATCH(questions[[#This Row],[qno]],stable[qno],0)),similarity_range)</f>
        <v xml:space="preserve">Approved / Rejected </v>
      </c>
      <c r="AR165" s="16" t="b">
        <f>questions[[#This Row],[question_first_characters]]=questions[[#This Row],[stability_first_characters]]</f>
        <v>1</v>
      </c>
      <c r="AS165" s="16" t="b">
        <f>IF(OR(questions[[#This Row],[is_single_select]],questions[[#This Row],[is_multi_select]]),NOT(ISBLANK(questions[[#This Row],[answer_opt_combined]])),TRUE)</f>
        <v>1</v>
      </c>
    </row>
    <row r="166" spans="1:45" x14ac:dyDescent="0.25">
      <c r="A166" s="9" t="str">
        <f>_xlfn.TEXTJOIN("_",TRUE,questions[[#This Row],[origin]:[qno]])</f>
        <v>Uganda_Arabica_Sbux_1111</v>
      </c>
      <c r="B166" s="9" t="s">
        <v>511</v>
      </c>
      <c r="C166" s="9" t="s">
        <v>59</v>
      </c>
      <c r="D166" s="9" t="s">
        <v>512</v>
      </c>
      <c r="F166" s="24" t="s">
        <v>77</v>
      </c>
      <c r="G166" s="15" t="s">
        <v>78</v>
      </c>
      <c r="H166" s="9" t="str" cm="1">
        <f t="array" ref="H166">INDEX(stableR[question],MATCH(VALUE(questions[[#This Row],[qno]]),VALUE(stableR[qno]),0))</f>
        <v>Approved / Rejected Date</v>
      </c>
      <c r="I166" s="9" t="b" cm="1">
        <f t="array" ref="I166">INDEX(stable[is_fixed],MATCH(VALUE(questions[[#This Row],[qno]]),VALUE(stable[qno]),0))</f>
        <v>1</v>
      </c>
      <c r="J166" s="9" t="b" cm="1">
        <f t="array" ref="J166">INDEX(stable[is_localized],MATCH(VALUE(questions[[#This Row],[qno]]),VALUE(stable[qno]),0))</f>
        <v>0</v>
      </c>
      <c r="K166" s="9" t="b" cm="1">
        <f t="array" ref="K166">INDEX(stable[is_supply_chain_dependent],MATCH(VALUE(questions[[#This Row],[qno]]),VALUE(stable[qno]),0))</f>
        <v>0</v>
      </c>
      <c r="L166" s="9" t="b" cm="1">
        <f t="array" ref="L166">INDEX(stable[is_mandatory],MATCH(VALUE(questions[[#This Row],[qno]]),VALUE(stable[qno]),0))</f>
        <v>1</v>
      </c>
      <c r="M166" s="9" t="b" cm="1">
        <f t="array" ref="M166">INDEX(stable[is_automated],MATCH(VALUE(questions[[#This Row],[qno]]),VALUE(stable[qno]),0))</f>
        <v>1</v>
      </c>
      <c r="N166" s="9" t="b" cm="1">
        <f t="array" ref="N166">INDEX(stable[is_free_text],MATCH(VALUE(questions[[#This Row],[qno]]),VALUE(stable[qno]),0))</f>
        <v>0</v>
      </c>
      <c r="O166" s="9" t="b" cm="1">
        <f t="array" ref="O166">INDEX(stable[is_numerical],MATCH(VALUE(questions[[#This Row],[qno]]),VALUE(stable[qno]),0))</f>
        <v>0</v>
      </c>
      <c r="P166" s="32" t="b" cm="1">
        <f t="array" ref="P166">INDEX(stable[is_single_select],MATCH(VALUE(questions[[#This Row],[qno]]),VALUE(stable[qno]),0))</f>
        <v>0</v>
      </c>
      <c r="Q166" s="9" t="b" cm="1">
        <f t="array" ref="Q166">INDEX(stable[is_multi_select],MATCH(VALUE(questions[[#This Row],[qno]]),VALUE(stable[qno]),0))</f>
        <v>0</v>
      </c>
      <c r="R166" s="9" t="b" cm="1">
        <f t="array" ref="R166">INDEX(stable[is_skip_logic],MATCH(VALUE(questions[[#This Row],[qno]]),VALUE(stable[qno]),0))</f>
        <v>0</v>
      </c>
      <c r="S166" s="9" t="str">
        <f>_xlfn.TEXTJOIN(", ",TRUE,questions[[#This Row],[ans_opt_1]:[ans_opt_14]])</f>
        <v/>
      </c>
      <c r="AH166" s="16" t="b">
        <f>INDEX(stable[q_standard],MATCH(questions[[#This Row],[qno]],stable[qno],0))</f>
        <v>1</v>
      </c>
      <c r="AI166" s="16" t="b">
        <f>INDEX(stable[q_living_income],MATCH(questions[[#This Row],[qno]],stable[qno],0))</f>
        <v>0</v>
      </c>
      <c r="AJ166" s="16" t="b">
        <f>INDEX(stable[q_carbon],MATCH(questions[[#This Row],[qno]],stable[qno],0))</f>
        <v>0</v>
      </c>
      <c r="AK166" s="16" t="b">
        <f>INDEX(stable[q_regen_ag],MATCH(questions[[#This Row],[qno]],stable[qno],0))</f>
        <v>0</v>
      </c>
      <c r="AL166" s="16" t="b">
        <f>COUNTIFS(stable[qno],questions[[#This Row],[qno]])=1</f>
        <v>1</v>
      </c>
      <c r="AM166" s="16" t="b">
        <f>OR(questions[[#This Row],[is_fixed]],questions[[#This Row],[is_localized]],questions[[#This Row],[is_supply_chain_dependent]])</f>
        <v>1</v>
      </c>
      <c r="AN166" s="16" t="b">
        <f>COUNTIFS(questions[[#This Row],[is_automated]:[is_multi_select]],TRUE)=1</f>
        <v>1</v>
      </c>
      <c r="AO166" s="16" t="b">
        <f>IF(questions[[#This Row],[is_fixed]],questions[[#This Row],[question]]=INDEX(stable[question],MATCH(questions[[#This Row],[qno]],stable[qno],0)),TRUE)</f>
        <v>1</v>
      </c>
      <c r="AP166" s="16" t="str">
        <f>LEFT(questions[[#This Row],[question]],similarity_range)</f>
        <v xml:space="preserve">Approved / Rejected </v>
      </c>
      <c r="AQ166" s="16" t="str">
        <f>LEFT(INDEX(stable[question],MATCH(questions[[#This Row],[qno]],stable[qno],0)),similarity_range)</f>
        <v xml:space="preserve">Approved / Rejected </v>
      </c>
      <c r="AR166" s="16" t="b">
        <f>questions[[#This Row],[question_first_characters]]=questions[[#This Row],[stability_first_characters]]</f>
        <v>1</v>
      </c>
      <c r="AS166" s="16" t="b">
        <f>IF(OR(questions[[#This Row],[is_single_select]],questions[[#This Row],[is_multi_select]]),NOT(ISBLANK(questions[[#This Row],[answer_opt_combined]])),TRUE)</f>
        <v>1</v>
      </c>
    </row>
    <row r="167" spans="1:45" x14ac:dyDescent="0.25">
      <c r="A167" s="9" t="str">
        <f>_xlfn.TEXTJOIN("_",TRUE,questions[[#This Row],[origin]:[qno]])</f>
        <v>Uganda_Arabica_Sbux_1112</v>
      </c>
      <c r="B167" s="9" t="s">
        <v>511</v>
      </c>
      <c r="C167" s="9" t="s">
        <v>59</v>
      </c>
      <c r="D167" s="9" t="s">
        <v>512</v>
      </c>
      <c r="F167" s="24" t="s">
        <v>79</v>
      </c>
      <c r="G167" s="15" t="s">
        <v>80</v>
      </c>
      <c r="H167" s="9" t="str" cm="1">
        <f t="array" ref="H167">INDEX(stableR[question],MATCH(VALUE(questions[[#This Row],[qno]]),VALUE(stableR[qno]),0))</f>
        <v>Approval / Rejection Reason</v>
      </c>
      <c r="I167" s="9" t="b" cm="1">
        <f t="array" ref="I167">INDEX(stable[is_fixed],MATCH(VALUE(questions[[#This Row],[qno]]),VALUE(stable[qno]),0))</f>
        <v>1</v>
      </c>
      <c r="J167" s="9" t="b" cm="1">
        <f t="array" ref="J167">INDEX(stable[is_localized],MATCH(VALUE(questions[[#This Row],[qno]]),VALUE(stable[qno]),0))</f>
        <v>0</v>
      </c>
      <c r="K167" s="9" t="b" cm="1">
        <f t="array" ref="K167">INDEX(stable[is_supply_chain_dependent],MATCH(VALUE(questions[[#This Row],[qno]]),VALUE(stable[qno]),0))</f>
        <v>0</v>
      </c>
      <c r="L167" s="9" t="b" cm="1">
        <f t="array" ref="L167">INDEX(stable[is_mandatory],MATCH(VALUE(questions[[#This Row],[qno]]),VALUE(stable[qno]),0))</f>
        <v>1</v>
      </c>
      <c r="M167" s="9" t="b" cm="1">
        <f t="array" ref="M167">INDEX(stable[is_automated],MATCH(VALUE(questions[[#This Row],[qno]]),VALUE(stable[qno]),0))</f>
        <v>1</v>
      </c>
      <c r="N167" s="9" t="b" cm="1">
        <f t="array" ref="N167">INDEX(stable[is_free_text],MATCH(VALUE(questions[[#This Row],[qno]]),VALUE(stable[qno]),0))</f>
        <v>0</v>
      </c>
      <c r="O167" s="9" t="b" cm="1">
        <f t="array" ref="O167">INDEX(stable[is_numerical],MATCH(VALUE(questions[[#This Row],[qno]]),VALUE(stable[qno]),0))</f>
        <v>0</v>
      </c>
      <c r="P167" s="32" t="b" cm="1">
        <f t="array" ref="P167">INDEX(stable[is_single_select],MATCH(VALUE(questions[[#This Row],[qno]]),VALUE(stable[qno]),0))</f>
        <v>0</v>
      </c>
      <c r="Q167" s="9" t="b" cm="1">
        <f t="array" ref="Q167">INDEX(stable[is_multi_select],MATCH(VALUE(questions[[#This Row],[qno]]),VALUE(stable[qno]),0))</f>
        <v>0</v>
      </c>
      <c r="R167" s="9" t="b" cm="1">
        <f t="array" ref="R167">INDEX(stable[is_skip_logic],MATCH(VALUE(questions[[#This Row],[qno]]),VALUE(stable[qno]),0))</f>
        <v>0</v>
      </c>
      <c r="S167" s="9" t="str">
        <f>_xlfn.TEXTJOIN(", ",TRUE,questions[[#This Row],[ans_opt_1]:[ans_opt_14]])</f>
        <v/>
      </c>
      <c r="AH167" s="16" t="b">
        <f>INDEX(stable[q_standard],MATCH(questions[[#This Row],[qno]],stable[qno],0))</f>
        <v>1</v>
      </c>
      <c r="AI167" s="16" t="b">
        <f>INDEX(stable[q_living_income],MATCH(questions[[#This Row],[qno]],stable[qno],0))</f>
        <v>0</v>
      </c>
      <c r="AJ167" s="16" t="b">
        <f>INDEX(stable[q_carbon],MATCH(questions[[#This Row],[qno]],stable[qno],0))</f>
        <v>0</v>
      </c>
      <c r="AK167" s="16" t="b">
        <f>INDEX(stable[q_regen_ag],MATCH(questions[[#This Row],[qno]],stable[qno],0))</f>
        <v>0</v>
      </c>
      <c r="AL167" s="16" t="b">
        <f>COUNTIFS(stable[qno],questions[[#This Row],[qno]])=1</f>
        <v>1</v>
      </c>
      <c r="AM167" s="16" t="b">
        <f>OR(questions[[#This Row],[is_fixed]],questions[[#This Row],[is_localized]],questions[[#This Row],[is_supply_chain_dependent]])</f>
        <v>1</v>
      </c>
      <c r="AN167" s="16" t="b">
        <f>COUNTIFS(questions[[#This Row],[is_automated]:[is_multi_select]],TRUE)=1</f>
        <v>1</v>
      </c>
      <c r="AO167" s="16" t="b">
        <f>IF(questions[[#This Row],[is_fixed]],questions[[#This Row],[question]]=INDEX(stable[question],MATCH(questions[[#This Row],[qno]],stable[qno],0)),TRUE)</f>
        <v>1</v>
      </c>
      <c r="AP167" s="16" t="str">
        <f>LEFT(questions[[#This Row],[question]],similarity_range)</f>
        <v>Approval / Rejection</v>
      </c>
      <c r="AQ167" s="16" t="str">
        <f>LEFT(INDEX(stable[question],MATCH(questions[[#This Row],[qno]],stable[qno],0)),similarity_range)</f>
        <v>Approval / Rejection</v>
      </c>
      <c r="AR167" s="16" t="b">
        <f>questions[[#This Row],[question_first_characters]]=questions[[#This Row],[stability_first_characters]]</f>
        <v>1</v>
      </c>
      <c r="AS167" s="16" t="b">
        <f>IF(OR(questions[[#This Row],[is_single_select]],questions[[#This Row],[is_multi_select]]),NOT(ISBLANK(questions[[#This Row],[answer_opt_combined]])),TRUE)</f>
        <v>1</v>
      </c>
    </row>
    <row r="168" spans="1:45" x14ac:dyDescent="0.25">
      <c r="A168" s="9" t="str">
        <f>_xlfn.TEXTJOIN("_",TRUE,questions[[#This Row],[origin]:[qno]])</f>
        <v>Uganda_Arabica_Sbux_1200</v>
      </c>
      <c r="B168" s="9" t="s">
        <v>511</v>
      </c>
      <c r="C168" s="9" t="s">
        <v>59</v>
      </c>
      <c r="D168" s="9" t="s">
        <v>512</v>
      </c>
      <c r="F168" s="24" t="s">
        <v>81</v>
      </c>
      <c r="G168" s="15" t="s">
        <v>82</v>
      </c>
      <c r="H168" s="9" t="str" cm="1">
        <f t="array" ref="H168">INDEX(stableR[question],MATCH(VALUE(questions[[#This Row],[qno]]),VALUE(stableR[qno]),0))</f>
        <v>Farmer code</v>
      </c>
      <c r="I168" s="9" t="b" cm="1">
        <f t="array" ref="I168">INDEX(stable[is_fixed],MATCH(VALUE(questions[[#This Row],[qno]]),VALUE(stable[qno]),0))</f>
        <v>1</v>
      </c>
      <c r="J168" s="9" t="b" cm="1">
        <f t="array" ref="J168">INDEX(stable[is_localized],MATCH(VALUE(questions[[#This Row],[qno]]),VALUE(stable[qno]),0))</f>
        <v>0</v>
      </c>
      <c r="K168" s="9" t="b" cm="1">
        <f t="array" ref="K168">INDEX(stable[is_supply_chain_dependent],MATCH(VALUE(questions[[#This Row],[qno]]),VALUE(stable[qno]),0))</f>
        <v>0</v>
      </c>
      <c r="L168" s="9" t="b" cm="1">
        <f t="array" ref="L168">INDEX(stable[is_mandatory],MATCH(VALUE(questions[[#This Row],[qno]]),VALUE(stable[qno]),0))</f>
        <v>1</v>
      </c>
      <c r="M168" s="9" t="b" cm="1">
        <f t="array" ref="M168">INDEX(stable[is_automated],MATCH(VALUE(questions[[#This Row],[qno]]),VALUE(stable[qno]),0))</f>
        <v>1</v>
      </c>
      <c r="N168" s="9" t="b" cm="1">
        <f t="array" ref="N168">INDEX(stable[is_free_text],MATCH(VALUE(questions[[#This Row],[qno]]),VALUE(stable[qno]),0))</f>
        <v>0</v>
      </c>
      <c r="O168" s="9" t="b" cm="1">
        <f t="array" ref="O168">INDEX(stable[is_numerical],MATCH(VALUE(questions[[#This Row],[qno]]),VALUE(stable[qno]),0))</f>
        <v>0</v>
      </c>
      <c r="P168" s="32" t="b" cm="1">
        <f t="array" ref="P168">INDEX(stable[is_single_select],MATCH(VALUE(questions[[#This Row],[qno]]),VALUE(stable[qno]),0))</f>
        <v>0</v>
      </c>
      <c r="Q168" s="9" t="b" cm="1">
        <f t="array" ref="Q168">INDEX(stable[is_multi_select],MATCH(VALUE(questions[[#This Row],[qno]]),VALUE(stable[qno]),0))</f>
        <v>0</v>
      </c>
      <c r="R168" s="9" t="b" cm="1">
        <f t="array" ref="R168">INDEX(stable[is_skip_logic],MATCH(VALUE(questions[[#This Row],[qno]]),VALUE(stable[qno]),0))</f>
        <v>0</v>
      </c>
      <c r="S168" s="9" t="str">
        <f>_xlfn.TEXTJOIN(", ",TRUE,questions[[#This Row],[ans_opt_1]:[ans_opt_14]])</f>
        <v/>
      </c>
      <c r="AH168" s="16" t="b">
        <f>INDEX(stable[q_standard],MATCH(questions[[#This Row],[qno]],stable[qno],0))</f>
        <v>1</v>
      </c>
      <c r="AI168" s="16" t="b">
        <f>INDEX(stable[q_living_income],MATCH(questions[[#This Row],[qno]],stable[qno],0))</f>
        <v>0</v>
      </c>
      <c r="AJ168" s="16" t="b">
        <f>INDEX(stable[q_carbon],MATCH(questions[[#This Row],[qno]],stable[qno],0))</f>
        <v>0</v>
      </c>
      <c r="AK168" s="16" t="b">
        <f>INDEX(stable[q_regen_ag],MATCH(questions[[#This Row],[qno]],stable[qno],0))</f>
        <v>0</v>
      </c>
      <c r="AL168" s="16" t="b">
        <f>COUNTIFS(stable[qno],questions[[#This Row],[qno]])=1</f>
        <v>1</v>
      </c>
      <c r="AM168" s="16" t="b">
        <f>OR(questions[[#This Row],[is_fixed]],questions[[#This Row],[is_localized]],questions[[#This Row],[is_supply_chain_dependent]])</f>
        <v>1</v>
      </c>
      <c r="AN168" s="16" t="b">
        <f>COUNTIFS(questions[[#This Row],[is_automated]:[is_multi_select]],TRUE)=1</f>
        <v>1</v>
      </c>
      <c r="AO168" s="16" t="b">
        <f>IF(questions[[#This Row],[is_fixed]],questions[[#This Row],[question]]=INDEX(stable[question],MATCH(questions[[#This Row],[qno]],stable[qno],0)),TRUE)</f>
        <v>1</v>
      </c>
      <c r="AP168" s="16" t="str">
        <f>LEFT(questions[[#This Row],[question]],similarity_range)</f>
        <v>Farmer code</v>
      </c>
      <c r="AQ168" s="16" t="str">
        <f>LEFT(INDEX(stable[question],MATCH(questions[[#This Row],[qno]],stable[qno],0)),similarity_range)</f>
        <v>Farmer code</v>
      </c>
      <c r="AR168" s="16" t="b">
        <f>questions[[#This Row],[question_first_characters]]=questions[[#This Row],[stability_first_characters]]</f>
        <v>1</v>
      </c>
      <c r="AS168" s="16" t="b">
        <f>IF(OR(questions[[#This Row],[is_single_select]],questions[[#This Row],[is_multi_select]]),NOT(ISBLANK(questions[[#This Row],[answer_opt_combined]])),TRUE)</f>
        <v>1</v>
      </c>
    </row>
    <row r="169" spans="1:45" x14ac:dyDescent="0.25">
      <c r="A169" s="9" t="str">
        <f>_xlfn.TEXTJOIN("_",TRUE,questions[[#This Row],[origin]:[qno]])</f>
        <v>Uganda_Arabica_Sbux_1201</v>
      </c>
      <c r="B169" s="9" t="s">
        <v>511</v>
      </c>
      <c r="C169" s="9" t="s">
        <v>59</v>
      </c>
      <c r="D169" s="9" t="s">
        <v>512</v>
      </c>
      <c r="F169" s="24" t="s">
        <v>83</v>
      </c>
      <c r="G169" s="15" t="s">
        <v>84</v>
      </c>
      <c r="H169" s="9" t="str" cm="1">
        <f t="array" ref="H169">INDEX(stableR[question],MATCH(VALUE(questions[[#This Row],[qno]]),VALUE(stableR[qno]),0))</f>
        <v>Farmer name</v>
      </c>
      <c r="I169" s="9" t="b" cm="1">
        <f t="array" ref="I169">INDEX(stable[is_fixed],MATCH(VALUE(questions[[#This Row],[qno]]),VALUE(stable[qno]),0))</f>
        <v>1</v>
      </c>
      <c r="J169" s="9" t="b" cm="1">
        <f t="array" ref="J169">INDEX(stable[is_localized],MATCH(VALUE(questions[[#This Row],[qno]]),VALUE(stable[qno]),0))</f>
        <v>0</v>
      </c>
      <c r="K169" s="9" t="b" cm="1">
        <f t="array" ref="K169">INDEX(stable[is_supply_chain_dependent],MATCH(VALUE(questions[[#This Row],[qno]]),VALUE(stable[qno]),0))</f>
        <v>0</v>
      </c>
      <c r="L169" s="9" t="b" cm="1">
        <f t="array" ref="L169">INDEX(stable[is_mandatory],MATCH(VALUE(questions[[#This Row],[qno]]),VALUE(stable[qno]),0))</f>
        <v>1</v>
      </c>
      <c r="M169" s="9" t="b" cm="1">
        <f t="array" ref="M169">INDEX(stable[is_automated],MATCH(VALUE(questions[[#This Row],[qno]]),VALUE(stable[qno]),0))</f>
        <v>1</v>
      </c>
      <c r="N169" s="9" t="b" cm="1">
        <f t="array" ref="N169">INDEX(stable[is_free_text],MATCH(VALUE(questions[[#This Row],[qno]]),VALUE(stable[qno]),0))</f>
        <v>0</v>
      </c>
      <c r="O169" s="9" t="b" cm="1">
        <f t="array" ref="O169">INDEX(stable[is_numerical],MATCH(VALUE(questions[[#This Row],[qno]]),VALUE(stable[qno]),0))</f>
        <v>0</v>
      </c>
      <c r="P169" s="32" t="b" cm="1">
        <f t="array" ref="P169">INDEX(stable[is_single_select],MATCH(VALUE(questions[[#This Row],[qno]]),VALUE(stable[qno]),0))</f>
        <v>0</v>
      </c>
      <c r="Q169" s="9" t="b" cm="1">
        <f t="array" ref="Q169">INDEX(stable[is_multi_select],MATCH(VALUE(questions[[#This Row],[qno]]),VALUE(stable[qno]),0))</f>
        <v>0</v>
      </c>
      <c r="R169" s="9" t="b" cm="1">
        <f t="array" ref="R169">INDEX(stable[is_skip_logic],MATCH(VALUE(questions[[#This Row],[qno]]),VALUE(stable[qno]),0))</f>
        <v>0</v>
      </c>
      <c r="S169" s="9" t="str">
        <f>_xlfn.TEXTJOIN(", ",TRUE,questions[[#This Row],[ans_opt_1]:[ans_opt_14]])</f>
        <v/>
      </c>
      <c r="AH169" s="16" t="b">
        <f>INDEX(stable[q_standard],MATCH(questions[[#This Row],[qno]],stable[qno],0))</f>
        <v>1</v>
      </c>
      <c r="AI169" s="16" t="b">
        <f>INDEX(stable[q_living_income],MATCH(questions[[#This Row],[qno]],stable[qno],0))</f>
        <v>0</v>
      </c>
      <c r="AJ169" s="16" t="b">
        <f>INDEX(stable[q_carbon],MATCH(questions[[#This Row],[qno]],stable[qno],0))</f>
        <v>0</v>
      </c>
      <c r="AK169" s="16" t="b">
        <f>INDEX(stable[q_regen_ag],MATCH(questions[[#This Row],[qno]],stable[qno],0))</f>
        <v>0</v>
      </c>
      <c r="AL169" s="16" t="b">
        <f>COUNTIFS(stable[qno],questions[[#This Row],[qno]])=1</f>
        <v>1</v>
      </c>
      <c r="AM169" s="16" t="b">
        <f>OR(questions[[#This Row],[is_fixed]],questions[[#This Row],[is_localized]],questions[[#This Row],[is_supply_chain_dependent]])</f>
        <v>1</v>
      </c>
      <c r="AN169" s="16" t="b">
        <f>COUNTIFS(questions[[#This Row],[is_automated]:[is_multi_select]],TRUE)=1</f>
        <v>1</v>
      </c>
      <c r="AO169" s="16" t="b">
        <f>IF(questions[[#This Row],[is_fixed]],questions[[#This Row],[question]]=INDEX(stable[question],MATCH(questions[[#This Row],[qno]],stable[qno],0)),TRUE)</f>
        <v>1</v>
      </c>
      <c r="AP169" s="16" t="str">
        <f>LEFT(questions[[#This Row],[question]],similarity_range)</f>
        <v>Farmer name</v>
      </c>
      <c r="AQ169" s="16" t="str">
        <f>LEFT(INDEX(stable[question],MATCH(questions[[#This Row],[qno]],stable[qno],0)),similarity_range)</f>
        <v>Farmer name</v>
      </c>
      <c r="AR169" s="16" t="b">
        <f>questions[[#This Row],[question_first_characters]]=questions[[#This Row],[stability_first_characters]]</f>
        <v>1</v>
      </c>
      <c r="AS169" s="16" t="b">
        <f>IF(OR(questions[[#This Row],[is_single_select]],questions[[#This Row],[is_multi_select]]),NOT(ISBLANK(questions[[#This Row],[answer_opt_combined]])),TRUE)</f>
        <v>1</v>
      </c>
    </row>
    <row r="170" spans="1:45" x14ac:dyDescent="0.25">
      <c r="A170" s="9" t="str">
        <f>_xlfn.TEXTJOIN("_",TRUE,questions[[#This Row],[origin]:[qno]])</f>
        <v>Uganda_Arabica_Sbux_1202</v>
      </c>
      <c r="B170" s="9" t="s">
        <v>511</v>
      </c>
      <c r="C170" s="9" t="s">
        <v>59</v>
      </c>
      <c r="D170" s="9" t="s">
        <v>512</v>
      </c>
      <c r="F170" s="24" t="s">
        <v>85</v>
      </c>
      <c r="G170" s="15" t="s">
        <v>86</v>
      </c>
      <c r="H170" s="9" t="str" cm="1">
        <f t="array" ref="H170">INDEX(stableR[question],MATCH(VALUE(questions[[#This Row],[qno]]),VALUE(stableR[qno]),0))</f>
        <v>Farmer tags</v>
      </c>
      <c r="I170" s="9" t="b" cm="1">
        <f t="array" ref="I170">INDEX(stable[is_fixed],MATCH(VALUE(questions[[#This Row],[qno]]),VALUE(stable[qno]),0))</f>
        <v>1</v>
      </c>
      <c r="J170" s="9" t="b" cm="1">
        <f t="array" ref="J170">INDEX(stable[is_localized],MATCH(VALUE(questions[[#This Row],[qno]]),VALUE(stable[qno]),0))</f>
        <v>0</v>
      </c>
      <c r="K170" s="9" t="b" cm="1">
        <f t="array" ref="K170">INDEX(stable[is_supply_chain_dependent],MATCH(VALUE(questions[[#This Row],[qno]]),VALUE(stable[qno]),0))</f>
        <v>0</v>
      </c>
      <c r="L170" s="9" t="b" cm="1">
        <f t="array" ref="L170">INDEX(stable[is_mandatory],MATCH(VALUE(questions[[#This Row],[qno]]),VALUE(stable[qno]),0))</f>
        <v>1</v>
      </c>
      <c r="M170" s="9" t="b" cm="1">
        <f t="array" ref="M170">INDEX(stable[is_automated],MATCH(VALUE(questions[[#This Row],[qno]]),VALUE(stable[qno]),0))</f>
        <v>1</v>
      </c>
      <c r="N170" s="9" t="b" cm="1">
        <f t="array" ref="N170">INDEX(stable[is_free_text],MATCH(VALUE(questions[[#This Row],[qno]]),VALUE(stable[qno]),0))</f>
        <v>0</v>
      </c>
      <c r="O170" s="9" t="b" cm="1">
        <f t="array" ref="O170">INDEX(stable[is_numerical],MATCH(VALUE(questions[[#This Row],[qno]]),VALUE(stable[qno]),0))</f>
        <v>0</v>
      </c>
      <c r="P170" s="32" t="b" cm="1">
        <f t="array" ref="P170">INDEX(stable[is_single_select],MATCH(VALUE(questions[[#This Row],[qno]]),VALUE(stable[qno]),0))</f>
        <v>0</v>
      </c>
      <c r="Q170" s="9" t="b" cm="1">
        <f t="array" ref="Q170">INDEX(stable[is_multi_select],MATCH(VALUE(questions[[#This Row],[qno]]),VALUE(stable[qno]),0))</f>
        <v>0</v>
      </c>
      <c r="R170" s="9" t="b" cm="1">
        <f t="array" ref="R170">INDEX(stable[is_skip_logic],MATCH(VALUE(questions[[#This Row],[qno]]),VALUE(stable[qno]),0))</f>
        <v>0</v>
      </c>
      <c r="S170" s="9" t="str">
        <f>_xlfn.TEXTJOIN(", ",TRUE,questions[[#This Row],[ans_opt_1]:[ans_opt_14]])</f>
        <v/>
      </c>
      <c r="AH170" s="16" t="b">
        <f>INDEX(stable[q_standard],MATCH(questions[[#This Row],[qno]],stable[qno],0))</f>
        <v>1</v>
      </c>
      <c r="AI170" s="16" t="b">
        <f>INDEX(stable[q_living_income],MATCH(questions[[#This Row],[qno]],stable[qno],0))</f>
        <v>0</v>
      </c>
      <c r="AJ170" s="16" t="b">
        <f>INDEX(stable[q_carbon],MATCH(questions[[#This Row],[qno]],stable[qno],0))</f>
        <v>0</v>
      </c>
      <c r="AK170" s="16" t="b">
        <f>INDEX(stable[q_regen_ag],MATCH(questions[[#This Row],[qno]],stable[qno],0))</f>
        <v>0</v>
      </c>
      <c r="AL170" s="16" t="b">
        <f>COUNTIFS(stable[qno],questions[[#This Row],[qno]])=1</f>
        <v>1</v>
      </c>
      <c r="AM170" s="16" t="b">
        <f>OR(questions[[#This Row],[is_fixed]],questions[[#This Row],[is_localized]],questions[[#This Row],[is_supply_chain_dependent]])</f>
        <v>1</v>
      </c>
      <c r="AN170" s="16" t="b">
        <f>COUNTIFS(questions[[#This Row],[is_automated]:[is_multi_select]],TRUE)=1</f>
        <v>1</v>
      </c>
      <c r="AO170" s="16" t="b">
        <f>IF(questions[[#This Row],[is_fixed]],questions[[#This Row],[question]]=INDEX(stable[question],MATCH(questions[[#This Row],[qno]],stable[qno],0)),TRUE)</f>
        <v>1</v>
      </c>
      <c r="AP170" s="16" t="str">
        <f>LEFT(questions[[#This Row],[question]],similarity_range)</f>
        <v>Farmer tags</v>
      </c>
      <c r="AQ170" s="16" t="str">
        <f>LEFT(INDEX(stable[question],MATCH(questions[[#This Row],[qno]],stable[qno],0)),similarity_range)</f>
        <v>Farmer tags</v>
      </c>
      <c r="AR170" s="16" t="b">
        <f>questions[[#This Row],[question_first_characters]]=questions[[#This Row],[stability_first_characters]]</f>
        <v>1</v>
      </c>
      <c r="AS170" s="16" t="b">
        <f>IF(OR(questions[[#This Row],[is_single_select]],questions[[#This Row],[is_multi_select]]),NOT(ISBLANK(questions[[#This Row],[answer_opt_combined]])),TRUE)</f>
        <v>1</v>
      </c>
    </row>
    <row r="171" spans="1:45" x14ac:dyDescent="0.25">
      <c r="A171" s="9" t="str">
        <f>_xlfn.TEXTJOIN("_",TRUE,questions[[#This Row],[origin]:[qno]])</f>
        <v>Uganda_Arabica_Sbux_1203</v>
      </c>
      <c r="B171" s="9" t="s">
        <v>511</v>
      </c>
      <c r="C171" s="9" t="s">
        <v>59</v>
      </c>
      <c r="D171" s="9" t="s">
        <v>512</v>
      </c>
      <c r="F171" s="24" t="s">
        <v>87</v>
      </c>
      <c r="G171" s="15" t="s">
        <v>88</v>
      </c>
      <c r="H171" s="9" t="str" cm="1">
        <f t="array" ref="H171">INDEX(stableR[question],MATCH(VALUE(questions[[#This Row],[qno]]),VALUE(stableR[qno]),0))</f>
        <v>Address</v>
      </c>
      <c r="I171" s="9" t="b" cm="1">
        <f t="array" ref="I171">INDEX(stable[is_fixed],MATCH(VALUE(questions[[#This Row],[qno]]),VALUE(stable[qno]),0))</f>
        <v>1</v>
      </c>
      <c r="J171" s="9" t="b" cm="1">
        <f t="array" ref="J171">INDEX(stable[is_localized],MATCH(VALUE(questions[[#This Row],[qno]]),VALUE(stable[qno]),0))</f>
        <v>0</v>
      </c>
      <c r="K171" s="9" t="b" cm="1">
        <f t="array" ref="K171">INDEX(stable[is_supply_chain_dependent],MATCH(VALUE(questions[[#This Row],[qno]]),VALUE(stable[qno]),0))</f>
        <v>0</v>
      </c>
      <c r="L171" s="9" t="b" cm="1">
        <f t="array" ref="L171">INDEX(stable[is_mandatory],MATCH(VALUE(questions[[#This Row],[qno]]),VALUE(stable[qno]),0))</f>
        <v>1</v>
      </c>
      <c r="M171" s="9" t="b" cm="1">
        <f t="array" ref="M171">INDEX(stable[is_automated],MATCH(VALUE(questions[[#This Row],[qno]]),VALUE(stable[qno]),0))</f>
        <v>1</v>
      </c>
      <c r="N171" s="9" t="b" cm="1">
        <f t="array" ref="N171">INDEX(stable[is_free_text],MATCH(VALUE(questions[[#This Row],[qno]]),VALUE(stable[qno]),0))</f>
        <v>0</v>
      </c>
      <c r="O171" s="9" t="b" cm="1">
        <f t="array" ref="O171">INDEX(stable[is_numerical],MATCH(VALUE(questions[[#This Row],[qno]]),VALUE(stable[qno]),0))</f>
        <v>0</v>
      </c>
      <c r="P171" s="32" t="b" cm="1">
        <f t="array" ref="P171">INDEX(stable[is_single_select],MATCH(VALUE(questions[[#This Row],[qno]]),VALUE(stable[qno]),0))</f>
        <v>0</v>
      </c>
      <c r="Q171" s="9" t="b" cm="1">
        <f t="array" ref="Q171">INDEX(stable[is_multi_select],MATCH(VALUE(questions[[#This Row],[qno]]),VALUE(stable[qno]),0))</f>
        <v>0</v>
      </c>
      <c r="R171" s="9" t="b" cm="1">
        <f t="array" ref="R171">INDEX(stable[is_skip_logic],MATCH(VALUE(questions[[#This Row],[qno]]),VALUE(stable[qno]),0))</f>
        <v>0</v>
      </c>
      <c r="S171" s="9" t="str">
        <f>_xlfn.TEXTJOIN(", ",TRUE,questions[[#This Row],[ans_opt_1]:[ans_opt_14]])</f>
        <v/>
      </c>
      <c r="AH171" s="16" t="b">
        <f>INDEX(stable[q_standard],MATCH(questions[[#This Row],[qno]],stable[qno],0))</f>
        <v>1</v>
      </c>
      <c r="AI171" s="16" t="b">
        <f>INDEX(stable[q_living_income],MATCH(questions[[#This Row],[qno]],stable[qno],0))</f>
        <v>0</v>
      </c>
      <c r="AJ171" s="16" t="b">
        <f>INDEX(stable[q_carbon],MATCH(questions[[#This Row],[qno]],stable[qno],0))</f>
        <v>0</v>
      </c>
      <c r="AK171" s="16" t="b">
        <f>INDEX(stable[q_regen_ag],MATCH(questions[[#This Row],[qno]],stable[qno],0))</f>
        <v>0</v>
      </c>
      <c r="AL171" s="16" t="b">
        <f>COUNTIFS(stable[qno],questions[[#This Row],[qno]])=1</f>
        <v>1</v>
      </c>
      <c r="AM171" s="16" t="b">
        <f>OR(questions[[#This Row],[is_fixed]],questions[[#This Row],[is_localized]],questions[[#This Row],[is_supply_chain_dependent]])</f>
        <v>1</v>
      </c>
      <c r="AN171" s="16" t="b">
        <f>COUNTIFS(questions[[#This Row],[is_automated]:[is_multi_select]],TRUE)=1</f>
        <v>1</v>
      </c>
      <c r="AO171" s="16" t="b">
        <f>IF(questions[[#This Row],[is_fixed]],questions[[#This Row],[question]]=INDEX(stable[question],MATCH(questions[[#This Row],[qno]],stable[qno],0)),TRUE)</f>
        <v>1</v>
      </c>
      <c r="AP171" s="16" t="str">
        <f>LEFT(questions[[#This Row],[question]],similarity_range)</f>
        <v>Address</v>
      </c>
      <c r="AQ171" s="16" t="str">
        <f>LEFT(INDEX(stable[question],MATCH(questions[[#This Row],[qno]],stable[qno],0)),similarity_range)</f>
        <v>Address</v>
      </c>
      <c r="AR171" s="16" t="b">
        <f>questions[[#This Row],[question_first_characters]]=questions[[#This Row],[stability_first_characters]]</f>
        <v>1</v>
      </c>
      <c r="AS171" s="16" t="b">
        <f>IF(OR(questions[[#This Row],[is_single_select]],questions[[#This Row],[is_multi_select]]),NOT(ISBLANK(questions[[#This Row],[answer_opt_combined]])),TRUE)</f>
        <v>1</v>
      </c>
    </row>
    <row r="172" spans="1:45" x14ac:dyDescent="0.25">
      <c r="A172" s="9" t="str">
        <f>_xlfn.TEXTJOIN("_",TRUE,questions[[#This Row],[origin]:[qno]])</f>
        <v>Uganda_Arabica_Sbux_1210</v>
      </c>
      <c r="B172" s="9" t="s">
        <v>511</v>
      </c>
      <c r="C172" s="9" t="s">
        <v>59</v>
      </c>
      <c r="D172" s="9" t="s">
        <v>512</v>
      </c>
      <c r="F172" s="24" t="s">
        <v>89</v>
      </c>
      <c r="G172" s="15" t="s">
        <v>90</v>
      </c>
      <c r="H172" s="9" t="str" cm="1">
        <f t="array" ref="H172">INDEX(stableR[question],MATCH(VALUE(questions[[#This Row],[qno]]),VALUE(stableR[qno]),0))</f>
        <v>Plot name</v>
      </c>
      <c r="I172" s="9" t="b" cm="1">
        <f t="array" ref="I172">INDEX(stable[is_fixed],MATCH(VALUE(questions[[#This Row],[qno]]),VALUE(stable[qno]),0))</f>
        <v>1</v>
      </c>
      <c r="J172" s="9" t="b" cm="1">
        <f t="array" ref="J172">INDEX(stable[is_localized],MATCH(VALUE(questions[[#This Row],[qno]]),VALUE(stable[qno]),0))</f>
        <v>0</v>
      </c>
      <c r="K172" s="9" t="b" cm="1">
        <f t="array" ref="K172">INDEX(stable[is_supply_chain_dependent],MATCH(VALUE(questions[[#This Row],[qno]]),VALUE(stable[qno]),0))</f>
        <v>0</v>
      </c>
      <c r="L172" s="9" t="b" cm="1">
        <f t="array" ref="L172">INDEX(stable[is_mandatory],MATCH(VALUE(questions[[#This Row],[qno]]),VALUE(stable[qno]),0))</f>
        <v>1</v>
      </c>
      <c r="M172" s="9" t="b" cm="1">
        <f t="array" ref="M172">INDEX(stable[is_automated],MATCH(VALUE(questions[[#This Row],[qno]]),VALUE(stable[qno]),0))</f>
        <v>1</v>
      </c>
      <c r="N172" s="9" t="b" cm="1">
        <f t="array" ref="N172">INDEX(stable[is_free_text],MATCH(VALUE(questions[[#This Row],[qno]]),VALUE(stable[qno]),0))</f>
        <v>0</v>
      </c>
      <c r="O172" s="9" t="b" cm="1">
        <f t="array" ref="O172">INDEX(stable[is_numerical],MATCH(VALUE(questions[[#This Row],[qno]]),VALUE(stable[qno]),0))</f>
        <v>0</v>
      </c>
      <c r="P172" s="32" t="b" cm="1">
        <f t="array" ref="P172">INDEX(stable[is_single_select],MATCH(VALUE(questions[[#This Row],[qno]]),VALUE(stable[qno]),0))</f>
        <v>0</v>
      </c>
      <c r="Q172" s="9" t="b" cm="1">
        <f t="array" ref="Q172">INDEX(stable[is_multi_select],MATCH(VALUE(questions[[#This Row],[qno]]),VALUE(stable[qno]),0))</f>
        <v>0</v>
      </c>
      <c r="R172" s="9" t="b" cm="1">
        <f t="array" ref="R172">INDEX(stable[is_skip_logic],MATCH(VALUE(questions[[#This Row],[qno]]),VALUE(stable[qno]),0))</f>
        <v>0</v>
      </c>
      <c r="S172" s="9" t="str">
        <f>_xlfn.TEXTJOIN(", ",TRUE,questions[[#This Row],[ans_opt_1]:[ans_opt_14]])</f>
        <v/>
      </c>
      <c r="AH172" s="16" t="b">
        <f>INDEX(stable[q_standard],MATCH(questions[[#This Row],[qno]],stable[qno],0))</f>
        <v>1</v>
      </c>
      <c r="AI172" s="16" t="b">
        <f>INDEX(stable[q_living_income],MATCH(questions[[#This Row],[qno]],stable[qno],0))</f>
        <v>0</v>
      </c>
      <c r="AJ172" s="16" t="b">
        <f>INDEX(stable[q_carbon],MATCH(questions[[#This Row],[qno]],stable[qno],0))</f>
        <v>0</v>
      </c>
      <c r="AK172" s="16" t="b">
        <f>INDEX(stable[q_regen_ag],MATCH(questions[[#This Row],[qno]],stable[qno],0))</f>
        <v>0</v>
      </c>
      <c r="AL172" s="16" t="b">
        <f>COUNTIFS(stable[qno],questions[[#This Row],[qno]])=1</f>
        <v>1</v>
      </c>
      <c r="AM172" s="16" t="b">
        <f>OR(questions[[#This Row],[is_fixed]],questions[[#This Row],[is_localized]],questions[[#This Row],[is_supply_chain_dependent]])</f>
        <v>1</v>
      </c>
      <c r="AN172" s="16" t="b">
        <f>COUNTIFS(questions[[#This Row],[is_automated]:[is_multi_select]],TRUE)=1</f>
        <v>1</v>
      </c>
      <c r="AO172" s="16" t="b">
        <f>IF(questions[[#This Row],[is_fixed]],questions[[#This Row],[question]]=INDEX(stable[question],MATCH(questions[[#This Row],[qno]],stable[qno],0)),TRUE)</f>
        <v>1</v>
      </c>
      <c r="AP172" s="16" t="str">
        <f>LEFT(questions[[#This Row],[question]],similarity_range)</f>
        <v>Plot name</v>
      </c>
      <c r="AQ172" s="16" t="str">
        <f>LEFT(INDEX(stable[question],MATCH(questions[[#This Row],[qno]],stable[qno],0)),similarity_range)</f>
        <v>Plot name</v>
      </c>
      <c r="AR172" s="16" t="b">
        <f>questions[[#This Row],[question_first_characters]]=questions[[#This Row],[stability_first_characters]]</f>
        <v>1</v>
      </c>
      <c r="AS172" s="16" t="b">
        <f>IF(OR(questions[[#This Row],[is_single_select]],questions[[#This Row],[is_multi_select]]),NOT(ISBLANK(questions[[#This Row],[answer_opt_combined]])),TRUE)</f>
        <v>1</v>
      </c>
    </row>
    <row r="173" spans="1:45" x14ac:dyDescent="0.25">
      <c r="A173" s="9" t="str">
        <f>_xlfn.TEXTJOIN("_",TRUE,questions[[#This Row],[origin]:[qno]])</f>
        <v>Uganda_Arabica_Sbux_1211</v>
      </c>
      <c r="B173" s="9" t="s">
        <v>511</v>
      </c>
      <c r="C173" s="9" t="s">
        <v>59</v>
      </c>
      <c r="D173" s="9" t="s">
        <v>512</v>
      </c>
      <c r="F173" s="24" t="s">
        <v>91</v>
      </c>
      <c r="G173" s="15" t="s">
        <v>92</v>
      </c>
      <c r="H173" s="9" t="str" cm="1">
        <f t="array" ref="H173">INDEX(stableR[question],MATCH(VALUE(questions[[#This Row],[qno]]),VALUE(stableR[qno]),0))</f>
        <v>Plot tags</v>
      </c>
      <c r="I173" s="9" t="b" cm="1">
        <f t="array" ref="I173">INDEX(stable[is_fixed],MATCH(VALUE(questions[[#This Row],[qno]]),VALUE(stable[qno]),0))</f>
        <v>1</v>
      </c>
      <c r="J173" s="9" t="b" cm="1">
        <f t="array" ref="J173">INDEX(stable[is_localized],MATCH(VALUE(questions[[#This Row],[qno]]),VALUE(stable[qno]),0))</f>
        <v>0</v>
      </c>
      <c r="K173" s="9" t="b" cm="1">
        <f t="array" ref="K173">INDEX(stable[is_supply_chain_dependent],MATCH(VALUE(questions[[#This Row],[qno]]),VALUE(stable[qno]),0))</f>
        <v>0</v>
      </c>
      <c r="L173" s="9" t="b" cm="1">
        <f t="array" ref="L173">INDEX(stable[is_mandatory],MATCH(VALUE(questions[[#This Row],[qno]]),VALUE(stable[qno]),0))</f>
        <v>1</v>
      </c>
      <c r="M173" s="9" t="b" cm="1">
        <f t="array" ref="M173">INDEX(stable[is_automated],MATCH(VALUE(questions[[#This Row],[qno]]),VALUE(stable[qno]),0))</f>
        <v>1</v>
      </c>
      <c r="N173" s="9" t="b" cm="1">
        <f t="array" ref="N173">INDEX(stable[is_free_text],MATCH(VALUE(questions[[#This Row],[qno]]),VALUE(stable[qno]),0))</f>
        <v>0</v>
      </c>
      <c r="O173" s="9" t="b" cm="1">
        <f t="array" ref="O173">INDEX(stable[is_numerical],MATCH(VALUE(questions[[#This Row],[qno]]),VALUE(stable[qno]),0))</f>
        <v>0</v>
      </c>
      <c r="P173" s="32" t="b" cm="1">
        <f t="array" ref="P173">INDEX(stable[is_single_select],MATCH(VALUE(questions[[#This Row],[qno]]),VALUE(stable[qno]),0))</f>
        <v>0</v>
      </c>
      <c r="Q173" s="9" t="b" cm="1">
        <f t="array" ref="Q173">INDEX(stable[is_multi_select],MATCH(VALUE(questions[[#This Row],[qno]]),VALUE(stable[qno]),0))</f>
        <v>0</v>
      </c>
      <c r="R173" s="9" t="b" cm="1">
        <f t="array" ref="R173">INDEX(stable[is_skip_logic],MATCH(VALUE(questions[[#This Row],[qno]]),VALUE(stable[qno]),0))</f>
        <v>0</v>
      </c>
      <c r="S173" s="9" t="str">
        <f>_xlfn.TEXTJOIN(", ",TRUE,questions[[#This Row],[ans_opt_1]:[ans_opt_14]])</f>
        <v/>
      </c>
      <c r="AH173" s="16" t="b">
        <f>INDEX(stable[q_standard],MATCH(questions[[#This Row],[qno]],stable[qno],0))</f>
        <v>1</v>
      </c>
      <c r="AI173" s="16" t="b">
        <f>INDEX(stable[q_living_income],MATCH(questions[[#This Row],[qno]],stable[qno],0))</f>
        <v>0</v>
      </c>
      <c r="AJ173" s="16" t="b">
        <f>INDEX(stable[q_carbon],MATCH(questions[[#This Row],[qno]],stable[qno],0))</f>
        <v>0</v>
      </c>
      <c r="AK173" s="16" t="b">
        <f>INDEX(stable[q_regen_ag],MATCH(questions[[#This Row],[qno]],stable[qno],0))</f>
        <v>0</v>
      </c>
      <c r="AL173" s="16" t="b">
        <f>COUNTIFS(stable[qno],questions[[#This Row],[qno]])=1</f>
        <v>1</v>
      </c>
      <c r="AM173" s="16" t="b">
        <f>OR(questions[[#This Row],[is_fixed]],questions[[#This Row],[is_localized]],questions[[#This Row],[is_supply_chain_dependent]])</f>
        <v>1</v>
      </c>
      <c r="AN173" s="16" t="b">
        <f>COUNTIFS(questions[[#This Row],[is_automated]:[is_multi_select]],TRUE)=1</f>
        <v>1</v>
      </c>
      <c r="AO173" s="16" t="b">
        <f>IF(questions[[#This Row],[is_fixed]],questions[[#This Row],[question]]=INDEX(stable[question],MATCH(questions[[#This Row],[qno]],stable[qno],0)),TRUE)</f>
        <v>1</v>
      </c>
      <c r="AP173" s="16" t="str">
        <f>LEFT(questions[[#This Row],[question]],similarity_range)</f>
        <v>Plot tags</v>
      </c>
      <c r="AQ173" s="16" t="str">
        <f>LEFT(INDEX(stable[question],MATCH(questions[[#This Row],[qno]],stable[qno],0)),similarity_range)</f>
        <v>Plot tags</v>
      </c>
      <c r="AR173" s="16" t="b">
        <f>questions[[#This Row],[question_first_characters]]=questions[[#This Row],[stability_first_characters]]</f>
        <v>1</v>
      </c>
      <c r="AS173" s="16" t="b">
        <f>IF(OR(questions[[#This Row],[is_single_select]],questions[[#This Row],[is_multi_select]]),NOT(ISBLANK(questions[[#This Row],[answer_opt_combined]])),TRUE)</f>
        <v>1</v>
      </c>
    </row>
    <row r="174" spans="1:45" x14ac:dyDescent="0.25">
      <c r="A174" s="9" t="str">
        <f>_xlfn.TEXTJOIN("_",TRUE,questions[[#This Row],[origin]:[qno]])</f>
        <v>Uganda_Arabica_Sbux_1212</v>
      </c>
      <c r="B174" s="9" t="s">
        <v>511</v>
      </c>
      <c r="C174" s="9" t="s">
        <v>59</v>
      </c>
      <c r="D174" s="9" t="s">
        <v>512</v>
      </c>
      <c r="F174" s="24" t="s">
        <v>93</v>
      </c>
      <c r="G174" s="15" t="s">
        <v>94</v>
      </c>
      <c r="H174" s="9" t="str" cm="1">
        <f t="array" ref="H174">INDEX(stableR[question],MATCH(VALUE(questions[[#This Row],[qno]]),VALUE(stableR[qno]),0))</f>
        <v>Declared area (acre)</v>
      </c>
      <c r="I174" s="9" t="b" cm="1">
        <f t="array" ref="I174">INDEX(stable[is_fixed],MATCH(VALUE(questions[[#This Row],[qno]]),VALUE(stable[qno]),0))</f>
        <v>1</v>
      </c>
      <c r="J174" s="9" t="b" cm="1">
        <f t="array" ref="J174">INDEX(stable[is_localized],MATCH(VALUE(questions[[#This Row],[qno]]),VALUE(stable[qno]),0))</f>
        <v>0</v>
      </c>
      <c r="K174" s="9" t="b" cm="1">
        <f t="array" ref="K174">INDEX(stable[is_supply_chain_dependent],MATCH(VALUE(questions[[#This Row],[qno]]),VALUE(stable[qno]),0))</f>
        <v>0</v>
      </c>
      <c r="L174" s="9" t="b" cm="1">
        <f t="array" ref="L174">INDEX(stable[is_mandatory],MATCH(VALUE(questions[[#This Row],[qno]]),VALUE(stable[qno]),0))</f>
        <v>1</v>
      </c>
      <c r="M174" s="9" t="b" cm="1">
        <f t="array" ref="M174">INDEX(stable[is_automated],MATCH(VALUE(questions[[#This Row],[qno]]),VALUE(stable[qno]),0))</f>
        <v>1</v>
      </c>
      <c r="N174" s="9" t="b" cm="1">
        <f t="array" ref="N174">INDEX(stable[is_free_text],MATCH(VALUE(questions[[#This Row],[qno]]),VALUE(stable[qno]),0))</f>
        <v>0</v>
      </c>
      <c r="O174" s="9" t="b" cm="1">
        <f t="array" ref="O174">INDEX(stable[is_numerical],MATCH(VALUE(questions[[#This Row],[qno]]),VALUE(stable[qno]),0))</f>
        <v>1</v>
      </c>
      <c r="P174" s="32" t="b" cm="1">
        <f t="array" ref="P174">INDEX(stable[is_single_select],MATCH(VALUE(questions[[#This Row],[qno]]),VALUE(stable[qno]),0))</f>
        <v>0</v>
      </c>
      <c r="Q174" s="9" t="b" cm="1">
        <f t="array" ref="Q174">INDEX(stable[is_multi_select],MATCH(VALUE(questions[[#This Row],[qno]]),VALUE(stable[qno]),0))</f>
        <v>0</v>
      </c>
      <c r="R174" s="9" t="b" cm="1">
        <f t="array" ref="R174">INDEX(stable[is_skip_logic],MATCH(VALUE(questions[[#This Row],[qno]]),VALUE(stable[qno]),0))</f>
        <v>0</v>
      </c>
      <c r="S174" s="9" t="str">
        <f>_xlfn.TEXTJOIN(", ",TRUE,questions[[#This Row],[ans_opt_1]:[ans_opt_14]])</f>
        <v/>
      </c>
      <c r="AH174" s="16" t="b">
        <f>INDEX(stable[q_standard],MATCH(questions[[#This Row],[qno]],stable[qno],0))</f>
        <v>1</v>
      </c>
      <c r="AI174" s="16" t="b">
        <f>INDEX(stable[q_living_income],MATCH(questions[[#This Row],[qno]],stable[qno],0))</f>
        <v>0</v>
      </c>
      <c r="AJ174" s="16" t="b">
        <f>INDEX(stable[q_carbon],MATCH(questions[[#This Row],[qno]],stable[qno],0))</f>
        <v>0</v>
      </c>
      <c r="AK174" s="16" t="b">
        <f>INDEX(stable[q_regen_ag],MATCH(questions[[#This Row],[qno]],stable[qno],0))</f>
        <v>0</v>
      </c>
      <c r="AL174" s="16" t="b">
        <f>COUNTIFS(stable[qno],questions[[#This Row],[qno]])=1</f>
        <v>1</v>
      </c>
      <c r="AM174" s="16" t="b">
        <f>OR(questions[[#This Row],[is_fixed]],questions[[#This Row],[is_localized]],questions[[#This Row],[is_supply_chain_dependent]])</f>
        <v>1</v>
      </c>
      <c r="AN174" s="16" t="b">
        <f>COUNTIFS(questions[[#This Row],[is_automated]:[is_multi_select]],TRUE)=1</f>
        <v>0</v>
      </c>
      <c r="AO174" s="16" t="b">
        <f>IF(questions[[#This Row],[is_fixed]],questions[[#This Row],[question]]=INDEX(stable[question],MATCH(questions[[#This Row],[qno]],stable[qno],0)),TRUE)</f>
        <v>1</v>
      </c>
      <c r="AP174" s="16" t="str">
        <f>LEFT(questions[[#This Row],[question]],similarity_range)</f>
        <v>Declared area (acre)</v>
      </c>
      <c r="AQ174" s="16" t="str">
        <f>LEFT(INDEX(stable[question],MATCH(questions[[#This Row],[qno]],stable[qno],0)),similarity_range)</f>
        <v>Declared area (acre)</v>
      </c>
      <c r="AR174" s="16" t="b">
        <f>questions[[#This Row],[question_first_characters]]=questions[[#This Row],[stability_first_characters]]</f>
        <v>1</v>
      </c>
      <c r="AS174" s="16" t="b">
        <f>IF(OR(questions[[#This Row],[is_single_select]],questions[[#This Row],[is_multi_select]]),NOT(ISBLANK(questions[[#This Row],[answer_opt_combined]])),TRUE)</f>
        <v>1</v>
      </c>
    </row>
    <row r="175" spans="1:45" x14ac:dyDescent="0.25">
      <c r="A175" s="9" t="str">
        <f>_xlfn.TEXTJOIN("_",TRUE,questions[[#This Row],[origin]:[qno]])</f>
        <v>Uganda_Arabica_Sbux_1213</v>
      </c>
      <c r="B175" s="9" t="s">
        <v>511</v>
      </c>
      <c r="C175" s="9" t="s">
        <v>59</v>
      </c>
      <c r="D175" s="9" t="s">
        <v>512</v>
      </c>
      <c r="F175" s="24" t="s">
        <v>95</v>
      </c>
      <c r="G175" s="15" t="s">
        <v>96</v>
      </c>
      <c r="H175" s="9" t="str" cm="1">
        <f t="array" ref="H175">INDEX(stableR[question],MATCH(VALUE(questions[[#This Row],[qno]]),VALUE(stableR[qno]),0))</f>
        <v>Audited area (acre)</v>
      </c>
      <c r="I175" s="9" t="b" cm="1">
        <f t="array" ref="I175">INDEX(stable[is_fixed],MATCH(VALUE(questions[[#This Row],[qno]]),VALUE(stable[qno]),0))</f>
        <v>1</v>
      </c>
      <c r="J175" s="9" t="b" cm="1">
        <f t="array" ref="J175">INDEX(stable[is_localized],MATCH(VALUE(questions[[#This Row],[qno]]),VALUE(stable[qno]),0))</f>
        <v>0</v>
      </c>
      <c r="K175" s="9" t="b" cm="1">
        <f t="array" ref="K175">INDEX(stable[is_supply_chain_dependent],MATCH(VALUE(questions[[#This Row],[qno]]),VALUE(stable[qno]),0))</f>
        <v>0</v>
      </c>
      <c r="L175" s="9" t="b" cm="1">
        <f t="array" ref="L175">INDEX(stable[is_mandatory],MATCH(VALUE(questions[[#This Row],[qno]]),VALUE(stable[qno]),0))</f>
        <v>1</v>
      </c>
      <c r="M175" s="9" t="b" cm="1">
        <f t="array" ref="M175">INDEX(stable[is_automated],MATCH(VALUE(questions[[#This Row],[qno]]),VALUE(stable[qno]),0))</f>
        <v>1</v>
      </c>
      <c r="N175" s="9" t="b" cm="1">
        <f t="array" ref="N175">INDEX(stable[is_free_text],MATCH(VALUE(questions[[#This Row],[qno]]),VALUE(stable[qno]),0))</f>
        <v>0</v>
      </c>
      <c r="O175" s="9" t="b" cm="1">
        <f t="array" ref="O175">INDEX(stable[is_numerical],MATCH(VALUE(questions[[#This Row],[qno]]),VALUE(stable[qno]),0))</f>
        <v>1</v>
      </c>
      <c r="P175" s="32" t="b" cm="1">
        <f t="array" ref="P175">INDEX(stable[is_single_select],MATCH(VALUE(questions[[#This Row],[qno]]),VALUE(stable[qno]),0))</f>
        <v>0</v>
      </c>
      <c r="Q175" s="9" t="b" cm="1">
        <f t="array" ref="Q175">INDEX(stable[is_multi_select],MATCH(VALUE(questions[[#This Row],[qno]]),VALUE(stable[qno]),0))</f>
        <v>0</v>
      </c>
      <c r="R175" s="9" t="b" cm="1">
        <f t="array" ref="R175">INDEX(stable[is_skip_logic],MATCH(VALUE(questions[[#This Row],[qno]]),VALUE(stable[qno]),0))</f>
        <v>0</v>
      </c>
      <c r="S175" s="9" t="str">
        <f>_xlfn.TEXTJOIN(", ",TRUE,questions[[#This Row],[ans_opt_1]:[ans_opt_14]])</f>
        <v/>
      </c>
      <c r="AH175" s="16" t="b">
        <f>INDEX(stable[q_standard],MATCH(questions[[#This Row],[qno]],stable[qno],0))</f>
        <v>1</v>
      </c>
      <c r="AI175" s="16" t="b">
        <f>INDEX(stable[q_living_income],MATCH(questions[[#This Row],[qno]],stable[qno],0))</f>
        <v>0</v>
      </c>
      <c r="AJ175" s="16" t="b">
        <f>INDEX(stable[q_carbon],MATCH(questions[[#This Row],[qno]],stable[qno],0))</f>
        <v>0</v>
      </c>
      <c r="AK175" s="16" t="b">
        <f>INDEX(stable[q_regen_ag],MATCH(questions[[#This Row],[qno]],stable[qno],0))</f>
        <v>0</v>
      </c>
      <c r="AL175" s="16" t="b">
        <f>COUNTIFS(stable[qno],questions[[#This Row],[qno]])=1</f>
        <v>1</v>
      </c>
      <c r="AM175" s="16" t="b">
        <f>OR(questions[[#This Row],[is_fixed]],questions[[#This Row],[is_localized]],questions[[#This Row],[is_supply_chain_dependent]])</f>
        <v>1</v>
      </c>
      <c r="AN175" s="16" t="b">
        <f>COUNTIFS(questions[[#This Row],[is_automated]:[is_multi_select]],TRUE)=1</f>
        <v>0</v>
      </c>
      <c r="AO175" s="16" t="b">
        <f>IF(questions[[#This Row],[is_fixed]],questions[[#This Row],[question]]=INDEX(stable[question],MATCH(questions[[#This Row],[qno]],stable[qno],0)),TRUE)</f>
        <v>1</v>
      </c>
      <c r="AP175" s="16" t="str">
        <f>LEFT(questions[[#This Row],[question]],similarity_range)</f>
        <v>Audited area (acre)</v>
      </c>
      <c r="AQ175" s="16" t="str">
        <f>LEFT(INDEX(stable[question],MATCH(questions[[#This Row],[qno]],stable[qno],0)),similarity_range)</f>
        <v>Audited area (acre)</v>
      </c>
      <c r="AR175" s="16" t="b">
        <f>questions[[#This Row],[question_first_characters]]=questions[[#This Row],[stability_first_characters]]</f>
        <v>1</v>
      </c>
      <c r="AS175" s="16" t="b">
        <f>IF(OR(questions[[#This Row],[is_single_select]],questions[[#This Row],[is_multi_select]]),NOT(ISBLANK(questions[[#This Row],[answer_opt_combined]])),TRUE)</f>
        <v>1</v>
      </c>
    </row>
    <row r="176" spans="1:45" x14ac:dyDescent="0.25">
      <c r="A176" s="9" t="str">
        <f>_xlfn.TEXTJOIN("_",TRUE,questions[[#This Row],[origin]:[qno]])</f>
        <v>Uganda_Arabica_Sbux_1216</v>
      </c>
      <c r="B176" s="9" t="s">
        <v>511</v>
      </c>
      <c r="C176" s="9" t="s">
        <v>59</v>
      </c>
      <c r="D176" s="9" t="s">
        <v>512</v>
      </c>
      <c r="F176" s="24" t="s">
        <v>97</v>
      </c>
      <c r="G176" s="15" t="s">
        <v>98</v>
      </c>
      <c r="H176" s="9" t="str" cm="1">
        <f t="array" ref="H176">INDEX(stableR[question],MATCH(VALUE(questions[[#This Row],[qno]]),VALUE(stableR[qno]),0))</f>
        <v>Coordinates</v>
      </c>
      <c r="I176" s="9" t="b" cm="1">
        <f t="array" ref="I176">INDEX(stable[is_fixed],MATCH(VALUE(questions[[#This Row],[qno]]),VALUE(stable[qno]),0))</f>
        <v>1</v>
      </c>
      <c r="J176" s="9" t="b" cm="1">
        <f t="array" ref="J176">INDEX(stable[is_localized],MATCH(VALUE(questions[[#This Row],[qno]]),VALUE(stable[qno]),0))</f>
        <v>0</v>
      </c>
      <c r="K176" s="9" t="b" cm="1">
        <f t="array" ref="K176">INDEX(stable[is_supply_chain_dependent],MATCH(VALUE(questions[[#This Row],[qno]]),VALUE(stable[qno]),0))</f>
        <v>0</v>
      </c>
      <c r="L176" s="9" t="b" cm="1">
        <f t="array" ref="L176">INDEX(stable[is_mandatory],MATCH(VALUE(questions[[#This Row],[qno]]),VALUE(stable[qno]),0))</f>
        <v>1</v>
      </c>
      <c r="M176" s="9" t="b" cm="1">
        <f t="array" ref="M176">INDEX(stable[is_automated],MATCH(VALUE(questions[[#This Row],[qno]]),VALUE(stable[qno]),0))</f>
        <v>1</v>
      </c>
      <c r="N176" s="9" t="b" cm="1">
        <f t="array" ref="N176">INDEX(stable[is_free_text],MATCH(VALUE(questions[[#This Row],[qno]]),VALUE(stable[qno]),0))</f>
        <v>0</v>
      </c>
      <c r="O176" s="9" t="b" cm="1">
        <f t="array" ref="O176">INDEX(stable[is_numerical],MATCH(VALUE(questions[[#This Row],[qno]]),VALUE(stable[qno]),0))</f>
        <v>0</v>
      </c>
      <c r="P176" s="32" t="b" cm="1">
        <f t="array" ref="P176">INDEX(stable[is_single_select],MATCH(VALUE(questions[[#This Row],[qno]]),VALUE(stable[qno]),0))</f>
        <v>0</v>
      </c>
      <c r="Q176" s="9" t="b" cm="1">
        <f t="array" ref="Q176">INDEX(stable[is_multi_select],MATCH(VALUE(questions[[#This Row],[qno]]),VALUE(stable[qno]),0))</f>
        <v>0</v>
      </c>
      <c r="R176" s="9" t="b" cm="1">
        <f t="array" ref="R176">INDEX(stable[is_skip_logic],MATCH(VALUE(questions[[#This Row],[qno]]),VALUE(stable[qno]),0))</f>
        <v>0</v>
      </c>
      <c r="S176" s="9" t="str">
        <f>_xlfn.TEXTJOIN(", ",TRUE,questions[[#This Row],[ans_opt_1]:[ans_opt_14]])</f>
        <v/>
      </c>
      <c r="AH176" s="16" t="b">
        <f>INDEX(stable[q_standard],MATCH(questions[[#This Row],[qno]],stable[qno],0))</f>
        <v>1</v>
      </c>
      <c r="AI176" s="16" t="b">
        <f>INDEX(stable[q_living_income],MATCH(questions[[#This Row],[qno]],stable[qno],0))</f>
        <v>0</v>
      </c>
      <c r="AJ176" s="16" t="b">
        <f>INDEX(stable[q_carbon],MATCH(questions[[#This Row],[qno]],stable[qno],0))</f>
        <v>0</v>
      </c>
      <c r="AK176" s="16" t="b">
        <f>INDEX(stable[q_regen_ag],MATCH(questions[[#This Row],[qno]],stable[qno],0))</f>
        <v>0</v>
      </c>
      <c r="AL176" s="16" t="b">
        <f>COUNTIFS(stable[qno],questions[[#This Row],[qno]])=1</f>
        <v>1</v>
      </c>
      <c r="AM176" s="16" t="b">
        <f>OR(questions[[#This Row],[is_fixed]],questions[[#This Row],[is_localized]],questions[[#This Row],[is_supply_chain_dependent]])</f>
        <v>1</v>
      </c>
      <c r="AN176" s="16" t="b">
        <f>COUNTIFS(questions[[#This Row],[is_automated]:[is_multi_select]],TRUE)=1</f>
        <v>1</v>
      </c>
      <c r="AO176" s="16" t="b">
        <f>IF(questions[[#This Row],[is_fixed]],questions[[#This Row],[question]]=INDEX(stable[question],MATCH(questions[[#This Row],[qno]],stable[qno],0)),TRUE)</f>
        <v>1</v>
      </c>
      <c r="AP176" s="16" t="str">
        <f>LEFT(questions[[#This Row],[question]],similarity_range)</f>
        <v>Coordinates</v>
      </c>
      <c r="AQ176" s="16" t="str">
        <f>LEFT(INDEX(stable[question],MATCH(questions[[#This Row],[qno]],stable[qno],0)),similarity_range)</f>
        <v>Coordinates</v>
      </c>
      <c r="AR176" s="16" t="b">
        <f>questions[[#This Row],[question_first_characters]]=questions[[#This Row],[stability_first_characters]]</f>
        <v>1</v>
      </c>
      <c r="AS176" s="16" t="b">
        <f>IF(OR(questions[[#This Row],[is_single_select]],questions[[#This Row],[is_multi_select]]),NOT(ISBLANK(questions[[#This Row],[answer_opt_combined]])),TRUE)</f>
        <v>1</v>
      </c>
    </row>
    <row r="177" spans="1:45" s="77" customFormat="1" x14ac:dyDescent="0.25">
      <c r="A177" s="77" t="str">
        <f>_xlfn.TEXTJOIN("_",TRUE,questions[[#This Row],[origin]:[qno]])</f>
        <v>Uganda_Arabica_Sbux_2000</v>
      </c>
      <c r="B177" s="77" t="s">
        <v>511</v>
      </c>
      <c r="C177" s="77" t="s">
        <v>59</v>
      </c>
      <c r="D177" s="77" t="s">
        <v>512</v>
      </c>
      <c r="F177" s="104" t="s">
        <v>99</v>
      </c>
      <c r="G177" s="78" t="s">
        <v>100</v>
      </c>
      <c r="H177" s="9" t="str" cm="1">
        <f t="array" ref="H177">INDEX(stableR[question],MATCH(VALUE(questions[[#This Row],[qno]]),VALUE(stableR[qno]),0))</f>
        <v>Who was present and answering the questions for the interview?</v>
      </c>
      <c r="I177" s="9" t="b" cm="1">
        <f t="array" ref="I177">INDEX(stable[is_fixed],MATCH(VALUE(questions[[#This Row],[qno]]),VALUE(stable[qno]),0))</f>
        <v>1</v>
      </c>
      <c r="J177" s="9" t="b" cm="1">
        <f t="array" ref="J177">INDEX(stable[is_localized],MATCH(VALUE(questions[[#This Row],[qno]]),VALUE(stable[qno]),0))</f>
        <v>0</v>
      </c>
      <c r="K177" s="9" t="b" cm="1">
        <f t="array" ref="K177">INDEX(stable[is_supply_chain_dependent],MATCH(VALUE(questions[[#This Row],[qno]]),VALUE(stable[qno]),0))</f>
        <v>0</v>
      </c>
      <c r="L177" s="9" t="b" cm="1">
        <f t="array" ref="L177">INDEX(stable[is_mandatory],MATCH(VALUE(questions[[#This Row],[qno]]),VALUE(stable[qno]),0))</f>
        <v>1</v>
      </c>
      <c r="M177" s="9" t="b" cm="1">
        <f t="array" ref="M177">INDEX(stable[is_automated],MATCH(VALUE(questions[[#This Row],[qno]]),VALUE(stable[qno]),0))</f>
        <v>0</v>
      </c>
      <c r="N177" s="9" t="b" cm="1">
        <f t="array" ref="N177">INDEX(stable[is_free_text],MATCH(VALUE(questions[[#This Row],[qno]]),VALUE(stable[qno]),0))</f>
        <v>0</v>
      </c>
      <c r="O177" s="9" t="b" cm="1">
        <f t="array" ref="O177">INDEX(stable[is_numerical],MATCH(VALUE(questions[[#This Row],[qno]]),VALUE(stable[qno]),0))</f>
        <v>0</v>
      </c>
      <c r="P177" s="103" t="b" cm="1">
        <f t="array" ref="P177">INDEX(stable[is_single_select],MATCH(VALUE(questions[[#This Row],[qno]]),VALUE(stable[qno]),0))</f>
        <v>0</v>
      </c>
      <c r="Q177" s="77" t="b" cm="1">
        <f t="array" ref="Q177">INDEX(stable[is_multi_select],MATCH(VALUE(questions[[#This Row],[qno]]),VALUE(stable[qno]),0))</f>
        <v>1</v>
      </c>
      <c r="R177" s="77" t="b" cm="1">
        <f t="array" ref="R177">INDEX(stable[is_skip_logic],MATCH(VALUE(questions[[#This Row],[qno]]),VALUE(stable[qno]),0))</f>
        <v>0</v>
      </c>
      <c r="S177" s="77" t="str">
        <f>_xlfn.TEXTJOIN(", ",TRUE,questions[[#This Row],[ans_opt_1]:[ans_opt_14]])</f>
        <v>Wife, Husband, Wife and husband, Other important household member</v>
      </c>
      <c r="T177" s="77" t="s">
        <v>101</v>
      </c>
      <c r="U177" s="77" t="s">
        <v>102</v>
      </c>
      <c r="V177" s="77" t="s">
        <v>513</v>
      </c>
      <c r="W177" s="77" t="s">
        <v>103</v>
      </c>
      <c r="AH177" s="98" t="b">
        <f>INDEX(stable[q_standard],MATCH(questions[[#This Row],[qno]],stable[qno],0))</f>
        <v>1</v>
      </c>
      <c r="AI177" s="98" t="b">
        <f>INDEX(stable[q_living_income],MATCH(questions[[#This Row],[qno]],stable[qno],0))</f>
        <v>0</v>
      </c>
      <c r="AJ177" s="98" t="b">
        <f>INDEX(stable[q_carbon],MATCH(questions[[#This Row],[qno]],stable[qno],0))</f>
        <v>0</v>
      </c>
      <c r="AK177" s="98" t="b">
        <f>INDEX(stable[q_regen_ag],MATCH(questions[[#This Row],[qno]],stable[qno],0))</f>
        <v>0</v>
      </c>
      <c r="AL177" s="98" t="b">
        <f>COUNTIFS(stable[qno],questions[[#This Row],[qno]])=1</f>
        <v>1</v>
      </c>
      <c r="AM177" s="98" t="b">
        <f>OR(questions[[#This Row],[is_fixed]],questions[[#This Row],[is_localized]],questions[[#This Row],[is_supply_chain_dependent]])</f>
        <v>1</v>
      </c>
      <c r="AN177" s="98" t="b">
        <f>COUNTIFS(questions[[#This Row],[is_automated]:[is_multi_select]],TRUE)=1</f>
        <v>1</v>
      </c>
      <c r="AO177" s="98" t="b">
        <f>IF(questions[[#This Row],[is_fixed]],questions[[#This Row],[question]]=INDEX(stable[question],MATCH(questions[[#This Row],[qno]],stable[qno],0)),TRUE)</f>
        <v>1</v>
      </c>
      <c r="AP177" s="98" t="str">
        <f>LEFT(questions[[#This Row],[question]],similarity_range)</f>
        <v xml:space="preserve">Who was present and </v>
      </c>
      <c r="AQ177" s="98" t="str">
        <f>LEFT(INDEX(stable[question],MATCH(questions[[#This Row],[qno]],stable[qno],0)),similarity_range)</f>
        <v xml:space="preserve">Who was present and </v>
      </c>
      <c r="AR177" s="98" t="b">
        <f>questions[[#This Row],[question_first_characters]]=questions[[#This Row],[stability_first_characters]]</f>
        <v>1</v>
      </c>
      <c r="AS177" s="98" t="b">
        <f>IF(OR(questions[[#This Row],[is_single_select]],questions[[#This Row],[is_multi_select]]),NOT(ISBLANK(questions[[#This Row],[answer_opt_combined]])),TRUE)</f>
        <v>1</v>
      </c>
    </row>
    <row r="178" spans="1:45" s="77" customFormat="1" x14ac:dyDescent="0.25">
      <c r="A178" s="77" t="str">
        <f>_xlfn.TEXTJOIN("_",TRUE,questions[[#This Row],[origin]:[qno]])</f>
        <v>Uganda_Arabica_Sbux_2001</v>
      </c>
      <c r="B178" s="77" t="s">
        <v>511</v>
      </c>
      <c r="C178" s="77" t="s">
        <v>59</v>
      </c>
      <c r="D178" s="77" t="s">
        <v>512</v>
      </c>
      <c r="F178" s="104" t="s">
        <v>104</v>
      </c>
      <c r="G178" s="78" t="s">
        <v>105</v>
      </c>
      <c r="H178" s="9" t="str" cm="1">
        <f t="array" ref="H178">INDEX(stableR[question],MATCH(VALUE(questions[[#This Row],[qno]]),VALUE(stableR[qno]),0))</f>
        <v>What is the gender of the lead farmer in the household? (The person that is selling the coffee)</v>
      </c>
      <c r="I178" s="9" t="b" cm="1">
        <f t="array" ref="I178">INDEX(stable[is_fixed],MATCH(VALUE(questions[[#This Row],[qno]]),VALUE(stable[qno]),0))</f>
        <v>1</v>
      </c>
      <c r="J178" s="9" t="b" cm="1">
        <f t="array" ref="J178">INDEX(stable[is_localized],MATCH(VALUE(questions[[#This Row],[qno]]),VALUE(stable[qno]),0))</f>
        <v>0</v>
      </c>
      <c r="K178" s="9" t="b" cm="1">
        <f t="array" ref="K178">INDEX(stable[is_supply_chain_dependent],MATCH(VALUE(questions[[#This Row],[qno]]),VALUE(stable[qno]),0))</f>
        <v>0</v>
      </c>
      <c r="L178" s="9" t="b" cm="1">
        <f t="array" ref="L178">INDEX(stable[is_mandatory],MATCH(VALUE(questions[[#This Row],[qno]]),VALUE(stable[qno]),0))</f>
        <v>1</v>
      </c>
      <c r="M178" s="9" t="b" cm="1">
        <f t="array" ref="M178">INDEX(stable[is_automated],MATCH(VALUE(questions[[#This Row],[qno]]),VALUE(stable[qno]),0))</f>
        <v>0</v>
      </c>
      <c r="N178" s="9" t="b" cm="1">
        <f t="array" ref="N178">INDEX(stable[is_free_text],MATCH(VALUE(questions[[#This Row],[qno]]),VALUE(stable[qno]),0))</f>
        <v>0</v>
      </c>
      <c r="O178" s="9" t="b" cm="1">
        <f t="array" ref="O178">INDEX(stable[is_numerical],MATCH(VALUE(questions[[#This Row],[qno]]),VALUE(stable[qno]),0))</f>
        <v>0</v>
      </c>
      <c r="P178" s="103" t="b" cm="1">
        <f t="array" ref="P178">INDEX(stable[is_single_select],MATCH(VALUE(questions[[#This Row],[qno]]),VALUE(stable[qno]),0))</f>
        <v>1</v>
      </c>
      <c r="Q178" s="77" t="b" cm="1">
        <f t="array" ref="Q178">INDEX(stable[is_multi_select],MATCH(VALUE(questions[[#This Row],[qno]]),VALUE(stable[qno]),0))</f>
        <v>0</v>
      </c>
      <c r="R178" s="77" t="b" cm="1">
        <f t="array" ref="R178">INDEX(stable[is_skip_logic],MATCH(VALUE(questions[[#This Row],[qno]]),VALUE(stable[qno]),0))</f>
        <v>0</v>
      </c>
      <c r="S178" s="77" t="str">
        <f>_xlfn.TEXTJOIN(", ",TRUE,questions[[#This Row],[ans_opt_1]:[ans_opt_14]])</f>
        <v>Female, Male</v>
      </c>
      <c r="T178" s="77" t="s">
        <v>106</v>
      </c>
      <c r="U178" s="77" t="s">
        <v>107</v>
      </c>
      <c r="AH178" s="98" t="b">
        <f>INDEX(stable[q_standard],MATCH(questions[[#This Row],[qno]],stable[qno],0))</f>
        <v>1</v>
      </c>
      <c r="AI178" s="98" t="b">
        <f>INDEX(stable[q_living_income],MATCH(questions[[#This Row],[qno]],stable[qno],0))</f>
        <v>0</v>
      </c>
      <c r="AJ178" s="98" t="b">
        <f>INDEX(stable[q_carbon],MATCH(questions[[#This Row],[qno]],stable[qno],0))</f>
        <v>0</v>
      </c>
      <c r="AK178" s="98" t="b">
        <f>INDEX(stable[q_regen_ag],MATCH(questions[[#This Row],[qno]],stable[qno],0))</f>
        <v>0</v>
      </c>
      <c r="AL178" s="98" t="b">
        <f>COUNTIFS(stable[qno],questions[[#This Row],[qno]])=1</f>
        <v>1</v>
      </c>
      <c r="AM178" s="98" t="b">
        <f>OR(questions[[#This Row],[is_fixed]],questions[[#This Row],[is_localized]],questions[[#This Row],[is_supply_chain_dependent]])</f>
        <v>1</v>
      </c>
      <c r="AN178" s="98" t="b">
        <f>COUNTIFS(questions[[#This Row],[is_automated]:[is_multi_select]],TRUE)=1</f>
        <v>1</v>
      </c>
      <c r="AO178" s="98" t="b">
        <f>IF(questions[[#This Row],[is_fixed]],questions[[#This Row],[question]]=INDEX(stable[question],MATCH(questions[[#This Row],[qno]],stable[qno],0)),TRUE)</f>
        <v>1</v>
      </c>
      <c r="AP178" s="98" t="str">
        <f>LEFT(questions[[#This Row],[question]],similarity_range)</f>
        <v>What is the gender o</v>
      </c>
      <c r="AQ178" s="98" t="str">
        <f>LEFT(INDEX(stable[question],MATCH(questions[[#This Row],[qno]],stable[qno],0)),similarity_range)</f>
        <v>What is the gender o</v>
      </c>
      <c r="AR178" s="98" t="b">
        <f>questions[[#This Row],[question_first_characters]]=questions[[#This Row],[stability_first_characters]]</f>
        <v>1</v>
      </c>
      <c r="AS178" s="98" t="b">
        <f>IF(OR(questions[[#This Row],[is_single_select]],questions[[#This Row],[is_multi_select]]),NOT(ISBLANK(questions[[#This Row],[answer_opt_combined]])),TRUE)</f>
        <v>1</v>
      </c>
    </row>
    <row r="179" spans="1:45" s="77" customFormat="1" x14ac:dyDescent="0.25">
      <c r="A179" s="77" t="str">
        <f>_xlfn.TEXTJOIN("_",TRUE,questions[[#This Row],[origin]:[qno]])</f>
        <v>Uganda_Arabica_Sbux_2002</v>
      </c>
      <c r="B179" s="77" t="s">
        <v>511</v>
      </c>
      <c r="C179" s="77" t="s">
        <v>59</v>
      </c>
      <c r="D179" s="77" t="s">
        <v>512</v>
      </c>
      <c r="F179" s="104" t="s">
        <v>108</v>
      </c>
      <c r="G179" s="78" t="s">
        <v>109</v>
      </c>
      <c r="H179" s="9" t="str" cm="1">
        <f t="array" ref="H179">INDEX(stableR[question],MATCH(VALUE(questions[[#This Row],[qno]]),VALUE(stableR[qno]),0))</f>
        <v>What type of household is this?</v>
      </c>
      <c r="I179" s="9" t="b" cm="1">
        <f t="array" ref="I179">INDEX(stable[is_fixed],MATCH(VALUE(questions[[#This Row],[qno]]),VALUE(stable[qno]),0))</f>
        <v>1</v>
      </c>
      <c r="J179" s="9" t="b" cm="1">
        <f t="array" ref="J179">INDEX(stable[is_localized],MATCH(VALUE(questions[[#This Row],[qno]]),VALUE(stable[qno]),0))</f>
        <v>0</v>
      </c>
      <c r="K179" s="9" t="b" cm="1">
        <f t="array" ref="K179">INDEX(stable[is_supply_chain_dependent],MATCH(VALUE(questions[[#This Row],[qno]]),VALUE(stable[qno]),0))</f>
        <v>0</v>
      </c>
      <c r="L179" s="9" t="b" cm="1">
        <f t="array" ref="L179">INDEX(stable[is_mandatory],MATCH(VALUE(questions[[#This Row],[qno]]),VALUE(stable[qno]),0))</f>
        <v>1</v>
      </c>
      <c r="M179" s="9" t="b" cm="1">
        <f t="array" ref="M179">INDEX(stable[is_automated],MATCH(VALUE(questions[[#This Row],[qno]]),VALUE(stable[qno]),0))</f>
        <v>0</v>
      </c>
      <c r="N179" s="9" t="b" cm="1">
        <f t="array" ref="N179">INDEX(stable[is_free_text],MATCH(VALUE(questions[[#This Row],[qno]]),VALUE(stable[qno]),0))</f>
        <v>0</v>
      </c>
      <c r="O179" s="9" t="b" cm="1">
        <f t="array" ref="O179">INDEX(stable[is_numerical],MATCH(VALUE(questions[[#This Row],[qno]]),VALUE(stable[qno]),0))</f>
        <v>0</v>
      </c>
      <c r="P179" s="103" t="b" cm="1">
        <f t="array" ref="P179">INDEX(stable[is_single_select],MATCH(VALUE(questions[[#This Row],[qno]]),VALUE(stable[qno]),0))</f>
        <v>1</v>
      </c>
      <c r="Q179" s="77" t="b" cm="1">
        <f t="array" ref="Q179">INDEX(stable[is_multi_select],MATCH(VALUE(questions[[#This Row],[qno]]),VALUE(stable[qno]),0))</f>
        <v>0</v>
      </c>
      <c r="R179" s="77" t="b" cm="1">
        <f t="array" ref="R179">INDEX(stable[is_skip_logic],MATCH(VALUE(questions[[#This Row],[qno]]),VALUE(stable[qno]),0))</f>
        <v>0</v>
      </c>
      <c r="S179" s="77" t="str">
        <f>_xlfn.TEXTJOIN(", ",TRUE,questions[[#This Row],[ans_opt_1]:[ans_opt_14]])</f>
        <v>Male headed, Female headed, Other</v>
      </c>
      <c r="T179" s="77" t="s">
        <v>110</v>
      </c>
      <c r="U179" s="77" t="s">
        <v>111</v>
      </c>
      <c r="V179" s="77" t="s">
        <v>112</v>
      </c>
      <c r="AH179" s="98" t="b">
        <f>INDEX(stable[q_standard],MATCH(questions[[#This Row],[qno]],stable[qno],0))</f>
        <v>1</v>
      </c>
      <c r="AI179" s="98" t="b">
        <f>INDEX(stable[q_living_income],MATCH(questions[[#This Row],[qno]],stable[qno],0))</f>
        <v>0</v>
      </c>
      <c r="AJ179" s="98" t="b">
        <f>INDEX(stable[q_carbon],MATCH(questions[[#This Row],[qno]],stable[qno],0))</f>
        <v>0</v>
      </c>
      <c r="AK179" s="98" t="b">
        <f>INDEX(stable[q_regen_ag],MATCH(questions[[#This Row],[qno]],stable[qno],0))</f>
        <v>0</v>
      </c>
      <c r="AL179" s="98" t="b">
        <f>COUNTIFS(stable[qno],questions[[#This Row],[qno]])=1</f>
        <v>1</v>
      </c>
      <c r="AM179" s="98" t="b">
        <f>OR(questions[[#This Row],[is_fixed]],questions[[#This Row],[is_localized]],questions[[#This Row],[is_supply_chain_dependent]])</f>
        <v>1</v>
      </c>
      <c r="AN179" s="98" t="b">
        <f>COUNTIFS(questions[[#This Row],[is_automated]:[is_multi_select]],TRUE)=1</f>
        <v>1</v>
      </c>
      <c r="AO179" s="98" t="b">
        <f>IF(questions[[#This Row],[is_fixed]],questions[[#This Row],[question]]=INDEX(stable[question],MATCH(questions[[#This Row],[qno]],stable[qno],0)),TRUE)</f>
        <v>1</v>
      </c>
      <c r="AP179" s="98" t="str">
        <f>LEFT(questions[[#This Row],[question]],similarity_range)</f>
        <v>What type of househo</v>
      </c>
      <c r="AQ179" s="98" t="str">
        <f>LEFT(INDEX(stable[question],MATCH(questions[[#This Row],[qno]],stable[qno],0)),similarity_range)</f>
        <v>What type of househo</v>
      </c>
      <c r="AR179" s="98" t="b">
        <f>questions[[#This Row],[question_first_characters]]=questions[[#This Row],[stability_first_characters]]</f>
        <v>1</v>
      </c>
      <c r="AS179" s="98" t="b">
        <f>IF(OR(questions[[#This Row],[is_single_select]],questions[[#This Row],[is_multi_select]]),NOT(ISBLANK(questions[[#This Row],[answer_opt_combined]])),TRUE)</f>
        <v>1</v>
      </c>
    </row>
    <row r="180" spans="1:45" x14ac:dyDescent="0.25">
      <c r="A180" s="9" t="str">
        <f>_xlfn.TEXTJOIN("_",TRUE,questions[[#This Row],[origin]:[qno]])</f>
        <v>Uganda_Arabica_Sbux_2003</v>
      </c>
      <c r="B180" s="9" t="s">
        <v>511</v>
      </c>
      <c r="C180" s="9" t="s">
        <v>59</v>
      </c>
      <c r="D180" s="9" t="s">
        <v>512</v>
      </c>
      <c r="F180" s="24" t="s">
        <v>113</v>
      </c>
      <c r="G180" s="15" t="s">
        <v>114</v>
      </c>
      <c r="H180" s="9" t="str" cm="1">
        <f t="array" ref="H180">INDEX(stableR[question],MATCH(VALUE(questions[[#This Row],[qno]]),VALUE(stableR[qno]),0))</f>
        <v>How many adults live in your household, that are above 18 years (including the respondent)? (Household members are those that stay more than three months per year within the same household and that 'eat from the same pot'.)</v>
      </c>
      <c r="I180" s="9" t="b" cm="1">
        <f t="array" ref="I180">INDEX(stable[is_fixed],MATCH(VALUE(questions[[#This Row],[qno]]),VALUE(stable[qno]),0))</f>
        <v>1</v>
      </c>
      <c r="J180" s="9" t="b" cm="1">
        <f t="array" ref="J180">INDEX(stable[is_localized],MATCH(VALUE(questions[[#This Row],[qno]]),VALUE(stable[qno]),0))</f>
        <v>0</v>
      </c>
      <c r="K180" s="9" t="b" cm="1">
        <f t="array" ref="K180">INDEX(stable[is_supply_chain_dependent],MATCH(VALUE(questions[[#This Row],[qno]]),VALUE(stable[qno]),0))</f>
        <v>0</v>
      </c>
      <c r="L180" s="9" t="b" cm="1">
        <f t="array" ref="L180">INDEX(stable[is_mandatory],MATCH(VALUE(questions[[#This Row],[qno]]),VALUE(stable[qno]),0))</f>
        <v>1</v>
      </c>
      <c r="M180" s="9" t="b" cm="1">
        <f t="array" ref="M180">INDEX(stable[is_automated],MATCH(VALUE(questions[[#This Row],[qno]]),VALUE(stable[qno]),0))</f>
        <v>0</v>
      </c>
      <c r="N180" s="9" t="b" cm="1">
        <f t="array" ref="N180">INDEX(stable[is_free_text],MATCH(VALUE(questions[[#This Row],[qno]]),VALUE(stable[qno]),0))</f>
        <v>0</v>
      </c>
      <c r="O180" s="9" t="b" cm="1">
        <f t="array" ref="O180">INDEX(stable[is_numerical],MATCH(VALUE(questions[[#This Row],[qno]]),VALUE(stable[qno]),0))</f>
        <v>1</v>
      </c>
      <c r="P180" s="32" t="b" cm="1">
        <f t="array" ref="P180">INDEX(stable[is_single_select],MATCH(VALUE(questions[[#This Row],[qno]]),VALUE(stable[qno]),0))</f>
        <v>0</v>
      </c>
      <c r="Q180" s="9" t="b" cm="1">
        <f t="array" ref="Q180">INDEX(stable[is_multi_select],MATCH(VALUE(questions[[#This Row],[qno]]),VALUE(stable[qno]),0))</f>
        <v>0</v>
      </c>
      <c r="R180" s="9" t="b" cm="1">
        <f t="array" ref="R180">INDEX(stable[is_skip_logic],MATCH(VALUE(questions[[#This Row],[qno]]),VALUE(stable[qno]),0))</f>
        <v>0</v>
      </c>
      <c r="S180" s="9" t="str">
        <f>_xlfn.TEXTJOIN(", ",TRUE,questions[[#This Row],[ans_opt_1]:[ans_opt_14]])</f>
        <v/>
      </c>
      <c r="AH180" s="16" t="b">
        <f>INDEX(stable[q_standard],MATCH(questions[[#This Row],[qno]],stable[qno],0))</f>
        <v>1</v>
      </c>
      <c r="AI180" s="16" t="b">
        <f>INDEX(stable[q_living_income],MATCH(questions[[#This Row],[qno]],stable[qno],0))</f>
        <v>0</v>
      </c>
      <c r="AJ180" s="16" t="b">
        <f>INDEX(stable[q_carbon],MATCH(questions[[#This Row],[qno]],stable[qno],0))</f>
        <v>0</v>
      </c>
      <c r="AK180" s="16" t="b">
        <f>INDEX(stable[q_regen_ag],MATCH(questions[[#This Row],[qno]],stable[qno],0))</f>
        <v>0</v>
      </c>
      <c r="AL180" s="16" t="b">
        <f>COUNTIFS(stable[qno],questions[[#This Row],[qno]])=1</f>
        <v>1</v>
      </c>
      <c r="AM180" s="16" t="b">
        <f>OR(questions[[#This Row],[is_fixed]],questions[[#This Row],[is_localized]],questions[[#This Row],[is_supply_chain_dependent]])</f>
        <v>1</v>
      </c>
      <c r="AN180" s="16" t="b">
        <f>COUNTIFS(questions[[#This Row],[is_automated]:[is_multi_select]],TRUE)=1</f>
        <v>1</v>
      </c>
      <c r="AO180" s="16" t="b">
        <f>IF(questions[[#This Row],[is_fixed]],questions[[#This Row],[question]]=INDEX(stable[question],MATCH(questions[[#This Row],[qno]],stable[qno],0)),TRUE)</f>
        <v>0</v>
      </c>
      <c r="AP180" s="16" t="str">
        <f>LEFT(questions[[#This Row],[question]],similarity_range)</f>
        <v>How many adults live</v>
      </c>
      <c r="AQ180" s="16" t="str">
        <f>LEFT(INDEX(stable[question],MATCH(questions[[#This Row],[qno]],stable[qno],0)),similarity_range)</f>
        <v>How many adults live</v>
      </c>
      <c r="AR180" s="16" t="b">
        <f>questions[[#This Row],[question_first_characters]]=questions[[#This Row],[stability_first_characters]]</f>
        <v>1</v>
      </c>
      <c r="AS180" s="16" t="b">
        <f>IF(OR(questions[[#This Row],[is_single_select]],questions[[#This Row],[is_multi_select]]),NOT(ISBLANK(questions[[#This Row],[answer_opt_combined]])),TRUE)</f>
        <v>1</v>
      </c>
    </row>
    <row r="181" spans="1:45" x14ac:dyDescent="0.25">
      <c r="A181" s="9" t="str">
        <f>_xlfn.TEXTJOIN("_",TRUE,questions[[#This Row],[origin]:[qno]])</f>
        <v>Uganda_Arabica_Sbux_2004</v>
      </c>
      <c r="B181" s="9" t="s">
        <v>511</v>
      </c>
      <c r="C181" s="9" t="s">
        <v>59</v>
      </c>
      <c r="D181" s="9" t="s">
        <v>512</v>
      </c>
      <c r="F181" s="24" t="s">
        <v>115</v>
      </c>
      <c r="G181" s="15" t="s">
        <v>116</v>
      </c>
      <c r="H181" s="9" t="str" cm="1">
        <f t="array" ref="H181">INDEX(stableR[question],MATCH(VALUE(questions[[#This Row],[qno]]),VALUE(stableR[qno]),0))</f>
        <v>How many children living in your household, are below 18 years? (Household members are those that stay more than three months per year within the same household and that 'eat from the same pot.')</v>
      </c>
      <c r="I181" s="9" t="b" cm="1">
        <f t="array" ref="I181">INDEX(stable[is_fixed],MATCH(VALUE(questions[[#This Row],[qno]]),VALUE(stable[qno]),0))</f>
        <v>1</v>
      </c>
      <c r="J181" s="9" t="b" cm="1">
        <f t="array" ref="J181">INDEX(stable[is_localized],MATCH(VALUE(questions[[#This Row],[qno]]),VALUE(stable[qno]),0))</f>
        <v>0</v>
      </c>
      <c r="K181" s="9" t="b" cm="1">
        <f t="array" ref="K181">INDEX(stable[is_supply_chain_dependent],MATCH(VALUE(questions[[#This Row],[qno]]),VALUE(stable[qno]),0))</f>
        <v>0</v>
      </c>
      <c r="L181" s="9" t="b" cm="1">
        <f t="array" ref="L181">INDEX(stable[is_mandatory],MATCH(VALUE(questions[[#This Row],[qno]]),VALUE(stable[qno]),0))</f>
        <v>1</v>
      </c>
      <c r="M181" s="9" t="b" cm="1">
        <f t="array" ref="M181">INDEX(stable[is_automated],MATCH(VALUE(questions[[#This Row],[qno]]),VALUE(stable[qno]),0))</f>
        <v>0</v>
      </c>
      <c r="N181" s="9" t="b" cm="1">
        <f t="array" ref="N181">INDEX(stable[is_free_text],MATCH(VALUE(questions[[#This Row],[qno]]),VALUE(stable[qno]),0))</f>
        <v>0</v>
      </c>
      <c r="O181" s="9" t="b" cm="1">
        <f t="array" ref="O181">INDEX(stable[is_numerical],MATCH(VALUE(questions[[#This Row],[qno]]),VALUE(stable[qno]),0))</f>
        <v>1</v>
      </c>
      <c r="P181" s="32" t="b" cm="1">
        <f t="array" ref="P181">INDEX(stable[is_single_select],MATCH(VALUE(questions[[#This Row],[qno]]),VALUE(stable[qno]),0))</f>
        <v>0</v>
      </c>
      <c r="Q181" s="9" t="b" cm="1">
        <f t="array" ref="Q181">INDEX(stable[is_multi_select],MATCH(VALUE(questions[[#This Row],[qno]]),VALUE(stable[qno]),0))</f>
        <v>0</v>
      </c>
      <c r="R181" s="9" t="b" cm="1">
        <f t="array" ref="R181">INDEX(stable[is_skip_logic],MATCH(VALUE(questions[[#This Row],[qno]]),VALUE(stable[qno]),0))</f>
        <v>0</v>
      </c>
      <c r="S181" s="9" t="str">
        <f>_xlfn.TEXTJOIN(", ",TRUE,questions[[#This Row],[ans_opt_1]:[ans_opt_14]])</f>
        <v/>
      </c>
      <c r="AH181" s="16" t="b">
        <f>INDEX(stable[q_standard],MATCH(questions[[#This Row],[qno]],stable[qno],0))</f>
        <v>1</v>
      </c>
      <c r="AI181" s="16" t="b">
        <f>INDEX(stable[q_living_income],MATCH(questions[[#This Row],[qno]],stable[qno],0))</f>
        <v>0</v>
      </c>
      <c r="AJ181" s="16" t="b">
        <f>INDEX(stable[q_carbon],MATCH(questions[[#This Row],[qno]],stable[qno],0))</f>
        <v>0</v>
      </c>
      <c r="AK181" s="16" t="b">
        <f>INDEX(stable[q_regen_ag],MATCH(questions[[#This Row],[qno]],stable[qno],0))</f>
        <v>0</v>
      </c>
      <c r="AL181" s="16" t="b">
        <f>COUNTIFS(stable[qno],questions[[#This Row],[qno]])=1</f>
        <v>1</v>
      </c>
      <c r="AM181" s="16" t="b">
        <f>OR(questions[[#This Row],[is_fixed]],questions[[#This Row],[is_localized]],questions[[#This Row],[is_supply_chain_dependent]])</f>
        <v>1</v>
      </c>
      <c r="AN181" s="16" t="b">
        <f>COUNTIFS(questions[[#This Row],[is_automated]:[is_multi_select]],TRUE)=1</f>
        <v>1</v>
      </c>
      <c r="AO181" s="16" t="b">
        <f>IF(questions[[#This Row],[is_fixed]],questions[[#This Row],[question]]=INDEX(stable[question],MATCH(questions[[#This Row],[qno]],stable[qno],0)),TRUE)</f>
        <v>1</v>
      </c>
      <c r="AP181" s="16" t="str">
        <f>LEFT(questions[[#This Row],[question]],similarity_range)</f>
        <v>How many children li</v>
      </c>
      <c r="AQ181" s="16" t="str">
        <f>LEFT(INDEX(stable[question],MATCH(questions[[#This Row],[qno]],stable[qno],0)),similarity_range)</f>
        <v>How many children li</v>
      </c>
      <c r="AR181" s="16" t="b">
        <f>questions[[#This Row],[question_first_characters]]=questions[[#This Row],[stability_first_characters]]</f>
        <v>1</v>
      </c>
      <c r="AS181" s="16" t="b">
        <f>IF(OR(questions[[#This Row],[is_single_select]],questions[[#This Row],[is_multi_select]]),NOT(ISBLANK(questions[[#This Row],[answer_opt_combined]])),TRUE)</f>
        <v>1</v>
      </c>
    </row>
    <row r="182" spans="1:45" s="77" customFormat="1" x14ac:dyDescent="0.25">
      <c r="A182" s="77" t="str">
        <f>_xlfn.TEXTJOIN("_",TRUE,questions[[#This Row],[origin]:[qno]])</f>
        <v>Uganda_Arabica_Sbux_2100</v>
      </c>
      <c r="B182" s="77" t="s">
        <v>511</v>
      </c>
      <c r="C182" s="77" t="s">
        <v>59</v>
      </c>
      <c r="D182" s="77" t="s">
        <v>512</v>
      </c>
      <c r="F182" s="78" t="s">
        <v>117</v>
      </c>
      <c r="G182" s="78" t="s">
        <v>118</v>
      </c>
      <c r="H182" s="9" t="str" cm="1">
        <f t="array" ref="H182">INDEX(stableR[question],MATCH(VALUE(questions[[#This Row],[qno]]),VALUE(stableR[qno]),0))</f>
        <v>If your farm is certified, under which certification scheme(s) is it certified?</v>
      </c>
      <c r="I182" s="9" t="b" cm="1">
        <f t="array" ref="I182">INDEX(stable[is_fixed],MATCH(VALUE(questions[[#This Row],[qno]]),VALUE(stable[qno]),0))</f>
        <v>1</v>
      </c>
      <c r="J182" s="9" t="b" cm="1">
        <f t="array" ref="J182">INDEX(stable[is_localized],MATCH(VALUE(questions[[#This Row],[qno]]),VALUE(stable[qno]),0))</f>
        <v>0</v>
      </c>
      <c r="K182" s="9" t="b" cm="1">
        <f t="array" ref="K182">INDEX(stable[is_supply_chain_dependent],MATCH(VALUE(questions[[#This Row],[qno]]),VALUE(stable[qno]),0))</f>
        <v>0</v>
      </c>
      <c r="L182" s="9" t="b" cm="1">
        <f t="array" ref="L182">INDEX(stable[is_mandatory],MATCH(VALUE(questions[[#This Row],[qno]]),VALUE(stable[qno]),0))</f>
        <v>1</v>
      </c>
      <c r="M182" s="9" t="b" cm="1">
        <f t="array" ref="M182">INDEX(stable[is_automated],MATCH(VALUE(questions[[#This Row],[qno]]),VALUE(stable[qno]),0))</f>
        <v>0</v>
      </c>
      <c r="N182" s="9" t="b" cm="1">
        <f t="array" ref="N182">INDEX(stable[is_free_text],MATCH(VALUE(questions[[#This Row],[qno]]),VALUE(stable[qno]),0))</f>
        <v>0</v>
      </c>
      <c r="O182" s="9" t="b" cm="1">
        <f t="array" ref="O182">INDEX(stable[is_numerical],MATCH(VALUE(questions[[#This Row],[qno]]),VALUE(stable[qno]),0))</f>
        <v>0</v>
      </c>
      <c r="P182" s="103" t="b" cm="1">
        <f t="array" ref="P182">INDEX(stable[is_single_select],MATCH(VALUE(questions[[#This Row],[qno]]),VALUE(stable[qno]),0))</f>
        <v>0</v>
      </c>
      <c r="Q182" s="77" t="b" cm="1">
        <f t="array" ref="Q182">INDEX(stable[is_multi_select],MATCH(VALUE(questions[[#This Row],[qno]]),VALUE(stable[qno]),0))</f>
        <v>1</v>
      </c>
      <c r="R182" s="77" t="b" cm="1">
        <f t="array" ref="R182">INDEX(stable[is_skip_logic],MATCH(VALUE(questions[[#This Row],[qno]]),VALUE(stable[qno]),0))</f>
        <v>1</v>
      </c>
      <c r="S182" s="77" t="str">
        <f>_xlfn.TEXTJOIN(", ",TRUE,questions[[#This Row],[ans_opt_1]:[ans_opt_14]])</f>
        <v>No, IMPACT, 4C, Fair Trade, Rainforest Alliance, Organic, CAFÉ practices, RegenAgri, Other</v>
      </c>
      <c r="T182" s="77" t="s">
        <v>119</v>
      </c>
      <c r="U182" s="77" t="s">
        <v>120</v>
      </c>
      <c r="V182" s="77" t="s">
        <v>121</v>
      </c>
      <c r="W182" s="77" t="s">
        <v>122</v>
      </c>
      <c r="X182" s="77" t="s">
        <v>123</v>
      </c>
      <c r="Y182" s="77" t="s">
        <v>124</v>
      </c>
      <c r="Z182" s="77" t="s">
        <v>125</v>
      </c>
      <c r="AA182" s="77" t="s">
        <v>126</v>
      </c>
      <c r="AB182" s="77" t="s">
        <v>112</v>
      </c>
      <c r="AH182" s="98" t="b">
        <f>INDEX(stable[q_standard],MATCH(questions[[#This Row],[qno]],stable[qno],0))</f>
        <v>0</v>
      </c>
      <c r="AI182" s="98" t="b">
        <f>INDEX(stable[q_living_income],MATCH(questions[[#This Row],[qno]],stable[qno],0))</f>
        <v>0</v>
      </c>
      <c r="AJ182" s="98" t="b">
        <f>INDEX(stable[q_carbon],MATCH(questions[[#This Row],[qno]],stable[qno],0))</f>
        <v>0</v>
      </c>
      <c r="AK182" s="98" t="b">
        <f>INDEX(stable[q_regen_ag],MATCH(questions[[#This Row],[qno]],stable[qno],0))</f>
        <v>1</v>
      </c>
      <c r="AL182" s="98" t="b">
        <f>COUNTIFS(stable[qno],questions[[#This Row],[qno]])=1</f>
        <v>1</v>
      </c>
      <c r="AM182" s="98" t="b">
        <f>OR(questions[[#This Row],[is_fixed]],questions[[#This Row],[is_localized]],questions[[#This Row],[is_supply_chain_dependent]])</f>
        <v>1</v>
      </c>
      <c r="AN182" s="98" t="b">
        <f>COUNTIFS(questions[[#This Row],[is_automated]:[is_multi_select]],TRUE)=1</f>
        <v>1</v>
      </c>
      <c r="AO182" s="98" t="b">
        <f>IF(questions[[#This Row],[is_fixed]],questions[[#This Row],[question]]=INDEX(stable[question],MATCH(questions[[#This Row],[qno]],stable[qno],0)),TRUE)</f>
        <v>1</v>
      </c>
      <c r="AP182" s="98" t="str">
        <f>LEFT(questions[[#This Row],[question]],similarity_range)</f>
        <v>Is your farm certifi</v>
      </c>
      <c r="AQ182" s="98" t="str">
        <f>LEFT(INDEX(stable[question],MATCH(questions[[#This Row],[qno]],stable[qno],0)),similarity_range)</f>
        <v>Is your farm certifi</v>
      </c>
      <c r="AR182" s="98" t="b">
        <f>questions[[#This Row],[question_first_characters]]=questions[[#This Row],[stability_first_characters]]</f>
        <v>1</v>
      </c>
      <c r="AS182" s="98" t="b">
        <f>IF(OR(questions[[#This Row],[is_single_select]],questions[[#This Row],[is_multi_select]]),NOT(ISBLANK(questions[[#This Row],[answer_opt_combined]])),TRUE)</f>
        <v>1</v>
      </c>
    </row>
    <row r="183" spans="1:45" s="77" customFormat="1" x14ac:dyDescent="0.25">
      <c r="A183" s="77" t="str">
        <f>_xlfn.TEXTJOIN("_",TRUE,questions[[#This Row],[origin]:[qno]])</f>
        <v>Uganda_Arabica_Sbux_2101</v>
      </c>
      <c r="B183" s="77" t="s">
        <v>511</v>
      </c>
      <c r="C183" s="77" t="s">
        <v>59</v>
      </c>
      <c r="D183" s="77" t="s">
        <v>512</v>
      </c>
      <c r="F183" s="104" t="s">
        <v>127</v>
      </c>
      <c r="G183" s="78" t="s">
        <v>128</v>
      </c>
      <c r="H183" s="9" t="str" cm="1">
        <f t="array" ref="H183">INDEX(stableR[question],MATCH(VALUE(questions[[#This Row],[qno]]),VALUE(stableR[qno]),0))</f>
        <v>If yes, since when have you been certified? (In case you are part of multiple certification schemes, consider the one that you are in longest.)</v>
      </c>
      <c r="I183" s="9" t="b" cm="1">
        <f t="array" ref="I183">INDEX(stable[is_fixed],MATCH(VALUE(questions[[#This Row],[qno]]),VALUE(stable[qno]),0))</f>
        <v>1</v>
      </c>
      <c r="J183" s="9" t="b" cm="1">
        <f t="array" ref="J183">INDEX(stable[is_localized],MATCH(VALUE(questions[[#This Row],[qno]]),VALUE(stable[qno]),0))</f>
        <v>0</v>
      </c>
      <c r="K183" s="9" t="b" cm="1">
        <f t="array" ref="K183">INDEX(stable[is_supply_chain_dependent],MATCH(VALUE(questions[[#This Row],[qno]]),VALUE(stable[qno]),0))</f>
        <v>0</v>
      </c>
      <c r="L183" s="9" t="b" cm="1">
        <f t="array" ref="L183">INDEX(stable[is_mandatory],MATCH(VALUE(questions[[#This Row],[qno]]),VALUE(stable[qno]),0))</f>
        <v>0</v>
      </c>
      <c r="M183" s="9" t="b" cm="1">
        <f t="array" ref="M183">INDEX(stable[is_automated],MATCH(VALUE(questions[[#This Row],[qno]]),VALUE(stable[qno]),0))</f>
        <v>0</v>
      </c>
      <c r="N183" s="9" t="b" cm="1">
        <f t="array" ref="N183">INDEX(stable[is_free_text],MATCH(VALUE(questions[[#This Row],[qno]]),VALUE(stable[qno]),0))</f>
        <v>0</v>
      </c>
      <c r="O183" s="9" t="b" cm="1">
        <f t="array" ref="O183">INDEX(stable[is_numerical],MATCH(VALUE(questions[[#This Row],[qno]]),VALUE(stable[qno]),0))</f>
        <v>0</v>
      </c>
      <c r="P183" s="103" t="b" cm="1">
        <f t="array" ref="P183">INDEX(stable[is_single_select],MATCH(VALUE(questions[[#This Row],[qno]]),VALUE(stable[qno]),0))</f>
        <v>1</v>
      </c>
      <c r="Q183" s="77" t="b" cm="1">
        <f t="array" ref="Q183">INDEX(stable[is_multi_select],MATCH(VALUE(questions[[#This Row],[qno]]),VALUE(stable[qno]),0))</f>
        <v>0</v>
      </c>
      <c r="R183" s="77" t="b" cm="1">
        <f t="array" ref="R183">INDEX(stable[is_skip_logic],MATCH(VALUE(questions[[#This Row],[qno]]),VALUE(stable[qno]),0))</f>
        <v>1</v>
      </c>
      <c r="S183" s="77" t="str">
        <f>_xlfn.TEXTJOIN(", ",TRUE,questions[[#This Row],[ans_opt_1]:[ans_opt_14]])</f>
        <v>1-2 years, 3-4 years, &gt;=5 years</v>
      </c>
      <c r="T183" s="77" t="s">
        <v>129</v>
      </c>
      <c r="U183" s="77" t="s">
        <v>130</v>
      </c>
      <c r="V183" s="77" t="s">
        <v>131</v>
      </c>
      <c r="AH183" s="98" t="b">
        <f>INDEX(stable[q_standard],MATCH(questions[[#This Row],[qno]],stable[qno],0))</f>
        <v>0</v>
      </c>
      <c r="AI183" s="98" t="b">
        <f>INDEX(stable[q_living_income],MATCH(questions[[#This Row],[qno]],stable[qno],0))</f>
        <v>0</v>
      </c>
      <c r="AJ183" s="98" t="b">
        <f>INDEX(stable[q_carbon],MATCH(questions[[#This Row],[qno]],stable[qno],0))</f>
        <v>0</v>
      </c>
      <c r="AK183" s="98" t="b">
        <f>INDEX(stable[q_regen_ag],MATCH(questions[[#This Row],[qno]],stable[qno],0))</f>
        <v>1</v>
      </c>
      <c r="AL183" s="98" t="b">
        <f>COUNTIFS(stable[qno],questions[[#This Row],[qno]])=1</f>
        <v>1</v>
      </c>
      <c r="AM183" s="98" t="b">
        <f>OR(questions[[#This Row],[is_fixed]],questions[[#This Row],[is_localized]],questions[[#This Row],[is_supply_chain_dependent]])</f>
        <v>1</v>
      </c>
      <c r="AN183" s="98" t="b">
        <f>COUNTIFS(questions[[#This Row],[is_automated]:[is_multi_select]],TRUE)=1</f>
        <v>1</v>
      </c>
      <c r="AO183" s="98" t="b">
        <f>IF(questions[[#This Row],[is_fixed]],questions[[#This Row],[question]]=INDEX(stable[question],MATCH(questions[[#This Row],[qno]],stable[qno],0)),TRUE)</f>
        <v>0</v>
      </c>
      <c r="AP183" s="98" t="str">
        <f>LEFT(questions[[#This Row],[question]],similarity_range)</f>
        <v>If yes, since when h</v>
      </c>
      <c r="AQ183" s="98" t="str">
        <f>LEFT(INDEX(stable[question],MATCH(questions[[#This Row],[qno]],stable[qno],0)),similarity_range)</f>
        <v>If yes, since when h</v>
      </c>
      <c r="AR183" s="98" t="b">
        <f>questions[[#This Row],[question_first_characters]]=questions[[#This Row],[stability_first_characters]]</f>
        <v>1</v>
      </c>
      <c r="AS183" s="98" t="b">
        <f>IF(OR(questions[[#This Row],[is_single_select]],questions[[#This Row],[is_multi_select]]),NOT(ISBLANK(questions[[#This Row],[answer_opt_combined]])),TRUE)</f>
        <v>1</v>
      </c>
    </row>
    <row r="184" spans="1:45" s="77" customFormat="1" x14ac:dyDescent="0.25">
      <c r="A184" s="77" t="str">
        <f>_xlfn.TEXTJOIN("_",TRUE,questions[[#This Row],[origin]:[qno]])</f>
        <v>Uganda_Arabica_Sbux_2200</v>
      </c>
      <c r="B184" s="77" t="s">
        <v>511</v>
      </c>
      <c r="C184" s="77" t="s">
        <v>59</v>
      </c>
      <c r="D184" s="77" t="s">
        <v>512</v>
      </c>
      <c r="F184" s="104" t="s">
        <v>132</v>
      </c>
      <c r="G184" s="77" t="s">
        <v>133</v>
      </c>
      <c r="H184" s="9" t="str" cm="1">
        <f t="array" ref="H184">INDEX(stableR[question],MATCH(VALUE(questions[[#This Row],[qno]]),VALUE(stableR[qno]),0))</f>
        <v>What is the name of the Sucafina coffee collection point you delivered your coffee to (e.g. name of  washing station/hulling station/cooperative/ intermediary), or which one is closest to you?</v>
      </c>
      <c r="I184" s="9" t="b" cm="1">
        <f t="array" ref="I184">INDEX(stable[is_fixed],MATCH(VALUE(questions[[#This Row],[qno]]),VALUE(stable[qno]),0))</f>
        <v>0</v>
      </c>
      <c r="J184" s="9" t="b" cm="1">
        <f t="array" ref="J184">INDEX(stable[is_localized],MATCH(VALUE(questions[[#This Row],[qno]]),VALUE(stable[qno]),0))</f>
        <v>1</v>
      </c>
      <c r="K184" s="9" t="b" cm="1">
        <f t="array" ref="K184">INDEX(stable[is_supply_chain_dependent],MATCH(VALUE(questions[[#This Row],[qno]]),VALUE(stable[qno]),0))</f>
        <v>0</v>
      </c>
      <c r="L184" s="9" t="b" cm="1">
        <f t="array" ref="L184">INDEX(stable[is_mandatory],MATCH(VALUE(questions[[#This Row],[qno]]),VALUE(stable[qno]),0))</f>
        <v>1</v>
      </c>
      <c r="M184" s="9" t="b" cm="1">
        <f t="array" ref="M184">INDEX(stable[is_automated],MATCH(VALUE(questions[[#This Row],[qno]]),VALUE(stable[qno]),0))</f>
        <v>0</v>
      </c>
      <c r="N184" s="9" t="b" cm="1">
        <f t="array" ref="N184">INDEX(stable[is_free_text],MATCH(VALUE(questions[[#This Row],[qno]]),VALUE(stable[qno]),0))</f>
        <v>0</v>
      </c>
      <c r="O184" s="9" t="b" cm="1">
        <f t="array" ref="O184">INDEX(stable[is_numerical],MATCH(VALUE(questions[[#This Row],[qno]]),VALUE(stable[qno]),0))</f>
        <v>0</v>
      </c>
      <c r="P184" s="103" t="b" cm="1">
        <f t="array" ref="P184">INDEX(stable[is_single_select],MATCH(VALUE(questions[[#This Row],[qno]]),VALUE(stable[qno]),0))</f>
        <v>1</v>
      </c>
      <c r="Q184" s="77" t="b" cm="1">
        <f t="array" ref="Q184">INDEX(stable[is_multi_select],MATCH(VALUE(questions[[#This Row],[qno]]),VALUE(stable[qno]),0))</f>
        <v>0</v>
      </c>
      <c r="R184" s="77" t="b" cm="1">
        <f t="array" ref="R184">INDEX(stable[is_skip_logic],MATCH(VALUE(questions[[#This Row],[qno]]),VALUE(stable[qno]),0))</f>
        <v>0</v>
      </c>
      <c r="S184" s="77" t="str">
        <f>_xlfn.TEXTJOIN(", ",TRUE,questions[[#This Row],[ans_opt_1]:[ans_opt_14]])</f>
        <v>Mubuku, Katerera, Nyabubare, Katete, Kisiizi, Bunyangabu</v>
      </c>
      <c r="T184" s="77" t="s">
        <v>514</v>
      </c>
      <c r="U184" s="77" t="s">
        <v>515</v>
      </c>
      <c r="V184" s="77" t="s">
        <v>516</v>
      </c>
      <c r="W184" s="77" t="s">
        <v>517</v>
      </c>
      <c r="X184" s="77" t="s">
        <v>518</v>
      </c>
      <c r="Y184" s="77" t="s">
        <v>519</v>
      </c>
      <c r="AH184" s="98" t="b">
        <f>INDEX(stable[q_standard],MATCH(questions[[#This Row],[qno]],stable[qno],0))</f>
        <v>1</v>
      </c>
      <c r="AI184" s="98" t="b">
        <f>INDEX(stable[q_living_income],MATCH(questions[[#This Row],[qno]],stable[qno],0))</f>
        <v>0</v>
      </c>
      <c r="AJ184" s="98" t="b">
        <f>INDEX(stable[q_carbon],MATCH(questions[[#This Row],[qno]],stable[qno],0))</f>
        <v>0</v>
      </c>
      <c r="AK184" s="98" t="b">
        <f>INDEX(stable[q_regen_ag],MATCH(questions[[#This Row],[qno]],stable[qno],0))</f>
        <v>0</v>
      </c>
      <c r="AL184" s="98" t="b">
        <f>COUNTIFS(stable[qno],questions[[#This Row],[qno]])=1</f>
        <v>1</v>
      </c>
      <c r="AM184" s="98" t="b">
        <f>OR(questions[[#This Row],[is_fixed]],questions[[#This Row],[is_localized]],questions[[#This Row],[is_supply_chain_dependent]])</f>
        <v>1</v>
      </c>
      <c r="AN184" s="98" t="b">
        <f>COUNTIFS(questions[[#This Row],[is_automated]:[is_multi_select]],TRUE)=1</f>
        <v>1</v>
      </c>
      <c r="AO184" s="98" t="b">
        <f>IF(questions[[#This Row],[is_fixed]],questions[[#This Row],[question]]=INDEX(stable[question],MATCH(questions[[#This Row],[qno]],stable[qno],0)),TRUE)</f>
        <v>1</v>
      </c>
      <c r="AP184" s="98" t="str">
        <f>LEFT(questions[[#This Row],[question]],similarity_range)</f>
        <v>To which Sucafina wa</v>
      </c>
      <c r="AQ184" s="98" t="str">
        <f>LEFT(INDEX(stable[question],MATCH(questions[[#This Row],[qno]],stable[qno],0)),similarity_range)</f>
        <v>To which Sucafina wa</v>
      </c>
      <c r="AR184" s="98" t="b">
        <f>questions[[#This Row],[question_first_characters]]=questions[[#This Row],[stability_first_characters]]</f>
        <v>1</v>
      </c>
      <c r="AS184" s="98" t="b">
        <f>IF(OR(questions[[#This Row],[is_single_select]],questions[[#This Row],[is_multi_select]]),NOT(ISBLANK(questions[[#This Row],[answer_opt_combined]])),TRUE)</f>
        <v>1</v>
      </c>
    </row>
    <row r="185" spans="1:45" s="77" customFormat="1" x14ac:dyDescent="0.25">
      <c r="A185" s="77" t="str">
        <f>_xlfn.TEXTJOIN("_",TRUE,questions[[#This Row],[origin]:[qno]])</f>
        <v>Uganda_Arabica_Sbux_3000</v>
      </c>
      <c r="B185" s="77" t="s">
        <v>511</v>
      </c>
      <c r="C185" s="77" t="s">
        <v>59</v>
      </c>
      <c r="D185" s="77" t="s">
        <v>512</v>
      </c>
      <c r="F185" s="104" t="s">
        <v>520</v>
      </c>
      <c r="G185" s="78" t="s">
        <v>521</v>
      </c>
      <c r="H185" s="9" t="str" cm="1">
        <f t="array" ref="H185">INDEX(stableR[question],MATCH(VALUE(questions[[#This Row],[qno]]),VALUE(stableR[qno]),0))</f>
        <v>What were the types of coffee that you sold last year?</v>
      </c>
      <c r="I185" s="9" t="b" cm="1">
        <f t="array" ref="I185">INDEX(stable[is_fixed],MATCH(VALUE(questions[[#This Row],[qno]]),VALUE(stable[qno]),0))</f>
        <v>0</v>
      </c>
      <c r="J185" s="9" t="b" cm="1">
        <f t="array" ref="J185">INDEX(stable[is_localized],MATCH(VALUE(questions[[#This Row],[qno]]),VALUE(stable[qno]),0))</f>
        <v>1</v>
      </c>
      <c r="K185" s="9" t="b" cm="1">
        <f t="array" ref="K185">INDEX(stable[is_supply_chain_dependent],MATCH(VALUE(questions[[#This Row],[qno]]),VALUE(stable[qno]),0))</f>
        <v>0</v>
      </c>
      <c r="L185" s="9" t="b" cm="1">
        <f t="array" ref="L185">INDEX(stable[is_mandatory],MATCH(VALUE(questions[[#This Row],[qno]]),VALUE(stable[qno]),0))</f>
        <v>0</v>
      </c>
      <c r="M185" s="9" t="b" cm="1">
        <f t="array" ref="M185">INDEX(stable[is_automated],MATCH(VALUE(questions[[#This Row],[qno]]),VALUE(stable[qno]),0))</f>
        <v>0</v>
      </c>
      <c r="N185" s="9" t="b" cm="1">
        <f t="array" ref="N185">INDEX(stable[is_free_text],MATCH(VALUE(questions[[#This Row],[qno]]),VALUE(stable[qno]),0))</f>
        <v>0</v>
      </c>
      <c r="O185" s="9" t="b" cm="1">
        <f t="array" ref="O185">INDEX(stable[is_numerical],MATCH(VALUE(questions[[#This Row],[qno]]),VALUE(stable[qno]),0))</f>
        <v>0</v>
      </c>
      <c r="P185" s="103" t="b" cm="1">
        <f t="array" ref="P185">INDEX(stable[is_single_select],MATCH(VALUE(questions[[#This Row],[qno]]),VALUE(stable[qno]),0))</f>
        <v>0</v>
      </c>
      <c r="Q185" s="77" t="b" cm="1">
        <f t="array" ref="Q185">INDEX(stable[is_multi_select],MATCH(VALUE(questions[[#This Row],[qno]]),VALUE(stable[qno]),0))</f>
        <v>1</v>
      </c>
      <c r="R185" s="77" t="b" cm="1">
        <f t="array" ref="R185">INDEX(stable[is_skip_logic],MATCH(VALUE(questions[[#This Row],[qno]]),VALUE(stable[qno]),0))</f>
        <v>0</v>
      </c>
      <c r="S185" s="77" t="str">
        <f>_xlfn.TEXTJOIN(", ",TRUE,questions[[#This Row],[ans_opt_1]:[ans_opt_14]])</f>
        <v>Fresh cherries, Dried cherries, Fresh cherries, Hulled beans, Green beans</v>
      </c>
      <c r="T185" s="77" t="s">
        <v>522</v>
      </c>
      <c r="U185" s="77" t="s">
        <v>523</v>
      </c>
      <c r="V185" s="77" t="s">
        <v>522</v>
      </c>
      <c r="W185" s="77" t="s">
        <v>524</v>
      </c>
      <c r="X185" s="77" t="s">
        <v>525</v>
      </c>
      <c r="AH185" s="98" t="b">
        <f>INDEX(stable[q_standard],MATCH(questions[[#This Row],[qno]],stable[qno],0))</f>
        <v>0</v>
      </c>
      <c r="AI185" s="98" t="b">
        <f>INDEX(stable[q_living_income],MATCH(questions[[#This Row],[qno]],stable[qno],0))</f>
        <v>1</v>
      </c>
      <c r="AJ185" s="98" t="b">
        <f>INDEX(stable[q_carbon],MATCH(questions[[#This Row],[qno]],stable[qno],0))</f>
        <v>1</v>
      </c>
      <c r="AK185" s="98" t="b">
        <f>INDEX(stable[q_regen_ag],MATCH(questions[[#This Row],[qno]],stable[qno],0))</f>
        <v>1</v>
      </c>
      <c r="AL185" s="98" t="b">
        <f>COUNTIFS(stable[qno],questions[[#This Row],[qno]])=1</f>
        <v>1</v>
      </c>
      <c r="AM185" s="98" t="b">
        <f>OR(questions[[#This Row],[is_fixed]],questions[[#This Row],[is_localized]],questions[[#This Row],[is_supply_chain_dependent]])</f>
        <v>1</v>
      </c>
      <c r="AN185" s="98" t="b">
        <f>COUNTIFS(questions[[#This Row],[is_automated]:[is_multi_select]],TRUE)=1</f>
        <v>1</v>
      </c>
      <c r="AO185" s="98" t="b">
        <f>IF(questions[[#This Row],[is_fixed]],questions[[#This Row],[question]]=INDEX(stable[question],MATCH(questions[[#This Row],[qno]],stable[qno],0)),TRUE)</f>
        <v>1</v>
      </c>
      <c r="AP185" s="98" t="str">
        <f>LEFT(questions[[#This Row],[question]],similarity_range)</f>
        <v xml:space="preserve">What were the types </v>
      </c>
      <c r="AQ185" s="98" t="str">
        <f>LEFT(INDEX(stable[question],MATCH(questions[[#This Row],[qno]],stable[qno],0)),similarity_range)</f>
        <v xml:space="preserve">What were the types </v>
      </c>
      <c r="AR185" s="98" t="b">
        <f>questions[[#This Row],[question_first_characters]]=questions[[#This Row],[stability_first_characters]]</f>
        <v>1</v>
      </c>
      <c r="AS185" s="98" t="b">
        <f>IF(OR(questions[[#This Row],[is_single_select]],questions[[#This Row],[is_multi_select]]),NOT(ISBLANK(questions[[#This Row],[answer_opt_combined]])),TRUE)</f>
        <v>1</v>
      </c>
    </row>
    <row r="186" spans="1:45" x14ac:dyDescent="0.25">
      <c r="A186" s="9" t="str">
        <f>_xlfn.TEXTJOIN("_",TRUE,questions[[#This Row],[origin]:[qno]])</f>
        <v>Uganda_Arabica_Sbux_3100</v>
      </c>
      <c r="B186" s="9" t="s">
        <v>511</v>
      </c>
      <c r="C186" s="9" t="s">
        <v>59</v>
      </c>
      <c r="D186" s="9" t="s">
        <v>512</v>
      </c>
      <c r="F186" s="24" t="s">
        <v>526</v>
      </c>
      <c r="G186" s="15" t="s">
        <v>527</v>
      </c>
      <c r="H186" s="9" t="str" cm="1">
        <f t="array" ref="H186">INDEX(stableR[question],MATCH(VALUE(questions[[#This Row],[qno]]),VALUE(stableR[qno]),0))</f>
        <v>How many kilograms of fresh cherries did you sell during the fly season?</v>
      </c>
      <c r="I186" s="9" t="b" cm="1">
        <f t="array" ref="I186">INDEX(stable[is_fixed],MATCH(VALUE(questions[[#This Row],[qno]]),VALUE(stable[qno]),0))</f>
        <v>0</v>
      </c>
      <c r="J186" s="9" t="b" cm="1">
        <f t="array" ref="J186">INDEX(stable[is_localized],MATCH(VALUE(questions[[#This Row],[qno]]),VALUE(stable[qno]),0))</f>
        <v>1</v>
      </c>
      <c r="K186" s="9" t="b" cm="1">
        <f t="array" ref="K186">INDEX(stable[is_supply_chain_dependent],MATCH(VALUE(questions[[#This Row],[qno]]),VALUE(stable[qno]),0))</f>
        <v>0</v>
      </c>
      <c r="L186" s="9" t="b" cm="1">
        <f t="array" ref="L186">INDEX(stable[is_mandatory],MATCH(VALUE(questions[[#This Row],[qno]]),VALUE(stable[qno]),0))</f>
        <v>0</v>
      </c>
      <c r="M186" s="9" t="b" cm="1">
        <f t="array" ref="M186">INDEX(stable[is_automated],MATCH(VALUE(questions[[#This Row],[qno]]),VALUE(stable[qno]),0))</f>
        <v>0</v>
      </c>
      <c r="N186" s="9" t="b" cm="1">
        <f t="array" ref="N186">INDEX(stable[is_free_text],MATCH(VALUE(questions[[#This Row],[qno]]),VALUE(stable[qno]),0))</f>
        <v>0</v>
      </c>
      <c r="O186" s="9" t="b" cm="1">
        <f t="array" ref="O186">INDEX(stable[is_numerical],MATCH(VALUE(questions[[#This Row],[qno]]),VALUE(stable[qno]),0))</f>
        <v>1</v>
      </c>
      <c r="P186" s="32" t="b" cm="1">
        <f t="array" ref="P186">INDEX(stable[is_single_select],MATCH(VALUE(questions[[#This Row],[qno]]),VALUE(stable[qno]),0))</f>
        <v>0</v>
      </c>
      <c r="Q186" s="9" t="b" cm="1">
        <f t="array" ref="Q186">INDEX(stable[is_multi_select],MATCH(VALUE(questions[[#This Row],[qno]]),VALUE(stable[qno]),0))</f>
        <v>0</v>
      </c>
      <c r="R186" s="9" t="b" cm="1">
        <f t="array" ref="R186">INDEX(stable[is_skip_logic],MATCH(VALUE(questions[[#This Row],[qno]]),VALUE(stable[qno]),0))</f>
        <v>0</v>
      </c>
      <c r="S186" s="9" t="str">
        <f>_xlfn.TEXTJOIN(", ",TRUE,questions[[#This Row],[ans_opt_1]:[ans_opt_14]])</f>
        <v/>
      </c>
      <c r="AH186" s="16" t="b">
        <f>INDEX(stable[q_standard],MATCH(questions[[#This Row],[qno]],stable[qno],0))</f>
        <v>0</v>
      </c>
      <c r="AI186" s="16" t="b">
        <f>INDEX(stable[q_living_income],MATCH(questions[[#This Row],[qno]],stable[qno],0))</f>
        <v>1</v>
      </c>
      <c r="AJ186" s="16" t="b">
        <f>INDEX(stable[q_carbon],MATCH(questions[[#This Row],[qno]],stable[qno],0))</f>
        <v>1</v>
      </c>
      <c r="AK186" s="16" t="b">
        <f>INDEX(stable[q_regen_ag],MATCH(questions[[#This Row],[qno]],stable[qno],0))</f>
        <v>1</v>
      </c>
      <c r="AL186" s="16" t="b">
        <f>COUNTIFS(stable[qno],questions[[#This Row],[qno]])=1</f>
        <v>1</v>
      </c>
      <c r="AM186" s="16" t="b">
        <f>OR(questions[[#This Row],[is_fixed]],questions[[#This Row],[is_localized]],questions[[#This Row],[is_supply_chain_dependent]])</f>
        <v>1</v>
      </c>
      <c r="AN186" s="16" t="b">
        <f>COUNTIFS(questions[[#This Row],[is_automated]:[is_multi_select]],TRUE)=1</f>
        <v>1</v>
      </c>
      <c r="AO186" s="16" t="b">
        <f>IF(questions[[#This Row],[is_fixed]],questions[[#This Row],[question]]=INDEX(stable[question],MATCH(questions[[#This Row],[qno]],stable[qno],0)),TRUE)</f>
        <v>1</v>
      </c>
      <c r="AP186" s="16" t="str">
        <f>LEFT(questions[[#This Row],[question]],similarity_range)</f>
        <v>How many kilograms o</v>
      </c>
      <c r="AQ186" s="16" t="str">
        <f>LEFT(INDEX(stable[question],MATCH(questions[[#This Row],[qno]],stable[qno],0)),similarity_range)</f>
        <v>How many kilograms o</v>
      </c>
      <c r="AR186" s="16" t="b">
        <f>questions[[#This Row],[question_first_characters]]=questions[[#This Row],[stability_first_characters]]</f>
        <v>1</v>
      </c>
      <c r="AS186" s="16" t="b">
        <f>IF(OR(questions[[#This Row],[is_single_select]],questions[[#This Row],[is_multi_select]]),NOT(ISBLANK(questions[[#This Row],[answer_opt_combined]])),TRUE)</f>
        <v>1</v>
      </c>
    </row>
    <row r="187" spans="1:45" x14ac:dyDescent="0.25">
      <c r="A187" s="9" t="str">
        <f>_xlfn.TEXTJOIN("_",TRUE,questions[[#This Row],[origin]:[qno]])</f>
        <v>Uganda_Arabica_Sbux_3101</v>
      </c>
      <c r="B187" s="9" t="s">
        <v>511</v>
      </c>
      <c r="C187" s="9" t="s">
        <v>59</v>
      </c>
      <c r="D187" s="9" t="s">
        <v>512</v>
      </c>
      <c r="F187" s="24" t="s">
        <v>528</v>
      </c>
      <c r="G187" s="15" t="s">
        <v>529</v>
      </c>
      <c r="H187" s="9" t="str" cm="1">
        <f t="array" ref="H187">INDEX(stableR[question],MATCH(VALUE(questions[[#This Row],[qno]]),VALUE(stableR[qno]),0))</f>
        <v>What was the most common price per kilogram that you received for the fresh cherries harvested in the fly season? (in local currency)</v>
      </c>
      <c r="I187" s="9" t="b" cm="1">
        <f t="array" ref="I187">INDEX(stable[is_fixed],MATCH(VALUE(questions[[#This Row],[qno]]),VALUE(stable[qno]),0))</f>
        <v>0</v>
      </c>
      <c r="J187" s="9" t="b" cm="1">
        <f t="array" ref="J187">INDEX(stable[is_localized],MATCH(VALUE(questions[[#This Row],[qno]]),VALUE(stable[qno]),0))</f>
        <v>1</v>
      </c>
      <c r="K187" s="9" t="b" cm="1">
        <f t="array" ref="K187">INDEX(stable[is_supply_chain_dependent],MATCH(VALUE(questions[[#This Row],[qno]]),VALUE(stable[qno]),0))</f>
        <v>0</v>
      </c>
      <c r="L187" s="9" t="b" cm="1">
        <f t="array" ref="L187">INDEX(stable[is_mandatory],MATCH(VALUE(questions[[#This Row],[qno]]),VALUE(stable[qno]),0))</f>
        <v>0</v>
      </c>
      <c r="M187" s="9" t="b" cm="1">
        <f t="array" ref="M187">INDEX(stable[is_automated],MATCH(VALUE(questions[[#This Row],[qno]]),VALUE(stable[qno]),0))</f>
        <v>0</v>
      </c>
      <c r="N187" s="9" t="b" cm="1">
        <f t="array" ref="N187">INDEX(stable[is_free_text],MATCH(VALUE(questions[[#This Row],[qno]]),VALUE(stable[qno]),0))</f>
        <v>0</v>
      </c>
      <c r="O187" s="9" t="b" cm="1">
        <f t="array" ref="O187">INDEX(stable[is_numerical],MATCH(VALUE(questions[[#This Row],[qno]]),VALUE(stable[qno]),0))</f>
        <v>1</v>
      </c>
      <c r="P187" s="32" t="b" cm="1">
        <f t="array" ref="P187">INDEX(stable[is_single_select],MATCH(VALUE(questions[[#This Row],[qno]]),VALUE(stable[qno]),0))</f>
        <v>0</v>
      </c>
      <c r="Q187" s="9" t="b" cm="1">
        <f t="array" ref="Q187">INDEX(stable[is_multi_select],MATCH(VALUE(questions[[#This Row],[qno]]),VALUE(stable[qno]),0))</f>
        <v>0</v>
      </c>
      <c r="R187" s="9" t="b" cm="1">
        <f t="array" ref="R187">INDEX(stable[is_skip_logic],MATCH(VALUE(questions[[#This Row],[qno]]),VALUE(stable[qno]),0))</f>
        <v>0</v>
      </c>
      <c r="S187" s="9" t="str">
        <f>_xlfn.TEXTJOIN(", ",TRUE,questions[[#This Row],[ans_opt_1]:[ans_opt_14]])</f>
        <v/>
      </c>
      <c r="AH187" s="16" t="b">
        <f>INDEX(stable[q_standard],MATCH(questions[[#This Row],[qno]],stable[qno],0))</f>
        <v>0</v>
      </c>
      <c r="AI187" s="16" t="b">
        <f>INDEX(stable[q_living_income],MATCH(questions[[#This Row],[qno]],stable[qno],0))</f>
        <v>1</v>
      </c>
      <c r="AJ187" s="16" t="b">
        <f>INDEX(stable[q_carbon],MATCH(questions[[#This Row],[qno]],stable[qno],0))</f>
        <v>0</v>
      </c>
      <c r="AK187" s="16" t="b">
        <f>INDEX(stable[q_regen_ag],MATCH(questions[[#This Row],[qno]],stable[qno],0))</f>
        <v>0</v>
      </c>
      <c r="AL187" s="16" t="b">
        <f>COUNTIFS(stable[qno],questions[[#This Row],[qno]])=1</f>
        <v>1</v>
      </c>
      <c r="AM187" s="16" t="b">
        <f>OR(questions[[#This Row],[is_fixed]],questions[[#This Row],[is_localized]],questions[[#This Row],[is_supply_chain_dependent]])</f>
        <v>1</v>
      </c>
      <c r="AN187" s="16" t="b">
        <f>COUNTIFS(questions[[#This Row],[is_automated]:[is_multi_select]],TRUE)=1</f>
        <v>1</v>
      </c>
      <c r="AO187" s="16" t="b">
        <f>IF(questions[[#This Row],[is_fixed]],questions[[#This Row],[question]]=INDEX(stable[question],MATCH(questions[[#This Row],[qno]],stable[qno],0)),TRUE)</f>
        <v>1</v>
      </c>
      <c r="AP187" s="16" t="str">
        <f>LEFT(questions[[#This Row],[question]],similarity_range)</f>
        <v>What was the most co</v>
      </c>
      <c r="AQ187" s="16" t="str">
        <f>LEFT(INDEX(stable[question],MATCH(questions[[#This Row],[qno]],stable[qno],0)),similarity_range)</f>
        <v>What was the most co</v>
      </c>
      <c r="AR187" s="16" t="b">
        <f>questions[[#This Row],[question_first_characters]]=questions[[#This Row],[stability_first_characters]]</f>
        <v>1</v>
      </c>
      <c r="AS187" s="16" t="b">
        <f>IF(OR(questions[[#This Row],[is_single_select]],questions[[#This Row],[is_multi_select]]),NOT(ISBLANK(questions[[#This Row],[answer_opt_combined]])),TRUE)</f>
        <v>1</v>
      </c>
    </row>
    <row r="188" spans="1:45" x14ac:dyDescent="0.25">
      <c r="A188" s="9" t="str">
        <f>_xlfn.TEXTJOIN("_",TRUE,questions[[#This Row],[origin]:[qno]])</f>
        <v>Uganda_Arabica_Sbux_3110</v>
      </c>
      <c r="B188" s="9" t="s">
        <v>511</v>
      </c>
      <c r="C188" s="9" t="s">
        <v>59</v>
      </c>
      <c r="D188" s="9" t="s">
        <v>512</v>
      </c>
      <c r="F188" s="24" t="s">
        <v>530</v>
      </c>
      <c r="G188" s="15" t="s">
        <v>531</v>
      </c>
      <c r="H188" s="9" t="str" cm="1">
        <f t="array" ref="H188">INDEX(stableR[question],MATCH(VALUE(questions[[#This Row],[qno]]),VALUE(stableR[qno]),0))</f>
        <v>How many kilograms of hulled beans did you sell during the fly season?</v>
      </c>
      <c r="I188" s="9" t="b" cm="1">
        <f t="array" ref="I188">INDEX(stable[is_fixed],MATCH(VALUE(questions[[#This Row],[qno]]),VALUE(stable[qno]),0))</f>
        <v>0</v>
      </c>
      <c r="J188" s="9" t="b" cm="1">
        <f t="array" ref="J188">INDEX(stable[is_localized],MATCH(VALUE(questions[[#This Row],[qno]]),VALUE(stable[qno]),0))</f>
        <v>0</v>
      </c>
      <c r="K188" s="9" t="b" cm="1">
        <f t="array" ref="K188">INDEX(stable[is_supply_chain_dependent],MATCH(VALUE(questions[[#This Row],[qno]]),VALUE(stable[qno]),0))</f>
        <v>1</v>
      </c>
      <c r="L188" s="9" t="b" cm="1">
        <f t="array" ref="L188">INDEX(stable[is_mandatory],MATCH(VALUE(questions[[#This Row],[qno]]),VALUE(stable[qno]),0))</f>
        <v>0</v>
      </c>
      <c r="M188" s="9" t="b" cm="1">
        <f t="array" ref="M188">INDEX(stable[is_automated],MATCH(VALUE(questions[[#This Row],[qno]]),VALUE(stable[qno]),0))</f>
        <v>0</v>
      </c>
      <c r="N188" s="9" t="b" cm="1">
        <f t="array" ref="N188">INDEX(stable[is_free_text],MATCH(VALUE(questions[[#This Row],[qno]]),VALUE(stable[qno]),0))</f>
        <v>0</v>
      </c>
      <c r="O188" s="9" t="b" cm="1">
        <f t="array" ref="O188">INDEX(stable[is_numerical],MATCH(VALUE(questions[[#This Row],[qno]]),VALUE(stable[qno]),0))</f>
        <v>1</v>
      </c>
      <c r="P188" s="32" t="b" cm="1">
        <f t="array" ref="P188">INDEX(stable[is_single_select],MATCH(VALUE(questions[[#This Row],[qno]]),VALUE(stable[qno]),0))</f>
        <v>0</v>
      </c>
      <c r="Q188" s="9" t="b" cm="1">
        <f t="array" ref="Q188">INDEX(stable[is_multi_select],MATCH(VALUE(questions[[#This Row],[qno]]),VALUE(stable[qno]),0))</f>
        <v>0</v>
      </c>
      <c r="R188" s="9" t="b" cm="1">
        <f t="array" ref="R188">INDEX(stable[is_skip_logic],MATCH(VALUE(questions[[#This Row],[qno]]),VALUE(stable[qno]),0))</f>
        <v>0</v>
      </c>
      <c r="S188" s="9" t="str">
        <f>_xlfn.TEXTJOIN(", ",TRUE,questions[[#This Row],[ans_opt_1]:[ans_opt_14]])</f>
        <v/>
      </c>
      <c r="AH188" s="16" t="b">
        <f>INDEX(stable[q_standard],MATCH(questions[[#This Row],[qno]],stable[qno],0))</f>
        <v>0</v>
      </c>
      <c r="AI188" s="16" t="b">
        <f>INDEX(stable[q_living_income],MATCH(questions[[#This Row],[qno]],stable[qno],0))</f>
        <v>1</v>
      </c>
      <c r="AJ188" s="16" t="b">
        <f>INDEX(stable[q_carbon],MATCH(questions[[#This Row],[qno]],stable[qno],0))</f>
        <v>1</v>
      </c>
      <c r="AK188" s="16" t="b">
        <f>INDEX(stable[q_regen_ag],MATCH(questions[[#This Row],[qno]],stable[qno],0))</f>
        <v>1</v>
      </c>
      <c r="AL188" s="16" t="b">
        <f>COUNTIFS(stable[qno],questions[[#This Row],[qno]])=1</f>
        <v>1</v>
      </c>
      <c r="AM188" s="16" t="b">
        <f>OR(questions[[#This Row],[is_fixed]],questions[[#This Row],[is_localized]],questions[[#This Row],[is_supply_chain_dependent]])</f>
        <v>1</v>
      </c>
      <c r="AN188" s="16" t="b">
        <f>COUNTIFS(questions[[#This Row],[is_automated]:[is_multi_select]],TRUE)=1</f>
        <v>1</v>
      </c>
      <c r="AO188" s="16" t="b">
        <f>IF(questions[[#This Row],[is_fixed]],questions[[#This Row],[question]]=INDEX(stable[question],MATCH(questions[[#This Row],[qno]],stable[qno],0)),TRUE)</f>
        <v>1</v>
      </c>
      <c r="AP188" s="16" t="str">
        <f>LEFT(questions[[#This Row],[question]],similarity_range)</f>
        <v>How many kilograms o</v>
      </c>
      <c r="AQ188" s="16" t="str">
        <f>LEFT(INDEX(stable[question],MATCH(questions[[#This Row],[qno]],stable[qno],0)),similarity_range)</f>
        <v>How many kilograms o</v>
      </c>
      <c r="AR188" s="16" t="b">
        <f>questions[[#This Row],[question_first_characters]]=questions[[#This Row],[stability_first_characters]]</f>
        <v>1</v>
      </c>
      <c r="AS188" s="16" t="b">
        <f>IF(OR(questions[[#This Row],[is_single_select]],questions[[#This Row],[is_multi_select]]),NOT(ISBLANK(questions[[#This Row],[answer_opt_combined]])),TRUE)</f>
        <v>1</v>
      </c>
    </row>
    <row r="189" spans="1:45" x14ac:dyDescent="0.25">
      <c r="A189" s="9" t="str">
        <f>_xlfn.TEXTJOIN("_",TRUE,questions[[#This Row],[origin]:[qno]])</f>
        <v>Uganda_Arabica_Sbux_3111</v>
      </c>
      <c r="B189" s="9" t="s">
        <v>511</v>
      </c>
      <c r="C189" s="9" t="s">
        <v>59</v>
      </c>
      <c r="D189" s="9" t="s">
        <v>512</v>
      </c>
      <c r="F189" s="24" t="s">
        <v>532</v>
      </c>
      <c r="G189" s="15" t="s">
        <v>533</v>
      </c>
      <c r="H189" s="9" t="str" cm="1">
        <f t="array" ref="H189">INDEX(stableR[question],MATCH(VALUE(questions[[#This Row],[qno]]),VALUE(stableR[qno]),0))</f>
        <v>What was the most common price per kilogram that you received for hulled beans harvested in the fly season? (in local currency)</v>
      </c>
      <c r="I189" s="9" t="b" cm="1">
        <f t="array" ref="I189">INDEX(stable[is_fixed],MATCH(VALUE(questions[[#This Row],[qno]]),VALUE(stable[qno]),0))</f>
        <v>0</v>
      </c>
      <c r="J189" s="9" t="b" cm="1">
        <f t="array" ref="J189">INDEX(stable[is_localized],MATCH(VALUE(questions[[#This Row],[qno]]),VALUE(stable[qno]),0))</f>
        <v>0</v>
      </c>
      <c r="K189" s="9" t="b" cm="1">
        <f t="array" ref="K189">INDEX(stable[is_supply_chain_dependent],MATCH(VALUE(questions[[#This Row],[qno]]),VALUE(stable[qno]),0))</f>
        <v>1</v>
      </c>
      <c r="L189" s="9" t="b" cm="1">
        <f t="array" ref="L189">INDEX(stable[is_mandatory],MATCH(VALUE(questions[[#This Row],[qno]]),VALUE(stable[qno]),0))</f>
        <v>0</v>
      </c>
      <c r="M189" s="9" t="b" cm="1">
        <f t="array" ref="M189">INDEX(stable[is_automated],MATCH(VALUE(questions[[#This Row],[qno]]),VALUE(stable[qno]),0))</f>
        <v>0</v>
      </c>
      <c r="N189" s="9" t="b" cm="1">
        <f t="array" ref="N189">INDEX(stable[is_free_text],MATCH(VALUE(questions[[#This Row],[qno]]),VALUE(stable[qno]),0))</f>
        <v>0</v>
      </c>
      <c r="O189" s="9" t="b" cm="1">
        <f t="array" ref="O189">INDEX(stable[is_numerical],MATCH(VALUE(questions[[#This Row],[qno]]),VALUE(stable[qno]),0))</f>
        <v>1</v>
      </c>
      <c r="P189" s="32" t="b" cm="1">
        <f t="array" ref="P189">INDEX(stable[is_single_select],MATCH(VALUE(questions[[#This Row],[qno]]),VALUE(stable[qno]),0))</f>
        <v>0</v>
      </c>
      <c r="Q189" s="9" t="b" cm="1">
        <f t="array" ref="Q189">INDEX(stable[is_multi_select],MATCH(VALUE(questions[[#This Row],[qno]]),VALUE(stable[qno]),0))</f>
        <v>0</v>
      </c>
      <c r="R189" s="9" t="b" cm="1">
        <f t="array" ref="R189">INDEX(stable[is_skip_logic],MATCH(VALUE(questions[[#This Row],[qno]]),VALUE(stable[qno]),0))</f>
        <v>0</v>
      </c>
      <c r="S189" s="9" t="str">
        <f>_xlfn.TEXTJOIN(", ",TRUE,questions[[#This Row],[ans_opt_1]:[ans_opt_14]])</f>
        <v/>
      </c>
      <c r="AH189" s="16" t="b">
        <f>INDEX(stable[q_standard],MATCH(questions[[#This Row],[qno]],stable[qno],0))</f>
        <v>0</v>
      </c>
      <c r="AI189" s="16" t="b">
        <f>INDEX(stable[q_living_income],MATCH(questions[[#This Row],[qno]],stable[qno],0))</f>
        <v>1</v>
      </c>
      <c r="AJ189" s="16" t="b">
        <f>INDEX(stable[q_carbon],MATCH(questions[[#This Row],[qno]],stable[qno],0))</f>
        <v>0</v>
      </c>
      <c r="AK189" s="16" t="b">
        <f>INDEX(stable[q_regen_ag],MATCH(questions[[#This Row],[qno]],stable[qno],0))</f>
        <v>0</v>
      </c>
      <c r="AL189" s="16" t="b">
        <f>COUNTIFS(stable[qno],questions[[#This Row],[qno]])=1</f>
        <v>1</v>
      </c>
      <c r="AM189" s="16" t="b">
        <f>OR(questions[[#This Row],[is_fixed]],questions[[#This Row],[is_localized]],questions[[#This Row],[is_supply_chain_dependent]])</f>
        <v>1</v>
      </c>
      <c r="AN189" s="16" t="b">
        <f>COUNTIFS(questions[[#This Row],[is_automated]:[is_multi_select]],TRUE)=1</f>
        <v>1</v>
      </c>
      <c r="AO189" s="16" t="b">
        <f>IF(questions[[#This Row],[is_fixed]],questions[[#This Row],[question]]=INDEX(stable[question],MATCH(questions[[#This Row],[qno]],stable[qno],0)),TRUE)</f>
        <v>1</v>
      </c>
      <c r="AP189" s="16" t="str">
        <f>LEFT(questions[[#This Row],[question]],similarity_range)</f>
        <v>What was the most co</v>
      </c>
      <c r="AQ189" s="16" t="str">
        <f>LEFT(INDEX(stable[question],MATCH(questions[[#This Row],[qno]],stable[qno],0)),similarity_range)</f>
        <v>What was the most co</v>
      </c>
      <c r="AR189" s="16" t="b">
        <f>questions[[#This Row],[question_first_characters]]=questions[[#This Row],[stability_first_characters]]</f>
        <v>1</v>
      </c>
      <c r="AS189" s="16" t="b">
        <f>IF(OR(questions[[#This Row],[is_single_select]],questions[[#This Row],[is_multi_select]]),NOT(ISBLANK(questions[[#This Row],[answer_opt_combined]])),TRUE)</f>
        <v>1</v>
      </c>
    </row>
    <row r="190" spans="1:45" x14ac:dyDescent="0.25">
      <c r="A190" s="9" t="str">
        <f>_xlfn.TEXTJOIN("_",TRUE,questions[[#This Row],[origin]:[qno]])</f>
        <v>Uganda_Arabica_Sbux_3120</v>
      </c>
      <c r="B190" s="9" t="s">
        <v>511</v>
      </c>
      <c r="C190" s="9" t="s">
        <v>59</v>
      </c>
      <c r="D190" s="9" t="s">
        <v>512</v>
      </c>
      <c r="F190" s="24" t="s">
        <v>534</v>
      </c>
      <c r="G190" s="15" t="s">
        <v>535</v>
      </c>
      <c r="H190" s="9" t="str" cm="1">
        <f t="array" ref="H190">INDEX(stableR[question],MATCH(VALUE(questions[[#This Row],[qno]]),VALUE(stableR[qno]),0))</f>
        <v>How many kilograms of dried cherries did you sell during the fly season?</v>
      </c>
      <c r="I190" s="9" t="b" cm="1">
        <f t="array" ref="I190">INDEX(stable[is_fixed],MATCH(VALUE(questions[[#This Row],[qno]]),VALUE(stable[qno]),0))</f>
        <v>0</v>
      </c>
      <c r="J190" s="9" t="b" cm="1">
        <f t="array" ref="J190">INDEX(stable[is_localized],MATCH(VALUE(questions[[#This Row],[qno]]),VALUE(stable[qno]),0))</f>
        <v>0</v>
      </c>
      <c r="K190" s="9" t="b" cm="1">
        <f t="array" ref="K190">INDEX(stable[is_supply_chain_dependent],MATCH(VALUE(questions[[#This Row],[qno]]),VALUE(stable[qno]),0))</f>
        <v>1</v>
      </c>
      <c r="L190" s="9" t="b" cm="1">
        <f t="array" ref="L190">INDEX(stable[is_mandatory],MATCH(VALUE(questions[[#This Row],[qno]]),VALUE(stable[qno]),0))</f>
        <v>0</v>
      </c>
      <c r="M190" s="9" t="b" cm="1">
        <f t="array" ref="M190">INDEX(stable[is_automated],MATCH(VALUE(questions[[#This Row],[qno]]),VALUE(stable[qno]),0))</f>
        <v>0</v>
      </c>
      <c r="N190" s="9" t="b" cm="1">
        <f t="array" ref="N190">INDEX(stable[is_free_text],MATCH(VALUE(questions[[#This Row],[qno]]),VALUE(stable[qno]),0))</f>
        <v>0</v>
      </c>
      <c r="O190" s="9" t="b" cm="1">
        <f t="array" ref="O190">INDEX(stable[is_numerical],MATCH(VALUE(questions[[#This Row],[qno]]),VALUE(stable[qno]),0))</f>
        <v>1</v>
      </c>
      <c r="P190" s="32" t="b" cm="1">
        <f t="array" ref="P190">INDEX(stable[is_single_select],MATCH(VALUE(questions[[#This Row],[qno]]),VALUE(stable[qno]),0))</f>
        <v>0</v>
      </c>
      <c r="Q190" s="9" t="b" cm="1">
        <f t="array" ref="Q190">INDEX(stable[is_multi_select],MATCH(VALUE(questions[[#This Row],[qno]]),VALUE(stable[qno]),0))</f>
        <v>0</v>
      </c>
      <c r="R190" s="9" t="b" cm="1">
        <f t="array" ref="R190">INDEX(stable[is_skip_logic],MATCH(VALUE(questions[[#This Row],[qno]]),VALUE(stable[qno]),0))</f>
        <v>0</v>
      </c>
      <c r="S190" s="9" t="str">
        <f>_xlfn.TEXTJOIN(", ",TRUE,questions[[#This Row],[ans_opt_1]:[ans_opt_14]])</f>
        <v/>
      </c>
      <c r="AH190" s="16" t="b">
        <f>INDEX(stable[q_standard],MATCH(questions[[#This Row],[qno]],stable[qno],0))</f>
        <v>0</v>
      </c>
      <c r="AI190" s="16" t="b">
        <f>INDEX(stable[q_living_income],MATCH(questions[[#This Row],[qno]],stable[qno],0))</f>
        <v>1</v>
      </c>
      <c r="AJ190" s="16" t="b">
        <f>INDEX(stable[q_carbon],MATCH(questions[[#This Row],[qno]],stable[qno],0))</f>
        <v>1</v>
      </c>
      <c r="AK190" s="16" t="b">
        <f>INDEX(stable[q_regen_ag],MATCH(questions[[#This Row],[qno]],stable[qno],0))</f>
        <v>1</v>
      </c>
      <c r="AL190" s="16" t="b">
        <f>COUNTIFS(stable[qno],questions[[#This Row],[qno]])=1</f>
        <v>1</v>
      </c>
      <c r="AM190" s="16" t="b">
        <f>OR(questions[[#This Row],[is_fixed]],questions[[#This Row],[is_localized]],questions[[#This Row],[is_supply_chain_dependent]])</f>
        <v>1</v>
      </c>
      <c r="AN190" s="16" t="b">
        <f>COUNTIFS(questions[[#This Row],[is_automated]:[is_multi_select]],TRUE)=1</f>
        <v>1</v>
      </c>
      <c r="AO190" s="16" t="b">
        <f>IF(questions[[#This Row],[is_fixed]],questions[[#This Row],[question]]=INDEX(stable[question],MATCH(questions[[#This Row],[qno]],stable[qno],0)),TRUE)</f>
        <v>1</v>
      </c>
      <c r="AP190" s="16" t="str">
        <f>LEFT(questions[[#This Row],[question]],similarity_range)</f>
        <v>How many kilograms o</v>
      </c>
      <c r="AQ190" s="16" t="str">
        <f>LEFT(INDEX(stable[question],MATCH(questions[[#This Row],[qno]],stable[qno],0)),similarity_range)</f>
        <v>How many kilograms o</v>
      </c>
      <c r="AR190" s="16" t="b">
        <f>questions[[#This Row],[question_first_characters]]=questions[[#This Row],[stability_first_characters]]</f>
        <v>1</v>
      </c>
      <c r="AS190" s="16" t="b">
        <f>IF(OR(questions[[#This Row],[is_single_select]],questions[[#This Row],[is_multi_select]]),NOT(ISBLANK(questions[[#This Row],[answer_opt_combined]])),TRUE)</f>
        <v>1</v>
      </c>
    </row>
    <row r="191" spans="1:45" x14ac:dyDescent="0.25">
      <c r="A191" s="9" t="str">
        <f>_xlfn.TEXTJOIN("_",TRUE,questions[[#This Row],[origin]:[qno]])</f>
        <v>Uganda_Arabica_Sbux_3121</v>
      </c>
      <c r="B191" s="9" t="s">
        <v>511</v>
      </c>
      <c r="C191" s="9" t="s">
        <v>59</v>
      </c>
      <c r="D191" s="9" t="s">
        <v>512</v>
      </c>
      <c r="F191" s="24" t="s">
        <v>536</v>
      </c>
      <c r="G191" s="15" t="s">
        <v>537</v>
      </c>
      <c r="H191" s="9" t="str" cm="1">
        <f t="array" ref="H191">INDEX(stableR[question],MATCH(VALUE(questions[[#This Row],[qno]]),VALUE(stableR[qno]),0))</f>
        <v>What was the most common price per kilogram that you received for dried cherries harvested in the fly season? (in local currency)</v>
      </c>
      <c r="I191" s="9" t="b" cm="1">
        <f t="array" ref="I191">INDEX(stable[is_fixed],MATCH(VALUE(questions[[#This Row],[qno]]),VALUE(stable[qno]),0))</f>
        <v>0</v>
      </c>
      <c r="J191" s="9" t="b" cm="1">
        <f t="array" ref="J191">INDEX(stable[is_localized],MATCH(VALUE(questions[[#This Row],[qno]]),VALUE(stable[qno]),0))</f>
        <v>0</v>
      </c>
      <c r="K191" s="9" t="b" cm="1">
        <f t="array" ref="K191">INDEX(stable[is_supply_chain_dependent],MATCH(VALUE(questions[[#This Row],[qno]]),VALUE(stable[qno]),0))</f>
        <v>1</v>
      </c>
      <c r="L191" s="9" t="b" cm="1">
        <f t="array" ref="L191">INDEX(stable[is_mandatory],MATCH(VALUE(questions[[#This Row],[qno]]),VALUE(stable[qno]),0))</f>
        <v>0</v>
      </c>
      <c r="M191" s="9" t="b" cm="1">
        <f t="array" ref="M191">INDEX(stable[is_automated],MATCH(VALUE(questions[[#This Row],[qno]]),VALUE(stable[qno]),0))</f>
        <v>0</v>
      </c>
      <c r="N191" s="9" t="b" cm="1">
        <f t="array" ref="N191">INDEX(stable[is_free_text],MATCH(VALUE(questions[[#This Row],[qno]]),VALUE(stable[qno]),0))</f>
        <v>0</v>
      </c>
      <c r="O191" s="9" t="b" cm="1">
        <f t="array" ref="O191">INDEX(stable[is_numerical],MATCH(VALUE(questions[[#This Row],[qno]]),VALUE(stable[qno]),0))</f>
        <v>1</v>
      </c>
      <c r="P191" s="32" t="b" cm="1">
        <f t="array" ref="P191">INDEX(stable[is_single_select],MATCH(VALUE(questions[[#This Row],[qno]]),VALUE(stable[qno]),0))</f>
        <v>0</v>
      </c>
      <c r="Q191" s="9" t="b" cm="1">
        <f t="array" ref="Q191">INDEX(stable[is_multi_select],MATCH(VALUE(questions[[#This Row],[qno]]),VALUE(stable[qno]),0))</f>
        <v>0</v>
      </c>
      <c r="R191" s="9" t="b" cm="1">
        <f t="array" ref="R191">INDEX(stable[is_skip_logic],MATCH(VALUE(questions[[#This Row],[qno]]),VALUE(stable[qno]),0))</f>
        <v>0</v>
      </c>
      <c r="S191" s="9" t="str">
        <f>_xlfn.TEXTJOIN(", ",TRUE,questions[[#This Row],[ans_opt_1]:[ans_opt_14]])</f>
        <v/>
      </c>
      <c r="AH191" s="16" t="b">
        <f>INDEX(stable[q_standard],MATCH(questions[[#This Row],[qno]],stable[qno],0))</f>
        <v>0</v>
      </c>
      <c r="AI191" s="16" t="b">
        <f>INDEX(stable[q_living_income],MATCH(questions[[#This Row],[qno]],stable[qno],0))</f>
        <v>1</v>
      </c>
      <c r="AJ191" s="16" t="b">
        <f>INDEX(stable[q_carbon],MATCH(questions[[#This Row],[qno]],stable[qno],0))</f>
        <v>0</v>
      </c>
      <c r="AK191" s="16" t="b">
        <f>INDEX(stable[q_regen_ag],MATCH(questions[[#This Row],[qno]],stable[qno],0))</f>
        <v>0</v>
      </c>
      <c r="AL191" s="16" t="b">
        <f>COUNTIFS(stable[qno],questions[[#This Row],[qno]])=1</f>
        <v>1</v>
      </c>
      <c r="AM191" s="16" t="b">
        <f>OR(questions[[#This Row],[is_fixed]],questions[[#This Row],[is_localized]],questions[[#This Row],[is_supply_chain_dependent]])</f>
        <v>1</v>
      </c>
      <c r="AN191" s="16" t="b">
        <f>COUNTIFS(questions[[#This Row],[is_automated]:[is_multi_select]],TRUE)=1</f>
        <v>1</v>
      </c>
      <c r="AO191" s="16" t="b">
        <f>IF(questions[[#This Row],[is_fixed]],questions[[#This Row],[question]]=INDEX(stable[question],MATCH(questions[[#This Row],[qno]],stable[qno],0)),TRUE)</f>
        <v>1</v>
      </c>
      <c r="AP191" s="16" t="str">
        <f>LEFT(questions[[#This Row],[question]],similarity_range)</f>
        <v>What was the most co</v>
      </c>
      <c r="AQ191" s="16" t="str">
        <f>LEFT(INDEX(stable[question],MATCH(questions[[#This Row],[qno]],stable[qno],0)),similarity_range)</f>
        <v>What was the most co</v>
      </c>
      <c r="AR191" s="16" t="b">
        <f>questions[[#This Row],[question_first_characters]]=questions[[#This Row],[stability_first_characters]]</f>
        <v>1</v>
      </c>
      <c r="AS191" s="16" t="b">
        <f>IF(OR(questions[[#This Row],[is_single_select]],questions[[#This Row],[is_multi_select]]),NOT(ISBLANK(questions[[#This Row],[answer_opt_combined]])),TRUE)</f>
        <v>1</v>
      </c>
    </row>
    <row r="192" spans="1:45" x14ac:dyDescent="0.25">
      <c r="A192" s="9" t="str">
        <f>_xlfn.TEXTJOIN("_",TRUE,questions[[#This Row],[origin]:[qno]])</f>
        <v>Uganda_Arabica_Sbux_3198</v>
      </c>
      <c r="B192" s="9" t="s">
        <v>511</v>
      </c>
      <c r="C192" s="9" t="s">
        <v>59</v>
      </c>
      <c r="D192" s="9" t="s">
        <v>512</v>
      </c>
      <c r="F192" s="24" t="s">
        <v>538</v>
      </c>
      <c r="G192" s="15" t="s">
        <v>539</v>
      </c>
      <c r="H192" s="9" t="str" cm="1">
        <f t="array" ref="H192">INDEX(stableR[question],MATCH(VALUE(questions[[#This Row],[qno]]),VALUE(stableR[qno]),0))</f>
        <v>Of the initial coffee cherries that were formed after flowering, what proportion was lost before sale, during the fly season?</v>
      </c>
      <c r="I192" s="9" t="b" cm="1">
        <f t="array" ref="I192">INDEX(stable[is_fixed],MATCH(VALUE(questions[[#This Row],[qno]]),VALUE(stable[qno]),0))</f>
        <v>1</v>
      </c>
      <c r="J192" s="9" t="b" cm="1">
        <f t="array" ref="J192">INDEX(stable[is_localized],MATCH(VALUE(questions[[#This Row],[qno]]),VALUE(stable[qno]),0))</f>
        <v>0</v>
      </c>
      <c r="K192" s="9" t="b" cm="1">
        <f t="array" ref="K192">INDEX(stable[is_supply_chain_dependent],MATCH(VALUE(questions[[#This Row],[qno]]),VALUE(stable[qno]),0))</f>
        <v>0</v>
      </c>
      <c r="L192" s="9" t="b" cm="1">
        <f t="array" ref="L192">INDEX(stable[is_mandatory],MATCH(VALUE(questions[[#This Row],[qno]]),VALUE(stable[qno]),0))</f>
        <v>0</v>
      </c>
      <c r="M192" s="9" t="b" cm="1">
        <f t="array" ref="M192">INDEX(stable[is_automated],MATCH(VALUE(questions[[#This Row],[qno]]),VALUE(stable[qno]),0))</f>
        <v>0</v>
      </c>
      <c r="N192" s="9" t="b" cm="1">
        <f t="array" ref="N192">INDEX(stable[is_free_text],MATCH(VALUE(questions[[#This Row],[qno]]),VALUE(stable[qno]),0))</f>
        <v>0</v>
      </c>
      <c r="O192" s="9" t="b" cm="1">
        <f t="array" ref="O192">INDEX(stable[is_numerical],MATCH(VALUE(questions[[#This Row],[qno]]),VALUE(stable[qno]),0))</f>
        <v>1</v>
      </c>
      <c r="P192" s="32" t="b" cm="1">
        <f t="array" ref="P192">INDEX(stable[is_single_select],MATCH(VALUE(questions[[#This Row],[qno]]),VALUE(stable[qno]),0))</f>
        <v>0</v>
      </c>
      <c r="Q192" s="9" t="b" cm="1">
        <f t="array" ref="Q192">INDEX(stable[is_multi_select],MATCH(VALUE(questions[[#This Row],[qno]]),VALUE(stable[qno]),0))</f>
        <v>0</v>
      </c>
      <c r="R192" s="9" t="b" cm="1">
        <f t="array" ref="R192">INDEX(stable[is_skip_logic],MATCH(VALUE(questions[[#This Row],[qno]]),VALUE(stable[qno]),0))</f>
        <v>0</v>
      </c>
      <c r="S192" s="9" t="str">
        <f>_xlfn.TEXTJOIN(", ",TRUE,questions[[#This Row],[ans_opt_1]:[ans_opt_14]])</f>
        <v/>
      </c>
      <c r="AH192" s="16" t="b">
        <f>INDEX(stable[q_standard],MATCH(questions[[#This Row],[qno]],stable[qno],0))</f>
        <v>0</v>
      </c>
      <c r="AI192" s="16" t="b">
        <f>INDEX(stable[q_living_income],MATCH(questions[[#This Row],[qno]],stable[qno],0))</f>
        <v>1</v>
      </c>
      <c r="AJ192" s="16" t="b">
        <f>INDEX(stable[q_carbon],MATCH(questions[[#This Row],[qno]],stable[qno],0))</f>
        <v>1</v>
      </c>
      <c r="AK192" s="16" t="b">
        <f>INDEX(stable[q_regen_ag],MATCH(questions[[#This Row],[qno]],stable[qno],0))</f>
        <v>1</v>
      </c>
      <c r="AL192" s="16" t="b">
        <f>COUNTIFS(stable[qno],questions[[#This Row],[qno]])=1</f>
        <v>1</v>
      </c>
      <c r="AM192" s="16" t="b">
        <f>OR(questions[[#This Row],[is_fixed]],questions[[#This Row],[is_localized]],questions[[#This Row],[is_supply_chain_dependent]])</f>
        <v>1</v>
      </c>
      <c r="AN192" s="16" t="b">
        <f>COUNTIFS(questions[[#This Row],[is_automated]:[is_multi_select]],TRUE)=1</f>
        <v>1</v>
      </c>
      <c r="AO192" s="16" t="b">
        <f>IF(questions[[#This Row],[is_fixed]],questions[[#This Row],[question]]=INDEX(stable[question],MATCH(questions[[#This Row],[qno]],stable[qno],0)),TRUE)</f>
        <v>1</v>
      </c>
      <c r="AP192" s="16" t="str">
        <f>LEFT(questions[[#This Row],[question]],similarity_range)</f>
        <v>Of the initial coffe</v>
      </c>
      <c r="AQ192" s="16" t="str">
        <f>LEFT(INDEX(stable[question],MATCH(questions[[#This Row],[qno]],stable[qno],0)),similarity_range)</f>
        <v>Of the initial coffe</v>
      </c>
      <c r="AR192" s="16" t="b">
        <f>questions[[#This Row],[question_first_characters]]=questions[[#This Row],[stability_first_characters]]</f>
        <v>1</v>
      </c>
      <c r="AS192" s="16" t="b">
        <f>IF(OR(questions[[#This Row],[is_single_select]],questions[[#This Row],[is_multi_select]]),NOT(ISBLANK(questions[[#This Row],[answer_opt_combined]])),TRUE)</f>
        <v>1</v>
      </c>
    </row>
    <row r="193" spans="1:45" x14ac:dyDescent="0.25">
      <c r="A193" s="9" t="str">
        <f>_xlfn.TEXTJOIN("_",TRUE,questions[[#This Row],[origin]:[qno]])</f>
        <v>Uganda_Arabica_Sbux_3199</v>
      </c>
      <c r="B193" s="9" t="s">
        <v>511</v>
      </c>
      <c r="C193" s="9" t="s">
        <v>59</v>
      </c>
      <c r="D193" s="9" t="s">
        <v>512</v>
      </c>
      <c r="F193" s="24" t="s">
        <v>540</v>
      </c>
      <c r="G193" s="15" t="s">
        <v>541</v>
      </c>
      <c r="H193" s="9" t="str" cm="1">
        <f t="array" ref="H193">INDEX(stableR[question],MATCH(VALUE(questions[[#This Row],[qno]]),VALUE(stableR[qno]),0))</f>
        <v>Of the coffee cherries lost during the fly season, what were the main reasons for the loss? (You can choose multiple reasons)</v>
      </c>
      <c r="I193" s="9" t="b" cm="1">
        <f t="array" ref="I193">INDEX(stable[is_fixed],MATCH(VALUE(questions[[#This Row],[qno]]),VALUE(stable[qno]),0))</f>
        <v>1</v>
      </c>
      <c r="J193" s="9" t="b" cm="1">
        <f t="array" ref="J193">INDEX(stable[is_localized],MATCH(VALUE(questions[[#This Row],[qno]]),VALUE(stable[qno]),0))</f>
        <v>0</v>
      </c>
      <c r="K193" s="9" t="b" cm="1">
        <f t="array" ref="K193">INDEX(stable[is_supply_chain_dependent],MATCH(VALUE(questions[[#This Row],[qno]]),VALUE(stable[qno]),0))</f>
        <v>0</v>
      </c>
      <c r="L193" s="9" t="b" cm="1">
        <f t="array" ref="L193">INDEX(stable[is_mandatory],MATCH(VALUE(questions[[#This Row],[qno]]),VALUE(stable[qno]),0))</f>
        <v>0</v>
      </c>
      <c r="M193" s="9" t="b" cm="1">
        <f t="array" ref="M193">INDEX(stable[is_automated],MATCH(VALUE(questions[[#This Row],[qno]]),VALUE(stable[qno]),0))</f>
        <v>0</v>
      </c>
      <c r="N193" s="9" t="b" cm="1">
        <f t="array" ref="N193">INDEX(stable[is_free_text],MATCH(VALUE(questions[[#This Row],[qno]]),VALUE(stable[qno]),0))</f>
        <v>1</v>
      </c>
      <c r="O193" s="9" t="b" cm="1">
        <f t="array" ref="O193">INDEX(stable[is_numerical],MATCH(VALUE(questions[[#This Row],[qno]]),VALUE(stable[qno]),0))</f>
        <v>0</v>
      </c>
      <c r="P193" s="32" t="b" cm="1">
        <f t="array" ref="P193">INDEX(stable[is_single_select],MATCH(VALUE(questions[[#This Row],[qno]]),VALUE(stable[qno]),0))</f>
        <v>0</v>
      </c>
      <c r="Q193" s="9" t="b" cm="1">
        <f t="array" ref="Q193">INDEX(stable[is_multi_select],MATCH(VALUE(questions[[#This Row],[qno]]),VALUE(stable[qno]),0))</f>
        <v>0</v>
      </c>
      <c r="R193" s="9" t="b" cm="1">
        <f t="array" ref="R193">INDEX(stable[is_skip_logic],MATCH(VALUE(questions[[#This Row],[qno]]),VALUE(stable[qno]),0))</f>
        <v>0</v>
      </c>
      <c r="S193" s="9" t="str">
        <f>_xlfn.TEXTJOIN(", ",TRUE,questions[[#This Row],[ans_opt_1]:[ans_opt_14]])</f>
        <v/>
      </c>
      <c r="AH193" s="16" t="b">
        <f>INDEX(stable[q_standard],MATCH(questions[[#This Row],[qno]],stable[qno],0))</f>
        <v>0</v>
      </c>
      <c r="AI193" s="16" t="b">
        <f>INDEX(stable[q_living_income],MATCH(questions[[#This Row],[qno]],stable[qno],0))</f>
        <v>1</v>
      </c>
      <c r="AJ193" s="16" t="b">
        <f>INDEX(stable[q_carbon],MATCH(questions[[#This Row],[qno]],stable[qno],0))</f>
        <v>1</v>
      </c>
      <c r="AK193" s="16" t="b">
        <f>INDEX(stable[q_regen_ag],MATCH(questions[[#This Row],[qno]],stable[qno],0))</f>
        <v>1</v>
      </c>
      <c r="AL193" s="16" t="b">
        <f>COUNTIFS(stable[qno],questions[[#This Row],[qno]])=1</f>
        <v>1</v>
      </c>
      <c r="AM193" s="16" t="b">
        <f>OR(questions[[#This Row],[is_fixed]],questions[[#This Row],[is_localized]],questions[[#This Row],[is_supply_chain_dependent]])</f>
        <v>1</v>
      </c>
      <c r="AN193" s="16" t="b">
        <f>COUNTIFS(questions[[#This Row],[is_automated]:[is_multi_select]],TRUE)=1</f>
        <v>1</v>
      </c>
      <c r="AO193" s="16" t="b">
        <f>IF(questions[[#This Row],[is_fixed]],questions[[#This Row],[question]]=INDEX(stable[question],MATCH(questions[[#This Row],[qno]],stable[qno],0)),TRUE)</f>
        <v>1</v>
      </c>
      <c r="AP193" s="16" t="str">
        <f>LEFT(questions[[#This Row],[question]],similarity_range)</f>
        <v>Of the coffee cherri</v>
      </c>
      <c r="AQ193" s="16" t="str">
        <f>LEFT(INDEX(stable[question],MATCH(questions[[#This Row],[qno]],stable[qno],0)),similarity_range)</f>
        <v>Of the coffee cherri</v>
      </c>
      <c r="AR193" s="16" t="b">
        <f>questions[[#This Row],[question_first_characters]]=questions[[#This Row],[stability_first_characters]]</f>
        <v>1</v>
      </c>
      <c r="AS193" s="16" t="b">
        <f>IF(OR(questions[[#This Row],[is_single_select]],questions[[#This Row],[is_multi_select]]),NOT(ISBLANK(questions[[#This Row],[answer_opt_combined]])),TRUE)</f>
        <v>1</v>
      </c>
    </row>
    <row r="194" spans="1:45" x14ac:dyDescent="0.25">
      <c r="A194" s="9" t="str">
        <f>_xlfn.TEXTJOIN("_",TRUE,questions[[#This Row],[origin]:[qno]])</f>
        <v>Uganda_Arabica_Sbux_3200</v>
      </c>
      <c r="B194" s="9" t="s">
        <v>511</v>
      </c>
      <c r="C194" s="9" t="s">
        <v>59</v>
      </c>
      <c r="D194" s="9" t="s">
        <v>512</v>
      </c>
      <c r="F194" s="24" t="s">
        <v>542</v>
      </c>
      <c r="G194" s="15" t="s">
        <v>543</v>
      </c>
      <c r="H194" s="9" t="str" cm="1">
        <f t="array" ref="H194">INDEX(stableR[question],MATCH(VALUE(questions[[#This Row],[qno]]),VALUE(stableR[qno]),0))</f>
        <v>How many kilograms of fresh cherries did you sell during the main season?</v>
      </c>
      <c r="I194" s="9" t="b" cm="1">
        <f t="array" ref="I194">INDEX(stable[is_fixed],MATCH(VALUE(questions[[#This Row],[qno]]),VALUE(stable[qno]),0))</f>
        <v>0</v>
      </c>
      <c r="J194" s="9" t="b" cm="1">
        <f t="array" ref="J194">INDEX(stable[is_localized],MATCH(VALUE(questions[[#This Row],[qno]]),VALUE(stable[qno]),0))</f>
        <v>1</v>
      </c>
      <c r="K194" s="9" t="b" cm="1">
        <f t="array" ref="K194">INDEX(stable[is_supply_chain_dependent],MATCH(VALUE(questions[[#This Row],[qno]]),VALUE(stable[qno]),0))</f>
        <v>0</v>
      </c>
      <c r="L194" s="9" t="b" cm="1">
        <f t="array" ref="L194">INDEX(stable[is_mandatory],MATCH(VALUE(questions[[#This Row],[qno]]),VALUE(stable[qno]),0))</f>
        <v>0</v>
      </c>
      <c r="M194" s="9" t="b" cm="1">
        <f t="array" ref="M194">INDEX(stable[is_automated],MATCH(VALUE(questions[[#This Row],[qno]]),VALUE(stable[qno]),0))</f>
        <v>0</v>
      </c>
      <c r="N194" s="9" t="b" cm="1">
        <f t="array" ref="N194">INDEX(stable[is_free_text],MATCH(VALUE(questions[[#This Row],[qno]]),VALUE(stable[qno]),0))</f>
        <v>0</v>
      </c>
      <c r="O194" s="9" t="b" cm="1">
        <f t="array" ref="O194">INDEX(stable[is_numerical],MATCH(VALUE(questions[[#This Row],[qno]]),VALUE(stable[qno]),0))</f>
        <v>1</v>
      </c>
      <c r="P194" s="32" t="b" cm="1">
        <f t="array" ref="P194">INDEX(stable[is_single_select],MATCH(VALUE(questions[[#This Row],[qno]]),VALUE(stable[qno]),0))</f>
        <v>0</v>
      </c>
      <c r="Q194" s="9" t="b" cm="1">
        <f t="array" ref="Q194">INDEX(stable[is_multi_select],MATCH(VALUE(questions[[#This Row],[qno]]),VALUE(stable[qno]),0))</f>
        <v>0</v>
      </c>
      <c r="R194" s="9" t="b" cm="1">
        <f t="array" ref="R194">INDEX(stable[is_skip_logic],MATCH(VALUE(questions[[#This Row],[qno]]),VALUE(stable[qno]),0))</f>
        <v>0</v>
      </c>
      <c r="S194" s="9" t="str">
        <f>_xlfn.TEXTJOIN(", ",TRUE,questions[[#This Row],[ans_opt_1]:[ans_opt_14]])</f>
        <v/>
      </c>
      <c r="AH194" s="16" t="b">
        <f>INDEX(stable[q_standard],MATCH(questions[[#This Row],[qno]],stable[qno],0))</f>
        <v>0</v>
      </c>
      <c r="AI194" s="16" t="b">
        <f>INDEX(stable[q_living_income],MATCH(questions[[#This Row],[qno]],stable[qno],0))</f>
        <v>1</v>
      </c>
      <c r="AJ194" s="16" t="b">
        <f>INDEX(stable[q_carbon],MATCH(questions[[#This Row],[qno]],stable[qno],0))</f>
        <v>1</v>
      </c>
      <c r="AK194" s="16" t="b">
        <f>INDEX(stable[q_regen_ag],MATCH(questions[[#This Row],[qno]],stable[qno],0))</f>
        <v>1</v>
      </c>
      <c r="AL194" s="16" t="b">
        <f>COUNTIFS(stable[qno],questions[[#This Row],[qno]])=1</f>
        <v>1</v>
      </c>
      <c r="AM194" s="16" t="b">
        <f>OR(questions[[#This Row],[is_fixed]],questions[[#This Row],[is_localized]],questions[[#This Row],[is_supply_chain_dependent]])</f>
        <v>1</v>
      </c>
      <c r="AN194" s="16" t="b">
        <f>COUNTIFS(questions[[#This Row],[is_automated]:[is_multi_select]],TRUE)=1</f>
        <v>1</v>
      </c>
      <c r="AO194" s="16" t="b">
        <f>IF(questions[[#This Row],[is_fixed]],questions[[#This Row],[question]]=INDEX(stable[question],MATCH(questions[[#This Row],[qno]],stable[qno],0)),TRUE)</f>
        <v>1</v>
      </c>
      <c r="AP194" s="16" t="str">
        <f>LEFT(questions[[#This Row],[question]],similarity_range)</f>
        <v>How many kilograms o</v>
      </c>
      <c r="AQ194" s="16" t="str">
        <f>LEFT(INDEX(stable[question],MATCH(questions[[#This Row],[qno]],stable[qno],0)),similarity_range)</f>
        <v>How many kilograms o</v>
      </c>
      <c r="AR194" s="16" t="b">
        <f>questions[[#This Row],[question_first_characters]]=questions[[#This Row],[stability_first_characters]]</f>
        <v>1</v>
      </c>
      <c r="AS194" s="16" t="b">
        <f>IF(OR(questions[[#This Row],[is_single_select]],questions[[#This Row],[is_multi_select]]),NOT(ISBLANK(questions[[#This Row],[answer_opt_combined]])),TRUE)</f>
        <v>1</v>
      </c>
    </row>
    <row r="195" spans="1:45" x14ac:dyDescent="0.25">
      <c r="A195" s="9" t="str">
        <f>_xlfn.TEXTJOIN("_",TRUE,questions[[#This Row],[origin]:[qno]])</f>
        <v>Uganda_Arabica_Sbux_3201</v>
      </c>
      <c r="B195" s="9" t="s">
        <v>511</v>
      </c>
      <c r="C195" s="9" t="s">
        <v>59</v>
      </c>
      <c r="D195" s="9" t="s">
        <v>512</v>
      </c>
      <c r="F195" s="24" t="s">
        <v>544</v>
      </c>
      <c r="G195" s="15" t="s">
        <v>545</v>
      </c>
      <c r="H195" s="9" t="str" cm="1">
        <f t="array" ref="H195">INDEX(stableR[question],MATCH(VALUE(questions[[#This Row],[qno]]),VALUE(stableR[qno]),0))</f>
        <v>What was the most common price per kilogram that you received for fresh cherries harvested in the main season? (in local currency)</v>
      </c>
      <c r="I195" s="9" t="b" cm="1">
        <f t="array" ref="I195">INDEX(stable[is_fixed],MATCH(VALUE(questions[[#This Row],[qno]]),VALUE(stable[qno]),0))</f>
        <v>0</v>
      </c>
      <c r="J195" s="9" t="b" cm="1">
        <f t="array" ref="J195">INDEX(stable[is_localized],MATCH(VALUE(questions[[#This Row],[qno]]),VALUE(stable[qno]),0))</f>
        <v>1</v>
      </c>
      <c r="K195" s="9" t="b" cm="1">
        <f t="array" ref="K195">INDEX(stable[is_supply_chain_dependent],MATCH(VALUE(questions[[#This Row],[qno]]),VALUE(stable[qno]),0))</f>
        <v>0</v>
      </c>
      <c r="L195" s="9" t="b" cm="1">
        <f t="array" ref="L195">INDEX(stable[is_mandatory],MATCH(VALUE(questions[[#This Row],[qno]]),VALUE(stable[qno]),0))</f>
        <v>0</v>
      </c>
      <c r="M195" s="9" t="b" cm="1">
        <f t="array" ref="M195">INDEX(stable[is_automated],MATCH(VALUE(questions[[#This Row],[qno]]),VALUE(stable[qno]),0))</f>
        <v>0</v>
      </c>
      <c r="N195" s="9" t="b" cm="1">
        <f t="array" ref="N195">INDEX(stable[is_free_text],MATCH(VALUE(questions[[#This Row],[qno]]),VALUE(stable[qno]),0))</f>
        <v>0</v>
      </c>
      <c r="O195" s="9" t="b" cm="1">
        <f t="array" ref="O195">INDEX(stable[is_numerical],MATCH(VALUE(questions[[#This Row],[qno]]),VALUE(stable[qno]),0))</f>
        <v>1</v>
      </c>
      <c r="P195" s="32" t="b" cm="1">
        <f t="array" ref="P195">INDEX(stable[is_single_select],MATCH(VALUE(questions[[#This Row],[qno]]),VALUE(stable[qno]),0))</f>
        <v>0</v>
      </c>
      <c r="Q195" s="9" t="b" cm="1">
        <f t="array" ref="Q195">INDEX(stable[is_multi_select],MATCH(VALUE(questions[[#This Row],[qno]]),VALUE(stable[qno]),0))</f>
        <v>0</v>
      </c>
      <c r="R195" s="9" t="b" cm="1">
        <f t="array" ref="R195">INDEX(stable[is_skip_logic],MATCH(VALUE(questions[[#This Row],[qno]]),VALUE(stable[qno]),0))</f>
        <v>0</v>
      </c>
      <c r="S195" s="9" t="str">
        <f>_xlfn.TEXTJOIN(", ",TRUE,questions[[#This Row],[ans_opt_1]:[ans_opt_14]])</f>
        <v/>
      </c>
      <c r="AH195" s="16" t="b">
        <f>INDEX(stable[q_standard],MATCH(questions[[#This Row],[qno]],stable[qno],0))</f>
        <v>0</v>
      </c>
      <c r="AI195" s="16" t="b">
        <f>INDEX(stable[q_living_income],MATCH(questions[[#This Row],[qno]],stable[qno],0))</f>
        <v>1</v>
      </c>
      <c r="AJ195" s="16" t="b">
        <f>INDEX(stable[q_carbon],MATCH(questions[[#This Row],[qno]],stable[qno],0))</f>
        <v>0</v>
      </c>
      <c r="AK195" s="16" t="b">
        <f>INDEX(stable[q_regen_ag],MATCH(questions[[#This Row],[qno]],stable[qno],0))</f>
        <v>0</v>
      </c>
      <c r="AL195" s="16" t="b">
        <f>COUNTIFS(stable[qno],questions[[#This Row],[qno]])=1</f>
        <v>1</v>
      </c>
      <c r="AM195" s="16" t="b">
        <f>OR(questions[[#This Row],[is_fixed]],questions[[#This Row],[is_localized]],questions[[#This Row],[is_supply_chain_dependent]])</f>
        <v>1</v>
      </c>
      <c r="AN195" s="16" t="b">
        <f>COUNTIFS(questions[[#This Row],[is_automated]:[is_multi_select]],TRUE)=1</f>
        <v>1</v>
      </c>
      <c r="AO195" s="16" t="b">
        <f>IF(questions[[#This Row],[is_fixed]],questions[[#This Row],[question]]=INDEX(stable[question],MATCH(questions[[#This Row],[qno]],stable[qno],0)),TRUE)</f>
        <v>1</v>
      </c>
      <c r="AP195" s="16" t="str">
        <f>LEFT(questions[[#This Row],[question]],similarity_range)</f>
        <v>What was the most co</v>
      </c>
      <c r="AQ195" s="16" t="str">
        <f>LEFT(INDEX(stable[question],MATCH(questions[[#This Row],[qno]],stable[qno],0)),similarity_range)</f>
        <v>What was the most co</v>
      </c>
      <c r="AR195" s="16" t="b">
        <f>questions[[#This Row],[question_first_characters]]=questions[[#This Row],[stability_first_characters]]</f>
        <v>1</v>
      </c>
      <c r="AS195" s="16" t="b">
        <f>IF(OR(questions[[#This Row],[is_single_select]],questions[[#This Row],[is_multi_select]]),NOT(ISBLANK(questions[[#This Row],[answer_opt_combined]])),TRUE)</f>
        <v>1</v>
      </c>
    </row>
    <row r="196" spans="1:45" x14ac:dyDescent="0.25">
      <c r="A196" s="9" t="str">
        <f>_xlfn.TEXTJOIN("_",TRUE,questions[[#This Row],[origin]:[qno]])</f>
        <v>Uganda_Arabica_Sbux_3210</v>
      </c>
      <c r="B196" s="9" t="s">
        <v>511</v>
      </c>
      <c r="C196" s="9" t="s">
        <v>59</v>
      </c>
      <c r="D196" s="9" t="s">
        <v>512</v>
      </c>
      <c r="F196" s="24" t="s">
        <v>546</v>
      </c>
      <c r="G196" s="15" t="s">
        <v>547</v>
      </c>
      <c r="H196" s="9" t="str" cm="1">
        <f t="array" ref="H196">INDEX(stableR[question],MATCH(VALUE(questions[[#This Row],[qno]]),VALUE(stableR[qno]),0))</f>
        <v>How many kilograms of hulled beans did you sell during the main season?</v>
      </c>
      <c r="I196" s="9" t="b" cm="1">
        <f t="array" ref="I196">INDEX(stable[is_fixed],MATCH(VALUE(questions[[#This Row],[qno]]),VALUE(stable[qno]),0))</f>
        <v>0</v>
      </c>
      <c r="J196" s="9" t="b" cm="1">
        <f t="array" ref="J196">INDEX(stable[is_localized],MATCH(VALUE(questions[[#This Row],[qno]]),VALUE(stable[qno]),0))</f>
        <v>0</v>
      </c>
      <c r="K196" s="9" t="b" cm="1">
        <f t="array" ref="K196">INDEX(stable[is_supply_chain_dependent],MATCH(VALUE(questions[[#This Row],[qno]]),VALUE(stable[qno]),0))</f>
        <v>1</v>
      </c>
      <c r="L196" s="9" t="b" cm="1">
        <f t="array" ref="L196">INDEX(stable[is_mandatory],MATCH(VALUE(questions[[#This Row],[qno]]),VALUE(stable[qno]),0))</f>
        <v>0</v>
      </c>
      <c r="M196" s="9" t="b" cm="1">
        <f t="array" ref="M196">INDEX(stable[is_automated],MATCH(VALUE(questions[[#This Row],[qno]]),VALUE(stable[qno]),0))</f>
        <v>0</v>
      </c>
      <c r="N196" s="9" t="b" cm="1">
        <f t="array" ref="N196">INDEX(stable[is_free_text],MATCH(VALUE(questions[[#This Row],[qno]]),VALUE(stable[qno]),0))</f>
        <v>0</v>
      </c>
      <c r="O196" s="9" t="b" cm="1">
        <f t="array" ref="O196">INDEX(stable[is_numerical],MATCH(VALUE(questions[[#This Row],[qno]]),VALUE(stable[qno]),0))</f>
        <v>1</v>
      </c>
      <c r="P196" s="32" t="b" cm="1">
        <f t="array" ref="P196">INDEX(stable[is_single_select],MATCH(VALUE(questions[[#This Row],[qno]]),VALUE(stable[qno]),0))</f>
        <v>0</v>
      </c>
      <c r="Q196" s="9" t="b" cm="1">
        <f t="array" ref="Q196">INDEX(stable[is_multi_select],MATCH(VALUE(questions[[#This Row],[qno]]),VALUE(stable[qno]),0))</f>
        <v>0</v>
      </c>
      <c r="R196" s="9" t="b" cm="1">
        <f t="array" ref="R196">INDEX(stable[is_skip_logic],MATCH(VALUE(questions[[#This Row],[qno]]),VALUE(stable[qno]),0))</f>
        <v>0</v>
      </c>
      <c r="S196" s="9" t="str">
        <f>_xlfn.TEXTJOIN(", ",TRUE,questions[[#This Row],[ans_opt_1]:[ans_opt_14]])</f>
        <v/>
      </c>
      <c r="AH196" s="16" t="b">
        <f>INDEX(stable[q_standard],MATCH(questions[[#This Row],[qno]],stable[qno],0))</f>
        <v>0</v>
      </c>
      <c r="AI196" s="16" t="b">
        <f>INDEX(stable[q_living_income],MATCH(questions[[#This Row],[qno]],stable[qno],0))</f>
        <v>1</v>
      </c>
      <c r="AJ196" s="16" t="b">
        <f>INDEX(stable[q_carbon],MATCH(questions[[#This Row],[qno]],stable[qno],0))</f>
        <v>1</v>
      </c>
      <c r="AK196" s="16" t="b">
        <f>INDEX(stable[q_regen_ag],MATCH(questions[[#This Row],[qno]],stable[qno],0))</f>
        <v>1</v>
      </c>
      <c r="AL196" s="16" t="b">
        <f>COUNTIFS(stable[qno],questions[[#This Row],[qno]])=1</f>
        <v>1</v>
      </c>
      <c r="AM196" s="16" t="b">
        <f>OR(questions[[#This Row],[is_fixed]],questions[[#This Row],[is_localized]],questions[[#This Row],[is_supply_chain_dependent]])</f>
        <v>1</v>
      </c>
      <c r="AN196" s="16" t="b">
        <f>COUNTIFS(questions[[#This Row],[is_automated]:[is_multi_select]],TRUE)=1</f>
        <v>1</v>
      </c>
      <c r="AO196" s="16" t="b">
        <f>IF(questions[[#This Row],[is_fixed]],questions[[#This Row],[question]]=INDEX(stable[question],MATCH(questions[[#This Row],[qno]],stable[qno],0)),TRUE)</f>
        <v>1</v>
      </c>
      <c r="AP196" s="16" t="str">
        <f>LEFT(questions[[#This Row],[question]],similarity_range)</f>
        <v>How many kilograms o</v>
      </c>
      <c r="AQ196" s="16" t="str">
        <f>LEFT(INDEX(stable[question],MATCH(questions[[#This Row],[qno]],stable[qno],0)),similarity_range)</f>
        <v>How many kilograms o</v>
      </c>
      <c r="AR196" s="16" t="b">
        <f>questions[[#This Row],[question_first_characters]]=questions[[#This Row],[stability_first_characters]]</f>
        <v>1</v>
      </c>
      <c r="AS196" s="16" t="b">
        <f>IF(OR(questions[[#This Row],[is_single_select]],questions[[#This Row],[is_multi_select]]),NOT(ISBLANK(questions[[#This Row],[answer_opt_combined]])),TRUE)</f>
        <v>1</v>
      </c>
    </row>
    <row r="197" spans="1:45" x14ac:dyDescent="0.25">
      <c r="A197" s="9" t="str">
        <f>_xlfn.TEXTJOIN("_",TRUE,questions[[#This Row],[origin]:[qno]])</f>
        <v>Uganda_Arabica_Sbux_3211</v>
      </c>
      <c r="B197" s="9" t="s">
        <v>511</v>
      </c>
      <c r="C197" s="9" t="s">
        <v>59</v>
      </c>
      <c r="D197" s="9" t="s">
        <v>512</v>
      </c>
      <c r="F197" s="24" t="s">
        <v>548</v>
      </c>
      <c r="G197" s="15" t="s">
        <v>549</v>
      </c>
      <c r="H197" s="9" t="str" cm="1">
        <f t="array" ref="H197">INDEX(stableR[question],MATCH(VALUE(questions[[#This Row],[qno]]),VALUE(stableR[qno]),0))</f>
        <v>What was the most common price per kilogram that you received for hulled beans harvested in the main season?</v>
      </c>
      <c r="I197" s="9" t="b" cm="1">
        <f t="array" ref="I197">INDEX(stable[is_fixed],MATCH(VALUE(questions[[#This Row],[qno]]),VALUE(stable[qno]),0))</f>
        <v>0</v>
      </c>
      <c r="J197" s="9" t="b" cm="1">
        <f t="array" ref="J197">INDEX(stable[is_localized],MATCH(VALUE(questions[[#This Row],[qno]]),VALUE(stable[qno]),0))</f>
        <v>0</v>
      </c>
      <c r="K197" s="9" t="b" cm="1">
        <f t="array" ref="K197">INDEX(stable[is_supply_chain_dependent],MATCH(VALUE(questions[[#This Row],[qno]]),VALUE(stable[qno]),0))</f>
        <v>1</v>
      </c>
      <c r="L197" s="9" t="b" cm="1">
        <f t="array" ref="L197">INDEX(stable[is_mandatory],MATCH(VALUE(questions[[#This Row],[qno]]),VALUE(stable[qno]),0))</f>
        <v>0</v>
      </c>
      <c r="M197" s="9" t="b" cm="1">
        <f t="array" ref="M197">INDEX(stable[is_automated],MATCH(VALUE(questions[[#This Row],[qno]]),VALUE(stable[qno]),0))</f>
        <v>0</v>
      </c>
      <c r="N197" s="9" t="b" cm="1">
        <f t="array" ref="N197">INDEX(stable[is_free_text],MATCH(VALUE(questions[[#This Row],[qno]]),VALUE(stable[qno]),0))</f>
        <v>0</v>
      </c>
      <c r="O197" s="9" t="b" cm="1">
        <f t="array" ref="O197">INDEX(stable[is_numerical],MATCH(VALUE(questions[[#This Row],[qno]]),VALUE(stable[qno]),0))</f>
        <v>1</v>
      </c>
      <c r="P197" s="32" t="b" cm="1">
        <f t="array" ref="P197">INDEX(stable[is_single_select],MATCH(VALUE(questions[[#This Row],[qno]]),VALUE(stable[qno]),0))</f>
        <v>0</v>
      </c>
      <c r="Q197" s="9" t="b" cm="1">
        <f t="array" ref="Q197">INDEX(stable[is_multi_select],MATCH(VALUE(questions[[#This Row],[qno]]),VALUE(stable[qno]),0))</f>
        <v>0</v>
      </c>
      <c r="R197" s="9" t="b" cm="1">
        <f t="array" ref="R197">INDEX(stable[is_skip_logic],MATCH(VALUE(questions[[#This Row],[qno]]),VALUE(stable[qno]),0))</f>
        <v>0</v>
      </c>
      <c r="S197" s="9" t="str">
        <f>_xlfn.TEXTJOIN(", ",TRUE,questions[[#This Row],[ans_opt_1]:[ans_opt_14]])</f>
        <v/>
      </c>
      <c r="AH197" s="16" t="b">
        <f>INDEX(stable[q_standard],MATCH(questions[[#This Row],[qno]],stable[qno],0))</f>
        <v>0</v>
      </c>
      <c r="AI197" s="16" t="b">
        <f>INDEX(stable[q_living_income],MATCH(questions[[#This Row],[qno]],stable[qno],0))</f>
        <v>1</v>
      </c>
      <c r="AJ197" s="16" t="b">
        <f>INDEX(stable[q_carbon],MATCH(questions[[#This Row],[qno]],stable[qno],0))</f>
        <v>0</v>
      </c>
      <c r="AK197" s="16" t="b">
        <f>INDEX(stable[q_regen_ag],MATCH(questions[[#This Row],[qno]],stable[qno],0))</f>
        <v>0</v>
      </c>
      <c r="AL197" s="16" t="b">
        <f>COUNTIFS(stable[qno],questions[[#This Row],[qno]])=1</f>
        <v>1</v>
      </c>
      <c r="AM197" s="16" t="b">
        <f>OR(questions[[#This Row],[is_fixed]],questions[[#This Row],[is_localized]],questions[[#This Row],[is_supply_chain_dependent]])</f>
        <v>1</v>
      </c>
      <c r="AN197" s="16" t="b">
        <f>COUNTIFS(questions[[#This Row],[is_automated]:[is_multi_select]],TRUE)=1</f>
        <v>1</v>
      </c>
      <c r="AO197" s="16" t="b">
        <f>IF(questions[[#This Row],[is_fixed]],questions[[#This Row],[question]]=INDEX(stable[question],MATCH(questions[[#This Row],[qno]],stable[qno],0)),TRUE)</f>
        <v>1</v>
      </c>
      <c r="AP197" s="16" t="str">
        <f>LEFT(questions[[#This Row],[question]],similarity_range)</f>
        <v>What was the most co</v>
      </c>
      <c r="AQ197" s="16" t="str">
        <f>LEFT(INDEX(stable[question],MATCH(questions[[#This Row],[qno]],stable[qno],0)),similarity_range)</f>
        <v>What was the most co</v>
      </c>
      <c r="AR197" s="16" t="b">
        <f>questions[[#This Row],[question_first_characters]]=questions[[#This Row],[stability_first_characters]]</f>
        <v>1</v>
      </c>
      <c r="AS197" s="16" t="b">
        <f>IF(OR(questions[[#This Row],[is_single_select]],questions[[#This Row],[is_multi_select]]),NOT(ISBLANK(questions[[#This Row],[answer_opt_combined]])),TRUE)</f>
        <v>1</v>
      </c>
    </row>
    <row r="198" spans="1:45" x14ac:dyDescent="0.25">
      <c r="A198" s="9" t="str">
        <f>_xlfn.TEXTJOIN("_",TRUE,questions[[#This Row],[origin]:[qno]])</f>
        <v>Uganda_Arabica_Sbux_3220</v>
      </c>
      <c r="B198" s="9" t="s">
        <v>511</v>
      </c>
      <c r="C198" s="9" t="s">
        <v>59</v>
      </c>
      <c r="D198" s="9" t="s">
        <v>512</v>
      </c>
      <c r="F198" s="24" t="s">
        <v>550</v>
      </c>
      <c r="G198" s="15" t="s">
        <v>551</v>
      </c>
      <c r="H198" s="9" t="str" cm="1">
        <f t="array" ref="H198">INDEX(stableR[question],MATCH(VALUE(questions[[#This Row],[qno]]),VALUE(stableR[qno]),0))</f>
        <v>How many kilograms of dried cherries did you sell during the main season?</v>
      </c>
      <c r="I198" s="9" t="b" cm="1">
        <f t="array" ref="I198">INDEX(stable[is_fixed],MATCH(VALUE(questions[[#This Row],[qno]]),VALUE(stable[qno]),0))</f>
        <v>0</v>
      </c>
      <c r="J198" s="9" t="b" cm="1">
        <f t="array" ref="J198">INDEX(stable[is_localized],MATCH(VALUE(questions[[#This Row],[qno]]),VALUE(stable[qno]),0))</f>
        <v>0</v>
      </c>
      <c r="K198" s="9" t="b" cm="1">
        <f t="array" ref="K198">INDEX(stable[is_supply_chain_dependent],MATCH(VALUE(questions[[#This Row],[qno]]),VALUE(stable[qno]),0))</f>
        <v>1</v>
      </c>
      <c r="L198" s="9" t="b" cm="1">
        <f t="array" ref="L198">INDEX(stable[is_mandatory],MATCH(VALUE(questions[[#This Row],[qno]]),VALUE(stable[qno]),0))</f>
        <v>0</v>
      </c>
      <c r="M198" s="9" t="b" cm="1">
        <f t="array" ref="M198">INDEX(stable[is_automated],MATCH(VALUE(questions[[#This Row],[qno]]),VALUE(stable[qno]),0))</f>
        <v>0</v>
      </c>
      <c r="N198" s="9" t="b" cm="1">
        <f t="array" ref="N198">INDEX(stable[is_free_text],MATCH(VALUE(questions[[#This Row],[qno]]),VALUE(stable[qno]),0))</f>
        <v>0</v>
      </c>
      <c r="O198" s="9" t="b" cm="1">
        <f t="array" ref="O198">INDEX(stable[is_numerical],MATCH(VALUE(questions[[#This Row],[qno]]),VALUE(stable[qno]),0))</f>
        <v>1</v>
      </c>
      <c r="P198" s="32" t="b" cm="1">
        <f t="array" ref="P198">INDEX(stable[is_single_select],MATCH(VALUE(questions[[#This Row],[qno]]),VALUE(stable[qno]),0))</f>
        <v>0</v>
      </c>
      <c r="Q198" s="9" t="b" cm="1">
        <f t="array" ref="Q198">INDEX(stable[is_multi_select],MATCH(VALUE(questions[[#This Row],[qno]]),VALUE(stable[qno]),0))</f>
        <v>0</v>
      </c>
      <c r="R198" s="9" t="b" cm="1">
        <f t="array" ref="R198">INDEX(stable[is_skip_logic],MATCH(VALUE(questions[[#This Row],[qno]]),VALUE(stable[qno]),0))</f>
        <v>0</v>
      </c>
      <c r="S198" s="9" t="str">
        <f>_xlfn.TEXTJOIN(", ",TRUE,questions[[#This Row],[ans_opt_1]:[ans_opt_14]])</f>
        <v/>
      </c>
      <c r="AH198" s="16" t="b">
        <f>INDEX(stable[q_standard],MATCH(questions[[#This Row],[qno]],stable[qno],0))</f>
        <v>0</v>
      </c>
      <c r="AI198" s="16" t="b">
        <f>INDEX(stable[q_living_income],MATCH(questions[[#This Row],[qno]],stable[qno],0))</f>
        <v>1</v>
      </c>
      <c r="AJ198" s="16" t="b">
        <f>INDEX(stable[q_carbon],MATCH(questions[[#This Row],[qno]],stable[qno],0))</f>
        <v>1</v>
      </c>
      <c r="AK198" s="16" t="b">
        <f>INDEX(stable[q_regen_ag],MATCH(questions[[#This Row],[qno]],stable[qno],0))</f>
        <v>1</v>
      </c>
      <c r="AL198" s="16" t="b">
        <f>COUNTIFS(stable[qno],questions[[#This Row],[qno]])=1</f>
        <v>1</v>
      </c>
      <c r="AM198" s="16" t="b">
        <f>OR(questions[[#This Row],[is_fixed]],questions[[#This Row],[is_localized]],questions[[#This Row],[is_supply_chain_dependent]])</f>
        <v>1</v>
      </c>
      <c r="AN198" s="16" t="b">
        <f>COUNTIFS(questions[[#This Row],[is_automated]:[is_multi_select]],TRUE)=1</f>
        <v>1</v>
      </c>
      <c r="AO198" s="16" t="b">
        <f>IF(questions[[#This Row],[is_fixed]],questions[[#This Row],[question]]=INDEX(stable[question],MATCH(questions[[#This Row],[qno]],stable[qno],0)),TRUE)</f>
        <v>1</v>
      </c>
      <c r="AP198" s="16" t="str">
        <f>LEFT(questions[[#This Row],[question]],similarity_range)</f>
        <v>How many kilograms o</v>
      </c>
      <c r="AQ198" s="16" t="str">
        <f>LEFT(INDEX(stable[question],MATCH(questions[[#This Row],[qno]],stable[qno],0)),similarity_range)</f>
        <v>How many kilograms o</v>
      </c>
      <c r="AR198" s="16" t="b">
        <f>questions[[#This Row],[question_first_characters]]=questions[[#This Row],[stability_first_characters]]</f>
        <v>1</v>
      </c>
      <c r="AS198" s="16" t="b">
        <f>IF(OR(questions[[#This Row],[is_single_select]],questions[[#This Row],[is_multi_select]]),NOT(ISBLANK(questions[[#This Row],[answer_opt_combined]])),TRUE)</f>
        <v>1</v>
      </c>
    </row>
    <row r="199" spans="1:45" x14ac:dyDescent="0.25">
      <c r="A199" s="9" t="str">
        <f>_xlfn.TEXTJOIN("_",TRUE,questions[[#This Row],[origin]:[qno]])</f>
        <v>Uganda_Arabica_Sbux_3221</v>
      </c>
      <c r="B199" s="9" t="s">
        <v>511</v>
      </c>
      <c r="C199" s="9" t="s">
        <v>59</v>
      </c>
      <c r="D199" s="9" t="s">
        <v>512</v>
      </c>
      <c r="F199" s="24" t="s">
        <v>552</v>
      </c>
      <c r="G199" s="15" t="s">
        <v>553</v>
      </c>
      <c r="H199" s="9" t="str" cm="1">
        <f t="array" ref="H199">INDEX(stableR[question],MATCH(VALUE(questions[[#This Row],[qno]]),VALUE(stableR[qno]),0))</f>
        <v>What was the most common price per kilogram that you received for dried cherries harvested in the main season? (in local currency)</v>
      </c>
      <c r="I199" s="9" t="b" cm="1">
        <f t="array" ref="I199">INDEX(stable[is_fixed],MATCH(VALUE(questions[[#This Row],[qno]]),VALUE(stable[qno]),0))</f>
        <v>0</v>
      </c>
      <c r="J199" s="9" t="b" cm="1">
        <f t="array" ref="J199">INDEX(stable[is_localized],MATCH(VALUE(questions[[#This Row],[qno]]),VALUE(stable[qno]),0))</f>
        <v>0</v>
      </c>
      <c r="K199" s="9" t="b" cm="1">
        <f t="array" ref="K199">INDEX(stable[is_supply_chain_dependent],MATCH(VALUE(questions[[#This Row],[qno]]),VALUE(stable[qno]),0))</f>
        <v>1</v>
      </c>
      <c r="L199" s="9" t="b" cm="1">
        <f t="array" ref="L199">INDEX(stable[is_mandatory],MATCH(VALUE(questions[[#This Row],[qno]]),VALUE(stable[qno]),0))</f>
        <v>0</v>
      </c>
      <c r="M199" s="9" t="b" cm="1">
        <f t="array" ref="M199">INDEX(stable[is_automated],MATCH(VALUE(questions[[#This Row],[qno]]),VALUE(stable[qno]),0))</f>
        <v>0</v>
      </c>
      <c r="N199" s="9" t="b" cm="1">
        <f t="array" ref="N199">INDEX(stable[is_free_text],MATCH(VALUE(questions[[#This Row],[qno]]),VALUE(stable[qno]),0))</f>
        <v>0</v>
      </c>
      <c r="O199" s="9" t="b" cm="1">
        <f t="array" ref="O199">INDEX(stable[is_numerical],MATCH(VALUE(questions[[#This Row],[qno]]),VALUE(stable[qno]),0))</f>
        <v>1</v>
      </c>
      <c r="P199" s="32" t="b" cm="1">
        <f t="array" ref="P199">INDEX(stable[is_single_select],MATCH(VALUE(questions[[#This Row],[qno]]),VALUE(stable[qno]),0))</f>
        <v>0</v>
      </c>
      <c r="Q199" s="9" t="b" cm="1">
        <f t="array" ref="Q199">INDEX(stable[is_multi_select],MATCH(VALUE(questions[[#This Row],[qno]]),VALUE(stable[qno]),0))</f>
        <v>0</v>
      </c>
      <c r="R199" s="9" t="b" cm="1">
        <f t="array" ref="R199">INDEX(stable[is_skip_logic],MATCH(VALUE(questions[[#This Row],[qno]]),VALUE(stable[qno]),0))</f>
        <v>0</v>
      </c>
      <c r="S199" s="9" t="str">
        <f>_xlfn.TEXTJOIN(", ",TRUE,questions[[#This Row],[ans_opt_1]:[ans_opt_14]])</f>
        <v/>
      </c>
      <c r="AH199" s="16" t="b">
        <f>INDEX(stable[q_standard],MATCH(questions[[#This Row],[qno]],stable[qno],0))</f>
        <v>0</v>
      </c>
      <c r="AI199" s="16" t="b">
        <f>INDEX(stable[q_living_income],MATCH(questions[[#This Row],[qno]],stable[qno],0))</f>
        <v>1</v>
      </c>
      <c r="AJ199" s="16" t="b">
        <f>INDEX(stable[q_carbon],MATCH(questions[[#This Row],[qno]],stable[qno],0))</f>
        <v>0</v>
      </c>
      <c r="AK199" s="16" t="b">
        <f>INDEX(stable[q_regen_ag],MATCH(questions[[#This Row],[qno]],stable[qno],0))</f>
        <v>0</v>
      </c>
      <c r="AL199" s="16" t="b">
        <f>COUNTIFS(stable[qno],questions[[#This Row],[qno]])=1</f>
        <v>1</v>
      </c>
      <c r="AM199" s="16" t="b">
        <f>OR(questions[[#This Row],[is_fixed]],questions[[#This Row],[is_localized]],questions[[#This Row],[is_supply_chain_dependent]])</f>
        <v>1</v>
      </c>
      <c r="AN199" s="16" t="b">
        <f>COUNTIFS(questions[[#This Row],[is_automated]:[is_multi_select]],TRUE)=1</f>
        <v>1</v>
      </c>
      <c r="AO199" s="16" t="b">
        <f>IF(questions[[#This Row],[is_fixed]],questions[[#This Row],[question]]=INDEX(stable[question],MATCH(questions[[#This Row],[qno]],stable[qno],0)),TRUE)</f>
        <v>1</v>
      </c>
      <c r="AP199" s="16" t="str">
        <f>LEFT(questions[[#This Row],[question]],similarity_range)</f>
        <v>What was the most co</v>
      </c>
      <c r="AQ199" s="16" t="str">
        <f>LEFT(INDEX(stable[question],MATCH(questions[[#This Row],[qno]],stable[qno],0)),similarity_range)</f>
        <v>What was the most co</v>
      </c>
      <c r="AR199" s="16" t="b">
        <f>questions[[#This Row],[question_first_characters]]=questions[[#This Row],[stability_first_characters]]</f>
        <v>1</v>
      </c>
      <c r="AS199" s="16" t="b">
        <f>IF(OR(questions[[#This Row],[is_single_select]],questions[[#This Row],[is_multi_select]]),NOT(ISBLANK(questions[[#This Row],[answer_opt_combined]])),TRUE)</f>
        <v>1</v>
      </c>
    </row>
    <row r="200" spans="1:45" x14ac:dyDescent="0.25">
      <c r="A200" s="9" t="str">
        <f>_xlfn.TEXTJOIN("_",TRUE,questions[[#This Row],[origin]:[qno]])</f>
        <v>Uganda_Arabica_Sbux_3298</v>
      </c>
      <c r="B200" s="9" t="s">
        <v>511</v>
      </c>
      <c r="C200" s="9" t="s">
        <v>59</v>
      </c>
      <c r="D200" s="9" t="s">
        <v>512</v>
      </c>
      <c r="F200" s="24" t="s">
        <v>554</v>
      </c>
      <c r="G200" s="15" t="s">
        <v>555</v>
      </c>
      <c r="H200" s="9" t="str" cm="1">
        <f t="array" ref="H200">INDEX(stableR[question],MATCH(VALUE(questions[[#This Row],[qno]]),VALUE(stableR[qno]),0))</f>
        <v>Of the initial coffee cherries that were formed after flowering, what proportion was lost before sale, during the main season?</v>
      </c>
      <c r="I200" s="9" t="b" cm="1">
        <f t="array" ref="I200">INDEX(stable[is_fixed],MATCH(VALUE(questions[[#This Row],[qno]]),VALUE(stable[qno]),0))</f>
        <v>1</v>
      </c>
      <c r="J200" s="9" t="b" cm="1">
        <f t="array" ref="J200">INDEX(stable[is_localized],MATCH(VALUE(questions[[#This Row],[qno]]),VALUE(stable[qno]),0))</f>
        <v>0</v>
      </c>
      <c r="K200" s="9" t="b" cm="1">
        <f t="array" ref="K200">INDEX(stable[is_supply_chain_dependent],MATCH(VALUE(questions[[#This Row],[qno]]),VALUE(stable[qno]),0))</f>
        <v>0</v>
      </c>
      <c r="L200" s="9" t="b" cm="1">
        <f t="array" ref="L200">INDEX(stable[is_mandatory],MATCH(VALUE(questions[[#This Row],[qno]]),VALUE(stable[qno]),0))</f>
        <v>0</v>
      </c>
      <c r="M200" s="9" t="b" cm="1">
        <f t="array" ref="M200">INDEX(stable[is_automated],MATCH(VALUE(questions[[#This Row],[qno]]),VALUE(stable[qno]),0))</f>
        <v>0</v>
      </c>
      <c r="N200" s="9" t="b" cm="1">
        <f t="array" ref="N200">INDEX(stable[is_free_text],MATCH(VALUE(questions[[#This Row],[qno]]),VALUE(stable[qno]),0))</f>
        <v>0</v>
      </c>
      <c r="O200" s="9" t="b" cm="1">
        <f t="array" ref="O200">INDEX(stable[is_numerical],MATCH(VALUE(questions[[#This Row],[qno]]),VALUE(stable[qno]),0))</f>
        <v>1</v>
      </c>
      <c r="P200" s="32" t="b" cm="1">
        <f t="array" ref="P200">INDEX(stable[is_single_select],MATCH(VALUE(questions[[#This Row],[qno]]),VALUE(stable[qno]),0))</f>
        <v>0</v>
      </c>
      <c r="Q200" s="9" t="b" cm="1">
        <f t="array" ref="Q200">INDEX(stable[is_multi_select],MATCH(VALUE(questions[[#This Row],[qno]]),VALUE(stable[qno]),0))</f>
        <v>0</v>
      </c>
      <c r="R200" s="9" t="b" cm="1">
        <f t="array" ref="R200">INDEX(stable[is_skip_logic],MATCH(VALUE(questions[[#This Row],[qno]]),VALUE(stable[qno]),0))</f>
        <v>0</v>
      </c>
      <c r="S200" s="9" t="str">
        <f>_xlfn.TEXTJOIN(", ",TRUE,questions[[#This Row],[ans_opt_1]:[ans_opt_14]])</f>
        <v/>
      </c>
      <c r="AH200" s="16" t="b">
        <f>INDEX(stable[q_standard],MATCH(questions[[#This Row],[qno]],stable[qno],0))</f>
        <v>0</v>
      </c>
      <c r="AI200" s="16" t="b">
        <f>INDEX(stable[q_living_income],MATCH(questions[[#This Row],[qno]],stable[qno],0))</f>
        <v>1</v>
      </c>
      <c r="AJ200" s="16" t="b">
        <f>INDEX(stable[q_carbon],MATCH(questions[[#This Row],[qno]],stable[qno],0))</f>
        <v>1</v>
      </c>
      <c r="AK200" s="16" t="b">
        <f>INDEX(stable[q_regen_ag],MATCH(questions[[#This Row],[qno]],stable[qno],0))</f>
        <v>1</v>
      </c>
      <c r="AL200" s="16" t="b">
        <f>COUNTIFS(stable[qno],questions[[#This Row],[qno]])=1</f>
        <v>1</v>
      </c>
      <c r="AM200" s="16" t="b">
        <f>OR(questions[[#This Row],[is_fixed]],questions[[#This Row],[is_localized]],questions[[#This Row],[is_supply_chain_dependent]])</f>
        <v>1</v>
      </c>
      <c r="AN200" s="16" t="b">
        <f>COUNTIFS(questions[[#This Row],[is_automated]:[is_multi_select]],TRUE)=1</f>
        <v>1</v>
      </c>
      <c r="AO200" s="16" t="b">
        <f>IF(questions[[#This Row],[is_fixed]],questions[[#This Row],[question]]=INDEX(stable[question],MATCH(questions[[#This Row],[qno]],stable[qno],0)),TRUE)</f>
        <v>1</v>
      </c>
      <c r="AP200" s="16" t="str">
        <f>LEFT(questions[[#This Row],[question]],similarity_range)</f>
        <v>Of the initial coffe</v>
      </c>
      <c r="AQ200" s="16" t="str">
        <f>LEFT(INDEX(stable[question],MATCH(questions[[#This Row],[qno]],stable[qno],0)),similarity_range)</f>
        <v>Of the initial coffe</v>
      </c>
      <c r="AR200" s="16" t="b">
        <f>questions[[#This Row],[question_first_characters]]=questions[[#This Row],[stability_first_characters]]</f>
        <v>1</v>
      </c>
      <c r="AS200" s="16" t="b">
        <f>IF(OR(questions[[#This Row],[is_single_select]],questions[[#This Row],[is_multi_select]]),NOT(ISBLANK(questions[[#This Row],[answer_opt_combined]])),TRUE)</f>
        <v>1</v>
      </c>
    </row>
    <row r="201" spans="1:45" x14ac:dyDescent="0.25">
      <c r="A201" s="9" t="str">
        <f>_xlfn.TEXTJOIN("_",TRUE,questions[[#This Row],[origin]:[qno]])</f>
        <v>Uganda_Arabica_Sbux_3299</v>
      </c>
      <c r="B201" s="9" t="s">
        <v>511</v>
      </c>
      <c r="C201" s="9" t="s">
        <v>59</v>
      </c>
      <c r="D201" s="9" t="s">
        <v>512</v>
      </c>
      <c r="F201" s="24" t="s">
        <v>556</v>
      </c>
      <c r="G201" s="15" t="s">
        <v>557</v>
      </c>
      <c r="H201" s="9" t="str" cm="1">
        <f t="array" ref="H201">INDEX(stableR[question],MATCH(VALUE(questions[[#This Row],[qno]]),VALUE(stableR[qno]),0))</f>
        <v>Of the coffee cherries lost during the main season, what were the main reasons for the loss? (You can choose multiple reasons.)</v>
      </c>
      <c r="I201" s="9" t="b" cm="1">
        <f t="array" ref="I201">INDEX(stable[is_fixed],MATCH(VALUE(questions[[#This Row],[qno]]),VALUE(stable[qno]),0))</f>
        <v>1</v>
      </c>
      <c r="J201" s="9" t="b" cm="1">
        <f t="array" ref="J201">INDEX(stable[is_localized],MATCH(VALUE(questions[[#This Row],[qno]]),VALUE(stable[qno]),0))</f>
        <v>0</v>
      </c>
      <c r="K201" s="9" t="b" cm="1">
        <f t="array" ref="K201">INDEX(stable[is_supply_chain_dependent],MATCH(VALUE(questions[[#This Row],[qno]]),VALUE(stable[qno]),0))</f>
        <v>0</v>
      </c>
      <c r="L201" s="9" t="b" cm="1">
        <f t="array" ref="L201">INDEX(stable[is_mandatory],MATCH(VALUE(questions[[#This Row],[qno]]),VALUE(stable[qno]),0))</f>
        <v>0</v>
      </c>
      <c r="M201" s="9" t="b" cm="1">
        <f t="array" ref="M201">INDEX(stable[is_automated],MATCH(VALUE(questions[[#This Row],[qno]]),VALUE(stable[qno]),0))</f>
        <v>0</v>
      </c>
      <c r="N201" s="9" t="b" cm="1">
        <f t="array" ref="N201">INDEX(stable[is_free_text],MATCH(VALUE(questions[[#This Row],[qno]]),VALUE(stable[qno]),0))</f>
        <v>1</v>
      </c>
      <c r="O201" s="9" t="b" cm="1">
        <f t="array" ref="O201">INDEX(stable[is_numerical],MATCH(VALUE(questions[[#This Row],[qno]]),VALUE(stable[qno]),0))</f>
        <v>0</v>
      </c>
      <c r="P201" s="32" t="b" cm="1">
        <f t="array" ref="P201">INDEX(stable[is_single_select],MATCH(VALUE(questions[[#This Row],[qno]]),VALUE(stable[qno]),0))</f>
        <v>0</v>
      </c>
      <c r="Q201" s="9" t="b" cm="1">
        <f t="array" ref="Q201">INDEX(stable[is_multi_select],MATCH(VALUE(questions[[#This Row],[qno]]),VALUE(stable[qno]),0))</f>
        <v>0</v>
      </c>
      <c r="R201" s="9" t="b" cm="1">
        <f t="array" ref="R201">INDEX(stable[is_skip_logic],MATCH(VALUE(questions[[#This Row],[qno]]),VALUE(stable[qno]),0))</f>
        <v>0</v>
      </c>
      <c r="S201" s="9" t="str">
        <f>_xlfn.TEXTJOIN(", ",TRUE,questions[[#This Row],[ans_opt_1]:[ans_opt_14]])</f>
        <v/>
      </c>
      <c r="AH201" s="16" t="b">
        <f>INDEX(stable[q_standard],MATCH(questions[[#This Row],[qno]],stable[qno],0))</f>
        <v>0</v>
      </c>
      <c r="AI201" s="16" t="b">
        <f>INDEX(stable[q_living_income],MATCH(questions[[#This Row],[qno]],stable[qno],0))</f>
        <v>1</v>
      </c>
      <c r="AJ201" s="16" t="b">
        <f>INDEX(stable[q_carbon],MATCH(questions[[#This Row],[qno]],stable[qno],0))</f>
        <v>1</v>
      </c>
      <c r="AK201" s="16" t="b">
        <f>INDEX(stable[q_regen_ag],MATCH(questions[[#This Row],[qno]],stable[qno],0))</f>
        <v>1</v>
      </c>
      <c r="AL201" s="16" t="b">
        <f>COUNTIFS(stable[qno],questions[[#This Row],[qno]])=1</f>
        <v>1</v>
      </c>
      <c r="AM201" s="16" t="b">
        <f>OR(questions[[#This Row],[is_fixed]],questions[[#This Row],[is_localized]],questions[[#This Row],[is_supply_chain_dependent]])</f>
        <v>1</v>
      </c>
      <c r="AN201" s="16" t="b">
        <f>COUNTIFS(questions[[#This Row],[is_automated]:[is_multi_select]],TRUE)=1</f>
        <v>1</v>
      </c>
      <c r="AO201" s="16" t="b">
        <f>IF(questions[[#This Row],[is_fixed]],questions[[#This Row],[question]]=INDEX(stable[question],MATCH(questions[[#This Row],[qno]],stable[qno],0)),TRUE)</f>
        <v>1</v>
      </c>
      <c r="AP201" s="16" t="str">
        <f>LEFT(questions[[#This Row],[question]],similarity_range)</f>
        <v>Of the coffee cherri</v>
      </c>
      <c r="AQ201" s="16" t="str">
        <f>LEFT(INDEX(stable[question],MATCH(questions[[#This Row],[qno]],stable[qno],0)),similarity_range)</f>
        <v>Of the coffee cherri</v>
      </c>
      <c r="AR201" s="16" t="b">
        <f>questions[[#This Row],[question_first_characters]]=questions[[#This Row],[stability_first_characters]]</f>
        <v>1</v>
      </c>
      <c r="AS201" s="16" t="b">
        <f>IF(OR(questions[[#This Row],[is_single_select]],questions[[#This Row],[is_multi_select]]),NOT(ISBLANK(questions[[#This Row],[answer_opt_combined]])),TRUE)</f>
        <v>1</v>
      </c>
    </row>
    <row r="202" spans="1:45" x14ac:dyDescent="0.25">
      <c r="A202" s="9" t="str">
        <f>_xlfn.TEXTJOIN("_",TRUE,questions[[#This Row],[origin]:[qno]])</f>
        <v>Uganda_Arabica_Sbux_4000</v>
      </c>
      <c r="B202" s="9" t="s">
        <v>511</v>
      </c>
      <c r="C202" s="9" t="s">
        <v>59</v>
      </c>
      <c r="D202" s="9" t="s">
        <v>512</v>
      </c>
      <c r="F202" s="24" t="s">
        <v>143</v>
      </c>
      <c r="G202" s="15" t="s">
        <v>144</v>
      </c>
      <c r="H202" s="9" t="str" cm="1">
        <f t="array" ref="H202">INDEX(stableR[question],MATCH(VALUE(questions[[#This Row],[qno]]),VALUE(stableR[qno]),0))</f>
        <v>About how many coffee trees do you have across all your coffee plots combined?</v>
      </c>
      <c r="I202" s="9" t="b" cm="1">
        <f t="array" ref="I202">INDEX(stable[is_fixed],MATCH(VALUE(questions[[#This Row],[qno]]),VALUE(stable[qno]),0))</f>
        <v>1</v>
      </c>
      <c r="J202" s="9" t="b" cm="1">
        <f t="array" ref="J202">INDEX(stable[is_localized],MATCH(VALUE(questions[[#This Row],[qno]]),VALUE(stable[qno]),0))</f>
        <v>0</v>
      </c>
      <c r="K202" s="9" t="b" cm="1">
        <f t="array" ref="K202">INDEX(stable[is_supply_chain_dependent],MATCH(VALUE(questions[[#This Row],[qno]]),VALUE(stable[qno]),0))</f>
        <v>0</v>
      </c>
      <c r="L202" s="9" t="b" cm="1">
        <f t="array" ref="L202">INDEX(stable[is_mandatory],MATCH(VALUE(questions[[#This Row],[qno]]),VALUE(stable[qno]),0))</f>
        <v>1</v>
      </c>
      <c r="M202" s="9" t="b" cm="1">
        <f t="array" ref="M202">INDEX(stable[is_automated],MATCH(VALUE(questions[[#This Row],[qno]]),VALUE(stable[qno]),0))</f>
        <v>0</v>
      </c>
      <c r="N202" s="9" t="b" cm="1">
        <f t="array" ref="N202">INDEX(stable[is_free_text],MATCH(VALUE(questions[[#This Row],[qno]]),VALUE(stable[qno]),0))</f>
        <v>0</v>
      </c>
      <c r="O202" s="9" t="b" cm="1">
        <f t="array" ref="O202">INDEX(stable[is_numerical],MATCH(VALUE(questions[[#This Row],[qno]]),VALUE(stable[qno]),0))</f>
        <v>1</v>
      </c>
      <c r="P202" s="32" t="b" cm="1">
        <f t="array" ref="P202">INDEX(stable[is_single_select],MATCH(VALUE(questions[[#This Row],[qno]]),VALUE(stable[qno]),0))</f>
        <v>0</v>
      </c>
      <c r="Q202" s="9" t="b" cm="1">
        <f t="array" ref="Q202">INDEX(stable[is_multi_select],MATCH(VALUE(questions[[#This Row],[qno]]),VALUE(stable[qno]),0))</f>
        <v>0</v>
      </c>
      <c r="R202" s="9" t="b" cm="1">
        <f t="array" ref="R202">INDEX(stable[is_skip_logic],MATCH(VALUE(questions[[#This Row],[qno]]),VALUE(stable[qno]),0))</f>
        <v>0</v>
      </c>
      <c r="S202" s="9" t="str">
        <f>_xlfn.TEXTJOIN(", ",TRUE,questions[[#This Row],[ans_opt_1]:[ans_opt_14]])</f>
        <v/>
      </c>
      <c r="AH202" s="16" t="b">
        <f>INDEX(stable[q_standard],MATCH(questions[[#This Row],[qno]],stable[qno],0))</f>
        <v>0</v>
      </c>
      <c r="AI202" s="16" t="b">
        <f>INDEX(stable[q_living_income],MATCH(questions[[#This Row],[qno]],stable[qno],0))</f>
        <v>1</v>
      </c>
      <c r="AJ202" s="16" t="b">
        <f>INDEX(stable[q_carbon],MATCH(questions[[#This Row],[qno]],stable[qno],0))</f>
        <v>1</v>
      </c>
      <c r="AK202" s="16" t="b">
        <f>INDEX(stable[q_regen_ag],MATCH(questions[[#This Row],[qno]],stable[qno],0))</f>
        <v>1</v>
      </c>
      <c r="AL202" s="16" t="b">
        <f>COUNTIFS(stable[qno],questions[[#This Row],[qno]])=1</f>
        <v>1</v>
      </c>
      <c r="AM202" s="16" t="b">
        <f>OR(questions[[#This Row],[is_fixed]],questions[[#This Row],[is_localized]],questions[[#This Row],[is_supply_chain_dependent]])</f>
        <v>1</v>
      </c>
      <c r="AN202" s="16" t="b">
        <f>COUNTIFS(questions[[#This Row],[is_automated]:[is_multi_select]],TRUE)=1</f>
        <v>1</v>
      </c>
      <c r="AO202" s="16" t="b">
        <f>IF(questions[[#This Row],[is_fixed]],questions[[#This Row],[question]]=INDEX(stable[question],MATCH(questions[[#This Row],[qno]],stable[qno],0)),TRUE)</f>
        <v>1</v>
      </c>
      <c r="AP202" s="16" t="str">
        <f>LEFT(questions[[#This Row],[question]],similarity_range)</f>
        <v>Can you estimate how</v>
      </c>
      <c r="AQ202" s="16" t="str">
        <f>LEFT(INDEX(stable[question],MATCH(questions[[#This Row],[qno]],stable[qno],0)),similarity_range)</f>
        <v>Can you estimate how</v>
      </c>
      <c r="AR202" s="16" t="b">
        <f>questions[[#This Row],[question_first_characters]]=questions[[#This Row],[stability_first_characters]]</f>
        <v>1</v>
      </c>
      <c r="AS202" s="16" t="b">
        <f>IF(OR(questions[[#This Row],[is_single_select]],questions[[#This Row],[is_multi_select]]),NOT(ISBLANK(questions[[#This Row],[answer_opt_combined]])),TRUE)</f>
        <v>1</v>
      </c>
    </row>
    <row r="203" spans="1:45" x14ac:dyDescent="0.25">
      <c r="A203" s="9" t="str">
        <f>_xlfn.TEXTJOIN("_",TRUE,questions[[#This Row],[origin]:[qno]])</f>
        <v>Uganda_Arabica_Sbux_4100</v>
      </c>
      <c r="B203" s="9" t="s">
        <v>511</v>
      </c>
      <c r="C203" s="9" t="s">
        <v>59</v>
      </c>
      <c r="D203" s="9" t="s">
        <v>512</v>
      </c>
      <c r="F203" s="24" t="s">
        <v>145</v>
      </c>
      <c r="G203" s="15" t="s">
        <v>146</v>
      </c>
      <c r="H203" s="9" t="str" cm="1">
        <f t="array" ref="H203">INDEX(stableR[question],MATCH(VALUE(questions[[#This Row],[qno]]),VALUE(stableR[qno]),0))</f>
        <v>In total, how many plots with coffee do you have?</v>
      </c>
      <c r="I203" s="9" t="b" cm="1">
        <f t="array" ref="I203">INDEX(stable[is_fixed],MATCH(VALUE(questions[[#This Row],[qno]]),VALUE(stable[qno]),0))</f>
        <v>1</v>
      </c>
      <c r="J203" s="9" t="b" cm="1">
        <f t="array" ref="J203">INDEX(stable[is_localized],MATCH(VALUE(questions[[#This Row],[qno]]),VALUE(stable[qno]),0))</f>
        <v>0</v>
      </c>
      <c r="K203" s="9" t="b" cm="1">
        <f t="array" ref="K203">INDEX(stable[is_supply_chain_dependent],MATCH(VALUE(questions[[#This Row],[qno]]),VALUE(stable[qno]),0))</f>
        <v>0</v>
      </c>
      <c r="L203" s="9" t="b" cm="1">
        <f t="array" ref="L203">INDEX(stable[is_mandatory],MATCH(VALUE(questions[[#This Row],[qno]]),VALUE(stable[qno]),0))</f>
        <v>1</v>
      </c>
      <c r="M203" s="9" t="b" cm="1">
        <f t="array" ref="M203">INDEX(stable[is_automated],MATCH(VALUE(questions[[#This Row],[qno]]),VALUE(stable[qno]),0))</f>
        <v>0</v>
      </c>
      <c r="N203" s="9" t="b" cm="1">
        <f t="array" ref="N203">INDEX(stable[is_free_text],MATCH(VALUE(questions[[#This Row],[qno]]),VALUE(stable[qno]),0))</f>
        <v>0</v>
      </c>
      <c r="O203" s="9" t="b" cm="1">
        <f t="array" ref="O203">INDEX(stable[is_numerical],MATCH(VALUE(questions[[#This Row],[qno]]),VALUE(stable[qno]),0))</f>
        <v>1</v>
      </c>
      <c r="P203" s="32" t="b" cm="1">
        <f t="array" ref="P203">INDEX(stable[is_single_select],MATCH(VALUE(questions[[#This Row],[qno]]),VALUE(stable[qno]),0))</f>
        <v>0</v>
      </c>
      <c r="Q203" s="9" t="b" cm="1">
        <f t="array" ref="Q203">INDEX(stable[is_multi_select],MATCH(VALUE(questions[[#This Row],[qno]]),VALUE(stable[qno]),0))</f>
        <v>0</v>
      </c>
      <c r="R203" s="9" t="b" cm="1">
        <f t="array" ref="R203">INDEX(stable[is_skip_logic],MATCH(VALUE(questions[[#This Row],[qno]]),VALUE(stable[qno]),0))</f>
        <v>0</v>
      </c>
      <c r="S203" s="9" t="str">
        <f>_xlfn.TEXTJOIN(", ",TRUE,questions[[#This Row],[ans_opt_1]:[ans_opt_14]])</f>
        <v/>
      </c>
      <c r="AH203" s="16" t="b">
        <f>INDEX(stable[q_standard],MATCH(questions[[#This Row],[qno]],stable[qno],0))</f>
        <v>0</v>
      </c>
      <c r="AI203" s="16" t="b">
        <f>INDEX(stable[q_living_income],MATCH(questions[[#This Row],[qno]],stable[qno],0))</f>
        <v>1</v>
      </c>
      <c r="AJ203" s="16" t="b">
        <f>INDEX(stable[q_carbon],MATCH(questions[[#This Row],[qno]],stable[qno],0))</f>
        <v>1</v>
      </c>
      <c r="AK203" s="16" t="b">
        <f>INDEX(stable[q_regen_ag],MATCH(questions[[#This Row],[qno]],stable[qno],0))</f>
        <v>1</v>
      </c>
      <c r="AL203" s="16" t="b">
        <f>COUNTIFS(stable[qno],questions[[#This Row],[qno]])=1</f>
        <v>1</v>
      </c>
      <c r="AM203" s="16" t="b">
        <f>OR(questions[[#This Row],[is_fixed]],questions[[#This Row],[is_localized]],questions[[#This Row],[is_supply_chain_dependent]])</f>
        <v>1</v>
      </c>
      <c r="AN203" s="16" t="b">
        <f>COUNTIFS(questions[[#This Row],[is_automated]:[is_multi_select]],TRUE)=1</f>
        <v>1</v>
      </c>
      <c r="AO203" s="16" t="b">
        <f>IF(questions[[#This Row],[is_fixed]],questions[[#This Row],[question]]=INDEX(stable[question],MATCH(questions[[#This Row],[qno]],stable[qno],0)),TRUE)</f>
        <v>1</v>
      </c>
      <c r="AP203" s="16" t="str">
        <f>LEFT(questions[[#This Row],[question]],similarity_range)</f>
        <v>In total, how many p</v>
      </c>
      <c r="AQ203" s="16" t="str">
        <f>LEFT(INDEX(stable[question],MATCH(questions[[#This Row],[qno]],stable[qno],0)),similarity_range)</f>
        <v>In total, how many p</v>
      </c>
      <c r="AR203" s="16" t="b">
        <f>questions[[#This Row],[question_first_characters]]=questions[[#This Row],[stability_first_characters]]</f>
        <v>1</v>
      </c>
      <c r="AS203" s="16" t="b">
        <f>IF(OR(questions[[#This Row],[is_single_select]],questions[[#This Row],[is_multi_select]]),NOT(ISBLANK(questions[[#This Row],[answer_opt_combined]])),TRUE)</f>
        <v>1</v>
      </c>
    </row>
    <row r="204" spans="1:45" s="77" customFormat="1" x14ac:dyDescent="0.25">
      <c r="A204" s="77" t="str">
        <f>_xlfn.TEXTJOIN("_",TRUE,questions[[#This Row],[origin]:[qno]])</f>
        <v>Uganda_Arabica_Sbux_4101</v>
      </c>
      <c r="B204" s="77" t="s">
        <v>511</v>
      </c>
      <c r="C204" s="77" t="s">
        <v>59</v>
      </c>
      <c r="D204" s="77" t="s">
        <v>512</v>
      </c>
      <c r="F204" s="104" t="s">
        <v>147</v>
      </c>
      <c r="G204" s="77" t="s">
        <v>148</v>
      </c>
      <c r="H204" s="9" t="str" cm="1">
        <f t="array" ref="H204">INDEX(stableR[question],MATCH(VALUE(questions[[#This Row],[qno]]),VALUE(stableR[qno]),0))</f>
        <v>Can we go to measure/polygon map (area audit) each of these plots?</v>
      </c>
      <c r="I204" s="9" t="b" cm="1">
        <f t="array" ref="I204">INDEX(stable[is_fixed],MATCH(VALUE(questions[[#This Row],[qno]]),VALUE(stable[qno]),0))</f>
        <v>1</v>
      </c>
      <c r="J204" s="9" t="b" cm="1">
        <f t="array" ref="J204">INDEX(stable[is_localized],MATCH(VALUE(questions[[#This Row],[qno]]),VALUE(stable[qno]),0))</f>
        <v>0</v>
      </c>
      <c r="K204" s="9" t="b" cm="1">
        <f t="array" ref="K204">INDEX(stable[is_supply_chain_dependent],MATCH(VALUE(questions[[#This Row],[qno]]),VALUE(stable[qno]),0))</f>
        <v>0</v>
      </c>
      <c r="L204" s="9" t="b" cm="1">
        <f t="array" ref="L204">INDEX(stable[is_mandatory],MATCH(VALUE(questions[[#This Row],[qno]]),VALUE(stable[qno]),0))</f>
        <v>1</v>
      </c>
      <c r="M204" s="9" t="b" cm="1">
        <f t="array" ref="M204">INDEX(stable[is_automated],MATCH(VALUE(questions[[#This Row],[qno]]),VALUE(stable[qno]),0))</f>
        <v>0</v>
      </c>
      <c r="N204" s="9" t="b" cm="1">
        <f t="array" ref="N204">INDEX(stable[is_free_text],MATCH(VALUE(questions[[#This Row],[qno]]),VALUE(stable[qno]),0))</f>
        <v>0</v>
      </c>
      <c r="O204" s="9" t="b" cm="1">
        <f t="array" ref="O204">INDEX(stable[is_numerical],MATCH(VALUE(questions[[#This Row],[qno]]),VALUE(stable[qno]),0))</f>
        <v>0</v>
      </c>
      <c r="P204" s="103" t="b" cm="1">
        <f t="array" ref="P204">INDEX(stable[is_single_select],MATCH(VALUE(questions[[#This Row],[qno]]),VALUE(stable[qno]),0))</f>
        <v>1</v>
      </c>
      <c r="Q204" s="77" t="b" cm="1">
        <f t="array" ref="Q204">INDEX(stable[is_multi_select],MATCH(VALUE(questions[[#This Row],[qno]]),VALUE(stable[qno]),0))</f>
        <v>0</v>
      </c>
      <c r="R204" s="77" t="b" cm="1">
        <f t="array" ref="R204">INDEX(stable[is_skip_logic],MATCH(VALUE(questions[[#This Row],[qno]]),VALUE(stable[qno]),0))</f>
        <v>1</v>
      </c>
      <c r="S204" s="77" t="str">
        <f>_xlfn.TEXTJOIN(", ",TRUE,questions[[#This Row],[ans_opt_1]:[ans_opt_14]])</f>
        <v>Yes, No</v>
      </c>
      <c r="T204" s="77" t="s">
        <v>149</v>
      </c>
      <c r="U204" s="77" t="s">
        <v>119</v>
      </c>
      <c r="AH204" s="98" t="b">
        <f>INDEX(stable[q_standard],MATCH(questions[[#This Row],[qno]],stable[qno],0))</f>
        <v>0</v>
      </c>
      <c r="AI204" s="98" t="b">
        <f>INDEX(stable[q_living_income],MATCH(questions[[#This Row],[qno]],stable[qno],0))</f>
        <v>1</v>
      </c>
      <c r="AJ204" s="98" t="b">
        <f>INDEX(stable[q_carbon],MATCH(questions[[#This Row],[qno]],stable[qno],0))</f>
        <v>1</v>
      </c>
      <c r="AK204" s="98" t="b">
        <f>INDEX(stable[q_regen_ag],MATCH(questions[[#This Row],[qno]],stable[qno],0))</f>
        <v>1</v>
      </c>
      <c r="AL204" s="98" t="b">
        <f>COUNTIFS(stable[qno],questions[[#This Row],[qno]])=1</f>
        <v>1</v>
      </c>
      <c r="AM204" s="98" t="b">
        <f>OR(questions[[#This Row],[is_fixed]],questions[[#This Row],[is_localized]],questions[[#This Row],[is_supply_chain_dependent]])</f>
        <v>1</v>
      </c>
      <c r="AN204" s="98" t="b">
        <f>COUNTIFS(questions[[#This Row],[is_automated]:[is_multi_select]],TRUE)=1</f>
        <v>1</v>
      </c>
      <c r="AO204" s="98" t="b">
        <f>IF(questions[[#This Row],[is_fixed]],questions[[#This Row],[question]]=INDEX(stable[question],MATCH(questions[[#This Row],[qno]],stable[qno],0)),TRUE)</f>
        <v>1</v>
      </c>
      <c r="AP204" s="98" t="str">
        <f>LEFT(questions[[#This Row],[question]],similarity_range)</f>
        <v>Can we go to measure</v>
      </c>
      <c r="AQ204" s="98" t="str">
        <f>LEFT(INDEX(stable[question],MATCH(questions[[#This Row],[qno]],stable[qno],0)),similarity_range)</f>
        <v>Can we go to measure</v>
      </c>
      <c r="AR204" s="98" t="b">
        <f>questions[[#This Row],[question_first_characters]]=questions[[#This Row],[stability_first_characters]]</f>
        <v>1</v>
      </c>
      <c r="AS204" s="98" t="b">
        <f>IF(OR(questions[[#This Row],[is_single_select]],questions[[#This Row],[is_multi_select]]),NOT(ISBLANK(questions[[#This Row],[answer_opt_combined]])),TRUE)</f>
        <v>1</v>
      </c>
    </row>
    <row r="205" spans="1:45" s="77" customFormat="1" x14ac:dyDescent="0.25">
      <c r="A205" s="77" t="str">
        <f>_xlfn.TEXTJOIN("_",TRUE,questions[[#This Row],[origin]:[qno]])</f>
        <v>Uganda_Arabica_Sbux_4102</v>
      </c>
      <c r="B205" s="77" t="s">
        <v>511</v>
      </c>
      <c r="C205" s="77" t="s">
        <v>59</v>
      </c>
      <c r="D205" s="77" t="s">
        <v>512</v>
      </c>
      <c r="F205" s="104" t="s">
        <v>150</v>
      </c>
      <c r="G205" s="78" t="s">
        <v>151</v>
      </c>
      <c r="H205" s="9" t="str" cm="1">
        <f t="array" ref="H205">INDEX(stableR[question],MATCH(VALUE(questions[[#This Row],[qno]]),VALUE(stableR[qno]),0))</f>
        <v>If No, what is the reason why we cannot visit this/these plot (s) to measure/polygon map it/them?</v>
      </c>
      <c r="I205" s="9" t="b" cm="1">
        <f t="array" ref="I205">INDEX(stable[is_fixed],MATCH(VALUE(questions[[#This Row],[qno]]),VALUE(stable[qno]),0))</f>
        <v>1</v>
      </c>
      <c r="J205" s="9" t="b" cm="1">
        <f t="array" ref="J205">INDEX(stable[is_localized],MATCH(VALUE(questions[[#This Row],[qno]]),VALUE(stable[qno]),0))</f>
        <v>0</v>
      </c>
      <c r="K205" s="9" t="b" cm="1">
        <f t="array" ref="K205">INDEX(stable[is_supply_chain_dependent],MATCH(VALUE(questions[[#This Row],[qno]]),VALUE(stable[qno]),0))</f>
        <v>0</v>
      </c>
      <c r="L205" s="9" t="b" cm="1">
        <f t="array" ref="L205">INDEX(stable[is_mandatory],MATCH(VALUE(questions[[#This Row],[qno]]),VALUE(stable[qno]),0))</f>
        <v>0</v>
      </c>
      <c r="M205" s="9" t="b" cm="1">
        <f t="array" ref="M205">INDEX(stable[is_automated],MATCH(VALUE(questions[[#This Row],[qno]]),VALUE(stable[qno]),0))</f>
        <v>0</v>
      </c>
      <c r="N205" s="9" t="b" cm="1">
        <f t="array" ref="N205">INDEX(stable[is_free_text],MATCH(VALUE(questions[[#This Row],[qno]]),VALUE(stable[qno]),0))</f>
        <v>0</v>
      </c>
      <c r="O205" s="9" t="b" cm="1">
        <f t="array" ref="O205">INDEX(stable[is_numerical],MATCH(VALUE(questions[[#This Row],[qno]]),VALUE(stable[qno]),0))</f>
        <v>0</v>
      </c>
      <c r="P205" s="103" t="b" cm="1">
        <f t="array" ref="P205">INDEX(stable[is_single_select],MATCH(VALUE(questions[[#This Row],[qno]]),VALUE(stable[qno]),0))</f>
        <v>1</v>
      </c>
      <c r="Q205" s="77" t="b" cm="1">
        <f t="array" ref="Q205">INDEX(stable[is_multi_select],MATCH(VALUE(questions[[#This Row],[qno]]),VALUE(stable[qno]),0))</f>
        <v>0</v>
      </c>
      <c r="R205" s="77" t="b" cm="1">
        <f t="array" ref="R205">INDEX(stable[is_skip_logic],MATCH(VALUE(questions[[#This Row],[qno]]),VALUE(stable[qno]),0))</f>
        <v>1</v>
      </c>
      <c r="S205" s="77" t="str">
        <f>_xlfn.TEXTJOIN(", ",TRUE,questions[[#This Row],[ans_opt_1]:[ans_opt_14]])</f>
        <v>Too far, Farmer not willing, Other reason</v>
      </c>
      <c r="T205" s="77" t="s">
        <v>152</v>
      </c>
      <c r="U205" s="77" t="s">
        <v>153</v>
      </c>
      <c r="V205" s="77" t="s">
        <v>154</v>
      </c>
      <c r="AH205" s="98" t="b">
        <f>INDEX(stable[q_standard],MATCH(questions[[#This Row],[qno]],stable[qno],0))</f>
        <v>0</v>
      </c>
      <c r="AI205" s="98" t="b">
        <f>INDEX(stable[q_living_income],MATCH(questions[[#This Row],[qno]],stable[qno],0))</f>
        <v>1</v>
      </c>
      <c r="AJ205" s="98" t="b">
        <f>INDEX(stable[q_carbon],MATCH(questions[[#This Row],[qno]],stable[qno],0))</f>
        <v>1</v>
      </c>
      <c r="AK205" s="98" t="b">
        <f>INDEX(stable[q_regen_ag],MATCH(questions[[#This Row],[qno]],stable[qno],0))</f>
        <v>1</v>
      </c>
      <c r="AL205" s="98" t="b">
        <f>COUNTIFS(stable[qno],questions[[#This Row],[qno]])=1</f>
        <v>1</v>
      </c>
      <c r="AM205" s="98" t="b">
        <f>OR(questions[[#This Row],[is_fixed]],questions[[#This Row],[is_localized]],questions[[#This Row],[is_supply_chain_dependent]])</f>
        <v>1</v>
      </c>
      <c r="AN205" s="98" t="b">
        <f>COUNTIFS(questions[[#This Row],[is_automated]:[is_multi_select]],TRUE)=1</f>
        <v>1</v>
      </c>
      <c r="AO205" s="98" t="b">
        <f>IF(questions[[#This Row],[is_fixed]],questions[[#This Row],[question]]=INDEX(stable[question],MATCH(questions[[#This Row],[qno]],stable[qno],0)),TRUE)</f>
        <v>1</v>
      </c>
      <c r="AP205" s="98" t="str">
        <f>LEFT(questions[[#This Row],[question]],similarity_range)</f>
        <v>If no, what is the r</v>
      </c>
      <c r="AQ205" s="98" t="str">
        <f>LEFT(INDEX(stable[question],MATCH(questions[[#This Row],[qno]],stable[qno],0)),similarity_range)</f>
        <v>If no, what is the r</v>
      </c>
      <c r="AR205" s="98" t="b">
        <f>questions[[#This Row],[question_first_characters]]=questions[[#This Row],[stability_first_characters]]</f>
        <v>1</v>
      </c>
      <c r="AS205" s="98" t="b">
        <f>IF(OR(questions[[#This Row],[is_single_select]],questions[[#This Row],[is_multi_select]]),NOT(ISBLANK(questions[[#This Row],[answer_opt_combined]])),TRUE)</f>
        <v>1</v>
      </c>
    </row>
    <row r="206" spans="1:45" x14ac:dyDescent="0.25">
      <c r="A206" s="9" t="str">
        <f>_xlfn.TEXTJOIN("_",TRUE,questions[[#This Row],[origin]:[qno]])</f>
        <v>Uganda_Arabica_Sbux_4103</v>
      </c>
      <c r="B206" s="9" t="s">
        <v>511</v>
      </c>
      <c r="C206" s="9" t="s">
        <v>59</v>
      </c>
      <c r="D206" s="9" t="s">
        <v>512</v>
      </c>
      <c r="F206" s="24" t="s">
        <v>155</v>
      </c>
      <c r="G206" s="15" t="s">
        <v>156</v>
      </c>
      <c r="H206" s="9" t="str" cm="1">
        <f t="array" ref="H206">INDEX(stableR[question],MATCH(VALUE(questions[[#This Row],[qno]]),VALUE(stableR[qno]),0))</f>
        <v>Of your total coffee plots, how many cannot be visited during the survey?</v>
      </c>
      <c r="I206" s="9" t="b" cm="1">
        <f t="array" ref="I206">INDEX(stable[is_fixed],MATCH(VALUE(questions[[#This Row],[qno]]),VALUE(stable[qno]),0))</f>
        <v>1</v>
      </c>
      <c r="J206" s="9" t="b" cm="1">
        <f t="array" ref="J206">INDEX(stable[is_localized],MATCH(VALUE(questions[[#This Row],[qno]]),VALUE(stable[qno]),0))</f>
        <v>0</v>
      </c>
      <c r="K206" s="9" t="b" cm="1">
        <f t="array" ref="K206">INDEX(stable[is_supply_chain_dependent],MATCH(VALUE(questions[[#This Row],[qno]]),VALUE(stable[qno]),0))</f>
        <v>0</v>
      </c>
      <c r="L206" s="9" t="b" cm="1">
        <f t="array" ref="L206">INDEX(stable[is_mandatory],MATCH(VALUE(questions[[#This Row],[qno]]),VALUE(stable[qno]),0))</f>
        <v>0</v>
      </c>
      <c r="M206" s="9" t="b" cm="1">
        <f t="array" ref="M206">INDEX(stable[is_automated],MATCH(VALUE(questions[[#This Row],[qno]]),VALUE(stable[qno]),0))</f>
        <v>0</v>
      </c>
      <c r="N206" s="9" t="b" cm="1">
        <f t="array" ref="N206">INDEX(stable[is_free_text],MATCH(VALUE(questions[[#This Row],[qno]]),VALUE(stable[qno]),0))</f>
        <v>0</v>
      </c>
      <c r="O206" s="9" t="b" cm="1">
        <f t="array" ref="O206">INDEX(stable[is_numerical],MATCH(VALUE(questions[[#This Row],[qno]]),VALUE(stable[qno]),0))</f>
        <v>1</v>
      </c>
      <c r="P206" s="32" t="b" cm="1">
        <f t="array" ref="P206">INDEX(stable[is_single_select],MATCH(VALUE(questions[[#This Row],[qno]]),VALUE(stable[qno]),0))</f>
        <v>0</v>
      </c>
      <c r="Q206" s="9" t="b" cm="1">
        <f t="array" ref="Q206">INDEX(stable[is_multi_select],MATCH(VALUE(questions[[#This Row],[qno]]),VALUE(stable[qno]),0))</f>
        <v>0</v>
      </c>
      <c r="R206" s="9" t="b" cm="1">
        <f t="array" ref="R206">INDEX(stable[is_skip_logic],MATCH(VALUE(questions[[#This Row],[qno]]),VALUE(stable[qno]),0))</f>
        <v>0</v>
      </c>
      <c r="S206" s="9" t="str">
        <f>_xlfn.TEXTJOIN(", ",TRUE,questions[[#This Row],[ans_opt_1]:[ans_opt_14]])</f>
        <v/>
      </c>
      <c r="AH206" s="16" t="b">
        <f>INDEX(stable[q_standard],MATCH(questions[[#This Row],[qno]],stable[qno],0))</f>
        <v>0</v>
      </c>
      <c r="AI206" s="16" t="b">
        <f>INDEX(stable[q_living_income],MATCH(questions[[#This Row],[qno]],stable[qno],0))</f>
        <v>1</v>
      </c>
      <c r="AJ206" s="16" t="b">
        <f>INDEX(stable[q_carbon],MATCH(questions[[#This Row],[qno]],stable[qno],0))</f>
        <v>1</v>
      </c>
      <c r="AK206" s="16" t="b">
        <f>INDEX(stable[q_regen_ag],MATCH(questions[[#This Row],[qno]],stable[qno],0))</f>
        <v>1</v>
      </c>
      <c r="AL206" s="16" t="b">
        <f>COUNTIFS(stable[qno],questions[[#This Row],[qno]])=1</f>
        <v>1</v>
      </c>
      <c r="AM206" s="16" t="b">
        <f>OR(questions[[#This Row],[is_fixed]],questions[[#This Row],[is_localized]],questions[[#This Row],[is_supply_chain_dependent]])</f>
        <v>1</v>
      </c>
      <c r="AN206" s="16" t="b">
        <f>COUNTIFS(questions[[#This Row],[is_automated]:[is_multi_select]],TRUE)=1</f>
        <v>1</v>
      </c>
      <c r="AO206" s="16" t="b">
        <f>IF(questions[[#This Row],[is_fixed]],questions[[#This Row],[question]]=INDEX(stable[question],MATCH(questions[[#This Row],[qno]],stable[qno],0)),TRUE)</f>
        <v>1</v>
      </c>
      <c r="AP206" s="16" t="str">
        <f>LEFT(questions[[#This Row],[question]],similarity_range)</f>
        <v>How many coffee plot</v>
      </c>
      <c r="AQ206" s="16" t="str">
        <f>LEFT(INDEX(stable[question],MATCH(questions[[#This Row],[qno]],stable[qno],0)),similarity_range)</f>
        <v>How many coffee plot</v>
      </c>
      <c r="AR206" s="16" t="b">
        <f>questions[[#This Row],[question_first_characters]]=questions[[#This Row],[stability_first_characters]]</f>
        <v>1</v>
      </c>
      <c r="AS206" s="16" t="b">
        <f>IF(OR(questions[[#This Row],[is_single_select]],questions[[#This Row],[is_multi_select]]),NOT(ISBLANK(questions[[#This Row],[answer_opt_combined]])),TRUE)</f>
        <v>1</v>
      </c>
    </row>
    <row r="207" spans="1:45" x14ac:dyDescent="0.25">
      <c r="A207" s="9" t="str">
        <f>_xlfn.TEXTJOIN("_",TRUE,questions[[#This Row],[origin]:[qno]])</f>
        <v>Uganda_Arabica_Sbux_4104</v>
      </c>
      <c r="B207" s="9" t="s">
        <v>511</v>
      </c>
      <c r="C207" s="9" t="s">
        <v>59</v>
      </c>
      <c r="D207" s="9" t="s">
        <v>512</v>
      </c>
      <c r="F207" s="24" t="s">
        <v>157</v>
      </c>
      <c r="G207" s="9" t="s">
        <v>158</v>
      </c>
      <c r="H207" s="9" t="str" cm="1">
        <f t="array" ref="H207">INDEX(stableR[question],MATCH(VALUE(questions[[#This Row],[qno]]),VALUE(stableR[qno]),0))</f>
        <v>Of the coffee plots that cannot be visited, what is the total area of these plots? (in acres)</v>
      </c>
      <c r="I207" s="9" t="b" cm="1">
        <f t="array" ref="I207">INDEX(stable[is_fixed],MATCH(VALUE(questions[[#This Row],[qno]]),VALUE(stable[qno]),0))</f>
        <v>1</v>
      </c>
      <c r="J207" s="9" t="b" cm="1">
        <f t="array" ref="J207">INDEX(stable[is_localized],MATCH(VALUE(questions[[#This Row],[qno]]),VALUE(stable[qno]),0))</f>
        <v>0</v>
      </c>
      <c r="K207" s="9" t="b" cm="1">
        <f t="array" ref="K207">INDEX(stable[is_supply_chain_dependent],MATCH(VALUE(questions[[#This Row],[qno]]),VALUE(stable[qno]),0))</f>
        <v>0</v>
      </c>
      <c r="L207" s="9" t="b" cm="1">
        <f t="array" ref="L207">INDEX(stable[is_mandatory],MATCH(VALUE(questions[[#This Row],[qno]]),VALUE(stable[qno]),0))</f>
        <v>0</v>
      </c>
      <c r="M207" s="9" t="b" cm="1">
        <f t="array" ref="M207">INDEX(stable[is_automated],MATCH(VALUE(questions[[#This Row],[qno]]),VALUE(stable[qno]),0))</f>
        <v>0</v>
      </c>
      <c r="N207" s="9" t="b" cm="1">
        <f t="array" ref="N207">INDEX(stable[is_free_text],MATCH(VALUE(questions[[#This Row],[qno]]),VALUE(stable[qno]),0))</f>
        <v>0</v>
      </c>
      <c r="O207" s="9" t="b" cm="1">
        <f t="array" ref="O207">INDEX(stable[is_numerical],MATCH(VALUE(questions[[#This Row],[qno]]),VALUE(stable[qno]),0))</f>
        <v>1</v>
      </c>
      <c r="P207" s="32" t="b" cm="1">
        <f t="array" ref="P207">INDEX(stable[is_single_select],MATCH(VALUE(questions[[#This Row],[qno]]),VALUE(stable[qno]),0))</f>
        <v>0</v>
      </c>
      <c r="Q207" s="9" t="b" cm="1">
        <f t="array" ref="Q207">INDEX(stable[is_multi_select],MATCH(VALUE(questions[[#This Row],[qno]]),VALUE(stable[qno]),0))</f>
        <v>0</v>
      </c>
      <c r="R207" s="9" t="b" cm="1">
        <f t="array" ref="R207">INDEX(stable[is_skip_logic],MATCH(VALUE(questions[[#This Row],[qno]]),VALUE(stable[qno]),0))</f>
        <v>0</v>
      </c>
      <c r="S207" s="9" t="str">
        <f>_xlfn.TEXTJOIN(", ",TRUE,questions[[#This Row],[ans_opt_1]:[ans_opt_14]])</f>
        <v/>
      </c>
      <c r="AH207" s="16" t="b">
        <f>INDEX(stable[q_standard],MATCH(questions[[#This Row],[qno]],stable[qno],0))</f>
        <v>0</v>
      </c>
      <c r="AI207" s="16" t="b">
        <f>INDEX(stable[q_living_income],MATCH(questions[[#This Row],[qno]],stable[qno],0))</f>
        <v>1</v>
      </c>
      <c r="AJ207" s="16" t="b">
        <f>INDEX(stable[q_carbon],MATCH(questions[[#This Row],[qno]],stable[qno],0))</f>
        <v>1</v>
      </c>
      <c r="AK207" s="16" t="b">
        <f>INDEX(stable[q_regen_ag],MATCH(questions[[#This Row],[qno]],stable[qno],0))</f>
        <v>1</v>
      </c>
      <c r="AL207" s="16" t="b">
        <f>COUNTIFS(stable[qno],questions[[#This Row],[qno]])=1</f>
        <v>1</v>
      </c>
      <c r="AM207" s="16" t="b">
        <f>OR(questions[[#This Row],[is_fixed]],questions[[#This Row],[is_localized]],questions[[#This Row],[is_supply_chain_dependent]])</f>
        <v>1</v>
      </c>
      <c r="AN207" s="16" t="b">
        <f>COUNTIFS(questions[[#This Row],[is_automated]:[is_multi_select]],TRUE)=1</f>
        <v>1</v>
      </c>
      <c r="AO207" s="16" t="b">
        <f>IF(questions[[#This Row],[is_fixed]],questions[[#This Row],[question]]=INDEX(stable[question],MATCH(questions[[#This Row],[qno]],stable[qno],0)),TRUE)</f>
        <v>1</v>
      </c>
      <c r="AP207" s="16" t="str">
        <f>LEFT(questions[[#This Row],[question]],similarity_range)</f>
        <v>What is the total ar</v>
      </c>
      <c r="AQ207" s="16" t="str">
        <f>LEFT(INDEX(stable[question],MATCH(questions[[#This Row],[qno]],stable[qno],0)),similarity_range)</f>
        <v>What is the total ar</v>
      </c>
      <c r="AR207" s="16" t="b">
        <f>questions[[#This Row],[question_first_characters]]=questions[[#This Row],[stability_first_characters]]</f>
        <v>1</v>
      </c>
      <c r="AS207" s="16" t="b">
        <f>IF(OR(questions[[#This Row],[is_single_select]],questions[[#This Row],[is_multi_select]]),NOT(ISBLANK(questions[[#This Row],[answer_opt_combined]])),TRUE)</f>
        <v>1</v>
      </c>
    </row>
    <row r="208" spans="1:45" s="77" customFormat="1" x14ac:dyDescent="0.25">
      <c r="A208" s="77" t="str">
        <f>_xlfn.TEXTJOIN("_",TRUE,questions[[#This Row],[origin]:[qno]])</f>
        <v>Uganda_Arabica_Sbux_5000</v>
      </c>
      <c r="B208" s="77" t="s">
        <v>511</v>
      </c>
      <c r="C208" s="77" t="s">
        <v>59</v>
      </c>
      <c r="D208" s="77" t="s">
        <v>512</v>
      </c>
      <c r="F208" s="104" t="s">
        <v>159</v>
      </c>
      <c r="G208" s="78" t="s">
        <v>160</v>
      </c>
      <c r="H208" s="9" t="str" cm="1">
        <f t="array" ref="H208">INDEX(stableR[question],MATCH(VALUE(questions[[#This Row],[qno]]),VALUE(stableR[qno]),0))</f>
        <v>Did you use synthetic fertilizers for your coffee last year?</v>
      </c>
      <c r="I208" s="9" t="b" cm="1">
        <f t="array" ref="I208">INDEX(stable[is_fixed],MATCH(VALUE(questions[[#This Row],[qno]]),VALUE(stable[qno]),0))</f>
        <v>1</v>
      </c>
      <c r="J208" s="9" t="b" cm="1">
        <f t="array" ref="J208">INDEX(stable[is_localized],MATCH(VALUE(questions[[#This Row],[qno]]),VALUE(stable[qno]),0))</f>
        <v>0</v>
      </c>
      <c r="K208" s="9" t="b" cm="1">
        <f t="array" ref="K208">INDEX(stable[is_supply_chain_dependent],MATCH(VALUE(questions[[#This Row],[qno]]),VALUE(stable[qno]),0))</f>
        <v>0</v>
      </c>
      <c r="L208" s="9" t="b" cm="1">
        <f t="array" ref="L208">INDEX(stable[is_mandatory],MATCH(VALUE(questions[[#This Row],[qno]]),VALUE(stable[qno]),0))</f>
        <v>1</v>
      </c>
      <c r="M208" s="9" t="b" cm="1">
        <f t="array" ref="M208">INDEX(stable[is_automated],MATCH(VALUE(questions[[#This Row],[qno]]),VALUE(stable[qno]),0))</f>
        <v>0</v>
      </c>
      <c r="N208" s="9" t="b" cm="1">
        <f t="array" ref="N208">INDEX(stable[is_free_text],MATCH(VALUE(questions[[#This Row],[qno]]),VALUE(stable[qno]),0))</f>
        <v>0</v>
      </c>
      <c r="O208" s="9" t="b" cm="1">
        <f t="array" ref="O208">INDEX(stable[is_numerical],MATCH(VALUE(questions[[#This Row],[qno]]),VALUE(stable[qno]),0))</f>
        <v>0</v>
      </c>
      <c r="P208" s="103" t="b" cm="1">
        <f t="array" ref="P208">INDEX(stable[is_single_select],MATCH(VALUE(questions[[#This Row],[qno]]),VALUE(stable[qno]),0))</f>
        <v>1</v>
      </c>
      <c r="Q208" s="77" t="b" cm="1">
        <f t="array" ref="Q208">INDEX(stable[is_multi_select],MATCH(VALUE(questions[[#This Row],[qno]]),VALUE(stable[qno]),0))</f>
        <v>0</v>
      </c>
      <c r="R208" s="77" t="b" cm="1">
        <f t="array" ref="R208">INDEX(stable[is_skip_logic],MATCH(VALUE(questions[[#This Row],[qno]]),VALUE(stable[qno]),0))</f>
        <v>1</v>
      </c>
      <c r="S208" s="77" t="str">
        <f>_xlfn.TEXTJOIN(", ",TRUE,questions[[#This Row],[ans_opt_1]:[ans_opt_14]])</f>
        <v>Yes, No</v>
      </c>
      <c r="T208" s="77" t="s">
        <v>149</v>
      </c>
      <c r="U208" s="77" t="s">
        <v>119</v>
      </c>
      <c r="AH208" s="98" t="b">
        <f>INDEX(stable[q_standard],MATCH(questions[[#This Row],[qno]],stable[qno],0))</f>
        <v>0</v>
      </c>
      <c r="AI208" s="98" t="b">
        <f>INDEX(stable[q_living_income],MATCH(questions[[#This Row],[qno]],stable[qno],0))</f>
        <v>1</v>
      </c>
      <c r="AJ208" s="98" t="b">
        <f>INDEX(stable[q_carbon],MATCH(questions[[#This Row],[qno]],stable[qno],0))</f>
        <v>1</v>
      </c>
      <c r="AK208" s="98" t="b">
        <f>INDEX(stable[q_regen_ag],MATCH(questions[[#This Row],[qno]],stable[qno],0))</f>
        <v>0</v>
      </c>
      <c r="AL208" s="98" t="b">
        <f>COUNTIFS(stable[qno],questions[[#This Row],[qno]])=1</f>
        <v>1</v>
      </c>
      <c r="AM208" s="98" t="b">
        <f>OR(questions[[#This Row],[is_fixed]],questions[[#This Row],[is_localized]],questions[[#This Row],[is_supply_chain_dependent]])</f>
        <v>1</v>
      </c>
      <c r="AN208" s="98" t="b">
        <f>COUNTIFS(questions[[#This Row],[is_automated]:[is_multi_select]],TRUE)=1</f>
        <v>1</v>
      </c>
      <c r="AO208" s="98" t="b">
        <f>IF(questions[[#This Row],[is_fixed]],questions[[#This Row],[question]]=INDEX(stable[question],MATCH(questions[[#This Row],[qno]],stable[qno],0)),TRUE)</f>
        <v>1</v>
      </c>
      <c r="AP208" s="98" t="str">
        <f>LEFT(questions[[#This Row],[question]],similarity_range)</f>
        <v>Did you use syntheti</v>
      </c>
      <c r="AQ208" s="98" t="str">
        <f>LEFT(INDEX(stable[question],MATCH(questions[[#This Row],[qno]],stable[qno],0)),similarity_range)</f>
        <v>Did you use syntheti</v>
      </c>
      <c r="AR208" s="98" t="b">
        <f>questions[[#This Row],[question_first_characters]]=questions[[#This Row],[stability_first_characters]]</f>
        <v>1</v>
      </c>
      <c r="AS208" s="98" t="b">
        <f>IF(OR(questions[[#This Row],[is_single_select]],questions[[#This Row],[is_multi_select]]),NOT(ISBLANK(questions[[#This Row],[answer_opt_combined]])),TRUE)</f>
        <v>1</v>
      </c>
    </row>
    <row r="209" spans="1:45" x14ac:dyDescent="0.25">
      <c r="A209" s="9" t="str">
        <f>_xlfn.TEXTJOIN("_",TRUE,questions[[#This Row],[origin]:[qno]])</f>
        <v>Uganda_Arabica_Sbux_5001</v>
      </c>
      <c r="B209" s="9" t="s">
        <v>511</v>
      </c>
      <c r="C209" s="9" t="s">
        <v>59</v>
      </c>
      <c r="D209" s="9" t="s">
        <v>512</v>
      </c>
      <c r="F209" s="24" t="s">
        <v>161</v>
      </c>
      <c r="G209" s="15" t="s">
        <v>162</v>
      </c>
      <c r="H209" s="9" t="str" cm="1">
        <f t="array" ref="H209">INDEX(stableR[question],MATCH(VALUE(questions[[#This Row],[qno]]),VALUE(stableR[qno]),0))</f>
        <v>If yes, how many types of synthetic fertilizer did you use last year?</v>
      </c>
      <c r="I209" s="9" t="b" cm="1">
        <f t="array" ref="I209">INDEX(stable[is_fixed],MATCH(VALUE(questions[[#This Row],[qno]]),VALUE(stable[qno]),0))</f>
        <v>1</v>
      </c>
      <c r="J209" s="9" t="b" cm="1">
        <f t="array" ref="J209">INDEX(stable[is_localized],MATCH(VALUE(questions[[#This Row],[qno]]),VALUE(stable[qno]),0))</f>
        <v>0</v>
      </c>
      <c r="K209" s="9" t="b" cm="1">
        <f t="array" ref="K209">INDEX(stable[is_supply_chain_dependent],MATCH(VALUE(questions[[#This Row],[qno]]),VALUE(stable[qno]),0))</f>
        <v>0</v>
      </c>
      <c r="L209" s="9" t="b" cm="1">
        <f t="array" ref="L209">INDEX(stable[is_mandatory],MATCH(VALUE(questions[[#This Row],[qno]]),VALUE(stable[qno]),0))</f>
        <v>0</v>
      </c>
      <c r="M209" s="9" t="b" cm="1">
        <f t="array" ref="M209">INDEX(stable[is_automated],MATCH(VALUE(questions[[#This Row],[qno]]),VALUE(stable[qno]),0))</f>
        <v>0</v>
      </c>
      <c r="N209" s="9" t="b" cm="1">
        <f t="array" ref="N209">INDEX(stable[is_free_text],MATCH(VALUE(questions[[#This Row],[qno]]),VALUE(stable[qno]),0))</f>
        <v>0</v>
      </c>
      <c r="O209" s="9" t="b" cm="1">
        <f t="array" ref="O209">INDEX(stable[is_numerical],MATCH(VALUE(questions[[#This Row],[qno]]),VALUE(stable[qno]),0))</f>
        <v>1</v>
      </c>
      <c r="P209" s="32" t="b" cm="1">
        <f t="array" ref="P209">INDEX(stable[is_single_select],MATCH(VALUE(questions[[#This Row],[qno]]),VALUE(stable[qno]),0))</f>
        <v>0</v>
      </c>
      <c r="Q209" s="9" t="b" cm="1">
        <f t="array" ref="Q209">INDEX(stable[is_multi_select],MATCH(VALUE(questions[[#This Row],[qno]]),VALUE(stable[qno]),0))</f>
        <v>0</v>
      </c>
      <c r="R209" s="9" t="b" cm="1">
        <f t="array" ref="R209">INDEX(stable[is_skip_logic],MATCH(VALUE(questions[[#This Row],[qno]]),VALUE(stable[qno]),0))</f>
        <v>1</v>
      </c>
      <c r="S209" s="9" t="str">
        <f>_xlfn.TEXTJOIN(", ",TRUE,questions[[#This Row],[ans_opt_1]:[ans_opt_14]])</f>
        <v/>
      </c>
      <c r="AH209" s="16" t="b">
        <f>INDEX(stable[q_standard],MATCH(questions[[#This Row],[qno]],stable[qno],0))</f>
        <v>0</v>
      </c>
      <c r="AI209" s="16" t="b">
        <f>INDEX(stable[q_living_income],MATCH(questions[[#This Row],[qno]],stable[qno],0))</f>
        <v>1</v>
      </c>
      <c r="AJ209" s="16" t="b">
        <f>INDEX(stable[q_carbon],MATCH(questions[[#This Row],[qno]],stable[qno],0))</f>
        <v>1</v>
      </c>
      <c r="AK209" s="16" t="b">
        <f>INDEX(stable[q_regen_ag],MATCH(questions[[#This Row],[qno]],stable[qno],0))</f>
        <v>0</v>
      </c>
      <c r="AL209" s="16" t="b">
        <f>COUNTIFS(stable[qno],questions[[#This Row],[qno]])=1</f>
        <v>1</v>
      </c>
      <c r="AM209" s="16" t="b">
        <f>OR(questions[[#This Row],[is_fixed]],questions[[#This Row],[is_localized]],questions[[#This Row],[is_supply_chain_dependent]])</f>
        <v>1</v>
      </c>
      <c r="AN209" s="16" t="b">
        <f>COUNTIFS(questions[[#This Row],[is_automated]:[is_multi_select]],TRUE)=1</f>
        <v>1</v>
      </c>
      <c r="AO209" s="16" t="b">
        <f>IF(questions[[#This Row],[is_fixed]],questions[[#This Row],[question]]=INDEX(stable[question],MATCH(questions[[#This Row],[qno]],stable[qno],0)),TRUE)</f>
        <v>1</v>
      </c>
      <c r="AP209" s="16" t="str">
        <f>LEFT(questions[[#This Row],[question]],similarity_range)</f>
        <v>If yes, how many typ</v>
      </c>
      <c r="AQ209" s="16" t="str">
        <f>LEFT(INDEX(stable[question],MATCH(questions[[#This Row],[qno]],stable[qno],0)),similarity_range)</f>
        <v>If yes, how many typ</v>
      </c>
      <c r="AR209" s="16" t="b">
        <f>questions[[#This Row],[question_first_characters]]=questions[[#This Row],[stability_first_characters]]</f>
        <v>1</v>
      </c>
      <c r="AS209" s="16" t="b">
        <f>IF(OR(questions[[#This Row],[is_single_select]],questions[[#This Row],[is_multi_select]]),NOT(ISBLANK(questions[[#This Row],[answer_opt_combined]])),TRUE)</f>
        <v>1</v>
      </c>
    </row>
    <row r="210" spans="1:45" x14ac:dyDescent="0.25">
      <c r="A210" s="9" t="str">
        <f>_xlfn.TEXTJOIN("_",TRUE,questions[[#This Row],[origin]:[qno]])</f>
        <v>Uganda_Arabica_Sbux_5100</v>
      </c>
      <c r="B210" s="9" t="s">
        <v>511</v>
      </c>
      <c r="C210" s="9" t="s">
        <v>59</v>
      </c>
      <c r="D210" s="9" t="s">
        <v>512</v>
      </c>
      <c r="F210" s="24" t="s">
        <v>163</v>
      </c>
      <c r="G210" s="15" t="s">
        <v>558</v>
      </c>
      <c r="H210" s="9" t="str" cm="1">
        <f t="array" ref="H210">INDEX(stableR[question],MATCH(VALUE(questions[[#This Row],[qno]]),VALUE(stableR[qno]),0))</f>
        <v>What was the name of the synthetic fertilizer that you used most, last year?</v>
      </c>
      <c r="I210" s="9" t="b" cm="1">
        <f t="array" ref="I210">INDEX(stable[is_fixed],MATCH(VALUE(questions[[#This Row],[qno]]),VALUE(stable[qno]),0))</f>
        <v>0</v>
      </c>
      <c r="J210" s="9" t="b" cm="1">
        <f t="array" ref="J210">INDEX(stable[is_localized],MATCH(VALUE(questions[[#This Row],[qno]]),VALUE(stable[qno]),0))</f>
        <v>1</v>
      </c>
      <c r="K210" s="9" t="b" cm="1">
        <f t="array" ref="K210">INDEX(stable[is_supply_chain_dependent],MATCH(VALUE(questions[[#This Row],[qno]]),VALUE(stable[qno]),0))</f>
        <v>0</v>
      </c>
      <c r="L210" s="9" t="b" cm="1">
        <f t="array" ref="L210">INDEX(stable[is_mandatory],MATCH(VALUE(questions[[#This Row],[qno]]),VALUE(stable[qno]),0))</f>
        <v>0</v>
      </c>
      <c r="M210" s="9" t="b" cm="1">
        <f t="array" ref="M210">INDEX(stable[is_automated],MATCH(VALUE(questions[[#This Row],[qno]]),VALUE(stable[qno]),0))</f>
        <v>0</v>
      </c>
      <c r="N210" s="9" t="b" cm="1">
        <f t="array" ref="N210">INDEX(stable[is_free_text],MATCH(VALUE(questions[[#This Row],[qno]]),VALUE(stable[qno]),0))</f>
        <v>0</v>
      </c>
      <c r="O210" s="9" t="b" cm="1">
        <f t="array" ref="O210">INDEX(stable[is_numerical],MATCH(VALUE(questions[[#This Row],[qno]]),VALUE(stable[qno]),0))</f>
        <v>0</v>
      </c>
      <c r="P210" s="32" t="b" cm="1">
        <f t="array" ref="P210">INDEX(stable[is_single_select],MATCH(VALUE(questions[[#This Row],[qno]]),VALUE(stable[qno]),0))</f>
        <v>1</v>
      </c>
      <c r="Q210" s="9" t="b" cm="1">
        <f t="array" ref="Q210">INDEX(stable[is_multi_select],MATCH(VALUE(questions[[#This Row],[qno]]),VALUE(stable[qno]),0))</f>
        <v>0</v>
      </c>
      <c r="R210" s="9" t="b" cm="1">
        <f t="array" ref="R210">INDEX(stable[is_skip_logic],MATCH(VALUE(questions[[#This Row],[qno]]),VALUE(stable[qno]),0))</f>
        <v>1</v>
      </c>
      <c r="S210" s="9" t="str">
        <f>_xlfn.TEXTJOIN(", ",TRUE,questions[[#This Row],[ans_opt_1]:[ans_opt_14]])</f>
        <v/>
      </c>
      <c r="AH210" s="16" t="b">
        <f>INDEX(stable[q_standard],MATCH(questions[[#This Row],[qno]],stable[qno],0))</f>
        <v>0</v>
      </c>
      <c r="AI210" s="16" t="b">
        <f>INDEX(stable[q_living_income],MATCH(questions[[#This Row],[qno]],stable[qno],0))</f>
        <v>1</v>
      </c>
      <c r="AJ210" s="16" t="b">
        <f>INDEX(stable[q_carbon],MATCH(questions[[#This Row],[qno]],stable[qno],0))</f>
        <v>1</v>
      </c>
      <c r="AK210" s="16" t="b">
        <f>INDEX(stable[q_regen_ag],MATCH(questions[[#This Row],[qno]],stable[qno],0))</f>
        <v>0</v>
      </c>
      <c r="AL210" s="16" t="b">
        <f>COUNTIFS(stable[qno],questions[[#This Row],[qno]])=1</f>
        <v>1</v>
      </c>
      <c r="AM210" s="16" t="b">
        <f>OR(questions[[#This Row],[is_fixed]],questions[[#This Row],[is_localized]],questions[[#This Row],[is_supply_chain_dependent]])</f>
        <v>1</v>
      </c>
      <c r="AN210" s="16" t="b">
        <f>COUNTIFS(questions[[#This Row],[is_automated]:[is_multi_select]],TRUE)=1</f>
        <v>1</v>
      </c>
      <c r="AO210" s="16" t="b">
        <f>IF(questions[[#This Row],[is_fixed]],questions[[#This Row],[question]]=INDEX(stable[question],MATCH(questions[[#This Row],[qno]],stable[qno],0)),TRUE)</f>
        <v>1</v>
      </c>
      <c r="AP210" s="16" t="str">
        <f>LEFT(questions[[#This Row],[question]],similarity_range)</f>
        <v xml:space="preserve">What is the name of </v>
      </c>
      <c r="AQ210" s="16" t="str">
        <f>LEFT(INDEX(stable[question],MATCH(questions[[#This Row],[qno]],stable[qno],0)),similarity_range)</f>
        <v xml:space="preserve">What is the name of </v>
      </c>
      <c r="AR210" s="16" t="b">
        <f>questions[[#This Row],[question_first_characters]]=questions[[#This Row],[stability_first_characters]]</f>
        <v>1</v>
      </c>
      <c r="AS210" s="16" t="b">
        <f>IF(OR(questions[[#This Row],[is_single_select]],questions[[#This Row],[is_multi_select]]),NOT(ISBLANK(questions[[#This Row],[answer_opt_combined]])),TRUE)</f>
        <v>1</v>
      </c>
    </row>
    <row r="211" spans="1:45" x14ac:dyDescent="0.25">
      <c r="A211" s="9" t="str">
        <f>_xlfn.TEXTJOIN("_",TRUE,questions[[#This Row],[origin]:[qno]])</f>
        <v>Uganda_Arabica_Sbux_5101</v>
      </c>
      <c r="B211" s="9" t="s">
        <v>511</v>
      </c>
      <c r="C211" s="9" t="s">
        <v>59</v>
      </c>
      <c r="D211" s="9" t="s">
        <v>512</v>
      </c>
      <c r="F211" s="24" t="s">
        <v>165</v>
      </c>
      <c r="G211" s="15" t="s">
        <v>559</v>
      </c>
      <c r="H211" s="9" t="str" cm="1">
        <f t="array" ref="H211">INDEX(stableR[question],MATCH(VALUE(questions[[#This Row],[qno]]),VALUE(stableR[qno]),0))</f>
        <v>What was the total quantity of the synthetic fertilizer that you used most, last year? (Kg)</v>
      </c>
      <c r="I211" s="9" t="b" cm="1">
        <f t="array" ref="I211">INDEX(stable[is_fixed],MATCH(VALUE(questions[[#This Row],[qno]]),VALUE(stable[qno]),0))</f>
        <v>0</v>
      </c>
      <c r="J211" s="9" t="b" cm="1">
        <f t="array" ref="J211">INDEX(stable[is_localized],MATCH(VALUE(questions[[#This Row],[qno]]),VALUE(stable[qno]),0))</f>
        <v>1</v>
      </c>
      <c r="K211" s="9" t="b" cm="1">
        <f t="array" ref="K211">INDEX(stable[is_supply_chain_dependent],MATCH(VALUE(questions[[#This Row],[qno]]),VALUE(stable[qno]),0))</f>
        <v>0</v>
      </c>
      <c r="L211" s="9" t="b" cm="1">
        <f t="array" ref="L211">INDEX(stable[is_mandatory],MATCH(VALUE(questions[[#This Row],[qno]]),VALUE(stable[qno]),0))</f>
        <v>0</v>
      </c>
      <c r="M211" s="9" t="b" cm="1">
        <f t="array" ref="M211">INDEX(stable[is_automated],MATCH(VALUE(questions[[#This Row],[qno]]),VALUE(stable[qno]),0))</f>
        <v>0</v>
      </c>
      <c r="N211" s="9" t="b" cm="1">
        <f t="array" ref="N211">INDEX(stable[is_free_text],MATCH(VALUE(questions[[#This Row],[qno]]),VALUE(stable[qno]),0))</f>
        <v>0</v>
      </c>
      <c r="O211" s="9" t="b" cm="1">
        <f t="array" ref="O211">INDEX(stable[is_numerical],MATCH(VALUE(questions[[#This Row],[qno]]),VALUE(stable[qno]),0))</f>
        <v>1</v>
      </c>
      <c r="P211" s="32" t="b" cm="1">
        <f t="array" ref="P211">INDEX(stable[is_single_select],MATCH(VALUE(questions[[#This Row],[qno]]),VALUE(stable[qno]),0))</f>
        <v>0</v>
      </c>
      <c r="Q211" s="9" t="b" cm="1">
        <f t="array" ref="Q211">INDEX(stable[is_multi_select],MATCH(VALUE(questions[[#This Row],[qno]]),VALUE(stable[qno]),0))</f>
        <v>0</v>
      </c>
      <c r="R211" s="9" t="b" cm="1">
        <f t="array" ref="R211">INDEX(stable[is_skip_logic],MATCH(VALUE(questions[[#This Row],[qno]]),VALUE(stable[qno]),0))</f>
        <v>1</v>
      </c>
      <c r="S211" s="9" t="str">
        <f>_xlfn.TEXTJOIN(", ",TRUE,questions[[#This Row],[ans_opt_1]:[ans_opt_14]])</f>
        <v/>
      </c>
      <c r="AH211" s="16" t="b">
        <f>INDEX(stable[q_standard],MATCH(questions[[#This Row],[qno]],stable[qno],0))</f>
        <v>0</v>
      </c>
      <c r="AI211" s="16" t="b">
        <f>INDEX(stable[q_living_income],MATCH(questions[[#This Row],[qno]],stable[qno],0))</f>
        <v>1</v>
      </c>
      <c r="AJ211" s="16" t="b">
        <f>INDEX(stable[q_carbon],MATCH(questions[[#This Row],[qno]],stable[qno],0))</f>
        <v>1</v>
      </c>
      <c r="AK211" s="16" t="b">
        <f>INDEX(stable[q_regen_ag],MATCH(questions[[#This Row],[qno]],stable[qno],0))</f>
        <v>0</v>
      </c>
      <c r="AL211" s="16" t="b">
        <f>COUNTIFS(stable[qno],questions[[#This Row],[qno]])=1</f>
        <v>1</v>
      </c>
      <c r="AM211" s="16" t="b">
        <f>OR(questions[[#This Row],[is_fixed]],questions[[#This Row],[is_localized]],questions[[#This Row],[is_supply_chain_dependent]])</f>
        <v>1</v>
      </c>
      <c r="AN211" s="16" t="b">
        <f>COUNTIFS(questions[[#This Row],[is_automated]:[is_multi_select]],TRUE)=1</f>
        <v>1</v>
      </c>
      <c r="AO211" s="16" t="b">
        <f>IF(questions[[#This Row],[is_fixed]],questions[[#This Row],[question]]=INDEX(stable[question],MATCH(questions[[#This Row],[qno]],stable[qno],0)),TRUE)</f>
        <v>1</v>
      </c>
      <c r="AP211" s="16" t="str">
        <f>LEFT(questions[[#This Row],[question]],similarity_range)</f>
        <v>What was the total q</v>
      </c>
      <c r="AQ211" s="16" t="str">
        <f>LEFT(INDEX(stable[question],MATCH(questions[[#This Row],[qno]],stable[qno],0)),similarity_range)</f>
        <v>What was the total q</v>
      </c>
      <c r="AR211" s="16" t="b">
        <f>questions[[#This Row],[question_first_characters]]=questions[[#This Row],[stability_first_characters]]</f>
        <v>1</v>
      </c>
      <c r="AS211" s="16" t="b">
        <f>IF(OR(questions[[#This Row],[is_single_select]],questions[[#This Row],[is_multi_select]]),NOT(ISBLANK(questions[[#This Row],[answer_opt_combined]])),TRUE)</f>
        <v>1</v>
      </c>
    </row>
    <row r="212" spans="1:45" x14ac:dyDescent="0.25">
      <c r="A212" s="9" t="str">
        <f>_xlfn.TEXTJOIN("_",TRUE,questions[[#This Row],[origin]:[qno]])</f>
        <v>Uganda_Arabica_Sbux_5102</v>
      </c>
      <c r="B212" s="9" t="s">
        <v>511</v>
      </c>
      <c r="C212" s="9" t="s">
        <v>59</v>
      </c>
      <c r="D212" s="9" t="s">
        <v>512</v>
      </c>
      <c r="F212" s="24" t="s">
        <v>560</v>
      </c>
      <c r="G212" s="15" t="s">
        <v>561</v>
      </c>
      <c r="H212" s="9" t="str" cm="1">
        <f t="array" ref="H212">INDEX(stableR[question],MATCH(VALUE(questions[[#This Row],[qno]]),VALUE(stableR[qno]),0))</f>
        <v>What was the unit of the synthetic fertilizer type that you used most? (bags, kg)</v>
      </c>
      <c r="I212" s="9" t="b" cm="1">
        <f t="array" ref="I212">INDEX(stable[is_fixed],MATCH(VALUE(questions[[#This Row],[qno]]),VALUE(stable[qno]),0))</f>
        <v>0</v>
      </c>
      <c r="J212" s="9" t="b" cm="1">
        <f t="array" ref="J212">INDEX(stable[is_localized],MATCH(VALUE(questions[[#This Row],[qno]]),VALUE(stable[qno]),0))</f>
        <v>1</v>
      </c>
      <c r="K212" s="9" t="b" cm="1">
        <f t="array" ref="K212">INDEX(stable[is_supply_chain_dependent],MATCH(VALUE(questions[[#This Row],[qno]]),VALUE(stable[qno]),0))</f>
        <v>0</v>
      </c>
      <c r="L212" s="9" t="b" cm="1">
        <f t="array" ref="L212">INDEX(stable[is_mandatory],MATCH(VALUE(questions[[#This Row],[qno]]),VALUE(stable[qno]),0))</f>
        <v>0</v>
      </c>
      <c r="M212" s="9" t="b" cm="1">
        <f t="array" ref="M212">INDEX(stable[is_automated],MATCH(VALUE(questions[[#This Row],[qno]]),VALUE(stable[qno]),0))</f>
        <v>0</v>
      </c>
      <c r="N212" s="9" t="b" cm="1">
        <f t="array" ref="N212">INDEX(stable[is_free_text],MATCH(VALUE(questions[[#This Row],[qno]]),VALUE(stable[qno]),0))</f>
        <v>0</v>
      </c>
      <c r="O212" s="9" t="b" cm="1">
        <f t="array" ref="O212">INDEX(stable[is_numerical],MATCH(VALUE(questions[[#This Row],[qno]]),VALUE(stable[qno]),0))</f>
        <v>0</v>
      </c>
      <c r="P212" s="32" t="b" cm="1">
        <f t="array" ref="P212">INDEX(stable[is_single_select],MATCH(VALUE(questions[[#This Row],[qno]]),VALUE(stable[qno]),0))</f>
        <v>1</v>
      </c>
      <c r="Q212" s="9" t="b" cm="1">
        <f t="array" ref="Q212">INDEX(stable[is_multi_select],MATCH(VALUE(questions[[#This Row],[qno]]),VALUE(stable[qno]),0))</f>
        <v>0</v>
      </c>
      <c r="R212" s="9" t="b" cm="1">
        <f t="array" ref="R212">INDEX(stable[is_skip_logic],MATCH(VALUE(questions[[#This Row],[qno]]),VALUE(stable[qno]),0))</f>
        <v>1</v>
      </c>
      <c r="S212" s="9" t="str">
        <f>_xlfn.TEXTJOIN(", ",TRUE,questions[[#This Row],[ans_opt_1]:[ans_opt_14]])</f>
        <v>kg, bags, liters</v>
      </c>
      <c r="T212" s="9" t="s">
        <v>562</v>
      </c>
      <c r="U212" s="9" t="s">
        <v>563</v>
      </c>
      <c r="V212" s="9" t="s">
        <v>564</v>
      </c>
      <c r="AH212" s="16" t="b">
        <f>INDEX(stable[q_standard],MATCH(questions[[#This Row],[qno]],stable[qno],0))</f>
        <v>0</v>
      </c>
      <c r="AI212" s="16" t="b">
        <f>INDEX(stable[q_living_income],MATCH(questions[[#This Row],[qno]],stable[qno],0))</f>
        <v>1</v>
      </c>
      <c r="AJ212" s="16" t="b">
        <f>INDEX(stable[q_carbon],MATCH(questions[[#This Row],[qno]],stable[qno],0))</f>
        <v>1</v>
      </c>
      <c r="AK212" s="16" t="b">
        <f>INDEX(stable[q_regen_ag],MATCH(questions[[#This Row],[qno]],stable[qno],0))</f>
        <v>0</v>
      </c>
      <c r="AL212" s="16" t="b">
        <f>COUNTIFS(stable[qno],questions[[#This Row],[qno]])=1</f>
        <v>1</v>
      </c>
      <c r="AM212" s="16" t="b">
        <f>OR(questions[[#This Row],[is_fixed]],questions[[#This Row],[is_localized]],questions[[#This Row],[is_supply_chain_dependent]])</f>
        <v>1</v>
      </c>
      <c r="AN212" s="16" t="b">
        <f>COUNTIFS(questions[[#This Row],[is_automated]:[is_multi_select]],TRUE)=1</f>
        <v>1</v>
      </c>
      <c r="AO212" s="16" t="b">
        <f>IF(questions[[#This Row],[is_fixed]],questions[[#This Row],[question]]=INDEX(stable[question],MATCH(questions[[#This Row],[qno]],stable[qno],0)),TRUE)</f>
        <v>1</v>
      </c>
      <c r="AP212" s="16" t="str">
        <f>LEFT(questions[[#This Row],[question]],similarity_range)</f>
        <v>What was the unit of</v>
      </c>
      <c r="AQ212" s="16" t="str">
        <f>LEFT(INDEX(stable[question],MATCH(questions[[#This Row],[qno]],stable[qno],0)),similarity_range)</f>
        <v>What was the unit of</v>
      </c>
      <c r="AR212" s="16" t="b">
        <f>questions[[#This Row],[question_first_characters]]=questions[[#This Row],[stability_first_characters]]</f>
        <v>1</v>
      </c>
      <c r="AS212" s="16" t="b">
        <f>IF(OR(questions[[#This Row],[is_single_select]],questions[[#This Row],[is_multi_select]]),NOT(ISBLANK(questions[[#This Row],[answer_opt_combined]])),TRUE)</f>
        <v>1</v>
      </c>
    </row>
    <row r="213" spans="1:45" x14ac:dyDescent="0.25">
      <c r="A213" s="9" t="str">
        <f>_xlfn.TEXTJOIN("_",TRUE,questions[[#This Row],[origin]:[qno]])</f>
        <v>Uganda_Arabica_Sbux_5110</v>
      </c>
      <c r="B213" s="9" t="s">
        <v>511</v>
      </c>
      <c r="C213" s="9" t="s">
        <v>59</v>
      </c>
      <c r="D213" s="9" t="s">
        <v>512</v>
      </c>
      <c r="F213" s="24" t="s">
        <v>167</v>
      </c>
      <c r="G213" s="15" t="s">
        <v>565</v>
      </c>
      <c r="H213" s="9" t="str" cm="1">
        <f t="array" ref="H213">INDEX(stableR[question],MATCH(VALUE(questions[[#This Row],[qno]]),VALUE(stableR[qno]),0))</f>
        <v>What was the name of the synthetic fertilizer that you used second most, last year?</v>
      </c>
      <c r="I213" s="9" t="b" cm="1">
        <f t="array" ref="I213">INDEX(stable[is_fixed],MATCH(VALUE(questions[[#This Row],[qno]]),VALUE(stable[qno]),0))</f>
        <v>0</v>
      </c>
      <c r="J213" s="9" t="b" cm="1">
        <f t="array" ref="J213">INDEX(stable[is_localized],MATCH(VALUE(questions[[#This Row],[qno]]),VALUE(stable[qno]),0))</f>
        <v>1</v>
      </c>
      <c r="K213" s="9" t="b" cm="1">
        <f t="array" ref="K213">INDEX(stable[is_supply_chain_dependent],MATCH(VALUE(questions[[#This Row],[qno]]),VALUE(stable[qno]),0))</f>
        <v>0</v>
      </c>
      <c r="L213" s="9" t="b" cm="1">
        <f t="array" ref="L213">INDEX(stable[is_mandatory],MATCH(VALUE(questions[[#This Row],[qno]]),VALUE(stable[qno]),0))</f>
        <v>0</v>
      </c>
      <c r="M213" s="9" t="b" cm="1">
        <f t="array" ref="M213">INDEX(stable[is_automated],MATCH(VALUE(questions[[#This Row],[qno]]),VALUE(stable[qno]),0))</f>
        <v>0</v>
      </c>
      <c r="N213" s="9" t="b" cm="1">
        <f t="array" ref="N213">INDEX(stable[is_free_text],MATCH(VALUE(questions[[#This Row],[qno]]),VALUE(stable[qno]),0))</f>
        <v>0</v>
      </c>
      <c r="O213" s="9" t="b" cm="1">
        <f t="array" ref="O213">INDEX(stable[is_numerical],MATCH(VALUE(questions[[#This Row],[qno]]),VALUE(stable[qno]),0))</f>
        <v>0</v>
      </c>
      <c r="P213" s="32" t="b" cm="1">
        <f t="array" ref="P213">INDEX(stable[is_single_select],MATCH(VALUE(questions[[#This Row],[qno]]),VALUE(stable[qno]),0))</f>
        <v>1</v>
      </c>
      <c r="Q213" s="9" t="b" cm="1">
        <f t="array" ref="Q213">INDEX(stable[is_multi_select],MATCH(VALUE(questions[[#This Row],[qno]]),VALUE(stable[qno]),0))</f>
        <v>0</v>
      </c>
      <c r="R213" s="9" t="b" cm="1">
        <f t="array" ref="R213">INDEX(stable[is_skip_logic],MATCH(VALUE(questions[[#This Row],[qno]]),VALUE(stable[qno]),0))</f>
        <v>1</v>
      </c>
      <c r="S213" s="9" t="str">
        <f>_xlfn.TEXTJOIN(", ",TRUE,questions[[#This Row],[ans_opt_1]:[ans_opt_14]])</f>
        <v/>
      </c>
      <c r="AH213" s="16" t="b">
        <f>INDEX(stable[q_standard],MATCH(questions[[#This Row],[qno]],stable[qno],0))</f>
        <v>0</v>
      </c>
      <c r="AI213" s="16" t="b">
        <f>INDEX(stable[q_living_income],MATCH(questions[[#This Row],[qno]],stable[qno],0))</f>
        <v>1</v>
      </c>
      <c r="AJ213" s="16" t="b">
        <f>INDEX(stable[q_carbon],MATCH(questions[[#This Row],[qno]],stable[qno],0))</f>
        <v>1</v>
      </c>
      <c r="AK213" s="16" t="b">
        <f>INDEX(stable[q_regen_ag],MATCH(questions[[#This Row],[qno]],stable[qno],0))</f>
        <v>0</v>
      </c>
      <c r="AL213" s="16" t="b">
        <f>COUNTIFS(stable[qno],questions[[#This Row],[qno]])=1</f>
        <v>1</v>
      </c>
      <c r="AM213" s="16" t="b">
        <f>OR(questions[[#This Row],[is_fixed]],questions[[#This Row],[is_localized]],questions[[#This Row],[is_supply_chain_dependent]])</f>
        <v>1</v>
      </c>
      <c r="AN213" s="16" t="b">
        <f>COUNTIFS(questions[[#This Row],[is_automated]:[is_multi_select]],TRUE)=1</f>
        <v>1</v>
      </c>
      <c r="AO213" s="16" t="b">
        <f>IF(questions[[#This Row],[is_fixed]],questions[[#This Row],[question]]=INDEX(stable[question],MATCH(questions[[#This Row],[qno]],stable[qno],0)),TRUE)</f>
        <v>1</v>
      </c>
      <c r="AP213" s="16" t="str">
        <f>LEFT(questions[[#This Row],[question]],similarity_range)</f>
        <v xml:space="preserve">What is the name of </v>
      </c>
      <c r="AQ213" s="16" t="str">
        <f>LEFT(INDEX(stable[question],MATCH(questions[[#This Row],[qno]],stable[qno],0)),similarity_range)</f>
        <v xml:space="preserve">What is the name of </v>
      </c>
      <c r="AR213" s="16" t="b">
        <f>questions[[#This Row],[question_first_characters]]=questions[[#This Row],[stability_first_characters]]</f>
        <v>1</v>
      </c>
      <c r="AS213" s="16" t="b">
        <f>IF(OR(questions[[#This Row],[is_single_select]],questions[[#This Row],[is_multi_select]]),NOT(ISBLANK(questions[[#This Row],[answer_opt_combined]])),TRUE)</f>
        <v>1</v>
      </c>
    </row>
    <row r="214" spans="1:45" x14ac:dyDescent="0.25">
      <c r="A214" s="9" t="str">
        <f>_xlfn.TEXTJOIN("_",TRUE,questions[[#This Row],[origin]:[qno]])</f>
        <v>Uganda_Arabica_Sbux_5111</v>
      </c>
      <c r="B214" s="9" t="s">
        <v>511</v>
      </c>
      <c r="C214" s="9" t="s">
        <v>59</v>
      </c>
      <c r="D214" s="9" t="s">
        <v>512</v>
      </c>
      <c r="F214" s="24" t="s">
        <v>169</v>
      </c>
      <c r="G214" s="15" t="s">
        <v>566</v>
      </c>
      <c r="H214" s="9" t="str" cm="1">
        <f t="array" ref="H214">INDEX(stableR[question],MATCH(VALUE(questions[[#This Row],[qno]]),VALUE(stableR[qno]),0))</f>
        <v>What was the total quantity of the synthetic fertilizer that you used second most, last year? (Kg)</v>
      </c>
      <c r="I214" s="9" t="b" cm="1">
        <f t="array" ref="I214">INDEX(stable[is_fixed],MATCH(VALUE(questions[[#This Row],[qno]]),VALUE(stable[qno]),0))</f>
        <v>0</v>
      </c>
      <c r="J214" s="9" t="b" cm="1">
        <f t="array" ref="J214">INDEX(stable[is_localized],MATCH(VALUE(questions[[#This Row],[qno]]),VALUE(stable[qno]),0))</f>
        <v>1</v>
      </c>
      <c r="K214" s="9" t="b" cm="1">
        <f t="array" ref="K214">INDEX(stable[is_supply_chain_dependent],MATCH(VALUE(questions[[#This Row],[qno]]),VALUE(stable[qno]),0))</f>
        <v>0</v>
      </c>
      <c r="L214" s="9" t="b" cm="1">
        <f t="array" ref="L214">INDEX(stable[is_mandatory],MATCH(VALUE(questions[[#This Row],[qno]]),VALUE(stable[qno]),0))</f>
        <v>0</v>
      </c>
      <c r="M214" s="9" t="b" cm="1">
        <f t="array" ref="M214">INDEX(stable[is_automated],MATCH(VALUE(questions[[#This Row],[qno]]),VALUE(stable[qno]),0))</f>
        <v>0</v>
      </c>
      <c r="N214" s="9" t="b" cm="1">
        <f t="array" ref="N214">INDEX(stable[is_free_text],MATCH(VALUE(questions[[#This Row],[qno]]),VALUE(stable[qno]),0))</f>
        <v>0</v>
      </c>
      <c r="O214" s="9" t="b" cm="1">
        <f t="array" ref="O214">INDEX(stable[is_numerical],MATCH(VALUE(questions[[#This Row],[qno]]),VALUE(stable[qno]),0))</f>
        <v>1</v>
      </c>
      <c r="P214" s="32" t="b" cm="1">
        <f t="array" ref="P214">INDEX(stable[is_single_select],MATCH(VALUE(questions[[#This Row],[qno]]),VALUE(stable[qno]),0))</f>
        <v>0</v>
      </c>
      <c r="Q214" s="9" t="b" cm="1">
        <f t="array" ref="Q214">INDEX(stable[is_multi_select],MATCH(VALUE(questions[[#This Row],[qno]]),VALUE(stable[qno]),0))</f>
        <v>0</v>
      </c>
      <c r="R214" s="9" t="b" cm="1">
        <f t="array" ref="R214">INDEX(stable[is_skip_logic],MATCH(VALUE(questions[[#This Row],[qno]]),VALUE(stable[qno]),0))</f>
        <v>1</v>
      </c>
      <c r="S214" s="9" t="str">
        <f>_xlfn.TEXTJOIN(", ",TRUE,questions[[#This Row],[ans_opt_1]:[ans_opt_14]])</f>
        <v/>
      </c>
      <c r="AH214" s="16" t="b">
        <f>INDEX(stable[q_standard],MATCH(questions[[#This Row],[qno]],stable[qno],0))</f>
        <v>0</v>
      </c>
      <c r="AI214" s="16" t="b">
        <f>INDEX(stable[q_living_income],MATCH(questions[[#This Row],[qno]],stable[qno],0))</f>
        <v>1</v>
      </c>
      <c r="AJ214" s="16" t="b">
        <f>INDEX(stable[q_carbon],MATCH(questions[[#This Row],[qno]],stable[qno],0))</f>
        <v>1</v>
      </c>
      <c r="AK214" s="16" t="b">
        <f>INDEX(stable[q_regen_ag],MATCH(questions[[#This Row],[qno]],stable[qno],0))</f>
        <v>0</v>
      </c>
      <c r="AL214" s="16" t="b">
        <f>COUNTIFS(stable[qno],questions[[#This Row],[qno]])=1</f>
        <v>1</v>
      </c>
      <c r="AM214" s="16" t="b">
        <f>OR(questions[[#This Row],[is_fixed]],questions[[#This Row],[is_localized]],questions[[#This Row],[is_supply_chain_dependent]])</f>
        <v>1</v>
      </c>
      <c r="AN214" s="16" t="b">
        <f>COUNTIFS(questions[[#This Row],[is_automated]:[is_multi_select]],TRUE)=1</f>
        <v>1</v>
      </c>
      <c r="AO214" s="16" t="b">
        <f>IF(questions[[#This Row],[is_fixed]],questions[[#This Row],[question]]=INDEX(stable[question],MATCH(questions[[#This Row],[qno]],stable[qno],0)),TRUE)</f>
        <v>1</v>
      </c>
      <c r="AP214" s="16" t="str">
        <f>LEFT(questions[[#This Row],[question]],similarity_range)</f>
        <v>What was the total q</v>
      </c>
      <c r="AQ214" s="16" t="str">
        <f>LEFT(INDEX(stable[question],MATCH(questions[[#This Row],[qno]],stable[qno],0)),similarity_range)</f>
        <v>What was the total q</v>
      </c>
      <c r="AR214" s="16" t="b">
        <f>questions[[#This Row],[question_first_characters]]=questions[[#This Row],[stability_first_characters]]</f>
        <v>1</v>
      </c>
      <c r="AS214" s="16" t="b">
        <f>IF(OR(questions[[#This Row],[is_single_select]],questions[[#This Row],[is_multi_select]]),NOT(ISBLANK(questions[[#This Row],[answer_opt_combined]])),TRUE)</f>
        <v>1</v>
      </c>
    </row>
    <row r="215" spans="1:45" x14ac:dyDescent="0.25">
      <c r="A215" s="9" t="str">
        <f>_xlfn.TEXTJOIN("_",TRUE,questions[[#This Row],[origin]:[qno]])</f>
        <v>Uganda_Arabica_Sbux_5112</v>
      </c>
      <c r="B215" s="9" t="s">
        <v>511</v>
      </c>
      <c r="C215" s="9" t="s">
        <v>59</v>
      </c>
      <c r="D215" s="9" t="s">
        <v>512</v>
      </c>
      <c r="F215" s="24" t="s">
        <v>567</v>
      </c>
      <c r="G215" s="15" t="s">
        <v>568</v>
      </c>
      <c r="H215" s="9" t="str" cm="1">
        <f t="array" ref="H215">INDEX(stableR[question],MATCH(VALUE(questions[[#This Row],[qno]]),VALUE(stableR[qno]),0))</f>
        <v>What was the unit of the synthetic fertilizer type that you used second most ? (bags, kg)</v>
      </c>
      <c r="I215" s="9" t="b" cm="1">
        <f t="array" ref="I215">INDEX(stable[is_fixed],MATCH(VALUE(questions[[#This Row],[qno]]),VALUE(stable[qno]),0))</f>
        <v>0</v>
      </c>
      <c r="J215" s="9" t="b" cm="1">
        <f t="array" ref="J215">INDEX(stable[is_localized],MATCH(VALUE(questions[[#This Row],[qno]]),VALUE(stable[qno]),0))</f>
        <v>1</v>
      </c>
      <c r="K215" s="9" t="b" cm="1">
        <f t="array" ref="K215">INDEX(stable[is_supply_chain_dependent],MATCH(VALUE(questions[[#This Row],[qno]]),VALUE(stable[qno]),0))</f>
        <v>0</v>
      </c>
      <c r="L215" s="9" t="b" cm="1">
        <f t="array" ref="L215">INDEX(stable[is_mandatory],MATCH(VALUE(questions[[#This Row],[qno]]),VALUE(stable[qno]),0))</f>
        <v>0</v>
      </c>
      <c r="M215" s="9" t="b" cm="1">
        <f t="array" ref="M215">INDEX(stable[is_automated],MATCH(VALUE(questions[[#This Row],[qno]]),VALUE(stable[qno]),0))</f>
        <v>0</v>
      </c>
      <c r="N215" s="9" t="b" cm="1">
        <f t="array" ref="N215">INDEX(stable[is_free_text],MATCH(VALUE(questions[[#This Row],[qno]]),VALUE(stable[qno]),0))</f>
        <v>0</v>
      </c>
      <c r="O215" s="9" t="b" cm="1">
        <f t="array" ref="O215">INDEX(stable[is_numerical],MATCH(VALUE(questions[[#This Row],[qno]]),VALUE(stable[qno]),0))</f>
        <v>0</v>
      </c>
      <c r="P215" s="32" t="b" cm="1">
        <f t="array" ref="P215">INDEX(stable[is_single_select],MATCH(VALUE(questions[[#This Row],[qno]]),VALUE(stable[qno]),0))</f>
        <v>1</v>
      </c>
      <c r="Q215" s="9" t="b" cm="1">
        <f t="array" ref="Q215">INDEX(stable[is_multi_select],MATCH(VALUE(questions[[#This Row],[qno]]),VALUE(stable[qno]),0))</f>
        <v>0</v>
      </c>
      <c r="R215" s="9" t="b" cm="1">
        <f t="array" ref="R215">INDEX(stable[is_skip_logic],MATCH(VALUE(questions[[#This Row],[qno]]),VALUE(stable[qno]),0))</f>
        <v>1</v>
      </c>
      <c r="S215" s="9" t="str">
        <f>_xlfn.TEXTJOIN(", ",TRUE,questions[[#This Row],[ans_opt_1]:[ans_opt_14]])</f>
        <v>kg, bags, liters</v>
      </c>
      <c r="T215" s="9" t="s">
        <v>562</v>
      </c>
      <c r="U215" s="9" t="s">
        <v>563</v>
      </c>
      <c r="V215" s="9" t="s">
        <v>564</v>
      </c>
      <c r="AH215" s="16" t="b">
        <f>INDEX(stable[q_standard],MATCH(questions[[#This Row],[qno]],stable[qno],0))</f>
        <v>0</v>
      </c>
      <c r="AI215" s="16" t="b">
        <f>INDEX(stable[q_living_income],MATCH(questions[[#This Row],[qno]],stable[qno],0))</f>
        <v>1</v>
      </c>
      <c r="AJ215" s="16" t="b">
        <f>INDEX(stable[q_carbon],MATCH(questions[[#This Row],[qno]],stable[qno],0))</f>
        <v>1</v>
      </c>
      <c r="AK215" s="16" t="b">
        <f>INDEX(stable[q_regen_ag],MATCH(questions[[#This Row],[qno]],stable[qno],0))</f>
        <v>0</v>
      </c>
      <c r="AL215" s="16" t="b">
        <f>COUNTIFS(stable[qno],questions[[#This Row],[qno]])=1</f>
        <v>1</v>
      </c>
      <c r="AM215" s="16" t="b">
        <f>OR(questions[[#This Row],[is_fixed]],questions[[#This Row],[is_localized]],questions[[#This Row],[is_supply_chain_dependent]])</f>
        <v>1</v>
      </c>
      <c r="AN215" s="16" t="b">
        <f>COUNTIFS(questions[[#This Row],[is_automated]:[is_multi_select]],TRUE)=1</f>
        <v>1</v>
      </c>
      <c r="AO215" s="16" t="b">
        <f>IF(questions[[#This Row],[is_fixed]],questions[[#This Row],[question]]=INDEX(stable[question],MATCH(questions[[#This Row],[qno]],stable[qno],0)),TRUE)</f>
        <v>1</v>
      </c>
      <c r="AP215" s="16" t="str">
        <f>LEFT(questions[[#This Row],[question]],similarity_range)</f>
        <v>What was the unit of</v>
      </c>
      <c r="AQ215" s="16" t="str">
        <f>LEFT(INDEX(stable[question],MATCH(questions[[#This Row],[qno]],stable[qno],0)),similarity_range)</f>
        <v>What was the unit of</v>
      </c>
      <c r="AR215" s="16" t="b">
        <f>questions[[#This Row],[question_first_characters]]=questions[[#This Row],[stability_first_characters]]</f>
        <v>1</v>
      </c>
      <c r="AS215" s="16" t="b">
        <f>IF(OR(questions[[#This Row],[is_single_select]],questions[[#This Row],[is_multi_select]]),NOT(ISBLANK(questions[[#This Row],[answer_opt_combined]])),TRUE)</f>
        <v>1</v>
      </c>
    </row>
    <row r="216" spans="1:45" x14ac:dyDescent="0.25">
      <c r="A216" s="9" t="str">
        <f>_xlfn.TEXTJOIN("_",TRUE,questions[[#This Row],[origin]:[qno]])</f>
        <v>Uganda_Arabica_Sbux_5140</v>
      </c>
      <c r="B216" s="9" t="s">
        <v>511</v>
      </c>
      <c r="C216" s="9" t="s">
        <v>59</v>
      </c>
      <c r="D216" s="9" t="s">
        <v>512</v>
      </c>
      <c r="F216" s="9" t="s">
        <v>171</v>
      </c>
      <c r="G216" s="15" t="s">
        <v>172</v>
      </c>
      <c r="H216" s="9" t="str" cm="1">
        <f t="array" ref="H216">INDEX(stableR[question],MATCH(VALUE(questions[[#This Row],[qno]]),VALUE(stableR[qno]),0))</f>
        <v>Did you use Limestone or Dolomitic Limestone (Dolomite) last year?</v>
      </c>
      <c r="I216" s="9" t="b" cm="1">
        <f t="array" ref="I216">INDEX(stable[is_fixed],MATCH(VALUE(questions[[#This Row],[qno]]),VALUE(stable[qno]),0))</f>
        <v>1</v>
      </c>
      <c r="J216" s="9" t="b" cm="1">
        <f t="array" ref="J216">INDEX(stable[is_localized],MATCH(VALUE(questions[[#This Row],[qno]]),VALUE(stable[qno]),0))</f>
        <v>1</v>
      </c>
      <c r="K216" s="9" t="b" cm="1">
        <f t="array" ref="K216">INDEX(stable[is_supply_chain_dependent],MATCH(VALUE(questions[[#This Row],[qno]]),VALUE(stable[qno]),0))</f>
        <v>0</v>
      </c>
      <c r="L216" s="9" t="b" cm="1">
        <f t="array" ref="L216">INDEX(stable[is_mandatory],MATCH(VALUE(questions[[#This Row],[qno]]),VALUE(stable[qno]),0))</f>
        <v>1</v>
      </c>
      <c r="M216" s="9" t="b" cm="1">
        <f t="array" ref="M216">INDEX(stable[is_automated],MATCH(VALUE(questions[[#This Row],[qno]]),VALUE(stable[qno]),0))</f>
        <v>0</v>
      </c>
      <c r="N216" s="9" t="b" cm="1">
        <f t="array" ref="N216">INDEX(stable[is_free_text],MATCH(VALUE(questions[[#This Row],[qno]]),VALUE(stable[qno]),0))</f>
        <v>0</v>
      </c>
      <c r="O216" s="9" t="b" cm="1">
        <f t="array" ref="O216">INDEX(stable[is_numerical],MATCH(VALUE(questions[[#This Row],[qno]]),VALUE(stable[qno]),0))</f>
        <v>0</v>
      </c>
      <c r="P216" s="32" t="b" cm="1">
        <f t="array" ref="P216">INDEX(stable[is_single_select],MATCH(VALUE(questions[[#This Row],[qno]]),VALUE(stable[qno]),0))</f>
        <v>1</v>
      </c>
      <c r="Q216" s="9" t="b" cm="1">
        <f t="array" ref="Q216">INDEX(stable[is_multi_select],MATCH(VALUE(questions[[#This Row],[qno]]),VALUE(stable[qno]),0))</f>
        <v>0</v>
      </c>
      <c r="R216" s="9" t="b" cm="1">
        <f t="array" ref="R216">INDEX(stable[is_skip_logic],MATCH(VALUE(questions[[#This Row],[qno]]),VALUE(stable[qno]),0))</f>
        <v>1</v>
      </c>
      <c r="S216" s="9" t="str">
        <f>_xlfn.TEXTJOIN(", ",TRUE,questions[[#This Row],[ans_opt_1]:[ans_opt_14]])</f>
        <v/>
      </c>
      <c r="AH216" s="16" t="b">
        <f>INDEX(stable[q_standard],MATCH(questions[[#This Row],[qno]],stable[qno],0))</f>
        <v>0</v>
      </c>
      <c r="AI216" s="16" t="b">
        <f>INDEX(stable[q_living_income],MATCH(questions[[#This Row],[qno]],stable[qno],0))</f>
        <v>1</v>
      </c>
      <c r="AJ216" s="16" t="b">
        <f>INDEX(stable[q_carbon],MATCH(questions[[#This Row],[qno]],stable[qno],0))</f>
        <v>1</v>
      </c>
      <c r="AK216" s="16" t="b">
        <f>INDEX(stable[q_regen_ag],MATCH(questions[[#This Row],[qno]],stable[qno],0))</f>
        <v>0</v>
      </c>
      <c r="AL216" s="16" t="b">
        <f>COUNTIFS(stable[qno],questions[[#This Row],[qno]])=1</f>
        <v>1</v>
      </c>
      <c r="AM216" s="16" t="b">
        <f>OR(questions[[#This Row],[is_fixed]],questions[[#This Row],[is_localized]],questions[[#This Row],[is_supply_chain_dependent]])</f>
        <v>1</v>
      </c>
      <c r="AN216" s="16" t="b">
        <f>COUNTIFS(questions[[#This Row],[is_automated]:[is_multi_select]],TRUE)=1</f>
        <v>1</v>
      </c>
      <c r="AO216" s="16" t="b">
        <f>IF(questions[[#This Row],[is_fixed]],questions[[#This Row],[question]]=INDEX(stable[question],MATCH(questions[[#This Row],[qno]],stable[qno],0)),TRUE)</f>
        <v>0</v>
      </c>
      <c r="AP216" s="16" t="str">
        <f>LEFT(questions[[#This Row],[question]],similarity_range)</f>
        <v>Is there any other t</v>
      </c>
      <c r="AQ216" s="16" t="str">
        <f>LEFT(INDEX(stable[question],MATCH(questions[[#This Row],[qno]],stable[qno],0)),similarity_range)</f>
        <v>Did you use Limeston</v>
      </c>
      <c r="AR216" s="16" t="b">
        <f>questions[[#This Row],[question_first_characters]]=questions[[#This Row],[stability_first_characters]]</f>
        <v>0</v>
      </c>
      <c r="AS216" s="16" t="b">
        <f>IF(OR(questions[[#This Row],[is_single_select]],questions[[#This Row],[is_multi_select]]),NOT(ISBLANK(questions[[#This Row],[answer_opt_combined]])),TRUE)</f>
        <v>1</v>
      </c>
    </row>
    <row r="217" spans="1:45" x14ac:dyDescent="0.25">
      <c r="A217" s="9" t="str">
        <f>_xlfn.TEXTJOIN("_",TRUE,questions[[#This Row],[origin]:[qno]])</f>
        <v>Uganda_Arabica_Sbux_5121</v>
      </c>
      <c r="B217" s="9" t="s">
        <v>511</v>
      </c>
      <c r="C217" s="9" t="s">
        <v>59</v>
      </c>
      <c r="D217" s="9" t="s">
        <v>512</v>
      </c>
      <c r="F217" s="24" t="s">
        <v>173</v>
      </c>
      <c r="G217" s="15" t="s">
        <v>569</v>
      </c>
      <c r="H217" s="9" t="str" cm="1">
        <f t="array" ref="H217">INDEX(stableR[question],MATCH(VALUE(questions[[#This Row],[qno]]),VALUE(stableR[qno]),0))</f>
        <v>What was the total quantity of the synthetic fertilizer that you used third most, last year? (Kg)</v>
      </c>
      <c r="I217" s="9" t="b" cm="1">
        <f t="array" ref="I217">INDEX(stable[is_fixed],MATCH(VALUE(questions[[#This Row],[qno]]),VALUE(stable[qno]),0))</f>
        <v>0</v>
      </c>
      <c r="J217" s="9" t="b" cm="1">
        <f t="array" ref="J217">INDEX(stable[is_localized],MATCH(VALUE(questions[[#This Row],[qno]]),VALUE(stable[qno]),0))</f>
        <v>1</v>
      </c>
      <c r="K217" s="9" t="b" cm="1">
        <f t="array" ref="K217">INDEX(stable[is_supply_chain_dependent],MATCH(VALUE(questions[[#This Row],[qno]]),VALUE(stable[qno]),0))</f>
        <v>1</v>
      </c>
      <c r="L217" s="9" t="b" cm="1">
        <f t="array" ref="L217">INDEX(stable[is_mandatory],MATCH(VALUE(questions[[#This Row],[qno]]),VALUE(stable[qno]),0))</f>
        <v>0</v>
      </c>
      <c r="M217" s="9" t="b" cm="1">
        <f t="array" ref="M217">INDEX(stable[is_automated],MATCH(VALUE(questions[[#This Row],[qno]]),VALUE(stable[qno]),0))</f>
        <v>0</v>
      </c>
      <c r="N217" s="9" t="b" cm="1">
        <f t="array" ref="N217">INDEX(stable[is_free_text],MATCH(VALUE(questions[[#This Row],[qno]]),VALUE(stable[qno]),0))</f>
        <v>0</v>
      </c>
      <c r="O217" s="9" t="b" cm="1">
        <f t="array" ref="O217">INDEX(stable[is_numerical],MATCH(VALUE(questions[[#This Row],[qno]]),VALUE(stable[qno]),0))</f>
        <v>1</v>
      </c>
      <c r="P217" s="32" t="b" cm="1">
        <f t="array" ref="P217">INDEX(stable[is_single_select],MATCH(VALUE(questions[[#This Row],[qno]]),VALUE(stable[qno]),0))</f>
        <v>0</v>
      </c>
      <c r="Q217" s="9" t="b" cm="1">
        <f t="array" ref="Q217">INDEX(stable[is_multi_select],MATCH(VALUE(questions[[#This Row],[qno]]),VALUE(stable[qno]),0))</f>
        <v>0</v>
      </c>
      <c r="R217" s="9" t="b" cm="1">
        <f t="array" ref="R217">INDEX(stable[is_skip_logic],MATCH(VALUE(questions[[#This Row],[qno]]),VALUE(stable[qno]),0))</f>
        <v>1</v>
      </c>
      <c r="S217" s="9" t="str">
        <f>_xlfn.TEXTJOIN(", ",TRUE,questions[[#This Row],[ans_opt_1]:[ans_opt_14]])</f>
        <v/>
      </c>
      <c r="AH217" s="16" t="b">
        <f>INDEX(stable[q_standard],MATCH(questions[[#This Row],[qno]],stable[qno],0))</f>
        <v>0</v>
      </c>
      <c r="AI217" s="16" t="b">
        <f>INDEX(stable[q_living_income],MATCH(questions[[#This Row],[qno]],stable[qno],0))</f>
        <v>1</v>
      </c>
      <c r="AJ217" s="16" t="b">
        <f>INDEX(stable[q_carbon],MATCH(questions[[#This Row],[qno]],stable[qno],0))</f>
        <v>1</v>
      </c>
      <c r="AK217" s="16" t="b">
        <f>INDEX(stable[q_regen_ag],MATCH(questions[[#This Row],[qno]],stable[qno],0))</f>
        <v>0</v>
      </c>
      <c r="AL217" s="16" t="b">
        <f>COUNTIFS(stable[qno],questions[[#This Row],[qno]])=1</f>
        <v>1</v>
      </c>
      <c r="AM217" s="16" t="b">
        <f>OR(questions[[#This Row],[is_fixed]],questions[[#This Row],[is_localized]],questions[[#This Row],[is_supply_chain_dependent]])</f>
        <v>1</v>
      </c>
      <c r="AN217" s="16" t="b">
        <f>COUNTIFS(questions[[#This Row],[is_automated]:[is_multi_select]],TRUE)=1</f>
        <v>1</v>
      </c>
      <c r="AO217" s="16" t="b">
        <f>IF(questions[[#This Row],[is_fixed]],questions[[#This Row],[question]]=INDEX(stable[question],MATCH(questions[[#This Row],[qno]],stable[qno],0)),TRUE)</f>
        <v>1</v>
      </c>
      <c r="AP217" s="16" t="str">
        <f>LEFT(questions[[#This Row],[question]],similarity_range)</f>
        <v>What was the total q</v>
      </c>
      <c r="AQ217" s="16" t="str">
        <f>LEFT(INDEX(stable[question],MATCH(questions[[#This Row],[qno]],stable[qno],0)),similarity_range)</f>
        <v>What was the total q</v>
      </c>
      <c r="AR217" s="16" t="b">
        <f>questions[[#This Row],[question_first_characters]]=questions[[#This Row],[stability_first_characters]]</f>
        <v>1</v>
      </c>
      <c r="AS217" s="16" t="b">
        <f>IF(OR(questions[[#This Row],[is_single_select]],questions[[#This Row],[is_multi_select]]),NOT(ISBLANK(questions[[#This Row],[answer_opt_combined]])),TRUE)</f>
        <v>1</v>
      </c>
    </row>
    <row r="218" spans="1:45" x14ac:dyDescent="0.25">
      <c r="A218" s="9" t="str">
        <f>_xlfn.TEXTJOIN("_",TRUE,questions[[#This Row],[origin]:[qno]])</f>
        <v>Uganda_Arabica_Sbux_5122</v>
      </c>
      <c r="B218" s="9" t="s">
        <v>511</v>
      </c>
      <c r="C218" s="9" t="s">
        <v>59</v>
      </c>
      <c r="D218" s="9" t="s">
        <v>512</v>
      </c>
      <c r="F218" s="24" t="s">
        <v>570</v>
      </c>
      <c r="G218" s="15" t="s">
        <v>571</v>
      </c>
      <c r="H218" s="9" t="str" cm="1">
        <f t="array" ref="H218">INDEX(stableR[question],MATCH(VALUE(questions[[#This Row],[qno]]),VALUE(stableR[qno]),0))</f>
        <v>What was the unit of the synthetic fertilizer type that you used third most ? (bags, kg)</v>
      </c>
      <c r="I218" s="9" t="b" cm="1">
        <f t="array" ref="I218">INDEX(stable[is_fixed],MATCH(VALUE(questions[[#This Row],[qno]]),VALUE(stable[qno]),0))</f>
        <v>0</v>
      </c>
      <c r="J218" s="9" t="b" cm="1">
        <f t="array" ref="J218">INDEX(stable[is_localized],MATCH(VALUE(questions[[#This Row],[qno]]),VALUE(stable[qno]),0))</f>
        <v>1</v>
      </c>
      <c r="K218" s="9" t="b" cm="1">
        <f t="array" ref="K218">INDEX(stable[is_supply_chain_dependent],MATCH(VALUE(questions[[#This Row],[qno]]),VALUE(stable[qno]),0))</f>
        <v>1</v>
      </c>
      <c r="L218" s="9" t="b" cm="1">
        <f t="array" ref="L218">INDEX(stable[is_mandatory],MATCH(VALUE(questions[[#This Row],[qno]]),VALUE(stable[qno]),0))</f>
        <v>0</v>
      </c>
      <c r="M218" s="9" t="b" cm="1">
        <f t="array" ref="M218">INDEX(stable[is_automated],MATCH(VALUE(questions[[#This Row],[qno]]),VALUE(stable[qno]),0))</f>
        <v>0</v>
      </c>
      <c r="N218" s="9" t="b" cm="1">
        <f t="array" ref="N218">INDEX(stable[is_free_text],MATCH(VALUE(questions[[#This Row],[qno]]),VALUE(stable[qno]),0))</f>
        <v>0</v>
      </c>
      <c r="O218" s="9" t="b" cm="1">
        <f t="array" ref="O218">INDEX(stable[is_numerical],MATCH(VALUE(questions[[#This Row],[qno]]),VALUE(stable[qno]),0))</f>
        <v>0</v>
      </c>
      <c r="P218" s="32" t="b" cm="1">
        <f t="array" ref="P218">INDEX(stable[is_single_select],MATCH(VALUE(questions[[#This Row],[qno]]),VALUE(stable[qno]),0))</f>
        <v>1</v>
      </c>
      <c r="Q218" s="9" t="b" cm="1">
        <f t="array" ref="Q218">INDEX(stable[is_multi_select],MATCH(VALUE(questions[[#This Row],[qno]]),VALUE(stable[qno]),0))</f>
        <v>0</v>
      </c>
      <c r="R218" s="9" t="b" cm="1">
        <f t="array" ref="R218">INDEX(stable[is_skip_logic],MATCH(VALUE(questions[[#This Row],[qno]]),VALUE(stable[qno]),0))</f>
        <v>1</v>
      </c>
      <c r="S218" s="9" t="str">
        <f>_xlfn.TEXTJOIN(", ",TRUE,questions[[#This Row],[ans_opt_1]:[ans_opt_14]])</f>
        <v>kg, bags, liters</v>
      </c>
      <c r="T218" s="9" t="s">
        <v>562</v>
      </c>
      <c r="U218" s="9" t="s">
        <v>563</v>
      </c>
      <c r="V218" s="9" t="s">
        <v>564</v>
      </c>
      <c r="AH218" s="16" t="b">
        <f>INDEX(stable[q_standard],MATCH(questions[[#This Row],[qno]],stable[qno],0))</f>
        <v>0</v>
      </c>
      <c r="AI218" s="16" t="b">
        <f>INDEX(stable[q_living_income],MATCH(questions[[#This Row],[qno]],stable[qno],0))</f>
        <v>1</v>
      </c>
      <c r="AJ218" s="16" t="b">
        <f>INDEX(stable[q_carbon],MATCH(questions[[#This Row],[qno]],stable[qno],0))</f>
        <v>1</v>
      </c>
      <c r="AK218" s="16" t="b">
        <f>INDEX(stable[q_regen_ag],MATCH(questions[[#This Row],[qno]],stable[qno],0))</f>
        <v>0</v>
      </c>
      <c r="AL218" s="16" t="b">
        <f>COUNTIFS(stable[qno],questions[[#This Row],[qno]])=1</f>
        <v>1</v>
      </c>
      <c r="AM218" s="16" t="b">
        <f>OR(questions[[#This Row],[is_fixed]],questions[[#This Row],[is_localized]],questions[[#This Row],[is_supply_chain_dependent]])</f>
        <v>1</v>
      </c>
      <c r="AN218" s="16" t="b">
        <f>COUNTIFS(questions[[#This Row],[is_automated]:[is_multi_select]],TRUE)=1</f>
        <v>1</v>
      </c>
      <c r="AO218" s="16" t="b">
        <f>IF(questions[[#This Row],[is_fixed]],questions[[#This Row],[question]]=INDEX(stable[question],MATCH(questions[[#This Row],[qno]],stable[qno],0)),TRUE)</f>
        <v>1</v>
      </c>
      <c r="AP218" s="16" t="str">
        <f>LEFT(questions[[#This Row],[question]],similarity_range)</f>
        <v>What was the unit of</v>
      </c>
      <c r="AQ218" s="16" t="str">
        <f>LEFT(INDEX(stable[question],MATCH(questions[[#This Row],[qno]],stable[qno],0)),similarity_range)</f>
        <v>What was the unit of</v>
      </c>
      <c r="AR218" s="16" t="b">
        <f>questions[[#This Row],[question_first_characters]]=questions[[#This Row],[stability_first_characters]]</f>
        <v>1</v>
      </c>
      <c r="AS218" s="16" t="b">
        <f>IF(OR(questions[[#This Row],[is_single_select]],questions[[#This Row],[is_multi_select]]),NOT(ISBLANK(questions[[#This Row],[answer_opt_combined]])),TRUE)</f>
        <v>1</v>
      </c>
    </row>
    <row r="219" spans="1:45" s="77" customFormat="1" x14ac:dyDescent="0.25">
      <c r="A219" s="77" t="str">
        <f>_xlfn.TEXTJOIN("_",TRUE,questions[[#This Row],[origin]:[qno]])</f>
        <v>Uganda_Arabica_Sbux_5400</v>
      </c>
      <c r="B219" s="77" t="s">
        <v>511</v>
      </c>
      <c r="C219" s="77" t="s">
        <v>59</v>
      </c>
      <c r="D219" s="77" t="s">
        <v>512</v>
      </c>
      <c r="F219" s="104" t="s">
        <v>175</v>
      </c>
      <c r="G219" s="78" t="s">
        <v>176</v>
      </c>
      <c r="H219" s="9" t="str" cm="1">
        <f t="array" ref="H219">INDEX(stableR[question],MATCH(VALUE(questions[[#This Row],[qno]]),VALUE(stableR[qno]),0))</f>
        <v>Did you use any type of animal manure, compost, or organic fertilizers for your coffee last year?</v>
      </c>
      <c r="I219" s="9" t="b" cm="1">
        <f t="array" ref="I219">INDEX(stable[is_fixed],MATCH(VALUE(questions[[#This Row],[qno]]),VALUE(stable[qno]),0))</f>
        <v>1</v>
      </c>
      <c r="J219" s="9" t="b" cm="1">
        <f t="array" ref="J219">INDEX(stable[is_localized],MATCH(VALUE(questions[[#This Row],[qno]]),VALUE(stable[qno]),0))</f>
        <v>0</v>
      </c>
      <c r="K219" s="9" t="b" cm="1">
        <f t="array" ref="K219">INDEX(stable[is_supply_chain_dependent],MATCH(VALUE(questions[[#This Row],[qno]]),VALUE(stable[qno]),0))</f>
        <v>0</v>
      </c>
      <c r="L219" s="9" t="b" cm="1">
        <f t="array" ref="L219">INDEX(stable[is_mandatory],MATCH(VALUE(questions[[#This Row],[qno]]),VALUE(stable[qno]),0))</f>
        <v>1</v>
      </c>
      <c r="M219" s="9" t="b" cm="1">
        <f t="array" ref="M219">INDEX(stable[is_automated],MATCH(VALUE(questions[[#This Row],[qno]]),VALUE(stable[qno]),0))</f>
        <v>0</v>
      </c>
      <c r="N219" s="9" t="b" cm="1">
        <f t="array" ref="N219">INDEX(stable[is_free_text],MATCH(VALUE(questions[[#This Row],[qno]]),VALUE(stable[qno]),0))</f>
        <v>0</v>
      </c>
      <c r="O219" s="9" t="b" cm="1">
        <f t="array" ref="O219">INDEX(stable[is_numerical],MATCH(VALUE(questions[[#This Row],[qno]]),VALUE(stable[qno]),0))</f>
        <v>0</v>
      </c>
      <c r="P219" s="103" t="b" cm="1">
        <f t="array" ref="P219">INDEX(stable[is_single_select],MATCH(VALUE(questions[[#This Row],[qno]]),VALUE(stable[qno]),0))</f>
        <v>1</v>
      </c>
      <c r="Q219" s="77" t="b" cm="1">
        <f t="array" ref="Q219">INDEX(stable[is_multi_select],MATCH(VALUE(questions[[#This Row],[qno]]),VALUE(stable[qno]),0))</f>
        <v>0</v>
      </c>
      <c r="R219" s="77" t="b" cm="1">
        <f t="array" ref="R219">INDEX(stable[is_skip_logic],MATCH(VALUE(questions[[#This Row],[qno]]),VALUE(stable[qno]),0))</f>
        <v>1</v>
      </c>
      <c r="S219" s="77" t="str">
        <f>_xlfn.TEXTJOIN(", ",TRUE,questions[[#This Row],[ans_opt_1]:[ans_opt_14]])</f>
        <v>Yes, No</v>
      </c>
      <c r="T219" s="77" t="s">
        <v>149</v>
      </c>
      <c r="U219" s="77" t="s">
        <v>119</v>
      </c>
      <c r="AH219" s="98" t="b">
        <f>INDEX(stable[q_standard],MATCH(questions[[#This Row],[qno]],stable[qno],0))</f>
        <v>0</v>
      </c>
      <c r="AI219" s="98" t="b">
        <f>INDEX(stable[q_living_income],MATCH(questions[[#This Row],[qno]],stable[qno],0))</f>
        <v>1</v>
      </c>
      <c r="AJ219" s="98" t="b">
        <f>INDEX(stable[q_carbon],MATCH(questions[[#This Row],[qno]],stable[qno],0))</f>
        <v>1</v>
      </c>
      <c r="AK219" s="98" t="b">
        <f>INDEX(stable[q_regen_ag],MATCH(questions[[#This Row],[qno]],stable[qno],0))</f>
        <v>0</v>
      </c>
      <c r="AL219" s="98" t="b">
        <f>COUNTIFS(stable[qno],questions[[#This Row],[qno]])=1</f>
        <v>1</v>
      </c>
      <c r="AM219" s="98" t="b">
        <f>OR(questions[[#This Row],[is_fixed]],questions[[#This Row],[is_localized]],questions[[#This Row],[is_supply_chain_dependent]])</f>
        <v>1</v>
      </c>
      <c r="AN219" s="98" t="b">
        <f>COUNTIFS(questions[[#This Row],[is_automated]:[is_multi_select]],TRUE)=1</f>
        <v>1</v>
      </c>
      <c r="AO219" s="98" t="b">
        <f>IF(questions[[#This Row],[is_fixed]],questions[[#This Row],[question]]=INDEX(stable[question],MATCH(questions[[#This Row],[qno]],stable[qno],0)),TRUE)</f>
        <v>1</v>
      </c>
      <c r="AP219" s="98" t="str">
        <f>LEFT(questions[[#This Row],[question]],similarity_range)</f>
        <v>Did you use any type</v>
      </c>
      <c r="AQ219" s="98" t="str">
        <f>LEFT(INDEX(stable[question],MATCH(questions[[#This Row],[qno]],stable[qno],0)),similarity_range)</f>
        <v>Did you use any type</v>
      </c>
      <c r="AR219" s="98" t="b">
        <f>questions[[#This Row],[question_first_characters]]=questions[[#This Row],[stability_first_characters]]</f>
        <v>1</v>
      </c>
      <c r="AS219" s="98" t="b">
        <f>IF(OR(questions[[#This Row],[is_single_select]],questions[[#This Row],[is_multi_select]]),NOT(ISBLANK(questions[[#This Row],[answer_opt_combined]])),TRUE)</f>
        <v>1</v>
      </c>
    </row>
    <row r="220" spans="1:45" x14ac:dyDescent="0.25">
      <c r="A220" s="9" t="str">
        <f>_xlfn.TEXTJOIN("_",TRUE,questions[[#This Row],[origin]:[qno]])</f>
        <v>Uganda_Arabica_Sbux_5401</v>
      </c>
      <c r="B220" s="9" t="s">
        <v>511</v>
      </c>
      <c r="C220" s="9" t="s">
        <v>59</v>
      </c>
      <c r="D220" s="9" t="s">
        <v>512</v>
      </c>
      <c r="F220" s="24" t="s">
        <v>177</v>
      </c>
      <c r="G220" s="15" t="s">
        <v>178</v>
      </c>
      <c r="H220" s="9" t="str" cm="1">
        <f t="array" ref="H220">INDEX(stableR[question],MATCH(VALUE(questions[[#This Row],[qno]]),VALUE(stableR[qno]),0))</f>
        <v>What was the type of animal manure, compost, or organic fertilizer that you used most last year?</v>
      </c>
      <c r="I220" s="9" t="b" cm="1">
        <f t="array" ref="I220">INDEX(stable[is_fixed],MATCH(VALUE(questions[[#This Row],[qno]]),VALUE(stable[qno]),0))</f>
        <v>1</v>
      </c>
      <c r="J220" s="9" t="b" cm="1">
        <f t="array" ref="J220">INDEX(stable[is_localized],MATCH(VALUE(questions[[#This Row],[qno]]),VALUE(stable[qno]),0))</f>
        <v>0</v>
      </c>
      <c r="K220" s="9" t="b" cm="1">
        <f t="array" ref="K220">INDEX(stable[is_supply_chain_dependent],MATCH(VALUE(questions[[#This Row],[qno]]),VALUE(stable[qno]),0))</f>
        <v>0</v>
      </c>
      <c r="L220" s="9" t="b" cm="1">
        <f t="array" ref="L220">INDEX(stable[is_mandatory],MATCH(VALUE(questions[[#This Row],[qno]]),VALUE(stable[qno]),0))</f>
        <v>0</v>
      </c>
      <c r="M220" s="9" t="b" cm="1">
        <f t="array" ref="M220">INDEX(stable[is_automated],MATCH(VALUE(questions[[#This Row],[qno]]),VALUE(stable[qno]),0))</f>
        <v>0</v>
      </c>
      <c r="N220" s="9" t="b" cm="1">
        <f t="array" ref="N220">INDEX(stable[is_free_text],MATCH(VALUE(questions[[#This Row],[qno]]),VALUE(stable[qno]),0))</f>
        <v>1</v>
      </c>
      <c r="O220" s="9" t="b" cm="1">
        <f t="array" ref="O220">INDEX(stable[is_numerical],MATCH(VALUE(questions[[#This Row],[qno]]),VALUE(stable[qno]),0))</f>
        <v>0</v>
      </c>
      <c r="P220" s="32" t="b" cm="1">
        <f t="array" ref="P220">INDEX(stable[is_single_select],MATCH(VALUE(questions[[#This Row],[qno]]),VALUE(stable[qno]),0))</f>
        <v>1</v>
      </c>
      <c r="Q220" s="9" t="b" cm="1">
        <f t="array" ref="Q220">INDEX(stable[is_multi_select],MATCH(VALUE(questions[[#This Row],[qno]]),VALUE(stable[qno]),0))</f>
        <v>0</v>
      </c>
      <c r="R220" s="9" t="b" cm="1">
        <f t="array" ref="R220">INDEX(stable[is_skip_logic],MATCH(VALUE(questions[[#This Row],[qno]]),VALUE(stable[qno]),0))</f>
        <v>1</v>
      </c>
      <c r="S220" s="9" t="str">
        <f>_xlfn.TEXTJOIN(", ",TRUE,questions[[#This Row],[ans_opt_1]:[ans_opt_14]])</f>
        <v/>
      </c>
      <c r="AH220" s="16" t="b">
        <f>INDEX(stable[q_standard],MATCH(questions[[#This Row],[qno]],stable[qno],0))</f>
        <v>0</v>
      </c>
      <c r="AI220" s="16" t="b">
        <f>INDEX(stable[q_living_income],MATCH(questions[[#This Row],[qno]],stable[qno],0))</f>
        <v>1</v>
      </c>
      <c r="AJ220" s="16" t="b">
        <f>INDEX(stable[q_carbon],MATCH(questions[[#This Row],[qno]],stable[qno],0))</f>
        <v>1</v>
      </c>
      <c r="AK220" s="16" t="b">
        <f>INDEX(stable[q_regen_ag],MATCH(questions[[#This Row],[qno]],stable[qno],0))</f>
        <v>0</v>
      </c>
      <c r="AL220" s="16" t="b">
        <f>COUNTIFS(stable[qno],questions[[#This Row],[qno]])=1</f>
        <v>1</v>
      </c>
      <c r="AM220" s="16" t="b">
        <f>OR(questions[[#This Row],[is_fixed]],questions[[#This Row],[is_localized]],questions[[#This Row],[is_supply_chain_dependent]])</f>
        <v>1</v>
      </c>
      <c r="AN220" s="16" t="b">
        <f>COUNTIFS(questions[[#This Row],[is_automated]:[is_multi_select]],TRUE)=1</f>
        <v>0</v>
      </c>
      <c r="AO220" s="16" t="b">
        <f>IF(questions[[#This Row],[is_fixed]],questions[[#This Row],[question]]=INDEX(stable[question],MATCH(questions[[#This Row],[qno]],stable[qno],0)),TRUE)</f>
        <v>1</v>
      </c>
      <c r="AP220" s="16" t="str">
        <f>LEFT(questions[[#This Row],[question]],similarity_range)</f>
        <v>If yes, what was the</v>
      </c>
      <c r="AQ220" s="16" t="str">
        <f>LEFT(INDEX(stable[question],MATCH(questions[[#This Row],[qno]],stable[qno],0)),similarity_range)</f>
        <v>If yes, what was the</v>
      </c>
      <c r="AR220" s="16" t="b">
        <f>questions[[#This Row],[question_first_characters]]=questions[[#This Row],[stability_first_characters]]</f>
        <v>1</v>
      </c>
      <c r="AS220" s="16" t="b">
        <f>IF(OR(questions[[#This Row],[is_single_select]],questions[[#This Row],[is_multi_select]]),NOT(ISBLANK(questions[[#This Row],[answer_opt_combined]])),TRUE)</f>
        <v>1</v>
      </c>
    </row>
    <row r="221" spans="1:45" x14ac:dyDescent="0.25">
      <c r="A221" s="9" t="str">
        <f>_xlfn.TEXTJOIN("_",TRUE,questions[[#This Row],[origin]:[qno]])</f>
        <v>Uganda_Arabica_Sbux_5402</v>
      </c>
      <c r="B221" s="9" t="s">
        <v>511</v>
      </c>
      <c r="C221" s="9" t="s">
        <v>59</v>
      </c>
      <c r="D221" s="9" t="s">
        <v>512</v>
      </c>
      <c r="F221" s="24" t="s">
        <v>179</v>
      </c>
      <c r="G221" s="9" t="s">
        <v>180</v>
      </c>
      <c r="H221" s="9" t="str" cm="1">
        <f t="array" ref="H221">INDEX(stableR[question],MATCH(VALUE(questions[[#This Row],[qno]]),VALUE(stableR[qno]),0))</f>
        <v>What was the total quantity of this type of animal manure/compost/organic fertilizer that you used most (Kg)?</v>
      </c>
      <c r="I221" s="9" t="b" cm="1">
        <f t="array" ref="I221">INDEX(stable[is_fixed],MATCH(VALUE(questions[[#This Row],[qno]]),VALUE(stable[qno]),0))</f>
        <v>1</v>
      </c>
      <c r="J221" s="9" t="b" cm="1">
        <f t="array" ref="J221">INDEX(stable[is_localized],MATCH(VALUE(questions[[#This Row],[qno]]),VALUE(stable[qno]),0))</f>
        <v>0</v>
      </c>
      <c r="K221" s="9" t="b" cm="1">
        <f t="array" ref="K221">INDEX(stable[is_supply_chain_dependent],MATCH(VALUE(questions[[#This Row],[qno]]),VALUE(stable[qno]),0))</f>
        <v>0</v>
      </c>
      <c r="L221" s="9" t="b" cm="1">
        <f t="array" ref="L221">INDEX(stable[is_mandatory],MATCH(VALUE(questions[[#This Row],[qno]]),VALUE(stable[qno]),0))</f>
        <v>0</v>
      </c>
      <c r="M221" s="9" t="b" cm="1">
        <f t="array" ref="M221">INDEX(stable[is_automated],MATCH(VALUE(questions[[#This Row],[qno]]),VALUE(stable[qno]),0))</f>
        <v>0</v>
      </c>
      <c r="N221" s="9" t="b" cm="1">
        <f t="array" ref="N221">INDEX(stable[is_free_text],MATCH(VALUE(questions[[#This Row],[qno]]),VALUE(stable[qno]),0))</f>
        <v>0</v>
      </c>
      <c r="O221" s="9" t="b" cm="1">
        <f t="array" ref="O221">INDEX(stable[is_numerical],MATCH(VALUE(questions[[#This Row],[qno]]),VALUE(stable[qno]),0))</f>
        <v>1</v>
      </c>
      <c r="P221" s="32" t="b" cm="1">
        <f t="array" ref="P221">INDEX(stable[is_single_select],MATCH(VALUE(questions[[#This Row],[qno]]),VALUE(stable[qno]),0))</f>
        <v>0</v>
      </c>
      <c r="Q221" s="9" t="b" cm="1">
        <f t="array" ref="Q221">INDEX(stable[is_multi_select],MATCH(VALUE(questions[[#This Row],[qno]]),VALUE(stable[qno]),0))</f>
        <v>0</v>
      </c>
      <c r="R221" s="9" t="b" cm="1">
        <f t="array" ref="R221">INDEX(stable[is_skip_logic],MATCH(VALUE(questions[[#This Row],[qno]]),VALUE(stable[qno]),0))</f>
        <v>1</v>
      </c>
      <c r="S221" s="9" t="str">
        <f>_xlfn.TEXTJOIN(", ",TRUE,questions[[#This Row],[ans_opt_1]:[ans_opt_14]])</f>
        <v/>
      </c>
      <c r="AH221" s="16" t="b">
        <f>INDEX(stable[q_standard],MATCH(questions[[#This Row],[qno]],stable[qno],0))</f>
        <v>0</v>
      </c>
      <c r="AI221" s="16" t="b">
        <f>INDEX(stable[q_living_income],MATCH(questions[[#This Row],[qno]],stable[qno],0))</f>
        <v>1</v>
      </c>
      <c r="AJ221" s="16" t="b">
        <f>INDEX(stable[q_carbon],MATCH(questions[[#This Row],[qno]],stable[qno],0))</f>
        <v>1</v>
      </c>
      <c r="AK221" s="16" t="b">
        <f>INDEX(stable[q_regen_ag],MATCH(questions[[#This Row],[qno]],stable[qno],0))</f>
        <v>0</v>
      </c>
      <c r="AL221" s="16" t="b">
        <f>COUNTIFS(stable[qno],questions[[#This Row],[qno]])=1</f>
        <v>1</v>
      </c>
      <c r="AM221" s="16" t="b">
        <f>OR(questions[[#This Row],[is_fixed]],questions[[#This Row],[is_localized]],questions[[#This Row],[is_supply_chain_dependent]])</f>
        <v>1</v>
      </c>
      <c r="AN221" s="16" t="b">
        <f>COUNTIFS(questions[[#This Row],[is_automated]:[is_multi_select]],TRUE)=1</f>
        <v>1</v>
      </c>
      <c r="AO221" s="16" t="b">
        <f>IF(questions[[#This Row],[is_fixed]],questions[[#This Row],[question]]=INDEX(stable[question],MATCH(questions[[#This Row],[qno]],stable[qno],0)),TRUE)</f>
        <v>1</v>
      </c>
      <c r="AP221" s="16" t="str">
        <f>LEFT(questions[[#This Row],[question]],similarity_range)</f>
        <v>What was the total q</v>
      </c>
      <c r="AQ221" s="16" t="str">
        <f>LEFT(INDEX(stable[question],MATCH(questions[[#This Row],[qno]],stable[qno],0)),similarity_range)</f>
        <v>What was the total q</v>
      </c>
      <c r="AR221" s="16" t="b">
        <f>questions[[#This Row],[question_first_characters]]=questions[[#This Row],[stability_first_characters]]</f>
        <v>1</v>
      </c>
      <c r="AS221" s="16" t="b">
        <f>IF(OR(questions[[#This Row],[is_single_select]],questions[[#This Row],[is_multi_select]]),NOT(ISBLANK(questions[[#This Row],[answer_opt_combined]])),TRUE)</f>
        <v>1</v>
      </c>
    </row>
    <row r="222" spans="1:45" x14ac:dyDescent="0.25">
      <c r="A222" s="9" t="str">
        <f>_xlfn.TEXTJOIN("_",TRUE,questions[[#This Row],[origin]:[qno]])</f>
        <v>Uganda_Arabica_Sbux_5403</v>
      </c>
      <c r="B222" s="9" t="s">
        <v>511</v>
      </c>
      <c r="C222" s="9" t="s">
        <v>59</v>
      </c>
      <c r="D222" s="9" t="s">
        <v>512</v>
      </c>
      <c r="F222" s="24" t="s">
        <v>181</v>
      </c>
      <c r="G222" s="15" t="s">
        <v>182</v>
      </c>
      <c r="H222" s="9" t="str" cm="1">
        <f t="array" ref="H222">INDEX(stableR[question],MATCH(VALUE(questions[[#This Row],[qno]]),VALUE(stableR[qno]),0))</f>
        <v>What was the unit of this type of animal manure/compost/organic fertilizer that you used most (kg, basins, 50 kg bags, wheel barrows, small truck/tipper, large truck)?</v>
      </c>
      <c r="I222" s="9" t="b" cm="1">
        <f t="array" ref="I222">INDEX(stable[is_fixed],MATCH(VALUE(questions[[#This Row],[qno]]),VALUE(stable[qno]),0))</f>
        <v>1</v>
      </c>
      <c r="J222" s="9" t="b" cm="1">
        <f t="array" ref="J222">INDEX(stable[is_localized],MATCH(VALUE(questions[[#This Row],[qno]]),VALUE(stable[qno]),0))</f>
        <v>0</v>
      </c>
      <c r="K222" s="9" t="b" cm="1">
        <f t="array" ref="K222">INDEX(stable[is_supply_chain_dependent],MATCH(VALUE(questions[[#This Row],[qno]]),VALUE(stable[qno]),0))</f>
        <v>0</v>
      </c>
      <c r="L222" s="9" t="b" cm="1">
        <f t="array" ref="L222">INDEX(stable[is_mandatory],MATCH(VALUE(questions[[#This Row],[qno]]),VALUE(stable[qno]),0))</f>
        <v>0</v>
      </c>
      <c r="M222" s="9" t="b" cm="1">
        <f t="array" ref="M222">INDEX(stable[is_automated],MATCH(VALUE(questions[[#This Row],[qno]]),VALUE(stable[qno]),0))</f>
        <v>0</v>
      </c>
      <c r="N222" s="9" t="b" cm="1">
        <f t="array" ref="N222">INDEX(stable[is_free_text],MATCH(VALUE(questions[[#This Row],[qno]]),VALUE(stable[qno]),0))</f>
        <v>1</v>
      </c>
      <c r="O222" s="9" t="b" cm="1">
        <f t="array" ref="O222">INDEX(stable[is_numerical],MATCH(VALUE(questions[[#This Row],[qno]]),VALUE(stable[qno]),0))</f>
        <v>0</v>
      </c>
      <c r="P222" s="32" t="b" cm="1">
        <f t="array" ref="P222">INDEX(stable[is_single_select],MATCH(VALUE(questions[[#This Row],[qno]]),VALUE(stable[qno]),0))</f>
        <v>0</v>
      </c>
      <c r="Q222" s="9" t="b" cm="1">
        <f t="array" ref="Q222">INDEX(stable[is_multi_select],MATCH(VALUE(questions[[#This Row],[qno]]),VALUE(stable[qno]),0))</f>
        <v>0</v>
      </c>
      <c r="R222" s="9" t="b" cm="1">
        <f t="array" ref="R222">INDEX(stable[is_skip_logic],MATCH(VALUE(questions[[#This Row],[qno]]),VALUE(stable[qno]),0))</f>
        <v>1</v>
      </c>
      <c r="S222" s="9" t="str">
        <f>_xlfn.TEXTJOIN(", ",TRUE,questions[[#This Row],[ans_opt_1]:[ans_opt_14]])</f>
        <v/>
      </c>
      <c r="AH222" s="16" t="b">
        <f>INDEX(stable[q_standard],MATCH(questions[[#This Row],[qno]],stable[qno],0))</f>
        <v>0</v>
      </c>
      <c r="AI222" s="16" t="b">
        <f>INDEX(stable[q_living_income],MATCH(questions[[#This Row],[qno]],stable[qno],0))</f>
        <v>1</v>
      </c>
      <c r="AJ222" s="16" t="b">
        <f>INDEX(stable[q_carbon],MATCH(questions[[#This Row],[qno]],stable[qno],0))</f>
        <v>1</v>
      </c>
      <c r="AK222" s="16" t="b">
        <f>INDEX(stable[q_regen_ag],MATCH(questions[[#This Row],[qno]],stable[qno],0))</f>
        <v>0</v>
      </c>
      <c r="AL222" s="16" t="b">
        <f>COUNTIFS(stable[qno],questions[[#This Row],[qno]])=1</f>
        <v>1</v>
      </c>
      <c r="AM222" s="16" t="b">
        <f>OR(questions[[#This Row],[is_fixed]],questions[[#This Row],[is_localized]],questions[[#This Row],[is_supply_chain_dependent]])</f>
        <v>1</v>
      </c>
      <c r="AN222" s="16" t="b">
        <f>COUNTIFS(questions[[#This Row],[is_automated]:[is_multi_select]],TRUE)=1</f>
        <v>1</v>
      </c>
      <c r="AO222" s="16" t="b">
        <f>IF(questions[[#This Row],[is_fixed]],questions[[#This Row],[question]]=INDEX(stable[question],MATCH(questions[[#This Row],[qno]],stable[qno],0)),TRUE)</f>
        <v>1</v>
      </c>
      <c r="AP222" s="16" t="str">
        <f>LEFT(questions[[#This Row],[question]],similarity_range)</f>
        <v>What was the unit of</v>
      </c>
      <c r="AQ222" s="16" t="str">
        <f>LEFT(INDEX(stable[question],MATCH(questions[[#This Row],[qno]],stable[qno],0)),similarity_range)</f>
        <v>What was the unit of</v>
      </c>
      <c r="AR222" s="16" t="b">
        <f>questions[[#This Row],[question_first_characters]]=questions[[#This Row],[stability_first_characters]]</f>
        <v>1</v>
      </c>
      <c r="AS222" s="16" t="b">
        <f>IF(OR(questions[[#This Row],[is_single_select]],questions[[#This Row],[is_multi_select]]),NOT(ISBLANK(questions[[#This Row],[answer_opt_combined]])),TRUE)</f>
        <v>1</v>
      </c>
    </row>
    <row r="223" spans="1:45" s="77" customFormat="1" x14ac:dyDescent="0.25">
      <c r="A223" s="77" t="str">
        <f>_xlfn.TEXTJOIN("_",TRUE,questions[[#This Row],[origin]:[qno]])</f>
        <v>Uganda_Arabica_Sbux_5404</v>
      </c>
      <c r="B223" s="77" t="s">
        <v>511</v>
      </c>
      <c r="C223" s="77" t="s">
        <v>59</v>
      </c>
      <c r="D223" s="77" t="s">
        <v>512</v>
      </c>
      <c r="F223" s="104" t="s">
        <v>183</v>
      </c>
      <c r="G223" s="78" t="s">
        <v>184</v>
      </c>
      <c r="H223" s="9" t="str" cm="1">
        <f t="array" ref="H223">INDEX(stableR[question],MATCH(VALUE(questions[[#This Row],[qno]]),VALUE(stableR[qno]),0))</f>
        <v>How did you get this manure/compost/organic fertilizer that you used most?</v>
      </c>
      <c r="I223" s="9" t="b" cm="1">
        <f t="array" ref="I223">INDEX(stable[is_fixed],MATCH(VALUE(questions[[#This Row],[qno]]),VALUE(stable[qno]),0))</f>
        <v>1</v>
      </c>
      <c r="J223" s="9" t="b" cm="1">
        <f t="array" ref="J223">INDEX(stable[is_localized],MATCH(VALUE(questions[[#This Row],[qno]]),VALUE(stable[qno]),0))</f>
        <v>0</v>
      </c>
      <c r="K223" s="9" t="b" cm="1">
        <f t="array" ref="K223">INDEX(stable[is_supply_chain_dependent],MATCH(VALUE(questions[[#This Row],[qno]]),VALUE(stable[qno]),0))</f>
        <v>0</v>
      </c>
      <c r="L223" s="9" t="b" cm="1">
        <f t="array" ref="L223">INDEX(stable[is_mandatory],MATCH(VALUE(questions[[#This Row],[qno]]),VALUE(stable[qno]),0))</f>
        <v>0</v>
      </c>
      <c r="M223" s="9" t="b" cm="1">
        <f t="array" ref="M223">INDEX(stable[is_automated],MATCH(VALUE(questions[[#This Row],[qno]]),VALUE(stable[qno]),0))</f>
        <v>0</v>
      </c>
      <c r="N223" s="9" t="b" cm="1">
        <f t="array" ref="N223">INDEX(stable[is_free_text],MATCH(VALUE(questions[[#This Row],[qno]]),VALUE(stable[qno]),0))</f>
        <v>0</v>
      </c>
      <c r="O223" s="9" t="b" cm="1">
        <f t="array" ref="O223">INDEX(stable[is_numerical],MATCH(VALUE(questions[[#This Row],[qno]]),VALUE(stable[qno]),0))</f>
        <v>0</v>
      </c>
      <c r="P223" s="103" t="b" cm="1">
        <f t="array" ref="P223">INDEX(stable[is_single_select],MATCH(VALUE(questions[[#This Row],[qno]]),VALUE(stable[qno]),0))</f>
        <v>1</v>
      </c>
      <c r="Q223" s="77" t="b" cm="1">
        <f t="array" ref="Q223">INDEX(stable[is_multi_select],MATCH(VALUE(questions[[#This Row],[qno]]),VALUE(stable[qno]),0))</f>
        <v>0</v>
      </c>
      <c r="R223" s="77" t="b" cm="1">
        <f t="array" ref="R223">INDEX(stable[is_skip_logic],MATCH(VALUE(questions[[#This Row],[qno]]),VALUE(stable[qno]),0))</f>
        <v>1</v>
      </c>
      <c r="S223" s="77" t="str">
        <f>_xlfn.TEXTJOIN(", ",TRUE,questions[[#This Row],[ans_opt_1]:[ans_opt_14]])</f>
        <v>Bought, From own farm, Received for free, Both from own farm &amp; bought/received from outside the farm</v>
      </c>
      <c r="T223" s="77" t="s">
        <v>185</v>
      </c>
      <c r="U223" s="77" t="s">
        <v>186</v>
      </c>
      <c r="V223" s="77" t="s">
        <v>187</v>
      </c>
      <c r="W223" s="77" t="s">
        <v>188</v>
      </c>
      <c r="AH223" s="98" t="b">
        <f>INDEX(stable[q_standard],MATCH(questions[[#This Row],[qno]],stable[qno],0))</f>
        <v>0</v>
      </c>
      <c r="AI223" s="98" t="b">
        <f>INDEX(stable[q_living_income],MATCH(questions[[#This Row],[qno]],stable[qno],0))</f>
        <v>1</v>
      </c>
      <c r="AJ223" s="98" t="b">
        <f>INDEX(stable[q_carbon],MATCH(questions[[#This Row],[qno]],stable[qno],0))</f>
        <v>1</v>
      </c>
      <c r="AK223" s="98" t="b">
        <f>INDEX(stable[q_regen_ag],MATCH(questions[[#This Row],[qno]],stable[qno],0))</f>
        <v>0</v>
      </c>
      <c r="AL223" s="98" t="b">
        <f>COUNTIFS(stable[qno],questions[[#This Row],[qno]])=1</f>
        <v>1</v>
      </c>
      <c r="AM223" s="98" t="b">
        <f>OR(questions[[#This Row],[is_fixed]],questions[[#This Row],[is_localized]],questions[[#This Row],[is_supply_chain_dependent]])</f>
        <v>1</v>
      </c>
      <c r="AN223" s="98" t="b">
        <f>COUNTIFS(questions[[#This Row],[is_automated]:[is_multi_select]],TRUE)=1</f>
        <v>1</v>
      </c>
      <c r="AO223" s="98" t="b">
        <f>IF(questions[[#This Row],[is_fixed]],questions[[#This Row],[question]]=INDEX(stable[question],MATCH(questions[[#This Row],[qno]],stable[qno],0)),TRUE)</f>
        <v>0</v>
      </c>
      <c r="AP223" s="98" t="str">
        <f>LEFT(questions[[#This Row],[question]],similarity_range)</f>
        <v>Did you buy this man</v>
      </c>
      <c r="AQ223" s="98" t="str">
        <f>LEFT(INDEX(stable[question],MATCH(questions[[#This Row],[qno]],stable[qno],0)),similarity_range)</f>
        <v>How did you get this</v>
      </c>
      <c r="AR223" s="98" t="b">
        <f>questions[[#This Row],[question_first_characters]]=questions[[#This Row],[stability_first_characters]]</f>
        <v>0</v>
      </c>
      <c r="AS223" s="98" t="b">
        <f>IF(OR(questions[[#This Row],[is_single_select]],questions[[#This Row],[is_multi_select]]),NOT(ISBLANK(questions[[#This Row],[answer_opt_combined]])),TRUE)</f>
        <v>1</v>
      </c>
    </row>
    <row r="224" spans="1:45" x14ac:dyDescent="0.25">
      <c r="A224" s="9" t="str">
        <f>_xlfn.TEXTJOIN("_",TRUE,questions[[#This Row],[origin]:[qno]])</f>
        <v>Uganda_Arabica_Sbux_5410</v>
      </c>
      <c r="B224" s="9" t="s">
        <v>511</v>
      </c>
      <c r="C224" s="9" t="s">
        <v>59</v>
      </c>
      <c r="D224" s="9" t="s">
        <v>512</v>
      </c>
      <c r="F224" s="24" t="s">
        <v>189</v>
      </c>
      <c r="G224" s="15" t="s">
        <v>190</v>
      </c>
      <c r="H224" s="9" t="str" cm="1">
        <f t="array" ref="H224">INDEX(stableR[question],MATCH(VALUE(questions[[#This Row],[qno]]),VALUE(stableR[qno]),0))</f>
        <v>What was the type of animal manure, compost, or organic fertilizer that you used second most last year?</v>
      </c>
      <c r="I224" s="9" t="b" cm="1">
        <f t="array" ref="I224">INDEX(stable[is_fixed],MATCH(VALUE(questions[[#This Row],[qno]]),VALUE(stable[qno]),0))</f>
        <v>1</v>
      </c>
      <c r="J224" s="9" t="b" cm="1">
        <f t="array" ref="J224">INDEX(stable[is_localized],MATCH(VALUE(questions[[#This Row],[qno]]),VALUE(stable[qno]),0))</f>
        <v>0</v>
      </c>
      <c r="K224" s="9" t="b" cm="1">
        <f t="array" ref="K224">INDEX(stable[is_supply_chain_dependent],MATCH(VALUE(questions[[#This Row],[qno]]),VALUE(stable[qno]),0))</f>
        <v>0</v>
      </c>
      <c r="L224" s="9" t="b" cm="1">
        <f t="array" ref="L224">INDEX(stable[is_mandatory],MATCH(VALUE(questions[[#This Row],[qno]]),VALUE(stable[qno]),0))</f>
        <v>0</v>
      </c>
      <c r="M224" s="9" t="b" cm="1">
        <f t="array" ref="M224">INDEX(stable[is_automated],MATCH(VALUE(questions[[#This Row],[qno]]),VALUE(stable[qno]),0))</f>
        <v>0</v>
      </c>
      <c r="N224" s="9" t="b" cm="1">
        <f t="array" ref="N224">INDEX(stable[is_free_text],MATCH(VALUE(questions[[#This Row],[qno]]),VALUE(stable[qno]),0))</f>
        <v>1</v>
      </c>
      <c r="O224" s="9" t="b" cm="1">
        <f t="array" ref="O224">INDEX(stable[is_numerical],MATCH(VALUE(questions[[#This Row],[qno]]),VALUE(stable[qno]),0))</f>
        <v>0</v>
      </c>
      <c r="P224" s="32" t="b" cm="1">
        <f t="array" ref="P224">INDEX(stable[is_single_select],MATCH(VALUE(questions[[#This Row],[qno]]),VALUE(stable[qno]),0))</f>
        <v>1</v>
      </c>
      <c r="Q224" s="9" t="b" cm="1">
        <f t="array" ref="Q224">INDEX(stable[is_multi_select],MATCH(VALUE(questions[[#This Row],[qno]]),VALUE(stable[qno]),0))</f>
        <v>0</v>
      </c>
      <c r="R224" s="9" t="b" cm="1">
        <f t="array" ref="R224">INDEX(stable[is_skip_logic],MATCH(VALUE(questions[[#This Row],[qno]]),VALUE(stable[qno]),0))</f>
        <v>1</v>
      </c>
      <c r="S224" s="9" t="str">
        <f>_xlfn.TEXTJOIN(", ",TRUE,questions[[#This Row],[ans_opt_1]:[ans_opt_14]])</f>
        <v/>
      </c>
      <c r="AH224" s="16" t="b">
        <f>INDEX(stable[q_standard],MATCH(questions[[#This Row],[qno]],stable[qno],0))</f>
        <v>0</v>
      </c>
      <c r="AI224" s="16" t="b">
        <f>INDEX(stable[q_living_income],MATCH(questions[[#This Row],[qno]],stable[qno],0))</f>
        <v>1</v>
      </c>
      <c r="AJ224" s="16" t="b">
        <f>INDEX(stable[q_carbon],MATCH(questions[[#This Row],[qno]],stable[qno],0))</f>
        <v>1</v>
      </c>
      <c r="AK224" s="16" t="b">
        <f>INDEX(stable[q_regen_ag],MATCH(questions[[#This Row],[qno]],stable[qno],0))</f>
        <v>0</v>
      </c>
      <c r="AL224" s="16" t="b">
        <f>COUNTIFS(stable[qno],questions[[#This Row],[qno]])=1</f>
        <v>1</v>
      </c>
      <c r="AM224" s="16" t="b">
        <f>OR(questions[[#This Row],[is_fixed]],questions[[#This Row],[is_localized]],questions[[#This Row],[is_supply_chain_dependent]])</f>
        <v>1</v>
      </c>
      <c r="AN224" s="16" t="b">
        <f>COUNTIFS(questions[[#This Row],[is_automated]:[is_multi_select]],TRUE)=1</f>
        <v>0</v>
      </c>
      <c r="AO224" s="16" t="b">
        <f>IF(questions[[#This Row],[is_fixed]],questions[[#This Row],[question]]=INDEX(stable[question],MATCH(questions[[#This Row],[qno]],stable[qno],0)),TRUE)</f>
        <v>0</v>
      </c>
      <c r="AP224" s="16" t="str">
        <f>LEFT(questions[[#This Row],[question]],similarity_range)</f>
        <v>If yes, what was the</v>
      </c>
      <c r="AQ224" s="16" t="str">
        <f>LEFT(INDEX(stable[question],MATCH(questions[[#This Row],[qno]],stable[qno],0)),similarity_range)</f>
        <v>Was there a second t</v>
      </c>
      <c r="AR224" s="16" t="b">
        <f>questions[[#This Row],[question_first_characters]]=questions[[#This Row],[stability_first_characters]]</f>
        <v>0</v>
      </c>
      <c r="AS224" s="16" t="b">
        <f>IF(OR(questions[[#This Row],[is_single_select]],questions[[#This Row],[is_multi_select]]),NOT(ISBLANK(questions[[#This Row],[answer_opt_combined]])),TRUE)</f>
        <v>1</v>
      </c>
    </row>
    <row r="225" spans="1:45" x14ac:dyDescent="0.25">
      <c r="A225" s="9" t="str">
        <f>_xlfn.TEXTJOIN("_",TRUE,questions[[#This Row],[origin]:[qno]])</f>
        <v>Uganda_Arabica_Sbux_5411</v>
      </c>
      <c r="B225" s="9" t="s">
        <v>511</v>
      </c>
      <c r="C225" s="9" t="s">
        <v>59</v>
      </c>
      <c r="D225" s="9" t="s">
        <v>512</v>
      </c>
      <c r="F225" s="24" t="s">
        <v>191</v>
      </c>
      <c r="G225" s="9" t="s">
        <v>192</v>
      </c>
      <c r="H225" s="9" t="str" cm="1">
        <f t="array" ref="H225">INDEX(stableR[question],MATCH(VALUE(questions[[#This Row],[qno]]),VALUE(stableR[qno]),0))</f>
        <v>What was the total quantity of this type of animal manure/compost/organic fertilizer that you used second most? (Kg)</v>
      </c>
      <c r="I225" s="9" t="b" cm="1">
        <f t="array" ref="I225">INDEX(stable[is_fixed],MATCH(VALUE(questions[[#This Row],[qno]]),VALUE(stable[qno]),0))</f>
        <v>1</v>
      </c>
      <c r="J225" s="9" t="b" cm="1">
        <f t="array" ref="J225">INDEX(stable[is_localized],MATCH(VALUE(questions[[#This Row],[qno]]),VALUE(stable[qno]),0))</f>
        <v>0</v>
      </c>
      <c r="K225" s="9" t="b" cm="1">
        <f t="array" ref="K225">INDEX(stable[is_supply_chain_dependent],MATCH(VALUE(questions[[#This Row],[qno]]),VALUE(stable[qno]),0))</f>
        <v>0</v>
      </c>
      <c r="L225" s="9" t="b" cm="1">
        <f t="array" ref="L225">INDEX(stable[is_mandatory],MATCH(VALUE(questions[[#This Row],[qno]]),VALUE(stable[qno]),0))</f>
        <v>0</v>
      </c>
      <c r="M225" s="9" t="b" cm="1">
        <f t="array" ref="M225">INDEX(stable[is_automated],MATCH(VALUE(questions[[#This Row],[qno]]),VALUE(stable[qno]),0))</f>
        <v>0</v>
      </c>
      <c r="N225" s="9" t="b" cm="1">
        <f t="array" ref="N225">INDEX(stable[is_free_text],MATCH(VALUE(questions[[#This Row],[qno]]),VALUE(stable[qno]),0))</f>
        <v>0</v>
      </c>
      <c r="O225" s="9" t="b" cm="1">
        <f t="array" ref="O225">INDEX(stable[is_numerical],MATCH(VALUE(questions[[#This Row],[qno]]),VALUE(stable[qno]),0))</f>
        <v>1</v>
      </c>
      <c r="P225" s="32" t="b" cm="1">
        <f t="array" ref="P225">INDEX(stable[is_single_select],MATCH(VALUE(questions[[#This Row],[qno]]),VALUE(stable[qno]),0))</f>
        <v>0</v>
      </c>
      <c r="Q225" s="9" t="b" cm="1">
        <f t="array" ref="Q225">INDEX(stable[is_multi_select],MATCH(VALUE(questions[[#This Row],[qno]]),VALUE(stable[qno]),0))</f>
        <v>0</v>
      </c>
      <c r="R225" s="9" t="b" cm="1">
        <f t="array" ref="R225">INDEX(stable[is_skip_logic],MATCH(VALUE(questions[[#This Row],[qno]]),VALUE(stable[qno]),0))</f>
        <v>1</v>
      </c>
      <c r="S225" s="9" t="str">
        <f>_xlfn.TEXTJOIN(", ",TRUE,questions[[#This Row],[ans_opt_1]:[ans_opt_14]])</f>
        <v/>
      </c>
      <c r="AH225" s="16" t="b">
        <f>INDEX(stable[q_standard],MATCH(questions[[#This Row],[qno]],stable[qno],0))</f>
        <v>0</v>
      </c>
      <c r="AI225" s="16" t="b">
        <f>INDEX(stable[q_living_income],MATCH(questions[[#This Row],[qno]],stable[qno],0))</f>
        <v>1</v>
      </c>
      <c r="AJ225" s="16" t="b">
        <f>INDEX(stable[q_carbon],MATCH(questions[[#This Row],[qno]],stable[qno],0))</f>
        <v>1</v>
      </c>
      <c r="AK225" s="16" t="b">
        <f>INDEX(stable[q_regen_ag],MATCH(questions[[#This Row],[qno]],stable[qno],0))</f>
        <v>0</v>
      </c>
      <c r="AL225" s="16" t="b">
        <f>COUNTIFS(stable[qno],questions[[#This Row],[qno]])=1</f>
        <v>1</v>
      </c>
      <c r="AM225" s="16" t="b">
        <f>OR(questions[[#This Row],[is_fixed]],questions[[#This Row],[is_localized]],questions[[#This Row],[is_supply_chain_dependent]])</f>
        <v>1</v>
      </c>
      <c r="AN225" s="16" t="b">
        <f>COUNTIFS(questions[[#This Row],[is_automated]:[is_multi_select]],TRUE)=1</f>
        <v>1</v>
      </c>
      <c r="AO225" s="16" t="b">
        <f>IF(questions[[#This Row],[is_fixed]],questions[[#This Row],[question]]=INDEX(stable[question],MATCH(questions[[#This Row],[qno]],stable[qno],0)),TRUE)</f>
        <v>1</v>
      </c>
      <c r="AP225" s="16" t="str">
        <f>LEFT(questions[[#This Row],[question]],similarity_range)</f>
        <v>What was the total q</v>
      </c>
      <c r="AQ225" s="16" t="str">
        <f>LEFT(INDEX(stable[question],MATCH(questions[[#This Row],[qno]],stable[qno],0)),similarity_range)</f>
        <v>What was the total q</v>
      </c>
      <c r="AR225" s="16" t="b">
        <f>questions[[#This Row],[question_first_characters]]=questions[[#This Row],[stability_first_characters]]</f>
        <v>1</v>
      </c>
      <c r="AS225" s="16" t="b">
        <f>IF(OR(questions[[#This Row],[is_single_select]],questions[[#This Row],[is_multi_select]]),NOT(ISBLANK(questions[[#This Row],[answer_opt_combined]])),TRUE)</f>
        <v>1</v>
      </c>
    </row>
    <row r="226" spans="1:45" x14ac:dyDescent="0.25">
      <c r="A226" s="9" t="str">
        <f>_xlfn.TEXTJOIN("_",TRUE,questions[[#This Row],[origin]:[qno]])</f>
        <v>Uganda_Arabica_Sbux_5412</v>
      </c>
      <c r="B226" s="9" t="s">
        <v>511</v>
      </c>
      <c r="C226" s="9" t="s">
        <v>59</v>
      </c>
      <c r="D226" s="9" t="s">
        <v>512</v>
      </c>
      <c r="F226" s="24" t="s">
        <v>193</v>
      </c>
      <c r="G226" s="15" t="s">
        <v>194</v>
      </c>
      <c r="H226" s="9" t="str" cm="1">
        <f t="array" ref="H226">INDEX(stableR[question],MATCH(VALUE(questions[[#This Row],[qno]]),VALUE(stableR[qno]),0))</f>
        <v>What was the unit of this type of animal manure/compost/organic fertilizer that you used second most (kg, basins, 50 kg bags, wheel barrows, small truck/tipper, large truck)?</v>
      </c>
      <c r="I226" s="9" t="b" cm="1">
        <f t="array" ref="I226">INDEX(stable[is_fixed],MATCH(VALUE(questions[[#This Row],[qno]]),VALUE(stable[qno]),0))</f>
        <v>1</v>
      </c>
      <c r="J226" s="9" t="b" cm="1">
        <f t="array" ref="J226">INDEX(stable[is_localized],MATCH(VALUE(questions[[#This Row],[qno]]),VALUE(stable[qno]),0))</f>
        <v>0</v>
      </c>
      <c r="K226" s="9" t="b" cm="1">
        <f t="array" ref="K226">INDEX(stable[is_supply_chain_dependent],MATCH(VALUE(questions[[#This Row],[qno]]),VALUE(stable[qno]),0))</f>
        <v>0</v>
      </c>
      <c r="L226" s="9" t="b" cm="1">
        <f t="array" ref="L226">INDEX(stable[is_mandatory],MATCH(VALUE(questions[[#This Row],[qno]]),VALUE(stable[qno]),0))</f>
        <v>0</v>
      </c>
      <c r="M226" s="9" t="b" cm="1">
        <f t="array" ref="M226">INDEX(stable[is_automated],MATCH(VALUE(questions[[#This Row],[qno]]),VALUE(stable[qno]),0))</f>
        <v>0</v>
      </c>
      <c r="N226" s="9" t="b" cm="1">
        <f t="array" ref="N226">INDEX(stable[is_free_text],MATCH(VALUE(questions[[#This Row],[qno]]),VALUE(stable[qno]),0))</f>
        <v>1</v>
      </c>
      <c r="O226" s="9" t="b" cm="1">
        <f t="array" ref="O226">INDEX(stable[is_numerical],MATCH(VALUE(questions[[#This Row],[qno]]),VALUE(stable[qno]),0))</f>
        <v>0</v>
      </c>
      <c r="P226" s="32" t="b" cm="1">
        <f t="array" ref="P226">INDEX(stable[is_single_select],MATCH(VALUE(questions[[#This Row],[qno]]),VALUE(stable[qno]),0))</f>
        <v>0</v>
      </c>
      <c r="Q226" s="9" t="b" cm="1">
        <f t="array" ref="Q226">INDEX(stable[is_multi_select],MATCH(VALUE(questions[[#This Row],[qno]]),VALUE(stable[qno]),0))</f>
        <v>0</v>
      </c>
      <c r="R226" s="9" t="b" cm="1">
        <f t="array" ref="R226">INDEX(stable[is_skip_logic],MATCH(VALUE(questions[[#This Row],[qno]]),VALUE(stable[qno]),0))</f>
        <v>1</v>
      </c>
      <c r="S226" s="9" t="str">
        <f>_xlfn.TEXTJOIN(", ",TRUE,questions[[#This Row],[ans_opt_1]:[ans_opt_14]])</f>
        <v/>
      </c>
      <c r="AH226" s="16" t="b">
        <f>INDEX(stable[q_standard],MATCH(questions[[#This Row],[qno]],stable[qno],0))</f>
        <v>0</v>
      </c>
      <c r="AI226" s="16" t="b">
        <f>INDEX(stable[q_living_income],MATCH(questions[[#This Row],[qno]],stable[qno],0))</f>
        <v>1</v>
      </c>
      <c r="AJ226" s="16" t="b">
        <f>INDEX(stable[q_carbon],MATCH(questions[[#This Row],[qno]],stable[qno],0))</f>
        <v>1</v>
      </c>
      <c r="AK226" s="16" t="b">
        <f>INDEX(stable[q_regen_ag],MATCH(questions[[#This Row],[qno]],stable[qno],0))</f>
        <v>0</v>
      </c>
      <c r="AL226" s="16" t="b">
        <f>COUNTIFS(stable[qno],questions[[#This Row],[qno]])=1</f>
        <v>1</v>
      </c>
      <c r="AM226" s="16" t="b">
        <f>OR(questions[[#This Row],[is_fixed]],questions[[#This Row],[is_localized]],questions[[#This Row],[is_supply_chain_dependent]])</f>
        <v>1</v>
      </c>
      <c r="AN226" s="16" t="b">
        <f>COUNTIFS(questions[[#This Row],[is_automated]:[is_multi_select]],TRUE)=1</f>
        <v>1</v>
      </c>
      <c r="AO226" s="16" t="b">
        <f>IF(questions[[#This Row],[is_fixed]],questions[[#This Row],[question]]=INDEX(stable[question],MATCH(questions[[#This Row],[qno]],stable[qno],0)),TRUE)</f>
        <v>1</v>
      </c>
      <c r="AP226" s="16" t="str">
        <f>LEFT(questions[[#This Row],[question]],similarity_range)</f>
        <v>What was the unit of</v>
      </c>
      <c r="AQ226" s="16" t="str">
        <f>LEFT(INDEX(stable[question],MATCH(questions[[#This Row],[qno]],stable[qno],0)),similarity_range)</f>
        <v>What was the unit of</v>
      </c>
      <c r="AR226" s="16" t="b">
        <f>questions[[#This Row],[question_first_characters]]=questions[[#This Row],[stability_first_characters]]</f>
        <v>1</v>
      </c>
      <c r="AS226" s="16" t="b">
        <f>IF(OR(questions[[#This Row],[is_single_select]],questions[[#This Row],[is_multi_select]]),NOT(ISBLANK(questions[[#This Row],[answer_opt_combined]])),TRUE)</f>
        <v>1</v>
      </c>
    </row>
    <row r="227" spans="1:45" s="77" customFormat="1" x14ac:dyDescent="0.25">
      <c r="A227" s="77" t="str">
        <f>_xlfn.TEXTJOIN("_",TRUE,questions[[#This Row],[origin]:[qno]])</f>
        <v>Uganda_Arabica_Sbux_5413</v>
      </c>
      <c r="B227" s="77" t="s">
        <v>511</v>
      </c>
      <c r="C227" s="77" t="s">
        <v>59</v>
      </c>
      <c r="D227" s="77" t="s">
        <v>512</v>
      </c>
      <c r="F227" s="104" t="s">
        <v>195</v>
      </c>
      <c r="G227" s="78" t="s">
        <v>196</v>
      </c>
      <c r="H227" s="9" t="str" cm="1">
        <f t="array" ref="H227">INDEX(stableR[question],MATCH(VALUE(questions[[#This Row],[qno]]),VALUE(stableR[qno]),0))</f>
        <v>How did you get this manure/compost/organic fertilizer that you used second most?</v>
      </c>
      <c r="I227" s="9" t="b" cm="1">
        <f t="array" ref="I227">INDEX(stable[is_fixed],MATCH(VALUE(questions[[#This Row],[qno]]),VALUE(stable[qno]),0))</f>
        <v>1</v>
      </c>
      <c r="J227" s="9" t="b" cm="1">
        <f t="array" ref="J227">INDEX(stable[is_localized],MATCH(VALUE(questions[[#This Row],[qno]]),VALUE(stable[qno]),0))</f>
        <v>0</v>
      </c>
      <c r="K227" s="9" t="b" cm="1">
        <f t="array" ref="K227">INDEX(stable[is_supply_chain_dependent],MATCH(VALUE(questions[[#This Row],[qno]]),VALUE(stable[qno]),0))</f>
        <v>0</v>
      </c>
      <c r="L227" s="9" t="b" cm="1">
        <f t="array" ref="L227">INDEX(stable[is_mandatory],MATCH(VALUE(questions[[#This Row],[qno]]),VALUE(stable[qno]),0))</f>
        <v>0</v>
      </c>
      <c r="M227" s="9" t="b" cm="1">
        <f t="array" ref="M227">INDEX(stable[is_automated],MATCH(VALUE(questions[[#This Row],[qno]]),VALUE(stable[qno]),0))</f>
        <v>0</v>
      </c>
      <c r="N227" s="9" t="b" cm="1">
        <f t="array" ref="N227">INDEX(stable[is_free_text],MATCH(VALUE(questions[[#This Row],[qno]]),VALUE(stable[qno]),0))</f>
        <v>0</v>
      </c>
      <c r="O227" s="9" t="b" cm="1">
        <f t="array" ref="O227">INDEX(stable[is_numerical],MATCH(VALUE(questions[[#This Row],[qno]]),VALUE(stable[qno]),0))</f>
        <v>0</v>
      </c>
      <c r="P227" s="103" t="b" cm="1">
        <f t="array" ref="P227">INDEX(stable[is_single_select],MATCH(VALUE(questions[[#This Row],[qno]]),VALUE(stable[qno]),0))</f>
        <v>1</v>
      </c>
      <c r="Q227" s="77" t="b" cm="1">
        <f t="array" ref="Q227">INDEX(stable[is_multi_select],MATCH(VALUE(questions[[#This Row],[qno]]),VALUE(stable[qno]),0))</f>
        <v>0</v>
      </c>
      <c r="R227" s="77" t="b" cm="1">
        <f t="array" ref="R227">INDEX(stable[is_skip_logic],MATCH(VALUE(questions[[#This Row],[qno]]),VALUE(stable[qno]),0))</f>
        <v>1</v>
      </c>
      <c r="S227" s="77" t="str">
        <f>_xlfn.TEXTJOIN(", ",TRUE,questions[[#This Row],[ans_opt_1]:[ans_opt_14]])</f>
        <v>Bought, From own farm, Received for free, Both from own farm &amp; bought/received from outside the farm</v>
      </c>
      <c r="T227" s="77" t="s">
        <v>185</v>
      </c>
      <c r="U227" s="77" t="s">
        <v>186</v>
      </c>
      <c r="V227" s="77" t="s">
        <v>187</v>
      </c>
      <c r="W227" s="77" t="s">
        <v>188</v>
      </c>
      <c r="AH227" s="98" t="b">
        <f>INDEX(stable[q_standard],MATCH(questions[[#This Row],[qno]],stable[qno],0))</f>
        <v>0</v>
      </c>
      <c r="AI227" s="98" t="b">
        <f>INDEX(stable[q_living_income],MATCH(questions[[#This Row],[qno]],stable[qno],0))</f>
        <v>1</v>
      </c>
      <c r="AJ227" s="98" t="b">
        <f>INDEX(stable[q_carbon],MATCH(questions[[#This Row],[qno]],stable[qno],0))</f>
        <v>1</v>
      </c>
      <c r="AK227" s="98" t="b">
        <f>INDEX(stable[q_regen_ag],MATCH(questions[[#This Row],[qno]],stable[qno],0))</f>
        <v>0</v>
      </c>
      <c r="AL227" s="98" t="b">
        <f>COUNTIFS(stable[qno],questions[[#This Row],[qno]])=1</f>
        <v>1</v>
      </c>
      <c r="AM227" s="98" t="b">
        <f>OR(questions[[#This Row],[is_fixed]],questions[[#This Row],[is_localized]],questions[[#This Row],[is_supply_chain_dependent]])</f>
        <v>1</v>
      </c>
      <c r="AN227" s="98" t="b">
        <f>COUNTIFS(questions[[#This Row],[is_automated]:[is_multi_select]],TRUE)=1</f>
        <v>1</v>
      </c>
      <c r="AO227" s="98" t="b">
        <f>IF(questions[[#This Row],[is_fixed]],questions[[#This Row],[question]]=INDEX(stable[question],MATCH(questions[[#This Row],[qno]],stable[qno],0)),TRUE)</f>
        <v>0</v>
      </c>
      <c r="AP227" s="98" t="str">
        <f>LEFT(questions[[#This Row],[question]],similarity_range)</f>
        <v>Did you buy this man</v>
      </c>
      <c r="AQ227" s="98" t="str">
        <f>LEFT(INDEX(stable[question],MATCH(questions[[#This Row],[qno]],stable[qno],0)),similarity_range)</f>
        <v>How did you get this</v>
      </c>
      <c r="AR227" s="98" t="b">
        <f>questions[[#This Row],[question_first_characters]]=questions[[#This Row],[stability_first_characters]]</f>
        <v>0</v>
      </c>
      <c r="AS227" s="98" t="b">
        <f>IF(OR(questions[[#This Row],[is_single_select]],questions[[#This Row],[is_multi_select]]),NOT(ISBLANK(questions[[#This Row],[answer_opt_combined]])),TRUE)</f>
        <v>1</v>
      </c>
    </row>
    <row r="228" spans="1:45" s="77" customFormat="1" x14ac:dyDescent="0.25">
      <c r="A228" s="77" t="str">
        <f>_xlfn.TEXTJOIN("_",TRUE,questions[[#This Row],[origin]:[qno]])</f>
        <v>Uganda_Arabica_Sbux_5500</v>
      </c>
      <c r="B228" s="77" t="s">
        <v>511</v>
      </c>
      <c r="C228" s="77" t="s">
        <v>59</v>
      </c>
      <c r="D228" s="77" t="s">
        <v>512</v>
      </c>
      <c r="F228" s="104" t="s">
        <v>197</v>
      </c>
      <c r="G228" s="78" t="s">
        <v>198</v>
      </c>
      <c r="H228" s="9" t="str" cm="1">
        <f t="array" ref="H228">INDEX(stableR[question],MATCH(VALUE(questions[[#This Row],[qno]]),VALUE(stableR[qno]),0))</f>
        <v>Did you apply any type of mulch on your coffee last year?</v>
      </c>
      <c r="I228" s="9" t="b" cm="1">
        <f t="array" ref="I228">INDEX(stable[is_fixed],MATCH(VALUE(questions[[#This Row],[qno]]),VALUE(stable[qno]),0))</f>
        <v>1</v>
      </c>
      <c r="J228" s="9" t="b" cm="1">
        <f t="array" ref="J228">INDEX(stable[is_localized],MATCH(VALUE(questions[[#This Row],[qno]]),VALUE(stable[qno]),0))</f>
        <v>0</v>
      </c>
      <c r="K228" s="9" t="b" cm="1">
        <f t="array" ref="K228">INDEX(stable[is_supply_chain_dependent],MATCH(VALUE(questions[[#This Row],[qno]]),VALUE(stable[qno]),0))</f>
        <v>0</v>
      </c>
      <c r="L228" s="9" t="b" cm="1">
        <f t="array" ref="L228">INDEX(stable[is_mandatory],MATCH(VALUE(questions[[#This Row],[qno]]),VALUE(stable[qno]),0))</f>
        <v>1</v>
      </c>
      <c r="M228" s="9" t="b" cm="1">
        <f t="array" ref="M228">INDEX(stable[is_automated],MATCH(VALUE(questions[[#This Row],[qno]]),VALUE(stable[qno]),0))</f>
        <v>0</v>
      </c>
      <c r="N228" s="9" t="b" cm="1">
        <f t="array" ref="N228">INDEX(stable[is_free_text],MATCH(VALUE(questions[[#This Row],[qno]]),VALUE(stable[qno]),0))</f>
        <v>0</v>
      </c>
      <c r="O228" s="9" t="b" cm="1">
        <f t="array" ref="O228">INDEX(stable[is_numerical],MATCH(VALUE(questions[[#This Row],[qno]]),VALUE(stable[qno]),0))</f>
        <v>0</v>
      </c>
      <c r="P228" s="103" t="b" cm="1">
        <f t="array" ref="P228">INDEX(stable[is_single_select],MATCH(VALUE(questions[[#This Row],[qno]]),VALUE(stable[qno]),0))</f>
        <v>1</v>
      </c>
      <c r="Q228" s="77" t="b" cm="1">
        <f t="array" ref="Q228">INDEX(stable[is_multi_select],MATCH(VALUE(questions[[#This Row],[qno]]),VALUE(stable[qno]),0))</f>
        <v>0</v>
      </c>
      <c r="R228" s="77" t="b" cm="1">
        <f t="array" ref="R228">INDEX(stable[is_skip_logic],MATCH(VALUE(questions[[#This Row],[qno]]),VALUE(stable[qno]),0))</f>
        <v>1</v>
      </c>
      <c r="S228" s="77" t="str">
        <f>_xlfn.TEXTJOIN(", ",TRUE,questions[[#This Row],[ans_opt_1]:[ans_opt_14]])</f>
        <v>Yes, No</v>
      </c>
      <c r="T228" s="77" t="s">
        <v>149</v>
      </c>
      <c r="U228" s="77" t="s">
        <v>119</v>
      </c>
      <c r="AH228" s="98" t="b">
        <f>INDEX(stable[q_standard],MATCH(questions[[#This Row],[qno]],stable[qno],0))</f>
        <v>0</v>
      </c>
      <c r="AI228" s="98" t="b">
        <f>INDEX(stable[q_living_income],MATCH(questions[[#This Row],[qno]],stable[qno],0))</f>
        <v>1</v>
      </c>
      <c r="AJ228" s="98" t="b">
        <f>INDEX(stable[q_carbon],MATCH(questions[[#This Row],[qno]],stable[qno],0))</f>
        <v>1</v>
      </c>
      <c r="AK228" s="98" t="b">
        <f>INDEX(stable[q_regen_ag],MATCH(questions[[#This Row],[qno]],stable[qno],0))</f>
        <v>0</v>
      </c>
      <c r="AL228" s="98" t="b">
        <f>COUNTIFS(stable[qno],questions[[#This Row],[qno]])=1</f>
        <v>1</v>
      </c>
      <c r="AM228" s="98" t="b">
        <f>OR(questions[[#This Row],[is_fixed]],questions[[#This Row],[is_localized]],questions[[#This Row],[is_supply_chain_dependent]])</f>
        <v>1</v>
      </c>
      <c r="AN228" s="98" t="b">
        <f>COUNTIFS(questions[[#This Row],[is_automated]:[is_multi_select]],TRUE)=1</f>
        <v>1</v>
      </c>
      <c r="AO228" s="98" t="b">
        <f>IF(questions[[#This Row],[is_fixed]],questions[[#This Row],[question]]=INDEX(stable[question],MATCH(questions[[#This Row],[qno]],stable[qno],0)),TRUE)</f>
        <v>1</v>
      </c>
      <c r="AP228" s="98" t="str">
        <f>LEFT(questions[[#This Row],[question]],similarity_range)</f>
        <v>Did you apply any ty</v>
      </c>
      <c r="AQ228" s="98" t="str">
        <f>LEFT(INDEX(stable[question],MATCH(questions[[#This Row],[qno]],stable[qno],0)),similarity_range)</f>
        <v>Did you apply any ty</v>
      </c>
      <c r="AR228" s="98" t="b">
        <f>questions[[#This Row],[question_first_characters]]=questions[[#This Row],[stability_first_characters]]</f>
        <v>1</v>
      </c>
      <c r="AS228" s="98" t="b">
        <f>IF(OR(questions[[#This Row],[is_single_select]],questions[[#This Row],[is_multi_select]]),NOT(ISBLANK(questions[[#This Row],[answer_opt_combined]])),TRUE)</f>
        <v>1</v>
      </c>
    </row>
    <row r="229" spans="1:45" x14ac:dyDescent="0.25">
      <c r="A229" s="9" t="str">
        <f>_xlfn.TEXTJOIN("_",TRUE,questions[[#This Row],[origin]:[qno]])</f>
        <v>Uganda_Arabica_Sbux_5501</v>
      </c>
      <c r="B229" s="9" t="s">
        <v>511</v>
      </c>
      <c r="C229" s="9" t="s">
        <v>59</v>
      </c>
      <c r="D229" s="9" t="s">
        <v>512</v>
      </c>
      <c r="F229" s="24" t="s">
        <v>199</v>
      </c>
      <c r="G229" s="15" t="s">
        <v>200</v>
      </c>
      <c r="H229" s="9" t="str" cm="1">
        <f t="array" ref="H229">INDEX(stableR[question],MATCH(VALUE(questions[[#This Row],[qno]]),VALUE(stableR[qno]),0))</f>
        <v>What type of mulch?</v>
      </c>
      <c r="I229" s="9" t="b" cm="1">
        <f t="array" ref="I229">INDEX(stable[is_fixed],MATCH(VALUE(questions[[#This Row],[qno]]),VALUE(stable[qno]),0))</f>
        <v>1</v>
      </c>
      <c r="J229" s="9" t="b" cm="1">
        <f t="array" ref="J229">INDEX(stable[is_localized],MATCH(VALUE(questions[[#This Row],[qno]]),VALUE(stable[qno]),0))</f>
        <v>0</v>
      </c>
      <c r="K229" s="9" t="b" cm="1">
        <f t="array" ref="K229">INDEX(stable[is_supply_chain_dependent],MATCH(VALUE(questions[[#This Row],[qno]]),VALUE(stable[qno]),0))</f>
        <v>0</v>
      </c>
      <c r="L229" s="9" t="b" cm="1">
        <f t="array" ref="L229">INDEX(stable[is_mandatory],MATCH(VALUE(questions[[#This Row],[qno]]),VALUE(stable[qno]),0))</f>
        <v>0</v>
      </c>
      <c r="M229" s="9" t="b" cm="1">
        <f t="array" ref="M229">INDEX(stable[is_automated],MATCH(VALUE(questions[[#This Row],[qno]]),VALUE(stable[qno]),0))</f>
        <v>0</v>
      </c>
      <c r="N229" s="9" t="b" cm="1">
        <f t="array" ref="N229">INDEX(stable[is_free_text],MATCH(VALUE(questions[[#This Row],[qno]]),VALUE(stable[qno]),0))</f>
        <v>0</v>
      </c>
      <c r="O229" s="9" t="b" cm="1">
        <f t="array" ref="O229">INDEX(stable[is_numerical],MATCH(VALUE(questions[[#This Row],[qno]]),VALUE(stable[qno]),0))</f>
        <v>0</v>
      </c>
      <c r="P229" s="32" t="b" cm="1">
        <f t="array" ref="P229">INDEX(stable[is_single_select],MATCH(VALUE(questions[[#This Row],[qno]]),VALUE(stable[qno]),0))</f>
        <v>0</v>
      </c>
      <c r="Q229" s="9" t="b" cm="1">
        <f t="array" ref="Q229">INDEX(stable[is_multi_select],MATCH(VALUE(questions[[#This Row],[qno]]),VALUE(stable[qno]),0))</f>
        <v>1</v>
      </c>
      <c r="R229" s="9" t="b" cm="1">
        <f t="array" ref="R229">INDEX(stable[is_skip_logic],MATCH(VALUE(questions[[#This Row],[qno]]),VALUE(stable[qno]),0))</f>
        <v>1</v>
      </c>
      <c r="S229" s="9" t="str">
        <f>_xlfn.TEXTJOIN(", ",TRUE,questions[[#This Row],[ans_opt_1]:[ans_opt_14]])</f>
        <v/>
      </c>
      <c r="AH229" s="16" t="b">
        <f>INDEX(stable[q_standard],MATCH(questions[[#This Row],[qno]],stable[qno],0))</f>
        <v>0</v>
      </c>
      <c r="AI229" s="16" t="b">
        <f>INDEX(stable[q_living_income],MATCH(questions[[#This Row],[qno]],stable[qno],0))</f>
        <v>1</v>
      </c>
      <c r="AJ229" s="16" t="b">
        <f>INDEX(stable[q_carbon],MATCH(questions[[#This Row],[qno]],stable[qno],0))</f>
        <v>1</v>
      </c>
      <c r="AK229" s="16" t="b">
        <f>INDEX(stable[q_regen_ag],MATCH(questions[[#This Row],[qno]],stable[qno],0))</f>
        <v>0</v>
      </c>
      <c r="AL229" s="16" t="b">
        <f>COUNTIFS(stable[qno],questions[[#This Row],[qno]])=1</f>
        <v>1</v>
      </c>
      <c r="AM229" s="16" t="b">
        <f>OR(questions[[#This Row],[is_fixed]],questions[[#This Row],[is_localized]],questions[[#This Row],[is_supply_chain_dependent]])</f>
        <v>1</v>
      </c>
      <c r="AN229" s="16" t="b">
        <f>COUNTIFS(questions[[#This Row],[is_automated]:[is_multi_select]],TRUE)=1</f>
        <v>1</v>
      </c>
      <c r="AO229" s="16" t="b">
        <f>IF(questions[[#This Row],[is_fixed]],questions[[#This Row],[question]]=INDEX(stable[question],MATCH(questions[[#This Row],[qno]],stable[qno],0)),TRUE)</f>
        <v>1</v>
      </c>
      <c r="AP229" s="16" t="str">
        <f>LEFT(questions[[#This Row],[question]],similarity_range)</f>
        <v xml:space="preserve">What type of mulch? </v>
      </c>
      <c r="AQ229" s="16" t="str">
        <f>LEFT(INDEX(stable[question],MATCH(questions[[#This Row],[qno]],stable[qno],0)),similarity_range)</f>
        <v xml:space="preserve">What type of mulch? </v>
      </c>
      <c r="AR229" s="16" t="b">
        <f>questions[[#This Row],[question_first_characters]]=questions[[#This Row],[stability_first_characters]]</f>
        <v>1</v>
      </c>
      <c r="AS229" s="16" t="b">
        <f>IF(OR(questions[[#This Row],[is_single_select]],questions[[#This Row],[is_multi_select]]),NOT(ISBLANK(questions[[#This Row],[answer_opt_combined]])),TRUE)</f>
        <v>1</v>
      </c>
    </row>
    <row r="230" spans="1:45" x14ac:dyDescent="0.25">
      <c r="A230" s="9" t="str">
        <f>_xlfn.TEXTJOIN("_",TRUE,questions[[#This Row],[origin]:[qno]])</f>
        <v>Uganda_Arabica_Sbux_5502</v>
      </c>
      <c r="B230" s="9" t="s">
        <v>511</v>
      </c>
      <c r="C230" s="9" t="s">
        <v>59</v>
      </c>
      <c r="D230" s="9" t="s">
        <v>512</v>
      </c>
      <c r="F230" s="24" t="s">
        <v>201</v>
      </c>
      <c r="G230" s="15" t="s">
        <v>202</v>
      </c>
      <c r="H230" s="9" t="str" cm="1">
        <f t="array" ref="H230">INDEX(stableR[question],MATCH(VALUE(questions[[#This Row],[qno]]),VALUE(stableR[qno]),0))</f>
        <v>What was the total quantity of mulch that you used? (Kg)</v>
      </c>
      <c r="I230" s="9" t="b" cm="1">
        <f t="array" ref="I230">INDEX(stable[is_fixed],MATCH(VALUE(questions[[#This Row],[qno]]),VALUE(stable[qno]),0))</f>
        <v>1</v>
      </c>
      <c r="J230" s="9" t="b" cm="1">
        <f t="array" ref="J230">INDEX(stable[is_localized],MATCH(VALUE(questions[[#This Row],[qno]]),VALUE(stable[qno]),0))</f>
        <v>0</v>
      </c>
      <c r="K230" s="9" t="b" cm="1">
        <f t="array" ref="K230">INDEX(stable[is_supply_chain_dependent],MATCH(VALUE(questions[[#This Row],[qno]]),VALUE(stable[qno]),0))</f>
        <v>0</v>
      </c>
      <c r="L230" s="9" t="b" cm="1">
        <f t="array" ref="L230">INDEX(stable[is_mandatory],MATCH(VALUE(questions[[#This Row],[qno]]),VALUE(stable[qno]),0))</f>
        <v>0</v>
      </c>
      <c r="M230" s="9" t="b" cm="1">
        <f t="array" ref="M230">INDEX(stable[is_automated],MATCH(VALUE(questions[[#This Row],[qno]]),VALUE(stable[qno]),0))</f>
        <v>0</v>
      </c>
      <c r="N230" s="9" t="b" cm="1">
        <f t="array" ref="N230">INDEX(stable[is_free_text],MATCH(VALUE(questions[[#This Row],[qno]]),VALUE(stable[qno]),0))</f>
        <v>0</v>
      </c>
      <c r="O230" s="9" t="b" cm="1">
        <f t="array" ref="O230">INDEX(stable[is_numerical],MATCH(VALUE(questions[[#This Row],[qno]]),VALUE(stable[qno]),0))</f>
        <v>1</v>
      </c>
      <c r="P230" s="32" t="b" cm="1">
        <f t="array" ref="P230">INDEX(stable[is_single_select],MATCH(VALUE(questions[[#This Row],[qno]]),VALUE(stable[qno]),0))</f>
        <v>0</v>
      </c>
      <c r="Q230" s="9" t="b" cm="1">
        <f t="array" ref="Q230">INDEX(stable[is_multi_select],MATCH(VALUE(questions[[#This Row],[qno]]),VALUE(stable[qno]),0))</f>
        <v>0</v>
      </c>
      <c r="R230" s="9" t="b" cm="1">
        <f t="array" ref="R230">INDEX(stable[is_skip_logic],MATCH(VALUE(questions[[#This Row],[qno]]),VALUE(stable[qno]),0))</f>
        <v>1</v>
      </c>
      <c r="S230" s="9" t="str">
        <f>_xlfn.TEXTJOIN(", ",TRUE,questions[[#This Row],[ans_opt_1]:[ans_opt_14]])</f>
        <v/>
      </c>
      <c r="AH230" s="16" t="b">
        <f>INDEX(stable[q_standard],MATCH(questions[[#This Row],[qno]],stable[qno],0))</f>
        <v>0</v>
      </c>
      <c r="AI230" s="16" t="b">
        <f>INDEX(stable[q_living_income],MATCH(questions[[#This Row],[qno]],stable[qno],0))</f>
        <v>1</v>
      </c>
      <c r="AJ230" s="16" t="b">
        <f>INDEX(stable[q_carbon],MATCH(questions[[#This Row],[qno]],stable[qno],0))</f>
        <v>1</v>
      </c>
      <c r="AK230" s="16" t="b">
        <f>INDEX(stable[q_regen_ag],MATCH(questions[[#This Row],[qno]],stable[qno],0))</f>
        <v>0</v>
      </c>
      <c r="AL230" s="16" t="b">
        <f>COUNTIFS(stable[qno],questions[[#This Row],[qno]])=1</f>
        <v>1</v>
      </c>
      <c r="AM230" s="16" t="b">
        <f>OR(questions[[#This Row],[is_fixed]],questions[[#This Row],[is_localized]],questions[[#This Row],[is_supply_chain_dependent]])</f>
        <v>1</v>
      </c>
      <c r="AN230" s="16" t="b">
        <f>COUNTIFS(questions[[#This Row],[is_automated]:[is_multi_select]],TRUE)=1</f>
        <v>1</v>
      </c>
      <c r="AO230" s="16" t="b">
        <f>IF(questions[[#This Row],[is_fixed]],questions[[#This Row],[question]]=INDEX(stable[question],MATCH(questions[[#This Row],[qno]],stable[qno],0)),TRUE)</f>
        <v>0</v>
      </c>
      <c r="AP230" s="16" t="str">
        <f>LEFT(questions[[#This Row],[question]],similarity_range)</f>
        <v>What was the total q</v>
      </c>
      <c r="AQ230" s="16" t="str">
        <f>LEFT(INDEX(stable[question],MATCH(questions[[#This Row],[qno]],stable[qno],0)),similarity_range)</f>
        <v>What was the total q</v>
      </c>
      <c r="AR230" s="16" t="b">
        <f>questions[[#This Row],[question_first_characters]]=questions[[#This Row],[stability_first_characters]]</f>
        <v>1</v>
      </c>
      <c r="AS230" s="16" t="b">
        <f>IF(OR(questions[[#This Row],[is_single_select]],questions[[#This Row],[is_multi_select]]),NOT(ISBLANK(questions[[#This Row],[answer_opt_combined]])),TRUE)</f>
        <v>1</v>
      </c>
    </row>
    <row r="231" spans="1:45" x14ac:dyDescent="0.25">
      <c r="A231" s="9" t="str">
        <f>_xlfn.TEXTJOIN("_",TRUE,questions[[#This Row],[origin]:[qno]])</f>
        <v>Uganda_Arabica_Sbux_5503</v>
      </c>
      <c r="B231" s="9" t="s">
        <v>511</v>
      </c>
      <c r="C231" s="9" t="s">
        <v>59</v>
      </c>
      <c r="D231" s="9" t="s">
        <v>512</v>
      </c>
      <c r="F231" s="24" t="s">
        <v>203</v>
      </c>
      <c r="G231" s="15" t="s">
        <v>204</v>
      </c>
      <c r="H231" s="9" t="str" cm="1">
        <f t="array" ref="H231">INDEX(stableR[question],MATCH(VALUE(questions[[#This Row],[qno]]),VALUE(stableR[qno]),0))</f>
        <v>What was the unit, for the mulch used (kg, basins, bags, wheel barrows, small truck/tipper, large truck)</v>
      </c>
      <c r="I231" s="9" t="b" cm="1">
        <f t="array" ref="I231">INDEX(stable[is_fixed],MATCH(VALUE(questions[[#This Row],[qno]]),VALUE(stable[qno]),0))</f>
        <v>1</v>
      </c>
      <c r="J231" s="9" t="b" cm="1">
        <f t="array" ref="J231">INDEX(stable[is_localized],MATCH(VALUE(questions[[#This Row],[qno]]),VALUE(stable[qno]),0))</f>
        <v>0</v>
      </c>
      <c r="K231" s="9" t="b" cm="1">
        <f t="array" ref="K231">INDEX(stable[is_supply_chain_dependent],MATCH(VALUE(questions[[#This Row],[qno]]),VALUE(stable[qno]),0))</f>
        <v>0</v>
      </c>
      <c r="L231" s="9" t="b" cm="1">
        <f t="array" ref="L231">INDEX(stable[is_mandatory],MATCH(VALUE(questions[[#This Row],[qno]]),VALUE(stable[qno]),0))</f>
        <v>0</v>
      </c>
      <c r="M231" s="9" t="b" cm="1">
        <f t="array" ref="M231">INDEX(stable[is_automated],MATCH(VALUE(questions[[#This Row],[qno]]),VALUE(stable[qno]),0))</f>
        <v>0</v>
      </c>
      <c r="N231" s="9" t="b" cm="1">
        <f t="array" ref="N231">INDEX(stable[is_free_text],MATCH(VALUE(questions[[#This Row],[qno]]),VALUE(stable[qno]),0))</f>
        <v>1</v>
      </c>
      <c r="O231" s="9" t="b" cm="1">
        <f t="array" ref="O231">INDEX(stable[is_numerical],MATCH(VALUE(questions[[#This Row],[qno]]),VALUE(stable[qno]),0))</f>
        <v>0</v>
      </c>
      <c r="P231" s="32" t="b" cm="1">
        <f t="array" ref="P231">INDEX(stable[is_single_select],MATCH(VALUE(questions[[#This Row],[qno]]),VALUE(stable[qno]),0))</f>
        <v>0</v>
      </c>
      <c r="Q231" s="9" t="b" cm="1">
        <f t="array" ref="Q231">INDEX(stable[is_multi_select],MATCH(VALUE(questions[[#This Row],[qno]]),VALUE(stable[qno]),0))</f>
        <v>0</v>
      </c>
      <c r="R231" s="9" t="b" cm="1">
        <f t="array" ref="R231">INDEX(stable[is_skip_logic],MATCH(VALUE(questions[[#This Row],[qno]]),VALUE(stable[qno]),0))</f>
        <v>1</v>
      </c>
      <c r="S231" s="9" t="str">
        <f>_xlfn.TEXTJOIN(", ",TRUE,questions[[#This Row],[ans_opt_1]:[ans_opt_14]])</f>
        <v/>
      </c>
      <c r="AH231" s="16" t="b">
        <f>INDEX(stable[q_standard],MATCH(questions[[#This Row],[qno]],stable[qno],0))</f>
        <v>0</v>
      </c>
      <c r="AI231" s="16" t="b">
        <f>INDEX(stable[q_living_income],MATCH(questions[[#This Row],[qno]],stable[qno],0))</f>
        <v>1</v>
      </c>
      <c r="AJ231" s="16" t="b">
        <f>INDEX(stable[q_carbon],MATCH(questions[[#This Row],[qno]],stable[qno],0))</f>
        <v>1</v>
      </c>
      <c r="AK231" s="16" t="b">
        <f>INDEX(stable[q_regen_ag],MATCH(questions[[#This Row],[qno]],stable[qno],0))</f>
        <v>0</v>
      </c>
      <c r="AL231" s="16" t="b">
        <f>COUNTIFS(stable[qno],questions[[#This Row],[qno]])=1</f>
        <v>1</v>
      </c>
      <c r="AM231" s="16" t="b">
        <f>OR(questions[[#This Row],[is_fixed]],questions[[#This Row],[is_localized]],questions[[#This Row],[is_supply_chain_dependent]])</f>
        <v>1</v>
      </c>
      <c r="AN231" s="16" t="b">
        <f>COUNTIFS(questions[[#This Row],[is_automated]:[is_multi_select]],TRUE)=1</f>
        <v>1</v>
      </c>
      <c r="AO231" s="16" t="b">
        <f>IF(questions[[#This Row],[is_fixed]],questions[[#This Row],[question]]=INDEX(stable[question],MATCH(questions[[#This Row],[qno]],stable[qno],0)),TRUE)</f>
        <v>1</v>
      </c>
      <c r="AP231" s="16" t="str">
        <f>LEFT(questions[[#This Row],[question]],similarity_range)</f>
        <v>What was the unit, f</v>
      </c>
      <c r="AQ231" s="16" t="str">
        <f>LEFT(INDEX(stable[question],MATCH(questions[[#This Row],[qno]],stable[qno],0)),similarity_range)</f>
        <v>What was the unit, f</v>
      </c>
      <c r="AR231" s="16" t="b">
        <f>questions[[#This Row],[question_first_characters]]=questions[[#This Row],[stability_first_characters]]</f>
        <v>1</v>
      </c>
      <c r="AS231" s="16" t="b">
        <f>IF(OR(questions[[#This Row],[is_single_select]],questions[[#This Row],[is_multi_select]]),NOT(ISBLANK(questions[[#This Row],[answer_opt_combined]])),TRUE)</f>
        <v>1</v>
      </c>
    </row>
    <row r="232" spans="1:45" s="77" customFormat="1" x14ac:dyDescent="0.25">
      <c r="A232" s="77" t="str">
        <f>_xlfn.TEXTJOIN("_",TRUE,questions[[#This Row],[origin]:[qno]])</f>
        <v>Uganda_Arabica_Sbux_5504</v>
      </c>
      <c r="B232" s="77" t="s">
        <v>511</v>
      </c>
      <c r="C232" s="77" t="s">
        <v>59</v>
      </c>
      <c r="D232" s="77" t="s">
        <v>512</v>
      </c>
      <c r="F232" s="104" t="s">
        <v>205</v>
      </c>
      <c r="G232" s="78" t="s">
        <v>206</v>
      </c>
      <c r="H232" s="9" t="str" cm="1">
        <f t="array" ref="H232">INDEX(stableR[question],MATCH(VALUE(questions[[#This Row],[qno]]),VALUE(stableR[qno]),0))</f>
        <v>From where was this mulch sourced?</v>
      </c>
      <c r="I232" s="9" t="b" cm="1">
        <f t="array" ref="I232">INDEX(stable[is_fixed],MATCH(VALUE(questions[[#This Row],[qno]]),VALUE(stable[qno]),0))</f>
        <v>1</v>
      </c>
      <c r="J232" s="9" t="b" cm="1">
        <f t="array" ref="J232">INDEX(stable[is_localized],MATCH(VALUE(questions[[#This Row],[qno]]),VALUE(stable[qno]),0))</f>
        <v>0</v>
      </c>
      <c r="K232" s="9" t="b" cm="1">
        <f t="array" ref="K232">INDEX(stable[is_supply_chain_dependent],MATCH(VALUE(questions[[#This Row],[qno]]),VALUE(stable[qno]),0))</f>
        <v>0</v>
      </c>
      <c r="L232" s="9" t="b" cm="1">
        <f t="array" ref="L232">INDEX(stable[is_mandatory],MATCH(VALUE(questions[[#This Row],[qno]]),VALUE(stable[qno]),0))</f>
        <v>0</v>
      </c>
      <c r="M232" s="9" t="b" cm="1">
        <f t="array" ref="M232">INDEX(stable[is_automated],MATCH(VALUE(questions[[#This Row],[qno]]),VALUE(stable[qno]),0))</f>
        <v>0</v>
      </c>
      <c r="N232" s="9" t="b" cm="1">
        <f t="array" ref="N232">INDEX(stable[is_free_text],MATCH(VALUE(questions[[#This Row],[qno]]),VALUE(stable[qno]),0))</f>
        <v>0</v>
      </c>
      <c r="O232" s="9" t="b" cm="1">
        <f t="array" ref="O232">INDEX(stable[is_numerical],MATCH(VALUE(questions[[#This Row],[qno]]),VALUE(stable[qno]),0))</f>
        <v>0</v>
      </c>
      <c r="P232" s="103" t="b" cm="1">
        <f t="array" ref="P232">INDEX(stable[is_single_select],MATCH(VALUE(questions[[#This Row],[qno]]),VALUE(stable[qno]),0))</f>
        <v>1</v>
      </c>
      <c r="Q232" s="77" t="b" cm="1">
        <f t="array" ref="Q232">INDEX(stable[is_multi_select],MATCH(VALUE(questions[[#This Row],[qno]]),VALUE(stable[qno]),0))</f>
        <v>0</v>
      </c>
      <c r="R232" s="77" t="b" cm="1">
        <f t="array" ref="R232">INDEX(stable[is_skip_logic],MATCH(VALUE(questions[[#This Row],[qno]]),VALUE(stable[qno]),0))</f>
        <v>1</v>
      </c>
      <c r="S232" s="77" t="str">
        <f>_xlfn.TEXTJOIN(", ",TRUE,questions[[#This Row],[ans_opt_1]:[ans_opt_14]])</f>
        <v>Outside the coffee plot, Inside the coffee plot, Both from inside and outside the coffee plot</v>
      </c>
      <c r="T232" s="77" t="s">
        <v>207</v>
      </c>
      <c r="U232" s="77" t="s">
        <v>208</v>
      </c>
      <c r="V232" s="77" t="s">
        <v>209</v>
      </c>
      <c r="AH232" s="98" t="b">
        <f>INDEX(stable[q_standard],MATCH(questions[[#This Row],[qno]],stable[qno],0))</f>
        <v>0</v>
      </c>
      <c r="AI232" s="98" t="b">
        <f>INDEX(stable[q_living_income],MATCH(questions[[#This Row],[qno]],stable[qno],0))</f>
        <v>1</v>
      </c>
      <c r="AJ232" s="98" t="b">
        <f>INDEX(stable[q_carbon],MATCH(questions[[#This Row],[qno]],stable[qno],0))</f>
        <v>1</v>
      </c>
      <c r="AK232" s="98" t="b">
        <f>INDEX(stable[q_regen_ag],MATCH(questions[[#This Row],[qno]],stable[qno],0))</f>
        <v>0</v>
      </c>
      <c r="AL232" s="98" t="b">
        <f>COUNTIFS(stable[qno],questions[[#This Row],[qno]])=1</f>
        <v>1</v>
      </c>
      <c r="AM232" s="98" t="b">
        <f>OR(questions[[#This Row],[is_fixed]],questions[[#This Row],[is_localized]],questions[[#This Row],[is_supply_chain_dependent]])</f>
        <v>1</v>
      </c>
      <c r="AN232" s="98" t="b">
        <f>COUNTIFS(questions[[#This Row],[is_automated]:[is_multi_select]],TRUE)=1</f>
        <v>1</v>
      </c>
      <c r="AO232" s="98" t="b">
        <f>IF(questions[[#This Row],[is_fixed]],questions[[#This Row],[question]]=INDEX(stable[question],MATCH(questions[[#This Row],[qno]],stable[qno],0)),TRUE)</f>
        <v>0</v>
      </c>
      <c r="AP232" s="98" t="str">
        <f>LEFT(questions[[#This Row],[question]],similarity_range)</f>
        <v xml:space="preserve">From where was this </v>
      </c>
      <c r="AQ232" s="98" t="str">
        <f>LEFT(INDEX(stable[question],MATCH(questions[[#This Row],[qno]],stable[qno],0)),similarity_range)</f>
        <v xml:space="preserve">From where was this </v>
      </c>
      <c r="AR232" s="98" t="b">
        <f>questions[[#This Row],[question_first_characters]]=questions[[#This Row],[stability_first_characters]]</f>
        <v>1</v>
      </c>
      <c r="AS232" s="98" t="b">
        <f>IF(OR(questions[[#This Row],[is_single_select]],questions[[#This Row],[is_multi_select]]),NOT(ISBLANK(questions[[#This Row],[answer_opt_combined]])),TRUE)</f>
        <v>1</v>
      </c>
    </row>
    <row r="233" spans="1:45" s="77" customFormat="1" x14ac:dyDescent="0.25">
      <c r="A233" s="77" t="str">
        <f>_xlfn.TEXTJOIN("_",TRUE,questions[[#This Row],[origin]:[qno]])</f>
        <v>Uganda_Arabica_Sbux_5505</v>
      </c>
      <c r="B233" s="77" t="s">
        <v>511</v>
      </c>
      <c r="C233" s="77" t="s">
        <v>59</v>
      </c>
      <c r="D233" s="77" t="s">
        <v>512</v>
      </c>
      <c r="F233" s="104" t="s">
        <v>210</v>
      </c>
      <c r="G233" s="78" t="s">
        <v>211</v>
      </c>
      <c r="H233" s="9" t="str" cm="1">
        <f t="array" ref="H233">INDEX(stableR[question],MATCH(VALUE(questions[[#This Row],[qno]]),VALUE(stableR[qno]),0))</f>
        <v>If it was from outside the coffee plot, did you buy this mulch, or did it come from your own farm?</v>
      </c>
      <c r="I233" s="9" t="b" cm="1">
        <f t="array" ref="I233">INDEX(stable[is_fixed],MATCH(VALUE(questions[[#This Row],[qno]]),VALUE(stable[qno]),0))</f>
        <v>1</v>
      </c>
      <c r="J233" s="9" t="b" cm="1">
        <f t="array" ref="J233">INDEX(stable[is_localized],MATCH(VALUE(questions[[#This Row],[qno]]),VALUE(stable[qno]),0))</f>
        <v>0</v>
      </c>
      <c r="K233" s="9" t="b" cm="1">
        <f t="array" ref="K233">INDEX(stable[is_supply_chain_dependent],MATCH(VALUE(questions[[#This Row],[qno]]),VALUE(stable[qno]),0))</f>
        <v>0</v>
      </c>
      <c r="L233" s="9" t="b" cm="1">
        <f t="array" ref="L233">INDEX(stable[is_mandatory],MATCH(VALUE(questions[[#This Row],[qno]]),VALUE(stable[qno]),0))</f>
        <v>0</v>
      </c>
      <c r="M233" s="9" t="b" cm="1">
        <f t="array" ref="M233">INDEX(stable[is_automated],MATCH(VALUE(questions[[#This Row],[qno]]),VALUE(stable[qno]),0))</f>
        <v>0</v>
      </c>
      <c r="N233" s="9" t="b" cm="1">
        <f t="array" ref="N233">INDEX(stable[is_free_text],MATCH(VALUE(questions[[#This Row],[qno]]),VALUE(stable[qno]),0))</f>
        <v>0</v>
      </c>
      <c r="O233" s="9" t="b" cm="1">
        <f t="array" ref="O233">INDEX(stable[is_numerical],MATCH(VALUE(questions[[#This Row],[qno]]),VALUE(stable[qno]),0))</f>
        <v>0</v>
      </c>
      <c r="P233" s="103" t="b" cm="1">
        <f t="array" ref="P233">INDEX(stable[is_single_select],MATCH(VALUE(questions[[#This Row],[qno]]),VALUE(stable[qno]),0))</f>
        <v>1</v>
      </c>
      <c r="Q233" s="77" t="b" cm="1">
        <f t="array" ref="Q233">INDEX(stable[is_multi_select],MATCH(VALUE(questions[[#This Row],[qno]]),VALUE(stable[qno]),0))</f>
        <v>0</v>
      </c>
      <c r="R233" s="77" t="b" cm="1">
        <f t="array" ref="R233">INDEX(stable[is_skip_logic],MATCH(VALUE(questions[[#This Row],[qno]]),VALUE(stable[qno]),0))</f>
        <v>1</v>
      </c>
      <c r="S233" s="77" t="str">
        <f>_xlfn.TEXTJOIN(", ",TRUE,questions[[#This Row],[ans_opt_1]:[ans_opt_14]])</f>
        <v>Bought, From own farm, Received for free, Both from own farm &amp; bought/received from outside the farm</v>
      </c>
      <c r="T233" s="77" t="s">
        <v>185</v>
      </c>
      <c r="U233" s="77" t="s">
        <v>186</v>
      </c>
      <c r="V233" s="77" t="s">
        <v>187</v>
      </c>
      <c r="W233" s="77" t="s">
        <v>188</v>
      </c>
      <c r="AH233" s="98" t="b">
        <f>INDEX(stable[q_standard],MATCH(questions[[#This Row],[qno]],stable[qno],0))</f>
        <v>0</v>
      </c>
      <c r="AI233" s="98" t="b">
        <f>INDEX(stable[q_living_income],MATCH(questions[[#This Row],[qno]],stable[qno],0))</f>
        <v>1</v>
      </c>
      <c r="AJ233" s="98" t="b">
        <f>INDEX(stable[q_carbon],MATCH(questions[[#This Row],[qno]],stable[qno],0))</f>
        <v>1</v>
      </c>
      <c r="AK233" s="98" t="b">
        <f>INDEX(stable[q_regen_ag],MATCH(questions[[#This Row],[qno]],stable[qno],0))</f>
        <v>0</v>
      </c>
      <c r="AL233" s="98" t="b">
        <f>COUNTIFS(stable[qno],questions[[#This Row],[qno]])=1</f>
        <v>1</v>
      </c>
      <c r="AM233" s="98" t="b">
        <f>OR(questions[[#This Row],[is_fixed]],questions[[#This Row],[is_localized]],questions[[#This Row],[is_supply_chain_dependent]])</f>
        <v>1</v>
      </c>
      <c r="AN233" s="98" t="b">
        <f>COUNTIFS(questions[[#This Row],[is_automated]:[is_multi_select]],TRUE)=1</f>
        <v>1</v>
      </c>
      <c r="AO233" s="98" t="b">
        <f>IF(questions[[#This Row],[is_fixed]],questions[[#This Row],[question]]=INDEX(stable[question],MATCH(questions[[#This Row],[qno]],stable[qno],0)),TRUE)</f>
        <v>0</v>
      </c>
      <c r="AP233" s="98" t="str">
        <f>LEFT(questions[[#This Row],[question]],similarity_range)</f>
        <v>If it was from outsi</v>
      </c>
      <c r="AQ233" s="98" t="str">
        <f>LEFT(INDEX(stable[question],MATCH(questions[[#This Row],[qno]],stable[qno],0)),similarity_range)</f>
        <v>If it was from outsi</v>
      </c>
      <c r="AR233" s="98" t="b">
        <f>questions[[#This Row],[question_first_characters]]=questions[[#This Row],[stability_first_characters]]</f>
        <v>1</v>
      </c>
      <c r="AS233" s="98" t="b">
        <f>IF(OR(questions[[#This Row],[is_single_select]],questions[[#This Row],[is_multi_select]]),NOT(ISBLANK(questions[[#This Row],[answer_opt_combined]])),TRUE)</f>
        <v>1</v>
      </c>
    </row>
    <row r="234" spans="1:45" s="77" customFormat="1" x14ac:dyDescent="0.25">
      <c r="A234" s="77" t="str">
        <f>_xlfn.TEXTJOIN("_",TRUE,questions[[#This Row],[origin]:[qno]])</f>
        <v>Uganda_Arabica_Sbux_5600</v>
      </c>
      <c r="B234" s="77" t="s">
        <v>511</v>
      </c>
      <c r="C234" s="77" t="s">
        <v>59</v>
      </c>
      <c r="D234" s="77" t="s">
        <v>512</v>
      </c>
      <c r="F234" s="104" t="s">
        <v>212</v>
      </c>
      <c r="G234" s="78" t="s">
        <v>213</v>
      </c>
      <c r="H234" s="9" t="str" cm="1">
        <f t="array" ref="H234">INDEX(stableR[question],MATCH(VALUE(questions[[#This Row],[qno]]),VALUE(stableR[qno]),0))</f>
        <v xml:space="preserve">Did you use pesticides, fungicides or herbicides for your coffee last year? </v>
      </c>
      <c r="I234" s="9" t="b" cm="1">
        <f t="array" ref="I234">INDEX(stable[is_fixed],MATCH(VALUE(questions[[#This Row],[qno]]),VALUE(stable[qno]),0))</f>
        <v>1</v>
      </c>
      <c r="J234" s="9" t="b" cm="1">
        <f t="array" ref="J234">INDEX(stable[is_localized],MATCH(VALUE(questions[[#This Row],[qno]]),VALUE(stable[qno]),0))</f>
        <v>0</v>
      </c>
      <c r="K234" s="9" t="b" cm="1">
        <f t="array" ref="K234">INDEX(stable[is_supply_chain_dependent],MATCH(VALUE(questions[[#This Row],[qno]]),VALUE(stable[qno]),0))</f>
        <v>0</v>
      </c>
      <c r="L234" s="9" t="b" cm="1">
        <f t="array" ref="L234">INDEX(stable[is_mandatory],MATCH(VALUE(questions[[#This Row],[qno]]),VALUE(stable[qno]),0))</f>
        <v>1</v>
      </c>
      <c r="M234" s="9" t="b" cm="1">
        <f t="array" ref="M234">INDEX(stable[is_automated],MATCH(VALUE(questions[[#This Row],[qno]]),VALUE(stable[qno]),0))</f>
        <v>0</v>
      </c>
      <c r="N234" s="9" t="b" cm="1">
        <f t="array" ref="N234">INDEX(stable[is_free_text],MATCH(VALUE(questions[[#This Row],[qno]]),VALUE(stable[qno]),0))</f>
        <v>0</v>
      </c>
      <c r="O234" s="9" t="b" cm="1">
        <f t="array" ref="O234">INDEX(stable[is_numerical],MATCH(VALUE(questions[[#This Row],[qno]]),VALUE(stable[qno]),0))</f>
        <v>0</v>
      </c>
      <c r="P234" s="103" t="b" cm="1">
        <f t="array" ref="P234">INDEX(stable[is_single_select],MATCH(VALUE(questions[[#This Row],[qno]]),VALUE(stable[qno]),0))</f>
        <v>1</v>
      </c>
      <c r="Q234" s="77" t="b" cm="1">
        <f t="array" ref="Q234">INDEX(stable[is_multi_select],MATCH(VALUE(questions[[#This Row],[qno]]),VALUE(stable[qno]),0))</f>
        <v>0</v>
      </c>
      <c r="R234" s="77" t="b" cm="1">
        <f t="array" ref="R234">INDEX(stable[is_skip_logic],MATCH(VALUE(questions[[#This Row],[qno]]),VALUE(stable[qno]),0))</f>
        <v>1</v>
      </c>
      <c r="S234" s="77" t="str">
        <f>_xlfn.TEXTJOIN(", ",TRUE,questions[[#This Row],[ans_opt_1]:[ans_opt_14]])</f>
        <v>Yes, No</v>
      </c>
      <c r="T234" s="77" t="s">
        <v>149</v>
      </c>
      <c r="U234" s="77" t="s">
        <v>119</v>
      </c>
      <c r="AH234" s="98" t="b">
        <f>INDEX(stable[q_standard],MATCH(questions[[#This Row],[qno]],stable[qno],0))</f>
        <v>0</v>
      </c>
      <c r="AI234" s="98" t="b">
        <f>INDEX(stable[q_living_income],MATCH(questions[[#This Row],[qno]],stable[qno],0))</f>
        <v>1</v>
      </c>
      <c r="AJ234" s="98" t="b">
        <f>INDEX(stable[q_carbon],MATCH(questions[[#This Row],[qno]],stable[qno],0))</f>
        <v>1</v>
      </c>
      <c r="AK234" s="98" t="b">
        <f>INDEX(stable[q_regen_ag],MATCH(questions[[#This Row],[qno]],stable[qno],0))</f>
        <v>0</v>
      </c>
      <c r="AL234" s="98" t="b">
        <f>COUNTIFS(stable[qno],questions[[#This Row],[qno]])=1</f>
        <v>1</v>
      </c>
      <c r="AM234" s="98" t="b">
        <f>OR(questions[[#This Row],[is_fixed]],questions[[#This Row],[is_localized]],questions[[#This Row],[is_supply_chain_dependent]])</f>
        <v>1</v>
      </c>
      <c r="AN234" s="98" t="b">
        <f>COUNTIFS(questions[[#This Row],[is_automated]:[is_multi_select]],TRUE)=1</f>
        <v>1</v>
      </c>
      <c r="AO234" s="98" t="b">
        <f>IF(questions[[#This Row],[is_fixed]],questions[[#This Row],[question]]=INDEX(stable[question],MATCH(questions[[#This Row],[qno]],stable[qno],0)),TRUE)</f>
        <v>0</v>
      </c>
      <c r="AP234" s="98" t="str">
        <f>LEFT(questions[[#This Row],[question]],similarity_range)</f>
        <v>Did you use pesticid</v>
      </c>
      <c r="AQ234" s="98" t="str">
        <f>LEFT(INDEX(stable[question],MATCH(questions[[#This Row],[qno]],stable[qno],0)),similarity_range)</f>
        <v>Did you use pesticid</v>
      </c>
      <c r="AR234" s="98" t="b">
        <f>questions[[#This Row],[question_first_characters]]=questions[[#This Row],[stability_first_characters]]</f>
        <v>1</v>
      </c>
      <c r="AS234" s="98" t="b">
        <f>IF(OR(questions[[#This Row],[is_single_select]],questions[[#This Row],[is_multi_select]]),NOT(ISBLANK(questions[[#This Row],[answer_opt_combined]])),TRUE)</f>
        <v>1</v>
      </c>
    </row>
    <row r="235" spans="1:45" x14ac:dyDescent="0.25">
      <c r="A235" s="9" t="str">
        <f>_xlfn.TEXTJOIN("_",TRUE,questions[[#This Row],[origin]:[qno]])</f>
        <v>Uganda_Arabica_Sbux_5601</v>
      </c>
      <c r="B235" s="9" t="s">
        <v>511</v>
      </c>
      <c r="C235" s="9" t="s">
        <v>59</v>
      </c>
      <c r="D235" s="9" t="s">
        <v>512</v>
      </c>
      <c r="F235" s="24" t="s">
        <v>214</v>
      </c>
      <c r="G235" s="15" t="s">
        <v>215</v>
      </c>
      <c r="H235" s="9" t="str" cm="1">
        <f t="array" ref="H235">INDEX(stableR[question],MATCH(VALUE(questions[[#This Row],[qno]]),VALUE(stableR[qno]),0))</f>
        <v xml:space="preserve">If yes, how many types of pesticides, fungicides and/or herbicides did you use last year for your coffee, in total? </v>
      </c>
      <c r="I235" s="9" t="b" cm="1">
        <f t="array" ref="I235">INDEX(stable[is_fixed],MATCH(VALUE(questions[[#This Row],[qno]]),VALUE(stable[qno]),0))</f>
        <v>1</v>
      </c>
      <c r="J235" s="9" t="b" cm="1">
        <f t="array" ref="J235">INDEX(stable[is_localized],MATCH(VALUE(questions[[#This Row],[qno]]),VALUE(stable[qno]),0))</f>
        <v>0</v>
      </c>
      <c r="K235" s="9" t="b" cm="1">
        <f t="array" ref="K235">INDEX(stable[is_supply_chain_dependent],MATCH(VALUE(questions[[#This Row],[qno]]),VALUE(stable[qno]),0))</f>
        <v>0</v>
      </c>
      <c r="L235" s="9" t="b" cm="1">
        <f t="array" ref="L235">INDEX(stable[is_mandatory],MATCH(VALUE(questions[[#This Row],[qno]]),VALUE(stable[qno]),0))</f>
        <v>0</v>
      </c>
      <c r="M235" s="9" t="b" cm="1">
        <f t="array" ref="M235">INDEX(stable[is_automated],MATCH(VALUE(questions[[#This Row],[qno]]),VALUE(stable[qno]),0))</f>
        <v>0</v>
      </c>
      <c r="N235" s="9" t="b" cm="1">
        <f t="array" ref="N235">INDEX(stable[is_free_text],MATCH(VALUE(questions[[#This Row],[qno]]),VALUE(stable[qno]),0))</f>
        <v>0</v>
      </c>
      <c r="O235" s="9" t="b" cm="1">
        <f t="array" ref="O235">INDEX(stable[is_numerical],MATCH(VALUE(questions[[#This Row],[qno]]),VALUE(stable[qno]),0))</f>
        <v>1</v>
      </c>
      <c r="P235" s="32" t="b" cm="1">
        <f t="array" ref="P235">INDEX(stable[is_single_select],MATCH(VALUE(questions[[#This Row],[qno]]),VALUE(stable[qno]),0))</f>
        <v>0</v>
      </c>
      <c r="Q235" s="9" t="b" cm="1">
        <f t="array" ref="Q235">INDEX(stable[is_multi_select],MATCH(VALUE(questions[[#This Row],[qno]]),VALUE(stable[qno]),0))</f>
        <v>0</v>
      </c>
      <c r="R235" s="9" t="b" cm="1">
        <f t="array" ref="R235">INDEX(stable[is_skip_logic],MATCH(VALUE(questions[[#This Row],[qno]]),VALUE(stable[qno]),0))</f>
        <v>1</v>
      </c>
      <c r="S235" s="9" t="str">
        <f>_xlfn.TEXTJOIN(", ",TRUE,questions[[#This Row],[ans_opt_1]:[ans_opt_14]])</f>
        <v/>
      </c>
      <c r="AH235" s="16" t="b">
        <f>INDEX(stable[q_standard],MATCH(questions[[#This Row],[qno]],stable[qno],0))</f>
        <v>0</v>
      </c>
      <c r="AI235" s="16" t="b">
        <f>INDEX(stable[q_living_income],MATCH(questions[[#This Row],[qno]],stable[qno],0))</f>
        <v>1</v>
      </c>
      <c r="AJ235" s="16" t="b">
        <f>INDEX(stable[q_carbon],MATCH(questions[[#This Row],[qno]],stable[qno],0))</f>
        <v>1</v>
      </c>
      <c r="AK235" s="16" t="b">
        <f>INDEX(stable[q_regen_ag],MATCH(questions[[#This Row],[qno]],stable[qno],0))</f>
        <v>0</v>
      </c>
      <c r="AL235" s="16" t="b">
        <f>COUNTIFS(stable[qno],questions[[#This Row],[qno]])=1</f>
        <v>1</v>
      </c>
      <c r="AM235" s="16" t="b">
        <f>OR(questions[[#This Row],[is_fixed]],questions[[#This Row],[is_localized]],questions[[#This Row],[is_supply_chain_dependent]])</f>
        <v>1</v>
      </c>
      <c r="AN235" s="16" t="b">
        <f>COUNTIFS(questions[[#This Row],[is_automated]:[is_multi_select]],TRUE)=1</f>
        <v>1</v>
      </c>
      <c r="AO235" s="16" t="b">
        <f>IF(questions[[#This Row],[is_fixed]],questions[[#This Row],[question]]=INDEX(stable[question],MATCH(questions[[#This Row],[qno]],stable[qno],0)),TRUE)</f>
        <v>0</v>
      </c>
      <c r="AP235" s="16" t="str">
        <f>LEFT(questions[[#This Row],[question]],similarity_range)</f>
        <v>If yes, how many typ</v>
      </c>
      <c r="AQ235" s="16" t="str">
        <f>LEFT(INDEX(stable[question],MATCH(questions[[#This Row],[qno]],stable[qno],0)),similarity_range)</f>
        <v>If yes, how many typ</v>
      </c>
      <c r="AR235" s="16" t="b">
        <f>questions[[#This Row],[question_first_characters]]=questions[[#This Row],[stability_first_characters]]</f>
        <v>1</v>
      </c>
      <c r="AS235" s="16" t="b">
        <f>IF(OR(questions[[#This Row],[is_single_select]],questions[[#This Row],[is_multi_select]]),NOT(ISBLANK(questions[[#This Row],[answer_opt_combined]])),TRUE)</f>
        <v>1</v>
      </c>
    </row>
    <row r="236" spans="1:45" x14ac:dyDescent="0.25">
      <c r="A236" s="9" t="str">
        <f>_xlfn.TEXTJOIN("_",TRUE,questions[[#This Row],[origin]:[qno]])</f>
        <v>Uganda_Arabica_Sbux_5610</v>
      </c>
      <c r="B236" s="9" t="s">
        <v>511</v>
      </c>
      <c r="C236" s="9" t="s">
        <v>59</v>
      </c>
      <c r="D236" s="9" t="s">
        <v>512</v>
      </c>
      <c r="F236" s="24" t="s">
        <v>216</v>
      </c>
      <c r="G236" s="9" t="s">
        <v>217</v>
      </c>
      <c r="H236" s="9" t="str" cm="1">
        <f t="array" ref="H236">INDEX(stableR[question],MATCH(VALUE(questions[[#This Row],[qno]]),VALUE(stableR[qno]),0))</f>
        <v>What was the name of the pesticide/fungicide or herbicide that you used most, last year?</v>
      </c>
      <c r="I236" s="9" t="b" cm="1">
        <f t="array" ref="I236">INDEX(stable[is_fixed],MATCH(VALUE(questions[[#This Row],[qno]]),VALUE(stable[qno]),0))</f>
        <v>1</v>
      </c>
      <c r="J236" s="9" t="b" cm="1">
        <f t="array" ref="J236">INDEX(stable[is_localized],MATCH(VALUE(questions[[#This Row],[qno]]),VALUE(stable[qno]),0))</f>
        <v>0</v>
      </c>
      <c r="K236" s="9" t="b" cm="1">
        <f t="array" ref="K236">INDEX(stable[is_supply_chain_dependent],MATCH(VALUE(questions[[#This Row],[qno]]),VALUE(stable[qno]),0))</f>
        <v>0</v>
      </c>
      <c r="L236" s="9" t="b" cm="1">
        <f t="array" ref="L236">INDEX(stable[is_mandatory],MATCH(VALUE(questions[[#This Row],[qno]]),VALUE(stable[qno]),0))</f>
        <v>0</v>
      </c>
      <c r="M236" s="9" t="b" cm="1">
        <f t="array" ref="M236">INDEX(stable[is_automated],MATCH(VALUE(questions[[#This Row],[qno]]),VALUE(stable[qno]),0))</f>
        <v>0</v>
      </c>
      <c r="N236" s="9" t="b" cm="1">
        <f t="array" ref="N236">INDEX(stable[is_free_text],MATCH(VALUE(questions[[#This Row],[qno]]),VALUE(stable[qno]),0))</f>
        <v>1</v>
      </c>
      <c r="O236" s="9" t="b" cm="1">
        <f t="array" ref="O236">INDEX(stable[is_numerical],MATCH(VALUE(questions[[#This Row],[qno]]),VALUE(stable[qno]),0))</f>
        <v>0</v>
      </c>
      <c r="P236" s="32" t="b" cm="1">
        <f t="array" ref="P236">INDEX(stable[is_single_select],MATCH(VALUE(questions[[#This Row],[qno]]),VALUE(stable[qno]),0))</f>
        <v>0</v>
      </c>
      <c r="Q236" s="9" t="b" cm="1">
        <f t="array" ref="Q236">INDEX(stable[is_multi_select],MATCH(VALUE(questions[[#This Row],[qno]]),VALUE(stable[qno]),0))</f>
        <v>0</v>
      </c>
      <c r="R236" s="9" t="b" cm="1">
        <f t="array" ref="R236">INDEX(stable[is_skip_logic],MATCH(VALUE(questions[[#This Row],[qno]]),VALUE(stable[qno]),0))</f>
        <v>1</v>
      </c>
      <c r="S236" s="9" t="str">
        <f>_xlfn.TEXTJOIN(", ",TRUE,questions[[#This Row],[ans_opt_1]:[ans_opt_14]])</f>
        <v/>
      </c>
      <c r="AH236" s="16" t="b">
        <f>INDEX(stable[q_standard],MATCH(questions[[#This Row],[qno]],stable[qno],0))</f>
        <v>0</v>
      </c>
      <c r="AI236" s="16" t="b">
        <f>INDEX(stable[q_living_income],MATCH(questions[[#This Row],[qno]],stable[qno],0))</f>
        <v>1</v>
      </c>
      <c r="AJ236" s="16" t="b">
        <f>INDEX(stable[q_carbon],MATCH(questions[[#This Row],[qno]],stable[qno],0))</f>
        <v>1</v>
      </c>
      <c r="AK236" s="16" t="b">
        <f>INDEX(stable[q_regen_ag],MATCH(questions[[#This Row],[qno]],stable[qno],0))</f>
        <v>0</v>
      </c>
      <c r="AL236" s="16" t="b">
        <f>COUNTIFS(stable[qno],questions[[#This Row],[qno]])=1</f>
        <v>1</v>
      </c>
      <c r="AM236" s="16" t="b">
        <f>OR(questions[[#This Row],[is_fixed]],questions[[#This Row],[is_localized]],questions[[#This Row],[is_supply_chain_dependent]])</f>
        <v>1</v>
      </c>
      <c r="AN236" s="16" t="b">
        <f>COUNTIFS(questions[[#This Row],[is_automated]:[is_multi_select]],TRUE)=1</f>
        <v>1</v>
      </c>
      <c r="AO236" s="16" t="b">
        <f>IF(questions[[#This Row],[is_fixed]],questions[[#This Row],[question]]=INDEX(stable[question],MATCH(questions[[#This Row],[qno]],stable[qno],0)),TRUE)</f>
        <v>1</v>
      </c>
      <c r="AP236" s="16" t="str">
        <f>LEFT(questions[[#This Row],[question]],similarity_range)</f>
        <v>If yes, what was the</v>
      </c>
      <c r="AQ236" s="16" t="str">
        <f>LEFT(INDEX(stable[question],MATCH(questions[[#This Row],[qno]],stable[qno],0)),similarity_range)</f>
        <v>If yes, what was the</v>
      </c>
      <c r="AR236" s="16" t="b">
        <f>questions[[#This Row],[question_first_characters]]=questions[[#This Row],[stability_first_characters]]</f>
        <v>1</v>
      </c>
      <c r="AS236" s="16" t="b">
        <f>IF(OR(questions[[#This Row],[is_single_select]],questions[[#This Row],[is_multi_select]]),NOT(ISBLANK(questions[[#This Row],[answer_opt_combined]])),TRUE)</f>
        <v>1</v>
      </c>
    </row>
    <row r="237" spans="1:45" x14ac:dyDescent="0.25">
      <c r="A237" s="9" t="str">
        <f>_xlfn.TEXTJOIN("_",TRUE,questions[[#This Row],[origin]:[qno]])</f>
        <v>Uganda_Arabica_Sbux_5611</v>
      </c>
      <c r="B237" s="9" t="s">
        <v>511</v>
      </c>
      <c r="C237" s="9" t="s">
        <v>59</v>
      </c>
      <c r="D237" s="9" t="s">
        <v>512</v>
      </c>
      <c r="F237" s="24" t="s">
        <v>218</v>
      </c>
      <c r="G237" s="9" t="s">
        <v>219</v>
      </c>
      <c r="H237" s="9" t="str" cm="1">
        <f t="array" ref="H237">INDEX(stableR[question],MATCH(VALUE(questions[[#This Row],[qno]]),VALUE(stableR[qno]),0))</f>
        <v>What was the quantity used of this most used pesticide/fungicide/herbicide last year?</v>
      </c>
      <c r="I237" s="9" t="b" cm="1">
        <f t="array" ref="I237">INDEX(stable[is_fixed],MATCH(VALUE(questions[[#This Row],[qno]]),VALUE(stable[qno]),0))</f>
        <v>1</v>
      </c>
      <c r="J237" s="9" t="b" cm="1">
        <f t="array" ref="J237">INDEX(stable[is_localized],MATCH(VALUE(questions[[#This Row],[qno]]),VALUE(stable[qno]),0))</f>
        <v>0</v>
      </c>
      <c r="K237" s="9" t="b" cm="1">
        <f t="array" ref="K237">INDEX(stable[is_supply_chain_dependent],MATCH(VALUE(questions[[#This Row],[qno]]),VALUE(stable[qno]),0))</f>
        <v>0</v>
      </c>
      <c r="L237" s="9" t="b" cm="1">
        <f t="array" ref="L237">INDEX(stable[is_mandatory],MATCH(VALUE(questions[[#This Row],[qno]]),VALUE(stable[qno]),0))</f>
        <v>0</v>
      </c>
      <c r="M237" s="9" t="b" cm="1">
        <f t="array" ref="M237">INDEX(stable[is_automated],MATCH(VALUE(questions[[#This Row],[qno]]),VALUE(stable[qno]),0))</f>
        <v>0</v>
      </c>
      <c r="N237" s="9" t="b" cm="1">
        <f t="array" ref="N237">INDEX(stable[is_free_text],MATCH(VALUE(questions[[#This Row],[qno]]),VALUE(stable[qno]),0))</f>
        <v>0</v>
      </c>
      <c r="O237" s="9" t="b" cm="1">
        <f t="array" ref="O237">INDEX(stable[is_numerical],MATCH(VALUE(questions[[#This Row],[qno]]),VALUE(stable[qno]),0))</f>
        <v>1</v>
      </c>
      <c r="P237" s="32" t="b" cm="1">
        <f t="array" ref="P237">INDEX(stable[is_single_select],MATCH(VALUE(questions[[#This Row],[qno]]),VALUE(stable[qno]),0))</f>
        <v>0</v>
      </c>
      <c r="Q237" s="9" t="b" cm="1">
        <f t="array" ref="Q237">INDEX(stable[is_multi_select],MATCH(VALUE(questions[[#This Row],[qno]]),VALUE(stable[qno]),0))</f>
        <v>0</v>
      </c>
      <c r="R237" s="9" t="b" cm="1">
        <f t="array" ref="R237">INDEX(stable[is_skip_logic],MATCH(VALUE(questions[[#This Row],[qno]]),VALUE(stable[qno]),0))</f>
        <v>1</v>
      </c>
      <c r="S237" s="9" t="str">
        <f>_xlfn.TEXTJOIN(", ",TRUE,questions[[#This Row],[ans_opt_1]:[ans_opt_14]])</f>
        <v/>
      </c>
      <c r="AH237" s="16" t="b">
        <f>INDEX(stable[q_standard],MATCH(questions[[#This Row],[qno]],stable[qno],0))</f>
        <v>0</v>
      </c>
      <c r="AI237" s="16" t="b">
        <f>INDEX(stable[q_living_income],MATCH(questions[[#This Row],[qno]],stable[qno],0))</f>
        <v>1</v>
      </c>
      <c r="AJ237" s="16" t="b">
        <f>INDEX(stable[q_carbon],MATCH(questions[[#This Row],[qno]],stable[qno],0))</f>
        <v>1</v>
      </c>
      <c r="AK237" s="16" t="b">
        <f>INDEX(stable[q_regen_ag],MATCH(questions[[#This Row],[qno]],stable[qno],0))</f>
        <v>0</v>
      </c>
      <c r="AL237" s="16" t="b">
        <f>COUNTIFS(stable[qno],questions[[#This Row],[qno]])=1</f>
        <v>1</v>
      </c>
      <c r="AM237" s="16" t="b">
        <f>OR(questions[[#This Row],[is_fixed]],questions[[#This Row],[is_localized]],questions[[#This Row],[is_supply_chain_dependent]])</f>
        <v>1</v>
      </c>
      <c r="AN237" s="16" t="b">
        <f>COUNTIFS(questions[[#This Row],[is_automated]:[is_multi_select]],TRUE)=1</f>
        <v>1</v>
      </c>
      <c r="AO237" s="16" t="b">
        <f>IF(questions[[#This Row],[is_fixed]],questions[[#This Row],[question]]=INDEX(stable[question],MATCH(questions[[#This Row],[qno]],stable[qno],0)),TRUE)</f>
        <v>1</v>
      </c>
      <c r="AP237" s="16" t="str">
        <f>LEFT(questions[[#This Row],[question]],similarity_range)</f>
        <v>What was the quantit</v>
      </c>
      <c r="AQ237" s="16" t="str">
        <f>LEFT(INDEX(stable[question],MATCH(questions[[#This Row],[qno]],stable[qno],0)),similarity_range)</f>
        <v>What was the quantit</v>
      </c>
      <c r="AR237" s="16" t="b">
        <f>questions[[#This Row],[question_first_characters]]=questions[[#This Row],[stability_first_characters]]</f>
        <v>1</v>
      </c>
      <c r="AS237" s="16" t="b">
        <f>IF(OR(questions[[#This Row],[is_single_select]],questions[[#This Row],[is_multi_select]]),NOT(ISBLANK(questions[[#This Row],[answer_opt_combined]])),TRUE)</f>
        <v>1</v>
      </c>
    </row>
    <row r="238" spans="1:45" s="77" customFormat="1" x14ac:dyDescent="0.25">
      <c r="A238" s="77" t="str">
        <f>_xlfn.TEXTJOIN("_",TRUE,questions[[#This Row],[origin]:[qno]])</f>
        <v>Uganda_Arabica_Sbux_5612</v>
      </c>
      <c r="B238" s="77" t="s">
        <v>511</v>
      </c>
      <c r="C238" s="77" t="s">
        <v>59</v>
      </c>
      <c r="D238" s="77" t="s">
        <v>512</v>
      </c>
      <c r="F238" s="104" t="s">
        <v>220</v>
      </c>
      <c r="G238" s="78" t="s">
        <v>221</v>
      </c>
      <c r="H238" s="9" t="str" cm="1">
        <f t="array" ref="H238">INDEX(stableR[question],MATCH(VALUE(questions[[#This Row],[qno]]),VALUE(stableR[qno]),0))</f>
        <v>What was the unit of this most used pesticide/fungicide/herbicide?</v>
      </c>
      <c r="I238" s="9" t="b" cm="1">
        <f t="array" ref="I238">INDEX(stable[is_fixed],MATCH(VALUE(questions[[#This Row],[qno]]),VALUE(stable[qno]),0))</f>
        <v>1</v>
      </c>
      <c r="J238" s="9" t="b" cm="1">
        <f t="array" ref="J238">INDEX(stable[is_localized],MATCH(VALUE(questions[[#This Row],[qno]]),VALUE(stable[qno]),0))</f>
        <v>0</v>
      </c>
      <c r="K238" s="9" t="b" cm="1">
        <f t="array" ref="K238">INDEX(stable[is_supply_chain_dependent],MATCH(VALUE(questions[[#This Row],[qno]]),VALUE(stable[qno]),0))</f>
        <v>0</v>
      </c>
      <c r="L238" s="9" t="b" cm="1">
        <f t="array" ref="L238">INDEX(stable[is_mandatory],MATCH(VALUE(questions[[#This Row],[qno]]),VALUE(stable[qno]),0))</f>
        <v>0</v>
      </c>
      <c r="M238" s="9" t="b" cm="1">
        <f t="array" ref="M238">INDEX(stable[is_automated],MATCH(VALUE(questions[[#This Row],[qno]]),VALUE(stable[qno]),0))</f>
        <v>0</v>
      </c>
      <c r="N238" s="9" t="b" cm="1">
        <f t="array" ref="N238">INDEX(stable[is_free_text],MATCH(VALUE(questions[[#This Row],[qno]]),VALUE(stable[qno]),0))</f>
        <v>0</v>
      </c>
      <c r="O238" s="9" t="b" cm="1">
        <f t="array" ref="O238">INDEX(stable[is_numerical],MATCH(VALUE(questions[[#This Row],[qno]]),VALUE(stable[qno]),0))</f>
        <v>0</v>
      </c>
      <c r="P238" s="103" t="b" cm="1">
        <f t="array" ref="P238">INDEX(stable[is_single_select],MATCH(VALUE(questions[[#This Row],[qno]]),VALUE(stable[qno]),0))</f>
        <v>1</v>
      </c>
      <c r="Q238" s="77" t="b" cm="1">
        <f t="array" ref="Q238">INDEX(stable[is_multi_select],MATCH(VALUE(questions[[#This Row],[qno]]),VALUE(stable[qno]),0))</f>
        <v>0</v>
      </c>
      <c r="R238" s="77" t="b" cm="1">
        <f t="array" ref="R238">INDEX(stable[is_skip_logic],MATCH(VALUE(questions[[#This Row],[qno]]),VALUE(stable[qno]),0))</f>
        <v>1</v>
      </c>
      <c r="S238" s="77" t="str">
        <f>_xlfn.TEXTJOIN(", ",TRUE,questions[[#This Row],[ans_opt_1]:[ans_opt_14]])</f>
        <v>Kgs, Grams, Liters, Mililiters</v>
      </c>
      <c r="T238" s="77" t="s">
        <v>222</v>
      </c>
      <c r="U238" s="77" t="s">
        <v>223</v>
      </c>
      <c r="V238" s="77" t="s">
        <v>224</v>
      </c>
      <c r="W238" s="77" t="s">
        <v>225</v>
      </c>
      <c r="AH238" s="98" t="b">
        <f>INDEX(stable[q_standard],MATCH(questions[[#This Row],[qno]],stable[qno],0))</f>
        <v>0</v>
      </c>
      <c r="AI238" s="98" t="b">
        <f>INDEX(stable[q_living_income],MATCH(questions[[#This Row],[qno]],stable[qno],0))</f>
        <v>1</v>
      </c>
      <c r="AJ238" s="98" t="b">
        <f>INDEX(stable[q_carbon],MATCH(questions[[#This Row],[qno]],stable[qno],0))</f>
        <v>1</v>
      </c>
      <c r="AK238" s="98" t="b">
        <f>INDEX(stable[q_regen_ag],MATCH(questions[[#This Row],[qno]],stable[qno],0))</f>
        <v>0</v>
      </c>
      <c r="AL238" s="98" t="b">
        <f>COUNTIFS(stable[qno],questions[[#This Row],[qno]])=1</f>
        <v>1</v>
      </c>
      <c r="AM238" s="98" t="b">
        <f>OR(questions[[#This Row],[is_fixed]],questions[[#This Row],[is_localized]],questions[[#This Row],[is_supply_chain_dependent]])</f>
        <v>1</v>
      </c>
      <c r="AN238" s="98" t="b">
        <f>COUNTIFS(questions[[#This Row],[is_automated]:[is_multi_select]],TRUE)=1</f>
        <v>1</v>
      </c>
      <c r="AO238" s="98" t="b">
        <f>IF(questions[[#This Row],[is_fixed]],questions[[#This Row],[question]]=INDEX(stable[question],MATCH(questions[[#This Row],[qno]],stable[qno],0)),TRUE)</f>
        <v>1</v>
      </c>
      <c r="AP238" s="98" t="str">
        <f>LEFT(questions[[#This Row],[question]],similarity_range)</f>
        <v>What was the unit of</v>
      </c>
      <c r="AQ238" s="98" t="str">
        <f>LEFT(INDEX(stable[question],MATCH(questions[[#This Row],[qno]],stable[qno],0)),similarity_range)</f>
        <v>What was the unit of</v>
      </c>
      <c r="AR238" s="98" t="b">
        <f>questions[[#This Row],[question_first_characters]]=questions[[#This Row],[stability_first_characters]]</f>
        <v>1</v>
      </c>
      <c r="AS238" s="98" t="b">
        <f>IF(OR(questions[[#This Row],[is_single_select]],questions[[#This Row],[is_multi_select]]),NOT(ISBLANK(questions[[#This Row],[answer_opt_combined]])),TRUE)</f>
        <v>1</v>
      </c>
    </row>
    <row r="239" spans="1:45" x14ac:dyDescent="0.25">
      <c r="A239" s="9" t="str">
        <f>_xlfn.TEXTJOIN("_",TRUE,questions[[#This Row],[origin]:[qno]])</f>
        <v>Uganda_Arabica_Sbux_5620</v>
      </c>
      <c r="B239" s="9" t="s">
        <v>511</v>
      </c>
      <c r="C239" s="9" t="s">
        <v>59</v>
      </c>
      <c r="D239" s="9" t="s">
        <v>512</v>
      </c>
      <c r="F239" s="24" t="s">
        <v>226</v>
      </c>
      <c r="G239" s="9" t="s">
        <v>227</v>
      </c>
      <c r="H239" s="9" t="str" cm="1">
        <f t="array" ref="H239">INDEX(stableR[question],MATCH(VALUE(questions[[#This Row],[qno]]),VALUE(stableR[qno]),0))</f>
        <v>What was the name of the pesticide/fungicide or herbicide that you used second most, last year?</v>
      </c>
      <c r="I239" s="9" t="b" cm="1">
        <f t="array" ref="I239">INDEX(stable[is_fixed],MATCH(VALUE(questions[[#This Row],[qno]]),VALUE(stable[qno]),0))</f>
        <v>1</v>
      </c>
      <c r="J239" s="9" t="b" cm="1">
        <f t="array" ref="J239">INDEX(stable[is_localized],MATCH(VALUE(questions[[#This Row],[qno]]),VALUE(stable[qno]),0))</f>
        <v>0</v>
      </c>
      <c r="K239" s="9" t="b" cm="1">
        <f t="array" ref="K239">INDEX(stable[is_supply_chain_dependent],MATCH(VALUE(questions[[#This Row],[qno]]),VALUE(stable[qno]),0))</f>
        <v>0</v>
      </c>
      <c r="L239" s="9" t="b" cm="1">
        <f t="array" ref="L239">INDEX(stable[is_mandatory],MATCH(VALUE(questions[[#This Row],[qno]]),VALUE(stable[qno]),0))</f>
        <v>0</v>
      </c>
      <c r="M239" s="9" t="b" cm="1">
        <f t="array" ref="M239">INDEX(stable[is_automated],MATCH(VALUE(questions[[#This Row],[qno]]),VALUE(stable[qno]),0))</f>
        <v>0</v>
      </c>
      <c r="N239" s="9" t="b" cm="1">
        <f t="array" ref="N239">INDEX(stable[is_free_text],MATCH(VALUE(questions[[#This Row],[qno]]),VALUE(stable[qno]),0))</f>
        <v>1</v>
      </c>
      <c r="O239" s="9" t="b" cm="1">
        <f t="array" ref="O239">INDEX(stable[is_numerical],MATCH(VALUE(questions[[#This Row],[qno]]),VALUE(stable[qno]),0))</f>
        <v>0</v>
      </c>
      <c r="P239" s="32" t="b" cm="1">
        <f t="array" ref="P239">INDEX(stable[is_single_select],MATCH(VALUE(questions[[#This Row],[qno]]),VALUE(stable[qno]),0))</f>
        <v>0</v>
      </c>
      <c r="Q239" s="9" t="b" cm="1">
        <f t="array" ref="Q239">INDEX(stable[is_multi_select],MATCH(VALUE(questions[[#This Row],[qno]]),VALUE(stable[qno]),0))</f>
        <v>0</v>
      </c>
      <c r="R239" s="9" t="b" cm="1">
        <f t="array" ref="R239">INDEX(stable[is_skip_logic],MATCH(VALUE(questions[[#This Row],[qno]]),VALUE(stable[qno]),0))</f>
        <v>1</v>
      </c>
      <c r="S239" s="9" t="str">
        <f>_xlfn.TEXTJOIN(", ",TRUE,questions[[#This Row],[ans_opt_1]:[ans_opt_14]])</f>
        <v/>
      </c>
      <c r="AH239" s="16" t="b">
        <f>INDEX(stable[q_standard],MATCH(questions[[#This Row],[qno]],stable[qno],0))</f>
        <v>0</v>
      </c>
      <c r="AI239" s="16" t="b">
        <f>INDEX(stable[q_living_income],MATCH(questions[[#This Row],[qno]],stable[qno],0))</f>
        <v>1</v>
      </c>
      <c r="AJ239" s="16" t="b">
        <f>INDEX(stable[q_carbon],MATCH(questions[[#This Row],[qno]],stable[qno],0))</f>
        <v>1</v>
      </c>
      <c r="AK239" s="16" t="b">
        <f>INDEX(stable[q_regen_ag],MATCH(questions[[#This Row],[qno]],stable[qno],0))</f>
        <v>0</v>
      </c>
      <c r="AL239" s="16" t="b">
        <f>COUNTIFS(stable[qno],questions[[#This Row],[qno]])=1</f>
        <v>1</v>
      </c>
      <c r="AM239" s="16" t="b">
        <f>OR(questions[[#This Row],[is_fixed]],questions[[#This Row],[is_localized]],questions[[#This Row],[is_supply_chain_dependent]])</f>
        <v>1</v>
      </c>
      <c r="AN239" s="16" t="b">
        <f>COUNTIFS(questions[[#This Row],[is_automated]:[is_multi_select]],TRUE)=1</f>
        <v>1</v>
      </c>
      <c r="AO239" s="16" t="b">
        <f>IF(questions[[#This Row],[is_fixed]],questions[[#This Row],[question]]=INDEX(stable[question],MATCH(questions[[#This Row],[qno]],stable[qno],0)),TRUE)</f>
        <v>1</v>
      </c>
      <c r="AP239" s="16" t="str">
        <f>LEFT(questions[[#This Row],[question]],similarity_range)</f>
        <v>If yes, what was the</v>
      </c>
      <c r="AQ239" s="16" t="str">
        <f>LEFT(INDEX(stable[question],MATCH(questions[[#This Row],[qno]],stable[qno],0)),similarity_range)</f>
        <v>If yes, what was the</v>
      </c>
      <c r="AR239" s="16" t="b">
        <f>questions[[#This Row],[question_first_characters]]=questions[[#This Row],[stability_first_characters]]</f>
        <v>1</v>
      </c>
      <c r="AS239" s="16" t="b">
        <f>IF(OR(questions[[#This Row],[is_single_select]],questions[[#This Row],[is_multi_select]]),NOT(ISBLANK(questions[[#This Row],[answer_opt_combined]])),TRUE)</f>
        <v>1</v>
      </c>
    </row>
    <row r="240" spans="1:45" x14ac:dyDescent="0.25">
      <c r="A240" s="9" t="str">
        <f>_xlfn.TEXTJOIN("_",TRUE,questions[[#This Row],[origin]:[qno]])</f>
        <v>Uganda_Arabica_Sbux_5621</v>
      </c>
      <c r="B240" s="9" t="s">
        <v>511</v>
      </c>
      <c r="C240" s="9" t="s">
        <v>59</v>
      </c>
      <c r="D240" s="9" t="s">
        <v>512</v>
      </c>
      <c r="F240" s="24" t="s">
        <v>228</v>
      </c>
      <c r="G240" s="9" t="s">
        <v>229</v>
      </c>
      <c r="H240" s="9" t="str" cm="1">
        <f t="array" ref="H240">INDEX(stableR[question],MATCH(VALUE(questions[[#This Row],[qno]]),VALUE(stableR[qno]),0))</f>
        <v>What was the quantity used of this second most used pesticide/fungicide/herbicide last year?</v>
      </c>
      <c r="I240" s="9" t="b" cm="1">
        <f t="array" ref="I240">INDEX(stable[is_fixed],MATCH(VALUE(questions[[#This Row],[qno]]),VALUE(stable[qno]),0))</f>
        <v>1</v>
      </c>
      <c r="J240" s="9" t="b" cm="1">
        <f t="array" ref="J240">INDEX(stable[is_localized],MATCH(VALUE(questions[[#This Row],[qno]]),VALUE(stable[qno]),0))</f>
        <v>0</v>
      </c>
      <c r="K240" s="9" t="b" cm="1">
        <f t="array" ref="K240">INDEX(stable[is_supply_chain_dependent],MATCH(VALUE(questions[[#This Row],[qno]]),VALUE(stable[qno]),0))</f>
        <v>0</v>
      </c>
      <c r="L240" s="9" t="b" cm="1">
        <f t="array" ref="L240">INDEX(stable[is_mandatory],MATCH(VALUE(questions[[#This Row],[qno]]),VALUE(stable[qno]),0))</f>
        <v>0</v>
      </c>
      <c r="M240" s="9" t="b" cm="1">
        <f t="array" ref="M240">INDEX(stable[is_automated],MATCH(VALUE(questions[[#This Row],[qno]]),VALUE(stable[qno]),0))</f>
        <v>0</v>
      </c>
      <c r="N240" s="9" t="b" cm="1">
        <f t="array" ref="N240">INDEX(stable[is_free_text],MATCH(VALUE(questions[[#This Row],[qno]]),VALUE(stable[qno]),0))</f>
        <v>0</v>
      </c>
      <c r="O240" s="9" t="b" cm="1">
        <f t="array" ref="O240">INDEX(stable[is_numerical],MATCH(VALUE(questions[[#This Row],[qno]]),VALUE(stable[qno]),0))</f>
        <v>1</v>
      </c>
      <c r="P240" s="32" t="b" cm="1">
        <f t="array" ref="P240">INDEX(stable[is_single_select],MATCH(VALUE(questions[[#This Row],[qno]]),VALUE(stable[qno]),0))</f>
        <v>0</v>
      </c>
      <c r="Q240" s="9" t="b" cm="1">
        <f t="array" ref="Q240">INDEX(stable[is_multi_select],MATCH(VALUE(questions[[#This Row],[qno]]),VALUE(stable[qno]),0))</f>
        <v>0</v>
      </c>
      <c r="R240" s="9" t="b" cm="1">
        <f t="array" ref="R240">INDEX(stable[is_skip_logic],MATCH(VALUE(questions[[#This Row],[qno]]),VALUE(stable[qno]),0))</f>
        <v>1</v>
      </c>
      <c r="S240" s="9" t="str">
        <f>_xlfn.TEXTJOIN(", ",TRUE,questions[[#This Row],[ans_opt_1]:[ans_opt_14]])</f>
        <v/>
      </c>
      <c r="AH240" s="16" t="b">
        <f>INDEX(stable[q_standard],MATCH(questions[[#This Row],[qno]],stable[qno],0))</f>
        <v>0</v>
      </c>
      <c r="AI240" s="16" t="b">
        <f>INDEX(stable[q_living_income],MATCH(questions[[#This Row],[qno]],stable[qno],0))</f>
        <v>1</v>
      </c>
      <c r="AJ240" s="16" t="b">
        <f>INDEX(stable[q_carbon],MATCH(questions[[#This Row],[qno]],stable[qno],0))</f>
        <v>1</v>
      </c>
      <c r="AK240" s="16" t="b">
        <f>INDEX(stable[q_regen_ag],MATCH(questions[[#This Row],[qno]],stable[qno],0))</f>
        <v>0</v>
      </c>
      <c r="AL240" s="16" t="b">
        <f>COUNTIFS(stable[qno],questions[[#This Row],[qno]])=1</f>
        <v>1</v>
      </c>
      <c r="AM240" s="16" t="b">
        <f>OR(questions[[#This Row],[is_fixed]],questions[[#This Row],[is_localized]],questions[[#This Row],[is_supply_chain_dependent]])</f>
        <v>1</v>
      </c>
      <c r="AN240" s="16" t="b">
        <f>COUNTIFS(questions[[#This Row],[is_automated]:[is_multi_select]],TRUE)=1</f>
        <v>1</v>
      </c>
      <c r="AO240" s="16" t="b">
        <f>IF(questions[[#This Row],[is_fixed]],questions[[#This Row],[question]]=INDEX(stable[question],MATCH(questions[[#This Row],[qno]],stable[qno],0)),TRUE)</f>
        <v>1</v>
      </c>
      <c r="AP240" s="16" t="str">
        <f>LEFT(questions[[#This Row],[question]],similarity_range)</f>
        <v>What was the quantit</v>
      </c>
      <c r="AQ240" s="16" t="str">
        <f>LEFT(INDEX(stable[question],MATCH(questions[[#This Row],[qno]],stable[qno],0)),similarity_range)</f>
        <v>What was the quantit</v>
      </c>
      <c r="AR240" s="16" t="b">
        <f>questions[[#This Row],[question_first_characters]]=questions[[#This Row],[stability_first_characters]]</f>
        <v>1</v>
      </c>
      <c r="AS240" s="16" t="b">
        <f>IF(OR(questions[[#This Row],[is_single_select]],questions[[#This Row],[is_multi_select]]),NOT(ISBLANK(questions[[#This Row],[answer_opt_combined]])),TRUE)</f>
        <v>1</v>
      </c>
    </row>
    <row r="241" spans="1:45" s="77" customFormat="1" x14ac:dyDescent="0.25">
      <c r="A241" s="77" t="str">
        <f>_xlfn.TEXTJOIN("_",TRUE,questions[[#This Row],[origin]:[qno]])</f>
        <v>Uganda_Arabica_Sbux_5622</v>
      </c>
      <c r="B241" s="77" t="s">
        <v>511</v>
      </c>
      <c r="C241" s="77" t="s">
        <v>59</v>
      </c>
      <c r="D241" s="77" t="s">
        <v>512</v>
      </c>
      <c r="F241" s="104" t="s">
        <v>230</v>
      </c>
      <c r="G241" s="78" t="s">
        <v>231</v>
      </c>
      <c r="H241" s="9" t="str" cm="1">
        <f t="array" ref="H241">INDEX(stableR[question],MATCH(VALUE(questions[[#This Row],[qno]]),VALUE(stableR[qno]),0))</f>
        <v>What was the unit of this second most used pesticide/fungicide/herbicide?</v>
      </c>
      <c r="I241" s="9" t="b" cm="1">
        <f t="array" ref="I241">INDEX(stable[is_fixed],MATCH(VALUE(questions[[#This Row],[qno]]),VALUE(stable[qno]),0))</f>
        <v>1</v>
      </c>
      <c r="J241" s="9" t="b" cm="1">
        <f t="array" ref="J241">INDEX(stable[is_localized],MATCH(VALUE(questions[[#This Row],[qno]]),VALUE(stable[qno]),0))</f>
        <v>0</v>
      </c>
      <c r="K241" s="9" t="b" cm="1">
        <f t="array" ref="K241">INDEX(stable[is_supply_chain_dependent],MATCH(VALUE(questions[[#This Row],[qno]]),VALUE(stable[qno]),0))</f>
        <v>0</v>
      </c>
      <c r="L241" s="9" t="b" cm="1">
        <f t="array" ref="L241">INDEX(stable[is_mandatory],MATCH(VALUE(questions[[#This Row],[qno]]),VALUE(stable[qno]),0))</f>
        <v>0</v>
      </c>
      <c r="M241" s="9" t="b" cm="1">
        <f t="array" ref="M241">INDEX(stable[is_automated],MATCH(VALUE(questions[[#This Row],[qno]]),VALUE(stable[qno]),0))</f>
        <v>0</v>
      </c>
      <c r="N241" s="9" t="b" cm="1">
        <f t="array" ref="N241">INDEX(stable[is_free_text],MATCH(VALUE(questions[[#This Row],[qno]]),VALUE(stable[qno]),0))</f>
        <v>0</v>
      </c>
      <c r="O241" s="9" t="b" cm="1">
        <f t="array" ref="O241">INDEX(stable[is_numerical],MATCH(VALUE(questions[[#This Row],[qno]]),VALUE(stable[qno]),0))</f>
        <v>0</v>
      </c>
      <c r="P241" s="103" t="b" cm="1">
        <f t="array" ref="P241">INDEX(stable[is_single_select],MATCH(VALUE(questions[[#This Row],[qno]]),VALUE(stable[qno]),0))</f>
        <v>1</v>
      </c>
      <c r="Q241" s="77" t="b" cm="1">
        <f t="array" ref="Q241">INDEX(stable[is_multi_select],MATCH(VALUE(questions[[#This Row],[qno]]),VALUE(stable[qno]),0))</f>
        <v>0</v>
      </c>
      <c r="R241" s="77" t="b" cm="1">
        <f t="array" ref="R241">INDEX(stable[is_skip_logic],MATCH(VALUE(questions[[#This Row],[qno]]),VALUE(stable[qno]),0))</f>
        <v>1</v>
      </c>
      <c r="S241" s="77" t="str">
        <f>_xlfn.TEXTJOIN(", ",TRUE,questions[[#This Row],[ans_opt_1]:[ans_opt_14]])</f>
        <v>Kgs, Grams, Liters, Mililiters</v>
      </c>
      <c r="T241" s="77" t="s">
        <v>222</v>
      </c>
      <c r="U241" s="77" t="s">
        <v>223</v>
      </c>
      <c r="V241" s="77" t="s">
        <v>224</v>
      </c>
      <c r="W241" s="77" t="s">
        <v>225</v>
      </c>
      <c r="AH241" s="98" t="b">
        <f>INDEX(stable[q_standard],MATCH(questions[[#This Row],[qno]],stable[qno],0))</f>
        <v>0</v>
      </c>
      <c r="AI241" s="98" t="b">
        <f>INDEX(stable[q_living_income],MATCH(questions[[#This Row],[qno]],stable[qno],0))</f>
        <v>1</v>
      </c>
      <c r="AJ241" s="98" t="b">
        <f>INDEX(stable[q_carbon],MATCH(questions[[#This Row],[qno]],stable[qno],0))</f>
        <v>1</v>
      </c>
      <c r="AK241" s="98" t="b">
        <f>INDEX(stable[q_regen_ag],MATCH(questions[[#This Row],[qno]],stable[qno],0))</f>
        <v>0</v>
      </c>
      <c r="AL241" s="98" t="b">
        <f>COUNTIFS(stable[qno],questions[[#This Row],[qno]])=1</f>
        <v>1</v>
      </c>
      <c r="AM241" s="98" t="b">
        <f>OR(questions[[#This Row],[is_fixed]],questions[[#This Row],[is_localized]],questions[[#This Row],[is_supply_chain_dependent]])</f>
        <v>1</v>
      </c>
      <c r="AN241" s="98" t="b">
        <f>COUNTIFS(questions[[#This Row],[is_automated]:[is_multi_select]],TRUE)=1</f>
        <v>1</v>
      </c>
      <c r="AO241" s="98" t="b">
        <f>IF(questions[[#This Row],[is_fixed]],questions[[#This Row],[question]]=INDEX(stable[question],MATCH(questions[[#This Row],[qno]],stable[qno],0)),TRUE)</f>
        <v>1</v>
      </c>
      <c r="AP241" s="98" t="str">
        <f>LEFT(questions[[#This Row],[question]],similarity_range)</f>
        <v>What was the unit of</v>
      </c>
      <c r="AQ241" s="98" t="str">
        <f>LEFT(INDEX(stable[question],MATCH(questions[[#This Row],[qno]],stable[qno],0)),similarity_range)</f>
        <v>What was the unit of</v>
      </c>
      <c r="AR241" s="98" t="b">
        <f>questions[[#This Row],[question_first_characters]]=questions[[#This Row],[stability_first_characters]]</f>
        <v>1</v>
      </c>
      <c r="AS241" s="98" t="b">
        <f>IF(OR(questions[[#This Row],[is_single_select]],questions[[#This Row],[is_multi_select]]),NOT(ISBLANK(questions[[#This Row],[answer_opt_combined]])),TRUE)</f>
        <v>1</v>
      </c>
    </row>
    <row r="242" spans="1:45" x14ac:dyDescent="0.25">
      <c r="A242" s="9" t="str">
        <f>_xlfn.TEXTJOIN("_",TRUE,questions[[#This Row],[origin]:[qno]])</f>
        <v>Uganda_Arabica_Sbux_5630</v>
      </c>
      <c r="B242" s="9" t="s">
        <v>511</v>
      </c>
      <c r="C242" s="9" t="s">
        <v>59</v>
      </c>
      <c r="D242" s="9" t="s">
        <v>512</v>
      </c>
      <c r="F242" s="24" t="s">
        <v>232</v>
      </c>
      <c r="G242" s="9" t="s">
        <v>233</v>
      </c>
      <c r="H242" s="9" t="str" cm="1">
        <f t="array" ref="H242">INDEX(stableR[question],MATCH(VALUE(questions[[#This Row],[qno]]),VALUE(stableR[qno]),0))</f>
        <v>What was the name of the pesticide/fungicide or herbicide that you used third most, last year?</v>
      </c>
      <c r="I242" s="9" t="b" cm="1">
        <f t="array" ref="I242">INDEX(stable[is_fixed],MATCH(VALUE(questions[[#This Row],[qno]]),VALUE(stable[qno]),0))</f>
        <v>1</v>
      </c>
      <c r="J242" s="9" t="b" cm="1">
        <f t="array" ref="J242">INDEX(stable[is_localized],MATCH(VALUE(questions[[#This Row],[qno]]),VALUE(stable[qno]),0))</f>
        <v>0</v>
      </c>
      <c r="K242" s="9" t="b" cm="1">
        <f t="array" ref="K242">INDEX(stable[is_supply_chain_dependent],MATCH(VALUE(questions[[#This Row],[qno]]),VALUE(stable[qno]),0))</f>
        <v>0</v>
      </c>
      <c r="L242" s="9" t="b" cm="1">
        <f t="array" ref="L242">INDEX(stable[is_mandatory],MATCH(VALUE(questions[[#This Row],[qno]]),VALUE(stable[qno]),0))</f>
        <v>0</v>
      </c>
      <c r="M242" s="9" t="b" cm="1">
        <f t="array" ref="M242">INDEX(stable[is_automated],MATCH(VALUE(questions[[#This Row],[qno]]),VALUE(stable[qno]),0))</f>
        <v>0</v>
      </c>
      <c r="N242" s="9" t="b" cm="1">
        <f t="array" ref="N242">INDEX(stable[is_free_text],MATCH(VALUE(questions[[#This Row],[qno]]),VALUE(stable[qno]),0))</f>
        <v>1</v>
      </c>
      <c r="O242" s="9" t="b" cm="1">
        <f t="array" ref="O242">INDEX(stable[is_numerical],MATCH(VALUE(questions[[#This Row],[qno]]),VALUE(stable[qno]),0))</f>
        <v>0</v>
      </c>
      <c r="P242" s="32" t="b" cm="1">
        <f t="array" ref="P242">INDEX(stable[is_single_select],MATCH(VALUE(questions[[#This Row],[qno]]),VALUE(stable[qno]),0))</f>
        <v>0</v>
      </c>
      <c r="Q242" s="9" t="b" cm="1">
        <f t="array" ref="Q242">INDEX(stable[is_multi_select],MATCH(VALUE(questions[[#This Row],[qno]]),VALUE(stable[qno]),0))</f>
        <v>0</v>
      </c>
      <c r="R242" s="9" t="b" cm="1">
        <f t="array" ref="R242">INDEX(stable[is_skip_logic],MATCH(VALUE(questions[[#This Row],[qno]]),VALUE(stable[qno]),0))</f>
        <v>1</v>
      </c>
      <c r="S242" s="9" t="str">
        <f>_xlfn.TEXTJOIN(", ",TRUE,questions[[#This Row],[ans_opt_1]:[ans_opt_14]])</f>
        <v/>
      </c>
      <c r="AH242" s="16" t="b">
        <f>INDEX(stable[q_standard],MATCH(questions[[#This Row],[qno]],stable[qno],0))</f>
        <v>0</v>
      </c>
      <c r="AI242" s="16" t="b">
        <f>INDEX(stable[q_living_income],MATCH(questions[[#This Row],[qno]],stable[qno],0))</f>
        <v>1</v>
      </c>
      <c r="AJ242" s="16" t="b">
        <f>INDEX(stable[q_carbon],MATCH(questions[[#This Row],[qno]],stable[qno],0))</f>
        <v>1</v>
      </c>
      <c r="AK242" s="16" t="b">
        <f>INDEX(stable[q_regen_ag],MATCH(questions[[#This Row],[qno]],stable[qno],0))</f>
        <v>0</v>
      </c>
      <c r="AL242" s="16" t="b">
        <f>COUNTIFS(stable[qno],questions[[#This Row],[qno]])=1</f>
        <v>1</v>
      </c>
      <c r="AM242" s="16" t="b">
        <f>OR(questions[[#This Row],[is_fixed]],questions[[#This Row],[is_localized]],questions[[#This Row],[is_supply_chain_dependent]])</f>
        <v>1</v>
      </c>
      <c r="AN242" s="16" t="b">
        <f>COUNTIFS(questions[[#This Row],[is_automated]:[is_multi_select]],TRUE)=1</f>
        <v>1</v>
      </c>
      <c r="AO242" s="16" t="b">
        <f>IF(questions[[#This Row],[is_fixed]],questions[[#This Row],[question]]=INDEX(stable[question],MATCH(questions[[#This Row],[qno]],stable[qno],0)),TRUE)</f>
        <v>1</v>
      </c>
      <c r="AP242" s="16" t="str">
        <f>LEFT(questions[[#This Row],[question]],similarity_range)</f>
        <v>If yes, what was the</v>
      </c>
      <c r="AQ242" s="16" t="str">
        <f>LEFT(INDEX(stable[question],MATCH(questions[[#This Row],[qno]],stable[qno],0)),similarity_range)</f>
        <v>If yes, what was the</v>
      </c>
      <c r="AR242" s="16" t="b">
        <f>questions[[#This Row],[question_first_characters]]=questions[[#This Row],[stability_first_characters]]</f>
        <v>1</v>
      </c>
      <c r="AS242" s="16" t="b">
        <f>IF(OR(questions[[#This Row],[is_single_select]],questions[[#This Row],[is_multi_select]]),NOT(ISBLANK(questions[[#This Row],[answer_opt_combined]])),TRUE)</f>
        <v>1</v>
      </c>
    </row>
    <row r="243" spans="1:45" x14ac:dyDescent="0.25">
      <c r="A243" s="9" t="str">
        <f>_xlfn.TEXTJOIN("_",TRUE,questions[[#This Row],[origin]:[qno]])</f>
        <v>Uganda_Arabica_Sbux_5631</v>
      </c>
      <c r="B243" s="9" t="s">
        <v>511</v>
      </c>
      <c r="C243" s="9" t="s">
        <v>59</v>
      </c>
      <c r="D243" s="9" t="s">
        <v>512</v>
      </c>
      <c r="F243" s="24" t="s">
        <v>234</v>
      </c>
      <c r="G243" s="9" t="s">
        <v>235</v>
      </c>
      <c r="H243" s="9" t="str" cm="1">
        <f t="array" ref="H243">INDEX(stableR[question],MATCH(VALUE(questions[[#This Row],[qno]]),VALUE(stableR[qno]),0))</f>
        <v>What was the quantity used of this third most used pesticide/fungicide/herbicide last year?</v>
      </c>
      <c r="I243" s="9" t="b" cm="1">
        <f t="array" ref="I243">INDEX(stable[is_fixed],MATCH(VALUE(questions[[#This Row],[qno]]),VALUE(stable[qno]),0))</f>
        <v>1</v>
      </c>
      <c r="J243" s="9" t="b" cm="1">
        <f t="array" ref="J243">INDEX(stable[is_localized],MATCH(VALUE(questions[[#This Row],[qno]]),VALUE(stable[qno]),0))</f>
        <v>0</v>
      </c>
      <c r="K243" s="9" t="b" cm="1">
        <f t="array" ref="K243">INDEX(stable[is_supply_chain_dependent],MATCH(VALUE(questions[[#This Row],[qno]]),VALUE(stable[qno]),0))</f>
        <v>0</v>
      </c>
      <c r="L243" s="9" t="b" cm="1">
        <f t="array" ref="L243">INDEX(stable[is_mandatory],MATCH(VALUE(questions[[#This Row],[qno]]),VALUE(stable[qno]),0))</f>
        <v>0</v>
      </c>
      <c r="M243" s="9" t="b" cm="1">
        <f t="array" ref="M243">INDEX(stable[is_automated],MATCH(VALUE(questions[[#This Row],[qno]]),VALUE(stable[qno]),0))</f>
        <v>0</v>
      </c>
      <c r="N243" s="9" t="b" cm="1">
        <f t="array" ref="N243">INDEX(stable[is_free_text],MATCH(VALUE(questions[[#This Row],[qno]]),VALUE(stable[qno]),0))</f>
        <v>0</v>
      </c>
      <c r="O243" s="9" t="b" cm="1">
        <f t="array" ref="O243">INDEX(stable[is_numerical],MATCH(VALUE(questions[[#This Row],[qno]]),VALUE(stable[qno]),0))</f>
        <v>1</v>
      </c>
      <c r="P243" s="32" t="b" cm="1">
        <f t="array" ref="P243">INDEX(stable[is_single_select],MATCH(VALUE(questions[[#This Row],[qno]]),VALUE(stable[qno]),0))</f>
        <v>0</v>
      </c>
      <c r="Q243" s="9" t="b" cm="1">
        <f t="array" ref="Q243">INDEX(stable[is_multi_select],MATCH(VALUE(questions[[#This Row],[qno]]),VALUE(stable[qno]),0))</f>
        <v>0</v>
      </c>
      <c r="R243" s="9" t="b" cm="1">
        <f t="array" ref="R243">INDEX(stable[is_skip_logic],MATCH(VALUE(questions[[#This Row],[qno]]),VALUE(stable[qno]),0))</f>
        <v>1</v>
      </c>
      <c r="S243" s="9" t="str">
        <f>_xlfn.TEXTJOIN(", ",TRUE,questions[[#This Row],[ans_opt_1]:[ans_opt_14]])</f>
        <v/>
      </c>
      <c r="AH243" s="16" t="b">
        <f>INDEX(stable[q_standard],MATCH(questions[[#This Row],[qno]],stable[qno],0))</f>
        <v>0</v>
      </c>
      <c r="AI243" s="16" t="b">
        <f>INDEX(stable[q_living_income],MATCH(questions[[#This Row],[qno]],stable[qno],0))</f>
        <v>1</v>
      </c>
      <c r="AJ243" s="16" t="b">
        <f>INDEX(stable[q_carbon],MATCH(questions[[#This Row],[qno]],stable[qno],0))</f>
        <v>1</v>
      </c>
      <c r="AK243" s="16" t="b">
        <f>INDEX(stable[q_regen_ag],MATCH(questions[[#This Row],[qno]],stable[qno],0))</f>
        <v>0</v>
      </c>
      <c r="AL243" s="16" t="b">
        <f>COUNTIFS(stable[qno],questions[[#This Row],[qno]])=1</f>
        <v>1</v>
      </c>
      <c r="AM243" s="16" t="b">
        <f>OR(questions[[#This Row],[is_fixed]],questions[[#This Row],[is_localized]],questions[[#This Row],[is_supply_chain_dependent]])</f>
        <v>1</v>
      </c>
      <c r="AN243" s="16" t="b">
        <f>COUNTIFS(questions[[#This Row],[is_automated]:[is_multi_select]],TRUE)=1</f>
        <v>1</v>
      </c>
      <c r="AO243" s="16" t="b">
        <f>IF(questions[[#This Row],[is_fixed]],questions[[#This Row],[question]]=INDEX(stable[question],MATCH(questions[[#This Row],[qno]],stable[qno],0)),TRUE)</f>
        <v>1</v>
      </c>
      <c r="AP243" s="16" t="str">
        <f>LEFT(questions[[#This Row],[question]],similarity_range)</f>
        <v>What was the quantit</v>
      </c>
      <c r="AQ243" s="16" t="str">
        <f>LEFT(INDEX(stable[question],MATCH(questions[[#This Row],[qno]],stable[qno],0)),similarity_range)</f>
        <v>What was the quantit</v>
      </c>
      <c r="AR243" s="16" t="b">
        <f>questions[[#This Row],[question_first_characters]]=questions[[#This Row],[stability_first_characters]]</f>
        <v>1</v>
      </c>
      <c r="AS243" s="16" t="b">
        <f>IF(OR(questions[[#This Row],[is_single_select]],questions[[#This Row],[is_multi_select]]),NOT(ISBLANK(questions[[#This Row],[answer_opt_combined]])),TRUE)</f>
        <v>1</v>
      </c>
    </row>
    <row r="244" spans="1:45" s="77" customFormat="1" x14ac:dyDescent="0.25">
      <c r="A244" s="77" t="str">
        <f>_xlfn.TEXTJOIN("_",TRUE,questions[[#This Row],[origin]:[qno]])</f>
        <v>Uganda_Arabica_Sbux_5632</v>
      </c>
      <c r="B244" s="77" t="s">
        <v>511</v>
      </c>
      <c r="C244" s="77" t="s">
        <v>59</v>
      </c>
      <c r="D244" s="77" t="s">
        <v>512</v>
      </c>
      <c r="F244" s="104" t="s">
        <v>236</v>
      </c>
      <c r="G244" s="78" t="s">
        <v>237</v>
      </c>
      <c r="H244" s="9" t="str" cm="1">
        <f t="array" ref="H244">INDEX(stableR[question],MATCH(VALUE(questions[[#This Row],[qno]]),VALUE(stableR[qno]),0))</f>
        <v>What was the unit of this third most used pesticide/fungicide/herbicide</v>
      </c>
      <c r="I244" s="9" t="b" cm="1">
        <f t="array" ref="I244">INDEX(stable[is_fixed],MATCH(VALUE(questions[[#This Row],[qno]]),VALUE(stable[qno]),0))</f>
        <v>1</v>
      </c>
      <c r="J244" s="9" t="b" cm="1">
        <f t="array" ref="J244">INDEX(stable[is_localized],MATCH(VALUE(questions[[#This Row],[qno]]),VALUE(stable[qno]),0))</f>
        <v>0</v>
      </c>
      <c r="K244" s="9" t="b" cm="1">
        <f t="array" ref="K244">INDEX(stable[is_supply_chain_dependent],MATCH(VALUE(questions[[#This Row],[qno]]),VALUE(stable[qno]),0))</f>
        <v>0</v>
      </c>
      <c r="L244" s="9" t="b" cm="1">
        <f t="array" ref="L244">INDEX(stable[is_mandatory],MATCH(VALUE(questions[[#This Row],[qno]]),VALUE(stable[qno]),0))</f>
        <v>0</v>
      </c>
      <c r="M244" s="9" t="b" cm="1">
        <f t="array" ref="M244">INDEX(stable[is_automated],MATCH(VALUE(questions[[#This Row],[qno]]),VALUE(stable[qno]),0))</f>
        <v>0</v>
      </c>
      <c r="N244" s="9" t="b" cm="1">
        <f t="array" ref="N244">INDEX(stable[is_free_text],MATCH(VALUE(questions[[#This Row],[qno]]),VALUE(stable[qno]),0))</f>
        <v>0</v>
      </c>
      <c r="O244" s="9" t="b" cm="1">
        <f t="array" ref="O244">INDEX(stable[is_numerical],MATCH(VALUE(questions[[#This Row],[qno]]),VALUE(stable[qno]),0))</f>
        <v>0</v>
      </c>
      <c r="P244" s="103" t="b" cm="1">
        <f t="array" ref="P244">INDEX(stable[is_single_select],MATCH(VALUE(questions[[#This Row],[qno]]),VALUE(stable[qno]),0))</f>
        <v>1</v>
      </c>
      <c r="Q244" s="77" t="b" cm="1">
        <f t="array" ref="Q244">INDEX(stable[is_multi_select],MATCH(VALUE(questions[[#This Row],[qno]]),VALUE(stable[qno]),0))</f>
        <v>0</v>
      </c>
      <c r="R244" s="77" t="b" cm="1">
        <f t="array" ref="R244">INDEX(stable[is_skip_logic],MATCH(VALUE(questions[[#This Row],[qno]]),VALUE(stable[qno]),0))</f>
        <v>1</v>
      </c>
      <c r="S244" s="77" t="str">
        <f>_xlfn.TEXTJOIN(", ",TRUE,questions[[#This Row],[ans_opt_1]:[ans_opt_14]])</f>
        <v>Kgs, Grams, Liters, Mililiters</v>
      </c>
      <c r="T244" s="77" t="s">
        <v>222</v>
      </c>
      <c r="U244" s="77" t="s">
        <v>223</v>
      </c>
      <c r="V244" s="77" t="s">
        <v>224</v>
      </c>
      <c r="W244" s="77" t="s">
        <v>225</v>
      </c>
      <c r="AH244" s="98" t="b">
        <f>INDEX(stable[q_standard],MATCH(questions[[#This Row],[qno]],stable[qno],0))</f>
        <v>0</v>
      </c>
      <c r="AI244" s="98" t="b">
        <f>INDEX(stable[q_living_income],MATCH(questions[[#This Row],[qno]],stable[qno],0))</f>
        <v>1</v>
      </c>
      <c r="AJ244" s="98" t="b">
        <f>INDEX(stable[q_carbon],MATCH(questions[[#This Row],[qno]],stable[qno],0))</f>
        <v>1</v>
      </c>
      <c r="AK244" s="98" t="b">
        <f>INDEX(stable[q_regen_ag],MATCH(questions[[#This Row],[qno]],stable[qno],0))</f>
        <v>0</v>
      </c>
      <c r="AL244" s="98" t="b">
        <f>COUNTIFS(stable[qno],questions[[#This Row],[qno]])=1</f>
        <v>1</v>
      </c>
      <c r="AM244" s="98" t="b">
        <f>OR(questions[[#This Row],[is_fixed]],questions[[#This Row],[is_localized]],questions[[#This Row],[is_supply_chain_dependent]])</f>
        <v>1</v>
      </c>
      <c r="AN244" s="98" t="b">
        <f>COUNTIFS(questions[[#This Row],[is_automated]:[is_multi_select]],TRUE)=1</f>
        <v>1</v>
      </c>
      <c r="AO244" s="98" t="b">
        <f>IF(questions[[#This Row],[is_fixed]],questions[[#This Row],[question]]=INDEX(stable[question],MATCH(questions[[#This Row],[qno]],stable[qno],0)),TRUE)</f>
        <v>1</v>
      </c>
      <c r="AP244" s="98" t="str">
        <f>LEFT(questions[[#This Row],[question]],similarity_range)</f>
        <v>What was the unit of</v>
      </c>
      <c r="AQ244" s="98" t="str">
        <f>LEFT(INDEX(stable[question],MATCH(questions[[#This Row],[qno]],stable[qno],0)),similarity_range)</f>
        <v>What was the unit of</v>
      </c>
      <c r="AR244" s="98" t="b">
        <f>questions[[#This Row],[question_first_characters]]=questions[[#This Row],[stability_first_characters]]</f>
        <v>1</v>
      </c>
      <c r="AS244" s="98" t="b">
        <f>IF(OR(questions[[#This Row],[is_single_select]],questions[[#This Row],[is_multi_select]]),NOT(ISBLANK(questions[[#This Row],[answer_opt_combined]])),TRUE)</f>
        <v>1</v>
      </c>
    </row>
    <row r="245" spans="1:45" s="77" customFormat="1" x14ac:dyDescent="0.25">
      <c r="A245" s="77" t="str">
        <f>_xlfn.TEXTJOIN("_",TRUE,questions[[#This Row],[origin]:[qno]])</f>
        <v>Uganda_Arabica_Sbux_6000</v>
      </c>
      <c r="B245" s="77" t="s">
        <v>511</v>
      </c>
      <c r="C245" s="77" t="s">
        <v>59</v>
      </c>
      <c r="D245" s="77" t="s">
        <v>512</v>
      </c>
      <c r="F245" s="104" t="s">
        <v>238</v>
      </c>
      <c r="G245" s="78" t="s">
        <v>239</v>
      </c>
      <c r="H245" s="9" t="str" cm="1">
        <f t="array" ref="H245">INDEX(stableR[question],MATCH(VALUE(questions[[#This Row],[qno]]),VALUE(stableR[qno]),0))</f>
        <v>Did you hire any permanent laborer's, for your coffee plots, last year?</v>
      </c>
      <c r="I245" s="9" t="b" cm="1">
        <f t="array" ref="I245">INDEX(stable[is_fixed],MATCH(VALUE(questions[[#This Row],[qno]]),VALUE(stable[qno]),0))</f>
        <v>1</v>
      </c>
      <c r="J245" s="9" t="b" cm="1">
        <f t="array" ref="J245">INDEX(stable[is_localized],MATCH(VALUE(questions[[#This Row],[qno]]),VALUE(stable[qno]),0))</f>
        <v>0</v>
      </c>
      <c r="K245" s="9" t="b" cm="1">
        <f t="array" ref="K245">INDEX(stable[is_supply_chain_dependent],MATCH(VALUE(questions[[#This Row],[qno]]),VALUE(stable[qno]),0))</f>
        <v>0</v>
      </c>
      <c r="L245" s="9" t="b" cm="1">
        <f t="array" ref="L245">INDEX(stable[is_mandatory],MATCH(VALUE(questions[[#This Row],[qno]]),VALUE(stable[qno]),0))</f>
        <v>1</v>
      </c>
      <c r="M245" s="9" t="b" cm="1">
        <f t="array" ref="M245">INDEX(stable[is_automated],MATCH(VALUE(questions[[#This Row],[qno]]),VALUE(stable[qno]),0))</f>
        <v>0</v>
      </c>
      <c r="N245" s="9" t="b" cm="1">
        <f t="array" ref="N245">INDEX(stable[is_free_text],MATCH(VALUE(questions[[#This Row],[qno]]),VALUE(stable[qno]),0))</f>
        <v>0</v>
      </c>
      <c r="O245" s="9" t="b" cm="1">
        <f t="array" ref="O245">INDEX(stable[is_numerical],MATCH(VALUE(questions[[#This Row],[qno]]),VALUE(stable[qno]),0))</f>
        <v>0</v>
      </c>
      <c r="P245" s="103" t="b" cm="1">
        <f t="array" ref="P245">INDEX(stable[is_single_select],MATCH(VALUE(questions[[#This Row],[qno]]),VALUE(stable[qno]),0))</f>
        <v>1</v>
      </c>
      <c r="Q245" s="77" t="b" cm="1">
        <f t="array" ref="Q245">INDEX(stable[is_multi_select],MATCH(VALUE(questions[[#This Row],[qno]]),VALUE(stable[qno]),0))</f>
        <v>0</v>
      </c>
      <c r="R245" s="77" t="b" cm="1">
        <f t="array" ref="R245">INDEX(stable[is_skip_logic],MATCH(VALUE(questions[[#This Row],[qno]]),VALUE(stable[qno]),0))</f>
        <v>1</v>
      </c>
      <c r="S245" s="77" t="str">
        <f>_xlfn.TEXTJOIN(", ",TRUE,questions[[#This Row],[ans_opt_1]:[ans_opt_14]])</f>
        <v>Yes, No</v>
      </c>
      <c r="T245" s="77" t="s">
        <v>149</v>
      </c>
      <c r="U245" s="77" t="s">
        <v>119</v>
      </c>
      <c r="AH245" s="98" t="b">
        <f>INDEX(stable[q_standard],MATCH(questions[[#This Row],[qno]],stable[qno],0))</f>
        <v>0</v>
      </c>
      <c r="AI245" s="98" t="b">
        <f>INDEX(stable[q_living_income],MATCH(questions[[#This Row],[qno]],stable[qno],0))</f>
        <v>1</v>
      </c>
      <c r="AJ245" s="98" t="b">
        <f>INDEX(stable[q_carbon],MATCH(questions[[#This Row],[qno]],stable[qno],0))</f>
        <v>0</v>
      </c>
      <c r="AK245" s="98" t="b">
        <f>INDEX(stable[q_regen_ag],MATCH(questions[[#This Row],[qno]],stable[qno],0))</f>
        <v>0</v>
      </c>
      <c r="AL245" s="98" t="b">
        <f>COUNTIFS(stable[qno],questions[[#This Row],[qno]])=1</f>
        <v>1</v>
      </c>
      <c r="AM245" s="98" t="b">
        <f>OR(questions[[#This Row],[is_fixed]],questions[[#This Row],[is_localized]],questions[[#This Row],[is_supply_chain_dependent]])</f>
        <v>1</v>
      </c>
      <c r="AN245" s="98" t="b">
        <f>COUNTIFS(questions[[#This Row],[is_automated]:[is_multi_select]],TRUE)=1</f>
        <v>1</v>
      </c>
      <c r="AO245" s="98" t="b">
        <f>IF(questions[[#This Row],[is_fixed]],questions[[#This Row],[question]]=INDEX(stable[question],MATCH(questions[[#This Row],[qno]],stable[qno],0)),TRUE)</f>
        <v>1</v>
      </c>
      <c r="AP245" s="98" t="str">
        <f>LEFT(questions[[#This Row],[question]],similarity_range)</f>
        <v>Did you hire any per</v>
      </c>
      <c r="AQ245" s="98" t="str">
        <f>LEFT(INDEX(stable[question],MATCH(questions[[#This Row],[qno]],stable[qno],0)),similarity_range)</f>
        <v>Did you hire any per</v>
      </c>
      <c r="AR245" s="98" t="b">
        <f>questions[[#This Row],[question_first_characters]]=questions[[#This Row],[stability_first_characters]]</f>
        <v>1</v>
      </c>
      <c r="AS245" s="98" t="b">
        <f>IF(OR(questions[[#This Row],[is_single_select]],questions[[#This Row],[is_multi_select]]),NOT(ISBLANK(questions[[#This Row],[answer_opt_combined]])),TRUE)</f>
        <v>1</v>
      </c>
    </row>
    <row r="246" spans="1:45" x14ac:dyDescent="0.25">
      <c r="A246" s="9" t="str">
        <f>_xlfn.TEXTJOIN("_",TRUE,questions[[#This Row],[origin]:[qno]])</f>
        <v>Uganda_Arabica_Sbux_6001</v>
      </c>
      <c r="B246" s="9" t="s">
        <v>511</v>
      </c>
      <c r="C246" s="9" t="s">
        <v>59</v>
      </c>
      <c r="D246" s="9" t="s">
        <v>512</v>
      </c>
      <c r="F246" s="24" t="s">
        <v>240</v>
      </c>
      <c r="G246" s="15" t="s">
        <v>241</v>
      </c>
      <c r="H246" s="9" t="str" cm="1">
        <f t="array" ref="H246">INDEX(stableR[question],MATCH(VALUE(questions[[#This Row],[qno]]),VALUE(stableR[qno]),0))</f>
        <v>How many people did you hire, permanently for your coffee plots, last year?</v>
      </c>
      <c r="I246" s="9" t="b" cm="1">
        <f t="array" ref="I246">INDEX(stable[is_fixed],MATCH(VALUE(questions[[#This Row],[qno]]),VALUE(stable[qno]),0))</f>
        <v>1</v>
      </c>
      <c r="J246" s="9" t="b" cm="1">
        <f t="array" ref="J246">INDEX(stable[is_localized],MATCH(VALUE(questions[[#This Row],[qno]]),VALUE(stable[qno]),0))</f>
        <v>0</v>
      </c>
      <c r="K246" s="9" t="b" cm="1">
        <f t="array" ref="K246">INDEX(stable[is_supply_chain_dependent],MATCH(VALUE(questions[[#This Row],[qno]]),VALUE(stable[qno]),0))</f>
        <v>0</v>
      </c>
      <c r="L246" s="9" t="b" cm="1">
        <f t="array" ref="L246">INDEX(stable[is_mandatory],MATCH(VALUE(questions[[#This Row],[qno]]),VALUE(stable[qno]),0))</f>
        <v>0</v>
      </c>
      <c r="M246" s="9" t="b" cm="1">
        <f t="array" ref="M246">INDEX(stable[is_automated],MATCH(VALUE(questions[[#This Row],[qno]]),VALUE(stable[qno]),0))</f>
        <v>0</v>
      </c>
      <c r="N246" s="9" t="b" cm="1">
        <f t="array" ref="N246">INDEX(stable[is_free_text],MATCH(VALUE(questions[[#This Row],[qno]]),VALUE(stable[qno]),0))</f>
        <v>0</v>
      </c>
      <c r="O246" s="9" t="b" cm="1">
        <f t="array" ref="O246">INDEX(stable[is_numerical],MATCH(VALUE(questions[[#This Row],[qno]]),VALUE(stable[qno]),0))</f>
        <v>1</v>
      </c>
      <c r="P246" s="32" t="b" cm="1">
        <f t="array" ref="P246">INDEX(stable[is_single_select],MATCH(VALUE(questions[[#This Row],[qno]]),VALUE(stable[qno]),0))</f>
        <v>0</v>
      </c>
      <c r="Q246" s="9" t="b" cm="1">
        <f t="array" ref="Q246">INDEX(stable[is_multi_select],MATCH(VALUE(questions[[#This Row],[qno]]),VALUE(stable[qno]),0))</f>
        <v>0</v>
      </c>
      <c r="R246" s="9" t="b" cm="1">
        <f t="array" ref="R246">INDEX(stable[is_skip_logic],MATCH(VALUE(questions[[#This Row],[qno]]),VALUE(stable[qno]),0))</f>
        <v>1</v>
      </c>
      <c r="S246" s="9" t="str">
        <f>_xlfn.TEXTJOIN(", ",TRUE,questions[[#This Row],[ans_opt_1]:[ans_opt_14]])</f>
        <v/>
      </c>
      <c r="AH246" s="16" t="b">
        <f>INDEX(stable[q_standard],MATCH(questions[[#This Row],[qno]],stable[qno],0))</f>
        <v>0</v>
      </c>
      <c r="AI246" s="16" t="b">
        <f>INDEX(stable[q_living_income],MATCH(questions[[#This Row],[qno]],stable[qno],0))</f>
        <v>1</v>
      </c>
      <c r="AJ246" s="16" t="b">
        <f>INDEX(stable[q_carbon],MATCH(questions[[#This Row],[qno]],stable[qno],0))</f>
        <v>0</v>
      </c>
      <c r="AK246" s="16" t="b">
        <f>INDEX(stable[q_regen_ag],MATCH(questions[[#This Row],[qno]],stable[qno],0))</f>
        <v>0</v>
      </c>
      <c r="AL246" s="16" t="b">
        <f>COUNTIFS(stable[qno],questions[[#This Row],[qno]])=1</f>
        <v>1</v>
      </c>
      <c r="AM246" s="16" t="b">
        <f>OR(questions[[#This Row],[is_fixed]],questions[[#This Row],[is_localized]],questions[[#This Row],[is_supply_chain_dependent]])</f>
        <v>1</v>
      </c>
      <c r="AN246" s="16" t="b">
        <f>COUNTIFS(questions[[#This Row],[is_automated]:[is_multi_select]],TRUE)=1</f>
        <v>1</v>
      </c>
      <c r="AO246" s="16" t="b">
        <f>IF(questions[[#This Row],[is_fixed]],questions[[#This Row],[question]]=INDEX(stable[question],MATCH(questions[[#This Row],[qno]],stable[qno],0)),TRUE)</f>
        <v>1</v>
      </c>
      <c r="AP246" s="16" t="str">
        <f>LEFT(questions[[#This Row],[question]],similarity_range)</f>
        <v>If yes, how many peo</v>
      </c>
      <c r="AQ246" s="16" t="str">
        <f>LEFT(INDEX(stable[question],MATCH(questions[[#This Row],[qno]],stable[qno],0)),similarity_range)</f>
        <v>If yes, how many peo</v>
      </c>
      <c r="AR246" s="16" t="b">
        <f>questions[[#This Row],[question_first_characters]]=questions[[#This Row],[stability_first_characters]]</f>
        <v>1</v>
      </c>
      <c r="AS246" s="16" t="b">
        <f>IF(OR(questions[[#This Row],[is_single_select]],questions[[#This Row],[is_multi_select]]),NOT(ISBLANK(questions[[#This Row],[answer_opt_combined]])),TRUE)</f>
        <v>1</v>
      </c>
    </row>
    <row r="247" spans="1:45" s="77" customFormat="1" x14ac:dyDescent="0.25">
      <c r="A247" s="77" t="str">
        <f>_xlfn.TEXTJOIN("_",TRUE,questions[[#This Row],[origin]:[qno]])</f>
        <v>Uganda_Arabica_Sbux_6010</v>
      </c>
      <c r="B247" s="77" t="s">
        <v>511</v>
      </c>
      <c r="C247" s="77" t="s">
        <v>59</v>
      </c>
      <c r="D247" s="77" t="s">
        <v>512</v>
      </c>
      <c r="F247" s="104" t="s">
        <v>572</v>
      </c>
      <c r="G247" s="78" t="s">
        <v>573</v>
      </c>
      <c r="H247" s="9" t="str" cm="1">
        <f t="array" ref="H247">INDEX(stableR[question],MATCH(VALUE(questions[[#This Row],[qno]]),VALUE(stableR[qno]),0))</f>
        <v>Did you hire any people to work on your coffee plots for seasonal activities during the fly season, last year?</v>
      </c>
      <c r="I247" s="9" t="b" cm="1">
        <f t="array" ref="I247">INDEX(stable[is_fixed],MATCH(VALUE(questions[[#This Row],[qno]]),VALUE(stable[qno]),0))</f>
        <v>0</v>
      </c>
      <c r="J247" s="9" t="b" cm="1">
        <f t="array" ref="J247">INDEX(stable[is_localized],MATCH(VALUE(questions[[#This Row],[qno]]),VALUE(stable[qno]),0))</f>
        <v>1</v>
      </c>
      <c r="K247" s="9" t="b" cm="1">
        <f t="array" ref="K247">INDEX(stable[is_supply_chain_dependent],MATCH(VALUE(questions[[#This Row],[qno]]),VALUE(stable[qno]),0))</f>
        <v>0</v>
      </c>
      <c r="L247" s="9" t="b" cm="1">
        <f t="array" ref="L247">INDEX(stable[is_mandatory],MATCH(VALUE(questions[[#This Row],[qno]]),VALUE(stable[qno]),0))</f>
        <v>1</v>
      </c>
      <c r="M247" s="9" t="b" cm="1">
        <f t="array" ref="M247">INDEX(stable[is_automated],MATCH(VALUE(questions[[#This Row],[qno]]),VALUE(stable[qno]),0))</f>
        <v>0</v>
      </c>
      <c r="N247" s="9" t="b" cm="1">
        <f t="array" ref="N247">INDEX(stable[is_free_text],MATCH(VALUE(questions[[#This Row],[qno]]),VALUE(stable[qno]),0))</f>
        <v>0</v>
      </c>
      <c r="O247" s="9" t="b" cm="1">
        <f t="array" ref="O247">INDEX(stable[is_numerical],MATCH(VALUE(questions[[#This Row],[qno]]),VALUE(stable[qno]),0))</f>
        <v>0</v>
      </c>
      <c r="P247" s="103" t="b" cm="1">
        <f t="array" ref="P247">INDEX(stable[is_single_select],MATCH(VALUE(questions[[#This Row],[qno]]),VALUE(stable[qno]),0))</f>
        <v>1</v>
      </c>
      <c r="Q247" s="77" t="b" cm="1">
        <f t="array" ref="Q247">INDEX(stable[is_multi_select],MATCH(VALUE(questions[[#This Row],[qno]]),VALUE(stable[qno]),0))</f>
        <v>0</v>
      </c>
      <c r="R247" s="77" t="b" cm="1">
        <f t="array" ref="R247">INDEX(stable[is_skip_logic],MATCH(VALUE(questions[[#This Row],[qno]]),VALUE(stable[qno]),0))</f>
        <v>1</v>
      </c>
      <c r="S247" s="77" t="str">
        <f>_xlfn.TEXTJOIN(", ",TRUE,questions[[#This Row],[ans_opt_1]:[ans_opt_14]])</f>
        <v>Yes, No</v>
      </c>
      <c r="T247" s="77" t="s">
        <v>149</v>
      </c>
      <c r="U247" s="77" t="s">
        <v>119</v>
      </c>
      <c r="AH247" s="98" t="b">
        <f>INDEX(stable[q_standard],MATCH(questions[[#This Row],[qno]],stable[qno],0))</f>
        <v>0</v>
      </c>
      <c r="AI247" s="98" t="b">
        <f>INDEX(stable[q_living_income],MATCH(questions[[#This Row],[qno]],stable[qno],0))</f>
        <v>1</v>
      </c>
      <c r="AJ247" s="98" t="b">
        <f>INDEX(stable[q_carbon],MATCH(questions[[#This Row],[qno]],stable[qno],0))</f>
        <v>0</v>
      </c>
      <c r="AK247" s="98" t="b">
        <f>INDEX(stable[q_regen_ag],MATCH(questions[[#This Row],[qno]],stable[qno],0))</f>
        <v>0</v>
      </c>
      <c r="AL247" s="98" t="b">
        <f>COUNTIFS(stable[qno],questions[[#This Row],[qno]])=1</f>
        <v>1</v>
      </c>
      <c r="AM247" s="98" t="b">
        <f>OR(questions[[#This Row],[is_fixed]],questions[[#This Row],[is_localized]],questions[[#This Row],[is_supply_chain_dependent]])</f>
        <v>1</v>
      </c>
      <c r="AN247" s="98" t="b">
        <f>COUNTIFS(questions[[#This Row],[is_automated]:[is_multi_select]],TRUE)=1</f>
        <v>1</v>
      </c>
      <c r="AO247" s="98" t="b">
        <f>IF(questions[[#This Row],[is_fixed]],questions[[#This Row],[question]]=INDEX(stable[question],MATCH(questions[[#This Row],[qno]],stable[qno],0)),TRUE)</f>
        <v>1</v>
      </c>
      <c r="AP247" s="98" t="str">
        <f>LEFT(questions[[#This Row],[question]],similarity_range)</f>
        <v>Did you hire any peo</v>
      </c>
      <c r="AQ247" s="98" t="str">
        <f>LEFT(INDEX(stable[question],MATCH(questions[[#This Row],[qno]],stable[qno],0)),similarity_range)</f>
        <v>Did you hire any peo</v>
      </c>
      <c r="AR247" s="98" t="b">
        <f>questions[[#This Row],[question_first_characters]]=questions[[#This Row],[stability_first_characters]]</f>
        <v>1</v>
      </c>
      <c r="AS247" s="98" t="b">
        <f>IF(OR(questions[[#This Row],[is_single_select]],questions[[#This Row],[is_multi_select]]),NOT(ISBLANK(questions[[#This Row],[answer_opt_combined]])),TRUE)</f>
        <v>1</v>
      </c>
    </row>
    <row r="248" spans="1:45" s="77" customFormat="1" x14ac:dyDescent="0.25">
      <c r="A248" s="77" t="str">
        <f>_xlfn.TEXTJOIN("_",TRUE,questions[[#This Row],[origin]:[qno]])</f>
        <v>Uganda_Arabica_Sbux_6011</v>
      </c>
      <c r="B248" s="77" t="s">
        <v>511</v>
      </c>
      <c r="C248" s="77" t="s">
        <v>59</v>
      </c>
      <c r="D248" s="77" t="s">
        <v>512</v>
      </c>
      <c r="F248" s="104" t="s">
        <v>574</v>
      </c>
      <c r="G248" s="78" t="s">
        <v>575</v>
      </c>
      <c r="H248" s="9" t="str" cm="1">
        <f t="array" ref="H248">INDEX(stableR[question],MATCH(VALUE(questions[[#This Row],[qno]]),VALUE(stableR[qno]),0))</f>
        <v>What were the activities that you hired people for, during the fly season?</v>
      </c>
      <c r="I248" s="9" t="b" cm="1">
        <f t="array" ref="I248">INDEX(stable[is_fixed],MATCH(VALUE(questions[[#This Row],[qno]]),VALUE(stable[qno]),0))</f>
        <v>0</v>
      </c>
      <c r="J248" s="9" t="b" cm="1">
        <f t="array" ref="J248">INDEX(stable[is_localized],MATCH(VALUE(questions[[#This Row],[qno]]),VALUE(stable[qno]),0))</f>
        <v>1</v>
      </c>
      <c r="K248" s="9" t="b" cm="1">
        <f t="array" ref="K248">INDEX(stable[is_supply_chain_dependent],MATCH(VALUE(questions[[#This Row],[qno]]),VALUE(stable[qno]),0))</f>
        <v>0</v>
      </c>
      <c r="L248" s="9" t="b" cm="1">
        <f t="array" ref="L248">INDEX(stable[is_mandatory],MATCH(VALUE(questions[[#This Row],[qno]]),VALUE(stable[qno]),0))</f>
        <v>0</v>
      </c>
      <c r="M248" s="9" t="b" cm="1">
        <f t="array" ref="M248">INDEX(stable[is_automated],MATCH(VALUE(questions[[#This Row],[qno]]),VALUE(stable[qno]),0))</f>
        <v>0</v>
      </c>
      <c r="N248" s="9" t="b" cm="1">
        <f t="array" ref="N248">INDEX(stable[is_free_text],MATCH(VALUE(questions[[#This Row],[qno]]),VALUE(stable[qno]),0))</f>
        <v>0</v>
      </c>
      <c r="O248" s="9" t="b" cm="1">
        <f t="array" ref="O248">INDEX(stable[is_numerical],MATCH(VALUE(questions[[#This Row],[qno]]),VALUE(stable[qno]),0))</f>
        <v>0</v>
      </c>
      <c r="P248" s="103" t="b" cm="1">
        <f t="array" ref="P248">INDEX(stable[is_single_select],MATCH(VALUE(questions[[#This Row],[qno]]),VALUE(stable[qno]),0))</f>
        <v>0</v>
      </c>
      <c r="Q248" s="77" t="b" cm="1">
        <f t="array" ref="Q248">INDEX(stable[is_multi_select],MATCH(VALUE(questions[[#This Row],[qno]]),VALUE(stable[qno]),0))</f>
        <v>1</v>
      </c>
      <c r="R248" s="77" t="b" cm="1">
        <f t="array" ref="R248">INDEX(stable[is_skip_logic],MATCH(VALUE(questions[[#This Row],[qno]]),VALUE(stable[qno]),0))</f>
        <v>1</v>
      </c>
      <c r="S248" s="77" t="str">
        <f>_xlfn.TEXTJOIN(", ",TRUE,questions[[#This Row],[ans_opt_1]:[ans_opt_14]])</f>
        <v>Harvesting, Pruning, Weeding, Spraying, Planting new trees, Other, NA</v>
      </c>
      <c r="T248" s="77" t="s">
        <v>246</v>
      </c>
      <c r="U248" s="77" t="s">
        <v>247</v>
      </c>
      <c r="V248" s="77" t="s">
        <v>248</v>
      </c>
      <c r="W248" s="77" t="s">
        <v>249</v>
      </c>
      <c r="X248" s="77" t="s">
        <v>250</v>
      </c>
      <c r="Y248" s="77" t="s">
        <v>112</v>
      </c>
      <c r="Z248" s="77" t="s">
        <v>251</v>
      </c>
      <c r="AH248" s="98" t="b">
        <f>INDEX(stable[q_standard],MATCH(questions[[#This Row],[qno]],stable[qno],0))</f>
        <v>0</v>
      </c>
      <c r="AI248" s="98" t="b">
        <f>INDEX(stable[q_living_income],MATCH(questions[[#This Row],[qno]],stable[qno],0))</f>
        <v>1</v>
      </c>
      <c r="AJ248" s="98" t="b">
        <f>INDEX(stable[q_carbon],MATCH(questions[[#This Row],[qno]],stable[qno],0))</f>
        <v>0</v>
      </c>
      <c r="AK248" s="98" t="b">
        <f>INDEX(stable[q_regen_ag],MATCH(questions[[#This Row],[qno]],stable[qno],0))</f>
        <v>0</v>
      </c>
      <c r="AL248" s="98" t="b">
        <f>COUNTIFS(stable[qno],questions[[#This Row],[qno]])=1</f>
        <v>1</v>
      </c>
      <c r="AM248" s="98" t="b">
        <f>OR(questions[[#This Row],[is_fixed]],questions[[#This Row],[is_localized]],questions[[#This Row],[is_supply_chain_dependent]])</f>
        <v>1</v>
      </c>
      <c r="AN248" s="98" t="b">
        <f>COUNTIFS(questions[[#This Row],[is_automated]:[is_multi_select]],TRUE)=1</f>
        <v>1</v>
      </c>
      <c r="AO248" s="98" t="b">
        <f>IF(questions[[#This Row],[is_fixed]],questions[[#This Row],[question]]=INDEX(stable[question],MATCH(questions[[#This Row],[qno]],stable[qno],0)),TRUE)</f>
        <v>1</v>
      </c>
      <c r="AP248" s="98" t="str">
        <f>LEFT(questions[[#This Row],[question]],similarity_range)</f>
        <v>If yes, what was the</v>
      </c>
      <c r="AQ248" s="98" t="str">
        <f>LEFT(INDEX(stable[question],MATCH(questions[[#This Row],[qno]],stable[qno],0)),similarity_range)</f>
        <v>If yes, what were th</v>
      </c>
      <c r="AR248" s="98" t="b">
        <f>questions[[#This Row],[question_first_characters]]=questions[[#This Row],[stability_first_characters]]</f>
        <v>0</v>
      </c>
      <c r="AS248" s="98" t="b">
        <f>IF(OR(questions[[#This Row],[is_single_select]],questions[[#This Row],[is_multi_select]]),NOT(ISBLANK(questions[[#This Row],[answer_opt_combined]])),TRUE)</f>
        <v>1</v>
      </c>
    </row>
    <row r="249" spans="1:45" x14ac:dyDescent="0.25">
      <c r="A249" s="9" t="str">
        <f>_xlfn.TEXTJOIN("_",TRUE,questions[[#This Row],[origin]:[qno]])</f>
        <v>Uganda_Arabica_Sbux_6012</v>
      </c>
      <c r="B249" s="9" t="s">
        <v>511</v>
      </c>
      <c r="C249" s="9" t="s">
        <v>59</v>
      </c>
      <c r="D249" s="9" t="s">
        <v>512</v>
      </c>
      <c r="F249" s="24" t="s">
        <v>576</v>
      </c>
      <c r="G249" s="15" t="s">
        <v>577</v>
      </c>
      <c r="H249" s="9" t="str" cm="1">
        <f t="array" ref="H249">INDEX(stableR[question],MATCH(VALUE(questions[[#This Row],[qno]]),VALUE(stableR[qno]),0))</f>
        <v>How many days in total did you hire people for this main activity, during the fly season? (Number of days)</v>
      </c>
      <c r="I249" s="9" t="b" cm="1">
        <f t="array" ref="I249">INDEX(stable[is_fixed],MATCH(VALUE(questions[[#This Row],[qno]]),VALUE(stable[qno]),0))</f>
        <v>0</v>
      </c>
      <c r="J249" s="9" t="b" cm="1">
        <f t="array" ref="J249">INDEX(stable[is_localized],MATCH(VALUE(questions[[#This Row],[qno]]),VALUE(stable[qno]),0))</f>
        <v>1</v>
      </c>
      <c r="K249" s="9" t="b" cm="1">
        <f t="array" ref="K249">INDEX(stable[is_supply_chain_dependent],MATCH(VALUE(questions[[#This Row],[qno]]),VALUE(stable[qno]),0))</f>
        <v>0</v>
      </c>
      <c r="L249" s="9" t="b" cm="1">
        <f t="array" ref="L249">INDEX(stable[is_mandatory],MATCH(VALUE(questions[[#This Row],[qno]]),VALUE(stable[qno]),0))</f>
        <v>0</v>
      </c>
      <c r="M249" s="9" t="b" cm="1">
        <f t="array" ref="M249">INDEX(stable[is_automated],MATCH(VALUE(questions[[#This Row],[qno]]),VALUE(stable[qno]),0))</f>
        <v>0</v>
      </c>
      <c r="N249" s="9" t="b" cm="1">
        <f t="array" ref="N249">INDEX(stable[is_free_text],MATCH(VALUE(questions[[#This Row],[qno]]),VALUE(stable[qno]),0))</f>
        <v>0</v>
      </c>
      <c r="O249" s="9" t="b" cm="1">
        <f t="array" ref="O249">INDEX(stable[is_numerical],MATCH(VALUE(questions[[#This Row],[qno]]),VALUE(stable[qno]),0))</f>
        <v>1</v>
      </c>
      <c r="P249" s="32" t="b" cm="1">
        <f t="array" ref="P249">INDEX(stable[is_single_select],MATCH(VALUE(questions[[#This Row],[qno]]),VALUE(stable[qno]),0))</f>
        <v>0</v>
      </c>
      <c r="Q249" s="9" t="b" cm="1">
        <f t="array" ref="Q249">INDEX(stable[is_multi_select],MATCH(VALUE(questions[[#This Row],[qno]]),VALUE(stable[qno]),0))</f>
        <v>0</v>
      </c>
      <c r="R249" s="9" t="b" cm="1">
        <f t="array" ref="R249">INDEX(stable[is_skip_logic],MATCH(VALUE(questions[[#This Row],[qno]]),VALUE(stable[qno]),0))</f>
        <v>1</v>
      </c>
      <c r="S249" s="9" t="str">
        <f>_xlfn.TEXTJOIN(", ",TRUE,questions[[#This Row],[ans_opt_1]:[ans_opt_14]])</f>
        <v/>
      </c>
      <c r="AH249" s="16" t="b">
        <f>INDEX(stable[q_standard],MATCH(questions[[#This Row],[qno]],stable[qno],0))</f>
        <v>0</v>
      </c>
      <c r="AI249" s="16" t="b">
        <f>INDEX(stable[q_living_income],MATCH(questions[[#This Row],[qno]],stable[qno],0))</f>
        <v>1</v>
      </c>
      <c r="AJ249" s="16" t="b">
        <f>INDEX(stable[q_carbon],MATCH(questions[[#This Row],[qno]],stable[qno],0))</f>
        <v>0</v>
      </c>
      <c r="AK249" s="16" t="b">
        <f>INDEX(stable[q_regen_ag],MATCH(questions[[#This Row],[qno]],stable[qno],0))</f>
        <v>0</v>
      </c>
      <c r="AL249" s="16" t="b">
        <f>COUNTIFS(stable[qno],questions[[#This Row],[qno]])=1</f>
        <v>1</v>
      </c>
      <c r="AM249" s="16" t="b">
        <f>OR(questions[[#This Row],[is_fixed]],questions[[#This Row],[is_localized]],questions[[#This Row],[is_supply_chain_dependent]])</f>
        <v>1</v>
      </c>
      <c r="AN249" s="16" t="b">
        <f>COUNTIFS(questions[[#This Row],[is_automated]:[is_multi_select]],TRUE)=1</f>
        <v>1</v>
      </c>
      <c r="AO249" s="16" t="b">
        <f>IF(questions[[#This Row],[is_fixed]],questions[[#This Row],[question]]=INDEX(stable[question],MATCH(questions[[#This Row],[qno]],stable[qno],0)),TRUE)</f>
        <v>1</v>
      </c>
      <c r="AP249" s="16" t="str">
        <f>LEFT(questions[[#This Row],[question]],similarity_range)</f>
        <v>If yes, how many day</v>
      </c>
      <c r="AQ249" s="16" t="str">
        <f>LEFT(INDEX(stable[question],MATCH(questions[[#This Row],[qno]],stable[qno],0)),similarity_range)</f>
        <v>If yes, how many day</v>
      </c>
      <c r="AR249" s="16" t="b">
        <f>questions[[#This Row],[question_first_characters]]=questions[[#This Row],[stability_first_characters]]</f>
        <v>1</v>
      </c>
      <c r="AS249" s="16" t="b">
        <f>IF(OR(questions[[#This Row],[is_single_select]],questions[[#This Row],[is_multi_select]]),NOT(ISBLANK(questions[[#This Row],[answer_opt_combined]])),TRUE)</f>
        <v>1</v>
      </c>
    </row>
    <row r="250" spans="1:45" x14ac:dyDescent="0.25">
      <c r="A250" s="9" t="str">
        <f>_xlfn.TEXTJOIN("_",TRUE,questions[[#This Row],[origin]:[qno]])</f>
        <v>Uganda_Arabica_Sbux_6013</v>
      </c>
      <c r="B250" s="9" t="s">
        <v>511</v>
      </c>
      <c r="C250" s="9" t="s">
        <v>59</v>
      </c>
      <c r="D250" s="9" t="s">
        <v>512</v>
      </c>
      <c r="F250" s="24" t="s">
        <v>578</v>
      </c>
      <c r="G250" s="15" t="s">
        <v>579</v>
      </c>
      <c r="H250" s="9" t="str" cm="1">
        <f t="array" ref="H250">INDEX(stableR[question],MATCH(VALUE(questions[[#This Row],[qno]]),VALUE(stableR[qno]),0))</f>
        <v>How many people did you typically hire per day for this main activity during fly season?</v>
      </c>
      <c r="I250" s="9" t="b" cm="1">
        <f t="array" ref="I250">INDEX(stable[is_fixed],MATCH(VALUE(questions[[#This Row],[qno]]),VALUE(stable[qno]),0))</f>
        <v>0</v>
      </c>
      <c r="J250" s="9" t="b" cm="1">
        <f t="array" ref="J250">INDEX(stable[is_localized],MATCH(VALUE(questions[[#This Row],[qno]]),VALUE(stable[qno]),0))</f>
        <v>1</v>
      </c>
      <c r="K250" s="9" t="b" cm="1">
        <f t="array" ref="K250">INDEX(stable[is_supply_chain_dependent],MATCH(VALUE(questions[[#This Row],[qno]]),VALUE(stable[qno]),0))</f>
        <v>0</v>
      </c>
      <c r="L250" s="9" t="b" cm="1">
        <f t="array" ref="L250">INDEX(stable[is_mandatory],MATCH(VALUE(questions[[#This Row],[qno]]),VALUE(stable[qno]),0))</f>
        <v>0</v>
      </c>
      <c r="M250" s="9" t="b" cm="1">
        <f t="array" ref="M250">INDEX(stable[is_automated],MATCH(VALUE(questions[[#This Row],[qno]]),VALUE(stable[qno]),0))</f>
        <v>0</v>
      </c>
      <c r="N250" s="9" t="b" cm="1">
        <f t="array" ref="N250">INDEX(stable[is_free_text],MATCH(VALUE(questions[[#This Row],[qno]]),VALUE(stable[qno]),0))</f>
        <v>0</v>
      </c>
      <c r="O250" s="9" t="b" cm="1">
        <f t="array" ref="O250">INDEX(stable[is_numerical],MATCH(VALUE(questions[[#This Row],[qno]]),VALUE(stable[qno]),0))</f>
        <v>1</v>
      </c>
      <c r="P250" s="32" t="b" cm="1">
        <f t="array" ref="P250">INDEX(stable[is_single_select],MATCH(VALUE(questions[[#This Row],[qno]]),VALUE(stable[qno]),0))</f>
        <v>0</v>
      </c>
      <c r="Q250" s="9" t="b" cm="1">
        <f t="array" ref="Q250">INDEX(stable[is_multi_select],MATCH(VALUE(questions[[#This Row],[qno]]),VALUE(stable[qno]),0))</f>
        <v>0</v>
      </c>
      <c r="R250" s="9" t="b" cm="1">
        <f t="array" ref="R250">INDEX(stable[is_skip_logic],MATCH(VALUE(questions[[#This Row],[qno]]),VALUE(stable[qno]),0))</f>
        <v>1</v>
      </c>
      <c r="S250" s="9" t="str">
        <f>_xlfn.TEXTJOIN(", ",TRUE,questions[[#This Row],[ans_opt_1]:[ans_opt_14]])</f>
        <v/>
      </c>
      <c r="AH250" s="16" t="b">
        <f>INDEX(stable[q_standard],MATCH(questions[[#This Row],[qno]],stable[qno],0))</f>
        <v>0</v>
      </c>
      <c r="AI250" s="16" t="b">
        <f>INDEX(stable[q_living_income],MATCH(questions[[#This Row],[qno]],stable[qno],0))</f>
        <v>1</v>
      </c>
      <c r="AJ250" s="16" t="b">
        <f>INDEX(stable[q_carbon],MATCH(questions[[#This Row],[qno]],stable[qno],0))</f>
        <v>0</v>
      </c>
      <c r="AK250" s="16" t="b">
        <f>INDEX(stable[q_regen_ag],MATCH(questions[[#This Row],[qno]],stable[qno],0))</f>
        <v>0</v>
      </c>
      <c r="AL250" s="16" t="b">
        <f>COUNTIFS(stable[qno],questions[[#This Row],[qno]])=1</f>
        <v>1</v>
      </c>
      <c r="AM250" s="16" t="b">
        <f>OR(questions[[#This Row],[is_fixed]],questions[[#This Row],[is_localized]],questions[[#This Row],[is_supply_chain_dependent]])</f>
        <v>1</v>
      </c>
      <c r="AN250" s="16" t="b">
        <f>COUNTIFS(questions[[#This Row],[is_automated]:[is_multi_select]],TRUE)=1</f>
        <v>1</v>
      </c>
      <c r="AO250" s="16" t="b">
        <f>IF(questions[[#This Row],[is_fixed]],questions[[#This Row],[question]]=INDEX(stable[question],MATCH(questions[[#This Row],[qno]],stable[qno],0)),TRUE)</f>
        <v>1</v>
      </c>
      <c r="AP250" s="16" t="str">
        <f>LEFT(questions[[#This Row],[question]],similarity_range)</f>
        <v>If yes, every day, h</v>
      </c>
      <c r="AQ250" s="16" t="str">
        <f>LEFT(INDEX(stable[question],MATCH(questions[[#This Row],[qno]],stable[qno],0)),similarity_range)</f>
        <v>If yes, how many peo</v>
      </c>
      <c r="AR250" s="16" t="b">
        <f>questions[[#This Row],[question_first_characters]]=questions[[#This Row],[stability_first_characters]]</f>
        <v>0</v>
      </c>
      <c r="AS250" s="16" t="b">
        <f>IF(OR(questions[[#This Row],[is_single_select]],questions[[#This Row],[is_multi_select]]),NOT(ISBLANK(questions[[#This Row],[answer_opt_combined]])),TRUE)</f>
        <v>1</v>
      </c>
    </row>
    <row r="251" spans="1:45" s="77" customFormat="1" x14ac:dyDescent="0.25">
      <c r="A251" s="77" t="str">
        <f>_xlfn.TEXTJOIN("_",TRUE,questions[[#This Row],[origin]:[qno]])</f>
        <v>Uganda_Arabica_Sbux_6020</v>
      </c>
      <c r="B251" s="77" t="s">
        <v>511</v>
      </c>
      <c r="C251" s="77" t="s">
        <v>59</v>
      </c>
      <c r="D251" s="77" t="s">
        <v>512</v>
      </c>
      <c r="F251" s="104" t="s">
        <v>580</v>
      </c>
      <c r="G251" s="78" t="s">
        <v>581</v>
      </c>
      <c r="H251" s="9" t="str" cm="1">
        <f t="array" ref="H251">INDEX(stableR[question],MATCH(VALUE(questions[[#This Row],[qno]]),VALUE(stableR[qno]),0))</f>
        <v>Did you hire any people to work on your coffee plots for seasonal activities during the main season, last year?</v>
      </c>
      <c r="I251" s="9" t="b" cm="1">
        <f t="array" ref="I251">INDEX(stable[is_fixed],MATCH(VALUE(questions[[#This Row],[qno]]),VALUE(stable[qno]),0))</f>
        <v>0</v>
      </c>
      <c r="J251" s="9" t="b" cm="1">
        <f t="array" ref="J251">INDEX(stable[is_localized],MATCH(VALUE(questions[[#This Row],[qno]]),VALUE(stable[qno]),0))</f>
        <v>0</v>
      </c>
      <c r="K251" s="9" t="b" cm="1">
        <f t="array" ref="K251">INDEX(stable[is_supply_chain_dependent],MATCH(VALUE(questions[[#This Row],[qno]]),VALUE(stable[qno]),0))</f>
        <v>1</v>
      </c>
      <c r="L251" s="9" t="b" cm="1">
        <f t="array" ref="L251">INDEX(stable[is_mandatory],MATCH(VALUE(questions[[#This Row],[qno]]),VALUE(stable[qno]),0))</f>
        <v>1</v>
      </c>
      <c r="M251" s="9" t="b" cm="1">
        <f t="array" ref="M251">INDEX(stable[is_automated],MATCH(VALUE(questions[[#This Row],[qno]]),VALUE(stable[qno]),0))</f>
        <v>0</v>
      </c>
      <c r="N251" s="9" t="b" cm="1">
        <f t="array" ref="N251">INDEX(stable[is_free_text],MATCH(VALUE(questions[[#This Row],[qno]]),VALUE(stable[qno]),0))</f>
        <v>0</v>
      </c>
      <c r="O251" s="9" t="b" cm="1">
        <f t="array" ref="O251">INDEX(stable[is_numerical],MATCH(VALUE(questions[[#This Row],[qno]]),VALUE(stable[qno]),0))</f>
        <v>0</v>
      </c>
      <c r="P251" s="103" t="b" cm="1">
        <f t="array" ref="P251">INDEX(stable[is_single_select],MATCH(VALUE(questions[[#This Row],[qno]]),VALUE(stable[qno]),0))</f>
        <v>1</v>
      </c>
      <c r="Q251" s="77" t="b" cm="1">
        <f t="array" ref="Q251">INDEX(stable[is_multi_select],MATCH(VALUE(questions[[#This Row],[qno]]),VALUE(stable[qno]),0))</f>
        <v>0</v>
      </c>
      <c r="R251" s="77" t="b" cm="1">
        <f t="array" ref="R251">INDEX(stable[is_skip_logic],MATCH(VALUE(questions[[#This Row],[qno]]),VALUE(stable[qno]),0))</f>
        <v>1</v>
      </c>
      <c r="S251" s="77" t="str">
        <f>_xlfn.TEXTJOIN(", ",TRUE,questions[[#This Row],[ans_opt_1]:[ans_opt_14]])</f>
        <v>Yes, No</v>
      </c>
      <c r="T251" s="77" t="s">
        <v>149</v>
      </c>
      <c r="U251" s="77" t="s">
        <v>119</v>
      </c>
      <c r="AH251" s="98" t="b">
        <f>INDEX(stable[q_standard],MATCH(questions[[#This Row],[qno]],stable[qno],0))</f>
        <v>0</v>
      </c>
      <c r="AI251" s="98" t="b">
        <f>INDEX(stable[q_living_income],MATCH(questions[[#This Row],[qno]],stable[qno],0))</f>
        <v>1</v>
      </c>
      <c r="AJ251" s="98" t="b">
        <f>INDEX(stable[q_carbon],MATCH(questions[[#This Row],[qno]],stable[qno],0))</f>
        <v>0</v>
      </c>
      <c r="AK251" s="98" t="b">
        <f>INDEX(stable[q_regen_ag],MATCH(questions[[#This Row],[qno]],stable[qno],0))</f>
        <v>0</v>
      </c>
      <c r="AL251" s="98" t="b">
        <f>COUNTIFS(stable[qno],questions[[#This Row],[qno]])=1</f>
        <v>1</v>
      </c>
      <c r="AM251" s="98" t="b">
        <f>OR(questions[[#This Row],[is_fixed]],questions[[#This Row],[is_localized]],questions[[#This Row],[is_supply_chain_dependent]])</f>
        <v>1</v>
      </c>
      <c r="AN251" s="98" t="b">
        <f>COUNTIFS(questions[[#This Row],[is_automated]:[is_multi_select]],TRUE)=1</f>
        <v>1</v>
      </c>
      <c r="AO251" s="98" t="b">
        <f>IF(questions[[#This Row],[is_fixed]],questions[[#This Row],[question]]=INDEX(stable[question],MATCH(questions[[#This Row],[qno]],stable[qno],0)),TRUE)</f>
        <v>1</v>
      </c>
      <c r="AP251" s="98" t="str">
        <f>LEFT(questions[[#This Row],[question]],similarity_range)</f>
        <v>Did you hire any peo</v>
      </c>
      <c r="AQ251" s="98" t="str">
        <f>LEFT(INDEX(stable[question],MATCH(questions[[#This Row],[qno]],stable[qno],0)),similarity_range)</f>
        <v>Did you hire any peo</v>
      </c>
      <c r="AR251" s="98" t="b">
        <f>questions[[#This Row],[question_first_characters]]=questions[[#This Row],[stability_first_characters]]</f>
        <v>1</v>
      </c>
      <c r="AS251" s="98" t="b">
        <f>IF(OR(questions[[#This Row],[is_single_select]],questions[[#This Row],[is_multi_select]]),NOT(ISBLANK(questions[[#This Row],[answer_opt_combined]])),TRUE)</f>
        <v>1</v>
      </c>
    </row>
    <row r="252" spans="1:45" s="77" customFormat="1" x14ac:dyDescent="0.25">
      <c r="A252" s="77" t="str">
        <f>_xlfn.TEXTJOIN("_",TRUE,questions[[#This Row],[origin]:[qno]])</f>
        <v>Uganda_Arabica_Sbux_6021</v>
      </c>
      <c r="B252" s="77" t="s">
        <v>511</v>
      </c>
      <c r="C252" s="77" t="s">
        <v>59</v>
      </c>
      <c r="D252" s="77" t="s">
        <v>512</v>
      </c>
      <c r="F252" s="104" t="s">
        <v>582</v>
      </c>
      <c r="G252" s="78" t="s">
        <v>583</v>
      </c>
      <c r="H252" s="9" t="str" cm="1">
        <f t="array" ref="H252">INDEX(stableR[question],MATCH(VALUE(questions[[#This Row],[qno]]),VALUE(stableR[qno]),0))</f>
        <v>What were the activities that you hired people for, during the main season?</v>
      </c>
      <c r="I252" s="9" t="b" cm="1">
        <f t="array" ref="I252">INDEX(stable[is_fixed],MATCH(VALUE(questions[[#This Row],[qno]]),VALUE(stable[qno]),0))</f>
        <v>0</v>
      </c>
      <c r="J252" s="9" t="b" cm="1">
        <f t="array" ref="J252">INDEX(stable[is_localized],MATCH(VALUE(questions[[#This Row],[qno]]),VALUE(stable[qno]),0))</f>
        <v>0</v>
      </c>
      <c r="K252" s="9" t="b" cm="1">
        <f t="array" ref="K252">INDEX(stable[is_supply_chain_dependent],MATCH(VALUE(questions[[#This Row],[qno]]),VALUE(stable[qno]),0))</f>
        <v>1</v>
      </c>
      <c r="L252" s="9" t="b" cm="1">
        <f t="array" ref="L252">INDEX(stable[is_mandatory],MATCH(VALUE(questions[[#This Row],[qno]]),VALUE(stable[qno]),0))</f>
        <v>0</v>
      </c>
      <c r="M252" s="9" t="b" cm="1">
        <f t="array" ref="M252">INDEX(stable[is_automated],MATCH(VALUE(questions[[#This Row],[qno]]),VALUE(stable[qno]),0))</f>
        <v>0</v>
      </c>
      <c r="N252" s="9" t="b" cm="1">
        <f t="array" ref="N252">INDEX(stable[is_free_text],MATCH(VALUE(questions[[#This Row],[qno]]),VALUE(stable[qno]),0))</f>
        <v>0</v>
      </c>
      <c r="O252" s="9" t="b" cm="1">
        <f t="array" ref="O252">INDEX(stable[is_numerical],MATCH(VALUE(questions[[#This Row],[qno]]),VALUE(stable[qno]),0))</f>
        <v>0</v>
      </c>
      <c r="P252" s="103" t="b" cm="1">
        <f t="array" ref="P252">INDEX(stable[is_single_select],MATCH(VALUE(questions[[#This Row],[qno]]),VALUE(stable[qno]),0))</f>
        <v>0</v>
      </c>
      <c r="Q252" s="77" t="b" cm="1">
        <f t="array" ref="Q252">INDEX(stable[is_multi_select],MATCH(VALUE(questions[[#This Row],[qno]]),VALUE(stable[qno]),0))</f>
        <v>1</v>
      </c>
      <c r="R252" s="77" t="b" cm="1">
        <f t="array" ref="R252">INDEX(stable[is_skip_logic],MATCH(VALUE(questions[[#This Row],[qno]]),VALUE(stable[qno]),0))</f>
        <v>1</v>
      </c>
      <c r="S252" s="77" t="str">
        <f>_xlfn.TEXTJOIN(", ",TRUE,questions[[#This Row],[ans_opt_1]:[ans_opt_14]])</f>
        <v>Harvesting, Pruning, Weeding, Spraying, Planting new trees, Other, NA</v>
      </c>
      <c r="T252" s="77" t="s">
        <v>246</v>
      </c>
      <c r="U252" s="77" t="s">
        <v>247</v>
      </c>
      <c r="V252" s="77" t="s">
        <v>248</v>
      </c>
      <c r="W252" s="77" t="s">
        <v>249</v>
      </c>
      <c r="X252" s="77" t="s">
        <v>250</v>
      </c>
      <c r="Y252" s="77" t="s">
        <v>112</v>
      </c>
      <c r="Z252" s="77" t="s">
        <v>251</v>
      </c>
      <c r="AH252" s="98" t="b">
        <f>INDEX(stable[q_standard],MATCH(questions[[#This Row],[qno]],stable[qno],0))</f>
        <v>0</v>
      </c>
      <c r="AI252" s="98" t="b">
        <f>INDEX(stable[q_living_income],MATCH(questions[[#This Row],[qno]],stable[qno],0))</f>
        <v>1</v>
      </c>
      <c r="AJ252" s="98" t="b">
        <f>INDEX(stable[q_carbon],MATCH(questions[[#This Row],[qno]],stable[qno],0))</f>
        <v>0</v>
      </c>
      <c r="AK252" s="98" t="b">
        <f>INDEX(stable[q_regen_ag],MATCH(questions[[#This Row],[qno]],stable[qno],0))</f>
        <v>0</v>
      </c>
      <c r="AL252" s="98" t="b">
        <f>COUNTIFS(stable[qno],questions[[#This Row],[qno]])=1</f>
        <v>1</v>
      </c>
      <c r="AM252" s="98" t="b">
        <f>OR(questions[[#This Row],[is_fixed]],questions[[#This Row],[is_localized]],questions[[#This Row],[is_supply_chain_dependent]])</f>
        <v>1</v>
      </c>
      <c r="AN252" s="98" t="b">
        <f>COUNTIFS(questions[[#This Row],[is_automated]:[is_multi_select]],TRUE)=1</f>
        <v>1</v>
      </c>
      <c r="AO252" s="98" t="b">
        <f>IF(questions[[#This Row],[is_fixed]],questions[[#This Row],[question]]=INDEX(stable[question],MATCH(questions[[#This Row],[qno]],stable[qno],0)),TRUE)</f>
        <v>1</v>
      </c>
      <c r="AP252" s="98" t="str">
        <f>LEFT(questions[[#This Row],[question]],similarity_range)</f>
        <v>If yes, what was the</v>
      </c>
      <c r="AQ252" s="98" t="str">
        <f>LEFT(INDEX(stable[question],MATCH(questions[[#This Row],[qno]],stable[qno],0)),similarity_range)</f>
        <v>If yes, what were th</v>
      </c>
      <c r="AR252" s="98" t="b">
        <f>questions[[#This Row],[question_first_characters]]=questions[[#This Row],[stability_first_characters]]</f>
        <v>0</v>
      </c>
      <c r="AS252" s="98" t="b">
        <f>IF(OR(questions[[#This Row],[is_single_select]],questions[[#This Row],[is_multi_select]]),NOT(ISBLANK(questions[[#This Row],[answer_opt_combined]])),TRUE)</f>
        <v>1</v>
      </c>
    </row>
    <row r="253" spans="1:45" x14ac:dyDescent="0.25">
      <c r="A253" s="9" t="str">
        <f>_xlfn.TEXTJOIN("_",TRUE,questions[[#This Row],[origin]:[qno]])</f>
        <v>Uganda_Arabica_Sbux_6022</v>
      </c>
      <c r="B253" s="9" t="s">
        <v>511</v>
      </c>
      <c r="C253" s="9" t="s">
        <v>59</v>
      </c>
      <c r="D253" s="9" t="s">
        <v>512</v>
      </c>
      <c r="F253" s="24" t="s">
        <v>584</v>
      </c>
      <c r="G253" s="15" t="s">
        <v>585</v>
      </c>
      <c r="H253" s="9" t="str" cm="1">
        <f t="array" ref="H253">INDEX(stableR[question],MATCH(VALUE(questions[[#This Row],[qno]]),VALUE(stableR[qno]),0))</f>
        <v>How many days in total did you hire people for this main activity, during the main season? (Number of days)</v>
      </c>
      <c r="I253" s="9" t="b" cm="1">
        <f t="array" ref="I253">INDEX(stable[is_fixed],MATCH(VALUE(questions[[#This Row],[qno]]),VALUE(stable[qno]),0))</f>
        <v>0</v>
      </c>
      <c r="J253" s="9" t="b" cm="1">
        <f t="array" ref="J253">INDEX(stable[is_localized],MATCH(VALUE(questions[[#This Row],[qno]]),VALUE(stable[qno]),0))</f>
        <v>0</v>
      </c>
      <c r="K253" s="9" t="b" cm="1">
        <f t="array" ref="K253">INDEX(stable[is_supply_chain_dependent],MATCH(VALUE(questions[[#This Row],[qno]]),VALUE(stable[qno]),0))</f>
        <v>1</v>
      </c>
      <c r="L253" s="9" t="b" cm="1">
        <f t="array" ref="L253">INDEX(stable[is_mandatory],MATCH(VALUE(questions[[#This Row],[qno]]),VALUE(stable[qno]),0))</f>
        <v>0</v>
      </c>
      <c r="M253" s="9" t="b" cm="1">
        <f t="array" ref="M253">INDEX(stable[is_automated],MATCH(VALUE(questions[[#This Row],[qno]]),VALUE(stable[qno]),0))</f>
        <v>0</v>
      </c>
      <c r="N253" s="9" t="b" cm="1">
        <f t="array" ref="N253">INDEX(stable[is_free_text],MATCH(VALUE(questions[[#This Row],[qno]]),VALUE(stable[qno]),0))</f>
        <v>0</v>
      </c>
      <c r="O253" s="9" t="b" cm="1">
        <f t="array" ref="O253">INDEX(stable[is_numerical],MATCH(VALUE(questions[[#This Row],[qno]]),VALUE(stable[qno]),0))</f>
        <v>1</v>
      </c>
      <c r="P253" s="32" t="b" cm="1">
        <f t="array" ref="P253">INDEX(stable[is_single_select],MATCH(VALUE(questions[[#This Row],[qno]]),VALUE(stable[qno]),0))</f>
        <v>0</v>
      </c>
      <c r="Q253" s="9" t="b" cm="1">
        <f t="array" ref="Q253">INDEX(stable[is_multi_select],MATCH(VALUE(questions[[#This Row],[qno]]),VALUE(stable[qno]),0))</f>
        <v>0</v>
      </c>
      <c r="R253" s="9" t="b" cm="1">
        <f t="array" ref="R253">INDEX(stable[is_skip_logic],MATCH(VALUE(questions[[#This Row],[qno]]),VALUE(stable[qno]),0))</f>
        <v>1</v>
      </c>
      <c r="S253" s="9" t="str">
        <f>_xlfn.TEXTJOIN(", ",TRUE,questions[[#This Row],[ans_opt_1]:[ans_opt_14]])</f>
        <v/>
      </c>
      <c r="AH253" s="16" t="b">
        <f>INDEX(stable[q_standard],MATCH(questions[[#This Row],[qno]],stable[qno],0))</f>
        <v>0</v>
      </c>
      <c r="AI253" s="16" t="b">
        <f>INDEX(stable[q_living_income],MATCH(questions[[#This Row],[qno]],stable[qno],0))</f>
        <v>1</v>
      </c>
      <c r="AJ253" s="16" t="b">
        <f>INDEX(stable[q_carbon],MATCH(questions[[#This Row],[qno]],stable[qno],0))</f>
        <v>0</v>
      </c>
      <c r="AK253" s="16" t="b">
        <f>INDEX(stable[q_regen_ag],MATCH(questions[[#This Row],[qno]],stable[qno],0))</f>
        <v>0</v>
      </c>
      <c r="AL253" s="16" t="b">
        <f>COUNTIFS(stable[qno],questions[[#This Row],[qno]])=1</f>
        <v>1</v>
      </c>
      <c r="AM253" s="16" t="b">
        <f>OR(questions[[#This Row],[is_fixed]],questions[[#This Row],[is_localized]],questions[[#This Row],[is_supply_chain_dependent]])</f>
        <v>1</v>
      </c>
      <c r="AN253" s="16" t="b">
        <f>COUNTIFS(questions[[#This Row],[is_automated]:[is_multi_select]],TRUE)=1</f>
        <v>1</v>
      </c>
      <c r="AO253" s="16" t="b">
        <f>IF(questions[[#This Row],[is_fixed]],questions[[#This Row],[question]]=INDEX(stable[question],MATCH(questions[[#This Row],[qno]],stable[qno],0)),TRUE)</f>
        <v>1</v>
      </c>
      <c r="AP253" s="16" t="str">
        <f>LEFT(questions[[#This Row],[question]],similarity_range)</f>
        <v>If yes, how many day</v>
      </c>
      <c r="AQ253" s="16" t="str">
        <f>LEFT(INDEX(stable[question],MATCH(questions[[#This Row],[qno]],stable[qno],0)),similarity_range)</f>
        <v>If yes, how many day</v>
      </c>
      <c r="AR253" s="16" t="b">
        <f>questions[[#This Row],[question_first_characters]]=questions[[#This Row],[stability_first_characters]]</f>
        <v>1</v>
      </c>
      <c r="AS253" s="16" t="b">
        <f>IF(OR(questions[[#This Row],[is_single_select]],questions[[#This Row],[is_multi_select]]),NOT(ISBLANK(questions[[#This Row],[answer_opt_combined]])),TRUE)</f>
        <v>1</v>
      </c>
    </row>
    <row r="254" spans="1:45" x14ac:dyDescent="0.25">
      <c r="A254" s="9" t="str">
        <f>_xlfn.TEXTJOIN("_",TRUE,questions[[#This Row],[origin]:[qno]])</f>
        <v>Uganda_Arabica_Sbux_6023</v>
      </c>
      <c r="B254" s="9" t="s">
        <v>511</v>
      </c>
      <c r="C254" s="9" t="s">
        <v>59</v>
      </c>
      <c r="D254" s="9" t="s">
        <v>512</v>
      </c>
      <c r="F254" s="24" t="s">
        <v>586</v>
      </c>
      <c r="G254" s="15" t="s">
        <v>587</v>
      </c>
      <c r="H254" s="9" t="str" cm="1">
        <f t="array" ref="H254">INDEX(stableR[question],MATCH(VALUE(questions[[#This Row],[qno]]),VALUE(stableR[qno]),0))</f>
        <v>How many people did you typically hire per day for this main activity during main season?</v>
      </c>
      <c r="I254" s="9" t="b" cm="1">
        <f t="array" ref="I254">INDEX(stable[is_fixed],MATCH(VALUE(questions[[#This Row],[qno]]),VALUE(stable[qno]),0))</f>
        <v>0</v>
      </c>
      <c r="J254" s="9" t="b" cm="1">
        <f t="array" ref="J254">INDEX(stable[is_localized],MATCH(VALUE(questions[[#This Row],[qno]]),VALUE(stable[qno]),0))</f>
        <v>0</v>
      </c>
      <c r="K254" s="9" t="b" cm="1">
        <f t="array" ref="K254">INDEX(stable[is_supply_chain_dependent],MATCH(VALUE(questions[[#This Row],[qno]]),VALUE(stable[qno]),0))</f>
        <v>1</v>
      </c>
      <c r="L254" s="9" t="b" cm="1">
        <f t="array" ref="L254">INDEX(stable[is_mandatory],MATCH(VALUE(questions[[#This Row],[qno]]),VALUE(stable[qno]),0))</f>
        <v>0</v>
      </c>
      <c r="M254" s="9" t="b" cm="1">
        <f t="array" ref="M254">INDEX(stable[is_automated],MATCH(VALUE(questions[[#This Row],[qno]]),VALUE(stable[qno]),0))</f>
        <v>0</v>
      </c>
      <c r="N254" s="9" t="b" cm="1">
        <f t="array" ref="N254">INDEX(stable[is_free_text],MATCH(VALUE(questions[[#This Row],[qno]]),VALUE(stable[qno]),0))</f>
        <v>0</v>
      </c>
      <c r="O254" s="9" t="b" cm="1">
        <f t="array" ref="O254">INDEX(stable[is_numerical],MATCH(VALUE(questions[[#This Row],[qno]]),VALUE(stable[qno]),0))</f>
        <v>1</v>
      </c>
      <c r="P254" s="32" t="b" cm="1">
        <f t="array" ref="P254">INDEX(stable[is_single_select],MATCH(VALUE(questions[[#This Row],[qno]]),VALUE(stable[qno]),0))</f>
        <v>0</v>
      </c>
      <c r="Q254" s="9" t="b" cm="1">
        <f t="array" ref="Q254">INDEX(stable[is_multi_select],MATCH(VALUE(questions[[#This Row],[qno]]),VALUE(stable[qno]),0))</f>
        <v>0</v>
      </c>
      <c r="R254" s="9" t="b" cm="1">
        <f t="array" ref="R254">INDEX(stable[is_skip_logic],MATCH(VALUE(questions[[#This Row],[qno]]),VALUE(stable[qno]),0))</f>
        <v>1</v>
      </c>
      <c r="S254" s="9" t="str">
        <f>_xlfn.TEXTJOIN(", ",TRUE,questions[[#This Row],[ans_opt_1]:[ans_opt_14]])</f>
        <v/>
      </c>
      <c r="AH254" s="16" t="b">
        <f>INDEX(stable[q_standard],MATCH(questions[[#This Row],[qno]],stable[qno],0))</f>
        <v>0</v>
      </c>
      <c r="AI254" s="16" t="b">
        <f>INDEX(stable[q_living_income],MATCH(questions[[#This Row],[qno]],stable[qno],0))</f>
        <v>1</v>
      </c>
      <c r="AJ254" s="16" t="b">
        <f>INDEX(stable[q_carbon],MATCH(questions[[#This Row],[qno]],stable[qno],0))</f>
        <v>0</v>
      </c>
      <c r="AK254" s="16" t="b">
        <f>INDEX(stable[q_regen_ag],MATCH(questions[[#This Row],[qno]],stable[qno],0))</f>
        <v>0</v>
      </c>
      <c r="AL254" s="16" t="b">
        <f>COUNTIFS(stable[qno],questions[[#This Row],[qno]])=1</f>
        <v>1</v>
      </c>
      <c r="AM254" s="16" t="b">
        <f>OR(questions[[#This Row],[is_fixed]],questions[[#This Row],[is_localized]],questions[[#This Row],[is_supply_chain_dependent]])</f>
        <v>1</v>
      </c>
      <c r="AN254" s="16" t="b">
        <f>COUNTIFS(questions[[#This Row],[is_automated]:[is_multi_select]],TRUE)=1</f>
        <v>1</v>
      </c>
      <c r="AO254" s="16" t="b">
        <f>IF(questions[[#This Row],[is_fixed]],questions[[#This Row],[question]]=INDEX(stable[question],MATCH(questions[[#This Row],[qno]],stable[qno],0)),TRUE)</f>
        <v>1</v>
      </c>
      <c r="AP254" s="16" t="str">
        <f>LEFT(questions[[#This Row],[question]],similarity_range)</f>
        <v>If yes, every day, h</v>
      </c>
      <c r="AQ254" s="16" t="str">
        <f>LEFT(INDEX(stable[question],MATCH(questions[[#This Row],[qno]],stable[qno],0)),similarity_range)</f>
        <v>If yes, how many peo</v>
      </c>
      <c r="AR254" s="16" t="b">
        <f>questions[[#This Row],[question_first_characters]]=questions[[#This Row],[stability_first_characters]]</f>
        <v>0</v>
      </c>
      <c r="AS254" s="16" t="b">
        <f>IF(OR(questions[[#This Row],[is_single_select]],questions[[#This Row],[is_multi_select]]),NOT(ISBLANK(questions[[#This Row],[answer_opt_combined]])),TRUE)</f>
        <v>1</v>
      </c>
    </row>
    <row r="255" spans="1:45" s="77" customFormat="1" x14ac:dyDescent="0.25">
      <c r="A255" s="77" t="str">
        <f>_xlfn.TEXTJOIN("_",TRUE,questions[[#This Row],[origin]:[qno]])</f>
        <v>Uganda_Arabica_Sbux_6100</v>
      </c>
      <c r="B255" s="77" t="s">
        <v>511</v>
      </c>
      <c r="C255" s="77" t="s">
        <v>59</v>
      </c>
      <c r="D255" s="77" t="s">
        <v>512</v>
      </c>
      <c r="F255" s="104" t="s">
        <v>256</v>
      </c>
      <c r="G255" s="78" t="s">
        <v>257</v>
      </c>
      <c r="H255" s="9" t="str" cm="1">
        <f t="array" ref="H255">INDEX(stableR[question],MATCH(VALUE(questions[[#This Row],[qno]]),VALUE(stableR[qno]),0))</f>
        <v>Did you use any monetary loan for coffee activities last year?</v>
      </c>
      <c r="I255" s="9" t="b" cm="1">
        <f t="array" ref="I255">INDEX(stable[is_fixed],MATCH(VALUE(questions[[#This Row],[qno]]),VALUE(stable[qno]),0))</f>
        <v>1</v>
      </c>
      <c r="J255" s="9" t="b" cm="1">
        <f t="array" ref="J255">INDEX(stable[is_localized],MATCH(VALUE(questions[[#This Row],[qno]]),VALUE(stable[qno]),0))</f>
        <v>0</v>
      </c>
      <c r="K255" s="9" t="b" cm="1">
        <f t="array" ref="K255">INDEX(stable[is_supply_chain_dependent],MATCH(VALUE(questions[[#This Row],[qno]]),VALUE(stable[qno]),0))</f>
        <v>0</v>
      </c>
      <c r="L255" s="9" t="b" cm="1">
        <f t="array" ref="L255">INDEX(stable[is_mandatory],MATCH(VALUE(questions[[#This Row],[qno]]),VALUE(stable[qno]),0))</f>
        <v>1</v>
      </c>
      <c r="M255" s="9" t="b" cm="1">
        <f t="array" ref="M255">INDEX(stable[is_automated],MATCH(VALUE(questions[[#This Row],[qno]]),VALUE(stable[qno]),0))</f>
        <v>0</v>
      </c>
      <c r="N255" s="9" t="b" cm="1">
        <f t="array" ref="N255">INDEX(stable[is_free_text],MATCH(VALUE(questions[[#This Row],[qno]]),VALUE(stable[qno]),0))</f>
        <v>0</v>
      </c>
      <c r="O255" s="9" t="b" cm="1">
        <f t="array" ref="O255">INDEX(stable[is_numerical],MATCH(VALUE(questions[[#This Row],[qno]]),VALUE(stable[qno]),0))</f>
        <v>0</v>
      </c>
      <c r="P255" s="103" t="b" cm="1">
        <f t="array" ref="P255">INDEX(stable[is_single_select],MATCH(VALUE(questions[[#This Row],[qno]]),VALUE(stable[qno]),0))</f>
        <v>1</v>
      </c>
      <c r="Q255" s="77" t="b" cm="1">
        <f t="array" ref="Q255">INDEX(stable[is_multi_select],MATCH(VALUE(questions[[#This Row],[qno]]),VALUE(stable[qno]),0))</f>
        <v>0</v>
      </c>
      <c r="R255" s="77" t="b" cm="1">
        <f t="array" ref="R255">INDEX(stable[is_skip_logic],MATCH(VALUE(questions[[#This Row],[qno]]),VALUE(stable[qno]),0))</f>
        <v>1</v>
      </c>
      <c r="S255" s="77" t="str">
        <f>_xlfn.TEXTJOIN(", ",TRUE,questions[[#This Row],[ans_opt_1]:[ans_opt_14]])</f>
        <v>Yes, No</v>
      </c>
      <c r="T255" s="77" t="s">
        <v>149</v>
      </c>
      <c r="U255" s="77" t="s">
        <v>119</v>
      </c>
      <c r="AH255" s="98" t="b">
        <f>INDEX(stable[q_standard],MATCH(questions[[#This Row],[qno]],stable[qno],0))</f>
        <v>0</v>
      </c>
      <c r="AI255" s="98" t="b">
        <f>INDEX(stable[q_living_income],MATCH(questions[[#This Row],[qno]],stable[qno],0))</f>
        <v>1</v>
      </c>
      <c r="AJ255" s="98" t="b">
        <f>INDEX(stable[q_carbon],MATCH(questions[[#This Row],[qno]],stable[qno],0))</f>
        <v>0</v>
      </c>
      <c r="AK255" s="98" t="b">
        <f>INDEX(stable[q_regen_ag],MATCH(questions[[#This Row],[qno]],stable[qno],0))</f>
        <v>0</v>
      </c>
      <c r="AL255" s="98" t="b">
        <f>COUNTIFS(stable[qno],questions[[#This Row],[qno]])=1</f>
        <v>1</v>
      </c>
      <c r="AM255" s="98" t="b">
        <f>OR(questions[[#This Row],[is_fixed]],questions[[#This Row],[is_localized]],questions[[#This Row],[is_supply_chain_dependent]])</f>
        <v>1</v>
      </c>
      <c r="AN255" s="98" t="b">
        <f>COUNTIFS(questions[[#This Row],[is_automated]:[is_multi_select]],TRUE)=1</f>
        <v>1</v>
      </c>
      <c r="AO255" s="98" t="b">
        <f>IF(questions[[#This Row],[is_fixed]],questions[[#This Row],[question]]=INDEX(stable[question],MATCH(questions[[#This Row],[qno]],stable[qno],0)),TRUE)</f>
        <v>0</v>
      </c>
      <c r="AP255" s="98" t="str">
        <f>LEFT(questions[[#This Row],[question]],similarity_range)</f>
        <v>Did you use any mone</v>
      </c>
      <c r="AQ255" s="98" t="str">
        <f>LEFT(INDEX(stable[question],MATCH(questions[[#This Row],[qno]],stable[qno],0)),similarity_range)</f>
        <v>Did you use any mone</v>
      </c>
      <c r="AR255" s="98" t="b">
        <f>questions[[#This Row],[question_first_characters]]=questions[[#This Row],[stability_first_characters]]</f>
        <v>1</v>
      </c>
      <c r="AS255" s="98" t="b">
        <f>IF(OR(questions[[#This Row],[is_single_select]],questions[[#This Row],[is_multi_select]]),NOT(ISBLANK(questions[[#This Row],[answer_opt_combined]])),TRUE)</f>
        <v>1</v>
      </c>
    </row>
    <row r="256" spans="1:45" x14ac:dyDescent="0.25">
      <c r="A256" s="9" t="str">
        <f>_xlfn.TEXTJOIN("_",TRUE,questions[[#This Row],[origin]:[qno]])</f>
        <v>Uganda_Arabica_Sbux_6101</v>
      </c>
      <c r="B256" s="9" t="s">
        <v>511</v>
      </c>
      <c r="C256" s="9" t="s">
        <v>59</v>
      </c>
      <c r="D256" s="9" t="s">
        <v>512</v>
      </c>
      <c r="F256" s="24" t="s">
        <v>258</v>
      </c>
      <c r="G256" s="15" t="s">
        <v>259</v>
      </c>
      <c r="H256" s="9" t="str" cm="1">
        <f t="array" ref="H256">INDEX(stableR[question],MATCH(VALUE(questions[[#This Row],[qno]]),VALUE(stableR[qno]),0))</f>
        <v>What was the total amount of loans you borrowed last year (in your local currency)?</v>
      </c>
      <c r="I256" s="9" t="b" cm="1">
        <f t="array" ref="I256">INDEX(stable[is_fixed],MATCH(VALUE(questions[[#This Row],[qno]]),VALUE(stable[qno]),0))</f>
        <v>1</v>
      </c>
      <c r="J256" s="9" t="b" cm="1">
        <f t="array" ref="J256">INDEX(stable[is_localized],MATCH(VALUE(questions[[#This Row],[qno]]),VALUE(stable[qno]),0))</f>
        <v>0</v>
      </c>
      <c r="K256" s="9" t="b" cm="1">
        <f t="array" ref="K256">INDEX(stable[is_supply_chain_dependent],MATCH(VALUE(questions[[#This Row],[qno]]),VALUE(stable[qno]),0))</f>
        <v>0</v>
      </c>
      <c r="L256" s="9" t="b" cm="1">
        <f t="array" ref="L256">INDEX(stable[is_mandatory],MATCH(VALUE(questions[[#This Row],[qno]]),VALUE(stable[qno]),0))</f>
        <v>0</v>
      </c>
      <c r="M256" s="9" t="b" cm="1">
        <f t="array" ref="M256">INDEX(stable[is_automated],MATCH(VALUE(questions[[#This Row],[qno]]),VALUE(stable[qno]),0))</f>
        <v>0</v>
      </c>
      <c r="N256" s="9" t="b" cm="1">
        <f t="array" ref="N256">INDEX(stable[is_free_text],MATCH(VALUE(questions[[#This Row],[qno]]),VALUE(stable[qno]),0))</f>
        <v>0</v>
      </c>
      <c r="O256" s="9" t="b" cm="1">
        <f t="array" ref="O256">INDEX(stable[is_numerical],MATCH(VALUE(questions[[#This Row],[qno]]),VALUE(stable[qno]),0))</f>
        <v>0</v>
      </c>
      <c r="P256" s="32" t="b" cm="1">
        <f t="array" ref="P256">INDEX(stable[is_single_select],MATCH(VALUE(questions[[#This Row],[qno]]),VALUE(stable[qno]),0))</f>
        <v>0</v>
      </c>
      <c r="Q256" s="9" t="b" cm="1">
        <f t="array" ref="Q256">INDEX(stable[is_multi_select],MATCH(VALUE(questions[[#This Row],[qno]]),VALUE(stable[qno]),0))</f>
        <v>1</v>
      </c>
      <c r="R256" s="9" t="b" cm="1">
        <f t="array" ref="R256">INDEX(stable[is_skip_logic],MATCH(VALUE(questions[[#This Row],[qno]]),VALUE(stable[qno]),0))</f>
        <v>1</v>
      </c>
      <c r="S256" s="9" t="str">
        <f>_xlfn.TEXTJOIN(", ",TRUE,questions[[#This Row],[ans_opt_1]:[ans_opt_14]])</f>
        <v/>
      </c>
      <c r="AH256" s="16" t="b">
        <f>INDEX(stable[q_standard],MATCH(questions[[#This Row],[qno]],stable[qno],0))</f>
        <v>0</v>
      </c>
      <c r="AI256" s="16" t="b">
        <f>INDEX(stable[q_living_income],MATCH(questions[[#This Row],[qno]],stable[qno],0))</f>
        <v>1</v>
      </c>
      <c r="AJ256" s="16" t="b">
        <f>INDEX(stable[q_carbon],MATCH(questions[[#This Row],[qno]],stable[qno],0))</f>
        <v>0</v>
      </c>
      <c r="AK256" s="16" t="b">
        <f>INDEX(stable[q_regen_ag],MATCH(questions[[#This Row],[qno]],stable[qno],0))</f>
        <v>0</v>
      </c>
      <c r="AL256" s="16" t="b">
        <f>COUNTIFS(stable[qno],questions[[#This Row],[qno]])=1</f>
        <v>1</v>
      </c>
      <c r="AM256" s="16" t="b">
        <f>OR(questions[[#This Row],[is_fixed]],questions[[#This Row],[is_localized]],questions[[#This Row],[is_supply_chain_dependent]])</f>
        <v>1</v>
      </c>
      <c r="AN256" s="16" t="b">
        <f>COUNTIFS(questions[[#This Row],[is_automated]:[is_multi_select]],TRUE)=1</f>
        <v>1</v>
      </c>
      <c r="AO256" s="16" t="b">
        <f>IF(questions[[#This Row],[is_fixed]],questions[[#This Row],[question]]=INDEX(stable[question],MATCH(questions[[#This Row],[qno]],stable[qno],0)),TRUE)</f>
        <v>1</v>
      </c>
      <c r="AP256" s="16" t="str">
        <f>LEFT(questions[[#This Row],[question]],similarity_range)</f>
        <v xml:space="preserve">If yes, how did you </v>
      </c>
      <c r="AQ256" s="16" t="str">
        <f>LEFT(INDEX(stable[question],MATCH(questions[[#This Row],[qno]],stable[qno],0)),similarity_range)</f>
        <v xml:space="preserve">If yes, how did you </v>
      </c>
      <c r="AR256" s="16" t="b">
        <f>questions[[#This Row],[question_first_characters]]=questions[[#This Row],[stability_first_characters]]</f>
        <v>1</v>
      </c>
      <c r="AS256" s="16" t="b">
        <f>IF(OR(questions[[#This Row],[is_single_select]],questions[[#This Row],[is_multi_select]]),NOT(ISBLANK(questions[[#This Row],[answer_opt_combined]])),TRUE)</f>
        <v>1</v>
      </c>
    </row>
    <row r="257" spans="1:45" x14ac:dyDescent="0.25">
      <c r="A257" s="9" t="str">
        <f>_xlfn.TEXTJOIN("_",TRUE,questions[[#This Row],[origin]:[qno]])</f>
        <v>Uganda_Arabica_Sbux_6102</v>
      </c>
      <c r="B257" s="9" t="s">
        <v>511</v>
      </c>
      <c r="C257" s="9" t="s">
        <v>59</v>
      </c>
      <c r="D257" s="9" t="s">
        <v>512</v>
      </c>
      <c r="F257" s="24" t="s">
        <v>260</v>
      </c>
      <c r="G257" s="15" t="s">
        <v>588</v>
      </c>
      <c r="H257" s="9" t="str" cm="1">
        <f t="array" ref="H257">INDEX(stableR[question],MATCH(VALUE(questions[[#This Row],[qno]]),VALUE(stableR[qno]),0))</f>
        <v>How did you have to pay for this? (in cash or in cherries? Please explain)</v>
      </c>
      <c r="I257" s="9" t="b" cm="1">
        <f t="array" ref="I257">INDEX(stable[is_fixed],MATCH(VALUE(questions[[#This Row],[qno]]),VALUE(stable[qno]),0))</f>
        <v>0</v>
      </c>
      <c r="J257" s="9" t="b" cm="1">
        <f t="array" ref="J257">INDEX(stable[is_localized],MATCH(VALUE(questions[[#This Row],[qno]]),VALUE(stable[qno]),0))</f>
        <v>1</v>
      </c>
      <c r="K257" s="9" t="b" cm="1">
        <f t="array" ref="K257">INDEX(stable[is_supply_chain_dependent],MATCH(VALUE(questions[[#This Row],[qno]]),VALUE(stable[qno]),0))</f>
        <v>0</v>
      </c>
      <c r="L257" s="9" t="b" cm="1">
        <f t="array" ref="L257">INDEX(stable[is_mandatory],MATCH(VALUE(questions[[#This Row],[qno]]),VALUE(stable[qno]),0))</f>
        <v>0</v>
      </c>
      <c r="M257" s="9" t="b" cm="1">
        <f t="array" ref="M257">INDEX(stable[is_automated],MATCH(VALUE(questions[[#This Row],[qno]]),VALUE(stable[qno]),0))</f>
        <v>0</v>
      </c>
      <c r="N257" s="9" t="b" cm="1">
        <f t="array" ref="N257">INDEX(stable[is_free_text],MATCH(VALUE(questions[[#This Row],[qno]]),VALUE(stable[qno]),0))</f>
        <v>0</v>
      </c>
      <c r="O257" s="9" t="b" cm="1">
        <f t="array" ref="O257">INDEX(stable[is_numerical],MATCH(VALUE(questions[[#This Row],[qno]]),VALUE(stable[qno]),0))</f>
        <v>1</v>
      </c>
      <c r="P257" s="32" t="b" cm="1">
        <f t="array" ref="P257">INDEX(stable[is_single_select],MATCH(VALUE(questions[[#This Row],[qno]]),VALUE(stable[qno]),0))</f>
        <v>0</v>
      </c>
      <c r="Q257" s="9" t="b" cm="1">
        <f t="array" ref="Q257">INDEX(stable[is_multi_select],MATCH(VALUE(questions[[#This Row],[qno]]),VALUE(stable[qno]),0))</f>
        <v>0</v>
      </c>
      <c r="R257" s="9" t="b" cm="1">
        <f t="array" ref="R257">INDEX(stable[is_skip_logic],MATCH(VALUE(questions[[#This Row],[qno]]),VALUE(stable[qno]),0))</f>
        <v>1</v>
      </c>
      <c r="S257" s="9" t="str">
        <f>_xlfn.TEXTJOIN(", ",TRUE,questions[[#This Row],[ans_opt_1]:[ans_opt_14]])</f>
        <v/>
      </c>
      <c r="AH257" s="16" t="b">
        <f>INDEX(stable[q_standard],MATCH(questions[[#This Row],[qno]],stable[qno],0))</f>
        <v>0</v>
      </c>
      <c r="AI257" s="16" t="b">
        <f>INDEX(stable[q_living_income],MATCH(questions[[#This Row],[qno]],stable[qno],0))</f>
        <v>1</v>
      </c>
      <c r="AJ257" s="16" t="b">
        <f>INDEX(stable[q_carbon],MATCH(questions[[#This Row],[qno]],stable[qno],0))</f>
        <v>0</v>
      </c>
      <c r="AK257" s="16" t="b">
        <f>INDEX(stable[q_regen_ag],MATCH(questions[[#This Row],[qno]],stable[qno],0))</f>
        <v>0</v>
      </c>
      <c r="AL257" s="16" t="b">
        <f>COUNTIFS(stable[qno],questions[[#This Row],[qno]])=1</f>
        <v>1</v>
      </c>
      <c r="AM257" s="16" t="b">
        <f>OR(questions[[#This Row],[is_fixed]],questions[[#This Row],[is_localized]],questions[[#This Row],[is_supply_chain_dependent]])</f>
        <v>1</v>
      </c>
      <c r="AN257" s="16" t="b">
        <f>COUNTIFS(questions[[#This Row],[is_automated]:[is_multi_select]],TRUE)=1</f>
        <v>1</v>
      </c>
      <c r="AO257" s="16" t="b">
        <f>IF(questions[[#This Row],[is_fixed]],questions[[#This Row],[question]]=INDEX(stable[question],MATCH(questions[[#This Row],[qno]],stable[qno],0)),TRUE)</f>
        <v>1</v>
      </c>
      <c r="AP257" s="16" t="str">
        <f>LEFT(questions[[#This Row],[question]],similarity_range)</f>
        <v>If yes, can you esti</v>
      </c>
      <c r="AQ257" s="16" t="str">
        <f>LEFT(INDEX(stable[question],MATCH(questions[[#This Row],[qno]],stable[qno],0)),similarity_range)</f>
        <v>If yes, can you esti</v>
      </c>
      <c r="AR257" s="16" t="b">
        <f>questions[[#This Row],[question_first_characters]]=questions[[#This Row],[stability_first_characters]]</f>
        <v>1</v>
      </c>
      <c r="AS257" s="16" t="b">
        <f>IF(OR(questions[[#This Row],[is_single_select]],questions[[#This Row],[is_multi_select]]),NOT(ISBLANK(questions[[#This Row],[answer_opt_combined]])),TRUE)</f>
        <v>1</v>
      </c>
    </row>
    <row r="258" spans="1:45" x14ac:dyDescent="0.25">
      <c r="A258" s="9" t="str">
        <f>_xlfn.TEXTJOIN("_",TRUE,questions[[#This Row],[origin]:[qno]])</f>
        <v>Uganda_Arabica_Sbux_6103</v>
      </c>
      <c r="B258" s="9" t="s">
        <v>511</v>
      </c>
      <c r="C258" s="9" t="s">
        <v>59</v>
      </c>
      <c r="D258" s="9" t="s">
        <v>512</v>
      </c>
      <c r="F258" s="24" t="s">
        <v>262</v>
      </c>
      <c r="G258" s="15" t="s">
        <v>589</v>
      </c>
      <c r="H258" s="9" t="str" cm="1">
        <f t="array" ref="H258">INDEX(stableR[question],MATCH(VALUE(questions[[#This Row],[qno]]),VALUE(stableR[qno]),0))</f>
        <v>Can you estimate how much you had to repay, in total, for the loan last year, including interest (in local currency)</v>
      </c>
      <c r="I258" s="9" t="b" cm="1">
        <f t="array" ref="I258">INDEX(stable[is_fixed],MATCH(VALUE(questions[[#This Row],[qno]]),VALUE(stable[qno]),0))</f>
        <v>0</v>
      </c>
      <c r="J258" s="9" t="b" cm="1">
        <f t="array" ref="J258">INDEX(stable[is_localized],MATCH(VALUE(questions[[#This Row],[qno]]),VALUE(stable[qno]),0))</f>
        <v>1</v>
      </c>
      <c r="K258" s="9" t="b" cm="1">
        <f t="array" ref="K258">INDEX(stable[is_supply_chain_dependent],MATCH(VALUE(questions[[#This Row],[qno]]),VALUE(stable[qno]),0))</f>
        <v>0</v>
      </c>
      <c r="L258" s="9" t="b" cm="1">
        <f t="array" ref="L258">INDEX(stable[is_mandatory],MATCH(VALUE(questions[[#This Row],[qno]]),VALUE(stable[qno]),0))</f>
        <v>0</v>
      </c>
      <c r="M258" s="9" t="b" cm="1">
        <f t="array" ref="M258">INDEX(stable[is_automated],MATCH(VALUE(questions[[#This Row],[qno]]),VALUE(stable[qno]),0))</f>
        <v>0</v>
      </c>
      <c r="N258" s="9" t="b" cm="1">
        <f t="array" ref="N258">INDEX(stable[is_free_text],MATCH(VALUE(questions[[#This Row],[qno]]),VALUE(stable[qno]),0))</f>
        <v>0</v>
      </c>
      <c r="O258" s="9" t="b" cm="1">
        <f t="array" ref="O258">INDEX(stable[is_numerical],MATCH(VALUE(questions[[#This Row],[qno]]),VALUE(stable[qno]),0))</f>
        <v>1</v>
      </c>
      <c r="P258" s="32" t="b" cm="1">
        <f t="array" ref="P258">INDEX(stable[is_single_select],MATCH(VALUE(questions[[#This Row],[qno]]),VALUE(stable[qno]),0))</f>
        <v>0</v>
      </c>
      <c r="Q258" s="9" t="b" cm="1">
        <f t="array" ref="Q258">INDEX(stable[is_multi_select],MATCH(VALUE(questions[[#This Row],[qno]]),VALUE(stable[qno]),0))</f>
        <v>0</v>
      </c>
      <c r="R258" s="9" t="b" cm="1">
        <f t="array" ref="R258">INDEX(stable[is_skip_logic],MATCH(VALUE(questions[[#This Row],[qno]]),VALUE(stable[qno]),0))</f>
        <v>1</v>
      </c>
      <c r="S258" s="9" t="str">
        <f>_xlfn.TEXTJOIN(", ",TRUE,questions[[#This Row],[ans_opt_1]:[ans_opt_14]])</f>
        <v/>
      </c>
      <c r="AH258" s="16" t="b">
        <f>INDEX(stable[q_standard],MATCH(questions[[#This Row],[qno]],stable[qno],0))</f>
        <v>0</v>
      </c>
      <c r="AI258" s="16" t="b">
        <f>INDEX(stable[q_living_income],MATCH(questions[[#This Row],[qno]],stable[qno],0))</f>
        <v>1</v>
      </c>
      <c r="AJ258" s="16" t="b">
        <f>INDEX(stable[q_carbon],MATCH(questions[[#This Row],[qno]],stable[qno],0))</f>
        <v>0</v>
      </c>
      <c r="AK258" s="16" t="b">
        <f>INDEX(stable[q_regen_ag],MATCH(questions[[#This Row],[qno]],stable[qno],0))</f>
        <v>0</v>
      </c>
      <c r="AL258" s="16" t="b">
        <f>COUNTIFS(stable[qno],questions[[#This Row],[qno]])=1</f>
        <v>1</v>
      </c>
      <c r="AM258" s="16" t="b">
        <f>OR(questions[[#This Row],[is_fixed]],questions[[#This Row],[is_localized]],questions[[#This Row],[is_supply_chain_dependent]])</f>
        <v>1</v>
      </c>
      <c r="AN258" s="16" t="b">
        <f>COUNTIFS(questions[[#This Row],[is_automated]:[is_multi_select]],TRUE)=1</f>
        <v>1</v>
      </c>
      <c r="AO258" s="16" t="b">
        <f>IF(questions[[#This Row],[is_fixed]],questions[[#This Row],[question]]=INDEX(stable[question],MATCH(questions[[#This Row],[qno]],stable[qno],0)),TRUE)</f>
        <v>1</v>
      </c>
      <c r="AP258" s="16" t="str">
        <f>LEFT(questions[[#This Row],[question]],similarity_range)</f>
        <v>If yes, can you esti</v>
      </c>
      <c r="AQ258" s="16" t="str">
        <f>LEFT(INDEX(stable[question],MATCH(questions[[#This Row],[qno]],stable[qno],0)),similarity_range)</f>
        <v>If yes, can you esti</v>
      </c>
      <c r="AR258" s="16" t="b">
        <f>questions[[#This Row],[question_first_characters]]=questions[[#This Row],[stability_first_characters]]</f>
        <v>1</v>
      </c>
      <c r="AS258" s="16" t="b">
        <f>IF(OR(questions[[#This Row],[is_single_select]],questions[[#This Row],[is_multi_select]]),NOT(ISBLANK(questions[[#This Row],[answer_opt_combined]])),TRUE)</f>
        <v>1</v>
      </c>
    </row>
    <row r="259" spans="1:45" s="77" customFormat="1" x14ac:dyDescent="0.25">
      <c r="A259" s="77" t="str">
        <f>_xlfn.TEXTJOIN("_",TRUE,questions[[#This Row],[origin]:[qno]])</f>
        <v>Uganda_Arabica_Sbux_6190</v>
      </c>
      <c r="B259" s="77" t="s">
        <v>511</v>
      </c>
      <c r="C259" s="77" t="s">
        <v>59</v>
      </c>
      <c r="D259" s="77" t="s">
        <v>512</v>
      </c>
      <c r="F259" s="104" t="s">
        <v>590</v>
      </c>
      <c r="G259" s="78" t="s">
        <v>591</v>
      </c>
      <c r="H259" s="9" t="str" cm="1">
        <f t="array" ref="H259">INDEX(stableR[question],MATCH(VALUE(questions[[#This Row],[qno]]),VALUE(stableR[qno]),0))</f>
        <v>Have you ever used a loan before, no only last year, but in general? This can be both a formal loan from a SACCO or bank, as well as informal loans from traders or a VSLA.</v>
      </c>
      <c r="I259" s="9" t="b" cm="1">
        <f t="array" ref="I259">INDEX(stable[is_fixed],MATCH(VALUE(questions[[#This Row],[qno]]),VALUE(stable[qno]),0))</f>
        <v>0</v>
      </c>
      <c r="J259" s="9" t="b" cm="1">
        <f t="array" ref="J259">INDEX(stable[is_localized],MATCH(VALUE(questions[[#This Row],[qno]]),VALUE(stable[qno]),0))</f>
        <v>1</v>
      </c>
      <c r="K259" s="9" t="b" cm="1">
        <f t="array" ref="K259">INDEX(stable[is_supply_chain_dependent],MATCH(VALUE(questions[[#This Row],[qno]]),VALUE(stable[qno]),0))</f>
        <v>0</v>
      </c>
      <c r="L259" s="9" t="b" cm="1">
        <f t="array" ref="L259">INDEX(stable[is_mandatory],MATCH(VALUE(questions[[#This Row],[qno]]),VALUE(stable[qno]),0))</f>
        <v>1</v>
      </c>
      <c r="M259" s="9" t="b" cm="1">
        <f t="array" ref="M259">INDEX(stable[is_automated],MATCH(VALUE(questions[[#This Row],[qno]]),VALUE(stable[qno]),0))</f>
        <v>0</v>
      </c>
      <c r="N259" s="9" t="b" cm="1">
        <f t="array" ref="N259">INDEX(stable[is_free_text],MATCH(VALUE(questions[[#This Row],[qno]]),VALUE(stable[qno]),0))</f>
        <v>0</v>
      </c>
      <c r="O259" s="9" t="b" cm="1">
        <f t="array" ref="O259">INDEX(stable[is_numerical],MATCH(VALUE(questions[[#This Row],[qno]]),VALUE(stable[qno]),0))</f>
        <v>0</v>
      </c>
      <c r="P259" s="103" t="b" cm="1">
        <f t="array" ref="P259">INDEX(stable[is_single_select],MATCH(VALUE(questions[[#This Row],[qno]]),VALUE(stable[qno]),0))</f>
        <v>1</v>
      </c>
      <c r="Q259" s="77" t="b" cm="1">
        <f t="array" ref="Q259">INDEX(stable[is_multi_select],MATCH(VALUE(questions[[#This Row],[qno]]),VALUE(stable[qno]),0))</f>
        <v>0</v>
      </c>
      <c r="R259" s="77" t="b" cm="1">
        <f t="array" ref="R259">INDEX(stable[is_skip_logic],MATCH(VALUE(questions[[#This Row],[qno]]),VALUE(stable[qno]),0))</f>
        <v>1</v>
      </c>
      <c r="S259" s="77" t="str">
        <f>_xlfn.TEXTJOIN(", ",TRUE,questions[[#This Row],[ans_opt_1]:[ans_opt_14]])</f>
        <v>Yes, No</v>
      </c>
      <c r="T259" s="77" t="s">
        <v>149</v>
      </c>
      <c r="U259" s="77" t="s">
        <v>119</v>
      </c>
      <c r="AH259" s="98" t="b">
        <f>INDEX(stable[q_standard],MATCH(questions[[#This Row],[qno]],stable[qno],0))</f>
        <v>0</v>
      </c>
      <c r="AI259" s="98" t="b">
        <f>INDEX(stable[q_living_income],MATCH(questions[[#This Row],[qno]],stable[qno],0))</f>
        <v>1</v>
      </c>
      <c r="AJ259" s="98" t="b">
        <f>INDEX(stable[q_carbon],MATCH(questions[[#This Row],[qno]],stable[qno],0))</f>
        <v>0</v>
      </c>
      <c r="AK259" s="98" t="b">
        <f>INDEX(stable[q_regen_ag],MATCH(questions[[#This Row],[qno]],stable[qno],0))</f>
        <v>0</v>
      </c>
      <c r="AL259" s="98" t="b">
        <f>COUNTIFS(stable[qno],questions[[#This Row],[qno]])=1</f>
        <v>1</v>
      </c>
      <c r="AM259" s="98" t="b">
        <f>OR(questions[[#This Row],[is_fixed]],questions[[#This Row],[is_localized]],questions[[#This Row],[is_supply_chain_dependent]])</f>
        <v>1</v>
      </c>
      <c r="AN259" s="98" t="b">
        <f>COUNTIFS(questions[[#This Row],[is_automated]:[is_multi_select]],TRUE)=1</f>
        <v>1</v>
      </c>
      <c r="AO259" s="98" t="b">
        <f>IF(questions[[#This Row],[is_fixed]],questions[[#This Row],[question]]=INDEX(stable[question],MATCH(questions[[#This Row],[qno]],stable[qno],0)),TRUE)</f>
        <v>1</v>
      </c>
      <c r="AP259" s="98" t="str">
        <f>LEFT(questions[[#This Row],[question]],similarity_range)</f>
        <v>Have you ever used a</v>
      </c>
      <c r="AQ259" s="98" t="str">
        <f>LEFT(INDEX(stable[question],MATCH(questions[[#This Row],[qno]],stable[qno],0)),similarity_range)</f>
        <v>Have you ever used a</v>
      </c>
      <c r="AR259" s="98" t="b">
        <f>questions[[#This Row],[question_first_characters]]=questions[[#This Row],[stability_first_characters]]</f>
        <v>1</v>
      </c>
      <c r="AS259" s="98" t="b">
        <f>IF(OR(questions[[#This Row],[is_single_select]],questions[[#This Row],[is_multi_select]]),NOT(ISBLANK(questions[[#This Row],[answer_opt_combined]])),TRUE)</f>
        <v>1</v>
      </c>
    </row>
    <row r="260" spans="1:45" x14ac:dyDescent="0.25">
      <c r="A260" s="9" t="str">
        <f>_xlfn.TEXTJOIN("_",TRUE,questions[[#This Row],[origin]:[qno]])</f>
        <v>Uganda_Arabica_Sbux_6191</v>
      </c>
      <c r="B260" s="9" t="s">
        <v>511</v>
      </c>
      <c r="C260" s="9" t="s">
        <v>59</v>
      </c>
      <c r="D260" s="9" t="s">
        <v>512</v>
      </c>
      <c r="F260" s="24" t="s">
        <v>592</v>
      </c>
      <c r="G260" s="15" t="s">
        <v>593</v>
      </c>
      <c r="H260" s="9" t="str" cm="1">
        <f t="array" ref="H260">INDEX(stableR[question],MATCH(VALUE(questions[[#This Row],[qno]]),VALUE(stableR[qno]),0))</f>
        <v>What are the main reasons to take a loan, what do you use it for?</v>
      </c>
      <c r="I260" s="9" t="b" cm="1">
        <f t="array" ref="I260">INDEX(stable[is_fixed],MATCH(VALUE(questions[[#This Row],[qno]]),VALUE(stable[qno]),0))</f>
        <v>0</v>
      </c>
      <c r="J260" s="9" t="b" cm="1">
        <f t="array" ref="J260">INDEX(stable[is_localized],MATCH(VALUE(questions[[#This Row],[qno]]),VALUE(stable[qno]),0))</f>
        <v>1</v>
      </c>
      <c r="K260" s="9" t="b" cm="1">
        <f t="array" ref="K260">INDEX(stable[is_supply_chain_dependent],MATCH(VALUE(questions[[#This Row],[qno]]),VALUE(stable[qno]),0))</f>
        <v>0</v>
      </c>
      <c r="L260" s="9" t="b" cm="1">
        <f t="array" ref="L260">INDEX(stable[is_mandatory],MATCH(VALUE(questions[[#This Row],[qno]]),VALUE(stable[qno]),0))</f>
        <v>0</v>
      </c>
      <c r="M260" s="9" t="b" cm="1">
        <f t="array" ref="M260">INDEX(stable[is_automated],MATCH(VALUE(questions[[#This Row],[qno]]),VALUE(stable[qno]),0))</f>
        <v>0</v>
      </c>
      <c r="N260" s="9" t="b" cm="1">
        <f t="array" ref="N260">INDEX(stable[is_free_text],MATCH(VALUE(questions[[#This Row],[qno]]),VALUE(stable[qno]),0))</f>
        <v>1</v>
      </c>
      <c r="O260" s="9" t="b" cm="1">
        <f t="array" ref="O260">INDEX(stable[is_numerical],MATCH(VALUE(questions[[#This Row],[qno]]),VALUE(stable[qno]),0))</f>
        <v>0</v>
      </c>
      <c r="P260" s="32" t="b" cm="1">
        <f t="array" ref="P260">INDEX(stable[is_single_select],MATCH(VALUE(questions[[#This Row],[qno]]),VALUE(stable[qno]),0))</f>
        <v>0</v>
      </c>
      <c r="Q260" s="9" t="b" cm="1">
        <f t="array" ref="Q260">INDEX(stable[is_multi_select],MATCH(VALUE(questions[[#This Row],[qno]]),VALUE(stable[qno]),0))</f>
        <v>0</v>
      </c>
      <c r="R260" s="9" t="b" cm="1">
        <f t="array" ref="R260">INDEX(stable[is_skip_logic],MATCH(VALUE(questions[[#This Row],[qno]]),VALUE(stable[qno]),0))</f>
        <v>1</v>
      </c>
      <c r="S260" s="9" t="str">
        <f>_xlfn.TEXTJOIN(", ",TRUE,questions[[#This Row],[ans_opt_1]:[ans_opt_14]])</f>
        <v/>
      </c>
      <c r="AH260" s="16" t="b">
        <f>INDEX(stable[q_standard],MATCH(questions[[#This Row],[qno]],stable[qno],0))</f>
        <v>0</v>
      </c>
      <c r="AI260" s="16" t="b">
        <f>INDEX(stable[q_living_income],MATCH(questions[[#This Row],[qno]],stable[qno],0))</f>
        <v>1</v>
      </c>
      <c r="AJ260" s="16" t="b">
        <f>INDEX(stable[q_carbon],MATCH(questions[[#This Row],[qno]],stable[qno],0))</f>
        <v>0</v>
      </c>
      <c r="AK260" s="16" t="b">
        <f>INDEX(stable[q_regen_ag],MATCH(questions[[#This Row],[qno]],stable[qno],0))</f>
        <v>0</v>
      </c>
      <c r="AL260" s="16" t="b">
        <f>COUNTIFS(stable[qno],questions[[#This Row],[qno]])=1</f>
        <v>1</v>
      </c>
      <c r="AM260" s="16" t="b">
        <f>OR(questions[[#This Row],[is_fixed]],questions[[#This Row],[is_localized]],questions[[#This Row],[is_supply_chain_dependent]])</f>
        <v>1</v>
      </c>
      <c r="AN260" s="16" t="b">
        <f>COUNTIFS(questions[[#This Row],[is_automated]:[is_multi_select]],TRUE)=1</f>
        <v>1</v>
      </c>
      <c r="AO260" s="16" t="b">
        <f>IF(questions[[#This Row],[is_fixed]],questions[[#This Row],[question]]=INDEX(stable[question],MATCH(questions[[#This Row],[qno]],stable[qno],0)),TRUE)</f>
        <v>1</v>
      </c>
      <c r="AP260" s="16" t="str">
        <f>LEFT(questions[[#This Row],[question]],similarity_range)</f>
        <v>If yes, what are the</v>
      </c>
      <c r="AQ260" s="16" t="str">
        <f>LEFT(INDEX(stable[question],MATCH(questions[[#This Row],[qno]],stable[qno],0)),similarity_range)</f>
        <v>If yes, what are the</v>
      </c>
      <c r="AR260" s="16" t="b">
        <f>questions[[#This Row],[question_first_characters]]=questions[[#This Row],[stability_first_characters]]</f>
        <v>1</v>
      </c>
      <c r="AS260" s="16" t="b">
        <f>IF(OR(questions[[#This Row],[is_single_select]],questions[[#This Row],[is_multi_select]]),NOT(ISBLANK(questions[[#This Row],[answer_opt_combined]])),TRUE)</f>
        <v>1</v>
      </c>
    </row>
    <row r="261" spans="1:45" x14ac:dyDescent="0.25">
      <c r="A261" s="9" t="str">
        <f>_xlfn.TEXTJOIN("_",TRUE,questions[[#This Row],[origin]:[qno]])</f>
        <v>Uganda_Arabica_Sbux_6192</v>
      </c>
      <c r="B261" s="9" t="s">
        <v>511</v>
      </c>
      <c r="C261" s="9" t="s">
        <v>59</v>
      </c>
      <c r="D261" s="9" t="s">
        <v>512</v>
      </c>
      <c r="F261" s="24" t="s">
        <v>594</v>
      </c>
      <c r="G261" s="15" t="s">
        <v>595</v>
      </c>
      <c r="H261" s="9" t="str" cm="1">
        <f t="array" ref="H261">INDEX(stableR[question],MATCH(VALUE(questions[[#This Row],[qno]]),VALUE(stableR[qno]),0))</f>
        <v>In general, what are the main difficulties for you in taking credit? Please describe. For instance too expensive, not available, etc.</v>
      </c>
      <c r="I261" s="9" t="b" cm="1">
        <f t="array" ref="I261">INDEX(stable[is_fixed],MATCH(VALUE(questions[[#This Row],[qno]]),VALUE(stable[qno]),0))</f>
        <v>0</v>
      </c>
      <c r="J261" s="9" t="b" cm="1">
        <f t="array" ref="J261">INDEX(stable[is_localized],MATCH(VALUE(questions[[#This Row],[qno]]),VALUE(stable[qno]),0))</f>
        <v>1</v>
      </c>
      <c r="K261" s="9" t="b" cm="1">
        <f t="array" ref="K261">INDEX(stable[is_supply_chain_dependent],MATCH(VALUE(questions[[#This Row],[qno]]),VALUE(stable[qno]),0))</f>
        <v>0</v>
      </c>
      <c r="L261" s="9" t="b" cm="1">
        <f t="array" ref="L261">INDEX(stable[is_mandatory],MATCH(VALUE(questions[[#This Row],[qno]]),VALUE(stable[qno]),0))</f>
        <v>0</v>
      </c>
      <c r="M261" s="9" t="b" cm="1">
        <f t="array" ref="M261">INDEX(stable[is_automated],MATCH(VALUE(questions[[#This Row],[qno]]),VALUE(stable[qno]),0))</f>
        <v>0</v>
      </c>
      <c r="N261" s="9" t="b" cm="1">
        <f t="array" ref="N261">INDEX(stable[is_free_text],MATCH(VALUE(questions[[#This Row],[qno]]),VALUE(stable[qno]),0))</f>
        <v>1</v>
      </c>
      <c r="O261" s="9" t="b" cm="1">
        <f t="array" ref="O261">INDEX(stable[is_numerical],MATCH(VALUE(questions[[#This Row],[qno]]),VALUE(stable[qno]),0))</f>
        <v>0</v>
      </c>
      <c r="P261" s="32" t="b" cm="1">
        <f t="array" ref="P261">INDEX(stable[is_single_select],MATCH(VALUE(questions[[#This Row],[qno]]),VALUE(stable[qno]),0))</f>
        <v>0</v>
      </c>
      <c r="Q261" s="9" t="b" cm="1">
        <f t="array" ref="Q261">INDEX(stable[is_multi_select],MATCH(VALUE(questions[[#This Row],[qno]]),VALUE(stable[qno]),0))</f>
        <v>0</v>
      </c>
      <c r="R261" s="9" t="b" cm="1">
        <f t="array" ref="R261">INDEX(stable[is_skip_logic],MATCH(VALUE(questions[[#This Row],[qno]]),VALUE(stable[qno]),0))</f>
        <v>1</v>
      </c>
      <c r="S261" s="9" t="str">
        <f>_xlfn.TEXTJOIN(", ",TRUE,questions[[#This Row],[ans_opt_1]:[ans_opt_14]])</f>
        <v/>
      </c>
      <c r="AH261" s="16" t="b">
        <f>INDEX(stable[q_standard],MATCH(questions[[#This Row],[qno]],stable[qno],0))</f>
        <v>0</v>
      </c>
      <c r="AI261" s="16" t="b">
        <f>INDEX(stable[q_living_income],MATCH(questions[[#This Row],[qno]],stable[qno],0))</f>
        <v>1</v>
      </c>
      <c r="AJ261" s="16" t="b">
        <f>INDEX(stable[q_carbon],MATCH(questions[[#This Row],[qno]],stable[qno],0))</f>
        <v>0</v>
      </c>
      <c r="AK261" s="16" t="b">
        <f>INDEX(stable[q_regen_ag],MATCH(questions[[#This Row],[qno]],stable[qno],0))</f>
        <v>0</v>
      </c>
      <c r="AL261" s="16" t="b">
        <f>COUNTIFS(stable[qno],questions[[#This Row],[qno]])=1</f>
        <v>1</v>
      </c>
      <c r="AM261" s="16" t="b">
        <f>OR(questions[[#This Row],[is_fixed]],questions[[#This Row],[is_localized]],questions[[#This Row],[is_supply_chain_dependent]])</f>
        <v>1</v>
      </c>
      <c r="AN261" s="16" t="b">
        <f>COUNTIFS(questions[[#This Row],[is_automated]:[is_multi_select]],TRUE)=1</f>
        <v>1</v>
      </c>
      <c r="AO261" s="16" t="b">
        <f>IF(questions[[#This Row],[is_fixed]],questions[[#This Row],[question]]=INDEX(stable[question],MATCH(questions[[#This Row],[qno]],stable[qno],0)),TRUE)</f>
        <v>1</v>
      </c>
      <c r="AP261" s="16" t="str">
        <f>LEFT(questions[[#This Row],[question]],similarity_range)</f>
        <v>In general, what are</v>
      </c>
      <c r="AQ261" s="16" t="str">
        <f>LEFT(INDEX(stable[question],MATCH(questions[[#This Row],[qno]],stable[qno],0)),similarity_range)</f>
        <v>In general, what are</v>
      </c>
      <c r="AR261" s="16" t="b">
        <f>questions[[#This Row],[question_first_characters]]=questions[[#This Row],[stability_first_characters]]</f>
        <v>1</v>
      </c>
      <c r="AS261" s="16" t="b">
        <f>IF(OR(questions[[#This Row],[is_single_select]],questions[[#This Row],[is_multi_select]]),NOT(ISBLANK(questions[[#This Row],[answer_opt_combined]])),TRUE)</f>
        <v>1</v>
      </c>
    </row>
    <row r="262" spans="1:45" s="77" customFormat="1" x14ac:dyDescent="0.25">
      <c r="A262" s="77" t="str">
        <f>_xlfn.TEXTJOIN("_",TRUE,questions[[#This Row],[origin]:[qno]])</f>
        <v>Uganda_Arabica_Sbux_6200</v>
      </c>
      <c r="B262" s="77" t="s">
        <v>511</v>
      </c>
      <c r="C262" s="77" t="s">
        <v>59</v>
      </c>
      <c r="D262" s="77" t="s">
        <v>512</v>
      </c>
      <c r="F262" s="104" t="s">
        <v>596</v>
      </c>
      <c r="G262" s="78" t="s">
        <v>597</v>
      </c>
      <c r="H262" s="9" t="str" cm="1">
        <f t="array" ref="H262">INDEX(stableR[question],MATCH(VALUE(questions[[#This Row],[qno]]),VALUE(stableR[qno]),0))</f>
        <v>Are you member of a coffee cooperative?</v>
      </c>
      <c r="I262" s="9" t="b" cm="1">
        <f t="array" ref="I262">INDEX(stable[is_fixed],MATCH(VALUE(questions[[#This Row],[qno]]),VALUE(stable[qno]),0))</f>
        <v>0</v>
      </c>
      <c r="J262" s="9" t="b" cm="1">
        <f t="array" ref="J262">INDEX(stable[is_localized],MATCH(VALUE(questions[[#This Row],[qno]]),VALUE(stable[qno]),0))</f>
        <v>0</v>
      </c>
      <c r="K262" s="9" t="b" cm="1">
        <f t="array" ref="K262">INDEX(stable[is_supply_chain_dependent],MATCH(VALUE(questions[[#This Row],[qno]]),VALUE(stable[qno]),0))</f>
        <v>1</v>
      </c>
      <c r="L262" s="9" t="b" cm="1">
        <f t="array" ref="L262">INDEX(stable[is_mandatory],MATCH(VALUE(questions[[#This Row],[qno]]),VALUE(stable[qno]),0))</f>
        <v>1</v>
      </c>
      <c r="M262" s="9" t="b" cm="1">
        <f t="array" ref="M262">INDEX(stable[is_automated],MATCH(VALUE(questions[[#This Row],[qno]]),VALUE(stable[qno]),0))</f>
        <v>0</v>
      </c>
      <c r="N262" s="9" t="b" cm="1">
        <f t="array" ref="N262">INDEX(stable[is_free_text],MATCH(VALUE(questions[[#This Row],[qno]]),VALUE(stable[qno]),0))</f>
        <v>0</v>
      </c>
      <c r="O262" s="9" t="b" cm="1">
        <f t="array" ref="O262">INDEX(stable[is_numerical],MATCH(VALUE(questions[[#This Row],[qno]]),VALUE(stable[qno]),0))</f>
        <v>0</v>
      </c>
      <c r="P262" s="103" t="b" cm="1">
        <f t="array" ref="P262">INDEX(stable[is_single_select],MATCH(VALUE(questions[[#This Row],[qno]]),VALUE(stable[qno]),0))</f>
        <v>1</v>
      </c>
      <c r="Q262" s="77" t="b" cm="1">
        <f t="array" ref="Q262">INDEX(stable[is_multi_select],MATCH(VALUE(questions[[#This Row],[qno]]),VALUE(stable[qno]),0))</f>
        <v>0</v>
      </c>
      <c r="R262" s="77" t="b" cm="1">
        <f t="array" ref="R262">INDEX(stable[is_skip_logic],MATCH(VALUE(questions[[#This Row],[qno]]),VALUE(stable[qno]),0))</f>
        <v>1</v>
      </c>
      <c r="S262" s="77" t="str">
        <f>_xlfn.TEXTJOIN(", ",TRUE,questions[[#This Row],[ans_opt_1]:[ans_opt_14]])</f>
        <v>Yes, No</v>
      </c>
      <c r="T262" s="77" t="s">
        <v>149</v>
      </c>
      <c r="U262" s="77" t="s">
        <v>119</v>
      </c>
      <c r="AH262" s="98" t="b">
        <f>INDEX(stable[q_standard],MATCH(questions[[#This Row],[qno]],stable[qno],0))</f>
        <v>0</v>
      </c>
      <c r="AI262" s="98" t="b">
        <f>INDEX(stable[q_living_income],MATCH(questions[[#This Row],[qno]],stable[qno],0))</f>
        <v>1</v>
      </c>
      <c r="AJ262" s="98" t="b">
        <f>INDEX(stable[q_carbon],MATCH(questions[[#This Row],[qno]],stable[qno],0))</f>
        <v>0</v>
      </c>
      <c r="AK262" s="98" t="b">
        <f>INDEX(stable[q_regen_ag],MATCH(questions[[#This Row],[qno]],stable[qno],0))</f>
        <v>0</v>
      </c>
      <c r="AL262" s="98" t="b">
        <f>COUNTIFS(stable[qno],questions[[#This Row],[qno]])=1</f>
        <v>1</v>
      </c>
      <c r="AM262" s="98" t="b">
        <f>OR(questions[[#This Row],[is_fixed]],questions[[#This Row],[is_localized]],questions[[#This Row],[is_supply_chain_dependent]])</f>
        <v>1</v>
      </c>
      <c r="AN262" s="98" t="b">
        <f>COUNTIFS(questions[[#This Row],[is_automated]:[is_multi_select]],TRUE)=1</f>
        <v>1</v>
      </c>
      <c r="AO262" s="98" t="b">
        <f>IF(questions[[#This Row],[is_fixed]],questions[[#This Row],[question]]=INDEX(stable[question],MATCH(questions[[#This Row],[qno]],stable[qno],0)),TRUE)</f>
        <v>1</v>
      </c>
      <c r="AP262" s="98" t="str">
        <f>LEFT(questions[[#This Row],[question]],similarity_range)</f>
        <v xml:space="preserve">Are you member of a </v>
      </c>
      <c r="AQ262" s="98" t="str">
        <f>LEFT(INDEX(stable[question],MATCH(questions[[#This Row],[qno]],stable[qno],0)),similarity_range)</f>
        <v xml:space="preserve">Are you member of a </v>
      </c>
      <c r="AR262" s="98" t="b">
        <f>questions[[#This Row],[question_first_characters]]=questions[[#This Row],[stability_first_characters]]</f>
        <v>1</v>
      </c>
      <c r="AS262" s="98" t="b">
        <f>IF(OR(questions[[#This Row],[is_single_select]],questions[[#This Row],[is_multi_select]]),NOT(ISBLANK(questions[[#This Row],[answer_opt_combined]])),TRUE)</f>
        <v>1</v>
      </c>
    </row>
    <row r="263" spans="1:45" x14ac:dyDescent="0.25">
      <c r="A263" s="9" t="str">
        <f>_xlfn.TEXTJOIN("_",TRUE,questions[[#This Row],[origin]:[qno]])</f>
        <v>Uganda_Arabica_Sbux_6201</v>
      </c>
      <c r="B263" s="9" t="s">
        <v>511</v>
      </c>
      <c r="C263" s="9" t="s">
        <v>59</v>
      </c>
      <c r="D263" s="9" t="s">
        <v>512</v>
      </c>
      <c r="F263" s="24" t="s">
        <v>598</v>
      </c>
      <c r="G263" s="15" t="s">
        <v>599</v>
      </c>
      <c r="H263" s="9" t="str" cm="1">
        <f t="array" ref="H263">INDEX(stableR[question],MATCH(VALUE(questions[[#This Row],[qno]]),VALUE(stableR[qno]),0))</f>
        <v>What subscription fee did you pay per year, in total? (in local currency)</v>
      </c>
      <c r="I263" s="9" t="b" cm="1">
        <f t="array" ref="I263">INDEX(stable[is_fixed],MATCH(VALUE(questions[[#This Row],[qno]]),VALUE(stable[qno]),0))</f>
        <v>0</v>
      </c>
      <c r="J263" s="9" t="b" cm="1">
        <f t="array" ref="J263">INDEX(stable[is_localized],MATCH(VALUE(questions[[#This Row],[qno]]),VALUE(stable[qno]),0))</f>
        <v>0</v>
      </c>
      <c r="K263" s="9" t="b" cm="1">
        <f t="array" ref="K263">INDEX(stable[is_supply_chain_dependent],MATCH(VALUE(questions[[#This Row],[qno]]),VALUE(stable[qno]),0))</f>
        <v>1</v>
      </c>
      <c r="L263" s="9" t="b" cm="1">
        <f t="array" ref="L263">INDEX(stable[is_mandatory],MATCH(VALUE(questions[[#This Row],[qno]]),VALUE(stable[qno]),0))</f>
        <v>0</v>
      </c>
      <c r="M263" s="9" t="b" cm="1">
        <f t="array" ref="M263">INDEX(stable[is_automated],MATCH(VALUE(questions[[#This Row],[qno]]),VALUE(stable[qno]),0))</f>
        <v>0</v>
      </c>
      <c r="N263" s="9" t="b" cm="1">
        <f t="array" ref="N263">INDEX(stable[is_free_text],MATCH(VALUE(questions[[#This Row],[qno]]),VALUE(stable[qno]),0))</f>
        <v>0</v>
      </c>
      <c r="O263" s="9" t="b" cm="1">
        <f t="array" ref="O263">INDEX(stable[is_numerical],MATCH(VALUE(questions[[#This Row],[qno]]),VALUE(stable[qno]),0))</f>
        <v>1</v>
      </c>
      <c r="P263" s="32" t="b" cm="1">
        <f t="array" ref="P263">INDEX(stable[is_single_select],MATCH(VALUE(questions[[#This Row],[qno]]),VALUE(stable[qno]),0))</f>
        <v>0</v>
      </c>
      <c r="Q263" s="9" t="b" cm="1">
        <f t="array" ref="Q263">INDEX(stable[is_multi_select],MATCH(VALUE(questions[[#This Row],[qno]]),VALUE(stable[qno]),0))</f>
        <v>0</v>
      </c>
      <c r="R263" s="9" t="b" cm="1">
        <f t="array" ref="R263">INDEX(stable[is_skip_logic],MATCH(VALUE(questions[[#This Row],[qno]]),VALUE(stable[qno]),0))</f>
        <v>1</v>
      </c>
      <c r="S263" s="9" t="str">
        <f>_xlfn.TEXTJOIN(", ",TRUE,questions[[#This Row],[ans_opt_1]:[ans_opt_14]])</f>
        <v/>
      </c>
      <c r="AH263" s="16" t="b">
        <f>INDEX(stable[q_standard],MATCH(questions[[#This Row],[qno]],stable[qno],0))</f>
        <v>0</v>
      </c>
      <c r="AI263" s="16" t="b">
        <f>INDEX(stable[q_living_income],MATCH(questions[[#This Row],[qno]],stable[qno],0))</f>
        <v>1</v>
      </c>
      <c r="AJ263" s="16" t="b">
        <f>INDEX(stable[q_carbon],MATCH(questions[[#This Row],[qno]],stable[qno],0))</f>
        <v>0</v>
      </c>
      <c r="AK263" s="16" t="b">
        <f>INDEX(stable[q_regen_ag],MATCH(questions[[#This Row],[qno]],stable[qno],0))</f>
        <v>0</v>
      </c>
      <c r="AL263" s="16" t="b">
        <f>COUNTIFS(stable[qno],questions[[#This Row],[qno]])=1</f>
        <v>1</v>
      </c>
      <c r="AM263" s="16" t="b">
        <f>OR(questions[[#This Row],[is_fixed]],questions[[#This Row],[is_localized]],questions[[#This Row],[is_supply_chain_dependent]])</f>
        <v>1</v>
      </c>
      <c r="AN263" s="16" t="b">
        <f>COUNTIFS(questions[[#This Row],[is_automated]:[is_multi_select]],TRUE)=1</f>
        <v>1</v>
      </c>
      <c r="AO263" s="16" t="b">
        <f>IF(questions[[#This Row],[is_fixed]],questions[[#This Row],[question]]=INDEX(stable[question],MATCH(questions[[#This Row],[qno]],stable[qno],0)),TRUE)</f>
        <v>1</v>
      </c>
      <c r="AP263" s="16" t="str">
        <f>LEFT(questions[[#This Row],[question]],similarity_range)</f>
        <v>If yes, what subscri</v>
      </c>
      <c r="AQ263" s="16" t="str">
        <f>LEFT(INDEX(stable[question],MATCH(questions[[#This Row],[qno]],stable[qno],0)),similarity_range)</f>
        <v>If yes, what subscri</v>
      </c>
      <c r="AR263" s="16" t="b">
        <f>questions[[#This Row],[question_first_characters]]=questions[[#This Row],[stability_first_characters]]</f>
        <v>1</v>
      </c>
      <c r="AS263" s="16" t="b">
        <f>IF(OR(questions[[#This Row],[is_single_select]],questions[[#This Row],[is_multi_select]]),NOT(ISBLANK(questions[[#This Row],[answer_opt_combined]])),TRUE)</f>
        <v>1</v>
      </c>
    </row>
    <row r="264" spans="1:45" s="77" customFormat="1" x14ac:dyDescent="0.25">
      <c r="A264" s="77" t="str">
        <f>_xlfn.TEXTJOIN("_",TRUE,questions[[#This Row],[origin]:[qno]])</f>
        <v>Uganda_Arabica_Sbux_6300</v>
      </c>
      <c r="B264" s="77" t="s">
        <v>511</v>
      </c>
      <c r="C264" s="77" t="s">
        <v>59</v>
      </c>
      <c r="D264" s="77" t="s">
        <v>512</v>
      </c>
      <c r="F264" s="104" t="s">
        <v>268</v>
      </c>
      <c r="G264" s="78" t="s">
        <v>269</v>
      </c>
      <c r="H264" s="9" t="str" cm="1">
        <f t="array" ref="H264">INDEX(stableR[question],MATCH(VALUE(questions[[#This Row],[qno]]),VALUE(stableR[qno]),0))</f>
        <v>Did you buy coffee seedlings last year?</v>
      </c>
      <c r="I264" s="9" t="b" cm="1">
        <f t="array" ref="I264">INDEX(stable[is_fixed],MATCH(VALUE(questions[[#This Row],[qno]]),VALUE(stable[qno]),0))</f>
        <v>1</v>
      </c>
      <c r="J264" s="9" t="b" cm="1">
        <f t="array" ref="J264">INDEX(stable[is_localized],MATCH(VALUE(questions[[#This Row],[qno]]),VALUE(stable[qno]),0))</f>
        <v>0</v>
      </c>
      <c r="K264" s="9" t="b" cm="1">
        <f t="array" ref="K264">INDEX(stable[is_supply_chain_dependent],MATCH(VALUE(questions[[#This Row],[qno]]),VALUE(stable[qno]),0))</f>
        <v>0</v>
      </c>
      <c r="L264" s="9" t="b" cm="1">
        <f t="array" ref="L264">INDEX(stable[is_mandatory],MATCH(VALUE(questions[[#This Row],[qno]]),VALUE(stable[qno]),0))</f>
        <v>1</v>
      </c>
      <c r="M264" s="9" t="b" cm="1">
        <f t="array" ref="M264">INDEX(stable[is_automated],MATCH(VALUE(questions[[#This Row],[qno]]),VALUE(stable[qno]),0))</f>
        <v>0</v>
      </c>
      <c r="N264" s="9" t="b" cm="1">
        <f t="array" ref="N264">INDEX(stable[is_free_text],MATCH(VALUE(questions[[#This Row],[qno]]),VALUE(stable[qno]),0))</f>
        <v>0</v>
      </c>
      <c r="O264" s="9" t="b" cm="1">
        <f t="array" ref="O264">INDEX(stable[is_numerical],MATCH(VALUE(questions[[#This Row],[qno]]),VALUE(stable[qno]),0))</f>
        <v>0</v>
      </c>
      <c r="P264" s="103" t="b" cm="1">
        <f t="array" ref="P264">INDEX(stable[is_single_select],MATCH(VALUE(questions[[#This Row],[qno]]),VALUE(stable[qno]),0))</f>
        <v>1</v>
      </c>
      <c r="Q264" s="77" t="b" cm="1">
        <f t="array" ref="Q264">INDEX(stable[is_multi_select],MATCH(VALUE(questions[[#This Row],[qno]]),VALUE(stable[qno]),0))</f>
        <v>0</v>
      </c>
      <c r="R264" s="77" t="b" cm="1">
        <f t="array" ref="R264">INDEX(stable[is_skip_logic],MATCH(VALUE(questions[[#This Row],[qno]]),VALUE(stable[qno]),0))</f>
        <v>1</v>
      </c>
      <c r="S264" s="77" t="str">
        <f>_xlfn.TEXTJOIN(", ",TRUE,questions[[#This Row],[ans_opt_1]:[ans_opt_14]])</f>
        <v>Yes, No</v>
      </c>
      <c r="T264" s="77" t="s">
        <v>149</v>
      </c>
      <c r="U264" s="77" t="s">
        <v>119</v>
      </c>
      <c r="AH264" s="98" t="b">
        <f>INDEX(stable[q_standard],MATCH(questions[[#This Row],[qno]],stable[qno],0))</f>
        <v>0</v>
      </c>
      <c r="AI264" s="98" t="b">
        <f>INDEX(stable[q_living_income],MATCH(questions[[#This Row],[qno]],stable[qno],0))</f>
        <v>1</v>
      </c>
      <c r="AJ264" s="98" t="b">
        <f>INDEX(stable[q_carbon],MATCH(questions[[#This Row],[qno]],stable[qno],0))</f>
        <v>0</v>
      </c>
      <c r="AK264" s="98" t="b">
        <f>INDEX(stable[q_regen_ag],MATCH(questions[[#This Row],[qno]],stable[qno],0))</f>
        <v>0</v>
      </c>
      <c r="AL264" s="98" t="b">
        <f>COUNTIFS(stable[qno],questions[[#This Row],[qno]])=1</f>
        <v>1</v>
      </c>
      <c r="AM264" s="98" t="b">
        <f>OR(questions[[#This Row],[is_fixed]],questions[[#This Row],[is_localized]],questions[[#This Row],[is_supply_chain_dependent]])</f>
        <v>1</v>
      </c>
      <c r="AN264" s="98" t="b">
        <f>COUNTIFS(questions[[#This Row],[is_automated]:[is_multi_select]],TRUE)=1</f>
        <v>1</v>
      </c>
      <c r="AO264" s="98" t="b">
        <f>IF(questions[[#This Row],[is_fixed]],questions[[#This Row],[question]]=INDEX(stable[question],MATCH(questions[[#This Row],[qno]],stable[qno],0)),TRUE)</f>
        <v>0</v>
      </c>
      <c r="AP264" s="98" t="str">
        <f>LEFT(questions[[#This Row],[question]],similarity_range)</f>
        <v>Did you buy coffee s</v>
      </c>
      <c r="AQ264" s="98" t="str">
        <f>LEFT(INDEX(stable[question],MATCH(questions[[#This Row],[qno]],stable[qno],0)),similarity_range)</f>
        <v>Did you buy coffee s</v>
      </c>
      <c r="AR264" s="98" t="b">
        <f>questions[[#This Row],[question_first_characters]]=questions[[#This Row],[stability_first_characters]]</f>
        <v>1</v>
      </c>
      <c r="AS264" s="98" t="b">
        <f>IF(OR(questions[[#This Row],[is_single_select]],questions[[#This Row],[is_multi_select]]),NOT(ISBLANK(questions[[#This Row],[answer_opt_combined]])),TRUE)</f>
        <v>1</v>
      </c>
    </row>
    <row r="265" spans="1:45" s="77" customFormat="1" x14ac:dyDescent="0.25">
      <c r="A265" s="77" t="str">
        <f>_xlfn.TEXTJOIN("_",TRUE,questions[[#This Row],[origin]:[qno]])</f>
        <v>Uganda_Arabica_Sbux_6301</v>
      </c>
      <c r="B265" s="77" t="s">
        <v>511</v>
      </c>
      <c r="C265" s="77" t="s">
        <v>59</v>
      </c>
      <c r="D265" s="77" t="s">
        <v>512</v>
      </c>
      <c r="F265" s="104" t="s">
        <v>270</v>
      </c>
      <c r="G265" s="78" t="s">
        <v>271</v>
      </c>
      <c r="H265" s="9" t="str" cm="1">
        <f t="array" ref="H265">INDEX(stableR[question],MATCH(VALUE(questions[[#This Row],[qno]]),VALUE(stableR[qno]),0))</f>
        <v>What was the main type seedlings bought?</v>
      </c>
      <c r="I265" s="9" t="b" cm="1">
        <f t="array" ref="I265">INDEX(stable[is_fixed],MATCH(VALUE(questions[[#This Row],[qno]]),VALUE(stable[qno]),0))</f>
        <v>1</v>
      </c>
      <c r="J265" s="9" t="b" cm="1">
        <f t="array" ref="J265">INDEX(stable[is_localized],MATCH(VALUE(questions[[#This Row],[qno]]),VALUE(stable[qno]),0))</f>
        <v>0</v>
      </c>
      <c r="K265" s="9" t="b" cm="1">
        <f t="array" ref="K265">INDEX(stable[is_supply_chain_dependent],MATCH(VALUE(questions[[#This Row],[qno]]),VALUE(stable[qno]),0))</f>
        <v>0</v>
      </c>
      <c r="L265" s="9" t="b" cm="1">
        <f t="array" ref="L265">INDEX(stable[is_mandatory],MATCH(VALUE(questions[[#This Row],[qno]]),VALUE(stable[qno]),0))</f>
        <v>0</v>
      </c>
      <c r="M265" s="9" t="b" cm="1">
        <f t="array" ref="M265">INDEX(stable[is_automated],MATCH(VALUE(questions[[#This Row],[qno]]),VALUE(stable[qno]),0))</f>
        <v>0</v>
      </c>
      <c r="N265" s="9" t="b" cm="1">
        <f t="array" ref="N265">INDEX(stable[is_free_text],MATCH(VALUE(questions[[#This Row],[qno]]),VALUE(stable[qno]),0))</f>
        <v>0</v>
      </c>
      <c r="O265" s="9" t="b" cm="1">
        <f t="array" ref="O265">INDEX(stable[is_numerical],MATCH(VALUE(questions[[#This Row],[qno]]),VALUE(stable[qno]),0))</f>
        <v>0</v>
      </c>
      <c r="P265" s="103" t="b" cm="1">
        <f t="array" ref="P265">INDEX(stable[is_single_select],MATCH(VALUE(questions[[#This Row],[qno]]),VALUE(stable[qno]),0))</f>
        <v>1</v>
      </c>
      <c r="Q265" s="77" t="b" cm="1">
        <f t="array" ref="Q265">INDEX(stable[is_multi_select],MATCH(VALUE(questions[[#This Row],[qno]]),VALUE(stable[qno]),0))</f>
        <v>0</v>
      </c>
      <c r="R265" s="77" t="b" cm="1">
        <f t="array" ref="R265">INDEX(stable[is_skip_logic],MATCH(VALUE(questions[[#This Row],[qno]]),VALUE(stable[qno]),0))</f>
        <v>1</v>
      </c>
      <c r="S265" s="77" t="str">
        <f>_xlfn.TEXTJOIN(", ",TRUE,questions[[#This Row],[ans_opt_1]:[ans_opt_14]])</f>
        <v>Nyasaland (traditional), Improved Elite, Improved Clonal, SL28, SL14, Nasalanda (traditional), NA</v>
      </c>
      <c r="T265" s="77" t="s">
        <v>600</v>
      </c>
      <c r="U265" s="77" t="s">
        <v>601</v>
      </c>
      <c r="V265" s="77" t="s">
        <v>602</v>
      </c>
      <c r="W265" s="77" t="s">
        <v>603</v>
      </c>
      <c r="X265" s="77" t="s">
        <v>604</v>
      </c>
      <c r="Y265" s="77" t="s">
        <v>605</v>
      </c>
      <c r="Z265" s="77" t="s">
        <v>251</v>
      </c>
      <c r="AH265" s="98" t="b">
        <f>INDEX(stable[q_standard],MATCH(questions[[#This Row],[qno]],stable[qno],0))</f>
        <v>0</v>
      </c>
      <c r="AI265" s="98" t="b">
        <f>INDEX(stable[q_living_income],MATCH(questions[[#This Row],[qno]],stable[qno],0))</f>
        <v>1</v>
      </c>
      <c r="AJ265" s="98" t="b">
        <f>INDEX(stable[q_carbon],MATCH(questions[[#This Row],[qno]],stable[qno],0))</f>
        <v>0</v>
      </c>
      <c r="AK265" s="98" t="b">
        <f>INDEX(stable[q_regen_ag],MATCH(questions[[#This Row],[qno]],stable[qno],0))</f>
        <v>0</v>
      </c>
      <c r="AL265" s="98" t="b">
        <f>COUNTIFS(stable[qno],questions[[#This Row],[qno]])=1</f>
        <v>1</v>
      </c>
      <c r="AM265" s="98" t="b">
        <f>OR(questions[[#This Row],[is_fixed]],questions[[#This Row],[is_localized]],questions[[#This Row],[is_supply_chain_dependent]])</f>
        <v>1</v>
      </c>
      <c r="AN265" s="98" t="b">
        <f>COUNTIFS(questions[[#This Row],[is_automated]:[is_multi_select]],TRUE)=1</f>
        <v>1</v>
      </c>
      <c r="AO265" s="98" t="b">
        <f>IF(questions[[#This Row],[is_fixed]],questions[[#This Row],[question]]=INDEX(stable[question],MATCH(questions[[#This Row],[qno]],stable[qno],0)),TRUE)</f>
        <v>1</v>
      </c>
      <c r="AP265" s="98" t="str">
        <f>LEFT(questions[[#This Row],[question]],similarity_range)</f>
        <v xml:space="preserve">If yes what was the </v>
      </c>
      <c r="AQ265" s="98" t="str">
        <f>LEFT(INDEX(stable[question],MATCH(questions[[#This Row],[qno]],stable[qno],0)),similarity_range)</f>
        <v xml:space="preserve">If yes what was the </v>
      </c>
      <c r="AR265" s="98" t="b">
        <f>questions[[#This Row],[question_first_characters]]=questions[[#This Row],[stability_first_characters]]</f>
        <v>1</v>
      </c>
      <c r="AS265" s="98" t="b">
        <f>IF(OR(questions[[#This Row],[is_single_select]],questions[[#This Row],[is_multi_select]]),NOT(ISBLANK(questions[[#This Row],[answer_opt_combined]])),TRUE)</f>
        <v>1</v>
      </c>
    </row>
    <row r="266" spans="1:45" x14ac:dyDescent="0.25">
      <c r="A266" s="9" t="str">
        <f>_xlfn.TEXTJOIN("_",TRUE,questions[[#This Row],[origin]:[qno]])</f>
        <v>Uganda_Arabica_Sbux_6302</v>
      </c>
      <c r="B266" s="9" t="s">
        <v>511</v>
      </c>
      <c r="C266" s="9" t="s">
        <v>59</v>
      </c>
      <c r="D266" s="9" t="s">
        <v>512</v>
      </c>
      <c r="F266" s="24" t="s">
        <v>282</v>
      </c>
      <c r="G266" s="15" t="s">
        <v>283</v>
      </c>
      <c r="H266" s="9" t="str" cm="1">
        <f t="array" ref="H266">INDEX(stableR[question],MATCH(VALUE(questions[[#This Row],[qno]]),VALUE(stableR[qno]),0))</f>
        <v>How many seedlings did you buy last year?</v>
      </c>
      <c r="I266" s="9" t="b" cm="1">
        <f t="array" ref="I266">INDEX(stable[is_fixed],MATCH(VALUE(questions[[#This Row],[qno]]),VALUE(stable[qno]),0))</f>
        <v>1</v>
      </c>
      <c r="J266" s="9" t="b" cm="1">
        <f t="array" ref="J266">INDEX(stable[is_localized],MATCH(VALUE(questions[[#This Row],[qno]]),VALUE(stable[qno]),0))</f>
        <v>0</v>
      </c>
      <c r="K266" s="9" t="b" cm="1">
        <f t="array" ref="K266">INDEX(stable[is_supply_chain_dependent],MATCH(VALUE(questions[[#This Row],[qno]]),VALUE(stable[qno]),0))</f>
        <v>0</v>
      </c>
      <c r="L266" s="9" t="b" cm="1">
        <f t="array" ref="L266">INDEX(stable[is_mandatory],MATCH(VALUE(questions[[#This Row],[qno]]),VALUE(stable[qno]),0))</f>
        <v>0</v>
      </c>
      <c r="M266" s="9" t="b" cm="1">
        <f t="array" ref="M266">INDEX(stable[is_automated],MATCH(VALUE(questions[[#This Row],[qno]]),VALUE(stable[qno]),0))</f>
        <v>0</v>
      </c>
      <c r="N266" s="9" t="b" cm="1">
        <f t="array" ref="N266">INDEX(stable[is_free_text],MATCH(VALUE(questions[[#This Row],[qno]]),VALUE(stable[qno]),0))</f>
        <v>0</v>
      </c>
      <c r="O266" s="9" t="b" cm="1">
        <f t="array" ref="O266">INDEX(stable[is_numerical],MATCH(VALUE(questions[[#This Row],[qno]]),VALUE(stable[qno]),0))</f>
        <v>1</v>
      </c>
      <c r="P266" s="32" t="b" cm="1">
        <f t="array" ref="P266">INDEX(stable[is_single_select],MATCH(VALUE(questions[[#This Row],[qno]]),VALUE(stable[qno]),0))</f>
        <v>0</v>
      </c>
      <c r="Q266" s="9" t="b" cm="1">
        <f t="array" ref="Q266">INDEX(stable[is_multi_select],MATCH(VALUE(questions[[#This Row],[qno]]),VALUE(stable[qno]),0))</f>
        <v>0</v>
      </c>
      <c r="R266" s="9" t="b" cm="1">
        <f t="array" ref="R266">INDEX(stable[is_skip_logic],MATCH(VALUE(questions[[#This Row],[qno]]),VALUE(stable[qno]),0))</f>
        <v>1</v>
      </c>
      <c r="S266" s="9" t="str">
        <f>_xlfn.TEXTJOIN(", ",TRUE,questions[[#This Row],[ans_opt_1]:[ans_opt_14]])</f>
        <v/>
      </c>
      <c r="AH266" s="16" t="b">
        <f>INDEX(stable[q_standard],MATCH(questions[[#This Row],[qno]],stable[qno],0))</f>
        <v>0</v>
      </c>
      <c r="AI266" s="16" t="b">
        <f>INDEX(stable[q_living_income],MATCH(questions[[#This Row],[qno]],stable[qno],0))</f>
        <v>1</v>
      </c>
      <c r="AJ266" s="16" t="b">
        <f>INDEX(stable[q_carbon],MATCH(questions[[#This Row],[qno]],stable[qno],0))</f>
        <v>0</v>
      </c>
      <c r="AK266" s="16" t="b">
        <f>INDEX(stable[q_regen_ag],MATCH(questions[[#This Row],[qno]],stable[qno],0))</f>
        <v>0</v>
      </c>
      <c r="AL266" s="16" t="b">
        <f>COUNTIFS(stable[qno],questions[[#This Row],[qno]])=1</f>
        <v>1</v>
      </c>
      <c r="AM266" s="16" t="b">
        <f>OR(questions[[#This Row],[is_fixed]],questions[[#This Row],[is_localized]],questions[[#This Row],[is_supply_chain_dependent]])</f>
        <v>1</v>
      </c>
      <c r="AN266" s="16" t="b">
        <f>COUNTIFS(questions[[#This Row],[is_automated]:[is_multi_select]],TRUE)=1</f>
        <v>1</v>
      </c>
      <c r="AO266" s="16" t="b">
        <f>IF(questions[[#This Row],[is_fixed]],questions[[#This Row],[question]]=INDEX(stable[question],MATCH(questions[[#This Row],[qno]],stable[qno],0)),TRUE)</f>
        <v>1</v>
      </c>
      <c r="AP266" s="16" t="str">
        <f>LEFT(questions[[#This Row],[question]],similarity_range)</f>
        <v>How many seedlings d</v>
      </c>
      <c r="AQ266" s="16" t="str">
        <f>LEFT(INDEX(stable[question],MATCH(questions[[#This Row],[qno]],stable[qno],0)),similarity_range)</f>
        <v>How many seedlings d</v>
      </c>
      <c r="AR266" s="16" t="b">
        <f>questions[[#This Row],[question_first_characters]]=questions[[#This Row],[stability_first_characters]]</f>
        <v>1</v>
      </c>
      <c r="AS266" s="16" t="b">
        <f>IF(OR(questions[[#This Row],[is_single_select]],questions[[#This Row],[is_multi_select]]),NOT(ISBLANK(questions[[#This Row],[answer_opt_combined]])),TRUE)</f>
        <v>1</v>
      </c>
    </row>
    <row r="267" spans="1:45" s="77" customFormat="1" x14ac:dyDescent="0.25">
      <c r="A267" s="77" t="str">
        <f>_xlfn.TEXTJOIN("_",TRUE,questions[[#This Row],[origin]:[qno]])</f>
        <v>Uganda_Arabica_Sbux_6400</v>
      </c>
      <c r="B267" s="77" t="s">
        <v>511</v>
      </c>
      <c r="C267" s="77" t="s">
        <v>59</v>
      </c>
      <c r="D267" s="77" t="s">
        <v>512</v>
      </c>
      <c r="F267" s="104" t="s">
        <v>284</v>
      </c>
      <c r="G267" s="77" t="s">
        <v>285</v>
      </c>
      <c r="H267" s="9" t="str" cm="1">
        <f t="array" ref="H267">INDEX(stableR[question],MATCH(VALUE(questions[[#This Row],[qno]]),VALUE(stableR[qno]),0))</f>
        <v>Did you organize your own transport to the Sucafina coffee collection point where you delivered your coffee last year?</v>
      </c>
      <c r="I267" s="9" t="b" cm="1">
        <f t="array" ref="I267">INDEX(stable[is_fixed],MATCH(VALUE(questions[[#This Row],[qno]]),VALUE(stable[qno]),0))</f>
        <v>1</v>
      </c>
      <c r="J267" s="9" t="b" cm="1">
        <f t="array" ref="J267">INDEX(stable[is_localized],MATCH(VALUE(questions[[#This Row],[qno]]),VALUE(stable[qno]),0))</f>
        <v>0</v>
      </c>
      <c r="K267" s="9" t="b" cm="1">
        <f t="array" ref="K267">INDEX(stable[is_supply_chain_dependent],MATCH(VALUE(questions[[#This Row],[qno]]),VALUE(stable[qno]),0))</f>
        <v>0</v>
      </c>
      <c r="L267" s="9" t="b" cm="1">
        <f t="array" ref="L267">INDEX(stable[is_mandatory],MATCH(VALUE(questions[[#This Row],[qno]]),VALUE(stable[qno]),0))</f>
        <v>1</v>
      </c>
      <c r="M267" s="9" t="b" cm="1">
        <f t="array" ref="M267">INDEX(stable[is_automated],MATCH(VALUE(questions[[#This Row],[qno]]),VALUE(stable[qno]),0))</f>
        <v>0</v>
      </c>
      <c r="N267" s="9" t="b" cm="1">
        <f t="array" ref="N267">INDEX(stable[is_free_text],MATCH(VALUE(questions[[#This Row],[qno]]),VALUE(stable[qno]),0))</f>
        <v>0</v>
      </c>
      <c r="O267" s="9" t="b" cm="1">
        <f t="array" ref="O267">INDEX(stable[is_numerical],MATCH(VALUE(questions[[#This Row],[qno]]),VALUE(stable[qno]),0))</f>
        <v>0</v>
      </c>
      <c r="P267" s="103" t="b" cm="1">
        <f t="array" ref="P267">INDEX(stable[is_single_select],MATCH(VALUE(questions[[#This Row],[qno]]),VALUE(stable[qno]),0))</f>
        <v>1</v>
      </c>
      <c r="Q267" s="77" t="b" cm="1">
        <f t="array" ref="Q267">INDEX(stable[is_multi_select],MATCH(VALUE(questions[[#This Row],[qno]]),VALUE(stable[qno]),0))</f>
        <v>0</v>
      </c>
      <c r="R267" s="77" t="b" cm="1">
        <f t="array" ref="R267">INDEX(stable[is_skip_logic],MATCH(VALUE(questions[[#This Row],[qno]]),VALUE(stable[qno]),0))</f>
        <v>1</v>
      </c>
      <c r="S267" s="77" t="str">
        <f>_xlfn.TEXTJOIN(", ",TRUE,questions[[#This Row],[ans_opt_1]:[ans_opt_14]])</f>
        <v>Yes, No</v>
      </c>
      <c r="T267" s="77" t="s">
        <v>149</v>
      </c>
      <c r="U267" s="77" t="s">
        <v>119</v>
      </c>
      <c r="AH267" s="98" t="b">
        <f>INDEX(stable[q_standard],MATCH(questions[[#This Row],[qno]],stable[qno],0))</f>
        <v>0</v>
      </c>
      <c r="AI267" s="98" t="b">
        <f>INDEX(stable[q_living_income],MATCH(questions[[#This Row],[qno]],stable[qno],0))</f>
        <v>1</v>
      </c>
      <c r="AJ267" s="98" t="b">
        <f>INDEX(stable[q_carbon],MATCH(questions[[#This Row],[qno]],stable[qno],0))</f>
        <v>0</v>
      </c>
      <c r="AK267" s="98" t="b">
        <f>INDEX(stable[q_regen_ag],MATCH(questions[[#This Row],[qno]],stable[qno],0))</f>
        <v>0</v>
      </c>
      <c r="AL267" s="98" t="b">
        <f>COUNTIFS(stable[qno],questions[[#This Row],[qno]])=1</f>
        <v>1</v>
      </c>
      <c r="AM267" s="98" t="b">
        <f>OR(questions[[#This Row],[is_fixed]],questions[[#This Row],[is_localized]],questions[[#This Row],[is_supply_chain_dependent]])</f>
        <v>1</v>
      </c>
      <c r="AN267" s="98" t="b">
        <f>COUNTIFS(questions[[#This Row],[is_automated]:[is_multi_select]],TRUE)=1</f>
        <v>1</v>
      </c>
      <c r="AO267" s="98" t="b">
        <f>IF(questions[[#This Row],[is_fixed]],questions[[#This Row],[question]]=INDEX(stable[question],MATCH(questions[[#This Row],[qno]],stable[qno],0)),TRUE)</f>
        <v>1</v>
      </c>
      <c r="AP267" s="98" t="str">
        <f>LEFT(questions[[#This Row],[question]],similarity_range)</f>
        <v>Did you organize the</v>
      </c>
      <c r="AQ267" s="98" t="str">
        <f>LEFT(INDEX(stable[question],MATCH(questions[[#This Row],[qno]],stable[qno],0)),similarity_range)</f>
        <v>Did you organize the</v>
      </c>
      <c r="AR267" s="98" t="b">
        <f>questions[[#This Row],[question_first_characters]]=questions[[#This Row],[stability_first_characters]]</f>
        <v>1</v>
      </c>
      <c r="AS267" s="98" t="b">
        <f>IF(OR(questions[[#This Row],[is_single_select]],questions[[#This Row],[is_multi_select]]),NOT(ISBLANK(questions[[#This Row],[answer_opt_combined]])),TRUE)</f>
        <v>1</v>
      </c>
    </row>
    <row r="268" spans="1:45" x14ac:dyDescent="0.25">
      <c r="A268" s="9" t="str">
        <f>_xlfn.TEXTJOIN("_",TRUE,questions[[#This Row],[origin]:[qno]])</f>
        <v>Uganda_Arabica_Sbux_6401</v>
      </c>
      <c r="B268" s="9" t="s">
        <v>511</v>
      </c>
      <c r="C268" s="9" t="s">
        <v>59</v>
      </c>
      <c r="D268" s="9" t="s">
        <v>512</v>
      </c>
      <c r="F268" s="24" t="s">
        <v>286</v>
      </c>
      <c r="G268" s="15" t="s">
        <v>287</v>
      </c>
      <c r="H268" s="9" t="str" cm="1">
        <f t="array" ref="H268">INDEX(stableR[question],MATCH(VALUE(questions[[#This Row],[qno]]),VALUE(stableR[qno]),0))</f>
        <v>How many trips did you need to make last year?</v>
      </c>
      <c r="I268" s="9" t="b" cm="1">
        <f t="array" ref="I268">INDEX(stable[is_fixed],MATCH(VALUE(questions[[#This Row],[qno]]),VALUE(stable[qno]),0))</f>
        <v>1</v>
      </c>
      <c r="J268" s="9" t="b" cm="1">
        <f t="array" ref="J268">INDEX(stable[is_localized],MATCH(VALUE(questions[[#This Row],[qno]]),VALUE(stable[qno]),0))</f>
        <v>0</v>
      </c>
      <c r="K268" s="9" t="b" cm="1">
        <f t="array" ref="K268">INDEX(stable[is_supply_chain_dependent],MATCH(VALUE(questions[[#This Row],[qno]]),VALUE(stable[qno]),0))</f>
        <v>0</v>
      </c>
      <c r="L268" s="9" t="b" cm="1">
        <f t="array" ref="L268">INDEX(stable[is_mandatory],MATCH(VALUE(questions[[#This Row],[qno]]),VALUE(stable[qno]),0))</f>
        <v>0</v>
      </c>
      <c r="M268" s="9" t="b" cm="1">
        <f t="array" ref="M268">INDEX(stable[is_automated],MATCH(VALUE(questions[[#This Row],[qno]]),VALUE(stable[qno]),0))</f>
        <v>0</v>
      </c>
      <c r="N268" s="9" t="b" cm="1">
        <f t="array" ref="N268">INDEX(stable[is_free_text],MATCH(VALUE(questions[[#This Row],[qno]]),VALUE(stable[qno]),0))</f>
        <v>0</v>
      </c>
      <c r="O268" s="9" t="b" cm="1">
        <f t="array" ref="O268">INDEX(stable[is_numerical],MATCH(VALUE(questions[[#This Row],[qno]]),VALUE(stable[qno]),0))</f>
        <v>1</v>
      </c>
      <c r="P268" s="32" t="b" cm="1">
        <f t="array" ref="P268">INDEX(stable[is_single_select],MATCH(VALUE(questions[[#This Row],[qno]]),VALUE(stable[qno]),0))</f>
        <v>0</v>
      </c>
      <c r="Q268" s="9" t="b" cm="1">
        <f t="array" ref="Q268">INDEX(stable[is_multi_select],MATCH(VALUE(questions[[#This Row],[qno]]),VALUE(stable[qno]),0))</f>
        <v>0</v>
      </c>
      <c r="R268" s="9" t="b" cm="1">
        <f t="array" ref="R268">INDEX(stable[is_skip_logic],MATCH(VALUE(questions[[#This Row],[qno]]),VALUE(stable[qno]),0))</f>
        <v>1</v>
      </c>
      <c r="S268" s="9" t="str">
        <f>_xlfn.TEXTJOIN(", ",TRUE,questions[[#This Row],[ans_opt_1]:[ans_opt_14]])</f>
        <v/>
      </c>
      <c r="AH268" s="16" t="b">
        <f>INDEX(stable[q_standard],MATCH(questions[[#This Row],[qno]],stable[qno],0))</f>
        <v>0</v>
      </c>
      <c r="AI268" s="16" t="b">
        <f>INDEX(stable[q_living_income],MATCH(questions[[#This Row],[qno]],stable[qno],0))</f>
        <v>1</v>
      </c>
      <c r="AJ268" s="16" t="b">
        <f>INDEX(stable[q_carbon],MATCH(questions[[#This Row],[qno]],stable[qno],0))</f>
        <v>0</v>
      </c>
      <c r="AK268" s="16" t="b">
        <f>INDEX(stable[q_regen_ag],MATCH(questions[[#This Row],[qno]],stable[qno],0))</f>
        <v>0</v>
      </c>
      <c r="AL268" s="16" t="b">
        <f>COUNTIFS(stable[qno],questions[[#This Row],[qno]])=1</f>
        <v>1</v>
      </c>
      <c r="AM268" s="16" t="b">
        <f>OR(questions[[#This Row],[is_fixed]],questions[[#This Row],[is_localized]],questions[[#This Row],[is_supply_chain_dependent]])</f>
        <v>1</v>
      </c>
      <c r="AN268" s="16" t="b">
        <f>COUNTIFS(questions[[#This Row],[is_automated]:[is_multi_select]],TRUE)=1</f>
        <v>1</v>
      </c>
      <c r="AO268" s="16" t="b">
        <f>IF(questions[[#This Row],[is_fixed]],questions[[#This Row],[question]]=INDEX(stable[question],MATCH(questions[[#This Row],[qno]],stable[qno],0)),TRUE)</f>
        <v>0</v>
      </c>
      <c r="AP268" s="16" t="str">
        <f>LEFT(questions[[#This Row],[question]],similarity_range)</f>
        <v>If yes, how many tri</v>
      </c>
      <c r="AQ268" s="16" t="str">
        <f>LEFT(INDEX(stable[question],MATCH(questions[[#This Row],[qno]],stable[qno],0)),similarity_range)</f>
        <v>If yes, how many tri</v>
      </c>
      <c r="AR268" s="16" t="b">
        <f>questions[[#This Row],[question_first_characters]]=questions[[#This Row],[stability_first_characters]]</f>
        <v>1</v>
      </c>
      <c r="AS268" s="16" t="b">
        <f>IF(OR(questions[[#This Row],[is_single_select]],questions[[#This Row],[is_multi_select]]),NOT(ISBLANK(questions[[#This Row],[answer_opt_combined]])),TRUE)</f>
        <v>1</v>
      </c>
    </row>
    <row r="269" spans="1:45" x14ac:dyDescent="0.25">
      <c r="A269" s="9" t="str">
        <f>_xlfn.TEXTJOIN("_",TRUE,questions[[#This Row],[origin]:[qno]])</f>
        <v>Uganda_Arabica_Sbux_6402</v>
      </c>
      <c r="B269" s="9" t="s">
        <v>511</v>
      </c>
      <c r="C269" s="9" t="s">
        <v>59</v>
      </c>
      <c r="D269" s="9" t="s">
        <v>512</v>
      </c>
      <c r="F269" s="24" t="s">
        <v>288</v>
      </c>
      <c r="G269" s="15" t="s">
        <v>606</v>
      </c>
      <c r="H269" s="9" t="str" cm="1">
        <f t="array" ref="H269">INDEX(stableR[question],MATCH(VALUE(questions[[#This Row],[qno]]),VALUE(stableR[qno]),0))</f>
        <v>What were the costs per trip (the costs you make your self, or what you pay to someone to do the transport for you)? (in local currency)</v>
      </c>
      <c r="I269" s="9" t="b" cm="1">
        <f t="array" ref="I269">INDEX(stable[is_fixed],MATCH(VALUE(questions[[#This Row],[qno]]),VALUE(stable[qno]),0))</f>
        <v>0</v>
      </c>
      <c r="J269" s="9" t="b" cm="1">
        <f t="array" ref="J269">INDEX(stable[is_localized],MATCH(VALUE(questions[[#This Row],[qno]]),VALUE(stable[qno]),0))</f>
        <v>1</v>
      </c>
      <c r="K269" s="9" t="b" cm="1">
        <f t="array" ref="K269">INDEX(stable[is_supply_chain_dependent],MATCH(VALUE(questions[[#This Row],[qno]]),VALUE(stable[qno]),0))</f>
        <v>0</v>
      </c>
      <c r="L269" s="9" t="b" cm="1">
        <f t="array" ref="L269">INDEX(stable[is_mandatory],MATCH(VALUE(questions[[#This Row],[qno]]),VALUE(stable[qno]),0))</f>
        <v>0</v>
      </c>
      <c r="M269" s="9" t="b" cm="1">
        <f t="array" ref="M269">INDEX(stable[is_automated],MATCH(VALUE(questions[[#This Row],[qno]]),VALUE(stable[qno]),0))</f>
        <v>0</v>
      </c>
      <c r="N269" s="9" t="b" cm="1">
        <f t="array" ref="N269">INDEX(stable[is_free_text],MATCH(VALUE(questions[[#This Row],[qno]]),VALUE(stable[qno]),0))</f>
        <v>0</v>
      </c>
      <c r="O269" s="9" t="b" cm="1">
        <f t="array" ref="O269">INDEX(stable[is_numerical],MATCH(VALUE(questions[[#This Row],[qno]]),VALUE(stable[qno]),0))</f>
        <v>1</v>
      </c>
      <c r="P269" s="32" t="b" cm="1">
        <f t="array" ref="P269">INDEX(stable[is_single_select],MATCH(VALUE(questions[[#This Row],[qno]]),VALUE(stable[qno]),0))</f>
        <v>0</v>
      </c>
      <c r="Q269" s="9" t="b" cm="1">
        <f t="array" ref="Q269">INDEX(stable[is_multi_select],MATCH(VALUE(questions[[#This Row],[qno]]),VALUE(stable[qno]),0))</f>
        <v>0</v>
      </c>
      <c r="R269" s="9" t="b" cm="1">
        <f t="array" ref="R269">INDEX(stable[is_skip_logic],MATCH(VALUE(questions[[#This Row],[qno]]),VALUE(stable[qno]),0))</f>
        <v>1</v>
      </c>
      <c r="S269" s="9" t="str">
        <f>_xlfn.TEXTJOIN(", ",TRUE,questions[[#This Row],[ans_opt_1]:[ans_opt_14]])</f>
        <v/>
      </c>
      <c r="AH269" s="16" t="b">
        <f>INDEX(stable[q_standard],MATCH(questions[[#This Row],[qno]],stable[qno],0))</f>
        <v>0</v>
      </c>
      <c r="AI269" s="16" t="b">
        <f>INDEX(stable[q_living_income],MATCH(questions[[#This Row],[qno]],stable[qno],0))</f>
        <v>1</v>
      </c>
      <c r="AJ269" s="16" t="b">
        <f>INDEX(stable[q_carbon],MATCH(questions[[#This Row],[qno]],stable[qno],0))</f>
        <v>0</v>
      </c>
      <c r="AK269" s="16" t="b">
        <f>INDEX(stable[q_regen_ag],MATCH(questions[[#This Row],[qno]],stable[qno],0))</f>
        <v>0</v>
      </c>
      <c r="AL269" s="16" t="b">
        <f>COUNTIFS(stable[qno],questions[[#This Row],[qno]])=1</f>
        <v>1</v>
      </c>
      <c r="AM269" s="16" t="b">
        <f>OR(questions[[#This Row],[is_fixed]],questions[[#This Row],[is_localized]],questions[[#This Row],[is_supply_chain_dependent]])</f>
        <v>1</v>
      </c>
      <c r="AN269" s="16" t="b">
        <f>COUNTIFS(questions[[#This Row],[is_automated]:[is_multi_select]],TRUE)=1</f>
        <v>1</v>
      </c>
      <c r="AO269" s="16" t="b">
        <f>IF(questions[[#This Row],[is_fixed]],questions[[#This Row],[question]]=INDEX(stable[question],MATCH(questions[[#This Row],[qno]],stable[qno],0)),TRUE)</f>
        <v>1</v>
      </c>
      <c r="AP269" s="16" t="str">
        <f>LEFT(questions[[#This Row],[question]],similarity_range)</f>
        <v>If yes, in general w</v>
      </c>
      <c r="AQ269" s="16" t="str">
        <f>LEFT(INDEX(stable[question],MATCH(questions[[#This Row],[qno]],stable[qno],0)),similarity_range)</f>
        <v>If yes, in general w</v>
      </c>
      <c r="AR269" s="16" t="b">
        <f>questions[[#This Row],[question_first_characters]]=questions[[#This Row],[stability_first_characters]]</f>
        <v>1</v>
      </c>
      <c r="AS269" s="16" t="b">
        <f>IF(OR(questions[[#This Row],[is_single_select]],questions[[#This Row],[is_multi_select]]),NOT(ISBLANK(questions[[#This Row],[answer_opt_combined]])),TRUE)</f>
        <v>1</v>
      </c>
    </row>
    <row r="270" spans="1:45" s="77" customFormat="1" x14ac:dyDescent="0.25">
      <c r="A270" s="77" t="str">
        <f>_xlfn.TEXTJOIN("_",TRUE,questions[[#This Row],[origin]:[qno]])</f>
        <v>Uganda_Arabica_Sbux_6500</v>
      </c>
      <c r="B270" s="77" t="s">
        <v>511</v>
      </c>
      <c r="C270" s="77" t="s">
        <v>59</v>
      </c>
      <c r="D270" s="77" t="s">
        <v>512</v>
      </c>
      <c r="F270" s="104" t="s">
        <v>290</v>
      </c>
      <c r="G270" s="78" t="s">
        <v>291</v>
      </c>
      <c r="H270" s="9" t="str" cm="1">
        <f t="array" ref="H270">INDEX(stableR[question],MATCH(VALUE(questions[[#This Row],[qno]]),VALUE(stableR[qno]),0))</f>
        <v>What are your sources of income for the total household, from the farm and off-farm?</v>
      </c>
      <c r="I270" s="9" t="b" cm="1">
        <f t="array" ref="I270">INDEX(stable[is_fixed],MATCH(VALUE(questions[[#This Row],[qno]]),VALUE(stable[qno]),0))</f>
        <v>1</v>
      </c>
      <c r="J270" s="9" t="b" cm="1">
        <f t="array" ref="J270">INDEX(stable[is_localized],MATCH(VALUE(questions[[#This Row],[qno]]),VALUE(stable[qno]),0))</f>
        <v>0</v>
      </c>
      <c r="K270" s="9" t="b" cm="1">
        <f t="array" ref="K270">INDEX(stable[is_supply_chain_dependent],MATCH(VALUE(questions[[#This Row],[qno]]),VALUE(stable[qno]),0))</f>
        <v>0</v>
      </c>
      <c r="L270" s="9" t="b" cm="1">
        <f t="array" ref="L270">INDEX(stable[is_mandatory],MATCH(VALUE(questions[[#This Row],[qno]]),VALUE(stable[qno]),0))</f>
        <v>1</v>
      </c>
      <c r="M270" s="9" t="b" cm="1">
        <f t="array" ref="M270">INDEX(stable[is_automated],MATCH(VALUE(questions[[#This Row],[qno]]),VALUE(stable[qno]),0))</f>
        <v>0</v>
      </c>
      <c r="N270" s="9" t="b" cm="1">
        <f t="array" ref="N270">INDEX(stable[is_free_text],MATCH(VALUE(questions[[#This Row],[qno]]),VALUE(stable[qno]),0))</f>
        <v>0</v>
      </c>
      <c r="O270" s="9" t="b" cm="1">
        <f t="array" ref="O270">INDEX(stable[is_numerical],MATCH(VALUE(questions[[#This Row],[qno]]),VALUE(stable[qno]),0))</f>
        <v>0</v>
      </c>
      <c r="P270" s="103" t="b" cm="1">
        <f t="array" ref="P270">INDEX(stable[is_single_select],MATCH(VALUE(questions[[#This Row],[qno]]),VALUE(stable[qno]),0))</f>
        <v>0</v>
      </c>
      <c r="Q270" s="77" t="b" cm="1">
        <f t="array" ref="Q270">INDEX(stable[is_multi_select],MATCH(VALUE(questions[[#This Row],[qno]]),VALUE(stable[qno]),0))</f>
        <v>1</v>
      </c>
      <c r="R270" s="77" t="b" cm="1">
        <f t="array" ref="R270">INDEX(stable[is_skip_logic],MATCH(VALUE(questions[[#This Row],[qno]]),VALUE(stable[qno]),0))</f>
        <v>1</v>
      </c>
      <c r="S270" s="77" t="str">
        <f>_xlfn.TEXTJOIN(", ",TRUE,questions[[#This Row],[ans_opt_1]:[ans_opt_14]])</f>
        <v>Coffee, Cropping, Livestock, Casual labor in agriculture, Casual labor off-farm, Other business, Salaried job, Pension, Remittances</v>
      </c>
      <c r="T270" s="77" t="s">
        <v>292</v>
      </c>
      <c r="U270" s="77" t="s">
        <v>293</v>
      </c>
      <c r="V270" s="77" t="s">
        <v>294</v>
      </c>
      <c r="W270" s="77" t="s">
        <v>295</v>
      </c>
      <c r="X270" s="77" t="s">
        <v>296</v>
      </c>
      <c r="Y270" s="77" t="s">
        <v>297</v>
      </c>
      <c r="Z270" s="77" t="s">
        <v>298</v>
      </c>
      <c r="AA270" s="77" t="s">
        <v>299</v>
      </c>
      <c r="AB270" s="77" t="s">
        <v>300</v>
      </c>
      <c r="AH270" s="98" t="b">
        <f>INDEX(stable[q_standard],MATCH(questions[[#This Row],[qno]],stable[qno],0))</f>
        <v>0</v>
      </c>
      <c r="AI270" s="98" t="b">
        <f>INDEX(stable[q_living_income],MATCH(questions[[#This Row],[qno]],stable[qno],0))</f>
        <v>1</v>
      </c>
      <c r="AJ270" s="98" t="b">
        <f>INDEX(stable[q_carbon],MATCH(questions[[#This Row],[qno]],stable[qno],0))</f>
        <v>0</v>
      </c>
      <c r="AK270" s="98" t="b">
        <f>INDEX(stable[q_regen_ag],MATCH(questions[[#This Row],[qno]],stable[qno],0))</f>
        <v>0</v>
      </c>
      <c r="AL270" s="98" t="b">
        <f>COUNTIFS(stable[qno],questions[[#This Row],[qno]])=1</f>
        <v>1</v>
      </c>
      <c r="AM270" s="98" t="b">
        <f>OR(questions[[#This Row],[is_fixed]],questions[[#This Row],[is_localized]],questions[[#This Row],[is_supply_chain_dependent]])</f>
        <v>1</v>
      </c>
      <c r="AN270" s="98" t="b">
        <f>COUNTIFS(questions[[#This Row],[is_automated]:[is_multi_select]],TRUE)=1</f>
        <v>1</v>
      </c>
      <c r="AO270" s="98" t="b">
        <f>IF(questions[[#This Row],[is_fixed]],questions[[#This Row],[question]]=INDEX(stable[question],MATCH(questions[[#This Row],[qno]],stable[qno],0)),TRUE)</f>
        <v>1</v>
      </c>
      <c r="AP270" s="98" t="str">
        <f>LEFT(questions[[#This Row],[question]],similarity_range)</f>
        <v>What are your source</v>
      </c>
      <c r="AQ270" s="98" t="str">
        <f>LEFT(INDEX(stable[question],MATCH(questions[[#This Row],[qno]],stable[qno],0)),similarity_range)</f>
        <v>What are your source</v>
      </c>
      <c r="AR270" s="98" t="b">
        <f>questions[[#This Row],[question_first_characters]]=questions[[#This Row],[stability_first_characters]]</f>
        <v>1</v>
      </c>
      <c r="AS270" s="98" t="b">
        <f>IF(OR(questions[[#This Row],[is_single_select]],questions[[#This Row],[is_multi_select]]),NOT(ISBLANK(questions[[#This Row],[answer_opt_combined]])),TRUE)</f>
        <v>1</v>
      </c>
    </row>
    <row r="271" spans="1:45" x14ac:dyDescent="0.25">
      <c r="A271" s="9" t="str">
        <f>_xlfn.TEXTJOIN("_",TRUE,questions[[#This Row],[origin]:[qno]])</f>
        <v>Uganda_Arabica_Sbux_6501</v>
      </c>
      <c r="B271" s="9" t="s">
        <v>511</v>
      </c>
      <c r="C271" s="9" t="s">
        <v>59</v>
      </c>
      <c r="D271" s="9" t="s">
        <v>512</v>
      </c>
      <c r="F271" s="24" t="s">
        <v>301</v>
      </c>
      <c r="G271" s="9" t="s">
        <v>302</v>
      </c>
      <c r="H271" s="9" t="str" cm="1">
        <f t="array" ref="H271">INDEX(stableR[question],MATCH(VALUE(questions[[#This Row],[qno]]),VALUE(stableR[qno]),0))</f>
        <v>For each of the sources of income that you have, please estimate the importance in terms of income for last year, as compared to the total household income! (next questions)</v>
      </c>
      <c r="I271" s="9" t="b" cm="1">
        <f t="array" ref="I271">INDEX(stable[is_fixed],MATCH(VALUE(questions[[#This Row],[qno]]),VALUE(stable[qno]),0))</f>
        <v>1</v>
      </c>
      <c r="J271" s="9" t="b" cm="1">
        <f t="array" ref="J271">INDEX(stable[is_localized],MATCH(VALUE(questions[[#This Row],[qno]]),VALUE(stable[qno]),0))</f>
        <v>0</v>
      </c>
      <c r="K271" s="9" t="b" cm="1">
        <f t="array" ref="K271">INDEX(stable[is_supply_chain_dependent],MATCH(VALUE(questions[[#This Row],[qno]]),VALUE(stable[qno]),0))</f>
        <v>0</v>
      </c>
      <c r="L271" s="9" t="b" cm="1">
        <f t="array" ref="L271">INDEX(stable[is_mandatory],MATCH(VALUE(questions[[#This Row],[qno]]),VALUE(stable[qno]),0))</f>
        <v>1</v>
      </c>
      <c r="M271" s="9" t="b" cm="1">
        <f t="array" ref="M271">INDEX(stable[is_automated],MATCH(VALUE(questions[[#This Row],[qno]]),VALUE(stable[qno]),0))</f>
        <v>1</v>
      </c>
      <c r="N271" s="9" t="b" cm="1">
        <f t="array" ref="N271">INDEX(stable[is_free_text],MATCH(VALUE(questions[[#This Row],[qno]]),VALUE(stable[qno]),0))</f>
        <v>0</v>
      </c>
      <c r="O271" s="9" t="b" cm="1">
        <f t="array" ref="O271">INDEX(stable[is_numerical],MATCH(VALUE(questions[[#This Row],[qno]]),VALUE(stable[qno]),0))</f>
        <v>0</v>
      </c>
      <c r="P271" s="32" t="b" cm="1">
        <f t="array" ref="P271">INDEX(stable[is_single_select],MATCH(VALUE(questions[[#This Row],[qno]]),VALUE(stable[qno]),0))</f>
        <v>0</v>
      </c>
      <c r="Q271" s="9" t="b" cm="1">
        <f t="array" ref="Q271">INDEX(stable[is_multi_select],MATCH(VALUE(questions[[#This Row],[qno]]),VALUE(stable[qno]),0))</f>
        <v>0</v>
      </c>
      <c r="R271" s="9" t="b" cm="1">
        <f t="array" ref="R271">INDEX(stable[is_skip_logic],MATCH(VALUE(questions[[#This Row],[qno]]),VALUE(stable[qno]),0))</f>
        <v>0</v>
      </c>
      <c r="S271" s="9" t="str">
        <f>_xlfn.TEXTJOIN(", ",TRUE,questions[[#This Row],[ans_opt_1]:[ans_opt_14]])</f>
        <v/>
      </c>
      <c r="AH271" s="16" t="b">
        <f>INDEX(stable[q_standard],MATCH(questions[[#This Row],[qno]],stable[qno],0))</f>
        <v>0</v>
      </c>
      <c r="AI271" s="16" t="b">
        <f>INDEX(stable[q_living_income],MATCH(questions[[#This Row],[qno]],stable[qno],0))</f>
        <v>1</v>
      </c>
      <c r="AJ271" s="16" t="b">
        <f>INDEX(stable[q_carbon],MATCH(questions[[#This Row],[qno]],stable[qno],0))</f>
        <v>0</v>
      </c>
      <c r="AK271" s="16" t="b">
        <f>INDEX(stable[q_regen_ag],MATCH(questions[[#This Row],[qno]],stable[qno],0))</f>
        <v>0</v>
      </c>
      <c r="AL271" s="16" t="b">
        <f>COUNTIFS(stable[qno],questions[[#This Row],[qno]])=1</f>
        <v>1</v>
      </c>
      <c r="AM271" s="16" t="b">
        <f>OR(questions[[#This Row],[is_fixed]],questions[[#This Row],[is_localized]],questions[[#This Row],[is_supply_chain_dependent]])</f>
        <v>1</v>
      </c>
      <c r="AN271" s="16" t="b">
        <f>COUNTIFS(questions[[#This Row],[is_automated]:[is_multi_select]],TRUE)=1</f>
        <v>1</v>
      </c>
      <c r="AO271" s="16" t="b">
        <f>IF(questions[[#This Row],[is_fixed]],questions[[#This Row],[question]]=INDEX(stable[question],MATCH(questions[[#This Row],[qno]],stable[qno],0)),TRUE)</f>
        <v>0</v>
      </c>
      <c r="AP271" s="16" t="str">
        <f>LEFT(questions[[#This Row],[question]],similarity_range)</f>
        <v>For each of the sour</v>
      </c>
      <c r="AQ271" s="16" t="str">
        <f>LEFT(INDEX(stable[question],MATCH(questions[[#This Row],[qno]],stable[qno],0)),similarity_range)</f>
        <v>For each of the sour</v>
      </c>
      <c r="AR271" s="16" t="b">
        <f>questions[[#This Row],[question_first_characters]]=questions[[#This Row],[stability_first_characters]]</f>
        <v>1</v>
      </c>
      <c r="AS271" s="16" t="b">
        <f>IF(OR(questions[[#This Row],[is_single_select]],questions[[#This Row],[is_multi_select]]),NOT(ISBLANK(questions[[#This Row],[answer_opt_combined]])),TRUE)</f>
        <v>1</v>
      </c>
    </row>
    <row r="272" spans="1:45" s="77" customFormat="1" x14ac:dyDescent="0.25">
      <c r="A272" s="77" t="str">
        <f>_xlfn.TEXTJOIN("_",TRUE,questions[[#This Row],[origin]:[qno]])</f>
        <v>Uganda_Arabica_Sbux_6510</v>
      </c>
      <c r="B272" s="77" t="s">
        <v>511</v>
      </c>
      <c r="C272" s="77" t="s">
        <v>59</v>
      </c>
      <c r="D272" s="77" t="s">
        <v>512</v>
      </c>
      <c r="F272" s="104" t="s">
        <v>303</v>
      </c>
      <c r="G272" s="78" t="s">
        <v>304</v>
      </c>
      <c r="H272" s="9" t="str" cm="1">
        <f t="array" ref="H272">INDEX(stableR[question],MATCH(VALUE(questions[[#This Row],[qno]]),VALUE(stableR[qno]),0))</f>
        <v>Coffee, what was the estimated importance?</v>
      </c>
      <c r="I272" s="9" t="b" cm="1">
        <f t="array" ref="I272">INDEX(stable[is_fixed],MATCH(VALUE(questions[[#This Row],[qno]]),VALUE(stable[qno]),0))</f>
        <v>1</v>
      </c>
      <c r="J272" s="9" t="b" cm="1">
        <f t="array" ref="J272">INDEX(stable[is_localized],MATCH(VALUE(questions[[#This Row],[qno]]),VALUE(stable[qno]),0))</f>
        <v>0</v>
      </c>
      <c r="K272" s="9" t="b" cm="1">
        <f t="array" ref="K272">INDEX(stable[is_supply_chain_dependent],MATCH(VALUE(questions[[#This Row],[qno]]),VALUE(stable[qno]),0))</f>
        <v>0</v>
      </c>
      <c r="L272" s="9" t="b" cm="1">
        <f t="array" ref="L272">INDEX(stable[is_mandatory],MATCH(VALUE(questions[[#This Row],[qno]]),VALUE(stable[qno]),0))</f>
        <v>0</v>
      </c>
      <c r="M272" s="9" t="b" cm="1">
        <f t="array" ref="M272">INDEX(stable[is_automated],MATCH(VALUE(questions[[#This Row],[qno]]),VALUE(stable[qno]),0))</f>
        <v>0</v>
      </c>
      <c r="N272" s="9" t="b" cm="1">
        <f t="array" ref="N272">INDEX(stable[is_free_text],MATCH(VALUE(questions[[#This Row],[qno]]),VALUE(stable[qno]),0))</f>
        <v>0</v>
      </c>
      <c r="O272" s="9" t="b" cm="1">
        <f t="array" ref="O272">INDEX(stable[is_numerical],MATCH(VALUE(questions[[#This Row],[qno]]),VALUE(stable[qno]),0))</f>
        <v>0</v>
      </c>
      <c r="P272" s="103" t="b" cm="1">
        <f t="array" ref="P272">INDEX(stable[is_single_select],MATCH(VALUE(questions[[#This Row],[qno]]),VALUE(stable[qno]),0))</f>
        <v>1</v>
      </c>
      <c r="Q272" s="77" t="b" cm="1">
        <f t="array" ref="Q272">INDEX(stable[is_multi_select],MATCH(VALUE(questions[[#This Row],[qno]]),VALUE(stable[qno]),0))</f>
        <v>0</v>
      </c>
      <c r="R272" s="77" t="b" cm="1">
        <f t="array" ref="R272">INDEX(stable[is_skip_logic],MATCH(VALUE(questions[[#This Row],[qno]]),VALUE(stable[qno]),0))</f>
        <v>0</v>
      </c>
      <c r="S272" s="77" t="str">
        <f>_xlfn.TEXTJOIN(", ",TRUE,questions[[#This Row],[ans_opt_1]:[ans_opt_14]])</f>
        <v>All or nearly all - 80-100%, More than half of it  - 60-80%, About half of it - 40-60%, Less than half of it - 20-40%, A small amount - 0-20%</v>
      </c>
      <c r="T272" s="77" t="s">
        <v>305</v>
      </c>
      <c r="U272" s="77" t="s">
        <v>306</v>
      </c>
      <c r="V272" s="77" t="s">
        <v>307</v>
      </c>
      <c r="W272" s="77" t="s">
        <v>308</v>
      </c>
      <c r="X272" s="77" t="s">
        <v>309</v>
      </c>
      <c r="AH272" s="98" t="b">
        <f>INDEX(stable[q_standard],MATCH(questions[[#This Row],[qno]],stable[qno],0))</f>
        <v>0</v>
      </c>
      <c r="AI272" s="98" t="b">
        <f>INDEX(stable[q_living_income],MATCH(questions[[#This Row],[qno]],stable[qno],0))</f>
        <v>1</v>
      </c>
      <c r="AJ272" s="98" t="b">
        <f>INDEX(stable[q_carbon],MATCH(questions[[#This Row],[qno]],stable[qno],0))</f>
        <v>0</v>
      </c>
      <c r="AK272" s="98" t="b">
        <f>INDEX(stable[q_regen_ag],MATCH(questions[[#This Row],[qno]],stable[qno],0))</f>
        <v>0</v>
      </c>
      <c r="AL272" s="98" t="b">
        <f>COUNTIFS(stable[qno],questions[[#This Row],[qno]])=1</f>
        <v>1</v>
      </c>
      <c r="AM272" s="98" t="b">
        <f>OR(questions[[#This Row],[is_fixed]],questions[[#This Row],[is_localized]],questions[[#This Row],[is_supply_chain_dependent]])</f>
        <v>1</v>
      </c>
      <c r="AN272" s="98" t="b">
        <f>COUNTIFS(questions[[#This Row],[is_automated]:[is_multi_select]],TRUE)=1</f>
        <v>1</v>
      </c>
      <c r="AO272" s="98" t="b">
        <f>IF(questions[[#This Row],[is_fixed]],questions[[#This Row],[question]]=INDEX(stable[question],MATCH(questions[[#This Row],[qno]],stable[qno],0)),TRUE)</f>
        <v>1</v>
      </c>
      <c r="AP272" s="98" t="str">
        <f>LEFT(questions[[#This Row],[question]],similarity_range)</f>
        <v>Coffee, what was the</v>
      </c>
      <c r="AQ272" s="98" t="str">
        <f>LEFT(INDEX(stable[question],MATCH(questions[[#This Row],[qno]],stable[qno],0)),similarity_range)</f>
        <v>Coffee, what was the</v>
      </c>
      <c r="AR272" s="98" t="b">
        <f>questions[[#This Row],[question_first_characters]]=questions[[#This Row],[stability_first_characters]]</f>
        <v>1</v>
      </c>
      <c r="AS272" s="98" t="b">
        <f>IF(OR(questions[[#This Row],[is_single_select]],questions[[#This Row],[is_multi_select]]),NOT(ISBLANK(questions[[#This Row],[answer_opt_combined]])),TRUE)</f>
        <v>1</v>
      </c>
    </row>
    <row r="273" spans="1:45" s="77" customFormat="1" x14ac:dyDescent="0.25">
      <c r="A273" s="77" t="str">
        <f>_xlfn.TEXTJOIN("_",TRUE,questions[[#This Row],[origin]:[qno]])</f>
        <v>Uganda_Arabica_Sbux_6511</v>
      </c>
      <c r="B273" s="77" t="s">
        <v>511</v>
      </c>
      <c r="C273" s="77" t="s">
        <v>59</v>
      </c>
      <c r="D273" s="77" t="s">
        <v>512</v>
      </c>
      <c r="F273" s="104" t="s">
        <v>310</v>
      </c>
      <c r="G273" s="78" t="s">
        <v>311</v>
      </c>
      <c r="H273" s="9" t="str" cm="1">
        <f t="array" ref="H273">INDEX(stableR[question],MATCH(VALUE(questions[[#This Row],[qno]]),VALUE(stableR[qno]),0))</f>
        <v>Cropping other than coffee, what was the estimated importance?</v>
      </c>
      <c r="I273" s="9" t="b" cm="1">
        <f t="array" ref="I273">INDEX(stable[is_fixed],MATCH(VALUE(questions[[#This Row],[qno]]),VALUE(stable[qno]),0))</f>
        <v>1</v>
      </c>
      <c r="J273" s="9" t="b" cm="1">
        <f t="array" ref="J273">INDEX(stable[is_localized],MATCH(VALUE(questions[[#This Row],[qno]]),VALUE(stable[qno]),0))</f>
        <v>0</v>
      </c>
      <c r="K273" s="9" t="b" cm="1">
        <f t="array" ref="K273">INDEX(stable[is_supply_chain_dependent],MATCH(VALUE(questions[[#This Row],[qno]]),VALUE(stable[qno]),0))</f>
        <v>0</v>
      </c>
      <c r="L273" s="9" t="b" cm="1">
        <f t="array" ref="L273">INDEX(stable[is_mandatory],MATCH(VALUE(questions[[#This Row],[qno]]),VALUE(stable[qno]),0))</f>
        <v>0</v>
      </c>
      <c r="M273" s="9" t="b" cm="1">
        <f t="array" ref="M273">INDEX(stable[is_automated],MATCH(VALUE(questions[[#This Row],[qno]]),VALUE(stable[qno]),0))</f>
        <v>0</v>
      </c>
      <c r="N273" s="9" t="b" cm="1">
        <f t="array" ref="N273">INDEX(stable[is_free_text],MATCH(VALUE(questions[[#This Row],[qno]]),VALUE(stable[qno]),0))</f>
        <v>0</v>
      </c>
      <c r="O273" s="9" t="b" cm="1">
        <f t="array" ref="O273">INDEX(stable[is_numerical],MATCH(VALUE(questions[[#This Row],[qno]]),VALUE(stable[qno]),0))</f>
        <v>0</v>
      </c>
      <c r="P273" s="103" t="b" cm="1">
        <f t="array" ref="P273">INDEX(stable[is_single_select],MATCH(VALUE(questions[[#This Row],[qno]]),VALUE(stable[qno]),0))</f>
        <v>1</v>
      </c>
      <c r="Q273" s="77" t="b" cm="1">
        <f t="array" ref="Q273">INDEX(stable[is_multi_select],MATCH(VALUE(questions[[#This Row],[qno]]),VALUE(stable[qno]),0))</f>
        <v>0</v>
      </c>
      <c r="R273" s="77" t="b" cm="1">
        <f t="array" ref="R273">INDEX(stable[is_skip_logic],MATCH(VALUE(questions[[#This Row],[qno]]),VALUE(stable[qno]),0))</f>
        <v>0</v>
      </c>
      <c r="S273" s="77" t="str">
        <f>_xlfn.TEXTJOIN(", ",TRUE,questions[[#This Row],[ans_opt_1]:[ans_opt_14]])</f>
        <v>All or nearly all - 80-100%, More than half of it  - 60-80%, About half of it - 40-60%, Less than half of it - 20-40%, A small amount - 0-20%</v>
      </c>
      <c r="T273" s="77" t="s">
        <v>305</v>
      </c>
      <c r="U273" s="77" t="s">
        <v>306</v>
      </c>
      <c r="V273" s="77" t="s">
        <v>307</v>
      </c>
      <c r="W273" s="77" t="s">
        <v>308</v>
      </c>
      <c r="X273" s="77" t="s">
        <v>309</v>
      </c>
      <c r="AH273" s="98" t="b">
        <f>INDEX(stable[q_standard],MATCH(questions[[#This Row],[qno]],stable[qno],0))</f>
        <v>0</v>
      </c>
      <c r="AI273" s="98" t="b">
        <f>INDEX(stable[q_living_income],MATCH(questions[[#This Row],[qno]],stable[qno],0))</f>
        <v>1</v>
      </c>
      <c r="AJ273" s="98" t="b">
        <f>INDEX(stable[q_carbon],MATCH(questions[[#This Row],[qno]],stable[qno],0))</f>
        <v>0</v>
      </c>
      <c r="AK273" s="98" t="b">
        <f>INDEX(stable[q_regen_ag],MATCH(questions[[#This Row],[qno]],stable[qno],0))</f>
        <v>0</v>
      </c>
      <c r="AL273" s="98" t="b">
        <f>COUNTIFS(stable[qno],questions[[#This Row],[qno]])=1</f>
        <v>1</v>
      </c>
      <c r="AM273" s="98" t="b">
        <f>OR(questions[[#This Row],[is_fixed]],questions[[#This Row],[is_localized]],questions[[#This Row],[is_supply_chain_dependent]])</f>
        <v>1</v>
      </c>
      <c r="AN273" s="98" t="b">
        <f>COUNTIFS(questions[[#This Row],[is_automated]:[is_multi_select]],TRUE)=1</f>
        <v>1</v>
      </c>
      <c r="AO273" s="98" t="b">
        <f>IF(questions[[#This Row],[is_fixed]],questions[[#This Row],[question]]=INDEX(stable[question],MATCH(questions[[#This Row],[qno]],stable[qno],0)),TRUE)</f>
        <v>1</v>
      </c>
      <c r="AP273" s="98" t="str">
        <f>LEFT(questions[[#This Row],[question]],similarity_range)</f>
        <v xml:space="preserve">Cropping other than </v>
      </c>
      <c r="AQ273" s="98" t="str">
        <f>LEFT(INDEX(stable[question],MATCH(questions[[#This Row],[qno]],stable[qno],0)),similarity_range)</f>
        <v xml:space="preserve">Cropping other than </v>
      </c>
      <c r="AR273" s="98" t="b">
        <f>questions[[#This Row],[question_first_characters]]=questions[[#This Row],[stability_first_characters]]</f>
        <v>1</v>
      </c>
      <c r="AS273" s="98" t="b">
        <f>IF(OR(questions[[#This Row],[is_single_select]],questions[[#This Row],[is_multi_select]]),NOT(ISBLANK(questions[[#This Row],[answer_opt_combined]])),TRUE)</f>
        <v>1</v>
      </c>
    </row>
    <row r="274" spans="1:45" s="77" customFormat="1" x14ac:dyDescent="0.25">
      <c r="A274" s="77" t="str">
        <f>_xlfn.TEXTJOIN("_",TRUE,questions[[#This Row],[origin]:[qno]])</f>
        <v>Uganda_Arabica_Sbux_6512</v>
      </c>
      <c r="B274" s="77" t="s">
        <v>511</v>
      </c>
      <c r="C274" s="77" t="s">
        <v>59</v>
      </c>
      <c r="D274" s="77" t="s">
        <v>512</v>
      </c>
      <c r="F274" s="104" t="s">
        <v>312</v>
      </c>
      <c r="G274" s="78" t="s">
        <v>313</v>
      </c>
      <c r="H274" s="9" t="str" cm="1">
        <f t="array" ref="H274">INDEX(stableR[question],MATCH(VALUE(questions[[#This Row],[qno]]),VALUE(stableR[qno]),0))</f>
        <v>Livestock, what was the estimated importance?</v>
      </c>
      <c r="I274" s="9" t="b" cm="1">
        <f t="array" ref="I274">INDEX(stable[is_fixed],MATCH(VALUE(questions[[#This Row],[qno]]),VALUE(stable[qno]),0))</f>
        <v>1</v>
      </c>
      <c r="J274" s="9" t="b" cm="1">
        <f t="array" ref="J274">INDEX(stable[is_localized],MATCH(VALUE(questions[[#This Row],[qno]]),VALUE(stable[qno]),0))</f>
        <v>0</v>
      </c>
      <c r="K274" s="9" t="b" cm="1">
        <f t="array" ref="K274">INDEX(stable[is_supply_chain_dependent],MATCH(VALUE(questions[[#This Row],[qno]]),VALUE(stable[qno]),0))</f>
        <v>0</v>
      </c>
      <c r="L274" s="9" t="b" cm="1">
        <f t="array" ref="L274">INDEX(stable[is_mandatory],MATCH(VALUE(questions[[#This Row],[qno]]),VALUE(stable[qno]),0))</f>
        <v>0</v>
      </c>
      <c r="M274" s="9" t="b" cm="1">
        <f t="array" ref="M274">INDEX(stable[is_automated],MATCH(VALUE(questions[[#This Row],[qno]]),VALUE(stable[qno]),0))</f>
        <v>0</v>
      </c>
      <c r="N274" s="9" t="b" cm="1">
        <f t="array" ref="N274">INDEX(stable[is_free_text],MATCH(VALUE(questions[[#This Row],[qno]]),VALUE(stable[qno]),0))</f>
        <v>0</v>
      </c>
      <c r="O274" s="9" t="b" cm="1">
        <f t="array" ref="O274">INDEX(stable[is_numerical],MATCH(VALUE(questions[[#This Row],[qno]]),VALUE(stable[qno]),0))</f>
        <v>0</v>
      </c>
      <c r="P274" s="103" t="b" cm="1">
        <f t="array" ref="P274">INDEX(stable[is_single_select],MATCH(VALUE(questions[[#This Row],[qno]]),VALUE(stable[qno]),0))</f>
        <v>1</v>
      </c>
      <c r="Q274" s="77" t="b" cm="1">
        <f t="array" ref="Q274">INDEX(stable[is_multi_select],MATCH(VALUE(questions[[#This Row],[qno]]),VALUE(stable[qno]),0))</f>
        <v>0</v>
      </c>
      <c r="R274" s="77" t="b" cm="1">
        <f t="array" ref="R274">INDEX(stable[is_skip_logic],MATCH(VALUE(questions[[#This Row],[qno]]),VALUE(stable[qno]),0))</f>
        <v>0</v>
      </c>
      <c r="S274" s="77" t="str">
        <f>_xlfn.TEXTJOIN(", ",TRUE,questions[[#This Row],[ans_opt_1]:[ans_opt_14]])</f>
        <v>All or nearly all - 80-100%, More than half of it  - 60-80%, About half of it - 40-60%, Less than half of it - 20-40%, A small amount - 0-20%</v>
      </c>
      <c r="T274" s="77" t="s">
        <v>305</v>
      </c>
      <c r="U274" s="77" t="s">
        <v>306</v>
      </c>
      <c r="V274" s="77" t="s">
        <v>307</v>
      </c>
      <c r="W274" s="77" t="s">
        <v>308</v>
      </c>
      <c r="X274" s="77" t="s">
        <v>309</v>
      </c>
      <c r="AH274" s="98" t="b">
        <f>INDEX(stable[q_standard],MATCH(questions[[#This Row],[qno]],stable[qno],0))</f>
        <v>0</v>
      </c>
      <c r="AI274" s="98" t="b">
        <f>INDEX(stable[q_living_income],MATCH(questions[[#This Row],[qno]],stable[qno],0))</f>
        <v>1</v>
      </c>
      <c r="AJ274" s="98" t="b">
        <f>INDEX(stable[q_carbon],MATCH(questions[[#This Row],[qno]],stable[qno],0))</f>
        <v>0</v>
      </c>
      <c r="AK274" s="98" t="b">
        <f>INDEX(stable[q_regen_ag],MATCH(questions[[#This Row],[qno]],stable[qno],0))</f>
        <v>0</v>
      </c>
      <c r="AL274" s="98" t="b">
        <f>COUNTIFS(stable[qno],questions[[#This Row],[qno]])=1</f>
        <v>1</v>
      </c>
      <c r="AM274" s="98" t="b">
        <f>OR(questions[[#This Row],[is_fixed]],questions[[#This Row],[is_localized]],questions[[#This Row],[is_supply_chain_dependent]])</f>
        <v>1</v>
      </c>
      <c r="AN274" s="98" t="b">
        <f>COUNTIFS(questions[[#This Row],[is_automated]:[is_multi_select]],TRUE)=1</f>
        <v>1</v>
      </c>
      <c r="AO274" s="98" t="b">
        <f>IF(questions[[#This Row],[is_fixed]],questions[[#This Row],[question]]=INDEX(stable[question],MATCH(questions[[#This Row],[qno]],stable[qno],0)),TRUE)</f>
        <v>1</v>
      </c>
      <c r="AP274" s="98" t="str">
        <f>LEFT(questions[[#This Row],[question]],similarity_range)</f>
        <v xml:space="preserve">Livestock, what was </v>
      </c>
      <c r="AQ274" s="98" t="str">
        <f>LEFT(INDEX(stable[question],MATCH(questions[[#This Row],[qno]],stable[qno],0)),similarity_range)</f>
        <v xml:space="preserve">Livestock, what was </v>
      </c>
      <c r="AR274" s="98" t="b">
        <f>questions[[#This Row],[question_first_characters]]=questions[[#This Row],[stability_first_characters]]</f>
        <v>1</v>
      </c>
      <c r="AS274" s="98" t="b">
        <f>IF(OR(questions[[#This Row],[is_single_select]],questions[[#This Row],[is_multi_select]]),NOT(ISBLANK(questions[[#This Row],[answer_opt_combined]])),TRUE)</f>
        <v>1</v>
      </c>
    </row>
    <row r="275" spans="1:45" s="77" customFormat="1" x14ac:dyDescent="0.25">
      <c r="A275" s="77" t="str">
        <f>_xlfn.TEXTJOIN("_",TRUE,questions[[#This Row],[origin]:[qno]])</f>
        <v>Uganda_Arabica_Sbux_6513</v>
      </c>
      <c r="B275" s="77" t="s">
        <v>511</v>
      </c>
      <c r="C275" s="77" t="s">
        <v>59</v>
      </c>
      <c r="D275" s="77" t="s">
        <v>512</v>
      </c>
      <c r="F275" s="104" t="s">
        <v>314</v>
      </c>
      <c r="G275" s="78" t="s">
        <v>315</v>
      </c>
      <c r="H275" s="9" t="str" cm="1">
        <f t="array" ref="H275">INDEX(stableR[question],MATCH(VALUE(questions[[#This Row],[qno]]),VALUE(stableR[qno]),0))</f>
        <v>Casual labor on other peoples farm, what was the estimated importance?</v>
      </c>
      <c r="I275" s="9" t="b" cm="1">
        <f t="array" ref="I275">INDEX(stable[is_fixed],MATCH(VALUE(questions[[#This Row],[qno]]),VALUE(stable[qno]),0))</f>
        <v>1</v>
      </c>
      <c r="J275" s="9" t="b" cm="1">
        <f t="array" ref="J275">INDEX(stable[is_localized],MATCH(VALUE(questions[[#This Row],[qno]]),VALUE(stable[qno]),0))</f>
        <v>0</v>
      </c>
      <c r="K275" s="9" t="b" cm="1">
        <f t="array" ref="K275">INDEX(stable[is_supply_chain_dependent],MATCH(VALUE(questions[[#This Row],[qno]]),VALUE(stable[qno]),0))</f>
        <v>0</v>
      </c>
      <c r="L275" s="9" t="b" cm="1">
        <f t="array" ref="L275">INDEX(stable[is_mandatory],MATCH(VALUE(questions[[#This Row],[qno]]),VALUE(stable[qno]),0))</f>
        <v>0</v>
      </c>
      <c r="M275" s="9" t="b" cm="1">
        <f t="array" ref="M275">INDEX(stable[is_automated],MATCH(VALUE(questions[[#This Row],[qno]]),VALUE(stable[qno]),0))</f>
        <v>0</v>
      </c>
      <c r="N275" s="9" t="b" cm="1">
        <f t="array" ref="N275">INDEX(stable[is_free_text],MATCH(VALUE(questions[[#This Row],[qno]]),VALUE(stable[qno]),0))</f>
        <v>0</v>
      </c>
      <c r="O275" s="9" t="b" cm="1">
        <f t="array" ref="O275">INDEX(stable[is_numerical],MATCH(VALUE(questions[[#This Row],[qno]]),VALUE(stable[qno]),0))</f>
        <v>0</v>
      </c>
      <c r="P275" s="103" t="b" cm="1">
        <f t="array" ref="P275">INDEX(stable[is_single_select],MATCH(VALUE(questions[[#This Row],[qno]]),VALUE(stable[qno]),0))</f>
        <v>1</v>
      </c>
      <c r="Q275" s="77" t="b" cm="1">
        <f t="array" ref="Q275">INDEX(stable[is_multi_select],MATCH(VALUE(questions[[#This Row],[qno]]),VALUE(stable[qno]),0))</f>
        <v>0</v>
      </c>
      <c r="R275" s="77" t="b" cm="1">
        <f t="array" ref="R275">INDEX(stable[is_skip_logic],MATCH(VALUE(questions[[#This Row],[qno]]),VALUE(stable[qno]),0))</f>
        <v>0</v>
      </c>
      <c r="S275" s="77" t="str">
        <f>_xlfn.TEXTJOIN(", ",TRUE,questions[[#This Row],[ans_opt_1]:[ans_opt_14]])</f>
        <v>All or nearly all - 80-100%, More than half of it  - 60-80%, About half of it - 40-60%, Less than half of it - 20-40%, A small amount - 0-20%</v>
      </c>
      <c r="T275" s="77" t="s">
        <v>305</v>
      </c>
      <c r="U275" s="77" t="s">
        <v>306</v>
      </c>
      <c r="V275" s="77" t="s">
        <v>307</v>
      </c>
      <c r="W275" s="77" t="s">
        <v>308</v>
      </c>
      <c r="X275" s="77" t="s">
        <v>309</v>
      </c>
      <c r="AH275" s="98" t="b">
        <f>INDEX(stable[q_standard],MATCH(questions[[#This Row],[qno]],stable[qno],0))</f>
        <v>0</v>
      </c>
      <c r="AI275" s="98" t="b">
        <f>INDEX(stable[q_living_income],MATCH(questions[[#This Row],[qno]],stable[qno],0))</f>
        <v>1</v>
      </c>
      <c r="AJ275" s="98" t="b">
        <f>INDEX(stable[q_carbon],MATCH(questions[[#This Row],[qno]],stable[qno],0))</f>
        <v>0</v>
      </c>
      <c r="AK275" s="98" t="b">
        <f>INDEX(stable[q_regen_ag],MATCH(questions[[#This Row],[qno]],stable[qno],0))</f>
        <v>0</v>
      </c>
      <c r="AL275" s="98" t="b">
        <f>COUNTIFS(stable[qno],questions[[#This Row],[qno]])=1</f>
        <v>1</v>
      </c>
      <c r="AM275" s="98" t="b">
        <f>OR(questions[[#This Row],[is_fixed]],questions[[#This Row],[is_localized]],questions[[#This Row],[is_supply_chain_dependent]])</f>
        <v>1</v>
      </c>
      <c r="AN275" s="98" t="b">
        <f>COUNTIFS(questions[[#This Row],[is_automated]:[is_multi_select]],TRUE)=1</f>
        <v>1</v>
      </c>
      <c r="AO275" s="98" t="b">
        <f>IF(questions[[#This Row],[is_fixed]],questions[[#This Row],[question]]=INDEX(stable[question],MATCH(questions[[#This Row],[qno]],stable[qno],0)),TRUE)</f>
        <v>1</v>
      </c>
      <c r="AP275" s="98" t="str">
        <f>LEFT(questions[[#This Row],[question]],similarity_range)</f>
        <v>Casual labor on othe</v>
      </c>
      <c r="AQ275" s="98" t="str">
        <f>LEFT(INDEX(stable[question],MATCH(questions[[#This Row],[qno]],stable[qno],0)),similarity_range)</f>
        <v>Casual labor on othe</v>
      </c>
      <c r="AR275" s="98" t="b">
        <f>questions[[#This Row],[question_first_characters]]=questions[[#This Row],[stability_first_characters]]</f>
        <v>1</v>
      </c>
      <c r="AS275" s="98" t="b">
        <f>IF(OR(questions[[#This Row],[is_single_select]],questions[[#This Row],[is_multi_select]]),NOT(ISBLANK(questions[[#This Row],[answer_opt_combined]])),TRUE)</f>
        <v>1</v>
      </c>
    </row>
    <row r="276" spans="1:45" s="77" customFormat="1" x14ac:dyDescent="0.25">
      <c r="A276" s="77" t="str">
        <f>_xlfn.TEXTJOIN("_",TRUE,questions[[#This Row],[origin]:[qno]])</f>
        <v>Uganda_Arabica_Sbux_6514</v>
      </c>
      <c r="B276" s="77" t="s">
        <v>511</v>
      </c>
      <c r="C276" s="77" t="s">
        <v>59</v>
      </c>
      <c r="D276" s="77" t="s">
        <v>512</v>
      </c>
      <c r="F276" s="104" t="s">
        <v>316</v>
      </c>
      <c r="G276" s="78" t="s">
        <v>317</v>
      </c>
      <c r="H276" s="9" t="str" cm="1">
        <f t="array" ref="H276">INDEX(stableR[question],MATCH(VALUE(questions[[#This Row],[qno]]),VALUE(stableR[qno]),0))</f>
        <v>Casual labor off-farm, what was the estimated importance?</v>
      </c>
      <c r="I276" s="9" t="b" cm="1">
        <f t="array" ref="I276">INDEX(stable[is_fixed],MATCH(VALUE(questions[[#This Row],[qno]]),VALUE(stable[qno]),0))</f>
        <v>1</v>
      </c>
      <c r="J276" s="9" t="b" cm="1">
        <f t="array" ref="J276">INDEX(stable[is_localized],MATCH(VALUE(questions[[#This Row],[qno]]),VALUE(stable[qno]),0))</f>
        <v>0</v>
      </c>
      <c r="K276" s="9" t="b" cm="1">
        <f t="array" ref="K276">INDEX(stable[is_supply_chain_dependent],MATCH(VALUE(questions[[#This Row],[qno]]),VALUE(stable[qno]),0))</f>
        <v>0</v>
      </c>
      <c r="L276" s="9" t="b" cm="1">
        <f t="array" ref="L276">INDEX(stable[is_mandatory],MATCH(VALUE(questions[[#This Row],[qno]]),VALUE(stable[qno]),0))</f>
        <v>0</v>
      </c>
      <c r="M276" s="9" t="b" cm="1">
        <f t="array" ref="M276">INDEX(stable[is_automated],MATCH(VALUE(questions[[#This Row],[qno]]),VALUE(stable[qno]),0))</f>
        <v>0</v>
      </c>
      <c r="N276" s="9" t="b" cm="1">
        <f t="array" ref="N276">INDEX(stable[is_free_text],MATCH(VALUE(questions[[#This Row],[qno]]),VALUE(stable[qno]),0))</f>
        <v>0</v>
      </c>
      <c r="O276" s="9" t="b" cm="1">
        <f t="array" ref="O276">INDEX(stable[is_numerical],MATCH(VALUE(questions[[#This Row],[qno]]),VALUE(stable[qno]),0))</f>
        <v>0</v>
      </c>
      <c r="P276" s="103" t="b" cm="1">
        <f t="array" ref="P276">INDEX(stable[is_single_select],MATCH(VALUE(questions[[#This Row],[qno]]),VALUE(stable[qno]),0))</f>
        <v>1</v>
      </c>
      <c r="Q276" s="77" t="b" cm="1">
        <f t="array" ref="Q276">INDEX(stable[is_multi_select],MATCH(VALUE(questions[[#This Row],[qno]]),VALUE(stable[qno]),0))</f>
        <v>0</v>
      </c>
      <c r="R276" s="77" t="b" cm="1">
        <f t="array" ref="R276">INDEX(stable[is_skip_logic],MATCH(VALUE(questions[[#This Row],[qno]]),VALUE(stable[qno]),0))</f>
        <v>0</v>
      </c>
      <c r="S276" s="77" t="str">
        <f>_xlfn.TEXTJOIN(", ",TRUE,questions[[#This Row],[ans_opt_1]:[ans_opt_14]])</f>
        <v>All or nearly all - 80-100%, More than half of it  - 60-80%, About half of it - 40-60%, Less than half of it - 20-40%, A small amount - 0-20%</v>
      </c>
      <c r="T276" s="77" t="s">
        <v>305</v>
      </c>
      <c r="U276" s="77" t="s">
        <v>306</v>
      </c>
      <c r="V276" s="77" t="s">
        <v>307</v>
      </c>
      <c r="W276" s="77" t="s">
        <v>308</v>
      </c>
      <c r="X276" s="77" t="s">
        <v>309</v>
      </c>
      <c r="AH276" s="98" t="b">
        <f>INDEX(stable[q_standard],MATCH(questions[[#This Row],[qno]],stable[qno],0))</f>
        <v>0</v>
      </c>
      <c r="AI276" s="98" t="b">
        <f>INDEX(stable[q_living_income],MATCH(questions[[#This Row],[qno]],stable[qno],0))</f>
        <v>1</v>
      </c>
      <c r="AJ276" s="98" t="b">
        <f>INDEX(stable[q_carbon],MATCH(questions[[#This Row],[qno]],stable[qno],0))</f>
        <v>0</v>
      </c>
      <c r="AK276" s="98" t="b">
        <f>INDEX(stable[q_regen_ag],MATCH(questions[[#This Row],[qno]],stable[qno],0))</f>
        <v>0</v>
      </c>
      <c r="AL276" s="98" t="b">
        <f>COUNTIFS(stable[qno],questions[[#This Row],[qno]])=1</f>
        <v>1</v>
      </c>
      <c r="AM276" s="98" t="b">
        <f>OR(questions[[#This Row],[is_fixed]],questions[[#This Row],[is_localized]],questions[[#This Row],[is_supply_chain_dependent]])</f>
        <v>1</v>
      </c>
      <c r="AN276" s="98" t="b">
        <f>COUNTIFS(questions[[#This Row],[is_automated]:[is_multi_select]],TRUE)=1</f>
        <v>1</v>
      </c>
      <c r="AO276" s="98" t="b">
        <f>IF(questions[[#This Row],[is_fixed]],questions[[#This Row],[question]]=INDEX(stable[question],MATCH(questions[[#This Row],[qno]],stable[qno],0)),TRUE)</f>
        <v>1</v>
      </c>
      <c r="AP276" s="98" t="str">
        <f>LEFT(questions[[#This Row],[question]],similarity_range)</f>
        <v>Casual labor off-far</v>
      </c>
      <c r="AQ276" s="98" t="str">
        <f>LEFT(INDEX(stable[question],MATCH(questions[[#This Row],[qno]],stable[qno],0)),similarity_range)</f>
        <v>Casual labor off-far</v>
      </c>
      <c r="AR276" s="98" t="b">
        <f>questions[[#This Row],[question_first_characters]]=questions[[#This Row],[stability_first_characters]]</f>
        <v>1</v>
      </c>
      <c r="AS276" s="98" t="b">
        <f>IF(OR(questions[[#This Row],[is_single_select]],questions[[#This Row],[is_multi_select]]),NOT(ISBLANK(questions[[#This Row],[answer_opt_combined]])),TRUE)</f>
        <v>1</v>
      </c>
    </row>
    <row r="277" spans="1:45" s="77" customFormat="1" x14ac:dyDescent="0.25">
      <c r="A277" s="77" t="str">
        <f>_xlfn.TEXTJOIN("_",TRUE,questions[[#This Row],[origin]:[qno]])</f>
        <v>Uganda_Arabica_Sbux_6515</v>
      </c>
      <c r="B277" s="77" t="s">
        <v>511</v>
      </c>
      <c r="C277" s="77" t="s">
        <v>59</v>
      </c>
      <c r="D277" s="77" t="s">
        <v>512</v>
      </c>
      <c r="F277" s="104" t="s">
        <v>318</v>
      </c>
      <c r="G277" s="78" t="s">
        <v>319</v>
      </c>
      <c r="H277" s="9" t="str" cm="1">
        <f t="array" ref="H277">INDEX(stableR[question],MATCH(VALUE(questions[[#This Row],[qno]]),VALUE(stableR[qno]),0))</f>
        <v>Other business, what was the estimated importance?</v>
      </c>
      <c r="I277" s="9" t="b" cm="1">
        <f t="array" ref="I277">INDEX(stable[is_fixed],MATCH(VALUE(questions[[#This Row],[qno]]),VALUE(stable[qno]),0))</f>
        <v>1</v>
      </c>
      <c r="J277" s="9" t="b" cm="1">
        <f t="array" ref="J277">INDEX(stable[is_localized],MATCH(VALUE(questions[[#This Row],[qno]]),VALUE(stable[qno]),0))</f>
        <v>0</v>
      </c>
      <c r="K277" s="9" t="b" cm="1">
        <f t="array" ref="K277">INDEX(stable[is_supply_chain_dependent],MATCH(VALUE(questions[[#This Row],[qno]]),VALUE(stable[qno]),0))</f>
        <v>0</v>
      </c>
      <c r="L277" s="9" t="b" cm="1">
        <f t="array" ref="L277">INDEX(stable[is_mandatory],MATCH(VALUE(questions[[#This Row],[qno]]),VALUE(stable[qno]),0))</f>
        <v>0</v>
      </c>
      <c r="M277" s="9" t="b" cm="1">
        <f t="array" ref="M277">INDEX(stable[is_automated],MATCH(VALUE(questions[[#This Row],[qno]]),VALUE(stable[qno]),0))</f>
        <v>0</v>
      </c>
      <c r="N277" s="9" t="b" cm="1">
        <f t="array" ref="N277">INDEX(stable[is_free_text],MATCH(VALUE(questions[[#This Row],[qno]]),VALUE(stable[qno]),0))</f>
        <v>0</v>
      </c>
      <c r="O277" s="9" t="b" cm="1">
        <f t="array" ref="O277">INDEX(stable[is_numerical],MATCH(VALUE(questions[[#This Row],[qno]]),VALUE(stable[qno]),0))</f>
        <v>0</v>
      </c>
      <c r="P277" s="103" t="b" cm="1">
        <f t="array" ref="P277">INDEX(stable[is_single_select],MATCH(VALUE(questions[[#This Row],[qno]]),VALUE(stable[qno]),0))</f>
        <v>1</v>
      </c>
      <c r="Q277" s="77" t="b" cm="1">
        <f t="array" ref="Q277">INDEX(stable[is_multi_select],MATCH(VALUE(questions[[#This Row],[qno]]),VALUE(stable[qno]),0))</f>
        <v>0</v>
      </c>
      <c r="R277" s="77" t="b" cm="1">
        <f t="array" ref="R277">INDEX(stable[is_skip_logic],MATCH(VALUE(questions[[#This Row],[qno]]),VALUE(stable[qno]),0))</f>
        <v>0</v>
      </c>
      <c r="S277" s="77" t="str">
        <f>_xlfn.TEXTJOIN(", ",TRUE,questions[[#This Row],[ans_opt_1]:[ans_opt_14]])</f>
        <v>All or nearly all - 80-100%, More than half of it  - 60-80%, About half of it - 40-60%, Less than half of it - 20-40%, A small amount - 0-20%</v>
      </c>
      <c r="T277" s="77" t="s">
        <v>305</v>
      </c>
      <c r="U277" s="77" t="s">
        <v>306</v>
      </c>
      <c r="V277" s="77" t="s">
        <v>307</v>
      </c>
      <c r="W277" s="77" t="s">
        <v>308</v>
      </c>
      <c r="X277" s="77" t="s">
        <v>309</v>
      </c>
      <c r="AH277" s="98" t="b">
        <f>INDEX(stable[q_standard],MATCH(questions[[#This Row],[qno]],stable[qno],0))</f>
        <v>0</v>
      </c>
      <c r="AI277" s="98" t="b">
        <f>INDEX(stable[q_living_income],MATCH(questions[[#This Row],[qno]],stable[qno],0))</f>
        <v>1</v>
      </c>
      <c r="AJ277" s="98" t="b">
        <f>INDEX(stable[q_carbon],MATCH(questions[[#This Row],[qno]],stable[qno],0))</f>
        <v>0</v>
      </c>
      <c r="AK277" s="98" t="b">
        <f>INDEX(stable[q_regen_ag],MATCH(questions[[#This Row],[qno]],stable[qno],0))</f>
        <v>0</v>
      </c>
      <c r="AL277" s="98" t="b">
        <f>COUNTIFS(stable[qno],questions[[#This Row],[qno]])=1</f>
        <v>1</v>
      </c>
      <c r="AM277" s="98" t="b">
        <f>OR(questions[[#This Row],[is_fixed]],questions[[#This Row],[is_localized]],questions[[#This Row],[is_supply_chain_dependent]])</f>
        <v>1</v>
      </c>
      <c r="AN277" s="98" t="b">
        <f>COUNTIFS(questions[[#This Row],[is_automated]:[is_multi_select]],TRUE)=1</f>
        <v>1</v>
      </c>
      <c r="AO277" s="98" t="b">
        <f>IF(questions[[#This Row],[is_fixed]],questions[[#This Row],[question]]=INDEX(stable[question],MATCH(questions[[#This Row],[qno]],stable[qno],0)),TRUE)</f>
        <v>1</v>
      </c>
      <c r="AP277" s="98" t="str">
        <f>LEFT(questions[[#This Row],[question]],similarity_range)</f>
        <v>Other business, what</v>
      </c>
      <c r="AQ277" s="98" t="str">
        <f>LEFT(INDEX(stable[question],MATCH(questions[[#This Row],[qno]],stable[qno],0)),similarity_range)</f>
        <v>Other business, what</v>
      </c>
      <c r="AR277" s="98" t="b">
        <f>questions[[#This Row],[question_first_characters]]=questions[[#This Row],[stability_first_characters]]</f>
        <v>1</v>
      </c>
      <c r="AS277" s="98" t="b">
        <f>IF(OR(questions[[#This Row],[is_single_select]],questions[[#This Row],[is_multi_select]]),NOT(ISBLANK(questions[[#This Row],[answer_opt_combined]])),TRUE)</f>
        <v>1</v>
      </c>
    </row>
    <row r="278" spans="1:45" s="77" customFormat="1" x14ac:dyDescent="0.25">
      <c r="A278" s="77" t="str">
        <f>_xlfn.TEXTJOIN("_",TRUE,questions[[#This Row],[origin]:[qno]])</f>
        <v>Uganda_Arabica_Sbux_6516</v>
      </c>
      <c r="B278" s="77" t="s">
        <v>511</v>
      </c>
      <c r="C278" s="77" t="s">
        <v>59</v>
      </c>
      <c r="D278" s="77" t="s">
        <v>512</v>
      </c>
      <c r="F278" s="104" t="s">
        <v>320</v>
      </c>
      <c r="G278" s="78" t="s">
        <v>321</v>
      </c>
      <c r="H278" s="9" t="str" cm="1">
        <f t="array" ref="H278">INDEX(stableR[question],MATCH(VALUE(questions[[#This Row],[qno]]),VALUE(stableR[qno]),0))</f>
        <v>Salaried job, what was the estimated importance?</v>
      </c>
      <c r="I278" s="9" t="b" cm="1">
        <f t="array" ref="I278">INDEX(stable[is_fixed],MATCH(VALUE(questions[[#This Row],[qno]]),VALUE(stable[qno]),0))</f>
        <v>1</v>
      </c>
      <c r="J278" s="9" t="b" cm="1">
        <f t="array" ref="J278">INDEX(stable[is_localized],MATCH(VALUE(questions[[#This Row],[qno]]),VALUE(stable[qno]),0))</f>
        <v>0</v>
      </c>
      <c r="K278" s="9" t="b" cm="1">
        <f t="array" ref="K278">INDEX(stable[is_supply_chain_dependent],MATCH(VALUE(questions[[#This Row],[qno]]),VALUE(stable[qno]),0))</f>
        <v>0</v>
      </c>
      <c r="L278" s="9" t="b" cm="1">
        <f t="array" ref="L278">INDEX(stable[is_mandatory],MATCH(VALUE(questions[[#This Row],[qno]]),VALUE(stable[qno]),0))</f>
        <v>0</v>
      </c>
      <c r="M278" s="9" t="b" cm="1">
        <f t="array" ref="M278">INDEX(stable[is_automated],MATCH(VALUE(questions[[#This Row],[qno]]),VALUE(stable[qno]),0))</f>
        <v>0</v>
      </c>
      <c r="N278" s="9" t="b" cm="1">
        <f t="array" ref="N278">INDEX(stable[is_free_text],MATCH(VALUE(questions[[#This Row],[qno]]),VALUE(stable[qno]),0))</f>
        <v>0</v>
      </c>
      <c r="O278" s="9" t="b" cm="1">
        <f t="array" ref="O278">INDEX(stable[is_numerical],MATCH(VALUE(questions[[#This Row],[qno]]),VALUE(stable[qno]),0))</f>
        <v>0</v>
      </c>
      <c r="P278" s="103" t="b" cm="1">
        <f t="array" ref="P278">INDEX(stable[is_single_select],MATCH(VALUE(questions[[#This Row],[qno]]),VALUE(stable[qno]),0))</f>
        <v>1</v>
      </c>
      <c r="Q278" s="77" t="b" cm="1">
        <f t="array" ref="Q278">INDEX(stable[is_multi_select],MATCH(VALUE(questions[[#This Row],[qno]]),VALUE(stable[qno]),0))</f>
        <v>0</v>
      </c>
      <c r="R278" s="77" t="b" cm="1">
        <f t="array" ref="R278">INDEX(stable[is_skip_logic],MATCH(VALUE(questions[[#This Row],[qno]]),VALUE(stable[qno]),0))</f>
        <v>0</v>
      </c>
      <c r="S278" s="77" t="str">
        <f>_xlfn.TEXTJOIN(", ",TRUE,questions[[#This Row],[ans_opt_1]:[ans_opt_14]])</f>
        <v>All or nearly all - 80-100%, More than half of it  - 60-80%, About half of it - 40-60%, Less than half of it - 20-40%, A small amount - 0-20%</v>
      </c>
      <c r="T278" s="77" t="s">
        <v>305</v>
      </c>
      <c r="U278" s="77" t="s">
        <v>306</v>
      </c>
      <c r="V278" s="77" t="s">
        <v>307</v>
      </c>
      <c r="W278" s="77" t="s">
        <v>308</v>
      </c>
      <c r="X278" s="77" t="s">
        <v>309</v>
      </c>
      <c r="AH278" s="98" t="b">
        <f>INDEX(stable[q_standard],MATCH(questions[[#This Row],[qno]],stable[qno],0))</f>
        <v>0</v>
      </c>
      <c r="AI278" s="98" t="b">
        <f>INDEX(stable[q_living_income],MATCH(questions[[#This Row],[qno]],stable[qno],0))</f>
        <v>1</v>
      </c>
      <c r="AJ278" s="98" t="b">
        <f>INDEX(stable[q_carbon],MATCH(questions[[#This Row],[qno]],stable[qno],0))</f>
        <v>0</v>
      </c>
      <c r="AK278" s="98" t="b">
        <f>INDEX(stable[q_regen_ag],MATCH(questions[[#This Row],[qno]],stable[qno],0))</f>
        <v>0</v>
      </c>
      <c r="AL278" s="98" t="b">
        <f>COUNTIFS(stable[qno],questions[[#This Row],[qno]])=1</f>
        <v>1</v>
      </c>
      <c r="AM278" s="98" t="b">
        <f>OR(questions[[#This Row],[is_fixed]],questions[[#This Row],[is_localized]],questions[[#This Row],[is_supply_chain_dependent]])</f>
        <v>1</v>
      </c>
      <c r="AN278" s="98" t="b">
        <f>COUNTIFS(questions[[#This Row],[is_automated]:[is_multi_select]],TRUE)=1</f>
        <v>1</v>
      </c>
      <c r="AO278" s="98" t="b">
        <f>IF(questions[[#This Row],[is_fixed]],questions[[#This Row],[question]]=INDEX(stable[question],MATCH(questions[[#This Row],[qno]],stable[qno],0)),TRUE)</f>
        <v>1</v>
      </c>
      <c r="AP278" s="98" t="str">
        <f>LEFT(questions[[#This Row],[question]],similarity_range)</f>
        <v>Salaried job, what w</v>
      </c>
      <c r="AQ278" s="98" t="str">
        <f>LEFT(INDEX(stable[question],MATCH(questions[[#This Row],[qno]],stable[qno],0)),similarity_range)</f>
        <v>Salaried job, what w</v>
      </c>
      <c r="AR278" s="98" t="b">
        <f>questions[[#This Row],[question_first_characters]]=questions[[#This Row],[stability_first_characters]]</f>
        <v>1</v>
      </c>
      <c r="AS278" s="98" t="b">
        <f>IF(OR(questions[[#This Row],[is_single_select]],questions[[#This Row],[is_multi_select]]),NOT(ISBLANK(questions[[#This Row],[answer_opt_combined]])),TRUE)</f>
        <v>1</v>
      </c>
    </row>
    <row r="279" spans="1:45" s="77" customFormat="1" x14ac:dyDescent="0.25">
      <c r="A279" s="77" t="str">
        <f>_xlfn.TEXTJOIN("_",TRUE,questions[[#This Row],[origin]:[qno]])</f>
        <v>Uganda_Arabica_Sbux_6517</v>
      </c>
      <c r="B279" s="77" t="s">
        <v>511</v>
      </c>
      <c r="C279" s="77" t="s">
        <v>59</v>
      </c>
      <c r="D279" s="77" t="s">
        <v>512</v>
      </c>
      <c r="F279" s="104" t="s">
        <v>322</v>
      </c>
      <c r="G279" s="78" t="s">
        <v>323</v>
      </c>
      <c r="H279" s="9" t="str" cm="1">
        <f t="array" ref="H279">INDEX(stableR[question],MATCH(VALUE(questions[[#This Row],[qno]]),VALUE(stableR[qno]),0))</f>
        <v>Pension, what was the estimated importance?</v>
      </c>
      <c r="I279" s="9" t="b" cm="1">
        <f t="array" ref="I279">INDEX(stable[is_fixed],MATCH(VALUE(questions[[#This Row],[qno]]),VALUE(stable[qno]),0))</f>
        <v>1</v>
      </c>
      <c r="J279" s="9" t="b" cm="1">
        <f t="array" ref="J279">INDEX(stable[is_localized],MATCH(VALUE(questions[[#This Row],[qno]]),VALUE(stable[qno]),0))</f>
        <v>0</v>
      </c>
      <c r="K279" s="9" t="b" cm="1">
        <f t="array" ref="K279">INDEX(stable[is_supply_chain_dependent],MATCH(VALUE(questions[[#This Row],[qno]]),VALUE(stable[qno]),0))</f>
        <v>0</v>
      </c>
      <c r="L279" s="9" t="b" cm="1">
        <f t="array" ref="L279">INDEX(stable[is_mandatory],MATCH(VALUE(questions[[#This Row],[qno]]),VALUE(stable[qno]),0))</f>
        <v>0</v>
      </c>
      <c r="M279" s="9" t="b" cm="1">
        <f t="array" ref="M279">INDEX(stable[is_automated],MATCH(VALUE(questions[[#This Row],[qno]]),VALUE(stable[qno]),0))</f>
        <v>0</v>
      </c>
      <c r="N279" s="9" t="b" cm="1">
        <f t="array" ref="N279">INDEX(stable[is_free_text],MATCH(VALUE(questions[[#This Row],[qno]]),VALUE(stable[qno]),0))</f>
        <v>0</v>
      </c>
      <c r="O279" s="9" t="b" cm="1">
        <f t="array" ref="O279">INDEX(stable[is_numerical],MATCH(VALUE(questions[[#This Row],[qno]]),VALUE(stable[qno]),0))</f>
        <v>0</v>
      </c>
      <c r="P279" s="103" t="b" cm="1">
        <f t="array" ref="P279">INDEX(stable[is_single_select],MATCH(VALUE(questions[[#This Row],[qno]]),VALUE(stable[qno]),0))</f>
        <v>1</v>
      </c>
      <c r="Q279" s="77" t="b" cm="1">
        <f t="array" ref="Q279">INDEX(stable[is_multi_select],MATCH(VALUE(questions[[#This Row],[qno]]),VALUE(stable[qno]),0))</f>
        <v>0</v>
      </c>
      <c r="R279" s="77" t="b" cm="1">
        <f t="array" ref="R279">INDEX(stable[is_skip_logic],MATCH(VALUE(questions[[#This Row],[qno]]),VALUE(stable[qno]),0))</f>
        <v>0</v>
      </c>
      <c r="S279" s="77" t="str">
        <f>_xlfn.TEXTJOIN(", ",TRUE,questions[[#This Row],[ans_opt_1]:[ans_opt_14]])</f>
        <v>All or nearly all - 80-100%, More than half of it  - 60-80%, About half of it - 40-60%, Less than half of it - 20-40%, A small amount - 0-20%</v>
      </c>
      <c r="T279" s="77" t="s">
        <v>305</v>
      </c>
      <c r="U279" s="77" t="s">
        <v>306</v>
      </c>
      <c r="V279" s="77" t="s">
        <v>307</v>
      </c>
      <c r="W279" s="77" t="s">
        <v>308</v>
      </c>
      <c r="X279" s="77" t="s">
        <v>309</v>
      </c>
      <c r="AH279" s="98" t="b">
        <f>INDEX(stable[q_standard],MATCH(questions[[#This Row],[qno]],stable[qno],0))</f>
        <v>0</v>
      </c>
      <c r="AI279" s="98" t="b">
        <f>INDEX(stable[q_living_income],MATCH(questions[[#This Row],[qno]],stable[qno],0))</f>
        <v>1</v>
      </c>
      <c r="AJ279" s="98" t="b">
        <f>INDEX(stable[q_carbon],MATCH(questions[[#This Row],[qno]],stable[qno],0))</f>
        <v>0</v>
      </c>
      <c r="AK279" s="98" t="b">
        <f>INDEX(stable[q_regen_ag],MATCH(questions[[#This Row],[qno]],stable[qno],0))</f>
        <v>0</v>
      </c>
      <c r="AL279" s="98" t="b">
        <f>COUNTIFS(stable[qno],questions[[#This Row],[qno]])=1</f>
        <v>1</v>
      </c>
      <c r="AM279" s="98" t="b">
        <f>OR(questions[[#This Row],[is_fixed]],questions[[#This Row],[is_localized]],questions[[#This Row],[is_supply_chain_dependent]])</f>
        <v>1</v>
      </c>
      <c r="AN279" s="98" t="b">
        <f>COUNTIFS(questions[[#This Row],[is_automated]:[is_multi_select]],TRUE)=1</f>
        <v>1</v>
      </c>
      <c r="AO279" s="98" t="b">
        <f>IF(questions[[#This Row],[is_fixed]],questions[[#This Row],[question]]=INDEX(stable[question],MATCH(questions[[#This Row],[qno]],stable[qno],0)),TRUE)</f>
        <v>1</v>
      </c>
      <c r="AP279" s="98" t="str">
        <f>LEFT(questions[[#This Row],[question]],similarity_range)</f>
        <v>Pension, what was th</v>
      </c>
      <c r="AQ279" s="98" t="str">
        <f>LEFT(INDEX(stable[question],MATCH(questions[[#This Row],[qno]],stable[qno],0)),similarity_range)</f>
        <v>Pension, what was th</v>
      </c>
      <c r="AR279" s="98" t="b">
        <f>questions[[#This Row],[question_first_characters]]=questions[[#This Row],[stability_first_characters]]</f>
        <v>1</v>
      </c>
      <c r="AS279" s="98" t="b">
        <f>IF(OR(questions[[#This Row],[is_single_select]],questions[[#This Row],[is_multi_select]]),NOT(ISBLANK(questions[[#This Row],[answer_opt_combined]])),TRUE)</f>
        <v>1</v>
      </c>
    </row>
    <row r="280" spans="1:45" s="77" customFormat="1" x14ac:dyDescent="0.25">
      <c r="A280" s="77" t="str">
        <f>_xlfn.TEXTJOIN("_",TRUE,questions[[#This Row],[origin]:[qno]])</f>
        <v>Uganda_Arabica_Sbux_6518</v>
      </c>
      <c r="B280" s="77" t="s">
        <v>511</v>
      </c>
      <c r="C280" s="77" t="s">
        <v>59</v>
      </c>
      <c r="D280" s="77" t="s">
        <v>512</v>
      </c>
      <c r="F280" s="104" t="s">
        <v>324</v>
      </c>
      <c r="G280" s="78" t="s">
        <v>325</v>
      </c>
      <c r="H280" s="9" t="str" cm="1">
        <f t="array" ref="H280">INDEX(stableR[question],MATCH(VALUE(questions[[#This Row],[qno]]),VALUE(stableR[qno]),0))</f>
        <v>Remittances, what was the estimated importance?</v>
      </c>
      <c r="I280" s="9" t="b" cm="1">
        <f t="array" ref="I280">INDEX(stable[is_fixed],MATCH(VALUE(questions[[#This Row],[qno]]),VALUE(stable[qno]),0))</f>
        <v>1</v>
      </c>
      <c r="J280" s="9" t="b" cm="1">
        <f t="array" ref="J280">INDEX(stable[is_localized],MATCH(VALUE(questions[[#This Row],[qno]]),VALUE(stable[qno]),0))</f>
        <v>0</v>
      </c>
      <c r="K280" s="9" t="b" cm="1">
        <f t="array" ref="K280">INDEX(stable[is_supply_chain_dependent],MATCH(VALUE(questions[[#This Row],[qno]]),VALUE(stable[qno]),0))</f>
        <v>0</v>
      </c>
      <c r="L280" s="9" t="b" cm="1">
        <f t="array" ref="L280">INDEX(stable[is_mandatory],MATCH(VALUE(questions[[#This Row],[qno]]),VALUE(stable[qno]),0))</f>
        <v>0</v>
      </c>
      <c r="M280" s="9" t="b" cm="1">
        <f t="array" ref="M280">INDEX(stable[is_automated],MATCH(VALUE(questions[[#This Row],[qno]]),VALUE(stable[qno]),0))</f>
        <v>0</v>
      </c>
      <c r="N280" s="9" t="b" cm="1">
        <f t="array" ref="N280">INDEX(stable[is_free_text],MATCH(VALUE(questions[[#This Row],[qno]]),VALUE(stable[qno]),0))</f>
        <v>0</v>
      </c>
      <c r="O280" s="9" t="b" cm="1">
        <f t="array" ref="O280">INDEX(stable[is_numerical],MATCH(VALUE(questions[[#This Row],[qno]]),VALUE(stable[qno]),0))</f>
        <v>0</v>
      </c>
      <c r="P280" s="103" t="b" cm="1">
        <f t="array" ref="P280">INDEX(stable[is_single_select],MATCH(VALUE(questions[[#This Row],[qno]]),VALUE(stable[qno]),0))</f>
        <v>1</v>
      </c>
      <c r="Q280" s="77" t="b" cm="1">
        <f t="array" ref="Q280">INDEX(stable[is_multi_select],MATCH(VALUE(questions[[#This Row],[qno]]),VALUE(stable[qno]),0))</f>
        <v>0</v>
      </c>
      <c r="R280" s="77" t="b" cm="1">
        <f t="array" ref="R280">INDEX(stable[is_skip_logic],MATCH(VALUE(questions[[#This Row],[qno]]),VALUE(stable[qno]),0))</f>
        <v>0</v>
      </c>
      <c r="S280" s="77" t="str">
        <f>_xlfn.TEXTJOIN(", ",TRUE,questions[[#This Row],[ans_opt_1]:[ans_opt_14]])</f>
        <v>All or nearly all - 80-100%, More than half of it  - 60-80%, About half of it - 40-60%, Less than half of it - 20-40%, A small amount - 0-20%</v>
      </c>
      <c r="T280" s="77" t="s">
        <v>305</v>
      </c>
      <c r="U280" s="77" t="s">
        <v>306</v>
      </c>
      <c r="V280" s="77" t="s">
        <v>307</v>
      </c>
      <c r="W280" s="77" t="s">
        <v>308</v>
      </c>
      <c r="X280" s="77" t="s">
        <v>309</v>
      </c>
      <c r="AH280" s="98" t="b">
        <f>INDEX(stable[q_standard],MATCH(questions[[#This Row],[qno]],stable[qno],0))</f>
        <v>0</v>
      </c>
      <c r="AI280" s="98" t="b">
        <f>INDEX(stable[q_living_income],MATCH(questions[[#This Row],[qno]],stable[qno],0))</f>
        <v>1</v>
      </c>
      <c r="AJ280" s="98" t="b">
        <f>INDEX(stable[q_carbon],MATCH(questions[[#This Row],[qno]],stable[qno],0))</f>
        <v>0</v>
      </c>
      <c r="AK280" s="98" t="b">
        <f>INDEX(stable[q_regen_ag],MATCH(questions[[#This Row],[qno]],stable[qno],0))</f>
        <v>0</v>
      </c>
      <c r="AL280" s="98" t="b">
        <f>COUNTIFS(stable[qno],questions[[#This Row],[qno]])=1</f>
        <v>1</v>
      </c>
      <c r="AM280" s="98" t="b">
        <f>OR(questions[[#This Row],[is_fixed]],questions[[#This Row],[is_localized]],questions[[#This Row],[is_supply_chain_dependent]])</f>
        <v>1</v>
      </c>
      <c r="AN280" s="98" t="b">
        <f>COUNTIFS(questions[[#This Row],[is_automated]:[is_multi_select]],TRUE)=1</f>
        <v>1</v>
      </c>
      <c r="AO280" s="98" t="b">
        <f>IF(questions[[#This Row],[is_fixed]],questions[[#This Row],[question]]=INDEX(stable[question],MATCH(questions[[#This Row],[qno]],stable[qno],0)),TRUE)</f>
        <v>1</v>
      </c>
      <c r="AP280" s="98" t="str">
        <f>LEFT(questions[[#This Row],[question]],similarity_range)</f>
        <v>Remittances, what wa</v>
      </c>
      <c r="AQ280" s="98" t="str">
        <f>LEFT(INDEX(stable[question],MATCH(questions[[#This Row],[qno]],stable[qno],0)),similarity_range)</f>
        <v>Remittances, what wa</v>
      </c>
      <c r="AR280" s="98" t="b">
        <f>questions[[#This Row],[question_first_characters]]=questions[[#This Row],[stability_first_characters]]</f>
        <v>1</v>
      </c>
      <c r="AS280" s="98" t="b">
        <f>IF(OR(questions[[#This Row],[is_single_select]],questions[[#This Row],[is_multi_select]]),NOT(ISBLANK(questions[[#This Row],[answer_opt_combined]])),TRUE)</f>
        <v>1</v>
      </c>
    </row>
    <row r="281" spans="1:45" x14ac:dyDescent="0.25">
      <c r="A281" s="9" t="str">
        <f>_xlfn.TEXTJOIN("_",TRUE,questions[[#This Row],[origin]:[qno]])</f>
        <v>Uganda_Arabica_Sbux_6900</v>
      </c>
      <c r="B281" s="9" t="s">
        <v>511</v>
      </c>
      <c r="C281" s="9" t="s">
        <v>59</v>
      </c>
      <c r="D281" s="9" t="s">
        <v>512</v>
      </c>
      <c r="F281" s="24" t="s">
        <v>607</v>
      </c>
      <c r="G281" s="15" t="s">
        <v>608</v>
      </c>
      <c r="H281" s="9" t="str" cm="1">
        <f t="array" ref="H281">INDEX(stableR[question],MATCH(VALUE(questions[[#This Row],[qno]]),VALUE(stableR[qno]),0))</f>
        <v>How important do you feel the production and sale of coffee is to your household’s quality of life?</v>
      </c>
      <c r="I281" s="9" t="b" cm="1">
        <f t="array" ref="I281">INDEX(stable[is_fixed],MATCH(VALUE(questions[[#This Row],[qno]]),VALUE(stable[qno]),0))</f>
        <v>1</v>
      </c>
      <c r="J281" s="9" t="b" cm="1">
        <f t="array" ref="J281">INDEX(stable[is_localized],MATCH(VALUE(questions[[#This Row],[qno]]),VALUE(stable[qno]),0))</f>
        <v>0</v>
      </c>
      <c r="K281" s="9" t="b" cm="1">
        <f t="array" ref="K281">INDEX(stable[is_supply_chain_dependent],MATCH(VALUE(questions[[#This Row],[qno]]),VALUE(stable[qno]),0))</f>
        <v>0</v>
      </c>
      <c r="L281" s="9" t="b" cm="1">
        <f t="array" ref="L281">INDEX(stable[is_mandatory],MATCH(VALUE(questions[[#This Row],[qno]]),VALUE(stable[qno]),0))</f>
        <v>1</v>
      </c>
      <c r="M281" s="9" t="b" cm="1">
        <f t="array" ref="M281">INDEX(stable[is_automated],MATCH(VALUE(questions[[#This Row],[qno]]),VALUE(stable[qno]),0))</f>
        <v>0</v>
      </c>
      <c r="N281" s="9" t="b" cm="1">
        <f t="array" ref="N281">INDEX(stable[is_free_text],MATCH(VALUE(questions[[#This Row],[qno]]),VALUE(stable[qno]),0))</f>
        <v>1</v>
      </c>
      <c r="O281" s="9" t="b" cm="1">
        <f t="array" ref="O281">INDEX(stable[is_numerical],MATCH(VALUE(questions[[#This Row],[qno]]),VALUE(stable[qno]),0))</f>
        <v>0</v>
      </c>
      <c r="P281" s="32" t="b" cm="1">
        <f t="array" ref="P281">INDEX(stable[is_single_select],MATCH(VALUE(questions[[#This Row],[qno]]),VALUE(stable[qno]),0))</f>
        <v>0</v>
      </c>
      <c r="Q281" s="9" t="b" cm="1">
        <f t="array" ref="Q281">INDEX(stable[is_multi_select],MATCH(VALUE(questions[[#This Row],[qno]]),VALUE(stable[qno]),0))</f>
        <v>0</v>
      </c>
      <c r="R281" s="9" t="b" cm="1">
        <f t="array" ref="R281">INDEX(stable[is_skip_logic],MATCH(VALUE(questions[[#This Row],[qno]]),VALUE(stable[qno]),0))</f>
        <v>0</v>
      </c>
      <c r="S281" s="9" t="str">
        <f>_xlfn.TEXTJOIN(", ",TRUE,questions[[#This Row],[ans_opt_1]:[ans_opt_14]])</f>
        <v/>
      </c>
      <c r="AH281" s="16" t="b">
        <f>INDEX(stable[q_standard],MATCH(questions[[#This Row],[qno]],stable[qno],0))</f>
        <v>0</v>
      </c>
      <c r="AI281" s="16" t="b">
        <f>INDEX(stable[q_living_income],MATCH(questions[[#This Row],[qno]],stable[qno],0))</f>
        <v>0</v>
      </c>
      <c r="AJ281" s="16" t="b">
        <f>INDEX(stable[q_carbon],MATCH(questions[[#This Row],[qno]],stable[qno],0))</f>
        <v>0</v>
      </c>
      <c r="AK281" s="16" t="b">
        <f>INDEX(stable[q_regen_ag],MATCH(questions[[#This Row],[qno]],stable[qno],0))</f>
        <v>0</v>
      </c>
      <c r="AL281" s="16" t="b">
        <f>COUNTIFS(stable[qno],questions[[#This Row],[qno]])=1</f>
        <v>1</v>
      </c>
      <c r="AM281" s="16" t="b">
        <f>OR(questions[[#This Row],[is_fixed]],questions[[#This Row],[is_localized]],questions[[#This Row],[is_supply_chain_dependent]])</f>
        <v>1</v>
      </c>
      <c r="AN281" s="16" t="b">
        <f>COUNTIFS(questions[[#This Row],[is_automated]:[is_multi_select]],TRUE)=1</f>
        <v>1</v>
      </c>
      <c r="AO281" s="16" t="b">
        <f>IF(questions[[#This Row],[is_fixed]],questions[[#This Row],[question]]=INDEX(stable[question],MATCH(questions[[#This Row],[qno]],stable[qno],0)),TRUE)</f>
        <v>1</v>
      </c>
      <c r="AP281" s="16" t="str">
        <f>LEFT(questions[[#This Row],[question]],similarity_range)</f>
        <v>How important do you</v>
      </c>
      <c r="AQ281" s="16" t="str">
        <f>LEFT(INDEX(stable[question],MATCH(questions[[#This Row],[qno]],stable[qno],0)),similarity_range)</f>
        <v>How important do you</v>
      </c>
      <c r="AR281" s="16" t="b">
        <f>questions[[#This Row],[question_first_characters]]=questions[[#This Row],[stability_first_characters]]</f>
        <v>1</v>
      </c>
      <c r="AS281" s="16" t="b">
        <f>IF(OR(questions[[#This Row],[is_single_select]],questions[[#This Row],[is_multi_select]]),NOT(ISBLANK(questions[[#This Row],[answer_opt_combined]])),TRUE)</f>
        <v>1</v>
      </c>
    </row>
    <row r="282" spans="1:45" x14ac:dyDescent="0.25">
      <c r="A282" s="9" t="str">
        <f>_xlfn.TEXTJOIN("_",TRUE,questions[[#This Row],[origin]:[qno]])</f>
        <v>Uganda_Arabica_Sbux_6901</v>
      </c>
      <c r="B282" s="9" t="s">
        <v>511</v>
      </c>
      <c r="C282" s="9" t="s">
        <v>59</v>
      </c>
      <c r="D282" s="9" t="s">
        <v>512</v>
      </c>
      <c r="F282" s="24" t="s">
        <v>609</v>
      </c>
      <c r="G282" s="15" t="s">
        <v>610</v>
      </c>
      <c r="H282" s="9" t="str" cm="1">
        <f t="array" ref="H282">INDEX(stableR[question],MATCH(VALUE(questions[[#This Row],[qno]]),VALUE(stableR[qno]),0))</f>
        <v>In the next 2-3 years, how do you plan to change the land area, time spent on production and/ or resources spent on coffee production?</v>
      </c>
      <c r="I282" s="9" t="b" cm="1">
        <f t="array" ref="I282">INDEX(stable[is_fixed],MATCH(VALUE(questions[[#This Row],[qno]]),VALUE(stable[qno]),0))</f>
        <v>1</v>
      </c>
      <c r="J282" s="9" t="b" cm="1">
        <f t="array" ref="J282">INDEX(stable[is_localized],MATCH(VALUE(questions[[#This Row],[qno]]),VALUE(stable[qno]),0))</f>
        <v>0</v>
      </c>
      <c r="K282" s="9" t="b" cm="1">
        <f t="array" ref="K282">INDEX(stable[is_supply_chain_dependent],MATCH(VALUE(questions[[#This Row],[qno]]),VALUE(stable[qno]),0))</f>
        <v>0</v>
      </c>
      <c r="L282" s="9" t="b" cm="1">
        <f t="array" ref="L282">INDEX(stable[is_mandatory],MATCH(VALUE(questions[[#This Row],[qno]]),VALUE(stable[qno]),0))</f>
        <v>1</v>
      </c>
      <c r="M282" s="9" t="b" cm="1">
        <f t="array" ref="M282">INDEX(stable[is_automated],MATCH(VALUE(questions[[#This Row],[qno]]),VALUE(stable[qno]),0))</f>
        <v>0</v>
      </c>
      <c r="N282" s="9" t="b" cm="1">
        <f t="array" ref="N282">INDEX(stable[is_free_text],MATCH(VALUE(questions[[#This Row],[qno]]),VALUE(stable[qno]),0))</f>
        <v>1</v>
      </c>
      <c r="O282" s="9" t="b" cm="1">
        <f t="array" ref="O282">INDEX(stable[is_numerical],MATCH(VALUE(questions[[#This Row],[qno]]),VALUE(stable[qno]),0))</f>
        <v>0</v>
      </c>
      <c r="P282" s="32" t="b" cm="1">
        <f t="array" ref="P282">INDEX(stable[is_single_select],MATCH(VALUE(questions[[#This Row],[qno]]),VALUE(stable[qno]),0))</f>
        <v>0</v>
      </c>
      <c r="Q282" s="9" t="b" cm="1">
        <f t="array" ref="Q282">INDEX(stable[is_multi_select],MATCH(VALUE(questions[[#This Row],[qno]]),VALUE(stable[qno]),0))</f>
        <v>0</v>
      </c>
      <c r="R282" s="9" t="b" cm="1">
        <f t="array" ref="R282">INDEX(stable[is_skip_logic],MATCH(VALUE(questions[[#This Row],[qno]]),VALUE(stable[qno]),0))</f>
        <v>0</v>
      </c>
      <c r="S282" s="9" t="str">
        <f>_xlfn.TEXTJOIN(", ",TRUE,questions[[#This Row],[ans_opt_1]:[ans_opt_14]])</f>
        <v/>
      </c>
      <c r="AH282" s="16" t="b">
        <f>INDEX(stable[q_standard],MATCH(questions[[#This Row],[qno]],stable[qno],0))</f>
        <v>0</v>
      </c>
      <c r="AI282" s="16" t="b">
        <f>INDEX(stable[q_living_income],MATCH(questions[[#This Row],[qno]],stable[qno],0))</f>
        <v>0</v>
      </c>
      <c r="AJ282" s="16" t="b">
        <f>INDEX(stable[q_carbon],MATCH(questions[[#This Row],[qno]],stable[qno],0))</f>
        <v>0</v>
      </c>
      <c r="AK282" s="16" t="b">
        <f>INDEX(stable[q_regen_ag],MATCH(questions[[#This Row],[qno]],stable[qno],0))</f>
        <v>0</v>
      </c>
      <c r="AL282" s="16" t="b">
        <f>COUNTIFS(stable[qno],questions[[#This Row],[qno]])=1</f>
        <v>1</v>
      </c>
      <c r="AM282" s="16" t="b">
        <f>OR(questions[[#This Row],[is_fixed]],questions[[#This Row],[is_localized]],questions[[#This Row],[is_supply_chain_dependent]])</f>
        <v>1</v>
      </c>
      <c r="AN282" s="16" t="b">
        <f>COUNTIFS(questions[[#This Row],[is_automated]:[is_multi_select]],TRUE)=1</f>
        <v>1</v>
      </c>
      <c r="AO282" s="16" t="b">
        <f>IF(questions[[#This Row],[is_fixed]],questions[[#This Row],[question]]=INDEX(stable[question],MATCH(questions[[#This Row],[qno]],stable[qno],0)),TRUE)</f>
        <v>1</v>
      </c>
      <c r="AP282" s="16" t="str">
        <f>LEFT(questions[[#This Row],[question]],similarity_range)</f>
        <v>In the next 2-3 year</v>
      </c>
      <c r="AQ282" s="16" t="str">
        <f>LEFT(INDEX(stable[question],MATCH(questions[[#This Row],[qno]],stable[qno],0)),similarity_range)</f>
        <v>In the next 2-3 year</v>
      </c>
      <c r="AR282" s="16" t="b">
        <f>questions[[#This Row],[question_first_characters]]=questions[[#This Row],[stability_first_characters]]</f>
        <v>1</v>
      </c>
      <c r="AS282" s="16" t="b">
        <f>IF(OR(questions[[#This Row],[is_single_select]],questions[[#This Row],[is_multi_select]]),NOT(ISBLANK(questions[[#This Row],[answer_opt_combined]])),TRUE)</f>
        <v>1</v>
      </c>
    </row>
    <row r="283" spans="1:45" x14ac:dyDescent="0.25">
      <c r="A283" s="9" t="str">
        <f>_xlfn.TEXTJOIN("_",TRUE,questions[[#This Row],[origin]:[qno]])</f>
        <v>Uganda_Arabica_Sbux_6902</v>
      </c>
      <c r="B283" s="9" t="s">
        <v>511</v>
      </c>
      <c r="C283" s="9" t="s">
        <v>59</v>
      </c>
      <c r="D283" s="9" t="s">
        <v>512</v>
      </c>
      <c r="F283" s="24" t="s">
        <v>611</v>
      </c>
      <c r="G283" s="15" t="s">
        <v>612</v>
      </c>
      <c r="H283" s="9" t="str" cm="1">
        <f t="array" ref="H283">INDEX(stableR[question],MATCH(VALUE(questions[[#This Row],[qno]]),VALUE(stableR[qno]),0))</f>
        <v>Do you want to see your children to continue to grow coffee in future?</v>
      </c>
      <c r="I283" s="9" t="b" cm="1">
        <f t="array" ref="I283">INDEX(stable[is_fixed],MATCH(VALUE(questions[[#This Row],[qno]]),VALUE(stable[qno]),0))</f>
        <v>1</v>
      </c>
      <c r="J283" s="9" t="b" cm="1">
        <f t="array" ref="J283">INDEX(stable[is_localized],MATCH(VALUE(questions[[#This Row],[qno]]),VALUE(stable[qno]),0))</f>
        <v>0</v>
      </c>
      <c r="K283" s="9" t="b" cm="1">
        <f t="array" ref="K283">INDEX(stable[is_supply_chain_dependent],MATCH(VALUE(questions[[#This Row],[qno]]),VALUE(stable[qno]),0))</f>
        <v>0</v>
      </c>
      <c r="L283" s="9" t="b" cm="1">
        <f t="array" ref="L283">INDEX(stable[is_mandatory],MATCH(VALUE(questions[[#This Row],[qno]]),VALUE(stable[qno]),0))</f>
        <v>1</v>
      </c>
      <c r="M283" s="9" t="b" cm="1">
        <f t="array" ref="M283">INDEX(stable[is_automated],MATCH(VALUE(questions[[#This Row],[qno]]),VALUE(stable[qno]),0))</f>
        <v>0</v>
      </c>
      <c r="N283" s="9" t="b" cm="1">
        <f t="array" ref="N283">INDEX(stable[is_free_text],MATCH(VALUE(questions[[#This Row],[qno]]),VALUE(stable[qno]),0))</f>
        <v>1</v>
      </c>
      <c r="O283" s="9" t="b" cm="1">
        <f t="array" ref="O283">INDEX(stable[is_numerical],MATCH(VALUE(questions[[#This Row],[qno]]),VALUE(stable[qno]),0))</f>
        <v>0</v>
      </c>
      <c r="P283" s="32" t="b" cm="1">
        <f t="array" ref="P283">INDEX(stable[is_single_select],MATCH(VALUE(questions[[#This Row],[qno]]),VALUE(stable[qno]),0))</f>
        <v>0</v>
      </c>
      <c r="Q283" s="9" t="b" cm="1">
        <f t="array" ref="Q283">INDEX(stable[is_multi_select],MATCH(VALUE(questions[[#This Row],[qno]]),VALUE(stable[qno]),0))</f>
        <v>0</v>
      </c>
      <c r="R283" s="9" t="b" cm="1">
        <f t="array" ref="R283">INDEX(stable[is_skip_logic],MATCH(VALUE(questions[[#This Row],[qno]]),VALUE(stable[qno]),0))</f>
        <v>0</v>
      </c>
      <c r="S283" s="9" t="str">
        <f>_xlfn.TEXTJOIN(", ",TRUE,questions[[#This Row],[ans_opt_1]:[ans_opt_14]])</f>
        <v/>
      </c>
      <c r="AH283" s="16" t="b">
        <f>INDEX(stable[q_standard],MATCH(questions[[#This Row],[qno]],stable[qno],0))</f>
        <v>0</v>
      </c>
      <c r="AI283" s="16" t="b">
        <f>INDEX(stable[q_living_income],MATCH(questions[[#This Row],[qno]],stable[qno],0))</f>
        <v>0</v>
      </c>
      <c r="AJ283" s="16" t="b">
        <f>INDEX(stable[q_carbon],MATCH(questions[[#This Row],[qno]],stable[qno],0))</f>
        <v>0</v>
      </c>
      <c r="AK283" s="16" t="b">
        <f>INDEX(stable[q_regen_ag],MATCH(questions[[#This Row],[qno]],stable[qno],0))</f>
        <v>0</v>
      </c>
      <c r="AL283" s="16" t="b">
        <f>COUNTIFS(stable[qno],questions[[#This Row],[qno]])=1</f>
        <v>1</v>
      </c>
      <c r="AM283" s="16" t="b">
        <f>OR(questions[[#This Row],[is_fixed]],questions[[#This Row],[is_localized]],questions[[#This Row],[is_supply_chain_dependent]])</f>
        <v>1</v>
      </c>
      <c r="AN283" s="16" t="b">
        <f>COUNTIFS(questions[[#This Row],[is_automated]:[is_multi_select]],TRUE)=1</f>
        <v>1</v>
      </c>
      <c r="AO283" s="16" t="b">
        <f>IF(questions[[#This Row],[is_fixed]],questions[[#This Row],[question]]=INDEX(stable[question],MATCH(questions[[#This Row],[qno]],stable[qno],0)),TRUE)</f>
        <v>1</v>
      </c>
      <c r="AP283" s="16" t="str">
        <f>LEFT(questions[[#This Row],[question]],similarity_range)</f>
        <v>Do you want to see y</v>
      </c>
      <c r="AQ283" s="16" t="str">
        <f>LEFT(INDEX(stable[question],MATCH(questions[[#This Row],[qno]],stable[qno],0)),similarity_range)</f>
        <v>Do you want to see y</v>
      </c>
      <c r="AR283" s="16" t="b">
        <f>questions[[#This Row],[question_first_characters]]=questions[[#This Row],[stability_first_characters]]</f>
        <v>1</v>
      </c>
      <c r="AS283" s="16" t="b">
        <f>IF(OR(questions[[#This Row],[is_single_select]],questions[[#This Row],[is_multi_select]]),NOT(ISBLANK(questions[[#This Row],[answer_opt_combined]])),TRUE)</f>
        <v>1</v>
      </c>
    </row>
    <row r="284" spans="1:45" s="77" customFormat="1" x14ac:dyDescent="0.25">
      <c r="A284" s="77" t="str">
        <f>_xlfn.TEXTJOIN("_",TRUE,questions[[#This Row],[origin]:[qno]])</f>
        <v>Uganda_Arabica_Sbux_7000</v>
      </c>
      <c r="B284" s="77" t="s">
        <v>511</v>
      </c>
      <c r="C284" s="77" t="s">
        <v>59</v>
      </c>
      <c r="D284" s="77" t="s">
        <v>512</v>
      </c>
      <c r="F284" s="104" t="s">
        <v>326</v>
      </c>
      <c r="G284" s="78" t="s">
        <v>327</v>
      </c>
      <c r="H284" s="9" t="str" cm="1">
        <f t="array" ref="H284">INDEX(stableR[question],MATCH(VALUE(questions[[#This Row],[qno]]),VALUE(stableR[qno]),0))</f>
        <v>Have you received any training on Regenartive Agriculture principles and practices in last 1-2 years? For instance on mulching, cover crops, manure or fertiliser application, stumping, integrated pest management, etc.</v>
      </c>
      <c r="I284" s="9" t="b" cm="1">
        <f t="array" ref="I284">INDEX(stable[is_fixed],MATCH(VALUE(questions[[#This Row],[qno]]),VALUE(stable[qno]),0))</f>
        <v>1</v>
      </c>
      <c r="J284" s="9" t="b" cm="1">
        <f t="array" ref="J284">INDEX(stable[is_localized],MATCH(VALUE(questions[[#This Row],[qno]]),VALUE(stable[qno]),0))</f>
        <v>0</v>
      </c>
      <c r="K284" s="9" t="b" cm="1">
        <f t="array" ref="K284">INDEX(stable[is_supply_chain_dependent],MATCH(VALUE(questions[[#This Row],[qno]]),VALUE(stable[qno]),0))</f>
        <v>0</v>
      </c>
      <c r="L284" s="9" t="b" cm="1">
        <f t="array" ref="L284">INDEX(stable[is_mandatory],MATCH(VALUE(questions[[#This Row],[qno]]),VALUE(stable[qno]),0))</f>
        <v>1</v>
      </c>
      <c r="M284" s="9" t="b" cm="1">
        <f t="array" ref="M284">INDEX(stable[is_automated],MATCH(VALUE(questions[[#This Row],[qno]]),VALUE(stable[qno]),0))</f>
        <v>0</v>
      </c>
      <c r="N284" s="9" t="b" cm="1">
        <f t="array" ref="N284">INDEX(stable[is_free_text],MATCH(VALUE(questions[[#This Row],[qno]]),VALUE(stable[qno]),0))</f>
        <v>0</v>
      </c>
      <c r="O284" s="9" t="b" cm="1">
        <f t="array" ref="O284">INDEX(stable[is_numerical],MATCH(VALUE(questions[[#This Row],[qno]]),VALUE(stable[qno]),0))</f>
        <v>0</v>
      </c>
      <c r="P284" s="103" t="b" cm="1">
        <f t="array" ref="P284">INDEX(stable[is_single_select],MATCH(VALUE(questions[[#This Row],[qno]]),VALUE(stable[qno]),0))</f>
        <v>1</v>
      </c>
      <c r="Q284" s="77" t="b" cm="1">
        <f t="array" ref="Q284">INDEX(stable[is_multi_select],MATCH(VALUE(questions[[#This Row],[qno]]),VALUE(stable[qno]),0))</f>
        <v>0</v>
      </c>
      <c r="R284" s="77" t="b" cm="1">
        <f t="array" ref="R284">INDEX(stable[is_skip_logic],MATCH(VALUE(questions[[#This Row],[qno]]),VALUE(stable[qno]),0))</f>
        <v>1</v>
      </c>
      <c r="S284" s="77" t="str">
        <f>_xlfn.TEXTJOIN(", ",TRUE,questions[[#This Row],[ans_opt_1]:[ans_opt_14]])</f>
        <v>Yes, No</v>
      </c>
      <c r="T284" s="77" t="s">
        <v>149</v>
      </c>
      <c r="U284" s="77" t="s">
        <v>119</v>
      </c>
      <c r="AH284" s="98" t="b">
        <f>INDEX(stable[q_standard],MATCH(questions[[#This Row],[qno]],stable[qno],0))</f>
        <v>0</v>
      </c>
      <c r="AI284" s="98" t="b">
        <f>INDEX(stable[q_living_income],MATCH(questions[[#This Row],[qno]],stable[qno],0))</f>
        <v>0</v>
      </c>
      <c r="AJ284" s="98" t="b">
        <f>INDEX(stable[q_carbon],MATCH(questions[[#This Row],[qno]],stable[qno],0))</f>
        <v>0</v>
      </c>
      <c r="AK284" s="98" t="b">
        <f>INDEX(stable[q_regen_ag],MATCH(questions[[#This Row],[qno]],stable[qno],0))</f>
        <v>1</v>
      </c>
      <c r="AL284" s="98" t="b">
        <f>COUNTIFS(stable[qno],questions[[#This Row],[qno]])=1</f>
        <v>1</v>
      </c>
      <c r="AM284" s="98" t="b">
        <f>OR(questions[[#This Row],[is_fixed]],questions[[#This Row],[is_localized]],questions[[#This Row],[is_supply_chain_dependent]])</f>
        <v>1</v>
      </c>
      <c r="AN284" s="98" t="b">
        <f>COUNTIFS(questions[[#This Row],[is_automated]:[is_multi_select]],TRUE)=1</f>
        <v>1</v>
      </c>
      <c r="AO284" s="98" t="b">
        <f>IF(questions[[#This Row],[is_fixed]],questions[[#This Row],[question]]=INDEX(stable[question],MATCH(questions[[#This Row],[qno]],stable[qno],0)),TRUE)</f>
        <v>1</v>
      </c>
      <c r="AP284" s="98" t="str">
        <f>LEFT(questions[[#This Row],[question]],similarity_range)</f>
        <v>Have you received an</v>
      </c>
      <c r="AQ284" s="98" t="str">
        <f>LEFT(INDEX(stable[question],MATCH(questions[[#This Row],[qno]],stable[qno],0)),similarity_range)</f>
        <v>Have you received an</v>
      </c>
      <c r="AR284" s="98" t="b">
        <f>questions[[#This Row],[question_first_characters]]=questions[[#This Row],[stability_first_characters]]</f>
        <v>1</v>
      </c>
      <c r="AS284" s="98" t="b">
        <f>IF(OR(questions[[#This Row],[is_single_select]],questions[[#This Row],[is_multi_select]]),NOT(ISBLANK(questions[[#This Row],[answer_opt_combined]])),TRUE)</f>
        <v>1</v>
      </c>
    </row>
    <row r="285" spans="1:45" s="77" customFormat="1" x14ac:dyDescent="0.25">
      <c r="A285" s="77" t="str">
        <f>_xlfn.TEXTJOIN("_",TRUE,questions[[#This Row],[origin]:[qno]])</f>
        <v>Uganda_Arabica_Sbux_7001</v>
      </c>
      <c r="B285" s="77" t="s">
        <v>511</v>
      </c>
      <c r="C285" s="77" t="s">
        <v>59</v>
      </c>
      <c r="D285" s="77" t="s">
        <v>512</v>
      </c>
      <c r="F285" s="104" t="s">
        <v>328</v>
      </c>
      <c r="G285" s="78" t="s">
        <v>329</v>
      </c>
      <c r="H285" s="9" t="str" cm="1">
        <f t="array" ref="H285">INDEX(stableR[question],MATCH(VALUE(questions[[#This Row],[qno]]),VALUE(stableR[qno]),0))</f>
        <v>If NO formal training received, are you aware of Regen Ag. and can explain its basics principles and main practices?</v>
      </c>
      <c r="I285" s="9" t="b" cm="1">
        <f t="array" ref="I285">INDEX(stable[is_fixed],MATCH(VALUE(questions[[#This Row],[qno]]),VALUE(stable[qno]),0))</f>
        <v>1</v>
      </c>
      <c r="J285" s="9" t="b" cm="1">
        <f t="array" ref="J285">INDEX(stable[is_localized],MATCH(VALUE(questions[[#This Row],[qno]]),VALUE(stable[qno]),0))</f>
        <v>0</v>
      </c>
      <c r="K285" s="9" t="b" cm="1">
        <f t="array" ref="K285">INDEX(stable[is_supply_chain_dependent],MATCH(VALUE(questions[[#This Row],[qno]]),VALUE(stable[qno]),0))</f>
        <v>0</v>
      </c>
      <c r="L285" s="9" t="b" cm="1">
        <f t="array" ref="L285">INDEX(stable[is_mandatory],MATCH(VALUE(questions[[#This Row],[qno]]),VALUE(stable[qno]),0))</f>
        <v>0</v>
      </c>
      <c r="M285" s="9" t="b" cm="1">
        <f t="array" ref="M285">INDEX(stable[is_automated],MATCH(VALUE(questions[[#This Row],[qno]]),VALUE(stable[qno]),0))</f>
        <v>0</v>
      </c>
      <c r="N285" s="9" t="b" cm="1">
        <f t="array" ref="N285">INDEX(stable[is_free_text],MATCH(VALUE(questions[[#This Row],[qno]]),VALUE(stable[qno]),0))</f>
        <v>0</v>
      </c>
      <c r="O285" s="9" t="b" cm="1">
        <f t="array" ref="O285">INDEX(stable[is_numerical],MATCH(VALUE(questions[[#This Row],[qno]]),VALUE(stable[qno]),0))</f>
        <v>0</v>
      </c>
      <c r="P285" s="103" t="b" cm="1">
        <f t="array" ref="P285">INDEX(stable[is_single_select],MATCH(VALUE(questions[[#This Row],[qno]]),VALUE(stable[qno]),0))</f>
        <v>1</v>
      </c>
      <c r="Q285" s="77" t="b" cm="1">
        <f t="array" ref="Q285">INDEX(stable[is_multi_select],MATCH(VALUE(questions[[#This Row],[qno]]),VALUE(stable[qno]),0))</f>
        <v>0</v>
      </c>
      <c r="R285" s="77" t="b" cm="1">
        <f t="array" ref="R285">INDEX(stable[is_skip_logic],MATCH(VALUE(questions[[#This Row],[qno]]),VALUE(stable[qno]),0))</f>
        <v>1</v>
      </c>
      <c r="S285" s="77" t="str">
        <f>_xlfn.TEXTJOIN(", ",TRUE,questions[[#This Row],[ans_opt_1]:[ans_opt_14]])</f>
        <v>Yes, No</v>
      </c>
      <c r="T285" s="77" t="s">
        <v>149</v>
      </c>
      <c r="U285" s="77" t="s">
        <v>119</v>
      </c>
      <c r="AH285" s="98" t="b">
        <f>INDEX(stable[q_standard],MATCH(questions[[#This Row],[qno]],stable[qno],0))</f>
        <v>0</v>
      </c>
      <c r="AI285" s="98" t="b">
        <f>INDEX(stable[q_living_income],MATCH(questions[[#This Row],[qno]],stable[qno],0))</f>
        <v>0</v>
      </c>
      <c r="AJ285" s="98" t="b">
        <f>INDEX(stable[q_carbon],MATCH(questions[[#This Row],[qno]],stable[qno],0))</f>
        <v>0</v>
      </c>
      <c r="AK285" s="98" t="b">
        <f>INDEX(stable[q_regen_ag],MATCH(questions[[#This Row],[qno]],stable[qno],0))</f>
        <v>1</v>
      </c>
      <c r="AL285" s="98" t="b">
        <f>COUNTIFS(stable[qno],questions[[#This Row],[qno]])=1</f>
        <v>1</v>
      </c>
      <c r="AM285" s="98" t="b">
        <f>OR(questions[[#This Row],[is_fixed]],questions[[#This Row],[is_localized]],questions[[#This Row],[is_supply_chain_dependent]])</f>
        <v>1</v>
      </c>
      <c r="AN285" s="98" t="b">
        <f>COUNTIFS(questions[[#This Row],[is_automated]:[is_multi_select]],TRUE)=1</f>
        <v>1</v>
      </c>
      <c r="AO285" s="98" t="b">
        <f>IF(questions[[#This Row],[is_fixed]],questions[[#This Row],[question]]=INDEX(stable[question],MATCH(questions[[#This Row],[qno]],stable[qno],0)),TRUE)</f>
        <v>1</v>
      </c>
      <c r="AP285" s="98" t="str">
        <f>LEFT(questions[[#This Row],[question]],similarity_range)</f>
        <v>If NO formal trainin</v>
      </c>
      <c r="AQ285" s="98" t="str">
        <f>LEFT(INDEX(stable[question],MATCH(questions[[#This Row],[qno]],stable[qno],0)),similarity_range)</f>
        <v>If NO formal trainin</v>
      </c>
      <c r="AR285" s="98" t="b">
        <f>questions[[#This Row],[question_first_characters]]=questions[[#This Row],[stability_first_characters]]</f>
        <v>1</v>
      </c>
      <c r="AS285" s="98" t="b">
        <f>IF(OR(questions[[#This Row],[is_single_select]],questions[[#This Row],[is_multi_select]]),NOT(ISBLANK(questions[[#This Row],[answer_opt_combined]])),TRUE)</f>
        <v>1</v>
      </c>
    </row>
    <row r="286" spans="1:45" s="77" customFormat="1" x14ac:dyDescent="0.25">
      <c r="A286" s="77" t="str">
        <f>_xlfn.TEXTJOIN("_",TRUE,questions[[#This Row],[origin]:[qno]])</f>
        <v>Uganda_Arabica_Sbux_7100</v>
      </c>
      <c r="B286" s="77" t="s">
        <v>511</v>
      </c>
      <c r="C286" s="77" t="s">
        <v>59</v>
      </c>
      <c r="D286" s="77" t="s">
        <v>512</v>
      </c>
      <c r="F286" s="104" t="s">
        <v>330</v>
      </c>
      <c r="G286" s="77" t="s">
        <v>331</v>
      </c>
      <c r="H286" s="9" t="str" cm="1">
        <f t="array" ref="H286">INDEX(stableR[question],MATCH(VALUE(questions[[#This Row],[qno]]),VALUE(stableR[qno]),0))</f>
        <v>Do you implement mulching and/or cover crops-plants (e.g. beans, peanuts/groundnuts, brachiaria, desmodium…) in your coffee plots? If the answer is NO, you do not need to answer the next 2 questions</v>
      </c>
      <c r="I286" s="9" t="b" cm="1">
        <f t="array" ref="I286">INDEX(stable[is_fixed],MATCH(VALUE(questions[[#This Row],[qno]]),VALUE(stable[qno]),0))</f>
        <v>1</v>
      </c>
      <c r="J286" s="9" t="b" cm="1">
        <f t="array" ref="J286">INDEX(stable[is_localized],MATCH(VALUE(questions[[#This Row],[qno]]),VALUE(stable[qno]),0))</f>
        <v>0</v>
      </c>
      <c r="K286" s="9" t="b" cm="1">
        <f t="array" ref="K286">INDEX(stable[is_supply_chain_dependent],MATCH(VALUE(questions[[#This Row],[qno]]),VALUE(stable[qno]),0))</f>
        <v>0</v>
      </c>
      <c r="L286" s="9" t="b" cm="1">
        <f t="array" ref="L286">INDEX(stable[is_mandatory],MATCH(VALUE(questions[[#This Row],[qno]]),VALUE(stable[qno]),0))</f>
        <v>1</v>
      </c>
      <c r="M286" s="9" t="b" cm="1">
        <f t="array" ref="M286">INDEX(stable[is_automated],MATCH(VALUE(questions[[#This Row],[qno]]),VALUE(stable[qno]),0))</f>
        <v>0</v>
      </c>
      <c r="N286" s="9" t="b" cm="1">
        <f t="array" ref="N286">INDEX(stable[is_free_text],MATCH(VALUE(questions[[#This Row],[qno]]),VALUE(stable[qno]),0))</f>
        <v>0</v>
      </c>
      <c r="O286" s="9" t="b" cm="1">
        <f t="array" ref="O286">INDEX(stable[is_numerical],MATCH(VALUE(questions[[#This Row],[qno]]),VALUE(stable[qno]),0))</f>
        <v>0</v>
      </c>
      <c r="P286" s="103" t="b" cm="1">
        <f t="array" ref="P286">INDEX(stable[is_single_select],MATCH(VALUE(questions[[#This Row],[qno]]),VALUE(stable[qno]),0))</f>
        <v>1</v>
      </c>
      <c r="Q286" s="77" t="b" cm="1">
        <f t="array" ref="Q286">INDEX(stable[is_multi_select],MATCH(VALUE(questions[[#This Row],[qno]]),VALUE(stable[qno]),0))</f>
        <v>0</v>
      </c>
      <c r="R286" s="77" t="b" cm="1">
        <f t="array" ref="R286">INDEX(stable[is_skip_logic],MATCH(VALUE(questions[[#This Row],[qno]]),VALUE(stable[qno]),0))</f>
        <v>1</v>
      </c>
      <c r="S286" s="77" t="str">
        <f>_xlfn.TEXTJOIN(", ",TRUE,questions[[#This Row],[ans_opt_1]:[ans_opt_14]])</f>
        <v>No, Yes-Crop residues mulching, Yes-Other mulching, Yes-Cover crops, Yes-Cover crops &amp; Mulching</v>
      </c>
      <c r="T286" s="77" t="s">
        <v>119</v>
      </c>
      <c r="U286" s="77" t="s">
        <v>332</v>
      </c>
      <c r="V286" s="77" t="s">
        <v>333</v>
      </c>
      <c r="W286" s="77" t="s">
        <v>334</v>
      </c>
      <c r="X286" s="77" t="s">
        <v>335</v>
      </c>
      <c r="AH286" s="98" t="b">
        <f>INDEX(stable[q_standard],MATCH(questions[[#This Row],[qno]],stable[qno],0))</f>
        <v>0</v>
      </c>
      <c r="AI286" s="98" t="b">
        <f>INDEX(stable[q_living_income],MATCH(questions[[#This Row],[qno]],stable[qno],0))</f>
        <v>0</v>
      </c>
      <c r="AJ286" s="98" t="b">
        <f>INDEX(stable[q_carbon],MATCH(questions[[#This Row],[qno]],stable[qno],0))</f>
        <v>0</v>
      </c>
      <c r="AK286" s="98" t="b">
        <f>INDEX(stable[q_regen_ag],MATCH(questions[[#This Row],[qno]],stable[qno],0))</f>
        <v>1</v>
      </c>
      <c r="AL286" s="98" t="b">
        <f>COUNTIFS(stable[qno],questions[[#This Row],[qno]])=1</f>
        <v>1</v>
      </c>
      <c r="AM286" s="98" t="b">
        <f>OR(questions[[#This Row],[is_fixed]],questions[[#This Row],[is_localized]],questions[[#This Row],[is_supply_chain_dependent]])</f>
        <v>1</v>
      </c>
      <c r="AN286" s="98" t="b">
        <f>COUNTIFS(questions[[#This Row],[is_automated]:[is_multi_select]],TRUE)=1</f>
        <v>1</v>
      </c>
      <c r="AO286" s="98" t="b">
        <f>IF(questions[[#This Row],[is_fixed]],questions[[#This Row],[question]]=INDEX(stable[question],MATCH(questions[[#This Row],[qno]],stable[qno],0)),TRUE)</f>
        <v>1</v>
      </c>
      <c r="AP286" s="98" t="str">
        <f>LEFT(questions[[#This Row],[question]],similarity_range)</f>
        <v>Do you implement mul</v>
      </c>
      <c r="AQ286" s="98" t="str">
        <f>LEFT(INDEX(stable[question],MATCH(questions[[#This Row],[qno]],stable[qno],0)),similarity_range)</f>
        <v>Do you implement mul</v>
      </c>
      <c r="AR286" s="98" t="b">
        <f>questions[[#This Row],[question_first_characters]]=questions[[#This Row],[stability_first_characters]]</f>
        <v>1</v>
      </c>
      <c r="AS286" s="98" t="b">
        <f>IF(OR(questions[[#This Row],[is_single_select]],questions[[#This Row],[is_multi_select]]),NOT(ISBLANK(questions[[#This Row],[answer_opt_combined]])),TRUE)</f>
        <v>1</v>
      </c>
    </row>
    <row r="287" spans="1:45" s="77" customFormat="1" x14ac:dyDescent="0.25">
      <c r="A287" s="77" t="str">
        <f>_xlfn.TEXTJOIN("_",TRUE,questions[[#This Row],[origin]:[qno]])</f>
        <v>Uganda_Arabica_Sbux_7101</v>
      </c>
      <c r="B287" s="77" t="s">
        <v>511</v>
      </c>
      <c r="C287" s="77" t="s">
        <v>59</v>
      </c>
      <c r="D287" s="77" t="s">
        <v>512</v>
      </c>
      <c r="F287" s="104" t="s">
        <v>336</v>
      </c>
      <c r="G287" s="78" t="s">
        <v>337</v>
      </c>
      <c r="H287" s="9" t="str" cm="1">
        <f t="array" ref="H287">INDEX(stableR[question],MATCH(VALUE(questions[[#This Row],[qno]]),VALUE(stableR[qno]),0))</f>
        <v>If so, what is the % or proportion of your coffee plots using mulching and/or cover crops?</v>
      </c>
      <c r="I287" s="9" t="b" cm="1">
        <f t="array" ref="I287">INDEX(stable[is_fixed],MATCH(VALUE(questions[[#This Row],[qno]]),VALUE(stable[qno]),0))</f>
        <v>1</v>
      </c>
      <c r="J287" s="9" t="b" cm="1">
        <f t="array" ref="J287">INDEX(stable[is_localized],MATCH(VALUE(questions[[#This Row],[qno]]),VALUE(stable[qno]),0))</f>
        <v>0</v>
      </c>
      <c r="K287" s="9" t="b" cm="1">
        <f t="array" ref="K287">INDEX(stable[is_supply_chain_dependent],MATCH(VALUE(questions[[#This Row],[qno]]),VALUE(stable[qno]),0))</f>
        <v>0</v>
      </c>
      <c r="L287" s="9" t="b" cm="1">
        <f t="array" ref="L287">INDEX(stable[is_mandatory],MATCH(VALUE(questions[[#This Row],[qno]]),VALUE(stable[qno]),0))</f>
        <v>0</v>
      </c>
      <c r="M287" s="9" t="b" cm="1">
        <f t="array" ref="M287">INDEX(stable[is_automated],MATCH(VALUE(questions[[#This Row],[qno]]),VALUE(stable[qno]),0))</f>
        <v>0</v>
      </c>
      <c r="N287" s="9" t="b" cm="1">
        <f t="array" ref="N287">INDEX(stable[is_free_text],MATCH(VALUE(questions[[#This Row],[qno]]),VALUE(stable[qno]),0))</f>
        <v>0</v>
      </c>
      <c r="O287" s="9" t="b" cm="1">
        <f t="array" ref="O287">INDEX(stable[is_numerical],MATCH(VALUE(questions[[#This Row],[qno]]),VALUE(stable[qno]),0))</f>
        <v>0</v>
      </c>
      <c r="P287" s="103" t="b" cm="1">
        <f t="array" ref="P287">INDEX(stable[is_single_select],MATCH(VALUE(questions[[#This Row],[qno]]),VALUE(stable[qno]),0))</f>
        <v>1</v>
      </c>
      <c r="Q287" s="77" t="b" cm="1">
        <f t="array" ref="Q287">INDEX(stable[is_multi_select],MATCH(VALUE(questions[[#This Row],[qno]]),VALUE(stable[qno]),0))</f>
        <v>0</v>
      </c>
      <c r="R287" s="77" t="b" cm="1">
        <f t="array" ref="R287">INDEX(stable[is_skip_logic],MATCH(VALUE(questions[[#This Row],[qno]]),VALUE(stable[qno]),0))</f>
        <v>1</v>
      </c>
      <c r="S287" s="77" t="str">
        <f>_xlfn.TEXTJOIN(", ",TRUE,questions[[#This Row],[ans_opt_1]:[ans_opt_14]])</f>
        <v>1% to 25% - little to a quarter, 26% to 50% - less than half, 51% to 75% - more than half, 76% to 100% - almost all</v>
      </c>
      <c r="T287" s="77" t="s">
        <v>338</v>
      </c>
      <c r="U287" s="77" t="s">
        <v>339</v>
      </c>
      <c r="V287" s="77" t="s">
        <v>340</v>
      </c>
      <c r="W287" s="77" t="s">
        <v>341</v>
      </c>
      <c r="AH287" s="98" t="b">
        <f>INDEX(stable[q_standard],MATCH(questions[[#This Row],[qno]],stable[qno],0))</f>
        <v>0</v>
      </c>
      <c r="AI287" s="98" t="b">
        <f>INDEX(stable[q_living_income],MATCH(questions[[#This Row],[qno]],stable[qno],0))</f>
        <v>0</v>
      </c>
      <c r="AJ287" s="98" t="b">
        <f>INDEX(stable[q_carbon],MATCH(questions[[#This Row],[qno]],stable[qno],0))</f>
        <v>0</v>
      </c>
      <c r="AK287" s="98" t="b">
        <f>INDEX(stable[q_regen_ag],MATCH(questions[[#This Row],[qno]],stable[qno],0))</f>
        <v>1</v>
      </c>
      <c r="AL287" s="98" t="b">
        <f>COUNTIFS(stable[qno],questions[[#This Row],[qno]])=1</f>
        <v>1</v>
      </c>
      <c r="AM287" s="98" t="b">
        <f>OR(questions[[#This Row],[is_fixed]],questions[[#This Row],[is_localized]],questions[[#This Row],[is_supply_chain_dependent]])</f>
        <v>1</v>
      </c>
      <c r="AN287" s="98" t="b">
        <f>COUNTIFS(questions[[#This Row],[is_automated]:[is_multi_select]],TRUE)=1</f>
        <v>1</v>
      </c>
      <c r="AO287" s="98" t="b">
        <f>IF(questions[[#This Row],[is_fixed]],questions[[#This Row],[question]]=INDEX(stable[question],MATCH(questions[[#This Row],[qno]],stable[qno],0)),TRUE)</f>
        <v>1</v>
      </c>
      <c r="AP287" s="98" t="str">
        <f>LEFT(questions[[#This Row],[question]],similarity_range)</f>
        <v>If so, what is the %</v>
      </c>
      <c r="AQ287" s="98" t="str">
        <f>LEFT(INDEX(stable[question],MATCH(questions[[#This Row],[qno]],stable[qno],0)),similarity_range)</f>
        <v>If so, what is the %</v>
      </c>
      <c r="AR287" s="98" t="b">
        <f>questions[[#This Row],[question_first_characters]]=questions[[#This Row],[stability_first_characters]]</f>
        <v>1</v>
      </c>
      <c r="AS287" s="98" t="b">
        <f>IF(OR(questions[[#This Row],[is_single_select]],questions[[#This Row],[is_multi_select]]),NOT(ISBLANK(questions[[#This Row],[answer_opt_combined]])),TRUE)</f>
        <v>1</v>
      </c>
    </row>
    <row r="288" spans="1:45" s="77" customFormat="1" x14ac:dyDescent="0.25">
      <c r="A288" s="77" t="str">
        <f>_xlfn.TEXTJOIN("_",TRUE,questions[[#This Row],[origin]:[qno]])</f>
        <v>Uganda_Arabica_Sbux_7102</v>
      </c>
      <c r="B288" s="77" t="s">
        <v>511</v>
      </c>
      <c r="C288" s="77" t="s">
        <v>59</v>
      </c>
      <c r="D288" s="77" t="s">
        <v>512</v>
      </c>
      <c r="F288" s="104" t="s">
        <v>342</v>
      </c>
      <c r="G288" s="78" t="s">
        <v>343</v>
      </c>
      <c r="H288" s="9" t="str" cm="1">
        <f t="array" ref="H288">INDEX(stableR[question],MATCH(VALUE(questions[[#This Row],[qno]]),VALUE(stableR[qno]),0))</f>
        <v>And for how many months per year?</v>
      </c>
      <c r="I288" s="9" t="b" cm="1">
        <f t="array" ref="I288">INDEX(stable[is_fixed],MATCH(VALUE(questions[[#This Row],[qno]]),VALUE(stable[qno]),0))</f>
        <v>1</v>
      </c>
      <c r="J288" s="9" t="b" cm="1">
        <f t="array" ref="J288">INDEX(stable[is_localized],MATCH(VALUE(questions[[#This Row],[qno]]),VALUE(stable[qno]),0))</f>
        <v>0</v>
      </c>
      <c r="K288" s="9" t="b" cm="1">
        <f t="array" ref="K288">INDEX(stable[is_supply_chain_dependent],MATCH(VALUE(questions[[#This Row],[qno]]),VALUE(stable[qno]),0))</f>
        <v>0</v>
      </c>
      <c r="L288" s="9" t="b" cm="1">
        <f t="array" ref="L288">INDEX(stable[is_mandatory],MATCH(VALUE(questions[[#This Row],[qno]]),VALUE(stable[qno]),0))</f>
        <v>0</v>
      </c>
      <c r="M288" s="9" t="b" cm="1">
        <f t="array" ref="M288">INDEX(stable[is_automated],MATCH(VALUE(questions[[#This Row],[qno]]),VALUE(stable[qno]),0))</f>
        <v>0</v>
      </c>
      <c r="N288" s="9" t="b" cm="1">
        <f t="array" ref="N288">INDEX(stable[is_free_text],MATCH(VALUE(questions[[#This Row],[qno]]),VALUE(stable[qno]),0))</f>
        <v>0</v>
      </c>
      <c r="O288" s="9" t="b" cm="1">
        <f t="array" ref="O288">INDEX(stable[is_numerical],MATCH(VALUE(questions[[#This Row],[qno]]),VALUE(stable[qno]),0))</f>
        <v>0</v>
      </c>
      <c r="P288" s="103" t="b" cm="1">
        <f t="array" ref="P288">INDEX(stable[is_single_select],MATCH(VALUE(questions[[#This Row],[qno]]),VALUE(stable[qno]),0))</f>
        <v>1</v>
      </c>
      <c r="Q288" s="77" t="b" cm="1">
        <f t="array" ref="Q288">INDEX(stable[is_multi_select],MATCH(VALUE(questions[[#This Row],[qno]]),VALUE(stable[qno]),0))</f>
        <v>0</v>
      </c>
      <c r="R288" s="77" t="b" cm="1">
        <f t="array" ref="R288">INDEX(stable[is_skip_logic],MATCH(VALUE(questions[[#This Row],[qno]]),VALUE(stable[qno]),0))</f>
        <v>1</v>
      </c>
      <c r="S288" s="123" t="str">
        <f>_xlfn.TEXTJOIN(", ",TRUE,questions[[#This Row],[ans_opt_1]:[ans_opt_14]])</f>
        <v>&lt;6 months, 6-8 months, &gt;8 months</v>
      </c>
      <c r="T288" s="123" t="s">
        <v>344</v>
      </c>
      <c r="U288" s="123" t="s">
        <v>345</v>
      </c>
      <c r="V288" s="123" t="s">
        <v>346</v>
      </c>
      <c r="W288" s="123"/>
      <c r="X288" s="123"/>
      <c r="AH288" s="98" t="b">
        <f>INDEX(stable[q_standard],MATCH(questions[[#This Row],[qno]],stable[qno],0))</f>
        <v>0</v>
      </c>
      <c r="AI288" s="98" t="b">
        <f>INDEX(stable[q_living_income],MATCH(questions[[#This Row],[qno]],stable[qno],0))</f>
        <v>0</v>
      </c>
      <c r="AJ288" s="98" t="b">
        <f>INDEX(stable[q_carbon],MATCH(questions[[#This Row],[qno]],stable[qno],0))</f>
        <v>0</v>
      </c>
      <c r="AK288" s="98" t="b">
        <f>INDEX(stable[q_regen_ag],MATCH(questions[[#This Row],[qno]],stable[qno],0))</f>
        <v>1</v>
      </c>
      <c r="AL288" s="98" t="b">
        <f>COUNTIFS(stable[qno],questions[[#This Row],[qno]])=1</f>
        <v>1</v>
      </c>
      <c r="AM288" s="98" t="b">
        <f>OR(questions[[#This Row],[is_fixed]],questions[[#This Row],[is_localized]],questions[[#This Row],[is_supply_chain_dependent]])</f>
        <v>1</v>
      </c>
      <c r="AN288" s="98" t="b">
        <f>COUNTIFS(questions[[#This Row],[is_automated]:[is_multi_select]],TRUE)=1</f>
        <v>1</v>
      </c>
      <c r="AO288" s="98" t="b">
        <f>IF(questions[[#This Row],[is_fixed]],questions[[#This Row],[question]]=INDEX(stable[question],MATCH(questions[[#This Row],[qno]],stable[qno],0)),TRUE)</f>
        <v>0</v>
      </c>
      <c r="AP288" s="98" t="str">
        <f>LEFT(questions[[#This Row],[question]],similarity_range)</f>
        <v>And for how many mon</v>
      </c>
      <c r="AQ288" s="98" t="str">
        <f>LEFT(INDEX(stable[question],MATCH(questions[[#This Row],[qno]],stable[qno],0)),similarity_range)</f>
        <v>And for how many mon</v>
      </c>
      <c r="AR288" s="98" t="b">
        <f>questions[[#This Row],[question_first_characters]]=questions[[#This Row],[stability_first_characters]]</f>
        <v>1</v>
      </c>
      <c r="AS288" s="98" t="b">
        <f>IF(OR(questions[[#This Row],[is_single_select]],questions[[#This Row],[is_multi_select]]),NOT(ISBLANK(questions[[#This Row],[answer_opt_combined]])),TRUE)</f>
        <v>1</v>
      </c>
    </row>
    <row r="289" spans="1:45" s="77" customFormat="1" x14ac:dyDescent="0.25">
      <c r="A289" s="77" t="str">
        <f>_xlfn.TEXTJOIN("_",TRUE,questions[[#This Row],[origin]:[qno]])</f>
        <v>Uganda_Arabica_Sbux_7113</v>
      </c>
      <c r="B289" s="77" t="s">
        <v>511</v>
      </c>
      <c r="C289" s="77" t="s">
        <v>59</v>
      </c>
      <c r="D289" s="77" t="s">
        <v>512</v>
      </c>
      <c r="F289" s="104" t="s">
        <v>347</v>
      </c>
      <c r="G289" s="77" t="s">
        <v>348</v>
      </c>
      <c r="H289" s="9" t="str" cm="1">
        <f t="array" ref="H289">INDEX(stableR[question],MATCH(VALUE(questions[[#This Row],[qno]]),VALUE(stableR[qno]),0))</f>
        <v>Does any area of your coffee plots have significative risk of water and/or wind erosion due to heavy rain or irrigation, terrain slope, strong winds during dry periods…? If the answer is NO, you do not need to answer the next 2 questions</v>
      </c>
      <c r="I289" s="9" t="b" cm="1">
        <f t="array" ref="I289">INDEX(stable[is_fixed],MATCH(VALUE(questions[[#This Row],[qno]]),VALUE(stable[qno]),0))</f>
        <v>1</v>
      </c>
      <c r="J289" s="9" t="b" cm="1">
        <f t="array" ref="J289">INDEX(stable[is_localized],MATCH(VALUE(questions[[#This Row],[qno]]),VALUE(stable[qno]),0))</f>
        <v>0</v>
      </c>
      <c r="K289" s="9" t="b" cm="1">
        <f t="array" ref="K289">INDEX(stable[is_supply_chain_dependent],MATCH(VALUE(questions[[#This Row],[qno]]),VALUE(stable[qno]),0))</f>
        <v>0</v>
      </c>
      <c r="L289" s="9" t="b" cm="1">
        <f t="array" ref="L289">INDEX(stable[is_mandatory],MATCH(VALUE(questions[[#This Row],[qno]]),VALUE(stable[qno]),0))</f>
        <v>1</v>
      </c>
      <c r="M289" s="9" t="b" cm="1">
        <f t="array" ref="M289">INDEX(stable[is_automated],MATCH(VALUE(questions[[#This Row],[qno]]),VALUE(stable[qno]),0))</f>
        <v>0</v>
      </c>
      <c r="N289" s="9" t="b" cm="1">
        <f t="array" ref="N289">INDEX(stable[is_free_text],MATCH(VALUE(questions[[#This Row],[qno]]),VALUE(stable[qno]),0))</f>
        <v>0</v>
      </c>
      <c r="O289" s="9" t="b" cm="1">
        <f t="array" ref="O289">INDEX(stable[is_numerical],MATCH(VALUE(questions[[#This Row],[qno]]),VALUE(stable[qno]),0))</f>
        <v>0</v>
      </c>
      <c r="P289" s="103" t="b" cm="1">
        <f t="array" ref="P289">INDEX(stable[is_single_select],MATCH(VALUE(questions[[#This Row],[qno]]),VALUE(stable[qno]),0))</f>
        <v>1</v>
      </c>
      <c r="Q289" s="77" t="b" cm="1">
        <f t="array" ref="Q289">INDEX(stable[is_multi_select],MATCH(VALUE(questions[[#This Row],[qno]]),VALUE(stable[qno]),0))</f>
        <v>0</v>
      </c>
      <c r="R289" s="77" t="b" cm="1">
        <f t="array" ref="R289">INDEX(stable[is_skip_logic],MATCH(VALUE(questions[[#This Row],[qno]]),VALUE(stable[qno]),0))</f>
        <v>1</v>
      </c>
      <c r="S289" s="77" t="str">
        <f>_xlfn.TEXTJOIN(", ",TRUE,questions[[#This Row],[ans_opt_1]:[ans_opt_14]])</f>
        <v>Yes, No</v>
      </c>
      <c r="T289" s="77" t="s">
        <v>149</v>
      </c>
      <c r="U289" s="77" t="s">
        <v>119</v>
      </c>
      <c r="AH289" s="98" t="b">
        <f>INDEX(stable[q_standard],MATCH(questions[[#This Row],[qno]],stable[qno],0))</f>
        <v>0</v>
      </c>
      <c r="AI289" s="98" t="b">
        <f>INDEX(stable[q_living_income],MATCH(questions[[#This Row],[qno]],stable[qno],0))</f>
        <v>0</v>
      </c>
      <c r="AJ289" s="98" t="b">
        <f>INDEX(stable[q_carbon],MATCH(questions[[#This Row],[qno]],stable[qno],0))</f>
        <v>0</v>
      </c>
      <c r="AK289" s="98" t="b">
        <f>INDEX(stable[q_regen_ag],MATCH(questions[[#This Row],[qno]],stable[qno],0))</f>
        <v>1</v>
      </c>
      <c r="AL289" s="98" t="b">
        <f>COUNTIFS(stable[qno],questions[[#This Row],[qno]])=1</f>
        <v>1</v>
      </c>
      <c r="AM289" s="98" t="b">
        <f>OR(questions[[#This Row],[is_fixed]],questions[[#This Row],[is_localized]],questions[[#This Row],[is_supply_chain_dependent]])</f>
        <v>1</v>
      </c>
      <c r="AN289" s="98" t="b">
        <f>COUNTIFS(questions[[#This Row],[is_automated]:[is_multi_select]],TRUE)=1</f>
        <v>1</v>
      </c>
      <c r="AO289" s="98" t="b">
        <f>IF(questions[[#This Row],[is_fixed]],questions[[#This Row],[question]]=INDEX(stable[question],MATCH(questions[[#This Row],[qno]],stable[qno],0)),TRUE)</f>
        <v>1</v>
      </c>
      <c r="AP289" s="98" t="str">
        <f>LEFT(questions[[#This Row],[question]],similarity_range)</f>
        <v>Does any area of you</v>
      </c>
      <c r="AQ289" s="98" t="str">
        <f>LEFT(INDEX(stable[question],MATCH(questions[[#This Row],[qno]],stable[qno],0)),similarity_range)</f>
        <v>Does any area of you</v>
      </c>
      <c r="AR289" s="98" t="b">
        <f>questions[[#This Row],[question_first_characters]]=questions[[#This Row],[stability_first_characters]]</f>
        <v>1</v>
      </c>
      <c r="AS289" s="98" t="b">
        <f>IF(OR(questions[[#This Row],[is_single_select]],questions[[#This Row],[is_multi_select]]),NOT(ISBLANK(questions[[#This Row],[answer_opt_combined]])),TRUE)</f>
        <v>1</v>
      </c>
    </row>
    <row r="290" spans="1:45" s="77" customFormat="1" x14ac:dyDescent="0.25">
      <c r="A290" s="77" t="str">
        <f>_xlfn.TEXTJOIN("_",TRUE,questions[[#This Row],[origin]:[qno]])</f>
        <v>Uganda_Arabica_Sbux_7114</v>
      </c>
      <c r="B290" s="77" t="s">
        <v>511</v>
      </c>
      <c r="C290" s="77" t="s">
        <v>59</v>
      </c>
      <c r="D290" s="77" t="s">
        <v>512</v>
      </c>
      <c r="F290" s="104" t="s">
        <v>349</v>
      </c>
      <c r="G290" s="77" t="s">
        <v>350</v>
      </c>
      <c r="H290" s="9" t="str" cm="1">
        <f t="array" ref="H290">INDEX(stableR[question],MATCH(VALUE(questions[[#This Row],[qno]]),VALUE(stableR[qno]),0))</f>
        <v xml:space="preserve">If there is erosion risk, do you implement anti-erosion measures/control (e.g. trenches, terracing, windbreaks, soil coverage/mulching, bunds, contour planting…)? </v>
      </c>
      <c r="I290" s="9" t="b" cm="1">
        <f t="array" ref="I290">INDEX(stable[is_fixed],MATCH(VALUE(questions[[#This Row],[qno]]),VALUE(stable[qno]),0))</f>
        <v>1</v>
      </c>
      <c r="J290" s="9" t="b" cm="1">
        <f t="array" ref="J290">INDEX(stable[is_localized],MATCH(VALUE(questions[[#This Row],[qno]]),VALUE(stable[qno]),0))</f>
        <v>0</v>
      </c>
      <c r="K290" s="9" t="b" cm="1">
        <f t="array" ref="K290">INDEX(stable[is_supply_chain_dependent],MATCH(VALUE(questions[[#This Row],[qno]]),VALUE(stable[qno]),0))</f>
        <v>0</v>
      </c>
      <c r="L290" s="9" t="b" cm="1">
        <f t="array" ref="L290">INDEX(stable[is_mandatory],MATCH(VALUE(questions[[#This Row],[qno]]),VALUE(stable[qno]),0))</f>
        <v>0</v>
      </c>
      <c r="M290" s="9" t="b" cm="1">
        <f t="array" ref="M290">INDEX(stable[is_automated],MATCH(VALUE(questions[[#This Row],[qno]]),VALUE(stable[qno]),0))</f>
        <v>0</v>
      </c>
      <c r="N290" s="9" t="b" cm="1">
        <f t="array" ref="N290">INDEX(stable[is_free_text],MATCH(VALUE(questions[[#This Row],[qno]]),VALUE(stable[qno]),0))</f>
        <v>0</v>
      </c>
      <c r="O290" s="9" t="b" cm="1">
        <f t="array" ref="O290">INDEX(stable[is_numerical],MATCH(VALUE(questions[[#This Row],[qno]]),VALUE(stable[qno]),0))</f>
        <v>0</v>
      </c>
      <c r="P290" s="103" t="b" cm="1">
        <f t="array" ref="P290">INDEX(stable[is_single_select],MATCH(VALUE(questions[[#This Row],[qno]]),VALUE(stable[qno]),0))</f>
        <v>1</v>
      </c>
      <c r="Q290" s="77" t="b" cm="1">
        <f t="array" ref="Q290">INDEX(stable[is_multi_select],MATCH(VALUE(questions[[#This Row],[qno]]),VALUE(stable[qno]),0))</f>
        <v>0</v>
      </c>
      <c r="R290" s="77" t="b" cm="1">
        <f t="array" ref="R290">INDEX(stable[is_skip_logic],MATCH(VALUE(questions[[#This Row],[qno]]),VALUE(stable[qno]),0))</f>
        <v>1</v>
      </c>
      <c r="S290" s="77" t="str">
        <f>_xlfn.TEXTJOIN(", ",TRUE,questions[[#This Row],[ans_opt_1]:[ans_opt_14]])</f>
        <v>No, Yes-Terracing, Yes-Trenches, Yes-Windbreaks, Yes-Mulching, Yes-Cover Crops, Yes-Water dykes, Yes-Contour Planting, Yes-A combination of previous practices, Yes-Other practices</v>
      </c>
      <c r="T290" s="77" t="s">
        <v>119</v>
      </c>
      <c r="U290" s="77" t="s">
        <v>351</v>
      </c>
      <c r="V290" s="77" t="s">
        <v>352</v>
      </c>
      <c r="W290" s="77" t="s">
        <v>353</v>
      </c>
      <c r="X290" s="77" t="s">
        <v>354</v>
      </c>
      <c r="Y290" s="77" t="s">
        <v>355</v>
      </c>
      <c r="Z290" s="77" t="s">
        <v>356</v>
      </c>
      <c r="AA290" s="77" t="s">
        <v>357</v>
      </c>
      <c r="AB290" s="77" t="s">
        <v>358</v>
      </c>
      <c r="AC290" s="77" t="s">
        <v>359</v>
      </c>
      <c r="AH290" s="98" t="b">
        <f>INDEX(stable[q_standard],MATCH(questions[[#This Row],[qno]],stable[qno],0))</f>
        <v>0</v>
      </c>
      <c r="AI290" s="98" t="b">
        <f>INDEX(stable[q_living_income],MATCH(questions[[#This Row],[qno]],stable[qno],0))</f>
        <v>0</v>
      </c>
      <c r="AJ290" s="98" t="b">
        <f>INDEX(stable[q_carbon],MATCH(questions[[#This Row],[qno]],stable[qno],0))</f>
        <v>0</v>
      </c>
      <c r="AK290" s="98" t="b">
        <f>INDEX(stable[q_regen_ag],MATCH(questions[[#This Row],[qno]],stable[qno],0))</f>
        <v>1</v>
      </c>
      <c r="AL290" s="98" t="b">
        <f>COUNTIFS(stable[qno],questions[[#This Row],[qno]])=1</f>
        <v>1</v>
      </c>
      <c r="AM290" s="98" t="b">
        <f>OR(questions[[#This Row],[is_fixed]],questions[[#This Row],[is_localized]],questions[[#This Row],[is_supply_chain_dependent]])</f>
        <v>1</v>
      </c>
      <c r="AN290" s="98" t="b">
        <f>COUNTIFS(questions[[#This Row],[is_automated]:[is_multi_select]],TRUE)=1</f>
        <v>1</v>
      </c>
      <c r="AO290" s="98" t="b">
        <f>IF(questions[[#This Row],[is_fixed]],questions[[#This Row],[question]]=INDEX(stable[question],MATCH(questions[[#This Row],[qno]],stable[qno],0)),TRUE)</f>
        <v>1</v>
      </c>
      <c r="AP290" s="98" t="str">
        <f>LEFT(questions[[#This Row],[question]],similarity_range)</f>
        <v xml:space="preserve">If there is erosion </v>
      </c>
      <c r="AQ290" s="98" t="str">
        <f>LEFT(INDEX(stable[question],MATCH(questions[[#This Row],[qno]],stable[qno],0)),similarity_range)</f>
        <v xml:space="preserve">If there is erosion </v>
      </c>
      <c r="AR290" s="98" t="b">
        <f>questions[[#This Row],[question_first_characters]]=questions[[#This Row],[stability_first_characters]]</f>
        <v>1</v>
      </c>
      <c r="AS290" s="98" t="b">
        <f>IF(OR(questions[[#This Row],[is_single_select]],questions[[#This Row],[is_multi_select]]),NOT(ISBLANK(questions[[#This Row],[answer_opt_combined]])),TRUE)</f>
        <v>1</v>
      </c>
    </row>
    <row r="291" spans="1:45" s="77" customFormat="1" x14ac:dyDescent="0.25">
      <c r="A291" s="77" t="str">
        <f>_xlfn.TEXTJOIN("_",TRUE,questions[[#This Row],[origin]:[qno]])</f>
        <v>Uganda_Arabica_Sbux_7115</v>
      </c>
      <c r="B291" s="77" t="s">
        <v>511</v>
      </c>
      <c r="C291" s="77" t="s">
        <v>59</v>
      </c>
      <c r="D291" s="77" t="s">
        <v>512</v>
      </c>
      <c r="F291" s="104" t="s">
        <v>360</v>
      </c>
      <c r="G291" s="78" t="s">
        <v>361</v>
      </c>
      <c r="H291" s="9" t="str" cm="1">
        <f t="array" ref="H291">INDEX(stableR[question],MATCH(VALUE(questions[[#This Row],[qno]]),VALUE(stableR[qno]),0))</f>
        <v>Of the area of your coffee plots with risk of erosion, can you estimate the % or proportion of that area to which you apply anti-erosion measures/control?</v>
      </c>
      <c r="I291" s="9" t="b" cm="1">
        <f t="array" ref="I291">INDEX(stable[is_fixed],MATCH(VALUE(questions[[#This Row],[qno]]),VALUE(stable[qno]),0))</f>
        <v>1</v>
      </c>
      <c r="J291" s="9" t="b" cm="1">
        <f t="array" ref="J291">INDEX(stable[is_localized],MATCH(VALUE(questions[[#This Row],[qno]]),VALUE(stable[qno]),0))</f>
        <v>0</v>
      </c>
      <c r="K291" s="9" t="b" cm="1">
        <f t="array" ref="K291">INDEX(stable[is_supply_chain_dependent],MATCH(VALUE(questions[[#This Row],[qno]]),VALUE(stable[qno]),0))</f>
        <v>0</v>
      </c>
      <c r="L291" s="9" t="b" cm="1">
        <f t="array" ref="L291">INDEX(stable[is_mandatory],MATCH(VALUE(questions[[#This Row],[qno]]),VALUE(stable[qno]),0))</f>
        <v>0</v>
      </c>
      <c r="M291" s="9" t="b" cm="1">
        <f t="array" ref="M291">INDEX(stable[is_automated],MATCH(VALUE(questions[[#This Row],[qno]]),VALUE(stable[qno]),0))</f>
        <v>0</v>
      </c>
      <c r="N291" s="9" t="b" cm="1">
        <f t="array" ref="N291">INDEX(stable[is_free_text],MATCH(VALUE(questions[[#This Row],[qno]]),VALUE(stable[qno]),0))</f>
        <v>0</v>
      </c>
      <c r="O291" s="9" t="b" cm="1">
        <f t="array" ref="O291">INDEX(stable[is_numerical],MATCH(VALUE(questions[[#This Row],[qno]]),VALUE(stable[qno]),0))</f>
        <v>0</v>
      </c>
      <c r="P291" s="103" t="b" cm="1">
        <f t="array" ref="P291">INDEX(stable[is_single_select],MATCH(VALUE(questions[[#This Row],[qno]]),VALUE(stable[qno]),0))</f>
        <v>1</v>
      </c>
      <c r="Q291" s="77" t="b" cm="1">
        <f t="array" ref="Q291">INDEX(stable[is_multi_select],MATCH(VALUE(questions[[#This Row],[qno]]),VALUE(stable[qno]),0))</f>
        <v>0</v>
      </c>
      <c r="R291" s="77" t="b" cm="1">
        <f t="array" ref="R291">INDEX(stable[is_skip_logic],MATCH(VALUE(questions[[#This Row],[qno]]),VALUE(stable[qno]),0))</f>
        <v>1</v>
      </c>
      <c r="S291" s="77" t="str">
        <f>_xlfn.TEXTJOIN(", ",TRUE,questions[[#This Row],[ans_opt_1]:[ans_opt_14]])</f>
        <v>0% - none, 1% to 25% - little to a quarter, 26% to 50% - less than half, 51% to 75% - more than half, 76% to 100% - almost all</v>
      </c>
      <c r="T291" s="77" t="s">
        <v>362</v>
      </c>
      <c r="U291" s="77" t="s">
        <v>338</v>
      </c>
      <c r="V291" s="77" t="s">
        <v>339</v>
      </c>
      <c r="W291" s="77" t="s">
        <v>340</v>
      </c>
      <c r="X291" s="77" t="s">
        <v>341</v>
      </c>
      <c r="AH291" s="98" t="b">
        <f>INDEX(stable[q_standard],MATCH(questions[[#This Row],[qno]],stable[qno],0))</f>
        <v>0</v>
      </c>
      <c r="AI291" s="98" t="b">
        <f>INDEX(stable[q_living_income],MATCH(questions[[#This Row],[qno]],stable[qno],0))</f>
        <v>0</v>
      </c>
      <c r="AJ291" s="98" t="b">
        <f>INDEX(stable[q_carbon],MATCH(questions[[#This Row],[qno]],stable[qno],0))</f>
        <v>0</v>
      </c>
      <c r="AK291" s="98" t="b">
        <f>INDEX(stable[q_regen_ag],MATCH(questions[[#This Row],[qno]],stable[qno],0))</f>
        <v>1</v>
      </c>
      <c r="AL291" s="98" t="b">
        <f>COUNTIFS(stable[qno],questions[[#This Row],[qno]])=1</f>
        <v>1</v>
      </c>
      <c r="AM291" s="98" t="b">
        <f>OR(questions[[#This Row],[is_fixed]],questions[[#This Row],[is_localized]],questions[[#This Row],[is_supply_chain_dependent]])</f>
        <v>1</v>
      </c>
      <c r="AN291" s="98" t="b">
        <f>COUNTIFS(questions[[#This Row],[is_automated]:[is_multi_select]],TRUE)=1</f>
        <v>1</v>
      </c>
      <c r="AO291" s="98" t="b">
        <f>IF(questions[[#This Row],[is_fixed]],questions[[#This Row],[question]]=INDEX(stable[question],MATCH(questions[[#This Row],[qno]],stable[qno],0)),TRUE)</f>
        <v>1</v>
      </c>
      <c r="AP291" s="98" t="str">
        <f>LEFT(questions[[#This Row],[question]],similarity_range)</f>
        <v xml:space="preserve">Of the area of your </v>
      </c>
      <c r="AQ291" s="98" t="str">
        <f>LEFT(INDEX(stable[question],MATCH(questions[[#This Row],[qno]],stable[qno],0)),similarity_range)</f>
        <v xml:space="preserve">Of the area of your </v>
      </c>
      <c r="AR291" s="98" t="b">
        <f>questions[[#This Row],[question_first_characters]]=questions[[#This Row],[stability_first_characters]]</f>
        <v>1</v>
      </c>
      <c r="AS291" s="98" t="b">
        <f>IF(OR(questions[[#This Row],[is_single_select]],questions[[#This Row],[is_multi_select]]),NOT(ISBLANK(questions[[#This Row],[answer_opt_combined]])),TRUE)</f>
        <v>1</v>
      </c>
    </row>
    <row r="292" spans="1:45" s="77" customFormat="1" x14ac:dyDescent="0.25">
      <c r="A292" s="77" t="str">
        <f>_xlfn.TEXTJOIN("_",TRUE,questions[[#This Row],[origin]:[qno]])</f>
        <v>Uganda_Arabica_Sbux_7126</v>
      </c>
      <c r="B292" s="77" t="s">
        <v>511</v>
      </c>
      <c r="C292" s="77" t="s">
        <v>59</v>
      </c>
      <c r="D292" s="77" t="s">
        <v>512</v>
      </c>
      <c r="F292" s="104" t="s">
        <v>363</v>
      </c>
      <c r="G292" s="78" t="s">
        <v>364</v>
      </c>
      <c r="H292" s="9" t="str" cm="1">
        <f t="array" ref="H292">INDEX(stableR[question],MATCH(VALUE(questions[[#This Row],[qno]]),VALUE(stableR[qno]),0))</f>
        <v>Do you take soil samples and carry out soil analysis of your coffee plots and how often?</v>
      </c>
      <c r="I292" s="9" t="b" cm="1">
        <f t="array" ref="I292">INDEX(stable[is_fixed],MATCH(VALUE(questions[[#This Row],[qno]]),VALUE(stable[qno]),0))</f>
        <v>1</v>
      </c>
      <c r="J292" s="9" t="b" cm="1">
        <f t="array" ref="J292">INDEX(stable[is_localized],MATCH(VALUE(questions[[#This Row],[qno]]),VALUE(stable[qno]),0))</f>
        <v>0</v>
      </c>
      <c r="K292" s="9" t="b" cm="1">
        <f t="array" ref="K292">INDEX(stable[is_supply_chain_dependent],MATCH(VALUE(questions[[#This Row],[qno]]),VALUE(stable[qno]),0))</f>
        <v>0</v>
      </c>
      <c r="L292" s="9" t="b" cm="1">
        <f t="array" ref="L292">INDEX(stable[is_mandatory],MATCH(VALUE(questions[[#This Row],[qno]]),VALUE(stable[qno]),0))</f>
        <v>1</v>
      </c>
      <c r="M292" s="9" t="b" cm="1">
        <f t="array" ref="M292">INDEX(stable[is_automated],MATCH(VALUE(questions[[#This Row],[qno]]),VALUE(stable[qno]),0))</f>
        <v>0</v>
      </c>
      <c r="N292" s="9" t="b" cm="1">
        <f t="array" ref="N292">INDEX(stable[is_free_text],MATCH(VALUE(questions[[#This Row],[qno]]),VALUE(stable[qno]),0))</f>
        <v>0</v>
      </c>
      <c r="O292" s="9" t="b" cm="1">
        <f t="array" ref="O292">INDEX(stable[is_numerical],MATCH(VALUE(questions[[#This Row],[qno]]),VALUE(stable[qno]),0))</f>
        <v>0</v>
      </c>
      <c r="P292" s="103" t="b" cm="1">
        <f t="array" ref="P292">INDEX(stable[is_single_select],MATCH(VALUE(questions[[#This Row],[qno]]),VALUE(stable[qno]),0))</f>
        <v>1</v>
      </c>
      <c r="Q292" s="77" t="b" cm="1">
        <f t="array" ref="Q292">INDEX(stable[is_multi_select],MATCH(VALUE(questions[[#This Row],[qno]]),VALUE(stable[qno]),0))</f>
        <v>0</v>
      </c>
      <c r="R292" s="77" t="b" cm="1">
        <f t="array" ref="R292">INDEX(stable[is_skip_logic],MATCH(VALUE(questions[[#This Row],[qno]]),VALUE(stable[qno]),0))</f>
        <v>1</v>
      </c>
      <c r="S292" s="77" t="str">
        <f>_xlfn.TEXTJOIN(", ",TRUE,questions[[#This Row],[ans_opt_1]:[ans_opt_14]])</f>
        <v>No, Yes-every year, Yes-every 2 years, Yes-every 3 years, Yes-every &gt; 3 years</v>
      </c>
      <c r="T292" s="77" t="s">
        <v>119</v>
      </c>
      <c r="U292" s="77" t="s">
        <v>365</v>
      </c>
      <c r="V292" s="77" t="s">
        <v>366</v>
      </c>
      <c r="W292" s="77" t="s">
        <v>367</v>
      </c>
      <c r="X292" s="77" t="s">
        <v>368</v>
      </c>
      <c r="AH292" s="98" t="b">
        <f>INDEX(stable[q_standard],MATCH(questions[[#This Row],[qno]],stable[qno],0))</f>
        <v>0</v>
      </c>
      <c r="AI292" s="98" t="b">
        <f>INDEX(stable[q_living_income],MATCH(questions[[#This Row],[qno]],stable[qno],0))</f>
        <v>0</v>
      </c>
      <c r="AJ292" s="98" t="b">
        <f>INDEX(stable[q_carbon],MATCH(questions[[#This Row],[qno]],stable[qno],0))</f>
        <v>0</v>
      </c>
      <c r="AK292" s="98" t="b">
        <f>INDEX(stable[q_regen_ag],MATCH(questions[[#This Row],[qno]],stable[qno],0))</f>
        <v>1</v>
      </c>
      <c r="AL292" s="98" t="b">
        <f>COUNTIFS(stable[qno],questions[[#This Row],[qno]])=1</f>
        <v>1</v>
      </c>
      <c r="AM292" s="98" t="b">
        <f>OR(questions[[#This Row],[is_fixed]],questions[[#This Row],[is_localized]],questions[[#This Row],[is_supply_chain_dependent]])</f>
        <v>1</v>
      </c>
      <c r="AN292" s="98" t="b">
        <f>COUNTIFS(questions[[#This Row],[is_automated]:[is_multi_select]],TRUE)=1</f>
        <v>1</v>
      </c>
      <c r="AO292" s="98" t="b">
        <f>IF(questions[[#This Row],[is_fixed]],questions[[#This Row],[question]]=INDEX(stable[question],MATCH(questions[[#This Row],[qno]],stable[qno],0)),TRUE)</f>
        <v>1</v>
      </c>
      <c r="AP292" s="98" t="str">
        <f>LEFT(questions[[#This Row],[question]],similarity_range)</f>
        <v>Do you take soil sam</v>
      </c>
      <c r="AQ292" s="98" t="str">
        <f>LEFT(INDEX(stable[question],MATCH(questions[[#This Row],[qno]],stable[qno],0)),similarity_range)</f>
        <v>Do you take soil sam</v>
      </c>
      <c r="AR292" s="98" t="b">
        <f>questions[[#This Row],[question_first_characters]]=questions[[#This Row],[stability_first_characters]]</f>
        <v>1</v>
      </c>
      <c r="AS292" s="98" t="b">
        <f>IF(OR(questions[[#This Row],[is_single_select]],questions[[#This Row],[is_multi_select]]),NOT(ISBLANK(questions[[#This Row],[answer_opt_combined]])),TRUE)</f>
        <v>1</v>
      </c>
    </row>
    <row r="293" spans="1:45" s="77" customFormat="1" x14ac:dyDescent="0.25">
      <c r="A293" s="77" t="str">
        <f>_xlfn.TEXTJOIN("_",TRUE,questions[[#This Row],[origin]:[qno]])</f>
        <v>Uganda_Arabica_Sbux_7127</v>
      </c>
      <c r="B293" s="77" t="s">
        <v>511</v>
      </c>
      <c r="C293" s="77" t="s">
        <v>59</v>
      </c>
      <c r="D293" s="77" t="s">
        <v>512</v>
      </c>
      <c r="F293" s="104" t="s">
        <v>369</v>
      </c>
      <c r="G293" s="77" t="s">
        <v>370</v>
      </c>
      <c r="H293" s="9" t="str" cm="1">
        <f t="array" ref="H293">INDEX(stableR[question],MATCH(VALUE(questions[[#This Row],[qno]]),VALUE(stableR[qno]),0))</f>
        <v>If you don´t or last analysis is older than 3 years ago, do you know the basic characteristics of the soil of your coffee plots (e.g. pH-acidity, texture-light/medium/heavy, organic matter-high/good/poor, general fertility-good/average/poor...)?</v>
      </c>
      <c r="I293" s="9" t="b" cm="1">
        <f t="array" ref="I293">INDEX(stable[is_fixed],MATCH(VALUE(questions[[#This Row],[qno]]),VALUE(stable[qno]),0))</f>
        <v>1</v>
      </c>
      <c r="J293" s="9" t="b" cm="1">
        <f t="array" ref="J293">INDEX(stable[is_localized],MATCH(VALUE(questions[[#This Row],[qno]]),VALUE(stable[qno]),0))</f>
        <v>0</v>
      </c>
      <c r="K293" s="9" t="b" cm="1">
        <f t="array" ref="K293">INDEX(stable[is_supply_chain_dependent],MATCH(VALUE(questions[[#This Row],[qno]]),VALUE(stable[qno]),0))</f>
        <v>0</v>
      </c>
      <c r="L293" s="9" t="b" cm="1">
        <f t="array" ref="L293">INDEX(stable[is_mandatory],MATCH(VALUE(questions[[#This Row],[qno]]),VALUE(stable[qno]),0))</f>
        <v>0</v>
      </c>
      <c r="M293" s="9" t="b" cm="1">
        <f t="array" ref="M293">INDEX(stable[is_automated],MATCH(VALUE(questions[[#This Row],[qno]]),VALUE(stable[qno]),0))</f>
        <v>0</v>
      </c>
      <c r="N293" s="9" t="b" cm="1">
        <f t="array" ref="N293">INDEX(stable[is_free_text],MATCH(VALUE(questions[[#This Row],[qno]]),VALUE(stable[qno]),0))</f>
        <v>0</v>
      </c>
      <c r="O293" s="9" t="b" cm="1">
        <f t="array" ref="O293">INDEX(stable[is_numerical],MATCH(VALUE(questions[[#This Row],[qno]]),VALUE(stable[qno]),0))</f>
        <v>0</v>
      </c>
      <c r="P293" s="103" t="b" cm="1">
        <f t="array" ref="P293">INDEX(stable[is_single_select],MATCH(VALUE(questions[[#This Row],[qno]]),VALUE(stable[qno]),0))</f>
        <v>1</v>
      </c>
      <c r="Q293" s="77" t="b" cm="1">
        <f t="array" ref="Q293">INDEX(stable[is_multi_select],MATCH(VALUE(questions[[#This Row],[qno]]),VALUE(stable[qno]),0))</f>
        <v>0</v>
      </c>
      <c r="R293" s="77" t="b" cm="1">
        <f t="array" ref="R293">INDEX(stable[is_skip_logic],MATCH(VALUE(questions[[#This Row],[qno]]),VALUE(stable[qno]),0))</f>
        <v>1</v>
      </c>
      <c r="S293" s="77" t="str">
        <f>_xlfn.TEXTJOIN(", ",TRUE,questions[[#This Row],[ans_opt_1]:[ans_opt_14]])</f>
        <v>Yes, No</v>
      </c>
      <c r="T293" s="77" t="s">
        <v>149</v>
      </c>
      <c r="U293" s="77" t="s">
        <v>119</v>
      </c>
      <c r="AH293" s="98" t="b">
        <f>INDEX(stable[q_standard],MATCH(questions[[#This Row],[qno]],stable[qno],0))</f>
        <v>0</v>
      </c>
      <c r="AI293" s="98" t="b">
        <f>INDEX(stable[q_living_income],MATCH(questions[[#This Row],[qno]],stable[qno],0))</f>
        <v>0</v>
      </c>
      <c r="AJ293" s="98" t="b">
        <f>INDEX(stable[q_carbon],MATCH(questions[[#This Row],[qno]],stable[qno],0))</f>
        <v>0</v>
      </c>
      <c r="AK293" s="98" t="b">
        <f>INDEX(stable[q_regen_ag],MATCH(questions[[#This Row],[qno]],stable[qno],0))</f>
        <v>1</v>
      </c>
      <c r="AL293" s="98" t="b">
        <f>COUNTIFS(stable[qno],questions[[#This Row],[qno]])=1</f>
        <v>1</v>
      </c>
      <c r="AM293" s="98" t="b">
        <f>OR(questions[[#This Row],[is_fixed]],questions[[#This Row],[is_localized]],questions[[#This Row],[is_supply_chain_dependent]])</f>
        <v>1</v>
      </c>
      <c r="AN293" s="98" t="b">
        <f>COUNTIFS(questions[[#This Row],[is_automated]:[is_multi_select]],TRUE)=1</f>
        <v>1</v>
      </c>
      <c r="AO293" s="98" t="b">
        <f>IF(questions[[#This Row],[is_fixed]],questions[[#This Row],[question]]=INDEX(stable[question],MATCH(questions[[#This Row],[qno]],stable[qno],0)),TRUE)</f>
        <v>1</v>
      </c>
      <c r="AP293" s="98" t="str">
        <f>LEFT(questions[[#This Row],[question]],similarity_range)</f>
        <v>If you don´t or last</v>
      </c>
      <c r="AQ293" s="98" t="str">
        <f>LEFT(INDEX(stable[question],MATCH(questions[[#This Row],[qno]],stable[qno],0)),similarity_range)</f>
        <v>If you don´t or last</v>
      </c>
      <c r="AR293" s="98" t="b">
        <f>questions[[#This Row],[question_first_characters]]=questions[[#This Row],[stability_first_characters]]</f>
        <v>1</v>
      </c>
      <c r="AS293" s="98" t="b">
        <f>IF(OR(questions[[#This Row],[is_single_select]],questions[[#This Row],[is_multi_select]]),NOT(ISBLANK(questions[[#This Row],[answer_opt_combined]])),TRUE)</f>
        <v>1</v>
      </c>
    </row>
    <row r="294" spans="1:45" s="77" customFormat="1" x14ac:dyDescent="0.25">
      <c r="A294" s="77" t="str">
        <f>_xlfn.TEXTJOIN("_",TRUE,questions[[#This Row],[origin]:[qno]])</f>
        <v>Uganda_Arabica_Sbux_7128</v>
      </c>
      <c r="B294" s="77" t="s">
        <v>511</v>
      </c>
      <c r="C294" s="77" t="s">
        <v>59</v>
      </c>
      <c r="D294" s="77" t="s">
        <v>512</v>
      </c>
      <c r="F294" s="104" t="s">
        <v>371</v>
      </c>
      <c r="G294" s="78" t="s">
        <v>372</v>
      </c>
      <c r="H294" s="9" t="str" cm="1">
        <f t="array" ref="H294">INDEX(stableR[question],MATCH(VALUE(questions[[#This Row],[qno]]),VALUE(stableR[qno]),0))</f>
        <v>What is the most common system to determine the amount and/or the type of organic and synthetic fertilizers that you use in your coffee crop?</v>
      </c>
      <c r="I294" s="9" t="b" cm="1">
        <f t="array" ref="I294">INDEX(stable[is_fixed],MATCH(VALUE(questions[[#This Row],[qno]]),VALUE(stable[qno]),0))</f>
        <v>1</v>
      </c>
      <c r="J294" s="9" t="b" cm="1">
        <f t="array" ref="J294">INDEX(stable[is_localized],MATCH(VALUE(questions[[#This Row],[qno]]),VALUE(stable[qno]),0))</f>
        <v>0</v>
      </c>
      <c r="K294" s="9" t="b" cm="1">
        <f t="array" ref="K294">INDEX(stable[is_supply_chain_dependent],MATCH(VALUE(questions[[#This Row],[qno]]),VALUE(stable[qno]),0))</f>
        <v>0</v>
      </c>
      <c r="L294" s="9" t="b" cm="1">
        <f t="array" ref="L294">INDEX(stable[is_mandatory],MATCH(VALUE(questions[[#This Row],[qno]]),VALUE(stable[qno]),0))</f>
        <v>1</v>
      </c>
      <c r="M294" s="9" t="b" cm="1">
        <f t="array" ref="M294">INDEX(stable[is_automated],MATCH(VALUE(questions[[#This Row],[qno]]),VALUE(stable[qno]),0))</f>
        <v>0</v>
      </c>
      <c r="N294" s="9" t="b" cm="1">
        <f t="array" ref="N294">INDEX(stable[is_free_text],MATCH(VALUE(questions[[#This Row],[qno]]),VALUE(stable[qno]),0))</f>
        <v>0</v>
      </c>
      <c r="O294" s="9" t="b" cm="1">
        <f t="array" ref="O294">INDEX(stable[is_numerical],MATCH(VALUE(questions[[#This Row],[qno]]),VALUE(stable[qno]),0))</f>
        <v>0</v>
      </c>
      <c r="P294" s="103" t="b" cm="1">
        <f t="array" ref="P294">INDEX(stable[is_single_select],MATCH(VALUE(questions[[#This Row],[qno]]),VALUE(stable[qno]),0))</f>
        <v>1</v>
      </c>
      <c r="Q294" s="77" t="b" cm="1">
        <f t="array" ref="Q294">INDEX(stable[is_multi_select],MATCH(VALUE(questions[[#This Row],[qno]]),VALUE(stable[qno]),0))</f>
        <v>0</v>
      </c>
      <c r="R294" s="77" t="b" cm="1">
        <f t="array" ref="R294">INDEX(stable[is_skip_logic],MATCH(VALUE(questions[[#This Row],[qno]]),VALUE(stable[qno]),0))</f>
        <v>0</v>
      </c>
      <c r="S294" s="77" t="str">
        <f>_xlfn.TEXTJOIN(", ",TRUE,questions[[#This Row],[ans_opt_1]:[ans_opt_14]])</f>
        <v>Based on my own judgment-experience, Based on what I can afford, I always use the same fertilization, Based on soil analysis or soil knowledge, Based on soil analysis or soil knowledge and the expected yield of the crop, Based on recommendations from experts (agronomists, field officers, extension services...), Based on recommendations from input suppliers, I don't use organic or synthetic fertilizers, based on other reasons then the above options</v>
      </c>
      <c r="T294" s="77" t="s">
        <v>373</v>
      </c>
      <c r="U294" s="77" t="s">
        <v>374</v>
      </c>
      <c r="V294" s="77" t="s">
        <v>375</v>
      </c>
      <c r="W294" s="77" t="s">
        <v>376</v>
      </c>
      <c r="X294" s="77" t="s">
        <v>377</v>
      </c>
      <c r="Y294" s="77" t="s">
        <v>378</v>
      </c>
      <c r="Z294" s="77" t="s">
        <v>379</v>
      </c>
      <c r="AA294" s="77" t="s">
        <v>380</v>
      </c>
      <c r="AH294" s="98" t="b">
        <f>INDEX(stable[q_standard],MATCH(questions[[#This Row],[qno]],stable[qno],0))</f>
        <v>0</v>
      </c>
      <c r="AI294" s="98" t="b">
        <f>INDEX(stable[q_living_income],MATCH(questions[[#This Row],[qno]],stable[qno],0))</f>
        <v>0</v>
      </c>
      <c r="AJ294" s="98" t="b">
        <f>INDEX(stable[q_carbon],MATCH(questions[[#This Row],[qno]],stable[qno],0))</f>
        <v>0</v>
      </c>
      <c r="AK294" s="98" t="b">
        <f>INDEX(stable[q_regen_ag],MATCH(questions[[#This Row],[qno]],stable[qno],0))</f>
        <v>1</v>
      </c>
      <c r="AL294" s="98" t="b">
        <f>COUNTIFS(stable[qno],questions[[#This Row],[qno]])=1</f>
        <v>1</v>
      </c>
      <c r="AM294" s="98" t="b">
        <f>OR(questions[[#This Row],[is_fixed]],questions[[#This Row],[is_localized]],questions[[#This Row],[is_supply_chain_dependent]])</f>
        <v>1</v>
      </c>
      <c r="AN294" s="98" t="b">
        <f>COUNTIFS(questions[[#This Row],[is_automated]:[is_multi_select]],TRUE)=1</f>
        <v>1</v>
      </c>
      <c r="AO294" s="98" t="b">
        <f>IF(questions[[#This Row],[is_fixed]],questions[[#This Row],[question]]=INDEX(stable[question],MATCH(questions[[#This Row],[qno]],stable[qno],0)),TRUE)</f>
        <v>1</v>
      </c>
      <c r="AP294" s="98" t="str">
        <f>LEFT(questions[[#This Row],[question]],similarity_range)</f>
        <v>What is the most com</v>
      </c>
      <c r="AQ294" s="98" t="str">
        <f>LEFT(INDEX(stable[question],MATCH(questions[[#This Row],[qno]],stable[qno],0)),similarity_range)</f>
        <v>What is the most com</v>
      </c>
      <c r="AR294" s="98" t="b">
        <f>questions[[#This Row],[question_first_characters]]=questions[[#This Row],[stability_first_characters]]</f>
        <v>1</v>
      </c>
      <c r="AS294" s="98" t="b">
        <f>IF(OR(questions[[#This Row],[is_single_select]],questions[[#This Row],[is_multi_select]]),NOT(ISBLANK(questions[[#This Row],[answer_opt_combined]])),TRUE)</f>
        <v>1</v>
      </c>
    </row>
    <row r="295" spans="1:45" s="77" customFormat="1" x14ac:dyDescent="0.25">
      <c r="A295" s="77" t="str">
        <f>_xlfn.TEXTJOIN("_",TRUE,questions[[#This Row],[origin]:[qno]])</f>
        <v>Uganda_Arabica_Sbux_7131</v>
      </c>
      <c r="B295" s="77" t="s">
        <v>511</v>
      </c>
      <c r="C295" s="77" t="s">
        <v>59</v>
      </c>
      <c r="D295" s="77" t="s">
        <v>512</v>
      </c>
      <c r="F295" s="104" t="s">
        <v>381</v>
      </c>
      <c r="G295" s="78" t="s">
        <v>382</v>
      </c>
      <c r="H295" s="9" t="str" cm="1">
        <f t="array" ref="H295">INDEX(stableR[question],MATCH(VALUE(questions[[#This Row],[qno]]),VALUE(stableR[qno]),0))</f>
        <v>How often do you apply synthetic fertilizer per season in your coffee crop?</v>
      </c>
      <c r="I295" s="9" t="b" cm="1">
        <f t="array" ref="I295">INDEX(stable[is_fixed],MATCH(VALUE(questions[[#This Row],[qno]]),VALUE(stable[qno]),0))</f>
        <v>1</v>
      </c>
      <c r="J295" s="9" t="b" cm="1">
        <f t="array" ref="J295">INDEX(stable[is_localized],MATCH(VALUE(questions[[#This Row],[qno]]),VALUE(stable[qno]),0))</f>
        <v>0</v>
      </c>
      <c r="K295" s="9" t="b" cm="1">
        <f t="array" ref="K295">INDEX(stable[is_supply_chain_dependent],MATCH(VALUE(questions[[#This Row],[qno]]),VALUE(stable[qno]),0))</f>
        <v>0</v>
      </c>
      <c r="L295" s="9" t="b" cm="1">
        <f t="array" ref="L295">INDEX(stable[is_mandatory],MATCH(VALUE(questions[[#This Row],[qno]]),VALUE(stable[qno]),0))</f>
        <v>1</v>
      </c>
      <c r="M295" s="9" t="b" cm="1">
        <f t="array" ref="M295">INDEX(stable[is_automated],MATCH(VALUE(questions[[#This Row],[qno]]),VALUE(stable[qno]),0))</f>
        <v>0</v>
      </c>
      <c r="N295" s="9" t="b" cm="1">
        <f t="array" ref="N295">INDEX(stable[is_free_text],MATCH(VALUE(questions[[#This Row],[qno]]),VALUE(stable[qno]),0))</f>
        <v>0</v>
      </c>
      <c r="O295" s="9" t="b" cm="1">
        <f t="array" ref="O295">INDEX(stable[is_numerical],MATCH(VALUE(questions[[#This Row],[qno]]),VALUE(stable[qno]),0))</f>
        <v>0</v>
      </c>
      <c r="P295" s="103" t="b" cm="1">
        <f t="array" ref="P295">INDEX(stable[is_single_select],MATCH(VALUE(questions[[#This Row],[qno]]),VALUE(stable[qno]),0))</f>
        <v>1</v>
      </c>
      <c r="Q295" s="77" t="b" cm="1">
        <f t="array" ref="Q295">INDEX(stable[is_multi_select],MATCH(VALUE(questions[[#This Row],[qno]]),VALUE(stable[qno]),0))</f>
        <v>0</v>
      </c>
      <c r="R295" s="77" t="b" cm="1">
        <f t="array" ref="R295">INDEX(stable[is_skip_logic],MATCH(VALUE(questions[[#This Row],[qno]]),VALUE(stable[qno]),0))</f>
        <v>0</v>
      </c>
      <c r="S295" s="77" t="str">
        <f>_xlfn.TEXTJOIN(", ",TRUE,questions[[#This Row],[ans_opt_1]:[ans_opt_14]])</f>
        <v>I don't apply, I apply once per season, I apply multiple times throughout the season</v>
      </c>
      <c r="T295" s="77" t="s">
        <v>383</v>
      </c>
      <c r="U295" s="77" t="s">
        <v>384</v>
      </c>
      <c r="V295" s="77" t="s">
        <v>385</v>
      </c>
      <c r="AH295" s="98" t="b">
        <f>INDEX(stable[q_standard],MATCH(questions[[#This Row],[qno]],stable[qno],0))</f>
        <v>0</v>
      </c>
      <c r="AI295" s="98" t="b">
        <f>INDEX(stable[q_living_income],MATCH(questions[[#This Row],[qno]],stable[qno],0))</f>
        <v>0</v>
      </c>
      <c r="AJ295" s="98" t="b">
        <f>INDEX(stable[q_carbon],MATCH(questions[[#This Row],[qno]],stable[qno],0))</f>
        <v>0</v>
      </c>
      <c r="AK295" s="98" t="b">
        <f>INDEX(stable[q_regen_ag],MATCH(questions[[#This Row],[qno]],stable[qno],0))</f>
        <v>1</v>
      </c>
      <c r="AL295" s="98" t="b">
        <f>COUNTIFS(stable[qno],questions[[#This Row],[qno]])=1</f>
        <v>1</v>
      </c>
      <c r="AM295" s="98" t="b">
        <f>OR(questions[[#This Row],[is_fixed]],questions[[#This Row],[is_localized]],questions[[#This Row],[is_supply_chain_dependent]])</f>
        <v>1</v>
      </c>
      <c r="AN295" s="98" t="b">
        <f>COUNTIFS(questions[[#This Row],[is_automated]:[is_multi_select]],TRUE)=1</f>
        <v>1</v>
      </c>
      <c r="AO295" s="98" t="b">
        <f>IF(questions[[#This Row],[is_fixed]],questions[[#This Row],[question]]=INDEX(stable[question],MATCH(questions[[#This Row],[qno]],stable[qno],0)),TRUE)</f>
        <v>1</v>
      </c>
      <c r="AP295" s="98" t="str">
        <f>LEFT(questions[[#This Row],[question]],similarity_range)</f>
        <v>How often do you app</v>
      </c>
      <c r="AQ295" s="98" t="str">
        <f>LEFT(INDEX(stable[question],MATCH(questions[[#This Row],[qno]],stable[qno],0)),similarity_range)</f>
        <v>How often do you app</v>
      </c>
      <c r="AR295" s="98" t="b">
        <f>questions[[#This Row],[question_first_characters]]=questions[[#This Row],[stability_first_characters]]</f>
        <v>1</v>
      </c>
      <c r="AS295" s="98" t="b">
        <f>IF(OR(questions[[#This Row],[is_single_select]],questions[[#This Row],[is_multi_select]]),NOT(ISBLANK(questions[[#This Row],[answer_opt_combined]])),TRUE)</f>
        <v>1</v>
      </c>
    </row>
    <row r="296" spans="1:45" s="77" customFormat="1" x14ac:dyDescent="0.25">
      <c r="A296" s="77" t="str">
        <f>_xlfn.TEXTJOIN("_",TRUE,questions[[#This Row],[origin]:[qno]])</f>
        <v>Uganda_Arabica_Sbux_7132</v>
      </c>
      <c r="B296" s="77" t="s">
        <v>511</v>
      </c>
      <c r="C296" s="77" t="s">
        <v>59</v>
      </c>
      <c r="D296" s="77" t="s">
        <v>512</v>
      </c>
      <c r="F296" s="104" t="s">
        <v>386</v>
      </c>
      <c r="G296" s="78" t="s">
        <v>387</v>
      </c>
      <c r="H296" s="9" t="str" cm="1">
        <f t="array" ref="H296">INDEX(stableR[question],MATCH(VALUE(questions[[#This Row],[qno]]),VALUE(stableR[qno]),0))</f>
        <v>How do you apply the organic and synthetic fertilizers to the coffee trees in the coffee plots?</v>
      </c>
      <c r="I296" s="9" t="b" cm="1">
        <f t="array" ref="I296">INDEX(stable[is_fixed],MATCH(VALUE(questions[[#This Row],[qno]]),VALUE(stable[qno]),0))</f>
        <v>1</v>
      </c>
      <c r="J296" s="9" t="b" cm="1">
        <f t="array" ref="J296">INDEX(stable[is_localized],MATCH(VALUE(questions[[#This Row],[qno]]),VALUE(stable[qno]),0))</f>
        <v>0</v>
      </c>
      <c r="K296" s="9" t="b" cm="1">
        <f t="array" ref="K296">INDEX(stable[is_supply_chain_dependent],MATCH(VALUE(questions[[#This Row],[qno]]),VALUE(stable[qno]),0))</f>
        <v>0</v>
      </c>
      <c r="L296" s="9" t="b" cm="1">
        <f t="array" ref="L296">INDEX(stable[is_mandatory],MATCH(VALUE(questions[[#This Row],[qno]]),VALUE(stable[qno]),0))</f>
        <v>0</v>
      </c>
      <c r="M296" s="9" t="b" cm="1">
        <f t="array" ref="M296">INDEX(stable[is_automated],MATCH(VALUE(questions[[#This Row],[qno]]),VALUE(stable[qno]),0))</f>
        <v>0</v>
      </c>
      <c r="N296" s="9" t="b" cm="1">
        <f t="array" ref="N296">INDEX(stable[is_free_text],MATCH(VALUE(questions[[#This Row],[qno]]),VALUE(stable[qno]),0))</f>
        <v>0</v>
      </c>
      <c r="O296" s="9" t="b" cm="1">
        <f t="array" ref="O296">INDEX(stable[is_numerical],MATCH(VALUE(questions[[#This Row],[qno]]),VALUE(stable[qno]),0))</f>
        <v>0</v>
      </c>
      <c r="P296" s="103" t="b" cm="1">
        <f t="array" ref="P296">INDEX(stable[is_single_select],MATCH(VALUE(questions[[#This Row],[qno]]),VALUE(stable[qno]),0))</f>
        <v>1</v>
      </c>
      <c r="Q296" s="77" t="b" cm="1">
        <f t="array" ref="Q296">INDEX(stable[is_multi_select],MATCH(VALUE(questions[[#This Row],[qno]]),VALUE(stable[qno]),0))</f>
        <v>0</v>
      </c>
      <c r="R296" s="77" t="b" cm="1">
        <f t="array" ref="R296">INDEX(stable[is_skip_logic],MATCH(VALUE(questions[[#This Row],[qno]]),VALUE(stable[qno]),0))</f>
        <v>0</v>
      </c>
      <c r="S296" s="77" t="str">
        <f>_xlfn.TEXTJOIN(", ",TRUE,questions[[#This Row],[ans_opt_1]:[ans_opt_14]])</f>
        <v>Around the tree, In bands close to the trees, Broadcasted in all the field, Through the irrigation system (e.g. drip)</v>
      </c>
      <c r="T296" s="77" t="s">
        <v>388</v>
      </c>
      <c r="U296" s="77" t="s">
        <v>389</v>
      </c>
      <c r="V296" s="77" t="s">
        <v>390</v>
      </c>
      <c r="W296" s="77" t="s">
        <v>391</v>
      </c>
      <c r="AH296" s="98" t="b">
        <f>INDEX(stable[q_standard],MATCH(questions[[#This Row],[qno]],stable[qno],0))</f>
        <v>0</v>
      </c>
      <c r="AI296" s="98" t="b">
        <f>INDEX(stable[q_living_income],MATCH(questions[[#This Row],[qno]],stable[qno],0))</f>
        <v>0</v>
      </c>
      <c r="AJ296" s="98" t="b">
        <f>INDEX(stable[q_carbon],MATCH(questions[[#This Row],[qno]],stable[qno],0))</f>
        <v>0</v>
      </c>
      <c r="AK296" s="98" t="b">
        <f>INDEX(stable[q_regen_ag],MATCH(questions[[#This Row],[qno]],stable[qno],0))</f>
        <v>1</v>
      </c>
      <c r="AL296" s="98" t="b">
        <f>COUNTIFS(stable[qno],questions[[#This Row],[qno]])=1</f>
        <v>1</v>
      </c>
      <c r="AM296" s="98" t="b">
        <f>OR(questions[[#This Row],[is_fixed]],questions[[#This Row],[is_localized]],questions[[#This Row],[is_supply_chain_dependent]])</f>
        <v>1</v>
      </c>
      <c r="AN296" s="98" t="b">
        <f>COUNTIFS(questions[[#This Row],[is_automated]:[is_multi_select]],TRUE)=1</f>
        <v>1</v>
      </c>
      <c r="AO296" s="98" t="b">
        <f>IF(questions[[#This Row],[is_fixed]],questions[[#This Row],[question]]=INDEX(stable[question],MATCH(questions[[#This Row],[qno]],stable[qno],0)),TRUE)</f>
        <v>1</v>
      </c>
      <c r="AP296" s="98" t="str">
        <f>LEFT(questions[[#This Row],[question]],similarity_range)</f>
        <v>How do you apply the</v>
      </c>
      <c r="AQ296" s="98" t="str">
        <f>LEFT(INDEX(stable[question],MATCH(questions[[#This Row],[qno]],stable[qno],0)),similarity_range)</f>
        <v>How do you apply the</v>
      </c>
      <c r="AR296" s="98" t="b">
        <f>questions[[#This Row],[question_first_characters]]=questions[[#This Row],[stability_first_characters]]</f>
        <v>1</v>
      </c>
      <c r="AS296" s="98" t="b">
        <f>IF(OR(questions[[#This Row],[is_single_select]],questions[[#This Row],[is_multi_select]]),NOT(ISBLANK(questions[[#This Row],[answer_opt_combined]])),TRUE)</f>
        <v>1</v>
      </c>
    </row>
    <row r="297" spans="1:45" s="77" customFormat="1" x14ac:dyDescent="0.25">
      <c r="A297" s="77" t="str">
        <f>_xlfn.TEXTJOIN("_",TRUE,questions[[#This Row],[origin]:[qno]])</f>
        <v>Uganda_Arabica_Sbux_7133</v>
      </c>
      <c r="B297" s="77" t="s">
        <v>511</v>
      </c>
      <c r="C297" s="77" t="s">
        <v>59</v>
      </c>
      <c r="D297" s="77" t="s">
        <v>512</v>
      </c>
      <c r="F297" s="104" t="s">
        <v>392</v>
      </c>
      <c r="G297" s="78" t="s">
        <v>393</v>
      </c>
      <c r="H297" s="9" t="str" cm="1">
        <f t="array" ref="H297">INDEX(stableR[question],MATCH(VALUE(questions[[#This Row],[qno]]),VALUE(stableR[qno]),0))</f>
        <v>Do you know the 4R principles of using organic and synthetic fertilizers in crops (Right Amount, Right Product, Right Time, Right Place)?</v>
      </c>
      <c r="I297" s="9" t="b" cm="1">
        <f t="array" ref="I297">INDEX(stable[is_fixed],MATCH(VALUE(questions[[#This Row],[qno]]),VALUE(stable[qno]),0))</f>
        <v>1</v>
      </c>
      <c r="J297" s="9" t="b" cm="1">
        <f t="array" ref="J297">INDEX(stable[is_localized],MATCH(VALUE(questions[[#This Row],[qno]]),VALUE(stable[qno]),0))</f>
        <v>0</v>
      </c>
      <c r="K297" s="9" t="b" cm="1">
        <f t="array" ref="K297">INDEX(stable[is_supply_chain_dependent],MATCH(VALUE(questions[[#This Row],[qno]]),VALUE(stable[qno]),0))</f>
        <v>0</v>
      </c>
      <c r="L297" s="9" t="b" cm="1">
        <f t="array" ref="L297">INDEX(stable[is_mandatory],MATCH(VALUE(questions[[#This Row],[qno]]),VALUE(stable[qno]),0))</f>
        <v>1</v>
      </c>
      <c r="M297" s="9" t="b" cm="1">
        <f t="array" ref="M297">INDEX(stable[is_automated],MATCH(VALUE(questions[[#This Row],[qno]]),VALUE(stable[qno]),0))</f>
        <v>0</v>
      </c>
      <c r="N297" s="9" t="b" cm="1">
        <f t="array" ref="N297">INDEX(stable[is_free_text],MATCH(VALUE(questions[[#This Row],[qno]]),VALUE(stable[qno]),0))</f>
        <v>0</v>
      </c>
      <c r="O297" s="9" t="b" cm="1">
        <f t="array" ref="O297">INDEX(stable[is_numerical],MATCH(VALUE(questions[[#This Row],[qno]]),VALUE(stable[qno]),0))</f>
        <v>0</v>
      </c>
      <c r="P297" s="103" t="b" cm="1">
        <f t="array" ref="P297">INDEX(stable[is_single_select],MATCH(VALUE(questions[[#This Row],[qno]]),VALUE(stable[qno]),0))</f>
        <v>1</v>
      </c>
      <c r="Q297" s="77" t="b" cm="1">
        <f t="array" ref="Q297">INDEX(stable[is_multi_select],MATCH(VALUE(questions[[#This Row],[qno]]),VALUE(stable[qno]),0))</f>
        <v>0</v>
      </c>
      <c r="R297" s="77" t="b" cm="1">
        <f t="array" ref="R297">INDEX(stable[is_skip_logic],MATCH(VALUE(questions[[#This Row],[qno]]),VALUE(stable[qno]),0))</f>
        <v>0</v>
      </c>
      <c r="S297" s="77" t="str">
        <f>_xlfn.TEXTJOIN(", ",TRUE,questions[[#This Row],[ans_opt_1]:[ans_opt_14]])</f>
        <v>Yes, No</v>
      </c>
      <c r="T297" s="77" t="s">
        <v>149</v>
      </c>
      <c r="U297" s="77" t="s">
        <v>119</v>
      </c>
      <c r="AH297" s="98" t="b">
        <f>INDEX(stable[q_standard],MATCH(questions[[#This Row],[qno]],stable[qno],0))</f>
        <v>0</v>
      </c>
      <c r="AI297" s="98" t="b">
        <f>INDEX(stable[q_living_income],MATCH(questions[[#This Row],[qno]],stable[qno],0))</f>
        <v>0</v>
      </c>
      <c r="AJ297" s="98" t="b">
        <f>INDEX(stable[q_carbon],MATCH(questions[[#This Row],[qno]],stable[qno],0))</f>
        <v>0</v>
      </c>
      <c r="AK297" s="98" t="b">
        <f>INDEX(stable[q_regen_ag],MATCH(questions[[#This Row],[qno]],stable[qno],0))</f>
        <v>1</v>
      </c>
      <c r="AL297" s="98" t="b">
        <f>COUNTIFS(stable[qno],questions[[#This Row],[qno]])=1</f>
        <v>1</v>
      </c>
      <c r="AM297" s="98" t="b">
        <f>OR(questions[[#This Row],[is_fixed]],questions[[#This Row],[is_localized]],questions[[#This Row],[is_supply_chain_dependent]])</f>
        <v>1</v>
      </c>
      <c r="AN297" s="98" t="b">
        <f>COUNTIFS(questions[[#This Row],[is_automated]:[is_multi_select]],TRUE)=1</f>
        <v>1</v>
      </c>
      <c r="AO297" s="98" t="b">
        <f>IF(questions[[#This Row],[is_fixed]],questions[[#This Row],[question]]=INDEX(stable[question],MATCH(questions[[#This Row],[qno]],stable[qno],0)),TRUE)</f>
        <v>1</v>
      </c>
      <c r="AP297" s="98" t="str">
        <f>LEFT(questions[[#This Row],[question]],similarity_range)</f>
        <v>Do you know the 4R p</v>
      </c>
      <c r="AQ297" s="98" t="str">
        <f>LEFT(INDEX(stable[question],MATCH(questions[[#This Row],[qno]],stable[qno],0)),similarity_range)</f>
        <v>Do you know the 4R p</v>
      </c>
      <c r="AR297" s="98" t="b">
        <f>questions[[#This Row],[question_first_characters]]=questions[[#This Row],[stability_first_characters]]</f>
        <v>1</v>
      </c>
      <c r="AS297" s="98" t="b">
        <f>IF(OR(questions[[#This Row],[is_single_select]],questions[[#This Row],[is_multi_select]]),NOT(ISBLANK(questions[[#This Row],[answer_opt_combined]])),TRUE)</f>
        <v>1</v>
      </c>
    </row>
    <row r="298" spans="1:45" s="77" customFormat="1" x14ac:dyDescent="0.25">
      <c r="A298" s="77" t="str">
        <f>_xlfn.TEXTJOIN("_",TRUE,questions[[#This Row],[origin]:[qno]])</f>
        <v>Uganda_Arabica_Sbux_7240</v>
      </c>
      <c r="B298" s="77" t="s">
        <v>511</v>
      </c>
      <c r="C298" s="77" t="s">
        <v>59</v>
      </c>
      <c r="D298" s="77" t="s">
        <v>512</v>
      </c>
      <c r="F298" s="104" t="s">
        <v>394</v>
      </c>
      <c r="G298" s="78" t="s">
        <v>395</v>
      </c>
      <c r="H298" s="9" t="str" cm="1">
        <f t="array" ref="H298">INDEX(stableR[question],MATCH(VALUE(questions[[#This Row],[qno]]),VALUE(stableR[qno]),0))</f>
        <v>Do you apply chemical PPPs (plant protection products) like pesticides/fungicides/nematicides in your coffee crop, and how many different active ingredients per crop season?</v>
      </c>
      <c r="I298" s="9" t="b" cm="1">
        <f t="array" ref="I298">INDEX(stable[is_fixed],MATCH(VALUE(questions[[#This Row],[qno]]),VALUE(stable[qno]),0))</f>
        <v>1</v>
      </c>
      <c r="J298" s="9" t="b" cm="1">
        <f t="array" ref="J298">INDEX(stable[is_localized],MATCH(VALUE(questions[[#This Row],[qno]]),VALUE(stable[qno]),0))</f>
        <v>0</v>
      </c>
      <c r="K298" s="9" t="b" cm="1">
        <f t="array" ref="K298">INDEX(stable[is_supply_chain_dependent],MATCH(VALUE(questions[[#This Row],[qno]]),VALUE(stable[qno]),0))</f>
        <v>0</v>
      </c>
      <c r="L298" s="9" t="b" cm="1">
        <f t="array" ref="L298">INDEX(stable[is_mandatory],MATCH(VALUE(questions[[#This Row],[qno]]),VALUE(stable[qno]),0))</f>
        <v>1</v>
      </c>
      <c r="M298" s="9" t="b" cm="1">
        <f t="array" ref="M298">INDEX(stable[is_automated],MATCH(VALUE(questions[[#This Row],[qno]]),VALUE(stable[qno]),0))</f>
        <v>0</v>
      </c>
      <c r="N298" s="9" t="b" cm="1">
        <f t="array" ref="N298">INDEX(stable[is_free_text],MATCH(VALUE(questions[[#This Row],[qno]]),VALUE(stable[qno]),0))</f>
        <v>0</v>
      </c>
      <c r="O298" s="9" t="b" cm="1">
        <f t="array" ref="O298">INDEX(stable[is_numerical],MATCH(VALUE(questions[[#This Row],[qno]]),VALUE(stable[qno]),0))</f>
        <v>0</v>
      </c>
      <c r="P298" s="103" t="b" cm="1">
        <f t="array" ref="P298">INDEX(stable[is_single_select],MATCH(VALUE(questions[[#This Row],[qno]]),VALUE(stable[qno]),0))</f>
        <v>1</v>
      </c>
      <c r="Q298" s="77" t="b" cm="1">
        <f t="array" ref="Q298">INDEX(stable[is_multi_select],MATCH(VALUE(questions[[#This Row],[qno]]),VALUE(stable[qno]),0))</f>
        <v>0</v>
      </c>
      <c r="R298" s="77" t="b" cm="1">
        <f t="array" ref="R298">INDEX(stable[is_skip_logic],MATCH(VALUE(questions[[#This Row],[qno]]),VALUE(stable[qno]),0))</f>
        <v>1</v>
      </c>
      <c r="S298" s="77" t="str">
        <f>_xlfn.TEXTJOIN(", ",TRUE,questions[[#This Row],[ans_opt_1]:[ans_opt_14]])</f>
        <v>Yes, No</v>
      </c>
      <c r="T298" s="77" t="s">
        <v>149</v>
      </c>
      <c r="U298" s="77" t="s">
        <v>119</v>
      </c>
      <c r="AH298" s="98" t="b">
        <f>INDEX(stable[q_standard],MATCH(questions[[#This Row],[qno]],stable[qno],0))</f>
        <v>0</v>
      </c>
      <c r="AI298" s="98" t="b">
        <f>INDEX(stable[q_living_income],MATCH(questions[[#This Row],[qno]],stable[qno],0))</f>
        <v>0</v>
      </c>
      <c r="AJ298" s="98" t="b">
        <f>INDEX(stable[q_carbon],MATCH(questions[[#This Row],[qno]],stable[qno],0))</f>
        <v>0</v>
      </c>
      <c r="AK298" s="98" t="b">
        <f>INDEX(stable[q_regen_ag],MATCH(questions[[#This Row],[qno]],stable[qno],0))</f>
        <v>1</v>
      </c>
      <c r="AL298" s="98" t="b">
        <f>COUNTIFS(stable[qno],questions[[#This Row],[qno]])=1</f>
        <v>1</v>
      </c>
      <c r="AM298" s="98" t="b">
        <f>OR(questions[[#This Row],[is_fixed]],questions[[#This Row],[is_localized]],questions[[#This Row],[is_supply_chain_dependent]])</f>
        <v>1</v>
      </c>
      <c r="AN298" s="98" t="b">
        <f>COUNTIFS(questions[[#This Row],[is_automated]:[is_multi_select]],TRUE)=1</f>
        <v>1</v>
      </c>
      <c r="AO298" s="98" t="b">
        <f>IF(questions[[#This Row],[is_fixed]],questions[[#This Row],[question]]=INDEX(stable[question],MATCH(questions[[#This Row],[qno]],stable[qno],0)),TRUE)</f>
        <v>0</v>
      </c>
      <c r="AP298" s="98" t="str">
        <f>LEFT(questions[[#This Row],[question]],similarity_range)</f>
        <v>Did you use chemical</v>
      </c>
      <c r="AQ298" s="98" t="str">
        <f>LEFT(INDEX(stable[question],MATCH(questions[[#This Row],[qno]],stable[qno],0)),similarity_range)</f>
        <v>Did you use chemical</v>
      </c>
      <c r="AR298" s="98" t="b">
        <f>questions[[#This Row],[question_first_characters]]=questions[[#This Row],[stability_first_characters]]</f>
        <v>1</v>
      </c>
      <c r="AS298" s="98" t="b">
        <f>IF(OR(questions[[#This Row],[is_single_select]],questions[[#This Row],[is_multi_select]]),NOT(ISBLANK(questions[[#This Row],[answer_opt_combined]])),TRUE)</f>
        <v>1</v>
      </c>
    </row>
    <row r="299" spans="1:45" s="77" customFormat="1" x14ac:dyDescent="0.25">
      <c r="A299" s="77" t="str">
        <f>_xlfn.TEXTJOIN("_",TRUE,questions[[#This Row],[origin]:[qno]])</f>
        <v>Uganda_Arabica_Sbux_7241</v>
      </c>
      <c r="B299" s="77" t="s">
        <v>511</v>
      </c>
      <c r="C299" s="77" t="s">
        <v>59</v>
      </c>
      <c r="D299" s="77" t="s">
        <v>512</v>
      </c>
      <c r="F299" s="104" t="s">
        <v>396</v>
      </c>
      <c r="G299" s="77" t="s">
        <v>397</v>
      </c>
      <c r="H299" s="9" t="str" cm="1">
        <f t="array" ref="H299">INDEX(stableR[question],MATCH(VALUE(questions[[#This Row],[qno]]),VALUE(stableR[qno]),0))</f>
        <v>If yes, list the names of all the pesticides and/or fungicides that you used, last year.</v>
      </c>
      <c r="I299" s="9" t="b" cm="1">
        <f t="array" ref="I299">INDEX(stable[is_fixed],MATCH(VALUE(questions[[#This Row],[qno]]),VALUE(stable[qno]),0))</f>
        <v>1</v>
      </c>
      <c r="J299" s="9" t="b" cm="1">
        <f t="array" ref="J299">INDEX(stable[is_localized],MATCH(VALUE(questions[[#This Row],[qno]]),VALUE(stable[qno]),0))</f>
        <v>0</v>
      </c>
      <c r="K299" s="9" t="b" cm="1">
        <f t="array" ref="K299">INDEX(stable[is_supply_chain_dependent],MATCH(VALUE(questions[[#This Row],[qno]]),VALUE(stable[qno]),0))</f>
        <v>0</v>
      </c>
      <c r="L299" s="9" t="b" cm="1">
        <f t="array" ref="L299">INDEX(stable[is_mandatory],MATCH(VALUE(questions[[#This Row],[qno]]),VALUE(stable[qno]),0))</f>
        <v>0</v>
      </c>
      <c r="M299" s="9" t="b" cm="1">
        <f t="array" ref="M299">INDEX(stable[is_automated],MATCH(VALUE(questions[[#This Row],[qno]]),VALUE(stable[qno]),0))</f>
        <v>0</v>
      </c>
      <c r="N299" s="9" t="b" cm="1">
        <f t="array" ref="N299">INDEX(stable[is_free_text],MATCH(VALUE(questions[[#This Row],[qno]]),VALUE(stable[qno]),0))</f>
        <v>0</v>
      </c>
      <c r="O299" s="9" t="b" cm="1">
        <f t="array" ref="O299">INDEX(stable[is_numerical],MATCH(VALUE(questions[[#This Row],[qno]]),VALUE(stable[qno]),0))</f>
        <v>0</v>
      </c>
      <c r="P299" s="103" t="b" cm="1">
        <f t="array" ref="P299">INDEX(stable[is_single_select],MATCH(VALUE(questions[[#This Row],[qno]]),VALUE(stable[qno]),0))</f>
        <v>1</v>
      </c>
      <c r="Q299" s="77" t="b" cm="1">
        <f t="array" ref="Q299">INDEX(stable[is_multi_select],MATCH(VALUE(questions[[#This Row],[qno]]),VALUE(stable[qno]),0))</f>
        <v>0</v>
      </c>
      <c r="R299" s="77" t="b" cm="1">
        <f t="array" ref="R299">INDEX(stable[is_skip_logic],MATCH(VALUE(questions[[#This Row],[qno]]),VALUE(stable[qno]),0))</f>
        <v>1</v>
      </c>
      <c r="S299" s="77" t="str">
        <f>_xlfn.TEXTJOIN(", ",TRUE,questions[[#This Row],[ans_opt_1]:[ans_opt_14]])</f>
        <v>Yes, No</v>
      </c>
      <c r="T299" s="77" t="s">
        <v>149</v>
      </c>
      <c r="U299" s="77" t="s">
        <v>119</v>
      </c>
      <c r="AH299" s="98" t="b">
        <f>INDEX(stable[q_standard],MATCH(questions[[#This Row],[qno]],stable[qno],0))</f>
        <v>0</v>
      </c>
      <c r="AI299" s="98" t="b">
        <f>INDEX(stable[q_living_income],MATCH(questions[[#This Row],[qno]],stable[qno],0))</f>
        <v>0</v>
      </c>
      <c r="AJ299" s="98" t="b">
        <f>INDEX(stable[q_carbon],MATCH(questions[[#This Row],[qno]],stable[qno],0))</f>
        <v>0</v>
      </c>
      <c r="AK299" s="98" t="b">
        <f>INDEX(stable[q_regen_ag],MATCH(questions[[#This Row],[qno]],stable[qno],0))</f>
        <v>1</v>
      </c>
      <c r="AL299" s="98" t="b">
        <f>COUNTIFS(stable[qno],questions[[#This Row],[qno]])=1</f>
        <v>1</v>
      </c>
      <c r="AM299" s="98" t="b">
        <f>OR(questions[[#This Row],[is_fixed]],questions[[#This Row],[is_localized]],questions[[#This Row],[is_supply_chain_dependent]])</f>
        <v>1</v>
      </c>
      <c r="AN299" s="98" t="b">
        <f>COUNTIFS(questions[[#This Row],[is_automated]:[is_multi_select]],TRUE)=1</f>
        <v>1</v>
      </c>
      <c r="AO299" s="98" t="b">
        <f>IF(questions[[#This Row],[is_fixed]],questions[[#This Row],[question]]=INDEX(stable[question],MATCH(questions[[#This Row],[qno]],stable[qno],0)),TRUE)</f>
        <v>0</v>
      </c>
      <c r="AP299" s="98" t="str">
        <f>LEFT(questions[[#This Row],[question]],similarity_range)</f>
        <v>If you apply chemica</v>
      </c>
      <c r="AQ299" s="98" t="str">
        <f>LEFT(INDEX(stable[question],MATCH(questions[[#This Row],[qno]],stable[qno],0)),similarity_range)</f>
        <v>If you apply chemica</v>
      </c>
      <c r="AR299" s="98" t="b">
        <f>questions[[#This Row],[question_first_characters]]=questions[[#This Row],[stability_first_characters]]</f>
        <v>1</v>
      </c>
      <c r="AS299" s="98" t="b">
        <f>IF(OR(questions[[#This Row],[is_single_select]],questions[[#This Row],[is_multi_select]]),NOT(ISBLANK(questions[[#This Row],[answer_opt_combined]])),TRUE)</f>
        <v>1</v>
      </c>
    </row>
    <row r="300" spans="1:45" s="77" customFormat="1" x14ac:dyDescent="0.25">
      <c r="A300" s="77" t="str">
        <f>_xlfn.TEXTJOIN("_",TRUE,questions[[#This Row],[origin]:[qno]])</f>
        <v>Uganda_Arabica_Sbux_7242</v>
      </c>
      <c r="B300" s="77" t="s">
        <v>511</v>
      </c>
      <c r="C300" s="77" t="s">
        <v>59</v>
      </c>
      <c r="D300" s="77" t="s">
        <v>512</v>
      </c>
      <c r="F300" s="104" t="s">
        <v>398</v>
      </c>
      <c r="G300" s="77" t="s">
        <v>399</v>
      </c>
      <c r="H300" s="9" t="str" cm="1">
        <f t="array" ref="H300">INDEX(stableR[question],MATCH(VALUE(questions[[#This Row],[qno]]),VALUE(stableR[qno]),0))</f>
        <v>If you apply chemical PPPs, are you aware of the IPM-Integrated Pest Management concept and practices (e.g. pest-disease identification and monitoring, right moment for control, use of a combination of biological, cultural, physical/mechanical and chemical tools to prevent and control)?</v>
      </c>
      <c r="I300" s="9" t="b" cm="1">
        <f t="array" ref="I300">INDEX(stable[is_fixed],MATCH(VALUE(questions[[#This Row],[qno]]),VALUE(stable[qno]),0))</f>
        <v>1</v>
      </c>
      <c r="J300" s="9" t="b" cm="1">
        <f t="array" ref="J300">INDEX(stable[is_localized],MATCH(VALUE(questions[[#This Row],[qno]]),VALUE(stable[qno]),0))</f>
        <v>0</v>
      </c>
      <c r="K300" s="9" t="b" cm="1">
        <f t="array" ref="K300">INDEX(stable[is_supply_chain_dependent],MATCH(VALUE(questions[[#This Row],[qno]]),VALUE(stable[qno]),0))</f>
        <v>0</v>
      </c>
      <c r="L300" s="9" t="b" cm="1">
        <f t="array" ref="L300">INDEX(stable[is_mandatory],MATCH(VALUE(questions[[#This Row],[qno]]),VALUE(stable[qno]),0))</f>
        <v>0</v>
      </c>
      <c r="M300" s="9" t="b" cm="1">
        <f t="array" ref="M300">INDEX(stable[is_automated],MATCH(VALUE(questions[[#This Row],[qno]]),VALUE(stable[qno]),0))</f>
        <v>0</v>
      </c>
      <c r="N300" s="9" t="b" cm="1">
        <f t="array" ref="N300">INDEX(stable[is_free_text],MATCH(VALUE(questions[[#This Row],[qno]]),VALUE(stable[qno]),0))</f>
        <v>0</v>
      </c>
      <c r="O300" s="9" t="b" cm="1">
        <f t="array" ref="O300">INDEX(stable[is_numerical],MATCH(VALUE(questions[[#This Row],[qno]]),VALUE(stable[qno]),0))</f>
        <v>0</v>
      </c>
      <c r="P300" s="103" t="b" cm="1">
        <f t="array" ref="P300">INDEX(stable[is_single_select],MATCH(VALUE(questions[[#This Row],[qno]]),VALUE(stable[qno]),0))</f>
        <v>1</v>
      </c>
      <c r="Q300" s="77" t="b" cm="1">
        <f t="array" ref="Q300">INDEX(stable[is_multi_select],MATCH(VALUE(questions[[#This Row],[qno]]),VALUE(stable[qno]),0))</f>
        <v>0</v>
      </c>
      <c r="R300" s="77" t="b" cm="1">
        <f t="array" ref="R300">INDEX(stable[is_skip_logic],MATCH(VALUE(questions[[#This Row],[qno]]),VALUE(stable[qno]),0))</f>
        <v>1</v>
      </c>
      <c r="S300" s="77" t="str">
        <f>_xlfn.TEXTJOIN(", ",TRUE,questions[[#This Row],[ans_opt_1]:[ans_opt_14]])</f>
        <v>Yes, No</v>
      </c>
      <c r="T300" s="77" t="s">
        <v>149</v>
      </c>
      <c r="U300" s="77" t="s">
        <v>119</v>
      </c>
      <c r="AH300" s="98" t="b">
        <f>INDEX(stable[q_standard],MATCH(questions[[#This Row],[qno]],stable[qno],0))</f>
        <v>0</v>
      </c>
      <c r="AI300" s="98" t="b">
        <f>INDEX(stable[q_living_income],MATCH(questions[[#This Row],[qno]],stable[qno],0))</f>
        <v>0</v>
      </c>
      <c r="AJ300" s="98" t="b">
        <f>INDEX(stable[q_carbon],MATCH(questions[[#This Row],[qno]],stable[qno],0))</f>
        <v>0</v>
      </c>
      <c r="AK300" s="98" t="b">
        <f>INDEX(stable[q_regen_ag],MATCH(questions[[#This Row],[qno]],stable[qno],0))</f>
        <v>1</v>
      </c>
      <c r="AL300" s="98" t="b">
        <f>COUNTIFS(stable[qno],questions[[#This Row],[qno]])=1</f>
        <v>1</v>
      </c>
      <c r="AM300" s="98" t="b">
        <f>OR(questions[[#This Row],[is_fixed]],questions[[#This Row],[is_localized]],questions[[#This Row],[is_supply_chain_dependent]])</f>
        <v>1</v>
      </c>
      <c r="AN300" s="98" t="b">
        <f>COUNTIFS(questions[[#This Row],[is_automated]:[is_multi_select]],TRUE)=1</f>
        <v>1</v>
      </c>
      <c r="AO300" s="98" t="b">
        <f>IF(questions[[#This Row],[is_fixed]],questions[[#This Row],[question]]=INDEX(stable[question],MATCH(questions[[#This Row],[qno]],stable[qno],0)),TRUE)</f>
        <v>0</v>
      </c>
      <c r="AP300" s="98" t="str">
        <f>LEFT(questions[[#This Row],[question]],similarity_range)</f>
        <v>If you apply chemica</v>
      </c>
      <c r="AQ300" s="98" t="str">
        <f>LEFT(INDEX(stable[question],MATCH(questions[[#This Row],[qno]],stable[qno],0)),similarity_range)</f>
        <v>If you apply chemica</v>
      </c>
      <c r="AR300" s="98" t="b">
        <f>questions[[#This Row],[question_first_characters]]=questions[[#This Row],[stability_first_characters]]</f>
        <v>1</v>
      </c>
      <c r="AS300" s="98" t="b">
        <f>IF(OR(questions[[#This Row],[is_single_select]],questions[[#This Row],[is_multi_select]]),NOT(ISBLANK(questions[[#This Row],[answer_opt_combined]])),TRUE)</f>
        <v>1</v>
      </c>
    </row>
    <row r="301" spans="1:45" s="77" customFormat="1" x14ac:dyDescent="0.25">
      <c r="A301" s="77" t="str">
        <f>_xlfn.TEXTJOIN("_",TRUE,questions[[#This Row],[origin]:[qno]])</f>
        <v>Uganda_Arabica_Sbux_7243</v>
      </c>
      <c r="B301" s="77" t="s">
        <v>511</v>
      </c>
      <c r="C301" s="77" t="s">
        <v>59</v>
      </c>
      <c r="D301" s="77" t="s">
        <v>512</v>
      </c>
      <c r="F301" s="104" t="s">
        <v>400</v>
      </c>
      <c r="G301" s="78" t="s">
        <v>401</v>
      </c>
      <c r="H301" s="9" t="str" cm="1">
        <f t="array" ref="H301">INDEX(stableR[question],MATCH(VALUE(questions[[#This Row],[qno]]),VALUE(stableR[qno]),0))</f>
        <v>If you apply chemical PPPs, do you apply IPM principles and practices to prevent and control pest &amp; diseases and reduce the use of chemical PPPs?</v>
      </c>
      <c r="I301" s="9" t="b" cm="1">
        <f t="array" ref="I301">INDEX(stable[is_fixed],MATCH(VALUE(questions[[#This Row],[qno]]),VALUE(stable[qno]),0))</f>
        <v>1</v>
      </c>
      <c r="J301" s="9" t="b" cm="1">
        <f t="array" ref="J301">INDEX(stable[is_localized],MATCH(VALUE(questions[[#This Row],[qno]]),VALUE(stable[qno]),0))</f>
        <v>0</v>
      </c>
      <c r="K301" s="9" t="b" cm="1">
        <f t="array" ref="K301">INDEX(stable[is_supply_chain_dependent],MATCH(VALUE(questions[[#This Row],[qno]]),VALUE(stable[qno]),0))</f>
        <v>0</v>
      </c>
      <c r="L301" s="9" t="b" cm="1">
        <f t="array" ref="L301">INDEX(stable[is_mandatory],MATCH(VALUE(questions[[#This Row],[qno]]),VALUE(stable[qno]),0))</f>
        <v>0</v>
      </c>
      <c r="M301" s="9" t="b" cm="1">
        <f t="array" ref="M301">INDEX(stable[is_automated],MATCH(VALUE(questions[[#This Row],[qno]]),VALUE(stable[qno]),0))</f>
        <v>0</v>
      </c>
      <c r="N301" s="9" t="b" cm="1">
        <f t="array" ref="N301">INDEX(stable[is_free_text],MATCH(VALUE(questions[[#This Row],[qno]]),VALUE(stable[qno]),0))</f>
        <v>0</v>
      </c>
      <c r="O301" s="9" t="b" cm="1">
        <f t="array" ref="O301">INDEX(stable[is_numerical],MATCH(VALUE(questions[[#This Row],[qno]]),VALUE(stable[qno]),0))</f>
        <v>0</v>
      </c>
      <c r="P301" s="103" t="b" cm="1">
        <f t="array" ref="P301">INDEX(stable[is_single_select],MATCH(VALUE(questions[[#This Row],[qno]]),VALUE(stable[qno]),0))</f>
        <v>1</v>
      </c>
      <c r="Q301" s="77" t="b" cm="1">
        <f t="array" ref="Q301">INDEX(stable[is_multi_select],MATCH(VALUE(questions[[#This Row],[qno]]),VALUE(stable[qno]),0))</f>
        <v>0</v>
      </c>
      <c r="R301" s="77" t="b" cm="1">
        <f t="array" ref="R301">INDEX(stable[is_skip_logic],MATCH(VALUE(questions[[#This Row],[qno]]),VALUE(stable[qno]),0))</f>
        <v>1</v>
      </c>
      <c r="S301" s="77" t="str">
        <f>_xlfn.TEXTJOIN(", ",TRUE,questions[[#This Row],[ans_opt_1]:[ans_opt_14]])</f>
        <v>Yes, No</v>
      </c>
      <c r="T301" s="77" t="s">
        <v>149</v>
      </c>
      <c r="U301" s="77" t="s">
        <v>119</v>
      </c>
      <c r="AH301" s="98" t="b">
        <f>INDEX(stable[q_standard],MATCH(questions[[#This Row],[qno]],stable[qno],0))</f>
        <v>0</v>
      </c>
      <c r="AI301" s="98" t="b">
        <f>INDEX(stable[q_living_income],MATCH(questions[[#This Row],[qno]],stable[qno],0))</f>
        <v>0</v>
      </c>
      <c r="AJ301" s="98" t="b">
        <f>INDEX(stable[q_carbon],MATCH(questions[[#This Row],[qno]],stable[qno],0))</f>
        <v>0</v>
      </c>
      <c r="AK301" s="98" t="b">
        <f>INDEX(stable[q_regen_ag],MATCH(questions[[#This Row],[qno]],stable[qno],0))</f>
        <v>1</v>
      </c>
      <c r="AL301" s="98" t="b">
        <f>COUNTIFS(stable[qno],questions[[#This Row],[qno]])=1</f>
        <v>1</v>
      </c>
      <c r="AM301" s="98" t="b">
        <f>OR(questions[[#This Row],[is_fixed]],questions[[#This Row],[is_localized]],questions[[#This Row],[is_supply_chain_dependent]])</f>
        <v>1</v>
      </c>
      <c r="AN301" s="98" t="b">
        <f>COUNTIFS(questions[[#This Row],[is_automated]:[is_multi_select]],TRUE)=1</f>
        <v>1</v>
      </c>
      <c r="AO301" s="98" t="b">
        <f>IF(questions[[#This Row],[is_fixed]],questions[[#This Row],[question]]=INDEX(stable[question],MATCH(questions[[#This Row],[qno]],stable[qno],0)),TRUE)</f>
        <v>0</v>
      </c>
      <c r="AP301" s="98" t="str">
        <f>LEFT(questions[[#This Row],[question]],similarity_range)</f>
        <v>If you apply chemica</v>
      </c>
      <c r="AQ301" s="98" t="str">
        <f>LEFT(INDEX(stable[question],MATCH(questions[[#This Row],[qno]],stable[qno],0)),similarity_range)</f>
        <v>If you apply chemica</v>
      </c>
      <c r="AR301" s="98" t="b">
        <f>questions[[#This Row],[question_first_characters]]=questions[[#This Row],[stability_first_characters]]</f>
        <v>1</v>
      </c>
      <c r="AS301" s="98" t="b">
        <f>IF(OR(questions[[#This Row],[is_single_select]],questions[[#This Row],[is_multi_select]]),NOT(ISBLANK(questions[[#This Row],[answer_opt_combined]])),TRUE)</f>
        <v>1</v>
      </c>
    </row>
    <row r="302" spans="1:45" s="77" customFormat="1" x14ac:dyDescent="0.25">
      <c r="A302" s="77" t="str">
        <f>_xlfn.TEXTJOIN("_",TRUE,questions[[#This Row],[origin]:[qno]])</f>
        <v>Uganda_Arabica_Sbux_7244</v>
      </c>
      <c r="B302" s="77" t="s">
        <v>511</v>
      </c>
      <c r="C302" s="77" t="s">
        <v>59</v>
      </c>
      <c r="D302" s="77" t="s">
        <v>512</v>
      </c>
      <c r="F302" s="104" t="s">
        <v>402</v>
      </c>
      <c r="G302" s="78" t="s">
        <v>403</v>
      </c>
      <c r="H302" s="9" t="str" cm="1">
        <f t="array" ref="H302">INDEX(stableR[question],MATCH(VALUE(questions[[#This Row],[qno]]),VALUE(stableR[qno]),0))</f>
        <v>If you apply chemical PPPs, can you prove/show that all are locally authorized for coffee (e.g. coffee is in the product label), and that you respect the recommended dose and post-harvest intervals of the label of the product?</v>
      </c>
      <c r="I302" s="9" t="b" cm="1">
        <f t="array" ref="I302">INDEX(stable[is_fixed],MATCH(VALUE(questions[[#This Row],[qno]]),VALUE(stable[qno]),0))</f>
        <v>1</v>
      </c>
      <c r="J302" s="9" t="b" cm="1">
        <f t="array" ref="J302">INDEX(stable[is_localized],MATCH(VALUE(questions[[#This Row],[qno]]),VALUE(stable[qno]),0))</f>
        <v>0</v>
      </c>
      <c r="K302" s="9" t="b" cm="1">
        <f t="array" ref="K302">INDEX(stable[is_supply_chain_dependent],MATCH(VALUE(questions[[#This Row],[qno]]),VALUE(stable[qno]),0))</f>
        <v>0</v>
      </c>
      <c r="L302" s="9" t="b" cm="1">
        <f t="array" ref="L302">INDEX(stable[is_mandatory],MATCH(VALUE(questions[[#This Row],[qno]]),VALUE(stable[qno]),0))</f>
        <v>0</v>
      </c>
      <c r="M302" s="9" t="b" cm="1">
        <f t="array" ref="M302">INDEX(stable[is_automated],MATCH(VALUE(questions[[#This Row],[qno]]),VALUE(stable[qno]),0))</f>
        <v>0</v>
      </c>
      <c r="N302" s="9" t="b" cm="1">
        <f t="array" ref="N302">INDEX(stable[is_free_text],MATCH(VALUE(questions[[#This Row],[qno]]),VALUE(stable[qno]),0))</f>
        <v>0</v>
      </c>
      <c r="O302" s="9" t="b" cm="1">
        <f t="array" ref="O302">INDEX(stable[is_numerical],MATCH(VALUE(questions[[#This Row],[qno]]),VALUE(stable[qno]),0))</f>
        <v>0</v>
      </c>
      <c r="P302" s="103" t="b" cm="1">
        <f t="array" ref="P302">INDEX(stable[is_single_select],MATCH(VALUE(questions[[#This Row],[qno]]),VALUE(stable[qno]),0))</f>
        <v>1</v>
      </c>
      <c r="Q302" s="77" t="b" cm="1">
        <f t="array" ref="Q302">INDEX(stable[is_multi_select],MATCH(VALUE(questions[[#This Row],[qno]]),VALUE(stable[qno]),0))</f>
        <v>0</v>
      </c>
      <c r="R302" s="77" t="b" cm="1">
        <f t="array" ref="R302">INDEX(stable[is_skip_logic],MATCH(VALUE(questions[[#This Row],[qno]]),VALUE(stable[qno]),0))</f>
        <v>1</v>
      </c>
      <c r="S302" s="77" t="str">
        <f>_xlfn.TEXTJOIN(", ",TRUE,questions[[#This Row],[ans_opt_1]:[ans_opt_14]])</f>
        <v>1, 2, 3, 4, 5, &gt;5</v>
      </c>
      <c r="T302" s="77">
        <v>1</v>
      </c>
      <c r="U302" s="77">
        <v>2</v>
      </c>
      <c r="V302" s="77">
        <v>3</v>
      </c>
      <c r="W302" s="77">
        <v>4</v>
      </c>
      <c r="X302" s="77">
        <v>5</v>
      </c>
      <c r="Y302" s="77" t="s">
        <v>404</v>
      </c>
      <c r="AH302" s="98" t="b">
        <f>INDEX(stable[q_standard],MATCH(questions[[#This Row],[qno]],stable[qno],0))</f>
        <v>0</v>
      </c>
      <c r="AI302" s="98" t="b">
        <f>INDEX(stable[q_living_income],MATCH(questions[[#This Row],[qno]],stable[qno],0))</f>
        <v>0</v>
      </c>
      <c r="AJ302" s="98" t="b">
        <f>INDEX(stable[q_carbon],MATCH(questions[[#This Row],[qno]],stable[qno],0))</f>
        <v>0</v>
      </c>
      <c r="AK302" s="98" t="b">
        <f>INDEX(stable[q_regen_ag],MATCH(questions[[#This Row],[qno]],stable[qno],0))</f>
        <v>1</v>
      </c>
      <c r="AL302" s="98" t="b">
        <f>COUNTIFS(stable[qno],questions[[#This Row],[qno]])=1</f>
        <v>1</v>
      </c>
      <c r="AM302" s="98" t="b">
        <f>OR(questions[[#This Row],[is_fixed]],questions[[#This Row],[is_localized]],questions[[#This Row],[is_supply_chain_dependent]])</f>
        <v>1</v>
      </c>
      <c r="AN302" s="98" t="b">
        <f>COUNTIFS(questions[[#This Row],[is_automated]:[is_multi_select]],TRUE)=1</f>
        <v>1</v>
      </c>
      <c r="AO302" s="98" t="b">
        <f>IF(questions[[#This Row],[is_fixed]],questions[[#This Row],[question]]=INDEX(stable[question],MATCH(questions[[#This Row],[qno]],stable[qno],0)),TRUE)</f>
        <v>0</v>
      </c>
      <c r="AP302" s="98" t="str">
        <f>LEFT(questions[[#This Row],[question]],similarity_range)</f>
        <v>If you apply chemica</v>
      </c>
      <c r="AQ302" s="98" t="str">
        <f>LEFT(INDEX(stable[question],MATCH(questions[[#This Row],[qno]],stable[qno],0)),similarity_range)</f>
        <v>If you apply chemica</v>
      </c>
      <c r="AR302" s="98" t="b">
        <f>questions[[#This Row],[question_first_characters]]=questions[[#This Row],[stability_first_characters]]</f>
        <v>1</v>
      </c>
      <c r="AS302" s="98" t="b">
        <f>IF(OR(questions[[#This Row],[is_single_select]],questions[[#This Row],[is_multi_select]]),NOT(ISBLANK(questions[[#This Row],[answer_opt_combined]])),TRUE)</f>
        <v>1</v>
      </c>
    </row>
    <row r="303" spans="1:45" s="77" customFormat="1" x14ac:dyDescent="0.25">
      <c r="A303" s="77" t="str">
        <f>_xlfn.TEXTJOIN("_",TRUE,questions[[#This Row],[origin]:[qno]])</f>
        <v>Uganda_Arabica_Sbux_7245</v>
      </c>
      <c r="B303" s="77" t="s">
        <v>511</v>
      </c>
      <c r="C303" s="77" t="s">
        <v>59</v>
      </c>
      <c r="D303" s="77" t="s">
        <v>512</v>
      </c>
      <c r="F303" s="104" t="s">
        <v>405</v>
      </c>
      <c r="G303" s="78" t="s">
        <v>406</v>
      </c>
      <c r="H303" s="9" t="str" cm="1">
        <f t="array" ref="H303">INDEX(stableR[question],MATCH(VALUE(questions[[#This Row],[qno]]),VALUE(stableR[qno]),0))</f>
        <v>If you apply chemical PPPs to control pests and diseases in your farm, how many applications do you apply on average per year?</v>
      </c>
      <c r="I303" s="9" t="b" cm="1">
        <f t="array" ref="I303">INDEX(stable[is_fixed],MATCH(VALUE(questions[[#This Row],[qno]]),VALUE(stable[qno]),0))</f>
        <v>1</v>
      </c>
      <c r="J303" s="9" t="b" cm="1">
        <f t="array" ref="J303">INDEX(stable[is_localized],MATCH(VALUE(questions[[#This Row],[qno]]),VALUE(stable[qno]),0))</f>
        <v>0</v>
      </c>
      <c r="K303" s="9" t="b" cm="1">
        <f t="array" ref="K303">INDEX(stable[is_supply_chain_dependent],MATCH(VALUE(questions[[#This Row],[qno]]),VALUE(stable[qno]),0))</f>
        <v>0</v>
      </c>
      <c r="L303" s="9" t="b" cm="1">
        <f t="array" ref="L303">INDEX(stable[is_mandatory],MATCH(VALUE(questions[[#This Row],[qno]]),VALUE(stable[qno]),0))</f>
        <v>0</v>
      </c>
      <c r="M303" s="9" t="b" cm="1">
        <f t="array" ref="M303">INDEX(stable[is_automated],MATCH(VALUE(questions[[#This Row],[qno]]),VALUE(stable[qno]),0))</f>
        <v>0</v>
      </c>
      <c r="N303" s="9" t="b" cm="1">
        <f t="array" ref="N303">INDEX(stable[is_free_text],MATCH(VALUE(questions[[#This Row],[qno]]),VALUE(stable[qno]),0))</f>
        <v>0</v>
      </c>
      <c r="O303" s="9" t="b" cm="1">
        <f t="array" ref="O303">INDEX(stable[is_numerical],MATCH(VALUE(questions[[#This Row],[qno]]),VALUE(stable[qno]),0))</f>
        <v>0</v>
      </c>
      <c r="P303" s="103" t="b" cm="1">
        <f t="array" ref="P303">INDEX(stable[is_single_select],MATCH(VALUE(questions[[#This Row],[qno]]),VALUE(stable[qno]),0))</f>
        <v>1</v>
      </c>
      <c r="Q303" s="77" t="b" cm="1">
        <f t="array" ref="Q303">INDEX(stable[is_multi_select],MATCH(VALUE(questions[[#This Row],[qno]]),VALUE(stable[qno]),0))</f>
        <v>0</v>
      </c>
      <c r="R303" s="77" t="b" cm="1">
        <f t="array" ref="R303">INDEX(stable[is_skip_logic],MATCH(VALUE(questions[[#This Row],[qno]]),VALUE(stable[qno]),0))</f>
        <v>1</v>
      </c>
      <c r="S303" s="77" t="str">
        <f>_xlfn.TEXTJOIN(", ",TRUE,questions[[#This Row],[ans_opt_1]:[ans_opt_14]])</f>
        <v>Increased - pest/disease pressure, Increased - weather conditions, Increased - pest/disease resistance, Decreased - pest/disease pressure, Decreased - adverse weather conditions, Decreased - increased cost, Decreased - replaced by regenerative agriculture</v>
      </c>
      <c r="T303" s="77" t="s">
        <v>407</v>
      </c>
      <c r="U303" s="77" t="s">
        <v>408</v>
      </c>
      <c r="V303" s="77" t="s">
        <v>409</v>
      </c>
      <c r="W303" s="77" t="s">
        <v>410</v>
      </c>
      <c r="X303" s="77" t="s">
        <v>411</v>
      </c>
      <c r="Y303" s="77" t="s">
        <v>412</v>
      </c>
      <c r="Z303" s="77" t="s">
        <v>413</v>
      </c>
      <c r="AH303" s="98" t="b">
        <f>INDEX(stable[q_standard],MATCH(questions[[#This Row],[qno]],stable[qno],0))</f>
        <v>0</v>
      </c>
      <c r="AI303" s="98" t="b">
        <f>INDEX(stable[q_living_income],MATCH(questions[[#This Row],[qno]],stable[qno],0))</f>
        <v>0</v>
      </c>
      <c r="AJ303" s="98" t="b">
        <f>INDEX(stable[q_carbon],MATCH(questions[[#This Row],[qno]],stable[qno],0))</f>
        <v>0</v>
      </c>
      <c r="AK303" s="98" t="b">
        <f>INDEX(stable[q_regen_ag],MATCH(questions[[#This Row],[qno]],stable[qno],0))</f>
        <v>1</v>
      </c>
      <c r="AL303" s="98" t="b">
        <f>COUNTIFS(stable[qno],questions[[#This Row],[qno]])=1</f>
        <v>1</v>
      </c>
      <c r="AM303" s="98" t="b">
        <f>OR(questions[[#This Row],[is_fixed]],questions[[#This Row],[is_localized]],questions[[#This Row],[is_supply_chain_dependent]])</f>
        <v>1</v>
      </c>
      <c r="AN303" s="98" t="b">
        <f>COUNTIFS(questions[[#This Row],[is_automated]:[is_multi_select]],TRUE)=1</f>
        <v>1</v>
      </c>
      <c r="AO303" s="98" t="b">
        <f>IF(questions[[#This Row],[is_fixed]],questions[[#This Row],[question]]=INDEX(stable[question],MATCH(questions[[#This Row],[qno]],stable[qno],0)),TRUE)</f>
        <v>0</v>
      </c>
      <c r="AP303" s="98" t="str">
        <f>LEFT(questions[[#This Row],[question]],similarity_range)</f>
        <v>Have you decreased o</v>
      </c>
      <c r="AQ303" s="98" t="str">
        <f>LEFT(INDEX(stable[question],MATCH(questions[[#This Row],[qno]],stable[qno],0)),similarity_range)</f>
        <v>Have you decreased o</v>
      </c>
      <c r="AR303" s="98" t="b">
        <f>questions[[#This Row],[question_first_characters]]=questions[[#This Row],[stability_first_characters]]</f>
        <v>1</v>
      </c>
      <c r="AS303" s="98" t="b">
        <f>IF(OR(questions[[#This Row],[is_single_select]],questions[[#This Row],[is_multi_select]]),NOT(ISBLANK(questions[[#This Row],[answer_opt_combined]])),TRUE)</f>
        <v>1</v>
      </c>
    </row>
    <row r="304" spans="1:45" s="77" customFormat="1" x14ac:dyDescent="0.25">
      <c r="A304" s="77" t="str">
        <f>_xlfn.TEXTJOIN("_",TRUE,questions[[#This Row],[origin]:[qno]])</f>
        <v>Uganda_Arabica_Sbux_7250</v>
      </c>
      <c r="B304" s="77" t="s">
        <v>511</v>
      </c>
      <c r="C304" s="77" t="s">
        <v>59</v>
      </c>
      <c r="D304" s="77" t="s">
        <v>512</v>
      </c>
      <c r="F304" s="104" t="s">
        <v>414</v>
      </c>
      <c r="G304" s="78" t="s">
        <v>415</v>
      </c>
      <c r="H304" s="9" t="str" cm="1">
        <f t="array" ref="H304">INDEX(stableR[question],MATCH(VALUE(questions[[#This Row],[qno]]),VALUE(stableR[qno]),0))</f>
        <v>Do you apply chemical herbicides to your coffee crop and how many (different active ingredients) per crop season?</v>
      </c>
      <c r="I304" s="9" t="b" cm="1">
        <f t="array" ref="I304">INDEX(stable[is_fixed],MATCH(VALUE(questions[[#This Row],[qno]]),VALUE(stable[qno]),0))</f>
        <v>1</v>
      </c>
      <c r="J304" s="9" t="b" cm="1">
        <f t="array" ref="J304">INDEX(stable[is_localized],MATCH(VALUE(questions[[#This Row],[qno]]),VALUE(stable[qno]),0))</f>
        <v>0</v>
      </c>
      <c r="K304" s="9" t="b" cm="1">
        <f t="array" ref="K304">INDEX(stable[is_supply_chain_dependent],MATCH(VALUE(questions[[#This Row],[qno]]),VALUE(stable[qno]),0))</f>
        <v>0</v>
      </c>
      <c r="L304" s="9" t="b" cm="1">
        <f t="array" ref="L304">INDEX(stable[is_mandatory],MATCH(VALUE(questions[[#This Row],[qno]]),VALUE(stable[qno]),0))</f>
        <v>1</v>
      </c>
      <c r="M304" s="9" t="b" cm="1">
        <f t="array" ref="M304">INDEX(stable[is_automated],MATCH(VALUE(questions[[#This Row],[qno]]),VALUE(stable[qno]),0))</f>
        <v>0</v>
      </c>
      <c r="N304" s="9" t="b" cm="1">
        <f t="array" ref="N304">INDEX(stable[is_free_text],MATCH(VALUE(questions[[#This Row],[qno]]),VALUE(stable[qno]),0))</f>
        <v>0</v>
      </c>
      <c r="O304" s="9" t="b" cm="1">
        <f t="array" ref="O304">INDEX(stable[is_numerical],MATCH(VALUE(questions[[#This Row],[qno]]),VALUE(stable[qno]),0))</f>
        <v>0</v>
      </c>
      <c r="P304" s="103" t="b" cm="1">
        <f t="array" ref="P304">INDEX(stable[is_single_select],MATCH(VALUE(questions[[#This Row],[qno]]),VALUE(stable[qno]),0))</f>
        <v>1</v>
      </c>
      <c r="Q304" s="77" t="b" cm="1">
        <f t="array" ref="Q304">INDEX(stable[is_multi_select],MATCH(VALUE(questions[[#This Row],[qno]]),VALUE(stable[qno]),0))</f>
        <v>0</v>
      </c>
      <c r="R304" s="77" t="b" cm="1">
        <f t="array" ref="R304">INDEX(stable[is_skip_logic],MATCH(VALUE(questions[[#This Row],[qno]]),VALUE(stable[qno]),0))</f>
        <v>1</v>
      </c>
      <c r="S304" s="77" t="str">
        <f>_xlfn.TEXTJOIN(", ",TRUE,questions[[#This Row],[ans_opt_1]:[ans_opt_14]])</f>
        <v>No, Yes / 1-2 herbicides (active ingredients), Yes / 3-4 herbicides (active ingredients), Yes / &gt;=5 herbicides (active ingredients)</v>
      </c>
      <c r="T304" s="77" t="s">
        <v>119</v>
      </c>
      <c r="U304" s="77" t="s">
        <v>416</v>
      </c>
      <c r="V304" s="77" t="s">
        <v>417</v>
      </c>
      <c r="W304" s="77" t="s">
        <v>418</v>
      </c>
      <c r="AH304" s="98" t="b">
        <f>INDEX(stable[q_standard],MATCH(questions[[#This Row],[qno]],stable[qno],0))</f>
        <v>0</v>
      </c>
      <c r="AI304" s="98" t="b">
        <f>INDEX(stable[q_living_income],MATCH(questions[[#This Row],[qno]],stable[qno],0))</f>
        <v>0</v>
      </c>
      <c r="AJ304" s="98" t="b">
        <f>INDEX(stable[q_carbon],MATCH(questions[[#This Row],[qno]],stable[qno],0))</f>
        <v>0</v>
      </c>
      <c r="AK304" s="98" t="b">
        <f>INDEX(stable[q_regen_ag],MATCH(questions[[#This Row],[qno]],stable[qno],0))</f>
        <v>1</v>
      </c>
      <c r="AL304" s="98" t="b">
        <f>COUNTIFS(stable[qno],questions[[#This Row],[qno]])=1</f>
        <v>1</v>
      </c>
      <c r="AM304" s="98" t="b">
        <f>OR(questions[[#This Row],[is_fixed]],questions[[#This Row],[is_localized]],questions[[#This Row],[is_supply_chain_dependent]])</f>
        <v>1</v>
      </c>
      <c r="AN304" s="98" t="b">
        <f>COUNTIFS(questions[[#This Row],[is_automated]:[is_multi_select]],TRUE)=1</f>
        <v>1</v>
      </c>
      <c r="AO304" s="98" t="b">
        <f>IF(questions[[#This Row],[is_fixed]],questions[[#This Row],[question]]=INDEX(stable[question],MATCH(questions[[#This Row],[qno]],stable[qno],0)),TRUE)</f>
        <v>0</v>
      </c>
      <c r="AP304" s="98" t="str">
        <f>LEFT(questions[[#This Row],[question]],similarity_range)</f>
        <v>Did you use herbicid</v>
      </c>
      <c r="AQ304" s="98" t="str">
        <f>LEFT(INDEX(stable[question],MATCH(questions[[#This Row],[qno]],stable[qno],0)),similarity_range)</f>
        <v>Did you use herbicid</v>
      </c>
      <c r="AR304" s="98" t="b">
        <f>questions[[#This Row],[question_first_characters]]=questions[[#This Row],[stability_first_characters]]</f>
        <v>1</v>
      </c>
      <c r="AS304" s="98" t="b">
        <f>IF(OR(questions[[#This Row],[is_single_select]],questions[[#This Row],[is_multi_select]]),NOT(ISBLANK(questions[[#This Row],[answer_opt_combined]])),TRUE)</f>
        <v>1</v>
      </c>
    </row>
    <row r="305" spans="1:45" s="77" customFormat="1" x14ac:dyDescent="0.25">
      <c r="A305" s="77" t="str">
        <f>_xlfn.TEXTJOIN("_",TRUE,questions[[#This Row],[origin]:[qno]])</f>
        <v>Uganda_Arabica_Sbux_7251</v>
      </c>
      <c r="B305" s="77" t="s">
        <v>511</v>
      </c>
      <c r="C305" s="77" t="s">
        <v>59</v>
      </c>
      <c r="D305" s="77" t="s">
        <v>512</v>
      </c>
      <c r="F305" s="104" t="s">
        <v>419</v>
      </c>
      <c r="G305" s="78" t="s">
        <v>420</v>
      </c>
      <c r="H305" s="9" t="str" cm="1">
        <f t="array" ref="H305">INDEX(stableR[question],MATCH(VALUE(questions[[#This Row],[qno]]),VALUE(stableR[qno]),0))</f>
        <v>If yes, list the names of all the herbicides that you used, last year.</v>
      </c>
      <c r="I305" s="9" t="b" cm="1">
        <f t="array" ref="I305">INDEX(stable[is_fixed],MATCH(VALUE(questions[[#This Row],[qno]]),VALUE(stable[qno]),0))</f>
        <v>1</v>
      </c>
      <c r="J305" s="9" t="b" cm="1">
        <f t="array" ref="J305">INDEX(stable[is_localized],MATCH(VALUE(questions[[#This Row],[qno]]),VALUE(stable[qno]),0))</f>
        <v>0</v>
      </c>
      <c r="K305" s="9" t="b" cm="1">
        <f t="array" ref="K305">INDEX(stable[is_supply_chain_dependent],MATCH(VALUE(questions[[#This Row],[qno]]),VALUE(stable[qno]),0))</f>
        <v>0</v>
      </c>
      <c r="L305" s="9" t="b" cm="1">
        <f t="array" ref="L305">INDEX(stable[is_mandatory],MATCH(VALUE(questions[[#This Row],[qno]]),VALUE(stable[qno]),0))</f>
        <v>0</v>
      </c>
      <c r="M305" s="9" t="b" cm="1">
        <f t="array" ref="M305">INDEX(stable[is_automated],MATCH(VALUE(questions[[#This Row],[qno]]),VALUE(stable[qno]),0))</f>
        <v>0</v>
      </c>
      <c r="N305" s="9" t="b" cm="1">
        <f t="array" ref="N305">INDEX(stable[is_free_text],MATCH(VALUE(questions[[#This Row],[qno]]),VALUE(stable[qno]),0))</f>
        <v>0</v>
      </c>
      <c r="O305" s="9" t="b" cm="1">
        <f t="array" ref="O305">INDEX(stable[is_numerical],MATCH(VALUE(questions[[#This Row],[qno]]),VALUE(stable[qno]),0))</f>
        <v>0</v>
      </c>
      <c r="P305" s="103" t="b" cm="1">
        <f t="array" ref="P305">INDEX(stable[is_single_select],MATCH(VALUE(questions[[#This Row],[qno]]),VALUE(stable[qno]),0))</f>
        <v>1</v>
      </c>
      <c r="Q305" s="77" t="b" cm="1">
        <f t="array" ref="Q305">INDEX(stable[is_multi_select],MATCH(VALUE(questions[[#This Row],[qno]]),VALUE(stable[qno]),0))</f>
        <v>0</v>
      </c>
      <c r="R305" s="77" t="b" cm="1">
        <f t="array" ref="R305">INDEX(stable[is_skip_logic],MATCH(VALUE(questions[[#This Row],[qno]]),VALUE(stable[qno]),0))</f>
        <v>1</v>
      </c>
      <c r="S305" s="77" t="str">
        <f>_xlfn.TEXTJOIN(", ",TRUE,questions[[#This Row],[ans_opt_1]:[ans_opt_14]])</f>
        <v>1% to 10% - very little, 11% to 20% - little, 21% to 50% - less than half, 51% to 75% - more than half, 76% to 100% - almost all</v>
      </c>
      <c r="T305" s="77" t="s">
        <v>421</v>
      </c>
      <c r="U305" s="77" t="s">
        <v>422</v>
      </c>
      <c r="V305" s="77" t="s">
        <v>423</v>
      </c>
      <c r="W305" s="77" t="s">
        <v>340</v>
      </c>
      <c r="X305" s="77" t="s">
        <v>341</v>
      </c>
      <c r="AH305" s="98" t="b">
        <f>INDEX(stable[q_standard],MATCH(questions[[#This Row],[qno]],stable[qno],0))</f>
        <v>0</v>
      </c>
      <c r="AI305" s="98" t="b">
        <f>INDEX(stable[q_living_income],MATCH(questions[[#This Row],[qno]],stable[qno],0))</f>
        <v>0</v>
      </c>
      <c r="AJ305" s="98" t="b">
        <f>INDEX(stable[q_carbon],MATCH(questions[[#This Row],[qno]],stable[qno],0))</f>
        <v>0</v>
      </c>
      <c r="AK305" s="98" t="b">
        <f>INDEX(stable[q_regen_ag],MATCH(questions[[#This Row],[qno]],stable[qno],0))</f>
        <v>1</v>
      </c>
      <c r="AL305" s="98" t="b">
        <f>COUNTIFS(stable[qno],questions[[#This Row],[qno]])=1</f>
        <v>1</v>
      </c>
      <c r="AM305" s="98" t="b">
        <f>OR(questions[[#This Row],[is_fixed]],questions[[#This Row],[is_localized]],questions[[#This Row],[is_supply_chain_dependent]])</f>
        <v>1</v>
      </c>
      <c r="AN305" s="98" t="b">
        <f>COUNTIFS(questions[[#This Row],[is_automated]:[is_multi_select]],TRUE)=1</f>
        <v>1</v>
      </c>
      <c r="AO305" s="98" t="b">
        <f>IF(questions[[#This Row],[is_fixed]],questions[[#This Row],[question]]=INDEX(stable[question],MATCH(questions[[#This Row],[qno]],stable[qno],0)),TRUE)</f>
        <v>0</v>
      </c>
      <c r="AP305" s="98" t="str">
        <f>LEFT(questions[[#This Row],[question]],similarity_range)</f>
        <v>If you apply chemica</v>
      </c>
      <c r="AQ305" s="98" t="str">
        <f>LEFT(INDEX(stable[question],MATCH(questions[[#This Row],[qno]],stable[qno],0)),similarity_range)</f>
        <v>If you apply chemica</v>
      </c>
      <c r="AR305" s="98" t="b">
        <f>questions[[#This Row],[question_first_characters]]=questions[[#This Row],[stability_first_characters]]</f>
        <v>1</v>
      </c>
      <c r="AS305" s="98" t="b">
        <f>IF(OR(questions[[#This Row],[is_single_select]],questions[[#This Row],[is_multi_select]]),NOT(ISBLANK(questions[[#This Row],[answer_opt_combined]])),TRUE)</f>
        <v>1</v>
      </c>
    </row>
    <row r="306" spans="1:45" s="77" customFormat="1" x14ac:dyDescent="0.25">
      <c r="A306" s="77" t="str">
        <f>_xlfn.TEXTJOIN("_",TRUE,questions[[#This Row],[origin]:[qno]])</f>
        <v>Uganda_Arabica_Sbux_7252</v>
      </c>
      <c r="B306" s="77" t="s">
        <v>511</v>
      </c>
      <c r="C306" s="77" t="s">
        <v>59</v>
      </c>
      <c r="D306" s="77" t="s">
        <v>512</v>
      </c>
      <c r="F306" s="104" t="s">
        <v>424</v>
      </c>
      <c r="G306" s="78" t="s">
        <v>425</v>
      </c>
      <c r="H306" s="9" t="str" cm="1">
        <f t="array" ref="H306">INDEX(stableR[question],MATCH(VALUE(questions[[#This Row],[qno]]),VALUE(stableR[qno]),0))</f>
        <v>If applying herbicides, to which % of area of the coffee plots? e.g. if the coffee area is 1 hectare and herbicides are sprayed to only 0.5 hectare (where there is high weed pressure), then it is 50%</v>
      </c>
      <c r="I306" s="9" t="b" cm="1">
        <f t="array" ref="I306">INDEX(stable[is_fixed],MATCH(VALUE(questions[[#This Row],[qno]]),VALUE(stable[qno]),0))</f>
        <v>1</v>
      </c>
      <c r="J306" s="9" t="b" cm="1">
        <f t="array" ref="J306">INDEX(stable[is_localized],MATCH(VALUE(questions[[#This Row],[qno]]),VALUE(stable[qno]),0))</f>
        <v>0</v>
      </c>
      <c r="K306" s="9" t="b" cm="1">
        <f t="array" ref="K306">INDEX(stable[is_supply_chain_dependent],MATCH(VALUE(questions[[#This Row],[qno]]),VALUE(stable[qno]),0))</f>
        <v>0</v>
      </c>
      <c r="L306" s="9" t="b" cm="1">
        <f t="array" ref="L306">INDEX(stable[is_mandatory],MATCH(VALUE(questions[[#This Row],[qno]]),VALUE(stable[qno]),0))</f>
        <v>0</v>
      </c>
      <c r="M306" s="9" t="b" cm="1">
        <f t="array" ref="M306">INDEX(stable[is_automated],MATCH(VALUE(questions[[#This Row],[qno]]),VALUE(stable[qno]),0))</f>
        <v>0</v>
      </c>
      <c r="N306" s="9" t="b" cm="1">
        <f t="array" ref="N306">INDEX(stable[is_free_text],MATCH(VALUE(questions[[#This Row],[qno]]),VALUE(stable[qno]),0))</f>
        <v>0</v>
      </c>
      <c r="O306" s="9" t="b" cm="1">
        <f t="array" ref="O306">INDEX(stable[is_numerical],MATCH(VALUE(questions[[#This Row],[qno]]),VALUE(stable[qno]),0))</f>
        <v>0</v>
      </c>
      <c r="P306" s="103" t="b" cm="1">
        <f t="array" ref="P306">INDEX(stable[is_single_select],MATCH(VALUE(questions[[#This Row],[qno]]),VALUE(stable[qno]),0))</f>
        <v>1</v>
      </c>
      <c r="Q306" s="77" t="b" cm="1">
        <f t="array" ref="Q306">INDEX(stable[is_multi_select],MATCH(VALUE(questions[[#This Row],[qno]]),VALUE(stable[qno]),0))</f>
        <v>0</v>
      </c>
      <c r="R306" s="77" t="b" cm="1">
        <f t="array" ref="R306">INDEX(stable[is_skip_logic],MATCH(VALUE(questions[[#This Row],[qno]]),VALUE(stable[qno]),0))</f>
        <v>1</v>
      </c>
      <c r="S306" s="77" t="str">
        <f>_xlfn.TEXTJOIN(", ",TRUE,questions[[#This Row],[ans_opt_1]:[ans_opt_14]])</f>
        <v>Yes, No</v>
      </c>
      <c r="T306" s="77" t="s">
        <v>149</v>
      </c>
      <c r="U306" s="77" t="s">
        <v>119</v>
      </c>
      <c r="AH306" s="98" t="b">
        <f>INDEX(stable[q_standard],MATCH(questions[[#This Row],[qno]],stable[qno],0))</f>
        <v>0</v>
      </c>
      <c r="AI306" s="98" t="b">
        <f>INDEX(stable[q_living_income],MATCH(questions[[#This Row],[qno]],stable[qno],0))</f>
        <v>0</v>
      </c>
      <c r="AJ306" s="98" t="b">
        <f>INDEX(stable[q_carbon],MATCH(questions[[#This Row],[qno]],stable[qno],0))</f>
        <v>0</v>
      </c>
      <c r="AK306" s="98" t="b">
        <f>INDEX(stable[q_regen_ag],MATCH(questions[[#This Row],[qno]],stable[qno],0))</f>
        <v>1</v>
      </c>
      <c r="AL306" s="98" t="b">
        <f>COUNTIFS(stable[qno],questions[[#This Row],[qno]])=1</f>
        <v>1</v>
      </c>
      <c r="AM306" s="98" t="b">
        <f>OR(questions[[#This Row],[is_fixed]],questions[[#This Row],[is_localized]],questions[[#This Row],[is_supply_chain_dependent]])</f>
        <v>1</v>
      </c>
      <c r="AN306" s="98" t="b">
        <f>COUNTIFS(questions[[#This Row],[is_automated]:[is_multi_select]],TRUE)=1</f>
        <v>1</v>
      </c>
      <c r="AO306" s="98" t="b">
        <f>IF(questions[[#This Row],[is_fixed]],questions[[#This Row],[question]]=INDEX(stable[question],MATCH(questions[[#This Row],[qno]],stable[qno],0)),TRUE)</f>
        <v>0</v>
      </c>
      <c r="AP306" s="98" t="str">
        <f>LEFT(questions[[#This Row],[question]],similarity_range)</f>
        <v>If applying herbicid</v>
      </c>
      <c r="AQ306" s="98" t="str">
        <f>LEFT(INDEX(stable[question],MATCH(questions[[#This Row],[qno]],stable[qno],0)),similarity_range)</f>
        <v>If applying herbicid</v>
      </c>
      <c r="AR306" s="98" t="b">
        <f>questions[[#This Row],[question_first_characters]]=questions[[#This Row],[stability_first_characters]]</f>
        <v>1</v>
      </c>
      <c r="AS306" s="98" t="b">
        <f>IF(OR(questions[[#This Row],[is_single_select]],questions[[#This Row],[is_multi_select]]),NOT(ISBLANK(questions[[#This Row],[answer_opt_combined]])),TRUE)</f>
        <v>1</v>
      </c>
    </row>
    <row r="307" spans="1:45" s="77" customFormat="1" x14ac:dyDescent="0.25">
      <c r="A307" s="77" t="str">
        <f>_xlfn.TEXTJOIN("_",TRUE,questions[[#This Row],[origin]:[qno]])</f>
        <v>Uganda_Arabica_Sbux_7253</v>
      </c>
      <c r="B307" s="77" t="s">
        <v>511</v>
      </c>
      <c r="C307" s="77" t="s">
        <v>59</v>
      </c>
      <c r="D307" s="77" t="s">
        <v>512</v>
      </c>
      <c r="F307" s="104" t="s">
        <v>426</v>
      </c>
      <c r="G307" s="77" t="s">
        <v>427</v>
      </c>
      <c r="H307" s="9" t="str" cm="1">
        <f t="array" ref="H307">INDEX(stableR[question],MATCH(VALUE(questions[[#This Row],[qno]]),VALUE(stableR[qno]),0))</f>
        <v>If applying herbicides, can you prove that all are locally authorized for coffee use, and that you respect the doses and post-harvest intervals of the label of the product. If applying herbicides, to which % of area of the coffee plots? e.g. if the coffee area is 1 hectare and herbicides are sprayed to only 0.5 hectare (where there is high weed pressure), then it is 50%</v>
      </c>
      <c r="I307" s="9" t="b" cm="1">
        <f t="array" ref="I307">INDEX(stable[is_fixed],MATCH(VALUE(questions[[#This Row],[qno]]),VALUE(stable[qno]),0))</f>
        <v>1</v>
      </c>
      <c r="J307" s="9" t="b" cm="1">
        <f t="array" ref="J307">INDEX(stable[is_localized],MATCH(VALUE(questions[[#This Row],[qno]]),VALUE(stable[qno]),0))</f>
        <v>0</v>
      </c>
      <c r="K307" s="9" t="b" cm="1">
        <f t="array" ref="K307">INDEX(stable[is_supply_chain_dependent],MATCH(VALUE(questions[[#This Row],[qno]]),VALUE(stable[qno]),0))</f>
        <v>0</v>
      </c>
      <c r="L307" s="9" t="b" cm="1">
        <f t="array" ref="L307">INDEX(stable[is_mandatory],MATCH(VALUE(questions[[#This Row],[qno]]),VALUE(stable[qno]),0))</f>
        <v>1</v>
      </c>
      <c r="M307" s="9" t="b" cm="1">
        <f t="array" ref="M307">INDEX(stable[is_automated],MATCH(VALUE(questions[[#This Row],[qno]]),VALUE(stable[qno]),0))</f>
        <v>0</v>
      </c>
      <c r="N307" s="9" t="b" cm="1">
        <f t="array" ref="N307">INDEX(stable[is_free_text],MATCH(VALUE(questions[[#This Row],[qno]]),VALUE(stable[qno]),0))</f>
        <v>0</v>
      </c>
      <c r="O307" s="9" t="b" cm="1">
        <f t="array" ref="O307">INDEX(stable[is_numerical],MATCH(VALUE(questions[[#This Row],[qno]]),VALUE(stable[qno]),0))</f>
        <v>0</v>
      </c>
      <c r="P307" s="103" t="b" cm="1">
        <f t="array" ref="P307">INDEX(stable[is_single_select],MATCH(VALUE(questions[[#This Row],[qno]]),VALUE(stable[qno]),0))</f>
        <v>1</v>
      </c>
      <c r="Q307" s="77" t="b" cm="1">
        <f t="array" ref="Q307">INDEX(stable[is_multi_select],MATCH(VALUE(questions[[#This Row],[qno]]),VALUE(stable[qno]),0))</f>
        <v>0</v>
      </c>
      <c r="R307" s="77" t="b" cm="1">
        <f t="array" ref="R307">INDEX(stable[is_skip_logic],MATCH(VALUE(questions[[#This Row],[qno]]),VALUE(stable[qno]),0))</f>
        <v>1</v>
      </c>
      <c r="S307" s="77" t="str">
        <f>_xlfn.TEXTJOIN(", ",TRUE,questions[[#This Row],[ans_opt_1]:[ans_opt_14]])</f>
        <v>Manual removal, Mechanical removal, Mulching, Cover crops, A combination of the above</v>
      </c>
      <c r="T307" s="77" t="s">
        <v>428</v>
      </c>
      <c r="U307" s="77" t="s">
        <v>429</v>
      </c>
      <c r="V307" s="77" t="s">
        <v>430</v>
      </c>
      <c r="W307" s="77" t="s">
        <v>431</v>
      </c>
      <c r="X307" s="77" t="s">
        <v>432</v>
      </c>
      <c r="AH307" s="98" t="b">
        <f>INDEX(stable[q_standard],MATCH(questions[[#This Row],[qno]],stable[qno],0))</f>
        <v>0</v>
      </c>
      <c r="AI307" s="98" t="b">
        <f>INDEX(stable[q_living_income],MATCH(questions[[#This Row],[qno]],stable[qno],0))</f>
        <v>0</v>
      </c>
      <c r="AJ307" s="98" t="b">
        <f>INDEX(stable[q_carbon],MATCH(questions[[#This Row],[qno]],stable[qno],0))</f>
        <v>0</v>
      </c>
      <c r="AK307" s="98" t="b">
        <f>INDEX(stable[q_regen_ag],MATCH(questions[[#This Row],[qno]],stable[qno],0))</f>
        <v>1</v>
      </c>
      <c r="AL307" s="98" t="b">
        <f>COUNTIFS(stable[qno],questions[[#This Row],[qno]])=1</f>
        <v>1</v>
      </c>
      <c r="AM307" s="98" t="b">
        <f>OR(questions[[#This Row],[is_fixed]],questions[[#This Row],[is_localized]],questions[[#This Row],[is_supply_chain_dependent]])</f>
        <v>1</v>
      </c>
      <c r="AN307" s="98" t="b">
        <f>COUNTIFS(questions[[#This Row],[is_automated]:[is_multi_select]],TRUE)=1</f>
        <v>1</v>
      </c>
      <c r="AO307" s="98" t="b">
        <f>IF(questions[[#This Row],[is_fixed]],questions[[#This Row],[question]]=INDEX(stable[question],MATCH(questions[[#This Row],[qno]],stable[qno],0)),TRUE)</f>
        <v>1</v>
      </c>
      <c r="AP307" s="98" t="str">
        <f>LEFT(questions[[#This Row],[question]],similarity_range)</f>
        <v>If you use or do not</v>
      </c>
      <c r="AQ307" s="98" t="str">
        <f>LEFT(INDEX(stable[question],MATCH(questions[[#This Row],[qno]],stable[qno],0)),similarity_range)</f>
        <v>If you use or do not</v>
      </c>
      <c r="AR307" s="98" t="b">
        <f>questions[[#This Row],[question_first_characters]]=questions[[#This Row],[stability_first_characters]]</f>
        <v>1</v>
      </c>
      <c r="AS307" s="98" t="b">
        <f>IF(OR(questions[[#This Row],[is_single_select]],questions[[#This Row],[is_multi_select]]),NOT(ISBLANK(questions[[#This Row],[answer_opt_combined]])),TRUE)</f>
        <v>1</v>
      </c>
    </row>
    <row r="308" spans="1:45" s="77" customFormat="1" x14ac:dyDescent="0.25">
      <c r="A308" s="77" t="str">
        <f>_xlfn.TEXTJOIN("_",TRUE,questions[[#This Row],[origin]:[qno]])</f>
        <v>Uganda_Arabica_Sbux_7300</v>
      </c>
      <c r="B308" s="77" t="s">
        <v>511</v>
      </c>
      <c r="C308" s="77" t="s">
        <v>59</v>
      </c>
      <c r="D308" s="77" t="s">
        <v>512</v>
      </c>
      <c r="F308" s="104" t="s">
        <v>433</v>
      </c>
      <c r="G308" s="78" t="s">
        <v>434</v>
      </c>
      <c r="H308" s="9" t="str" cm="1">
        <f t="array" ref="H308">INDEX(stableR[question],MATCH(VALUE(questions[[#This Row],[qno]]),VALUE(stableR[qno]),0))</f>
        <v>Do you irrigate your coffee crop and if yes, what irrigation system/s do you use? If the answer is NO, you do not need to answer the next question</v>
      </c>
      <c r="I308" s="9" t="b" cm="1">
        <f t="array" ref="I308">INDEX(stable[is_fixed],MATCH(VALUE(questions[[#This Row],[qno]]),VALUE(stable[qno]),0))</f>
        <v>1</v>
      </c>
      <c r="J308" s="9" t="b" cm="1">
        <f t="array" ref="J308">INDEX(stable[is_localized],MATCH(VALUE(questions[[#This Row],[qno]]),VALUE(stable[qno]),0))</f>
        <v>0</v>
      </c>
      <c r="K308" s="9" t="b" cm="1">
        <f t="array" ref="K308">INDEX(stable[is_supply_chain_dependent],MATCH(VALUE(questions[[#This Row],[qno]]),VALUE(stable[qno]),0))</f>
        <v>0</v>
      </c>
      <c r="L308" s="9" t="b" cm="1">
        <f t="array" ref="L308">INDEX(stable[is_mandatory],MATCH(VALUE(questions[[#This Row],[qno]]),VALUE(stable[qno]),0))</f>
        <v>1</v>
      </c>
      <c r="M308" s="9" t="b" cm="1">
        <f t="array" ref="M308">INDEX(stable[is_automated],MATCH(VALUE(questions[[#This Row],[qno]]),VALUE(stable[qno]),0))</f>
        <v>0</v>
      </c>
      <c r="N308" s="9" t="b" cm="1">
        <f t="array" ref="N308">INDEX(stable[is_free_text],MATCH(VALUE(questions[[#This Row],[qno]]),VALUE(stable[qno]),0))</f>
        <v>0</v>
      </c>
      <c r="O308" s="9" t="b" cm="1">
        <f t="array" ref="O308">INDEX(stable[is_numerical],MATCH(VALUE(questions[[#This Row],[qno]]),VALUE(stable[qno]),0))</f>
        <v>0</v>
      </c>
      <c r="P308" s="103" t="b" cm="1">
        <f t="array" ref="P308">INDEX(stable[is_single_select],MATCH(VALUE(questions[[#This Row],[qno]]),VALUE(stable[qno]),0))</f>
        <v>1</v>
      </c>
      <c r="Q308" s="77" t="b" cm="1">
        <f t="array" ref="Q308">INDEX(stable[is_multi_select],MATCH(VALUE(questions[[#This Row],[qno]]),VALUE(stable[qno]),0))</f>
        <v>0</v>
      </c>
      <c r="R308" s="77" t="b" cm="1">
        <f t="array" ref="R308">INDEX(stable[is_skip_logic],MATCH(VALUE(questions[[#This Row],[qno]]),VALUE(stable[qno]),0))</f>
        <v>0</v>
      </c>
      <c r="S308" s="77" t="str">
        <f>_xlfn.TEXTJOIN(", ",TRUE,questions[[#This Row],[ans_opt_1]:[ans_opt_14]])</f>
        <v>No, Yes / drip irrigation, Yes / minisprinkler irrigation, Yes / overhead irrigation (sprinklers, pivot, rain gun), Yes / flood-furrow-hose pipe irrigation</v>
      </c>
      <c r="T308" s="77" t="s">
        <v>119</v>
      </c>
      <c r="U308" s="77" t="s">
        <v>435</v>
      </c>
      <c r="V308" s="77" t="s">
        <v>436</v>
      </c>
      <c r="W308" s="77" t="s">
        <v>437</v>
      </c>
      <c r="X308" s="77" t="s">
        <v>438</v>
      </c>
      <c r="AH308" s="98" t="b">
        <f>INDEX(stable[q_standard],MATCH(questions[[#This Row],[qno]],stable[qno],0))</f>
        <v>0</v>
      </c>
      <c r="AI308" s="98" t="b">
        <f>INDEX(stable[q_living_income],MATCH(questions[[#This Row],[qno]],stable[qno],0))</f>
        <v>0</v>
      </c>
      <c r="AJ308" s="98" t="b">
        <f>INDEX(stable[q_carbon],MATCH(questions[[#This Row],[qno]],stable[qno],0))</f>
        <v>0</v>
      </c>
      <c r="AK308" s="98" t="b">
        <f>INDEX(stable[q_regen_ag],MATCH(questions[[#This Row],[qno]],stable[qno],0))</f>
        <v>1</v>
      </c>
      <c r="AL308" s="98" t="b">
        <f>COUNTIFS(stable[qno],questions[[#This Row],[qno]])=1</f>
        <v>1</v>
      </c>
      <c r="AM308" s="98" t="b">
        <f>OR(questions[[#This Row],[is_fixed]],questions[[#This Row],[is_localized]],questions[[#This Row],[is_supply_chain_dependent]])</f>
        <v>1</v>
      </c>
      <c r="AN308" s="98" t="b">
        <f>COUNTIFS(questions[[#This Row],[is_automated]:[is_multi_select]],TRUE)=1</f>
        <v>1</v>
      </c>
      <c r="AO308" s="98" t="b">
        <f>IF(questions[[#This Row],[is_fixed]],questions[[#This Row],[question]]=INDEX(stable[question],MATCH(questions[[#This Row],[qno]],stable[qno],0)),TRUE)</f>
        <v>0</v>
      </c>
      <c r="AP308" s="98" t="str">
        <f>LEFT(questions[[#This Row],[question]],similarity_range)</f>
        <v>Do you irrigate your</v>
      </c>
      <c r="AQ308" s="98" t="str">
        <f>LEFT(INDEX(stable[question],MATCH(questions[[#This Row],[qno]],stable[qno],0)),similarity_range)</f>
        <v>Do you irrigate your</v>
      </c>
      <c r="AR308" s="98" t="b">
        <f>questions[[#This Row],[question_first_characters]]=questions[[#This Row],[stability_first_characters]]</f>
        <v>1</v>
      </c>
      <c r="AS308" s="98" t="b">
        <f>IF(OR(questions[[#This Row],[is_single_select]],questions[[#This Row],[is_multi_select]]),NOT(ISBLANK(questions[[#This Row],[answer_opt_combined]])),TRUE)</f>
        <v>1</v>
      </c>
    </row>
    <row r="309" spans="1:45" s="77" customFormat="1" x14ac:dyDescent="0.25">
      <c r="A309" s="77" t="str">
        <f>_xlfn.TEXTJOIN("_",TRUE,questions[[#This Row],[origin]:[qno]])</f>
        <v>Uganda_Arabica_Sbux_7301</v>
      </c>
      <c r="B309" s="77" t="s">
        <v>511</v>
      </c>
      <c r="C309" s="77" t="s">
        <v>59</v>
      </c>
      <c r="D309" s="77" t="s">
        <v>512</v>
      </c>
      <c r="F309" s="104" t="s">
        <v>439</v>
      </c>
      <c r="G309" s="78" t="s">
        <v>440</v>
      </c>
      <c r="H309" s="9" t="str" cm="1">
        <f t="array" ref="H309">INDEX(stableR[question],MATCH(VALUE(questions[[#This Row],[qno]]),VALUE(stableR[qno]),0))</f>
        <v>Do you have a systems to know when and how much to irrigate and according to the irrigation system (balance sheet with rainfall and evapotranspiration, sensors, irrigation app-software, weather stations...)?</v>
      </c>
      <c r="I309" s="9" t="b" cm="1">
        <f t="array" ref="I309">INDEX(stable[is_fixed],MATCH(VALUE(questions[[#This Row],[qno]]),VALUE(stable[qno]),0))</f>
        <v>1</v>
      </c>
      <c r="J309" s="9" t="b" cm="1">
        <f t="array" ref="J309">INDEX(stable[is_localized],MATCH(VALUE(questions[[#This Row],[qno]]),VALUE(stable[qno]),0))</f>
        <v>0</v>
      </c>
      <c r="K309" s="9" t="b" cm="1">
        <f t="array" ref="K309">INDEX(stable[is_supply_chain_dependent],MATCH(VALUE(questions[[#This Row],[qno]]),VALUE(stable[qno]),0))</f>
        <v>0</v>
      </c>
      <c r="L309" s="9" t="b" cm="1">
        <f t="array" ref="L309">INDEX(stable[is_mandatory],MATCH(VALUE(questions[[#This Row],[qno]]),VALUE(stable[qno]),0))</f>
        <v>0</v>
      </c>
      <c r="M309" s="9" t="b" cm="1">
        <f t="array" ref="M309">INDEX(stable[is_automated],MATCH(VALUE(questions[[#This Row],[qno]]),VALUE(stable[qno]),0))</f>
        <v>0</v>
      </c>
      <c r="N309" s="9" t="b" cm="1">
        <f t="array" ref="N309">INDEX(stable[is_free_text],MATCH(VALUE(questions[[#This Row],[qno]]),VALUE(stable[qno]),0))</f>
        <v>0</v>
      </c>
      <c r="O309" s="9" t="b" cm="1">
        <f t="array" ref="O309">INDEX(stable[is_numerical],MATCH(VALUE(questions[[#This Row],[qno]]),VALUE(stable[qno]),0))</f>
        <v>0</v>
      </c>
      <c r="P309" s="103" t="b" cm="1">
        <f t="array" ref="P309">INDEX(stable[is_single_select],MATCH(VALUE(questions[[#This Row],[qno]]),VALUE(stable[qno]),0))</f>
        <v>1</v>
      </c>
      <c r="Q309" s="77" t="b" cm="1">
        <f t="array" ref="Q309">INDEX(stable[is_multi_select],MATCH(VALUE(questions[[#This Row],[qno]]),VALUE(stable[qno]),0))</f>
        <v>0</v>
      </c>
      <c r="R309" s="77" t="b" cm="1">
        <f t="array" ref="R309">INDEX(stable[is_skip_logic],MATCH(VALUE(questions[[#This Row],[qno]]),VALUE(stable[qno]),0))</f>
        <v>0</v>
      </c>
      <c r="S309" s="77" t="str">
        <f>_xlfn.TEXTJOIN(", ",TRUE,questions[[#This Row],[ans_opt_1]:[ans_opt_14]])</f>
        <v>Yes, No</v>
      </c>
      <c r="T309" s="77" t="s">
        <v>149</v>
      </c>
      <c r="U309" s="77" t="s">
        <v>119</v>
      </c>
      <c r="AH309" s="98" t="b">
        <f>INDEX(stable[q_standard],MATCH(questions[[#This Row],[qno]],stable[qno],0))</f>
        <v>0</v>
      </c>
      <c r="AI309" s="98" t="b">
        <f>INDEX(stable[q_living_income],MATCH(questions[[#This Row],[qno]],stable[qno],0))</f>
        <v>0</v>
      </c>
      <c r="AJ309" s="98" t="b">
        <f>INDEX(stable[q_carbon],MATCH(questions[[#This Row],[qno]],stable[qno],0))</f>
        <v>0</v>
      </c>
      <c r="AK309" s="98" t="b">
        <f>INDEX(stable[q_regen_ag],MATCH(questions[[#This Row],[qno]],stable[qno],0))</f>
        <v>1</v>
      </c>
      <c r="AL309" s="98" t="b">
        <f>COUNTIFS(stable[qno],questions[[#This Row],[qno]])=1</f>
        <v>1</v>
      </c>
      <c r="AM309" s="98" t="b">
        <f>OR(questions[[#This Row],[is_fixed]],questions[[#This Row],[is_localized]],questions[[#This Row],[is_supply_chain_dependent]])</f>
        <v>1</v>
      </c>
      <c r="AN309" s="98" t="b">
        <f>COUNTIFS(questions[[#This Row],[is_automated]:[is_multi_select]],TRUE)=1</f>
        <v>1</v>
      </c>
      <c r="AO309" s="98" t="b">
        <f>IF(questions[[#This Row],[is_fixed]],questions[[#This Row],[question]]=INDEX(stable[question],MATCH(questions[[#This Row],[qno]],stable[qno],0)),TRUE)</f>
        <v>1</v>
      </c>
      <c r="AP309" s="98" t="str">
        <f>LEFT(questions[[#This Row],[question]],similarity_range)</f>
        <v>Do you have a system</v>
      </c>
      <c r="AQ309" s="98" t="str">
        <f>LEFT(INDEX(stable[question],MATCH(questions[[#This Row],[qno]],stable[qno],0)),similarity_range)</f>
        <v>Do you have a system</v>
      </c>
      <c r="AR309" s="98" t="b">
        <f>questions[[#This Row],[question_first_characters]]=questions[[#This Row],[stability_first_characters]]</f>
        <v>1</v>
      </c>
      <c r="AS309" s="98" t="b">
        <f>IF(OR(questions[[#This Row],[is_single_select]],questions[[#This Row],[is_multi_select]]),NOT(ISBLANK(questions[[#This Row],[answer_opt_combined]])),TRUE)</f>
        <v>1</v>
      </c>
    </row>
    <row r="310" spans="1:45" s="77" customFormat="1" x14ac:dyDescent="0.25">
      <c r="A310" s="77" t="str">
        <f>_xlfn.TEXTJOIN("_",TRUE,questions[[#This Row],[origin]:[qno]])</f>
        <v>Uganda_Arabica_Sbux_7400</v>
      </c>
      <c r="B310" s="77" t="s">
        <v>511</v>
      </c>
      <c r="C310" s="77" t="s">
        <v>59</v>
      </c>
      <c r="D310" s="77" t="s">
        <v>512</v>
      </c>
      <c r="F310" s="104" t="s">
        <v>441</v>
      </c>
      <c r="G310" s="78" t="s">
        <v>442</v>
      </c>
      <c r="H310" s="9" t="str" cm="1">
        <f t="array" ref="H310">INDEX(stableR[question],MATCH(VALUE(questions[[#This Row],[qno]]),VALUE(stableR[qno]),0))</f>
        <v>Are you implementing a plan to renovate/rehabilitate the coffee trees of your coffee plots? e.g. stumping, partial stumping, capping, side pruning, uprooting and replanting, uprooting and planting new trees, or a mix of systems. If the answer is NO, you do not need to answer the next 2 questions</v>
      </c>
      <c r="I310" s="9" t="b" cm="1">
        <f t="array" ref="I310">INDEX(stable[is_fixed],MATCH(VALUE(questions[[#This Row],[qno]]),VALUE(stable[qno]),0))</f>
        <v>1</v>
      </c>
      <c r="J310" s="9" t="b" cm="1">
        <f t="array" ref="J310">INDEX(stable[is_localized],MATCH(VALUE(questions[[#This Row],[qno]]),VALUE(stable[qno]),0))</f>
        <v>0</v>
      </c>
      <c r="K310" s="9" t="b" cm="1">
        <f t="array" ref="K310">INDEX(stable[is_supply_chain_dependent],MATCH(VALUE(questions[[#This Row],[qno]]),VALUE(stable[qno]),0))</f>
        <v>0</v>
      </c>
      <c r="L310" s="9" t="b" cm="1">
        <f t="array" ref="L310">INDEX(stable[is_mandatory],MATCH(VALUE(questions[[#This Row],[qno]]),VALUE(stable[qno]),0))</f>
        <v>1</v>
      </c>
      <c r="M310" s="9" t="b" cm="1">
        <f t="array" ref="M310">INDEX(stable[is_automated],MATCH(VALUE(questions[[#This Row],[qno]]),VALUE(stable[qno]),0))</f>
        <v>0</v>
      </c>
      <c r="N310" s="9" t="b" cm="1">
        <f t="array" ref="N310">INDEX(stable[is_free_text],MATCH(VALUE(questions[[#This Row],[qno]]),VALUE(stable[qno]),0))</f>
        <v>0</v>
      </c>
      <c r="O310" s="9" t="b" cm="1">
        <f t="array" ref="O310">INDEX(stable[is_numerical],MATCH(VALUE(questions[[#This Row],[qno]]),VALUE(stable[qno]),0))</f>
        <v>0</v>
      </c>
      <c r="P310" s="103" t="b" cm="1">
        <f t="array" ref="P310">INDEX(stable[is_single_select],MATCH(VALUE(questions[[#This Row],[qno]]),VALUE(stable[qno]),0))</f>
        <v>1</v>
      </c>
      <c r="Q310" s="77" t="b" cm="1">
        <f t="array" ref="Q310">INDEX(stable[is_multi_select],MATCH(VALUE(questions[[#This Row],[qno]]),VALUE(stable[qno]),0))</f>
        <v>0</v>
      </c>
      <c r="R310" s="77" t="b" cm="1">
        <f t="array" ref="R310">INDEX(stable[is_skip_logic],MATCH(VALUE(questions[[#This Row],[qno]]),VALUE(stable[qno]),0))</f>
        <v>1</v>
      </c>
      <c r="S310" s="77" t="str">
        <f>_xlfn.TEXTJOIN(", ",TRUE,questions[[#This Row],[ans_opt_1]:[ans_opt_14]])</f>
        <v>Yes, No</v>
      </c>
      <c r="T310" s="77" t="s">
        <v>149</v>
      </c>
      <c r="U310" s="77" t="s">
        <v>119</v>
      </c>
      <c r="AH310" s="98" t="b">
        <f>INDEX(stable[q_standard],MATCH(questions[[#This Row],[qno]],stable[qno],0))</f>
        <v>0</v>
      </c>
      <c r="AI310" s="98" t="b">
        <f>INDEX(stable[q_living_income],MATCH(questions[[#This Row],[qno]],stable[qno],0))</f>
        <v>0</v>
      </c>
      <c r="AJ310" s="98" t="b">
        <f>INDEX(stable[q_carbon],MATCH(questions[[#This Row],[qno]],stable[qno],0))</f>
        <v>0</v>
      </c>
      <c r="AK310" s="98" t="b">
        <f>INDEX(stable[q_regen_ag],MATCH(questions[[#This Row],[qno]],stable[qno],0))</f>
        <v>1</v>
      </c>
      <c r="AL310" s="98" t="b">
        <f>COUNTIFS(stable[qno],questions[[#This Row],[qno]])=1</f>
        <v>1</v>
      </c>
      <c r="AM310" s="98" t="b">
        <f>OR(questions[[#This Row],[is_fixed]],questions[[#This Row],[is_localized]],questions[[#This Row],[is_supply_chain_dependent]])</f>
        <v>1</v>
      </c>
      <c r="AN310" s="98" t="b">
        <f>COUNTIFS(questions[[#This Row],[is_automated]:[is_multi_select]],TRUE)=1</f>
        <v>1</v>
      </c>
      <c r="AO310" s="98" t="b">
        <f>IF(questions[[#This Row],[is_fixed]],questions[[#This Row],[question]]=INDEX(stable[question],MATCH(questions[[#This Row],[qno]],stable[qno],0)),TRUE)</f>
        <v>0</v>
      </c>
      <c r="AP310" s="98" t="str">
        <f>LEFT(questions[[#This Row],[question]],similarity_range)</f>
        <v>Are you implementing</v>
      </c>
      <c r="AQ310" s="98" t="str">
        <f>LEFT(INDEX(stable[question],MATCH(questions[[#This Row],[qno]],stable[qno],0)),similarity_range)</f>
        <v>Are you implementing</v>
      </c>
      <c r="AR310" s="98" t="b">
        <f>questions[[#This Row],[question_first_characters]]=questions[[#This Row],[stability_first_characters]]</f>
        <v>1</v>
      </c>
      <c r="AS310" s="98" t="b">
        <f>IF(OR(questions[[#This Row],[is_single_select]],questions[[#This Row],[is_multi_select]]),NOT(ISBLANK(questions[[#This Row],[answer_opt_combined]])),TRUE)</f>
        <v>1</v>
      </c>
    </row>
    <row r="311" spans="1:45" s="77" customFormat="1" x14ac:dyDescent="0.25">
      <c r="A311" s="77" t="str">
        <f>_xlfn.TEXTJOIN("_",TRUE,questions[[#This Row],[origin]:[qno]])</f>
        <v>Uganda_Arabica_Sbux_7401</v>
      </c>
      <c r="B311" s="77" t="s">
        <v>511</v>
      </c>
      <c r="C311" s="77" t="s">
        <v>59</v>
      </c>
      <c r="D311" s="77" t="s">
        <v>512</v>
      </c>
      <c r="F311" s="104" t="s">
        <v>443</v>
      </c>
      <c r="G311" s="78" t="s">
        <v>444</v>
      </c>
      <c r="H311" s="9" t="str" cm="1">
        <f t="array" ref="H311">INDEX(stableR[question],MATCH(VALUE(questions[[#This Row],[qno]]),VALUE(stableR[qno]),0))</f>
        <v>What % or proportion of trees have you renovated/rehabilitated in last 3 years?</v>
      </c>
      <c r="I311" s="9" t="b" cm="1">
        <f t="array" ref="I311">INDEX(stable[is_fixed],MATCH(VALUE(questions[[#This Row],[qno]]),VALUE(stable[qno]),0))</f>
        <v>1</v>
      </c>
      <c r="J311" s="9" t="b" cm="1">
        <f t="array" ref="J311">INDEX(stable[is_localized],MATCH(VALUE(questions[[#This Row],[qno]]),VALUE(stable[qno]),0))</f>
        <v>0</v>
      </c>
      <c r="K311" s="9" t="b" cm="1">
        <f t="array" ref="K311">INDEX(stable[is_supply_chain_dependent],MATCH(VALUE(questions[[#This Row],[qno]]),VALUE(stable[qno]),0))</f>
        <v>0</v>
      </c>
      <c r="L311" s="9" t="b" cm="1">
        <f t="array" ref="L311">INDEX(stable[is_mandatory],MATCH(VALUE(questions[[#This Row],[qno]]),VALUE(stable[qno]),0))</f>
        <v>0</v>
      </c>
      <c r="M311" s="9" t="b" cm="1">
        <f t="array" ref="M311">INDEX(stable[is_automated],MATCH(VALUE(questions[[#This Row],[qno]]),VALUE(stable[qno]),0))</f>
        <v>0</v>
      </c>
      <c r="N311" s="9" t="b" cm="1">
        <f t="array" ref="N311">INDEX(stable[is_free_text],MATCH(VALUE(questions[[#This Row],[qno]]),VALUE(stable[qno]),0))</f>
        <v>0</v>
      </c>
      <c r="O311" s="9" t="b" cm="1">
        <f t="array" ref="O311">INDEX(stable[is_numerical],MATCH(VALUE(questions[[#This Row],[qno]]),VALUE(stable[qno]),0))</f>
        <v>0</v>
      </c>
      <c r="P311" s="103" t="b" cm="1">
        <f t="array" ref="P311">INDEX(stable[is_single_select],MATCH(VALUE(questions[[#This Row],[qno]]),VALUE(stable[qno]),0))</f>
        <v>1</v>
      </c>
      <c r="Q311" s="77" t="b" cm="1">
        <f t="array" ref="Q311">INDEX(stable[is_multi_select],MATCH(VALUE(questions[[#This Row],[qno]]),VALUE(stable[qno]),0))</f>
        <v>0</v>
      </c>
      <c r="R311" s="77" t="b" cm="1">
        <f t="array" ref="R311">INDEX(stable[is_skip_logic],MATCH(VALUE(questions[[#This Row],[qno]]),VALUE(stable[qno]),0))</f>
        <v>1</v>
      </c>
      <c r="S311" s="77" t="str">
        <f>_xlfn.TEXTJOIN(", ",TRUE,questions[[#This Row],[ans_opt_1]:[ans_opt_14]])</f>
        <v>1% to 10% - very little, 11% to 20% - little, 21% to 50% - less than half, 51% to 75% - more than half, 76% to 100% - almost all</v>
      </c>
      <c r="T311" s="77" t="s">
        <v>421</v>
      </c>
      <c r="U311" s="77" t="s">
        <v>422</v>
      </c>
      <c r="V311" s="77" t="s">
        <v>423</v>
      </c>
      <c r="W311" s="77" t="s">
        <v>340</v>
      </c>
      <c r="X311" s="77" t="s">
        <v>341</v>
      </c>
      <c r="AH311" s="98" t="b">
        <f>INDEX(stable[q_standard],MATCH(questions[[#This Row],[qno]],stable[qno],0))</f>
        <v>0</v>
      </c>
      <c r="AI311" s="98" t="b">
        <f>INDEX(stable[q_living_income],MATCH(questions[[#This Row],[qno]],stable[qno],0))</f>
        <v>0</v>
      </c>
      <c r="AJ311" s="98" t="b">
        <f>INDEX(stable[q_carbon],MATCH(questions[[#This Row],[qno]],stable[qno],0))</f>
        <v>0</v>
      </c>
      <c r="AK311" s="98" t="b">
        <f>INDEX(stable[q_regen_ag],MATCH(questions[[#This Row],[qno]],stable[qno],0))</f>
        <v>1</v>
      </c>
      <c r="AL311" s="98" t="b">
        <f>COUNTIFS(stable[qno],questions[[#This Row],[qno]])=1</f>
        <v>1</v>
      </c>
      <c r="AM311" s="98" t="b">
        <f>OR(questions[[#This Row],[is_fixed]],questions[[#This Row],[is_localized]],questions[[#This Row],[is_supply_chain_dependent]])</f>
        <v>1</v>
      </c>
      <c r="AN311" s="98" t="b">
        <f>COUNTIFS(questions[[#This Row],[is_automated]:[is_multi_select]],TRUE)=1</f>
        <v>1</v>
      </c>
      <c r="AO311" s="98" t="b">
        <f>IF(questions[[#This Row],[is_fixed]],questions[[#This Row],[question]]=INDEX(stable[question],MATCH(questions[[#This Row],[qno]],stable[qno],0)),TRUE)</f>
        <v>1</v>
      </c>
      <c r="AP311" s="98" t="str">
        <f>LEFT(questions[[#This Row],[question]],similarity_range)</f>
        <v>What % or proportion</v>
      </c>
      <c r="AQ311" s="98" t="str">
        <f>LEFT(INDEX(stable[question],MATCH(questions[[#This Row],[qno]],stable[qno],0)),similarity_range)</f>
        <v>What % or proportion</v>
      </c>
      <c r="AR311" s="98" t="b">
        <f>questions[[#This Row],[question_first_characters]]=questions[[#This Row],[stability_first_characters]]</f>
        <v>1</v>
      </c>
      <c r="AS311" s="98" t="b">
        <f>IF(OR(questions[[#This Row],[is_single_select]],questions[[#This Row],[is_multi_select]]),NOT(ISBLANK(questions[[#This Row],[answer_opt_combined]])),TRUE)</f>
        <v>1</v>
      </c>
    </row>
    <row r="312" spans="1:45" s="77" customFormat="1" x14ac:dyDescent="0.25">
      <c r="A312" s="77" t="str">
        <f>_xlfn.TEXTJOIN("_",TRUE,questions[[#This Row],[origin]:[qno]])</f>
        <v>Uganda_Arabica_Sbux_7402</v>
      </c>
      <c r="B312" s="77" t="s">
        <v>511</v>
      </c>
      <c r="C312" s="77" t="s">
        <v>59</v>
      </c>
      <c r="D312" s="77" t="s">
        <v>512</v>
      </c>
      <c r="F312" s="104" t="s">
        <v>445</v>
      </c>
      <c r="G312" s="78" t="s">
        <v>446</v>
      </c>
      <c r="H312" s="9" t="str" cm="1">
        <f t="array" ref="H312">INDEX(stableR[question],MATCH(VALUE(questions[[#This Row],[qno]]),VALUE(stableR[qno]),0))</f>
        <v>What is the main renovation-rehabilitation systems do you use to renovate/rehabilitate (e.g. full stumping, partial stumping, capping, side pruning, uprooting and planting new trees)?</v>
      </c>
      <c r="I312" s="9" t="b" cm="1">
        <f t="array" ref="I312">INDEX(stable[is_fixed],MATCH(VALUE(questions[[#This Row],[qno]]),VALUE(stable[qno]),0))</f>
        <v>1</v>
      </c>
      <c r="J312" s="9" t="b" cm="1">
        <f t="array" ref="J312">INDEX(stable[is_localized],MATCH(VALUE(questions[[#This Row],[qno]]),VALUE(stable[qno]),0))</f>
        <v>0</v>
      </c>
      <c r="K312" s="9" t="b" cm="1">
        <f t="array" ref="K312">INDEX(stable[is_supply_chain_dependent],MATCH(VALUE(questions[[#This Row],[qno]]),VALUE(stable[qno]),0))</f>
        <v>0</v>
      </c>
      <c r="L312" s="9" t="b" cm="1">
        <f t="array" ref="L312">INDEX(stable[is_mandatory],MATCH(VALUE(questions[[#This Row],[qno]]),VALUE(stable[qno]),0))</f>
        <v>0</v>
      </c>
      <c r="M312" s="9" t="b" cm="1">
        <f t="array" ref="M312">INDEX(stable[is_automated],MATCH(VALUE(questions[[#This Row],[qno]]),VALUE(stable[qno]),0))</f>
        <v>0</v>
      </c>
      <c r="N312" s="9" t="b" cm="1">
        <f t="array" ref="N312">INDEX(stable[is_free_text],MATCH(VALUE(questions[[#This Row],[qno]]),VALUE(stable[qno]),0))</f>
        <v>0</v>
      </c>
      <c r="O312" s="9" t="b" cm="1">
        <f t="array" ref="O312">INDEX(stable[is_numerical],MATCH(VALUE(questions[[#This Row],[qno]]),VALUE(stable[qno]),0))</f>
        <v>0</v>
      </c>
      <c r="P312" s="103" t="b" cm="1">
        <f t="array" ref="P312">INDEX(stable[is_single_select],MATCH(VALUE(questions[[#This Row],[qno]]),VALUE(stable[qno]),0))</f>
        <v>1</v>
      </c>
      <c r="Q312" s="77" t="b" cm="1">
        <f t="array" ref="Q312">INDEX(stable[is_multi_select],MATCH(VALUE(questions[[#This Row],[qno]]),VALUE(stable[qno]),0))</f>
        <v>0</v>
      </c>
      <c r="R312" s="77" t="b" cm="1">
        <f t="array" ref="R312">INDEX(stable[is_skip_logic],MATCH(VALUE(questions[[#This Row],[qno]]),VALUE(stable[qno]),0))</f>
        <v>1</v>
      </c>
      <c r="S312" s="77" t="str">
        <f>_xlfn.TEXTJOIN(", ",TRUE,questions[[#This Row],[ans_opt_1]:[ans_opt_14]])</f>
        <v>full stumping, partial stumping, capping, side pruning, capping and side prunning, uprooting and planting new trees</v>
      </c>
      <c r="T312" s="77" t="s">
        <v>447</v>
      </c>
      <c r="U312" s="77" t="s">
        <v>448</v>
      </c>
      <c r="V312" s="77" t="s">
        <v>449</v>
      </c>
      <c r="W312" s="77" t="s">
        <v>450</v>
      </c>
      <c r="X312" s="77" t="s">
        <v>451</v>
      </c>
      <c r="Y312" s="77" t="s">
        <v>452</v>
      </c>
      <c r="AH312" s="98" t="b">
        <f>INDEX(stable[q_standard],MATCH(questions[[#This Row],[qno]],stable[qno],0))</f>
        <v>0</v>
      </c>
      <c r="AI312" s="98" t="b">
        <f>INDEX(stable[q_living_income],MATCH(questions[[#This Row],[qno]],stable[qno],0))</f>
        <v>0</v>
      </c>
      <c r="AJ312" s="98" t="b">
        <f>INDEX(stable[q_carbon],MATCH(questions[[#This Row],[qno]],stable[qno],0))</f>
        <v>0</v>
      </c>
      <c r="AK312" s="98" t="b">
        <f>INDEX(stable[q_regen_ag],MATCH(questions[[#This Row],[qno]],stable[qno],0))</f>
        <v>1</v>
      </c>
      <c r="AL312" s="98" t="b">
        <f>COUNTIFS(stable[qno],questions[[#This Row],[qno]])=1</f>
        <v>1</v>
      </c>
      <c r="AM312" s="98" t="b">
        <f>OR(questions[[#This Row],[is_fixed]],questions[[#This Row],[is_localized]],questions[[#This Row],[is_supply_chain_dependent]])</f>
        <v>1</v>
      </c>
      <c r="AN312" s="98" t="b">
        <f>COUNTIFS(questions[[#This Row],[is_automated]:[is_multi_select]],TRUE)=1</f>
        <v>1</v>
      </c>
      <c r="AO312" s="98" t="b">
        <f>IF(questions[[#This Row],[is_fixed]],questions[[#This Row],[question]]=INDEX(stable[question],MATCH(questions[[#This Row],[qno]],stable[qno],0)),TRUE)</f>
        <v>1</v>
      </c>
      <c r="AP312" s="98" t="str">
        <f>LEFT(questions[[#This Row],[question]],similarity_range)</f>
        <v>What is the main ren</v>
      </c>
      <c r="AQ312" s="98" t="str">
        <f>LEFT(INDEX(stable[question],MATCH(questions[[#This Row],[qno]],stable[qno],0)),similarity_range)</f>
        <v>What is the main ren</v>
      </c>
      <c r="AR312" s="98" t="b">
        <f>questions[[#This Row],[question_first_characters]]=questions[[#This Row],[stability_first_characters]]</f>
        <v>1</v>
      </c>
      <c r="AS312" s="98" t="b">
        <f>IF(OR(questions[[#This Row],[is_single_select]],questions[[#This Row],[is_multi_select]]),NOT(ISBLANK(questions[[#This Row],[answer_opt_combined]])),TRUE)</f>
        <v>1</v>
      </c>
    </row>
    <row r="313" spans="1:45" s="77" customFormat="1" x14ac:dyDescent="0.25">
      <c r="A313" s="77" t="str">
        <f>_xlfn.TEXTJOIN("_",TRUE,questions[[#This Row],[origin]:[qno]])</f>
        <v>Uganda_Arabica_Sbux_7410</v>
      </c>
      <c r="B313" s="77" t="s">
        <v>511</v>
      </c>
      <c r="C313" s="77" t="s">
        <v>59</v>
      </c>
      <c r="D313" s="77" t="s">
        <v>512</v>
      </c>
      <c r="F313" s="104" t="s">
        <v>453</v>
      </c>
      <c r="G313" s="78" t="s">
        <v>454</v>
      </c>
      <c r="H313" s="9" t="str" cm="1">
        <f t="array" ref="H313">INDEX(stableR[question],MATCH(VALUE(questions[[#This Row],[qno]]),VALUE(stableR[qno]),0))</f>
        <v>How many coffee varieties do you grow in your coffee plots?</v>
      </c>
      <c r="I313" s="9" t="b" cm="1">
        <f t="array" ref="I313">INDEX(stable[is_fixed],MATCH(VALUE(questions[[#This Row],[qno]]),VALUE(stable[qno]),0))</f>
        <v>1</v>
      </c>
      <c r="J313" s="9" t="b" cm="1">
        <f t="array" ref="J313">INDEX(stable[is_localized],MATCH(VALUE(questions[[#This Row],[qno]]),VALUE(stable[qno]),0))</f>
        <v>0</v>
      </c>
      <c r="K313" s="9" t="b" cm="1">
        <f t="array" ref="K313">INDEX(stable[is_supply_chain_dependent],MATCH(VALUE(questions[[#This Row],[qno]]),VALUE(stable[qno]),0))</f>
        <v>0</v>
      </c>
      <c r="L313" s="9" t="b" cm="1">
        <f t="array" ref="L313">INDEX(stable[is_mandatory],MATCH(VALUE(questions[[#This Row],[qno]]),VALUE(stable[qno]),0))</f>
        <v>1</v>
      </c>
      <c r="M313" s="9" t="b" cm="1">
        <f t="array" ref="M313">INDEX(stable[is_automated],MATCH(VALUE(questions[[#This Row],[qno]]),VALUE(stable[qno]),0))</f>
        <v>0</v>
      </c>
      <c r="N313" s="9" t="b" cm="1">
        <f t="array" ref="N313">INDEX(stable[is_free_text],MATCH(VALUE(questions[[#This Row],[qno]]),VALUE(stable[qno]),0))</f>
        <v>0</v>
      </c>
      <c r="O313" s="9" t="b" cm="1">
        <f t="array" ref="O313">INDEX(stable[is_numerical],MATCH(VALUE(questions[[#This Row],[qno]]),VALUE(stable[qno]),0))</f>
        <v>0</v>
      </c>
      <c r="P313" s="103" t="b" cm="1">
        <f t="array" ref="P313">INDEX(stable[is_single_select],MATCH(VALUE(questions[[#This Row],[qno]]),VALUE(stable[qno]),0))</f>
        <v>1</v>
      </c>
      <c r="Q313" s="77" t="b" cm="1">
        <f t="array" ref="Q313">INDEX(stable[is_multi_select],MATCH(VALUE(questions[[#This Row],[qno]]),VALUE(stable[qno]),0))</f>
        <v>0</v>
      </c>
      <c r="R313" s="77" t="b" cm="1">
        <f t="array" ref="R313">INDEX(stable[is_skip_logic],MATCH(VALUE(questions[[#This Row],[qno]]),VALUE(stable[qno]),0))</f>
        <v>1</v>
      </c>
      <c r="S313" s="77" t="str">
        <f>_xlfn.TEXTJOIN(", ",TRUE,questions[[#This Row],[ans_opt_1]:[ans_opt_14]])</f>
        <v>1, 2, 3, 4, 5, &gt;5</v>
      </c>
      <c r="T313" s="77">
        <v>1</v>
      </c>
      <c r="U313" s="77">
        <v>2</v>
      </c>
      <c r="V313" s="77">
        <v>3</v>
      </c>
      <c r="W313" s="77">
        <v>4</v>
      </c>
      <c r="X313" s="77">
        <v>5</v>
      </c>
      <c r="Y313" s="77" t="s">
        <v>404</v>
      </c>
      <c r="AH313" s="98" t="b">
        <f>INDEX(stable[q_standard],MATCH(questions[[#This Row],[qno]],stable[qno],0))</f>
        <v>0</v>
      </c>
      <c r="AI313" s="98" t="b">
        <f>INDEX(stable[q_living_income],MATCH(questions[[#This Row],[qno]],stable[qno],0))</f>
        <v>0</v>
      </c>
      <c r="AJ313" s="98" t="b">
        <f>INDEX(stable[q_carbon],MATCH(questions[[#This Row],[qno]],stable[qno],0))</f>
        <v>0</v>
      </c>
      <c r="AK313" s="98" t="b">
        <f>INDEX(stable[q_regen_ag],MATCH(questions[[#This Row],[qno]],stable[qno],0))</f>
        <v>1</v>
      </c>
      <c r="AL313" s="98" t="b">
        <f>COUNTIFS(stable[qno],questions[[#This Row],[qno]])=1</f>
        <v>1</v>
      </c>
      <c r="AM313" s="98" t="b">
        <f>OR(questions[[#This Row],[is_fixed]],questions[[#This Row],[is_localized]],questions[[#This Row],[is_supply_chain_dependent]])</f>
        <v>1</v>
      </c>
      <c r="AN313" s="98" t="b">
        <f>COUNTIFS(questions[[#This Row],[is_automated]:[is_multi_select]],TRUE)=1</f>
        <v>1</v>
      </c>
      <c r="AO313" s="98" t="b">
        <f>IF(questions[[#This Row],[is_fixed]],questions[[#This Row],[question]]=INDEX(stable[question],MATCH(questions[[#This Row],[qno]],stable[qno],0)),TRUE)</f>
        <v>1</v>
      </c>
      <c r="AP313" s="98" t="str">
        <f>LEFT(questions[[#This Row],[question]],similarity_range)</f>
        <v>How many coffee vari</v>
      </c>
      <c r="AQ313" s="98" t="str">
        <f>LEFT(INDEX(stable[question],MATCH(questions[[#This Row],[qno]],stable[qno],0)),similarity_range)</f>
        <v>How many coffee vari</v>
      </c>
      <c r="AR313" s="98" t="b">
        <f>questions[[#This Row],[question_first_characters]]=questions[[#This Row],[stability_first_characters]]</f>
        <v>1</v>
      </c>
      <c r="AS313" s="98" t="b">
        <f>IF(OR(questions[[#This Row],[is_single_select]],questions[[#This Row],[is_multi_select]]),NOT(ISBLANK(questions[[#This Row],[answer_opt_combined]])),TRUE)</f>
        <v>1</v>
      </c>
    </row>
    <row r="314" spans="1:45" s="77" customFormat="1" x14ac:dyDescent="0.25">
      <c r="A314" s="77" t="str">
        <f>_xlfn.TEXTJOIN("_",TRUE,questions[[#This Row],[origin]:[qno]])</f>
        <v>Uganda_Arabica_Sbux_7411</v>
      </c>
      <c r="B314" s="77" t="s">
        <v>511</v>
      </c>
      <c r="C314" s="77" t="s">
        <v>59</v>
      </c>
      <c r="D314" s="77" t="s">
        <v>512</v>
      </c>
      <c r="F314" s="104" t="s">
        <v>455</v>
      </c>
      <c r="G314" s="77" t="s">
        <v>456</v>
      </c>
      <c r="H314" s="9" t="str" cm="1">
        <f t="array" ref="H314">INDEX(stableR[question],MATCH(VALUE(questions[[#This Row],[qno]]),VALUE(stableR[qno]),0))</f>
        <v>What % or proportion over the total number of trees of the cultivated area is planted with the main variety?</v>
      </c>
      <c r="I314" s="9" t="b" cm="1">
        <f t="array" ref="I314">INDEX(stable[is_fixed],MATCH(VALUE(questions[[#This Row],[qno]]),VALUE(stable[qno]),0))</f>
        <v>1</v>
      </c>
      <c r="J314" s="9" t="b" cm="1">
        <f t="array" ref="J314">INDEX(stable[is_localized],MATCH(VALUE(questions[[#This Row],[qno]]),VALUE(stable[qno]),0))</f>
        <v>0</v>
      </c>
      <c r="K314" s="9" t="b" cm="1">
        <f t="array" ref="K314">INDEX(stable[is_supply_chain_dependent],MATCH(VALUE(questions[[#This Row],[qno]]),VALUE(stable[qno]),0))</f>
        <v>0</v>
      </c>
      <c r="L314" s="9" t="b" cm="1">
        <f t="array" ref="L314">INDEX(stable[is_mandatory],MATCH(VALUE(questions[[#This Row],[qno]]),VALUE(stable[qno]),0))</f>
        <v>1</v>
      </c>
      <c r="M314" s="9" t="b" cm="1">
        <f t="array" ref="M314">INDEX(stable[is_automated],MATCH(VALUE(questions[[#This Row],[qno]]),VALUE(stable[qno]),0))</f>
        <v>0</v>
      </c>
      <c r="N314" s="9" t="b" cm="1">
        <f t="array" ref="N314">INDEX(stable[is_free_text],MATCH(VALUE(questions[[#This Row],[qno]]),VALUE(stable[qno]),0))</f>
        <v>0</v>
      </c>
      <c r="O314" s="9" t="b" cm="1">
        <f t="array" ref="O314">INDEX(stable[is_numerical],MATCH(VALUE(questions[[#This Row],[qno]]),VALUE(stable[qno]),0))</f>
        <v>0</v>
      </c>
      <c r="P314" s="103" t="b" cm="1">
        <f t="array" ref="P314">INDEX(stable[is_single_select],MATCH(VALUE(questions[[#This Row],[qno]]),VALUE(stable[qno]),0))</f>
        <v>1</v>
      </c>
      <c r="Q314" s="77" t="b" cm="1">
        <f t="array" ref="Q314">INDEX(stable[is_multi_select],MATCH(VALUE(questions[[#This Row],[qno]]),VALUE(stable[qno]),0))</f>
        <v>0</v>
      </c>
      <c r="R314" s="77" t="b" cm="1">
        <f t="array" ref="R314">INDEX(stable[is_skip_logic],MATCH(VALUE(questions[[#This Row],[qno]]),VALUE(stable[qno]),0))</f>
        <v>1</v>
      </c>
      <c r="S314" s="77" t="str">
        <f>_xlfn.TEXTJOIN(", ",TRUE,questions[[#This Row],[ans_opt_1]:[ans_opt_14]])</f>
        <v>1% to 25% - little to a quarter, 26% to 50% - less than half, 51% to 75% - more than half, 76% to 100% - almost all</v>
      </c>
      <c r="T314" s="77" t="s">
        <v>338</v>
      </c>
      <c r="U314" s="77" t="s">
        <v>339</v>
      </c>
      <c r="V314" s="77" t="s">
        <v>340</v>
      </c>
      <c r="W314" s="77" t="s">
        <v>341</v>
      </c>
      <c r="AH314" s="98" t="b">
        <f>INDEX(stable[q_standard],MATCH(questions[[#This Row],[qno]],stable[qno],0))</f>
        <v>0</v>
      </c>
      <c r="AI314" s="98" t="b">
        <f>INDEX(stable[q_living_income],MATCH(questions[[#This Row],[qno]],stable[qno],0))</f>
        <v>0</v>
      </c>
      <c r="AJ314" s="98" t="b">
        <f>INDEX(stable[q_carbon],MATCH(questions[[#This Row],[qno]],stable[qno],0))</f>
        <v>0</v>
      </c>
      <c r="AK314" s="98" t="b">
        <f>INDEX(stable[q_regen_ag],MATCH(questions[[#This Row],[qno]],stable[qno],0))</f>
        <v>1</v>
      </c>
      <c r="AL314" s="98" t="b">
        <f>COUNTIFS(stable[qno],questions[[#This Row],[qno]])=1</f>
        <v>1</v>
      </c>
      <c r="AM314" s="98" t="b">
        <f>OR(questions[[#This Row],[is_fixed]],questions[[#This Row],[is_localized]],questions[[#This Row],[is_supply_chain_dependent]])</f>
        <v>1</v>
      </c>
      <c r="AN314" s="98" t="b">
        <f>COUNTIFS(questions[[#This Row],[is_automated]:[is_multi_select]],TRUE)=1</f>
        <v>1</v>
      </c>
      <c r="AO314" s="98" t="b">
        <f>IF(questions[[#This Row],[is_fixed]],questions[[#This Row],[question]]=INDEX(stable[question],MATCH(questions[[#This Row],[qno]],stable[qno],0)),TRUE)</f>
        <v>0</v>
      </c>
      <c r="AP314" s="98" t="str">
        <f>LEFT(questions[[#This Row],[question]],similarity_range)</f>
        <v>What % or proportion</v>
      </c>
      <c r="AQ314" s="98" t="str">
        <f>LEFT(INDEX(stable[question],MATCH(questions[[#This Row],[qno]],stable[qno],0)),similarity_range)</f>
        <v>What % or proportion</v>
      </c>
      <c r="AR314" s="98" t="b">
        <f>questions[[#This Row],[question_first_characters]]=questions[[#This Row],[stability_first_characters]]</f>
        <v>1</v>
      </c>
      <c r="AS314" s="98" t="b">
        <f>IF(OR(questions[[#This Row],[is_single_select]],questions[[#This Row],[is_multi_select]]),NOT(ISBLANK(questions[[#This Row],[answer_opt_combined]])),TRUE)</f>
        <v>1</v>
      </c>
    </row>
    <row r="315" spans="1:45" s="77" customFormat="1" x14ac:dyDescent="0.25">
      <c r="A315" s="77" t="str">
        <f>_xlfn.TEXTJOIN("_",TRUE,questions[[#This Row],[origin]:[qno]])</f>
        <v>Uganda_Arabica_Sbux_7412</v>
      </c>
      <c r="B315" s="77" t="s">
        <v>511</v>
      </c>
      <c r="C315" s="77" t="s">
        <v>59</v>
      </c>
      <c r="D315" s="77" t="s">
        <v>512</v>
      </c>
      <c r="F315" s="104" t="s">
        <v>457</v>
      </c>
      <c r="G315" s="78" t="s">
        <v>458</v>
      </c>
      <c r="H315" s="9" t="str" cm="1">
        <f t="array" ref="H315">INDEX(stableR[question],MATCH(VALUE(questions[[#This Row],[qno]]),VALUE(stableR[qno]),0))</f>
        <v>If you grow only one variety, how many years ago was this variety planted?</v>
      </c>
      <c r="I315" s="9" t="b" cm="1">
        <f t="array" ref="I315">INDEX(stable[is_fixed],MATCH(VALUE(questions[[#This Row],[qno]]),VALUE(stable[qno]),0))</f>
        <v>1</v>
      </c>
      <c r="J315" s="9" t="b" cm="1">
        <f t="array" ref="J315">INDEX(stable[is_localized],MATCH(VALUE(questions[[#This Row],[qno]]),VALUE(stable[qno]),0))</f>
        <v>0</v>
      </c>
      <c r="K315" s="9" t="b" cm="1">
        <f t="array" ref="K315">INDEX(stable[is_supply_chain_dependent],MATCH(VALUE(questions[[#This Row],[qno]]),VALUE(stable[qno]),0))</f>
        <v>0</v>
      </c>
      <c r="L315" s="9" t="b" cm="1">
        <f t="array" ref="L315">INDEX(stable[is_mandatory],MATCH(VALUE(questions[[#This Row],[qno]]),VALUE(stable[qno]),0))</f>
        <v>0</v>
      </c>
      <c r="M315" s="9" t="b" cm="1">
        <f t="array" ref="M315">INDEX(stable[is_automated],MATCH(VALUE(questions[[#This Row],[qno]]),VALUE(stable[qno]),0))</f>
        <v>0</v>
      </c>
      <c r="N315" s="9" t="b" cm="1">
        <f t="array" ref="N315">INDEX(stable[is_free_text],MATCH(VALUE(questions[[#This Row],[qno]]),VALUE(stable[qno]),0))</f>
        <v>0</v>
      </c>
      <c r="O315" s="9" t="b" cm="1">
        <f t="array" ref="O315">INDEX(stable[is_numerical],MATCH(VALUE(questions[[#This Row],[qno]]),VALUE(stable[qno]),0))</f>
        <v>0</v>
      </c>
      <c r="P315" s="103" t="b" cm="1">
        <f t="array" ref="P315">INDEX(stable[is_single_select],MATCH(VALUE(questions[[#This Row],[qno]]),VALUE(stable[qno]),0))</f>
        <v>1</v>
      </c>
      <c r="Q315" s="77" t="b" cm="1">
        <f t="array" ref="Q315">INDEX(stable[is_multi_select],MATCH(VALUE(questions[[#This Row],[qno]]),VALUE(stable[qno]),0))</f>
        <v>0</v>
      </c>
      <c r="R315" s="77" t="b" cm="1">
        <f t="array" ref="R315">INDEX(stable[is_skip_logic],MATCH(VALUE(questions[[#This Row],[qno]]),VALUE(stable[qno]),0))</f>
        <v>1</v>
      </c>
      <c r="S315" s="77" t="str">
        <f>_xlfn.TEXTJOIN(", ",TRUE,questions[[#This Row],[ans_opt_1]:[ans_opt_14]])</f>
        <v>1-5 years, 6-10 years, 11-15 years, 15-20 years, 20-30 years, &gt;30 years</v>
      </c>
      <c r="T315" s="77" t="s">
        <v>459</v>
      </c>
      <c r="U315" s="77" t="s">
        <v>460</v>
      </c>
      <c r="V315" s="77" t="s">
        <v>461</v>
      </c>
      <c r="W315" s="77" t="s">
        <v>462</v>
      </c>
      <c r="X315" s="77" t="s">
        <v>463</v>
      </c>
      <c r="Y315" s="77" t="s">
        <v>464</v>
      </c>
      <c r="AH315" s="98" t="b">
        <f>INDEX(stable[q_standard],MATCH(questions[[#This Row],[qno]],stable[qno],0))</f>
        <v>0</v>
      </c>
      <c r="AI315" s="98" t="b">
        <f>INDEX(stable[q_living_income],MATCH(questions[[#This Row],[qno]],stable[qno],0))</f>
        <v>0</v>
      </c>
      <c r="AJ315" s="98" t="b">
        <f>INDEX(stable[q_carbon],MATCH(questions[[#This Row],[qno]],stable[qno],0))</f>
        <v>0</v>
      </c>
      <c r="AK315" s="98" t="b">
        <f>INDEX(stable[q_regen_ag],MATCH(questions[[#This Row],[qno]],stable[qno],0))</f>
        <v>1</v>
      </c>
      <c r="AL315" s="98" t="b">
        <f>COUNTIFS(stable[qno],questions[[#This Row],[qno]])=1</f>
        <v>1</v>
      </c>
      <c r="AM315" s="98" t="b">
        <f>OR(questions[[#This Row],[is_fixed]],questions[[#This Row],[is_localized]],questions[[#This Row],[is_supply_chain_dependent]])</f>
        <v>1</v>
      </c>
      <c r="AN315" s="98" t="b">
        <f>COUNTIFS(questions[[#This Row],[is_automated]:[is_multi_select]],TRUE)=1</f>
        <v>1</v>
      </c>
      <c r="AO315" s="98" t="b">
        <f>IF(questions[[#This Row],[is_fixed]],questions[[#This Row],[question]]=INDEX(stable[question],MATCH(questions[[#This Row],[qno]],stable[qno],0)),TRUE)</f>
        <v>1</v>
      </c>
      <c r="AP315" s="98" t="str">
        <f>LEFT(questions[[#This Row],[question]],similarity_range)</f>
        <v>If you grow only one</v>
      </c>
      <c r="AQ315" s="98" t="str">
        <f>LEFT(INDEX(stable[question],MATCH(questions[[#This Row],[qno]],stable[qno],0)),similarity_range)</f>
        <v>If you grow only one</v>
      </c>
      <c r="AR315" s="98" t="b">
        <f>questions[[#This Row],[question_first_characters]]=questions[[#This Row],[stability_first_characters]]</f>
        <v>1</v>
      </c>
      <c r="AS315" s="98" t="b">
        <f>IF(OR(questions[[#This Row],[is_single_select]],questions[[#This Row],[is_multi_select]]),NOT(ISBLANK(questions[[#This Row],[answer_opt_combined]])),TRUE)</f>
        <v>1</v>
      </c>
    </row>
    <row r="316" spans="1:45" s="77" customFormat="1" x14ac:dyDescent="0.25">
      <c r="A316" s="77" t="str">
        <f>_xlfn.TEXTJOIN("_",TRUE,questions[[#This Row],[origin]:[qno]])</f>
        <v>Uganda_Arabica_Sbux_7500</v>
      </c>
      <c r="B316" s="77" t="s">
        <v>511</v>
      </c>
      <c r="C316" s="77" t="s">
        <v>59</v>
      </c>
      <c r="D316" s="77" t="s">
        <v>512</v>
      </c>
      <c r="F316" s="104" t="s">
        <v>465</v>
      </c>
      <c r="G316" s="78" t="s">
        <v>613</v>
      </c>
      <c r="H316" s="9" t="str" cm="1">
        <f t="array" ref="H316">INDEX(stableR[question],MATCH(VALUE(questions[[#This Row],[qno]]),VALUE(stableR[qno]),0))</f>
        <v>Do you plant shade trees and/or fruit trees in your coffee plots?</v>
      </c>
      <c r="I316" s="9" t="b" cm="1">
        <f t="array" ref="I316">INDEX(stable[is_fixed],MATCH(VALUE(questions[[#This Row],[qno]]),VALUE(stable[qno]),0))</f>
        <v>0</v>
      </c>
      <c r="J316" s="9" t="b" cm="1">
        <f t="array" ref="J316">INDEX(stable[is_localized],MATCH(VALUE(questions[[#This Row],[qno]]),VALUE(stable[qno]),0))</f>
        <v>1</v>
      </c>
      <c r="K316" s="9" t="b" cm="1">
        <f t="array" ref="K316">INDEX(stable[is_supply_chain_dependent],MATCH(VALUE(questions[[#This Row],[qno]]),VALUE(stable[qno]),0))</f>
        <v>0</v>
      </c>
      <c r="L316" s="9" t="b" cm="1">
        <f t="array" ref="L316">INDEX(stable[is_mandatory],MATCH(VALUE(questions[[#This Row],[qno]]),VALUE(stable[qno]),0))</f>
        <v>1</v>
      </c>
      <c r="M316" s="9" t="b" cm="1">
        <f t="array" ref="M316">INDEX(stable[is_automated],MATCH(VALUE(questions[[#This Row],[qno]]),VALUE(stable[qno]),0))</f>
        <v>0</v>
      </c>
      <c r="N316" s="9" t="b" cm="1">
        <f t="array" ref="N316">INDEX(stable[is_free_text],MATCH(VALUE(questions[[#This Row],[qno]]),VALUE(stable[qno]),0))</f>
        <v>0</v>
      </c>
      <c r="O316" s="9" t="b" cm="1">
        <f t="array" ref="O316">INDEX(stable[is_numerical],MATCH(VALUE(questions[[#This Row],[qno]]),VALUE(stable[qno]),0))</f>
        <v>0</v>
      </c>
      <c r="P316" s="103" t="b" cm="1">
        <f t="array" ref="P316">INDEX(stable[is_single_select],MATCH(VALUE(questions[[#This Row],[qno]]),VALUE(stable[qno]),0))</f>
        <v>1</v>
      </c>
      <c r="Q316" s="77" t="b" cm="1">
        <f t="array" ref="Q316">INDEX(stable[is_multi_select],MATCH(VALUE(questions[[#This Row],[qno]]),VALUE(stable[qno]),0))</f>
        <v>0</v>
      </c>
      <c r="R316" s="77" t="b" cm="1">
        <f t="array" ref="R316">INDEX(stable[is_skip_logic],MATCH(VALUE(questions[[#This Row],[qno]]),VALUE(stable[qno]),0))</f>
        <v>1</v>
      </c>
      <c r="S316" s="77" t="str">
        <f>_xlfn.TEXTJOIN(", ",TRUE,questions[[#This Row],[ans_opt_1]:[ans_opt_14]])</f>
        <v>No, Yes - forest shade trees, Yes - fruit trees, Yes - mix of forest shade trees and fruit trees</v>
      </c>
      <c r="T316" s="77" t="s">
        <v>119</v>
      </c>
      <c r="U316" s="77" t="s">
        <v>467</v>
      </c>
      <c r="V316" s="77" t="s">
        <v>468</v>
      </c>
      <c r="W316" s="77" t="s">
        <v>469</v>
      </c>
      <c r="AH316" s="98" t="b">
        <f>INDEX(stable[q_standard],MATCH(questions[[#This Row],[qno]],stable[qno],0))</f>
        <v>0</v>
      </c>
      <c r="AI316" s="98" t="b">
        <f>INDEX(stable[q_living_income],MATCH(questions[[#This Row],[qno]],stable[qno],0))</f>
        <v>0</v>
      </c>
      <c r="AJ316" s="98" t="b">
        <f>INDEX(stable[q_carbon],MATCH(questions[[#This Row],[qno]],stable[qno],0))</f>
        <v>0</v>
      </c>
      <c r="AK316" s="98" t="b">
        <f>INDEX(stable[q_regen_ag],MATCH(questions[[#This Row],[qno]],stable[qno],0))</f>
        <v>1</v>
      </c>
      <c r="AL316" s="98" t="b">
        <f>COUNTIFS(stable[qno],questions[[#This Row],[qno]])=1</f>
        <v>1</v>
      </c>
      <c r="AM316" s="98" t="b">
        <f>OR(questions[[#This Row],[is_fixed]],questions[[#This Row],[is_localized]],questions[[#This Row],[is_supply_chain_dependent]])</f>
        <v>1</v>
      </c>
      <c r="AN316" s="98" t="b">
        <f>COUNTIFS(questions[[#This Row],[is_automated]:[is_multi_select]],TRUE)=1</f>
        <v>1</v>
      </c>
      <c r="AO316" s="98" t="b">
        <f>IF(questions[[#This Row],[is_fixed]],questions[[#This Row],[question]]=INDEX(stable[question],MATCH(questions[[#This Row],[qno]],stable[qno],0)),TRUE)</f>
        <v>1</v>
      </c>
      <c r="AP316" s="98" t="str">
        <f>LEFT(questions[[#This Row],[question]],similarity_range)</f>
        <v>Do you plant shade t</v>
      </c>
      <c r="AQ316" s="98" t="str">
        <f>LEFT(INDEX(stable[question],MATCH(questions[[#This Row],[qno]],stable[qno],0)),similarity_range)</f>
        <v>Do you plant shade t</v>
      </c>
      <c r="AR316" s="98" t="b">
        <f>questions[[#This Row],[question_first_characters]]=questions[[#This Row],[stability_first_characters]]</f>
        <v>1</v>
      </c>
      <c r="AS316" s="98" t="b">
        <f>IF(OR(questions[[#This Row],[is_single_select]],questions[[#This Row],[is_multi_select]]),NOT(ISBLANK(questions[[#This Row],[answer_opt_combined]])),TRUE)</f>
        <v>1</v>
      </c>
    </row>
    <row r="317" spans="1:45" s="77" customFormat="1" x14ac:dyDescent="0.25">
      <c r="A317" s="77" t="str">
        <f>_xlfn.TEXTJOIN("_",TRUE,questions[[#This Row],[origin]:[qno]])</f>
        <v>Uganda_Arabica_Sbux_7501</v>
      </c>
      <c r="B317" s="77" t="s">
        <v>511</v>
      </c>
      <c r="C317" s="77" t="s">
        <v>59</v>
      </c>
      <c r="D317" s="77" t="s">
        <v>512</v>
      </c>
      <c r="F317" s="104" t="s">
        <v>470</v>
      </c>
      <c r="G317" s="78" t="s">
        <v>471</v>
      </c>
      <c r="H317" s="9" t="str" cm="1">
        <f t="array" ref="H317">INDEX(stableR[question],MATCH(VALUE(questions[[#This Row],[qno]]),VALUE(stableR[qno]),0))</f>
        <v>If so, on what % or proportion of your coffee plots do you have shade and/or fruit trees? e.g. if all agro-forestry trees are only distributed in a quarter of the coffee plot, and the rest of the plot does not have agro-forestry trees, then it is 25%</v>
      </c>
      <c r="I317" s="9" t="b" cm="1">
        <f t="array" ref="I317">INDEX(stable[is_fixed],MATCH(VALUE(questions[[#This Row],[qno]]),VALUE(stable[qno]),0))</f>
        <v>1</v>
      </c>
      <c r="J317" s="9" t="b" cm="1">
        <f t="array" ref="J317">INDEX(stable[is_localized],MATCH(VALUE(questions[[#This Row],[qno]]),VALUE(stable[qno]),0))</f>
        <v>0</v>
      </c>
      <c r="K317" s="9" t="b" cm="1">
        <f t="array" ref="K317">INDEX(stable[is_supply_chain_dependent],MATCH(VALUE(questions[[#This Row],[qno]]),VALUE(stable[qno]),0))</f>
        <v>0</v>
      </c>
      <c r="L317" s="9" t="b" cm="1">
        <f t="array" ref="L317">INDEX(stable[is_mandatory],MATCH(VALUE(questions[[#This Row],[qno]]),VALUE(stable[qno]),0))</f>
        <v>0</v>
      </c>
      <c r="M317" s="9" t="b" cm="1">
        <f t="array" ref="M317">INDEX(stable[is_automated],MATCH(VALUE(questions[[#This Row],[qno]]),VALUE(stable[qno]),0))</f>
        <v>0</v>
      </c>
      <c r="N317" s="9" t="b" cm="1">
        <f t="array" ref="N317">INDEX(stable[is_free_text],MATCH(VALUE(questions[[#This Row],[qno]]),VALUE(stable[qno]),0))</f>
        <v>0</v>
      </c>
      <c r="O317" s="9" t="b" cm="1">
        <f t="array" ref="O317">INDEX(stable[is_numerical],MATCH(VALUE(questions[[#This Row],[qno]]),VALUE(stable[qno]),0))</f>
        <v>0</v>
      </c>
      <c r="P317" s="103" t="b" cm="1">
        <f t="array" ref="P317">INDEX(stable[is_single_select],MATCH(VALUE(questions[[#This Row],[qno]]),VALUE(stable[qno]),0))</f>
        <v>1</v>
      </c>
      <c r="Q317" s="77" t="b" cm="1">
        <f t="array" ref="Q317">INDEX(stable[is_multi_select],MATCH(VALUE(questions[[#This Row],[qno]]),VALUE(stable[qno]),0))</f>
        <v>0</v>
      </c>
      <c r="R317" s="77" t="b" cm="1">
        <f t="array" ref="R317">INDEX(stable[is_skip_logic],MATCH(VALUE(questions[[#This Row],[qno]]),VALUE(stable[qno]),0))</f>
        <v>1</v>
      </c>
      <c r="S317" s="77" t="str">
        <f>_xlfn.TEXTJOIN(", ",TRUE,questions[[#This Row],[ans_opt_1]:[ans_opt_14]])</f>
        <v>1% to 25% - little to a quarter, 26% to 50% - less than half, 51% to 75% - more than half, 76% to 100% - almost all</v>
      </c>
      <c r="T317" s="77" t="s">
        <v>338</v>
      </c>
      <c r="U317" s="77" t="s">
        <v>339</v>
      </c>
      <c r="V317" s="77" t="s">
        <v>340</v>
      </c>
      <c r="W317" s="77" t="s">
        <v>341</v>
      </c>
      <c r="AH317" s="98" t="b">
        <f>INDEX(stable[q_standard],MATCH(questions[[#This Row],[qno]],stable[qno],0))</f>
        <v>0</v>
      </c>
      <c r="AI317" s="98" t="b">
        <f>INDEX(stable[q_living_income],MATCH(questions[[#This Row],[qno]],stable[qno],0))</f>
        <v>0</v>
      </c>
      <c r="AJ317" s="98" t="b">
        <f>INDEX(stable[q_carbon],MATCH(questions[[#This Row],[qno]],stable[qno],0))</f>
        <v>0</v>
      </c>
      <c r="AK317" s="98" t="b">
        <f>INDEX(stable[q_regen_ag],MATCH(questions[[#This Row],[qno]],stable[qno],0))</f>
        <v>1</v>
      </c>
      <c r="AL317" s="98" t="b">
        <f>COUNTIFS(stable[qno],questions[[#This Row],[qno]])=1</f>
        <v>1</v>
      </c>
      <c r="AM317" s="98" t="b">
        <f>OR(questions[[#This Row],[is_fixed]],questions[[#This Row],[is_localized]],questions[[#This Row],[is_supply_chain_dependent]])</f>
        <v>1</v>
      </c>
      <c r="AN317" s="98" t="b">
        <f>COUNTIFS(questions[[#This Row],[is_automated]:[is_multi_select]],TRUE)=1</f>
        <v>1</v>
      </c>
      <c r="AO317" s="98" t="b">
        <f>IF(questions[[#This Row],[is_fixed]],questions[[#This Row],[question]]=INDEX(stable[question],MATCH(questions[[#This Row],[qno]],stable[qno],0)),TRUE)</f>
        <v>1</v>
      </c>
      <c r="AP317" s="98" t="str">
        <f>LEFT(questions[[#This Row],[question]],similarity_range)</f>
        <v xml:space="preserve">If so, on what % or </v>
      </c>
      <c r="AQ317" s="98" t="str">
        <f>LEFT(INDEX(stable[question],MATCH(questions[[#This Row],[qno]],stable[qno],0)),similarity_range)</f>
        <v xml:space="preserve">If so, on what % or </v>
      </c>
      <c r="AR317" s="98" t="b">
        <f>questions[[#This Row],[question_first_characters]]=questions[[#This Row],[stability_first_characters]]</f>
        <v>1</v>
      </c>
      <c r="AS317" s="98" t="b">
        <f>IF(OR(questions[[#This Row],[is_single_select]],questions[[#This Row],[is_multi_select]]),NOT(ISBLANK(questions[[#This Row],[answer_opt_combined]])),TRUE)</f>
        <v>1</v>
      </c>
    </row>
    <row r="318" spans="1:45" x14ac:dyDescent="0.25">
      <c r="A318" s="9" t="str">
        <f>_xlfn.TEXTJOIN("_",TRUE,questions[[#This Row],[origin]:[qno]])</f>
        <v>Uganda_Arabica_Sbux_7502</v>
      </c>
      <c r="B318" s="9" t="s">
        <v>511</v>
      </c>
      <c r="C318" s="9" t="s">
        <v>59</v>
      </c>
      <c r="D318" s="9" t="s">
        <v>512</v>
      </c>
      <c r="F318" s="24" t="s">
        <v>472</v>
      </c>
      <c r="G318" s="15" t="s">
        <v>473</v>
      </c>
      <c r="H318" s="9" t="str" cm="1">
        <f t="array" ref="H318">INDEX(stableR[question],MATCH(VALUE(questions[[#This Row],[qno]]),VALUE(stableR[qno]),0))</f>
        <v>How many different species of shade and/or fruit trees do you have in your coffee plots?</v>
      </c>
      <c r="I318" s="9" t="b" cm="1">
        <f t="array" ref="I318">INDEX(stable[is_fixed],MATCH(VALUE(questions[[#This Row],[qno]]),VALUE(stable[qno]),0))</f>
        <v>1</v>
      </c>
      <c r="J318" s="9" t="b" cm="1">
        <f t="array" ref="J318">INDEX(stable[is_localized],MATCH(VALUE(questions[[#This Row],[qno]]),VALUE(stable[qno]),0))</f>
        <v>0</v>
      </c>
      <c r="K318" s="9" t="b" cm="1">
        <f t="array" ref="K318">INDEX(stable[is_supply_chain_dependent],MATCH(VALUE(questions[[#This Row],[qno]]),VALUE(stable[qno]),0))</f>
        <v>0</v>
      </c>
      <c r="L318" s="9" t="b" cm="1">
        <f t="array" ref="L318">INDEX(stable[is_mandatory],MATCH(VALUE(questions[[#This Row],[qno]]),VALUE(stable[qno]),0))</f>
        <v>0</v>
      </c>
      <c r="M318" s="9" t="b" cm="1">
        <f t="array" ref="M318">INDEX(stable[is_automated],MATCH(VALUE(questions[[#This Row],[qno]]),VALUE(stable[qno]),0))</f>
        <v>0</v>
      </c>
      <c r="N318" s="9" t="b" cm="1">
        <f t="array" ref="N318">INDEX(stable[is_free_text],MATCH(VALUE(questions[[#This Row],[qno]]),VALUE(stable[qno]),0))</f>
        <v>0</v>
      </c>
      <c r="O318" s="9" t="b" cm="1">
        <f t="array" ref="O318">INDEX(stable[is_numerical],MATCH(VALUE(questions[[#This Row],[qno]]),VALUE(stable[qno]),0))</f>
        <v>1</v>
      </c>
      <c r="P318" s="32" t="b" cm="1">
        <f t="array" ref="P318">INDEX(stable[is_single_select],MATCH(VALUE(questions[[#This Row],[qno]]),VALUE(stable[qno]),0))</f>
        <v>0</v>
      </c>
      <c r="Q318" s="9" t="b" cm="1">
        <f t="array" ref="Q318">INDEX(stable[is_multi_select],MATCH(VALUE(questions[[#This Row],[qno]]),VALUE(stable[qno]),0))</f>
        <v>0</v>
      </c>
      <c r="R318" s="9" t="b" cm="1">
        <f t="array" ref="R318">INDEX(stable[is_skip_logic],MATCH(VALUE(questions[[#This Row],[qno]]),VALUE(stable[qno]),0))</f>
        <v>0</v>
      </c>
      <c r="S318" s="9" t="str">
        <f>_xlfn.TEXTJOIN(", ",TRUE,questions[[#This Row],[ans_opt_1]:[ans_opt_14]])</f>
        <v/>
      </c>
      <c r="AH318" s="16" t="b">
        <f>INDEX(stable[q_standard],MATCH(questions[[#This Row],[qno]],stable[qno],0))</f>
        <v>0</v>
      </c>
      <c r="AI318" s="16" t="b">
        <f>INDEX(stable[q_living_income],MATCH(questions[[#This Row],[qno]],stable[qno],0))</f>
        <v>0</v>
      </c>
      <c r="AJ318" s="16" t="b">
        <f>INDEX(stable[q_carbon],MATCH(questions[[#This Row],[qno]],stable[qno],0))</f>
        <v>0</v>
      </c>
      <c r="AK318" s="16" t="b">
        <f>INDEX(stable[q_regen_ag],MATCH(questions[[#This Row],[qno]],stable[qno],0))</f>
        <v>1</v>
      </c>
      <c r="AL318" s="16" t="b">
        <f>COUNTIFS(stable[qno],questions[[#This Row],[qno]])=1</f>
        <v>1</v>
      </c>
      <c r="AM318" s="16" t="b">
        <f>OR(questions[[#This Row],[is_fixed]],questions[[#This Row],[is_localized]],questions[[#This Row],[is_supply_chain_dependent]])</f>
        <v>1</v>
      </c>
      <c r="AN318" s="16" t="b">
        <f>COUNTIFS(questions[[#This Row],[is_automated]:[is_multi_select]],TRUE)=1</f>
        <v>1</v>
      </c>
      <c r="AO318" s="16" t="b">
        <f>IF(questions[[#This Row],[is_fixed]],questions[[#This Row],[question]]=INDEX(stable[question],MATCH(questions[[#This Row],[qno]],stable[qno],0)),TRUE)</f>
        <v>1</v>
      </c>
      <c r="AP318" s="16" t="str">
        <f>LEFT(questions[[#This Row],[question]],similarity_range)</f>
        <v>How many different s</v>
      </c>
      <c r="AQ318" s="16" t="str">
        <f>LEFT(INDEX(stable[question],MATCH(questions[[#This Row],[qno]],stable[qno],0)),similarity_range)</f>
        <v>How many different s</v>
      </c>
      <c r="AR318" s="16" t="b">
        <f>questions[[#This Row],[question_first_characters]]=questions[[#This Row],[stability_first_characters]]</f>
        <v>1</v>
      </c>
      <c r="AS318" s="16" t="b">
        <f>IF(OR(questions[[#This Row],[is_single_select]],questions[[#This Row],[is_multi_select]]),NOT(ISBLANK(questions[[#This Row],[answer_opt_combined]])),TRUE)</f>
        <v>1</v>
      </c>
    </row>
    <row r="319" spans="1:45" x14ac:dyDescent="0.25">
      <c r="A319" s="9" t="str">
        <f>_xlfn.TEXTJOIN("_",TRUE,questions[[#This Row],[origin]:[qno]])</f>
        <v>Uganda_Arabica_Sbux_7503</v>
      </c>
      <c r="B319" s="9" t="s">
        <v>511</v>
      </c>
      <c r="C319" s="9" t="s">
        <v>59</v>
      </c>
      <c r="D319" s="9" t="s">
        <v>512</v>
      </c>
      <c r="F319" s="24" t="s">
        <v>474</v>
      </c>
      <c r="G319" s="15" t="s">
        <v>475</v>
      </c>
      <c r="H319" s="9" t="str" cm="1">
        <f t="array" ref="H319">INDEX(stableR[question],MATCH(VALUE(questions[[#This Row],[qno]]),VALUE(stableR[qno]),0))</f>
        <v>Can you estimate how many shade trees (including fruit and other trees) you have in your coffee plots, in total (inside and boundary trees)?</v>
      </c>
      <c r="I319" s="9" t="b" cm="1">
        <f t="array" ref="I319">INDEX(stable[is_fixed],MATCH(VALUE(questions[[#This Row],[qno]]),VALUE(stable[qno]),0))</f>
        <v>1</v>
      </c>
      <c r="J319" s="9" t="b" cm="1">
        <f t="array" ref="J319">INDEX(stable[is_localized],MATCH(VALUE(questions[[#This Row],[qno]]),VALUE(stable[qno]),0))</f>
        <v>0</v>
      </c>
      <c r="K319" s="9" t="b" cm="1">
        <f t="array" ref="K319">INDEX(stable[is_supply_chain_dependent],MATCH(VALUE(questions[[#This Row],[qno]]),VALUE(stable[qno]),0))</f>
        <v>0</v>
      </c>
      <c r="L319" s="9" t="b" cm="1">
        <f t="array" ref="L319">INDEX(stable[is_mandatory],MATCH(VALUE(questions[[#This Row],[qno]]),VALUE(stable[qno]),0))</f>
        <v>0</v>
      </c>
      <c r="M319" s="9" t="b" cm="1">
        <f t="array" ref="M319">INDEX(stable[is_automated],MATCH(VALUE(questions[[#This Row],[qno]]),VALUE(stable[qno]),0))</f>
        <v>0</v>
      </c>
      <c r="N319" s="9" t="b" cm="1">
        <f t="array" ref="N319">INDEX(stable[is_free_text],MATCH(VALUE(questions[[#This Row],[qno]]),VALUE(stable[qno]),0))</f>
        <v>0</v>
      </c>
      <c r="O319" s="9" t="b" cm="1">
        <f t="array" ref="O319">INDEX(stable[is_numerical],MATCH(VALUE(questions[[#This Row],[qno]]),VALUE(stable[qno]),0))</f>
        <v>1</v>
      </c>
      <c r="P319" s="32" t="b" cm="1">
        <f t="array" ref="P319">INDEX(stable[is_single_select],MATCH(VALUE(questions[[#This Row],[qno]]),VALUE(stable[qno]),0))</f>
        <v>0</v>
      </c>
      <c r="Q319" s="9" t="b" cm="1">
        <f t="array" ref="Q319">INDEX(stable[is_multi_select],MATCH(VALUE(questions[[#This Row],[qno]]),VALUE(stable[qno]),0))</f>
        <v>0</v>
      </c>
      <c r="R319" s="9" t="b" cm="1">
        <f t="array" ref="R319">INDEX(stable[is_skip_logic],MATCH(VALUE(questions[[#This Row],[qno]]),VALUE(stable[qno]),0))</f>
        <v>0</v>
      </c>
      <c r="S319" s="9" t="str">
        <f>_xlfn.TEXTJOIN(", ",TRUE,questions[[#This Row],[ans_opt_1]:[ans_opt_14]])</f>
        <v/>
      </c>
      <c r="AH319" s="16" t="b">
        <f>INDEX(stable[q_standard],MATCH(questions[[#This Row],[qno]],stable[qno],0))</f>
        <v>0</v>
      </c>
      <c r="AI319" s="16" t="b">
        <f>INDEX(stable[q_living_income],MATCH(questions[[#This Row],[qno]],stable[qno],0))</f>
        <v>0</v>
      </c>
      <c r="AJ319" s="16" t="b">
        <f>INDEX(stable[q_carbon],MATCH(questions[[#This Row],[qno]],stable[qno],0))</f>
        <v>0</v>
      </c>
      <c r="AK319" s="16" t="b">
        <f>INDEX(stable[q_regen_ag],MATCH(questions[[#This Row],[qno]],stable[qno],0))</f>
        <v>1</v>
      </c>
      <c r="AL319" s="16" t="b">
        <f>COUNTIFS(stable[qno],questions[[#This Row],[qno]])=1</f>
        <v>1</v>
      </c>
      <c r="AM319" s="16" t="b">
        <f>OR(questions[[#This Row],[is_fixed]],questions[[#This Row],[is_localized]],questions[[#This Row],[is_supply_chain_dependent]])</f>
        <v>1</v>
      </c>
      <c r="AN319" s="16" t="b">
        <f>COUNTIFS(questions[[#This Row],[is_automated]:[is_multi_select]],TRUE)=1</f>
        <v>1</v>
      </c>
      <c r="AO319" s="16" t="b">
        <f>IF(questions[[#This Row],[is_fixed]],questions[[#This Row],[question]]=INDEX(stable[question],MATCH(questions[[#This Row],[qno]],stable[qno],0)),TRUE)</f>
        <v>1</v>
      </c>
      <c r="AP319" s="16" t="str">
        <f>LEFT(questions[[#This Row],[question]],similarity_range)</f>
        <v>Can you estimate how</v>
      </c>
      <c r="AQ319" s="16" t="str">
        <f>LEFT(INDEX(stable[question],MATCH(questions[[#This Row],[qno]],stable[qno],0)),similarity_range)</f>
        <v>Can you estimate how</v>
      </c>
      <c r="AR319" s="16" t="b">
        <f>questions[[#This Row],[question_first_characters]]=questions[[#This Row],[stability_first_characters]]</f>
        <v>1</v>
      </c>
      <c r="AS319" s="16" t="b">
        <f>IF(OR(questions[[#This Row],[is_single_select]],questions[[#This Row],[is_multi_select]]),NOT(ISBLANK(questions[[#This Row],[answer_opt_combined]])),TRUE)</f>
        <v>1</v>
      </c>
    </row>
    <row r="320" spans="1:45" s="77" customFormat="1" x14ac:dyDescent="0.25">
      <c r="A320" s="77" t="str">
        <f>_xlfn.TEXTJOIN("_",TRUE,questions[[#This Row],[origin]:[qno]])</f>
        <v>Uganda_Arabica_Sbux_7504</v>
      </c>
      <c r="B320" s="77" t="s">
        <v>511</v>
      </c>
      <c r="C320" s="77" t="s">
        <v>59</v>
      </c>
      <c r="D320" s="77" t="s">
        <v>512</v>
      </c>
      <c r="F320" s="104" t="s">
        <v>476</v>
      </c>
      <c r="G320" s="78" t="s">
        <v>477</v>
      </c>
      <c r="H320" s="9" t="str" cm="1">
        <f t="array" ref="H320">INDEX(stableR[question],MATCH(VALUE(questions[[#This Row],[qno]]),VALUE(stableR[qno]),0))</f>
        <v>What describes best the size of these shade trees?</v>
      </c>
      <c r="I320" s="9" t="b" cm="1">
        <f t="array" ref="I320">INDEX(stable[is_fixed],MATCH(VALUE(questions[[#This Row],[qno]]),VALUE(stable[qno]),0))</f>
        <v>1</v>
      </c>
      <c r="J320" s="9" t="b" cm="1">
        <f t="array" ref="J320">INDEX(stable[is_localized],MATCH(VALUE(questions[[#This Row],[qno]]),VALUE(stable[qno]),0))</f>
        <v>0</v>
      </c>
      <c r="K320" s="9" t="b" cm="1">
        <f t="array" ref="K320">INDEX(stable[is_supply_chain_dependent],MATCH(VALUE(questions[[#This Row],[qno]]),VALUE(stable[qno]),0))</f>
        <v>0</v>
      </c>
      <c r="L320" s="9" t="b" cm="1">
        <f t="array" ref="L320">INDEX(stable[is_mandatory],MATCH(VALUE(questions[[#This Row],[qno]]),VALUE(stable[qno]),0))</f>
        <v>0</v>
      </c>
      <c r="M320" s="9" t="b" cm="1">
        <f t="array" ref="M320">INDEX(stable[is_automated],MATCH(VALUE(questions[[#This Row],[qno]]),VALUE(stable[qno]),0))</f>
        <v>0</v>
      </c>
      <c r="N320" s="9" t="b" cm="1">
        <f t="array" ref="N320">INDEX(stable[is_free_text],MATCH(VALUE(questions[[#This Row],[qno]]),VALUE(stable[qno]),0))</f>
        <v>0</v>
      </c>
      <c r="O320" s="9" t="b" cm="1">
        <f t="array" ref="O320">INDEX(stable[is_numerical],MATCH(VALUE(questions[[#This Row],[qno]]),VALUE(stable[qno]),0))</f>
        <v>0</v>
      </c>
      <c r="P320" s="103" t="b" cm="1">
        <f t="array" ref="P320">INDEX(stable[is_single_select],MATCH(VALUE(questions[[#This Row],[qno]]),VALUE(stable[qno]),0))</f>
        <v>1</v>
      </c>
      <c r="Q320" s="77" t="b" cm="1">
        <f t="array" ref="Q320">INDEX(stable[is_multi_select],MATCH(VALUE(questions[[#This Row],[qno]]),VALUE(stable[qno]),0))</f>
        <v>0</v>
      </c>
      <c r="R320" s="77" t="b" cm="1">
        <f t="array" ref="R320">INDEX(stable[is_skip_logic],MATCH(VALUE(questions[[#This Row],[qno]]),VALUE(stable[qno]),0))</f>
        <v>0</v>
      </c>
      <c r="S320" s="77" t="str">
        <f>_xlfn.TEXTJOIN(", ",TRUE,questions[[#This Row],[ans_opt_1]:[ans_opt_14]])</f>
        <v>Big sized, full grown, shade trees, Medium sized shade trees- including fruit trees, Multipurpose mix of trees(different types &amp; sizes)</v>
      </c>
      <c r="T320" s="77" t="s">
        <v>478</v>
      </c>
      <c r="U320" s="77" t="s">
        <v>479</v>
      </c>
      <c r="V320" s="77" t="s">
        <v>480</v>
      </c>
      <c r="AH320" s="98" t="b">
        <f>INDEX(stable[q_standard],MATCH(questions[[#This Row],[qno]],stable[qno],0))</f>
        <v>0</v>
      </c>
      <c r="AI320" s="98" t="b">
        <f>INDEX(stable[q_living_income],MATCH(questions[[#This Row],[qno]],stable[qno],0))</f>
        <v>0</v>
      </c>
      <c r="AJ320" s="98" t="b">
        <f>INDEX(stable[q_carbon],MATCH(questions[[#This Row],[qno]],stable[qno],0))</f>
        <v>0</v>
      </c>
      <c r="AK320" s="98" t="b">
        <f>INDEX(stable[q_regen_ag],MATCH(questions[[#This Row],[qno]],stable[qno],0))</f>
        <v>1</v>
      </c>
      <c r="AL320" s="98" t="b">
        <f>COUNTIFS(stable[qno],questions[[#This Row],[qno]])=1</f>
        <v>1</v>
      </c>
      <c r="AM320" s="98" t="b">
        <f>OR(questions[[#This Row],[is_fixed]],questions[[#This Row],[is_localized]],questions[[#This Row],[is_supply_chain_dependent]])</f>
        <v>1</v>
      </c>
      <c r="AN320" s="98" t="b">
        <f>COUNTIFS(questions[[#This Row],[is_automated]:[is_multi_select]],TRUE)=1</f>
        <v>1</v>
      </c>
      <c r="AO320" s="98" t="b">
        <f>IF(questions[[#This Row],[is_fixed]],questions[[#This Row],[question]]=INDEX(stable[question],MATCH(questions[[#This Row],[qno]],stable[qno],0)),TRUE)</f>
        <v>1</v>
      </c>
      <c r="AP320" s="98" t="str">
        <f>LEFT(questions[[#This Row],[question]],similarity_range)</f>
        <v xml:space="preserve">What describes best </v>
      </c>
      <c r="AQ320" s="98" t="str">
        <f>LEFT(INDEX(stable[question],MATCH(questions[[#This Row],[qno]],stable[qno],0)),similarity_range)</f>
        <v xml:space="preserve">What describes best </v>
      </c>
      <c r="AR320" s="98" t="b">
        <f>questions[[#This Row],[question_first_characters]]=questions[[#This Row],[stability_first_characters]]</f>
        <v>1</v>
      </c>
      <c r="AS320" s="98" t="b">
        <f>IF(OR(questions[[#This Row],[is_single_select]],questions[[#This Row],[is_multi_select]]),NOT(ISBLANK(questions[[#This Row],[answer_opt_combined]])),TRUE)</f>
        <v>1</v>
      </c>
    </row>
    <row r="321" spans="1:45" s="77" customFormat="1" x14ac:dyDescent="0.25">
      <c r="A321" s="77" t="str">
        <f>_xlfn.TEXTJOIN("_",TRUE,questions[[#This Row],[origin]:[qno]])</f>
        <v>Uganda_Arabica_Sbux_7505</v>
      </c>
      <c r="B321" s="77" t="s">
        <v>511</v>
      </c>
      <c r="C321" s="77" t="s">
        <v>59</v>
      </c>
      <c r="D321" s="77" t="s">
        <v>512</v>
      </c>
      <c r="F321" s="104" t="s">
        <v>614</v>
      </c>
      <c r="G321" s="78" t="s">
        <v>615</v>
      </c>
      <c r="H321" s="9" t="str" cm="1">
        <f t="array" ref="H321">INDEX(stableR[question],MATCH(VALUE(questions[[#This Row],[qno]]),VALUE(stableR[qno]),0))</f>
        <v>If planting trees is only possible in the coffee plot boundaries/perimeter (i.e. due to mechanical harvest and/or tree species used are only suitable for boundaries), do you have &gt;= 75% of boundaries/perimeter with boundary trees, AND use 3 or more tree species?</v>
      </c>
      <c r="I321" s="9" t="b" cm="1">
        <f t="array" ref="I321">INDEX(stable[is_fixed],MATCH(VALUE(questions[[#This Row],[qno]]),VALUE(stable[qno]),0))</f>
        <v>0</v>
      </c>
      <c r="J321" s="9" t="b" cm="1">
        <f t="array" ref="J321">INDEX(stable[is_localized],MATCH(VALUE(questions[[#This Row],[qno]]),VALUE(stable[qno]),0))</f>
        <v>0</v>
      </c>
      <c r="K321" s="9" t="b" cm="1">
        <f t="array" ref="K321">INDEX(stable[is_supply_chain_dependent],MATCH(VALUE(questions[[#This Row],[qno]]),VALUE(stable[qno]),0))</f>
        <v>1</v>
      </c>
      <c r="L321" s="9" t="b" cm="1">
        <f t="array" ref="L321">INDEX(stable[is_mandatory],MATCH(VALUE(questions[[#This Row],[qno]]),VALUE(stable[qno]),0))</f>
        <v>0</v>
      </c>
      <c r="M321" s="9" t="b" cm="1">
        <f t="array" ref="M321">INDEX(stable[is_automated],MATCH(VALUE(questions[[#This Row],[qno]]),VALUE(stable[qno]),0))</f>
        <v>0</v>
      </c>
      <c r="N321" s="9" t="b" cm="1">
        <f t="array" ref="N321">INDEX(stable[is_free_text],MATCH(VALUE(questions[[#This Row],[qno]]),VALUE(stable[qno]),0))</f>
        <v>0</v>
      </c>
      <c r="O321" s="9" t="b" cm="1">
        <f t="array" ref="O321">INDEX(stable[is_numerical],MATCH(VALUE(questions[[#This Row],[qno]]),VALUE(stable[qno]),0))</f>
        <v>0</v>
      </c>
      <c r="P321" s="103" t="b" cm="1">
        <f t="array" ref="P321">INDEX(stable[is_single_select],MATCH(VALUE(questions[[#This Row],[qno]]),VALUE(stable[qno]),0))</f>
        <v>1</v>
      </c>
      <c r="Q321" s="77" t="b" cm="1">
        <f t="array" ref="Q321">INDEX(stable[is_multi_select],MATCH(VALUE(questions[[#This Row],[qno]]),VALUE(stable[qno]),0))</f>
        <v>0</v>
      </c>
      <c r="R321" s="77" t="b" cm="1">
        <f t="array" ref="R321">INDEX(stable[is_skip_logic],MATCH(VALUE(questions[[#This Row],[qno]]),VALUE(stable[qno]),0))</f>
        <v>0</v>
      </c>
      <c r="S321" s="77" t="str">
        <f>_xlfn.TEXTJOIN(", ",TRUE,questions[[#This Row],[ans_opt_1]:[ans_opt_14]])</f>
        <v>Yes, No</v>
      </c>
      <c r="T321" s="77" t="s">
        <v>149</v>
      </c>
      <c r="U321" s="77" t="s">
        <v>119</v>
      </c>
      <c r="AH321" s="98" t="b">
        <f>INDEX(stable[q_standard],MATCH(questions[[#This Row],[qno]],stable[qno],0))</f>
        <v>0</v>
      </c>
      <c r="AI321" s="98" t="b">
        <f>INDEX(stable[q_living_income],MATCH(questions[[#This Row],[qno]],stable[qno],0))</f>
        <v>0</v>
      </c>
      <c r="AJ321" s="98" t="b">
        <f>INDEX(stable[q_carbon],MATCH(questions[[#This Row],[qno]],stable[qno],0))</f>
        <v>0</v>
      </c>
      <c r="AK321" s="98" t="b">
        <f>INDEX(stable[q_regen_ag],MATCH(questions[[#This Row],[qno]],stable[qno],0))</f>
        <v>1</v>
      </c>
      <c r="AL321" s="98" t="b">
        <f>COUNTIFS(stable[qno],questions[[#This Row],[qno]])=1</f>
        <v>1</v>
      </c>
      <c r="AM321" s="98" t="b">
        <f>OR(questions[[#This Row],[is_fixed]],questions[[#This Row],[is_localized]],questions[[#This Row],[is_supply_chain_dependent]])</f>
        <v>1</v>
      </c>
      <c r="AN321" s="98" t="b">
        <f>COUNTIFS(questions[[#This Row],[is_automated]:[is_multi_select]],TRUE)=1</f>
        <v>1</v>
      </c>
      <c r="AO321" s="98" t="b">
        <f>IF(questions[[#This Row],[is_fixed]],questions[[#This Row],[question]]=INDEX(stable[question],MATCH(questions[[#This Row],[qno]],stable[qno],0)),TRUE)</f>
        <v>1</v>
      </c>
      <c r="AP321" s="98" t="str">
        <f>LEFT(questions[[#This Row],[question]],similarity_range)</f>
        <v>If planting trees is</v>
      </c>
      <c r="AQ321" s="98" t="str">
        <f>LEFT(INDEX(stable[question],MATCH(questions[[#This Row],[qno]],stable[qno],0)),similarity_range)</f>
        <v>If planting trees is</v>
      </c>
      <c r="AR321" s="98" t="b">
        <f>questions[[#This Row],[question_first_characters]]=questions[[#This Row],[stability_first_characters]]</f>
        <v>1</v>
      </c>
      <c r="AS321" s="98" t="b">
        <f>IF(OR(questions[[#This Row],[is_single_select]],questions[[#This Row],[is_multi_select]]),NOT(ISBLANK(questions[[#This Row],[answer_opt_combined]])),TRUE)</f>
        <v>1</v>
      </c>
    </row>
    <row r="322" spans="1:45" s="77" customFormat="1" x14ac:dyDescent="0.25">
      <c r="A322" s="77" t="str">
        <f>_xlfn.TEXTJOIN("_",TRUE,questions[[#This Row],[origin]:[qno]])</f>
        <v>Uganda_Arabica_Sbux_7600</v>
      </c>
      <c r="B322" s="77" t="s">
        <v>511</v>
      </c>
      <c r="C322" s="77" t="s">
        <v>59</v>
      </c>
      <c r="D322" s="77" t="s">
        <v>512</v>
      </c>
      <c r="F322" s="104" t="s">
        <v>481</v>
      </c>
      <c r="G322" s="78" t="s">
        <v>482</v>
      </c>
      <c r="H322" s="9" t="str" cm="1">
        <f t="array" ref="H322">INDEX(stableR[question],MATCH(VALUE(questions[[#This Row],[qno]]),VALUE(stableR[qno]),0))</f>
        <v>Do you keep bee hives in your farm (own bee hives or termporary during flowering season)?</v>
      </c>
      <c r="I322" s="9" t="b" cm="1">
        <f t="array" ref="I322">INDEX(stable[is_fixed],MATCH(VALUE(questions[[#This Row],[qno]]),VALUE(stable[qno]),0))</f>
        <v>1</v>
      </c>
      <c r="J322" s="9" t="b" cm="1">
        <f t="array" ref="J322">INDEX(stable[is_localized],MATCH(VALUE(questions[[#This Row],[qno]]),VALUE(stable[qno]),0))</f>
        <v>0</v>
      </c>
      <c r="K322" s="9" t="b" cm="1">
        <f t="array" ref="K322">INDEX(stable[is_supply_chain_dependent],MATCH(VALUE(questions[[#This Row],[qno]]),VALUE(stable[qno]),0))</f>
        <v>0</v>
      </c>
      <c r="L322" s="9" t="b" cm="1">
        <f t="array" ref="L322">INDEX(stable[is_mandatory],MATCH(VALUE(questions[[#This Row],[qno]]),VALUE(stable[qno]),0))</f>
        <v>1</v>
      </c>
      <c r="M322" s="9" t="b" cm="1">
        <f t="array" ref="M322">INDEX(stable[is_automated],MATCH(VALUE(questions[[#This Row],[qno]]),VALUE(stable[qno]),0))</f>
        <v>0</v>
      </c>
      <c r="N322" s="9" t="b" cm="1">
        <f t="array" ref="N322">INDEX(stable[is_free_text],MATCH(VALUE(questions[[#This Row],[qno]]),VALUE(stable[qno]),0))</f>
        <v>0</v>
      </c>
      <c r="O322" s="9" t="b" cm="1">
        <f t="array" ref="O322">INDEX(stable[is_numerical],MATCH(VALUE(questions[[#This Row],[qno]]),VALUE(stable[qno]),0))</f>
        <v>0</v>
      </c>
      <c r="P322" s="103" t="b" cm="1">
        <f t="array" ref="P322">INDEX(stable[is_single_select],MATCH(VALUE(questions[[#This Row],[qno]]),VALUE(stable[qno]),0))</f>
        <v>1</v>
      </c>
      <c r="Q322" s="77" t="b" cm="1">
        <f t="array" ref="Q322">INDEX(stable[is_multi_select],MATCH(VALUE(questions[[#This Row],[qno]]),VALUE(stable[qno]),0))</f>
        <v>0</v>
      </c>
      <c r="R322" s="77" t="b" cm="1">
        <f t="array" ref="R322">INDEX(stable[is_skip_logic],MATCH(VALUE(questions[[#This Row],[qno]]),VALUE(stable[qno]),0))</f>
        <v>0</v>
      </c>
      <c r="S322" s="77" t="str">
        <f>_xlfn.TEXTJOIN(", ",TRUE,questions[[#This Row],[ans_opt_1]:[ans_opt_14]])</f>
        <v>Yes, No</v>
      </c>
      <c r="T322" s="77" t="s">
        <v>149</v>
      </c>
      <c r="U322" s="77" t="s">
        <v>119</v>
      </c>
      <c r="AH322" s="98" t="b">
        <f>INDEX(stable[q_standard],MATCH(questions[[#This Row],[qno]],stable[qno],0))</f>
        <v>0</v>
      </c>
      <c r="AI322" s="98" t="b">
        <f>INDEX(stable[q_living_income],MATCH(questions[[#This Row],[qno]],stable[qno],0))</f>
        <v>0</v>
      </c>
      <c r="AJ322" s="98" t="b">
        <f>INDEX(stable[q_carbon],MATCH(questions[[#This Row],[qno]],stable[qno],0))</f>
        <v>0</v>
      </c>
      <c r="AK322" s="98" t="b">
        <f>INDEX(stable[q_regen_ag],MATCH(questions[[#This Row],[qno]],stable[qno],0))</f>
        <v>1</v>
      </c>
      <c r="AL322" s="98" t="b">
        <f>COUNTIFS(stable[qno],questions[[#This Row],[qno]])=1</f>
        <v>1</v>
      </c>
      <c r="AM322" s="98" t="b">
        <f>OR(questions[[#This Row],[is_fixed]],questions[[#This Row],[is_localized]],questions[[#This Row],[is_supply_chain_dependent]])</f>
        <v>1</v>
      </c>
      <c r="AN322" s="98" t="b">
        <f>COUNTIFS(questions[[#This Row],[is_automated]:[is_multi_select]],TRUE)=1</f>
        <v>1</v>
      </c>
      <c r="AO322" s="98" t="b">
        <f>IF(questions[[#This Row],[is_fixed]],questions[[#This Row],[question]]=INDEX(stable[question],MATCH(questions[[#This Row],[qno]],stable[qno],0)),TRUE)</f>
        <v>1</v>
      </c>
      <c r="AP322" s="98" t="str">
        <f>LEFT(questions[[#This Row],[question]],similarity_range)</f>
        <v>Do you keep bee hive</v>
      </c>
      <c r="AQ322" s="98" t="str">
        <f>LEFT(INDEX(stable[question],MATCH(questions[[#This Row],[qno]],stable[qno],0)),similarity_range)</f>
        <v>Do you keep bee hive</v>
      </c>
      <c r="AR322" s="98" t="b">
        <f>questions[[#This Row],[question_first_characters]]=questions[[#This Row],[stability_first_characters]]</f>
        <v>1</v>
      </c>
      <c r="AS322" s="98" t="b">
        <f>IF(OR(questions[[#This Row],[is_single_select]],questions[[#This Row],[is_multi_select]]),NOT(ISBLANK(questions[[#This Row],[answer_opt_combined]])),TRUE)</f>
        <v>1</v>
      </c>
    </row>
    <row r="323" spans="1:45" s="77" customFormat="1" x14ac:dyDescent="0.25">
      <c r="A323" s="77" t="str">
        <f>_xlfn.TEXTJOIN("_",TRUE,questions[[#This Row],[origin]:[qno]])</f>
        <v>Uganda_Arabica_Sbux_7700</v>
      </c>
      <c r="B323" s="77" t="s">
        <v>511</v>
      </c>
      <c r="C323" s="77" t="s">
        <v>59</v>
      </c>
      <c r="D323" s="77" t="s">
        <v>512</v>
      </c>
      <c r="F323" s="104" t="s">
        <v>483</v>
      </c>
      <c r="G323" s="77" t="s">
        <v>484</v>
      </c>
      <c r="H323" s="9" t="str" cm="1">
        <f t="array" ref="H323">INDEX(stableR[question],MATCH(VALUE(questions[[#This Row],[qno]]),VALUE(stableR[qno]),0))</f>
        <v>Do you have riparian areas (a buffer area or strip of vegetation along the bank of a stream or river that spatially separates agricultural land from the water) in your coffee plots and/or its boundaries and how many?  If the answer is NO, you do not need to answer the next question.</v>
      </c>
      <c r="I323" s="9" t="b" cm="1">
        <f t="array" ref="I323">INDEX(stable[is_fixed],MATCH(VALUE(questions[[#This Row],[qno]]),VALUE(stable[qno]),0))</f>
        <v>1</v>
      </c>
      <c r="J323" s="9" t="b" cm="1">
        <f t="array" ref="J323">INDEX(stable[is_localized],MATCH(VALUE(questions[[#This Row],[qno]]),VALUE(stable[qno]),0))</f>
        <v>0</v>
      </c>
      <c r="K323" s="9" t="b" cm="1">
        <f t="array" ref="K323">INDEX(stable[is_supply_chain_dependent],MATCH(VALUE(questions[[#This Row],[qno]]),VALUE(stable[qno]),0))</f>
        <v>0</v>
      </c>
      <c r="L323" s="9" t="b" cm="1">
        <f t="array" ref="L323">INDEX(stable[is_mandatory],MATCH(VALUE(questions[[#This Row],[qno]]),VALUE(stable[qno]),0))</f>
        <v>1</v>
      </c>
      <c r="M323" s="9" t="b" cm="1">
        <f t="array" ref="M323">INDEX(stable[is_automated],MATCH(VALUE(questions[[#This Row],[qno]]),VALUE(stable[qno]),0))</f>
        <v>0</v>
      </c>
      <c r="N323" s="9" t="b" cm="1">
        <f t="array" ref="N323">INDEX(stable[is_free_text],MATCH(VALUE(questions[[#This Row],[qno]]),VALUE(stable[qno]),0))</f>
        <v>0</v>
      </c>
      <c r="O323" s="9" t="b" cm="1">
        <f t="array" ref="O323">INDEX(stable[is_numerical],MATCH(VALUE(questions[[#This Row],[qno]]),VALUE(stable[qno]),0))</f>
        <v>0</v>
      </c>
      <c r="P323" s="103" t="b" cm="1">
        <f t="array" ref="P323">INDEX(stable[is_single_select],MATCH(VALUE(questions[[#This Row],[qno]]),VALUE(stable[qno]),0))</f>
        <v>1</v>
      </c>
      <c r="Q323" s="77" t="b" cm="1">
        <f t="array" ref="Q323">INDEX(stable[is_multi_select],MATCH(VALUE(questions[[#This Row],[qno]]),VALUE(stable[qno]),0))</f>
        <v>0</v>
      </c>
      <c r="R323" s="77" t="b" cm="1">
        <f t="array" ref="R323">INDEX(stable[is_skip_logic],MATCH(VALUE(questions[[#This Row],[qno]]),VALUE(stable[qno]),0))</f>
        <v>0</v>
      </c>
      <c r="S323" s="77" t="str">
        <f>_xlfn.TEXTJOIN(", ",TRUE,questions[[#This Row],[ans_opt_1]:[ans_opt_14]])</f>
        <v>No, Yes -1 stream/river, Yes -2 streams/rivers, Yes -3 streams/rivers, Yes -4 streams/rivers, Yes -5 streams/rivers</v>
      </c>
      <c r="T323" s="77" t="s">
        <v>119</v>
      </c>
      <c r="U323" s="77" t="s">
        <v>485</v>
      </c>
      <c r="V323" s="77" t="s">
        <v>486</v>
      </c>
      <c r="W323" s="77" t="s">
        <v>487</v>
      </c>
      <c r="X323" s="77" t="s">
        <v>488</v>
      </c>
      <c r="Y323" s="77" t="s">
        <v>489</v>
      </c>
      <c r="AH323" s="98" t="b">
        <f>INDEX(stable[q_standard],MATCH(questions[[#This Row],[qno]],stable[qno],0))</f>
        <v>0</v>
      </c>
      <c r="AI323" s="98" t="b">
        <f>INDEX(stable[q_living_income],MATCH(questions[[#This Row],[qno]],stable[qno],0))</f>
        <v>0</v>
      </c>
      <c r="AJ323" s="98" t="b">
        <f>INDEX(stable[q_carbon],MATCH(questions[[#This Row],[qno]],stable[qno],0))</f>
        <v>0</v>
      </c>
      <c r="AK323" s="98" t="b">
        <f>INDEX(stable[q_regen_ag],MATCH(questions[[#This Row],[qno]],stable[qno],0))</f>
        <v>1</v>
      </c>
      <c r="AL323" s="98" t="b">
        <f>COUNTIFS(stable[qno],questions[[#This Row],[qno]])=1</f>
        <v>1</v>
      </c>
      <c r="AM323" s="98" t="b">
        <f>OR(questions[[#This Row],[is_fixed]],questions[[#This Row],[is_localized]],questions[[#This Row],[is_supply_chain_dependent]])</f>
        <v>1</v>
      </c>
      <c r="AN323" s="98" t="b">
        <f>COUNTIFS(questions[[#This Row],[is_automated]:[is_multi_select]],TRUE)=1</f>
        <v>1</v>
      </c>
      <c r="AO323" s="98" t="b">
        <f>IF(questions[[#This Row],[is_fixed]],questions[[#This Row],[question]]=INDEX(stable[question],MATCH(questions[[#This Row],[qno]],stable[qno],0)),TRUE)</f>
        <v>1</v>
      </c>
      <c r="AP323" s="98" t="str">
        <f>LEFT(questions[[#This Row],[question]],similarity_range)</f>
        <v>Do you have riparian</v>
      </c>
      <c r="AQ323" s="98" t="str">
        <f>LEFT(INDEX(stable[question],MATCH(questions[[#This Row],[qno]],stable[qno],0)),similarity_range)</f>
        <v>Do you have riparian</v>
      </c>
      <c r="AR323" s="98" t="b">
        <f>questions[[#This Row],[question_first_characters]]=questions[[#This Row],[stability_first_characters]]</f>
        <v>1</v>
      </c>
      <c r="AS323" s="98" t="b">
        <f>IF(OR(questions[[#This Row],[is_single_select]],questions[[#This Row],[is_multi_select]]),NOT(ISBLANK(questions[[#This Row],[answer_opt_combined]])),TRUE)</f>
        <v>1</v>
      </c>
    </row>
    <row r="324" spans="1:45" s="77" customFormat="1" x14ac:dyDescent="0.25">
      <c r="A324" s="77" t="str">
        <f>_xlfn.TEXTJOIN("_",TRUE,questions[[#This Row],[origin]:[qno]])</f>
        <v>Uganda_Arabica_Sbux_7701</v>
      </c>
      <c r="B324" s="77" t="s">
        <v>511</v>
      </c>
      <c r="C324" s="77" t="s">
        <v>59</v>
      </c>
      <c r="D324" s="77" t="s">
        <v>512</v>
      </c>
      <c r="F324" s="104" t="s">
        <v>490</v>
      </c>
      <c r="G324" s="78" t="s">
        <v>491</v>
      </c>
      <c r="H324" s="9" t="str" cm="1">
        <f t="array" ref="H324">INDEX(stableR[question],MATCH(VALUE(questions[[#This Row],[qno]]),VALUE(stableR[qno]),0))</f>
        <v>How many of the riparian areas in your coffee plots are covered/protected with natural vegetation</v>
      </c>
      <c r="I324" s="9" t="b" cm="1">
        <f t="array" ref="I324">INDEX(stable[is_fixed],MATCH(VALUE(questions[[#This Row],[qno]]),VALUE(stable[qno]),0))</f>
        <v>1</v>
      </c>
      <c r="J324" s="9" t="b" cm="1">
        <f t="array" ref="J324">INDEX(stable[is_localized],MATCH(VALUE(questions[[#This Row],[qno]]),VALUE(stable[qno]),0))</f>
        <v>0</v>
      </c>
      <c r="K324" s="9" t="b" cm="1">
        <f t="array" ref="K324">INDEX(stable[is_supply_chain_dependent],MATCH(VALUE(questions[[#This Row],[qno]]),VALUE(stable[qno]),0))</f>
        <v>0</v>
      </c>
      <c r="L324" s="9" t="b" cm="1">
        <f t="array" ref="L324">INDEX(stable[is_mandatory],MATCH(VALUE(questions[[#This Row],[qno]]),VALUE(stable[qno]),0))</f>
        <v>0</v>
      </c>
      <c r="M324" s="9" t="b" cm="1">
        <f t="array" ref="M324">INDEX(stable[is_automated],MATCH(VALUE(questions[[#This Row],[qno]]),VALUE(stable[qno]),0))</f>
        <v>0</v>
      </c>
      <c r="N324" s="9" t="b" cm="1">
        <f t="array" ref="N324">INDEX(stable[is_free_text],MATCH(VALUE(questions[[#This Row],[qno]]),VALUE(stable[qno]),0))</f>
        <v>0</v>
      </c>
      <c r="O324" s="9" t="b" cm="1">
        <f t="array" ref="O324">INDEX(stable[is_numerical],MATCH(VALUE(questions[[#This Row],[qno]]),VALUE(stable[qno]),0))</f>
        <v>0</v>
      </c>
      <c r="P324" s="103" t="b" cm="1">
        <f t="array" ref="P324">INDEX(stable[is_single_select],MATCH(VALUE(questions[[#This Row],[qno]]),VALUE(stable[qno]),0))</f>
        <v>1</v>
      </c>
      <c r="Q324" s="77" t="b" cm="1">
        <f t="array" ref="Q324">INDEX(stable[is_multi_select],MATCH(VALUE(questions[[#This Row],[qno]]),VALUE(stable[qno]),0))</f>
        <v>0</v>
      </c>
      <c r="R324" s="77" t="b" cm="1">
        <f t="array" ref="R324">INDEX(stable[is_skip_logic],MATCH(VALUE(questions[[#This Row],[qno]]),VALUE(stable[qno]),0))</f>
        <v>0</v>
      </c>
      <c r="S324" s="77" t="str">
        <f>_xlfn.TEXTJOIN(", ",TRUE,questions[[#This Row],[ans_opt_1]:[ans_opt_14]])</f>
        <v>All, Some</v>
      </c>
      <c r="T324" s="77" t="s">
        <v>492</v>
      </c>
      <c r="U324" s="77" t="s">
        <v>493</v>
      </c>
      <c r="AH324" s="98" t="b">
        <f>INDEX(stable[q_standard],MATCH(questions[[#This Row],[qno]],stable[qno],0))</f>
        <v>0</v>
      </c>
      <c r="AI324" s="98" t="b">
        <f>INDEX(stable[q_living_income],MATCH(questions[[#This Row],[qno]],stable[qno],0))</f>
        <v>0</v>
      </c>
      <c r="AJ324" s="98" t="b">
        <f>INDEX(stable[q_carbon],MATCH(questions[[#This Row],[qno]],stable[qno],0))</f>
        <v>0</v>
      </c>
      <c r="AK324" s="98" t="b">
        <f>INDEX(stable[q_regen_ag],MATCH(questions[[#This Row],[qno]],stable[qno],0))</f>
        <v>1</v>
      </c>
      <c r="AL324" s="98" t="b">
        <f>COUNTIFS(stable[qno],questions[[#This Row],[qno]])=1</f>
        <v>1</v>
      </c>
      <c r="AM324" s="98" t="b">
        <f>OR(questions[[#This Row],[is_fixed]],questions[[#This Row],[is_localized]],questions[[#This Row],[is_supply_chain_dependent]])</f>
        <v>1</v>
      </c>
      <c r="AN324" s="98" t="b">
        <f>COUNTIFS(questions[[#This Row],[is_automated]:[is_multi_select]],TRUE)=1</f>
        <v>1</v>
      </c>
      <c r="AO324" s="98" t="b">
        <f>IF(questions[[#This Row],[is_fixed]],questions[[#This Row],[question]]=INDEX(stable[question],MATCH(questions[[#This Row],[qno]],stable[qno],0)),TRUE)</f>
        <v>1</v>
      </c>
      <c r="AP324" s="98" t="str">
        <f>LEFT(questions[[#This Row],[question]],similarity_range)</f>
        <v>How many of the ripa</v>
      </c>
      <c r="AQ324" s="98" t="str">
        <f>LEFT(INDEX(stable[question],MATCH(questions[[#This Row],[qno]],stable[qno],0)),similarity_range)</f>
        <v>How many of the ripa</v>
      </c>
      <c r="AR324" s="98" t="b">
        <f>questions[[#This Row],[question_first_characters]]=questions[[#This Row],[stability_first_characters]]</f>
        <v>1</v>
      </c>
      <c r="AS324" s="98" t="b">
        <f>IF(OR(questions[[#This Row],[is_single_select]],questions[[#This Row],[is_multi_select]]),NOT(ISBLANK(questions[[#This Row],[answer_opt_combined]])),TRUE)</f>
        <v>1</v>
      </c>
    </row>
    <row r="325" spans="1:45" s="77" customFormat="1" x14ac:dyDescent="0.25">
      <c r="A325" s="77" t="str">
        <f>_xlfn.TEXTJOIN("_",TRUE,questions[[#This Row],[origin]:[qno]])</f>
        <v>Uganda_Arabica_Sbux_8000</v>
      </c>
      <c r="B325" s="77" t="s">
        <v>511</v>
      </c>
      <c r="C325" s="77" t="s">
        <v>59</v>
      </c>
      <c r="D325" s="77" t="s">
        <v>512</v>
      </c>
      <c r="F325" s="104" t="s">
        <v>494</v>
      </c>
      <c r="G325" s="78" t="s">
        <v>495</v>
      </c>
      <c r="H325" s="9" t="str" cm="1">
        <f t="array" ref="H325">INDEX(stableR[question],MATCH(VALUE(questions[[#This Row],[qno]]),VALUE(stableR[qno]),0))</f>
        <v>What describes the soil type best in the coffee plot of the farmer (please observe your self)</v>
      </c>
      <c r="I325" s="9" t="b" cm="1">
        <f t="array" ref="I325">INDEX(stable[is_fixed],MATCH(VALUE(questions[[#This Row],[qno]]),VALUE(stable[qno]),0))</f>
        <v>1</v>
      </c>
      <c r="J325" s="9" t="b" cm="1">
        <f t="array" ref="J325">INDEX(stable[is_localized],MATCH(VALUE(questions[[#This Row],[qno]]),VALUE(stable[qno]),0))</f>
        <v>0</v>
      </c>
      <c r="K325" s="9" t="b" cm="1">
        <f t="array" ref="K325">INDEX(stable[is_supply_chain_dependent],MATCH(VALUE(questions[[#This Row],[qno]]),VALUE(stable[qno]),0))</f>
        <v>0</v>
      </c>
      <c r="L325" s="9" t="b" cm="1">
        <f t="array" ref="L325">INDEX(stable[is_mandatory],MATCH(VALUE(questions[[#This Row],[qno]]),VALUE(stable[qno]),0))</f>
        <v>1</v>
      </c>
      <c r="M325" s="9" t="b" cm="1">
        <f t="array" ref="M325">INDEX(stable[is_automated],MATCH(VALUE(questions[[#This Row],[qno]]),VALUE(stable[qno]),0))</f>
        <v>0</v>
      </c>
      <c r="N325" s="9" t="b" cm="1">
        <f t="array" ref="N325">INDEX(stable[is_free_text],MATCH(VALUE(questions[[#This Row],[qno]]),VALUE(stable[qno]),0))</f>
        <v>0</v>
      </c>
      <c r="O325" s="9" t="b" cm="1">
        <f t="array" ref="O325">INDEX(stable[is_numerical],MATCH(VALUE(questions[[#This Row],[qno]]),VALUE(stable[qno]),0))</f>
        <v>0</v>
      </c>
      <c r="P325" s="103" t="b" cm="1">
        <f t="array" ref="P325">INDEX(stable[is_single_select],MATCH(VALUE(questions[[#This Row],[qno]]),VALUE(stable[qno]),0))</f>
        <v>1</v>
      </c>
      <c r="Q325" s="77" t="b" cm="1">
        <f t="array" ref="Q325">INDEX(stable[is_multi_select],MATCH(VALUE(questions[[#This Row],[qno]]),VALUE(stable[qno]),0))</f>
        <v>0</v>
      </c>
      <c r="R325" s="77" t="b" cm="1">
        <f t="array" ref="R325">INDEX(stable[is_skip_logic],MATCH(VALUE(questions[[#This Row],[qno]]),VALUE(stable[qno]),0))</f>
        <v>0</v>
      </c>
      <c r="S325" s="77" t="str">
        <f>_xlfn.TEXTJOIN(", ",TRUE,questions[[#This Row],[ans_opt_1]:[ans_opt_14]])</f>
        <v>High activity clay soils, Low activity clay soils, Sandy soils, Loamy soils, Volcanic soils, Wetland soils, Organic soils</v>
      </c>
      <c r="T325" s="77" t="s">
        <v>496</v>
      </c>
      <c r="U325" s="77" t="s">
        <v>497</v>
      </c>
      <c r="V325" s="77" t="s">
        <v>498</v>
      </c>
      <c r="W325" s="91" t="s">
        <v>499</v>
      </c>
      <c r="X325" s="77" t="s">
        <v>500</v>
      </c>
      <c r="Y325" s="77" t="s">
        <v>501</v>
      </c>
      <c r="Z325" s="77" t="s">
        <v>502</v>
      </c>
      <c r="AH325" s="98" t="b">
        <f>INDEX(stable[q_standard],MATCH(questions[[#This Row],[qno]],stable[qno],0))</f>
        <v>0</v>
      </c>
      <c r="AI325" s="98" t="b">
        <f>INDEX(stable[q_living_income],MATCH(questions[[#This Row],[qno]],stable[qno],0))</f>
        <v>0</v>
      </c>
      <c r="AJ325" s="98" t="b">
        <f>INDEX(stable[q_carbon],MATCH(questions[[#This Row],[qno]],stable[qno],0))</f>
        <v>0</v>
      </c>
      <c r="AK325" s="98" t="b">
        <f>INDEX(stable[q_regen_ag],MATCH(questions[[#This Row],[qno]],stable[qno],0))</f>
        <v>1</v>
      </c>
      <c r="AL325" s="98" t="b">
        <f>COUNTIFS(stable[qno],questions[[#This Row],[qno]])=1</f>
        <v>1</v>
      </c>
      <c r="AM325" s="98" t="b">
        <f>OR(questions[[#This Row],[is_fixed]],questions[[#This Row],[is_localized]],questions[[#This Row],[is_supply_chain_dependent]])</f>
        <v>1</v>
      </c>
      <c r="AN325" s="98" t="b">
        <f>COUNTIFS(questions[[#This Row],[is_automated]:[is_multi_select]],TRUE)=1</f>
        <v>1</v>
      </c>
      <c r="AO325" s="98" t="b">
        <f>IF(questions[[#This Row],[is_fixed]],questions[[#This Row],[question]]=INDEX(stable[question],MATCH(questions[[#This Row],[qno]],stable[qno],0)),TRUE)</f>
        <v>1</v>
      </c>
      <c r="AP325" s="98" t="str">
        <f>LEFT(questions[[#This Row],[question]],similarity_range)</f>
        <v>What describes the s</v>
      </c>
      <c r="AQ325" s="98" t="str">
        <f>LEFT(INDEX(stable[question],MATCH(questions[[#This Row],[qno]],stable[qno],0)),similarity_range)</f>
        <v>What describes the s</v>
      </c>
      <c r="AR325" s="98" t="b">
        <f>questions[[#This Row],[question_first_characters]]=questions[[#This Row],[stability_first_characters]]</f>
        <v>1</v>
      </c>
      <c r="AS325" s="98" t="b">
        <f>IF(OR(questions[[#This Row],[is_single_select]],questions[[#This Row],[is_multi_select]]),NOT(ISBLANK(questions[[#This Row],[answer_opt_combined]])),TRUE)</f>
        <v>1</v>
      </c>
    </row>
    <row r="326" spans="1:45" s="77" customFormat="1" x14ac:dyDescent="0.25">
      <c r="A326" s="77" t="str">
        <f>_xlfn.TEXTJOIN("_",TRUE,questions[[#This Row],[origin]:[qno]])</f>
        <v>Uganda_Arabica_Sbux_8010</v>
      </c>
      <c r="B326" s="77" t="s">
        <v>511</v>
      </c>
      <c r="C326" s="77" t="s">
        <v>59</v>
      </c>
      <c r="D326" s="77" t="s">
        <v>512</v>
      </c>
      <c r="F326" s="104" t="s">
        <v>503</v>
      </c>
      <c r="G326" s="78" t="s">
        <v>504</v>
      </c>
      <c r="H326" s="9" t="str" cm="1">
        <f t="array" ref="H326">INDEX(stableR[question],MATCH(VALUE(questions[[#This Row],[qno]]),VALUE(stableR[qno]),0))</f>
        <v>What type of tillage/ploughing do you use in your coffee plots mostly (full tillages=fully turning the soil; reduced tillages is only losening the soil; No till is no tillage or ploughing of the soil at all)?</v>
      </c>
      <c r="I326" s="9" t="b" cm="1">
        <f t="array" ref="I326">INDEX(stable[is_fixed],MATCH(VALUE(questions[[#This Row],[qno]]),VALUE(stable[qno]),0))</f>
        <v>1</v>
      </c>
      <c r="J326" s="9" t="b" cm="1">
        <f t="array" ref="J326">INDEX(stable[is_localized],MATCH(VALUE(questions[[#This Row],[qno]]),VALUE(stable[qno]),0))</f>
        <v>0</v>
      </c>
      <c r="K326" s="9" t="b" cm="1">
        <f t="array" ref="K326">INDEX(stable[is_supply_chain_dependent],MATCH(VALUE(questions[[#This Row],[qno]]),VALUE(stable[qno]),0))</f>
        <v>0</v>
      </c>
      <c r="L326" s="9" t="b" cm="1">
        <f t="array" ref="L326">INDEX(stable[is_mandatory],MATCH(VALUE(questions[[#This Row],[qno]]),VALUE(stable[qno]),0))</f>
        <v>1</v>
      </c>
      <c r="M326" s="9" t="b" cm="1">
        <f t="array" ref="M326">INDEX(stable[is_automated],MATCH(VALUE(questions[[#This Row],[qno]]),VALUE(stable[qno]),0))</f>
        <v>0</v>
      </c>
      <c r="N326" s="9" t="b" cm="1">
        <f t="array" ref="N326">INDEX(stable[is_free_text],MATCH(VALUE(questions[[#This Row],[qno]]),VALUE(stable[qno]),0))</f>
        <v>0</v>
      </c>
      <c r="O326" s="9" t="b" cm="1">
        <f t="array" ref="O326">INDEX(stable[is_numerical],MATCH(VALUE(questions[[#This Row],[qno]]),VALUE(stable[qno]),0))</f>
        <v>0</v>
      </c>
      <c r="P326" s="103" t="b" cm="1">
        <f t="array" ref="P326">INDEX(stable[is_single_select],MATCH(VALUE(questions[[#This Row],[qno]]),VALUE(stable[qno]),0))</f>
        <v>1</v>
      </c>
      <c r="Q326" s="77" t="b" cm="1">
        <f t="array" ref="Q326">INDEX(stable[is_multi_select],MATCH(VALUE(questions[[#This Row],[qno]]),VALUE(stable[qno]),0))</f>
        <v>0</v>
      </c>
      <c r="R326" s="77" t="b" cm="1">
        <f t="array" ref="R326">INDEX(stable[is_skip_logic],MATCH(VALUE(questions[[#This Row],[qno]]),VALUE(stable[qno]),0))</f>
        <v>0</v>
      </c>
      <c r="S326" s="77" t="str">
        <f>_xlfn.TEXTJOIN(", ",TRUE,questions[[#This Row],[ans_opt_1]:[ans_opt_14]])</f>
        <v>Full-tillage, Reduced tillage, No till</v>
      </c>
      <c r="T326" s="77" t="s">
        <v>505</v>
      </c>
      <c r="U326" s="77" t="s">
        <v>506</v>
      </c>
      <c r="V326" s="77" t="s">
        <v>507</v>
      </c>
      <c r="AH326" s="98" t="b">
        <f>INDEX(stable[q_standard],MATCH(questions[[#This Row],[qno]],stable[qno],0))</f>
        <v>0</v>
      </c>
      <c r="AI326" s="98" t="b">
        <f>INDEX(stable[q_living_income],MATCH(questions[[#This Row],[qno]],stable[qno],0))</f>
        <v>0</v>
      </c>
      <c r="AJ326" s="98" t="b">
        <f>INDEX(stable[q_carbon],MATCH(questions[[#This Row],[qno]],stable[qno],0))</f>
        <v>0</v>
      </c>
      <c r="AK326" s="98" t="b">
        <f>INDEX(stable[q_regen_ag],MATCH(questions[[#This Row],[qno]],stable[qno],0))</f>
        <v>1</v>
      </c>
      <c r="AL326" s="98" t="b">
        <f>COUNTIFS(stable[qno],questions[[#This Row],[qno]])=1</f>
        <v>1</v>
      </c>
      <c r="AM326" s="98" t="b">
        <f>OR(questions[[#This Row],[is_fixed]],questions[[#This Row],[is_localized]],questions[[#This Row],[is_supply_chain_dependent]])</f>
        <v>1</v>
      </c>
      <c r="AN326" s="98" t="b">
        <f>COUNTIFS(questions[[#This Row],[is_automated]:[is_multi_select]],TRUE)=1</f>
        <v>1</v>
      </c>
      <c r="AO326" s="98" t="b">
        <f>IF(questions[[#This Row],[is_fixed]],questions[[#This Row],[question]]=INDEX(stable[question],MATCH(questions[[#This Row],[qno]],stable[qno],0)),TRUE)</f>
        <v>1</v>
      </c>
      <c r="AP326" s="98" t="str">
        <f>LEFT(questions[[#This Row],[question]],similarity_range)</f>
        <v>What type of tillage</v>
      </c>
      <c r="AQ326" s="98" t="str">
        <f>LEFT(INDEX(stable[question],MATCH(questions[[#This Row],[qno]],stable[qno],0)),similarity_range)</f>
        <v>What type of tillage</v>
      </c>
      <c r="AR326" s="98" t="b">
        <f>questions[[#This Row],[question_first_characters]]=questions[[#This Row],[stability_first_characters]]</f>
        <v>1</v>
      </c>
      <c r="AS326" s="98" t="b">
        <f>IF(OR(questions[[#This Row],[is_single_select]],questions[[#This Row],[is_multi_select]]),NOT(ISBLANK(questions[[#This Row],[answer_opt_combined]])),TRUE)</f>
        <v>1</v>
      </c>
    </row>
    <row r="327" spans="1:45" s="77" customFormat="1" x14ac:dyDescent="0.25">
      <c r="A327" s="77" t="str">
        <f>_xlfn.TEXTJOIN("_",TRUE,questions[[#This Row],[origin]:[qno]])</f>
        <v>Uganda_Arabica_Sbux_8100</v>
      </c>
      <c r="B327" s="77" t="s">
        <v>511</v>
      </c>
      <c r="C327" s="77" t="s">
        <v>59</v>
      </c>
      <c r="D327" s="77" t="s">
        <v>512</v>
      </c>
      <c r="F327" s="104" t="s">
        <v>616</v>
      </c>
      <c r="G327" s="78" t="s">
        <v>617</v>
      </c>
      <c r="H327" s="9" t="str" cm="1">
        <f t="array" ref="H327">INDEX(stableR[question],MATCH(VALUE(questions[[#This Row],[qno]]),VALUE(stableR[qno]),0))</f>
        <v>After hulling the dried coffee cherries, what did you do with the husks, last year?</v>
      </c>
      <c r="I327" s="9" t="b" cm="1">
        <f t="array" ref="I327">INDEX(stable[is_fixed],MATCH(VALUE(questions[[#This Row],[qno]]),VALUE(stable[qno]),0))</f>
        <v>0</v>
      </c>
      <c r="J327" s="9" t="b" cm="1">
        <f t="array" ref="J327">INDEX(stable[is_localized],MATCH(VALUE(questions[[#This Row],[qno]]),VALUE(stable[qno]),0))</f>
        <v>1</v>
      </c>
      <c r="K327" s="9" t="b" cm="1">
        <f t="array" ref="K327">INDEX(stable[is_supply_chain_dependent],MATCH(VALUE(questions[[#This Row],[qno]]),VALUE(stable[qno]),0))</f>
        <v>1</v>
      </c>
      <c r="L327" s="9" t="b" cm="1">
        <f t="array" ref="L327">INDEX(stable[is_mandatory],MATCH(VALUE(questions[[#This Row],[qno]]),VALUE(stable[qno]),0))</f>
        <v>1</v>
      </c>
      <c r="M327" s="9" t="b" cm="1">
        <f t="array" ref="M327">INDEX(stable[is_automated],MATCH(VALUE(questions[[#This Row],[qno]]),VALUE(stable[qno]),0))</f>
        <v>0</v>
      </c>
      <c r="N327" s="9" t="b" cm="1">
        <f t="array" ref="N327">INDEX(stable[is_free_text],MATCH(VALUE(questions[[#This Row],[qno]]),VALUE(stable[qno]),0))</f>
        <v>0</v>
      </c>
      <c r="O327" s="9" t="b" cm="1">
        <f t="array" ref="O327">INDEX(stable[is_numerical],MATCH(VALUE(questions[[#This Row],[qno]]),VALUE(stable[qno]),0))</f>
        <v>0</v>
      </c>
      <c r="P327" s="103" t="b" cm="1">
        <f t="array" ref="P327">INDEX(stable[is_single_select],MATCH(VALUE(questions[[#This Row],[qno]]),VALUE(stable[qno]),0))</f>
        <v>1</v>
      </c>
      <c r="Q327" s="77" t="b" cm="1">
        <f t="array" ref="Q327">INDEX(stable[is_multi_select],MATCH(VALUE(questions[[#This Row],[qno]]),VALUE(stable[qno]),0))</f>
        <v>0</v>
      </c>
      <c r="R327" s="77" t="b" cm="1">
        <f t="array" ref="R327">INDEX(stable[is_skip_logic],MATCH(VALUE(questions[[#This Row],[qno]]),VALUE(stable[qno]),0))</f>
        <v>0</v>
      </c>
      <c r="S327" s="77" t="str">
        <f>_xlfn.TEXTJOIN(", ",TRUE,questions[[#This Row],[ans_opt_1]:[ans_opt_14]])</f>
        <v>Apply to coffee farms within the supply chain, right after processing (e.g. after de-pulping in wet processing and after de-husking in dry processing) without composting, Apply to other crops without composting, Compost and add to coffee farms within the supply chain, Compost and add to other farms outside the supply chain, Temporarily left untreated in a heap/pit (max. 6 months), after which it is applied to the coffee farms within the supply chain, Temporarily left untreated in a heap/pit (max. 6 months), after which it sold or given away (outside the supply chain), Leave them in a pile untreated (min. 6 months or longer) and then applied to the coffee farms within the supply chain, Leave them in a pile untreated (min. 6 months or longer), no other management, Burn on farm, Sell to a buyer or given away (outside the supply chain)</v>
      </c>
      <c r="T327" s="137" t="s">
        <v>618</v>
      </c>
      <c r="U327" s="137" t="s">
        <v>619</v>
      </c>
      <c r="V327" s="137" t="s">
        <v>620</v>
      </c>
      <c r="W327" s="137" t="s">
        <v>621</v>
      </c>
      <c r="X327" s="137" t="s">
        <v>622</v>
      </c>
      <c r="Y327" s="137" t="s">
        <v>623</v>
      </c>
      <c r="Z327" s="137" t="s">
        <v>624</v>
      </c>
      <c r="AA327" s="137" t="s">
        <v>625</v>
      </c>
      <c r="AB327" s="137" t="s">
        <v>626</v>
      </c>
      <c r="AC327" s="137" t="s">
        <v>627</v>
      </c>
      <c r="AH327" s="98" t="b">
        <f>INDEX(stable[q_standard],MATCH(questions[[#This Row],[qno]],stable[qno],0))</f>
        <v>0</v>
      </c>
      <c r="AI327" s="98" t="b">
        <f>INDEX(stable[q_living_income],MATCH(questions[[#This Row],[qno]],stable[qno],0))</f>
        <v>0</v>
      </c>
      <c r="AJ327" s="98" t="b">
        <f>INDEX(stable[q_carbon],MATCH(questions[[#This Row],[qno]],stable[qno],0))</f>
        <v>1</v>
      </c>
      <c r="AK327" s="98" t="b">
        <f>INDEX(stable[q_regen_ag],MATCH(questions[[#This Row],[qno]],stable[qno],0))</f>
        <v>0</v>
      </c>
      <c r="AL327" s="98" t="b">
        <f>COUNTIFS(stable[qno],questions[[#This Row],[qno]])=1</f>
        <v>1</v>
      </c>
      <c r="AM327" s="98" t="b">
        <f>OR(questions[[#This Row],[is_fixed]],questions[[#This Row],[is_localized]],questions[[#This Row],[is_supply_chain_dependent]])</f>
        <v>1</v>
      </c>
      <c r="AN327" s="98" t="b">
        <f>COUNTIFS(questions[[#This Row],[is_automated]:[is_multi_select]],TRUE)=1</f>
        <v>1</v>
      </c>
      <c r="AO327" s="98" t="b">
        <f>IF(questions[[#This Row],[is_fixed]],questions[[#This Row],[question]]=INDEX(stable[question],MATCH(questions[[#This Row],[qno]],stable[qno],0)),TRUE)</f>
        <v>1</v>
      </c>
      <c r="AP327" s="98" t="str">
        <f>LEFT(questions[[#This Row],[question]],similarity_range)</f>
        <v>After pulping the ch</v>
      </c>
      <c r="AQ327" s="98" t="str">
        <f>LEFT(INDEX(stable[question],MATCH(questions[[#This Row],[qno]],stable[qno],0)),similarity_range)</f>
        <v>After hulling the dr</v>
      </c>
      <c r="AR327" s="98" t="b">
        <f>questions[[#This Row],[question_first_characters]]=questions[[#This Row],[stability_first_characters]]</f>
        <v>0</v>
      </c>
      <c r="AS327" s="98" t="b">
        <f>IF(OR(questions[[#This Row],[is_single_select]],questions[[#This Row],[is_multi_select]]),NOT(ISBLANK(questions[[#This Row],[answer_opt_combined]])),TRUE)</f>
        <v>1</v>
      </c>
    </row>
    <row r="328" spans="1:45" s="77" customFormat="1" x14ac:dyDescent="0.25">
      <c r="A328" s="77" t="str">
        <f>_xlfn.TEXTJOIN("_",TRUE,questions[[#This Row],[origin]:[qno]])</f>
        <v>Uganda_Arabica_Sbux_8200</v>
      </c>
      <c r="B328" s="77" t="s">
        <v>511</v>
      </c>
      <c r="C328" s="77" t="s">
        <v>59</v>
      </c>
      <c r="D328" s="77" t="s">
        <v>512</v>
      </c>
      <c r="F328" s="104" t="s">
        <v>628</v>
      </c>
      <c r="G328" s="78" t="s">
        <v>629</v>
      </c>
      <c r="H328" s="9" t="str" cm="1">
        <f t="array" ref="H328">INDEX(stableR[question],MATCH(VALUE(questions[[#This Row],[qno]]),VALUE(stableR[qno]),0))</f>
        <v>Did you use water for pulping/processing your coffee last year?</v>
      </c>
      <c r="I328" s="9" t="b" cm="1">
        <f t="array" ref="I328">INDEX(stable[is_fixed],MATCH(VALUE(questions[[#This Row],[qno]]),VALUE(stable[qno]),0))</f>
        <v>0</v>
      </c>
      <c r="J328" s="9" t="b" cm="1">
        <f t="array" ref="J328">INDEX(stable[is_localized],MATCH(VALUE(questions[[#This Row],[qno]]),VALUE(stable[qno]),0))</f>
        <v>0</v>
      </c>
      <c r="K328" s="9" t="b" cm="1">
        <f t="array" ref="K328">INDEX(stable[is_supply_chain_dependent],MATCH(VALUE(questions[[#This Row],[qno]]),VALUE(stable[qno]),0))</f>
        <v>1</v>
      </c>
      <c r="L328" s="9" t="b" cm="1">
        <f t="array" ref="L328">INDEX(stable[is_mandatory],MATCH(VALUE(questions[[#This Row],[qno]]),VALUE(stable[qno]),0))</f>
        <v>1</v>
      </c>
      <c r="M328" s="9" t="b" cm="1">
        <f t="array" ref="M328">INDEX(stable[is_automated],MATCH(VALUE(questions[[#This Row],[qno]]),VALUE(stable[qno]),0))</f>
        <v>0</v>
      </c>
      <c r="N328" s="9" t="b" cm="1">
        <f t="array" ref="N328">INDEX(stable[is_free_text],MATCH(VALUE(questions[[#This Row],[qno]]),VALUE(stable[qno]),0))</f>
        <v>0</v>
      </c>
      <c r="O328" s="9" t="b" cm="1">
        <f t="array" ref="O328">INDEX(stable[is_numerical],MATCH(VALUE(questions[[#This Row],[qno]]),VALUE(stable[qno]),0))</f>
        <v>0</v>
      </c>
      <c r="P328" s="103" t="b" cm="1">
        <f t="array" ref="P328">INDEX(stable[is_single_select],MATCH(VALUE(questions[[#This Row],[qno]]),VALUE(stable[qno]),0))</f>
        <v>1</v>
      </c>
      <c r="Q328" s="77" t="b" cm="1">
        <f t="array" ref="Q328">INDEX(stable[is_multi_select],MATCH(VALUE(questions[[#This Row],[qno]]),VALUE(stable[qno]),0))</f>
        <v>0</v>
      </c>
      <c r="R328" s="77" t="b" cm="1">
        <f t="array" ref="R328">INDEX(stable[is_skip_logic],MATCH(VALUE(questions[[#This Row],[qno]]),VALUE(stable[qno]),0))</f>
        <v>1</v>
      </c>
      <c r="S328" s="77" t="str">
        <f>_xlfn.TEXTJOIN(", ",TRUE,questions[[#This Row],[ans_opt_1]:[ans_opt_14]])</f>
        <v>Yes, No</v>
      </c>
      <c r="T328" s="77" t="s">
        <v>149</v>
      </c>
      <c r="U328" s="77" t="s">
        <v>119</v>
      </c>
      <c r="AH328" s="98" t="b">
        <f>INDEX(stable[q_standard],MATCH(questions[[#This Row],[qno]],stable[qno],0))</f>
        <v>0</v>
      </c>
      <c r="AI328" s="98" t="b">
        <f>INDEX(stable[q_living_income],MATCH(questions[[#This Row],[qno]],stable[qno],0))</f>
        <v>0</v>
      </c>
      <c r="AJ328" s="98" t="b">
        <f>INDEX(stable[q_carbon],MATCH(questions[[#This Row],[qno]],stable[qno],0))</f>
        <v>1</v>
      </c>
      <c r="AK328" s="98" t="b">
        <f>INDEX(stable[q_regen_ag],MATCH(questions[[#This Row],[qno]],stable[qno],0))</f>
        <v>0</v>
      </c>
      <c r="AL328" s="98" t="b">
        <f>COUNTIFS(stable[qno],questions[[#This Row],[qno]])=1</f>
        <v>1</v>
      </c>
      <c r="AM328" s="98" t="b">
        <f>OR(questions[[#This Row],[is_fixed]],questions[[#This Row],[is_localized]],questions[[#This Row],[is_supply_chain_dependent]])</f>
        <v>1</v>
      </c>
      <c r="AN328" s="98" t="b">
        <f>COUNTIFS(questions[[#This Row],[is_automated]:[is_multi_select]],TRUE)=1</f>
        <v>1</v>
      </c>
      <c r="AO328" s="98" t="b">
        <f>IF(questions[[#This Row],[is_fixed]],questions[[#This Row],[question]]=INDEX(stable[question],MATCH(questions[[#This Row],[qno]],stable[qno],0)),TRUE)</f>
        <v>1</v>
      </c>
      <c r="AP328" s="98" t="str">
        <f>LEFT(questions[[#This Row],[question]],similarity_range)</f>
        <v>Did you use water fo</v>
      </c>
      <c r="AQ328" s="98" t="str">
        <f>LEFT(INDEX(stable[question],MATCH(questions[[#This Row],[qno]],stable[qno],0)),similarity_range)</f>
        <v>Did you use water fo</v>
      </c>
      <c r="AR328" s="98" t="b">
        <f>questions[[#This Row],[question_first_characters]]=questions[[#This Row],[stability_first_characters]]</f>
        <v>1</v>
      </c>
      <c r="AS328" s="98" t="b">
        <f>IF(OR(questions[[#This Row],[is_single_select]],questions[[#This Row],[is_multi_select]]),NOT(ISBLANK(questions[[#This Row],[answer_opt_combined]])),TRUE)</f>
        <v>1</v>
      </c>
    </row>
    <row r="329" spans="1:45" s="77" customFormat="1" x14ac:dyDescent="0.25">
      <c r="A329" s="77" t="str">
        <f>_xlfn.TEXTJOIN("_",TRUE,questions[[#This Row],[origin]:[qno]])</f>
        <v>Uganda_Arabica_Sbux_8201</v>
      </c>
      <c r="B329" s="77" t="s">
        <v>511</v>
      </c>
      <c r="C329" s="77" t="s">
        <v>59</v>
      </c>
      <c r="D329" s="77" t="s">
        <v>512</v>
      </c>
      <c r="F329" s="104" t="s">
        <v>630</v>
      </c>
      <c r="G329" s="78" t="s">
        <v>631</v>
      </c>
      <c r="H329" s="9" t="str" cm="1">
        <f t="array" ref="H329">INDEX(stableR[question],MATCH(VALUE(questions[[#This Row],[qno]]),VALUE(stableR[qno]),0))</f>
        <v>If yes, what was the source of this water?</v>
      </c>
      <c r="I329" s="9" t="b" cm="1">
        <f t="array" ref="I329">INDEX(stable[is_fixed],MATCH(VALUE(questions[[#This Row],[qno]]),VALUE(stable[qno]),0))</f>
        <v>0</v>
      </c>
      <c r="J329" s="9" t="b" cm="1">
        <f t="array" ref="J329">INDEX(stable[is_localized],MATCH(VALUE(questions[[#This Row],[qno]]),VALUE(stable[qno]),0))</f>
        <v>0</v>
      </c>
      <c r="K329" s="9" t="b" cm="1">
        <f t="array" ref="K329">INDEX(stable[is_supply_chain_dependent],MATCH(VALUE(questions[[#This Row],[qno]]),VALUE(stable[qno]),0))</f>
        <v>1</v>
      </c>
      <c r="L329" s="9" t="b" cm="1">
        <f t="array" ref="L329">INDEX(stable[is_mandatory],MATCH(VALUE(questions[[#This Row],[qno]]),VALUE(stable[qno]),0))</f>
        <v>0</v>
      </c>
      <c r="M329" s="9" t="b" cm="1">
        <f t="array" ref="M329">INDEX(stable[is_automated],MATCH(VALUE(questions[[#This Row],[qno]]),VALUE(stable[qno]),0))</f>
        <v>0</v>
      </c>
      <c r="N329" s="9" t="b" cm="1">
        <f t="array" ref="N329">INDEX(stable[is_free_text],MATCH(VALUE(questions[[#This Row],[qno]]),VALUE(stable[qno]),0))</f>
        <v>0</v>
      </c>
      <c r="O329" s="9" t="b" cm="1">
        <f t="array" ref="O329">INDEX(stable[is_numerical],MATCH(VALUE(questions[[#This Row],[qno]]),VALUE(stable[qno]),0))</f>
        <v>0</v>
      </c>
      <c r="P329" s="103" t="b" cm="1">
        <f t="array" ref="P329">INDEX(stable[is_single_select],MATCH(VALUE(questions[[#This Row],[qno]]),VALUE(stable[qno]),0))</f>
        <v>1</v>
      </c>
      <c r="Q329" s="77" t="b" cm="1">
        <f t="array" ref="Q329">INDEX(stable[is_multi_select],MATCH(VALUE(questions[[#This Row],[qno]]),VALUE(stable[qno]),0))</f>
        <v>0</v>
      </c>
      <c r="R329" s="77" t="b" cm="1">
        <f t="array" ref="R329">INDEX(stable[is_skip_logic],MATCH(VALUE(questions[[#This Row],[qno]]),VALUE(stable[qno]),0))</f>
        <v>1</v>
      </c>
      <c r="S329" s="77" t="str">
        <f>_xlfn.TEXTJOIN(", ",TRUE,questions[[#This Row],[ans_opt_1]:[ans_opt_14]])</f>
        <v>Tap water, Natural stream, Rain water, Ground water, Other</v>
      </c>
      <c r="T329" s="113" t="s">
        <v>632</v>
      </c>
      <c r="U329" s="77" t="s">
        <v>633</v>
      </c>
      <c r="V329" s="77" t="s">
        <v>634</v>
      </c>
      <c r="W329" s="77" t="s">
        <v>635</v>
      </c>
      <c r="AG329" s="77" t="s">
        <v>112</v>
      </c>
      <c r="AH329" s="98" t="b">
        <f>INDEX(stable[q_standard],MATCH(questions[[#This Row],[qno]],stable[qno],0))</f>
        <v>0</v>
      </c>
      <c r="AI329" s="98" t="b">
        <f>INDEX(stable[q_living_income],MATCH(questions[[#This Row],[qno]],stable[qno],0))</f>
        <v>0</v>
      </c>
      <c r="AJ329" s="98" t="b">
        <f>INDEX(stable[q_carbon],MATCH(questions[[#This Row],[qno]],stable[qno],0))</f>
        <v>1</v>
      </c>
      <c r="AK329" s="98" t="b">
        <f>INDEX(stable[q_regen_ag],MATCH(questions[[#This Row],[qno]],stable[qno],0))</f>
        <v>0</v>
      </c>
      <c r="AL329" s="98" t="b">
        <f>COUNTIFS(stable[qno],questions[[#This Row],[qno]])=1</f>
        <v>1</v>
      </c>
      <c r="AM329" s="98" t="b">
        <f>OR(questions[[#This Row],[is_fixed]],questions[[#This Row],[is_localized]],questions[[#This Row],[is_supply_chain_dependent]])</f>
        <v>1</v>
      </c>
      <c r="AN329" s="98" t="b">
        <f>COUNTIFS(questions[[#This Row],[is_automated]:[is_multi_select]],TRUE)=1</f>
        <v>1</v>
      </c>
      <c r="AO329" s="98" t="b">
        <f>IF(questions[[#This Row],[is_fixed]],questions[[#This Row],[question]]=INDEX(stable[question],MATCH(questions[[#This Row],[qno]],stable[qno],0)),TRUE)</f>
        <v>1</v>
      </c>
      <c r="AP329" s="98" t="str">
        <f>LEFT(questions[[#This Row],[question]],similarity_range)</f>
        <v>If yes, what was the</v>
      </c>
      <c r="AQ329" s="98" t="str">
        <f>LEFT(INDEX(stable[question],MATCH(questions[[#This Row],[qno]],stable[qno],0)),similarity_range)</f>
        <v>If yes, what was the</v>
      </c>
      <c r="AR329" s="98" t="b">
        <f>questions[[#This Row],[question_first_characters]]=questions[[#This Row],[stability_first_characters]]</f>
        <v>1</v>
      </c>
      <c r="AS329" s="98" t="b">
        <f>IF(OR(questions[[#This Row],[is_single_select]],questions[[#This Row],[is_multi_select]]),NOT(ISBLANK(questions[[#This Row],[answer_opt_combined]])),TRUE)</f>
        <v>1</v>
      </c>
    </row>
    <row r="330" spans="1:45" x14ac:dyDescent="0.25">
      <c r="A330" s="9" t="str">
        <f>_xlfn.TEXTJOIN("_",TRUE,questions[[#This Row],[origin]:[qno]])</f>
        <v>Uganda_Arabica_Sbux_8202</v>
      </c>
      <c r="B330" s="9" t="s">
        <v>511</v>
      </c>
      <c r="C330" s="9" t="s">
        <v>59</v>
      </c>
      <c r="D330" s="9" t="s">
        <v>512</v>
      </c>
      <c r="F330" s="24" t="s">
        <v>636</v>
      </c>
      <c r="G330" s="15" t="s">
        <v>637</v>
      </c>
      <c r="H330" s="9" t="str" cm="1">
        <f t="array" ref="H330">INDEX(stableR[question],MATCH(VALUE(questions[[#This Row],[qno]]),VALUE(stableR[qno]),0))</f>
        <v>If yes, can you estimate how many liters did you use per day?</v>
      </c>
      <c r="I330" s="9" t="b" cm="1">
        <f t="array" ref="I330">INDEX(stable[is_fixed],MATCH(VALUE(questions[[#This Row],[qno]]),VALUE(stable[qno]),0))</f>
        <v>0</v>
      </c>
      <c r="J330" s="9" t="b" cm="1">
        <f t="array" ref="J330">INDEX(stable[is_localized],MATCH(VALUE(questions[[#This Row],[qno]]),VALUE(stable[qno]),0))</f>
        <v>0</v>
      </c>
      <c r="K330" s="9" t="b" cm="1">
        <f t="array" ref="K330">INDEX(stable[is_supply_chain_dependent],MATCH(VALUE(questions[[#This Row],[qno]]),VALUE(stable[qno]),0))</f>
        <v>1</v>
      </c>
      <c r="L330" s="9" t="b" cm="1">
        <f t="array" ref="L330">INDEX(stable[is_mandatory],MATCH(VALUE(questions[[#This Row],[qno]]),VALUE(stable[qno]),0))</f>
        <v>0</v>
      </c>
      <c r="M330" s="9" t="b" cm="1">
        <f t="array" ref="M330">INDEX(stable[is_automated],MATCH(VALUE(questions[[#This Row],[qno]]),VALUE(stable[qno]),0))</f>
        <v>0</v>
      </c>
      <c r="N330" s="9" t="b" cm="1">
        <f t="array" ref="N330">INDEX(stable[is_free_text],MATCH(VALUE(questions[[#This Row],[qno]]),VALUE(stable[qno]),0))</f>
        <v>0</v>
      </c>
      <c r="O330" s="9" t="b" cm="1">
        <f t="array" ref="O330">INDEX(stable[is_numerical],MATCH(VALUE(questions[[#This Row],[qno]]),VALUE(stable[qno]),0))</f>
        <v>1</v>
      </c>
      <c r="P330" s="32" t="b" cm="1">
        <f t="array" ref="P330">INDEX(stable[is_single_select],MATCH(VALUE(questions[[#This Row],[qno]]),VALUE(stable[qno]),0))</f>
        <v>0</v>
      </c>
      <c r="Q330" s="9" t="b" cm="1">
        <f t="array" ref="Q330">INDEX(stable[is_multi_select],MATCH(VALUE(questions[[#This Row],[qno]]),VALUE(stable[qno]),0))</f>
        <v>0</v>
      </c>
      <c r="R330" s="9" t="b" cm="1">
        <f t="array" ref="R330">INDEX(stable[is_skip_logic],MATCH(VALUE(questions[[#This Row],[qno]]),VALUE(stable[qno]),0))</f>
        <v>1</v>
      </c>
      <c r="S330" s="9" t="str">
        <f>_xlfn.TEXTJOIN(", ",TRUE,questions[[#This Row],[ans_opt_1]:[ans_opt_14]])</f>
        <v/>
      </c>
      <c r="AH330" s="16" t="b">
        <f>INDEX(stable[q_standard],MATCH(questions[[#This Row],[qno]],stable[qno],0))</f>
        <v>0</v>
      </c>
      <c r="AI330" s="16" t="b">
        <f>INDEX(stable[q_living_income],MATCH(questions[[#This Row],[qno]],stable[qno],0))</f>
        <v>0</v>
      </c>
      <c r="AJ330" s="16" t="b">
        <f>INDEX(stable[q_carbon],MATCH(questions[[#This Row],[qno]],stable[qno],0))</f>
        <v>1</v>
      </c>
      <c r="AK330" s="16" t="b">
        <f>INDEX(stable[q_regen_ag],MATCH(questions[[#This Row],[qno]],stable[qno],0))</f>
        <v>0</v>
      </c>
      <c r="AL330" s="16" t="b">
        <f>COUNTIFS(stable[qno],questions[[#This Row],[qno]])=1</f>
        <v>1</v>
      </c>
      <c r="AM330" s="16" t="b">
        <f>OR(questions[[#This Row],[is_fixed]],questions[[#This Row],[is_localized]],questions[[#This Row],[is_supply_chain_dependent]])</f>
        <v>1</v>
      </c>
      <c r="AN330" s="16" t="b">
        <f>COUNTIFS(questions[[#This Row],[is_automated]:[is_multi_select]],TRUE)=1</f>
        <v>1</v>
      </c>
      <c r="AO330" s="16" t="b">
        <f>IF(questions[[#This Row],[is_fixed]],questions[[#This Row],[question]]=INDEX(stable[question],MATCH(questions[[#This Row],[qno]],stable[qno],0)),TRUE)</f>
        <v>1</v>
      </c>
      <c r="AP330" s="16" t="str">
        <f>LEFT(questions[[#This Row],[question]],similarity_range)</f>
        <v>If yes, can you esti</v>
      </c>
      <c r="AQ330" s="16" t="str">
        <f>LEFT(INDEX(stable[question],MATCH(questions[[#This Row],[qno]],stable[qno],0)),similarity_range)</f>
        <v>If yes, can you esti</v>
      </c>
      <c r="AR330" s="16" t="b">
        <f>questions[[#This Row],[question_first_characters]]=questions[[#This Row],[stability_first_characters]]</f>
        <v>1</v>
      </c>
      <c r="AS330" s="16" t="b">
        <f>IF(OR(questions[[#This Row],[is_single_select]],questions[[#This Row],[is_multi_select]]),NOT(ISBLANK(questions[[#This Row],[answer_opt_combined]])),TRUE)</f>
        <v>1</v>
      </c>
    </row>
    <row r="331" spans="1:45" x14ac:dyDescent="0.25">
      <c r="A331" s="9" t="str">
        <f>_xlfn.TEXTJOIN("_",TRUE,questions[[#This Row],[origin]:[qno]])</f>
        <v>Uganda_Arabica_Sbux_8203</v>
      </c>
      <c r="B331" s="9" t="s">
        <v>511</v>
      </c>
      <c r="C331" s="9" t="s">
        <v>59</v>
      </c>
      <c r="D331" s="9" t="s">
        <v>512</v>
      </c>
      <c r="F331" s="24" t="s">
        <v>638</v>
      </c>
      <c r="G331" s="15" t="s">
        <v>639</v>
      </c>
      <c r="H331" s="9" t="str" cm="1">
        <f t="array" ref="H331">INDEX(stableR[question],MATCH(VALUE(questions[[#This Row],[qno]]),VALUE(stableR[qno]),0))</f>
        <v>If yes, how many days did you use water last year?</v>
      </c>
      <c r="I331" s="9" t="b" cm="1">
        <f t="array" ref="I331">INDEX(stable[is_fixed],MATCH(VALUE(questions[[#This Row],[qno]]),VALUE(stable[qno]),0))</f>
        <v>0</v>
      </c>
      <c r="J331" s="9" t="b" cm="1">
        <f t="array" ref="J331">INDEX(stable[is_localized],MATCH(VALUE(questions[[#This Row],[qno]]),VALUE(stable[qno]),0))</f>
        <v>0</v>
      </c>
      <c r="K331" s="9" t="b" cm="1">
        <f t="array" ref="K331">INDEX(stable[is_supply_chain_dependent],MATCH(VALUE(questions[[#This Row],[qno]]),VALUE(stable[qno]),0))</f>
        <v>1</v>
      </c>
      <c r="L331" s="9" t="b" cm="1">
        <f t="array" ref="L331">INDEX(stable[is_mandatory],MATCH(VALUE(questions[[#This Row],[qno]]),VALUE(stable[qno]),0))</f>
        <v>0</v>
      </c>
      <c r="M331" s="9" t="b" cm="1">
        <f t="array" ref="M331">INDEX(stable[is_automated],MATCH(VALUE(questions[[#This Row],[qno]]),VALUE(stable[qno]),0))</f>
        <v>0</v>
      </c>
      <c r="N331" s="9" t="b" cm="1">
        <f t="array" ref="N331">INDEX(stable[is_free_text],MATCH(VALUE(questions[[#This Row],[qno]]),VALUE(stable[qno]),0))</f>
        <v>0</v>
      </c>
      <c r="O331" s="9" t="b" cm="1">
        <f t="array" ref="O331">INDEX(stable[is_numerical],MATCH(VALUE(questions[[#This Row],[qno]]),VALUE(stable[qno]),0))</f>
        <v>1</v>
      </c>
      <c r="P331" s="32" t="b" cm="1">
        <f t="array" ref="P331">INDEX(stable[is_single_select],MATCH(VALUE(questions[[#This Row],[qno]]),VALUE(stable[qno]),0))</f>
        <v>0</v>
      </c>
      <c r="Q331" s="9" t="b" cm="1">
        <f t="array" ref="Q331">INDEX(stable[is_multi_select],MATCH(VALUE(questions[[#This Row],[qno]]),VALUE(stable[qno]),0))</f>
        <v>0</v>
      </c>
      <c r="R331" s="9" t="b" cm="1">
        <f t="array" ref="R331">INDEX(stable[is_skip_logic],MATCH(VALUE(questions[[#This Row],[qno]]),VALUE(stable[qno]),0))</f>
        <v>1</v>
      </c>
      <c r="S331" s="9" t="str">
        <f>_xlfn.TEXTJOIN(", ",TRUE,questions[[#This Row],[ans_opt_1]:[ans_opt_14]])</f>
        <v/>
      </c>
      <c r="AH331" s="16" t="b">
        <f>INDEX(stable[q_standard],MATCH(questions[[#This Row],[qno]],stable[qno],0))</f>
        <v>0</v>
      </c>
      <c r="AI331" s="16" t="b">
        <f>INDEX(stable[q_living_income],MATCH(questions[[#This Row],[qno]],stable[qno],0))</f>
        <v>0</v>
      </c>
      <c r="AJ331" s="16" t="b">
        <f>INDEX(stable[q_carbon],MATCH(questions[[#This Row],[qno]],stable[qno],0))</f>
        <v>1</v>
      </c>
      <c r="AK331" s="16" t="b">
        <f>INDEX(stable[q_regen_ag],MATCH(questions[[#This Row],[qno]],stable[qno],0))</f>
        <v>0</v>
      </c>
      <c r="AL331" s="16" t="b">
        <f>COUNTIFS(stable[qno],questions[[#This Row],[qno]])=1</f>
        <v>1</v>
      </c>
      <c r="AM331" s="16" t="b">
        <f>OR(questions[[#This Row],[is_fixed]],questions[[#This Row],[is_localized]],questions[[#This Row],[is_supply_chain_dependent]])</f>
        <v>1</v>
      </c>
      <c r="AN331" s="16" t="b">
        <f>COUNTIFS(questions[[#This Row],[is_automated]:[is_multi_select]],TRUE)=1</f>
        <v>1</v>
      </c>
      <c r="AO331" s="16" t="b">
        <f>IF(questions[[#This Row],[is_fixed]],questions[[#This Row],[question]]=INDEX(stable[question],MATCH(questions[[#This Row],[qno]],stable[qno],0)),TRUE)</f>
        <v>1</v>
      </c>
      <c r="AP331" s="16" t="str">
        <f>LEFT(questions[[#This Row],[question]],similarity_range)</f>
        <v>If yes, how many day</v>
      </c>
      <c r="AQ331" s="16" t="str">
        <f>LEFT(INDEX(stable[question],MATCH(questions[[#This Row],[qno]],stable[qno],0)),similarity_range)</f>
        <v>If yes, how many day</v>
      </c>
      <c r="AR331" s="16" t="b">
        <f>questions[[#This Row],[question_first_characters]]=questions[[#This Row],[stability_first_characters]]</f>
        <v>1</v>
      </c>
      <c r="AS331" s="16" t="b">
        <f>IF(OR(questions[[#This Row],[is_single_select]],questions[[#This Row],[is_multi_select]]),NOT(ISBLANK(questions[[#This Row],[answer_opt_combined]])),TRUE)</f>
        <v>1</v>
      </c>
    </row>
    <row r="332" spans="1:45" x14ac:dyDescent="0.25">
      <c r="A332" s="9" t="str">
        <f>_xlfn.TEXTJOIN("_",TRUE,questions[[#This Row],[origin]:[qno]])</f>
        <v>Uganda_Arabica_Sbux_8204</v>
      </c>
      <c r="B332" s="9" t="s">
        <v>511</v>
      </c>
      <c r="C332" s="9" t="s">
        <v>59</v>
      </c>
      <c r="D332" s="9" t="s">
        <v>512</v>
      </c>
      <c r="F332" s="24" t="s">
        <v>640</v>
      </c>
      <c r="G332" s="15" t="s">
        <v>641</v>
      </c>
      <c r="H332" s="9" t="str" cm="1">
        <f t="array" ref="H332">INDEX(stableR[question],MATCH(VALUE(questions[[#This Row],[qno]]),VALUE(stableR[qno]),0))</f>
        <v>If yes, what did you do with the waste water? Please describe as precisely as possible? Was it directly put back in natural streams, put in a soaking pit, stored in a shallow lagoon (&lt;2 m deep), stored in a deep lagoon (&gt;2 m deep), put through a treatment system, if so describe this system</v>
      </c>
      <c r="I332" s="9" t="b" cm="1">
        <f t="array" ref="I332">INDEX(stable[is_fixed],MATCH(VALUE(questions[[#This Row],[qno]]),VALUE(stable[qno]),0))</f>
        <v>0</v>
      </c>
      <c r="J332" s="9" t="b" cm="1">
        <f t="array" ref="J332">INDEX(stable[is_localized],MATCH(VALUE(questions[[#This Row],[qno]]),VALUE(stable[qno]),0))</f>
        <v>0</v>
      </c>
      <c r="K332" s="9" t="b" cm="1">
        <f t="array" ref="K332">INDEX(stable[is_supply_chain_dependent],MATCH(VALUE(questions[[#This Row],[qno]]),VALUE(stable[qno]),0))</f>
        <v>1</v>
      </c>
      <c r="L332" s="9" t="b" cm="1">
        <f t="array" ref="L332">INDEX(stable[is_mandatory],MATCH(VALUE(questions[[#This Row],[qno]]),VALUE(stable[qno]),0))</f>
        <v>0</v>
      </c>
      <c r="M332" s="9" t="b" cm="1">
        <f t="array" ref="M332">INDEX(stable[is_automated],MATCH(VALUE(questions[[#This Row],[qno]]),VALUE(stable[qno]),0))</f>
        <v>0</v>
      </c>
      <c r="N332" s="9" t="b" cm="1">
        <f t="array" ref="N332">INDEX(stable[is_free_text],MATCH(VALUE(questions[[#This Row],[qno]]),VALUE(stable[qno]),0))</f>
        <v>1</v>
      </c>
      <c r="O332" s="9" t="b" cm="1">
        <f t="array" ref="O332">INDEX(stable[is_numerical],MATCH(VALUE(questions[[#This Row],[qno]]),VALUE(stable[qno]),0))</f>
        <v>0</v>
      </c>
      <c r="P332" s="32" t="b" cm="1">
        <f t="array" ref="P332">INDEX(stable[is_single_select],MATCH(VALUE(questions[[#This Row],[qno]]),VALUE(stable[qno]),0))</f>
        <v>0</v>
      </c>
      <c r="Q332" s="9" t="b" cm="1">
        <f t="array" ref="Q332">INDEX(stable[is_multi_select],MATCH(VALUE(questions[[#This Row],[qno]]),VALUE(stable[qno]),0))</f>
        <v>0</v>
      </c>
      <c r="R332" s="9" t="b" cm="1">
        <f t="array" ref="R332">INDEX(stable[is_skip_logic],MATCH(VALUE(questions[[#This Row],[qno]]),VALUE(stable[qno]),0))</f>
        <v>1</v>
      </c>
      <c r="S332" s="9" t="str">
        <f>_xlfn.TEXTJOIN(", ",TRUE,questions[[#This Row],[ans_opt_1]:[ans_opt_14]])</f>
        <v/>
      </c>
      <c r="AH332" s="16" t="b">
        <f>INDEX(stable[q_standard],MATCH(questions[[#This Row],[qno]],stable[qno],0))</f>
        <v>0</v>
      </c>
      <c r="AI332" s="16" t="b">
        <f>INDEX(stable[q_living_income],MATCH(questions[[#This Row],[qno]],stable[qno],0))</f>
        <v>0</v>
      </c>
      <c r="AJ332" s="16" t="b">
        <f>INDEX(stable[q_carbon],MATCH(questions[[#This Row],[qno]],stable[qno],0))</f>
        <v>1</v>
      </c>
      <c r="AK332" s="16" t="b">
        <f>INDEX(stable[q_regen_ag],MATCH(questions[[#This Row],[qno]],stable[qno],0))</f>
        <v>0</v>
      </c>
      <c r="AL332" s="16" t="b">
        <f>COUNTIFS(stable[qno],questions[[#This Row],[qno]])=1</f>
        <v>1</v>
      </c>
      <c r="AM332" s="16" t="b">
        <f>OR(questions[[#This Row],[is_fixed]],questions[[#This Row],[is_localized]],questions[[#This Row],[is_supply_chain_dependent]])</f>
        <v>1</v>
      </c>
      <c r="AN332" s="16" t="b">
        <f>COUNTIFS(questions[[#This Row],[is_automated]:[is_multi_select]],TRUE)=1</f>
        <v>1</v>
      </c>
      <c r="AO332" s="16" t="b">
        <f>IF(questions[[#This Row],[is_fixed]],questions[[#This Row],[question]]=INDEX(stable[question],MATCH(questions[[#This Row],[qno]],stable[qno],0)),TRUE)</f>
        <v>1</v>
      </c>
      <c r="AP332" s="16" t="str">
        <f>LEFT(questions[[#This Row],[question]],similarity_range)</f>
        <v>If yes, what did you</v>
      </c>
      <c r="AQ332" s="16" t="str">
        <f>LEFT(INDEX(stable[question],MATCH(questions[[#This Row],[qno]],stable[qno],0)),similarity_range)</f>
        <v>If yes, what did you</v>
      </c>
      <c r="AR332" s="16" t="b">
        <f>questions[[#This Row],[question_first_characters]]=questions[[#This Row],[stability_first_characters]]</f>
        <v>1</v>
      </c>
      <c r="AS332" s="16" t="b">
        <f>IF(OR(questions[[#This Row],[is_single_select]],questions[[#This Row],[is_multi_select]]),NOT(ISBLANK(questions[[#This Row],[answer_opt_combined]])),TRUE)</f>
        <v>1</v>
      </c>
    </row>
    <row r="333" spans="1:45" s="77" customFormat="1" x14ac:dyDescent="0.25">
      <c r="A333" s="77" t="str">
        <f>_xlfn.TEXTJOIN("_",TRUE,questions[[#This Row],[origin]:[qno]])</f>
        <v>Uganda_Arabica_Sbux_8300</v>
      </c>
      <c r="B333" s="77" t="s">
        <v>511</v>
      </c>
      <c r="C333" s="77" t="s">
        <v>59</v>
      </c>
      <c r="D333" s="77" t="s">
        <v>512</v>
      </c>
      <c r="F333" s="104" t="s">
        <v>642</v>
      </c>
      <c r="G333" s="78" t="s">
        <v>643</v>
      </c>
      <c r="H333" s="9" t="str" cm="1">
        <f t="array" ref="H333">INDEX(stableR[question],MATCH(VALUE(questions[[#This Row],[qno]]),VALUE(stableR[qno]),0))</f>
        <v>Did you use diesel in any process in your coffee farming last year?</v>
      </c>
      <c r="I333" s="9" t="b" cm="1">
        <f t="array" ref="I333">INDEX(stable[is_fixed],MATCH(VALUE(questions[[#This Row],[qno]]),VALUE(stable[qno]),0))</f>
        <v>0</v>
      </c>
      <c r="J333" s="9" t="b" cm="1">
        <f t="array" ref="J333">INDEX(stable[is_localized],MATCH(VALUE(questions[[#This Row],[qno]]),VALUE(stable[qno]),0))</f>
        <v>0</v>
      </c>
      <c r="K333" s="9" t="b" cm="1">
        <f t="array" ref="K333">INDEX(stable[is_supply_chain_dependent],MATCH(VALUE(questions[[#This Row],[qno]]),VALUE(stable[qno]),0))</f>
        <v>1</v>
      </c>
      <c r="L333" s="9" t="b" cm="1">
        <f t="array" ref="L333">INDEX(stable[is_mandatory],MATCH(VALUE(questions[[#This Row],[qno]]),VALUE(stable[qno]),0))</f>
        <v>1</v>
      </c>
      <c r="M333" s="9" t="b" cm="1">
        <f t="array" ref="M333">INDEX(stable[is_automated],MATCH(VALUE(questions[[#This Row],[qno]]),VALUE(stable[qno]),0))</f>
        <v>0</v>
      </c>
      <c r="N333" s="9" t="b" cm="1">
        <f t="array" ref="N333">INDEX(stable[is_free_text],MATCH(VALUE(questions[[#This Row],[qno]]),VALUE(stable[qno]),0))</f>
        <v>0</v>
      </c>
      <c r="O333" s="9" t="b" cm="1">
        <f t="array" ref="O333">INDEX(stable[is_numerical],MATCH(VALUE(questions[[#This Row],[qno]]),VALUE(stable[qno]),0))</f>
        <v>0</v>
      </c>
      <c r="P333" s="103" t="b" cm="1">
        <f t="array" ref="P333">INDEX(stable[is_single_select],MATCH(VALUE(questions[[#This Row],[qno]]),VALUE(stable[qno]),0))</f>
        <v>1</v>
      </c>
      <c r="Q333" s="77" t="b" cm="1">
        <f t="array" ref="Q333">INDEX(stable[is_multi_select],MATCH(VALUE(questions[[#This Row],[qno]]),VALUE(stable[qno]),0))</f>
        <v>0</v>
      </c>
      <c r="R333" s="77" t="b" cm="1">
        <f t="array" ref="R333">INDEX(stable[is_skip_logic],MATCH(VALUE(questions[[#This Row],[qno]]),VALUE(stable[qno]),0))</f>
        <v>1</v>
      </c>
      <c r="S333" s="77" t="str">
        <f>_xlfn.TEXTJOIN(", ",TRUE,questions[[#This Row],[ans_opt_1]:[ans_opt_14]])</f>
        <v>Yes, No</v>
      </c>
      <c r="T333" s="77" t="s">
        <v>149</v>
      </c>
      <c r="U333" s="77" t="s">
        <v>119</v>
      </c>
      <c r="AH333" s="98" t="b">
        <f>INDEX(stable[q_standard],MATCH(questions[[#This Row],[qno]],stable[qno],0))</f>
        <v>0</v>
      </c>
      <c r="AI333" s="98" t="b">
        <f>INDEX(stable[q_living_income],MATCH(questions[[#This Row],[qno]],stable[qno],0))</f>
        <v>0</v>
      </c>
      <c r="AJ333" s="98" t="b">
        <f>INDEX(stable[q_carbon],MATCH(questions[[#This Row],[qno]],stable[qno],0))</f>
        <v>1</v>
      </c>
      <c r="AK333" s="98" t="b">
        <f>INDEX(stable[q_regen_ag],MATCH(questions[[#This Row],[qno]],stable[qno],0))</f>
        <v>0</v>
      </c>
      <c r="AL333" s="98" t="b">
        <f>COUNTIFS(stable[qno],questions[[#This Row],[qno]])=1</f>
        <v>1</v>
      </c>
      <c r="AM333" s="98" t="b">
        <f>OR(questions[[#This Row],[is_fixed]],questions[[#This Row],[is_localized]],questions[[#This Row],[is_supply_chain_dependent]])</f>
        <v>1</v>
      </c>
      <c r="AN333" s="98" t="b">
        <f>COUNTIFS(questions[[#This Row],[is_automated]:[is_multi_select]],TRUE)=1</f>
        <v>1</v>
      </c>
      <c r="AO333" s="98" t="b">
        <f>IF(questions[[#This Row],[is_fixed]],questions[[#This Row],[question]]=INDEX(stable[question],MATCH(questions[[#This Row],[qno]],stable[qno],0)),TRUE)</f>
        <v>1</v>
      </c>
      <c r="AP333" s="98" t="str">
        <f>LEFT(questions[[#This Row],[question]],similarity_range)</f>
        <v>Did you use diesel i</v>
      </c>
      <c r="AQ333" s="98" t="str">
        <f>LEFT(INDEX(stable[question],MATCH(questions[[#This Row],[qno]],stable[qno],0)),similarity_range)</f>
        <v>Did you use diesel i</v>
      </c>
      <c r="AR333" s="98" t="b">
        <f>questions[[#This Row],[question_first_characters]]=questions[[#This Row],[stability_first_characters]]</f>
        <v>1</v>
      </c>
      <c r="AS333" s="98" t="b">
        <f>IF(OR(questions[[#This Row],[is_single_select]],questions[[#This Row],[is_multi_select]]),NOT(ISBLANK(questions[[#This Row],[answer_opt_combined]])),TRUE)</f>
        <v>1</v>
      </c>
    </row>
    <row r="334" spans="1:45" s="77" customFormat="1" x14ac:dyDescent="0.25">
      <c r="A334" s="77" t="str">
        <f>_xlfn.TEXTJOIN("_",TRUE,questions[[#This Row],[origin]:[qno]])</f>
        <v>Uganda_Arabica_Sbux_8301</v>
      </c>
      <c r="B334" s="77" t="s">
        <v>511</v>
      </c>
      <c r="C334" s="77" t="s">
        <v>59</v>
      </c>
      <c r="D334" s="77" t="s">
        <v>512</v>
      </c>
      <c r="F334" s="104" t="s">
        <v>644</v>
      </c>
      <c r="G334" s="78" t="s">
        <v>645</v>
      </c>
      <c r="H334" s="9" t="str" cm="1">
        <f t="array" ref="H334">INDEX(stableR[question],MATCH(VALUE(questions[[#This Row],[qno]]),VALUE(stableR[qno]),0))</f>
        <v>If yes, for what?</v>
      </c>
      <c r="I334" s="9" t="b" cm="1">
        <f t="array" ref="I334">INDEX(stable[is_fixed],MATCH(VALUE(questions[[#This Row],[qno]]),VALUE(stable[qno]),0))</f>
        <v>0</v>
      </c>
      <c r="J334" s="9" t="b" cm="1">
        <f t="array" ref="J334">INDEX(stable[is_localized],MATCH(VALUE(questions[[#This Row],[qno]]),VALUE(stable[qno]),0))</f>
        <v>0</v>
      </c>
      <c r="K334" s="9" t="b" cm="1">
        <f t="array" ref="K334">INDEX(stable[is_supply_chain_dependent],MATCH(VALUE(questions[[#This Row],[qno]]),VALUE(stable[qno]),0))</f>
        <v>1</v>
      </c>
      <c r="L334" s="9" t="b" cm="1">
        <f t="array" ref="L334">INDEX(stable[is_mandatory],MATCH(VALUE(questions[[#This Row],[qno]]),VALUE(stable[qno]),0))</f>
        <v>1</v>
      </c>
      <c r="M334" s="9" t="b" cm="1">
        <f t="array" ref="M334">INDEX(stable[is_automated],MATCH(VALUE(questions[[#This Row],[qno]]),VALUE(stable[qno]),0))</f>
        <v>0</v>
      </c>
      <c r="N334" s="9" t="b" cm="1">
        <f t="array" ref="N334">INDEX(stable[is_free_text],MATCH(VALUE(questions[[#This Row],[qno]]),VALUE(stable[qno]),0))</f>
        <v>0</v>
      </c>
      <c r="O334" s="9" t="b" cm="1">
        <f t="array" ref="O334">INDEX(stable[is_numerical],MATCH(VALUE(questions[[#This Row],[qno]]),VALUE(stable[qno]),0))</f>
        <v>0</v>
      </c>
      <c r="P334" s="103" t="b" cm="1">
        <f t="array" ref="P334">INDEX(stable[is_single_select],MATCH(VALUE(questions[[#This Row],[qno]]),VALUE(stable[qno]),0))</f>
        <v>0</v>
      </c>
      <c r="Q334" s="77" t="b" cm="1">
        <f t="array" ref="Q334">INDEX(stable[is_multi_select],MATCH(VALUE(questions[[#This Row],[qno]]),VALUE(stable[qno]),0))</f>
        <v>1</v>
      </c>
      <c r="R334" s="77" t="b" cm="1">
        <f t="array" ref="R334">INDEX(stable[is_skip_logic],MATCH(VALUE(questions[[#This Row],[qno]]),VALUE(stable[qno]),0))</f>
        <v>1</v>
      </c>
      <c r="S334" s="77" t="str">
        <f>_xlfn.TEXTJOIN(", ",TRUE,questions[[#This Row],[ans_opt_1]:[ans_opt_14]])</f>
        <v>Processing, Transport, Power Generator, Irrigation, Other</v>
      </c>
      <c r="T334" s="77" t="s">
        <v>646</v>
      </c>
      <c r="U334" s="77" t="s">
        <v>647</v>
      </c>
      <c r="V334" s="77" t="s">
        <v>648</v>
      </c>
      <c r="W334" s="91" t="s">
        <v>649</v>
      </c>
      <c r="AG334" s="77" t="s">
        <v>112</v>
      </c>
      <c r="AH334" s="98" t="b">
        <f>INDEX(stable[q_standard],MATCH(questions[[#This Row],[qno]],stable[qno],0))</f>
        <v>0</v>
      </c>
      <c r="AI334" s="98" t="b">
        <f>INDEX(stable[q_living_income],MATCH(questions[[#This Row],[qno]],stable[qno],0))</f>
        <v>0</v>
      </c>
      <c r="AJ334" s="98" t="b">
        <f>INDEX(stable[q_carbon],MATCH(questions[[#This Row],[qno]],stable[qno],0))</f>
        <v>1</v>
      </c>
      <c r="AK334" s="98" t="b">
        <f>INDEX(stable[q_regen_ag],MATCH(questions[[#This Row],[qno]],stable[qno],0))</f>
        <v>0</v>
      </c>
      <c r="AL334" s="98" t="b">
        <f>COUNTIFS(stable[qno],questions[[#This Row],[qno]])=1</f>
        <v>1</v>
      </c>
      <c r="AM334" s="98" t="b">
        <f>OR(questions[[#This Row],[is_fixed]],questions[[#This Row],[is_localized]],questions[[#This Row],[is_supply_chain_dependent]])</f>
        <v>1</v>
      </c>
      <c r="AN334" s="98" t="b">
        <f>COUNTIFS(questions[[#This Row],[is_automated]:[is_multi_select]],TRUE)=1</f>
        <v>1</v>
      </c>
      <c r="AO334" s="98" t="b">
        <f>IF(questions[[#This Row],[is_fixed]],questions[[#This Row],[question]]=INDEX(stable[question],MATCH(questions[[#This Row],[qno]],stable[qno],0)),TRUE)</f>
        <v>1</v>
      </c>
      <c r="AP334" s="98" t="str">
        <f>LEFT(questions[[#This Row],[question]],similarity_range)</f>
        <v>If yes, for what</v>
      </c>
      <c r="AQ334" s="98" t="str">
        <f>LEFT(INDEX(stable[question],MATCH(questions[[#This Row],[qno]],stable[qno],0)),similarity_range)</f>
        <v>If yes, for what</v>
      </c>
      <c r="AR334" s="98" t="b">
        <f>questions[[#This Row],[question_first_characters]]=questions[[#This Row],[stability_first_characters]]</f>
        <v>1</v>
      </c>
      <c r="AS334" s="98" t="b">
        <f>IF(OR(questions[[#This Row],[is_single_select]],questions[[#This Row],[is_multi_select]]),NOT(ISBLANK(questions[[#This Row],[answer_opt_combined]])),TRUE)</f>
        <v>1</v>
      </c>
    </row>
    <row r="335" spans="1:45" x14ac:dyDescent="0.25">
      <c r="A335" s="9" t="str">
        <f>_xlfn.TEXTJOIN("_",TRUE,questions[[#This Row],[origin]:[qno]])</f>
        <v>Uganda_Arabica_Sbux_8302</v>
      </c>
      <c r="B335" s="9" t="s">
        <v>511</v>
      </c>
      <c r="C335" s="9" t="s">
        <v>59</v>
      </c>
      <c r="D335" s="9" t="s">
        <v>512</v>
      </c>
      <c r="F335" s="24" t="s">
        <v>650</v>
      </c>
      <c r="G335" s="15" t="s">
        <v>651</v>
      </c>
      <c r="H335" s="9" t="str" cm="1">
        <f t="array" ref="H335">INDEX(stableR[question],MATCH(VALUE(questions[[#This Row],[qno]]),VALUE(stableR[qno]),0))</f>
        <v>How many liters per day?</v>
      </c>
      <c r="I335" s="9" t="b" cm="1">
        <f t="array" ref="I335">INDEX(stable[is_fixed],MATCH(VALUE(questions[[#This Row],[qno]]),VALUE(stable[qno]),0))</f>
        <v>0</v>
      </c>
      <c r="J335" s="9" t="b" cm="1">
        <f t="array" ref="J335">INDEX(stable[is_localized],MATCH(VALUE(questions[[#This Row],[qno]]),VALUE(stable[qno]),0))</f>
        <v>0</v>
      </c>
      <c r="K335" s="9" t="b" cm="1">
        <f t="array" ref="K335">INDEX(stable[is_supply_chain_dependent],MATCH(VALUE(questions[[#This Row],[qno]]),VALUE(stable[qno]),0))</f>
        <v>1</v>
      </c>
      <c r="L335" s="9" t="b" cm="1">
        <f t="array" ref="L335">INDEX(stable[is_mandatory],MATCH(VALUE(questions[[#This Row],[qno]]),VALUE(stable[qno]),0))</f>
        <v>1</v>
      </c>
      <c r="M335" s="9" t="b" cm="1">
        <f t="array" ref="M335">INDEX(stable[is_automated],MATCH(VALUE(questions[[#This Row],[qno]]),VALUE(stable[qno]),0))</f>
        <v>0</v>
      </c>
      <c r="N335" s="9" t="b" cm="1">
        <f t="array" ref="N335">INDEX(stable[is_free_text],MATCH(VALUE(questions[[#This Row],[qno]]),VALUE(stable[qno]),0))</f>
        <v>0</v>
      </c>
      <c r="O335" s="9" t="b" cm="1">
        <f t="array" ref="O335">INDEX(stable[is_numerical],MATCH(VALUE(questions[[#This Row],[qno]]),VALUE(stable[qno]),0))</f>
        <v>1</v>
      </c>
      <c r="P335" s="32" t="b" cm="1">
        <f t="array" ref="P335">INDEX(stable[is_single_select],MATCH(VALUE(questions[[#This Row],[qno]]),VALUE(stable[qno]),0))</f>
        <v>0</v>
      </c>
      <c r="Q335" s="9" t="b" cm="1">
        <f t="array" ref="Q335">INDEX(stable[is_multi_select],MATCH(VALUE(questions[[#This Row],[qno]]),VALUE(stable[qno]),0))</f>
        <v>0</v>
      </c>
      <c r="R335" s="9" t="b" cm="1">
        <f t="array" ref="R335">INDEX(stable[is_skip_logic],MATCH(VALUE(questions[[#This Row],[qno]]),VALUE(stable[qno]),0))</f>
        <v>1</v>
      </c>
      <c r="S335" s="9" t="str">
        <f>_xlfn.TEXTJOIN(", ",TRUE,questions[[#This Row],[ans_opt_1]:[ans_opt_14]])</f>
        <v/>
      </c>
      <c r="AH335" s="16" t="b">
        <f>INDEX(stable[q_standard],MATCH(questions[[#This Row],[qno]],stable[qno],0))</f>
        <v>0</v>
      </c>
      <c r="AI335" s="16" t="b">
        <f>INDEX(stable[q_living_income],MATCH(questions[[#This Row],[qno]],stable[qno],0))</f>
        <v>0</v>
      </c>
      <c r="AJ335" s="16" t="b">
        <f>INDEX(stable[q_carbon],MATCH(questions[[#This Row],[qno]],stable[qno],0))</f>
        <v>1</v>
      </c>
      <c r="AK335" s="16" t="b">
        <f>INDEX(stable[q_regen_ag],MATCH(questions[[#This Row],[qno]],stable[qno],0))</f>
        <v>0</v>
      </c>
      <c r="AL335" s="16" t="b">
        <f>COUNTIFS(stable[qno],questions[[#This Row],[qno]])=1</f>
        <v>1</v>
      </c>
      <c r="AM335" s="16" t="b">
        <f>OR(questions[[#This Row],[is_fixed]],questions[[#This Row],[is_localized]],questions[[#This Row],[is_supply_chain_dependent]])</f>
        <v>1</v>
      </c>
      <c r="AN335" s="16" t="b">
        <f>COUNTIFS(questions[[#This Row],[is_automated]:[is_multi_select]],TRUE)=1</f>
        <v>1</v>
      </c>
      <c r="AO335" s="16" t="b">
        <f>IF(questions[[#This Row],[is_fixed]],questions[[#This Row],[question]]=INDEX(stable[question],MATCH(questions[[#This Row],[qno]],stable[qno],0)),TRUE)</f>
        <v>1</v>
      </c>
      <c r="AP335" s="16" t="str">
        <f>LEFT(questions[[#This Row],[question]],similarity_range)</f>
        <v xml:space="preserve">How many liters per </v>
      </c>
      <c r="AQ335" s="16" t="str">
        <f>LEFT(INDEX(stable[question],MATCH(questions[[#This Row],[qno]],stable[qno],0)),similarity_range)</f>
        <v xml:space="preserve">How many liters per </v>
      </c>
      <c r="AR335" s="16" t="b">
        <f>questions[[#This Row],[question_first_characters]]=questions[[#This Row],[stability_first_characters]]</f>
        <v>1</v>
      </c>
      <c r="AS335" s="16" t="b">
        <f>IF(OR(questions[[#This Row],[is_single_select]],questions[[#This Row],[is_multi_select]]),NOT(ISBLANK(questions[[#This Row],[answer_opt_combined]])),TRUE)</f>
        <v>1</v>
      </c>
    </row>
    <row r="336" spans="1:45" x14ac:dyDescent="0.25">
      <c r="A336" s="9" t="str">
        <f>_xlfn.TEXTJOIN("_",TRUE,questions[[#This Row],[origin]:[qno]])</f>
        <v>Uganda_Arabica_Sbux_8303</v>
      </c>
      <c r="B336" s="9" t="s">
        <v>511</v>
      </c>
      <c r="C336" s="9" t="s">
        <v>59</v>
      </c>
      <c r="D336" s="9" t="s">
        <v>512</v>
      </c>
      <c r="F336" s="24" t="s">
        <v>652</v>
      </c>
      <c r="G336" s="15" t="s">
        <v>653</v>
      </c>
      <c r="H336" s="9" t="str" cm="1">
        <f t="array" ref="H336">INDEX(stableR[question],MATCH(VALUE(questions[[#This Row],[qno]]),VALUE(stableR[qno]),0))</f>
        <v>How many days per year</v>
      </c>
      <c r="I336" s="9" t="b" cm="1">
        <f t="array" ref="I336">INDEX(stable[is_fixed],MATCH(VALUE(questions[[#This Row],[qno]]),VALUE(stable[qno]),0))</f>
        <v>0</v>
      </c>
      <c r="J336" s="9" t="b" cm="1">
        <f t="array" ref="J336">INDEX(stable[is_localized],MATCH(VALUE(questions[[#This Row],[qno]]),VALUE(stable[qno]),0))</f>
        <v>0</v>
      </c>
      <c r="K336" s="9" t="b" cm="1">
        <f t="array" ref="K336">INDEX(stable[is_supply_chain_dependent],MATCH(VALUE(questions[[#This Row],[qno]]),VALUE(stable[qno]),0))</f>
        <v>1</v>
      </c>
      <c r="L336" s="9" t="b" cm="1">
        <f t="array" ref="L336">INDEX(stable[is_mandatory],MATCH(VALUE(questions[[#This Row],[qno]]),VALUE(stable[qno]),0))</f>
        <v>1</v>
      </c>
      <c r="M336" s="9" t="b" cm="1">
        <f t="array" ref="M336">INDEX(stable[is_automated],MATCH(VALUE(questions[[#This Row],[qno]]),VALUE(stable[qno]),0))</f>
        <v>0</v>
      </c>
      <c r="N336" s="9" t="b" cm="1">
        <f t="array" ref="N336">INDEX(stable[is_free_text],MATCH(VALUE(questions[[#This Row],[qno]]),VALUE(stable[qno]),0))</f>
        <v>0</v>
      </c>
      <c r="O336" s="9" t="b" cm="1">
        <f t="array" ref="O336">INDEX(stable[is_numerical],MATCH(VALUE(questions[[#This Row],[qno]]),VALUE(stable[qno]),0))</f>
        <v>1</v>
      </c>
      <c r="P336" s="32" t="b" cm="1">
        <f t="array" ref="P336">INDEX(stable[is_single_select],MATCH(VALUE(questions[[#This Row],[qno]]),VALUE(stable[qno]),0))</f>
        <v>0</v>
      </c>
      <c r="Q336" s="9" t="b" cm="1">
        <f t="array" ref="Q336">INDEX(stable[is_multi_select],MATCH(VALUE(questions[[#This Row],[qno]]),VALUE(stable[qno]),0))</f>
        <v>0</v>
      </c>
      <c r="R336" s="9" t="b" cm="1">
        <f t="array" ref="R336">INDEX(stable[is_skip_logic],MATCH(VALUE(questions[[#This Row],[qno]]),VALUE(stable[qno]),0))</f>
        <v>1</v>
      </c>
      <c r="S336" s="9" t="str">
        <f>_xlfn.TEXTJOIN(", ",TRUE,questions[[#This Row],[ans_opt_1]:[ans_opt_14]])</f>
        <v/>
      </c>
      <c r="AH336" s="16" t="b">
        <f>INDEX(stable[q_standard],MATCH(questions[[#This Row],[qno]],stable[qno],0))</f>
        <v>0</v>
      </c>
      <c r="AI336" s="16" t="b">
        <f>INDEX(stable[q_living_income],MATCH(questions[[#This Row],[qno]],stable[qno],0))</f>
        <v>0</v>
      </c>
      <c r="AJ336" s="16" t="b">
        <f>INDEX(stable[q_carbon],MATCH(questions[[#This Row],[qno]],stable[qno],0))</f>
        <v>1</v>
      </c>
      <c r="AK336" s="16" t="b">
        <f>INDEX(stable[q_regen_ag],MATCH(questions[[#This Row],[qno]],stable[qno],0))</f>
        <v>0</v>
      </c>
      <c r="AL336" s="16" t="b">
        <f>COUNTIFS(stable[qno],questions[[#This Row],[qno]])=1</f>
        <v>1</v>
      </c>
      <c r="AM336" s="16" t="b">
        <f>OR(questions[[#This Row],[is_fixed]],questions[[#This Row],[is_localized]],questions[[#This Row],[is_supply_chain_dependent]])</f>
        <v>1</v>
      </c>
      <c r="AN336" s="16" t="b">
        <f>COUNTIFS(questions[[#This Row],[is_automated]:[is_multi_select]],TRUE)=1</f>
        <v>1</v>
      </c>
      <c r="AO336" s="16" t="b">
        <f>IF(questions[[#This Row],[is_fixed]],questions[[#This Row],[question]]=INDEX(stable[question],MATCH(questions[[#This Row],[qno]],stable[qno],0)),TRUE)</f>
        <v>1</v>
      </c>
      <c r="AP336" s="16" t="str">
        <f>LEFT(questions[[#This Row],[question]],similarity_range)</f>
        <v>How many days per ye</v>
      </c>
      <c r="AQ336" s="16" t="str">
        <f>LEFT(INDEX(stable[question],MATCH(questions[[#This Row],[qno]],stable[qno],0)),similarity_range)</f>
        <v>How many days per ye</v>
      </c>
      <c r="AR336" s="16" t="b">
        <f>questions[[#This Row],[question_first_characters]]=questions[[#This Row],[stability_first_characters]]</f>
        <v>1</v>
      </c>
      <c r="AS336" s="16" t="b">
        <f>IF(OR(questions[[#This Row],[is_single_select]],questions[[#This Row],[is_multi_select]]),NOT(ISBLANK(questions[[#This Row],[answer_opt_combined]])),TRUE)</f>
        <v>1</v>
      </c>
    </row>
    <row r="337" spans="1:45" s="77" customFormat="1" x14ac:dyDescent="0.25">
      <c r="A337" s="77" t="str">
        <f>_xlfn.TEXTJOIN("_",TRUE,questions[[#This Row],[origin]:[qno]])</f>
        <v>Uganda_Arabica_Sbux_8400</v>
      </c>
      <c r="B337" s="77" t="s">
        <v>511</v>
      </c>
      <c r="C337" s="77" t="s">
        <v>59</v>
      </c>
      <c r="D337" s="77" t="s">
        <v>512</v>
      </c>
      <c r="F337" s="104" t="s">
        <v>654</v>
      </c>
      <c r="G337" s="78" t="s">
        <v>655</v>
      </c>
      <c r="H337" s="9" t="str" cm="1">
        <f t="array" ref="H337">INDEX(stableR[question],MATCH(VALUE(questions[[#This Row],[qno]]),VALUE(stableR[qno]),0))</f>
        <v>Did you use petrol in any process in your coffee farming last year?</v>
      </c>
      <c r="I337" s="9" t="b" cm="1">
        <f t="array" ref="I337">INDEX(stable[is_fixed],MATCH(VALUE(questions[[#This Row],[qno]]),VALUE(stable[qno]),0))</f>
        <v>0</v>
      </c>
      <c r="J337" s="9" t="b" cm="1">
        <f t="array" ref="J337">INDEX(stable[is_localized],MATCH(VALUE(questions[[#This Row],[qno]]),VALUE(stable[qno]),0))</f>
        <v>0</v>
      </c>
      <c r="K337" s="9" t="b" cm="1">
        <f t="array" ref="K337">INDEX(stable[is_supply_chain_dependent],MATCH(VALUE(questions[[#This Row],[qno]]),VALUE(stable[qno]),0))</f>
        <v>1</v>
      </c>
      <c r="L337" s="9" t="b" cm="1">
        <f t="array" ref="L337">INDEX(stable[is_mandatory],MATCH(VALUE(questions[[#This Row],[qno]]),VALUE(stable[qno]),0))</f>
        <v>1</v>
      </c>
      <c r="M337" s="9" t="b" cm="1">
        <f t="array" ref="M337">INDEX(stable[is_automated],MATCH(VALUE(questions[[#This Row],[qno]]),VALUE(stable[qno]),0))</f>
        <v>0</v>
      </c>
      <c r="N337" s="9" t="b" cm="1">
        <f t="array" ref="N337">INDEX(stable[is_free_text],MATCH(VALUE(questions[[#This Row],[qno]]),VALUE(stable[qno]),0))</f>
        <v>0</v>
      </c>
      <c r="O337" s="9" t="b" cm="1">
        <f t="array" ref="O337">INDEX(stable[is_numerical],MATCH(VALUE(questions[[#This Row],[qno]]),VALUE(stable[qno]),0))</f>
        <v>0</v>
      </c>
      <c r="P337" s="103" t="b" cm="1">
        <f t="array" ref="P337">INDEX(stable[is_single_select],MATCH(VALUE(questions[[#This Row],[qno]]),VALUE(stable[qno]),0))</f>
        <v>1</v>
      </c>
      <c r="Q337" s="77" t="b" cm="1">
        <f t="array" ref="Q337">INDEX(stable[is_multi_select],MATCH(VALUE(questions[[#This Row],[qno]]),VALUE(stable[qno]),0))</f>
        <v>0</v>
      </c>
      <c r="R337" s="77" t="b" cm="1">
        <f t="array" ref="R337">INDEX(stable[is_skip_logic],MATCH(VALUE(questions[[#This Row],[qno]]),VALUE(stable[qno]),0))</f>
        <v>1</v>
      </c>
      <c r="S337" s="77" t="str">
        <f>_xlfn.TEXTJOIN(", ",TRUE,questions[[#This Row],[ans_opt_1]:[ans_opt_14]])</f>
        <v>Yes, No</v>
      </c>
      <c r="T337" s="77" t="s">
        <v>149</v>
      </c>
      <c r="U337" s="77" t="s">
        <v>119</v>
      </c>
      <c r="AH337" s="98" t="b">
        <f>INDEX(stable[q_standard],MATCH(questions[[#This Row],[qno]],stable[qno],0))</f>
        <v>0</v>
      </c>
      <c r="AI337" s="98" t="b">
        <f>INDEX(stable[q_living_income],MATCH(questions[[#This Row],[qno]],stable[qno],0))</f>
        <v>0</v>
      </c>
      <c r="AJ337" s="98" t="b">
        <f>INDEX(stable[q_carbon],MATCH(questions[[#This Row],[qno]],stable[qno],0))</f>
        <v>1</v>
      </c>
      <c r="AK337" s="98" t="b">
        <f>INDEX(stable[q_regen_ag],MATCH(questions[[#This Row],[qno]],stable[qno],0))</f>
        <v>0</v>
      </c>
      <c r="AL337" s="98" t="b">
        <f>COUNTIFS(stable[qno],questions[[#This Row],[qno]])=1</f>
        <v>1</v>
      </c>
      <c r="AM337" s="98" t="b">
        <f>OR(questions[[#This Row],[is_fixed]],questions[[#This Row],[is_localized]],questions[[#This Row],[is_supply_chain_dependent]])</f>
        <v>1</v>
      </c>
      <c r="AN337" s="98" t="b">
        <f>COUNTIFS(questions[[#This Row],[is_automated]:[is_multi_select]],TRUE)=1</f>
        <v>1</v>
      </c>
      <c r="AO337" s="98" t="b">
        <f>IF(questions[[#This Row],[is_fixed]],questions[[#This Row],[question]]=INDEX(stable[question],MATCH(questions[[#This Row],[qno]],stable[qno],0)),TRUE)</f>
        <v>1</v>
      </c>
      <c r="AP337" s="98" t="str">
        <f>LEFT(questions[[#This Row],[question]],similarity_range)</f>
        <v>Did you use petrol i</v>
      </c>
      <c r="AQ337" s="98" t="str">
        <f>LEFT(INDEX(stable[question],MATCH(questions[[#This Row],[qno]],stable[qno],0)),similarity_range)</f>
        <v>Did you use petrol i</v>
      </c>
      <c r="AR337" s="98" t="b">
        <f>questions[[#This Row],[question_first_characters]]=questions[[#This Row],[stability_first_characters]]</f>
        <v>1</v>
      </c>
      <c r="AS337" s="98" t="b">
        <f>IF(OR(questions[[#This Row],[is_single_select]],questions[[#This Row],[is_multi_select]]),NOT(ISBLANK(questions[[#This Row],[answer_opt_combined]])),TRUE)</f>
        <v>1</v>
      </c>
    </row>
    <row r="338" spans="1:45" s="77" customFormat="1" x14ac:dyDescent="0.25">
      <c r="A338" s="77" t="str">
        <f>_xlfn.TEXTJOIN("_",TRUE,questions[[#This Row],[origin]:[qno]])</f>
        <v>Uganda_Arabica_Sbux_8401</v>
      </c>
      <c r="B338" s="77" t="s">
        <v>511</v>
      </c>
      <c r="C338" s="77" t="s">
        <v>59</v>
      </c>
      <c r="D338" s="77" t="s">
        <v>512</v>
      </c>
      <c r="F338" s="104" t="s">
        <v>656</v>
      </c>
      <c r="G338" s="78" t="s">
        <v>657</v>
      </c>
      <c r="H338" s="9" t="str" cm="1">
        <f t="array" ref="H338">INDEX(stableR[question],MATCH(VALUE(questions[[#This Row],[qno]]),VALUE(stableR[qno]),0))</f>
        <v>If yes, where do you use it for?</v>
      </c>
      <c r="I338" s="9" t="b" cm="1">
        <f t="array" ref="I338">INDEX(stable[is_fixed],MATCH(VALUE(questions[[#This Row],[qno]]),VALUE(stable[qno]),0))</f>
        <v>0</v>
      </c>
      <c r="J338" s="9" t="b" cm="1">
        <f t="array" ref="J338">INDEX(stable[is_localized],MATCH(VALUE(questions[[#This Row],[qno]]),VALUE(stable[qno]),0))</f>
        <v>0</v>
      </c>
      <c r="K338" s="9" t="b" cm="1">
        <f t="array" ref="K338">INDEX(stable[is_supply_chain_dependent],MATCH(VALUE(questions[[#This Row],[qno]]),VALUE(stable[qno]),0))</f>
        <v>1</v>
      </c>
      <c r="L338" s="9" t="b" cm="1">
        <f t="array" ref="L338">INDEX(stable[is_mandatory],MATCH(VALUE(questions[[#This Row],[qno]]),VALUE(stable[qno]),0))</f>
        <v>1</v>
      </c>
      <c r="M338" s="9" t="b" cm="1">
        <f t="array" ref="M338">INDEX(stable[is_automated],MATCH(VALUE(questions[[#This Row],[qno]]),VALUE(stable[qno]),0))</f>
        <v>0</v>
      </c>
      <c r="N338" s="9" t="b" cm="1">
        <f t="array" ref="N338">INDEX(stable[is_free_text],MATCH(VALUE(questions[[#This Row],[qno]]),VALUE(stable[qno]),0))</f>
        <v>0</v>
      </c>
      <c r="O338" s="9" t="b" cm="1">
        <f t="array" ref="O338">INDEX(stable[is_numerical],MATCH(VALUE(questions[[#This Row],[qno]]),VALUE(stable[qno]),0))</f>
        <v>0</v>
      </c>
      <c r="P338" s="103" t="b" cm="1">
        <f t="array" ref="P338">INDEX(stable[is_single_select],MATCH(VALUE(questions[[#This Row],[qno]]),VALUE(stable[qno]),0))</f>
        <v>0</v>
      </c>
      <c r="Q338" s="77" t="b" cm="1">
        <f t="array" ref="Q338">INDEX(stable[is_multi_select],MATCH(VALUE(questions[[#This Row],[qno]]),VALUE(stable[qno]),0))</f>
        <v>1</v>
      </c>
      <c r="R338" s="77" t="b" cm="1">
        <f t="array" ref="R338">INDEX(stable[is_skip_logic],MATCH(VALUE(questions[[#This Row],[qno]]),VALUE(stable[qno]),0))</f>
        <v>1</v>
      </c>
      <c r="S338" s="77" t="str">
        <f>_xlfn.TEXTJOIN(", ",TRUE,questions[[#This Row],[ans_opt_1]:[ans_opt_14]])</f>
        <v>Processing, Transport, Power Generator, Irrigation, Weed cutter, Other</v>
      </c>
      <c r="T338" s="77" t="s">
        <v>646</v>
      </c>
      <c r="U338" s="77" t="s">
        <v>647</v>
      </c>
      <c r="V338" s="77" t="s">
        <v>648</v>
      </c>
      <c r="W338" s="77" t="s">
        <v>649</v>
      </c>
      <c r="X338" s="77" t="s">
        <v>658</v>
      </c>
      <c r="AG338" s="77" t="s">
        <v>112</v>
      </c>
      <c r="AH338" s="98" t="b">
        <f>INDEX(stable[q_standard],MATCH(questions[[#This Row],[qno]],stable[qno],0))</f>
        <v>0</v>
      </c>
      <c r="AI338" s="98" t="b">
        <f>INDEX(stable[q_living_income],MATCH(questions[[#This Row],[qno]],stable[qno],0))</f>
        <v>0</v>
      </c>
      <c r="AJ338" s="98" t="b">
        <f>INDEX(stable[q_carbon],MATCH(questions[[#This Row],[qno]],stable[qno],0))</f>
        <v>1</v>
      </c>
      <c r="AK338" s="98" t="b">
        <f>INDEX(stable[q_regen_ag],MATCH(questions[[#This Row],[qno]],stable[qno],0))</f>
        <v>0</v>
      </c>
      <c r="AL338" s="98" t="b">
        <f>COUNTIFS(stable[qno],questions[[#This Row],[qno]])=1</f>
        <v>1</v>
      </c>
      <c r="AM338" s="98" t="b">
        <f>OR(questions[[#This Row],[is_fixed]],questions[[#This Row],[is_localized]],questions[[#This Row],[is_supply_chain_dependent]])</f>
        <v>1</v>
      </c>
      <c r="AN338" s="98" t="b">
        <f>COUNTIFS(questions[[#This Row],[is_automated]:[is_multi_select]],TRUE)=1</f>
        <v>1</v>
      </c>
      <c r="AO338" s="98" t="b">
        <f>IF(questions[[#This Row],[is_fixed]],questions[[#This Row],[question]]=INDEX(stable[question],MATCH(questions[[#This Row],[qno]],stable[qno],0)),TRUE)</f>
        <v>1</v>
      </c>
      <c r="AP338" s="98" t="str">
        <f>LEFT(questions[[#This Row],[question]],similarity_range)</f>
        <v>If yes, where do you</v>
      </c>
      <c r="AQ338" s="98" t="str">
        <f>LEFT(INDEX(stable[question],MATCH(questions[[#This Row],[qno]],stable[qno],0)),similarity_range)</f>
        <v>If yes, where do you</v>
      </c>
      <c r="AR338" s="98" t="b">
        <f>questions[[#This Row],[question_first_characters]]=questions[[#This Row],[stability_first_characters]]</f>
        <v>1</v>
      </c>
      <c r="AS338" s="98" t="b">
        <f>IF(OR(questions[[#This Row],[is_single_select]],questions[[#This Row],[is_multi_select]]),NOT(ISBLANK(questions[[#This Row],[answer_opt_combined]])),TRUE)</f>
        <v>1</v>
      </c>
    </row>
    <row r="339" spans="1:45" x14ac:dyDescent="0.25">
      <c r="A339" s="9" t="str">
        <f>_xlfn.TEXTJOIN("_",TRUE,questions[[#This Row],[origin]:[qno]])</f>
        <v>Uganda_Arabica_Sbux_8402</v>
      </c>
      <c r="B339" s="9" t="s">
        <v>511</v>
      </c>
      <c r="C339" s="9" t="s">
        <v>59</v>
      </c>
      <c r="D339" s="9" t="s">
        <v>512</v>
      </c>
      <c r="F339" s="24" t="s">
        <v>659</v>
      </c>
      <c r="G339" s="15" t="s">
        <v>651</v>
      </c>
      <c r="H339" s="9" t="str" cm="1">
        <f t="array" ref="H339">INDEX(stableR[question],MATCH(VALUE(questions[[#This Row],[qno]]),VALUE(stableR[qno]),0))</f>
        <v>How many liters per day?</v>
      </c>
      <c r="I339" s="9" t="b" cm="1">
        <f t="array" ref="I339">INDEX(stable[is_fixed],MATCH(VALUE(questions[[#This Row],[qno]]),VALUE(stable[qno]),0))</f>
        <v>0</v>
      </c>
      <c r="J339" s="9" t="b" cm="1">
        <f t="array" ref="J339">INDEX(stable[is_localized],MATCH(VALUE(questions[[#This Row],[qno]]),VALUE(stable[qno]),0))</f>
        <v>0</v>
      </c>
      <c r="K339" s="9" t="b" cm="1">
        <f t="array" ref="K339">INDEX(stable[is_supply_chain_dependent],MATCH(VALUE(questions[[#This Row],[qno]]),VALUE(stable[qno]),0))</f>
        <v>1</v>
      </c>
      <c r="L339" s="9" t="b" cm="1">
        <f t="array" ref="L339">INDEX(stable[is_mandatory],MATCH(VALUE(questions[[#This Row],[qno]]),VALUE(stable[qno]),0))</f>
        <v>1</v>
      </c>
      <c r="M339" s="9" t="b" cm="1">
        <f t="array" ref="M339">INDEX(stable[is_automated],MATCH(VALUE(questions[[#This Row],[qno]]),VALUE(stable[qno]),0))</f>
        <v>0</v>
      </c>
      <c r="N339" s="9" t="b" cm="1">
        <f t="array" ref="N339">INDEX(stable[is_free_text],MATCH(VALUE(questions[[#This Row],[qno]]),VALUE(stable[qno]),0))</f>
        <v>0</v>
      </c>
      <c r="O339" s="9" t="b" cm="1">
        <f t="array" ref="O339">INDEX(stable[is_numerical],MATCH(VALUE(questions[[#This Row],[qno]]),VALUE(stable[qno]),0))</f>
        <v>1</v>
      </c>
      <c r="P339" s="32" t="b" cm="1">
        <f t="array" ref="P339">INDEX(stable[is_single_select],MATCH(VALUE(questions[[#This Row],[qno]]),VALUE(stable[qno]),0))</f>
        <v>0</v>
      </c>
      <c r="Q339" s="9" t="b" cm="1">
        <f t="array" ref="Q339">INDEX(stable[is_multi_select],MATCH(VALUE(questions[[#This Row],[qno]]),VALUE(stable[qno]),0))</f>
        <v>0</v>
      </c>
      <c r="R339" s="9" t="b" cm="1">
        <f t="array" ref="R339">INDEX(stable[is_skip_logic],MATCH(VALUE(questions[[#This Row],[qno]]),VALUE(stable[qno]),0))</f>
        <v>1</v>
      </c>
      <c r="S339" s="9" t="str">
        <f>_xlfn.TEXTJOIN(", ",TRUE,questions[[#This Row],[ans_opt_1]:[ans_opt_14]])</f>
        <v/>
      </c>
      <c r="AH339" s="16" t="b">
        <f>INDEX(stable[q_standard],MATCH(questions[[#This Row],[qno]],stable[qno],0))</f>
        <v>0</v>
      </c>
      <c r="AI339" s="16" t="b">
        <f>INDEX(stable[q_living_income],MATCH(questions[[#This Row],[qno]],stable[qno],0))</f>
        <v>0</v>
      </c>
      <c r="AJ339" s="16" t="b">
        <f>INDEX(stable[q_carbon],MATCH(questions[[#This Row],[qno]],stable[qno],0))</f>
        <v>1</v>
      </c>
      <c r="AK339" s="16" t="b">
        <f>INDEX(stable[q_regen_ag],MATCH(questions[[#This Row],[qno]],stable[qno],0))</f>
        <v>0</v>
      </c>
      <c r="AL339" s="16" t="b">
        <f>COUNTIFS(stable[qno],questions[[#This Row],[qno]])=1</f>
        <v>1</v>
      </c>
      <c r="AM339" s="16" t="b">
        <f>OR(questions[[#This Row],[is_fixed]],questions[[#This Row],[is_localized]],questions[[#This Row],[is_supply_chain_dependent]])</f>
        <v>1</v>
      </c>
      <c r="AN339" s="16" t="b">
        <f>COUNTIFS(questions[[#This Row],[is_automated]:[is_multi_select]],TRUE)=1</f>
        <v>1</v>
      </c>
      <c r="AO339" s="16" t="b">
        <f>IF(questions[[#This Row],[is_fixed]],questions[[#This Row],[question]]=INDEX(stable[question],MATCH(questions[[#This Row],[qno]],stable[qno],0)),TRUE)</f>
        <v>1</v>
      </c>
      <c r="AP339" s="16" t="str">
        <f>LEFT(questions[[#This Row],[question]],similarity_range)</f>
        <v xml:space="preserve">How many liters per </v>
      </c>
      <c r="AQ339" s="16" t="str">
        <f>LEFT(INDEX(stable[question],MATCH(questions[[#This Row],[qno]],stable[qno],0)),similarity_range)</f>
        <v xml:space="preserve">How many liters per </v>
      </c>
      <c r="AR339" s="16" t="b">
        <f>questions[[#This Row],[question_first_characters]]=questions[[#This Row],[stability_first_characters]]</f>
        <v>1</v>
      </c>
      <c r="AS339" s="16" t="b">
        <f>IF(OR(questions[[#This Row],[is_single_select]],questions[[#This Row],[is_multi_select]]),NOT(ISBLANK(questions[[#This Row],[answer_opt_combined]])),TRUE)</f>
        <v>1</v>
      </c>
    </row>
    <row r="340" spans="1:45" x14ac:dyDescent="0.25">
      <c r="A340" s="9" t="str">
        <f>_xlfn.TEXTJOIN("_",TRUE,questions[[#This Row],[origin]:[qno]])</f>
        <v>Uganda_Arabica_Sbux_8403</v>
      </c>
      <c r="B340" s="9" t="s">
        <v>511</v>
      </c>
      <c r="C340" s="9" t="s">
        <v>59</v>
      </c>
      <c r="D340" s="9" t="s">
        <v>512</v>
      </c>
      <c r="F340" s="24" t="s">
        <v>660</v>
      </c>
      <c r="G340" s="15" t="s">
        <v>653</v>
      </c>
      <c r="H340" s="9" t="str" cm="1">
        <f t="array" ref="H340">INDEX(stableR[question],MATCH(VALUE(questions[[#This Row],[qno]]),VALUE(stableR[qno]),0))</f>
        <v>How many days per year?</v>
      </c>
      <c r="I340" s="9" t="b" cm="1">
        <f t="array" ref="I340">INDEX(stable[is_fixed],MATCH(VALUE(questions[[#This Row],[qno]]),VALUE(stable[qno]),0))</f>
        <v>0</v>
      </c>
      <c r="J340" s="9" t="b" cm="1">
        <f t="array" ref="J340">INDEX(stable[is_localized],MATCH(VALUE(questions[[#This Row],[qno]]),VALUE(stable[qno]),0))</f>
        <v>0</v>
      </c>
      <c r="K340" s="9" t="b" cm="1">
        <f t="array" ref="K340">INDEX(stable[is_supply_chain_dependent],MATCH(VALUE(questions[[#This Row],[qno]]),VALUE(stable[qno]),0))</f>
        <v>1</v>
      </c>
      <c r="L340" s="9" t="b" cm="1">
        <f t="array" ref="L340">INDEX(stable[is_mandatory],MATCH(VALUE(questions[[#This Row],[qno]]),VALUE(stable[qno]),0))</f>
        <v>1</v>
      </c>
      <c r="M340" s="9" t="b" cm="1">
        <f t="array" ref="M340">INDEX(stable[is_automated],MATCH(VALUE(questions[[#This Row],[qno]]),VALUE(stable[qno]),0))</f>
        <v>0</v>
      </c>
      <c r="N340" s="9" t="b" cm="1">
        <f t="array" ref="N340">INDEX(stable[is_free_text],MATCH(VALUE(questions[[#This Row],[qno]]),VALUE(stable[qno]),0))</f>
        <v>0</v>
      </c>
      <c r="O340" s="9" t="b" cm="1">
        <f t="array" ref="O340">INDEX(stable[is_numerical],MATCH(VALUE(questions[[#This Row],[qno]]),VALUE(stable[qno]),0))</f>
        <v>1</v>
      </c>
      <c r="P340" s="32" t="b" cm="1">
        <f t="array" ref="P340">INDEX(stable[is_single_select],MATCH(VALUE(questions[[#This Row],[qno]]),VALUE(stable[qno]),0))</f>
        <v>0</v>
      </c>
      <c r="Q340" s="9" t="b" cm="1">
        <f t="array" ref="Q340">INDEX(stable[is_multi_select],MATCH(VALUE(questions[[#This Row],[qno]]),VALUE(stable[qno]),0))</f>
        <v>0</v>
      </c>
      <c r="R340" s="9" t="b" cm="1">
        <f t="array" ref="R340">INDEX(stable[is_skip_logic],MATCH(VALUE(questions[[#This Row],[qno]]),VALUE(stable[qno]),0))</f>
        <v>1</v>
      </c>
      <c r="S340" s="9" t="str">
        <f>_xlfn.TEXTJOIN(", ",TRUE,questions[[#This Row],[ans_opt_1]:[ans_opt_14]])</f>
        <v/>
      </c>
      <c r="AH340" s="16" t="b">
        <f>INDEX(stable[q_standard],MATCH(questions[[#This Row],[qno]],stable[qno],0))</f>
        <v>0</v>
      </c>
      <c r="AI340" s="16" t="b">
        <f>INDEX(stable[q_living_income],MATCH(questions[[#This Row],[qno]],stable[qno],0))</f>
        <v>0</v>
      </c>
      <c r="AJ340" s="16" t="b">
        <f>INDEX(stable[q_carbon],MATCH(questions[[#This Row],[qno]],stable[qno],0))</f>
        <v>1</v>
      </c>
      <c r="AK340" s="16" t="b">
        <f>INDEX(stable[q_regen_ag],MATCH(questions[[#This Row],[qno]],stable[qno],0))</f>
        <v>0</v>
      </c>
      <c r="AL340" s="16" t="b">
        <f>COUNTIFS(stable[qno],questions[[#This Row],[qno]])=1</f>
        <v>1</v>
      </c>
      <c r="AM340" s="16" t="b">
        <f>OR(questions[[#This Row],[is_fixed]],questions[[#This Row],[is_localized]],questions[[#This Row],[is_supply_chain_dependent]])</f>
        <v>1</v>
      </c>
      <c r="AN340" s="16" t="b">
        <f>COUNTIFS(questions[[#This Row],[is_automated]:[is_multi_select]],TRUE)=1</f>
        <v>1</v>
      </c>
      <c r="AO340" s="16" t="b">
        <f>IF(questions[[#This Row],[is_fixed]],questions[[#This Row],[question]]=INDEX(stable[question],MATCH(questions[[#This Row],[qno]],stable[qno],0)),TRUE)</f>
        <v>1</v>
      </c>
      <c r="AP340" s="16" t="str">
        <f>LEFT(questions[[#This Row],[question]],similarity_range)</f>
        <v>How many days per ye</v>
      </c>
      <c r="AQ340" s="16" t="str">
        <f>LEFT(INDEX(stable[question],MATCH(questions[[#This Row],[qno]],stable[qno],0)),similarity_range)</f>
        <v>How many days per ye</v>
      </c>
      <c r="AR340" s="16" t="b">
        <f>questions[[#This Row],[question_first_characters]]=questions[[#This Row],[stability_first_characters]]</f>
        <v>1</v>
      </c>
      <c r="AS340" s="16" t="b">
        <f>IF(OR(questions[[#This Row],[is_single_select]],questions[[#This Row],[is_multi_select]]),NOT(ISBLANK(questions[[#This Row],[answer_opt_combined]])),TRUE)</f>
        <v>1</v>
      </c>
    </row>
    <row r="341" spans="1:45" s="77" customFormat="1" x14ac:dyDescent="0.25">
      <c r="A341" s="77" t="str">
        <f>_xlfn.TEXTJOIN("_",TRUE,questions[[#This Row],[origin]:[qno]])</f>
        <v>Uganda_Arabica_Sbux_8500</v>
      </c>
      <c r="B341" s="77" t="s">
        <v>511</v>
      </c>
      <c r="C341" s="77" t="s">
        <v>59</v>
      </c>
      <c r="D341" s="77" t="s">
        <v>512</v>
      </c>
      <c r="F341" s="104" t="s">
        <v>661</v>
      </c>
      <c r="G341" s="78" t="s">
        <v>662</v>
      </c>
      <c r="H341" s="9" t="str" cm="1">
        <f t="array" ref="H341">INDEX(stableR[question],MATCH(VALUE(questions[[#This Row],[qno]]),VALUE(stableR[qno]),0))</f>
        <v>Did you use electricity in any process in your coffee farming last year?</v>
      </c>
      <c r="I341" s="9" t="b" cm="1">
        <f t="array" ref="I341">INDEX(stable[is_fixed],MATCH(VALUE(questions[[#This Row],[qno]]),VALUE(stable[qno]),0))</f>
        <v>0</v>
      </c>
      <c r="J341" s="9" t="b" cm="1">
        <f t="array" ref="J341">INDEX(stable[is_localized],MATCH(VALUE(questions[[#This Row],[qno]]),VALUE(stable[qno]),0))</f>
        <v>0</v>
      </c>
      <c r="K341" s="9" t="b" cm="1">
        <f t="array" ref="K341">INDEX(stable[is_supply_chain_dependent],MATCH(VALUE(questions[[#This Row],[qno]]),VALUE(stable[qno]),0))</f>
        <v>1</v>
      </c>
      <c r="L341" s="9" t="b" cm="1">
        <f t="array" ref="L341">INDEX(stable[is_mandatory],MATCH(VALUE(questions[[#This Row],[qno]]),VALUE(stable[qno]),0))</f>
        <v>1</v>
      </c>
      <c r="M341" s="9" t="b" cm="1">
        <f t="array" ref="M341">INDEX(stable[is_automated],MATCH(VALUE(questions[[#This Row],[qno]]),VALUE(stable[qno]),0))</f>
        <v>0</v>
      </c>
      <c r="N341" s="9" t="b" cm="1">
        <f t="array" ref="N341">INDEX(stable[is_free_text],MATCH(VALUE(questions[[#This Row],[qno]]),VALUE(stable[qno]),0))</f>
        <v>0</v>
      </c>
      <c r="O341" s="9" t="b" cm="1">
        <f t="array" ref="O341">INDEX(stable[is_numerical],MATCH(VALUE(questions[[#This Row],[qno]]),VALUE(stable[qno]),0))</f>
        <v>0</v>
      </c>
      <c r="P341" s="103" t="b" cm="1">
        <f t="array" ref="P341">INDEX(stable[is_single_select],MATCH(VALUE(questions[[#This Row],[qno]]),VALUE(stable[qno]),0))</f>
        <v>1</v>
      </c>
      <c r="Q341" s="77" t="b" cm="1">
        <f t="array" ref="Q341">INDEX(stable[is_multi_select],MATCH(VALUE(questions[[#This Row],[qno]]),VALUE(stable[qno]),0))</f>
        <v>0</v>
      </c>
      <c r="R341" s="77" t="b" cm="1">
        <f t="array" ref="R341">INDEX(stable[is_skip_logic],MATCH(VALUE(questions[[#This Row],[qno]]),VALUE(stable[qno]),0))</f>
        <v>1</v>
      </c>
      <c r="S341" s="77" t="str">
        <f>_xlfn.TEXTJOIN(", ",TRUE,questions[[#This Row],[ans_opt_1]:[ans_opt_14]])</f>
        <v>Yes, No</v>
      </c>
      <c r="T341" s="77" t="s">
        <v>149</v>
      </c>
      <c r="U341" s="77" t="s">
        <v>119</v>
      </c>
      <c r="AH341" s="98" t="b">
        <f>INDEX(stable[q_standard],MATCH(questions[[#This Row],[qno]],stable[qno],0))</f>
        <v>0</v>
      </c>
      <c r="AI341" s="98" t="b">
        <f>INDEX(stable[q_living_income],MATCH(questions[[#This Row],[qno]],stable[qno],0))</f>
        <v>0</v>
      </c>
      <c r="AJ341" s="98" t="b">
        <f>INDEX(stable[q_carbon],MATCH(questions[[#This Row],[qno]],stable[qno],0))</f>
        <v>1</v>
      </c>
      <c r="AK341" s="98" t="b">
        <f>INDEX(stable[q_regen_ag],MATCH(questions[[#This Row],[qno]],stable[qno],0))</f>
        <v>0</v>
      </c>
      <c r="AL341" s="98" t="b">
        <f>COUNTIFS(stable[qno],questions[[#This Row],[qno]])=1</f>
        <v>1</v>
      </c>
      <c r="AM341" s="98" t="b">
        <f>OR(questions[[#This Row],[is_fixed]],questions[[#This Row],[is_localized]],questions[[#This Row],[is_supply_chain_dependent]])</f>
        <v>1</v>
      </c>
      <c r="AN341" s="98" t="b">
        <f>COUNTIFS(questions[[#This Row],[is_automated]:[is_multi_select]],TRUE)=1</f>
        <v>1</v>
      </c>
      <c r="AO341" s="98" t="b">
        <f>IF(questions[[#This Row],[is_fixed]],questions[[#This Row],[question]]=INDEX(stable[question],MATCH(questions[[#This Row],[qno]],stable[qno],0)),TRUE)</f>
        <v>1</v>
      </c>
      <c r="AP341" s="98" t="str">
        <f>LEFT(questions[[#This Row],[question]],similarity_range)</f>
        <v>Did you use electris</v>
      </c>
      <c r="AQ341" s="98" t="str">
        <f>LEFT(INDEX(stable[question],MATCH(questions[[#This Row],[qno]],stable[qno],0)),similarity_range)</f>
        <v>Did you use electric</v>
      </c>
      <c r="AR341" s="98" t="b">
        <f>questions[[#This Row],[question_first_characters]]=questions[[#This Row],[stability_first_characters]]</f>
        <v>0</v>
      </c>
      <c r="AS341" s="98" t="b">
        <f>IF(OR(questions[[#This Row],[is_single_select]],questions[[#This Row],[is_multi_select]]),NOT(ISBLANK(questions[[#This Row],[answer_opt_combined]])),TRUE)</f>
        <v>1</v>
      </c>
    </row>
    <row r="342" spans="1:45" s="77" customFormat="1" x14ac:dyDescent="0.25">
      <c r="A342" s="77" t="str">
        <f>_xlfn.TEXTJOIN("_",TRUE,questions[[#This Row],[origin]:[qno]])</f>
        <v>Uganda_Arabica_Sbux_8501</v>
      </c>
      <c r="B342" s="77" t="s">
        <v>511</v>
      </c>
      <c r="C342" s="77" t="s">
        <v>59</v>
      </c>
      <c r="D342" s="77" t="s">
        <v>512</v>
      </c>
      <c r="F342" s="104" t="s">
        <v>663</v>
      </c>
      <c r="G342" s="78" t="s">
        <v>664</v>
      </c>
      <c r="H342" s="9" t="str" cm="1">
        <f t="array" ref="H342">INDEX(stableR[question],MATCH(VALUE(questions[[#This Row],[qno]]),VALUE(stableR[qno]),0))</f>
        <v>If yes, what is the source of this electricity?</v>
      </c>
      <c r="I342" s="9" t="b" cm="1">
        <f t="array" ref="I342">INDEX(stable[is_fixed],MATCH(VALUE(questions[[#This Row],[qno]]),VALUE(stable[qno]),0))</f>
        <v>0</v>
      </c>
      <c r="J342" s="9" t="b" cm="1">
        <f t="array" ref="J342">INDEX(stable[is_localized],MATCH(VALUE(questions[[#This Row],[qno]]),VALUE(stable[qno]),0))</f>
        <v>0</v>
      </c>
      <c r="K342" s="9" t="b" cm="1">
        <f t="array" ref="K342">INDEX(stable[is_supply_chain_dependent],MATCH(VALUE(questions[[#This Row],[qno]]),VALUE(stable[qno]),0))</f>
        <v>1</v>
      </c>
      <c r="L342" s="9" t="b" cm="1">
        <f t="array" ref="L342">INDEX(stable[is_mandatory],MATCH(VALUE(questions[[#This Row],[qno]]),VALUE(stable[qno]),0))</f>
        <v>1</v>
      </c>
      <c r="M342" s="9" t="b" cm="1">
        <f t="array" ref="M342">INDEX(stable[is_automated],MATCH(VALUE(questions[[#This Row],[qno]]),VALUE(stable[qno]),0))</f>
        <v>0</v>
      </c>
      <c r="N342" s="9" t="b" cm="1">
        <f t="array" ref="N342">INDEX(stable[is_free_text],MATCH(VALUE(questions[[#This Row],[qno]]),VALUE(stable[qno]),0))</f>
        <v>0</v>
      </c>
      <c r="O342" s="9" t="b" cm="1">
        <f t="array" ref="O342">INDEX(stable[is_numerical],MATCH(VALUE(questions[[#This Row],[qno]]),VALUE(stable[qno]),0))</f>
        <v>0</v>
      </c>
      <c r="P342" s="103" t="b" cm="1">
        <f t="array" ref="P342">INDEX(stable[is_single_select],MATCH(VALUE(questions[[#This Row],[qno]]),VALUE(stable[qno]),0))</f>
        <v>0</v>
      </c>
      <c r="Q342" s="77" t="b" cm="1">
        <f t="array" ref="Q342">INDEX(stable[is_multi_select],MATCH(VALUE(questions[[#This Row],[qno]]),VALUE(stable[qno]),0))</f>
        <v>1</v>
      </c>
      <c r="R342" s="77" t="b" cm="1">
        <f t="array" ref="R342">INDEX(stable[is_skip_logic],MATCH(VALUE(questions[[#This Row],[qno]]),VALUE(stable[qno]),0))</f>
        <v>1</v>
      </c>
      <c r="S342" s="77" t="str">
        <f>_xlfn.TEXTJOIN(", ",TRUE,questions[[#This Row],[ans_opt_1]:[ans_opt_14]])</f>
        <v>Local grid, Solar power, Generator petrol, Generator diesel</v>
      </c>
      <c r="T342" s="77" t="s">
        <v>665</v>
      </c>
      <c r="U342" s="77" t="s">
        <v>666</v>
      </c>
      <c r="V342" s="77" t="s">
        <v>667</v>
      </c>
      <c r="W342" s="77" t="s">
        <v>668</v>
      </c>
      <c r="AH342" s="98" t="b">
        <f>INDEX(stable[q_standard],MATCH(questions[[#This Row],[qno]],stable[qno],0))</f>
        <v>0</v>
      </c>
      <c r="AI342" s="98" t="b">
        <f>INDEX(stable[q_living_income],MATCH(questions[[#This Row],[qno]],stable[qno],0))</f>
        <v>0</v>
      </c>
      <c r="AJ342" s="98" t="b">
        <f>INDEX(stable[q_carbon],MATCH(questions[[#This Row],[qno]],stable[qno],0))</f>
        <v>1</v>
      </c>
      <c r="AK342" s="98" t="b">
        <f>INDEX(stable[q_regen_ag],MATCH(questions[[#This Row],[qno]],stable[qno],0))</f>
        <v>0</v>
      </c>
      <c r="AL342" s="98" t="b">
        <f>COUNTIFS(stable[qno],questions[[#This Row],[qno]])=1</f>
        <v>1</v>
      </c>
      <c r="AM342" s="98" t="b">
        <f>OR(questions[[#This Row],[is_fixed]],questions[[#This Row],[is_localized]],questions[[#This Row],[is_supply_chain_dependent]])</f>
        <v>1</v>
      </c>
      <c r="AN342" s="98" t="b">
        <f>COUNTIFS(questions[[#This Row],[is_automated]:[is_multi_select]],TRUE)=1</f>
        <v>1</v>
      </c>
      <c r="AO342" s="98" t="b">
        <f>IF(questions[[#This Row],[is_fixed]],questions[[#This Row],[question]]=INDEX(stable[question],MATCH(questions[[#This Row],[qno]],stable[qno],0)),TRUE)</f>
        <v>1</v>
      </c>
      <c r="AP342" s="98" t="str">
        <f>LEFT(questions[[#This Row],[question]],similarity_range)</f>
        <v xml:space="preserve">If yes, what is the </v>
      </c>
      <c r="AQ342" s="98" t="str">
        <f>LEFT(INDEX(stable[question],MATCH(questions[[#This Row],[qno]],stable[qno],0)),similarity_range)</f>
        <v xml:space="preserve">If yes, what is the </v>
      </c>
      <c r="AR342" s="98" t="b">
        <f>questions[[#This Row],[question_first_characters]]=questions[[#This Row],[stability_first_characters]]</f>
        <v>1</v>
      </c>
      <c r="AS342" s="98" t="b">
        <f>IF(OR(questions[[#This Row],[is_single_select]],questions[[#This Row],[is_multi_select]]),NOT(ISBLANK(questions[[#This Row],[answer_opt_combined]])),TRUE)</f>
        <v>1</v>
      </c>
    </row>
    <row r="343" spans="1:45" x14ac:dyDescent="0.25">
      <c r="A343" s="9" t="str">
        <f>_xlfn.TEXTJOIN("_",TRUE,questions[[#This Row],[origin]:[qno]])</f>
        <v>Uganda_Arabica_Sbux_8502</v>
      </c>
      <c r="B343" s="9" t="s">
        <v>511</v>
      </c>
      <c r="C343" s="9" t="s">
        <v>59</v>
      </c>
      <c r="D343" s="9" t="s">
        <v>512</v>
      </c>
      <c r="F343" s="24" t="s">
        <v>669</v>
      </c>
      <c r="G343" s="15" t="s">
        <v>670</v>
      </c>
      <c r="H343" s="9" t="str" cm="1">
        <f t="array" ref="H343">INDEX(stableR[question],MATCH(VALUE(questions[[#This Row],[qno]]),VALUE(stableR[qno]),0))</f>
        <v>If local grid or sollar power, how much was your average monthly electricity bill last year? (in local currency)</v>
      </c>
      <c r="I343" s="9" t="b" cm="1">
        <f t="array" ref="I343">INDEX(stable[is_fixed],MATCH(VALUE(questions[[#This Row],[qno]]),VALUE(stable[qno]),0))</f>
        <v>0</v>
      </c>
      <c r="J343" s="9" t="b" cm="1">
        <f t="array" ref="J343">INDEX(stable[is_localized],MATCH(VALUE(questions[[#This Row],[qno]]),VALUE(stable[qno]),0))</f>
        <v>0</v>
      </c>
      <c r="K343" s="9" t="b" cm="1">
        <f t="array" ref="K343">INDEX(stable[is_supply_chain_dependent],MATCH(VALUE(questions[[#This Row],[qno]]),VALUE(stable[qno]),0))</f>
        <v>1</v>
      </c>
      <c r="L343" s="9" t="b" cm="1">
        <f t="array" ref="L343">INDEX(stable[is_mandatory],MATCH(VALUE(questions[[#This Row],[qno]]),VALUE(stable[qno]),0))</f>
        <v>1</v>
      </c>
      <c r="M343" s="9" t="b" cm="1">
        <f t="array" ref="M343">INDEX(stable[is_automated],MATCH(VALUE(questions[[#This Row],[qno]]),VALUE(stable[qno]),0))</f>
        <v>0</v>
      </c>
      <c r="N343" s="9" t="b" cm="1">
        <f t="array" ref="N343">INDEX(stable[is_free_text],MATCH(VALUE(questions[[#This Row],[qno]]),VALUE(stable[qno]),0))</f>
        <v>0</v>
      </c>
      <c r="O343" s="9" t="b" cm="1">
        <f t="array" ref="O343">INDEX(stable[is_numerical],MATCH(VALUE(questions[[#This Row],[qno]]),VALUE(stable[qno]),0))</f>
        <v>1</v>
      </c>
      <c r="P343" s="32" t="b" cm="1">
        <f t="array" ref="P343">INDEX(stable[is_single_select],MATCH(VALUE(questions[[#This Row],[qno]]),VALUE(stable[qno]),0))</f>
        <v>0</v>
      </c>
      <c r="Q343" s="9" t="b" cm="1">
        <f t="array" ref="Q343">INDEX(stable[is_multi_select],MATCH(VALUE(questions[[#This Row],[qno]]),VALUE(stable[qno]),0))</f>
        <v>0</v>
      </c>
      <c r="R343" s="9" t="b" cm="1">
        <f t="array" ref="R343">INDEX(stable[is_skip_logic],MATCH(VALUE(questions[[#This Row],[qno]]),VALUE(stable[qno]),0))</f>
        <v>1</v>
      </c>
      <c r="S343" s="9" t="str">
        <f>_xlfn.TEXTJOIN(", ",TRUE,questions[[#This Row],[ans_opt_1]:[ans_opt_14]])</f>
        <v/>
      </c>
      <c r="AH343" s="16" t="b">
        <f>INDEX(stable[q_standard],MATCH(questions[[#This Row],[qno]],stable[qno],0))</f>
        <v>0</v>
      </c>
      <c r="AI343" s="16" t="b">
        <f>INDEX(stable[q_living_income],MATCH(questions[[#This Row],[qno]],stable[qno],0))</f>
        <v>0</v>
      </c>
      <c r="AJ343" s="16" t="b">
        <f>INDEX(stable[q_carbon],MATCH(questions[[#This Row],[qno]],stable[qno],0))</f>
        <v>1</v>
      </c>
      <c r="AK343" s="16" t="b">
        <f>INDEX(stable[q_regen_ag],MATCH(questions[[#This Row],[qno]],stable[qno],0))</f>
        <v>0</v>
      </c>
      <c r="AL343" s="16" t="b">
        <f>COUNTIFS(stable[qno],questions[[#This Row],[qno]])=1</f>
        <v>1</v>
      </c>
      <c r="AM343" s="16" t="b">
        <f>OR(questions[[#This Row],[is_fixed]],questions[[#This Row],[is_localized]],questions[[#This Row],[is_supply_chain_dependent]])</f>
        <v>1</v>
      </c>
      <c r="AN343" s="16" t="b">
        <f>COUNTIFS(questions[[#This Row],[is_automated]:[is_multi_select]],TRUE)=1</f>
        <v>1</v>
      </c>
      <c r="AO343" s="16" t="b">
        <f>IF(questions[[#This Row],[is_fixed]],questions[[#This Row],[question]]=INDEX(stable[question],MATCH(questions[[#This Row],[qno]],stable[qno],0)),TRUE)</f>
        <v>1</v>
      </c>
      <c r="AP343" s="16" t="str">
        <f>LEFT(questions[[#This Row],[question]],similarity_range)</f>
        <v>If local grid or sol</v>
      </c>
      <c r="AQ343" s="16" t="str">
        <f>LEFT(INDEX(stable[question],MATCH(questions[[#This Row],[qno]],stable[qno],0)),similarity_range)</f>
        <v>If local grid or sol</v>
      </c>
      <c r="AR343" s="16" t="b">
        <f>questions[[#This Row],[question_first_characters]]=questions[[#This Row],[stability_first_characters]]</f>
        <v>1</v>
      </c>
      <c r="AS343" s="16" t="b">
        <f>IF(OR(questions[[#This Row],[is_single_select]],questions[[#This Row],[is_multi_select]]),NOT(ISBLANK(questions[[#This Row],[answer_opt_combined]])),TRUE)</f>
        <v>1</v>
      </c>
    </row>
    <row r="344" spans="1:45" s="77" customFormat="1" x14ac:dyDescent="0.25">
      <c r="A344" s="77" t="str">
        <f>_xlfn.TEXTJOIN("_",TRUE,questions[[#This Row],[origin]:[qno]])</f>
        <v>Uganda_Arabica_Sbux_8503</v>
      </c>
      <c r="B344" s="77" t="s">
        <v>511</v>
      </c>
      <c r="C344" s="77" t="s">
        <v>59</v>
      </c>
      <c r="D344" s="77" t="s">
        <v>512</v>
      </c>
      <c r="F344" s="104" t="s">
        <v>671</v>
      </c>
      <c r="G344" s="78" t="s">
        <v>672</v>
      </c>
      <c r="H344" s="9" t="str" cm="1">
        <f t="array" ref="H344">INDEX(stableR[question],MATCH(VALUE(questions[[#This Row],[qno]]),VALUE(stableR[qno]),0))</f>
        <v>Was all of this electricity used for coffee processing, or also part for other usage? Can you estimate what proportion of this electricity bill was used for coffee processing?</v>
      </c>
      <c r="I344" s="9" t="b" cm="1">
        <f t="array" ref="I344">INDEX(stable[is_fixed],MATCH(VALUE(questions[[#This Row],[qno]]),VALUE(stable[qno]),0))</f>
        <v>0</v>
      </c>
      <c r="J344" s="9" t="b" cm="1">
        <f t="array" ref="J344">INDEX(stable[is_localized],MATCH(VALUE(questions[[#This Row],[qno]]),VALUE(stable[qno]),0))</f>
        <v>0</v>
      </c>
      <c r="K344" s="9" t="b" cm="1">
        <f t="array" ref="K344">INDEX(stable[is_supply_chain_dependent],MATCH(VALUE(questions[[#This Row],[qno]]),VALUE(stable[qno]),0))</f>
        <v>1</v>
      </c>
      <c r="L344" s="9" t="b" cm="1">
        <f t="array" ref="L344">INDEX(stable[is_mandatory],MATCH(VALUE(questions[[#This Row],[qno]]),VALUE(stable[qno]),0))</f>
        <v>1</v>
      </c>
      <c r="M344" s="9" t="b" cm="1">
        <f t="array" ref="M344">INDEX(stable[is_automated],MATCH(VALUE(questions[[#This Row],[qno]]),VALUE(stable[qno]),0))</f>
        <v>0</v>
      </c>
      <c r="N344" s="9" t="b" cm="1">
        <f t="array" ref="N344">INDEX(stable[is_free_text],MATCH(VALUE(questions[[#This Row],[qno]]),VALUE(stable[qno]),0))</f>
        <v>0</v>
      </c>
      <c r="O344" s="9" t="b" cm="1">
        <f t="array" ref="O344">INDEX(stable[is_numerical],MATCH(VALUE(questions[[#This Row],[qno]]),VALUE(stable[qno]),0))</f>
        <v>0</v>
      </c>
      <c r="P344" s="103" t="b" cm="1">
        <f t="array" ref="P344">INDEX(stable[is_single_select],MATCH(VALUE(questions[[#This Row],[qno]]),VALUE(stable[qno]),0))</f>
        <v>1</v>
      </c>
      <c r="Q344" s="77" t="b" cm="1">
        <f t="array" ref="Q344">INDEX(stable[is_multi_select],MATCH(VALUE(questions[[#This Row],[qno]]),VALUE(stable[qno]),0))</f>
        <v>0</v>
      </c>
      <c r="R344" s="77" t="b" cm="1">
        <f t="array" ref="R344">INDEX(stable[is_skip_logic],MATCH(VALUE(questions[[#This Row],[qno]]),VALUE(stable[qno]),0))</f>
        <v>1</v>
      </c>
      <c r="S344" s="77" t="str">
        <f>_xlfn.TEXTJOIN(", ",TRUE,questions[[#This Row],[ans_opt_1]:[ans_opt_14]])</f>
        <v>All or nearly all - 80-100%, More than half of it  - 60-80%, About half of it - 40-60%, Less than half of it - 20-40%, A small amount - 0-20%</v>
      </c>
      <c r="T344" s="77" t="s">
        <v>305</v>
      </c>
      <c r="U344" s="77" t="s">
        <v>306</v>
      </c>
      <c r="V344" s="77" t="s">
        <v>307</v>
      </c>
      <c r="W344" s="77" t="s">
        <v>308</v>
      </c>
      <c r="X344" s="77" t="s">
        <v>309</v>
      </c>
      <c r="AH344" s="98" t="b">
        <f>INDEX(stable[q_standard],MATCH(questions[[#This Row],[qno]],stable[qno],0))</f>
        <v>0</v>
      </c>
      <c r="AI344" s="98" t="b">
        <f>INDEX(stable[q_living_income],MATCH(questions[[#This Row],[qno]],stable[qno],0))</f>
        <v>0</v>
      </c>
      <c r="AJ344" s="98" t="b">
        <f>INDEX(stable[q_carbon],MATCH(questions[[#This Row],[qno]],stable[qno],0))</f>
        <v>1</v>
      </c>
      <c r="AK344" s="98" t="b">
        <f>INDEX(stable[q_regen_ag],MATCH(questions[[#This Row],[qno]],stable[qno],0))</f>
        <v>0</v>
      </c>
      <c r="AL344" s="98" t="b">
        <f>COUNTIFS(stable[qno],questions[[#This Row],[qno]])=1</f>
        <v>1</v>
      </c>
      <c r="AM344" s="98" t="b">
        <f>OR(questions[[#This Row],[is_fixed]],questions[[#This Row],[is_localized]],questions[[#This Row],[is_supply_chain_dependent]])</f>
        <v>1</v>
      </c>
      <c r="AN344" s="98" t="b">
        <f>COUNTIFS(questions[[#This Row],[is_automated]:[is_multi_select]],TRUE)=1</f>
        <v>1</v>
      </c>
      <c r="AO344" s="98" t="b">
        <f>IF(questions[[#This Row],[is_fixed]],questions[[#This Row],[question]]=INDEX(stable[question],MATCH(questions[[#This Row],[qno]],stable[qno],0)),TRUE)</f>
        <v>1</v>
      </c>
      <c r="AP344" s="98" t="str">
        <f>LEFT(questions[[#This Row],[question]],similarity_range)</f>
        <v>Was all of this elec</v>
      </c>
      <c r="AQ344" s="98" t="str">
        <f>LEFT(INDEX(stable[question],MATCH(questions[[#This Row],[qno]],stable[qno],0)),similarity_range)</f>
        <v>Was all of this elec</v>
      </c>
      <c r="AR344" s="98" t="b">
        <f>questions[[#This Row],[question_first_characters]]=questions[[#This Row],[stability_first_characters]]</f>
        <v>1</v>
      </c>
      <c r="AS344" s="98" t="b">
        <f>IF(OR(questions[[#This Row],[is_single_select]],questions[[#This Row],[is_multi_select]]),NOT(ISBLANK(questions[[#This Row],[answer_opt_combined]])),TRUE)</f>
        <v>1</v>
      </c>
    </row>
    <row r="345" spans="1:45" s="77" customFormat="1" x14ac:dyDescent="0.25">
      <c r="A345" s="77" t="str">
        <f>_xlfn.TEXTJOIN("_",TRUE,questions[[#This Row],[origin]:[qno]])</f>
        <v>Uganda_Arabica_Sbux_9000</v>
      </c>
      <c r="B345" s="77" t="s">
        <v>511</v>
      </c>
      <c r="C345" s="77" t="s">
        <v>59</v>
      </c>
      <c r="D345" s="77" t="s">
        <v>512</v>
      </c>
      <c r="F345" s="104" t="s">
        <v>508</v>
      </c>
      <c r="G345" s="78" t="s">
        <v>509</v>
      </c>
      <c r="H345" s="9" t="str" cm="1">
        <f t="array" ref="H345">INDEX(stableR[question],MATCH(VALUE(questions[[#This Row],[qno]]),VALUE(stableR[qno]),0))</f>
        <v>Final check: did you measure/polygon map all the plots of the farmer?</v>
      </c>
      <c r="I345" s="9" t="b" cm="1">
        <f t="array" ref="I345">INDEX(stable[is_fixed],MATCH(VALUE(questions[[#This Row],[qno]]),VALUE(stable[qno]),0))</f>
        <v>1</v>
      </c>
      <c r="J345" s="9" t="b" cm="1">
        <f t="array" ref="J345">INDEX(stable[is_localized],MATCH(VALUE(questions[[#This Row],[qno]]),VALUE(stable[qno]),0))</f>
        <v>0</v>
      </c>
      <c r="K345" s="9" t="b" cm="1">
        <f t="array" ref="K345">INDEX(stable[is_supply_chain_dependent],MATCH(VALUE(questions[[#This Row],[qno]]),VALUE(stable[qno]),0))</f>
        <v>0</v>
      </c>
      <c r="L345" s="9" t="b" cm="1">
        <f t="array" ref="L345">INDEX(stable[is_mandatory],MATCH(VALUE(questions[[#This Row],[qno]]),VALUE(stable[qno]),0))</f>
        <v>1</v>
      </c>
      <c r="M345" s="9" t="b" cm="1">
        <f t="array" ref="M345">INDEX(stable[is_automated],MATCH(VALUE(questions[[#This Row],[qno]]),VALUE(stable[qno]),0))</f>
        <v>0</v>
      </c>
      <c r="N345" s="9" t="b" cm="1">
        <f t="array" ref="N345">INDEX(stable[is_free_text],MATCH(VALUE(questions[[#This Row],[qno]]),VALUE(stable[qno]),0))</f>
        <v>0</v>
      </c>
      <c r="O345" s="9" t="b" cm="1">
        <f t="array" ref="O345">INDEX(stable[is_numerical],MATCH(VALUE(questions[[#This Row],[qno]]),VALUE(stable[qno]),0))</f>
        <v>0</v>
      </c>
      <c r="P345" s="103" t="b" cm="1">
        <f t="array" ref="P345">INDEX(stable[is_single_select],MATCH(VALUE(questions[[#This Row],[qno]]),VALUE(stable[qno]),0))</f>
        <v>1</v>
      </c>
      <c r="Q345" s="77" t="b" cm="1">
        <f t="array" ref="Q345">INDEX(stable[is_multi_select],MATCH(VALUE(questions[[#This Row],[qno]]),VALUE(stable[qno]),0))</f>
        <v>0</v>
      </c>
      <c r="R345" s="77" t="b" cm="1">
        <f t="array" ref="R345">INDEX(stable[is_skip_logic],MATCH(VALUE(questions[[#This Row],[qno]]),VALUE(stable[qno]),0))</f>
        <v>0</v>
      </c>
      <c r="S345" s="77" t="str">
        <f>_xlfn.TEXTJOIN(", ",TRUE,questions[[#This Row],[ans_opt_1]:[ans_opt_14]])</f>
        <v>No, Yes, Not possible</v>
      </c>
      <c r="T345" s="77" t="s">
        <v>119</v>
      </c>
      <c r="U345" s="77" t="s">
        <v>149</v>
      </c>
      <c r="V345" s="77" t="s">
        <v>510</v>
      </c>
      <c r="AH345" s="98" t="b">
        <f>INDEX(stable[q_standard],MATCH(questions[[#This Row],[qno]],stable[qno],0))</f>
        <v>0</v>
      </c>
      <c r="AI345" s="98" t="b">
        <f>INDEX(stable[q_living_income],MATCH(questions[[#This Row],[qno]],stable[qno],0))</f>
        <v>0</v>
      </c>
      <c r="AJ345" s="98" t="b">
        <f>INDEX(stable[q_carbon],MATCH(questions[[#This Row],[qno]],stable[qno],0))</f>
        <v>0</v>
      </c>
      <c r="AK345" s="98" t="b">
        <f>INDEX(stable[q_regen_ag],MATCH(questions[[#This Row],[qno]],stable[qno],0))</f>
        <v>1</v>
      </c>
      <c r="AL345" s="98" t="b">
        <f>COUNTIFS(stable[qno],questions[[#This Row],[qno]])=1</f>
        <v>1</v>
      </c>
      <c r="AM345" s="98" t="b">
        <f>OR(questions[[#This Row],[is_fixed]],questions[[#This Row],[is_localized]],questions[[#This Row],[is_supply_chain_dependent]])</f>
        <v>1</v>
      </c>
      <c r="AN345" s="98" t="b">
        <f>COUNTIFS(questions[[#This Row],[is_automated]:[is_multi_select]],TRUE)=1</f>
        <v>1</v>
      </c>
      <c r="AO345" s="98" t="b">
        <f>IF(questions[[#This Row],[is_fixed]],questions[[#This Row],[question]]=INDEX(stable[question],MATCH(questions[[#This Row],[qno]],stable[qno],0)),TRUE)</f>
        <v>1</v>
      </c>
      <c r="AP345" s="98" t="str">
        <f>LEFT(questions[[#This Row],[question]],similarity_range)</f>
        <v>Final check: did you</v>
      </c>
      <c r="AQ345" s="98" t="str">
        <f>LEFT(INDEX(stable[question],MATCH(questions[[#This Row],[qno]],stable[qno],0)),similarity_range)</f>
        <v>Final check: did you</v>
      </c>
      <c r="AR345" s="98" t="b">
        <f>questions[[#This Row],[question_first_characters]]=questions[[#This Row],[stability_first_characters]]</f>
        <v>1</v>
      </c>
      <c r="AS345" s="98" t="b">
        <f>IF(OR(questions[[#This Row],[is_single_select]],questions[[#This Row],[is_multi_select]]),NOT(ISBLANK(questions[[#This Row],[answer_opt_combined]])),TRUE)</f>
        <v>1</v>
      </c>
    </row>
    <row r="346" spans="1:45" x14ac:dyDescent="0.25">
      <c r="A346" s="33" t="str">
        <f>_xlfn.TEXTJOIN("_",TRUE,questions[[#This Row],[origin]:[qno]])</f>
        <v>Vietnam_Robusta_Lam_Dong_Nestlé_IMPACT_1000</v>
      </c>
      <c r="B346" s="33" t="s">
        <v>673</v>
      </c>
      <c r="C346" s="33" t="s">
        <v>674</v>
      </c>
      <c r="D346" s="33" t="s">
        <v>675</v>
      </c>
      <c r="E346" s="33"/>
      <c r="F346" s="34" t="s">
        <v>61</v>
      </c>
      <c r="G346" s="18" t="s">
        <v>62</v>
      </c>
      <c r="H346" s="33" t="str" cm="1">
        <f t="array" ref="H346">INDEX(stableR[question],MATCH(VALUE(questions[[#This Row],[qno]]),VALUE(stableR[qno]),0))</f>
        <v>Origin</v>
      </c>
      <c r="I346" s="33" t="b" cm="1">
        <f t="array" ref="I346">INDEX(stable[is_fixed],MATCH(VALUE(questions[[#This Row],[qno]]),VALUE(stable[qno]),0))</f>
        <v>1</v>
      </c>
      <c r="J346" s="33" t="b" cm="1">
        <f t="array" ref="J346">INDEX(stable[is_localized],MATCH(VALUE(questions[[#This Row],[qno]]),VALUE(stable[qno]),0))</f>
        <v>0</v>
      </c>
      <c r="K346" s="33" t="b" cm="1">
        <f t="array" ref="K346">INDEX(stable[is_supply_chain_dependent],MATCH(VALUE(questions[[#This Row],[qno]]),VALUE(stable[qno]),0))</f>
        <v>0</v>
      </c>
      <c r="L346" s="33" t="b" cm="1">
        <f t="array" ref="L346">INDEX(stable[is_mandatory],MATCH(VALUE(questions[[#This Row],[qno]]),VALUE(stable[qno]),0))</f>
        <v>1</v>
      </c>
      <c r="M346" s="33" t="b" cm="1">
        <f t="array" ref="M346">INDEX(stable[is_automated],MATCH(VALUE(questions[[#This Row],[qno]]),VALUE(stable[qno]),0))</f>
        <v>1</v>
      </c>
      <c r="N346" s="33" t="b" cm="1">
        <f t="array" ref="N346">INDEX(stable[is_free_text],MATCH(VALUE(questions[[#This Row],[qno]]),VALUE(stable[qno]),0))</f>
        <v>0</v>
      </c>
      <c r="O346" s="33" t="b" cm="1">
        <f t="array" ref="O346">INDEX(stable[is_numerical],MATCH(VALUE(questions[[#This Row],[qno]]),VALUE(stable[qno]),0))</f>
        <v>0</v>
      </c>
      <c r="P346" s="35" t="b" cm="1">
        <f t="array" ref="P346">INDEX(stable[is_single_select],MATCH(VALUE(questions[[#This Row],[qno]]),VALUE(stable[qno]),0))</f>
        <v>0</v>
      </c>
      <c r="Q346" s="33" t="b" cm="1">
        <f t="array" ref="Q346">INDEX(stable[is_multi_select],MATCH(VALUE(questions[[#This Row],[qno]]),VALUE(stable[qno]),0))</f>
        <v>0</v>
      </c>
      <c r="R346" s="33" t="b" cm="1">
        <f t="array" ref="R346">INDEX(stable[is_skip_logic],MATCH(VALUE(questions[[#This Row],[qno]]),VALUE(stable[qno]),0))</f>
        <v>0</v>
      </c>
      <c r="S346" s="33" t="str">
        <f>_xlfn.TEXTJOIN(", ",TRUE,questions[[#This Row],[ans_opt_1]:[ans_opt_14]])</f>
        <v/>
      </c>
      <c r="T346" s="33"/>
      <c r="U346" s="33"/>
      <c r="V346" s="33"/>
      <c r="W346" s="33"/>
      <c r="X346" s="33"/>
      <c r="Y346" s="33"/>
      <c r="Z346" s="33"/>
      <c r="AA346" s="33"/>
      <c r="AB346" s="33"/>
      <c r="AC346" s="33"/>
      <c r="AD346" s="33"/>
      <c r="AE346" s="33"/>
      <c r="AF346" s="33"/>
      <c r="AG346" s="33"/>
      <c r="AH346" s="99" t="b">
        <f>INDEX(stable[q_standard],MATCH(questions[[#This Row],[qno]],stable[qno],0))</f>
        <v>1</v>
      </c>
      <c r="AI346" s="99" t="b">
        <f>INDEX(stable[q_living_income],MATCH(questions[[#This Row],[qno]],stable[qno],0))</f>
        <v>0</v>
      </c>
      <c r="AJ346" s="99" t="b">
        <f>INDEX(stable[q_carbon],MATCH(questions[[#This Row],[qno]],stable[qno],0))</f>
        <v>0</v>
      </c>
      <c r="AK346" s="99" t="b">
        <f>INDEX(stable[q_regen_ag],MATCH(questions[[#This Row],[qno]],stable[qno],0))</f>
        <v>0</v>
      </c>
      <c r="AL346" s="16" t="b">
        <f>COUNTIFS(stable[qno],questions[[#This Row],[qno]])=1</f>
        <v>1</v>
      </c>
      <c r="AM346" s="16" t="b">
        <f>OR(questions[[#This Row],[is_fixed]],questions[[#This Row],[is_localized]],questions[[#This Row],[is_supply_chain_dependent]])</f>
        <v>1</v>
      </c>
      <c r="AN346" s="16" t="b">
        <f>COUNTIFS(questions[[#This Row],[is_automated]:[is_multi_select]],TRUE)=1</f>
        <v>1</v>
      </c>
      <c r="AO346" s="16" t="b">
        <f>IF(questions[[#This Row],[is_fixed]],questions[[#This Row],[question]]=INDEX(stable[question],MATCH(questions[[#This Row],[qno]],stable[qno],0)),TRUE)</f>
        <v>1</v>
      </c>
      <c r="AP346" s="16" t="str">
        <f>LEFT(questions[[#This Row],[question]],similarity_range)</f>
        <v>Origin</v>
      </c>
      <c r="AQ346" s="16" t="str">
        <f>LEFT(INDEX(stable[question],MATCH(questions[[#This Row],[qno]],stable[qno],0)),similarity_range)</f>
        <v>Origin</v>
      </c>
      <c r="AR346" s="16" t="b">
        <f>questions[[#This Row],[question_first_characters]]=questions[[#This Row],[stability_first_characters]]</f>
        <v>1</v>
      </c>
      <c r="AS346" s="16" t="b">
        <f>IF(OR(questions[[#This Row],[is_single_select]],questions[[#This Row],[is_multi_select]]),NOT(ISBLANK(questions[[#This Row],[answer_opt_combined]])),TRUE)</f>
        <v>1</v>
      </c>
    </row>
    <row r="347" spans="1:45" x14ac:dyDescent="0.25">
      <c r="A347" s="33" t="str">
        <f>_xlfn.TEXTJOIN("_",TRUE,questions[[#This Row],[origin]:[qno]])</f>
        <v>Vietnam_Robusta_Lam_Dong_Nestlé_IMPACT_1001</v>
      </c>
      <c r="B347" s="33" t="s">
        <v>673</v>
      </c>
      <c r="C347" s="33" t="s">
        <v>674</v>
      </c>
      <c r="D347" s="33" t="s">
        <v>675</v>
      </c>
      <c r="E347" s="33"/>
      <c r="F347" s="34" t="s">
        <v>63</v>
      </c>
      <c r="G347" s="18" t="s">
        <v>64</v>
      </c>
      <c r="H347" s="33" t="str" cm="1">
        <f t="array" ref="H347">INDEX(stableR[question],MATCH(VALUE(questions[[#This Row],[qno]]),VALUE(stableR[qno]),0))</f>
        <v>Type</v>
      </c>
      <c r="I347" s="33" t="b" cm="1">
        <f t="array" ref="I347">INDEX(stable[is_fixed],MATCH(VALUE(questions[[#This Row],[qno]]),VALUE(stable[qno]),0))</f>
        <v>1</v>
      </c>
      <c r="J347" s="33" t="b" cm="1">
        <f t="array" ref="J347">INDEX(stable[is_localized],MATCH(VALUE(questions[[#This Row],[qno]]),VALUE(stable[qno]),0))</f>
        <v>0</v>
      </c>
      <c r="K347" s="33" t="b" cm="1">
        <f t="array" ref="K347">INDEX(stable[is_supply_chain_dependent],MATCH(VALUE(questions[[#This Row],[qno]]),VALUE(stable[qno]),0))</f>
        <v>0</v>
      </c>
      <c r="L347" s="33" t="b" cm="1">
        <f t="array" ref="L347">INDEX(stable[is_mandatory],MATCH(VALUE(questions[[#This Row],[qno]]),VALUE(stable[qno]),0))</f>
        <v>1</v>
      </c>
      <c r="M347" s="33" t="b" cm="1">
        <f t="array" ref="M347">INDEX(stable[is_automated],MATCH(VALUE(questions[[#This Row],[qno]]),VALUE(stable[qno]),0))</f>
        <v>1</v>
      </c>
      <c r="N347" s="33" t="b" cm="1">
        <f t="array" ref="N347">INDEX(stable[is_free_text],MATCH(VALUE(questions[[#This Row],[qno]]),VALUE(stable[qno]),0))</f>
        <v>0</v>
      </c>
      <c r="O347" s="33" t="b" cm="1">
        <f t="array" ref="O347">INDEX(stable[is_numerical],MATCH(VALUE(questions[[#This Row],[qno]]),VALUE(stable[qno]),0))</f>
        <v>0</v>
      </c>
      <c r="P347" s="35" t="b" cm="1">
        <f t="array" ref="P347">INDEX(stable[is_single_select],MATCH(VALUE(questions[[#This Row],[qno]]),VALUE(stable[qno]),0))</f>
        <v>0</v>
      </c>
      <c r="Q347" s="33" t="b" cm="1">
        <f t="array" ref="Q347">INDEX(stable[is_multi_select],MATCH(VALUE(questions[[#This Row],[qno]]),VALUE(stable[qno]),0))</f>
        <v>0</v>
      </c>
      <c r="R347" s="33" t="b" cm="1">
        <f t="array" ref="R347">INDEX(stable[is_skip_logic],MATCH(VALUE(questions[[#This Row],[qno]]),VALUE(stable[qno]),0))</f>
        <v>0</v>
      </c>
      <c r="S347" s="33" t="str">
        <f>_xlfn.TEXTJOIN(", ",TRUE,questions[[#This Row],[ans_opt_1]:[ans_opt_14]])</f>
        <v/>
      </c>
      <c r="T347" s="33"/>
      <c r="U347" s="33"/>
      <c r="V347" s="33"/>
      <c r="W347" s="33"/>
      <c r="X347" s="33"/>
      <c r="Y347" s="33"/>
      <c r="Z347" s="33"/>
      <c r="AA347" s="33"/>
      <c r="AB347" s="33"/>
      <c r="AC347" s="33"/>
      <c r="AD347" s="33"/>
      <c r="AE347" s="33"/>
      <c r="AF347" s="33"/>
      <c r="AG347" s="33"/>
      <c r="AH347" s="99" t="b">
        <f>INDEX(stable[q_standard],MATCH(questions[[#This Row],[qno]],stable[qno],0))</f>
        <v>1</v>
      </c>
      <c r="AI347" s="99" t="b">
        <f>INDEX(stable[q_living_income],MATCH(questions[[#This Row],[qno]],stable[qno],0))</f>
        <v>0</v>
      </c>
      <c r="AJ347" s="99" t="b">
        <f>INDEX(stable[q_carbon],MATCH(questions[[#This Row],[qno]],stable[qno],0))</f>
        <v>0</v>
      </c>
      <c r="AK347" s="99" t="b">
        <f>INDEX(stable[q_regen_ag],MATCH(questions[[#This Row],[qno]],stable[qno],0))</f>
        <v>0</v>
      </c>
      <c r="AL347" s="16" t="b">
        <f>COUNTIFS(stable[qno],questions[[#This Row],[qno]])=1</f>
        <v>1</v>
      </c>
      <c r="AM347" s="16" t="b">
        <f>OR(questions[[#This Row],[is_fixed]],questions[[#This Row],[is_localized]],questions[[#This Row],[is_supply_chain_dependent]])</f>
        <v>1</v>
      </c>
      <c r="AN347" s="16" t="b">
        <f>COUNTIFS(questions[[#This Row],[is_automated]:[is_multi_select]],TRUE)=1</f>
        <v>1</v>
      </c>
      <c r="AO347" s="16" t="b">
        <f>IF(questions[[#This Row],[is_fixed]],questions[[#This Row],[question]]=INDEX(stable[question],MATCH(questions[[#This Row],[qno]],stable[qno],0)),TRUE)</f>
        <v>1</v>
      </c>
      <c r="AP347" s="16" t="str">
        <f>LEFT(questions[[#This Row],[question]],similarity_range)</f>
        <v>Type</v>
      </c>
      <c r="AQ347" s="16" t="str">
        <f>LEFT(INDEX(stable[question],MATCH(questions[[#This Row],[qno]],stable[qno],0)),similarity_range)</f>
        <v>Type</v>
      </c>
      <c r="AR347" s="16" t="b">
        <f>questions[[#This Row],[question_first_characters]]=questions[[#This Row],[stability_first_characters]]</f>
        <v>1</v>
      </c>
      <c r="AS347" s="16" t="b">
        <f>IF(OR(questions[[#This Row],[is_single_select]],questions[[#This Row],[is_multi_select]]),NOT(ISBLANK(questions[[#This Row],[answer_opt_combined]])),TRUE)</f>
        <v>1</v>
      </c>
    </row>
    <row r="348" spans="1:45" x14ac:dyDescent="0.25">
      <c r="A348" s="33" t="str">
        <f>_xlfn.TEXTJOIN("_",TRUE,questions[[#This Row],[origin]:[qno]])</f>
        <v>Vietnam_Robusta_Lam_Dong_Nestlé_IMPACT_1002</v>
      </c>
      <c r="B348" s="33" t="s">
        <v>673</v>
      </c>
      <c r="C348" s="33" t="s">
        <v>674</v>
      </c>
      <c r="D348" s="33" t="s">
        <v>675</v>
      </c>
      <c r="E348" s="33"/>
      <c r="F348" s="34" t="s">
        <v>65</v>
      </c>
      <c r="G348" s="18" t="s">
        <v>66</v>
      </c>
      <c r="H348" s="33" t="str" cm="1">
        <f t="array" ref="H348">INDEX(stableR[question],MATCH(VALUE(questions[[#This Row],[qno]]),VALUE(stableR[qno]),0))</f>
        <v>Supply chain</v>
      </c>
      <c r="I348" s="33" t="b" cm="1">
        <f t="array" ref="I348">INDEX(stable[is_fixed],MATCH(VALUE(questions[[#This Row],[qno]]),VALUE(stable[qno]),0))</f>
        <v>1</v>
      </c>
      <c r="J348" s="33" t="b" cm="1">
        <f t="array" ref="J348">INDEX(stable[is_localized],MATCH(VALUE(questions[[#This Row],[qno]]),VALUE(stable[qno]),0))</f>
        <v>0</v>
      </c>
      <c r="K348" s="33" t="b" cm="1">
        <f t="array" ref="K348">INDEX(stable[is_supply_chain_dependent],MATCH(VALUE(questions[[#This Row],[qno]]),VALUE(stable[qno]),0))</f>
        <v>0</v>
      </c>
      <c r="L348" s="33" t="b" cm="1">
        <f t="array" ref="L348">INDEX(stable[is_mandatory],MATCH(VALUE(questions[[#This Row],[qno]]),VALUE(stable[qno]),0))</f>
        <v>1</v>
      </c>
      <c r="M348" s="33" t="b" cm="1">
        <f t="array" ref="M348">INDEX(stable[is_automated],MATCH(VALUE(questions[[#This Row],[qno]]),VALUE(stable[qno]),0))</f>
        <v>1</v>
      </c>
      <c r="N348" s="33" t="b" cm="1">
        <f t="array" ref="N348">INDEX(stable[is_free_text],MATCH(VALUE(questions[[#This Row],[qno]]),VALUE(stable[qno]),0))</f>
        <v>0</v>
      </c>
      <c r="O348" s="33" t="b" cm="1">
        <f t="array" ref="O348">INDEX(stable[is_numerical],MATCH(VALUE(questions[[#This Row],[qno]]),VALUE(stable[qno]),0))</f>
        <v>0</v>
      </c>
      <c r="P348" s="35" t="b" cm="1">
        <f t="array" ref="P348">INDEX(stable[is_single_select],MATCH(VALUE(questions[[#This Row],[qno]]),VALUE(stable[qno]),0))</f>
        <v>0</v>
      </c>
      <c r="Q348" s="33" t="b" cm="1">
        <f t="array" ref="Q348">INDEX(stable[is_multi_select],MATCH(VALUE(questions[[#This Row],[qno]]),VALUE(stable[qno]),0))</f>
        <v>0</v>
      </c>
      <c r="R348" s="33" t="b" cm="1">
        <f t="array" ref="R348">INDEX(stable[is_skip_logic],MATCH(VALUE(questions[[#This Row],[qno]]),VALUE(stable[qno]),0))</f>
        <v>0</v>
      </c>
      <c r="S348" s="33" t="str">
        <f>_xlfn.TEXTJOIN(", ",TRUE,questions[[#This Row],[ans_opt_1]:[ans_opt_14]])</f>
        <v/>
      </c>
      <c r="T348" s="33"/>
      <c r="U348" s="33"/>
      <c r="V348" s="33"/>
      <c r="W348" s="33"/>
      <c r="X348" s="33"/>
      <c r="Y348" s="33"/>
      <c r="Z348" s="33"/>
      <c r="AA348" s="33"/>
      <c r="AB348" s="33"/>
      <c r="AC348" s="33"/>
      <c r="AD348" s="33"/>
      <c r="AE348" s="33"/>
      <c r="AF348" s="33"/>
      <c r="AG348" s="33"/>
      <c r="AH348" s="99" t="b">
        <f>INDEX(stable[q_standard],MATCH(questions[[#This Row],[qno]],stable[qno],0))</f>
        <v>1</v>
      </c>
      <c r="AI348" s="99" t="b">
        <f>INDEX(stable[q_living_income],MATCH(questions[[#This Row],[qno]],stable[qno],0))</f>
        <v>0</v>
      </c>
      <c r="AJ348" s="99" t="b">
        <f>INDEX(stable[q_carbon],MATCH(questions[[#This Row],[qno]],stable[qno],0))</f>
        <v>0</v>
      </c>
      <c r="AK348" s="99" t="b">
        <f>INDEX(stable[q_regen_ag],MATCH(questions[[#This Row],[qno]],stable[qno],0))</f>
        <v>0</v>
      </c>
      <c r="AL348" s="16" t="b">
        <f>COUNTIFS(stable[qno],questions[[#This Row],[qno]])=1</f>
        <v>1</v>
      </c>
      <c r="AM348" s="16" t="b">
        <f>OR(questions[[#This Row],[is_fixed]],questions[[#This Row],[is_localized]],questions[[#This Row],[is_supply_chain_dependent]])</f>
        <v>1</v>
      </c>
      <c r="AN348" s="16" t="b">
        <f>COUNTIFS(questions[[#This Row],[is_automated]:[is_multi_select]],TRUE)=1</f>
        <v>1</v>
      </c>
      <c r="AO348" s="16" t="b">
        <f>IF(questions[[#This Row],[is_fixed]],questions[[#This Row],[question]]=INDEX(stable[question],MATCH(questions[[#This Row],[qno]],stable[qno],0)),TRUE)</f>
        <v>1</v>
      </c>
      <c r="AP348" s="16" t="str">
        <f>LEFT(questions[[#This Row],[question]],similarity_range)</f>
        <v>Supply chain</v>
      </c>
      <c r="AQ348" s="16" t="str">
        <f>LEFT(INDEX(stable[question],MATCH(questions[[#This Row],[qno]],stable[qno],0)),similarity_range)</f>
        <v>Supply chain</v>
      </c>
      <c r="AR348" s="16" t="b">
        <f>questions[[#This Row],[question_first_characters]]=questions[[#This Row],[stability_first_characters]]</f>
        <v>1</v>
      </c>
      <c r="AS348" s="16" t="b">
        <f>IF(OR(questions[[#This Row],[is_single_select]],questions[[#This Row],[is_multi_select]]),NOT(ISBLANK(questions[[#This Row],[answer_opt_combined]])),TRUE)</f>
        <v>1</v>
      </c>
    </row>
    <row r="349" spans="1:45" x14ac:dyDescent="0.25">
      <c r="A349" s="33" t="str">
        <f>_xlfn.TEXTJOIN("_",TRUE,questions[[#This Row],[origin]:[qno]])</f>
        <v>Vietnam_Robusta_Lam_Dong_Nestlé_IMPACT_1003</v>
      </c>
      <c r="B349" s="33" t="s">
        <v>673</v>
      </c>
      <c r="C349" s="33" t="s">
        <v>674</v>
      </c>
      <c r="D349" s="33" t="s">
        <v>675</v>
      </c>
      <c r="E349" s="33"/>
      <c r="F349" s="34" t="s">
        <v>67</v>
      </c>
      <c r="G349" s="18" t="s">
        <v>68</v>
      </c>
      <c r="H349" s="33" t="str" cm="1">
        <f t="array" ref="H349">INDEX(stableR[question],MATCH(VALUE(questions[[#This Row],[qno]]),VALUE(stableR[qno]),0))</f>
        <v>Year</v>
      </c>
      <c r="I349" s="33" t="b" cm="1">
        <f t="array" ref="I349">INDEX(stable[is_fixed],MATCH(VALUE(questions[[#This Row],[qno]]),VALUE(stable[qno]),0))</f>
        <v>1</v>
      </c>
      <c r="J349" s="33" t="b" cm="1">
        <f t="array" ref="J349">INDEX(stable[is_localized],MATCH(VALUE(questions[[#This Row],[qno]]),VALUE(stable[qno]),0))</f>
        <v>0</v>
      </c>
      <c r="K349" s="33" t="b" cm="1">
        <f t="array" ref="K349">INDEX(stable[is_supply_chain_dependent],MATCH(VALUE(questions[[#This Row],[qno]]),VALUE(stable[qno]),0))</f>
        <v>0</v>
      </c>
      <c r="L349" s="33" t="b" cm="1">
        <f t="array" ref="L349">INDEX(stable[is_mandatory],MATCH(VALUE(questions[[#This Row],[qno]]),VALUE(stable[qno]),0))</f>
        <v>1</v>
      </c>
      <c r="M349" s="33" t="b" cm="1">
        <f t="array" ref="M349">INDEX(stable[is_automated],MATCH(VALUE(questions[[#This Row],[qno]]),VALUE(stable[qno]),0))</f>
        <v>1</v>
      </c>
      <c r="N349" s="33" t="b" cm="1">
        <f t="array" ref="N349">INDEX(stable[is_free_text],MATCH(VALUE(questions[[#This Row],[qno]]),VALUE(stable[qno]),0))</f>
        <v>0</v>
      </c>
      <c r="O349" s="33" t="b" cm="1">
        <f t="array" ref="O349">INDEX(stable[is_numerical],MATCH(VALUE(questions[[#This Row],[qno]]),VALUE(stable[qno]),0))</f>
        <v>0</v>
      </c>
      <c r="P349" s="35" t="b" cm="1">
        <f t="array" ref="P349">INDEX(stable[is_single_select],MATCH(VALUE(questions[[#This Row],[qno]]),VALUE(stable[qno]),0))</f>
        <v>0</v>
      </c>
      <c r="Q349" s="33" t="b" cm="1">
        <f t="array" ref="Q349">INDEX(stable[is_multi_select],MATCH(VALUE(questions[[#This Row],[qno]]),VALUE(stable[qno]),0))</f>
        <v>0</v>
      </c>
      <c r="R349" s="33" t="b" cm="1">
        <f t="array" ref="R349">INDEX(stable[is_skip_logic],MATCH(VALUE(questions[[#This Row],[qno]]),VALUE(stable[qno]),0))</f>
        <v>0</v>
      </c>
      <c r="S349" s="33" t="str">
        <f>_xlfn.TEXTJOIN(", ",TRUE,questions[[#This Row],[ans_opt_1]:[ans_opt_14]])</f>
        <v/>
      </c>
      <c r="T349" s="33"/>
      <c r="U349" s="33"/>
      <c r="V349" s="33"/>
      <c r="W349" s="33"/>
      <c r="X349" s="33"/>
      <c r="Y349" s="33"/>
      <c r="Z349" s="33"/>
      <c r="AA349" s="33"/>
      <c r="AB349" s="33"/>
      <c r="AC349" s="33"/>
      <c r="AD349" s="33"/>
      <c r="AE349" s="33"/>
      <c r="AF349" s="33"/>
      <c r="AG349" s="33"/>
      <c r="AH349" s="99" t="b">
        <f>INDEX(stable[q_standard],MATCH(questions[[#This Row],[qno]],stable[qno],0))</f>
        <v>1</v>
      </c>
      <c r="AI349" s="99" t="b">
        <f>INDEX(stable[q_living_income],MATCH(questions[[#This Row],[qno]],stable[qno],0))</f>
        <v>0</v>
      </c>
      <c r="AJ349" s="99" t="b">
        <f>INDEX(stable[q_carbon],MATCH(questions[[#This Row],[qno]],stable[qno],0))</f>
        <v>0</v>
      </c>
      <c r="AK349" s="99" t="b">
        <f>INDEX(stable[q_regen_ag],MATCH(questions[[#This Row],[qno]],stable[qno],0))</f>
        <v>0</v>
      </c>
      <c r="AL349" s="16" t="b">
        <f>COUNTIFS(stable[qno],questions[[#This Row],[qno]])=1</f>
        <v>1</v>
      </c>
      <c r="AM349" s="16" t="b">
        <f>OR(questions[[#This Row],[is_fixed]],questions[[#This Row],[is_localized]],questions[[#This Row],[is_supply_chain_dependent]])</f>
        <v>1</v>
      </c>
      <c r="AN349" s="16" t="b">
        <f>COUNTIFS(questions[[#This Row],[is_automated]:[is_multi_select]],TRUE)=1</f>
        <v>1</v>
      </c>
      <c r="AO349" s="16" t="b">
        <f>IF(questions[[#This Row],[is_fixed]],questions[[#This Row],[question]]=INDEX(stable[question],MATCH(questions[[#This Row],[qno]],stable[qno],0)),TRUE)</f>
        <v>1</v>
      </c>
      <c r="AP349" s="16" t="str">
        <f>LEFT(questions[[#This Row],[question]],similarity_range)</f>
        <v>Year</v>
      </c>
      <c r="AQ349" s="16" t="str">
        <f>LEFT(INDEX(stable[question],MATCH(questions[[#This Row],[qno]],stable[qno],0)),similarity_range)</f>
        <v>Year</v>
      </c>
      <c r="AR349" s="16" t="b">
        <f>questions[[#This Row],[question_first_characters]]=questions[[#This Row],[stability_first_characters]]</f>
        <v>1</v>
      </c>
      <c r="AS349" s="16" t="b">
        <f>IF(OR(questions[[#This Row],[is_single_select]],questions[[#This Row],[is_multi_select]]),NOT(ISBLANK(questions[[#This Row],[answer_opt_combined]])),TRUE)</f>
        <v>1</v>
      </c>
    </row>
    <row r="350" spans="1:45" x14ac:dyDescent="0.25">
      <c r="A350" s="33" t="str">
        <f>_xlfn.TEXTJOIN("_",TRUE,questions[[#This Row],[origin]:[qno]])</f>
        <v>Vietnam_Robusta_Lam_Dong_Nestlé_IMPACT_1104</v>
      </c>
      <c r="B350" s="33" t="s">
        <v>673</v>
      </c>
      <c r="C350" s="33" t="s">
        <v>674</v>
      </c>
      <c r="D350" s="33" t="s">
        <v>675</v>
      </c>
      <c r="E350" s="33"/>
      <c r="F350" s="34" t="s">
        <v>69</v>
      </c>
      <c r="G350" s="18" t="s">
        <v>70</v>
      </c>
      <c r="H350" s="33" t="str" cm="1">
        <f t="array" ref="H350">INDEX(stableR[question],MATCH(VALUE(questions[[#This Row],[qno]]),VALUE(stableR[qno]),0))</f>
        <v>Managed by</v>
      </c>
      <c r="I350" s="33" t="b" cm="1">
        <f t="array" ref="I350">INDEX(stable[is_fixed],MATCH(VALUE(questions[[#This Row],[qno]]),VALUE(stable[qno]),0))</f>
        <v>1</v>
      </c>
      <c r="J350" s="33" t="b" cm="1">
        <f t="array" ref="J350">INDEX(stable[is_localized],MATCH(VALUE(questions[[#This Row],[qno]]),VALUE(stable[qno]),0))</f>
        <v>0</v>
      </c>
      <c r="K350" s="33" t="b" cm="1">
        <f t="array" ref="K350">INDEX(stable[is_supply_chain_dependent],MATCH(VALUE(questions[[#This Row],[qno]]),VALUE(stable[qno]),0))</f>
        <v>0</v>
      </c>
      <c r="L350" s="33" t="b" cm="1">
        <f t="array" ref="L350">INDEX(stable[is_mandatory],MATCH(VALUE(questions[[#This Row],[qno]]),VALUE(stable[qno]),0))</f>
        <v>1</v>
      </c>
      <c r="M350" s="33" t="b" cm="1">
        <f t="array" ref="M350">INDEX(stable[is_automated],MATCH(VALUE(questions[[#This Row],[qno]]),VALUE(stable[qno]),0))</f>
        <v>1</v>
      </c>
      <c r="N350" s="33" t="b" cm="1">
        <f t="array" ref="N350">INDEX(stable[is_free_text],MATCH(VALUE(questions[[#This Row],[qno]]),VALUE(stable[qno]),0))</f>
        <v>0</v>
      </c>
      <c r="O350" s="33" t="b" cm="1">
        <f t="array" ref="O350">INDEX(stable[is_numerical],MATCH(VALUE(questions[[#This Row],[qno]]),VALUE(stable[qno]),0))</f>
        <v>0</v>
      </c>
      <c r="P350" s="35" t="b" cm="1">
        <f t="array" ref="P350">INDEX(stable[is_single_select],MATCH(VALUE(questions[[#This Row],[qno]]),VALUE(stable[qno]),0))</f>
        <v>0</v>
      </c>
      <c r="Q350" s="33" t="b" cm="1">
        <f t="array" ref="Q350">INDEX(stable[is_multi_select],MATCH(VALUE(questions[[#This Row],[qno]]),VALUE(stable[qno]),0))</f>
        <v>0</v>
      </c>
      <c r="R350" s="33" t="b" cm="1">
        <f t="array" ref="R350">INDEX(stable[is_skip_logic],MATCH(VALUE(questions[[#This Row],[qno]]),VALUE(stable[qno]),0))</f>
        <v>0</v>
      </c>
      <c r="S350" s="33" t="str">
        <f>_xlfn.TEXTJOIN(", ",TRUE,questions[[#This Row],[ans_opt_1]:[ans_opt_14]])</f>
        <v/>
      </c>
      <c r="T350" s="33"/>
      <c r="U350" s="33"/>
      <c r="V350" s="33"/>
      <c r="W350" s="33"/>
      <c r="X350" s="33"/>
      <c r="Y350" s="33"/>
      <c r="Z350" s="33"/>
      <c r="AA350" s="33"/>
      <c r="AB350" s="33"/>
      <c r="AC350" s="33"/>
      <c r="AD350" s="33"/>
      <c r="AE350" s="33"/>
      <c r="AF350" s="33"/>
      <c r="AG350" s="33"/>
      <c r="AH350" s="99" t="b">
        <f>INDEX(stable[q_standard],MATCH(questions[[#This Row],[qno]],stable[qno],0))</f>
        <v>1</v>
      </c>
      <c r="AI350" s="99" t="b">
        <f>INDEX(stable[q_living_income],MATCH(questions[[#This Row],[qno]],stable[qno],0))</f>
        <v>0</v>
      </c>
      <c r="AJ350" s="99" t="b">
        <f>INDEX(stable[q_carbon],MATCH(questions[[#This Row],[qno]],stable[qno],0))</f>
        <v>0</v>
      </c>
      <c r="AK350" s="99" t="b">
        <f>INDEX(stable[q_regen_ag],MATCH(questions[[#This Row],[qno]],stable[qno],0))</f>
        <v>0</v>
      </c>
      <c r="AL350" s="16" t="b">
        <f>COUNTIFS(stable[qno],questions[[#This Row],[qno]])=1</f>
        <v>1</v>
      </c>
      <c r="AM350" s="16" t="b">
        <f>OR(questions[[#This Row],[is_fixed]],questions[[#This Row],[is_localized]],questions[[#This Row],[is_supply_chain_dependent]])</f>
        <v>1</v>
      </c>
      <c r="AN350" s="16" t="b">
        <f>COUNTIFS(questions[[#This Row],[is_automated]:[is_multi_select]],TRUE)=1</f>
        <v>1</v>
      </c>
      <c r="AO350" s="16" t="b">
        <f>IF(questions[[#This Row],[is_fixed]],questions[[#This Row],[question]]=INDEX(stable[question],MATCH(questions[[#This Row],[qno]],stable[qno],0)),TRUE)</f>
        <v>1</v>
      </c>
      <c r="AP350" s="16" t="str">
        <f>LEFT(questions[[#This Row],[question]],similarity_range)</f>
        <v>Managed by</v>
      </c>
      <c r="AQ350" s="16" t="str">
        <f>LEFT(INDEX(stable[question],MATCH(questions[[#This Row],[qno]],stable[qno],0)),similarity_range)</f>
        <v>Managed by</v>
      </c>
      <c r="AR350" s="16" t="b">
        <f>questions[[#This Row],[question_first_characters]]=questions[[#This Row],[stability_first_characters]]</f>
        <v>1</v>
      </c>
      <c r="AS350" s="16" t="b">
        <f>IF(OR(questions[[#This Row],[is_single_select]],questions[[#This Row],[is_multi_select]]),NOT(ISBLANK(questions[[#This Row],[answer_opt_combined]])),TRUE)</f>
        <v>1</v>
      </c>
    </row>
    <row r="351" spans="1:45" x14ac:dyDescent="0.25">
      <c r="A351" s="33" t="str">
        <f>_xlfn.TEXTJOIN("_",TRUE,questions[[#This Row],[origin]:[qno]])</f>
        <v>Vietnam_Robusta_Lam_Dong_Nestlé_IMPACT_1105</v>
      </c>
      <c r="B351" s="33" t="s">
        <v>673</v>
      </c>
      <c r="C351" s="33" t="s">
        <v>674</v>
      </c>
      <c r="D351" s="33" t="s">
        <v>675</v>
      </c>
      <c r="E351" s="33"/>
      <c r="F351" s="34" t="s">
        <v>71</v>
      </c>
      <c r="G351" s="18" t="s">
        <v>72</v>
      </c>
      <c r="H351" s="33" t="str" cm="1">
        <f t="array" ref="H351">INDEX(stableR[question],MATCH(VALUE(questions[[#This Row],[qno]]),VALUE(stableR[qno]),0))</f>
        <v>Field staff(s)</v>
      </c>
      <c r="I351" s="33" t="b" cm="1">
        <f t="array" ref="I351">INDEX(stable[is_fixed],MATCH(VALUE(questions[[#This Row],[qno]]),VALUE(stable[qno]),0))</f>
        <v>1</v>
      </c>
      <c r="J351" s="33" t="b" cm="1">
        <f t="array" ref="J351">INDEX(stable[is_localized],MATCH(VALUE(questions[[#This Row],[qno]]),VALUE(stable[qno]),0))</f>
        <v>0</v>
      </c>
      <c r="K351" s="33" t="b" cm="1">
        <f t="array" ref="K351">INDEX(stable[is_supply_chain_dependent],MATCH(VALUE(questions[[#This Row],[qno]]),VALUE(stable[qno]),0))</f>
        <v>0</v>
      </c>
      <c r="L351" s="33" t="b" cm="1">
        <f t="array" ref="L351">INDEX(stable[is_mandatory],MATCH(VALUE(questions[[#This Row],[qno]]),VALUE(stable[qno]),0))</f>
        <v>1</v>
      </c>
      <c r="M351" s="33" t="b" cm="1">
        <f t="array" ref="M351">INDEX(stable[is_automated],MATCH(VALUE(questions[[#This Row],[qno]]),VALUE(stable[qno]),0))</f>
        <v>1</v>
      </c>
      <c r="N351" s="33" t="b" cm="1">
        <f t="array" ref="N351">INDEX(stable[is_free_text],MATCH(VALUE(questions[[#This Row],[qno]]),VALUE(stable[qno]),0))</f>
        <v>0</v>
      </c>
      <c r="O351" s="33" t="b" cm="1">
        <f t="array" ref="O351">INDEX(stable[is_numerical],MATCH(VALUE(questions[[#This Row],[qno]]),VALUE(stable[qno]),0))</f>
        <v>0</v>
      </c>
      <c r="P351" s="35" t="b" cm="1">
        <f t="array" ref="P351">INDEX(stable[is_single_select],MATCH(VALUE(questions[[#This Row],[qno]]),VALUE(stable[qno]),0))</f>
        <v>0</v>
      </c>
      <c r="Q351" s="33" t="b" cm="1">
        <f t="array" ref="Q351">INDEX(stable[is_multi_select],MATCH(VALUE(questions[[#This Row],[qno]]),VALUE(stable[qno]),0))</f>
        <v>0</v>
      </c>
      <c r="R351" s="33" t="b" cm="1">
        <f t="array" ref="R351">INDEX(stable[is_skip_logic],MATCH(VALUE(questions[[#This Row],[qno]]),VALUE(stable[qno]),0))</f>
        <v>0</v>
      </c>
      <c r="S351" s="33" t="str">
        <f>_xlfn.TEXTJOIN(", ",TRUE,questions[[#This Row],[ans_opt_1]:[ans_opt_14]])</f>
        <v/>
      </c>
      <c r="T351" s="33"/>
      <c r="U351" s="33"/>
      <c r="V351" s="33"/>
      <c r="W351" s="33"/>
      <c r="X351" s="33"/>
      <c r="Y351" s="33"/>
      <c r="Z351" s="33"/>
      <c r="AA351" s="33"/>
      <c r="AB351" s="33"/>
      <c r="AC351" s="33"/>
      <c r="AD351" s="33"/>
      <c r="AE351" s="33"/>
      <c r="AF351" s="33"/>
      <c r="AG351" s="33"/>
      <c r="AH351" s="99" t="b">
        <f>INDEX(stable[q_standard],MATCH(questions[[#This Row],[qno]],stable[qno],0))</f>
        <v>1</v>
      </c>
      <c r="AI351" s="99" t="b">
        <f>INDEX(stable[q_living_income],MATCH(questions[[#This Row],[qno]],stable[qno],0))</f>
        <v>0</v>
      </c>
      <c r="AJ351" s="99" t="b">
        <f>INDEX(stable[q_carbon],MATCH(questions[[#This Row],[qno]],stable[qno],0))</f>
        <v>0</v>
      </c>
      <c r="AK351" s="99" t="b">
        <f>INDEX(stable[q_regen_ag],MATCH(questions[[#This Row],[qno]],stable[qno],0))</f>
        <v>0</v>
      </c>
      <c r="AL351" s="16" t="b">
        <f>COUNTIFS(stable[qno],questions[[#This Row],[qno]])=1</f>
        <v>1</v>
      </c>
      <c r="AM351" s="16" t="b">
        <f>OR(questions[[#This Row],[is_fixed]],questions[[#This Row],[is_localized]],questions[[#This Row],[is_supply_chain_dependent]])</f>
        <v>1</v>
      </c>
      <c r="AN351" s="16" t="b">
        <f>COUNTIFS(questions[[#This Row],[is_automated]:[is_multi_select]],TRUE)=1</f>
        <v>1</v>
      </c>
      <c r="AO351" s="16" t="b">
        <f>IF(questions[[#This Row],[is_fixed]],questions[[#This Row],[question]]=INDEX(stable[question],MATCH(questions[[#This Row],[qno]],stable[qno],0)),TRUE)</f>
        <v>1</v>
      </c>
      <c r="AP351" s="16" t="str">
        <f>LEFT(questions[[#This Row],[question]],similarity_range)</f>
        <v>Field staff(s)</v>
      </c>
      <c r="AQ351" s="16" t="str">
        <f>LEFT(INDEX(stable[question],MATCH(questions[[#This Row],[qno]],stable[qno],0)),similarity_range)</f>
        <v>Field staff(s)</v>
      </c>
      <c r="AR351" s="16" t="b">
        <f>questions[[#This Row],[question_first_characters]]=questions[[#This Row],[stability_first_characters]]</f>
        <v>1</v>
      </c>
      <c r="AS351" s="16" t="b">
        <f>IF(OR(questions[[#This Row],[is_single_select]],questions[[#This Row],[is_multi_select]]),NOT(ISBLANK(questions[[#This Row],[answer_opt_combined]])),TRUE)</f>
        <v>1</v>
      </c>
    </row>
    <row r="352" spans="1:45" x14ac:dyDescent="0.25">
      <c r="A352" s="33" t="str">
        <f>_xlfn.TEXTJOIN("_",TRUE,questions[[#This Row],[origin]:[qno]])</f>
        <v>Vietnam_Robusta_Lam_Dong_Nestlé_IMPACT_1106</v>
      </c>
      <c r="B352" s="33" t="s">
        <v>673</v>
      </c>
      <c r="C352" s="33" t="s">
        <v>674</v>
      </c>
      <c r="D352" s="33" t="s">
        <v>675</v>
      </c>
      <c r="E352" s="33"/>
      <c r="F352" s="34" t="s">
        <v>73</v>
      </c>
      <c r="G352" s="18" t="s">
        <v>74</v>
      </c>
      <c r="H352" s="33" t="str" cm="1">
        <f t="array" ref="H352">INDEX(stableR[question],MATCH(VALUE(questions[[#This Row],[qno]]),VALUE(stableR[qno]),0))</f>
        <v>Completion Date</v>
      </c>
      <c r="I352" s="33" t="b" cm="1">
        <f t="array" ref="I352">INDEX(stable[is_fixed],MATCH(VALUE(questions[[#This Row],[qno]]),VALUE(stable[qno]),0))</f>
        <v>1</v>
      </c>
      <c r="J352" s="33" t="b" cm="1">
        <f t="array" ref="J352">INDEX(stable[is_localized],MATCH(VALUE(questions[[#This Row],[qno]]),VALUE(stable[qno]),0))</f>
        <v>0</v>
      </c>
      <c r="K352" s="33" t="b" cm="1">
        <f t="array" ref="K352">INDEX(stable[is_supply_chain_dependent],MATCH(VALUE(questions[[#This Row],[qno]]),VALUE(stable[qno]),0))</f>
        <v>0</v>
      </c>
      <c r="L352" s="33" t="b" cm="1">
        <f t="array" ref="L352">INDEX(stable[is_mandatory],MATCH(VALUE(questions[[#This Row],[qno]]),VALUE(stable[qno]),0))</f>
        <v>1</v>
      </c>
      <c r="M352" s="33" t="b" cm="1">
        <f t="array" ref="M352">INDEX(stable[is_automated],MATCH(VALUE(questions[[#This Row],[qno]]),VALUE(stable[qno]),0))</f>
        <v>1</v>
      </c>
      <c r="N352" s="33" t="b" cm="1">
        <f t="array" ref="N352">INDEX(stable[is_free_text],MATCH(VALUE(questions[[#This Row],[qno]]),VALUE(stable[qno]),0))</f>
        <v>0</v>
      </c>
      <c r="O352" s="33" t="b" cm="1">
        <f t="array" ref="O352">INDEX(stable[is_numerical],MATCH(VALUE(questions[[#This Row],[qno]]),VALUE(stable[qno]),0))</f>
        <v>0</v>
      </c>
      <c r="P352" s="35" t="b" cm="1">
        <f t="array" ref="P352">INDEX(stable[is_single_select],MATCH(VALUE(questions[[#This Row],[qno]]),VALUE(stable[qno]),0))</f>
        <v>0</v>
      </c>
      <c r="Q352" s="33" t="b" cm="1">
        <f t="array" ref="Q352">INDEX(stable[is_multi_select],MATCH(VALUE(questions[[#This Row],[qno]]),VALUE(stable[qno]),0))</f>
        <v>0</v>
      </c>
      <c r="R352" s="33" t="b" cm="1">
        <f t="array" ref="R352">INDEX(stable[is_skip_logic],MATCH(VALUE(questions[[#This Row],[qno]]),VALUE(stable[qno]),0))</f>
        <v>0</v>
      </c>
      <c r="S352" s="33" t="str">
        <f>_xlfn.TEXTJOIN(", ",TRUE,questions[[#This Row],[ans_opt_1]:[ans_opt_14]])</f>
        <v/>
      </c>
      <c r="T352" s="33"/>
      <c r="U352" s="33"/>
      <c r="V352" s="33"/>
      <c r="W352" s="33"/>
      <c r="X352" s="33"/>
      <c r="Y352" s="33"/>
      <c r="Z352" s="33"/>
      <c r="AA352" s="33"/>
      <c r="AB352" s="33"/>
      <c r="AC352" s="33"/>
      <c r="AD352" s="33"/>
      <c r="AE352" s="33"/>
      <c r="AF352" s="33"/>
      <c r="AG352" s="33"/>
      <c r="AH352" s="99" t="b">
        <f>INDEX(stable[q_standard],MATCH(questions[[#This Row],[qno]],stable[qno],0))</f>
        <v>1</v>
      </c>
      <c r="AI352" s="99" t="b">
        <f>INDEX(stable[q_living_income],MATCH(questions[[#This Row],[qno]],stable[qno],0))</f>
        <v>0</v>
      </c>
      <c r="AJ352" s="99" t="b">
        <f>INDEX(stable[q_carbon],MATCH(questions[[#This Row],[qno]],stable[qno],0))</f>
        <v>0</v>
      </c>
      <c r="AK352" s="99" t="b">
        <f>INDEX(stable[q_regen_ag],MATCH(questions[[#This Row],[qno]],stable[qno],0))</f>
        <v>0</v>
      </c>
      <c r="AL352" s="16" t="b">
        <f>COUNTIFS(stable[qno],questions[[#This Row],[qno]])=1</f>
        <v>1</v>
      </c>
      <c r="AM352" s="16" t="b">
        <f>OR(questions[[#This Row],[is_fixed]],questions[[#This Row],[is_localized]],questions[[#This Row],[is_supply_chain_dependent]])</f>
        <v>1</v>
      </c>
      <c r="AN352" s="16" t="b">
        <f>COUNTIFS(questions[[#This Row],[is_automated]:[is_multi_select]],TRUE)=1</f>
        <v>1</v>
      </c>
      <c r="AO352" s="16" t="b">
        <f>IF(questions[[#This Row],[is_fixed]],questions[[#This Row],[question]]=INDEX(stable[question],MATCH(questions[[#This Row],[qno]],stable[qno],0)),TRUE)</f>
        <v>1</v>
      </c>
      <c r="AP352" s="16" t="str">
        <f>LEFT(questions[[#This Row],[question]],similarity_range)</f>
        <v>Completion Date</v>
      </c>
      <c r="AQ352" s="16" t="str">
        <f>LEFT(INDEX(stable[question],MATCH(questions[[#This Row],[qno]],stable[qno],0)),similarity_range)</f>
        <v>Completion Date</v>
      </c>
      <c r="AR352" s="16" t="b">
        <f>questions[[#This Row],[question_first_characters]]=questions[[#This Row],[stability_first_characters]]</f>
        <v>1</v>
      </c>
      <c r="AS352" s="16" t="b">
        <f>IF(OR(questions[[#This Row],[is_single_select]],questions[[#This Row],[is_multi_select]]),NOT(ISBLANK(questions[[#This Row],[answer_opt_combined]])),TRUE)</f>
        <v>1</v>
      </c>
    </row>
    <row r="353" spans="1:45" x14ac:dyDescent="0.25">
      <c r="A353" s="33" t="str">
        <f>_xlfn.TEXTJOIN("_",TRUE,questions[[#This Row],[origin]:[qno]])</f>
        <v>Vietnam_Robusta_Lam_Dong_Nestlé_IMPACT_1110</v>
      </c>
      <c r="B353" s="33" t="s">
        <v>673</v>
      </c>
      <c r="C353" s="33" t="s">
        <v>674</v>
      </c>
      <c r="D353" s="33" t="s">
        <v>675</v>
      </c>
      <c r="E353" s="33"/>
      <c r="F353" s="34" t="s">
        <v>75</v>
      </c>
      <c r="G353" s="18" t="s">
        <v>76</v>
      </c>
      <c r="H353" s="33" t="str" cm="1">
        <f t="array" ref="H353">INDEX(stableR[question],MATCH(VALUE(questions[[#This Row],[qno]]),VALUE(stableR[qno]),0))</f>
        <v>Approved / Rejected By</v>
      </c>
      <c r="I353" s="33" t="b" cm="1">
        <f t="array" ref="I353">INDEX(stable[is_fixed],MATCH(VALUE(questions[[#This Row],[qno]]),VALUE(stable[qno]),0))</f>
        <v>1</v>
      </c>
      <c r="J353" s="33" t="b" cm="1">
        <f t="array" ref="J353">INDEX(stable[is_localized],MATCH(VALUE(questions[[#This Row],[qno]]),VALUE(stable[qno]),0))</f>
        <v>0</v>
      </c>
      <c r="K353" s="33" t="b" cm="1">
        <f t="array" ref="K353">INDEX(stable[is_supply_chain_dependent],MATCH(VALUE(questions[[#This Row],[qno]]),VALUE(stable[qno]),0))</f>
        <v>0</v>
      </c>
      <c r="L353" s="33" t="b" cm="1">
        <f t="array" ref="L353">INDEX(stable[is_mandatory],MATCH(VALUE(questions[[#This Row],[qno]]),VALUE(stable[qno]),0))</f>
        <v>1</v>
      </c>
      <c r="M353" s="33" t="b" cm="1">
        <f t="array" ref="M353">INDEX(stable[is_automated],MATCH(VALUE(questions[[#This Row],[qno]]),VALUE(stable[qno]),0))</f>
        <v>1</v>
      </c>
      <c r="N353" s="33" t="b" cm="1">
        <f t="array" ref="N353">INDEX(stable[is_free_text],MATCH(VALUE(questions[[#This Row],[qno]]),VALUE(stable[qno]),0))</f>
        <v>0</v>
      </c>
      <c r="O353" s="33" t="b" cm="1">
        <f t="array" ref="O353">INDEX(stable[is_numerical],MATCH(VALUE(questions[[#This Row],[qno]]),VALUE(stable[qno]),0))</f>
        <v>0</v>
      </c>
      <c r="P353" s="35" t="b" cm="1">
        <f t="array" ref="P353">INDEX(stable[is_single_select],MATCH(VALUE(questions[[#This Row],[qno]]),VALUE(stable[qno]),0))</f>
        <v>0</v>
      </c>
      <c r="Q353" s="33" t="b" cm="1">
        <f t="array" ref="Q353">INDEX(stable[is_multi_select],MATCH(VALUE(questions[[#This Row],[qno]]),VALUE(stable[qno]),0))</f>
        <v>0</v>
      </c>
      <c r="R353" s="33" t="b" cm="1">
        <f t="array" ref="R353">INDEX(stable[is_skip_logic],MATCH(VALUE(questions[[#This Row],[qno]]),VALUE(stable[qno]),0))</f>
        <v>0</v>
      </c>
      <c r="S353" s="33" t="str">
        <f>_xlfn.TEXTJOIN(", ",TRUE,questions[[#This Row],[ans_opt_1]:[ans_opt_14]])</f>
        <v/>
      </c>
      <c r="T353" s="33"/>
      <c r="U353" s="33"/>
      <c r="V353" s="33"/>
      <c r="W353" s="33"/>
      <c r="X353" s="33"/>
      <c r="Y353" s="33"/>
      <c r="Z353" s="33"/>
      <c r="AA353" s="33"/>
      <c r="AB353" s="33"/>
      <c r="AC353" s="33"/>
      <c r="AD353" s="33"/>
      <c r="AE353" s="33"/>
      <c r="AF353" s="33"/>
      <c r="AG353" s="33"/>
      <c r="AH353" s="99" t="b">
        <f>INDEX(stable[q_standard],MATCH(questions[[#This Row],[qno]],stable[qno],0))</f>
        <v>1</v>
      </c>
      <c r="AI353" s="99" t="b">
        <f>INDEX(stable[q_living_income],MATCH(questions[[#This Row],[qno]],stable[qno],0))</f>
        <v>0</v>
      </c>
      <c r="AJ353" s="99" t="b">
        <f>INDEX(stable[q_carbon],MATCH(questions[[#This Row],[qno]],stable[qno],0))</f>
        <v>0</v>
      </c>
      <c r="AK353" s="99" t="b">
        <f>INDEX(stable[q_regen_ag],MATCH(questions[[#This Row],[qno]],stable[qno],0))</f>
        <v>0</v>
      </c>
      <c r="AL353" s="16" t="b">
        <f>COUNTIFS(stable[qno],questions[[#This Row],[qno]])=1</f>
        <v>1</v>
      </c>
      <c r="AM353" s="16" t="b">
        <f>OR(questions[[#This Row],[is_fixed]],questions[[#This Row],[is_localized]],questions[[#This Row],[is_supply_chain_dependent]])</f>
        <v>1</v>
      </c>
      <c r="AN353" s="16" t="b">
        <f>COUNTIFS(questions[[#This Row],[is_automated]:[is_multi_select]],TRUE)=1</f>
        <v>1</v>
      </c>
      <c r="AO353" s="16" t="b">
        <f>IF(questions[[#This Row],[is_fixed]],questions[[#This Row],[question]]=INDEX(stable[question],MATCH(questions[[#This Row],[qno]],stable[qno],0)),TRUE)</f>
        <v>1</v>
      </c>
      <c r="AP353" s="16" t="str">
        <f>LEFT(questions[[#This Row],[question]],similarity_range)</f>
        <v xml:space="preserve">Approved / Rejected </v>
      </c>
      <c r="AQ353" s="16" t="str">
        <f>LEFT(INDEX(stable[question],MATCH(questions[[#This Row],[qno]],stable[qno],0)),similarity_range)</f>
        <v xml:space="preserve">Approved / Rejected </v>
      </c>
      <c r="AR353" s="16" t="b">
        <f>questions[[#This Row],[question_first_characters]]=questions[[#This Row],[stability_first_characters]]</f>
        <v>1</v>
      </c>
      <c r="AS353" s="16" t="b">
        <f>IF(OR(questions[[#This Row],[is_single_select]],questions[[#This Row],[is_multi_select]]),NOT(ISBLANK(questions[[#This Row],[answer_opt_combined]])),TRUE)</f>
        <v>1</v>
      </c>
    </row>
    <row r="354" spans="1:45" x14ac:dyDescent="0.25">
      <c r="A354" s="33" t="str">
        <f>_xlfn.TEXTJOIN("_",TRUE,questions[[#This Row],[origin]:[qno]])</f>
        <v>Vietnam_Robusta_Lam_Dong_Nestlé_IMPACT_1111</v>
      </c>
      <c r="B354" s="33" t="s">
        <v>673</v>
      </c>
      <c r="C354" s="33" t="s">
        <v>674</v>
      </c>
      <c r="D354" s="33" t="s">
        <v>675</v>
      </c>
      <c r="E354" s="33"/>
      <c r="F354" s="34" t="s">
        <v>77</v>
      </c>
      <c r="G354" s="18" t="s">
        <v>78</v>
      </c>
      <c r="H354" s="33" t="str" cm="1">
        <f t="array" ref="H354">INDEX(stableR[question],MATCH(VALUE(questions[[#This Row],[qno]]),VALUE(stableR[qno]),0))</f>
        <v>Approved / Rejected Date</v>
      </c>
      <c r="I354" s="33" t="b" cm="1">
        <f t="array" ref="I354">INDEX(stable[is_fixed],MATCH(VALUE(questions[[#This Row],[qno]]),VALUE(stable[qno]),0))</f>
        <v>1</v>
      </c>
      <c r="J354" s="33" t="b" cm="1">
        <f t="array" ref="J354">INDEX(stable[is_localized],MATCH(VALUE(questions[[#This Row],[qno]]),VALUE(stable[qno]),0))</f>
        <v>0</v>
      </c>
      <c r="K354" s="33" t="b" cm="1">
        <f t="array" ref="K354">INDEX(stable[is_supply_chain_dependent],MATCH(VALUE(questions[[#This Row],[qno]]),VALUE(stable[qno]),0))</f>
        <v>0</v>
      </c>
      <c r="L354" s="33" t="b" cm="1">
        <f t="array" ref="L354">INDEX(stable[is_mandatory],MATCH(VALUE(questions[[#This Row],[qno]]),VALUE(stable[qno]),0))</f>
        <v>1</v>
      </c>
      <c r="M354" s="33" t="b" cm="1">
        <f t="array" ref="M354">INDEX(stable[is_automated],MATCH(VALUE(questions[[#This Row],[qno]]),VALUE(stable[qno]),0))</f>
        <v>1</v>
      </c>
      <c r="N354" s="33" t="b" cm="1">
        <f t="array" ref="N354">INDEX(stable[is_free_text],MATCH(VALUE(questions[[#This Row],[qno]]),VALUE(stable[qno]),0))</f>
        <v>0</v>
      </c>
      <c r="O354" s="33" t="b" cm="1">
        <f t="array" ref="O354">INDEX(stable[is_numerical],MATCH(VALUE(questions[[#This Row],[qno]]),VALUE(stable[qno]),0))</f>
        <v>0</v>
      </c>
      <c r="P354" s="35" t="b" cm="1">
        <f t="array" ref="P354">INDEX(stable[is_single_select],MATCH(VALUE(questions[[#This Row],[qno]]),VALUE(stable[qno]),0))</f>
        <v>0</v>
      </c>
      <c r="Q354" s="33" t="b" cm="1">
        <f t="array" ref="Q354">INDEX(stable[is_multi_select],MATCH(VALUE(questions[[#This Row],[qno]]),VALUE(stable[qno]),0))</f>
        <v>0</v>
      </c>
      <c r="R354" s="33" t="b" cm="1">
        <f t="array" ref="R354">INDEX(stable[is_skip_logic],MATCH(VALUE(questions[[#This Row],[qno]]),VALUE(stable[qno]),0))</f>
        <v>0</v>
      </c>
      <c r="S354" s="33" t="str">
        <f>_xlfn.TEXTJOIN(", ",TRUE,questions[[#This Row],[ans_opt_1]:[ans_opt_14]])</f>
        <v/>
      </c>
      <c r="T354" s="33"/>
      <c r="U354" s="33"/>
      <c r="V354" s="33"/>
      <c r="W354" s="33"/>
      <c r="X354" s="33"/>
      <c r="Y354" s="33"/>
      <c r="Z354" s="33"/>
      <c r="AA354" s="33"/>
      <c r="AB354" s="33"/>
      <c r="AC354" s="33"/>
      <c r="AD354" s="33"/>
      <c r="AE354" s="33"/>
      <c r="AF354" s="33"/>
      <c r="AG354" s="33"/>
      <c r="AH354" s="99" t="b">
        <f>INDEX(stable[q_standard],MATCH(questions[[#This Row],[qno]],stable[qno],0))</f>
        <v>1</v>
      </c>
      <c r="AI354" s="99" t="b">
        <f>INDEX(stable[q_living_income],MATCH(questions[[#This Row],[qno]],stable[qno],0))</f>
        <v>0</v>
      </c>
      <c r="AJ354" s="99" t="b">
        <f>INDEX(stable[q_carbon],MATCH(questions[[#This Row],[qno]],stable[qno],0))</f>
        <v>0</v>
      </c>
      <c r="AK354" s="99" t="b">
        <f>INDEX(stable[q_regen_ag],MATCH(questions[[#This Row],[qno]],stable[qno],0))</f>
        <v>0</v>
      </c>
      <c r="AL354" s="16" t="b">
        <f>COUNTIFS(stable[qno],questions[[#This Row],[qno]])=1</f>
        <v>1</v>
      </c>
      <c r="AM354" s="16" t="b">
        <f>OR(questions[[#This Row],[is_fixed]],questions[[#This Row],[is_localized]],questions[[#This Row],[is_supply_chain_dependent]])</f>
        <v>1</v>
      </c>
      <c r="AN354" s="16" t="b">
        <f>COUNTIFS(questions[[#This Row],[is_automated]:[is_multi_select]],TRUE)=1</f>
        <v>1</v>
      </c>
      <c r="AO354" s="16" t="b">
        <f>IF(questions[[#This Row],[is_fixed]],questions[[#This Row],[question]]=INDEX(stable[question],MATCH(questions[[#This Row],[qno]],stable[qno],0)),TRUE)</f>
        <v>1</v>
      </c>
      <c r="AP354" s="16" t="str">
        <f>LEFT(questions[[#This Row],[question]],similarity_range)</f>
        <v xml:space="preserve">Approved / Rejected </v>
      </c>
      <c r="AQ354" s="16" t="str">
        <f>LEFT(INDEX(stable[question],MATCH(questions[[#This Row],[qno]],stable[qno],0)),similarity_range)</f>
        <v xml:space="preserve">Approved / Rejected </v>
      </c>
      <c r="AR354" s="16" t="b">
        <f>questions[[#This Row],[question_first_characters]]=questions[[#This Row],[stability_first_characters]]</f>
        <v>1</v>
      </c>
      <c r="AS354" s="16" t="b">
        <f>IF(OR(questions[[#This Row],[is_single_select]],questions[[#This Row],[is_multi_select]]),NOT(ISBLANK(questions[[#This Row],[answer_opt_combined]])),TRUE)</f>
        <v>1</v>
      </c>
    </row>
    <row r="355" spans="1:45" x14ac:dyDescent="0.25">
      <c r="A355" s="33" t="str">
        <f>_xlfn.TEXTJOIN("_",TRUE,questions[[#This Row],[origin]:[qno]])</f>
        <v>Vietnam_Robusta_Lam_Dong_Nestlé_IMPACT_1112</v>
      </c>
      <c r="B355" s="33" t="s">
        <v>673</v>
      </c>
      <c r="C355" s="33" t="s">
        <v>674</v>
      </c>
      <c r="D355" s="33" t="s">
        <v>675</v>
      </c>
      <c r="E355" s="33"/>
      <c r="F355" s="34" t="s">
        <v>79</v>
      </c>
      <c r="G355" s="18" t="s">
        <v>80</v>
      </c>
      <c r="H355" s="33" t="str" cm="1">
        <f t="array" ref="H355">INDEX(stableR[question],MATCH(VALUE(questions[[#This Row],[qno]]),VALUE(stableR[qno]),0))</f>
        <v>Approval / Rejection Reason</v>
      </c>
      <c r="I355" s="33" t="b" cm="1">
        <f t="array" ref="I355">INDEX(stable[is_fixed],MATCH(VALUE(questions[[#This Row],[qno]]),VALUE(stable[qno]),0))</f>
        <v>1</v>
      </c>
      <c r="J355" s="33" t="b" cm="1">
        <f t="array" ref="J355">INDEX(stable[is_localized],MATCH(VALUE(questions[[#This Row],[qno]]),VALUE(stable[qno]),0))</f>
        <v>0</v>
      </c>
      <c r="K355" s="33" t="b" cm="1">
        <f t="array" ref="K355">INDEX(stable[is_supply_chain_dependent],MATCH(VALUE(questions[[#This Row],[qno]]),VALUE(stable[qno]),0))</f>
        <v>0</v>
      </c>
      <c r="L355" s="33" t="b" cm="1">
        <f t="array" ref="L355">INDEX(stable[is_mandatory],MATCH(VALUE(questions[[#This Row],[qno]]),VALUE(stable[qno]),0))</f>
        <v>1</v>
      </c>
      <c r="M355" s="33" t="b" cm="1">
        <f t="array" ref="M355">INDEX(stable[is_automated],MATCH(VALUE(questions[[#This Row],[qno]]),VALUE(stable[qno]),0))</f>
        <v>1</v>
      </c>
      <c r="N355" s="33" t="b" cm="1">
        <f t="array" ref="N355">INDEX(stable[is_free_text],MATCH(VALUE(questions[[#This Row],[qno]]),VALUE(stable[qno]),0))</f>
        <v>0</v>
      </c>
      <c r="O355" s="33" t="b" cm="1">
        <f t="array" ref="O355">INDEX(stable[is_numerical],MATCH(VALUE(questions[[#This Row],[qno]]),VALUE(stable[qno]),0))</f>
        <v>0</v>
      </c>
      <c r="P355" s="35" t="b" cm="1">
        <f t="array" ref="P355">INDEX(stable[is_single_select],MATCH(VALUE(questions[[#This Row],[qno]]),VALUE(stable[qno]),0))</f>
        <v>0</v>
      </c>
      <c r="Q355" s="33" t="b" cm="1">
        <f t="array" ref="Q355">INDEX(stable[is_multi_select],MATCH(VALUE(questions[[#This Row],[qno]]),VALUE(stable[qno]),0))</f>
        <v>0</v>
      </c>
      <c r="R355" s="33" t="b" cm="1">
        <f t="array" ref="R355">INDEX(stable[is_skip_logic],MATCH(VALUE(questions[[#This Row],[qno]]),VALUE(stable[qno]),0))</f>
        <v>0</v>
      </c>
      <c r="S355" s="33" t="str">
        <f>_xlfn.TEXTJOIN(", ",TRUE,questions[[#This Row],[ans_opt_1]:[ans_opt_14]])</f>
        <v/>
      </c>
      <c r="T355" s="33"/>
      <c r="U355" s="33"/>
      <c r="V355" s="33"/>
      <c r="W355" s="33"/>
      <c r="X355" s="33"/>
      <c r="Y355" s="33"/>
      <c r="Z355" s="33"/>
      <c r="AA355" s="33"/>
      <c r="AB355" s="33"/>
      <c r="AC355" s="33"/>
      <c r="AD355" s="33"/>
      <c r="AE355" s="33"/>
      <c r="AF355" s="33"/>
      <c r="AG355" s="33"/>
      <c r="AH355" s="99" t="b">
        <f>INDEX(stable[q_standard],MATCH(questions[[#This Row],[qno]],stable[qno],0))</f>
        <v>1</v>
      </c>
      <c r="AI355" s="99" t="b">
        <f>INDEX(stable[q_living_income],MATCH(questions[[#This Row],[qno]],stable[qno],0))</f>
        <v>0</v>
      </c>
      <c r="AJ355" s="99" t="b">
        <f>INDEX(stable[q_carbon],MATCH(questions[[#This Row],[qno]],stable[qno],0))</f>
        <v>0</v>
      </c>
      <c r="AK355" s="99" t="b">
        <f>INDEX(stable[q_regen_ag],MATCH(questions[[#This Row],[qno]],stable[qno],0))</f>
        <v>0</v>
      </c>
      <c r="AL355" s="16" t="b">
        <f>COUNTIFS(stable[qno],questions[[#This Row],[qno]])=1</f>
        <v>1</v>
      </c>
      <c r="AM355" s="16" t="b">
        <f>OR(questions[[#This Row],[is_fixed]],questions[[#This Row],[is_localized]],questions[[#This Row],[is_supply_chain_dependent]])</f>
        <v>1</v>
      </c>
      <c r="AN355" s="16" t="b">
        <f>COUNTIFS(questions[[#This Row],[is_automated]:[is_multi_select]],TRUE)=1</f>
        <v>1</v>
      </c>
      <c r="AO355" s="16" t="b">
        <f>IF(questions[[#This Row],[is_fixed]],questions[[#This Row],[question]]=INDEX(stable[question],MATCH(questions[[#This Row],[qno]],stable[qno],0)),TRUE)</f>
        <v>1</v>
      </c>
      <c r="AP355" s="16" t="str">
        <f>LEFT(questions[[#This Row],[question]],similarity_range)</f>
        <v>Approval / Rejection</v>
      </c>
      <c r="AQ355" s="16" t="str">
        <f>LEFT(INDEX(stable[question],MATCH(questions[[#This Row],[qno]],stable[qno],0)),similarity_range)</f>
        <v>Approval / Rejection</v>
      </c>
      <c r="AR355" s="16" t="b">
        <f>questions[[#This Row],[question_first_characters]]=questions[[#This Row],[stability_first_characters]]</f>
        <v>1</v>
      </c>
      <c r="AS355" s="16" t="b">
        <f>IF(OR(questions[[#This Row],[is_single_select]],questions[[#This Row],[is_multi_select]]),NOT(ISBLANK(questions[[#This Row],[answer_opt_combined]])),TRUE)</f>
        <v>1</v>
      </c>
    </row>
    <row r="356" spans="1:45" x14ac:dyDescent="0.25">
      <c r="A356" s="33" t="str">
        <f>_xlfn.TEXTJOIN("_",TRUE,questions[[#This Row],[origin]:[qno]])</f>
        <v>Vietnam_Robusta_Lam_Dong_Nestlé_IMPACT_1200</v>
      </c>
      <c r="B356" s="33" t="s">
        <v>673</v>
      </c>
      <c r="C356" s="33" t="s">
        <v>674</v>
      </c>
      <c r="D356" s="33" t="s">
        <v>675</v>
      </c>
      <c r="E356" s="33"/>
      <c r="F356" s="34" t="s">
        <v>81</v>
      </c>
      <c r="G356" s="18" t="s">
        <v>82</v>
      </c>
      <c r="H356" s="33" t="str" cm="1">
        <f t="array" ref="H356">INDEX(stableR[question],MATCH(VALUE(questions[[#This Row],[qno]]),VALUE(stableR[qno]),0))</f>
        <v>Farmer code</v>
      </c>
      <c r="I356" s="33" t="b" cm="1">
        <f t="array" ref="I356">INDEX(stable[is_fixed],MATCH(VALUE(questions[[#This Row],[qno]]),VALUE(stable[qno]),0))</f>
        <v>1</v>
      </c>
      <c r="J356" s="33" t="b" cm="1">
        <f t="array" ref="J356">INDEX(stable[is_localized],MATCH(VALUE(questions[[#This Row],[qno]]),VALUE(stable[qno]),0))</f>
        <v>0</v>
      </c>
      <c r="K356" s="33" t="b" cm="1">
        <f t="array" ref="K356">INDEX(stable[is_supply_chain_dependent],MATCH(VALUE(questions[[#This Row],[qno]]),VALUE(stable[qno]),0))</f>
        <v>0</v>
      </c>
      <c r="L356" s="33" t="b" cm="1">
        <f t="array" ref="L356">INDEX(stable[is_mandatory],MATCH(VALUE(questions[[#This Row],[qno]]),VALUE(stable[qno]),0))</f>
        <v>1</v>
      </c>
      <c r="M356" s="33" t="b" cm="1">
        <f t="array" ref="M356">INDEX(stable[is_automated],MATCH(VALUE(questions[[#This Row],[qno]]),VALUE(stable[qno]),0))</f>
        <v>1</v>
      </c>
      <c r="N356" s="33" t="b" cm="1">
        <f t="array" ref="N356">INDEX(stable[is_free_text],MATCH(VALUE(questions[[#This Row],[qno]]),VALUE(stable[qno]),0))</f>
        <v>0</v>
      </c>
      <c r="O356" s="33" t="b" cm="1">
        <f t="array" ref="O356">INDEX(stable[is_numerical],MATCH(VALUE(questions[[#This Row],[qno]]),VALUE(stable[qno]),0))</f>
        <v>0</v>
      </c>
      <c r="P356" s="35" t="b" cm="1">
        <f t="array" ref="P356">INDEX(stable[is_single_select],MATCH(VALUE(questions[[#This Row],[qno]]),VALUE(stable[qno]),0))</f>
        <v>0</v>
      </c>
      <c r="Q356" s="33" t="b" cm="1">
        <f t="array" ref="Q356">INDEX(stable[is_multi_select],MATCH(VALUE(questions[[#This Row],[qno]]),VALUE(stable[qno]),0))</f>
        <v>0</v>
      </c>
      <c r="R356" s="33" t="b" cm="1">
        <f t="array" ref="R356">INDEX(stable[is_skip_logic],MATCH(VALUE(questions[[#This Row],[qno]]),VALUE(stable[qno]),0))</f>
        <v>0</v>
      </c>
      <c r="S356" s="33" t="str">
        <f>_xlfn.TEXTJOIN(", ",TRUE,questions[[#This Row],[ans_opt_1]:[ans_opt_14]])</f>
        <v/>
      </c>
      <c r="T356" s="33"/>
      <c r="U356" s="33"/>
      <c r="V356" s="33"/>
      <c r="W356" s="33"/>
      <c r="X356" s="33"/>
      <c r="Y356" s="33"/>
      <c r="Z356" s="33"/>
      <c r="AA356" s="33"/>
      <c r="AB356" s="33"/>
      <c r="AC356" s="33"/>
      <c r="AD356" s="33"/>
      <c r="AE356" s="33"/>
      <c r="AF356" s="33"/>
      <c r="AG356" s="33"/>
      <c r="AH356" s="99" t="b">
        <f>INDEX(stable[q_standard],MATCH(questions[[#This Row],[qno]],stable[qno],0))</f>
        <v>1</v>
      </c>
      <c r="AI356" s="99" t="b">
        <f>INDEX(stable[q_living_income],MATCH(questions[[#This Row],[qno]],stable[qno],0))</f>
        <v>0</v>
      </c>
      <c r="AJ356" s="99" t="b">
        <f>INDEX(stable[q_carbon],MATCH(questions[[#This Row],[qno]],stable[qno],0))</f>
        <v>0</v>
      </c>
      <c r="AK356" s="99" t="b">
        <f>INDEX(stable[q_regen_ag],MATCH(questions[[#This Row],[qno]],stable[qno],0))</f>
        <v>0</v>
      </c>
      <c r="AL356" s="16" t="b">
        <f>COUNTIFS(stable[qno],questions[[#This Row],[qno]])=1</f>
        <v>1</v>
      </c>
      <c r="AM356" s="16" t="b">
        <f>OR(questions[[#This Row],[is_fixed]],questions[[#This Row],[is_localized]],questions[[#This Row],[is_supply_chain_dependent]])</f>
        <v>1</v>
      </c>
      <c r="AN356" s="16" t="b">
        <f>COUNTIFS(questions[[#This Row],[is_automated]:[is_multi_select]],TRUE)=1</f>
        <v>1</v>
      </c>
      <c r="AO356" s="16" t="b">
        <f>IF(questions[[#This Row],[is_fixed]],questions[[#This Row],[question]]=INDEX(stable[question],MATCH(questions[[#This Row],[qno]],stable[qno],0)),TRUE)</f>
        <v>1</v>
      </c>
      <c r="AP356" s="16" t="str">
        <f>LEFT(questions[[#This Row],[question]],similarity_range)</f>
        <v>Farmer code</v>
      </c>
      <c r="AQ356" s="16" t="str">
        <f>LEFT(INDEX(stable[question],MATCH(questions[[#This Row],[qno]],stable[qno],0)),similarity_range)</f>
        <v>Farmer code</v>
      </c>
      <c r="AR356" s="16" t="b">
        <f>questions[[#This Row],[question_first_characters]]=questions[[#This Row],[stability_first_characters]]</f>
        <v>1</v>
      </c>
      <c r="AS356" s="16" t="b">
        <f>IF(OR(questions[[#This Row],[is_single_select]],questions[[#This Row],[is_multi_select]]),NOT(ISBLANK(questions[[#This Row],[answer_opt_combined]])),TRUE)</f>
        <v>1</v>
      </c>
    </row>
    <row r="357" spans="1:45" x14ac:dyDescent="0.25">
      <c r="A357" s="33" t="str">
        <f>_xlfn.TEXTJOIN("_",TRUE,questions[[#This Row],[origin]:[qno]])</f>
        <v>Vietnam_Robusta_Lam_Dong_Nestlé_IMPACT_1201</v>
      </c>
      <c r="B357" s="33" t="s">
        <v>673</v>
      </c>
      <c r="C357" s="33" t="s">
        <v>674</v>
      </c>
      <c r="D357" s="33" t="s">
        <v>675</v>
      </c>
      <c r="E357" s="33"/>
      <c r="F357" s="34" t="s">
        <v>83</v>
      </c>
      <c r="G357" s="18" t="s">
        <v>84</v>
      </c>
      <c r="H357" s="33" t="str" cm="1">
        <f t="array" ref="H357">INDEX(stableR[question],MATCH(VALUE(questions[[#This Row],[qno]]),VALUE(stableR[qno]),0))</f>
        <v>Farmer name</v>
      </c>
      <c r="I357" s="33" t="b" cm="1">
        <f t="array" ref="I357">INDEX(stable[is_fixed],MATCH(VALUE(questions[[#This Row],[qno]]),VALUE(stable[qno]),0))</f>
        <v>1</v>
      </c>
      <c r="J357" s="33" t="b" cm="1">
        <f t="array" ref="J357">INDEX(stable[is_localized],MATCH(VALUE(questions[[#This Row],[qno]]),VALUE(stable[qno]),0))</f>
        <v>0</v>
      </c>
      <c r="K357" s="33" t="b" cm="1">
        <f t="array" ref="K357">INDEX(stable[is_supply_chain_dependent],MATCH(VALUE(questions[[#This Row],[qno]]),VALUE(stable[qno]),0))</f>
        <v>0</v>
      </c>
      <c r="L357" s="33" t="b" cm="1">
        <f t="array" ref="L357">INDEX(stable[is_mandatory],MATCH(VALUE(questions[[#This Row],[qno]]),VALUE(stable[qno]),0))</f>
        <v>1</v>
      </c>
      <c r="M357" s="33" t="b" cm="1">
        <f t="array" ref="M357">INDEX(stable[is_automated],MATCH(VALUE(questions[[#This Row],[qno]]),VALUE(stable[qno]),0))</f>
        <v>1</v>
      </c>
      <c r="N357" s="33" t="b" cm="1">
        <f t="array" ref="N357">INDEX(stable[is_free_text],MATCH(VALUE(questions[[#This Row],[qno]]),VALUE(stable[qno]),0))</f>
        <v>0</v>
      </c>
      <c r="O357" s="33" t="b" cm="1">
        <f t="array" ref="O357">INDEX(stable[is_numerical],MATCH(VALUE(questions[[#This Row],[qno]]),VALUE(stable[qno]),0))</f>
        <v>0</v>
      </c>
      <c r="P357" s="35" t="b" cm="1">
        <f t="array" ref="P357">INDEX(stable[is_single_select],MATCH(VALUE(questions[[#This Row],[qno]]),VALUE(stable[qno]),0))</f>
        <v>0</v>
      </c>
      <c r="Q357" s="33" t="b" cm="1">
        <f t="array" ref="Q357">INDEX(stable[is_multi_select],MATCH(VALUE(questions[[#This Row],[qno]]),VALUE(stable[qno]),0))</f>
        <v>0</v>
      </c>
      <c r="R357" s="33" t="b" cm="1">
        <f t="array" ref="R357">INDEX(stable[is_skip_logic],MATCH(VALUE(questions[[#This Row],[qno]]),VALUE(stable[qno]),0))</f>
        <v>0</v>
      </c>
      <c r="S357" s="33" t="str">
        <f>_xlfn.TEXTJOIN(", ",TRUE,questions[[#This Row],[ans_opt_1]:[ans_opt_14]])</f>
        <v/>
      </c>
      <c r="T357" s="33"/>
      <c r="U357" s="33"/>
      <c r="V357" s="33"/>
      <c r="W357" s="33"/>
      <c r="X357" s="33"/>
      <c r="Y357" s="33"/>
      <c r="Z357" s="33"/>
      <c r="AA357" s="33"/>
      <c r="AB357" s="33"/>
      <c r="AC357" s="33"/>
      <c r="AD357" s="33"/>
      <c r="AE357" s="33"/>
      <c r="AF357" s="33"/>
      <c r="AG357" s="33"/>
      <c r="AH357" s="99" t="b">
        <f>INDEX(stable[q_standard],MATCH(questions[[#This Row],[qno]],stable[qno],0))</f>
        <v>1</v>
      </c>
      <c r="AI357" s="99" t="b">
        <f>INDEX(stable[q_living_income],MATCH(questions[[#This Row],[qno]],stable[qno],0))</f>
        <v>0</v>
      </c>
      <c r="AJ357" s="99" t="b">
        <f>INDEX(stable[q_carbon],MATCH(questions[[#This Row],[qno]],stable[qno],0))</f>
        <v>0</v>
      </c>
      <c r="AK357" s="99" t="b">
        <f>INDEX(stable[q_regen_ag],MATCH(questions[[#This Row],[qno]],stable[qno],0))</f>
        <v>0</v>
      </c>
      <c r="AL357" s="16" t="b">
        <f>COUNTIFS(stable[qno],questions[[#This Row],[qno]])=1</f>
        <v>1</v>
      </c>
      <c r="AM357" s="16" t="b">
        <f>OR(questions[[#This Row],[is_fixed]],questions[[#This Row],[is_localized]],questions[[#This Row],[is_supply_chain_dependent]])</f>
        <v>1</v>
      </c>
      <c r="AN357" s="16" t="b">
        <f>COUNTIFS(questions[[#This Row],[is_automated]:[is_multi_select]],TRUE)=1</f>
        <v>1</v>
      </c>
      <c r="AO357" s="16" t="b">
        <f>IF(questions[[#This Row],[is_fixed]],questions[[#This Row],[question]]=INDEX(stable[question],MATCH(questions[[#This Row],[qno]],stable[qno],0)),TRUE)</f>
        <v>1</v>
      </c>
      <c r="AP357" s="16" t="str">
        <f>LEFT(questions[[#This Row],[question]],similarity_range)</f>
        <v>Farmer name</v>
      </c>
      <c r="AQ357" s="16" t="str">
        <f>LEFT(INDEX(stable[question],MATCH(questions[[#This Row],[qno]],stable[qno],0)),similarity_range)</f>
        <v>Farmer name</v>
      </c>
      <c r="AR357" s="16" t="b">
        <f>questions[[#This Row],[question_first_characters]]=questions[[#This Row],[stability_first_characters]]</f>
        <v>1</v>
      </c>
      <c r="AS357" s="16" t="b">
        <f>IF(OR(questions[[#This Row],[is_single_select]],questions[[#This Row],[is_multi_select]]),NOT(ISBLANK(questions[[#This Row],[answer_opt_combined]])),TRUE)</f>
        <v>1</v>
      </c>
    </row>
    <row r="358" spans="1:45" x14ac:dyDescent="0.25">
      <c r="A358" s="33" t="str">
        <f>_xlfn.TEXTJOIN("_",TRUE,questions[[#This Row],[origin]:[qno]])</f>
        <v>Vietnam_Robusta_Lam_Dong_Nestlé_IMPACT_1202</v>
      </c>
      <c r="B358" s="33" t="s">
        <v>673</v>
      </c>
      <c r="C358" s="33" t="s">
        <v>674</v>
      </c>
      <c r="D358" s="33" t="s">
        <v>675</v>
      </c>
      <c r="E358" s="33"/>
      <c r="F358" s="34" t="s">
        <v>85</v>
      </c>
      <c r="G358" s="18" t="s">
        <v>86</v>
      </c>
      <c r="H358" s="33" t="str" cm="1">
        <f t="array" ref="H358">INDEX(stableR[question],MATCH(VALUE(questions[[#This Row],[qno]]),VALUE(stableR[qno]),0))</f>
        <v>Farmer tags</v>
      </c>
      <c r="I358" s="33" t="b" cm="1">
        <f t="array" ref="I358">INDEX(stable[is_fixed],MATCH(VALUE(questions[[#This Row],[qno]]),VALUE(stable[qno]),0))</f>
        <v>1</v>
      </c>
      <c r="J358" s="33" t="b" cm="1">
        <f t="array" ref="J358">INDEX(stable[is_localized],MATCH(VALUE(questions[[#This Row],[qno]]),VALUE(stable[qno]),0))</f>
        <v>0</v>
      </c>
      <c r="K358" s="33" t="b" cm="1">
        <f t="array" ref="K358">INDEX(stable[is_supply_chain_dependent],MATCH(VALUE(questions[[#This Row],[qno]]),VALUE(stable[qno]),0))</f>
        <v>0</v>
      </c>
      <c r="L358" s="33" t="b" cm="1">
        <f t="array" ref="L358">INDEX(stable[is_mandatory],MATCH(VALUE(questions[[#This Row],[qno]]),VALUE(stable[qno]),0))</f>
        <v>1</v>
      </c>
      <c r="M358" s="33" t="b" cm="1">
        <f t="array" ref="M358">INDEX(stable[is_automated],MATCH(VALUE(questions[[#This Row],[qno]]),VALUE(stable[qno]),0))</f>
        <v>1</v>
      </c>
      <c r="N358" s="33" t="b" cm="1">
        <f t="array" ref="N358">INDEX(stable[is_free_text],MATCH(VALUE(questions[[#This Row],[qno]]),VALUE(stable[qno]),0))</f>
        <v>0</v>
      </c>
      <c r="O358" s="33" t="b" cm="1">
        <f t="array" ref="O358">INDEX(stable[is_numerical],MATCH(VALUE(questions[[#This Row],[qno]]),VALUE(stable[qno]),0))</f>
        <v>0</v>
      </c>
      <c r="P358" s="35" t="b" cm="1">
        <f t="array" ref="P358">INDEX(stable[is_single_select],MATCH(VALUE(questions[[#This Row],[qno]]),VALUE(stable[qno]),0))</f>
        <v>0</v>
      </c>
      <c r="Q358" s="33" t="b" cm="1">
        <f t="array" ref="Q358">INDEX(stable[is_multi_select],MATCH(VALUE(questions[[#This Row],[qno]]),VALUE(stable[qno]),0))</f>
        <v>0</v>
      </c>
      <c r="R358" s="33" t="b" cm="1">
        <f t="array" ref="R358">INDEX(stable[is_skip_logic],MATCH(VALUE(questions[[#This Row],[qno]]),VALUE(stable[qno]),0))</f>
        <v>0</v>
      </c>
      <c r="S358" s="33" t="str">
        <f>_xlfn.TEXTJOIN(", ",TRUE,questions[[#This Row],[ans_opt_1]:[ans_opt_14]])</f>
        <v/>
      </c>
      <c r="T358" s="33"/>
      <c r="U358" s="33"/>
      <c r="V358" s="33"/>
      <c r="W358" s="33"/>
      <c r="X358" s="33"/>
      <c r="Y358" s="33"/>
      <c r="Z358" s="33"/>
      <c r="AA358" s="33"/>
      <c r="AB358" s="33"/>
      <c r="AC358" s="33"/>
      <c r="AD358" s="33"/>
      <c r="AE358" s="33"/>
      <c r="AF358" s="33"/>
      <c r="AG358" s="33"/>
      <c r="AH358" s="99" t="b">
        <f>INDEX(stable[q_standard],MATCH(questions[[#This Row],[qno]],stable[qno],0))</f>
        <v>1</v>
      </c>
      <c r="AI358" s="99" t="b">
        <f>INDEX(stable[q_living_income],MATCH(questions[[#This Row],[qno]],stable[qno],0))</f>
        <v>0</v>
      </c>
      <c r="AJ358" s="99" t="b">
        <f>INDEX(stable[q_carbon],MATCH(questions[[#This Row],[qno]],stable[qno],0))</f>
        <v>0</v>
      </c>
      <c r="AK358" s="99" t="b">
        <f>INDEX(stable[q_regen_ag],MATCH(questions[[#This Row],[qno]],stable[qno],0))</f>
        <v>0</v>
      </c>
      <c r="AL358" s="16" t="b">
        <f>COUNTIFS(stable[qno],questions[[#This Row],[qno]])=1</f>
        <v>1</v>
      </c>
      <c r="AM358" s="16" t="b">
        <f>OR(questions[[#This Row],[is_fixed]],questions[[#This Row],[is_localized]],questions[[#This Row],[is_supply_chain_dependent]])</f>
        <v>1</v>
      </c>
      <c r="AN358" s="16" t="b">
        <f>COUNTIFS(questions[[#This Row],[is_automated]:[is_multi_select]],TRUE)=1</f>
        <v>1</v>
      </c>
      <c r="AO358" s="16" t="b">
        <f>IF(questions[[#This Row],[is_fixed]],questions[[#This Row],[question]]=INDEX(stable[question],MATCH(questions[[#This Row],[qno]],stable[qno],0)),TRUE)</f>
        <v>1</v>
      </c>
      <c r="AP358" s="16" t="str">
        <f>LEFT(questions[[#This Row],[question]],similarity_range)</f>
        <v>Farmer tags</v>
      </c>
      <c r="AQ358" s="16" t="str">
        <f>LEFT(INDEX(stable[question],MATCH(questions[[#This Row],[qno]],stable[qno],0)),similarity_range)</f>
        <v>Farmer tags</v>
      </c>
      <c r="AR358" s="16" t="b">
        <f>questions[[#This Row],[question_first_characters]]=questions[[#This Row],[stability_first_characters]]</f>
        <v>1</v>
      </c>
      <c r="AS358" s="16" t="b">
        <f>IF(OR(questions[[#This Row],[is_single_select]],questions[[#This Row],[is_multi_select]]),NOT(ISBLANK(questions[[#This Row],[answer_opt_combined]])),TRUE)</f>
        <v>1</v>
      </c>
    </row>
    <row r="359" spans="1:45" x14ac:dyDescent="0.25">
      <c r="A359" s="33" t="str">
        <f>_xlfn.TEXTJOIN("_",TRUE,questions[[#This Row],[origin]:[qno]])</f>
        <v>Vietnam_Robusta_Lam_Dong_Nestlé_IMPACT_1203</v>
      </c>
      <c r="B359" s="33" t="s">
        <v>673</v>
      </c>
      <c r="C359" s="33" t="s">
        <v>674</v>
      </c>
      <c r="D359" s="33" t="s">
        <v>675</v>
      </c>
      <c r="E359" s="33"/>
      <c r="F359" s="34" t="s">
        <v>87</v>
      </c>
      <c r="G359" s="18" t="s">
        <v>88</v>
      </c>
      <c r="H359" s="33" t="str" cm="1">
        <f t="array" ref="H359">INDEX(stableR[question],MATCH(VALUE(questions[[#This Row],[qno]]),VALUE(stableR[qno]),0))</f>
        <v>Address</v>
      </c>
      <c r="I359" s="33" t="b" cm="1">
        <f t="array" ref="I359">INDEX(stable[is_fixed],MATCH(VALUE(questions[[#This Row],[qno]]),VALUE(stable[qno]),0))</f>
        <v>1</v>
      </c>
      <c r="J359" s="33" t="b" cm="1">
        <f t="array" ref="J359">INDEX(stable[is_localized],MATCH(VALUE(questions[[#This Row],[qno]]),VALUE(stable[qno]),0))</f>
        <v>0</v>
      </c>
      <c r="K359" s="33" t="b" cm="1">
        <f t="array" ref="K359">INDEX(stable[is_supply_chain_dependent],MATCH(VALUE(questions[[#This Row],[qno]]),VALUE(stable[qno]),0))</f>
        <v>0</v>
      </c>
      <c r="L359" s="33" t="b" cm="1">
        <f t="array" ref="L359">INDEX(stable[is_mandatory],MATCH(VALUE(questions[[#This Row],[qno]]),VALUE(stable[qno]),0))</f>
        <v>1</v>
      </c>
      <c r="M359" s="33" t="b" cm="1">
        <f t="array" ref="M359">INDEX(stable[is_automated],MATCH(VALUE(questions[[#This Row],[qno]]),VALUE(stable[qno]),0))</f>
        <v>1</v>
      </c>
      <c r="N359" s="33" t="b" cm="1">
        <f t="array" ref="N359">INDEX(stable[is_free_text],MATCH(VALUE(questions[[#This Row],[qno]]),VALUE(stable[qno]),0))</f>
        <v>0</v>
      </c>
      <c r="O359" s="33" t="b" cm="1">
        <f t="array" ref="O359">INDEX(stable[is_numerical],MATCH(VALUE(questions[[#This Row],[qno]]),VALUE(stable[qno]),0))</f>
        <v>0</v>
      </c>
      <c r="P359" s="35" t="b" cm="1">
        <f t="array" ref="P359">INDEX(stable[is_single_select],MATCH(VALUE(questions[[#This Row],[qno]]),VALUE(stable[qno]),0))</f>
        <v>0</v>
      </c>
      <c r="Q359" s="33" t="b" cm="1">
        <f t="array" ref="Q359">INDEX(stable[is_multi_select],MATCH(VALUE(questions[[#This Row],[qno]]),VALUE(stable[qno]),0))</f>
        <v>0</v>
      </c>
      <c r="R359" s="33" t="b" cm="1">
        <f t="array" ref="R359">INDEX(stable[is_skip_logic],MATCH(VALUE(questions[[#This Row],[qno]]),VALUE(stable[qno]),0))</f>
        <v>0</v>
      </c>
      <c r="S359" s="33" t="str">
        <f>_xlfn.TEXTJOIN(", ",TRUE,questions[[#This Row],[ans_opt_1]:[ans_opt_14]])</f>
        <v/>
      </c>
      <c r="T359" s="33"/>
      <c r="U359" s="33"/>
      <c r="V359" s="33"/>
      <c r="W359" s="33"/>
      <c r="X359" s="33"/>
      <c r="Y359" s="33"/>
      <c r="Z359" s="33"/>
      <c r="AA359" s="33"/>
      <c r="AB359" s="33"/>
      <c r="AC359" s="33"/>
      <c r="AD359" s="33"/>
      <c r="AE359" s="33"/>
      <c r="AF359" s="33"/>
      <c r="AG359" s="33"/>
      <c r="AH359" s="99" t="b">
        <f>INDEX(stable[q_standard],MATCH(questions[[#This Row],[qno]],stable[qno],0))</f>
        <v>1</v>
      </c>
      <c r="AI359" s="99" t="b">
        <f>INDEX(stable[q_living_income],MATCH(questions[[#This Row],[qno]],stable[qno],0))</f>
        <v>0</v>
      </c>
      <c r="AJ359" s="99" t="b">
        <f>INDEX(stable[q_carbon],MATCH(questions[[#This Row],[qno]],stable[qno],0))</f>
        <v>0</v>
      </c>
      <c r="AK359" s="99" t="b">
        <f>INDEX(stable[q_regen_ag],MATCH(questions[[#This Row],[qno]],stable[qno],0))</f>
        <v>0</v>
      </c>
      <c r="AL359" s="16" t="b">
        <f>COUNTIFS(stable[qno],questions[[#This Row],[qno]])=1</f>
        <v>1</v>
      </c>
      <c r="AM359" s="16" t="b">
        <f>OR(questions[[#This Row],[is_fixed]],questions[[#This Row],[is_localized]],questions[[#This Row],[is_supply_chain_dependent]])</f>
        <v>1</v>
      </c>
      <c r="AN359" s="16" t="b">
        <f>COUNTIFS(questions[[#This Row],[is_automated]:[is_multi_select]],TRUE)=1</f>
        <v>1</v>
      </c>
      <c r="AO359" s="16" t="b">
        <f>IF(questions[[#This Row],[is_fixed]],questions[[#This Row],[question]]=INDEX(stable[question],MATCH(questions[[#This Row],[qno]],stable[qno],0)),TRUE)</f>
        <v>1</v>
      </c>
      <c r="AP359" s="16" t="str">
        <f>LEFT(questions[[#This Row],[question]],similarity_range)</f>
        <v>Address</v>
      </c>
      <c r="AQ359" s="16" t="str">
        <f>LEFT(INDEX(stable[question],MATCH(questions[[#This Row],[qno]],stable[qno],0)),similarity_range)</f>
        <v>Address</v>
      </c>
      <c r="AR359" s="16" t="b">
        <f>questions[[#This Row],[question_first_characters]]=questions[[#This Row],[stability_first_characters]]</f>
        <v>1</v>
      </c>
      <c r="AS359" s="16" t="b">
        <f>IF(OR(questions[[#This Row],[is_single_select]],questions[[#This Row],[is_multi_select]]),NOT(ISBLANK(questions[[#This Row],[answer_opt_combined]])),TRUE)</f>
        <v>1</v>
      </c>
    </row>
    <row r="360" spans="1:45" x14ac:dyDescent="0.25">
      <c r="A360" s="33" t="str">
        <f>_xlfn.TEXTJOIN("_",TRUE,questions[[#This Row],[origin]:[qno]])</f>
        <v>Vietnam_Robusta_Lam_Dong_Nestlé_IMPACT_1210</v>
      </c>
      <c r="B360" s="33" t="s">
        <v>673</v>
      </c>
      <c r="C360" s="33" t="s">
        <v>674</v>
      </c>
      <c r="D360" s="33" t="s">
        <v>675</v>
      </c>
      <c r="E360" s="33"/>
      <c r="F360" s="34" t="s">
        <v>89</v>
      </c>
      <c r="G360" s="18" t="s">
        <v>90</v>
      </c>
      <c r="H360" s="33" t="str" cm="1">
        <f t="array" ref="H360">INDEX(stableR[question],MATCH(VALUE(questions[[#This Row],[qno]]),VALUE(stableR[qno]),0))</f>
        <v>Plot name</v>
      </c>
      <c r="I360" s="33" t="b" cm="1">
        <f t="array" ref="I360">INDEX(stable[is_fixed],MATCH(VALUE(questions[[#This Row],[qno]]),VALUE(stable[qno]),0))</f>
        <v>1</v>
      </c>
      <c r="J360" s="33" t="b" cm="1">
        <f t="array" ref="J360">INDEX(stable[is_localized],MATCH(VALUE(questions[[#This Row],[qno]]),VALUE(stable[qno]),0))</f>
        <v>0</v>
      </c>
      <c r="K360" s="33" t="b" cm="1">
        <f t="array" ref="K360">INDEX(stable[is_supply_chain_dependent],MATCH(VALUE(questions[[#This Row],[qno]]),VALUE(stable[qno]),0))</f>
        <v>0</v>
      </c>
      <c r="L360" s="33" t="b" cm="1">
        <f t="array" ref="L360">INDEX(stable[is_mandatory],MATCH(VALUE(questions[[#This Row],[qno]]),VALUE(stable[qno]),0))</f>
        <v>1</v>
      </c>
      <c r="M360" s="33" t="b" cm="1">
        <f t="array" ref="M360">INDEX(stable[is_automated],MATCH(VALUE(questions[[#This Row],[qno]]),VALUE(stable[qno]),0))</f>
        <v>1</v>
      </c>
      <c r="N360" s="33" t="b" cm="1">
        <f t="array" ref="N360">INDEX(stable[is_free_text],MATCH(VALUE(questions[[#This Row],[qno]]),VALUE(stable[qno]),0))</f>
        <v>0</v>
      </c>
      <c r="O360" s="33" t="b" cm="1">
        <f t="array" ref="O360">INDEX(stable[is_numerical],MATCH(VALUE(questions[[#This Row],[qno]]),VALUE(stable[qno]),0))</f>
        <v>0</v>
      </c>
      <c r="P360" s="35" t="b" cm="1">
        <f t="array" ref="P360">INDEX(stable[is_single_select],MATCH(VALUE(questions[[#This Row],[qno]]),VALUE(stable[qno]),0))</f>
        <v>0</v>
      </c>
      <c r="Q360" s="33" t="b" cm="1">
        <f t="array" ref="Q360">INDEX(stable[is_multi_select],MATCH(VALUE(questions[[#This Row],[qno]]),VALUE(stable[qno]),0))</f>
        <v>0</v>
      </c>
      <c r="R360" s="33" t="b" cm="1">
        <f t="array" ref="R360">INDEX(stable[is_skip_logic],MATCH(VALUE(questions[[#This Row],[qno]]),VALUE(stable[qno]),0))</f>
        <v>0</v>
      </c>
      <c r="S360" s="33" t="str">
        <f>_xlfn.TEXTJOIN(", ",TRUE,questions[[#This Row],[ans_opt_1]:[ans_opt_14]])</f>
        <v/>
      </c>
      <c r="T360" s="33"/>
      <c r="U360" s="33"/>
      <c r="V360" s="33"/>
      <c r="W360" s="33"/>
      <c r="X360" s="33"/>
      <c r="Y360" s="33"/>
      <c r="Z360" s="33"/>
      <c r="AA360" s="33"/>
      <c r="AB360" s="33"/>
      <c r="AC360" s="33"/>
      <c r="AD360" s="33"/>
      <c r="AE360" s="33"/>
      <c r="AF360" s="33"/>
      <c r="AG360" s="33"/>
      <c r="AH360" s="99" t="b">
        <f>INDEX(stable[q_standard],MATCH(questions[[#This Row],[qno]],stable[qno],0))</f>
        <v>1</v>
      </c>
      <c r="AI360" s="99" t="b">
        <f>INDEX(stable[q_living_income],MATCH(questions[[#This Row],[qno]],stable[qno],0))</f>
        <v>0</v>
      </c>
      <c r="AJ360" s="99" t="b">
        <f>INDEX(stable[q_carbon],MATCH(questions[[#This Row],[qno]],stable[qno],0))</f>
        <v>0</v>
      </c>
      <c r="AK360" s="99" t="b">
        <f>INDEX(stable[q_regen_ag],MATCH(questions[[#This Row],[qno]],stable[qno],0))</f>
        <v>0</v>
      </c>
      <c r="AL360" s="16" t="b">
        <f>COUNTIFS(stable[qno],questions[[#This Row],[qno]])=1</f>
        <v>1</v>
      </c>
      <c r="AM360" s="16" t="b">
        <f>OR(questions[[#This Row],[is_fixed]],questions[[#This Row],[is_localized]],questions[[#This Row],[is_supply_chain_dependent]])</f>
        <v>1</v>
      </c>
      <c r="AN360" s="16" t="b">
        <f>COUNTIFS(questions[[#This Row],[is_automated]:[is_multi_select]],TRUE)=1</f>
        <v>1</v>
      </c>
      <c r="AO360" s="16" t="b">
        <f>IF(questions[[#This Row],[is_fixed]],questions[[#This Row],[question]]=INDEX(stable[question],MATCH(questions[[#This Row],[qno]],stable[qno],0)),TRUE)</f>
        <v>1</v>
      </c>
      <c r="AP360" s="16" t="str">
        <f>LEFT(questions[[#This Row],[question]],similarity_range)</f>
        <v>Plot name</v>
      </c>
      <c r="AQ360" s="16" t="str">
        <f>LEFT(INDEX(stable[question],MATCH(questions[[#This Row],[qno]],stable[qno],0)),similarity_range)</f>
        <v>Plot name</v>
      </c>
      <c r="AR360" s="16" t="b">
        <f>questions[[#This Row],[question_first_characters]]=questions[[#This Row],[stability_first_characters]]</f>
        <v>1</v>
      </c>
      <c r="AS360" s="16" t="b">
        <f>IF(OR(questions[[#This Row],[is_single_select]],questions[[#This Row],[is_multi_select]]),NOT(ISBLANK(questions[[#This Row],[answer_opt_combined]])),TRUE)</f>
        <v>1</v>
      </c>
    </row>
    <row r="361" spans="1:45" x14ac:dyDescent="0.25">
      <c r="A361" s="33" t="str">
        <f>_xlfn.TEXTJOIN("_",TRUE,questions[[#This Row],[origin]:[qno]])</f>
        <v>Vietnam_Robusta_Lam_Dong_Nestlé_IMPACT_1211</v>
      </c>
      <c r="B361" s="33" t="s">
        <v>673</v>
      </c>
      <c r="C361" s="33" t="s">
        <v>674</v>
      </c>
      <c r="D361" s="33" t="s">
        <v>675</v>
      </c>
      <c r="E361" s="33"/>
      <c r="F361" s="34" t="s">
        <v>91</v>
      </c>
      <c r="G361" s="18" t="s">
        <v>92</v>
      </c>
      <c r="H361" s="33" t="str" cm="1">
        <f t="array" ref="H361">INDEX(stableR[question],MATCH(VALUE(questions[[#This Row],[qno]]),VALUE(stableR[qno]),0))</f>
        <v>Plot tags</v>
      </c>
      <c r="I361" s="33" t="b" cm="1">
        <f t="array" ref="I361">INDEX(stable[is_fixed],MATCH(VALUE(questions[[#This Row],[qno]]),VALUE(stable[qno]),0))</f>
        <v>1</v>
      </c>
      <c r="J361" s="33" t="b" cm="1">
        <f t="array" ref="J361">INDEX(stable[is_localized],MATCH(VALUE(questions[[#This Row],[qno]]),VALUE(stable[qno]),0))</f>
        <v>0</v>
      </c>
      <c r="K361" s="33" t="b" cm="1">
        <f t="array" ref="K361">INDEX(stable[is_supply_chain_dependent],MATCH(VALUE(questions[[#This Row],[qno]]),VALUE(stable[qno]),0))</f>
        <v>0</v>
      </c>
      <c r="L361" s="33" t="b" cm="1">
        <f t="array" ref="L361">INDEX(stable[is_mandatory],MATCH(VALUE(questions[[#This Row],[qno]]),VALUE(stable[qno]),0))</f>
        <v>1</v>
      </c>
      <c r="M361" s="33" t="b" cm="1">
        <f t="array" ref="M361">INDEX(stable[is_automated],MATCH(VALUE(questions[[#This Row],[qno]]),VALUE(stable[qno]),0))</f>
        <v>1</v>
      </c>
      <c r="N361" s="33" t="b" cm="1">
        <f t="array" ref="N361">INDEX(stable[is_free_text],MATCH(VALUE(questions[[#This Row],[qno]]),VALUE(stable[qno]),0))</f>
        <v>0</v>
      </c>
      <c r="O361" s="33" t="b" cm="1">
        <f t="array" ref="O361">INDEX(stable[is_numerical],MATCH(VALUE(questions[[#This Row],[qno]]),VALUE(stable[qno]),0))</f>
        <v>0</v>
      </c>
      <c r="P361" s="35" t="b" cm="1">
        <f t="array" ref="P361">INDEX(stable[is_single_select],MATCH(VALUE(questions[[#This Row],[qno]]),VALUE(stable[qno]),0))</f>
        <v>0</v>
      </c>
      <c r="Q361" s="33" t="b" cm="1">
        <f t="array" ref="Q361">INDEX(stable[is_multi_select],MATCH(VALUE(questions[[#This Row],[qno]]),VALUE(stable[qno]),0))</f>
        <v>0</v>
      </c>
      <c r="R361" s="33" t="b" cm="1">
        <f t="array" ref="R361">INDEX(stable[is_skip_logic],MATCH(VALUE(questions[[#This Row],[qno]]),VALUE(stable[qno]),0))</f>
        <v>0</v>
      </c>
      <c r="S361" s="33" t="str">
        <f>_xlfn.TEXTJOIN(", ",TRUE,questions[[#This Row],[ans_opt_1]:[ans_opt_14]])</f>
        <v/>
      </c>
      <c r="T361" s="33"/>
      <c r="U361" s="33"/>
      <c r="V361" s="33"/>
      <c r="W361" s="33"/>
      <c r="X361" s="33"/>
      <c r="Y361" s="33"/>
      <c r="Z361" s="33"/>
      <c r="AA361" s="33"/>
      <c r="AB361" s="33"/>
      <c r="AC361" s="33"/>
      <c r="AD361" s="33"/>
      <c r="AE361" s="33"/>
      <c r="AF361" s="33"/>
      <c r="AG361" s="33"/>
      <c r="AH361" s="99" t="b">
        <f>INDEX(stable[q_standard],MATCH(questions[[#This Row],[qno]],stable[qno],0))</f>
        <v>1</v>
      </c>
      <c r="AI361" s="99" t="b">
        <f>INDEX(stable[q_living_income],MATCH(questions[[#This Row],[qno]],stable[qno],0))</f>
        <v>0</v>
      </c>
      <c r="AJ361" s="99" t="b">
        <f>INDEX(stable[q_carbon],MATCH(questions[[#This Row],[qno]],stable[qno],0))</f>
        <v>0</v>
      </c>
      <c r="AK361" s="99" t="b">
        <f>INDEX(stable[q_regen_ag],MATCH(questions[[#This Row],[qno]],stable[qno],0))</f>
        <v>0</v>
      </c>
      <c r="AL361" s="16" t="b">
        <f>COUNTIFS(stable[qno],questions[[#This Row],[qno]])=1</f>
        <v>1</v>
      </c>
      <c r="AM361" s="16" t="b">
        <f>OR(questions[[#This Row],[is_fixed]],questions[[#This Row],[is_localized]],questions[[#This Row],[is_supply_chain_dependent]])</f>
        <v>1</v>
      </c>
      <c r="AN361" s="16" t="b">
        <f>COUNTIFS(questions[[#This Row],[is_automated]:[is_multi_select]],TRUE)=1</f>
        <v>1</v>
      </c>
      <c r="AO361" s="16" t="b">
        <f>IF(questions[[#This Row],[is_fixed]],questions[[#This Row],[question]]=INDEX(stable[question],MATCH(questions[[#This Row],[qno]],stable[qno],0)),TRUE)</f>
        <v>1</v>
      </c>
      <c r="AP361" s="16" t="str">
        <f>LEFT(questions[[#This Row],[question]],similarity_range)</f>
        <v>Plot tags</v>
      </c>
      <c r="AQ361" s="16" t="str">
        <f>LEFT(INDEX(stable[question],MATCH(questions[[#This Row],[qno]],stable[qno],0)),similarity_range)</f>
        <v>Plot tags</v>
      </c>
      <c r="AR361" s="16" t="b">
        <f>questions[[#This Row],[question_first_characters]]=questions[[#This Row],[stability_first_characters]]</f>
        <v>1</v>
      </c>
      <c r="AS361" s="16" t="b">
        <f>IF(OR(questions[[#This Row],[is_single_select]],questions[[#This Row],[is_multi_select]]),NOT(ISBLANK(questions[[#This Row],[answer_opt_combined]])),TRUE)</f>
        <v>1</v>
      </c>
    </row>
    <row r="362" spans="1:45" x14ac:dyDescent="0.25">
      <c r="A362" s="33" t="str">
        <f>_xlfn.TEXTJOIN("_",TRUE,questions[[#This Row],[origin]:[qno]])</f>
        <v>Vietnam_Robusta_Lam_Dong_Nestlé_IMPACT_1212</v>
      </c>
      <c r="B362" s="33" t="s">
        <v>673</v>
      </c>
      <c r="C362" s="33" t="s">
        <v>674</v>
      </c>
      <c r="D362" s="33" t="s">
        <v>675</v>
      </c>
      <c r="E362" s="33"/>
      <c r="F362" s="34" t="s">
        <v>93</v>
      </c>
      <c r="G362" s="18" t="s">
        <v>94</v>
      </c>
      <c r="H362" s="33" t="str" cm="1">
        <f t="array" ref="H362">INDEX(stableR[question],MATCH(VALUE(questions[[#This Row],[qno]]),VALUE(stableR[qno]),0))</f>
        <v>Declared area (acre)</v>
      </c>
      <c r="I362" s="33" t="b" cm="1">
        <f t="array" ref="I362">INDEX(stable[is_fixed],MATCH(VALUE(questions[[#This Row],[qno]]),VALUE(stable[qno]),0))</f>
        <v>1</v>
      </c>
      <c r="J362" s="33" t="b" cm="1">
        <f t="array" ref="J362">INDEX(stable[is_localized],MATCH(VALUE(questions[[#This Row],[qno]]),VALUE(stable[qno]),0))</f>
        <v>0</v>
      </c>
      <c r="K362" s="33" t="b" cm="1">
        <f t="array" ref="K362">INDEX(stable[is_supply_chain_dependent],MATCH(VALUE(questions[[#This Row],[qno]]),VALUE(stable[qno]),0))</f>
        <v>0</v>
      </c>
      <c r="L362" s="33" t="b" cm="1">
        <f t="array" ref="L362">INDEX(stable[is_mandatory],MATCH(VALUE(questions[[#This Row],[qno]]),VALUE(stable[qno]),0))</f>
        <v>1</v>
      </c>
      <c r="M362" s="33" t="b" cm="1">
        <f t="array" ref="M362">INDEX(stable[is_automated],MATCH(VALUE(questions[[#This Row],[qno]]),VALUE(stable[qno]),0))</f>
        <v>1</v>
      </c>
      <c r="N362" s="33" t="b" cm="1">
        <f t="array" ref="N362">INDEX(stable[is_free_text],MATCH(VALUE(questions[[#This Row],[qno]]),VALUE(stable[qno]),0))</f>
        <v>0</v>
      </c>
      <c r="O362" s="33" t="b" cm="1">
        <f t="array" ref="O362">INDEX(stable[is_numerical],MATCH(VALUE(questions[[#This Row],[qno]]),VALUE(stable[qno]),0))</f>
        <v>1</v>
      </c>
      <c r="P362" s="35" t="b" cm="1">
        <f t="array" ref="P362">INDEX(stable[is_single_select],MATCH(VALUE(questions[[#This Row],[qno]]),VALUE(stable[qno]),0))</f>
        <v>0</v>
      </c>
      <c r="Q362" s="33" t="b" cm="1">
        <f t="array" ref="Q362">INDEX(stable[is_multi_select],MATCH(VALUE(questions[[#This Row],[qno]]),VALUE(stable[qno]),0))</f>
        <v>0</v>
      </c>
      <c r="R362" s="33" t="b" cm="1">
        <f t="array" ref="R362">INDEX(stable[is_skip_logic],MATCH(VALUE(questions[[#This Row],[qno]]),VALUE(stable[qno]),0))</f>
        <v>0</v>
      </c>
      <c r="S362" s="33" t="str">
        <f>_xlfn.TEXTJOIN(", ",TRUE,questions[[#This Row],[ans_opt_1]:[ans_opt_14]])</f>
        <v/>
      </c>
      <c r="T362" s="33"/>
      <c r="U362" s="33"/>
      <c r="V362" s="33"/>
      <c r="W362" s="33"/>
      <c r="X362" s="33"/>
      <c r="Y362" s="33"/>
      <c r="Z362" s="33"/>
      <c r="AA362" s="33"/>
      <c r="AB362" s="33"/>
      <c r="AC362" s="33"/>
      <c r="AD362" s="33"/>
      <c r="AE362" s="33"/>
      <c r="AF362" s="33"/>
      <c r="AG362" s="33"/>
      <c r="AH362" s="99" t="b">
        <f>INDEX(stable[q_standard],MATCH(questions[[#This Row],[qno]],stable[qno],0))</f>
        <v>1</v>
      </c>
      <c r="AI362" s="99" t="b">
        <f>INDEX(stable[q_living_income],MATCH(questions[[#This Row],[qno]],stable[qno],0))</f>
        <v>0</v>
      </c>
      <c r="AJ362" s="99" t="b">
        <f>INDEX(stable[q_carbon],MATCH(questions[[#This Row],[qno]],stable[qno],0))</f>
        <v>0</v>
      </c>
      <c r="AK362" s="99" t="b">
        <f>INDEX(stable[q_regen_ag],MATCH(questions[[#This Row],[qno]],stable[qno],0))</f>
        <v>0</v>
      </c>
      <c r="AL362" s="16" t="b">
        <f>COUNTIFS(stable[qno],questions[[#This Row],[qno]])=1</f>
        <v>1</v>
      </c>
      <c r="AM362" s="16" t="b">
        <f>OR(questions[[#This Row],[is_fixed]],questions[[#This Row],[is_localized]],questions[[#This Row],[is_supply_chain_dependent]])</f>
        <v>1</v>
      </c>
      <c r="AN362" s="16" t="b">
        <f>COUNTIFS(questions[[#This Row],[is_automated]:[is_multi_select]],TRUE)=1</f>
        <v>0</v>
      </c>
      <c r="AO362" s="16" t="b">
        <f>IF(questions[[#This Row],[is_fixed]],questions[[#This Row],[question]]=INDEX(stable[question],MATCH(questions[[#This Row],[qno]],stable[qno],0)),TRUE)</f>
        <v>1</v>
      </c>
      <c r="AP362" s="16" t="str">
        <f>LEFT(questions[[#This Row],[question]],similarity_range)</f>
        <v>Declared area (acre)</v>
      </c>
      <c r="AQ362" s="16" t="str">
        <f>LEFT(INDEX(stable[question],MATCH(questions[[#This Row],[qno]],stable[qno],0)),similarity_range)</f>
        <v>Declared area (acre)</v>
      </c>
      <c r="AR362" s="16" t="b">
        <f>questions[[#This Row],[question_first_characters]]=questions[[#This Row],[stability_first_characters]]</f>
        <v>1</v>
      </c>
      <c r="AS362" s="16" t="b">
        <f>IF(OR(questions[[#This Row],[is_single_select]],questions[[#This Row],[is_multi_select]]),NOT(ISBLANK(questions[[#This Row],[answer_opt_combined]])),TRUE)</f>
        <v>1</v>
      </c>
    </row>
    <row r="363" spans="1:45" x14ac:dyDescent="0.25">
      <c r="A363" s="33" t="str">
        <f>_xlfn.TEXTJOIN("_",TRUE,questions[[#This Row],[origin]:[qno]])</f>
        <v>Vietnam_Robusta_Lam_Dong_Nestlé_IMPACT_1213</v>
      </c>
      <c r="B363" s="33" t="s">
        <v>673</v>
      </c>
      <c r="C363" s="33" t="s">
        <v>674</v>
      </c>
      <c r="D363" s="33" t="s">
        <v>675</v>
      </c>
      <c r="E363" s="33"/>
      <c r="F363" s="34" t="s">
        <v>95</v>
      </c>
      <c r="G363" s="18" t="s">
        <v>96</v>
      </c>
      <c r="H363" s="33" t="str" cm="1">
        <f t="array" ref="H363">INDEX(stableR[question],MATCH(VALUE(questions[[#This Row],[qno]]),VALUE(stableR[qno]),0))</f>
        <v>Audited area (acre)</v>
      </c>
      <c r="I363" s="33" t="b" cm="1">
        <f t="array" ref="I363">INDEX(stable[is_fixed],MATCH(VALUE(questions[[#This Row],[qno]]),VALUE(stable[qno]),0))</f>
        <v>1</v>
      </c>
      <c r="J363" s="33" t="b" cm="1">
        <f t="array" ref="J363">INDEX(stable[is_localized],MATCH(VALUE(questions[[#This Row],[qno]]),VALUE(stable[qno]),0))</f>
        <v>0</v>
      </c>
      <c r="K363" s="33" t="b" cm="1">
        <f t="array" ref="K363">INDEX(stable[is_supply_chain_dependent],MATCH(VALUE(questions[[#This Row],[qno]]),VALUE(stable[qno]),0))</f>
        <v>0</v>
      </c>
      <c r="L363" s="33" t="b" cm="1">
        <f t="array" ref="L363">INDEX(stable[is_mandatory],MATCH(VALUE(questions[[#This Row],[qno]]),VALUE(stable[qno]),0))</f>
        <v>1</v>
      </c>
      <c r="M363" s="33" t="b" cm="1">
        <f t="array" ref="M363">INDEX(stable[is_automated],MATCH(VALUE(questions[[#This Row],[qno]]),VALUE(stable[qno]),0))</f>
        <v>1</v>
      </c>
      <c r="N363" s="33" t="b" cm="1">
        <f t="array" ref="N363">INDEX(stable[is_free_text],MATCH(VALUE(questions[[#This Row],[qno]]),VALUE(stable[qno]),0))</f>
        <v>0</v>
      </c>
      <c r="O363" s="33" t="b" cm="1">
        <f t="array" ref="O363">INDEX(stable[is_numerical],MATCH(VALUE(questions[[#This Row],[qno]]),VALUE(stable[qno]),0))</f>
        <v>1</v>
      </c>
      <c r="P363" s="35" t="b" cm="1">
        <f t="array" ref="P363">INDEX(stable[is_single_select],MATCH(VALUE(questions[[#This Row],[qno]]),VALUE(stable[qno]),0))</f>
        <v>0</v>
      </c>
      <c r="Q363" s="33" t="b" cm="1">
        <f t="array" ref="Q363">INDEX(stable[is_multi_select],MATCH(VALUE(questions[[#This Row],[qno]]),VALUE(stable[qno]),0))</f>
        <v>0</v>
      </c>
      <c r="R363" s="33" t="b" cm="1">
        <f t="array" ref="R363">INDEX(stable[is_skip_logic],MATCH(VALUE(questions[[#This Row],[qno]]),VALUE(stable[qno]),0))</f>
        <v>0</v>
      </c>
      <c r="S363" s="33" t="str">
        <f>_xlfn.TEXTJOIN(", ",TRUE,questions[[#This Row],[ans_opt_1]:[ans_opt_14]])</f>
        <v/>
      </c>
      <c r="T363" s="33"/>
      <c r="U363" s="33"/>
      <c r="V363" s="33"/>
      <c r="W363" s="33"/>
      <c r="X363" s="33"/>
      <c r="Y363" s="33"/>
      <c r="Z363" s="33"/>
      <c r="AA363" s="33"/>
      <c r="AB363" s="33"/>
      <c r="AC363" s="33"/>
      <c r="AD363" s="33"/>
      <c r="AE363" s="33"/>
      <c r="AF363" s="33"/>
      <c r="AG363" s="33"/>
      <c r="AH363" s="99" t="b">
        <f>INDEX(stable[q_standard],MATCH(questions[[#This Row],[qno]],stable[qno],0))</f>
        <v>1</v>
      </c>
      <c r="AI363" s="99" t="b">
        <f>INDEX(stable[q_living_income],MATCH(questions[[#This Row],[qno]],stable[qno],0))</f>
        <v>0</v>
      </c>
      <c r="AJ363" s="99" t="b">
        <f>INDEX(stable[q_carbon],MATCH(questions[[#This Row],[qno]],stable[qno],0))</f>
        <v>0</v>
      </c>
      <c r="AK363" s="99" t="b">
        <f>INDEX(stable[q_regen_ag],MATCH(questions[[#This Row],[qno]],stable[qno],0))</f>
        <v>0</v>
      </c>
      <c r="AL363" s="16" t="b">
        <f>COUNTIFS(stable[qno],questions[[#This Row],[qno]])=1</f>
        <v>1</v>
      </c>
      <c r="AM363" s="16" t="b">
        <f>OR(questions[[#This Row],[is_fixed]],questions[[#This Row],[is_localized]],questions[[#This Row],[is_supply_chain_dependent]])</f>
        <v>1</v>
      </c>
      <c r="AN363" s="16" t="b">
        <f>COUNTIFS(questions[[#This Row],[is_automated]:[is_multi_select]],TRUE)=1</f>
        <v>0</v>
      </c>
      <c r="AO363" s="16" t="b">
        <f>IF(questions[[#This Row],[is_fixed]],questions[[#This Row],[question]]=INDEX(stable[question],MATCH(questions[[#This Row],[qno]],stable[qno],0)),TRUE)</f>
        <v>1</v>
      </c>
      <c r="AP363" s="16" t="str">
        <f>LEFT(questions[[#This Row],[question]],similarity_range)</f>
        <v>Audited area (acre)</v>
      </c>
      <c r="AQ363" s="16" t="str">
        <f>LEFT(INDEX(stable[question],MATCH(questions[[#This Row],[qno]],stable[qno],0)),similarity_range)</f>
        <v>Audited area (acre)</v>
      </c>
      <c r="AR363" s="16" t="b">
        <f>questions[[#This Row],[question_first_characters]]=questions[[#This Row],[stability_first_characters]]</f>
        <v>1</v>
      </c>
      <c r="AS363" s="16" t="b">
        <f>IF(OR(questions[[#This Row],[is_single_select]],questions[[#This Row],[is_multi_select]]),NOT(ISBLANK(questions[[#This Row],[answer_opt_combined]])),TRUE)</f>
        <v>1</v>
      </c>
    </row>
    <row r="364" spans="1:45" x14ac:dyDescent="0.25">
      <c r="A364" s="33" t="str">
        <f>_xlfn.TEXTJOIN("_",TRUE,questions[[#This Row],[origin]:[qno]])</f>
        <v>Vietnam_Robusta_Lam_Dong_Nestlé_IMPACT_1216</v>
      </c>
      <c r="B364" s="33" t="s">
        <v>673</v>
      </c>
      <c r="C364" s="33" t="s">
        <v>674</v>
      </c>
      <c r="D364" s="33" t="s">
        <v>675</v>
      </c>
      <c r="E364" s="33"/>
      <c r="F364" s="34" t="s">
        <v>97</v>
      </c>
      <c r="G364" s="18" t="s">
        <v>98</v>
      </c>
      <c r="H364" s="33" t="str" cm="1">
        <f t="array" ref="H364">INDEX(stableR[question],MATCH(VALUE(questions[[#This Row],[qno]]),VALUE(stableR[qno]),0))</f>
        <v>Coordinates</v>
      </c>
      <c r="I364" s="33" t="b" cm="1">
        <f t="array" ref="I364">INDEX(stable[is_fixed],MATCH(VALUE(questions[[#This Row],[qno]]),VALUE(stable[qno]),0))</f>
        <v>1</v>
      </c>
      <c r="J364" s="33" t="b" cm="1">
        <f t="array" ref="J364">INDEX(stable[is_localized],MATCH(VALUE(questions[[#This Row],[qno]]),VALUE(stable[qno]),0))</f>
        <v>0</v>
      </c>
      <c r="K364" s="33" t="b" cm="1">
        <f t="array" ref="K364">INDEX(stable[is_supply_chain_dependent],MATCH(VALUE(questions[[#This Row],[qno]]),VALUE(stable[qno]),0))</f>
        <v>0</v>
      </c>
      <c r="L364" s="33" t="b" cm="1">
        <f t="array" ref="L364">INDEX(stable[is_mandatory],MATCH(VALUE(questions[[#This Row],[qno]]),VALUE(stable[qno]),0))</f>
        <v>1</v>
      </c>
      <c r="M364" s="33" t="b" cm="1">
        <f t="array" ref="M364">INDEX(stable[is_automated],MATCH(VALUE(questions[[#This Row],[qno]]),VALUE(stable[qno]),0))</f>
        <v>1</v>
      </c>
      <c r="N364" s="33" t="b" cm="1">
        <f t="array" ref="N364">INDEX(stable[is_free_text],MATCH(VALUE(questions[[#This Row],[qno]]),VALUE(stable[qno]),0))</f>
        <v>0</v>
      </c>
      <c r="O364" s="33" t="b" cm="1">
        <f t="array" ref="O364">INDEX(stable[is_numerical],MATCH(VALUE(questions[[#This Row],[qno]]),VALUE(stable[qno]),0))</f>
        <v>0</v>
      </c>
      <c r="P364" s="35" t="b" cm="1">
        <f t="array" ref="P364">INDEX(stable[is_single_select],MATCH(VALUE(questions[[#This Row],[qno]]),VALUE(stable[qno]),0))</f>
        <v>0</v>
      </c>
      <c r="Q364" s="33" t="b" cm="1">
        <f t="array" ref="Q364">INDEX(stable[is_multi_select],MATCH(VALUE(questions[[#This Row],[qno]]),VALUE(stable[qno]),0))</f>
        <v>0</v>
      </c>
      <c r="R364" s="33" t="b" cm="1">
        <f t="array" ref="R364">INDEX(stable[is_skip_logic],MATCH(VALUE(questions[[#This Row],[qno]]),VALUE(stable[qno]),0))</f>
        <v>0</v>
      </c>
      <c r="S364" s="33" t="str">
        <f>_xlfn.TEXTJOIN(", ",TRUE,questions[[#This Row],[ans_opt_1]:[ans_opt_14]])</f>
        <v/>
      </c>
      <c r="T364" s="33"/>
      <c r="U364" s="33"/>
      <c r="V364" s="33"/>
      <c r="W364" s="33"/>
      <c r="X364" s="33"/>
      <c r="Y364" s="33"/>
      <c r="Z364" s="33"/>
      <c r="AA364" s="33"/>
      <c r="AB364" s="33"/>
      <c r="AC364" s="33"/>
      <c r="AD364" s="33"/>
      <c r="AE364" s="33"/>
      <c r="AF364" s="33"/>
      <c r="AG364" s="33"/>
      <c r="AH364" s="99" t="b">
        <f>INDEX(stable[q_standard],MATCH(questions[[#This Row],[qno]],stable[qno],0))</f>
        <v>1</v>
      </c>
      <c r="AI364" s="99" t="b">
        <f>INDEX(stable[q_living_income],MATCH(questions[[#This Row],[qno]],stable[qno],0))</f>
        <v>0</v>
      </c>
      <c r="AJ364" s="99" t="b">
        <f>INDEX(stable[q_carbon],MATCH(questions[[#This Row],[qno]],stable[qno],0))</f>
        <v>0</v>
      </c>
      <c r="AK364" s="99" t="b">
        <f>INDEX(stable[q_regen_ag],MATCH(questions[[#This Row],[qno]],stable[qno],0))</f>
        <v>0</v>
      </c>
      <c r="AL364" s="16" t="b">
        <f>COUNTIFS(stable[qno],questions[[#This Row],[qno]])=1</f>
        <v>1</v>
      </c>
      <c r="AM364" s="16" t="b">
        <f>OR(questions[[#This Row],[is_fixed]],questions[[#This Row],[is_localized]],questions[[#This Row],[is_supply_chain_dependent]])</f>
        <v>1</v>
      </c>
      <c r="AN364" s="16" t="b">
        <f>COUNTIFS(questions[[#This Row],[is_automated]:[is_multi_select]],TRUE)=1</f>
        <v>1</v>
      </c>
      <c r="AO364" s="16" t="b">
        <f>IF(questions[[#This Row],[is_fixed]],questions[[#This Row],[question]]=INDEX(stable[question],MATCH(questions[[#This Row],[qno]],stable[qno],0)),TRUE)</f>
        <v>1</v>
      </c>
      <c r="AP364" s="16" t="str">
        <f>LEFT(questions[[#This Row],[question]],similarity_range)</f>
        <v>Coordinates</v>
      </c>
      <c r="AQ364" s="16" t="str">
        <f>LEFT(INDEX(stable[question],MATCH(questions[[#This Row],[qno]],stable[qno],0)),similarity_range)</f>
        <v>Coordinates</v>
      </c>
      <c r="AR364" s="16" t="b">
        <f>questions[[#This Row],[question_first_characters]]=questions[[#This Row],[stability_first_characters]]</f>
        <v>1</v>
      </c>
      <c r="AS364" s="16" t="b">
        <f>IF(OR(questions[[#This Row],[is_single_select]],questions[[#This Row],[is_multi_select]]),NOT(ISBLANK(questions[[#This Row],[answer_opt_combined]])),TRUE)</f>
        <v>1</v>
      </c>
    </row>
    <row r="365" spans="1:45" s="77" customFormat="1" x14ac:dyDescent="0.25">
      <c r="A365" s="77" t="str">
        <f>_xlfn.TEXTJOIN("_",TRUE,questions[[#This Row],[origin]:[qno]])</f>
        <v>Vietnam_Robusta_Lam_Dong_Nestlé_IMPACT_2000</v>
      </c>
      <c r="B365" s="77" t="s">
        <v>673</v>
      </c>
      <c r="C365" s="77" t="s">
        <v>674</v>
      </c>
      <c r="D365" s="77" t="s">
        <v>675</v>
      </c>
      <c r="F365" s="104" t="s">
        <v>99</v>
      </c>
      <c r="G365" s="78" t="s">
        <v>100</v>
      </c>
      <c r="H365" s="33" t="str" cm="1">
        <f t="array" ref="H365">INDEX(stableR[question],MATCH(VALUE(questions[[#This Row],[qno]]),VALUE(stableR[qno]),0))</f>
        <v>Who was present and answering the questions for the interview?</v>
      </c>
      <c r="I365" s="33" t="b" cm="1">
        <f t="array" ref="I365">INDEX(stable[is_fixed],MATCH(VALUE(questions[[#This Row],[qno]]),VALUE(stable[qno]),0))</f>
        <v>1</v>
      </c>
      <c r="J365" s="33" t="b" cm="1">
        <f t="array" ref="J365">INDEX(stable[is_localized],MATCH(VALUE(questions[[#This Row],[qno]]),VALUE(stable[qno]),0))</f>
        <v>0</v>
      </c>
      <c r="K365" s="33" t="b" cm="1">
        <f t="array" ref="K365">INDEX(stable[is_supply_chain_dependent],MATCH(VALUE(questions[[#This Row],[qno]]),VALUE(stable[qno]),0))</f>
        <v>0</v>
      </c>
      <c r="L365" s="33" t="b" cm="1">
        <f t="array" ref="L365">INDEX(stable[is_mandatory],MATCH(VALUE(questions[[#This Row],[qno]]),VALUE(stable[qno]),0))</f>
        <v>1</v>
      </c>
      <c r="M365" s="33" t="b" cm="1">
        <f t="array" ref="M365">INDEX(stable[is_automated],MATCH(VALUE(questions[[#This Row],[qno]]),VALUE(stable[qno]),0))</f>
        <v>0</v>
      </c>
      <c r="N365" s="33" t="b" cm="1">
        <f t="array" ref="N365">INDEX(stable[is_free_text],MATCH(VALUE(questions[[#This Row],[qno]]),VALUE(stable[qno]),0))</f>
        <v>0</v>
      </c>
      <c r="O365" s="33" t="b" cm="1">
        <f t="array" ref="O365">INDEX(stable[is_numerical],MATCH(VALUE(questions[[#This Row],[qno]]),VALUE(stable[qno]),0))</f>
        <v>0</v>
      </c>
      <c r="P365" s="103" t="b" cm="1">
        <f t="array" ref="P365">INDEX(stable[is_single_select],MATCH(VALUE(questions[[#This Row],[qno]]),VALUE(stable[qno]),0))</f>
        <v>0</v>
      </c>
      <c r="Q365" s="77" t="b" cm="1">
        <f t="array" ref="Q365">INDEX(stable[is_multi_select],MATCH(VALUE(questions[[#This Row],[qno]]),VALUE(stable[qno]),0))</f>
        <v>1</v>
      </c>
      <c r="R365" s="77" t="b" cm="1">
        <f t="array" ref="R365">INDEX(stable[is_skip_logic],MATCH(VALUE(questions[[#This Row],[qno]]),VALUE(stable[qno]),0))</f>
        <v>0</v>
      </c>
      <c r="S365" s="77" t="str">
        <f>_xlfn.TEXTJOIN(", ",TRUE,questions[[#This Row],[ans_opt_1]:[ans_opt_14]])</f>
        <v>Wife, Husband, Wife and husband, Other important household member</v>
      </c>
      <c r="T365" s="77" t="s">
        <v>101</v>
      </c>
      <c r="U365" s="77" t="s">
        <v>102</v>
      </c>
      <c r="V365" s="77" t="s">
        <v>513</v>
      </c>
      <c r="W365" s="77" t="s">
        <v>103</v>
      </c>
      <c r="AH365" s="98" t="b">
        <f>INDEX(stable[q_standard],MATCH(questions[[#This Row],[qno]],stable[qno],0))</f>
        <v>1</v>
      </c>
      <c r="AI365" s="98" t="b">
        <f>INDEX(stable[q_living_income],MATCH(questions[[#This Row],[qno]],stable[qno],0))</f>
        <v>0</v>
      </c>
      <c r="AJ365" s="98" t="b">
        <f>INDEX(stable[q_carbon],MATCH(questions[[#This Row],[qno]],stable[qno],0))</f>
        <v>0</v>
      </c>
      <c r="AK365" s="98" t="b">
        <f>INDEX(stable[q_regen_ag],MATCH(questions[[#This Row],[qno]],stable[qno],0))</f>
        <v>0</v>
      </c>
      <c r="AL365" s="98" t="b">
        <f>COUNTIFS(stable[qno],questions[[#This Row],[qno]])=1</f>
        <v>1</v>
      </c>
      <c r="AM365" s="98" t="b">
        <f>OR(questions[[#This Row],[is_fixed]],questions[[#This Row],[is_localized]],questions[[#This Row],[is_supply_chain_dependent]])</f>
        <v>1</v>
      </c>
      <c r="AN365" s="98" t="b">
        <f>COUNTIFS(questions[[#This Row],[is_automated]:[is_multi_select]],TRUE)=1</f>
        <v>1</v>
      </c>
      <c r="AO365" s="98" t="b">
        <f>IF(questions[[#This Row],[is_fixed]],questions[[#This Row],[question]]=INDEX(stable[question],MATCH(questions[[#This Row],[qno]],stable[qno],0)),TRUE)</f>
        <v>1</v>
      </c>
      <c r="AP365" s="98" t="str">
        <f>LEFT(questions[[#This Row],[question]],similarity_range)</f>
        <v xml:space="preserve">Who was present and </v>
      </c>
      <c r="AQ365" s="98" t="str">
        <f>LEFT(INDEX(stable[question],MATCH(questions[[#This Row],[qno]],stable[qno],0)),similarity_range)</f>
        <v xml:space="preserve">Who was present and </v>
      </c>
      <c r="AR365" s="98" t="b">
        <f>questions[[#This Row],[question_first_characters]]=questions[[#This Row],[stability_first_characters]]</f>
        <v>1</v>
      </c>
      <c r="AS365" s="98" t="b">
        <f>IF(OR(questions[[#This Row],[is_single_select]],questions[[#This Row],[is_multi_select]]),NOT(ISBLANK(questions[[#This Row],[answer_opt_combined]])),TRUE)</f>
        <v>1</v>
      </c>
    </row>
    <row r="366" spans="1:45" s="77" customFormat="1" x14ac:dyDescent="0.25">
      <c r="A366" s="77" t="str">
        <f>_xlfn.TEXTJOIN("_",TRUE,questions[[#This Row],[origin]:[qno]])</f>
        <v>Vietnam_Robusta_Lam_Dong_Nestlé_IMPACT_2001</v>
      </c>
      <c r="B366" s="77" t="s">
        <v>673</v>
      </c>
      <c r="C366" s="77" t="s">
        <v>674</v>
      </c>
      <c r="D366" s="77" t="s">
        <v>675</v>
      </c>
      <c r="F366" s="104" t="s">
        <v>104</v>
      </c>
      <c r="G366" s="78" t="s">
        <v>105</v>
      </c>
      <c r="H366" s="33" t="str" cm="1">
        <f t="array" ref="H366">INDEX(stableR[question],MATCH(VALUE(questions[[#This Row],[qno]]),VALUE(stableR[qno]),0))</f>
        <v>What is the gender of the lead farmer in the household? (The person that is selling the coffee)</v>
      </c>
      <c r="I366" s="33" t="b" cm="1">
        <f t="array" ref="I366">INDEX(stable[is_fixed],MATCH(VALUE(questions[[#This Row],[qno]]),VALUE(stable[qno]),0))</f>
        <v>1</v>
      </c>
      <c r="J366" s="33" t="b" cm="1">
        <f t="array" ref="J366">INDEX(stable[is_localized],MATCH(VALUE(questions[[#This Row],[qno]]),VALUE(stable[qno]),0))</f>
        <v>0</v>
      </c>
      <c r="K366" s="33" t="b" cm="1">
        <f t="array" ref="K366">INDEX(stable[is_supply_chain_dependent],MATCH(VALUE(questions[[#This Row],[qno]]),VALUE(stable[qno]),0))</f>
        <v>0</v>
      </c>
      <c r="L366" s="33" t="b" cm="1">
        <f t="array" ref="L366">INDEX(stable[is_mandatory],MATCH(VALUE(questions[[#This Row],[qno]]),VALUE(stable[qno]),0))</f>
        <v>1</v>
      </c>
      <c r="M366" s="33" t="b" cm="1">
        <f t="array" ref="M366">INDEX(stable[is_automated],MATCH(VALUE(questions[[#This Row],[qno]]),VALUE(stable[qno]),0))</f>
        <v>0</v>
      </c>
      <c r="N366" s="33" t="b" cm="1">
        <f t="array" ref="N366">INDEX(stable[is_free_text],MATCH(VALUE(questions[[#This Row],[qno]]),VALUE(stable[qno]),0))</f>
        <v>0</v>
      </c>
      <c r="O366" s="33" t="b" cm="1">
        <f t="array" ref="O366">INDEX(stable[is_numerical],MATCH(VALUE(questions[[#This Row],[qno]]),VALUE(stable[qno]),0))</f>
        <v>0</v>
      </c>
      <c r="P366" s="103" t="b" cm="1">
        <f t="array" ref="P366">INDEX(stable[is_single_select],MATCH(VALUE(questions[[#This Row],[qno]]),VALUE(stable[qno]),0))</f>
        <v>1</v>
      </c>
      <c r="Q366" s="77" t="b" cm="1">
        <f t="array" ref="Q366">INDEX(stable[is_multi_select],MATCH(VALUE(questions[[#This Row],[qno]]),VALUE(stable[qno]),0))</f>
        <v>0</v>
      </c>
      <c r="R366" s="77" t="b" cm="1">
        <f t="array" ref="R366">INDEX(stable[is_skip_logic],MATCH(VALUE(questions[[#This Row],[qno]]),VALUE(stable[qno]),0))</f>
        <v>0</v>
      </c>
      <c r="S366" s="77" t="str">
        <f>_xlfn.TEXTJOIN(", ",TRUE,questions[[#This Row],[ans_opt_1]:[ans_opt_14]])</f>
        <v>Female, Male</v>
      </c>
      <c r="T366" s="77" t="s">
        <v>106</v>
      </c>
      <c r="U366" s="77" t="s">
        <v>107</v>
      </c>
      <c r="AH366" s="98" t="b">
        <f>INDEX(stable[q_standard],MATCH(questions[[#This Row],[qno]],stable[qno],0))</f>
        <v>1</v>
      </c>
      <c r="AI366" s="98" t="b">
        <f>INDEX(stable[q_living_income],MATCH(questions[[#This Row],[qno]],stable[qno],0))</f>
        <v>0</v>
      </c>
      <c r="AJ366" s="98" t="b">
        <f>INDEX(stable[q_carbon],MATCH(questions[[#This Row],[qno]],stable[qno],0))</f>
        <v>0</v>
      </c>
      <c r="AK366" s="98" t="b">
        <f>INDEX(stable[q_regen_ag],MATCH(questions[[#This Row],[qno]],stable[qno],0))</f>
        <v>0</v>
      </c>
      <c r="AL366" s="98" t="b">
        <f>COUNTIFS(stable[qno],questions[[#This Row],[qno]])=1</f>
        <v>1</v>
      </c>
      <c r="AM366" s="98" t="b">
        <f>OR(questions[[#This Row],[is_fixed]],questions[[#This Row],[is_localized]],questions[[#This Row],[is_supply_chain_dependent]])</f>
        <v>1</v>
      </c>
      <c r="AN366" s="98" t="b">
        <f>COUNTIFS(questions[[#This Row],[is_automated]:[is_multi_select]],TRUE)=1</f>
        <v>1</v>
      </c>
      <c r="AO366" s="98" t="b">
        <f>IF(questions[[#This Row],[is_fixed]],questions[[#This Row],[question]]=INDEX(stable[question],MATCH(questions[[#This Row],[qno]],stable[qno],0)),TRUE)</f>
        <v>1</v>
      </c>
      <c r="AP366" s="98" t="str">
        <f>LEFT(questions[[#This Row],[question]],similarity_range)</f>
        <v>What is the gender o</v>
      </c>
      <c r="AQ366" s="98" t="str">
        <f>LEFT(INDEX(stable[question],MATCH(questions[[#This Row],[qno]],stable[qno],0)),similarity_range)</f>
        <v>What is the gender o</v>
      </c>
      <c r="AR366" s="98" t="b">
        <f>questions[[#This Row],[question_first_characters]]=questions[[#This Row],[stability_first_characters]]</f>
        <v>1</v>
      </c>
      <c r="AS366" s="98" t="b">
        <f>IF(OR(questions[[#This Row],[is_single_select]],questions[[#This Row],[is_multi_select]]),NOT(ISBLANK(questions[[#This Row],[answer_opt_combined]])),TRUE)</f>
        <v>1</v>
      </c>
    </row>
    <row r="367" spans="1:45" s="77" customFormat="1" x14ac:dyDescent="0.25">
      <c r="A367" s="77" t="str">
        <f>_xlfn.TEXTJOIN("_",TRUE,questions[[#This Row],[origin]:[qno]])</f>
        <v>Vietnam_Robusta_Lam_Dong_Nestlé_IMPACT_2002</v>
      </c>
      <c r="B367" s="77" t="s">
        <v>673</v>
      </c>
      <c r="C367" s="77" t="s">
        <v>674</v>
      </c>
      <c r="D367" s="77" t="s">
        <v>675</v>
      </c>
      <c r="F367" s="104" t="s">
        <v>108</v>
      </c>
      <c r="G367" s="78" t="s">
        <v>109</v>
      </c>
      <c r="H367" s="33" t="str" cm="1">
        <f t="array" ref="H367">INDEX(stableR[question],MATCH(VALUE(questions[[#This Row],[qno]]),VALUE(stableR[qno]),0))</f>
        <v>What type of household is this?</v>
      </c>
      <c r="I367" s="33" t="b" cm="1">
        <f t="array" ref="I367">INDEX(stable[is_fixed],MATCH(VALUE(questions[[#This Row],[qno]]),VALUE(stable[qno]),0))</f>
        <v>1</v>
      </c>
      <c r="J367" s="33" t="b" cm="1">
        <f t="array" ref="J367">INDEX(stable[is_localized],MATCH(VALUE(questions[[#This Row],[qno]]),VALUE(stable[qno]),0))</f>
        <v>0</v>
      </c>
      <c r="K367" s="33" t="b" cm="1">
        <f t="array" ref="K367">INDEX(stable[is_supply_chain_dependent],MATCH(VALUE(questions[[#This Row],[qno]]),VALUE(stable[qno]),0))</f>
        <v>0</v>
      </c>
      <c r="L367" s="33" t="b" cm="1">
        <f t="array" ref="L367">INDEX(stable[is_mandatory],MATCH(VALUE(questions[[#This Row],[qno]]),VALUE(stable[qno]),0))</f>
        <v>1</v>
      </c>
      <c r="M367" s="33" t="b" cm="1">
        <f t="array" ref="M367">INDEX(stable[is_automated],MATCH(VALUE(questions[[#This Row],[qno]]),VALUE(stable[qno]),0))</f>
        <v>0</v>
      </c>
      <c r="N367" s="33" t="b" cm="1">
        <f t="array" ref="N367">INDEX(stable[is_free_text],MATCH(VALUE(questions[[#This Row],[qno]]),VALUE(stable[qno]),0))</f>
        <v>0</v>
      </c>
      <c r="O367" s="33" t="b" cm="1">
        <f t="array" ref="O367">INDEX(stable[is_numerical],MATCH(VALUE(questions[[#This Row],[qno]]),VALUE(stable[qno]),0))</f>
        <v>0</v>
      </c>
      <c r="P367" s="103" t="b" cm="1">
        <f t="array" ref="P367">INDEX(stable[is_single_select],MATCH(VALUE(questions[[#This Row],[qno]]),VALUE(stable[qno]),0))</f>
        <v>1</v>
      </c>
      <c r="Q367" s="77" t="b" cm="1">
        <f t="array" ref="Q367">INDEX(stable[is_multi_select],MATCH(VALUE(questions[[#This Row],[qno]]),VALUE(stable[qno]),0))</f>
        <v>0</v>
      </c>
      <c r="R367" s="77" t="b" cm="1">
        <f t="array" ref="R367">INDEX(stable[is_skip_logic],MATCH(VALUE(questions[[#This Row],[qno]]),VALUE(stable[qno]),0))</f>
        <v>0</v>
      </c>
      <c r="S367" s="77" t="str">
        <f>_xlfn.TEXTJOIN(", ",TRUE,questions[[#This Row],[ans_opt_1]:[ans_opt_14]])</f>
        <v>Male headed, Female headed, Other</v>
      </c>
      <c r="T367" s="77" t="s">
        <v>110</v>
      </c>
      <c r="U367" s="77" t="s">
        <v>111</v>
      </c>
      <c r="V367" s="77" t="s">
        <v>112</v>
      </c>
      <c r="AH367" s="98" t="b">
        <f>INDEX(stable[q_standard],MATCH(questions[[#This Row],[qno]],stable[qno],0))</f>
        <v>1</v>
      </c>
      <c r="AI367" s="98" t="b">
        <f>INDEX(stable[q_living_income],MATCH(questions[[#This Row],[qno]],stable[qno],0))</f>
        <v>0</v>
      </c>
      <c r="AJ367" s="98" t="b">
        <f>INDEX(stable[q_carbon],MATCH(questions[[#This Row],[qno]],stable[qno],0))</f>
        <v>0</v>
      </c>
      <c r="AK367" s="98" t="b">
        <f>INDEX(stable[q_regen_ag],MATCH(questions[[#This Row],[qno]],stable[qno],0))</f>
        <v>0</v>
      </c>
      <c r="AL367" s="98" t="b">
        <f>COUNTIFS(stable[qno],questions[[#This Row],[qno]])=1</f>
        <v>1</v>
      </c>
      <c r="AM367" s="98" t="b">
        <f>OR(questions[[#This Row],[is_fixed]],questions[[#This Row],[is_localized]],questions[[#This Row],[is_supply_chain_dependent]])</f>
        <v>1</v>
      </c>
      <c r="AN367" s="98" t="b">
        <f>COUNTIFS(questions[[#This Row],[is_automated]:[is_multi_select]],TRUE)=1</f>
        <v>1</v>
      </c>
      <c r="AO367" s="98" t="b">
        <f>IF(questions[[#This Row],[is_fixed]],questions[[#This Row],[question]]=INDEX(stable[question],MATCH(questions[[#This Row],[qno]],stable[qno],0)),TRUE)</f>
        <v>1</v>
      </c>
      <c r="AP367" s="98" t="str">
        <f>LEFT(questions[[#This Row],[question]],similarity_range)</f>
        <v>What type of househo</v>
      </c>
      <c r="AQ367" s="98" t="str">
        <f>LEFT(INDEX(stable[question],MATCH(questions[[#This Row],[qno]],stable[qno],0)),similarity_range)</f>
        <v>What type of househo</v>
      </c>
      <c r="AR367" s="98" t="b">
        <f>questions[[#This Row],[question_first_characters]]=questions[[#This Row],[stability_first_characters]]</f>
        <v>1</v>
      </c>
      <c r="AS367" s="98" t="b">
        <f>IF(OR(questions[[#This Row],[is_single_select]],questions[[#This Row],[is_multi_select]]),NOT(ISBLANK(questions[[#This Row],[answer_opt_combined]])),TRUE)</f>
        <v>1</v>
      </c>
    </row>
    <row r="368" spans="1:45" x14ac:dyDescent="0.25">
      <c r="A368" s="33" t="str">
        <f>_xlfn.TEXTJOIN("_",TRUE,questions[[#This Row],[origin]:[qno]])</f>
        <v>Vietnam_Robusta_Lam_Dong_Nestlé_IMPACT_2003</v>
      </c>
      <c r="B368" s="33" t="s">
        <v>673</v>
      </c>
      <c r="C368" s="33" t="s">
        <v>674</v>
      </c>
      <c r="D368" s="33" t="s">
        <v>675</v>
      </c>
      <c r="E368" s="33"/>
      <c r="F368" s="34" t="s">
        <v>113</v>
      </c>
      <c r="G368" s="18" t="s">
        <v>114</v>
      </c>
      <c r="H368" s="33" t="str" cm="1">
        <f t="array" ref="H368">INDEX(stableR[question],MATCH(VALUE(questions[[#This Row],[qno]]),VALUE(stableR[qno]),0))</f>
        <v>How many adults live in your household, that are above 18 years (including the respondent)? (Household members are those that stay more than three months per year within the same household and that 'eat from the same pot'.)</v>
      </c>
      <c r="I368" s="33" t="b" cm="1">
        <f t="array" ref="I368">INDEX(stable[is_fixed],MATCH(VALUE(questions[[#This Row],[qno]]),VALUE(stable[qno]),0))</f>
        <v>1</v>
      </c>
      <c r="J368" s="33" t="b" cm="1">
        <f t="array" ref="J368">INDEX(stable[is_localized],MATCH(VALUE(questions[[#This Row],[qno]]),VALUE(stable[qno]),0))</f>
        <v>0</v>
      </c>
      <c r="K368" s="33" t="b" cm="1">
        <f t="array" ref="K368">INDEX(stable[is_supply_chain_dependent],MATCH(VALUE(questions[[#This Row],[qno]]),VALUE(stable[qno]),0))</f>
        <v>0</v>
      </c>
      <c r="L368" s="33" t="b" cm="1">
        <f t="array" ref="L368">INDEX(stable[is_mandatory],MATCH(VALUE(questions[[#This Row],[qno]]),VALUE(stable[qno]),0))</f>
        <v>1</v>
      </c>
      <c r="M368" s="33" t="b" cm="1">
        <f t="array" ref="M368">INDEX(stable[is_automated],MATCH(VALUE(questions[[#This Row],[qno]]),VALUE(stable[qno]),0))</f>
        <v>0</v>
      </c>
      <c r="N368" s="33" t="b" cm="1">
        <f t="array" ref="N368">INDEX(stable[is_free_text],MATCH(VALUE(questions[[#This Row],[qno]]),VALUE(stable[qno]),0))</f>
        <v>0</v>
      </c>
      <c r="O368" s="33" t="b" cm="1">
        <f t="array" ref="O368">INDEX(stable[is_numerical],MATCH(VALUE(questions[[#This Row],[qno]]),VALUE(stable[qno]),0))</f>
        <v>1</v>
      </c>
      <c r="P368" s="35" t="b" cm="1">
        <f t="array" ref="P368">INDEX(stable[is_single_select],MATCH(VALUE(questions[[#This Row],[qno]]),VALUE(stable[qno]),0))</f>
        <v>0</v>
      </c>
      <c r="Q368" s="33" t="b" cm="1">
        <f t="array" ref="Q368">INDEX(stable[is_multi_select],MATCH(VALUE(questions[[#This Row],[qno]]),VALUE(stable[qno]),0))</f>
        <v>0</v>
      </c>
      <c r="R368" s="33" t="b" cm="1">
        <f t="array" ref="R368">INDEX(stable[is_skip_logic],MATCH(VALUE(questions[[#This Row],[qno]]),VALUE(stable[qno]),0))</f>
        <v>0</v>
      </c>
      <c r="S368" s="33" t="str">
        <f>_xlfn.TEXTJOIN(", ",TRUE,questions[[#This Row],[ans_opt_1]:[ans_opt_14]])</f>
        <v/>
      </c>
      <c r="T368" s="33"/>
      <c r="U368" s="33"/>
      <c r="V368" s="33"/>
      <c r="W368" s="33"/>
      <c r="X368" s="33"/>
      <c r="Y368" s="33"/>
      <c r="Z368" s="33"/>
      <c r="AA368" s="33"/>
      <c r="AB368" s="33"/>
      <c r="AC368" s="33"/>
      <c r="AD368" s="33"/>
      <c r="AE368" s="33"/>
      <c r="AF368" s="33"/>
      <c r="AG368" s="33"/>
      <c r="AH368" s="99" t="b">
        <f>INDEX(stable[q_standard],MATCH(questions[[#This Row],[qno]],stable[qno],0))</f>
        <v>1</v>
      </c>
      <c r="AI368" s="99" t="b">
        <f>INDEX(stable[q_living_income],MATCH(questions[[#This Row],[qno]],stable[qno],0))</f>
        <v>0</v>
      </c>
      <c r="AJ368" s="99" t="b">
        <f>INDEX(stable[q_carbon],MATCH(questions[[#This Row],[qno]],stable[qno],0))</f>
        <v>0</v>
      </c>
      <c r="AK368" s="99" t="b">
        <f>INDEX(stable[q_regen_ag],MATCH(questions[[#This Row],[qno]],stable[qno],0))</f>
        <v>0</v>
      </c>
      <c r="AL368" s="16" t="b">
        <f>COUNTIFS(stable[qno],questions[[#This Row],[qno]])=1</f>
        <v>1</v>
      </c>
      <c r="AM368" s="16" t="b">
        <f>OR(questions[[#This Row],[is_fixed]],questions[[#This Row],[is_localized]],questions[[#This Row],[is_supply_chain_dependent]])</f>
        <v>1</v>
      </c>
      <c r="AN368" s="16" t="b">
        <f>COUNTIFS(questions[[#This Row],[is_automated]:[is_multi_select]],TRUE)=1</f>
        <v>1</v>
      </c>
      <c r="AO368" s="16" t="b">
        <f>IF(questions[[#This Row],[is_fixed]],questions[[#This Row],[question]]=INDEX(stable[question],MATCH(questions[[#This Row],[qno]],stable[qno],0)),TRUE)</f>
        <v>0</v>
      </c>
      <c r="AP368" s="16" t="str">
        <f>LEFT(questions[[#This Row],[question]],similarity_range)</f>
        <v>How many adults live</v>
      </c>
      <c r="AQ368" s="16" t="str">
        <f>LEFT(INDEX(stable[question],MATCH(questions[[#This Row],[qno]],stable[qno],0)),similarity_range)</f>
        <v>How many adults live</v>
      </c>
      <c r="AR368" s="16" t="b">
        <f>questions[[#This Row],[question_first_characters]]=questions[[#This Row],[stability_first_characters]]</f>
        <v>1</v>
      </c>
      <c r="AS368" s="16" t="b">
        <f>IF(OR(questions[[#This Row],[is_single_select]],questions[[#This Row],[is_multi_select]]),NOT(ISBLANK(questions[[#This Row],[answer_opt_combined]])),TRUE)</f>
        <v>1</v>
      </c>
    </row>
    <row r="369" spans="1:45" x14ac:dyDescent="0.25">
      <c r="A369" s="33" t="str">
        <f>_xlfn.TEXTJOIN("_",TRUE,questions[[#This Row],[origin]:[qno]])</f>
        <v>Vietnam_Robusta_Lam_Dong_Nestlé_IMPACT_2004</v>
      </c>
      <c r="B369" s="33" t="s">
        <v>673</v>
      </c>
      <c r="C369" s="33" t="s">
        <v>674</v>
      </c>
      <c r="D369" s="33" t="s">
        <v>675</v>
      </c>
      <c r="E369" s="33"/>
      <c r="F369" s="34" t="s">
        <v>115</v>
      </c>
      <c r="G369" s="18" t="s">
        <v>116</v>
      </c>
      <c r="H369" s="33" t="str" cm="1">
        <f t="array" ref="H369">INDEX(stableR[question],MATCH(VALUE(questions[[#This Row],[qno]]),VALUE(stableR[qno]),0))</f>
        <v>How many children living in your household, are below 18 years? (Household members are those that stay more than three months per year within the same household and that 'eat from the same pot.')</v>
      </c>
      <c r="I369" s="33" t="b" cm="1">
        <f t="array" ref="I369">INDEX(stable[is_fixed],MATCH(VALUE(questions[[#This Row],[qno]]),VALUE(stable[qno]),0))</f>
        <v>1</v>
      </c>
      <c r="J369" s="33" t="b" cm="1">
        <f t="array" ref="J369">INDEX(stable[is_localized],MATCH(VALUE(questions[[#This Row],[qno]]),VALUE(stable[qno]),0))</f>
        <v>0</v>
      </c>
      <c r="K369" s="33" t="b" cm="1">
        <f t="array" ref="K369">INDEX(stable[is_supply_chain_dependent],MATCH(VALUE(questions[[#This Row],[qno]]),VALUE(stable[qno]),0))</f>
        <v>0</v>
      </c>
      <c r="L369" s="33" t="b" cm="1">
        <f t="array" ref="L369">INDEX(stable[is_mandatory],MATCH(VALUE(questions[[#This Row],[qno]]),VALUE(stable[qno]),0))</f>
        <v>1</v>
      </c>
      <c r="M369" s="33" t="b" cm="1">
        <f t="array" ref="M369">INDEX(stable[is_automated],MATCH(VALUE(questions[[#This Row],[qno]]),VALUE(stable[qno]),0))</f>
        <v>0</v>
      </c>
      <c r="N369" s="33" t="b" cm="1">
        <f t="array" ref="N369">INDEX(stable[is_free_text],MATCH(VALUE(questions[[#This Row],[qno]]),VALUE(stable[qno]),0))</f>
        <v>0</v>
      </c>
      <c r="O369" s="33" t="b" cm="1">
        <f t="array" ref="O369">INDEX(stable[is_numerical],MATCH(VALUE(questions[[#This Row],[qno]]),VALUE(stable[qno]),0))</f>
        <v>1</v>
      </c>
      <c r="P369" s="35" t="b" cm="1">
        <f t="array" ref="P369">INDEX(stable[is_single_select],MATCH(VALUE(questions[[#This Row],[qno]]),VALUE(stable[qno]),0))</f>
        <v>0</v>
      </c>
      <c r="Q369" s="33" t="b" cm="1">
        <f t="array" ref="Q369">INDEX(stable[is_multi_select],MATCH(VALUE(questions[[#This Row],[qno]]),VALUE(stable[qno]),0))</f>
        <v>0</v>
      </c>
      <c r="R369" s="33" t="b" cm="1">
        <f t="array" ref="R369">INDEX(stable[is_skip_logic],MATCH(VALUE(questions[[#This Row],[qno]]),VALUE(stable[qno]),0))</f>
        <v>0</v>
      </c>
      <c r="S369" s="33" t="str">
        <f>_xlfn.TEXTJOIN(", ",TRUE,questions[[#This Row],[ans_opt_1]:[ans_opt_14]])</f>
        <v/>
      </c>
      <c r="T369" s="33"/>
      <c r="U369" s="33"/>
      <c r="V369" s="33"/>
      <c r="W369" s="33"/>
      <c r="X369" s="33"/>
      <c r="Y369" s="33"/>
      <c r="Z369" s="33"/>
      <c r="AA369" s="33"/>
      <c r="AB369" s="33"/>
      <c r="AC369" s="33"/>
      <c r="AD369" s="33"/>
      <c r="AE369" s="33"/>
      <c r="AF369" s="33"/>
      <c r="AG369" s="33"/>
      <c r="AH369" s="99" t="b">
        <f>INDEX(stable[q_standard],MATCH(questions[[#This Row],[qno]],stable[qno],0))</f>
        <v>1</v>
      </c>
      <c r="AI369" s="99" t="b">
        <f>INDEX(stable[q_living_income],MATCH(questions[[#This Row],[qno]],stable[qno],0))</f>
        <v>0</v>
      </c>
      <c r="AJ369" s="99" t="b">
        <f>INDEX(stable[q_carbon],MATCH(questions[[#This Row],[qno]],stable[qno],0))</f>
        <v>0</v>
      </c>
      <c r="AK369" s="99" t="b">
        <f>INDEX(stable[q_regen_ag],MATCH(questions[[#This Row],[qno]],stable[qno],0))</f>
        <v>0</v>
      </c>
      <c r="AL369" s="16" t="b">
        <f>COUNTIFS(stable[qno],questions[[#This Row],[qno]])=1</f>
        <v>1</v>
      </c>
      <c r="AM369" s="16" t="b">
        <f>OR(questions[[#This Row],[is_fixed]],questions[[#This Row],[is_localized]],questions[[#This Row],[is_supply_chain_dependent]])</f>
        <v>1</v>
      </c>
      <c r="AN369" s="16" t="b">
        <f>COUNTIFS(questions[[#This Row],[is_automated]:[is_multi_select]],TRUE)=1</f>
        <v>1</v>
      </c>
      <c r="AO369" s="16" t="b">
        <f>IF(questions[[#This Row],[is_fixed]],questions[[#This Row],[question]]=INDEX(stable[question],MATCH(questions[[#This Row],[qno]],stable[qno],0)),TRUE)</f>
        <v>1</v>
      </c>
      <c r="AP369" s="16" t="str">
        <f>LEFT(questions[[#This Row],[question]],similarity_range)</f>
        <v>How many children li</v>
      </c>
      <c r="AQ369" s="16" t="str">
        <f>LEFT(INDEX(stable[question],MATCH(questions[[#This Row],[qno]],stable[qno],0)),similarity_range)</f>
        <v>How many children li</v>
      </c>
      <c r="AR369" s="16" t="b">
        <f>questions[[#This Row],[question_first_characters]]=questions[[#This Row],[stability_first_characters]]</f>
        <v>1</v>
      </c>
      <c r="AS369" s="16" t="b">
        <f>IF(OR(questions[[#This Row],[is_single_select]],questions[[#This Row],[is_multi_select]]),NOT(ISBLANK(questions[[#This Row],[answer_opt_combined]])),TRUE)</f>
        <v>1</v>
      </c>
    </row>
    <row r="370" spans="1:45" s="77" customFormat="1" x14ac:dyDescent="0.25">
      <c r="A370" s="77" t="str">
        <f>_xlfn.TEXTJOIN("_",TRUE,questions[[#This Row],[origin]:[qno]])</f>
        <v>Vietnam_Robusta_Lam_Dong_Nestlé_IMPACT_2100</v>
      </c>
      <c r="B370" s="77" t="s">
        <v>673</v>
      </c>
      <c r="C370" s="77" t="s">
        <v>674</v>
      </c>
      <c r="D370" s="77" t="s">
        <v>675</v>
      </c>
      <c r="F370" s="78" t="s">
        <v>117</v>
      </c>
      <c r="G370" s="78" t="s">
        <v>118</v>
      </c>
      <c r="H370" s="33" t="str" cm="1">
        <f t="array" ref="H370">INDEX(stableR[question],MATCH(VALUE(questions[[#This Row],[qno]]),VALUE(stableR[qno]),0))</f>
        <v>If your farm is certified, under which certification scheme(s) is it certified?</v>
      </c>
      <c r="I370" s="33" t="b" cm="1">
        <f t="array" ref="I370">INDEX(stable[is_fixed],MATCH(VALUE(questions[[#This Row],[qno]]),VALUE(stable[qno]),0))</f>
        <v>1</v>
      </c>
      <c r="J370" s="33" t="b" cm="1">
        <f t="array" ref="J370">INDEX(stable[is_localized],MATCH(VALUE(questions[[#This Row],[qno]]),VALUE(stable[qno]),0))</f>
        <v>0</v>
      </c>
      <c r="K370" s="33" t="b" cm="1">
        <f t="array" ref="K370">INDEX(stable[is_supply_chain_dependent],MATCH(VALUE(questions[[#This Row],[qno]]),VALUE(stable[qno]),0))</f>
        <v>0</v>
      </c>
      <c r="L370" s="33" t="b" cm="1">
        <f t="array" ref="L370">INDEX(stable[is_mandatory],MATCH(VALUE(questions[[#This Row],[qno]]),VALUE(stable[qno]),0))</f>
        <v>1</v>
      </c>
      <c r="M370" s="33" t="b" cm="1">
        <f t="array" ref="M370">INDEX(stable[is_automated],MATCH(VALUE(questions[[#This Row],[qno]]),VALUE(stable[qno]),0))</f>
        <v>0</v>
      </c>
      <c r="N370" s="33" t="b" cm="1">
        <f t="array" ref="N370">INDEX(stable[is_free_text],MATCH(VALUE(questions[[#This Row],[qno]]),VALUE(stable[qno]),0))</f>
        <v>0</v>
      </c>
      <c r="O370" s="33" t="b" cm="1">
        <f t="array" ref="O370">INDEX(stable[is_numerical],MATCH(VALUE(questions[[#This Row],[qno]]),VALUE(stable[qno]),0))</f>
        <v>0</v>
      </c>
      <c r="P370" s="103" t="b" cm="1">
        <f t="array" ref="P370">INDEX(stable[is_single_select],MATCH(VALUE(questions[[#This Row],[qno]]),VALUE(stable[qno]),0))</f>
        <v>0</v>
      </c>
      <c r="Q370" s="77" t="b" cm="1">
        <f t="array" ref="Q370">INDEX(stable[is_multi_select],MATCH(VALUE(questions[[#This Row],[qno]]),VALUE(stable[qno]),0))</f>
        <v>1</v>
      </c>
      <c r="R370" s="77" t="b" cm="1">
        <f t="array" ref="R370">INDEX(stable[is_skip_logic],MATCH(VALUE(questions[[#This Row],[qno]]),VALUE(stable[qno]),0))</f>
        <v>1</v>
      </c>
      <c r="S370" s="77" t="str">
        <f>_xlfn.TEXTJOIN(", ",TRUE,questions[[#This Row],[ans_opt_1]:[ans_opt_14]])</f>
        <v>No, IMPACT, 4C, Fair Trade, Rainforest Alliance, Organic, CAFÉ practices, RegenAgri, Other</v>
      </c>
      <c r="T370" s="77" t="s">
        <v>119</v>
      </c>
      <c r="U370" s="77" t="s">
        <v>120</v>
      </c>
      <c r="V370" s="77" t="s">
        <v>121</v>
      </c>
      <c r="W370" s="77" t="s">
        <v>122</v>
      </c>
      <c r="X370" s="77" t="s">
        <v>123</v>
      </c>
      <c r="Y370" s="77" t="s">
        <v>124</v>
      </c>
      <c r="Z370" s="77" t="s">
        <v>125</v>
      </c>
      <c r="AA370" s="77" t="s">
        <v>126</v>
      </c>
      <c r="AB370" s="77" t="s">
        <v>112</v>
      </c>
      <c r="AH370" s="98" t="b">
        <f>INDEX(stable[q_standard],MATCH(questions[[#This Row],[qno]],stable[qno],0))</f>
        <v>0</v>
      </c>
      <c r="AI370" s="98" t="b">
        <f>INDEX(stable[q_living_income],MATCH(questions[[#This Row],[qno]],stable[qno],0))</f>
        <v>0</v>
      </c>
      <c r="AJ370" s="98" t="b">
        <f>INDEX(stable[q_carbon],MATCH(questions[[#This Row],[qno]],stable[qno],0))</f>
        <v>0</v>
      </c>
      <c r="AK370" s="98" t="b">
        <f>INDEX(stable[q_regen_ag],MATCH(questions[[#This Row],[qno]],stable[qno],0))</f>
        <v>1</v>
      </c>
      <c r="AL370" s="98" t="b">
        <f>COUNTIFS(stable[qno],questions[[#This Row],[qno]])=1</f>
        <v>1</v>
      </c>
      <c r="AM370" s="98" t="b">
        <f>OR(questions[[#This Row],[is_fixed]],questions[[#This Row],[is_localized]],questions[[#This Row],[is_supply_chain_dependent]])</f>
        <v>1</v>
      </c>
      <c r="AN370" s="98" t="b">
        <f>COUNTIFS(questions[[#This Row],[is_automated]:[is_multi_select]],TRUE)=1</f>
        <v>1</v>
      </c>
      <c r="AO370" s="98" t="b">
        <f>IF(questions[[#This Row],[is_fixed]],questions[[#This Row],[question]]=INDEX(stable[question],MATCH(questions[[#This Row],[qno]],stable[qno],0)),TRUE)</f>
        <v>1</v>
      </c>
      <c r="AP370" s="98" t="str">
        <f>LEFT(questions[[#This Row],[question]],similarity_range)</f>
        <v>Is your farm certifi</v>
      </c>
      <c r="AQ370" s="98" t="str">
        <f>LEFT(INDEX(stable[question],MATCH(questions[[#This Row],[qno]],stable[qno],0)),similarity_range)</f>
        <v>Is your farm certifi</v>
      </c>
      <c r="AR370" s="98" t="b">
        <f>questions[[#This Row],[question_first_characters]]=questions[[#This Row],[stability_first_characters]]</f>
        <v>1</v>
      </c>
      <c r="AS370" s="98" t="b">
        <f>IF(OR(questions[[#This Row],[is_single_select]],questions[[#This Row],[is_multi_select]]),NOT(ISBLANK(questions[[#This Row],[answer_opt_combined]])),TRUE)</f>
        <v>1</v>
      </c>
    </row>
    <row r="371" spans="1:45" s="77" customFormat="1" x14ac:dyDescent="0.25">
      <c r="A371" s="77" t="str">
        <f>_xlfn.TEXTJOIN("_",TRUE,questions[[#This Row],[origin]:[qno]])</f>
        <v>Vietnam_Robusta_Lam_Dong_Nestlé_IMPACT_2101</v>
      </c>
      <c r="B371" s="77" t="s">
        <v>673</v>
      </c>
      <c r="C371" s="77" t="s">
        <v>674</v>
      </c>
      <c r="D371" s="77" t="s">
        <v>675</v>
      </c>
      <c r="F371" s="104" t="s">
        <v>127</v>
      </c>
      <c r="G371" s="78" t="s">
        <v>128</v>
      </c>
      <c r="H371" s="33" t="str" cm="1">
        <f t="array" ref="H371">INDEX(stableR[question],MATCH(VALUE(questions[[#This Row],[qno]]),VALUE(stableR[qno]),0))</f>
        <v>If yes, since when have you been certified? (In case you are part of multiple certification schemes, consider the one that you are in longest.)</v>
      </c>
      <c r="I371" s="33" t="b" cm="1">
        <f t="array" ref="I371">INDEX(stable[is_fixed],MATCH(VALUE(questions[[#This Row],[qno]]),VALUE(stable[qno]),0))</f>
        <v>1</v>
      </c>
      <c r="J371" s="33" t="b" cm="1">
        <f t="array" ref="J371">INDEX(stable[is_localized],MATCH(VALUE(questions[[#This Row],[qno]]),VALUE(stable[qno]),0))</f>
        <v>0</v>
      </c>
      <c r="K371" s="33" t="b" cm="1">
        <f t="array" ref="K371">INDEX(stable[is_supply_chain_dependent],MATCH(VALUE(questions[[#This Row],[qno]]),VALUE(stable[qno]),0))</f>
        <v>0</v>
      </c>
      <c r="L371" s="33" t="b" cm="1">
        <f t="array" ref="L371">INDEX(stable[is_mandatory],MATCH(VALUE(questions[[#This Row],[qno]]),VALUE(stable[qno]),0))</f>
        <v>0</v>
      </c>
      <c r="M371" s="33" t="b" cm="1">
        <f t="array" ref="M371">INDEX(stable[is_automated],MATCH(VALUE(questions[[#This Row],[qno]]),VALUE(stable[qno]),0))</f>
        <v>0</v>
      </c>
      <c r="N371" s="33" t="b" cm="1">
        <f t="array" ref="N371">INDEX(stable[is_free_text],MATCH(VALUE(questions[[#This Row],[qno]]),VALUE(stable[qno]),0))</f>
        <v>0</v>
      </c>
      <c r="O371" s="33" t="b" cm="1">
        <f t="array" ref="O371">INDEX(stable[is_numerical],MATCH(VALUE(questions[[#This Row],[qno]]),VALUE(stable[qno]),0))</f>
        <v>0</v>
      </c>
      <c r="P371" s="103" t="b" cm="1">
        <f t="array" ref="P371">INDEX(stable[is_single_select],MATCH(VALUE(questions[[#This Row],[qno]]),VALUE(stable[qno]),0))</f>
        <v>1</v>
      </c>
      <c r="Q371" s="77" t="b" cm="1">
        <f t="array" ref="Q371">INDEX(stable[is_multi_select],MATCH(VALUE(questions[[#This Row],[qno]]),VALUE(stable[qno]),0))</f>
        <v>0</v>
      </c>
      <c r="R371" s="77" t="b" cm="1">
        <f t="array" ref="R371">INDEX(stable[is_skip_logic],MATCH(VALUE(questions[[#This Row],[qno]]),VALUE(stable[qno]),0))</f>
        <v>1</v>
      </c>
      <c r="S371" s="77" t="str">
        <f>_xlfn.TEXTJOIN(", ",TRUE,questions[[#This Row],[ans_opt_1]:[ans_opt_14]])</f>
        <v>1-2 years, 3-4 years, &gt;=5 years</v>
      </c>
      <c r="T371" s="77" t="s">
        <v>129</v>
      </c>
      <c r="U371" s="77" t="s">
        <v>130</v>
      </c>
      <c r="V371" s="77" t="s">
        <v>131</v>
      </c>
      <c r="AH371" s="98" t="b">
        <f>INDEX(stable[q_standard],MATCH(questions[[#This Row],[qno]],stable[qno],0))</f>
        <v>0</v>
      </c>
      <c r="AI371" s="98" t="b">
        <f>INDEX(stable[q_living_income],MATCH(questions[[#This Row],[qno]],stable[qno],0))</f>
        <v>0</v>
      </c>
      <c r="AJ371" s="98" t="b">
        <f>INDEX(stable[q_carbon],MATCH(questions[[#This Row],[qno]],stable[qno],0))</f>
        <v>0</v>
      </c>
      <c r="AK371" s="98" t="b">
        <f>INDEX(stable[q_regen_ag],MATCH(questions[[#This Row],[qno]],stable[qno],0))</f>
        <v>1</v>
      </c>
      <c r="AL371" s="98" t="b">
        <f>COUNTIFS(stable[qno],questions[[#This Row],[qno]])=1</f>
        <v>1</v>
      </c>
      <c r="AM371" s="98" t="b">
        <f>OR(questions[[#This Row],[is_fixed]],questions[[#This Row],[is_localized]],questions[[#This Row],[is_supply_chain_dependent]])</f>
        <v>1</v>
      </c>
      <c r="AN371" s="98" t="b">
        <f>COUNTIFS(questions[[#This Row],[is_automated]:[is_multi_select]],TRUE)=1</f>
        <v>1</v>
      </c>
      <c r="AO371" s="98" t="b">
        <f>IF(questions[[#This Row],[is_fixed]],questions[[#This Row],[question]]=INDEX(stable[question],MATCH(questions[[#This Row],[qno]],stable[qno],0)),TRUE)</f>
        <v>0</v>
      </c>
      <c r="AP371" s="98" t="str">
        <f>LEFT(questions[[#This Row],[question]],similarity_range)</f>
        <v>If yes, since when h</v>
      </c>
      <c r="AQ371" s="98" t="str">
        <f>LEFT(INDEX(stable[question],MATCH(questions[[#This Row],[qno]],stable[qno],0)),similarity_range)</f>
        <v>If yes, since when h</v>
      </c>
      <c r="AR371" s="98" t="b">
        <f>questions[[#This Row],[question_first_characters]]=questions[[#This Row],[stability_first_characters]]</f>
        <v>1</v>
      </c>
      <c r="AS371" s="98" t="b">
        <f>IF(OR(questions[[#This Row],[is_single_select]],questions[[#This Row],[is_multi_select]]),NOT(ISBLANK(questions[[#This Row],[answer_opt_combined]])),TRUE)</f>
        <v>1</v>
      </c>
    </row>
    <row r="372" spans="1:45" s="77" customFormat="1" x14ac:dyDescent="0.25">
      <c r="A372" s="77" t="str">
        <f>_xlfn.TEXTJOIN("_",TRUE,questions[[#This Row],[origin]:[qno]])</f>
        <v>Vietnam_Robusta_Lam_Dong_Nestlé_IMPACT_2200</v>
      </c>
      <c r="B372" s="77" t="s">
        <v>673</v>
      </c>
      <c r="C372" s="77" t="s">
        <v>674</v>
      </c>
      <c r="D372" s="77" t="s">
        <v>675</v>
      </c>
      <c r="F372" s="104" t="s">
        <v>132</v>
      </c>
      <c r="G372" s="77" t="s">
        <v>133</v>
      </c>
      <c r="H372" s="33" t="str" cm="1">
        <f t="array" ref="H372">INDEX(stableR[question],MATCH(VALUE(questions[[#This Row],[qno]]),VALUE(stableR[qno]),0))</f>
        <v>What is the name of the Sucafina coffee collection point you delivered your coffee to (e.g. name of  washing station/hulling station/cooperative/ intermediary), or which one is closest to you?</v>
      </c>
      <c r="I372" s="33" t="b" cm="1">
        <f t="array" ref="I372">INDEX(stable[is_fixed],MATCH(VALUE(questions[[#This Row],[qno]]),VALUE(stable[qno]),0))</f>
        <v>0</v>
      </c>
      <c r="J372" s="33" t="b" cm="1">
        <f t="array" ref="J372">INDEX(stable[is_localized],MATCH(VALUE(questions[[#This Row],[qno]]),VALUE(stable[qno]),0))</f>
        <v>1</v>
      </c>
      <c r="K372" s="33" t="b" cm="1">
        <f t="array" ref="K372">INDEX(stable[is_supply_chain_dependent],MATCH(VALUE(questions[[#This Row],[qno]]),VALUE(stable[qno]),0))</f>
        <v>0</v>
      </c>
      <c r="L372" s="33" t="b" cm="1">
        <f t="array" ref="L372">INDEX(stable[is_mandatory],MATCH(VALUE(questions[[#This Row],[qno]]),VALUE(stable[qno]),0))</f>
        <v>1</v>
      </c>
      <c r="M372" s="33" t="b" cm="1">
        <f t="array" ref="M372">INDEX(stable[is_automated],MATCH(VALUE(questions[[#This Row],[qno]]),VALUE(stable[qno]),0))</f>
        <v>0</v>
      </c>
      <c r="N372" s="33" t="b" cm="1">
        <f t="array" ref="N372">INDEX(stable[is_free_text],MATCH(VALUE(questions[[#This Row],[qno]]),VALUE(stable[qno]),0))</f>
        <v>0</v>
      </c>
      <c r="O372" s="33" t="b" cm="1">
        <f t="array" ref="O372">INDEX(stable[is_numerical],MATCH(VALUE(questions[[#This Row],[qno]]),VALUE(stable[qno]),0))</f>
        <v>0</v>
      </c>
      <c r="P372" s="103" t="b" cm="1">
        <f t="array" ref="P372">INDEX(stable[is_single_select],MATCH(VALUE(questions[[#This Row],[qno]]),VALUE(stable[qno]),0))</f>
        <v>1</v>
      </c>
      <c r="Q372" s="77" t="b" cm="1">
        <f t="array" ref="Q372">INDEX(stable[is_multi_select],MATCH(VALUE(questions[[#This Row],[qno]]),VALUE(stable[qno]),0))</f>
        <v>0</v>
      </c>
      <c r="R372" s="77" t="b" cm="1">
        <f t="array" ref="R372">INDEX(stable[is_skip_logic],MATCH(VALUE(questions[[#This Row],[qno]]),VALUE(stable[qno]),0))</f>
        <v>0</v>
      </c>
      <c r="S372" s="77" t="str">
        <f>_xlfn.TEXTJOIN(", ",TRUE,questions[[#This Row],[ans_opt_1]:[ans_opt_14]])</f>
        <v>Mubuku, Katerera, Nyabubare, Katete, Kisiizi, Bunyangabu</v>
      </c>
      <c r="T372" s="77" t="s">
        <v>514</v>
      </c>
      <c r="U372" s="77" t="s">
        <v>515</v>
      </c>
      <c r="V372" s="77" t="s">
        <v>516</v>
      </c>
      <c r="W372" s="77" t="s">
        <v>517</v>
      </c>
      <c r="X372" s="77" t="s">
        <v>518</v>
      </c>
      <c r="Y372" s="77" t="s">
        <v>519</v>
      </c>
      <c r="AH372" s="98" t="b">
        <f>INDEX(stable[q_standard],MATCH(questions[[#This Row],[qno]],stable[qno],0))</f>
        <v>1</v>
      </c>
      <c r="AI372" s="98" t="b">
        <f>INDEX(stable[q_living_income],MATCH(questions[[#This Row],[qno]],stable[qno],0))</f>
        <v>0</v>
      </c>
      <c r="AJ372" s="98" t="b">
        <f>INDEX(stable[q_carbon],MATCH(questions[[#This Row],[qno]],stable[qno],0))</f>
        <v>0</v>
      </c>
      <c r="AK372" s="98" t="b">
        <f>INDEX(stable[q_regen_ag],MATCH(questions[[#This Row],[qno]],stable[qno],0))</f>
        <v>0</v>
      </c>
      <c r="AL372" s="98" t="b">
        <f>COUNTIFS(stable[qno],questions[[#This Row],[qno]])=1</f>
        <v>1</v>
      </c>
      <c r="AM372" s="98" t="b">
        <f>OR(questions[[#This Row],[is_fixed]],questions[[#This Row],[is_localized]],questions[[#This Row],[is_supply_chain_dependent]])</f>
        <v>1</v>
      </c>
      <c r="AN372" s="98" t="b">
        <f>COUNTIFS(questions[[#This Row],[is_automated]:[is_multi_select]],TRUE)=1</f>
        <v>1</v>
      </c>
      <c r="AO372" s="98" t="b">
        <f>IF(questions[[#This Row],[is_fixed]],questions[[#This Row],[question]]=INDEX(stable[question],MATCH(questions[[#This Row],[qno]],stable[qno],0)),TRUE)</f>
        <v>1</v>
      </c>
      <c r="AP372" s="98" t="str">
        <f>LEFT(questions[[#This Row],[question]],similarity_range)</f>
        <v>To which Sucafina wa</v>
      </c>
      <c r="AQ372" s="98" t="str">
        <f>LEFT(INDEX(stable[question],MATCH(questions[[#This Row],[qno]],stable[qno],0)),similarity_range)</f>
        <v>To which Sucafina wa</v>
      </c>
      <c r="AR372" s="98" t="b">
        <f>questions[[#This Row],[question_first_characters]]=questions[[#This Row],[stability_first_characters]]</f>
        <v>1</v>
      </c>
      <c r="AS372" s="98" t="b">
        <f>IF(OR(questions[[#This Row],[is_single_select]],questions[[#This Row],[is_multi_select]]),NOT(ISBLANK(questions[[#This Row],[answer_opt_combined]])),TRUE)</f>
        <v>1</v>
      </c>
    </row>
    <row r="373" spans="1:45" x14ac:dyDescent="0.25">
      <c r="A373" s="33" t="str">
        <f>_xlfn.TEXTJOIN("_",TRUE,questions[[#This Row],[origin]:[qno]])</f>
        <v>Vietnam_Robusta_Lam_Dong_Nestlé_IMPACT_3310</v>
      </c>
      <c r="B373" s="33" t="s">
        <v>673</v>
      </c>
      <c r="C373" s="33" t="s">
        <v>674</v>
      </c>
      <c r="D373" s="33" t="s">
        <v>675</v>
      </c>
      <c r="E373" s="33"/>
      <c r="F373" s="18" t="s">
        <v>676</v>
      </c>
      <c r="G373" s="33" t="s">
        <v>677</v>
      </c>
      <c r="H373" s="33" t="str" cm="1">
        <f t="array" ref="H373">INDEX(stableR[question],MATCH(VALUE(questions[[#This Row],[qno]]),VALUE(stableR[qno]),0))</f>
        <v>How many kilograms of green beans did you sell last season (previous 12 months)?</v>
      </c>
      <c r="I373" s="33" t="b" cm="1">
        <f t="array" ref="I373">INDEX(stable[is_fixed],MATCH(VALUE(questions[[#This Row],[qno]]),VALUE(stable[qno]),0))</f>
        <v>0</v>
      </c>
      <c r="J373" s="33" t="b" cm="1">
        <f t="array" ref="J373">INDEX(stable[is_localized],MATCH(VALUE(questions[[#This Row],[qno]]),VALUE(stable[qno]),0))</f>
        <v>1</v>
      </c>
      <c r="K373" s="33" t="b" cm="1">
        <f t="array" ref="K373">INDEX(stable[is_supply_chain_dependent],MATCH(VALUE(questions[[#This Row],[qno]]),VALUE(stable[qno]),0))</f>
        <v>0</v>
      </c>
      <c r="L373" s="33" t="b" cm="1">
        <f t="array" ref="L373">INDEX(stable[is_mandatory],MATCH(VALUE(questions[[#This Row],[qno]]),VALUE(stable[qno]),0))</f>
        <v>0</v>
      </c>
      <c r="M373" s="33" t="b" cm="1">
        <f t="array" ref="M373">INDEX(stable[is_automated],MATCH(VALUE(questions[[#This Row],[qno]]),VALUE(stable[qno]),0))</f>
        <v>0</v>
      </c>
      <c r="N373" s="33" t="b" cm="1">
        <f t="array" ref="N373">INDEX(stable[is_free_text],MATCH(VALUE(questions[[#This Row],[qno]]),VALUE(stable[qno]),0))</f>
        <v>0</v>
      </c>
      <c r="O373" s="33" t="b" cm="1">
        <f t="array" ref="O373">INDEX(stable[is_numerical],MATCH(VALUE(questions[[#This Row],[qno]]),VALUE(stable[qno]),0))</f>
        <v>1</v>
      </c>
      <c r="P373" s="35" t="b" cm="1">
        <f t="array" ref="P373">INDEX(stable[is_single_select],MATCH(VALUE(questions[[#This Row],[qno]]),VALUE(stable[qno]),0))</f>
        <v>0</v>
      </c>
      <c r="Q373" s="33" t="b" cm="1">
        <f t="array" ref="Q373">INDEX(stable[is_multi_select],MATCH(VALUE(questions[[#This Row],[qno]]),VALUE(stable[qno]),0))</f>
        <v>0</v>
      </c>
      <c r="R373" s="33" t="b" cm="1">
        <f t="array" ref="R373">INDEX(stable[is_skip_logic],MATCH(VALUE(questions[[#This Row],[qno]]),VALUE(stable[qno]),0))</f>
        <v>0</v>
      </c>
      <c r="S373" s="33" t="str">
        <f>_xlfn.TEXTJOIN(", ",TRUE,questions[[#This Row],[ans_opt_1]:[ans_opt_14]])</f>
        <v/>
      </c>
      <c r="T373" s="33"/>
      <c r="U373" s="33"/>
      <c r="V373" s="33"/>
      <c r="W373" s="33"/>
      <c r="X373" s="33"/>
      <c r="Y373" s="33"/>
      <c r="Z373" s="33"/>
      <c r="AA373" s="33"/>
      <c r="AB373" s="33"/>
      <c r="AC373" s="33"/>
      <c r="AD373" s="33"/>
      <c r="AE373" s="33"/>
      <c r="AF373" s="33"/>
      <c r="AG373" s="33"/>
      <c r="AH373" s="99" t="b">
        <f>INDEX(stable[q_standard],MATCH(questions[[#This Row],[qno]],stable[qno],0))</f>
        <v>0</v>
      </c>
      <c r="AI373" s="99" t="b">
        <f>INDEX(stable[q_living_income],MATCH(questions[[#This Row],[qno]],stable[qno],0))</f>
        <v>1</v>
      </c>
      <c r="AJ373" s="99" t="b">
        <f>INDEX(stable[q_carbon],MATCH(questions[[#This Row],[qno]],stable[qno],0))</f>
        <v>1</v>
      </c>
      <c r="AK373" s="99" t="b">
        <f>INDEX(stable[q_regen_ag],MATCH(questions[[#This Row],[qno]],stable[qno],0))</f>
        <v>1</v>
      </c>
      <c r="AL373" s="16" t="b">
        <f>COUNTIFS(stable[qno],questions[[#This Row],[qno]])=1</f>
        <v>1</v>
      </c>
      <c r="AM373" s="16" t="b">
        <f>OR(questions[[#This Row],[is_fixed]],questions[[#This Row],[is_localized]],questions[[#This Row],[is_supply_chain_dependent]])</f>
        <v>1</v>
      </c>
      <c r="AN373" s="16" t="b">
        <f>COUNTIFS(questions[[#This Row],[is_automated]:[is_multi_select]],TRUE)=1</f>
        <v>1</v>
      </c>
      <c r="AO373" s="16" t="b">
        <f>IF(questions[[#This Row],[is_fixed]],questions[[#This Row],[question]]=INDEX(stable[question],MATCH(questions[[#This Row],[qno]],stable[qno],0)),TRUE)</f>
        <v>1</v>
      </c>
      <c r="AP373" s="16" t="str">
        <f>LEFT(questions[[#This Row],[question]],similarity_range)</f>
        <v>How many kilograms o</v>
      </c>
      <c r="AQ373" s="16" t="str">
        <f>LEFT(INDEX(stable[question],MATCH(questions[[#This Row],[qno]],stable[qno],0)),similarity_range)</f>
        <v>How many kilograms o</v>
      </c>
      <c r="AR373" s="16" t="b">
        <f>questions[[#This Row],[question_first_characters]]=questions[[#This Row],[stability_first_characters]]</f>
        <v>1</v>
      </c>
      <c r="AS373" s="16" t="b">
        <f>IF(OR(questions[[#This Row],[is_single_select]],questions[[#This Row],[is_multi_select]]),NOT(ISBLANK(questions[[#This Row],[answer_opt_combined]])),TRUE)</f>
        <v>1</v>
      </c>
    </row>
    <row r="374" spans="1:45" x14ac:dyDescent="0.25">
      <c r="A374" s="33" t="str">
        <f>_xlfn.TEXTJOIN("_",TRUE,questions[[#This Row],[origin]:[qno]])</f>
        <v>Vietnam_Robusta_Lam_Dong_Nestlé_IMPACT_3311</v>
      </c>
      <c r="B374" s="33" t="s">
        <v>673</v>
      </c>
      <c r="C374" s="33" t="s">
        <v>674</v>
      </c>
      <c r="D374" s="33" t="s">
        <v>675</v>
      </c>
      <c r="E374" s="33"/>
      <c r="F374" s="18" t="s">
        <v>678</v>
      </c>
      <c r="G374" s="33" t="s">
        <v>679</v>
      </c>
      <c r="H374" s="33" t="str" cm="1">
        <f t="array" ref="H374">INDEX(stableR[question],MATCH(VALUE(questions[[#This Row],[qno]]),VALUE(stableR[qno]),0))</f>
        <v>What was the most common price per kilogram of green beans that you sold last season (previous 12 months)? (in local currency)</v>
      </c>
      <c r="I374" s="33" t="b" cm="1">
        <f t="array" ref="I374">INDEX(stable[is_fixed],MATCH(VALUE(questions[[#This Row],[qno]]),VALUE(stable[qno]),0))</f>
        <v>0</v>
      </c>
      <c r="J374" s="33" t="b" cm="1">
        <f t="array" ref="J374">INDEX(stable[is_localized],MATCH(VALUE(questions[[#This Row],[qno]]),VALUE(stable[qno]),0))</f>
        <v>1</v>
      </c>
      <c r="K374" s="33" t="b" cm="1">
        <f t="array" ref="K374">INDEX(stable[is_supply_chain_dependent],MATCH(VALUE(questions[[#This Row],[qno]]),VALUE(stable[qno]),0))</f>
        <v>0</v>
      </c>
      <c r="L374" s="33" t="b" cm="1">
        <f t="array" ref="L374">INDEX(stable[is_mandatory],MATCH(VALUE(questions[[#This Row],[qno]]),VALUE(stable[qno]),0))</f>
        <v>0</v>
      </c>
      <c r="M374" s="33" t="b" cm="1">
        <f t="array" ref="M374">INDEX(stable[is_automated],MATCH(VALUE(questions[[#This Row],[qno]]),VALUE(stable[qno]),0))</f>
        <v>0</v>
      </c>
      <c r="N374" s="33" t="b" cm="1">
        <f t="array" ref="N374">INDEX(stable[is_free_text],MATCH(VALUE(questions[[#This Row],[qno]]),VALUE(stable[qno]),0))</f>
        <v>0</v>
      </c>
      <c r="O374" s="33" t="b" cm="1">
        <f t="array" ref="O374">INDEX(stable[is_numerical],MATCH(VALUE(questions[[#This Row],[qno]]),VALUE(stable[qno]),0))</f>
        <v>1</v>
      </c>
      <c r="P374" s="35" t="b" cm="1">
        <f t="array" ref="P374">INDEX(stable[is_single_select],MATCH(VALUE(questions[[#This Row],[qno]]),VALUE(stable[qno]),0))</f>
        <v>0</v>
      </c>
      <c r="Q374" s="33" t="b" cm="1">
        <f t="array" ref="Q374">INDEX(stable[is_multi_select],MATCH(VALUE(questions[[#This Row],[qno]]),VALUE(stable[qno]),0))</f>
        <v>0</v>
      </c>
      <c r="R374" s="33" t="b" cm="1">
        <f t="array" ref="R374">INDEX(stable[is_skip_logic],MATCH(VALUE(questions[[#This Row],[qno]]),VALUE(stable[qno]),0))</f>
        <v>0</v>
      </c>
      <c r="S374" s="33" t="str">
        <f>_xlfn.TEXTJOIN(", ",TRUE,questions[[#This Row],[ans_opt_1]:[ans_opt_14]])</f>
        <v/>
      </c>
      <c r="T374" s="33"/>
      <c r="U374" s="33"/>
      <c r="V374" s="33"/>
      <c r="W374" s="33"/>
      <c r="X374" s="33"/>
      <c r="Y374" s="33"/>
      <c r="Z374" s="33"/>
      <c r="AA374" s="33"/>
      <c r="AB374" s="33"/>
      <c r="AC374" s="33"/>
      <c r="AD374" s="33"/>
      <c r="AE374" s="33"/>
      <c r="AF374" s="33"/>
      <c r="AG374" s="33"/>
      <c r="AH374" s="99" t="b">
        <f>INDEX(stable[q_standard],MATCH(questions[[#This Row],[qno]],stable[qno],0))</f>
        <v>0</v>
      </c>
      <c r="AI374" s="99" t="b">
        <f>INDEX(stable[q_living_income],MATCH(questions[[#This Row],[qno]],stable[qno],0))</f>
        <v>1</v>
      </c>
      <c r="AJ374" s="99" t="b">
        <f>INDEX(stable[q_carbon],MATCH(questions[[#This Row],[qno]],stable[qno],0))</f>
        <v>0</v>
      </c>
      <c r="AK374" s="99" t="b">
        <f>INDEX(stable[q_regen_ag],MATCH(questions[[#This Row],[qno]],stable[qno],0))</f>
        <v>0</v>
      </c>
      <c r="AL374" s="16" t="b">
        <f>COUNTIFS(stable[qno],questions[[#This Row],[qno]])=1</f>
        <v>1</v>
      </c>
      <c r="AM374" s="16" t="b">
        <f>OR(questions[[#This Row],[is_fixed]],questions[[#This Row],[is_localized]],questions[[#This Row],[is_supply_chain_dependent]])</f>
        <v>1</v>
      </c>
      <c r="AN374" s="16" t="b">
        <f>COUNTIFS(questions[[#This Row],[is_automated]:[is_multi_select]],TRUE)=1</f>
        <v>1</v>
      </c>
      <c r="AO374" s="16" t="b">
        <f>IF(questions[[#This Row],[is_fixed]],questions[[#This Row],[question]]=INDEX(stable[question],MATCH(questions[[#This Row],[qno]],stable[qno],0)),TRUE)</f>
        <v>1</v>
      </c>
      <c r="AP374" s="16" t="str">
        <f>LEFT(questions[[#This Row],[question]],similarity_range)</f>
        <v>What was the most co</v>
      </c>
      <c r="AQ374" s="16" t="str">
        <f>LEFT(INDEX(stable[question],MATCH(questions[[#This Row],[qno]],stable[qno],0)),similarity_range)</f>
        <v>What was the most co</v>
      </c>
      <c r="AR374" s="16" t="b">
        <f>questions[[#This Row],[question_first_characters]]=questions[[#This Row],[stability_first_characters]]</f>
        <v>1</v>
      </c>
      <c r="AS374" s="16" t="b">
        <f>IF(OR(questions[[#This Row],[is_single_select]],questions[[#This Row],[is_multi_select]]),NOT(ISBLANK(questions[[#This Row],[answer_opt_combined]])),TRUE)</f>
        <v>1</v>
      </c>
    </row>
    <row r="375" spans="1:45" x14ac:dyDescent="0.25">
      <c r="A375" s="33" t="str">
        <f>_xlfn.TEXTJOIN("_",TRUE,questions[[#This Row],[origin]:[qno]])</f>
        <v>Vietnam_Robusta_Lam_Dong_Nestlé_IMPACT_4000</v>
      </c>
      <c r="B375" s="33" t="s">
        <v>673</v>
      </c>
      <c r="C375" s="33" t="s">
        <v>674</v>
      </c>
      <c r="D375" s="33" t="s">
        <v>675</v>
      </c>
      <c r="E375" s="33"/>
      <c r="F375" s="34" t="s">
        <v>143</v>
      </c>
      <c r="G375" s="18" t="s">
        <v>144</v>
      </c>
      <c r="H375" s="33" t="str" cm="1">
        <f t="array" ref="H375">INDEX(stableR[question],MATCH(VALUE(questions[[#This Row],[qno]]),VALUE(stableR[qno]),0))</f>
        <v>About how many coffee trees do you have across all your coffee plots combined?</v>
      </c>
      <c r="I375" s="33" t="b" cm="1">
        <f t="array" ref="I375">INDEX(stable[is_fixed],MATCH(VALUE(questions[[#This Row],[qno]]),VALUE(stable[qno]),0))</f>
        <v>1</v>
      </c>
      <c r="J375" s="33" t="b" cm="1">
        <f t="array" ref="J375">INDEX(stable[is_localized],MATCH(VALUE(questions[[#This Row],[qno]]),VALUE(stable[qno]),0))</f>
        <v>0</v>
      </c>
      <c r="K375" s="33" t="b" cm="1">
        <f t="array" ref="K375">INDEX(stable[is_supply_chain_dependent],MATCH(VALUE(questions[[#This Row],[qno]]),VALUE(stable[qno]),0))</f>
        <v>0</v>
      </c>
      <c r="L375" s="33" t="b" cm="1">
        <f t="array" ref="L375">INDEX(stable[is_mandatory],MATCH(VALUE(questions[[#This Row],[qno]]),VALUE(stable[qno]),0))</f>
        <v>1</v>
      </c>
      <c r="M375" s="33" t="b" cm="1">
        <f t="array" ref="M375">INDEX(stable[is_automated],MATCH(VALUE(questions[[#This Row],[qno]]),VALUE(stable[qno]),0))</f>
        <v>0</v>
      </c>
      <c r="N375" s="33" t="b" cm="1">
        <f t="array" ref="N375">INDEX(stable[is_free_text],MATCH(VALUE(questions[[#This Row],[qno]]),VALUE(stable[qno]),0))</f>
        <v>0</v>
      </c>
      <c r="O375" s="33" t="b" cm="1">
        <f t="array" ref="O375">INDEX(stable[is_numerical],MATCH(VALUE(questions[[#This Row],[qno]]),VALUE(stable[qno]),0))</f>
        <v>1</v>
      </c>
      <c r="P375" s="35" t="b" cm="1">
        <f t="array" ref="P375">INDEX(stable[is_single_select],MATCH(VALUE(questions[[#This Row],[qno]]),VALUE(stable[qno]),0))</f>
        <v>0</v>
      </c>
      <c r="Q375" s="33" t="b" cm="1">
        <f t="array" ref="Q375">INDEX(stable[is_multi_select],MATCH(VALUE(questions[[#This Row],[qno]]),VALUE(stable[qno]),0))</f>
        <v>0</v>
      </c>
      <c r="R375" s="33" t="b" cm="1">
        <f t="array" ref="R375">INDEX(stable[is_skip_logic],MATCH(VALUE(questions[[#This Row],[qno]]),VALUE(stable[qno]),0))</f>
        <v>0</v>
      </c>
      <c r="S375" s="33" t="str">
        <f>_xlfn.TEXTJOIN(", ",TRUE,questions[[#This Row],[ans_opt_1]:[ans_opt_14]])</f>
        <v/>
      </c>
      <c r="T375" s="33"/>
      <c r="U375" s="33"/>
      <c r="V375" s="33"/>
      <c r="W375" s="33"/>
      <c r="X375" s="33"/>
      <c r="Y375" s="33"/>
      <c r="Z375" s="33"/>
      <c r="AA375" s="33"/>
      <c r="AB375" s="33"/>
      <c r="AC375" s="33"/>
      <c r="AD375" s="33"/>
      <c r="AE375" s="33"/>
      <c r="AF375" s="33"/>
      <c r="AG375" s="33"/>
      <c r="AH375" s="99" t="b">
        <f>INDEX(stable[q_standard],MATCH(questions[[#This Row],[qno]],stable[qno],0))</f>
        <v>0</v>
      </c>
      <c r="AI375" s="99" t="b">
        <f>INDEX(stable[q_living_income],MATCH(questions[[#This Row],[qno]],stable[qno],0))</f>
        <v>1</v>
      </c>
      <c r="AJ375" s="99" t="b">
        <f>INDEX(stable[q_carbon],MATCH(questions[[#This Row],[qno]],stable[qno],0))</f>
        <v>1</v>
      </c>
      <c r="AK375" s="99" t="b">
        <f>INDEX(stable[q_regen_ag],MATCH(questions[[#This Row],[qno]],stable[qno],0))</f>
        <v>1</v>
      </c>
      <c r="AL375" s="16" t="b">
        <f>COUNTIFS(stable[qno],questions[[#This Row],[qno]])=1</f>
        <v>1</v>
      </c>
      <c r="AM375" s="16" t="b">
        <f>OR(questions[[#This Row],[is_fixed]],questions[[#This Row],[is_localized]],questions[[#This Row],[is_supply_chain_dependent]])</f>
        <v>1</v>
      </c>
      <c r="AN375" s="16" t="b">
        <f>COUNTIFS(questions[[#This Row],[is_automated]:[is_multi_select]],TRUE)=1</f>
        <v>1</v>
      </c>
      <c r="AO375" s="16" t="b">
        <f>IF(questions[[#This Row],[is_fixed]],questions[[#This Row],[question]]=INDEX(stable[question],MATCH(questions[[#This Row],[qno]],stable[qno],0)),TRUE)</f>
        <v>1</v>
      </c>
      <c r="AP375" s="16" t="str">
        <f>LEFT(questions[[#This Row],[question]],similarity_range)</f>
        <v>Can you estimate how</v>
      </c>
      <c r="AQ375" s="16" t="str">
        <f>LEFT(INDEX(stable[question],MATCH(questions[[#This Row],[qno]],stable[qno],0)),similarity_range)</f>
        <v>Can you estimate how</v>
      </c>
      <c r="AR375" s="16" t="b">
        <f>questions[[#This Row],[question_first_characters]]=questions[[#This Row],[stability_first_characters]]</f>
        <v>1</v>
      </c>
      <c r="AS375" s="16" t="b">
        <f>IF(OR(questions[[#This Row],[is_single_select]],questions[[#This Row],[is_multi_select]]),NOT(ISBLANK(questions[[#This Row],[answer_opt_combined]])),TRUE)</f>
        <v>1</v>
      </c>
    </row>
    <row r="376" spans="1:45" x14ac:dyDescent="0.25">
      <c r="A376" s="33" t="str">
        <f>_xlfn.TEXTJOIN("_",TRUE,questions[[#This Row],[origin]:[qno]])</f>
        <v>Vietnam_Robusta_Lam_Dong_Nestlé_IMPACT_4100</v>
      </c>
      <c r="B376" s="33" t="s">
        <v>673</v>
      </c>
      <c r="C376" s="33" t="s">
        <v>674</v>
      </c>
      <c r="D376" s="33" t="s">
        <v>675</v>
      </c>
      <c r="E376" s="33"/>
      <c r="F376" s="34" t="s">
        <v>145</v>
      </c>
      <c r="G376" s="18" t="s">
        <v>146</v>
      </c>
      <c r="H376" s="33" t="str" cm="1">
        <f t="array" ref="H376">INDEX(stableR[question],MATCH(VALUE(questions[[#This Row],[qno]]),VALUE(stableR[qno]),0))</f>
        <v>In total, how many plots with coffee do you have?</v>
      </c>
      <c r="I376" s="33" t="b" cm="1">
        <f t="array" ref="I376">INDEX(stable[is_fixed],MATCH(VALUE(questions[[#This Row],[qno]]),VALUE(stable[qno]),0))</f>
        <v>1</v>
      </c>
      <c r="J376" s="33" t="b" cm="1">
        <f t="array" ref="J376">INDEX(stable[is_localized],MATCH(VALUE(questions[[#This Row],[qno]]),VALUE(stable[qno]),0))</f>
        <v>0</v>
      </c>
      <c r="K376" s="33" t="b" cm="1">
        <f t="array" ref="K376">INDEX(stable[is_supply_chain_dependent],MATCH(VALUE(questions[[#This Row],[qno]]),VALUE(stable[qno]),0))</f>
        <v>0</v>
      </c>
      <c r="L376" s="33" t="b" cm="1">
        <f t="array" ref="L376">INDEX(stable[is_mandatory],MATCH(VALUE(questions[[#This Row],[qno]]),VALUE(stable[qno]),0))</f>
        <v>1</v>
      </c>
      <c r="M376" s="33" t="b" cm="1">
        <f t="array" ref="M376">INDEX(stable[is_automated],MATCH(VALUE(questions[[#This Row],[qno]]),VALUE(stable[qno]),0))</f>
        <v>0</v>
      </c>
      <c r="N376" s="33" t="b" cm="1">
        <f t="array" ref="N376">INDEX(stable[is_free_text],MATCH(VALUE(questions[[#This Row],[qno]]),VALUE(stable[qno]),0))</f>
        <v>0</v>
      </c>
      <c r="O376" s="33" t="b" cm="1">
        <f t="array" ref="O376">INDEX(stable[is_numerical],MATCH(VALUE(questions[[#This Row],[qno]]),VALUE(stable[qno]),0))</f>
        <v>1</v>
      </c>
      <c r="P376" s="35" t="b" cm="1">
        <f t="array" ref="P376">INDEX(stable[is_single_select],MATCH(VALUE(questions[[#This Row],[qno]]),VALUE(stable[qno]),0))</f>
        <v>0</v>
      </c>
      <c r="Q376" s="33" t="b" cm="1">
        <f t="array" ref="Q376">INDEX(stable[is_multi_select],MATCH(VALUE(questions[[#This Row],[qno]]),VALUE(stable[qno]),0))</f>
        <v>0</v>
      </c>
      <c r="R376" s="33" t="b" cm="1">
        <f t="array" ref="R376">INDEX(stable[is_skip_logic],MATCH(VALUE(questions[[#This Row],[qno]]),VALUE(stable[qno]),0))</f>
        <v>0</v>
      </c>
      <c r="S376" s="33" t="str">
        <f>_xlfn.TEXTJOIN(", ",TRUE,questions[[#This Row],[ans_opt_1]:[ans_opt_14]])</f>
        <v/>
      </c>
      <c r="T376" s="33"/>
      <c r="U376" s="33"/>
      <c r="V376" s="33"/>
      <c r="W376" s="33"/>
      <c r="X376" s="33"/>
      <c r="Y376" s="33"/>
      <c r="Z376" s="33"/>
      <c r="AA376" s="33"/>
      <c r="AB376" s="33"/>
      <c r="AC376" s="33"/>
      <c r="AD376" s="33"/>
      <c r="AE376" s="33"/>
      <c r="AF376" s="33"/>
      <c r="AG376" s="33"/>
      <c r="AH376" s="99" t="b">
        <f>INDEX(stable[q_standard],MATCH(questions[[#This Row],[qno]],stable[qno],0))</f>
        <v>0</v>
      </c>
      <c r="AI376" s="99" t="b">
        <f>INDEX(stable[q_living_income],MATCH(questions[[#This Row],[qno]],stable[qno],0))</f>
        <v>1</v>
      </c>
      <c r="AJ376" s="99" t="b">
        <f>INDEX(stable[q_carbon],MATCH(questions[[#This Row],[qno]],stable[qno],0))</f>
        <v>1</v>
      </c>
      <c r="AK376" s="99" t="b">
        <f>INDEX(stable[q_regen_ag],MATCH(questions[[#This Row],[qno]],stable[qno],0))</f>
        <v>1</v>
      </c>
      <c r="AL376" s="16" t="b">
        <f>COUNTIFS(stable[qno],questions[[#This Row],[qno]])=1</f>
        <v>1</v>
      </c>
      <c r="AM376" s="16" t="b">
        <f>OR(questions[[#This Row],[is_fixed]],questions[[#This Row],[is_localized]],questions[[#This Row],[is_supply_chain_dependent]])</f>
        <v>1</v>
      </c>
      <c r="AN376" s="16" t="b">
        <f>COUNTIFS(questions[[#This Row],[is_automated]:[is_multi_select]],TRUE)=1</f>
        <v>1</v>
      </c>
      <c r="AO376" s="16" t="b">
        <f>IF(questions[[#This Row],[is_fixed]],questions[[#This Row],[question]]=INDEX(stable[question],MATCH(questions[[#This Row],[qno]],stable[qno],0)),TRUE)</f>
        <v>1</v>
      </c>
      <c r="AP376" s="16" t="str">
        <f>LEFT(questions[[#This Row],[question]],similarity_range)</f>
        <v>In total, how many p</v>
      </c>
      <c r="AQ376" s="16" t="str">
        <f>LEFT(INDEX(stable[question],MATCH(questions[[#This Row],[qno]],stable[qno],0)),similarity_range)</f>
        <v>In total, how many p</v>
      </c>
      <c r="AR376" s="16" t="b">
        <f>questions[[#This Row],[question_first_characters]]=questions[[#This Row],[stability_first_characters]]</f>
        <v>1</v>
      </c>
      <c r="AS376" s="16" t="b">
        <f>IF(OR(questions[[#This Row],[is_single_select]],questions[[#This Row],[is_multi_select]]),NOT(ISBLANK(questions[[#This Row],[answer_opt_combined]])),TRUE)</f>
        <v>1</v>
      </c>
    </row>
    <row r="377" spans="1:45" s="77" customFormat="1" x14ac:dyDescent="0.25">
      <c r="A377" s="77" t="str">
        <f>_xlfn.TEXTJOIN("_",TRUE,questions[[#This Row],[origin]:[qno]])</f>
        <v>Vietnam_Robusta_Lam_Dong_Nestlé_IMPACT_4101</v>
      </c>
      <c r="B377" s="77" t="s">
        <v>673</v>
      </c>
      <c r="C377" s="77" t="s">
        <v>674</v>
      </c>
      <c r="D377" s="77" t="s">
        <v>675</v>
      </c>
      <c r="F377" s="104" t="s">
        <v>147</v>
      </c>
      <c r="G377" s="78" t="s">
        <v>148</v>
      </c>
      <c r="H377" s="33" t="str" cm="1">
        <f t="array" ref="H377">INDEX(stableR[question],MATCH(VALUE(questions[[#This Row],[qno]]),VALUE(stableR[qno]),0))</f>
        <v>Can we go to measure/polygon map (area audit) each of these plots?</v>
      </c>
      <c r="I377" s="33" t="b" cm="1">
        <f t="array" ref="I377">INDEX(stable[is_fixed],MATCH(VALUE(questions[[#This Row],[qno]]),VALUE(stable[qno]),0))</f>
        <v>1</v>
      </c>
      <c r="J377" s="33" t="b" cm="1">
        <f t="array" ref="J377">INDEX(stable[is_localized],MATCH(VALUE(questions[[#This Row],[qno]]),VALUE(stable[qno]),0))</f>
        <v>0</v>
      </c>
      <c r="K377" s="33" t="b" cm="1">
        <f t="array" ref="K377">INDEX(stable[is_supply_chain_dependent],MATCH(VALUE(questions[[#This Row],[qno]]),VALUE(stable[qno]),0))</f>
        <v>0</v>
      </c>
      <c r="L377" s="33" t="b" cm="1">
        <f t="array" ref="L377">INDEX(stable[is_mandatory],MATCH(VALUE(questions[[#This Row],[qno]]),VALUE(stable[qno]),0))</f>
        <v>1</v>
      </c>
      <c r="M377" s="33" t="b" cm="1">
        <f t="array" ref="M377">INDEX(stable[is_automated],MATCH(VALUE(questions[[#This Row],[qno]]),VALUE(stable[qno]),0))</f>
        <v>0</v>
      </c>
      <c r="N377" s="33" t="b" cm="1">
        <f t="array" ref="N377">INDEX(stable[is_free_text],MATCH(VALUE(questions[[#This Row],[qno]]),VALUE(stable[qno]),0))</f>
        <v>0</v>
      </c>
      <c r="O377" s="33" t="b" cm="1">
        <f t="array" ref="O377">INDEX(stable[is_numerical],MATCH(VALUE(questions[[#This Row],[qno]]),VALUE(stable[qno]),0))</f>
        <v>0</v>
      </c>
      <c r="P377" s="103" t="b" cm="1">
        <f t="array" ref="P377">INDEX(stable[is_single_select],MATCH(VALUE(questions[[#This Row],[qno]]),VALUE(stable[qno]),0))</f>
        <v>1</v>
      </c>
      <c r="Q377" s="77" t="b" cm="1">
        <f t="array" ref="Q377">INDEX(stable[is_multi_select],MATCH(VALUE(questions[[#This Row],[qno]]),VALUE(stable[qno]),0))</f>
        <v>0</v>
      </c>
      <c r="R377" s="77" t="b" cm="1">
        <f t="array" ref="R377">INDEX(stable[is_skip_logic],MATCH(VALUE(questions[[#This Row],[qno]]),VALUE(stable[qno]),0))</f>
        <v>1</v>
      </c>
      <c r="S377" s="77" t="str">
        <f>_xlfn.TEXTJOIN(", ",TRUE,questions[[#This Row],[ans_opt_1]:[ans_opt_14]])</f>
        <v>Yes, No</v>
      </c>
      <c r="T377" s="77" t="s">
        <v>149</v>
      </c>
      <c r="U377" s="77" t="s">
        <v>119</v>
      </c>
      <c r="AH377" s="98" t="b">
        <f>INDEX(stable[q_standard],MATCH(questions[[#This Row],[qno]],stable[qno],0))</f>
        <v>0</v>
      </c>
      <c r="AI377" s="98" t="b">
        <f>INDEX(stable[q_living_income],MATCH(questions[[#This Row],[qno]],stable[qno],0))</f>
        <v>1</v>
      </c>
      <c r="AJ377" s="98" t="b">
        <f>INDEX(stable[q_carbon],MATCH(questions[[#This Row],[qno]],stable[qno],0))</f>
        <v>1</v>
      </c>
      <c r="AK377" s="98" t="b">
        <f>INDEX(stable[q_regen_ag],MATCH(questions[[#This Row],[qno]],stable[qno],0))</f>
        <v>1</v>
      </c>
      <c r="AL377" s="98" t="b">
        <f>COUNTIFS(stable[qno],questions[[#This Row],[qno]])=1</f>
        <v>1</v>
      </c>
      <c r="AM377" s="98" t="b">
        <f>OR(questions[[#This Row],[is_fixed]],questions[[#This Row],[is_localized]],questions[[#This Row],[is_supply_chain_dependent]])</f>
        <v>1</v>
      </c>
      <c r="AN377" s="98" t="b">
        <f>COUNTIFS(questions[[#This Row],[is_automated]:[is_multi_select]],TRUE)=1</f>
        <v>1</v>
      </c>
      <c r="AO377" s="98" t="b">
        <f>IF(questions[[#This Row],[is_fixed]],questions[[#This Row],[question]]=INDEX(stable[question],MATCH(questions[[#This Row],[qno]],stable[qno],0)),TRUE)</f>
        <v>1</v>
      </c>
      <c r="AP377" s="98" t="str">
        <f>LEFT(questions[[#This Row],[question]],similarity_range)</f>
        <v>Can we go to measure</v>
      </c>
      <c r="AQ377" s="98" t="str">
        <f>LEFT(INDEX(stable[question],MATCH(questions[[#This Row],[qno]],stable[qno],0)),similarity_range)</f>
        <v>Can we go to measure</v>
      </c>
      <c r="AR377" s="98" t="b">
        <f>questions[[#This Row],[question_first_characters]]=questions[[#This Row],[stability_first_characters]]</f>
        <v>1</v>
      </c>
      <c r="AS377" s="98" t="b">
        <f>IF(OR(questions[[#This Row],[is_single_select]],questions[[#This Row],[is_multi_select]]),NOT(ISBLANK(questions[[#This Row],[answer_opt_combined]])),TRUE)</f>
        <v>1</v>
      </c>
    </row>
    <row r="378" spans="1:45" s="77" customFormat="1" x14ac:dyDescent="0.25">
      <c r="A378" s="77" t="str">
        <f>_xlfn.TEXTJOIN("_",TRUE,questions[[#This Row],[origin]:[qno]])</f>
        <v>Vietnam_Robusta_Lam_Dong_Nestlé_IMPACT_4102</v>
      </c>
      <c r="B378" s="77" t="s">
        <v>673</v>
      </c>
      <c r="C378" s="77" t="s">
        <v>674</v>
      </c>
      <c r="D378" s="77" t="s">
        <v>675</v>
      </c>
      <c r="F378" s="104" t="s">
        <v>150</v>
      </c>
      <c r="G378" s="78" t="s">
        <v>151</v>
      </c>
      <c r="H378" s="33" t="str" cm="1">
        <f t="array" ref="H378">INDEX(stableR[question],MATCH(VALUE(questions[[#This Row],[qno]]),VALUE(stableR[qno]),0))</f>
        <v>If No, what is the reason why we cannot visit this/these plot (s) to measure/polygon map it/them?</v>
      </c>
      <c r="I378" s="33" t="b" cm="1">
        <f t="array" ref="I378">INDEX(stable[is_fixed],MATCH(VALUE(questions[[#This Row],[qno]]),VALUE(stable[qno]),0))</f>
        <v>1</v>
      </c>
      <c r="J378" s="33" t="b" cm="1">
        <f t="array" ref="J378">INDEX(stable[is_localized],MATCH(VALUE(questions[[#This Row],[qno]]),VALUE(stable[qno]),0))</f>
        <v>0</v>
      </c>
      <c r="K378" s="33" t="b" cm="1">
        <f t="array" ref="K378">INDEX(stable[is_supply_chain_dependent],MATCH(VALUE(questions[[#This Row],[qno]]),VALUE(stable[qno]),0))</f>
        <v>0</v>
      </c>
      <c r="L378" s="33" t="b" cm="1">
        <f t="array" ref="L378">INDEX(stable[is_mandatory],MATCH(VALUE(questions[[#This Row],[qno]]),VALUE(stable[qno]),0))</f>
        <v>0</v>
      </c>
      <c r="M378" s="33" t="b" cm="1">
        <f t="array" ref="M378">INDEX(stable[is_automated],MATCH(VALUE(questions[[#This Row],[qno]]),VALUE(stable[qno]),0))</f>
        <v>0</v>
      </c>
      <c r="N378" s="33" t="b" cm="1">
        <f t="array" ref="N378">INDEX(stable[is_free_text],MATCH(VALUE(questions[[#This Row],[qno]]),VALUE(stable[qno]),0))</f>
        <v>0</v>
      </c>
      <c r="O378" s="33" t="b" cm="1">
        <f t="array" ref="O378">INDEX(stable[is_numerical],MATCH(VALUE(questions[[#This Row],[qno]]),VALUE(stable[qno]),0))</f>
        <v>0</v>
      </c>
      <c r="P378" s="103" t="b" cm="1">
        <f t="array" ref="P378">INDEX(stable[is_single_select],MATCH(VALUE(questions[[#This Row],[qno]]),VALUE(stable[qno]),0))</f>
        <v>1</v>
      </c>
      <c r="Q378" s="77" t="b" cm="1">
        <f t="array" ref="Q378">INDEX(stable[is_multi_select],MATCH(VALUE(questions[[#This Row],[qno]]),VALUE(stable[qno]),0))</f>
        <v>0</v>
      </c>
      <c r="R378" s="77" t="b" cm="1">
        <f t="array" ref="R378">INDEX(stable[is_skip_logic],MATCH(VALUE(questions[[#This Row],[qno]]),VALUE(stable[qno]),0))</f>
        <v>1</v>
      </c>
      <c r="S378" s="77" t="str">
        <f>_xlfn.TEXTJOIN(", ",TRUE,questions[[#This Row],[ans_opt_1]:[ans_opt_14]])</f>
        <v>Too far, Farmer not willing, Other reason</v>
      </c>
      <c r="T378" s="77" t="s">
        <v>152</v>
      </c>
      <c r="U378" s="77" t="s">
        <v>153</v>
      </c>
      <c r="V378" s="77" t="s">
        <v>154</v>
      </c>
      <c r="AH378" s="98" t="b">
        <f>INDEX(stable[q_standard],MATCH(questions[[#This Row],[qno]],stable[qno],0))</f>
        <v>0</v>
      </c>
      <c r="AI378" s="98" t="b">
        <f>INDEX(stable[q_living_income],MATCH(questions[[#This Row],[qno]],stable[qno],0))</f>
        <v>1</v>
      </c>
      <c r="AJ378" s="98" t="b">
        <f>INDEX(stable[q_carbon],MATCH(questions[[#This Row],[qno]],stable[qno],0))</f>
        <v>1</v>
      </c>
      <c r="AK378" s="98" t="b">
        <f>INDEX(stable[q_regen_ag],MATCH(questions[[#This Row],[qno]],stable[qno],0))</f>
        <v>1</v>
      </c>
      <c r="AL378" s="98" t="b">
        <f>COUNTIFS(stable[qno],questions[[#This Row],[qno]])=1</f>
        <v>1</v>
      </c>
      <c r="AM378" s="98" t="b">
        <f>OR(questions[[#This Row],[is_fixed]],questions[[#This Row],[is_localized]],questions[[#This Row],[is_supply_chain_dependent]])</f>
        <v>1</v>
      </c>
      <c r="AN378" s="98" t="b">
        <f>COUNTIFS(questions[[#This Row],[is_automated]:[is_multi_select]],TRUE)=1</f>
        <v>1</v>
      </c>
      <c r="AO378" s="98" t="b">
        <f>IF(questions[[#This Row],[is_fixed]],questions[[#This Row],[question]]=INDEX(stable[question],MATCH(questions[[#This Row],[qno]],stable[qno],0)),TRUE)</f>
        <v>1</v>
      </c>
      <c r="AP378" s="98" t="str">
        <f>LEFT(questions[[#This Row],[question]],similarity_range)</f>
        <v>If no, what is the r</v>
      </c>
      <c r="AQ378" s="98" t="str">
        <f>LEFT(INDEX(stable[question],MATCH(questions[[#This Row],[qno]],stable[qno],0)),similarity_range)</f>
        <v>If no, what is the r</v>
      </c>
      <c r="AR378" s="98" t="b">
        <f>questions[[#This Row],[question_first_characters]]=questions[[#This Row],[stability_first_characters]]</f>
        <v>1</v>
      </c>
      <c r="AS378" s="98" t="b">
        <f>IF(OR(questions[[#This Row],[is_single_select]],questions[[#This Row],[is_multi_select]]),NOT(ISBLANK(questions[[#This Row],[answer_opt_combined]])),TRUE)</f>
        <v>1</v>
      </c>
    </row>
    <row r="379" spans="1:45" x14ac:dyDescent="0.25">
      <c r="A379" s="33" t="str">
        <f>_xlfn.TEXTJOIN("_",TRUE,questions[[#This Row],[origin]:[qno]])</f>
        <v>Vietnam_Robusta_Lam_Dong_Nestlé_IMPACT_4103</v>
      </c>
      <c r="B379" s="33" t="s">
        <v>673</v>
      </c>
      <c r="C379" s="33" t="s">
        <v>674</v>
      </c>
      <c r="D379" s="33" t="s">
        <v>675</v>
      </c>
      <c r="E379" s="33"/>
      <c r="F379" s="34" t="s">
        <v>155</v>
      </c>
      <c r="G379" s="18" t="s">
        <v>156</v>
      </c>
      <c r="H379" s="33" t="str" cm="1">
        <f t="array" ref="H379">INDEX(stableR[question],MATCH(VALUE(questions[[#This Row],[qno]]),VALUE(stableR[qno]),0))</f>
        <v>Of your total coffee plots, how many cannot be visited during the survey?</v>
      </c>
      <c r="I379" s="33" t="b" cm="1">
        <f t="array" ref="I379">INDEX(stable[is_fixed],MATCH(VALUE(questions[[#This Row],[qno]]),VALUE(stable[qno]),0))</f>
        <v>1</v>
      </c>
      <c r="J379" s="33" t="b" cm="1">
        <f t="array" ref="J379">INDEX(stable[is_localized],MATCH(VALUE(questions[[#This Row],[qno]]),VALUE(stable[qno]),0))</f>
        <v>0</v>
      </c>
      <c r="K379" s="33" t="b" cm="1">
        <f t="array" ref="K379">INDEX(stable[is_supply_chain_dependent],MATCH(VALUE(questions[[#This Row],[qno]]),VALUE(stable[qno]),0))</f>
        <v>0</v>
      </c>
      <c r="L379" s="33" t="b" cm="1">
        <f t="array" ref="L379">INDEX(stable[is_mandatory],MATCH(VALUE(questions[[#This Row],[qno]]),VALUE(stable[qno]),0))</f>
        <v>0</v>
      </c>
      <c r="M379" s="33" t="b" cm="1">
        <f t="array" ref="M379">INDEX(stable[is_automated],MATCH(VALUE(questions[[#This Row],[qno]]),VALUE(stable[qno]),0))</f>
        <v>0</v>
      </c>
      <c r="N379" s="33" t="b" cm="1">
        <f t="array" ref="N379">INDEX(stable[is_free_text],MATCH(VALUE(questions[[#This Row],[qno]]),VALUE(stable[qno]),0))</f>
        <v>0</v>
      </c>
      <c r="O379" s="33" t="b" cm="1">
        <f t="array" ref="O379">INDEX(stable[is_numerical],MATCH(VALUE(questions[[#This Row],[qno]]),VALUE(stable[qno]),0))</f>
        <v>1</v>
      </c>
      <c r="P379" s="35" t="b" cm="1">
        <f t="array" ref="P379">INDEX(stable[is_single_select],MATCH(VALUE(questions[[#This Row],[qno]]),VALUE(stable[qno]),0))</f>
        <v>0</v>
      </c>
      <c r="Q379" s="33" t="b" cm="1">
        <f t="array" ref="Q379">INDEX(stable[is_multi_select],MATCH(VALUE(questions[[#This Row],[qno]]),VALUE(stable[qno]),0))</f>
        <v>0</v>
      </c>
      <c r="R379" s="33" t="b" cm="1">
        <f t="array" ref="R379">INDEX(stable[is_skip_logic],MATCH(VALUE(questions[[#This Row],[qno]]),VALUE(stable[qno]),0))</f>
        <v>0</v>
      </c>
      <c r="S379" s="33" t="str">
        <f>_xlfn.TEXTJOIN(", ",TRUE,questions[[#This Row],[ans_opt_1]:[ans_opt_14]])</f>
        <v/>
      </c>
      <c r="T379" s="33"/>
      <c r="U379" s="33"/>
      <c r="V379" s="33"/>
      <c r="W379" s="33"/>
      <c r="X379" s="33"/>
      <c r="Y379" s="33"/>
      <c r="Z379" s="33"/>
      <c r="AA379" s="33"/>
      <c r="AB379" s="33"/>
      <c r="AC379" s="33"/>
      <c r="AD379" s="33"/>
      <c r="AE379" s="33"/>
      <c r="AF379" s="33"/>
      <c r="AG379" s="33"/>
      <c r="AH379" s="99" t="b">
        <f>INDEX(stable[q_standard],MATCH(questions[[#This Row],[qno]],stable[qno],0))</f>
        <v>0</v>
      </c>
      <c r="AI379" s="99" t="b">
        <f>INDEX(stable[q_living_income],MATCH(questions[[#This Row],[qno]],stable[qno],0))</f>
        <v>1</v>
      </c>
      <c r="AJ379" s="99" t="b">
        <f>INDEX(stable[q_carbon],MATCH(questions[[#This Row],[qno]],stable[qno],0))</f>
        <v>1</v>
      </c>
      <c r="AK379" s="99" t="b">
        <f>INDEX(stable[q_regen_ag],MATCH(questions[[#This Row],[qno]],stable[qno],0))</f>
        <v>1</v>
      </c>
      <c r="AL379" s="16" t="b">
        <f>COUNTIFS(stable[qno],questions[[#This Row],[qno]])=1</f>
        <v>1</v>
      </c>
      <c r="AM379" s="16" t="b">
        <f>OR(questions[[#This Row],[is_fixed]],questions[[#This Row],[is_localized]],questions[[#This Row],[is_supply_chain_dependent]])</f>
        <v>1</v>
      </c>
      <c r="AN379" s="16" t="b">
        <f>COUNTIFS(questions[[#This Row],[is_automated]:[is_multi_select]],TRUE)=1</f>
        <v>1</v>
      </c>
      <c r="AO379" s="16" t="b">
        <f>IF(questions[[#This Row],[is_fixed]],questions[[#This Row],[question]]=INDEX(stable[question],MATCH(questions[[#This Row],[qno]],stable[qno],0)),TRUE)</f>
        <v>1</v>
      </c>
      <c r="AP379" s="16" t="str">
        <f>LEFT(questions[[#This Row],[question]],similarity_range)</f>
        <v>How many coffee plot</v>
      </c>
      <c r="AQ379" s="16" t="str">
        <f>LEFT(INDEX(stable[question],MATCH(questions[[#This Row],[qno]],stable[qno],0)),similarity_range)</f>
        <v>How many coffee plot</v>
      </c>
      <c r="AR379" s="16" t="b">
        <f>questions[[#This Row],[question_first_characters]]=questions[[#This Row],[stability_first_characters]]</f>
        <v>1</v>
      </c>
      <c r="AS379" s="16" t="b">
        <f>IF(OR(questions[[#This Row],[is_single_select]],questions[[#This Row],[is_multi_select]]),NOT(ISBLANK(questions[[#This Row],[answer_opt_combined]])),TRUE)</f>
        <v>1</v>
      </c>
    </row>
    <row r="380" spans="1:45" x14ac:dyDescent="0.25">
      <c r="A380" s="33" t="str">
        <f>_xlfn.TEXTJOIN("_",TRUE,questions[[#This Row],[origin]:[qno]])</f>
        <v>Vietnam_Robusta_Lam_Dong_Nestlé_IMPACT_4104</v>
      </c>
      <c r="B380" s="33" t="s">
        <v>673</v>
      </c>
      <c r="C380" s="33" t="s">
        <v>674</v>
      </c>
      <c r="D380" s="33" t="s">
        <v>675</v>
      </c>
      <c r="E380" s="33"/>
      <c r="F380" s="34" t="s">
        <v>157</v>
      </c>
      <c r="G380" s="18" t="s">
        <v>158</v>
      </c>
      <c r="H380" s="33" t="str" cm="1">
        <f t="array" ref="H380">INDEX(stableR[question],MATCH(VALUE(questions[[#This Row],[qno]]),VALUE(stableR[qno]),0))</f>
        <v>Of the coffee plots that cannot be visited, what is the total area of these plots? (in acres)</v>
      </c>
      <c r="I380" s="33" t="b" cm="1">
        <f t="array" ref="I380">INDEX(stable[is_fixed],MATCH(VALUE(questions[[#This Row],[qno]]),VALUE(stable[qno]),0))</f>
        <v>1</v>
      </c>
      <c r="J380" s="33" t="b" cm="1">
        <f t="array" ref="J380">INDEX(stable[is_localized],MATCH(VALUE(questions[[#This Row],[qno]]),VALUE(stable[qno]),0))</f>
        <v>0</v>
      </c>
      <c r="K380" s="33" t="b" cm="1">
        <f t="array" ref="K380">INDEX(stable[is_supply_chain_dependent],MATCH(VALUE(questions[[#This Row],[qno]]),VALUE(stable[qno]),0))</f>
        <v>0</v>
      </c>
      <c r="L380" s="33" t="b" cm="1">
        <f t="array" ref="L380">INDEX(stable[is_mandatory],MATCH(VALUE(questions[[#This Row],[qno]]),VALUE(stable[qno]),0))</f>
        <v>0</v>
      </c>
      <c r="M380" s="33" t="b" cm="1">
        <f t="array" ref="M380">INDEX(stable[is_automated],MATCH(VALUE(questions[[#This Row],[qno]]),VALUE(stable[qno]),0))</f>
        <v>0</v>
      </c>
      <c r="N380" s="33" t="b" cm="1">
        <f t="array" ref="N380">INDEX(stable[is_free_text],MATCH(VALUE(questions[[#This Row],[qno]]),VALUE(stable[qno]),0))</f>
        <v>0</v>
      </c>
      <c r="O380" s="33" t="b" cm="1">
        <f t="array" ref="O380">INDEX(stable[is_numerical],MATCH(VALUE(questions[[#This Row],[qno]]),VALUE(stable[qno]),0))</f>
        <v>1</v>
      </c>
      <c r="P380" s="35" t="b" cm="1">
        <f t="array" ref="P380">INDEX(stable[is_single_select],MATCH(VALUE(questions[[#This Row],[qno]]),VALUE(stable[qno]),0))</f>
        <v>0</v>
      </c>
      <c r="Q380" s="33" t="b" cm="1">
        <f t="array" ref="Q380">INDEX(stable[is_multi_select],MATCH(VALUE(questions[[#This Row],[qno]]),VALUE(stable[qno]),0))</f>
        <v>0</v>
      </c>
      <c r="R380" s="33" t="b" cm="1">
        <f t="array" ref="R380">INDEX(stable[is_skip_logic],MATCH(VALUE(questions[[#This Row],[qno]]),VALUE(stable[qno]),0))</f>
        <v>0</v>
      </c>
      <c r="S380" s="33" t="str">
        <f>_xlfn.TEXTJOIN(", ",TRUE,questions[[#This Row],[ans_opt_1]:[ans_opt_14]])</f>
        <v/>
      </c>
      <c r="T380" s="33"/>
      <c r="U380" s="33"/>
      <c r="V380" s="33"/>
      <c r="W380" s="33"/>
      <c r="X380" s="33"/>
      <c r="Y380" s="33"/>
      <c r="Z380" s="33"/>
      <c r="AA380" s="33"/>
      <c r="AB380" s="33"/>
      <c r="AC380" s="33"/>
      <c r="AD380" s="33"/>
      <c r="AE380" s="33"/>
      <c r="AF380" s="33"/>
      <c r="AG380" s="33"/>
      <c r="AH380" s="99" t="b">
        <f>INDEX(stable[q_standard],MATCH(questions[[#This Row],[qno]],stable[qno],0))</f>
        <v>0</v>
      </c>
      <c r="AI380" s="99" t="b">
        <f>INDEX(stable[q_living_income],MATCH(questions[[#This Row],[qno]],stable[qno],0))</f>
        <v>1</v>
      </c>
      <c r="AJ380" s="99" t="b">
        <f>INDEX(stable[q_carbon],MATCH(questions[[#This Row],[qno]],stable[qno],0))</f>
        <v>1</v>
      </c>
      <c r="AK380" s="99" t="b">
        <f>INDEX(stable[q_regen_ag],MATCH(questions[[#This Row],[qno]],stable[qno],0))</f>
        <v>1</v>
      </c>
      <c r="AL380" s="16" t="b">
        <f>COUNTIFS(stable[qno],questions[[#This Row],[qno]])=1</f>
        <v>1</v>
      </c>
      <c r="AM380" s="16" t="b">
        <f>OR(questions[[#This Row],[is_fixed]],questions[[#This Row],[is_localized]],questions[[#This Row],[is_supply_chain_dependent]])</f>
        <v>1</v>
      </c>
      <c r="AN380" s="16" t="b">
        <f>COUNTIFS(questions[[#This Row],[is_automated]:[is_multi_select]],TRUE)=1</f>
        <v>1</v>
      </c>
      <c r="AO380" s="16" t="b">
        <f>IF(questions[[#This Row],[is_fixed]],questions[[#This Row],[question]]=INDEX(stable[question],MATCH(questions[[#This Row],[qno]],stable[qno],0)),TRUE)</f>
        <v>1</v>
      </c>
      <c r="AP380" s="16" t="str">
        <f>LEFT(questions[[#This Row],[question]],similarity_range)</f>
        <v>What is the total ar</v>
      </c>
      <c r="AQ380" s="16" t="str">
        <f>LEFT(INDEX(stable[question],MATCH(questions[[#This Row],[qno]],stable[qno],0)),similarity_range)</f>
        <v>What is the total ar</v>
      </c>
      <c r="AR380" s="16" t="b">
        <f>questions[[#This Row],[question_first_characters]]=questions[[#This Row],[stability_first_characters]]</f>
        <v>1</v>
      </c>
      <c r="AS380" s="16" t="b">
        <f>IF(OR(questions[[#This Row],[is_single_select]],questions[[#This Row],[is_multi_select]]),NOT(ISBLANK(questions[[#This Row],[answer_opt_combined]])),TRUE)</f>
        <v>1</v>
      </c>
    </row>
    <row r="381" spans="1:45" s="77" customFormat="1" x14ac:dyDescent="0.25">
      <c r="A381" s="77" t="str">
        <f>_xlfn.TEXTJOIN("_",TRUE,questions[[#This Row],[origin]:[qno]])</f>
        <v>Vietnam_Robusta_Lam_Dong_Nestlé_IMPACT_5000</v>
      </c>
      <c r="B381" s="77" t="s">
        <v>673</v>
      </c>
      <c r="C381" s="77" t="s">
        <v>674</v>
      </c>
      <c r="D381" s="77" t="s">
        <v>675</v>
      </c>
      <c r="F381" s="104" t="s">
        <v>159</v>
      </c>
      <c r="G381" s="78" t="s">
        <v>160</v>
      </c>
      <c r="H381" s="33" t="str" cm="1">
        <f t="array" ref="H381">INDEX(stableR[question],MATCH(VALUE(questions[[#This Row],[qno]]),VALUE(stableR[qno]),0))</f>
        <v>Did you use synthetic fertilizers for your coffee last year?</v>
      </c>
      <c r="I381" s="33" t="b" cm="1">
        <f t="array" ref="I381">INDEX(stable[is_fixed],MATCH(VALUE(questions[[#This Row],[qno]]),VALUE(stable[qno]),0))</f>
        <v>1</v>
      </c>
      <c r="J381" s="33" t="b" cm="1">
        <f t="array" ref="J381">INDEX(stable[is_localized],MATCH(VALUE(questions[[#This Row],[qno]]),VALUE(stable[qno]),0))</f>
        <v>0</v>
      </c>
      <c r="K381" s="33" t="b" cm="1">
        <f t="array" ref="K381">INDEX(stable[is_supply_chain_dependent],MATCH(VALUE(questions[[#This Row],[qno]]),VALUE(stable[qno]),0))</f>
        <v>0</v>
      </c>
      <c r="L381" s="33" t="b" cm="1">
        <f t="array" ref="L381">INDEX(stable[is_mandatory],MATCH(VALUE(questions[[#This Row],[qno]]),VALUE(stable[qno]),0))</f>
        <v>1</v>
      </c>
      <c r="M381" s="33" t="b" cm="1">
        <f t="array" ref="M381">INDEX(stable[is_automated],MATCH(VALUE(questions[[#This Row],[qno]]),VALUE(stable[qno]),0))</f>
        <v>0</v>
      </c>
      <c r="N381" s="33" t="b" cm="1">
        <f t="array" ref="N381">INDEX(stable[is_free_text],MATCH(VALUE(questions[[#This Row],[qno]]),VALUE(stable[qno]),0))</f>
        <v>0</v>
      </c>
      <c r="O381" s="33" t="b" cm="1">
        <f t="array" ref="O381">INDEX(stable[is_numerical],MATCH(VALUE(questions[[#This Row],[qno]]),VALUE(stable[qno]),0))</f>
        <v>0</v>
      </c>
      <c r="P381" s="103" t="b" cm="1">
        <f t="array" ref="P381">INDEX(stable[is_single_select],MATCH(VALUE(questions[[#This Row],[qno]]),VALUE(stable[qno]),0))</f>
        <v>1</v>
      </c>
      <c r="Q381" s="77" t="b" cm="1">
        <f t="array" ref="Q381">INDEX(stable[is_multi_select],MATCH(VALUE(questions[[#This Row],[qno]]),VALUE(stable[qno]),0))</f>
        <v>0</v>
      </c>
      <c r="R381" s="77" t="b" cm="1">
        <f t="array" ref="R381">INDEX(stable[is_skip_logic],MATCH(VALUE(questions[[#This Row],[qno]]),VALUE(stable[qno]),0))</f>
        <v>1</v>
      </c>
      <c r="S381" s="77" t="str">
        <f>_xlfn.TEXTJOIN(", ",TRUE,questions[[#This Row],[ans_opt_1]:[ans_opt_14]])</f>
        <v>Yes, No</v>
      </c>
      <c r="T381" s="77" t="s">
        <v>149</v>
      </c>
      <c r="U381" s="77" t="s">
        <v>119</v>
      </c>
      <c r="AH381" s="98" t="b">
        <f>INDEX(stable[q_standard],MATCH(questions[[#This Row],[qno]],stable[qno],0))</f>
        <v>0</v>
      </c>
      <c r="AI381" s="98" t="b">
        <f>INDEX(stable[q_living_income],MATCH(questions[[#This Row],[qno]],stable[qno],0))</f>
        <v>1</v>
      </c>
      <c r="AJ381" s="98" t="b">
        <f>INDEX(stable[q_carbon],MATCH(questions[[#This Row],[qno]],stable[qno],0))</f>
        <v>1</v>
      </c>
      <c r="AK381" s="98" t="b">
        <f>INDEX(stable[q_regen_ag],MATCH(questions[[#This Row],[qno]],stable[qno],0))</f>
        <v>0</v>
      </c>
      <c r="AL381" s="98" t="b">
        <f>COUNTIFS(stable[qno],questions[[#This Row],[qno]])=1</f>
        <v>1</v>
      </c>
      <c r="AM381" s="98" t="b">
        <f>OR(questions[[#This Row],[is_fixed]],questions[[#This Row],[is_localized]],questions[[#This Row],[is_supply_chain_dependent]])</f>
        <v>1</v>
      </c>
      <c r="AN381" s="98" t="b">
        <f>COUNTIFS(questions[[#This Row],[is_automated]:[is_multi_select]],TRUE)=1</f>
        <v>1</v>
      </c>
      <c r="AO381" s="98" t="b">
        <f>IF(questions[[#This Row],[is_fixed]],questions[[#This Row],[question]]=INDEX(stable[question],MATCH(questions[[#This Row],[qno]],stable[qno],0)),TRUE)</f>
        <v>1</v>
      </c>
      <c r="AP381" s="98" t="str">
        <f>LEFT(questions[[#This Row],[question]],similarity_range)</f>
        <v>Did you use syntheti</v>
      </c>
      <c r="AQ381" s="98" t="str">
        <f>LEFT(INDEX(stable[question],MATCH(questions[[#This Row],[qno]],stable[qno],0)),similarity_range)</f>
        <v>Did you use syntheti</v>
      </c>
      <c r="AR381" s="98" t="b">
        <f>questions[[#This Row],[question_first_characters]]=questions[[#This Row],[stability_first_characters]]</f>
        <v>1</v>
      </c>
      <c r="AS381" s="98" t="b">
        <f>IF(OR(questions[[#This Row],[is_single_select]],questions[[#This Row],[is_multi_select]]),NOT(ISBLANK(questions[[#This Row],[answer_opt_combined]])),TRUE)</f>
        <v>1</v>
      </c>
    </row>
    <row r="382" spans="1:45" x14ac:dyDescent="0.25">
      <c r="A382" s="33" t="str">
        <f>_xlfn.TEXTJOIN("_",TRUE,questions[[#This Row],[origin]:[qno]])</f>
        <v>Vietnam_Robusta_Lam_Dong_Nestlé_IMPACT_5001</v>
      </c>
      <c r="B382" s="33" t="s">
        <v>673</v>
      </c>
      <c r="C382" s="33" t="s">
        <v>674</v>
      </c>
      <c r="D382" s="33" t="s">
        <v>675</v>
      </c>
      <c r="E382" s="33"/>
      <c r="F382" s="34" t="s">
        <v>161</v>
      </c>
      <c r="G382" s="18" t="s">
        <v>162</v>
      </c>
      <c r="H382" s="33" t="str" cm="1">
        <f t="array" ref="H382">INDEX(stableR[question],MATCH(VALUE(questions[[#This Row],[qno]]),VALUE(stableR[qno]),0))</f>
        <v>If yes, how many types of synthetic fertilizer did you use last year?</v>
      </c>
      <c r="I382" s="33" t="b" cm="1">
        <f t="array" ref="I382">INDEX(stable[is_fixed],MATCH(VALUE(questions[[#This Row],[qno]]),VALUE(stable[qno]),0))</f>
        <v>1</v>
      </c>
      <c r="J382" s="33" t="b" cm="1">
        <f t="array" ref="J382">INDEX(stable[is_localized],MATCH(VALUE(questions[[#This Row],[qno]]),VALUE(stable[qno]),0))</f>
        <v>0</v>
      </c>
      <c r="K382" s="33" t="b" cm="1">
        <f t="array" ref="K382">INDEX(stable[is_supply_chain_dependent],MATCH(VALUE(questions[[#This Row],[qno]]),VALUE(stable[qno]),0))</f>
        <v>0</v>
      </c>
      <c r="L382" s="33" t="b" cm="1">
        <f t="array" ref="L382">INDEX(stable[is_mandatory],MATCH(VALUE(questions[[#This Row],[qno]]),VALUE(stable[qno]),0))</f>
        <v>0</v>
      </c>
      <c r="M382" s="33" t="b" cm="1">
        <f t="array" ref="M382">INDEX(stable[is_automated],MATCH(VALUE(questions[[#This Row],[qno]]),VALUE(stable[qno]),0))</f>
        <v>0</v>
      </c>
      <c r="N382" s="33" t="b" cm="1">
        <f t="array" ref="N382">INDEX(stable[is_free_text],MATCH(VALUE(questions[[#This Row],[qno]]),VALUE(stable[qno]),0))</f>
        <v>0</v>
      </c>
      <c r="O382" s="33" t="b" cm="1">
        <f t="array" ref="O382">INDEX(stable[is_numerical],MATCH(VALUE(questions[[#This Row],[qno]]),VALUE(stable[qno]),0))</f>
        <v>1</v>
      </c>
      <c r="P382" s="35" t="b" cm="1">
        <f t="array" ref="P382">INDEX(stable[is_single_select],MATCH(VALUE(questions[[#This Row],[qno]]),VALUE(stable[qno]),0))</f>
        <v>0</v>
      </c>
      <c r="Q382" s="33" t="b" cm="1">
        <f t="array" ref="Q382">INDEX(stable[is_multi_select],MATCH(VALUE(questions[[#This Row],[qno]]),VALUE(stable[qno]),0))</f>
        <v>0</v>
      </c>
      <c r="R382" s="33" t="b" cm="1">
        <f t="array" ref="R382">INDEX(stable[is_skip_logic],MATCH(VALUE(questions[[#This Row],[qno]]),VALUE(stable[qno]),0))</f>
        <v>1</v>
      </c>
      <c r="S382" s="33" t="str">
        <f>_xlfn.TEXTJOIN(", ",TRUE,questions[[#This Row],[ans_opt_1]:[ans_opt_14]])</f>
        <v/>
      </c>
      <c r="T382" s="33"/>
      <c r="U382" s="33"/>
      <c r="V382" s="33"/>
      <c r="W382" s="33"/>
      <c r="X382" s="33"/>
      <c r="Y382" s="33"/>
      <c r="Z382" s="33"/>
      <c r="AA382" s="33"/>
      <c r="AB382" s="33"/>
      <c r="AC382" s="33"/>
      <c r="AD382" s="33"/>
      <c r="AE382" s="33"/>
      <c r="AF382" s="33"/>
      <c r="AG382" s="33"/>
      <c r="AH382" s="99" t="b">
        <f>INDEX(stable[q_standard],MATCH(questions[[#This Row],[qno]],stable[qno],0))</f>
        <v>0</v>
      </c>
      <c r="AI382" s="99" t="b">
        <f>INDEX(stable[q_living_income],MATCH(questions[[#This Row],[qno]],stable[qno],0))</f>
        <v>1</v>
      </c>
      <c r="AJ382" s="99" t="b">
        <f>INDEX(stable[q_carbon],MATCH(questions[[#This Row],[qno]],stable[qno],0))</f>
        <v>1</v>
      </c>
      <c r="AK382" s="99" t="b">
        <f>INDEX(stable[q_regen_ag],MATCH(questions[[#This Row],[qno]],stable[qno],0))</f>
        <v>0</v>
      </c>
      <c r="AL382" s="16" t="b">
        <f>COUNTIFS(stable[qno],questions[[#This Row],[qno]])=1</f>
        <v>1</v>
      </c>
      <c r="AM382" s="16" t="b">
        <f>OR(questions[[#This Row],[is_fixed]],questions[[#This Row],[is_localized]],questions[[#This Row],[is_supply_chain_dependent]])</f>
        <v>1</v>
      </c>
      <c r="AN382" s="16" t="b">
        <f>COUNTIFS(questions[[#This Row],[is_automated]:[is_multi_select]],TRUE)=1</f>
        <v>1</v>
      </c>
      <c r="AO382" s="16" t="b">
        <f>IF(questions[[#This Row],[is_fixed]],questions[[#This Row],[question]]=INDEX(stable[question],MATCH(questions[[#This Row],[qno]],stable[qno],0)),TRUE)</f>
        <v>1</v>
      </c>
      <c r="AP382" s="16" t="str">
        <f>LEFT(questions[[#This Row],[question]],similarity_range)</f>
        <v>If yes, how many typ</v>
      </c>
      <c r="AQ382" s="16" t="str">
        <f>LEFT(INDEX(stable[question],MATCH(questions[[#This Row],[qno]],stable[qno],0)),similarity_range)</f>
        <v>If yes, how many typ</v>
      </c>
      <c r="AR382" s="16" t="b">
        <f>questions[[#This Row],[question_first_characters]]=questions[[#This Row],[stability_first_characters]]</f>
        <v>1</v>
      </c>
      <c r="AS382" s="16" t="b">
        <f>IF(OR(questions[[#This Row],[is_single_select]],questions[[#This Row],[is_multi_select]]),NOT(ISBLANK(questions[[#This Row],[answer_opt_combined]])),TRUE)</f>
        <v>1</v>
      </c>
    </row>
    <row r="383" spans="1:45" x14ac:dyDescent="0.25">
      <c r="A383" s="33" t="str">
        <f>_xlfn.TEXTJOIN("_",TRUE,questions[[#This Row],[origin]:[qno]])</f>
        <v>Vietnam_Robusta_Lam_Dong_Nestlé_IMPACT_5100</v>
      </c>
      <c r="B383" s="33" t="s">
        <v>673</v>
      </c>
      <c r="C383" s="33" t="s">
        <v>674</v>
      </c>
      <c r="D383" s="33" t="s">
        <v>675</v>
      </c>
      <c r="E383" s="33"/>
      <c r="F383" s="34" t="s">
        <v>163</v>
      </c>
      <c r="G383" s="18" t="s">
        <v>558</v>
      </c>
      <c r="H383" s="33" t="str" cm="1">
        <f t="array" ref="H383">INDEX(stableR[question],MATCH(VALUE(questions[[#This Row],[qno]]),VALUE(stableR[qno]),0))</f>
        <v>What was the name of the synthetic fertilizer that you used most, last year?</v>
      </c>
      <c r="I383" s="33" t="b" cm="1">
        <f t="array" ref="I383">INDEX(stable[is_fixed],MATCH(VALUE(questions[[#This Row],[qno]]),VALUE(stable[qno]),0))</f>
        <v>0</v>
      </c>
      <c r="J383" s="33" t="b" cm="1">
        <f t="array" ref="J383">INDEX(stable[is_localized],MATCH(VALUE(questions[[#This Row],[qno]]),VALUE(stable[qno]),0))</f>
        <v>1</v>
      </c>
      <c r="K383" s="33" t="b" cm="1">
        <f t="array" ref="K383">INDEX(stable[is_supply_chain_dependent],MATCH(VALUE(questions[[#This Row],[qno]]),VALUE(stable[qno]),0))</f>
        <v>0</v>
      </c>
      <c r="L383" s="33" t="b" cm="1">
        <f t="array" ref="L383">INDEX(stable[is_mandatory],MATCH(VALUE(questions[[#This Row],[qno]]),VALUE(stable[qno]),0))</f>
        <v>0</v>
      </c>
      <c r="M383" s="33" t="b" cm="1">
        <f t="array" ref="M383">INDEX(stable[is_automated],MATCH(VALUE(questions[[#This Row],[qno]]),VALUE(stable[qno]),0))</f>
        <v>0</v>
      </c>
      <c r="N383" s="33" t="b" cm="1">
        <f t="array" ref="N383">INDEX(stable[is_free_text],MATCH(VALUE(questions[[#This Row],[qno]]),VALUE(stable[qno]),0))</f>
        <v>0</v>
      </c>
      <c r="O383" s="33" t="b" cm="1">
        <f t="array" ref="O383">INDEX(stable[is_numerical],MATCH(VALUE(questions[[#This Row],[qno]]),VALUE(stable[qno]),0))</f>
        <v>0</v>
      </c>
      <c r="P383" s="35" t="b" cm="1">
        <f t="array" ref="P383">INDEX(stable[is_single_select],MATCH(VALUE(questions[[#This Row],[qno]]),VALUE(stable[qno]),0))</f>
        <v>1</v>
      </c>
      <c r="Q383" s="33" t="b" cm="1">
        <f t="array" ref="Q383">INDEX(stable[is_multi_select],MATCH(VALUE(questions[[#This Row],[qno]]),VALUE(stable[qno]),0))</f>
        <v>0</v>
      </c>
      <c r="R383" s="33" t="b" cm="1">
        <f t="array" ref="R383">INDEX(stable[is_skip_logic],MATCH(VALUE(questions[[#This Row],[qno]]),VALUE(stable[qno]),0))</f>
        <v>1</v>
      </c>
      <c r="S383" s="33" t="str">
        <f>_xlfn.TEXTJOIN(", ",TRUE,questions[[#This Row],[ans_opt_1]:[ans_opt_14]])</f>
        <v/>
      </c>
      <c r="T383" s="33"/>
      <c r="U383" s="33"/>
      <c r="V383" s="33"/>
      <c r="W383" s="33"/>
      <c r="X383" s="33"/>
      <c r="Y383" s="33"/>
      <c r="Z383" s="33"/>
      <c r="AA383" s="33"/>
      <c r="AB383" s="33"/>
      <c r="AC383" s="33"/>
      <c r="AD383" s="33"/>
      <c r="AE383" s="33"/>
      <c r="AF383" s="33"/>
      <c r="AG383" s="33"/>
      <c r="AH383" s="99" t="b">
        <f>INDEX(stable[q_standard],MATCH(questions[[#This Row],[qno]],stable[qno],0))</f>
        <v>0</v>
      </c>
      <c r="AI383" s="99" t="b">
        <f>INDEX(stable[q_living_income],MATCH(questions[[#This Row],[qno]],stable[qno],0))</f>
        <v>1</v>
      </c>
      <c r="AJ383" s="99" t="b">
        <f>INDEX(stable[q_carbon],MATCH(questions[[#This Row],[qno]],stable[qno],0))</f>
        <v>1</v>
      </c>
      <c r="AK383" s="99" t="b">
        <f>INDEX(stable[q_regen_ag],MATCH(questions[[#This Row],[qno]],stable[qno],0))</f>
        <v>0</v>
      </c>
      <c r="AL383" s="16" t="b">
        <f>COUNTIFS(stable[qno],questions[[#This Row],[qno]])=1</f>
        <v>1</v>
      </c>
      <c r="AM383" s="16" t="b">
        <f>OR(questions[[#This Row],[is_fixed]],questions[[#This Row],[is_localized]],questions[[#This Row],[is_supply_chain_dependent]])</f>
        <v>1</v>
      </c>
      <c r="AN383" s="16" t="b">
        <f>COUNTIFS(questions[[#This Row],[is_automated]:[is_multi_select]],TRUE)=1</f>
        <v>1</v>
      </c>
      <c r="AO383" s="16" t="b">
        <f>IF(questions[[#This Row],[is_fixed]],questions[[#This Row],[question]]=INDEX(stable[question],MATCH(questions[[#This Row],[qno]],stable[qno],0)),TRUE)</f>
        <v>1</v>
      </c>
      <c r="AP383" s="16" t="str">
        <f>LEFT(questions[[#This Row],[question]],similarity_range)</f>
        <v xml:space="preserve">What is the name of </v>
      </c>
      <c r="AQ383" s="16" t="str">
        <f>LEFT(INDEX(stable[question],MATCH(questions[[#This Row],[qno]],stable[qno],0)),similarity_range)</f>
        <v xml:space="preserve">What is the name of </v>
      </c>
      <c r="AR383" s="16" t="b">
        <f>questions[[#This Row],[question_first_characters]]=questions[[#This Row],[stability_first_characters]]</f>
        <v>1</v>
      </c>
      <c r="AS383" s="16" t="b">
        <f>IF(OR(questions[[#This Row],[is_single_select]],questions[[#This Row],[is_multi_select]]),NOT(ISBLANK(questions[[#This Row],[answer_opt_combined]])),TRUE)</f>
        <v>1</v>
      </c>
    </row>
    <row r="384" spans="1:45" x14ac:dyDescent="0.25">
      <c r="A384" s="33" t="str">
        <f>_xlfn.TEXTJOIN("_",TRUE,questions[[#This Row],[origin]:[qno]])</f>
        <v>Vietnam_Robusta_Lam_Dong_Nestlé_IMPACT_5101</v>
      </c>
      <c r="B384" s="33" t="s">
        <v>673</v>
      </c>
      <c r="C384" s="33" t="s">
        <v>674</v>
      </c>
      <c r="D384" s="33" t="s">
        <v>675</v>
      </c>
      <c r="E384" s="33"/>
      <c r="F384" s="34" t="s">
        <v>165</v>
      </c>
      <c r="G384" s="18" t="s">
        <v>559</v>
      </c>
      <c r="H384" s="33" t="str" cm="1">
        <f t="array" ref="H384">INDEX(stableR[question],MATCH(VALUE(questions[[#This Row],[qno]]),VALUE(stableR[qno]),0))</f>
        <v>What was the total quantity of the synthetic fertilizer that you used most, last year? (Kg)</v>
      </c>
      <c r="I384" s="33" t="b" cm="1">
        <f t="array" ref="I384">INDEX(stable[is_fixed],MATCH(VALUE(questions[[#This Row],[qno]]),VALUE(stable[qno]),0))</f>
        <v>0</v>
      </c>
      <c r="J384" s="33" t="b" cm="1">
        <f t="array" ref="J384">INDEX(stable[is_localized],MATCH(VALUE(questions[[#This Row],[qno]]),VALUE(stable[qno]),0))</f>
        <v>1</v>
      </c>
      <c r="K384" s="33" t="b" cm="1">
        <f t="array" ref="K384">INDEX(stable[is_supply_chain_dependent],MATCH(VALUE(questions[[#This Row],[qno]]),VALUE(stable[qno]),0))</f>
        <v>0</v>
      </c>
      <c r="L384" s="33" t="b" cm="1">
        <f t="array" ref="L384">INDEX(stable[is_mandatory],MATCH(VALUE(questions[[#This Row],[qno]]),VALUE(stable[qno]),0))</f>
        <v>0</v>
      </c>
      <c r="M384" s="33" t="b" cm="1">
        <f t="array" ref="M384">INDEX(stable[is_automated],MATCH(VALUE(questions[[#This Row],[qno]]),VALUE(stable[qno]),0))</f>
        <v>0</v>
      </c>
      <c r="N384" s="33" t="b" cm="1">
        <f t="array" ref="N384">INDEX(stable[is_free_text],MATCH(VALUE(questions[[#This Row],[qno]]),VALUE(stable[qno]),0))</f>
        <v>0</v>
      </c>
      <c r="O384" s="33" t="b" cm="1">
        <f t="array" ref="O384">INDEX(stable[is_numerical],MATCH(VALUE(questions[[#This Row],[qno]]),VALUE(stable[qno]),0))</f>
        <v>1</v>
      </c>
      <c r="P384" s="35" t="b" cm="1">
        <f t="array" ref="P384">INDEX(stable[is_single_select],MATCH(VALUE(questions[[#This Row],[qno]]),VALUE(stable[qno]),0))</f>
        <v>0</v>
      </c>
      <c r="Q384" s="33" t="b" cm="1">
        <f t="array" ref="Q384">INDEX(stable[is_multi_select],MATCH(VALUE(questions[[#This Row],[qno]]),VALUE(stable[qno]),0))</f>
        <v>0</v>
      </c>
      <c r="R384" s="33" t="b" cm="1">
        <f t="array" ref="R384">INDEX(stable[is_skip_logic],MATCH(VALUE(questions[[#This Row],[qno]]),VALUE(stable[qno]),0))</f>
        <v>1</v>
      </c>
      <c r="S384" s="33" t="str">
        <f>_xlfn.TEXTJOIN(", ",TRUE,questions[[#This Row],[ans_opt_1]:[ans_opt_14]])</f>
        <v/>
      </c>
      <c r="T384" s="33"/>
      <c r="U384" s="33"/>
      <c r="V384" s="33"/>
      <c r="W384" s="33"/>
      <c r="X384" s="33"/>
      <c r="Y384" s="33"/>
      <c r="Z384" s="33"/>
      <c r="AA384" s="33"/>
      <c r="AB384" s="33"/>
      <c r="AC384" s="33"/>
      <c r="AD384" s="33"/>
      <c r="AE384" s="33"/>
      <c r="AF384" s="33"/>
      <c r="AG384" s="33"/>
      <c r="AH384" s="99" t="b">
        <f>INDEX(stable[q_standard],MATCH(questions[[#This Row],[qno]],stable[qno],0))</f>
        <v>0</v>
      </c>
      <c r="AI384" s="99" t="b">
        <f>INDEX(stable[q_living_income],MATCH(questions[[#This Row],[qno]],stable[qno],0))</f>
        <v>1</v>
      </c>
      <c r="AJ384" s="99" t="b">
        <f>INDEX(stable[q_carbon],MATCH(questions[[#This Row],[qno]],stable[qno],0))</f>
        <v>1</v>
      </c>
      <c r="AK384" s="99" t="b">
        <f>INDEX(stable[q_regen_ag],MATCH(questions[[#This Row],[qno]],stable[qno],0))</f>
        <v>0</v>
      </c>
      <c r="AL384" s="16" t="b">
        <f>COUNTIFS(stable[qno],questions[[#This Row],[qno]])=1</f>
        <v>1</v>
      </c>
      <c r="AM384" s="16" t="b">
        <f>OR(questions[[#This Row],[is_fixed]],questions[[#This Row],[is_localized]],questions[[#This Row],[is_supply_chain_dependent]])</f>
        <v>1</v>
      </c>
      <c r="AN384" s="16" t="b">
        <f>COUNTIFS(questions[[#This Row],[is_automated]:[is_multi_select]],TRUE)=1</f>
        <v>1</v>
      </c>
      <c r="AO384" s="16" t="b">
        <f>IF(questions[[#This Row],[is_fixed]],questions[[#This Row],[question]]=INDEX(stable[question],MATCH(questions[[#This Row],[qno]],stable[qno],0)),TRUE)</f>
        <v>1</v>
      </c>
      <c r="AP384" s="16" t="str">
        <f>LEFT(questions[[#This Row],[question]],similarity_range)</f>
        <v>What was the total q</v>
      </c>
      <c r="AQ384" s="16" t="str">
        <f>LEFT(INDEX(stable[question],MATCH(questions[[#This Row],[qno]],stable[qno],0)),similarity_range)</f>
        <v>What was the total q</v>
      </c>
      <c r="AR384" s="16" t="b">
        <f>questions[[#This Row],[question_first_characters]]=questions[[#This Row],[stability_first_characters]]</f>
        <v>1</v>
      </c>
      <c r="AS384" s="16" t="b">
        <f>IF(OR(questions[[#This Row],[is_single_select]],questions[[#This Row],[is_multi_select]]),NOT(ISBLANK(questions[[#This Row],[answer_opt_combined]])),TRUE)</f>
        <v>1</v>
      </c>
    </row>
    <row r="385" spans="1:45" x14ac:dyDescent="0.25">
      <c r="A385" s="33" t="str">
        <f>_xlfn.TEXTJOIN("_",TRUE,questions[[#This Row],[origin]:[qno]])</f>
        <v>Vietnam_Robusta_Lam_Dong_Nestlé_IMPACT_5102</v>
      </c>
      <c r="B385" s="33" t="s">
        <v>673</v>
      </c>
      <c r="C385" s="33" t="s">
        <v>674</v>
      </c>
      <c r="D385" s="33" t="s">
        <v>675</v>
      </c>
      <c r="E385" s="33"/>
      <c r="F385" s="34" t="s">
        <v>560</v>
      </c>
      <c r="G385" s="18" t="s">
        <v>680</v>
      </c>
      <c r="H385" s="33" t="str" cm="1">
        <f t="array" ref="H385">INDEX(stableR[question],MATCH(VALUE(questions[[#This Row],[qno]]),VALUE(stableR[qno]),0))</f>
        <v>What was the unit of the synthetic fertilizer type that you used most? (bags, kg)</v>
      </c>
      <c r="I385" s="33" t="b" cm="1">
        <f t="array" ref="I385">INDEX(stable[is_fixed],MATCH(VALUE(questions[[#This Row],[qno]]),VALUE(stable[qno]),0))</f>
        <v>0</v>
      </c>
      <c r="J385" s="33" t="b" cm="1">
        <f t="array" ref="J385">INDEX(stable[is_localized],MATCH(VALUE(questions[[#This Row],[qno]]),VALUE(stable[qno]),0))</f>
        <v>1</v>
      </c>
      <c r="K385" s="33" t="b" cm="1">
        <f t="array" ref="K385">INDEX(stable[is_supply_chain_dependent],MATCH(VALUE(questions[[#This Row],[qno]]),VALUE(stable[qno]),0))</f>
        <v>0</v>
      </c>
      <c r="L385" s="33" t="b" cm="1">
        <f t="array" ref="L385">INDEX(stable[is_mandatory],MATCH(VALUE(questions[[#This Row],[qno]]),VALUE(stable[qno]),0))</f>
        <v>0</v>
      </c>
      <c r="M385" s="33" t="b" cm="1">
        <f t="array" ref="M385">INDEX(stable[is_automated],MATCH(VALUE(questions[[#This Row],[qno]]),VALUE(stable[qno]),0))</f>
        <v>0</v>
      </c>
      <c r="N385" s="33" t="b" cm="1">
        <f t="array" ref="N385">INDEX(stable[is_free_text],MATCH(VALUE(questions[[#This Row],[qno]]),VALUE(stable[qno]),0))</f>
        <v>0</v>
      </c>
      <c r="O385" s="33" t="b" cm="1">
        <f t="array" ref="O385">INDEX(stable[is_numerical],MATCH(VALUE(questions[[#This Row],[qno]]),VALUE(stable[qno]),0))</f>
        <v>0</v>
      </c>
      <c r="P385" s="35" t="b" cm="1">
        <f t="array" ref="P385">INDEX(stable[is_single_select],MATCH(VALUE(questions[[#This Row],[qno]]),VALUE(stable[qno]),0))</f>
        <v>1</v>
      </c>
      <c r="Q385" s="33" t="b" cm="1">
        <f t="array" ref="Q385">INDEX(stable[is_multi_select],MATCH(VALUE(questions[[#This Row],[qno]]),VALUE(stable[qno]),0))</f>
        <v>0</v>
      </c>
      <c r="R385" s="33" t="b" cm="1">
        <f t="array" ref="R385">INDEX(stable[is_skip_logic],MATCH(VALUE(questions[[#This Row],[qno]]),VALUE(stable[qno]),0))</f>
        <v>1</v>
      </c>
      <c r="S385" s="33" t="str">
        <f>_xlfn.TEXTJOIN(", ",TRUE,questions[[#This Row],[ans_opt_1]:[ans_opt_14]])</f>
        <v>kg, bags, liters</v>
      </c>
      <c r="T385" s="33" t="s">
        <v>562</v>
      </c>
      <c r="U385" s="33" t="s">
        <v>563</v>
      </c>
      <c r="V385" s="33" t="s">
        <v>564</v>
      </c>
      <c r="W385" s="33"/>
      <c r="X385" s="33"/>
      <c r="Y385" s="33"/>
      <c r="Z385" s="33"/>
      <c r="AA385" s="33"/>
      <c r="AB385" s="33"/>
      <c r="AC385" s="33"/>
      <c r="AD385" s="33"/>
      <c r="AE385" s="33"/>
      <c r="AF385" s="33"/>
      <c r="AG385" s="33"/>
      <c r="AH385" s="99" t="b">
        <f>INDEX(stable[q_standard],MATCH(questions[[#This Row],[qno]],stable[qno],0))</f>
        <v>0</v>
      </c>
      <c r="AI385" s="99" t="b">
        <f>INDEX(stable[q_living_income],MATCH(questions[[#This Row],[qno]],stable[qno],0))</f>
        <v>1</v>
      </c>
      <c r="AJ385" s="99" t="b">
        <f>INDEX(stable[q_carbon],MATCH(questions[[#This Row],[qno]],stable[qno],0))</f>
        <v>1</v>
      </c>
      <c r="AK385" s="99" t="b">
        <f>INDEX(stable[q_regen_ag],MATCH(questions[[#This Row],[qno]],stable[qno],0))</f>
        <v>0</v>
      </c>
      <c r="AL385" s="16" t="b">
        <f>COUNTIFS(stable[qno],questions[[#This Row],[qno]])=1</f>
        <v>1</v>
      </c>
      <c r="AM385" s="16" t="b">
        <f>OR(questions[[#This Row],[is_fixed]],questions[[#This Row],[is_localized]],questions[[#This Row],[is_supply_chain_dependent]])</f>
        <v>1</v>
      </c>
      <c r="AN385" s="16" t="b">
        <f>COUNTIFS(questions[[#This Row],[is_automated]:[is_multi_select]],TRUE)=1</f>
        <v>1</v>
      </c>
      <c r="AO385" s="16" t="b">
        <f>IF(questions[[#This Row],[is_fixed]],questions[[#This Row],[question]]=INDEX(stable[question],MATCH(questions[[#This Row],[qno]],stable[qno],0)),TRUE)</f>
        <v>1</v>
      </c>
      <c r="AP385" s="16" t="str">
        <f>LEFT(questions[[#This Row],[question]],similarity_range)</f>
        <v>What was the unit of</v>
      </c>
      <c r="AQ385" s="16" t="str">
        <f>LEFT(INDEX(stable[question],MATCH(questions[[#This Row],[qno]],stable[qno],0)),similarity_range)</f>
        <v>What was the unit of</v>
      </c>
      <c r="AR385" s="16" t="b">
        <f>questions[[#This Row],[question_first_characters]]=questions[[#This Row],[stability_first_characters]]</f>
        <v>1</v>
      </c>
      <c r="AS385" s="16" t="b">
        <f>IF(OR(questions[[#This Row],[is_single_select]],questions[[#This Row],[is_multi_select]]),NOT(ISBLANK(questions[[#This Row],[answer_opt_combined]])),TRUE)</f>
        <v>1</v>
      </c>
    </row>
    <row r="386" spans="1:45" x14ac:dyDescent="0.25">
      <c r="A386" s="33" t="str">
        <f>_xlfn.TEXTJOIN("_",TRUE,questions[[#This Row],[origin]:[qno]])</f>
        <v>Vietnam_Robusta_Lam_Dong_Nestlé_IMPACT_5110</v>
      </c>
      <c r="B386" s="33" t="s">
        <v>673</v>
      </c>
      <c r="C386" s="33" t="s">
        <v>674</v>
      </c>
      <c r="D386" s="33" t="s">
        <v>675</v>
      </c>
      <c r="E386" s="33"/>
      <c r="F386" s="34" t="s">
        <v>167</v>
      </c>
      <c r="G386" s="18" t="s">
        <v>681</v>
      </c>
      <c r="H386" s="33" t="str" cm="1">
        <f t="array" ref="H386">INDEX(stableR[question],MATCH(VALUE(questions[[#This Row],[qno]]),VALUE(stableR[qno]),0))</f>
        <v>What was the name of the synthetic fertilizer that you used second most, last year?</v>
      </c>
      <c r="I386" s="33" t="b" cm="1">
        <f t="array" ref="I386">INDEX(stable[is_fixed],MATCH(VALUE(questions[[#This Row],[qno]]),VALUE(stable[qno]),0))</f>
        <v>0</v>
      </c>
      <c r="J386" s="33" t="b" cm="1">
        <f t="array" ref="J386">INDEX(stable[is_localized],MATCH(VALUE(questions[[#This Row],[qno]]),VALUE(stable[qno]),0))</f>
        <v>1</v>
      </c>
      <c r="K386" s="33" t="b" cm="1">
        <f t="array" ref="K386">INDEX(stable[is_supply_chain_dependent],MATCH(VALUE(questions[[#This Row],[qno]]),VALUE(stable[qno]),0))</f>
        <v>0</v>
      </c>
      <c r="L386" s="33" t="b" cm="1">
        <f t="array" ref="L386">INDEX(stable[is_mandatory],MATCH(VALUE(questions[[#This Row],[qno]]),VALUE(stable[qno]),0))</f>
        <v>0</v>
      </c>
      <c r="M386" s="33" t="b" cm="1">
        <f t="array" ref="M386">INDEX(stable[is_automated],MATCH(VALUE(questions[[#This Row],[qno]]),VALUE(stable[qno]),0))</f>
        <v>0</v>
      </c>
      <c r="N386" s="33" t="b" cm="1">
        <f t="array" ref="N386">INDEX(stable[is_free_text],MATCH(VALUE(questions[[#This Row],[qno]]),VALUE(stable[qno]),0))</f>
        <v>0</v>
      </c>
      <c r="O386" s="33" t="b" cm="1">
        <f t="array" ref="O386">INDEX(stable[is_numerical],MATCH(VALUE(questions[[#This Row],[qno]]),VALUE(stable[qno]),0))</f>
        <v>0</v>
      </c>
      <c r="P386" s="35" t="b" cm="1">
        <f t="array" ref="P386">INDEX(stable[is_single_select],MATCH(VALUE(questions[[#This Row],[qno]]),VALUE(stable[qno]),0))</f>
        <v>1</v>
      </c>
      <c r="Q386" s="33" t="b" cm="1">
        <f t="array" ref="Q386">INDEX(stable[is_multi_select],MATCH(VALUE(questions[[#This Row],[qno]]),VALUE(stable[qno]),0))</f>
        <v>0</v>
      </c>
      <c r="R386" s="33" t="b" cm="1">
        <f t="array" ref="R386">INDEX(stable[is_skip_logic],MATCH(VALUE(questions[[#This Row],[qno]]),VALUE(stable[qno]),0))</f>
        <v>1</v>
      </c>
      <c r="S386" s="33" t="str">
        <f>_xlfn.TEXTJOIN(", ",TRUE,questions[[#This Row],[ans_opt_1]:[ans_opt_14]])</f>
        <v/>
      </c>
      <c r="T386" s="33"/>
      <c r="U386" s="33"/>
      <c r="V386" s="33"/>
      <c r="W386" s="33"/>
      <c r="X386" s="33"/>
      <c r="Y386" s="33"/>
      <c r="Z386" s="33"/>
      <c r="AA386" s="33"/>
      <c r="AB386" s="33"/>
      <c r="AC386" s="33"/>
      <c r="AD386" s="33"/>
      <c r="AE386" s="33"/>
      <c r="AF386" s="33"/>
      <c r="AG386" s="33"/>
      <c r="AH386" s="99" t="b">
        <f>INDEX(stable[q_standard],MATCH(questions[[#This Row],[qno]],stable[qno],0))</f>
        <v>0</v>
      </c>
      <c r="AI386" s="99" t="b">
        <f>INDEX(stable[q_living_income],MATCH(questions[[#This Row],[qno]],stable[qno],0))</f>
        <v>1</v>
      </c>
      <c r="AJ386" s="99" t="b">
        <f>INDEX(stable[q_carbon],MATCH(questions[[#This Row],[qno]],stable[qno],0))</f>
        <v>1</v>
      </c>
      <c r="AK386" s="99" t="b">
        <f>INDEX(stable[q_regen_ag],MATCH(questions[[#This Row],[qno]],stable[qno],0))</f>
        <v>0</v>
      </c>
      <c r="AL386" s="16" t="b">
        <f>COUNTIFS(stable[qno],questions[[#This Row],[qno]])=1</f>
        <v>1</v>
      </c>
      <c r="AM386" s="16" t="b">
        <f>OR(questions[[#This Row],[is_fixed]],questions[[#This Row],[is_localized]],questions[[#This Row],[is_supply_chain_dependent]])</f>
        <v>1</v>
      </c>
      <c r="AN386" s="16" t="b">
        <f>COUNTIFS(questions[[#This Row],[is_automated]:[is_multi_select]],TRUE)=1</f>
        <v>1</v>
      </c>
      <c r="AO386" s="16" t="b">
        <f>IF(questions[[#This Row],[is_fixed]],questions[[#This Row],[question]]=INDEX(stable[question],MATCH(questions[[#This Row],[qno]],stable[qno],0)),TRUE)</f>
        <v>1</v>
      </c>
      <c r="AP386" s="16" t="str">
        <f>LEFT(questions[[#This Row],[question]],similarity_range)</f>
        <v xml:space="preserve">What is the name of </v>
      </c>
      <c r="AQ386" s="16" t="str">
        <f>LEFT(INDEX(stable[question],MATCH(questions[[#This Row],[qno]],stable[qno],0)),similarity_range)</f>
        <v xml:space="preserve">What is the name of </v>
      </c>
      <c r="AR386" s="16" t="b">
        <f>questions[[#This Row],[question_first_characters]]=questions[[#This Row],[stability_first_characters]]</f>
        <v>1</v>
      </c>
      <c r="AS386" s="16" t="b">
        <f>IF(OR(questions[[#This Row],[is_single_select]],questions[[#This Row],[is_multi_select]]),NOT(ISBLANK(questions[[#This Row],[answer_opt_combined]])),TRUE)</f>
        <v>1</v>
      </c>
    </row>
    <row r="387" spans="1:45" x14ac:dyDescent="0.25">
      <c r="A387" s="33" t="str">
        <f>_xlfn.TEXTJOIN("_",TRUE,questions[[#This Row],[origin]:[qno]])</f>
        <v>Vietnam_Robusta_Lam_Dong_Nestlé_IMPACT_5111</v>
      </c>
      <c r="B387" s="33" t="s">
        <v>673</v>
      </c>
      <c r="C387" s="33" t="s">
        <v>674</v>
      </c>
      <c r="D387" s="33" t="s">
        <v>675</v>
      </c>
      <c r="E387" s="33"/>
      <c r="F387" s="34" t="s">
        <v>169</v>
      </c>
      <c r="G387" s="18" t="s">
        <v>566</v>
      </c>
      <c r="H387" s="33" t="str" cm="1">
        <f t="array" ref="H387">INDEX(stableR[question],MATCH(VALUE(questions[[#This Row],[qno]]),VALUE(stableR[qno]),0))</f>
        <v>What was the total quantity of the synthetic fertilizer that you used second most, last year? (Kg)</v>
      </c>
      <c r="I387" s="33" t="b" cm="1">
        <f t="array" ref="I387">INDEX(stable[is_fixed],MATCH(VALUE(questions[[#This Row],[qno]]),VALUE(stable[qno]),0))</f>
        <v>0</v>
      </c>
      <c r="J387" s="33" t="b" cm="1">
        <f t="array" ref="J387">INDEX(stable[is_localized],MATCH(VALUE(questions[[#This Row],[qno]]),VALUE(stable[qno]),0))</f>
        <v>1</v>
      </c>
      <c r="K387" s="33" t="b" cm="1">
        <f t="array" ref="K387">INDEX(stable[is_supply_chain_dependent],MATCH(VALUE(questions[[#This Row],[qno]]),VALUE(stable[qno]),0))</f>
        <v>0</v>
      </c>
      <c r="L387" s="33" t="b" cm="1">
        <f t="array" ref="L387">INDEX(stable[is_mandatory],MATCH(VALUE(questions[[#This Row],[qno]]),VALUE(stable[qno]),0))</f>
        <v>0</v>
      </c>
      <c r="M387" s="33" t="b" cm="1">
        <f t="array" ref="M387">INDEX(stable[is_automated],MATCH(VALUE(questions[[#This Row],[qno]]),VALUE(stable[qno]),0))</f>
        <v>0</v>
      </c>
      <c r="N387" s="33" t="b" cm="1">
        <f t="array" ref="N387">INDEX(stable[is_free_text],MATCH(VALUE(questions[[#This Row],[qno]]),VALUE(stable[qno]),0))</f>
        <v>0</v>
      </c>
      <c r="O387" s="33" t="b" cm="1">
        <f t="array" ref="O387">INDEX(stable[is_numerical],MATCH(VALUE(questions[[#This Row],[qno]]),VALUE(stable[qno]),0))</f>
        <v>1</v>
      </c>
      <c r="P387" s="35" t="b" cm="1">
        <f t="array" ref="P387">INDEX(stable[is_single_select],MATCH(VALUE(questions[[#This Row],[qno]]),VALUE(stable[qno]),0))</f>
        <v>0</v>
      </c>
      <c r="Q387" s="33" t="b" cm="1">
        <f t="array" ref="Q387">INDEX(stable[is_multi_select],MATCH(VALUE(questions[[#This Row],[qno]]),VALUE(stable[qno]),0))</f>
        <v>0</v>
      </c>
      <c r="R387" s="33" t="b" cm="1">
        <f t="array" ref="R387">INDEX(stable[is_skip_logic],MATCH(VALUE(questions[[#This Row],[qno]]),VALUE(stable[qno]),0))</f>
        <v>1</v>
      </c>
      <c r="S387" s="33" t="str">
        <f>_xlfn.TEXTJOIN(", ",TRUE,questions[[#This Row],[ans_opt_1]:[ans_opt_14]])</f>
        <v/>
      </c>
      <c r="T387" s="33"/>
      <c r="U387" s="33"/>
      <c r="V387" s="33"/>
      <c r="W387" s="33"/>
      <c r="X387" s="33"/>
      <c r="Y387" s="33"/>
      <c r="Z387" s="33"/>
      <c r="AA387" s="33"/>
      <c r="AB387" s="33"/>
      <c r="AC387" s="33"/>
      <c r="AD387" s="33"/>
      <c r="AE387" s="33"/>
      <c r="AF387" s="33"/>
      <c r="AG387" s="33"/>
      <c r="AH387" s="99" t="b">
        <f>INDEX(stable[q_standard],MATCH(questions[[#This Row],[qno]],stable[qno],0))</f>
        <v>0</v>
      </c>
      <c r="AI387" s="99" t="b">
        <f>INDEX(stable[q_living_income],MATCH(questions[[#This Row],[qno]],stable[qno],0))</f>
        <v>1</v>
      </c>
      <c r="AJ387" s="99" t="b">
        <f>INDEX(stable[q_carbon],MATCH(questions[[#This Row],[qno]],stable[qno],0))</f>
        <v>1</v>
      </c>
      <c r="AK387" s="99" t="b">
        <f>INDEX(stable[q_regen_ag],MATCH(questions[[#This Row],[qno]],stable[qno],0))</f>
        <v>0</v>
      </c>
      <c r="AL387" s="16" t="b">
        <f>COUNTIFS(stable[qno],questions[[#This Row],[qno]])=1</f>
        <v>1</v>
      </c>
      <c r="AM387" s="16" t="b">
        <f>OR(questions[[#This Row],[is_fixed]],questions[[#This Row],[is_localized]],questions[[#This Row],[is_supply_chain_dependent]])</f>
        <v>1</v>
      </c>
      <c r="AN387" s="16" t="b">
        <f>COUNTIFS(questions[[#This Row],[is_automated]:[is_multi_select]],TRUE)=1</f>
        <v>1</v>
      </c>
      <c r="AO387" s="16" t="b">
        <f>IF(questions[[#This Row],[is_fixed]],questions[[#This Row],[question]]=INDEX(stable[question],MATCH(questions[[#This Row],[qno]],stable[qno],0)),TRUE)</f>
        <v>1</v>
      </c>
      <c r="AP387" s="16" t="str">
        <f>LEFT(questions[[#This Row],[question]],similarity_range)</f>
        <v>What was the total q</v>
      </c>
      <c r="AQ387" s="16" t="str">
        <f>LEFT(INDEX(stable[question],MATCH(questions[[#This Row],[qno]],stable[qno],0)),similarity_range)</f>
        <v>What was the total q</v>
      </c>
      <c r="AR387" s="16" t="b">
        <f>questions[[#This Row],[question_first_characters]]=questions[[#This Row],[stability_first_characters]]</f>
        <v>1</v>
      </c>
      <c r="AS387" s="16" t="b">
        <f>IF(OR(questions[[#This Row],[is_single_select]],questions[[#This Row],[is_multi_select]]),NOT(ISBLANK(questions[[#This Row],[answer_opt_combined]])),TRUE)</f>
        <v>1</v>
      </c>
    </row>
    <row r="388" spans="1:45" x14ac:dyDescent="0.25">
      <c r="A388" s="33" t="str">
        <f>_xlfn.TEXTJOIN("_",TRUE,questions[[#This Row],[origin]:[qno]])</f>
        <v>Vietnam_Robusta_Lam_Dong_Nestlé_IMPACT_5112</v>
      </c>
      <c r="B388" s="33" t="s">
        <v>673</v>
      </c>
      <c r="C388" s="33" t="s">
        <v>674</v>
      </c>
      <c r="D388" s="33" t="s">
        <v>675</v>
      </c>
      <c r="E388" s="33"/>
      <c r="F388" s="34" t="s">
        <v>567</v>
      </c>
      <c r="G388" s="18" t="s">
        <v>682</v>
      </c>
      <c r="H388" s="33" t="str" cm="1">
        <f t="array" ref="H388">INDEX(stableR[question],MATCH(VALUE(questions[[#This Row],[qno]]),VALUE(stableR[qno]),0))</f>
        <v>What was the unit of the synthetic fertilizer type that you used second most ? (bags, kg)</v>
      </c>
      <c r="I388" s="33" t="b" cm="1">
        <f t="array" ref="I388">INDEX(stable[is_fixed],MATCH(VALUE(questions[[#This Row],[qno]]),VALUE(stable[qno]),0))</f>
        <v>0</v>
      </c>
      <c r="J388" s="33" t="b" cm="1">
        <f t="array" ref="J388">INDEX(stable[is_localized],MATCH(VALUE(questions[[#This Row],[qno]]),VALUE(stable[qno]),0))</f>
        <v>1</v>
      </c>
      <c r="K388" s="33" t="b" cm="1">
        <f t="array" ref="K388">INDEX(stable[is_supply_chain_dependent],MATCH(VALUE(questions[[#This Row],[qno]]),VALUE(stable[qno]),0))</f>
        <v>0</v>
      </c>
      <c r="L388" s="33" t="b" cm="1">
        <f t="array" ref="L388">INDEX(stable[is_mandatory],MATCH(VALUE(questions[[#This Row],[qno]]),VALUE(stable[qno]),0))</f>
        <v>0</v>
      </c>
      <c r="M388" s="33" t="b" cm="1">
        <f t="array" ref="M388">INDEX(stable[is_automated],MATCH(VALUE(questions[[#This Row],[qno]]),VALUE(stable[qno]),0))</f>
        <v>0</v>
      </c>
      <c r="N388" s="33" t="b" cm="1">
        <f t="array" ref="N388">INDEX(stable[is_free_text],MATCH(VALUE(questions[[#This Row],[qno]]),VALUE(stable[qno]),0))</f>
        <v>0</v>
      </c>
      <c r="O388" s="33" t="b" cm="1">
        <f t="array" ref="O388">INDEX(stable[is_numerical],MATCH(VALUE(questions[[#This Row],[qno]]),VALUE(stable[qno]),0))</f>
        <v>0</v>
      </c>
      <c r="P388" s="35" t="b" cm="1">
        <f t="array" ref="P388">INDEX(stable[is_single_select],MATCH(VALUE(questions[[#This Row],[qno]]),VALUE(stable[qno]),0))</f>
        <v>1</v>
      </c>
      <c r="Q388" s="33" t="b" cm="1">
        <f t="array" ref="Q388">INDEX(stable[is_multi_select],MATCH(VALUE(questions[[#This Row],[qno]]),VALUE(stable[qno]),0))</f>
        <v>0</v>
      </c>
      <c r="R388" s="33" t="b" cm="1">
        <f t="array" ref="R388">INDEX(stable[is_skip_logic],MATCH(VALUE(questions[[#This Row],[qno]]),VALUE(stable[qno]),0))</f>
        <v>1</v>
      </c>
      <c r="S388" s="33" t="str">
        <f>_xlfn.TEXTJOIN(", ",TRUE,questions[[#This Row],[ans_opt_1]:[ans_opt_14]])</f>
        <v>kg, bags, liters</v>
      </c>
      <c r="T388" s="33" t="s">
        <v>562</v>
      </c>
      <c r="U388" s="33" t="s">
        <v>563</v>
      </c>
      <c r="V388" s="33" t="s">
        <v>564</v>
      </c>
      <c r="W388" s="33"/>
      <c r="X388" s="33"/>
      <c r="Y388" s="33"/>
      <c r="Z388" s="33"/>
      <c r="AA388" s="33"/>
      <c r="AB388" s="33"/>
      <c r="AC388" s="33"/>
      <c r="AD388" s="33"/>
      <c r="AE388" s="33"/>
      <c r="AF388" s="33"/>
      <c r="AG388" s="33"/>
      <c r="AH388" s="99" t="b">
        <f>INDEX(stable[q_standard],MATCH(questions[[#This Row],[qno]],stable[qno],0))</f>
        <v>0</v>
      </c>
      <c r="AI388" s="99" t="b">
        <f>INDEX(stable[q_living_income],MATCH(questions[[#This Row],[qno]],stable[qno],0))</f>
        <v>1</v>
      </c>
      <c r="AJ388" s="99" t="b">
        <f>INDEX(stable[q_carbon],MATCH(questions[[#This Row],[qno]],stable[qno],0))</f>
        <v>1</v>
      </c>
      <c r="AK388" s="99" t="b">
        <f>INDEX(stable[q_regen_ag],MATCH(questions[[#This Row],[qno]],stable[qno],0))</f>
        <v>0</v>
      </c>
      <c r="AL388" s="16" t="b">
        <f>COUNTIFS(stable[qno],questions[[#This Row],[qno]])=1</f>
        <v>1</v>
      </c>
      <c r="AM388" s="16" t="b">
        <f>OR(questions[[#This Row],[is_fixed]],questions[[#This Row],[is_localized]],questions[[#This Row],[is_supply_chain_dependent]])</f>
        <v>1</v>
      </c>
      <c r="AN388" s="16" t="b">
        <f>COUNTIFS(questions[[#This Row],[is_automated]:[is_multi_select]],TRUE)=1</f>
        <v>1</v>
      </c>
      <c r="AO388" s="16" t="b">
        <f>IF(questions[[#This Row],[is_fixed]],questions[[#This Row],[question]]=INDEX(stable[question],MATCH(questions[[#This Row],[qno]],stable[qno],0)),TRUE)</f>
        <v>1</v>
      </c>
      <c r="AP388" s="16" t="str">
        <f>LEFT(questions[[#This Row],[question]],similarity_range)</f>
        <v>What was the unit of</v>
      </c>
      <c r="AQ388" s="16" t="str">
        <f>LEFT(INDEX(stable[question],MATCH(questions[[#This Row],[qno]],stable[qno],0)),similarity_range)</f>
        <v>What was the unit of</v>
      </c>
      <c r="AR388" s="16" t="b">
        <f>questions[[#This Row],[question_first_characters]]=questions[[#This Row],[stability_first_characters]]</f>
        <v>1</v>
      </c>
      <c r="AS388" s="16" t="b">
        <f>IF(OR(questions[[#This Row],[is_single_select]],questions[[#This Row],[is_multi_select]]),NOT(ISBLANK(questions[[#This Row],[answer_opt_combined]])),TRUE)</f>
        <v>1</v>
      </c>
    </row>
    <row r="389" spans="1:45" x14ac:dyDescent="0.25">
      <c r="A389" s="33" t="str">
        <f>_xlfn.TEXTJOIN("_",TRUE,questions[[#This Row],[origin]:[qno]])</f>
        <v>Vietnam_Robusta_Lam_Dong_Nestlé_IMPACT_5120</v>
      </c>
      <c r="B389" s="33" t="s">
        <v>673</v>
      </c>
      <c r="C389" s="33" t="s">
        <v>674</v>
      </c>
      <c r="D389" s="33" t="s">
        <v>675</v>
      </c>
      <c r="E389" s="33"/>
      <c r="F389" s="18" t="s">
        <v>683</v>
      </c>
      <c r="G389" s="18" t="s">
        <v>684</v>
      </c>
      <c r="H389" s="33" t="str" cm="1">
        <f t="array" ref="H389">INDEX(stableR[question],MATCH(VALUE(questions[[#This Row],[qno]]),VALUE(stableR[qno]),0))</f>
        <v>What was the name of the synthetic fertilizer that you used third most, last year?</v>
      </c>
      <c r="I389" s="33" t="b" cm="1">
        <f t="array" ref="I389">INDEX(stable[is_fixed],MATCH(VALUE(questions[[#This Row],[qno]]),VALUE(stable[qno]),0))</f>
        <v>0</v>
      </c>
      <c r="J389" s="33" t="b" cm="1">
        <f t="array" ref="J389">INDEX(stable[is_localized],MATCH(VALUE(questions[[#This Row],[qno]]),VALUE(stable[qno]),0))</f>
        <v>1</v>
      </c>
      <c r="K389" s="33" t="b" cm="1">
        <f t="array" ref="K389">INDEX(stable[is_supply_chain_dependent],MATCH(VALUE(questions[[#This Row],[qno]]),VALUE(stable[qno]),0))</f>
        <v>1</v>
      </c>
      <c r="L389" s="33" t="b" cm="1">
        <f t="array" ref="L389">INDEX(stable[is_mandatory],MATCH(VALUE(questions[[#This Row],[qno]]),VALUE(stable[qno]),0))</f>
        <v>0</v>
      </c>
      <c r="M389" s="33" t="b" cm="1">
        <f t="array" ref="M389">INDEX(stable[is_automated],MATCH(VALUE(questions[[#This Row],[qno]]),VALUE(stable[qno]),0))</f>
        <v>0</v>
      </c>
      <c r="N389" s="33" t="b" cm="1">
        <f t="array" ref="N389">INDEX(stable[is_free_text],MATCH(VALUE(questions[[#This Row],[qno]]),VALUE(stable[qno]),0))</f>
        <v>1</v>
      </c>
      <c r="O389" s="33" t="b" cm="1">
        <f t="array" ref="O389">INDEX(stable[is_numerical],MATCH(VALUE(questions[[#This Row],[qno]]),VALUE(stable[qno]),0))</f>
        <v>0</v>
      </c>
      <c r="P389" s="35" t="b" cm="1">
        <f t="array" ref="P389">INDEX(stable[is_single_select],MATCH(VALUE(questions[[#This Row],[qno]]),VALUE(stable[qno]),0))</f>
        <v>0</v>
      </c>
      <c r="Q389" s="33" t="b" cm="1">
        <f t="array" ref="Q389">INDEX(stable[is_multi_select],MATCH(VALUE(questions[[#This Row],[qno]]),VALUE(stable[qno]),0))</f>
        <v>0</v>
      </c>
      <c r="R389" s="33" t="b" cm="1">
        <f t="array" ref="R389">INDEX(stable[is_skip_logic],MATCH(VALUE(questions[[#This Row],[qno]]),VALUE(stable[qno]),0))</f>
        <v>1</v>
      </c>
      <c r="S389" s="33" t="str">
        <f>_xlfn.TEXTJOIN(", ",TRUE,questions[[#This Row],[ans_opt_1]:[ans_opt_14]])</f>
        <v/>
      </c>
      <c r="T389" s="33"/>
      <c r="U389" s="33"/>
      <c r="V389" s="33"/>
      <c r="W389" s="33"/>
      <c r="X389" s="33"/>
      <c r="Y389" s="33"/>
      <c r="Z389" s="33"/>
      <c r="AA389" s="33"/>
      <c r="AB389" s="33"/>
      <c r="AC389" s="33"/>
      <c r="AD389" s="33"/>
      <c r="AE389" s="33"/>
      <c r="AF389" s="33"/>
      <c r="AG389" s="33"/>
      <c r="AH389" s="99" t="b">
        <f>INDEX(stable[q_standard],MATCH(questions[[#This Row],[qno]],stable[qno],0))</f>
        <v>0</v>
      </c>
      <c r="AI389" s="99" t="b">
        <f>INDEX(stable[q_living_income],MATCH(questions[[#This Row],[qno]],stable[qno],0))</f>
        <v>1</v>
      </c>
      <c r="AJ389" s="99" t="b">
        <f>INDEX(stable[q_carbon],MATCH(questions[[#This Row],[qno]],stable[qno],0))</f>
        <v>1</v>
      </c>
      <c r="AK389" s="99" t="b">
        <f>INDEX(stable[q_regen_ag],MATCH(questions[[#This Row],[qno]],stable[qno],0))</f>
        <v>0</v>
      </c>
      <c r="AL389" s="16" t="b">
        <f>COUNTIFS(stable[qno],questions[[#This Row],[qno]])=1</f>
        <v>1</v>
      </c>
      <c r="AM389" s="16" t="b">
        <f>OR(questions[[#This Row],[is_fixed]],questions[[#This Row],[is_localized]],questions[[#This Row],[is_supply_chain_dependent]])</f>
        <v>1</v>
      </c>
      <c r="AN389" s="16" t="b">
        <f>COUNTIFS(questions[[#This Row],[is_automated]:[is_multi_select]],TRUE)=1</f>
        <v>1</v>
      </c>
      <c r="AO389" s="16" t="b">
        <f>IF(questions[[#This Row],[is_fixed]],questions[[#This Row],[question]]=INDEX(stable[question],MATCH(questions[[#This Row],[qno]],stable[qno],0)),TRUE)</f>
        <v>1</v>
      </c>
      <c r="AP389" s="16" t="str">
        <f>LEFT(questions[[#This Row],[question]],similarity_range)</f>
        <v xml:space="preserve">What is the name of </v>
      </c>
      <c r="AQ389" s="16" t="str">
        <f>LEFT(INDEX(stable[question],MATCH(questions[[#This Row],[qno]],stable[qno],0)),similarity_range)</f>
        <v xml:space="preserve">What is the name of </v>
      </c>
      <c r="AR389" s="16" t="b">
        <f>questions[[#This Row],[question_first_characters]]=questions[[#This Row],[stability_first_characters]]</f>
        <v>1</v>
      </c>
      <c r="AS389" s="16" t="b">
        <f>IF(OR(questions[[#This Row],[is_single_select]],questions[[#This Row],[is_multi_select]]),NOT(ISBLANK(questions[[#This Row],[answer_opt_combined]])),TRUE)</f>
        <v>1</v>
      </c>
    </row>
    <row r="390" spans="1:45" x14ac:dyDescent="0.25">
      <c r="A390" s="33" t="str">
        <f>_xlfn.TEXTJOIN("_",TRUE,questions[[#This Row],[origin]:[qno]])</f>
        <v>Vietnam_Robusta_Lam_Dong_Nestlé_IMPACT_5121</v>
      </c>
      <c r="B390" s="33" t="s">
        <v>673</v>
      </c>
      <c r="C390" s="33" t="s">
        <v>674</v>
      </c>
      <c r="D390" s="33" t="s">
        <v>675</v>
      </c>
      <c r="E390" s="33"/>
      <c r="F390" s="18" t="s">
        <v>173</v>
      </c>
      <c r="G390" s="18" t="s">
        <v>685</v>
      </c>
      <c r="H390" s="33" t="str" cm="1">
        <f t="array" ref="H390">INDEX(stableR[question],MATCH(VALUE(questions[[#This Row],[qno]]),VALUE(stableR[qno]),0))</f>
        <v>What was the total quantity of the synthetic fertilizer that you used third most, last year? (Kg)</v>
      </c>
      <c r="I390" s="33" t="b" cm="1">
        <f t="array" ref="I390">INDEX(stable[is_fixed],MATCH(VALUE(questions[[#This Row],[qno]]),VALUE(stable[qno]),0))</f>
        <v>0</v>
      </c>
      <c r="J390" s="33" t="b" cm="1">
        <f t="array" ref="J390">INDEX(stable[is_localized],MATCH(VALUE(questions[[#This Row],[qno]]),VALUE(stable[qno]),0))</f>
        <v>1</v>
      </c>
      <c r="K390" s="33" t="b" cm="1">
        <f t="array" ref="K390">INDEX(stable[is_supply_chain_dependent],MATCH(VALUE(questions[[#This Row],[qno]]),VALUE(stable[qno]),0))</f>
        <v>1</v>
      </c>
      <c r="L390" s="33" t="b" cm="1">
        <f t="array" ref="L390">INDEX(stable[is_mandatory],MATCH(VALUE(questions[[#This Row],[qno]]),VALUE(stable[qno]),0))</f>
        <v>0</v>
      </c>
      <c r="M390" s="33" t="b" cm="1">
        <f t="array" ref="M390">INDEX(stable[is_automated],MATCH(VALUE(questions[[#This Row],[qno]]),VALUE(stable[qno]),0))</f>
        <v>0</v>
      </c>
      <c r="N390" s="33" t="b" cm="1">
        <f t="array" ref="N390">INDEX(stable[is_free_text],MATCH(VALUE(questions[[#This Row],[qno]]),VALUE(stable[qno]),0))</f>
        <v>0</v>
      </c>
      <c r="O390" s="33" t="b" cm="1">
        <f t="array" ref="O390">INDEX(stable[is_numerical],MATCH(VALUE(questions[[#This Row],[qno]]),VALUE(stable[qno]),0))</f>
        <v>1</v>
      </c>
      <c r="P390" s="35" t="b" cm="1">
        <f t="array" ref="P390">INDEX(stable[is_single_select],MATCH(VALUE(questions[[#This Row],[qno]]),VALUE(stable[qno]),0))</f>
        <v>0</v>
      </c>
      <c r="Q390" s="33" t="b" cm="1">
        <f t="array" ref="Q390">INDEX(stable[is_multi_select],MATCH(VALUE(questions[[#This Row],[qno]]),VALUE(stable[qno]),0))</f>
        <v>0</v>
      </c>
      <c r="R390" s="33" t="b" cm="1">
        <f t="array" ref="R390">INDEX(stable[is_skip_logic],MATCH(VALUE(questions[[#This Row],[qno]]),VALUE(stable[qno]),0))</f>
        <v>1</v>
      </c>
      <c r="S390" s="33" t="str">
        <f>_xlfn.TEXTJOIN(", ",TRUE,questions[[#This Row],[ans_opt_1]:[ans_opt_14]])</f>
        <v/>
      </c>
      <c r="T390" s="33"/>
      <c r="U390" s="33"/>
      <c r="V390" s="33"/>
      <c r="W390" s="33"/>
      <c r="X390" s="33"/>
      <c r="Y390" s="33"/>
      <c r="Z390" s="33"/>
      <c r="AA390" s="33"/>
      <c r="AB390" s="33"/>
      <c r="AC390" s="33"/>
      <c r="AD390" s="33"/>
      <c r="AE390" s="33"/>
      <c r="AF390" s="33"/>
      <c r="AG390" s="33"/>
      <c r="AH390" s="99" t="b">
        <f>INDEX(stable[q_standard],MATCH(questions[[#This Row],[qno]],stable[qno],0))</f>
        <v>0</v>
      </c>
      <c r="AI390" s="99" t="b">
        <f>INDEX(stable[q_living_income],MATCH(questions[[#This Row],[qno]],stable[qno],0))</f>
        <v>1</v>
      </c>
      <c r="AJ390" s="99" t="b">
        <f>INDEX(stable[q_carbon],MATCH(questions[[#This Row],[qno]],stable[qno],0))</f>
        <v>1</v>
      </c>
      <c r="AK390" s="99" t="b">
        <f>INDEX(stable[q_regen_ag],MATCH(questions[[#This Row],[qno]],stable[qno],0))</f>
        <v>0</v>
      </c>
      <c r="AL390" s="16" t="b">
        <f>COUNTIFS(stable[qno],questions[[#This Row],[qno]])=1</f>
        <v>1</v>
      </c>
      <c r="AM390" s="16" t="b">
        <f>OR(questions[[#This Row],[is_fixed]],questions[[#This Row],[is_localized]],questions[[#This Row],[is_supply_chain_dependent]])</f>
        <v>1</v>
      </c>
      <c r="AN390" s="16" t="b">
        <f>COUNTIFS(questions[[#This Row],[is_automated]:[is_multi_select]],TRUE)=1</f>
        <v>1</v>
      </c>
      <c r="AO390" s="16" t="b">
        <f>IF(questions[[#This Row],[is_fixed]],questions[[#This Row],[question]]=INDEX(stable[question],MATCH(questions[[#This Row],[qno]],stable[qno],0)),TRUE)</f>
        <v>1</v>
      </c>
      <c r="AP390" s="16" t="str">
        <f>LEFT(questions[[#This Row],[question]],similarity_range)</f>
        <v>What was the total q</v>
      </c>
      <c r="AQ390" s="16" t="str">
        <f>LEFT(INDEX(stable[question],MATCH(questions[[#This Row],[qno]],stable[qno],0)),similarity_range)</f>
        <v>What was the total q</v>
      </c>
      <c r="AR390" s="16" t="b">
        <f>questions[[#This Row],[question_first_characters]]=questions[[#This Row],[stability_first_characters]]</f>
        <v>1</v>
      </c>
      <c r="AS390" s="16" t="b">
        <f>IF(OR(questions[[#This Row],[is_single_select]],questions[[#This Row],[is_multi_select]]),NOT(ISBLANK(questions[[#This Row],[answer_opt_combined]])),TRUE)</f>
        <v>1</v>
      </c>
    </row>
    <row r="391" spans="1:45" x14ac:dyDescent="0.25">
      <c r="A391" s="33" t="str">
        <f>_xlfn.TEXTJOIN("_",TRUE,questions[[#This Row],[origin]:[qno]])</f>
        <v>Vietnam_Robusta_Lam_Dong_Nestlé_IMPACT_5132</v>
      </c>
      <c r="B391" s="33" t="s">
        <v>673</v>
      </c>
      <c r="C391" s="33" t="s">
        <v>674</v>
      </c>
      <c r="D391" s="33" t="s">
        <v>675</v>
      </c>
      <c r="E391" s="33"/>
      <c r="F391" s="18" t="s">
        <v>686</v>
      </c>
      <c r="G391" s="18" t="s">
        <v>687</v>
      </c>
      <c r="H391" s="33" t="str" cm="1">
        <f t="array" ref="H391">INDEX(stableR[question],MATCH(VALUE(questions[[#This Row],[qno]]),VALUE(stableR[qno]),0))</f>
        <v>What was the unit of the synthetic fertilizer type that you used fourth most ? (bags, kg)</v>
      </c>
      <c r="I391" s="33" t="b" cm="1">
        <f t="array" ref="I391">INDEX(stable[is_fixed],MATCH(VALUE(questions[[#This Row],[qno]]),VALUE(stable[qno]),0))</f>
        <v>0</v>
      </c>
      <c r="J391" s="33" t="b" cm="1">
        <f t="array" ref="J391">INDEX(stable[is_localized],MATCH(VALUE(questions[[#This Row],[qno]]),VALUE(stable[qno]),0))</f>
        <v>1</v>
      </c>
      <c r="K391" s="33" t="b" cm="1">
        <f t="array" ref="K391">INDEX(stable[is_supply_chain_dependent],MATCH(VALUE(questions[[#This Row],[qno]]),VALUE(stable[qno]),0))</f>
        <v>0</v>
      </c>
      <c r="L391" s="33" t="b" cm="1">
        <f t="array" ref="L391">INDEX(stable[is_mandatory],MATCH(VALUE(questions[[#This Row],[qno]]),VALUE(stable[qno]),0))</f>
        <v>0</v>
      </c>
      <c r="M391" s="33" t="b" cm="1">
        <f t="array" ref="M391">INDEX(stable[is_automated],MATCH(VALUE(questions[[#This Row],[qno]]),VALUE(stable[qno]),0))</f>
        <v>0</v>
      </c>
      <c r="N391" s="33" t="b" cm="1">
        <f t="array" ref="N391">INDEX(stable[is_free_text],MATCH(VALUE(questions[[#This Row],[qno]]),VALUE(stable[qno]),0))</f>
        <v>0</v>
      </c>
      <c r="O391" s="33" t="b" cm="1">
        <f t="array" ref="O391">INDEX(stable[is_numerical],MATCH(VALUE(questions[[#This Row],[qno]]),VALUE(stable[qno]),0))</f>
        <v>0</v>
      </c>
      <c r="P391" s="35" t="b" cm="1">
        <f t="array" ref="P391">INDEX(stable[is_single_select],MATCH(VALUE(questions[[#This Row],[qno]]),VALUE(stable[qno]),0))</f>
        <v>1</v>
      </c>
      <c r="Q391" s="33" t="b" cm="1">
        <f t="array" ref="Q391">INDEX(stable[is_multi_select],MATCH(VALUE(questions[[#This Row],[qno]]),VALUE(stable[qno]),0))</f>
        <v>0</v>
      </c>
      <c r="R391" s="33" t="b" cm="1">
        <f t="array" ref="R391">INDEX(stable[is_skip_logic],MATCH(VALUE(questions[[#This Row],[qno]]),VALUE(stable[qno]),0))</f>
        <v>1</v>
      </c>
      <c r="S391" s="33" t="str">
        <f>_xlfn.TEXTJOIN(", ",TRUE,questions[[#This Row],[ans_opt_1]:[ans_opt_14]])</f>
        <v/>
      </c>
      <c r="T391" s="33"/>
      <c r="U391" s="33"/>
      <c r="V391" s="33"/>
      <c r="W391" s="33"/>
      <c r="X391" s="33"/>
      <c r="Y391" s="33"/>
      <c r="Z391" s="33"/>
      <c r="AA391" s="33"/>
      <c r="AB391" s="33"/>
      <c r="AC391" s="33"/>
      <c r="AD391" s="33"/>
      <c r="AE391" s="33"/>
      <c r="AF391" s="33"/>
      <c r="AG391" s="33"/>
      <c r="AH391" s="99" t="b">
        <f>INDEX(stable[q_standard],MATCH(questions[[#This Row],[qno]],stable[qno],0))</f>
        <v>0</v>
      </c>
      <c r="AI391" s="99" t="b">
        <f>INDEX(stable[q_living_income],MATCH(questions[[#This Row],[qno]],stable[qno],0))</f>
        <v>1</v>
      </c>
      <c r="AJ391" s="99" t="b">
        <f>INDEX(stable[q_carbon],MATCH(questions[[#This Row],[qno]],stable[qno],0))</f>
        <v>1</v>
      </c>
      <c r="AK391" s="99" t="b">
        <f>INDEX(stable[q_regen_ag],MATCH(questions[[#This Row],[qno]],stable[qno],0))</f>
        <v>0</v>
      </c>
      <c r="AL391" s="16" t="b">
        <f>COUNTIFS(stable[qno],questions[[#This Row],[qno]])=1</f>
        <v>1</v>
      </c>
      <c r="AM391" s="16" t="b">
        <f>OR(questions[[#This Row],[is_fixed]],questions[[#This Row],[is_localized]],questions[[#This Row],[is_supply_chain_dependent]])</f>
        <v>1</v>
      </c>
      <c r="AN391" s="16" t="b">
        <f>COUNTIFS(questions[[#This Row],[is_automated]:[is_multi_select]],TRUE)=1</f>
        <v>1</v>
      </c>
      <c r="AO391" s="16" t="b">
        <f>IF(questions[[#This Row],[is_fixed]],questions[[#This Row],[question]]=INDEX(stable[question],MATCH(questions[[#This Row],[qno]],stable[qno],0)),TRUE)</f>
        <v>1</v>
      </c>
      <c r="AP391" s="16" t="str">
        <f>LEFT(questions[[#This Row],[question]],similarity_range)</f>
        <v>What was the unit of</v>
      </c>
      <c r="AQ391" s="16" t="str">
        <f>LEFT(INDEX(stable[question],MATCH(questions[[#This Row],[qno]],stable[qno],0)),similarity_range)</f>
        <v>What was the unit of</v>
      </c>
      <c r="AR391" s="16" t="b">
        <f>questions[[#This Row],[question_first_characters]]=questions[[#This Row],[stability_first_characters]]</f>
        <v>1</v>
      </c>
      <c r="AS391" s="16" t="b">
        <f>IF(OR(questions[[#This Row],[is_single_select]],questions[[#This Row],[is_multi_select]]),NOT(ISBLANK(questions[[#This Row],[answer_opt_combined]])),TRUE)</f>
        <v>1</v>
      </c>
    </row>
    <row r="392" spans="1:45" x14ac:dyDescent="0.25">
      <c r="A392" s="33" t="str">
        <f>_xlfn.TEXTJOIN("_",TRUE,questions[[#This Row],[origin]:[qno]])</f>
        <v>Vietnam_Robusta_Lam_Dong_Nestlé_IMPACT_5130</v>
      </c>
      <c r="B392" s="33" t="s">
        <v>673</v>
      </c>
      <c r="C392" s="33" t="s">
        <v>674</v>
      </c>
      <c r="D392" s="33" t="s">
        <v>675</v>
      </c>
      <c r="E392" s="33"/>
      <c r="F392" s="18" t="s">
        <v>688</v>
      </c>
      <c r="G392" s="18" t="s">
        <v>689</v>
      </c>
      <c r="H392" s="33" t="str" cm="1">
        <f t="array" ref="H392">INDEX(stableR[question],MATCH(VALUE(questions[[#This Row],[qno]]),VALUE(stableR[qno]),0))</f>
        <v>What was the name of the synthetic fertilizer that you used fourth most, last year?</v>
      </c>
      <c r="I392" s="33" t="b" cm="1">
        <f t="array" ref="I392">INDEX(stable[is_fixed],MATCH(VALUE(questions[[#This Row],[qno]]),VALUE(stable[qno]),0))</f>
        <v>0</v>
      </c>
      <c r="J392" s="33" t="b" cm="1">
        <f t="array" ref="J392">INDEX(stable[is_localized],MATCH(VALUE(questions[[#This Row],[qno]]),VALUE(stable[qno]),0))</f>
        <v>1</v>
      </c>
      <c r="K392" s="33" t="b" cm="1">
        <f t="array" ref="K392">INDEX(stable[is_supply_chain_dependent],MATCH(VALUE(questions[[#This Row],[qno]]),VALUE(stable[qno]),0))</f>
        <v>0</v>
      </c>
      <c r="L392" s="33" t="b" cm="1">
        <f t="array" ref="L392">INDEX(stable[is_mandatory],MATCH(VALUE(questions[[#This Row],[qno]]),VALUE(stable[qno]),0))</f>
        <v>0</v>
      </c>
      <c r="M392" s="33" t="b" cm="1">
        <f t="array" ref="M392">INDEX(stable[is_automated],MATCH(VALUE(questions[[#This Row],[qno]]),VALUE(stable[qno]),0))</f>
        <v>0</v>
      </c>
      <c r="N392" s="33" t="b" cm="1">
        <f t="array" ref="N392">INDEX(stable[is_free_text],MATCH(VALUE(questions[[#This Row],[qno]]),VALUE(stable[qno]),0))</f>
        <v>1</v>
      </c>
      <c r="O392" s="33" t="b" cm="1">
        <f t="array" ref="O392">INDEX(stable[is_numerical],MATCH(VALUE(questions[[#This Row],[qno]]),VALUE(stable[qno]),0))</f>
        <v>0</v>
      </c>
      <c r="P392" s="35" t="b" cm="1">
        <f t="array" ref="P392">INDEX(stable[is_single_select],MATCH(VALUE(questions[[#This Row],[qno]]),VALUE(stable[qno]),0))</f>
        <v>0</v>
      </c>
      <c r="Q392" s="33" t="b" cm="1">
        <f t="array" ref="Q392">INDEX(stable[is_multi_select],MATCH(VALUE(questions[[#This Row],[qno]]),VALUE(stable[qno]),0))</f>
        <v>0</v>
      </c>
      <c r="R392" s="33" t="b" cm="1">
        <f t="array" ref="R392">INDEX(stable[is_skip_logic],MATCH(VALUE(questions[[#This Row],[qno]]),VALUE(stable[qno]),0))</f>
        <v>1</v>
      </c>
      <c r="S392" s="33" t="str">
        <f>_xlfn.TEXTJOIN(", ",TRUE,questions[[#This Row],[ans_opt_1]:[ans_opt_14]])</f>
        <v/>
      </c>
      <c r="T392" s="33"/>
      <c r="U392" s="33"/>
      <c r="V392" s="33"/>
      <c r="W392" s="33"/>
      <c r="X392" s="33"/>
      <c r="Y392" s="33"/>
      <c r="Z392" s="33"/>
      <c r="AA392" s="33"/>
      <c r="AB392" s="33"/>
      <c r="AC392" s="33"/>
      <c r="AD392" s="33"/>
      <c r="AE392" s="33"/>
      <c r="AF392" s="33"/>
      <c r="AG392" s="33"/>
      <c r="AH392" s="99" t="b">
        <f>INDEX(stable[q_standard],MATCH(questions[[#This Row],[qno]],stable[qno],0))</f>
        <v>0</v>
      </c>
      <c r="AI392" s="99" t="b">
        <f>INDEX(stable[q_living_income],MATCH(questions[[#This Row],[qno]],stable[qno],0))</f>
        <v>1</v>
      </c>
      <c r="AJ392" s="99" t="b">
        <f>INDEX(stable[q_carbon],MATCH(questions[[#This Row],[qno]],stable[qno],0))</f>
        <v>1</v>
      </c>
      <c r="AK392" s="99" t="b">
        <f>INDEX(stable[q_regen_ag],MATCH(questions[[#This Row],[qno]],stable[qno],0))</f>
        <v>0</v>
      </c>
      <c r="AL392" s="16" t="b">
        <f>COUNTIFS(stable[qno],questions[[#This Row],[qno]])=1</f>
        <v>1</v>
      </c>
      <c r="AM392" s="16" t="b">
        <f>OR(questions[[#This Row],[is_fixed]],questions[[#This Row],[is_localized]],questions[[#This Row],[is_supply_chain_dependent]])</f>
        <v>1</v>
      </c>
      <c r="AN392" s="16" t="b">
        <f>COUNTIFS(questions[[#This Row],[is_automated]:[is_multi_select]],TRUE)=1</f>
        <v>1</v>
      </c>
      <c r="AO392" s="16" t="b">
        <f>IF(questions[[#This Row],[is_fixed]],questions[[#This Row],[question]]=INDEX(stable[question],MATCH(questions[[#This Row],[qno]],stable[qno],0)),TRUE)</f>
        <v>1</v>
      </c>
      <c r="AP392" s="16" t="str">
        <f>LEFT(questions[[#This Row],[question]],similarity_range)</f>
        <v xml:space="preserve">What is the name of </v>
      </c>
      <c r="AQ392" s="16" t="str">
        <f>LEFT(INDEX(stable[question],MATCH(questions[[#This Row],[qno]],stable[qno],0)),similarity_range)</f>
        <v xml:space="preserve">What is the name of </v>
      </c>
      <c r="AR392" s="16" t="b">
        <f>questions[[#This Row],[question_first_characters]]=questions[[#This Row],[stability_first_characters]]</f>
        <v>1</v>
      </c>
      <c r="AS392" s="16" t="b">
        <f>IF(OR(questions[[#This Row],[is_single_select]],questions[[#This Row],[is_multi_select]]),NOT(ISBLANK(questions[[#This Row],[answer_opt_combined]])),TRUE)</f>
        <v>1</v>
      </c>
    </row>
    <row r="393" spans="1:45" x14ac:dyDescent="0.25">
      <c r="A393" s="33" t="str">
        <f>_xlfn.TEXTJOIN("_",TRUE,questions[[#This Row],[origin]:[qno]])</f>
        <v>Vietnam_Robusta_Lam_Dong_Nestlé_IMPACT_5131</v>
      </c>
      <c r="B393" s="33" t="s">
        <v>673</v>
      </c>
      <c r="C393" s="33" t="s">
        <v>674</v>
      </c>
      <c r="D393" s="33" t="s">
        <v>675</v>
      </c>
      <c r="E393" s="33"/>
      <c r="F393" s="18" t="s">
        <v>690</v>
      </c>
      <c r="G393" s="18" t="s">
        <v>691</v>
      </c>
      <c r="H393" s="33" t="str" cm="1">
        <f t="array" ref="H393">INDEX(stableR[question],MATCH(VALUE(questions[[#This Row],[qno]]),VALUE(stableR[qno]),0))</f>
        <v>What was the total quantity of the synthetic fertilizer that you used fourth most, last year? (Kg)</v>
      </c>
      <c r="I393" s="33" t="b" cm="1">
        <f t="array" ref="I393">INDEX(stable[is_fixed],MATCH(VALUE(questions[[#This Row],[qno]]),VALUE(stable[qno]),0))</f>
        <v>0</v>
      </c>
      <c r="J393" s="33" t="b" cm="1">
        <f t="array" ref="J393">INDEX(stable[is_localized],MATCH(VALUE(questions[[#This Row],[qno]]),VALUE(stable[qno]),0))</f>
        <v>1</v>
      </c>
      <c r="K393" s="33" t="b" cm="1">
        <f t="array" ref="K393">INDEX(stable[is_supply_chain_dependent],MATCH(VALUE(questions[[#This Row],[qno]]),VALUE(stable[qno]),0))</f>
        <v>0</v>
      </c>
      <c r="L393" s="33" t="b" cm="1">
        <f t="array" ref="L393">INDEX(stable[is_mandatory],MATCH(VALUE(questions[[#This Row],[qno]]),VALUE(stable[qno]),0))</f>
        <v>0</v>
      </c>
      <c r="M393" s="33" t="b" cm="1">
        <f t="array" ref="M393">INDEX(stable[is_automated],MATCH(VALUE(questions[[#This Row],[qno]]),VALUE(stable[qno]),0))</f>
        <v>0</v>
      </c>
      <c r="N393" s="33" t="b" cm="1">
        <f t="array" ref="N393">INDEX(stable[is_free_text],MATCH(VALUE(questions[[#This Row],[qno]]),VALUE(stable[qno]),0))</f>
        <v>0</v>
      </c>
      <c r="O393" s="33" t="b" cm="1">
        <f t="array" ref="O393">INDEX(stable[is_numerical],MATCH(VALUE(questions[[#This Row],[qno]]),VALUE(stable[qno]),0))</f>
        <v>1</v>
      </c>
      <c r="P393" s="35" t="b" cm="1">
        <f t="array" ref="P393">INDEX(stable[is_single_select],MATCH(VALUE(questions[[#This Row],[qno]]),VALUE(stable[qno]),0))</f>
        <v>0</v>
      </c>
      <c r="Q393" s="33" t="b" cm="1">
        <f t="array" ref="Q393">INDEX(stable[is_multi_select],MATCH(VALUE(questions[[#This Row],[qno]]),VALUE(stable[qno]),0))</f>
        <v>0</v>
      </c>
      <c r="R393" s="33" t="b" cm="1">
        <f t="array" ref="R393">INDEX(stable[is_skip_logic],MATCH(VALUE(questions[[#This Row],[qno]]),VALUE(stable[qno]),0))</f>
        <v>1</v>
      </c>
      <c r="S393" s="33" t="str">
        <f>_xlfn.TEXTJOIN(", ",TRUE,questions[[#This Row],[ans_opt_1]:[ans_opt_14]])</f>
        <v/>
      </c>
      <c r="T393" s="33"/>
      <c r="U393" s="33"/>
      <c r="V393" s="33"/>
      <c r="W393" s="33"/>
      <c r="X393" s="33"/>
      <c r="Y393" s="33"/>
      <c r="Z393" s="33"/>
      <c r="AA393" s="33"/>
      <c r="AB393" s="33"/>
      <c r="AC393" s="33"/>
      <c r="AD393" s="33"/>
      <c r="AE393" s="33"/>
      <c r="AF393" s="33"/>
      <c r="AG393" s="33"/>
      <c r="AH393" s="99" t="b">
        <f>INDEX(stable[q_standard],MATCH(questions[[#This Row],[qno]],stable[qno],0))</f>
        <v>0</v>
      </c>
      <c r="AI393" s="99" t="b">
        <f>INDEX(stable[q_living_income],MATCH(questions[[#This Row],[qno]],stable[qno],0))</f>
        <v>1</v>
      </c>
      <c r="AJ393" s="99" t="b">
        <f>INDEX(stable[q_carbon],MATCH(questions[[#This Row],[qno]],stable[qno],0))</f>
        <v>1</v>
      </c>
      <c r="AK393" s="99" t="b">
        <f>INDEX(stable[q_regen_ag],MATCH(questions[[#This Row],[qno]],stable[qno],0))</f>
        <v>0</v>
      </c>
      <c r="AL393" s="16" t="b">
        <f>COUNTIFS(stable[qno],questions[[#This Row],[qno]])=1</f>
        <v>1</v>
      </c>
      <c r="AM393" s="16" t="b">
        <f>OR(questions[[#This Row],[is_fixed]],questions[[#This Row],[is_localized]],questions[[#This Row],[is_supply_chain_dependent]])</f>
        <v>1</v>
      </c>
      <c r="AN393" s="16" t="b">
        <f>COUNTIFS(questions[[#This Row],[is_automated]:[is_multi_select]],TRUE)=1</f>
        <v>1</v>
      </c>
      <c r="AO393" s="16" t="b">
        <f>IF(questions[[#This Row],[is_fixed]],questions[[#This Row],[question]]=INDEX(stable[question],MATCH(questions[[#This Row],[qno]],stable[qno],0)),TRUE)</f>
        <v>1</v>
      </c>
      <c r="AP393" s="16" t="str">
        <f>LEFT(questions[[#This Row],[question]],similarity_range)</f>
        <v>What was the total q</v>
      </c>
      <c r="AQ393" s="16" t="str">
        <f>LEFT(INDEX(stable[question],MATCH(questions[[#This Row],[qno]],stable[qno],0)),similarity_range)</f>
        <v>What was the total q</v>
      </c>
      <c r="AR393" s="16" t="b">
        <f>questions[[#This Row],[question_first_characters]]=questions[[#This Row],[stability_first_characters]]</f>
        <v>1</v>
      </c>
      <c r="AS393" s="16" t="b">
        <f>IF(OR(questions[[#This Row],[is_single_select]],questions[[#This Row],[is_multi_select]]),NOT(ISBLANK(questions[[#This Row],[answer_opt_combined]])),TRUE)</f>
        <v>1</v>
      </c>
    </row>
    <row r="394" spans="1:45" x14ac:dyDescent="0.25">
      <c r="A394" s="33" t="str">
        <f>_xlfn.TEXTJOIN("_",TRUE,questions[[#This Row],[origin]:[qno]])</f>
        <v>Vietnam_Robusta_Lam_Dong_Nestlé_IMPACT_5142</v>
      </c>
      <c r="B394" s="33" t="s">
        <v>673</v>
      </c>
      <c r="C394" s="33" t="s">
        <v>674</v>
      </c>
      <c r="D394" s="33" t="s">
        <v>675</v>
      </c>
      <c r="E394" s="33"/>
      <c r="F394" s="18" t="s">
        <v>692</v>
      </c>
      <c r="G394" s="18" t="s">
        <v>693</v>
      </c>
      <c r="H394" s="33" t="str" cm="1">
        <f t="array" ref="H394">INDEX(stableR[question],MATCH(VALUE(questions[[#This Row],[qno]]),VALUE(stableR[qno]),0))</f>
        <v>What was the unit of the Limestone or Dolomitic Limestone (Dolomite)? (bags, kg)</v>
      </c>
      <c r="I394" s="33" t="b" cm="1">
        <f t="array" ref="I394">INDEX(stable[is_fixed],MATCH(VALUE(questions[[#This Row],[qno]]),VALUE(stable[qno]),0))</f>
        <v>0</v>
      </c>
      <c r="J394" s="33" t="b" cm="1">
        <f t="array" ref="J394">INDEX(stable[is_localized],MATCH(VALUE(questions[[#This Row],[qno]]),VALUE(stable[qno]),0))</f>
        <v>1</v>
      </c>
      <c r="K394" s="33" t="b" cm="1">
        <f t="array" ref="K394">INDEX(stable[is_supply_chain_dependent],MATCH(VALUE(questions[[#This Row],[qno]]),VALUE(stable[qno]),0))</f>
        <v>0</v>
      </c>
      <c r="L394" s="33" t="b" cm="1">
        <f t="array" ref="L394">INDEX(stable[is_mandatory],MATCH(VALUE(questions[[#This Row],[qno]]),VALUE(stable[qno]),0))</f>
        <v>0</v>
      </c>
      <c r="M394" s="33" t="b" cm="1">
        <f t="array" ref="M394">INDEX(stable[is_automated],MATCH(VALUE(questions[[#This Row],[qno]]),VALUE(stable[qno]),0))</f>
        <v>0</v>
      </c>
      <c r="N394" s="33" t="b" cm="1">
        <f t="array" ref="N394">INDEX(stable[is_free_text],MATCH(VALUE(questions[[#This Row],[qno]]),VALUE(stable[qno]),0))</f>
        <v>0</v>
      </c>
      <c r="O394" s="33" t="b" cm="1">
        <f t="array" ref="O394">INDEX(stable[is_numerical],MATCH(VALUE(questions[[#This Row],[qno]]),VALUE(stable[qno]),0))</f>
        <v>0</v>
      </c>
      <c r="P394" s="35" t="b" cm="1">
        <f t="array" ref="P394">INDEX(stable[is_single_select],MATCH(VALUE(questions[[#This Row],[qno]]),VALUE(stable[qno]),0))</f>
        <v>1</v>
      </c>
      <c r="Q394" s="33" t="b" cm="1">
        <f t="array" ref="Q394">INDEX(stable[is_multi_select],MATCH(VALUE(questions[[#This Row],[qno]]),VALUE(stable[qno]),0))</f>
        <v>0</v>
      </c>
      <c r="R394" s="33" t="b" cm="1">
        <f t="array" ref="R394">INDEX(stable[is_skip_logic],MATCH(VALUE(questions[[#This Row],[qno]]),VALUE(stable[qno]),0))</f>
        <v>1</v>
      </c>
      <c r="S394" s="33" t="str">
        <f>_xlfn.TEXTJOIN(", ",TRUE,questions[[#This Row],[ans_opt_1]:[ans_opt_14]])</f>
        <v/>
      </c>
      <c r="T394" s="33"/>
      <c r="U394" s="33"/>
      <c r="V394" s="33"/>
      <c r="W394" s="33"/>
      <c r="X394" s="33"/>
      <c r="Y394" s="33"/>
      <c r="Z394" s="33"/>
      <c r="AA394" s="33"/>
      <c r="AB394" s="33"/>
      <c r="AC394" s="33"/>
      <c r="AD394" s="33"/>
      <c r="AE394" s="33"/>
      <c r="AF394" s="33"/>
      <c r="AG394" s="33"/>
      <c r="AH394" s="99" t="b">
        <f>INDEX(stable[q_standard],MATCH(questions[[#This Row],[qno]],stable[qno],0))</f>
        <v>0</v>
      </c>
      <c r="AI394" s="99" t="b">
        <f>INDEX(stable[q_living_income],MATCH(questions[[#This Row],[qno]],stable[qno],0))</f>
        <v>1</v>
      </c>
      <c r="AJ394" s="99" t="b">
        <f>INDEX(stable[q_carbon],MATCH(questions[[#This Row],[qno]],stable[qno],0))</f>
        <v>1</v>
      </c>
      <c r="AK394" s="99" t="b">
        <f>INDEX(stable[q_regen_ag],MATCH(questions[[#This Row],[qno]],stable[qno],0))</f>
        <v>0</v>
      </c>
      <c r="AL394" s="16" t="b">
        <f>COUNTIFS(stable[qno],questions[[#This Row],[qno]])=1</f>
        <v>1</v>
      </c>
      <c r="AM394" s="16" t="b">
        <f>OR(questions[[#This Row],[is_fixed]],questions[[#This Row],[is_localized]],questions[[#This Row],[is_supply_chain_dependent]])</f>
        <v>1</v>
      </c>
      <c r="AN394" s="16" t="b">
        <f>COUNTIFS(questions[[#This Row],[is_automated]:[is_multi_select]],TRUE)=1</f>
        <v>1</v>
      </c>
      <c r="AO394" s="16" t="b">
        <f>IF(questions[[#This Row],[is_fixed]],questions[[#This Row],[question]]=INDEX(stable[question],MATCH(questions[[#This Row],[qno]],stable[qno],0)),TRUE)</f>
        <v>1</v>
      </c>
      <c r="AP394" s="16" t="str">
        <f>LEFT(questions[[#This Row],[question]],similarity_range)</f>
        <v>What was the unit of</v>
      </c>
      <c r="AQ394" s="16" t="str">
        <f>LEFT(INDEX(stable[question],MATCH(questions[[#This Row],[qno]],stable[qno],0)),similarity_range)</f>
        <v>What was the unit of</v>
      </c>
      <c r="AR394" s="16" t="b">
        <f>questions[[#This Row],[question_first_characters]]=questions[[#This Row],[stability_first_characters]]</f>
        <v>1</v>
      </c>
      <c r="AS394" s="16" t="b">
        <f>IF(OR(questions[[#This Row],[is_single_select]],questions[[#This Row],[is_multi_select]]),NOT(ISBLANK(questions[[#This Row],[answer_opt_combined]])),TRUE)</f>
        <v>1</v>
      </c>
    </row>
    <row r="395" spans="1:45" s="77" customFormat="1" x14ac:dyDescent="0.25">
      <c r="A395" s="77" t="str">
        <f>_xlfn.TEXTJOIN("_",TRUE,questions[[#This Row],[origin]:[qno]])</f>
        <v>Vietnam_Robusta_Lam_Dong_Nestlé_IMPACT_5400</v>
      </c>
      <c r="B395" s="77" t="s">
        <v>673</v>
      </c>
      <c r="C395" s="77" t="s">
        <v>674</v>
      </c>
      <c r="D395" s="77" t="s">
        <v>675</v>
      </c>
      <c r="F395" s="104" t="s">
        <v>175</v>
      </c>
      <c r="G395" s="78" t="s">
        <v>176</v>
      </c>
      <c r="H395" s="33" t="str" cm="1">
        <f t="array" ref="H395">INDEX(stableR[question],MATCH(VALUE(questions[[#This Row],[qno]]),VALUE(stableR[qno]),0))</f>
        <v>Did you use any type of animal manure, compost, or organic fertilizers for your coffee last year?</v>
      </c>
      <c r="I395" s="33" t="b" cm="1">
        <f t="array" ref="I395">INDEX(stable[is_fixed],MATCH(VALUE(questions[[#This Row],[qno]]),VALUE(stable[qno]),0))</f>
        <v>1</v>
      </c>
      <c r="J395" s="33" t="b" cm="1">
        <f t="array" ref="J395">INDEX(stable[is_localized],MATCH(VALUE(questions[[#This Row],[qno]]),VALUE(stable[qno]),0))</f>
        <v>0</v>
      </c>
      <c r="K395" s="33" t="b" cm="1">
        <f t="array" ref="K395">INDEX(stable[is_supply_chain_dependent],MATCH(VALUE(questions[[#This Row],[qno]]),VALUE(stable[qno]),0))</f>
        <v>0</v>
      </c>
      <c r="L395" s="33" t="b" cm="1">
        <f t="array" ref="L395">INDEX(stable[is_mandatory],MATCH(VALUE(questions[[#This Row],[qno]]),VALUE(stable[qno]),0))</f>
        <v>1</v>
      </c>
      <c r="M395" s="33" t="b" cm="1">
        <f t="array" ref="M395">INDEX(stable[is_automated],MATCH(VALUE(questions[[#This Row],[qno]]),VALUE(stable[qno]),0))</f>
        <v>0</v>
      </c>
      <c r="N395" s="33" t="b" cm="1">
        <f t="array" ref="N395">INDEX(stable[is_free_text],MATCH(VALUE(questions[[#This Row],[qno]]),VALUE(stable[qno]),0))</f>
        <v>0</v>
      </c>
      <c r="O395" s="33" t="b" cm="1">
        <f t="array" ref="O395">INDEX(stable[is_numerical],MATCH(VALUE(questions[[#This Row],[qno]]),VALUE(stable[qno]),0))</f>
        <v>0</v>
      </c>
      <c r="P395" s="103" t="b" cm="1">
        <f t="array" ref="P395">INDEX(stable[is_single_select],MATCH(VALUE(questions[[#This Row],[qno]]),VALUE(stable[qno]),0))</f>
        <v>1</v>
      </c>
      <c r="Q395" s="77" t="b" cm="1">
        <f t="array" ref="Q395">INDEX(stable[is_multi_select],MATCH(VALUE(questions[[#This Row],[qno]]),VALUE(stable[qno]),0))</f>
        <v>0</v>
      </c>
      <c r="R395" s="77" t="b" cm="1">
        <f t="array" ref="R395">INDEX(stable[is_skip_logic],MATCH(VALUE(questions[[#This Row],[qno]]),VALUE(stable[qno]),0))</f>
        <v>1</v>
      </c>
      <c r="S395" s="77" t="str">
        <f>_xlfn.TEXTJOIN(", ",TRUE,questions[[#This Row],[ans_opt_1]:[ans_opt_14]])</f>
        <v>Yes, No</v>
      </c>
      <c r="T395" s="77" t="s">
        <v>149</v>
      </c>
      <c r="U395" s="77" t="s">
        <v>119</v>
      </c>
      <c r="AH395" s="98" t="b">
        <f>INDEX(stable[q_standard],MATCH(questions[[#This Row],[qno]],stable[qno],0))</f>
        <v>0</v>
      </c>
      <c r="AI395" s="98" t="b">
        <f>INDEX(stable[q_living_income],MATCH(questions[[#This Row],[qno]],stable[qno],0))</f>
        <v>1</v>
      </c>
      <c r="AJ395" s="98" t="b">
        <f>INDEX(stable[q_carbon],MATCH(questions[[#This Row],[qno]],stable[qno],0))</f>
        <v>1</v>
      </c>
      <c r="AK395" s="98" t="b">
        <f>INDEX(stable[q_regen_ag],MATCH(questions[[#This Row],[qno]],stable[qno],0))</f>
        <v>0</v>
      </c>
      <c r="AL395" s="98" t="b">
        <f>COUNTIFS(stable[qno],questions[[#This Row],[qno]])=1</f>
        <v>1</v>
      </c>
      <c r="AM395" s="98" t="b">
        <f>OR(questions[[#This Row],[is_fixed]],questions[[#This Row],[is_localized]],questions[[#This Row],[is_supply_chain_dependent]])</f>
        <v>1</v>
      </c>
      <c r="AN395" s="98" t="b">
        <f>COUNTIFS(questions[[#This Row],[is_automated]:[is_multi_select]],TRUE)=1</f>
        <v>1</v>
      </c>
      <c r="AO395" s="98" t="b">
        <f>IF(questions[[#This Row],[is_fixed]],questions[[#This Row],[question]]=INDEX(stable[question],MATCH(questions[[#This Row],[qno]],stable[qno],0)),TRUE)</f>
        <v>1</v>
      </c>
      <c r="AP395" s="98" t="str">
        <f>LEFT(questions[[#This Row],[question]],similarity_range)</f>
        <v>Did you use any type</v>
      </c>
      <c r="AQ395" s="98" t="str">
        <f>LEFT(INDEX(stable[question],MATCH(questions[[#This Row],[qno]],stable[qno],0)),similarity_range)</f>
        <v>Did you use any type</v>
      </c>
      <c r="AR395" s="98" t="b">
        <f>questions[[#This Row],[question_first_characters]]=questions[[#This Row],[stability_first_characters]]</f>
        <v>1</v>
      </c>
      <c r="AS395" s="98" t="b">
        <f>IF(OR(questions[[#This Row],[is_single_select]],questions[[#This Row],[is_multi_select]]),NOT(ISBLANK(questions[[#This Row],[answer_opt_combined]])),TRUE)</f>
        <v>1</v>
      </c>
    </row>
    <row r="396" spans="1:45" x14ac:dyDescent="0.25">
      <c r="A396" s="33" t="str">
        <f>_xlfn.TEXTJOIN("_",TRUE,questions[[#This Row],[origin]:[qno]])</f>
        <v>Vietnam_Robusta_Lam_Dong_Nestlé_IMPACT_5401</v>
      </c>
      <c r="B396" s="33" t="s">
        <v>673</v>
      </c>
      <c r="C396" s="33" t="s">
        <v>674</v>
      </c>
      <c r="D396" s="33" t="s">
        <v>675</v>
      </c>
      <c r="E396" s="33"/>
      <c r="F396" s="34" t="s">
        <v>177</v>
      </c>
      <c r="G396" s="18" t="s">
        <v>178</v>
      </c>
      <c r="H396" s="33" t="str" cm="1">
        <f t="array" ref="H396">INDEX(stableR[question],MATCH(VALUE(questions[[#This Row],[qno]]),VALUE(stableR[qno]),0))</f>
        <v>What was the type of animal manure, compost, or organic fertilizer that you used most last year?</v>
      </c>
      <c r="I396" s="33" t="b" cm="1">
        <f t="array" ref="I396">INDEX(stable[is_fixed],MATCH(VALUE(questions[[#This Row],[qno]]),VALUE(stable[qno]),0))</f>
        <v>1</v>
      </c>
      <c r="J396" s="33" t="b" cm="1">
        <f t="array" ref="J396">INDEX(stable[is_localized],MATCH(VALUE(questions[[#This Row],[qno]]),VALUE(stable[qno]),0))</f>
        <v>0</v>
      </c>
      <c r="K396" s="33" t="b" cm="1">
        <f t="array" ref="K396">INDEX(stable[is_supply_chain_dependent],MATCH(VALUE(questions[[#This Row],[qno]]),VALUE(stable[qno]),0))</f>
        <v>0</v>
      </c>
      <c r="L396" s="33" t="b" cm="1">
        <f t="array" ref="L396">INDEX(stable[is_mandatory],MATCH(VALUE(questions[[#This Row],[qno]]),VALUE(stable[qno]),0))</f>
        <v>0</v>
      </c>
      <c r="M396" s="33" t="b" cm="1">
        <f t="array" ref="M396">INDEX(stable[is_automated],MATCH(VALUE(questions[[#This Row],[qno]]),VALUE(stable[qno]),0))</f>
        <v>0</v>
      </c>
      <c r="N396" s="33" t="b" cm="1">
        <f t="array" ref="N396">INDEX(stable[is_free_text],MATCH(VALUE(questions[[#This Row],[qno]]),VALUE(stable[qno]),0))</f>
        <v>1</v>
      </c>
      <c r="O396" s="33" t="b" cm="1">
        <f t="array" ref="O396">INDEX(stable[is_numerical],MATCH(VALUE(questions[[#This Row],[qno]]),VALUE(stable[qno]),0))</f>
        <v>0</v>
      </c>
      <c r="P396" s="35" t="b" cm="1">
        <f t="array" ref="P396">INDEX(stable[is_single_select],MATCH(VALUE(questions[[#This Row],[qno]]),VALUE(stable[qno]),0))</f>
        <v>1</v>
      </c>
      <c r="Q396" s="33" t="b" cm="1">
        <f t="array" ref="Q396">INDEX(stable[is_multi_select],MATCH(VALUE(questions[[#This Row],[qno]]),VALUE(stable[qno]),0))</f>
        <v>0</v>
      </c>
      <c r="R396" s="33" t="b" cm="1">
        <f t="array" ref="R396">INDEX(stable[is_skip_logic],MATCH(VALUE(questions[[#This Row],[qno]]),VALUE(stable[qno]),0))</f>
        <v>1</v>
      </c>
      <c r="S396" s="33" t="str">
        <f>_xlfn.TEXTJOIN(", ",TRUE,questions[[#This Row],[ans_opt_1]:[ans_opt_14]])</f>
        <v/>
      </c>
      <c r="T396" s="33"/>
      <c r="U396" s="33"/>
      <c r="V396" s="33"/>
      <c r="W396" s="33"/>
      <c r="X396" s="33"/>
      <c r="Y396" s="33"/>
      <c r="Z396" s="33"/>
      <c r="AA396" s="33"/>
      <c r="AB396" s="33"/>
      <c r="AC396" s="33"/>
      <c r="AD396" s="33"/>
      <c r="AE396" s="33"/>
      <c r="AF396" s="33"/>
      <c r="AG396" s="33"/>
      <c r="AH396" s="99" t="b">
        <f>INDEX(stable[q_standard],MATCH(questions[[#This Row],[qno]],stable[qno],0))</f>
        <v>0</v>
      </c>
      <c r="AI396" s="99" t="b">
        <f>INDEX(stable[q_living_income],MATCH(questions[[#This Row],[qno]],stable[qno],0))</f>
        <v>1</v>
      </c>
      <c r="AJ396" s="99" t="b">
        <f>INDEX(stable[q_carbon],MATCH(questions[[#This Row],[qno]],stable[qno],0))</f>
        <v>1</v>
      </c>
      <c r="AK396" s="99" t="b">
        <f>INDEX(stable[q_regen_ag],MATCH(questions[[#This Row],[qno]],stable[qno],0))</f>
        <v>0</v>
      </c>
      <c r="AL396" s="16" t="b">
        <f>COUNTIFS(stable[qno],questions[[#This Row],[qno]])=1</f>
        <v>1</v>
      </c>
      <c r="AM396" s="16" t="b">
        <f>OR(questions[[#This Row],[is_fixed]],questions[[#This Row],[is_localized]],questions[[#This Row],[is_supply_chain_dependent]])</f>
        <v>1</v>
      </c>
      <c r="AN396" s="16" t="b">
        <f>COUNTIFS(questions[[#This Row],[is_automated]:[is_multi_select]],TRUE)=1</f>
        <v>0</v>
      </c>
      <c r="AO396" s="16" t="b">
        <f>IF(questions[[#This Row],[is_fixed]],questions[[#This Row],[question]]=INDEX(stable[question],MATCH(questions[[#This Row],[qno]],stable[qno],0)),TRUE)</f>
        <v>1</v>
      </c>
      <c r="AP396" s="16" t="str">
        <f>LEFT(questions[[#This Row],[question]],similarity_range)</f>
        <v>If yes, what was the</v>
      </c>
      <c r="AQ396" s="16" t="str">
        <f>LEFT(INDEX(stable[question],MATCH(questions[[#This Row],[qno]],stable[qno],0)),similarity_range)</f>
        <v>If yes, what was the</v>
      </c>
      <c r="AR396" s="16" t="b">
        <f>questions[[#This Row],[question_first_characters]]=questions[[#This Row],[stability_first_characters]]</f>
        <v>1</v>
      </c>
      <c r="AS396" s="16" t="b">
        <f>IF(OR(questions[[#This Row],[is_single_select]],questions[[#This Row],[is_multi_select]]),NOT(ISBLANK(questions[[#This Row],[answer_opt_combined]])),TRUE)</f>
        <v>1</v>
      </c>
    </row>
    <row r="397" spans="1:45" x14ac:dyDescent="0.25">
      <c r="A397" s="33" t="str">
        <f>_xlfn.TEXTJOIN("_",TRUE,questions[[#This Row],[origin]:[qno]])</f>
        <v>Vietnam_Robusta_Lam_Dong_Nestlé_IMPACT_5402</v>
      </c>
      <c r="B397" s="33" t="s">
        <v>673</v>
      </c>
      <c r="C397" s="33" t="s">
        <v>674</v>
      </c>
      <c r="D397" s="33" t="s">
        <v>675</v>
      </c>
      <c r="E397" s="33"/>
      <c r="F397" s="34" t="s">
        <v>179</v>
      </c>
      <c r="G397" s="33" t="s">
        <v>180</v>
      </c>
      <c r="H397" s="33" t="str" cm="1">
        <f t="array" ref="H397">INDEX(stableR[question],MATCH(VALUE(questions[[#This Row],[qno]]),VALUE(stableR[qno]),0))</f>
        <v>What was the total quantity of this type of animal manure/compost/organic fertilizer that you used most (Kg)?</v>
      </c>
      <c r="I397" s="33" t="b" cm="1">
        <f t="array" ref="I397">INDEX(stable[is_fixed],MATCH(VALUE(questions[[#This Row],[qno]]),VALUE(stable[qno]),0))</f>
        <v>1</v>
      </c>
      <c r="J397" s="33" t="b" cm="1">
        <f t="array" ref="J397">INDEX(stable[is_localized],MATCH(VALUE(questions[[#This Row],[qno]]),VALUE(stable[qno]),0))</f>
        <v>0</v>
      </c>
      <c r="K397" s="33" t="b" cm="1">
        <f t="array" ref="K397">INDEX(stable[is_supply_chain_dependent],MATCH(VALUE(questions[[#This Row],[qno]]),VALUE(stable[qno]),0))</f>
        <v>0</v>
      </c>
      <c r="L397" s="33" t="b" cm="1">
        <f t="array" ref="L397">INDEX(stable[is_mandatory],MATCH(VALUE(questions[[#This Row],[qno]]),VALUE(stable[qno]),0))</f>
        <v>0</v>
      </c>
      <c r="M397" s="33" t="b" cm="1">
        <f t="array" ref="M397">INDEX(stable[is_automated],MATCH(VALUE(questions[[#This Row],[qno]]),VALUE(stable[qno]),0))</f>
        <v>0</v>
      </c>
      <c r="N397" s="33" t="b" cm="1">
        <f t="array" ref="N397">INDEX(stable[is_free_text],MATCH(VALUE(questions[[#This Row],[qno]]),VALUE(stable[qno]),0))</f>
        <v>0</v>
      </c>
      <c r="O397" s="33" t="b" cm="1">
        <f t="array" ref="O397">INDEX(stable[is_numerical],MATCH(VALUE(questions[[#This Row],[qno]]),VALUE(stable[qno]),0))</f>
        <v>1</v>
      </c>
      <c r="P397" s="35" t="b" cm="1">
        <f t="array" ref="P397">INDEX(stable[is_single_select],MATCH(VALUE(questions[[#This Row],[qno]]),VALUE(stable[qno]),0))</f>
        <v>0</v>
      </c>
      <c r="Q397" s="33" t="b" cm="1">
        <f t="array" ref="Q397">INDEX(stable[is_multi_select],MATCH(VALUE(questions[[#This Row],[qno]]),VALUE(stable[qno]),0))</f>
        <v>0</v>
      </c>
      <c r="R397" s="33" t="b" cm="1">
        <f t="array" ref="R397">INDEX(stable[is_skip_logic],MATCH(VALUE(questions[[#This Row],[qno]]),VALUE(stable[qno]),0))</f>
        <v>1</v>
      </c>
      <c r="S397" s="33" t="str">
        <f>_xlfn.TEXTJOIN(", ",TRUE,questions[[#This Row],[ans_opt_1]:[ans_opt_14]])</f>
        <v/>
      </c>
      <c r="T397" s="33"/>
      <c r="U397" s="33"/>
      <c r="V397" s="33"/>
      <c r="W397" s="33"/>
      <c r="X397" s="33"/>
      <c r="Y397" s="33"/>
      <c r="Z397" s="33"/>
      <c r="AA397" s="33"/>
      <c r="AB397" s="33"/>
      <c r="AC397" s="33"/>
      <c r="AD397" s="33"/>
      <c r="AE397" s="33"/>
      <c r="AF397" s="33"/>
      <c r="AG397" s="33"/>
      <c r="AH397" s="99" t="b">
        <f>INDEX(stable[q_standard],MATCH(questions[[#This Row],[qno]],stable[qno],0))</f>
        <v>0</v>
      </c>
      <c r="AI397" s="99" t="b">
        <f>INDEX(stable[q_living_income],MATCH(questions[[#This Row],[qno]],stable[qno],0))</f>
        <v>1</v>
      </c>
      <c r="AJ397" s="99" t="b">
        <f>INDEX(stable[q_carbon],MATCH(questions[[#This Row],[qno]],stable[qno],0))</f>
        <v>1</v>
      </c>
      <c r="AK397" s="99" t="b">
        <f>INDEX(stable[q_regen_ag],MATCH(questions[[#This Row],[qno]],stable[qno],0))</f>
        <v>0</v>
      </c>
      <c r="AL397" s="16" t="b">
        <f>COUNTIFS(stable[qno],questions[[#This Row],[qno]])=1</f>
        <v>1</v>
      </c>
      <c r="AM397" s="16" t="b">
        <f>OR(questions[[#This Row],[is_fixed]],questions[[#This Row],[is_localized]],questions[[#This Row],[is_supply_chain_dependent]])</f>
        <v>1</v>
      </c>
      <c r="AN397" s="16" t="b">
        <f>COUNTIFS(questions[[#This Row],[is_automated]:[is_multi_select]],TRUE)=1</f>
        <v>1</v>
      </c>
      <c r="AO397" s="16" t="b">
        <f>IF(questions[[#This Row],[is_fixed]],questions[[#This Row],[question]]=INDEX(stable[question],MATCH(questions[[#This Row],[qno]],stable[qno],0)),TRUE)</f>
        <v>1</v>
      </c>
      <c r="AP397" s="16" t="str">
        <f>LEFT(questions[[#This Row],[question]],similarity_range)</f>
        <v>What was the total q</v>
      </c>
      <c r="AQ397" s="16" t="str">
        <f>LEFT(INDEX(stable[question],MATCH(questions[[#This Row],[qno]],stable[qno],0)),similarity_range)</f>
        <v>What was the total q</v>
      </c>
      <c r="AR397" s="16" t="b">
        <f>questions[[#This Row],[question_first_characters]]=questions[[#This Row],[stability_first_characters]]</f>
        <v>1</v>
      </c>
      <c r="AS397" s="16" t="b">
        <f>IF(OR(questions[[#This Row],[is_single_select]],questions[[#This Row],[is_multi_select]]),NOT(ISBLANK(questions[[#This Row],[answer_opt_combined]])),TRUE)</f>
        <v>1</v>
      </c>
    </row>
    <row r="398" spans="1:45" x14ac:dyDescent="0.25">
      <c r="A398" s="33" t="str">
        <f>_xlfn.TEXTJOIN("_",TRUE,questions[[#This Row],[origin]:[qno]])</f>
        <v>Vietnam_Robusta_Lam_Dong_Nestlé_IMPACT_5403</v>
      </c>
      <c r="B398" s="33" t="s">
        <v>673</v>
      </c>
      <c r="C398" s="33" t="s">
        <v>674</v>
      </c>
      <c r="D398" s="33" t="s">
        <v>675</v>
      </c>
      <c r="E398" s="33"/>
      <c r="F398" s="34" t="s">
        <v>181</v>
      </c>
      <c r="G398" s="18" t="s">
        <v>182</v>
      </c>
      <c r="H398" s="33" t="str" cm="1">
        <f t="array" ref="H398">INDEX(stableR[question],MATCH(VALUE(questions[[#This Row],[qno]]),VALUE(stableR[qno]),0))</f>
        <v>What was the unit of this type of animal manure/compost/organic fertilizer that you used most (kg, basins, 50 kg bags, wheel barrows, small truck/tipper, large truck)?</v>
      </c>
      <c r="I398" s="33" t="b" cm="1">
        <f t="array" ref="I398">INDEX(stable[is_fixed],MATCH(VALUE(questions[[#This Row],[qno]]),VALUE(stable[qno]),0))</f>
        <v>1</v>
      </c>
      <c r="J398" s="33" t="b" cm="1">
        <f t="array" ref="J398">INDEX(stable[is_localized],MATCH(VALUE(questions[[#This Row],[qno]]),VALUE(stable[qno]),0))</f>
        <v>0</v>
      </c>
      <c r="K398" s="33" t="b" cm="1">
        <f t="array" ref="K398">INDEX(stable[is_supply_chain_dependent],MATCH(VALUE(questions[[#This Row],[qno]]),VALUE(stable[qno]),0))</f>
        <v>0</v>
      </c>
      <c r="L398" s="33" t="b" cm="1">
        <f t="array" ref="L398">INDEX(stable[is_mandatory],MATCH(VALUE(questions[[#This Row],[qno]]),VALUE(stable[qno]),0))</f>
        <v>0</v>
      </c>
      <c r="M398" s="33" t="b" cm="1">
        <f t="array" ref="M398">INDEX(stable[is_automated],MATCH(VALUE(questions[[#This Row],[qno]]),VALUE(stable[qno]),0))</f>
        <v>0</v>
      </c>
      <c r="N398" s="33" t="b" cm="1">
        <f t="array" ref="N398">INDEX(stable[is_free_text],MATCH(VALUE(questions[[#This Row],[qno]]),VALUE(stable[qno]),0))</f>
        <v>1</v>
      </c>
      <c r="O398" s="33" t="b" cm="1">
        <f t="array" ref="O398">INDEX(stable[is_numerical],MATCH(VALUE(questions[[#This Row],[qno]]),VALUE(stable[qno]),0))</f>
        <v>0</v>
      </c>
      <c r="P398" s="35" t="b" cm="1">
        <f t="array" ref="P398">INDEX(stable[is_single_select],MATCH(VALUE(questions[[#This Row],[qno]]),VALUE(stable[qno]),0))</f>
        <v>0</v>
      </c>
      <c r="Q398" s="33" t="b" cm="1">
        <f t="array" ref="Q398">INDEX(stable[is_multi_select],MATCH(VALUE(questions[[#This Row],[qno]]),VALUE(stable[qno]),0))</f>
        <v>0</v>
      </c>
      <c r="R398" s="33" t="b" cm="1">
        <f t="array" ref="R398">INDEX(stable[is_skip_logic],MATCH(VALUE(questions[[#This Row],[qno]]),VALUE(stable[qno]),0))</f>
        <v>1</v>
      </c>
      <c r="S398" s="33" t="str">
        <f>_xlfn.TEXTJOIN(", ",TRUE,questions[[#This Row],[ans_opt_1]:[ans_opt_14]])</f>
        <v/>
      </c>
      <c r="T398" s="33"/>
      <c r="U398" s="33"/>
      <c r="V398" s="33"/>
      <c r="W398" s="33"/>
      <c r="X398" s="33"/>
      <c r="Y398" s="33"/>
      <c r="Z398" s="33"/>
      <c r="AA398" s="33"/>
      <c r="AB398" s="33"/>
      <c r="AC398" s="33"/>
      <c r="AD398" s="33"/>
      <c r="AE398" s="33"/>
      <c r="AF398" s="33"/>
      <c r="AG398" s="33"/>
      <c r="AH398" s="99" t="b">
        <f>INDEX(stable[q_standard],MATCH(questions[[#This Row],[qno]],stable[qno],0))</f>
        <v>0</v>
      </c>
      <c r="AI398" s="99" t="b">
        <f>INDEX(stable[q_living_income],MATCH(questions[[#This Row],[qno]],stable[qno],0))</f>
        <v>1</v>
      </c>
      <c r="AJ398" s="99" t="b">
        <f>INDEX(stable[q_carbon],MATCH(questions[[#This Row],[qno]],stable[qno],0))</f>
        <v>1</v>
      </c>
      <c r="AK398" s="99" t="b">
        <f>INDEX(stable[q_regen_ag],MATCH(questions[[#This Row],[qno]],stable[qno],0))</f>
        <v>0</v>
      </c>
      <c r="AL398" s="16" t="b">
        <f>COUNTIFS(stable[qno],questions[[#This Row],[qno]])=1</f>
        <v>1</v>
      </c>
      <c r="AM398" s="16" t="b">
        <f>OR(questions[[#This Row],[is_fixed]],questions[[#This Row],[is_localized]],questions[[#This Row],[is_supply_chain_dependent]])</f>
        <v>1</v>
      </c>
      <c r="AN398" s="16" t="b">
        <f>COUNTIFS(questions[[#This Row],[is_automated]:[is_multi_select]],TRUE)=1</f>
        <v>1</v>
      </c>
      <c r="AO398" s="16" t="b">
        <f>IF(questions[[#This Row],[is_fixed]],questions[[#This Row],[question]]=INDEX(stable[question],MATCH(questions[[#This Row],[qno]],stable[qno],0)),TRUE)</f>
        <v>1</v>
      </c>
      <c r="AP398" s="16" t="str">
        <f>LEFT(questions[[#This Row],[question]],similarity_range)</f>
        <v>What was the unit of</v>
      </c>
      <c r="AQ398" s="16" t="str">
        <f>LEFT(INDEX(stable[question],MATCH(questions[[#This Row],[qno]],stable[qno],0)),similarity_range)</f>
        <v>What was the unit of</v>
      </c>
      <c r="AR398" s="16" t="b">
        <f>questions[[#This Row],[question_first_characters]]=questions[[#This Row],[stability_first_characters]]</f>
        <v>1</v>
      </c>
      <c r="AS398" s="16" t="b">
        <f>IF(OR(questions[[#This Row],[is_single_select]],questions[[#This Row],[is_multi_select]]),NOT(ISBLANK(questions[[#This Row],[answer_opt_combined]])),TRUE)</f>
        <v>1</v>
      </c>
    </row>
    <row r="399" spans="1:45" s="77" customFormat="1" x14ac:dyDescent="0.25">
      <c r="A399" s="77" t="str">
        <f>_xlfn.TEXTJOIN("_",TRUE,questions[[#This Row],[origin]:[qno]])</f>
        <v>Vietnam_Robusta_Lam_Dong_Nestlé_IMPACT_5404</v>
      </c>
      <c r="B399" s="77" t="s">
        <v>673</v>
      </c>
      <c r="C399" s="77" t="s">
        <v>674</v>
      </c>
      <c r="D399" s="77" t="s">
        <v>675</v>
      </c>
      <c r="F399" s="104" t="s">
        <v>183</v>
      </c>
      <c r="G399" s="78" t="s">
        <v>184</v>
      </c>
      <c r="H399" s="33" t="str" cm="1">
        <f t="array" ref="H399">INDEX(stableR[question],MATCH(VALUE(questions[[#This Row],[qno]]),VALUE(stableR[qno]),0))</f>
        <v>How did you get this manure/compost/organic fertilizer that you used most?</v>
      </c>
      <c r="I399" s="33" t="b" cm="1">
        <f t="array" ref="I399">INDEX(stable[is_fixed],MATCH(VALUE(questions[[#This Row],[qno]]),VALUE(stable[qno]),0))</f>
        <v>1</v>
      </c>
      <c r="J399" s="33" t="b" cm="1">
        <f t="array" ref="J399">INDEX(stable[is_localized],MATCH(VALUE(questions[[#This Row],[qno]]),VALUE(stable[qno]),0))</f>
        <v>0</v>
      </c>
      <c r="K399" s="33" t="b" cm="1">
        <f t="array" ref="K399">INDEX(stable[is_supply_chain_dependent],MATCH(VALUE(questions[[#This Row],[qno]]),VALUE(stable[qno]),0))</f>
        <v>0</v>
      </c>
      <c r="L399" s="33" t="b" cm="1">
        <f t="array" ref="L399">INDEX(stable[is_mandatory],MATCH(VALUE(questions[[#This Row],[qno]]),VALUE(stable[qno]),0))</f>
        <v>0</v>
      </c>
      <c r="M399" s="33" t="b" cm="1">
        <f t="array" ref="M399">INDEX(stable[is_automated],MATCH(VALUE(questions[[#This Row],[qno]]),VALUE(stable[qno]),0))</f>
        <v>0</v>
      </c>
      <c r="N399" s="33" t="b" cm="1">
        <f t="array" ref="N399">INDEX(stable[is_free_text],MATCH(VALUE(questions[[#This Row],[qno]]),VALUE(stable[qno]),0))</f>
        <v>0</v>
      </c>
      <c r="O399" s="33" t="b" cm="1">
        <f t="array" ref="O399">INDEX(stable[is_numerical],MATCH(VALUE(questions[[#This Row],[qno]]),VALUE(stable[qno]),0))</f>
        <v>0</v>
      </c>
      <c r="P399" s="103" t="b" cm="1">
        <f t="array" ref="P399">INDEX(stable[is_single_select],MATCH(VALUE(questions[[#This Row],[qno]]),VALUE(stable[qno]),0))</f>
        <v>1</v>
      </c>
      <c r="Q399" s="77" t="b" cm="1">
        <f t="array" ref="Q399">INDEX(stable[is_multi_select],MATCH(VALUE(questions[[#This Row],[qno]]),VALUE(stable[qno]),0))</f>
        <v>0</v>
      </c>
      <c r="R399" s="77" t="b" cm="1">
        <f t="array" ref="R399">INDEX(stable[is_skip_logic],MATCH(VALUE(questions[[#This Row],[qno]]),VALUE(stable[qno]),0))</f>
        <v>1</v>
      </c>
      <c r="S399" s="77" t="str">
        <f>_xlfn.TEXTJOIN(", ",TRUE,questions[[#This Row],[ans_opt_1]:[ans_opt_14]])</f>
        <v>Bought, From own farm, Received for free, Both from own farm &amp; bought/received from outside the farm</v>
      </c>
      <c r="T399" s="77" t="s">
        <v>185</v>
      </c>
      <c r="U399" s="77" t="s">
        <v>186</v>
      </c>
      <c r="V399" s="77" t="s">
        <v>187</v>
      </c>
      <c r="W399" s="77" t="s">
        <v>188</v>
      </c>
      <c r="AH399" s="98" t="b">
        <f>INDEX(stable[q_standard],MATCH(questions[[#This Row],[qno]],stable[qno],0))</f>
        <v>0</v>
      </c>
      <c r="AI399" s="98" t="b">
        <f>INDEX(stable[q_living_income],MATCH(questions[[#This Row],[qno]],stable[qno],0))</f>
        <v>1</v>
      </c>
      <c r="AJ399" s="98" t="b">
        <f>INDEX(stable[q_carbon],MATCH(questions[[#This Row],[qno]],stable[qno],0))</f>
        <v>1</v>
      </c>
      <c r="AK399" s="98" t="b">
        <f>INDEX(stable[q_regen_ag],MATCH(questions[[#This Row],[qno]],stable[qno],0))</f>
        <v>0</v>
      </c>
      <c r="AL399" s="98" t="b">
        <f>COUNTIFS(stable[qno],questions[[#This Row],[qno]])=1</f>
        <v>1</v>
      </c>
      <c r="AM399" s="98" t="b">
        <f>OR(questions[[#This Row],[is_fixed]],questions[[#This Row],[is_localized]],questions[[#This Row],[is_supply_chain_dependent]])</f>
        <v>1</v>
      </c>
      <c r="AN399" s="98" t="b">
        <f>COUNTIFS(questions[[#This Row],[is_automated]:[is_multi_select]],TRUE)=1</f>
        <v>1</v>
      </c>
      <c r="AO399" s="98" t="b">
        <f>IF(questions[[#This Row],[is_fixed]],questions[[#This Row],[question]]=INDEX(stable[question],MATCH(questions[[#This Row],[qno]],stable[qno],0)),TRUE)</f>
        <v>0</v>
      </c>
      <c r="AP399" s="98" t="str">
        <f>LEFT(questions[[#This Row],[question]],similarity_range)</f>
        <v>Did you buy this man</v>
      </c>
      <c r="AQ399" s="98" t="str">
        <f>LEFT(INDEX(stable[question],MATCH(questions[[#This Row],[qno]],stable[qno],0)),similarity_range)</f>
        <v>How did you get this</v>
      </c>
      <c r="AR399" s="98" t="b">
        <f>questions[[#This Row],[question_first_characters]]=questions[[#This Row],[stability_first_characters]]</f>
        <v>0</v>
      </c>
      <c r="AS399" s="98" t="b">
        <f>IF(OR(questions[[#This Row],[is_single_select]],questions[[#This Row],[is_multi_select]]),NOT(ISBLANK(questions[[#This Row],[answer_opt_combined]])),TRUE)</f>
        <v>1</v>
      </c>
    </row>
    <row r="400" spans="1:45" x14ac:dyDescent="0.25">
      <c r="A400" s="33" t="str">
        <f>_xlfn.TEXTJOIN("_",TRUE,questions[[#This Row],[origin]:[qno]])</f>
        <v>Vietnam_Robusta_Lam_Dong_Nestlé_IMPACT_5410</v>
      </c>
      <c r="B400" s="33" t="s">
        <v>673</v>
      </c>
      <c r="C400" s="33" t="s">
        <v>674</v>
      </c>
      <c r="D400" s="33" t="s">
        <v>675</v>
      </c>
      <c r="E400" s="33"/>
      <c r="F400" s="34" t="s">
        <v>189</v>
      </c>
      <c r="G400" s="18" t="s">
        <v>190</v>
      </c>
      <c r="H400" s="33" t="str" cm="1">
        <f t="array" ref="H400">INDEX(stableR[question],MATCH(VALUE(questions[[#This Row],[qno]]),VALUE(stableR[qno]),0))</f>
        <v>What was the type of animal manure, compost, or organic fertilizer that you used second most last year?</v>
      </c>
      <c r="I400" s="33" t="b" cm="1">
        <f t="array" ref="I400">INDEX(stable[is_fixed],MATCH(VALUE(questions[[#This Row],[qno]]),VALUE(stable[qno]),0))</f>
        <v>1</v>
      </c>
      <c r="J400" s="33" t="b" cm="1">
        <f t="array" ref="J400">INDEX(stable[is_localized],MATCH(VALUE(questions[[#This Row],[qno]]),VALUE(stable[qno]),0))</f>
        <v>0</v>
      </c>
      <c r="K400" s="33" t="b" cm="1">
        <f t="array" ref="K400">INDEX(stable[is_supply_chain_dependent],MATCH(VALUE(questions[[#This Row],[qno]]),VALUE(stable[qno]),0))</f>
        <v>0</v>
      </c>
      <c r="L400" s="33" t="b" cm="1">
        <f t="array" ref="L400">INDEX(stable[is_mandatory],MATCH(VALUE(questions[[#This Row],[qno]]),VALUE(stable[qno]),0))</f>
        <v>0</v>
      </c>
      <c r="M400" s="33" t="b" cm="1">
        <f t="array" ref="M400">INDEX(stable[is_automated],MATCH(VALUE(questions[[#This Row],[qno]]),VALUE(stable[qno]),0))</f>
        <v>0</v>
      </c>
      <c r="N400" s="33" t="b" cm="1">
        <f t="array" ref="N400">INDEX(stable[is_free_text],MATCH(VALUE(questions[[#This Row],[qno]]),VALUE(stable[qno]),0))</f>
        <v>1</v>
      </c>
      <c r="O400" s="33" t="b" cm="1">
        <f t="array" ref="O400">INDEX(stable[is_numerical],MATCH(VALUE(questions[[#This Row],[qno]]),VALUE(stable[qno]),0))</f>
        <v>0</v>
      </c>
      <c r="P400" s="35" t="b" cm="1">
        <f t="array" ref="P400">INDEX(stable[is_single_select],MATCH(VALUE(questions[[#This Row],[qno]]),VALUE(stable[qno]),0))</f>
        <v>1</v>
      </c>
      <c r="Q400" s="33" t="b" cm="1">
        <f t="array" ref="Q400">INDEX(stable[is_multi_select],MATCH(VALUE(questions[[#This Row],[qno]]),VALUE(stable[qno]),0))</f>
        <v>0</v>
      </c>
      <c r="R400" s="33" t="b" cm="1">
        <f t="array" ref="R400">INDEX(stable[is_skip_logic],MATCH(VALUE(questions[[#This Row],[qno]]),VALUE(stable[qno]),0))</f>
        <v>1</v>
      </c>
      <c r="S400" s="33" t="str">
        <f>_xlfn.TEXTJOIN(", ",TRUE,questions[[#This Row],[ans_opt_1]:[ans_opt_14]])</f>
        <v/>
      </c>
      <c r="T400" s="33"/>
      <c r="U400" s="33"/>
      <c r="V400" s="33"/>
      <c r="W400" s="33"/>
      <c r="X400" s="33"/>
      <c r="Y400" s="33"/>
      <c r="Z400" s="33"/>
      <c r="AA400" s="33"/>
      <c r="AB400" s="33"/>
      <c r="AC400" s="33"/>
      <c r="AD400" s="33"/>
      <c r="AE400" s="33"/>
      <c r="AF400" s="33"/>
      <c r="AG400" s="33"/>
      <c r="AH400" s="99" t="b">
        <f>INDEX(stable[q_standard],MATCH(questions[[#This Row],[qno]],stable[qno],0))</f>
        <v>0</v>
      </c>
      <c r="AI400" s="99" t="b">
        <f>INDEX(stable[q_living_income],MATCH(questions[[#This Row],[qno]],stable[qno],0))</f>
        <v>1</v>
      </c>
      <c r="AJ400" s="99" t="b">
        <f>INDEX(stable[q_carbon],MATCH(questions[[#This Row],[qno]],stable[qno],0))</f>
        <v>1</v>
      </c>
      <c r="AK400" s="99" t="b">
        <f>INDEX(stable[q_regen_ag],MATCH(questions[[#This Row],[qno]],stable[qno],0))</f>
        <v>0</v>
      </c>
      <c r="AL400" s="16" t="b">
        <f>COUNTIFS(stable[qno],questions[[#This Row],[qno]])=1</f>
        <v>1</v>
      </c>
      <c r="AM400" s="16" t="b">
        <f>OR(questions[[#This Row],[is_fixed]],questions[[#This Row],[is_localized]],questions[[#This Row],[is_supply_chain_dependent]])</f>
        <v>1</v>
      </c>
      <c r="AN400" s="16" t="b">
        <f>COUNTIFS(questions[[#This Row],[is_automated]:[is_multi_select]],TRUE)=1</f>
        <v>0</v>
      </c>
      <c r="AO400" s="16" t="b">
        <f>IF(questions[[#This Row],[is_fixed]],questions[[#This Row],[question]]=INDEX(stable[question],MATCH(questions[[#This Row],[qno]],stable[qno],0)),TRUE)</f>
        <v>0</v>
      </c>
      <c r="AP400" s="16" t="str">
        <f>LEFT(questions[[#This Row],[question]],similarity_range)</f>
        <v>If yes, what was the</v>
      </c>
      <c r="AQ400" s="16" t="str">
        <f>LEFT(INDEX(stable[question],MATCH(questions[[#This Row],[qno]],stable[qno],0)),similarity_range)</f>
        <v>Was there a second t</v>
      </c>
      <c r="AR400" s="16" t="b">
        <f>questions[[#This Row],[question_first_characters]]=questions[[#This Row],[stability_first_characters]]</f>
        <v>0</v>
      </c>
      <c r="AS400" s="16" t="b">
        <f>IF(OR(questions[[#This Row],[is_single_select]],questions[[#This Row],[is_multi_select]]),NOT(ISBLANK(questions[[#This Row],[answer_opt_combined]])),TRUE)</f>
        <v>1</v>
      </c>
    </row>
    <row r="401" spans="1:45" x14ac:dyDescent="0.25">
      <c r="A401" s="33" t="str">
        <f>_xlfn.TEXTJOIN("_",TRUE,questions[[#This Row],[origin]:[qno]])</f>
        <v>Vietnam_Robusta_Lam_Dong_Nestlé_IMPACT_5411</v>
      </c>
      <c r="B401" s="33" t="s">
        <v>673</v>
      </c>
      <c r="C401" s="33" t="s">
        <v>674</v>
      </c>
      <c r="D401" s="33" t="s">
        <v>675</v>
      </c>
      <c r="E401" s="33"/>
      <c r="F401" s="34" t="s">
        <v>191</v>
      </c>
      <c r="G401" s="33" t="s">
        <v>192</v>
      </c>
      <c r="H401" s="33" t="str" cm="1">
        <f t="array" ref="H401">INDEX(stableR[question],MATCH(VALUE(questions[[#This Row],[qno]]),VALUE(stableR[qno]),0))</f>
        <v>What was the total quantity of this type of animal manure/compost/organic fertilizer that you used second most? (Kg)</v>
      </c>
      <c r="I401" s="33" t="b" cm="1">
        <f t="array" ref="I401">INDEX(stable[is_fixed],MATCH(VALUE(questions[[#This Row],[qno]]),VALUE(stable[qno]),0))</f>
        <v>1</v>
      </c>
      <c r="J401" s="33" t="b" cm="1">
        <f t="array" ref="J401">INDEX(stable[is_localized],MATCH(VALUE(questions[[#This Row],[qno]]),VALUE(stable[qno]),0))</f>
        <v>0</v>
      </c>
      <c r="K401" s="33" t="b" cm="1">
        <f t="array" ref="K401">INDEX(stable[is_supply_chain_dependent],MATCH(VALUE(questions[[#This Row],[qno]]),VALUE(stable[qno]),0))</f>
        <v>0</v>
      </c>
      <c r="L401" s="33" t="b" cm="1">
        <f t="array" ref="L401">INDEX(stable[is_mandatory],MATCH(VALUE(questions[[#This Row],[qno]]),VALUE(stable[qno]),0))</f>
        <v>0</v>
      </c>
      <c r="M401" s="33" t="b" cm="1">
        <f t="array" ref="M401">INDEX(stable[is_automated],MATCH(VALUE(questions[[#This Row],[qno]]),VALUE(stable[qno]),0))</f>
        <v>0</v>
      </c>
      <c r="N401" s="33" t="b" cm="1">
        <f t="array" ref="N401">INDEX(stable[is_free_text],MATCH(VALUE(questions[[#This Row],[qno]]),VALUE(stable[qno]),0))</f>
        <v>0</v>
      </c>
      <c r="O401" s="33" t="b" cm="1">
        <f t="array" ref="O401">INDEX(stable[is_numerical],MATCH(VALUE(questions[[#This Row],[qno]]),VALUE(stable[qno]),0))</f>
        <v>1</v>
      </c>
      <c r="P401" s="35" t="b" cm="1">
        <f t="array" ref="P401">INDEX(stable[is_single_select],MATCH(VALUE(questions[[#This Row],[qno]]),VALUE(stable[qno]),0))</f>
        <v>0</v>
      </c>
      <c r="Q401" s="33" t="b" cm="1">
        <f t="array" ref="Q401">INDEX(stable[is_multi_select],MATCH(VALUE(questions[[#This Row],[qno]]),VALUE(stable[qno]),0))</f>
        <v>0</v>
      </c>
      <c r="R401" s="33" t="b" cm="1">
        <f t="array" ref="R401">INDEX(stable[is_skip_logic],MATCH(VALUE(questions[[#This Row],[qno]]),VALUE(stable[qno]),0))</f>
        <v>1</v>
      </c>
      <c r="S401" s="33" t="str">
        <f>_xlfn.TEXTJOIN(", ",TRUE,questions[[#This Row],[ans_opt_1]:[ans_opt_14]])</f>
        <v/>
      </c>
      <c r="T401" s="33"/>
      <c r="U401" s="33"/>
      <c r="V401" s="33"/>
      <c r="W401" s="33"/>
      <c r="X401" s="33"/>
      <c r="Y401" s="33"/>
      <c r="Z401" s="33"/>
      <c r="AA401" s="33"/>
      <c r="AB401" s="33"/>
      <c r="AC401" s="33"/>
      <c r="AD401" s="33"/>
      <c r="AE401" s="33"/>
      <c r="AF401" s="33"/>
      <c r="AG401" s="33"/>
      <c r="AH401" s="99" t="b">
        <f>INDEX(stable[q_standard],MATCH(questions[[#This Row],[qno]],stable[qno],0))</f>
        <v>0</v>
      </c>
      <c r="AI401" s="99" t="b">
        <f>INDEX(stable[q_living_income],MATCH(questions[[#This Row],[qno]],stable[qno],0))</f>
        <v>1</v>
      </c>
      <c r="AJ401" s="99" t="b">
        <f>INDEX(stable[q_carbon],MATCH(questions[[#This Row],[qno]],stable[qno],0))</f>
        <v>1</v>
      </c>
      <c r="AK401" s="99" t="b">
        <f>INDEX(stable[q_regen_ag],MATCH(questions[[#This Row],[qno]],stable[qno],0))</f>
        <v>0</v>
      </c>
      <c r="AL401" s="16" t="b">
        <f>COUNTIFS(stable[qno],questions[[#This Row],[qno]])=1</f>
        <v>1</v>
      </c>
      <c r="AM401" s="16" t="b">
        <f>OR(questions[[#This Row],[is_fixed]],questions[[#This Row],[is_localized]],questions[[#This Row],[is_supply_chain_dependent]])</f>
        <v>1</v>
      </c>
      <c r="AN401" s="16" t="b">
        <f>COUNTIFS(questions[[#This Row],[is_automated]:[is_multi_select]],TRUE)=1</f>
        <v>1</v>
      </c>
      <c r="AO401" s="16" t="b">
        <f>IF(questions[[#This Row],[is_fixed]],questions[[#This Row],[question]]=INDEX(stable[question],MATCH(questions[[#This Row],[qno]],stable[qno],0)),TRUE)</f>
        <v>1</v>
      </c>
      <c r="AP401" s="16" t="str">
        <f>LEFT(questions[[#This Row],[question]],similarity_range)</f>
        <v>What was the total q</v>
      </c>
      <c r="AQ401" s="16" t="str">
        <f>LEFT(INDEX(stable[question],MATCH(questions[[#This Row],[qno]],stable[qno],0)),similarity_range)</f>
        <v>What was the total q</v>
      </c>
      <c r="AR401" s="16" t="b">
        <f>questions[[#This Row],[question_first_characters]]=questions[[#This Row],[stability_first_characters]]</f>
        <v>1</v>
      </c>
      <c r="AS401" s="16" t="b">
        <f>IF(OR(questions[[#This Row],[is_single_select]],questions[[#This Row],[is_multi_select]]),NOT(ISBLANK(questions[[#This Row],[answer_opt_combined]])),TRUE)</f>
        <v>1</v>
      </c>
    </row>
    <row r="402" spans="1:45" x14ac:dyDescent="0.25">
      <c r="A402" s="33" t="str">
        <f>_xlfn.TEXTJOIN("_",TRUE,questions[[#This Row],[origin]:[qno]])</f>
        <v>Vietnam_Robusta_Lam_Dong_Nestlé_IMPACT_5412</v>
      </c>
      <c r="B402" s="33" t="s">
        <v>673</v>
      </c>
      <c r="C402" s="33" t="s">
        <v>674</v>
      </c>
      <c r="D402" s="33" t="s">
        <v>675</v>
      </c>
      <c r="E402" s="33"/>
      <c r="F402" s="34" t="s">
        <v>193</v>
      </c>
      <c r="G402" s="18" t="s">
        <v>194</v>
      </c>
      <c r="H402" s="33" t="str" cm="1">
        <f t="array" ref="H402">INDEX(stableR[question],MATCH(VALUE(questions[[#This Row],[qno]]),VALUE(stableR[qno]),0))</f>
        <v>What was the unit of this type of animal manure/compost/organic fertilizer that you used second most (kg, basins, 50 kg bags, wheel barrows, small truck/tipper, large truck)?</v>
      </c>
      <c r="I402" s="33" t="b" cm="1">
        <f t="array" ref="I402">INDEX(stable[is_fixed],MATCH(VALUE(questions[[#This Row],[qno]]),VALUE(stable[qno]),0))</f>
        <v>1</v>
      </c>
      <c r="J402" s="33" t="b" cm="1">
        <f t="array" ref="J402">INDEX(stable[is_localized],MATCH(VALUE(questions[[#This Row],[qno]]),VALUE(stable[qno]),0))</f>
        <v>0</v>
      </c>
      <c r="K402" s="33" t="b" cm="1">
        <f t="array" ref="K402">INDEX(stable[is_supply_chain_dependent],MATCH(VALUE(questions[[#This Row],[qno]]),VALUE(stable[qno]),0))</f>
        <v>0</v>
      </c>
      <c r="L402" s="33" t="b" cm="1">
        <f t="array" ref="L402">INDEX(stable[is_mandatory],MATCH(VALUE(questions[[#This Row],[qno]]),VALUE(stable[qno]),0))</f>
        <v>0</v>
      </c>
      <c r="M402" s="33" t="b" cm="1">
        <f t="array" ref="M402">INDEX(stable[is_automated],MATCH(VALUE(questions[[#This Row],[qno]]),VALUE(stable[qno]),0))</f>
        <v>0</v>
      </c>
      <c r="N402" s="33" t="b" cm="1">
        <f t="array" ref="N402">INDEX(stable[is_free_text],MATCH(VALUE(questions[[#This Row],[qno]]),VALUE(stable[qno]),0))</f>
        <v>1</v>
      </c>
      <c r="O402" s="33" t="b" cm="1">
        <f t="array" ref="O402">INDEX(stable[is_numerical],MATCH(VALUE(questions[[#This Row],[qno]]),VALUE(stable[qno]),0))</f>
        <v>0</v>
      </c>
      <c r="P402" s="35" t="b" cm="1">
        <f t="array" ref="P402">INDEX(stable[is_single_select],MATCH(VALUE(questions[[#This Row],[qno]]),VALUE(stable[qno]),0))</f>
        <v>0</v>
      </c>
      <c r="Q402" s="33" t="b" cm="1">
        <f t="array" ref="Q402">INDEX(stable[is_multi_select],MATCH(VALUE(questions[[#This Row],[qno]]),VALUE(stable[qno]),0))</f>
        <v>0</v>
      </c>
      <c r="R402" s="33" t="b" cm="1">
        <f t="array" ref="R402">INDEX(stable[is_skip_logic],MATCH(VALUE(questions[[#This Row],[qno]]),VALUE(stable[qno]),0))</f>
        <v>1</v>
      </c>
      <c r="S402" s="33" t="str">
        <f>_xlfn.TEXTJOIN(", ",TRUE,questions[[#This Row],[ans_opt_1]:[ans_opt_14]])</f>
        <v/>
      </c>
      <c r="T402" s="33"/>
      <c r="U402" s="33"/>
      <c r="V402" s="33"/>
      <c r="W402" s="33"/>
      <c r="X402" s="33"/>
      <c r="Y402" s="33"/>
      <c r="Z402" s="33"/>
      <c r="AA402" s="33"/>
      <c r="AB402" s="33"/>
      <c r="AC402" s="33"/>
      <c r="AD402" s="33"/>
      <c r="AE402" s="33"/>
      <c r="AF402" s="33"/>
      <c r="AG402" s="33"/>
      <c r="AH402" s="99" t="b">
        <f>INDEX(stable[q_standard],MATCH(questions[[#This Row],[qno]],stable[qno],0))</f>
        <v>0</v>
      </c>
      <c r="AI402" s="99" t="b">
        <f>INDEX(stable[q_living_income],MATCH(questions[[#This Row],[qno]],stable[qno],0))</f>
        <v>1</v>
      </c>
      <c r="AJ402" s="99" t="b">
        <f>INDEX(stable[q_carbon],MATCH(questions[[#This Row],[qno]],stable[qno],0))</f>
        <v>1</v>
      </c>
      <c r="AK402" s="99" t="b">
        <f>INDEX(stable[q_regen_ag],MATCH(questions[[#This Row],[qno]],stable[qno],0))</f>
        <v>0</v>
      </c>
      <c r="AL402" s="16" t="b">
        <f>COUNTIFS(stable[qno],questions[[#This Row],[qno]])=1</f>
        <v>1</v>
      </c>
      <c r="AM402" s="16" t="b">
        <f>OR(questions[[#This Row],[is_fixed]],questions[[#This Row],[is_localized]],questions[[#This Row],[is_supply_chain_dependent]])</f>
        <v>1</v>
      </c>
      <c r="AN402" s="16" t="b">
        <f>COUNTIFS(questions[[#This Row],[is_automated]:[is_multi_select]],TRUE)=1</f>
        <v>1</v>
      </c>
      <c r="AO402" s="16" t="b">
        <f>IF(questions[[#This Row],[is_fixed]],questions[[#This Row],[question]]=INDEX(stable[question],MATCH(questions[[#This Row],[qno]],stable[qno],0)),TRUE)</f>
        <v>1</v>
      </c>
      <c r="AP402" s="16" t="str">
        <f>LEFT(questions[[#This Row],[question]],similarity_range)</f>
        <v>What was the unit of</v>
      </c>
      <c r="AQ402" s="16" t="str">
        <f>LEFT(INDEX(stable[question],MATCH(questions[[#This Row],[qno]],stable[qno],0)),similarity_range)</f>
        <v>What was the unit of</v>
      </c>
      <c r="AR402" s="16" t="b">
        <f>questions[[#This Row],[question_first_characters]]=questions[[#This Row],[stability_first_characters]]</f>
        <v>1</v>
      </c>
      <c r="AS402" s="16" t="b">
        <f>IF(OR(questions[[#This Row],[is_single_select]],questions[[#This Row],[is_multi_select]]),NOT(ISBLANK(questions[[#This Row],[answer_opt_combined]])),TRUE)</f>
        <v>1</v>
      </c>
    </row>
    <row r="403" spans="1:45" s="77" customFormat="1" x14ac:dyDescent="0.25">
      <c r="A403" s="77" t="str">
        <f>_xlfn.TEXTJOIN("_",TRUE,questions[[#This Row],[origin]:[qno]])</f>
        <v>Vietnam_Robusta_Lam_Dong_Nestlé_IMPACT_5413</v>
      </c>
      <c r="B403" s="77" t="s">
        <v>673</v>
      </c>
      <c r="C403" s="77" t="s">
        <v>674</v>
      </c>
      <c r="D403" s="77" t="s">
        <v>675</v>
      </c>
      <c r="F403" s="104" t="s">
        <v>195</v>
      </c>
      <c r="G403" s="78" t="s">
        <v>196</v>
      </c>
      <c r="H403" s="33" t="str" cm="1">
        <f t="array" ref="H403">INDEX(stableR[question],MATCH(VALUE(questions[[#This Row],[qno]]),VALUE(stableR[qno]),0))</f>
        <v>How did you get this manure/compost/organic fertilizer that you used second most?</v>
      </c>
      <c r="I403" s="33" t="b" cm="1">
        <f t="array" ref="I403">INDEX(stable[is_fixed],MATCH(VALUE(questions[[#This Row],[qno]]),VALUE(stable[qno]),0))</f>
        <v>1</v>
      </c>
      <c r="J403" s="33" t="b" cm="1">
        <f t="array" ref="J403">INDEX(stable[is_localized],MATCH(VALUE(questions[[#This Row],[qno]]),VALUE(stable[qno]),0))</f>
        <v>0</v>
      </c>
      <c r="K403" s="33" t="b" cm="1">
        <f t="array" ref="K403">INDEX(stable[is_supply_chain_dependent],MATCH(VALUE(questions[[#This Row],[qno]]),VALUE(stable[qno]),0))</f>
        <v>0</v>
      </c>
      <c r="L403" s="33" t="b" cm="1">
        <f t="array" ref="L403">INDEX(stable[is_mandatory],MATCH(VALUE(questions[[#This Row],[qno]]),VALUE(stable[qno]),0))</f>
        <v>0</v>
      </c>
      <c r="M403" s="33" t="b" cm="1">
        <f t="array" ref="M403">INDEX(stable[is_automated],MATCH(VALUE(questions[[#This Row],[qno]]),VALUE(stable[qno]),0))</f>
        <v>0</v>
      </c>
      <c r="N403" s="33" t="b" cm="1">
        <f t="array" ref="N403">INDEX(stable[is_free_text],MATCH(VALUE(questions[[#This Row],[qno]]),VALUE(stable[qno]),0))</f>
        <v>0</v>
      </c>
      <c r="O403" s="33" t="b" cm="1">
        <f t="array" ref="O403">INDEX(stable[is_numerical],MATCH(VALUE(questions[[#This Row],[qno]]),VALUE(stable[qno]),0))</f>
        <v>0</v>
      </c>
      <c r="P403" s="103" t="b" cm="1">
        <f t="array" ref="P403">INDEX(stable[is_single_select],MATCH(VALUE(questions[[#This Row],[qno]]),VALUE(stable[qno]),0))</f>
        <v>1</v>
      </c>
      <c r="Q403" s="77" t="b" cm="1">
        <f t="array" ref="Q403">INDEX(stable[is_multi_select],MATCH(VALUE(questions[[#This Row],[qno]]),VALUE(stable[qno]),0))</f>
        <v>0</v>
      </c>
      <c r="R403" s="77" t="b" cm="1">
        <f t="array" ref="R403">INDEX(stable[is_skip_logic],MATCH(VALUE(questions[[#This Row],[qno]]),VALUE(stable[qno]),0))</f>
        <v>1</v>
      </c>
      <c r="S403" s="77" t="str">
        <f>_xlfn.TEXTJOIN(", ",TRUE,questions[[#This Row],[ans_opt_1]:[ans_opt_14]])</f>
        <v>Bought, From own farm, Received for free, Both from own farm &amp; bought/received from outside the farm</v>
      </c>
      <c r="T403" s="77" t="s">
        <v>185</v>
      </c>
      <c r="U403" s="77" t="s">
        <v>186</v>
      </c>
      <c r="V403" s="77" t="s">
        <v>187</v>
      </c>
      <c r="W403" s="77" t="s">
        <v>188</v>
      </c>
      <c r="AH403" s="98" t="b">
        <f>INDEX(stable[q_standard],MATCH(questions[[#This Row],[qno]],stable[qno],0))</f>
        <v>0</v>
      </c>
      <c r="AI403" s="98" t="b">
        <f>INDEX(stable[q_living_income],MATCH(questions[[#This Row],[qno]],stable[qno],0))</f>
        <v>1</v>
      </c>
      <c r="AJ403" s="98" t="b">
        <f>INDEX(stable[q_carbon],MATCH(questions[[#This Row],[qno]],stable[qno],0))</f>
        <v>1</v>
      </c>
      <c r="AK403" s="98" t="b">
        <f>INDEX(stable[q_regen_ag],MATCH(questions[[#This Row],[qno]],stable[qno],0))</f>
        <v>0</v>
      </c>
      <c r="AL403" s="98" t="b">
        <f>COUNTIFS(stable[qno],questions[[#This Row],[qno]])=1</f>
        <v>1</v>
      </c>
      <c r="AM403" s="98" t="b">
        <f>OR(questions[[#This Row],[is_fixed]],questions[[#This Row],[is_localized]],questions[[#This Row],[is_supply_chain_dependent]])</f>
        <v>1</v>
      </c>
      <c r="AN403" s="98" t="b">
        <f>COUNTIFS(questions[[#This Row],[is_automated]:[is_multi_select]],TRUE)=1</f>
        <v>1</v>
      </c>
      <c r="AO403" s="98" t="b">
        <f>IF(questions[[#This Row],[is_fixed]],questions[[#This Row],[question]]=INDEX(stable[question],MATCH(questions[[#This Row],[qno]],stable[qno],0)),TRUE)</f>
        <v>0</v>
      </c>
      <c r="AP403" s="98" t="str">
        <f>LEFT(questions[[#This Row],[question]],similarity_range)</f>
        <v>Did you buy this man</v>
      </c>
      <c r="AQ403" s="98" t="str">
        <f>LEFT(INDEX(stable[question],MATCH(questions[[#This Row],[qno]],stable[qno],0)),similarity_range)</f>
        <v>How did you get this</v>
      </c>
      <c r="AR403" s="98" t="b">
        <f>questions[[#This Row],[question_first_characters]]=questions[[#This Row],[stability_first_characters]]</f>
        <v>0</v>
      </c>
      <c r="AS403" s="98" t="b">
        <f>IF(OR(questions[[#This Row],[is_single_select]],questions[[#This Row],[is_multi_select]]),NOT(ISBLANK(questions[[#This Row],[answer_opt_combined]])),TRUE)</f>
        <v>1</v>
      </c>
    </row>
    <row r="404" spans="1:45" s="77" customFormat="1" x14ac:dyDescent="0.25">
      <c r="A404" s="77" t="str">
        <f>_xlfn.TEXTJOIN("_",TRUE,questions[[#This Row],[origin]:[qno]])</f>
        <v>Vietnam_Robusta_Lam_Dong_Nestlé_IMPACT_5500</v>
      </c>
      <c r="B404" s="77" t="s">
        <v>673</v>
      </c>
      <c r="C404" s="77" t="s">
        <v>674</v>
      </c>
      <c r="D404" s="77" t="s">
        <v>675</v>
      </c>
      <c r="F404" s="104" t="s">
        <v>197</v>
      </c>
      <c r="G404" s="78" t="s">
        <v>198</v>
      </c>
      <c r="H404" s="33" t="str" cm="1">
        <f t="array" ref="H404">INDEX(stableR[question],MATCH(VALUE(questions[[#This Row],[qno]]),VALUE(stableR[qno]),0))</f>
        <v>Did you apply any type of mulch on your coffee last year?</v>
      </c>
      <c r="I404" s="33" t="b" cm="1">
        <f t="array" ref="I404">INDEX(stable[is_fixed],MATCH(VALUE(questions[[#This Row],[qno]]),VALUE(stable[qno]),0))</f>
        <v>1</v>
      </c>
      <c r="J404" s="33" t="b" cm="1">
        <f t="array" ref="J404">INDEX(stable[is_localized],MATCH(VALUE(questions[[#This Row],[qno]]),VALUE(stable[qno]),0))</f>
        <v>0</v>
      </c>
      <c r="K404" s="33" t="b" cm="1">
        <f t="array" ref="K404">INDEX(stable[is_supply_chain_dependent],MATCH(VALUE(questions[[#This Row],[qno]]),VALUE(stable[qno]),0))</f>
        <v>0</v>
      </c>
      <c r="L404" s="33" t="b" cm="1">
        <f t="array" ref="L404">INDEX(stable[is_mandatory],MATCH(VALUE(questions[[#This Row],[qno]]),VALUE(stable[qno]),0))</f>
        <v>1</v>
      </c>
      <c r="M404" s="33" t="b" cm="1">
        <f t="array" ref="M404">INDEX(stable[is_automated],MATCH(VALUE(questions[[#This Row],[qno]]),VALUE(stable[qno]),0))</f>
        <v>0</v>
      </c>
      <c r="N404" s="33" t="b" cm="1">
        <f t="array" ref="N404">INDEX(stable[is_free_text],MATCH(VALUE(questions[[#This Row],[qno]]),VALUE(stable[qno]),0))</f>
        <v>0</v>
      </c>
      <c r="O404" s="33" t="b" cm="1">
        <f t="array" ref="O404">INDEX(stable[is_numerical],MATCH(VALUE(questions[[#This Row],[qno]]),VALUE(stable[qno]),0))</f>
        <v>0</v>
      </c>
      <c r="P404" s="103" t="b" cm="1">
        <f t="array" ref="P404">INDEX(stable[is_single_select],MATCH(VALUE(questions[[#This Row],[qno]]),VALUE(stable[qno]),0))</f>
        <v>1</v>
      </c>
      <c r="Q404" s="77" t="b" cm="1">
        <f t="array" ref="Q404">INDEX(stable[is_multi_select],MATCH(VALUE(questions[[#This Row],[qno]]),VALUE(stable[qno]),0))</f>
        <v>0</v>
      </c>
      <c r="R404" s="77" t="b" cm="1">
        <f t="array" ref="R404">INDEX(stable[is_skip_logic],MATCH(VALUE(questions[[#This Row],[qno]]),VALUE(stable[qno]),0))</f>
        <v>1</v>
      </c>
      <c r="S404" s="77" t="str">
        <f>_xlfn.TEXTJOIN(", ",TRUE,questions[[#This Row],[ans_opt_1]:[ans_opt_14]])</f>
        <v>Yes, No</v>
      </c>
      <c r="T404" s="77" t="s">
        <v>149</v>
      </c>
      <c r="U404" s="77" t="s">
        <v>119</v>
      </c>
      <c r="AH404" s="98" t="b">
        <f>INDEX(stable[q_standard],MATCH(questions[[#This Row],[qno]],stable[qno],0))</f>
        <v>0</v>
      </c>
      <c r="AI404" s="98" t="b">
        <f>INDEX(stable[q_living_income],MATCH(questions[[#This Row],[qno]],stable[qno],0))</f>
        <v>1</v>
      </c>
      <c r="AJ404" s="98" t="b">
        <f>INDEX(stable[q_carbon],MATCH(questions[[#This Row],[qno]],stable[qno],0))</f>
        <v>1</v>
      </c>
      <c r="AK404" s="98" t="b">
        <f>INDEX(stable[q_regen_ag],MATCH(questions[[#This Row],[qno]],stable[qno],0))</f>
        <v>0</v>
      </c>
      <c r="AL404" s="98" t="b">
        <f>COUNTIFS(stable[qno],questions[[#This Row],[qno]])=1</f>
        <v>1</v>
      </c>
      <c r="AM404" s="98" t="b">
        <f>OR(questions[[#This Row],[is_fixed]],questions[[#This Row],[is_localized]],questions[[#This Row],[is_supply_chain_dependent]])</f>
        <v>1</v>
      </c>
      <c r="AN404" s="98" t="b">
        <f>COUNTIFS(questions[[#This Row],[is_automated]:[is_multi_select]],TRUE)=1</f>
        <v>1</v>
      </c>
      <c r="AO404" s="98" t="b">
        <f>IF(questions[[#This Row],[is_fixed]],questions[[#This Row],[question]]=INDEX(stable[question],MATCH(questions[[#This Row],[qno]],stable[qno],0)),TRUE)</f>
        <v>1</v>
      </c>
      <c r="AP404" s="98" t="str">
        <f>LEFT(questions[[#This Row],[question]],similarity_range)</f>
        <v>Did you apply any ty</v>
      </c>
      <c r="AQ404" s="98" t="str">
        <f>LEFT(INDEX(stable[question],MATCH(questions[[#This Row],[qno]],stable[qno],0)),similarity_range)</f>
        <v>Did you apply any ty</v>
      </c>
      <c r="AR404" s="98" t="b">
        <f>questions[[#This Row],[question_first_characters]]=questions[[#This Row],[stability_first_characters]]</f>
        <v>1</v>
      </c>
      <c r="AS404" s="98" t="b">
        <f>IF(OR(questions[[#This Row],[is_single_select]],questions[[#This Row],[is_multi_select]]),NOT(ISBLANK(questions[[#This Row],[answer_opt_combined]])),TRUE)</f>
        <v>1</v>
      </c>
    </row>
    <row r="405" spans="1:45" x14ac:dyDescent="0.25">
      <c r="A405" s="33" t="str">
        <f>_xlfn.TEXTJOIN("_",TRUE,questions[[#This Row],[origin]:[qno]])</f>
        <v>Vietnam_Robusta_Lam_Dong_Nestlé_IMPACT_5501</v>
      </c>
      <c r="B405" s="33" t="s">
        <v>673</v>
      </c>
      <c r="C405" s="33" t="s">
        <v>674</v>
      </c>
      <c r="D405" s="33" t="s">
        <v>675</v>
      </c>
      <c r="E405" s="33"/>
      <c r="F405" s="34" t="s">
        <v>199</v>
      </c>
      <c r="G405" s="18" t="s">
        <v>200</v>
      </c>
      <c r="H405" s="33" t="str" cm="1">
        <f t="array" ref="H405">INDEX(stableR[question],MATCH(VALUE(questions[[#This Row],[qno]]),VALUE(stableR[qno]),0))</f>
        <v>What type of mulch?</v>
      </c>
      <c r="I405" s="33" t="b" cm="1">
        <f t="array" ref="I405">INDEX(stable[is_fixed],MATCH(VALUE(questions[[#This Row],[qno]]),VALUE(stable[qno]),0))</f>
        <v>1</v>
      </c>
      <c r="J405" s="33" t="b" cm="1">
        <f t="array" ref="J405">INDEX(stable[is_localized],MATCH(VALUE(questions[[#This Row],[qno]]),VALUE(stable[qno]),0))</f>
        <v>0</v>
      </c>
      <c r="K405" s="33" t="b" cm="1">
        <f t="array" ref="K405">INDEX(stable[is_supply_chain_dependent],MATCH(VALUE(questions[[#This Row],[qno]]),VALUE(stable[qno]),0))</f>
        <v>0</v>
      </c>
      <c r="L405" s="33" t="b" cm="1">
        <f t="array" ref="L405">INDEX(stable[is_mandatory],MATCH(VALUE(questions[[#This Row],[qno]]),VALUE(stable[qno]),0))</f>
        <v>0</v>
      </c>
      <c r="M405" s="33" t="b" cm="1">
        <f t="array" ref="M405">INDEX(stable[is_automated],MATCH(VALUE(questions[[#This Row],[qno]]),VALUE(stable[qno]),0))</f>
        <v>0</v>
      </c>
      <c r="N405" s="33" t="b" cm="1">
        <f t="array" ref="N405">INDEX(stable[is_free_text],MATCH(VALUE(questions[[#This Row],[qno]]),VALUE(stable[qno]),0))</f>
        <v>0</v>
      </c>
      <c r="O405" s="33" t="b" cm="1">
        <f t="array" ref="O405">INDEX(stable[is_numerical],MATCH(VALUE(questions[[#This Row],[qno]]),VALUE(stable[qno]),0))</f>
        <v>0</v>
      </c>
      <c r="P405" s="35" t="b" cm="1">
        <f t="array" ref="P405">INDEX(stable[is_single_select],MATCH(VALUE(questions[[#This Row],[qno]]),VALUE(stable[qno]),0))</f>
        <v>0</v>
      </c>
      <c r="Q405" s="33" t="b" cm="1">
        <f t="array" ref="Q405">INDEX(stable[is_multi_select],MATCH(VALUE(questions[[#This Row],[qno]]),VALUE(stable[qno]),0))</f>
        <v>1</v>
      </c>
      <c r="R405" s="33" t="b" cm="1">
        <f t="array" ref="R405">INDEX(stable[is_skip_logic],MATCH(VALUE(questions[[#This Row],[qno]]),VALUE(stable[qno]),0))</f>
        <v>1</v>
      </c>
      <c r="S405" s="33" t="str">
        <f>_xlfn.TEXTJOIN(", ",TRUE,questions[[#This Row],[ans_opt_1]:[ans_opt_14]])</f>
        <v/>
      </c>
      <c r="T405" s="33"/>
      <c r="U405" s="33"/>
      <c r="V405" s="33"/>
      <c r="W405" s="33"/>
      <c r="X405" s="33"/>
      <c r="Y405" s="33"/>
      <c r="Z405" s="33"/>
      <c r="AA405" s="33"/>
      <c r="AB405" s="33"/>
      <c r="AC405" s="33"/>
      <c r="AD405" s="33"/>
      <c r="AE405" s="33"/>
      <c r="AF405" s="33"/>
      <c r="AG405" s="33"/>
      <c r="AH405" s="99" t="b">
        <f>INDEX(stable[q_standard],MATCH(questions[[#This Row],[qno]],stable[qno],0))</f>
        <v>0</v>
      </c>
      <c r="AI405" s="99" t="b">
        <f>INDEX(stable[q_living_income],MATCH(questions[[#This Row],[qno]],stable[qno],0))</f>
        <v>1</v>
      </c>
      <c r="AJ405" s="99" t="b">
        <f>INDEX(stable[q_carbon],MATCH(questions[[#This Row],[qno]],stable[qno],0))</f>
        <v>1</v>
      </c>
      <c r="AK405" s="99" t="b">
        <f>INDEX(stable[q_regen_ag],MATCH(questions[[#This Row],[qno]],stable[qno],0))</f>
        <v>0</v>
      </c>
      <c r="AL405" s="16" t="b">
        <f>COUNTIFS(stable[qno],questions[[#This Row],[qno]])=1</f>
        <v>1</v>
      </c>
      <c r="AM405" s="16" t="b">
        <f>OR(questions[[#This Row],[is_fixed]],questions[[#This Row],[is_localized]],questions[[#This Row],[is_supply_chain_dependent]])</f>
        <v>1</v>
      </c>
      <c r="AN405" s="16" t="b">
        <f>COUNTIFS(questions[[#This Row],[is_automated]:[is_multi_select]],TRUE)=1</f>
        <v>1</v>
      </c>
      <c r="AO405" s="16" t="b">
        <f>IF(questions[[#This Row],[is_fixed]],questions[[#This Row],[question]]=INDEX(stable[question],MATCH(questions[[#This Row],[qno]],stable[qno],0)),TRUE)</f>
        <v>1</v>
      </c>
      <c r="AP405" s="16" t="str">
        <f>LEFT(questions[[#This Row],[question]],similarity_range)</f>
        <v xml:space="preserve">What type of mulch? </v>
      </c>
      <c r="AQ405" s="16" t="str">
        <f>LEFT(INDEX(stable[question],MATCH(questions[[#This Row],[qno]],stable[qno],0)),similarity_range)</f>
        <v xml:space="preserve">What type of mulch? </v>
      </c>
      <c r="AR405" s="16" t="b">
        <f>questions[[#This Row],[question_first_characters]]=questions[[#This Row],[stability_first_characters]]</f>
        <v>1</v>
      </c>
      <c r="AS405" s="16" t="b">
        <f>IF(OR(questions[[#This Row],[is_single_select]],questions[[#This Row],[is_multi_select]]),NOT(ISBLANK(questions[[#This Row],[answer_opt_combined]])),TRUE)</f>
        <v>1</v>
      </c>
    </row>
    <row r="406" spans="1:45" x14ac:dyDescent="0.25">
      <c r="A406" s="33" t="str">
        <f>_xlfn.TEXTJOIN("_",TRUE,questions[[#This Row],[origin]:[qno]])</f>
        <v>Vietnam_Robusta_Lam_Dong_Nestlé_IMPACT_5502</v>
      </c>
      <c r="B406" s="33" t="s">
        <v>673</v>
      </c>
      <c r="C406" s="33" t="s">
        <v>674</v>
      </c>
      <c r="D406" s="33" t="s">
        <v>675</v>
      </c>
      <c r="E406" s="33"/>
      <c r="F406" s="34" t="s">
        <v>201</v>
      </c>
      <c r="G406" s="18" t="s">
        <v>202</v>
      </c>
      <c r="H406" s="33" t="str" cm="1">
        <f t="array" ref="H406">INDEX(stableR[question],MATCH(VALUE(questions[[#This Row],[qno]]),VALUE(stableR[qno]),0))</f>
        <v>What was the total quantity of mulch that you used? (Kg)</v>
      </c>
      <c r="I406" s="33" t="b" cm="1">
        <f t="array" ref="I406">INDEX(stable[is_fixed],MATCH(VALUE(questions[[#This Row],[qno]]),VALUE(stable[qno]),0))</f>
        <v>1</v>
      </c>
      <c r="J406" s="33" t="b" cm="1">
        <f t="array" ref="J406">INDEX(stable[is_localized],MATCH(VALUE(questions[[#This Row],[qno]]),VALUE(stable[qno]),0))</f>
        <v>0</v>
      </c>
      <c r="K406" s="33" t="b" cm="1">
        <f t="array" ref="K406">INDEX(stable[is_supply_chain_dependent],MATCH(VALUE(questions[[#This Row],[qno]]),VALUE(stable[qno]),0))</f>
        <v>0</v>
      </c>
      <c r="L406" s="33" t="b" cm="1">
        <f t="array" ref="L406">INDEX(stable[is_mandatory],MATCH(VALUE(questions[[#This Row],[qno]]),VALUE(stable[qno]),0))</f>
        <v>0</v>
      </c>
      <c r="M406" s="33" t="b" cm="1">
        <f t="array" ref="M406">INDEX(stable[is_automated],MATCH(VALUE(questions[[#This Row],[qno]]),VALUE(stable[qno]),0))</f>
        <v>0</v>
      </c>
      <c r="N406" s="33" t="b" cm="1">
        <f t="array" ref="N406">INDEX(stable[is_free_text],MATCH(VALUE(questions[[#This Row],[qno]]),VALUE(stable[qno]),0))</f>
        <v>0</v>
      </c>
      <c r="O406" s="33" t="b" cm="1">
        <f t="array" ref="O406">INDEX(stable[is_numerical],MATCH(VALUE(questions[[#This Row],[qno]]),VALUE(stable[qno]),0))</f>
        <v>1</v>
      </c>
      <c r="P406" s="35" t="b" cm="1">
        <f t="array" ref="P406">INDEX(stable[is_single_select],MATCH(VALUE(questions[[#This Row],[qno]]),VALUE(stable[qno]),0))</f>
        <v>0</v>
      </c>
      <c r="Q406" s="33" t="b" cm="1">
        <f t="array" ref="Q406">INDEX(stable[is_multi_select],MATCH(VALUE(questions[[#This Row],[qno]]),VALUE(stable[qno]),0))</f>
        <v>0</v>
      </c>
      <c r="R406" s="33" t="b" cm="1">
        <f t="array" ref="R406">INDEX(stable[is_skip_logic],MATCH(VALUE(questions[[#This Row],[qno]]),VALUE(stable[qno]),0))</f>
        <v>1</v>
      </c>
      <c r="S406" s="33" t="str">
        <f>_xlfn.TEXTJOIN(", ",TRUE,questions[[#This Row],[ans_opt_1]:[ans_opt_14]])</f>
        <v/>
      </c>
      <c r="T406" s="33"/>
      <c r="U406" s="33"/>
      <c r="V406" s="33"/>
      <c r="W406" s="33"/>
      <c r="X406" s="33"/>
      <c r="Y406" s="33"/>
      <c r="Z406" s="33"/>
      <c r="AA406" s="33"/>
      <c r="AB406" s="33"/>
      <c r="AC406" s="33"/>
      <c r="AD406" s="33"/>
      <c r="AE406" s="33"/>
      <c r="AF406" s="33"/>
      <c r="AG406" s="33"/>
      <c r="AH406" s="99" t="b">
        <f>INDEX(stable[q_standard],MATCH(questions[[#This Row],[qno]],stable[qno],0))</f>
        <v>0</v>
      </c>
      <c r="AI406" s="99" t="b">
        <f>INDEX(stable[q_living_income],MATCH(questions[[#This Row],[qno]],stable[qno],0))</f>
        <v>1</v>
      </c>
      <c r="AJ406" s="99" t="b">
        <f>INDEX(stable[q_carbon],MATCH(questions[[#This Row],[qno]],stable[qno],0))</f>
        <v>1</v>
      </c>
      <c r="AK406" s="99" t="b">
        <f>INDEX(stable[q_regen_ag],MATCH(questions[[#This Row],[qno]],stable[qno],0))</f>
        <v>0</v>
      </c>
      <c r="AL406" s="16" t="b">
        <f>COUNTIFS(stable[qno],questions[[#This Row],[qno]])=1</f>
        <v>1</v>
      </c>
      <c r="AM406" s="16" t="b">
        <f>OR(questions[[#This Row],[is_fixed]],questions[[#This Row],[is_localized]],questions[[#This Row],[is_supply_chain_dependent]])</f>
        <v>1</v>
      </c>
      <c r="AN406" s="16" t="b">
        <f>COUNTIFS(questions[[#This Row],[is_automated]:[is_multi_select]],TRUE)=1</f>
        <v>1</v>
      </c>
      <c r="AO406" s="16" t="b">
        <f>IF(questions[[#This Row],[is_fixed]],questions[[#This Row],[question]]=INDEX(stable[question],MATCH(questions[[#This Row],[qno]],stable[qno],0)),TRUE)</f>
        <v>0</v>
      </c>
      <c r="AP406" s="16" t="str">
        <f>LEFT(questions[[#This Row],[question]],similarity_range)</f>
        <v>What was the total q</v>
      </c>
      <c r="AQ406" s="16" t="str">
        <f>LEFT(INDEX(stable[question],MATCH(questions[[#This Row],[qno]],stable[qno],0)),similarity_range)</f>
        <v>What was the total q</v>
      </c>
      <c r="AR406" s="16" t="b">
        <f>questions[[#This Row],[question_first_characters]]=questions[[#This Row],[stability_first_characters]]</f>
        <v>1</v>
      </c>
      <c r="AS406" s="16" t="b">
        <f>IF(OR(questions[[#This Row],[is_single_select]],questions[[#This Row],[is_multi_select]]),NOT(ISBLANK(questions[[#This Row],[answer_opt_combined]])),TRUE)</f>
        <v>1</v>
      </c>
    </row>
    <row r="407" spans="1:45" x14ac:dyDescent="0.25">
      <c r="A407" s="33" t="str">
        <f>_xlfn.TEXTJOIN("_",TRUE,questions[[#This Row],[origin]:[qno]])</f>
        <v>Vietnam_Robusta_Lam_Dong_Nestlé_IMPACT_5503</v>
      </c>
      <c r="B407" s="33" t="s">
        <v>673</v>
      </c>
      <c r="C407" s="33" t="s">
        <v>674</v>
      </c>
      <c r="D407" s="33" t="s">
        <v>675</v>
      </c>
      <c r="E407" s="33"/>
      <c r="F407" s="34" t="s">
        <v>203</v>
      </c>
      <c r="G407" s="18" t="s">
        <v>204</v>
      </c>
      <c r="H407" s="33" t="str" cm="1">
        <f t="array" ref="H407">INDEX(stableR[question],MATCH(VALUE(questions[[#This Row],[qno]]),VALUE(stableR[qno]),0))</f>
        <v>What was the unit, for the mulch used (kg, basins, bags, wheel barrows, small truck/tipper, large truck)</v>
      </c>
      <c r="I407" s="33" t="b" cm="1">
        <f t="array" ref="I407">INDEX(stable[is_fixed],MATCH(VALUE(questions[[#This Row],[qno]]),VALUE(stable[qno]),0))</f>
        <v>1</v>
      </c>
      <c r="J407" s="33" t="b" cm="1">
        <f t="array" ref="J407">INDEX(stable[is_localized],MATCH(VALUE(questions[[#This Row],[qno]]),VALUE(stable[qno]),0))</f>
        <v>0</v>
      </c>
      <c r="K407" s="33" t="b" cm="1">
        <f t="array" ref="K407">INDEX(stable[is_supply_chain_dependent],MATCH(VALUE(questions[[#This Row],[qno]]),VALUE(stable[qno]),0))</f>
        <v>0</v>
      </c>
      <c r="L407" s="33" t="b" cm="1">
        <f t="array" ref="L407">INDEX(stable[is_mandatory],MATCH(VALUE(questions[[#This Row],[qno]]),VALUE(stable[qno]),0))</f>
        <v>0</v>
      </c>
      <c r="M407" s="33" t="b" cm="1">
        <f t="array" ref="M407">INDEX(stable[is_automated],MATCH(VALUE(questions[[#This Row],[qno]]),VALUE(stable[qno]),0))</f>
        <v>0</v>
      </c>
      <c r="N407" s="33" t="b" cm="1">
        <f t="array" ref="N407">INDEX(stable[is_free_text],MATCH(VALUE(questions[[#This Row],[qno]]),VALUE(stable[qno]),0))</f>
        <v>1</v>
      </c>
      <c r="O407" s="33" t="b" cm="1">
        <f t="array" ref="O407">INDEX(stable[is_numerical],MATCH(VALUE(questions[[#This Row],[qno]]),VALUE(stable[qno]),0))</f>
        <v>0</v>
      </c>
      <c r="P407" s="35" t="b" cm="1">
        <f t="array" ref="P407">INDEX(stable[is_single_select],MATCH(VALUE(questions[[#This Row],[qno]]),VALUE(stable[qno]),0))</f>
        <v>0</v>
      </c>
      <c r="Q407" s="33" t="b" cm="1">
        <f t="array" ref="Q407">INDEX(stable[is_multi_select],MATCH(VALUE(questions[[#This Row],[qno]]),VALUE(stable[qno]),0))</f>
        <v>0</v>
      </c>
      <c r="R407" s="33" t="b" cm="1">
        <f t="array" ref="R407">INDEX(stable[is_skip_logic],MATCH(VALUE(questions[[#This Row],[qno]]),VALUE(stable[qno]),0))</f>
        <v>1</v>
      </c>
      <c r="S407" s="33" t="str">
        <f>_xlfn.TEXTJOIN(", ",TRUE,questions[[#This Row],[ans_opt_1]:[ans_opt_14]])</f>
        <v/>
      </c>
      <c r="T407" s="33"/>
      <c r="U407" s="33"/>
      <c r="V407" s="33"/>
      <c r="W407" s="33"/>
      <c r="X407" s="33"/>
      <c r="Y407" s="33"/>
      <c r="Z407" s="33"/>
      <c r="AA407" s="33"/>
      <c r="AB407" s="33"/>
      <c r="AC407" s="33"/>
      <c r="AD407" s="33"/>
      <c r="AE407" s="33"/>
      <c r="AF407" s="33"/>
      <c r="AG407" s="33"/>
      <c r="AH407" s="99" t="b">
        <f>INDEX(stable[q_standard],MATCH(questions[[#This Row],[qno]],stable[qno],0))</f>
        <v>0</v>
      </c>
      <c r="AI407" s="99" t="b">
        <f>INDEX(stable[q_living_income],MATCH(questions[[#This Row],[qno]],stable[qno],0))</f>
        <v>1</v>
      </c>
      <c r="AJ407" s="99" t="b">
        <f>INDEX(stable[q_carbon],MATCH(questions[[#This Row],[qno]],stable[qno],0))</f>
        <v>1</v>
      </c>
      <c r="AK407" s="99" t="b">
        <f>INDEX(stable[q_regen_ag],MATCH(questions[[#This Row],[qno]],stable[qno],0))</f>
        <v>0</v>
      </c>
      <c r="AL407" s="16" t="b">
        <f>COUNTIFS(stable[qno],questions[[#This Row],[qno]])=1</f>
        <v>1</v>
      </c>
      <c r="AM407" s="16" t="b">
        <f>OR(questions[[#This Row],[is_fixed]],questions[[#This Row],[is_localized]],questions[[#This Row],[is_supply_chain_dependent]])</f>
        <v>1</v>
      </c>
      <c r="AN407" s="16" t="b">
        <f>COUNTIFS(questions[[#This Row],[is_automated]:[is_multi_select]],TRUE)=1</f>
        <v>1</v>
      </c>
      <c r="AO407" s="16" t="b">
        <f>IF(questions[[#This Row],[is_fixed]],questions[[#This Row],[question]]=INDEX(stable[question],MATCH(questions[[#This Row],[qno]],stable[qno],0)),TRUE)</f>
        <v>1</v>
      </c>
      <c r="AP407" s="16" t="str">
        <f>LEFT(questions[[#This Row],[question]],similarity_range)</f>
        <v>What was the unit, f</v>
      </c>
      <c r="AQ407" s="16" t="str">
        <f>LEFT(INDEX(stable[question],MATCH(questions[[#This Row],[qno]],stable[qno],0)),similarity_range)</f>
        <v>What was the unit, f</v>
      </c>
      <c r="AR407" s="16" t="b">
        <f>questions[[#This Row],[question_first_characters]]=questions[[#This Row],[stability_first_characters]]</f>
        <v>1</v>
      </c>
      <c r="AS407" s="16" t="b">
        <f>IF(OR(questions[[#This Row],[is_single_select]],questions[[#This Row],[is_multi_select]]),NOT(ISBLANK(questions[[#This Row],[answer_opt_combined]])),TRUE)</f>
        <v>1</v>
      </c>
    </row>
    <row r="408" spans="1:45" s="77" customFormat="1" x14ac:dyDescent="0.25">
      <c r="A408" s="77" t="str">
        <f>_xlfn.TEXTJOIN("_",TRUE,questions[[#This Row],[origin]:[qno]])</f>
        <v>Vietnam_Robusta_Lam_Dong_Nestlé_IMPACT_5504</v>
      </c>
      <c r="B408" s="77" t="s">
        <v>673</v>
      </c>
      <c r="C408" s="77" t="s">
        <v>674</v>
      </c>
      <c r="D408" s="77" t="s">
        <v>675</v>
      </c>
      <c r="F408" s="104" t="s">
        <v>205</v>
      </c>
      <c r="G408" s="78" t="s">
        <v>206</v>
      </c>
      <c r="H408" s="33" t="str" cm="1">
        <f t="array" ref="H408">INDEX(stableR[question],MATCH(VALUE(questions[[#This Row],[qno]]),VALUE(stableR[qno]),0))</f>
        <v>From where was this mulch sourced?</v>
      </c>
      <c r="I408" s="33" t="b" cm="1">
        <f t="array" ref="I408">INDEX(stable[is_fixed],MATCH(VALUE(questions[[#This Row],[qno]]),VALUE(stable[qno]),0))</f>
        <v>1</v>
      </c>
      <c r="J408" s="33" t="b" cm="1">
        <f t="array" ref="J408">INDEX(stable[is_localized],MATCH(VALUE(questions[[#This Row],[qno]]),VALUE(stable[qno]),0))</f>
        <v>0</v>
      </c>
      <c r="K408" s="33" t="b" cm="1">
        <f t="array" ref="K408">INDEX(stable[is_supply_chain_dependent],MATCH(VALUE(questions[[#This Row],[qno]]),VALUE(stable[qno]),0))</f>
        <v>0</v>
      </c>
      <c r="L408" s="33" t="b" cm="1">
        <f t="array" ref="L408">INDEX(stable[is_mandatory],MATCH(VALUE(questions[[#This Row],[qno]]),VALUE(stable[qno]),0))</f>
        <v>0</v>
      </c>
      <c r="M408" s="33" t="b" cm="1">
        <f t="array" ref="M408">INDEX(stable[is_automated],MATCH(VALUE(questions[[#This Row],[qno]]),VALUE(stable[qno]),0))</f>
        <v>0</v>
      </c>
      <c r="N408" s="33" t="b" cm="1">
        <f t="array" ref="N408">INDEX(stable[is_free_text],MATCH(VALUE(questions[[#This Row],[qno]]),VALUE(stable[qno]),0))</f>
        <v>0</v>
      </c>
      <c r="O408" s="33" t="b" cm="1">
        <f t="array" ref="O408">INDEX(stable[is_numerical],MATCH(VALUE(questions[[#This Row],[qno]]),VALUE(stable[qno]),0))</f>
        <v>0</v>
      </c>
      <c r="P408" s="103" t="b" cm="1">
        <f t="array" ref="P408">INDEX(stable[is_single_select],MATCH(VALUE(questions[[#This Row],[qno]]),VALUE(stable[qno]),0))</f>
        <v>1</v>
      </c>
      <c r="Q408" s="77" t="b" cm="1">
        <f t="array" ref="Q408">INDEX(stable[is_multi_select],MATCH(VALUE(questions[[#This Row],[qno]]),VALUE(stable[qno]),0))</f>
        <v>0</v>
      </c>
      <c r="R408" s="77" t="b" cm="1">
        <f t="array" ref="R408">INDEX(stable[is_skip_logic],MATCH(VALUE(questions[[#This Row],[qno]]),VALUE(stable[qno]),0))</f>
        <v>1</v>
      </c>
      <c r="S408" s="77" t="str">
        <f>_xlfn.TEXTJOIN(", ",TRUE,questions[[#This Row],[ans_opt_1]:[ans_opt_14]])</f>
        <v>Outside the coffee plot, Inside the coffee plot, Both from inside and outside the coffee plot</v>
      </c>
      <c r="T408" s="77" t="s">
        <v>207</v>
      </c>
      <c r="U408" s="77" t="s">
        <v>208</v>
      </c>
      <c r="V408" s="77" t="s">
        <v>209</v>
      </c>
      <c r="AH408" s="98" t="b">
        <f>INDEX(stable[q_standard],MATCH(questions[[#This Row],[qno]],stable[qno],0))</f>
        <v>0</v>
      </c>
      <c r="AI408" s="98" t="b">
        <f>INDEX(stable[q_living_income],MATCH(questions[[#This Row],[qno]],stable[qno],0))</f>
        <v>1</v>
      </c>
      <c r="AJ408" s="98" t="b">
        <f>INDEX(stable[q_carbon],MATCH(questions[[#This Row],[qno]],stable[qno],0))</f>
        <v>1</v>
      </c>
      <c r="AK408" s="98" t="b">
        <f>INDEX(stable[q_regen_ag],MATCH(questions[[#This Row],[qno]],stable[qno],0))</f>
        <v>0</v>
      </c>
      <c r="AL408" s="98" t="b">
        <f>COUNTIFS(stable[qno],questions[[#This Row],[qno]])=1</f>
        <v>1</v>
      </c>
      <c r="AM408" s="98" t="b">
        <f>OR(questions[[#This Row],[is_fixed]],questions[[#This Row],[is_localized]],questions[[#This Row],[is_supply_chain_dependent]])</f>
        <v>1</v>
      </c>
      <c r="AN408" s="98" t="b">
        <f>COUNTIFS(questions[[#This Row],[is_automated]:[is_multi_select]],TRUE)=1</f>
        <v>1</v>
      </c>
      <c r="AO408" s="98" t="b">
        <f>IF(questions[[#This Row],[is_fixed]],questions[[#This Row],[question]]=INDEX(stable[question],MATCH(questions[[#This Row],[qno]],stable[qno],0)),TRUE)</f>
        <v>0</v>
      </c>
      <c r="AP408" s="98" t="str">
        <f>LEFT(questions[[#This Row],[question]],similarity_range)</f>
        <v xml:space="preserve">From where was this </v>
      </c>
      <c r="AQ408" s="98" t="str">
        <f>LEFT(INDEX(stable[question],MATCH(questions[[#This Row],[qno]],stable[qno],0)),similarity_range)</f>
        <v xml:space="preserve">From where was this </v>
      </c>
      <c r="AR408" s="98" t="b">
        <f>questions[[#This Row],[question_first_characters]]=questions[[#This Row],[stability_first_characters]]</f>
        <v>1</v>
      </c>
      <c r="AS408" s="98" t="b">
        <f>IF(OR(questions[[#This Row],[is_single_select]],questions[[#This Row],[is_multi_select]]),NOT(ISBLANK(questions[[#This Row],[answer_opt_combined]])),TRUE)</f>
        <v>1</v>
      </c>
    </row>
    <row r="409" spans="1:45" s="77" customFormat="1" x14ac:dyDescent="0.25">
      <c r="A409" s="77" t="str">
        <f>_xlfn.TEXTJOIN("_",TRUE,questions[[#This Row],[origin]:[qno]])</f>
        <v>Vietnam_Robusta_Lam_Dong_Nestlé_IMPACT_5505</v>
      </c>
      <c r="B409" s="77" t="s">
        <v>673</v>
      </c>
      <c r="C409" s="77" t="s">
        <v>674</v>
      </c>
      <c r="D409" s="77" t="s">
        <v>675</v>
      </c>
      <c r="F409" s="104" t="s">
        <v>210</v>
      </c>
      <c r="G409" s="78" t="s">
        <v>211</v>
      </c>
      <c r="H409" s="33" t="str" cm="1">
        <f t="array" ref="H409">INDEX(stableR[question],MATCH(VALUE(questions[[#This Row],[qno]]),VALUE(stableR[qno]),0))</f>
        <v>If it was from outside the coffee plot, did you buy this mulch, or did it come from your own farm?</v>
      </c>
      <c r="I409" s="33" t="b" cm="1">
        <f t="array" ref="I409">INDEX(stable[is_fixed],MATCH(VALUE(questions[[#This Row],[qno]]),VALUE(stable[qno]),0))</f>
        <v>1</v>
      </c>
      <c r="J409" s="33" t="b" cm="1">
        <f t="array" ref="J409">INDEX(stable[is_localized],MATCH(VALUE(questions[[#This Row],[qno]]),VALUE(stable[qno]),0))</f>
        <v>0</v>
      </c>
      <c r="K409" s="33" t="b" cm="1">
        <f t="array" ref="K409">INDEX(stable[is_supply_chain_dependent],MATCH(VALUE(questions[[#This Row],[qno]]),VALUE(stable[qno]),0))</f>
        <v>0</v>
      </c>
      <c r="L409" s="33" t="b" cm="1">
        <f t="array" ref="L409">INDEX(stable[is_mandatory],MATCH(VALUE(questions[[#This Row],[qno]]),VALUE(stable[qno]),0))</f>
        <v>0</v>
      </c>
      <c r="M409" s="33" t="b" cm="1">
        <f t="array" ref="M409">INDEX(stable[is_automated],MATCH(VALUE(questions[[#This Row],[qno]]),VALUE(stable[qno]),0))</f>
        <v>0</v>
      </c>
      <c r="N409" s="33" t="b" cm="1">
        <f t="array" ref="N409">INDEX(stable[is_free_text],MATCH(VALUE(questions[[#This Row],[qno]]),VALUE(stable[qno]),0))</f>
        <v>0</v>
      </c>
      <c r="O409" s="33" t="b" cm="1">
        <f t="array" ref="O409">INDEX(stable[is_numerical],MATCH(VALUE(questions[[#This Row],[qno]]),VALUE(stable[qno]),0))</f>
        <v>0</v>
      </c>
      <c r="P409" s="103" t="b" cm="1">
        <f t="array" ref="P409">INDEX(stable[is_single_select],MATCH(VALUE(questions[[#This Row],[qno]]),VALUE(stable[qno]),0))</f>
        <v>1</v>
      </c>
      <c r="Q409" s="77" t="b" cm="1">
        <f t="array" ref="Q409">INDEX(stable[is_multi_select],MATCH(VALUE(questions[[#This Row],[qno]]),VALUE(stable[qno]),0))</f>
        <v>0</v>
      </c>
      <c r="R409" s="77" t="b" cm="1">
        <f t="array" ref="R409">INDEX(stable[is_skip_logic],MATCH(VALUE(questions[[#This Row],[qno]]),VALUE(stable[qno]),0))</f>
        <v>1</v>
      </c>
      <c r="S409" s="77" t="str">
        <f>_xlfn.TEXTJOIN(", ",TRUE,questions[[#This Row],[ans_opt_1]:[ans_opt_14]])</f>
        <v>Bought, From own farm, Received for free, Both from own farm &amp; bought/received from outside the farm</v>
      </c>
      <c r="T409" s="77" t="s">
        <v>185</v>
      </c>
      <c r="U409" s="77" t="s">
        <v>186</v>
      </c>
      <c r="V409" s="77" t="s">
        <v>187</v>
      </c>
      <c r="W409" s="77" t="s">
        <v>188</v>
      </c>
      <c r="AH409" s="98" t="b">
        <f>INDEX(stable[q_standard],MATCH(questions[[#This Row],[qno]],stable[qno],0))</f>
        <v>0</v>
      </c>
      <c r="AI409" s="98" t="b">
        <f>INDEX(stable[q_living_income],MATCH(questions[[#This Row],[qno]],stable[qno],0))</f>
        <v>1</v>
      </c>
      <c r="AJ409" s="98" t="b">
        <f>INDEX(stable[q_carbon],MATCH(questions[[#This Row],[qno]],stable[qno],0))</f>
        <v>1</v>
      </c>
      <c r="AK409" s="98" t="b">
        <f>INDEX(stable[q_regen_ag],MATCH(questions[[#This Row],[qno]],stable[qno],0))</f>
        <v>0</v>
      </c>
      <c r="AL409" s="98" t="b">
        <f>COUNTIFS(stable[qno],questions[[#This Row],[qno]])=1</f>
        <v>1</v>
      </c>
      <c r="AM409" s="98" t="b">
        <f>OR(questions[[#This Row],[is_fixed]],questions[[#This Row],[is_localized]],questions[[#This Row],[is_supply_chain_dependent]])</f>
        <v>1</v>
      </c>
      <c r="AN409" s="98" t="b">
        <f>COUNTIFS(questions[[#This Row],[is_automated]:[is_multi_select]],TRUE)=1</f>
        <v>1</v>
      </c>
      <c r="AO409" s="98" t="b">
        <f>IF(questions[[#This Row],[is_fixed]],questions[[#This Row],[question]]=INDEX(stable[question],MATCH(questions[[#This Row],[qno]],stable[qno],0)),TRUE)</f>
        <v>0</v>
      </c>
      <c r="AP409" s="98" t="str">
        <f>LEFT(questions[[#This Row],[question]],similarity_range)</f>
        <v>If it was from outsi</v>
      </c>
      <c r="AQ409" s="98" t="str">
        <f>LEFT(INDEX(stable[question],MATCH(questions[[#This Row],[qno]],stable[qno],0)),similarity_range)</f>
        <v>If it was from outsi</v>
      </c>
      <c r="AR409" s="98" t="b">
        <f>questions[[#This Row],[question_first_characters]]=questions[[#This Row],[stability_first_characters]]</f>
        <v>1</v>
      </c>
      <c r="AS409" s="98" t="b">
        <f>IF(OR(questions[[#This Row],[is_single_select]],questions[[#This Row],[is_multi_select]]),NOT(ISBLANK(questions[[#This Row],[answer_opt_combined]])),TRUE)</f>
        <v>1</v>
      </c>
    </row>
    <row r="410" spans="1:45" s="77" customFormat="1" x14ac:dyDescent="0.25">
      <c r="A410" s="77" t="str">
        <f>_xlfn.TEXTJOIN("_",TRUE,questions[[#This Row],[origin]:[qno]])</f>
        <v>Vietnam_Robusta_Lam_Dong_Nestlé_IMPACT_5600</v>
      </c>
      <c r="B410" s="77" t="s">
        <v>673</v>
      </c>
      <c r="C410" s="77" t="s">
        <v>674</v>
      </c>
      <c r="D410" s="77" t="s">
        <v>675</v>
      </c>
      <c r="F410" s="104" t="s">
        <v>212</v>
      </c>
      <c r="G410" s="78" t="s">
        <v>213</v>
      </c>
      <c r="H410" s="33" t="str" cm="1">
        <f t="array" ref="H410">INDEX(stableR[question],MATCH(VALUE(questions[[#This Row],[qno]]),VALUE(stableR[qno]),0))</f>
        <v xml:space="preserve">Did you use pesticides, fungicides or herbicides for your coffee last year? </v>
      </c>
      <c r="I410" s="33" t="b" cm="1">
        <f t="array" ref="I410">INDEX(stable[is_fixed],MATCH(VALUE(questions[[#This Row],[qno]]),VALUE(stable[qno]),0))</f>
        <v>1</v>
      </c>
      <c r="J410" s="33" t="b" cm="1">
        <f t="array" ref="J410">INDEX(stable[is_localized],MATCH(VALUE(questions[[#This Row],[qno]]),VALUE(stable[qno]),0))</f>
        <v>0</v>
      </c>
      <c r="K410" s="33" t="b" cm="1">
        <f t="array" ref="K410">INDEX(stable[is_supply_chain_dependent],MATCH(VALUE(questions[[#This Row],[qno]]),VALUE(stable[qno]),0))</f>
        <v>0</v>
      </c>
      <c r="L410" s="33" t="b" cm="1">
        <f t="array" ref="L410">INDEX(stable[is_mandatory],MATCH(VALUE(questions[[#This Row],[qno]]),VALUE(stable[qno]),0))</f>
        <v>1</v>
      </c>
      <c r="M410" s="33" t="b" cm="1">
        <f t="array" ref="M410">INDEX(stable[is_automated],MATCH(VALUE(questions[[#This Row],[qno]]),VALUE(stable[qno]),0))</f>
        <v>0</v>
      </c>
      <c r="N410" s="33" t="b" cm="1">
        <f t="array" ref="N410">INDEX(stable[is_free_text],MATCH(VALUE(questions[[#This Row],[qno]]),VALUE(stable[qno]),0))</f>
        <v>0</v>
      </c>
      <c r="O410" s="33" t="b" cm="1">
        <f t="array" ref="O410">INDEX(stable[is_numerical],MATCH(VALUE(questions[[#This Row],[qno]]),VALUE(stable[qno]),0))</f>
        <v>0</v>
      </c>
      <c r="P410" s="103" t="b" cm="1">
        <f t="array" ref="P410">INDEX(stable[is_single_select],MATCH(VALUE(questions[[#This Row],[qno]]),VALUE(stable[qno]),0))</f>
        <v>1</v>
      </c>
      <c r="Q410" s="77" t="b" cm="1">
        <f t="array" ref="Q410">INDEX(stable[is_multi_select],MATCH(VALUE(questions[[#This Row],[qno]]),VALUE(stable[qno]),0))</f>
        <v>0</v>
      </c>
      <c r="R410" s="77" t="b" cm="1">
        <f t="array" ref="R410">INDEX(stable[is_skip_logic],MATCH(VALUE(questions[[#This Row],[qno]]),VALUE(stable[qno]),0))</f>
        <v>1</v>
      </c>
      <c r="S410" s="77" t="str">
        <f>_xlfn.TEXTJOIN(", ",TRUE,questions[[#This Row],[ans_opt_1]:[ans_opt_14]])</f>
        <v>Yes, No</v>
      </c>
      <c r="T410" s="77" t="s">
        <v>149</v>
      </c>
      <c r="U410" s="77" t="s">
        <v>119</v>
      </c>
      <c r="AH410" s="98" t="b">
        <f>INDEX(stable[q_standard],MATCH(questions[[#This Row],[qno]],stable[qno],0))</f>
        <v>0</v>
      </c>
      <c r="AI410" s="98" t="b">
        <f>INDEX(stable[q_living_income],MATCH(questions[[#This Row],[qno]],stable[qno],0))</f>
        <v>1</v>
      </c>
      <c r="AJ410" s="98" t="b">
        <f>INDEX(stable[q_carbon],MATCH(questions[[#This Row],[qno]],stable[qno],0))</f>
        <v>1</v>
      </c>
      <c r="AK410" s="98" t="b">
        <f>INDEX(stable[q_regen_ag],MATCH(questions[[#This Row],[qno]],stable[qno],0))</f>
        <v>0</v>
      </c>
      <c r="AL410" s="98" t="b">
        <f>COUNTIFS(stable[qno],questions[[#This Row],[qno]])=1</f>
        <v>1</v>
      </c>
      <c r="AM410" s="98" t="b">
        <f>OR(questions[[#This Row],[is_fixed]],questions[[#This Row],[is_localized]],questions[[#This Row],[is_supply_chain_dependent]])</f>
        <v>1</v>
      </c>
      <c r="AN410" s="98" t="b">
        <f>COUNTIFS(questions[[#This Row],[is_automated]:[is_multi_select]],TRUE)=1</f>
        <v>1</v>
      </c>
      <c r="AO410" s="98" t="b">
        <f>IF(questions[[#This Row],[is_fixed]],questions[[#This Row],[question]]=INDEX(stable[question],MATCH(questions[[#This Row],[qno]],stable[qno],0)),TRUE)</f>
        <v>0</v>
      </c>
      <c r="AP410" s="98" t="str">
        <f>LEFT(questions[[#This Row],[question]],similarity_range)</f>
        <v>Did you use pesticid</v>
      </c>
      <c r="AQ410" s="98" t="str">
        <f>LEFT(INDEX(stable[question],MATCH(questions[[#This Row],[qno]],stable[qno],0)),similarity_range)</f>
        <v>Did you use pesticid</v>
      </c>
      <c r="AR410" s="98" t="b">
        <f>questions[[#This Row],[question_first_characters]]=questions[[#This Row],[stability_first_characters]]</f>
        <v>1</v>
      </c>
      <c r="AS410" s="98" t="b">
        <f>IF(OR(questions[[#This Row],[is_single_select]],questions[[#This Row],[is_multi_select]]),NOT(ISBLANK(questions[[#This Row],[answer_opt_combined]])),TRUE)</f>
        <v>1</v>
      </c>
    </row>
    <row r="411" spans="1:45" x14ac:dyDescent="0.25">
      <c r="A411" s="33" t="str">
        <f>_xlfn.TEXTJOIN("_",TRUE,questions[[#This Row],[origin]:[qno]])</f>
        <v>Vietnam_Robusta_Lam_Dong_Nestlé_IMPACT_5601</v>
      </c>
      <c r="B411" s="33" t="s">
        <v>673</v>
      </c>
      <c r="C411" s="33" t="s">
        <v>674</v>
      </c>
      <c r="D411" s="33" t="s">
        <v>675</v>
      </c>
      <c r="E411" s="33"/>
      <c r="F411" s="34" t="s">
        <v>214</v>
      </c>
      <c r="G411" s="18" t="s">
        <v>215</v>
      </c>
      <c r="H411" s="33" t="str" cm="1">
        <f t="array" ref="H411">INDEX(stableR[question],MATCH(VALUE(questions[[#This Row],[qno]]),VALUE(stableR[qno]),0))</f>
        <v xml:space="preserve">If yes, how many types of pesticides, fungicides and/or herbicides did you use last year for your coffee, in total? </v>
      </c>
      <c r="I411" s="33" t="b" cm="1">
        <f t="array" ref="I411">INDEX(stable[is_fixed],MATCH(VALUE(questions[[#This Row],[qno]]),VALUE(stable[qno]),0))</f>
        <v>1</v>
      </c>
      <c r="J411" s="33" t="b" cm="1">
        <f t="array" ref="J411">INDEX(stable[is_localized],MATCH(VALUE(questions[[#This Row],[qno]]),VALUE(stable[qno]),0))</f>
        <v>0</v>
      </c>
      <c r="K411" s="33" t="b" cm="1">
        <f t="array" ref="K411">INDEX(stable[is_supply_chain_dependent],MATCH(VALUE(questions[[#This Row],[qno]]),VALUE(stable[qno]),0))</f>
        <v>0</v>
      </c>
      <c r="L411" s="33" t="b" cm="1">
        <f t="array" ref="L411">INDEX(stable[is_mandatory],MATCH(VALUE(questions[[#This Row],[qno]]),VALUE(stable[qno]),0))</f>
        <v>0</v>
      </c>
      <c r="M411" s="33" t="b" cm="1">
        <f t="array" ref="M411">INDEX(stable[is_automated],MATCH(VALUE(questions[[#This Row],[qno]]),VALUE(stable[qno]),0))</f>
        <v>0</v>
      </c>
      <c r="N411" s="33" t="b" cm="1">
        <f t="array" ref="N411">INDEX(stable[is_free_text],MATCH(VALUE(questions[[#This Row],[qno]]),VALUE(stable[qno]),0))</f>
        <v>0</v>
      </c>
      <c r="O411" s="33" t="b" cm="1">
        <f t="array" ref="O411">INDEX(stable[is_numerical],MATCH(VALUE(questions[[#This Row],[qno]]),VALUE(stable[qno]),0))</f>
        <v>1</v>
      </c>
      <c r="P411" s="35" t="b" cm="1">
        <f t="array" ref="P411">INDEX(stable[is_single_select],MATCH(VALUE(questions[[#This Row],[qno]]),VALUE(stable[qno]),0))</f>
        <v>0</v>
      </c>
      <c r="Q411" s="33" t="b" cm="1">
        <f t="array" ref="Q411">INDEX(stable[is_multi_select],MATCH(VALUE(questions[[#This Row],[qno]]),VALUE(stable[qno]),0))</f>
        <v>0</v>
      </c>
      <c r="R411" s="33" t="b" cm="1">
        <f t="array" ref="R411">INDEX(stable[is_skip_logic],MATCH(VALUE(questions[[#This Row],[qno]]),VALUE(stable[qno]),0))</f>
        <v>1</v>
      </c>
      <c r="S411" s="33" t="str">
        <f>_xlfn.TEXTJOIN(", ",TRUE,questions[[#This Row],[ans_opt_1]:[ans_opt_14]])</f>
        <v/>
      </c>
      <c r="T411" s="33"/>
      <c r="U411" s="33"/>
      <c r="V411" s="33"/>
      <c r="W411" s="33"/>
      <c r="X411" s="33"/>
      <c r="Y411" s="33"/>
      <c r="Z411" s="33"/>
      <c r="AA411" s="33"/>
      <c r="AB411" s="33"/>
      <c r="AC411" s="33"/>
      <c r="AD411" s="33"/>
      <c r="AE411" s="33"/>
      <c r="AF411" s="33"/>
      <c r="AG411" s="33"/>
      <c r="AH411" s="99" t="b">
        <f>INDEX(stable[q_standard],MATCH(questions[[#This Row],[qno]],stable[qno],0))</f>
        <v>0</v>
      </c>
      <c r="AI411" s="99" t="b">
        <f>INDEX(stable[q_living_income],MATCH(questions[[#This Row],[qno]],stable[qno],0))</f>
        <v>1</v>
      </c>
      <c r="AJ411" s="99" t="b">
        <f>INDEX(stable[q_carbon],MATCH(questions[[#This Row],[qno]],stable[qno],0))</f>
        <v>1</v>
      </c>
      <c r="AK411" s="99" t="b">
        <f>INDEX(stable[q_regen_ag],MATCH(questions[[#This Row],[qno]],stable[qno],0))</f>
        <v>0</v>
      </c>
      <c r="AL411" s="16" t="b">
        <f>COUNTIFS(stable[qno],questions[[#This Row],[qno]])=1</f>
        <v>1</v>
      </c>
      <c r="AM411" s="16" t="b">
        <f>OR(questions[[#This Row],[is_fixed]],questions[[#This Row],[is_localized]],questions[[#This Row],[is_supply_chain_dependent]])</f>
        <v>1</v>
      </c>
      <c r="AN411" s="16" t="b">
        <f>COUNTIFS(questions[[#This Row],[is_automated]:[is_multi_select]],TRUE)=1</f>
        <v>1</v>
      </c>
      <c r="AO411" s="16" t="b">
        <f>IF(questions[[#This Row],[is_fixed]],questions[[#This Row],[question]]=INDEX(stable[question],MATCH(questions[[#This Row],[qno]],stable[qno],0)),TRUE)</f>
        <v>0</v>
      </c>
      <c r="AP411" s="16" t="str">
        <f>LEFT(questions[[#This Row],[question]],similarity_range)</f>
        <v>If yes, how many typ</v>
      </c>
      <c r="AQ411" s="16" t="str">
        <f>LEFT(INDEX(stable[question],MATCH(questions[[#This Row],[qno]],stable[qno],0)),similarity_range)</f>
        <v>If yes, how many typ</v>
      </c>
      <c r="AR411" s="16" t="b">
        <f>questions[[#This Row],[question_first_characters]]=questions[[#This Row],[stability_first_characters]]</f>
        <v>1</v>
      </c>
      <c r="AS411" s="16" t="b">
        <f>IF(OR(questions[[#This Row],[is_single_select]],questions[[#This Row],[is_multi_select]]),NOT(ISBLANK(questions[[#This Row],[answer_opt_combined]])),TRUE)</f>
        <v>1</v>
      </c>
    </row>
    <row r="412" spans="1:45" x14ac:dyDescent="0.25">
      <c r="A412" s="33" t="str">
        <f>_xlfn.TEXTJOIN("_",TRUE,questions[[#This Row],[origin]:[qno]])</f>
        <v>Vietnam_Robusta_Lam_Dong_Nestlé_IMPACT_5610</v>
      </c>
      <c r="B412" s="33" t="s">
        <v>673</v>
      </c>
      <c r="C412" s="33" t="s">
        <v>674</v>
      </c>
      <c r="D412" s="33" t="s">
        <v>675</v>
      </c>
      <c r="E412" s="33"/>
      <c r="F412" s="34" t="s">
        <v>216</v>
      </c>
      <c r="G412" s="33" t="str">
        <f>INDEX(stable[question],MATCH(questions[[#This Row],[qno]],stable[qno],0))</f>
        <v>If yes, what was the name of the pesticide/fungicide or herbicide that you used most, last year? Please include the brand name and active ingredient (if possible)</v>
      </c>
      <c r="H412" s="33" t="str" cm="1">
        <f t="array" ref="H412">INDEX(stableR[question],MATCH(VALUE(questions[[#This Row],[qno]]),VALUE(stableR[qno]),0))</f>
        <v>What was the name of the pesticide/fungicide or herbicide that you used most, last year?</v>
      </c>
      <c r="I412" s="33" t="b" cm="1">
        <f t="array" ref="I412">INDEX(stable[is_fixed],MATCH(VALUE(questions[[#This Row],[qno]]),VALUE(stable[qno]),0))</f>
        <v>1</v>
      </c>
      <c r="J412" s="33" t="b" cm="1">
        <f t="array" ref="J412">INDEX(stable[is_localized],MATCH(VALUE(questions[[#This Row],[qno]]),VALUE(stable[qno]),0))</f>
        <v>0</v>
      </c>
      <c r="K412" s="33" t="b" cm="1">
        <f t="array" ref="K412">INDEX(stable[is_supply_chain_dependent],MATCH(VALUE(questions[[#This Row],[qno]]),VALUE(stable[qno]),0))</f>
        <v>0</v>
      </c>
      <c r="L412" s="33" t="b" cm="1">
        <f t="array" ref="L412">INDEX(stable[is_mandatory],MATCH(VALUE(questions[[#This Row],[qno]]),VALUE(stable[qno]),0))</f>
        <v>0</v>
      </c>
      <c r="M412" s="33" t="b" cm="1">
        <f t="array" ref="M412">INDEX(stable[is_automated],MATCH(VALUE(questions[[#This Row],[qno]]),VALUE(stable[qno]),0))</f>
        <v>0</v>
      </c>
      <c r="N412" s="33" t="b" cm="1">
        <f t="array" ref="N412">INDEX(stable[is_free_text],MATCH(VALUE(questions[[#This Row],[qno]]),VALUE(stable[qno]),0))</f>
        <v>1</v>
      </c>
      <c r="O412" s="33" t="b" cm="1">
        <f t="array" ref="O412">INDEX(stable[is_numerical],MATCH(VALUE(questions[[#This Row],[qno]]),VALUE(stable[qno]),0))</f>
        <v>0</v>
      </c>
      <c r="P412" s="35" t="b" cm="1">
        <f t="array" ref="P412">INDEX(stable[is_single_select],MATCH(VALUE(questions[[#This Row],[qno]]),VALUE(stable[qno]),0))</f>
        <v>0</v>
      </c>
      <c r="Q412" s="33" t="b" cm="1">
        <f t="array" ref="Q412">INDEX(stable[is_multi_select],MATCH(VALUE(questions[[#This Row],[qno]]),VALUE(stable[qno]),0))</f>
        <v>0</v>
      </c>
      <c r="R412" s="33" t="b" cm="1">
        <f t="array" ref="R412">INDEX(stable[is_skip_logic],MATCH(VALUE(questions[[#This Row],[qno]]),VALUE(stable[qno]),0))</f>
        <v>1</v>
      </c>
      <c r="S412" s="33" t="str">
        <f>_xlfn.TEXTJOIN(", ",TRUE,questions[[#This Row],[ans_opt_1]:[ans_opt_14]])</f>
        <v/>
      </c>
      <c r="T412" s="33"/>
      <c r="U412" s="33"/>
      <c r="V412" s="33"/>
      <c r="W412" s="33"/>
      <c r="X412" s="33"/>
      <c r="Y412" s="33"/>
      <c r="Z412" s="33"/>
      <c r="AA412" s="33"/>
      <c r="AB412" s="33"/>
      <c r="AC412" s="33"/>
      <c r="AD412" s="33"/>
      <c r="AE412" s="33"/>
      <c r="AF412" s="33"/>
      <c r="AG412" s="33"/>
      <c r="AH412" s="99" t="b">
        <f>INDEX(stable[q_standard],MATCH(questions[[#This Row],[qno]],stable[qno],0))</f>
        <v>0</v>
      </c>
      <c r="AI412" s="99" t="b">
        <f>INDEX(stable[q_living_income],MATCH(questions[[#This Row],[qno]],stable[qno],0))</f>
        <v>1</v>
      </c>
      <c r="AJ412" s="99" t="b">
        <f>INDEX(stable[q_carbon],MATCH(questions[[#This Row],[qno]],stable[qno],0))</f>
        <v>1</v>
      </c>
      <c r="AK412" s="99" t="b">
        <f>INDEX(stable[q_regen_ag],MATCH(questions[[#This Row],[qno]],stable[qno],0))</f>
        <v>0</v>
      </c>
      <c r="AL412" s="16" t="b">
        <f>COUNTIFS(stable[qno],questions[[#This Row],[qno]])=1</f>
        <v>1</v>
      </c>
      <c r="AM412" s="16" t="b">
        <f>OR(questions[[#This Row],[is_fixed]],questions[[#This Row],[is_localized]],questions[[#This Row],[is_supply_chain_dependent]])</f>
        <v>1</v>
      </c>
      <c r="AN412" s="16" t="b">
        <f>COUNTIFS(questions[[#This Row],[is_automated]:[is_multi_select]],TRUE)=1</f>
        <v>1</v>
      </c>
      <c r="AO412" s="16" t="b">
        <f>IF(questions[[#This Row],[is_fixed]],questions[[#This Row],[question]]=INDEX(stable[question],MATCH(questions[[#This Row],[qno]],stable[qno],0)),TRUE)</f>
        <v>1</v>
      </c>
      <c r="AP412" s="16" t="str">
        <f>LEFT(questions[[#This Row],[question]],similarity_range)</f>
        <v>If yes, what was the</v>
      </c>
      <c r="AQ412" s="16" t="str">
        <f>LEFT(INDEX(stable[question],MATCH(questions[[#This Row],[qno]],stable[qno],0)),similarity_range)</f>
        <v>If yes, what was the</v>
      </c>
      <c r="AR412" s="16" t="b">
        <f>questions[[#This Row],[question_first_characters]]=questions[[#This Row],[stability_first_characters]]</f>
        <v>1</v>
      </c>
      <c r="AS412" s="16" t="b">
        <f>IF(OR(questions[[#This Row],[is_single_select]],questions[[#This Row],[is_multi_select]]),NOT(ISBLANK(questions[[#This Row],[answer_opt_combined]])),TRUE)</f>
        <v>1</v>
      </c>
    </row>
    <row r="413" spans="1:45" x14ac:dyDescent="0.25">
      <c r="A413" s="33" t="str">
        <f>_xlfn.TEXTJOIN("_",TRUE,questions[[#This Row],[origin]:[qno]])</f>
        <v>Vietnam_Robusta_Lam_Dong_Nestlé_IMPACT_5611</v>
      </c>
      <c r="B413" s="33" t="s">
        <v>673</v>
      </c>
      <c r="C413" s="33" t="s">
        <v>674</v>
      </c>
      <c r="D413" s="33" t="s">
        <v>675</v>
      </c>
      <c r="E413" s="33"/>
      <c r="F413" s="34" t="s">
        <v>218</v>
      </c>
      <c r="G413" s="33" t="s">
        <v>219</v>
      </c>
      <c r="H413" s="33" t="str" cm="1">
        <f t="array" ref="H413">INDEX(stableR[question],MATCH(VALUE(questions[[#This Row],[qno]]),VALUE(stableR[qno]),0))</f>
        <v>What was the quantity used of this most used pesticide/fungicide/herbicide last year?</v>
      </c>
      <c r="I413" s="33" t="b" cm="1">
        <f t="array" ref="I413">INDEX(stable[is_fixed],MATCH(VALUE(questions[[#This Row],[qno]]),VALUE(stable[qno]),0))</f>
        <v>1</v>
      </c>
      <c r="J413" s="33" t="b" cm="1">
        <f t="array" ref="J413">INDEX(stable[is_localized],MATCH(VALUE(questions[[#This Row],[qno]]),VALUE(stable[qno]),0))</f>
        <v>0</v>
      </c>
      <c r="K413" s="33" t="b" cm="1">
        <f t="array" ref="K413">INDEX(stable[is_supply_chain_dependent],MATCH(VALUE(questions[[#This Row],[qno]]),VALUE(stable[qno]),0))</f>
        <v>0</v>
      </c>
      <c r="L413" s="33" t="b" cm="1">
        <f t="array" ref="L413">INDEX(stable[is_mandatory],MATCH(VALUE(questions[[#This Row],[qno]]),VALUE(stable[qno]),0))</f>
        <v>0</v>
      </c>
      <c r="M413" s="33" t="b" cm="1">
        <f t="array" ref="M413">INDEX(stable[is_automated],MATCH(VALUE(questions[[#This Row],[qno]]),VALUE(stable[qno]),0))</f>
        <v>0</v>
      </c>
      <c r="N413" s="33" t="b" cm="1">
        <f t="array" ref="N413">INDEX(stable[is_free_text],MATCH(VALUE(questions[[#This Row],[qno]]),VALUE(stable[qno]),0))</f>
        <v>0</v>
      </c>
      <c r="O413" s="33" t="b" cm="1">
        <f t="array" ref="O413">INDEX(stable[is_numerical],MATCH(VALUE(questions[[#This Row],[qno]]),VALUE(stable[qno]),0))</f>
        <v>1</v>
      </c>
      <c r="P413" s="35" t="b" cm="1">
        <f t="array" ref="P413">INDEX(stable[is_single_select],MATCH(VALUE(questions[[#This Row],[qno]]),VALUE(stable[qno]),0))</f>
        <v>0</v>
      </c>
      <c r="Q413" s="33" t="b" cm="1">
        <f t="array" ref="Q413">INDEX(stable[is_multi_select],MATCH(VALUE(questions[[#This Row],[qno]]),VALUE(stable[qno]),0))</f>
        <v>0</v>
      </c>
      <c r="R413" s="33" t="b" cm="1">
        <f t="array" ref="R413">INDEX(stable[is_skip_logic],MATCH(VALUE(questions[[#This Row],[qno]]),VALUE(stable[qno]),0))</f>
        <v>1</v>
      </c>
      <c r="S413" s="33" t="str">
        <f>_xlfn.TEXTJOIN(", ",TRUE,questions[[#This Row],[ans_opt_1]:[ans_opt_14]])</f>
        <v/>
      </c>
      <c r="T413" s="33"/>
      <c r="U413" s="33"/>
      <c r="V413" s="33"/>
      <c r="W413" s="33"/>
      <c r="X413" s="33"/>
      <c r="Y413" s="33"/>
      <c r="Z413" s="33"/>
      <c r="AA413" s="33"/>
      <c r="AB413" s="33"/>
      <c r="AC413" s="33"/>
      <c r="AD413" s="33"/>
      <c r="AE413" s="33"/>
      <c r="AF413" s="33"/>
      <c r="AG413" s="33"/>
      <c r="AH413" s="99" t="b">
        <f>INDEX(stable[q_standard],MATCH(questions[[#This Row],[qno]],stable[qno],0))</f>
        <v>0</v>
      </c>
      <c r="AI413" s="99" t="b">
        <f>INDEX(stable[q_living_income],MATCH(questions[[#This Row],[qno]],stable[qno],0))</f>
        <v>1</v>
      </c>
      <c r="AJ413" s="99" t="b">
        <f>INDEX(stable[q_carbon],MATCH(questions[[#This Row],[qno]],stable[qno],0))</f>
        <v>1</v>
      </c>
      <c r="AK413" s="99" t="b">
        <f>INDEX(stable[q_regen_ag],MATCH(questions[[#This Row],[qno]],stable[qno],0))</f>
        <v>0</v>
      </c>
      <c r="AL413" s="16" t="b">
        <f>COUNTIFS(stable[qno],questions[[#This Row],[qno]])=1</f>
        <v>1</v>
      </c>
      <c r="AM413" s="16" t="b">
        <f>OR(questions[[#This Row],[is_fixed]],questions[[#This Row],[is_localized]],questions[[#This Row],[is_supply_chain_dependent]])</f>
        <v>1</v>
      </c>
      <c r="AN413" s="16" t="b">
        <f>COUNTIFS(questions[[#This Row],[is_automated]:[is_multi_select]],TRUE)=1</f>
        <v>1</v>
      </c>
      <c r="AO413" s="16" t="b">
        <f>IF(questions[[#This Row],[is_fixed]],questions[[#This Row],[question]]=INDEX(stable[question],MATCH(questions[[#This Row],[qno]],stable[qno],0)),TRUE)</f>
        <v>1</v>
      </c>
      <c r="AP413" s="16" t="str">
        <f>LEFT(questions[[#This Row],[question]],similarity_range)</f>
        <v>What was the quantit</v>
      </c>
      <c r="AQ413" s="16" t="str">
        <f>LEFT(INDEX(stable[question],MATCH(questions[[#This Row],[qno]],stable[qno],0)),similarity_range)</f>
        <v>What was the quantit</v>
      </c>
      <c r="AR413" s="16" t="b">
        <f>questions[[#This Row],[question_first_characters]]=questions[[#This Row],[stability_first_characters]]</f>
        <v>1</v>
      </c>
      <c r="AS413" s="16" t="b">
        <f>IF(OR(questions[[#This Row],[is_single_select]],questions[[#This Row],[is_multi_select]]),NOT(ISBLANK(questions[[#This Row],[answer_opt_combined]])),TRUE)</f>
        <v>1</v>
      </c>
    </row>
    <row r="414" spans="1:45" s="77" customFormat="1" x14ac:dyDescent="0.25">
      <c r="A414" s="77" t="str">
        <f>_xlfn.TEXTJOIN("_",TRUE,questions[[#This Row],[origin]:[qno]])</f>
        <v>Vietnam_Robusta_Lam_Dong_Nestlé_IMPACT_5612</v>
      </c>
      <c r="B414" s="77" t="s">
        <v>673</v>
      </c>
      <c r="C414" s="77" t="s">
        <v>674</v>
      </c>
      <c r="D414" s="77" t="s">
        <v>675</v>
      </c>
      <c r="F414" s="104" t="s">
        <v>220</v>
      </c>
      <c r="G414" s="78" t="s">
        <v>221</v>
      </c>
      <c r="H414" s="33" t="str" cm="1">
        <f t="array" ref="H414">INDEX(stableR[question],MATCH(VALUE(questions[[#This Row],[qno]]),VALUE(stableR[qno]),0))</f>
        <v>What was the unit of this most used pesticide/fungicide/herbicide?</v>
      </c>
      <c r="I414" s="33" t="b" cm="1">
        <f t="array" ref="I414">INDEX(stable[is_fixed],MATCH(VALUE(questions[[#This Row],[qno]]),VALUE(stable[qno]),0))</f>
        <v>1</v>
      </c>
      <c r="J414" s="33" t="b" cm="1">
        <f t="array" ref="J414">INDEX(stable[is_localized],MATCH(VALUE(questions[[#This Row],[qno]]),VALUE(stable[qno]),0))</f>
        <v>0</v>
      </c>
      <c r="K414" s="33" t="b" cm="1">
        <f t="array" ref="K414">INDEX(stable[is_supply_chain_dependent],MATCH(VALUE(questions[[#This Row],[qno]]),VALUE(stable[qno]),0))</f>
        <v>0</v>
      </c>
      <c r="L414" s="33" t="b" cm="1">
        <f t="array" ref="L414">INDEX(stable[is_mandatory],MATCH(VALUE(questions[[#This Row],[qno]]),VALUE(stable[qno]),0))</f>
        <v>0</v>
      </c>
      <c r="M414" s="33" t="b" cm="1">
        <f t="array" ref="M414">INDEX(stable[is_automated],MATCH(VALUE(questions[[#This Row],[qno]]),VALUE(stable[qno]),0))</f>
        <v>0</v>
      </c>
      <c r="N414" s="33" t="b" cm="1">
        <f t="array" ref="N414">INDEX(stable[is_free_text],MATCH(VALUE(questions[[#This Row],[qno]]),VALUE(stable[qno]),0))</f>
        <v>0</v>
      </c>
      <c r="O414" s="33" t="b" cm="1">
        <f t="array" ref="O414">INDEX(stable[is_numerical],MATCH(VALUE(questions[[#This Row],[qno]]),VALUE(stable[qno]),0))</f>
        <v>0</v>
      </c>
      <c r="P414" s="103" t="b" cm="1">
        <f t="array" ref="P414">INDEX(stable[is_single_select],MATCH(VALUE(questions[[#This Row],[qno]]),VALUE(stable[qno]),0))</f>
        <v>1</v>
      </c>
      <c r="Q414" s="77" t="b" cm="1">
        <f t="array" ref="Q414">INDEX(stable[is_multi_select],MATCH(VALUE(questions[[#This Row],[qno]]),VALUE(stable[qno]),0))</f>
        <v>0</v>
      </c>
      <c r="R414" s="77" t="b" cm="1">
        <f t="array" ref="R414">INDEX(stable[is_skip_logic],MATCH(VALUE(questions[[#This Row],[qno]]),VALUE(stable[qno]),0))</f>
        <v>1</v>
      </c>
      <c r="S414" s="77" t="str">
        <f>_xlfn.TEXTJOIN(", ",TRUE,questions[[#This Row],[ans_opt_1]:[ans_opt_14]])</f>
        <v>Kgs, Grams, Liters, Mililiters</v>
      </c>
      <c r="T414" s="77" t="s">
        <v>222</v>
      </c>
      <c r="U414" s="77" t="s">
        <v>223</v>
      </c>
      <c r="V414" s="77" t="s">
        <v>224</v>
      </c>
      <c r="W414" s="77" t="s">
        <v>225</v>
      </c>
      <c r="AH414" s="98" t="b">
        <f>INDEX(stable[q_standard],MATCH(questions[[#This Row],[qno]],stable[qno],0))</f>
        <v>0</v>
      </c>
      <c r="AI414" s="98" t="b">
        <f>INDEX(stable[q_living_income],MATCH(questions[[#This Row],[qno]],stable[qno],0))</f>
        <v>1</v>
      </c>
      <c r="AJ414" s="98" t="b">
        <f>INDEX(stable[q_carbon],MATCH(questions[[#This Row],[qno]],stable[qno],0))</f>
        <v>1</v>
      </c>
      <c r="AK414" s="98" t="b">
        <f>INDEX(stable[q_regen_ag],MATCH(questions[[#This Row],[qno]],stable[qno],0))</f>
        <v>0</v>
      </c>
      <c r="AL414" s="98" t="b">
        <f>COUNTIFS(stable[qno],questions[[#This Row],[qno]])=1</f>
        <v>1</v>
      </c>
      <c r="AM414" s="98" t="b">
        <f>OR(questions[[#This Row],[is_fixed]],questions[[#This Row],[is_localized]],questions[[#This Row],[is_supply_chain_dependent]])</f>
        <v>1</v>
      </c>
      <c r="AN414" s="98" t="b">
        <f>COUNTIFS(questions[[#This Row],[is_automated]:[is_multi_select]],TRUE)=1</f>
        <v>1</v>
      </c>
      <c r="AO414" s="98" t="b">
        <f>IF(questions[[#This Row],[is_fixed]],questions[[#This Row],[question]]=INDEX(stable[question],MATCH(questions[[#This Row],[qno]],stable[qno],0)),TRUE)</f>
        <v>1</v>
      </c>
      <c r="AP414" s="98" t="str">
        <f>LEFT(questions[[#This Row],[question]],similarity_range)</f>
        <v>What was the unit of</v>
      </c>
      <c r="AQ414" s="98" t="str">
        <f>LEFT(INDEX(stable[question],MATCH(questions[[#This Row],[qno]],stable[qno],0)),similarity_range)</f>
        <v>What was the unit of</v>
      </c>
      <c r="AR414" s="98" t="b">
        <f>questions[[#This Row],[question_first_characters]]=questions[[#This Row],[stability_first_characters]]</f>
        <v>1</v>
      </c>
      <c r="AS414" s="98" t="b">
        <f>IF(OR(questions[[#This Row],[is_single_select]],questions[[#This Row],[is_multi_select]]),NOT(ISBLANK(questions[[#This Row],[answer_opt_combined]])),TRUE)</f>
        <v>1</v>
      </c>
    </row>
    <row r="415" spans="1:45" x14ac:dyDescent="0.25">
      <c r="A415" s="33" t="str">
        <f>_xlfn.TEXTJOIN("_",TRUE,questions[[#This Row],[origin]:[qno]])</f>
        <v>Vietnam_Robusta_Lam_Dong_Nestlé_IMPACT_5620</v>
      </c>
      <c r="B415" s="33" t="s">
        <v>673</v>
      </c>
      <c r="C415" s="33" t="s">
        <v>674</v>
      </c>
      <c r="D415" s="33" t="s">
        <v>675</v>
      </c>
      <c r="E415" s="33"/>
      <c r="F415" s="34" t="s">
        <v>226</v>
      </c>
      <c r="G415" s="33" t="str">
        <f>INDEX(stable[question],MATCH(questions[[#This Row],[qno]],stable[qno],0))</f>
        <v>If yes, what was the name of the second most used pesticide/ fungicide/herbicide used last year? Please include the brand name and active ingredient (if possible)</v>
      </c>
      <c r="H415" s="33" t="str" cm="1">
        <f t="array" ref="H415">INDEX(stableR[question],MATCH(VALUE(questions[[#This Row],[qno]]),VALUE(stableR[qno]),0))</f>
        <v>What was the name of the pesticide/fungicide or herbicide that you used second most, last year?</v>
      </c>
      <c r="I415" s="33" t="b" cm="1">
        <f t="array" ref="I415">INDEX(stable[is_fixed],MATCH(VALUE(questions[[#This Row],[qno]]),VALUE(stable[qno]),0))</f>
        <v>1</v>
      </c>
      <c r="J415" s="33" t="b" cm="1">
        <f t="array" ref="J415">INDEX(stable[is_localized],MATCH(VALUE(questions[[#This Row],[qno]]),VALUE(stable[qno]),0))</f>
        <v>0</v>
      </c>
      <c r="K415" s="33" t="b" cm="1">
        <f t="array" ref="K415">INDEX(stable[is_supply_chain_dependent],MATCH(VALUE(questions[[#This Row],[qno]]),VALUE(stable[qno]),0))</f>
        <v>0</v>
      </c>
      <c r="L415" s="33" t="b" cm="1">
        <f t="array" ref="L415">INDEX(stable[is_mandatory],MATCH(VALUE(questions[[#This Row],[qno]]),VALUE(stable[qno]),0))</f>
        <v>0</v>
      </c>
      <c r="M415" s="33" t="b" cm="1">
        <f t="array" ref="M415">INDEX(stable[is_automated],MATCH(VALUE(questions[[#This Row],[qno]]),VALUE(stable[qno]),0))</f>
        <v>0</v>
      </c>
      <c r="N415" s="33" t="b" cm="1">
        <f t="array" ref="N415">INDEX(stable[is_free_text],MATCH(VALUE(questions[[#This Row],[qno]]),VALUE(stable[qno]),0))</f>
        <v>1</v>
      </c>
      <c r="O415" s="33" t="b" cm="1">
        <f t="array" ref="O415">INDEX(stable[is_numerical],MATCH(VALUE(questions[[#This Row],[qno]]),VALUE(stable[qno]),0))</f>
        <v>0</v>
      </c>
      <c r="P415" s="35" t="b" cm="1">
        <f t="array" ref="P415">INDEX(stable[is_single_select],MATCH(VALUE(questions[[#This Row],[qno]]),VALUE(stable[qno]),0))</f>
        <v>0</v>
      </c>
      <c r="Q415" s="33" t="b" cm="1">
        <f t="array" ref="Q415">INDEX(stable[is_multi_select],MATCH(VALUE(questions[[#This Row],[qno]]),VALUE(stable[qno]),0))</f>
        <v>0</v>
      </c>
      <c r="R415" s="33" t="b" cm="1">
        <f t="array" ref="R415">INDEX(stable[is_skip_logic],MATCH(VALUE(questions[[#This Row],[qno]]),VALUE(stable[qno]),0))</f>
        <v>1</v>
      </c>
      <c r="S415" s="33" t="str">
        <f>_xlfn.TEXTJOIN(", ",TRUE,questions[[#This Row],[ans_opt_1]:[ans_opt_14]])</f>
        <v/>
      </c>
      <c r="T415" s="33"/>
      <c r="U415" s="33"/>
      <c r="V415" s="33"/>
      <c r="W415" s="33"/>
      <c r="X415" s="33"/>
      <c r="Y415" s="33"/>
      <c r="Z415" s="33"/>
      <c r="AA415" s="33"/>
      <c r="AB415" s="33"/>
      <c r="AC415" s="33"/>
      <c r="AD415" s="33"/>
      <c r="AE415" s="33"/>
      <c r="AF415" s="33"/>
      <c r="AG415" s="33"/>
      <c r="AH415" s="99" t="b">
        <f>INDEX(stable[q_standard],MATCH(questions[[#This Row],[qno]],stable[qno],0))</f>
        <v>0</v>
      </c>
      <c r="AI415" s="99" t="b">
        <f>INDEX(stable[q_living_income],MATCH(questions[[#This Row],[qno]],stable[qno],0))</f>
        <v>1</v>
      </c>
      <c r="AJ415" s="99" t="b">
        <f>INDEX(stable[q_carbon],MATCH(questions[[#This Row],[qno]],stable[qno],0))</f>
        <v>1</v>
      </c>
      <c r="AK415" s="99" t="b">
        <f>INDEX(stable[q_regen_ag],MATCH(questions[[#This Row],[qno]],stable[qno],0))</f>
        <v>0</v>
      </c>
      <c r="AL415" s="16" t="b">
        <f>COUNTIFS(stable[qno],questions[[#This Row],[qno]])=1</f>
        <v>1</v>
      </c>
      <c r="AM415" s="16" t="b">
        <f>OR(questions[[#This Row],[is_fixed]],questions[[#This Row],[is_localized]],questions[[#This Row],[is_supply_chain_dependent]])</f>
        <v>1</v>
      </c>
      <c r="AN415" s="16" t="b">
        <f>COUNTIFS(questions[[#This Row],[is_automated]:[is_multi_select]],TRUE)=1</f>
        <v>1</v>
      </c>
      <c r="AO415" s="16" t="b">
        <f>IF(questions[[#This Row],[is_fixed]],questions[[#This Row],[question]]=INDEX(stable[question],MATCH(questions[[#This Row],[qno]],stable[qno],0)),TRUE)</f>
        <v>1</v>
      </c>
      <c r="AP415" s="16" t="str">
        <f>LEFT(questions[[#This Row],[question]],similarity_range)</f>
        <v>If yes, what was the</v>
      </c>
      <c r="AQ415" s="16" t="str">
        <f>LEFT(INDEX(stable[question],MATCH(questions[[#This Row],[qno]],stable[qno],0)),similarity_range)</f>
        <v>If yes, what was the</v>
      </c>
      <c r="AR415" s="16" t="b">
        <f>questions[[#This Row],[question_first_characters]]=questions[[#This Row],[stability_first_characters]]</f>
        <v>1</v>
      </c>
      <c r="AS415" s="16" t="b">
        <f>IF(OR(questions[[#This Row],[is_single_select]],questions[[#This Row],[is_multi_select]]),NOT(ISBLANK(questions[[#This Row],[answer_opt_combined]])),TRUE)</f>
        <v>1</v>
      </c>
    </row>
    <row r="416" spans="1:45" x14ac:dyDescent="0.25">
      <c r="A416" s="33" t="str">
        <f>_xlfn.TEXTJOIN("_",TRUE,questions[[#This Row],[origin]:[qno]])</f>
        <v>Vietnam_Robusta_Lam_Dong_Nestlé_IMPACT_5621</v>
      </c>
      <c r="B416" s="33" t="s">
        <v>673</v>
      </c>
      <c r="C416" s="33" t="s">
        <v>674</v>
      </c>
      <c r="D416" s="33" t="s">
        <v>675</v>
      </c>
      <c r="E416" s="33"/>
      <c r="F416" s="34" t="s">
        <v>228</v>
      </c>
      <c r="G416" s="33" t="s">
        <v>229</v>
      </c>
      <c r="H416" s="33" t="str" cm="1">
        <f t="array" ref="H416">INDEX(stableR[question],MATCH(VALUE(questions[[#This Row],[qno]]),VALUE(stableR[qno]),0))</f>
        <v>What was the quantity used of this second most used pesticide/fungicide/herbicide last year?</v>
      </c>
      <c r="I416" s="33" t="b" cm="1">
        <f t="array" ref="I416">INDEX(stable[is_fixed],MATCH(VALUE(questions[[#This Row],[qno]]),VALUE(stable[qno]),0))</f>
        <v>1</v>
      </c>
      <c r="J416" s="33" t="b" cm="1">
        <f t="array" ref="J416">INDEX(stable[is_localized],MATCH(VALUE(questions[[#This Row],[qno]]),VALUE(stable[qno]),0))</f>
        <v>0</v>
      </c>
      <c r="K416" s="33" t="b" cm="1">
        <f t="array" ref="K416">INDEX(stable[is_supply_chain_dependent],MATCH(VALUE(questions[[#This Row],[qno]]),VALUE(stable[qno]),0))</f>
        <v>0</v>
      </c>
      <c r="L416" s="33" t="b" cm="1">
        <f t="array" ref="L416">INDEX(stable[is_mandatory],MATCH(VALUE(questions[[#This Row],[qno]]),VALUE(stable[qno]),0))</f>
        <v>0</v>
      </c>
      <c r="M416" s="33" t="b" cm="1">
        <f t="array" ref="M416">INDEX(stable[is_automated],MATCH(VALUE(questions[[#This Row],[qno]]),VALUE(stable[qno]),0))</f>
        <v>0</v>
      </c>
      <c r="N416" s="33" t="b" cm="1">
        <f t="array" ref="N416">INDEX(stable[is_free_text],MATCH(VALUE(questions[[#This Row],[qno]]),VALUE(stable[qno]),0))</f>
        <v>0</v>
      </c>
      <c r="O416" s="33" t="b" cm="1">
        <f t="array" ref="O416">INDEX(stable[is_numerical],MATCH(VALUE(questions[[#This Row],[qno]]),VALUE(stable[qno]),0))</f>
        <v>1</v>
      </c>
      <c r="P416" s="35" t="b" cm="1">
        <f t="array" ref="P416">INDEX(stable[is_single_select],MATCH(VALUE(questions[[#This Row],[qno]]),VALUE(stable[qno]),0))</f>
        <v>0</v>
      </c>
      <c r="Q416" s="33" t="b" cm="1">
        <f t="array" ref="Q416">INDEX(stable[is_multi_select],MATCH(VALUE(questions[[#This Row],[qno]]),VALUE(stable[qno]),0))</f>
        <v>0</v>
      </c>
      <c r="R416" s="33" t="b" cm="1">
        <f t="array" ref="R416">INDEX(stable[is_skip_logic],MATCH(VALUE(questions[[#This Row],[qno]]),VALUE(stable[qno]),0))</f>
        <v>1</v>
      </c>
      <c r="S416" s="33" t="str">
        <f>_xlfn.TEXTJOIN(", ",TRUE,questions[[#This Row],[ans_opt_1]:[ans_opt_14]])</f>
        <v/>
      </c>
      <c r="T416" s="33"/>
      <c r="U416" s="33"/>
      <c r="V416" s="33"/>
      <c r="W416" s="33"/>
      <c r="X416" s="33"/>
      <c r="Y416" s="33"/>
      <c r="Z416" s="33"/>
      <c r="AA416" s="33"/>
      <c r="AB416" s="33"/>
      <c r="AC416" s="33"/>
      <c r="AD416" s="33"/>
      <c r="AE416" s="33"/>
      <c r="AF416" s="33"/>
      <c r="AG416" s="33"/>
      <c r="AH416" s="99" t="b">
        <f>INDEX(stable[q_standard],MATCH(questions[[#This Row],[qno]],stable[qno],0))</f>
        <v>0</v>
      </c>
      <c r="AI416" s="99" t="b">
        <f>INDEX(stable[q_living_income],MATCH(questions[[#This Row],[qno]],stable[qno],0))</f>
        <v>1</v>
      </c>
      <c r="AJ416" s="99" t="b">
        <f>INDEX(stable[q_carbon],MATCH(questions[[#This Row],[qno]],stable[qno],0))</f>
        <v>1</v>
      </c>
      <c r="AK416" s="99" t="b">
        <f>INDEX(stable[q_regen_ag],MATCH(questions[[#This Row],[qno]],stable[qno],0))</f>
        <v>0</v>
      </c>
      <c r="AL416" s="16" t="b">
        <f>COUNTIFS(stable[qno],questions[[#This Row],[qno]])=1</f>
        <v>1</v>
      </c>
      <c r="AM416" s="16" t="b">
        <f>OR(questions[[#This Row],[is_fixed]],questions[[#This Row],[is_localized]],questions[[#This Row],[is_supply_chain_dependent]])</f>
        <v>1</v>
      </c>
      <c r="AN416" s="16" t="b">
        <f>COUNTIFS(questions[[#This Row],[is_automated]:[is_multi_select]],TRUE)=1</f>
        <v>1</v>
      </c>
      <c r="AO416" s="16" t="b">
        <f>IF(questions[[#This Row],[is_fixed]],questions[[#This Row],[question]]=INDEX(stable[question],MATCH(questions[[#This Row],[qno]],stable[qno],0)),TRUE)</f>
        <v>1</v>
      </c>
      <c r="AP416" s="16" t="str">
        <f>LEFT(questions[[#This Row],[question]],similarity_range)</f>
        <v>What was the quantit</v>
      </c>
      <c r="AQ416" s="16" t="str">
        <f>LEFT(INDEX(stable[question],MATCH(questions[[#This Row],[qno]],stable[qno],0)),similarity_range)</f>
        <v>What was the quantit</v>
      </c>
      <c r="AR416" s="16" t="b">
        <f>questions[[#This Row],[question_first_characters]]=questions[[#This Row],[stability_first_characters]]</f>
        <v>1</v>
      </c>
      <c r="AS416" s="16" t="b">
        <f>IF(OR(questions[[#This Row],[is_single_select]],questions[[#This Row],[is_multi_select]]),NOT(ISBLANK(questions[[#This Row],[answer_opt_combined]])),TRUE)</f>
        <v>1</v>
      </c>
    </row>
    <row r="417" spans="1:45" s="77" customFormat="1" x14ac:dyDescent="0.25">
      <c r="A417" s="77" t="str">
        <f>_xlfn.TEXTJOIN("_",TRUE,questions[[#This Row],[origin]:[qno]])</f>
        <v>Vietnam_Robusta_Lam_Dong_Nestlé_IMPACT_5622</v>
      </c>
      <c r="B417" s="77" t="s">
        <v>673</v>
      </c>
      <c r="C417" s="77" t="s">
        <v>674</v>
      </c>
      <c r="D417" s="77" t="s">
        <v>675</v>
      </c>
      <c r="F417" s="104" t="s">
        <v>230</v>
      </c>
      <c r="G417" s="78" t="s">
        <v>231</v>
      </c>
      <c r="H417" s="33" t="str" cm="1">
        <f t="array" ref="H417">INDEX(stableR[question],MATCH(VALUE(questions[[#This Row],[qno]]),VALUE(stableR[qno]),0))</f>
        <v>What was the unit of this second most used pesticide/fungicide/herbicide?</v>
      </c>
      <c r="I417" s="33" t="b" cm="1">
        <f t="array" ref="I417">INDEX(stable[is_fixed],MATCH(VALUE(questions[[#This Row],[qno]]),VALUE(stable[qno]),0))</f>
        <v>1</v>
      </c>
      <c r="J417" s="33" t="b" cm="1">
        <f t="array" ref="J417">INDEX(stable[is_localized],MATCH(VALUE(questions[[#This Row],[qno]]),VALUE(stable[qno]),0))</f>
        <v>0</v>
      </c>
      <c r="K417" s="33" t="b" cm="1">
        <f t="array" ref="K417">INDEX(stable[is_supply_chain_dependent],MATCH(VALUE(questions[[#This Row],[qno]]),VALUE(stable[qno]),0))</f>
        <v>0</v>
      </c>
      <c r="L417" s="33" t="b" cm="1">
        <f t="array" ref="L417">INDEX(stable[is_mandatory],MATCH(VALUE(questions[[#This Row],[qno]]),VALUE(stable[qno]),0))</f>
        <v>0</v>
      </c>
      <c r="M417" s="33" t="b" cm="1">
        <f t="array" ref="M417">INDEX(stable[is_automated],MATCH(VALUE(questions[[#This Row],[qno]]),VALUE(stable[qno]),0))</f>
        <v>0</v>
      </c>
      <c r="N417" s="33" t="b" cm="1">
        <f t="array" ref="N417">INDEX(stable[is_free_text],MATCH(VALUE(questions[[#This Row],[qno]]),VALUE(stable[qno]),0))</f>
        <v>0</v>
      </c>
      <c r="O417" s="33" t="b" cm="1">
        <f t="array" ref="O417">INDEX(stable[is_numerical],MATCH(VALUE(questions[[#This Row],[qno]]),VALUE(stable[qno]),0))</f>
        <v>0</v>
      </c>
      <c r="P417" s="103" t="b" cm="1">
        <f t="array" ref="P417">INDEX(stable[is_single_select],MATCH(VALUE(questions[[#This Row],[qno]]),VALUE(stable[qno]),0))</f>
        <v>1</v>
      </c>
      <c r="Q417" s="77" t="b" cm="1">
        <f t="array" ref="Q417">INDEX(stable[is_multi_select],MATCH(VALUE(questions[[#This Row],[qno]]),VALUE(stable[qno]),0))</f>
        <v>0</v>
      </c>
      <c r="R417" s="77" t="b" cm="1">
        <f t="array" ref="R417">INDEX(stable[is_skip_logic],MATCH(VALUE(questions[[#This Row],[qno]]),VALUE(stable[qno]),0))</f>
        <v>1</v>
      </c>
      <c r="S417" s="77" t="str">
        <f>_xlfn.TEXTJOIN(", ",TRUE,questions[[#This Row],[ans_opt_1]:[ans_opt_14]])</f>
        <v>Kgs, Grams, Liters, Mililiters</v>
      </c>
      <c r="T417" s="77" t="s">
        <v>222</v>
      </c>
      <c r="U417" s="77" t="s">
        <v>223</v>
      </c>
      <c r="V417" s="77" t="s">
        <v>224</v>
      </c>
      <c r="W417" s="77" t="s">
        <v>225</v>
      </c>
      <c r="AH417" s="98" t="b">
        <f>INDEX(stable[q_standard],MATCH(questions[[#This Row],[qno]],stable[qno],0))</f>
        <v>0</v>
      </c>
      <c r="AI417" s="98" t="b">
        <f>INDEX(stable[q_living_income],MATCH(questions[[#This Row],[qno]],stable[qno],0))</f>
        <v>1</v>
      </c>
      <c r="AJ417" s="98" t="b">
        <f>INDEX(stable[q_carbon],MATCH(questions[[#This Row],[qno]],stable[qno],0))</f>
        <v>1</v>
      </c>
      <c r="AK417" s="98" t="b">
        <f>INDEX(stable[q_regen_ag],MATCH(questions[[#This Row],[qno]],stable[qno],0))</f>
        <v>0</v>
      </c>
      <c r="AL417" s="98" t="b">
        <f>COUNTIFS(stable[qno],questions[[#This Row],[qno]])=1</f>
        <v>1</v>
      </c>
      <c r="AM417" s="98" t="b">
        <f>OR(questions[[#This Row],[is_fixed]],questions[[#This Row],[is_localized]],questions[[#This Row],[is_supply_chain_dependent]])</f>
        <v>1</v>
      </c>
      <c r="AN417" s="98" t="b">
        <f>COUNTIFS(questions[[#This Row],[is_automated]:[is_multi_select]],TRUE)=1</f>
        <v>1</v>
      </c>
      <c r="AO417" s="98" t="b">
        <f>IF(questions[[#This Row],[is_fixed]],questions[[#This Row],[question]]=INDEX(stable[question],MATCH(questions[[#This Row],[qno]],stable[qno],0)),TRUE)</f>
        <v>1</v>
      </c>
      <c r="AP417" s="98" t="str">
        <f>LEFT(questions[[#This Row],[question]],similarity_range)</f>
        <v>What was the unit of</v>
      </c>
      <c r="AQ417" s="98" t="str">
        <f>LEFT(INDEX(stable[question],MATCH(questions[[#This Row],[qno]],stable[qno],0)),similarity_range)</f>
        <v>What was the unit of</v>
      </c>
      <c r="AR417" s="98" t="b">
        <f>questions[[#This Row],[question_first_characters]]=questions[[#This Row],[stability_first_characters]]</f>
        <v>1</v>
      </c>
      <c r="AS417" s="98" t="b">
        <f>IF(OR(questions[[#This Row],[is_single_select]],questions[[#This Row],[is_multi_select]]),NOT(ISBLANK(questions[[#This Row],[answer_opt_combined]])),TRUE)</f>
        <v>1</v>
      </c>
    </row>
    <row r="418" spans="1:45" x14ac:dyDescent="0.25">
      <c r="A418" s="33" t="str">
        <f>_xlfn.TEXTJOIN("_",TRUE,questions[[#This Row],[origin]:[qno]])</f>
        <v>Vietnam_Robusta_Lam_Dong_Nestlé_IMPACT_5630</v>
      </c>
      <c r="B418" s="33" t="s">
        <v>673</v>
      </c>
      <c r="C418" s="33" t="s">
        <v>674</v>
      </c>
      <c r="D418" s="33" t="s">
        <v>675</v>
      </c>
      <c r="E418" s="33"/>
      <c r="F418" s="34" t="s">
        <v>232</v>
      </c>
      <c r="G418" s="33" t="str">
        <f>INDEX(stable[question],MATCH(questions[[#This Row],[qno]],stable[qno],0))</f>
        <v>If yes, what was the name of the third most used pesticide/ fungicide/herbicide used last year? Please include the brand name and active ingredient (if possible)</v>
      </c>
      <c r="H418" s="33" t="str" cm="1">
        <f t="array" ref="H418">INDEX(stableR[question],MATCH(VALUE(questions[[#This Row],[qno]]),VALUE(stableR[qno]),0))</f>
        <v>What was the name of the pesticide/fungicide or herbicide that you used third most, last year?</v>
      </c>
      <c r="I418" s="33" t="b" cm="1">
        <f t="array" ref="I418">INDEX(stable[is_fixed],MATCH(VALUE(questions[[#This Row],[qno]]),VALUE(stable[qno]),0))</f>
        <v>1</v>
      </c>
      <c r="J418" s="33" t="b" cm="1">
        <f t="array" ref="J418">INDEX(stable[is_localized],MATCH(VALUE(questions[[#This Row],[qno]]),VALUE(stable[qno]),0))</f>
        <v>0</v>
      </c>
      <c r="K418" s="33" t="b" cm="1">
        <f t="array" ref="K418">INDEX(stable[is_supply_chain_dependent],MATCH(VALUE(questions[[#This Row],[qno]]),VALUE(stable[qno]),0))</f>
        <v>0</v>
      </c>
      <c r="L418" s="33" t="b" cm="1">
        <f t="array" ref="L418">INDEX(stable[is_mandatory],MATCH(VALUE(questions[[#This Row],[qno]]),VALUE(stable[qno]),0))</f>
        <v>0</v>
      </c>
      <c r="M418" s="33" t="b" cm="1">
        <f t="array" ref="M418">INDEX(stable[is_automated],MATCH(VALUE(questions[[#This Row],[qno]]),VALUE(stable[qno]),0))</f>
        <v>0</v>
      </c>
      <c r="N418" s="33" t="b" cm="1">
        <f t="array" ref="N418">INDEX(stable[is_free_text],MATCH(VALUE(questions[[#This Row],[qno]]),VALUE(stable[qno]),0))</f>
        <v>1</v>
      </c>
      <c r="O418" s="33" t="b" cm="1">
        <f t="array" ref="O418">INDEX(stable[is_numerical],MATCH(VALUE(questions[[#This Row],[qno]]),VALUE(stable[qno]),0))</f>
        <v>0</v>
      </c>
      <c r="P418" s="35" t="b" cm="1">
        <f t="array" ref="P418">INDEX(stable[is_single_select],MATCH(VALUE(questions[[#This Row],[qno]]),VALUE(stable[qno]),0))</f>
        <v>0</v>
      </c>
      <c r="Q418" s="33" t="b" cm="1">
        <f t="array" ref="Q418">INDEX(stable[is_multi_select],MATCH(VALUE(questions[[#This Row],[qno]]),VALUE(stable[qno]),0))</f>
        <v>0</v>
      </c>
      <c r="R418" s="33" t="b" cm="1">
        <f t="array" ref="R418">INDEX(stable[is_skip_logic],MATCH(VALUE(questions[[#This Row],[qno]]),VALUE(stable[qno]),0))</f>
        <v>1</v>
      </c>
      <c r="S418" s="33" t="str">
        <f>_xlfn.TEXTJOIN(", ",TRUE,questions[[#This Row],[ans_opt_1]:[ans_opt_14]])</f>
        <v/>
      </c>
      <c r="T418" s="33"/>
      <c r="U418" s="33"/>
      <c r="V418" s="33"/>
      <c r="W418" s="33"/>
      <c r="X418" s="33"/>
      <c r="Y418" s="33"/>
      <c r="Z418" s="33"/>
      <c r="AA418" s="33"/>
      <c r="AB418" s="33"/>
      <c r="AC418" s="33"/>
      <c r="AD418" s="33"/>
      <c r="AE418" s="33"/>
      <c r="AF418" s="33"/>
      <c r="AG418" s="33"/>
      <c r="AH418" s="99" t="b">
        <f>INDEX(stable[q_standard],MATCH(questions[[#This Row],[qno]],stable[qno],0))</f>
        <v>0</v>
      </c>
      <c r="AI418" s="99" t="b">
        <f>INDEX(stable[q_living_income],MATCH(questions[[#This Row],[qno]],stable[qno],0))</f>
        <v>1</v>
      </c>
      <c r="AJ418" s="99" t="b">
        <f>INDEX(stable[q_carbon],MATCH(questions[[#This Row],[qno]],stable[qno],0))</f>
        <v>1</v>
      </c>
      <c r="AK418" s="99" t="b">
        <f>INDEX(stable[q_regen_ag],MATCH(questions[[#This Row],[qno]],stable[qno],0))</f>
        <v>0</v>
      </c>
      <c r="AL418" s="16" t="b">
        <f>COUNTIFS(stable[qno],questions[[#This Row],[qno]])=1</f>
        <v>1</v>
      </c>
      <c r="AM418" s="16" t="b">
        <f>OR(questions[[#This Row],[is_fixed]],questions[[#This Row],[is_localized]],questions[[#This Row],[is_supply_chain_dependent]])</f>
        <v>1</v>
      </c>
      <c r="AN418" s="16" t="b">
        <f>COUNTIFS(questions[[#This Row],[is_automated]:[is_multi_select]],TRUE)=1</f>
        <v>1</v>
      </c>
      <c r="AO418" s="16" t="b">
        <f>IF(questions[[#This Row],[is_fixed]],questions[[#This Row],[question]]=INDEX(stable[question],MATCH(questions[[#This Row],[qno]],stable[qno],0)),TRUE)</f>
        <v>1</v>
      </c>
      <c r="AP418" s="16" t="str">
        <f>LEFT(questions[[#This Row],[question]],similarity_range)</f>
        <v>If yes, what was the</v>
      </c>
      <c r="AQ418" s="16" t="str">
        <f>LEFT(INDEX(stable[question],MATCH(questions[[#This Row],[qno]],stable[qno],0)),similarity_range)</f>
        <v>If yes, what was the</v>
      </c>
      <c r="AR418" s="16" t="b">
        <f>questions[[#This Row],[question_first_characters]]=questions[[#This Row],[stability_first_characters]]</f>
        <v>1</v>
      </c>
      <c r="AS418" s="16" t="b">
        <f>IF(OR(questions[[#This Row],[is_single_select]],questions[[#This Row],[is_multi_select]]),NOT(ISBLANK(questions[[#This Row],[answer_opt_combined]])),TRUE)</f>
        <v>1</v>
      </c>
    </row>
    <row r="419" spans="1:45" x14ac:dyDescent="0.25">
      <c r="A419" s="33" t="str">
        <f>_xlfn.TEXTJOIN("_",TRUE,questions[[#This Row],[origin]:[qno]])</f>
        <v>Vietnam_Robusta_Lam_Dong_Nestlé_IMPACT_5631</v>
      </c>
      <c r="B419" s="33" t="s">
        <v>673</v>
      </c>
      <c r="C419" s="33" t="s">
        <v>674</v>
      </c>
      <c r="D419" s="33" t="s">
        <v>675</v>
      </c>
      <c r="E419" s="33"/>
      <c r="F419" s="34" t="s">
        <v>234</v>
      </c>
      <c r="G419" s="33" t="s">
        <v>235</v>
      </c>
      <c r="H419" s="33" t="str" cm="1">
        <f t="array" ref="H419">INDEX(stableR[question],MATCH(VALUE(questions[[#This Row],[qno]]),VALUE(stableR[qno]),0))</f>
        <v>What was the quantity used of this third most used pesticide/fungicide/herbicide last year?</v>
      </c>
      <c r="I419" s="33" t="b" cm="1">
        <f t="array" ref="I419">INDEX(stable[is_fixed],MATCH(VALUE(questions[[#This Row],[qno]]),VALUE(stable[qno]),0))</f>
        <v>1</v>
      </c>
      <c r="J419" s="33" t="b" cm="1">
        <f t="array" ref="J419">INDEX(stable[is_localized],MATCH(VALUE(questions[[#This Row],[qno]]),VALUE(stable[qno]),0))</f>
        <v>0</v>
      </c>
      <c r="K419" s="33" t="b" cm="1">
        <f t="array" ref="K419">INDEX(stable[is_supply_chain_dependent],MATCH(VALUE(questions[[#This Row],[qno]]),VALUE(stable[qno]),0))</f>
        <v>0</v>
      </c>
      <c r="L419" s="33" t="b" cm="1">
        <f t="array" ref="L419">INDEX(stable[is_mandatory],MATCH(VALUE(questions[[#This Row],[qno]]),VALUE(stable[qno]),0))</f>
        <v>0</v>
      </c>
      <c r="M419" s="33" t="b" cm="1">
        <f t="array" ref="M419">INDEX(stable[is_automated],MATCH(VALUE(questions[[#This Row],[qno]]),VALUE(stable[qno]),0))</f>
        <v>0</v>
      </c>
      <c r="N419" s="33" t="b" cm="1">
        <f t="array" ref="N419">INDEX(stable[is_free_text],MATCH(VALUE(questions[[#This Row],[qno]]),VALUE(stable[qno]),0))</f>
        <v>0</v>
      </c>
      <c r="O419" s="33" t="b" cm="1">
        <f t="array" ref="O419">INDEX(stable[is_numerical],MATCH(VALUE(questions[[#This Row],[qno]]),VALUE(stable[qno]),0))</f>
        <v>1</v>
      </c>
      <c r="P419" s="35" t="b" cm="1">
        <f t="array" ref="P419">INDEX(stable[is_single_select],MATCH(VALUE(questions[[#This Row],[qno]]),VALUE(stable[qno]),0))</f>
        <v>0</v>
      </c>
      <c r="Q419" s="33" t="b" cm="1">
        <f t="array" ref="Q419">INDEX(stable[is_multi_select],MATCH(VALUE(questions[[#This Row],[qno]]),VALUE(stable[qno]),0))</f>
        <v>0</v>
      </c>
      <c r="R419" s="33" t="b" cm="1">
        <f t="array" ref="R419">INDEX(stable[is_skip_logic],MATCH(VALUE(questions[[#This Row],[qno]]),VALUE(stable[qno]),0))</f>
        <v>1</v>
      </c>
      <c r="S419" s="33" t="str">
        <f>_xlfn.TEXTJOIN(", ",TRUE,questions[[#This Row],[ans_opt_1]:[ans_opt_14]])</f>
        <v/>
      </c>
      <c r="T419" s="33"/>
      <c r="U419" s="33"/>
      <c r="V419" s="33"/>
      <c r="W419" s="33"/>
      <c r="X419" s="33"/>
      <c r="Y419" s="33"/>
      <c r="Z419" s="33"/>
      <c r="AA419" s="33"/>
      <c r="AB419" s="33"/>
      <c r="AC419" s="33"/>
      <c r="AD419" s="33"/>
      <c r="AE419" s="33"/>
      <c r="AF419" s="33"/>
      <c r="AG419" s="33"/>
      <c r="AH419" s="99" t="b">
        <f>INDEX(stable[q_standard],MATCH(questions[[#This Row],[qno]],stable[qno],0))</f>
        <v>0</v>
      </c>
      <c r="AI419" s="99" t="b">
        <f>INDEX(stable[q_living_income],MATCH(questions[[#This Row],[qno]],stable[qno],0))</f>
        <v>1</v>
      </c>
      <c r="AJ419" s="99" t="b">
        <f>INDEX(stable[q_carbon],MATCH(questions[[#This Row],[qno]],stable[qno],0))</f>
        <v>1</v>
      </c>
      <c r="AK419" s="99" t="b">
        <f>INDEX(stable[q_regen_ag],MATCH(questions[[#This Row],[qno]],stable[qno],0))</f>
        <v>0</v>
      </c>
      <c r="AL419" s="16" t="b">
        <f>COUNTIFS(stable[qno],questions[[#This Row],[qno]])=1</f>
        <v>1</v>
      </c>
      <c r="AM419" s="16" t="b">
        <f>OR(questions[[#This Row],[is_fixed]],questions[[#This Row],[is_localized]],questions[[#This Row],[is_supply_chain_dependent]])</f>
        <v>1</v>
      </c>
      <c r="AN419" s="16" t="b">
        <f>COUNTIFS(questions[[#This Row],[is_automated]:[is_multi_select]],TRUE)=1</f>
        <v>1</v>
      </c>
      <c r="AO419" s="16" t="b">
        <f>IF(questions[[#This Row],[is_fixed]],questions[[#This Row],[question]]=INDEX(stable[question],MATCH(questions[[#This Row],[qno]],stable[qno],0)),TRUE)</f>
        <v>1</v>
      </c>
      <c r="AP419" s="16" t="str">
        <f>LEFT(questions[[#This Row],[question]],similarity_range)</f>
        <v>What was the quantit</v>
      </c>
      <c r="AQ419" s="16" t="str">
        <f>LEFT(INDEX(stable[question],MATCH(questions[[#This Row],[qno]],stable[qno],0)),similarity_range)</f>
        <v>What was the quantit</v>
      </c>
      <c r="AR419" s="16" t="b">
        <f>questions[[#This Row],[question_first_characters]]=questions[[#This Row],[stability_first_characters]]</f>
        <v>1</v>
      </c>
      <c r="AS419" s="16" t="b">
        <f>IF(OR(questions[[#This Row],[is_single_select]],questions[[#This Row],[is_multi_select]]),NOT(ISBLANK(questions[[#This Row],[answer_opt_combined]])),TRUE)</f>
        <v>1</v>
      </c>
    </row>
    <row r="420" spans="1:45" s="77" customFormat="1" x14ac:dyDescent="0.25">
      <c r="A420" s="77" t="str">
        <f>_xlfn.TEXTJOIN("_",TRUE,questions[[#This Row],[origin]:[qno]])</f>
        <v>Vietnam_Robusta_Lam_Dong_Nestlé_IMPACT_5632</v>
      </c>
      <c r="B420" s="77" t="s">
        <v>673</v>
      </c>
      <c r="C420" s="77" t="s">
        <v>674</v>
      </c>
      <c r="D420" s="77" t="s">
        <v>675</v>
      </c>
      <c r="F420" s="104" t="s">
        <v>236</v>
      </c>
      <c r="G420" s="78" t="s">
        <v>237</v>
      </c>
      <c r="H420" s="33" t="str" cm="1">
        <f t="array" ref="H420">INDEX(stableR[question],MATCH(VALUE(questions[[#This Row],[qno]]),VALUE(stableR[qno]),0))</f>
        <v>What was the unit of this third most used pesticide/fungicide/herbicide</v>
      </c>
      <c r="I420" s="33" t="b" cm="1">
        <f t="array" ref="I420">INDEX(stable[is_fixed],MATCH(VALUE(questions[[#This Row],[qno]]),VALUE(stable[qno]),0))</f>
        <v>1</v>
      </c>
      <c r="J420" s="33" t="b" cm="1">
        <f t="array" ref="J420">INDEX(stable[is_localized],MATCH(VALUE(questions[[#This Row],[qno]]),VALUE(stable[qno]),0))</f>
        <v>0</v>
      </c>
      <c r="K420" s="33" t="b" cm="1">
        <f t="array" ref="K420">INDEX(stable[is_supply_chain_dependent],MATCH(VALUE(questions[[#This Row],[qno]]),VALUE(stable[qno]),0))</f>
        <v>0</v>
      </c>
      <c r="L420" s="33" t="b" cm="1">
        <f t="array" ref="L420">INDEX(stable[is_mandatory],MATCH(VALUE(questions[[#This Row],[qno]]),VALUE(stable[qno]),0))</f>
        <v>0</v>
      </c>
      <c r="M420" s="33" t="b" cm="1">
        <f t="array" ref="M420">INDEX(stable[is_automated],MATCH(VALUE(questions[[#This Row],[qno]]),VALUE(stable[qno]),0))</f>
        <v>0</v>
      </c>
      <c r="N420" s="33" t="b" cm="1">
        <f t="array" ref="N420">INDEX(stable[is_free_text],MATCH(VALUE(questions[[#This Row],[qno]]),VALUE(stable[qno]),0))</f>
        <v>0</v>
      </c>
      <c r="O420" s="33" t="b" cm="1">
        <f t="array" ref="O420">INDEX(stable[is_numerical],MATCH(VALUE(questions[[#This Row],[qno]]),VALUE(stable[qno]),0))</f>
        <v>0</v>
      </c>
      <c r="P420" s="103" t="b" cm="1">
        <f t="array" ref="P420">INDEX(stable[is_single_select],MATCH(VALUE(questions[[#This Row],[qno]]),VALUE(stable[qno]),0))</f>
        <v>1</v>
      </c>
      <c r="Q420" s="77" t="b" cm="1">
        <f t="array" ref="Q420">INDEX(stable[is_multi_select],MATCH(VALUE(questions[[#This Row],[qno]]),VALUE(stable[qno]),0))</f>
        <v>0</v>
      </c>
      <c r="R420" s="77" t="b" cm="1">
        <f t="array" ref="R420">INDEX(stable[is_skip_logic],MATCH(VALUE(questions[[#This Row],[qno]]),VALUE(stable[qno]),0))</f>
        <v>1</v>
      </c>
      <c r="S420" s="77" t="str">
        <f>_xlfn.TEXTJOIN(", ",TRUE,questions[[#This Row],[ans_opt_1]:[ans_opt_14]])</f>
        <v>Kgs, Grams, Liters, Mililiters</v>
      </c>
      <c r="T420" s="77" t="s">
        <v>222</v>
      </c>
      <c r="U420" s="77" t="s">
        <v>223</v>
      </c>
      <c r="V420" s="77" t="s">
        <v>224</v>
      </c>
      <c r="W420" s="77" t="s">
        <v>225</v>
      </c>
      <c r="AH420" s="98" t="b">
        <f>INDEX(stable[q_standard],MATCH(questions[[#This Row],[qno]],stable[qno],0))</f>
        <v>0</v>
      </c>
      <c r="AI420" s="98" t="b">
        <f>INDEX(stable[q_living_income],MATCH(questions[[#This Row],[qno]],stable[qno],0))</f>
        <v>1</v>
      </c>
      <c r="AJ420" s="98" t="b">
        <f>INDEX(stable[q_carbon],MATCH(questions[[#This Row],[qno]],stable[qno],0))</f>
        <v>1</v>
      </c>
      <c r="AK420" s="98" t="b">
        <f>INDEX(stable[q_regen_ag],MATCH(questions[[#This Row],[qno]],stable[qno],0))</f>
        <v>0</v>
      </c>
      <c r="AL420" s="98" t="b">
        <f>COUNTIFS(stable[qno],questions[[#This Row],[qno]])=1</f>
        <v>1</v>
      </c>
      <c r="AM420" s="98" t="b">
        <f>OR(questions[[#This Row],[is_fixed]],questions[[#This Row],[is_localized]],questions[[#This Row],[is_supply_chain_dependent]])</f>
        <v>1</v>
      </c>
      <c r="AN420" s="98" t="b">
        <f>COUNTIFS(questions[[#This Row],[is_automated]:[is_multi_select]],TRUE)=1</f>
        <v>1</v>
      </c>
      <c r="AO420" s="98" t="b">
        <f>IF(questions[[#This Row],[is_fixed]],questions[[#This Row],[question]]=INDEX(stable[question],MATCH(questions[[#This Row],[qno]],stable[qno],0)),TRUE)</f>
        <v>1</v>
      </c>
      <c r="AP420" s="98" t="str">
        <f>LEFT(questions[[#This Row],[question]],similarity_range)</f>
        <v>What was the unit of</v>
      </c>
      <c r="AQ420" s="98" t="str">
        <f>LEFT(INDEX(stable[question],MATCH(questions[[#This Row],[qno]],stable[qno],0)),similarity_range)</f>
        <v>What was the unit of</v>
      </c>
      <c r="AR420" s="98" t="b">
        <f>questions[[#This Row],[question_first_characters]]=questions[[#This Row],[stability_first_characters]]</f>
        <v>1</v>
      </c>
      <c r="AS420" s="98" t="b">
        <f>IF(OR(questions[[#This Row],[is_single_select]],questions[[#This Row],[is_multi_select]]),NOT(ISBLANK(questions[[#This Row],[answer_opt_combined]])),TRUE)</f>
        <v>1</v>
      </c>
    </row>
    <row r="421" spans="1:45" s="77" customFormat="1" x14ac:dyDescent="0.25">
      <c r="A421" s="77" t="str">
        <f>_xlfn.TEXTJOIN("_",TRUE,questions[[#This Row],[origin]:[qno]])</f>
        <v>Vietnam_Robusta_Lam_Dong_Nestlé_IMPACT_6000</v>
      </c>
      <c r="B421" s="77" t="s">
        <v>673</v>
      </c>
      <c r="C421" s="77" t="s">
        <v>674</v>
      </c>
      <c r="D421" s="77" t="s">
        <v>675</v>
      </c>
      <c r="F421" s="104" t="s">
        <v>238</v>
      </c>
      <c r="G421" s="78" t="s">
        <v>239</v>
      </c>
      <c r="H421" s="33" t="str" cm="1">
        <f t="array" ref="H421">INDEX(stableR[question],MATCH(VALUE(questions[[#This Row],[qno]]),VALUE(stableR[qno]),0))</f>
        <v>Did you hire any permanent laborer's, for your coffee plots, last year?</v>
      </c>
      <c r="I421" s="33" t="b" cm="1">
        <f t="array" ref="I421">INDEX(stable[is_fixed],MATCH(VALUE(questions[[#This Row],[qno]]),VALUE(stable[qno]),0))</f>
        <v>1</v>
      </c>
      <c r="J421" s="33" t="b" cm="1">
        <f t="array" ref="J421">INDEX(stable[is_localized],MATCH(VALUE(questions[[#This Row],[qno]]),VALUE(stable[qno]),0))</f>
        <v>0</v>
      </c>
      <c r="K421" s="33" t="b" cm="1">
        <f t="array" ref="K421">INDEX(stable[is_supply_chain_dependent],MATCH(VALUE(questions[[#This Row],[qno]]),VALUE(stable[qno]),0))</f>
        <v>0</v>
      </c>
      <c r="L421" s="33" t="b" cm="1">
        <f t="array" ref="L421">INDEX(stable[is_mandatory],MATCH(VALUE(questions[[#This Row],[qno]]),VALUE(stable[qno]),0))</f>
        <v>1</v>
      </c>
      <c r="M421" s="33" t="b" cm="1">
        <f t="array" ref="M421">INDEX(stable[is_automated],MATCH(VALUE(questions[[#This Row],[qno]]),VALUE(stable[qno]),0))</f>
        <v>0</v>
      </c>
      <c r="N421" s="33" t="b" cm="1">
        <f t="array" ref="N421">INDEX(stable[is_free_text],MATCH(VALUE(questions[[#This Row],[qno]]),VALUE(stable[qno]),0))</f>
        <v>0</v>
      </c>
      <c r="O421" s="33" t="b" cm="1">
        <f t="array" ref="O421">INDEX(stable[is_numerical],MATCH(VALUE(questions[[#This Row],[qno]]),VALUE(stable[qno]),0))</f>
        <v>0</v>
      </c>
      <c r="P421" s="103" t="b" cm="1">
        <f t="array" ref="P421">INDEX(stable[is_single_select],MATCH(VALUE(questions[[#This Row],[qno]]),VALUE(stable[qno]),0))</f>
        <v>1</v>
      </c>
      <c r="Q421" s="77" t="b" cm="1">
        <f t="array" ref="Q421">INDEX(stable[is_multi_select],MATCH(VALUE(questions[[#This Row],[qno]]),VALUE(stable[qno]),0))</f>
        <v>0</v>
      </c>
      <c r="R421" s="77" t="b" cm="1">
        <f t="array" ref="R421">INDEX(stable[is_skip_logic],MATCH(VALUE(questions[[#This Row],[qno]]),VALUE(stable[qno]),0))</f>
        <v>1</v>
      </c>
      <c r="S421" s="77" t="str">
        <f>_xlfn.TEXTJOIN(", ",TRUE,questions[[#This Row],[ans_opt_1]:[ans_opt_14]])</f>
        <v>Yes, No</v>
      </c>
      <c r="T421" s="77" t="s">
        <v>149</v>
      </c>
      <c r="U421" s="77" t="s">
        <v>119</v>
      </c>
      <c r="AH421" s="98" t="b">
        <f>INDEX(stable[q_standard],MATCH(questions[[#This Row],[qno]],stable[qno],0))</f>
        <v>0</v>
      </c>
      <c r="AI421" s="98" t="b">
        <f>INDEX(stable[q_living_income],MATCH(questions[[#This Row],[qno]],stable[qno],0))</f>
        <v>1</v>
      </c>
      <c r="AJ421" s="98" t="b">
        <f>INDEX(stable[q_carbon],MATCH(questions[[#This Row],[qno]],stable[qno],0))</f>
        <v>0</v>
      </c>
      <c r="AK421" s="98" t="b">
        <f>INDEX(stable[q_regen_ag],MATCH(questions[[#This Row],[qno]],stable[qno],0))</f>
        <v>0</v>
      </c>
      <c r="AL421" s="98" t="b">
        <f>COUNTIFS(stable[qno],questions[[#This Row],[qno]])=1</f>
        <v>1</v>
      </c>
      <c r="AM421" s="98" t="b">
        <f>OR(questions[[#This Row],[is_fixed]],questions[[#This Row],[is_localized]],questions[[#This Row],[is_supply_chain_dependent]])</f>
        <v>1</v>
      </c>
      <c r="AN421" s="98" t="b">
        <f>COUNTIFS(questions[[#This Row],[is_automated]:[is_multi_select]],TRUE)=1</f>
        <v>1</v>
      </c>
      <c r="AO421" s="98" t="b">
        <f>IF(questions[[#This Row],[is_fixed]],questions[[#This Row],[question]]=INDEX(stable[question],MATCH(questions[[#This Row],[qno]],stable[qno],0)),TRUE)</f>
        <v>1</v>
      </c>
      <c r="AP421" s="98" t="str">
        <f>LEFT(questions[[#This Row],[question]],similarity_range)</f>
        <v>Did you hire any per</v>
      </c>
      <c r="AQ421" s="98" t="str">
        <f>LEFT(INDEX(stable[question],MATCH(questions[[#This Row],[qno]],stable[qno],0)),similarity_range)</f>
        <v>Did you hire any per</v>
      </c>
      <c r="AR421" s="98" t="b">
        <f>questions[[#This Row],[question_first_characters]]=questions[[#This Row],[stability_first_characters]]</f>
        <v>1</v>
      </c>
      <c r="AS421" s="98" t="b">
        <f>IF(OR(questions[[#This Row],[is_single_select]],questions[[#This Row],[is_multi_select]]),NOT(ISBLANK(questions[[#This Row],[answer_opt_combined]])),TRUE)</f>
        <v>1</v>
      </c>
    </row>
    <row r="422" spans="1:45" x14ac:dyDescent="0.25">
      <c r="A422" s="33" t="str">
        <f>_xlfn.TEXTJOIN("_",TRUE,questions[[#This Row],[origin]:[qno]])</f>
        <v>Vietnam_Robusta_Lam_Dong_Nestlé_IMPACT_6001</v>
      </c>
      <c r="B422" s="33" t="s">
        <v>673</v>
      </c>
      <c r="C422" s="33" t="s">
        <v>674</v>
      </c>
      <c r="D422" s="33" t="s">
        <v>675</v>
      </c>
      <c r="E422" s="33"/>
      <c r="F422" s="34" t="s">
        <v>240</v>
      </c>
      <c r="G422" s="18" t="s">
        <v>241</v>
      </c>
      <c r="H422" s="33" t="str" cm="1">
        <f t="array" ref="H422">INDEX(stableR[question],MATCH(VALUE(questions[[#This Row],[qno]]),VALUE(stableR[qno]),0))</f>
        <v>How many people did you hire, permanently for your coffee plots, last year?</v>
      </c>
      <c r="I422" s="33" t="b" cm="1">
        <f t="array" ref="I422">INDEX(stable[is_fixed],MATCH(VALUE(questions[[#This Row],[qno]]),VALUE(stable[qno]),0))</f>
        <v>1</v>
      </c>
      <c r="J422" s="33" t="b" cm="1">
        <f t="array" ref="J422">INDEX(stable[is_localized],MATCH(VALUE(questions[[#This Row],[qno]]),VALUE(stable[qno]),0))</f>
        <v>0</v>
      </c>
      <c r="K422" s="33" t="b" cm="1">
        <f t="array" ref="K422">INDEX(stable[is_supply_chain_dependent],MATCH(VALUE(questions[[#This Row],[qno]]),VALUE(stable[qno]),0))</f>
        <v>0</v>
      </c>
      <c r="L422" s="33" t="b" cm="1">
        <f t="array" ref="L422">INDEX(stable[is_mandatory],MATCH(VALUE(questions[[#This Row],[qno]]),VALUE(stable[qno]),0))</f>
        <v>0</v>
      </c>
      <c r="M422" s="33" t="b" cm="1">
        <f t="array" ref="M422">INDEX(stable[is_automated],MATCH(VALUE(questions[[#This Row],[qno]]),VALUE(stable[qno]),0))</f>
        <v>0</v>
      </c>
      <c r="N422" s="33" t="b" cm="1">
        <f t="array" ref="N422">INDEX(stable[is_free_text],MATCH(VALUE(questions[[#This Row],[qno]]),VALUE(stable[qno]),0))</f>
        <v>0</v>
      </c>
      <c r="O422" s="33" t="b" cm="1">
        <f t="array" ref="O422">INDEX(stable[is_numerical],MATCH(VALUE(questions[[#This Row],[qno]]),VALUE(stable[qno]),0))</f>
        <v>1</v>
      </c>
      <c r="P422" s="35" t="b" cm="1">
        <f t="array" ref="P422">INDEX(stable[is_single_select],MATCH(VALUE(questions[[#This Row],[qno]]),VALUE(stable[qno]),0))</f>
        <v>0</v>
      </c>
      <c r="Q422" s="33" t="b" cm="1">
        <f t="array" ref="Q422">INDEX(stable[is_multi_select],MATCH(VALUE(questions[[#This Row],[qno]]),VALUE(stable[qno]),0))</f>
        <v>0</v>
      </c>
      <c r="R422" s="33" t="b" cm="1">
        <f t="array" ref="R422">INDEX(stable[is_skip_logic],MATCH(VALUE(questions[[#This Row],[qno]]),VALUE(stable[qno]),0))</f>
        <v>1</v>
      </c>
      <c r="S422" s="33" t="str">
        <f>_xlfn.TEXTJOIN(", ",TRUE,questions[[#This Row],[ans_opt_1]:[ans_opt_14]])</f>
        <v/>
      </c>
      <c r="T422" s="33"/>
      <c r="U422" s="33"/>
      <c r="V422" s="33"/>
      <c r="W422" s="33"/>
      <c r="X422" s="33"/>
      <c r="Y422" s="33"/>
      <c r="Z422" s="33"/>
      <c r="AA422" s="33"/>
      <c r="AB422" s="33"/>
      <c r="AC422" s="33"/>
      <c r="AD422" s="33"/>
      <c r="AE422" s="33"/>
      <c r="AF422" s="33"/>
      <c r="AG422" s="33"/>
      <c r="AH422" s="99" t="b">
        <f>INDEX(stable[q_standard],MATCH(questions[[#This Row],[qno]],stable[qno],0))</f>
        <v>0</v>
      </c>
      <c r="AI422" s="99" t="b">
        <f>INDEX(stable[q_living_income],MATCH(questions[[#This Row],[qno]],stable[qno],0))</f>
        <v>1</v>
      </c>
      <c r="AJ422" s="99" t="b">
        <f>INDEX(stable[q_carbon],MATCH(questions[[#This Row],[qno]],stable[qno],0))</f>
        <v>0</v>
      </c>
      <c r="AK422" s="99" t="b">
        <f>INDEX(stable[q_regen_ag],MATCH(questions[[#This Row],[qno]],stable[qno],0))</f>
        <v>0</v>
      </c>
      <c r="AL422" s="16" t="b">
        <f>COUNTIFS(stable[qno],questions[[#This Row],[qno]])=1</f>
        <v>1</v>
      </c>
      <c r="AM422" s="16" t="b">
        <f>OR(questions[[#This Row],[is_fixed]],questions[[#This Row],[is_localized]],questions[[#This Row],[is_supply_chain_dependent]])</f>
        <v>1</v>
      </c>
      <c r="AN422" s="16" t="b">
        <f>COUNTIFS(questions[[#This Row],[is_automated]:[is_multi_select]],TRUE)=1</f>
        <v>1</v>
      </c>
      <c r="AO422" s="16" t="b">
        <f>IF(questions[[#This Row],[is_fixed]],questions[[#This Row],[question]]=INDEX(stable[question],MATCH(questions[[#This Row],[qno]],stable[qno],0)),TRUE)</f>
        <v>1</v>
      </c>
      <c r="AP422" s="16" t="str">
        <f>LEFT(questions[[#This Row],[question]],similarity_range)</f>
        <v>If yes, how many peo</v>
      </c>
      <c r="AQ422" s="16" t="str">
        <f>LEFT(INDEX(stable[question],MATCH(questions[[#This Row],[qno]],stable[qno],0)),similarity_range)</f>
        <v>If yes, how many peo</v>
      </c>
      <c r="AR422" s="16" t="b">
        <f>questions[[#This Row],[question_first_characters]]=questions[[#This Row],[stability_first_characters]]</f>
        <v>1</v>
      </c>
      <c r="AS422" s="16" t="b">
        <f>IF(OR(questions[[#This Row],[is_single_select]],questions[[#This Row],[is_multi_select]]),NOT(ISBLANK(questions[[#This Row],[answer_opt_combined]])),TRUE)</f>
        <v>1</v>
      </c>
    </row>
    <row r="423" spans="1:45" x14ac:dyDescent="0.25">
      <c r="A423" s="33" t="str">
        <f>_xlfn.TEXTJOIN("_",TRUE,questions[[#This Row],[origin]:[qno]])</f>
        <v>Vietnam_Robusta_Lam_Dong_Nestlé_IMPACT_6007</v>
      </c>
      <c r="B423" s="33" t="s">
        <v>673</v>
      </c>
      <c r="C423" s="33" t="s">
        <v>674</v>
      </c>
      <c r="D423" s="33" t="s">
        <v>675</v>
      </c>
      <c r="E423" s="33"/>
      <c r="F423" s="34" t="s">
        <v>694</v>
      </c>
      <c r="G423" s="18" t="s">
        <v>695</v>
      </c>
      <c r="H423" s="33" t="str" cm="1">
        <f t="array" ref="H423">INDEX(stableR[question],MATCH(VALUE(questions[[#This Row],[qno]]),VALUE(stableR[qno]),0))</f>
        <v>Did you hire any seasonal labourers, for multiple months in a row, last year? (seasonal labourers are those labourers that you hire for multiple months in a row)</v>
      </c>
      <c r="I423" s="33" t="b" cm="1">
        <f t="array" ref="I423">INDEX(stable[is_fixed],MATCH(VALUE(questions[[#This Row],[qno]]),VALUE(stable[qno]),0))</f>
        <v>0</v>
      </c>
      <c r="J423" s="33" t="b" cm="1">
        <f t="array" ref="J423">INDEX(stable[is_localized],MATCH(VALUE(questions[[#This Row],[qno]]),VALUE(stable[qno]),0))</f>
        <v>1</v>
      </c>
      <c r="K423" s="33" t="b" cm="1">
        <f t="array" ref="K423">INDEX(stable[is_supply_chain_dependent],MATCH(VALUE(questions[[#This Row],[qno]]),VALUE(stable[qno]),0))</f>
        <v>0</v>
      </c>
      <c r="L423" s="33" t="b" cm="1">
        <f t="array" ref="L423">INDEX(stable[is_mandatory],MATCH(VALUE(questions[[#This Row],[qno]]),VALUE(stable[qno]),0))</f>
        <v>1</v>
      </c>
      <c r="M423" s="33" t="b" cm="1">
        <f t="array" ref="M423">INDEX(stable[is_automated],MATCH(VALUE(questions[[#This Row],[qno]]),VALUE(stable[qno]),0))</f>
        <v>0</v>
      </c>
      <c r="N423" s="33" t="b" cm="1">
        <f t="array" ref="N423">INDEX(stable[is_free_text],MATCH(VALUE(questions[[#This Row],[qno]]),VALUE(stable[qno]),0))</f>
        <v>0</v>
      </c>
      <c r="O423" s="33" t="b" cm="1">
        <f t="array" ref="O423">INDEX(stable[is_numerical],MATCH(VALUE(questions[[#This Row],[qno]]),VALUE(stable[qno]),0))</f>
        <v>0</v>
      </c>
      <c r="P423" s="35" t="b" cm="1">
        <f t="array" ref="P423">INDEX(stable[is_single_select],MATCH(VALUE(questions[[#This Row],[qno]]),VALUE(stable[qno]),0))</f>
        <v>1</v>
      </c>
      <c r="Q423" s="33" t="b" cm="1">
        <f t="array" ref="Q423">INDEX(stable[is_multi_select],MATCH(VALUE(questions[[#This Row],[qno]]),VALUE(stable[qno]),0))</f>
        <v>0</v>
      </c>
      <c r="R423" s="33" t="b" cm="1">
        <f t="array" ref="R423">INDEX(stable[is_skip_logic],MATCH(VALUE(questions[[#This Row],[qno]]),VALUE(stable[qno]),0))</f>
        <v>1</v>
      </c>
      <c r="S423" s="33" t="str">
        <f>_xlfn.TEXTJOIN(", ",TRUE,questions[[#This Row],[ans_opt_1]:[ans_opt_14]])</f>
        <v/>
      </c>
      <c r="T423" s="33"/>
      <c r="U423" s="33"/>
      <c r="V423" s="33"/>
      <c r="W423" s="33"/>
      <c r="X423" s="33"/>
      <c r="Y423" s="33"/>
      <c r="Z423" s="33"/>
      <c r="AA423" s="33"/>
      <c r="AB423" s="33"/>
      <c r="AC423" s="33"/>
      <c r="AD423" s="33"/>
      <c r="AE423" s="33"/>
      <c r="AF423" s="33"/>
      <c r="AG423" s="33"/>
      <c r="AH423" s="99" t="b">
        <f>INDEX(stable[q_standard],MATCH(questions[[#This Row],[qno]],stable[qno],0))</f>
        <v>0</v>
      </c>
      <c r="AI423" s="99" t="b">
        <f>INDEX(stable[q_living_income],MATCH(questions[[#This Row],[qno]],stable[qno],0))</f>
        <v>1</v>
      </c>
      <c r="AJ423" s="99" t="b">
        <f>INDEX(stable[q_carbon],MATCH(questions[[#This Row],[qno]],stable[qno],0))</f>
        <v>0</v>
      </c>
      <c r="AK423" s="99" t="b">
        <f>INDEX(stable[q_regen_ag],MATCH(questions[[#This Row],[qno]],stable[qno],0))</f>
        <v>0</v>
      </c>
      <c r="AL423" s="16" t="b">
        <f>COUNTIFS(stable[qno],questions[[#This Row],[qno]])=1</f>
        <v>1</v>
      </c>
      <c r="AM423" s="16" t="b">
        <f>OR(questions[[#This Row],[is_fixed]],questions[[#This Row],[is_localized]],questions[[#This Row],[is_supply_chain_dependent]])</f>
        <v>1</v>
      </c>
      <c r="AN423" s="16" t="b">
        <f>COUNTIFS(questions[[#This Row],[is_automated]:[is_multi_select]],TRUE)=1</f>
        <v>1</v>
      </c>
      <c r="AO423" s="16" t="b">
        <f>IF(questions[[#This Row],[is_fixed]],questions[[#This Row],[question]]=INDEX(stable[question],MATCH(questions[[#This Row],[qno]],stable[qno],0)),TRUE)</f>
        <v>1</v>
      </c>
      <c r="AP423" s="16" t="str">
        <f>LEFT(questions[[#This Row],[question]],similarity_range)</f>
        <v>Did you hire any sea</v>
      </c>
      <c r="AQ423" s="16" t="str">
        <f>LEFT(INDEX(stable[question],MATCH(questions[[#This Row],[qno]],stable[qno],0)),similarity_range)</f>
        <v>Did you hire any sea</v>
      </c>
      <c r="AR423" s="16" t="b">
        <f>questions[[#This Row],[question_first_characters]]=questions[[#This Row],[stability_first_characters]]</f>
        <v>1</v>
      </c>
      <c r="AS423" s="16" t="b">
        <f>IF(OR(questions[[#This Row],[is_single_select]],questions[[#This Row],[is_multi_select]]),NOT(ISBLANK(questions[[#This Row],[answer_opt_combined]])),TRUE)</f>
        <v>1</v>
      </c>
    </row>
    <row r="424" spans="1:45" x14ac:dyDescent="0.25">
      <c r="A424" s="33" t="str">
        <f>_xlfn.TEXTJOIN("_",TRUE,questions[[#This Row],[origin]:[qno]])</f>
        <v>Vietnam_Robusta_Lam_Dong_Nestlé_IMPACT_6008</v>
      </c>
      <c r="B424" s="33" t="s">
        <v>673</v>
      </c>
      <c r="C424" s="33" t="s">
        <v>674</v>
      </c>
      <c r="D424" s="33" t="s">
        <v>675</v>
      </c>
      <c r="E424" s="33"/>
      <c r="F424" s="34" t="s">
        <v>696</v>
      </c>
      <c r="G424" s="18" t="s">
        <v>697</v>
      </c>
      <c r="H424" s="33" t="str" cm="1">
        <f t="array" ref="H424">INDEX(stableR[question],MATCH(VALUE(questions[[#This Row],[qno]]),VALUE(stableR[qno]),0))</f>
        <v>How many seasonal labourers did you hire last year?</v>
      </c>
      <c r="I424" s="33" t="b" cm="1">
        <f t="array" ref="I424">INDEX(stable[is_fixed],MATCH(VALUE(questions[[#This Row],[qno]]),VALUE(stable[qno]),0))</f>
        <v>0</v>
      </c>
      <c r="J424" s="33" t="b" cm="1">
        <f t="array" ref="J424">INDEX(stable[is_localized],MATCH(VALUE(questions[[#This Row],[qno]]),VALUE(stable[qno]),0))</f>
        <v>1</v>
      </c>
      <c r="K424" s="33" t="b" cm="1">
        <f t="array" ref="K424">INDEX(stable[is_supply_chain_dependent],MATCH(VALUE(questions[[#This Row],[qno]]),VALUE(stable[qno]),0))</f>
        <v>0</v>
      </c>
      <c r="L424" s="33" t="b" cm="1">
        <f t="array" ref="L424">INDEX(stable[is_mandatory],MATCH(VALUE(questions[[#This Row],[qno]]),VALUE(stable[qno]),0))</f>
        <v>0</v>
      </c>
      <c r="M424" s="33" t="b" cm="1">
        <f t="array" ref="M424">INDEX(stable[is_automated],MATCH(VALUE(questions[[#This Row],[qno]]),VALUE(stable[qno]),0))</f>
        <v>0</v>
      </c>
      <c r="N424" s="33" t="b" cm="1">
        <f t="array" ref="N424">INDEX(stable[is_free_text],MATCH(VALUE(questions[[#This Row],[qno]]),VALUE(stable[qno]),0))</f>
        <v>0</v>
      </c>
      <c r="O424" s="33" t="b" cm="1">
        <f t="array" ref="O424">INDEX(stable[is_numerical],MATCH(VALUE(questions[[#This Row],[qno]]),VALUE(stable[qno]),0))</f>
        <v>1</v>
      </c>
      <c r="P424" s="35" t="b" cm="1">
        <f t="array" ref="P424">INDEX(stable[is_single_select],MATCH(VALUE(questions[[#This Row],[qno]]),VALUE(stable[qno]),0))</f>
        <v>0</v>
      </c>
      <c r="Q424" s="33" t="b" cm="1">
        <f t="array" ref="Q424">INDEX(stable[is_multi_select],MATCH(VALUE(questions[[#This Row],[qno]]),VALUE(stable[qno]),0))</f>
        <v>0</v>
      </c>
      <c r="R424" s="33" t="b" cm="1">
        <f t="array" ref="R424">INDEX(stable[is_skip_logic],MATCH(VALUE(questions[[#This Row],[qno]]),VALUE(stable[qno]),0))</f>
        <v>1</v>
      </c>
      <c r="S424" s="33" t="str">
        <f>_xlfn.TEXTJOIN(", ",TRUE,questions[[#This Row],[ans_opt_1]:[ans_opt_14]])</f>
        <v/>
      </c>
      <c r="T424" s="33"/>
      <c r="U424" s="33"/>
      <c r="V424" s="33"/>
      <c r="W424" s="33"/>
      <c r="X424" s="33"/>
      <c r="Y424" s="33"/>
      <c r="Z424" s="33"/>
      <c r="AA424" s="33"/>
      <c r="AB424" s="33"/>
      <c r="AC424" s="33"/>
      <c r="AD424" s="33"/>
      <c r="AE424" s="33"/>
      <c r="AF424" s="33"/>
      <c r="AG424" s="33"/>
      <c r="AH424" s="99" t="b">
        <f>INDEX(stable[q_standard],MATCH(questions[[#This Row],[qno]],stable[qno],0))</f>
        <v>0</v>
      </c>
      <c r="AI424" s="99" t="b">
        <f>INDEX(stable[q_living_income],MATCH(questions[[#This Row],[qno]],stable[qno],0))</f>
        <v>1</v>
      </c>
      <c r="AJ424" s="99" t="b">
        <f>INDEX(stable[q_carbon],MATCH(questions[[#This Row],[qno]],stable[qno],0))</f>
        <v>0</v>
      </c>
      <c r="AK424" s="99" t="b">
        <f>INDEX(stable[q_regen_ag],MATCH(questions[[#This Row],[qno]],stable[qno],0))</f>
        <v>0</v>
      </c>
      <c r="AL424" s="16" t="b">
        <f>COUNTIFS(stable[qno],questions[[#This Row],[qno]])=1</f>
        <v>1</v>
      </c>
      <c r="AM424" s="16" t="b">
        <f>OR(questions[[#This Row],[is_fixed]],questions[[#This Row],[is_localized]],questions[[#This Row],[is_supply_chain_dependent]])</f>
        <v>1</v>
      </c>
      <c r="AN424" s="16" t="b">
        <f>COUNTIFS(questions[[#This Row],[is_automated]:[is_multi_select]],TRUE)=1</f>
        <v>1</v>
      </c>
      <c r="AO424" s="16" t="b">
        <f>IF(questions[[#This Row],[is_fixed]],questions[[#This Row],[question]]=INDEX(stable[question],MATCH(questions[[#This Row],[qno]],stable[qno],0)),TRUE)</f>
        <v>1</v>
      </c>
      <c r="AP424" s="16" t="str">
        <f>LEFT(questions[[#This Row],[question]],similarity_range)</f>
        <v>If yes, how many sea</v>
      </c>
      <c r="AQ424" s="16" t="str">
        <f>LEFT(INDEX(stable[question],MATCH(questions[[#This Row],[qno]],stable[qno],0)),similarity_range)</f>
        <v>If yes, how many sea</v>
      </c>
      <c r="AR424" s="16" t="b">
        <f>questions[[#This Row],[question_first_characters]]=questions[[#This Row],[stability_first_characters]]</f>
        <v>1</v>
      </c>
      <c r="AS424" s="16" t="b">
        <f>IF(OR(questions[[#This Row],[is_single_select]],questions[[#This Row],[is_multi_select]]),NOT(ISBLANK(questions[[#This Row],[answer_opt_combined]])),TRUE)</f>
        <v>1</v>
      </c>
    </row>
    <row r="425" spans="1:45" x14ac:dyDescent="0.25">
      <c r="A425" s="33" t="str">
        <f>_xlfn.TEXTJOIN("_",TRUE,questions[[#This Row],[origin]:[qno]])</f>
        <v>Vietnam_Robusta_Lam_Dong_Nestlé_IMPACT_6009</v>
      </c>
      <c r="B425" s="33" t="s">
        <v>673</v>
      </c>
      <c r="C425" s="33" t="s">
        <v>674</v>
      </c>
      <c r="D425" s="33" t="s">
        <v>675</v>
      </c>
      <c r="E425" s="33"/>
      <c r="F425" s="34" t="s">
        <v>698</v>
      </c>
      <c r="G425" s="18" t="s">
        <v>699</v>
      </c>
      <c r="H425" s="33" t="str" cm="1">
        <f t="array" ref="H425">INDEX(stableR[question],MATCH(VALUE(questions[[#This Row],[qno]]),VALUE(stableR[qno]),0))</f>
        <v>How many months in total did you hire these seasonal labourers last year? (calculate the average number of months days if you hired more than one seasonal labourer, but if this was not for the same number of months)</v>
      </c>
      <c r="I425" s="33" t="b" cm="1">
        <f t="array" ref="I425">INDEX(stable[is_fixed],MATCH(VALUE(questions[[#This Row],[qno]]),VALUE(stable[qno]),0))</f>
        <v>0</v>
      </c>
      <c r="J425" s="33" t="b" cm="1">
        <f t="array" ref="J425">INDEX(stable[is_localized],MATCH(VALUE(questions[[#This Row],[qno]]),VALUE(stable[qno]),0))</f>
        <v>1</v>
      </c>
      <c r="K425" s="33" t="b" cm="1">
        <f t="array" ref="K425">INDEX(stable[is_supply_chain_dependent],MATCH(VALUE(questions[[#This Row],[qno]]),VALUE(stable[qno]),0))</f>
        <v>0</v>
      </c>
      <c r="L425" s="33" t="b" cm="1">
        <f t="array" ref="L425">INDEX(stable[is_mandatory],MATCH(VALUE(questions[[#This Row],[qno]]),VALUE(stable[qno]),0))</f>
        <v>0</v>
      </c>
      <c r="M425" s="33" t="b" cm="1">
        <f t="array" ref="M425">INDEX(stable[is_automated],MATCH(VALUE(questions[[#This Row],[qno]]),VALUE(stable[qno]),0))</f>
        <v>0</v>
      </c>
      <c r="N425" s="33" t="b" cm="1">
        <f t="array" ref="N425">INDEX(stable[is_free_text],MATCH(VALUE(questions[[#This Row],[qno]]),VALUE(stable[qno]),0))</f>
        <v>0</v>
      </c>
      <c r="O425" s="33" t="b" cm="1">
        <f t="array" ref="O425">INDEX(stable[is_numerical],MATCH(VALUE(questions[[#This Row],[qno]]),VALUE(stable[qno]),0))</f>
        <v>1</v>
      </c>
      <c r="P425" s="35" t="b" cm="1">
        <f t="array" ref="P425">INDEX(stable[is_single_select],MATCH(VALUE(questions[[#This Row],[qno]]),VALUE(stable[qno]),0))</f>
        <v>0</v>
      </c>
      <c r="Q425" s="33" t="b" cm="1">
        <f t="array" ref="Q425">INDEX(stable[is_multi_select],MATCH(VALUE(questions[[#This Row],[qno]]),VALUE(stable[qno]),0))</f>
        <v>0</v>
      </c>
      <c r="R425" s="33" t="b" cm="1">
        <f t="array" ref="R425">INDEX(stable[is_skip_logic],MATCH(VALUE(questions[[#This Row],[qno]]),VALUE(stable[qno]),0))</f>
        <v>1</v>
      </c>
      <c r="S425" s="33" t="str">
        <f>_xlfn.TEXTJOIN(", ",TRUE,questions[[#This Row],[ans_opt_1]:[ans_opt_14]])</f>
        <v/>
      </c>
      <c r="T425" s="33"/>
      <c r="U425" s="33"/>
      <c r="V425" s="33"/>
      <c r="W425" s="33"/>
      <c r="X425" s="33"/>
      <c r="Y425" s="33"/>
      <c r="Z425" s="33"/>
      <c r="AA425" s="33"/>
      <c r="AB425" s="33"/>
      <c r="AC425" s="33"/>
      <c r="AD425" s="33"/>
      <c r="AE425" s="33"/>
      <c r="AF425" s="33"/>
      <c r="AG425" s="33"/>
      <c r="AH425" s="99" t="b">
        <f>INDEX(stable[q_standard],MATCH(questions[[#This Row],[qno]],stable[qno],0))</f>
        <v>0</v>
      </c>
      <c r="AI425" s="99" t="b">
        <f>INDEX(stable[q_living_income],MATCH(questions[[#This Row],[qno]],stable[qno],0))</f>
        <v>1</v>
      </c>
      <c r="AJ425" s="99" t="b">
        <f>INDEX(stable[q_carbon],MATCH(questions[[#This Row],[qno]],stable[qno],0))</f>
        <v>0</v>
      </c>
      <c r="AK425" s="99" t="b">
        <f>INDEX(stable[q_regen_ag],MATCH(questions[[#This Row],[qno]],stable[qno],0))</f>
        <v>0</v>
      </c>
      <c r="AL425" s="16" t="b">
        <f>COUNTIFS(stable[qno],questions[[#This Row],[qno]])=1</f>
        <v>1</v>
      </c>
      <c r="AM425" s="16" t="b">
        <f>OR(questions[[#This Row],[is_fixed]],questions[[#This Row],[is_localized]],questions[[#This Row],[is_supply_chain_dependent]])</f>
        <v>1</v>
      </c>
      <c r="AN425" s="16" t="b">
        <f>COUNTIFS(questions[[#This Row],[is_automated]:[is_multi_select]],TRUE)=1</f>
        <v>1</v>
      </c>
      <c r="AO425" s="16" t="b">
        <f>IF(questions[[#This Row],[is_fixed]],questions[[#This Row],[question]]=INDEX(stable[question],MATCH(questions[[#This Row],[qno]],stable[qno],0)),TRUE)</f>
        <v>1</v>
      </c>
      <c r="AP425" s="16" t="str">
        <f>LEFT(questions[[#This Row],[question]],similarity_range)</f>
        <v>If yes, how many mon</v>
      </c>
      <c r="AQ425" s="16" t="str">
        <f>LEFT(INDEX(stable[question],MATCH(questions[[#This Row],[qno]],stable[qno],0)),similarity_range)</f>
        <v>If yes, how many mon</v>
      </c>
      <c r="AR425" s="16" t="b">
        <f>questions[[#This Row],[question_first_characters]]=questions[[#This Row],[stability_first_characters]]</f>
        <v>1</v>
      </c>
      <c r="AS425" s="16" t="b">
        <f>IF(OR(questions[[#This Row],[is_single_select]],questions[[#This Row],[is_multi_select]]),NOT(ISBLANK(questions[[#This Row],[answer_opt_combined]])),TRUE)</f>
        <v>1</v>
      </c>
    </row>
    <row r="426" spans="1:45" x14ac:dyDescent="0.25">
      <c r="A426" s="33" t="str">
        <f>_xlfn.TEXTJOIN("_",TRUE,questions[[#This Row],[origin]:[qno]])</f>
        <v>Vietnam_Robusta_Lam_Dong_Nestlé_IMPACT_6030</v>
      </c>
      <c r="B426" s="33" t="s">
        <v>673</v>
      </c>
      <c r="C426" s="33" t="s">
        <v>674</v>
      </c>
      <c r="D426" s="33" t="s">
        <v>675</v>
      </c>
      <c r="E426" s="33"/>
      <c r="F426" s="34" t="s">
        <v>242</v>
      </c>
      <c r="G426" s="18" t="s">
        <v>700</v>
      </c>
      <c r="H426" s="33" t="str" cm="1">
        <f t="array" ref="H426">INDEX(stableR[question],MATCH(VALUE(questions[[#This Row],[qno]]),VALUE(stableR[qno]),0))</f>
        <v>Did you hire any people to work on your coffee plots  for seasonal activities during last year?</v>
      </c>
      <c r="I426" s="33" t="b" cm="1">
        <f t="array" ref="I426">INDEX(stable[is_fixed],MATCH(VALUE(questions[[#This Row],[qno]]),VALUE(stable[qno]),0))</f>
        <v>0</v>
      </c>
      <c r="J426" s="33" t="b" cm="1">
        <f t="array" ref="J426">INDEX(stable[is_localized],MATCH(VALUE(questions[[#This Row],[qno]]),VALUE(stable[qno]),0))</f>
        <v>1</v>
      </c>
      <c r="K426" s="33" t="b" cm="1">
        <f t="array" ref="K426">INDEX(stable[is_supply_chain_dependent],MATCH(VALUE(questions[[#This Row],[qno]]),VALUE(stable[qno]),0))</f>
        <v>0</v>
      </c>
      <c r="L426" s="33" t="b" cm="1">
        <f t="array" ref="L426">INDEX(stable[is_mandatory],MATCH(VALUE(questions[[#This Row],[qno]]),VALUE(stable[qno]),0))</f>
        <v>1</v>
      </c>
      <c r="M426" s="33" t="b" cm="1">
        <f t="array" ref="M426">INDEX(stable[is_automated],MATCH(VALUE(questions[[#This Row],[qno]]),VALUE(stable[qno]),0))</f>
        <v>0</v>
      </c>
      <c r="N426" s="33" t="b" cm="1">
        <f t="array" ref="N426">INDEX(stable[is_free_text],MATCH(VALUE(questions[[#This Row],[qno]]),VALUE(stable[qno]),0))</f>
        <v>0</v>
      </c>
      <c r="O426" s="33" t="b" cm="1">
        <f t="array" ref="O426">INDEX(stable[is_numerical],MATCH(VALUE(questions[[#This Row],[qno]]),VALUE(stable[qno]),0))</f>
        <v>0</v>
      </c>
      <c r="P426" s="35" t="b" cm="1">
        <f t="array" ref="P426">INDEX(stable[is_single_select],MATCH(VALUE(questions[[#This Row],[qno]]),VALUE(stable[qno]),0))</f>
        <v>1</v>
      </c>
      <c r="Q426" s="33" t="b" cm="1">
        <f t="array" ref="Q426">INDEX(stable[is_multi_select],MATCH(VALUE(questions[[#This Row],[qno]]),VALUE(stable[qno]),0))</f>
        <v>0</v>
      </c>
      <c r="R426" s="33" t="b" cm="1">
        <f t="array" ref="R426">INDEX(stable[is_skip_logic],MATCH(VALUE(questions[[#This Row],[qno]]),VALUE(stable[qno]),0))</f>
        <v>1</v>
      </c>
      <c r="S426" s="33" t="str">
        <f>_xlfn.TEXTJOIN(", ",TRUE,questions[[#This Row],[ans_opt_1]:[ans_opt_14]])</f>
        <v/>
      </c>
      <c r="T426" s="33"/>
      <c r="U426" s="33"/>
      <c r="V426" s="33"/>
      <c r="W426" s="33"/>
      <c r="X426" s="33"/>
      <c r="Y426" s="33"/>
      <c r="Z426" s="33"/>
      <c r="AA426" s="33"/>
      <c r="AB426" s="33"/>
      <c r="AC426" s="33"/>
      <c r="AD426" s="33"/>
      <c r="AE426" s="33"/>
      <c r="AF426" s="33"/>
      <c r="AG426" s="33"/>
      <c r="AH426" s="99" t="b">
        <f>INDEX(stable[q_standard],MATCH(questions[[#This Row],[qno]],stable[qno],0))</f>
        <v>0</v>
      </c>
      <c r="AI426" s="99" t="b">
        <f>INDEX(stable[q_living_income],MATCH(questions[[#This Row],[qno]],stable[qno],0))</f>
        <v>1</v>
      </c>
      <c r="AJ426" s="99" t="b">
        <f>INDEX(stable[q_carbon],MATCH(questions[[#This Row],[qno]],stable[qno],0))</f>
        <v>0</v>
      </c>
      <c r="AK426" s="99" t="b">
        <f>INDEX(stable[q_regen_ag],MATCH(questions[[#This Row],[qno]],stable[qno],0))</f>
        <v>0</v>
      </c>
      <c r="AL426" s="16" t="b">
        <f>COUNTIFS(stable[qno],questions[[#This Row],[qno]])=1</f>
        <v>1</v>
      </c>
      <c r="AM426" s="16" t="b">
        <f>OR(questions[[#This Row],[is_fixed]],questions[[#This Row],[is_localized]],questions[[#This Row],[is_supply_chain_dependent]])</f>
        <v>1</v>
      </c>
      <c r="AN426" s="16" t="b">
        <f>COUNTIFS(questions[[#This Row],[is_automated]:[is_multi_select]],TRUE)=1</f>
        <v>1</v>
      </c>
      <c r="AO426" s="16" t="b">
        <f>IF(questions[[#This Row],[is_fixed]],questions[[#This Row],[question]]=INDEX(stable[question],MATCH(questions[[#This Row],[qno]],stable[qno],0)),TRUE)</f>
        <v>1</v>
      </c>
      <c r="AP426" s="16" t="str">
        <f>LEFT(questions[[#This Row],[question]],similarity_range)</f>
        <v>Did you hire any peo</v>
      </c>
      <c r="AQ426" s="16" t="str">
        <f>LEFT(INDEX(stable[question],MATCH(questions[[#This Row],[qno]],stable[qno],0)),similarity_range)</f>
        <v>Did you hire any peo</v>
      </c>
      <c r="AR426" s="16" t="b">
        <f>questions[[#This Row],[question_first_characters]]=questions[[#This Row],[stability_first_characters]]</f>
        <v>1</v>
      </c>
      <c r="AS426" s="16" t="b">
        <f>IF(OR(questions[[#This Row],[is_single_select]],questions[[#This Row],[is_multi_select]]),NOT(ISBLANK(questions[[#This Row],[answer_opt_combined]])),TRUE)</f>
        <v>1</v>
      </c>
    </row>
    <row r="427" spans="1:45" s="77" customFormat="1" x14ac:dyDescent="0.25">
      <c r="A427" s="77" t="str">
        <f>_xlfn.TEXTJOIN("_",TRUE,questions[[#This Row],[origin]:[qno]])</f>
        <v>Vietnam_Robusta_Lam_Dong_Nestlé_IMPACT_6031</v>
      </c>
      <c r="B427" s="77" t="s">
        <v>673</v>
      </c>
      <c r="C427" s="77" t="s">
        <v>674</v>
      </c>
      <c r="D427" s="77" t="s">
        <v>675</v>
      </c>
      <c r="F427" s="104" t="s">
        <v>244</v>
      </c>
      <c r="G427" s="78" t="s">
        <v>701</v>
      </c>
      <c r="H427" s="33" t="str" cm="1">
        <f t="array" ref="H427">INDEX(stableR[question],MATCH(VALUE(questions[[#This Row],[qno]]),VALUE(stableR[qno]),0))</f>
        <v>What were the activities that you hired people for during last year?</v>
      </c>
      <c r="I427" s="33" t="b" cm="1">
        <f t="array" ref="I427">INDEX(stable[is_fixed],MATCH(VALUE(questions[[#This Row],[qno]]),VALUE(stable[qno]),0))</f>
        <v>0</v>
      </c>
      <c r="J427" s="33" t="b" cm="1">
        <f t="array" ref="J427">INDEX(stable[is_localized],MATCH(VALUE(questions[[#This Row],[qno]]),VALUE(stable[qno]),0))</f>
        <v>1</v>
      </c>
      <c r="K427" s="33" t="b" cm="1">
        <f t="array" ref="K427">INDEX(stable[is_supply_chain_dependent],MATCH(VALUE(questions[[#This Row],[qno]]),VALUE(stable[qno]),0))</f>
        <v>0</v>
      </c>
      <c r="L427" s="33" t="b" cm="1">
        <f t="array" ref="L427">INDEX(stable[is_mandatory],MATCH(VALUE(questions[[#This Row],[qno]]),VALUE(stable[qno]),0))</f>
        <v>0</v>
      </c>
      <c r="M427" s="33" t="b" cm="1">
        <f t="array" ref="M427">INDEX(stable[is_automated],MATCH(VALUE(questions[[#This Row],[qno]]),VALUE(stable[qno]),0))</f>
        <v>0</v>
      </c>
      <c r="N427" s="33" t="b" cm="1">
        <f t="array" ref="N427">INDEX(stable[is_free_text],MATCH(VALUE(questions[[#This Row],[qno]]),VALUE(stable[qno]),0))</f>
        <v>0</v>
      </c>
      <c r="O427" s="33" t="b" cm="1">
        <f t="array" ref="O427">INDEX(stable[is_numerical],MATCH(VALUE(questions[[#This Row],[qno]]),VALUE(stable[qno]),0))</f>
        <v>0</v>
      </c>
      <c r="P427" s="103" t="b" cm="1">
        <f t="array" ref="P427">INDEX(stable[is_single_select],MATCH(VALUE(questions[[#This Row],[qno]]),VALUE(stable[qno]),0))</f>
        <v>0</v>
      </c>
      <c r="Q427" s="77" t="b" cm="1">
        <f t="array" ref="Q427">INDEX(stable[is_multi_select],MATCH(VALUE(questions[[#This Row],[qno]]),VALUE(stable[qno]),0))</f>
        <v>1</v>
      </c>
      <c r="R427" s="77" t="b" cm="1">
        <f t="array" ref="R427">INDEX(stable[is_skip_logic],MATCH(VALUE(questions[[#This Row],[qno]]),VALUE(stable[qno]),0))</f>
        <v>1</v>
      </c>
      <c r="S427" s="77" t="str">
        <f>_xlfn.TEXTJOIN(", ",TRUE,questions[[#This Row],[ans_opt_1]:[ans_opt_14]])</f>
        <v>Harvesting, Pruning, Weeding, Spraying, Planting new trees, Other, NA</v>
      </c>
      <c r="T427" s="77" t="s">
        <v>246</v>
      </c>
      <c r="U427" s="77" t="s">
        <v>247</v>
      </c>
      <c r="V427" s="77" t="s">
        <v>248</v>
      </c>
      <c r="W427" s="77" t="s">
        <v>249</v>
      </c>
      <c r="X427" s="77" t="s">
        <v>250</v>
      </c>
      <c r="Y427" s="77" t="s">
        <v>112</v>
      </c>
      <c r="Z427" s="77" t="s">
        <v>251</v>
      </c>
      <c r="AH427" s="98" t="b">
        <f>INDEX(stable[q_standard],MATCH(questions[[#This Row],[qno]],stable[qno],0))</f>
        <v>0</v>
      </c>
      <c r="AI427" s="98" t="b">
        <f>INDEX(stable[q_living_income],MATCH(questions[[#This Row],[qno]],stable[qno],0))</f>
        <v>1</v>
      </c>
      <c r="AJ427" s="98" t="b">
        <f>INDEX(stable[q_carbon],MATCH(questions[[#This Row],[qno]],stable[qno],0))</f>
        <v>0</v>
      </c>
      <c r="AK427" s="98" t="b">
        <f>INDEX(stable[q_regen_ag],MATCH(questions[[#This Row],[qno]],stable[qno],0))</f>
        <v>0</v>
      </c>
      <c r="AL427" s="98" t="b">
        <f>COUNTIFS(stable[qno],questions[[#This Row],[qno]])=1</f>
        <v>1</v>
      </c>
      <c r="AM427" s="98" t="b">
        <f>OR(questions[[#This Row],[is_fixed]],questions[[#This Row],[is_localized]],questions[[#This Row],[is_supply_chain_dependent]])</f>
        <v>1</v>
      </c>
      <c r="AN427" s="98" t="b">
        <f>COUNTIFS(questions[[#This Row],[is_automated]:[is_multi_select]],TRUE)=1</f>
        <v>1</v>
      </c>
      <c r="AO427" s="98" t="b">
        <f>IF(questions[[#This Row],[is_fixed]],questions[[#This Row],[question]]=INDEX(stable[question],MATCH(questions[[#This Row],[qno]],stable[qno],0)),TRUE)</f>
        <v>1</v>
      </c>
      <c r="AP427" s="98" t="str">
        <f>LEFT(questions[[#This Row],[question]],similarity_range)</f>
        <v>If yes, what was the</v>
      </c>
      <c r="AQ427" s="98" t="str">
        <f>LEFT(INDEX(stable[question],MATCH(questions[[#This Row],[qno]],stable[qno],0)),similarity_range)</f>
        <v>If yes, what were th</v>
      </c>
      <c r="AR427" s="98" t="b">
        <f>questions[[#This Row],[question_first_characters]]=questions[[#This Row],[stability_first_characters]]</f>
        <v>0</v>
      </c>
      <c r="AS427" s="98" t="b">
        <f>IF(OR(questions[[#This Row],[is_single_select]],questions[[#This Row],[is_multi_select]]),NOT(ISBLANK(questions[[#This Row],[answer_opt_combined]])),TRUE)</f>
        <v>1</v>
      </c>
    </row>
    <row r="428" spans="1:45" x14ac:dyDescent="0.25">
      <c r="A428" s="33" t="str">
        <f>_xlfn.TEXTJOIN("_",TRUE,questions[[#This Row],[origin]:[qno]])</f>
        <v>Vietnam_Robusta_Lam_Dong_Nestlé_IMPACT_6032</v>
      </c>
      <c r="B428" s="33" t="s">
        <v>673</v>
      </c>
      <c r="C428" s="33" t="s">
        <v>674</v>
      </c>
      <c r="D428" s="33" t="s">
        <v>675</v>
      </c>
      <c r="E428" s="33"/>
      <c r="F428" s="34" t="s">
        <v>252</v>
      </c>
      <c r="G428" s="18" t="s">
        <v>702</v>
      </c>
      <c r="H428" s="33" t="str" cm="1">
        <f t="array" ref="H428">INDEX(stableR[question],MATCH(VALUE(questions[[#This Row],[qno]]),VALUE(stableR[qno]),0))</f>
        <v>How many days in total did you hire people for these activities, during last year?</v>
      </c>
      <c r="I428" s="33" t="b" cm="1">
        <f t="array" ref="I428">INDEX(stable[is_fixed],MATCH(VALUE(questions[[#This Row],[qno]]),VALUE(stable[qno]),0))</f>
        <v>0</v>
      </c>
      <c r="J428" s="33" t="b" cm="1">
        <f t="array" ref="J428">INDEX(stable[is_localized],MATCH(VALUE(questions[[#This Row],[qno]]),VALUE(stable[qno]),0))</f>
        <v>1</v>
      </c>
      <c r="K428" s="33" t="b" cm="1">
        <f t="array" ref="K428">INDEX(stable[is_supply_chain_dependent],MATCH(VALUE(questions[[#This Row],[qno]]),VALUE(stable[qno]),0))</f>
        <v>0</v>
      </c>
      <c r="L428" s="33" t="b" cm="1">
        <f t="array" ref="L428">INDEX(stable[is_mandatory],MATCH(VALUE(questions[[#This Row],[qno]]),VALUE(stable[qno]),0))</f>
        <v>0</v>
      </c>
      <c r="M428" s="33" t="b" cm="1">
        <f t="array" ref="M428">INDEX(stable[is_automated],MATCH(VALUE(questions[[#This Row],[qno]]),VALUE(stable[qno]),0))</f>
        <v>0</v>
      </c>
      <c r="N428" s="33" t="b" cm="1">
        <f t="array" ref="N428">INDEX(stable[is_free_text],MATCH(VALUE(questions[[#This Row],[qno]]),VALUE(stable[qno]),0))</f>
        <v>0</v>
      </c>
      <c r="O428" s="33" t="b" cm="1">
        <f t="array" ref="O428">INDEX(stable[is_numerical],MATCH(VALUE(questions[[#This Row],[qno]]),VALUE(stable[qno]),0))</f>
        <v>1</v>
      </c>
      <c r="P428" s="35" t="b" cm="1">
        <f t="array" ref="P428">INDEX(stable[is_single_select],MATCH(VALUE(questions[[#This Row],[qno]]),VALUE(stable[qno]),0))</f>
        <v>0</v>
      </c>
      <c r="Q428" s="33" t="b" cm="1">
        <f t="array" ref="Q428">INDEX(stable[is_multi_select],MATCH(VALUE(questions[[#This Row],[qno]]),VALUE(stable[qno]),0))</f>
        <v>0</v>
      </c>
      <c r="R428" s="33" t="b" cm="1">
        <f t="array" ref="R428">INDEX(stable[is_skip_logic],MATCH(VALUE(questions[[#This Row],[qno]]),VALUE(stable[qno]),0))</f>
        <v>1</v>
      </c>
      <c r="S428" s="33" t="str">
        <f>_xlfn.TEXTJOIN(", ",TRUE,questions[[#This Row],[ans_opt_1]:[ans_opt_14]])</f>
        <v/>
      </c>
      <c r="T428" s="33"/>
      <c r="U428" s="33"/>
      <c r="V428" s="33"/>
      <c r="W428" s="33"/>
      <c r="X428" s="33"/>
      <c r="Y428" s="33"/>
      <c r="Z428" s="33"/>
      <c r="AA428" s="33"/>
      <c r="AB428" s="33"/>
      <c r="AC428" s="33"/>
      <c r="AD428" s="33"/>
      <c r="AE428" s="33"/>
      <c r="AF428" s="33"/>
      <c r="AG428" s="33"/>
      <c r="AH428" s="99" t="b">
        <f>INDEX(stable[q_standard],MATCH(questions[[#This Row],[qno]],stable[qno],0))</f>
        <v>0</v>
      </c>
      <c r="AI428" s="99" t="b">
        <f>INDEX(stable[q_living_income],MATCH(questions[[#This Row],[qno]],stable[qno],0))</f>
        <v>1</v>
      </c>
      <c r="AJ428" s="99" t="b">
        <f>INDEX(stable[q_carbon],MATCH(questions[[#This Row],[qno]],stable[qno],0))</f>
        <v>0</v>
      </c>
      <c r="AK428" s="99" t="b">
        <f>INDEX(stable[q_regen_ag],MATCH(questions[[#This Row],[qno]],stable[qno],0))</f>
        <v>0</v>
      </c>
      <c r="AL428" s="16" t="b">
        <f>COUNTIFS(stable[qno],questions[[#This Row],[qno]])=1</f>
        <v>1</v>
      </c>
      <c r="AM428" s="16" t="b">
        <f>OR(questions[[#This Row],[is_fixed]],questions[[#This Row],[is_localized]],questions[[#This Row],[is_supply_chain_dependent]])</f>
        <v>1</v>
      </c>
      <c r="AN428" s="16" t="b">
        <f>COUNTIFS(questions[[#This Row],[is_automated]:[is_multi_select]],TRUE)=1</f>
        <v>1</v>
      </c>
      <c r="AO428" s="16" t="b">
        <f>IF(questions[[#This Row],[is_fixed]],questions[[#This Row],[question]]=INDEX(stable[question],MATCH(questions[[#This Row],[qno]],stable[qno],0)),TRUE)</f>
        <v>1</v>
      </c>
      <c r="AP428" s="16" t="str">
        <f>LEFT(questions[[#This Row],[question]],similarity_range)</f>
        <v>If yes, how many day</v>
      </c>
      <c r="AQ428" s="16" t="str">
        <f>LEFT(INDEX(stable[question],MATCH(questions[[#This Row],[qno]],stable[qno],0)),similarity_range)</f>
        <v>If yes, how many day</v>
      </c>
      <c r="AR428" s="16" t="b">
        <f>questions[[#This Row],[question_first_characters]]=questions[[#This Row],[stability_first_characters]]</f>
        <v>1</v>
      </c>
      <c r="AS428" s="16" t="b">
        <f>IF(OR(questions[[#This Row],[is_single_select]],questions[[#This Row],[is_multi_select]]),NOT(ISBLANK(questions[[#This Row],[answer_opt_combined]])),TRUE)</f>
        <v>1</v>
      </c>
    </row>
    <row r="429" spans="1:45" x14ac:dyDescent="0.25">
      <c r="A429" s="33" t="str">
        <f>_xlfn.TEXTJOIN("_",TRUE,questions[[#This Row],[origin]:[qno]])</f>
        <v>Vietnam_Robusta_Lam_Dong_Nestlé_IMPACT_6033</v>
      </c>
      <c r="B429" s="33" t="s">
        <v>673</v>
      </c>
      <c r="C429" s="33" t="s">
        <v>674</v>
      </c>
      <c r="D429" s="33" t="s">
        <v>675</v>
      </c>
      <c r="E429" s="33"/>
      <c r="F429" s="34" t="s">
        <v>254</v>
      </c>
      <c r="G429" s="18" t="s">
        <v>703</v>
      </c>
      <c r="H429" s="33" t="str" cm="1">
        <f t="array" ref="H429">INDEX(stableR[question],MATCH(VALUE(questions[[#This Row],[qno]]),VALUE(stableR[qno]),0))</f>
        <v>How many people did you typically hire per day for these activities during last year?</v>
      </c>
      <c r="I429" s="33" t="b" cm="1">
        <f t="array" ref="I429">INDEX(stable[is_fixed],MATCH(VALUE(questions[[#This Row],[qno]]),VALUE(stable[qno]),0))</f>
        <v>0</v>
      </c>
      <c r="J429" s="33" t="b" cm="1">
        <f t="array" ref="J429">INDEX(stable[is_localized],MATCH(VALUE(questions[[#This Row],[qno]]),VALUE(stable[qno]),0))</f>
        <v>1</v>
      </c>
      <c r="K429" s="33" t="b" cm="1">
        <f t="array" ref="K429">INDEX(stable[is_supply_chain_dependent],MATCH(VALUE(questions[[#This Row],[qno]]),VALUE(stable[qno]),0))</f>
        <v>0</v>
      </c>
      <c r="L429" s="33" t="b" cm="1">
        <f t="array" ref="L429">INDEX(stable[is_mandatory],MATCH(VALUE(questions[[#This Row],[qno]]),VALUE(stable[qno]),0))</f>
        <v>0</v>
      </c>
      <c r="M429" s="33" t="b" cm="1">
        <f t="array" ref="M429">INDEX(stable[is_automated],MATCH(VALUE(questions[[#This Row],[qno]]),VALUE(stable[qno]),0))</f>
        <v>0</v>
      </c>
      <c r="N429" s="33" t="b" cm="1">
        <f t="array" ref="N429">INDEX(stable[is_free_text],MATCH(VALUE(questions[[#This Row],[qno]]),VALUE(stable[qno]),0))</f>
        <v>0</v>
      </c>
      <c r="O429" s="33" t="b" cm="1">
        <f t="array" ref="O429">INDEX(stable[is_numerical],MATCH(VALUE(questions[[#This Row],[qno]]),VALUE(stable[qno]),0))</f>
        <v>1</v>
      </c>
      <c r="P429" s="35" t="b" cm="1">
        <f t="array" ref="P429">INDEX(stable[is_single_select],MATCH(VALUE(questions[[#This Row],[qno]]),VALUE(stable[qno]),0))</f>
        <v>0</v>
      </c>
      <c r="Q429" s="33" t="b" cm="1">
        <f t="array" ref="Q429">INDEX(stable[is_multi_select],MATCH(VALUE(questions[[#This Row],[qno]]),VALUE(stable[qno]),0))</f>
        <v>0</v>
      </c>
      <c r="R429" s="33" t="b" cm="1">
        <f t="array" ref="R429">INDEX(stable[is_skip_logic],MATCH(VALUE(questions[[#This Row],[qno]]),VALUE(stable[qno]),0))</f>
        <v>1</v>
      </c>
      <c r="S429" s="33" t="str">
        <f>_xlfn.TEXTJOIN(", ",TRUE,questions[[#This Row],[ans_opt_1]:[ans_opt_14]])</f>
        <v/>
      </c>
      <c r="T429" s="33"/>
      <c r="U429" s="33"/>
      <c r="V429" s="33"/>
      <c r="W429" s="33"/>
      <c r="X429" s="33"/>
      <c r="Y429" s="33"/>
      <c r="Z429" s="33"/>
      <c r="AA429" s="33"/>
      <c r="AB429" s="33"/>
      <c r="AC429" s="33"/>
      <c r="AD429" s="33"/>
      <c r="AE429" s="33"/>
      <c r="AF429" s="33"/>
      <c r="AG429" s="33"/>
      <c r="AH429" s="99" t="b">
        <f>INDEX(stable[q_standard],MATCH(questions[[#This Row],[qno]],stable[qno],0))</f>
        <v>0</v>
      </c>
      <c r="AI429" s="99" t="b">
        <f>INDEX(stable[q_living_income],MATCH(questions[[#This Row],[qno]],stable[qno],0))</f>
        <v>1</v>
      </c>
      <c r="AJ429" s="99" t="b">
        <f>INDEX(stable[q_carbon],MATCH(questions[[#This Row],[qno]],stable[qno],0))</f>
        <v>0</v>
      </c>
      <c r="AK429" s="99" t="b">
        <f>INDEX(stable[q_regen_ag],MATCH(questions[[#This Row],[qno]],stable[qno],0))</f>
        <v>0</v>
      </c>
      <c r="AL429" s="16" t="b">
        <f>COUNTIFS(stable[qno],questions[[#This Row],[qno]])=1</f>
        <v>1</v>
      </c>
      <c r="AM429" s="16" t="b">
        <f>OR(questions[[#This Row],[is_fixed]],questions[[#This Row],[is_localized]],questions[[#This Row],[is_supply_chain_dependent]])</f>
        <v>1</v>
      </c>
      <c r="AN429" s="16" t="b">
        <f>COUNTIFS(questions[[#This Row],[is_automated]:[is_multi_select]],TRUE)=1</f>
        <v>1</v>
      </c>
      <c r="AO429" s="16" t="b">
        <f>IF(questions[[#This Row],[is_fixed]],questions[[#This Row],[question]]=INDEX(stable[question],MATCH(questions[[#This Row],[qno]],stable[qno],0)),TRUE)</f>
        <v>1</v>
      </c>
      <c r="AP429" s="16" t="str">
        <f>LEFT(questions[[#This Row],[question]],similarity_range)</f>
        <v>If yes, every day, h</v>
      </c>
      <c r="AQ429" s="16" t="str">
        <f>LEFT(INDEX(stable[question],MATCH(questions[[#This Row],[qno]],stable[qno],0)),similarity_range)</f>
        <v>If yes, how many peo</v>
      </c>
      <c r="AR429" s="16" t="b">
        <f>questions[[#This Row],[question_first_characters]]=questions[[#This Row],[stability_first_characters]]</f>
        <v>0</v>
      </c>
      <c r="AS429" s="16" t="b">
        <f>IF(OR(questions[[#This Row],[is_single_select]],questions[[#This Row],[is_multi_select]]),NOT(ISBLANK(questions[[#This Row],[answer_opt_combined]])),TRUE)</f>
        <v>1</v>
      </c>
    </row>
    <row r="430" spans="1:45" s="77" customFormat="1" x14ac:dyDescent="0.25">
      <c r="A430" s="77" t="str">
        <f>_xlfn.TEXTJOIN("_",TRUE,questions[[#This Row],[origin]:[qno]])</f>
        <v>Vietnam_Robusta_Lam_Dong_Nestlé_IMPACT_6100</v>
      </c>
      <c r="B430" s="77" t="s">
        <v>673</v>
      </c>
      <c r="C430" s="77" t="s">
        <v>674</v>
      </c>
      <c r="D430" s="77" t="s">
        <v>675</v>
      </c>
      <c r="F430" s="104" t="s">
        <v>256</v>
      </c>
      <c r="G430" s="77" t="s">
        <v>257</v>
      </c>
      <c r="H430" s="33" t="str" cm="1">
        <f t="array" ref="H430">INDEX(stableR[question],MATCH(VALUE(questions[[#This Row],[qno]]),VALUE(stableR[qno]),0))</f>
        <v>Did you use any monetary loan for coffee activities last year?</v>
      </c>
      <c r="I430" s="33" t="b" cm="1">
        <f t="array" ref="I430">INDEX(stable[is_fixed],MATCH(VALUE(questions[[#This Row],[qno]]),VALUE(stable[qno]),0))</f>
        <v>1</v>
      </c>
      <c r="J430" s="33" t="b" cm="1">
        <f t="array" ref="J430">INDEX(stable[is_localized],MATCH(VALUE(questions[[#This Row],[qno]]),VALUE(stable[qno]),0))</f>
        <v>0</v>
      </c>
      <c r="K430" s="33" t="b" cm="1">
        <f t="array" ref="K430">INDEX(stable[is_supply_chain_dependent],MATCH(VALUE(questions[[#This Row],[qno]]),VALUE(stable[qno]),0))</f>
        <v>0</v>
      </c>
      <c r="L430" s="33" t="b" cm="1">
        <f t="array" ref="L430">INDEX(stable[is_mandatory],MATCH(VALUE(questions[[#This Row],[qno]]),VALUE(stable[qno]),0))</f>
        <v>1</v>
      </c>
      <c r="M430" s="33" t="b" cm="1">
        <f t="array" ref="M430">INDEX(stable[is_automated],MATCH(VALUE(questions[[#This Row],[qno]]),VALUE(stable[qno]),0))</f>
        <v>0</v>
      </c>
      <c r="N430" s="33" t="b" cm="1">
        <f t="array" ref="N430">INDEX(stable[is_free_text],MATCH(VALUE(questions[[#This Row],[qno]]),VALUE(stable[qno]),0))</f>
        <v>0</v>
      </c>
      <c r="O430" s="33" t="b" cm="1">
        <f t="array" ref="O430">INDEX(stable[is_numerical],MATCH(VALUE(questions[[#This Row],[qno]]),VALUE(stable[qno]),0))</f>
        <v>0</v>
      </c>
      <c r="P430" s="103" t="b" cm="1">
        <f t="array" ref="P430">INDEX(stable[is_single_select],MATCH(VALUE(questions[[#This Row],[qno]]),VALUE(stable[qno]),0))</f>
        <v>1</v>
      </c>
      <c r="Q430" s="77" t="b" cm="1">
        <f t="array" ref="Q430">INDEX(stable[is_multi_select],MATCH(VALUE(questions[[#This Row],[qno]]),VALUE(stable[qno]),0))</f>
        <v>0</v>
      </c>
      <c r="R430" s="77" t="b" cm="1">
        <f t="array" ref="R430">INDEX(stable[is_skip_logic],MATCH(VALUE(questions[[#This Row],[qno]]),VALUE(stable[qno]),0))</f>
        <v>1</v>
      </c>
      <c r="S430" s="77" t="str">
        <f>_xlfn.TEXTJOIN(", ",TRUE,questions[[#This Row],[ans_opt_1]:[ans_opt_14]])</f>
        <v>Yes, No</v>
      </c>
      <c r="T430" s="77" t="s">
        <v>149</v>
      </c>
      <c r="U430" s="77" t="s">
        <v>119</v>
      </c>
      <c r="AH430" s="98" t="b">
        <f>INDEX(stable[q_standard],MATCH(questions[[#This Row],[qno]],stable[qno],0))</f>
        <v>0</v>
      </c>
      <c r="AI430" s="98" t="b">
        <f>INDEX(stable[q_living_income],MATCH(questions[[#This Row],[qno]],stable[qno],0))</f>
        <v>1</v>
      </c>
      <c r="AJ430" s="98" t="b">
        <f>INDEX(stable[q_carbon],MATCH(questions[[#This Row],[qno]],stable[qno],0))</f>
        <v>0</v>
      </c>
      <c r="AK430" s="98" t="b">
        <f>INDEX(stable[q_regen_ag],MATCH(questions[[#This Row],[qno]],stable[qno],0))</f>
        <v>0</v>
      </c>
      <c r="AL430" s="98" t="b">
        <f>COUNTIFS(stable[qno],questions[[#This Row],[qno]])=1</f>
        <v>1</v>
      </c>
      <c r="AM430" s="98" t="b">
        <f>OR(questions[[#This Row],[is_fixed]],questions[[#This Row],[is_localized]],questions[[#This Row],[is_supply_chain_dependent]])</f>
        <v>1</v>
      </c>
      <c r="AN430" s="98" t="b">
        <f>COUNTIFS(questions[[#This Row],[is_automated]:[is_multi_select]],TRUE)=1</f>
        <v>1</v>
      </c>
      <c r="AO430" s="98" t="b">
        <f>IF(questions[[#This Row],[is_fixed]],questions[[#This Row],[question]]=INDEX(stable[question],MATCH(questions[[#This Row],[qno]],stable[qno],0)),TRUE)</f>
        <v>0</v>
      </c>
      <c r="AP430" s="98" t="str">
        <f>LEFT(questions[[#This Row],[question]],similarity_range)</f>
        <v>Did you use any mone</v>
      </c>
      <c r="AQ430" s="98" t="str">
        <f>LEFT(INDEX(stable[question],MATCH(questions[[#This Row],[qno]],stable[qno],0)),similarity_range)</f>
        <v>Did you use any mone</v>
      </c>
      <c r="AR430" s="98" t="b">
        <f>questions[[#This Row],[question_first_characters]]=questions[[#This Row],[stability_first_characters]]</f>
        <v>1</v>
      </c>
      <c r="AS430" s="98" t="b">
        <f>IF(OR(questions[[#This Row],[is_single_select]],questions[[#This Row],[is_multi_select]]),NOT(ISBLANK(questions[[#This Row],[answer_opt_combined]])),TRUE)</f>
        <v>1</v>
      </c>
    </row>
    <row r="431" spans="1:45" x14ac:dyDescent="0.25">
      <c r="A431" s="33" t="str">
        <f>_xlfn.TEXTJOIN("_",TRUE,questions[[#This Row],[origin]:[qno]])</f>
        <v>Vietnam_Robusta_Lam_Dong_Nestlé_IMPACT_6101</v>
      </c>
      <c r="B431" s="33" t="s">
        <v>673</v>
      </c>
      <c r="C431" s="33" t="s">
        <v>674</v>
      </c>
      <c r="D431" s="33" t="s">
        <v>675</v>
      </c>
      <c r="E431" s="33"/>
      <c r="F431" s="34" t="s">
        <v>258</v>
      </c>
      <c r="G431" s="34" t="s">
        <v>259</v>
      </c>
      <c r="H431" s="33" t="str" cm="1">
        <f t="array" ref="H431">INDEX(stableR[question],MATCH(VALUE(questions[[#This Row],[qno]]),VALUE(stableR[qno]),0))</f>
        <v>What was the total amount of loans you borrowed last year (in your local currency)?</v>
      </c>
      <c r="I431" s="33" t="b" cm="1">
        <f t="array" ref="I431">INDEX(stable[is_fixed],MATCH(VALUE(questions[[#This Row],[qno]]),VALUE(stable[qno]),0))</f>
        <v>1</v>
      </c>
      <c r="J431" s="33" t="b" cm="1">
        <f t="array" ref="J431">INDEX(stable[is_localized],MATCH(VALUE(questions[[#This Row],[qno]]),VALUE(stable[qno]),0))</f>
        <v>0</v>
      </c>
      <c r="K431" s="33" t="b" cm="1">
        <f t="array" ref="K431">INDEX(stable[is_supply_chain_dependent],MATCH(VALUE(questions[[#This Row],[qno]]),VALUE(stable[qno]),0))</f>
        <v>0</v>
      </c>
      <c r="L431" s="33" t="b" cm="1">
        <f t="array" ref="L431">INDEX(stable[is_mandatory],MATCH(VALUE(questions[[#This Row],[qno]]),VALUE(stable[qno]),0))</f>
        <v>0</v>
      </c>
      <c r="M431" s="33" t="b" cm="1">
        <f t="array" ref="M431">INDEX(stable[is_automated],MATCH(VALUE(questions[[#This Row],[qno]]),VALUE(stable[qno]),0))</f>
        <v>0</v>
      </c>
      <c r="N431" s="33" t="b" cm="1">
        <f t="array" ref="N431">INDEX(stable[is_free_text],MATCH(VALUE(questions[[#This Row],[qno]]),VALUE(stable[qno]),0))</f>
        <v>0</v>
      </c>
      <c r="O431" s="33" t="b" cm="1">
        <f t="array" ref="O431">INDEX(stable[is_numerical],MATCH(VALUE(questions[[#This Row],[qno]]),VALUE(stable[qno]),0))</f>
        <v>0</v>
      </c>
      <c r="P431" s="35" t="b" cm="1">
        <f t="array" ref="P431">INDEX(stable[is_single_select],MATCH(VALUE(questions[[#This Row],[qno]]),VALUE(stable[qno]),0))</f>
        <v>0</v>
      </c>
      <c r="Q431" s="33" t="b" cm="1">
        <f t="array" ref="Q431">INDEX(stable[is_multi_select],MATCH(VALUE(questions[[#This Row],[qno]]),VALUE(stable[qno]),0))</f>
        <v>1</v>
      </c>
      <c r="R431" s="33" t="b" cm="1">
        <f t="array" ref="R431">INDEX(stable[is_skip_logic],MATCH(VALUE(questions[[#This Row],[qno]]),VALUE(stable[qno]),0))</f>
        <v>1</v>
      </c>
      <c r="S431" s="33" t="str">
        <f>_xlfn.TEXTJOIN(", ",TRUE,questions[[#This Row],[ans_opt_1]:[ans_opt_14]])</f>
        <v/>
      </c>
      <c r="T431" s="33"/>
      <c r="U431" s="33"/>
      <c r="V431" s="33"/>
      <c r="W431" s="33"/>
      <c r="X431" s="33"/>
      <c r="Y431" s="33"/>
      <c r="Z431" s="33"/>
      <c r="AA431" s="33"/>
      <c r="AB431" s="33"/>
      <c r="AC431" s="33"/>
      <c r="AD431" s="33"/>
      <c r="AE431" s="33"/>
      <c r="AF431" s="33"/>
      <c r="AG431" s="33"/>
      <c r="AH431" s="99" t="b">
        <f>INDEX(stable[q_standard],MATCH(questions[[#This Row],[qno]],stable[qno],0))</f>
        <v>0</v>
      </c>
      <c r="AI431" s="99" t="b">
        <f>INDEX(stable[q_living_income],MATCH(questions[[#This Row],[qno]],stable[qno],0))</f>
        <v>1</v>
      </c>
      <c r="AJ431" s="99" t="b">
        <f>INDEX(stable[q_carbon],MATCH(questions[[#This Row],[qno]],stable[qno],0))</f>
        <v>0</v>
      </c>
      <c r="AK431" s="99" t="b">
        <f>INDEX(stable[q_regen_ag],MATCH(questions[[#This Row],[qno]],stable[qno],0))</f>
        <v>0</v>
      </c>
      <c r="AL431" s="16" t="b">
        <f>COUNTIFS(stable[qno],questions[[#This Row],[qno]])=1</f>
        <v>1</v>
      </c>
      <c r="AM431" s="16" t="b">
        <f>OR(questions[[#This Row],[is_fixed]],questions[[#This Row],[is_localized]],questions[[#This Row],[is_supply_chain_dependent]])</f>
        <v>1</v>
      </c>
      <c r="AN431" s="16" t="b">
        <f>COUNTIFS(questions[[#This Row],[is_automated]:[is_multi_select]],TRUE)=1</f>
        <v>1</v>
      </c>
      <c r="AO431" s="16" t="b">
        <f>IF(questions[[#This Row],[is_fixed]],questions[[#This Row],[question]]=INDEX(stable[question],MATCH(questions[[#This Row],[qno]],stable[qno],0)),TRUE)</f>
        <v>1</v>
      </c>
      <c r="AP431" s="16" t="str">
        <f>LEFT(questions[[#This Row],[question]],similarity_range)</f>
        <v xml:space="preserve">If yes, how did you </v>
      </c>
      <c r="AQ431" s="16" t="str">
        <f>LEFT(INDEX(stable[question],MATCH(questions[[#This Row],[qno]],stable[qno],0)),similarity_range)</f>
        <v xml:space="preserve">If yes, how did you </v>
      </c>
      <c r="AR431" s="16" t="b">
        <f>questions[[#This Row],[question_first_characters]]=questions[[#This Row],[stability_first_characters]]</f>
        <v>1</v>
      </c>
      <c r="AS431" s="16" t="b">
        <f>IF(OR(questions[[#This Row],[is_single_select]],questions[[#This Row],[is_multi_select]]),NOT(ISBLANK(questions[[#This Row],[answer_opt_combined]])),TRUE)</f>
        <v>1</v>
      </c>
    </row>
    <row r="432" spans="1:45" x14ac:dyDescent="0.25">
      <c r="A432" s="33" t="str">
        <f>_xlfn.TEXTJOIN("_",TRUE,questions[[#This Row],[origin]:[qno]])</f>
        <v>Vietnam_Robusta_Lam_Dong_Nestlé_IMPACT_6102</v>
      </c>
      <c r="B432" s="33" t="s">
        <v>673</v>
      </c>
      <c r="C432" s="33" t="s">
        <v>674</v>
      </c>
      <c r="D432" s="33" t="s">
        <v>675</v>
      </c>
      <c r="E432" s="33"/>
      <c r="F432" s="34" t="s">
        <v>260</v>
      </c>
      <c r="G432" s="34" t="s">
        <v>704</v>
      </c>
      <c r="H432" s="33" t="str" cm="1">
        <f t="array" ref="H432">INDEX(stableR[question],MATCH(VALUE(questions[[#This Row],[qno]]),VALUE(stableR[qno]),0))</f>
        <v>How did you have to pay for this? (in cash or in cherries? Please explain)</v>
      </c>
      <c r="I432" s="33" t="b" cm="1">
        <f t="array" ref="I432">INDEX(stable[is_fixed],MATCH(VALUE(questions[[#This Row],[qno]]),VALUE(stable[qno]),0))</f>
        <v>0</v>
      </c>
      <c r="J432" s="33" t="b" cm="1">
        <f t="array" ref="J432">INDEX(stable[is_localized],MATCH(VALUE(questions[[#This Row],[qno]]),VALUE(stable[qno]),0))</f>
        <v>1</v>
      </c>
      <c r="K432" s="33" t="b" cm="1">
        <f t="array" ref="K432">INDEX(stable[is_supply_chain_dependent],MATCH(VALUE(questions[[#This Row],[qno]]),VALUE(stable[qno]),0))</f>
        <v>0</v>
      </c>
      <c r="L432" s="33" t="b" cm="1">
        <f t="array" ref="L432">INDEX(stable[is_mandatory],MATCH(VALUE(questions[[#This Row],[qno]]),VALUE(stable[qno]),0))</f>
        <v>0</v>
      </c>
      <c r="M432" s="33" t="b" cm="1">
        <f t="array" ref="M432">INDEX(stable[is_automated],MATCH(VALUE(questions[[#This Row],[qno]]),VALUE(stable[qno]),0))</f>
        <v>0</v>
      </c>
      <c r="N432" s="33" t="b" cm="1">
        <f t="array" ref="N432">INDEX(stable[is_free_text],MATCH(VALUE(questions[[#This Row],[qno]]),VALUE(stable[qno]),0))</f>
        <v>0</v>
      </c>
      <c r="O432" s="33" t="b" cm="1">
        <f t="array" ref="O432">INDEX(stable[is_numerical],MATCH(VALUE(questions[[#This Row],[qno]]),VALUE(stable[qno]),0))</f>
        <v>1</v>
      </c>
      <c r="P432" s="35" t="b" cm="1">
        <f t="array" ref="P432">INDEX(stable[is_single_select],MATCH(VALUE(questions[[#This Row],[qno]]),VALUE(stable[qno]),0))</f>
        <v>0</v>
      </c>
      <c r="Q432" s="33" t="b" cm="1">
        <f t="array" ref="Q432">INDEX(stable[is_multi_select],MATCH(VALUE(questions[[#This Row],[qno]]),VALUE(stable[qno]),0))</f>
        <v>0</v>
      </c>
      <c r="R432" s="33" t="b" cm="1">
        <f t="array" ref="R432">INDEX(stable[is_skip_logic],MATCH(VALUE(questions[[#This Row],[qno]]),VALUE(stable[qno]),0))</f>
        <v>1</v>
      </c>
      <c r="S432" s="33" t="str">
        <f>_xlfn.TEXTJOIN(", ",TRUE,questions[[#This Row],[ans_opt_1]:[ans_opt_14]])</f>
        <v/>
      </c>
      <c r="T432" s="33"/>
      <c r="U432" s="33"/>
      <c r="V432" s="33"/>
      <c r="W432" s="33"/>
      <c r="X432" s="33"/>
      <c r="Y432" s="33"/>
      <c r="Z432" s="33"/>
      <c r="AA432" s="33"/>
      <c r="AB432" s="33"/>
      <c r="AC432" s="33"/>
      <c r="AD432" s="33"/>
      <c r="AE432" s="33"/>
      <c r="AF432" s="33"/>
      <c r="AG432" s="33"/>
      <c r="AH432" s="99" t="b">
        <f>INDEX(stable[q_standard],MATCH(questions[[#This Row],[qno]],stable[qno],0))</f>
        <v>0</v>
      </c>
      <c r="AI432" s="99" t="b">
        <f>INDEX(stable[q_living_income],MATCH(questions[[#This Row],[qno]],stable[qno],0))</f>
        <v>1</v>
      </c>
      <c r="AJ432" s="99" t="b">
        <f>INDEX(stable[q_carbon],MATCH(questions[[#This Row],[qno]],stable[qno],0))</f>
        <v>0</v>
      </c>
      <c r="AK432" s="99" t="b">
        <f>INDEX(stable[q_regen_ag],MATCH(questions[[#This Row],[qno]],stable[qno],0))</f>
        <v>0</v>
      </c>
      <c r="AL432" s="16" t="b">
        <f>COUNTIFS(stable[qno],questions[[#This Row],[qno]])=1</f>
        <v>1</v>
      </c>
      <c r="AM432" s="16" t="b">
        <f>OR(questions[[#This Row],[is_fixed]],questions[[#This Row],[is_localized]],questions[[#This Row],[is_supply_chain_dependent]])</f>
        <v>1</v>
      </c>
      <c r="AN432" s="16" t="b">
        <f>COUNTIFS(questions[[#This Row],[is_automated]:[is_multi_select]],TRUE)=1</f>
        <v>1</v>
      </c>
      <c r="AO432" s="16" t="b">
        <f>IF(questions[[#This Row],[is_fixed]],questions[[#This Row],[question]]=INDEX(stable[question],MATCH(questions[[#This Row],[qno]],stable[qno],0)),TRUE)</f>
        <v>1</v>
      </c>
      <c r="AP432" s="16" t="str">
        <f>LEFT(questions[[#This Row],[question]],similarity_range)</f>
        <v>If yes, can you esti</v>
      </c>
      <c r="AQ432" s="16" t="str">
        <f>LEFT(INDEX(stable[question],MATCH(questions[[#This Row],[qno]],stable[qno],0)),similarity_range)</f>
        <v>If yes, can you esti</v>
      </c>
      <c r="AR432" s="16" t="b">
        <f>questions[[#This Row],[question_first_characters]]=questions[[#This Row],[stability_first_characters]]</f>
        <v>1</v>
      </c>
      <c r="AS432" s="16" t="b">
        <f>IF(OR(questions[[#This Row],[is_single_select]],questions[[#This Row],[is_multi_select]]),NOT(ISBLANK(questions[[#This Row],[answer_opt_combined]])),TRUE)</f>
        <v>1</v>
      </c>
    </row>
    <row r="433" spans="1:45" x14ac:dyDescent="0.25">
      <c r="A433" s="33" t="str">
        <f>_xlfn.TEXTJOIN("_",TRUE,questions[[#This Row],[origin]:[qno]])</f>
        <v>Vietnam_Robusta_Lam_Dong_Nestlé_IMPACT_6103</v>
      </c>
      <c r="B433" s="33" t="s">
        <v>673</v>
      </c>
      <c r="C433" s="33" t="s">
        <v>674</v>
      </c>
      <c r="D433" s="33" t="s">
        <v>675</v>
      </c>
      <c r="E433" s="33"/>
      <c r="F433" s="34" t="s">
        <v>262</v>
      </c>
      <c r="G433" s="34" t="s">
        <v>705</v>
      </c>
      <c r="H433" s="33" t="str" cm="1">
        <f t="array" ref="H433">INDEX(stableR[question],MATCH(VALUE(questions[[#This Row],[qno]]),VALUE(stableR[qno]),0))</f>
        <v>Can you estimate how much you had to repay, in total, for the loan last year, including interest (in local currency)</v>
      </c>
      <c r="I433" s="33" t="b" cm="1">
        <f t="array" ref="I433">INDEX(stable[is_fixed],MATCH(VALUE(questions[[#This Row],[qno]]),VALUE(stable[qno]),0))</f>
        <v>0</v>
      </c>
      <c r="J433" s="33" t="b" cm="1">
        <f t="array" ref="J433">INDEX(stable[is_localized],MATCH(VALUE(questions[[#This Row],[qno]]),VALUE(stable[qno]),0))</f>
        <v>1</v>
      </c>
      <c r="K433" s="33" t="b" cm="1">
        <f t="array" ref="K433">INDEX(stable[is_supply_chain_dependent],MATCH(VALUE(questions[[#This Row],[qno]]),VALUE(stable[qno]),0))</f>
        <v>0</v>
      </c>
      <c r="L433" s="33" t="b" cm="1">
        <f t="array" ref="L433">INDEX(stable[is_mandatory],MATCH(VALUE(questions[[#This Row],[qno]]),VALUE(stable[qno]),0))</f>
        <v>0</v>
      </c>
      <c r="M433" s="33" t="b" cm="1">
        <f t="array" ref="M433">INDEX(stable[is_automated],MATCH(VALUE(questions[[#This Row],[qno]]),VALUE(stable[qno]),0))</f>
        <v>0</v>
      </c>
      <c r="N433" s="33" t="b" cm="1">
        <f t="array" ref="N433">INDEX(stable[is_free_text],MATCH(VALUE(questions[[#This Row],[qno]]),VALUE(stable[qno]),0))</f>
        <v>0</v>
      </c>
      <c r="O433" s="33" t="b" cm="1">
        <f t="array" ref="O433">INDEX(stable[is_numerical],MATCH(VALUE(questions[[#This Row],[qno]]),VALUE(stable[qno]),0))</f>
        <v>1</v>
      </c>
      <c r="P433" s="35" t="b" cm="1">
        <f t="array" ref="P433">INDEX(stable[is_single_select],MATCH(VALUE(questions[[#This Row],[qno]]),VALUE(stable[qno]),0))</f>
        <v>0</v>
      </c>
      <c r="Q433" s="33" t="b" cm="1">
        <f t="array" ref="Q433">INDEX(stable[is_multi_select],MATCH(VALUE(questions[[#This Row],[qno]]),VALUE(stable[qno]),0))</f>
        <v>0</v>
      </c>
      <c r="R433" s="33" t="b" cm="1">
        <f t="array" ref="R433">INDEX(stable[is_skip_logic],MATCH(VALUE(questions[[#This Row],[qno]]),VALUE(stable[qno]),0))</f>
        <v>1</v>
      </c>
      <c r="S433" s="33" t="str">
        <f>_xlfn.TEXTJOIN(", ",TRUE,questions[[#This Row],[ans_opt_1]:[ans_opt_14]])</f>
        <v/>
      </c>
      <c r="T433" s="33"/>
      <c r="U433" s="33"/>
      <c r="V433" s="33"/>
      <c r="W433" s="33"/>
      <c r="X433" s="33"/>
      <c r="Y433" s="33"/>
      <c r="Z433" s="33"/>
      <c r="AA433" s="33"/>
      <c r="AB433" s="33"/>
      <c r="AC433" s="33"/>
      <c r="AD433" s="33"/>
      <c r="AE433" s="33"/>
      <c r="AF433" s="33"/>
      <c r="AG433" s="33"/>
      <c r="AH433" s="99" t="b">
        <f>INDEX(stable[q_standard],MATCH(questions[[#This Row],[qno]],stable[qno],0))</f>
        <v>0</v>
      </c>
      <c r="AI433" s="99" t="b">
        <f>INDEX(stable[q_living_income],MATCH(questions[[#This Row],[qno]],stable[qno],0))</f>
        <v>1</v>
      </c>
      <c r="AJ433" s="99" t="b">
        <f>INDEX(stable[q_carbon],MATCH(questions[[#This Row],[qno]],stable[qno],0))</f>
        <v>0</v>
      </c>
      <c r="AK433" s="99" t="b">
        <f>INDEX(stable[q_regen_ag],MATCH(questions[[#This Row],[qno]],stable[qno],0))</f>
        <v>0</v>
      </c>
      <c r="AL433" s="16" t="b">
        <f>COUNTIFS(stable[qno],questions[[#This Row],[qno]])=1</f>
        <v>1</v>
      </c>
      <c r="AM433" s="16" t="b">
        <f>OR(questions[[#This Row],[is_fixed]],questions[[#This Row],[is_localized]],questions[[#This Row],[is_supply_chain_dependent]])</f>
        <v>1</v>
      </c>
      <c r="AN433" s="16" t="b">
        <f>COUNTIFS(questions[[#This Row],[is_automated]:[is_multi_select]],TRUE)=1</f>
        <v>1</v>
      </c>
      <c r="AO433" s="16" t="b">
        <f>IF(questions[[#This Row],[is_fixed]],questions[[#This Row],[question]]=INDEX(stable[question],MATCH(questions[[#This Row],[qno]],stable[qno],0)),TRUE)</f>
        <v>1</v>
      </c>
      <c r="AP433" s="16" t="str">
        <f>LEFT(questions[[#This Row],[question]],similarity_range)</f>
        <v>If yes, can you esti</v>
      </c>
      <c r="AQ433" s="16" t="str">
        <f>LEFT(INDEX(stable[question],MATCH(questions[[#This Row],[qno]],stable[qno],0)),similarity_range)</f>
        <v>If yes, can you esti</v>
      </c>
      <c r="AR433" s="16" t="b">
        <f>questions[[#This Row],[question_first_characters]]=questions[[#This Row],[stability_first_characters]]</f>
        <v>1</v>
      </c>
      <c r="AS433" s="16" t="b">
        <f>IF(OR(questions[[#This Row],[is_single_select]],questions[[#This Row],[is_multi_select]]),NOT(ISBLANK(questions[[#This Row],[answer_opt_combined]])),TRUE)</f>
        <v>1</v>
      </c>
    </row>
    <row r="434" spans="1:45" s="77" customFormat="1" x14ac:dyDescent="0.25">
      <c r="A434" s="77" t="str">
        <f>_xlfn.TEXTJOIN("_",TRUE,questions[[#This Row],[origin]:[qno]])</f>
        <v>Vietnam_Robusta_Lam_Dong_Nestlé_IMPACT_6220</v>
      </c>
      <c r="B434" s="77" t="s">
        <v>673</v>
      </c>
      <c r="C434" s="77" t="s">
        <v>674</v>
      </c>
      <c r="D434" s="77" t="s">
        <v>675</v>
      </c>
      <c r="F434" s="104" t="s">
        <v>706</v>
      </c>
      <c r="G434" s="78" t="s">
        <v>707</v>
      </c>
      <c r="H434" s="33" t="str" cm="1">
        <f t="array" ref="H434">INDEX(stableR[question],MATCH(VALUE(questions[[#This Row],[qno]]),VALUE(stableR[qno]),0))</f>
        <v>What machinery do you own that you use for coffee farming and/or coffee processing?</v>
      </c>
      <c r="I434" s="33" t="b" cm="1">
        <f t="array" ref="I434">INDEX(stable[is_fixed],MATCH(VALUE(questions[[#This Row],[qno]]),VALUE(stable[qno]),0))</f>
        <v>0</v>
      </c>
      <c r="J434" s="33" t="b" cm="1">
        <f t="array" ref="J434">INDEX(stable[is_localized],MATCH(VALUE(questions[[#This Row],[qno]]),VALUE(stable[qno]),0))</f>
        <v>1</v>
      </c>
      <c r="K434" s="33" t="b" cm="1">
        <f t="array" ref="K434">INDEX(stable[is_supply_chain_dependent],MATCH(VALUE(questions[[#This Row],[qno]]),VALUE(stable[qno]),0))</f>
        <v>1</v>
      </c>
      <c r="L434" s="33" t="b" cm="1">
        <f t="array" ref="L434">INDEX(stable[is_mandatory],MATCH(VALUE(questions[[#This Row],[qno]]),VALUE(stable[qno]),0))</f>
        <v>1</v>
      </c>
      <c r="M434" s="33" t="b" cm="1">
        <f t="array" ref="M434">INDEX(stable[is_automated],MATCH(VALUE(questions[[#This Row],[qno]]),VALUE(stable[qno]),0))</f>
        <v>0</v>
      </c>
      <c r="N434" s="33" t="b" cm="1">
        <f t="array" ref="N434">INDEX(stable[is_free_text],MATCH(VALUE(questions[[#This Row],[qno]]),VALUE(stable[qno]),0))</f>
        <v>0</v>
      </c>
      <c r="O434" s="33" t="b" cm="1">
        <f t="array" ref="O434">INDEX(stable[is_numerical],MATCH(VALUE(questions[[#This Row],[qno]]),VALUE(stable[qno]),0))</f>
        <v>0</v>
      </c>
      <c r="P434" s="103" t="b" cm="1">
        <f t="array" ref="P434">INDEX(stable[is_single_select],MATCH(VALUE(questions[[#This Row],[qno]]),VALUE(stable[qno]),0))</f>
        <v>0</v>
      </c>
      <c r="Q434" s="77" t="b" cm="1">
        <f t="array" ref="Q434">INDEX(stable[is_multi_select],MATCH(VALUE(questions[[#This Row],[qno]]),VALUE(stable[qno]),0))</f>
        <v>1</v>
      </c>
      <c r="R434" s="77" t="b" cm="1">
        <f t="array" ref="R434">INDEX(stable[is_skip_logic],MATCH(VALUE(questions[[#This Row],[qno]]),VALUE(stable[qno]),0))</f>
        <v>1</v>
      </c>
      <c r="S434" s="77" t="str">
        <f>_xlfn.TEXTJOIN(", ",TRUE,questions[[#This Row],[ans_opt_1]:[ans_opt_14]])</f>
        <v>Dry mill, Water pump (irrigation), Spray pump (insecticide/fungicide/herbicide application), Weed/grass trimmer, Two-wheeled tractor, Four wheeled tractor</v>
      </c>
      <c r="T434" s="77" t="s">
        <v>708</v>
      </c>
      <c r="U434" s="77" t="s">
        <v>709</v>
      </c>
      <c r="V434" s="77" t="s">
        <v>710</v>
      </c>
      <c r="W434" s="77" t="s">
        <v>711</v>
      </c>
      <c r="X434" s="77" t="s">
        <v>712</v>
      </c>
      <c r="Y434" s="77" t="s">
        <v>713</v>
      </c>
      <c r="AH434" s="98" t="b">
        <f>INDEX(stable[q_standard],MATCH(questions[[#This Row],[qno]],stable[qno],0))</f>
        <v>0</v>
      </c>
      <c r="AI434" s="98" t="b">
        <f>INDEX(stable[q_living_income],MATCH(questions[[#This Row],[qno]],stable[qno],0))</f>
        <v>1</v>
      </c>
      <c r="AJ434" s="98" t="b">
        <f>INDEX(stable[q_carbon],MATCH(questions[[#This Row],[qno]],stable[qno],0))</f>
        <v>0</v>
      </c>
      <c r="AK434" s="98" t="b">
        <f>INDEX(stable[q_regen_ag],MATCH(questions[[#This Row],[qno]],stable[qno],0))</f>
        <v>0</v>
      </c>
      <c r="AL434" s="98" t="b">
        <f>COUNTIFS(stable[qno],questions[[#This Row],[qno]])=1</f>
        <v>1</v>
      </c>
      <c r="AM434" s="98" t="b">
        <f>OR(questions[[#This Row],[is_fixed]],questions[[#This Row],[is_localized]],questions[[#This Row],[is_supply_chain_dependent]])</f>
        <v>1</v>
      </c>
      <c r="AN434" s="98" t="b">
        <f>COUNTIFS(questions[[#This Row],[is_automated]:[is_multi_select]],TRUE)=1</f>
        <v>1</v>
      </c>
      <c r="AO434" s="98" t="b">
        <f>IF(questions[[#This Row],[is_fixed]],questions[[#This Row],[question]]=INDEX(stable[question],MATCH(questions[[#This Row],[qno]],stable[qno],0)),TRUE)</f>
        <v>1</v>
      </c>
      <c r="AP434" s="98" t="str">
        <f>LEFT(questions[[#This Row],[question]],similarity_range)</f>
        <v>What machinery do yo</v>
      </c>
      <c r="AQ434" s="98" t="str">
        <f>LEFT(INDEX(stable[question],MATCH(questions[[#This Row],[qno]],stable[qno],0)),similarity_range)</f>
        <v>What machinery do yo</v>
      </c>
      <c r="AR434" s="98" t="b">
        <f>questions[[#This Row],[question_first_characters]]=questions[[#This Row],[stability_first_characters]]</f>
        <v>1</v>
      </c>
      <c r="AS434" s="98" t="b">
        <f>IF(OR(questions[[#This Row],[is_single_select]],questions[[#This Row],[is_multi_select]]),NOT(ISBLANK(questions[[#This Row],[answer_opt_combined]])),TRUE)</f>
        <v>1</v>
      </c>
    </row>
    <row r="435" spans="1:45" s="77" customFormat="1" x14ac:dyDescent="0.25">
      <c r="A435" s="77" t="str">
        <f>_xlfn.TEXTJOIN("_",TRUE,questions[[#This Row],[origin]:[qno]])</f>
        <v>Vietnam_Robusta_Lam_Dong_Nestlé_IMPACT_6300</v>
      </c>
      <c r="B435" s="77" t="s">
        <v>673</v>
      </c>
      <c r="C435" s="77" t="s">
        <v>674</v>
      </c>
      <c r="D435" s="77" t="s">
        <v>675</v>
      </c>
      <c r="F435" s="104" t="s">
        <v>268</v>
      </c>
      <c r="G435" s="78" t="s">
        <v>269</v>
      </c>
      <c r="H435" s="33" t="str" cm="1">
        <f t="array" ref="H435">INDEX(stableR[question],MATCH(VALUE(questions[[#This Row],[qno]]),VALUE(stableR[qno]),0))</f>
        <v>Did you buy coffee seedlings last year?</v>
      </c>
      <c r="I435" s="33" t="b" cm="1">
        <f t="array" ref="I435">INDEX(stable[is_fixed],MATCH(VALUE(questions[[#This Row],[qno]]),VALUE(stable[qno]),0))</f>
        <v>1</v>
      </c>
      <c r="J435" s="33" t="b" cm="1">
        <f t="array" ref="J435">INDEX(stable[is_localized],MATCH(VALUE(questions[[#This Row],[qno]]),VALUE(stable[qno]),0))</f>
        <v>0</v>
      </c>
      <c r="K435" s="33" t="b" cm="1">
        <f t="array" ref="K435">INDEX(stable[is_supply_chain_dependent],MATCH(VALUE(questions[[#This Row],[qno]]),VALUE(stable[qno]),0))</f>
        <v>0</v>
      </c>
      <c r="L435" s="33" t="b" cm="1">
        <f t="array" ref="L435">INDEX(stable[is_mandatory],MATCH(VALUE(questions[[#This Row],[qno]]),VALUE(stable[qno]),0))</f>
        <v>1</v>
      </c>
      <c r="M435" s="33" t="b" cm="1">
        <f t="array" ref="M435">INDEX(stable[is_automated],MATCH(VALUE(questions[[#This Row],[qno]]),VALUE(stable[qno]),0))</f>
        <v>0</v>
      </c>
      <c r="N435" s="33" t="b" cm="1">
        <f t="array" ref="N435">INDEX(stable[is_free_text],MATCH(VALUE(questions[[#This Row],[qno]]),VALUE(stable[qno]),0))</f>
        <v>0</v>
      </c>
      <c r="O435" s="33" t="b" cm="1">
        <f t="array" ref="O435">INDEX(stable[is_numerical],MATCH(VALUE(questions[[#This Row],[qno]]),VALUE(stable[qno]),0))</f>
        <v>0</v>
      </c>
      <c r="P435" s="103" t="b" cm="1">
        <f t="array" ref="P435">INDEX(stable[is_single_select],MATCH(VALUE(questions[[#This Row],[qno]]),VALUE(stable[qno]),0))</f>
        <v>1</v>
      </c>
      <c r="Q435" s="77" t="b" cm="1">
        <f t="array" ref="Q435">INDEX(stable[is_multi_select],MATCH(VALUE(questions[[#This Row],[qno]]),VALUE(stable[qno]),0))</f>
        <v>0</v>
      </c>
      <c r="R435" s="77" t="b" cm="1">
        <f t="array" ref="R435">INDEX(stable[is_skip_logic],MATCH(VALUE(questions[[#This Row],[qno]]),VALUE(stable[qno]),0))</f>
        <v>1</v>
      </c>
      <c r="S435" s="77" t="str">
        <f>_xlfn.TEXTJOIN(", ",TRUE,questions[[#This Row],[ans_opt_1]:[ans_opt_14]])</f>
        <v>Yes, No</v>
      </c>
      <c r="T435" s="77" t="s">
        <v>149</v>
      </c>
      <c r="U435" s="77" t="s">
        <v>119</v>
      </c>
      <c r="AH435" s="98" t="b">
        <f>INDEX(stable[q_standard],MATCH(questions[[#This Row],[qno]],stable[qno],0))</f>
        <v>0</v>
      </c>
      <c r="AI435" s="98" t="b">
        <f>INDEX(stable[q_living_income],MATCH(questions[[#This Row],[qno]],stable[qno],0))</f>
        <v>1</v>
      </c>
      <c r="AJ435" s="98" t="b">
        <f>INDEX(stable[q_carbon],MATCH(questions[[#This Row],[qno]],stable[qno],0))</f>
        <v>0</v>
      </c>
      <c r="AK435" s="98" t="b">
        <f>INDEX(stable[q_regen_ag],MATCH(questions[[#This Row],[qno]],stable[qno],0))</f>
        <v>0</v>
      </c>
      <c r="AL435" s="98" t="b">
        <f>COUNTIFS(stable[qno],questions[[#This Row],[qno]])=1</f>
        <v>1</v>
      </c>
      <c r="AM435" s="98" t="b">
        <f>OR(questions[[#This Row],[is_fixed]],questions[[#This Row],[is_localized]],questions[[#This Row],[is_supply_chain_dependent]])</f>
        <v>1</v>
      </c>
      <c r="AN435" s="98" t="b">
        <f>COUNTIFS(questions[[#This Row],[is_automated]:[is_multi_select]],TRUE)=1</f>
        <v>1</v>
      </c>
      <c r="AO435" s="98" t="b">
        <f>IF(questions[[#This Row],[is_fixed]],questions[[#This Row],[question]]=INDEX(stable[question],MATCH(questions[[#This Row],[qno]],stable[qno],0)),TRUE)</f>
        <v>0</v>
      </c>
      <c r="AP435" s="98" t="str">
        <f>LEFT(questions[[#This Row],[question]],similarity_range)</f>
        <v>Did you buy coffee s</v>
      </c>
      <c r="AQ435" s="98" t="str">
        <f>LEFT(INDEX(stable[question],MATCH(questions[[#This Row],[qno]],stable[qno],0)),similarity_range)</f>
        <v>Did you buy coffee s</v>
      </c>
      <c r="AR435" s="98" t="b">
        <f>questions[[#This Row],[question_first_characters]]=questions[[#This Row],[stability_first_characters]]</f>
        <v>1</v>
      </c>
      <c r="AS435" s="98" t="b">
        <f>IF(OR(questions[[#This Row],[is_single_select]],questions[[#This Row],[is_multi_select]]),NOT(ISBLANK(questions[[#This Row],[answer_opt_combined]])),TRUE)</f>
        <v>1</v>
      </c>
    </row>
    <row r="436" spans="1:45" s="77" customFormat="1" x14ac:dyDescent="0.25">
      <c r="A436" s="77" t="str">
        <f>_xlfn.TEXTJOIN("_",TRUE,questions[[#This Row],[origin]:[qno]])</f>
        <v>Vietnam_Robusta_Lam_Dong_Nestlé_IMPACT_6301</v>
      </c>
      <c r="B436" s="77" t="s">
        <v>673</v>
      </c>
      <c r="C436" s="77" t="s">
        <v>674</v>
      </c>
      <c r="D436" s="77" t="s">
        <v>675</v>
      </c>
      <c r="F436" s="104" t="s">
        <v>270</v>
      </c>
      <c r="G436" s="78" t="s">
        <v>271</v>
      </c>
      <c r="H436" s="33" t="str" cm="1">
        <f t="array" ref="H436">INDEX(stableR[question],MATCH(VALUE(questions[[#This Row],[qno]]),VALUE(stableR[qno]),0))</f>
        <v>What was the main type seedlings bought?</v>
      </c>
      <c r="I436" s="33" t="b" cm="1">
        <f t="array" ref="I436">INDEX(stable[is_fixed],MATCH(VALUE(questions[[#This Row],[qno]]),VALUE(stable[qno]),0))</f>
        <v>1</v>
      </c>
      <c r="J436" s="33" t="b" cm="1">
        <f t="array" ref="J436">INDEX(stable[is_localized],MATCH(VALUE(questions[[#This Row],[qno]]),VALUE(stable[qno]),0))</f>
        <v>0</v>
      </c>
      <c r="K436" s="33" t="b" cm="1">
        <f t="array" ref="K436">INDEX(stable[is_supply_chain_dependent],MATCH(VALUE(questions[[#This Row],[qno]]),VALUE(stable[qno]),0))</f>
        <v>0</v>
      </c>
      <c r="L436" s="33" t="b" cm="1">
        <f t="array" ref="L436">INDEX(stable[is_mandatory],MATCH(VALUE(questions[[#This Row],[qno]]),VALUE(stable[qno]),0))</f>
        <v>0</v>
      </c>
      <c r="M436" s="33" t="b" cm="1">
        <f t="array" ref="M436">INDEX(stable[is_automated],MATCH(VALUE(questions[[#This Row],[qno]]),VALUE(stable[qno]),0))</f>
        <v>0</v>
      </c>
      <c r="N436" s="33" t="b" cm="1">
        <f t="array" ref="N436">INDEX(stable[is_free_text],MATCH(VALUE(questions[[#This Row],[qno]]),VALUE(stable[qno]),0))</f>
        <v>0</v>
      </c>
      <c r="O436" s="33" t="b" cm="1">
        <f t="array" ref="O436">INDEX(stable[is_numerical],MATCH(VALUE(questions[[#This Row],[qno]]),VALUE(stable[qno]),0))</f>
        <v>0</v>
      </c>
      <c r="P436" s="103" t="b" cm="1">
        <f t="array" ref="P436">INDEX(stable[is_single_select],MATCH(VALUE(questions[[#This Row],[qno]]),VALUE(stable[qno]),0))</f>
        <v>1</v>
      </c>
      <c r="Q436" s="77" t="b" cm="1">
        <f t="array" ref="Q436">INDEX(stable[is_multi_select],MATCH(VALUE(questions[[#This Row],[qno]]),VALUE(stable[qno]),0))</f>
        <v>0</v>
      </c>
      <c r="R436" s="77" t="b" cm="1">
        <f t="array" ref="R436">INDEX(stable[is_skip_logic],MATCH(VALUE(questions[[#This Row],[qno]]),VALUE(stable[qno]),0))</f>
        <v>1</v>
      </c>
      <c r="S436" s="77" t="str">
        <f>_xlfn.TEXTJOIN(", ",TRUE,questions[[#This Row],[ans_opt_1]:[ans_opt_14]])</f>
        <v>Nyasaland (traditional), Improved Elite, Improved Clonal, SL28, SL14, Nasalanda (traditional), NA</v>
      </c>
      <c r="T436" s="77" t="s">
        <v>600</v>
      </c>
      <c r="U436" s="77" t="s">
        <v>601</v>
      </c>
      <c r="V436" s="77" t="s">
        <v>602</v>
      </c>
      <c r="W436" s="77" t="s">
        <v>603</v>
      </c>
      <c r="X436" s="77" t="s">
        <v>604</v>
      </c>
      <c r="Y436" s="77" t="s">
        <v>605</v>
      </c>
      <c r="Z436" s="77" t="s">
        <v>251</v>
      </c>
      <c r="AH436" s="98" t="b">
        <f>INDEX(stable[q_standard],MATCH(questions[[#This Row],[qno]],stable[qno],0))</f>
        <v>0</v>
      </c>
      <c r="AI436" s="98" t="b">
        <f>INDEX(stable[q_living_income],MATCH(questions[[#This Row],[qno]],stable[qno],0))</f>
        <v>1</v>
      </c>
      <c r="AJ436" s="98" t="b">
        <f>INDEX(stable[q_carbon],MATCH(questions[[#This Row],[qno]],stable[qno],0))</f>
        <v>0</v>
      </c>
      <c r="AK436" s="98" t="b">
        <f>INDEX(stable[q_regen_ag],MATCH(questions[[#This Row],[qno]],stable[qno],0))</f>
        <v>0</v>
      </c>
      <c r="AL436" s="98" t="b">
        <f>COUNTIFS(stable[qno],questions[[#This Row],[qno]])=1</f>
        <v>1</v>
      </c>
      <c r="AM436" s="98" t="b">
        <f>OR(questions[[#This Row],[is_fixed]],questions[[#This Row],[is_localized]],questions[[#This Row],[is_supply_chain_dependent]])</f>
        <v>1</v>
      </c>
      <c r="AN436" s="98" t="b">
        <f>COUNTIFS(questions[[#This Row],[is_automated]:[is_multi_select]],TRUE)=1</f>
        <v>1</v>
      </c>
      <c r="AO436" s="98" t="b">
        <f>IF(questions[[#This Row],[is_fixed]],questions[[#This Row],[question]]=INDEX(stable[question],MATCH(questions[[#This Row],[qno]],stable[qno],0)),TRUE)</f>
        <v>1</v>
      </c>
      <c r="AP436" s="98" t="str">
        <f>LEFT(questions[[#This Row],[question]],similarity_range)</f>
        <v xml:space="preserve">If yes what was the </v>
      </c>
      <c r="AQ436" s="98" t="str">
        <f>LEFT(INDEX(stable[question],MATCH(questions[[#This Row],[qno]],stable[qno],0)),similarity_range)</f>
        <v xml:space="preserve">If yes what was the </v>
      </c>
      <c r="AR436" s="98" t="b">
        <f>questions[[#This Row],[question_first_characters]]=questions[[#This Row],[stability_first_characters]]</f>
        <v>1</v>
      </c>
      <c r="AS436" s="98" t="b">
        <f>IF(OR(questions[[#This Row],[is_single_select]],questions[[#This Row],[is_multi_select]]),NOT(ISBLANK(questions[[#This Row],[answer_opt_combined]])),TRUE)</f>
        <v>1</v>
      </c>
    </row>
    <row r="437" spans="1:45" x14ac:dyDescent="0.25">
      <c r="A437" s="33" t="str">
        <f>_xlfn.TEXTJOIN("_",TRUE,questions[[#This Row],[origin]:[qno]])</f>
        <v>Vietnam_Robusta_Lam_Dong_Nestlé_IMPACT_6302</v>
      </c>
      <c r="B437" s="33" t="s">
        <v>673</v>
      </c>
      <c r="C437" s="33" t="s">
        <v>674</v>
      </c>
      <c r="D437" s="33" t="s">
        <v>675</v>
      </c>
      <c r="E437" s="33"/>
      <c r="F437" s="34" t="s">
        <v>282</v>
      </c>
      <c r="G437" s="18" t="s">
        <v>283</v>
      </c>
      <c r="H437" s="33" t="str" cm="1">
        <f t="array" ref="H437">INDEX(stableR[question],MATCH(VALUE(questions[[#This Row],[qno]]),VALUE(stableR[qno]),0))</f>
        <v>How many seedlings did you buy last year?</v>
      </c>
      <c r="I437" s="33" t="b" cm="1">
        <f t="array" ref="I437">INDEX(stable[is_fixed],MATCH(VALUE(questions[[#This Row],[qno]]),VALUE(stable[qno]),0))</f>
        <v>1</v>
      </c>
      <c r="J437" s="33" t="b" cm="1">
        <f t="array" ref="J437">INDEX(stable[is_localized],MATCH(VALUE(questions[[#This Row],[qno]]),VALUE(stable[qno]),0))</f>
        <v>0</v>
      </c>
      <c r="K437" s="33" t="b" cm="1">
        <f t="array" ref="K437">INDEX(stable[is_supply_chain_dependent],MATCH(VALUE(questions[[#This Row],[qno]]),VALUE(stable[qno]),0))</f>
        <v>0</v>
      </c>
      <c r="L437" s="33" t="b" cm="1">
        <f t="array" ref="L437">INDEX(stable[is_mandatory],MATCH(VALUE(questions[[#This Row],[qno]]),VALUE(stable[qno]),0))</f>
        <v>0</v>
      </c>
      <c r="M437" s="33" t="b" cm="1">
        <f t="array" ref="M437">INDEX(stable[is_automated],MATCH(VALUE(questions[[#This Row],[qno]]),VALUE(stable[qno]),0))</f>
        <v>0</v>
      </c>
      <c r="N437" s="33" t="b" cm="1">
        <f t="array" ref="N437">INDEX(stable[is_free_text],MATCH(VALUE(questions[[#This Row],[qno]]),VALUE(stable[qno]),0))</f>
        <v>0</v>
      </c>
      <c r="O437" s="33" t="b" cm="1">
        <f t="array" ref="O437">INDEX(stable[is_numerical],MATCH(VALUE(questions[[#This Row],[qno]]),VALUE(stable[qno]),0))</f>
        <v>1</v>
      </c>
      <c r="P437" s="35" t="b" cm="1">
        <f t="array" ref="P437">INDEX(stable[is_single_select],MATCH(VALUE(questions[[#This Row],[qno]]),VALUE(stable[qno]),0))</f>
        <v>0</v>
      </c>
      <c r="Q437" s="33" t="b" cm="1">
        <f t="array" ref="Q437">INDEX(stable[is_multi_select],MATCH(VALUE(questions[[#This Row],[qno]]),VALUE(stable[qno]),0))</f>
        <v>0</v>
      </c>
      <c r="R437" s="33" t="b" cm="1">
        <f t="array" ref="R437">INDEX(stable[is_skip_logic],MATCH(VALUE(questions[[#This Row],[qno]]),VALUE(stable[qno]),0))</f>
        <v>1</v>
      </c>
      <c r="S437" s="33" t="str">
        <f>_xlfn.TEXTJOIN(", ",TRUE,questions[[#This Row],[ans_opt_1]:[ans_opt_14]])</f>
        <v/>
      </c>
      <c r="T437" s="33"/>
      <c r="U437" s="33"/>
      <c r="V437" s="33"/>
      <c r="W437" s="33"/>
      <c r="X437" s="33"/>
      <c r="Y437" s="33"/>
      <c r="Z437" s="33"/>
      <c r="AA437" s="33"/>
      <c r="AB437" s="33"/>
      <c r="AC437" s="33"/>
      <c r="AD437" s="33"/>
      <c r="AE437" s="33"/>
      <c r="AF437" s="33"/>
      <c r="AG437" s="33"/>
      <c r="AH437" s="99" t="b">
        <f>INDEX(stable[q_standard],MATCH(questions[[#This Row],[qno]],stable[qno],0))</f>
        <v>0</v>
      </c>
      <c r="AI437" s="99" t="b">
        <f>INDEX(stable[q_living_income],MATCH(questions[[#This Row],[qno]],stable[qno],0))</f>
        <v>1</v>
      </c>
      <c r="AJ437" s="99" t="b">
        <f>INDEX(stable[q_carbon],MATCH(questions[[#This Row],[qno]],stable[qno],0))</f>
        <v>0</v>
      </c>
      <c r="AK437" s="99" t="b">
        <f>INDEX(stable[q_regen_ag],MATCH(questions[[#This Row],[qno]],stable[qno],0))</f>
        <v>0</v>
      </c>
      <c r="AL437" s="16" t="b">
        <f>COUNTIFS(stable[qno],questions[[#This Row],[qno]])=1</f>
        <v>1</v>
      </c>
      <c r="AM437" s="16" t="b">
        <f>OR(questions[[#This Row],[is_fixed]],questions[[#This Row],[is_localized]],questions[[#This Row],[is_supply_chain_dependent]])</f>
        <v>1</v>
      </c>
      <c r="AN437" s="16" t="b">
        <f>COUNTIFS(questions[[#This Row],[is_automated]:[is_multi_select]],TRUE)=1</f>
        <v>1</v>
      </c>
      <c r="AO437" s="16" t="b">
        <f>IF(questions[[#This Row],[is_fixed]],questions[[#This Row],[question]]=INDEX(stable[question],MATCH(questions[[#This Row],[qno]],stable[qno],0)),TRUE)</f>
        <v>1</v>
      </c>
      <c r="AP437" s="16" t="str">
        <f>LEFT(questions[[#This Row],[question]],similarity_range)</f>
        <v>How many seedlings d</v>
      </c>
      <c r="AQ437" s="16" t="str">
        <f>LEFT(INDEX(stable[question],MATCH(questions[[#This Row],[qno]],stable[qno],0)),similarity_range)</f>
        <v>How many seedlings d</v>
      </c>
      <c r="AR437" s="16" t="b">
        <f>questions[[#This Row],[question_first_characters]]=questions[[#This Row],[stability_first_characters]]</f>
        <v>1</v>
      </c>
      <c r="AS437" s="16" t="b">
        <f>IF(OR(questions[[#This Row],[is_single_select]],questions[[#This Row],[is_multi_select]]),NOT(ISBLANK(questions[[#This Row],[answer_opt_combined]])),TRUE)</f>
        <v>1</v>
      </c>
    </row>
    <row r="438" spans="1:45" s="77" customFormat="1" x14ac:dyDescent="0.25">
      <c r="A438" s="77" t="str">
        <f>_xlfn.TEXTJOIN("_",TRUE,questions[[#This Row],[origin]:[qno]])</f>
        <v>Vietnam_Robusta_Lam_Dong_Nestlé_IMPACT_6400</v>
      </c>
      <c r="B438" s="77" t="s">
        <v>673</v>
      </c>
      <c r="C438" s="77" t="s">
        <v>674</v>
      </c>
      <c r="D438" s="77" t="s">
        <v>675</v>
      </c>
      <c r="F438" s="104" t="s">
        <v>284</v>
      </c>
      <c r="G438" s="104" t="s">
        <v>285</v>
      </c>
      <c r="H438" s="33" t="str" cm="1">
        <f t="array" ref="H438">INDEX(stableR[question],MATCH(VALUE(questions[[#This Row],[qno]]),VALUE(stableR[qno]),0))</f>
        <v>Did you organize your own transport to the Sucafina coffee collection point where you delivered your coffee last year?</v>
      </c>
      <c r="I438" s="33" t="b" cm="1">
        <f t="array" ref="I438">INDEX(stable[is_fixed],MATCH(VALUE(questions[[#This Row],[qno]]),VALUE(stable[qno]),0))</f>
        <v>1</v>
      </c>
      <c r="J438" s="33" t="b" cm="1">
        <f t="array" ref="J438">INDEX(stable[is_localized],MATCH(VALUE(questions[[#This Row],[qno]]),VALUE(stable[qno]),0))</f>
        <v>0</v>
      </c>
      <c r="K438" s="33" t="b" cm="1">
        <f t="array" ref="K438">INDEX(stable[is_supply_chain_dependent],MATCH(VALUE(questions[[#This Row],[qno]]),VALUE(stable[qno]),0))</f>
        <v>0</v>
      </c>
      <c r="L438" s="33" t="b" cm="1">
        <f t="array" ref="L438">INDEX(stable[is_mandatory],MATCH(VALUE(questions[[#This Row],[qno]]),VALUE(stable[qno]),0))</f>
        <v>1</v>
      </c>
      <c r="M438" s="33" t="b" cm="1">
        <f t="array" ref="M438">INDEX(stable[is_automated],MATCH(VALUE(questions[[#This Row],[qno]]),VALUE(stable[qno]),0))</f>
        <v>0</v>
      </c>
      <c r="N438" s="33" t="b" cm="1">
        <f t="array" ref="N438">INDEX(stable[is_free_text],MATCH(VALUE(questions[[#This Row],[qno]]),VALUE(stable[qno]),0))</f>
        <v>0</v>
      </c>
      <c r="O438" s="33" t="b" cm="1">
        <f t="array" ref="O438">INDEX(stable[is_numerical],MATCH(VALUE(questions[[#This Row],[qno]]),VALUE(stable[qno]),0))</f>
        <v>0</v>
      </c>
      <c r="P438" s="103" t="b" cm="1">
        <f t="array" ref="P438">INDEX(stable[is_single_select],MATCH(VALUE(questions[[#This Row],[qno]]),VALUE(stable[qno]),0))</f>
        <v>1</v>
      </c>
      <c r="Q438" s="77" t="b" cm="1">
        <f t="array" ref="Q438">INDEX(stable[is_multi_select],MATCH(VALUE(questions[[#This Row],[qno]]),VALUE(stable[qno]),0))</f>
        <v>0</v>
      </c>
      <c r="R438" s="77" t="b" cm="1">
        <f t="array" ref="R438">INDEX(stable[is_skip_logic],MATCH(VALUE(questions[[#This Row],[qno]]),VALUE(stable[qno]),0))</f>
        <v>1</v>
      </c>
      <c r="S438" s="77" t="str">
        <f>_xlfn.TEXTJOIN(", ",TRUE,questions[[#This Row],[ans_opt_1]:[ans_opt_14]])</f>
        <v>Yes, No</v>
      </c>
      <c r="T438" s="77" t="s">
        <v>149</v>
      </c>
      <c r="U438" s="77" t="s">
        <v>119</v>
      </c>
      <c r="AH438" s="98" t="b">
        <f>INDEX(stable[q_standard],MATCH(questions[[#This Row],[qno]],stable[qno],0))</f>
        <v>0</v>
      </c>
      <c r="AI438" s="98" t="b">
        <f>INDEX(stable[q_living_income],MATCH(questions[[#This Row],[qno]],stable[qno],0))</f>
        <v>1</v>
      </c>
      <c r="AJ438" s="98" t="b">
        <f>INDEX(stable[q_carbon],MATCH(questions[[#This Row],[qno]],stable[qno],0))</f>
        <v>0</v>
      </c>
      <c r="AK438" s="98" t="b">
        <f>INDEX(stable[q_regen_ag],MATCH(questions[[#This Row],[qno]],stable[qno],0))</f>
        <v>0</v>
      </c>
      <c r="AL438" s="98" t="b">
        <f>COUNTIFS(stable[qno],questions[[#This Row],[qno]])=1</f>
        <v>1</v>
      </c>
      <c r="AM438" s="98" t="b">
        <f>OR(questions[[#This Row],[is_fixed]],questions[[#This Row],[is_localized]],questions[[#This Row],[is_supply_chain_dependent]])</f>
        <v>1</v>
      </c>
      <c r="AN438" s="98" t="b">
        <f>COUNTIFS(questions[[#This Row],[is_automated]:[is_multi_select]],TRUE)=1</f>
        <v>1</v>
      </c>
      <c r="AO438" s="98" t="b">
        <f>IF(questions[[#This Row],[is_fixed]],questions[[#This Row],[question]]=INDEX(stable[question],MATCH(questions[[#This Row],[qno]],stable[qno],0)),TRUE)</f>
        <v>1</v>
      </c>
      <c r="AP438" s="98" t="str">
        <f>LEFT(questions[[#This Row],[question]],similarity_range)</f>
        <v>Did you organize the</v>
      </c>
      <c r="AQ438" s="98" t="str">
        <f>LEFT(INDEX(stable[question],MATCH(questions[[#This Row],[qno]],stable[qno],0)),similarity_range)</f>
        <v>Did you organize the</v>
      </c>
      <c r="AR438" s="98" t="b">
        <f>questions[[#This Row],[question_first_characters]]=questions[[#This Row],[stability_first_characters]]</f>
        <v>1</v>
      </c>
      <c r="AS438" s="98" t="b">
        <f>IF(OR(questions[[#This Row],[is_single_select]],questions[[#This Row],[is_multi_select]]),NOT(ISBLANK(questions[[#This Row],[answer_opt_combined]])),TRUE)</f>
        <v>1</v>
      </c>
    </row>
    <row r="439" spans="1:45" x14ac:dyDescent="0.25">
      <c r="A439" s="33" t="str">
        <f>_xlfn.TEXTJOIN("_",TRUE,questions[[#This Row],[origin]:[qno]])</f>
        <v>Vietnam_Robusta_Lam_Dong_Nestlé_IMPACT_6401</v>
      </c>
      <c r="B439" s="33" t="s">
        <v>673</v>
      </c>
      <c r="C439" s="33" t="s">
        <v>674</v>
      </c>
      <c r="D439" s="33" t="s">
        <v>675</v>
      </c>
      <c r="E439" s="33"/>
      <c r="F439" s="34" t="s">
        <v>286</v>
      </c>
      <c r="G439" s="34" t="s">
        <v>287</v>
      </c>
      <c r="H439" s="33" t="str" cm="1">
        <f t="array" ref="H439">INDEX(stableR[question],MATCH(VALUE(questions[[#This Row],[qno]]),VALUE(stableR[qno]),0))</f>
        <v>How many trips did you need to make last year?</v>
      </c>
      <c r="I439" s="33" t="b" cm="1">
        <f t="array" ref="I439">INDEX(stable[is_fixed],MATCH(VALUE(questions[[#This Row],[qno]]),VALUE(stable[qno]),0))</f>
        <v>1</v>
      </c>
      <c r="J439" s="33" t="b" cm="1">
        <f t="array" ref="J439">INDEX(stable[is_localized],MATCH(VALUE(questions[[#This Row],[qno]]),VALUE(stable[qno]),0))</f>
        <v>0</v>
      </c>
      <c r="K439" s="33" t="b" cm="1">
        <f t="array" ref="K439">INDEX(stable[is_supply_chain_dependent],MATCH(VALUE(questions[[#This Row],[qno]]),VALUE(stable[qno]),0))</f>
        <v>0</v>
      </c>
      <c r="L439" s="33" t="b" cm="1">
        <f t="array" ref="L439">INDEX(stable[is_mandatory],MATCH(VALUE(questions[[#This Row],[qno]]),VALUE(stable[qno]),0))</f>
        <v>0</v>
      </c>
      <c r="M439" s="33" t="b" cm="1">
        <f t="array" ref="M439">INDEX(stable[is_automated],MATCH(VALUE(questions[[#This Row],[qno]]),VALUE(stable[qno]),0))</f>
        <v>0</v>
      </c>
      <c r="N439" s="33" t="b" cm="1">
        <f t="array" ref="N439">INDEX(stable[is_free_text],MATCH(VALUE(questions[[#This Row],[qno]]),VALUE(stable[qno]),0))</f>
        <v>0</v>
      </c>
      <c r="O439" s="33" t="b" cm="1">
        <f t="array" ref="O439">INDEX(stable[is_numerical],MATCH(VALUE(questions[[#This Row],[qno]]),VALUE(stable[qno]),0))</f>
        <v>1</v>
      </c>
      <c r="P439" s="35" t="b" cm="1">
        <f t="array" ref="P439">INDEX(stable[is_single_select],MATCH(VALUE(questions[[#This Row],[qno]]),VALUE(stable[qno]),0))</f>
        <v>0</v>
      </c>
      <c r="Q439" s="33" t="b" cm="1">
        <f t="array" ref="Q439">INDEX(stable[is_multi_select],MATCH(VALUE(questions[[#This Row],[qno]]),VALUE(stable[qno]),0))</f>
        <v>0</v>
      </c>
      <c r="R439" s="33" t="b" cm="1">
        <f t="array" ref="R439">INDEX(stable[is_skip_logic],MATCH(VALUE(questions[[#This Row],[qno]]),VALUE(stable[qno]),0))</f>
        <v>1</v>
      </c>
      <c r="S439" s="33" t="str">
        <f>_xlfn.TEXTJOIN(", ",TRUE,questions[[#This Row],[ans_opt_1]:[ans_opt_14]])</f>
        <v/>
      </c>
      <c r="T439" s="33"/>
      <c r="U439" s="33"/>
      <c r="V439" s="33"/>
      <c r="W439" s="33"/>
      <c r="X439" s="33"/>
      <c r="Y439" s="33"/>
      <c r="Z439" s="33"/>
      <c r="AA439" s="33"/>
      <c r="AB439" s="33"/>
      <c r="AC439" s="33"/>
      <c r="AD439" s="33"/>
      <c r="AE439" s="33"/>
      <c r="AF439" s="33"/>
      <c r="AG439" s="33"/>
      <c r="AH439" s="99" t="b">
        <f>INDEX(stable[q_standard],MATCH(questions[[#This Row],[qno]],stable[qno],0))</f>
        <v>0</v>
      </c>
      <c r="AI439" s="99" t="b">
        <f>INDEX(stable[q_living_income],MATCH(questions[[#This Row],[qno]],stable[qno],0))</f>
        <v>1</v>
      </c>
      <c r="AJ439" s="99" t="b">
        <f>INDEX(stable[q_carbon],MATCH(questions[[#This Row],[qno]],stable[qno],0))</f>
        <v>0</v>
      </c>
      <c r="AK439" s="99" t="b">
        <f>INDEX(stable[q_regen_ag],MATCH(questions[[#This Row],[qno]],stable[qno],0))</f>
        <v>0</v>
      </c>
      <c r="AL439" s="16" t="b">
        <f>COUNTIFS(stable[qno],questions[[#This Row],[qno]])=1</f>
        <v>1</v>
      </c>
      <c r="AM439" s="16" t="b">
        <f>OR(questions[[#This Row],[is_fixed]],questions[[#This Row],[is_localized]],questions[[#This Row],[is_supply_chain_dependent]])</f>
        <v>1</v>
      </c>
      <c r="AN439" s="16" t="b">
        <f>COUNTIFS(questions[[#This Row],[is_automated]:[is_multi_select]],TRUE)=1</f>
        <v>1</v>
      </c>
      <c r="AO439" s="16" t="b">
        <f>IF(questions[[#This Row],[is_fixed]],questions[[#This Row],[question]]=INDEX(stable[question],MATCH(questions[[#This Row],[qno]],stable[qno],0)),TRUE)</f>
        <v>0</v>
      </c>
      <c r="AP439" s="16" t="str">
        <f>LEFT(questions[[#This Row],[question]],similarity_range)</f>
        <v>If yes, how many tri</v>
      </c>
      <c r="AQ439" s="16" t="str">
        <f>LEFT(INDEX(stable[question],MATCH(questions[[#This Row],[qno]],stable[qno],0)),similarity_range)</f>
        <v>If yes, how many tri</v>
      </c>
      <c r="AR439" s="16" t="b">
        <f>questions[[#This Row],[question_first_characters]]=questions[[#This Row],[stability_first_characters]]</f>
        <v>1</v>
      </c>
      <c r="AS439" s="16" t="b">
        <f>IF(OR(questions[[#This Row],[is_single_select]],questions[[#This Row],[is_multi_select]]),NOT(ISBLANK(questions[[#This Row],[answer_opt_combined]])),TRUE)</f>
        <v>1</v>
      </c>
    </row>
    <row r="440" spans="1:45" x14ac:dyDescent="0.25">
      <c r="A440" s="33" t="str">
        <f>_xlfn.TEXTJOIN("_",TRUE,questions[[#This Row],[origin]:[qno]])</f>
        <v>Vietnam_Robusta_Lam_Dong_Nestlé_IMPACT_6402</v>
      </c>
      <c r="B440" s="33" t="s">
        <v>673</v>
      </c>
      <c r="C440" s="33" t="s">
        <v>674</v>
      </c>
      <c r="D440" s="33" t="s">
        <v>675</v>
      </c>
      <c r="E440" s="33"/>
      <c r="F440" s="34" t="s">
        <v>288</v>
      </c>
      <c r="G440" s="34" t="s">
        <v>714</v>
      </c>
      <c r="H440" s="33" t="str" cm="1">
        <f t="array" ref="H440">INDEX(stableR[question],MATCH(VALUE(questions[[#This Row],[qno]]),VALUE(stableR[qno]),0))</f>
        <v>What were the costs per trip (the costs you make your self, or what you pay to someone to do the transport for you)? (in local currency)</v>
      </c>
      <c r="I440" s="33" t="b" cm="1">
        <f t="array" ref="I440">INDEX(stable[is_fixed],MATCH(VALUE(questions[[#This Row],[qno]]),VALUE(stable[qno]),0))</f>
        <v>0</v>
      </c>
      <c r="J440" s="33" t="b" cm="1">
        <f t="array" ref="J440">INDEX(stable[is_localized],MATCH(VALUE(questions[[#This Row],[qno]]),VALUE(stable[qno]),0))</f>
        <v>1</v>
      </c>
      <c r="K440" s="33" t="b" cm="1">
        <f t="array" ref="K440">INDEX(stable[is_supply_chain_dependent],MATCH(VALUE(questions[[#This Row],[qno]]),VALUE(stable[qno]),0))</f>
        <v>0</v>
      </c>
      <c r="L440" s="33" t="b" cm="1">
        <f t="array" ref="L440">INDEX(stable[is_mandatory],MATCH(VALUE(questions[[#This Row],[qno]]),VALUE(stable[qno]),0))</f>
        <v>0</v>
      </c>
      <c r="M440" s="33" t="b" cm="1">
        <f t="array" ref="M440">INDEX(stable[is_automated],MATCH(VALUE(questions[[#This Row],[qno]]),VALUE(stable[qno]),0))</f>
        <v>0</v>
      </c>
      <c r="N440" s="33" t="b" cm="1">
        <f t="array" ref="N440">INDEX(stable[is_free_text],MATCH(VALUE(questions[[#This Row],[qno]]),VALUE(stable[qno]),0))</f>
        <v>0</v>
      </c>
      <c r="O440" s="33" t="b" cm="1">
        <f t="array" ref="O440">INDEX(stable[is_numerical],MATCH(VALUE(questions[[#This Row],[qno]]),VALUE(stable[qno]),0))</f>
        <v>1</v>
      </c>
      <c r="P440" s="35" t="b" cm="1">
        <f t="array" ref="P440">INDEX(stable[is_single_select],MATCH(VALUE(questions[[#This Row],[qno]]),VALUE(stable[qno]),0))</f>
        <v>0</v>
      </c>
      <c r="Q440" s="33" t="b" cm="1">
        <f t="array" ref="Q440">INDEX(stable[is_multi_select],MATCH(VALUE(questions[[#This Row],[qno]]),VALUE(stable[qno]),0))</f>
        <v>0</v>
      </c>
      <c r="R440" s="33" t="b" cm="1">
        <f t="array" ref="R440">INDEX(stable[is_skip_logic],MATCH(VALUE(questions[[#This Row],[qno]]),VALUE(stable[qno]),0))</f>
        <v>1</v>
      </c>
      <c r="S440" s="33" t="str">
        <f>_xlfn.TEXTJOIN(", ",TRUE,questions[[#This Row],[ans_opt_1]:[ans_opt_14]])</f>
        <v/>
      </c>
      <c r="T440" s="33"/>
      <c r="U440" s="33"/>
      <c r="V440" s="33"/>
      <c r="W440" s="33"/>
      <c r="X440" s="33"/>
      <c r="Y440" s="33"/>
      <c r="Z440" s="33"/>
      <c r="AA440" s="33"/>
      <c r="AB440" s="33"/>
      <c r="AC440" s="33"/>
      <c r="AD440" s="33"/>
      <c r="AE440" s="33"/>
      <c r="AF440" s="33"/>
      <c r="AG440" s="33"/>
      <c r="AH440" s="99" t="b">
        <f>INDEX(stable[q_standard],MATCH(questions[[#This Row],[qno]],stable[qno],0))</f>
        <v>0</v>
      </c>
      <c r="AI440" s="99" t="b">
        <f>INDEX(stable[q_living_income],MATCH(questions[[#This Row],[qno]],stable[qno],0))</f>
        <v>1</v>
      </c>
      <c r="AJ440" s="99" t="b">
        <f>INDEX(stable[q_carbon],MATCH(questions[[#This Row],[qno]],stable[qno],0))</f>
        <v>0</v>
      </c>
      <c r="AK440" s="99" t="b">
        <f>INDEX(stable[q_regen_ag],MATCH(questions[[#This Row],[qno]],stable[qno],0))</f>
        <v>0</v>
      </c>
      <c r="AL440" s="16" t="b">
        <f>COUNTIFS(stable[qno],questions[[#This Row],[qno]])=1</f>
        <v>1</v>
      </c>
      <c r="AM440" s="16" t="b">
        <f>OR(questions[[#This Row],[is_fixed]],questions[[#This Row],[is_localized]],questions[[#This Row],[is_supply_chain_dependent]])</f>
        <v>1</v>
      </c>
      <c r="AN440" s="16" t="b">
        <f>COUNTIFS(questions[[#This Row],[is_automated]:[is_multi_select]],TRUE)=1</f>
        <v>1</v>
      </c>
      <c r="AO440" s="16" t="b">
        <f>IF(questions[[#This Row],[is_fixed]],questions[[#This Row],[question]]=INDEX(stable[question],MATCH(questions[[#This Row],[qno]],stable[qno],0)),TRUE)</f>
        <v>1</v>
      </c>
      <c r="AP440" s="16" t="str">
        <f>LEFT(questions[[#This Row],[question]],similarity_range)</f>
        <v>If yes, in general w</v>
      </c>
      <c r="AQ440" s="16" t="str">
        <f>LEFT(INDEX(stable[question],MATCH(questions[[#This Row],[qno]],stable[qno],0)),similarity_range)</f>
        <v>If yes, in general w</v>
      </c>
      <c r="AR440" s="16" t="b">
        <f>questions[[#This Row],[question_first_characters]]=questions[[#This Row],[stability_first_characters]]</f>
        <v>1</v>
      </c>
      <c r="AS440" s="16" t="b">
        <f>IF(OR(questions[[#This Row],[is_single_select]],questions[[#This Row],[is_multi_select]]),NOT(ISBLANK(questions[[#This Row],[answer_opt_combined]])),TRUE)</f>
        <v>1</v>
      </c>
    </row>
    <row r="441" spans="1:45" s="77" customFormat="1" x14ac:dyDescent="0.25">
      <c r="A441" s="77" t="str">
        <f>_xlfn.TEXTJOIN("_",TRUE,questions[[#This Row],[origin]:[qno]])</f>
        <v>Vietnam_Robusta_Lam_Dong_Nestlé_IMPACT_6500</v>
      </c>
      <c r="B441" s="77" t="s">
        <v>673</v>
      </c>
      <c r="C441" s="77" t="s">
        <v>674</v>
      </c>
      <c r="D441" s="77" t="s">
        <v>675</v>
      </c>
      <c r="F441" s="104" t="s">
        <v>290</v>
      </c>
      <c r="G441" s="78" t="s">
        <v>291</v>
      </c>
      <c r="H441" s="33" t="str" cm="1">
        <f t="array" ref="H441">INDEX(stableR[question],MATCH(VALUE(questions[[#This Row],[qno]]),VALUE(stableR[qno]),0))</f>
        <v>What are your sources of income for the total household, from the farm and off-farm?</v>
      </c>
      <c r="I441" s="33" t="b" cm="1">
        <f t="array" ref="I441">INDEX(stable[is_fixed],MATCH(VALUE(questions[[#This Row],[qno]]),VALUE(stable[qno]),0))</f>
        <v>1</v>
      </c>
      <c r="J441" s="33" t="b" cm="1">
        <f t="array" ref="J441">INDEX(stable[is_localized],MATCH(VALUE(questions[[#This Row],[qno]]),VALUE(stable[qno]),0))</f>
        <v>0</v>
      </c>
      <c r="K441" s="33" t="b" cm="1">
        <f t="array" ref="K441">INDEX(stable[is_supply_chain_dependent],MATCH(VALUE(questions[[#This Row],[qno]]),VALUE(stable[qno]),0))</f>
        <v>0</v>
      </c>
      <c r="L441" s="33" t="b" cm="1">
        <f t="array" ref="L441">INDEX(stable[is_mandatory],MATCH(VALUE(questions[[#This Row],[qno]]),VALUE(stable[qno]),0))</f>
        <v>1</v>
      </c>
      <c r="M441" s="33" t="b" cm="1">
        <f t="array" ref="M441">INDEX(stable[is_automated],MATCH(VALUE(questions[[#This Row],[qno]]),VALUE(stable[qno]),0))</f>
        <v>0</v>
      </c>
      <c r="N441" s="33" t="b" cm="1">
        <f t="array" ref="N441">INDEX(stable[is_free_text],MATCH(VALUE(questions[[#This Row],[qno]]),VALUE(stable[qno]),0))</f>
        <v>0</v>
      </c>
      <c r="O441" s="33" t="b" cm="1">
        <f t="array" ref="O441">INDEX(stable[is_numerical],MATCH(VALUE(questions[[#This Row],[qno]]),VALUE(stable[qno]),0))</f>
        <v>0</v>
      </c>
      <c r="P441" s="103" t="b" cm="1">
        <f t="array" ref="P441">INDEX(stable[is_single_select],MATCH(VALUE(questions[[#This Row],[qno]]),VALUE(stable[qno]),0))</f>
        <v>0</v>
      </c>
      <c r="Q441" s="77" t="b" cm="1">
        <f t="array" ref="Q441">INDEX(stable[is_multi_select],MATCH(VALUE(questions[[#This Row],[qno]]),VALUE(stable[qno]),0))</f>
        <v>1</v>
      </c>
      <c r="R441" s="77" t="b" cm="1">
        <f t="array" ref="R441">INDEX(stable[is_skip_logic],MATCH(VALUE(questions[[#This Row],[qno]]),VALUE(stable[qno]),0))</f>
        <v>1</v>
      </c>
      <c r="S441" s="77" t="str">
        <f>_xlfn.TEXTJOIN(", ",TRUE,questions[[#This Row],[ans_opt_1]:[ans_opt_14]])</f>
        <v>Coffee, Cropping, Livestock, Casual labor in agriculture, Casual labor off-farm, Other business, Salaried job, Pension, Remittances</v>
      </c>
      <c r="T441" s="77" t="s">
        <v>292</v>
      </c>
      <c r="U441" s="77" t="s">
        <v>293</v>
      </c>
      <c r="V441" s="77" t="s">
        <v>294</v>
      </c>
      <c r="W441" s="77" t="s">
        <v>295</v>
      </c>
      <c r="X441" s="77" t="s">
        <v>296</v>
      </c>
      <c r="Y441" s="77" t="s">
        <v>297</v>
      </c>
      <c r="Z441" s="77" t="s">
        <v>298</v>
      </c>
      <c r="AA441" s="77" t="s">
        <v>299</v>
      </c>
      <c r="AB441" s="77" t="s">
        <v>300</v>
      </c>
      <c r="AH441" s="98" t="b">
        <f>INDEX(stable[q_standard],MATCH(questions[[#This Row],[qno]],stable[qno],0))</f>
        <v>0</v>
      </c>
      <c r="AI441" s="98" t="b">
        <f>INDEX(stable[q_living_income],MATCH(questions[[#This Row],[qno]],stable[qno],0))</f>
        <v>1</v>
      </c>
      <c r="AJ441" s="98" t="b">
        <f>INDEX(stable[q_carbon],MATCH(questions[[#This Row],[qno]],stable[qno],0))</f>
        <v>0</v>
      </c>
      <c r="AK441" s="98" t="b">
        <f>INDEX(stable[q_regen_ag],MATCH(questions[[#This Row],[qno]],stable[qno],0))</f>
        <v>0</v>
      </c>
      <c r="AL441" s="98" t="b">
        <f>COUNTIFS(stable[qno],questions[[#This Row],[qno]])=1</f>
        <v>1</v>
      </c>
      <c r="AM441" s="98" t="b">
        <f>OR(questions[[#This Row],[is_fixed]],questions[[#This Row],[is_localized]],questions[[#This Row],[is_supply_chain_dependent]])</f>
        <v>1</v>
      </c>
      <c r="AN441" s="98" t="b">
        <f>COUNTIFS(questions[[#This Row],[is_automated]:[is_multi_select]],TRUE)=1</f>
        <v>1</v>
      </c>
      <c r="AO441" s="98" t="b">
        <f>IF(questions[[#This Row],[is_fixed]],questions[[#This Row],[question]]=INDEX(stable[question],MATCH(questions[[#This Row],[qno]],stable[qno],0)),TRUE)</f>
        <v>1</v>
      </c>
      <c r="AP441" s="98" t="str">
        <f>LEFT(questions[[#This Row],[question]],similarity_range)</f>
        <v>What are your source</v>
      </c>
      <c r="AQ441" s="98" t="str">
        <f>LEFT(INDEX(stable[question],MATCH(questions[[#This Row],[qno]],stable[qno],0)),similarity_range)</f>
        <v>What are your source</v>
      </c>
      <c r="AR441" s="98" t="b">
        <f>questions[[#This Row],[question_first_characters]]=questions[[#This Row],[stability_first_characters]]</f>
        <v>1</v>
      </c>
      <c r="AS441" s="98" t="b">
        <f>IF(OR(questions[[#This Row],[is_single_select]],questions[[#This Row],[is_multi_select]]),NOT(ISBLANK(questions[[#This Row],[answer_opt_combined]])),TRUE)</f>
        <v>1</v>
      </c>
    </row>
    <row r="442" spans="1:45" x14ac:dyDescent="0.25">
      <c r="A442" s="33" t="str">
        <f>_xlfn.TEXTJOIN("_",TRUE,questions[[#This Row],[origin]:[qno]])</f>
        <v>Vietnam_Robusta_Lam_Dong_Nestlé_IMPACT_6501</v>
      </c>
      <c r="B442" s="33" t="s">
        <v>673</v>
      </c>
      <c r="C442" s="33" t="s">
        <v>674</v>
      </c>
      <c r="D442" s="33" t="s">
        <v>675</v>
      </c>
      <c r="E442" s="33"/>
      <c r="F442" s="34" t="s">
        <v>301</v>
      </c>
      <c r="G442" s="34" t="s">
        <v>302</v>
      </c>
      <c r="H442" s="33" t="str" cm="1">
        <f t="array" ref="H442">INDEX(stableR[question],MATCH(VALUE(questions[[#This Row],[qno]]),VALUE(stableR[qno]),0))</f>
        <v>For each of the sources of income that you have, please estimate the importance in terms of income for last year, as compared to the total household income! (next questions)</v>
      </c>
      <c r="I442" s="33" t="b" cm="1">
        <f t="array" ref="I442">INDEX(stable[is_fixed],MATCH(VALUE(questions[[#This Row],[qno]]),VALUE(stable[qno]),0))</f>
        <v>1</v>
      </c>
      <c r="J442" s="33" t="b" cm="1">
        <f t="array" ref="J442">INDEX(stable[is_localized],MATCH(VALUE(questions[[#This Row],[qno]]),VALUE(stable[qno]),0))</f>
        <v>0</v>
      </c>
      <c r="K442" s="33" t="b" cm="1">
        <f t="array" ref="K442">INDEX(stable[is_supply_chain_dependent],MATCH(VALUE(questions[[#This Row],[qno]]),VALUE(stable[qno]),0))</f>
        <v>0</v>
      </c>
      <c r="L442" s="33" t="b" cm="1">
        <f t="array" ref="L442">INDEX(stable[is_mandatory],MATCH(VALUE(questions[[#This Row],[qno]]),VALUE(stable[qno]),0))</f>
        <v>1</v>
      </c>
      <c r="M442" s="33" t="b" cm="1">
        <f t="array" ref="M442">INDEX(stable[is_automated],MATCH(VALUE(questions[[#This Row],[qno]]),VALUE(stable[qno]),0))</f>
        <v>1</v>
      </c>
      <c r="N442" s="33" t="b" cm="1">
        <f t="array" ref="N442">INDEX(stable[is_free_text],MATCH(VALUE(questions[[#This Row],[qno]]),VALUE(stable[qno]),0))</f>
        <v>0</v>
      </c>
      <c r="O442" s="33" t="b" cm="1">
        <f t="array" ref="O442">INDEX(stable[is_numerical],MATCH(VALUE(questions[[#This Row],[qno]]),VALUE(stable[qno]),0))</f>
        <v>0</v>
      </c>
      <c r="P442" s="35" t="b" cm="1">
        <f t="array" ref="P442">INDEX(stable[is_single_select],MATCH(VALUE(questions[[#This Row],[qno]]),VALUE(stable[qno]),0))</f>
        <v>0</v>
      </c>
      <c r="Q442" s="33" t="b" cm="1">
        <f t="array" ref="Q442">INDEX(stable[is_multi_select],MATCH(VALUE(questions[[#This Row],[qno]]),VALUE(stable[qno]),0))</f>
        <v>0</v>
      </c>
      <c r="R442" s="33" t="b" cm="1">
        <f t="array" ref="R442">INDEX(stable[is_skip_logic],MATCH(VALUE(questions[[#This Row],[qno]]),VALUE(stable[qno]),0))</f>
        <v>0</v>
      </c>
      <c r="S442" s="33" t="str">
        <f>_xlfn.TEXTJOIN(", ",TRUE,questions[[#This Row],[ans_opt_1]:[ans_opt_14]])</f>
        <v/>
      </c>
      <c r="T442" s="33"/>
      <c r="U442" s="33"/>
      <c r="V442" s="33"/>
      <c r="W442" s="33"/>
      <c r="X442" s="33"/>
      <c r="Y442" s="33"/>
      <c r="Z442" s="33"/>
      <c r="AA442" s="33"/>
      <c r="AB442" s="33"/>
      <c r="AC442" s="33"/>
      <c r="AD442" s="33"/>
      <c r="AE442" s="33"/>
      <c r="AF442" s="33"/>
      <c r="AG442" s="33"/>
      <c r="AH442" s="99" t="b">
        <f>INDEX(stable[q_standard],MATCH(questions[[#This Row],[qno]],stable[qno],0))</f>
        <v>0</v>
      </c>
      <c r="AI442" s="99" t="b">
        <f>INDEX(stable[q_living_income],MATCH(questions[[#This Row],[qno]],stable[qno],0))</f>
        <v>1</v>
      </c>
      <c r="AJ442" s="99" t="b">
        <f>INDEX(stable[q_carbon],MATCH(questions[[#This Row],[qno]],stable[qno],0))</f>
        <v>0</v>
      </c>
      <c r="AK442" s="99" t="b">
        <f>INDEX(stable[q_regen_ag],MATCH(questions[[#This Row],[qno]],stable[qno],0))</f>
        <v>0</v>
      </c>
      <c r="AL442" s="16" t="b">
        <f>COUNTIFS(stable[qno],questions[[#This Row],[qno]])=1</f>
        <v>1</v>
      </c>
      <c r="AM442" s="16" t="b">
        <f>OR(questions[[#This Row],[is_fixed]],questions[[#This Row],[is_localized]],questions[[#This Row],[is_supply_chain_dependent]])</f>
        <v>1</v>
      </c>
      <c r="AN442" s="16" t="b">
        <f>COUNTIFS(questions[[#This Row],[is_automated]:[is_multi_select]],TRUE)=1</f>
        <v>1</v>
      </c>
      <c r="AO442" s="16" t="b">
        <f>IF(questions[[#This Row],[is_fixed]],questions[[#This Row],[question]]=INDEX(stable[question],MATCH(questions[[#This Row],[qno]],stable[qno],0)),TRUE)</f>
        <v>0</v>
      </c>
      <c r="AP442" s="16" t="str">
        <f>LEFT(questions[[#This Row],[question]],similarity_range)</f>
        <v>For each of the sour</v>
      </c>
      <c r="AQ442" s="16" t="str">
        <f>LEFT(INDEX(stable[question],MATCH(questions[[#This Row],[qno]],stable[qno],0)),similarity_range)</f>
        <v>For each of the sour</v>
      </c>
      <c r="AR442" s="16" t="b">
        <f>questions[[#This Row],[question_first_characters]]=questions[[#This Row],[stability_first_characters]]</f>
        <v>1</v>
      </c>
      <c r="AS442" s="16" t="b">
        <f>IF(OR(questions[[#This Row],[is_single_select]],questions[[#This Row],[is_multi_select]]),NOT(ISBLANK(questions[[#This Row],[answer_opt_combined]])),TRUE)</f>
        <v>1</v>
      </c>
    </row>
    <row r="443" spans="1:45" s="77" customFormat="1" x14ac:dyDescent="0.25">
      <c r="A443" s="77" t="str">
        <f>_xlfn.TEXTJOIN("_",TRUE,questions[[#This Row],[origin]:[qno]])</f>
        <v>Vietnam_Robusta_Lam_Dong_Nestlé_IMPACT_6510</v>
      </c>
      <c r="B443" s="77" t="s">
        <v>673</v>
      </c>
      <c r="C443" s="77" t="s">
        <v>674</v>
      </c>
      <c r="D443" s="77" t="s">
        <v>675</v>
      </c>
      <c r="F443" s="104" t="s">
        <v>303</v>
      </c>
      <c r="G443" s="78" t="s">
        <v>304</v>
      </c>
      <c r="H443" s="33" t="str" cm="1">
        <f t="array" ref="H443">INDEX(stableR[question],MATCH(VALUE(questions[[#This Row],[qno]]),VALUE(stableR[qno]),0))</f>
        <v>Coffee, what was the estimated importance?</v>
      </c>
      <c r="I443" s="33" t="b" cm="1">
        <f t="array" ref="I443">INDEX(stable[is_fixed],MATCH(VALUE(questions[[#This Row],[qno]]),VALUE(stable[qno]),0))</f>
        <v>1</v>
      </c>
      <c r="J443" s="33" t="b" cm="1">
        <f t="array" ref="J443">INDEX(stable[is_localized],MATCH(VALUE(questions[[#This Row],[qno]]),VALUE(stable[qno]),0))</f>
        <v>0</v>
      </c>
      <c r="K443" s="33" t="b" cm="1">
        <f t="array" ref="K443">INDEX(stable[is_supply_chain_dependent],MATCH(VALUE(questions[[#This Row],[qno]]),VALUE(stable[qno]),0))</f>
        <v>0</v>
      </c>
      <c r="L443" s="33" t="b" cm="1">
        <f t="array" ref="L443">INDEX(stable[is_mandatory],MATCH(VALUE(questions[[#This Row],[qno]]),VALUE(stable[qno]),0))</f>
        <v>0</v>
      </c>
      <c r="M443" s="33" t="b" cm="1">
        <f t="array" ref="M443">INDEX(stable[is_automated],MATCH(VALUE(questions[[#This Row],[qno]]),VALUE(stable[qno]),0))</f>
        <v>0</v>
      </c>
      <c r="N443" s="33" t="b" cm="1">
        <f t="array" ref="N443">INDEX(stable[is_free_text],MATCH(VALUE(questions[[#This Row],[qno]]),VALUE(stable[qno]),0))</f>
        <v>0</v>
      </c>
      <c r="O443" s="33" t="b" cm="1">
        <f t="array" ref="O443">INDEX(stable[is_numerical],MATCH(VALUE(questions[[#This Row],[qno]]),VALUE(stable[qno]),0))</f>
        <v>0</v>
      </c>
      <c r="P443" s="103" t="b" cm="1">
        <f t="array" ref="P443">INDEX(stable[is_single_select],MATCH(VALUE(questions[[#This Row],[qno]]),VALUE(stable[qno]),0))</f>
        <v>1</v>
      </c>
      <c r="Q443" s="77" t="b" cm="1">
        <f t="array" ref="Q443">INDEX(stable[is_multi_select],MATCH(VALUE(questions[[#This Row],[qno]]),VALUE(stable[qno]),0))</f>
        <v>0</v>
      </c>
      <c r="R443" s="77" t="b" cm="1">
        <f t="array" ref="R443">INDEX(stable[is_skip_logic],MATCH(VALUE(questions[[#This Row],[qno]]),VALUE(stable[qno]),0))</f>
        <v>0</v>
      </c>
      <c r="S443" s="77" t="str">
        <f>_xlfn.TEXTJOIN(", ",TRUE,questions[[#This Row],[ans_opt_1]:[ans_opt_14]])</f>
        <v>All or nearly all - 80-100%, More than half of it  - 60-80%, About half of it - 40-60%, Less than half of it - 20-40%, A small amount - 0-20%</v>
      </c>
      <c r="T443" s="77" t="s">
        <v>305</v>
      </c>
      <c r="U443" s="77" t="s">
        <v>306</v>
      </c>
      <c r="V443" s="77" t="s">
        <v>307</v>
      </c>
      <c r="W443" s="77" t="s">
        <v>308</v>
      </c>
      <c r="X443" s="77" t="s">
        <v>309</v>
      </c>
      <c r="AH443" s="98" t="b">
        <f>INDEX(stable[q_standard],MATCH(questions[[#This Row],[qno]],stable[qno],0))</f>
        <v>0</v>
      </c>
      <c r="AI443" s="98" t="b">
        <f>INDEX(stable[q_living_income],MATCH(questions[[#This Row],[qno]],stable[qno],0))</f>
        <v>1</v>
      </c>
      <c r="AJ443" s="98" t="b">
        <f>INDEX(stable[q_carbon],MATCH(questions[[#This Row],[qno]],stable[qno],0))</f>
        <v>0</v>
      </c>
      <c r="AK443" s="98" t="b">
        <f>INDEX(stable[q_regen_ag],MATCH(questions[[#This Row],[qno]],stable[qno],0))</f>
        <v>0</v>
      </c>
      <c r="AL443" s="98" t="b">
        <f>COUNTIFS(stable[qno],questions[[#This Row],[qno]])=1</f>
        <v>1</v>
      </c>
      <c r="AM443" s="98" t="b">
        <f>OR(questions[[#This Row],[is_fixed]],questions[[#This Row],[is_localized]],questions[[#This Row],[is_supply_chain_dependent]])</f>
        <v>1</v>
      </c>
      <c r="AN443" s="98" t="b">
        <f>COUNTIFS(questions[[#This Row],[is_automated]:[is_multi_select]],TRUE)=1</f>
        <v>1</v>
      </c>
      <c r="AO443" s="98" t="b">
        <f>IF(questions[[#This Row],[is_fixed]],questions[[#This Row],[question]]=INDEX(stable[question],MATCH(questions[[#This Row],[qno]],stable[qno],0)),TRUE)</f>
        <v>1</v>
      </c>
      <c r="AP443" s="98" t="str">
        <f>LEFT(questions[[#This Row],[question]],similarity_range)</f>
        <v>Coffee, what was the</v>
      </c>
      <c r="AQ443" s="98" t="str">
        <f>LEFT(INDEX(stable[question],MATCH(questions[[#This Row],[qno]],stable[qno],0)),similarity_range)</f>
        <v>Coffee, what was the</v>
      </c>
      <c r="AR443" s="98" t="b">
        <f>questions[[#This Row],[question_first_characters]]=questions[[#This Row],[stability_first_characters]]</f>
        <v>1</v>
      </c>
      <c r="AS443" s="98" t="b">
        <f>IF(OR(questions[[#This Row],[is_single_select]],questions[[#This Row],[is_multi_select]]),NOT(ISBLANK(questions[[#This Row],[answer_opt_combined]])),TRUE)</f>
        <v>1</v>
      </c>
    </row>
    <row r="444" spans="1:45" s="77" customFormat="1" x14ac:dyDescent="0.25">
      <c r="A444" s="77" t="str">
        <f>_xlfn.TEXTJOIN("_",TRUE,questions[[#This Row],[origin]:[qno]])</f>
        <v>Vietnam_Robusta_Lam_Dong_Nestlé_IMPACT_6511</v>
      </c>
      <c r="B444" s="77" t="s">
        <v>673</v>
      </c>
      <c r="C444" s="77" t="s">
        <v>674</v>
      </c>
      <c r="D444" s="77" t="s">
        <v>675</v>
      </c>
      <c r="F444" s="104" t="s">
        <v>310</v>
      </c>
      <c r="G444" s="78" t="s">
        <v>311</v>
      </c>
      <c r="H444" s="33" t="str" cm="1">
        <f t="array" ref="H444">INDEX(stableR[question],MATCH(VALUE(questions[[#This Row],[qno]]),VALUE(stableR[qno]),0))</f>
        <v>Cropping other than coffee, what was the estimated importance?</v>
      </c>
      <c r="I444" s="33" t="b" cm="1">
        <f t="array" ref="I444">INDEX(stable[is_fixed],MATCH(VALUE(questions[[#This Row],[qno]]),VALUE(stable[qno]),0))</f>
        <v>1</v>
      </c>
      <c r="J444" s="33" t="b" cm="1">
        <f t="array" ref="J444">INDEX(stable[is_localized],MATCH(VALUE(questions[[#This Row],[qno]]),VALUE(stable[qno]),0))</f>
        <v>0</v>
      </c>
      <c r="K444" s="33" t="b" cm="1">
        <f t="array" ref="K444">INDEX(stable[is_supply_chain_dependent],MATCH(VALUE(questions[[#This Row],[qno]]),VALUE(stable[qno]),0))</f>
        <v>0</v>
      </c>
      <c r="L444" s="33" t="b" cm="1">
        <f t="array" ref="L444">INDEX(stable[is_mandatory],MATCH(VALUE(questions[[#This Row],[qno]]),VALUE(stable[qno]),0))</f>
        <v>0</v>
      </c>
      <c r="M444" s="33" t="b" cm="1">
        <f t="array" ref="M444">INDEX(stable[is_automated],MATCH(VALUE(questions[[#This Row],[qno]]),VALUE(stable[qno]),0))</f>
        <v>0</v>
      </c>
      <c r="N444" s="33" t="b" cm="1">
        <f t="array" ref="N444">INDEX(stable[is_free_text],MATCH(VALUE(questions[[#This Row],[qno]]),VALUE(stable[qno]),0))</f>
        <v>0</v>
      </c>
      <c r="O444" s="33" t="b" cm="1">
        <f t="array" ref="O444">INDEX(stable[is_numerical],MATCH(VALUE(questions[[#This Row],[qno]]),VALUE(stable[qno]),0))</f>
        <v>0</v>
      </c>
      <c r="P444" s="103" t="b" cm="1">
        <f t="array" ref="P444">INDEX(stable[is_single_select],MATCH(VALUE(questions[[#This Row],[qno]]),VALUE(stable[qno]),0))</f>
        <v>1</v>
      </c>
      <c r="Q444" s="77" t="b" cm="1">
        <f t="array" ref="Q444">INDEX(stable[is_multi_select],MATCH(VALUE(questions[[#This Row],[qno]]),VALUE(stable[qno]),0))</f>
        <v>0</v>
      </c>
      <c r="R444" s="77" t="b" cm="1">
        <f t="array" ref="R444">INDEX(stable[is_skip_logic],MATCH(VALUE(questions[[#This Row],[qno]]),VALUE(stable[qno]),0))</f>
        <v>0</v>
      </c>
      <c r="S444" s="77" t="str">
        <f>_xlfn.TEXTJOIN(", ",TRUE,questions[[#This Row],[ans_opt_1]:[ans_opt_14]])</f>
        <v>All or nearly all - 80-100%, More than half of it  - 60-80%, About half of it - 40-60%, Less than half of it - 20-40%, A small amount - 0-20%</v>
      </c>
      <c r="T444" s="77" t="s">
        <v>305</v>
      </c>
      <c r="U444" s="77" t="s">
        <v>306</v>
      </c>
      <c r="V444" s="77" t="s">
        <v>307</v>
      </c>
      <c r="W444" s="77" t="s">
        <v>308</v>
      </c>
      <c r="X444" s="77" t="s">
        <v>309</v>
      </c>
      <c r="AH444" s="98" t="b">
        <f>INDEX(stable[q_standard],MATCH(questions[[#This Row],[qno]],stable[qno],0))</f>
        <v>0</v>
      </c>
      <c r="AI444" s="98" t="b">
        <f>INDEX(stable[q_living_income],MATCH(questions[[#This Row],[qno]],stable[qno],0))</f>
        <v>1</v>
      </c>
      <c r="AJ444" s="98" t="b">
        <f>INDEX(stable[q_carbon],MATCH(questions[[#This Row],[qno]],stable[qno],0))</f>
        <v>0</v>
      </c>
      <c r="AK444" s="98" t="b">
        <f>INDEX(stable[q_regen_ag],MATCH(questions[[#This Row],[qno]],stable[qno],0))</f>
        <v>0</v>
      </c>
      <c r="AL444" s="98" t="b">
        <f>COUNTIFS(stable[qno],questions[[#This Row],[qno]])=1</f>
        <v>1</v>
      </c>
      <c r="AM444" s="98" t="b">
        <f>OR(questions[[#This Row],[is_fixed]],questions[[#This Row],[is_localized]],questions[[#This Row],[is_supply_chain_dependent]])</f>
        <v>1</v>
      </c>
      <c r="AN444" s="98" t="b">
        <f>COUNTIFS(questions[[#This Row],[is_automated]:[is_multi_select]],TRUE)=1</f>
        <v>1</v>
      </c>
      <c r="AO444" s="98" t="b">
        <f>IF(questions[[#This Row],[is_fixed]],questions[[#This Row],[question]]=INDEX(stable[question],MATCH(questions[[#This Row],[qno]],stable[qno],0)),TRUE)</f>
        <v>1</v>
      </c>
      <c r="AP444" s="98" t="str">
        <f>LEFT(questions[[#This Row],[question]],similarity_range)</f>
        <v xml:space="preserve">Cropping other than </v>
      </c>
      <c r="AQ444" s="98" t="str">
        <f>LEFT(INDEX(stable[question],MATCH(questions[[#This Row],[qno]],stable[qno],0)),similarity_range)</f>
        <v xml:space="preserve">Cropping other than </v>
      </c>
      <c r="AR444" s="98" t="b">
        <f>questions[[#This Row],[question_first_characters]]=questions[[#This Row],[stability_first_characters]]</f>
        <v>1</v>
      </c>
      <c r="AS444" s="98" t="b">
        <f>IF(OR(questions[[#This Row],[is_single_select]],questions[[#This Row],[is_multi_select]]),NOT(ISBLANK(questions[[#This Row],[answer_opt_combined]])),TRUE)</f>
        <v>1</v>
      </c>
    </row>
    <row r="445" spans="1:45" s="77" customFormat="1" x14ac:dyDescent="0.25">
      <c r="A445" s="77" t="str">
        <f>_xlfn.TEXTJOIN("_",TRUE,questions[[#This Row],[origin]:[qno]])</f>
        <v>Vietnam_Robusta_Lam_Dong_Nestlé_IMPACT_6512</v>
      </c>
      <c r="B445" s="77" t="s">
        <v>673</v>
      </c>
      <c r="C445" s="77" t="s">
        <v>674</v>
      </c>
      <c r="D445" s="77" t="s">
        <v>675</v>
      </c>
      <c r="F445" s="104" t="s">
        <v>312</v>
      </c>
      <c r="G445" s="78" t="s">
        <v>313</v>
      </c>
      <c r="H445" s="33" t="str" cm="1">
        <f t="array" ref="H445">INDEX(stableR[question],MATCH(VALUE(questions[[#This Row],[qno]]),VALUE(stableR[qno]),0))</f>
        <v>Livestock, what was the estimated importance?</v>
      </c>
      <c r="I445" s="33" t="b" cm="1">
        <f t="array" ref="I445">INDEX(stable[is_fixed],MATCH(VALUE(questions[[#This Row],[qno]]),VALUE(stable[qno]),0))</f>
        <v>1</v>
      </c>
      <c r="J445" s="33" t="b" cm="1">
        <f t="array" ref="J445">INDEX(stable[is_localized],MATCH(VALUE(questions[[#This Row],[qno]]),VALUE(stable[qno]),0))</f>
        <v>0</v>
      </c>
      <c r="K445" s="33" t="b" cm="1">
        <f t="array" ref="K445">INDEX(stable[is_supply_chain_dependent],MATCH(VALUE(questions[[#This Row],[qno]]),VALUE(stable[qno]),0))</f>
        <v>0</v>
      </c>
      <c r="L445" s="33" t="b" cm="1">
        <f t="array" ref="L445">INDEX(stable[is_mandatory],MATCH(VALUE(questions[[#This Row],[qno]]),VALUE(stable[qno]),0))</f>
        <v>0</v>
      </c>
      <c r="M445" s="33" t="b" cm="1">
        <f t="array" ref="M445">INDEX(stable[is_automated],MATCH(VALUE(questions[[#This Row],[qno]]),VALUE(stable[qno]),0))</f>
        <v>0</v>
      </c>
      <c r="N445" s="33" t="b" cm="1">
        <f t="array" ref="N445">INDEX(stable[is_free_text],MATCH(VALUE(questions[[#This Row],[qno]]),VALUE(stable[qno]),0))</f>
        <v>0</v>
      </c>
      <c r="O445" s="33" t="b" cm="1">
        <f t="array" ref="O445">INDEX(stable[is_numerical],MATCH(VALUE(questions[[#This Row],[qno]]),VALUE(stable[qno]),0))</f>
        <v>0</v>
      </c>
      <c r="P445" s="103" t="b" cm="1">
        <f t="array" ref="P445">INDEX(stable[is_single_select],MATCH(VALUE(questions[[#This Row],[qno]]),VALUE(stable[qno]),0))</f>
        <v>1</v>
      </c>
      <c r="Q445" s="77" t="b" cm="1">
        <f t="array" ref="Q445">INDEX(stable[is_multi_select],MATCH(VALUE(questions[[#This Row],[qno]]),VALUE(stable[qno]),0))</f>
        <v>0</v>
      </c>
      <c r="R445" s="77" t="b" cm="1">
        <f t="array" ref="R445">INDEX(stable[is_skip_logic],MATCH(VALUE(questions[[#This Row],[qno]]),VALUE(stable[qno]),0))</f>
        <v>0</v>
      </c>
      <c r="S445" s="77" t="str">
        <f>_xlfn.TEXTJOIN(", ",TRUE,questions[[#This Row],[ans_opt_1]:[ans_opt_14]])</f>
        <v>All or nearly all - 80-100%, More than half of it  - 60-80%, About half of it - 40-60%, Less than half of it - 20-40%, A small amount - 0-20%</v>
      </c>
      <c r="T445" s="77" t="s">
        <v>305</v>
      </c>
      <c r="U445" s="77" t="s">
        <v>306</v>
      </c>
      <c r="V445" s="77" t="s">
        <v>307</v>
      </c>
      <c r="W445" s="77" t="s">
        <v>308</v>
      </c>
      <c r="X445" s="77" t="s">
        <v>309</v>
      </c>
      <c r="AH445" s="98" t="b">
        <f>INDEX(stable[q_standard],MATCH(questions[[#This Row],[qno]],stable[qno],0))</f>
        <v>0</v>
      </c>
      <c r="AI445" s="98" t="b">
        <f>INDEX(stable[q_living_income],MATCH(questions[[#This Row],[qno]],stable[qno],0))</f>
        <v>1</v>
      </c>
      <c r="AJ445" s="98" t="b">
        <f>INDEX(stable[q_carbon],MATCH(questions[[#This Row],[qno]],stable[qno],0))</f>
        <v>0</v>
      </c>
      <c r="AK445" s="98" t="b">
        <f>INDEX(stable[q_regen_ag],MATCH(questions[[#This Row],[qno]],stable[qno],0))</f>
        <v>0</v>
      </c>
      <c r="AL445" s="98" t="b">
        <f>COUNTIFS(stable[qno],questions[[#This Row],[qno]])=1</f>
        <v>1</v>
      </c>
      <c r="AM445" s="98" t="b">
        <f>OR(questions[[#This Row],[is_fixed]],questions[[#This Row],[is_localized]],questions[[#This Row],[is_supply_chain_dependent]])</f>
        <v>1</v>
      </c>
      <c r="AN445" s="98" t="b">
        <f>COUNTIFS(questions[[#This Row],[is_automated]:[is_multi_select]],TRUE)=1</f>
        <v>1</v>
      </c>
      <c r="AO445" s="98" t="b">
        <f>IF(questions[[#This Row],[is_fixed]],questions[[#This Row],[question]]=INDEX(stable[question],MATCH(questions[[#This Row],[qno]],stable[qno],0)),TRUE)</f>
        <v>1</v>
      </c>
      <c r="AP445" s="98" t="str">
        <f>LEFT(questions[[#This Row],[question]],similarity_range)</f>
        <v xml:space="preserve">Livestock, what was </v>
      </c>
      <c r="AQ445" s="98" t="str">
        <f>LEFT(INDEX(stable[question],MATCH(questions[[#This Row],[qno]],stable[qno],0)),similarity_range)</f>
        <v xml:space="preserve">Livestock, what was </v>
      </c>
      <c r="AR445" s="98" t="b">
        <f>questions[[#This Row],[question_first_characters]]=questions[[#This Row],[stability_first_characters]]</f>
        <v>1</v>
      </c>
      <c r="AS445" s="98" t="b">
        <f>IF(OR(questions[[#This Row],[is_single_select]],questions[[#This Row],[is_multi_select]]),NOT(ISBLANK(questions[[#This Row],[answer_opt_combined]])),TRUE)</f>
        <v>1</v>
      </c>
    </row>
    <row r="446" spans="1:45" s="77" customFormat="1" x14ac:dyDescent="0.25">
      <c r="A446" s="77" t="str">
        <f>_xlfn.TEXTJOIN("_",TRUE,questions[[#This Row],[origin]:[qno]])</f>
        <v>Vietnam_Robusta_Lam_Dong_Nestlé_IMPACT_6513</v>
      </c>
      <c r="B446" s="77" t="s">
        <v>673</v>
      </c>
      <c r="C446" s="77" t="s">
        <v>674</v>
      </c>
      <c r="D446" s="77" t="s">
        <v>675</v>
      </c>
      <c r="F446" s="104" t="s">
        <v>314</v>
      </c>
      <c r="G446" s="78" t="s">
        <v>315</v>
      </c>
      <c r="H446" s="33" t="str" cm="1">
        <f t="array" ref="H446">INDEX(stableR[question],MATCH(VALUE(questions[[#This Row],[qno]]),VALUE(stableR[qno]),0))</f>
        <v>Casual labor on other peoples farm, what was the estimated importance?</v>
      </c>
      <c r="I446" s="33" t="b" cm="1">
        <f t="array" ref="I446">INDEX(stable[is_fixed],MATCH(VALUE(questions[[#This Row],[qno]]),VALUE(stable[qno]),0))</f>
        <v>1</v>
      </c>
      <c r="J446" s="33" t="b" cm="1">
        <f t="array" ref="J446">INDEX(stable[is_localized],MATCH(VALUE(questions[[#This Row],[qno]]),VALUE(stable[qno]),0))</f>
        <v>0</v>
      </c>
      <c r="K446" s="33" t="b" cm="1">
        <f t="array" ref="K446">INDEX(stable[is_supply_chain_dependent],MATCH(VALUE(questions[[#This Row],[qno]]),VALUE(stable[qno]),0))</f>
        <v>0</v>
      </c>
      <c r="L446" s="33" t="b" cm="1">
        <f t="array" ref="L446">INDEX(stable[is_mandatory],MATCH(VALUE(questions[[#This Row],[qno]]),VALUE(stable[qno]),0))</f>
        <v>0</v>
      </c>
      <c r="M446" s="33" t="b" cm="1">
        <f t="array" ref="M446">INDEX(stable[is_automated],MATCH(VALUE(questions[[#This Row],[qno]]),VALUE(stable[qno]),0))</f>
        <v>0</v>
      </c>
      <c r="N446" s="33" t="b" cm="1">
        <f t="array" ref="N446">INDEX(stable[is_free_text],MATCH(VALUE(questions[[#This Row],[qno]]),VALUE(stable[qno]),0))</f>
        <v>0</v>
      </c>
      <c r="O446" s="33" t="b" cm="1">
        <f t="array" ref="O446">INDEX(stable[is_numerical],MATCH(VALUE(questions[[#This Row],[qno]]),VALUE(stable[qno]),0))</f>
        <v>0</v>
      </c>
      <c r="P446" s="103" t="b" cm="1">
        <f t="array" ref="P446">INDEX(stable[is_single_select],MATCH(VALUE(questions[[#This Row],[qno]]),VALUE(stable[qno]),0))</f>
        <v>1</v>
      </c>
      <c r="Q446" s="77" t="b" cm="1">
        <f t="array" ref="Q446">INDEX(stable[is_multi_select],MATCH(VALUE(questions[[#This Row],[qno]]),VALUE(stable[qno]),0))</f>
        <v>0</v>
      </c>
      <c r="R446" s="77" t="b" cm="1">
        <f t="array" ref="R446">INDEX(stable[is_skip_logic],MATCH(VALUE(questions[[#This Row],[qno]]),VALUE(stable[qno]),0))</f>
        <v>0</v>
      </c>
      <c r="S446" s="77" t="str">
        <f>_xlfn.TEXTJOIN(", ",TRUE,questions[[#This Row],[ans_opt_1]:[ans_opt_14]])</f>
        <v>All or nearly all - 80-100%, More than half of it  - 60-80%, About half of it - 40-60%, Less than half of it - 20-40%, A small amount - 0-20%</v>
      </c>
      <c r="T446" s="77" t="s">
        <v>305</v>
      </c>
      <c r="U446" s="77" t="s">
        <v>306</v>
      </c>
      <c r="V446" s="77" t="s">
        <v>307</v>
      </c>
      <c r="W446" s="77" t="s">
        <v>308</v>
      </c>
      <c r="X446" s="77" t="s">
        <v>309</v>
      </c>
      <c r="AH446" s="98" t="b">
        <f>INDEX(stable[q_standard],MATCH(questions[[#This Row],[qno]],stable[qno],0))</f>
        <v>0</v>
      </c>
      <c r="AI446" s="98" t="b">
        <f>INDEX(stable[q_living_income],MATCH(questions[[#This Row],[qno]],stable[qno],0))</f>
        <v>1</v>
      </c>
      <c r="AJ446" s="98" t="b">
        <f>INDEX(stable[q_carbon],MATCH(questions[[#This Row],[qno]],stable[qno],0))</f>
        <v>0</v>
      </c>
      <c r="AK446" s="98" t="b">
        <f>INDEX(stable[q_regen_ag],MATCH(questions[[#This Row],[qno]],stable[qno],0))</f>
        <v>0</v>
      </c>
      <c r="AL446" s="98" t="b">
        <f>COUNTIFS(stable[qno],questions[[#This Row],[qno]])=1</f>
        <v>1</v>
      </c>
      <c r="AM446" s="98" t="b">
        <f>OR(questions[[#This Row],[is_fixed]],questions[[#This Row],[is_localized]],questions[[#This Row],[is_supply_chain_dependent]])</f>
        <v>1</v>
      </c>
      <c r="AN446" s="98" t="b">
        <f>COUNTIFS(questions[[#This Row],[is_automated]:[is_multi_select]],TRUE)=1</f>
        <v>1</v>
      </c>
      <c r="AO446" s="98" t="b">
        <f>IF(questions[[#This Row],[is_fixed]],questions[[#This Row],[question]]=INDEX(stable[question],MATCH(questions[[#This Row],[qno]],stable[qno],0)),TRUE)</f>
        <v>1</v>
      </c>
      <c r="AP446" s="98" t="str">
        <f>LEFT(questions[[#This Row],[question]],similarity_range)</f>
        <v>Casual labor on othe</v>
      </c>
      <c r="AQ446" s="98" t="str">
        <f>LEFT(INDEX(stable[question],MATCH(questions[[#This Row],[qno]],stable[qno],0)),similarity_range)</f>
        <v>Casual labor on othe</v>
      </c>
      <c r="AR446" s="98" t="b">
        <f>questions[[#This Row],[question_first_characters]]=questions[[#This Row],[stability_first_characters]]</f>
        <v>1</v>
      </c>
      <c r="AS446" s="98" t="b">
        <f>IF(OR(questions[[#This Row],[is_single_select]],questions[[#This Row],[is_multi_select]]),NOT(ISBLANK(questions[[#This Row],[answer_opt_combined]])),TRUE)</f>
        <v>1</v>
      </c>
    </row>
    <row r="447" spans="1:45" s="77" customFormat="1" x14ac:dyDescent="0.25">
      <c r="A447" s="77" t="str">
        <f>_xlfn.TEXTJOIN("_",TRUE,questions[[#This Row],[origin]:[qno]])</f>
        <v>Vietnam_Robusta_Lam_Dong_Nestlé_IMPACT_6514</v>
      </c>
      <c r="B447" s="77" t="s">
        <v>673</v>
      </c>
      <c r="C447" s="77" t="s">
        <v>674</v>
      </c>
      <c r="D447" s="77" t="s">
        <v>675</v>
      </c>
      <c r="F447" s="104" t="s">
        <v>316</v>
      </c>
      <c r="G447" s="78" t="s">
        <v>317</v>
      </c>
      <c r="H447" s="33" t="str" cm="1">
        <f t="array" ref="H447">INDEX(stableR[question],MATCH(VALUE(questions[[#This Row],[qno]]),VALUE(stableR[qno]),0))</f>
        <v>Casual labor off-farm, what was the estimated importance?</v>
      </c>
      <c r="I447" s="33" t="b" cm="1">
        <f t="array" ref="I447">INDEX(stable[is_fixed],MATCH(VALUE(questions[[#This Row],[qno]]),VALUE(stable[qno]),0))</f>
        <v>1</v>
      </c>
      <c r="J447" s="33" t="b" cm="1">
        <f t="array" ref="J447">INDEX(stable[is_localized],MATCH(VALUE(questions[[#This Row],[qno]]),VALUE(stable[qno]),0))</f>
        <v>0</v>
      </c>
      <c r="K447" s="33" t="b" cm="1">
        <f t="array" ref="K447">INDEX(stable[is_supply_chain_dependent],MATCH(VALUE(questions[[#This Row],[qno]]),VALUE(stable[qno]),0))</f>
        <v>0</v>
      </c>
      <c r="L447" s="33" t="b" cm="1">
        <f t="array" ref="L447">INDEX(stable[is_mandatory],MATCH(VALUE(questions[[#This Row],[qno]]),VALUE(stable[qno]),0))</f>
        <v>0</v>
      </c>
      <c r="M447" s="33" t="b" cm="1">
        <f t="array" ref="M447">INDEX(stable[is_automated],MATCH(VALUE(questions[[#This Row],[qno]]),VALUE(stable[qno]),0))</f>
        <v>0</v>
      </c>
      <c r="N447" s="33" t="b" cm="1">
        <f t="array" ref="N447">INDEX(stable[is_free_text],MATCH(VALUE(questions[[#This Row],[qno]]),VALUE(stable[qno]),0))</f>
        <v>0</v>
      </c>
      <c r="O447" s="33" t="b" cm="1">
        <f t="array" ref="O447">INDEX(stable[is_numerical],MATCH(VALUE(questions[[#This Row],[qno]]),VALUE(stable[qno]),0))</f>
        <v>0</v>
      </c>
      <c r="P447" s="103" t="b" cm="1">
        <f t="array" ref="P447">INDEX(stable[is_single_select],MATCH(VALUE(questions[[#This Row],[qno]]),VALUE(stable[qno]),0))</f>
        <v>1</v>
      </c>
      <c r="Q447" s="77" t="b" cm="1">
        <f t="array" ref="Q447">INDEX(stable[is_multi_select],MATCH(VALUE(questions[[#This Row],[qno]]),VALUE(stable[qno]),0))</f>
        <v>0</v>
      </c>
      <c r="R447" s="77" t="b" cm="1">
        <f t="array" ref="R447">INDEX(stable[is_skip_logic],MATCH(VALUE(questions[[#This Row],[qno]]),VALUE(stable[qno]),0))</f>
        <v>0</v>
      </c>
      <c r="S447" s="77" t="str">
        <f>_xlfn.TEXTJOIN(", ",TRUE,questions[[#This Row],[ans_opt_1]:[ans_opt_14]])</f>
        <v>All or nearly all - 80-100%, More than half of it  - 60-80%, About half of it - 40-60%, Less than half of it - 20-40%, A small amount - 0-20%</v>
      </c>
      <c r="T447" s="77" t="s">
        <v>305</v>
      </c>
      <c r="U447" s="77" t="s">
        <v>306</v>
      </c>
      <c r="V447" s="77" t="s">
        <v>307</v>
      </c>
      <c r="W447" s="77" t="s">
        <v>308</v>
      </c>
      <c r="X447" s="77" t="s">
        <v>309</v>
      </c>
      <c r="AH447" s="98" t="b">
        <f>INDEX(stable[q_standard],MATCH(questions[[#This Row],[qno]],stable[qno],0))</f>
        <v>0</v>
      </c>
      <c r="AI447" s="98" t="b">
        <f>INDEX(stable[q_living_income],MATCH(questions[[#This Row],[qno]],stable[qno],0))</f>
        <v>1</v>
      </c>
      <c r="AJ447" s="98" t="b">
        <f>INDEX(stable[q_carbon],MATCH(questions[[#This Row],[qno]],stable[qno],0))</f>
        <v>0</v>
      </c>
      <c r="AK447" s="98" t="b">
        <f>INDEX(stable[q_regen_ag],MATCH(questions[[#This Row],[qno]],stable[qno],0))</f>
        <v>0</v>
      </c>
      <c r="AL447" s="98" t="b">
        <f>COUNTIFS(stable[qno],questions[[#This Row],[qno]])=1</f>
        <v>1</v>
      </c>
      <c r="AM447" s="98" t="b">
        <f>OR(questions[[#This Row],[is_fixed]],questions[[#This Row],[is_localized]],questions[[#This Row],[is_supply_chain_dependent]])</f>
        <v>1</v>
      </c>
      <c r="AN447" s="98" t="b">
        <f>COUNTIFS(questions[[#This Row],[is_automated]:[is_multi_select]],TRUE)=1</f>
        <v>1</v>
      </c>
      <c r="AO447" s="98" t="b">
        <f>IF(questions[[#This Row],[is_fixed]],questions[[#This Row],[question]]=INDEX(stable[question],MATCH(questions[[#This Row],[qno]],stable[qno],0)),TRUE)</f>
        <v>1</v>
      </c>
      <c r="AP447" s="98" t="str">
        <f>LEFT(questions[[#This Row],[question]],similarity_range)</f>
        <v>Casual labor off-far</v>
      </c>
      <c r="AQ447" s="98" t="str">
        <f>LEFT(INDEX(stable[question],MATCH(questions[[#This Row],[qno]],stable[qno],0)),similarity_range)</f>
        <v>Casual labor off-far</v>
      </c>
      <c r="AR447" s="98" t="b">
        <f>questions[[#This Row],[question_first_characters]]=questions[[#This Row],[stability_first_characters]]</f>
        <v>1</v>
      </c>
      <c r="AS447" s="98" t="b">
        <f>IF(OR(questions[[#This Row],[is_single_select]],questions[[#This Row],[is_multi_select]]),NOT(ISBLANK(questions[[#This Row],[answer_opt_combined]])),TRUE)</f>
        <v>1</v>
      </c>
    </row>
    <row r="448" spans="1:45" s="77" customFormat="1" x14ac:dyDescent="0.25">
      <c r="A448" s="77" t="str">
        <f>_xlfn.TEXTJOIN("_",TRUE,questions[[#This Row],[origin]:[qno]])</f>
        <v>Vietnam_Robusta_Lam_Dong_Nestlé_IMPACT_6515</v>
      </c>
      <c r="B448" s="77" t="s">
        <v>673</v>
      </c>
      <c r="C448" s="77" t="s">
        <v>674</v>
      </c>
      <c r="D448" s="77" t="s">
        <v>675</v>
      </c>
      <c r="F448" s="104" t="s">
        <v>318</v>
      </c>
      <c r="G448" s="78" t="s">
        <v>319</v>
      </c>
      <c r="H448" s="33" t="str" cm="1">
        <f t="array" ref="H448">INDEX(stableR[question],MATCH(VALUE(questions[[#This Row],[qno]]),VALUE(stableR[qno]),0))</f>
        <v>Other business, what was the estimated importance?</v>
      </c>
      <c r="I448" s="33" t="b" cm="1">
        <f t="array" ref="I448">INDEX(stable[is_fixed],MATCH(VALUE(questions[[#This Row],[qno]]),VALUE(stable[qno]),0))</f>
        <v>1</v>
      </c>
      <c r="J448" s="33" t="b" cm="1">
        <f t="array" ref="J448">INDEX(stable[is_localized],MATCH(VALUE(questions[[#This Row],[qno]]),VALUE(stable[qno]),0))</f>
        <v>0</v>
      </c>
      <c r="K448" s="33" t="b" cm="1">
        <f t="array" ref="K448">INDEX(stable[is_supply_chain_dependent],MATCH(VALUE(questions[[#This Row],[qno]]),VALUE(stable[qno]),0))</f>
        <v>0</v>
      </c>
      <c r="L448" s="33" t="b" cm="1">
        <f t="array" ref="L448">INDEX(stable[is_mandatory],MATCH(VALUE(questions[[#This Row],[qno]]),VALUE(stable[qno]),0))</f>
        <v>0</v>
      </c>
      <c r="M448" s="33" t="b" cm="1">
        <f t="array" ref="M448">INDEX(stable[is_automated],MATCH(VALUE(questions[[#This Row],[qno]]),VALUE(stable[qno]),0))</f>
        <v>0</v>
      </c>
      <c r="N448" s="33" t="b" cm="1">
        <f t="array" ref="N448">INDEX(stable[is_free_text],MATCH(VALUE(questions[[#This Row],[qno]]),VALUE(stable[qno]),0))</f>
        <v>0</v>
      </c>
      <c r="O448" s="33" t="b" cm="1">
        <f t="array" ref="O448">INDEX(stable[is_numerical],MATCH(VALUE(questions[[#This Row],[qno]]),VALUE(stable[qno]),0))</f>
        <v>0</v>
      </c>
      <c r="P448" s="103" t="b" cm="1">
        <f t="array" ref="P448">INDEX(stable[is_single_select],MATCH(VALUE(questions[[#This Row],[qno]]),VALUE(stable[qno]),0))</f>
        <v>1</v>
      </c>
      <c r="Q448" s="77" t="b" cm="1">
        <f t="array" ref="Q448">INDEX(stable[is_multi_select],MATCH(VALUE(questions[[#This Row],[qno]]),VALUE(stable[qno]),0))</f>
        <v>0</v>
      </c>
      <c r="R448" s="77" t="b" cm="1">
        <f t="array" ref="R448">INDEX(stable[is_skip_logic],MATCH(VALUE(questions[[#This Row],[qno]]),VALUE(stable[qno]),0))</f>
        <v>0</v>
      </c>
      <c r="S448" s="77" t="str">
        <f>_xlfn.TEXTJOIN(", ",TRUE,questions[[#This Row],[ans_opt_1]:[ans_opt_14]])</f>
        <v>All or nearly all - 80-100%, More than half of it  - 60-80%, About half of it - 40-60%, Less than half of it - 20-40%, A small amount - 0-20%</v>
      </c>
      <c r="T448" s="77" t="s">
        <v>305</v>
      </c>
      <c r="U448" s="77" t="s">
        <v>306</v>
      </c>
      <c r="V448" s="77" t="s">
        <v>307</v>
      </c>
      <c r="W448" s="77" t="s">
        <v>308</v>
      </c>
      <c r="X448" s="77" t="s">
        <v>309</v>
      </c>
      <c r="AH448" s="98" t="b">
        <f>INDEX(stable[q_standard],MATCH(questions[[#This Row],[qno]],stable[qno],0))</f>
        <v>0</v>
      </c>
      <c r="AI448" s="98" t="b">
        <f>INDEX(stable[q_living_income],MATCH(questions[[#This Row],[qno]],stable[qno],0))</f>
        <v>1</v>
      </c>
      <c r="AJ448" s="98" t="b">
        <f>INDEX(stable[q_carbon],MATCH(questions[[#This Row],[qno]],stable[qno],0))</f>
        <v>0</v>
      </c>
      <c r="AK448" s="98" t="b">
        <f>INDEX(stable[q_regen_ag],MATCH(questions[[#This Row],[qno]],stable[qno],0))</f>
        <v>0</v>
      </c>
      <c r="AL448" s="98" t="b">
        <f>COUNTIFS(stable[qno],questions[[#This Row],[qno]])=1</f>
        <v>1</v>
      </c>
      <c r="AM448" s="98" t="b">
        <f>OR(questions[[#This Row],[is_fixed]],questions[[#This Row],[is_localized]],questions[[#This Row],[is_supply_chain_dependent]])</f>
        <v>1</v>
      </c>
      <c r="AN448" s="98" t="b">
        <f>COUNTIFS(questions[[#This Row],[is_automated]:[is_multi_select]],TRUE)=1</f>
        <v>1</v>
      </c>
      <c r="AO448" s="98" t="b">
        <f>IF(questions[[#This Row],[is_fixed]],questions[[#This Row],[question]]=INDEX(stable[question],MATCH(questions[[#This Row],[qno]],stable[qno],0)),TRUE)</f>
        <v>1</v>
      </c>
      <c r="AP448" s="98" t="str">
        <f>LEFT(questions[[#This Row],[question]],similarity_range)</f>
        <v>Other business, what</v>
      </c>
      <c r="AQ448" s="98" t="str">
        <f>LEFT(INDEX(stable[question],MATCH(questions[[#This Row],[qno]],stable[qno],0)),similarity_range)</f>
        <v>Other business, what</v>
      </c>
      <c r="AR448" s="98" t="b">
        <f>questions[[#This Row],[question_first_characters]]=questions[[#This Row],[stability_first_characters]]</f>
        <v>1</v>
      </c>
      <c r="AS448" s="98" t="b">
        <f>IF(OR(questions[[#This Row],[is_single_select]],questions[[#This Row],[is_multi_select]]),NOT(ISBLANK(questions[[#This Row],[answer_opt_combined]])),TRUE)</f>
        <v>1</v>
      </c>
    </row>
    <row r="449" spans="1:45" s="77" customFormat="1" x14ac:dyDescent="0.25">
      <c r="A449" s="77" t="str">
        <f>_xlfn.TEXTJOIN("_",TRUE,questions[[#This Row],[origin]:[qno]])</f>
        <v>Vietnam_Robusta_Lam_Dong_Nestlé_IMPACT_6516</v>
      </c>
      <c r="B449" s="77" t="s">
        <v>673</v>
      </c>
      <c r="C449" s="77" t="s">
        <v>674</v>
      </c>
      <c r="D449" s="77" t="s">
        <v>675</v>
      </c>
      <c r="F449" s="104" t="s">
        <v>320</v>
      </c>
      <c r="G449" s="78" t="s">
        <v>321</v>
      </c>
      <c r="H449" s="33" t="str" cm="1">
        <f t="array" ref="H449">INDEX(stableR[question],MATCH(VALUE(questions[[#This Row],[qno]]),VALUE(stableR[qno]),0))</f>
        <v>Salaried job, what was the estimated importance?</v>
      </c>
      <c r="I449" s="33" t="b" cm="1">
        <f t="array" ref="I449">INDEX(stable[is_fixed],MATCH(VALUE(questions[[#This Row],[qno]]),VALUE(stable[qno]),0))</f>
        <v>1</v>
      </c>
      <c r="J449" s="33" t="b" cm="1">
        <f t="array" ref="J449">INDEX(stable[is_localized],MATCH(VALUE(questions[[#This Row],[qno]]),VALUE(stable[qno]),0))</f>
        <v>0</v>
      </c>
      <c r="K449" s="33" t="b" cm="1">
        <f t="array" ref="K449">INDEX(stable[is_supply_chain_dependent],MATCH(VALUE(questions[[#This Row],[qno]]),VALUE(stable[qno]),0))</f>
        <v>0</v>
      </c>
      <c r="L449" s="33" t="b" cm="1">
        <f t="array" ref="L449">INDEX(stable[is_mandatory],MATCH(VALUE(questions[[#This Row],[qno]]),VALUE(stable[qno]),0))</f>
        <v>0</v>
      </c>
      <c r="M449" s="33" t="b" cm="1">
        <f t="array" ref="M449">INDEX(stable[is_automated],MATCH(VALUE(questions[[#This Row],[qno]]),VALUE(stable[qno]),0))</f>
        <v>0</v>
      </c>
      <c r="N449" s="33" t="b" cm="1">
        <f t="array" ref="N449">INDEX(stable[is_free_text],MATCH(VALUE(questions[[#This Row],[qno]]),VALUE(stable[qno]),0))</f>
        <v>0</v>
      </c>
      <c r="O449" s="33" t="b" cm="1">
        <f t="array" ref="O449">INDEX(stable[is_numerical],MATCH(VALUE(questions[[#This Row],[qno]]),VALUE(stable[qno]),0))</f>
        <v>0</v>
      </c>
      <c r="P449" s="103" t="b" cm="1">
        <f t="array" ref="P449">INDEX(stable[is_single_select],MATCH(VALUE(questions[[#This Row],[qno]]),VALUE(stable[qno]),0))</f>
        <v>1</v>
      </c>
      <c r="Q449" s="77" t="b" cm="1">
        <f t="array" ref="Q449">INDEX(stable[is_multi_select],MATCH(VALUE(questions[[#This Row],[qno]]),VALUE(stable[qno]),0))</f>
        <v>0</v>
      </c>
      <c r="R449" s="77" t="b" cm="1">
        <f t="array" ref="R449">INDEX(stable[is_skip_logic],MATCH(VALUE(questions[[#This Row],[qno]]),VALUE(stable[qno]),0))</f>
        <v>0</v>
      </c>
      <c r="S449" s="77" t="str">
        <f>_xlfn.TEXTJOIN(", ",TRUE,questions[[#This Row],[ans_opt_1]:[ans_opt_14]])</f>
        <v>All or nearly all - 80-100%, More than half of it  - 60-80%, About half of it - 40-60%, Less than half of it - 20-40%, A small amount - 0-20%</v>
      </c>
      <c r="T449" s="77" t="s">
        <v>305</v>
      </c>
      <c r="U449" s="77" t="s">
        <v>306</v>
      </c>
      <c r="V449" s="77" t="s">
        <v>307</v>
      </c>
      <c r="W449" s="77" t="s">
        <v>308</v>
      </c>
      <c r="X449" s="77" t="s">
        <v>309</v>
      </c>
      <c r="AH449" s="98" t="b">
        <f>INDEX(stable[q_standard],MATCH(questions[[#This Row],[qno]],stable[qno],0))</f>
        <v>0</v>
      </c>
      <c r="AI449" s="98" t="b">
        <f>INDEX(stable[q_living_income],MATCH(questions[[#This Row],[qno]],stable[qno],0))</f>
        <v>1</v>
      </c>
      <c r="AJ449" s="98" t="b">
        <f>INDEX(stable[q_carbon],MATCH(questions[[#This Row],[qno]],stable[qno],0))</f>
        <v>0</v>
      </c>
      <c r="AK449" s="98" t="b">
        <f>INDEX(stable[q_regen_ag],MATCH(questions[[#This Row],[qno]],stable[qno],0))</f>
        <v>0</v>
      </c>
      <c r="AL449" s="98" t="b">
        <f>COUNTIFS(stable[qno],questions[[#This Row],[qno]])=1</f>
        <v>1</v>
      </c>
      <c r="AM449" s="98" t="b">
        <f>OR(questions[[#This Row],[is_fixed]],questions[[#This Row],[is_localized]],questions[[#This Row],[is_supply_chain_dependent]])</f>
        <v>1</v>
      </c>
      <c r="AN449" s="98" t="b">
        <f>COUNTIFS(questions[[#This Row],[is_automated]:[is_multi_select]],TRUE)=1</f>
        <v>1</v>
      </c>
      <c r="AO449" s="98" t="b">
        <f>IF(questions[[#This Row],[is_fixed]],questions[[#This Row],[question]]=INDEX(stable[question],MATCH(questions[[#This Row],[qno]],stable[qno],0)),TRUE)</f>
        <v>1</v>
      </c>
      <c r="AP449" s="98" t="str">
        <f>LEFT(questions[[#This Row],[question]],similarity_range)</f>
        <v>Salaried job, what w</v>
      </c>
      <c r="AQ449" s="98" t="str">
        <f>LEFT(INDEX(stable[question],MATCH(questions[[#This Row],[qno]],stable[qno],0)),similarity_range)</f>
        <v>Salaried job, what w</v>
      </c>
      <c r="AR449" s="98" t="b">
        <f>questions[[#This Row],[question_first_characters]]=questions[[#This Row],[stability_first_characters]]</f>
        <v>1</v>
      </c>
      <c r="AS449" s="98" t="b">
        <f>IF(OR(questions[[#This Row],[is_single_select]],questions[[#This Row],[is_multi_select]]),NOT(ISBLANK(questions[[#This Row],[answer_opt_combined]])),TRUE)</f>
        <v>1</v>
      </c>
    </row>
    <row r="450" spans="1:45" s="77" customFormat="1" x14ac:dyDescent="0.25">
      <c r="A450" s="77" t="str">
        <f>_xlfn.TEXTJOIN("_",TRUE,questions[[#This Row],[origin]:[qno]])</f>
        <v>Vietnam_Robusta_Lam_Dong_Nestlé_IMPACT_6517</v>
      </c>
      <c r="B450" s="77" t="s">
        <v>673</v>
      </c>
      <c r="C450" s="77" t="s">
        <v>674</v>
      </c>
      <c r="D450" s="77" t="s">
        <v>675</v>
      </c>
      <c r="F450" s="104" t="s">
        <v>322</v>
      </c>
      <c r="G450" s="78" t="s">
        <v>323</v>
      </c>
      <c r="H450" s="33" t="str" cm="1">
        <f t="array" ref="H450">INDEX(stableR[question],MATCH(VALUE(questions[[#This Row],[qno]]),VALUE(stableR[qno]),0))</f>
        <v>Pension, what was the estimated importance?</v>
      </c>
      <c r="I450" s="33" t="b" cm="1">
        <f t="array" ref="I450">INDEX(stable[is_fixed],MATCH(VALUE(questions[[#This Row],[qno]]),VALUE(stable[qno]),0))</f>
        <v>1</v>
      </c>
      <c r="J450" s="33" t="b" cm="1">
        <f t="array" ref="J450">INDEX(stable[is_localized],MATCH(VALUE(questions[[#This Row],[qno]]),VALUE(stable[qno]),0))</f>
        <v>0</v>
      </c>
      <c r="K450" s="33" t="b" cm="1">
        <f t="array" ref="K450">INDEX(stable[is_supply_chain_dependent],MATCH(VALUE(questions[[#This Row],[qno]]),VALUE(stable[qno]),0))</f>
        <v>0</v>
      </c>
      <c r="L450" s="33" t="b" cm="1">
        <f t="array" ref="L450">INDEX(stable[is_mandatory],MATCH(VALUE(questions[[#This Row],[qno]]),VALUE(stable[qno]),0))</f>
        <v>0</v>
      </c>
      <c r="M450" s="33" t="b" cm="1">
        <f t="array" ref="M450">INDEX(stable[is_automated],MATCH(VALUE(questions[[#This Row],[qno]]),VALUE(stable[qno]),0))</f>
        <v>0</v>
      </c>
      <c r="N450" s="33" t="b" cm="1">
        <f t="array" ref="N450">INDEX(stable[is_free_text],MATCH(VALUE(questions[[#This Row],[qno]]),VALUE(stable[qno]),0))</f>
        <v>0</v>
      </c>
      <c r="O450" s="33" t="b" cm="1">
        <f t="array" ref="O450">INDEX(stable[is_numerical],MATCH(VALUE(questions[[#This Row],[qno]]),VALUE(stable[qno]),0))</f>
        <v>0</v>
      </c>
      <c r="P450" s="103" t="b" cm="1">
        <f t="array" ref="P450">INDEX(stable[is_single_select],MATCH(VALUE(questions[[#This Row],[qno]]),VALUE(stable[qno]),0))</f>
        <v>1</v>
      </c>
      <c r="Q450" s="77" t="b" cm="1">
        <f t="array" ref="Q450">INDEX(stable[is_multi_select],MATCH(VALUE(questions[[#This Row],[qno]]),VALUE(stable[qno]),0))</f>
        <v>0</v>
      </c>
      <c r="R450" s="77" t="b" cm="1">
        <f t="array" ref="R450">INDEX(stable[is_skip_logic],MATCH(VALUE(questions[[#This Row],[qno]]),VALUE(stable[qno]),0))</f>
        <v>0</v>
      </c>
      <c r="S450" s="77" t="str">
        <f>_xlfn.TEXTJOIN(", ",TRUE,questions[[#This Row],[ans_opt_1]:[ans_opt_14]])</f>
        <v>All or nearly all - 80-100%, More than half of it  - 60-80%, About half of it - 40-60%, Less than half of it - 20-40%, A small amount - 0-20%</v>
      </c>
      <c r="T450" s="77" t="s">
        <v>305</v>
      </c>
      <c r="U450" s="77" t="s">
        <v>306</v>
      </c>
      <c r="V450" s="77" t="s">
        <v>307</v>
      </c>
      <c r="W450" s="77" t="s">
        <v>308</v>
      </c>
      <c r="X450" s="77" t="s">
        <v>309</v>
      </c>
      <c r="AH450" s="98" t="b">
        <f>INDEX(stable[q_standard],MATCH(questions[[#This Row],[qno]],stable[qno],0))</f>
        <v>0</v>
      </c>
      <c r="AI450" s="98" t="b">
        <f>INDEX(stable[q_living_income],MATCH(questions[[#This Row],[qno]],stable[qno],0))</f>
        <v>1</v>
      </c>
      <c r="AJ450" s="98" t="b">
        <f>INDEX(stable[q_carbon],MATCH(questions[[#This Row],[qno]],stable[qno],0))</f>
        <v>0</v>
      </c>
      <c r="AK450" s="98" t="b">
        <f>INDEX(stable[q_regen_ag],MATCH(questions[[#This Row],[qno]],stable[qno],0))</f>
        <v>0</v>
      </c>
      <c r="AL450" s="98" t="b">
        <f>COUNTIFS(stable[qno],questions[[#This Row],[qno]])=1</f>
        <v>1</v>
      </c>
      <c r="AM450" s="98" t="b">
        <f>OR(questions[[#This Row],[is_fixed]],questions[[#This Row],[is_localized]],questions[[#This Row],[is_supply_chain_dependent]])</f>
        <v>1</v>
      </c>
      <c r="AN450" s="98" t="b">
        <f>COUNTIFS(questions[[#This Row],[is_automated]:[is_multi_select]],TRUE)=1</f>
        <v>1</v>
      </c>
      <c r="AO450" s="98" t="b">
        <f>IF(questions[[#This Row],[is_fixed]],questions[[#This Row],[question]]=INDEX(stable[question],MATCH(questions[[#This Row],[qno]],stable[qno],0)),TRUE)</f>
        <v>1</v>
      </c>
      <c r="AP450" s="98" t="str">
        <f>LEFT(questions[[#This Row],[question]],similarity_range)</f>
        <v>Pension, what was th</v>
      </c>
      <c r="AQ450" s="98" t="str">
        <f>LEFT(INDEX(stable[question],MATCH(questions[[#This Row],[qno]],stable[qno],0)),similarity_range)</f>
        <v>Pension, what was th</v>
      </c>
      <c r="AR450" s="98" t="b">
        <f>questions[[#This Row],[question_first_characters]]=questions[[#This Row],[stability_first_characters]]</f>
        <v>1</v>
      </c>
      <c r="AS450" s="98" t="b">
        <f>IF(OR(questions[[#This Row],[is_single_select]],questions[[#This Row],[is_multi_select]]),NOT(ISBLANK(questions[[#This Row],[answer_opt_combined]])),TRUE)</f>
        <v>1</v>
      </c>
    </row>
    <row r="451" spans="1:45" s="77" customFormat="1" x14ac:dyDescent="0.25">
      <c r="A451" s="77" t="str">
        <f>_xlfn.TEXTJOIN("_",TRUE,questions[[#This Row],[origin]:[qno]])</f>
        <v>Vietnam_Robusta_Lam_Dong_Nestlé_IMPACT_6518</v>
      </c>
      <c r="B451" s="77" t="s">
        <v>673</v>
      </c>
      <c r="C451" s="77" t="s">
        <v>674</v>
      </c>
      <c r="D451" s="77" t="s">
        <v>675</v>
      </c>
      <c r="F451" s="104" t="s">
        <v>324</v>
      </c>
      <c r="G451" s="78" t="s">
        <v>325</v>
      </c>
      <c r="H451" s="33" t="str" cm="1">
        <f t="array" ref="H451">INDEX(stableR[question],MATCH(VALUE(questions[[#This Row],[qno]]),VALUE(stableR[qno]),0))</f>
        <v>Remittances, what was the estimated importance?</v>
      </c>
      <c r="I451" s="33" t="b" cm="1">
        <f t="array" ref="I451">INDEX(stable[is_fixed],MATCH(VALUE(questions[[#This Row],[qno]]),VALUE(stable[qno]),0))</f>
        <v>1</v>
      </c>
      <c r="J451" s="33" t="b" cm="1">
        <f t="array" ref="J451">INDEX(stable[is_localized],MATCH(VALUE(questions[[#This Row],[qno]]),VALUE(stable[qno]),0))</f>
        <v>0</v>
      </c>
      <c r="K451" s="33" t="b" cm="1">
        <f t="array" ref="K451">INDEX(stable[is_supply_chain_dependent],MATCH(VALUE(questions[[#This Row],[qno]]),VALUE(stable[qno]),0))</f>
        <v>0</v>
      </c>
      <c r="L451" s="33" t="b" cm="1">
        <f t="array" ref="L451">INDEX(stable[is_mandatory],MATCH(VALUE(questions[[#This Row],[qno]]),VALUE(stable[qno]),0))</f>
        <v>0</v>
      </c>
      <c r="M451" s="33" t="b" cm="1">
        <f t="array" ref="M451">INDEX(stable[is_automated],MATCH(VALUE(questions[[#This Row],[qno]]),VALUE(stable[qno]),0))</f>
        <v>0</v>
      </c>
      <c r="N451" s="33" t="b" cm="1">
        <f t="array" ref="N451">INDEX(stable[is_free_text],MATCH(VALUE(questions[[#This Row],[qno]]),VALUE(stable[qno]),0))</f>
        <v>0</v>
      </c>
      <c r="O451" s="33" t="b" cm="1">
        <f t="array" ref="O451">INDEX(stable[is_numerical],MATCH(VALUE(questions[[#This Row],[qno]]),VALUE(stable[qno]),0))</f>
        <v>0</v>
      </c>
      <c r="P451" s="103" t="b" cm="1">
        <f t="array" ref="P451">INDEX(stable[is_single_select],MATCH(VALUE(questions[[#This Row],[qno]]),VALUE(stable[qno]),0))</f>
        <v>1</v>
      </c>
      <c r="Q451" s="77" t="b" cm="1">
        <f t="array" ref="Q451">INDEX(stable[is_multi_select],MATCH(VALUE(questions[[#This Row],[qno]]),VALUE(stable[qno]),0))</f>
        <v>0</v>
      </c>
      <c r="R451" s="77" t="b" cm="1">
        <f t="array" ref="R451">INDEX(stable[is_skip_logic],MATCH(VALUE(questions[[#This Row],[qno]]),VALUE(stable[qno]),0))</f>
        <v>0</v>
      </c>
      <c r="S451" s="77" t="str">
        <f>_xlfn.TEXTJOIN(", ",TRUE,questions[[#This Row],[ans_opt_1]:[ans_opt_14]])</f>
        <v>All or nearly all - 80-100%, More than half of it  - 60-80%, About half of it - 40-60%, Less than half of it - 20-40%, A small amount - 0-20%</v>
      </c>
      <c r="T451" s="77" t="s">
        <v>305</v>
      </c>
      <c r="U451" s="77" t="s">
        <v>306</v>
      </c>
      <c r="V451" s="77" t="s">
        <v>307</v>
      </c>
      <c r="W451" s="77" t="s">
        <v>308</v>
      </c>
      <c r="X451" s="77" t="s">
        <v>309</v>
      </c>
      <c r="AH451" s="98" t="b">
        <f>INDEX(stable[q_standard],MATCH(questions[[#This Row],[qno]],stable[qno],0))</f>
        <v>0</v>
      </c>
      <c r="AI451" s="98" t="b">
        <f>INDEX(stable[q_living_income],MATCH(questions[[#This Row],[qno]],stable[qno],0))</f>
        <v>1</v>
      </c>
      <c r="AJ451" s="98" t="b">
        <f>INDEX(stable[q_carbon],MATCH(questions[[#This Row],[qno]],stable[qno],0))</f>
        <v>0</v>
      </c>
      <c r="AK451" s="98" t="b">
        <f>INDEX(stable[q_regen_ag],MATCH(questions[[#This Row],[qno]],stable[qno],0))</f>
        <v>0</v>
      </c>
      <c r="AL451" s="98" t="b">
        <f>COUNTIFS(stable[qno],questions[[#This Row],[qno]])=1</f>
        <v>1</v>
      </c>
      <c r="AM451" s="98" t="b">
        <f>OR(questions[[#This Row],[is_fixed]],questions[[#This Row],[is_localized]],questions[[#This Row],[is_supply_chain_dependent]])</f>
        <v>1</v>
      </c>
      <c r="AN451" s="98" t="b">
        <f>COUNTIFS(questions[[#This Row],[is_automated]:[is_multi_select]],TRUE)=1</f>
        <v>1</v>
      </c>
      <c r="AO451" s="98" t="b">
        <f>IF(questions[[#This Row],[is_fixed]],questions[[#This Row],[question]]=INDEX(stable[question],MATCH(questions[[#This Row],[qno]],stable[qno],0)),TRUE)</f>
        <v>1</v>
      </c>
      <c r="AP451" s="98" t="str">
        <f>LEFT(questions[[#This Row],[question]],similarity_range)</f>
        <v>Remittances, what wa</v>
      </c>
      <c r="AQ451" s="98" t="str">
        <f>LEFT(INDEX(stable[question],MATCH(questions[[#This Row],[qno]],stable[qno],0)),similarity_range)</f>
        <v>Remittances, what wa</v>
      </c>
      <c r="AR451" s="98" t="b">
        <f>questions[[#This Row],[question_first_characters]]=questions[[#This Row],[stability_first_characters]]</f>
        <v>1</v>
      </c>
      <c r="AS451" s="98" t="b">
        <f>IF(OR(questions[[#This Row],[is_single_select]],questions[[#This Row],[is_multi_select]]),NOT(ISBLANK(questions[[#This Row],[answer_opt_combined]])),TRUE)</f>
        <v>1</v>
      </c>
    </row>
    <row r="452" spans="1:45" s="77" customFormat="1" x14ac:dyDescent="0.25">
      <c r="A452" s="77" t="str">
        <f>_xlfn.TEXTJOIN("_",TRUE,questions[[#This Row],[origin]:[qno]])</f>
        <v>Vietnam_Robusta_Lam_Dong_Nestlé_IMPACT_7000</v>
      </c>
      <c r="B452" s="77" t="s">
        <v>673</v>
      </c>
      <c r="C452" s="77" t="s">
        <v>674</v>
      </c>
      <c r="D452" s="77" t="s">
        <v>675</v>
      </c>
      <c r="F452" s="104" t="s">
        <v>326</v>
      </c>
      <c r="G452" s="104" t="s">
        <v>327</v>
      </c>
      <c r="H452" s="33" t="str" cm="1">
        <f t="array" ref="H452">INDEX(stableR[question],MATCH(VALUE(questions[[#This Row],[qno]]),VALUE(stableR[qno]),0))</f>
        <v>Have you received any training on Regenartive Agriculture principles and practices in last 1-2 years? For instance on mulching, cover crops, manure or fertiliser application, stumping, integrated pest management, etc.</v>
      </c>
      <c r="I452" s="33" t="b" cm="1">
        <f t="array" ref="I452">INDEX(stable[is_fixed],MATCH(VALUE(questions[[#This Row],[qno]]),VALUE(stable[qno]),0))</f>
        <v>1</v>
      </c>
      <c r="J452" s="33" t="b" cm="1">
        <f t="array" ref="J452">INDEX(stable[is_localized],MATCH(VALUE(questions[[#This Row],[qno]]),VALUE(stable[qno]),0))</f>
        <v>0</v>
      </c>
      <c r="K452" s="33" t="b" cm="1">
        <f t="array" ref="K452">INDEX(stable[is_supply_chain_dependent],MATCH(VALUE(questions[[#This Row],[qno]]),VALUE(stable[qno]),0))</f>
        <v>0</v>
      </c>
      <c r="L452" s="33" t="b" cm="1">
        <f t="array" ref="L452">INDEX(stable[is_mandatory],MATCH(VALUE(questions[[#This Row],[qno]]),VALUE(stable[qno]),0))</f>
        <v>1</v>
      </c>
      <c r="M452" s="33" t="b" cm="1">
        <f t="array" ref="M452">INDEX(stable[is_automated],MATCH(VALUE(questions[[#This Row],[qno]]),VALUE(stable[qno]),0))</f>
        <v>0</v>
      </c>
      <c r="N452" s="33" t="b" cm="1">
        <f t="array" ref="N452">INDEX(stable[is_free_text],MATCH(VALUE(questions[[#This Row],[qno]]),VALUE(stable[qno]),0))</f>
        <v>0</v>
      </c>
      <c r="O452" s="33" t="b" cm="1">
        <f t="array" ref="O452">INDEX(stable[is_numerical],MATCH(VALUE(questions[[#This Row],[qno]]),VALUE(stable[qno]),0))</f>
        <v>0</v>
      </c>
      <c r="P452" s="103" t="b" cm="1">
        <f t="array" ref="P452">INDEX(stable[is_single_select],MATCH(VALUE(questions[[#This Row],[qno]]),VALUE(stable[qno]),0))</f>
        <v>1</v>
      </c>
      <c r="Q452" s="77" t="b" cm="1">
        <f t="array" ref="Q452">INDEX(stable[is_multi_select],MATCH(VALUE(questions[[#This Row],[qno]]),VALUE(stable[qno]),0))</f>
        <v>0</v>
      </c>
      <c r="R452" s="77" t="b" cm="1">
        <f t="array" ref="R452">INDEX(stable[is_skip_logic],MATCH(VALUE(questions[[#This Row],[qno]]),VALUE(stable[qno]),0))</f>
        <v>1</v>
      </c>
      <c r="S452" s="77" t="str">
        <f>_xlfn.TEXTJOIN(", ",TRUE,questions[[#This Row],[ans_opt_1]:[ans_opt_14]])</f>
        <v>Yes, No</v>
      </c>
      <c r="T452" s="77" t="s">
        <v>149</v>
      </c>
      <c r="U452" s="77" t="s">
        <v>119</v>
      </c>
      <c r="AH452" s="98" t="b">
        <f>INDEX(stable[q_standard],MATCH(questions[[#This Row],[qno]],stable[qno],0))</f>
        <v>0</v>
      </c>
      <c r="AI452" s="98" t="b">
        <f>INDEX(stable[q_living_income],MATCH(questions[[#This Row],[qno]],stable[qno],0))</f>
        <v>0</v>
      </c>
      <c r="AJ452" s="98" t="b">
        <f>INDEX(stable[q_carbon],MATCH(questions[[#This Row],[qno]],stable[qno],0))</f>
        <v>0</v>
      </c>
      <c r="AK452" s="98" t="b">
        <f>INDEX(stable[q_regen_ag],MATCH(questions[[#This Row],[qno]],stable[qno],0))</f>
        <v>1</v>
      </c>
      <c r="AL452" s="98" t="b">
        <f>COUNTIFS(stable[qno],questions[[#This Row],[qno]])=1</f>
        <v>1</v>
      </c>
      <c r="AM452" s="98" t="b">
        <f>OR(questions[[#This Row],[is_fixed]],questions[[#This Row],[is_localized]],questions[[#This Row],[is_supply_chain_dependent]])</f>
        <v>1</v>
      </c>
      <c r="AN452" s="98" t="b">
        <f>COUNTIFS(questions[[#This Row],[is_automated]:[is_multi_select]],TRUE)=1</f>
        <v>1</v>
      </c>
      <c r="AO452" s="98" t="b">
        <f>IF(questions[[#This Row],[is_fixed]],questions[[#This Row],[question]]=INDEX(stable[question],MATCH(questions[[#This Row],[qno]],stable[qno],0)),TRUE)</f>
        <v>1</v>
      </c>
      <c r="AP452" s="98" t="str">
        <f>LEFT(questions[[#This Row],[question]],similarity_range)</f>
        <v>Have you received an</v>
      </c>
      <c r="AQ452" s="98" t="str">
        <f>LEFT(INDEX(stable[question],MATCH(questions[[#This Row],[qno]],stable[qno],0)),similarity_range)</f>
        <v>Have you received an</v>
      </c>
      <c r="AR452" s="98" t="b">
        <f>questions[[#This Row],[question_first_characters]]=questions[[#This Row],[stability_first_characters]]</f>
        <v>1</v>
      </c>
      <c r="AS452" s="98" t="b">
        <f>IF(OR(questions[[#This Row],[is_single_select]],questions[[#This Row],[is_multi_select]]),NOT(ISBLANK(questions[[#This Row],[answer_opt_combined]])),TRUE)</f>
        <v>1</v>
      </c>
    </row>
    <row r="453" spans="1:45" s="77" customFormat="1" x14ac:dyDescent="0.25">
      <c r="A453" s="77" t="str">
        <f>_xlfn.TEXTJOIN("_",TRUE,questions[[#This Row],[origin]:[qno]])</f>
        <v>Vietnam_Robusta_Lam_Dong_Nestlé_IMPACT_7001</v>
      </c>
      <c r="B453" s="77" t="s">
        <v>673</v>
      </c>
      <c r="C453" s="77" t="s">
        <v>674</v>
      </c>
      <c r="D453" s="77" t="s">
        <v>675</v>
      </c>
      <c r="F453" s="104" t="s">
        <v>328</v>
      </c>
      <c r="G453" s="78" t="s">
        <v>329</v>
      </c>
      <c r="H453" s="33" t="str" cm="1">
        <f t="array" ref="H453">INDEX(stableR[question],MATCH(VALUE(questions[[#This Row],[qno]]),VALUE(stableR[qno]),0))</f>
        <v>If NO formal training received, are you aware of Regen Ag. and can explain its basics principles and main practices?</v>
      </c>
      <c r="I453" s="33" t="b" cm="1">
        <f t="array" ref="I453">INDEX(stable[is_fixed],MATCH(VALUE(questions[[#This Row],[qno]]),VALUE(stable[qno]),0))</f>
        <v>1</v>
      </c>
      <c r="J453" s="33" t="b" cm="1">
        <f t="array" ref="J453">INDEX(stable[is_localized],MATCH(VALUE(questions[[#This Row],[qno]]),VALUE(stable[qno]),0))</f>
        <v>0</v>
      </c>
      <c r="K453" s="33" t="b" cm="1">
        <f t="array" ref="K453">INDEX(stable[is_supply_chain_dependent],MATCH(VALUE(questions[[#This Row],[qno]]),VALUE(stable[qno]),0))</f>
        <v>0</v>
      </c>
      <c r="L453" s="33" t="b" cm="1">
        <f t="array" ref="L453">INDEX(stable[is_mandatory],MATCH(VALUE(questions[[#This Row],[qno]]),VALUE(stable[qno]),0))</f>
        <v>0</v>
      </c>
      <c r="M453" s="33" t="b" cm="1">
        <f t="array" ref="M453">INDEX(stable[is_automated],MATCH(VALUE(questions[[#This Row],[qno]]),VALUE(stable[qno]),0))</f>
        <v>0</v>
      </c>
      <c r="N453" s="33" t="b" cm="1">
        <f t="array" ref="N453">INDEX(stable[is_free_text],MATCH(VALUE(questions[[#This Row],[qno]]),VALUE(stable[qno]),0))</f>
        <v>0</v>
      </c>
      <c r="O453" s="33" t="b" cm="1">
        <f t="array" ref="O453">INDEX(stable[is_numerical],MATCH(VALUE(questions[[#This Row],[qno]]),VALUE(stable[qno]),0))</f>
        <v>0</v>
      </c>
      <c r="P453" s="103" t="b" cm="1">
        <f t="array" ref="P453">INDEX(stable[is_single_select],MATCH(VALUE(questions[[#This Row],[qno]]),VALUE(stable[qno]),0))</f>
        <v>1</v>
      </c>
      <c r="Q453" s="77" t="b" cm="1">
        <f t="array" ref="Q453">INDEX(stable[is_multi_select],MATCH(VALUE(questions[[#This Row],[qno]]),VALUE(stable[qno]),0))</f>
        <v>0</v>
      </c>
      <c r="R453" s="77" t="b" cm="1">
        <f t="array" ref="R453">INDEX(stable[is_skip_logic],MATCH(VALUE(questions[[#This Row],[qno]]),VALUE(stable[qno]),0))</f>
        <v>1</v>
      </c>
      <c r="S453" s="77" t="str">
        <f>_xlfn.TEXTJOIN(", ",TRUE,questions[[#This Row],[ans_opt_1]:[ans_opt_14]])</f>
        <v>Yes, No</v>
      </c>
      <c r="T453" s="77" t="s">
        <v>149</v>
      </c>
      <c r="U453" s="77" t="s">
        <v>119</v>
      </c>
      <c r="AH453" s="98" t="b">
        <f>INDEX(stable[q_standard],MATCH(questions[[#This Row],[qno]],stable[qno],0))</f>
        <v>0</v>
      </c>
      <c r="AI453" s="98" t="b">
        <f>INDEX(stable[q_living_income],MATCH(questions[[#This Row],[qno]],stable[qno],0))</f>
        <v>0</v>
      </c>
      <c r="AJ453" s="98" t="b">
        <f>INDEX(stable[q_carbon],MATCH(questions[[#This Row],[qno]],stable[qno],0))</f>
        <v>0</v>
      </c>
      <c r="AK453" s="98" t="b">
        <f>INDEX(stable[q_regen_ag],MATCH(questions[[#This Row],[qno]],stable[qno],0))</f>
        <v>1</v>
      </c>
      <c r="AL453" s="98" t="b">
        <f>COUNTIFS(stable[qno],questions[[#This Row],[qno]])=1</f>
        <v>1</v>
      </c>
      <c r="AM453" s="98" t="b">
        <f>OR(questions[[#This Row],[is_fixed]],questions[[#This Row],[is_localized]],questions[[#This Row],[is_supply_chain_dependent]])</f>
        <v>1</v>
      </c>
      <c r="AN453" s="98" t="b">
        <f>COUNTIFS(questions[[#This Row],[is_automated]:[is_multi_select]],TRUE)=1</f>
        <v>1</v>
      </c>
      <c r="AO453" s="98" t="b">
        <f>IF(questions[[#This Row],[is_fixed]],questions[[#This Row],[question]]=INDEX(stable[question],MATCH(questions[[#This Row],[qno]],stable[qno],0)),TRUE)</f>
        <v>1</v>
      </c>
      <c r="AP453" s="98" t="str">
        <f>LEFT(questions[[#This Row],[question]],similarity_range)</f>
        <v>If NO formal trainin</v>
      </c>
      <c r="AQ453" s="98" t="str">
        <f>LEFT(INDEX(stable[question],MATCH(questions[[#This Row],[qno]],stable[qno],0)),similarity_range)</f>
        <v>If NO formal trainin</v>
      </c>
      <c r="AR453" s="98" t="b">
        <f>questions[[#This Row],[question_first_characters]]=questions[[#This Row],[stability_first_characters]]</f>
        <v>1</v>
      </c>
      <c r="AS453" s="98" t="b">
        <f>IF(OR(questions[[#This Row],[is_single_select]],questions[[#This Row],[is_multi_select]]),NOT(ISBLANK(questions[[#This Row],[answer_opt_combined]])),TRUE)</f>
        <v>1</v>
      </c>
    </row>
    <row r="454" spans="1:45" s="77" customFormat="1" x14ac:dyDescent="0.25">
      <c r="A454" s="77" t="str">
        <f>_xlfn.TEXTJOIN("_",TRUE,questions[[#This Row],[origin]:[qno]])</f>
        <v>Vietnam_Robusta_Lam_Dong_Nestlé_IMPACT_7100</v>
      </c>
      <c r="B454" s="77" t="s">
        <v>673</v>
      </c>
      <c r="C454" s="77" t="s">
        <v>674</v>
      </c>
      <c r="D454" s="77" t="s">
        <v>675</v>
      </c>
      <c r="F454" s="104" t="s">
        <v>330</v>
      </c>
      <c r="G454" s="77" t="s">
        <v>331</v>
      </c>
      <c r="H454" s="33" t="str" cm="1">
        <f t="array" ref="H454">INDEX(stableR[question],MATCH(VALUE(questions[[#This Row],[qno]]),VALUE(stableR[qno]),0))</f>
        <v>Do you implement mulching and/or cover crops-plants (e.g. beans, peanuts/groundnuts, brachiaria, desmodium…) in your coffee plots? If the answer is NO, you do not need to answer the next 2 questions</v>
      </c>
      <c r="I454" s="33" t="b" cm="1">
        <f t="array" ref="I454">INDEX(stable[is_fixed],MATCH(VALUE(questions[[#This Row],[qno]]),VALUE(stable[qno]),0))</f>
        <v>1</v>
      </c>
      <c r="J454" s="33" t="b" cm="1">
        <f t="array" ref="J454">INDEX(stable[is_localized],MATCH(VALUE(questions[[#This Row],[qno]]),VALUE(stable[qno]),0))</f>
        <v>0</v>
      </c>
      <c r="K454" s="33" t="b" cm="1">
        <f t="array" ref="K454">INDEX(stable[is_supply_chain_dependent],MATCH(VALUE(questions[[#This Row],[qno]]),VALUE(stable[qno]),0))</f>
        <v>0</v>
      </c>
      <c r="L454" s="33" t="b" cm="1">
        <f t="array" ref="L454">INDEX(stable[is_mandatory],MATCH(VALUE(questions[[#This Row],[qno]]),VALUE(stable[qno]),0))</f>
        <v>1</v>
      </c>
      <c r="M454" s="33" t="b" cm="1">
        <f t="array" ref="M454">INDEX(stable[is_automated],MATCH(VALUE(questions[[#This Row],[qno]]),VALUE(stable[qno]),0))</f>
        <v>0</v>
      </c>
      <c r="N454" s="33" t="b" cm="1">
        <f t="array" ref="N454">INDEX(stable[is_free_text],MATCH(VALUE(questions[[#This Row],[qno]]),VALUE(stable[qno]),0))</f>
        <v>0</v>
      </c>
      <c r="O454" s="33" t="b" cm="1">
        <f t="array" ref="O454">INDEX(stable[is_numerical],MATCH(VALUE(questions[[#This Row],[qno]]),VALUE(stable[qno]),0))</f>
        <v>0</v>
      </c>
      <c r="P454" s="103" t="b" cm="1">
        <f t="array" ref="P454">INDEX(stable[is_single_select],MATCH(VALUE(questions[[#This Row],[qno]]),VALUE(stable[qno]),0))</f>
        <v>1</v>
      </c>
      <c r="Q454" s="77" t="b" cm="1">
        <f t="array" ref="Q454">INDEX(stable[is_multi_select],MATCH(VALUE(questions[[#This Row],[qno]]),VALUE(stable[qno]),0))</f>
        <v>0</v>
      </c>
      <c r="R454" s="77" t="b" cm="1">
        <f t="array" ref="R454">INDEX(stable[is_skip_logic],MATCH(VALUE(questions[[#This Row],[qno]]),VALUE(stable[qno]),0))</f>
        <v>1</v>
      </c>
      <c r="S454" s="77" t="str">
        <f>_xlfn.TEXTJOIN(", ",TRUE,questions[[#This Row],[ans_opt_1]:[ans_opt_14]])</f>
        <v>No, Yes-Crop residues mulching, Yes-Other mulching, Yes-Cover crops, Yes-Cover crops &amp; Mulching</v>
      </c>
      <c r="T454" s="77" t="s">
        <v>119</v>
      </c>
      <c r="U454" s="77" t="s">
        <v>332</v>
      </c>
      <c r="V454" s="77" t="s">
        <v>333</v>
      </c>
      <c r="W454" s="77" t="s">
        <v>334</v>
      </c>
      <c r="X454" s="77" t="s">
        <v>335</v>
      </c>
      <c r="AH454" s="98" t="b">
        <f>INDEX(stable[q_standard],MATCH(questions[[#This Row],[qno]],stable[qno],0))</f>
        <v>0</v>
      </c>
      <c r="AI454" s="98" t="b">
        <f>INDEX(stable[q_living_income],MATCH(questions[[#This Row],[qno]],stable[qno],0))</f>
        <v>0</v>
      </c>
      <c r="AJ454" s="98" t="b">
        <f>INDEX(stable[q_carbon],MATCH(questions[[#This Row],[qno]],stable[qno],0))</f>
        <v>0</v>
      </c>
      <c r="AK454" s="98" t="b">
        <f>INDEX(stable[q_regen_ag],MATCH(questions[[#This Row],[qno]],stable[qno],0))</f>
        <v>1</v>
      </c>
      <c r="AL454" s="98" t="b">
        <f>COUNTIFS(stable[qno],questions[[#This Row],[qno]])=1</f>
        <v>1</v>
      </c>
      <c r="AM454" s="98" t="b">
        <f>OR(questions[[#This Row],[is_fixed]],questions[[#This Row],[is_localized]],questions[[#This Row],[is_supply_chain_dependent]])</f>
        <v>1</v>
      </c>
      <c r="AN454" s="98" t="b">
        <f>COUNTIFS(questions[[#This Row],[is_automated]:[is_multi_select]],TRUE)=1</f>
        <v>1</v>
      </c>
      <c r="AO454" s="98" t="b">
        <f>IF(questions[[#This Row],[is_fixed]],questions[[#This Row],[question]]=INDEX(stable[question],MATCH(questions[[#This Row],[qno]],stable[qno],0)),TRUE)</f>
        <v>1</v>
      </c>
      <c r="AP454" s="98" t="str">
        <f>LEFT(questions[[#This Row],[question]],similarity_range)</f>
        <v>Do you implement mul</v>
      </c>
      <c r="AQ454" s="98" t="str">
        <f>LEFT(INDEX(stable[question],MATCH(questions[[#This Row],[qno]],stable[qno],0)),similarity_range)</f>
        <v>Do you implement mul</v>
      </c>
      <c r="AR454" s="98" t="b">
        <f>questions[[#This Row],[question_first_characters]]=questions[[#This Row],[stability_first_characters]]</f>
        <v>1</v>
      </c>
      <c r="AS454" s="98" t="b">
        <f>IF(OR(questions[[#This Row],[is_single_select]],questions[[#This Row],[is_multi_select]]),NOT(ISBLANK(questions[[#This Row],[answer_opt_combined]])),TRUE)</f>
        <v>1</v>
      </c>
    </row>
    <row r="455" spans="1:45" s="77" customFormat="1" x14ac:dyDescent="0.25">
      <c r="A455" s="77" t="str">
        <f>_xlfn.TEXTJOIN("_",TRUE,questions[[#This Row],[origin]:[qno]])</f>
        <v>Vietnam_Robusta_Lam_Dong_Nestlé_IMPACT_7101</v>
      </c>
      <c r="B455" s="77" t="s">
        <v>673</v>
      </c>
      <c r="C455" s="77" t="s">
        <v>674</v>
      </c>
      <c r="D455" s="77" t="s">
        <v>675</v>
      </c>
      <c r="F455" s="104" t="s">
        <v>336</v>
      </c>
      <c r="G455" s="78" t="s">
        <v>337</v>
      </c>
      <c r="H455" s="33" t="str" cm="1">
        <f t="array" ref="H455">INDEX(stableR[question],MATCH(VALUE(questions[[#This Row],[qno]]),VALUE(stableR[qno]),0))</f>
        <v>If so, what is the % or proportion of your coffee plots using mulching and/or cover crops?</v>
      </c>
      <c r="I455" s="33" t="b" cm="1">
        <f t="array" ref="I455">INDEX(stable[is_fixed],MATCH(VALUE(questions[[#This Row],[qno]]),VALUE(stable[qno]),0))</f>
        <v>1</v>
      </c>
      <c r="J455" s="33" t="b" cm="1">
        <f t="array" ref="J455">INDEX(stable[is_localized],MATCH(VALUE(questions[[#This Row],[qno]]),VALUE(stable[qno]),0))</f>
        <v>0</v>
      </c>
      <c r="K455" s="33" t="b" cm="1">
        <f t="array" ref="K455">INDEX(stable[is_supply_chain_dependent],MATCH(VALUE(questions[[#This Row],[qno]]),VALUE(stable[qno]),0))</f>
        <v>0</v>
      </c>
      <c r="L455" s="33" t="b" cm="1">
        <f t="array" ref="L455">INDEX(stable[is_mandatory],MATCH(VALUE(questions[[#This Row],[qno]]),VALUE(stable[qno]),0))</f>
        <v>0</v>
      </c>
      <c r="M455" s="33" t="b" cm="1">
        <f t="array" ref="M455">INDEX(stable[is_automated],MATCH(VALUE(questions[[#This Row],[qno]]),VALUE(stable[qno]),0))</f>
        <v>0</v>
      </c>
      <c r="N455" s="33" t="b" cm="1">
        <f t="array" ref="N455">INDEX(stable[is_free_text],MATCH(VALUE(questions[[#This Row],[qno]]),VALUE(stable[qno]),0))</f>
        <v>0</v>
      </c>
      <c r="O455" s="33" t="b" cm="1">
        <f t="array" ref="O455">INDEX(stable[is_numerical],MATCH(VALUE(questions[[#This Row],[qno]]),VALUE(stable[qno]),0))</f>
        <v>0</v>
      </c>
      <c r="P455" s="103" t="b" cm="1">
        <f t="array" ref="P455">INDEX(stable[is_single_select],MATCH(VALUE(questions[[#This Row],[qno]]),VALUE(stable[qno]),0))</f>
        <v>1</v>
      </c>
      <c r="Q455" s="77" t="b" cm="1">
        <f t="array" ref="Q455">INDEX(stable[is_multi_select],MATCH(VALUE(questions[[#This Row],[qno]]),VALUE(stable[qno]),0))</f>
        <v>0</v>
      </c>
      <c r="R455" s="77" t="b" cm="1">
        <f t="array" ref="R455">INDEX(stable[is_skip_logic],MATCH(VALUE(questions[[#This Row],[qno]]),VALUE(stable[qno]),0))</f>
        <v>1</v>
      </c>
      <c r="S455" s="77" t="str">
        <f>_xlfn.TEXTJOIN(", ",TRUE,questions[[#This Row],[ans_opt_1]:[ans_opt_14]])</f>
        <v>1% to 25% - little to a quarter, 26% to 50% - less than half, 51% to 75% - more than half, 76% to 100% - almost all</v>
      </c>
      <c r="T455" s="77" t="s">
        <v>338</v>
      </c>
      <c r="U455" s="77" t="s">
        <v>339</v>
      </c>
      <c r="V455" s="77" t="s">
        <v>340</v>
      </c>
      <c r="W455" s="77" t="s">
        <v>341</v>
      </c>
      <c r="AH455" s="98" t="b">
        <f>INDEX(stable[q_standard],MATCH(questions[[#This Row],[qno]],stable[qno],0))</f>
        <v>0</v>
      </c>
      <c r="AI455" s="98" t="b">
        <f>INDEX(stable[q_living_income],MATCH(questions[[#This Row],[qno]],stable[qno],0))</f>
        <v>0</v>
      </c>
      <c r="AJ455" s="98" t="b">
        <f>INDEX(stable[q_carbon],MATCH(questions[[#This Row],[qno]],stable[qno],0))</f>
        <v>0</v>
      </c>
      <c r="AK455" s="98" t="b">
        <f>INDEX(stable[q_regen_ag],MATCH(questions[[#This Row],[qno]],stable[qno],0))</f>
        <v>1</v>
      </c>
      <c r="AL455" s="98" t="b">
        <f>COUNTIFS(stable[qno],questions[[#This Row],[qno]])=1</f>
        <v>1</v>
      </c>
      <c r="AM455" s="98" t="b">
        <f>OR(questions[[#This Row],[is_fixed]],questions[[#This Row],[is_localized]],questions[[#This Row],[is_supply_chain_dependent]])</f>
        <v>1</v>
      </c>
      <c r="AN455" s="98" t="b">
        <f>COUNTIFS(questions[[#This Row],[is_automated]:[is_multi_select]],TRUE)=1</f>
        <v>1</v>
      </c>
      <c r="AO455" s="98" t="b">
        <f>IF(questions[[#This Row],[is_fixed]],questions[[#This Row],[question]]=INDEX(stable[question],MATCH(questions[[#This Row],[qno]],stable[qno],0)),TRUE)</f>
        <v>1</v>
      </c>
      <c r="AP455" s="98" t="str">
        <f>LEFT(questions[[#This Row],[question]],similarity_range)</f>
        <v>If so, what is the %</v>
      </c>
      <c r="AQ455" s="98" t="str">
        <f>LEFT(INDEX(stable[question],MATCH(questions[[#This Row],[qno]],stable[qno],0)),similarity_range)</f>
        <v>If so, what is the %</v>
      </c>
      <c r="AR455" s="98" t="b">
        <f>questions[[#This Row],[question_first_characters]]=questions[[#This Row],[stability_first_characters]]</f>
        <v>1</v>
      </c>
      <c r="AS455" s="98" t="b">
        <f>IF(OR(questions[[#This Row],[is_single_select]],questions[[#This Row],[is_multi_select]]),NOT(ISBLANK(questions[[#This Row],[answer_opt_combined]])),TRUE)</f>
        <v>1</v>
      </c>
    </row>
    <row r="456" spans="1:45" s="77" customFormat="1" x14ac:dyDescent="0.25">
      <c r="A456" s="77" t="str">
        <f>_xlfn.TEXTJOIN("_",TRUE,questions[[#This Row],[origin]:[qno]])</f>
        <v>Vietnam_Robusta_Lam_Dong_Nestlé_IMPACT_7102</v>
      </c>
      <c r="B456" s="77" t="s">
        <v>673</v>
      </c>
      <c r="C456" s="77" t="s">
        <v>674</v>
      </c>
      <c r="D456" s="77" t="s">
        <v>675</v>
      </c>
      <c r="F456" s="104" t="s">
        <v>342</v>
      </c>
      <c r="G456" s="78" t="s">
        <v>343</v>
      </c>
      <c r="H456" s="33" t="str" cm="1">
        <f t="array" ref="H456">INDEX(stableR[question],MATCH(VALUE(questions[[#This Row],[qno]]),VALUE(stableR[qno]),0))</f>
        <v>And for how many months per year?</v>
      </c>
      <c r="I456" s="33" t="b" cm="1">
        <f t="array" ref="I456">INDEX(stable[is_fixed],MATCH(VALUE(questions[[#This Row],[qno]]),VALUE(stable[qno]),0))</f>
        <v>1</v>
      </c>
      <c r="J456" s="33" t="b" cm="1">
        <f t="array" ref="J456">INDEX(stable[is_localized],MATCH(VALUE(questions[[#This Row],[qno]]),VALUE(stable[qno]),0))</f>
        <v>0</v>
      </c>
      <c r="K456" s="33" t="b" cm="1">
        <f t="array" ref="K456">INDEX(stable[is_supply_chain_dependent],MATCH(VALUE(questions[[#This Row],[qno]]),VALUE(stable[qno]),0))</f>
        <v>0</v>
      </c>
      <c r="L456" s="33" t="b" cm="1">
        <f t="array" ref="L456">INDEX(stable[is_mandatory],MATCH(VALUE(questions[[#This Row],[qno]]),VALUE(stable[qno]),0))</f>
        <v>0</v>
      </c>
      <c r="M456" s="33" t="b" cm="1">
        <f t="array" ref="M456">INDEX(stable[is_automated],MATCH(VALUE(questions[[#This Row],[qno]]),VALUE(stable[qno]),0))</f>
        <v>0</v>
      </c>
      <c r="N456" s="33" t="b" cm="1">
        <f t="array" ref="N456">INDEX(stable[is_free_text],MATCH(VALUE(questions[[#This Row],[qno]]),VALUE(stable[qno]),0))</f>
        <v>0</v>
      </c>
      <c r="O456" s="33" t="b" cm="1">
        <f t="array" ref="O456">INDEX(stable[is_numerical],MATCH(VALUE(questions[[#This Row],[qno]]),VALUE(stable[qno]),0))</f>
        <v>0</v>
      </c>
      <c r="P456" s="103" t="b" cm="1">
        <f t="array" ref="P456">INDEX(stable[is_single_select],MATCH(VALUE(questions[[#This Row],[qno]]),VALUE(stable[qno]),0))</f>
        <v>1</v>
      </c>
      <c r="Q456" s="77" t="b" cm="1">
        <f t="array" ref="Q456">INDEX(stable[is_multi_select],MATCH(VALUE(questions[[#This Row],[qno]]),VALUE(stable[qno]),0))</f>
        <v>0</v>
      </c>
      <c r="R456" s="77" t="b" cm="1">
        <f t="array" ref="R456">INDEX(stable[is_skip_logic],MATCH(VALUE(questions[[#This Row],[qno]]),VALUE(stable[qno]),0))</f>
        <v>1</v>
      </c>
      <c r="S456" s="123" t="str">
        <f>_xlfn.TEXTJOIN(", ",TRUE,questions[[#This Row],[ans_opt_1]:[ans_opt_14]])</f>
        <v>&lt;6 months, 6-8 months, &gt;8 months</v>
      </c>
      <c r="T456" s="123" t="s">
        <v>344</v>
      </c>
      <c r="U456" s="123" t="s">
        <v>345</v>
      </c>
      <c r="V456" s="123" t="s">
        <v>346</v>
      </c>
      <c r="W456" s="123"/>
      <c r="X456" s="123"/>
      <c r="AH456" s="98" t="b">
        <f>INDEX(stable[q_standard],MATCH(questions[[#This Row],[qno]],stable[qno],0))</f>
        <v>0</v>
      </c>
      <c r="AI456" s="98" t="b">
        <f>INDEX(stable[q_living_income],MATCH(questions[[#This Row],[qno]],stable[qno],0))</f>
        <v>0</v>
      </c>
      <c r="AJ456" s="98" t="b">
        <f>INDEX(stable[q_carbon],MATCH(questions[[#This Row],[qno]],stable[qno],0))</f>
        <v>0</v>
      </c>
      <c r="AK456" s="98" t="b">
        <f>INDEX(stable[q_regen_ag],MATCH(questions[[#This Row],[qno]],stable[qno],0))</f>
        <v>1</v>
      </c>
      <c r="AL456" s="98" t="b">
        <f>COUNTIFS(stable[qno],questions[[#This Row],[qno]])=1</f>
        <v>1</v>
      </c>
      <c r="AM456" s="98" t="b">
        <f>OR(questions[[#This Row],[is_fixed]],questions[[#This Row],[is_localized]],questions[[#This Row],[is_supply_chain_dependent]])</f>
        <v>1</v>
      </c>
      <c r="AN456" s="98" t="b">
        <f>COUNTIFS(questions[[#This Row],[is_automated]:[is_multi_select]],TRUE)=1</f>
        <v>1</v>
      </c>
      <c r="AO456" s="98" t="b">
        <f>IF(questions[[#This Row],[is_fixed]],questions[[#This Row],[question]]=INDEX(stable[question],MATCH(questions[[#This Row],[qno]],stable[qno],0)),TRUE)</f>
        <v>0</v>
      </c>
      <c r="AP456" s="98" t="str">
        <f>LEFT(questions[[#This Row],[question]],similarity_range)</f>
        <v>And for how many mon</v>
      </c>
      <c r="AQ456" s="98" t="str">
        <f>LEFT(INDEX(stable[question],MATCH(questions[[#This Row],[qno]],stable[qno],0)),similarity_range)</f>
        <v>And for how many mon</v>
      </c>
      <c r="AR456" s="98" t="b">
        <f>questions[[#This Row],[question_first_characters]]=questions[[#This Row],[stability_first_characters]]</f>
        <v>1</v>
      </c>
      <c r="AS456" s="98" t="b">
        <f>IF(OR(questions[[#This Row],[is_single_select]],questions[[#This Row],[is_multi_select]]),NOT(ISBLANK(questions[[#This Row],[answer_opt_combined]])),TRUE)</f>
        <v>1</v>
      </c>
    </row>
    <row r="457" spans="1:45" s="77" customFormat="1" x14ac:dyDescent="0.25">
      <c r="A457" s="77" t="str">
        <f>_xlfn.TEXTJOIN("_",TRUE,questions[[#This Row],[origin]:[qno]])</f>
        <v>Vietnam_Robusta_Lam_Dong_Nestlé_IMPACT_7113</v>
      </c>
      <c r="B457" s="77" t="s">
        <v>673</v>
      </c>
      <c r="C457" s="77" t="s">
        <v>674</v>
      </c>
      <c r="D457" s="77" t="s">
        <v>675</v>
      </c>
      <c r="F457" s="104" t="s">
        <v>347</v>
      </c>
      <c r="G457" s="77" t="s">
        <v>348</v>
      </c>
      <c r="H457" s="33" t="str" cm="1">
        <f t="array" ref="H457">INDEX(stableR[question],MATCH(VALUE(questions[[#This Row],[qno]]),VALUE(stableR[qno]),0))</f>
        <v>Does any area of your coffee plots have significative risk of water and/or wind erosion due to heavy rain or irrigation, terrain slope, strong winds during dry periods…? If the answer is NO, you do not need to answer the next 2 questions</v>
      </c>
      <c r="I457" s="33" t="b" cm="1">
        <f t="array" ref="I457">INDEX(stable[is_fixed],MATCH(VALUE(questions[[#This Row],[qno]]),VALUE(stable[qno]),0))</f>
        <v>1</v>
      </c>
      <c r="J457" s="33" t="b" cm="1">
        <f t="array" ref="J457">INDEX(stable[is_localized],MATCH(VALUE(questions[[#This Row],[qno]]),VALUE(stable[qno]),0))</f>
        <v>0</v>
      </c>
      <c r="K457" s="33" t="b" cm="1">
        <f t="array" ref="K457">INDEX(stable[is_supply_chain_dependent],MATCH(VALUE(questions[[#This Row],[qno]]),VALUE(stable[qno]),0))</f>
        <v>0</v>
      </c>
      <c r="L457" s="33" t="b" cm="1">
        <f t="array" ref="L457">INDEX(stable[is_mandatory],MATCH(VALUE(questions[[#This Row],[qno]]),VALUE(stable[qno]),0))</f>
        <v>1</v>
      </c>
      <c r="M457" s="33" t="b" cm="1">
        <f t="array" ref="M457">INDEX(stable[is_automated],MATCH(VALUE(questions[[#This Row],[qno]]),VALUE(stable[qno]),0))</f>
        <v>0</v>
      </c>
      <c r="N457" s="33" t="b" cm="1">
        <f t="array" ref="N457">INDEX(stable[is_free_text],MATCH(VALUE(questions[[#This Row],[qno]]),VALUE(stable[qno]),0))</f>
        <v>0</v>
      </c>
      <c r="O457" s="33" t="b" cm="1">
        <f t="array" ref="O457">INDEX(stable[is_numerical],MATCH(VALUE(questions[[#This Row],[qno]]),VALUE(stable[qno]),0))</f>
        <v>0</v>
      </c>
      <c r="P457" s="103" t="b" cm="1">
        <f t="array" ref="P457">INDEX(stable[is_single_select],MATCH(VALUE(questions[[#This Row],[qno]]),VALUE(stable[qno]),0))</f>
        <v>1</v>
      </c>
      <c r="Q457" s="77" t="b" cm="1">
        <f t="array" ref="Q457">INDEX(stable[is_multi_select],MATCH(VALUE(questions[[#This Row],[qno]]),VALUE(stable[qno]),0))</f>
        <v>0</v>
      </c>
      <c r="R457" s="77" t="b" cm="1">
        <f t="array" ref="R457">INDEX(stable[is_skip_logic],MATCH(VALUE(questions[[#This Row],[qno]]),VALUE(stable[qno]),0))</f>
        <v>1</v>
      </c>
      <c r="S457" s="77" t="str">
        <f>_xlfn.TEXTJOIN(", ",TRUE,questions[[#This Row],[ans_opt_1]:[ans_opt_14]])</f>
        <v>Yes, No</v>
      </c>
      <c r="T457" s="77" t="s">
        <v>149</v>
      </c>
      <c r="U457" s="77" t="s">
        <v>119</v>
      </c>
      <c r="AH457" s="98" t="b">
        <f>INDEX(stable[q_standard],MATCH(questions[[#This Row],[qno]],stable[qno],0))</f>
        <v>0</v>
      </c>
      <c r="AI457" s="98" t="b">
        <f>INDEX(stable[q_living_income],MATCH(questions[[#This Row],[qno]],stable[qno],0))</f>
        <v>0</v>
      </c>
      <c r="AJ457" s="98" t="b">
        <f>INDEX(stable[q_carbon],MATCH(questions[[#This Row],[qno]],stable[qno],0))</f>
        <v>0</v>
      </c>
      <c r="AK457" s="98" t="b">
        <f>INDEX(stable[q_regen_ag],MATCH(questions[[#This Row],[qno]],stable[qno],0))</f>
        <v>1</v>
      </c>
      <c r="AL457" s="98" t="b">
        <f>COUNTIFS(stable[qno],questions[[#This Row],[qno]])=1</f>
        <v>1</v>
      </c>
      <c r="AM457" s="98" t="b">
        <f>OR(questions[[#This Row],[is_fixed]],questions[[#This Row],[is_localized]],questions[[#This Row],[is_supply_chain_dependent]])</f>
        <v>1</v>
      </c>
      <c r="AN457" s="98" t="b">
        <f>COUNTIFS(questions[[#This Row],[is_automated]:[is_multi_select]],TRUE)=1</f>
        <v>1</v>
      </c>
      <c r="AO457" s="98" t="b">
        <f>IF(questions[[#This Row],[is_fixed]],questions[[#This Row],[question]]=INDEX(stable[question],MATCH(questions[[#This Row],[qno]],stable[qno],0)),TRUE)</f>
        <v>1</v>
      </c>
      <c r="AP457" s="98" t="str">
        <f>LEFT(questions[[#This Row],[question]],similarity_range)</f>
        <v>Does any area of you</v>
      </c>
      <c r="AQ457" s="98" t="str">
        <f>LEFT(INDEX(stable[question],MATCH(questions[[#This Row],[qno]],stable[qno],0)),similarity_range)</f>
        <v>Does any area of you</v>
      </c>
      <c r="AR457" s="98" t="b">
        <f>questions[[#This Row],[question_first_characters]]=questions[[#This Row],[stability_first_characters]]</f>
        <v>1</v>
      </c>
      <c r="AS457" s="98" t="b">
        <f>IF(OR(questions[[#This Row],[is_single_select]],questions[[#This Row],[is_multi_select]]),NOT(ISBLANK(questions[[#This Row],[answer_opt_combined]])),TRUE)</f>
        <v>1</v>
      </c>
    </row>
    <row r="458" spans="1:45" s="77" customFormat="1" x14ac:dyDescent="0.25">
      <c r="A458" s="77" t="str">
        <f>_xlfn.TEXTJOIN("_",TRUE,questions[[#This Row],[origin]:[qno]])</f>
        <v>Vietnam_Robusta_Lam_Dong_Nestlé_IMPACT_7114</v>
      </c>
      <c r="B458" s="77" t="s">
        <v>673</v>
      </c>
      <c r="C458" s="77" t="s">
        <v>674</v>
      </c>
      <c r="D458" s="77" t="s">
        <v>675</v>
      </c>
      <c r="F458" s="104" t="s">
        <v>349</v>
      </c>
      <c r="G458" s="77" t="s">
        <v>350</v>
      </c>
      <c r="H458" s="33" t="str" cm="1">
        <f t="array" ref="H458">INDEX(stableR[question],MATCH(VALUE(questions[[#This Row],[qno]]),VALUE(stableR[qno]),0))</f>
        <v xml:space="preserve">If there is erosion risk, do you implement anti-erosion measures/control (e.g. trenches, terracing, windbreaks, soil coverage/mulching, bunds, contour planting…)? </v>
      </c>
      <c r="I458" s="33" t="b" cm="1">
        <f t="array" ref="I458">INDEX(stable[is_fixed],MATCH(VALUE(questions[[#This Row],[qno]]),VALUE(stable[qno]),0))</f>
        <v>1</v>
      </c>
      <c r="J458" s="33" t="b" cm="1">
        <f t="array" ref="J458">INDEX(stable[is_localized],MATCH(VALUE(questions[[#This Row],[qno]]),VALUE(stable[qno]),0))</f>
        <v>0</v>
      </c>
      <c r="K458" s="33" t="b" cm="1">
        <f t="array" ref="K458">INDEX(stable[is_supply_chain_dependent],MATCH(VALUE(questions[[#This Row],[qno]]),VALUE(stable[qno]),0))</f>
        <v>0</v>
      </c>
      <c r="L458" s="33" t="b" cm="1">
        <f t="array" ref="L458">INDEX(stable[is_mandatory],MATCH(VALUE(questions[[#This Row],[qno]]),VALUE(stable[qno]),0))</f>
        <v>0</v>
      </c>
      <c r="M458" s="33" t="b" cm="1">
        <f t="array" ref="M458">INDEX(stable[is_automated],MATCH(VALUE(questions[[#This Row],[qno]]),VALUE(stable[qno]),0))</f>
        <v>0</v>
      </c>
      <c r="N458" s="33" t="b" cm="1">
        <f t="array" ref="N458">INDEX(stable[is_free_text],MATCH(VALUE(questions[[#This Row],[qno]]),VALUE(stable[qno]),0))</f>
        <v>0</v>
      </c>
      <c r="O458" s="33" t="b" cm="1">
        <f t="array" ref="O458">INDEX(stable[is_numerical],MATCH(VALUE(questions[[#This Row],[qno]]),VALUE(stable[qno]),0))</f>
        <v>0</v>
      </c>
      <c r="P458" s="103" t="b" cm="1">
        <f t="array" ref="P458">INDEX(stable[is_single_select],MATCH(VALUE(questions[[#This Row],[qno]]),VALUE(stable[qno]),0))</f>
        <v>1</v>
      </c>
      <c r="Q458" s="77" t="b" cm="1">
        <f t="array" ref="Q458">INDEX(stable[is_multi_select],MATCH(VALUE(questions[[#This Row],[qno]]),VALUE(stable[qno]),0))</f>
        <v>0</v>
      </c>
      <c r="R458" s="77" t="b" cm="1">
        <f t="array" ref="R458">INDEX(stable[is_skip_logic],MATCH(VALUE(questions[[#This Row],[qno]]),VALUE(stable[qno]),0))</f>
        <v>1</v>
      </c>
      <c r="S458" s="77" t="str">
        <f>_xlfn.TEXTJOIN(", ",TRUE,questions[[#This Row],[ans_opt_1]:[ans_opt_14]])</f>
        <v>No, Yes-Terracing, Yes-Trenches, Yes-Windbreaks, Yes-Mulching, Yes-Cover Crops, Yes-Water dykes, Yes-Contour Planting, Yes-A combination of previous practices, Yes-Other practices</v>
      </c>
      <c r="T458" s="77" t="s">
        <v>119</v>
      </c>
      <c r="U458" s="77" t="s">
        <v>351</v>
      </c>
      <c r="V458" s="77" t="s">
        <v>352</v>
      </c>
      <c r="W458" s="77" t="s">
        <v>353</v>
      </c>
      <c r="X458" s="77" t="s">
        <v>354</v>
      </c>
      <c r="Y458" s="77" t="s">
        <v>355</v>
      </c>
      <c r="Z458" s="77" t="s">
        <v>356</v>
      </c>
      <c r="AA458" s="77" t="s">
        <v>357</v>
      </c>
      <c r="AB458" s="77" t="s">
        <v>358</v>
      </c>
      <c r="AC458" s="77" t="s">
        <v>359</v>
      </c>
      <c r="AH458" s="98" t="b">
        <f>INDEX(stable[q_standard],MATCH(questions[[#This Row],[qno]],stable[qno],0))</f>
        <v>0</v>
      </c>
      <c r="AI458" s="98" t="b">
        <f>INDEX(stable[q_living_income],MATCH(questions[[#This Row],[qno]],stable[qno],0))</f>
        <v>0</v>
      </c>
      <c r="AJ458" s="98" t="b">
        <f>INDEX(stable[q_carbon],MATCH(questions[[#This Row],[qno]],stable[qno],0))</f>
        <v>0</v>
      </c>
      <c r="AK458" s="98" t="b">
        <f>INDEX(stable[q_regen_ag],MATCH(questions[[#This Row],[qno]],stable[qno],0))</f>
        <v>1</v>
      </c>
      <c r="AL458" s="98" t="b">
        <f>COUNTIFS(stable[qno],questions[[#This Row],[qno]])=1</f>
        <v>1</v>
      </c>
      <c r="AM458" s="98" t="b">
        <f>OR(questions[[#This Row],[is_fixed]],questions[[#This Row],[is_localized]],questions[[#This Row],[is_supply_chain_dependent]])</f>
        <v>1</v>
      </c>
      <c r="AN458" s="98" t="b">
        <f>COUNTIFS(questions[[#This Row],[is_automated]:[is_multi_select]],TRUE)=1</f>
        <v>1</v>
      </c>
      <c r="AO458" s="98" t="b">
        <f>IF(questions[[#This Row],[is_fixed]],questions[[#This Row],[question]]=INDEX(stable[question],MATCH(questions[[#This Row],[qno]],stable[qno],0)),TRUE)</f>
        <v>1</v>
      </c>
      <c r="AP458" s="98" t="str">
        <f>LEFT(questions[[#This Row],[question]],similarity_range)</f>
        <v xml:space="preserve">If there is erosion </v>
      </c>
      <c r="AQ458" s="98" t="str">
        <f>LEFT(INDEX(stable[question],MATCH(questions[[#This Row],[qno]],stable[qno],0)),similarity_range)</f>
        <v xml:space="preserve">If there is erosion </v>
      </c>
      <c r="AR458" s="98" t="b">
        <f>questions[[#This Row],[question_first_characters]]=questions[[#This Row],[stability_first_characters]]</f>
        <v>1</v>
      </c>
      <c r="AS458" s="98" t="b">
        <f>IF(OR(questions[[#This Row],[is_single_select]],questions[[#This Row],[is_multi_select]]),NOT(ISBLANK(questions[[#This Row],[answer_opt_combined]])),TRUE)</f>
        <v>1</v>
      </c>
    </row>
    <row r="459" spans="1:45" s="77" customFormat="1" x14ac:dyDescent="0.25">
      <c r="A459" s="77" t="str">
        <f>_xlfn.TEXTJOIN("_",TRUE,questions[[#This Row],[origin]:[qno]])</f>
        <v>Vietnam_Robusta_Lam_Dong_Nestlé_IMPACT_7115</v>
      </c>
      <c r="B459" s="77" t="s">
        <v>673</v>
      </c>
      <c r="C459" s="77" t="s">
        <v>674</v>
      </c>
      <c r="D459" s="77" t="s">
        <v>675</v>
      </c>
      <c r="F459" s="104" t="s">
        <v>360</v>
      </c>
      <c r="G459" s="78" t="s">
        <v>361</v>
      </c>
      <c r="H459" s="33" t="str" cm="1">
        <f t="array" ref="H459">INDEX(stableR[question],MATCH(VALUE(questions[[#This Row],[qno]]),VALUE(stableR[qno]),0))</f>
        <v>Of the area of your coffee plots with risk of erosion, can you estimate the % or proportion of that area to which you apply anti-erosion measures/control?</v>
      </c>
      <c r="I459" s="33" t="b" cm="1">
        <f t="array" ref="I459">INDEX(stable[is_fixed],MATCH(VALUE(questions[[#This Row],[qno]]),VALUE(stable[qno]),0))</f>
        <v>1</v>
      </c>
      <c r="J459" s="33" t="b" cm="1">
        <f t="array" ref="J459">INDEX(stable[is_localized],MATCH(VALUE(questions[[#This Row],[qno]]),VALUE(stable[qno]),0))</f>
        <v>0</v>
      </c>
      <c r="K459" s="33" t="b" cm="1">
        <f t="array" ref="K459">INDEX(stable[is_supply_chain_dependent],MATCH(VALUE(questions[[#This Row],[qno]]),VALUE(stable[qno]),0))</f>
        <v>0</v>
      </c>
      <c r="L459" s="33" t="b" cm="1">
        <f t="array" ref="L459">INDEX(stable[is_mandatory],MATCH(VALUE(questions[[#This Row],[qno]]),VALUE(stable[qno]),0))</f>
        <v>0</v>
      </c>
      <c r="M459" s="33" t="b" cm="1">
        <f t="array" ref="M459">INDEX(stable[is_automated],MATCH(VALUE(questions[[#This Row],[qno]]),VALUE(stable[qno]),0))</f>
        <v>0</v>
      </c>
      <c r="N459" s="33" t="b" cm="1">
        <f t="array" ref="N459">INDEX(stable[is_free_text],MATCH(VALUE(questions[[#This Row],[qno]]),VALUE(stable[qno]),0))</f>
        <v>0</v>
      </c>
      <c r="O459" s="33" t="b" cm="1">
        <f t="array" ref="O459">INDEX(stable[is_numerical],MATCH(VALUE(questions[[#This Row],[qno]]),VALUE(stable[qno]),0))</f>
        <v>0</v>
      </c>
      <c r="P459" s="103" t="b" cm="1">
        <f t="array" ref="P459">INDEX(stable[is_single_select],MATCH(VALUE(questions[[#This Row],[qno]]),VALUE(stable[qno]),0))</f>
        <v>1</v>
      </c>
      <c r="Q459" s="77" t="b" cm="1">
        <f t="array" ref="Q459">INDEX(stable[is_multi_select],MATCH(VALUE(questions[[#This Row],[qno]]),VALUE(stable[qno]),0))</f>
        <v>0</v>
      </c>
      <c r="R459" s="77" t="b" cm="1">
        <f t="array" ref="R459">INDEX(stable[is_skip_logic],MATCH(VALUE(questions[[#This Row],[qno]]),VALUE(stable[qno]),0))</f>
        <v>1</v>
      </c>
      <c r="S459" s="77" t="str">
        <f>_xlfn.TEXTJOIN(", ",TRUE,questions[[#This Row],[ans_opt_1]:[ans_opt_14]])</f>
        <v>0% - none, 1% to 25% - little to a quarter, 26% to 50% - less than half, 51% to 75% - more than half, 76% to 100% - almost all</v>
      </c>
      <c r="T459" s="77" t="s">
        <v>362</v>
      </c>
      <c r="U459" s="77" t="s">
        <v>338</v>
      </c>
      <c r="V459" s="77" t="s">
        <v>339</v>
      </c>
      <c r="W459" s="77" t="s">
        <v>340</v>
      </c>
      <c r="X459" s="77" t="s">
        <v>341</v>
      </c>
      <c r="AH459" s="98" t="b">
        <f>INDEX(stable[q_standard],MATCH(questions[[#This Row],[qno]],stable[qno],0))</f>
        <v>0</v>
      </c>
      <c r="AI459" s="98" t="b">
        <f>INDEX(stable[q_living_income],MATCH(questions[[#This Row],[qno]],stable[qno],0))</f>
        <v>0</v>
      </c>
      <c r="AJ459" s="98" t="b">
        <f>INDEX(stable[q_carbon],MATCH(questions[[#This Row],[qno]],stable[qno],0))</f>
        <v>0</v>
      </c>
      <c r="AK459" s="98" t="b">
        <f>INDEX(stable[q_regen_ag],MATCH(questions[[#This Row],[qno]],stable[qno],0))</f>
        <v>1</v>
      </c>
      <c r="AL459" s="98" t="b">
        <f>COUNTIFS(stable[qno],questions[[#This Row],[qno]])=1</f>
        <v>1</v>
      </c>
      <c r="AM459" s="98" t="b">
        <f>OR(questions[[#This Row],[is_fixed]],questions[[#This Row],[is_localized]],questions[[#This Row],[is_supply_chain_dependent]])</f>
        <v>1</v>
      </c>
      <c r="AN459" s="98" t="b">
        <f>COUNTIFS(questions[[#This Row],[is_automated]:[is_multi_select]],TRUE)=1</f>
        <v>1</v>
      </c>
      <c r="AO459" s="98" t="b">
        <f>IF(questions[[#This Row],[is_fixed]],questions[[#This Row],[question]]=INDEX(stable[question],MATCH(questions[[#This Row],[qno]],stable[qno],0)),TRUE)</f>
        <v>1</v>
      </c>
      <c r="AP459" s="98" t="str">
        <f>LEFT(questions[[#This Row],[question]],similarity_range)</f>
        <v xml:space="preserve">Of the area of your </v>
      </c>
      <c r="AQ459" s="98" t="str">
        <f>LEFT(INDEX(stable[question],MATCH(questions[[#This Row],[qno]],stable[qno],0)),similarity_range)</f>
        <v xml:space="preserve">Of the area of your </v>
      </c>
      <c r="AR459" s="98" t="b">
        <f>questions[[#This Row],[question_first_characters]]=questions[[#This Row],[stability_first_characters]]</f>
        <v>1</v>
      </c>
      <c r="AS459" s="98" t="b">
        <f>IF(OR(questions[[#This Row],[is_single_select]],questions[[#This Row],[is_multi_select]]),NOT(ISBLANK(questions[[#This Row],[answer_opt_combined]])),TRUE)</f>
        <v>1</v>
      </c>
    </row>
    <row r="460" spans="1:45" s="77" customFormat="1" x14ac:dyDescent="0.25">
      <c r="A460" s="77" t="str">
        <f>_xlfn.TEXTJOIN("_",TRUE,questions[[#This Row],[origin]:[qno]])</f>
        <v>Vietnam_Robusta_Lam_Dong_Nestlé_IMPACT_7126</v>
      </c>
      <c r="B460" s="77" t="s">
        <v>673</v>
      </c>
      <c r="C460" s="77" t="s">
        <v>674</v>
      </c>
      <c r="D460" s="77" t="s">
        <v>675</v>
      </c>
      <c r="F460" s="104" t="s">
        <v>363</v>
      </c>
      <c r="G460" s="78" t="s">
        <v>364</v>
      </c>
      <c r="H460" s="33" t="str" cm="1">
        <f t="array" ref="H460">INDEX(stableR[question],MATCH(VALUE(questions[[#This Row],[qno]]),VALUE(stableR[qno]),0))</f>
        <v>Do you take soil samples and carry out soil analysis of your coffee plots and how often?</v>
      </c>
      <c r="I460" s="33" t="b" cm="1">
        <f t="array" ref="I460">INDEX(stable[is_fixed],MATCH(VALUE(questions[[#This Row],[qno]]),VALUE(stable[qno]),0))</f>
        <v>1</v>
      </c>
      <c r="J460" s="33" t="b" cm="1">
        <f t="array" ref="J460">INDEX(stable[is_localized],MATCH(VALUE(questions[[#This Row],[qno]]),VALUE(stable[qno]),0))</f>
        <v>0</v>
      </c>
      <c r="K460" s="33" t="b" cm="1">
        <f t="array" ref="K460">INDEX(stable[is_supply_chain_dependent],MATCH(VALUE(questions[[#This Row],[qno]]),VALUE(stable[qno]),0))</f>
        <v>0</v>
      </c>
      <c r="L460" s="33" t="b" cm="1">
        <f t="array" ref="L460">INDEX(stable[is_mandatory],MATCH(VALUE(questions[[#This Row],[qno]]),VALUE(stable[qno]),0))</f>
        <v>1</v>
      </c>
      <c r="M460" s="33" t="b" cm="1">
        <f t="array" ref="M460">INDEX(stable[is_automated],MATCH(VALUE(questions[[#This Row],[qno]]),VALUE(stable[qno]),0))</f>
        <v>0</v>
      </c>
      <c r="N460" s="33" t="b" cm="1">
        <f t="array" ref="N460">INDEX(stable[is_free_text],MATCH(VALUE(questions[[#This Row],[qno]]),VALUE(stable[qno]),0))</f>
        <v>0</v>
      </c>
      <c r="O460" s="33" t="b" cm="1">
        <f t="array" ref="O460">INDEX(stable[is_numerical],MATCH(VALUE(questions[[#This Row],[qno]]),VALUE(stable[qno]),0))</f>
        <v>0</v>
      </c>
      <c r="P460" s="103" t="b" cm="1">
        <f t="array" ref="P460">INDEX(stable[is_single_select],MATCH(VALUE(questions[[#This Row],[qno]]),VALUE(stable[qno]),0))</f>
        <v>1</v>
      </c>
      <c r="Q460" s="77" t="b" cm="1">
        <f t="array" ref="Q460">INDEX(stable[is_multi_select],MATCH(VALUE(questions[[#This Row],[qno]]),VALUE(stable[qno]),0))</f>
        <v>0</v>
      </c>
      <c r="R460" s="77" t="b" cm="1">
        <f t="array" ref="R460">INDEX(stable[is_skip_logic],MATCH(VALUE(questions[[#This Row],[qno]]),VALUE(stable[qno]),0))</f>
        <v>1</v>
      </c>
      <c r="S460" s="77" t="str">
        <f>_xlfn.TEXTJOIN(", ",TRUE,questions[[#This Row],[ans_opt_1]:[ans_opt_14]])</f>
        <v>No, Yes-every year, Yes-every 2 years, Yes-every 3 years, Yes-every &gt; 3 years</v>
      </c>
      <c r="T460" s="77" t="s">
        <v>119</v>
      </c>
      <c r="U460" s="77" t="s">
        <v>365</v>
      </c>
      <c r="V460" s="77" t="s">
        <v>366</v>
      </c>
      <c r="W460" s="77" t="s">
        <v>367</v>
      </c>
      <c r="X460" s="77" t="s">
        <v>368</v>
      </c>
      <c r="AH460" s="98" t="b">
        <f>INDEX(stable[q_standard],MATCH(questions[[#This Row],[qno]],stable[qno],0))</f>
        <v>0</v>
      </c>
      <c r="AI460" s="98" t="b">
        <f>INDEX(stable[q_living_income],MATCH(questions[[#This Row],[qno]],stable[qno],0))</f>
        <v>0</v>
      </c>
      <c r="AJ460" s="98" t="b">
        <f>INDEX(stable[q_carbon],MATCH(questions[[#This Row],[qno]],stable[qno],0))</f>
        <v>0</v>
      </c>
      <c r="AK460" s="98" t="b">
        <f>INDEX(stable[q_regen_ag],MATCH(questions[[#This Row],[qno]],stable[qno],0))</f>
        <v>1</v>
      </c>
      <c r="AL460" s="98" t="b">
        <f>COUNTIFS(stable[qno],questions[[#This Row],[qno]])=1</f>
        <v>1</v>
      </c>
      <c r="AM460" s="98" t="b">
        <f>OR(questions[[#This Row],[is_fixed]],questions[[#This Row],[is_localized]],questions[[#This Row],[is_supply_chain_dependent]])</f>
        <v>1</v>
      </c>
      <c r="AN460" s="98" t="b">
        <f>COUNTIFS(questions[[#This Row],[is_automated]:[is_multi_select]],TRUE)=1</f>
        <v>1</v>
      </c>
      <c r="AO460" s="98" t="b">
        <f>IF(questions[[#This Row],[is_fixed]],questions[[#This Row],[question]]=INDEX(stable[question],MATCH(questions[[#This Row],[qno]],stable[qno],0)),TRUE)</f>
        <v>1</v>
      </c>
      <c r="AP460" s="98" t="str">
        <f>LEFT(questions[[#This Row],[question]],similarity_range)</f>
        <v>Do you take soil sam</v>
      </c>
      <c r="AQ460" s="98" t="str">
        <f>LEFT(INDEX(stable[question],MATCH(questions[[#This Row],[qno]],stable[qno],0)),similarity_range)</f>
        <v>Do you take soil sam</v>
      </c>
      <c r="AR460" s="98" t="b">
        <f>questions[[#This Row],[question_first_characters]]=questions[[#This Row],[stability_first_characters]]</f>
        <v>1</v>
      </c>
      <c r="AS460" s="98" t="b">
        <f>IF(OR(questions[[#This Row],[is_single_select]],questions[[#This Row],[is_multi_select]]),NOT(ISBLANK(questions[[#This Row],[answer_opt_combined]])),TRUE)</f>
        <v>1</v>
      </c>
    </row>
    <row r="461" spans="1:45" s="77" customFormat="1" x14ac:dyDescent="0.25">
      <c r="A461" s="77" t="str">
        <f>_xlfn.TEXTJOIN("_",TRUE,questions[[#This Row],[origin]:[qno]])</f>
        <v>Vietnam_Robusta_Lam_Dong_Nestlé_IMPACT_7127</v>
      </c>
      <c r="B461" s="77" t="s">
        <v>673</v>
      </c>
      <c r="C461" s="77" t="s">
        <v>674</v>
      </c>
      <c r="D461" s="77" t="s">
        <v>675</v>
      </c>
      <c r="F461" s="104" t="s">
        <v>369</v>
      </c>
      <c r="G461" s="77" t="s">
        <v>370</v>
      </c>
      <c r="H461" s="33" t="str" cm="1">
        <f t="array" ref="H461">INDEX(stableR[question],MATCH(VALUE(questions[[#This Row],[qno]]),VALUE(stableR[qno]),0))</f>
        <v>If you don´t or last analysis is older than 3 years ago, do you know the basic characteristics of the soil of your coffee plots (e.g. pH-acidity, texture-light/medium/heavy, organic matter-high/good/poor, general fertility-good/average/poor...)?</v>
      </c>
      <c r="I461" s="33" t="b" cm="1">
        <f t="array" ref="I461">INDEX(stable[is_fixed],MATCH(VALUE(questions[[#This Row],[qno]]),VALUE(stable[qno]),0))</f>
        <v>1</v>
      </c>
      <c r="J461" s="33" t="b" cm="1">
        <f t="array" ref="J461">INDEX(stable[is_localized],MATCH(VALUE(questions[[#This Row],[qno]]),VALUE(stable[qno]),0))</f>
        <v>0</v>
      </c>
      <c r="K461" s="33" t="b" cm="1">
        <f t="array" ref="K461">INDEX(stable[is_supply_chain_dependent],MATCH(VALUE(questions[[#This Row],[qno]]),VALUE(stable[qno]),0))</f>
        <v>0</v>
      </c>
      <c r="L461" s="33" t="b" cm="1">
        <f t="array" ref="L461">INDEX(stable[is_mandatory],MATCH(VALUE(questions[[#This Row],[qno]]),VALUE(stable[qno]),0))</f>
        <v>0</v>
      </c>
      <c r="M461" s="33" t="b" cm="1">
        <f t="array" ref="M461">INDEX(stable[is_automated],MATCH(VALUE(questions[[#This Row],[qno]]),VALUE(stable[qno]),0))</f>
        <v>0</v>
      </c>
      <c r="N461" s="33" t="b" cm="1">
        <f t="array" ref="N461">INDEX(stable[is_free_text],MATCH(VALUE(questions[[#This Row],[qno]]),VALUE(stable[qno]),0))</f>
        <v>0</v>
      </c>
      <c r="O461" s="33" t="b" cm="1">
        <f t="array" ref="O461">INDEX(stable[is_numerical],MATCH(VALUE(questions[[#This Row],[qno]]),VALUE(stable[qno]),0))</f>
        <v>0</v>
      </c>
      <c r="P461" s="103" t="b" cm="1">
        <f t="array" ref="P461">INDEX(stable[is_single_select],MATCH(VALUE(questions[[#This Row],[qno]]),VALUE(stable[qno]),0))</f>
        <v>1</v>
      </c>
      <c r="Q461" s="77" t="b" cm="1">
        <f t="array" ref="Q461">INDEX(stable[is_multi_select],MATCH(VALUE(questions[[#This Row],[qno]]),VALUE(stable[qno]),0))</f>
        <v>0</v>
      </c>
      <c r="R461" s="77" t="b" cm="1">
        <f t="array" ref="R461">INDEX(stable[is_skip_logic],MATCH(VALUE(questions[[#This Row],[qno]]),VALUE(stable[qno]),0))</f>
        <v>1</v>
      </c>
      <c r="S461" s="77" t="str">
        <f>_xlfn.TEXTJOIN(", ",TRUE,questions[[#This Row],[ans_opt_1]:[ans_opt_14]])</f>
        <v>Yes, No</v>
      </c>
      <c r="T461" s="77" t="s">
        <v>149</v>
      </c>
      <c r="U461" s="77" t="s">
        <v>119</v>
      </c>
      <c r="AH461" s="98" t="b">
        <f>INDEX(stable[q_standard],MATCH(questions[[#This Row],[qno]],stable[qno],0))</f>
        <v>0</v>
      </c>
      <c r="AI461" s="98" t="b">
        <f>INDEX(stable[q_living_income],MATCH(questions[[#This Row],[qno]],stable[qno],0))</f>
        <v>0</v>
      </c>
      <c r="AJ461" s="98" t="b">
        <f>INDEX(stable[q_carbon],MATCH(questions[[#This Row],[qno]],stable[qno],0))</f>
        <v>0</v>
      </c>
      <c r="AK461" s="98" t="b">
        <f>INDEX(stable[q_regen_ag],MATCH(questions[[#This Row],[qno]],stable[qno],0))</f>
        <v>1</v>
      </c>
      <c r="AL461" s="98" t="b">
        <f>COUNTIFS(stable[qno],questions[[#This Row],[qno]])=1</f>
        <v>1</v>
      </c>
      <c r="AM461" s="98" t="b">
        <f>OR(questions[[#This Row],[is_fixed]],questions[[#This Row],[is_localized]],questions[[#This Row],[is_supply_chain_dependent]])</f>
        <v>1</v>
      </c>
      <c r="AN461" s="98" t="b">
        <f>COUNTIFS(questions[[#This Row],[is_automated]:[is_multi_select]],TRUE)=1</f>
        <v>1</v>
      </c>
      <c r="AO461" s="98" t="b">
        <f>IF(questions[[#This Row],[is_fixed]],questions[[#This Row],[question]]=INDEX(stable[question],MATCH(questions[[#This Row],[qno]],stable[qno],0)),TRUE)</f>
        <v>1</v>
      </c>
      <c r="AP461" s="98" t="str">
        <f>LEFT(questions[[#This Row],[question]],similarity_range)</f>
        <v>If you don´t or last</v>
      </c>
      <c r="AQ461" s="98" t="str">
        <f>LEFT(INDEX(stable[question],MATCH(questions[[#This Row],[qno]],stable[qno],0)),similarity_range)</f>
        <v>If you don´t or last</v>
      </c>
      <c r="AR461" s="98" t="b">
        <f>questions[[#This Row],[question_first_characters]]=questions[[#This Row],[stability_first_characters]]</f>
        <v>1</v>
      </c>
      <c r="AS461" s="98" t="b">
        <f>IF(OR(questions[[#This Row],[is_single_select]],questions[[#This Row],[is_multi_select]]),NOT(ISBLANK(questions[[#This Row],[answer_opt_combined]])),TRUE)</f>
        <v>1</v>
      </c>
    </row>
    <row r="462" spans="1:45" s="77" customFormat="1" x14ac:dyDescent="0.25">
      <c r="A462" s="77" t="str">
        <f>_xlfn.TEXTJOIN("_",TRUE,questions[[#This Row],[origin]:[qno]])</f>
        <v>Vietnam_Robusta_Lam_Dong_Nestlé_IMPACT_7128</v>
      </c>
      <c r="B462" s="77" t="s">
        <v>673</v>
      </c>
      <c r="C462" s="77" t="s">
        <v>674</v>
      </c>
      <c r="D462" s="77" t="s">
        <v>675</v>
      </c>
      <c r="F462" s="104" t="s">
        <v>371</v>
      </c>
      <c r="G462" s="78" t="s">
        <v>372</v>
      </c>
      <c r="H462" s="33" t="str" cm="1">
        <f t="array" ref="H462">INDEX(stableR[question],MATCH(VALUE(questions[[#This Row],[qno]]),VALUE(stableR[qno]),0))</f>
        <v>What is the most common system to determine the amount and/or the type of organic and synthetic fertilizers that you use in your coffee crop?</v>
      </c>
      <c r="I462" s="33" t="b" cm="1">
        <f t="array" ref="I462">INDEX(stable[is_fixed],MATCH(VALUE(questions[[#This Row],[qno]]),VALUE(stable[qno]),0))</f>
        <v>1</v>
      </c>
      <c r="J462" s="33" t="b" cm="1">
        <f t="array" ref="J462">INDEX(stable[is_localized],MATCH(VALUE(questions[[#This Row],[qno]]),VALUE(stable[qno]),0))</f>
        <v>0</v>
      </c>
      <c r="K462" s="33" t="b" cm="1">
        <f t="array" ref="K462">INDEX(stable[is_supply_chain_dependent],MATCH(VALUE(questions[[#This Row],[qno]]),VALUE(stable[qno]),0))</f>
        <v>0</v>
      </c>
      <c r="L462" s="33" t="b" cm="1">
        <f t="array" ref="L462">INDEX(stable[is_mandatory],MATCH(VALUE(questions[[#This Row],[qno]]),VALUE(stable[qno]),0))</f>
        <v>1</v>
      </c>
      <c r="M462" s="33" t="b" cm="1">
        <f t="array" ref="M462">INDEX(stable[is_automated],MATCH(VALUE(questions[[#This Row],[qno]]),VALUE(stable[qno]),0))</f>
        <v>0</v>
      </c>
      <c r="N462" s="33" t="b" cm="1">
        <f t="array" ref="N462">INDEX(stable[is_free_text],MATCH(VALUE(questions[[#This Row],[qno]]),VALUE(stable[qno]),0))</f>
        <v>0</v>
      </c>
      <c r="O462" s="33" t="b" cm="1">
        <f t="array" ref="O462">INDEX(stable[is_numerical],MATCH(VALUE(questions[[#This Row],[qno]]),VALUE(stable[qno]),0))</f>
        <v>0</v>
      </c>
      <c r="P462" s="103" t="b" cm="1">
        <f t="array" ref="P462">INDEX(stable[is_single_select],MATCH(VALUE(questions[[#This Row],[qno]]),VALUE(stable[qno]),0))</f>
        <v>1</v>
      </c>
      <c r="Q462" s="77" t="b" cm="1">
        <f t="array" ref="Q462">INDEX(stable[is_multi_select],MATCH(VALUE(questions[[#This Row],[qno]]),VALUE(stable[qno]),0))</f>
        <v>0</v>
      </c>
      <c r="R462" s="77" t="b" cm="1">
        <f t="array" ref="R462">INDEX(stable[is_skip_logic],MATCH(VALUE(questions[[#This Row],[qno]]),VALUE(stable[qno]),0))</f>
        <v>0</v>
      </c>
      <c r="S462" s="77" t="str">
        <f>_xlfn.TEXTJOIN(", ",TRUE,questions[[#This Row],[ans_opt_1]:[ans_opt_14]])</f>
        <v>Based on my own judgment-experience, Based on what I can afford, I always use the same fertilization, Based on soil analysis or soil knowledge, Based on soil analysis or soil knowledge and the expected yield of the crop, Based on recommendations from experts (agronomists, field officers, extension services...), Based on recommendations from input suppliers, I don't use organic or synthetic fertilizers, based on other reasons then the above options</v>
      </c>
      <c r="T462" s="77" t="s">
        <v>373</v>
      </c>
      <c r="U462" s="77" t="s">
        <v>374</v>
      </c>
      <c r="V462" s="77" t="s">
        <v>375</v>
      </c>
      <c r="W462" s="77" t="s">
        <v>376</v>
      </c>
      <c r="X462" s="77" t="s">
        <v>377</v>
      </c>
      <c r="Y462" s="77" t="s">
        <v>378</v>
      </c>
      <c r="Z462" s="77" t="s">
        <v>379</v>
      </c>
      <c r="AA462" s="77" t="s">
        <v>380</v>
      </c>
      <c r="AH462" s="98" t="b">
        <f>INDEX(stable[q_standard],MATCH(questions[[#This Row],[qno]],stable[qno],0))</f>
        <v>0</v>
      </c>
      <c r="AI462" s="98" t="b">
        <f>INDEX(stable[q_living_income],MATCH(questions[[#This Row],[qno]],stable[qno],0))</f>
        <v>0</v>
      </c>
      <c r="AJ462" s="98" t="b">
        <f>INDEX(stable[q_carbon],MATCH(questions[[#This Row],[qno]],stable[qno],0))</f>
        <v>0</v>
      </c>
      <c r="AK462" s="98" t="b">
        <f>INDEX(stable[q_regen_ag],MATCH(questions[[#This Row],[qno]],stable[qno],0))</f>
        <v>1</v>
      </c>
      <c r="AL462" s="98" t="b">
        <f>COUNTIFS(stable[qno],questions[[#This Row],[qno]])=1</f>
        <v>1</v>
      </c>
      <c r="AM462" s="98" t="b">
        <f>OR(questions[[#This Row],[is_fixed]],questions[[#This Row],[is_localized]],questions[[#This Row],[is_supply_chain_dependent]])</f>
        <v>1</v>
      </c>
      <c r="AN462" s="98" t="b">
        <f>COUNTIFS(questions[[#This Row],[is_automated]:[is_multi_select]],TRUE)=1</f>
        <v>1</v>
      </c>
      <c r="AO462" s="98" t="b">
        <f>IF(questions[[#This Row],[is_fixed]],questions[[#This Row],[question]]=INDEX(stable[question],MATCH(questions[[#This Row],[qno]],stable[qno],0)),TRUE)</f>
        <v>1</v>
      </c>
      <c r="AP462" s="98" t="str">
        <f>LEFT(questions[[#This Row],[question]],similarity_range)</f>
        <v>What is the most com</v>
      </c>
      <c r="AQ462" s="98" t="str">
        <f>LEFT(INDEX(stable[question],MATCH(questions[[#This Row],[qno]],stable[qno],0)),similarity_range)</f>
        <v>What is the most com</v>
      </c>
      <c r="AR462" s="98" t="b">
        <f>questions[[#This Row],[question_first_characters]]=questions[[#This Row],[stability_first_characters]]</f>
        <v>1</v>
      </c>
      <c r="AS462" s="98" t="b">
        <f>IF(OR(questions[[#This Row],[is_single_select]],questions[[#This Row],[is_multi_select]]),NOT(ISBLANK(questions[[#This Row],[answer_opt_combined]])),TRUE)</f>
        <v>1</v>
      </c>
    </row>
    <row r="463" spans="1:45" s="77" customFormat="1" x14ac:dyDescent="0.25">
      <c r="A463" s="77" t="str">
        <f>_xlfn.TEXTJOIN("_",TRUE,questions[[#This Row],[origin]:[qno]])</f>
        <v>Vietnam_Robusta_Lam_Dong_Nestlé_IMPACT_7131</v>
      </c>
      <c r="B463" s="77" t="s">
        <v>673</v>
      </c>
      <c r="C463" s="77" t="s">
        <v>674</v>
      </c>
      <c r="D463" s="77" t="s">
        <v>675</v>
      </c>
      <c r="F463" s="104" t="s">
        <v>381</v>
      </c>
      <c r="G463" s="78" t="s">
        <v>382</v>
      </c>
      <c r="H463" s="33" t="str" cm="1">
        <f t="array" ref="H463">INDEX(stableR[question],MATCH(VALUE(questions[[#This Row],[qno]]),VALUE(stableR[qno]),0))</f>
        <v>How often do you apply synthetic fertilizer per season in your coffee crop?</v>
      </c>
      <c r="I463" s="33" t="b" cm="1">
        <f t="array" ref="I463">INDEX(stable[is_fixed],MATCH(VALUE(questions[[#This Row],[qno]]),VALUE(stable[qno]),0))</f>
        <v>1</v>
      </c>
      <c r="J463" s="33" t="b" cm="1">
        <f t="array" ref="J463">INDEX(stable[is_localized],MATCH(VALUE(questions[[#This Row],[qno]]),VALUE(stable[qno]),0))</f>
        <v>0</v>
      </c>
      <c r="K463" s="33" t="b" cm="1">
        <f t="array" ref="K463">INDEX(stable[is_supply_chain_dependent],MATCH(VALUE(questions[[#This Row],[qno]]),VALUE(stable[qno]),0))</f>
        <v>0</v>
      </c>
      <c r="L463" s="33" t="b" cm="1">
        <f t="array" ref="L463">INDEX(stable[is_mandatory],MATCH(VALUE(questions[[#This Row],[qno]]),VALUE(stable[qno]),0))</f>
        <v>1</v>
      </c>
      <c r="M463" s="33" t="b" cm="1">
        <f t="array" ref="M463">INDEX(stable[is_automated],MATCH(VALUE(questions[[#This Row],[qno]]),VALUE(stable[qno]),0))</f>
        <v>0</v>
      </c>
      <c r="N463" s="33" t="b" cm="1">
        <f t="array" ref="N463">INDEX(stable[is_free_text],MATCH(VALUE(questions[[#This Row],[qno]]),VALUE(stable[qno]),0))</f>
        <v>0</v>
      </c>
      <c r="O463" s="33" t="b" cm="1">
        <f t="array" ref="O463">INDEX(stable[is_numerical],MATCH(VALUE(questions[[#This Row],[qno]]),VALUE(stable[qno]),0))</f>
        <v>0</v>
      </c>
      <c r="P463" s="103" t="b" cm="1">
        <f t="array" ref="P463">INDEX(stable[is_single_select],MATCH(VALUE(questions[[#This Row],[qno]]),VALUE(stable[qno]),0))</f>
        <v>1</v>
      </c>
      <c r="Q463" s="77" t="b" cm="1">
        <f t="array" ref="Q463">INDEX(stable[is_multi_select],MATCH(VALUE(questions[[#This Row],[qno]]),VALUE(stable[qno]),0))</f>
        <v>0</v>
      </c>
      <c r="R463" s="77" t="b" cm="1">
        <f t="array" ref="R463">INDEX(stable[is_skip_logic],MATCH(VALUE(questions[[#This Row],[qno]]),VALUE(stable[qno]),0))</f>
        <v>0</v>
      </c>
      <c r="S463" s="77" t="str">
        <f>_xlfn.TEXTJOIN(", ",TRUE,questions[[#This Row],[ans_opt_1]:[ans_opt_14]])</f>
        <v>I don't apply, I apply once per season, I apply multiple times throughout the season</v>
      </c>
      <c r="T463" s="77" t="s">
        <v>383</v>
      </c>
      <c r="U463" s="77" t="s">
        <v>384</v>
      </c>
      <c r="V463" s="77" t="s">
        <v>385</v>
      </c>
      <c r="AH463" s="98" t="b">
        <f>INDEX(stable[q_standard],MATCH(questions[[#This Row],[qno]],stable[qno],0))</f>
        <v>0</v>
      </c>
      <c r="AI463" s="98" t="b">
        <f>INDEX(stable[q_living_income],MATCH(questions[[#This Row],[qno]],stable[qno],0))</f>
        <v>0</v>
      </c>
      <c r="AJ463" s="98" t="b">
        <f>INDEX(stable[q_carbon],MATCH(questions[[#This Row],[qno]],stable[qno],0))</f>
        <v>0</v>
      </c>
      <c r="AK463" s="98" t="b">
        <f>INDEX(stable[q_regen_ag],MATCH(questions[[#This Row],[qno]],stable[qno],0))</f>
        <v>1</v>
      </c>
      <c r="AL463" s="98" t="b">
        <f>COUNTIFS(stable[qno],questions[[#This Row],[qno]])=1</f>
        <v>1</v>
      </c>
      <c r="AM463" s="98" t="b">
        <f>OR(questions[[#This Row],[is_fixed]],questions[[#This Row],[is_localized]],questions[[#This Row],[is_supply_chain_dependent]])</f>
        <v>1</v>
      </c>
      <c r="AN463" s="98" t="b">
        <f>COUNTIFS(questions[[#This Row],[is_automated]:[is_multi_select]],TRUE)=1</f>
        <v>1</v>
      </c>
      <c r="AO463" s="98" t="b">
        <f>IF(questions[[#This Row],[is_fixed]],questions[[#This Row],[question]]=INDEX(stable[question],MATCH(questions[[#This Row],[qno]],stable[qno],0)),TRUE)</f>
        <v>1</v>
      </c>
      <c r="AP463" s="98" t="str">
        <f>LEFT(questions[[#This Row],[question]],similarity_range)</f>
        <v>How often do you app</v>
      </c>
      <c r="AQ463" s="98" t="str">
        <f>LEFT(INDEX(stable[question],MATCH(questions[[#This Row],[qno]],stable[qno],0)),similarity_range)</f>
        <v>How often do you app</v>
      </c>
      <c r="AR463" s="98" t="b">
        <f>questions[[#This Row],[question_first_characters]]=questions[[#This Row],[stability_first_characters]]</f>
        <v>1</v>
      </c>
      <c r="AS463" s="98" t="b">
        <f>IF(OR(questions[[#This Row],[is_single_select]],questions[[#This Row],[is_multi_select]]),NOT(ISBLANK(questions[[#This Row],[answer_opt_combined]])),TRUE)</f>
        <v>1</v>
      </c>
    </row>
    <row r="464" spans="1:45" s="77" customFormat="1" x14ac:dyDescent="0.25">
      <c r="A464" s="77" t="str">
        <f>_xlfn.TEXTJOIN("_",TRUE,questions[[#This Row],[origin]:[qno]])</f>
        <v>Vietnam_Robusta_Lam_Dong_Nestlé_IMPACT_7132</v>
      </c>
      <c r="B464" s="77" t="s">
        <v>673</v>
      </c>
      <c r="C464" s="77" t="s">
        <v>674</v>
      </c>
      <c r="D464" s="77" t="s">
        <v>675</v>
      </c>
      <c r="F464" s="104" t="s">
        <v>386</v>
      </c>
      <c r="G464" s="78" t="s">
        <v>387</v>
      </c>
      <c r="H464" s="33" t="str" cm="1">
        <f t="array" ref="H464">INDEX(stableR[question],MATCH(VALUE(questions[[#This Row],[qno]]),VALUE(stableR[qno]),0))</f>
        <v>How do you apply the organic and synthetic fertilizers to the coffee trees in the coffee plots?</v>
      </c>
      <c r="I464" s="33" t="b" cm="1">
        <f t="array" ref="I464">INDEX(stable[is_fixed],MATCH(VALUE(questions[[#This Row],[qno]]),VALUE(stable[qno]),0))</f>
        <v>1</v>
      </c>
      <c r="J464" s="33" t="b" cm="1">
        <f t="array" ref="J464">INDEX(stable[is_localized],MATCH(VALUE(questions[[#This Row],[qno]]),VALUE(stable[qno]),0))</f>
        <v>0</v>
      </c>
      <c r="K464" s="33" t="b" cm="1">
        <f t="array" ref="K464">INDEX(stable[is_supply_chain_dependent],MATCH(VALUE(questions[[#This Row],[qno]]),VALUE(stable[qno]),0))</f>
        <v>0</v>
      </c>
      <c r="L464" s="33" t="b" cm="1">
        <f t="array" ref="L464">INDEX(stable[is_mandatory],MATCH(VALUE(questions[[#This Row],[qno]]),VALUE(stable[qno]),0))</f>
        <v>0</v>
      </c>
      <c r="M464" s="33" t="b" cm="1">
        <f t="array" ref="M464">INDEX(stable[is_automated],MATCH(VALUE(questions[[#This Row],[qno]]),VALUE(stable[qno]),0))</f>
        <v>0</v>
      </c>
      <c r="N464" s="33" t="b" cm="1">
        <f t="array" ref="N464">INDEX(stable[is_free_text],MATCH(VALUE(questions[[#This Row],[qno]]),VALUE(stable[qno]),0))</f>
        <v>0</v>
      </c>
      <c r="O464" s="33" t="b" cm="1">
        <f t="array" ref="O464">INDEX(stable[is_numerical],MATCH(VALUE(questions[[#This Row],[qno]]),VALUE(stable[qno]),0))</f>
        <v>0</v>
      </c>
      <c r="P464" s="103" t="b" cm="1">
        <f t="array" ref="P464">INDEX(stable[is_single_select],MATCH(VALUE(questions[[#This Row],[qno]]),VALUE(stable[qno]),0))</f>
        <v>1</v>
      </c>
      <c r="Q464" s="77" t="b" cm="1">
        <f t="array" ref="Q464">INDEX(stable[is_multi_select],MATCH(VALUE(questions[[#This Row],[qno]]),VALUE(stable[qno]),0))</f>
        <v>0</v>
      </c>
      <c r="R464" s="77" t="b" cm="1">
        <f t="array" ref="R464">INDEX(stable[is_skip_logic],MATCH(VALUE(questions[[#This Row],[qno]]),VALUE(stable[qno]),0))</f>
        <v>0</v>
      </c>
      <c r="S464" s="77" t="str">
        <f>_xlfn.TEXTJOIN(", ",TRUE,questions[[#This Row],[ans_opt_1]:[ans_opt_14]])</f>
        <v>Around the tree, In bands close to the trees, Broadcasted in all the field, Through the irrigation system (e.g. drip)</v>
      </c>
      <c r="T464" s="77" t="s">
        <v>388</v>
      </c>
      <c r="U464" s="77" t="s">
        <v>389</v>
      </c>
      <c r="V464" s="77" t="s">
        <v>390</v>
      </c>
      <c r="W464" s="77" t="s">
        <v>391</v>
      </c>
      <c r="AH464" s="98" t="b">
        <f>INDEX(stable[q_standard],MATCH(questions[[#This Row],[qno]],stable[qno],0))</f>
        <v>0</v>
      </c>
      <c r="AI464" s="98" t="b">
        <f>INDEX(stable[q_living_income],MATCH(questions[[#This Row],[qno]],stable[qno],0))</f>
        <v>0</v>
      </c>
      <c r="AJ464" s="98" t="b">
        <f>INDEX(stable[q_carbon],MATCH(questions[[#This Row],[qno]],stable[qno],0))</f>
        <v>0</v>
      </c>
      <c r="AK464" s="98" t="b">
        <f>INDEX(stable[q_regen_ag],MATCH(questions[[#This Row],[qno]],stable[qno],0))</f>
        <v>1</v>
      </c>
      <c r="AL464" s="98" t="b">
        <f>COUNTIFS(stable[qno],questions[[#This Row],[qno]])=1</f>
        <v>1</v>
      </c>
      <c r="AM464" s="98" t="b">
        <f>OR(questions[[#This Row],[is_fixed]],questions[[#This Row],[is_localized]],questions[[#This Row],[is_supply_chain_dependent]])</f>
        <v>1</v>
      </c>
      <c r="AN464" s="98" t="b">
        <f>COUNTIFS(questions[[#This Row],[is_automated]:[is_multi_select]],TRUE)=1</f>
        <v>1</v>
      </c>
      <c r="AO464" s="98" t="b">
        <f>IF(questions[[#This Row],[is_fixed]],questions[[#This Row],[question]]=INDEX(stable[question],MATCH(questions[[#This Row],[qno]],stable[qno],0)),TRUE)</f>
        <v>1</v>
      </c>
      <c r="AP464" s="98" t="str">
        <f>LEFT(questions[[#This Row],[question]],similarity_range)</f>
        <v>How do you apply the</v>
      </c>
      <c r="AQ464" s="98" t="str">
        <f>LEFT(INDEX(stable[question],MATCH(questions[[#This Row],[qno]],stable[qno],0)),similarity_range)</f>
        <v>How do you apply the</v>
      </c>
      <c r="AR464" s="98" t="b">
        <f>questions[[#This Row],[question_first_characters]]=questions[[#This Row],[stability_first_characters]]</f>
        <v>1</v>
      </c>
      <c r="AS464" s="98" t="b">
        <f>IF(OR(questions[[#This Row],[is_single_select]],questions[[#This Row],[is_multi_select]]),NOT(ISBLANK(questions[[#This Row],[answer_opt_combined]])),TRUE)</f>
        <v>1</v>
      </c>
    </row>
    <row r="465" spans="1:45" s="77" customFormat="1" x14ac:dyDescent="0.25">
      <c r="A465" s="77" t="str">
        <f>_xlfn.TEXTJOIN("_",TRUE,questions[[#This Row],[origin]:[qno]])</f>
        <v>Vietnam_Robusta_Lam_Dong_Nestlé_IMPACT_7133</v>
      </c>
      <c r="B465" s="77" t="s">
        <v>673</v>
      </c>
      <c r="C465" s="77" t="s">
        <v>674</v>
      </c>
      <c r="D465" s="77" t="s">
        <v>675</v>
      </c>
      <c r="F465" s="104" t="s">
        <v>392</v>
      </c>
      <c r="G465" s="78" t="s">
        <v>393</v>
      </c>
      <c r="H465" s="33" t="str" cm="1">
        <f t="array" ref="H465">INDEX(stableR[question],MATCH(VALUE(questions[[#This Row],[qno]]),VALUE(stableR[qno]),0))</f>
        <v>Do you know the 4R principles of using organic and synthetic fertilizers in crops (Right Amount, Right Product, Right Time, Right Place)?</v>
      </c>
      <c r="I465" s="33" t="b" cm="1">
        <f t="array" ref="I465">INDEX(stable[is_fixed],MATCH(VALUE(questions[[#This Row],[qno]]),VALUE(stable[qno]),0))</f>
        <v>1</v>
      </c>
      <c r="J465" s="33" t="b" cm="1">
        <f t="array" ref="J465">INDEX(stable[is_localized],MATCH(VALUE(questions[[#This Row],[qno]]),VALUE(stable[qno]),0))</f>
        <v>0</v>
      </c>
      <c r="K465" s="33" t="b" cm="1">
        <f t="array" ref="K465">INDEX(stable[is_supply_chain_dependent],MATCH(VALUE(questions[[#This Row],[qno]]),VALUE(stable[qno]),0))</f>
        <v>0</v>
      </c>
      <c r="L465" s="33" t="b" cm="1">
        <f t="array" ref="L465">INDEX(stable[is_mandatory],MATCH(VALUE(questions[[#This Row],[qno]]),VALUE(stable[qno]),0))</f>
        <v>1</v>
      </c>
      <c r="M465" s="33" t="b" cm="1">
        <f t="array" ref="M465">INDEX(stable[is_automated],MATCH(VALUE(questions[[#This Row],[qno]]),VALUE(stable[qno]),0))</f>
        <v>0</v>
      </c>
      <c r="N465" s="33" t="b" cm="1">
        <f t="array" ref="N465">INDEX(stable[is_free_text],MATCH(VALUE(questions[[#This Row],[qno]]),VALUE(stable[qno]),0))</f>
        <v>0</v>
      </c>
      <c r="O465" s="33" t="b" cm="1">
        <f t="array" ref="O465">INDEX(stable[is_numerical],MATCH(VALUE(questions[[#This Row],[qno]]),VALUE(stable[qno]),0))</f>
        <v>0</v>
      </c>
      <c r="P465" s="103" t="b" cm="1">
        <f t="array" ref="P465">INDEX(stable[is_single_select],MATCH(VALUE(questions[[#This Row],[qno]]),VALUE(stable[qno]),0))</f>
        <v>1</v>
      </c>
      <c r="Q465" s="77" t="b" cm="1">
        <f t="array" ref="Q465">INDEX(stable[is_multi_select],MATCH(VALUE(questions[[#This Row],[qno]]),VALUE(stable[qno]),0))</f>
        <v>0</v>
      </c>
      <c r="R465" s="77" t="b" cm="1">
        <f t="array" ref="R465">INDEX(stable[is_skip_logic],MATCH(VALUE(questions[[#This Row],[qno]]),VALUE(stable[qno]),0))</f>
        <v>0</v>
      </c>
      <c r="S465" s="77" t="str">
        <f>_xlfn.TEXTJOIN(", ",TRUE,questions[[#This Row],[ans_opt_1]:[ans_opt_14]])</f>
        <v>Yes, No</v>
      </c>
      <c r="T465" s="77" t="s">
        <v>149</v>
      </c>
      <c r="U465" s="77" t="s">
        <v>119</v>
      </c>
      <c r="AH465" s="98" t="b">
        <f>INDEX(stable[q_standard],MATCH(questions[[#This Row],[qno]],stable[qno],0))</f>
        <v>0</v>
      </c>
      <c r="AI465" s="98" t="b">
        <f>INDEX(stable[q_living_income],MATCH(questions[[#This Row],[qno]],stable[qno],0))</f>
        <v>0</v>
      </c>
      <c r="AJ465" s="98" t="b">
        <f>INDEX(stable[q_carbon],MATCH(questions[[#This Row],[qno]],stable[qno],0))</f>
        <v>0</v>
      </c>
      <c r="AK465" s="98" t="b">
        <f>INDEX(stable[q_regen_ag],MATCH(questions[[#This Row],[qno]],stable[qno],0))</f>
        <v>1</v>
      </c>
      <c r="AL465" s="98" t="b">
        <f>COUNTIFS(stable[qno],questions[[#This Row],[qno]])=1</f>
        <v>1</v>
      </c>
      <c r="AM465" s="98" t="b">
        <f>OR(questions[[#This Row],[is_fixed]],questions[[#This Row],[is_localized]],questions[[#This Row],[is_supply_chain_dependent]])</f>
        <v>1</v>
      </c>
      <c r="AN465" s="98" t="b">
        <f>COUNTIFS(questions[[#This Row],[is_automated]:[is_multi_select]],TRUE)=1</f>
        <v>1</v>
      </c>
      <c r="AO465" s="98" t="b">
        <f>IF(questions[[#This Row],[is_fixed]],questions[[#This Row],[question]]=INDEX(stable[question],MATCH(questions[[#This Row],[qno]],stable[qno],0)),TRUE)</f>
        <v>1</v>
      </c>
      <c r="AP465" s="98" t="str">
        <f>LEFT(questions[[#This Row],[question]],similarity_range)</f>
        <v>Do you know the 4R p</v>
      </c>
      <c r="AQ465" s="98" t="str">
        <f>LEFT(INDEX(stable[question],MATCH(questions[[#This Row],[qno]],stable[qno],0)),similarity_range)</f>
        <v>Do you know the 4R p</v>
      </c>
      <c r="AR465" s="98" t="b">
        <f>questions[[#This Row],[question_first_characters]]=questions[[#This Row],[stability_first_characters]]</f>
        <v>1</v>
      </c>
      <c r="AS465" s="98" t="b">
        <f>IF(OR(questions[[#This Row],[is_single_select]],questions[[#This Row],[is_multi_select]]),NOT(ISBLANK(questions[[#This Row],[answer_opt_combined]])),TRUE)</f>
        <v>1</v>
      </c>
    </row>
    <row r="466" spans="1:45" s="77" customFormat="1" x14ac:dyDescent="0.25">
      <c r="A466" s="77" t="str">
        <f>_xlfn.TEXTJOIN("_",TRUE,questions[[#This Row],[origin]:[qno]])</f>
        <v>Vietnam_Robusta_Lam_Dong_Nestlé_IMPACT_7240</v>
      </c>
      <c r="B466" s="77" t="s">
        <v>673</v>
      </c>
      <c r="C466" s="77" t="s">
        <v>674</v>
      </c>
      <c r="D466" s="77" t="s">
        <v>675</v>
      </c>
      <c r="F466" s="104" t="s">
        <v>394</v>
      </c>
      <c r="G466" s="78" t="s">
        <v>395</v>
      </c>
      <c r="H466" s="33" t="str" cm="1">
        <f t="array" ref="H466">INDEX(stableR[question],MATCH(VALUE(questions[[#This Row],[qno]]),VALUE(stableR[qno]),0))</f>
        <v>Do you apply chemical PPPs (plant protection products) like pesticides/fungicides/nematicides in your coffee crop, and how many different active ingredients per crop season?</v>
      </c>
      <c r="I466" s="33" t="b" cm="1">
        <f t="array" ref="I466">INDEX(stable[is_fixed],MATCH(VALUE(questions[[#This Row],[qno]]),VALUE(stable[qno]),0))</f>
        <v>1</v>
      </c>
      <c r="J466" s="33" t="b" cm="1">
        <f t="array" ref="J466">INDEX(stable[is_localized],MATCH(VALUE(questions[[#This Row],[qno]]),VALUE(stable[qno]),0))</f>
        <v>0</v>
      </c>
      <c r="K466" s="33" t="b" cm="1">
        <f t="array" ref="K466">INDEX(stable[is_supply_chain_dependent],MATCH(VALUE(questions[[#This Row],[qno]]),VALUE(stable[qno]),0))</f>
        <v>0</v>
      </c>
      <c r="L466" s="33" t="b" cm="1">
        <f t="array" ref="L466">INDEX(stable[is_mandatory],MATCH(VALUE(questions[[#This Row],[qno]]),VALUE(stable[qno]),0))</f>
        <v>1</v>
      </c>
      <c r="M466" s="33" t="b" cm="1">
        <f t="array" ref="M466">INDEX(stable[is_automated],MATCH(VALUE(questions[[#This Row],[qno]]),VALUE(stable[qno]),0))</f>
        <v>0</v>
      </c>
      <c r="N466" s="33" t="b" cm="1">
        <f t="array" ref="N466">INDEX(stable[is_free_text],MATCH(VALUE(questions[[#This Row],[qno]]),VALUE(stable[qno]),0))</f>
        <v>0</v>
      </c>
      <c r="O466" s="33" t="b" cm="1">
        <f t="array" ref="O466">INDEX(stable[is_numerical],MATCH(VALUE(questions[[#This Row],[qno]]),VALUE(stable[qno]),0))</f>
        <v>0</v>
      </c>
      <c r="P466" s="103" t="b" cm="1">
        <f t="array" ref="P466">INDEX(stable[is_single_select],MATCH(VALUE(questions[[#This Row],[qno]]),VALUE(stable[qno]),0))</f>
        <v>1</v>
      </c>
      <c r="Q466" s="77" t="b" cm="1">
        <f t="array" ref="Q466">INDEX(stable[is_multi_select],MATCH(VALUE(questions[[#This Row],[qno]]),VALUE(stable[qno]),0))</f>
        <v>0</v>
      </c>
      <c r="R466" s="77" t="b" cm="1">
        <f t="array" ref="R466">INDEX(stable[is_skip_logic],MATCH(VALUE(questions[[#This Row],[qno]]),VALUE(stable[qno]),0))</f>
        <v>1</v>
      </c>
      <c r="S466" s="77" t="str">
        <f>_xlfn.TEXTJOIN(", ",TRUE,questions[[#This Row],[ans_opt_1]:[ans_opt_14]])</f>
        <v>Yes, No</v>
      </c>
      <c r="T466" s="77" t="s">
        <v>149</v>
      </c>
      <c r="U466" s="77" t="s">
        <v>119</v>
      </c>
      <c r="AH466" s="98" t="b">
        <f>INDEX(stable[q_standard],MATCH(questions[[#This Row],[qno]],stable[qno],0))</f>
        <v>0</v>
      </c>
      <c r="AI466" s="98" t="b">
        <f>INDEX(stable[q_living_income],MATCH(questions[[#This Row],[qno]],stable[qno],0))</f>
        <v>0</v>
      </c>
      <c r="AJ466" s="98" t="b">
        <f>INDEX(stable[q_carbon],MATCH(questions[[#This Row],[qno]],stable[qno],0))</f>
        <v>0</v>
      </c>
      <c r="AK466" s="98" t="b">
        <f>INDEX(stable[q_regen_ag],MATCH(questions[[#This Row],[qno]],stable[qno],0))</f>
        <v>1</v>
      </c>
      <c r="AL466" s="98" t="b">
        <f>COUNTIFS(stable[qno],questions[[#This Row],[qno]])=1</f>
        <v>1</v>
      </c>
      <c r="AM466" s="98" t="b">
        <f>OR(questions[[#This Row],[is_fixed]],questions[[#This Row],[is_localized]],questions[[#This Row],[is_supply_chain_dependent]])</f>
        <v>1</v>
      </c>
      <c r="AN466" s="98" t="b">
        <f>COUNTIFS(questions[[#This Row],[is_automated]:[is_multi_select]],TRUE)=1</f>
        <v>1</v>
      </c>
      <c r="AO466" s="98" t="b">
        <f>IF(questions[[#This Row],[is_fixed]],questions[[#This Row],[question]]=INDEX(stable[question],MATCH(questions[[#This Row],[qno]],stable[qno],0)),TRUE)</f>
        <v>0</v>
      </c>
      <c r="AP466" s="98" t="str">
        <f>LEFT(questions[[#This Row],[question]],similarity_range)</f>
        <v>Did you use chemical</v>
      </c>
      <c r="AQ466" s="98" t="str">
        <f>LEFT(INDEX(stable[question],MATCH(questions[[#This Row],[qno]],stable[qno],0)),similarity_range)</f>
        <v>Did you use chemical</v>
      </c>
      <c r="AR466" s="98" t="b">
        <f>questions[[#This Row],[question_first_characters]]=questions[[#This Row],[stability_first_characters]]</f>
        <v>1</v>
      </c>
      <c r="AS466" s="98" t="b">
        <f>IF(OR(questions[[#This Row],[is_single_select]],questions[[#This Row],[is_multi_select]]),NOT(ISBLANK(questions[[#This Row],[answer_opt_combined]])),TRUE)</f>
        <v>1</v>
      </c>
    </row>
    <row r="467" spans="1:45" s="77" customFormat="1" x14ac:dyDescent="0.25">
      <c r="A467" s="77" t="str">
        <f>_xlfn.TEXTJOIN("_",TRUE,questions[[#This Row],[origin]:[qno]])</f>
        <v>Vietnam_Robusta_Lam_Dong_Nestlé_IMPACT_7241</v>
      </c>
      <c r="B467" s="77" t="s">
        <v>673</v>
      </c>
      <c r="C467" s="77" t="s">
        <v>674</v>
      </c>
      <c r="D467" s="77" t="s">
        <v>675</v>
      </c>
      <c r="F467" s="104" t="s">
        <v>396</v>
      </c>
      <c r="G467" s="77" t="s">
        <v>397</v>
      </c>
      <c r="H467" s="33" t="str" cm="1">
        <f t="array" ref="H467">INDEX(stableR[question],MATCH(VALUE(questions[[#This Row],[qno]]),VALUE(stableR[qno]),0))</f>
        <v>If yes, list the names of all the pesticides and/or fungicides that you used, last year.</v>
      </c>
      <c r="I467" s="33" t="b" cm="1">
        <f t="array" ref="I467">INDEX(stable[is_fixed],MATCH(VALUE(questions[[#This Row],[qno]]),VALUE(stable[qno]),0))</f>
        <v>1</v>
      </c>
      <c r="J467" s="33" t="b" cm="1">
        <f t="array" ref="J467">INDEX(stable[is_localized],MATCH(VALUE(questions[[#This Row],[qno]]),VALUE(stable[qno]),0))</f>
        <v>0</v>
      </c>
      <c r="K467" s="33" t="b" cm="1">
        <f t="array" ref="K467">INDEX(stable[is_supply_chain_dependent],MATCH(VALUE(questions[[#This Row],[qno]]),VALUE(stable[qno]),0))</f>
        <v>0</v>
      </c>
      <c r="L467" s="33" t="b" cm="1">
        <f t="array" ref="L467">INDEX(stable[is_mandatory],MATCH(VALUE(questions[[#This Row],[qno]]),VALUE(stable[qno]),0))</f>
        <v>0</v>
      </c>
      <c r="M467" s="33" t="b" cm="1">
        <f t="array" ref="M467">INDEX(stable[is_automated],MATCH(VALUE(questions[[#This Row],[qno]]),VALUE(stable[qno]),0))</f>
        <v>0</v>
      </c>
      <c r="N467" s="33" t="b" cm="1">
        <f t="array" ref="N467">INDEX(stable[is_free_text],MATCH(VALUE(questions[[#This Row],[qno]]),VALUE(stable[qno]),0))</f>
        <v>0</v>
      </c>
      <c r="O467" s="33" t="b" cm="1">
        <f t="array" ref="O467">INDEX(stable[is_numerical],MATCH(VALUE(questions[[#This Row],[qno]]),VALUE(stable[qno]),0))</f>
        <v>0</v>
      </c>
      <c r="P467" s="103" t="b" cm="1">
        <f t="array" ref="P467">INDEX(stable[is_single_select],MATCH(VALUE(questions[[#This Row],[qno]]),VALUE(stable[qno]),0))</f>
        <v>1</v>
      </c>
      <c r="Q467" s="77" t="b" cm="1">
        <f t="array" ref="Q467">INDEX(stable[is_multi_select],MATCH(VALUE(questions[[#This Row],[qno]]),VALUE(stable[qno]),0))</f>
        <v>0</v>
      </c>
      <c r="R467" s="77" t="b" cm="1">
        <f t="array" ref="R467">INDEX(stable[is_skip_logic],MATCH(VALUE(questions[[#This Row],[qno]]),VALUE(stable[qno]),0))</f>
        <v>1</v>
      </c>
      <c r="S467" s="77" t="str">
        <f>_xlfn.TEXTJOIN(", ",TRUE,questions[[#This Row],[ans_opt_1]:[ans_opt_14]])</f>
        <v>Yes, No</v>
      </c>
      <c r="T467" s="77" t="s">
        <v>149</v>
      </c>
      <c r="U467" s="77" t="s">
        <v>119</v>
      </c>
      <c r="AH467" s="98" t="b">
        <f>INDEX(stable[q_standard],MATCH(questions[[#This Row],[qno]],stable[qno],0))</f>
        <v>0</v>
      </c>
      <c r="AI467" s="98" t="b">
        <f>INDEX(stable[q_living_income],MATCH(questions[[#This Row],[qno]],stable[qno],0))</f>
        <v>0</v>
      </c>
      <c r="AJ467" s="98" t="b">
        <f>INDEX(stable[q_carbon],MATCH(questions[[#This Row],[qno]],stable[qno],0))</f>
        <v>0</v>
      </c>
      <c r="AK467" s="98" t="b">
        <f>INDEX(stable[q_regen_ag],MATCH(questions[[#This Row],[qno]],stable[qno],0))</f>
        <v>1</v>
      </c>
      <c r="AL467" s="98" t="b">
        <f>COUNTIFS(stable[qno],questions[[#This Row],[qno]])=1</f>
        <v>1</v>
      </c>
      <c r="AM467" s="98" t="b">
        <f>OR(questions[[#This Row],[is_fixed]],questions[[#This Row],[is_localized]],questions[[#This Row],[is_supply_chain_dependent]])</f>
        <v>1</v>
      </c>
      <c r="AN467" s="98" t="b">
        <f>COUNTIFS(questions[[#This Row],[is_automated]:[is_multi_select]],TRUE)=1</f>
        <v>1</v>
      </c>
      <c r="AO467" s="98" t="b">
        <f>IF(questions[[#This Row],[is_fixed]],questions[[#This Row],[question]]=INDEX(stable[question],MATCH(questions[[#This Row],[qno]],stable[qno],0)),TRUE)</f>
        <v>0</v>
      </c>
      <c r="AP467" s="98" t="str">
        <f>LEFT(questions[[#This Row],[question]],similarity_range)</f>
        <v>If you apply chemica</v>
      </c>
      <c r="AQ467" s="98" t="str">
        <f>LEFT(INDEX(stable[question],MATCH(questions[[#This Row],[qno]],stable[qno],0)),similarity_range)</f>
        <v>If you apply chemica</v>
      </c>
      <c r="AR467" s="98" t="b">
        <f>questions[[#This Row],[question_first_characters]]=questions[[#This Row],[stability_first_characters]]</f>
        <v>1</v>
      </c>
      <c r="AS467" s="98" t="b">
        <f>IF(OR(questions[[#This Row],[is_single_select]],questions[[#This Row],[is_multi_select]]),NOT(ISBLANK(questions[[#This Row],[answer_opt_combined]])),TRUE)</f>
        <v>1</v>
      </c>
    </row>
    <row r="468" spans="1:45" s="77" customFormat="1" x14ac:dyDescent="0.25">
      <c r="A468" s="77" t="str">
        <f>_xlfn.TEXTJOIN("_",TRUE,questions[[#This Row],[origin]:[qno]])</f>
        <v>Vietnam_Robusta_Lam_Dong_Nestlé_IMPACT_7242</v>
      </c>
      <c r="B468" s="77" t="s">
        <v>673</v>
      </c>
      <c r="C468" s="77" t="s">
        <v>674</v>
      </c>
      <c r="D468" s="77" t="s">
        <v>675</v>
      </c>
      <c r="F468" s="104" t="s">
        <v>398</v>
      </c>
      <c r="G468" s="77" t="s">
        <v>399</v>
      </c>
      <c r="H468" s="33" t="str" cm="1">
        <f t="array" ref="H468">INDEX(stableR[question],MATCH(VALUE(questions[[#This Row],[qno]]),VALUE(stableR[qno]),0))</f>
        <v>If you apply chemical PPPs, are you aware of the IPM-Integrated Pest Management concept and practices (e.g. pest-disease identification and monitoring, right moment for control, use of a combination of biological, cultural, physical/mechanical and chemical tools to prevent and control)?</v>
      </c>
      <c r="I468" s="33" t="b" cm="1">
        <f t="array" ref="I468">INDEX(stable[is_fixed],MATCH(VALUE(questions[[#This Row],[qno]]),VALUE(stable[qno]),0))</f>
        <v>1</v>
      </c>
      <c r="J468" s="33" t="b" cm="1">
        <f t="array" ref="J468">INDEX(stable[is_localized],MATCH(VALUE(questions[[#This Row],[qno]]),VALUE(stable[qno]),0))</f>
        <v>0</v>
      </c>
      <c r="K468" s="33" t="b" cm="1">
        <f t="array" ref="K468">INDEX(stable[is_supply_chain_dependent],MATCH(VALUE(questions[[#This Row],[qno]]),VALUE(stable[qno]),0))</f>
        <v>0</v>
      </c>
      <c r="L468" s="33" t="b" cm="1">
        <f t="array" ref="L468">INDEX(stable[is_mandatory],MATCH(VALUE(questions[[#This Row],[qno]]),VALUE(stable[qno]),0))</f>
        <v>0</v>
      </c>
      <c r="M468" s="33" t="b" cm="1">
        <f t="array" ref="M468">INDEX(stable[is_automated],MATCH(VALUE(questions[[#This Row],[qno]]),VALUE(stable[qno]),0))</f>
        <v>0</v>
      </c>
      <c r="N468" s="33" t="b" cm="1">
        <f t="array" ref="N468">INDEX(stable[is_free_text],MATCH(VALUE(questions[[#This Row],[qno]]),VALUE(stable[qno]),0))</f>
        <v>0</v>
      </c>
      <c r="O468" s="33" t="b" cm="1">
        <f t="array" ref="O468">INDEX(stable[is_numerical],MATCH(VALUE(questions[[#This Row],[qno]]),VALUE(stable[qno]),0))</f>
        <v>0</v>
      </c>
      <c r="P468" s="103" t="b" cm="1">
        <f t="array" ref="P468">INDEX(stable[is_single_select],MATCH(VALUE(questions[[#This Row],[qno]]),VALUE(stable[qno]),0))</f>
        <v>1</v>
      </c>
      <c r="Q468" s="77" t="b" cm="1">
        <f t="array" ref="Q468">INDEX(stable[is_multi_select],MATCH(VALUE(questions[[#This Row],[qno]]),VALUE(stable[qno]),0))</f>
        <v>0</v>
      </c>
      <c r="R468" s="77" t="b" cm="1">
        <f t="array" ref="R468">INDEX(stable[is_skip_logic],MATCH(VALUE(questions[[#This Row],[qno]]),VALUE(stable[qno]),0))</f>
        <v>1</v>
      </c>
      <c r="S468" s="77" t="str">
        <f>_xlfn.TEXTJOIN(", ",TRUE,questions[[#This Row],[ans_opt_1]:[ans_opt_14]])</f>
        <v>Yes, No</v>
      </c>
      <c r="T468" s="77" t="s">
        <v>149</v>
      </c>
      <c r="U468" s="77" t="s">
        <v>119</v>
      </c>
      <c r="AH468" s="98" t="b">
        <f>INDEX(stable[q_standard],MATCH(questions[[#This Row],[qno]],stable[qno],0))</f>
        <v>0</v>
      </c>
      <c r="AI468" s="98" t="b">
        <f>INDEX(stable[q_living_income],MATCH(questions[[#This Row],[qno]],stable[qno],0))</f>
        <v>0</v>
      </c>
      <c r="AJ468" s="98" t="b">
        <f>INDEX(stable[q_carbon],MATCH(questions[[#This Row],[qno]],stable[qno],0))</f>
        <v>0</v>
      </c>
      <c r="AK468" s="98" t="b">
        <f>INDEX(stable[q_regen_ag],MATCH(questions[[#This Row],[qno]],stable[qno],0))</f>
        <v>1</v>
      </c>
      <c r="AL468" s="98" t="b">
        <f>COUNTIFS(stable[qno],questions[[#This Row],[qno]])=1</f>
        <v>1</v>
      </c>
      <c r="AM468" s="98" t="b">
        <f>OR(questions[[#This Row],[is_fixed]],questions[[#This Row],[is_localized]],questions[[#This Row],[is_supply_chain_dependent]])</f>
        <v>1</v>
      </c>
      <c r="AN468" s="98" t="b">
        <f>COUNTIFS(questions[[#This Row],[is_automated]:[is_multi_select]],TRUE)=1</f>
        <v>1</v>
      </c>
      <c r="AO468" s="98" t="b">
        <f>IF(questions[[#This Row],[is_fixed]],questions[[#This Row],[question]]=INDEX(stable[question],MATCH(questions[[#This Row],[qno]],stable[qno],0)),TRUE)</f>
        <v>0</v>
      </c>
      <c r="AP468" s="98" t="str">
        <f>LEFT(questions[[#This Row],[question]],similarity_range)</f>
        <v>If you apply chemica</v>
      </c>
      <c r="AQ468" s="98" t="str">
        <f>LEFT(INDEX(stable[question],MATCH(questions[[#This Row],[qno]],stable[qno],0)),similarity_range)</f>
        <v>If you apply chemica</v>
      </c>
      <c r="AR468" s="98" t="b">
        <f>questions[[#This Row],[question_first_characters]]=questions[[#This Row],[stability_first_characters]]</f>
        <v>1</v>
      </c>
      <c r="AS468" s="98" t="b">
        <f>IF(OR(questions[[#This Row],[is_single_select]],questions[[#This Row],[is_multi_select]]),NOT(ISBLANK(questions[[#This Row],[answer_opt_combined]])),TRUE)</f>
        <v>1</v>
      </c>
    </row>
    <row r="469" spans="1:45" s="77" customFormat="1" x14ac:dyDescent="0.25">
      <c r="A469" s="77" t="str">
        <f>_xlfn.TEXTJOIN("_",TRUE,questions[[#This Row],[origin]:[qno]])</f>
        <v>Vietnam_Robusta_Lam_Dong_Nestlé_IMPACT_7243</v>
      </c>
      <c r="B469" s="77" t="s">
        <v>673</v>
      </c>
      <c r="C469" s="77" t="s">
        <v>674</v>
      </c>
      <c r="D469" s="77" t="s">
        <v>675</v>
      </c>
      <c r="F469" s="104" t="s">
        <v>400</v>
      </c>
      <c r="G469" s="78" t="s">
        <v>401</v>
      </c>
      <c r="H469" s="33" t="str" cm="1">
        <f t="array" ref="H469">INDEX(stableR[question],MATCH(VALUE(questions[[#This Row],[qno]]),VALUE(stableR[qno]),0))</f>
        <v>If you apply chemical PPPs, do you apply IPM principles and practices to prevent and control pest &amp; diseases and reduce the use of chemical PPPs?</v>
      </c>
      <c r="I469" s="33" t="b" cm="1">
        <f t="array" ref="I469">INDEX(stable[is_fixed],MATCH(VALUE(questions[[#This Row],[qno]]),VALUE(stable[qno]),0))</f>
        <v>1</v>
      </c>
      <c r="J469" s="33" t="b" cm="1">
        <f t="array" ref="J469">INDEX(stable[is_localized],MATCH(VALUE(questions[[#This Row],[qno]]),VALUE(stable[qno]),0))</f>
        <v>0</v>
      </c>
      <c r="K469" s="33" t="b" cm="1">
        <f t="array" ref="K469">INDEX(stable[is_supply_chain_dependent],MATCH(VALUE(questions[[#This Row],[qno]]),VALUE(stable[qno]),0))</f>
        <v>0</v>
      </c>
      <c r="L469" s="33" t="b" cm="1">
        <f t="array" ref="L469">INDEX(stable[is_mandatory],MATCH(VALUE(questions[[#This Row],[qno]]),VALUE(stable[qno]),0))</f>
        <v>0</v>
      </c>
      <c r="M469" s="33" t="b" cm="1">
        <f t="array" ref="M469">INDEX(stable[is_automated],MATCH(VALUE(questions[[#This Row],[qno]]),VALUE(stable[qno]),0))</f>
        <v>0</v>
      </c>
      <c r="N469" s="33" t="b" cm="1">
        <f t="array" ref="N469">INDEX(stable[is_free_text],MATCH(VALUE(questions[[#This Row],[qno]]),VALUE(stable[qno]),0))</f>
        <v>0</v>
      </c>
      <c r="O469" s="33" t="b" cm="1">
        <f t="array" ref="O469">INDEX(stable[is_numerical],MATCH(VALUE(questions[[#This Row],[qno]]),VALUE(stable[qno]),0))</f>
        <v>0</v>
      </c>
      <c r="P469" s="103" t="b" cm="1">
        <f t="array" ref="P469">INDEX(stable[is_single_select],MATCH(VALUE(questions[[#This Row],[qno]]),VALUE(stable[qno]),0))</f>
        <v>1</v>
      </c>
      <c r="Q469" s="77" t="b" cm="1">
        <f t="array" ref="Q469">INDEX(stable[is_multi_select],MATCH(VALUE(questions[[#This Row],[qno]]),VALUE(stable[qno]),0))</f>
        <v>0</v>
      </c>
      <c r="R469" s="77" t="b" cm="1">
        <f t="array" ref="R469">INDEX(stable[is_skip_logic],MATCH(VALUE(questions[[#This Row],[qno]]),VALUE(stable[qno]),0))</f>
        <v>1</v>
      </c>
      <c r="S469" s="77" t="str">
        <f>_xlfn.TEXTJOIN(", ",TRUE,questions[[#This Row],[ans_opt_1]:[ans_opt_14]])</f>
        <v>Yes, No</v>
      </c>
      <c r="T469" s="77" t="s">
        <v>149</v>
      </c>
      <c r="U469" s="77" t="s">
        <v>119</v>
      </c>
      <c r="AH469" s="98" t="b">
        <f>INDEX(stable[q_standard],MATCH(questions[[#This Row],[qno]],stable[qno],0))</f>
        <v>0</v>
      </c>
      <c r="AI469" s="98" t="b">
        <f>INDEX(stable[q_living_income],MATCH(questions[[#This Row],[qno]],stable[qno],0))</f>
        <v>0</v>
      </c>
      <c r="AJ469" s="98" t="b">
        <f>INDEX(stable[q_carbon],MATCH(questions[[#This Row],[qno]],stable[qno],0))</f>
        <v>0</v>
      </c>
      <c r="AK469" s="98" t="b">
        <f>INDEX(stable[q_regen_ag],MATCH(questions[[#This Row],[qno]],stable[qno],0))</f>
        <v>1</v>
      </c>
      <c r="AL469" s="98" t="b">
        <f>COUNTIFS(stable[qno],questions[[#This Row],[qno]])=1</f>
        <v>1</v>
      </c>
      <c r="AM469" s="98" t="b">
        <f>OR(questions[[#This Row],[is_fixed]],questions[[#This Row],[is_localized]],questions[[#This Row],[is_supply_chain_dependent]])</f>
        <v>1</v>
      </c>
      <c r="AN469" s="98" t="b">
        <f>COUNTIFS(questions[[#This Row],[is_automated]:[is_multi_select]],TRUE)=1</f>
        <v>1</v>
      </c>
      <c r="AO469" s="98" t="b">
        <f>IF(questions[[#This Row],[is_fixed]],questions[[#This Row],[question]]=INDEX(stable[question],MATCH(questions[[#This Row],[qno]],stable[qno],0)),TRUE)</f>
        <v>0</v>
      </c>
      <c r="AP469" s="98" t="str">
        <f>LEFT(questions[[#This Row],[question]],similarity_range)</f>
        <v>If you apply chemica</v>
      </c>
      <c r="AQ469" s="98" t="str">
        <f>LEFT(INDEX(stable[question],MATCH(questions[[#This Row],[qno]],stable[qno],0)),similarity_range)</f>
        <v>If you apply chemica</v>
      </c>
      <c r="AR469" s="98" t="b">
        <f>questions[[#This Row],[question_first_characters]]=questions[[#This Row],[stability_first_characters]]</f>
        <v>1</v>
      </c>
      <c r="AS469" s="98" t="b">
        <f>IF(OR(questions[[#This Row],[is_single_select]],questions[[#This Row],[is_multi_select]]),NOT(ISBLANK(questions[[#This Row],[answer_opt_combined]])),TRUE)</f>
        <v>1</v>
      </c>
    </row>
    <row r="470" spans="1:45" s="77" customFormat="1" x14ac:dyDescent="0.25">
      <c r="A470" s="77" t="str">
        <f>_xlfn.TEXTJOIN("_",TRUE,questions[[#This Row],[origin]:[qno]])</f>
        <v>Vietnam_Robusta_Lam_Dong_Nestlé_IMPACT_7244</v>
      </c>
      <c r="B470" s="77" t="s">
        <v>673</v>
      </c>
      <c r="C470" s="77" t="s">
        <v>674</v>
      </c>
      <c r="D470" s="77" t="s">
        <v>675</v>
      </c>
      <c r="F470" s="104" t="s">
        <v>402</v>
      </c>
      <c r="G470" s="78" t="s">
        <v>403</v>
      </c>
      <c r="H470" s="33" t="str" cm="1">
        <f t="array" ref="H470">INDEX(stableR[question],MATCH(VALUE(questions[[#This Row],[qno]]),VALUE(stableR[qno]),0))</f>
        <v>If you apply chemical PPPs, can you prove/show that all are locally authorized for coffee (e.g. coffee is in the product label), and that you respect the recommended dose and post-harvest intervals of the label of the product?</v>
      </c>
      <c r="I470" s="33" t="b" cm="1">
        <f t="array" ref="I470">INDEX(stable[is_fixed],MATCH(VALUE(questions[[#This Row],[qno]]),VALUE(stable[qno]),0))</f>
        <v>1</v>
      </c>
      <c r="J470" s="33" t="b" cm="1">
        <f t="array" ref="J470">INDEX(stable[is_localized],MATCH(VALUE(questions[[#This Row],[qno]]),VALUE(stable[qno]),0))</f>
        <v>0</v>
      </c>
      <c r="K470" s="33" t="b" cm="1">
        <f t="array" ref="K470">INDEX(stable[is_supply_chain_dependent],MATCH(VALUE(questions[[#This Row],[qno]]),VALUE(stable[qno]),0))</f>
        <v>0</v>
      </c>
      <c r="L470" s="33" t="b" cm="1">
        <f t="array" ref="L470">INDEX(stable[is_mandatory],MATCH(VALUE(questions[[#This Row],[qno]]),VALUE(stable[qno]),0))</f>
        <v>0</v>
      </c>
      <c r="M470" s="33" t="b" cm="1">
        <f t="array" ref="M470">INDEX(stable[is_automated],MATCH(VALUE(questions[[#This Row],[qno]]),VALUE(stable[qno]),0))</f>
        <v>0</v>
      </c>
      <c r="N470" s="33" t="b" cm="1">
        <f t="array" ref="N470">INDEX(stable[is_free_text],MATCH(VALUE(questions[[#This Row],[qno]]),VALUE(stable[qno]),0))</f>
        <v>0</v>
      </c>
      <c r="O470" s="33" t="b" cm="1">
        <f t="array" ref="O470">INDEX(stable[is_numerical],MATCH(VALUE(questions[[#This Row],[qno]]),VALUE(stable[qno]),0))</f>
        <v>0</v>
      </c>
      <c r="P470" s="103" t="b" cm="1">
        <f t="array" ref="P470">INDEX(stable[is_single_select],MATCH(VALUE(questions[[#This Row],[qno]]),VALUE(stable[qno]),0))</f>
        <v>1</v>
      </c>
      <c r="Q470" s="77" t="b" cm="1">
        <f t="array" ref="Q470">INDEX(stable[is_multi_select],MATCH(VALUE(questions[[#This Row],[qno]]),VALUE(stable[qno]),0))</f>
        <v>0</v>
      </c>
      <c r="R470" s="77" t="b" cm="1">
        <f t="array" ref="R470">INDEX(stable[is_skip_logic],MATCH(VALUE(questions[[#This Row],[qno]]),VALUE(stable[qno]),0))</f>
        <v>1</v>
      </c>
      <c r="S470" s="77" t="str">
        <f>_xlfn.TEXTJOIN(", ",TRUE,questions[[#This Row],[ans_opt_1]:[ans_opt_14]])</f>
        <v>1, 2, 3, 4, 5, &gt;5</v>
      </c>
      <c r="T470" s="77">
        <v>1</v>
      </c>
      <c r="U470" s="77">
        <v>2</v>
      </c>
      <c r="V470" s="77">
        <v>3</v>
      </c>
      <c r="W470" s="77">
        <v>4</v>
      </c>
      <c r="X470" s="77">
        <v>5</v>
      </c>
      <c r="Y470" s="77" t="s">
        <v>404</v>
      </c>
      <c r="AH470" s="98" t="b">
        <f>INDEX(stable[q_standard],MATCH(questions[[#This Row],[qno]],stable[qno],0))</f>
        <v>0</v>
      </c>
      <c r="AI470" s="98" t="b">
        <f>INDEX(stable[q_living_income],MATCH(questions[[#This Row],[qno]],stable[qno],0))</f>
        <v>0</v>
      </c>
      <c r="AJ470" s="98" t="b">
        <f>INDEX(stable[q_carbon],MATCH(questions[[#This Row],[qno]],stable[qno],0))</f>
        <v>0</v>
      </c>
      <c r="AK470" s="98" t="b">
        <f>INDEX(stable[q_regen_ag],MATCH(questions[[#This Row],[qno]],stable[qno],0))</f>
        <v>1</v>
      </c>
      <c r="AL470" s="98" t="b">
        <f>COUNTIFS(stable[qno],questions[[#This Row],[qno]])=1</f>
        <v>1</v>
      </c>
      <c r="AM470" s="98" t="b">
        <f>OR(questions[[#This Row],[is_fixed]],questions[[#This Row],[is_localized]],questions[[#This Row],[is_supply_chain_dependent]])</f>
        <v>1</v>
      </c>
      <c r="AN470" s="98" t="b">
        <f>COUNTIFS(questions[[#This Row],[is_automated]:[is_multi_select]],TRUE)=1</f>
        <v>1</v>
      </c>
      <c r="AO470" s="98" t="b">
        <f>IF(questions[[#This Row],[is_fixed]],questions[[#This Row],[question]]=INDEX(stable[question],MATCH(questions[[#This Row],[qno]],stable[qno],0)),TRUE)</f>
        <v>0</v>
      </c>
      <c r="AP470" s="98" t="str">
        <f>LEFT(questions[[#This Row],[question]],similarity_range)</f>
        <v>If you apply chemica</v>
      </c>
      <c r="AQ470" s="98" t="str">
        <f>LEFT(INDEX(stable[question],MATCH(questions[[#This Row],[qno]],stable[qno],0)),similarity_range)</f>
        <v>If you apply chemica</v>
      </c>
      <c r="AR470" s="98" t="b">
        <f>questions[[#This Row],[question_first_characters]]=questions[[#This Row],[stability_first_characters]]</f>
        <v>1</v>
      </c>
      <c r="AS470" s="98" t="b">
        <f>IF(OR(questions[[#This Row],[is_single_select]],questions[[#This Row],[is_multi_select]]),NOT(ISBLANK(questions[[#This Row],[answer_opt_combined]])),TRUE)</f>
        <v>1</v>
      </c>
    </row>
    <row r="471" spans="1:45" s="77" customFormat="1" x14ac:dyDescent="0.25">
      <c r="A471" s="77" t="str">
        <f>_xlfn.TEXTJOIN("_",TRUE,questions[[#This Row],[origin]:[qno]])</f>
        <v>Vietnam_Robusta_Lam_Dong_Nestlé_IMPACT_7245</v>
      </c>
      <c r="B471" s="77" t="s">
        <v>673</v>
      </c>
      <c r="C471" s="77" t="s">
        <v>674</v>
      </c>
      <c r="D471" s="77" t="s">
        <v>675</v>
      </c>
      <c r="F471" s="104" t="s">
        <v>405</v>
      </c>
      <c r="G471" s="78" t="s">
        <v>406</v>
      </c>
      <c r="H471" s="33" t="str" cm="1">
        <f t="array" ref="H471">INDEX(stableR[question],MATCH(VALUE(questions[[#This Row],[qno]]),VALUE(stableR[qno]),0))</f>
        <v>If you apply chemical PPPs to control pests and diseases in your farm, how many applications do you apply on average per year?</v>
      </c>
      <c r="I471" s="33" t="b" cm="1">
        <f t="array" ref="I471">INDEX(stable[is_fixed],MATCH(VALUE(questions[[#This Row],[qno]]),VALUE(stable[qno]),0))</f>
        <v>1</v>
      </c>
      <c r="J471" s="33" t="b" cm="1">
        <f t="array" ref="J471">INDEX(stable[is_localized],MATCH(VALUE(questions[[#This Row],[qno]]),VALUE(stable[qno]),0))</f>
        <v>0</v>
      </c>
      <c r="K471" s="33" t="b" cm="1">
        <f t="array" ref="K471">INDEX(stable[is_supply_chain_dependent],MATCH(VALUE(questions[[#This Row],[qno]]),VALUE(stable[qno]),0))</f>
        <v>0</v>
      </c>
      <c r="L471" s="33" t="b" cm="1">
        <f t="array" ref="L471">INDEX(stable[is_mandatory],MATCH(VALUE(questions[[#This Row],[qno]]),VALUE(stable[qno]),0))</f>
        <v>0</v>
      </c>
      <c r="M471" s="33" t="b" cm="1">
        <f t="array" ref="M471">INDEX(stable[is_automated],MATCH(VALUE(questions[[#This Row],[qno]]),VALUE(stable[qno]),0))</f>
        <v>0</v>
      </c>
      <c r="N471" s="33" t="b" cm="1">
        <f t="array" ref="N471">INDEX(stable[is_free_text],MATCH(VALUE(questions[[#This Row],[qno]]),VALUE(stable[qno]),0))</f>
        <v>0</v>
      </c>
      <c r="O471" s="33" t="b" cm="1">
        <f t="array" ref="O471">INDEX(stable[is_numerical],MATCH(VALUE(questions[[#This Row],[qno]]),VALUE(stable[qno]),0))</f>
        <v>0</v>
      </c>
      <c r="P471" s="103" t="b" cm="1">
        <f t="array" ref="P471">INDEX(stable[is_single_select],MATCH(VALUE(questions[[#This Row],[qno]]),VALUE(stable[qno]),0))</f>
        <v>1</v>
      </c>
      <c r="Q471" s="77" t="b" cm="1">
        <f t="array" ref="Q471">INDEX(stable[is_multi_select],MATCH(VALUE(questions[[#This Row],[qno]]),VALUE(stable[qno]),0))</f>
        <v>0</v>
      </c>
      <c r="R471" s="77" t="b" cm="1">
        <f t="array" ref="R471">INDEX(stable[is_skip_logic],MATCH(VALUE(questions[[#This Row],[qno]]),VALUE(stable[qno]),0))</f>
        <v>1</v>
      </c>
      <c r="S471" s="77" t="str">
        <f>_xlfn.TEXTJOIN(", ",TRUE,questions[[#This Row],[ans_opt_1]:[ans_opt_14]])</f>
        <v>Increased - pest/disease pressure, Increased - weather conditions, Increased - pest/disease resistance, Decreased - pest/disease pressure, Decreased - adverse weather conditions, Decreased - increased cost, Decreased - replaced by regenerative agriculture</v>
      </c>
      <c r="T471" s="77" t="s">
        <v>407</v>
      </c>
      <c r="U471" s="77" t="s">
        <v>408</v>
      </c>
      <c r="V471" s="77" t="s">
        <v>409</v>
      </c>
      <c r="W471" s="77" t="s">
        <v>410</v>
      </c>
      <c r="X471" s="77" t="s">
        <v>411</v>
      </c>
      <c r="Y471" s="77" t="s">
        <v>412</v>
      </c>
      <c r="Z471" s="77" t="s">
        <v>413</v>
      </c>
      <c r="AH471" s="98" t="b">
        <f>INDEX(stable[q_standard],MATCH(questions[[#This Row],[qno]],stable[qno],0))</f>
        <v>0</v>
      </c>
      <c r="AI471" s="98" t="b">
        <f>INDEX(stable[q_living_income],MATCH(questions[[#This Row],[qno]],stable[qno],0))</f>
        <v>0</v>
      </c>
      <c r="AJ471" s="98" t="b">
        <f>INDEX(stable[q_carbon],MATCH(questions[[#This Row],[qno]],stable[qno],0))</f>
        <v>0</v>
      </c>
      <c r="AK471" s="98" t="b">
        <f>INDEX(stable[q_regen_ag],MATCH(questions[[#This Row],[qno]],stable[qno],0))</f>
        <v>1</v>
      </c>
      <c r="AL471" s="98" t="b">
        <f>COUNTIFS(stable[qno],questions[[#This Row],[qno]])=1</f>
        <v>1</v>
      </c>
      <c r="AM471" s="98" t="b">
        <f>OR(questions[[#This Row],[is_fixed]],questions[[#This Row],[is_localized]],questions[[#This Row],[is_supply_chain_dependent]])</f>
        <v>1</v>
      </c>
      <c r="AN471" s="98" t="b">
        <f>COUNTIFS(questions[[#This Row],[is_automated]:[is_multi_select]],TRUE)=1</f>
        <v>1</v>
      </c>
      <c r="AO471" s="98" t="b">
        <f>IF(questions[[#This Row],[is_fixed]],questions[[#This Row],[question]]=INDEX(stable[question],MATCH(questions[[#This Row],[qno]],stable[qno],0)),TRUE)</f>
        <v>0</v>
      </c>
      <c r="AP471" s="98" t="str">
        <f>LEFT(questions[[#This Row],[question]],similarity_range)</f>
        <v>Have you decreased o</v>
      </c>
      <c r="AQ471" s="98" t="str">
        <f>LEFT(INDEX(stable[question],MATCH(questions[[#This Row],[qno]],stable[qno],0)),similarity_range)</f>
        <v>Have you decreased o</v>
      </c>
      <c r="AR471" s="98" t="b">
        <f>questions[[#This Row],[question_first_characters]]=questions[[#This Row],[stability_first_characters]]</f>
        <v>1</v>
      </c>
      <c r="AS471" s="98" t="b">
        <f>IF(OR(questions[[#This Row],[is_single_select]],questions[[#This Row],[is_multi_select]]),NOT(ISBLANK(questions[[#This Row],[answer_opt_combined]])),TRUE)</f>
        <v>1</v>
      </c>
    </row>
    <row r="472" spans="1:45" s="77" customFormat="1" x14ac:dyDescent="0.25">
      <c r="A472" s="77" t="str">
        <f>_xlfn.TEXTJOIN("_",TRUE,questions[[#This Row],[origin]:[qno]])</f>
        <v>Vietnam_Robusta_Lam_Dong_Nestlé_IMPACT_7250</v>
      </c>
      <c r="B472" s="77" t="s">
        <v>673</v>
      </c>
      <c r="C472" s="77" t="s">
        <v>674</v>
      </c>
      <c r="D472" s="77" t="s">
        <v>675</v>
      </c>
      <c r="F472" s="104" t="s">
        <v>414</v>
      </c>
      <c r="G472" s="78" t="s">
        <v>415</v>
      </c>
      <c r="H472" s="33" t="str" cm="1">
        <f t="array" ref="H472">INDEX(stableR[question],MATCH(VALUE(questions[[#This Row],[qno]]),VALUE(stableR[qno]),0))</f>
        <v>Do you apply chemical herbicides to your coffee crop and how many (different active ingredients) per crop season?</v>
      </c>
      <c r="I472" s="33" t="b" cm="1">
        <f t="array" ref="I472">INDEX(stable[is_fixed],MATCH(VALUE(questions[[#This Row],[qno]]),VALUE(stable[qno]),0))</f>
        <v>1</v>
      </c>
      <c r="J472" s="33" t="b" cm="1">
        <f t="array" ref="J472">INDEX(stable[is_localized],MATCH(VALUE(questions[[#This Row],[qno]]),VALUE(stable[qno]),0))</f>
        <v>0</v>
      </c>
      <c r="K472" s="33" t="b" cm="1">
        <f t="array" ref="K472">INDEX(stable[is_supply_chain_dependent],MATCH(VALUE(questions[[#This Row],[qno]]),VALUE(stable[qno]),0))</f>
        <v>0</v>
      </c>
      <c r="L472" s="33" t="b" cm="1">
        <f t="array" ref="L472">INDEX(stable[is_mandatory],MATCH(VALUE(questions[[#This Row],[qno]]),VALUE(stable[qno]),0))</f>
        <v>1</v>
      </c>
      <c r="M472" s="33" t="b" cm="1">
        <f t="array" ref="M472">INDEX(stable[is_automated],MATCH(VALUE(questions[[#This Row],[qno]]),VALUE(stable[qno]),0))</f>
        <v>0</v>
      </c>
      <c r="N472" s="33" t="b" cm="1">
        <f t="array" ref="N472">INDEX(stable[is_free_text],MATCH(VALUE(questions[[#This Row],[qno]]),VALUE(stable[qno]),0))</f>
        <v>0</v>
      </c>
      <c r="O472" s="33" t="b" cm="1">
        <f t="array" ref="O472">INDEX(stable[is_numerical],MATCH(VALUE(questions[[#This Row],[qno]]),VALUE(stable[qno]),0))</f>
        <v>0</v>
      </c>
      <c r="P472" s="103" t="b" cm="1">
        <f t="array" ref="P472">INDEX(stable[is_single_select],MATCH(VALUE(questions[[#This Row],[qno]]),VALUE(stable[qno]),0))</f>
        <v>1</v>
      </c>
      <c r="Q472" s="77" t="b" cm="1">
        <f t="array" ref="Q472">INDEX(stable[is_multi_select],MATCH(VALUE(questions[[#This Row],[qno]]),VALUE(stable[qno]),0))</f>
        <v>0</v>
      </c>
      <c r="R472" s="77" t="b" cm="1">
        <f t="array" ref="R472">INDEX(stable[is_skip_logic],MATCH(VALUE(questions[[#This Row],[qno]]),VALUE(stable[qno]),0))</f>
        <v>1</v>
      </c>
      <c r="S472" s="77" t="str">
        <f>_xlfn.TEXTJOIN(", ",TRUE,questions[[#This Row],[ans_opt_1]:[ans_opt_14]])</f>
        <v>No, Yes / 1-2 herbicides (active ingredients), Yes / 3-4 herbicides (active ingredients), Yes / &gt;=5 herbicides (active ingredients)</v>
      </c>
      <c r="T472" s="77" t="s">
        <v>119</v>
      </c>
      <c r="U472" s="77" t="s">
        <v>416</v>
      </c>
      <c r="V472" s="77" t="s">
        <v>417</v>
      </c>
      <c r="W472" s="77" t="s">
        <v>418</v>
      </c>
      <c r="AH472" s="98" t="b">
        <f>INDEX(stable[q_standard],MATCH(questions[[#This Row],[qno]],stable[qno],0))</f>
        <v>0</v>
      </c>
      <c r="AI472" s="98" t="b">
        <f>INDEX(stable[q_living_income],MATCH(questions[[#This Row],[qno]],stable[qno],0))</f>
        <v>0</v>
      </c>
      <c r="AJ472" s="98" t="b">
        <f>INDEX(stable[q_carbon],MATCH(questions[[#This Row],[qno]],stable[qno],0))</f>
        <v>0</v>
      </c>
      <c r="AK472" s="98" t="b">
        <f>INDEX(stable[q_regen_ag],MATCH(questions[[#This Row],[qno]],stable[qno],0))</f>
        <v>1</v>
      </c>
      <c r="AL472" s="98" t="b">
        <f>COUNTIFS(stable[qno],questions[[#This Row],[qno]])=1</f>
        <v>1</v>
      </c>
      <c r="AM472" s="98" t="b">
        <f>OR(questions[[#This Row],[is_fixed]],questions[[#This Row],[is_localized]],questions[[#This Row],[is_supply_chain_dependent]])</f>
        <v>1</v>
      </c>
      <c r="AN472" s="98" t="b">
        <f>COUNTIFS(questions[[#This Row],[is_automated]:[is_multi_select]],TRUE)=1</f>
        <v>1</v>
      </c>
      <c r="AO472" s="98" t="b">
        <f>IF(questions[[#This Row],[is_fixed]],questions[[#This Row],[question]]=INDEX(stable[question],MATCH(questions[[#This Row],[qno]],stable[qno],0)),TRUE)</f>
        <v>0</v>
      </c>
      <c r="AP472" s="98" t="str">
        <f>LEFT(questions[[#This Row],[question]],similarity_range)</f>
        <v>Did you use herbicid</v>
      </c>
      <c r="AQ472" s="98" t="str">
        <f>LEFT(INDEX(stable[question],MATCH(questions[[#This Row],[qno]],stable[qno],0)),similarity_range)</f>
        <v>Did you use herbicid</v>
      </c>
      <c r="AR472" s="98" t="b">
        <f>questions[[#This Row],[question_first_characters]]=questions[[#This Row],[stability_first_characters]]</f>
        <v>1</v>
      </c>
      <c r="AS472" s="98" t="b">
        <f>IF(OR(questions[[#This Row],[is_single_select]],questions[[#This Row],[is_multi_select]]),NOT(ISBLANK(questions[[#This Row],[answer_opt_combined]])),TRUE)</f>
        <v>1</v>
      </c>
    </row>
    <row r="473" spans="1:45" s="77" customFormat="1" x14ac:dyDescent="0.25">
      <c r="A473" s="77" t="str">
        <f>_xlfn.TEXTJOIN("_",TRUE,questions[[#This Row],[origin]:[qno]])</f>
        <v>Vietnam_Robusta_Lam_Dong_Nestlé_IMPACT_7251</v>
      </c>
      <c r="B473" s="77" t="s">
        <v>673</v>
      </c>
      <c r="C473" s="77" t="s">
        <v>674</v>
      </c>
      <c r="D473" s="77" t="s">
        <v>675</v>
      </c>
      <c r="F473" s="104" t="s">
        <v>419</v>
      </c>
      <c r="G473" s="78" t="s">
        <v>420</v>
      </c>
      <c r="H473" s="33" t="str" cm="1">
        <f t="array" ref="H473">INDEX(stableR[question],MATCH(VALUE(questions[[#This Row],[qno]]),VALUE(stableR[qno]),0))</f>
        <v>If yes, list the names of all the herbicides that you used, last year.</v>
      </c>
      <c r="I473" s="33" t="b" cm="1">
        <f t="array" ref="I473">INDEX(stable[is_fixed],MATCH(VALUE(questions[[#This Row],[qno]]),VALUE(stable[qno]),0))</f>
        <v>1</v>
      </c>
      <c r="J473" s="33" t="b" cm="1">
        <f t="array" ref="J473">INDEX(stable[is_localized],MATCH(VALUE(questions[[#This Row],[qno]]),VALUE(stable[qno]),0))</f>
        <v>0</v>
      </c>
      <c r="K473" s="33" t="b" cm="1">
        <f t="array" ref="K473">INDEX(stable[is_supply_chain_dependent],MATCH(VALUE(questions[[#This Row],[qno]]),VALUE(stable[qno]),0))</f>
        <v>0</v>
      </c>
      <c r="L473" s="33" t="b" cm="1">
        <f t="array" ref="L473">INDEX(stable[is_mandatory],MATCH(VALUE(questions[[#This Row],[qno]]),VALUE(stable[qno]),0))</f>
        <v>0</v>
      </c>
      <c r="M473" s="33" t="b" cm="1">
        <f t="array" ref="M473">INDEX(stable[is_automated],MATCH(VALUE(questions[[#This Row],[qno]]),VALUE(stable[qno]),0))</f>
        <v>0</v>
      </c>
      <c r="N473" s="33" t="b" cm="1">
        <f t="array" ref="N473">INDEX(stable[is_free_text],MATCH(VALUE(questions[[#This Row],[qno]]),VALUE(stable[qno]),0))</f>
        <v>0</v>
      </c>
      <c r="O473" s="33" t="b" cm="1">
        <f t="array" ref="O473">INDEX(stable[is_numerical],MATCH(VALUE(questions[[#This Row],[qno]]),VALUE(stable[qno]),0))</f>
        <v>0</v>
      </c>
      <c r="P473" s="103" t="b" cm="1">
        <f t="array" ref="P473">INDEX(stable[is_single_select],MATCH(VALUE(questions[[#This Row],[qno]]),VALUE(stable[qno]),0))</f>
        <v>1</v>
      </c>
      <c r="Q473" s="77" t="b" cm="1">
        <f t="array" ref="Q473">INDEX(stable[is_multi_select],MATCH(VALUE(questions[[#This Row],[qno]]),VALUE(stable[qno]),0))</f>
        <v>0</v>
      </c>
      <c r="R473" s="77" t="b" cm="1">
        <f t="array" ref="R473">INDEX(stable[is_skip_logic],MATCH(VALUE(questions[[#This Row],[qno]]),VALUE(stable[qno]),0))</f>
        <v>1</v>
      </c>
      <c r="S473" s="77" t="str">
        <f>_xlfn.TEXTJOIN(", ",TRUE,questions[[#This Row],[ans_opt_1]:[ans_opt_14]])</f>
        <v>1% to 10% - very little, 11% to 20% - little, 21% to 50% - less than half, 51% to 75% - more than half, 76% to 100% - almost all</v>
      </c>
      <c r="T473" s="77" t="s">
        <v>421</v>
      </c>
      <c r="U473" s="77" t="s">
        <v>422</v>
      </c>
      <c r="V473" s="77" t="s">
        <v>423</v>
      </c>
      <c r="W473" s="77" t="s">
        <v>340</v>
      </c>
      <c r="X473" s="77" t="s">
        <v>341</v>
      </c>
      <c r="AH473" s="98" t="b">
        <f>INDEX(stable[q_standard],MATCH(questions[[#This Row],[qno]],stable[qno],0))</f>
        <v>0</v>
      </c>
      <c r="AI473" s="98" t="b">
        <f>INDEX(stable[q_living_income],MATCH(questions[[#This Row],[qno]],stable[qno],0))</f>
        <v>0</v>
      </c>
      <c r="AJ473" s="98" t="b">
        <f>INDEX(stable[q_carbon],MATCH(questions[[#This Row],[qno]],stable[qno],0))</f>
        <v>0</v>
      </c>
      <c r="AK473" s="98" t="b">
        <f>INDEX(stable[q_regen_ag],MATCH(questions[[#This Row],[qno]],stable[qno],0))</f>
        <v>1</v>
      </c>
      <c r="AL473" s="98" t="b">
        <f>COUNTIFS(stable[qno],questions[[#This Row],[qno]])=1</f>
        <v>1</v>
      </c>
      <c r="AM473" s="98" t="b">
        <f>OR(questions[[#This Row],[is_fixed]],questions[[#This Row],[is_localized]],questions[[#This Row],[is_supply_chain_dependent]])</f>
        <v>1</v>
      </c>
      <c r="AN473" s="98" t="b">
        <f>COUNTIFS(questions[[#This Row],[is_automated]:[is_multi_select]],TRUE)=1</f>
        <v>1</v>
      </c>
      <c r="AO473" s="98" t="b">
        <f>IF(questions[[#This Row],[is_fixed]],questions[[#This Row],[question]]=INDEX(stable[question],MATCH(questions[[#This Row],[qno]],stable[qno],0)),TRUE)</f>
        <v>0</v>
      </c>
      <c r="AP473" s="98" t="str">
        <f>LEFT(questions[[#This Row],[question]],similarity_range)</f>
        <v>If you apply chemica</v>
      </c>
      <c r="AQ473" s="98" t="str">
        <f>LEFT(INDEX(stable[question],MATCH(questions[[#This Row],[qno]],stable[qno],0)),similarity_range)</f>
        <v>If you apply chemica</v>
      </c>
      <c r="AR473" s="98" t="b">
        <f>questions[[#This Row],[question_first_characters]]=questions[[#This Row],[stability_first_characters]]</f>
        <v>1</v>
      </c>
      <c r="AS473" s="98" t="b">
        <f>IF(OR(questions[[#This Row],[is_single_select]],questions[[#This Row],[is_multi_select]]),NOT(ISBLANK(questions[[#This Row],[answer_opt_combined]])),TRUE)</f>
        <v>1</v>
      </c>
    </row>
    <row r="474" spans="1:45" s="77" customFormat="1" x14ac:dyDescent="0.25">
      <c r="A474" s="77" t="str">
        <f>_xlfn.TEXTJOIN("_",TRUE,questions[[#This Row],[origin]:[qno]])</f>
        <v>Vietnam_Robusta_Lam_Dong_Nestlé_IMPACT_7252</v>
      </c>
      <c r="B474" s="77" t="s">
        <v>673</v>
      </c>
      <c r="C474" s="77" t="s">
        <v>674</v>
      </c>
      <c r="D474" s="77" t="s">
        <v>675</v>
      </c>
      <c r="F474" s="104" t="s">
        <v>424</v>
      </c>
      <c r="G474" s="78" t="s">
        <v>425</v>
      </c>
      <c r="H474" s="33" t="str" cm="1">
        <f t="array" ref="H474">INDEX(stableR[question],MATCH(VALUE(questions[[#This Row],[qno]]),VALUE(stableR[qno]),0))</f>
        <v>If applying herbicides, to which % of area of the coffee plots? e.g. if the coffee area is 1 hectare and herbicides are sprayed to only 0.5 hectare (where there is high weed pressure), then it is 50%</v>
      </c>
      <c r="I474" s="33" t="b" cm="1">
        <f t="array" ref="I474">INDEX(stable[is_fixed],MATCH(VALUE(questions[[#This Row],[qno]]),VALUE(stable[qno]),0))</f>
        <v>1</v>
      </c>
      <c r="J474" s="33" t="b" cm="1">
        <f t="array" ref="J474">INDEX(stable[is_localized],MATCH(VALUE(questions[[#This Row],[qno]]),VALUE(stable[qno]),0))</f>
        <v>0</v>
      </c>
      <c r="K474" s="33" t="b" cm="1">
        <f t="array" ref="K474">INDEX(stable[is_supply_chain_dependent],MATCH(VALUE(questions[[#This Row],[qno]]),VALUE(stable[qno]),0))</f>
        <v>0</v>
      </c>
      <c r="L474" s="33" t="b" cm="1">
        <f t="array" ref="L474">INDEX(stable[is_mandatory],MATCH(VALUE(questions[[#This Row],[qno]]),VALUE(stable[qno]),0))</f>
        <v>0</v>
      </c>
      <c r="M474" s="33" t="b" cm="1">
        <f t="array" ref="M474">INDEX(stable[is_automated],MATCH(VALUE(questions[[#This Row],[qno]]),VALUE(stable[qno]),0))</f>
        <v>0</v>
      </c>
      <c r="N474" s="33" t="b" cm="1">
        <f t="array" ref="N474">INDEX(stable[is_free_text],MATCH(VALUE(questions[[#This Row],[qno]]),VALUE(stable[qno]),0))</f>
        <v>0</v>
      </c>
      <c r="O474" s="33" t="b" cm="1">
        <f t="array" ref="O474">INDEX(stable[is_numerical],MATCH(VALUE(questions[[#This Row],[qno]]),VALUE(stable[qno]),0))</f>
        <v>0</v>
      </c>
      <c r="P474" s="103" t="b" cm="1">
        <f t="array" ref="P474">INDEX(stable[is_single_select],MATCH(VALUE(questions[[#This Row],[qno]]),VALUE(stable[qno]),0))</f>
        <v>1</v>
      </c>
      <c r="Q474" s="77" t="b" cm="1">
        <f t="array" ref="Q474">INDEX(stable[is_multi_select],MATCH(VALUE(questions[[#This Row],[qno]]),VALUE(stable[qno]),0))</f>
        <v>0</v>
      </c>
      <c r="R474" s="77" t="b" cm="1">
        <f t="array" ref="R474">INDEX(stable[is_skip_logic],MATCH(VALUE(questions[[#This Row],[qno]]),VALUE(stable[qno]),0))</f>
        <v>1</v>
      </c>
      <c r="S474" s="77" t="str">
        <f>_xlfn.TEXTJOIN(", ",TRUE,questions[[#This Row],[ans_opt_1]:[ans_opt_14]])</f>
        <v>Yes, No</v>
      </c>
      <c r="T474" s="77" t="s">
        <v>149</v>
      </c>
      <c r="U474" s="77" t="s">
        <v>119</v>
      </c>
      <c r="AH474" s="98" t="b">
        <f>INDEX(stable[q_standard],MATCH(questions[[#This Row],[qno]],stable[qno],0))</f>
        <v>0</v>
      </c>
      <c r="AI474" s="98" t="b">
        <f>INDEX(stable[q_living_income],MATCH(questions[[#This Row],[qno]],stable[qno],0))</f>
        <v>0</v>
      </c>
      <c r="AJ474" s="98" t="b">
        <f>INDEX(stable[q_carbon],MATCH(questions[[#This Row],[qno]],stable[qno],0))</f>
        <v>0</v>
      </c>
      <c r="AK474" s="98" t="b">
        <f>INDEX(stable[q_regen_ag],MATCH(questions[[#This Row],[qno]],stable[qno],0))</f>
        <v>1</v>
      </c>
      <c r="AL474" s="98" t="b">
        <f>COUNTIFS(stable[qno],questions[[#This Row],[qno]])=1</f>
        <v>1</v>
      </c>
      <c r="AM474" s="98" t="b">
        <f>OR(questions[[#This Row],[is_fixed]],questions[[#This Row],[is_localized]],questions[[#This Row],[is_supply_chain_dependent]])</f>
        <v>1</v>
      </c>
      <c r="AN474" s="98" t="b">
        <f>COUNTIFS(questions[[#This Row],[is_automated]:[is_multi_select]],TRUE)=1</f>
        <v>1</v>
      </c>
      <c r="AO474" s="98" t="b">
        <f>IF(questions[[#This Row],[is_fixed]],questions[[#This Row],[question]]=INDEX(stable[question],MATCH(questions[[#This Row],[qno]],stable[qno],0)),TRUE)</f>
        <v>0</v>
      </c>
      <c r="AP474" s="98" t="str">
        <f>LEFT(questions[[#This Row],[question]],similarity_range)</f>
        <v>If applying herbicid</v>
      </c>
      <c r="AQ474" s="98" t="str">
        <f>LEFT(INDEX(stable[question],MATCH(questions[[#This Row],[qno]],stable[qno],0)),similarity_range)</f>
        <v>If applying herbicid</v>
      </c>
      <c r="AR474" s="98" t="b">
        <f>questions[[#This Row],[question_first_characters]]=questions[[#This Row],[stability_first_characters]]</f>
        <v>1</v>
      </c>
      <c r="AS474" s="98" t="b">
        <f>IF(OR(questions[[#This Row],[is_single_select]],questions[[#This Row],[is_multi_select]]),NOT(ISBLANK(questions[[#This Row],[answer_opt_combined]])),TRUE)</f>
        <v>1</v>
      </c>
    </row>
    <row r="475" spans="1:45" s="77" customFormat="1" x14ac:dyDescent="0.25">
      <c r="A475" s="77" t="str">
        <f>_xlfn.TEXTJOIN("_",TRUE,questions[[#This Row],[origin]:[qno]])</f>
        <v>Vietnam_Robusta_Lam_Dong_Nestlé_IMPACT_7253</v>
      </c>
      <c r="B475" s="77" t="s">
        <v>673</v>
      </c>
      <c r="C475" s="77" t="s">
        <v>674</v>
      </c>
      <c r="D475" s="77" t="s">
        <v>675</v>
      </c>
      <c r="F475" s="104" t="s">
        <v>426</v>
      </c>
      <c r="G475" s="77" t="s">
        <v>427</v>
      </c>
      <c r="H475" s="33" t="str" cm="1">
        <f t="array" ref="H475">INDEX(stableR[question],MATCH(VALUE(questions[[#This Row],[qno]]),VALUE(stableR[qno]),0))</f>
        <v>If applying herbicides, can you prove that all are locally authorized for coffee use, and that you respect the doses and post-harvest intervals of the label of the product. If applying herbicides, to which % of area of the coffee plots? e.g. if the coffee area is 1 hectare and herbicides are sprayed to only 0.5 hectare (where there is high weed pressure), then it is 50%</v>
      </c>
      <c r="I475" s="33" t="b" cm="1">
        <f t="array" ref="I475">INDEX(stable[is_fixed],MATCH(VALUE(questions[[#This Row],[qno]]),VALUE(stable[qno]),0))</f>
        <v>1</v>
      </c>
      <c r="J475" s="33" t="b" cm="1">
        <f t="array" ref="J475">INDEX(stable[is_localized],MATCH(VALUE(questions[[#This Row],[qno]]),VALUE(stable[qno]),0))</f>
        <v>0</v>
      </c>
      <c r="K475" s="33" t="b" cm="1">
        <f t="array" ref="K475">INDEX(stable[is_supply_chain_dependent],MATCH(VALUE(questions[[#This Row],[qno]]),VALUE(stable[qno]),0))</f>
        <v>0</v>
      </c>
      <c r="L475" s="33" t="b" cm="1">
        <f t="array" ref="L475">INDEX(stable[is_mandatory],MATCH(VALUE(questions[[#This Row],[qno]]),VALUE(stable[qno]),0))</f>
        <v>1</v>
      </c>
      <c r="M475" s="33" t="b" cm="1">
        <f t="array" ref="M475">INDEX(stable[is_automated],MATCH(VALUE(questions[[#This Row],[qno]]),VALUE(stable[qno]),0))</f>
        <v>0</v>
      </c>
      <c r="N475" s="33" t="b" cm="1">
        <f t="array" ref="N475">INDEX(stable[is_free_text],MATCH(VALUE(questions[[#This Row],[qno]]),VALUE(stable[qno]),0))</f>
        <v>0</v>
      </c>
      <c r="O475" s="33" t="b" cm="1">
        <f t="array" ref="O475">INDEX(stable[is_numerical],MATCH(VALUE(questions[[#This Row],[qno]]),VALUE(stable[qno]),0))</f>
        <v>0</v>
      </c>
      <c r="P475" s="103" t="b" cm="1">
        <f t="array" ref="P475">INDEX(stable[is_single_select],MATCH(VALUE(questions[[#This Row],[qno]]),VALUE(stable[qno]),0))</f>
        <v>1</v>
      </c>
      <c r="Q475" s="77" t="b" cm="1">
        <f t="array" ref="Q475">INDEX(stable[is_multi_select],MATCH(VALUE(questions[[#This Row],[qno]]),VALUE(stable[qno]),0))</f>
        <v>0</v>
      </c>
      <c r="R475" s="77" t="b" cm="1">
        <f t="array" ref="R475">INDEX(stable[is_skip_logic],MATCH(VALUE(questions[[#This Row],[qno]]),VALUE(stable[qno]),0))</f>
        <v>1</v>
      </c>
      <c r="S475" s="77" t="str">
        <f>_xlfn.TEXTJOIN(", ",TRUE,questions[[#This Row],[ans_opt_1]:[ans_opt_14]])</f>
        <v>Manual removal, Mechanical removal, Mulching, Cover crops, A combination of the above</v>
      </c>
      <c r="T475" s="77" t="s">
        <v>428</v>
      </c>
      <c r="U475" s="77" t="s">
        <v>429</v>
      </c>
      <c r="V475" s="77" t="s">
        <v>430</v>
      </c>
      <c r="W475" s="77" t="s">
        <v>431</v>
      </c>
      <c r="X475" s="77" t="s">
        <v>432</v>
      </c>
      <c r="AH475" s="98" t="b">
        <f>INDEX(stable[q_standard],MATCH(questions[[#This Row],[qno]],stable[qno],0))</f>
        <v>0</v>
      </c>
      <c r="AI475" s="98" t="b">
        <f>INDEX(stable[q_living_income],MATCH(questions[[#This Row],[qno]],stable[qno],0))</f>
        <v>0</v>
      </c>
      <c r="AJ475" s="98" t="b">
        <f>INDEX(stable[q_carbon],MATCH(questions[[#This Row],[qno]],stable[qno],0))</f>
        <v>0</v>
      </c>
      <c r="AK475" s="98" t="b">
        <f>INDEX(stable[q_regen_ag],MATCH(questions[[#This Row],[qno]],stable[qno],0))</f>
        <v>1</v>
      </c>
      <c r="AL475" s="98" t="b">
        <f>COUNTIFS(stable[qno],questions[[#This Row],[qno]])=1</f>
        <v>1</v>
      </c>
      <c r="AM475" s="98" t="b">
        <f>OR(questions[[#This Row],[is_fixed]],questions[[#This Row],[is_localized]],questions[[#This Row],[is_supply_chain_dependent]])</f>
        <v>1</v>
      </c>
      <c r="AN475" s="98" t="b">
        <f>COUNTIFS(questions[[#This Row],[is_automated]:[is_multi_select]],TRUE)=1</f>
        <v>1</v>
      </c>
      <c r="AO475" s="98" t="b">
        <f>IF(questions[[#This Row],[is_fixed]],questions[[#This Row],[question]]=INDEX(stable[question],MATCH(questions[[#This Row],[qno]],stable[qno],0)),TRUE)</f>
        <v>1</v>
      </c>
      <c r="AP475" s="98" t="str">
        <f>LEFT(questions[[#This Row],[question]],similarity_range)</f>
        <v>If you use or do not</v>
      </c>
      <c r="AQ475" s="98" t="str">
        <f>LEFT(INDEX(stable[question],MATCH(questions[[#This Row],[qno]],stable[qno],0)),similarity_range)</f>
        <v>If you use or do not</v>
      </c>
      <c r="AR475" s="98" t="b">
        <f>questions[[#This Row],[question_first_characters]]=questions[[#This Row],[stability_first_characters]]</f>
        <v>1</v>
      </c>
      <c r="AS475" s="98" t="b">
        <f>IF(OR(questions[[#This Row],[is_single_select]],questions[[#This Row],[is_multi_select]]),NOT(ISBLANK(questions[[#This Row],[answer_opt_combined]])),TRUE)</f>
        <v>1</v>
      </c>
    </row>
    <row r="476" spans="1:45" s="77" customFormat="1" x14ac:dyDescent="0.25">
      <c r="A476" s="77" t="str">
        <f>_xlfn.TEXTJOIN("_",TRUE,questions[[#This Row],[origin]:[qno]])</f>
        <v>Vietnam_Robusta_Lam_Dong_Nestlé_IMPACT_7300</v>
      </c>
      <c r="B476" s="77" t="s">
        <v>673</v>
      </c>
      <c r="C476" s="77" t="s">
        <v>674</v>
      </c>
      <c r="D476" s="77" t="s">
        <v>675</v>
      </c>
      <c r="F476" s="104" t="s">
        <v>433</v>
      </c>
      <c r="G476" s="78" t="s">
        <v>434</v>
      </c>
      <c r="H476" s="33" t="str" cm="1">
        <f t="array" ref="H476">INDEX(stableR[question],MATCH(VALUE(questions[[#This Row],[qno]]),VALUE(stableR[qno]),0))</f>
        <v>Do you irrigate your coffee crop and if yes, what irrigation system/s do you use? If the answer is NO, you do not need to answer the next question</v>
      </c>
      <c r="I476" s="33" t="b" cm="1">
        <f t="array" ref="I476">INDEX(stable[is_fixed],MATCH(VALUE(questions[[#This Row],[qno]]),VALUE(stable[qno]),0))</f>
        <v>1</v>
      </c>
      <c r="J476" s="33" t="b" cm="1">
        <f t="array" ref="J476">INDEX(stable[is_localized],MATCH(VALUE(questions[[#This Row],[qno]]),VALUE(stable[qno]),0))</f>
        <v>0</v>
      </c>
      <c r="K476" s="33" t="b" cm="1">
        <f t="array" ref="K476">INDEX(stable[is_supply_chain_dependent],MATCH(VALUE(questions[[#This Row],[qno]]),VALUE(stable[qno]),0))</f>
        <v>0</v>
      </c>
      <c r="L476" s="33" t="b" cm="1">
        <f t="array" ref="L476">INDEX(stable[is_mandatory],MATCH(VALUE(questions[[#This Row],[qno]]),VALUE(stable[qno]),0))</f>
        <v>1</v>
      </c>
      <c r="M476" s="33" t="b" cm="1">
        <f t="array" ref="M476">INDEX(stable[is_automated],MATCH(VALUE(questions[[#This Row],[qno]]),VALUE(stable[qno]),0))</f>
        <v>0</v>
      </c>
      <c r="N476" s="33" t="b" cm="1">
        <f t="array" ref="N476">INDEX(stable[is_free_text],MATCH(VALUE(questions[[#This Row],[qno]]),VALUE(stable[qno]),0))</f>
        <v>0</v>
      </c>
      <c r="O476" s="33" t="b" cm="1">
        <f t="array" ref="O476">INDEX(stable[is_numerical],MATCH(VALUE(questions[[#This Row],[qno]]),VALUE(stable[qno]),0))</f>
        <v>0</v>
      </c>
      <c r="P476" s="103" t="b" cm="1">
        <f t="array" ref="P476">INDEX(stable[is_single_select],MATCH(VALUE(questions[[#This Row],[qno]]),VALUE(stable[qno]),0))</f>
        <v>1</v>
      </c>
      <c r="Q476" s="77" t="b" cm="1">
        <f t="array" ref="Q476">INDEX(stable[is_multi_select],MATCH(VALUE(questions[[#This Row],[qno]]),VALUE(stable[qno]),0))</f>
        <v>0</v>
      </c>
      <c r="R476" s="77" t="b" cm="1">
        <f t="array" ref="R476">INDEX(stable[is_skip_logic],MATCH(VALUE(questions[[#This Row],[qno]]),VALUE(stable[qno]),0))</f>
        <v>0</v>
      </c>
      <c r="S476" s="77" t="str">
        <f>_xlfn.TEXTJOIN(", ",TRUE,questions[[#This Row],[ans_opt_1]:[ans_opt_14]])</f>
        <v>No, Yes / drip irrigation, Yes / minisprinkler irrigation, Yes / overhead irrigation (sprinklers, pivot, rain gun), Yes / flood-furrow-hose pipe irrigation</v>
      </c>
      <c r="T476" s="77" t="s">
        <v>119</v>
      </c>
      <c r="U476" s="77" t="s">
        <v>435</v>
      </c>
      <c r="V476" s="77" t="s">
        <v>436</v>
      </c>
      <c r="W476" s="77" t="s">
        <v>437</v>
      </c>
      <c r="X476" s="77" t="s">
        <v>438</v>
      </c>
      <c r="AH476" s="98" t="b">
        <f>INDEX(stable[q_standard],MATCH(questions[[#This Row],[qno]],stable[qno],0))</f>
        <v>0</v>
      </c>
      <c r="AI476" s="98" t="b">
        <f>INDEX(stable[q_living_income],MATCH(questions[[#This Row],[qno]],stable[qno],0))</f>
        <v>0</v>
      </c>
      <c r="AJ476" s="98" t="b">
        <f>INDEX(stable[q_carbon],MATCH(questions[[#This Row],[qno]],stable[qno],0))</f>
        <v>0</v>
      </c>
      <c r="AK476" s="98" t="b">
        <f>INDEX(stable[q_regen_ag],MATCH(questions[[#This Row],[qno]],stable[qno],0))</f>
        <v>1</v>
      </c>
      <c r="AL476" s="98" t="b">
        <f>COUNTIFS(stable[qno],questions[[#This Row],[qno]])=1</f>
        <v>1</v>
      </c>
      <c r="AM476" s="98" t="b">
        <f>OR(questions[[#This Row],[is_fixed]],questions[[#This Row],[is_localized]],questions[[#This Row],[is_supply_chain_dependent]])</f>
        <v>1</v>
      </c>
      <c r="AN476" s="98" t="b">
        <f>COUNTIFS(questions[[#This Row],[is_automated]:[is_multi_select]],TRUE)=1</f>
        <v>1</v>
      </c>
      <c r="AO476" s="98" t="b">
        <f>IF(questions[[#This Row],[is_fixed]],questions[[#This Row],[question]]=INDEX(stable[question],MATCH(questions[[#This Row],[qno]],stable[qno],0)),TRUE)</f>
        <v>0</v>
      </c>
      <c r="AP476" s="98" t="str">
        <f>LEFT(questions[[#This Row],[question]],similarity_range)</f>
        <v>Do you irrigate your</v>
      </c>
      <c r="AQ476" s="98" t="str">
        <f>LEFT(INDEX(stable[question],MATCH(questions[[#This Row],[qno]],stable[qno],0)),similarity_range)</f>
        <v>Do you irrigate your</v>
      </c>
      <c r="AR476" s="98" t="b">
        <f>questions[[#This Row],[question_first_characters]]=questions[[#This Row],[stability_first_characters]]</f>
        <v>1</v>
      </c>
      <c r="AS476" s="98" t="b">
        <f>IF(OR(questions[[#This Row],[is_single_select]],questions[[#This Row],[is_multi_select]]),NOT(ISBLANK(questions[[#This Row],[answer_opt_combined]])),TRUE)</f>
        <v>1</v>
      </c>
    </row>
    <row r="477" spans="1:45" s="77" customFormat="1" x14ac:dyDescent="0.25">
      <c r="A477" s="77" t="str">
        <f>_xlfn.TEXTJOIN("_",TRUE,questions[[#This Row],[origin]:[qno]])</f>
        <v>Vietnam_Robusta_Lam_Dong_Nestlé_IMPACT_7301</v>
      </c>
      <c r="B477" s="77" t="s">
        <v>673</v>
      </c>
      <c r="C477" s="77" t="s">
        <v>674</v>
      </c>
      <c r="D477" s="77" t="s">
        <v>675</v>
      </c>
      <c r="F477" s="104" t="s">
        <v>439</v>
      </c>
      <c r="G477" s="78" t="s">
        <v>440</v>
      </c>
      <c r="H477" s="33" t="str" cm="1">
        <f t="array" ref="H477">INDEX(stableR[question],MATCH(VALUE(questions[[#This Row],[qno]]),VALUE(stableR[qno]),0))</f>
        <v>Do you have a systems to know when and how much to irrigate and according to the irrigation system (balance sheet with rainfall and evapotranspiration, sensors, irrigation app-software, weather stations...)?</v>
      </c>
      <c r="I477" s="33" t="b" cm="1">
        <f t="array" ref="I477">INDEX(stable[is_fixed],MATCH(VALUE(questions[[#This Row],[qno]]),VALUE(stable[qno]),0))</f>
        <v>1</v>
      </c>
      <c r="J477" s="33" t="b" cm="1">
        <f t="array" ref="J477">INDEX(stable[is_localized],MATCH(VALUE(questions[[#This Row],[qno]]),VALUE(stable[qno]),0))</f>
        <v>0</v>
      </c>
      <c r="K477" s="33" t="b" cm="1">
        <f t="array" ref="K477">INDEX(stable[is_supply_chain_dependent],MATCH(VALUE(questions[[#This Row],[qno]]),VALUE(stable[qno]),0))</f>
        <v>0</v>
      </c>
      <c r="L477" s="33" t="b" cm="1">
        <f t="array" ref="L477">INDEX(stable[is_mandatory],MATCH(VALUE(questions[[#This Row],[qno]]),VALUE(stable[qno]),0))</f>
        <v>0</v>
      </c>
      <c r="M477" s="33" t="b" cm="1">
        <f t="array" ref="M477">INDEX(stable[is_automated],MATCH(VALUE(questions[[#This Row],[qno]]),VALUE(stable[qno]),0))</f>
        <v>0</v>
      </c>
      <c r="N477" s="33" t="b" cm="1">
        <f t="array" ref="N477">INDEX(stable[is_free_text],MATCH(VALUE(questions[[#This Row],[qno]]),VALUE(stable[qno]),0))</f>
        <v>0</v>
      </c>
      <c r="O477" s="33" t="b" cm="1">
        <f t="array" ref="O477">INDEX(stable[is_numerical],MATCH(VALUE(questions[[#This Row],[qno]]),VALUE(stable[qno]),0))</f>
        <v>0</v>
      </c>
      <c r="P477" s="103" t="b" cm="1">
        <f t="array" ref="P477">INDEX(stable[is_single_select],MATCH(VALUE(questions[[#This Row],[qno]]),VALUE(stable[qno]),0))</f>
        <v>1</v>
      </c>
      <c r="Q477" s="77" t="b" cm="1">
        <f t="array" ref="Q477">INDEX(stable[is_multi_select],MATCH(VALUE(questions[[#This Row],[qno]]),VALUE(stable[qno]),0))</f>
        <v>0</v>
      </c>
      <c r="R477" s="77" t="b" cm="1">
        <f t="array" ref="R477">INDEX(stable[is_skip_logic],MATCH(VALUE(questions[[#This Row],[qno]]),VALUE(stable[qno]),0))</f>
        <v>0</v>
      </c>
      <c r="S477" s="77" t="str">
        <f>_xlfn.TEXTJOIN(", ",TRUE,questions[[#This Row],[ans_opt_1]:[ans_opt_14]])</f>
        <v>Yes, No</v>
      </c>
      <c r="T477" s="77" t="s">
        <v>149</v>
      </c>
      <c r="U477" s="77" t="s">
        <v>119</v>
      </c>
      <c r="AH477" s="98" t="b">
        <f>INDEX(stable[q_standard],MATCH(questions[[#This Row],[qno]],stable[qno],0))</f>
        <v>0</v>
      </c>
      <c r="AI477" s="98" t="b">
        <f>INDEX(stable[q_living_income],MATCH(questions[[#This Row],[qno]],stable[qno],0))</f>
        <v>0</v>
      </c>
      <c r="AJ477" s="98" t="b">
        <f>INDEX(stable[q_carbon],MATCH(questions[[#This Row],[qno]],stable[qno],0))</f>
        <v>0</v>
      </c>
      <c r="AK477" s="98" t="b">
        <f>INDEX(stable[q_regen_ag],MATCH(questions[[#This Row],[qno]],stable[qno],0))</f>
        <v>1</v>
      </c>
      <c r="AL477" s="98" t="b">
        <f>COUNTIFS(stable[qno],questions[[#This Row],[qno]])=1</f>
        <v>1</v>
      </c>
      <c r="AM477" s="98" t="b">
        <f>OR(questions[[#This Row],[is_fixed]],questions[[#This Row],[is_localized]],questions[[#This Row],[is_supply_chain_dependent]])</f>
        <v>1</v>
      </c>
      <c r="AN477" s="98" t="b">
        <f>COUNTIFS(questions[[#This Row],[is_automated]:[is_multi_select]],TRUE)=1</f>
        <v>1</v>
      </c>
      <c r="AO477" s="98" t="b">
        <f>IF(questions[[#This Row],[is_fixed]],questions[[#This Row],[question]]=INDEX(stable[question],MATCH(questions[[#This Row],[qno]],stable[qno],0)),TRUE)</f>
        <v>1</v>
      </c>
      <c r="AP477" s="98" t="str">
        <f>LEFT(questions[[#This Row],[question]],similarity_range)</f>
        <v>Do you have a system</v>
      </c>
      <c r="AQ477" s="98" t="str">
        <f>LEFT(INDEX(stable[question],MATCH(questions[[#This Row],[qno]],stable[qno],0)),similarity_range)</f>
        <v>Do you have a system</v>
      </c>
      <c r="AR477" s="98" t="b">
        <f>questions[[#This Row],[question_first_characters]]=questions[[#This Row],[stability_first_characters]]</f>
        <v>1</v>
      </c>
      <c r="AS477" s="98" t="b">
        <f>IF(OR(questions[[#This Row],[is_single_select]],questions[[#This Row],[is_multi_select]]),NOT(ISBLANK(questions[[#This Row],[answer_opt_combined]])),TRUE)</f>
        <v>1</v>
      </c>
    </row>
    <row r="478" spans="1:45" s="77" customFormat="1" x14ac:dyDescent="0.25">
      <c r="A478" s="77" t="str">
        <f>_xlfn.TEXTJOIN("_",TRUE,questions[[#This Row],[origin]:[qno]])</f>
        <v>Vietnam_Robusta_Lam_Dong_Nestlé_IMPACT_7400</v>
      </c>
      <c r="B478" s="77" t="s">
        <v>673</v>
      </c>
      <c r="C478" s="77" t="s">
        <v>674</v>
      </c>
      <c r="D478" s="77" t="s">
        <v>675</v>
      </c>
      <c r="F478" s="104" t="s">
        <v>441</v>
      </c>
      <c r="G478" s="78" t="s">
        <v>442</v>
      </c>
      <c r="H478" s="33" t="str" cm="1">
        <f t="array" ref="H478">INDEX(stableR[question],MATCH(VALUE(questions[[#This Row],[qno]]),VALUE(stableR[qno]),0))</f>
        <v>Are you implementing a plan to renovate/rehabilitate the coffee trees of your coffee plots? e.g. stumping, partial stumping, capping, side pruning, uprooting and replanting, uprooting and planting new trees, or a mix of systems. If the answer is NO, you do not need to answer the next 2 questions</v>
      </c>
      <c r="I478" s="33" t="b" cm="1">
        <f t="array" ref="I478">INDEX(stable[is_fixed],MATCH(VALUE(questions[[#This Row],[qno]]),VALUE(stable[qno]),0))</f>
        <v>1</v>
      </c>
      <c r="J478" s="33" t="b" cm="1">
        <f t="array" ref="J478">INDEX(stable[is_localized],MATCH(VALUE(questions[[#This Row],[qno]]),VALUE(stable[qno]),0))</f>
        <v>0</v>
      </c>
      <c r="K478" s="33" t="b" cm="1">
        <f t="array" ref="K478">INDEX(stable[is_supply_chain_dependent],MATCH(VALUE(questions[[#This Row],[qno]]),VALUE(stable[qno]),0))</f>
        <v>0</v>
      </c>
      <c r="L478" s="33" t="b" cm="1">
        <f t="array" ref="L478">INDEX(stable[is_mandatory],MATCH(VALUE(questions[[#This Row],[qno]]),VALUE(stable[qno]),0))</f>
        <v>1</v>
      </c>
      <c r="M478" s="33" t="b" cm="1">
        <f t="array" ref="M478">INDEX(stable[is_automated],MATCH(VALUE(questions[[#This Row],[qno]]),VALUE(stable[qno]),0))</f>
        <v>0</v>
      </c>
      <c r="N478" s="33" t="b" cm="1">
        <f t="array" ref="N478">INDEX(stable[is_free_text],MATCH(VALUE(questions[[#This Row],[qno]]),VALUE(stable[qno]),0))</f>
        <v>0</v>
      </c>
      <c r="O478" s="33" t="b" cm="1">
        <f t="array" ref="O478">INDEX(stable[is_numerical],MATCH(VALUE(questions[[#This Row],[qno]]),VALUE(stable[qno]),0))</f>
        <v>0</v>
      </c>
      <c r="P478" s="103" t="b" cm="1">
        <f t="array" ref="P478">INDEX(stable[is_single_select],MATCH(VALUE(questions[[#This Row],[qno]]),VALUE(stable[qno]),0))</f>
        <v>1</v>
      </c>
      <c r="Q478" s="77" t="b" cm="1">
        <f t="array" ref="Q478">INDEX(stable[is_multi_select],MATCH(VALUE(questions[[#This Row],[qno]]),VALUE(stable[qno]),0))</f>
        <v>0</v>
      </c>
      <c r="R478" s="77" t="b" cm="1">
        <f t="array" ref="R478">INDEX(stable[is_skip_logic],MATCH(VALUE(questions[[#This Row],[qno]]),VALUE(stable[qno]),0))</f>
        <v>1</v>
      </c>
      <c r="S478" s="77" t="str">
        <f>_xlfn.TEXTJOIN(", ",TRUE,questions[[#This Row],[ans_opt_1]:[ans_opt_14]])</f>
        <v>Yes, No</v>
      </c>
      <c r="T478" s="77" t="s">
        <v>149</v>
      </c>
      <c r="U478" s="77" t="s">
        <v>119</v>
      </c>
      <c r="AH478" s="98" t="b">
        <f>INDEX(stable[q_standard],MATCH(questions[[#This Row],[qno]],stable[qno],0))</f>
        <v>0</v>
      </c>
      <c r="AI478" s="98" t="b">
        <f>INDEX(stable[q_living_income],MATCH(questions[[#This Row],[qno]],stable[qno],0))</f>
        <v>0</v>
      </c>
      <c r="AJ478" s="98" t="b">
        <f>INDEX(stable[q_carbon],MATCH(questions[[#This Row],[qno]],stable[qno],0))</f>
        <v>0</v>
      </c>
      <c r="AK478" s="98" t="b">
        <f>INDEX(stable[q_regen_ag],MATCH(questions[[#This Row],[qno]],stable[qno],0))</f>
        <v>1</v>
      </c>
      <c r="AL478" s="98" t="b">
        <f>COUNTIFS(stable[qno],questions[[#This Row],[qno]])=1</f>
        <v>1</v>
      </c>
      <c r="AM478" s="98" t="b">
        <f>OR(questions[[#This Row],[is_fixed]],questions[[#This Row],[is_localized]],questions[[#This Row],[is_supply_chain_dependent]])</f>
        <v>1</v>
      </c>
      <c r="AN478" s="98" t="b">
        <f>COUNTIFS(questions[[#This Row],[is_automated]:[is_multi_select]],TRUE)=1</f>
        <v>1</v>
      </c>
      <c r="AO478" s="98" t="b">
        <f>IF(questions[[#This Row],[is_fixed]],questions[[#This Row],[question]]=INDEX(stable[question],MATCH(questions[[#This Row],[qno]],stable[qno],0)),TRUE)</f>
        <v>0</v>
      </c>
      <c r="AP478" s="98" t="str">
        <f>LEFT(questions[[#This Row],[question]],similarity_range)</f>
        <v>Are you implementing</v>
      </c>
      <c r="AQ478" s="98" t="str">
        <f>LEFT(INDEX(stable[question],MATCH(questions[[#This Row],[qno]],stable[qno],0)),similarity_range)</f>
        <v>Are you implementing</v>
      </c>
      <c r="AR478" s="98" t="b">
        <f>questions[[#This Row],[question_first_characters]]=questions[[#This Row],[stability_first_characters]]</f>
        <v>1</v>
      </c>
      <c r="AS478" s="98" t="b">
        <f>IF(OR(questions[[#This Row],[is_single_select]],questions[[#This Row],[is_multi_select]]),NOT(ISBLANK(questions[[#This Row],[answer_opt_combined]])),TRUE)</f>
        <v>1</v>
      </c>
    </row>
    <row r="479" spans="1:45" s="77" customFormat="1" x14ac:dyDescent="0.25">
      <c r="A479" s="77" t="str">
        <f>_xlfn.TEXTJOIN("_",TRUE,questions[[#This Row],[origin]:[qno]])</f>
        <v>Vietnam_Robusta_Lam_Dong_Nestlé_IMPACT_7401</v>
      </c>
      <c r="B479" s="77" t="s">
        <v>673</v>
      </c>
      <c r="C479" s="77" t="s">
        <v>674</v>
      </c>
      <c r="D479" s="77" t="s">
        <v>675</v>
      </c>
      <c r="F479" s="104" t="s">
        <v>443</v>
      </c>
      <c r="G479" s="78" t="s">
        <v>444</v>
      </c>
      <c r="H479" s="33" t="str" cm="1">
        <f t="array" ref="H479">INDEX(stableR[question],MATCH(VALUE(questions[[#This Row],[qno]]),VALUE(stableR[qno]),0))</f>
        <v>What % or proportion of trees have you renovated/rehabilitated in last 3 years?</v>
      </c>
      <c r="I479" s="33" t="b" cm="1">
        <f t="array" ref="I479">INDEX(stable[is_fixed],MATCH(VALUE(questions[[#This Row],[qno]]),VALUE(stable[qno]),0))</f>
        <v>1</v>
      </c>
      <c r="J479" s="33" t="b" cm="1">
        <f t="array" ref="J479">INDEX(stable[is_localized],MATCH(VALUE(questions[[#This Row],[qno]]),VALUE(stable[qno]),0))</f>
        <v>0</v>
      </c>
      <c r="K479" s="33" t="b" cm="1">
        <f t="array" ref="K479">INDEX(stable[is_supply_chain_dependent],MATCH(VALUE(questions[[#This Row],[qno]]),VALUE(stable[qno]),0))</f>
        <v>0</v>
      </c>
      <c r="L479" s="33" t="b" cm="1">
        <f t="array" ref="L479">INDEX(stable[is_mandatory],MATCH(VALUE(questions[[#This Row],[qno]]),VALUE(stable[qno]),0))</f>
        <v>0</v>
      </c>
      <c r="M479" s="33" t="b" cm="1">
        <f t="array" ref="M479">INDEX(stable[is_automated],MATCH(VALUE(questions[[#This Row],[qno]]),VALUE(stable[qno]),0))</f>
        <v>0</v>
      </c>
      <c r="N479" s="33" t="b" cm="1">
        <f t="array" ref="N479">INDEX(stable[is_free_text],MATCH(VALUE(questions[[#This Row],[qno]]),VALUE(stable[qno]),0))</f>
        <v>0</v>
      </c>
      <c r="O479" s="33" t="b" cm="1">
        <f t="array" ref="O479">INDEX(stable[is_numerical],MATCH(VALUE(questions[[#This Row],[qno]]),VALUE(stable[qno]),0))</f>
        <v>0</v>
      </c>
      <c r="P479" s="103" t="b" cm="1">
        <f t="array" ref="P479">INDEX(stable[is_single_select],MATCH(VALUE(questions[[#This Row],[qno]]),VALUE(stable[qno]),0))</f>
        <v>1</v>
      </c>
      <c r="Q479" s="77" t="b" cm="1">
        <f t="array" ref="Q479">INDEX(stable[is_multi_select],MATCH(VALUE(questions[[#This Row],[qno]]),VALUE(stable[qno]),0))</f>
        <v>0</v>
      </c>
      <c r="R479" s="77" t="b" cm="1">
        <f t="array" ref="R479">INDEX(stable[is_skip_logic],MATCH(VALUE(questions[[#This Row],[qno]]),VALUE(stable[qno]),0))</f>
        <v>1</v>
      </c>
      <c r="S479" s="77" t="str">
        <f>_xlfn.TEXTJOIN(", ",TRUE,questions[[#This Row],[ans_opt_1]:[ans_opt_14]])</f>
        <v>1% to 10% - very little, 11% to 20% - little, 21% to 50% - less than half, 51% to 75% - more than half, 76% to 100% - almost all</v>
      </c>
      <c r="T479" s="77" t="s">
        <v>421</v>
      </c>
      <c r="U479" s="77" t="s">
        <v>422</v>
      </c>
      <c r="V479" s="77" t="s">
        <v>423</v>
      </c>
      <c r="W479" s="77" t="s">
        <v>340</v>
      </c>
      <c r="X479" s="77" t="s">
        <v>341</v>
      </c>
      <c r="AH479" s="98" t="b">
        <f>INDEX(stable[q_standard],MATCH(questions[[#This Row],[qno]],stable[qno],0))</f>
        <v>0</v>
      </c>
      <c r="AI479" s="98" t="b">
        <f>INDEX(stable[q_living_income],MATCH(questions[[#This Row],[qno]],stable[qno],0))</f>
        <v>0</v>
      </c>
      <c r="AJ479" s="98" t="b">
        <f>INDEX(stable[q_carbon],MATCH(questions[[#This Row],[qno]],stable[qno],0))</f>
        <v>0</v>
      </c>
      <c r="AK479" s="98" t="b">
        <f>INDEX(stable[q_regen_ag],MATCH(questions[[#This Row],[qno]],stable[qno],0))</f>
        <v>1</v>
      </c>
      <c r="AL479" s="98" t="b">
        <f>COUNTIFS(stable[qno],questions[[#This Row],[qno]])=1</f>
        <v>1</v>
      </c>
      <c r="AM479" s="98" t="b">
        <f>OR(questions[[#This Row],[is_fixed]],questions[[#This Row],[is_localized]],questions[[#This Row],[is_supply_chain_dependent]])</f>
        <v>1</v>
      </c>
      <c r="AN479" s="98" t="b">
        <f>COUNTIFS(questions[[#This Row],[is_automated]:[is_multi_select]],TRUE)=1</f>
        <v>1</v>
      </c>
      <c r="AO479" s="98" t="b">
        <f>IF(questions[[#This Row],[is_fixed]],questions[[#This Row],[question]]=INDEX(stable[question],MATCH(questions[[#This Row],[qno]],stable[qno],0)),TRUE)</f>
        <v>1</v>
      </c>
      <c r="AP479" s="98" t="str">
        <f>LEFT(questions[[#This Row],[question]],similarity_range)</f>
        <v>What % or proportion</v>
      </c>
      <c r="AQ479" s="98" t="str">
        <f>LEFT(INDEX(stable[question],MATCH(questions[[#This Row],[qno]],stable[qno],0)),similarity_range)</f>
        <v>What % or proportion</v>
      </c>
      <c r="AR479" s="98" t="b">
        <f>questions[[#This Row],[question_first_characters]]=questions[[#This Row],[stability_first_characters]]</f>
        <v>1</v>
      </c>
      <c r="AS479" s="98" t="b">
        <f>IF(OR(questions[[#This Row],[is_single_select]],questions[[#This Row],[is_multi_select]]),NOT(ISBLANK(questions[[#This Row],[answer_opt_combined]])),TRUE)</f>
        <v>1</v>
      </c>
    </row>
    <row r="480" spans="1:45" s="77" customFormat="1" x14ac:dyDescent="0.25">
      <c r="A480" s="77" t="str">
        <f>_xlfn.TEXTJOIN("_",TRUE,questions[[#This Row],[origin]:[qno]])</f>
        <v>Vietnam_Robusta_Lam_Dong_Nestlé_IMPACT_7402</v>
      </c>
      <c r="B480" s="77" t="s">
        <v>673</v>
      </c>
      <c r="C480" s="77" t="s">
        <v>674</v>
      </c>
      <c r="D480" s="77" t="s">
        <v>675</v>
      </c>
      <c r="F480" s="104" t="s">
        <v>445</v>
      </c>
      <c r="G480" s="78" t="s">
        <v>446</v>
      </c>
      <c r="H480" s="33" t="str" cm="1">
        <f t="array" ref="H480">INDEX(stableR[question],MATCH(VALUE(questions[[#This Row],[qno]]),VALUE(stableR[qno]),0))</f>
        <v>What is the main renovation-rehabilitation systems do you use to renovate/rehabilitate (e.g. full stumping, partial stumping, capping, side pruning, uprooting and planting new trees)?</v>
      </c>
      <c r="I480" s="33" t="b" cm="1">
        <f t="array" ref="I480">INDEX(stable[is_fixed],MATCH(VALUE(questions[[#This Row],[qno]]),VALUE(stable[qno]),0))</f>
        <v>1</v>
      </c>
      <c r="J480" s="33" t="b" cm="1">
        <f t="array" ref="J480">INDEX(stable[is_localized],MATCH(VALUE(questions[[#This Row],[qno]]),VALUE(stable[qno]),0))</f>
        <v>0</v>
      </c>
      <c r="K480" s="33" t="b" cm="1">
        <f t="array" ref="K480">INDEX(stable[is_supply_chain_dependent],MATCH(VALUE(questions[[#This Row],[qno]]),VALUE(stable[qno]),0))</f>
        <v>0</v>
      </c>
      <c r="L480" s="33" t="b" cm="1">
        <f t="array" ref="L480">INDEX(stable[is_mandatory],MATCH(VALUE(questions[[#This Row],[qno]]),VALUE(stable[qno]),0))</f>
        <v>0</v>
      </c>
      <c r="M480" s="33" t="b" cm="1">
        <f t="array" ref="M480">INDEX(stable[is_automated],MATCH(VALUE(questions[[#This Row],[qno]]),VALUE(stable[qno]),0))</f>
        <v>0</v>
      </c>
      <c r="N480" s="33" t="b" cm="1">
        <f t="array" ref="N480">INDEX(stable[is_free_text],MATCH(VALUE(questions[[#This Row],[qno]]),VALUE(stable[qno]),0))</f>
        <v>0</v>
      </c>
      <c r="O480" s="33" t="b" cm="1">
        <f t="array" ref="O480">INDEX(stable[is_numerical],MATCH(VALUE(questions[[#This Row],[qno]]),VALUE(stable[qno]),0))</f>
        <v>0</v>
      </c>
      <c r="P480" s="103" t="b" cm="1">
        <f t="array" ref="P480">INDEX(stable[is_single_select],MATCH(VALUE(questions[[#This Row],[qno]]),VALUE(stable[qno]),0))</f>
        <v>1</v>
      </c>
      <c r="Q480" s="77" t="b" cm="1">
        <f t="array" ref="Q480">INDEX(stable[is_multi_select],MATCH(VALUE(questions[[#This Row],[qno]]),VALUE(stable[qno]),0))</f>
        <v>0</v>
      </c>
      <c r="R480" s="77" t="b" cm="1">
        <f t="array" ref="R480">INDEX(stable[is_skip_logic],MATCH(VALUE(questions[[#This Row],[qno]]),VALUE(stable[qno]),0))</f>
        <v>1</v>
      </c>
      <c r="S480" s="77" t="str">
        <f>_xlfn.TEXTJOIN(", ",TRUE,questions[[#This Row],[ans_opt_1]:[ans_opt_14]])</f>
        <v>full stumping, partial stumping, capping, side pruning, capping and side prunning, uprooting and planting new trees</v>
      </c>
      <c r="T480" s="77" t="s">
        <v>447</v>
      </c>
      <c r="U480" s="77" t="s">
        <v>448</v>
      </c>
      <c r="V480" s="77" t="s">
        <v>449</v>
      </c>
      <c r="W480" s="77" t="s">
        <v>450</v>
      </c>
      <c r="X480" s="77" t="s">
        <v>451</v>
      </c>
      <c r="Y480" s="77" t="s">
        <v>452</v>
      </c>
      <c r="AH480" s="98" t="b">
        <f>INDEX(stable[q_standard],MATCH(questions[[#This Row],[qno]],stable[qno],0))</f>
        <v>0</v>
      </c>
      <c r="AI480" s="98" t="b">
        <f>INDEX(stable[q_living_income],MATCH(questions[[#This Row],[qno]],stable[qno],0))</f>
        <v>0</v>
      </c>
      <c r="AJ480" s="98" t="b">
        <f>INDEX(stable[q_carbon],MATCH(questions[[#This Row],[qno]],stable[qno],0))</f>
        <v>0</v>
      </c>
      <c r="AK480" s="98" t="b">
        <f>INDEX(stable[q_regen_ag],MATCH(questions[[#This Row],[qno]],stable[qno],0))</f>
        <v>1</v>
      </c>
      <c r="AL480" s="98" t="b">
        <f>COUNTIFS(stable[qno],questions[[#This Row],[qno]])=1</f>
        <v>1</v>
      </c>
      <c r="AM480" s="98" t="b">
        <f>OR(questions[[#This Row],[is_fixed]],questions[[#This Row],[is_localized]],questions[[#This Row],[is_supply_chain_dependent]])</f>
        <v>1</v>
      </c>
      <c r="AN480" s="98" t="b">
        <f>COUNTIFS(questions[[#This Row],[is_automated]:[is_multi_select]],TRUE)=1</f>
        <v>1</v>
      </c>
      <c r="AO480" s="98" t="b">
        <f>IF(questions[[#This Row],[is_fixed]],questions[[#This Row],[question]]=INDEX(stable[question],MATCH(questions[[#This Row],[qno]],stable[qno],0)),TRUE)</f>
        <v>1</v>
      </c>
      <c r="AP480" s="98" t="str">
        <f>LEFT(questions[[#This Row],[question]],similarity_range)</f>
        <v>What is the main ren</v>
      </c>
      <c r="AQ480" s="98" t="str">
        <f>LEFT(INDEX(stable[question],MATCH(questions[[#This Row],[qno]],stable[qno],0)),similarity_range)</f>
        <v>What is the main ren</v>
      </c>
      <c r="AR480" s="98" t="b">
        <f>questions[[#This Row],[question_first_characters]]=questions[[#This Row],[stability_first_characters]]</f>
        <v>1</v>
      </c>
      <c r="AS480" s="98" t="b">
        <f>IF(OR(questions[[#This Row],[is_single_select]],questions[[#This Row],[is_multi_select]]),NOT(ISBLANK(questions[[#This Row],[answer_opt_combined]])),TRUE)</f>
        <v>1</v>
      </c>
    </row>
    <row r="481" spans="1:45" s="77" customFormat="1" x14ac:dyDescent="0.25">
      <c r="A481" s="77" t="str">
        <f>_xlfn.TEXTJOIN("_",TRUE,questions[[#This Row],[origin]:[qno]])</f>
        <v>Vietnam_Robusta_Lam_Dong_Nestlé_IMPACT_7410</v>
      </c>
      <c r="B481" s="77" t="s">
        <v>673</v>
      </c>
      <c r="C481" s="77" t="s">
        <v>674</v>
      </c>
      <c r="D481" s="77" t="s">
        <v>675</v>
      </c>
      <c r="F481" s="104" t="s">
        <v>453</v>
      </c>
      <c r="G481" s="78" t="s">
        <v>454</v>
      </c>
      <c r="H481" s="33" t="str" cm="1">
        <f t="array" ref="H481">INDEX(stableR[question],MATCH(VALUE(questions[[#This Row],[qno]]),VALUE(stableR[qno]),0))</f>
        <v>How many coffee varieties do you grow in your coffee plots?</v>
      </c>
      <c r="I481" s="33" t="b" cm="1">
        <f t="array" ref="I481">INDEX(stable[is_fixed],MATCH(VALUE(questions[[#This Row],[qno]]),VALUE(stable[qno]),0))</f>
        <v>1</v>
      </c>
      <c r="J481" s="33" t="b" cm="1">
        <f t="array" ref="J481">INDEX(stable[is_localized],MATCH(VALUE(questions[[#This Row],[qno]]),VALUE(stable[qno]),0))</f>
        <v>0</v>
      </c>
      <c r="K481" s="33" t="b" cm="1">
        <f t="array" ref="K481">INDEX(stable[is_supply_chain_dependent],MATCH(VALUE(questions[[#This Row],[qno]]),VALUE(stable[qno]),0))</f>
        <v>0</v>
      </c>
      <c r="L481" s="33" t="b" cm="1">
        <f t="array" ref="L481">INDEX(stable[is_mandatory],MATCH(VALUE(questions[[#This Row],[qno]]),VALUE(stable[qno]),0))</f>
        <v>1</v>
      </c>
      <c r="M481" s="33" t="b" cm="1">
        <f t="array" ref="M481">INDEX(stable[is_automated],MATCH(VALUE(questions[[#This Row],[qno]]),VALUE(stable[qno]),0))</f>
        <v>0</v>
      </c>
      <c r="N481" s="33" t="b" cm="1">
        <f t="array" ref="N481">INDEX(stable[is_free_text],MATCH(VALUE(questions[[#This Row],[qno]]),VALUE(stable[qno]),0))</f>
        <v>0</v>
      </c>
      <c r="O481" s="33" t="b" cm="1">
        <f t="array" ref="O481">INDEX(stable[is_numerical],MATCH(VALUE(questions[[#This Row],[qno]]),VALUE(stable[qno]),0))</f>
        <v>0</v>
      </c>
      <c r="P481" s="103" t="b" cm="1">
        <f t="array" ref="P481">INDEX(stable[is_single_select],MATCH(VALUE(questions[[#This Row],[qno]]),VALUE(stable[qno]),0))</f>
        <v>1</v>
      </c>
      <c r="Q481" s="77" t="b" cm="1">
        <f t="array" ref="Q481">INDEX(stable[is_multi_select],MATCH(VALUE(questions[[#This Row],[qno]]),VALUE(stable[qno]),0))</f>
        <v>0</v>
      </c>
      <c r="R481" s="77" t="b" cm="1">
        <f t="array" ref="R481">INDEX(stable[is_skip_logic],MATCH(VALUE(questions[[#This Row],[qno]]),VALUE(stable[qno]),0))</f>
        <v>1</v>
      </c>
      <c r="S481" s="77" t="str">
        <f>_xlfn.TEXTJOIN(", ",TRUE,questions[[#This Row],[ans_opt_1]:[ans_opt_14]])</f>
        <v>1, 2, 3, 4, 5, &gt;5</v>
      </c>
      <c r="T481" s="77">
        <v>1</v>
      </c>
      <c r="U481" s="77">
        <v>2</v>
      </c>
      <c r="V481" s="77">
        <v>3</v>
      </c>
      <c r="W481" s="77">
        <v>4</v>
      </c>
      <c r="X481" s="77">
        <v>5</v>
      </c>
      <c r="Y481" s="77" t="s">
        <v>404</v>
      </c>
      <c r="AH481" s="98" t="b">
        <f>INDEX(stable[q_standard],MATCH(questions[[#This Row],[qno]],stable[qno],0))</f>
        <v>0</v>
      </c>
      <c r="AI481" s="98" t="b">
        <f>INDEX(stable[q_living_income],MATCH(questions[[#This Row],[qno]],stable[qno],0))</f>
        <v>0</v>
      </c>
      <c r="AJ481" s="98" t="b">
        <f>INDEX(stable[q_carbon],MATCH(questions[[#This Row],[qno]],stable[qno],0))</f>
        <v>0</v>
      </c>
      <c r="AK481" s="98" t="b">
        <f>INDEX(stable[q_regen_ag],MATCH(questions[[#This Row],[qno]],stable[qno],0))</f>
        <v>1</v>
      </c>
      <c r="AL481" s="98" t="b">
        <f>COUNTIFS(stable[qno],questions[[#This Row],[qno]])=1</f>
        <v>1</v>
      </c>
      <c r="AM481" s="98" t="b">
        <f>OR(questions[[#This Row],[is_fixed]],questions[[#This Row],[is_localized]],questions[[#This Row],[is_supply_chain_dependent]])</f>
        <v>1</v>
      </c>
      <c r="AN481" s="98" t="b">
        <f>COUNTIFS(questions[[#This Row],[is_automated]:[is_multi_select]],TRUE)=1</f>
        <v>1</v>
      </c>
      <c r="AO481" s="98" t="b">
        <f>IF(questions[[#This Row],[is_fixed]],questions[[#This Row],[question]]=INDEX(stable[question],MATCH(questions[[#This Row],[qno]],stable[qno],0)),TRUE)</f>
        <v>1</v>
      </c>
      <c r="AP481" s="98" t="str">
        <f>LEFT(questions[[#This Row],[question]],similarity_range)</f>
        <v>How many coffee vari</v>
      </c>
      <c r="AQ481" s="98" t="str">
        <f>LEFT(INDEX(stable[question],MATCH(questions[[#This Row],[qno]],stable[qno],0)),similarity_range)</f>
        <v>How many coffee vari</v>
      </c>
      <c r="AR481" s="98" t="b">
        <f>questions[[#This Row],[question_first_characters]]=questions[[#This Row],[stability_first_characters]]</f>
        <v>1</v>
      </c>
      <c r="AS481" s="98" t="b">
        <f>IF(OR(questions[[#This Row],[is_single_select]],questions[[#This Row],[is_multi_select]]),NOT(ISBLANK(questions[[#This Row],[answer_opt_combined]])),TRUE)</f>
        <v>1</v>
      </c>
    </row>
    <row r="482" spans="1:45" s="77" customFormat="1" x14ac:dyDescent="0.25">
      <c r="A482" s="77" t="str">
        <f>_xlfn.TEXTJOIN("_",TRUE,questions[[#This Row],[origin]:[qno]])</f>
        <v>Vietnam_Robusta_Lam_Dong_Nestlé_IMPACT_7411</v>
      </c>
      <c r="B482" s="77" t="s">
        <v>673</v>
      </c>
      <c r="C482" s="77" t="s">
        <v>674</v>
      </c>
      <c r="D482" s="77" t="s">
        <v>675</v>
      </c>
      <c r="F482" s="104" t="s">
        <v>455</v>
      </c>
      <c r="G482" s="77" t="s">
        <v>456</v>
      </c>
      <c r="H482" s="33" t="str" cm="1">
        <f t="array" ref="H482">INDEX(stableR[question],MATCH(VALUE(questions[[#This Row],[qno]]),VALUE(stableR[qno]),0))</f>
        <v>What % or proportion over the total number of trees of the cultivated area is planted with the main variety?</v>
      </c>
      <c r="I482" s="33" t="b" cm="1">
        <f t="array" ref="I482">INDEX(stable[is_fixed],MATCH(VALUE(questions[[#This Row],[qno]]),VALUE(stable[qno]),0))</f>
        <v>1</v>
      </c>
      <c r="J482" s="33" t="b" cm="1">
        <f t="array" ref="J482">INDEX(stable[is_localized],MATCH(VALUE(questions[[#This Row],[qno]]),VALUE(stable[qno]),0))</f>
        <v>0</v>
      </c>
      <c r="K482" s="33" t="b" cm="1">
        <f t="array" ref="K482">INDEX(stable[is_supply_chain_dependent],MATCH(VALUE(questions[[#This Row],[qno]]),VALUE(stable[qno]),0))</f>
        <v>0</v>
      </c>
      <c r="L482" s="33" t="b" cm="1">
        <f t="array" ref="L482">INDEX(stable[is_mandatory],MATCH(VALUE(questions[[#This Row],[qno]]),VALUE(stable[qno]),0))</f>
        <v>1</v>
      </c>
      <c r="M482" s="33" t="b" cm="1">
        <f t="array" ref="M482">INDEX(stable[is_automated],MATCH(VALUE(questions[[#This Row],[qno]]),VALUE(stable[qno]),0))</f>
        <v>0</v>
      </c>
      <c r="N482" s="33" t="b" cm="1">
        <f t="array" ref="N482">INDEX(stable[is_free_text],MATCH(VALUE(questions[[#This Row],[qno]]),VALUE(stable[qno]),0))</f>
        <v>0</v>
      </c>
      <c r="O482" s="33" t="b" cm="1">
        <f t="array" ref="O482">INDEX(stable[is_numerical],MATCH(VALUE(questions[[#This Row],[qno]]),VALUE(stable[qno]),0))</f>
        <v>0</v>
      </c>
      <c r="P482" s="103" t="b" cm="1">
        <f t="array" ref="P482">INDEX(stable[is_single_select],MATCH(VALUE(questions[[#This Row],[qno]]),VALUE(stable[qno]),0))</f>
        <v>1</v>
      </c>
      <c r="Q482" s="77" t="b" cm="1">
        <f t="array" ref="Q482">INDEX(stable[is_multi_select],MATCH(VALUE(questions[[#This Row],[qno]]),VALUE(stable[qno]),0))</f>
        <v>0</v>
      </c>
      <c r="R482" s="77" t="b" cm="1">
        <f t="array" ref="R482">INDEX(stable[is_skip_logic],MATCH(VALUE(questions[[#This Row],[qno]]),VALUE(stable[qno]),0))</f>
        <v>1</v>
      </c>
      <c r="S482" s="77" t="str">
        <f>_xlfn.TEXTJOIN(", ",TRUE,questions[[#This Row],[ans_opt_1]:[ans_opt_14]])</f>
        <v>1% to 25% - little to a quarter, 26% to 50% - less than half, 51% to 75% - more than half, 76% to 100% - almost all</v>
      </c>
      <c r="T482" s="77" t="s">
        <v>338</v>
      </c>
      <c r="U482" s="77" t="s">
        <v>339</v>
      </c>
      <c r="V482" s="77" t="s">
        <v>340</v>
      </c>
      <c r="W482" s="77" t="s">
        <v>341</v>
      </c>
      <c r="AH482" s="98" t="b">
        <f>INDEX(stable[q_standard],MATCH(questions[[#This Row],[qno]],stable[qno],0))</f>
        <v>0</v>
      </c>
      <c r="AI482" s="98" t="b">
        <f>INDEX(stable[q_living_income],MATCH(questions[[#This Row],[qno]],stable[qno],0))</f>
        <v>0</v>
      </c>
      <c r="AJ482" s="98" t="b">
        <f>INDEX(stable[q_carbon],MATCH(questions[[#This Row],[qno]],stable[qno],0))</f>
        <v>0</v>
      </c>
      <c r="AK482" s="98" t="b">
        <f>INDEX(stable[q_regen_ag],MATCH(questions[[#This Row],[qno]],stable[qno],0))</f>
        <v>1</v>
      </c>
      <c r="AL482" s="98" t="b">
        <f>COUNTIFS(stable[qno],questions[[#This Row],[qno]])=1</f>
        <v>1</v>
      </c>
      <c r="AM482" s="98" t="b">
        <f>OR(questions[[#This Row],[is_fixed]],questions[[#This Row],[is_localized]],questions[[#This Row],[is_supply_chain_dependent]])</f>
        <v>1</v>
      </c>
      <c r="AN482" s="98" t="b">
        <f>COUNTIFS(questions[[#This Row],[is_automated]:[is_multi_select]],TRUE)=1</f>
        <v>1</v>
      </c>
      <c r="AO482" s="98" t="b">
        <f>IF(questions[[#This Row],[is_fixed]],questions[[#This Row],[question]]=INDEX(stable[question],MATCH(questions[[#This Row],[qno]],stable[qno],0)),TRUE)</f>
        <v>0</v>
      </c>
      <c r="AP482" s="98" t="str">
        <f>LEFT(questions[[#This Row],[question]],similarity_range)</f>
        <v>What % or proportion</v>
      </c>
      <c r="AQ482" s="98" t="str">
        <f>LEFT(INDEX(stable[question],MATCH(questions[[#This Row],[qno]],stable[qno],0)),similarity_range)</f>
        <v>What % or proportion</v>
      </c>
      <c r="AR482" s="98" t="b">
        <f>questions[[#This Row],[question_first_characters]]=questions[[#This Row],[stability_first_characters]]</f>
        <v>1</v>
      </c>
      <c r="AS482" s="98" t="b">
        <f>IF(OR(questions[[#This Row],[is_single_select]],questions[[#This Row],[is_multi_select]]),NOT(ISBLANK(questions[[#This Row],[answer_opt_combined]])),TRUE)</f>
        <v>1</v>
      </c>
    </row>
    <row r="483" spans="1:45" s="77" customFormat="1" x14ac:dyDescent="0.25">
      <c r="A483" s="77" t="str">
        <f>_xlfn.TEXTJOIN("_",TRUE,questions[[#This Row],[origin]:[qno]])</f>
        <v>Vietnam_Robusta_Lam_Dong_Nestlé_IMPACT_7412</v>
      </c>
      <c r="B483" s="77" t="s">
        <v>673</v>
      </c>
      <c r="C483" s="77" t="s">
        <v>674</v>
      </c>
      <c r="D483" s="77" t="s">
        <v>675</v>
      </c>
      <c r="F483" s="104" t="s">
        <v>457</v>
      </c>
      <c r="G483" s="78" t="s">
        <v>458</v>
      </c>
      <c r="H483" s="33" t="str" cm="1">
        <f t="array" ref="H483">INDEX(stableR[question],MATCH(VALUE(questions[[#This Row],[qno]]),VALUE(stableR[qno]),0))</f>
        <v>If you grow only one variety, how many years ago was this variety planted?</v>
      </c>
      <c r="I483" s="33" t="b" cm="1">
        <f t="array" ref="I483">INDEX(stable[is_fixed],MATCH(VALUE(questions[[#This Row],[qno]]),VALUE(stable[qno]),0))</f>
        <v>1</v>
      </c>
      <c r="J483" s="33" t="b" cm="1">
        <f t="array" ref="J483">INDEX(stable[is_localized],MATCH(VALUE(questions[[#This Row],[qno]]),VALUE(stable[qno]),0))</f>
        <v>0</v>
      </c>
      <c r="K483" s="33" t="b" cm="1">
        <f t="array" ref="K483">INDEX(stable[is_supply_chain_dependent],MATCH(VALUE(questions[[#This Row],[qno]]),VALUE(stable[qno]),0))</f>
        <v>0</v>
      </c>
      <c r="L483" s="33" t="b" cm="1">
        <f t="array" ref="L483">INDEX(stable[is_mandatory],MATCH(VALUE(questions[[#This Row],[qno]]),VALUE(stable[qno]),0))</f>
        <v>0</v>
      </c>
      <c r="M483" s="33" t="b" cm="1">
        <f t="array" ref="M483">INDEX(stable[is_automated],MATCH(VALUE(questions[[#This Row],[qno]]),VALUE(stable[qno]),0))</f>
        <v>0</v>
      </c>
      <c r="N483" s="33" t="b" cm="1">
        <f t="array" ref="N483">INDEX(stable[is_free_text],MATCH(VALUE(questions[[#This Row],[qno]]),VALUE(stable[qno]),0))</f>
        <v>0</v>
      </c>
      <c r="O483" s="33" t="b" cm="1">
        <f t="array" ref="O483">INDEX(stable[is_numerical],MATCH(VALUE(questions[[#This Row],[qno]]),VALUE(stable[qno]),0))</f>
        <v>0</v>
      </c>
      <c r="P483" s="103" t="b" cm="1">
        <f t="array" ref="P483">INDEX(stable[is_single_select],MATCH(VALUE(questions[[#This Row],[qno]]),VALUE(stable[qno]),0))</f>
        <v>1</v>
      </c>
      <c r="Q483" s="77" t="b" cm="1">
        <f t="array" ref="Q483">INDEX(stable[is_multi_select],MATCH(VALUE(questions[[#This Row],[qno]]),VALUE(stable[qno]),0))</f>
        <v>0</v>
      </c>
      <c r="R483" s="77" t="b" cm="1">
        <f t="array" ref="R483">INDEX(stable[is_skip_logic],MATCH(VALUE(questions[[#This Row],[qno]]),VALUE(stable[qno]),0))</f>
        <v>1</v>
      </c>
      <c r="S483" s="77" t="str">
        <f>_xlfn.TEXTJOIN(", ",TRUE,questions[[#This Row],[ans_opt_1]:[ans_opt_14]])</f>
        <v>1-5 years, 6-10 years, 11-15 years, 15-20 years, 20-30 years, &gt;30 years</v>
      </c>
      <c r="T483" s="77" t="s">
        <v>459</v>
      </c>
      <c r="U483" s="77" t="s">
        <v>460</v>
      </c>
      <c r="V483" s="77" t="s">
        <v>461</v>
      </c>
      <c r="W483" s="77" t="s">
        <v>462</v>
      </c>
      <c r="X483" s="77" t="s">
        <v>463</v>
      </c>
      <c r="Y483" s="77" t="s">
        <v>464</v>
      </c>
      <c r="AH483" s="98" t="b">
        <f>INDEX(stable[q_standard],MATCH(questions[[#This Row],[qno]],stable[qno],0))</f>
        <v>0</v>
      </c>
      <c r="AI483" s="98" t="b">
        <f>INDEX(stable[q_living_income],MATCH(questions[[#This Row],[qno]],stable[qno],0))</f>
        <v>0</v>
      </c>
      <c r="AJ483" s="98" t="b">
        <f>INDEX(stable[q_carbon],MATCH(questions[[#This Row],[qno]],stable[qno],0))</f>
        <v>0</v>
      </c>
      <c r="AK483" s="98" t="b">
        <f>INDEX(stable[q_regen_ag],MATCH(questions[[#This Row],[qno]],stable[qno],0))</f>
        <v>1</v>
      </c>
      <c r="AL483" s="98" t="b">
        <f>COUNTIFS(stable[qno],questions[[#This Row],[qno]])=1</f>
        <v>1</v>
      </c>
      <c r="AM483" s="98" t="b">
        <f>OR(questions[[#This Row],[is_fixed]],questions[[#This Row],[is_localized]],questions[[#This Row],[is_supply_chain_dependent]])</f>
        <v>1</v>
      </c>
      <c r="AN483" s="98" t="b">
        <f>COUNTIFS(questions[[#This Row],[is_automated]:[is_multi_select]],TRUE)=1</f>
        <v>1</v>
      </c>
      <c r="AO483" s="98" t="b">
        <f>IF(questions[[#This Row],[is_fixed]],questions[[#This Row],[question]]=INDEX(stable[question],MATCH(questions[[#This Row],[qno]],stable[qno],0)),TRUE)</f>
        <v>1</v>
      </c>
      <c r="AP483" s="98" t="str">
        <f>LEFT(questions[[#This Row],[question]],similarity_range)</f>
        <v>If you grow only one</v>
      </c>
      <c r="AQ483" s="98" t="str">
        <f>LEFT(INDEX(stable[question],MATCH(questions[[#This Row],[qno]],stable[qno],0)),similarity_range)</f>
        <v>If you grow only one</v>
      </c>
      <c r="AR483" s="98" t="b">
        <f>questions[[#This Row],[question_first_characters]]=questions[[#This Row],[stability_first_characters]]</f>
        <v>1</v>
      </c>
      <c r="AS483" s="98" t="b">
        <f>IF(OR(questions[[#This Row],[is_single_select]],questions[[#This Row],[is_multi_select]]),NOT(ISBLANK(questions[[#This Row],[answer_opt_combined]])),TRUE)</f>
        <v>1</v>
      </c>
    </row>
    <row r="484" spans="1:45" s="77" customFormat="1" x14ac:dyDescent="0.25">
      <c r="A484" s="77" t="str">
        <f>_xlfn.TEXTJOIN("_",TRUE,questions[[#This Row],[origin]:[qno]])</f>
        <v>Vietnam_Robusta_Lam_Dong_Nestlé_IMPACT_7500</v>
      </c>
      <c r="B484" s="77" t="s">
        <v>673</v>
      </c>
      <c r="C484" s="77" t="s">
        <v>674</v>
      </c>
      <c r="D484" s="77" t="s">
        <v>675</v>
      </c>
      <c r="F484" s="104" t="s">
        <v>465</v>
      </c>
      <c r="G484" s="78" t="s">
        <v>613</v>
      </c>
      <c r="H484" s="33" t="str" cm="1">
        <f t="array" ref="H484">INDEX(stableR[question],MATCH(VALUE(questions[[#This Row],[qno]]),VALUE(stableR[qno]),0))</f>
        <v>Do you plant shade trees and/or fruit trees in your coffee plots?</v>
      </c>
      <c r="I484" s="33" t="b" cm="1">
        <f t="array" ref="I484">INDEX(stable[is_fixed],MATCH(VALUE(questions[[#This Row],[qno]]),VALUE(stable[qno]),0))</f>
        <v>0</v>
      </c>
      <c r="J484" s="33" t="b" cm="1">
        <f t="array" ref="J484">INDEX(stable[is_localized],MATCH(VALUE(questions[[#This Row],[qno]]),VALUE(stable[qno]),0))</f>
        <v>1</v>
      </c>
      <c r="K484" s="33" t="b" cm="1">
        <f t="array" ref="K484">INDEX(stable[is_supply_chain_dependent],MATCH(VALUE(questions[[#This Row],[qno]]),VALUE(stable[qno]),0))</f>
        <v>0</v>
      </c>
      <c r="L484" s="33" t="b" cm="1">
        <f t="array" ref="L484">INDEX(stable[is_mandatory],MATCH(VALUE(questions[[#This Row],[qno]]),VALUE(stable[qno]),0))</f>
        <v>1</v>
      </c>
      <c r="M484" s="33" t="b" cm="1">
        <f t="array" ref="M484">INDEX(stable[is_automated],MATCH(VALUE(questions[[#This Row],[qno]]),VALUE(stable[qno]),0))</f>
        <v>0</v>
      </c>
      <c r="N484" s="33" t="b" cm="1">
        <f t="array" ref="N484">INDEX(stable[is_free_text],MATCH(VALUE(questions[[#This Row],[qno]]),VALUE(stable[qno]),0))</f>
        <v>0</v>
      </c>
      <c r="O484" s="33" t="b" cm="1">
        <f t="array" ref="O484">INDEX(stable[is_numerical],MATCH(VALUE(questions[[#This Row],[qno]]),VALUE(stable[qno]),0))</f>
        <v>0</v>
      </c>
      <c r="P484" s="103" t="b" cm="1">
        <f t="array" ref="P484">INDEX(stable[is_single_select],MATCH(VALUE(questions[[#This Row],[qno]]),VALUE(stable[qno]),0))</f>
        <v>1</v>
      </c>
      <c r="Q484" s="77" t="b" cm="1">
        <f t="array" ref="Q484">INDEX(stable[is_multi_select],MATCH(VALUE(questions[[#This Row],[qno]]),VALUE(stable[qno]),0))</f>
        <v>0</v>
      </c>
      <c r="R484" s="77" t="b" cm="1">
        <f t="array" ref="R484">INDEX(stable[is_skip_logic],MATCH(VALUE(questions[[#This Row],[qno]]),VALUE(stable[qno]),0))</f>
        <v>1</v>
      </c>
      <c r="S484" s="77" t="str">
        <f>_xlfn.TEXTJOIN(", ",TRUE,questions[[#This Row],[ans_opt_1]:[ans_opt_14]])</f>
        <v>No, Yes - forest shade trees, Yes - fruit trees, Yes - mix of forest shade trees and fruit trees</v>
      </c>
      <c r="T484" s="77" t="s">
        <v>119</v>
      </c>
      <c r="U484" s="77" t="s">
        <v>467</v>
      </c>
      <c r="V484" s="77" t="s">
        <v>468</v>
      </c>
      <c r="W484" s="77" t="s">
        <v>469</v>
      </c>
      <c r="AH484" s="98" t="b">
        <f>INDEX(stable[q_standard],MATCH(questions[[#This Row],[qno]],stable[qno],0))</f>
        <v>0</v>
      </c>
      <c r="AI484" s="98" t="b">
        <f>INDEX(stable[q_living_income],MATCH(questions[[#This Row],[qno]],stable[qno],0))</f>
        <v>0</v>
      </c>
      <c r="AJ484" s="98" t="b">
        <f>INDEX(stable[q_carbon],MATCH(questions[[#This Row],[qno]],stable[qno],0))</f>
        <v>0</v>
      </c>
      <c r="AK484" s="98" t="b">
        <f>INDEX(stable[q_regen_ag],MATCH(questions[[#This Row],[qno]],stable[qno],0))</f>
        <v>1</v>
      </c>
      <c r="AL484" s="98" t="b">
        <f>COUNTIFS(stable[qno],questions[[#This Row],[qno]])=1</f>
        <v>1</v>
      </c>
      <c r="AM484" s="98" t="b">
        <f>OR(questions[[#This Row],[is_fixed]],questions[[#This Row],[is_localized]],questions[[#This Row],[is_supply_chain_dependent]])</f>
        <v>1</v>
      </c>
      <c r="AN484" s="98" t="b">
        <f>COUNTIFS(questions[[#This Row],[is_automated]:[is_multi_select]],TRUE)=1</f>
        <v>1</v>
      </c>
      <c r="AO484" s="98" t="b">
        <f>IF(questions[[#This Row],[is_fixed]],questions[[#This Row],[question]]=INDEX(stable[question],MATCH(questions[[#This Row],[qno]],stable[qno],0)),TRUE)</f>
        <v>1</v>
      </c>
      <c r="AP484" s="98" t="str">
        <f>LEFT(questions[[#This Row],[question]],similarity_range)</f>
        <v>Do you plant shade t</v>
      </c>
      <c r="AQ484" s="98" t="str">
        <f>LEFT(INDEX(stable[question],MATCH(questions[[#This Row],[qno]],stable[qno],0)),similarity_range)</f>
        <v>Do you plant shade t</v>
      </c>
      <c r="AR484" s="98" t="b">
        <f>questions[[#This Row],[question_first_characters]]=questions[[#This Row],[stability_first_characters]]</f>
        <v>1</v>
      </c>
      <c r="AS484" s="98" t="b">
        <f>IF(OR(questions[[#This Row],[is_single_select]],questions[[#This Row],[is_multi_select]]),NOT(ISBLANK(questions[[#This Row],[answer_opt_combined]])),TRUE)</f>
        <v>1</v>
      </c>
    </row>
    <row r="485" spans="1:45" s="77" customFormat="1" x14ac:dyDescent="0.25">
      <c r="A485" s="77" t="str">
        <f>_xlfn.TEXTJOIN("_",TRUE,questions[[#This Row],[origin]:[qno]])</f>
        <v>Vietnam_Robusta_Lam_Dong_Nestlé_IMPACT_7501</v>
      </c>
      <c r="B485" s="77" t="s">
        <v>673</v>
      </c>
      <c r="C485" s="77" t="s">
        <v>674</v>
      </c>
      <c r="D485" s="77" t="s">
        <v>675</v>
      </c>
      <c r="F485" s="104" t="s">
        <v>470</v>
      </c>
      <c r="G485" s="78" t="s">
        <v>471</v>
      </c>
      <c r="H485" s="33" t="str" cm="1">
        <f t="array" ref="H485">INDEX(stableR[question],MATCH(VALUE(questions[[#This Row],[qno]]),VALUE(stableR[qno]),0))</f>
        <v>If so, on what % or proportion of your coffee plots do you have shade and/or fruit trees? e.g. if all agro-forestry trees are only distributed in a quarter of the coffee plot, and the rest of the plot does not have agro-forestry trees, then it is 25%</v>
      </c>
      <c r="I485" s="33" t="b" cm="1">
        <f t="array" ref="I485">INDEX(stable[is_fixed],MATCH(VALUE(questions[[#This Row],[qno]]),VALUE(stable[qno]),0))</f>
        <v>1</v>
      </c>
      <c r="J485" s="33" t="b" cm="1">
        <f t="array" ref="J485">INDEX(stable[is_localized],MATCH(VALUE(questions[[#This Row],[qno]]),VALUE(stable[qno]),0))</f>
        <v>0</v>
      </c>
      <c r="K485" s="33" t="b" cm="1">
        <f t="array" ref="K485">INDEX(stable[is_supply_chain_dependent],MATCH(VALUE(questions[[#This Row],[qno]]),VALUE(stable[qno]),0))</f>
        <v>0</v>
      </c>
      <c r="L485" s="33" t="b" cm="1">
        <f t="array" ref="L485">INDEX(stable[is_mandatory],MATCH(VALUE(questions[[#This Row],[qno]]),VALUE(stable[qno]),0))</f>
        <v>0</v>
      </c>
      <c r="M485" s="33" t="b" cm="1">
        <f t="array" ref="M485">INDEX(stable[is_automated],MATCH(VALUE(questions[[#This Row],[qno]]),VALUE(stable[qno]),0))</f>
        <v>0</v>
      </c>
      <c r="N485" s="33" t="b" cm="1">
        <f t="array" ref="N485">INDEX(stable[is_free_text],MATCH(VALUE(questions[[#This Row],[qno]]),VALUE(stable[qno]),0))</f>
        <v>0</v>
      </c>
      <c r="O485" s="33" t="b" cm="1">
        <f t="array" ref="O485">INDEX(stable[is_numerical],MATCH(VALUE(questions[[#This Row],[qno]]),VALUE(stable[qno]),0))</f>
        <v>0</v>
      </c>
      <c r="P485" s="103" t="b" cm="1">
        <f t="array" ref="P485">INDEX(stable[is_single_select],MATCH(VALUE(questions[[#This Row],[qno]]),VALUE(stable[qno]),0))</f>
        <v>1</v>
      </c>
      <c r="Q485" s="77" t="b" cm="1">
        <f t="array" ref="Q485">INDEX(stable[is_multi_select],MATCH(VALUE(questions[[#This Row],[qno]]),VALUE(stable[qno]),0))</f>
        <v>0</v>
      </c>
      <c r="R485" s="77" t="b" cm="1">
        <f t="array" ref="R485">INDEX(stable[is_skip_logic],MATCH(VALUE(questions[[#This Row],[qno]]),VALUE(stable[qno]),0))</f>
        <v>1</v>
      </c>
      <c r="S485" s="77" t="str">
        <f>_xlfn.TEXTJOIN(", ",TRUE,questions[[#This Row],[ans_opt_1]:[ans_opt_14]])</f>
        <v>1% to 25% - little to a quarter, 26% to 50% - less than half, 51% to 75% - more than half, 76% to 100% - almost all</v>
      </c>
      <c r="T485" s="77" t="s">
        <v>338</v>
      </c>
      <c r="U485" s="77" t="s">
        <v>339</v>
      </c>
      <c r="V485" s="77" t="s">
        <v>340</v>
      </c>
      <c r="W485" s="77" t="s">
        <v>341</v>
      </c>
      <c r="AH485" s="98" t="b">
        <f>INDEX(stable[q_standard],MATCH(questions[[#This Row],[qno]],stable[qno],0))</f>
        <v>0</v>
      </c>
      <c r="AI485" s="98" t="b">
        <f>INDEX(stable[q_living_income],MATCH(questions[[#This Row],[qno]],stable[qno],0))</f>
        <v>0</v>
      </c>
      <c r="AJ485" s="98" t="b">
        <f>INDEX(stable[q_carbon],MATCH(questions[[#This Row],[qno]],stable[qno],0))</f>
        <v>0</v>
      </c>
      <c r="AK485" s="98" t="b">
        <f>INDEX(stable[q_regen_ag],MATCH(questions[[#This Row],[qno]],stable[qno],0))</f>
        <v>1</v>
      </c>
      <c r="AL485" s="98" t="b">
        <f>COUNTIFS(stable[qno],questions[[#This Row],[qno]])=1</f>
        <v>1</v>
      </c>
      <c r="AM485" s="98" t="b">
        <f>OR(questions[[#This Row],[is_fixed]],questions[[#This Row],[is_localized]],questions[[#This Row],[is_supply_chain_dependent]])</f>
        <v>1</v>
      </c>
      <c r="AN485" s="98" t="b">
        <f>COUNTIFS(questions[[#This Row],[is_automated]:[is_multi_select]],TRUE)=1</f>
        <v>1</v>
      </c>
      <c r="AO485" s="98" t="b">
        <f>IF(questions[[#This Row],[is_fixed]],questions[[#This Row],[question]]=INDEX(stable[question],MATCH(questions[[#This Row],[qno]],stable[qno],0)),TRUE)</f>
        <v>1</v>
      </c>
      <c r="AP485" s="98" t="str">
        <f>LEFT(questions[[#This Row],[question]],similarity_range)</f>
        <v xml:space="preserve">If so, on what % or </v>
      </c>
      <c r="AQ485" s="98" t="str">
        <f>LEFT(INDEX(stable[question],MATCH(questions[[#This Row],[qno]],stable[qno],0)),similarity_range)</f>
        <v xml:space="preserve">If so, on what % or </v>
      </c>
      <c r="AR485" s="98" t="b">
        <f>questions[[#This Row],[question_first_characters]]=questions[[#This Row],[stability_first_characters]]</f>
        <v>1</v>
      </c>
      <c r="AS485" s="98" t="b">
        <f>IF(OR(questions[[#This Row],[is_single_select]],questions[[#This Row],[is_multi_select]]),NOT(ISBLANK(questions[[#This Row],[answer_opt_combined]])),TRUE)</f>
        <v>1</v>
      </c>
    </row>
    <row r="486" spans="1:45" x14ac:dyDescent="0.25">
      <c r="A486" s="33" t="str">
        <f>_xlfn.TEXTJOIN("_",TRUE,questions[[#This Row],[origin]:[qno]])</f>
        <v>Vietnam_Robusta_Lam_Dong_Nestlé_IMPACT_7502</v>
      </c>
      <c r="B486" s="33" t="s">
        <v>673</v>
      </c>
      <c r="C486" s="33" t="s">
        <v>674</v>
      </c>
      <c r="D486" s="33" t="s">
        <v>675</v>
      </c>
      <c r="E486" s="33"/>
      <c r="F486" s="34" t="s">
        <v>472</v>
      </c>
      <c r="G486" s="18" t="s">
        <v>473</v>
      </c>
      <c r="H486" s="33" t="str" cm="1">
        <f t="array" ref="H486">INDEX(stableR[question],MATCH(VALUE(questions[[#This Row],[qno]]),VALUE(stableR[qno]),0))</f>
        <v>How many different species of shade and/or fruit trees do you have in your coffee plots?</v>
      </c>
      <c r="I486" s="33" t="b" cm="1">
        <f t="array" ref="I486">INDEX(stable[is_fixed],MATCH(VALUE(questions[[#This Row],[qno]]),VALUE(stable[qno]),0))</f>
        <v>1</v>
      </c>
      <c r="J486" s="33" t="b" cm="1">
        <f t="array" ref="J486">INDEX(stable[is_localized],MATCH(VALUE(questions[[#This Row],[qno]]),VALUE(stable[qno]),0))</f>
        <v>0</v>
      </c>
      <c r="K486" s="33" t="b" cm="1">
        <f t="array" ref="K486">INDEX(stable[is_supply_chain_dependent],MATCH(VALUE(questions[[#This Row],[qno]]),VALUE(stable[qno]),0))</f>
        <v>0</v>
      </c>
      <c r="L486" s="33" t="b" cm="1">
        <f t="array" ref="L486">INDEX(stable[is_mandatory],MATCH(VALUE(questions[[#This Row],[qno]]),VALUE(stable[qno]),0))</f>
        <v>0</v>
      </c>
      <c r="M486" s="33" t="b" cm="1">
        <f t="array" ref="M486">INDEX(stable[is_automated],MATCH(VALUE(questions[[#This Row],[qno]]),VALUE(stable[qno]),0))</f>
        <v>0</v>
      </c>
      <c r="N486" s="33" t="b" cm="1">
        <f t="array" ref="N486">INDEX(stable[is_free_text],MATCH(VALUE(questions[[#This Row],[qno]]),VALUE(stable[qno]),0))</f>
        <v>0</v>
      </c>
      <c r="O486" s="33" t="b" cm="1">
        <f t="array" ref="O486">INDEX(stable[is_numerical],MATCH(VALUE(questions[[#This Row],[qno]]),VALUE(stable[qno]),0))</f>
        <v>1</v>
      </c>
      <c r="P486" s="35" t="b" cm="1">
        <f t="array" ref="P486">INDEX(stable[is_single_select],MATCH(VALUE(questions[[#This Row],[qno]]),VALUE(stable[qno]),0))</f>
        <v>0</v>
      </c>
      <c r="Q486" s="33" t="b" cm="1">
        <f t="array" ref="Q486">INDEX(stable[is_multi_select],MATCH(VALUE(questions[[#This Row],[qno]]),VALUE(stable[qno]),0))</f>
        <v>0</v>
      </c>
      <c r="R486" s="33" t="b" cm="1">
        <f t="array" ref="R486">INDEX(stable[is_skip_logic],MATCH(VALUE(questions[[#This Row],[qno]]),VALUE(stable[qno]),0))</f>
        <v>0</v>
      </c>
      <c r="S486" s="33" t="str">
        <f>_xlfn.TEXTJOIN(", ",TRUE,questions[[#This Row],[ans_opt_1]:[ans_opt_14]])</f>
        <v/>
      </c>
      <c r="T486" s="33"/>
      <c r="U486" s="33"/>
      <c r="V486" s="33"/>
      <c r="W486" s="33"/>
      <c r="X486" s="33"/>
      <c r="Y486" s="33"/>
      <c r="Z486" s="33"/>
      <c r="AA486" s="33"/>
      <c r="AB486" s="33"/>
      <c r="AC486" s="33"/>
      <c r="AD486" s="33"/>
      <c r="AE486" s="33"/>
      <c r="AF486" s="33"/>
      <c r="AG486" s="33"/>
      <c r="AH486" s="99" t="b">
        <f>INDEX(stable[q_standard],MATCH(questions[[#This Row],[qno]],stable[qno],0))</f>
        <v>0</v>
      </c>
      <c r="AI486" s="99" t="b">
        <f>INDEX(stable[q_living_income],MATCH(questions[[#This Row],[qno]],stable[qno],0))</f>
        <v>0</v>
      </c>
      <c r="AJ486" s="99" t="b">
        <f>INDEX(stable[q_carbon],MATCH(questions[[#This Row],[qno]],stable[qno],0))</f>
        <v>0</v>
      </c>
      <c r="AK486" s="99" t="b">
        <f>INDEX(stable[q_regen_ag],MATCH(questions[[#This Row],[qno]],stable[qno],0))</f>
        <v>1</v>
      </c>
      <c r="AL486" s="16" t="b">
        <f>COUNTIFS(stable[qno],questions[[#This Row],[qno]])=1</f>
        <v>1</v>
      </c>
      <c r="AM486" s="16" t="b">
        <f>OR(questions[[#This Row],[is_fixed]],questions[[#This Row],[is_localized]],questions[[#This Row],[is_supply_chain_dependent]])</f>
        <v>1</v>
      </c>
      <c r="AN486" s="16" t="b">
        <f>COUNTIFS(questions[[#This Row],[is_automated]:[is_multi_select]],TRUE)=1</f>
        <v>1</v>
      </c>
      <c r="AO486" s="16" t="b">
        <f>IF(questions[[#This Row],[is_fixed]],questions[[#This Row],[question]]=INDEX(stable[question],MATCH(questions[[#This Row],[qno]],stable[qno],0)),TRUE)</f>
        <v>1</v>
      </c>
      <c r="AP486" s="16" t="str">
        <f>LEFT(questions[[#This Row],[question]],similarity_range)</f>
        <v>How many different s</v>
      </c>
      <c r="AQ486" s="16" t="str">
        <f>LEFT(INDEX(stable[question],MATCH(questions[[#This Row],[qno]],stable[qno],0)),similarity_range)</f>
        <v>How many different s</v>
      </c>
      <c r="AR486" s="16" t="b">
        <f>questions[[#This Row],[question_first_characters]]=questions[[#This Row],[stability_first_characters]]</f>
        <v>1</v>
      </c>
      <c r="AS486" s="16" t="b">
        <f>IF(OR(questions[[#This Row],[is_single_select]],questions[[#This Row],[is_multi_select]]),NOT(ISBLANK(questions[[#This Row],[answer_opt_combined]])),TRUE)</f>
        <v>1</v>
      </c>
    </row>
    <row r="487" spans="1:45" x14ac:dyDescent="0.25">
      <c r="A487" s="33" t="str">
        <f>_xlfn.TEXTJOIN("_",TRUE,questions[[#This Row],[origin]:[qno]])</f>
        <v>Vietnam_Robusta_Lam_Dong_Nestlé_IMPACT_7503</v>
      </c>
      <c r="B487" s="33" t="s">
        <v>673</v>
      </c>
      <c r="C487" s="33" t="s">
        <v>674</v>
      </c>
      <c r="D487" s="33" t="s">
        <v>675</v>
      </c>
      <c r="E487" s="33"/>
      <c r="F487" s="34" t="s">
        <v>474</v>
      </c>
      <c r="G487" s="18" t="s">
        <v>475</v>
      </c>
      <c r="H487" s="33" t="str" cm="1">
        <f t="array" ref="H487">INDEX(stableR[question],MATCH(VALUE(questions[[#This Row],[qno]]),VALUE(stableR[qno]),0))</f>
        <v>Can you estimate how many shade trees (including fruit and other trees) you have in your coffee plots, in total (inside and boundary trees)?</v>
      </c>
      <c r="I487" s="33" t="b" cm="1">
        <f t="array" ref="I487">INDEX(stable[is_fixed],MATCH(VALUE(questions[[#This Row],[qno]]),VALUE(stable[qno]),0))</f>
        <v>1</v>
      </c>
      <c r="J487" s="33" t="b" cm="1">
        <f t="array" ref="J487">INDEX(stable[is_localized],MATCH(VALUE(questions[[#This Row],[qno]]),VALUE(stable[qno]),0))</f>
        <v>0</v>
      </c>
      <c r="K487" s="33" t="b" cm="1">
        <f t="array" ref="K487">INDEX(stable[is_supply_chain_dependent],MATCH(VALUE(questions[[#This Row],[qno]]),VALUE(stable[qno]),0))</f>
        <v>0</v>
      </c>
      <c r="L487" s="33" t="b" cm="1">
        <f t="array" ref="L487">INDEX(stable[is_mandatory],MATCH(VALUE(questions[[#This Row],[qno]]),VALUE(stable[qno]),0))</f>
        <v>0</v>
      </c>
      <c r="M487" s="33" t="b" cm="1">
        <f t="array" ref="M487">INDEX(stable[is_automated],MATCH(VALUE(questions[[#This Row],[qno]]),VALUE(stable[qno]),0))</f>
        <v>0</v>
      </c>
      <c r="N487" s="33" t="b" cm="1">
        <f t="array" ref="N487">INDEX(stable[is_free_text],MATCH(VALUE(questions[[#This Row],[qno]]),VALUE(stable[qno]),0))</f>
        <v>0</v>
      </c>
      <c r="O487" s="33" t="b" cm="1">
        <f t="array" ref="O487">INDEX(stable[is_numerical],MATCH(VALUE(questions[[#This Row],[qno]]),VALUE(stable[qno]),0))</f>
        <v>1</v>
      </c>
      <c r="P487" s="35" t="b" cm="1">
        <f t="array" ref="P487">INDEX(stable[is_single_select],MATCH(VALUE(questions[[#This Row],[qno]]),VALUE(stable[qno]),0))</f>
        <v>0</v>
      </c>
      <c r="Q487" s="33" t="b" cm="1">
        <f t="array" ref="Q487">INDEX(stable[is_multi_select],MATCH(VALUE(questions[[#This Row],[qno]]),VALUE(stable[qno]),0))</f>
        <v>0</v>
      </c>
      <c r="R487" s="33" t="b" cm="1">
        <f t="array" ref="R487">INDEX(stable[is_skip_logic],MATCH(VALUE(questions[[#This Row],[qno]]),VALUE(stable[qno]),0))</f>
        <v>0</v>
      </c>
      <c r="S487" s="33" t="str">
        <f>_xlfn.TEXTJOIN(", ",TRUE,questions[[#This Row],[ans_opt_1]:[ans_opt_14]])</f>
        <v/>
      </c>
      <c r="T487" s="33"/>
      <c r="U487" s="33"/>
      <c r="V487" s="33"/>
      <c r="W487" s="33"/>
      <c r="X487" s="33"/>
      <c r="Y487" s="33"/>
      <c r="Z487" s="33"/>
      <c r="AA487" s="33"/>
      <c r="AB487" s="33"/>
      <c r="AC487" s="33"/>
      <c r="AD487" s="33"/>
      <c r="AE487" s="33"/>
      <c r="AF487" s="33"/>
      <c r="AG487" s="33"/>
      <c r="AH487" s="99" t="b">
        <f>INDEX(stable[q_standard],MATCH(questions[[#This Row],[qno]],stable[qno],0))</f>
        <v>0</v>
      </c>
      <c r="AI487" s="99" t="b">
        <f>INDEX(stable[q_living_income],MATCH(questions[[#This Row],[qno]],stable[qno],0))</f>
        <v>0</v>
      </c>
      <c r="AJ487" s="99" t="b">
        <f>INDEX(stable[q_carbon],MATCH(questions[[#This Row],[qno]],stable[qno],0))</f>
        <v>0</v>
      </c>
      <c r="AK487" s="99" t="b">
        <f>INDEX(stable[q_regen_ag],MATCH(questions[[#This Row],[qno]],stable[qno],0))</f>
        <v>1</v>
      </c>
      <c r="AL487" s="16" t="b">
        <f>COUNTIFS(stable[qno],questions[[#This Row],[qno]])=1</f>
        <v>1</v>
      </c>
      <c r="AM487" s="16" t="b">
        <f>OR(questions[[#This Row],[is_fixed]],questions[[#This Row],[is_localized]],questions[[#This Row],[is_supply_chain_dependent]])</f>
        <v>1</v>
      </c>
      <c r="AN487" s="16" t="b">
        <f>COUNTIFS(questions[[#This Row],[is_automated]:[is_multi_select]],TRUE)=1</f>
        <v>1</v>
      </c>
      <c r="AO487" s="16" t="b">
        <f>IF(questions[[#This Row],[is_fixed]],questions[[#This Row],[question]]=INDEX(stable[question],MATCH(questions[[#This Row],[qno]],stable[qno],0)),TRUE)</f>
        <v>1</v>
      </c>
      <c r="AP487" s="16" t="str">
        <f>LEFT(questions[[#This Row],[question]],similarity_range)</f>
        <v>Can you estimate how</v>
      </c>
      <c r="AQ487" s="16" t="str">
        <f>LEFT(INDEX(stable[question],MATCH(questions[[#This Row],[qno]],stable[qno],0)),similarity_range)</f>
        <v>Can you estimate how</v>
      </c>
      <c r="AR487" s="16" t="b">
        <f>questions[[#This Row],[question_first_characters]]=questions[[#This Row],[stability_first_characters]]</f>
        <v>1</v>
      </c>
      <c r="AS487" s="16" t="b">
        <f>IF(OR(questions[[#This Row],[is_single_select]],questions[[#This Row],[is_multi_select]]),NOT(ISBLANK(questions[[#This Row],[answer_opt_combined]])),TRUE)</f>
        <v>1</v>
      </c>
    </row>
    <row r="488" spans="1:45" s="77" customFormat="1" x14ac:dyDescent="0.25">
      <c r="A488" s="77" t="str">
        <f>_xlfn.TEXTJOIN("_",TRUE,questions[[#This Row],[origin]:[qno]])</f>
        <v>Vietnam_Robusta_Lam_Dong_Nestlé_IMPACT_7504</v>
      </c>
      <c r="B488" s="77" t="s">
        <v>673</v>
      </c>
      <c r="C488" s="77" t="s">
        <v>674</v>
      </c>
      <c r="D488" s="77" t="s">
        <v>675</v>
      </c>
      <c r="F488" s="104" t="s">
        <v>476</v>
      </c>
      <c r="G488" s="78" t="s">
        <v>477</v>
      </c>
      <c r="H488" s="33" t="str" cm="1">
        <f t="array" ref="H488">INDEX(stableR[question],MATCH(VALUE(questions[[#This Row],[qno]]),VALUE(stableR[qno]),0))</f>
        <v>What describes best the size of these shade trees?</v>
      </c>
      <c r="I488" s="33" t="b" cm="1">
        <f t="array" ref="I488">INDEX(stable[is_fixed],MATCH(VALUE(questions[[#This Row],[qno]]),VALUE(stable[qno]),0))</f>
        <v>1</v>
      </c>
      <c r="J488" s="33" t="b" cm="1">
        <f t="array" ref="J488">INDEX(stable[is_localized],MATCH(VALUE(questions[[#This Row],[qno]]),VALUE(stable[qno]),0))</f>
        <v>0</v>
      </c>
      <c r="K488" s="33" t="b" cm="1">
        <f t="array" ref="K488">INDEX(stable[is_supply_chain_dependent],MATCH(VALUE(questions[[#This Row],[qno]]),VALUE(stable[qno]),0))</f>
        <v>0</v>
      </c>
      <c r="L488" s="33" t="b" cm="1">
        <f t="array" ref="L488">INDEX(stable[is_mandatory],MATCH(VALUE(questions[[#This Row],[qno]]),VALUE(stable[qno]),0))</f>
        <v>0</v>
      </c>
      <c r="M488" s="33" t="b" cm="1">
        <f t="array" ref="M488">INDEX(stable[is_automated],MATCH(VALUE(questions[[#This Row],[qno]]),VALUE(stable[qno]),0))</f>
        <v>0</v>
      </c>
      <c r="N488" s="33" t="b" cm="1">
        <f t="array" ref="N488">INDEX(stable[is_free_text],MATCH(VALUE(questions[[#This Row],[qno]]),VALUE(stable[qno]),0))</f>
        <v>0</v>
      </c>
      <c r="O488" s="33" t="b" cm="1">
        <f t="array" ref="O488">INDEX(stable[is_numerical],MATCH(VALUE(questions[[#This Row],[qno]]),VALUE(stable[qno]),0))</f>
        <v>0</v>
      </c>
      <c r="P488" s="103" t="b" cm="1">
        <f t="array" ref="P488">INDEX(stable[is_single_select],MATCH(VALUE(questions[[#This Row],[qno]]),VALUE(stable[qno]),0))</f>
        <v>1</v>
      </c>
      <c r="Q488" s="77" t="b" cm="1">
        <f t="array" ref="Q488">INDEX(stable[is_multi_select],MATCH(VALUE(questions[[#This Row],[qno]]),VALUE(stable[qno]),0))</f>
        <v>0</v>
      </c>
      <c r="R488" s="77" t="b" cm="1">
        <f t="array" ref="R488">INDEX(stable[is_skip_logic],MATCH(VALUE(questions[[#This Row],[qno]]),VALUE(stable[qno]),0))</f>
        <v>0</v>
      </c>
      <c r="S488" s="77" t="str">
        <f>_xlfn.TEXTJOIN(", ",TRUE,questions[[#This Row],[ans_opt_1]:[ans_opt_14]])</f>
        <v>Big sized, full grown, shade trees, Medium sized shade trees- including fruit trees, Multipurpose mix of trees(different types &amp; sizes)</v>
      </c>
      <c r="T488" s="77" t="s">
        <v>478</v>
      </c>
      <c r="U488" s="77" t="s">
        <v>479</v>
      </c>
      <c r="V488" s="77" t="s">
        <v>480</v>
      </c>
      <c r="AH488" s="98" t="b">
        <f>INDEX(stable[q_standard],MATCH(questions[[#This Row],[qno]],stable[qno],0))</f>
        <v>0</v>
      </c>
      <c r="AI488" s="98" t="b">
        <f>INDEX(stable[q_living_income],MATCH(questions[[#This Row],[qno]],stable[qno],0))</f>
        <v>0</v>
      </c>
      <c r="AJ488" s="98" t="b">
        <f>INDEX(stable[q_carbon],MATCH(questions[[#This Row],[qno]],stable[qno],0))</f>
        <v>0</v>
      </c>
      <c r="AK488" s="98" t="b">
        <f>INDEX(stable[q_regen_ag],MATCH(questions[[#This Row],[qno]],stable[qno],0))</f>
        <v>1</v>
      </c>
      <c r="AL488" s="98" t="b">
        <f>COUNTIFS(stable[qno],questions[[#This Row],[qno]])=1</f>
        <v>1</v>
      </c>
      <c r="AM488" s="98" t="b">
        <f>OR(questions[[#This Row],[is_fixed]],questions[[#This Row],[is_localized]],questions[[#This Row],[is_supply_chain_dependent]])</f>
        <v>1</v>
      </c>
      <c r="AN488" s="98" t="b">
        <f>COUNTIFS(questions[[#This Row],[is_automated]:[is_multi_select]],TRUE)=1</f>
        <v>1</v>
      </c>
      <c r="AO488" s="98" t="b">
        <f>IF(questions[[#This Row],[is_fixed]],questions[[#This Row],[question]]=INDEX(stable[question],MATCH(questions[[#This Row],[qno]],stable[qno],0)),TRUE)</f>
        <v>1</v>
      </c>
      <c r="AP488" s="98" t="str">
        <f>LEFT(questions[[#This Row],[question]],similarity_range)</f>
        <v xml:space="preserve">What describes best </v>
      </c>
      <c r="AQ488" s="98" t="str">
        <f>LEFT(INDEX(stable[question],MATCH(questions[[#This Row],[qno]],stable[qno],0)),similarity_range)</f>
        <v xml:space="preserve">What describes best </v>
      </c>
      <c r="AR488" s="98" t="b">
        <f>questions[[#This Row],[question_first_characters]]=questions[[#This Row],[stability_first_characters]]</f>
        <v>1</v>
      </c>
      <c r="AS488" s="98" t="b">
        <f>IF(OR(questions[[#This Row],[is_single_select]],questions[[#This Row],[is_multi_select]]),NOT(ISBLANK(questions[[#This Row],[answer_opt_combined]])),TRUE)</f>
        <v>1</v>
      </c>
    </row>
    <row r="489" spans="1:45" s="77" customFormat="1" x14ac:dyDescent="0.25">
      <c r="A489" s="77" t="str">
        <f>_xlfn.TEXTJOIN("_",TRUE,questions[[#This Row],[origin]:[qno]])</f>
        <v>Vietnam_Robusta_Lam_Dong_Nestlé_IMPACT_7600</v>
      </c>
      <c r="B489" s="77" t="s">
        <v>673</v>
      </c>
      <c r="C489" s="77" t="s">
        <v>674</v>
      </c>
      <c r="D489" s="77" t="s">
        <v>675</v>
      </c>
      <c r="F489" s="104" t="s">
        <v>481</v>
      </c>
      <c r="G489" s="78" t="s">
        <v>482</v>
      </c>
      <c r="H489" s="33" t="str" cm="1">
        <f t="array" ref="H489">INDEX(stableR[question],MATCH(VALUE(questions[[#This Row],[qno]]),VALUE(stableR[qno]),0))</f>
        <v>Do you keep bee hives in your farm (own bee hives or termporary during flowering season)?</v>
      </c>
      <c r="I489" s="33" t="b" cm="1">
        <f t="array" ref="I489">INDEX(stable[is_fixed],MATCH(VALUE(questions[[#This Row],[qno]]),VALUE(stable[qno]),0))</f>
        <v>1</v>
      </c>
      <c r="J489" s="33" t="b" cm="1">
        <f t="array" ref="J489">INDEX(stable[is_localized],MATCH(VALUE(questions[[#This Row],[qno]]),VALUE(stable[qno]),0))</f>
        <v>0</v>
      </c>
      <c r="K489" s="33" t="b" cm="1">
        <f t="array" ref="K489">INDEX(stable[is_supply_chain_dependent],MATCH(VALUE(questions[[#This Row],[qno]]),VALUE(stable[qno]),0))</f>
        <v>0</v>
      </c>
      <c r="L489" s="33" t="b" cm="1">
        <f t="array" ref="L489">INDEX(stable[is_mandatory],MATCH(VALUE(questions[[#This Row],[qno]]),VALUE(stable[qno]),0))</f>
        <v>1</v>
      </c>
      <c r="M489" s="33" t="b" cm="1">
        <f t="array" ref="M489">INDEX(stable[is_automated],MATCH(VALUE(questions[[#This Row],[qno]]),VALUE(stable[qno]),0))</f>
        <v>0</v>
      </c>
      <c r="N489" s="33" t="b" cm="1">
        <f t="array" ref="N489">INDEX(stable[is_free_text],MATCH(VALUE(questions[[#This Row],[qno]]),VALUE(stable[qno]),0))</f>
        <v>0</v>
      </c>
      <c r="O489" s="33" t="b" cm="1">
        <f t="array" ref="O489">INDEX(stable[is_numerical],MATCH(VALUE(questions[[#This Row],[qno]]),VALUE(stable[qno]),0))</f>
        <v>0</v>
      </c>
      <c r="P489" s="103" t="b" cm="1">
        <f t="array" ref="P489">INDEX(stable[is_single_select],MATCH(VALUE(questions[[#This Row],[qno]]),VALUE(stable[qno]),0))</f>
        <v>1</v>
      </c>
      <c r="Q489" s="77" t="b" cm="1">
        <f t="array" ref="Q489">INDEX(stable[is_multi_select],MATCH(VALUE(questions[[#This Row],[qno]]),VALUE(stable[qno]),0))</f>
        <v>0</v>
      </c>
      <c r="R489" s="77" t="b" cm="1">
        <f t="array" ref="R489">INDEX(stable[is_skip_logic],MATCH(VALUE(questions[[#This Row],[qno]]),VALUE(stable[qno]),0))</f>
        <v>0</v>
      </c>
      <c r="S489" s="77" t="str">
        <f>_xlfn.TEXTJOIN(", ",TRUE,questions[[#This Row],[ans_opt_1]:[ans_opt_14]])</f>
        <v>Yes, No</v>
      </c>
      <c r="T489" s="77" t="s">
        <v>149</v>
      </c>
      <c r="U489" s="77" t="s">
        <v>119</v>
      </c>
      <c r="AH489" s="98" t="b">
        <f>INDEX(stable[q_standard],MATCH(questions[[#This Row],[qno]],stable[qno],0))</f>
        <v>0</v>
      </c>
      <c r="AI489" s="98" t="b">
        <f>INDEX(stable[q_living_income],MATCH(questions[[#This Row],[qno]],stable[qno],0))</f>
        <v>0</v>
      </c>
      <c r="AJ489" s="98" t="b">
        <f>INDEX(stable[q_carbon],MATCH(questions[[#This Row],[qno]],stable[qno],0))</f>
        <v>0</v>
      </c>
      <c r="AK489" s="98" t="b">
        <f>INDEX(stable[q_regen_ag],MATCH(questions[[#This Row],[qno]],stable[qno],0))</f>
        <v>1</v>
      </c>
      <c r="AL489" s="98" t="b">
        <f>COUNTIFS(stable[qno],questions[[#This Row],[qno]])=1</f>
        <v>1</v>
      </c>
      <c r="AM489" s="98" t="b">
        <f>OR(questions[[#This Row],[is_fixed]],questions[[#This Row],[is_localized]],questions[[#This Row],[is_supply_chain_dependent]])</f>
        <v>1</v>
      </c>
      <c r="AN489" s="98" t="b">
        <f>COUNTIFS(questions[[#This Row],[is_automated]:[is_multi_select]],TRUE)=1</f>
        <v>1</v>
      </c>
      <c r="AO489" s="98" t="b">
        <f>IF(questions[[#This Row],[is_fixed]],questions[[#This Row],[question]]=INDEX(stable[question],MATCH(questions[[#This Row],[qno]],stable[qno],0)),TRUE)</f>
        <v>1</v>
      </c>
      <c r="AP489" s="98" t="str">
        <f>LEFT(questions[[#This Row],[question]],similarity_range)</f>
        <v>Do you keep bee hive</v>
      </c>
      <c r="AQ489" s="98" t="str">
        <f>LEFT(INDEX(stable[question],MATCH(questions[[#This Row],[qno]],stable[qno],0)),similarity_range)</f>
        <v>Do you keep bee hive</v>
      </c>
      <c r="AR489" s="98" t="b">
        <f>questions[[#This Row],[question_first_characters]]=questions[[#This Row],[stability_first_characters]]</f>
        <v>1</v>
      </c>
      <c r="AS489" s="98" t="b">
        <f>IF(OR(questions[[#This Row],[is_single_select]],questions[[#This Row],[is_multi_select]]),NOT(ISBLANK(questions[[#This Row],[answer_opt_combined]])),TRUE)</f>
        <v>1</v>
      </c>
    </row>
    <row r="490" spans="1:45" s="77" customFormat="1" x14ac:dyDescent="0.25">
      <c r="A490" s="77" t="str">
        <f>_xlfn.TEXTJOIN("_",TRUE,questions[[#This Row],[origin]:[qno]])</f>
        <v>Vietnam_Robusta_Lam_Dong_Nestlé_IMPACT_7700</v>
      </c>
      <c r="B490" s="77" t="s">
        <v>673</v>
      </c>
      <c r="C490" s="77" t="s">
        <v>674</v>
      </c>
      <c r="D490" s="77" t="s">
        <v>675</v>
      </c>
      <c r="F490" s="104" t="s">
        <v>483</v>
      </c>
      <c r="G490" s="77" t="s">
        <v>484</v>
      </c>
      <c r="H490" s="33" t="str" cm="1">
        <f t="array" ref="H490">INDEX(stableR[question],MATCH(VALUE(questions[[#This Row],[qno]]),VALUE(stableR[qno]),0))</f>
        <v>Do you have riparian areas (a buffer area or strip of vegetation along the bank of a stream or river that spatially separates agricultural land from the water) in your coffee plots and/or its boundaries and how many?  If the answer is NO, you do not need to answer the next question.</v>
      </c>
      <c r="I490" s="33" t="b" cm="1">
        <f t="array" ref="I490">INDEX(stable[is_fixed],MATCH(VALUE(questions[[#This Row],[qno]]),VALUE(stable[qno]),0))</f>
        <v>1</v>
      </c>
      <c r="J490" s="33" t="b" cm="1">
        <f t="array" ref="J490">INDEX(stable[is_localized],MATCH(VALUE(questions[[#This Row],[qno]]),VALUE(stable[qno]),0))</f>
        <v>0</v>
      </c>
      <c r="K490" s="33" t="b" cm="1">
        <f t="array" ref="K490">INDEX(stable[is_supply_chain_dependent],MATCH(VALUE(questions[[#This Row],[qno]]),VALUE(stable[qno]),0))</f>
        <v>0</v>
      </c>
      <c r="L490" s="33" t="b" cm="1">
        <f t="array" ref="L490">INDEX(stable[is_mandatory],MATCH(VALUE(questions[[#This Row],[qno]]),VALUE(stable[qno]),0))</f>
        <v>1</v>
      </c>
      <c r="M490" s="33" t="b" cm="1">
        <f t="array" ref="M490">INDEX(stable[is_automated],MATCH(VALUE(questions[[#This Row],[qno]]),VALUE(stable[qno]),0))</f>
        <v>0</v>
      </c>
      <c r="N490" s="33" t="b" cm="1">
        <f t="array" ref="N490">INDEX(stable[is_free_text],MATCH(VALUE(questions[[#This Row],[qno]]),VALUE(stable[qno]),0))</f>
        <v>0</v>
      </c>
      <c r="O490" s="33" t="b" cm="1">
        <f t="array" ref="O490">INDEX(stable[is_numerical],MATCH(VALUE(questions[[#This Row],[qno]]),VALUE(stable[qno]),0))</f>
        <v>0</v>
      </c>
      <c r="P490" s="103" t="b" cm="1">
        <f t="array" ref="P490">INDEX(stable[is_single_select],MATCH(VALUE(questions[[#This Row],[qno]]),VALUE(stable[qno]),0))</f>
        <v>1</v>
      </c>
      <c r="Q490" s="77" t="b" cm="1">
        <f t="array" ref="Q490">INDEX(stable[is_multi_select],MATCH(VALUE(questions[[#This Row],[qno]]),VALUE(stable[qno]),0))</f>
        <v>0</v>
      </c>
      <c r="R490" s="77" t="b" cm="1">
        <f t="array" ref="R490">INDEX(stable[is_skip_logic],MATCH(VALUE(questions[[#This Row],[qno]]),VALUE(stable[qno]),0))</f>
        <v>0</v>
      </c>
      <c r="S490" s="77" t="str">
        <f>_xlfn.TEXTJOIN(", ",TRUE,questions[[#This Row],[ans_opt_1]:[ans_opt_14]])</f>
        <v>No, Yes -1 stream/river, Yes -2 streams/rivers, Yes -3 streams/rivers, Yes -4 streams/rivers, Yes -5 streams/rivers</v>
      </c>
      <c r="T490" s="77" t="s">
        <v>119</v>
      </c>
      <c r="U490" s="77" t="s">
        <v>485</v>
      </c>
      <c r="V490" s="77" t="s">
        <v>486</v>
      </c>
      <c r="W490" s="77" t="s">
        <v>487</v>
      </c>
      <c r="X490" s="77" t="s">
        <v>488</v>
      </c>
      <c r="Y490" s="77" t="s">
        <v>489</v>
      </c>
      <c r="AH490" s="98" t="b">
        <f>INDEX(stable[q_standard],MATCH(questions[[#This Row],[qno]],stable[qno],0))</f>
        <v>0</v>
      </c>
      <c r="AI490" s="98" t="b">
        <f>INDEX(stable[q_living_income],MATCH(questions[[#This Row],[qno]],stable[qno],0))</f>
        <v>0</v>
      </c>
      <c r="AJ490" s="98" t="b">
        <f>INDEX(stable[q_carbon],MATCH(questions[[#This Row],[qno]],stable[qno],0))</f>
        <v>0</v>
      </c>
      <c r="AK490" s="98" t="b">
        <f>INDEX(stable[q_regen_ag],MATCH(questions[[#This Row],[qno]],stable[qno],0))</f>
        <v>1</v>
      </c>
      <c r="AL490" s="98" t="b">
        <f>COUNTIFS(stable[qno],questions[[#This Row],[qno]])=1</f>
        <v>1</v>
      </c>
      <c r="AM490" s="98" t="b">
        <f>OR(questions[[#This Row],[is_fixed]],questions[[#This Row],[is_localized]],questions[[#This Row],[is_supply_chain_dependent]])</f>
        <v>1</v>
      </c>
      <c r="AN490" s="98" t="b">
        <f>COUNTIFS(questions[[#This Row],[is_automated]:[is_multi_select]],TRUE)=1</f>
        <v>1</v>
      </c>
      <c r="AO490" s="98" t="b">
        <f>IF(questions[[#This Row],[is_fixed]],questions[[#This Row],[question]]=INDEX(stable[question],MATCH(questions[[#This Row],[qno]],stable[qno],0)),TRUE)</f>
        <v>1</v>
      </c>
      <c r="AP490" s="98" t="str">
        <f>LEFT(questions[[#This Row],[question]],similarity_range)</f>
        <v>Do you have riparian</v>
      </c>
      <c r="AQ490" s="98" t="str">
        <f>LEFT(INDEX(stable[question],MATCH(questions[[#This Row],[qno]],stable[qno],0)),similarity_range)</f>
        <v>Do you have riparian</v>
      </c>
      <c r="AR490" s="98" t="b">
        <f>questions[[#This Row],[question_first_characters]]=questions[[#This Row],[stability_first_characters]]</f>
        <v>1</v>
      </c>
      <c r="AS490" s="98" t="b">
        <f>IF(OR(questions[[#This Row],[is_single_select]],questions[[#This Row],[is_multi_select]]),NOT(ISBLANK(questions[[#This Row],[answer_opt_combined]])),TRUE)</f>
        <v>1</v>
      </c>
    </row>
    <row r="491" spans="1:45" s="77" customFormat="1" x14ac:dyDescent="0.25">
      <c r="A491" s="77" t="str">
        <f>_xlfn.TEXTJOIN("_",TRUE,questions[[#This Row],[origin]:[qno]])</f>
        <v>Vietnam_Robusta_Lam_Dong_Nestlé_IMPACT_7701</v>
      </c>
      <c r="B491" s="77" t="s">
        <v>673</v>
      </c>
      <c r="C491" s="77" t="s">
        <v>674</v>
      </c>
      <c r="D491" s="77" t="s">
        <v>675</v>
      </c>
      <c r="F491" s="104" t="s">
        <v>490</v>
      </c>
      <c r="G491" s="78" t="s">
        <v>491</v>
      </c>
      <c r="H491" s="33" t="str" cm="1">
        <f t="array" ref="H491">INDEX(stableR[question],MATCH(VALUE(questions[[#This Row],[qno]]),VALUE(stableR[qno]),0))</f>
        <v>How many of the riparian areas in your coffee plots are covered/protected with natural vegetation</v>
      </c>
      <c r="I491" s="33" t="b" cm="1">
        <f t="array" ref="I491">INDEX(stable[is_fixed],MATCH(VALUE(questions[[#This Row],[qno]]),VALUE(stable[qno]),0))</f>
        <v>1</v>
      </c>
      <c r="J491" s="33" t="b" cm="1">
        <f t="array" ref="J491">INDEX(stable[is_localized],MATCH(VALUE(questions[[#This Row],[qno]]),VALUE(stable[qno]),0))</f>
        <v>0</v>
      </c>
      <c r="K491" s="33" t="b" cm="1">
        <f t="array" ref="K491">INDEX(stable[is_supply_chain_dependent],MATCH(VALUE(questions[[#This Row],[qno]]),VALUE(stable[qno]),0))</f>
        <v>0</v>
      </c>
      <c r="L491" s="33" t="b" cm="1">
        <f t="array" ref="L491">INDEX(stable[is_mandatory],MATCH(VALUE(questions[[#This Row],[qno]]),VALUE(stable[qno]),0))</f>
        <v>0</v>
      </c>
      <c r="M491" s="33" t="b" cm="1">
        <f t="array" ref="M491">INDEX(stable[is_automated],MATCH(VALUE(questions[[#This Row],[qno]]),VALUE(stable[qno]),0))</f>
        <v>0</v>
      </c>
      <c r="N491" s="33" t="b" cm="1">
        <f t="array" ref="N491">INDEX(stable[is_free_text],MATCH(VALUE(questions[[#This Row],[qno]]),VALUE(stable[qno]),0))</f>
        <v>0</v>
      </c>
      <c r="O491" s="33" t="b" cm="1">
        <f t="array" ref="O491">INDEX(stable[is_numerical],MATCH(VALUE(questions[[#This Row],[qno]]),VALUE(stable[qno]),0))</f>
        <v>0</v>
      </c>
      <c r="P491" s="103" t="b" cm="1">
        <f t="array" ref="P491">INDEX(stable[is_single_select],MATCH(VALUE(questions[[#This Row],[qno]]),VALUE(stable[qno]),0))</f>
        <v>1</v>
      </c>
      <c r="Q491" s="77" t="b" cm="1">
        <f t="array" ref="Q491">INDEX(stable[is_multi_select],MATCH(VALUE(questions[[#This Row],[qno]]),VALUE(stable[qno]),0))</f>
        <v>0</v>
      </c>
      <c r="R491" s="77" t="b" cm="1">
        <f t="array" ref="R491">INDEX(stable[is_skip_logic],MATCH(VALUE(questions[[#This Row],[qno]]),VALUE(stable[qno]),0))</f>
        <v>0</v>
      </c>
      <c r="S491" s="77" t="str">
        <f>_xlfn.TEXTJOIN(", ",TRUE,questions[[#This Row],[ans_opt_1]:[ans_opt_14]])</f>
        <v>All, Some</v>
      </c>
      <c r="T491" s="77" t="s">
        <v>492</v>
      </c>
      <c r="U491" s="77" t="s">
        <v>493</v>
      </c>
      <c r="AH491" s="98" t="b">
        <f>INDEX(stable[q_standard],MATCH(questions[[#This Row],[qno]],stable[qno],0))</f>
        <v>0</v>
      </c>
      <c r="AI491" s="98" t="b">
        <f>INDEX(stable[q_living_income],MATCH(questions[[#This Row],[qno]],stable[qno],0))</f>
        <v>0</v>
      </c>
      <c r="AJ491" s="98" t="b">
        <f>INDEX(stable[q_carbon],MATCH(questions[[#This Row],[qno]],stable[qno],0))</f>
        <v>0</v>
      </c>
      <c r="AK491" s="98" t="b">
        <f>INDEX(stable[q_regen_ag],MATCH(questions[[#This Row],[qno]],stable[qno],0))</f>
        <v>1</v>
      </c>
      <c r="AL491" s="98" t="b">
        <f>COUNTIFS(stable[qno],questions[[#This Row],[qno]])=1</f>
        <v>1</v>
      </c>
      <c r="AM491" s="98" t="b">
        <f>OR(questions[[#This Row],[is_fixed]],questions[[#This Row],[is_localized]],questions[[#This Row],[is_supply_chain_dependent]])</f>
        <v>1</v>
      </c>
      <c r="AN491" s="98" t="b">
        <f>COUNTIFS(questions[[#This Row],[is_automated]:[is_multi_select]],TRUE)=1</f>
        <v>1</v>
      </c>
      <c r="AO491" s="98" t="b">
        <f>IF(questions[[#This Row],[is_fixed]],questions[[#This Row],[question]]=INDEX(stable[question],MATCH(questions[[#This Row],[qno]],stable[qno],0)),TRUE)</f>
        <v>1</v>
      </c>
      <c r="AP491" s="98" t="str">
        <f>LEFT(questions[[#This Row],[question]],similarity_range)</f>
        <v>How many of the ripa</v>
      </c>
      <c r="AQ491" s="98" t="str">
        <f>LEFT(INDEX(stable[question],MATCH(questions[[#This Row],[qno]],stable[qno],0)),similarity_range)</f>
        <v>How many of the ripa</v>
      </c>
      <c r="AR491" s="98" t="b">
        <f>questions[[#This Row],[question_first_characters]]=questions[[#This Row],[stability_first_characters]]</f>
        <v>1</v>
      </c>
      <c r="AS491" s="98" t="b">
        <f>IF(OR(questions[[#This Row],[is_single_select]],questions[[#This Row],[is_multi_select]]),NOT(ISBLANK(questions[[#This Row],[answer_opt_combined]])),TRUE)</f>
        <v>1</v>
      </c>
    </row>
    <row r="492" spans="1:45" s="77" customFormat="1" x14ac:dyDescent="0.25">
      <c r="A492" s="77" t="str">
        <f>_xlfn.TEXTJOIN("_",TRUE,questions[[#This Row],[origin]:[qno]])</f>
        <v>Vietnam_Robusta_Lam_Dong_Nestlé_IMPACT_8000</v>
      </c>
      <c r="B492" s="77" t="s">
        <v>673</v>
      </c>
      <c r="C492" s="77" t="s">
        <v>674</v>
      </c>
      <c r="D492" s="77" t="s">
        <v>675</v>
      </c>
      <c r="F492" s="104" t="s">
        <v>494</v>
      </c>
      <c r="G492" s="78" t="s">
        <v>495</v>
      </c>
      <c r="H492" s="33" t="str" cm="1">
        <f t="array" ref="H492">INDEX(stableR[question],MATCH(VALUE(questions[[#This Row],[qno]]),VALUE(stableR[qno]),0))</f>
        <v>What describes the soil type best in the coffee plot of the farmer (please observe your self)</v>
      </c>
      <c r="I492" s="33" t="b" cm="1">
        <f t="array" ref="I492">INDEX(stable[is_fixed],MATCH(VALUE(questions[[#This Row],[qno]]),VALUE(stable[qno]),0))</f>
        <v>1</v>
      </c>
      <c r="J492" s="33" t="b" cm="1">
        <f t="array" ref="J492">INDEX(stable[is_localized],MATCH(VALUE(questions[[#This Row],[qno]]),VALUE(stable[qno]),0))</f>
        <v>0</v>
      </c>
      <c r="K492" s="33" t="b" cm="1">
        <f t="array" ref="K492">INDEX(stable[is_supply_chain_dependent],MATCH(VALUE(questions[[#This Row],[qno]]),VALUE(stable[qno]),0))</f>
        <v>0</v>
      </c>
      <c r="L492" s="33" t="b" cm="1">
        <f t="array" ref="L492">INDEX(stable[is_mandatory],MATCH(VALUE(questions[[#This Row],[qno]]),VALUE(stable[qno]),0))</f>
        <v>1</v>
      </c>
      <c r="M492" s="33" t="b" cm="1">
        <f t="array" ref="M492">INDEX(stable[is_automated],MATCH(VALUE(questions[[#This Row],[qno]]),VALUE(stable[qno]),0))</f>
        <v>0</v>
      </c>
      <c r="N492" s="33" t="b" cm="1">
        <f t="array" ref="N492">INDEX(stable[is_free_text],MATCH(VALUE(questions[[#This Row],[qno]]),VALUE(stable[qno]),0))</f>
        <v>0</v>
      </c>
      <c r="O492" s="33" t="b" cm="1">
        <f t="array" ref="O492">INDEX(stable[is_numerical],MATCH(VALUE(questions[[#This Row],[qno]]),VALUE(stable[qno]),0))</f>
        <v>0</v>
      </c>
      <c r="P492" s="103" t="b" cm="1">
        <f t="array" ref="P492">INDEX(stable[is_single_select],MATCH(VALUE(questions[[#This Row],[qno]]),VALUE(stable[qno]),0))</f>
        <v>1</v>
      </c>
      <c r="Q492" s="77" t="b" cm="1">
        <f t="array" ref="Q492">INDEX(stable[is_multi_select],MATCH(VALUE(questions[[#This Row],[qno]]),VALUE(stable[qno]),0))</f>
        <v>0</v>
      </c>
      <c r="R492" s="77" t="b" cm="1">
        <f t="array" ref="R492">INDEX(stable[is_skip_logic],MATCH(VALUE(questions[[#This Row],[qno]]),VALUE(stable[qno]),0))</f>
        <v>0</v>
      </c>
      <c r="S492" s="77" t="str">
        <f>_xlfn.TEXTJOIN(", ",TRUE,questions[[#This Row],[ans_opt_1]:[ans_opt_14]])</f>
        <v>High activity clay soils, Low activity clay soils, Sandy soils, Loamy soils, Volcanic soils, Wetland soils, Organic soils</v>
      </c>
      <c r="T492" s="77" t="s">
        <v>496</v>
      </c>
      <c r="U492" s="77" t="s">
        <v>497</v>
      </c>
      <c r="V492" s="77" t="s">
        <v>498</v>
      </c>
      <c r="W492" s="91" t="s">
        <v>499</v>
      </c>
      <c r="X492" s="77" t="s">
        <v>500</v>
      </c>
      <c r="Y492" s="77" t="s">
        <v>501</v>
      </c>
      <c r="Z492" s="77" t="s">
        <v>502</v>
      </c>
      <c r="AH492" s="98" t="b">
        <f>INDEX(stable[q_standard],MATCH(questions[[#This Row],[qno]],stable[qno],0))</f>
        <v>0</v>
      </c>
      <c r="AI492" s="98" t="b">
        <f>INDEX(stable[q_living_income],MATCH(questions[[#This Row],[qno]],stable[qno],0))</f>
        <v>0</v>
      </c>
      <c r="AJ492" s="98" t="b">
        <f>INDEX(stable[q_carbon],MATCH(questions[[#This Row],[qno]],stable[qno],0))</f>
        <v>0</v>
      </c>
      <c r="AK492" s="98" t="b">
        <f>INDEX(stable[q_regen_ag],MATCH(questions[[#This Row],[qno]],stable[qno],0))</f>
        <v>1</v>
      </c>
      <c r="AL492" s="98" t="b">
        <f>COUNTIFS(stable[qno],questions[[#This Row],[qno]])=1</f>
        <v>1</v>
      </c>
      <c r="AM492" s="98" t="b">
        <f>OR(questions[[#This Row],[is_fixed]],questions[[#This Row],[is_localized]],questions[[#This Row],[is_supply_chain_dependent]])</f>
        <v>1</v>
      </c>
      <c r="AN492" s="98" t="b">
        <f>COUNTIFS(questions[[#This Row],[is_automated]:[is_multi_select]],TRUE)=1</f>
        <v>1</v>
      </c>
      <c r="AO492" s="98" t="b">
        <f>IF(questions[[#This Row],[is_fixed]],questions[[#This Row],[question]]=INDEX(stable[question],MATCH(questions[[#This Row],[qno]],stable[qno],0)),TRUE)</f>
        <v>1</v>
      </c>
      <c r="AP492" s="98" t="str">
        <f>LEFT(questions[[#This Row],[question]],similarity_range)</f>
        <v>What describes the s</v>
      </c>
      <c r="AQ492" s="98" t="str">
        <f>LEFT(INDEX(stable[question],MATCH(questions[[#This Row],[qno]],stable[qno],0)),similarity_range)</f>
        <v>What describes the s</v>
      </c>
      <c r="AR492" s="98" t="b">
        <f>questions[[#This Row],[question_first_characters]]=questions[[#This Row],[stability_first_characters]]</f>
        <v>1</v>
      </c>
      <c r="AS492" s="98" t="b">
        <f>IF(OR(questions[[#This Row],[is_single_select]],questions[[#This Row],[is_multi_select]]),NOT(ISBLANK(questions[[#This Row],[answer_opt_combined]])),TRUE)</f>
        <v>1</v>
      </c>
    </row>
    <row r="493" spans="1:45" s="77" customFormat="1" x14ac:dyDescent="0.25">
      <c r="A493" s="77" t="str">
        <f>_xlfn.TEXTJOIN("_",TRUE,questions[[#This Row],[origin]:[qno]])</f>
        <v>Vietnam_Robusta_Lam_Dong_Nestlé_IMPACT_8010</v>
      </c>
      <c r="B493" s="77" t="s">
        <v>673</v>
      </c>
      <c r="C493" s="77" t="s">
        <v>674</v>
      </c>
      <c r="D493" s="77" t="s">
        <v>675</v>
      </c>
      <c r="F493" s="104" t="s">
        <v>503</v>
      </c>
      <c r="G493" s="78" t="s">
        <v>504</v>
      </c>
      <c r="H493" s="33" t="str" cm="1">
        <f t="array" ref="H493">INDEX(stableR[question],MATCH(VALUE(questions[[#This Row],[qno]]),VALUE(stableR[qno]),0))</f>
        <v>What type of tillage/ploughing do you use in your coffee plots mostly (full tillages=fully turning the soil; reduced tillages is only losening the soil; No till is no tillage or ploughing of the soil at all)?</v>
      </c>
      <c r="I493" s="33" t="b" cm="1">
        <f t="array" ref="I493">INDEX(stable[is_fixed],MATCH(VALUE(questions[[#This Row],[qno]]),VALUE(stable[qno]),0))</f>
        <v>1</v>
      </c>
      <c r="J493" s="33" t="b" cm="1">
        <f t="array" ref="J493">INDEX(stable[is_localized],MATCH(VALUE(questions[[#This Row],[qno]]),VALUE(stable[qno]),0))</f>
        <v>0</v>
      </c>
      <c r="K493" s="33" t="b" cm="1">
        <f t="array" ref="K493">INDEX(stable[is_supply_chain_dependent],MATCH(VALUE(questions[[#This Row],[qno]]),VALUE(stable[qno]),0))</f>
        <v>0</v>
      </c>
      <c r="L493" s="33" t="b" cm="1">
        <f t="array" ref="L493">INDEX(stable[is_mandatory],MATCH(VALUE(questions[[#This Row],[qno]]),VALUE(stable[qno]),0))</f>
        <v>1</v>
      </c>
      <c r="M493" s="33" t="b" cm="1">
        <f t="array" ref="M493">INDEX(stable[is_automated],MATCH(VALUE(questions[[#This Row],[qno]]),VALUE(stable[qno]),0))</f>
        <v>0</v>
      </c>
      <c r="N493" s="33" t="b" cm="1">
        <f t="array" ref="N493">INDEX(stable[is_free_text],MATCH(VALUE(questions[[#This Row],[qno]]),VALUE(stable[qno]),0))</f>
        <v>0</v>
      </c>
      <c r="O493" s="33" t="b" cm="1">
        <f t="array" ref="O493">INDEX(stable[is_numerical],MATCH(VALUE(questions[[#This Row],[qno]]),VALUE(stable[qno]),0))</f>
        <v>0</v>
      </c>
      <c r="P493" s="103" t="b" cm="1">
        <f t="array" ref="P493">INDEX(stable[is_single_select],MATCH(VALUE(questions[[#This Row],[qno]]),VALUE(stable[qno]),0))</f>
        <v>1</v>
      </c>
      <c r="Q493" s="77" t="b" cm="1">
        <f t="array" ref="Q493">INDEX(stable[is_multi_select],MATCH(VALUE(questions[[#This Row],[qno]]),VALUE(stable[qno]),0))</f>
        <v>0</v>
      </c>
      <c r="R493" s="77" t="b" cm="1">
        <f t="array" ref="R493">INDEX(stable[is_skip_logic],MATCH(VALUE(questions[[#This Row],[qno]]),VALUE(stable[qno]),0))</f>
        <v>0</v>
      </c>
      <c r="S493" s="77" t="str">
        <f>_xlfn.TEXTJOIN(", ",TRUE,questions[[#This Row],[ans_opt_1]:[ans_opt_14]])</f>
        <v>Full-tillage, Reduced tillage, No till</v>
      </c>
      <c r="T493" s="77" t="s">
        <v>505</v>
      </c>
      <c r="U493" s="77" t="s">
        <v>506</v>
      </c>
      <c r="V493" s="77" t="s">
        <v>507</v>
      </c>
      <c r="AH493" s="98" t="b">
        <f>INDEX(stable[q_standard],MATCH(questions[[#This Row],[qno]],stable[qno],0))</f>
        <v>0</v>
      </c>
      <c r="AI493" s="98" t="b">
        <f>INDEX(stable[q_living_income],MATCH(questions[[#This Row],[qno]],stable[qno],0))</f>
        <v>0</v>
      </c>
      <c r="AJ493" s="98" t="b">
        <f>INDEX(stable[q_carbon],MATCH(questions[[#This Row],[qno]],stable[qno],0))</f>
        <v>0</v>
      </c>
      <c r="AK493" s="98" t="b">
        <f>INDEX(stable[q_regen_ag],MATCH(questions[[#This Row],[qno]],stable[qno],0))</f>
        <v>1</v>
      </c>
      <c r="AL493" s="98" t="b">
        <f>COUNTIFS(stable[qno],questions[[#This Row],[qno]])=1</f>
        <v>1</v>
      </c>
      <c r="AM493" s="98" t="b">
        <f>OR(questions[[#This Row],[is_fixed]],questions[[#This Row],[is_localized]],questions[[#This Row],[is_supply_chain_dependent]])</f>
        <v>1</v>
      </c>
      <c r="AN493" s="98" t="b">
        <f>COUNTIFS(questions[[#This Row],[is_automated]:[is_multi_select]],TRUE)=1</f>
        <v>1</v>
      </c>
      <c r="AO493" s="98" t="b">
        <f>IF(questions[[#This Row],[is_fixed]],questions[[#This Row],[question]]=INDEX(stable[question],MATCH(questions[[#This Row],[qno]],stable[qno],0)),TRUE)</f>
        <v>1</v>
      </c>
      <c r="AP493" s="98" t="str">
        <f>LEFT(questions[[#This Row],[question]],similarity_range)</f>
        <v>What type of tillage</v>
      </c>
      <c r="AQ493" s="98" t="str">
        <f>LEFT(INDEX(stable[question],MATCH(questions[[#This Row],[qno]],stable[qno],0)),similarity_range)</f>
        <v>What type of tillage</v>
      </c>
      <c r="AR493" s="98" t="b">
        <f>questions[[#This Row],[question_first_characters]]=questions[[#This Row],[stability_first_characters]]</f>
        <v>1</v>
      </c>
      <c r="AS493" s="98" t="b">
        <f>IF(OR(questions[[#This Row],[is_single_select]],questions[[#This Row],[is_multi_select]]),NOT(ISBLANK(questions[[#This Row],[answer_opt_combined]])),TRUE)</f>
        <v>1</v>
      </c>
    </row>
    <row r="494" spans="1:45" s="77" customFormat="1" x14ac:dyDescent="0.25">
      <c r="A494" s="77" t="str">
        <f>_xlfn.TEXTJOIN("_",TRUE,questions[[#This Row],[origin]:[qno]])</f>
        <v>Vietnam_Robusta_Lam_Dong_Nestlé_IMPACT_8100</v>
      </c>
      <c r="B494" s="77" t="s">
        <v>673</v>
      </c>
      <c r="C494" s="77" t="s">
        <v>674</v>
      </c>
      <c r="D494" s="77" t="s">
        <v>675</v>
      </c>
      <c r="F494" s="104" t="s">
        <v>616</v>
      </c>
      <c r="G494" s="104" t="s">
        <v>715</v>
      </c>
      <c r="H494" s="33" t="str" cm="1">
        <f t="array" ref="H494">INDEX(stableR[question],MATCH(VALUE(questions[[#This Row],[qno]]),VALUE(stableR[qno]),0))</f>
        <v>After hulling the dried coffee cherries, what did you do with the husks, last year?</v>
      </c>
      <c r="I494" s="33" t="b" cm="1">
        <f t="array" ref="I494">INDEX(stable[is_fixed],MATCH(VALUE(questions[[#This Row],[qno]]),VALUE(stable[qno]),0))</f>
        <v>0</v>
      </c>
      <c r="J494" s="33" t="b" cm="1">
        <f t="array" ref="J494">INDEX(stable[is_localized],MATCH(VALUE(questions[[#This Row],[qno]]),VALUE(stable[qno]),0))</f>
        <v>1</v>
      </c>
      <c r="K494" s="33" t="b" cm="1">
        <f t="array" ref="K494">INDEX(stable[is_supply_chain_dependent],MATCH(VALUE(questions[[#This Row],[qno]]),VALUE(stable[qno]),0))</f>
        <v>1</v>
      </c>
      <c r="L494" s="33" t="b" cm="1">
        <f t="array" ref="L494">INDEX(stable[is_mandatory],MATCH(VALUE(questions[[#This Row],[qno]]),VALUE(stable[qno]),0))</f>
        <v>1</v>
      </c>
      <c r="M494" s="33" t="b" cm="1">
        <f t="array" ref="M494">INDEX(stable[is_automated],MATCH(VALUE(questions[[#This Row],[qno]]),VALUE(stable[qno]),0))</f>
        <v>0</v>
      </c>
      <c r="N494" s="33" t="b" cm="1">
        <f t="array" ref="N494">INDEX(stable[is_free_text],MATCH(VALUE(questions[[#This Row],[qno]]),VALUE(stable[qno]),0))</f>
        <v>0</v>
      </c>
      <c r="O494" s="33" t="b" cm="1">
        <f t="array" ref="O494">INDEX(stable[is_numerical],MATCH(VALUE(questions[[#This Row],[qno]]),VALUE(stable[qno]),0))</f>
        <v>0</v>
      </c>
      <c r="P494" s="103" t="b" cm="1">
        <f t="array" ref="P494">INDEX(stable[is_single_select],MATCH(VALUE(questions[[#This Row],[qno]]),VALUE(stable[qno]),0))</f>
        <v>1</v>
      </c>
      <c r="Q494" s="77" t="b" cm="1">
        <f t="array" ref="Q494">INDEX(stable[is_multi_select],MATCH(VALUE(questions[[#This Row],[qno]]),VALUE(stable[qno]),0))</f>
        <v>0</v>
      </c>
      <c r="R494" s="77" t="b" cm="1">
        <f t="array" ref="R494">INDEX(stable[is_skip_logic],MATCH(VALUE(questions[[#This Row],[qno]]),VALUE(stable[qno]),0))</f>
        <v>0</v>
      </c>
      <c r="S494" s="77" t="str">
        <f>_xlfn.TEXTJOIN(", ",TRUE,questions[[#This Row],[ans_opt_1]:[ans_opt_14]])</f>
        <v>Apply to coffee farms within the supply chain, right after processing (e.g. after de-pulping in wet processing and after de-husking in dry processing) without composting, Apply to other crops without composting, Compost and add to coffee farms within the supply chain, Compost and add to other farms outside the supply chain, Temporarily left untreated in a heap/pit (max. 6 months), after which it is applied to the coffee farms within the supply chain, Temporarily left untreated in a heap/pit (max. 6 months), after which it sold or given away (outside the supply chain), Leave them in a pile untreated (min. 6 months or longer) and then applied to the coffee farms within the supply chain, Leave them in a pile untreated (min. 6 months or longer), no other management, Burn on farm, Sell to a buyer or given away (outside the supply chain)</v>
      </c>
      <c r="T494" s="137" t="s">
        <v>618</v>
      </c>
      <c r="U494" s="137" t="s">
        <v>619</v>
      </c>
      <c r="V494" s="137" t="s">
        <v>620</v>
      </c>
      <c r="W494" s="137" t="s">
        <v>621</v>
      </c>
      <c r="X494" s="137" t="s">
        <v>622</v>
      </c>
      <c r="Y494" s="137" t="s">
        <v>623</v>
      </c>
      <c r="Z494" s="137" t="s">
        <v>624</v>
      </c>
      <c r="AA494" s="137" t="s">
        <v>625</v>
      </c>
      <c r="AB494" s="137" t="s">
        <v>626</v>
      </c>
      <c r="AC494" s="137" t="s">
        <v>627</v>
      </c>
      <c r="AH494" s="98" t="b">
        <f>INDEX(stable[q_standard],MATCH(questions[[#This Row],[qno]],stable[qno],0))</f>
        <v>0</v>
      </c>
      <c r="AI494" s="98" t="b">
        <f>INDEX(stable[q_living_income],MATCH(questions[[#This Row],[qno]],stable[qno],0))</f>
        <v>0</v>
      </c>
      <c r="AJ494" s="98" t="b">
        <f>INDEX(stable[q_carbon],MATCH(questions[[#This Row],[qno]],stable[qno],0))</f>
        <v>1</v>
      </c>
      <c r="AK494" s="98" t="b">
        <f>INDEX(stable[q_regen_ag],MATCH(questions[[#This Row],[qno]],stable[qno],0))</f>
        <v>0</v>
      </c>
      <c r="AL494" s="98" t="b">
        <f>COUNTIFS(stable[qno],questions[[#This Row],[qno]])=1</f>
        <v>1</v>
      </c>
      <c r="AM494" s="98" t="b">
        <f>OR(questions[[#This Row],[is_fixed]],questions[[#This Row],[is_localized]],questions[[#This Row],[is_supply_chain_dependent]])</f>
        <v>1</v>
      </c>
      <c r="AN494" s="98" t="b">
        <f>COUNTIFS(questions[[#This Row],[is_automated]:[is_multi_select]],TRUE)=1</f>
        <v>1</v>
      </c>
      <c r="AO494" s="98" t="b">
        <f>IF(questions[[#This Row],[is_fixed]],questions[[#This Row],[question]]=INDEX(stable[question],MATCH(questions[[#This Row],[qno]],stable[qno],0)),TRUE)</f>
        <v>1</v>
      </c>
      <c r="AP494" s="98" t="str">
        <f>LEFT(questions[[#This Row],[question]],similarity_range)</f>
        <v>After hulling the dr</v>
      </c>
      <c r="AQ494" s="98" t="str">
        <f>LEFT(INDEX(stable[question],MATCH(questions[[#This Row],[qno]],stable[qno],0)),similarity_range)</f>
        <v>After hulling the dr</v>
      </c>
      <c r="AR494" s="98" t="b">
        <f>questions[[#This Row],[question_first_characters]]=questions[[#This Row],[stability_first_characters]]</f>
        <v>1</v>
      </c>
      <c r="AS494" s="98" t="b">
        <f>IF(OR(questions[[#This Row],[is_single_select]],questions[[#This Row],[is_multi_select]]),NOT(ISBLANK(questions[[#This Row],[answer_opt_combined]])),TRUE)</f>
        <v>1</v>
      </c>
    </row>
    <row r="495" spans="1:45" x14ac:dyDescent="0.25">
      <c r="A495" s="33" t="str">
        <f>_xlfn.TEXTJOIN("_",TRUE,questions[[#This Row],[origin]:[qno]])</f>
        <v>Vietnam_Robusta_Lam_Dong_Nestlé_IMPACT_8101</v>
      </c>
      <c r="B495" s="33" t="s">
        <v>673</v>
      </c>
      <c r="C495" s="33" t="s">
        <v>674</v>
      </c>
      <c r="D495" s="33" t="s">
        <v>675</v>
      </c>
      <c r="E495" s="33"/>
      <c r="F495" s="34" t="s">
        <v>716</v>
      </c>
      <c r="G495" s="34" t="s">
        <v>717</v>
      </c>
      <c r="H495" s="33" t="str" cm="1">
        <f t="array" ref="H495">INDEX(stableR[question],MATCH(VALUE(questions[[#This Row],[qno]]),VALUE(stableR[qno]),0))</f>
        <v>Can you estimate the amount of husks that remained after hulling of your coffee processed last year? (Kg)</v>
      </c>
      <c r="I495" s="33" t="b" cm="1">
        <f t="array" ref="I495">INDEX(stable[is_fixed],MATCH(VALUE(questions[[#This Row],[qno]]),VALUE(stable[qno]),0))</f>
        <v>0</v>
      </c>
      <c r="J495" s="33" t="b" cm="1">
        <f t="array" ref="J495">INDEX(stable[is_localized],MATCH(VALUE(questions[[#This Row],[qno]]),VALUE(stable[qno]),0))</f>
        <v>1</v>
      </c>
      <c r="K495" s="33" t="b" cm="1">
        <f t="array" ref="K495">INDEX(stable[is_supply_chain_dependent],MATCH(VALUE(questions[[#This Row],[qno]]),VALUE(stable[qno]),0))</f>
        <v>1</v>
      </c>
      <c r="L495" s="33" t="b" cm="1">
        <f t="array" ref="L495">INDEX(stable[is_mandatory],MATCH(VALUE(questions[[#This Row],[qno]]),VALUE(stable[qno]),0))</f>
        <v>1</v>
      </c>
      <c r="M495" s="33" t="b" cm="1">
        <f t="array" ref="M495">INDEX(stable[is_automated],MATCH(VALUE(questions[[#This Row],[qno]]),VALUE(stable[qno]),0))</f>
        <v>0</v>
      </c>
      <c r="N495" s="33" t="b" cm="1">
        <f t="array" ref="N495">INDEX(stable[is_free_text],MATCH(VALUE(questions[[#This Row],[qno]]),VALUE(stable[qno]),0))</f>
        <v>0</v>
      </c>
      <c r="O495" s="33" t="b" cm="1">
        <f t="array" ref="O495">INDEX(stable[is_numerical],MATCH(VALUE(questions[[#This Row],[qno]]),VALUE(stable[qno]),0))</f>
        <v>1</v>
      </c>
      <c r="P495" s="35" t="b" cm="1">
        <f t="array" ref="P495">INDEX(stable[is_single_select],MATCH(VALUE(questions[[#This Row],[qno]]),VALUE(stable[qno]),0))</f>
        <v>0</v>
      </c>
      <c r="Q495" s="33" t="b" cm="1">
        <f t="array" ref="Q495">INDEX(stable[is_multi_select],MATCH(VALUE(questions[[#This Row],[qno]]),VALUE(stable[qno]),0))</f>
        <v>0</v>
      </c>
      <c r="R495" s="33" t="b" cm="1">
        <f t="array" ref="R495">INDEX(stable[is_skip_logic],MATCH(VALUE(questions[[#This Row],[qno]]),VALUE(stable[qno]),0))</f>
        <v>0</v>
      </c>
      <c r="S495" s="33" t="str">
        <f>_xlfn.TEXTJOIN(", ",TRUE,questions[[#This Row],[ans_opt_1]:[ans_opt_14]])</f>
        <v/>
      </c>
      <c r="T495" s="33"/>
      <c r="U495" s="33"/>
      <c r="V495" s="33"/>
      <c r="W495" s="33"/>
      <c r="X495" s="33"/>
      <c r="Y495" s="33"/>
      <c r="Z495" s="33"/>
      <c r="AA495" s="33"/>
      <c r="AB495" s="33"/>
      <c r="AC495" s="33"/>
      <c r="AD495" s="33"/>
      <c r="AE495" s="33"/>
      <c r="AF495" s="33"/>
      <c r="AG495" s="33"/>
      <c r="AH495" s="99" t="b">
        <f>INDEX(stable[q_standard],MATCH(questions[[#This Row],[qno]],stable[qno],0))</f>
        <v>0</v>
      </c>
      <c r="AI495" s="99" t="b">
        <f>INDEX(stable[q_living_income],MATCH(questions[[#This Row],[qno]],stable[qno],0))</f>
        <v>0</v>
      </c>
      <c r="AJ495" s="99" t="b">
        <f>INDEX(stable[q_carbon],MATCH(questions[[#This Row],[qno]],stable[qno],0))</f>
        <v>1</v>
      </c>
      <c r="AK495" s="99" t="b">
        <f>INDEX(stable[q_regen_ag],MATCH(questions[[#This Row],[qno]],stable[qno],0))</f>
        <v>0</v>
      </c>
      <c r="AL495" s="16" t="b">
        <f>COUNTIFS(stable[qno],questions[[#This Row],[qno]])=1</f>
        <v>1</v>
      </c>
      <c r="AM495" s="16" t="b">
        <f>OR(questions[[#This Row],[is_fixed]],questions[[#This Row],[is_localized]],questions[[#This Row],[is_supply_chain_dependent]])</f>
        <v>1</v>
      </c>
      <c r="AN495" s="16" t="b">
        <f>COUNTIFS(questions[[#This Row],[is_automated]:[is_multi_select]],TRUE)=1</f>
        <v>1</v>
      </c>
      <c r="AO495" s="16" t="b">
        <f>IF(questions[[#This Row],[is_fixed]],questions[[#This Row],[question]]=INDEX(stable[question],MATCH(questions[[#This Row],[qno]],stable[qno],0)),TRUE)</f>
        <v>1</v>
      </c>
      <c r="AP495" s="16" t="str">
        <f>LEFT(questions[[#This Row],[question]],similarity_range)</f>
        <v>Can you estimate the</v>
      </c>
      <c r="AQ495" s="16" t="str">
        <f>LEFT(INDEX(stable[question],MATCH(questions[[#This Row],[qno]],stable[qno],0)),similarity_range)</f>
        <v>Can you estimate the</v>
      </c>
      <c r="AR495" s="16" t="b">
        <f>questions[[#This Row],[question_first_characters]]=questions[[#This Row],[stability_first_characters]]</f>
        <v>1</v>
      </c>
      <c r="AS495" s="16" t="b">
        <f>IF(OR(questions[[#This Row],[is_single_select]],questions[[#This Row],[is_multi_select]]),NOT(ISBLANK(questions[[#This Row],[answer_opt_combined]])),TRUE)</f>
        <v>1</v>
      </c>
    </row>
    <row r="496" spans="1:45" s="77" customFormat="1" x14ac:dyDescent="0.25">
      <c r="A496" s="77" t="str">
        <f>_xlfn.TEXTJOIN("_",TRUE,questions[[#This Row],[origin]:[qno]])</f>
        <v>Vietnam_Robusta_Lam_Dong_Nestlé_IMPACT_8200</v>
      </c>
      <c r="B496" s="77" t="s">
        <v>673</v>
      </c>
      <c r="C496" s="77" t="s">
        <v>674</v>
      </c>
      <c r="D496" s="77" t="s">
        <v>675</v>
      </c>
      <c r="F496" s="104" t="s">
        <v>628</v>
      </c>
      <c r="G496" s="78" t="s">
        <v>629</v>
      </c>
      <c r="H496" s="33" t="str" cm="1">
        <f t="array" ref="H496">INDEX(stableR[question],MATCH(VALUE(questions[[#This Row],[qno]]),VALUE(stableR[qno]),0))</f>
        <v>Did you use water for pulping/processing your coffee last year?</v>
      </c>
      <c r="I496" s="33" t="b" cm="1">
        <f t="array" ref="I496">INDEX(stable[is_fixed],MATCH(VALUE(questions[[#This Row],[qno]]),VALUE(stable[qno]),0))</f>
        <v>0</v>
      </c>
      <c r="J496" s="33" t="b" cm="1">
        <f t="array" ref="J496">INDEX(stable[is_localized],MATCH(VALUE(questions[[#This Row],[qno]]),VALUE(stable[qno]),0))</f>
        <v>0</v>
      </c>
      <c r="K496" s="33" t="b" cm="1">
        <f t="array" ref="K496">INDEX(stable[is_supply_chain_dependent],MATCH(VALUE(questions[[#This Row],[qno]]),VALUE(stable[qno]),0))</f>
        <v>1</v>
      </c>
      <c r="L496" s="33" t="b" cm="1">
        <f t="array" ref="L496">INDEX(stable[is_mandatory],MATCH(VALUE(questions[[#This Row],[qno]]),VALUE(stable[qno]),0))</f>
        <v>1</v>
      </c>
      <c r="M496" s="33" t="b" cm="1">
        <f t="array" ref="M496">INDEX(stable[is_automated],MATCH(VALUE(questions[[#This Row],[qno]]),VALUE(stable[qno]),0))</f>
        <v>0</v>
      </c>
      <c r="N496" s="33" t="b" cm="1">
        <f t="array" ref="N496">INDEX(stable[is_free_text],MATCH(VALUE(questions[[#This Row],[qno]]),VALUE(stable[qno]),0))</f>
        <v>0</v>
      </c>
      <c r="O496" s="33" t="b" cm="1">
        <f t="array" ref="O496">INDEX(stable[is_numerical],MATCH(VALUE(questions[[#This Row],[qno]]),VALUE(stable[qno]),0))</f>
        <v>0</v>
      </c>
      <c r="P496" s="103" t="b" cm="1">
        <f t="array" ref="P496">INDEX(stable[is_single_select],MATCH(VALUE(questions[[#This Row],[qno]]),VALUE(stable[qno]),0))</f>
        <v>1</v>
      </c>
      <c r="Q496" s="77" t="b" cm="1">
        <f t="array" ref="Q496">INDEX(stable[is_multi_select],MATCH(VALUE(questions[[#This Row],[qno]]),VALUE(stable[qno]),0))</f>
        <v>0</v>
      </c>
      <c r="R496" s="77" t="b" cm="1">
        <f t="array" ref="R496">INDEX(stable[is_skip_logic],MATCH(VALUE(questions[[#This Row],[qno]]),VALUE(stable[qno]),0))</f>
        <v>1</v>
      </c>
      <c r="S496" s="77" t="str">
        <f>_xlfn.TEXTJOIN(", ",TRUE,questions[[#This Row],[ans_opt_1]:[ans_opt_14]])</f>
        <v>Yes, No</v>
      </c>
      <c r="T496" s="77" t="s">
        <v>149</v>
      </c>
      <c r="U496" s="77" t="s">
        <v>119</v>
      </c>
      <c r="AH496" s="98" t="b">
        <f>INDEX(stable[q_standard],MATCH(questions[[#This Row],[qno]],stable[qno],0))</f>
        <v>0</v>
      </c>
      <c r="AI496" s="98" t="b">
        <f>INDEX(stable[q_living_income],MATCH(questions[[#This Row],[qno]],stable[qno],0))</f>
        <v>0</v>
      </c>
      <c r="AJ496" s="98" t="b">
        <f>INDEX(stable[q_carbon],MATCH(questions[[#This Row],[qno]],stable[qno],0))</f>
        <v>1</v>
      </c>
      <c r="AK496" s="98" t="b">
        <f>INDEX(stable[q_regen_ag],MATCH(questions[[#This Row],[qno]],stable[qno],0))</f>
        <v>0</v>
      </c>
      <c r="AL496" s="98" t="b">
        <f>COUNTIFS(stable[qno],questions[[#This Row],[qno]])=1</f>
        <v>1</v>
      </c>
      <c r="AM496" s="98" t="b">
        <f>OR(questions[[#This Row],[is_fixed]],questions[[#This Row],[is_localized]],questions[[#This Row],[is_supply_chain_dependent]])</f>
        <v>1</v>
      </c>
      <c r="AN496" s="98" t="b">
        <f>COUNTIFS(questions[[#This Row],[is_automated]:[is_multi_select]],TRUE)=1</f>
        <v>1</v>
      </c>
      <c r="AO496" s="98" t="b">
        <f>IF(questions[[#This Row],[is_fixed]],questions[[#This Row],[question]]=INDEX(stable[question],MATCH(questions[[#This Row],[qno]],stable[qno],0)),TRUE)</f>
        <v>1</v>
      </c>
      <c r="AP496" s="98" t="str">
        <f>LEFT(questions[[#This Row],[question]],similarity_range)</f>
        <v>Did you use water fo</v>
      </c>
      <c r="AQ496" s="98" t="str">
        <f>LEFT(INDEX(stable[question],MATCH(questions[[#This Row],[qno]],stable[qno],0)),similarity_range)</f>
        <v>Did you use water fo</v>
      </c>
      <c r="AR496" s="98" t="b">
        <f>questions[[#This Row],[question_first_characters]]=questions[[#This Row],[stability_first_characters]]</f>
        <v>1</v>
      </c>
      <c r="AS496" s="98" t="b">
        <f>IF(OR(questions[[#This Row],[is_single_select]],questions[[#This Row],[is_multi_select]]),NOT(ISBLANK(questions[[#This Row],[answer_opt_combined]])),TRUE)</f>
        <v>1</v>
      </c>
    </row>
    <row r="497" spans="1:45" s="77" customFormat="1" x14ac:dyDescent="0.25">
      <c r="A497" s="77" t="str">
        <f>_xlfn.TEXTJOIN("_",TRUE,questions[[#This Row],[origin]:[qno]])</f>
        <v>Vietnam_Robusta_Lam_Dong_Nestlé_IMPACT_8201</v>
      </c>
      <c r="B497" s="77" t="s">
        <v>673</v>
      </c>
      <c r="C497" s="77" t="s">
        <v>674</v>
      </c>
      <c r="D497" s="77" t="s">
        <v>675</v>
      </c>
      <c r="F497" s="104" t="s">
        <v>630</v>
      </c>
      <c r="G497" s="78" t="s">
        <v>631</v>
      </c>
      <c r="H497" s="33" t="str" cm="1">
        <f t="array" ref="H497">INDEX(stableR[question],MATCH(VALUE(questions[[#This Row],[qno]]),VALUE(stableR[qno]),0))</f>
        <v>If yes, what was the source of this water?</v>
      </c>
      <c r="I497" s="33" t="b" cm="1">
        <f t="array" ref="I497">INDEX(stable[is_fixed],MATCH(VALUE(questions[[#This Row],[qno]]),VALUE(stable[qno]),0))</f>
        <v>0</v>
      </c>
      <c r="J497" s="33" t="b" cm="1">
        <f t="array" ref="J497">INDEX(stable[is_localized],MATCH(VALUE(questions[[#This Row],[qno]]),VALUE(stable[qno]),0))</f>
        <v>0</v>
      </c>
      <c r="K497" s="33" t="b" cm="1">
        <f t="array" ref="K497">INDEX(stable[is_supply_chain_dependent],MATCH(VALUE(questions[[#This Row],[qno]]),VALUE(stable[qno]),0))</f>
        <v>1</v>
      </c>
      <c r="L497" s="33" t="b" cm="1">
        <f t="array" ref="L497">INDEX(stable[is_mandatory],MATCH(VALUE(questions[[#This Row],[qno]]),VALUE(stable[qno]),0))</f>
        <v>0</v>
      </c>
      <c r="M497" s="33" t="b" cm="1">
        <f t="array" ref="M497">INDEX(stable[is_automated],MATCH(VALUE(questions[[#This Row],[qno]]),VALUE(stable[qno]),0))</f>
        <v>0</v>
      </c>
      <c r="N497" s="33" t="b" cm="1">
        <f t="array" ref="N497">INDEX(stable[is_free_text],MATCH(VALUE(questions[[#This Row],[qno]]),VALUE(stable[qno]),0))</f>
        <v>0</v>
      </c>
      <c r="O497" s="33" t="b" cm="1">
        <f t="array" ref="O497">INDEX(stable[is_numerical],MATCH(VALUE(questions[[#This Row],[qno]]),VALUE(stable[qno]),0))</f>
        <v>0</v>
      </c>
      <c r="P497" s="103" t="b" cm="1">
        <f t="array" ref="P497">INDEX(stable[is_single_select],MATCH(VALUE(questions[[#This Row],[qno]]),VALUE(stable[qno]),0))</f>
        <v>1</v>
      </c>
      <c r="Q497" s="77" t="b" cm="1">
        <f t="array" ref="Q497">INDEX(stable[is_multi_select],MATCH(VALUE(questions[[#This Row],[qno]]),VALUE(stable[qno]),0))</f>
        <v>0</v>
      </c>
      <c r="R497" s="77" t="b" cm="1">
        <f t="array" ref="R497">INDEX(stable[is_skip_logic],MATCH(VALUE(questions[[#This Row],[qno]]),VALUE(stable[qno]),0))</f>
        <v>1</v>
      </c>
      <c r="S497" s="77" t="str">
        <f>_xlfn.TEXTJOIN(", ",TRUE,questions[[#This Row],[ans_opt_1]:[ans_opt_14]])</f>
        <v>Tap water, Natural stream, Rain water, Ground water, Other</v>
      </c>
      <c r="T497" s="113" t="s">
        <v>632</v>
      </c>
      <c r="U497" s="77" t="s">
        <v>633</v>
      </c>
      <c r="V497" s="77" t="s">
        <v>634</v>
      </c>
      <c r="W497" s="77" t="s">
        <v>635</v>
      </c>
      <c r="AG497" s="77" t="s">
        <v>112</v>
      </c>
      <c r="AH497" s="98" t="b">
        <f>INDEX(stable[q_standard],MATCH(questions[[#This Row],[qno]],stable[qno],0))</f>
        <v>0</v>
      </c>
      <c r="AI497" s="98" t="b">
        <f>INDEX(stable[q_living_income],MATCH(questions[[#This Row],[qno]],stable[qno],0))</f>
        <v>0</v>
      </c>
      <c r="AJ497" s="98" t="b">
        <f>INDEX(stable[q_carbon],MATCH(questions[[#This Row],[qno]],stable[qno],0))</f>
        <v>1</v>
      </c>
      <c r="AK497" s="98" t="b">
        <f>INDEX(stable[q_regen_ag],MATCH(questions[[#This Row],[qno]],stable[qno],0))</f>
        <v>0</v>
      </c>
      <c r="AL497" s="98" t="b">
        <f>COUNTIFS(stable[qno],questions[[#This Row],[qno]])=1</f>
        <v>1</v>
      </c>
      <c r="AM497" s="98" t="b">
        <f>OR(questions[[#This Row],[is_fixed]],questions[[#This Row],[is_localized]],questions[[#This Row],[is_supply_chain_dependent]])</f>
        <v>1</v>
      </c>
      <c r="AN497" s="98" t="b">
        <f>COUNTIFS(questions[[#This Row],[is_automated]:[is_multi_select]],TRUE)=1</f>
        <v>1</v>
      </c>
      <c r="AO497" s="98" t="b">
        <f>IF(questions[[#This Row],[is_fixed]],questions[[#This Row],[question]]=INDEX(stable[question],MATCH(questions[[#This Row],[qno]],stable[qno],0)),TRUE)</f>
        <v>1</v>
      </c>
      <c r="AP497" s="98" t="str">
        <f>LEFT(questions[[#This Row],[question]],similarity_range)</f>
        <v>If yes, what was the</v>
      </c>
      <c r="AQ497" s="98" t="str">
        <f>LEFT(INDEX(stable[question],MATCH(questions[[#This Row],[qno]],stable[qno],0)),similarity_range)</f>
        <v>If yes, what was the</v>
      </c>
      <c r="AR497" s="98" t="b">
        <f>questions[[#This Row],[question_first_characters]]=questions[[#This Row],[stability_first_characters]]</f>
        <v>1</v>
      </c>
      <c r="AS497" s="98" t="b">
        <f>IF(OR(questions[[#This Row],[is_single_select]],questions[[#This Row],[is_multi_select]]),NOT(ISBLANK(questions[[#This Row],[answer_opt_combined]])),TRUE)</f>
        <v>1</v>
      </c>
    </row>
    <row r="498" spans="1:45" x14ac:dyDescent="0.25">
      <c r="A498" s="33" t="str">
        <f>_xlfn.TEXTJOIN("_",TRUE,questions[[#This Row],[origin]:[qno]])</f>
        <v>Vietnam_Robusta_Lam_Dong_Nestlé_IMPACT_8202</v>
      </c>
      <c r="B498" s="33" t="s">
        <v>673</v>
      </c>
      <c r="C498" s="33" t="s">
        <v>674</v>
      </c>
      <c r="D498" s="33" t="s">
        <v>675</v>
      </c>
      <c r="E498" s="33"/>
      <c r="F498" s="34" t="s">
        <v>636</v>
      </c>
      <c r="G498" s="18" t="s">
        <v>637</v>
      </c>
      <c r="H498" s="33" t="str" cm="1">
        <f t="array" ref="H498">INDEX(stableR[question],MATCH(VALUE(questions[[#This Row],[qno]]),VALUE(stableR[qno]),0))</f>
        <v>If yes, can you estimate how many liters did you use per day?</v>
      </c>
      <c r="I498" s="33" t="b" cm="1">
        <f t="array" ref="I498">INDEX(stable[is_fixed],MATCH(VALUE(questions[[#This Row],[qno]]),VALUE(stable[qno]),0))</f>
        <v>0</v>
      </c>
      <c r="J498" s="33" t="b" cm="1">
        <f t="array" ref="J498">INDEX(stable[is_localized],MATCH(VALUE(questions[[#This Row],[qno]]),VALUE(stable[qno]),0))</f>
        <v>0</v>
      </c>
      <c r="K498" s="33" t="b" cm="1">
        <f t="array" ref="K498">INDEX(stable[is_supply_chain_dependent],MATCH(VALUE(questions[[#This Row],[qno]]),VALUE(stable[qno]),0))</f>
        <v>1</v>
      </c>
      <c r="L498" s="33" t="b" cm="1">
        <f t="array" ref="L498">INDEX(stable[is_mandatory],MATCH(VALUE(questions[[#This Row],[qno]]),VALUE(stable[qno]),0))</f>
        <v>0</v>
      </c>
      <c r="M498" s="33" t="b" cm="1">
        <f t="array" ref="M498">INDEX(stable[is_automated],MATCH(VALUE(questions[[#This Row],[qno]]),VALUE(stable[qno]),0))</f>
        <v>0</v>
      </c>
      <c r="N498" s="33" t="b" cm="1">
        <f t="array" ref="N498">INDEX(stable[is_free_text],MATCH(VALUE(questions[[#This Row],[qno]]),VALUE(stable[qno]),0))</f>
        <v>0</v>
      </c>
      <c r="O498" s="33" t="b" cm="1">
        <f t="array" ref="O498">INDEX(stable[is_numerical],MATCH(VALUE(questions[[#This Row],[qno]]),VALUE(stable[qno]),0))</f>
        <v>1</v>
      </c>
      <c r="P498" s="35" t="b" cm="1">
        <f t="array" ref="P498">INDEX(stable[is_single_select],MATCH(VALUE(questions[[#This Row],[qno]]),VALUE(stable[qno]),0))</f>
        <v>0</v>
      </c>
      <c r="Q498" s="33" t="b" cm="1">
        <f t="array" ref="Q498">INDEX(stable[is_multi_select],MATCH(VALUE(questions[[#This Row],[qno]]),VALUE(stable[qno]),0))</f>
        <v>0</v>
      </c>
      <c r="R498" s="33" t="b" cm="1">
        <f t="array" ref="R498">INDEX(stable[is_skip_logic],MATCH(VALUE(questions[[#This Row],[qno]]),VALUE(stable[qno]),0))</f>
        <v>1</v>
      </c>
      <c r="S498" s="33" t="str">
        <f>_xlfn.TEXTJOIN(", ",TRUE,questions[[#This Row],[ans_opt_1]:[ans_opt_14]])</f>
        <v/>
      </c>
      <c r="T498" s="33"/>
      <c r="U498" s="33"/>
      <c r="V498" s="33"/>
      <c r="W498" s="33"/>
      <c r="X498" s="33"/>
      <c r="Y498" s="33"/>
      <c r="Z498" s="33"/>
      <c r="AA498" s="33"/>
      <c r="AB498" s="33"/>
      <c r="AC498" s="33"/>
      <c r="AD498" s="33"/>
      <c r="AE498" s="33"/>
      <c r="AF498" s="33"/>
      <c r="AG498" s="33"/>
      <c r="AH498" s="99" t="b">
        <f>INDEX(stable[q_standard],MATCH(questions[[#This Row],[qno]],stable[qno],0))</f>
        <v>0</v>
      </c>
      <c r="AI498" s="99" t="b">
        <f>INDEX(stable[q_living_income],MATCH(questions[[#This Row],[qno]],stable[qno],0))</f>
        <v>0</v>
      </c>
      <c r="AJ498" s="99" t="b">
        <f>INDEX(stable[q_carbon],MATCH(questions[[#This Row],[qno]],stable[qno],0))</f>
        <v>1</v>
      </c>
      <c r="AK498" s="99" t="b">
        <f>INDEX(stable[q_regen_ag],MATCH(questions[[#This Row],[qno]],stable[qno],0))</f>
        <v>0</v>
      </c>
      <c r="AL498" s="16" t="b">
        <f>COUNTIFS(stable[qno],questions[[#This Row],[qno]])=1</f>
        <v>1</v>
      </c>
      <c r="AM498" s="16" t="b">
        <f>OR(questions[[#This Row],[is_fixed]],questions[[#This Row],[is_localized]],questions[[#This Row],[is_supply_chain_dependent]])</f>
        <v>1</v>
      </c>
      <c r="AN498" s="16" t="b">
        <f>COUNTIFS(questions[[#This Row],[is_automated]:[is_multi_select]],TRUE)=1</f>
        <v>1</v>
      </c>
      <c r="AO498" s="16" t="b">
        <f>IF(questions[[#This Row],[is_fixed]],questions[[#This Row],[question]]=INDEX(stable[question],MATCH(questions[[#This Row],[qno]],stable[qno],0)),TRUE)</f>
        <v>1</v>
      </c>
      <c r="AP498" s="16" t="str">
        <f>LEFT(questions[[#This Row],[question]],similarity_range)</f>
        <v>If yes, can you esti</v>
      </c>
      <c r="AQ498" s="16" t="str">
        <f>LEFT(INDEX(stable[question],MATCH(questions[[#This Row],[qno]],stable[qno],0)),similarity_range)</f>
        <v>If yes, can you esti</v>
      </c>
      <c r="AR498" s="16" t="b">
        <f>questions[[#This Row],[question_first_characters]]=questions[[#This Row],[stability_first_characters]]</f>
        <v>1</v>
      </c>
      <c r="AS498" s="16" t="b">
        <f>IF(OR(questions[[#This Row],[is_single_select]],questions[[#This Row],[is_multi_select]]),NOT(ISBLANK(questions[[#This Row],[answer_opt_combined]])),TRUE)</f>
        <v>1</v>
      </c>
    </row>
    <row r="499" spans="1:45" x14ac:dyDescent="0.25">
      <c r="A499" s="33" t="str">
        <f>_xlfn.TEXTJOIN("_",TRUE,questions[[#This Row],[origin]:[qno]])</f>
        <v>Vietnam_Robusta_Lam_Dong_Nestlé_IMPACT_8203</v>
      </c>
      <c r="B499" s="33" t="s">
        <v>673</v>
      </c>
      <c r="C499" s="33" t="s">
        <v>674</v>
      </c>
      <c r="D499" s="33" t="s">
        <v>675</v>
      </c>
      <c r="E499" s="33"/>
      <c r="F499" s="34" t="s">
        <v>638</v>
      </c>
      <c r="G499" s="18" t="s">
        <v>639</v>
      </c>
      <c r="H499" s="33" t="str" cm="1">
        <f t="array" ref="H499">INDEX(stableR[question],MATCH(VALUE(questions[[#This Row],[qno]]),VALUE(stableR[qno]),0))</f>
        <v>If yes, how many days did you use water last year?</v>
      </c>
      <c r="I499" s="33" t="b" cm="1">
        <f t="array" ref="I499">INDEX(stable[is_fixed],MATCH(VALUE(questions[[#This Row],[qno]]),VALUE(stable[qno]),0))</f>
        <v>0</v>
      </c>
      <c r="J499" s="33" t="b" cm="1">
        <f t="array" ref="J499">INDEX(stable[is_localized],MATCH(VALUE(questions[[#This Row],[qno]]),VALUE(stable[qno]),0))</f>
        <v>0</v>
      </c>
      <c r="K499" s="33" t="b" cm="1">
        <f t="array" ref="K499">INDEX(stable[is_supply_chain_dependent],MATCH(VALUE(questions[[#This Row],[qno]]),VALUE(stable[qno]),0))</f>
        <v>1</v>
      </c>
      <c r="L499" s="33" t="b" cm="1">
        <f t="array" ref="L499">INDEX(stable[is_mandatory],MATCH(VALUE(questions[[#This Row],[qno]]),VALUE(stable[qno]),0))</f>
        <v>0</v>
      </c>
      <c r="M499" s="33" t="b" cm="1">
        <f t="array" ref="M499">INDEX(stable[is_automated],MATCH(VALUE(questions[[#This Row],[qno]]),VALUE(stable[qno]),0))</f>
        <v>0</v>
      </c>
      <c r="N499" s="33" t="b" cm="1">
        <f t="array" ref="N499">INDEX(stable[is_free_text],MATCH(VALUE(questions[[#This Row],[qno]]),VALUE(stable[qno]),0))</f>
        <v>0</v>
      </c>
      <c r="O499" s="33" t="b" cm="1">
        <f t="array" ref="O499">INDEX(stable[is_numerical],MATCH(VALUE(questions[[#This Row],[qno]]),VALUE(stable[qno]),0))</f>
        <v>1</v>
      </c>
      <c r="P499" s="35" t="b" cm="1">
        <f t="array" ref="P499">INDEX(stable[is_single_select],MATCH(VALUE(questions[[#This Row],[qno]]),VALUE(stable[qno]),0))</f>
        <v>0</v>
      </c>
      <c r="Q499" s="33" t="b" cm="1">
        <f t="array" ref="Q499">INDEX(stable[is_multi_select],MATCH(VALUE(questions[[#This Row],[qno]]),VALUE(stable[qno]),0))</f>
        <v>0</v>
      </c>
      <c r="R499" s="33" t="b" cm="1">
        <f t="array" ref="R499">INDEX(stable[is_skip_logic],MATCH(VALUE(questions[[#This Row],[qno]]),VALUE(stable[qno]),0))</f>
        <v>1</v>
      </c>
      <c r="S499" s="33" t="str">
        <f>_xlfn.TEXTJOIN(", ",TRUE,questions[[#This Row],[ans_opt_1]:[ans_opt_14]])</f>
        <v/>
      </c>
      <c r="T499" s="33"/>
      <c r="U499" s="33"/>
      <c r="V499" s="33"/>
      <c r="W499" s="33"/>
      <c r="X499" s="33"/>
      <c r="Y499" s="33"/>
      <c r="Z499" s="33"/>
      <c r="AA499" s="33"/>
      <c r="AB499" s="33"/>
      <c r="AC499" s="33"/>
      <c r="AD499" s="33"/>
      <c r="AE499" s="33"/>
      <c r="AF499" s="33"/>
      <c r="AG499" s="33"/>
      <c r="AH499" s="99" t="b">
        <f>INDEX(stable[q_standard],MATCH(questions[[#This Row],[qno]],stable[qno],0))</f>
        <v>0</v>
      </c>
      <c r="AI499" s="99" t="b">
        <f>INDEX(stable[q_living_income],MATCH(questions[[#This Row],[qno]],stable[qno],0))</f>
        <v>0</v>
      </c>
      <c r="AJ499" s="99" t="b">
        <f>INDEX(stable[q_carbon],MATCH(questions[[#This Row],[qno]],stable[qno],0))</f>
        <v>1</v>
      </c>
      <c r="AK499" s="99" t="b">
        <f>INDEX(stable[q_regen_ag],MATCH(questions[[#This Row],[qno]],stable[qno],0))</f>
        <v>0</v>
      </c>
      <c r="AL499" s="16" t="b">
        <f>COUNTIFS(stable[qno],questions[[#This Row],[qno]])=1</f>
        <v>1</v>
      </c>
      <c r="AM499" s="16" t="b">
        <f>OR(questions[[#This Row],[is_fixed]],questions[[#This Row],[is_localized]],questions[[#This Row],[is_supply_chain_dependent]])</f>
        <v>1</v>
      </c>
      <c r="AN499" s="16" t="b">
        <f>COUNTIFS(questions[[#This Row],[is_automated]:[is_multi_select]],TRUE)=1</f>
        <v>1</v>
      </c>
      <c r="AO499" s="16" t="b">
        <f>IF(questions[[#This Row],[is_fixed]],questions[[#This Row],[question]]=INDEX(stable[question],MATCH(questions[[#This Row],[qno]],stable[qno],0)),TRUE)</f>
        <v>1</v>
      </c>
      <c r="AP499" s="16" t="str">
        <f>LEFT(questions[[#This Row],[question]],similarity_range)</f>
        <v>If yes, how many day</v>
      </c>
      <c r="AQ499" s="16" t="str">
        <f>LEFT(INDEX(stable[question],MATCH(questions[[#This Row],[qno]],stable[qno],0)),similarity_range)</f>
        <v>If yes, how many day</v>
      </c>
      <c r="AR499" s="16" t="b">
        <f>questions[[#This Row],[question_first_characters]]=questions[[#This Row],[stability_first_characters]]</f>
        <v>1</v>
      </c>
      <c r="AS499" s="16" t="b">
        <f>IF(OR(questions[[#This Row],[is_single_select]],questions[[#This Row],[is_multi_select]]),NOT(ISBLANK(questions[[#This Row],[answer_opt_combined]])),TRUE)</f>
        <v>1</v>
      </c>
    </row>
    <row r="500" spans="1:45" x14ac:dyDescent="0.25">
      <c r="A500" s="33" t="str">
        <f>_xlfn.TEXTJOIN("_",TRUE,questions[[#This Row],[origin]:[qno]])</f>
        <v>Vietnam_Robusta_Lam_Dong_Nestlé_IMPACT_8204</v>
      </c>
      <c r="B500" s="33" t="s">
        <v>673</v>
      </c>
      <c r="C500" s="33" t="s">
        <v>674</v>
      </c>
      <c r="D500" s="33" t="s">
        <v>675</v>
      </c>
      <c r="E500" s="33"/>
      <c r="F500" s="34" t="s">
        <v>640</v>
      </c>
      <c r="G500" s="34" t="s">
        <v>641</v>
      </c>
      <c r="H500" s="33" t="str" cm="1">
        <f t="array" ref="H500">INDEX(stableR[question],MATCH(VALUE(questions[[#This Row],[qno]]),VALUE(stableR[qno]),0))</f>
        <v>If yes, what did you do with the waste water? Please describe as precisely as possible? Was it directly put back in natural streams, put in a soaking pit, stored in a shallow lagoon (&lt;2 m deep), stored in a deep lagoon (&gt;2 m deep), put through a treatment system, if so describe this system</v>
      </c>
      <c r="I500" s="33" t="b" cm="1">
        <f t="array" ref="I500">INDEX(stable[is_fixed],MATCH(VALUE(questions[[#This Row],[qno]]),VALUE(stable[qno]),0))</f>
        <v>0</v>
      </c>
      <c r="J500" s="33" t="b" cm="1">
        <f t="array" ref="J500">INDEX(stable[is_localized],MATCH(VALUE(questions[[#This Row],[qno]]),VALUE(stable[qno]),0))</f>
        <v>0</v>
      </c>
      <c r="K500" s="33" t="b" cm="1">
        <f t="array" ref="K500">INDEX(stable[is_supply_chain_dependent],MATCH(VALUE(questions[[#This Row],[qno]]),VALUE(stable[qno]),0))</f>
        <v>1</v>
      </c>
      <c r="L500" s="33" t="b" cm="1">
        <f t="array" ref="L500">INDEX(stable[is_mandatory],MATCH(VALUE(questions[[#This Row],[qno]]),VALUE(stable[qno]),0))</f>
        <v>0</v>
      </c>
      <c r="M500" s="33" t="b" cm="1">
        <f t="array" ref="M500">INDEX(stable[is_automated],MATCH(VALUE(questions[[#This Row],[qno]]),VALUE(stable[qno]),0))</f>
        <v>0</v>
      </c>
      <c r="N500" s="33" t="b" cm="1">
        <f t="array" ref="N500">INDEX(stable[is_free_text],MATCH(VALUE(questions[[#This Row],[qno]]),VALUE(stable[qno]),0))</f>
        <v>1</v>
      </c>
      <c r="O500" s="33" t="b" cm="1">
        <f t="array" ref="O500">INDEX(stable[is_numerical],MATCH(VALUE(questions[[#This Row],[qno]]),VALUE(stable[qno]),0))</f>
        <v>0</v>
      </c>
      <c r="P500" s="35" t="b" cm="1">
        <f t="array" ref="P500">INDEX(stable[is_single_select],MATCH(VALUE(questions[[#This Row],[qno]]),VALUE(stable[qno]),0))</f>
        <v>0</v>
      </c>
      <c r="Q500" s="33" t="b" cm="1">
        <f t="array" ref="Q500">INDEX(stable[is_multi_select],MATCH(VALUE(questions[[#This Row],[qno]]),VALUE(stable[qno]),0))</f>
        <v>0</v>
      </c>
      <c r="R500" s="33" t="b" cm="1">
        <f t="array" ref="R500">INDEX(stable[is_skip_logic],MATCH(VALUE(questions[[#This Row],[qno]]),VALUE(stable[qno]),0))</f>
        <v>1</v>
      </c>
      <c r="S500" s="33" t="str">
        <f>_xlfn.TEXTJOIN(", ",TRUE,questions[[#This Row],[ans_opt_1]:[ans_opt_14]])</f>
        <v/>
      </c>
      <c r="T500" s="33"/>
      <c r="U500" s="33"/>
      <c r="V500" s="33"/>
      <c r="W500" s="33"/>
      <c r="X500" s="33"/>
      <c r="Y500" s="33"/>
      <c r="Z500" s="33"/>
      <c r="AA500" s="33"/>
      <c r="AB500" s="33"/>
      <c r="AC500" s="33"/>
      <c r="AD500" s="33"/>
      <c r="AE500" s="33"/>
      <c r="AF500" s="33"/>
      <c r="AG500" s="33"/>
      <c r="AH500" s="99" t="b">
        <f>INDEX(stable[q_standard],MATCH(questions[[#This Row],[qno]],stable[qno],0))</f>
        <v>0</v>
      </c>
      <c r="AI500" s="99" t="b">
        <f>INDEX(stable[q_living_income],MATCH(questions[[#This Row],[qno]],stable[qno],0))</f>
        <v>0</v>
      </c>
      <c r="AJ500" s="99" t="b">
        <f>INDEX(stable[q_carbon],MATCH(questions[[#This Row],[qno]],stable[qno],0))</f>
        <v>1</v>
      </c>
      <c r="AK500" s="99" t="b">
        <f>INDEX(stable[q_regen_ag],MATCH(questions[[#This Row],[qno]],stable[qno],0))</f>
        <v>0</v>
      </c>
      <c r="AL500" s="16" t="b">
        <f>COUNTIFS(stable[qno],questions[[#This Row],[qno]])=1</f>
        <v>1</v>
      </c>
      <c r="AM500" s="16" t="b">
        <f>OR(questions[[#This Row],[is_fixed]],questions[[#This Row],[is_localized]],questions[[#This Row],[is_supply_chain_dependent]])</f>
        <v>1</v>
      </c>
      <c r="AN500" s="16" t="b">
        <f>COUNTIFS(questions[[#This Row],[is_automated]:[is_multi_select]],TRUE)=1</f>
        <v>1</v>
      </c>
      <c r="AO500" s="16" t="b">
        <f>IF(questions[[#This Row],[is_fixed]],questions[[#This Row],[question]]=INDEX(stable[question],MATCH(questions[[#This Row],[qno]],stable[qno],0)),TRUE)</f>
        <v>1</v>
      </c>
      <c r="AP500" s="16" t="str">
        <f>LEFT(questions[[#This Row],[question]],similarity_range)</f>
        <v>If yes, what did you</v>
      </c>
      <c r="AQ500" s="16" t="str">
        <f>LEFT(INDEX(stable[question],MATCH(questions[[#This Row],[qno]],stable[qno],0)),similarity_range)</f>
        <v>If yes, what did you</v>
      </c>
      <c r="AR500" s="16" t="b">
        <f>questions[[#This Row],[question_first_characters]]=questions[[#This Row],[stability_first_characters]]</f>
        <v>1</v>
      </c>
      <c r="AS500" s="16" t="b">
        <f>IF(OR(questions[[#This Row],[is_single_select]],questions[[#This Row],[is_multi_select]]),NOT(ISBLANK(questions[[#This Row],[answer_opt_combined]])),TRUE)</f>
        <v>1</v>
      </c>
    </row>
    <row r="501" spans="1:45" s="77" customFormat="1" x14ac:dyDescent="0.25">
      <c r="A501" s="77" t="str">
        <f>_xlfn.TEXTJOIN("_",TRUE,questions[[#This Row],[origin]:[qno]])</f>
        <v>Vietnam_Robusta_Lam_Dong_Nestlé_IMPACT_8300</v>
      </c>
      <c r="B501" s="77" t="s">
        <v>673</v>
      </c>
      <c r="C501" s="77" t="s">
        <v>674</v>
      </c>
      <c r="D501" s="77" t="s">
        <v>675</v>
      </c>
      <c r="F501" s="104" t="s">
        <v>642</v>
      </c>
      <c r="G501" s="78" t="s">
        <v>643</v>
      </c>
      <c r="H501" s="33" t="str" cm="1">
        <f t="array" ref="H501">INDEX(stableR[question],MATCH(VALUE(questions[[#This Row],[qno]]),VALUE(stableR[qno]),0))</f>
        <v>Did you use diesel in any process in your coffee farming last year?</v>
      </c>
      <c r="I501" s="33" t="b" cm="1">
        <f t="array" ref="I501">INDEX(stable[is_fixed],MATCH(VALUE(questions[[#This Row],[qno]]),VALUE(stable[qno]),0))</f>
        <v>0</v>
      </c>
      <c r="J501" s="33" t="b" cm="1">
        <f t="array" ref="J501">INDEX(stable[is_localized],MATCH(VALUE(questions[[#This Row],[qno]]),VALUE(stable[qno]),0))</f>
        <v>0</v>
      </c>
      <c r="K501" s="33" t="b" cm="1">
        <f t="array" ref="K501">INDEX(stable[is_supply_chain_dependent],MATCH(VALUE(questions[[#This Row],[qno]]),VALUE(stable[qno]),0))</f>
        <v>1</v>
      </c>
      <c r="L501" s="33" t="b" cm="1">
        <f t="array" ref="L501">INDEX(stable[is_mandatory],MATCH(VALUE(questions[[#This Row],[qno]]),VALUE(stable[qno]),0))</f>
        <v>1</v>
      </c>
      <c r="M501" s="33" t="b" cm="1">
        <f t="array" ref="M501">INDEX(stable[is_automated],MATCH(VALUE(questions[[#This Row],[qno]]),VALUE(stable[qno]),0))</f>
        <v>0</v>
      </c>
      <c r="N501" s="33" t="b" cm="1">
        <f t="array" ref="N501">INDEX(stable[is_free_text],MATCH(VALUE(questions[[#This Row],[qno]]),VALUE(stable[qno]),0))</f>
        <v>0</v>
      </c>
      <c r="O501" s="33" t="b" cm="1">
        <f t="array" ref="O501">INDEX(stable[is_numerical],MATCH(VALUE(questions[[#This Row],[qno]]),VALUE(stable[qno]),0))</f>
        <v>0</v>
      </c>
      <c r="P501" s="103" t="b" cm="1">
        <f t="array" ref="P501">INDEX(stable[is_single_select],MATCH(VALUE(questions[[#This Row],[qno]]),VALUE(stable[qno]),0))</f>
        <v>1</v>
      </c>
      <c r="Q501" s="77" t="b" cm="1">
        <f t="array" ref="Q501">INDEX(stable[is_multi_select],MATCH(VALUE(questions[[#This Row],[qno]]),VALUE(stable[qno]),0))</f>
        <v>0</v>
      </c>
      <c r="R501" s="77" t="b" cm="1">
        <f t="array" ref="R501">INDEX(stable[is_skip_logic],MATCH(VALUE(questions[[#This Row],[qno]]),VALUE(stable[qno]),0))</f>
        <v>1</v>
      </c>
      <c r="S501" s="77" t="str">
        <f>_xlfn.TEXTJOIN(", ",TRUE,questions[[#This Row],[ans_opt_1]:[ans_opt_14]])</f>
        <v>Yes, No</v>
      </c>
      <c r="T501" s="77" t="s">
        <v>149</v>
      </c>
      <c r="U501" s="77" t="s">
        <v>119</v>
      </c>
      <c r="AH501" s="98" t="b">
        <f>INDEX(stable[q_standard],MATCH(questions[[#This Row],[qno]],stable[qno],0))</f>
        <v>0</v>
      </c>
      <c r="AI501" s="98" t="b">
        <f>INDEX(stable[q_living_income],MATCH(questions[[#This Row],[qno]],stable[qno],0))</f>
        <v>0</v>
      </c>
      <c r="AJ501" s="98" t="b">
        <f>INDEX(stable[q_carbon],MATCH(questions[[#This Row],[qno]],stable[qno],0))</f>
        <v>1</v>
      </c>
      <c r="AK501" s="98" t="b">
        <f>INDEX(stable[q_regen_ag],MATCH(questions[[#This Row],[qno]],stable[qno],0))</f>
        <v>0</v>
      </c>
      <c r="AL501" s="98" t="b">
        <f>COUNTIFS(stable[qno],questions[[#This Row],[qno]])=1</f>
        <v>1</v>
      </c>
      <c r="AM501" s="98" t="b">
        <f>OR(questions[[#This Row],[is_fixed]],questions[[#This Row],[is_localized]],questions[[#This Row],[is_supply_chain_dependent]])</f>
        <v>1</v>
      </c>
      <c r="AN501" s="98" t="b">
        <f>COUNTIFS(questions[[#This Row],[is_automated]:[is_multi_select]],TRUE)=1</f>
        <v>1</v>
      </c>
      <c r="AO501" s="98" t="b">
        <f>IF(questions[[#This Row],[is_fixed]],questions[[#This Row],[question]]=INDEX(stable[question],MATCH(questions[[#This Row],[qno]],stable[qno],0)),TRUE)</f>
        <v>1</v>
      </c>
      <c r="AP501" s="98" t="str">
        <f>LEFT(questions[[#This Row],[question]],similarity_range)</f>
        <v>Did you use diesel i</v>
      </c>
      <c r="AQ501" s="98" t="str">
        <f>LEFT(INDEX(stable[question],MATCH(questions[[#This Row],[qno]],stable[qno],0)),similarity_range)</f>
        <v>Did you use diesel i</v>
      </c>
      <c r="AR501" s="98" t="b">
        <f>questions[[#This Row],[question_first_characters]]=questions[[#This Row],[stability_first_characters]]</f>
        <v>1</v>
      </c>
      <c r="AS501" s="98" t="b">
        <f>IF(OR(questions[[#This Row],[is_single_select]],questions[[#This Row],[is_multi_select]]),NOT(ISBLANK(questions[[#This Row],[answer_opt_combined]])),TRUE)</f>
        <v>1</v>
      </c>
    </row>
    <row r="502" spans="1:45" s="77" customFormat="1" x14ac:dyDescent="0.25">
      <c r="A502" s="77" t="str">
        <f>_xlfn.TEXTJOIN("_",TRUE,questions[[#This Row],[origin]:[qno]])</f>
        <v>Vietnam_Robusta_Lam_Dong_Nestlé_IMPACT_8301</v>
      </c>
      <c r="B502" s="77" t="s">
        <v>673</v>
      </c>
      <c r="C502" s="77" t="s">
        <v>674</v>
      </c>
      <c r="D502" s="77" t="s">
        <v>675</v>
      </c>
      <c r="F502" s="104" t="s">
        <v>644</v>
      </c>
      <c r="G502" s="78" t="s">
        <v>645</v>
      </c>
      <c r="H502" s="33" t="str" cm="1">
        <f t="array" ref="H502">INDEX(stableR[question],MATCH(VALUE(questions[[#This Row],[qno]]),VALUE(stableR[qno]),0))</f>
        <v>If yes, for what?</v>
      </c>
      <c r="I502" s="33" t="b" cm="1">
        <f t="array" ref="I502">INDEX(stable[is_fixed],MATCH(VALUE(questions[[#This Row],[qno]]),VALUE(stable[qno]),0))</f>
        <v>0</v>
      </c>
      <c r="J502" s="33" t="b" cm="1">
        <f t="array" ref="J502">INDEX(stable[is_localized],MATCH(VALUE(questions[[#This Row],[qno]]),VALUE(stable[qno]),0))</f>
        <v>0</v>
      </c>
      <c r="K502" s="33" t="b" cm="1">
        <f t="array" ref="K502">INDEX(stable[is_supply_chain_dependent],MATCH(VALUE(questions[[#This Row],[qno]]),VALUE(stable[qno]),0))</f>
        <v>1</v>
      </c>
      <c r="L502" s="33" t="b" cm="1">
        <f t="array" ref="L502">INDEX(stable[is_mandatory],MATCH(VALUE(questions[[#This Row],[qno]]),VALUE(stable[qno]),0))</f>
        <v>1</v>
      </c>
      <c r="M502" s="33" t="b" cm="1">
        <f t="array" ref="M502">INDEX(stable[is_automated],MATCH(VALUE(questions[[#This Row],[qno]]),VALUE(stable[qno]),0))</f>
        <v>0</v>
      </c>
      <c r="N502" s="33" t="b" cm="1">
        <f t="array" ref="N502">INDEX(stable[is_free_text],MATCH(VALUE(questions[[#This Row],[qno]]),VALUE(stable[qno]),0))</f>
        <v>0</v>
      </c>
      <c r="O502" s="33" t="b" cm="1">
        <f t="array" ref="O502">INDEX(stable[is_numerical],MATCH(VALUE(questions[[#This Row],[qno]]),VALUE(stable[qno]),0))</f>
        <v>0</v>
      </c>
      <c r="P502" s="103" t="b" cm="1">
        <f t="array" ref="P502">INDEX(stable[is_single_select],MATCH(VALUE(questions[[#This Row],[qno]]),VALUE(stable[qno]),0))</f>
        <v>0</v>
      </c>
      <c r="Q502" s="77" t="b" cm="1">
        <f t="array" ref="Q502">INDEX(stable[is_multi_select],MATCH(VALUE(questions[[#This Row],[qno]]),VALUE(stable[qno]),0))</f>
        <v>1</v>
      </c>
      <c r="R502" s="77" t="b" cm="1">
        <f t="array" ref="R502">INDEX(stable[is_skip_logic],MATCH(VALUE(questions[[#This Row],[qno]]),VALUE(stable[qno]),0))</f>
        <v>1</v>
      </c>
      <c r="S502" s="77" t="str">
        <f>_xlfn.TEXTJOIN(", ",TRUE,questions[[#This Row],[ans_opt_1]:[ans_opt_14]])</f>
        <v>Processing, Transport, Power Generator, Irrigation, Other</v>
      </c>
      <c r="T502" s="77" t="s">
        <v>646</v>
      </c>
      <c r="U502" s="77" t="s">
        <v>647</v>
      </c>
      <c r="V502" s="77" t="s">
        <v>648</v>
      </c>
      <c r="W502" s="91" t="s">
        <v>649</v>
      </c>
      <c r="AG502" s="77" t="s">
        <v>112</v>
      </c>
      <c r="AH502" s="98" t="b">
        <f>INDEX(stable[q_standard],MATCH(questions[[#This Row],[qno]],stable[qno],0))</f>
        <v>0</v>
      </c>
      <c r="AI502" s="98" t="b">
        <f>INDEX(stable[q_living_income],MATCH(questions[[#This Row],[qno]],stable[qno],0))</f>
        <v>0</v>
      </c>
      <c r="AJ502" s="98" t="b">
        <f>INDEX(stable[q_carbon],MATCH(questions[[#This Row],[qno]],stable[qno],0))</f>
        <v>1</v>
      </c>
      <c r="AK502" s="98" t="b">
        <f>INDEX(stable[q_regen_ag],MATCH(questions[[#This Row],[qno]],stable[qno],0))</f>
        <v>0</v>
      </c>
      <c r="AL502" s="98" t="b">
        <f>COUNTIFS(stable[qno],questions[[#This Row],[qno]])=1</f>
        <v>1</v>
      </c>
      <c r="AM502" s="98" t="b">
        <f>OR(questions[[#This Row],[is_fixed]],questions[[#This Row],[is_localized]],questions[[#This Row],[is_supply_chain_dependent]])</f>
        <v>1</v>
      </c>
      <c r="AN502" s="98" t="b">
        <f>COUNTIFS(questions[[#This Row],[is_automated]:[is_multi_select]],TRUE)=1</f>
        <v>1</v>
      </c>
      <c r="AO502" s="98" t="b">
        <f>IF(questions[[#This Row],[is_fixed]],questions[[#This Row],[question]]=INDEX(stable[question],MATCH(questions[[#This Row],[qno]],stable[qno],0)),TRUE)</f>
        <v>1</v>
      </c>
      <c r="AP502" s="98" t="str">
        <f>LEFT(questions[[#This Row],[question]],similarity_range)</f>
        <v>If yes, for what</v>
      </c>
      <c r="AQ502" s="98" t="str">
        <f>LEFT(INDEX(stable[question],MATCH(questions[[#This Row],[qno]],stable[qno],0)),similarity_range)</f>
        <v>If yes, for what</v>
      </c>
      <c r="AR502" s="98" t="b">
        <f>questions[[#This Row],[question_first_characters]]=questions[[#This Row],[stability_first_characters]]</f>
        <v>1</v>
      </c>
      <c r="AS502" s="98" t="b">
        <f>IF(OR(questions[[#This Row],[is_single_select]],questions[[#This Row],[is_multi_select]]),NOT(ISBLANK(questions[[#This Row],[answer_opt_combined]])),TRUE)</f>
        <v>1</v>
      </c>
    </row>
    <row r="503" spans="1:45" x14ac:dyDescent="0.25">
      <c r="A503" s="33" t="str">
        <f>_xlfn.TEXTJOIN("_",TRUE,questions[[#This Row],[origin]:[qno]])</f>
        <v>Vietnam_Robusta_Lam_Dong_Nestlé_IMPACT_8302</v>
      </c>
      <c r="B503" s="33" t="s">
        <v>673</v>
      </c>
      <c r="C503" s="33" t="s">
        <v>674</v>
      </c>
      <c r="D503" s="33" t="s">
        <v>675</v>
      </c>
      <c r="E503" s="33"/>
      <c r="F503" s="34" t="s">
        <v>650</v>
      </c>
      <c r="G503" s="18" t="s">
        <v>651</v>
      </c>
      <c r="H503" s="33" t="str" cm="1">
        <f t="array" ref="H503">INDEX(stableR[question],MATCH(VALUE(questions[[#This Row],[qno]]),VALUE(stableR[qno]),0))</f>
        <v>How many liters per day?</v>
      </c>
      <c r="I503" s="33" t="b" cm="1">
        <f t="array" ref="I503">INDEX(stable[is_fixed],MATCH(VALUE(questions[[#This Row],[qno]]),VALUE(stable[qno]),0))</f>
        <v>0</v>
      </c>
      <c r="J503" s="33" t="b" cm="1">
        <f t="array" ref="J503">INDEX(stable[is_localized],MATCH(VALUE(questions[[#This Row],[qno]]),VALUE(stable[qno]),0))</f>
        <v>0</v>
      </c>
      <c r="K503" s="33" t="b" cm="1">
        <f t="array" ref="K503">INDEX(stable[is_supply_chain_dependent],MATCH(VALUE(questions[[#This Row],[qno]]),VALUE(stable[qno]),0))</f>
        <v>1</v>
      </c>
      <c r="L503" s="33" t="b" cm="1">
        <f t="array" ref="L503">INDEX(stable[is_mandatory],MATCH(VALUE(questions[[#This Row],[qno]]),VALUE(stable[qno]),0))</f>
        <v>1</v>
      </c>
      <c r="M503" s="33" t="b" cm="1">
        <f t="array" ref="M503">INDEX(stable[is_automated],MATCH(VALUE(questions[[#This Row],[qno]]),VALUE(stable[qno]),0))</f>
        <v>0</v>
      </c>
      <c r="N503" s="33" t="b" cm="1">
        <f t="array" ref="N503">INDEX(stable[is_free_text],MATCH(VALUE(questions[[#This Row],[qno]]),VALUE(stable[qno]),0))</f>
        <v>0</v>
      </c>
      <c r="O503" s="33" t="b" cm="1">
        <f t="array" ref="O503">INDEX(stable[is_numerical],MATCH(VALUE(questions[[#This Row],[qno]]),VALUE(stable[qno]),0))</f>
        <v>1</v>
      </c>
      <c r="P503" s="35" t="b" cm="1">
        <f t="array" ref="P503">INDEX(stable[is_single_select],MATCH(VALUE(questions[[#This Row],[qno]]),VALUE(stable[qno]),0))</f>
        <v>0</v>
      </c>
      <c r="Q503" s="33" t="b" cm="1">
        <f t="array" ref="Q503">INDEX(stable[is_multi_select],MATCH(VALUE(questions[[#This Row],[qno]]),VALUE(stable[qno]),0))</f>
        <v>0</v>
      </c>
      <c r="R503" s="33" t="b" cm="1">
        <f t="array" ref="R503">INDEX(stable[is_skip_logic],MATCH(VALUE(questions[[#This Row],[qno]]),VALUE(stable[qno]),0))</f>
        <v>1</v>
      </c>
      <c r="S503" s="33" t="str">
        <f>_xlfn.TEXTJOIN(", ",TRUE,questions[[#This Row],[ans_opt_1]:[ans_opt_14]])</f>
        <v/>
      </c>
      <c r="T503" s="33"/>
      <c r="U503" s="33"/>
      <c r="V503" s="33"/>
      <c r="W503" s="33"/>
      <c r="X503" s="33"/>
      <c r="Y503" s="33"/>
      <c r="Z503" s="33"/>
      <c r="AA503" s="33"/>
      <c r="AB503" s="33"/>
      <c r="AC503" s="33"/>
      <c r="AD503" s="33"/>
      <c r="AE503" s="33"/>
      <c r="AF503" s="33"/>
      <c r="AG503" s="33"/>
      <c r="AH503" s="99" t="b">
        <f>INDEX(stable[q_standard],MATCH(questions[[#This Row],[qno]],stable[qno],0))</f>
        <v>0</v>
      </c>
      <c r="AI503" s="99" t="b">
        <f>INDEX(stable[q_living_income],MATCH(questions[[#This Row],[qno]],stable[qno],0))</f>
        <v>0</v>
      </c>
      <c r="AJ503" s="99" t="b">
        <f>INDEX(stable[q_carbon],MATCH(questions[[#This Row],[qno]],stable[qno],0))</f>
        <v>1</v>
      </c>
      <c r="AK503" s="99" t="b">
        <f>INDEX(stable[q_regen_ag],MATCH(questions[[#This Row],[qno]],stable[qno],0))</f>
        <v>0</v>
      </c>
      <c r="AL503" s="16" t="b">
        <f>COUNTIFS(stable[qno],questions[[#This Row],[qno]])=1</f>
        <v>1</v>
      </c>
      <c r="AM503" s="16" t="b">
        <f>OR(questions[[#This Row],[is_fixed]],questions[[#This Row],[is_localized]],questions[[#This Row],[is_supply_chain_dependent]])</f>
        <v>1</v>
      </c>
      <c r="AN503" s="16" t="b">
        <f>COUNTIFS(questions[[#This Row],[is_automated]:[is_multi_select]],TRUE)=1</f>
        <v>1</v>
      </c>
      <c r="AO503" s="16" t="b">
        <f>IF(questions[[#This Row],[is_fixed]],questions[[#This Row],[question]]=INDEX(stable[question],MATCH(questions[[#This Row],[qno]],stable[qno],0)),TRUE)</f>
        <v>1</v>
      </c>
      <c r="AP503" s="16" t="str">
        <f>LEFT(questions[[#This Row],[question]],similarity_range)</f>
        <v xml:space="preserve">How many liters per </v>
      </c>
      <c r="AQ503" s="16" t="str">
        <f>LEFT(INDEX(stable[question],MATCH(questions[[#This Row],[qno]],stable[qno],0)),similarity_range)</f>
        <v xml:space="preserve">How many liters per </v>
      </c>
      <c r="AR503" s="16" t="b">
        <f>questions[[#This Row],[question_first_characters]]=questions[[#This Row],[stability_first_characters]]</f>
        <v>1</v>
      </c>
      <c r="AS503" s="16" t="b">
        <f>IF(OR(questions[[#This Row],[is_single_select]],questions[[#This Row],[is_multi_select]]),NOT(ISBLANK(questions[[#This Row],[answer_opt_combined]])),TRUE)</f>
        <v>1</v>
      </c>
    </row>
    <row r="504" spans="1:45" x14ac:dyDescent="0.25">
      <c r="A504" s="33" t="str">
        <f>_xlfn.TEXTJOIN("_",TRUE,questions[[#This Row],[origin]:[qno]])</f>
        <v>Vietnam_Robusta_Lam_Dong_Nestlé_IMPACT_8303</v>
      </c>
      <c r="B504" s="33" t="s">
        <v>673</v>
      </c>
      <c r="C504" s="33" t="s">
        <v>674</v>
      </c>
      <c r="D504" s="33" t="s">
        <v>675</v>
      </c>
      <c r="E504" s="33"/>
      <c r="F504" s="34" t="s">
        <v>652</v>
      </c>
      <c r="G504" s="18" t="s">
        <v>653</v>
      </c>
      <c r="H504" s="33" t="str" cm="1">
        <f t="array" ref="H504">INDEX(stableR[question],MATCH(VALUE(questions[[#This Row],[qno]]),VALUE(stableR[qno]),0))</f>
        <v>How many days per year</v>
      </c>
      <c r="I504" s="33" t="b" cm="1">
        <f t="array" ref="I504">INDEX(stable[is_fixed],MATCH(VALUE(questions[[#This Row],[qno]]),VALUE(stable[qno]),0))</f>
        <v>0</v>
      </c>
      <c r="J504" s="33" t="b" cm="1">
        <f t="array" ref="J504">INDEX(stable[is_localized],MATCH(VALUE(questions[[#This Row],[qno]]),VALUE(stable[qno]),0))</f>
        <v>0</v>
      </c>
      <c r="K504" s="33" t="b" cm="1">
        <f t="array" ref="K504">INDEX(stable[is_supply_chain_dependent],MATCH(VALUE(questions[[#This Row],[qno]]),VALUE(stable[qno]),0))</f>
        <v>1</v>
      </c>
      <c r="L504" s="33" t="b" cm="1">
        <f t="array" ref="L504">INDEX(stable[is_mandatory],MATCH(VALUE(questions[[#This Row],[qno]]),VALUE(stable[qno]),0))</f>
        <v>1</v>
      </c>
      <c r="M504" s="33" t="b" cm="1">
        <f t="array" ref="M504">INDEX(stable[is_automated],MATCH(VALUE(questions[[#This Row],[qno]]),VALUE(stable[qno]),0))</f>
        <v>0</v>
      </c>
      <c r="N504" s="33" t="b" cm="1">
        <f t="array" ref="N504">INDEX(stable[is_free_text],MATCH(VALUE(questions[[#This Row],[qno]]),VALUE(stable[qno]),0))</f>
        <v>0</v>
      </c>
      <c r="O504" s="33" t="b" cm="1">
        <f t="array" ref="O504">INDEX(stable[is_numerical],MATCH(VALUE(questions[[#This Row],[qno]]),VALUE(stable[qno]),0))</f>
        <v>1</v>
      </c>
      <c r="P504" s="35" t="b" cm="1">
        <f t="array" ref="P504">INDEX(stable[is_single_select],MATCH(VALUE(questions[[#This Row],[qno]]),VALUE(stable[qno]),0))</f>
        <v>0</v>
      </c>
      <c r="Q504" s="33" t="b" cm="1">
        <f t="array" ref="Q504">INDEX(stable[is_multi_select],MATCH(VALUE(questions[[#This Row],[qno]]),VALUE(stable[qno]),0))</f>
        <v>0</v>
      </c>
      <c r="R504" s="33" t="b" cm="1">
        <f t="array" ref="R504">INDEX(stable[is_skip_logic],MATCH(VALUE(questions[[#This Row],[qno]]),VALUE(stable[qno]),0))</f>
        <v>1</v>
      </c>
      <c r="S504" s="33" t="str">
        <f>_xlfn.TEXTJOIN(", ",TRUE,questions[[#This Row],[ans_opt_1]:[ans_opt_14]])</f>
        <v/>
      </c>
      <c r="T504" s="33"/>
      <c r="U504" s="33"/>
      <c r="V504" s="33"/>
      <c r="W504" s="33"/>
      <c r="X504" s="33"/>
      <c r="Y504" s="33"/>
      <c r="Z504" s="33"/>
      <c r="AA504" s="33"/>
      <c r="AB504" s="33"/>
      <c r="AC504" s="33"/>
      <c r="AD504" s="33"/>
      <c r="AE504" s="33"/>
      <c r="AF504" s="33"/>
      <c r="AG504" s="33"/>
      <c r="AH504" s="99" t="b">
        <f>INDEX(stable[q_standard],MATCH(questions[[#This Row],[qno]],stable[qno],0))</f>
        <v>0</v>
      </c>
      <c r="AI504" s="99" t="b">
        <f>INDEX(stable[q_living_income],MATCH(questions[[#This Row],[qno]],stable[qno],0))</f>
        <v>0</v>
      </c>
      <c r="AJ504" s="99" t="b">
        <f>INDEX(stable[q_carbon],MATCH(questions[[#This Row],[qno]],stable[qno],0))</f>
        <v>1</v>
      </c>
      <c r="AK504" s="99" t="b">
        <f>INDEX(stable[q_regen_ag],MATCH(questions[[#This Row],[qno]],stable[qno],0))</f>
        <v>0</v>
      </c>
      <c r="AL504" s="16" t="b">
        <f>COUNTIFS(stable[qno],questions[[#This Row],[qno]])=1</f>
        <v>1</v>
      </c>
      <c r="AM504" s="16" t="b">
        <f>OR(questions[[#This Row],[is_fixed]],questions[[#This Row],[is_localized]],questions[[#This Row],[is_supply_chain_dependent]])</f>
        <v>1</v>
      </c>
      <c r="AN504" s="16" t="b">
        <f>COUNTIFS(questions[[#This Row],[is_automated]:[is_multi_select]],TRUE)=1</f>
        <v>1</v>
      </c>
      <c r="AO504" s="16" t="b">
        <f>IF(questions[[#This Row],[is_fixed]],questions[[#This Row],[question]]=INDEX(stable[question],MATCH(questions[[#This Row],[qno]],stable[qno],0)),TRUE)</f>
        <v>1</v>
      </c>
      <c r="AP504" s="16" t="str">
        <f>LEFT(questions[[#This Row],[question]],similarity_range)</f>
        <v>How many days per ye</v>
      </c>
      <c r="AQ504" s="16" t="str">
        <f>LEFT(INDEX(stable[question],MATCH(questions[[#This Row],[qno]],stable[qno],0)),similarity_range)</f>
        <v>How many days per ye</v>
      </c>
      <c r="AR504" s="16" t="b">
        <f>questions[[#This Row],[question_first_characters]]=questions[[#This Row],[stability_first_characters]]</f>
        <v>1</v>
      </c>
      <c r="AS504" s="16" t="b">
        <f>IF(OR(questions[[#This Row],[is_single_select]],questions[[#This Row],[is_multi_select]]),NOT(ISBLANK(questions[[#This Row],[answer_opt_combined]])),TRUE)</f>
        <v>1</v>
      </c>
    </row>
    <row r="505" spans="1:45" s="77" customFormat="1" x14ac:dyDescent="0.25">
      <c r="A505" s="77" t="str">
        <f>_xlfn.TEXTJOIN("_",TRUE,questions[[#This Row],[origin]:[qno]])</f>
        <v>Vietnam_Robusta_Lam_Dong_Nestlé_IMPACT_8400</v>
      </c>
      <c r="B505" s="77" t="s">
        <v>673</v>
      </c>
      <c r="C505" s="77" t="s">
        <v>674</v>
      </c>
      <c r="D505" s="77" t="s">
        <v>675</v>
      </c>
      <c r="F505" s="104" t="s">
        <v>654</v>
      </c>
      <c r="G505" s="78" t="s">
        <v>655</v>
      </c>
      <c r="H505" s="33" t="str" cm="1">
        <f t="array" ref="H505">INDEX(stableR[question],MATCH(VALUE(questions[[#This Row],[qno]]),VALUE(stableR[qno]),0))</f>
        <v>Did you use petrol in any process in your coffee farming last year?</v>
      </c>
      <c r="I505" s="33" t="b" cm="1">
        <f t="array" ref="I505">INDEX(stable[is_fixed],MATCH(VALUE(questions[[#This Row],[qno]]),VALUE(stable[qno]),0))</f>
        <v>0</v>
      </c>
      <c r="J505" s="33" t="b" cm="1">
        <f t="array" ref="J505">INDEX(stable[is_localized],MATCH(VALUE(questions[[#This Row],[qno]]),VALUE(stable[qno]),0))</f>
        <v>0</v>
      </c>
      <c r="K505" s="33" t="b" cm="1">
        <f t="array" ref="K505">INDEX(stable[is_supply_chain_dependent],MATCH(VALUE(questions[[#This Row],[qno]]),VALUE(stable[qno]),0))</f>
        <v>1</v>
      </c>
      <c r="L505" s="33" t="b" cm="1">
        <f t="array" ref="L505">INDEX(stable[is_mandatory],MATCH(VALUE(questions[[#This Row],[qno]]),VALUE(stable[qno]),0))</f>
        <v>1</v>
      </c>
      <c r="M505" s="33" t="b" cm="1">
        <f t="array" ref="M505">INDEX(stable[is_automated],MATCH(VALUE(questions[[#This Row],[qno]]),VALUE(stable[qno]),0))</f>
        <v>0</v>
      </c>
      <c r="N505" s="33" t="b" cm="1">
        <f t="array" ref="N505">INDEX(stable[is_free_text],MATCH(VALUE(questions[[#This Row],[qno]]),VALUE(stable[qno]),0))</f>
        <v>0</v>
      </c>
      <c r="O505" s="33" t="b" cm="1">
        <f t="array" ref="O505">INDEX(stable[is_numerical],MATCH(VALUE(questions[[#This Row],[qno]]),VALUE(stable[qno]),0))</f>
        <v>0</v>
      </c>
      <c r="P505" s="103" t="b" cm="1">
        <f t="array" ref="P505">INDEX(stable[is_single_select],MATCH(VALUE(questions[[#This Row],[qno]]),VALUE(stable[qno]),0))</f>
        <v>1</v>
      </c>
      <c r="Q505" s="77" t="b" cm="1">
        <f t="array" ref="Q505">INDEX(stable[is_multi_select],MATCH(VALUE(questions[[#This Row],[qno]]),VALUE(stable[qno]),0))</f>
        <v>0</v>
      </c>
      <c r="R505" s="77" t="b" cm="1">
        <f t="array" ref="R505">INDEX(stable[is_skip_logic],MATCH(VALUE(questions[[#This Row],[qno]]),VALUE(stable[qno]),0))</f>
        <v>1</v>
      </c>
      <c r="S505" s="77" t="str">
        <f>_xlfn.TEXTJOIN(", ",TRUE,questions[[#This Row],[ans_opt_1]:[ans_opt_14]])</f>
        <v>Yes, No</v>
      </c>
      <c r="T505" s="77" t="s">
        <v>149</v>
      </c>
      <c r="U505" s="77" t="s">
        <v>119</v>
      </c>
      <c r="AH505" s="98" t="b">
        <f>INDEX(stable[q_standard],MATCH(questions[[#This Row],[qno]],stable[qno],0))</f>
        <v>0</v>
      </c>
      <c r="AI505" s="98" t="b">
        <f>INDEX(stable[q_living_income],MATCH(questions[[#This Row],[qno]],stable[qno],0))</f>
        <v>0</v>
      </c>
      <c r="AJ505" s="98" t="b">
        <f>INDEX(stable[q_carbon],MATCH(questions[[#This Row],[qno]],stable[qno],0))</f>
        <v>1</v>
      </c>
      <c r="AK505" s="98" t="b">
        <f>INDEX(stable[q_regen_ag],MATCH(questions[[#This Row],[qno]],stable[qno],0))</f>
        <v>0</v>
      </c>
      <c r="AL505" s="98" t="b">
        <f>COUNTIFS(stable[qno],questions[[#This Row],[qno]])=1</f>
        <v>1</v>
      </c>
      <c r="AM505" s="98" t="b">
        <f>OR(questions[[#This Row],[is_fixed]],questions[[#This Row],[is_localized]],questions[[#This Row],[is_supply_chain_dependent]])</f>
        <v>1</v>
      </c>
      <c r="AN505" s="98" t="b">
        <f>COUNTIFS(questions[[#This Row],[is_automated]:[is_multi_select]],TRUE)=1</f>
        <v>1</v>
      </c>
      <c r="AO505" s="98" t="b">
        <f>IF(questions[[#This Row],[is_fixed]],questions[[#This Row],[question]]=INDEX(stable[question],MATCH(questions[[#This Row],[qno]],stable[qno],0)),TRUE)</f>
        <v>1</v>
      </c>
      <c r="AP505" s="98" t="str">
        <f>LEFT(questions[[#This Row],[question]],similarity_range)</f>
        <v>Did you use petrol i</v>
      </c>
      <c r="AQ505" s="98" t="str">
        <f>LEFT(INDEX(stable[question],MATCH(questions[[#This Row],[qno]],stable[qno],0)),similarity_range)</f>
        <v>Did you use petrol i</v>
      </c>
      <c r="AR505" s="98" t="b">
        <f>questions[[#This Row],[question_first_characters]]=questions[[#This Row],[stability_first_characters]]</f>
        <v>1</v>
      </c>
      <c r="AS505" s="98" t="b">
        <f>IF(OR(questions[[#This Row],[is_single_select]],questions[[#This Row],[is_multi_select]]),NOT(ISBLANK(questions[[#This Row],[answer_opt_combined]])),TRUE)</f>
        <v>1</v>
      </c>
    </row>
    <row r="506" spans="1:45" s="77" customFormat="1" x14ac:dyDescent="0.25">
      <c r="A506" s="77" t="str">
        <f>_xlfn.TEXTJOIN("_",TRUE,questions[[#This Row],[origin]:[qno]])</f>
        <v>Vietnam_Robusta_Lam_Dong_Nestlé_IMPACT_8401</v>
      </c>
      <c r="B506" s="77" t="s">
        <v>673</v>
      </c>
      <c r="C506" s="77" t="s">
        <v>674</v>
      </c>
      <c r="D506" s="77" t="s">
        <v>675</v>
      </c>
      <c r="F506" s="104" t="s">
        <v>656</v>
      </c>
      <c r="G506" s="78" t="s">
        <v>657</v>
      </c>
      <c r="H506" s="33" t="str" cm="1">
        <f t="array" ref="H506">INDEX(stableR[question],MATCH(VALUE(questions[[#This Row],[qno]]),VALUE(stableR[qno]),0))</f>
        <v>If yes, where do you use it for?</v>
      </c>
      <c r="I506" s="33" t="b" cm="1">
        <f t="array" ref="I506">INDEX(stable[is_fixed],MATCH(VALUE(questions[[#This Row],[qno]]),VALUE(stable[qno]),0))</f>
        <v>0</v>
      </c>
      <c r="J506" s="33" t="b" cm="1">
        <f t="array" ref="J506">INDEX(stable[is_localized],MATCH(VALUE(questions[[#This Row],[qno]]),VALUE(stable[qno]),0))</f>
        <v>0</v>
      </c>
      <c r="K506" s="33" t="b" cm="1">
        <f t="array" ref="K506">INDEX(stable[is_supply_chain_dependent],MATCH(VALUE(questions[[#This Row],[qno]]),VALUE(stable[qno]),0))</f>
        <v>1</v>
      </c>
      <c r="L506" s="33" t="b" cm="1">
        <f t="array" ref="L506">INDEX(stable[is_mandatory],MATCH(VALUE(questions[[#This Row],[qno]]),VALUE(stable[qno]),0))</f>
        <v>1</v>
      </c>
      <c r="M506" s="33" t="b" cm="1">
        <f t="array" ref="M506">INDEX(stable[is_automated],MATCH(VALUE(questions[[#This Row],[qno]]),VALUE(stable[qno]),0))</f>
        <v>0</v>
      </c>
      <c r="N506" s="33" t="b" cm="1">
        <f t="array" ref="N506">INDEX(stable[is_free_text],MATCH(VALUE(questions[[#This Row],[qno]]),VALUE(stable[qno]),0))</f>
        <v>0</v>
      </c>
      <c r="O506" s="33" t="b" cm="1">
        <f t="array" ref="O506">INDEX(stable[is_numerical],MATCH(VALUE(questions[[#This Row],[qno]]),VALUE(stable[qno]),0))</f>
        <v>0</v>
      </c>
      <c r="P506" s="103" t="b" cm="1">
        <f t="array" ref="P506">INDEX(stable[is_single_select],MATCH(VALUE(questions[[#This Row],[qno]]),VALUE(stable[qno]),0))</f>
        <v>0</v>
      </c>
      <c r="Q506" s="77" t="b" cm="1">
        <f t="array" ref="Q506">INDEX(stable[is_multi_select],MATCH(VALUE(questions[[#This Row],[qno]]),VALUE(stable[qno]),0))</f>
        <v>1</v>
      </c>
      <c r="R506" s="77" t="b" cm="1">
        <f t="array" ref="R506">INDEX(stable[is_skip_logic],MATCH(VALUE(questions[[#This Row],[qno]]),VALUE(stable[qno]),0))</f>
        <v>1</v>
      </c>
      <c r="S506" s="77" t="str">
        <f>_xlfn.TEXTJOIN(", ",TRUE,questions[[#This Row],[ans_opt_1]:[ans_opt_14]])</f>
        <v>Processing, Transport, Power Generator, Irrigation, Weed cutter, Other</v>
      </c>
      <c r="T506" s="77" t="s">
        <v>646</v>
      </c>
      <c r="U506" s="77" t="s">
        <v>647</v>
      </c>
      <c r="V506" s="77" t="s">
        <v>648</v>
      </c>
      <c r="W506" s="77" t="s">
        <v>649</v>
      </c>
      <c r="X506" s="77" t="s">
        <v>658</v>
      </c>
      <c r="AG506" s="77" t="s">
        <v>112</v>
      </c>
      <c r="AH506" s="98" t="b">
        <f>INDEX(stable[q_standard],MATCH(questions[[#This Row],[qno]],stable[qno],0))</f>
        <v>0</v>
      </c>
      <c r="AI506" s="98" t="b">
        <f>INDEX(stable[q_living_income],MATCH(questions[[#This Row],[qno]],stable[qno],0))</f>
        <v>0</v>
      </c>
      <c r="AJ506" s="98" t="b">
        <f>INDEX(stable[q_carbon],MATCH(questions[[#This Row],[qno]],stable[qno],0))</f>
        <v>1</v>
      </c>
      <c r="AK506" s="98" t="b">
        <f>INDEX(stable[q_regen_ag],MATCH(questions[[#This Row],[qno]],stable[qno],0))</f>
        <v>0</v>
      </c>
      <c r="AL506" s="98" t="b">
        <f>COUNTIFS(stable[qno],questions[[#This Row],[qno]])=1</f>
        <v>1</v>
      </c>
      <c r="AM506" s="98" t="b">
        <f>OR(questions[[#This Row],[is_fixed]],questions[[#This Row],[is_localized]],questions[[#This Row],[is_supply_chain_dependent]])</f>
        <v>1</v>
      </c>
      <c r="AN506" s="98" t="b">
        <f>COUNTIFS(questions[[#This Row],[is_automated]:[is_multi_select]],TRUE)=1</f>
        <v>1</v>
      </c>
      <c r="AO506" s="98" t="b">
        <f>IF(questions[[#This Row],[is_fixed]],questions[[#This Row],[question]]=INDEX(stable[question],MATCH(questions[[#This Row],[qno]],stable[qno],0)),TRUE)</f>
        <v>1</v>
      </c>
      <c r="AP506" s="98" t="str">
        <f>LEFT(questions[[#This Row],[question]],similarity_range)</f>
        <v>If yes, where do you</v>
      </c>
      <c r="AQ506" s="98" t="str">
        <f>LEFT(INDEX(stable[question],MATCH(questions[[#This Row],[qno]],stable[qno],0)),similarity_range)</f>
        <v>If yes, where do you</v>
      </c>
      <c r="AR506" s="98" t="b">
        <f>questions[[#This Row],[question_first_characters]]=questions[[#This Row],[stability_first_characters]]</f>
        <v>1</v>
      </c>
      <c r="AS506" s="98" t="b">
        <f>IF(OR(questions[[#This Row],[is_single_select]],questions[[#This Row],[is_multi_select]]),NOT(ISBLANK(questions[[#This Row],[answer_opt_combined]])),TRUE)</f>
        <v>1</v>
      </c>
    </row>
    <row r="507" spans="1:45" x14ac:dyDescent="0.25">
      <c r="A507" s="33" t="str">
        <f>_xlfn.TEXTJOIN("_",TRUE,questions[[#This Row],[origin]:[qno]])</f>
        <v>Vietnam_Robusta_Lam_Dong_Nestlé_IMPACT_8402</v>
      </c>
      <c r="B507" s="33" t="s">
        <v>673</v>
      </c>
      <c r="C507" s="33" t="s">
        <v>674</v>
      </c>
      <c r="D507" s="33" t="s">
        <v>675</v>
      </c>
      <c r="E507" s="33"/>
      <c r="F507" s="34" t="s">
        <v>659</v>
      </c>
      <c r="G507" s="18" t="s">
        <v>651</v>
      </c>
      <c r="H507" s="33" t="str" cm="1">
        <f t="array" ref="H507">INDEX(stableR[question],MATCH(VALUE(questions[[#This Row],[qno]]),VALUE(stableR[qno]),0))</f>
        <v>How many liters per day?</v>
      </c>
      <c r="I507" s="33" t="b" cm="1">
        <f t="array" ref="I507">INDEX(stable[is_fixed],MATCH(VALUE(questions[[#This Row],[qno]]),VALUE(stable[qno]),0))</f>
        <v>0</v>
      </c>
      <c r="J507" s="33" t="b" cm="1">
        <f t="array" ref="J507">INDEX(stable[is_localized],MATCH(VALUE(questions[[#This Row],[qno]]),VALUE(stable[qno]),0))</f>
        <v>0</v>
      </c>
      <c r="K507" s="33" t="b" cm="1">
        <f t="array" ref="K507">INDEX(stable[is_supply_chain_dependent],MATCH(VALUE(questions[[#This Row],[qno]]),VALUE(stable[qno]),0))</f>
        <v>1</v>
      </c>
      <c r="L507" s="33" t="b" cm="1">
        <f t="array" ref="L507">INDEX(stable[is_mandatory],MATCH(VALUE(questions[[#This Row],[qno]]),VALUE(stable[qno]),0))</f>
        <v>1</v>
      </c>
      <c r="M507" s="33" t="b" cm="1">
        <f t="array" ref="M507">INDEX(stable[is_automated],MATCH(VALUE(questions[[#This Row],[qno]]),VALUE(stable[qno]),0))</f>
        <v>0</v>
      </c>
      <c r="N507" s="33" t="b" cm="1">
        <f t="array" ref="N507">INDEX(stable[is_free_text],MATCH(VALUE(questions[[#This Row],[qno]]),VALUE(stable[qno]),0))</f>
        <v>0</v>
      </c>
      <c r="O507" s="33" t="b" cm="1">
        <f t="array" ref="O507">INDEX(stable[is_numerical],MATCH(VALUE(questions[[#This Row],[qno]]),VALUE(stable[qno]),0))</f>
        <v>1</v>
      </c>
      <c r="P507" s="35" t="b" cm="1">
        <f t="array" ref="P507">INDEX(stable[is_single_select],MATCH(VALUE(questions[[#This Row],[qno]]),VALUE(stable[qno]),0))</f>
        <v>0</v>
      </c>
      <c r="Q507" s="33" t="b" cm="1">
        <f t="array" ref="Q507">INDEX(stable[is_multi_select],MATCH(VALUE(questions[[#This Row],[qno]]),VALUE(stable[qno]),0))</f>
        <v>0</v>
      </c>
      <c r="R507" s="33" t="b" cm="1">
        <f t="array" ref="R507">INDEX(stable[is_skip_logic],MATCH(VALUE(questions[[#This Row],[qno]]),VALUE(stable[qno]),0))</f>
        <v>1</v>
      </c>
      <c r="S507" s="33" t="str">
        <f>_xlfn.TEXTJOIN(", ",TRUE,questions[[#This Row],[ans_opt_1]:[ans_opt_14]])</f>
        <v/>
      </c>
      <c r="T507" s="33"/>
      <c r="U507" s="33"/>
      <c r="V507" s="33"/>
      <c r="W507" s="33"/>
      <c r="X507" s="33"/>
      <c r="Y507" s="33"/>
      <c r="Z507" s="33"/>
      <c r="AA507" s="33"/>
      <c r="AB507" s="33"/>
      <c r="AC507" s="33"/>
      <c r="AD507" s="33"/>
      <c r="AE507" s="33"/>
      <c r="AF507" s="33"/>
      <c r="AG507" s="33"/>
      <c r="AH507" s="99" t="b">
        <f>INDEX(stable[q_standard],MATCH(questions[[#This Row],[qno]],stable[qno],0))</f>
        <v>0</v>
      </c>
      <c r="AI507" s="99" t="b">
        <f>INDEX(stable[q_living_income],MATCH(questions[[#This Row],[qno]],stable[qno],0))</f>
        <v>0</v>
      </c>
      <c r="AJ507" s="99" t="b">
        <f>INDEX(stable[q_carbon],MATCH(questions[[#This Row],[qno]],stable[qno],0))</f>
        <v>1</v>
      </c>
      <c r="AK507" s="99" t="b">
        <f>INDEX(stable[q_regen_ag],MATCH(questions[[#This Row],[qno]],stable[qno],0))</f>
        <v>0</v>
      </c>
      <c r="AL507" s="16" t="b">
        <f>COUNTIFS(stable[qno],questions[[#This Row],[qno]])=1</f>
        <v>1</v>
      </c>
      <c r="AM507" s="16" t="b">
        <f>OR(questions[[#This Row],[is_fixed]],questions[[#This Row],[is_localized]],questions[[#This Row],[is_supply_chain_dependent]])</f>
        <v>1</v>
      </c>
      <c r="AN507" s="16" t="b">
        <f>COUNTIFS(questions[[#This Row],[is_automated]:[is_multi_select]],TRUE)=1</f>
        <v>1</v>
      </c>
      <c r="AO507" s="16" t="b">
        <f>IF(questions[[#This Row],[is_fixed]],questions[[#This Row],[question]]=INDEX(stable[question],MATCH(questions[[#This Row],[qno]],stable[qno],0)),TRUE)</f>
        <v>1</v>
      </c>
      <c r="AP507" s="16" t="str">
        <f>LEFT(questions[[#This Row],[question]],similarity_range)</f>
        <v xml:space="preserve">How many liters per </v>
      </c>
      <c r="AQ507" s="16" t="str">
        <f>LEFT(INDEX(stable[question],MATCH(questions[[#This Row],[qno]],stable[qno],0)),similarity_range)</f>
        <v xml:space="preserve">How many liters per </v>
      </c>
      <c r="AR507" s="16" t="b">
        <f>questions[[#This Row],[question_first_characters]]=questions[[#This Row],[stability_first_characters]]</f>
        <v>1</v>
      </c>
      <c r="AS507" s="16" t="b">
        <f>IF(OR(questions[[#This Row],[is_single_select]],questions[[#This Row],[is_multi_select]]),NOT(ISBLANK(questions[[#This Row],[answer_opt_combined]])),TRUE)</f>
        <v>1</v>
      </c>
    </row>
    <row r="508" spans="1:45" x14ac:dyDescent="0.25">
      <c r="A508" s="33" t="str">
        <f>_xlfn.TEXTJOIN("_",TRUE,questions[[#This Row],[origin]:[qno]])</f>
        <v>Vietnam_Robusta_Lam_Dong_Nestlé_IMPACT_8403</v>
      </c>
      <c r="B508" s="33" t="s">
        <v>673</v>
      </c>
      <c r="C508" s="33" t="s">
        <v>674</v>
      </c>
      <c r="D508" s="33" t="s">
        <v>675</v>
      </c>
      <c r="E508" s="33"/>
      <c r="F508" s="34" t="s">
        <v>660</v>
      </c>
      <c r="G508" s="18" t="s">
        <v>653</v>
      </c>
      <c r="H508" s="33" t="str" cm="1">
        <f t="array" ref="H508">INDEX(stableR[question],MATCH(VALUE(questions[[#This Row],[qno]]),VALUE(stableR[qno]),0))</f>
        <v>How many days per year?</v>
      </c>
      <c r="I508" s="33" t="b" cm="1">
        <f t="array" ref="I508">INDEX(stable[is_fixed],MATCH(VALUE(questions[[#This Row],[qno]]),VALUE(stable[qno]),0))</f>
        <v>0</v>
      </c>
      <c r="J508" s="33" t="b" cm="1">
        <f t="array" ref="J508">INDEX(stable[is_localized],MATCH(VALUE(questions[[#This Row],[qno]]),VALUE(stable[qno]),0))</f>
        <v>0</v>
      </c>
      <c r="K508" s="33" t="b" cm="1">
        <f t="array" ref="K508">INDEX(stable[is_supply_chain_dependent],MATCH(VALUE(questions[[#This Row],[qno]]),VALUE(stable[qno]),0))</f>
        <v>1</v>
      </c>
      <c r="L508" s="33" t="b" cm="1">
        <f t="array" ref="L508">INDEX(stable[is_mandatory],MATCH(VALUE(questions[[#This Row],[qno]]),VALUE(stable[qno]),0))</f>
        <v>1</v>
      </c>
      <c r="M508" s="33" t="b" cm="1">
        <f t="array" ref="M508">INDEX(stable[is_automated],MATCH(VALUE(questions[[#This Row],[qno]]),VALUE(stable[qno]),0))</f>
        <v>0</v>
      </c>
      <c r="N508" s="33" t="b" cm="1">
        <f t="array" ref="N508">INDEX(stable[is_free_text],MATCH(VALUE(questions[[#This Row],[qno]]),VALUE(stable[qno]),0))</f>
        <v>0</v>
      </c>
      <c r="O508" s="33" t="b" cm="1">
        <f t="array" ref="O508">INDEX(stable[is_numerical],MATCH(VALUE(questions[[#This Row],[qno]]),VALUE(stable[qno]),0))</f>
        <v>1</v>
      </c>
      <c r="P508" s="35" t="b" cm="1">
        <f t="array" ref="P508">INDEX(stable[is_single_select],MATCH(VALUE(questions[[#This Row],[qno]]),VALUE(stable[qno]),0))</f>
        <v>0</v>
      </c>
      <c r="Q508" s="33" t="b" cm="1">
        <f t="array" ref="Q508">INDEX(stable[is_multi_select],MATCH(VALUE(questions[[#This Row],[qno]]),VALUE(stable[qno]),0))</f>
        <v>0</v>
      </c>
      <c r="R508" s="33" t="b" cm="1">
        <f t="array" ref="R508">INDEX(stable[is_skip_logic],MATCH(VALUE(questions[[#This Row],[qno]]),VALUE(stable[qno]),0))</f>
        <v>1</v>
      </c>
      <c r="S508" s="33" t="str">
        <f>_xlfn.TEXTJOIN(", ",TRUE,questions[[#This Row],[ans_opt_1]:[ans_opt_14]])</f>
        <v/>
      </c>
      <c r="T508" s="33"/>
      <c r="U508" s="33"/>
      <c r="V508" s="33"/>
      <c r="W508" s="33"/>
      <c r="X508" s="33"/>
      <c r="Y508" s="33"/>
      <c r="Z508" s="33"/>
      <c r="AA508" s="33"/>
      <c r="AB508" s="33"/>
      <c r="AC508" s="33"/>
      <c r="AD508" s="33"/>
      <c r="AE508" s="33"/>
      <c r="AF508" s="33"/>
      <c r="AG508" s="33"/>
      <c r="AH508" s="99" t="b">
        <f>INDEX(stable[q_standard],MATCH(questions[[#This Row],[qno]],stable[qno],0))</f>
        <v>0</v>
      </c>
      <c r="AI508" s="99" t="b">
        <f>INDEX(stable[q_living_income],MATCH(questions[[#This Row],[qno]],stable[qno],0))</f>
        <v>0</v>
      </c>
      <c r="AJ508" s="99" t="b">
        <f>INDEX(stable[q_carbon],MATCH(questions[[#This Row],[qno]],stable[qno],0))</f>
        <v>1</v>
      </c>
      <c r="AK508" s="99" t="b">
        <f>INDEX(stable[q_regen_ag],MATCH(questions[[#This Row],[qno]],stable[qno],0))</f>
        <v>0</v>
      </c>
      <c r="AL508" s="16" t="b">
        <f>COUNTIFS(stable[qno],questions[[#This Row],[qno]])=1</f>
        <v>1</v>
      </c>
      <c r="AM508" s="16" t="b">
        <f>OR(questions[[#This Row],[is_fixed]],questions[[#This Row],[is_localized]],questions[[#This Row],[is_supply_chain_dependent]])</f>
        <v>1</v>
      </c>
      <c r="AN508" s="16" t="b">
        <f>COUNTIFS(questions[[#This Row],[is_automated]:[is_multi_select]],TRUE)=1</f>
        <v>1</v>
      </c>
      <c r="AO508" s="16" t="b">
        <f>IF(questions[[#This Row],[is_fixed]],questions[[#This Row],[question]]=INDEX(stable[question],MATCH(questions[[#This Row],[qno]],stable[qno],0)),TRUE)</f>
        <v>1</v>
      </c>
      <c r="AP508" s="16" t="str">
        <f>LEFT(questions[[#This Row],[question]],similarity_range)</f>
        <v>How many days per ye</v>
      </c>
      <c r="AQ508" s="16" t="str">
        <f>LEFT(INDEX(stable[question],MATCH(questions[[#This Row],[qno]],stable[qno],0)),similarity_range)</f>
        <v>How many days per ye</v>
      </c>
      <c r="AR508" s="16" t="b">
        <f>questions[[#This Row],[question_first_characters]]=questions[[#This Row],[stability_first_characters]]</f>
        <v>1</v>
      </c>
      <c r="AS508" s="16" t="b">
        <f>IF(OR(questions[[#This Row],[is_single_select]],questions[[#This Row],[is_multi_select]]),NOT(ISBLANK(questions[[#This Row],[answer_opt_combined]])),TRUE)</f>
        <v>1</v>
      </c>
    </row>
    <row r="509" spans="1:45" s="77" customFormat="1" x14ac:dyDescent="0.25">
      <c r="A509" s="77" t="str">
        <f>_xlfn.TEXTJOIN("_",TRUE,questions[[#This Row],[origin]:[qno]])</f>
        <v>Vietnam_Robusta_Lam_Dong_Nestlé_IMPACT_8500</v>
      </c>
      <c r="B509" s="77" t="s">
        <v>673</v>
      </c>
      <c r="C509" s="77" t="s">
        <v>674</v>
      </c>
      <c r="D509" s="77" t="s">
        <v>675</v>
      </c>
      <c r="F509" s="104" t="s">
        <v>661</v>
      </c>
      <c r="G509" s="78" t="s">
        <v>662</v>
      </c>
      <c r="H509" s="33" t="str" cm="1">
        <f t="array" ref="H509">INDEX(stableR[question],MATCH(VALUE(questions[[#This Row],[qno]]),VALUE(stableR[qno]),0))</f>
        <v>Did you use electricity in any process in your coffee farming last year?</v>
      </c>
      <c r="I509" s="33" t="b" cm="1">
        <f t="array" ref="I509">INDEX(stable[is_fixed],MATCH(VALUE(questions[[#This Row],[qno]]),VALUE(stable[qno]),0))</f>
        <v>0</v>
      </c>
      <c r="J509" s="33" t="b" cm="1">
        <f t="array" ref="J509">INDEX(stable[is_localized],MATCH(VALUE(questions[[#This Row],[qno]]),VALUE(stable[qno]),0))</f>
        <v>0</v>
      </c>
      <c r="K509" s="33" t="b" cm="1">
        <f t="array" ref="K509">INDEX(stable[is_supply_chain_dependent],MATCH(VALUE(questions[[#This Row],[qno]]),VALUE(stable[qno]),0))</f>
        <v>1</v>
      </c>
      <c r="L509" s="33" t="b" cm="1">
        <f t="array" ref="L509">INDEX(stable[is_mandatory],MATCH(VALUE(questions[[#This Row],[qno]]),VALUE(stable[qno]),0))</f>
        <v>1</v>
      </c>
      <c r="M509" s="33" t="b" cm="1">
        <f t="array" ref="M509">INDEX(stable[is_automated],MATCH(VALUE(questions[[#This Row],[qno]]),VALUE(stable[qno]),0))</f>
        <v>0</v>
      </c>
      <c r="N509" s="33" t="b" cm="1">
        <f t="array" ref="N509">INDEX(stable[is_free_text],MATCH(VALUE(questions[[#This Row],[qno]]),VALUE(stable[qno]),0))</f>
        <v>0</v>
      </c>
      <c r="O509" s="33" t="b" cm="1">
        <f t="array" ref="O509">INDEX(stable[is_numerical],MATCH(VALUE(questions[[#This Row],[qno]]),VALUE(stable[qno]),0))</f>
        <v>0</v>
      </c>
      <c r="P509" s="103" t="b" cm="1">
        <f t="array" ref="P509">INDEX(stable[is_single_select],MATCH(VALUE(questions[[#This Row],[qno]]),VALUE(stable[qno]),0))</f>
        <v>1</v>
      </c>
      <c r="Q509" s="77" t="b" cm="1">
        <f t="array" ref="Q509">INDEX(stable[is_multi_select],MATCH(VALUE(questions[[#This Row],[qno]]),VALUE(stable[qno]),0))</f>
        <v>0</v>
      </c>
      <c r="R509" s="77" t="b" cm="1">
        <f t="array" ref="R509">INDEX(stable[is_skip_logic],MATCH(VALUE(questions[[#This Row],[qno]]),VALUE(stable[qno]),0))</f>
        <v>1</v>
      </c>
      <c r="S509" s="77" t="str">
        <f>_xlfn.TEXTJOIN(", ",TRUE,questions[[#This Row],[ans_opt_1]:[ans_opt_14]])</f>
        <v>Yes, No</v>
      </c>
      <c r="T509" s="77" t="s">
        <v>149</v>
      </c>
      <c r="U509" s="77" t="s">
        <v>119</v>
      </c>
      <c r="AH509" s="98" t="b">
        <f>INDEX(stable[q_standard],MATCH(questions[[#This Row],[qno]],stable[qno],0))</f>
        <v>0</v>
      </c>
      <c r="AI509" s="98" t="b">
        <f>INDEX(stable[q_living_income],MATCH(questions[[#This Row],[qno]],stable[qno],0))</f>
        <v>0</v>
      </c>
      <c r="AJ509" s="98" t="b">
        <f>INDEX(stable[q_carbon],MATCH(questions[[#This Row],[qno]],stable[qno],0))</f>
        <v>1</v>
      </c>
      <c r="AK509" s="98" t="b">
        <f>INDEX(stable[q_regen_ag],MATCH(questions[[#This Row],[qno]],stable[qno],0))</f>
        <v>0</v>
      </c>
      <c r="AL509" s="98" t="b">
        <f>COUNTIFS(stable[qno],questions[[#This Row],[qno]])=1</f>
        <v>1</v>
      </c>
      <c r="AM509" s="98" t="b">
        <f>OR(questions[[#This Row],[is_fixed]],questions[[#This Row],[is_localized]],questions[[#This Row],[is_supply_chain_dependent]])</f>
        <v>1</v>
      </c>
      <c r="AN509" s="98" t="b">
        <f>COUNTIFS(questions[[#This Row],[is_automated]:[is_multi_select]],TRUE)=1</f>
        <v>1</v>
      </c>
      <c r="AO509" s="98" t="b">
        <f>IF(questions[[#This Row],[is_fixed]],questions[[#This Row],[question]]=INDEX(stable[question],MATCH(questions[[#This Row],[qno]],stable[qno],0)),TRUE)</f>
        <v>1</v>
      </c>
      <c r="AP509" s="98" t="str">
        <f>LEFT(questions[[#This Row],[question]],similarity_range)</f>
        <v>Did you use electris</v>
      </c>
      <c r="AQ509" s="98" t="str">
        <f>LEFT(INDEX(stable[question],MATCH(questions[[#This Row],[qno]],stable[qno],0)),similarity_range)</f>
        <v>Did you use electric</v>
      </c>
      <c r="AR509" s="98" t="b">
        <f>questions[[#This Row],[question_first_characters]]=questions[[#This Row],[stability_first_characters]]</f>
        <v>0</v>
      </c>
      <c r="AS509" s="98" t="b">
        <f>IF(OR(questions[[#This Row],[is_single_select]],questions[[#This Row],[is_multi_select]]),NOT(ISBLANK(questions[[#This Row],[answer_opt_combined]])),TRUE)</f>
        <v>1</v>
      </c>
    </row>
    <row r="510" spans="1:45" s="77" customFormat="1" x14ac:dyDescent="0.25">
      <c r="A510" s="77" t="str">
        <f>_xlfn.TEXTJOIN("_",TRUE,questions[[#This Row],[origin]:[qno]])</f>
        <v>Vietnam_Robusta_Lam_Dong_Nestlé_IMPACT_8501</v>
      </c>
      <c r="B510" s="77" t="s">
        <v>673</v>
      </c>
      <c r="C510" s="77" t="s">
        <v>674</v>
      </c>
      <c r="D510" s="77" t="s">
        <v>675</v>
      </c>
      <c r="F510" s="104" t="s">
        <v>663</v>
      </c>
      <c r="G510" s="78" t="s">
        <v>664</v>
      </c>
      <c r="H510" s="33" t="str" cm="1">
        <f t="array" ref="H510">INDEX(stableR[question],MATCH(VALUE(questions[[#This Row],[qno]]),VALUE(stableR[qno]),0))</f>
        <v>If yes, what is the source of this electricity?</v>
      </c>
      <c r="I510" s="33" t="b" cm="1">
        <f t="array" ref="I510">INDEX(stable[is_fixed],MATCH(VALUE(questions[[#This Row],[qno]]),VALUE(stable[qno]),0))</f>
        <v>0</v>
      </c>
      <c r="J510" s="33" t="b" cm="1">
        <f t="array" ref="J510">INDEX(stable[is_localized],MATCH(VALUE(questions[[#This Row],[qno]]),VALUE(stable[qno]),0))</f>
        <v>0</v>
      </c>
      <c r="K510" s="33" t="b" cm="1">
        <f t="array" ref="K510">INDEX(stable[is_supply_chain_dependent],MATCH(VALUE(questions[[#This Row],[qno]]),VALUE(stable[qno]),0))</f>
        <v>1</v>
      </c>
      <c r="L510" s="33" t="b" cm="1">
        <f t="array" ref="L510">INDEX(stable[is_mandatory],MATCH(VALUE(questions[[#This Row],[qno]]),VALUE(stable[qno]),0))</f>
        <v>1</v>
      </c>
      <c r="M510" s="33" t="b" cm="1">
        <f t="array" ref="M510">INDEX(stable[is_automated],MATCH(VALUE(questions[[#This Row],[qno]]),VALUE(stable[qno]),0))</f>
        <v>0</v>
      </c>
      <c r="N510" s="33" t="b" cm="1">
        <f t="array" ref="N510">INDEX(stable[is_free_text],MATCH(VALUE(questions[[#This Row],[qno]]),VALUE(stable[qno]),0))</f>
        <v>0</v>
      </c>
      <c r="O510" s="33" t="b" cm="1">
        <f t="array" ref="O510">INDEX(stable[is_numerical],MATCH(VALUE(questions[[#This Row],[qno]]),VALUE(stable[qno]),0))</f>
        <v>0</v>
      </c>
      <c r="P510" s="103" t="b" cm="1">
        <f t="array" ref="P510">INDEX(stable[is_single_select],MATCH(VALUE(questions[[#This Row],[qno]]),VALUE(stable[qno]),0))</f>
        <v>0</v>
      </c>
      <c r="Q510" s="77" t="b" cm="1">
        <f t="array" ref="Q510">INDEX(stable[is_multi_select],MATCH(VALUE(questions[[#This Row],[qno]]),VALUE(stable[qno]),0))</f>
        <v>1</v>
      </c>
      <c r="R510" s="77" t="b" cm="1">
        <f t="array" ref="R510">INDEX(stable[is_skip_logic],MATCH(VALUE(questions[[#This Row],[qno]]),VALUE(stable[qno]),0))</f>
        <v>1</v>
      </c>
      <c r="S510" s="77" t="str">
        <f>_xlfn.TEXTJOIN(", ",TRUE,questions[[#This Row],[ans_opt_1]:[ans_opt_14]])</f>
        <v>Local grid, Solar power, Generator petrol, Generator diesel</v>
      </c>
      <c r="T510" s="77" t="s">
        <v>665</v>
      </c>
      <c r="U510" s="77" t="s">
        <v>666</v>
      </c>
      <c r="V510" s="77" t="s">
        <v>667</v>
      </c>
      <c r="W510" s="77" t="s">
        <v>668</v>
      </c>
      <c r="AH510" s="98" t="b">
        <f>INDEX(stable[q_standard],MATCH(questions[[#This Row],[qno]],stable[qno],0))</f>
        <v>0</v>
      </c>
      <c r="AI510" s="98" t="b">
        <f>INDEX(stable[q_living_income],MATCH(questions[[#This Row],[qno]],stable[qno],0))</f>
        <v>0</v>
      </c>
      <c r="AJ510" s="98" t="b">
        <f>INDEX(stable[q_carbon],MATCH(questions[[#This Row],[qno]],stable[qno],0))</f>
        <v>1</v>
      </c>
      <c r="AK510" s="98" t="b">
        <f>INDEX(stable[q_regen_ag],MATCH(questions[[#This Row],[qno]],stable[qno],0))</f>
        <v>0</v>
      </c>
      <c r="AL510" s="98" t="b">
        <f>COUNTIFS(stable[qno],questions[[#This Row],[qno]])=1</f>
        <v>1</v>
      </c>
      <c r="AM510" s="98" t="b">
        <f>OR(questions[[#This Row],[is_fixed]],questions[[#This Row],[is_localized]],questions[[#This Row],[is_supply_chain_dependent]])</f>
        <v>1</v>
      </c>
      <c r="AN510" s="98" t="b">
        <f>COUNTIFS(questions[[#This Row],[is_automated]:[is_multi_select]],TRUE)=1</f>
        <v>1</v>
      </c>
      <c r="AO510" s="98" t="b">
        <f>IF(questions[[#This Row],[is_fixed]],questions[[#This Row],[question]]=INDEX(stable[question],MATCH(questions[[#This Row],[qno]],stable[qno],0)),TRUE)</f>
        <v>1</v>
      </c>
      <c r="AP510" s="98" t="str">
        <f>LEFT(questions[[#This Row],[question]],similarity_range)</f>
        <v xml:space="preserve">If yes, what is the </v>
      </c>
      <c r="AQ510" s="98" t="str">
        <f>LEFT(INDEX(stable[question],MATCH(questions[[#This Row],[qno]],stable[qno],0)),similarity_range)</f>
        <v xml:space="preserve">If yes, what is the </v>
      </c>
      <c r="AR510" s="98" t="b">
        <f>questions[[#This Row],[question_first_characters]]=questions[[#This Row],[stability_first_characters]]</f>
        <v>1</v>
      </c>
      <c r="AS510" s="98" t="b">
        <f>IF(OR(questions[[#This Row],[is_single_select]],questions[[#This Row],[is_multi_select]]),NOT(ISBLANK(questions[[#This Row],[answer_opt_combined]])),TRUE)</f>
        <v>1</v>
      </c>
    </row>
    <row r="511" spans="1:45" x14ac:dyDescent="0.25">
      <c r="A511" s="33" t="str">
        <f>_xlfn.TEXTJOIN("_",TRUE,questions[[#This Row],[origin]:[qno]])</f>
        <v>Vietnam_Robusta_Lam_Dong_Nestlé_IMPACT_8502</v>
      </c>
      <c r="B511" s="33" t="s">
        <v>673</v>
      </c>
      <c r="C511" s="33" t="s">
        <v>674</v>
      </c>
      <c r="D511" s="33" t="s">
        <v>675</v>
      </c>
      <c r="E511" s="33"/>
      <c r="F511" s="34" t="s">
        <v>669</v>
      </c>
      <c r="G511" s="34" t="s">
        <v>718</v>
      </c>
      <c r="H511" s="33" t="str" cm="1">
        <f t="array" ref="H511">INDEX(stableR[question],MATCH(VALUE(questions[[#This Row],[qno]]),VALUE(stableR[qno]),0))</f>
        <v>If local grid or sollar power, how much was your average monthly electricity bill last year? (in local currency)</v>
      </c>
      <c r="I511" s="33" t="b" cm="1">
        <f t="array" ref="I511">INDEX(stable[is_fixed],MATCH(VALUE(questions[[#This Row],[qno]]),VALUE(stable[qno]),0))</f>
        <v>0</v>
      </c>
      <c r="J511" s="33" t="b" cm="1">
        <f t="array" ref="J511">INDEX(stable[is_localized],MATCH(VALUE(questions[[#This Row],[qno]]),VALUE(stable[qno]),0))</f>
        <v>0</v>
      </c>
      <c r="K511" s="33" t="b" cm="1">
        <f t="array" ref="K511">INDEX(stable[is_supply_chain_dependent],MATCH(VALUE(questions[[#This Row],[qno]]),VALUE(stable[qno]),0))</f>
        <v>1</v>
      </c>
      <c r="L511" s="33" t="b" cm="1">
        <f t="array" ref="L511">INDEX(stable[is_mandatory],MATCH(VALUE(questions[[#This Row],[qno]]),VALUE(stable[qno]),0))</f>
        <v>1</v>
      </c>
      <c r="M511" s="33" t="b" cm="1">
        <f t="array" ref="M511">INDEX(stable[is_automated],MATCH(VALUE(questions[[#This Row],[qno]]),VALUE(stable[qno]),0))</f>
        <v>0</v>
      </c>
      <c r="N511" s="33" t="b" cm="1">
        <f t="array" ref="N511">INDEX(stable[is_free_text],MATCH(VALUE(questions[[#This Row],[qno]]),VALUE(stable[qno]),0))</f>
        <v>0</v>
      </c>
      <c r="O511" s="33" t="b" cm="1">
        <f t="array" ref="O511">INDEX(stable[is_numerical],MATCH(VALUE(questions[[#This Row],[qno]]),VALUE(stable[qno]),0))</f>
        <v>1</v>
      </c>
      <c r="P511" s="35" t="b" cm="1">
        <f t="array" ref="P511">INDEX(stable[is_single_select],MATCH(VALUE(questions[[#This Row],[qno]]),VALUE(stable[qno]),0))</f>
        <v>0</v>
      </c>
      <c r="Q511" s="33" t="b" cm="1">
        <f t="array" ref="Q511">INDEX(stable[is_multi_select],MATCH(VALUE(questions[[#This Row],[qno]]),VALUE(stable[qno]),0))</f>
        <v>0</v>
      </c>
      <c r="R511" s="33" t="b" cm="1">
        <f t="array" ref="R511">INDEX(stable[is_skip_logic],MATCH(VALUE(questions[[#This Row],[qno]]),VALUE(stable[qno]),0))</f>
        <v>1</v>
      </c>
      <c r="S511" s="33" t="str">
        <f>_xlfn.TEXTJOIN(", ",TRUE,questions[[#This Row],[ans_opt_1]:[ans_opt_14]])</f>
        <v/>
      </c>
      <c r="T511" s="33"/>
      <c r="U511" s="33"/>
      <c r="V511" s="33"/>
      <c r="W511" s="33"/>
      <c r="X511" s="33"/>
      <c r="Y511" s="33"/>
      <c r="Z511" s="33"/>
      <c r="AA511" s="33"/>
      <c r="AB511" s="33"/>
      <c r="AC511" s="33"/>
      <c r="AD511" s="33"/>
      <c r="AE511" s="33"/>
      <c r="AF511" s="33"/>
      <c r="AG511" s="33"/>
      <c r="AH511" s="99" t="b">
        <f>INDEX(stable[q_standard],MATCH(questions[[#This Row],[qno]],stable[qno],0))</f>
        <v>0</v>
      </c>
      <c r="AI511" s="99" t="b">
        <f>INDEX(stable[q_living_income],MATCH(questions[[#This Row],[qno]],stable[qno],0))</f>
        <v>0</v>
      </c>
      <c r="AJ511" s="99" t="b">
        <f>INDEX(stable[q_carbon],MATCH(questions[[#This Row],[qno]],stable[qno],0))</f>
        <v>1</v>
      </c>
      <c r="AK511" s="99" t="b">
        <f>INDEX(stable[q_regen_ag],MATCH(questions[[#This Row],[qno]],stable[qno],0))</f>
        <v>0</v>
      </c>
      <c r="AL511" s="16" t="b">
        <f>COUNTIFS(stable[qno],questions[[#This Row],[qno]])=1</f>
        <v>1</v>
      </c>
      <c r="AM511" s="16" t="b">
        <f>OR(questions[[#This Row],[is_fixed]],questions[[#This Row],[is_localized]],questions[[#This Row],[is_supply_chain_dependent]])</f>
        <v>1</v>
      </c>
      <c r="AN511" s="16" t="b">
        <f>COUNTIFS(questions[[#This Row],[is_automated]:[is_multi_select]],TRUE)=1</f>
        <v>1</v>
      </c>
      <c r="AO511" s="16" t="b">
        <f>IF(questions[[#This Row],[is_fixed]],questions[[#This Row],[question]]=INDEX(stable[question],MATCH(questions[[#This Row],[qno]],stable[qno],0)),TRUE)</f>
        <v>1</v>
      </c>
      <c r="AP511" s="16" t="str">
        <f>LEFT(questions[[#This Row],[question]],similarity_range)</f>
        <v>If local grid or sol</v>
      </c>
      <c r="AQ511" s="16" t="str">
        <f>LEFT(INDEX(stable[question],MATCH(questions[[#This Row],[qno]],stable[qno],0)),similarity_range)</f>
        <v>If local grid or sol</v>
      </c>
      <c r="AR511" s="16" t="b">
        <f>questions[[#This Row],[question_first_characters]]=questions[[#This Row],[stability_first_characters]]</f>
        <v>1</v>
      </c>
      <c r="AS511" s="16" t="b">
        <f>IF(OR(questions[[#This Row],[is_single_select]],questions[[#This Row],[is_multi_select]]),NOT(ISBLANK(questions[[#This Row],[answer_opt_combined]])),TRUE)</f>
        <v>1</v>
      </c>
    </row>
    <row r="512" spans="1:45" s="77" customFormat="1" x14ac:dyDescent="0.25">
      <c r="A512" s="77" t="str">
        <f>_xlfn.TEXTJOIN("_",TRUE,questions[[#This Row],[origin]:[qno]])</f>
        <v>Vietnam_Robusta_Lam_Dong_Nestlé_IMPACT_8503</v>
      </c>
      <c r="B512" s="77" t="s">
        <v>673</v>
      </c>
      <c r="C512" s="77" t="s">
        <v>674</v>
      </c>
      <c r="D512" s="77" t="s">
        <v>675</v>
      </c>
      <c r="F512" s="104" t="s">
        <v>671</v>
      </c>
      <c r="G512" s="78" t="s">
        <v>672</v>
      </c>
      <c r="H512" s="33" t="str" cm="1">
        <f t="array" ref="H512">INDEX(stableR[question],MATCH(VALUE(questions[[#This Row],[qno]]),VALUE(stableR[qno]),0))</f>
        <v>Was all of this electricity used for coffee processing, or also part for other usage? Can you estimate what proportion of this electricity bill was used for coffee processing?</v>
      </c>
      <c r="I512" s="33" t="b" cm="1">
        <f t="array" ref="I512">INDEX(stable[is_fixed],MATCH(VALUE(questions[[#This Row],[qno]]),VALUE(stable[qno]),0))</f>
        <v>0</v>
      </c>
      <c r="J512" s="33" t="b" cm="1">
        <f t="array" ref="J512">INDEX(stable[is_localized],MATCH(VALUE(questions[[#This Row],[qno]]),VALUE(stable[qno]),0))</f>
        <v>0</v>
      </c>
      <c r="K512" s="33" t="b" cm="1">
        <f t="array" ref="K512">INDEX(stable[is_supply_chain_dependent],MATCH(VALUE(questions[[#This Row],[qno]]),VALUE(stable[qno]),0))</f>
        <v>1</v>
      </c>
      <c r="L512" s="33" t="b" cm="1">
        <f t="array" ref="L512">INDEX(stable[is_mandatory],MATCH(VALUE(questions[[#This Row],[qno]]),VALUE(stable[qno]),0))</f>
        <v>1</v>
      </c>
      <c r="M512" s="33" t="b" cm="1">
        <f t="array" ref="M512">INDEX(stable[is_automated],MATCH(VALUE(questions[[#This Row],[qno]]),VALUE(stable[qno]),0))</f>
        <v>0</v>
      </c>
      <c r="N512" s="33" t="b" cm="1">
        <f t="array" ref="N512">INDEX(stable[is_free_text],MATCH(VALUE(questions[[#This Row],[qno]]),VALUE(stable[qno]),0))</f>
        <v>0</v>
      </c>
      <c r="O512" s="33" t="b" cm="1">
        <f t="array" ref="O512">INDEX(stable[is_numerical],MATCH(VALUE(questions[[#This Row],[qno]]),VALUE(stable[qno]),0))</f>
        <v>0</v>
      </c>
      <c r="P512" s="103" t="b" cm="1">
        <f t="array" ref="P512">INDEX(stable[is_single_select],MATCH(VALUE(questions[[#This Row],[qno]]),VALUE(stable[qno]),0))</f>
        <v>1</v>
      </c>
      <c r="Q512" s="77" t="b" cm="1">
        <f t="array" ref="Q512">INDEX(stable[is_multi_select],MATCH(VALUE(questions[[#This Row],[qno]]),VALUE(stable[qno]),0))</f>
        <v>0</v>
      </c>
      <c r="R512" s="77" t="b" cm="1">
        <f t="array" ref="R512">INDEX(stable[is_skip_logic],MATCH(VALUE(questions[[#This Row],[qno]]),VALUE(stable[qno]),0))</f>
        <v>1</v>
      </c>
      <c r="S512" s="77" t="str">
        <f>_xlfn.TEXTJOIN(", ",TRUE,questions[[#This Row],[ans_opt_1]:[ans_opt_14]])</f>
        <v>All or nearly all - 80-100%, More than half of it  - 60-80%, About half of it - 40-60%, Less than half of it - 20-40%, A small amount - 0-20%</v>
      </c>
      <c r="T512" s="77" t="s">
        <v>305</v>
      </c>
      <c r="U512" s="77" t="s">
        <v>306</v>
      </c>
      <c r="V512" s="77" t="s">
        <v>307</v>
      </c>
      <c r="W512" s="77" t="s">
        <v>308</v>
      </c>
      <c r="X512" s="77" t="s">
        <v>309</v>
      </c>
      <c r="AH512" s="98" t="b">
        <f>INDEX(stable[q_standard],MATCH(questions[[#This Row],[qno]],stable[qno],0))</f>
        <v>0</v>
      </c>
      <c r="AI512" s="98" t="b">
        <f>INDEX(stable[q_living_income],MATCH(questions[[#This Row],[qno]],stable[qno],0))</f>
        <v>0</v>
      </c>
      <c r="AJ512" s="98" t="b">
        <f>INDEX(stable[q_carbon],MATCH(questions[[#This Row],[qno]],stable[qno],0))</f>
        <v>1</v>
      </c>
      <c r="AK512" s="98" t="b">
        <f>INDEX(stable[q_regen_ag],MATCH(questions[[#This Row],[qno]],stable[qno],0))</f>
        <v>0</v>
      </c>
      <c r="AL512" s="98" t="b">
        <f>COUNTIFS(stable[qno],questions[[#This Row],[qno]])=1</f>
        <v>1</v>
      </c>
      <c r="AM512" s="98" t="b">
        <f>OR(questions[[#This Row],[is_fixed]],questions[[#This Row],[is_localized]],questions[[#This Row],[is_supply_chain_dependent]])</f>
        <v>1</v>
      </c>
      <c r="AN512" s="98" t="b">
        <f>COUNTIFS(questions[[#This Row],[is_automated]:[is_multi_select]],TRUE)=1</f>
        <v>1</v>
      </c>
      <c r="AO512" s="98" t="b">
        <f>IF(questions[[#This Row],[is_fixed]],questions[[#This Row],[question]]=INDEX(stable[question],MATCH(questions[[#This Row],[qno]],stable[qno],0)),TRUE)</f>
        <v>1</v>
      </c>
      <c r="AP512" s="98" t="str">
        <f>LEFT(questions[[#This Row],[question]],similarity_range)</f>
        <v>Was all of this elec</v>
      </c>
      <c r="AQ512" s="98" t="str">
        <f>LEFT(INDEX(stable[question],MATCH(questions[[#This Row],[qno]],stable[qno],0)),similarity_range)</f>
        <v>Was all of this elec</v>
      </c>
      <c r="AR512" s="98" t="b">
        <f>questions[[#This Row],[question_first_characters]]=questions[[#This Row],[stability_first_characters]]</f>
        <v>1</v>
      </c>
      <c r="AS512" s="98" t="b">
        <f>IF(OR(questions[[#This Row],[is_single_select]],questions[[#This Row],[is_multi_select]]),NOT(ISBLANK(questions[[#This Row],[answer_opt_combined]])),TRUE)</f>
        <v>1</v>
      </c>
    </row>
    <row r="513" spans="1:45" s="77" customFormat="1" x14ac:dyDescent="0.25">
      <c r="A513" s="77" t="str">
        <f>_xlfn.TEXTJOIN("_",TRUE,questions[[#This Row],[origin]:[qno]])</f>
        <v>Vietnam_Robusta_Lam_Dong_Nestlé_IMPACT_9000</v>
      </c>
      <c r="B513" s="77" t="s">
        <v>673</v>
      </c>
      <c r="C513" s="77" t="s">
        <v>674</v>
      </c>
      <c r="D513" s="77" t="s">
        <v>675</v>
      </c>
      <c r="F513" s="104" t="s">
        <v>508</v>
      </c>
      <c r="G513" s="78" t="s">
        <v>509</v>
      </c>
      <c r="H513" s="33" t="str" cm="1">
        <f t="array" ref="H513">INDEX(stableR[question],MATCH(VALUE(questions[[#This Row],[qno]]),VALUE(stableR[qno]),0))</f>
        <v>Final check: did you measure/polygon map all the plots of the farmer?</v>
      </c>
      <c r="I513" s="33" t="b" cm="1">
        <f t="array" ref="I513">INDEX(stable[is_fixed],MATCH(VALUE(questions[[#This Row],[qno]]),VALUE(stable[qno]),0))</f>
        <v>1</v>
      </c>
      <c r="J513" s="33" t="b" cm="1">
        <f t="array" ref="J513">INDEX(stable[is_localized],MATCH(VALUE(questions[[#This Row],[qno]]),VALUE(stable[qno]),0))</f>
        <v>0</v>
      </c>
      <c r="K513" s="33" t="b" cm="1">
        <f t="array" ref="K513">INDEX(stable[is_supply_chain_dependent],MATCH(VALUE(questions[[#This Row],[qno]]),VALUE(stable[qno]),0))</f>
        <v>0</v>
      </c>
      <c r="L513" s="33" t="b" cm="1">
        <f t="array" ref="L513">INDEX(stable[is_mandatory],MATCH(VALUE(questions[[#This Row],[qno]]),VALUE(stable[qno]),0))</f>
        <v>1</v>
      </c>
      <c r="M513" s="33" t="b" cm="1">
        <f t="array" ref="M513">INDEX(stable[is_automated],MATCH(VALUE(questions[[#This Row],[qno]]),VALUE(stable[qno]),0))</f>
        <v>0</v>
      </c>
      <c r="N513" s="33" t="b" cm="1">
        <f t="array" ref="N513">INDEX(stable[is_free_text],MATCH(VALUE(questions[[#This Row],[qno]]),VALUE(stable[qno]),0))</f>
        <v>0</v>
      </c>
      <c r="O513" s="33" t="b" cm="1">
        <f t="array" ref="O513">INDEX(stable[is_numerical],MATCH(VALUE(questions[[#This Row],[qno]]),VALUE(stable[qno]),0))</f>
        <v>0</v>
      </c>
      <c r="P513" s="103" t="b" cm="1">
        <f t="array" ref="P513">INDEX(stable[is_single_select],MATCH(VALUE(questions[[#This Row],[qno]]),VALUE(stable[qno]),0))</f>
        <v>1</v>
      </c>
      <c r="Q513" s="77" t="b" cm="1">
        <f t="array" ref="Q513">INDEX(stable[is_multi_select],MATCH(VALUE(questions[[#This Row],[qno]]),VALUE(stable[qno]),0))</f>
        <v>0</v>
      </c>
      <c r="R513" s="77" t="b" cm="1">
        <f t="array" ref="R513">INDEX(stable[is_skip_logic],MATCH(VALUE(questions[[#This Row],[qno]]),VALUE(stable[qno]),0))</f>
        <v>0</v>
      </c>
      <c r="S513" s="77" t="str">
        <f>_xlfn.TEXTJOIN(", ",TRUE,questions[[#This Row],[ans_opt_1]:[ans_opt_14]])</f>
        <v>No, Yes, Not possible</v>
      </c>
      <c r="T513" s="77" t="s">
        <v>119</v>
      </c>
      <c r="U513" s="77" t="s">
        <v>149</v>
      </c>
      <c r="V513" s="77" t="s">
        <v>510</v>
      </c>
      <c r="AH513" s="98" t="b">
        <f>INDEX(stable[q_standard],MATCH(questions[[#This Row],[qno]],stable[qno],0))</f>
        <v>0</v>
      </c>
      <c r="AI513" s="98" t="b">
        <f>INDEX(stable[q_living_income],MATCH(questions[[#This Row],[qno]],stable[qno],0))</f>
        <v>0</v>
      </c>
      <c r="AJ513" s="98" t="b">
        <f>INDEX(stable[q_carbon],MATCH(questions[[#This Row],[qno]],stable[qno],0))</f>
        <v>0</v>
      </c>
      <c r="AK513" s="98" t="b">
        <f>INDEX(stable[q_regen_ag],MATCH(questions[[#This Row],[qno]],stable[qno],0))</f>
        <v>1</v>
      </c>
      <c r="AL513" s="98" t="b">
        <f>COUNTIFS(stable[qno],questions[[#This Row],[qno]])=1</f>
        <v>1</v>
      </c>
      <c r="AM513" s="98" t="b">
        <f>OR(questions[[#This Row],[is_fixed]],questions[[#This Row],[is_localized]],questions[[#This Row],[is_supply_chain_dependent]])</f>
        <v>1</v>
      </c>
      <c r="AN513" s="98" t="b">
        <f>COUNTIFS(questions[[#This Row],[is_automated]:[is_multi_select]],TRUE)=1</f>
        <v>1</v>
      </c>
      <c r="AO513" s="98" t="b">
        <f>IF(questions[[#This Row],[is_fixed]],questions[[#This Row],[question]]=INDEX(stable[question],MATCH(questions[[#This Row],[qno]],stable[qno],0)),TRUE)</f>
        <v>1</v>
      </c>
      <c r="AP513" s="98" t="str">
        <f>LEFT(questions[[#This Row],[question]],similarity_range)</f>
        <v>Final check: did you</v>
      </c>
      <c r="AQ513" s="98" t="str">
        <f>LEFT(INDEX(stable[question],MATCH(questions[[#This Row],[qno]],stable[qno],0)),similarity_range)</f>
        <v>Final check: did you</v>
      </c>
      <c r="AR513" s="98" t="b">
        <f>questions[[#This Row],[question_first_characters]]=questions[[#This Row],[stability_first_characters]]</f>
        <v>1</v>
      </c>
      <c r="AS513" s="98" t="b">
        <f>IF(OR(questions[[#This Row],[is_single_select]],questions[[#This Row],[is_multi_select]]),NOT(ISBLANK(questions[[#This Row],[answer_opt_combined]])),TRUE)</f>
        <v>1</v>
      </c>
    </row>
    <row r="514" spans="1:45" ht="15.75" customHeight="1" x14ac:dyDescent="0.25">
      <c r="A514" s="9" t="str">
        <f>_xlfn.TEXTJOIN("_",TRUE,questions[[#This Row],[origin]:[qno]])</f>
        <v>Rwanda_Arabica_Nestle_Illy_IMPACT_2024_1000</v>
      </c>
      <c r="B514" s="9" t="s">
        <v>719</v>
      </c>
      <c r="C514" s="9" t="s">
        <v>59</v>
      </c>
      <c r="D514" s="9" t="s">
        <v>720</v>
      </c>
      <c r="E514" s="9">
        <v>2024</v>
      </c>
      <c r="F514" s="24" t="s">
        <v>61</v>
      </c>
      <c r="G514" s="15" t="s">
        <v>62</v>
      </c>
      <c r="H514" s="9" t="str" cm="1">
        <f t="array" ref="H514">INDEX(stableR[question],MATCH(VALUE(questions[[#This Row],[qno]]),VALUE(stableR[qno]),0))</f>
        <v>Origin</v>
      </c>
      <c r="I514" s="9" t="b" cm="1">
        <f t="array" ref="I514">INDEX(stable[is_fixed],MATCH(VALUE(questions[[#This Row],[qno]]),VALUE(stable[qno]),0))</f>
        <v>1</v>
      </c>
      <c r="J514" s="9" t="b" cm="1">
        <f t="array" ref="J514">INDEX(stable[is_localized],MATCH(VALUE(questions[[#This Row],[qno]]),VALUE(stable[qno]),0))</f>
        <v>0</v>
      </c>
      <c r="K514" s="9" t="b" cm="1">
        <f t="array" ref="K514">INDEX(stable[is_supply_chain_dependent],MATCH(VALUE(questions[[#This Row],[qno]]),VALUE(stable[qno]),0))</f>
        <v>0</v>
      </c>
      <c r="L514" s="9" t="b" cm="1">
        <f t="array" ref="L514">INDEX(stable[is_mandatory],MATCH(VALUE(questions[[#This Row],[qno]]),VALUE(stable[qno]),0))</f>
        <v>1</v>
      </c>
      <c r="M514" s="9" t="b" cm="1">
        <f t="array" ref="M514">INDEX(stable[is_automated],MATCH(VALUE(questions[[#This Row],[qno]]),VALUE(stable[qno]),0))</f>
        <v>1</v>
      </c>
      <c r="N514" s="9" t="b" cm="1">
        <f t="array" ref="N514">INDEX(stable[is_free_text],MATCH(VALUE(questions[[#This Row],[qno]]),VALUE(stable[qno]),0))</f>
        <v>0</v>
      </c>
      <c r="O514" s="9" t="b" cm="1">
        <f t="array" ref="O514">INDEX(stable[is_numerical],MATCH(VALUE(questions[[#This Row],[qno]]),VALUE(stable[qno]),0))</f>
        <v>0</v>
      </c>
      <c r="P514" s="9" t="b" cm="1">
        <f t="array" ref="P514">INDEX(stable[is_single_select],MATCH(VALUE(questions[[#This Row],[qno]]),VALUE(stable[qno]),0))</f>
        <v>0</v>
      </c>
      <c r="Q514" s="9" t="b" cm="1">
        <f t="array" ref="Q514">INDEX(stable[is_multi_select],MATCH(VALUE(questions[[#This Row],[qno]]),VALUE(stable[qno]),0))</f>
        <v>0</v>
      </c>
      <c r="R514" s="9" t="b" cm="1">
        <f t="array" ref="R514">INDEX(stable[is_skip_logic],MATCH(VALUE(questions[[#This Row],[qno]]),VALUE(stable[qno]),0))</f>
        <v>0</v>
      </c>
      <c r="S514" s="9" t="str">
        <f>_xlfn.TEXTJOIN(", ",TRUE,questions[[#This Row],[ans_opt_1]:[ans_opt_14]])</f>
        <v/>
      </c>
      <c r="AH514" s="16" t="b">
        <f>INDEX(stable[q_standard],MATCH(questions[[#This Row],[qno]],stable[qno],0))</f>
        <v>1</v>
      </c>
      <c r="AI514" s="16" t="b">
        <f>INDEX(stable[q_living_income],MATCH(questions[[#This Row],[qno]],stable[qno],0))</f>
        <v>0</v>
      </c>
      <c r="AJ514" s="16" t="b">
        <f>INDEX(stable[q_carbon],MATCH(questions[[#This Row],[qno]],stable[qno],0))</f>
        <v>0</v>
      </c>
      <c r="AK514" s="16" t="b">
        <f>INDEX(stable[q_regen_ag],MATCH(questions[[#This Row],[qno]],stable[qno],0))</f>
        <v>0</v>
      </c>
      <c r="AL514" s="16" t="b">
        <f>COUNTIFS(stable[qno],questions[[#This Row],[qno]])=1</f>
        <v>1</v>
      </c>
      <c r="AM514" s="16" t="b">
        <f>OR(questions[[#This Row],[is_fixed]],questions[[#This Row],[is_localized]],questions[[#This Row],[is_supply_chain_dependent]])</f>
        <v>1</v>
      </c>
      <c r="AN514" s="16" t="b">
        <f>COUNTIFS(questions[[#This Row],[is_automated]:[is_multi_select]],TRUE)=1</f>
        <v>1</v>
      </c>
      <c r="AO514" s="16" t="b">
        <f>IF(questions[[#This Row],[is_fixed]],questions[[#This Row],[question]]=INDEX(stable[question],MATCH(questions[[#This Row],[qno]],stable[qno],0)),TRUE)</f>
        <v>1</v>
      </c>
      <c r="AP514" s="16" t="str">
        <f>LEFT(questions[[#This Row],[question]],similarity_range)</f>
        <v>Origin</v>
      </c>
      <c r="AQ514" s="16" t="str">
        <f>LEFT(INDEX(stable[question],MATCH(questions[[#This Row],[qno]],stable[qno],0)),similarity_range)</f>
        <v>Origin</v>
      </c>
      <c r="AR514" s="16" t="b">
        <f>questions[[#This Row],[question_first_characters]]=questions[[#This Row],[stability_first_characters]]</f>
        <v>1</v>
      </c>
      <c r="AS514" s="16" t="b">
        <f>IF(OR(questions[[#This Row],[is_single_select]],questions[[#This Row],[is_multi_select]]),NOT(ISBLANK(questions[[#This Row],[answer_opt_combined]])),TRUE)</f>
        <v>1</v>
      </c>
    </row>
    <row r="515" spans="1:45" ht="15.75" customHeight="1" x14ac:dyDescent="0.25">
      <c r="A515" s="9" t="str">
        <f>_xlfn.TEXTJOIN("_",TRUE,questions[[#This Row],[origin]:[qno]])</f>
        <v>Rwanda_Arabica_Nestle_Illy_IMPACT_2024_1001</v>
      </c>
      <c r="B515" s="9" t="s">
        <v>719</v>
      </c>
      <c r="C515" s="9" t="s">
        <v>59</v>
      </c>
      <c r="D515" s="9" t="s">
        <v>720</v>
      </c>
      <c r="E515" s="9">
        <v>2024</v>
      </c>
      <c r="F515" s="24" t="s">
        <v>63</v>
      </c>
      <c r="G515" s="15" t="s">
        <v>64</v>
      </c>
      <c r="H515" s="9" t="str" cm="1">
        <f t="array" ref="H515">INDEX(stableR[question],MATCH(VALUE(questions[[#This Row],[qno]]),VALUE(stableR[qno]),0))</f>
        <v>Type</v>
      </c>
      <c r="I515" s="9" t="b" cm="1">
        <f t="array" ref="I515">INDEX(stable[is_fixed],MATCH(VALUE(questions[[#This Row],[qno]]),VALUE(stable[qno]),0))</f>
        <v>1</v>
      </c>
      <c r="J515" s="9" t="b" cm="1">
        <f t="array" ref="J515">INDEX(stable[is_localized],MATCH(VALUE(questions[[#This Row],[qno]]),VALUE(stable[qno]),0))</f>
        <v>0</v>
      </c>
      <c r="K515" s="9" t="b" cm="1">
        <f t="array" ref="K515">INDEX(stable[is_supply_chain_dependent],MATCH(VALUE(questions[[#This Row],[qno]]),VALUE(stable[qno]),0))</f>
        <v>0</v>
      </c>
      <c r="L515" s="9" t="b" cm="1">
        <f t="array" ref="L515">INDEX(stable[is_mandatory],MATCH(VALUE(questions[[#This Row],[qno]]),VALUE(stable[qno]),0))</f>
        <v>1</v>
      </c>
      <c r="M515" s="9" t="b" cm="1">
        <f t="array" ref="M515">INDEX(stable[is_automated],MATCH(VALUE(questions[[#This Row],[qno]]),VALUE(stable[qno]),0))</f>
        <v>1</v>
      </c>
      <c r="N515" s="9" t="b" cm="1">
        <f t="array" ref="N515">INDEX(stable[is_free_text],MATCH(VALUE(questions[[#This Row],[qno]]),VALUE(stable[qno]),0))</f>
        <v>0</v>
      </c>
      <c r="O515" s="9" t="b" cm="1">
        <f t="array" ref="O515">INDEX(stable[is_numerical],MATCH(VALUE(questions[[#This Row],[qno]]),VALUE(stable[qno]),0))</f>
        <v>0</v>
      </c>
      <c r="P515" s="9" t="b" cm="1">
        <f t="array" ref="P515">INDEX(stable[is_single_select],MATCH(VALUE(questions[[#This Row],[qno]]),VALUE(stable[qno]),0))</f>
        <v>0</v>
      </c>
      <c r="Q515" s="9" t="b" cm="1">
        <f t="array" ref="Q515">INDEX(stable[is_multi_select],MATCH(VALUE(questions[[#This Row],[qno]]),VALUE(stable[qno]),0))</f>
        <v>0</v>
      </c>
      <c r="R515" s="9" t="b" cm="1">
        <f t="array" ref="R515">INDEX(stable[is_skip_logic],MATCH(VALUE(questions[[#This Row],[qno]]),VALUE(stable[qno]),0))</f>
        <v>0</v>
      </c>
      <c r="S515" s="9" t="str">
        <f>_xlfn.TEXTJOIN(", ",TRUE,questions[[#This Row],[ans_opt_1]:[ans_opt_14]])</f>
        <v/>
      </c>
      <c r="AH515" s="16" t="b">
        <f>INDEX(stable[q_standard],MATCH(questions[[#This Row],[qno]],stable[qno],0))</f>
        <v>1</v>
      </c>
      <c r="AI515" s="16" t="b">
        <f>INDEX(stable[q_living_income],MATCH(questions[[#This Row],[qno]],stable[qno],0))</f>
        <v>0</v>
      </c>
      <c r="AJ515" s="16" t="b">
        <f>INDEX(stable[q_carbon],MATCH(questions[[#This Row],[qno]],stable[qno],0))</f>
        <v>0</v>
      </c>
      <c r="AK515" s="16" t="b">
        <f>INDEX(stable[q_regen_ag],MATCH(questions[[#This Row],[qno]],stable[qno],0))</f>
        <v>0</v>
      </c>
      <c r="AL515" s="16" t="b">
        <f>COUNTIFS(stable[qno],questions[[#This Row],[qno]])=1</f>
        <v>1</v>
      </c>
      <c r="AM515" s="16" t="b">
        <f>OR(questions[[#This Row],[is_fixed]],questions[[#This Row],[is_localized]],questions[[#This Row],[is_supply_chain_dependent]])</f>
        <v>1</v>
      </c>
      <c r="AN515" s="16" t="b">
        <f>COUNTIFS(questions[[#This Row],[is_automated]:[is_multi_select]],TRUE)=1</f>
        <v>1</v>
      </c>
      <c r="AO515" s="16" t="b">
        <f>IF(questions[[#This Row],[is_fixed]],questions[[#This Row],[question]]=INDEX(stable[question],MATCH(questions[[#This Row],[qno]],stable[qno],0)),TRUE)</f>
        <v>1</v>
      </c>
      <c r="AP515" s="16" t="str">
        <f>LEFT(questions[[#This Row],[question]],similarity_range)</f>
        <v>Type</v>
      </c>
      <c r="AQ515" s="16" t="str">
        <f>LEFT(INDEX(stable[question],MATCH(questions[[#This Row],[qno]],stable[qno],0)),similarity_range)</f>
        <v>Type</v>
      </c>
      <c r="AR515" s="16" t="b">
        <f>questions[[#This Row],[question_first_characters]]=questions[[#This Row],[stability_first_characters]]</f>
        <v>1</v>
      </c>
      <c r="AS515" s="16" t="b">
        <f>IF(OR(questions[[#This Row],[is_single_select]],questions[[#This Row],[is_multi_select]]),NOT(ISBLANK(questions[[#This Row],[answer_opt_combined]])),TRUE)</f>
        <v>1</v>
      </c>
    </row>
    <row r="516" spans="1:45" ht="15.75" customHeight="1" x14ac:dyDescent="0.25">
      <c r="A516" s="9" t="str">
        <f>_xlfn.TEXTJOIN("_",TRUE,questions[[#This Row],[origin]:[qno]])</f>
        <v>Rwanda_Arabica_Nestle_Illy_IMPACT_2024_1002</v>
      </c>
      <c r="B516" s="9" t="s">
        <v>719</v>
      </c>
      <c r="C516" s="9" t="s">
        <v>59</v>
      </c>
      <c r="D516" s="9" t="s">
        <v>720</v>
      </c>
      <c r="E516" s="9">
        <v>2024</v>
      </c>
      <c r="F516" s="24" t="s">
        <v>65</v>
      </c>
      <c r="G516" s="15" t="s">
        <v>66</v>
      </c>
      <c r="H516" s="9" t="str" cm="1">
        <f t="array" ref="H516">INDEX(stableR[question],MATCH(VALUE(questions[[#This Row],[qno]]),VALUE(stableR[qno]),0))</f>
        <v>Supply chain</v>
      </c>
      <c r="I516" s="9" t="b" cm="1">
        <f t="array" ref="I516">INDEX(stable[is_fixed],MATCH(VALUE(questions[[#This Row],[qno]]),VALUE(stable[qno]),0))</f>
        <v>1</v>
      </c>
      <c r="J516" s="9" t="b" cm="1">
        <f t="array" ref="J516">INDEX(stable[is_localized],MATCH(VALUE(questions[[#This Row],[qno]]),VALUE(stable[qno]),0))</f>
        <v>0</v>
      </c>
      <c r="K516" s="9" t="b" cm="1">
        <f t="array" ref="K516">INDEX(stable[is_supply_chain_dependent],MATCH(VALUE(questions[[#This Row],[qno]]),VALUE(stable[qno]),0))</f>
        <v>0</v>
      </c>
      <c r="L516" s="9" t="b" cm="1">
        <f t="array" ref="L516">INDEX(stable[is_mandatory],MATCH(VALUE(questions[[#This Row],[qno]]),VALUE(stable[qno]),0))</f>
        <v>1</v>
      </c>
      <c r="M516" s="9" t="b" cm="1">
        <f t="array" ref="M516">INDEX(stable[is_automated],MATCH(VALUE(questions[[#This Row],[qno]]),VALUE(stable[qno]),0))</f>
        <v>1</v>
      </c>
      <c r="N516" s="9" t="b" cm="1">
        <f t="array" ref="N516">INDEX(stable[is_free_text],MATCH(VALUE(questions[[#This Row],[qno]]),VALUE(stable[qno]),0))</f>
        <v>0</v>
      </c>
      <c r="O516" s="9" t="b" cm="1">
        <f t="array" ref="O516">INDEX(stable[is_numerical],MATCH(VALUE(questions[[#This Row],[qno]]),VALUE(stable[qno]),0))</f>
        <v>0</v>
      </c>
      <c r="P516" s="9" t="b" cm="1">
        <f t="array" ref="P516">INDEX(stable[is_single_select],MATCH(VALUE(questions[[#This Row],[qno]]),VALUE(stable[qno]),0))</f>
        <v>0</v>
      </c>
      <c r="Q516" s="9" t="b" cm="1">
        <f t="array" ref="Q516">INDEX(stable[is_multi_select],MATCH(VALUE(questions[[#This Row],[qno]]),VALUE(stable[qno]),0))</f>
        <v>0</v>
      </c>
      <c r="R516" s="9" t="b" cm="1">
        <f t="array" ref="R516">INDEX(stable[is_skip_logic],MATCH(VALUE(questions[[#This Row],[qno]]),VALUE(stable[qno]),0))</f>
        <v>0</v>
      </c>
      <c r="S516" s="9" t="str">
        <f>_xlfn.TEXTJOIN(", ",TRUE,questions[[#This Row],[ans_opt_1]:[ans_opt_14]])</f>
        <v/>
      </c>
      <c r="AH516" s="16" t="b">
        <f>INDEX(stable[q_standard],MATCH(questions[[#This Row],[qno]],stable[qno],0))</f>
        <v>1</v>
      </c>
      <c r="AI516" s="16" t="b">
        <f>INDEX(stable[q_living_income],MATCH(questions[[#This Row],[qno]],stable[qno],0))</f>
        <v>0</v>
      </c>
      <c r="AJ516" s="16" t="b">
        <f>INDEX(stable[q_carbon],MATCH(questions[[#This Row],[qno]],stable[qno],0))</f>
        <v>0</v>
      </c>
      <c r="AK516" s="16" t="b">
        <f>INDEX(stable[q_regen_ag],MATCH(questions[[#This Row],[qno]],stable[qno],0))</f>
        <v>0</v>
      </c>
      <c r="AL516" s="16" t="b">
        <f>COUNTIFS(stable[qno],questions[[#This Row],[qno]])=1</f>
        <v>1</v>
      </c>
      <c r="AM516" s="16" t="b">
        <f>OR(questions[[#This Row],[is_fixed]],questions[[#This Row],[is_localized]],questions[[#This Row],[is_supply_chain_dependent]])</f>
        <v>1</v>
      </c>
      <c r="AN516" s="16" t="b">
        <f>COUNTIFS(questions[[#This Row],[is_automated]:[is_multi_select]],TRUE)=1</f>
        <v>1</v>
      </c>
      <c r="AO516" s="16" t="b">
        <f>IF(questions[[#This Row],[is_fixed]],questions[[#This Row],[question]]=INDEX(stable[question],MATCH(questions[[#This Row],[qno]],stable[qno],0)),TRUE)</f>
        <v>1</v>
      </c>
      <c r="AP516" s="16" t="str">
        <f>LEFT(questions[[#This Row],[question]],similarity_range)</f>
        <v>Supply chain</v>
      </c>
      <c r="AQ516" s="16" t="str">
        <f>LEFT(INDEX(stable[question],MATCH(questions[[#This Row],[qno]],stable[qno],0)),similarity_range)</f>
        <v>Supply chain</v>
      </c>
      <c r="AR516" s="16" t="b">
        <f>questions[[#This Row],[question_first_characters]]=questions[[#This Row],[stability_first_characters]]</f>
        <v>1</v>
      </c>
      <c r="AS516" s="16" t="b">
        <f>IF(OR(questions[[#This Row],[is_single_select]],questions[[#This Row],[is_multi_select]]),NOT(ISBLANK(questions[[#This Row],[answer_opt_combined]])),TRUE)</f>
        <v>1</v>
      </c>
    </row>
    <row r="517" spans="1:45" ht="15.75" customHeight="1" x14ac:dyDescent="0.25">
      <c r="A517" s="9" t="str">
        <f>_xlfn.TEXTJOIN("_",TRUE,questions[[#This Row],[origin]:[qno]])</f>
        <v>Rwanda_Arabica_Nestle_Illy_IMPACT_2024_1003</v>
      </c>
      <c r="B517" s="9" t="s">
        <v>719</v>
      </c>
      <c r="C517" s="9" t="s">
        <v>59</v>
      </c>
      <c r="D517" s="9" t="s">
        <v>720</v>
      </c>
      <c r="E517" s="9">
        <v>2024</v>
      </c>
      <c r="F517" s="24" t="s">
        <v>67</v>
      </c>
      <c r="G517" s="15" t="s">
        <v>68</v>
      </c>
      <c r="H517" s="9" t="str" cm="1">
        <f t="array" ref="H517">INDEX(stableR[question],MATCH(VALUE(questions[[#This Row],[qno]]),VALUE(stableR[qno]),0))</f>
        <v>Year</v>
      </c>
      <c r="I517" s="9" t="b" cm="1">
        <f t="array" ref="I517">INDEX(stable[is_fixed],MATCH(VALUE(questions[[#This Row],[qno]]),VALUE(stable[qno]),0))</f>
        <v>1</v>
      </c>
      <c r="J517" s="9" t="b" cm="1">
        <f t="array" ref="J517">INDEX(stable[is_localized],MATCH(VALUE(questions[[#This Row],[qno]]),VALUE(stable[qno]),0))</f>
        <v>0</v>
      </c>
      <c r="K517" s="9" t="b" cm="1">
        <f t="array" ref="K517">INDEX(stable[is_supply_chain_dependent],MATCH(VALUE(questions[[#This Row],[qno]]),VALUE(stable[qno]),0))</f>
        <v>0</v>
      </c>
      <c r="L517" s="9" t="b" cm="1">
        <f t="array" ref="L517">INDEX(stable[is_mandatory],MATCH(VALUE(questions[[#This Row],[qno]]),VALUE(stable[qno]),0))</f>
        <v>1</v>
      </c>
      <c r="M517" s="9" t="b" cm="1">
        <f t="array" ref="M517">INDEX(stable[is_automated],MATCH(VALUE(questions[[#This Row],[qno]]),VALUE(stable[qno]),0))</f>
        <v>1</v>
      </c>
      <c r="N517" s="9" t="b" cm="1">
        <f t="array" ref="N517">INDEX(stable[is_free_text],MATCH(VALUE(questions[[#This Row],[qno]]),VALUE(stable[qno]),0))</f>
        <v>0</v>
      </c>
      <c r="O517" s="9" t="b" cm="1">
        <f t="array" ref="O517">INDEX(stable[is_numerical],MATCH(VALUE(questions[[#This Row],[qno]]),VALUE(stable[qno]),0))</f>
        <v>0</v>
      </c>
      <c r="P517" s="9" t="b" cm="1">
        <f t="array" ref="P517">INDEX(stable[is_single_select],MATCH(VALUE(questions[[#This Row],[qno]]),VALUE(stable[qno]),0))</f>
        <v>0</v>
      </c>
      <c r="Q517" s="9" t="b" cm="1">
        <f t="array" ref="Q517">INDEX(stable[is_multi_select],MATCH(VALUE(questions[[#This Row],[qno]]),VALUE(stable[qno]),0))</f>
        <v>0</v>
      </c>
      <c r="R517" s="9" t="b" cm="1">
        <f t="array" ref="R517">INDEX(stable[is_skip_logic],MATCH(VALUE(questions[[#This Row],[qno]]),VALUE(stable[qno]),0))</f>
        <v>0</v>
      </c>
      <c r="S517" s="9" t="str">
        <f>_xlfn.TEXTJOIN(", ",TRUE,questions[[#This Row],[ans_opt_1]:[ans_opt_14]])</f>
        <v/>
      </c>
      <c r="AH517" s="16" t="b">
        <f>INDEX(stable[q_standard],MATCH(questions[[#This Row],[qno]],stable[qno],0))</f>
        <v>1</v>
      </c>
      <c r="AI517" s="16" t="b">
        <f>INDEX(stable[q_living_income],MATCH(questions[[#This Row],[qno]],stable[qno],0))</f>
        <v>0</v>
      </c>
      <c r="AJ517" s="16" t="b">
        <f>INDEX(stable[q_carbon],MATCH(questions[[#This Row],[qno]],stable[qno],0))</f>
        <v>0</v>
      </c>
      <c r="AK517" s="16" t="b">
        <f>INDEX(stable[q_regen_ag],MATCH(questions[[#This Row],[qno]],stable[qno],0))</f>
        <v>0</v>
      </c>
      <c r="AL517" s="16" t="b">
        <f>COUNTIFS(stable[qno],questions[[#This Row],[qno]])=1</f>
        <v>1</v>
      </c>
      <c r="AM517" s="16" t="b">
        <f>OR(questions[[#This Row],[is_fixed]],questions[[#This Row],[is_localized]],questions[[#This Row],[is_supply_chain_dependent]])</f>
        <v>1</v>
      </c>
      <c r="AN517" s="16" t="b">
        <f>COUNTIFS(questions[[#This Row],[is_automated]:[is_multi_select]],TRUE)=1</f>
        <v>1</v>
      </c>
      <c r="AO517" s="16" t="b">
        <f>IF(questions[[#This Row],[is_fixed]],questions[[#This Row],[question]]=INDEX(stable[question],MATCH(questions[[#This Row],[qno]],stable[qno],0)),TRUE)</f>
        <v>1</v>
      </c>
      <c r="AP517" s="16" t="str">
        <f>LEFT(questions[[#This Row],[question]],similarity_range)</f>
        <v>Year</v>
      </c>
      <c r="AQ517" s="16" t="str">
        <f>LEFT(INDEX(stable[question],MATCH(questions[[#This Row],[qno]],stable[qno],0)),similarity_range)</f>
        <v>Year</v>
      </c>
      <c r="AR517" s="16" t="b">
        <f>questions[[#This Row],[question_first_characters]]=questions[[#This Row],[stability_first_characters]]</f>
        <v>1</v>
      </c>
      <c r="AS517" s="16" t="b">
        <f>IF(OR(questions[[#This Row],[is_single_select]],questions[[#This Row],[is_multi_select]]),NOT(ISBLANK(questions[[#This Row],[answer_opt_combined]])),TRUE)</f>
        <v>1</v>
      </c>
    </row>
    <row r="518" spans="1:45" ht="15.75" customHeight="1" x14ac:dyDescent="0.25">
      <c r="A518" s="9" t="str">
        <f>_xlfn.TEXTJOIN("_",TRUE,questions[[#This Row],[origin]:[qno]])</f>
        <v>Rwanda_Arabica_Nestle_Illy_IMPACT_2024_1104</v>
      </c>
      <c r="B518" s="9" t="s">
        <v>719</v>
      </c>
      <c r="C518" s="9" t="s">
        <v>59</v>
      </c>
      <c r="D518" s="9" t="s">
        <v>720</v>
      </c>
      <c r="E518" s="9">
        <v>2024</v>
      </c>
      <c r="F518" s="24" t="s">
        <v>69</v>
      </c>
      <c r="G518" s="15" t="s">
        <v>70</v>
      </c>
      <c r="H518" s="9" t="str" cm="1">
        <f t="array" ref="H518">INDEX(stableR[question],MATCH(VALUE(questions[[#This Row],[qno]]),VALUE(stableR[qno]),0))</f>
        <v>Managed by</v>
      </c>
      <c r="I518" s="9" t="b" cm="1">
        <f t="array" ref="I518">INDEX(stable[is_fixed],MATCH(VALUE(questions[[#This Row],[qno]]),VALUE(stable[qno]),0))</f>
        <v>1</v>
      </c>
      <c r="J518" s="9" t="b" cm="1">
        <f t="array" ref="J518">INDEX(stable[is_localized],MATCH(VALUE(questions[[#This Row],[qno]]),VALUE(stable[qno]),0))</f>
        <v>0</v>
      </c>
      <c r="K518" s="9" t="b" cm="1">
        <f t="array" ref="K518">INDEX(stable[is_supply_chain_dependent],MATCH(VALUE(questions[[#This Row],[qno]]),VALUE(stable[qno]),0))</f>
        <v>0</v>
      </c>
      <c r="L518" s="9" t="b" cm="1">
        <f t="array" ref="L518">INDEX(stable[is_mandatory],MATCH(VALUE(questions[[#This Row],[qno]]),VALUE(stable[qno]),0))</f>
        <v>1</v>
      </c>
      <c r="M518" s="9" t="b" cm="1">
        <f t="array" ref="M518">INDEX(stable[is_automated],MATCH(VALUE(questions[[#This Row],[qno]]),VALUE(stable[qno]),0))</f>
        <v>1</v>
      </c>
      <c r="N518" s="9" t="b" cm="1">
        <f t="array" ref="N518">INDEX(stable[is_free_text],MATCH(VALUE(questions[[#This Row],[qno]]),VALUE(stable[qno]),0))</f>
        <v>0</v>
      </c>
      <c r="O518" s="9" t="b" cm="1">
        <f t="array" ref="O518">INDEX(stable[is_numerical],MATCH(VALUE(questions[[#This Row],[qno]]),VALUE(stable[qno]),0))</f>
        <v>0</v>
      </c>
      <c r="P518" s="9" t="b" cm="1">
        <f t="array" ref="P518">INDEX(stable[is_single_select],MATCH(VALUE(questions[[#This Row],[qno]]),VALUE(stable[qno]),0))</f>
        <v>0</v>
      </c>
      <c r="Q518" s="9" t="b" cm="1">
        <f t="array" ref="Q518">INDEX(stable[is_multi_select],MATCH(VALUE(questions[[#This Row],[qno]]),VALUE(stable[qno]),0))</f>
        <v>0</v>
      </c>
      <c r="R518" s="9" t="b" cm="1">
        <f t="array" ref="R518">INDEX(stable[is_skip_logic],MATCH(VALUE(questions[[#This Row],[qno]]),VALUE(stable[qno]),0))</f>
        <v>0</v>
      </c>
      <c r="S518" s="9" t="str">
        <f>_xlfn.TEXTJOIN(", ",TRUE,questions[[#This Row],[ans_opt_1]:[ans_opt_14]])</f>
        <v/>
      </c>
      <c r="AH518" s="16" t="b">
        <f>INDEX(stable[q_standard],MATCH(questions[[#This Row],[qno]],stable[qno],0))</f>
        <v>1</v>
      </c>
      <c r="AI518" s="16" t="b">
        <f>INDEX(stable[q_living_income],MATCH(questions[[#This Row],[qno]],stable[qno],0))</f>
        <v>0</v>
      </c>
      <c r="AJ518" s="16" t="b">
        <f>INDEX(stable[q_carbon],MATCH(questions[[#This Row],[qno]],stable[qno],0))</f>
        <v>0</v>
      </c>
      <c r="AK518" s="16" t="b">
        <f>INDEX(stable[q_regen_ag],MATCH(questions[[#This Row],[qno]],stable[qno],0))</f>
        <v>0</v>
      </c>
      <c r="AL518" s="16" t="b">
        <f>COUNTIFS(stable[qno],questions[[#This Row],[qno]])=1</f>
        <v>1</v>
      </c>
      <c r="AM518" s="16" t="b">
        <f>OR(questions[[#This Row],[is_fixed]],questions[[#This Row],[is_localized]],questions[[#This Row],[is_supply_chain_dependent]])</f>
        <v>1</v>
      </c>
      <c r="AN518" s="16" t="b">
        <f>COUNTIFS(questions[[#This Row],[is_automated]:[is_multi_select]],TRUE)=1</f>
        <v>1</v>
      </c>
      <c r="AO518" s="16" t="b">
        <f>IF(questions[[#This Row],[is_fixed]],questions[[#This Row],[question]]=INDEX(stable[question],MATCH(questions[[#This Row],[qno]],stable[qno],0)),TRUE)</f>
        <v>1</v>
      </c>
      <c r="AP518" s="16" t="str">
        <f>LEFT(questions[[#This Row],[question]],similarity_range)</f>
        <v>Managed by</v>
      </c>
      <c r="AQ518" s="16" t="str">
        <f>LEFT(INDEX(stable[question],MATCH(questions[[#This Row],[qno]],stable[qno],0)),similarity_range)</f>
        <v>Managed by</v>
      </c>
      <c r="AR518" s="16" t="b">
        <f>questions[[#This Row],[question_first_characters]]=questions[[#This Row],[stability_first_characters]]</f>
        <v>1</v>
      </c>
      <c r="AS518" s="16" t="b">
        <f>IF(OR(questions[[#This Row],[is_single_select]],questions[[#This Row],[is_multi_select]]),NOT(ISBLANK(questions[[#This Row],[answer_opt_combined]])),TRUE)</f>
        <v>1</v>
      </c>
    </row>
    <row r="519" spans="1:45" ht="15.75" customHeight="1" x14ac:dyDescent="0.25">
      <c r="A519" s="9" t="str">
        <f>_xlfn.TEXTJOIN("_",TRUE,questions[[#This Row],[origin]:[qno]])</f>
        <v>Rwanda_Arabica_Nestle_Illy_IMPACT_2024_1105</v>
      </c>
      <c r="B519" s="9" t="s">
        <v>719</v>
      </c>
      <c r="C519" s="9" t="s">
        <v>59</v>
      </c>
      <c r="D519" s="9" t="s">
        <v>720</v>
      </c>
      <c r="E519" s="9">
        <v>2024</v>
      </c>
      <c r="F519" s="24" t="s">
        <v>71</v>
      </c>
      <c r="G519" s="15" t="s">
        <v>72</v>
      </c>
      <c r="H519" s="9" t="str" cm="1">
        <f t="array" ref="H519">INDEX(stableR[question],MATCH(VALUE(questions[[#This Row],[qno]]),VALUE(stableR[qno]),0))</f>
        <v>Field staff(s)</v>
      </c>
      <c r="I519" s="9" t="b" cm="1">
        <f t="array" ref="I519">INDEX(stable[is_fixed],MATCH(VALUE(questions[[#This Row],[qno]]),VALUE(stable[qno]),0))</f>
        <v>1</v>
      </c>
      <c r="J519" s="9" t="b" cm="1">
        <f t="array" ref="J519">INDEX(stable[is_localized],MATCH(VALUE(questions[[#This Row],[qno]]),VALUE(stable[qno]),0))</f>
        <v>0</v>
      </c>
      <c r="K519" s="9" t="b" cm="1">
        <f t="array" ref="K519">INDEX(stable[is_supply_chain_dependent],MATCH(VALUE(questions[[#This Row],[qno]]),VALUE(stable[qno]),0))</f>
        <v>0</v>
      </c>
      <c r="L519" s="9" t="b" cm="1">
        <f t="array" ref="L519">INDEX(stable[is_mandatory],MATCH(VALUE(questions[[#This Row],[qno]]),VALUE(stable[qno]),0))</f>
        <v>1</v>
      </c>
      <c r="M519" s="9" t="b" cm="1">
        <f t="array" ref="M519">INDEX(stable[is_automated],MATCH(VALUE(questions[[#This Row],[qno]]),VALUE(stable[qno]),0))</f>
        <v>1</v>
      </c>
      <c r="N519" s="9" t="b" cm="1">
        <f t="array" ref="N519">INDEX(stable[is_free_text],MATCH(VALUE(questions[[#This Row],[qno]]),VALUE(stable[qno]),0))</f>
        <v>0</v>
      </c>
      <c r="O519" s="9" t="b" cm="1">
        <f t="array" ref="O519">INDEX(stable[is_numerical],MATCH(VALUE(questions[[#This Row],[qno]]),VALUE(stable[qno]),0))</f>
        <v>0</v>
      </c>
      <c r="P519" s="9" t="b" cm="1">
        <f t="array" ref="P519">INDEX(stable[is_single_select],MATCH(VALUE(questions[[#This Row],[qno]]),VALUE(stable[qno]),0))</f>
        <v>0</v>
      </c>
      <c r="Q519" s="9" t="b" cm="1">
        <f t="array" ref="Q519">INDEX(stable[is_multi_select],MATCH(VALUE(questions[[#This Row],[qno]]),VALUE(stable[qno]),0))</f>
        <v>0</v>
      </c>
      <c r="R519" s="9" t="b" cm="1">
        <f t="array" ref="R519">INDEX(stable[is_skip_logic],MATCH(VALUE(questions[[#This Row],[qno]]),VALUE(stable[qno]),0))</f>
        <v>0</v>
      </c>
      <c r="S519" s="9" t="str">
        <f>_xlfn.TEXTJOIN(", ",TRUE,questions[[#This Row],[ans_opt_1]:[ans_opt_14]])</f>
        <v/>
      </c>
      <c r="AH519" s="16" t="b">
        <f>INDEX(stable[q_standard],MATCH(questions[[#This Row],[qno]],stable[qno],0))</f>
        <v>1</v>
      </c>
      <c r="AI519" s="16" t="b">
        <f>INDEX(stable[q_living_income],MATCH(questions[[#This Row],[qno]],stable[qno],0))</f>
        <v>0</v>
      </c>
      <c r="AJ519" s="16" t="b">
        <f>INDEX(stable[q_carbon],MATCH(questions[[#This Row],[qno]],stable[qno],0))</f>
        <v>0</v>
      </c>
      <c r="AK519" s="16" t="b">
        <f>INDEX(stable[q_regen_ag],MATCH(questions[[#This Row],[qno]],stable[qno],0))</f>
        <v>0</v>
      </c>
      <c r="AL519" s="16" t="b">
        <f>COUNTIFS(stable[qno],questions[[#This Row],[qno]])=1</f>
        <v>1</v>
      </c>
      <c r="AM519" s="16" t="b">
        <f>OR(questions[[#This Row],[is_fixed]],questions[[#This Row],[is_localized]],questions[[#This Row],[is_supply_chain_dependent]])</f>
        <v>1</v>
      </c>
      <c r="AN519" s="16" t="b">
        <f>COUNTIFS(questions[[#This Row],[is_automated]:[is_multi_select]],TRUE)=1</f>
        <v>1</v>
      </c>
      <c r="AO519" s="16" t="b">
        <f>IF(questions[[#This Row],[is_fixed]],questions[[#This Row],[question]]=INDEX(stable[question],MATCH(questions[[#This Row],[qno]],stable[qno],0)),TRUE)</f>
        <v>1</v>
      </c>
      <c r="AP519" s="16" t="str">
        <f>LEFT(questions[[#This Row],[question]],similarity_range)</f>
        <v>Field staff(s)</v>
      </c>
      <c r="AQ519" s="16" t="str">
        <f>LEFT(INDEX(stable[question],MATCH(questions[[#This Row],[qno]],stable[qno],0)),similarity_range)</f>
        <v>Field staff(s)</v>
      </c>
      <c r="AR519" s="16" t="b">
        <f>questions[[#This Row],[question_first_characters]]=questions[[#This Row],[stability_first_characters]]</f>
        <v>1</v>
      </c>
      <c r="AS519" s="16" t="b">
        <f>IF(OR(questions[[#This Row],[is_single_select]],questions[[#This Row],[is_multi_select]]),NOT(ISBLANK(questions[[#This Row],[answer_opt_combined]])),TRUE)</f>
        <v>1</v>
      </c>
    </row>
    <row r="520" spans="1:45" ht="15.75" customHeight="1" x14ac:dyDescent="0.25">
      <c r="A520" s="9" t="str">
        <f>_xlfn.TEXTJOIN("_",TRUE,questions[[#This Row],[origin]:[qno]])</f>
        <v>Rwanda_Arabica_Nestle_Illy_IMPACT_2024_1106</v>
      </c>
      <c r="B520" s="9" t="s">
        <v>719</v>
      </c>
      <c r="C520" s="9" t="s">
        <v>59</v>
      </c>
      <c r="D520" s="9" t="s">
        <v>720</v>
      </c>
      <c r="E520" s="9">
        <v>2024</v>
      </c>
      <c r="F520" s="24" t="s">
        <v>73</v>
      </c>
      <c r="G520" s="15" t="s">
        <v>74</v>
      </c>
      <c r="H520" s="9" t="str" cm="1">
        <f t="array" ref="H520">INDEX(stableR[question],MATCH(VALUE(questions[[#This Row],[qno]]),VALUE(stableR[qno]),0))</f>
        <v>Completion Date</v>
      </c>
      <c r="I520" s="9" t="b" cm="1">
        <f t="array" ref="I520">INDEX(stable[is_fixed],MATCH(VALUE(questions[[#This Row],[qno]]),VALUE(stable[qno]),0))</f>
        <v>1</v>
      </c>
      <c r="J520" s="9" t="b" cm="1">
        <f t="array" ref="J520">INDEX(stable[is_localized],MATCH(VALUE(questions[[#This Row],[qno]]),VALUE(stable[qno]),0))</f>
        <v>0</v>
      </c>
      <c r="K520" s="9" t="b" cm="1">
        <f t="array" ref="K520">INDEX(stable[is_supply_chain_dependent],MATCH(VALUE(questions[[#This Row],[qno]]),VALUE(stable[qno]),0))</f>
        <v>0</v>
      </c>
      <c r="L520" s="9" t="b" cm="1">
        <f t="array" ref="L520">INDEX(stable[is_mandatory],MATCH(VALUE(questions[[#This Row],[qno]]),VALUE(stable[qno]),0))</f>
        <v>1</v>
      </c>
      <c r="M520" s="9" t="b" cm="1">
        <f t="array" ref="M520">INDEX(stable[is_automated],MATCH(VALUE(questions[[#This Row],[qno]]),VALUE(stable[qno]),0))</f>
        <v>1</v>
      </c>
      <c r="N520" s="9" t="b" cm="1">
        <f t="array" ref="N520">INDEX(stable[is_free_text],MATCH(VALUE(questions[[#This Row],[qno]]),VALUE(stable[qno]),0))</f>
        <v>0</v>
      </c>
      <c r="O520" s="9" t="b" cm="1">
        <f t="array" ref="O520">INDEX(stable[is_numerical],MATCH(VALUE(questions[[#This Row],[qno]]),VALUE(stable[qno]),0))</f>
        <v>0</v>
      </c>
      <c r="P520" s="9" t="b" cm="1">
        <f t="array" ref="P520">INDEX(stable[is_single_select],MATCH(VALUE(questions[[#This Row],[qno]]),VALUE(stable[qno]),0))</f>
        <v>0</v>
      </c>
      <c r="Q520" s="9" t="b" cm="1">
        <f t="array" ref="Q520">INDEX(stable[is_multi_select],MATCH(VALUE(questions[[#This Row],[qno]]),VALUE(stable[qno]),0))</f>
        <v>0</v>
      </c>
      <c r="R520" s="9" t="b" cm="1">
        <f t="array" ref="R520">INDEX(stable[is_skip_logic],MATCH(VALUE(questions[[#This Row],[qno]]),VALUE(stable[qno]),0))</f>
        <v>0</v>
      </c>
      <c r="S520" s="9" t="str">
        <f>_xlfn.TEXTJOIN(", ",TRUE,questions[[#This Row],[ans_opt_1]:[ans_opt_14]])</f>
        <v/>
      </c>
      <c r="AH520" s="16" t="b">
        <f>INDEX(stable[q_standard],MATCH(questions[[#This Row],[qno]],stable[qno],0))</f>
        <v>1</v>
      </c>
      <c r="AI520" s="16" t="b">
        <f>INDEX(stable[q_living_income],MATCH(questions[[#This Row],[qno]],stable[qno],0))</f>
        <v>0</v>
      </c>
      <c r="AJ520" s="16" t="b">
        <f>INDEX(stable[q_carbon],MATCH(questions[[#This Row],[qno]],stable[qno],0))</f>
        <v>0</v>
      </c>
      <c r="AK520" s="16" t="b">
        <f>INDEX(stable[q_regen_ag],MATCH(questions[[#This Row],[qno]],stable[qno],0))</f>
        <v>0</v>
      </c>
      <c r="AL520" s="16" t="b">
        <f>COUNTIFS(stable[qno],questions[[#This Row],[qno]])=1</f>
        <v>1</v>
      </c>
      <c r="AM520" s="16" t="b">
        <f>OR(questions[[#This Row],[is_fixed]],questions[[#This Row],[is_localized]],questions[[#This Row],[is_supply_chain_dependent]])</f>
        <v>1</v>
      </c>
      <c r="AN520" s="16" t="b">
        <f>COUNTIFS(questions[[#This Row],[is_automated]:[is_multi_select]],TRUE)=1</f>
        <v>1</v>
      </c>
      <c r="AO520" s="16" t="b">
        <f>IF(questions[[#This Row],[is_fixed]],questions[[#This Row],[question]]=INDEX(stable[question],MATCH(questions[[#This Row],[qno]],stable[qno],0)),TRUE)</f>
        <v>1</v>
      </c>
      <c r="AP520" s="16" t="str">
        <f>LEFT(questions[[#This Row],[question]],similarity_range)</f>
        <v>Completion Date</v>
      </c>
      <c r="AQ520" s="16" t="str">
        <f>LEFT(INDEX(stable[question],MATCH(questions[[#This Row],[qno]],stable[qno],0)),similarity_range)</f>
        <v>Completion Date</v>
      </c>
      <c r="AR520" s="16" t="b">
        <f>questions[[#This Row],[question_first_characters]]=questions[[#This Row],[stability_first_characters]]</f>
        <v>1</v>
      </c>
      <c r="AS520" s="16" t="b">
        <f>IF(OR(questions[[#This Row],[is_single_select]],questions[[#This Row],[is_multi_select]]),NOT(ISBLANK(questions[[#This Row],[answer_opt_combined]])),TRUE)</f>
        <v>1</v>
      </c>
    </row>
    <row r="521" spans="1:45" ht="15.75" customHeight="1" x14ac:dyDescent="0.25">
      <c r="A521" s="9" t="str">
        <f>_xlfn.TEXTJOIN("_",TRUE,questions[[#This Row],[origin]:[qno]])</f>
        <v>Rwanda_Arabica_Nestle_Illy_IMPACT_2024_1110</v>
      </c>
      <c r="B521" s="9" t="s">
        <v>719</v>
      </c>
      <c r="C521" s="9" t="s">
        <v>59</v>
      </c>
      <c r="D521" s="9" t="s">
        <v>720</v>
      </c>
      <c r="E521" s="9">
        <v>2024</v>
      </c>
      <c r="F521" s="24" t="s">
        <v>75</v>
      </c>
      <c r="G521" s="15" t="s">
        <v>76</v>
      </c>
      <c r="H521" s="9" t="str" cm="1">
        <f t="array" ref="H521">INDEX(stableR[question],MATCH(VALUE(questions[[#This Row],[qno]]),VALUE(stableR[qno]),0))</f>
        <v>Approved / Rejected By</v>
      </c>
      <c r="I521" s="9" t="b" cm="1">
        <f t="array" ref="I521">INDEX(stable[is_fixed],MATCH(VALUE(questions[[#This Row],[qno]]),VALUE(stable[qno]),0))</f>
        <v>1</v>
      </c>
      <c r="J521" s="9" t="b" cm="1">
        <f t="array" ref="J521">INDEX(stable[is_localized],MATCH(VALUE(questions[[#This Row],[qno]]),VALUE(stable[qno]),0))</f>
        <v>0</v>
      </c>
      <c r="K521" s="9" t="b" cm="1">
        <f t="array" ref="K521">INDEX(stable[is_supply_chain_dependent],MATCH(VALUE(questions[[#This Row],[qno]]),VALUE(stable[qno]),0))</f>
        <v>0</v>
      </c>
      <c r="L521" s="9" t="b" cm="1">
        <f t="array" ref="L521">INDEX(stable[is_mandatory],MATCH(VALUE(questions[[#This Row],[qno]]),VALUE(stable[qno]),0))</f>
        <v>1</v>
      </c>
      <c r="M521" s="9" t="b" cm="1">
        <f t="array" ref="M521">INDEX(stable[is_automated],MATCH(VALUE(questions[[#This Row],[qno]]),VALUE(stable[qno]),0))</f>
        <v>1</v>
      </c>
      <c r="N521" s="9" t="b" cm="1">
        <f t="array" ref="N521">INDEX(stable[is_free_text],MATCH(VALUE(questions[[#This Row],[qno]]),VALUE(stable[qno]),0))</f>
        <v>0</v>
      </c>
      <c r="O521" s="9" t="b" cm="1">
        <f t="array" ref="O521">INDEX(stable[is_numerical],MATCH(VALUE(questions[[#This Row],[qno]]),VALUE(stable[qno]),0))</f>
        <v>0</v>
      </c>
      <c r="P521" s="9" t="b" cm="1">
        <f t="array" ref="P521">INDEX(stable[is_single_select],MATCH(VALUE(questions[[#This Row],[qno]]),VALUE(stable[qno]),0))</f>
        <v>0</v>
      </c>
      <c r="Q521" s="9" t="b" cm="1">
        <f t="array" ref="Q521">INDEX(stable[is_multi_select],MATCH(VALUE(questions[[#This Row],[qno]]),VALUE(stable[qno]),0))</f>
        <v>0</v>
      </c>
      <c r="R521" s="9" t="b" cm="1">
        <f t="array" ref="R521">INDEX(stable[is_skip_logic],MATCH(VALUE(questions[[#This Row],[qno]]),VALUE(stable[qno]),0))</f>
        <v>0</v>
      </c>
      <c r="S521" s="9" t="str">
        <f>_xlfn.TEXTJOIN(", ",TRUE,questions[[#This Row],[ans_opt_1]:[ans_opt_14]])</f>
        <v/>
      </c>
      <c r="AH521" s="16" t="b">
        <f>INDEX(stable[q_standard],MATCH(questions[[#This Row],[qno]],stable[qno],0))</f>
        <v>1</v>
      </c>
      <c r="AI521" s="16" t="b">
        <f>INDEX(stable[q_living_income],MATCH(questions[[#This Row],[qno]],stable[qno],0))</f>
        <v>0</v>
      </c>
      <c r="AJ521" s="16" t="b">
        <f>INDEX(stable[q_carbon],MATCH(questions[[#This Row],[qno]],stable[qno],0))</f>
        <v>0</v>
      </c>
      <c r="AK521" s="16" t="b">
        <f>INDEX(stable[q_regen_ag],MATCH(questions[[#This Row],[qno]],stable[qno],0))</f>
        <v>0</v>
      </c>
      <c r="AL521" s="16" t="b">
        <f>COUNTIFS(stable[qno],questions[[#This Row],[qno]])=1</f>
        <v>1</v>
      </c>
      <c r="AM521" s="16" t="b">
        <f>OR(questions[[#This Row],[is_fixed]],questions[[#This Row],[is_localized]],questions[[#This Row],[is_supply_chain_dependent]])</f>
        <v>1</v>
      </c>
      <c r="AN521" s="16" t="b">
        <f>COUNTIFS(questions[[#This Row],[is_automated]:[is_multi_select]],TRUE)=1</f>
        <v>1</v>
      </c>
      <c r="AO521" s="16" t="b">
        <f>IF(questions[[#This Row],[is_fixed]],questions[[#This Row],[question]]=INDEX(stable[question],MATCH(questions[[#This Row],[qno]],stable[qno],0)),TRUE)</f>
        <v>1</v>
      </c>
      <c r="AP521" s="16" t="str">
        <f>LEFT(questions[[#This Row],[question]],similarity_range)</f>
        <v xml:space="preserve">Approved / Rejected </v>
      </c>
      <c r="AQ521" s="16" t="str">
        <f>LEFT(INDEX(stable[question],MATCH(questions[[#This Row],[qno]],stable[qno],0)),similarity_range)</f>
        <v xml:space="preserve">Approved / Rejected </v>
      </c>
      <c r="AR521" s="16" t="b">
        <f>questions[[#This Row],[question_first_characters]]=questions[[#This Row],[stability_first_characters]]</f>
        <v>1</v>
      </c>
      <c r="AS521" s="16" t="b">
        <f>IF(OR(questions[[#This Row],[is_single_select]],questions[[#This Row],[is_multi_select]]),NOT(ISBLANK(questions[[#This Row],[answer_opt_combined]])),TRUE)</f>
        <v>1</v>
      </c>
    </row>
    <row r="522" spans="1:45" ht="15.75" customHeight="1" x14ac:dyDescent="0.25">
      <c r="A522" s="9" t="str">
        <f>_xlfn.TEXTJOIN("_",TRUE,questions[[#This Row],[origin]:[qno]])</f>
        <v>Rwanda_Arabica_Nestle_Illy_IMPACT_2024_1111</v>
      </c>
      <c r="B522" s="9" t="s">
        <v>719</v>
      </c>
      <c r="C522" s="9" t="s">
        <v>59</v>
      </c>
      <c r="D522" s="9" t="s">
        <v>720</v>
      </c>
      <c r="E522" s="9">
        <v>2024</v>
      </c>
      <c r="F522" s="24" t="s">
        <v>77</v>
      </c>
      <c r="G522" s="15" t="s">
        <v>78</v>
      </c>
      <c r="H522" s="9" t="str" cm="1">
        <f t="array" ref="H522">INDEX(stableR[question],MATCH(VALUE(questions[[#This Row],[qno]]),VALUE(stableR[qno]),0))</f>
        <v>Approved / Rejected Date</v>
      </c>
      <c r="I522" s="9" t="b" cm="1">
        <f t="array" ref="I522">INDEX(stable[is_fixed],MATCH(VALUE(questions[[#This Row],[qno]]),VALUE(stable[qno]),0))</f>
        <v>1</v>
      </c>
      <c r="J522" s="9" t="b" cm="1">
        <f t="array" ref="J522">INDEX(stable[is_localized],MATCH(VALUE(questions[[#This Row],[qno]]),VALUE(stable[qno]),0))</f>
        <v>0</v>
      </c>
      <c r="K522" s="9" t="b" cm="1">
        <f t="array" ref="K522">INDEX(stable[is_supply_chain_dependent],MATCH(VALUE(questions[[#This Row],[qno]]),VALUE(stable[qno]),0))</f>
        <v>0</v>
      </c>
      <c r="L522" s="9" t="b" cm="1">
        <f t="array" ref="L522">INDEX(stable[is_mandatory],MATCH(VALUE(questions[[#This Row],[qno]]),VALUE(stable[qno]),0))</f>
        <v>1</v>
      </c>
      <c r="M522" s="9" t="b" cm="1">
        <f t="array" ref="M522">INDEX(stable[is_automated],MATCH(VALUE(questions[[#This Row],[qno]]),VALUE(stable[qno]),0))</f>
        <v>1</v>
      </c>
      <c r="N522" s="9" t="b" cm="1">
        <f t="array" ref="N522">INDEX(stable[is_free_text],MATCH(VALUE(questions[[#This Row],[qno]]),VALUE(stable[qno]),0))</f>
        <v>0</v>
      </c>
      <c r="O522" s="9" t="b" cm="1">
        <f t="array" ref="O522">INDEX(stable[is_numerical],MATCH(VALUE(questions[[#This Row],[qno]]),VALUE(stable[qno]),0))</f>
        <v>0</v>
      </c>
      <c r="P522" s="9" t="b" cm="1">
        <f t="array" ref="P522">INDEX(stable[is_single_select],MATCH(VALUE(questions[[#This Row],[qno]]),VALUE(stable[qno]),0))</f>
        <v>0</v>
      </c>
      <c r="Q522" s="9" t="b" cm="1">
        <f t="array" ref="Q522">INDEX(stable[is_multi_select],MATCH(VALUE(questions[[#This Row],[qno]]),VALUE(stable[qno]),0))</f>
        <v>0</v>
      </c>
      <c r="R522" s="9" t="b" cm="1">
        <f t="array" ref="R522">INDEX(stable[is_skip_logic],MATCH(VALUE(questions[[#This Row],[qno]]),VALUE(stable[qno]),0))</f>
        <v>0</v>
      </c>
      <c r="S522" s="9" t="str">
        <f>_xlfn.TEXTJOIN(", ",TRUE,questions[[#This Row],[ans_opt_1]:[ans_opt_14]])</f>
        <v/>
      </c>
      <c r="AH522" s="16" t="b">
        <f>INDEX(stable[q_standard],MATCH(questions[[#This Row],[qno]],stable[qno],0))</f>
        <v>1</v>
      </c>
      <c r="AI522" s="16" t="b">
        <f>INDEX(stable[q_living_income],MATCH(questions[[#This Row],[qno]],stable[qno],0))</f>
        <v>0</v>
      </c>
      <c r="AJ522" s="16" t="b">
        <f>INDEX(stable[q_carbon],MATCH(questions[[#This Row],[qno]],stable[qno],0))</f>
        <v>0</v>
      </c>
      <c r="AK522" s="16" t="b">
        <f>INDEX(stable[q_regen_ag],MATCH(questions[[#This Row],[qno]],stable[qno],0))</f>
        <v>0</v>
      </c>
      <c r="AL522" s="16" t="b">
        <f>COUNTIFS(stable[qno],questions[[#This Row],[qno]])=1</f>
        <v>1</v>
      </c>
      <c r="AM522" s="16" t="b">
        <f>OR(questions[[#This Row],[is_fixed]],questions[[#This Row],[is_localized]],questions[[#This Row],[is_supply_chain_dependent]])</f>
        <v>1</v>
      </c>
      <c r="AN522" s="16" t="b">
        <f>COUNTIFS(questions[[#This Row],[is_automated]:[is_multi_select]],TRUE)=1</f>
        <v>1</v>
      </c>
      <c r="AO522" s="16" t="b">
        <f>IF(questions[[#This Row],[is_fixed]],questions[[#This Row],[question]]=INDEX(stable[question],MATCH(questions[[#This Row],[qno]],stable[qno],0)),TRUE)</f>
        <v>1</v>
      </c>
      <c r="AP522" s="16" t="str">
        <f>LEFT(questions[[#This Row],[question]],similarity_range)</f>
        <v xml:space="preserve">Approved / Rejected </v>
      </c>
      <c r="AQ522" s="16" t="str">
        <f>LEFT(INDEX(stable[question],MATCH(questions[[#This Row],[qno]],stable[qno],0)),similarity_range)</f>
        <v xml:space="preserve">Approved / Rejected </v>
      </c>
      <c r="AR522" s="16" t="b">
        <f>questions[[#This Row],[question_first_characters]]=questions[[#This Row],[stability_first_characters]]</f>
        <v>1</v>
      </c>
      <c r="AS522" s="16" t="b">
        <f>IF(OR(questions[[#This Row],[is_single_select]],questions[[#This Row],[is_multi_select]]),NOT(ISBLANK(questions[[#This Row],[answer_opt_combined]])),TRUE)</f>
        <v>1</v>
      </c>
    </row>
    <row r="523" spans="1:45" ht="15.75" customHeight="1" x14ac:dyDescent="0.25">
      <c r="A523" s="9" t="str">
        <f>_xlfn.TEXTJOIN("_",TRUE,questions[[#This Row],[origin]:[qno]])</f>
        <v>Rwanda_Arabica_Nestle_Illy_IMPACT_2024_1112</v>
      </c>
      <c r="B523" s="9" t="s">
        <v>719</v>
      </c>
      <c r="C523" s="9" t="s">
        <v>59</v>
      </c>
      <c r="D523" s="9" t="s">
        <v>720</v>
      </c>
      <c r="E523" s="9">
        <v>2024</v>
      </c>
      <c r="F523" s="24" t="s">
        <v>79</v>
      </c>
      <c r="G523" s="15" t="s">
        <v>80</v>
      </c>
      <c r="H523" s="9" t="str" cm="1">
        <f t="array" ref="H523">INDEX(stableR[question],MATCH(VALUE(questions[[#This Row],[qno]]),VALUE(stableR[qno]),0))</f>
        <v>Approval / Rejection Reason</v>
      </c>
      <c r="I523" s="9" t="b" cm="1">
        <f t="array" ref="I523">INDEX(stable[is_fixed],MATCH(VALUE(questions[[#This Row],[qno]]),VALUE(stable[qno]),0))</f>
        <v>1</v>
      </c>
      <c r="J523" s="9" t="b" cm="1">
        <f t="array" ref="J523">INDEX(stable[is_localized],MATCH(VALUE(questions[[#This Row],[qno]]),VALUE(stable[qno]),0))</f>
        <v>0</v>
      </c>
      <c r="K523" s="9" t="b" cm="1">
        <f t="array" ref="K523">INDEX(stable[is_supply_chain_dependent],MATCH(VALUE(questions[[#This Row],[qno]]),VALUE(stable[qno]),0))</f>
        <v>0</v>
      </c>
      <c r="L523" s="9" t="b" cm="1">
        <f t="array" ref="L523">INDEX(stable[is_mandatory],MATCH(VALUE(questions[[#This Row],[qno]]),VALUE(stable[qno]),0))</f>
        <v>1</v>
      </c>
      <c r="M523" s="9" t="b" cm="1">
        <f t="array" ref="M523">INDEX(stable[is_automated],MATCH(VALUE(questions[[#This Row],[qno]]),VALUE(stable[qno]),0))</f>
        <v>1</v>
      </c>
      <c r="N523" s="9" t="b" cm="1">
        <f t="array" ref="N523">INDEX(stable[is_free_text],MATCH(VALUE(questions[[#This Row],[qno]]),VALUE(stable[qno]),0))</f>
        <v>0</v>
      </c>
      <c r="O523" s="9" t="b" cm="1">
        <f t="array" ref="O523">INDEX(stable[is_numerical],MATCH(VALUE(questions[[#This Row],[qno]]),VALUE(stable[qno]),0))</f>
        <v>0</v>
      </c>
      <c r="P523" s="9" t="b" cm="1">
        <f t="array" ref="P523">INDEX(stable[is_single_select],MATCH(VALUE(questions[[#This Row],[qno]]),VALUE(stable[qno]),0))</f>
        <v>0</v>
      </c>
      <c r="Q523" s="9" t="b" cm="1">
        <f t="array" ref="Q523">INDEX(stable[is_multi_select],MATCH(VALUE(questions[[#This Row],[qno]]),VALUE(stable[qno]),0))</f>
        <v>0</v>
      </c>
      <c r="R523" s="9" t="b" cm="1">
        <f t="array" ref="R523">INDEX(stable[is_skip_logic],MATCH(VALUE(questions[[#This Row],[qno]]),VALUE(stable[qno]),0))</f>
        <v>0</v>
      </c>
      <c r="S523" s="9" t="str">
        <f>_xlfn.TEXTJOIN(", ",TRUE,questions[[#This Row],[ans_opt_1]:[ans_opt_14]])</f>
        <v/>
      </c>
      <c r="AH523" s="16" t="b">
        <f>INDEX(stable[q_standard],MATCH(questions[[#This Row],[qno]],stable[qno],0))</f>
        <v>1</v>
      </c>
      <c r="AI523" s="16" t="b">
        <f>INDEX(stable[q_living_income],MATCH(questions[[#This Row],[qno]],stable[qno],0))</f>
        <v>0</v>
      </c>
      <c r="AJ523" s="16" t="b">
        <f>INDEX(stable[q_carbon],MATCH(questions[[#This Row],[qno]],stable[qno],0))</f>
        <v>0</v>
      </c>
      <c r="AK523" s="16" t="b">
        <f>INDEX(stable[q_regen_ag],MATCH(questions[[#This Row],[qno]],stable[qno],0))</f>
        <v>0</v>
      </c>
      <c r="AL523" s="16" t="b">
        <f>COUNTIFS(stable[qno],questions[[#This Row],[qno]])=1</f>
        <v>1</v>
      </c>
      <c r="AM523" s="16" t="b">
        <f>OR(questions[[#This Row],[is_fixed]],questions[[#This Row],[is_localized]],questions[[#This Row],[is_supply_chain_dependent]])</f>
        <v>1</v>
      </c>
      <c r="AN523" s="16" t="b">
        <f>COUNTIFS(questions[[#This Row],[is_automated]:[is_multi_select]],TRUE)=1</f>
        <v>1</v>
      </c>
      <c r="AO523" s="16" t="b">
        <f>IF(questions[[#This Row],[is_fixed]],questions[[#This Row],[question]]=INDEX(stable[question],MATCH(questions[[#This Row],[qno]],stable[qno],0)),TRUE)</f>
        <v>1</v>
      </c>
      <c r="AP523" s="16" t="str">
        <f>LEFT(questions[[#This Row],[question]],similarity_range)</f>
        <v>Approval / Rejection</v>
      </c>
      <c r="AQ523" s="16" t="str">
        <f>LEFT(INDEX(stable[question],MATCH(questions[[#This Row],[qno]],stable[qno],0)),similarity_range)</f>
        <v>Approval / Rejection</v>
      </c>
      <c r="AR523" s="16" t="b">
        <f>questions[[#This Row],[question_first_characters]]=questions[[#This Row],[stability_first_characters]]</f>
        <v>1</v>
      </c>
      <c r="AS523" s="16" t="b">
        <f>IF(OR(questions[[#This Row],[is_single_select]],questions[[#This Row],[is_multi_select]]),NOT(ISBLANK(questions[[#This Row],[answer_opt_combined]])),TRUE)</f>
        <v>1</v>
      </c>
    </row>
    <row r="524" spans="1:45" ht="15.75" customHeight="1" x14ac:dyDescent="0.25">
      <c r="A524" s="9" t="str">
        <f>_xlfn.TEXTJOIN("_",TRUE,questions[[#This Row],[origin]:[qno]])</f>
        <v>Rwanda_Arabica_Nestle_Illy_IMPACT_2024_1200</v>
      </c>
      <c r="B524" s="9" t="s">
        <v>719</v>
      </c>
      <c r="C524" s="9" t="s">
        <v>59</v>
      </c>
      <c r="D524" s="9" t="s">
        <v>720</v>
      </c>
      <c r="E524" s="9">
        <v>2024</v>
      </c>
      <c r="F524" s="24" t="s">
        <v>81</v>
      </c>
      <c r="G524" s="15" t="s">
        <v>82</v>
      </c>
      <c r="H524" s="9" t="str" cm="1">
        <f t="array" ref="H524">INDEX(stableR[question],MATCH(VALUE(questions[[#This Row],[qno]]),VALUE(stableR[qno]),0))</f>
        <v>Farmer code</v>
      </c>
      <c r="I524" s="9" t="b" cm="1">
        <f t="array" ref="I524">INDEX(stable[is_fixed],MATCH(VALUE(questions[[#This Row],[qno]]),VALUE(stable[qno]),0))</f>
        <v>1</v>
      </c>
      <c r="J524" s="9" t="b" cm="1">
        <f t="array" ref="J524">INDEX(stable[is_localized],MATCH(VALUE(questions[[#This Row],[qno]]),VALUE(stable[qno]),0))</f>
        <v>0</v>
      </c>
      <c r="K524" s="9" t="b" cm="1">
        <f t="array" ref="K524">INDEX(stable[is_supply_chain_dependent],MATCH(VALUE(questions[[#This Row],[qno]]),VALUE(stable[qno]),0))</f>
        <v>0</v>
      </c>
      <c r="L524" s="9" t="b" cm="1">
        <f t="array" ref="L524">INDEX(stable[is_mandatory],MATCH(VALUE(questions[[#This Row],[qno]]),VALUE(stable[qno]),0))</f>
        <v>1</v>
      </c>
      <c r="M524" s="9" t="b" cm="1">
        <f t="array" ref="M524">INDEX(stable[is_automated],MATCH(VALUE(questions[[#This Row],[qno]]),VALUE(stable[qno]),0))</f>
        <v>1</v>
      </c>
      <c r="N524" s="9" t="b" cm="1">
        <f t="array" ref="N524">INDEX(stable[is_free_text],MATCH(VALUE(questions[[#This Row],[qno]]),VALUE(stable[qno]),0))</f>
        <v>0</v>
      </c>
      <c r="O524" s="9" t="b" cm="1">
        <f t="array" ref="O524">INDEX(stable[is_numerical],MATCH(VALUE(questions[[#This Row],[qno]]),VALUE(stable[qno]),0))</f>
        <v>0</v>
      </c>
      <c r="P524" s="9" t="b" cm="1">
        <f t="array" ref="P524">INDEX(stable[is_single_select],MATCH(VALUE(questions[[#This Row],[qno]]),VALUE(stable[qno]),0))</f>
        <v>0</v>
      </c>
      <c r="Q524" s="9" t="b" cm="1">
        <f t="array" ref="Q524">INDEX(stable[is_multi_select],MATCH(VALUE(questions[[#This Row],[qno]]),VALUE(stable[qno]),0))</f>
        <v>0</v>
      </c>
      <c r="R524" s="9" t="b" cm="1">
        <f t="array" ref="R524">INDEX(stable[is_skip_logic],MATCH(VALUE(questions[[#This Row],[qno]]),VALUE(stable[qno]),0))</f>
        <v>0</v>
      </c>
      <c r="S524" s="9" t="str">
        <f>_xlfn.TEXTJOIN(", ",TRUE,questions[[#This Row],[ans_opt_1]:[ans_opt_14]])</f>
        <v/>
      </c>
      <c r="AH524" s="16" t="b">
        <f>INDEX(stable[q_standard],MATCH(questions[[#This Row],[qno]],stable[qno],0))</f>
        <v>1</v>
      </c>
      <c r="AI524" s="16" t="b">
        <f>INDEX(stable[q_living_income],MATCH(questions[[#This Row],[qno]],stable[qno],0))</f>
        <v>0</v>
      </c>
      <c r="AJ524" s="16" t="b">
        <f>INDEX(stable[q_carbon],MATCH(questions[[#This Row],[qno]],stable[qno],0))</f>
        <v>0</v>
      </c>
      <c r="AK524" s="16" t="b">
        <f>INDEX(stable[q_regen_ag],MATCH(questions[[#This Row],[qno]],stable[qno],0))</f>
        <v>0</v>
      </c>
      <c r="AL524" s="16" t="b">
        <f>COUNTIFS(stable[qno],questions[[#This Row],[qno]])=1</f>
        <v>1</v>
      </c>
      <c r="AM524" s="16" t="b">
        <f>OR(questions[[#This Row],[is_fixed]],questions[[#This Row],[is_localized]],questions[[#This Row],[is_supply_chain_dependent]])</f>
        <v>1</v>
      </c>
      <c r="AN524" s="16" t="b">
        <f>COUNTIFS(questions[[#This Row],[is_automated]:[is_multi_select]],TRUE)=1</f>
        <v>1</v>
      </c>
      <c r="AO524" s="16" t="b">
        <f>IF(questions[[#This Row],[is_fixed]],questions[[#This Row],[question]]=INDEX(stable[question],MATCH(questions[[#This Row],[qno]],stable[qno],0)),TRUE)</f>
        <v>1</v>
      </c>
      <c r="AP524" s="16" t="str">
        <f>LEFT(questions[[#This Row],[question]],similarity_range)</f>
        <v>Farmer code</v>
      </c>
      <c r="AQ524" s="16" t="str">
        <f>LEFT(INDEX(stable[question],MATCH(questions[[#This Row],[qno]],stable[qno],0)),similarity_range)</f>
        <v>Farmer code</v>
      </c>
      <c r="AR524" s="16" t="b">
        <f>questions[[#This Row],[question_first_characters]]=questions[[#This Row],[stability_first_characters]]</f>
        <v>1</v>
      </c>
      <c r="AS524" s="16" t="b">
        <f>IF(OR(questions[[#This Row],[is_single_select]],questions[[#This Row],[is_multi_select]]),NOT(ISBLANK(questions[[#This Row],[answer_opt_combined]])),TRUE)</f>
        <v>1</v>
      </c>
    </row>
    <row r="525" spans="1:45" ht="15.75" customHeight="1" x14ac:dyDescent="0.25">
      <c r="A525" s="9" t="str">
        <f>_xlfn.TEXTJOIN("_",TRUE,questions[[#This Row],[origin]:[qno]])</f>
        <v>Rwanda_Arabica_Nestle_Illy_IMPACT_2024_1201</v>
      </c>
      <c r="B525" s="9" t="s">
        <v>719</v>
      </c>
      <c r="C525" s="9" t="s">
        <v>59</v>
      </c>
      <c r="D525" s="9" t="s">
        <v>720</v>
      </c>
      <c r="E525" s="9">
        <v>2024</v>
      </c>
      <c r="F525" s="24" t="s">
        <v>83</v>
      </c>
      <c r="G525" s="15" t="s">
        <v>84</v>
      </c>
      <c r="H525" s="9" t="str" cm="1">
        <f t="array" ref="H525">INDEX(stableR[question],MATCH(VALUE(questions[[#This Row],[qno]]),VALUE(stableR[qno]),0))</f>
        <v>Farmer name</v>
      </c>
      <c r="I525" s="9" t="b" cm="1">
        <f t="array" ref="I525">INDEX(stable[is_fixed],MATCH(VALUE(questions[[#This Row],[qno]]),VALUE(stable[qno]),0))</f>
        <v>1</v>
      </c>
      <c r="J525" s="9" t="b" cm="1">
        <f t="array" ref="J525">INDEX(stable[is_localized],MATCH(VALUE(questions[[#This Row],[qno]]),VALUE(stable[qno]),0))</f>
        <v>0</v>
      </c>
      <c r="K525" s="9" t="b" cm="1">
        <f t="array" ref="K525">INDEX(stable[is_supply_chain_dependent],MATCH(VALUE(questions[[#This Row],[qno]]),VALUE(stable[qno]),0))</f>
        <v>0</v>
      </c>
      <c r="L525" s="9" t="b" cm="1">
        <f t="array" ref="L525">INDEX(stable[is_mandatory],MATCH(VALUE(questions[[#This Row],[qno]]),VALUE(stable[qno]),0))</f>
        <v>1</v>
      </c>
      <c r="M525" s="9" t="b" cm="1">
        <f t="array" ref="M525">INDEX(stable[is_automated],MATCH(VALUE(questions[[#This Row],[qno]]),VALUE(stable[qno]),0))</f>
        <v>1</v>
      </c>
      <c r="N525" s="9" t="b" cm="1">
        <f t="array" ref="N525">INDEX(stable[is_free_text],MATCH(VALUE(questions[[#This Row],[qno]]),VALUE(stable[qno]),0))</f>
        <v>0</v>
      </c>
      <c r="O525" s="9" t="b" cm="1">
        <f t="array" ref="O525">INDEX(stable[is_numerical],MATCH(VALUE(questions[[#This Row],[qno]]),VALUE(stable[qno]),0))</f>
        <v>0</v>
      </c>
      <c r="P525" s="9" t="b" cm="1">
        <f t="array" ref="P525">INDEX(stable[is_single_select],MATCH(VALUE(questions[[#This Row],[qno]]),VALUE(stable[qno]),0))</f>
        <v>0</v>
      </c>
      <c r="Q525" s="9" t="b" cm="1">
        <f t="array" ref="Q525">INDEX(stable[is_multi_select],MATCH(VALUE(questions[[#This Row],[qno]]),VALUE(stable[qno]),0))</f>
        <v>0</v>
      </c>
      <c r="R525" s="9" t="b" cm="1">
        <f t="array" ref="R525">INDEX(stable[is_skip_logic],MATCH(VALUE(questions[[#This Row],[qno]]),VALUE(stable[qno]),0))</f>
        <v>0</v>
      </c>
      <c r="S525" s="9" t="str">
        <f>_xlfn.TEXTJOIN(", ",TRUE,questions[[#This Row],[ans_opt_1]:[ans_opt_14]])</f>
        <v/>
      </c>
      <c r="AH525" s="16" t="b">
        <f>INDEX(stable[q_standard],MATCH(questions[[#This Row],[qno]],stable[qno],0))</f>
        <v>1</v>
      </c>
      <c r="AI525" s="16" t="b">
        <f>INDEX(stable[q_living_income],MATCH(questions[[#This Row],[qno]],stable[qno],0))</f>
        <v>0</v>
      </c>
      <c r="AJ525" s="16" t="b">
        <f>INDEX(stable[q_carbon],MATCH(questions[[#This Row],[qno]],stable[qno],0))</f>
        <v>0</v>
      </c>
      <c r="AK525" s="16" t="b">
        <f>INDEX(stable[q_regen_ag],MATCH(questions[[#This Row],[qno]],stable[qno],0))</f>
        <v>0</v>
      </c>
      <c r="AL525" s="16" t="b">
        <f>COUNTIFS(stable[qno],questions[[#This Row],[qno]])=1</f>
        <v>1</v>
      </c>
      <c r="AM525" s="16" t="b">
        <f>OR(questions[[#This Row],[is_fixed]],questions[[#This Row],[is_localized]],questions[[#This Row],[is_supply_chain_dependent]])</f>
        <v>1</v>
      </c>
      <c r="AN525" s="16" t="b">
        <f>COUNTIFS(questions[[#This Row],[is_automated]:[is_multi_select]],TRUE)=1</f>
        <v>1</v>
      </c>
      <c r="AO525" s="16" t="b">
        <f>IF(questions[[#This Row],[is_fixed]],questions[[#This Row],[question]]=INDEX(stable[question],MATCH(questions[[#This Row],[qno]],stable[qno],0)),TRUE)</f>
        <v>1</v>
      </c>
      <c r="AP525" s="16" t="str">
        <f>LEFT(questions[[#This Row],[question]],similarity_range)</f>
        <v>Farmer name</v>
      </c>
      <c r="AQ525" s="16" t="str">
        <f>LEFT(INDEX(stable[question],MATCH(questions[[#This Row],[qno]],stable[qno],0)),similarity_range)</f>
        <v>Farmer name</v>
      </c>
      <c r="AR525" s="16" t="b">
        <f>questions[[#This Row],[question_first_characters]]=questions[[#This Row],[stability_first_characters]]</f>
        <v>1</v>
      </c>
      <c r="AS525" s="16" t="b">
        <f>IF(OR(questions[[#This Row],[is_single_select]],questions[[#This Row],[is_multi_select]]),NOT(ISBLANK(questions[[#This Row],[answer_opt_combined]])),TRUE)</f>
        <v>1</v>
      </c>
    </row>
    <row r="526" spans="1:45" ht="15.75" customHeight="1" x14ac:dyDescent="0.25">
      <c r="A526" s="9" t="str">
        <f>_xlfn.TEXTJOIN("_",TRUE,questions[[#This Row],[origin]:[qno]])</f>
        <v>Rwanda_Arabica_Nestle_Illy_IMPACT_2024_1202</v>
      </c>
      <c r="B526" s="9" t="s">
        <v>719</v>
      </c>
      <c r="C526" s="9" t="s">
        <v>59</v>
      </c>
      <c r="D526" s="9" t="s">
        <v>720</v>
      </c>
      <c r="E526" s="9">
        <v>2024</v>
      </c>
      <c r="F526" s="24" t="s">
        <v>85</v>
      </c>
      <c r="G526" s="15" t="s">
        <v>86</v>
      </c>
      <c r="H526" s="9" t="str" cm="1">
        <f t="array" ref="H526">INDEX(stableR[question],MATCH(VALUE(questions[[#This Row],[qno]]),VALUE(stableR[qno]),0))</f>
        <v>Farmer tags</v>
      </c>
      <c r="I526" s="9" t="b" cm="1">
        <f t="array" ref="I526">INDEX(stable[is_fixed],MATCH(VALUE(questions[[#This Row],[qno]]),VALUE(stable[qno]),0))</f>
        <v>1</v>
      </c>
      <c r="J526" s="9" t="b" cm="1">
        <f t="array" ref="J526">INDEX(stable[is_localized],MATCH(VALUE(questions[[#This Row],[qno]]),VALUE(stable[qno]),0))</f>
        <v>0</v>
      </c>
      <c r="K526" s="9" t="b" cm="1">
        <f t="array" ref="K526">INDEX(stable[is_supply_chain_dependent],MATCH(VALUE(questions[[#This Row],[qno]]),VALUE(stable[qno]),0))</f>
        <v>0</v>
      </c>
      <c r="L526" s="9" t="b" cm="1">
        <f t="array" ref="L526">INDEX(stable[is_mandatory],MATCH(VALUE(questions[[#This Row],[qno]]),VALUE(stable[qno]),0))</f>
        <v>1</v>
      </c>
      <c r="M526" s="9" t="b" cm="1">
        <f t="array" ref="M526">INDEX(stable[is_automated],MATCH(VALUE(questions[[#This Row],[qno]]),VALUE(stable[qno]),0))</f>
        <v>1</v>
      </c>
      <c r="N526" s="9" t="b" cm="1">
        <f t="array" ref="N526">INDEX(stable[is_free_text],MATCH(VALUE(questions[[#This Row],[qno]]),VALUE(stable[qno]),0))</f>
        <v>0</v>
      </c>
      <c r="O526" s="9" t="b" cm="1">
        <f t="array" ref="O526">INDEX(stable[is_numerical],MATCH(VALUE(questions[[#This Row],[qno]]),VALUE(stable[qno]),0))</f>
        <v>0</v>
      </c>
      <c r="P526" s="9" t="b" cm="1">
        <f t="array" ref="P526">INDEX(stable[is_single_select],MATCH(VALUE(questions[[#This Row],[qno]]),VALUE(stable[qno]),0))</f>
        <v>0</v>
      </c>
      <c r="Q526" s="9" t="b" cm="1">
        <f t="array" ref="Q526">INDEX(stable[is_multi_select],MATCH(VALUE(questions[[#This Row],[qno]]),VALUE(stable[qno]),0))</f>
        <v>0</v>
      </c>
      <c r="R526" s="9" t="b" cm="1">
        <f t="array" ref="R526">INDEX(stable[is_skip_logic],MATCH(VALUE(questions[[#This Row],[qno]]),VALUE(stable[qno]),0))</f>
        <v>0</v>
      </c>
      <c r="S526" s="9" t="str">
        <f>_xlfn.TEXTJOIN(", ",TRUE,questions[[#This Row],[ans_opt_1]:[ans_opt_14]])</f>
        <v/>
      </c>
      <c r="AH526" s="16" t="b">
        <f>INDEX(stable[q_standard],MATCH(questions[[#This Row],[qno]],stable[qno],0))</f>
        <v>1</v>
      </c>
      <c r="AI526" s="16" t="b">
        <f>INDEX(stable[q_living_income],MATCH(questions[[#This Row],[qno]],stable[qno],0))</f>
        <v>0</v>
      </c>
      <c r="AJ526" s="16" t="b">
        <f>INDEX(stable[q_carbon],MATCH(questions[[#This Row],[qno]],stable[qno],0))</f>
        <v>0</v>
      </c>
      <c r="AK526" s="16" t="b">
        <f>INDEX(stable[q_regen_ag],MATCH(questions[[#This Row],[qno]],stable[qno],0))</f>
        <v>0</v>
      </c>
      <c r="AL526" s="16" t="b">
        <f>COUNTIFS(stable[qno],questions[[#This Row],[qno]])=1</f>
        <v>1</v>
      </c>
      <c r="AM526" s="16" t="b">
        <f>OR(questions[[#This Row],[is_fixed]],questions[[#This Row],[is_localized]],questions[[#This Row],[is_supply_chain_dependent]])</f>
        <v>1</v>
      </c>
      <c r="AN526" s="16" t="b">
        <f>COUNTIFS(questions[[#This Row],[is_automated]:[is_multi_select]],TRUE)=1</f>
        <v>1</v>
      </c>
      <c r="AO526" s="16" t="b">
        <f>IF(questions[[#This Row],[is_fixed]],questions[[#This Row],[question]]=INDEX(stable[question],MATCH(questions[[#This Row],[qno]],stable[qno],0)),TRUE)</f>
        <v>1</v>
      </c>
      <c r="AP526" s="16" t="str">
        <f>LEFT(questions[[#This Row],[question]],similarity_range)</f>
        <v>Farmer tags</v>
      </c>
      <c r="AQ526" s="16" t="str">
        <f>LEFT(INDEX(stable[question],MATCH(questions[[#This Row],[qno]],stable[qno],0)),similarity_range)</f>
        <v>Farmer tags</v>
      </c>
      <c r="AR526" s="16" t="b">
        <f>questions[[#This Row],[question_first_characters]]=questions[[#This Row],[stability_first_characters]]</f>
        <v>1</v>
      </c>
      <c r="AS526" s="16" t="b">
        <f>IF(OR(questions[[#This Row],[is_single_select]],questions[[#This Row],[is_multi_select]]),NOT(ISBLANK(questions[[#This Row],[answer_opt_combined]])),TRUE)</f>
        <v>1</v>
      </c>
    </row>
    <row r="527" spans="1:45" ht="15.75" customHeight="1" x14ac:dyDescent="0.25">
      <c r="A527" s="9" t="str">
        <f>_xlfn.TEXTJOIN("_",TRUE,questions[[#This Row],[origin]:[qno]])</f>
        <v>Rwanda_Arabica_Nestle_Illy_IMPACT_2024_1203</v>
      </c>
      <c r="B527" s="9" t="s">
        <v>719</v>
      </c>
      <c r="C527" s="9" t="s">
        <v>59</v>
      </c>
      <c r="D527" s="9" t="s">
        <v>720</v>
      </c>
      <c r="E527" s="9">
        <v>2024</v>
      </c>
      <c r="F527" s="24" t="s">
        <v>87</v>
      </c>
      <c r="G527" s="15" t="s">
        <v>88</v>
      </c>
      <c r="H527" s="9" t="str" cm="1">
        <f t="array" ref="H527">INDEX(stableR[question],MATCH(VALUE(questions[[#This Row],[qno]]),VALUE(stableR[qno]),0))</f>
        <v>Address</v>
      </c>
      <c r="I527" s="9" t="b" cm="1">
        <f t="array" ref="I527">INDEX(stable[is_fixed],MATCH(VALUE(questions[[#This Row],[qno]]),VALUE(stable[qno]),0))</f>
        <v>1</v>
      </c>
      <c r="J527" s="9" t="b" cm="1">
        <f t="array" ref="J527">INDEX(stable[is_localized],MATCH(VALUE(questions[[#This Row],[qno]]),VALUE(stable[qno]),0))</f>
        <v>0</v>
      </c>
      <c r="K527" s="9" t="b" cm="1">
        <f t="array" ref="K527">INDEX(stable[is_supply_chain_dependent],MATCH(VALUE(questions[[#This Row],[qno]]),VALUE(stable[qno]),0))</f>
        <v>0</v>
      </c>
      <c r="L527" s="9" t="b" cm="1">
        <f t="array" ref="L527">INDEX(stable[is_mandatory],MATCH(VALUE(questions[[#This Row],[qno]]),VALUE(stable[qno]),0))</f>
        <v>1</v>
      </c>
      <c r="M527" s="9" t="b" cm="1">
        <f t="array" ref="M527">INDEX(stable[is_automated],MATCH(VALUE(questions[[#This Row],[qno]]),VALUE(stable[qno]),0))</f>
        <v>1</v>
      </c>
      <c r="N527" s="9" t="b" cm="1">
        <f t="array" ref="N527">INDEX(stable[is_free_text],MATCH(VALUE(questions[[#This Row],[qno]]),VALUE(stable[qno]),0))</f>
        <v>0</v>
      </c>
      <c r="O527" s="9" t="b" cm="1">
        <f t="array" ref="O527">INDEX(stable[is_numerical],MATCH(VALUE(questions[[#This Row],[qno]]),VALUE(stable[qno]),0))</f>
        <v>0</v>
      </c>
      <c r="P527" s="9" t="b" cm="1">
        <f t="array" ref="P527">INDEX(stable[is_single_select],MATCH(VALUE(questions[[#This Row],[qno]]),VALUE(stable[qno]),0))</f>
        <v>0</v>
      </c>
      <c r="Q527" s="9" t="b" cm="1">
        <f t="array" ref="Q527">INDEX(stable[is_multi_select],MATCH(VALUE(questions[[#This Row],[qno]]),VALUE(stable[qno]),0))</f>
        <v>0</v>
      </c>
      <c r="R527" s="9" t="b" cm="1">
        <f t="array" ref="R527">INDEX(stable[is_skip_logic],MATCH(VALUE(questions[[#This Row],[qno]]),VALUE(stable[qno]),0))</f>
        <v>0</v>
      </c>
      <c r="S527" s="9" t="str">
        <f>_xlfn.TEXTJOIN(", ",TRUE,questions[[#This Row],[ans_opt_1]:[ans_opt_14]])</f>
        <v/>
      </c>
      <c r="AH527" s="16" t="b">
        <f>INDEX(stable[q_standard],MATCH(questions[[#This Row],[qno]],stable[qno],0))</f>
        <v>1</v>
      </c>
      <c r="AI527" s="16" t="b">
        <f>INDEX(stable[q_living_income],MATCH(questions[[#This Row],[qno]],stable[qno],0))</f>
        <v>0</v>
      </c>
      <c r="AJ527" s="16" t="b">
        <f>INDEX(stable[q_carbon],MATCH(questions[[#This Row],[qno]],stable[qno],0))</f>
        <v>0</v>
      </c>
      <c r="AK527" s="16" t="b">
        <f>INDEX(stable[q_regen_ag],MATCH(questions[[#This Row],[qno]],stable[qno],0))</f>
        <v>0</v>
      </c>
      <c r="AL527" s="16" t="b">
        <f>COUNTIFS(stable[qno],questions[[#This Row],[qno]])=1</f>
        <v>1</v>
      </c>
      <c r="AM527" s="16" t="b">
        <f>OR(questions[[#This Row],[is_fixed]],questions[[#This Row],[is_localized]],questions[[#This Row],[is_supply_chain_dependent]])</f>
        <v>1</v>
      </c>
      <c r="AN527" s="16" t="b">
        <f>COUNTIFS(questions[[#This Row],[is_automated]:[is_multi_select]],TRUE)=1</f>
        <v>1</v>
      </c>
      <c r="AO527" s="16" t="b">
        <f>IF(questions[[#This Row],[is_fixed]],questions[[#This Row],[question]]=INDEX(stable[question],MATCH(questions[[#This Row],[qno]],stable[qno],0)),TRUE)</f>
        <v>1</v>
      </c>
      <c r="AP527" s="16" t="str">
        <f>LEFT(questions[[#This Row],[question]],similarity_range)</f>
        <v>Address</v>
      </c>
      <c r="AQ527" s="16" t="str">
        <f>LEFT(INDEX(stable[question],MATCH(questions[[#This Row],[qno]],stable[qno],0)),similarity_range)</f>
        <v>Address</v>
      </c>
      <c r="AR527" s="16" t="b">
        <f>questions[[#This Row],[question_first_characters]]=questions[[#This Row],[stability_first_characters]]</f>
        <v>1</v>
      </c>
      <c r="AS527" s="16" t="b">
        <f>IF(OR(questions[[#This Row],[is_single_select]],questions[[#This Row],[is_multi_select]]),NOT(ISBLANK(questions[[#This Row],[answer_opt_combined]])),TRUE)</f>
        <v>1</v>
      </c>
    </row>
    <row r="528" spans="1:45" ht="15.75" customHeight="1" x14ac:dyDescent="0.25">
      <c r="A528" s="9" t="str">
        <f>_xlfn.TEXTJOIN("_",TRUE,questions[[#This Row],[origin]:[qno]])</f>
        <v>Rwanda_Arabica_Nestle_Illy_IMPACT_2024_1210</v>
      </c>
      <c r="B528" s="9" t="s">
        <v>719</v>
      </c>
      <c r="C528" s="9" t="s">
        <v>59</v>
      </c>
      <c r="D528" s="9" t="s">
        <v>720</v>
      </c>
      <c r="E528" s="9">
        <v>2024</v>
      </c>
      <c r="F528" s="24" t="s">
        <v>89</v>
      </c>
      <c r="G528" s="15" t="s">
        <v>90</v>
      </c>
      <c r="H528" s="9" t="str" cm="1">
        <f t="array" ref="H528">INDEX(stableR[question],MATCH(VALUE(questions[[#This Row],[qno]]),VALUE(stableR[qno]),0))</f>
        <v>Plot name</v>
      </c>
      <c r="I528" s="9" t="b" cm="1">
        <f t="array" ref="I528">INDEX(stable[is_fixed],MATCH(VALUE(questions[[#This Row],[qno]]),VALUE(stable[qno]),0))</f>
        <v>1</v>
      </c>
      <c r="J528" s="9" t="b" cm="1">
        <f t="array" ref="J528">INDEX(stable[is_localized],MATCH(VALUE(questions[[#This Row],[qno]]),VALUE(stable[qno]),0))</f>
        <v>0</v>
      </c>
      <c r="K528" s="9" t="b" cm="1">
        <f t="array" ref="K528">INDEX(stable[is_supply_chain_dependent],MATCH(VALUE(questions[[#This Row],[qno]]),VALUE(stable[qno]),0))</f>
        <v>0</v>
      </c>
      <c r="L528" s="9" t="b" cm="1">
        <f t="array" ref="L528">INDEX(stable[is_mandatory],MATCH(VALUE(questions[[#This Row],[qno]]),VALUE(stable[qno]),0))</f>
        <v>1</v>
      </c>
      <c r="M528" s="9" t="b" cm="1">
        <f t="array" ref="M528">INDEX(stable[is_automated],MATCH(VALUE(questions[[#This Row],[qno]]),VALUE(stable[qno]),0))</f>
        <v>1</v>
      </c>
      <c r="N528" s="9" t="b" cm="1">
        <f t="array" ref="N528">INDEX(stable[is_free_text],MATCH(VALUE(questions[[#This Row],[qno]]),VALUE(stable[qno]),0))</f>
        <v>0</v>
      </c>
      <c r="O528" s="9" t="b" cm="1">
        <f t="array" ref="O528">INDEX(stable[is_numerical],MATCH(VALUE(questions[[#This Row],[qno]]),VALUE(stable[qno]),0))</f>
        <v>0</v>
      </c>
      <c r="P528" s="9" t="b" cm="1">
        <f t="array" ref="P528">INDEX(stable[is_single_select],MATCH(VALUE(questions[[#This Row],[qno]]),VALUE(stable[qno]),0))</f>
        <v>0</v>
      </c>
      <c r="Q528" s="9" t="b" cm="1">
        <f t="array" ref="Q528">INDEX(stable[is_multi_select],MATCH(VALUE(questions[[#This Row],[qno]]),VALUE(stable[qno]),0))</f>
        <v>0</v>
      </c>
      <c r="R528" s="9" t="b" cm="1">
        <f t="array" ref="R528">INDEX(stable[is_skip_logic],MATCH(VALUE(questions[[#This Row],[qno]]),VALUE(stable[qno]),0))</f>
        <v>0</v>
      </c>
      <c r="S528" s="9" t="str">
        <f>_xlfn.TEXTJOIN(", ",TRUE,questions[[#This Row],[ans_opt_1]:[ans_opt_14]])</f>
        <v/>
      </c>
      <c r="AH528" s="16" t="b">
        <f>INDEX(stable[q_standard],MATCH(questions[[#This Row],[qno]],stable[qno],0))</f>
        <v>1</v>
      </c>
      <c r="AI528" s="16" t="b">
        <f>INDEX(stable[q_living_income],MATCH(questions[[#This Row],[qno]],stable[qno],0))</f>
        <v>0</v>
      </c>
      <c r="AJ528" s="16" t="b">
        <f>INDEX(stable[q_carbon],MATCH(questions[[#This Row],[qno]],stable[qno],0))</f>
        <v>0</v>
      </c>
      <c r="AK528" s="16" t="b">
        <f>INDEX(stable[q_regen_ag],MATCH(questions[[#This Row],[qno]],stable[qno],0))</f>
        <v>0</v>
      </c>
      <c r="AL528" s="16" t="b">
        <f>COUNTIFS(stable[qno],questions[[#This Row],[qno]])=1</f>
        <v>1</v>
      </c>
      <c r="AM528" s="16" t="b">
        <f>OR(questions[[#This Row],[is_fixed]],questions[[#This Row],[is_localized]],questions[[#This Row],[is_supply_chain_dependent]])</f>
        <v>1</v>
      </c>
      <c r="AN528" s="16" t="b">
        <f>COUNTIFS(questions[[#This Row],[is_automated]:[is_multi_select]],TRUE)=1</f>
        <v>1</v>
      </c>
      <c r="AO528" s="16" t="b">
        <f>IF(questions[[#This Row],[is_fixed]],questions[[#This Row],[question]]=INDEX(stable[question],MATCH(questions[[#This Row],[qno]],stable[qno],0)),TRUE)</f>
        <v>1</v>
      </c>
      <c r="AP528" s="16" t="str">
        <f>LEFT(questions[[#This Row],[question]],similarity_range)</f>
        <v>Plot name</v>
      </c>
      <c r="AQ528" s="16" t="str">
        <f>LEFT(INDEX(stable[question],MATCH(questions[[#This Row],[qno]],stable[qno],0)),similarity_range)</f>
        <v>Plot name</v>
      </c>
      <c r="AR528" s="16" t="b">
        <f>questions[[#This Row],[question_first_characters]]=questions[[#This Row],[stability_first_characters]]</f>
        <v>1</v>
      </c>
      <c r="AS528" s="16" t="b">
        <f>IF(OR(questions[[#This Row],[is_single_select]],questions[[#This Row],[is_multi_select]]),NOT(ISBLANK(questions[[#This Row],[answer_opt_combined]])),TRUE)</f>
        <v>1</v>
      </c>
    </row>
    <row r="529" spans="1:45" ht="15.75" customHeight="1" x14ac:dyDescent="0.25">
      <c r="A529" s="9" t="str">
        <f>_xlfn.TEXTJOIN("_",TRUE,questions[[#This Row],[origin]:[qno]])</f>
        <v>Rwanda_Arabica_Nestle_Illy_IMPACT_2024_1211</v>
      </c>
      <c r="B529" s="9" t="s">
        <v>719</v>
      </c>
      <c r="C529" s="9" t="s">
        <v>59</v>
      </c>
      <c r="D529" s="9" t="s">
        <v>720</v>
      </c>
      <c r="E529" s="9">
        <v>2024</v>
      </c>
      <c r="F529" s="24" t="s">
        <v>91</v>
      </c>
      <c r="G529" s="15" t="s">
        <v>92</v>
      </c>
      <c r="H529" s="9" t="str" cm="1">
        <f t="array" ref="H529">INDEX(stableR[question],MATCH(VALUE(questions[[#This Row],[qno]]),VALUE(stableR[qno]),0))</f>
        <v>Plot tags</v>
      </c>
      <c r="I529" s="9" t="b" cm="1">
        <f t="array" ref="I529">INDEX(stable[is_fixed],MATCH(VALUE(questions[[#This Row],[qno]]),VALUE(stable[qno]),0))</f>
        <v>1</v>
      </c>
      <c r="J529" s="9" t="b" cm="1">
        <f t="array" ref="J529">INDEX(stable[is_localized],MATCH(VALUE(questions[[#This Row],[qno]]),VALUE(stable[qno]),0))</f>
        <v>0</v>
      </c>
      <c r="K529" s="9" t="b" cm="1">
        <f t="array" ref="K529">INDEX(stable[is_supply_chain_dependent],MATCH(VALUE(questions[[#This Row],[qno]]),VALUE(stable[qno]),0))</f>
        <v>0</v>
      </c>
      <c r="L529" s="9" t="b" cm="1">
        <f t="array" ref="L529">INDEX(stable[is_mandatory],MATCH(VALUE(questions[[#This Row],[qno]]),VALUE(stable[qno]),0))</f>
        <v>1</v>
      </c>
      <c r="M529" s="9" t="b" cm="1">
        <f t="array" ref="M529">INDEX(stable[is_automated],MATCH(VALUE(questions[[#This Row],[qno]]),VALUE(stable[qno]),0))</f>
        <v>1</v>
      </c>
      <c r="N529" s="9" t="b" cm="1">
        <f t="array" ref="N529">INDEX(stable[is_free_text],MATCH(VALUE(questions[[#This Row],[qno]]),VALUE(stable[qno]),0))</f>
        <v>0</v>
      </c>
      <c r="O529" s="9" t="b" cm="1">
        <f t="array" ref="O529">INDEX(stable[is_numerical],MATCH(VALUE(questions[[#This Row],[qno]]),VALUE(stable[qno]),0))</f>
        <v>0</v>
      </c>
      <c r="P529" s="9" t="b" cm="1">
        <f t="array" ref="P529">INDEX(stable[is_single_select],MATCH(VALUE(questions[[#This Row],[qno]]),VALUE(stable[qno]),0))</f>
        <v>0</v>
      </c>
      <c r="Q529" s="9" t="b" cm="1">
        <f t="array" ref="Q529">INDEX(stable[is_multi_select],MATCH(VALUE(questions[[#This Row],[qno]]),VALUE(stable[qno]),0))</f>
        <v>0</v>
      </c>
      <c r="R529" s="9" t="b" cm="1">
        <f t="array" ref="R529">INDEX(stable[is_skip_logic],MATCH(VALUE(questions[[#This Row],[qno]]),VALUE(stable[qno]),0))</f>
        <v>0</v>
      </c>
      <c r="S529" s="9" t="str">
        <f>_xlfn.TEXTJOIN(", ",TRUE,questions[[#This Row],[ans_opt_1]:[ans_opt_14]])</f>
        <v/>
      </c>
      <c r="AH529" s="16" t="b">
        <f>INDEX(stable[q_standard],MATCH(questions[[#This Row],[qno]],stable[qno],0))</f>
        <v>1</v>
      </c>
      <c r="AI529" s="16" t="b">
        <f>INDEX(stable[q_living_income],MATCH(questions[[#This Row],[qno]],stable[qno],0))</f>
        <v>0</v>
      </c>
      <c r="AJ529" s="16" t="b">
        <f>INDEX(stable[q_carbon],MATCH(questions[[#This Row],[qno]],stable[qno],0))</f>
        <v>0</v>
      </c>
      <c r="AK529" s="16" t="b">
        <f>INDEX(stable[q_regen_ag],MATCH(questions[[#This Row],[qno]],stable[qno],0))</f>
        <v>0</v>
      </c>
      <c r="AL529" s="16" t="b">
        <f>COUNTIFS(stable[qno],questions[[#This Row],[qno]])=1</f>
        <v>1</v>
      </c>
      <c r="AM529" s="16" t="b">
        <f>OR(questions[[#This Row],[is_fixed]],questions[[#This Row],[is_localized]],questions[[#This Row],[is_supply_chain_dependent]])</f>
        <v>1</v>
      </c>
      <c r="AN529" s="16" t="b">
        <f>COUNTIFS(questions[[#This Row],[is_automated]:[is_multi_select]],TRUE)=1</f>
        <v>1</v>
      </c>
      <c r="AO529" s="16" t="b">
        <f>IF(questions[[#This Row],[is_fixed]],questions[[#This Row],[question]]=INDEX(stable[question],MATCH(questions[[#This Row],[qno]],stable[qno],0)),TRUE)</f>
        <v>1</v>
      </c>
      <c r="AP529" s="16" t="str">
        <f>LEFT(questions[[#This Row],[question]],similarity_range)</f>
        <v>Plot tags</v>
      </c>
      <c r="AQ529" s="16" t="str">
        <f>LEFT(INDEX(stable[question],MATCH(questions[[#This Row],[qno]],stable[qno],0)),similarity_range)</f>
        <v>Plot tags</v>
      </c>
      <c r="AR529" s="16" t="b">
        <f>questions[[#This Row],[question_first_characters]]=questions[[#This Row],[stability_first_characters]]</f>
        <v>1</v>
      </c>
      <c r="AS529" s="16" t="b">
        <f>IF(OR(questions[[#This Row],[is_single_select]],questions[[#This Row],[is_multi_select]]),NOT(ISBLANK(questions[[#This Row],[answer_opt_combined]])),TRUE)</f>
        <v>1</v>
      </c>
    </row>
    <row r="530" spans="1:45" ht="15.75" customHeight="1" x14ac:dyDescent="0.25">
      <c r="A530" s="9" t="str">
        <f>_xlfn.TEXTJOIN("_",TRUE,questions[[#This Row],[origin]:[qno]])</f>
        <v>Rwanda_Arabica_Nestle_Illy_IMPACT_2024_1212</v>
      </c>
      <c r="B530" s="9" t="s">
        <v>719</v>
      </c>
      <c r="C530" s="9" t="s">
        <v>59</v>
      </c>
      <c r="D530" s="9" t="s">
        <v>720</v>
      </c>
      <c r="E530" s="9">
        <v>2024</v>
      </c>
      <c r="F530" s="24" t="s">
        <v>93</v>
      </c>
      <c r="G530" s="15" t="s">
        <v>94</v>
      </c>
      <c r="H530" s="9" t="str" cm="1">
        <f t="array" ref="H530">INDEX(stableR[question],MATCH(VALUE(questions[[#This Row],[qno]]),VALUE(stableR[qno]),0))</f>
        <v>Declared area (acre)</v>
      </c>
      <c r="I530" s="9" t="b" cm="1">
        <f t="array" ref="I530">INDEX(stable[is_fixed],MATCH(VALUE(questions[[#This Row],[qno]]),VALUE(stable[qno]),0))</f>
        <v>1</v>
      </c>
      <c r="J530" s="9" t="b" cm="1">
        <f t="array" ref="J530">INDEX(stable[is_localized],MATCH(VALUE(questions[[#This Row],[qno]]),VALUE(stable[qno]),0))</f>
        <v>0</v>
      </c>
      <c r="K530" s="9" t="b" cm="1">
        <f t="array" ref="K530">INDEX(stable[is_supply_chain_dependent],MATCH(VALUE(questions[[#This Row],[qno]]),VALUE(stable[qno]),0))</f>
        <v>0</v>
      </c>
      <c r="L530" s="9" t="b" cm="1">
        <f t="array" ref="L530">INDEX(stable[is_mandatory],MATCH(VALUE(questions[[#This Row],[qno]]),VALUE(stable[qno]),0))</f>
        <v>1</v>
      </c>
      <c r="M530" s="9" t="b" cm="1">
        <f t="array" ref="M530">INDEX(stable[is_automated],MATCH(VALUE(questions[[#This Row],[qno]]),VALUE(stable[qno]),0))</f>
        <v>1</v>
      </c>
      <c r="N530" s="9" t="b" cm="1">
        <f t="array" ref="N530">INDEX(stable[is_free_text],MATCH(VALUE(questions[[#This Row],[qno]]),VALUE(stable[qno]),0))</f>
        <v>0</v>
      </c>
      <c r="O530" s="9" t="b" cm="1">
        <f t="array" ref="O530">INDEX(stable[is_numerical],MATCH(VALUE(questions[[#This Row],[qno]]),VALUE(stable[qno]),0))</f>
        <v>1</v>
      </c>
      <c r="P530" s="9" t="b" cm="1">
        <f t="array" ref="P530">INDEX(stable[is_single_select],MATCH(VALUE(questions[[#This Row],[qno]]),VALUE(stable[qno]),0))</f>
        <v>0</v>
      </c>
      <c r="Q530" s="9" t="b" cm="1">
        <f t="array" ref="Q530">INDEX(stable[is_multi_select],MATCH(VALUE(questions[[#This Row],[qno]]),VALUE(stable[qno]),0))</f>
        <v>0</v>
      </c>
      <c r="R530" s="9" t="b" cm="1">
        <f t="array" ref="R530">INDEX(stable[is_skip_logic],MATCH(VALUE(questions[[#This Row],[qno]]),VALUE(stable[qno]),0))</f>
        <v>0</v>
      </c>
      <c r="S530" s="9" t="str">
        <f>_xlfn.TEXTJOIN(", ",TRUE,questions[[#This Row],[ans_opt_1]:[ans_opt_14]])</f>
        <v/>
      </c>
      <c r="AH530" s="16" t="b">
        <f>INDEX(stable[q_standard],MATCH(questions[[#This Row],[qno]],stable[qno],0))</f>
        <v>1</v>
      </c>
      <c r="AI530" s="16" t="b">
        <f>INDEX(stable[q_living_income],MATCH(questions[[#This Row],[qno]],stable[qno],0))</f>
        <v>0</v>
      </c>
      <c r="AJ530" s="16" t="b">
        <f>INDEX(stable[q_carbon],MATCH(questions[[#This Row],[qno]],stable[qno],0))</f>
        <v>0</v>
      </c>
      <c r="AK530" s="16" t="b">
        <f>INDEX(stable[q_regen_ag],MATCH(questions[[#This Row],[qno]],stable[qno],0))</f>
        <v>0</v>
      </c>
      <c r="AL530" s="16" t="b">
        <f>COUNTIFS(stable[qno],questions[[#This Row],[qno]])=1</f>
        <v>1</v>
      </c>
      <c r="AM530" s="16" t="b">
        <f>OR(questions[[#This Row],[is_fixed]],questions[[#This Row],[is_localized]],questions[[#This Row],[is_supply_chain_dependent]])</f>
        <v>1</v>
      </c>
      <c r="AN530" s="16" t="b">
        <f>COUNTIFS(questions[[#This Row],[is_automated]:[is_multi_select]],TRUE)=1</f>
        <v>0</v>
      </c>
      <c r="AO530" s="16" t="b">
        <f>IF(questions[[#This Row],[is_fixed]],questions[[#This Row],[question]]=INDEX(stable[question],MATCH(questions[[#This Row],[qno]],stable[qno],0)),TRUE)</f>
        <v>1</v>
      </c>
      <c r="AP530" s="16" t="str">
        <f>LEFT(questions[[#This Row],[question]],similarity_range)</f>
        <v>Declared area (acre)</v>
      </c>
      <c r="AQ530" s="16" t="str">
        <f>LEFT(INDEX(stable[question],MATCH(questions[[#This Row],[qno]],stable[qno],0)),similarity_range)</f>
        <v>Declared area (acre)</v>
      </c>
      <c r="AR530" s="16" t="b">
        <f>questions[[#This Row],[question_first_characters]]=questions[[#This Row],[stability_first_characters]]</f>
        <v>1</v>
      </c>
      <c r="AS530" s="16" t="b">
        <f>IF(OR(questions[[#This Row],[is_single_select]],questions[[#This Row],[is_multi_select]]),NOT(ISBLANK(questions[[#This Row],[answer_opt_combined]])),TRUE)</f>
        <v>1</v>
      </c>
    </row>
    <row r="531" spans="1:45" ht="15.75" customHeight="1" x14ac:dyDescent="0.25">
      <c r="A531" s="9" t="str">
        <f>_xlfn.TEXTJOIN("_",TRUE,questions[[#This Row],[origin]:[qno]])</f>
        <v>Rwanda_Arabica_Nestle_Illy_IMPACT_2024_1213</v>
      </c>
      <c r="B531" s="9" t="s">
        <v>719</v>
      </c>
      <c r="C531" s="9" t="s">
        <v>59</v>
      </c>
      <c r="D531" s="9" t="s">
        <v>720</v>
      </c>
      <c r="E531" s="9">
        <v>2024</v>
      </c>
      <c r="F531" s="24" t="s">
        <v>95</v>
      </c>
      <c r="G531" s="15" t="s">
        <v>96</v>
      </c>
      <c r="H531" s="9" t="str" cm="1">
        <f t="array" ref="H531">INDEX(stableR[question],MATCH(VALUE(questions[[#This Row],[qno]]),VALUE(stableR[qno]),0))</f>
        <v>Audited area (acre)</v>
      </c>
      <c r="I531" s="9" t="b" cm="1">
        <f t="array" ref="I531">INDEX(stable[is_fixed],MATCH(VALUE(questions[[#This Row],[qno]]),VALUE(stable[qno]),0))</f>
        <v>1</v>
      </c>
      <c r="J531" s="9" t="b" cm="1">
        <f t="array" ref="J531">INDEX(stable[is_localized],MATCH(VALUE(questions[[#This Row],[qno]]),VALUE(stable[qno]),0))</f>
        <v>0</v>
      </c>
      <c r="K531" s="9" t="b" cm="1">
        <f t="array" ref="K531">INDEX(stable[is_supply_chain_dependent],MATCH(VALUE(questions[[#This Row],[qno]]),VALUE(stable[qno]),0))</f>
        <v>0</v>
      </c>
      <c r="L531" s="9" t="b" cm="1">
        <f t="array" ref="L531">INDEX(stable[is_mandatory],MATCH(VALUE(questions[[#This Row],[qno]]),VALUE(stable[qno]),0))</f>
        <v>1</v>
      </c>
      <c r="M531" s="9" t="b" cm="1">
        <f t="array" ref="M531">INDEX(stable[is_automated],MATCH(VALUE(questions[[#This Row],[qno]]),VALUE(stable[qno]),0))</f>
        <v>1</v>
      </c>
      <c r="N531" s="9" t="b" cm="1">
        <f t="array" ref="N531">INDEX(stable[is_free_text],MATCH(VALUE(questions[[#This Row],[qno]]),VALUE(stable[qno]),0))</f>
        <v>0</v>
      </c>
      <c r="O531" s="9" t="b" cm="1">
        <f t="array" ref="O531">INDEX(stable[is_numerical],MATCH(VALUE(questions[[#This Row],[qno]]),VALUE(stable[qno]),0))</f>
        <v>1</v>
      </c>
      <c r="P531" s="9" t="b" cm="1">
        <f t="array" ref="P531">INDEX(stable[is_single_select],MATCH(VALUE(questions[[#This Row],[qno]]),VALUE(stable[qno]),0))</f>
        <v>0</v>
      </c>
      <c r="Q531" s="9" t="b" cm="1">
        <f t="array" ref="Q531">INDEX(stable[is_multi_select],MATCH(VALUE(questions[[#This Row],[qno]]),VALUE(stable[qno]),0))</f>
        <v>0</v>
      </c>
      <c r="R531" s="9" t="b" cm="1">
        <f t="array" ref="R531">INDEX(stable[is_skip_logic],MATCH(VALUE(questions[[#This Row],[qno]]),VALUE(stable[qno]),0))</f>
        <v>0</v>
      </c>
      <c r="S531" s="9" t="str">
        <f>_xlfn.TEXTJOIN(", ",TRUE,questions[[#This Row],[ans_opt_1]:[ans_opt_14]])</f>
        <v/>
      </c>
      <c r="AH531" s="16" t="b">
        <f>INDEX(stable[q_standard],MATCH(questions[[#This Row],[qno]],stable[qno],0))</f>
        <v>1</v>
      </c>
      <c r="AI531" s="16" t="b">
        <f>INDEX(stable[q_living_income],MATCH(questions[[#This Row],[qno]],stable[qno],0))</f>
        <v>0</v>
      </c>
      <c r="AJ531" s="16" t="b">
        <f>INDEX(stable[q_carbon],MATCH(questions[[#This Row],[qno]],stable[qno],0))</f>
        <v>0</v>
      </c>
      <c r="AK531" s="16" t="b">
        <f>INDEX(stable[q_regen_ag],MATCH(questions[[#This Row],[qno]],stable[qno],0))</f>
        <v>0</v>
      </c>
      <c r="AL531" s="16" t="b">
        <f>COUNTIFS(stable[qno],questions[[#This Row],[qno]])=1</f>
        <v>1</v>
      </c>
      <c r="AM531" s="16" t="b">
        <f>OR(questions[[#This Row],[is_fixed]],questions[[#This Row],[is_localized]],questions[[#This Row],[is_supply_chain_dependent]])</f>
        <v>1</v>
      </c>
      <c r="AN531" s="16" t="b">
        <f>COUNTIFS(questions[[#This Row],[is_automated]:[is_multi_select]],TRUE)=1</f>
        <v>0</v>
      </c>
      <c r="AO531" s="16" t="b">
        <f>IF(questions[[#This Row],[is_fixed]],questions[[#This Row],[question]]=INDEX(stable[question],MATCH(questions[[#This Row],[qno]],stable[qno],0)),TRUE)</f>
        <v>1</v>
      </c>
      <c r="AP531" s="16" t="str">
        <f>LEFT(questions[[#This Row],[question]],similarity_range)</f>
        <v>Audited area (acre)</v>
      </c>
      <c r="AQ531" s="16" t="str">
        <f>LEFT(INDEX(stable[question],MATCH(questions[[#This Row],[qno]],stable[qno],0)),similarity_range)</f>
        <v>Audited area (acre)</v>
      </c>
      <c r="AR531" s="16" t="b">
        <f>questions[[#This Row],[question_first_characters]]=questions[[#This Row],[stability_first_characters]]</f>
        <v>1</v>
      </c>
      <c r="AS531" s="16" t="b">
        <f>IF(OR(questions[[#This Row],[is_single_select]],questions[[#This Row],[is_multi_select]]),NOT(ISBLANK(questions[[#This Row],[answer_opt_combined]])),TRUE)</f>
        <v>1</v>
      </c>
    </row>
    <row r="532" spans="1:45" ht="15.75" customHeight="1" x14ac:dyDescent="0.25">
      <c r="A532" s="9" t="str">
        <f>_xlfn.TEXTJOIN("_",TRUE,questions[[#This Row],[origin]:[qno]])</f>
        <v>Rwanda_Arabica_Nestle_Illy_IMPACT_2024_1216</v>
      </c>
      <c r="B532" s="9" t="s">
        <v>719</v>
      </c>
      <c r="C532" s="9" t="s">
        <v>59</v>
      </c>
      <c r="D532" s="9" t="s">
        <v>720</v>
      </c>
      <c r="E532" s="9">
        <v>2024</v>
      </c>
      <c r="F532" s="24" t="s">
        <v>97</v>
      </c>
      <c r="G532" s="15" t="s">
        <v>98</v>
      </c>
      <c r="H532" s="9" t="str" cm="1">
        <f t="array" ref="H532">INDEX(stableR[question],MATCH(VALUE(questions[[#This Row],[qno]]),VALUE(stableR[qno]),0))</f>
        <v>Coordinates</v>
      </c>
      <c r="I532" s="9" t="b" cm="1">
        <f t="array" ref="I532">INDEX(stable[is_fixed],MATCH(VALUE(questions[[#This Row],[qno]]),VALUE(stable[qno]),0))</f>
        <v>1</v>
      </c>
      <c r="J532" s="9" t="b" cm="1">
        <f t="array" ref="J532">INDEX(stable[is_localized],MATCH(VALUE(questions[[#This Row],[qno]]),VALUE(stable[qno]),0))</f>
        <v>0</v>
      </c>
      <c r="K532" s="9" t="b" cm="1">
        <f t="array" ref="K532">INDEX(stable[is_supply_chain_dependent],MATCH(VALUE(questions[[#This Row],[qno]]),VALUE(stable[qno]),0))</f>
        <v>0</v>
      </c>
      <c r="L532" s="9" t="b" cm="1">
        <f t="array" ref="L532">INDEX(stable[is_mandatory],MATCH(VALUE(questions[[#This Row],[qno]]),VALUE(stable[qno]),0))</f>
        <v>1</v>
      </c>
      <c r="M532" s="9" t="b" cm="1">
        <f t="array" ref="M532">INDEX(stable[is_automated],MATCH(VALUE(questions[[#This Row],[qno]]),VALUE(stable[qno]),0))</f>
        <v>1</v>
      </c>
      <c r="N532" s="9" t="b" cm="1">
        <f t="array" ref="N532">INDEX(stable[is_free_text],MATCH(VALUE(questions[[#This Row],[qno]]),VALUE(stable[qno]),0))</f>
        <v>0</v>
      </c>
      <c r="O532" s="9" t="b" cm="1">
        <f t="array" ref="O532">INDEX(stable[is_numerical],MATCH(VALUE(questions[[#This Row],[qno]]),VALUE(stable[qno]),0))</f>
        <v>0</v>
      </c>
      <c r="P532" s="9" t="b" cm="1">
        <f t="array" ref="P532">INDEX(stable[is_single_select],MATCH(VALUE(questions[[#This Row],[qno]]),VALUE(stable[qno]),0))</f>
        <v>0</v>
      </c>
      <c r="Q532" s="9" t="b" cm="1">
        <f t="array" ref="Q532">INDEX(stable[is_multi_select],MATCH(VALUE(questions[[#This Row],[qno]]),VALUE(stable[qno]),0))</f>
        <v>0</v>
      </c>
      <c r="R532" s="9" t="b" cm="1">
        <f t="array" ref="R532">INDEX(stable[is_skip_logic],MATCH(VALUE(questions[[#This Row],[qno]]),VALUE(stable[qno]),0))</f>
        <v>0</v>
      </c>
      <c r="S532" s="9" t="str">
        <f>_xlfn.TEXTJOIN(", ",TRUE,questions[[#This Row],[ans_opt_1]:[ans_opt_14]])</f>
        <v/>
      </c>
      <c r="AH532" s="16" t="b">
        <f>INDEX(stable[q_standard],MATCH(questions[[#This Row],[qno]],stable[qno],0))</f>
        <v>1</v>
      </c>
      <c r="AI532" s="16" t="b">
        <f>INDEX(stable[q_living_income],MATCH(questions[[#This Row],[qno]],stable[qno],0))</f>
        <v>0</v>
      </c>
      <c r="AJ532" s="16" t="b">
        <f>INDEX(stable[q_carbon],MATCH(questions[[#This Row],[qno]],stable[qno],0))</f>
        <v>0</v>
      </c>
      <c r="AK532" s="16" t="b">
        <f>INDEX(stable[q_regen_ag],MATCH(questions[[#This Row],[qno]],stable[qno],0))</f>
        <v>0</v>
      </c>
      <c r="AL532" s="16" t="b">
        <f>COUNTIFS(stable[qno],questions[[#This Row],[qno]])=1</f>
        <v>1</v>
      </c>
      <c r="AM532" s="16" t="b">
        <f>OR(questions[[#This Row],[is_fixed]],questions[[#This Row],[is_localized]],questions[[#This Row],[is_supply_chain_dependent]])</f>
        <v>1</v>
      </c>
      <c r="AN532" s="16" t="b">
        <f>COUNTIFS(questions[[#This Row],[is_automated]:[is_multi_select]],TRUE)=1</f>
        <v>1</v>
      </c>
      <c r="AO532" s="16" t="b">
        <f>IF(questions[[#This Row],[is_fixed]],questions[[#This Row],[question]]=INDEX(stable[question],MATCH(questions[[#This Row],[qno]],stable[qno],0)),TRUE)</f>
        <v>1</v>
      </c>
      <c r="AP532" s="16" t="str">
        <f>LEFT(questions[[#This Row],[question]],similarity_range)</f>
        <v>Coordinates</v>
      </c>
      <c r="AQ532" s="16" t="str">
        <f>LEFT(INDEX(stable[question],MATCH(questions[[#This Row],[qno]],stable[qno],0)),similarity_range)</f>
        <v>Coordinates</v>
      </c>
      <c r="AR532" s="16" t="b">
        <f>questions[[#This Row],[question_first_characters]]=questions[[#This Row],[stability_first_characters]]</f>
        <v>1</v>
      </c>
      <c r="AS532" s="16" t="b">
        <f>IF(OR(questions[[#This Row],[is_single_select]],questions[[#This Row],[is_multi_select]]),NOT(ISBLANK(questions[[#This Row],[answer_opt_combined]])),TRUE)</f>
        <v>1</v>
      </c>
    </row>
    <row r="533" spans="1:45" s="77" customFormat="1" ht="15.75" customHeight="1" x14ac:dyDescent="0.25">
      <c r="A533" s="77" t="str">
        <f>_xlfn.TEXTJOIN("_",TRUE,questions[[#This Row],[origin]:[qno]])</f>
        <v>Rwanda_Arabica_Nestle_Illy_IMPACT_2024_2000</v>
      </c>
      <c r="B533" s="77" t="s">
        <v>719</v>
      </c>
      <c r="C533" s="77" t="s">
        <v>59</v>
      </c>
      <c r="D533" s="77" t="s">
        <v>720</v>
      </c>
      <c r="E533" s="77">
        <v>2024</v>
      </c>
      <c r="F533" s="105" t="s">
        <v>99</v>
      </c>
      <c r="G533" s="78" t="s">
        <v>100</v>
      </c>
      <c r="H533" s="9" t="str" cm="1">
        <f t="array" ref="H533">INDEX(stableR[question],MATCH(VALUE(questions[[#This Row],[qno]]),VALUE(stableR[qno]),0))</f>
        <v>Who was present and answering the questions for the interview?</v>
      </c>
      <c r="I533" s="9" t="b" cm="1">
        <f t="array" ref="I533">INDEX(stable[is_fixed],MATCH(VALUE(questions[[#This Row],[qno]]),VALUE(stable[qno]),0))</f>
        <v>1</v>
      </c>
      <c r="J533" s="9" t="b" cm="1">
        <f t="array" ref="J533">INDEX(stable[is_localized],MATCH(VALUE(questions[[#This Row],[qno]]),VALUE(stable[qno]),0))</f>
        <v>0</v>
      </c>
      <c r="K533" s="9" t="b" cm="1">
        <f t="array" ref="K533">INDEX(stable[is_supply_chain_dependent],MATCH(VALUE(questions[[#This Row],[qno]]),VALUE(stable[qno]),0))</f>
        <v>0</v>
      </c>
      <c r="L533" s="9" t="b" cm="1">
        <f t="array" ref="L533">INDEX(stable[is_mandatory],MATCH(VALUE(questions[[#This Row],[qno]]),VALUE(stable[qno]),0))</f>
        <v>1</v>
      </c>
      <c r="M533" s="9" t="b" cm="1">
        <f t="array" ref="M533">INDEX(stable[is_automated],MATCH(VALUE(questions[[#This Row],[qno]]),VALUE(stable[qno]),0))</f>
        <v>0</v>
      </c>
      <c r="N533" s="32" t="b" cm="1">
        <f t="array" ref="N533">INDEX(stable[is_free_text],MATCH(VALUE(questions[[#This Row],[qno]]),VALUE(stable[qno]),0))</f>
        <v>0</v>
      </c>
      <c r="O533" s="9" t="b" cm="1">
        <f t="array" ref="O533">INDEX(stable[is_numerical],MATCH(VALUE(questions[[#This Row],[qno]]),VALUE(stable[qno]),0))</f>
        <v>0</v>
      </c>
      <c r="P533" s="77" t="b" cm="1">
        <f t="array" ref="P533">INDEX(stable[is_single_select],MATCH(VALUE(questions[[#This Row],[qno]]),VALUE(stable[qno]),0))</f>
        <v>0</v>
      </c>
      <c r="Q533" s="77" t="b" cm="1">
        <f t="array" ref="Q533">INDEX(stable[is_multi_select],MATCH(VALUE(questions[[#This Row],[qno]]),VALUE(stable[qno]),0))</f>
        <v>1</v>
      </c>
      <c r="R533" s="77" t="b" cm="1">
        <f t="array" ref="R533">INDEX(stable[is_skip_logic],MATCH(VALUE(questions[[#This Row],[qno]]),VALUE(stable[qno]),0))</f>
        <v>0</v>
      </c>
      <c r="S533" s="77" t="str">
        <f>_xlfn.TEXTJOIN(", ",TRUE,questions[[#This Row],[ans_opt_1]:[ans_opt_14]])</f>
        <v>Wife, Husband, Other important household member</v>
      </c>
      <c r="T533" s="77" t="s">
        <v>101</v>
      </c>
      <c r="U533" s="77" t="s">
        <v>102</v>
      </c>
      <c r="V533" s="77" t="s">
        <v>103</v>
      </c>
      <c r="AH533" s="98" t="b">
        <f>INDEX(stable[q_standard],MATCH(questions[[#This Row],[qno]],stable[qno],0))</f>
        <v>1</v>
      </c>
      <c r="AI533" s="98" t="b">
        <f>INDEX(stable[q_living_income],MATCH(questions[[#This Row],[qno]],stable[qno],0))</f>
        <v>0</v>
      </c>
      <c r="AJ533" s="98" t="b">
        <f>INDEX(stable[q_carbon],MATCH(questions[[#This Row],[qno]],stable[qno],0))</f>
        <v>0</v>
      </c>
      <c r="AK533" s="98" t="b">
        <f>INDEX(stable[q_regen_ag],MATCH(questions[[#This Row],[qno]],stable[qno],0))</f>
        <v>0</v>
      </c>
      <c r="AL533" s="98" t="b">
        <f>COUNTIFS(stable[qno],questions[[#This Row],[qno]])=1</f>
        <v>1</v>
      </c>
      <c r="AM533" s="98" t="b">
        <f>OR(questions[[#This Row],[is_fixed]],questions[[#This Row],[is_localized]],questions[[#This Row],[is_supply_chain_dependent]])</f>
        <v>1</v>
      </c>
      <c r="AN533" s="98" t="b">
        <f>COUNTIFS(questions[[#This Row],[is_automated]:[is_multi_select]],TRUE)=1</f>
        <v>1</v>
      </c>
      <c r="AO533" s="98" t="b">
        <f>IF(questions[[#This Row],[is_fixed]],questions[[#This Row],[question]]=INDEX(stable[question],MATCH(questions[[#This Row],[qno]],stable[qno],0)),TRUE)</f>
        <v>1</v>
      </c>
      <c r="AP533" s="98" t="str">
        <f>LEFT(questions[[#This Row],[question]],similarity_range)</f>
        <v xml:space="preserve">Who was present and </v>
      </c>
      <c r="AQ533" s="98" t="str">
        <f>LEFT(INDEX(stable[question],MATCH(questions[[#This Row],[qno]],stable[qno],0)),similarity_range)</f>
        <v xml:space="preserve">Who was present and </v>
      </c>
      <c r="AR533" s="98" t="b">
        <f>questions[[#This Row],[question_first_characters]]=questions[[#This Row],[stability_first_characters]]</f>
        <v>1</v>
      </c>
      <c r="AS533" s="98" t="b">
        <f>IF(OR(questions[[#This Row],[is_single_select]],questions[[#This Row],[is_multi_select]]),NOT(ISBLANK(questions[[#This Row],[answer_opt_combined]])),TRUE)</f>
        <v>1</v>
      </c>
    </row>
    <row r="534" spans="1:45" s="77" customFormat="1" ht="15.75" customHeight="1" x14ac:dyDescent="0.25">
      <c r="A534" s="77" t="str">
        <f>_xlfn.TEXTJOIN("_",TRUE,questions[[#This Row],[origin]:[qno]])</f>
        <v>Rwanda_Arabica_Nestle_Illy_IMPACT_2024_2001</v>
      </c>
      <c r="B534" s="77" t="s">
        <v>719</v>
      </c>
      <c r="C534" s="77" t="s">
        <v>59</v>
      </c>
      <c r="D534" s="77" t="s">
        <v>720</v>
      </c>
      <c r="E534" s="77">
        <v>2024</v>
      </c>
      <c r="F534" s="105" t="s">
        <v>104</v>
      </c>
      <c r="G534" s="78" t="s">
        <v>105</v>
      </c>
      <c r="H534" s="9" t="str" cm="1">
        <f t="array" ref="H534">INDEX(stableR[question],MATCH(VALUE(questions[[#This Row],[qno]]),VALUE(stableR[qno]),0))</f>
        <v>What is the gender of the lead farmer in the household? (The person that is selling the coffee)</v>
      </c>
      <c r="I534" s="9" t="b" cm="1">
        <f t="array" ref="I534">INDEX(stable[is_fixed],MATCH(VALUE(questions[[#This Row],[qno]]),VALUE(stable[qno]),0))</f>
        <v>1</v>
      </c>
      <c r="J534" s="9" t="b" cm="1">
        <f t="array" ref="J534">INDEX(stable[is_localized],MATCH(VALUE(questions[[#This Row],[qno]]),VALUE(stable[qno]),0))</f>
        <v>0</v>
      </c>
      <c r="K534" s="9" t="b" cm="1">
        <f t="array" ref="K534">INDEX(stable[is_supply_chain_dependent],MATCH(VALUE(questions[[#This Row],[qno]]),VALUE(stable[qno]),0))</f>
        <v>0</v>
      </c>
      <c r="L534" s="9" t="b" cm="1">
        <f t="array" ref="L534">INDEX(stable[is_mandatory],MATCH(VALUE(questions[[#This Row],[qno]]),VALUE(stable[qno]),0))</f>
        <v>1</v>
      </c>
      <c r="M534" s="9" t="b" cm="1">
        <f t="array" ref="M534">INDEX(stable[is_automated],MATCH(VALUE(questions[[#This Row],[qno]]),VALUE(stable[qno]),0))</f>
        <v>0</v>
      </c>
      <c r="N534" s="32" t="b" cm="1">
        <f t="array" ref="N534">INDEX(stable[is_free_text],MATCH(VALUE(questions[[#This Row],[qno]]),VALUE(stable[qno]),0))</f>
        <v>0</v>
      </c>
      <c r="O534" s="9" t="b" cm="1">
        <f t="array" ref="O534">INDEX(stable[is_numerical],MATCH(VALUE(questions[[#This Row],[qno]]),VALUE(stable[qno]),0))</f>
        <v>0</v>
      </c>
      <c r="P534" s="77" t="b" cm="1">
        <f t="array" ref="P534">INDEX(stable[is_single_select],MATCH(VALUE(questions[[#This Row],[qno]]),VALUE(stable[qno]),0))</f>
        <v>1</v>
      </c>
      <c r="Q534" s="77" t="b" cm="1">
        <f t="array" ref="Q534">INDEX(stable[is_multi_select],MATCH(VALUE(questions[[#This Row],[qno]]),VALUE(stable[qno]),0))</f>
        <v>0</v>
      </c>
      <c r="R534" s="77" t="b" cm="1">
        <f t="array" ref="R534">INDEX(stable[is_skip_logic],MATCH(VALUE(questions[[#This Row],[qno]]),VALUE(stable[qno]),0))</f>
        <v>0</v>
      </c>
      <c r="S534" s="77" t="str">
        <f>_xlfn.TEXTJOIN(", ",TRUE,questions[[#This Row],[ans_opt_1]:[ans_opt_14]])</f>
        <v>Female, Male</v>
      </c>
      <c r="T534" s="77" t="s">
        <v>106</v>
      </c>
      <c r="U534" s="77" t="s">
        <v>107</v>
      </c>
      <c r="AH534" s="98" t="b">
        <f>INDEX(stable[q_standard],MATCH(questions[[#This Row],[qno]],stable[qno],0))</f>
        <v>1</v>
      </c>
      <c r="AI534" s="98" t="b">
        <f>INDEX(stable[q_living_income],MATCH(questions[[#This Row],[qno]],stable[qno],0))</f>
        <v>0</v>
      </c>
      <c r="AJ534" s="98" t="b">
        <f>INDEX(stable[q_carbon],MATCH(questions[[#This Row],[qno]],stable[qno],0))</f>
        <v>0</v>
      </c>
      <c r="AK534" s="98" t="b">
        <f>INDEX(stable[q_regen_ag],MATCH(questions[[#This Row],[qno]],stable[qno],0))</f>
        <v>0</v>
      </c>
      <c r="AL534" s="98" t="b">
        <f>COUNTIFS(stable[qno],questions[[#This Row],[qno]])=1</f>
        <v>1</v>
      </c>
      <c r="AM534" s="98" t="b">
        <f>OR(questions[[#This Row],[is_fixed]],questions[[#This Row],[is_localized]],questions[[#This Row],[is_supply_chain_dependent]])</f>
        <v>1</v>
      </c>
      <c r="AN534" s="98" t="b">
        <f>COUNTIFS(questions[[#This Row],[is_automated]:[is_multi_select]],TRUE)=1</f>
        <v>1</v>
      </c>
      <c r="AO534" s="98" t="b">
        <f>IF(questions[[#This Row],[is_fixed]],questions[[#This Row],[question]]=INDEX(stable[question],MATCH(questions[[#This Row],[qno]],stable[qno],0)),TRUE)</f>
        <v>1</v>
      </c>
      <c r="AP534" s="98" t="str">
        <f>LEFT(questions[[#This Row],[question]],similarity_range)</f>
        <v>What is the gender o</v>
      </c>
      <c r="AQ534" s="98" t="str">
        <f>LEFT(INDEX(stable[question],MATCH(questions[[#This Row],[qno]],stable[qno],0)),similarity_range)</f>
        <v>What is the gender o</v>
      </c>
      <c r="AR534" s="98" t="b">
        <f>questions[[#This Row],[question_first_characters]]=questions[[#This Row],[stability_first_characters]]</f>
        <v>1</v>
      </c>
      <c r="AS534" s="98" t="b">
        <f>IF(OR(questions[[#This Row],[is_single_select]],questions[[#This Row],[is_multi_select]]),NOT(ISBLANK(questions[[#This Row],[answer_opt_combined]])),TRUE)</f>
        <v>1</v>
      </c>
    </row>
    <row r="535" spans="1:45" s="77" customFormat="1" ht="15.75" customHeight="1" x14ac:dyDescent="0.25">
      <c r="A535" s="77" t="str">
        <f>_xlfn.TEXTJOIN("_",TRUE,questions[[#This Row],[origin]:[qno]])</f>
        <v>Rwanda_Arabica_Nestle_Illy_IMPACT_2024_2002</v>
      </c>
      <c r="B535" s="77" t="s">
        <v>719</v>
      </c>
      <c r="C535" s="77" t="s">
        <v>59</v>
      </c>
      <c r="D535" s="77" t="s">
        <v>720</v>
      </c>
      <c r="E535" s="77">
        <v>2024</v>
      </c>
      <c r="F535" s="108" t="s">
        <v>108</v>
      </c>
      <c r="G535" s="78" t="s">
        <v>109</v>
      </c>
      <c r="H535" s="9" t="str" cm="1">
        <f t="array" ref="H535">INDEX(stableR[question],MATCH(VALUE(questions[[#This Row],[qno]]),VALUE(stableR[qno]),0))</f>
        <v>What type of household is this?</v>
      </c>
      <c r="I535" s="9" t="b" cm="1">
        <f t="array" ref="I535">INDEX(stable[is_fixed],MATCH(VALUE(questions[[#This Row],[qno]]),VALUE(stable[qno]),0))</f>
        <v>1</v>
      </c>
      <c r="J535" s="9" t="b" cm="1">
        <f t="array" ref="J535">INDEX(stable[is_localized],MATCH(VALUE(questions[[#This Row],[qno]]),VALUE(stable[qno]),0))</f>
        <v>0</v>
      </c>
      <c r="K535" s="9" t="b" cm="1">
        <f t="array" ref="K535">INDEX(stable[is_supply_chain_dependent],MATCH(VALUE(questions[[#This Row],[qno]]),VALUE(stable[qno]),0))</f>
        <v>0</v>
      </c>
      <c r="L535" s="9" t="b" cm="1">
        <f t="array" ref="L535">INDEX(stable[is_mandatory],MATCH(VALUE(questions[[#This Row],[qno]]),VALUE(stable[qno]),0))</f>
        <v>1</v>
      </c>
      <c r="M535" s="9" t="b" cm="1">
        <f t="array" ref="M535">INDEX(stable[is_automated],MATCH(VALUE(questions[[#This Row],[qno]]),VALUE(stable[qno]),0))</f>
        <v>0</v>
      </c>
      <c r="N535" s="32" t="b" cm="1">
        <f t="array" ref="N535">INDEX(stable[is_free_text],MATCH(VALUE(questions[[#This Row],[qno]]),VALUE(stable[qno]),0))</f>
        <v>0</v>
      </c>
      <c r="O535" s="9" t="b" cm="1">
        <f t="array" ref="O535">INDEX(stable[is_numerical],MATCH(VALUE(questions[[#This Row],[qno]]),VALUE(stable[qno]),0))</f>
        <v>0</v>
      </c>
      <c r="P535" s="77" t="b" cm="1">
        <f t="array" ref="P535">INDEX(stable[is_single_select],MATCH(VALUE(questions[[#This Row],[qno]]),VALUE(stable[qno]),0))</f>
        <v>1</v>
      </c>
      <c r="Q535" s="77" t="b" cm="1">
        <f t="array" ref="Q535">INDEX(stable[is_multi_select],MATCH(VALUE(questions[[#This Row],[qno]]),VALUE(stable[qno]),0))</f>
        <v>0</v>
      </c>
      <c r="R535" s="77" t="b" cm="1">
        <f t="array" ref="R535">INDEX(stable[is_skip_logic],MATCH(VALUE(questions[[#This Row],[qno]]),VALUE(stable[qno]),0))</f>
        <v>0</v>
      </c>
      <c r="S535" s="77" t="str">
        <f>_xlfn.TEXTJOIN(", ",TRUE,questions[[#This Row],[ans_opt_1]:[ans_opt_14]])</f>
        <v>Male headed, Female headed, Other</v>
      </c>
      <c r="T535" s="77" t="s">
        <v>110</v>
      </c>
      <c r="U535" s="77" t="s">
        <v>111</v>
      </c>
      <c r="V535" s="77" t="s">
        <v>112</v>
      </c>
      <c r="AH535" s="98" t="b">
        <f>INDEX(stable[q_standard],MATCH(questions[[#This Row],[qno]],stable[qno],0))</f>
        <v>1</v>
      </c>
      <c r="AI535" s="98" t="b">
        <f>INDEX(stable[q_living_income],MATCH(questions[[#This Row],[qno]],stable[qno],0))</f>
        <v>0</v>
      </c>
      <c r="AJ535" s="98" t="b">
        <f>INDEX(stable[q_carbon],MATCH(questions[[#This Row],[qno]],stable[qno],0))</f>
        <v>0</v>
      </c>
      <c r="AK535" s="98" t="b">
        <f>INDEX(stable[q_regen_ag],MATCH(questions[[#This Row],[qno]],stable[qno],0))</f>
        <v>0</v>
      </c>
      <c r="AL535" s="98" t="b">
        <f>COUNTIFS(stable[qno],questions[[#This Row],[qno]])=1</f>
        <v>1</v>
      </c>
      <c r="AM535" s="98" t="b">
        <f>OR(questions[[#This Row],[is_fixed]],questions[[#This Row],[is_localized]],questions[[#This Row],[is_supply_chain_dependent]])</f>
        <v>1</v>
      </c>
      <c r="AN535" s="98" t="b">
        <f>COUNTIFS(questions[[#This Row],[is_automated]:[is_multi_select]],TRUE)=1</f>
        <v>1</v>
      </c>
      <c r="AO535" s="98" t="b">
        <f>IF(questions[[#This Row],[is_fixed]],questions[[#This Row],[question]]=INDEX(stable[question],MATCH(questions[[#This Row],[qno]],stable[qno],0)),TRUE)</f>
        <v>1</v>
      </c>
      <c r="AP535" s="98" t="str">
        <f>LEFT(questions[[#This Row],[question]],similarity_range)</f>
        <v>What type of househo</v>
      </c>
      <c r="AQ535" s="98" t="str">
        <f>LEFT(INDEX(stable[question],MATCH(questions[[#This Row],[qno]],stable[qno],0)),similarity_range)</f>
        <v>What type of househo</v>
      </c>
      <c r="AR535" s="98" t="b">
        <f>questions[[#This Row],[question_first_characters]]=questions[[#This Row],[stability_first_characters]]</f>
        <v>1</v>
      </c>
      <c r="AS535" s="98" t="b">
        <f>IF(OR(questions[[#This Row],[is_single_select]],questions[[#This Row],[is_multi_select]]),NOT(ISBLANK(questions[[#This Row],[answer_opt_combined]])),TRUE)</f>
        <v>1</v>
      </c>
    </row>
    <row r="536" spans="1:45" ht="15.75" customHeight="1" x14ac:dyDescent="0.25">
      <c r="A536" s="9" t="str">
        <f>_xlfn.TEXTJOIN("_",TRUE,questions[[#This Row],[origin]:[qno]])</f>
        <v>Rwanda_Arabica_Nestle_Illy_IMPACT_2024_2003</v>
      </c>
      <c r="B536" s="9" t="s">
        <v>719</v>
      </c>
      <c r="C536" s="9" t="s">
        <v>59</v>
      </c>
      <c r="D536" s="9" t="s">
        <v>720</v>
      </c>
      <c r="E536" s="9">
        <v>2024</v>
      </c>
      <c r="F536" s="36" t="s">
        <v>113</v>
      </c>
      <c r="G536" s="15" t="s">
        <v>114</v>
      </c>
      <c r="H536" s="9" t="str" cm="1">
        <f t="array" ref="H536">INDEX(stableR[question],MATCH(VALUE(questions[[#This Row],[qno]]),VALUE(stableR[qno]),0))</f>
        <v>How many adults live in your household, that are above 18 years (including the respondent)? (Household members are those that stay more than three months per year within the same household and that 'eat from the same pot'.)</v>
      </c>
      <c r="I536" s="9" t="b" cm="1">
        <f t="array" ref="I536">INDEX(stable[is_fixed],MATCH(VALUE(questions[[#This Row],[qno]]),VALUE(stable[qno]),0))</f>
        <v>1</v>
      </c>
      <c r="J536" s="9" t="b" cm="1">
        <f t="array" ref="J536">INDEX(stable[is_localized],MATCH(VALUE(questions[[#This Row],[qno]]),VALUE(stable[qno]),0))</f>
        <v>0</v>
      </c>
      <c r="K536" s="9" t="b" cm="1">
        <f t="array" ref="K536">INDEX(stable[is_supply_chain_dependent],MATCH(VALUE(questions[[#This Row],[qno]]),VALUE(stable[qno]),0))</f>
        <v>0</v>
      </c>
      <c r="L536" s="9" t="b" cm="1">
        <f t="array" ref="L536">INDEX(stable[is_mandatory],MATCH(VALUE(questions[[#This Row],[qno]]),VALUE(stable[qno]),0))</f>
        <v>1</v>
      </c>
      <c r="M536" s="9" t="b" cm="1">
        <f t="array" ref="M536">INDEX(stable[is_automated],MATCH(VALUE(questions[[#This Row],[qno]]),VALUE(stable[qno]),0))</f>
        <v>0</v>
      </c>
      <c r="N536" s="32" t="b" cm="1">
        <f t="array" ref="N536">INDEX(stable[is_free_text],MATCH(VALUE(questions[[#This Row],[qno]]),VALUE(stable[qno]),0))</f>
        <v>0</v>
      </c>
      <c r="O536" s="9" t="b" cm="1">
        <f t="array" ref="O536">INDEX(stable[is_numerical],MATCH(VALUE(questions[[#This Row],[qno]]),VALUE(stable[qno]),0))</f>
        <v>1</v>
      </c>
      <c r="P536" s="9" t="b" cm="1">
        <f t="array" ref="P536">INDEX(stable[is_single_select],MATCH(VALUE(questions[[#This Row],[qno]]),VALUE(stable[qno]),0))</f>
        <v>0</v>
      </c>
      <c r="Q536" s="9" t="b" cm="1">
        <f t="array" ref="Q536">INDEX(stable[is_multi_select],MATCH(VALUE(questions[[#This Row],[qno]]),VALUE(stable[qno]),0))</f>
        <v>0</v>
      </c>
      <c r="R536" s="9" t="b" cm="1">
        <f t="array" ref="R536">INDEX(stable[is_skip_logic],MATCH(VALUE(questions[[#This Row],[qno]]),VALUE(stable[qno]),0))</f>
        <v>0</v>
      </c>
      <c r="S536" s="9" t="str">
        <f>_xlfn.TEXTJOIN(", ",TRUE,questions[[#This Row],[ans_opt_1]:[ans_opt_14]])</f>
        <v/>
      </c>
      <c r="AH536" s="16" t="b">
        <f>INDEX(stable[q_standard],MATCH(questions[[#This Row],[qno]],stable[qno],0))</f>
        <v>1</v>
      </c>
      <c r="AI536" s="16" t="b">
        <f>INDEX(stable[q_living_income],MATCH(questions[[#This Row],[qno]],stable[qno],0))</f>
        <v>0</v>
      </c>
      <c r="AJ536" s="16" t="b">
        <f>INDEX(stable[q_carbon],MATCH(questions[[#This Row],[qno]],stable[qno],0))</f>
        <v>0</v>
      </c>
      <c r="AK536" s="16" t="b">
        <f>INDEX(stable[q_regen_ag],MATCH(questions[[#This Row],[qno]],stable[qno],0))</f>
        <v>0</v>
      </c>
      <c r="AL536" s="16" t="b">
        <f>COUNTIFS(stable[qno],questions[[#This Row],[qno]])=1</f>
        <v>1</v>
      </c>
      <c r="AM536" s="16" t="b">
        <f>OR(questions[[#This Row],[is_fixed]],questions[[#This Row],[is_localized]],questions[[#This Row],[is_supply_chain_dependent]])</f>
        <v>1</v>
      </c>
      <c r="AN536" s="16" t="b">
        <f>COUNTIFS(questions[[#This Row],[is_automated]:[is_multi_select]],TRUE)=1</f>
        <v>1</v>
      </c>
      <c r="AO536" s="16" t="b">
        <f>IF(questions[[#This Row],[is_fixed]],questions[[#This Row],[question]]=INDEX(stable[question],MATCH(questions[[#This Row],[qno]],stable[qno],0)),TRUE)</f>
        <v>0</v>
      </c>
      <c r="AP536" s="16" t="str">
        <f>LEFT(questions[[#This Row],[question]],similarity_range)</f>
        <v>How many adults live</v>
      </c>
      <c r="AQ536" s="16" t="str">
        <f>LEFT(INDEX(stable[question],MATCH(questions[[#This Row],[qno]],stable[qno],0)),similarity_range)</f>
        <v>How many adults live</v>
      </c>
      <c r="AR536" s="16" t="b">
        <f>questions[[#This Row],[question_first_characters]]=questions[[#This Row],[stability_first_characters]]</f>
        <v>1</v>
      </c>
      <c r="AS536" s="16" t="b">
        <f>IF(OR(questions[[#This Row],[is_single_select]],questions[[#This Row],[is_multi_select]]),NOT(ISBLANK(questions[[#This Row],[answer_opt_combined]])),TRUE)</f>
        <v>1</v>
      </c>
    </row>
    <row r="537" spans="1:45" ht="15.75" customHeight="1" x14ac:dyDescent="0.25">
      <c r="A537" s="9" t="str">
        <f>_xlfn.TEXTJOIN("_",TRUE,questions[[#This Row],[origin]:[qno]])</f>
        <v>Rwanda_Arabica_Nestle_Illy_IMPACT_2024_2004</v>
      </c>
      <c r="B537" s="9" t="s">
        <v>719</v>
      </c>
      <c r="C537" s="9" t="s">
        <v>59</v>
      </c>
      <c r="D537" s="9" t="s">
        <v>720</v>
      </c>
      <c r="E537" s="9">
        <v>2024</v>
      </c>
      <c r="F537" s="36" t="s">
        <v>115</v>
      </c>
      <c r="G537" s="15" t="s">
        <v>116</v>
      </c>
      <c r="H537" s="9" t="str" cm="1">
        <f t="array" ref="H537">INDEX(stableR[question],MATCH(VALUE(questions[[#This Row],[qno]]),VALUE(stableR[qno]),0))</f>
        <v>How many children living in your household, are below 18 years? (Household members are those that stay more than three months per year within the same household and that 'eat from the same pot.')</v>
      </c>
      <c r="I537" s="9" t="b" cm="1">
        <f t="array" ref="I537">INDEX(stable[is_fixed],MATCH(VALUE(questions[[#This Row],[qno]]),VALUE(stable[qno]),0))</f>
        <v>1</v>
      </c>
      <c r="J537" s="9" t="b" cm="1">
        <f t="array" ref="J537">INDEX(stable[is_localized],MATCH(VALUE(questions[[#This Row],[qno]]),VALUE(stable[qno]),0))</f>
        <v>0</v>
      </c>
      <c r="K537" s="9" t="b" cm="1">
        <f t="array" ref="K537">INDEX(stable[is_supply_chain_dependent],MATCH(VALUE(questions[[#This Row],[qno]]),VALUE(stable[qno]),0))</f>
        <v>0</v>
      </c>
      <c r="L537" s="9" t="b" cm="1">
        <f t="array" ref="L537">INDEX(stable[is_mandatory],MATCH(VALUE(questions[[#This Row],[qno]]),VALUE(stable[qno]),0))</f>
        <v>1</v>
      </c>
      <c r="M537" s="9" t="b" cm="1">
        <f t="array" ref="M537">INDEX(stable[is_automated],MATCH(VALUE(questions[[#This Row],[qno]]),VALUE(stable[qno]),0))</f>
        <v>0</v>
      </c>
      <c r="N537" s="32" t="b" cm="1">
        <f t="array" ref="N537">INDEX(stable[is_free_text],MATCH(VALUE(questions[[#This Row],[qno]]),VALUE(stable[qno]),0))</f>
        <v>0</v>
      </c>
      <c r="O537" s="9" t="b" cm="1">
        <f t="array" ref="O537">INDEX(stable[is_numerical],MATCH(VALUE(questions[[#This Row],[qno]]),VALUE(stable[qno]),0))</f>
        <v>1</v>
      </c>
      <c r="P537" s="9" t="b" cm="1">
        <f t="array" ref="P537">INDEX(stable[is_single_select],MATCH(VALUE(questions[[#This Row],[qno]]),VALUE(stable[qno]),0))</f>
        <v>0</v>
      </c>
      <c r="Q537" s="9" t="b" cm="1">
        <f t="array" ref="Q537">INDEX(stable[is_multi_select],MATCH(VALUE(questions[[#This Row],[qno]]),VALUE(stable[qno]),0))</f>
        <v>0</v>
      </c>
      <c r="R537" s="9" t="b" cm="1">
        <f t="array" ref="R537">INDEX(stable[is_skip_logic],MATCH(VALUE(questions[[#This Row],[qno]]),VALUE(stable[qno]),0))</f>
        <v>0</v>
      </c>
      <c r="S537" s="9" t="str">
        <f>_xlfn.TEXTJOIN(", ",TRUE,questions[[#This Row],[ans_opt_1]:[ans_opt_14]])</f>
        <v/>
      </c>
      <c r="AH537" s="16" t="b">
        <f>INDEX(stable[q_standard],MATCH(questions[[#This Row],[qno]],stable[qno],0))</f>
        <v>1</v>
      </c>
      <c r="AI537" s="16" t="b">
        <f>INDEX(stable[q_living_income],MATCH(questions[[#This Row],[qno]],stable[qno],0))</f>
        <v>0</v>
      </c>
      <c r="AJ537" s="16" t="b">
        <f>INDEX(stable[q_carbon],MATCH(questions[[#This Row],[qno]],stable[qno],0))</f>
        <v>0</v>
      </c>
      <c r="AK537" s="16" t="b">
        <f>INDEX(stable[q_regen_ag],MATCH(questions[[#This Row],[qno]],stable[qno],0))</f>
        <v>0</v>
      </c>
      <c r="AL537" s="16" t="b">
        <f>COUNTIFS(stable[qno],questions[[#This Row],[qno]])=1</f>
        <v>1</v>
      </c>
      <c r="AM537" s="16" t="b">
        <f>OR(questions[[#This Row],[is_fixed]],questions[[#This Row],[is_localized]],questions[[#This Row],[is_supply_chain_dependent]])</f>
        <v>1</v>
      </c>
      <c r="AN537" s="16" t="b">
        <f>COUNTIFS(questions[[#This Row],[is_automated]:[is_multi_select]],TRUE)=1</f>
        <v>1</v>
      </c>
      <c r="AO537" s="16" t="b">
        <f>IF(questions[[#This Row],[is_fixed]],questions[[#This Row],[question]]=INDEX(stable[question],MATCH(questions[[#This Row],[qno]],stable[qno],0)),TRUE)</f>
        <v>1</v>
      </c>
      <c r="AP537" s="16" t="str">
        <f>LEFT(questions[[#This Row],[question]],similarity_range)</f>
        <v>How many children li</v>
      </c>
      <c r="AQ537" s="16" t="str">
        <f>LEFT(INDEX(stable[question],MATCH(questions[[#This Row],[qno]],stable[qno],0)),similarity_range)</f>
        <v>How many children li</v>
      </c>
      <c r="AR537" s="16" t="b">
        <f>questions[[#This Row],[question_first_characters]]=questions[[#This Row],[stability_first_characters]]</f>
        <v>1</v>
      </c>
      <c r="AS537" s="16" t="b">
        <f>IF(OR(questions[[#This Row],[is_single_select]],questions[[#This Row],[is_multi_select]]),NOT(ISBLANK(questions[[#This Row],[answer_opt_combined]])),TRUE)</f>
        <v>1</v>
      </c>
    </row>
    <row r="538" spans="1:45" s="77" customFormat="1" ht="15.75" customHeight="1" x14ac:dyDescent="0.25">
      <c r="A538" s="77" t="str">
        <f>_xlfn.TEXTJOIN("_",TRUE,questions[[#This Row],[origin]:[qno]])</f>
        <v>Rwanda_Arabica_Nestle_Illy_IMPACT_2024_2100</v>
      </c>
      <c r="B538" s="77" t="s">
        <v>719</v>
      </c>
      <c r="C538" s="77" t="s">
        <v>59</v>
      </c>
      <c r="D538" s="77" t="s">
        <v>720</v>
      </c>
      <c r="E538" s="77">
        <v>2024</v>
      </c>
      <c r="F538" s="105" t="s">
        <v>117</v>
      </c>
      <c r="G538" s="78" t="s">
        <v>118</v>
      </c>
      <c r="H538" s="9" t="str" cm="1">
        <f t="array" ref="H538">INDEX(stableR[question],MATCH(VALUE(questions[[#This Row],[qno]]),VALUE(stableR[qno]),0))</f>
        <v>If your farm is certified, under which certification scheme(s) is it certified?</v>
      </c>
      <c r="I538" s="9" t="b" cm="1">
        <f t="array" ref="I538">INDEX(stable[is_fixed],MATCH(VALUE(questions[[#This Row],[qno]]),VALUE(stable[qno]),0))</f>
        <v>1</v>
      </c>
      <c r="J538" s="9" t="b" cm="1">
        <f t="array" ref="J538">INDEX(stable[is_localized],MATCH(VALUE(questions[[#This Row],[qno]]),VALUE(stable[qno]),0))</f>
        <v>0</v>
      </c>
      <c r="K538" s="9" t="b" cm="1">
        <f t="array" ref="K538">INDEX(stable[is_supply_chain_dependent],MATCH(VALUE(questions[[#This Row],[qno]]),VALUE(stable[qno]),0))</f>
        <v>0</v>
      </c>
      <c r="L538" s="9" t="b" cm="1">
        <f t="array" ref="L538">INDEX(stable[is_mandatory],MATCH(VALUE(questions[[#This Row],[qno]]),VALUE(stable[qno]),0))</f>
        <v>1</v>
      </c>
      <c r="M538" s="9" t="b" cm="1">
        <f t="array" ref="M538">INDEX(stable[is_automated],MATCH(VALUE(questions[[#This Row],[qno]]),VALUE(stable[qno]),0))</f>
        <v>0</v>
      </c>
      <c r="N538" s="32" t="b" cm="1">
        <f t="array" ref="N538">INDEX(stable[is_free_text],MATCH(VALUE(questions[[#This Row],[qno]]),VALUE(stable[qno]),0))</f>
        <v>0</v>
      </c>
      <c r="O538" s="9" t="b" cm="1">
        <f t="array" ref="O538">INDEX(stable[is_numerical],MATCH(VALUE(questions[[#This Row],[qno]]),VALUE(stable[qno]),0))</f>
        <v>0</v>
      </c>
      <c r="P538" s="77" t="b" cm="1">
        <f t="array" ref="P538">INDEX(stable[is_single_select],MATCH(VALUE(questions[[#This Row],[qno]]),VALUE(stable[qno]),0))</f>
        <v>0</v>
      </c>
      <c r="Q538" s="77" t="b" cm="1">
        <f t="array" ref="Q538">INDEX(stable[is_multi_select],MATCH(VALUE(questions[[#This Row],[qno]]),VALUE(stable[qno]),0))</f>
        <v>1</v>
      </c>
      <c r="R538" s="77" t="b" cm="1">
        <f t="array" ref="R538">INDEX(stable[is_skip_logic],MATCH(VALUE(questions[[#This Row],[qno]]),VALUE(stable[qno]),0))</f>
        <v>1</v>
      </c>
      <c r="S538" s="77" t="str">
        <f>_xlfn.TEXTJOIN(", ",TRUE,questions[[#This Row],[ans_opt_1]:[ans_opt_14]])</f>
        <v>No, IMPACT, 4C, Rainforest alliance, Organic, CAFÉ practices, Fair trade, RegenAgri, Other</v>
      </c>
      <c r="T538" s="77" t="s">
        <v>119</v>
      </c>
      <c r="U538" s="77" t="s">
        <v>120</v>
      </c>
      <c r="V538" s="77" t="s">
        <v>121</v>
      </c>
      <c r="W538" s="77" t="s">
        <v>721</v>
      </c>
      <c r="X538" s="77" t="s">
        <v>124</v>
      </c>
      <c r="Y538" s="77" t="s">
        <v>125</v>
      </c>
      <c r="Z538" s="77" t="s">
        <v>722</v>
      </c>
      <c r="AA538" s="77" t="s">
        <v>126</v>
      </c>
      <c r="AB538" s="77" t="s">
        <v>112</v>
      </c>
      <c r="AH538" s="98" t="b">
        <f>INDEX(stable[q_standard],MATCH(questions[[#This Row],[qno]],stable[qno],0))</f>
        <v>0</v>
      </c>
      <c r="AI538" s="98" t="b">
        <f>INDEX(stable[q_living_income],MATCH(questions[[#This Row],[qno]],stable[qno],0))</f>
        <v>0</v>
      </c>
      <c r="AJ538" s="98" t="b">
        <f>INDEX(stable[q_carbon],MATCH(questions[[#This Row],[qno]],stable[qno],0))</f>
        <v>0</v>
      </c>
      <c r="AK538" s="98" t="b">
        <f>INDEX(stable[q_regen_ag],MATCH(questions[[#This Row],[qno]],stable[qno],0))</f>
        <v>1</v>
      </c>
      <c r="AL538" s="98" t="b">
        <f>COUNTIFS(stable[qno],questions[[#This Row],[qno]])=1</f>
        <v>1</v>
      </c>
      <c r="AM538" s="98" t="b">
        <f>OR(questions[[#This Row],[is_fixed]],questions[[#This Row],[is_localized]],questions[[#This Row],[is_supply_chain_dependent]])</f>
        <v>1</v>
      </c>
      <c r="AN538" s="98" t="b">
        <f>COUNTIFS(questions[[#This Row],[is_automated]:[is_multi_select]],TRUE)=1</f>
        <v>1</v>
      </c>
      <c r="AO538" s="98" t="b">
        <f>IF(questions[[#This Row],[is_fixed]],questions[[#This Row],[question]]=INDEX(stable[question],MATCH(questions[[#This Row],[qno]],stable[qno],0)),TRUE)</f>
        <v>1</v>
      </c>
      <c r="AP538" s="98" t="str">
        <f>LEFT(questions[[#This Row],[question]],similarity_range)</f>
        <v>Is your farm certifi</v>
      </c>
      <c r="AQ538" s="98" t="str">
        <f>LEFT(INDEX(stable[question],MATCH(questions[[#This Row],[qno]],stable[qno],0)),similarity_range)</f>
        <v>Is your farm certifi</v>
      </c>
      <c r="AR538" s="98" t="b">
        <f>questions[[#This Row],[question_first_characters]]=questions[[#This Row],[stability_first_characters]]</f>
        <v>1</v>
      </c>
      <c r="AS538" s="98" t="b">
        <f>IF(OR(questions[[#This Row],[is_single_select]],questions[[#This Row],[is_multi_select]]),NOT(ISBLANK(questions[[#This Row],[answer_opt_combined]])),TRUE)</f>
        <v>1</v>
      </c>
    </row>
    <row r="539" spans="1:45" s="77" customFormat="1" ht="15.75" customHeight="1" x14ac:dyDescent="0.25">
      <c r="A539" s="77" t="str">
        <f>_xlfn.TEXTJOIN("_",TRUE,questions[[#This Row],[origin]:[qno]])</f>
        <v>Rwanda_Arabica_Nestle_Illy_IMPACT_2024_2101</v>
      </c>
      <c r="B539" s="77" t="s">
        <v>719</v>
      </c>
      <c r="C539" s="77" t="s">
        <v>59</v>
      </c>
      <c r="D539" s="77" t="s">
        <v>720</v>
      </c>
      <c r="E539" s="77">
        <v>2024</v>
      </c>
      <c r="F539" s="108" t="s">
        <v>127</v>
      </c>
      <c r="G539" s="78" t="s">
        <v>723</v>
      </c>
      <c r="H539" s="9" t="str" cm="1">
        <f t="array" ref="H539">INDEX(stableR[question],MATCH(VALUE(questions[[#This Row],[qno]]),VALUE(stableR[qno]),0))</f>
        <v>If yes, since when have you been certified? (In case you are part of multiple certification schemes, consider the one that you are in longest.)</v>
      </c>
      <c r="I539" s="9" t="b" cm="1">
        <f t="array" ref="I539">INDEX(stable[is_fixed],MATCH(VALUE(questions[[#This Row],[qno]]),VALUE(stable[qno]),0))</f>
        <v>1</v>
      </c>
      <c r="J539" s="9" t="b" cm="1">
        <f t="array" ref="J539">INDEX(stable[is_localized],MATCH(VALUE(questions[[#This Row],[qno]]),VALUE(stable[qno]),0))</f>
        <v>0</v>
      </c>
      <c r="K539" s="9" t="b" cm="1">
        <f t="array" ref="K539">INDEX(stable[is_supply_chain_dependent],MATCH(VALUE(questions[[#This Row],[qno]]),VALUE(stable[qno]),0))</f>
        <v>0</v>
      </c>
      <c r="L539" s="9" t="b" cm="1">
        <f t="array" ref="L539">INDEX(stable[is_mandatory],MATCH(VALUE(questions[[#This Row],[qno]]),VALUE(stable[qno]),0))</f>
        <v>0</v>
      </c>
      <c r="M539" s="9" t="b" cm="1">
        <f t="array" ref="M539">INDEX(stable[is_automated],MATCH(VALUE(questions[[#This Row],[qno]]),VALUE(stable[qno]),0))</f>
        <v>0</v>
      </c>
      <c r="N539" s="32" t="b" cm="1">
        <f t="array" ref="N539">INDEX(stable[is_free_text],MATCH(VALUE(questions[[#This Row],[qno]]),VALUE(stable[qno]),0))</f>
        <v>0</v>
      </c>
      <c r="O539" s="9" t="b" cm="1">
        <f t="array" ref="O539">INDEX(stable[is_numerical],MATCH(VALUE(questions[[#This Row],[qno]]),VALUE(stable[qno]),0))</f>
        <v>0</v>
      </c>
      <c r="P539" s="77" t="b" cm="1">
        <f t="array" ref="P539">INDEX(stable[is_single_select],MATCH(VALUE(questions[[#This Row],[qno]]),VALUE(stable[qno]),0))</f>
        <v>1</v>
      </c>
      <c r="Q539" s="77" t="b" cm="1">
        <f t="array" ref="Q539">INDEX(stable[is_multi_select],MATCH(VALUE(questions[[#This Row],[qno]]),VALUE(stable[qno]),0))</f>
        <v>0</v>
      </c>
      <c r="R539" s="77" t="b" cm="1">
        <f t="array" ref="R539">INDEX(stable[is_skip_logic],MATCH(VALUE(questions[[#This Row],[qno]]),VALUE(stable[qno]),0))</f>
        <v>1</v>
      </c>
      <c r="S539" s="77" t="str">
        <f>_xlfn.TEXTJOIN(", ",TRUE,questions[[#This Row],[ans_opt_1]:[ans_opt_14]])</f>
        <v>1-2 years, 3-4 years, &gt;=5 years</v>
      </c>
      <c r="T539" s="77" t="s">
        <v>129</v>
      </c>
      <c r="U539" s="77" t="s">
        <v>130</v>
      </c>
      <c r="V539" s="77" t="s">
        <v>131</v>
      </c>
      <c r="AH539" s="98" t="b">
        <f>INDEX(stable[q_standard],MATCH(questions[[#This Row],[qno]],stable[qno],0))</f>
        <v>0</v>
      </c>
      <c r="AI539" s="98" t="b">
        <f>INDEX(stable[q_living_income],MATCH(questions[[#This Row],[qno]],stable[qno],0))</f>
        <v>0</v>
      </c>
      <c r="AJ539" s="98" t="b">
        <f>INDEX(stable[q_carbon],MATCH(questions[[#This Row],[qno]],stable[qno],0))</f>
        <v>0</v>
      </c>
      <c r="AK539" s="98" t="b">
        <f>INDEX(stable[q_regen_ag],MATCH(questions[[#This Row],[qno]],stable[qno],0))</f>
        <v>1</v>
      </c>
      <c r="AL539" s="98" t="b">
        <f>COUNTIFS(stable[qno],questions[[#This Row],[qno]])=1</f>
        <v>1</v>
      </c>
      <c r="AM539" s="98" t="b">
        <f>OR(questions[[#This Row],[is_fixed]],questions[[#This Row],[is_localized]],questions[[#This Row],[is_supply_chain_dependent]])</f>
        <v>1</v>
      </c>
      <c r="AN539" s="98" t="b">
        <f>COUNTIFS(questions[[#This Row],[is_automated]:[is_multi_select]],TRUE)=1</f>
        <v>1</v>
      </c>
      <c r="AO539" s="98" t="b">
        <f>IF(questions[[#This Row],[is_fixed]],questions[[#This Row],[question]]=INDEX(stable[question],MATCH(questions[[#This Row],[qno]],stable[qno],0)),TRUE)</f>
        <v>1</v>
      </c>
      <c r="AP539" s="98" t="str">
        <f>LEFT(questions[[#This Row],[question]],similarity_range)</f>
        <v>If yes, since when h</v>
      </c>
      <c r="AQ539" s="98" t="str">
        <f>LEFT(INDEX(stable[question],MATCH(questions[[#This Row],[qno]],stable[qno],0)),similarity_range)</f>
        <v>If yes, since when h</v>
      </c>
      <c r="AR539" s="98" t="b">
        <f>questions[[#This Row],[question_first_characters]]=questions[[#This Row],[stability_first_characters]]</f>
        <v>1</v>
      </c>
      <c r="AS539" s="98" t="b">
        <f>IF(OR(questions[[#This Row],[is_single_select]],questions[[#This Row],[is_multi_select]]),NOT(ISBLANK(questions[[#This Row],[answer_opt_combined]])),TRUE)</f>
        <v>1</v>
      </c>
    </row>
    <row r="540" spans="1:45" s="77" customFormat="1" ht="15.75" customHeight="1" x14ac:dyDescent="0.25">
      <c r="A540" s="77" t="str">
        <f>_xlfn.TEXTJOIN("_",TRUE,questions[[#This Row],[origin]:[qno]])</f>
        <v>Rwanda_Arabica_Nestle_Illy_IMPACT_2024_2200</v>
      </c>
      <c r="B540" s="77" t="s">
        <v>719</v>
      </c>
      <c r="C540" s="77" t="s">
        <v>59</v>
      </c>
      <c r="D540" s="77" t="s">
        <v>720</v>
      </c>
      <c r="E540" s="77">
        <v>2024</v>
      </c>
      <c r="F540" s="105" t="s">
        <v>132</v>
      </c>
      <c r="G540" s="78" t="s">
        <v>724</v>
      </c>
      <c r="H540" s="9" t="str" cm="1">
        <f t="array" ref="H540">INDEX(stableR[question],MATCH(VALUE(questions[[#This Row],[qno]]),VALUE(stableR[qno]),0))</f>
        <v>What is the name of the Sucafina coffee collection point you delivered your coffee to (e.g. name of  washing station/hulling station/cooperative/ intermediary), or which one is closest to you?</v>
      </c>
      <c r="I540" s="9" t="b" cm="1">
        <f t="array" ref="I540">INDEX(stable[is_fixed],MATCH(VALUE(questions[[#This Row],[qno]]),VALUE(stable[qno]),0))</f>
        <v>0</v>
      </c>
      <c r="J540" s="9" t="b" cm="1">
        <f t="array" ref="J540">INDEX(stable[is_localized],MATCH(VALUE(questions[[#This Row],[qno]]),VALUE(stable[qno]),0))</f>
        <v>1</v>
      </c>
      <c r="K540" s="9" t="b" cm="1">
        <f t="array" ref="K540">INDEX(stable[is_supply_chain_dependent],MATCH(VALUE(questions[[#This Row],[qno]]),VALUE(stable[qno]),0))</f>
        <v>0</v>
      </c>
      <c r="L540" s="9" t="b" cm="1">
        <f t="array" ref="L540">INDEX(stable[is_mandatory],MATCH(VALUE(questions[[#This Row],[qno]]),VALUE(stable[qno]),0))</f>
        <v>1</v>
      </c>
      <c r="M540" s="9" t="b" cm="1">
        <f t="array" ref="M540">INDEX(stable[is_automated],MATCH(VALUE(questions[[#This Row],[qno]]),VALUE(stable[qno]),0))</f>
        <v>0</v>
      </c>
      <c r="N540" s="32" t="b" cm="1">
        <f t="array" ref="N540">INDEX(stable[is_free_text],MATCH(VALUE(questions[[#This Row],[qno]]),VALUE(stable[qno]),0))</f>
        <v>0</v>
      </c>
      <c r="O540" s="9" t="b" cm="1">
        <f t="array" ref="O540">INDEX(stable[is_numerical],MATCH(VALUE(questions[[#This Row],[qno]]),VALUE(stable[qno]),0))</f>
        <v>0</v>
      </c>
      <c r="P540" s="77" t="b" cm="1">
        <f t="array" ref="P540">INDEX(stable[is_single_select],MATCH(VALUE(questions[[#This Row],[qno]]),VALUE(stable[qno]),0))</f>
        <v>1</v>
      </c>
      <c r="Q540" s="77" t="b" cm="1">
        <f t="array" ref="Q540">INDEX(stable[is_multi_select],MATCH(VALUE(questions[[#This Row],[qno]]),VALUE(stable[qno]),0))</f>
        <v>0</v>
      </c>
      <c r="R540" s="77" t="b" cm="1">
        <f t="array" ref="R540">INDEX(stable[is_skip_logic],MATCH(VALUE(questions[[#This Row],[qno]]),VALUE(stable[qno]),0))</f>
        <v>0</v>
      </c>
      <c r="S540" s="77" t="str">
        <f>_xlfn.TEXTJOIN(", ",TRUE,questions[[#This Row],[ans_opt_1]:[ans_opt_14]])</f>
        <v>Karenge, Kayumbu, Mubuga, Nyamyumba, Musasa, Muhura</v>
      </c>
      <c r="T540" s="77" t="s">
        <v>725</v>
      </c>
      <c r="U540" s="77" t="s">
        <v>726</v>
      </c>
      <c r="V540" s="77" t="s">
        <v>727</v>
      </c>
      <c r="W540" s="77" t="s">
        <v>728</v>
      </c>
      <c r="X540" s="77" t="s">
        <v>729</v>
      </c>
      <c r="Y540" s="77" t="s">
        <v>730</v>
      </c>
      <c r="AH540" s="98" t="b">
        <f>INDEX(stable[q_standard],MATCH(questions[[#This Row],[qno]],stable[qno],0))</f>
        <v>1</v>
      </c>
      <c r="AI540" s="98" t="b">
        <f>INDEX(stable[q_living_income],MATCH(questions[[#This Row],[qno]],stable[qno],0))</f>
        <v>0</v>
      </c>
      <c r="AJ540" s="98" t="b">
        <f>INDEX(stable[q_carbon],MATCH(questions[[#This Row],[qno]],stable[qno],0))</f>
        <v>0</v>
      </c>
      <c r="AK540" s="98" t="b">
        <f>INDEX(stable[q_regen_ag],MATCH(questions[[#This Row],[qno]],stable[qno],0))</f>
        <v>0</v>
      </c>
      <c r="AL540" s="98" t="b">
        <f>COUNTIFS(stable[qno],questions[[#This Row],[qno]])=1</f>
        <v>1</v>
      </c>
      <c r="AM540" s="98" t="b">
        <f>OR(questions[[#This Row],[is_fixed]],questions[[#This Row],[is_localized]],questions[[#This Row],[is_supply_chain_dependent]])</f>
        <v>1</v>
      </c>
      <c r="AN540" s="98" t="b">
        <f>COUNTIFS(questions[[#This Row],[is_automated]:[is_multi_select]],TRUE)=1</f>
        <v>1</v>
      </c>
      <c r="AO540" s="98" t="b">
        <f>IF(questions[[#This Row],[is_fixed]],questions[[#This Row],[question]]=INDEX(stable[question],MATCH(questions[[#This Row],[qno]],stable[qno],0)),TRUE)</f>
        <v>1</v>
      </c>
      <c r="AP540" s="98" t="str">
        <f>LEFT(questions[[#This Row],[question]],similarity_range)</f>
        <v>To which Rwacof wash</v>
      </c>
      <c r="AQ540" s="98" t="str">
        <f>LEFT(INDEX(stable[question],MATCH(questions[[#This Row],[qno]],stable[qno],0)),similarity_range)</f>
        <v>To which Sucafina wa</v>
      </c>
      <c r="AR540" s="98" t="b">
        <f>questions[[#This Row],[question_first_characters]]=questions[[#This Row],[stability_first_characters]]</f>
        <v>0</v>
      </c>
      <c r="AS540" s="98" t="b">
        <f>IF(OR(questions[[#This Row],[is_single_select]],questions[[#This Row],[is_multi_select]]),NOT(ISBLANK(questions[[#This Row],[answer_opt_combined]])),TRUE)</f>
        <v>1</v>
      </c>
    </row>
    <row r="541" spans="1:45" ht="15.75" customHeight="1" x14ac:dyDescent="0.25">
      <c r="A541" s="9" t="str">
        <f>_xlfn.TEXTJOIN("_",TRUE,questions[[#This Row],[origin]:[qno]])</f>
        <v>Rwanda_Arabica_Nestle_Illy_IMPACT_2024_3300</v>
      </c>
      <c r="B541" s="9" t="s">
        <v>719</v>
      </c>
      <c r="C541" s="9" t="s">
        <v>59</v>
      </c>
      <c r="D541" s="9" t="s">
        <v>720</v>
      </c>
      <c r="E541" s="9">
        <v>2024</v>
      </c>
      <c r="F541" s="36" t="s">
        <v>137</v>
      </c>
      <c r="G541" s="15" t="s">
        <v>731</v>
      </c>
      <c r="H541" s="9" t="str" cm="1">
        <f t="array" ref="H541">INDEX(stableR[question],MATCH(VALUE(questions[[#This Row],[qno]]),VALUE(stableR[qno]),0))</f>
        <v>How many kilograms of fresh cherries did you sell last season(s) (previous 12 months)?</v>
      </c>
      <c r="I541" s="9" t="b" cm="1">
        <f t="array" ref="I541">INDEX(stable[is_fixed],MATCH(VALUE(questions[[#This Row],[qno]]),VALUE(stable[qno]),0))</f>
        <v>0</v>
      </c>
      <c r="J541" s="9" t="b" cm="1">
        <f t="array" ref="J541">INDEX(stable[is_localized],MATCH(VALUE(questions[[#This Row],[qno]]),VALUE(stable[qno]),0))</f>
        <v>1</v>
      </c>
      <c r="K541" s="9" t="b" cm="1">
        <f t="array" ref="K541">INDEX(stable[is_supply_chain_dependent],MATCH(VALUE(questions[[#This Row],[qno]]),VALUE(stable[qno]),0))</f>
        <v>0</v>
      </c>
      <c r="L541" s="9" t="b" cm="1">
        <f t="array" ref="L541">INDEX(stable[is_mandatory],MATCH(VALUE(questions[[#This Row],[qno]]),VALUE(stable[qno]),0))</f>
        <v>0</v>
      </c>
      <c r="M541" s="9" t="b" cm="1">
        <f t="array" ref="M541">INDEX(stable[is_automated],MATCH(VALUE(questions[[#This Row],[qno]]),VALUE(stable[qno]),0))</f>
        <v>0</v>
      </c>
      <c r="N541" s="32" t="b" cm="1">
        <f t="array" ref="N541">INDEX(stable[is_free_text],MATCH(VALUE(questions[[#This Row],[qno]]),VALUE(stable[qno]),0))</f>
        <v>0</v>
      </c>
      <c r="O541" s="9" t="b" cm="1">
        <f t="array" ref="O541">INDEX(stable[is_numerical],MATCH(VALUE(questions[[#This Row],[qno]]),VALUE(stable[qno]),0))</f>
        <v>1</v>
      </c>
      <c r="P541" s="9" t="b" cm="1">
        <f t="array" ref="P541">INDEX(stable[is_single_select],MATCH(VALUE(questions[[#This Row],[qno]]),VALUE(stable[qno]),0))</f>
        <v>0</v>
      </c>
      <c r="Q541" s="9" t="b" cm="1">
        <f t="array" ref="Q541">INDEX(stable[is_multi_select],MATCH(VALUE(questions[[#This Row],[qno]]),VALUE(stable[qno]),0))</f>
        <v>0</v>
      </c>
      <c r="R541" s="9" t="b" cm="1">
        <f t="array" ref="R541">INDEX(stable[is_skip_logic],MATCH(VALUE(questions[[#This Row],[qno]]),VALUE(stable[qno]),0))</f>
        <v>0</v>
      </c>
      <c r="S541" s="9" t="str">
        <f>_xlfn.TEXTJOIN(", ",TRUE,questions[[#This Row],[ans_opt_1]:[ans_opt_14]])</f>
        <v/>
      </c>
      <c r="AH541" s="16" t="b">
        <f>INDEX(stable[q_standard],MATCH(questions[[#This Row],[qno]],stable[qno],0))</f>
        <v>0</v>
      </c>
      <c r="AI541" s="16" t="b">
        <f>INDEX(stable[q_living_income],MATCH(questions[[#This Row],[qno]],stable[qno],0))</f>
        <v>1</v>
      </c>
      <c r="AJ541" s="16" t="b">
        <f>INDEX(stable[q_carbon],MATCH(questions[[#This Row],[qno]],stable[qno],0))</f>
        <v>1</v>
      </c>
      <c r="AK541" s="16" t="b">
        <f>INDEX(stable[q_regen_ag],MATCH(questions[[#This Row],[qno]],stable[qno],0))</f>
        <v>1</v>
      </c>
      <c r="AL541" s="16" t="b">
        <f>COUNTIFS(stable[qno],questions[[#This Row],[qno]])=1</f>
        <v>1</v>
      </c>
      <c r="AM541" s="16" t="b">
        <f>OR(questions[[#This Row],[is_fixed]],questions[[#This Row],[is_localized]],questions[[#This Row],[is_supply_chain_dependent]])</f>
        <v>1</v>
      </c>
      <c r="AN541" s="16" t="b">
        <f>COUNTIFS(questions[[#This Row],[is_automated]:[is_multi_select]],TRUE)=1</f>
        <v>1</v>
      </c>
      <c r="AO541" s="16" t="b">
        <f>IF(questions[[#This Row],[is_fixed]],questions[[#This Row],[question]]=INDEX(stable[question],MATCH(questions[[#This Row],[qno]],stable[qno],0)),TRUE)</f>
        <v>1</v>
      </c>
      <c r="AP541" s="16" t="str">
        <f>LEFT(questions[[#This Row],[question]],similarity_range)</f>
        <v>How many kilograms o</v>
      </c>
      <c r="AQ541" s="16" t="str">
        <f>LEFT(INDEX(stable[question],MATCH(questions[[#This Row],[qno]],stable[qno],0)),similarity_range)</f>
        <v>How many kilograms o</v>
      </c>
      <c r="AR541" s="16" t="b">
        <f>questions[[#This Row],[question_first_characters]]=questions[[#This Row],[stability_first_characters]]</f>
        <v>1</v>
      </c>
      <c r="AS541" s="16" t="b">
        <f>IF(OR(questions[[#This Row],[is_single_select]],questions[[#This Row],[is_multi_select]]),NOT(ISBLANK(questions[[#This Row],[answer_opt_combined]])),TRUE)</f>
        <v>1</v>
      </c>
    </row>
    <row r="542" spans="1:45" ht="15.75" customHeight="1" x14ac:dyDescent="0.25">
      <c r="A542" s="9" t="str">
        <f>_xlfn.TEXTJOIN("_",TRUE,questions[[#This Row],[origin]:[qno]])</f>
        <v>Rwanda_Arabica_Nestle_Illy_IMPACT_2024_3301</v>
      </c>
      <c r="B542" s="9" t="s">
        <v>719</v>
      </c>
      <c r="C542" s="9" t="s">
        <v>59</v>
      </c>
      <c r="D542" s="9" t="s">
        <v>720</v>
      </c>
      <c r="E542" s="9">
        <v>2024</v>
      </c>
      <c r="F542" s="36" t="s">
        <v>139</v>
      </c>
      <c r="G542" s="15" t="s">
        <v>732</v>
      </c>
      <c r="H542" s="9" t="str" cm="1">
        <f t="array" ref="H542">INDEX(stableR[question],MATCH(VALUE(questions[[#This Row],[qno]]),VALUE(stableR[qno]),0))</f>
        <v>What was the most common price per kilogram that you received for the fresh cherries harvested in the last season? (in local currency)</v>
      </c>
      <c r="I542" s="9" t="b" cm="1">
        <f t="array" ref="I542">INDEX(stable[is_fixed],MATCH(VALUE(questions[[#This Row],[qno]]),VALUE(stable[qno]),0))</f>
        <v>0</v>
      </c>
      <c r="J542" s="9" t="b" cm="1">
        <f t="array" ref="J542">INDEX(stable[is_localized],MATCH(VALUE(questions[[#This Row],[qno]]),VALUE(stable[qno]),0))</f>
        <v>1</v>
      </c>
      <c r="K542" s="9" t="b" cm="1">
        <f t="array" ref="K542">INDEX(stable[is_supply_chain_dependent],MATCH(VALUE(questions[[#This Row],[qno]]),VALUE(stable[qno]),0))</f>
        <v>0</v>
      </c>
      <c r="L542" s="9" t="b" cm="1">
        <f t="array" ref="L542">INDEX(stable[is_mandatory],MATCH(VALUE(questions[[#This Row],[qno]]),VALUE(stable[qno]),0))</f>
        <v>0</v>
      </c>
      <c r="M542" s="9" t="b" cm="1">
        <f t="array" ref="M542">INDEX(stable[is_automated],MATCH(VALUE(questions[[#This Row],[qno]]),VALUE(stable[qno]),0))</f>
        <v>0</v>
      </c>
      <c r="N542" s="32" t="b" cm="1">
        <f t="array" ref="N542">INDEX(stable[is_free_text],MATCH(VALUE(questions[[#This Row],[qno]]),VALUE(stable[qno]),0))</f>
        <v>0</v>
      </c>
      <c r="O542" s="9" t="b" cm="1">
        <f t="array" ref="O542">INDEX(stable[is_numerical],MATCH(VALUE(questions[[#This Row],[qno]]),VALUE(stable[qno]),0))</f>
        <v>1</v>
      </c>
      <c r="P542" s="9" t="b" cm="1">
        <f t="array" ref="P542">INDEX(stable[is_single_select],MATCH(VALUE(questions[[#This Row],[qno]]),VALUE(stable[qno]),0))</f>
        <v>0</v>
      </c>
      <c r="Q542" s="9" t="b" cm="1">
        <f t="array" ref="Q542">INDEX(stable[is_multi_select],MATCH(VALUE(questions[[#This Row],[qno]]),VALUE(stable[qno]),0))</f>
        <v>0</v>
      </c>
      <c r="R542" s="9" t="b" cm="1">
        <f t="array" ref="R542">INDEX(stable[is_skip_logic],MATCH(VALUE(questions[[#This Row],[qno]]),VALUE(stable[qno]),0))</f>
        <v>0</v>
      </c>
      <c r="S542" s="9" t="str">
        <f>_xlfn.TEXTJOIN(", ",TRUE,questions[[#This Row],[ans_opt_1]:[ans_opt_14]])</f>
        <v/>
      </c>
      <c r="AH542" s="16" t="b">
        <f>INDEX(stable[q_standard],MATCH(questions[[#This Row],[qno]],stable[qno],0))</f>
        <v>0</v>
      </c>
      <c r="AI542" s="16" t="b">
        <f>INDEX(stable[q_living_income],MATCH(questions[[#This Row],[qno]],stable[qno],0))</f>
        <v>1</v>
      </c>
      <c r="AJ542" s="16" t="b">
        <f>INDEX(stable[q_carbon],MATCH(questions[[#This Row],[qno]],stable[qno],0))</f>
        <v>0</v>
      </c>
      <c r="AK542" s="16" t="b">
        <f>INDEX(stable[q_regen_ag],MATCH(questions[[#This Row],[qno]],stable[qno],0))</f>
        <v>0</v>
      </c>
      <c r="AL542" s="16" t="b">
        <f>COUNTIFS(stable[qno],questions[[#This Row],[qno]])=1</f>
        <v>1</v>
      </c>
      <c r="AM542" s="16" t="b">
        <f>OR(questions[[#This Row],[is_fixed]],questions[[#This Row],[is_localized]],questions[[#This Row],[is_supply_chain_dependent]])</f>
        <v>1</v>
      </c>
      <c r="AN542" s="16" t="b">
        <f>COUNTIFS(questions[[#This Row],[is_automated]:[is_multi_select]],TRUE)=1</f>
        <v>1</v>
      </c>
      <c r="AO542" s="16" t="b">
        <f>IF(questions[[#This Row],[is_fixed]],questions[[#This Row],[question]]=INDEX(stable[question],MATCH(questions[[#This Row],[qno]],stable[qno],0)),TRUE)</f>
        <v>1</v>
      </c>
      <c r="AP542" s="16" t="str">
        <f>LEFT(questions[[#This Row],[question]],similarity_range)</f>
        <v>What was the most co</v>
      </c>
      <c r="AQ542" s="16" t="str">
        <f>LEFT(INDEX(stable[question],MATCH(questions[[#This Row],[qno]],stable[qno],0)),similarity_range)</f>
        <v>What was the most co</v>
      </c>
      <c r="AR542" s="16" t="b">
        <f>questions[[#This Row],[question_first_characters]]=questions[[#This Row],[stability_first_characters]]</f>
        <v>1</v>
      </c>
      <c r="AS542" s="16" t="b">
        <f>IF(OR(questions[[#This Row],[is_single_select]],questions[[#This Row],[is_multi_select]]),NOT(ISBLANK(questions[[#This Row],[answer_opt_combined]])),TRUE)</f>
        <v>1</v>
      </c>
    </row>
    <row r="543" spans="1:45" ht="15.75" customHeight="1" x14ac:dyDescent="0.25">
      <c r="A543" s="9" t="str">
        <f>_xlfn.TEXTJOIN("_",TRUE,questions[[#This Row],[origin]:[qno]])</f>
        <v>Rwanda_Arabica_Nestle_Illy_IMPACT_2024_4000</v>
      </c>
      <c r="B543" s="9" t="s">
        <v>719</v>
      </c>
      <c r="C543" s="9" t="s">
        <v>59</v>
      </c>
      <c r="D543" s="9" t="s">
        <v>720</v>
      </c>
      <c r="E543" s="9">
        <v>2024</v>
      </c>
      <c r="F543" s="36" t="s">
        <v>143</v>
      </c>
      <c r="G543" s="15" t="s">
        <v>733</v>
      </c>
      <c r="H543" s="9" t="str" cm="1">
        <f t="array" ref="H543">INDEX(stableR[question],MATCH(VALUE(questions[[#This Row],[qno]]),VALUE(stableR[qno]),0))</f>
        <v>About how many coffee trees do you have across all your coffee plots combined?</v>
      </c>
      <c r="I543" s="9" t="b" cm="1">
        <f t="array" ref="I543">INDEX(stable[is_fixed],MATCH(VALUE(questions[[#This Row],[qno]]),VALUE(stable[qno]),0))</f>
        <v>1</v>
      </c>
      <c r="J543" s="9" t="b" cm="1">
        <f t="array" ref="J543">INDEX(stable[is_localized],MATCH(VALUE(questions[[#This Row],[qno]]),VALUE(stable[qno]),0))</f>
        <v>0</v>
      </c>
      <c r="K543" s="9" t="b" cm="1">
        <f t="array" ref="K543">INDEX(stable[is_supply_chain_dependent],MATCH(VALUE(questions[[#This Row],[qno]]),VALUE(stable[qno]),0))</f>
        <v>0</v>
      </c>
      <c r="L543" s="9" t="b" cm="1">
        <f t="array" ref="L543">INDEX(stable[is_mandatory],MATCH(VALUE(questions[[#This Row],[qno]]),VALUE(stable[qno]),0))</f>
        <v>1</v>
      </c>
      <c r="M543" s="9" t="b" cm="1">
        <f t="array" ref="M543">INDEX(stable[is_automated],MATCH(VALUE(questions[[#This Row],[qno]]),VALUE(stable[qno]),0))</f>
        <v>0</v>
      </c>
      <c r="N543" s="32" t="b" cm="1">
        <f t="array" ref="N543">INDEX(stable[is_free_text],MATCH(VALUE(questions[[#This Row],[qno]]),VALUE(stable[qno]),0))</f>
        <v>0</v>
      </c>
      <c r="O543" s="9" t="b" cm="1">
        <f t="array" ref="O543">INDEX(stable[is_numerical],MATCH(VALUE(questions[[#This Row],[qno]]),VALUE(stable[qno]),0))</f>
        <v>1</v>
      </c>
      <c r="P543" s="9" t="b" cm="1">
        <f t="array" ref="P543">INDEX(stable[is_single_select],MATCH(VALUE(questions[[#This Row],[qno]]),VALUE(stable[qno]),0))</f>
        <v>0</v>
      </c>
      <c r="Q543" s="9" t="b" cm="1">
        <f t="array" ref="Q543">INDEX(stable[is_multi_select],MATCH(VALUE(questions[[#This Row],[qno]]),VALUE(stable[qno]),0))</f>
        <v>0</v>
      </c>
      <c r="R543" s="9" t="b" cm="1">
        <f t="array" ref="R543">INDEX(stable[is_skip_logic],MATCH(VALUE(questions[[#This Row],[qno]]),VALUE(stable[qno]),0))</f>
        <v>0</v>
      </c>
      <c r="S543" s="9" t="str">
        <f>_xlfn.TEXTJOIN(", ",TRUE,questions[[#This Row],[ans_opt_1]:[ans_opt_14]])</f>
        <v/>
      </c>
      <c r="AH543" s="16" t="b">
        <f>INDEX(stable[q_standard],MATCH(questions[[#This Row],[qno]],stable[qno],0))</f>
        <v>0</v>
      </c>
      <c r="AI543" s="16" t="b">
        <f>INDEX(stable[q_living_income],MATCH(questions[[#This Row],[qno]],stable[qno],0))</f>
        <v>1</v>
      </c>
      <c r="AJ543" s="16" t="b">
        <f>INDEX(stable[q_carbon],MATCH(questions[[#This Row],[qno]],stable[qno],0))</f>
        <v>1</v>
      </c>
      <c r="AK543" s="16" t="b">
        <f>INDEX(stable[q_regen_ag],MATCH(questions[[#This Row],[qno]],stable[qno],0))</f>
        <v>1</v>
      </c>
      <c r="AL543" s="16" t="b">
        <f>COUNTIFS(stable[qno],questions[[#This Row],[qno]])=1</f>
        <v>1</v>
      </c>
      <c r="AM543" s="16" t="b">
        <f>OR(questions[[#This Row],[is_fixed]],questions[[#This Row],[is_localized]],questions[[#This Row],[is_supply_chain_dependent]])</f>
        <v>1</v>
      </c>
      <c r="AN543" s="16" t="b">
        <f>COUNTIFS(questions[[#This Row],[is_automated]:[is_multi_select]],TRUE)=1</f>
        <v>1</v>
      </c>
      <c r="AO543" s="16" t="b">
        <f>IF(questions[[#This Row],[is_fixed]],questions[[#This Row],[question]]=INDEX(stable[question],MATCH(questions[[#This Row],[qno]],stable[qno],0)),TRUE)</f>
        <v>0</v>
      </c>
      <c r="AP543" s="16" t="str">
        <f>LEFT(questions[[#This Row],[question]],similarity_range)</f>
        <v>What was the total n</v>
      </c>
      <c r="AQ543" s="16" t="str">
        <f>LEFT(INDEX(stable[question],MATCH(questions[[#This Row],[qno]],stable[qno],0)),similarity_range)</f>
        <v>Can you estimate how</v>
      </c>
      <c r="AR543" s="16" t="b">
        <f>questions[[#This Row],[question_first_characters]]=questions[[#This Row],[stability_first_characters]]</f>
        <v>0</v>
      </c>
      <c r="AS543" s="16" t="b">
        <f>IF(OR(questions[[#This Row],[is_single_select]],questions[[#This Row],[is_multi_select]]),NOT(ISBLANK(questions[[#This Row],[answer_opt_combined]])),TRUE)</f>
        <v>1</v>
      </c>
    </row>
    <row r="544" spans="1:45" ht="15.75" customHeight="1" x14ac:dyDescent="0.25">
      <c r="A544" s="9" t="str">
        <f>_xlfn.TEXTJOIN("_",TRUE,questions[[#This Row],[origin]:[qno]])</f>
        <v>Rwanda_Arabica_Nestle_Illy_IMPACT_2024_4100</v>
      </c>
      <c r="B544" s="9" t="s">
        <v>719</v>
      </c>
      <c r="C544" s="9" t="s">
        <v>59</v>
      </c>
      <c r="D544" s="9" t="s">
        <v>720</v>
      </c>
      <c r="E544" s="9">
        <v>2024</v>
      </c>
      <c r="F544" s="36" t="s">
        <v>145</v>
      </c>
      <c r="G544" s="15" t="s">
        <v>146</v>
      </c>
      <c r="H544" s="9" t="str" cm="1">
        <f t="array" ref="H544">INDEX(stableR[question],MATCH(VALUE(questions[[#This Row],[qno]]),VALUE(stableR[qno]),0))</f>
        <v>In total, how many plots with coffee do you have?</v>
      </c>
      <c r="I544" s="9" t="b" cm="1">
        <f t="array" ref="I544">INDEX(stable[is_fixed],MATCH(VALUE(questions[[#This Row],[qno]]),VALUE(stable[qno]),0))</f>
        <v>1</v>
      </c>
      <c r="J544" s="9" t="b" cm="1">
        <f t="array" ref="J544">INDEX(stable[is_localized],MATCH(VALUE(questions[[#This Row],[qno]]),VALUE(stable[qno]),0))</f>
        <v>0</v>
      </c>
      <c r="K544" s="9" t="b" cm="1">
        <f t="array" ref="K544">INDEX(stable[is_supply_chain_dependent],MATCH(VALUE(questions[[#This Row],[qno]]),VALUE(stable[qno]),0))</f>
        <v>0</v>
      </c>
      <c r="L544" s="9" t="b" cm="1">
        <f t="array" ref="L544">INDEX(stable[is_mandatory],MATCH(VALUE(questions[[#This Row],[qno]]),VALUE(stable[qno]),0))</f>
        <v>1</v>
      </c>
      <c r="M544" s="9" t="b" cm="1">
        <f t="array" ref="M544">INDEX(stable[is_automated],MATCH(VALUE(questions[[#This Row],[qno]]),VALUE(stable[qno]),0))</f>
        <v>0</v>
      </c>
      <c r="N544" s="32" t="b" cm="1">
        <f t="array" ref="N544">INDEX(stable[is_free_text],MATCH(VALUE(questions[[#This Row],[qno]]),VALUE(stable[qno]),0))</f>
        <v>0</v>
      </c>
      <c r="O544" s="9" t="b" cm="1">
        <f t="array" ref="O544">INDEX(stable[is_numerical],MATCH(VALUE(questions[[#This Row],[qno]]),VALUE(stable[qno]),0))</f>
        <v>1</v>
      </c>
      <c r="P544" s="9" t="b" cm="1">
        <f t="array" ref="P544">INDEX(stable[is_single_select],MATCH(VALUE(questions[[#This Row],[qno]]),VALUE(stable[qno]),0))</f>
        <v>0</v>
      </c>
      <c r="Q544" s="9" t="b" cm="1">
        <f t="array" ref="Q544">INDEX(stable[is_multi_select],MATCH(VALUE(questions[[#This Row],[qno]]),VALUE(stable[qno]),0))</f>
        <v>0</v>
      </c>
      <c r="R544" s="9" t="b" cm="1">
        <f t="array" ref="R544">INDEX(stable[is_skip_logic],MATCH(VALUE(questions[[#This Row],[qno]]),VALUE(stable[qno]),0))</f>
        <v>0</v>
      </c>
      <c r="S544" s="9" t="str">
        <f>_xlfn.TEXTJOIN(", ",TRUE,questions[[#This Row],[ans_opt_1]:[ans_opt_14]])</f>
        <v/>
      </c>
      <c r="AH544" s="16" t="b">
        <f>INDEX(stable[q_standard],MATCH(questions[[#This Row],[qno]],stable[qno],0))</f>
        <v>0</v>
      </c>
      <c r="AI544" s="16" t="b">
        <f>INDEX(stable[q_living_income],MATCH(questions[[#This Row],[qno]],stable[qno],0))</f>
        <v>1</v>
      </c>
      <c r="AJ544" s="16" t="b">
        <f>INDEX(stable[q_carbon],MATCH(questions[[#This Row],[qno]],stable[qno],0))</f>
        <v>1</v>
      </c>
      <c r="AK544" s="16" t="b">
        <f>INDEX(stable[q_regen_ag],MATCH(questions[[#This Row],[qno]],stable[qno],0))</f>
        <v>1</v>
      </c>
      <c r="AL544" s="16" t="b">
        <f>COUNTIFS(stable[qno],questions[[#This Row],[qno]])=1</f>
        <v>1</v>
      </c>
      <c r="AM544" s="16" t="b">
        <f>OR(questions[[#This Row],[is_fixed]],questions[[#This Row],[is_localized]],questions[[#This Row],[is_supply_chain_dependent]])</f>
        <v>1</v>
      </c>
      <c r="AN544" s="16" t="b">
        <f>COUNTIFS(questions[[#This Row],[is_automated]:[is_multi_select]],TRUE)=1</f>
        <v>1</v>
      </c>
      <c r="AO544" s="16" t="b">
        <f>IF(questions[[#This Row],[is_fixed]],questions[[#This Row],[question]]=INDEX(stable[question],MATCH(questions[[#This Row],[qno]],stable[qno],0)),TRUE)</f>
        <v>1</v>
      </c>
      <c r="AP544" s="16" t="str">
        <f>LEFT(questions[[#This Row],[question]],similarity_range)</f>
        <v>In total, how many p</v>
      </c>
      <c r="AQ544" s="16" t="str">
        <f>LEFT(INDEX(stable[question],MATCH(questions[[#This Row],[qno]],stable[qno],0)),similarity_range)</f>
        <v>In total, how many p</v>
      </c>
      <c r="AR544" s="16" t="b">
        <f>questions[[#This Row],[question_first_characters]]=questions[[#This Row],[stability_first_characters]]</f>
        <v>1</v>
      </c>
      <c r="AS544" s="16" t="b">
        <f>IF(OR(questions[[#This Row],[is_single_select]],questions[[#This Row],[is_multi_select]]),NOT(ISBLANK(questions[[#This Row],[answer_opt_combined]])),TRUE)</f>
        <v>1</v>
      </c>
    </row>
    <row r="545" spans="1:45" s="77" customFormat="1" ht="15.75" customHeight="1" x14ac:dyDescent="0.25">
      <c r="A545" s="77" t="str">
        <f>_xlfn.TEXTJOIN("_",TRUE,questions[[#This Row],[origin]:[qno]])</f>
        <v>Rwanda_Arabica_Nestle_Illy_IMPACT_2024_4101</v>
      </c>
      <c r="B545" s="77" t="s">
        <v>719</v>
      </c>
      <c r="C545" s="77" t="s">
        <v>59</v>
      </c>
      <c r="D545" s="77" t="s">
        <v>720</v>
      </c>
      <c r="E545" s="77">
        <v>2024</v>
      </c>
      <c r="F545" s="105" t="s">
        <v>147</v>
      </c>
      <c r="G545" s="78" t="s">
        <v>734</v>
      </c>
      <c r="H545" s="9" t="str" cm="1">
        <f t="array" ref="H545">INDEX(stableR[question],MATCH(VALUE(questions[[#This Row],[qno]]),VALUE(stableR[qno]),0))</f>
        <v>Can we go to measure/polygon map (area audit) each of these plots?</v>
      </c>
      <c r="I545" s="9" t="b" cm="1">
        <f t="array" ref="I545">INDEX(stable[is_fixed],MATCH(VALUE(questions[[#This Row],[qno]]),VALUE(stable[qno]),0))</f>
        <v>1</v>
      </c>
      <c r="J545" s="9" t="b" cm="1">
        <f t="array" ref="J545">INDEX(stable[is_localized],MATCH(VALUE(questions[[#This Row],[qno]]),VALUE(stable[qno]),0))</f>
        <v>0</v>
      </c>
      <c r="K545" s="9" t="b" cm="1">
        <f t="array" ref="K545">INDEX(stable[is_supply_chain_dependent],MATCH(VALUE(questions[[#This Row],[qno]]),VALUE(stable[qno]),0))</f>
        <v>0</v>
      </c>
      <c r="L545" s="9" t="b" cm="1">
        <f t="array" ref="L545">INDEX(stable[is_mandatory],MATCH(VALUE(questions[[#This Row],[qno]]),VALUE(stable[qno]),0))</f>
        <v>1</v>
      </c>
      <c r="M545" s="9" t="b" cm="1">
        <f t="array" ref="M545">INDEX(stable[is_automated],MATCH(VALUE(questions[[#This Row],[qno]]),VALUE(stable[qno]),0))</f>
        <v>0</v>
      </c>
      <c r="N545" s="32" t="b" cm="1">
        <f t="array" ref="N545">INDEX(stable[is_free_text],MATCH(VALUE(questions[[#This Row],[qno]]),VALUE(stable[qno]),0))</f>
        <v>0</v>
      </c>
      <c r="O545" s="9" t="b" cm="1">
        <f t="array" ref="O545">INDEX(stable[is_numerical],MATCH(VALUE(questions[[#This Row],[qno]]),VALUE(stable[qno]),0))</f>
        <v>0</v>
      </c>
      <c r="P545" s="77" t="b" cm="1">
        <f t="array" ref="P545">INDEX(stable[is_single_select],MATCH(VALUE(questions[[#This Row],[qno]]),VALUE(stable[qno]),0))</f>
        <v>1</v>
      </c>
      <c r="Q545" s="77" t="b" cm="1">
        <f t="array" ref="Q545">INDEX(stable[is_multi_select],MATCH(VALUE(questions[[#This Row],[qno]]),VALUE(stable[qno]),0))</f>
        <v>0</v>
      </c>
      <c r="R545" s="77" t="b" cm="1">
        <f t="array" ref="R545">INDEX(stable[is_skip_logic],MATCH(VALUE(questions[[#This Row],[qno]]),VALUE(stable[qno]),0))</f>
        <v>1</v>
      </c>
      <c r="S545" s="77" t="str">
        <f>_xlfn.TEXTJOIN(", ",TRUE,questions[[#This Row],[ans_opt_1]:[ans_opt_14]])</f>
        <v>Yes, No</v>
      </c>
      <c r="T545" s="77" t="s">
        <v>149</v>
      </c>
      <c r="U545" s="77" t="s">
        <v>119</v>
      </c>
      <c r="AH545" s="98" t="b">
        <f>INDEX(stable[q_standard],MATCH(questions[[#This Row],[qno]],stable[qno],0))</f>
        <v>0</v>
      </c>
      <c r="AI545" s="98" t="b">
        <f>INDEX(stable[q_living_income],MATCH(questions[[#This Row],[qno]],stable[qno],0))</f>
        <v>1</v>
      </c>
      <c r="AJ545" s="98" t="b">
        <f>INDEX(stable[q_carbon],MATCH(questions[[#This Row],[qno]],stable[qno],0))</f>
        <v>1</v>
      </c>
      <c r="AK545" s="98" t="b">
        <f>INDEX(stable[q_regen_ag],MATCH(questions[[#This Row],[qno]],stable[qno],0))</f>
        <v>1</v>
      </c>
      <c r="AL545" s="98" t="b">
        <f>COUNTIFS(stable[qno],questions[[#This Row],[qno]])=1</f>
        <v>1</v>
      </c>
      <c r="AM545" s="98" t="b">
        <f>OR(questions[[#This Row],[is_fixed]],questions[[#This Row],[is_localized]],questions[[#This Row],[is_supply_chain_dependent]])</f>
        <v>1</v>
      </c>
      <c r="AN545" s="98" t="b">
        <f>COUNTIFS(questions[[#This Row],[is_automated]:[is_multi_select]],TRUE)=1</f>
        <v>1</v>
      </c>
      <c r="AO545" s="98" t="b">
        <f>IF(questions[[#This Row],[is_fixed]],questions[[#This Row],[question]]=INDEX(stable[question],MATCH(questions[[#This Row],[qno]],stable[qno],0)),TRUE)</f>
        <v>0</v>
      </c>
      <c r="AP545" s="98" t="str">
        <f>LEFT(questions[[#This Row],[question]],similarity_range)</f>
        <v>Can we go to measure</v>
      </c>
      <c r="AQ545" s="98" t="str">
        <f>LEFT(INDEX(stable[question],MATCH(questions[[#This Row],[qno]],stable[qno],0)),similarity_range)</f>
        <v>Can we go to measure</v>
      </c>
      <c r="AR545" s="98" t="b">
        <f>questions[[#This Row],[question_first_characters]]=questions[[#This Row],[stability_first_characters]]</f>
        <v>1</v>
      </c>
      <c r="AS545" s="98" t="b">
        <f>IF(OR(questions[[#This Row],[is_single_select]],questions[[#This Row],[is_multi_select]]),NOT(ISBLANK(questions[[#This Row],[answer_opt_combined]])),TRUE)</f>
        <v>1</v>
      </c>
    </row>
    <row r="546" spans="1:45" s="77" customFormat="1" ht="15.75" customHeight="1" x14ac:dyDescent="0.25">
      <c r="A546" s="77" t="str">
        <f>_xlfn.TEXTJOIN("_",TRUE,questions[[#This Row],[origin]:[qno]])</f>
        <v>Rwanda_Arabica_Nestle_Illy_IMPACT_2024_4102</v>
      </c>
      <c r="B546" s="77" t="s">
        <v>719</v>
      </c>
      <c r="C546" s="77" t="s">
        <v>59</v>
      </c>
      <c r="D546" s="77" t="s">
        <v>720</v>
      </c>
      <c r="E546" s="77">
        <v>2024</v>
      </c>
      <c r="F546" s="105" t="s">
        <v>150</v>
      </c>
      <c r="G546" s="78" t="s">
        <v>151</v>
      </c>
      <c r="H546" s="9" t="str" cm="1">
        <f t="array" ref="H546">INDEX(stableR[question],MATCH(VALUE(questions[[#This Row],[qno]]),VALUE(stableR[qno]),0))</f>
        <v>If No, what is the reason why we cannot visit this/these plot (s) to measure/polygon map it/them?</v>
      </c>
      <c r="I546" s="9" t="b" cm="1">
        <f t="array" ref="I546">INDEX(stable[is_fixed],MATCH(VALUE(questions[[#This Row],[qno]]),VALUE(stable[qno]),0))</f>
        <v>1</v>
      </c>
      <c r="J546" s="9" t="b" cm="1">
        <f t="array" ref="J546">INDEX(stable[is_localized],MATCH(VALUE(questions[[#This Row],[qno]]),VALUE(stable[qno]),0))</f>
        <v>0</v>
      </c>
      <c r="K546" s="9" t="b" cm="1">
        <f t="array" ref="K546">INDEX(stable[is_supply_chain_dependent],MATCH(VALUE(questions[[#This Row],[qno]]),VALUE(stable[qno]),0))</f>
        <v>0</v>
      </c>
      <c r="L546" s="9" t="b" cm="1">
        <f t="array" ref="L546">INDEX(stable[is_mandatory],MATCH(VALUE(questions[[#This Row],[qno]]),VALUE(stable[qno]),0))</f>
        <v>0</v>
      </c>
      <c r="M546" s="9" t="b" cm="1">
        <f t="array" ref="M546">INDEX(stable[is_automated],MATCH(VALUE(questions[[#This Row],[qno]]),VALUE(stable[qno]),0))</f>
        <v>0</v>
      </c>
      <c r="N546" s="32" t="b" cm="1">
        <f t="array" ref="N546">INDEX(stable[is_free_text],MATCH(VALUE(questions[[#This Row],[qno]]),VALUE(stable[qno]),0))</f>
        <v>0</v>
      </c>
      <c r="O546" s="9" t="b" cm="1">
        <f t="array" ref="O546">INDEX(stable[is_numerical],MATCH(VALUE(questions[[#This Row],[qno]]),VALUE(stable[qno]),0))</f>
        <v>0</v>
      </c>
      <c r="P546" s="77" t="b" cm="1">
        <f t="array" ref="P546">INDEX(stable[is_single_select],MATCH(VALUE(questions[[#This Row],[qno]]),VALUE(stable[qno]),0))</f>
        <v>1</v>
      </c>
      <c r="Q546" s="77" t="b" cm="1">
        <f t="array" ref="Q546">INDEX(stable[is_multi_select],MATCH(VALUE(questions[[#This Row],[qno]]),VALUE(stable[qno]),0))</f>
        <v>0</v>
      </c>
      <c r="R546" s="77" t="b" cm="1">
        <f t="array" ref="R546">INDEX(stable[is_skip_logic],MATCH(VALUE(questions[[#This Row],[qno]]),VALUE(stable[qno]),0))</f>
        <v>1</v>
      </c>
      <c r="S546" s="77" t="str">
        <f>_xlfn.TEXTJOIN(", ",TRUE,questions[[#This Row],[ans_opt_1]:[ans_opt_14]])</f>
        <v>No, Yes - too far, Yes - farmer not willing, Yes - other reason</v>
      </c>
      <c r="T546" s="77" t="s">
        <v>119</v>
      </c>
      <c r="U546" s="77" t="s">
        <v>735</v>
      </c>
      <c r="V546" s="77" t="s">
        <v>736</v>
      </c>
      <c r="W546" s="77" t="s">
        <v>737</v>
      </c>
      <c r="AH546" s="98" t="b">
        <f>INDEX(stable[q_standard],MATCH(questions[[#This Row],[qno]],stable[qno],0))</f>
        <v>0</v>
      </c>
      <c r="AI546" s="98" t="b">
        <f>INDEX(stable[q_living_income],MATCH(questions[[#This Row],[qno]],stable[qno],0))</f>
        <v>1</v>
      </c>
      <c r="AJ546" s="98" t="b">
        <f>INDEX(stable[q_carbon],MATCH(questions[[#This Row],[qno]],stable[qno],0))</f>
        <v>1</v>
      </c>
      <c r="AK546" s="98" t="b">
        <f>INDEX(stable[q_regen_ag],MATCH(questions[[#This Row],[qno]],stable[qno],0))</f>
        <v>1</v>
      </c>
      <c r="AL546" s="98" t="b">
        <f>COUNTIFS(stable[qno],questions[[#This Row],[qno]])=1</f>
        <v>1</v>
      </c>
      <c r="AM546" s="98" t="b">
        <f>OR(questions[[#This Row],[is_fixed]],questions[[#This Row],[is_localized]],questions[[#This Row],[is_supply_chain_dependent]])</f>
        <v>1</v>
      </c>
      <c r="AN546" s="98" t="b">
        <f>COUNTIFS(questions[[#This Row],[is_automated]:[is_multi_select]],TRUE)=1</f>
        <v>1</v>
      </c>
      <c r="AO546" s="98" t="b">
        <f>IF(questions[[#This Row],[is_fixed]],questions[[#This Row],[question]]=INDEX(stable[question],MATCH(questions[[#This Row],[qno]],stable[qno],0)),TRUE)</f>
        <v>1</v>
      </c>
      <c r="AP546" s="98" t="str">
        <f>LEFT(questions[[#This Row],[question]],similarity_range)</f>
        <v>If no, what is the r</v>
      </c>
      <c r="AQ546" s="98" t="str">
        <f>LEFT(INDEX(stable[question],MATCH(questions[[#This Row],[qno]],stable[qno],0)),similarity_range)</f>
        <v>If no, what is the r</v>
      </c>
      <c r="AR546" s="98" t="b">
        <f>questions[[#This Row],[question_first_characters]]=questions[[#This Row],[stability_first_characters]]</f>
        <v>1</v>
      </c>
      <c r="AS546" s="98" t="b">
        <f>IF(OR(questions[[#This Row],[is_single_select]],questions[[#This Row],[is_multi_select]]),NOT(ISBLANK(questions[[#This Row],[answer_opt_combined]])),TRUE)</f>
        <v>1</v>
      </c>
    </row>
    <row r="547" spans="1:45" ht="15.75" customHeight="1" x14ac:dyDescent="0.25">
      <c r="A547" s="9" t="str">
        <f>_xlfn.TEXTJOIN("_",TRUE,questions[[#This Row],[origin]:[qno]])</f>
        <v>Rwanda_Arabica_Nestle_Illy_IMPACT_2024_4103</v>
      </c>
      <c r="B547" s="9" t="s">
        <v>719</v>
      </c>
      <c r="C547" s="9" t="s">
        <v>59</v>
      </c>
      <c r="D547" s="9" t="s">
        <v>720</v>
      </c>
      <c r="E547" s="9">
        <v>2024</v>
      </c>
      <c r="F547" s="36" t="s">
        <v>155</v>
      </c>
      <c r="G547" s="9" t="str">
        <f>INDEX(stable[question],MATCH(questions[[#This Row],[qno]],stable[qno],0))</f>
        <v>How many coffee plots are there that we can not visit, of the total coffee plots that you have?</v>
      </c>
      <c r="H547" s="9" t="str" cm="1">
        <f t="array" ref="H547">INDEX(stableR[question],MATCH(VALUE(questions[[#This Row],[qno]]),VALUE(stableR[qno]),0))</f>
        <v>Of your total coffee plots, how many cannot be visited during the survey?</v>
      </c>
      <c r="I547" s="9" t="b" cm="1">
        <f t="array" ref="I547">INDEX(stable[is_fixed],MATCH(VALUE(questions[[#This Row],[qno]]),VALUE(stable[qno]),0))</f>
        <v>1</v>
      </c>
      <c r="J547" s="9" t="b" cm="1">
        <f t="array" ref="J547">INDEX(stable[is_localized],MATCH(VALUE(questions[[#This Row],[qno]]),VALUE(stable[qno]),0))</f>
        <v>0</v>
      </c>
      <c r="K547" s="9" t="b" cm="1">
        <f t="array" ref="K547">INDEX(stable[is_supply_chain_dependent],MATCH(VALUE(questions[[#This Row],[qno]]),VALUE(stable[qno]),0))</f>
        <v>0</v>
      </c>
      <c r="L547" s="9" t="b" cm="1">
        <f t="array" ref="L547">INDEX(stable[is_mandatory],MATCH(VALUE(questions[[#This Row],[qno]]),VALUE(stable[qno]),0))</f>
        <v>0</v>
      </c>
      <c r="M547" s="9" t="b" cm="1">
        <f t="array" ref="M547">INDEX(stable[is_automated],MATCH(VALUE(questions[[#This Row],[qno]]),VALUE(stable[qno]),0))</f>
        <v>0</v>
      </c>
      <c r="N547" s="32" t="b" cm="1">
        <f t="array" ref="N547">INDEX(stable[is_free_text],MATCH(VALUE(questions[[#This Row],[qno]]),VALUE(stable[qno]),0))</f>
        <v>0</v>
      </c>
      <c r="O547" s="9" t="b" cm="1">
        <f t="array" ref="O547">INDEX(stable[is_numerical],MATCH(VALUE(questions[[#This Row],[qno]]),VALUE(stable[qno]),0))</f>
        <v>1</v>
      </c>
      <c r="P547" s="9" t="b" cm="1">
        <f t="array" ref="P547">INDEX(stable[is_single_select],MATCH(VALUE(questions[[#This Row],[qno]]),VALUE(stable[qno]),0))</f>
        <v>0</v>
      </c>
      <c r="Q547" s="9" t="b" cm="1">
        <f t="array" ref="Q547">INDEX(stable[is_multi_select],MATCH(VALUE(questions[[#This Row],[qno]]),VALUE(stable[qno]),0))</f>
        <v>0</v>
      </c>
      <c r="R547" s="9" t="b" cm="1">
        <f t="array" ref="R547">INDEX(stable[is_skip_logic],MATCH(VALUE(questions[[#This Row],[qno]]),VALUE(stable[qno]),0))</f>
        <v>0</v>
      </c>
      <c r="S547" s="9" t="str">
        <f>_xlfn.TEXTJOIN(", ",TRUE,questions[[#This Row],[ans_opt_1]:[ans_opt_14]])</f>
        <v/>
      </c>
      <c r="AH547" s="16" t="b">
        <f>INDEX(stable[q_standard],MATCH(questions[[#This Row],[qno]],stable[qno],0))</f>
        <v>0</v>
      </c>
      <c r="AI547" s="16" t="b">
        <f>INDEX(stable[q_living_income],MATCH(questions[[#This Row],[qno]],stable[qno],0))</f>
        <v>1</v>
      </c>
      <c r="AJ547" s="16" t="b">
        <f>INDEX(stable[q_carbon],MATCH(questions[[#This Row],[qno]],stable[qno],0))</f>
        <v>1</v>
      </c>
      <c r="AK547" s="16" t="b">
        <f>INDEX(stable[q_regen_ag],MATCH(questions[[#This Row],[qno]],stable[qno],0))</f>
        <v>1</v>
      </c>
      <c r="AL547" s="16" t="b">
        <f>COUNTIFS(stable[qno],questions[[#This Row],[qno]])=1</f>
        <v>1</v>
      </c>
      <c r="AM547" s="16" t="b">
        <f>OR(questions[[#This Row],[is_fixed]],questions[[#This Row],[is_localized]],questions[[#This Row],[is_supply_chain_dependent]])</f>
        <v>1</v>
      </c>
      <c r="AN547" s="16" t="b">
        <f>COUNTIFS(questions[[#This Row],[is_automated]:[is_multi_select]],TRUE)=1</f>
        <v>1</v>
      </c>
      <c r="AO547" s="16" t="b">
        <f>IF(questions[[#This Row],[is_fixed]],questions[[#This Row],[question]]=INDEX(stable[question],MATCH(questions[[#This Row],[qno]],stable[qno],0)),TRUE)</f>
        <v>1</v>
      </c>
      <c r="AP547" s="16" t="str">
        <f>LEFT(questions[[#This Row],[question]],similarity_range)</f>
        <v>How many coffee plot</v>
      </c>
      <c r="AQ547" s="16" t="str">
        <f>LEFT(INDEX(stable[question],MATCH(questions[[#This Row],[qno]],stable[qno],0)),similarity_range)</f>
        <v>How many coffee plot</v>
      </c>
      <c r="AR547" s="16" t="b">
        <f>questions[[#This Row],[question_first_characters]]=questions[[#This Row],[stability_first_characters]]</f>
        <v>1</v>
      </c>
      <c r="AS547" s="16" t="b">
        <f>IF(OR(questions[[#This Row],[is_single_select]],questions[[#This Row],[is_multi_select]]),NOT(ISBLANK(questions[[#This Row],[answer_opt_combined]])),TRUE)</f>
        <v>1</v>
      </c>
    </row>
    <row r="548" spans="1:45" ht="15.75" customHeight="1" x14ac:dyDescent="0.25">
      <c r="A548" s="9" t="str">
        <f>_xlfn.TEXTJOIN("_",TRUE,questions[[#This Row],[origin]:[qno]])</f>
        <v>Rwanda_Arabica_Nestle_Illy_IMPACT_2024_4104</v>
      </c>
      <c r="B548" s="9" t="s">
        <v>719</v>
      </c>
      <c r="C548" s="9" t="s">
        <v>59</v>
      </c>
      <c r="D548" s="9" t="s">
        <v>720</v>
      </c>
      <c r="E548" s="9">
        <v>2024</v>
      </c>
      <c r="F548" s="36" t="s">
        <v>157</v>
      </c>
      <c r="G548" s="9" t="s">
        <v>738</v>
      </c>
      <c r="H548" s="9" t="str" cm="1">
        <f t="array" ref="H548">INDEX(stableR[question],MATCH(VALUE(questions[[#This Row],[qno]]),VALUE(stableR[qno]),0))</f>
        <v>Of the coffee plots that cannot be visited, what is the total area of these plots? (in acres)</v>
      </c>
      <c r="I548" s="9" t="b" cm="1">
        <f t="array" ref="I548">INDEX(stable[is_fixed],MATCH(VALUE(questions[[#This Row],[qno]]),VALUE(stable[qno]),0))</f>
        <v>1</v>
      </c>
      <c r="J548" s="9" t="b" cm="1">
        <f t="array" ref="J548">INDEX(stable[is_localized],MATCH(VALUE(questions[[#This Row],[qno]]),VALUE(stable[qno]),0))</f>
        <v>0</v>
      </c>
      <c r="K548" s="9" t="b" cm="1">
        <f t="array" ref="K548">INDEX(stable[is_supply_chain_dependent],MATCH(VALUE(questions[[#This Row],[qno]]),VALUE(stable[qno]),0))</f>
        <v>0</v>
      </c>
      <c r="L548" s="9" t="b" cm="1">
        <f t="array" ref="L548">INDEX(stable[is_mandatory],MATCH(VALUE(questions[[#This Row],[qno]]),VALUE(stable[qno]),0))</f>
        <v>0</v>
      </c>
      <c r="M548" s="9" t="b" cm="1">
        <f t="array" ref="M548">INDEX(stable[is_automated],MATCH(VALUE(questions[[#This Row],[qno]]),VALUE(stable[qno]),0))</f>
        <v>0</v>
      </c>
      <c r="N548" s="32" t="b" cm="1">
        <f t="array" ref="N548">INDEX(stable[is_free_text],MATCH(VALUE(questions[[#This Row],[qno]]),VALUE(stable[qno]),0))</f>
        <v>0</v>
      </c>
      <c r="O548" s="9" t="b" cm="1">
        <f t="array" ref="O548">INDEX(stable[is_numerical],MATCH(VALUE(questions[[#This Row],[qno]]),VALUE(stable[qno]),0))</f>
        <v>1</v>
      </c>
      <c r="P548" s="9" t="b" cm="1">
        <f t="array" ref="P548">INDEX(stable[is_single_select],MATCH(VALUE(questions[[#This Row],[qno]]),VALUE(stable[qno]),0))</f>
        <v>0</v>
      </c>
      <c r="Q548" s="9" t="b" cm="1">
        <f t="array" ref="Q548">INDEX(stable[is_multi_select],MATCH(VALUE(questions[[#This Row],[qno]]),VALUE(stable[qno]),0))</f>
        <v>0</v>
      </c>
      <c r="R548" s="9" t="b" cm="1">
        <f t="array" ref="R548">INDEX(stable[is_skip_logic],MATCH(VALUE(questions[[#This Row],[qno]]),VALUE(stable[qno]),0))</f>
        <v>0</v>
      </c>
      <c r="S548" s="9" t="str">
        <f>_xlfn.TEXTJOIN(", ",TRUE,questions[[#This Row],[ans_opt_1]:[ans_opt_14]])</f>
        <v/>
      </c>
      <c r="AH548" s="16" t="b">
        <f>INDEX(stable[q_standard],MATCH(questions[[#This Row],[qno]],stable[qno],0))</f>
        <v>0</v>
      </c>
      <c r="AI548" s="16" t="b">
        <f>INDEX(stable[q_living_income],MATCH(questions[[#This Row],[qno]],stable[qno],0))</f>
        <v>1</v>
      </c>
      <c r="AJ548" s="16" t="b">
        <f>INDEX(stable[q_carbon],MATCH(questions[[#This Row],[qno]],stable[qno],0))</f>
        <v>1</v>
      </c>
      <c r="AK548" s="16" t="b">
        <f>INDEX(stable[q_regen_ag],MATCH(questions[[#This Row],[qno]],stable[qno],0))</f>
        <v>1</v>
      </c>
      <c r="AL548" s="16" t="b">
        <f>COUNTIFS(stable[qno],questions[[#This Row],[qno]])=1</f>
        <v>1</v>
      </c>
      <c r="AM548" s="16" t="b">
        <f>OR(questions[[#This Row],[is_fixed]],questions[[#This Row],[is_localized]],questions[[#This Row],[is_supply_chain_dependent]])</f>
        <v>1</v>
      </c>
      <c r="AN548" s="16" t="b">
        <f>COUNTIFS(questions[[#This Row],[is_automated]:[is_multi_select]],TRUE)=1</f>
        <v>1</v>
      </c>
      <c r="AO548" s="16" t="b">
        <f>IF(questions[[#This Row],[is_fixed]],questions[[#This Row],[question]]=INDEX(stable[question],MATCH(questions[[#This Row],[qno]],stable[qno],0)),TRUE)</f>
        <v>0</v>
      </c>
      <c r="AP548" s="16" t="str">
        <f>LEFT(questions[[#This Row],[question]],similarity_range)</f>
        <v>What is the total ar</v>
      </c>
      <c r="AQ548" s="16" t="str">
        <f>LEFT(INDEX(stable[question],MATCH(questions[[#This Row],[qno]],stable[qno],0)),similarity_range)</f>
        <v>What is the total ar</v>
      </c>
      <c r="AR548" s="16" t="b">
        <f>questions[[#This Row],[question_first_characters]]=questions[[#This Row],[stability_first_characters]]</f>
        <v>1</v>
      </c>
      <c r="AS548" s="16" t="b">
        <f>IF(OR(questions[[#This Row],[is_single_select]],questions[[#This Row],[is_multi_select]]),NOT(ISBLANK(questions[[#This Row],[answer_opt_combined]])),TRUE)</f>
        <v>1</v>
      </c>
    </row>
    <row r="549" spans="1:45" s="77" customFormat="1" ht="15.75" customHeight="1" x14ac:dyDescent="0.25">
      <c r="A549" s="77" t="str">
        <f>_xlfn.TEXTJOIN("_",TRUE,questions[[#This Row],[origin]:[qno]])</f>
        <v>Rwanda_Arabica_Nestle_Illy_IMPACT_2024_5000</v>
      </c>
      <c r="B549" s="77" t="s">
        <v>719</v>
      </c>
      <c r="C549" s="77" t="s">
        <v>59</v>
      </c>
      <c r="D549" s="77" t="s">
        <v>720</v>
      </c>
      <c r="E549" s="77">
        <v>2024</v>
      </c>
      <c r="F549" s="105" t="s">
        <v>159</v>
      </c>
      <c r="G549" s="78" t="s">
        <v>739</v>
      </c>
      <c r="H549" s="9" t="str" cm="1">
        <f t="array" ref="H549">INDEX(stableR[question],MATCH(VALUE(questions[[#This Row],[qno]]),VALUE(stableR[qno]),0))</f>
        <v>Did you use synthetic fertilizers for your coffee last year?</v>
      </c>
      <c r="I549" s="9" t="b" cm="1">
        <f t="array" ref="I549">INDEX(stable[is_fixed],MATCH(VALUE(questions[[#This Row],[qno]]),VALUE(stable[qno]),0))</f>
        <v>1</v>
      </c>
      <c r="J549" s="9" t="b" cm="1">
        <f t="array" ref="J549">INDEX(stable[is_localized],MATCH(VALUE(questions[[#This Row],[qno]]),VALUE(stable[qno]),0))</f>
        <v>0</v>
      </c>
      <c r="K549" s="9" t="b" cm="1">
        <f t="array" ref="K549">INDEX(stable[is_supply_chain_dependent],MATCH(VALUE(questions[[#This Row],[qno]]),VALUE(stable[qno]),0))</f>
        <v>0</v>
      </c>
      <c r="L549" s="9" t="b" cm="1">
        <f t="array" ref="L549">INDEX(stable[is_mandatory],MATCH(VALUE(questions[[#This Row],[qno]]),VALUE(stable[qno]),0))</f>
        <v>1</v>
      </c>
      <c r="M549" s="9" t="b" cm="1">
        <f t="array" ref="M549">INDEX(stable[is_automated],MATCH(VALUE(questions[[#This Row],[qno]]),VALUE(stable[qno]),0))</f>
        <v>0</v>
      </c>
      <c r="N549" s="32" t="b" cm="1">
        <f t="array" ref="N549">INDEX(stable[is_free_text],MATCH(VALUE(questions[[#This Row],[qno]]),VALUE(stable[qno]),0))</f>
        <v>0</v>
      </c>
      <c r="O549" s="9" t="b" cm="1">
        <f t="array" ref="O549">INDEX(stable[is_numerical],MATCH(VALUE(questions[[#This Row],[qno]]),VALUE(stable[qno]),0))</f>
        <v>0</v>
      </c>
      <c r="P549" s="77" t="b" cm="1">
        <f t="array" ref="P549">INDEX(stable[is_single_select],MATCH(VALUE(questions[[#This Row],[qno]]),VALUE(stable[qno]),0))</f>
        <v>1</v>
      </c>
      <c r="Q549" s="77" t="b" cm="1">
        <f t="array" ref="Q549">INDEX(stable[is_multi_select],MATCH(VALUE(questions[[#This Row],[qno]]),VALUE(stable[qno]),0))</f>
        <v>0</v>
      </c>
      <c r="R549" s="77" t="b" cm="1">
        <f t="array" ref="R549">INDEX(stable[is_skip_logic],MATCH(VALUE(questions[[#This Row],[qno]]),VALUE(stable[qno]),0))</f>
        <v>1</v>
      </c>
      <c r="S549" s="77" t="str">
        <f>_xlfn.TEXTJOIN(", ",TRUE,questions[[#This Row],[ans_opt_1]:[ans_opt_14]])</f>
        <v>Yes, No</v>
      </c>
      <c r="T549" s="77" t="s">
        <v>149</v>
      </c>
      <c r="U549" s="77" t="s">
        <v>119</v>
      </c>
      <c r="AH549" s="98" t="b">
        <f>INDEX(stable[q_standard],MATCH(questions[[#This Row],[qno]],stable[qno],0))</f>
        <v>0</v>
      </c>
      <c r="AI549" s="98" t="b">
        <f>INDEX(stable[q_living_income],MATCH(questions[[#This Row],[qno]],stable[qno],0))</f>
        <v>1</v>
      </c>
      <c r="AJ549" s="98" t="b">
        <f>INDEX(stable[q_carbon],MATCH(questions[[#This Row],[qno]],stable[qno],0))</f>
        <v>1</v>
      </c>
      <c r="AK549" s="98" t="b">
        <f>INDEX(stable[q_regen_ag],MATCH(questions[[#This Row],[qno]],stable[qno],0))</f>
        <v>0</v>
      </c>
      <c r="AL549" s="98" t="b">
        <f>COUNTIFS(stable[qno],questions[[#This Row],[qno]])=1</f>
        <v>1</v>
      </c>
      <c r="AM549" s="98" t="b">
        <f>OR(questions[[#This Row],[is_fixed]],questions[[#This Row],[is_localized]],questions[[#This Row],[is_supply_chain_dependent]])</f>
        <v>1</v>
      </c>
      <c r="AN549" s="98" t="b">
        <f>COUNTIFS(questions[[#This Row],[is_automated]:[is_multi_select]],TRUE)=1</f>
        <v>1</v>
      </c>
      <c r="AO549" s="98" t="b">
        <f>IF(questions[[#This Row],[is_fixed]],questions[[#This Row],[question]]=INDEX(stable[question],MATCH(questions[[#This Row],[qno]],stable[qno],0)),TRUE)</f>
        <v>1</v>
      </c>
      <c r="AP549" s="98" t="str">
        <f>LEFT(questions[[#This Row],[question]],similarity_range)</f>
        <v>Did you use syntheti</v>
      </c>
      <c r="AQ549" s="98" t="str">
        <f>LEFT(INDEX(stable[question],MATCH(questions[[#This Row],[qno]],stable[qno],0)),similarity_range)</f>
        <v>Did you use syntheti</v>
      </c>
      <c r="AR549" s="98" t="b">
        <f>questions[[#This Row],[question_first_characters]]=questions[[#This Row],[stability_first_characters]]</f>
        <v>1</v>
      </c>
      <c r="AS549" s="98" t="b">
        <f>IF(OR(questions[[#This Row],[is_single_select]],questions[[#This Row],[is_multi_select]]),NOT(ISBLANK(questions[[#This Row],[answer_opt_combined]])),TRUE)</f>
        <v>1</v>
      </c>
    </row>
    <row r="550" spans="1:45" ht="15.75" customHeight="1" x14ac:dyDescent="0.25">
      <c r="A550" s="9" t="str">
        <f>_xlfn.TEXTJOIN("_",TRUE,questions[[#This Row],[origin]:[qno]])</f>
        <v>Rwanda_Arabica_Nestle_Illy_IMPACT_2024_5001</v>
      </c>
      <c r="B550" s="9" t="s">
        <v>719</v>
      </c>
      <c r="C550" s="9" t="s">
        <v>59</v>
      </c>
      <c r="D550" s="9" t="s">
        <v>720</v>
      </c>
      <c r="E550" s="9">
        <v>2024</v>
      </c>
      <c r="F550" s="36" t="s">
        <v>161</v>
      </c>
      <c r="G550" s="15" t="s">
        <v>162</v>
      </c>
      <c r="H550" s="9" t="str" cm="1">
        <f t="array" ref="H550">INDEX(stableR[question],MATCH(VALUE(questions[[#This Row],[qno]]),VALUE(stableR[qno]),0))</f>
        <v>If yes, how many types of synthetic fertilizer did you use last year?</v>
      </c>
      <c r="I550" s="9" t="b" cm="1">
        <f t="array" ref="I550">INDEX(stable[is_fixed],MATCH(VALUE(questions[[#This Row],[qno]]),VALUE(stable[qno]),0))</f>
        <v>1</v>
      </c>
      <c r="J550" s="9" t="b" cm="1">
        <f t="array" ref="J550">INDEX(stable[is_localized],MATCH(VALUE(questions[[#This Row],[qno]]),VALUE(stable[qno]),0))</f>
        <v>0</v>
      </c>
      <c r="K550" s="9" t="b" cm="1">
        <f t="array" ref="K550">INDEX(stable[is_supply_chain_dependent],MATCH(VALUE(questions[[#This Row],[qno]]),VALUE(stable[qno]),0))</f>
        <v>0</v>
      </c>
      <c r="L550" s="9" t="b" cm="1">
        <f t="array" ref="L550">INDEX(stable[is_mandatory],MATCH(VALUE(questions[[#This Row],[qno]]),VALUE(stable[qno]),0))</f>
        <v>0</v>
      </c>
      <c r="M550" s="9" t="b" cm="1">
        <f t="array" ref="M550">INDEX(stable[is_automated],MATCH(VALUE(questions[[#This Row],[qno]]),VALUE(stable[qno]),0))</f>
        <v>0</v>
      </c>
      <c r="N550" s="32" t="b" cm="1">
        <f t="array" ref="N550">INDEX(stable[is_free_text],MATCH(VALUE(questions[[#This Row],[qno]]),VALUE(stable[qno]),0))</f>
        <v>0</v>
      </c>
      <c r="O550" s="9" t="b" cm="1">
        <f t="array" ref="O550">INDEX(stable[is_numerical],MATCH(VALUE(questions[[#This Row],[qno]]),VALUE(stable[qno]),0))</f>
        <v>1</v>
      </c>
      <c r="P550" s="9" t="b" cm="1">
        <f t="array" ref="P550">INDEX(stable[is_single_select],MATCH(VALUE(questions[[#This Row],[qno]]),VALUE(stable[qno]),0))</f>
        <v>0</v>
      </c>
      <c r="Q550" s="9" t="b" cm="1">
        <f t="array" ref="Q550">INDEX(stable[is_multi_select],MATCH(VALUE(questions[[#This Row],[qno]]),VALUE(stable[qno]),0))</f>
        <v>0</v>
      </c>
      <c r="R550" s="9" t="b" cm="1">
        <f t="array" ref="R550">INDEX(stable[is_skip_logic],MATCH(VALUE(questions[[#This Row],[qno]]),VALUE(stable[qno]),0))</f>
        <v>1</v>
      </c>
      <c r="S550" s="9" t="str">
        <f>_xlfn.TEXTJOIN(", ",TRUE,questions[[#This Row],[ans_opt_1]:[ans_opt_14]])</f>
        <v/>
      </c>
      <c r="AH550" s="16" t="b">
        <f>INDEX(stable[q_standard],MATCH(questions[[#This Row],[qno]],stable[qno],0))</f>
        <v>0</v>
      </c>
      <c r="AI550" s="16" t="b">
        <f>INDEX(stable[q_living_income],MATCH(questions[[#This Row],[qno]],stable[qno],0))</f>
        <v>1</v>
      </c>
      <c r="AJ550" s="16" t="b">
        <f>INDEX(stable[q_carbon],MATCH(questions[[#This Row],[qno]],stable[qno],0))</f>
        <v>1</v>
      </c>
      <c r="AK550" s="16" t="b">
        <f>INDEX(stable[q_regen_ag],MATCH(questions[[#This Row],[qno]],stable[qno],0))</f>
        <v>0</v>
      </c>
      <c r="AL550" s="16" t="b">
        <f>COUNTIFS(stable[qno],questions[[#This Row],[qno]])=1</f>
        <v>1</v>
      </c>
      <c r="AM550" s="16" t="b">
        <f>OR(questions[[#This Row],[is_fixed]],questions[[#This Row],[is_localized]],questions[[#This Row],[is_supply_chain_dependent]])</f>
        <v>1</v>
      </c>
      <c r="AN550" s="16" t="b">
        <f>COUNTIFS(questions[[#This Row],[is_automated]:[is_multi_select]],TRUE)=1</f>
        <v>1</v>
      </c>
      <c r="AO550" s="16" t="b">
        <f>IF(questions[[#This Row],[is_fixed]],questions[[#This Row],[question]]=INDEX(stable[question],MATCH(questions[[#This Row],[qno]],stable[qno],0)),TRUE)</f>
        <v>1</v>
      </c>
      <c r="AP550" s="16" t="str">
        <f>LEFT(questions[[#This Row],[question]],similarity_range)</f>
        <v>If yes, how many typ</v>
      </c>
      <c r="AQ550" s="16" t="str">
        <f>LEFT(INDEX(stable[question],MATCH(questions[[#This Row],[qno]],stable[qno],0)),similarity_range)</f>
        <v>If yes, how many typ</v>
      </c>
      <c r="AR550" s="16" t="b">
        <f>questions[[#This Row],[question_first_characters]]=questions[[#This Row],[stability_first_characters]]</f>
        <v>1</v>
      </c>
      <c r="AS550" s="16" t="b">
        <f>IF(OR(questions[[#This Row],[is_single_select]],questions[[#This Row],[is_multi_select]]),NOT(ISBLANK(questions[[#This Row],[answer_opt_combined]])),TRUE)</f>
        <v>1</v>
      </c>
    </row>
    <row r="551" spans="1:45" ht="15.75" customHeight="1" x14ac:dyDescent="0.25">
      <c r="A551" s="9" t="str">
        <f>_xlfn.TEXTJOIN("_",TRUE,questions[[#This Row],[origin]:[qno]])</f>
        <v>Rwanda_Arabica_Nestle_Illy_IMPACT_2024_5100</v>
      </c>
      <c r="B551" s="9" t="s">
        <v>719</v>
      </c>
      <c r="C551" s="9" t="s">
        <v>59</v>
      </c>
      <c r="D551" s="9" t="s">
        <v>720</v>
      </c>
      <c r="E551" s="9">
        <v>2024</v>
      </c>
      <c r="F551" s="36" t="s">
        <v>163</v>
      </c>
      <c r="G551" s="15" t="s">
        <v>740</v>
      </c>
      <c r="H551" s="9" t="str" cm="1">
        <f t="array" ref="H551">INDEX(stableR[question],MATCH(VALUE(questions[[#This Row],[qno]]),VALUE(stableR[qno]),0))</f>
        <v>What was the name of the synthetic fertilizer that you used most, last year?</v>
      </c>
      <c r="I551" s="9" t="b" cm="1">
        <f t="array" ref="I551">INDEX(stable[is_fixed],MATCH(VALUE(questions[[#This Row],[qno]]),VALUE(stable[qno]),0))</f>
        <v>0</v>
      </c>
      <c r="J551" s="9" t="b" cm="1">
        <f t="array" ref="J551">INDEX(stable[is_localized],MATCH(VALUE(questions[[#This Row],[qno]]),VALUE(stable[qno]),0))</f>
        <v>1</v>
      </c>
      <c r="K551" s="9" t="b" cm="1">
        <f t="array" ref="K551">INDEX(stable[is_supply_chain_dependent],MATCH(VALUE(questions[[#This Row],[qno]]),VALUE(stable[qno]),0))</f>
        <v>0</v>
      </c>
      <c r="L551" s="9" t="b" cm="1">
        <f t="array" ref="L551">INDEX(stable[is_mandatory],MATCH(VALUE(questions[[#This Row],[qno]]),VALUE(stable[qno]),0))</f>
        <v>0</v>
      </c>
      <c r="M551" s="9" t="b" cm="1">
        <f t="array" ref="M551">INDEX(stable[is_automated],MATCH(VALUE(questions[[#This Row],[qno]]),VALUE(stable[qno]),0))</f>
        <v>0</v>
      </c>
      <c r="N551" s="22" t="b" cm="1">
        <f t="array" ref="N551">INDEX(stable[is_free_text],MATCH(VALUE(questions[[#This Row],[qno]]),VALUE(stable[qno]),0))</f>
        <v>0</v>
      </c>
      <c r="O551" s="9" t="b" cm="1">
        <f t="array" ref="O551">INDEX(stable[is_numerical],MATCH(VALUE(questions[[#This Row],[qno]]),VALUE(stable[qno]),0))</f>
        <v>0</v>
      </c>
      <c r="P551" s="22" t="b" cm="1">
        <f t="array" ref="P551">INDEX(stable[is_single_select],MATCH(VALUE(questions[[#This Row],[qno]]),VALUE(stable[qno]),0))</f>
        <v>1</v>
      </c>
      <c r="Q551" s="9" t="b" cm="1">
        <f t="array" ref="Q551">INDEX(stable[is_multi_select],MATCH(VALUE(questions[[#This Row],[qno]]),VALUE(stable[qno]),0))</f>
        <v>0</v>
      </c>
      <c r="R551" s="9" t="b" cm="1">
        <f t="array" ref="R551">INDEX(stable[is_skip_logic],MATCH(VALUE(questions[[#This Row],[qno]]),VALUE(stable[qno]),0))</f>
        <v>1</v>
      </c>
      <c r="S551" s="9" t="str">
        <f>_xlfn.TEXTJOIN(", ",TRUE,questions[[#This Row],[ans_opt_1]:[ans_opt_14]])</f>
        <v>Yara Milla Java (NPK 26-6-12), NPK 17-17-17, Urea (46% N), DAP (di-ammonium phosphate, 18% N)</v>
      </c>
      <c r="T551" s="9" t="s">
        <v>741</v>
      </c>
      <c r="U551" s="9" t="s">
        <v>742</v>
      </c>
      <c r="V551" s="9" t="s">
        <v>743</v>
      </c>
      <c r="W551" s="9" t="s">
        <v>744</v>
      </c>
      <c r="AH551" s="16" t="b">
        <f>INDEX(stable[q_standard],MATCH(questions[[#This Row],[qno]],stable[qno],0))</f>
        <v>0</v>
      </c>
      <c r="AI551" s="16" t="b">
        <f>INDEX(stable[q_living_income],MATCH(questions[[#This Row],[qno]],stable[qno],0))</f>
        <v>1</v>
      </c>
      <c r="AJ551" s="16" t="b">
        <f>INDEX(stable[q_carbon],MATCH(questions[[#This Row],[qno]],stable[qno],0))</f>
        <v>1</v>
      </c>
      <c r="AK551" s="16" t="b">
        <f>INDEX(stable[q_regen_ag],MATCH(questions[[#This Row],[qno]],stable[qno],0))</f>
        <v>0</v>
      </c>
      <c r="AL551" s="16" t="b">
        <f>COUNTIFS(stable[qno],questions[[#This Row],[qno]])=1</f>
        <v>1</v>
      </c>
      <c r="AM551" s="16" t="b">
        <f>OR(questions[[#This Row],[is_fixed]],questions[[#This Row],[is_localized]],questions[[#This Row],[is_supply_chain_dependent]])</f>
        <v>1</v>
      </c>
      <c r="AN551" s="16" t="b">
        <f>COUNTIFS(questions[[#This Row],[is_automated]:[is_multi_select]],TRUE)=1</f>
        <v>1</v>
      </c>
      <c r="AO551" s="16" t="b">
        <f>IF(questions[[#This Row],[is_fixed]],questions[[#This Row],[question]]=INDEX(stable[question],MATCH(questions[[#This Row],[qno]],stable[qno],0)),TRUE)</f>
        <v>1</v>
      </c>
      <c r="AP551" s="16" t="str">
        <f>LEFT(questions[[#This Row],[question]],similarity_range)</f>
        <v xml:space="preserve">What is the name of </v>
      </c>
      <c r="AQ551" s="16" t="str">
        <f>LEFT(INDEX(stable[question],MATCH(questions[[#This Row],[qno]],stable[qno],0)),similarity_range)</f>
        <v xml:space="preserve">What is the name of </v>
      </c>
      <c r="AR551" s="16" t="b">
        <f>questions[[#This Row],[question_first_characters]]=questions[[#This Row],[stability_first_characters]]</f>
        <v>1</v>
      </c>
      <c r="AS551" s="16" t="b">
        <f>IF(OR(questions[[#This Row],[is_single_select]],questions[[#This Row],[is_multi_select]]),NOT(ISBLANK(questions[[#This Row],[answer_opt_combined]])),TRUE)</f>
        <v>1</v>
      </c>
    </row>
    <row r="552" spans="1:45" ht="15.75" customHeight="1" x14ac:dyDescent="0.25">
      <c r="A552" s="9" t="str">
        <f>_xlfn.TEXTJOIN("_",TRUE,questions[[#This Row],[origin]:[qno]])</f>
        <v>Rwanda_Arabica_Nestle_Illy_IMPACT_2024_5101</v>
      </c>
      <c r="B552" s="9" t="s">
        <v>719</v>
      </c>
      <c r="C552" s="9" t="s">
        <v>59</v>
      </c>
      <c r="D552" s="9" t="s">
        <v>720</v>
      </c>
      <c r="E552" s="9">
        <v>2024</v>
      </c>
      <c r="F552" s="36" t="s">
        <v>165</v>
      </c>
      <c r="G552" s="37" t="s">
        <v>745</v>
      </c>
      <c r="H552" s="9" t="str" cm="1">
        <f t="array" ref="H552">INDEX(stableR[question],MATCH(VALUE(questions[[#This Row],[qno]]),VALUE(stableR[qno]),0))</f>
        <v>What was the total quantity of the synthetic fertilizer that you used most, last year? (Kg)</v>
      </c>
      <c r="I552" s="9" t="b" cm="1">
        <f t="array" ref="I552">INDEX(stable[is_fixed],MATCH(VALUE(questions[[#This Row],[qno]]),VALUE(stable[qno]),0))</f>
        <v>0</v>
      </c>
      <c r="J552" s="9" t="b" cm="1">
        <f t="array" ref="J552">INDEX(stable[is_localized],MATCH(VALUE(questions[[#This Row],[qno]]),VALUE(stable[qno]),0))</f>
        <v>1</v>
      </c>
      <c r="K552" s="9" t="b" cm="1">
        <f t="array" ref="K552">INDEX(stable[is_supply_chain_dependent],MATCH(VALUE(questions[[#This Row],[qno]]),VALUE(stable[qno]),0))</f>
        <v>0</v>
      </c>
      <c r="L552" s="9" t="b" cm="1">
        <f t="array" ref="L552">INDEX(stable[is_mandatory],MATCH(VALUE(questions[[#This Row],[qno]]),VALUE(stable[qno]),0))</f>
        <v>0</v>
      </c>
      <c r="M552" s="9" t="b" cm="1">
        <f t="array" ref="M552">INDEX(stable[is_automated],MATCH(VALUE(questions[[#This Row],[qno]]),VALUE(stable[qno]),0))</f>
        <v>0</v>
      </c>
      <c r="N552" s="9" t="b" cm="1">
        <f t="array" ref="N552">INDEX(stable[is_free_text],MATCH(VALUE(questions[[#This Row],[qno]]),VALUE(stable[qno]),0))</f>
        <v>0</v>
      </c>
      <c r="O552" s="9" t="b" cm="1">
        <f t="array" ref="O552">INDEX(stable[is_numerical],MATCH(VALUE(questions[[#This Row],[qno]]),VALUE(stable[qno]),0))</f>
        <v>1</v>
      </c>
      <c r="P552" s="9" t="b" cm="1">
        <f t="array" ref="P552">INDEX(stable[is_single_select],MATCH(VALUE(questions[[#This Row],[qno]]),VALUE(stable[qno]),0))</f>
        <v>0</v>
      </c>
      <c r="Q552" s="9" t="b" cm="1">
        <f t="array" ref="Q552">INDEX(stable[is_multi_select],MATCH(VALUE(questions[[#This Row],[qno]]),VALUE(stable[qno]),0))</f>
        <v>0</v>
      </c>
      <c r="R552" s="9" t="b" cm="1">
        <f t="array" ref="R552">INDEX(stable[is_skip_logic],MATCH(VALUE(questions[[#This Row],[qno]]),VALUE(stable[qno]),0))</f>
        <v>1</v>
      </c>
      <c r="S552" s="9" t="str">
        <f>_xlfn.TEXTJOIN(", ",TRUE,questions[[#This Row],[ans_opt_1]:[ans_opt_14]])</f>
        <v/>
      </c>
      <c r="AH552" s="16" t="b">
        <f>INDEX(stable[q_standard],MATCH(questions[[#This Row],[qno]],stable[qno],0))</f>
        <v>0</v>
      </c>
      <c r="AI552" s="16" t="b">
        <f>INDEX(stable[q_living_income],MATCH(questions[[#This Row],[qno]],stable[qno],0))</f>
        <v>1</v>
      </c>
      <c r="AJ552" s="16" t="b">
        <f>INDEX(stable[q_carbon],MATCH(questions[[#This Row],[qno]],stable[qno],0))</f>
        <v>1</v>
      </c>
      <c r="AK552" s="16" t="b">
        <f>INDEX(stable[q_regen_ag],MATCH(questions[[#This Row],[qno]],stable[qno],0))</f>
        <v>0</v>
      </c>
      <c r="AL552" s="16" t="b">
        <f>COUNTIFS(stable[qno],questions[[#This Row],[qno]])=1</f>
        <v>1</v>
      </c>
      <c r="AM552" s="16" t="b">
        <f>OR(questions[[#This Row],[is_fixed]],questions[[#This Row],[is_localized]],questions[[#This Row],[is_supply_chain_dependent]])</f>
        <v>1</v>
      </c>
      <c r="AN552" s="16" t="b">
        <f>COUNTIFS(questions[[#This Row],[is_automated]:[is_multi_select]],TRUE)=1</f>
        <v>1</v>
      </c>
      <c r="AO552" s="16" t="b">
        <f>IF(questions[[#This Row],[is_fixed]],questions[[#This Row],[question]]=INDEX(stable[question],MATCH(questions[[#This Row],[qno]],stable[qno],0)),TRUE)</f>
        <v>1</v>
      </c>
      <c r="AP552" s="16" t="str">
        <f>LEFT(questions[[#This Row],[question]],similarity_range)</f>
        <v>What was the total q</v>
      </c>
      <c r="AQ552" s="16" t="str">
        <f>LEFT(INDEX(stable[question],MATCH(questions[[#This Row],[qno]],stable[qno],0)),similarity_range)</f>
        <v>What was the total q</v>
      </c>
      <c r="AR552" s="16" t="b">
        <f>questions[[#This Row],[question_first_characters]]=questions[[#This Row],[stability_first_characters]]</f>
        <v>1</v>
      </c>
      <c r="AS552" s="16" t="b">
        <f>IF(OR(questions[[#This Row],[is_single_select]],questions[[#This Row],[is_multi_select]]),NOT(ISBLANK(questions[[#This Row],[answer_opt_combined]])),TRUE)</f>
        <v>1</v>
      </c>
    </row>
    <row r="553" spans="1:45" ht="15.75" customHeight="1" x14ac:dyDescent="0.25">
      <c r="A553" s="9" t="str">
        <f>_xlfn.TEXTJOIN("_",TRUE,questions[[#This Row],[origin]:[qno]])</f>
        <v>Rwanda_Arabica_Nestle_Illy_IMPACT_2024_5102</v>
      </c>
      <c r="B553" s="9" t="s">
        <v>719</v>
      </c>
      <c r="C553" s="9" t="s">
        <v>59</v>
      </c>
      <c r="D553" s="9" t="s">
        <v>720</v>
      </c>
      <c r="E553" s="9">
        <v>2024</v>
      </c>
      <c r="F553" s="36" t="s">
        <v>560</v>
      </c>
      <c r="G553" s="38" t="s">
        <v>746</v>
      </c>
      <c r="H553" s="9" t="str" cm="1">
        <f t="array" ref="H553">INDEX(stableR[question],MATCH(VALUE(questions[[#This Row],[qno]]),VALUE(stableR[qno]),0))</f>
        <v>What was the unit of the synthetic fertilizer type that you used most? (bags, kg)</v>
      </c>
      <c r="I553" s="9" t="b" cm="1">
        <f t="array" ref="I553">INDEX(stable[is_fixed],MATCH(VALUE(questions[[#This Row],[qno]]),VALUE(stable[qno]),0))</f>
        <v>0</v>
      </c>
      <c r="J553" s="9" t="b" cm="1">
        <f t="array" ref="J553">INDEX(stable[is_localized],MATCH(VALUE(questions[[#This Row],[qno]]),VALUE(stable[qno]),0))</f>
        <v>1</v>
      </c>
      <c r="K553" s="9" t="b" cm="1">
        <f t="array" ref="K553">INDEX(stable[is_supply_chain_dependent],MATCH(VALUE(questions[[#This Row],[qno]]),VALUE(stable[qno]),0))</f>
        <v>0</v>
      </c>
      <c r="L553" s="9" t="b" cm="1">
        <f t="array" ref="L553">INDEX(stable[is_mandatory],MATCH(VALUE(questions[[#This Row],[qno]]),VALUE(stable[qno]),0))</f>
        <v>0</v>
      </c>
      <c r="M553" s="9" t="b" cm="1">
        <f t="array" ref="M553">INDEX(stable[is_automated],MATCH(VALUE(questions[[#This Row],[qno]]),VALUE(stable[qno]),0))</f>
        <v>0</v>
      </c>
      <c r="N553" s="9" t="b" cm="1">
        <f t="array" ref="N553">INDEX(stable[is_free_text],MATCH(VALUE(questions[[#This Row],[qno]]),VALUE(stable[qno]),0))</f>
        <v>0</v>
      </c>
      <c r="O553" s="9" t="b" cm="1">
        <f t="array" ref="O553">INDEX(stable[is_numerical],MATCH(VALUE(questions[[#This Row],[qno]]),VALUE(stable[qno]),0))</f>
        <v>0</v>
      </c>
      <c r="P553" s="9" t="b" cm="1">
        <f t="array" ref="P553">INDEX(stable[is_single_select],MATCH(VALUE(questions[[#This Row],[qno]]),VALUE(stable[qno]),0))</f>
        <v>1</v>
      </c>
      <c r="Q553" s="9" t="b" cm="1">
        <f t="array" ref="Q553">INDEX(stable[is_multi_select],MATCH(VALUE(questions[[#This Row],[qno]]),VALUE(stable[qno]),0))</f>
        <v>0</v>
      </c>
      <c r="R553" s="9" t="b" cm="1">
        <f t="array" ref="R553">INDEX(stable[is_skip_logic],MATCH(VALUE(questions[[#This Row],[qno]]),VALUE(stable[qno]),0))</f>
        <v>1</v>
      </c>
      <c r="S553" s="9" t="str">
        <f>_xlfn.TEXTJOIN(", ",TRUE,questions[[#This Row],[ans_opt_1]:[ans_opt_14]])</f>
        <v/>
      </c>
      <c r="AH553" s="16" t="b">
        <f>INDEX(stable[q_standard],MATCH(questions[[#This Row],[qno]],stable[qno],0))</f>
        <v>0</v>
      </c>
      <c r="AI553" s="16" t="b">
        <f>INDEX(stable[q_living_income],MATCH(questions[[#This Row],[qno]],stable[qno],0))</f>
        <v>1</v>
      </c>
      <c r="AJ553" s="16" t="b">
        <f>INDEX(stable[q_carbon],MATCH(questions[[#This Row],[qno]],stable[qno],0))</f>
        <v>1</v>
      </c>
      <c r="AK553" s="16" t="b">
        <f>INDEX(stable[q_regen_ag],MATCH(questions[[#This Row],[qno]],stable[qno],0))</f>
        <v>0</v>
      </c>
      <c r="AL553" s="16" t="b">
        <f>COUNTIFS(stable[qno],questions[[#This Row],[qno]])=1</f>
        <v>1</v>
      </c>
      <c r="AM553" s="16" t="b">
        <f>OR(questions[[#This Row],[is_fixed]],questions[[#This Row],[is_localized]],questions[[#This Row],[is_supply_chain_dependent]])</f>
        <v>1</v>
      </c>
      <c r="AN553" s="16" t="b">
        <f>COUNTIFS(questions[[#This Row],[is_automated]:[is_multi_select]],TRUE)=1</f>
        <v>1</v>
      </c>
      <c r="AO553" s="16" t="b">
        <f>IF(questions[[#This Row],[is_fixed]],questions[[#This Row],[question]]=INDEX(stable[question],MATCH(questions[[#This Row],[qno]],stable[qno],0)),TRUE)</f>
        <v>1</v>
      </c>
      <c r="AP553" s="16" t="str">
        <f>LEFT(questions[[#This Row],[question]],similarity_range)</f>
        <v>Please ensure that t</v>
      </c>
      <c r="AQ553" s="16" t="str">
        <f>LEFT(INDEX(stable[question],MATCH(questions[[#This Row],[qno]],stable[qno],0)),similarity_range)</f>
        <v>What was the unit of</v>
      </c>
      <c r="AR553" s="16" t="b">
        <f>questions[[#This Row],[question_first_characters]]=questions[[#This Row],[stability_first_characters]]</f>
        <v>0</v>
      </c>
      <c r="AS553" s="16" t="b">
        <f>IF(OR(questions[[#This Row],[is_single_select]],questions[[#This Row],[is_multi_select]]),NOT(ISBLANK(questions[[#This Row],[answer_opt_combined]])),TRUE)</f>
        <v>1</v>
      </c>
    </row>
    <row r="554" spans="1:45" ht="15.75" customHeight="1" x14ac:dyDescent="0.25">
      <c r="A554" s="9" t="str">
        <f>_xlfn.TEXTJOIN("_",TRUE,questions[[#This Row],[origin]:[qno]])</f>
        <v>Rwanda_Arabica_Nestle_Illy_IMPACT_2024_5110</v>
      </c>
      <c r="B554" s="9" t="s">
        <v>719</v>
      </c>
      <c r="C554" s="9" t="s">
        <v>59</v>
      </c>
      <c r="D554" s="9" t="s">
        <v>720</v>
      </c>
      <c r="E554" s="9">
        <v>2024</v>
      </c>
      <c r="F554" s="36" t="s">
        <v>167</v>
      </c>
      <c r="G554" s="15" t="s">
        <v>747</v>
      </c>
      <c r="H554" s="9" t="str" cm="1">
        <f t="array" ref="H554">INDEX(stableR[question],MATCH(VALUE(questions[[#This Row],[qno]]),VALUE(stableR[qno]),0))</f>
        <v>What was the name of the synthetic fertilizer that you used second most, last year?</v>
      </c>
      <c r="I554" s="9" t="b" cm="1">
        <f t="array" ref="I554">INDEX(stable[is_fixed],MATCH(VALUE(questions[[#This Row],[qno]]),VALUE(stable[qno]),0))</f>
        <v>0</v>
      </c>
      <c r="J554" s="9" t="b" cm="1">
        <f t="array" ref="J554">INDEX(stable[is_localized],MATCH(VALUE(questions[[#This Row],[qno]]),VALUE(stable[qno]),0))</f>
        <v>1</v>
      </c>
      <c r="K554" s="9" t="b" cm="1">
        <f t="array" ref="K554">INDEX(stable[is_supply_chain_dependent],MATCH(VALUE(questions[[#This Row],[qno]]),VALUE(stable[qno]),0))</f>
        <v>0</v>
      </c>
      <c r="L554" s="9" t="b" cm="1">
        <f t="array" ref="L554">INDEX(stable[is_mandatory],MATCH(VALUE(questions[[#This Row],[qno]]),VALUE(stable[qno]),0))</f>
        <v>0</v>
      </c>
      <c r="M554" s="9" t="b" cm="1">
        <f t="array" ref="M554">INDEX(stable[is_automated],MATCH(VALUE(questions[[#This Row],[qno]]),VALUE(stable[qno]),0))</f>
        <v>0</v>
      </c>
      <c r="N554" s="22" t="b" cm="1">
        <f t="array" ref="N554">INDEX(stable[is_free_text],MATCH(VALUE(questions[[#This Row],[qno]]),VALUE(stable[qno]),0))</f>
        <v>0</v>
      </c>
      <c r="O554" s="9" t="b" cm="1">
        <f t="array" ref="O554">INDEX(stable[is_numerical],MATCH(VALUE(questions[[#This Row],[qno]]),VALUE(stable[qno]),0))</f>
        <v>0</v>
      </c>
      <c r="P554" s="22" t="b" cm="1">
        <f t="array" ref="P554">INDEX(stable[is_single_select],MATCH(VALUE(questions[[#This Row],[qno]]),VALUE(stable[qno]),0))</f>
        <v>1</v>
      </c>
      <c r="Q554" s="9" t="b" cm="1">
        <f t="array" ref="Q554">INDEX(stable[is_multi_select],MATCH(VALUE(questions[[#This Row],[qno]]),VALUE(stable[qno]),0))</f>
        <v>0</v>
      </c>
      <c r="R554" s="9" t="b" cm="1">
        <f t="array" ref="R554">INDEX(stable[is_skip_logic],MATCH(VALUE(questions[[#This Row],[qno]]),VALUE(stable[qno]),0))</f>
        <v>1</v>
      </c>
      <c r="S554" s="9" t="str">
        <f>_xlfn.TEXTJOIN(", ",TRUE,questions[[#This Row],[ans_opt_1]:[ans_opt_14]])</f>
        <v>Yara Milla Java (NPK 26-6-12), NPK 17-17-17, Urea (46% N), DAP (di-ammonium phosphate, 18% N)</v>
      </c>
      <c r="T554" s="9" t="s">
        <v>741</v>
      </c>
      <c r="U554" s="9" t="s">
        <v>742</v>
      </c>
      <c r="V554" s="9" t="s">
        <v>743</v>
      </c>
      <c r="W554" s="9" t="s">
        <v>744</v>
      </c>
      <c r="AH554" s="16" t="b">
        <f>INDEX(stable[q_standard],MATCH(questions[[#This Row],[qno]],stable[qno],0))</f>
        <v>0</v>
      </c>
      <c r="AI554" s="16" t="b">
        <f>INDEX(stable[q_living_income],MATCH(questions[[#This Row],[qno]],stable[qno],0))</f>
        <v>1</v>
      </c>
      <c r="AJ554" s="16" t="b">
        <f>INDEX(stable[q_carbon],MATCH(questions[[#This Row],[qno]],stable[qno],0))</f>
        <v>1</v>
      </c>
      <c r="AK554" s="16" t="b">
        <f>INDEX(stable[q_regen_ag],MATCH(questions[[#This Row],[qno]],stable[qno],0))</f>
        <v>0</v>
      </c>
      <c r="AL554" s="16" t="b">
        <f>COUNTIFS(stable[qno],questions[[#This Row],[qno]])=1</f>
        <v>1</v>
      </c>
      <c r="AM554" s="16" t="b">
        <f>OR(questions[[#This Row],[is_fixed]],questions[[#This Row],[is_localized]],questions[[#This Row],[is_supply_chain_dependent]])</f>
        <v>1</v>
      </c>
      <c r="AN554" s="16" t="b">
        <f>COUNTIFS(questions[[#This Row],[is_automated]:[is_multi_select]],TRUE)=1</f>
        <v>1</v>
      </c>
      <c r="AO554" s="16" t="b">
        <f>IF(questions[[#This Row],[is_fixed]],questions[[#This Row],[question]]=INDEX(stable[question],MATCH(questions[[#This Row],[qno]],stable[qno],0)),TRUE)</f>
        <v>1</v>
      </c>
      <c r="AP554" s="16" t="str">
        <f>LEFT(questions[[#This Row],[question]],similarity_range)</f>
        <v xml:space="preserve">What is the name of </v>
      </c>
      <c r="AQ554" s="16" t="str">
        <f>LEFT(INDEX(stable[question],MATCH(questions[[#This Row],[qno]],stable[qno],0)),similarity_range)</f>
        <v xml:space="preserve">What is the name of </v>
      </c>
      <c r="AR554" s="16" t="b">
        <f>questions[[#This Row],[question_first_characters]]=questions[[#This Row],[stability_first_characters]]</f>
        <v>1</v>
      </c>
      <c r="AS554" s="16" t="b">
        <f>IF(OR(questions[[#This Row],[is_single_select]],questions[[#This Row],[is_multi_select]]),NOT(ISBLANK(questions[[#This Row],[answer_opt_combined]])),TRUE)</f>
        <v>1</v>
      </c>
    </row>
    <row r="555" spans="1:45" ht="15.75" customHeight="1" x14ac:dyDescent="0.25">
      <c r="A555" s="9" t="str">
        <f>_xlfn.TEXTJOIN("_",TRUE,questions[[#This Row],[origin]:[qno]])</f>
        <v>Rwanda_Arabica_Nestle_Illy_IMPACT_2024_5111</v>
      </c>
      <c r="B555" s="9" t="s">
        <v>719</v>
      </c>
      <c r="C555" s="9" t="s">
        <v>59</v>
      </c>
      <c r="D555" s="9" t="s">
        <v>720</v>
      </c>
      <c r="E555" s="9">
        <v>2024</v>
      </c>
      <c r="F555" s="36" t="s">
        <v>169</v>
      </c>
      <c r="G555" s="37" t="s">
        <v>748</v>
      </c>
      <c r="H555" s="9" t="str" cm="1">
        <f t="array" ref="H555">INDEX(stableR[question],MATCH(VALUE(questions[[#This Row],[qno]]),VALUE(stableR[qno]),0))</f>
        <v>What was the total quantity of the synthetic fertilizer that you used second most, last year? (Kg)</v>
      </c>
      <c r="I555" s="9" t="b" cm="1">
        <f t="array" ref="I555">INDEX(stable[is_fixed],MATCH(VALUE(questions[[#This Row],[qno]]),VALUE(stable[qno]),0))</f>
        <v>0</v>
      </c>
      <c r="J555" s="9" t="b" cm="1">
        <f t="array" ref="J555">INDEX(stable[is_localized],MATCH(VALUE(questions[[#This Row],[qno]]),VALUE(stable[qno]),0))</f>
        <v>1</v>
      </c>
      <c r="K555" s="9" t="b" cm="1">
        <f t="array" ref="K555">INDEX(stable[is_supply_chain_dependent],MATCH(VALUE(questions[[#This Row],[qno]]),VALUE(stable[qno]),0))</f>
        <v>0</v>
      </c>
      <c r="L555" s="9" t="b" cm="1">
        <f t="array" ref="L555">INDEX(stable[is_mandatory],MATCH(VALUE(questions[[#This Row],[qno]]),VALUE(stable[qno]),0))</f>
        <v>0</v>
      </c>
      <c r="M555" s="9" t="b" cm="1">
        <f t="array" ref="M555">INDEX(stable[is_automated],MATCH(VALUE(questions[[#This Row],[qno]]),VALUE(stable[qno]),0))</f>
        <v>0</v>
      </c>
      <c r="N555" s="9" t="b" cm="1">
        <f t="array" ref="N555">INDEX(stable[is_free_text],MATCH(VALUE(questions[[#This Row],[qno]]),VALUE(stable[qno]),0))</f>
        <v>0</v>
      </c>
      <c r="O555" s="9" t="b" cm="1">
        <f t="array" ref="O555">INDEX(stable[is_numerical],MATCH(VALUE(questions[[#This Row],[qno]]),VALUE(stable[qno]),0))</f>
        <v>1</v>
      </c>
      <c r="P555" s="9" t="b" cm="1">
        <f t="array" ref="P555">INDEX(stable[is_single_select],MATCH(VALUE(questions[[#This Row],[qno]]),VALUE(stable[qno]),0))</f>
        <v>0</v>
      </c>
      <c r="Q555" s="9" t="b" cm="1">
        <f t="array" ref="Q555">INDEX(stable[is_multi_select],MATCH(VALUE(questions[[#This Row],[qno]]),VALUE(stable[qno]),0))</f>
        <v>0</v>
      </c>
      <c r="R555" s="9" t="b" cm="1">
        <f t="array" ref="R555">INDEX(stable[is_skip_logic],MATCH(VALUE(questions[[#This Row],[qno]]),VALUE(stable[qno]),0))</f>
        <v>1</v>
      </c>
      <c r="S555" s="9" t="str">
        <f>_xlfn.TEXTJOIN(", ",TRUE,questions[[#This Row],[ans_opt_1]:[ans_opt_14]])</f>
        <v/>
      </c>
      <c r="AH555" s="16" t="b">
        <f>INDEX(stable[q_standard],MATCH(questions[[#This Row],[qno]],stable[qno],0))</f>
        <v>0</v>
      </c>
      <c r="AI555" s="16" t="b">
        <f>INDEX(stable[q_living_income],MATCH(questions[[#This Row],[qno]],stable[qno],0))</f>
        <v>1</v>
      </c>
      <c r="AJ555" s="16" t="b">
        <f>INDEX(stable[q_carbon],MATCH(questions[[#This Row],[qno]],stable[qno],0))</f>
        <v>1</v>
      </c>
      <c r="AK555" s="16" t="b">
        <f>INDEX(stable[q_regen_ag],MATCH(questions[[#This Row],[qno]],stable[qno],0))</f>
        <v>0</v>
      </c>
      <c r="AL555" s="16" t="b">
        <f>COUNTIFS(stable[qno],questions[[#This Row],[qno]])=1</f>
        <v>1</v>
      </c>
      <c r="AM555" s="16" t="b">
        <f>OR(questions[[#This Row],[is_fixed]],questions[[#This Row],[is_localized]],questions[[#This Row],[is_supply_chain_dependent]])</f>
        <v>1</v>
      </c>
      <c r="AN555" s="16" t="b">
        <f>COUNTIFS(questions[[#This Row],[is_automated]:[is_multi_select]],TRUE)=1</f>
        <v>1</v>
      </c>
      <c r="AO555" s="16" t="b">
        <f>IF(questions[[#This Row],[is_fixed]],questions[[#This Row],[question]]=INDEX(stable[question],MATCH(questions[[#This Row],[qno]],stable[qno],0)),TRUE)</f>
        <v>1</v>
      </c>
      <c r="AP555" s="16" t="str">
        <f>LEFT(questions[[#This Row],[question]],similarity_range)</f>
        <v>What was the total q</v>
      </c>
      <c r="AQ555" s="16" t="str">
        <f>LEFT(INDEX(stable[question],MATCH(questions[[#This Row],[qno]],stable[qno],0)),similarity_range)</f>
        <v>What was the total q</v>
      </c>
      <c r="AR555" s="16" t="b">
        <f>questions[[#This Row],[question_first_characters]]=questions[[#This Row],[stability_first_characters]]</f>
        <v>1</v>
      </c>
      <c r="AS555" s="16" t="b">
        <f>IF(OR(questions[[#This Row],[is_single_select]],questions[[#This Row],[is_multi_select]]),NOT(ISBLANK(questions[[#This Row],[answer_opt_combined]])),TRUE)</f>
        <v>1</v>
      </c>
    </row>
    <row r="556" spans="1:45" ht="15.75" customHeight="1" x14ac:dyDescent="0.25">
      <c r="A556" s="9" t="str">
        <f>_xlfn.TEXTJOIN("_",TRUE,questions[[#This Row],[origin]:[qno]])</f>
        <v>Rwanda_Arabica_Nestle_Illy_IMPACT_2024_5112</v>
      </c>
      <c r="B556" s="9" t="s">
        <v>719</v>
      </c>
      <c r="C556" s="9" t="s">
        <v>59</v>
      </c>
      <c r="D556" s="9" t="s">
        <v>720</v>
      </c>
      <c r="E556" s="9">
        <v>2024</v>
      </c>
      <c r="F556" s="36" t="s">
        <v>567</v>
      </c>
      <c r="G556" s="38" t="s">
        <v>749</v>
      </c>
      <c r="H556" s="9" t="str" cm="1">
        <f t="array" ref="H556">INDEX(stableR[question],MATCH(VALUE(questions[[#This Row],[qno]]),VALUE(stableR[qno]),0))</f>
        <v>What was the unit of the synthetic fertilizer type that you used second most ? (bags, kg)</v>
      </c>
      <c r="I556" s="9" t="b" cm="1">
        <f t="array" ref="I556">INDEX(stable[is_fixed],MATCH(VALUE(questions[[#This Row],[qno]]),VALUE(stable[qno]),0))</f>
        <v>0</v>
      </c>
      <c r="J556" s="9" t="b" cm="1">
        <f t="array" ref="J556">INDEX(stable[is_localized],MATCH(VALUE(questions[[#This Row],[qno]]),VALUE(stable[qno]),0))</f>
        <v>1</v>
      </c>
      <c r="K556" s="9" t="b" cm="1">
        <f t="array" ref="K556">INDEX(stable[is_supply_chain_dependent],MATCH(VALUE(questions[[#This Row],[qno]]),VALUE(stable[qno]),0))</f>
        <v>0</v>
      </c>
      <c r="L556" s="9" t="b" cm="1">
        <f t="array" ref="L556">INDEX(stable[is_mandatory],MATCH(VALUE(questions[[#This Row],[qno]]),VALUE(stable[qno]),0))</f>
        <v>0</v>
      </c>
      <c r="M556" s="9" t="b" cm="1">
        <f t="array" ref="M556">INDEX(stable[is_automated],MATCH(VALUE(questions[[#This Row],[qno]]),VALUE(stable[qno]),0))</f>
        <v>0</v>
      </c>
      <c r="N556" s="9" t="b" cm="1">
        <f t="array" ref="N556">INDEX(stable[is_free_text],MATCH(VALUE(questions[[#This Row],[qno]]),VALUE(stable[qno]),0))</f>
        <v>0</v>
      </c>
      <c r="O556" s="9" t="b" cm="1">
        <f t="array" ref="O556">INDEX(stable[is_numerical],MATCH(VALUE(questions[[#This Row],[qno]]),VALUE(stable[qno]),0))</f>
        <v>0</v>
      </c>
      <c r="P556" s="9" t="b" cm="1">
        <f t="array" ref="P556">INDEX(stable[is_single_select],MATCH(VALUE(questions[[#This Row],[qno]]),VALUE(stable[qno]),0))</f>
        <v>1</v>
      </c>
      <c r="Q556" s="9" t="b" cm="1">
        <f t="array" ref="Q556">INDEX(stable[is_multi_select],MATCH(VALUE(questions[[#This Row],[qno]]),VALUE(stable[qno]),0))</f>
        <v>0</v>
      </c>
      <c r="R556" s="9" t="b" cm="1">
        <f t="array" ref="R556">INDEX(stable[is_skip_logic],MATCH(VALUE(questions[[#This Row],[qno]]),VALUE(stable[qno]),0))</f>
        <v>1</v>
      </c>
      <c r="S556" s="9" t="str">
        <f>_xlfn.TEXTJOIN(", ",TRUE,questions[[#This Row],[ans_opt_1]:[ans_opt_14]])</f>
        <v/>
      </c>
      <c r="AH556" s="16" t="b">
        <f>INDEX(stable[q_standard],MATCH(questions[[#This Row],[qno]],stable[qno],0))</f>
        <v>0</v>
      </c>
      <c r="AI556" s="16" t="b">
        <f>INDEX(stable[q_living_income],MATCH(questions[[#This Row],[qno]],stable[qno],0))</f>
        <v>1</v>
      </c>
      <c r="AJ556" s="16" t="b">
        <f>INDEX(stable[q_carbon],MATCH(questions[[#This Row],[qno]],stable[qno],0))</f>
        <v>1</v>
      </c>
      <c r="AK556" s="16" t="b">
        <f>INDEX(stable[q_regen_ag],MATCH(questions[[#This Row],[qno]],stable[qno],0))</f>
        <v>0</v>
      </c>
      <c r="AL556" s="16" t="b">
        <f>COUNTIFS(stable[qno],questions[[#This Row],[qno]])=1</f>
        <v>1</v>
      </c>
      <c r="AM556" s="16" t="b">
        <f>OR(questions[[#This Row],[is_fixed]],questions[[#This Row],[is_localized]],questions[[#This Row],[is_supply_chain_dependent]])</f>
        <v>1</v>
      </c>
      <c r="AN556" s="16" t="b">
        <f>COUNTIFS(questions[[#This Row],[is_automated]:[is_multi_select]],TRUE)=1</f>
        <v>1</v>
      </c>
      <c r="AO556" s="16" t="b">
        <f>IF(questions[[#This Row],[is_fixed]],questions[[#This Row],[question]]=INDEX(stable[question],MATCH(questions[[#This Row],[qno]],stable[qno],0)),TRUE)</f>
        <v>1</v>
      </c>
      <c r="AP556" s="16" t="str">
        <f>LEFT(questions[[#This Row],[question]],similarity_range)</f>
        <v>Please ensure that t</v>
      </c>
      <c r="AQ556" s="16" t="str">
        <f>LEFT(INDEX(stable[question],MATCH(questions[[#This Row],[qno]],stable[qno],0)),similarity_range)</f>
        <v>What was the unit of</v>
      </c>
      <c r="AR556" s="16" t="b">
        <f>questions[[#This Row],[question_first_characters]]=questions[[#This Row],[stability_first_characters]]</f>
        <v>0</v>
      </c>
      <c r="AS556" s="16" t="b">
        <f>IF(OR(questions[[#This Row],[is_single_select]],questions[[#This Row],[is_multi_select]]),NOT(ISBLANK(questions[[#This Row],[answer_opt_combined]])),TRUE)</f>
        <v>1</v>
      </c>
    </row>
    <row r="557" spans="1:45" ht="15.75" customHeight="1" x14ac:dyDescent="0.25">
      <c r="A557" s="9" t="str">
        <f>_xlfn.TEXTJOIN("_",TRUE,questions[[#This Row],[origin]:[qno]])</f>
        <v>Rwanda_Arabica_Nestle_Illy_IMPACT_2024_5140</v>
      </c>
      <c r="B557" s="9" t="s">
        <v>719</v>
      </c>
      <c r="C557" s="9" t="s">
        <v>59</v>
      </c>
      <c r="D557" s="9" t="s">
        <v>720</v>
      </c>
      <c r="E557" s="9">
        <v>2024</v>
      </c>
      <c r="F557" s="36" t="s">
        <v>171</v>
      </c>
      <c r="G557" s="15" t="s">
        <v>172</v>
      </c>
      <c r="H557" s="9" t="str" cm="1">
        <f t="array" ref="H557">INDEX(stableR[question],MATCH(VALUE(questions[[#This Row],[qno]]),VALUE(stableR[qno]),0))</f>
        <v>Did you use Limestone or Dolomitic Limestone (Dolomite) last year?</v>
      </c>
      <c r="I557" s="9" t="b" cm="1">
        <f t="array" ref="I557">INDEX(stable[is_fixed],MATCH(VALUE(questions[[#This Row],[qno]]),VALUE(stable[qno]),0))</f>
        <v>1</v>
      </c>
      <c r="J557" s="9" t="b" cm="1">
        <f t="array" ref="J557">INDEX(stable[is_localized],MATCH(VALUE(questions[[#This Row],[qno]]),VALUE(stable[qno]),0))</f>
        <v>1</v>
      </c>
      <c r="K557" s="9" t="b" cm="1">
        <f t="array" ref="K557">INDEX(stable[is_supply_chain_dependent],MATCH(VALUE(questions[[#This Row],[qno]]),VALUE(stable[qno]),0))</f>
        <v>0</v>
      </c>
      <c r="L557" s="9" t="b" cm="1">
        <f t="array" ref="L557">INDEX(stable[is_mandatory],MATCH(VALUE(questions[[#This Row],[qno]]),VALUE(stable[qno]),0))</f>
        <v>1</v>
      </c>
      <c r="M557" s="9" t="b" cm="1">
        <f t="array" ref="M557">INDEX(stable[is_automated],MATCH(VALUE(questions[[#This Row],[qno]]),VALUE(stable[qno]),0))</f>
        <v>0</v>
      </c>
      <c r="N557" s="9" t="b" cm="1">
        <f t="array" ref="N557">INDEX(stable[is_free_text],MATCH(VALUE(questions[[#This Row],[qno]]),VALUE(stable[qno]),0))</f>
        <v>0</v>
      </c>
      <c r="O557" s="9" t="b" cm="1">
        <f t="array" ref="O557">INDEX(stable[is_numerical],MATCH(VALUE(questions[[#This Row],[qno]]),VALUE(stable[qno]),0))</f>
        <v>0</v>
      </c>
      <c r="P557" s="9" t="b" cm="1">
        <f t="array" ref="P557">INDEX(stable[is_single_select],MATCH(VALUE(questions[[#This Row],[qno]]),VALUE(stable[qno]),0))</f>
        <v>1</v>
      </c>
      <c r="Q557" s="9" t="b" cm="1">
        <f t="array" ref="Q557">INDEX(stable[is_multi_select],MATCH(VALUE(questions[[#This Row],[qno]]),VALUE(stable[qno]),0))</f>
        <v>0</v>
      </c>
      <c r="R557" s="9" t="b" cm="1">
        <f t="array" ref="R557">INDEX(stable[is_skip_logic],MATCH(VALUE(questions[[#This Row],[qno]]),VALUE(stable[qno]),0))</f>
        <v>1</v>
      </c>
      <c r="S557" s="9" t="str">
        <f>_xlfn.TEXTJOIN(", ",TRUE,questions[[#This Row],[ans_opt_1]:[ans_opt_14]])</f>
        <v/>
      </c>
      <c r="AH557" s="16" t="b">
        <f>INDEX(stable[q_standard],MATCH(questions[[#This Row],[qno]],stable[qno],0))</f>
        <v>0</v>
      </c>
      <c r="AI557" s="16" t="b">
        <f>INDEX(stable[q_living_income],MATCH(questions[[#This Row],[qno]],stable[qno],0))</f>
        <v>1</v>
      </c>
      <c r="AJ557" s="16" t="b">
        <f>INDEX(stable[q_carbon],MATCH(questions[[#This Row],[qno]],stable[qno],0))</f>
        <v>1</v>
      </c>
      <c r="AK557" s="16" t="b">
        <f>INDEX(stable[q_regen_ag],MATCH(questions[[#This Row],[qno]],stable[qno],0))</f>
        <v>0</v>
      </c>
      <c r="AL557" s="16" t="b">
        <f>COUNTIFS(stable[qno],questions[[#This Row],[qno]])=1</f>
        <v>1</v>
      </c>
      <c r="AM557" s="16" t="b">
        <f>OR(questions[[#This Row],[is_fixed]],questions[[#This Row],[is_localized]],questions[[#This Row],[is_supply_chain_dependent]])</f>
        <v>1</v>
      </c>
      <c r="AN557" s="16" t="b">
        <f>COUNTIFS(questions[[#This Row],[is_automated]:[is_multi_select]],TRUE)=1</f>
        <v>1</v>
      </c>
      <c r="AO557" s="16" t="b">
        <f>IF(questions[[#This Row],[is_fixed]],questions[[#This Row],[question]]=INDEX(stable[question],MATCH(questions[[#This Row],[qno]],stable[qno],0)),TRUE)</f>
        <v>0</v>
      </c>
      <c r="AP557" s="16" t="str">
        <f>LEFT(questions[[#This Row],[question]],similarity_range)</f>
        <v>Is there any other t</v>
      </c>
      <c r="AQ557" s="16" t="str">
        <f>LEFT(INDEX(stable[question],MATCH(questions[[#This Row],[qno]],stable[qno],0)),similarity_range)</f>
        <v>Did you use Limeston</v>
      </c>
      <c r="AR557" s="16" t="b">
        <f>questions[[#This Row],[question_first_characters]]=questions[[#This Row],[stability_first_characters]]</f>
        <v>0</v>
      </c>
      <c r="AS557" s="16" t="b">
        <f>IF(OR(questions[[#This Row],[is_single_select]],questions[[#This Row],[is_multi_select]]),NOT(ISBLANK(questions[[#This Row],[answer_opt_combined]])),TRUE)</f>
        <v>1</v>
      </c>
    </row>
    <row r="558" spans="1:45" ht="15.75" customHeight="1" x14ac:dyDescent="0.25">
      <c r="A558" s="9" t="str">
        <f>_xlfn.TEXTJOIN("_",TRUE,questions[[#This Row],[origin]:[qno]])</f>
        <v>Rwanda_Arabica_Nestle_Illy_IMPACT_2024_5141</v>
      </c>
      <c r="B558" s="9" t="s">
        <v>719</v>
      </c>
      <c r="C558" s="9" t="s">
        <v>59</v>
      </c>
      <c r="D558" s="9" t="s">
        <v>720</v>
      </c>
      <c r="E558" s="9">
        <v>2024</v>
      </c>
      <c r="F558" s="36" t="s">
        <v>750</v>
      </c>
      <c r="G558" s="37" t="s">
        <v>751</v>
      </c>
      <c r="H558" s="9" t="str" cm="1">
        <f t="array" ref="H558">INDEX(stableR[question],MATCH(VALUE(questions[[#This Row],[qno]]),VALUE(stableR[qno]),0))</f>
        <v>What was the total quantity of the Limestone or Dolomitic Limestone (Dolomite) that you used last year? (Kg)</v>
      </c>
      <c r="I558" s="9" t="b" cm="1">
        <f t="array" ref="I558">INDEX(stable[is_fixed],MATCH(VALUE(questions[[#This Row],[qno]]),VALUE(stable[qno]),0))</f>
        <v>0</v>
      </c>
      <c r="J558" s="9" t="b" cm="1">
        <f t="array" ref="J558">INDEX(stable[is_localized],MATCH(VALUE(questions[[#This Row],[qno]]),VALUE(stable[qno]),0))</f>
        <v>1</v>
      </c>
      <c r="K558" s="9" t="b" cm="1">
        <f t="array" ref="K558">INDEX(stable[is_supply_chain_dependent],MATCH(VALUE(questions[[#This Row],[qno]]),VALUE(stable[qno]),0))</f>
        <v>0</v>
      </c>
      <c r="L558" s="9" t="b" cm="1">
        <f t="array" ref="L558">INDEX(stable[is_mandatory],MATCH(VALUE(questions[[#This Row],[qno]]),VALUE(stable[qno]),0))</f>
        <v>0</v>
      </c>
      <c r="M558" s="9" t="b" cm="1">
        <f t="array" ref="M558">INDEX(stable[is_automated],MATCH(VALUE(questions[[#This Row],[qno]]),VALUE(stable[qno]),0))</f>
        <v>0</v>
      </c>
      <c r="N558" s="9" t="b" cm="1">
        <f t="array" ref="N558">INDEX(stable[is_free_text],MATCH(VALUE(questions[[#This Row],[qno]]),VALUE(stable[qno]),0))</f>
        <v>0</v>
      </c>
      <c r="O558" s="9" t="b" cm="1">
        <f t="array" ref="O558">INDEX(stable[is_numerical],MATCH(VALUE(questions[[#This Row],[qno]]),VALUE(stable[qno]),0))</f>
        <v>1</v>
      </c>
      <c r="P558" s="9" t="b" cm="1">
        <f t="array" ref="P558">INDEX(stable[is_single_select],MATCH(VALUE(questions[[#This Row],[qno]]),VALUE(stable[qno]),0))</f>
        <v>0</v>
      </c>
      <c r="Q558" s="9" t="b" cm="1">
        <f t="array" ref="Q558">INDEX(stable[is_multi_select],MATCH(VALUE(questions[[#This Row],[qno]]),VALUE(stable[qno]),0))</f>
        <v>0</v>
      </c>
      <c r="R558" s="9" t="b" cm="1">
        <f t="array" ref="R558">INDEX(stable[is_skip_logic],MATCH(VALUE(questions[[#This Row],[qno]]),VALUE(stable[qno]),0))</f>
        <v>1</v>
      </c>
      <c r="S558" s="9" t="str">
        <f>_xlfn.TEXTJOIN(", ",TRUE,questions[[#This Row],[ans_opt_1]:[ans_opt_14]])</f>
        <v/>
      </c>
      <c r="AH558" s="16" t="b">
        <f>INDEX(stable[q_standard],MATCH(questions[[#This Row],[qno]],stable[qno],0))</f>
        <v>0</v>
      </c>
      <c r="AI558" s="16" t="b">
        <f>INDEX(stable[q_living_income],MATCH(questions[[#This Row],[qno]],stable[qno],0))</f>
        <v>1</v>
      </c>
      <c r="AJ558" s="16" t="b">
        <f>INDEX(stable[q_carbon],MATCH(questions[[#This Row],[qno]],stable[qno],0))</f>
        <v>1</v>
      </c>
      <c r="AK558" s="16" t="b">
        <f>INDEX(stable[q_regen_ag],MATCH(questions[[#This Row],[qno]],stable[qno],0))</f>
        <v>0</v>
      </c>
      <c r="AL558" s="16" t="b">
        <f>COUNTIFS(stable[qno],questions[[#This Row],[qno]])=1</f>
        <v>1</v>
      </c>
      <c r="AM558" s="16" t="b">
        <f>OR(questions[[#This Row],[is_fixed]],questions[[#This Row],[is_localized]],questions[[#This Row],[is_supply_chain_dependent]])</f>
        <v>1</v>
      </c>
      <c r="AN558" s="16" t="b">
        <f>COUNTIFS(questions[[#This Row],[is_automated]:[is_multi_select]],TRUE)=1</f>
        <v>1</v>
      </c>
      <c r="AO558" s="16" t="b">
        <f>IF(questions[[#This Row],[is_fixed]],questions[[#This Row],[question]]=INDEX(stable[question],MATCH(questions[[#This Row],[qno]],stable[qno],0)),TRUE)</f>
        <v>1</v>
      </c>
      <c r="AP558" s="16" t="str">
        <f>LEFT(questions[[#This Row],[question]],similarity_range)</f>
        <v>What was the total q</v>
      </c>
      <c r="AQ558" s="16" t="str">
        <f>LEFT(INDEX(stable[question],MATCH(questions[[#This Row],[qno]],stable[qno],0)),similarity_range)</f>
        <v>What was the total q</v>
      </c>
      <c r="AR558" s="16" t="b">
        <f>questions[[#This Row],[question_first_characters]]=questions[[#This Row],[stability_first_characters]]</f>
        <v>1</v>
      </c>
      <c r="AS558" s="16" t="b">
        <f>IF(OR(questions[[#This Row],[is_single_select]],questions[[#This Row],[is_multi_select]]),NOT(ISBLANK(questions[[#This Row],[answer_opt_combined]])),TRUE)</f>
        <v>1</v>
      </c>
    </row>
    <row r="559" spans="1:45" ht="15.75" customHeight="1" x14ac:dyDescent="0.25">
      <c r="A559" s="9" t="str">
        <f>_xlfn.TEXTJOIN("_",TRUE,questions[[#This Row],[origin]:[qno]])</f>
        <v>Rwanda_Arabica_Nestle_Illy_IMPACT_2024_5142</v>
      </c>
      <c r="B559" s="9" t="s">
        <v>719</v>
      </c>
      <c r="C559" s="9" t="s">
        <v>59</v>
      </c>
      <c r="D559" s="9" t="s">
        <v>720</v>
      </c>
      <c r="E559" s="9">
        <v>2024</v>
      </c>
      <c r="F559" s="36" t="s">
        <v>692</v>
      </c>
      <c r="G559" s="38" t="s">
        <v>752</v>
      </c>
      <c r="H559" s="9" t="str" cm="1">
        <f t="array" ref="H559">INDEX(stableR[question],MATCH(VALUE(questions[[#This Row],[qno]]),VALUE(stableR[qno]),0))</f>
        <v>What was the unit of the Limestone or Dolomitic Limestone (Dolomite)? (bags, kg)</v>
      </c>
      <c r="I559" s="9" t="b" cm="1">
        <f t="array" ref="I559">INDEX(stable[is_fixed],MATCH(VALUE(questions[[#This Row],[qno]]),VALUE(stable[qno]),0))</f>
        <v>0</v>
      </c>
      <c r="J559" s="9" t="b" cm="1">
        <f t="array" ref="J559">INDEX(stable[is_localized],MATCH(VALUE(questions[[#This Row],[qno]]),VALUE(stable[qno]),0))</f>
        <v>1</v>
      </c>
      <c r="K559" s="9" t="b" cm="1">
        <f t="array" ref="K559">INDEX(stable[is_supply_chain_dependent],MATCH(VALUE(questions[[#This Row],[qno]]),VALUE(stable[qno]),0))</f>
        <v>0</v>
      </c>
      <c r="L559" s="9" t="b" cm="1">
        <f t="array" ref="L559">INDEX(stable[is_mandatory],MATCH(VALUE(questions[[#This Row],[qno]]),VALUE(stable[qno]),0))</f>
        <v>0</v>
      </c>
      <c r="M559" s="9" t="b" cm="1">
        <f t="array" ref="M559">INDEX(stable[is_automated],MATCH(VALUE(questions[[#This Row],[qno]]),VALUE(stable[qno]),0))</f>
        <v>0</v>
      </c>
      <c r="N559" s="9" t="b" cm="1">
        <f t="array" ref="N559">INDEX(stable[is_free_text],MATCH(VALUE(questions[[#This Row],[qno]]),VALUE(stable[qno]),0))</f>
        <v>0</v>
      </c>
      <c r="O559" s="9" t="b" cm="1">
        <f t="array" ref="O559">INDEX(stable[is_numerical],MATCH(VALUE(questions[[#This Row],[qno]]),VALUE(stable[qno]),0))</f>
        <v>0</v>
      </c>
      <c r="P559" s="9" t="b" cm="1">
        <f t="array" ref="P559">INDEX(stable[is_single_select],MATCH(VALUE(questions[[#This Row],[qno]]),VALUE(stable[qno]),0))</f>
        <v>1</v>
      </c>
      <c r="Q559" s="9" t="b" cm="1">
        <f t="array" ref="Q559">INDEX(stable[is_multi_select],MATCH(VALUE(questions[[#This Row],[qno]]),VALUE(stable[qno]),0))</f>
        <v>0</v>
      </c>
      <c r="R559" s="9" t="b" cm="1">
        <f t="array" ref="R559">INDEX(stable[is_skip_logic],MATCH(VALUE(questions[[#This Row],[qno]]),VALUE(stable[qno]),0))</f>
        <v>1</v>
      </c>
      <c r="S559" s="9" t="str">
        <f>_xlfn.TEXTJOIN(", ",TRUE,questions[[#This Row],[ans_opt_1]:[ans_opt_14]])</f>
        <v/>
      </c>
      <c r="AH559" s="16" t="b">
        <f>INDEX(stable[q_standard],MATCH(questions[[#This Row],[qno]],stable[qno],0))</f>
        <v>0</v>
      </c>
      <c r="AI559" s="16" t="b">
        <f>INDEX(stable[q_living_income],MATCH(questions[[#This Row],[qno]],stable[qno],0))</f>
        <v>1</v>
      </c>
      <c r="AJ559" s="16" t="b">
        <f>INDEX(stable[q_carbon],MATCH(questions[[#This Row],[qno]],stable[qno],0))</f>
        <v>1</v>
      </c>
      <c r="AK559" s="16" t="b">
        <f>INDEX(stable[q_regen_ag],MATCH(questions[[#This Row],[qno]],stable[qno],0))</f>
        <v>0</v>
      </c>
      <c r="AL559" s="16" t="b">
        <f>COUNTIFS(stable[qno],questions[[#This Row],[qno]])=1</f>
        <v>1</v>
      </c>
      <c r="AM559" s="16" t="b">
        <f>OR(questions[[#This Row],[is_fixed]],questions[[#This Row],[is_localized]],questions[[#This Row],[is_supply_chain_dependent]])</f>
        <v>1</v>
      </c>
      <c r="AN559" s="16" t="b">
        <f>COUNTIFS(questions[[#This Row],[is_automated]:[is_multi_select]],TRUE)=1</f>
        <v>1</v>
      </c>
      <c r="AO559" s="16" t="b">
        <f>IF(questions[[#This Row],[is_fixed]],questions[[#This Row],[question]]=INDEX(stable[question],MATCH(questions[[#This Row],[qno]],stable[qno],0)),TRUE)</f>
        <v>1</v>
      </c>
      <c r="AP559" s="16" t="str">
        <f>LEFT(questions[[#This Row],[question]],similarity_range)</f>
        <v>Please ensure that t</v>
      </c>
      <c r="AQ559" s="16" t="str">
        <f>LEFT(INDEX(stable[question],MATCH(questions[[#This Row],[qno]],stable[qno],0)),similarity_range)</f>
        <v>What was the unit of</v>
      </c>
      <c r="AR559" s="16" t="b">
        <f>questions[[#This Row],[question_first_characters]]=questions[[#This Row],[stability_first_characters]]</f>
        <v>0</v>
      </c>
      <c r="AS559" s="16" t="b">
        <f>IF(OR(questions[[#This Row],[is_single_select]],questions[[#This Row],[is_multi_select]]),NOT(ISBLANK(questions[[#This Row],[answer_opt_combined]])),TRUE)</f>
        <v>1</v>
      </c>
    </row>
    <row r="560" spans="1:45" s="77" customFormat="1" ht="15.75" customHeight="1" x14ac:dyDescent="0.25">
      <c r="A560" s="77" t="str">
        <f>_xlfn.TEXTJOIN("_",TRUE,questions[[#This Row],[origin]:[qno]])</f>
        <v>Rwanda_Arabica_Nestle_Illy_IMPACT_2024_5400</v>
      </c>
      <c r="B560" s="77" t="s">
        <v>719</v>
      </c>
      <c r="C560" s="77" t="s">
        <v>59</v>
      </c>
      <c r="D560" s="77" t="s">
        <v>720</v>
      </c>
      <c r="E560" s="77">
        <v>2024</v>
      </c>
      <c r="F560" s="105" t="s">
        <v>175</v>
      </c>
      <c r="G560" s="78" t="s">
        <v>176</v>
      </c>
      <c r="H560" s="9" t="str" cm="1">
        <f t="array" ref="H560">INDEX(stableR[question],MATCH(VALUE(questions[[#This Row],[qno]]),VALUE(stableR[qno]),0))</f>
        <v>Did you use any type of animal manure, compost, or organic fertilizers for your coffee last year?</v>
      </c>
      <c r="I560" s="9" t="b" cm="1">
        <f t="array" ref="I560">INDEX(stable[is_fixed],MATCH(VALUE(questions[[#This Row],[qno]]),VALUE(stable[qno]),0))</f>
        <v>1</v>
      </c>
      <c r="J560" s="9" t="b" cm="1">
        <f t="array" ref="J560">INDEX(stable[is_localized],MATCH(VALUE(questions[[#This Row],[qno]]),VALUE(stable[qno]),0))</f>
        <v>0</v>
      </c>
      <c r="K560" s="9" t="b" cm="1">
        <f t="array" ref="K560">INDEX(stable[is_supply_chain_dependent],MATCH(VALUE(questions[[#This Row],[qno]]),VALUE(stable[qno]),0))</f>
        <v>0</v>
      </c>
      <c r="L560" s="9" t="b" cm="1">
        <f t="array" ref="L560">INDEX(stable[is_mandatory],MATCH(VALUE(questions[[#This Row],[qno]]),VALUE(stable[qno]),0))</f>
        <v>1</v>
      </c>
      <c r="M560" s="9" t="b" cm="1">
        <f t="array" ref="M560">INDEX(stable[is_automated],MATCH(VALUE(questions[[#This Row],[qno]]),VALUE(stable[qno]),0))</f>
        <v>0</v>
      </c>
      <c r="N560" s="9" t="b" cm="1">
        <f t="array" ref="N560">INDEX(stable[is_free_text],MATCH(VALUE(questions[[#This Row],[qno]]),VALUE(stable[qno]),0))</f>
        <v>0</v>
      </c>
      <c r="O560" s="9" t="b" cm="1">
        <f t="array" ref="O560">INDEX(stable[is_numerical],MATCH(VALUE(questions[[#This Row],[qno]]),VALUE(stable[qno]),0))</f>
        <v>0</v>
      </c>
      <c r="P560" s="77" t="b" cm="1">
        <f t="array" ref="P560">INDEX(stable[is_single_select],MATCH(VALUE(questions[[#This Row],[qno]]),VALUE(stable[qno]),0))</f>
        <v>1</v>
      </c>
      <c r="Q560" s="77" t="b" cm="1">
        <f t="array" ref="Q560">INDEX(stable[is_multi_select],MATCH(VALUE(questions[[#This Row],[qno]]),VALUE(stable[qno]),0))</f>
        <v>0</v>
      </c>
      <c r="R560" s="77" t="b" cm="1">
        <f t="array" ref="R560">INDEX(stable[is_skip_logic],MATCH(VALUE(questions[[#This Row],[qno]]),VALUE(stable[qno]),0))</f>
        <v>1</v>
      </c>
      <c r="S560" s="77" t="str">
        <f>_xlfn.TEXTJOIN(", ",TRUE,questions[[#This Row],[ans_opt_1]:[ans_opt_14]])</f>
        <v>Yes, No</v>
      </c>
      <c r="T560" s="77" t="s">
        <v>149</v>
      </c>
      <c r="U560" s="77" t="s">
        <v>119</v>
      </c>
      <c r="AH560" s="98" t="b">
        <f>INDEX(stable[q_standard],MATCH(questions[[#This Row],[qno]],stable[qno],0))</f>
        <v>0</v>
      </c>
      <c r="AI560" s="98" t="b">
        <f>INDEX(stable[q_living_income],MATCH(questions[[#This Row],[qno]],stable[qno],0))</f>
        <v>1</v>
      </c>
      <c r="AJ560" s="98" t="b">
        <f>INDEX(stable[q_carbon],MATCH(questions[[#This Row],[qno]],stable[qno],0))</f>
        <v>1</v>
      </c>
      <c r="AK560" s="98" t="b">
        <f>INDEX(stable[q_regen_ag],MATCH(questions[[#This Row],[qno]],stable[qno],0))</f>
        <v>0</v>
      </c>
      <c r="AL560" s="98" t="b">
        <f>COUNTIFS(stable[qno],questions[[#This Row],[qno]])=1</f>
        <v>1</v>
      </c>
      <c r="AM560" s="98" t="b">
        <f>OR(questions[[#This Row],[is_fixed]],questions[[#This Row],[is_localized]],questions[[#This Row],[is_supply_chain_dependent]])</f>
        <v>1</v>
      </c>
      <c r="AN560" s="98" t="b">
        <f>COUNTIFS(questions[[#This Row],[is_automated]:[is_multi_select]],TRUE)=1</f>
        <v>1</v>
      </c>
      <c r="AO560" s="98" t="b">
        <f>IF(questions[[#This Row],[is_fixed]],questions[[#This Row],[question]]=INDEX(stable[question],MATCH(questions[[#This Row],[qno]],stable[qno],0)),TRUE)</f>
        <v>1</v>
      </c>
      <c r="AP560" s="98" t="str">
        <f>LEFT(questions[[#This Row],[question]],similarity_range)</f>
        <v>Did you use any type</v>
      </c>
      <c r="AQ560" s="98" t="str">
        <f>LEFT(INDEX(stable[question],MATCH(questions[[#This Row],[qno]],stable[qno],0)),similarity_range)</f>
        <v>Did you use any type</v>
      </c>
      <c r="AR560" s="98" t="b">
        <f>questions[[#This Row],[question_first_characters]]=questions[[#This Row],[stability_first_characters]]</f>
        <v>1</v>
      </c>
      <c r="AS560" s="98" t="b">
        <f>IF(OR(questions[[#This Row],[is_single_select]],questions[[#This Row],[is_multi_select]]),NOT(ISBLANK(questions[[#This Row],[answer_opt_combined]])),TRUE)</f>
        <v>1</v>
      </c>
    </row>
    <row r="561" spans="1:45" ht="15.75" customHeight="1" x14ac:dyDescent="0.25">
      <c r="A561" s="9" t="str">
        <f>_xlfn.TEXTJOIN("_",TRUE,questions[[#This Row],[origin]:[qno]])</f>
        <v>Rwanda_Arabica_Nestle_Illy_IMPACT_2024_5401</v>
      </c>
      <c r="B561" s="9" t="s">
        <v>719</v>
      </c>
      <c r="C561" s="9" t="s">
        <v>59</v>
      </c>
      <c r="D561" s="9" t="s">
        <v>720</v>
      </c>
      <c r="E561" s="9">
        <v>2024</v>
      </c>
      <c r="F561" s="36" t="s">
        <v>177</v>
      </c>
      <c r="G561" s="15" t="s">
        <v>753</v>
      </c>
      <c r="H561" s="9" t="str" cm="1">
        <f t="array" ref="H561">INDEX(stableR[question],MATCH(VALUE(questions[[#This Row],[qno]]),VALUE(stableR[qno]),0))</f>
        <v>What was the type of animal manure, compost, or organic fertilizer that you used most last year?</v>
      </c>
      <c r="I561" s="9" t="b" cm="1">
        <f t="array" ref="I561">INDEX(stable[is_fixed],MATCH(VALUE(questions[[#This Row],[qno]]),VALUE(stable[qno]),0))</f>
        <v>1</v>
      </c>
      <c r="J561" s="9" t="b" cm="1">
        <f t="array" ref="J561">INDEX(stable[is_localized],MATCH(VALUE(questions[[#This Row],[qno]]),VALUE(stable[qno]),0))</f>
        <v>0</v>
      </c>
      <c r="K561" s="9" t="b" cm="1">
        <f t="array" ref="K561">INDEX(stable[is_supply_chain_dependent],MATCH(VALUE(questions[[#This Row],[qno]]),VALUE(stable[qno]),0))</f>
        <v>0</v>
      </c>
      <c r="L561" s="9" t="b" cm="1">
        <f t="array" ref="L561">INDEX(stable[is_mandatory],MATCH(VALUE(questions[[#This Row],[qno]]),VALUE(stable[qno]),0))</f>
        <v>0</v>
      </c>
      <c r="M561" s="9" t="b" cm="1">
        <f t="array" ref="M561">INDEX(stable[is_automated],MATCH(VALUE(questions[[#This Row],[qno]]),VALUE(stable[qno]),0))</f>
        <v>0</v>
      </c>
      <c r="N561" s="9" t="b" cm="1">
        <f t="array" ref="N561">INDEX(stable[is_free_text],MATCH(VALUE(questions[[#This Row],[qno]]),VALUE(stable[qno]),0))</f>
        <v>1</v>
      </c>
      <c r="O561" s="9" t="b" cm="1">
        <f t="array" ref="O561">INDEX(stable[is_numerical],MATCH(VALUE(questions[[#This Row],[qno]]),VALUE(stable[qno]),0))</f>
        <v>0</v>
      </c>
      <c r="P561" s="9" t="b" cm="1">
        <f t="array" ref="P561">INDEX(stable[is_single_select],MATCH(VALUE(questions[[#This Row],[qno]]),VALUE(stable[qno]),0))</f>
        <v>1</v>
      </c>
      <c r="Q561" s="9" t="b" cm="1">
        <f t="array" ref="Q561">INDEX(stable[is_multi_select],MATCH(VALUE(questions[[#This Row],[qno]]),VALUE(stable[qno]),0))</f>
        <v>0</v>
      </c>
      <c r="R561" s="9" t="b" cm="1">
        <f t="array" ref="R561">INDEX(stable[is_skip_logic],MATCH(VALUE(questions[[#This Row],[qno]]),VALUE(stable[qno]),0))</f>
        <v>1</v>
      </c>
      <c r="S561" s="9" t="str">
        <f>_xlfn.TEXTJOIN(", ",TRUE,questions[[#This Row],[ans_opt_1]:[ans_opt_14]])</f>
        <v/>
      </c>
      <c r="AH561" s="16" t="b">
        <f>INDEX(stable[q_standard],MATCH(questions[[#This Row],[qno]],stable[qno],0))</f>
        <v>0</v>
      </c>
      <c r="AI561" s="16" t="b">
        <f>INDEX(stable[q_living_income],MATCH(questions[[#This Row],[qno]],stable[qno],0))</f>
        <v>1</v>
      </c>
      <c r="AJ561" s="16" t="b">
        <f>INDEX(stable[q_carbon],MATCH(questions[[#This Row],[qno]],stable[qno],0))</f>
        <v>1</v>
      </c>
      <c r="AK561" s="16" t="b">
        <f>INDEX(stable[q_regen_ag],MATCH(questions[[#This Row],[qno]],stable[qno],0))</f>
        <v>0</v>
      </c>
      <c r="AL561" s="16" t="b">
        <f>COUNTIFS(stable[qno],questions[[#This Row],[qno]])=1</f>
        <v>1</v>
      </c>
      <c r="AM561" s="16" t="b">
        <f>OR(questions[[#This Row],[is_fixed]],questions[[#This Row],[is_localized]],questions[[#This Row],[is_supply_chain_dependent]])</f>
        <v>1</v>
      </c>
      <c r="AN561" s="16" t="b">
        <f>COUNTIFS(questions[[#This Row],[is_automated]:[is_multi_select]],TRUE)=1</f>
        <v>0</v>
      </c>
      <c r="AO561" s="16" t="b">
        <f>IF(questions[[#This Row],[is_fixed]],questions[[#This Row],[question]]=INDEX(stable[question],MATCH(questions[[#This Row],[qno]],stable[qno],0)),TRUE)</f>
        <v>0</v>
      </c>
      <c r="AP561" s="16" t="str">
        <f>LEFT(questions[[#This Row],[question]],similarity_range)</f>
        <v>If yes, what was the</v>
      </c>
      <c r="AQ561" s="16" t="str">
        <f>LEFT(INDEX(stable[question],MATCH(questions[[#This Row],[qno]],stable[qno],0)),similarity_range)</f>
        <v>If yes, what was the</v>
      </c>
      <c r="AR561" s="16" t="b">
        <f>questions[[#This Row],[question_first_characters]]=questions[[#This Row],[stability_first_characters]]</f>
        <v>1</v>
      </c>
      <c r="AS561" s="16" t="b">
        <f>IF(OR(questions[[#This Row],[is_single_select]],questions[[#This Row],[is_multi_select]]),NOT(ISBLANK(questions[[#This Row],[answer_opt_combined]])),TRUE)</f>
        <v>1</v>
      </c>
    </row>
    <row r="562" spans="1:45" ht="15.75" customHeight="1" x14ac:dyDescent="0.25">
      <c r="A562" s="9" t="str">
        <f>_xlfn.TEXTJOIN("_",TRUE,questions[[#This Row],[origin]:[qno]])</f>
        <v>Rwanda_Arabica_Nestle_Illy_IMPACT_2024_5402</v>
      </c>
      <c r="B562" s="9" t="s">
        <v>719</v>
      </c>
      <c r="C562" s="9" t="s">
        <v>59</v>
      </c>
      <c r="D562" s="9" t="s">
        <v>720</v>
      </c>
      <c r="E562" s="9">
        <v>2024</v>
      </c>
      <c r="F562" s="36" t="s">
        <v>179</v>
      </c>
      <c r="G562" s="15" t="s">
        <v>180</v>
      </c>
      <c r="H562" s="9" t="str" cm="1">
        <f t="array" ref="H562">INDEX(stableR[question],MATCH(VALUE(questions[[#This Row],[qno]]),VALUE(stableR[qno]),0))</f>
        <v>What was the total quantity of this type of animal manure/compost/organic fertilizer that you used most (Kg)?</v>
      </c>
      <c r="I562" s="9" t="b" cm="1">
        <f t="array" ref="I562">INDEX(stable[is_fixed],MATCH(VALUE(questions[[#This Row],[qno]]),VALUE(stable[qno]),0))</f>
        <v>1</v>
      </c>
      <c r="J562" s="9" t="b" cm="1">
        <f t="array" ref="J562">INDEX(stable[is_localized],MATCH(VALUE(questions[[#This Row],[qno]]),VALUE(stable[qno]),0))</f>
        <v>0</v>
      </c>
      <c r="K562" s="9" t="b" cm="1">
        <f t="array" ref="K562">INDEX(stable[is_supply_chain_dependent],MATCH(VALUE(questions[[#This Row],[qno]]),VALUE(stable[qno]),0))</f>
        <v>0</v>
      </c>
      <c r="L562" s="9" t="b" cm="1">
        <f t="array" ref="L562">INDEX(stable[is_mandatory],MATCH(VALUE(questions[[#This Row],[qno]]),VALUE(stable[qno]),0))</f>
        <v>0</v>
      </c>
      <c r="M562" s="9" t="b" cm="1">
        <f t="array" ref="M562">INDEX(stable[is_automated],MATCH(VALUE(questions[[#This Row],[qno]]),VALUE(stable[qno]),0))</f>
        <v>0</v>
      </c>
      <c r="N562" s="9" t="b" cm="1">
        <f t="array" ref="N562">INDEX(stable[is_free_text],MATCH(VALUE(questions[[#This Row],[qno]]),VALUE(stable[qno]),0))</f>
        <v>0</v>
      </c>
      <c r="O562" s="9" t="b" cm="1">
        <f t="array" ref="O562">INDEX(stable[is_numerical],MATCH(VALUE(questions[[#This Row],[qno]]),VALUE(stable[qno]),0))</f>
        <v>1</v>
      </c>
      <c r="P562" s="9" t="b" cm="1">
        <f t="array" ref="P562">INDEX(stable[is_single_select],MATCH(VALUE(questions[[#This Row],[qno]]),VALUE(stable[qno]),0))</f>
        <v>0</v>
      </c>
      <c r="Q562" s="9" t="b" cm="1">
        <f t="array" ref="Q562">INDEX(stable[is_multi_select],MATCH(VALUE(questions[[#This Row],[qno]]),VALUE(stable[qno]),0))</f>
        <v>0</v>
      </c>
      <c r="R562" s="9" t="b" cm="1">
        <f t="array" ref="R562">INDEX(stable[is_skip_logic],MATCH(VALUE(questions[[#This Row],[qno]]),VALUE(stable[qno]),0))</f>
        <v>1</v>
      </c>
      <c r="S562" s="9" t="str">
        <f>_xlfn.TEXTJOIN(", ",TRUE,questions[[#This Row],[ans_opt_1]:[ans_opt_14]])</f>
        <v/>
      </c>
      <c r="AH562" s="16" t="b">
        <f>INDEX(stable[q_standard],MATCH(questions[[#This Row],[qno]],stable[qno],0))</f>
        <v>0</v>
      </c>
      <c r="AI562" s="16" t="b">
        <f>INDEX(stable[q_living_income],MATCH(questions[[#This Row],[qno]],stable[qno],0))</f>
        <v>1</v>
      </c>
      <c r="AJ562" s="16" t="b">
        <f>INDEX(stable[q_carbon],MATCH(questions[[#This Row],[qno]],stable[qno],0))</f>
        <v>1</v>
      </c>
      <c r="AK562" s="16" t="b">
        <f>INDEX(stable[q_regen_ag],MATCH(questions[[#This Row],[qno]],stable[qno],0))</f>
        <v>0</v>
      </c>
      <c r="AL562" s="16" t="b">
        <f>COUNTIFS(stable[qno],questions[[#This Row],[qno]])=1</f>
        <v>1</v>
      </c>
      <c r="AM562" s="16" t="b">
        <f>OR(questions[[#This Row],[is_fixed]],questions[[#This Row],[is_localized]],questions[[#This Row],[is_supply_chain_dependent]])</f>
        <v>1</v>
      </c>
      <c r="AN562" s="16" t="b">
        <f>COUNTIFS(questions[[#This Row],[is_automated]:[is_multi_select]],TRUE)=1</f>
        <v>1</v>
      </c>
      <c r="AO562" s="16" t="b">
        <f>IF(questions[[#This Row],[is_fixed]],questions[[#This Row],[question]]=INDEX(stable[question],MATCH(questions[[#This Row],[qno]],stable[qno],0)),TRUE)</f>
        <v>1</v>
      </c>
      <c r="AP562" s="16" t="str">
        <f>LEFT(questions[[#This Row],[question]],similarity_range)</f>
        <v>What was the total q</v>
      </c>
      <c r="AQ562" s="16" t="str">
        <f>LEFT(INDEX(stable[question],MATCH(questions[[#This Row],[qno]],stable[qno],0)),similarity_range)</f>
        <v>What was the total q</v>
      </c>
      <c r="AR562" s="16" t="b">
        <f>questions[[#This Row],[question_first_characters]]=questions[[#This Row],[stability_first_characters]]</f>
        <v>1</v>
      </c>
      <c r="AS562" s="16" t="b">
        <f>IF(OR(questions[[#This Row],[is_single_select]],questions[[#This Row],[is_multi_select]]),NOT(ISBLANK(questions[[#This Row],[answer_opt_combined]])),TRUE)</f>
        <v>1</v>
      </c>
    </row>
    <row r="563" spans="1:45" ht="15.75" customHeight="1" x14ac:dyDescent="0.25">
      <c r="A563" s="9" t="str">
        <f>_xlfn.TEXTJOIN("_",TRUE,questions[[#This Row],[origin]:[qno]])</f>
        <v>Rwanda_Arabica_Nestle_Illy_IMPACT_2024_5403</v>
      </c>
      <c r="B563" s="9" t="s">
        <v>719</v>
      </c>
      <c r="C563" s="9" t="s">
        <v>59</v>
      </c>
      <c r="D563" s="9" t="s">
        <v>720</v>
      </c>
      <c r="E563" s="9">
        <v>2024</v>
      </c>
      <c r="F563" s="36" t="s">
        <v>181</v>
      </c>
      <c r="G563" s="214" t="s">
        <v>182</v>
      </c>
      <c r="H563" s="9" t="str" cm="1">
        <f t="array" ref="H563">INDEX(stableR[question],MATCH(VALUE(questions[[#This Row],[qno]]),VALUE(stableR[qno]),0))</f>
        <v>What was the unit of this type of animal manure/compost/organic fertilizer that you used most (kg, basins, 50 kg bags, wheel barrows, small truck/tipper, large truck)?</v>
      </c>
      <c r="I563" s="9" t="b" cm="1">
        <f t="array" ref="I563">INDEX(stable[is_fixed],MATCH(VALUE(questions[[#This Row],[qno]]),VALUE(stable[qno]),0))</f>
        <v>1</v>
      </c>
      <c r="J563" s="9" t="b" cm="1">
        <f t="array" ref="J563">INDEX(stable[is_localized],MATCH(VALUE(questions[[#This Row],[qno]]),VALUE(stable[qno]),0))</f>
        <v>0</v>
      </c>
      <c r="K563" s="9" t="b" cm="1">
        <f t="array" ref="K563">INDEX(stable[is_supply_chain_dependent],MATCH(VALUE(questions[[#This Row],[qno]]),VALUE(stable[qno]),0))</f>
        <v>0</v>
      </c>
      <c r="L563" s="9" t="b" cm="1">
        <f t="array" ref="L563">INDEX(stable[is_mandatory],MATCH(VALUE(questions[[#This Row],[qno]]),VALUE(stable[qno]),0))</f>
        <v>0</v>
      </c>
      <c r="M563" s="9" t="b" cm="1">
        <f t="array" ref="M563">INDEX(stable[is_automated],MATCH(VALUE(questions[[#This Row],[qno]]),VALUE(stable[qno]),0))</f>
        <v>0</v>
      </c>
      <c r="N563" s="9" t="b" cm="1">
        <f t="array" ref="N563">INDEX(stable[is_free_text],MATCH(VALUE(questions[[#This Row],[qno]]),VALUE(stable[qno]),0))</f>
        <v>1</v>
      </c>
      <c r="O563" s="9" t="b" cm="1">
        <f t="array" ref="O563">INDEX(stable[is_numerical],MATCH(VALUE(questions[[#This Row],[qno]]),VALUE(stable[qno]),0))</f>
        <v>0</v>
      </c>
      <c r="P563" s="9" t="b" cm="1">
        <f t="array" ref="P563">INDEX(stable[is_single_select],MATCH(VALUE(questions[[#This Row],[qno]]),VALUE(stable[qno]),0))</f>
        <v>0</v>
      </c>
      <c r="Q563" s="9" t="b" cm="1">
        <f t="array" ref="Q563">INDEX(stable[is_multi_select],MATCH(VALUE(questions[[#This Row],[qno]]),VALUE(stable[qno]),0))</f>
        <v>0</v>
      </c>
      <c r="R563" s="9" t="b" cm="1">
        <f t="array" ref="R563">INDEX(stable[is_skip_logic],MATCH(VALUE(questions[[#This Row],[qno]]),VALUE(stable[qno]),0))</f>
        <v>1</v>
      </c>
      <c r="S563" s="9" t="str">
        <f>_xlfn.TEXTJOIN(", ",TRUE,questions[[#This Row],[ans_opt_1]:[ans_opt_14]])</f>
        <v>kg's, basins (11 kg/basin), wheel barrows (40 kg/basin), small truck (1000 kg/load), medium truck (3000 kg/load), large truck (6000 kg/load)</v>
      </c>
      <c r="T563" s="9" t="s">
        <v>754</v>
      </c>
      <c r="U563" s="9" t="s">
        <v>755</v>
      </c>
      <c r="V563" s="9" t="s">
        <v>756</v>
      </c>
      <c r="W563" s="9" t="s">
        <v>757</v>
      </c>
      <c r="X563" s="9" t="s">
        <v>758</v>
      </c>
      <c r="Y563" s="9" t="s">
        <v>759</v>
      </c>
      <c r="AH563" s="16" t="b">
        <f>INDEX(stable[q_standard],MATCH(questions[[#This Row],[qno]],stable[qno],0))</f>
        <v>0</v>
      </c>
      <c r="AI563" s="16" t="b">
        <f>INDEX(stable[q_living_income],MATCH(questions[[#This Row],[qno]],stable[qno],0))</f>
        <v>1</v>
      </c>
      <c r="AJ563" s="16" t="b">
        <f>INDEX(stable[q_carbon],MATCH(questions[[#This Row],[qno]],stable[qno],0))</f>
        <v>1</v>
      </c>
      <c r="AK563" s="16" t="b">
        <f>INDEX(stable[q_regen_ag],MATCH(questions[[#This Row],[qno]],stable[qno],0))</f>
        <v>0</v>
      </c>
      <c r="AL563" s="16" t="b">
        <f>COUNTIFS(stable[qno],questions[[#This Row],[qno]])=1</f>
        <v>1</v>
      </c>
      <c r="AM563" s="16" t="b">
        <f>OR(questions[[#This Row],[is_fixed]],questions[[#This Row],[is_localized]],questions[[#This Row],[is_supply_chain_dependent]])</f>
        <v>1</v>
      </c>
      <c r="AN563" s="16" t="b">
        <f>COUNTIFS(questions[[#This Row],[is_automated]:[is_multi_select]],TRUE)=1</f>
        <v>1</v>
      </c>
      <c r="AO563" s="16" t="b">
        <f>IF(questions[[#This Row],[is_fixed]],questions[[#This Row],[question]]=INDEX(stable[question],MATCH(questions[[#This Row],[qno]],stable[qno],0)),TRUE)</f>
        <v>1</v>
      </c>
      <c r="AP563" s="16" t="str">
        <f>LEFT(questions[[#This Row],[question]],similarity_range)</f>
        <v>What was the unit of</v>
      </c>
      <c r="AQ563" s="16" t="str">
        <f>LEFT(INDEX(stable[question],MATCH(questions[[#This Row],[qno]],stable[qno],0)),similarity_range)</f>
        <v>What was the unit of</v>
      </c>
      <c r="AR563" s="16" t="b">
        <f>questions[[#This Row],[question_first_characters]]=questions[[#This Row],[stability_first_characters]]</f>
        <v>1</v>
      </c>
      <c r="AS563" s="16" t="b">
        <f>IF(OR(questions[[#This Row],[is_single_select]],questions[[#This Row],[is_multi_select]]),NOT(ISBLANK(questions[[#This Row],[answer_opt_combined]])),TRUE)</f>
        <v>1</v>
      </c>
    </row>
    <row r="564" spans="1:45" s="77" customFormat="1" ht="15.75" customHeight="1" x14ac:dyDescent="0.25">
      <c r="A564" s="77" t="str">
        <f>_xlfn.TEXTJOIN("_",TRUE,questions[[#This Row],[origin]:[qno]])</f>
        <v>Rwanda_Arabica_Nestle_Illy_IMPACT_2024_5404</v>
      </c>
      <c r="B564" s="77" t="s">
        <v>719</v>
      </c>
      <c r="C564" s="77" t="s">
        <v>59</v>
      </c>
      <c r="D564" s="77" t="s">
        <v>720</v>
      </c>
      <c r="E564" s="77">
        <v>2024</v>
      </c>
      <c r="F564" s="105" t="s">
        <v>183</v>
      </c>
      <c r="G564" s="78" t="s">
        <v>760</v>
      </c>
      <c r="H564" s="9" t="str" cm="1">
        <f t="array" ref="H564">INDEX(stableR[question],MATCH(VALUE(questions[[#This Row],[qno]]),VALUE(stableR[qno]),0))</f>
        <v>How did you get this manure/compost/organic fertilizer that you used most?</v>
      </c>
      <c r="I564" s="9" t="b" cm="1">
        <f t="array" ref="I564">INDEX(stable[is_fixed],MATCH(VALUE(questions[[#This Row],[qno]]),VALUE(stable[qno]),0))</f>
        <v>1</v>
      </c>
      <c r="J564" s="9" t="b" cm="1">
        <f t="array" ref="J564">INDEX(stable[is_localized],MATCH(VALUE(questions[[#This Row],[qno]]),VALUE(stable[qno]),0))</f>
        <v>0</v>
      </c>
      <c r="K564" s="9" t="b" cm="1">
        <f t="array" ref="K564">INDEX(stable[is_supply_chain_dependent],MATCH(VALUE(questions[[#This Row],[qno]]),VALUE(stable[qno]),0))</f>
        <v>0</v>
      </c>
      <c r="L564" s="9" t="b" cm="1">
        <f t="array" ref="L564">INDEX(stable[is_mandatory],MATCH(VALUE(questions[[#This Row],[qno]]),VALUE(stable[qno]),0))</f>
        <v>0</v>
      </c>
      <c r="M564" s="9" t="b" cm="1">
        <f t="array" ref="M564">INDEX(stable[is_automated],MATCH(VALUE(questions[[#This Row],[qno]]),VALUE(stable[qno]),0))</f>
        <v>0</v>
      </c>
      <c r="N564" s="9" t="b" cm="1">
        <f t="array" ref="N564">INDEX(stable[is_free_text],MATCH(VALUE(questions[[#This Row],[qno]]),VALUE(stable[qno]),0))</f>
        <v>0</v>
      </c>
      <c r="O564" s="9" t="b" cm="1">
        <f t="array" ref="O564">INDEX(stable[is_numerical],MATCH(VALUE(questions[[#This Row],[qno]]),VALUE(stable[qno]),0))</f>
        <v>0</v>
      </c>
      <c r="P564" s="77" t="b" cm="1">
        <f t="array" ref="P564">INDEX(stable[is_single_select],MATCH(VALUE(questions[[#This Row],[qno]]),VALUE(stable[qno]),0))</f>
        <v>1</v>
      </c>
      <c r="Q564" s="77" t="b" cm="1">
        <f t="array" ref="Q564">INDEX(stable[is_multi_select],MATCH(VALUE(questions[[#This Row],[qno]]),VALUE(stable[qno]),0))</f>
        <v>0</v>
      </c>
      <c r="R564" s="77" t="b" cm="1">
        <f t="array" ref="R564">INDEX(stable[is_skip_logic],MATCH(VALUE(questions[[#This Row],[qno]]),VALUE(stable[qno]),0))</f>
        <v>1</v>
      </c>
      <c r="S564" s="77" t="str">
        <f>_xlfn.TEXTJOIN(", ",TRUE,questions[[#This Row],[ans_opt_1]:[ans_opt_14]])</f>
        <v>Bought, From own farm, Received for free</v>
      </c>
      <c r="T564" s="77" t="s">
        <v>185</v>
      </c>
      <c r="U564" s="77" t="s">
        <v>186</v>
      </c>
      <c r="V564" s="77" t="s">
        <v>187</v>
      </c>
      <c r="AH564" s="98" t="b">
        <f>INDEX(stable[q_standard],MATCH(questions[[#This Row],[qno]],stable[qno],0))</f>
        <v>0</v>
      </c>
      <c r="AI564" s="98" t="b">
        <f>INDEX(stable[q_living_income],MATCH(questions[[#This Row],[qno]],stable[qno],0))</f>
        <v>1</v>
      </c>
      <c r="AJ564" s="98" t="b">
        <f>INDEX(stable[q_carbon],MATCH(questions[[#This Row],[qno]],stable[qno],0))</f>
        <v>1</v>
      </c>
      <c r="AK564" s="98" t="b">
        <f>INDEX(stable[q_regen_ag],MATCH(questions[[#This Row],[qno]],stable[qno],0))</f>
        <v>0</v>
      </c>
      <c r="AL564" s="98" t="b">
        <f>COUNTIFS(stable[qno],questions[[#This Row],[qno]])=1</f>
        <v>1</v>
      </c>
      <c r="AM564" s="98" t="b">
        <f>OR(questions[[#This Row],[is_fixed]],questions[[#This Row],[is_localized]],questions[[#This Row],[is_supply_chain_dependent]])</f>
        <v>1</v>
      </c>
      <c r="AN564" s="98" t="b">
        <f>COUNTIFS(questions[[#This Row],[is_automated]:[is_multi_select]],TRUE)=1</f>
        <v>1</v>
      </c>
      <c r="AO564" s="98" t="b">
        <f>IF(questions[[#This Row],[is_fixed]],questions[[#This Row],[question]]=INDEX(stable[question],MATCH(questions[[#This Row],[qno]],stable[qno],0)),TRUE)</f>
        <v>0</v>
      </c>
      <c r="AP564" s="98" t="str">
        <f>LEFT(questions[[#This Row],[question]],similarity_range)</f>
        <v>How did you get this</v>
      </c>
      <c r="AQ564" s="98" t="str">
        <f>LEFT(INDEX(stable[question],MATCH(questions[[#This Row],[qno]],stable[qno],0)),similarity_range)</f>
        <v>How did you get this</v>
      </c>
      <c r="AR564" s="98" t="b">
        <f>questions[[#This Row],[question_first_characters]]=questions[[#This Row],[stability_first_characters]]</f>
        <v>1</v>
      </c>
      <c r="AS564" s="98" t="b">
        <f>IF(OR(questions[[#This Row],[is_single_select]],questions[[#This Row],[is_multi_select]]),NOT(ISBLANK(questions[[#This Row],[answer_opt_combined]])),TRUE)</f>
        <v>1</v>
      </c>
    </row>
    <row r="565" spans="1:45" ht="15.75" customHeight="1" x14ac:dyDescent="0.25">
      <c r="A565" s="9" t="str">
        <f>_xlfn.TEXTJOIN("_",TRUE,questions[[#This Row],[origin]:[qno]])</f>
        <v>Rwanda_Arabica_Nestle_Illy_IMPACT_2024_5410</v>
      </c>
      <c r="B565" s="9" t="s">
        <v>719</v>
      </c>
      <c r="C565" s="9" t="s">
        <v>59</v>
      </c>
      <c r="D565" s="9" t="s">
        <v>720</v>
      </c>
      <c r="E565" s="9">
        <v>2024</v>
      </c>
      <c r="F565" s="39" t="s">
        <v>189</v>
      </c>
      <c r="G565" s="9" t="str">
        <f>INDEX(stable[question],MATCH(questions[[#This Row],[qno]],stable[qno],0))</f>
        <v>Was there a second type of animal manure, compost, or organic fertilizer and if yes, what was the type of this second most used manure/compost/organic fertilizer last year? Please give the name of the type used. For instance cow manure or the brand name and type of organic fertilizer.</v>
      </c>
      <c r="H565" s="9" t="str" cm="1">
        <f t="array" ref="H565">INDEX(stableR[question],MATCH(VALUE(questions[[#This Row],[qno]]),VALUE(stableR[qno]),0))</f>
        <v>What was the type of animal manure, compost, or organic fertilizer that you used second most last year?</v>
      </c>
      <c r="I565" s="9" t="b" cm="1">
        <f t="array" ref="I565">INDEX(stable[is_fixed],MATCH(VALUE(questions[[#This Row],[qno]]),VALUE(stable[qno]),0))</f>
        <v>1</v>
      </c>
      <c r="J565" s="9" t="b" cm="1">
        <f t="array" ref="J565">INDEX(stable[is_localized],MATCH(VALUE(questions[[#This Row],[qno]]),VALUE(stable[qno]),0))</f>
        <v>0</v>
      </c>
      <c r="K565" s="9" t="b" cm="1">
        <f t="array" ref="K565">INDEX(stable[is_supply_chain_dependent],MATCH(VALUE(questions[[#This Row],[qno]]),VALUE(stable[qno]),0))</f>
        <v>0</v>
      </c>
      <c r="L565" s="9" t="b" cm="1">
        <f t="array" ref="L565">INDEX(stable[is_mandatory],MATCH(VALUE(questions[[#This Row],[qno]]),VALUE(stable[qno]),0))</f>
        <v>0</v>
      </c>
      <c r="M565" s="9" t="b" cm="1">
        <f t="array" ref="M565">INDEX(stable[is_automated],MATCH(VALUE(questions[[#This Row],[qno]]),VALUE(stable[qno]),0))</f>
        <v>0</v>
      </c>
      <c r="N565" s="9" t="b" cm="1">
        <f t="array" ref="N565">INDEX(stable[is_free_text],MATCH(VALUE(questions[[#This Row],[qno]]),VALUE(stable[qno]),0))</f>
        <v>1</v>
      </c>
      <c r="O565" s="9" t="b" cm="1">
        <f t="array" ref="O565">INDEX(stable[is_numerical],MATCH(VALUE(questions[[#This Row],[qno]]),VALUE(stable[qno]),0))</f>
        <v>0</v>
      </c>
      <c r="P565" s="9" t="b" cm="1">
        <f t="array" ref="P565">INDEX(stable[is_single_select],MATCH(VALUE(questions[[#This Row],[qno]]),VALUE(stable[qno]),0))</f>
        <v>1</v>
      </c>
      <c r="Q565" s="9" t="b" cm="1">
        <f t="array" ref="Q565">INDEX(stable[is_multi_select],MATCH(VALUE(questions[[#This Row],[qno]]),VALUE(stable[qno]),0))</f>
        <v>0</v>
      </c>
      <c r="R565" s="9" t="b" cm="1">
        <f t="array" ref="R565">INDEX(stable[is_skip_logic],MATCH(VALUE(questions[[#This Row],[qno]]),VALUE(stable[qno]),0))</f>
        <v>1</v>
      </c>
      <c r="S565" s="9" t="str">
        <f>_xlfn.TEXTJOIN(", ",TRUE,questions[[#This Row],[ans_opt_1]:[ans_opt_14]])</f>
        <v/>
      </c>
      <c r="AH565" s="16" t="b">
        <f>INDEX(stable[q_standard],MATCH(questions[[#This Row],[qno]],stable[qno],0))</f>
        <v>0</v>
      </c>
      <c r="AI565" s="16" t="b">
        <f>INDEX(stable[q_living_income],MATCH(questions[[#This Row],[qno]],stable[qno],0))</f>
        <v>1</v>
      </c>
      <c r="AJ565" s="16" t="b">
        <f>INDEX(stable[q_carbon],MATCH(questions[[#This Row],[qno]],stable[qno],0))</f>
        <v>1</v>
      </c>
      <c r="AK565" s="16" t="b">
        <f>INDEX(stable[q_regen_ag],MATCH(questions[[#This Row],[qno]],stable[qno],0))</f>
        <v>0</v>
      </c>
      <c r="AL565" s="16" t="b">
        <f>COUNTIFS(stable[qno],questions[[#This Row],[qno]])=1</f>
        <v>1</v>
      </c>
      <c r="AM565" s="16" t="b">
        <f>OR(questions[[#This Row],[is_fixed]],questions[[#This Row],[is_localized]],questions[[#This Row],[is_supply_chain_dependent]])</f>
        <v>1</v>
      </c>
      <c r="AN565" s="16" t="b">
        <f>COUNTIFS(questions[[#This Row],[is_automated]:[is_multi_select]],TRUE)=1</f>
        <v>0</v>
      </c>
      <c r="AO565" s="16" t="b">
        <f>IF(questions[[#This Row],[is_fixed]],questions[[#This Row],[question]]=INDEX(stable[question],MATCH(questions[[#This Row],[qno]],stable[qno],0)),TRUE)</f>
        <v>1</v>
      </c>
      <c r="AP565" s="16" t="str">
        <f>LEFT(questions[[#This Row],[question]],similarity_range)</f>
        <v>Was there a second t</v>
      </c>
      <c r="AQ565" s="16" t="str">
        <f>LEFT(INDEX(stable[question],MATCH(questions[[#This Row],[qno]],stable[qno],0)),similarity_range)</f>
        <v>Was there a second t</v>
      </c>
      <c r="AR565" s="16" t="b">
        <f>questions[[#This Row],[question_first_characters]]=questions[[#This Row],[stability_first_characters]]</f>
        <v>1</v>
      </c>
      <c r="AS565" s="16" t="b">
        <f>IF(OR(questions[[#This Row],[is_single_select]],questions[[#This Row],[is_multi_select]]),NOT(ISBLANK(questions[[#This Row],[answer_opt_combined]])),TRUE)</f>
        <v>1</v>
      </c>
    </row>
    <row r="566" spans="1:45" ht="15.75" customHeight="1" x14ac:dyDescent="0.25">
      <c r="A566" s="9" t="str">
        <f>_xlfn.TEXTJOIN("_",TRUE,questions[[#This Row],[origin]:[qno]])</f>
        <v>Rwanda_Arabica_Nestle_Illy_IMPACT_2024_5411</v>
      </c>
      <c r="B566" s="9" t="s">
        <v>719</v>
      </c>
      <c r="C566" s="9" t="s">
        <v>59</v>
      </c>
      <c r="D566" s="9" t="s">
        <v>720</v>
      </c>
      <c r="E566" s="9">
        <v>2024</v>
      </c>
      <c r="F566" s="39" t="s">
        <v>191</v>
      </c>
      <c r="G566" s="15" t="s">
        <v>192</v>
      </c>
      <c r="H566" s="9" t="str" cm="1">
        <f t="array" ref="H566">INDEX(stableR[question],MATCH(VALUE(questions[[#This Row],[qno]]),VALUE(stableR[qno]),0))</f>
        <v>What was the total quantity of this type of animal manure/compost/organic fertilizer that you used second most? (Kg)</v>
      </c>
      <c r="I566" s="9" t="b" cm="1">
        <f t="array" ref="I566">INDEX(stable[is_fixed],MATCH(VALUE(questions[[#This Row],[qno]]),VALUE(stable[qno]),0))</f>
        <v>1</v>
      </c>
      <c r="J566" s="9" t="b" cm="1">
        <f t="array" ref="J566">INDEX(stable[is_localized],MATCH(VALUE(questions[[#This Row],[qno]]),VALUE(stable[qno]),0))</f>
        <v>0</v>
      </c>
      <c r="K566" s="9" t="b" cm="1">
        <f t="array" ref="K566">INDEX(stable[is_supply_chain_dependent],MATCH(VALUE(questions[[#This Row],[qno]]),VALUE(stable[qno]),0))</f>
        <v>0</v>
      </c>
      <c r="L566" s="9" t="b" cm="1">
        <f t="array" ref="L566">INDEX(stable[is_mandatory],MATCH(VALUE(questions[[#This Row],[qno]]),VALUE(stable[qno]),0))</f>
        <v>0</v>
      </c>
      <c r="M566" s="9" t="b" cm="1">
        <f t="array" ref="M566">INDEX(stable[is_automated],MATCH(VALUE(questions[[#This Row],[qno]]),VALUE(stable[qno]),0))</f>
        <v>0</v>
      </c>
      <c r="N566" s="9" t="b" cm="1">
        <f t="array" ref="N566">INDEX(stable[is_free_text],MATCH(VALUE(questions[[#This Row],[qno]]),VALUE(stable[qno]),0))</f>
        <v>0</v>
      </c>
      <c r="O566" s="9" t="b" cm="1">
        <f t="array" ref="O566">INDEX(stable[is_numerical],MATCH(VALUE(questions[[#This Row],[qno]]),VALUE(stable[qno]),0))</f>
        <v>1</v>
      </c>
      <c r="P566" s="9" t="b" cm="1">
        <f t="array" ref="P566">INDEX(stable[is_single_select],MATCH(VALUE(questions[[#This Row],[qno]]),VALUE(stable[qno]),0))</f>
        <v>0</v>
      </c>
      <c r="Q566" s="9" t="b" cm="1">
        <f t="array" ref="Q566">INDEX(stable[is_multi_select],MATCH(VALUE(questions[[#This Row],[qno]]),VALUE(stable[qno]),0))</f>
        <v>0</v>
      </c>
      <c r="R566" s="9" t="b" cm="1">
        <f t="array" ref="R566">INDEX(stable[is_skip_logic],MATCH(VALUE(questions[[#This Row],[qno]]),VALUE(stable[qno]),0))</f>
        <v>1</v>
      </c>
      <c r="S566" s="9" t="str">
        <f>_xlfn.TEXTJOIN(", ",TRUE,questions[[#This Row],[ans_opt_1]:[ans_opt_14]])</f>
        <v/>
      </c>
      <c r="AH566" s="16" t="b">
        <f>INDEX(stable[q_standard],MATCH(questions[[#This Row],[qno]],stable[qno],0))</f>
        <v>0</v>
      </c>
      <c r="AI566" s="16" t="b">
        <f>INDEX(stable[q_living_income],MATCH(questions[[#This Row],[qno]],stable[qno],0))</f>
        <v>1</v>
      </c>
      <c r="AJ566" s="16" t="b">
        <f>INDEX(stable[q_carbon],MATCH(questions[[#This Row],[qno]],stable[qno],0))</f>
        <v>1</v>
      </c>
      <c r="AK566" s="16" t="b">
        <f>INDEX(stable[q_regen_ag],MATCH(questions[[#This Row],[qno]],stable[qno],0))</f>
        <v>0</v>
      </c>
      <c r="AL566" s="16" t="b">
        <f>COUNTIFS(stable[qno],questions[[#This Row],[qno]])=1</f>
        <v>1</v>
      </c>
      <c r="AM566" s="16" t="b">
        <f>OR(questions[[#This Row],[is_fixed]],questions[[#This Row],[is_localized]],questions[[#This Row],[is_supply_chain_dependent]])</f>
        <v>1</v>
      </c>
      <c r="AN566" s="16" t="b">
        <f>COUNTIFS(questions[[#This Row],[is_automated]:[is_multi_select]],TRUE)=1</f>
        <v>1</v>
      </c>
      <c r="AO566" s="16" t="b">
        <f>IF(questions[[#This Row],[is_fixed]],questions[[#This Row],[question]]=INDEX(stable[question],MATCH(questions[[#This Row],[qno]],stable[qno],0)),TRUE)</f>
        <v>1</v>
      </c>
      <c r="AP566" s="16" t="str">
        <f>LEFT(questions[[#This Row],[question]],similarity_range)</f>
        <v>What was the total q</v>
      </c>
      <c r="AQ566" s="16" t="str">
        <f>LEFT(INDEX(stable[question],MATCH(questions[[#This Row],[qno]],stable[qno],0)),similarity_range)</f>
        <v>What was the total q</v>
      </c>
      <c r="AR566" s="16" t="b">
        <f>questions[[#This Row],[question_first_characters]]=questions[[#This Row],[stability_first_characters]]</f>
        <v>1</v>
      </c>
      <c r="AS566" s="16" t="b">
        <f>IF(OR(questions[[#This Row],[is_single_select]],questions[[#This Row],[is_multi_select]]),NOT(ISBLANK(questions[[#This Row],[answer_opt_combined]])),TRUE)</f>
        <v>1</v>
      </c>
    </row>
    <row r="567" spans="1:45" ht="15.75" customHeight="1" x14ac:dyDescent="0.25">
      <c r="A567" s="9" t="str">
        <f>_xlfn.TEXTJOIN("_",TRUE,questions[[#This Row],[origin]:[qno]])</f>
        <v>Rwanda_Arabica_Nestle_Illy_IMPACT_2024_5412</v>
      </c>
      <c r="B567" s="9" t="s">
        <v>719</v>
      </c>
      <c r="C567" s="9" t="s">
        <v>59</v>
      </c>
      <c r="D567" s="9" t="s">
        <v>720</v>
      </c>
      <c r="E567" s="9">
        <v>2024</v>
      </c>
      <c r="F567" s="39" t="s">
        <v>193</v>
      </c>
      <c r="G567" s="215" t="s">
        <v>194</v>
      </c>
      <c r="H567" s="9" t="str" cm="1">
        <f t="array" ref="H567">INDEX(stableR[question],MATCH(VALUE(questions[[#This Row],[qno]]),VALUE(stableR[qno]),0))</f>
        <v>What was the unit of this type of animal manure/compost/organic fertilizer that you used second most (kg, basins, 50 kg bags, wheel barrows, small truck/tipper, large truck)?</v>
      </c>
      <c r="I567" s="9" t="b" cm="1">
        <f t="array" ref="I567">INDEX(stable[is_fixed],MATCH(VALUE(questions[[#This Row],[qno]]),VALUE(stable[qno]),0))</f>
        <v>1</v>
      </c>
      <c r="J567" s="9" t="b" cm="1">
        <f t="array" ref="J567">INDEX(stable[is_localized],MATCH(VALUE(questions[[#This Row],[qno]]),VALUE(stable[qno]),0))</f>
        <v>0</v>
      </c>
      <c r="K567" s="9" t="b" cm="1">
        <f t="array" ref="K567">INDEX(stable[is_supply_chain_dependent],MATCH(VALUE(questions[[#This Row],[qno]]),VALUE(stable[qno]),0))</f>
        <v>0</v>
      </c>
      <c r="L567" s="9" t="b" cm="1">
        <f t="array" ref="L567">INDEX(stable[is_mandatory],MATCH(VALUE(questions[[#This Row],[qno]]),VALUE(stable[qno]),0))</f>
        <v>0</v>
      </c>
      <c r="M567" s="9" t="b" cm="1">
        <f t="array" ref="M567">INDEX(stable[is_automated],MATCH(VALUE(questions[[#This Row],[qno]]),VALUE(stable[qno]),0))</f>
        <v>0</v>
      </c>
      <c r="N567" s="9" t="b" cm="1">
        <f t="array" ref="N567">INDEX(stable[is_free_text],MATCH(VALUE(questions[[#This Row],[qno]]),VALUE(stable[qno]),0))</f>
        <v>1</v>
      </c>
      <c r="O567" s="9" t="b" cm="1">
        <f t="array" ref="O567">INDEX(stable[is_numerical],MATCH(VALUE(questions[[#This Row],[qno]]),VALUE(stable[qno]),0))</f>
        <v>0</v>
      </c>
      <c r="P567" s="9" t="b" cm="1">
        <f t="array" ref="P567">INDEX(stable[is_single_select],MATCH(VALUE(questions[[#This Row],[qno]]),VALUE(stable[qno]),0))</f>
        <v>0</v>
      </c>
      <c r="Q567" s="9" t="b" cm="1">
        <f t="array" ref="Q567">INDEX(stable[is_multi_select],MATCH(VALUE(questions[[#This Row],[qno]]),VALUE(stable[qno]),0))</f>
        <v>0</v>
      </c>
      <c r="R567" s="9" t="b" cm="1">
        <f t="array" ref="R567">INDEX(stable[is_skip_logic],MATCH(VALUE(questions[[#This Row],[qno]]),VALUE(stable[qno]),0))</f>
        <v>1</v>
      </c>
      <c r="S567" s="9" t="str">
        <f>_xlfn.TEXTJOIN(", ",TRUE,questions[[#This Row],[ans_opt_1]:[ans_opt_14]])</f>
        <v>kg's, basins (11 kg/basin), wheel barrows (40 kg/basin), small truck (1000 kg/load), medium truck (3000 kg/load), large truck (6000 kg/load)</v>
      </c>
      <c r="T567" s="9" t="s">
        <v>754</v>
      </c>
      <c r="U567" s="9" t="s">
        <v>755</v>
      </c>
      <c r="V567" s="9" t="s">
        <v>756</v>
      </c>
      <c r="W567" s="9" t="s">
        <v>757</v>
      </c>
      <c r="X567" s="9" t="s">
        <v>758</v>
      </c>
      <c r="Y567" s="9" t="s">
        <v>759</v>
      </c>
      <c r="AH567" s="16" t="b">
        <f>INDEX(stable[q_standard],MATCH(questions[[#This Row],[qno]],stable[qno],0))</f>
        <v>0</v>
      </c>
      <c r="AI567" s="16" t="b">
        <f>INDEX(stable[q_living_income],MATCH(questions[[#This Row],[qno]],stable[qno],0))</f>
        <v>1</v>
      </c>
      <c r="AJ567" s="16" t="b">
        <f>INDEX(stable[q_carbon],MATCH(questions[[#This Row],[qno]],stable[qno],0))</f>
        <v>1</v>
      </c>
      <c r="AK567" s="16" t="b">
        <f>INDEX(stable[q_regen_ag],MATCH(questions[[#This Row],[qno]],stable[qno],0))</f>
        <v>0</v>
      </c>
      <c r="AL567" s="16" t="b">
        <f>COUNTIFS(stable[qno],questions[[#This Row],[qno]])=1</f>
        <v>1</v>
      </c>
      <c r="AM567" s="16" t="b">
        <f>OR(questions[[#This Row],[is_fixed]],questions[[#This Row],[is_localized]],questions[[#This Row],[is_supply_chain_dependent]])</f>
        <v>1</v>
      </c>
      <c r="AN567" s="16" t="b">
        <f>COUNTIFS(questions[[#This Row],[is_automated]:[is_multi_select]],TRUE)=1</f>
        <v>1</v>
      </c>
      <c r="AO567" s="16" t="b">
        <f>IF(questions[[#This Row],[is_fixed]],questions[[#This Row],[question]]=INDEX(stable[question],MATCH(questions[[#This Row],[qno]],stable[qno],0)),TRUE)</f>
        <v>1</v>
      </c>
      <c r="AP567" s="16" t="str">
        <f>LEFT(questions[[#This Row],[question]],similarity_range)</f>
        <v>What was the unit of</v>
      </c>
      <c r="AQ567" s="16" t="str">
        <f>LEFT(INDEX(stable[question],MATCH(questions[[#This Row],[qno]],stable[qno],0)),similarity_range)</f>
        <v>What was the unit of</v>
      </c>
      <c r="AR567" s="16" t="b">
        <f>questions[[#This Row],[question_first_characters]]=questions[[#This Row],[stability_first_characters]]</f>
        <v>1</v>
      </c>
      <c r="AS567" s="16" t="b">
        <f>IF(OR(questions[[#This Row],[is_single_select]],questions[[#This Row],[is_multi_select]]),NOT(ISBLANK(questions[[#This Row],[answer_opt_combined]])),TRUE)</f>
        <v>1</v>
      </c>
    </row>
    <row r="568" spans="1:45" s="77" customFormat="1" ht="15.75" customHeight="1" x14ac:dyDescent="0.25">
      <c r="A568" s="77" t="str">
        <f>_xlfn.TEXTJOIN("_",TRUE,questions[[#This Row],[origin]:[qno]])</f>
        <v>Rwanda_Arabica_Nestle_Illy_IMPACT_2024_5413</v>
      </c>
      <c r="B568" s="77" t="s">
        <v>719</v>
      </c>
      <c r="C568" s="77" t="s">
        <v>59</v>
      </c>
      <c r="D568" s="77" t="s">
        <v>720</v>
      </c>
      <c r="E568" s="77">
        <v>2024</v>
      </c>
      <c r="F568" s="114" t="s">
        <v>195</v>
      </c>
      <c r="G568" s="78" t="s">
        <v>761</v>
      </c>
      <c r="H568" s="9" t="str" cm="1">
        <f t="array" ref="H568">INDEX(stableR[question],MATCH(VALUE(questions[[#This Row],[qno]]),VALUE(stableR[qno]),0))</f>
        <v>How did you get this manure/compost/organic fertilizer that you used second most?</v>
      </c>
      <c r="I568" s="9" t="b" cm="1">
        <f t="array" ref="I568">INDEX(stable[is_fixed],MATCH(VALUE(questions[[#This Row],[qno]]),VALUE(stable[qno]),0))</f>
        <v>1</v>
      </c>
      <c r="J568" s="9" t="b" cm="1">
        <f t="array" ref="J568">INDEX(stable[is_localized],MATCH(VALUE(questions[[#This Row],[qno]]),VALUE(stable[qno]),0))</f>
        <v>0</v>
      </c>
      <c r="K568" s="9" t="b" cm="1">
        <f t="array" ref="K568">INDEX(stable[is_supply_chain_dependent],MATCH(VALUE(questions[[#This Row],[qno]]),VALUE(stable[qno]),0))</f>
        <v>0</v>
      </c>
      <c r="L568" s="9" t="b" cm="1">
        <f t="array" ref="L568">INDEX(stable[is_mandatory],MATCH(VALUE(questions[[#This Row],[qno]]),VALUE(stable[qno]),0))</f>
        <v>0</v>
      </c>
      <c r="M568" s="9" t="b" cm="1">
        <f t="array" ref="M568">INDEX(stable[is_automated],MATCH(VALUE(questions[[#This Row],[qno]]),VALUE(stable[qno]),0))</f>
        <v>0</v>
      </c>
      <c r="N568" s="9" t="b" cm="1">
        <f t="array" ref="N568">INDEX(stable[is_free_text],MATCH(VALUE(questions[[#This Row],[qno]]),VALUE(stable[qno]),0))</f>
        <v>0</v>
      </c>
      <c r="O568" s="9" t="b" cm="1">
        <f t="array" ref="O568">INDEX(stable[is_numerical],MATCH(VALUE(questions[[#This Row],[qno]]),VALUE(stable[qno]),0))</f>
        <v>0</v>
      </c>
      <c r="P568" s="77" t="b" cm="1">
        <f t="array" ref="P568">INDEX(stable[is_single_select],MATCH(VALUE(questions[[#This Row],[qno]]),VALUE(stable[qno]),0))</f>
        <v>1</v>
      </c>
      <c r="Q568" s="77" t="b" cm="1">
        <f t="array" ref="Q568">INDEX(stable[is_multi_select],MATCH(VALUE(questions[[#This Row],[qno]]),VALUE(stable[qno]),0))</f>
        <v>0</v>
      </c>
      <c r="R568" s="77" t="b" cm="1">
        <f t="array" ref="R568">INDEX(stable[is_skip_logic],MATCH(VALUE(questions[[#This Row],[qno]]),VALUE(stable[qno]),0))</f>
        <v>1</v>
      </c>
      <c r="S568" s="77" t="str">
        <f>_xlfn.TEXTJOIN(", ",TRUE,questions[[#This Row],[ans_opt_1]:[ans_opt_14]])</f>
        <v>Bought, From own farm, Received for free</v>
      </c>
      <c r="T568" s="77" t="s">
        <v>185</v>
      </c>
      <c r="U568" s="77" t="s">
        <v>186</v>
      </c>
      <c r="V568" s="77" t="s">
        <v>187</v>
      </c>
      <c r="AH568" s="98" t="b">
        <f>INDEX(stable[q_standard],MATCH(questions[[#This Row],[qno]],stable[qno],0))</f>
        <v>0</v>
      </c>
      <c r="AI568" s="98" t="b">
        <f>INDEX(stable[q_living_income],MATCH(questions[[#This Row],[qno]],stable[qno],0))</f>
        <v>1</v>
      </c>
      <c r="AJ568" s="98" t="b">
        <f>INDEX(stable[q_carbon],MATCH(questions[[#This Row],[qno]],stable[qno],0))</f>
        <v>1</v>
      </c>
      <c r="AK568" s="98" t="b">
        <f>INDEX(stable[q_regen_ag],MATCH(questions[[#This Row],[qno]],stable[qno],0))</f>
        <v>0</v>
      </c>
      <c r="AL568" s="98" t="b">
        <f>COUNTIFS(stable[qno],questions[[#This Row],[qno]])=1</f>
        <v>1</v>
      </c>
      <c r="AM568" s="98" t="b">
        <f>OR(questions[[#This Row],[is_fixed]],questions[[#This Row],[is_localized]],questions[[#This Row],[is_supply_chain_dependent]])</f>
        <v>1</v>
      </c>
      <c r="AN568" s="98" t="b">
        <f>COUNTIFS(questions[[#This Row],[is_automated]:[is_multi_select]],TRUE)=1</f>
        <v>1</v>
      </c>
      <c r="AO568" s="98" t="b">
        <f>IF(questions[[#This Row],[is_fixed]],questions[[#This Row],[question]]=INDEX(stable[question],MATCH(questions[[#This Row],[qno]],stable[qno],0)),TRUE)</f>
        <v>0</v>
      </c>
      <c r="AP568" s="98" t="str">
        <f>LEFT(questions[[#This Row],[question]],similarity_range)</f>
        <v>How did you get this</v>
      </c>
      <c r="AQ568" s="98" t="str">
        <f>LEFT(INDEX(stable[question],MATCH(questions[[#This Row],[qno]],stable[qno],0)),similarity_range)</f>
        <v>How did you get this</v>
      </c>
      <c r="AR568" s="98" t="b">
        <f>questions[[#This Row],[question_first_characters]]=questions[[#This Row],[stability_first_characters]]</f>
        <v>1</v>
      </c>
      <c r="AS568" s="98" t="b">
        <f>IF(OR(questions[[#This Row],[is_single_select]],questions[[#This Row],[is_multi_select]]),NOT(ISBLANK(questions[[#This Row],[answer_opt_combined]])),TRUE)</f>
        <v>1</v>
      </c>
    </row>
    <row r="569" spans="1:45" s="77" customFormat="1" ht="15.75" customHeight="1" x14ac:dyDescent="0.25">
      <c r="A569" s="77" t="str">
        <f>_xlfn.TEXTJOIN("_",TRUE,questions[[#This Row],[origin]:[qno]])</f>
        <v>Rwanda_Arabica_Nestle_Illy_IMPACT_2024_5500</v>
      </c>
      <c r="B569" s="77" t="s">
        <v>719</v>
      </c>
      <c r="C569" s="77" t="s">
        <v>59</v>
      </c>
      <c r="D569" s="77" t="s">
        <v>720</v>
      </c>
      <c r="E569" s="77">
        <v>2024</v>
      </c>
      <c r="F569" s="105" t="s">
        <v>197</v>
      </c>
      <c r="G569" s="78" t="s">
        <v>198</v>
      </c>
      <c r="H569" s="9" t="str" cm="1">
        <f t="array" ref="H569">INDEX(stableR[question],MATCH(VALUE(questions[[#This Row],[qno]]),VALUE(stableR[qno]),0))</f>
        <v>Did you apply any type of mulch on your coffee last year?</v>
      </c>
      <c r="I569" s="9" t="b" cm="1">
        <f t="array" ref="I569">INDEX(stable[is_fixed],MATCH(VALUE(questions[[#This Row],[qno]]),VALUE(stable[qno]),0))</f>
        <v>1</v>
      </c>
      <c r="J569" s="9" t="b" cm="1">
        <f t="array" ref="J569">INDEX(stable[is_localized],MATCH(VALUE(questions[[#This Row],[qno]]),VALUE(stable[qno]),0))</f>
        <v>0</v>
      </c>
      <c r="K569" s="9" t="b" cm="1">
        <f t="array" ref="K569">INDEX(stable[is_supply_chain_dependent],MATCH(VALUE(questions[[#This Row],[qno]]),VALUE(stable[qno]),0))</f>
        <v>0</v>
      </c>
      <c r="L569" s="9" t="b" cm="1">
        <f t="array" ref="L569">INDEX(stable[is_mandatory],MATCH(VALUE(questions[[#This Row],[qno]]),VALUE(stable[qno]),0))</f>
        <v>1</v>
      </c>
      <c r="M569" s="9" t="b" cm="1">
        <f t="array" ref="M569">INDEX(stable[is_automated],MATCH(VALUE(questions[[#This Row],[qno]]),VALUE(stable[qno]),0))</f>
        <v>0</v>
      </c>
      <c r="N569" s="9" t="b" cm="1">
        <f t="array" ref="N569">INDEX(stable[is_free_text],MATCH(VALUE(questions[[#This Row],[qno]]),VALUE(stable[qno]),0))</f>
        <v>0</v>
      </c>
      <c r="O569" s="9" t="b" cm="1">
        <f t="array" ref="O569">INDEX(stable[is_numerical],MATCH(VALUE(questions[[#This Row],[qno]]),VALUE(stable[qno]),0))</f>
        <v>0</v>
      </c>
      <c r="P569" s="77" t="b" cm="1">
        <f t="array" ref="P569">INDEX(stable[is_single_select],MATCH(VALUE(questions[[#This Row],[qno]]),VALUE(stable[qno]),0))</f>
        <v>1</v>
      </c>
      <c r="Q569" s="77" t="b" cm="1">
        <f t="array" ref="Q569">INDEX(stable[is_multi_select],MATCH(VALUE(questions[[#This Row],[qno]]),VALUE(stable[qno]),0))</f>
        <v>0</v>
      </c>
      <c r="R569" s="77" t="b" cm="1">
        <f t="array" ref="R569">INDEX(stable[is_skip_logic],MATCH(VALUE(questions[[#This Row],[qno]]),VALUE(stable[qno]),0))</f>
        <v>1</v>
      </c>
      <c r="S569" s="77" t="str">
        <f>_xlfn.TEXTJOIN(", ",TRUE,questions[[#This Row],[ans_opt_1]:[ans_opt_14]])</f>
        <v>Yes, No</v>
      </c>
      <c r="T569" s="77" t="s">
        <v>149</v>
      </c>
      <c r="U569" s="77" t="s">
        <v>119</v>
      </c>
      <c r="AH569" s="98" t="b">
        <f>INDEX(stable[q_standard],MATCH(questions[[#This Row],[qno]],stable[qno],0))</f>
        <v>0</v>
      </c>
      <c r="AI569" s="98" t="b">
        <f>INDEX(stable[q_living_income],MATCH(questions[[#This Row],[qno]],stable[qno],0))</f>
        <v>1</v>
      </c>
      <c r="AJ569" s="98" t="b">
        <f>INDEX(stable[q_carbon],MATCH(questions[[#This Row],[qno]],stable[qno],0))</f>
        <v>1</v>
      </c>
      <c r="AK569" s="98" t="b">
        <f>INDEX(stable[q_regen_ag],MATCH(questions[[#This Row],[qno]],stable[qno],0))</f>
        <v>0</v>
      </c>
      <c r="AL569" s="98" t="b">
        <f>COUNTIFS(stable[qno],questions[[#This Row],[qno]])=1</f>
        <v>1</v>
      </c>
      <c r="AM569" s="98" t="b">
        <f>OR(questions[[#This Row],[is_fixed]],questions[[#This Row],[is_localized]],questions[[#This Row],[is_supply_chain_dependent]])</f>
        <v>1</v>
      </c>
      <c r="AN569" s="98" t="b">
        <f>COUNTIFS(questions[[#This Row],[is_automated]:[is_multi_select]],TRUE)=1</f>
        <v>1</v>
      </c>
      <c r="AO569" s="98" t="b">
        <f>IF(questions[[#This Row],[is_fixed]],questions[[#This Row],[question]]=INDEX(stable[question],MATCH(questions[[#This Row],[qno]],stable[qno],0)),TRUE)</f>
        <v>1</v>
      </c>
      <c r="AP569" s="98" t="str">
        <f>LEFT(questions[[#This Row],[question]],similarity_range)</f>
        <v>Did you apply any ty</v>
      </c>
      <c r="AQ569" s="98" t="str">
        <f>LEFT(INDEX(stable[question],MATCH(questions[[#This Row],[qno]],stable[qno],0)),similarity_range)</f>
        <v>Did you apply any ty</v>
      </c>
      <c r="AR569" s="98" t="b">
        <f>questions[[#This Row],[question_first_characters]]=questions[[#This Row],[stability_first_characters]]</f>
        <v>1</v>
      </c>
      <c r="AS569" s="98" t="b">
        <f>IF(OR(questions[[#This Row],[is_single_select]],questions[[#This Row],[is_multi_select]]),NOT(ISBLANK(questions[[#This Row],[answer_opt_combined]])),TRUE)</f>
        <v>1</v>
      </c>
    </row>
    <row r="570" spans="1:45" ht="15.75" customHeight="1" x14ac:dyDescent="0.25">
      <c r="A570" s="9" t="str">
        <f>_xlfn.TEXTJOIN("_",TRUE,questions[[#This Row],[origin]:[qno]])</f>
        <v>Rwanda_Arabica_Nestle_Illy_IMPACT_2024_5501</v>
      </c>
      <c r="B570" s="9" t="s">
        <v>719</v>
      </c>
      <c r="C570" s="9" t="s">
        <v>59</v>
      </c>
      <c r="D570" s="9" t="s">
        <v>720</v>
      </c>
      <c r="E570" s="9">
        <v>2024</v>
      </c>
      <c r="F570" s="36" t="s">
        <v>199</v>
      </c>
      <c r="G570" s="15" t="s">
        <v>200</v>
      </c>
      <c r="H570" s="9" t="str" cm="1">
        <f t="array" ref="H570">INDEX(stableR[question],MATCH(VALUE(questions[[#This Row],[qno]]),VALUE(stableR[qno]),0))</f>
        <v>What type of mulch?</v>
      </c>
      <c r="I570" s="9" t="b" cm="1">
        <f t="array" ref="I570">INDEX(stable[is_fixed],MATCH(VALUE(questions[[#This Row],[qno]]),VALUE(stable[qno]),0))</f>
        <v>1</v>
      </c>
      <c r="J570" s="9" t="b" cm="1">
        <f t="array" ref="J570">INDEX(stable[is_localized],MATCH(VALUE(questions[[#This Row],[qno]]),VALUE(stable[qno]),0))</f>
        <v>0</v>
      </c>
      <c r="K570" s="9" t="b" cm="1">
        <f t="array" ref="K570">INDEX(stable[is_supply_chain_dependent],MATCH(VALUE(questions[[#This Row],[qno]]),VALUE(stable[qno]),0))</f>
        <v>0</v>
      </c>
      <c r="L570" s="9" t="b" cm="1">
        <f t="array" ref="L570">INDEX(stable[is_mandatory],MATCH(VALUE(questions[[#This Row],[qno]]),VALUE(stable[qno]),0))</f>
        <v>0</v>
      </c>
      <c r="M570" s="9" t="b" cm="1">
        <f t="array" ref="M570">INDEX(stable[is_automated],MATCH(VALUE(questions[[#This Row],[qno]]),VALUE(stable[qno]),0))</f>
        <v>0</v>
      </c>
      <c r="N570" s="9" t="b" cm="1">
        <f t="array" ref="N570">INDEX(stable[is_free_text],MATCH(VALUE(questions[[#This Row],[qno]]),VALUE(stable[qno]),0))</f>
        <v>0</v>
      </c>
      <c r="O570" s="9" t="b" cm="1">
        <f t="array" ref="O570">INDEX(stable[is_numerical],MATCH(VALUE(questions[[#This Row],[qno]]),VALUE(stable[qno]),0))</f>
        <v>0</v>
      </c>
      <c r="P570" s="9" t="b" cm="1">
        <f t="array" ref="P570">INDEX(stable[is_single_select],MATCH(VALUE(questions[[#This Row],[qno]]),VALUE(stable[qno]),0))</f>
        <v>0</v>
      </c>
      <c r="Q570" s="9" t="b" cm="1">
        <f t="array" ref="Q570">INDEX(stable[is_multi_select],MATCH(VALUE(questions[[#This Row],[qno]]),VALUE(stable[qno]),0))</f>
        <v>1</v>
      </c>
      <c r="R570" s="9" t="b" cm="1">
        <f t="array" ref="R570">INDEX(stable[is_skip_logic],MATCH(VALUE(questions[[#This Row],[qno]]),VALUE(stable[qno]),0))</f>
        <v>1</v>
      </c>
      <c r="S570" s="9" t="str">
        <f>_xlfn.TEXTJOIN(", ",TRUE,questions[[#This Row],[ans_opt_1]:[ans_opt_14]])</f>
        <v/>
      </c>
      <c r="AH570" s="16" t="b">
        <f>INDEX(stable[q_standard],MATCH(questions[[#This Row],[qno]],stable[qno],0))</f>
        <v>0</v>
      </c>
      <c r="AI570" s="16" t="b">
        <f>INDEX(stable[q_living_income],MATCH(questions[[#This Row],[qno]],stable[qno],0))</f>
        <v>1</v>
      </c>
      <c r="AJ570" s="16" t="b">
        <f>INDEX(stable[q_carbon],MATCH(questions[[#This Row],[qno]],stable[qno],0))</f>
        <v>1</v>
      </c>
      <c r="AK570" s="16" t="b">
        <f>INDEX(stable[q_regen_ag],MATCH(questions[[#This Row],[qno]],stable[qno],0))</f>
        <v>0</v>
      </c>
      <c r="AL570" s="16" t="b">
        <f>COUNTIFS(stable[qno],questions[[#This Row],[qno]])=1</f>
        <v>1</v>
      </c>
      <c r="AM570" s="16" t="b">
        <f>OR(questions[[#This Row],[is_fixed]],questions[[#This Row],[is_localized]],questions[[#This Row],[is_supply_chain_dependent]])</f>
        <v>1</v>
      </c>
      <c r="AN570" s="16" t="b">
        <f>COUNTIFS(questions[[#This Row],[is_automated]:[is_multi_select]],TRUE)=1</f>
        <v>1</v>
      </c>
      <c r="AO570" s="16" t="b">
        <f>IF(questions[[#This Row],[is_fixed]],questions[[#This Row],[question]]=INDEX(stable[question],MATCH(questions[[#This Row],[qno]],stable[qno],0)),TRUE)</f>
        <v>1</v>
      </c>
      <c r="AP570" s="16" t="str">
        <f>LEFT(questions[[#This Row],[question]],similarity_range)</f>
        <v xml:space="preserve">What type of mulch? </v>
      </c>
      <c r="AQ570" s="16" t="str">
        <f>LEFT(INDEX(stable[question],MATCH(questions[[#This Row],[qno]],stable[qno],0)),similarity_range)</f>
        <v xml:space="preserve">What type of mulch? </v>
      </c>
      <c r="AR570" s="16" t="b">
        <f>questions[[#This Row],[question_first_characters]]=questions[[#This Row],[stability_first_characters]]</f>
        <v>1</v>
      </c>
      <c r="AS570" s="16" t="b">
        <f>IF(OR(questions[[#This Row],[is_single_select]],questions[[#This Row],[is_multi_select]]),NOT(ISBLANK(questions[[#This Row],[answer_opt_combined]])),TRUE)</f>
        <v>1</v>
      </c>
    </row>
    <row r="571" spans="1:45" ht="15.75" customHeight="1" x14ac:dyDescent="0.25">
      <c r="A571" s="9" t="str">
        <f>_xlfn.TEXTJOIN("_",TRUE,questions[[#This Row],[origin]:[qno]])</f>
        <v>Rwanda_Arabica_Nestle_Illy_IMPACT_2024_5502</v>
      </c>
      <c r="B571" s="9" t="s">
        <v>719</v>
      </c>
      <c r="C571" s="9" t="s">
        <v>59</v>
      </c>
      <c r="D571" s="9" t="s">
        <v>720</v>
      </c>
      <c r="E571" s="9">
        <v>2024</v>
      </c>
      <c r="F571" s="36" t="s">
        <v>201</v>
      </c>
      <c r="G571" s="15" t="s">
        <v>762</v>
      </c>
      <c r="H571" s="9" t="str" cm="1">
        <f t="array" ref="H571">INDEX(stableR[question],MATCH(VALUE(questions[[#This Row],[qno]]),VALUE(stableR[qno]),0))</f>
        <v>What was the total quantity of mulch that you used? (Kg)</v>
      </c>
      <c r="I571" s="9" t="b" cm="1">
        <f t="array" ref="I571">INDEX(stable[is_fixed],MATCH(VALUE(questions[[#This Row],[qno]]),VALUE(stable[qno]),0))</f>
        <v>1</v>
      </c>
      <c r="J571" s="9" t="b" cm="1">
        <f t="array" ref="J571">INDEX(stable[is_localized],MATCH(VALUE(questions[[#This Row],[qno]]),VALUE(stable[qno]),0))</f>
        <v>0</v>
      </c>
      <c r="K571" s="9" t="b" cm="1">
        <f t="array" ref="K571">INDEX(stable[is_supply_chain_dependent],MATCH(VALUE(questions[[#This Row],[qno]]),VALUE(stable[qno]),0))</f>
        <v>0</v>
      </c>
      <c r="L571" s="9" t="b" cm="1">
        <f t="array" ref="L571">INDEX(stable[is_mandatory],MATCH(VALUE(questions[[#This Row],[qno]]),VALUE(stable[qno]),0))</f>
        <v>0</v>
      </c>
      <c r="M571" s="9" t="b" cm="1">
        <f t="array" ref="M571">INDEX(stable[is_automated],MATCH(VALUE(questions[[#This Row],[qno]]),VALUE(stable[qno]),0))</f>
        <v>0</v>
      </c>
      <c r="N571" s="9" t="b" cm="1">
        <f t="array" ref="N571">INDEX(stable[is_free_text],MATCH(VALUE(questions[[#This Row],[qno]]),VALUE(stable[qno]),0))</f>
        <v>0</v>
      </c>
      <c r="O571" s="9" t="b" cm="1">
        <f t="array" ref="O571">INDEX(stable[is_numerical],MATCH(VALUE(questions[[#This Row],[qno]]),VALUE(stable[qno]),0))</f>
        <v>1</v>
      </c>
      <c r="P571" s="9" t="b" cm="1">
        <f t="array" ref="P571">INDEX(stable[is_single_select],MATCH(VALUE(questions[[#This Row],[qno]]),VALUE(stable[qno]),0))</f>
        <v>0</v>
      </c>
      <c r="Q571" s="9" t="b" cm="1">
        <f t="array" ref="Q571">INDEX(stable[is_multi_select],MATCH(VALUE(questions[[#This Row],[qno]]),VALUE(stable[qno]),0))</f>
        <v>0</v>
      </c>
      <c r="R571" s="9" t="b" cm="1">
        <f t="array" ref="R571">INDEX(stable[is_skip_logic],MATCH(VALUE(questions[[#This Row],[qno]]),VALUE(stable[qno]),0))</f>
        <v>1</v>
      </c>
      <c r="S571" s="9" t="str">
        <f>_xlfn.TEXTJOIN(", ",TRUE,questions[[#This Row],[ans_opt_1]:[ans_opt_14]])</f>
        <v/>
      </c>
      <c r="AH571" s="16" t="b">
        <f>INDEX(stable[q_standard],MATCH(questions[[#This Row],[qno]],stable[qno],0))</f>
        <v>0</v>
      </c>
      <c r="AI571" s="16" t="b">
        <f>INDEX(stable[q_living_income],MATCH(questions[[#This Row],[qno]],stable[qno],0))</f>
        <v>1</v>
      </c>
      <c r="AJ571" s="16" t="b">
        <f>INDEX(stable[q_carbon],MATCH(questions[[#This Row],[qno]],stable[qno],0))</f>
        <v>1</v>
      </c>
      <c r="AK571" s="16" t="b">
        <f>INDEX(stable[q_regen_ag],MATCH(questions[[#This Row],[qno]],stable[qno],0))</f>
        <v>0</v>
      </c>
      <c r="AL571" s="16" t="b">
        <f>COUNTIFS(stable[qno],questions[[#This Row],[qno]])=1</f>
        <v>1</v>
      </c>
      <c r="AM571" s="16" t="b">
        <f>OR(questions[[#This Row],[is_fixed]],questions[[#This Row],[is_localized]],questions[[#This Row],[is_supply_chain_dependent]])</f>
        <v>1</v>
      </c>
      <c r="AN571" s="16" t="b">
        <f>COUNTIFS(questions[[#This Row],[is_automated]:[is_multi_select]],TRUE)=1</f>
        <v>1</v>
      </c>
      <c r="AO571" s="16" t="b">
        <f>IF(questions[[#This Row],[is_fixed]],questions[[#This Row],[question]]=INDEX(stable[question],MATCH(questions[[#This Row],[qno]],stable[qno],0)),TRUE)</f>
        <v>0</v>
      </c>
      <c r="AP571" s="16" t="str">
        <f>LEFT(questions[[#This Row],[question]],similarity_range)</f>
        <v>What was the total a</v>
      </c>
      <c r="AQ571" s="16" t="str">
        <f>LEFT(INDEX(stable[question],MATCH(questions[[#This Row],[qno]],stable[qno],0)),similarity_range)</f>
        <v>What was the total q</v>
      </c>
      <c r="AR571" s="16" t="b">
        <f>questions[[#This Row],[question_first_characters]]=questions[[#This Row],[stability_first_characters]]</f>
        <v>0</v>
      </c>
      <c r="AS571" s="16" t="b">
        <f>IF(OR(questions[[#This Row],[is_single_select]],questions[[#This Row],[is_multi_select]]),NOT(ISBLANK(questions[[#This Row],[answer_opt_combined]])),TRUE)</f>
        <v>1</v>
      </c>
    </row>
    <row r="572" spans="1:45" ht="15.75" customHeight="1" x14ac:dyDescent="0.25">
      <c r="A572" s="9" t="str">
        <f>_xlfn.TEXTJOIN("_",TRUE,questions[[#This Row],[origin]:[qno]])</f>
        <v>Rwanda_Arabica_Nestle_Illy_IMPACT_2024_5503</v>
      </c>
      <c r="B572" s="9" t="s">
        <v>719</v>
      </c>
      <c r="C572" s="9" t="s">
        <v>59</v>
      </c>
      <c r="D572" s="9" t="s">
        <v>720</v>
      </c>
      <c r="E572" s="9">
        <v>2024</v>
      </c>
      <c r="F572" s="36" t="s">
        <v>203</v>
      </c>
      <c r="G572" s="214" t="s">
        <v>204</v>
      </c>
      <c r="H572" s="9" t="str" cm="1">
        <f t="array" ref="H572">INDEX(stableR[question],MATCH(VALUE(questions[[#This Row],[qno]]),VALUE(stableR[qno]),0))</f>
        <v>What was the unit, for the mulch used (kg, basins, bags, wheel barrows, small truck/tipper, large truck)</v>
      </c>
      <c r="I572" s="9" t="b" cm="1">
        <f t="array" ref="I572">INDEX(stable[is_fixed],MATCH(VALUE(questions[[#This Row],[qno]]),VALUE(stable[qno]),0))</f>
        <v>1</v>
      </c>
      <c r="J572" s="9" t="b" cm="1">
        <f t="array" ref="J572">INDEX(stable[is_localized],MATCH(VALUE(questions[[#This Row],[qno]]),VALUE(stable[qno]),0))</f>
        <v>0</v>
      </c>
      <c r="K572" s="9" t="b" cm="1">
        <f t="array" ref="K572">INDEX(stable[is_supply_chain_dependent],MATCH(VALUE(questions[[#This Row],[qno]]),VALUE(stable[qno]),0))</f>
        <v>0</v>
      </c>
      <c r="L572" s="9" t="b" cm="1">
        <f t="array" ref="L572">INDEX(stable[is_mandatory],MATCH(VALUE(questions[[#This Row],[qno]]),VALUE(stable[qno]),0))</f>
        <v>0</v>
      </c>
      <c r="M572" s="9" t="b" cm="1">
        <f t="array" ref="M572">INDEX(stable[is_automated],MATCH(VALUE(questions[[#This Row],[qno]]),VALUE(stable[qno]),0))</f>
        <v>0</v>
      </c>
      <c r="N572" s="9" t="b" cm="1">
        <f t="array" ref="N572">INDEX(stable[is_free_text],MATCH(VALUE(questions[[#This Row],[qno]]),VALUE(stable[qno]),0))</f>
        <v>1</v>
      </c>
      <c r="O572" s="9" t="b" cm="1">
        <f t="array" ref="O572">INDEX(stable[is_numerical],MATCH(VALUE(questions[[#This Row],[qno]]),VALUE(stable[qno]),0))</f>
        <v>0</v>
      </c>
      <c r="P572" s="9" t="b" cm="1">
        <f t="array" ref="P572">INDEX(stable[is_single_select],MATCH(VALUE(questions[[#This Row],[qno]]),VALUE(stable[qno]),0))</f>
        <v>0</v>
      </c>
      <c r="Q572" s="9" t="b" cm="1">
        <f t="array" ref="Q572">INDEX(stable[is_multi_select],MATCH(VALUE(questions[[#This Row],[qno]]),VALUE(stable[qno]),0))</f>
        <v>0</v>
      </c>
      <c r="R572" s="9" t="b" cm="1">
        <f t="array" ref="R572">INDEX(stable[is_skip_logic],MATCH(VALUE(questions[[#This Row],[qno]]),VALUE(stable[qno]),0))</f>
        <v>1</v>
      </c>
      <c r="S572" s="9" t="str">
        <f>_xlfn.TEXTJOIN(", ",TRUE,questions[[#This Row],[ans_opt_1]:[ans_opt_14]])</f>
        <v>kg's, basins (3 kg/basin), wheel barrows (10 kg/basin), small truck (250 kg/load), medium truck (750 kg/load), large truck (1500 kg/load)</v>
      </c>
      <c r="T572" s="9" t="s">
        <v>754</v>
      </c>
      <c r="U572" s="9" t="s">
        <v>763</v>
      </c>
      <c r="V572" s="9" t="s">
        <v>764</v>
      </c>
      <c r="W572" s="9" t="s">
        <v>765</v>
      </c>
      <c r="X572" s="9" t="s">
        <v>766</v>
      </c>
      <c r="Y572" s="9" t="s">
        <v>767</v>
      </c>
      <c r="AH572" s="16" t="b">
        <f>INDEX(stable[q_standard],MATCH(questions[[#This Row],[qno]],stable[qno],0))</f>
        <v>0</v>
      </c>
      <c r="AI572" s="16" t="b">
        <f>INDEX(stable[q_living_income],MATCH(questions[[#This Row],[qno]],stable[qno],0))</f>
        <v>1</v>
      </c>
      <c r="AJ572" s="16" t="b">
        <f>INDEX(stable[q_carbon],MATCH(questions[[#This Row],[qno]],stable[qno],0))</f>
        <v>1</v>
      </c>
      <c r="AK572" s="16" t="b">
        <f>INDEX(stable[q_regen_ag],MATCH(questions[[#This Row],[qno]],stable[qno],0))</f>
        <v>0</v>
      </c>
      <c r="AL572" s="16" t="b">
        <f>COUNTIFS(stable[qno],questions[[#This Row],[qno]])=1</f>
        <v>1</v>
      </c>
      <c r="AM572" s="16" t="b">
        <f>OR(questions[[#This Row],[is_fixed]],questions[[#This Row],[is_localized]],questions[[#This Row],[is_supply_chain_dependent]])</f>
        <v>1</v>
      </c>
      <c r="AN572" s="16" t="b">
        <f>COUNTIFS(questions[[#This Row],[is_automated]:[is_multi_select]],TRUE)=1</f>
        <v>1</v>
      </c>
      <c r="AO572" s="16" t="b">
        <f>IF(questions[[#This Row],[is_fixed]],questions[[#This Row],[question]]=INDEX(stable[question],MATCH(questions[[#This Row],[qno]],stable[qno],0)),TRUE)</f>
        <v>1</v>
      </c>
      <c r="AP572" s="16" t="str">
        <f>LEFT(questions[[#This Row],[question]],similarity_range)</f>
        <v>What was the unit, f</v>
      </c>
      <c r="AQ572" s="16" t="str">
        <f>LEFT(INDEX(stable[question],MATCH(questions[[#This Row],[qno]],stable[qno],0)),similarity_range)</f>
        <v>What was the unit, f</v>
      </c>
      <c r="AR572" s="16" t="b">
        <f>questions[[#This Row],[question_first_characters]]=questions[[#This Row],[stability_first_characters]]</f>
        <v>1</v>
      </c>
      <c r="AS572" s="16" t="b">
        <f>IF(OR(questions[[#This Row],[is_single_select]],questions[[#This Row],[is_multi_select]]),NOT(ISBLANK(questions[[#This Row],[answer_opt_combined]])),TRUE)</f>
        <v>1</v>
      </c>
    </row>
    <row r="573" spans="1:45" s="77" customFormat="1" ht="15.75" customHeight="1" x14ac:dyDescent="0.25">
      <c r="A573" s="77" t="str">
        <f>_xlfn.TEXTJOIN("_",TRUE,questions[[#This Row],[origin]:[qno]])</f>
        <v>Rwanda_Arabica_Nestle_Illy_IMPACT_2024_5504</v>
      </c>
      <c r="B573" s="77" t="s">
        <v>719</v>
      </c>
      <c r="C573" s="77" t="s">
        <v>59</v>
      </c>
      <c r="D573" s="77" t="s">
        <v>720</v>
      </c>
      <c r="E573" s="77">
        <v>2024</v>
      </c>
      <c r="F573" s="105" t="s">
        <v>205</v>
      </c>
      <c r="G573" s="115" t="s">
        <v>768</v>
      </c>
      <c r="H573" s="9" t="str" cm="1">
        <f t="array" ref="H573">INDEX(stableR[question],MATCH(VALUE(questions[[#This Row],[qno]]),VALUE(stableR[qno]),0))</f>
        <v>From where was this mulch sourced?</v>
      </c>
      <c r="I573" s="9" t="b" cm="1">
        <f t="array" ref="I573">INDEX(stable[is_fixed],MATCH(VALUE(questions[[#This Row],[qno]]),VALUE(stable[qno]),0))</f>
        <v>1</v>
      </c>
      <c r="J573" s="9" t="b" cm="1">
        <f t="array" ref="J573">INDEX(stable[is_localized],MATCH(VALUE(questions[[#This Row],[qno]]),VALUE(stable[qno]),0))</f>
        <v>0</v>
      </c>
      <c r="K573" s="9" t="b" cm="1">
        <f t="array" ref="K573">INDEX(stable[is_supply_chain_dependent],MATCH(VALUE(questions[[#This Row],[qno]]),VALUE(stable[qno]),0))</f>
        <v>0</v>
      </c>
      <c r="L573" s="9" t="b" cm="1">
        <f t="array" ref="L573">INDEX(stable[is_mandatory],MATCH(VALUE(questions[[#This Row],[qno]]),VALUE(stable[qno]),0))</f>
        <v>0</v>
      </c>
      <c r="M573" s="9" t="b" cm="1">
        <f t="array" ref="M573">INDEX(stable[is_automated],MATCH(VALUE(questions[[#This Row],[qno]]),VALUE(stable[qno]),0))</f>
        <v>0</v>
      </c>
      <c r="N573" s="9" t="b" cm="1">
        <f t="array" ref="N573">INDEX(stable[is_free_text],MATCH(VALUE(questions[[#This Row],[qno]]),VALUE(stable[qno]),0))</f>
        <v>0</v>
      </c>
      <c r="O573" s="9" t="b" cm="1">
        <f t="array" ref="O573">INDEX(stable[is_numerical],MATCH(VALUE(questions[[#This Row],[qno]]),VALUE(stable[qno]),0))</f>
        <v>0</v>
      </c>
      <c r="P573" s="77" t="b" cm="1">
        <f t="array" ref="P573">INDEX(stable[is_single_select],MATCH(VALUE(questions[[#This Row],[qno]]),VALUE(stable[qno]),0))</f>
        <v>1</v>
      </c>
      <c r="Q573" s="77" t="b" cm="1">
        <f t="array" ref="Q573">INDEX(stable[is_multi_select],MATCH(VALUE(questions[[#This Row],[qno]]),VALUE(stable[qno]),0))</f>
        <v>0</v>
      </c>
      <c r="R573" s="77" t="b" cm="1">
        <f t="array" ref="R573">INDEX(stable[is_skip_logic],MATCH(VALUE(questions[[#This Row],[qno]]),VALUE(stable[qno]),0))</f>
        <v>1</v>
      </c>
      <c r="S573" s="77" t="str">
        <f>_xlfn.TEXTJOIN(", ",TRUE,questions[[#This Row],[ans_opt_1]:[ans_opt_14]])</f>
        <v>Outside the coffee plot, Inside the coffee plot</v>
      </c>
      <c r="T573" s="77" t="s">
        <v>207</v>
      </c>
      <c r="U573" s="77" t="s">
        <v>208</v>
      </c>
      <c r="AH573" s="98" t="b">
        <f>INDEX(stable[q_standard],MATCH(questions[[#This Row],[qno]],stable[qno],0))</f>
        <v>0</v>
      </c>
      <c r="AI573" s="98" t="b">
        <f>INDEX(stable[q_living_income],MATCH(questions[[#This Row],[qno]],stable[qno],0))</f>
        <v>1</v>
      </c>
      <c r="AJ573" s="98" t="b">
        <f>INDEX(stable[q_carbon],MATCH(questions[[#This Row],[qno]],stable[qno],0))</f>
        <v>1</v>
      </c>
      <c r="AK573" s="98" t="b">
        <f>INDEX(stable[q_regen_ag],MATCH(questions[[#This Row],[qno]],stable[qno],0))</f>
        <v>0</v>
      </c>
      <c r="AL573" s="98" t="b">
        <f>COUNTIFS(stable[qno],questions[[#This Row],[qno]])=1</f>
        <v>1</v>
      </c>
      <c r="AM573" s="98" t="b">
        <f>OR(questions[[#This Row],[is_fixed]],questions[[#This Row],[is_localized]],questions[[#This Row],[is_supply_chain_dependent]])</f>
        <v>1</v>
      </c>
      <c r="AN573" s="98" t="b">
        <f>COUNTIFS(questions[[#This Row],[is_automated]:[is_multi_select]],TRUE)=1</f>
        <v>1</v>
      </c>
      <c r="AO573" s="98" t="b">
        <f>IF(questions[[#This Row],[is_fixed]],questions[[#This Row],[question]]=INDEX(stable[question],MATCH(questions[[#This Row],[qno]],stable[qno],0)),TRUE)</f>
        <v>1</v>
      </c>
      <c r="AP573" s="98" t="str">
        <f>LEFT(questions[[#This Row],[question]],similarity_range)</f>
        <v xml:space="preserve">From where was this </v>
      </c>
      <c r="AQ573" s="98" t="str">
        <f>LEFT(INDEX(stable[question],MATCH(questions[[#This Row],[qno]],stable[qno],0)),similarity_range)</f>
        <v xml:space="preserve">From where was this </v>
      </c>
      <c r="AR573" s="98" t="b">
        <f>questions[[#This Row],[question_first_characters]]=questions[[#This Row],[stability_first_characters]]</f>
        <v>1</v>
      </c>
      <c r="AS573" s="98" t="b">
        <f>IF(OR(questions[[#This Row],[is_single_select]],questions[[#This Row],[is_multi_select]]),NOT(ISBLANK(questions[[#This Row],[answer_opt_combined]])),TRUE)</f>
        <v>1</v>
      </c>
    </row>
    <row r="574" spans="1:45" s="77" customFormat="1" ht="15.75" customHeight="1" x14ac:dyDescent="0.25">
      <c r="A574" s="77" t="str">
        <f>_xlfn.TEXTJOIN("_",TRUE,questions[[#This Row],[origin]:[qno]])</f>
        <v>Rwanda_Arabica_Nestle_Illy_IMPACT_2024_5505</v>
      </c>
      <c r="B574" s="77" t="s">
        <v>719</v>
      </c>
      <c r="C574" s="77" t="s">
        <v>59</v>
      </c>
      <c r="D574" s="77" t="s">
        <v>720</v>
      </c>
      <c r="E574" s="77">
        <v>2024</v>
      </c>
      <c r="F574" s="105" t="s">
        <v>210</v>
      </c>
      <c r="G574" s="115" t="s">
        <v>769</v>
      </c>
      <c r="H574" s="9" t="str" cm="1">
        <f t="array" ref="H574">INDEX(stableR[question],MATCH(VALUE(questions[[#This Row],[qno]]),VALUE(stableR[qno]),0))</f>
        <v>If it was from outside the coffee plot, did you buy this mulch, or did it come from your own farm?</v>
      </c>
      <c r="I574" s="9" t="b" cm="1">
        <f t="array" ref="I574">INDEX(stable[is_fixed],MATCH(VALUE(questions[[#This Row],[qno]]),VALUE(stable[qno]),0))</f>
        <v>1</v>
      </c>
      <c r="J574" s="9" t="b" cm="1">
        <f t="array" ref="J574">INDEX(stable[is_localized],MATCH(VALUE(questions[[#This Row],[qno]]),VALUE(stable[qno]),0))</f>
        <v>0</v>
      </c>
      <c r="K574" s="9" t="b" cm="1">
        <f t="array" ref="K574">INDEX(stable[is_supply_chain_dependent],MATCH(VALUE(questions[[#This Row],[qno]]),VALUE(stable[qno]),0))</f>
        <v>0</v>
      </c>
      <c r="L574" s="9" t="b" cm="1">
        <f t="array" ref="L574">INDEX(stable[is_mandatory],MATCH(VALUE(questions[[#This Row],[qno]]),VALUE(stable[qno]),0))</f>
        <v>0</v>
      </c>
      <c r="M574" s="9" t="b" cm="1">
        <f t="array" ref="M574">INDEX(stable[is_automated],MATCH(VALUE(questions[[#This Row],[qno]]),VALUE(stable[qno]),0))</f>
        <v>0</v>
      </c>
      <c r="N574" s="9" t="b" cm="1">
        <f t="array" ref="N574">INDEX(stable[is_free_text],MATCH(VALUE(questions[[#This Row],[qno]]),VALUE(stable[qno]),0))</f>
        <v>0</v>
      </c>
      <c r="O574" s="9" t="b" cm="1">
        <f t="array" ref="O574">INDEX(stable[is_numerical],MATCH(VALUE(questions[[#This Row],[qno]]),VALUE(stable[qno]),0))</f>
        <v>0</v>
      </c>
      <c r="P574" s="77" t="b" cm="1">
        <f t="array" ref="P574">INDEX(stable[is_single_select],MATCH(VALUE(questions[[#This Row],[qno]]),VALUE(stable[qno]),0))</f>
        <v>1</v>
      </c>
      <c r="Q574" s="77" t="b" cm="1">
        <f t="array" ref="Q574">INDEX(stable[is_multi_select],MATCH(VALUE(questions[[#This Row],[qno]]),VALUE(stable[qno]),0))</f>
        <v>0</v>
      </c>
      <c r="R574" s="77" t="b" cm="1">
        <f t="array" ref="R574">INDEX(stable[is_skip_logic],MATCH(VALUE(questions[[#This Row],[qno]]),VALUE(stable[qno]),0))</f>
        <v>1</v>
      </c>
      <c r="S574" s="77" t="str">
        <f>_xlfn.TEXTJOIN(", ",TRUE,questions[[#This Row],[ans_opt_1]:[ans_opt_14]])</f>
        <v>Bought, From own farm</v>
      </c>
      <c r="T574" s="77" t="s">
        <v>185</v>
      </c>
      <c r="U574" s="77" t="s">
        <v>186</v>
      </c>
      <c r="AH574" s="98" t="b">
        <f>INDEX(stable[q_standard],MATCH(questions[[#This Row],[qno]],stable[qno],0))</f>
        <v>0</v>
      </c>
      <c r="AI574" s="98" t="b">
        <f>INDEX(stable[q_living_income],MATCH(questions[[#This Row],[qno]],stable[qno],0))</f>
        <v>1</v>
      </c>
      <c r="AJ574" s="98" t="b">
        <f>INDEX(stable[q_carbon],MATCH(questions[[#This Row],[qno]],stable[qno],0))</f>
        <v>1</v>
      </c>
      <c r="AK574" s="98" t="b">
        <f>INDEX(stable[q_regen_ag],MATCH(questions[[#This Row],[qno]],stable[qno],0))</f>
        <v>0</v>
      </c>
      <c r="AL574" s="98" t="b">
        <f>COUNTIFS(stable[qno],questions[[#This Row],[qno]])=1</f>
        <v>1</v>
      </c>
      <c r="AM574" s="98" t="b">
        <f>OR(questions[[#This Row],[is_fixed]],questions[[#This Row],[is_localized]],questions[[#This Row],[is_supply_chain_dependent]])</f>
        <v>1</v>
      </c>
      <c r="AN574" s="98" t="b">
        <f>COUNTIFS(questions[[#This Row],[is_automated]:[is_multi_select]],TRUE)=1</f>
        <v>1</v>
      </c>
      <c r="AO574" s="98" t="b">
        <f>IF(questions[[#This Row],[is_fixed]],questions[[#This Row],[question]]=INDEX(stable[question],MATCH(questions[[#This Row],[qno]],stable[qno],0)),TRUE)</f>
        <v>1</v>
      </c>
      <c r="AP574" s="98" t="str">
        <f>LEFT(questions[[#This Row],[question]],similarity_range)</f>
        <v>If it was from outsi</v>
      </c>
      <c r="AQ574" s="98" t="str">
        <f>LEFT(INDEX(stable[question],MATCH(questions[[#This Row],[qno]],stable[qno],0)),similarity_range)</f>
        <v>If it was from outsi</v>
      </c>
      <c r="AR574" s="98" t="b">
        <f>questions[[#This Row],[question_first_characters]]=questions[[#This Row],[stability_first_characters]]</f>
        <v>1</v>
      </c>
      <c r="AS574" s="98" t="b">
        <f>IF(OR(questions[[#This Row],[is_single_select]],questions[[#This Row],[is_multi_select]]),NOT(ISBLANK(questions[[#This Row],[answer_opt_combined]])),TRUE)</f>
        <v>1</v>
      </c>
    </row>
    <row r="575" spans="1:45" s="77" customFormat="1" ht="15.75" customHeight="1" x14ac:dyDescent="0.25">
      <c r="A575" s="77" t="str">
        <f>_xlfn.TEXTJOIN("_",TRUE,questions[[#This Row],[origin]:[qno]])</f>
        <v>Rwanda_Arabica_Nestle_Illy_IMPACT_2024_5600</v>
      </c>
      <c r="B575" s="77" t="s">
        <v>719</v>
      </c>
      <c r="C575" s="77" t="s">
        <v>59</v>
      </c>
      <c r="D575" s="77" t="s">
        <v>720</v>
      </c>
      <c r="E575" s="77">
        <v>2024</v>
      </c>
      <c r="F575" s="105" t="s">
        <v>212</v>
      </c>
      <c r="G575" s="78" t="s">
        <v>770</v>
      </c>
      <c r="H575" s="9" t="str" cm="1">
        <f t="array" ref="H575">INDEX(stableR[question],MATCH(VALUE(questions[[#This Row],[qno]]),VALUE(stableR[qno]),0))</f>
        <v xml:space="preserve">Did you use pesticides, fungicides or herbicides for your coffee last year? </v>
      </c>
      <c r="I575" s="9" t="b" cm="1">
        <f t="array" ref="I575">INDEX(stable[is_fixed],MATCH(VALUE(questions[[#This Row],[qno]]),VALUE(stable[qno]),0))</f>
        <v>1</v>
      </c>
      <c r="J575" s="9" t="b" cm="1">
        <f t="array" ref="J575">INDEX(stable[is_localized],MATCH(VALUE(questions[[#This Row],[qno]]),VALUE(stable[qno]),0))</f>
        <v>0</v>
      </c>
      <c r="K575" s="9" t="b" cm="1">
        <f t="array" ref="K575">INDEX(stable[is_supply_chain_dependent],MATCH(VALUE(questions[[#This Row],[qno]]),VALUE(stable[qno]),0))</f>
        <v>0</v>
      </c>
      <c r="L575" s="9" t="b" cm="1">
        <f t="array" ref="L575">INDEX(stable[is_mandatory],MATCH(VALUE(questions[[#This Row],[qno]]),VALUE(stable[qno]),0))</f>
        <v>1</v>
      </c>
      <c r="M575" s="9" t="b" cm="1">
        <f t="array" ref="M575">INDEX(stable[is_automated],MATCH(VALUE(questions[[#This Row],[qno]]),VALUE(stable[qno]),0))</f>
        <v>0</v>
      </c>
      <c r="N575" s="9" t="b" cm="1">
        <f t="array" ref="N575">INDEX(stable[is_free_text],MATCH(VALUE(questions[[#This Row],[qno]]),VALUE(stable[qno]),0))</f>
        <v>0</v>
      </c>
      <c r="O575" s="9" t="b" cm="1">
        <f t="array" ref="O575">INDEX(stable[is_numerical],MATCH(VALUE(questions[[#This Row],[qno]]),VALUE(stable[qno]),0))</f>
        <v>0</v>
      </c>
      <c r="P575" s="77" t="b" cm="1">
        <f t="array" ref="P575">INDEX(stable[is_single_select],MATCH(VALUE(questions[[#This Row],[qno]]),VALUE(stable[qno]),0))</f>
        <v>1</v>
      </c>
      <c r="Q575" s="77" t="b" cm="1">
        <f t="array" ref="Q575">INDEX(stable[is_multi_select],MATCH(VALUE(questions[[#This Row],[qno]]),VALUE(stable[qno]),0))</f>
        <v>0</v>
      </c>
      <c r="R575" s="77" t="b" cm="1">
        <f t="array" ref="R575">INDEX(stable[is_skip_logic],MATCH(VALUE(questions[[#This Row],[qno]]),VALUE(stable[qno]),0))</f>
        <v>1</v>
      </c>
      <c r="S575" s="77" t="str">
        <f>_xlfn.TEXTJOIN(", ",TRUE,questions[[#This Row],[ans_opt_1]:[ans_opt_14]])</f>
        <v>Yes, No</v>
      </c>
      <c r="T575" s="77" t="s">
        <v>149</v>
      </c>
      <c r="U575" s="77" t="s">
        <v>119</v>
      </c>
      <c r="AH575" s="98" t="b">
        <f>INDEX(stable[q_standard],MATCH(questions[[#This Row],[qno]],stable[qno],0))</f>
        <v>0</v>
      </c>
      <c r="AI575" s="98" t="b">
        <f>INDEX(stable[q_living_income],MATCH(questions[[#This Row],[qno]],stable[qno],0))</f>
        <v>1</v>
      </c>
      <c r="AJ575" s="98" t="b">
        <f>INDEX(stable[q_carbon],MATCH(questions[[#This Row],[qno]],stable[qno],0))</f>
        <v>1</v>
      </c>
      <c r="AK575" s="98" t="b">
        <f>INDEX(stable[q_regen_ag],MATCH(questions[[#This Row],[qno]],stable[qno],0))</f>
        <v>0</v>
      </c>
      <c r="AL575" s="98" t="b">
        <f>COUNTIFS(stable[qno],questions[[#This Row],[qno]])=1</f>
        <v>1</v>
      </c>
      <c r="AM575" s="98" t="b">
        <f>OR(questions[[#This Row],[is_fixed]],questions[[#This Row],[is_localized]],questions[[#This Row],[is_supply_chain_dependent]])</f>
        <v>1</v>
      </c>
      <c r="AN575" s="98" t="b">
        <f>COUNTIFS(questions[[#This Row],[is_automated]:[is_multi_select]],TRUE)=1</f>
        <v>1</v>
      </c>
      <c r="AO575" s="98" t="b">
        <f>IF(questions[[#This Row],[is_fixed]],questions[[#This Row],[question]]=INDEX(stable[question],MATCH(questions[[#This Row],[qno]],stable[qno],0)),TRUE)</f>
        <v>0</v>
      </c>
      <c r="AP575" s="98" t="str">
        <f>LEFT(questions[[#This Row],[question]],similarity_range)</f>
        <v>Did you use pesticid</v>
      </c>
      <c r="AQ575" s="98" t="str">
        <f>LEFT(INDEX(stable[question],MATCH(questions[[#This Row],[qno]],stable[qno],0)),similarity_range)</f>
        <v>Did you use pesticid</v>
      </c>
      <c r="AR575" s="98" t="b">
        <f>questions[[#This Row],[question_first_characters]]=questions[[#This Row],[stability_first_characters]]</f>
        <v>1</v>
      </c>
      <c r="AS575" s="98" t="b">
        <f>IF(OR(questions[[#This Row],[is_single_select]],questions[[#This Row],[is_multi_select]]),NOT(ISBLANK(questions[[#This Row],[answer_opt_combined]])),TRUE)</f>
        <v>1</v>
      </c>
    </row>
    <row r="576" spans="1:45" ht="15.75" customHeight="1" x14ac:dyDescent="0.25">
      <c r="A576" s="9" t="str">
        <f>_xlfn.TEXTJOIN("_",TRUE,questions[[#This Row],[origin]:[qno]])</f>
        <v>Rwanda_Arabica_Nestle_Illy_IMPACT_2024_5601</v>
      </c>
      <c r="B576" s="9" t="s">
        <v>719</v>
      </c>
      <c r="C576" s="9" t="s">
        <v>59</v>
      </c>
      <c r="D576" s="9" t="s">
        <v>720</v>
      </c>
      <c r="E576" s="9">
        <v>2024</v>
      </c>
      <c r="F576" s="36" t="s">
        <v>214</v>
      </c>
      <c r="G576" s="15" t="s">
        <v>215</v>
      </c>
      <c r="H576" s="9" t="str" cm="1">
        <f t="array" ref="H576">INDEX(stableR[question],MATCH(VALUE(questions[[#This Row],[qno]]),VALUE(stableR[qno]),0))</f>
        <v xml:space="preserve">If yes, how many types of pesticides, fungicides and/or herbicides did you use last year for your coffee, in total? </v>
      </c>
      <c r="I576" s="9" t="b" cm="1">
        <f t="array" ref="I576">INDEX(stable[is_fixed],MATCH(VALUE(questions[[#This Row],[qno]]),VALUE(stable[qno]),0))</f>
        <v>1</v>
      </c>
      <c r="J576" s="9" t="b" cm="1">
        <f t="array" ref="J576">INDEX(stable[is_localized],MATCH(VALUE(questions[[#This Row],[qno]]),VALUE(stable[qno]),0))</f>
        <v>0</v>
      </c>
      <c r="K576" s="9" t="b" cm="1">
        <f t="array" ref="K576">INDEX(stable[is_supply_chain_dependent],MATCH(VALUE(questions[[#This Row],[qno]]),VALUE(stable[qno]),0))</f>
        <v>0</v>
      </c>
      <c r="L576" s="9" t="b" cm="1">
        <f t="array" ref="L576">INDEX(stable[is_mandatory],MATCH(VALUE(questions[[#This Row],[qno]]),VALUE(stable[qno]),0))</f>
        <v>0</v>
      </c>
      <c r="M576" s="9" t="b" cm="1">
        <f t="array" ref="M576">INDEX(stable[is_automated],MATCH(VALUE(questions[[#This Row],[qno]]),VALUE(stable[qno]),0))</f>
        <v>0</v>
      </c>
      <c r="N576" s="9" t="b" cm="1">
        <f t="array" ref="N576">INDEX(stable[is_free_text],MATCH(VALUE(questions[[#This Row],[qno]]),VALUE(stable[qno]),0))</f>
        <v>0</v>
      </c>
      <c r="O576" s="9" t="b" cm="1">
        <f t="array" ref="O576">INDEX(stable[is_numerical],MATCH(VALUE(questions[[#This Row],[qno]]),VALUE(stable[qno]),0))</f>
        <v>1</v>
      </c>
      <c r="P576" s="9" t="b" cm="1">
        <f t="array" ref="P576">INDEX(stable[is_single_select],MATCH(VALUE(questions[[#This Row],[qno]]),VALUE(stable[qno]),0))</f>
        <v>0</v>
      </c>
      <c r="Q576" s="9" t="b" cm="1">
        <f t="array" ref="Q576">INDEX(stable[is_multi_select],MATCH(VALUE(questions[[#This Row],[qno]]),VALUE(stable[qno]),0))</f>
        <v>0</v>
      </c>
      <c r="R576" s="9" t="b" cm="1">
        <f t="array" ref="R576">INDEX(stable[is_skip_logic],MATCH(VALUE(questions[[#This Row],[qno]]),VALUE(stable[qno]),0))</f>
        <v>1</v>
      </c>
      <c r="S576" s="9" t="str">
        <f>_xlfn.TEXTJOIN(", ",TRUE,questions[[#This Row],[ans_opt_1]:[ans_opt_14]])</f>
        <v/>
      </c>
      <c r="AH576" s="16" t="b">
        <f>INDEX(stable[q_standard],MATCH(questions[[#This Row],[qno]],stable[qno],0))</f>
        <v>0</v>
      </c>
      <c r="AI576" s="16" t="b">
        <f>INDEX(stable[q_living_income],MATCH(questions[[#This Row],[qno]],stable[qno],0))</f>
        <v>1</v>
      </c>
      <c r="AJ576" s="16" t="b">
        <f>INDEX(stable[q_carbon],MATCH(questions[[#This Row],[qno]],stable[qno],0))</f>
        <v>1</v>
      </c>
      <c r="AK576" s="16" t="b">
        <f>INDEX(stable[q_regen_ag],MATCH(questions[[#This Row],[qno]],stable[qno],0))</f>
        <v>0</v>
      </c>
      <c r="AL576" s="16" t="b">
        <f>COUNTIFS(stable[qno],questions[[#This Row],[qno]])=1</f>
        <v>1</v>
      </c>
      <c r="AM576" s="16" t="b">
        <f>OR(questions[[#This Row],[is_fixed]],questions[[#This Row],[is_localized]],questions[[#This Row],[is_supply_chain_dependent]])</f>
        <v>1</v>
      </c>
      <c r="AN576" s="16" t="b">
        <f>COUNTIFS(questions[[#This Row],[is_automated]:[is_multi_select]],TRUE)=1</f>
        <v>1</v>
      </c>
      <c r="AO576" s="16" t="b">
        <f>IF(questions[[#This Row],[is_fixed]],questions[[#This Row],[question]]=INDEX(stable[question],MATCH(questions[[#This Row],[qno]],stable[qno],0)),TRUE)</f>
        <v>0</v>
      </c>
      <c r="AP576" s="16" t="str">
        <f>LEFT(questions[[#This Row],[question]],similarity_range)</f>
        <v>If yes, how many typ</v>
      </c>
      <c r="AQ576" s="16" t="str">
        <f>LEFT(INDEX(stable[question],MATCH(questions[[#This Row],[qno]],stable[qno],0)),similarity_range)</f>
        <v>If yes, how many typ</v>
      </c>
      <c r="AR576" s="16" t="b">
        <f>questions[[#This Row],[question_first_characters]]=questions[[#This Row],[stability_first_characters]]</f>
        <v>1</v>
      </c>
      <c r="AS576" s="16" t="b">
        <f>IF(OR(questions[[#This Row],[is_single_select]],questions[[#This Row],[is_multi_select]]),NOT(ISBLANK(questions[[#This Row],[answer_opt_combined]])),TRUE)</f>
        <v>1</v>
      </c>
    </row>
    <row r="577" spans="1:45" ht="15.75" customHeight="1" x14ac:dyDescent="0.25">
      <c r="A577" s="9" t="str">
        <f>_xlfn.TEXTJOIN("_",TRUE,questions[[#This Row],[origin]:[qno]])</f>
        <v>Rwanda_Arabica_Nestle_Illy_IMPACT_2024_5610</v>
      </c>
      <c r="B577" s="9" t="s">
        <v>719</v>
      </c>
      <c r="C577" s="9" t="s">
        <v>59</v>
      </c>
      <c r="D577" s="9" t="s">
        <v>720</v>
      </c>
      <c r="E577" s="9">
        <v>2024</v>
      </c>
      <c r="F577" s="36" t="s">
        <v>216</v>
      </c>
      <c r="G577" s="15" t="s">
        <v>771</v>
      </c>
      <c r="H577" s="9" t="str" cm="1">
        <f t="array" ref="H577">INDEX(stableR[question],MATCH(VALUE(questions[[#This Row],[qno]]),VALUE(stableR[qno]),0))</f>
        <v>What was the name of the pesticide/fungicide or herbicide that you used most, last year?</v>
      </c>
      <c r="I577" s="9" t="b" cm="1">
        <f t="array" ref="I577">INDEX(stable[is_fixed],MATCH(VALUE(questions[[#This Row],[qno]]),VALUE(stable[qno]),0))</f>
        <v>1</v>
      </c>
      <c r="J577" s="9" t="b" cm="1">
        <f t="array" ref="J577">INDEX(stable[is_localized],MATCH(VALUE(questions[[#This Row],[qno]]),VALUE(stable[qno]),0))</f>
        <v>0</v>
      </c>
      <c r="K577" s="9" t="b" cm="1">
        <f t="array" ref="K577">INDEX(stable[is_supply_chain_dependent],MATCH(VALUE(questions[[#This Row],[qno]]),VALUE(stable[qno]),0))</f>
        <v>0</v>
      </c>
      <c r="L577" s="9" t="b" cm="1">
        <f t="array" ref="L577">INDEX(stable[is_mandatory],MATCH(VALUE(questions[[#This Row],[qno]]),VALUE(stable[qno]),0))</f>
        <v>0</v>
      </c>
      <c r="M577" s="9" t="b" cm="1">
        <f t="array" ref="M577">INDEX(stable[is_automated],MATCH(VALUE(questions[[#This Row],[qno]]),VALUE(stable[qno]),0))</f>
        <v>0</v>
      </c>
      <c r="N577" s="9" t="b" cm="1">
        <f t="array" ref="N577">INDEX(stable[is_free_text],MATCH(VALUE(questions[[#This Row],[qno]]),VALUE(stable[qno]),0))</f>
        <v>1</v>
      </c>
      <c r="O577" s="9" t="b" cm="1">
        <f t="array" ref="O577">INDEX(stable[is_numerical],MATCH(VALUE(questions[[#This Row],[qno]]),VALUE(stable[qno]),0))</f>
        <v>0</v>
      </c>
      <c r="P577" s="9" t="b" cm="1">
        <f t="array" ref="P577">INDEX(stable[is_single_select],MATCH(VALUE(questions[[#This Row],[qno]]),VALUE(stable[qno]),0))</f>
        <v>0</v>
      </c>
      <c r="Q577" s="9" t="b" cm="1">
        <f t="array" ref="Q577">INDEX(stable[is_multi_select],MATCH(VALUE(questions[[#This Row],[qno]]),VALUE(stable[qno]),0))</f>
        <v>0</v>
      </c>
      <c r="R577" s="9" t="b" cm="1">
        <f t="array" ref="R577">INDEX(stable[is_skip_logic],MATCH(VALUE(questions[[#This Row],[qno]]),VALUE(stable[qno]),0))</f>
        <v>1</v>
      </c>
      <c r="S577" s="9" t="str">
        <f>_xlfn.TEXTJOIN(", ",TRUE,questions[[#This Row],[ans_opt_1]:[ans_opt_14]])</f>
        <v/>
      </c>
      <c r="AH577" s="16" t="b">
        <f>INDEX(stable[q_standard],MATCH(questions[[#This Row],[qno]],stable[qno],0))</f>
        <v>0</v>
      </c>
      <c r="AI577" s="16" t="b">
        <f>INDEX(stable[q_living_income],MATCH(questions[[#This Row],[qno]],stable[qno],0))</f>
        <v>1</v>
      </c>
      <c r="AJ577" s="16" t="b">
        <f>INDEX(stable[q_carbon],MATCH(questions[[#This Row],[qno]],stable[qno],0))</f>
        <v>1</v>
      </c>
      <c r="AK577" s="16" t="b">
        <f>INDEX(stable[q_regen_ag],MATCH(questions[[#This Row],[qno]],stable[qno],0))</f>
        <v>0</v>
      </c>
      <c r="AL577" s="16" t="b">
        <f>COUNTIFS(stable[qno],questions[[#This Row],[qno]])=1</f>
        <v>1</v>
      </c>
      <c r="AM577" s="16" t="b">
        <f>OR(questions[[#This Row],[is_fixed]],questions[[#This Row],[is_localized]],questions[[#This Row],[is_supply_chain_dependent]])</f>
        <v>1</v>
      </c>
      <c r="AN577" s="16" t="b">
        <f>COUNTIFS(questions[[#This Row],[is_automated]:[is_multi_select]],TRUE)=1</f>
        <v>1</v>
      </c>
      <c r="AO577" s="16" t="b">
        <f>IF(questions[[#This Row],[is_fixed]],questions[[#This Row],[question]]=INDEX(stable[question],MATCH(questions[[#This Row],[qno]],stable[qno],0)),TRUE)</f>
        <v>0</v>
      </c>
      <c r="AP577" s="16" t="str">
        <f>LEFT(questions[[#This Row],[question]],similarity_range)</f>
        <v>If yes, what was the</v>
      </c>
      <c r="AQ577" s="16" t="str">
        <f>LEFT(INDEX(stable[question],MATCH(questions[[#This Row],[qno]],stable[qno],0)),similarity_range)</f>
        <v>If yes, what was the</v>
      </c>
      <c r="AR577" s="16" t="b">
        <f>questions[[#This Row],[question_first_characters]]=questions[[#This Row],[stability_first_characters]]</f>
        <v>1</v>
      </c>
      <c r="AS577" s="16" t="b">
        <f>IF(OR(questions[[#This Row],[is_single_select]],questions[[#This Row],[is_multi_select]]),NOT(ISBLANK(questions[[#This Row],[answer_opt_combined]])),TRUE)</f>
        <v>1</v>
      </c>
    </row>
    <row r="578" spans="1:45" ht="15.75" customHeight="1" x14ac:dyDescent="0.25">
      <c r="A578" s="9" t="str">
        <f>_xlfn.TEXTJOIN("_",TRUE,questions[[#This Row],[origin]:[qno]])</f>
        <v>Rwanda_Arabica_Nestle_Illy_IMPACT_2024_5611</v>
      </c>
      <c r="B578" s="9" t="s">
        <v>719</v>
      </c>
      <c r="C578" s="9" t="s">
        <v>59</v>
      </c>
      <c r="D578" s="9" t="s">
        <v>720</v>
      </c>
      <c r="E578" s="9">
        <v>2024</v>
      </c>
      <c r="F578" s="36" t="s">
        <v>218</v>
      </c>
      <c r="G578" s="15" t="s">
        <v>219</v>
      </c>
      <c r="H578" s="9" t="str" cm="1">
        <f t="array" ref="H578">INDEX(stableR[question],MATCH(VALUE(questions[[#This Row],[qno]]),VALUE(stableR[qno]),0))</f>
        <v>What was the quantity used of this most used pesticide/fungicide/herbicide last year?</v>
      </c>
      <c r="I578" s="9" t="b" cm="1">
        <f t="array" ref="I578">INDEX(stable[is_fixed],MATCH(VALUE(questions[[#This Row],[qno]]),VALUE(stable[qno]),0))</f>
        <v>1</v>
      </c>
      <c r="J578" s="9" t="b" cm="1">
        <f t="array" ref="J578">INDEX(stable[is_localized],MATCH(VALUE(questions[[#This Row],[qno]]),VALUE(stable[qno]),0))</f>
        <v>0</v>
      </c>
      <c r="K578" s="9" t="b" cm="1">
        <f t="array" ref="K578">INDEX(stable[is_supply_chain_dependent],MATCH(VALUE(questions[[#This Row],[qno]]),VALUE(stable[qno]),0))</f>
        <v>0</v>
      </c>
      <c r="L578" s="9" t="b" cm="1">
        <f t="array" ref="L578">INDEX(stable[is_mandatory],MATCH(VALUE(questions[[#This Row],[qno]]),VALUE(stable[qno]),0))</f>
        <v>0</v>
      </c>
      <c r="M578" s="9" t="b" cm="1">
        <f t="array" ref="M578">INDEX(stable[is_automated],MATCH(VALUE(questions[[#This Row],[qno]]),VALUE(stable[qno]),0))</f>
        <v>0</v>
      </c>
      <c r="N578" s="9" t="b" cm="1">
        <f t="array" ref="N578">INDEX(stable[is_free_text],MATCH(VALUE(questions[[#This Row],[qno]]),VALUE(stable[qno]),0))</f>
        <v>0</v>
      </c>
      <c r="O578" s="9" t="b" cm="1">
        <f t="array" ref="O578">INDEX(stable[is_numerical],MATCH(VALUE(questions[[#This Row],[qno]]),VALUE(stable[qno]),0))</f>
        <v>1</v>
      </c>
      <c r="P578" s="9" t="b" cm="1">
        <f t="array" ref="P578">INDEX(stable[is_single_select],MATCH(VALUE(questions[[#This Row],[qno]]),VALUE(stable[qno]),0))</f>
        <v>0</v>
      </c>
      <c r="Q578" s="9" t="b" cm="1">
        <f t="array" ref="Q578">INDEX(stable[is_multi_select],MATCH(VALUE(questions[[#This Row],[qno]]),VALUE(stable[qno]),0))</f>
        <v>0</v>
      </c>
      <c r="R578" s="9" t="b" cm="1">
        <f t="array" ref="R578">INDEX(stable[is_skip_logic],MATCH(VALUE(questions[[#This Row],[qno]]),VALUE(stable[qno]),0))</f>
        <v>1</v>
      </c>
      <c r="S578" s="9" t="str">
        <f>_xlfn.TEXTJOIN(", ",TRUE,questions[[#This Row],[ans_opt_1]:[ans_opt_14]])</f>
        <v/>
      </c>
      <c r="AH578" s="16" t="b">
        <f>INDEX(stable[q_standard],MATCH(questions[[#This Row],[qno]],stable[qno],0))</f>
        <v>0</v>
      </c>
      <c r="AI578" s="16" t="b">
        <f>INDEX(stable[q_living_income],MATCH(questions[[#This Row],[qno]],stable[qno],0))</f>
        <v>1</v>
      </c>
      <c r="AJ578" s="16" t="b">
        <f>INDEX(stable[q_carbon],MATCH(questions[[#This Row],[qno]],stable[qno],0))</f>
        <v>1</v>
      </c>
      <c r="AK578" s="16" t="b">
        <f>INDEX(stable[q_regen_ag],MATCH(questions[[#This Row],[qno]],stable[qno],0))</f>
        <v>0</v>
      </c>
      <c r="AL578" s="16" t="b">
        <f>COUNTIFS(stable[qno],questions[[#This Row],[qno]])=1</f>
        <v>1</v>
      </c>
      <c r="AM578" s="16" t="b">
        <f>OR(questions[[#This Row],[is_fixed]],questions[[#This Row],[is_localized]],questions[[#This Row],[is_supply_chain_dependent]])</f>
        <v>1</v>
      </c>
      <c r="AN578" s="16" t="b">
        <f>COUNTIFS(questions[[#This Row],[is_automated]:[is_multi_select]],TRUE)=1</f>
        <v>1</v>
      </c>
      <c r="AO578" s="16" t="b">
        <f>IF(questions[[#This Row],[is_fixed]],questions[[#This Row],[question]]=INDEX(stable[question],MATCH(questions[[#This Row],[qno]],stable[qno],0)),TRUE)</f>
        <v>1</v>
      </c>
      <c r="AP578" s="16" t="str">
        <f>LEFT(questions[[#This Row],[question]],similarity_range)</f>
        <v>What was the quantit</v>
      </c>
      <c r="AQ578" s="16" t="str">
        <f>LEFT(INDEX(stable[question],MATCH(questions[[#This Row],[qno]],stable[qno],0)),similarity_range)</f>
        <v>What was the quantit</v>
      </c>
      <c r="AR578" s="16" t="b">
        <f>questions[[#This Row],[question_first_characters]]=questions[[#This Row],[stability_first_characters]]</f>
        <v>1</v>
      </c>
      <c r="AS578" s="16" t="b">
        <f>IF(OR(questions[[#This Row],[is_single_select]],questions[[#This Row],[is_multi_select]]),NOT(ISBLANK(questions[[#This Row],[answer_opt_combined]])),TRUE)</f>
        <v>1</v>
      </c>
    </row>
    <row r="579" spans="1:45" s="77" customFormat="1" ht="15.75" customHeight="1" x14ac:dyDescent="0.25">
      <c r="A579" s="77" t="str">
        <f>_xlfn.TEXTJOIN("_",TRUE,questions[[#This Row],[origin]:[qno]])</f>
        <v>Rwanda_Arabica_Nestle_Illy_IMPACT_2024_5612</v>
      </c>
      <c r="B579" s="77" t="s">
        <v>719</v>
      </c>
      <c r="C579" s="77" t="s">
        <v>59</v>
      </c>
      <c r="D579" s="77" t="s">
        <v>720</v>
      </c>
      <c r="E579" s="77">
        <v>2024</v>
      </c>
      <c r="F579" s="105" t="s">
        <v>220</v>
      </c>
      <c r="G579" s="78" t="s">
        <v>772</v>
      </c>
      <c r="H579" s="9" t="str" cm="1">
        <f t="array" ref="H579">INDEX(stableR[question],MATCH(VALUE(questions[[#This Row],[qno]]),VALUE(stableR[qno]),0))</f>
        <v>What was the unit of this most used pesticide/fungicide/herbicide?</v>
      </c>
      <c r="I579" s="9" t="b" cm="1">
        <f t="array" ref="I579">INDEX(stable[is_fixed],MATCH(VALUE(questions[[#This Row],[qno]]),VALUE(stable[qno]),0))</f>
        <v>1</v>
      </c>
      <c r="J579" s="9" t="b" cm="1">
        <f t="array" ref="J579">INDEX(stable[is_localized],MATCH(VALUE(questions[[#This Row],[qno]]),VALUE(stable[qno]),0))</f>
        <v>0</v>
      </c>
      <c r="K579" s="9" t="b" cm="1">
        <f t="array" ref="K579">INDEX(stable[is_supply_chain_dependent],MATCH(VALUE(questions[[#This Row],[qno]]),VALUE(stable[qno]),0))</f>
        <v>0</v>
      </c>
      <c r="L579" s="9" t="b" cm="1">
        <f t="array" ref="L579">INDEX(stable[is_mandatory],MATCH(VALUE(questions[[#This Row],[qno]]),VALUE(stable[qno]),0))</f>
        <v>0</v>
      </c>
      <c r="M579" s="9" t="b" cm="1">
        <f t="array" ref="M579">INDEX(stable[is_automated],MATCH(VALUE(questions[[#This Row],[qno]]),VALUE(stable[qno]),0))</f>
        <v>0</v>
      </c>
      <c r="N579" s="9" t="b" cm="1">
        <f t="array" ref="N579">INDEX(stable[is_free_text],MATCH(VALUE(questions[[#This Row],[qno]]),VALUE(stable[qno]),0))</f>
        <v>0</v>
      </c>
      <c r="O579" s="9" t="b" cm="1">
        <f t="array" ref="O579">INDEX(stable[is_numerical],MATCH(VALUE(questions[[#This Row],[qno]]),VALUE(stable[qno]),0))</f>
        <v>0</v>
      </c>
      <c r="P579" s="77" t="b" cm="1">
        <f t="array" ref="P579">INDEX(stable[is_single_select],MATCH(VALUE(questions[[#This Row],[qno]]),VALUE(stable[qno]),0))</f>
        <v>1</v>
      </c>
      <c r="Q579" s="77" t="b" cm="1">
        <f t="array" ref="Q579">INDEX(stable[is_multi_select],MATCH(VALUE(questions[[#This Row],[qno]]),VALUE(stable[qno]),0))</f>
        <v>0</v>
      </c>
      <c r="R579" s="77" t="b" cm="1">
        <f t="array" ref="R579">INDEX(stable[is_skip_logic],MATCH(VALUE(questions[[#This Row],[qno]]),VALUE(stable[qno]),0))</f>
        <v>1</v>
      </c>
      <c r="S579" s="77" t="str">
        <f>_xlfn.TEXTJOIN(", ",TRUE,questions[[#This Row],[ans_opt_1]:[ans_opt_14]])</f>
        <v>Kgs, Grams, Liters, Mililiters</v>
      </c>
      <c r="T579" s="77" t="s">
        <v>222</v>
      </c>
      <c r="U579" s="77" t="s">
        <v>223</v>
      </c>
      <c r="V579" s="77" t="s">
        <v>224</v>
      </c>
      <c r="W579" s="77" t="s">
        <v>225</v>
      </c>
      <c r="AH579" s="98" t="b">
        <f>INDEX(stable[q_standard],MATCH(questions[[#This Row],[qno]],stable[qno],0))</f>
        <v>0</v>
      </c>
      <c r="AI579" s="98" t="b">
        <f>INDEX(stable[q_living_income],MATCH(questions[[#This Row],[qno]],stable[qno],0))</f>
        <v>1</v>
      </c>
      <c r="AJ579" s="98" t="b">
        <f>INDEX(stable[q_carbon],MATCH(questions[[#This Row],[qno]],stable[qno],0))</f>
        <v>1</v>
      </c>
      <c r="AK579" s="98" t="b">
        <f>INDEX(stable[q_regen_ag],MATCH(questions[[#This Row],[qno]],stable[qno],0))</f>
        <v>0</v>
      </c>
      <c r="AL579" s="98" t="b">
        <f>COUNTIFS(stable[qno],questions[[#This Row],[qno]])=1</f>
        <v>1</v>
      </c>
      <c r="AM579" s="98" t="b">
        <f>OR(questions[[#This Row],[is_fixed]],questions[[#This Row],[is_localized]],questions[[#This Row],[is_supply_chain_dependent]])</f>
        <v>1</v>
      </c>
      <c r="AN579" s="98" t="b">
        <f>COUNTIFS(questions[[#This Row],[is_automated]:[is_multi_select]],TRUE)=1</f>
        <v>1</v>
      </c>
      <c r="AO579" s="98" t="b">
        <f>IF(questions[[#This Row],[is_fixed]],questions[[#This Row],[question]]=INDEX(stable[question],MATCH(questions[[#This Row],[qno]],stable[qno],0)),TRUE)</f>
        <v>0</v>
      </c>
      <c r="AP579" s="98" t="str">
        <f>LEFT(questions[[#This Row],[question]],similarity_range)</f>
        <v>What was the unit of</v>
      </c>
      <c r="AQ579" s="98" t="str">
        <f>LEFT(INDEX(stable[question],MATCH(questions[[#This Row],[qno]],stable[qno],0)),similarity_range)</f>
        <v>What was the unit of</v>
      </c>
      <c r="AR579" s="98" t="b">
        <f>questions[[#This Row],[question_first_characters]]=questions[[#This Row],[stability_first_characters]]</f>
        <v>1</v>
      </c>
      <c r="AS579" s="98" t="b">
        <f>IF(OR(questions[[#This Row],[is_single_select]],questions[[#This Row],[is_multi_select]]),NOT(ISBLANK(questions[[#This Row],[answer_opt_combined]])),TRUE)</f>
        <v>1</v>
      </c>
    </row>
    <row r="580" spans="1:45" ht="15.75" customHeight="1" x14ac:dyDescent="0.25">
      <c r="A580" s="9" t="str">
        <f>_xlfn.TEXTJOIN("_",TRUE,questions[[#This Row],[origin]:[qno]])</f>
        <v>Rwanda_Arabica_Nestle_Illy_IMPACT_2024_5620</v>
      </c>
      <c r="B580" s="9" t="s">
        <v>719</v>
      </c>
      <c r="C580" s="9" t="s">
        <v>59</v>
      </c>
      <c r="D580" s="9" t="s">
        <v>720</v>
      </c>
      <c r="E580" s="9">
        <v>2024</v>
      </c>
      <c r="F580" s="36" t="s">
        <v>226</v>
      </c>
      <c r="G580" s="15" t="s">
        <v>773</v>
      </c>
      <c r="H580" s="9" t="str" cm="1">
        <f t="array" ref="H580">INDEX(stableR[question],MATCH(VALUE(questions[[#This Row],[qno]]),VALUE(stableR[qno]),0))</f>
        <v>What was the name of the pesticide/fungicide or herbicide that you used second most, last year?</v>
      </c>
      <c r="I580" s="9" t="b" cm="1">
        <f t="array" ref="I580">INDEX(stable[is_fixed],MATCH(VALUE(questions[[#This Row],[qno]]),VALUE(stable[qno]),0))</f>
        <v>1</v>
      </c>
      <c r="J580" s="9" t="b" cm="1">
        <f t="array" ref="J580">INDEX(stable[is_localized],MATCH(VALUE(questions[[#This Row],[qno]]),VALUE(stable[qno]),0))</f>
        <v>0</v>
      </c>
      <c r="K580" s="9" t="b" cm="1">
        <f t="array" ref="K580">INDEX(stable[is_supply_chain_dependent],MATCH(VALUE(questions[[#This Row],[qno]]),VALUE(stable[qno]),0))</f>
        <v>0</v>
      </c>
      <c r="L580" s="9" t="b" cm="1">
        <f t="array" ref="L580">INDEX(stable[is_mandatory],MATCH(VALUE(questions[[#This Row],[qno]]),VALUE(stable[qno]),0))</f>
        <v>0</v>
      </c>
      <c r="M580" s="9" t="b" cm="1">
        <f t="array" ref="M580">INDEX(stable[is_automated],MATCH(VALUE(questions[[#This Row],[qno]]),VALUE(stable[qno]),0))</f>
        <v>0</v>
      </c>
      <c r="N580" s="9" t="b" cm="1">
        <f t="array" ref="N580">INDEX(stable[is_free_text],MATCH(VALUE(questions[[#This Row],[qno]]),VALUE(stable[qno]),0))</f>
        <v>1</v>
      </c>
      <c r="O580" s="9" t="b" cm="1">
        <f t="array" ref="O580">INDEX(stable[is_numerical],MATCH(VALUE(questions[[#This Row],[qno]]),VALUE(stable[qno]),0))</f>
        <v>0</v>
      </c>
      <c r="P580" s="9" t="b" cm="1">
        <f t="array" ref="P580">INDEX(stable[is_single_select],MATCH(VALUE(questions[[#This Row],[qno]]),VALUE(stable[qno]),0))</f>
        <v>0</v>
      </c>
      <c r="Q580" s="9" t="b" cm="1">
        <f t="array" ref="Q580">INDEX(stable[is_multi_select],MATCH(VALUE(questions[[#This Row],[qno]]),VALUE(stable[qno]),0))</f>
        <v>0</v>
      </c>
      <c r="R580" s="9" t="b" cm="1">
        <f t="array" ref="R580">INDEX(stable[is_skip_logic],MATCH(VALUE(questions[[#This Row],[qno]]),VALUE(stable[qno]),0))</f>
        <v>1</v>
      </c>
      <c r="S580" s="9" t="str">
        <f>_xlfn.TEXTJOIN(", ",TRUE,questions[[#This Row],[ans_opt_1]:[ans_opt_14]])</f>
        <v/>
      </c>
      <c r="AH580" s="16" t="b">
        <f>INDEX(stable[q_standard],MATCH(questions[[#This Row],[qno]],stable[qno],0))</f>
        <v>0</v>
      </c>
      <c r="AI580" s="16" t="b">
        <f>INDEX(stable[q_living_income],MATCH(questions[[#This Row],[qno]],stable[qno],0))</f>
        <v>1</v>
      </c>
      <c r="AJ580" s="16" t="b">
        <f>INDEX(stable[q_carbon],MATCH(questions[[#This Row],[qno]],stable[qno],0))</f>
        <v>1</v>
      </c>
      <c r="AK580" s="16" t="b">
        <f>INDEX(stable[q_regen_ag],MATCH(questions[[#This Row],[qno]],stable[qno],0))</f>
        <v>0</v>
      </c>
      <c r="AL580" s="16" t="b">
        <f>COUNTIFS(stable[qno],questions[[#This Row],[qno]])=1</f>
        <v>1</v>
      </c>
      <c r="AM580" s="16" t="b">
        <f>OR(questions[[#This Row],[is_fixed]],questions[[#This Row],[is_localized]],questions[[#This Row],[is_supply_chain_dependent]])</f>
        <v>1</v>
      </c>
      <c r="AN580" s="16" t="b">
        <f>COUNTIFS(questions[[#This Row],[is_automated]:[is_multi_select]],TRUE)=1</f>
        <v>1</v>
      </c>
      <c r="AO580" s="16" t="b">
        <f>IF(questions[[#This Row],[is_fixed]],questions[[#This Row],[question]]=INDEX(stable[question],MATCH(questions[[#This Row],[qno]],stable[qno],0)),TRUE)</f>
        <v>0</v>
      </c>
      <c r="AP580" s="16" t="str">
        <f>LEFT(questions[[#This Row],[question]],similarity_range)</f>
        <v>If yes, what was the</v>
      </c>
      <c r="AQ580" s="16" t="str">
        <f>LEFT(INDEX(stable[question],MATCH(questions[[#This Row],[qno]],stable[qno],0)),similarity_range)</f>
        <v>If yes, what was the</v>
      </c>
      <c r="AR580" s="16" t="b">
        <f>questions[[#This Row],[question_first_characters]]=questions[[#This Row],[stability_first_characters]]</f>
        <v>1</v>
      </c>
      <c r="AS580" s="16" t="b">
        <f>IF(OR(questions[[#This Row],[is_single_select]],questions[[#This Row],[is_multi_select]]),NOT(ISBLANK(questions[[#This Row],[answer_opt_combined]])),TRUE)</f>
        <v>1</v>
      </c>
    </row>
    <row r="581" spans="1:45" ht="15.75" customHeight="1" x14ac:dyDescent="0.25">
      <c r="A581" s="9" t="str">
        <f>_xlfn.TEXTJOIN("_",TRUE,questions[[#This Row],[origin]:[qno]])</f>
        <v>Rwanda_Arabica_Nestle_Illy_IMPACT_2024_5621</v>
      </c>
      <c r="B581" s="9" t="s">
        <v>719</v>
      </c>
      <c r="C581" s="9" t="s">
        <v>59</v>
      </c>
      <c r="D581" s="9" t="s">
        <v>720</v>
      </c>
      <c r="E581" s="9">
        <v>2024</v>
      </c>
      <c r="F581" s="36" t="s">
        <v>228</v>
      </c>
      <c r="G581" s="15" t="s">
        <v>229</v>
      </c>
      <c r="H581" s="9" t="str" cm="1">
        <f t="array" ref="H581">INDEX(stableR[question],MATCH(VALUE(questions[[#This Row],[qno]]),VALUE(stableR[qno]),0))</f>
        <v>What was the quantity used of this second most used pesticide/fungicide/herbicide last year?</v>
      </c>
      <c r="I581" s="9" t="b" cm="1">
        <f t="array" ref="I581">INDEX(stable[is_fixed],MATCH(VALUE(questions[[#This Row],[qno]]),VALUE(stable[qno]),0))</f>
        <v>1</v>
      </c>
      <c r="J581" s="9" t="b" cm="1">
        <f t="array" ref="J581">INDEX(stable[is_localized],MATCH(VALUE(questions[[#This Row],[qno]]),VALUE(stable[qno]),0))</f>
        <v>0</v>
      </c>
      <c r="K581" s="9" t="b" cm="1">
        <f t="array" ref="K581">INDEX(stable[is_supply_chain_dependent],MATCH(VALUE(questions[[#This Row],[qno]]),VALUE(stable[qno]),0))</f>
        <v>0</v>
      </c>
      <c r="L581" s="9" t="b" cm="1">
        <f t="array" ref="L581">INDEX(stable[is_mandatory],MATCH(VALUE(questions[[#This Row],[qno]]),VALUE(stable[qno]),0))</f>
        <v>0</v>
      </c>
      <c r="M581" s="9" t="b" cm="1">
        <f t="array" ref="M581">INDEX(stable[is_automated],MATCH(VALUE(questions[[#This Row],[qno]]),VALUE(stable[qno]),0))</f>
        <v>0</v>
      </c>
      <c r="N581" s="9" t="b" cm="1">
        <f t="array" ref="N581">INDEX(stable[is_free_text],MATCH(VALUE(questions[[#This Row],[qno]]),VALUE(stable[qno]),0))</f>
        <v>0</v>
      </c>
      <c r="O581" s="9" t="b" cm="1">
        <f t="array" ref="O581">INDEX(stable[is_numerical],MATCH(VALUE(questions[[#This Row],[qno]]),VALUE(stable[qno]),0))</f>
        <v>1</v>
      </c>
      <c r="P581" s="9" t="b" cm="1">
        <f t="array" ref="P581">INDEX(stable[is_single_select],MATCH(VALUE(questions[[#This Row],[qno]]),VALUE(stable[qno]),0))</f>
        <v>0</v>
      </c>
      <c r="Q581" s="9" t="b" cm="1">
        <f t="array" ref="Q581">INDEX(stable[is_multi_select],MATCH(VALUE(questions[[#This Row],[qno]]),VALUE(stable[qno]),0))</f>
        <v>0</v>
      </c>
      <c r="R581" s="9" t="b" cm="1">
        <f t="array" ref="R581">INDEX(stable[is_skip_logic],MATCH(VALUE(questions[[#This Row],[qno]]),VALUE(stable[qno]),0))</f>
        <v>1</v>
      </c>
      <c r="S581" s="9" t="str">
        <f>_xlfn.TEXTJOIN(", ",TRUE,questions[[#This Row],[ans_opt_1]:[ans_opt_14]])</f>
        <v/>
      </c>
      <c r="AH581" s="16" t="b">
        <f>INDEX(stable[q_standard],MATCH(questions[[#This Row],[qno]],stable[qno],0))</f>
        <v>0</v>
      </c>
      <c r="AI581" s="16" t="b">
        <f>INDEX(stable[q_living_income],MATCH(questions[[#This Row],[qno]],stable[qno],0))</f>
        <v>1</v>
      </c>
      <c r="AJ581" s="16" t="b">
        <f>INDEX(stable[q_carbon],MATCH(questions[[#This Row],[qno]],stable[qno],0))</f>
        <v>1</v>
      </c>
      <c r="AK581" s="16" t="b">
        <f>INDEX(stable[q_regen_ag],MATCH(questions[[#This Row],[qno]],stable[qno],0))</f>
        <v>0</v>
      </c>
      <c r="AL581" s="16" t="b">
        <f>COUNTIFS(stable[qno],questions[[#This Row],[qno]])=1</f>
        <v>1</v>
      </c>
      <c r="AM581" s="16" t="b">
        <f>OR(questions[[#This Row],[is_fixed]],questions[[#This Row],[is_localized]],questions[[#This Row],[is_supply_chain_dependent]])</f>
        <v>1</v>
      </c>
      <c r="AN581" s="16" t="b">
        <f>COUNTIFS(questions[[#This Row],[is_automated]:[is_multi_select]],TRUE)=1</f>
        <v>1</v>
      </c>
      <c r="AO581" s="16" t="b">
        <f>IF(questions[[#This Row],[is_fixed]],questions[[#This Row],[question]]=INDEX(stable[question],MATCH(questions[[#This Row],[qno]],stable[qno],0)),TRUE)</f>
        <v>1</v>
      </c>
      <c r="AP581" s="16" t="str">
        <f>LEFT(questions[[#This Row],[question]],similarity_range)</f>
        <v>What was the quantit</v>
      </c>
      <c r="AQ581" s="16" t="str">
        <f>LEFT(INDEX(stable[question],MATCH(questions[[#This Row],[qno]],stable[qno],0)),similarity_range)</f>
        <v>What was the quantit</v>
      </c>
      <c r="AR581" s="16" t="b">
        <f>questions[[#This Row],[question_first_characters]]=questions[[#This Row],[stability_first_characters]]</f>
        <v>1</v>
      </c>
      <c r="AS581" s="16" t="b">
        <f>IF(OR(questions[[#This Row],[is_single_select]],questions[[#This Row],[is_multi_select]]),NOT(ISBLANK(questions[[#This Row],[answer_opt_combined]])),TRUE)</f>
        <v>1</v>
      </c>
    </row>
    <row r="582" spans="1:45" s="77" customFormat="1" ht="15.75" customHeight="1" x14ac:dyDescent="0.25">
      <c r="A582" s="77" t="str">
        <f>_xlfn.TEXTJOIN("_",TRUE,questions[[#This Row],[origin]:[qno]])</f>
        <v>Rwanda_Arabica_Nestle_Illy_IMPACT_2024_5622</v>
      </c>
      <c r="B582" s="77" t="s">
        <v>719</v>
      </c>
      <c r="C582" s="77" t="s">
        <v>59</v>
      </c>
      <c r="D582" s="77" t="s">
        <v>720</v>
      </c>
      <c r="E582" s="77">
        <v>2024</v>
      </c>
      <c r="F582" s="105" t="s">
        <v>230</v>
      </c>
      <c r="G582" s="78" t="s">
        <v>774</v>
      </c>
      <c r="H582" s="9" t="str" cm="1">
        <f t="array" ref="H582">INDEX(stableR[question],MATCH(VALUE(questions[[#This Row],[qno]]),VALUE(stableR[qno]),0))</f>
        <v>What was the unit of this second most used pesticide/fungicide/herbicide?</v>
      </c>
      <c r="I582" s="9" t="b" cm="1">
        <f t="array" ref="I582">INDEX(stable[is_fixed],MATCH(VALUE(questions[[#This Row],[qno]]),VALUE(stable[qno]),0))</f>
        <v>1</v>
      </c>
      <c r="J582" s="9" t="b" cm="1">
        <f t="array" ref="J582">INDEX(stable[is_localized],MATCH(VALUE(questions[[#This Row],[qno]]),VALUE(stable[qno]),0))</f>
        <v>0</v>
      </c>
      <c r="K582" s="9" t="b" cm="1">
        <f t="array" ref="K582">INDEX(stable[is_supply_chain_dependent],MATCH(VALUE(questions[[#This Row],[qno]]),VALUE(stable[qno]),0))</f>
        <v>0</v>
      </c>
      <c r="L582" s="9" t="b" cm="1">
        <f t="array" ref="L582">INDEX(stable[is_mandatory],MATCH(VALUE(questions[[#This Row],[qno]]),VALUE(stable[qno]),0))</f>
        <v>0</v>
      </c>
      <c r="M582" s="9" t="b" cm="1">
        <f t="array" ref="M582">INDEX(stable[is_automated],MATCH(VALUE(questions[[#This Row],[qno]]),VALUE(stable[qno]),0))</f>
        <v>0</v>
      </c>
      <c r="N582" s="9" t="b" cm="1">
        <f t="array" ref="N582">INDEX(stable[is_free_text],MATCH(VALUE(questions[[#This Row],[qno]]),VALUE(stable[qno]),0))</f>
        <v>0</v>
      </c>
      <c r="O582" s="9" t="b" cm="1">
        <f t="array" ref="O582">INDEX(stable[is_numerical],MATCH(VALUE(questions[[#This Row],[qno]]),VALUE(stable[qno]),0))</f>
        <v>0</v>
      </c>
      <c r="P582" s="77" t="b" cm="1">
        <f t="array" ref="P582">INDEX(stable[is_single_select],MATCH(VALUE(questions[[#This Row],[qno]]),VALUE(stable[qno]),0))</f>
        <v>1</v>
      </c>
      <c r="Q582" s="77" t="b" cm="1">
        <f t="array" ref="Q582">INDEX(stable[is_multi_select],MATCH(VALUE(questions[[#This Row],[qno]]),VALUE(stable[qno]),0))</f>
        <v>0</v>
      </c>
      <c r="R582" s="77" t="b" cm="1">
        <f t="array" ref="R582">INDEX(stable[is_skip_logic],MATCH(VALUE(questions[[#This Row],[qno]]),VALUE(stable[qno]),0))</f>
        <v>1</v>
      </c>
      <c r="S582" s="77" t="str">
        <f>_xlfn.TEXTJOIN(", ",TRUE,questions[[#This Row],[ans_opt_1]:[ans_opt_14]])</f>
        <v>Kgs, Grams, Liters, Mililiters</v>
      </c>
      <c r="T582" s="77" t="s">
        <v>222</v>
      </c>
      <c r="U582" s="77" t="s">
        <v>223</v>
      </c>
      <c r="V582" s="77" t="s">
        <v>224</v>
      </c>
      <c r="W582" s="77" t="s">
        <v>225</v>
      </c>
      <c r="AH582" s="98" t="b">
        <f>INDEX(stable[q_standard],MATCH(questions[[#This Row],[qno]],stable[qno],0))</f>
        <v>0</v>
      </c>
      <c r="AI582" s="98" t="b">
        <f>INDEX(stable[q_living_income],MATCH(questions[[#This Row],[qno]],stable[qno],0))</f>
        <v>1</v>
      </c>
      <c r="AJ582" s="98" t="b">
        <f>INDEX(stable[q_carbon],MATCH(questions[[#This Row],[qno]],stable[qno],0))</f>
        <v>1</v>
      </c>
      <c r="AK582" s="98" t="b">
        <f>INDEX(stable[q_regen_ag],MATCH(questions[[#This Row],[qno]],stable[qno],0))</f>
        <v>0</v>
      </c>
      <c r="AL582" s="98" t="b">
        <f>COUNTIFS(stable[qno],questions[[#This Row],[qno]])=1</f>
        <v>1</v>
      </c>
      <c r="AM582" s="98" t="b">
        <f>OR(questions[[#This Row],[is_fixed]],questions[[#This Row],[is_localized]],questions[[#This Row],[is_supply_chain_dependent]])</f>
        <v>1</v>
      </c>
      <c r="AN582" s="98" t="b">
        <f>COUNTIFS(questions[[#This Row],[is_automated]:[is_multi_select]],TRUE)=1</f>
        <v>1</v>
      </c>
      <c r="AO582" s="98" t="b">
        <f>IF(questions[[#This Row],[is_fixed]],questions[[#This Row],[question]]=INDEX(stable[question],MATCH(questions[[#This Row],[qno]],stable[qno],0)),TRUE)</f>
        <v>0</v>
      </c>
      <c r="AP582" s="98" t="str">
        <f>LEFT(questions[[#This Row],[question]],similarity_range)</f>
        <v>What was the unit of</v>
      </c>
      <c r="AQ582" s="98" t="str">
        <f>LEFT(INDEX(stable[question],MATCH(questions[[#This Row],[qno]],stable[qno],0)),similarity_range)</f>
        <v>What was the unit of</v>
      </c>
      <c r="AR582" s="98" t="b">
        <f>questions[[#This Row],[question_first_characters]]=questions[[#This Row],[stability_first_characters]]</f>
        <v>1</v>
      </c>
      <c r="AS582" s="98" t="b">
        <f>IF(OR(questions[[#This Row],[is_single_select]],questions[[#This Row],[is_multi_select]]),NOT(ISBLANK(questions[[#This Row],[answer_opt_combined]])),TRUE)</f>
        <v>1</v>
      </c>
    </row>
    <row r="583" spans="1:45" ht="15.75" customHeight="1" x14ac:dyDescent="0.25">
      <c r="A583" s="9" t="str">
        <f>_xlfn.TEXTJOIN("_",TRUE,questions[[#This Row],[origin]:[qno]])</f>
        <v>Rwanda_Arabica_Nestle_Illy_IMPACT_2024_5630</v>
      </c>
      <c r="B583" s="9" t="s">
        <v>719</v>
      </c>
      <c r="C583" s="9" t="s">
        <v>59</v>
      </c>
      <c r="D583" s="9" t="s">
        <v>720</v>
      </c>
      <c r="E583" s="9">
        <v>2024</v>
      </c>
      <c r="F583" s="36" t="s">
        <v>232</v>
      </c>
      <c r="G583" s="15" t="s">
        <v>775</v>
      </c>
      <c r="H583" s="9" t="str" cm="1">
        <f t="array" ref="H583">INDEX(stableR[question],MATCH(VALUE(questions[[#This Row],[qno]]),VALUE(stableR[qno]),0))</f>
        <v>What was the name of the pesticide/fungicide or herbicide that you used third most, last year?</v>
      </c>
      <c r="I583" s="9" t="b" cm="1">
        <f t="array" ref="I583">INDEX(stable[is_fixed],MATCH(VALUE(questions[[#This Row],[qno]]),VALUE(stable[qno]),0))</f>
        <v>1</v>
      </c>
      <c r="J583" s="9" t="b" cm="1">
        <f t="array" ref="J583">INDEX(stable[is_localized],MATCH(VALUE(questions[[#This Row],[qno]]),VALUE(stable[qno]),0))</f>
        <v>0</v>
      </c>
      <c r="K583" s="9" t="b" cm="1">
        <f t="array" ref="K583">INDEX(stable[is_supply_chain_dependent],MATCH(VALUE(questions[[#This Row],[qno]]),VALUE(stable[qno]),0))</f>
        <v>0</v>
      </c>
      <c r="L583" s="9" t="b" cm="1">
        <f t="array" ref="L583">INDEX(stable[is_mandatory],MATCH(VALUE(questions[[#This Row],[qno]]),VALUE(stable[qno]),0))</f>
        <v>0</v>
      </c>
      <c r="M583" s="9" t="b" cm="1">
        <f t="array" ref="M583">INDEX(stable[is_automated],MATCH(VALUE(questions[[#This Row],[qno]]),VALUE(stable[qno]),0))</f>
        <v>0</v>
      </c>
      <c r="N583" s="9" t="b" cm="1">
        <f t="array" ref="N583">INDEX(stable[is_free_text],MATCH(VALUE(questions[[#This Row],[qno]]),VALUE(stable[qno]),0))</f>
        <v>1</v>
      </c>
      <c r="O583" s="9" t="b" cm="1">
        <f t="array" ref="O583">INDEX(stable[is_numerical],MATCH(VALUE(questions[[#This Row],[qno]]),VALUE(stable[qno]),0))</f>
        <v>0</v>
      </c>
      <c r="P583" s="9" t="b" cm="1">
        <f t="array" ref="P583">INDEX(stable[is_single_select],MATCH(VALUE(questions[[#This Row],[qno]]),VALUE(stable[qno]),0))</f>
        <v>0</v>
      </c>
      <c r="Q583" s="9" t="b" cm="1">
        <f t="array" ref="Q583">INDEX(stable[is_multi_select],MATCH(VALUE(questions[[#This Row],[qno]]),VALUE(stable[qno]),0))</f>
        <v>0</v>
      </c>
      <c r="R583" s="9" t="b" cm="1">
        <f t="array" ref="R583">INDEX(stable[is_skip_logic],MATCH(VALUE(questions[[#This Row],[qno]]),VALUE(stable[qno]),0))</f>
        <v>1</v>
      </c>
      <c r="S583" s="9" t="str">
        <f>_xlfn.TEXTJOIN(", ",TRUE,questions[[#This Row],[ans_opt_1]:[ans_opt_14]])</f>
        <v/>
      </c>
      <c r="AH583" s="16" t="b">
        <f>INDEX(stable[q_standard],MATCH(questions[[#This Row],[qno]],stable[qno],0))</f>
        <v>0</v>
      </c>
      <c r="AI583" s="16" t="b">
        <f>INDEX(stable[q_living_income],MATCH(questions[[#This Row],[qno]],stable[qno],0))</f>
        <v>1</v>
      </c>
      <c r="AJ583" s="16" t="b">
        <f>INDEX(stable[q_carbon],MATCH(questions[[#This Row],[qno]],stable[qno],0))</f>
        <v>1</v>
      </c>
      <c r="AK583" s="16" t="b">
        <f>INDEX(stable[q_regen_ag],MATCH(questions[[#This Row],[qno]],stable[qno],0))</f>
        <v>0</v>
      </c>
      <c r="AL583" s="16" t="b">
        <f>COUNTIFS(stable[qno],questions[[#This Row],[qno]])=1</f>
        <v>1</v>
      </c>
      <c r="AM583" s="16" t="b">
        <f>OR(questions[[#This Row],[is_fixed]],questions[[#This Row],[is_localized]],questions[[#This Row],[is_supply_chain_dependent]])</f>
        <v>1</v>
      </c>
      <c r="AN583" s="16" t="b">
        <f>COUNTIFS(questions[[#This Row],[is_automated]:[is_multi_select]],TRUE)=1</f>
        <v>1</v>
      </c>
      <c r="AO583" s="16" t="b">
        <f>IF(questions[[#This Row],[is_fixed]],questions[[#This Row],[question]]=INDEX(stable[question],MATCH(questions[[#This Row],[qno]],stable[qno],0)),TRUE)</f>
        <v>0</v>
      </c>
      <c r="AP583" s="16" t="str">
        <f>LEFT(questions[[#This Row],[question]],similarity_range)</f>
        <v>If yes, what was the</v>
      </c>
      <c r="AQ583" s="16" t="str">
        <f>LEFT(INDEX(stable[question],MATCH(questions[[#This Row],[qno]],stable[qno],0)),similarity_range)</f>
        <v>If yes, what was the</v>
      </c>
      <c r="AR583" s="16" t="b">
        <f>questions[[#This Row],[question_first_characters]]=questions[[#This Row],[stability_first_characters]]</f>
        <v>1</v>
      </c>
      <c r="AS583" s="16" t="b">
        <f>IF(OR(questions[[#This Row],[is_single_select]],questions[[#This Row],[is_multi_select]]),NOT(ISBLANK(questions[[#This Row],[answer_opt_combined]])),TRUE)</f>
        <v>1</v>
      </c>
    </row>
    <row r="584" spans="1:45" ht="15.75" customHeight="1" x14ac:dyDescent="0.25">
      <c r="A584" s="9" t="str">
        <f>_xlfn.TEXTJOIN("_",TRUE,questions[[#This Row],[origin]:[qno]])</f>
        <v>Rwanda_Arabica_Nestle_Illy_IMPACT_2024_5631</v>
      </c>
      <c r="B584" s="9" t="s">
        <v>719</v>
      </c>
      <c r="C584" s="9" t="s">
        <v>59</v>
      </c>
      <c r="D584" s="9" t="s">
        <v>720</v>
      </c>
      <c r="E584" s="9">
        <v>2024</v>
      </c>
      <c r="F584" s="36" t="s">
        <v>234</v>
      </c>
      <c r="G584" s="15" t="s">
        <v>235</v>
      </c>
      <c r="H584" s="9" t="str" cm="1">
        <f t="array" ref="H584">INDEX(stableR[question],MATCH(VALUE(questions[[#This Row],[qno]]),VALUE(stableR[qno]),0))</f>
        <v>What was the quantity used of this third most used pesticide/fungicide/herbicide last year?</v>
      </c>
      <c r="I584" s="9" t="b" cm="1">
        <f t="array" ref="I584">INDEX(stable[is_fixed],MATCH(VALUE(questions[[#This Row],[qno]]),VALUE(stable[qno]),0))</f>
        <v>1</v>
      </c>
      <c r="J584" s="9" t="b" cm="1">
        <f t="array" ref="J584">INDEX(stable[is_localized],MATCH(VALUE(questions[[#This Row],[qno]]),VALUE(stable[qno]),0))</f>
        <v>0</v>
      </c>
      <c r="K584" s="9" t="b" cm="1">
        <f t="array" ref="K584">INDEX(stable[is_supply_chain_dependent],MATCH(VALUE(questions[[#This Row],[qno]]),VALUE(stable[qno]),0))</f>
        <v>0</v>
      </c>
      <c r="L584" s="9" t="b" cm="1">
        <f t="array" ref="L584">INDEX(stable[is_mandatory],MATCH(VALUE(questions[[#This Row],[qno]]),VALUE(stable[qno]),0))</f>
        <v>0</v>
      </c>
      <c r="M584" s="9" t="b" cm="1">
        <f t="array" ref="M584">INDEX(stable[is_automated],MATCH(VALUE(questions[[#This Row],[qno]]),VALUE(stable[qno]),0))</f>
        <v>0</v>
      </c>
      <c r="N584" s="9" t="b" cm="1">
        <f t="array" ref="N584">INDEX(stable[is_free_text],MATCH(VALUE(questions[[#This Row],[qno]]),VALUE(stable[qno]),0))</f>
        <v>0</v>
      </c>
      <c r="O584" s="9" t="b" cm="1">
        <f t="array" ref="O584">INDEX(stable[is_numerical],MATCH(VALUE(questions[[#This Row],[qno]]),VALUE(stable[qno]),0))</f>
        <v>1</v>
      </c>
      <c r="P584" s="9" t="b" cm="1">
        <f t="array" ref="P584">INDEX(stable[is_single_select],MATCH(VALUE(questions[[#This Row],[qno]]),VALUE(stable[qno]),0))</f>
        <v>0</v>
      </c>
      <c r="Q584" s="9" t="b" cm="1">
        <f t="array" ref="Q584">INDEX(stable[is_multi_select],MATCH(VALUE(questions[[#This Row],[qno]]),VALUE(stable[qno]),0))</f>
        <v>0</v>
      </c>
      <c r="R584" s="9" t="b" cm="1">
        <f t="array" ref="R584">INDEX(stable[is_skip_logic],MATCH(VALUE(questions[[#This Row],[qno]]),VALUE(stable[qno]),0))</f>
        <v>1</v>
      </c>
      <c r="S584" s="9" t="str">
        <f>_xlfn.TEXTJOIN(", ",TRUE,questions[[#This Row],[ans_opt_1]:[ans_opt_14]])</f>
        <v/>
      </c>
      <c r="AH584" s="16" t="b">
        <f>INDEX(stable[q_standard],MATCH(questions[[#This Row],[qno]],stable[qno],0))</f>
        <v>0</v>
      </c>
      <c r="AI584" s="16" t="b">
        <f>INDEX(stable[q_living_income],MATCH(questions[[#This Row],[qno]],stable[qno],0))</f>
        <v>1</v>
      </c>
      <c r="AJ584" s="16" t="b">
        <f>INDEX(stable[q_carbon],MATCH(questions[[#This Row],[qno]],stable[qno],0))</f>
        <v>1</v>
      </c>
      <c r="AK584" s="16" t="b">
        <f>INDEX(stable[q_regen_ag],MATCH(questions[[#This Row],[qno]],stable[qno],0))</f>
        <v>0</v>
      </c>
      <c r="AL584" s="16" t="b">
        <f>COUNTIFS(stable[qno],questions[[#This Row],[qno]])=1</f>
        <v>1</v>
      </c>
      <c r="AM584" s="16" t="b">
        <f>OR(questions[[#This Row],[is_fixed]],questions[[#This Row],[is_localized]],questions[[#This Row],[is_supply_chain_dependent]])</f>
        <v>1</v>
      </c>
      <c r="AN584" s="16" t="b">
        <f>COUNTIFS(questions[[#This Row],[is_automated]:[is_multi_select]],TRUE)=1</f>
        <v>1</v>
      </c>
      <c r="AO584" s="16" t="b">
        <f>IF(questions[[#This Row],[is_fixed]],questions[[#This Row],[question]]=INDEX(stable[question],MATCH(questions[[#This Row],[qno]],stable[qno],0)),TRUE)</f>
        <v>1</v>
      </c>
      <c r="AP584" s="16" t="str">
        <f>LEFT(questions[[#This Row],[question]],similarity_range)</f>
        <v>What was the quantit</v>
      </c>
      <c r="AQ584" s="16" t="str">
        <f>LEFT(INDEX(stable[question],MATCH(questions[[#This Row],[qno]],stable[qno],0)),similarity_range)</f>
        <v>What was the quantit</v>
      </c>
      <c r="AR584" s="16" t="b">
        <f>questions[[#This Row],[question_first_characters]]=questions[[#This Row],[stability_first_characters]]</f>
        <v>1</v>
      </c>
      <c r="AS584" s="16" t="b">
        <f>IF(OR(questions[[#This Row],[is_single_select]],questions[[#This Row],[is_multi_select]]),NOT(ISBLANK(questions[[#This Row],[answer_opt_combined]])),TRUE)</f>
        <v>1</v>
      </c>
    </row>
    <row r="585" spans="1:45" s="77" customFormat="1" ht="15.75" customHeight="1" x14ac:dyDescent="0.25">
      <c r="A585" s="77" t="str">
        <f>_xlfn.TEXTJOIN("_",TRUE,questions[[#This Row],[origin]:[qno]])</f>
        <v>Rwanda_Arabica_Nestle_Illy_IMPACT_2024_5632</v>
      </c>
      <c r="B585" s="77" t="s">
        <v>719</v>
      </c>
      <c r="C585" s="77" t="s">
        <v>59</v>
      </c>
      <c r="D585" s="77" t="s">
        <v>720</v>
      </c>
      <c r="E585" s="77">
        <v>2024</v>
      </c>
      <c r="F585" s="105" t="s">
        <v>236</v>
      </c>
      <c r="G585" s="78" t="s">
        <v>776</v>
      </c>
      <c r="H585" s="9" t="str" cm="1">
        <f t="array" ref="H585">INDEX(stableR[question],MATCH(VALUE(questions[[#This Row],[qno]]),VALUE(stableR[qno]),0))</f>
        <v>What was the unit of this third most used pesticide/fungicide/herbicide</v>
      </c>
      <c r="I585" s="9" t="b" cm="1">
        <f t="array" ref="I585">INDEX(stable[is_fixed],MATCH(VALUE(questions[[#This Row],[qno]]),VALUE(stable[qno]),0))</f>
        <v>1</v>
      </c>
      <c r="J585" s="9" t="b" cm="1">
        <f t="array" ref="J585">INDEX(stable[is_localized],MATCH(VALUE(questions[[#This Row],[qno]]),VALUE(stable[qno]),0))</f>
        <v>0</v>
      </c>
      <c r="K585" s="9" t="b" cm="1">
        <f t="array" ref="K585">INDEX(stable[is_supply_chain_dependent],MATCH(VALUE(questions[[#This Row],[qno]]),VALUE(stable[qno]),0))</f>
        <v>0</v>
      </c>
      <c r="L585" s="9" t="b" cm="1">
        <f t="array" ref="L585">INDEX(stable[is_mandatory],MATCH(VALUE(questions[[#This Row],[qno]]),VALUE(stable[qno]),0))</f>
        <v>0</v>
      </c>
      <c r="M585" s="9" t="b" cm="1">
        <f t="array" ref="M585">INDEX(stable[is_automated],MATCH(VALUE(questions[[#This Row],[qno]]),VALUE(stable[qno]),0))</f>
        <v>0</v>
      </c>
      <c r="N585" s="9" t="b" cm="1">
        <f t="array" ref="N585">INDEX(stable[is_free_text],MATCH(VALUE(questions[[#This Row],[qno]]),VALUE(stable[qno]),0))</f>
        <v>0</v>
      </c>
      <c r="O585" s="9" t="b" cm="1">
        <f t="array" ref="O585">INDEX(stable[is_numerical],MATCH(VALUE(questions[[#This Row],[qno]]),VALUE(stable[qno]),0))</f>
        <v>0</v>
      </c>
      <c r="P585" s="77" t="b" cm="1">
        <f t="array" ref="P585">INDEX(stable[is_single_select],MATCH(VALUE(questions[[#This Row],[qno]]),VALUE(stable[qno]),0))</f>
        <v>1</v>
      </c>
      <c r="Q585" s="77" t="b" cm="1">
        <f t="array" ref="Q585">INDEX(stable[is_multi_select],MATCH(VALUE(questions[[#This Row],[qno]]),VALUE(stable[qno]),0))</f>
        <v>0</v>
      </c>
      <c r="R585" s="77" t="b" cm="1">
        <f t="array" ref="R585">INDEX(stable[is_skip_logic],MATCH(VALUE(questions[[#This Row],[qno]]),VALUE(stable[qno]),0))</f>
        <v>1</v>
      </c>
      <c r="S585" s="77" t="str">
        <f>_xlfn.TEXTJOIN(", ",TRUE,questions[[#This Row],[ans_opt_1]:[ans_opt_14]])</f>
        <v>Kgs, Grams, Liters, Mililiters</v>
      </c>
      <c r="T585" s="77" t="s">
        <v>222</v>
      </c>
      <c r="U585" s="77" t="s">
        <v>223</v>
      </c>
      <c r="V585" s="77" t="s">
        <v>224</v>
      </c>
      <c r="W585" s="77" t="s">
        <v>225</v>
      </c>
      <c r="AH585" s="98" t="b">
        <f>INDEX(stable[q_standard],MATCH(questions[[#This Row],[qno]],stable[qno],0))</f>
        <v>0</v>
      </c>
      <c r="AI585" s="98" t="b">
        <f>INDEX(stable[q_living_income],MATCH(questions[[#This Row],[qno]],stable[qno],0))</f>
        <v>1</v>
      </c>
      <c r="AJ585" s="98" t="b">
        <f>INDEX(stable[q_carbon],MATCH(questions[[#This Row],[qno]],stable[qno],0))</f>
        <v>1</v>
      </c>
      <c r="AK585" s="98" t="b">
        <f>INDEX(stable[q_regen_ag],MATCH(questions[[#This Row],[qno]],stable[qno],0))</f>
        <v>0</v>
      </c>
      <c r="AL585" s="98" t="b">
        <f>COUNTIFS(stable[qno],questions[[#This Row],[qno]])=1</f>
        <v>1</v>
      </c>
      <c r="AM585" s="98" t="b">
        <f>OR(questions[[#This Row],[is_fixed]],questions[[#This Row],[is_localized]],questions[[#This Row],[is_supply_chain_dependent]])</f>
        <v>1</v>
      </c>
      <c r="AN585" s="98" t="b">
        <f>COUNTIFS(questions[[#This Row],[is_automated]:[is_multi_select]],TRUE)=1</f>
        <v>1</v>
      </c>
      <c r="AO585" s="98" t="b">
        <f>IF(questions[[#This Row],[is_fixed]],questions[[#This Row],[question]]=INDEX(stable[question],MATCH(questions[[#This Row],[qno]],stable[qno],0)),TRUE)</f>
        <v>0</v>
      </c>
      <c r="AP585" s="98" t="str">
        <f>LEFT(questions[[#This Row],[question]],similarity_range)</f>
        <v>What was the unit of</v>
      </c>
      <c r="AQ585" s="98" t="str">
        <f>LEFT(INDEX(stable[question],MATCH(questions[[#This Row],[qno]],stable[qno],0)),similarity_range)</f>
        <v>What was the unit of</v>
      </c>
      <c r="AR585" s="98" t="b">
        <f>questions[[#This Row],[question_first_characters]]=questions[[#This Row],[stability_first_characters]]</f>
        <v>1</v>
      </c>
      <c r="AS585" s="98" t="b">
        <f>IF(OR(questions[[#This Row],[is_single_select]],questions[[#This Row],[is_multi_select]]),NOT(ISBLANK(questions[[#This Row],[answer_opt_combined]])),TRUE)</f>
        <v>1</v>
      </c>
    </row>
    <row r="586" spans="1:45" s="77" customFormat="1" ht="15.75" customHeight="1" x14ac:dyDescent="0.25">
      <c r="A586" s="77" t="str">
        <f>_xlfn.TEXTJOIN("_",TRUE,questions[[#This Row],[origin]:[qno]])</f>
        <v>Rwanda_Arabica_Nestle_Illy_IMPACT_2024_6000</v>
      </c>
      <c r="B586" s="77" t="s">
        <v>719</v>
      </c>
      <c r="C586" s="77" t="s">
        <v>59</v>
      </c>
      <c r="D586" s="77" t="s">
        <v>720</v>
      </c>
      <c r="E586" s="77">
        <v>2024</v>
      </c>
      <c r="F586" s="105" t="s">
        <v>238</v>
      </c>
      <c r="G586" s="78" t="s">
        <v>239</v>
      </c>
      <c r="H586" s="9" t="str" cm="1">
        <f t="array" ref="H586">INDEX(stableR[question],MATCH(VALUE(questions[[#This Row],[qno]]),VALUE(stableR[qno]),0))</f>
        <v>Did you hire any permanent laborer's, for your coffee plots, last year?</v>
      </c>
      <c r="I586" s="9" t="b" cm="1">
        <f t="array" ref="I586">INDEX(stable[is_fixed],MATCH(VALUE(questions[[#This Row],[qno]]),VALUE(stable[qno]),0))</f>
        <v>1</v>
      </c>
      <c r="J586" s="9" t="b" cm="1">
        <f t="array" ref="J586">INDEX(stable[is_localized],MATCH(VALUE(questions[[#This Row],[qno]]),VALUE(stable[qno]),0))</f>
        <v>0</v>
      </c>
      <c r="K586" s="9" t="b" cm="1">
        <f t="array" ref="K586">INDEX(stable[is_supply_chain_dependent],MATCH(VALUE(questions[[#This Row],[qno]]),VALUE(stable[qno]),0))</f>
        <v>0</v>
      </c>
      <c r="L586" s="9" t="b" cm="1">
        <f t="array" ref="L586">INDEX(stable[is_mandatory],MATCH(VALUE(questions[[#This Row],[qno]]),VALUE(stable[qno]),0))</f>
        <v>1</v>
      </c>
      <c r="M586" s="9" t="b" cm="1">
        <f t="array" ref="M586">INDEX(stable[is_automated],MATCH(VALUE(questions[[#This Row],[qno]]),VALUE(stable[qno]),0))</f>
        <v>0</v>
      </c>
      <c r="N586" s="9" t="b" cm="1">
        <f t="array" ref="N586">INDEX(stable[is_free_text],MATCH(VALUE(questions[[#This Row],[qno]]),VALUE(stable[qno]),0))</f>
        <v>0</v>
      </c>
      <c r="O586" s="9" t="b" cm="1">
        <f t="array" ref="O586">INDEX(stable[is_numerical],MATCH(VALUE(questions[[#This Row],[qno]]),VALUE(stable[qno]),0))</f>
        <v>0</v>
      </c>
      <c r="P586" s="77" t="b" cm="1">
        <f t="array" ref="P586">INDEX(stable[is_single_select],MATCH(VALUE(questions[[#This Row],[qno]]),VALUE(stable[qno]),0))</f>
        <v>1</v>
      </c>
      <c r="Q586" s="77" t="b" cm="1">
        <f t="array" ref="Q586">INDEX(stable[is_multi_select],MATCH(VALUE(questions[[#This Row],[qno]]),VALUE(stable[qno]),0))</f>
        <v>0</v>
      </c>
      <c r="R586" s="77" t="b" cm="1">
        <f t="array" ref="R586">INDEX(stable[is_skip_logic],MATCH(VALUE(questions[[#This Row],[qno]]),VALUE(stable[qno]),0))</f>
        <v>1</v>
      </c>
      <c r="S586" s="77" t="str">
        <f>_xlfn.TEXTJOIN(", ",TRUE,questions[[#This Row],[ans_opt_1]:[ans_opt_14]])</f>
        <v>Yes, No</v>
      </c>
      <c r="T586" s="77" t="s">
        <v>149</v>
      </c>
      <c r="U586" s="77" t="s">
        <v>119</v>
      </c>
      <c r="AH586" s="98" t="b">
        <f>INDEX(stable[q_standard],MATCH(questions[[#This Row],[qno]],stable[qno],0))</f>
        <v>0</v>
      </c>
      <c r="AI586" s="98" t="b">
        <f>INDEX(stable[q_living_income],MATCH(questions[[#This Row],[qno]],stable[qno],0))</f>
        <v>1</v>
      </c>
      <c r="AJ586" s="98" t="b">
        <f>INDEX(stable[q_carbon],MATCH(questions[[#This Row],[qno]],stable[qno],0))</f>
        <v>0</v>
      </c>
      <c r="AK586" s="98" t="b">
        <f>INDEX(stable[q_regen_ag],MATCH(questions[[#This Row],[qno]],stable[qno],0))</f>
        <v>0</v>
      </c>
      <c r="AL586" s="98" t="b">
        <f>COUNTIFS(stable[qno],questions[[#This Row],[qno]])=1</f>
        <v>1</v>
      </c>
      <c r="AM586" s="98" t="b">
        <f>OR(questions[[#This Row],[is_fixed]],questions[[#This Row],[is_localized]],questions[[#This Row],[is_supply_chain_dependent]])</f>
        <v>1</v>
      </c>
      <c r="AN586" s="98" t="b">
        <f>COUNTIFS(questions[[#This Row],[is_automated]:[is_multi_select]],TRUE)=1</f>
        <v>1</v>
      </c>
      <c r="AO586" s="98" t="b">
        <f>IF(questions[[#This Row],[is_fixed]],questions[[#This Row],[question]]=INDEX(stable[question],MATCH(questions[[#This Row],[qno]],stable[qno],0)),TRUE)</f>
        <v>1</v>
      </c>
      <c r="AP586" s="98" t="str">
        <f>LEFT(questions[[#This Row],[question]],similarity_range)</f>
        <v>Did you hire any per</v>
      </c>
      <c r="AQ586" s="98" t="str">
        <f>LEFT(INDEX(stable[question],MATCH(questions[[#This Row],[qno]],stable[qno],0)),similarity_range)</f>
        <v>Did you hire any per</v>
      </c>
      <c r="AR586" s="98" t="b">
        <f>questions[[#This Row],[question_first_characters]]=questions[[#This Row],[stability_first_characters]]</f>
        <v>1</v>
      </c>
      <c r="AS586" s="98" t="b">
        <f>IF(OR(questions[[#This Row],[is_single_select]],questions[[#This Row],[is_multi_select]]),NOT(ISBLANK(questions[[#This Row],[answer_opt_combined]])),TRUE)</f>
        <v>1</v>
      </c>
    </row>
    <row r="587" spans="1:45" ht="15.75" customHeight="1" x14ac:dyDescent="0.25">
      <c r="A587" s="9" t="str">
        <f>_xlfn.TEXTJOIN("_",TRUE,questions[[#This Row],[origin]:[qno]])</f>
        <v>Rwanda_Arabica_Nestle_Illy_IMPACT_2024_6001</v>
      </c>
      <c r="B587" s="9" t="s">
        <v>719</v>
      </c>
      <c r="C587" s="9" t="s">
        <v>59</v>
      </c>
      <c r="D587" s="9" t="s">
        <v>720</v>
      </c>
      <c r="E587" s="9">
        <v>2024</v>
      </c>
      <c r="F587" s="36" t="s">
        <v>240</v>
      </c>
      <c r="G587" s="15" t="s">
        <v>241</v>
      </c>
      <c r="H587" s="9" t="str" cm="1">
        <f t="array" ref="H587">INDEX(stableR[question],MATCH(VALUE(questions[[#This Row],[qno]]),VALUE(stableR[qno]),0))</f>
        <v>How many people did you hire, permanently for your coffee plots, last year?</v>
      </c>
      <c r="I587" s="9" t="b" cm="1">
        <f t="array" ref="I587">INDEX(stable[is_fixed],MATCH(VALUE(questions[[#This Row],[qno]]),VALUE(stable[qno]),0))</f>
        <v>1</v>
      </c>
      <c r="J587" s="9" t="b" cm="1">
        <f t="array" ref="J587">INDEX(stable[is_localized],MATCH(VALUE(questions[[#This Row],[qno]]),VALUE(stable[qno]),0))</f>
        <v>0</v>
      </c>
      <c r="K587" s="9" t="b" cm="1">
        <f t="array" ref="K587">INDEX(stable[is_supply_chain_dependent],MATCH(VALUE(questions[[#This Row],[qno]]),VALUE(stable[qno]),0))</f>
        <v>0</v>
      </c>
      <c r="L587" s="9" t="b" cm="1">
        <f t="array" ref="L587">INDEX(stable[is_mandatory],MATCH(VALUE(questions[[#This Row],[qno]]),VALUE(stable[qno]),0))</f>
        <v>0</v>
      </c>
      <c r="M587" s="9" t="b" cm="1">
        <f t="array" ref="M587">INDEX(stable[is_automated],MATCH(VALUE(questions[[#This Row],[qno]]),VALUE(stable[qno]),0))</f>
        <v>0</v>
      </c>
      <c r="N587" s="9" t="b" cm="1">
        <f t="array" ref="N587">INDEX(stable[is_free_text],MATCH(VALUE(questions[[#This Row],[qno]]),VALUE(stable[qno]),0))</f>
        <v>0</v>
      </c>
      <c r="O587" s="9" t="b" cm="1">
        <f t="array" ref="O587">INDEX(stable[is_numerical],MATCH(VALUE(questions[[#This Row],[qno]]),VALUE(stable[qno]),0))</f>
        <v>1</v>
      </c>
      <c r="P587" s="9" t="b" cm="1">
        <f t="array" ref="P587">INDEX(stable[is_single_select],MATCH(VALUE(questions[[#This Row],[qno]]),VALUE(stable[qno]),0))</f>
        <v>0</v>
      </c>
      <c r="Q587" s="9" t="b" cm="1">
        <f t="array" ref="Q587">INDEX(stable[is_multi_select],MATCH(VALUE(questions[[#This Row],[qno]]),VALUE(stable[qno]),0))</f>
        <v>0</v>
      </c>
      <c r="R587" s="9" t="b" cm="1">
        <f t="array" ref="R587">INDEX(stable[is_skip_logic],MATCH(VALUE(questions[[#This Row],[qno]]),VALUE(stable[qno]),0))</f>
        <v>1</v>
      </c>
      <c r="S587" s="9" t="str">
        <f>_xlfn.TEXTJOIN(", ",TRUE,questions[[#This Row],[ans_opt_1]:[ans_opt_14]])</f>
        <v/>
      </c>
      <c r="AH587" s="16" t="b">
        <f>INDEX(stable[q_standard],MATCH(questions[[#This Row],[qno]],stable[qno],0))</f>
        <v>0</v>
      </c>
      <c r="AI587" s="16" t="b">
        <f>INDEX(stable[q_living_income],MATCH(questions[[#This Row],[qno]],stable[qno],0))</f>
        <v>1</v>
      </c>
      <c r="AJ587" s="16" t="b">
        <f>INDEX(stable[q_carbon],MATCH(questions[[#This Row],[qno]],stable[qno],0))</f>
        <v>0</v>
      </c>
      <c r="AK587" s="16" t="b">
        <f>INDEX(stable[q_regen_ag],MATCH(questions[[#This Row],[qno]],stable[qno],0))</f>
        <v>0</v>
      </c>
      <c r="AL587" s="16" t="b">
        <f>COUNTIFS(stable[qno],questions[[#This Row],[qno]])=1</f>
        <v>1</v>
      </c>
      <c r="AM587" s="16" t="b">
        <f>OR(questions[[#This Row],[is_fixed]],questions[[#This Row],[is_localized]],questions[[#This Row],[is_supply_chain_dependent]])</f>
        <v>1</v>
      </c>
      <c r="AN587" s="16" t="b">
        <f>COUNTIFS(questions[[#This Row],[is_automated]:[is_multi_select]],TRUE)=1</f>
        <v>1</v>
      </c>
      <c r="AO587" s="16" t="b">
        <f>IF(questions[[#This Row],[is_fixed]],questions[[#This Row],[question]]=INDEX(stable[question],MATCH(questions[[#This Row],[qno]],stable[qno],0)),TRUE)</f>
        <v>1</v>
      </c>
      <c r="AP587" s="16" t="str">
        <f>LEFT(questions[[#This Row],[question]],similarity_range)</f>
        <v>If yes, how many peo</v>
      </c>
      <c r="AQ587" s="16" t="str">
        <f>LEFT(INDEX(stable[question],MATCH(questions[[#This Row],[qno]],stable[qno],0)),similarity_range)</f>
        <v>If yes, how many peo</v>
      </c>
      <c r="AR587" s="16" t="b">
        <f>questions[[#This Row],[question_first_characters]]=questions[[#This Row],[stability_first_characters]]</f>
        <v>1</v>
      </c>
      <c r="AS587" s="16" t="b">
        <f>IF(OR(questions[[#This Row],[is_single_select]],questions[[#This Row],[is_multi_select]]),NOT(ISBLANK(questions[[#This Row],[answer_opt_combined]])),TRUE)</f>
        <v>1</v>
      </c>
    </row>
    <row r="588" spans="1:45" s="77" customFormat="1" ht="15.75" customHeight="1" x14ac:dyDescent="0.25">
      <c r="A588" s="77" t="str">
        <f>_xlfn.TEXTJOIN("_",TRUE,questions[[#This Row],[origin]:[qno]])</f>
        <v>Rwanda_Arabica_Nestle_Illy_IMPACT_2024_6030</v>
      </c>
      <c r="B588" s="77" t="s">
        <v>719</v>
      </c>
      <c r="C588" s="77" t="s">
        <v>59</v>
      </c>
      <c r="D588" s="77" t="s">
        <v>720</v>
      </c>
      <c r="E588" s="77">
        <v>2024</v>
      </c>
      <c r="F588" s="105" t="s">
        <v>242</v>
      </c>
      <c r="G588" s="117" t="s">
        <v>777</v>
      </c>
      <c r="H588" s="9" t="str" cm="1">
        <f t="array" ref="H588">INDEX(stableR[question],MATCH(VALUE(questions[[#This Row],[qno]]),VALUE(stableR[qno]),0))</f>
        <v>Did you hire any people to work on your coffee plots  for seasonal activities during last year?</v>
      </c>
      <c r="I588" s="9" t="b" cm="1">
        <f t="array" ref="I588">INDEX(stable[is_fixed],MATCH(VALUE(questions[[#This Row],[qno]]),VALUE(stable[qno]),0))</f>
        <v>0</v>
      </c>
      <c r="J588" s="9" t="b" cm="1">
        <f t="array" ref="J588">INDEX(stable[is_localized],MATCH(VALUE(questions[[#This Row],[qno]]),VALUE(stable[qno]),0))</f>
        <v>1</v>
      </c>
      <c r="K588" s="9" t="b" cm="1">
        <f t="array" ref="K588">INDEX(stable[is_supply_chain_dependent],MATCH(VALUE(questions[[#This Row],[qno]]),VALUE(stable[qno]),0))</f>
        <v>0</v>
      </c>
      <c r="L588" s="9" t="b" cm="1">
        <f t="array" ref="L588">INDEX(stable[is_mandatory],MATCH(VALUE(questions[[#This Row],[qno]]),VALUE(stable[qno]),0))</f>
        <v>1</v>
      </c>
      <c r="M588" s="9" t="b" cm="1">
        <f t="array" ref="M588">INDEX(stable[is_automated],MATCH(VALUE(questions[[#This Row],[qno]]),VALUE(stable[qno]),0))</f>
        <v>0</v>
      </c>
      <c r="N588" s="9" t="b" cm="1">
        <f t="array" ref="N588">INDEX(stable[is_free_text],MATCH(VALUE(questions[[#This Row],[qno]]),VALUE(stable[qno]),0))</f>
        <v>0</v>
      </c>
      <c r="O588" s="9" t="b" cm="1">
        <f t="array" ref="O588">INDEX(stable[is_numerical],MATCH(VALUE(questions[[#This Row],[qno]]),VALUE(stable[qno]),0))</f>
        <v>0</v>
      </c>
      <c r="P588" s="77" t="b" cm="1">
        <f t="array" ref="P588">INDEX(stable[is_single_select],MATCH(VALUE(questions[[#This Row],[qno]]),VALUE(stable[qno]),0))</f>
        <v>1</v>
      </c>
      <c r="Q588" s="77" t="b" cm="1">
        <f t="array" ref="Q588">INDEX(stable[is_multi_select],MATCH(VALUE(questions[[#This Row],[qno]]),VALUE(stable[qno]),0))</f>
        <v>0</v>
      </c>
      <c r="R588" s="77" t="b" cm="1">
        <f t="array" ref="R588">INDEX(stable[is_skip_logic],MATCH(VALUE(questions[[#This Row],[qno]]),VALUE(stable[qno]),0))</f>
        <v>1</v>
      </c>
      <c r="S588" s="77" t="str">
        <f>_xlfn.TEXTJOIN(", ",TRUE,questions[[#This Row],[ans_opt_1]:[ans_opt_14]])</f>
        <v>Yes, No</v>
      </c>
      <c r="T588" s="77" t="s">
        <v>149</v>
      </c>
      <c r="U588" s="77" t="s">
        <v>119</v>
      </c>
      <c r="AH588" s="98" t="b">
        <f>INDEX(stable[q_standard],MATCH(questions[[#This Row],[qno]],stable[qno],0))</f>
        <v>0</v>
      </c>
      <c r="AI588" s="98" t="b">
        <f>INDEX(stable[q_living_income],MATCH(questions[[#This Row],[qno]],stable[qno],0))</f>
        <v>1</v>
      </c>
      <c r="AJ588" s="98" t="b">
        <f>INDEX(stable[q_carbon],MATCH(questions[[#This Row],[qno]],stable[qno],0))</f>
        <v>0</v>
      </c>
      <c r="AK588" s="98" t="b">
        <f>INDEX(stable[q_regen_ag],MATCH(questions[[#This Row],[qno]],stable[qno],0))</f>
        <v>0</v>
      </c>
      <c r="AL588" s="98" t="b">
        <f>COUNTIFS(stable[qno],questions[[#This Row],[qno]])=1</f>
        <v>1</v>
      </c>
      <c r="AM588" s="98" t="b">
        <f>OR(questions[[#This Row],[is_fixed]],questions[[#This Row],[is_localized]],questions[[#This Row],[is_supply_chain_dependent]])</f>
        <v>1</v>
      </c>
      <c r="AN588" s="98" t="b">
        <f>COUNTIFS(questions[[#This Row],[is_automated]:[is_multi_select]],TRUE)=1</f>
        <v>1</v>
      </c>
      <c r="AO588" s="98" t="b">
        <f>IF(questions[[#This Row],[is_fixed]],questions[[#This Row],[question]]=INDEX(stable[question],MATCH(questions[[#This Row],[qno]],stable[qno],0)),TRUE)</f>
        <v>1</v>
      </c>
      <c r="AP588" s="98" t="str">
        <f>LEFT(questions[[#This Row],[question]],similarity_range)</f>
        <v>Did you hire any cas</v>
      </c>
      <c r="AQ588" s="98" t="str">
        <f>LEFT(INDEX(stable[question],MATCH(questions[[#This Row],[qno]],stable[qno],0)),similarity_range)</f>
        <v>Did you hire any peo</v>
      </c>
      <c r="AR588" s="98" t="b">
        <f>questions[[#This Row],[question_first_characters]]=questions[[#This Row],[stability_first_characters]]</f>
        <v>0</v>
      </c>
      <c r="AS588" s="98" t="b">
        <f>IF(OR(questions[[#This Row],[is_single_select]],questions[[#This Row],[is_multi_select]]),NOT(ISBLANK(questions[[#This Row],[answer_opt_combined]])),TRUE)</f>
        <v>1</v>
      </c>
    </row>
    <row r="589" spans="1:45" s="77" customFormat="1" ht="15.75" customHeight="1" x14ac:dyDescent="0.25">
      <c r="A589" s="77" t="str">
        <f>_xlfn.TEXTJOIN("_",TRUE,questions[[#This Row],[origin]:[qno]])</f>
        <v>Rwanda_Arabica_Nestle_Illy_IMPACT_2024_6031</v>
      </c>
      <c r="B589" s="77" t="s">
        <v>719</v>
      </c>
      <c r="C589" s="77" t="s">
        <v>59</v>
      </c>
      <c r="D589" s="77" t="s">
        <v>720</v>
      </c>
      <c r="E589" s="77">
        <v>2024</v>
      </c>
      <c r="F589" s="105" t="s">
        <v>244</v>
      </c>
      <c r="G589" s="78" t="s">
        <v>245</v>
      </c>
      <c r="H589" s="9" t="str" cm="1">
        <f t="array" ref="H589">INDEX(stableR[question],MATCH(VALUE(questions[[#This Row],[qno]]),VALUE(stableR[qno]),0))</f>
        <v>What were the activities that you hired people for during last year?</v>
      </c>
      <c r="I589" s="9" t="b" cm="1">
        <f t="array" ref="I589">INDEX(stable[is_fixed],MATCH(VALUE(questions[[#This Row],[qno]]),VALUE(stable[qno]),0))</f>
        <v>0</v>
      </c>
      <c r="J589" s="9" t="b" cm="1">
        <f t="array" ref="J589">INDEX(stable[is_localized],MATCH(VALUE(questions[[#This Row],[qno]]),VALUE(stable[qno]),0))</f>
        <v>1</v>
      </c>
      <c r="K589" s="9" t="b" cm="1">
        <f t="array" ref="K589">INDEX(stable[is_supply_chain_dependent],MATCH(VALUE(questions[[#This Row],[qno]]),VALUE(stable[qno]),0))</f>
        <v>0</v>
      </c>
      <c r="L589" s="9" t="b" cm="1">
        <f t="array" ref="L589">INDEX(stable[is_mandatory],MATCH(VALUE(questions[[#This Row],[qno]]),VALUE(stable[qno]),0))</f>
        <v>0</v>
      </c>
      <c r="M589" s="9" t="b" cm="1">
        <f t="array" ref="M589">INDEX(stable[is_automated],MATCH(VALUE(questions[[#This Row],[qno]]),VALUE(stable[qno]),0))</f>
        <v>0</v>
      </c>
      <c r="N589" s="9" t="b" cm="1">
        <f t="array" ref="N589">INDEX(stable[is_free_text],MATCH(VALUE(questions[[#This Row],[qno]]),VALUE(stable[qno]),0))</f>
        <v>0</v>
      </c>
      <c r="O589" s="9" t="b" cm="1">
        <f t="array" ref="O589">INDEX(stable[is_numerical],MATCH(VALUE(questions[[#This Row],[qno]]),VALUE(stable[qno]),0))</f>
        <v>0</v>
      </c>
      <c r="P589" s="77" t="b" cm="1">
        <f t="array" ref="P589">INDEX(stable[is_single_select],MATCH(VALUE(questions[[#This Row],[qno]]),VALUE(stable[qno]),0))</f>
        <v>0</v>
      </c>
      <c r="Q589" s="77" t="b" cm="1">
        <f t="array" ref="Q589">INDEX(stable[is_multi_select],MATCH(VALUE(questions[[#This Row],[qno]]),VALUE(stable[qno]),0))</f>
        <v>1</v>
      </c>
      <c r="R589" s="77" t="b" cm="1">
        <f t="array" ref="R589">INDEX(stable[is_skip_logic],MATCH(VALUE(questions[[#This Row],[qno]]),VALUE(stable[qno]),0))</f>
        <v>1</v>
      </c>
      <c r="S589" s="77" t="str">
        <f>_xlfn.TEXTJOIN(", ",TRUE,questions[[#This Row],[ans_opt_1]:[ans_opt_14]])</f>
        <v>Harvesting, Pruning, Weeding, Spraying, Planting new trees, Other, NA</v>
      </c>
      <c r="T589" s="77" t="s">
        <v>246</v>
      </c>
      <c r="U589" s="77" t="s">
        <v>247</v>
      </c>
      <c r="V589" s="77" t="s">
        <v>248</v>
      </c>
      <c r="W589" s="77" t="s">
        <v>249</v>
      </c>
      <c r="X589" s="77" t="s">
        <v>250</v>
      </c>
      <c r="Y589" s="77" t="s">
        <v>112</v>
      </c>
      <c r="Z589" s="77" t="s">
        <v>251</v>
      </c>
      <c r="AH589" s="98" t="b">
        <f>INDEX(stable[q_standard],MATCH(questions[[#This Row],[qno]],stable[qno],0))</f>
        <v>0</v>
      </c>
      <c r="AI589" s="98" t="b">
        <f>INDEX(stable[q_living_income],MATCH(questions[[#This Row],[qno]],stable[qno],0))</f>
        <v>1</v>
      </c>
      <c r="AJ589" s="98" t="b">
        <f>INDEX(stable[q_carbon],MATCH(questions[[#This Row],[qno]],stable[qno],0))</f>
        <v>0</v>
      </c>
      <c r="AK589" s="98" t="b">
        <f>INDEX(stable[q_regen_ag],MATCH(questions[[#This Row],[qno]],stable[qno],0))</f>
        <v>0</v>
      </c>
      <c r="AL589" s="98" t="b">
        <f>COUNTIFS(stable[qno],questions[[#This Row],[qno]])=1</f>
        <v>1</v>
      </c>
      <c r="AM589" s="98" t="b">
        <f>OR(questions[[#This Row],[is_fixed]],questions[[#This Row],[is_localized]],questions[[#This Row],[is_supply_chain_dependent]])</f>
        <v>1</v>
      </c>
      <c r="AN589" s="98" t="b">
        <f>COUNTIFS(questions[[#This Row],[is_automated]:[is_multi_select]],TRUE)=1</f>
        <v>1</v>
      </c>
      <c r="AO589" s="98" t="b">
        <f>IF(questions[[#This Row],[is_fixed]],questions[[#This Row],[question]]=INDEX(stable[question],MATCH(questions[[#This Row],[qno]],stable[qno],0)),TRUE)</f>
        <v>1</v>
      </c>
      <c r="AP589" s="98" t="str">
        <f>LEFT(questions[[#This Row],[question]],similarity_range)</f>
        <v>If yes, what was the</v>
      </c>
      <c r="AQ589" s="98" t="str">
        <f>LEFT(INDEX(stable[question],MATCH(questions[[#This Row],[qno]],stable[qno],0)),similarity_range)</f>
        <v>If yes, what were th</v>
      </c>
      <c r="AR589" s="98" t="b">
        <f>questions[[#This Row],[question_first_characters]]=questions[[#This Row],[stability_first_characters]]</f>
        <v>0</v>
      </c>
      <c r="AS589" s="98" t="b">
        <f>IF(OR(questions[[#This Row],[is_single_select]],questions[[#This Row],[is_multi_select]]),NOT(ISBLANK(questions[[#This Row],[answer_opt_combined]])),TRUE)</f>
        <v>1</v>
      </c>
    </row>
    <row r="590" spans="1:45" ht="15.75" customHeight="1" x14ac:dyDescent="0.25">
      <c r="A590" s="9" t="str">
        <f>_xlfn.TEXTJOIN("_",TRUE,questions[[#This Row],[origin]:[qno]])</f>
        <v>Rwanda_Arabica_Nestle_Illy_IMPACT_2024_6032</v>
      </c>
      <c r="B590" s="9" t="s">
        <v>719</v>
      </c>
      <c r="C590" s="9" t="s">
        <v>59</v>
      </c>
      <c r="D590" s="9" t="s">
        <v>720</v>
      </c>
      <c r="E590" s="9">
        <v>2024</v>
      </c>
      <c r="F590" s="36" t="s">
        <v>252</v>
      </c>
      <c r="G590" s="15" t="s">
        <v>253</v>
      </c>
      <c r="H590" s="9" t="str" cm="1">
        <f t="array" ref="H590">INDEX(stableR[question],MATCH(VALUE(questions[[#This Row],[qno]]),VALUE(stableR[qno]),0))</f>
        <v>How many days in total did you hire people for these activities, during last year?</v>
      </c>
      <c r="I590" s="9" t="b" cm="1">
        <f t="array" ref="I590">INDEX(stable[is_fixed],MATCH(VALUE(questions[[#This Row],[qno]]),VALUE(stable[qno]),0))</f>
        <v>0</v>
      </c>
      <c r="J590" s="9" t="b" cm="1">
        <f t="array" ref="J590">INDEX(stable[is_localized],MATCH(VALUE(questions[[#This Row],[qno]]),VALUE(stable[qno]),0))</f>
        <v>1</v>
      </c>
      <c r="K590" s="9" t="b" cm="1">
        <f t="array" ref="K590">INDEX(stable[is_supply_chain_dependent],MATCH(VALUE(questions[[#This Row],[qno]]),VALUE(stable[qno]),0))</f>
        <v>0</v>
      </c>
      <c r="L590" s="9" t="b" cm="1">
        <f t="array" ref="L590">INDEX(stable[is_mandatory],MATCH(VALUE(questions[[#This Row],[qno]]),VALUE(stable[qno]),0))</f>
        <v>0</v>
      </c>
      <c r="M590" s="9" t="b" cm="1">
        <f t="array" ref="M590">INDEX(stable[is_automated],MATCH(VALUE(questions[[#This Row],[qno]]),VALUE(stable[qno]),0))</f>
        <v>0</v>
      </c>
      <c r="N590" s="9" t="b" cm="1">
        <f t="array" ref="N590">INDEX(stable[is_free_text],MATCH(VALUE(questions[[#This Row],[qno]]),VALUE(stable[qno]),0))</f>
        <v>0</v>
      </c>
      <c r="O590" s="9" t="b" cm="1">
        <f t="array" ref="O590">INDEX(stable[is_numerical],MATCH(VALUE(questions[[#This Row],[qno]]),VALUE(stable[qno]),0))</f>
        <v>1</v>
      </c>
      <c r="P590" s="9" t="b" cm="1">
        <f t="array" ref="P590">INDEX(stable[is_single_select],MATCH(VALUE(questions[[#This Row],[qno]]),VALUE(stable[qno]),0))</f>
        <v>0</v>
      </c>
      <c r="Q590" s="9" t="b" cm="1">
        <f t="array" ref="Q590">INDEX(stable[is_multi_select],MATCH(VALUE(questions[[#This Row],[qno]]),VALUE(stable[qno]),0))</f>
        <v>0</v>
      </c>
      <c r="R590" s="9" t="b" cm="1">
        <f t="array" ref="R590">INDEX(stable[is_skip_logic],MATCH(VALUE(questions[[#This Row],[qno]]),VALUE(stable[qno]),0))</f>
        <v>1</v>
      </c>
      <c r="S590" s="9" t="str">
        <f>_xlfn.TEXTJOIN(", ",TRUE,questions[[#This Row],[ans_opt_1]:[ans_opt_14]])</f>
        <v/>
      </c>
      <c r="AH590" s="16" t="b">
        <f>INDEX(stable[q_standard],MATCH(questions[[#This Row],[qno]],stable[qno],0))</f>
        <v>0</v>
      </c>
      <c r="AI590" s="16" t="b">
        <f>INDEX(stable[q_living_income],MATCH(questions[[#This Row],[qno]],stable[qno],0))</f>
        <v>1</v>
      </c>
      <c r="AJ590" s="16" t="b">
        <f>INDEX(stable[q_carbon],MATCH(questions[[#This Row],[qno]],stable[qno],0))</f>
        <v>0</v>
      </c>
      <c r="AK590" s="16" t="b">
        <f>INDEX(stable[q_regen_ag],MATCH(questions[[#This Row],[qno]],stable[qno],0))</f>
        <v>0</v>
      </c>
      <c r="AL590" s="16" t="b">
        <f>COUNTIFS(stable[qno],questions[[#This Row],[qno]])=1</f>
        <v>1</v>
      </c>
      <c r="AM590" s="16" t="b">
        <f>OR(questions[[#This Row],[is_fixed]],questions[[#This Row],[is_localized]],questions[[#This Row],[is_supply_chain_dependent]])</f>
        <v>1</v>
      </c>
      <c r="AN590" s="16" t="b">
        <f>COUNTIFS(questions[[#This Row],[is_automated]:[is_multi_select]],TRUE)=1</f>
        <v>1</v>
      </c>
      <c r="AO590" s="16" t="b">
        <f>IF(questions[[#This Row],[is_fixed]],questions[[#This Row],[question]]=INDEX(stable[question],MATCH(questions[[#This Row],[qno]],stable[qno],0)),TRUE)</f>
        <v>1</v>
      </c>
      <c r="AP590" s="16" t="str">
        <f>LEFT(questions[[#This Row],[question]],similarity_range)</f>
        <v>If yes, how many day</v>
      </c>
      <c r="AQ590" s="16" t="str">
        <f>LEFT(INDEX(stable[question],MATCH(questions[[#This Row],[qno]],stable[qno],0)),similarity_range)</f>
        <v>If yes, how many day</v>
      </c>
      <c r="AR590" s="16" t="b">
        <f>questions[[#This Row],[question_first_characters]]=questions[[#This Row],[stability_first_characters]]</f>
        <v>1</v>
      </c>
      <c r="AS590" s="16" t="b">
        <f>IF(OR(questions[[#This Row],[is_single_select]],questions[[#This Row],[is_multi_select]]),NOT(ISBLANK(questions[[#This Row],[answer_opt_combined]])),TRUE)</f>
        <v>1</v>
      </c>
    </row>
    <row r="591" spans="1:45" ht="15.75" customHeight="1" x14ac:dyDescent="0.25">
      <c r="A591" s="9" t="str">
        <f>_xlfn.TEXTJOIN("_",TRUE,questions[[#This Row],[origin]:[qno]])</f>
        <v>Rwanda_Arabica_Nestle_Illy_IMPACT_2024_6033</v>
      </c>
      <c r="B591" s="9" t="s">
        <v>719</v>
      </c>
      <c r="C591" s="9" t="s">
        <v>59</v>
      </c>
      <c r="D591" s="9" t="s">
        <v>720</v>
      </c>
      <c r="E591" s="9">
        <v>2024</v>
      </c>
      <c r="F591" s="36" t="s">
        <v>254</v>
      </c>
      <c r="G591" s="15" t="s">
        <v>255</v>
      </c>
      <c r="H591" s="9" t="str" cm="1">
        <f t="array" ref="H591">INDEX(stableR[question],MATCH(VALUE(questions[[#This Row],[qno]]),VALUE(stableR[qno]),0))</f>
        <v>How many people did you typically hire per day for these activities during last year?</v>
      </c>
      <c r="I591" s="9" t="b" cm="1">
        <f t="array" ref="I591">INDEX(stable[is_fixed],MATCH(VALUE(questions[[#This Row],[qno]]),VALUE(stable[qno]),0))</f>
        <v>0</v>
      </c>
      <c r="J591" s="9" t="b" cm="1">
        <f t="array" ref="J591">INDEX(stable[is_localized],MATCH(VALUE(questions[[#This Row],[qno]]),VALUE(stable[qno]),0))</f>
        <v>1</v>
      </c>
      <c r="K591" s="9" t="b" cm="1">
        <f t="array" ref="K591">INDEX(stable[is_supply_chain_dependent],MATCH(VALUE(questions[[#This Row],[qno]]),VALUE(stable[qno]),0))</f>
        <v>0</v>
      </c>
      <c r="L591" s="9" t="b" cm="1">
        <f t="array" ref="L591">INDEX(stable[is_mandatory],MATCH(VALUE(questions[[#This Row],[qno]]),VALUE(stable[qno]),0))</f>
        <v>0</v>
      </c>
      <c r="M591" s="9" t="b" cm="1">
        <f t="array" ref="M591">INDEX(stable[is_automated],MATCH(VALUE(questions[[#This Row],[qno]]),VALUE(stable[qno]),0))</f>
        <v>0</v>
      </c>
      <c r="N591" s="9" t="b" cm="1">
        <f t="array" ref="N591">INDEX(stable[is_free_text],MATCH(VALUE(questions[[#This Row],[qno]]),VALUE(stable[qno]),0))</f>
        <v>0</v>
      </c>
      <c r="O591" s="9" t="b" cm="1">
        <f t="array" ref="O591">INDEX(stable[is_numerical],MATCH(VALUE(questions[[#This Row],[qno]]),VALUE(stable[qno]),0))</f>
        <v>1</v>
      </c>
      <c r="P591" s="9" t="b" cm="1">
        <f t="array" ref="P591">INDEX(stable[is_single_select],MATCH(VALUE(questions[[#This Row],[qno]]),VALUE(stable[qno]),0))</f>
        <v>0</v>
      </c>
      <c r="Q591" s="9" t="b" cm="1">
        <f t="array" ref="Q591">INDEX(stable[is_multi_select],MATCH(VALUE(questions[[#This Row],[qno]]),VALUE(stable[qno]),0))</f>
        <v>0</v>
      </c>
      <c r="R591" s="9" t="b" cm="1">
        <f t="array" ref="R591">INDEX(stable[is_skip_logic],MATCH(VALUE(questions[[#This Row],[qno]]),VALUE(stable[qno]),0))</f>
        <v>1</v>
      </c>
      <c r="S591" s="9" t="str">
        <f>_xlfn.TEXTJOIN(", ",TRUE,questions[[#This Row],[ans_opt_1]:[ans_opt_14]])</f>
        <v/>
      </c>
      <c r="AH591" s="16" t="b">
        <f>INDEX(stable[q_standard],MATCH(questions[[#This Row],[qno]],stable[qno],0))</f>
        <v>0</v>
      </c>
      <c r="AI591" s="16" t="b">
        <f>INDEX(stable[q_living_income],MATCH(questions[[#This Row],[qno]],stable[qno],0))</f>
        <v>1</v>
      </c>
      <c r="AJ591" s="16" t="b">
        <f>INDEX(stable[q_carbon],MATCH(questions[[#This Row],[qno]],stable[qno],0))</f>
        <v>0</v>
      </c>
      <c r="AK591" s="16" t="b">
        <f>INDEX(stable[q_regen_ag],MATCH(questions[[#This Row],[qno]],stable[qno],0))</f>
        <v>0</v>
      </c>
      <c r="AL591" s="16" t="b">
        <f>COUNTIFS(stable[qno],questions[[#This Row],[qno]])=1</f>
        <v>1</v>
      </c>
      <c r="AM591" s="16" t="b">
        <f>OR(questions[[#This Row],[is_fixed]],questions[[#This Row],[is_localized]],questions[[#This Row],[is_supply_chain_dependent]])</f>
        <v>1</v>
      </c>
      <c r="AN591" s="16" t="b">
        <f>COUNTIFS(questions[[#This Row],[is_automated]:[is_multi_select]],TRUE)=1</f>
        <v>1</v>
      </c>
      <c r="AO591" s="16" t="b">
        <f>IF(questions[[#This Row],[is_fixed]],questions[[#This Row],[question]]=INDEX(stable[question],MATCH(questions[[#This Row],[qno]],stable[qno],0)),TRUE)</f>
        <v>1</v>
      </c>
      <c r="AP591" s="16" t="str">
        <f>LEFT(questions[[#This Row],[question]],similarity_range)</f>
        <v>If yes, every day, h</v>
      </c>
      <c r="AQ591" s="16" t="str">
        <f>LEFT(INDEX(stable[question],MATCH(questions[[#This Row],[qno]],stable[qno],0)),similarity_range)</f>
        <v>If yes, how many peo</v>
      </c>
      <c r="AR591" s="16" t="b">
        <f>questions[[#This Row],[question_first_characters]]=questions[[#This Row],[stability_first_characters]]</f>
        <v>0</v>
      </c>
      <c r="AS591" s="16" t="b">
        <f>IF(OR(questions[[#This Row],[is_single_select]],questions[[#This Row],[is_multi_select]]),NOT(ISBLANK(questions[[#This Row],[answer_opt_combined]])),TRUE)</f>
        <v>1</v>
      </c>
    </row>
    <row r="592" spans="1:45" s="77" customFormat="1" ht="15.75" customHeight="1" x14ac:dyDescent="0.25">
      <c r="A592" s="77" t="str">
        <f>_xlfn.TEXTJOIN("_",TRUE,questions[[#This Row],[origin]:[qno]])</f>
        <v>Rwanda_Arabica_Nestle_Illy_IMPACT_2024_6100</v>
      </c>
      <c r="B592" s="77" t="s">
        <v>719</v>
      </c>
      <c r="C592" s="77" t="s">
        <v>59</v>
      </c>
      <c r="D592" s="77" t="s">
        <v>720</v>
      </c>
      <c r="E592" s="77">
        <v>2024</v>
      </c>
      <c r="F592" s="105" t="s">
        <v>256</v>
      </c>
      <c r="G592" s="78" t="s">
        <v>257</v>
      </c>
      <c r="H592" s="9" t="str" cm="1">
        <f t="array" ref="H592">INDEX(stableR[question],MATCH(VALUE(questions[[#This Row],[qno]]),VALUE(stableR[qno]),0))</f>
        <v>Did you use any monetary loan for coffee activities last year?</v>
      </c>
      <c r="I592" s="9" t="b" cm="1">
        <f t="array" ref="I592">INDEX(stable[is_fixed],MATCH(VALUE(questions[[#This Row],[qno]]),VALUE(stable[qno]),0))</f>
        <v>1</v>
      </c>
      <c r="J592" s="9" t="b" cm="1">
        <f t="array" ref="J592">INDEX(stable[is_localized],MATCH(VALUE(questions[[#This Row],[qno]]),VALUE(stable[qno]),0))</f>
        <v>0</v>
      </c>
      <c r="K592" s="9" t="b" cm="1">
        <f t="array" ref="K592">INDEX(stable[is_supply_chain_dependent],MATCH(VALUE(questions[[#This Row],[qno]]),VALUE(stable[qno]),0))</f>
        <v>0</v>
      </c>
      <c r="L592" s="9" t="b" cm="1">
        <f t="array" ref="L592">INDEX(stable[is_mandatory],MATCH(VALUE(questions[[#This Row],[qno]]),VALUE(stable[qno]),0))</f>
        <v>1</v>
      </c>
      <c r="M592" s="9" t="b" cm="1">
        <f t="array" ref="M592">INDEX(stable[is_automated],MATCH(VALUE(questions[[#This Row],[qno]]),VALUE(stable[qno]),0))</f>
        <v>0</v>
      </c>
      <c r="N592" s="9" t="b" cm="1">
        <f t="array" ref="N592">INDEX(stable[is_free_text],MATCH(VALUE(questions[[#This Row],[qno]]),VALUE(stable[qno]),0))</f>
        <v>0</v>
      </c>
      <c r="O592" s="9" t="b" cm="1">
        <f t="array" ref="O592">INDEX(stable[is_numerical],MATCH(VALUE(questions[[#This Row],[qno]]),VALUE(stable[qno]),0))</f>
        <v>0</v>
      </c>
      <c r="P592" s="77" t="b" cm="1">
        <f t="array" ref="P592">INDEX(stable[is_single_select],MATCH(VALUE(questions[[#This Row],[qno]]),VALUE(stable[qno]),0))</f>
        <v>1</v>
      </c>
      <c r="Q592" s="77" t="b" cm="1">
        <f t="array" ref="Q592">INDEX(stable[is_multi_select],MATCH(VALUE(questions[[#This Row],[qno]]),VALUE(stable[qno]),0))</f>
        <v>0</v>
      </c>
      <c r="R592" s="77" t="b" cm="1">
        <f t="array" ref="R592">INDEX(stable[is_skip_logic],MATCH(VALUE(questions[[#This Row],[qno]]),VALUE(stable[qno]),0))</f>
        <v>1</v>
      </c>
      <c r="S592" s="77" t="str">
        <f>_xlfn.TEXTJOIN(", ",TRUE,questions[[#This Row],[ans_opt_1]:[ans_opt_14]])</f>
        <v>Yes, No</v>
      </c>
      <c r="T592" s="77" t="s">
        <v>149</v>
      </c>
      <c r="U592" s="77" t="s">
        <v>119</v>
      </c>
      <c r="AH592" s="98" t="b">
        <f>INDEX(stable[q_standard],MATCH(questions[[#This Row],[qno]],stable[qno],0))</f>
        <v>0</v>
      </c>
      <c r="AI592" s="98" t="b">
        <f>INDEX(stable[q_living_income],MATCH(questions[[#This Row],[qno]],stable[qno],0))</f>
        <v>1</v>
      </c>
      <c r="AJ592" s="98" t="b">
        <f>INDEX(stable[q_carbon],MATCH(questions[[#This Row],[qno]],stable[qno],0))</f>
        <v>0</v>
      </c>
      <c r="AK592" s="98" t="b">
        <f>INDEX(stable[q_regen_ag],MATCH(questions[[#This Row],[qno]],stable[qno],0))</f>
        <v>0</v>
      </c>
      <c r="AL592" s="98" t="b">
        <f>COUNTIFS(stable[qno],questions[[#This Row],[qno]])=1</f>
        <v>1</v>
      </c>
      <c r="AM592" s="98" t="b">
        <f>OR(questions[[#This Row],[is_fixed]],questions[[#This Row],[is_localized]],questions[[#This Row],[is_supply_chain_dependent]])</f>
        <v>1</v>
      </c>
      <c r="AN592" s="98" t="b">
        <f>COUNTIFS(questions[[#This Row],[is_automated]:[is_multi_select]],TRUE)=1</f>
        <v>1</v>
      </c>
      <c r="AO592" s="98" t="b">
        <f>IF(questions[[#This Row],[is_fixed]],questions[[#This Row],[question]]=INDEX(stable[question],MATCH(questions[[#This Row],[qno]],stable[qno],0)),TRUE)</f>
        <v>0</v>
      </c>
      <c r="AP592" s="98" t="str">
        <f>LEFT(questions[[#This Row],[question]],similarity_range)</f>
        <v>Did you use any mone</v>
      </c>
      <c r="AQ592" s="98" t="str">
        <f>LEFT(INDEX(stable[question],MATCH(questions[[#This Row],[qno]],stable[qno],0)),similarity_range)</f>
        <v>Did you use any mone</v>
      </c>
      <c r="AR592" s="98" t="b">
        <f>questions[[#This Row],[question_first_characters]]=questions[[#This Row],[stability_first_characters]]</f>
        <v>1</v>
      </c>
      <c r="AS592" s="98" t="b">
        <f>IF(OR(questions[[#This Row],[is_single_select]],questions[[#This Row],[is_multi_select]]),NOT(ISBLANK(questions[[#This Row],[answer_opt_combined]])),TRUE)</f>
        <v>1</v>
      </c>
    </row>
    <row r="593" spans="1:45" ht="15.75" customHeight="1" x14ac:dyDescent="0.25">
      <c r="A593" s="9" t="str">
        <f>_xlfn.TEXTJOIN("_",TRUE,questions[[#This Row],[origin]:[qno]])</f>
        <v>Rwanda_Arabica_Nestle_Illy_IMPACT_2024_6101</v>
      </c>
      <c r="B593" s="9" t="s">
        <v>719</v>
      </c>
      <c r="C593" s="9" t="s">
        <v>59</v>
      </c>
      <c r="D593" s="9" t="s">
        <v>720</v>
      </c>
      <c r="E593" s="9">
        <v>2024</v>
      </c>
      <c r="F593" s="36" t="s">
        <v>258</v>
      </c>
      <c r="G593" s="15" t="s">
        <v>259</v>
      </c>
      <c r="H593" s="9" t="str" cm="1">
        <f t="array" ref="H593">INDEX(stableR[question],MATCH(VALUE(questions[[#This Row],[qno]]),VALUE(stableR[qno]),0))</f>
        <v>What was the total amount of loans you borrowed last year (in your local currency)?</v>
      </c>
      <c r="I593" s="9" t="b" cm="1">
        <f t="array" ref="I593">INDEX(stable[is_fixed],MATCH(VALUE(questions[[#This Row],[qno]]),VALUE(stable[qno]),0))</f>
        <v>1</v>
      </c>
      <c r="J593" s="9" t="b" cm="1">
        <f t="array" ref="J593">INDEX(stable[is_localized],MATCH(VALUE(questions[[#This Row],[qno]]),VALUE(stable[qno]),0))</f>
        <v>0</v>
      </c>
      <c r="K593" s="9" t="b" cm="1">
        <f t="array" ref="K593">INDEX(stable[is_supply_chain_dependent],MATCH(VALUE(questions[[#This Row],[qno]]),VALUE(stable[qno]),0))</f>
        <v>0</v>
      </c>
      <c r="L593" s="9" t="b" cm="1">
        <f t="array" ref="L593">INDEX(stable[is_mandatory],MATCH(VALUE(questions[[#This Row],[qno]]),VALUE(stable[qno]),0))</f>
        <v>0</v>
      </c>
      <c r="M593" s="9" t="b" cm="1">
        <f t="array" ref="M593">INDEX(stable[is_automated],MATCH(VALUE(questions[[#This Row],[qno]]),VALUE(stable[qno]),0))</f>
        <v>0</v>
      </c>
      <c r="N593" s="9" t="b" cm="1">
        <f t="array" ref="N593">INDEX(stable[is_free_text],MATCH(VALUE(questions[[#This Row],[qno]]),VALUE(stable[qno]),0))</f>
        <v>0</v>
      </c>
      <c r="O593" s="9" t="b" cm="1">
        <f t="array" ref="O593">INDEX(stable[is_numerical],MATCH(VALUE(questions[[#This Row],[qno]]),VALUE(stable[qno]),0))</f>
        <v>0</v>
      </c>
      <c r="P593" s="9" t="b" cm="1">
        <f t="array" ref="P593">INDEX(stable[is_single_select],MATCH(VALUE(questions[[#This Row],[qno]]),VALUE(stable[qno]),0))</f>
        <v>0</v>
      </c>
      <c r="Q593" s="9" t="b" cm="1">
        <f t="array" ref="Q593">INDEX(stable[is_multi_select],MATCH(VALUE(questions[[#This Row],[qno]]),VALUE(stable[qno]),0))</f>
        <v>1</v>
      </c>
      <c r="R593" s="9" t="b" cm="1">
        <f t="array" ref="R593">INDEX(stable[is_skip_logic],MATCH(VALUE(questions[[#This Row],[qno]]),VALUE(stable[qno]),0))</f>
        <v>1</v>
      </c>
      <c r="S593" s="9" t="str">
        <f>_xlfn.TEXTJOIN(", ",TRUE,questions[[#This Row],[ans_opt_1]:[ans_opt_14]])</f>
        <v/>
      </c>
      <c r="AH593" s="16" t="b">
        <f>INDEX(stable[q_standard],MATCH(questions[[#This Row],[qno]],stable[qno],0))</f>
        <v>0</v>
      </c>
      <c r="AI593" s="16" t="b">
        <f>INDEX(stable[q_living_income],MATCH(questions[[#This Row],[qno]],stable[qno],0))</f>
        <v>1</v>
      </c>
      <c r="AJ593" s="16" t="b">
        <f>INDEX(stable[q_carbon],MATCH(questions[[#This Row],[qno]],stable[qno],0))</f>
        <v>0</v>
      </c>
      <c r="AK593" s="16" t="b">
        <f>INDEX(stable[q_regen_ag],MATCH(questions[[#This Row],[qno]],stable[qno],0))</f>
        <v>0</v>
      </c>
      <c r="AL593" s="16" t="b">
        <f>COUNTIFS(stable[qno],questions[[#This Row],[qno]])=1</f>
        <v>1</v>
      </c>
      <c r="AM593" s="16" t="b">
        <f>OR(questions[[#This Row],[is_fixed]],questions[[#This Row],[is_localized]],questions[[#This Row],[is_supply_chain_dependent]])</f>
        <v>1</v>
      </c>
      <c r="AN593" s="16" t="b">
        <f>COUNTIFS(questions[[#This Row],[is_automated]:[is_multi_select]],TRUE)=1</f>
        <v>1</v>
      </c>
      <c r="AO593" s="16" t="b">
        <f>IF(questions[[#This Row],[is_fixed]],questions[[#This Row],[question]]=INDEX(stable[question],MATCH(questions[[#This Row],[qno]],stable[qno],0)),TRUE)</f>
        <v>1</v>
      </c>
      <c r="AP593" s="16" t="str">
        <f>LEFT(questions[[#This Row],[question]],similarity_range)</f>
        <v xml:space="preserve">If yes, how did you </v>
      </c>
      <c r="AQ593" s="16" t="str">
        <f>LEFT(INDEX(stable[question],MATCH(questions[[#This Row],[qno]],stable[qno],0)),similarity_range)</f>
        <v xml:space="preserve">If yes, how did you </v>
      </c>
      <c r="AR593" s="16" t="b">
        <f>questions[[#This Row],[question_first_characters]]=questions[[#This Row],[stability_first_characters]]</f>
        <v>1</v>
      </c>
      <c r="AS593" s="16" t="b">
        <f>IF(OR(questions[[#This Row],[is_single_select]],questions[[#This Row],[is_multi_select]]),NOT(ISBLANK(questions[[#This Row],[answer_opt_combined]])),TRUE)</f>
        <v>1</v>
      </c>
    </row>
    <row r="594" spans="1:45" ht="15.75" customHeight="1" x14ac:dyDescent="0.25">
      <c r="A594" s="9" t="str">
        <f>_xlfn.TEXTJOIN("_",TRUE,questions[[#This Row],[origin]:[qno]])</f>
        <v>Rwanda_Arabica_Nestle_Illy_IMPACT_2024_6102</v>
      </c>
      <c r="B594" s="9" t="s">
        <v>719</v>
      </c>
      <c r="C594" s="9" t="s">
        <v>59</v>
      </c>
      <c r="D594" s="9" t="s">
        <v>720</v>
      </c>
      <c r="E594" s="9">
        <v>2024</v>
      </c>
      <c r="F594" s="36" t="s">
        <v>260</v>
      </c>
      <c r="G594" s="15" t="s">
        <v>778</v>
      </c>
      <c r="H594" s="9" t="str" cm="1">
        <f t="array" ref="H594">INDEX(stableR[question],MATCH(VALUE(questions[[#This Row],[qno]]),VALUE(stableR[qno]),0))</f>
        <v>How did you have to pay for this? (in cash or in cherries? Please explain)</v>
      </c>
      <c r="I594" s="9" t="b" cm="1">
        <f t="array" ref="I594">INDEX(stable[is_fixed],MATCH(VALUE(questions[[#This Row],[qno]]),VALUE(stable[qno]),0))</f>
        <v>0</v>
      </c>
      <c r="J594" s="9" t="b" cm="1">
        <f t="array" ref="J594">INDEX(stable[is_localized],MATCH(VALUE(questions[[#This Row],[qno]]),VALUE(stable[qno]),0))</f>
        <v>1</v>
      </c>
      <c r="K594" s="9" t="b" cm="1">
        <f t="array" ref="K594">INDEX(stable[is_supply_chain_dependent],MATCH(VALUE(questions[[#This Row],[qno]]),VALUE(stable[qno]),0))</f>
        <v>0</v>
      </c>
      <c r="L594" s="9" t="b" cm="1">
        <f t="array" ref="L594">INDEX(stable[is_mandatory],MATCH(VALUE(questions[[#This Row],[qno]]),VALUE(stable[qno]),0))</f>
        <v>0</v>
      </c>
      <c r="M594" s="9" t="b" cm="1">
        <f t="array" ref="M594">INDEX(stable[is_automated],MATCH(VALUE(questions[[#This Row],[qno]]),VALUE(stable[qno]),0))</f>
        <v>0</v>
      </c>
      <c r="N594" s="9" t="b" cm="1">
        <f t="array" ref="N594">INDEX(stable[is_free_text],MATCH(VALUE(questions[[#This Row],[qno]]),VALUE(stable[qno]),0))</f>
        <v>0</v>
      </c>
      <c r="O594" s="9" t="b" cm="1">
        <f t="array" ref="O594">INDEX(stable[is_numerical],MATCH(VALUE(questions[[#This Row],[qno]]),VALUE(stable[qno]),0))</f>
        <v>1</v>
      </c>
      <c r="P594" s="9" t="b" cm="1">
        <f t="array" ref="P594">INDEX(stable[is_single_select],MATCH(VALUE(questions[[#This Row],[qno]]),VALUE(stable[qno]),0))</f>
        <v>0</v>
      </c>
      <c r="Q594" s="9" t="b" cm="1">
        <f t="array" ref="Q594">INDEX(stable[is_multi_select],MATCH(VALUE(questions[[#This Row],[qno]]),VALUE(stable[qno]),0))</f>
        <v>0</v>
      </c>
      <c r="R594" s="9" t="b" cm="1">
        <f t="array" ref="R594">INDEX(stable[is_skip_logic],MATCH(VALUE(questions[[#This Row],[qno]]),VALUE(stable[qno]),0))</f>
        <v>1</v>
      </c>
      <c r="S594" s="9" t="str">
        <f>_xlfn.TEXTJOIN(", ",TRUE,questions[[#This Row],[ans_opt_1]:[ans_opt_14]])</f>
        <v/>
      </c>
      <c r="AH594" s="16" t="b">
        <f>INDEX(stable[q_standard],MATCH(questions[[#This Row],[qno]],stable[qno],0))</f>
        <v>0</v>
      </c>
      <c r="AI594" s="16" t="b">
        <f>INDEX(stable[q_living_income],MATCH(questions[[#This Row],[qno]],stable[qno],0))</f>
        <v>1</v>
      </c>
      <c r="AJ594" s="16" t="b">
        <f>INDEX(stable[q_carbon],MATCH(questions[[#This Row],[qno]],stable[qno],0))</f>
        <v>0</v>
      </c>
      <c r="AK594" s="16" t="b">
        <f>INDEX(stable[q_regen_ag],MATCH(questions[[#This Row],[qno]],stable[qno],0))</f>
        <v>0</v>
      </c>
      <c r="AL594" s="16" t="b">
        <f>COUNTIFS(stable[qno],questions[[#This Row],[qno]])=1</f>
        <v>1</v>
      </c>
      <c r="AM594" s="16" t="b">
        <f>OR(questions[[#This Row],[is_fixed]],questions[[#This Row],[is_localized]],questions[[#This Row],[is_supply_chain_dependent]])</f>
        <v>1</v>
      </c>
      <c r="AN594" s="16" t="b">
        <f>COUNTIFS(questions[[#This Row],[is_automated]:[is_multi_select]],TRUE)=1</f>
        <v>1</v>
      </c>
      <c r="AO594" s="16" t="b">
        <f>IF(questions[[#This Row],[is_fixed]],questions[[#This Row],[question]]=INDEX(stable[question],MATCH(questions[[#This Row],[qno]],stable[qno],0)),TRUE)</f>
        <v>1</v>
      </c>
      <c r="AP594" s="16" t="str">
        <f>LEFT(questions[[#This Row],[question]],similarity_range)</f>
        <v>If yes, can you esti</v>
      </c>
      <c r="AQ594" s="16" t="str">
        <f>LEFT(INDEX(stable[question],MATCH(questions[[#This Row],[qno]],stable[qno],0)),similarity_range)</f>
        <v>If yes, can you esti</v>
      </c>
      <c r="AR594" s="16" t="b">
        <f>questions[[#This Row],[question_first_characters]]=questions[[#This Row],[stability_first_characters]]</f>
        <v>1</v>
      </c>
      <c r="AS594" s="16" t="b">
        <f>IF(OR(questions[[#This Row],[is_single_select]],questions[[#This Row],[is_multi_select]]),NOT(ISBLANK(questions[[#This Row],[answer_opt_combined]])),TRUE)</f>
        <v>1</v>
      </c>
    </row>
    <row r="595" spans="1:45" ht="15.75" customHeight="1" x14ac:dyDescent="0.25">
      <c r="A595" s="9" t="str">
        <f>_xlfn.TEXTJOIN("_",TRUE,questions[[#This Row],[origin]:[qno]])</f>
        <v>Rwanda_Arabica_Nestle_Illy_IMPACT_2024_6103</v>
      </c>
      <c r="B595" s="9" t="s">
        <v>719</v>
      </c>
      <c r="C595" s="9" t="s">
        <v>59</v>
      </c>
      <c r="D595" s="9" t="s">
        <v>720</v>
      </c>
      <c r="E595" s="9">
        <v>2024</v>
      </c>
      <c r="F595" s="36" t="s">
        <v>262</v>
      </c>
      <c r="G595" s="15" t="s">
        <v>779</v>
      </c>
      <c r="H595" s="9" t="str" cm="1">
        <f t="array" ref="H595">INDEX(stableR[question],MATCH(VALUE(questions[[#This Row],[qno]]),VALUE(stableR[qno]),0))</f>
        <v>Can you estimate how much you had to repay, in total, for the loan last year, including interest (in local currency)</v>
      </c>
      <c r="I595" s="9" t="b" cm="1">
        <f t="array" ref="I595">INDEX(stable[is_fixed],MATCH(VALUE(questions[[#This Row],[qno]]),VALUE(stable[qno]),0))</f>
        <v>0</v>
      </c>
      <c r="J595" s="9" t="b" cm="1">
        <f t="array" ref="J595">INDEX(stable[is_localized],MATCH(VALUE(questions[[#This Row],[qno]]),VALUE(stable[qno]),0))</f>
        <v>1</v>
      </c>
      <c r="K595" s="9" t="b" cm="1">
        <f t="array" ref="K595">INDEX(stable[is_supply_chain_dependent],MATCH(VALUE(questions[[#This Row],[qno]]),VALUE(stable[qno]),0))</f>
        <v>0</v>
      </c>
      <c r="L595" s="9" t="b" cm="1">
        <f t="array" ref="L595">INDEX(stable[is_mandatory],MATCH(VALUE(questions[[#This Row],[qno]]),VALUE(stable[qno]),0))</f>
        <v>0</v>
      </c>
      <c r="M595" s="9" t="b" cm="1">
        <f t="array" ref="M595">INDEX(stable[is_automated],MATCH(VALUE(questions[[#This Row],[qno]]),VALUE(stable[qno]),0))</f>
        <v>0</v>
      </c>
      <c r="N595" s="9" t="b" cm="1">
        <f t="array" ref="N595">INDEX(stable[is_free_text],MATCH(VALUE(questions[[#This Row],[qno]]),VALUE(stable[qno]),0))</f>
        <v>0</v>
      </c>
      <c r="O595" s="9" t="b" cm="1">
        <f t="array" ref="O595">INDEX(stable[is_numerical],MATCH(VALUE(questions[[#This Row],[qno]]),VALUE(stable[qno]),0))</f>
        <v>1</v>
      </c>
      <c r="P595" s="9" t="b" cm="1">
        <f t="array" ref="P595">INDEX(stable[is_single_select],MATCH(VALUE(questions[[#This Row],[qno]]),VALUE(stable[qno]),0))</f>
        <v>0</v>
      </c>
      <c r="Q595" s="9" t="b" cm="1">
        <f t="array" ref="Q595">INDEX(stable[is_multi_select],MATCH(VALUE(questions[[#This Row],[qno]]),VALUE(stable[qno]),0))</f>
        <v>0</v>
      </c>
      <c r="R595" s="9" t="b" cm="1">
        <f t="array" ref="R595">INDEX(stable[is_skip_logic],MATCH(VALUE(questions[[#This Row],[qno]]),VALUE(stable[qno]),0))</f>
        <v>1</v>
      </c>
      <c r="S595" s="9" t="str">
        <f>_xlfn.TEXTJOIN(", ",TRUE,questions[[#This Row],[ans_opt_1]:[ans_opt_14]])</f>
        <v/>
      </c>
      <c r="AH595" s="16" t="b">
        <f>INDEX(stable[q_standard],MATCH(questions[[#This Row],[qno]],stable[qno],0))</f>
        <v>0</v>
      </c>
      <c r="AI595" s="16" t="b">
        <f>INDEX(stable[q_living_income],MATCH(questions[[#This Row],[qno]],stable[qno],0))</f>
        <v>1</v>
      </c>
      <c r="AJ595" s="16" t="b">
        <f>INDEX(stable[q_carbon],MATCH(questions[[#This Row],[qno]],stable[qno],0))</f>
        <v>0</v>
      </c>
      <c r="AK595" s="16" t="b">
        <f>INDEX(stable[q_regen_ag],MATCH(questions[[#This Row],[qno]],stable[qno],0))</f>
        <v>0</v>
      </c>
      <c r="AL595" s="16" t="b">
        <f>COUNTIFS(stable[qno],questions[[#This Row],[qno]])=1</f>
        <v>1</v>
      </c>
      <c r="AM595" s="16" t="b">
        <f>OR(questions[[#This Row],[is_fixed]],questions[[#This Row],[is_localized]],questions[[#This Row],[is_supply_chain_dependent]])</f>
        <v>1</v>
      </c>
      <c r="AN595" s="16" t="b">
        <f>COUNTIFS(questions[[#This Row],[is_automated]:[is_multi_select]],TRUE)=1</f>
        <v>1</v>
      </c>
      <c r="AO595" s="16" t="b">
        <f>IF(questions[[#This Row],[is_fixed]],questions[[#This Row],[question]]=INDEX(stable[question],MATCH(questions[[#This Row],[qno]],stable[qno],0)),TRUE)</f>
        <v>1</v>
      </c>
      <c r="AP595" s="16" t="str">
        <f>LEFT(questions[[#This Row],[question]],similarity_range)</f>
        <v>If yes, can you esti</v>
      </c>
      <c r="AQ595" s="16" t="str">
        <f>LEFT(INDEX(stable[question],MATCH(questions[[#This Row],[qno]],stable[qno],0)),similarity_range)</f>
        <v>If yes, can you esti</v>
      </c>
      <c r="AR595" s="16" t="b">
        <f>questions[[#This Row],[question_first_characters]]=questions[[#This Row],[stability_first_characters]]</f>
        <v>1</v>
      </c>
      <c r="AS595" s="16" t="b">
        <f>IF(OR(questions[[#This Row],[is_single_select]],questions[[#This Row],[is_multi_select]]),NOT(ISBLANK(questions[[#This Row],[answer_opt_combined]])),TRUE)</f>
        <v>1</v>
      </c>
    </row>
    <row r="596" spans="1:45" s="77" customFormat="1" ht="15.75" customHeight="1" x14ac:dyDescent="0.25">
      <c r="A596" s="77" t="str">
        <f>_xlfn.TEXTJOIN("_",TRUE,questions[[#This Row],[origin]:[qno]])</f>
        <v>Rwanda_Arabica_Nestle_Illy_IMPACT_2024_6300</v>
      </c>
      <c r="B596" s="77" t="s">
        <v>719</v>
      </c>
      <c r="C596" s="77" t="s">
        <v>59</v>
      </c>
      <c r="D596" s="77" t="s">
        <v>720</v>
      </c>
      <c r="E596" s="77">
        <v>2024</v>
      </c>
      <c r="F596" s="105" t="s">
        <v>268</v>
      </c>
      <c r="G596" s="78" t="s">
        <v>780</v>
      </c>
      <c r="H596" s="9" t="str" cm="1">
        <f t="array" ref="H596">INDEX(stableR[question],MATCH(VALUE(questions[[#This Row],[qno]]),VALUE(stableR[qno]),0))</f>
        <v>Did you buy coffee seedlings last year?</v>
      </c>
      <c r="I596" s="9" t="b" cm="1">
        <f t="array" ref="I596">INDEX(stable[is_fixed],MATCH(VALUE(questions[[#This Row],[qno]]),VALUE(stable[qno]),0))</f>
        <v>1</v>
      </c>
      <c r="J596" s="9" t="b" cm="1">
        <f t="array" ref="J596">INDEX(stable[is_localized],MATCH(VALUE(questions[[#This Row],[qno]]),VALUE(stable[qno]),0))</f>
        <v>0</v>
      </c>
      <c r="K596" s="9" t="b" cm="1">
        <f t="array" ref="K596">INDEX(stable[is_supply_chain_dependent],MATCH(VALUE(questions[[#This Row],[qno]]),VALUE(stable[qno]),0))</f>
        <v>0</v>
      </c>
      <c r="L596" s="9" t="b" cm="1">
        <f t="array" ref="L596">INDEX(stable[is_mandatory],MATCH(VALUE(questions[[#This Row],[qno]]),VALUE(stable[qno]),0))</f>
        <v>1</v>
      </c>
      <c r="M596" s="9" t="b" cm="1">
        <f t="array" ref="M596">INDEX(stable[is_automated],MATCH(VALUE(questions[[#This Row],[qno]]),VALUE(stable[qno]),0))</f>
        <v>0</v>
      </c>
      <c r="N596" s="9" t="b" cm="1">
        <f t="array" ref="N596">INDEX(stable[is_free_text],MATCH(VALUE(questions[[#This Row],[qno]]),VALUE(stable[qno]),0))</f>
        <v>0</v>
      </c>
      <c r="O596" s="9" t="b" cm="1">
        <f t="array" ref="O596">INDEX(stable[is_numerical],MATCH(VALUE(questions[[#This Row],[qno]]),VALUE(stable[qno]),0))</f>
        <v>0</v>
      </c>
      <c r="P596" s="77" t="b" cm="1">
        <f t="array" ref="P596">INDEX(stable[is_single_select],MATCH(VALUE(questions[[#This Row],[qno]]),VALUE(stable[qno]),0))</f>
        <v>1</v>
      </c>
      <c r="Q596" s="77" t="b" cm="1">
        <f t="array" ref="Q596">INDEX(stable[is_multi_select],MATCH(VALUE(questions[[#This Row],[qno]]),VALUE(stable[qno]),0))</f>
        <v>0</v>
      </c>
      <c r="R596" s="77" t="b" cm="1">
        <f t="array" ref="R596">INDEX(stable[is_skip_logic],MATCH(VALUE(questions[[#This Row],[qno]]),VALUE(stable[qno]),0))</f>
        <v>1</v>
      </c>
      <c r="S596" s="77" t="str">
        <f>_xlfn.TEXTJOIN(", ",TRUE,questions[[#This Row],[ans_opt_1]:[ans_opt_14]])</f>
        <v>No, Yes, mainly bought, Yes, mainly received for free</v>
      </c>
      <c r="T596" s="77" t="s">
        <v>119</v>
      </c>
      <c r="U596" s="77" t="s">
        <v>781</v>
      </c>
      <c r="V596" s="77" t="s">
        <v>782</v>
      </c>
      <c r="AH596" s="98" t="b">
        <f>INDEX(stable[q_standard],MATCH(questions[[#This Row],[qno]],stable[qno],0))</f>
        <v>0</v>
      </c>
      <c r="AI596" s="98" t="b">
        <f>INDEX(stable[q_living_income],MATCH(questions[[#This Row],[qno]],stable[qno],0))</f>
        <v>1</v>
      </c>
      <c r="AJ596" s="98" t="b">
        <f>INDEX(stable[q_carbon],MATCH(questions[[#This Row],[qno]],stable[qno],0))</f>
        <v>0</v>
      </c>
      <c r="AK596" s="98" t="b">
        <f>INDEX(stable[q_regen_ag],MATCH(questions[[#This Row],[qno]],stable[qno],0))</f>
        <v>0</v>
      </c>
      <c r="AL596" s="98" t="b">
        <f>COUNTIFS(stable[qno],questions[[#This Row],[qno]])=1</f>
        <v>1</v>
      </c>
      <c r="AM596" s="98" t="b">
        <f>OR(questions[[#This Row],[is_fixed]],questions[[#This Row],[is_localized]],questions[[#This Row],[is_supply_chain_dependent]])</f>
        <v>1</v>
      </c>
      <c r="AN596" s="98" t="b">
        <f>COUNTIFS(questions[[#This Row],[is_automated]:[is_multi_select]],TRUE)=1</f>
        <v>1</v>
      </c>
      <c r="AO596" s="98" t="b">
        <f>IF(questions[[#This Row],[is_fixed]],questions[[#This Row],[question]]=INDEX(stable[question],MATCH(questions[[#This Row],[qno]],stable[qno],0)),TRUE)</f>
        <v>0</v>
      </c>
      <c r="AP596" s="98" t="str">
        <f>LEFT(questions[[#This Row],[question]],similarity_range)</f>
        <v>Did you buy and/or r</v>
      </c>
      <c r="AQ596" s="98" t="str">
        <f>LEFT(INDEX(stable[question],MATCH(questions[[#This Row],[qno]],stable[qno],0)),similarity_range)</f>
        <v>Did you buy coffee s</v>
      </c>
      <c r="AR596" s="98" t="b">
        <f>questions[[#This Row],[question_first_characters]]=questions[[#This Row],[stability_first_characters]]</f>
        <v>0</v>
      </c>
      <c r="AS596" s="98" t="b">
        <f>IF(OR(questions[[#This Row],[is_single_select]],questions[[#This Row],[is_multi_select]]),NOT(ISBLANK(questions[[#This Row],[answer_opt_combined]])),TRUE)</f>
        <v>1</v>
      </c>
    </row>
    <row r="597" spans="1:45" s="77" customFormat="1" ht="15.75" customHeight="1" x14ac:dyDescent="0.25">
      <c r="A597" s="77" t="str">
        <f>_xlfn.TEXTJOIN("_",TRUE,questions[[#This Row],[origin]:[qno]])</f>
        <v>Rwanda_Arabica_Nestle_Illy_IMPACT_2024_6301</v>
      </c>
      <c r="B597" s="77" t="s">
        <v>719</v>
      </c>
      <c r="C597" s="77" t="s">
        <v>59</v>
      </c>
      <c r="D597" s="77" t="s">
        <v>720</v>
      </c>
      <c r="E597" s="77">
        <v>2024</v>
      </c>
      <c r="F597" s="105" t="s">
        <v>270</v>
      </c>
      <c r="G597" s="78" t="s">
        <v>783</v>
      </c>
      <c r="H597" s="9" t="str" cm="1">
        <f t="array" ref="H597">INDEX(stableR[question],MATCH(VALUE(questions[[#This Row],[qno]]),VALUE(stableR[qno]),0))</f>
        <v>What was the main type seedlings bought?</v>
      </c>
      <c r="I597" s="9" t="b" cm="1">
        <f t="array" ref="I597">INDEX(stable[is_fixed],MATCH(VALUE(questions[[#This Row],[qno]]),VALUE(stable[qno]),0))</f>
        <v>1</v>
      </c>
      <c r="J597" s="9" t="b" cm="1">
        <f t="array" ref="J597">INDEX(stable[is_localized],MATCH(VALUE(questions[[#This Row],[qno]]),VALUE(stable[qno]),0))</f>
        <v>0</v>
      </c>
      <c r="K597" s="9" t="b" cm="1">
        <f t="array" ref="K597">INDEX(stable[is_supply_chain_dependent],MATCH(VALUE(questions[[#This Row],[qno]]),VALUE(stable[qno]),0))</f>
        <v>0</v>
      </c>
      <c r="L597" s="9" t="b" cm="1">
        <f t="array" ref="L597">INDEX(stable[is_mandatory],MATCH(VALUE(questions[[#This Row],[qno]]),VALUE(stable[qno]),0))</f>
        <v>0</v>
      </c>
      <c r="M597" s="9" t="b" cm="1">
        <f t="array" ref="M597">INDEX(stable[is_automated],MATCH(VALUE(questions[[#This Row],[qno]]),VALUE(stable[qno]),0))</f>
        <v>0</v>
      </c>
      <c r="N597" s="9" t="b" cm="1">
        <f t="array" ref="N597">INDEX(stable[is_free_text],MATCH(VALUE(questions[[#This Row],[qno]]),VALUE(stable[qno]),0))</f>
        <v>0</v>
      </c>
      <c r="O597" s="9" t="b" cm="1">
        <f t="array" ref="O597">INDEX(stable[is_numerical],MATCH(VALUE(questions[[#This Row],[qno]]),VALUE(stable[qno]),0))</f>
        <v>0</v>
      </c>
      <c r="P597" s="77" t="b" cm="1">
        <f t="array" ref="P597">INDEX(stable[is_single_select],MATCH(VALUE(questions[[#This Row],[qno]]),VALUE(stable[qno]),0))</f>
        <v>1</v>
      </c>
      <c r="Q597" s="77" t="b" cm="1">
        <f t="array" ref="Q597">INDEX(stable[is_multi_select],MATCH(VALUE(questions[[#This Row],[qno]]),VALUE(stable[qno]),0))</f>
        <v>0</v>
      </c>
      <c r="R597" s="77" t="b" cm="1">
        <f t="array" ref="R597">INDEX(stable[is_skip_logic],MATCH(VALUE(questions[[#This Row],[qno]]),VALUE(stable[qno]),0))</f>
        <v>1</v>
      </c>
      <c r="S597" s="77" t="str">
        <f>_xlfn.TEXTJOIN(", ",TRUE,questions[[#This Row],[ans_opt_1]:[ans_opt_14]])</f>
        <v>RAB C15, Bourbon Mayaguez 139- BM 139, Jackson Jackson, Harar Rwanda, Mibirizi, Pop 3303/21 , Other, NA</v>
      </c>
      <c r="T597" s="77" t="s">
        <v>784</v>
      </c>
      <c r="U597" s="77" t="s">
        <v>785</v>
      </c>
      <c r="V597" s="77" t="s">
        <v>786</v>
      </c>
      <c r="W597" s="77" t="s">
        <v>787</v>
      </c>
      <c r="X597" s="77" t="s">
        <v>788</v>
      </c>
      <c r="Y597" s="77" t="s">
        <v>789</v>
      </c>
      <c r="Z597" s="77" t="s">
        <v>112</v>
      </c>
      <c r="AA597" s="77" t="s">
        <v>251</v>
      </c>
      <c r="AH597" s="98" t="b">
        <f>INDEX(stable[q_standard],MATCH(questions[[#This Row],[qno]],stable[qno],0))</f>
        <v>0</v>
      </c>
      <c r="AI597" s="98" t="b">
        <f>INDEX(stable[q_living_income],MATCH(questions[[#This Row],[qno]],stable[qno],0))</f>
        <v>1</v>
      </c>
      <c r="AJ597" s="98" t="b">
        <f>INDEX(stable[q_carbon],MATCH(questions[[#This Row],[qno]],stable[qno],0))</f>
        <v>0</v>
      </c>
      <c r="AK597" s="98" t="b">
        <f>INDEX(stable[q_regen_ag],MATCH(questions[[#This Row],[qno]],stable[qno],0))</f>
        <v>0</v>
      </c>
      <c r="AL597" s="98" t="b">
        <f>COUNTIFS(stable[qno],questions[[#This Row],[qno]])=1</f>
        <v>1</v>
      </c>
      <c r="AM597" s="98" t="b">
        <f>OR(questions[[#This Row],[is_fixed]],questions[[#This Row],[is_localized]],questions[[#This Row],[is_supply_chain_dependent]])</f>
        <v>1</v>
      </c>
      <c r="AN597" s="98" t="b">
        <f>COUNTIFS(questions[[#This Row],[is_automated]:[is_multi_select]],TRUE)=1</f>
        <v>1</v>
      </c>
      <c r="AO597" s="98" t="b">
        <f>IF(questions[[#This Row],[is_fixed]],questions[[#This Row],[question]]=INDEX(stable[question],MATCH(questions[[#This Row],[qno]],stable[qno],0)),TRUE)</f>
        <v>0</v>
      </c>
      <c r="AP597" s="98" t="str">
        <f>LEFT(questions[[#This Row],[question]],similarity_range)</f>
        <v xml:space="preserve">If yes what was the </v>
      </c>
      <c r="AQ597" s="98" t="str">
        <f>LEFT(INDEX(stable[question],MATCH(questions[[#This Row],[qno]],stable[qno],0)),similarity_range)</f>
        <v xml:space="preserve">If yes what was the </v>
      </c>
      <c r="AR597" s="98" t="b">
        <f>questions[[#This Row],[question_first_characters]]=questions[[#This Row],[stability_first_characters]]</f>
        <v>1</v>
      </c>
      <c r="AS597" s="98" t="b">
        <f>IF(OR(questions[[#This Row],[is_single_select]],questions[[#This Row],[is_multi_select]]),NOT(ISBLANK(questions[[#This Row],[answer_opt_combined]])),TRUE)</f>
        <v>1</v>
      </c>
    </row>
    <row r="598" spans="1:45" ht="15.75" customHeight="1" x14ac:dyDescent="0.25">
      <c r="A598" s="9" t="str">
        <f>_xlfn.TEXTJOIN("_",TRUE,questions[[#This Row],[origin]:[qno]])</f>
        <v>Rwanda_Arabica_Nestle_Illy_IMPACT_2024_6302</v>
      </c>
      <c r="B598" s="9" t="s">
        <v>719</v>
      </c>
      <c r="C598" s="9" t="s">
        <v>59</v>
      </c>
      <c r="D598" s="9" t="s">
        <v>720</v>
      </c>
      <c r="E598" s="9">
        <v>2024</v>
      </c>
      <c r="F598" s="36" t="s">
        <v>282</v>
      </c>
      <c r="G598" s="15" t="s">
        <v>790</v>
      </c>
      <c r="H598" s="9" t="str" cm="1">
        <f t="array" ref="H598">INDEX(stableR[question],MATCH(VALUE(questions[[#This Row],[qno]]),VALUE(stableR[qno]),0))</f>
        <v>How many seedlings did you buy last year?</v>
      </c>
      <c r="I598" s="9" t="b" cm="1">
        <f t="array" ref="I598">INDEX(stable[is_fixed],MATCH(VALUE(questions[[#This Row],[qno]]),VALUE(stable[qno]),0))</f>
        <v>1</v>
      </c>
      <c r="J598" s="9" t="b" cm="1">
        <f t="array" ref="J598">INDEX(stable[is_localized],MATCH(VALUE(questions[[#This Row],[qno]]),VALUE(stable[qno]),0))</f>
        <v>0</v>
      </c>
      <c r="K598" s="9" t="b" cm="1">
        <f t="array" ref="K598">INDEX(stable[is_supply_chain_dependent],MATCH(VALUE(questions[[#This Row],[qno]]),VALUE(stable[qno]),0))</f>
        <v>0</v>
      </c>
      <c r="L598" s="9" t="b" cm="1">
        <f t="array" ref="L598">INDEX(stable[is_mandatory],MATCH(VALUE(questions[[#This Row],[qno]]),VALUE(stable[qno]),0))</f>
        <v>0</v>
      </c>
      <c r="M598" s="9" t="b" cm="1">
        <f t="array" ref="M598">INDEX(stable[is_automated],MATCH(VALUE(questions[[#This Row],[qno]]),VALUE(stable[qno]),0))</f>
        <v>0</v>
      </c>
      <c r="N598" s="9" t="b" cm="1">
        <f t="array" ref="N598">INDEX(stable[is_free_text],MATCH(VALUE(questions[[#This Row],[qno]]),VALUE(stable[qno]),0))</f>
        <v>0</v>
      </c>
      <c r="O598" s="9" t="b" cm="1">
        <f t="array" ref="O598">INDEX(stable[is_numerical],MATCH(VALUE(questions[[#This Row],[qno]]),VALUE(stable[qno]),0))</f>
        <v>1</v>
      </c>
      <c r="P598" s="9" t="b" cm="1">
        <f t="array" ref="P598">INDEX(stable[is_single_select],MATCH(VALUE(questions[[#This Row],[qno]]),VALUE(stable[qno]),0))</f>
        <v>0</v>
      </c>
      <c r="Q598" s="9" t="b" cm="1">
        <f t="array" ref="Q598">INDEX(stable[is_multi_select],MATCH(VALUE(questions[[#This Row],[qno]]),VALUE(stable[qno]),0))</f>
        <v>0</v>
      </c>
      <c r="R598" s="9" t="b" cm="1">
        <f t="array" ref="R598">INDEX(stable[is_skip_logic],MATCH(VALUE(questions[[#This Row],[qno]]),VALUE(stable[qno]),0))</f>
        <v>1</v>
      </c>
      <c r="S598" s="9" t="str">
        <f>_xlfn.TEXTJOIN(", ",TRUE,questions[[#This Row],[ans_opt_1]:[ans_opt_14]])</f>
        <v/>
      </c>
      <c r="AH598" s="16" t="b">
        <f>INDEX(stable[q_standard],MATCH(questions[[#This Row],[qno]],stable[qno],0))</f>
        <v>0</v>
      </c>
      <c r="AI598" s="16" t="b">
        <f>INDEX(stable[q_living_income],MATCH(questions[[#This Row],[qno]],stable[qno],0))</f>
        <v>1</v>
      </c>
      <c r="AJ598" s="16" t="b">
        <f>INDEX(stable[q_carbon],MATCH(questions[[#This Row],[qno]],stable[qno],0))</f>
        <v>0</v>
      </c>
      <c r="AK598" s="16" t="b">
        <f>INDEX(stable[q_regen_ag],MATCH(questions[[#This Row],[qno]],stable[qno],0))</f>
        <v>0</v>
      </c>
      <c r="AL598" s="16" t="b">
        <f>COUNTIFS(stable[qno],questions[[#This Row],[qno]])=1</f>
        <v>1</v>
      </c>
      <c r="AM598" s="16" t="b">
        <f>OR(questions[[#This Row],[is_fixed]],questions[[#This Row],[is_localized]],questions[[#This Row],[is_supply_chain_dependent]])</f>
        <v>1</v>
      </c>
      <c r="AN598" s="16" t="b">
        <f>COUNTIFS(questions[[#This Row],[is_automated]:[is_multi_select]],TRUE)=1</f>
        <v>1</v>
      </c>
      <c r="AO598" s="16" t="b">
        <f>IF(questions[[#This Row],[is_fixed]],questions[[#This Row],[question]]=INDEX(stable[question],MATCH(questions[[#This Row],[qno]],stable[qno],0)),TRUE)</f>
        <v>0</v>
      </c>
      <c r="AP598" s="16" t="str">
        <f>LEFT(questions[[#This Row],[question]],similarity_range)</f>
        <v>How many seedlings d</v>
      </c>
      <c r="AQ598" s="16" t="str">
        <f>LEFT(INDEX(stable[question],MATCH(questions[[#This Row],[qno]],stable[qno],0)),similarity_range)</f>
        <v>How many seedlings d</v>
      </c>
      <c r="AR598" s="16" t="b">
        <f>questions[[#This Row],[question_first_characters]]=questions[[#This Row],[stability_first_characters]]</f>
        <v>1</v>
      </c>
      <c r="AS598" s="16" t="b">
        <f>IF(OR(questions[[#This Row],[is_single_select]],questions[[#This Row],[is_multi_select]]),NOT(ISBLANK(questions[[#This Row],[answer_opt_combined]])),TRUE)</f>
        <v>1</v>
      </c>
    </row>
    <row r="599" spans="1:45" s="77" customFormat="1" ht="15.75" customHeight="1" x14ac:dyDescent="0.25">
      <c r="A599" s="77" t="str">
        <f>_xlfn.TEXTJOIN("_",TRUE,questions[[#This Row],[origin]:[qno]])</f>
        <v>Rwanda_Arabica_Nestle_Illy_IMPACT_2024_6500</v>
      </c>
      <c r="B599" s="77" t="s">
        <v>719</v>
      </c>
      <c r="C599" s="77" t="s">
        <v>59</v>
      </c>
      <c r="D599" s="77" t="s">
        <v>720</v>
      </c>
      <c r="E599" s="77">
        <v>2024</v>
      </c>
      <c r="F599" s="105" t="s">
        <v>290</v>
      </c>
      <c r="G599" s="78" t="s">
        <v>291</v>
      </c>
      <c r="H599" s="9" t="str" cm="1">
        <f t="array" ref="H599">INDEX(stableR[question],MATCH(VALUE(questions[[#This Row],[qno]]),VALUE(stableR[qno]),0))</f>
        <v>What are your sources of income for the total household, from the farm and off-farm?</v>
      </c>
      <c r="I599" s="9" t="b" cm="1">
        <f t="array" ref="I599">INDEX(stable[is_fixed],MATCH(VALUE(questions[[#This Row],[qno]]),VALUE(stable[qno]),0))</f>
        <v>1</v>
      </c>
      <c r="J599" s="9" t="b" cm="1">
        <f t="array" ref="J599">INDEX(stable[is_localized],MATCH(VALUE(questions[[#This Row],[qno]]),VALUE(stable[qno]),0))</f>
        <v>0</v>
      </c>
      <c r="K599" s="9" t="b" cm="1">
        <f t="array" ref="K599">INDEX(stable[is_supply_chain_dependent],MATCH(VALUE(questions[[#This Row],[qno]]),VALUE(stable[qno]),0))</f>
        <v>0</v>
      </c>
      <c r="L599" s="9" t="b" cm="1">
        <f t="array" ref="L599">INDEX(stable[is_mandatory],MATCH(VALUE(questions[[#This Row],[qno]]),VALUE(stable[qno]),0))</f>
        <v>1</v>
      </c>
      <c r="M599" s="9" t="b" cm="1">
        <f t="array" ref="M599">INDEX(stable[is_automated],MATCH(VALUE(questions[[#This Row],[qno]]),VALUE(stable[qno]),0))</f>
        <v>0</v>
      </c>
      <c r="N599" s="9" t="b" cm="1">
        <f t="array" ref="N599">INDEX(stable[is_free_text],MATCH(VALUE(questions[[#This Row],[qno]]),VALUE(stable[qno]),0))</f>
        <v>0</v>
      </c>
      <c r="O599" s="9" t="b" cm="1">
        <f t="array" ref="O599">INDEX(stable[is_numerical],MATCH(VALUE(questions[[#This Row],[qno]]),VALUE(stable[qno]),0))</f>
        <v>0</v>
      </c>
      <c r="P599" s="77" t="b" cm="1">
        <f t="array" ref="P599">INDEX(stable[is_single_select],MATCH(VALUE(questions[[#This Row],[qno]]),VALUE(stable[qno]),0))</f>
        <v>0</v>
      </c>
      <c r="Q599" s="77" t="b" cm="1">
        <f t="array" ref="Q599">INDEX(stable[is_multi_select],MATCH(VALUE(questions[[#This Row],[qno]]),VALUE(stable[qno]),0))</f>
        <v>1</v>
      </c>
      <c r="R599" s="77" t="b" cm="1">
        <f t="array" ref="R599">INDEX(stable[is_skip_logic],MATCH(VALUE(questions[[#This Row],[qno]]),VALUE(stable[qno]),0))</f>
        <v>1</v>
      </c>
      <c r="S599" s="77" t="str">
        <f>_xlfn.TEXTJOIN(", ",TRUE,questions[[#This Row],[ans_opt_1]:[ans_opt_14]])</f>
        <v>Coffee, Cropping, Livestock, Casual labor in agriculture, Casual labor off-farm, Other business, Salaried job, Pension, Remittances</v>
      </c>
      <c r="T599" s="77" t="s">
        <v>292</v>
      </c>
      <c r="U599" s="77" t="s">
        <v>293</v>
      </c>
      <c r="V599" s="77" t="s">
        <v>294</v>
      </c>
      <c r="W599" s="77" t="s">
        <v>295</v>
      </c>
      <c r="X599" s="77" t="s">
        <v>296</v>
      </c>
      <c r="Y599" s="77" t="s">
        <v>297</v>
      </c>
      <c r="Z599" s="77" t="s">
        <v>298</v>
      </c>
      <c r="AA599" s="77" t="s">
        <v>299</v>
      </c>
      <c r="AB599" s="77" t="s">
        <v>300</v>
      </c>
      <c r="AH599" s="98" t="b">
        <f>INDEX(stable[q_standard],MATCH(questions[[#This Row],[qno]],stable[qno],0))</f>
        <v>0</v>
      </c>
      <c r="AI599" s="98" t="b">
        <f>INDEX(stable[q_living_income],MATCH(questions[[#This Row],[qno]],stable[qno],0))</f>
        <v>1</v>
      </c>
      <c r="AJ599" s="98" t="b">
        <f>INDEX(stable[q_carbon],MATCH(questions[[#This Row],[qno]],stable[qno],0))</f>
        <v>0</v>
      </c>
      <c r="AK599" s="98" t="b">
        <f>INDEX(stable[q_regen_ag],MATCH(questions[[#This Row],[qno]],stable[qno],0))</f>
        <v>0</v>
      </c>
      <c r="AL599" s="98" t="b">
        <f>COUNTIFS(stable[qno],questions[[#This Row],[qno]])=1</f>
        <v>1</v>
      </c>
      <c r="AM599" s="98" t="b">
        <f>OR(questions[[#This Row],[is_fixed]],questions[[#This Row],[is_localized]],questions[[#This Row],[is_supply_chain_dependent]])</f>
        <v>1</v>
      </c>
      <c r="AN599" s="98" t="b">
        <f>COUNTIFS(questions[[#This Row],[is_automated]:[is_multi_select]],TRUE)=1</f>
        <v>1</v>
      </c>
      <c r="AO599" s="98" t="b">
        <f>IF(questions[[#This Row],[is_fixed]],questions[[#This Row],[question]]=INDEX(stable[question],MATCH(questions[[#This Row],[qno]],stable[qno],0)),TRUE)</f>
        <v>1</v>
      </c>
      <c r="AP599" s="98" t="str">
        <f>LEFT(questions[[#This Row],[question]],similarity_range)</f>
        <v>What are your source</v>
      </c>
      <c r="AQ599" s="98" t="str">
        <f>LEFT(INDEX(stable[question],MATCH(questions[[#This Row],[qno]],stable[qno],0)),similarity_range)</f>
        <v>What are your source</v>
      </c>
      <c r="AR599" s="98" t="b">
        <f>questions[[#This Row],[question_first_characters]]=questions[[#This Row],[stability_first_characters]]</f>
        <v>1</v>
      </c>
      <c r="AS599" s="98" t="b">
        <f>IF(OR(questions[[#This Row],[is_single_select]],questions[[#This Row],[is_multi_select]]),NOT(ISBLANK(questions[[#This Row],[answer_opt_combined]])),TRUE)</f>
        <v>1</v>
      </c>
    </row>
    <row r="600" spans="1:45" ht="15.75" customHeight="1" x14ac:dyDescent="0.25">
      <c r="A600" s="9" t="str">
        <f>_xlfn.TEXTJOIN("_",TRUE,questions[[#This Row],[origin]:[qno]])</f>
        <v>Rwanda_Arabica_Nestle_Illy_IMPACT_2024_6501</v>
      </c>
      <c r="B600" s="9" t="s">
        <v>719</v>
      </c>
      <c r="C600" s="9" t="s">
        <v>59</v>
      </c>
      <c r="D600" s="9" t="s">
        <v>720</v>
      </c>
      <c r="E600" s="9">
        <v>2024</v>
      </c>
      <c r="F600" s="36" t="s">
        <v>301</v>
      </c>
      <c r="G600" s="15" t="s">
        <v>791</v>
      </c>
      <c r="H600" s="9" t="str" cm="1">
        <f t="array" ref="H600">INDEX(stableR[question],MATCH(VALUE(questions[[#This Row],[qno]]),VALUE(stableR[qno]),0))</f>
        <v>For each of the sources of income that you have, please estimate the importance in terms of income for last year, as compared to the total household income! (next questions)</v>
      </c>
      <c r="I600" s="9" t="b" cm="1">
        <f t="array" ref="I600">INDEX(stable[is_fixed],MATCH(VALUE(questions[[#This Row],[qno]]),VALUE(stable[qno]),0))</f>
        <v>1</v>
      </c>
      <c r="J600" s="9" t="b" cm="1">
        <f t="array" ref="J600">INDEX(stable[is_localized],MATCH(VALUE(questions[[#This Row],[qno]]),VALUE(stable[qno]),0))</f>
        <v>0</v>
      </c>
      <c r="K600" s="9" t="b" cm="1">
        <f t="array" ref="K600">INDEX(stable[is_supply_chain_dependent],MATCH(VALUE(questions[[#This Row],[qno]]),VALUE(stable[qno]),0))</f>
        <v>0</v>
      </c>
      <c r="L600" s="9" t="b" cm="1">
        <f t="array" ref="L600">INDEX(stable[is_mandatory],MATCH(VALUE(questions[[#This Row],[qno]]),VALUE(stable[qno]),0))</f>
        <v>1</v>
      </c>
      <c r="M600" s="9" t="b" cm="1">
        <f t="array" ref="M600">INDEX(stable[is_automated],MATCH(VALUE(questions[[#This Row],[qno]]),VALUE(stable[qno]),0))</f>
        <v>1</v>
      </c>
      <c r="N600" s="9" t="b" cm="1">
        <f t="array" ref="N600">INDEX(stable[is_free_text],MATCH(VALUE(questions[[#This Row],[qno]]),VALUE(stable[qno]),0))</f>
        <v>0</v>
      </c>
      <c r="O600" s="9" t="b" cm="1">
        <f t="array" ref="O600">INDEX(stable[is_numerical],MATCH(VALUE(questions[[#This Row],[qno]]),VALUE(stable[qno]),0))</f>
        <v>0</v>
      </c>
      <c r="P600" s="9" t="b" cm="1">
        <f t="array" ref="P600">INDEX(stable[is_single_select],MATCH(VALUE(questions[[#This Row],[qno]]),VALUE(stable[qno]),0))</f>
        <v>0</v>
      </c>
      <c r="Q600" s="9" t="b" cm="1">
        <f t="array" ref="Q600">INDEX(stable[is_multi_select],MATCH(VALUE(questions[[#This Row],[qno]]),VALUE(stable[qno]),0))</f>
        <v>0</v>
      </c>
      <c r="R600" s="9" t="b" cm="1">
        <f t="array" ref="R600">INDEX(stable[is_skip_logic],MATCH(VALUE(questions[[#This Row],[qno]]),VALUE(stable[qno]),0))</f>
        <v>0</v>
      </c>
      <c r="S600" s="9" t="str">
        <f>_xlfn.TEXTJOIN(", ",TRUE,questions[[#This Row],[ans_opt_1]:[ans_opt_14]])</f>
        <v/>
      </c>
      <c r="AH600" s="16" t="b">
        <f>INDEX(stable[q_standard],MATCH(questions[[#This Row],[qno]],stable[qno],0))</f>
        <v>0</v>
      </c>
      <c r="AI600" s="16" t="b">
        <f>INDEX(stable[q_living_income],MATCH(questions[[#This Row],[qno]],stable[qno],0))</f>
        <v>1</v>
      </c>
      <c r="AJ600" s="16" t="b">
        <f>INDEX(stable[q_carbon],MATCH(questions[[#This Row],[qno]],stable[qno],0))</f>
        <v>0</v>
      </c>
      <c r="AK600" s="16" t="b">
        <f>INDEX(stable[q_regen_ag],MATCH(questions[[#This Row],[qno]],stable[qno],0))</f>
        <v>0</v>
      </c>
      <c r="AL600" s="16" t="b">
        <f>COUNTIFS(stable[qno],questions[[#This Row],[qno]])=1</f>
        <v>1</v>
      </c>
      <c r="AM600" s="16" t="b">
        <f>OR(questions[[#This Row],[is_fixed]],questions[[#This Row],[is_localized]],questions[[#This Row],[is_supply_chain_dependent]])</f>
        <v>1</v>
      </c>
      <c r="AN600" s="16" t="b">
        <f>COUNTIFS(questions[[#This Row],[is_automated]:[is_multi_select]],TRUE)=1</f>
        <v>1</v>
      </c>
      <c r="AO600" s="16" t="b">
        <f>IF(questions[[#This Row],[is_fixed]],questions[[#This Row],[question]]=INDEX(stable[question],MATCH(questions[[#This Row],[qno]],stable[qno],0)),TRUE)</f>
        <v>0</v>
      </c>
      <c r="AP600" s="16" t="str">
        <f>LEFT(questions[[#This Row],[question]],similarity_range)</f>
        <v>For each of the sour</v>
      </c>
      <c r="AQ600" s="16" t="str">
        <f>LEFT(INDEX(stable[question],MATCH(questions[[#This Row],[qno]],stable[qno],0)),similarity_range)</f>
        <v>For each of the sour</v>
      </c>
      <c r="AR600" s="16" t="b">
        <f>questions[[#This Row],[question_first_characters]]=questions[[#This Row],[stability_first_characters]]</f>
        <v>1</v>
      </c>
      <c r="AS600" s="16" t="b">
        <f>IF(OR(questions[[#This Row],[is_single_select]],questions[[#This Row],[is_multi_select]]),NOT(ISBLANK(questions[[#This Row],[answer_opt_combined]])),TRUE)</f>
        <v>1</v>
      </c>
    </row>
    <row r="601" spans="1:45" s="77" customFormat="1" ht="15.75" customHeight="1" x14ac:dyDescent="0.25">
      <c r="A601" s="77" t="str">
        <f>_xlfn.TEXTJOIN("_",TRUE,questions[[#This Row],[origin]:[qno]])</f>
        <v>Rwanda_Arabica_Nestle_Illy_IMPACT_2024_6510</v>
      </c>
      <c r="B601" s="77" t="s">
        <v>719</v>
      </c>
      <c r="C601" s="77" t="s">
        <v>59</v>
      </c>
      <c r="D601" s="77" t="s">
        <v>720</v>
      </c>
      <c r="E601" s="77">
        <v>2024</v>
      </c>
      <c r="F601" s="105" t="s">
        <v>303</v>
      </c>
      <c r="G601" s="78" t="s">
        <v>304</v>
      </c>
      <c r="H601" s="9" t="str" cm="1">
        <f t="array" ref="H601">INDEX(stableR[question],MATCH(VALUE(questions[[#This Row],[qno]]),VALUE(stableR[qno]),0))</f>
        <v>Coffee, what was the estimated importance?</v>
      </c>
      <c r="I601" s="9" t="b" cm="1">
        <f t="array" ref="I601">INDEX(stable[is_fixed],MATCH(VALUE(questions[[#This Row],[qno]]),VALUE(stable[qno]),0))</f>
        <v>1</v>
      </c>
      <c r="J601" s="9" t="b" cm="1">
        <f t="array" ref="J601">INDEX(stable[is_localized],MATCH(VALUE(questions[[#This Row],[qno]]),VALUE(stable[qno]),0))</f>
        <v>0</v>
      </c>
      <c r="K601" s="9" t="b" cm="1">
        <f t="array" ref="K601">INDEX(stable[is_supply_chain_dependent],MATCH(VALUE(questions[[#This Row],[qno]]),VALUE(stable[qno]),0))</f>
        <v>0</v>
      </c>
      <c r="L601" s="9" t="b" cm="1">
        <f t="array" ref="L601">INDEX(stable[is_mandatory],MATCH(VALUE(questions[[#This Row],[qno]]),VALUE(stable[qno]),0))</f>
        <v>0</v>
      </c>
      <c r="M601" s="9" t="b" cm="1">
        <f t="array" ref="M601">INDEX(stable[is_automated],MATCH(VALUE(questions[[#This Row],[qno]]),VALUE(stable[qno]),0))</f>
        <v>0</v>
      </c>
      <c r="N601" s="9" t="b" cm="1">
        <f t="array" ref="N601">INDEX(stable[is_free_text],MATCH(VALUE(questions[[#This Row],[qno]]),VALUE(stable[qno]),0))</f>
        <v>0</v>
      </c>
      <c r="O601" s="9" t="b" cm="1">
        <f t="array" ref="O601">INDEX(stable[is_numerical],MATCH(VALUE(questions[[#This Row],[qno]]),VALUE(stable[qno]),0))</f>
        <v>0</v>
      </c>
      <c r="P601" s="77" t="b" cm="1">
        <f t="array" ref="P601">INDEX(stable[is_single_select],MATCH(VALUE(questions[[#This Row],[qno]]),VALUE(stable[qno]),0))</f>
        <v>1</v>
      </c>
      <c r="Q601" s="77" t="b" cm="1">
        <f t="array" ref="Q601">INDEX(stable[is_multi_select],MATCH(VALUE(questions[[#This Row],[qno]]),VALUE(stable[qno]),0))</f>
        <v>0</v>
      </c>
      <c r="R601" s="77" t="b" cm="1">
        <f t="array" ref="R601">INDEX(stable[is_skip_logic],MATCH(VALUE(questions[[#This Row],[qno]]),VALUE(stable[qno]),0))</f>
        <v>0</v>
      </c>
      <c r="S601" s="77" t="str">
        <f>_xlfn.TEXTJOIN(", ",TRUE,questions[[#This Row],[ans_opt_1]:[ans_opt_14]])</f>
        <v>All or nearly all - 80-100%, More than half of it  - 60-80%, About half of it - 40-60%, Less than half of it - 20-40%, A small amount - 0-20%</v>
      </c>
      <c r="T601" s="77" t="s">
        <v>305</v>
      </c>
      <c r="U601" s="77" t="s">
        <v>306</v>
      </c>
      <c r="V601" s="77" t="s">
        <v>307</v>
      </c>
      <c r="W601" s="77" t="s">
        <v>308</v>
      </c>
      <c r="X601" s="77" t="s">
        <v>309</v>
      </c>
      <c r="AH601" s="98" t="b">
        <f>INDEX(stable[q_standard],MATCH(questions[[#This Row],[qno]],stable[qno],0))</f>
        <v>0</v>
      </c>
      <c r="AI601" s="98" t="b">
        <f>INDEX(stable[q_living_income],MATCH(questions[[#This Row],[qno]],stable[qno],0))</f>
        <v>1</v>
      </c>
      <c r="AJ601" s="98" t="b">
        <f>INDEX(stable[q_carbon],MATCH(questions[[#This Row],[qno]],stable[qno],0))</f>
        <v>0</v>
      </c>
      <c r="AK601" s="98" t="b">
        <f>INDEX(stable[q_regen_ag],MATCH(questions[[#This Row],[qno]],stable[qno],0))</f>
        <v>0</v>
      </c>
      <c r="AL601" s="98" t="b">
        <f>COUNTIFS(stable[qno],questions[[#This Row],[qno]])=1</f>
        <v>1</v>
      </c>
      <c r="AM601" s="98" t="b">
        <f>OR(questions[[#This Row],[is_fixed]],questions[[#This Row],[is_localized]],questions[[#This Row],[is_supply_chain_dependent]])</f>
        <v>1</v>
      </c>
      <c r="AN601" s="98" t="b">
        <f>COUNTIFS(questions[[#This Row],[is_automated]:[is_multi_select]],TRUE)=1</f>
        <v>1</v>
      </c>
      <c r="AO601" s="98" t="b">
        <f>IF(questions[[#This Row],[is_fixed]],questions[[#This Row],[question]]=INDEX(stable[question],MATCH(questions[[#This Row],[qno]],stable[qno],0)),TRUE)</f>
        <v>1</v>
      </c>
      <c r="AP601" s="98" t="str">
        <f>LEFT(questions[[#This Row],[question]],similarity_range)</f>
        <v>Coffee, what was the</v>
      </c>
      <c r="AQ601" s="98" t="str">
        <f>LEFT(INDEX(stable[question],MATCH(questions[[#This Row],[qno]],stable[qno],0)),similarity_range)</f>
        <v>Coffee, what was the</v>
      </c>
      <c r="AR601" s="98" t="b">
        <f>questions[[#This Row],[question_first_characters]]=questions[[#This Row],[stability_first_characters]]</f>
        <v>1</v>
      </c>
      <c r="AS601" s="98" t="b">
        <f>IF(OR(questions[[#This Row],[is_single_select]],questions[[#This Row],[is_multi_select]]),NOT(ISBLANK(questions[[#This Row],[answer_opt_combined]])),TRUE)</f>
        <v>1</v>
      </c>
    </row>
    <row r="602" spans="1:45" s="77" customFormat="1" ht="15.75" customHeight="1" x14ac:dyDescent="0.25">
      <c r="A602" s="77" t="str">
        <f>_xlfn.TEXTJOIN("_",TRUE,questions[[#This Row],[origin]:[qno]])</f>
        <v>Rwanda_Arabica_Nestle_Illy_IMPACT_2024_6511</v>
      </c>
      <c r="B602" s="77" t="s">
        <v>719</v>
      </c>
      <c r="C602" s="77" t="s">
        <v>59</v>
      </c>
      <c r="D602" s="77" t="s">
        <v>720</v>
      </c>
      <c r="E602" s="77">
        <v>2024</v>
      </c>
      <c r="F602" s="105" t="s">
        <v>310</v>
      </c>
      <c r="G602" s="78" t="s">
        <v>311</v>
      </c>
      <c r="H602" s="9" t="str" cm="1">
        <f t="array" ref="H602">INDEX(stableR[question],MATCH(VALUE(questions[[#This Row],[qno]]),VALUE(stableR[qno]),0))</f>
        <v>Cropping other than coffee, what was the estimated importance?</v>
      </c>
      <c r="I602" s="9" t="b" cm="1">
        <f t="array" ref="I602">INDEX(stable[is_fixed],MATCH(VALUE(questions[[#This Row],[qno]]),VALUE(stable[qno]),0))</f>
        <v>1</v>
      </c>
      <c r="J602" s="9" t="b" cm="1">
        <f t="array" ref="J602">INDEX(stable[is_localized],MATCH(VALUE(questions[[#This Row],[qno]]),VALUE(stable[qno]),0))</f>
        <v>0</v>
      </c>
      <c r="K602" s="9" t="b" cm="1">
        <f t="array" ref="K602">INDEX(stable[is_supply_chain_dependent],MATCH(VALUE(questions[[#This Row],[qno]]),VALUE(stable[qno]),0))</f>
        <v>0</v>
      </c>
      <c r="L602" s="9" t="b" cm="1">
        <f t="array" ref="L602">INDEX(stable[is_mandatory],MATCH(VALUE(questions[[#This Row],[qno]]),VALUE(stable[qno]),0))</f>
        <v>0</v>
      </c>
      <c r="M602" s="9" t="b" cm="1">
        <f t="array" ref="M602">INDEX(stable[is_automated],MATCH(VALUE(questions[[#This Row],[qno]]),VALUE(stable[qno]),0))</f>
        <v>0</v>
      </c>
      <c r="N602" s="9" t="b" cm="1">
        <f t="array" ref="N602">INDEX(stable[is_free_text],MATCH(VALUE(questions[[#This Row],[qno]]),VALUE(stable[qno]),0))</f>
        <v>0</v>
      </c>
      <c r="O602" s="9" t="b" cm="1">
        <f t="array" ref="O602">INDEX(stable[is_numerical],MATCH(VALUE(questions[[#This Row],[qno]]),VALUE(stable[qno]),0))</f>
        <v>0</v>
      </c>
      <c r="P602" s="77" t="b" cm="1">
        <f t="array" ref="P602">INDEX(stable[is_single_select],MATCH(VALUE(questions[[#This Row],[qno]]),VALUE(stable[qno]),0))</f>
        <v>1</v>
      </c>
      <c r="Q602" s="77" t="b" cm="1">
        <f t="array" ref="Q602">INDEX(stable[is_multi_select],MATCH(VALUE(questions[[#This Row],[qno]]),VALUE(stable[qno]),0))</f>
        <v>0</v>
      </c>
      <c r="R602" s="77" t="b" cm="1">
        <f t="array" ref="R602">INDEX(stable[is_skip_logic],MATCH(VALUE(questions[[#This Row],[qno]]),VALUE(stable[qno]),0))</f>
        <v>0</v>
      </c>
      <c r="S602" s="77" t="str">
        <f>_xlfn.TEXTJOIN(", ",TRUE,questions[[#This Row],[ans_opt_1]:[ans_opt_14]])</f>
        <v>All or nearly all - 80-100%, More than half of it  - 60-80%, About half of it - 40-60%, Less than half of it - 20-40%, A small amount - 0-20%</v>
      </c>
      <c r="T602" s="77" t="s">
        <v>305</v>
      </c>
      <c r="U602" s="77" t="s">
        <v>306</v>
      </c>
      <c r="V602" s="77" t="s">
        <v>307</v>
      </c>
      <c r="W602" s="77" t="s">
        <v>308</v>
      </c>
      <c r="X602" s="77" t="s">
        <v>309</v>
      </c>
      <c r="AH602" s="98" t="b">
        <f>INDEX(stable[q_standard],MATCH(questions[[#This Row],[qno]],stable[qno],0))</f>
        <v>0</v>
      </c>
      <c r="AI602" s="98" t="b">
        <f>INDEX(stable[q_living_income],MATCH(questions[[#This Row],[qno]],stable[qno],0))</f>
        <v>1</v>
      </c>
      <c r="AJ602" s="98" t="b">
        <f>INDEX(stable[q_carbon],MATCH(questions[[#This Row],[qno]],stable[qno],0))</f>
        <v>0</v>
      </c>
      <c r="AK602" s="98" t="b">
        <f>INDEX(stable[q_regen_ag],MATCH(questions[[#This Row],[qno]],stable[qno],0))</f>
        <v>0</v>
      </c>
      <c r="AL602" s="98" t="b">
        <f>COUNTIFS(stable[qno],questions[[#This Row],[qno]])=1</f>
        <v>1</v>
      </c>
      <c r="AM602" s="98" t="b">
        <f>OR(questions[[#This Row],[is_fixed]],questions[[#This Row],[is_localized]],questions[[#This Row],[is_supply_chain_dependent]])</f>
        <v>1</v>
      </c>
      <c r="AN602" s="98" t="b">
        <f>COUNTIFS(questions[[#This Row],[is_automated]:[is_multi_select]],TRUE)=1</f>
        <v>1</v>
      </c>
      <c r="AO602" s="98" t="b">
        <f>IF(questions[[#This Row],[is_fixed]],questions[[#This Row],[question]]=INDEX(stable[question],MATCH(questions[[#This Row],[qno]],stable[qno],0)),TRUE)</f>
        <v>1</v>
      </c>
      <c r="AP602" s="98" t="str">
        <f>LEFT(questions[[#This Row],[question]],similarity_range)</f>
        <v xml:space="preserve">Cropping other than </v>
      </c>
      <c r="AQ602" s="98" t="str">
        <f>LEFT(INDEX(stable[question],MATCH(questions[[#This Row],[qno]],stable[qno],0)),similarity_range)</f>
        <v xml:space="preserve">Cropping other than </v>
      </c>
      <c r="AR602" s="98" t="b">
        <f>questions[[#This Row],[question_first_characters]]=questions[[#This Row],[stability_first_characters]]</f>
        <v>1</v>
      </c>
      <c r="AS602" s="98" t="b">
        <f>IF(OR(questions[[#This Row],[is_single_select]],questions[[#This Row],[is_multi_select]]),NOT(ISBLANK(questions[[#This Row],[answer_opt_combined]])),TRUE)</f>
        <v>1</v>
      </c>
    </row>
    <row r="603" spans="1:45" s="77" customFormat="1" ht="15.75" customHeight="1" x14ac:dyDescent="0.25">
      <c r="A603" s="77" t="str">
        <f>_xlfn.TEXTJOIN("_",TRUE,questions[[#This Row],[origin]:[qno]])</f>
        <v>Rwanda_Arabica_Nestle_Illy_IMPACT_2024_6512</v>
      </c>
      <c r="B603" s="77" t="s">
        <v>719</v>
      </c>
      <c r="C603" s="77" t="s">
        <v>59</v>
      </c>
      <c r="D603" s="77" t="s">
        <v>720</v>
      </c>
      <c r="E603" s="77">
        <v>2024</v>
      </c>
      <c r="F603" s="105" t="s">
        <v>312</v>
      </c>
      <c r="G603" s="78" t="s">
        <v>313</v>
      </c>
      <c r="H603" s="9" t="str" cm="1">
        <f t="array" ref="H603">INDEX(stableR[question],MATCH(VALUE(questions[[#This Row],[qno]]),VALUE(stableR[qno]),0))</f>
        <v>Livestock, what was the estimated importance?</v>
      </c>
      <c r="I603" s="9" t="b" cm="1">
        <f t="array" ref="I603">INDEX(stable[is_fixed],MATCH(VALUE(questions[[#This Row],[qno]]),VALUE(stable[qno]),0))</f>
        <v>1</v>
      </c>
      <c r="J603" s="9" t="b" cm="1">
        <f t="array" ref="J603">INDEX(stable[is_localized],MATCH(VALUE(questions[[#This Row],[qno]]),VALUE(stable[qno]),0))</f>
        <v>0</v>
      </c>
      <c r="K603" s="9" t="b" cm="1">
        <f t="array" ref="K603">INDEX(stable[is_supply_chain_dependent],MATCH(VALUE(questions[[#This Row],[qno]]),VALUE(stable[qno]),0))</f>
        <v>0</v>
      </c>
      <c r="L603" s="9" t="b" cm="1">
        <f t="array" ref="L603">INDEX(stable[is_mandatory],MATCH(VALUE(questions[[#This Row],[qno]]),VALUE(stable[qno]),0))</f>
        <v>0</v>
      </c>
      <c r="M603" s="9" t="b" cm="1">
        <f t="array" ref="M603">INDEX(stable[is_automated],MATCH(VALUE(questions[[#This Row],[qno]]),VALUE(stable[qno]),0))</f>
        <v>0</v>
      </c>
      <c r="N603" s="9" t="b" cm="1">
        <f t="array" ref="N603">INDEX(stable[is_free_text],MATCH(VALUE(questions[[#This Row],[qno]]),VALUE(stable[qno]),0))</f>
        <v>0</v>
      </c>
      <c r="O603" s="9" t="b" cm="1">
        <f t="array" ref="O603">INDEX(stable[is_numerical],MATCH(VALUE(questions[[#This Row],[qno]]),VALUE(stable[qno]),0))</f>
        <v>0</v>
      </c>
      <c r="P603" s="77" t="b" cm="1">
        <f t="array" ref="P603">INDEX(stable[is_single_select],MATCH(VALUE(questions[[#This Row],[qno]]),VALUE(stable[qno]),0))</f>
        <v>1</v>
      </c>
      <c r="Q603" s="77" t="b" cm="1">
        <f t="array" ref="Q603">INDEX(stable[is_multi_select],MATCH(VALUE(questions[[#This Row],[qno]]),VALUE(stable[qno]),0))</f>
        <v>0</v>
      </c>
      <c r="R603" s="77" t="b" cm="1">
        <f t="array" ref="R603">INDEX(stable[is_skip_logic],MATCH(VALUE(questions[[#This Row],[qno]]),VALUE(stable[qno]),0))</f>
        <v>0</v>
      </c>
      <c r="S603" s="77" t="str">
        <f>_xlfn.TEXTJOIN(", ",TRUE,questions[[#This Row],[ans_opt_1]:[ans_opt_14]])</f>
        <v>All or nearly all - 80-100%, More than half of it  - 60-80%, About half of it - 40-60%, Less than half of it - 20-40%, A small amount - 0-20%</v>
      </c>
      <c r="T603" s="77" t="s">
        <v>305</v>
      </c>
      <c r="U603" s="77" t="s">
        <v>306</v>
      </c>
      <c r="V603" s="77" t="s">
        <v>307</v>
      </c>
      <c r="W603" s="77" t="s">
        <v>308</v>
      </c>
      <c r="X603" s="77" t="s">
        <v>309</v>
      </c>
      <c r="AH603" s="98" t="b">
        <f>INDEX(stable[q_standard],MATCH(questions[[#This Row],[qno]],stable[qno],0))</f>
        <v>0</v>
      </c>
      <c r="AI603" s="98" t="b">
        <f>INDEX(stable[q_living_income],MATCH(questions[[#This Row],[qno]],stable[qno],0))</f>
        <v>1</v>
      </c>
      <c r="AJ603" s="98" t="b">
        <f>INDEX(stable[q_carbon],MATCH(questions[[#This Row],[qno]],stable[qno],0))</f>
        <v>0</v>
      </c>
      <c r="AK603" s="98" t="b">
        <f>INDEX(stable[q_regen_ag],MATCH(questions[[#This Row],[qno]],stable[qno],0))</f>
        <v>0</v>
      </c>
      <c r="AL603" s="98" t="b">
        <f>COUNTIFS(stable[qno],questions[[#This Row],[qno]])=1</f>
        <v>1</v>
      </c>
      <c r="AM603" s="98" t="b">
        <f>OR(questions[[#This Row],[is_fixed]],questions[[#This Row],[is_localized]],questions[[#This Row],[is_supply_chain_dependent]])</f>
        <v>1</v>
      </c>
      <c r="AN603" s="98" t="b">
        <f>COUNTIFS(questions[[#This Row],[is_automated]:[is_multi_select]],TRUE)=1</f>
        <v>1</v>
      </c>
      <c r="AO603" s="98" t="b">
        <f>IF(questions[[#This Row],[is_fixed]],questions[[#This Row],[question]]=INDEX(stable[question],MATCH(questions[[#This Row],[qno]],stable[qno],0)),TRUE)</f>
        <v>1</v>
      </c>
      <c r="AP603" s="98" t="str">
        <f>LEFT(questions[[#This Row],[question]],similarity_range)</f>
        <v xml:space="preserve">Livestock, what was </v>
      </c>
      <c r="AQ603" s="98" t="str">
        <f>LEFT(INDEX(stable[question],MATCH(questions[[#This Row],[qno]],stable[qno],0)),similarity_range)</f>
        <v xml:space="preserve">Livestock, what was </v>
      </c>
      <c r="AR603" s="98" t="b">
        <f>questions[[#This Row],[question_first_characters]]=questions[[#This Row],[stability_first_characters]]</f>
        <v>1</v>
      </c>
      <c r="AS603" s="98" t="b">
        <f>IF(OR(questions[[#This Row],[is_single_select]],questions[[#This Row],[is_multi_select]]),NOT(ISBLANK(questions[[#This Row],[answer_opt_combined]])),TRUE)</f>
        <v>1</v>
      </c>
    </row>
    <row r="604" spans="1:45" s="77" customFormat="1" ht="15.75" customHeight="1" x14ac:dyDescent="0.25">
      <c r="A604" s="77" t="str">
        <f>_xlfn.TEXTJOIN("_",TRUE,questions[[#This Row],[origin]:[qno]])</f>
        <v>Rwanda_Arabica_Nestle_Illy_IMPACT_2024_6513</v>
      </c>
      <c r="B604" s="77" t="s">
        <v>719</v>
      </c>
      <c r="C604" s="77" t="s">
        <v>59</v>
      </c>
      <c r="D604" s="77" t="s">
        <v>720</v>
      </c>
      <c r="E604" s="77">
        <v>2024</v>
      </c>
      <c r="F604" s="105" t="s">
        <v>314</v>
      </c>
      <c r="G604" s="78" t="s">
        <v>315</v>
      </c>
      <c r="H604" s="9" t="str" cm="1">
        <f t="array" ref="H604">INDEX(stableR[question],MATCH(VALUE(questions[[#This Row],[qno]]),VALUE(stableR[qno]),0))</f>
        <v>Casual labor on other peoples farm, what was the estimated importance?</v>
      </c>
      <c r="I604" s="9" t="b" cm="1">
        <f t="array" ref="I604">INDEX(stable[is_fixed],MATCH(VALUE(questions[[#This Row],[qno]]),VALUE(stable[qno]),0))</f>
        <v>1</v>
      </c>
      <c r="J604" s="9" t="b" cm="1">
        <f t="array" ref="J604">INDEX(stable[is_localized],MATCH(VALUE(questions[[#This Row],[qno]]),VALUE(stable[qno]),0))</f>
        <v>0</v>
      </c>
      <c r="K604" s="9" t="b" cm="1">
        <f t="array" ref="K604">INDEX(stable[is_supply_chain_dependent],MATCH(VALUE(questions[[#This Row],[qno]]),VALUE(stable[qno]),0))</f>
        <v>0</v>
      </c>
      <c r="L604" s="9" t="b" cm="1">
        <f t="array" ref="L604">INDEX(stable[is_mandatory],MATCH(VALUE(questions[[#This Row],[qno]]),VALUE(stable[qno]),0))</f>
        <v>0</v>
      </c>
      <c r="M604" s="9" t="b" cm="1">
        <f t="array" ref="M604">INDEX(stable[is_automated],MATCH(VALUE(questions[[#This Row],[qno]]),VALUE(stable[qno]),0))</f>
        <v>0</v>
      </c>
      <c r="N604" s="9" t="b" cm="1">
        <f t="array" ref="N604">INDEX(stable[is_free_text],MATCH(VALUE(questions[[#This Row],[qno]]),VALUE(stable[qno]),0))</f>
        <v>0</v>
      </c>
      <c r="O604" s="9" t="b" cm="1">
        <f t="array" ref="O604">INDEX(stable[is_numerical],MATCH(VALUE(questions[[#This Row],[qno]]),VALUE(stable[qno]),0))</f>
        <v>0</v>
      </c>
      <c r="P604" s="77" t="b" cm="1">
        <f t="array" ref="P604">INDEX(stable[is_single_select],MATCH(VALUE(questions[[#This Row],[qno]]),VALUE(stable[qno]),0))</f>
        <v>1</v>
      </c>
      <c r="Q604" s="77" t="b" cm="1">
        <f t="array" ref="Q604">INDEX(stable[is_multi_select],MATCH(VALUE(questions[[#This Row],[qno]]),VALUE(stable[qno]),0))</f>
        <v>0</v>
      </c>
      <c r="R604" s="77" t="b" cm="1">
        <f t="array" ref="R604">INDEX(stable[is_skip_logic],MATCH(VALUE(questions[[#This Row],[qno]]),VALUE(stable[qno]),0))</f>
        <v>0</v>
      </c>
      <c r="S604" s="77" t="str">
        <f>_xlfn.TEXTJOIN(", ",TRUE,questions[[#This Row],[ans_opt_1]:[ans_opt_14]])</f>
        <v>All or nearly all - 80-100%, More than half of it  - 60-80%, About half of it - 40-60%, Less than half of it - 20-40%, A small amount - 0-20%</v>
      </c>
      <c r="T604" s="77" t="s">
        <v>305</v>
      </c>
      <c r="U604" s="77" t="s">
        <v>306</v>
      </c>
      <c r="V604" s="77" t="s">
        <v>307</v>
      </c>
      <c r="W604" s="77" t="s">
        <v>308</v>
      </c>
      <c r="X604" s="77" t="s">
        <v>309</v>
      </c>
      <c r="AH604" s="98" t="b">
        <f>INDEX(stable[q_standard],MATCH(questions[[#This Row],[qno]],stable[qno],0))</f>
        <v>0</v>
      </c>
      <c r="AI604" s="98" t="b">
        <f>INDEX(stable[q_living_income],MATCH(questions[[#This Row],[qno]],stable[qno],0))</f>
        <v>1</v>
      </c>
      <c r="AJ604" s="98" t="b">
        <f>INDEX(stable[q_carbon],MATCH(questions[[#This Row],[qno]],stable[qno],0))</f>
        <v>0</v>
      </c>
      <c r="AK604" s="98" t="b">
        <f>INDEX(stable[q_regen_ag],MATCH(questions[[#This Row],[qno]],stable[qno],0))</f>
        <v>0</v>
      </c>
      <c r="AL604" s="98" t="b">
        <f>COUNTIFS(stable[qno],questions[[#This Row],[qno]])=1</f>
        <v>1</v>
      </c>
      <c r="AM604" s="98" t="b">
        <f>OR(questions[[#This Row],[is_fixed]],questions[[#This Row],[is_localized]],questions[[#This Row],[is_supply_chain_dependent]])</f>
        <v>1</v>
      </c>
      <c r="AN604" s="98" t="b">
        <f>COUNTIFS(questions[[#This Row],[is_automated]:[is_multi_select]],TRUE)=1</f>
        <v>1</v>
      </c>
      <c r="AO604" s="98" t="b">
        <f>IF(questions[[#This Row],[is_fixed]],questions[[#This Row],[question]]=INDEX(stable[question],MATCH(questions[[#This Row],[qno]],stable[qno],0)),TRUE)</f>
        <v>1</v>
      </c>
      <c r="AP604" s="98" t="str">
        <f>LEFT(questions[[#This Row],[question]],similarity_range)</f>
        <v>Casual labor on othe</v>
      </c>
      <c r="AQ604" s="98" t="str">
        <f>LEFT(INDEX(stable[question],MATCH(questions[[#This Row],[qno]],stable[qno],0)),similarity_range)</f>
        <v>Casual labor on othe</v>
      </c>
      <c r="AR604" s="98" t="b">
        <f>questions[[#This Row],[question_first_characters]]=questions[[#This Row],[stability_first_characters]]</f>
        <v>1</v>
      </c>
      <c r="AS604" s="98" t="b">
        <f>IF(OR(questions[[#This Row],[is_single_select]],questions[[#This Row],[is_multi_select]]),NOT(ISBLANK(questions[[#This Row],[answer_opt_combined]])),TRUE)</f>
        <v>1</v>
      </c>
    </row>
    <row r="605" spans="1:45" s="77" customFormat="1" ht="15.75" customHeight="1" x14ac:dyDescent="0.25">
      <c r="A605" s="77" t="str">
        <f>_xlfn.TEXTJOIN("_",TRUE,questions[[#This Row],[origin]:[qno]])</f>
        <v>Rwanda_Arabica_Nestle_Illy_IMPACT_2024_6514</v>
      </c>
      <c r="B605" s="77" t="s">
        <v>719</v>
      </c>
      <c r="C605" s="77" t="s">
        <v>59</v>
      </c>
      <c r="D605" s="77" t="s">
        <v>720</v>
      </c>
      <c r="E605" s="77">
        <v>2024</v>
      </c>
      <c r="F605" s="105" t="s">
        <v>316</v>
      </c>
      <c r="G605" s="78" t="s">
        <v>317</v>
      </c>
      <c r="H605" s="9" t="str" cm="1">
        <f t="array" ref="H605">INDEX(stableR[question],MATCH(VALUE(questions[[#This Row],[qno]]),VALUE(stableR[qno]),0))</f>
        <v>Casual labor off-farm, what was the estimated importance?</v>
      </c>
      <c r="I605" s="9" t="b" cm="1">
        <f t="array" ref="I605">INDEX(stable[is_fixed],MATCH(VALUE(questions[[#This Row],[qno]]),VALUE(stable[qno]),0))</f>
        <v>1</v>
      </c>
      <c r="J605" s="9" t="b" cm="1">
        <f t="array" ref="J605">INDEX(stable[is_localized],MATCH(VALUE(questions[[#This Row],[qno]]),VALUE(stable[qno]),0))</f>
        <v>0</v>
      </c>
      <c r="K605" s="9" t="b" cm="1">
        <f t="array" ref="K605">INDEX(stable[is_supply_chain_dependent],MATCH(VALUE(questions[[#This Row],[qno]]),VALUE(stable[qno]),0))</f>
        <v>0</v>
      </c>
      <c r="L605" s="9" t="b" cm="1">
        <f t="array" ref="L605">INDEX(stable[is_mandatory],MATCH(VALUE(questions[[#This Row],[qno]]),VALUE(stable[qno]),0))</f>
        <v>0</v>
      </c>
      <c r="M605" s="9" t="b" cm="1">
        <f t="array" ref="M605">INDEX(stable[is_automated],MATCH(VALUE(questions[[#This Row],[qno]]),VALUE(stable[qno]),0))</f>
        <v>0</v>
      </c>
      <c r="N605" s="9" t="b" cm="1">
        <f t="array" ref="N605">INDEX(stable[is_free_text],MATCH(VALUE(questions[[#This Row],[qno]]),VALUE(stable[qno]),0))</f>
        <v>0</v>
      </c>
      <c r="O605" s="9" t="b" cm="1">
        <f t="array" ref="O605">INDEX(stable[is_numerical],MATCH(VALUE(questions[[#This Row],[qno]]),VALUE(stable[qno]),0))</f>
        <v>0</v>
      </c>
      <c r="P605" s="77" t="b" cm="1">
        <f t="array" ref="P605">INDEX(stable[is_single_select],MATCH(VALUE(questions[[#This Row],[qno]]),VALUE(stable[qno]),0))</f>
        <v>1</v>
      </c>
      <c r="Q605" s="77" t="b" cm="1">
        <f t="array" ref="Q605">INDEX(stable[is_multi_select],MATCH(VALUE(questions[[#This Row],[qno]]),VALUE(stable[qno]),0))</f>
        <v>0</v>
      </c>
      <c r="R605" s="77" t="b" cm="1">
        <f t="array" ref="R605">INDEX(stable[is_skip_logic],MATCH(VALUE(questions[[#This Row],[qno]]),VALUE(stable[qno]),0))</f>
        <v>0</v>
      </c>
      <c r="S605" s="77" t="str">
        <f>_xlfn.TEXTJOIN(", ",TRUE,questions[[#This Row],[ans_opt_1]:[ans_opt_14]])</f>
        <v>All or nearly all - 80-100%, More than half of it  - 60-80%, About half of it - 40-60%, Less than half of it - 20-40%, A small amount - 0-20%</v>
      </c>
      <c r="T605" s="77" t="s">
        <v>305</v>
      </c>
      <c r="U605" s="77" t="s">
        <v>306</v>
      </c>
      <c r="V605" s="77" t="s">
        <v>307</v>
      </c>
      <c r="W605" s="77" t="s">
        <v>308</v>
      </c>
      <c r="X605" s="77" t="s">
        <v>309</v>
      </c>
      <c r="AH605" s="98" t="b">
        <f>INDEX(stable[q_standard],MATCH(questions[[#This Row],[qno]],stable[qno],0))</f>
        <v>0</v>
      </c>
      <c r="AI605" s="98" t="b">
        <f>INDEX(stable[q_living_income],MATCH(questions[[#This Row],[qno]],stable[qno],0))</f>
        <v>1</v>
      </c>
      <c r="AJ605" s="98" t="b">
        <f>INDEX(stable[q_carbon],MATCH(questions[[#This Row],[qno]],stable[qno],0))</f>
        <v>0</v>
      </c>
      <c r="AK605" s="98" t="b">
        <f>INDEX(stable[q_regen_ag],MATCH(questions[[#This Row],[qno]],stable[qno],0))</f>
        <v>0</v>
      </c>
      <c r="AL605" s="98" t="b">
        <f>COUNTIFS(stable[qno],questions[[#This Row],[qno]])=1</f>
        <v>1</v>
      </c>
      <c r="AM605" s="98" t="b">
        <f>OR(questions[[#This Row],[is_fixed]],questions[[#This Row],[is_localized]],questions[[#This Row],[is_supply_chain_dependent]])</f>
        <v>1</v>
      </c>
      <c r="AN605" s="98" t="b">
        <f>COUNTIFS(questions[[#This Row],[is_automated]:[is_multi_select]],TRUE)=1</f>
        <v>1</v>
      </c>
      <c r="AO605" s="98" t="b">
        <f>IF(questions[[#This Row],[is_fixed]],questions[[#This Row],[question]]=INDEX(stable[question],MATCH(questions[[#This Row],[qno]],stable[qno],0)),TRUE)</f>
        <v>1</v>
      </c>
      <c r="AP605" s="98" t="str">
        <f>LEFT(questions[[#This Row],[question]],similarity_range)</f>
        <v>Casual labor off-far</v>
      </c>
      <c r="AQ605" s="98" t="str">
        <f>LEFT(INDEX(stable[question],MATCH(questions[[#This Row],[qno]],stable[qno],0)),similarity_range)</f>
        <v>Casual labor off-far</v>
      </c>
      <c r="AR605" s="98" t="b">
        <f>questions[[#This Row],[question_first_characters]]=questions[[#This Row],[stability_first_characters]]</f>
        <v>1</v>
      </c>
      <c r="AS605" s="98" t="b">
        <f>IF(OR(questions[[#This Row],[is_single_select]],questions[[#This Row],[is_multi_select]]),NOT(ISBLANK(questions[[#This Row],[answer_opt_combined]])),TRUE)</f>
        <v>1</v>
      </c>
    </row>
    <row r="606" spans="1:45" s="77" customFormat="1" ht="15.75" customHeight="1" x14ac:dyDescent="0.25">
      <c r="A606" s="77" t="str">
        <f>_xlfn.TEXTJOIN("_",TRUE,questions[[#This Row],[origin]:[qno]])</f>
        <v>Rwanda_Arabica_Nestle_Illy_IMPACT_2024_6515</v>
      </c>
      <c r="B606" s="77" t="s">
        <v>719</v>
      </c>
      <c r="C606" s="77" t="s">
        <v>59</v>
      </c>
      <c r="D606" s="77" t="s">
        <v>720</v>
      </c>
      <c r="E606" s="77">
        <v>2024</v>
      </c>
      <c r="F606" s="105" t="s">
        <v>318</v>
      </c>
      <c r="G606" s="78" t="s">
        <v>319</v>
      </c>
      <c r="H606" s="9" t="str" cm="1">
        <f t="array" ref="H606">INDEX(stableR[question],MATCH(VALUE(questions[[#This Row],[qno]]),VALUE(stableR[qno]),0))</f>
        <v>Other business, what was the estimated importance?</v>
      </c>
      <c r="I606" s="9" t="b" cm="1">
        <f t="array" ref="I606">INDEX(stable[is_fixed],MATCH(VALUE(questions[[#This Row],[qno]]),VALUE(stable[qno]),0))</f>
        <v>1</v>
      </c>
      <c r="J606" s="9" t="b" cm="1">
        <f t="array" ref="J606">INDEX(stable[is_localized],MATCH(VALUE(questions[[#This Row],[qno]]),VALUE(stable[qno]),0))</f>
        <v>0</v>
      </c>
      <c r="K606" s="9" t="b" cm="1">
        <f t="array" ref="K606">INDEX(stable[is_supply_chain_dependent],MATCH(VALUE(questions[[#This Row],[qno]]),VALUE(stable[qno]),0))</f>
        <v>0</v>
      </c>
      <c r="L606" s="9" t="b" cm="1">
        <f t="array" ref="L606">INDEX(stable[is_mandatory],MATCH(VALUE(questions[[#This Row],[qno]]),VALUE(stable[qno]),0))</f>
        <v>0</v>
      </c>
      <c r="M606" s="9" t="b" cm="1">
        <f t="array" ref="M606">INDEX(stable[is_automated],MATCH(VALUE(questions[[#This Row],[qno]]),VALUE(stable[qno]),0))</f>
        <v>0</v>
      </c>
      <c r="N606" s="9" t="b" cm="1">
        <f t="array" ref="N606">INDEX(stable[is_free_text],MATCH(VALUE(questions[[#This Row],[qno]]),VALUE(stable[qno]),0))</f>
        <v>0</v>
      </c>
      <c r="O606" s="9" t="b" cm="1">
        <f t="array" ref="O606">INDEX(stable[is_numerical],MATCH(VALUE(questions[[#This Row],[qno]]),VALUE(stable[qno]),0))</f>
        <v>0</v>
      </c>
      <c r="P606" s="77" t="b" cm="1">
        <f t="array" ref="P606">INDEX(stable[is_single_select],MATCH(VALUE(questions[[#This Row],[qno]]),VALUE(stable[qno]),0))</f>
        <v>1</v>
      </c>
      <c r="Q606" s="77" t="b" cm="1">
        <f t="array" ref="Q606">INDEX(stable[is_multi_select],MATCH(VALUE(questions[[#This Row],[qno]]),VALUE(stable[qno]),0))</f>
        <v>0</v>
      </c>
      <c r="R606" s="77" t="b" cm="1">
        <f t="array" ref="R606">INDEX(stable[is_skip_logic],MATCH(VALUE(questions[[#This Row],[qno]]),VALUE(stable[qno]),0))</f>
        <v>0</v>
      </c>
      <c r="S606" s="77" t="str">
        <f>_xlfn.TEXTJOIN(", ",TRUE,questions[[#This Row],[ans_opt_1]:[ans_opt_14]])</f>
        <v>All or nearly all - 80-100%, More than half of it  - 60-80%, About half of it - 40-60%, Less than half of it - 20-40%, A small amount - 0-20%</v>
      </c>
      <c r="T606" s="77" t="s">
        <v>305</v>
      </c>
      <c r="U606" s="77" t="s">
        <v>306</v>
      </c>
      <c r="V606" s="77" t="s">
        <v>307</v>
      </c>
      <c r="W606" s="77" t="s">
        <v>308</v>
      </c>
      <c r="X606" s="77" t="s">
        <v>309</v>
      </c>
      <c r="AH606" s="98" t="b">
        <f>INDEX(stable[q_standard],MATCH(questions[[#This Row],[qno]],stable[qno],0))</f>
        <v>0</v>
      </c>
      <c r="AI606" s="98" t="b">
        <f>INDEX(stable[q_living_income],MATCH(questions[[#This Row],[qno]],stable[qno],0))</f>
        <v>1</v>
      </c>
      <c r="AJ606" s="98" t="b">
        <f>INDEX(stable[q_carbon],MATCH(questions[[#This Row],[qno]],stable[qno],0))</f>
        <v>0</v>
      </c>
      <c r="AK606" s="98" t="b">
        <f>INDEX(stable[q_regen_ag],MATCH(questions[[#This Row],[qno]],stable[qno],0))</f>
        <v>0</v>
      </c>
      <c r="AL606" s="98" t="b">
        <f>COUNTIFS(stable[qno],questions[[#This Row],[qno]])=1</f>
        <v>1</v>
      </c>
      <c r="AM606" s="98" t="b">
        <f>OR(questions[[#This Row],[is_fixed]],questions[[#This Row],[is_localized]],questions[[#This Row],[is_supply_chain_dependent]])</f>
        <v>1</v>
      </c>
      <c r="AN606" s="98" t="b">
        <f>COUNTIFS(questions[[#This Row],[is_automated]:[is_multi_select]],TRUE)=1</f>
        <v>1</v>
      </c>
      <c r="AO606" s="98" t="b">
        <f>IF(questions[[#This Row],[is_fixed]],questions[[#This Row],[question]]=INDEX(stable[question],MATCH(questions[[#This Row],[qno]],stable[qno],0)),TRUE)</f>
        <v>1</v>
      </c>
      <c r="AP606" s="98" t="str">
        <f>LEFT(questions[[#This Row],[question]],similarity_range)</f>
        <v>Other business, what</v>
      </c>
      <c r="AQ606" s="98" t="str">
        <f>LEFT(INDEX(stable[question],MATCH(questions[[#This Row],[qno]],stable[qno],0)),similarity_range)</f>
        <v>Other business, what</v>
      </c>
      <c r="AR606" s="98" t="b">
        <f>questions[[#This Row],[question_first_characters]]=questions[[#This Row],[stability_first_characters]]</f>
        <v>1</v>
      </c>
      <c r="AS606" s="98" t="b">
        <f>IF(OR(questions[[#This Row],[is_single_select]],questions[[#This Row],[is_multi_select]]),NOT(ISBLANK(questions[[#This Row],[answer_opt_combined]])),TRUE)</f>
        <v>1</v>
      </c>
    </row>
    <row r="607" spans="1:45" s="77" customFormat="1" ht="15.75" customHeight="1" x14ac:dyDescent="0.25">
      <c r="A607" s="77" t="str">
        <f>_xlfn.TEXTJOIN("_",TRUE,questions[[#This Row],[origin]:[qno]])</f>
        <v>Rwanda_Arabica_Nestle_Illy_IMPACT_2024_6516</v>
      </c>
      <c r="B607" s="77" t="s">
        <v>719</v>
      </c>
      <c r="C607" s="77" t="s">
        <v>59</v>
      </c>
      <c r="D607" s="77" t="s">
        <v>720</v>
      </c>
      <c r="E607" s="77">
        <v>2024</v>
      </c>
      <c r="F607" s="105" t="s">
        <v>320</v>
      </c>
      <c r="G607" s="78" t="s">
        <v>321</v>
      </c>
      <c r="H607" s="9" t="str" cm="1">
        <f t="array" ref="H607">INDEX(stableR[question],MATCH(VALUE(questions[[#This Row],[qno]]),VALUE(stableR[qno]),0))</f>
        <v>Salaried job, what was the estimated importance?</v>
      </c>
      <c r="I607" s="9" t="b" cm="1">
        <f t="array" ref="I607">INDEX(stable[is_fixed],MATCH(VALUE(questions[[#This Row],[qno]]),VALUE(stable[qno]),0))</f>
        <v>1</v>
      </c>
      <c r="J607" s="9" t="b" cm="1">
        <f t="array" ref="J607">INDEX(stable[is_localized],MATCH(VALUE(questions[[#This Row],[qno]]),VALUE(stable[qno]),0))</f>
        <v>0</v>
      </c>
      <c r="K607" s="9" t="b" cm="1">
        <f t="array" ref="K607">INDEX(stable[is_supply_chain_dependent],MATCH(VALUE(questions[[#This Row],[qno]]),VALUE(stable[qno]),0))</f>
        <v>0</v>
      </c>
      <c r="L607" s="9" t="b" cm="1">
        <f t="array" ref="L607">INDEX(stable[is_mandatory],MATCH(VALUE(questions[[#This Row],[qno]]),VALUE(stable[qno]),0))</f>
        <v>0</v>
      </c>
      <c r="M607" s="9" t="b" cm="1">
        <f t="array" ref="M607">INDEX(stable[is_automated],MATCH(VALUE(questions[[#This Row],[qno]]),VALUE(stable[qno]),0))</f>
        <v>0</v>
      </c>
      <c r="N607" s="9" t="b" cm="1">
        <f t="array" ref="N607">INDEX(stable[is_free_text],MATCH(VALUE(questions[[#This Row],[qno]]),VALUE(stable[qno]),0))</f>
        <v>0</v>
      </c>
      <c r="O607" s="9" t="b" cm="1">
        <f t="array" ref="O607">INDEX(stable[is_numerical],MATCH(VALUE(questions[[#This Row],[qno]]),VALUE(stable[qno]),0))</f>
        <v>0</v>
      </c>
      <c r="P607" s="77" t="b" cm="1">
        <f t="array" ref="P607">INDEX(stable[is_single_select],MATCH(VALUE(questions[[#This Row],[qno]]),VALUE(stable[qno]),0))</f>
        <v>1</v>
      </c>
      <c r="Q607" s="77" t="b" cm="1">
        <f t="array" ref="Q607">INDEX(stable[is_multi_select],MATCH(VALUE(questions[[#This Row],[qno]]),VALUE(stable[qno]),0))</f>
        <v>0</v>
      </c>
      <c r="R607" s="77" t="b" cm="1">
        <f t="array" ref="R607">INDEX(stable[is_skip_logic],MATCH(VALUE(questions[[#This Row],[qno]]),VALUE(stable[qno]),0))</f>
        <v>0</v>
      </c>
      <c r="S607" s="77" t="str">
        <f>_xlfn.TEXTJOIN(", ",TRUE,questions[[#This Row],[ans_opt_1]:[ans_opt_14]])</f>
        <v>All or nearly all - 80-100%, More than half of it  - 60-80%, About half of it - 40-60%, Less than half of it - 20-40%, A small amount - 0-20%</v>
      </c>
      <c r="T607" s="77" t="s">
        <v>305</v>
      </c>
      <c r="U607" s="77" t="s">
        <v>306</v>
      </c>
      <c r="V607" s="77" t="s">
        <v>307</v>
      </c>
      <c r="W607" s="77" t="s">
        <v>308</v>
      </c>
      <c r="X607" s="77" t="s">
        <v>309</v>
      </c>
      <c r="AH607" s="98" t="b">
        <f>INDEX(stable[q_standard],MATCH(questions[[#This Row],[qno]],stable[qno],0))</f>
        <v>0</v>
      </c>
      <c r="AI607" s="98" t="b">
        <f>INDEX(stable[q_living_income],MATCH(questions[[#This Row],[qno]],stable[qno],0))</f>
        <v>1</v>
      </c>
      <c r="AJ607" s="98" t="b">
        <f>INDEX(stable[q_carbon],MATCH(questions[[#This Row],[qno]],stable[qno],0))</f>
        <v>0</v>
      </c>
      <c r="AK607" s="98" t="b">
        <f>INDEX(stable[q_regen_ag],MATCH(questions[[#This Row],[qno]],stable[qno],0))</f>
        <v>0</v>
      </c>
      <c r="AL607" s="98" t="b">
        <f>COUNTIFS(stable[qno],questions[[#This Row],[qno]])=1</f>
        <v>1</v>
      </c>
      <c r="AM607" s="98" t="b">
        <f>OR(questions[[#This Row],[is_fixed]],questions[[#This Row],[is_localized]],questions[[#This Row],[is_supply_chain_dependent]])</f>
        <v>1</v>
      </c>
      <c r="AN607" s="98" t="b">
        <f>COUNTIFS(questions[[#This Row],[is_automated]:[is_multi_select]],TRUE)=1</f>
        <v>1</v>
      </c>
      <c r="AO607" s="98" t="b">
        <f>IF(questions[[#This Row],[is_fixed]],questions[[#This Row],[question]]=INDEX(stable[question],MATCH(questions[[#This Row],[qno]],stable[qno],0)),TRUE)</f>
        <v>1</v>
      </c>
      <c r="AP607" s="98" t="str">
        <f>LEFT(questions[[#This Row],[question]],similarity_range)</f>
        <v>Salaried job, what w</v>
      </c>
      <c r="AQ607" s="98" t="str">
        <f>LEFT(INDEX(stable[question],MATCH(questions[[#This Row],[qno]],stable[qno],0)),similarity_range)</f>
        <v>Salaried job, what w</v>
      </c>
      <c r="AR607" s="98" t="b">
        <f>questions[[#This Row],[question_first_characters]]=questions[[#This Row],[stability_first_characters]]</f>
        <v>1</v>
      </c>
      <c r="AS607" s="98" t="b">
        <f>IF(OR(questions[[#This Row],[is_single_select]],questions[[#This Row],[is_multi_select]]),NOT(ISBLANK(questions[[#This Row],[answer_opt_combined]])),TRUE)</f>
        <v>1</v>
      </c>
    </row>
    <row r="608" spans="1:45" s="77" customFormat="1" ht="15.75" customHeight="1" x14ac:dyDescent="0.25">
      <c r="A608" s="77" t="str">
        <f>_xlfn.TEXTJOIN("_",TRUE,questions[[#This Row],[origin]:[qno]])</f>
        <v>Rwanda_Arabica_Nestle_Illy_IMPACT_2024_6517</v>
      </c>
      <c r="B608" s="77" t="s">
        <v>719</v>
      </c>
      <c r="C608" s="77" t="s">
        <v>59</v>
      </c>
      <c r="D608" s="77" t="s">
        <v>720</v>
      </c>
      <c r="E608" s="77">
        <v>2024</v>
      </c>
      <c r="F608" s="105" t="s">
        <v>322</v>
      </c>
      <c r="G608" s="78" t="s">
        <v>323</v>
      </c>
      <c r="H608" s="9" t="str" cm="1">
        <f t="array" ref="H608">INDEX(stableR[question],MATCH(VALUE(questions[[#This Row],[qno]]),VALUE(stableR[qno]),0))</f>
        <v>Pension, what was the estimated importance?</v>
      </c>
      <c r="I608" s="9" t="b" cm="1">
        <f t="array" ref="I608">INDEX(stable[is_fixed],MATCH(VALUE(questions[[#This Row],[qno]]),VALUE(stable[qno]),0))</f>
        <v>1</v>
      </c>
      <c r="J608" s="9" t="b" cm="1">
        <f t="array" ref="J608">INDEX(stable[is_localized],MATCH(VALUE(questions[[#This Row],[qno]]),VALUE(stable[qno]),0))</f>
        <v>0</v>
      </c>
      <c r="K608" s="9" t="b" cm="1">
        <f t="array" ref="K608">INDEX(stable[is_supply_chain_dependent],MATCH(VALUE(questions[[#This Row],[qno]]),VALUE(stable[qno]),0))</f>
        <v>0</v>
      </c>
      <c r="L608" s="9" t="b" cm="1">
        <f t="array" ref="L608">INDEX(stable[is_mandatory],MATCH(VALUE(questions[[#This Row],[qno]]),VALUE(stable[qno]),0))</f>
        <v>0</v>
      </c>
      <c r="M608" s="9" t="b" cm="1">
        <f t="array" ref="M608">INDEX(stable[is_automated],MATCH(VALUE(questions[[#This Row],[qno]]),VALUE(stable[qno]),0))</f>
        <v>0</v>
      </c>
      <c r="N608" s="9" t="b" cm="1">
        <f t="array" ref="N608">INDEX(stable[is_free_text],MATCH(VALUE(questions[[#This Row],[qno]]),VALUE(stable[qno]),0))</f>
        <v>0</v>
      </c>
      <c r="O608" s="9" t="b" cm="1">
        <f t="array" ref="O608">INDEX(stable[is_numerical],MATCH(VALUE(questions[[#This Row],[qno]]),VALUE(stable[qno]),0))</f>
        <v>0</v>
      </c>
      <c r="P608" s="77" t="b" cm="1">
        <f t="array" ref="P608">INDEX(stable[is_single_select],MATCH(VALUE(questions[[#This Row],[qno]]),VALUE(stable[qno]),0))</f>
        <v>1</v>
      </c>
      <c r="Q608" s="77" t="b" cm="1">
        <f t="array" ref="Q608">INDEX(stable[is_multi_select],MATCH(VALUE(questions[[#This Row],[qno]]),VALUE(stable[qno]),0))</f>
        <v>0</v>
      </c>
      <c r="R608" s="77" t="b" cm="1">
        <f t="array" ref="R608">INDEX(stable[is_skip_logic],MATCH(VALUE(questions[[#This Row],[qno]]),VALUE(stable[qno]),0))</f>
        <v>0</v>
      </c>
      <c r="S608" s="77" t="str">
        <f>_xlfn.TEXTJOIN(", ",TRUE,questions[[#This Row],[ans_opt_1]:[ans_opt_14]])</f>
        <v>All or nearly all - 80-100%, More than half of it  - 60-80%, About half of it - 40-60%, Less than half of it - 20-40%, A small amount - 0-20%</v>
      </c>
      <c r="T608" s="77" t="s">
        <v>305</v>
      </c>
      <c r="U608" s="77" t="s">
        <v>306</v>
      </c>
      <c r="V608" s="77" t="s">
        <v>307</v>
      </c>
      <c r="W608" s="77" t="s">
        <v>308</v>
      </c>
      <c r="X608" s="77" t="s">
        <v>309</v>
      </c>
      <c r="AH608" s="98" t="b">
        <f>INDEX(stable[q_standard],MATCH(questions[[#This Row],[qno]],stable[qno],0))</f>
        <v>0</v>
      </c>
      <c r="AI608" s="98" t="b">
        <f>INDEX(stable[q_living_income],MATCH(questions[[#This Row],[qno]],stable[qno],0))</f>
        <v>1</v>
      </c>
      <c r="AJ608" s="98" t="b">
        <f>INDEX(stable[q_carbon],MATCH(questions[[#This Row],[qno]],stable[qno],0))</f>
        <v>0</v>
      </c>
      <c r="AK608" s="98" t="b">
        <f>INDEX(stable[q_regen_ag],MATCH(questions[[#This Row],[qno]],stable[qno],0))</f>
        <v>0</v>
      </c>
      <c r="AL608" s="98" t="b">
        <f>COUNTIFS(stable[qno],questions[[#This Row],[qno]])=1</f>
        <v>1</v>
      </c>
      <c r="AM608" s="98" t="b">
        <f>OR(questions[[#This Row],[is_fixed]],questions[[#This Row],[is_localized]],questions[[#This Row],[is_supply_chain_dependent]])</f>
        <v>1</v>
      </c>
      <c r="AN608" s="98" t="b">
        <f>COUNTIFS(questions[[#This Row],[is_automated]:[is_multi_select]],TRUE)=1</f>
        <v>1</v>
      </c>
      <c r="AO608" s="98" t="b">
        <f>IF(questions[[#This Row],[is_fixed]],questions[[#This Row],[question]]=INDEX(stable[question],MATCH(questions[[#This Row],[qno]],stable[qno],0)),TRUE)</f>
        <v>1</v>
      </c>
      <c r="AP608" s="98" t="str">
        <f>LEFT(questions[[#This Row],[question]],similarity_range)</f>
        <v>Pension, what was th</v>
      </c>
      <c r="AQ608" s="98" t="str">
        <f>LEFT(INDEX(stable[question],MATCH(questions[[#This Row],[qno]],stable[qno],0)),similarity_range)</f>
        <v>Pension, what was th</v>
      </c>
      <c r="AR608" s="98" t="b">
        <f>questions[[#This Row],[question_first_characters]]=questions[[#This Row],[stability_first_characters]]</f>
        <v>1</v>
      </c>
      <c r="AS608" s="98" t="b">
        <f>IF(OR(questions[[#This Row],[is_single_select]],questions[[#This Row],[is_multi_select]]),NOT(ISBLANK(questions[[#This Row],[answer_opt_combined]])),TRUE)</f>
        <v>1</v>
      </c>
    </row>
    <row r="609" spans="1:45" s="77" customFormat="1" ht="15.75" customHeight="1" x14ac:dyDescent="0.25">
      <c r="A609" s="77" t="str">
        <f>_xlfn.TEXTJOIN("_",TRUE,questions[[#This Row],[origin]:[qno]])</f>
        <v>Rwanda_Arabica_Nestle_Illy_IMPACT_2024_6518</v>
      </c>
      <c r="B609" s="77" t="s">
        <v>719</v>
      </c>
      <c r="C609" s="77" t="s">
        <v>59</v>
      </c>
      <c r="D609" s="77" t="s">
        <v>720</v>
      </c>
      <c r="E609" s="77">
        <v>2024</v>
      </c>
      <c r="F609" s="105" t="s">
        <v>324</v>
      </c>
      <c r="G609" s="78" t="s">
        <v>325</v>
      </c>
      <c r="H609" s="9" t="str" cm="1">
        <f t="array" ref="H609">INDEX(stableR[question],MATCH(VALUE(questions[[#This Row],[qno]]),VALUE(stableR[qno]),0))</f>
        <v>Remittances, what was the estimated importance?</v>
      </c>
      <c r="I609" s="9" t="b" cm="1">
        <f t="array" ref="I609">INDEX(stable[is_fixed],MATCH(VALUE(questions[[#This Row],[qno]]),VALUE(stable[qno]),0))</f>
        <v>1</v>
      </c>
      <c r="J609" s="9" t="b" cm="1">
        <f t="array" ref="J609">INDEX(stable[is_localized],MATCH(VALUE(questions[[#This Row],[qno]]),VALUE(stable[qno]),0))</f>
        <v>0</v>
      </c>
      <c r="K609" s="9" t="b" cm="1">
        <f t="array" ref="K609">INDEX(stable[is_supply_chain_dependent],MATCH(VALUE(questions[[#This Row],[qno]]),VALUE(stable[qno]),0))</f>
        <v>0</v>
      </c>
      <c r="L609" s="9" t="b" cm="1">
        <f t="array" ref="L609">INDEX(stable[is_mandatory],MATCH(VALUE(questions[[#This Row],[qno]]),VALUE(stable[qno]),0))</f>
        <v>0</v>
      </c>
      <c r="M609" s="9" t="b" cm="1">
        <f t="array" ref="M609">INDEX(stable[is_automated],MATCH(VALUE(questions[[#This Row],[qno]]),VALUE(stable[qno]),0))</f>
        <v>0</v>
      </c>
      <c r="N609" s="9" t="b" cm="1">
        <f t="array" ref="N609">INDEX(stable[is_free_text],MATCH(VALUE(questions[[#This Row],[qno]]),VALUE(stable[qno]),0))</f>
        <v>0</v>
      </c>
      <c r="O609" s="9" t="b" cm="1">
        <f t="array" ref="O609">INDEX(stable[is_numerical],MATCH(VALUE(questions[[#This Row],[qno]]),VALUE(stable[qno]),0))</f>
        <v>0</v>
      </c>
      <c r="P609" s="77" t="b" cm="1">
        <f t="array" ref="P609">INDEX(stable[is_single_select],MATCH(VALUE(questions[[#This Row],[qno]]),VALUE(stable[qno]),0))</f>
        <v>1</v>
      </c>
      <c r="Q609" s="77" t="b" cm="1">
        <f t="array" ref="Q609">INDEX(stable[is_multi_select],MATCH(VALUE(questions[[#This Row],[qno]]),VALUE(stable[qno]),0))</f>
        <v>0</v>
      </c>
      <c r="R609" s="77" t="b" cm="1">
        <f t="array" ref="R609">INDEX(stable[is_skip_logic],MATCH(VALUE(questions[[#This Row],[qno]]),VALUE(stable[qno]),0))</f>
        <v>0</v>
      </c>
      <c r="S609" s="77" t="str">
        <f>_xlfn.TEXTJOIN(", ",TRUE,questions[[#This Row],[ans_opt_1]:[ans_opt_14]])</f>
        <v>All or nearly all - 80-100%, More than half of it  - 60-80%, About half of it - 40-60%, Less than half of it - 20-40%, A small amount - 0-20%</v>
      </c>
      <c r="T609" s="77" t="s">
        <v>305</v>
      </c>
      <c r="U609" s="77" t="s">
        <v>306</v>
      </c>
      <c r="V609" s="77" t="s">
        <v>307</v>
      </c>
      <c r="W609" s="77" t="s">
        <v>308</v>
      </c>
      <c r="X609" s="77" t="s">
        <v>309</v>
      </c>
      <c r="AH609" s="98" t="b">
        <f>INDEX(stable[q_standard],MATCH(questions[[#This Row],[qno]],stable[qno],0))</f>
        <v>0</v>
      </c>
      <c r="AI609" s="98" t="b">
        <f>INDEX(stable[q_living_income],MATCH(questions[[#This Row],[qno]],stable[qno],0))</f>
        <v>1</v>
      </c>
      <c r="AJ609" s="98" t="b">
        <f>INDEX(stable[q_carbon],MATCH(questions[[#This Row],[qno]],stable[qno],0))</f>
        <v>0</v>
      </c>
      <c r="AK609" s="98" t="b">
        <f>INDEX(stable[q_regen_ag],MATCH(questions[[#This Row],[qno]],stable[qno],0))</f>
        <v>0</v>
      </c>
      <c r="AL609" s="98" t="b">
        <f>COUNTIFS(stable[qno],questions[[#This Row],[qno]])=1</f>
        <v>1</v>
      </c>
      <c r="AM609" s="98" t="b">
        <f>OR(questions[[#This Row],[is_fixed]],questions[[#This Row],[is_localized]],questions[[#This Row],[is_supply_chain_dependent]])</f>
        <v>1</v>
      </c>
      <c r="AN609" s="98" t="b">
        <f>COUNTIFS(questions[[#This Row],[is_automated]:[is_multi_select]],TRUE)=1</f>
        <v>1</v>
      </c>
      <c r="AO609" s="98" t="b">
        <f>IF(questions[[#This Row],[is_fixed]],questions[[#This Row],[question]]=INDEX(stable[question],MATCH(questions[[#This Row],[qno]],stable[qno],0)),TRUE)</f>
        <v>1</v>
      </c>
      <c r="AP609" s="98" t="str">
        <f>LEFT(questions[[#This Row],[question]],similarity_range)</f>
        <v>Remittances, what wa</v>
      </c>
      <c r="AQ609" s="98" t="str">
        <f>LEFT(INDEX(stable[question],MATCH(questions[[#This Row],[qno]],stable[qno],0)),similarity_range)</f>
        <v>Remittances, what wa</v>
      </c>
      <c r="AR609" s="98" t="b">
        <f>questions[[#This Row],[question_first_characters]]=questions[[#This Row],[stability_first_characters]]</f>
        <v>1</v>
      </c>
      <c r="AS609" s="98" t="b">
        <f>IF(OR(questions[[#This Row],[is_single_select]],questions[[#This Row],[is_multi_select]]),NOT(ISBLANK(questions[[#This Row],[answer_opt_combined]])),TRUE)</f>
        <v>1</v>
      </c>
    </row>
    <row r="610" spans="1:45" s="77" customFormat="1" ht="15.75" customHeight="1" x14ac:dyDescent="0.25">
      <c r="A610" s="77" t="str">
        <f>_xlfn.TEXTJOIN("_",TRUE,questions[[#This Row],[origin]:[qno]])</f>
        <v>Rwanda_Arabica_Nestle_Illy_IMPACT_2024_7000</v>
      </c>
      <c r="B610" s="77" t="s">
        <v>719</v>
      </c>
      <c r="C610" s="77" t="s">
        <v>59</v>
      </c>
      <c r="D610" s="77" t="s">
        <v>720</v>
      </c>
      <c r="E610" s="77">
        <v>2024</v>
      </c>
      <c r="F610" s="105" t="s">
        <v>326</v>
      </c>
      <c r="G610" s="78" t="s">
        <v>792</v>
      </c>
      <c r="H610" s="9" t="str" cm="1">
        <f t="array" ref="H610">INDEX(stableR[question],MATCH(VALUE(questions[[#This Row],[qno]]),VALUE(stableR[qno]),0))</f>
        <v>Have you received any training on Regenartive Agriculture principles and practices in last 1-2 years? For instance on mulching, cover crops, manure or fertiliser application, stumping, integrated pest management, etc.</v>
      </c>
      <c r="I610" s="9" t="b" cm="1">
        <f t="array" ref="I610">INDEX(stable[is_fixed],MATCH(VALUE(questions[[#This Row],[qno]]),VALUE(stable[qno]),0))</f>
        <v>1</v>
      </c>
      <c r="J610" s="9" t="b" cm="1">
        <f t="array" ref="J610">INDEX(stable[is_localized],MATCH(VALUE(questions[[#This Row],[qno]]),VALUE(stable[qno]),0))</f>
        <v>0</v>
      </c>
      <c r="K610" s="9" t="b" cm="1">
        <f t="array" ref="K610">INDEX(stable[is_supply_chain_dependent],MATCH(VALUE(questions[[#This Row],[qno]]),VALUE(stable[qno]),0))</f>
        <v>0</v>
      </c>
      <c r="L610" s="9" t="b" cm="1">
        <f t="array" ref="L610">INDEX(stable[is_mandatory],MATCH(VALUE(questions[[#This Row],[qno]]),VALUE(stable[qno]),0))</f>
        <v>1</v>
      </c>
      <c r="M610" s="9" t="b" cm="1">
        <f t="array" ref="M610">INDEX(stable[is_automated],MATCH(VALUE(questions[[#This Row],[qno]]),VALUE(stable[qno]),0))</f>
        <v>0</v>
      </c>
      <c r="N610" s="9" t="b" cm="1">
        <f t="array" ref="N610">INDEX(stable[is_free_text],MATCH(VALUE(questions[[#This Row],[qno]]),VALUE(stable[qno]),0))</f>
        <v>0</v>
      </c>
      <c r="O610" s="9" t="b" cm="1">
        <f t="array" ref="O610">INDEX(stable[is_numerical],MATCH(VALUE(questions[[#This Row],[qno]]),VALUE(stable[qno]),0))</f>
        <v>0</v>
      </c>
      <c r="P610" s="77" t="b" cm="1">
        <f t="array" ref="P610">INDEX(stable[is_single_select],MATCH(VALUE(questions[[#This Row],[qno]]),VALUE(stable[qno]),0))</f>
        <v>1</v>
      </c>
      <c r="Q610" s="77" t="b" cm="1">
        <f t="array" ref="Q610">INDEX(stable[is_multi_select],MATCH(VALUE(questions[[#This Row],[qno]]),VALUE(stable[qno]),0))</f>
        <v>0</v>
      </c>
      <c r="R610" s="77" t="b" cm="1">
        <f t="array" ref="R610">INDEX(stable[is_skip_logic],MATCH(VALUE(questions[[#This Row],[qno]]),VALUE(stable[qno]),0))</f>
        <v>1</v>
      </c>
      <c r="S610" s="77" t="str">
        <f>_xlfn.TEXTJOIN(", ",TRUE,questions[[#This Row],[ans_opt_1]:[ans_opt_14]])</f>
        <v>Yes, No</v>
      </c>
      <c r="T610" s="77" t="s">
        <v>149</v>
      </c>
      <c r="U610" s="77" t="s">
        <v>119</v>
      </c>
      <c r="AD610" s="121"/>
      <c r="AH610" s="98" t="b">
        <f>INDEX(stable[q_standard],MATCH(questions[[#This Row],[qno]],stable[qno],0))</f>
        <v>0</v>
      </c>
      <c r="AI610" s="98" t="b">
        <f>INDEX(stable[q_living_income],MATCH(questions[[#This Row],[qno]],stable[qno],0))</f>
        <v>0</v>
      </c>
      <c r="AJ610" s="98" t="b">
        <f>INDEX(stable[q_carbon],MATCH(questions[[#This Row],[qno]],stable[qno],0))</f>
        <v>0</v>
      </c>
      <c r="AK610" s="98" t="b">
        <f>INDEX(stable[q_regen_ag],MATCH(questions[[#This Row],[qno]],stable[qno],0))</f>
        <v>1</v>
      </c>
      <c r="AL610" s="98" t="b">
        <f>COUNTIFS(stable[qno],questions[[#This Row],[qno]])=1</f>
        <v>1</v>
      </c>
      <c r="AM610" s="98" t="b">
        <f>OR(questions[[#This Row],[is_fixed]],questions[[#This Row],[is_localized]],questions[[#This Row],[is_supply_chain_dependent]])</f>
        <v>1</v>
      </c>
      <c r="AN610" s="98" t="b">
        <f>COUNTIFS(questions[[#This Row],[is_automated]:[is_multi_select]],TRUE)=1</f>
        <v>1</v>
      </c>
      <c r="AO610" s="98" t="b">
        <f>IF(questions[[#This Row],[is_fixed]],questions[[#This Row],[question]]=INDEX(stable[question],MATCH(questions[[#This Row],[qno]],stable[qno],0)),TRUE)</f>
        <v>0</v>
      </c>
      <c r="AP610" s="98" t="str">
        <f>LEFT(questions[[#This Row],[question]],similarity_range)</f>
        <v>Have you received an</v>
      </c>
      <c r="AQ610" s="98" t="str">
        <f>LEFT(INDEX(stable[question],MATCH(questions[[#This Row],[qno]],stable[qno],0)),similarity_range)</f>
        <v>Have you received an</v>
      </c>
      <c r="AR610" s="98" t="b">
        <f>questions[[#This Row],[question_first_characters]]=questions[[#This Row],[stability_first_characters]]</f>
        <v>1</v>
      </c>
      <c r="AS610" s="98" t="b">
        <f>IF(OR(questions[[#This Row],[is_single_select]],questions[[#This Row],[is_multi_select]]),NOT(ISBLANK(questions[[#This Row],[answer_opt_combined]])),TRUE)</f>
        <v>1</v>
      </c>
    </row>
    <row r="611" spans="1:45" s="77" customFormat="1" ht="15.75" customHeight="1" x14ac:dyDescent="0.25">
      <c r="A611" s="77" t="str">
        <f>_xlfn.TEXTJOIN("_",TRUE,questions[[#This Row],[origin]:[qno]])</f>
        <v>Rwanda_Arabica_Nestle_Illy_IMPACT_2024_7001</v>
      </c>
      <c r="B611" s="77" t="s">
        <v>719</v>
      </c>
      <c r="C611" s="77" t="s">
        <v>59</v>
      </c>
      <c r="D611" s="77" t="s">
        <v>720</v>
      </c>
      <c r="E611" s="77">
        <v>2024</v>
      </c>
      <c r="F611" s="105" t="s">
        <v>328</v>
      </c>
      <c r="G611" s="78" t="s">
        <v>329</v>
      </c>
      <c r="H611" s="9" t="str" cm="1">
        <f t="array" ref="H611">INDEX(stableR[question],MATCH(VALUE(questions[[#This Row],[qno]]),VALUE(stableR[qno]),0))</f>
        <v>If NO formal training received, are you aware of Regen Ag. and can explain its basics principles and main practices?</v>
      </c>
      <c r="I611" s="9" t="b" cm="1">
        <f t="array" ref="I611">INDEX(stable[is_fixed],MATCH(VALUE(questions[[#This Row],[qno]]),VALUE(stable[qno]),0))</f>
        <v>1</v>
      </c>
      <c r="J611" s="9" t="b" cm="1">
        <f t="array" ref="J611">INDEX(stable[is_localized],MATCH(VALUE(questions[[#This Row],[qno]]),VALUE(stable[qno]),0))</f>
        <v>0</v>
      </c>
      <c r="K611" s="9" t="b" cm="1">
        <f t="array" ref="K611">INDEX(stable[is_supply_chain_dependent],MATCH(VALUE(questions[[#This Row],[qno]]),VALUE(stable[qno]),0))</f>
        <v>0</v>
      </c>
      <c r="L611" s="9" t="b" cm="1">
        <f t="array" ref="L611">INDEX(stable[is_mandatory],MATCH(VALUE(questions[[#This Row],[qno]]),VALUE(stable[qno]),0))</f>
        <v>0</v>
      </c>
      <c r="M611" s="9" t="b" cm="1">
        <f t="array" ref="M611">INDEX(stable[is_automated],MATCH(VALUE(questions[[#This Row],[qno]]),VALUE(stable[qno]),0))</f>
        <v>0</v>
      </c>
      <c r="N611" s="9" t="b" cm="1">
        <f t="array" ref="N611">INDEX(stable[is_free_text],MATCH(VALUE(questions[[#This Row],[qno]]),VALUE(stable[qno]),0))</f>
        <v>0</v>
      </c>
      <c r="O611" s="9" t="b" cm="1">
        <f t="array" ref="O611">INDEX(stable[is_numerical],MATCH(VALUE(questions[[#This Row],[qno]]),VALUE(stable[qno]),0))</f>
        <v>0</v>
      </c>
      <c r="P611" s="77" t="b" cm="1">
        <f t="array" ref="P611">INDEX(stable[is_single_select],MATCH(VALUE(questions[[#This Row],[qno]]),VALUE(stable[qno]),0))</f>
        <v>1</v>
      </c>
      <c r="Q611" s="77" t="b" cm="1">
        <f t="array" ref="Q611">INDEX(stable[is_multi_select],MATCH(VALUE(questions[[#This Row],[qno]]),VALUE(stable[qno]),0))</f>
        <v>0</v>
      </c>
      <c r="R611" s="77" t="b" cm="1">
        <f t="array" ref="R611">INDEX(stable[is_skip_logic],MATCH(VALUE(questions[[#This Row],[qno]]),VALUE(stable[qno]),0))</f>
        <v>1</v>
      </c>
      <c r="S611" s="77" t="str">
        <f>_xlfn.TEXTJOIN(", ",TRUE,questions[[#This Row],[ans_opt_1]:[ans_opt_14]])</f>
        <v>Yes, No</v>
      </c>
      <c r="T611" s="77" t="s">
        <v>149</v>
      </c>
      <c r="U611" s="77" t="s">
        <v>119</v>
      </c>
      <c r="AD611" s="121"/>
      <c r="AE611" s="121"/>
      <c r="AF611" s="121"/>
      <c r="AG611" s="121"/>
      <c r="AH611" s="98" t="b">
        <f>INDEX(stable[q_standard],MATCH(questions[[#This Row],[qno]],stable[qno],0))</f>
        <v>0</v>
      </c>
      <c r="AI611" s="98" t="b">
        <f>INDEX(stable[q_living_income],MATCH(questions[[#This Row],[qno]],stable[qno],0))</f>
        <v>0</v>
      </c>
      <c r="AJ611" s="98" t="b">
        <f>INDEX(stable[q_carbon],MATCH(questions[[#This Row],[qno]],stable[qno],0))</f>
        <v>0</v>
      </c>
      <c r="AK611" s="98" t="b">
        <f>INDEX(stable[q_regen_ag],MATCH(questions[[#This Row],[qno]],stable[qno],0))</f>
        <v>1</v>
      </c>
      <c r="AL611" s="98" t="b">
        <f>COUNTIFS(stable[qno],questions[[#This Row],[qno]])=1</f>
        <v>1</v>
      </c>
      <c r="AM611" s="98" t="b">
        <f>OR(questions[[#This Row],[is_fixed]],questions[[#This Row],[is_localized]],questions[[#This Row],[is_supply_chain_dependent]])</f>
        <v>1</v>
      </c>
      <c r="AN611" s="98" t="b">
        <f>COUNTIFS(questions[[#This Row],[is_automated]:[is_multi_select]],TRUE)=1</f>
        <v>1</v>
      </c>
      <c r="AO611" s="98" t="b">
        <f>IF(questions[[#This Row],[is_fixed]],questions[[#This Row],[question]]=INDEX(stable[question],MATCH(questions[[#This Row],[qno]],stable[qno],0)),TRUE)</f>
        <v>1</v>
      </c>
      <c r="AP611" s="98" t="str">
        <f>LEFT(questions[[#This Row],[question]],similarity_range)</f>
        <v>If NO formal trainin</v>
      </c>
      <c r="AQ611" s="98" t="str">
        <f>LEFT(INDEX(stable[question],MATCH(questions[[#This Row],[qno]],stable[qno],0)),similarity_range)</f>
        <v>If NO formal trainin</v>
      </c>
      <c r="AR611" s="98" t="b">
        <f>questions[[#This Row],[question_first_characters]]=questions[[#This Row],[stability_first_characters]]</f>
        <v>1</v>
      </c>
      <c r="AS611" s="98" t="b">
        <f>IF(OR(questions[[#This Row],[is_single_select]],questions[[#This Row],[is_multi_select]]),NOT(ISBLANK(questions[[#This Row],[answer_opt_combined]])),TRUE)</f>
        <v>1</v>
      </c>
    </row>
    <row r="612" spans="1:45" s="77" customFormat="1" ht="15.75" customHeight="1" x14ac:dyDescent="0.25">
      <c r="A612" s="77" t="str">
        <f>_xlfn.TEXTJOIN("_",TRUE,questions[[#This Row],[origin]:[qno]])</f>
        <v>Rwanda_Arabica_Nestle_Illy_IMPACT_2024_7100</v>
      </c>
      <c r="B612" s="77" t="s">
        <v>719</v>
      </c>
      <c r="C612" s="77" t="s">
        <v>59</v>
      </c>
      <c r="D612" s="77" t="s">
        <v>720</v>
      </c>
      <c r="E612" s="77">
        <v>2024</v>
      </c>
      <c r="F612" s="105" t="s">
        <v>330</v>
      </c>
      <c r="G612" s="78" t="s">
        <v>331</v>
      </c>
      <c r="H612" s="9" t="str" cm="1">
        <f t="array" ref="H612">INDEX(stableR[question],MATCH(VALUE(questions[[#This Row],[qno]]),VALUE(stableR[qno]),0))</f>
        <v>Do you implement mulching and/or cover crops-plants (e.g. beans, peanuts/groundnuts, brachiaria, desmodium…) in your coffee plots? If the answer is NO, you do not need to answer the next 2 questions</v>
      </c>
      <c r="I612" s="9" t="b" cm="1">
        <f t="array" ref="I612">INDEX(stable[is_fixed],MATCH(VALUE(questions[[#This Row],[qno]]),VALUE(stable[qno]),0))</f>
        <v>1</v>
      </c>
      <c r="J612" s="9" t="b" cm="1">
        <f t="array" ref="J612">INDEX(stable[is_localized],MATCH(VALUE(questions[[#This Row],[qno]]),VALUE(stable[qno]),0))</f>
        <v>0</v>
      </c>
      <c r="K612" s="9" t="b" cm="1">
        <f t="array" ref="K612">INDEX(stable[is_supply_chain_dependent],MATCH(VALUE(questions[[#This Row],[qno]]),VALUE(stable[qno]),0))</f>
        <v>0</v>
      </c>
      <c r="L612" s="9" t="b" cm="1">
        <f t="array" ref="L612">INDEX(stable[is_mandatory],MATCH(VALUE(questions[[#This Row],[qno]]),VALUE(stable[qno]),0))</f>
        <v>1</v>
      </c>
      <c r="M612" s="9" t="b" cm="1">
        <f t="array" ref="M612">INDEX(stable[is_automated],MATCH(VALUE(questions[[#This Row],[qno]]),VALUE(stable[qno]),0))</f>
        <v>0</v>
      </c>
      <c r="N612" s="9" t="b" cm="1">
        <f t="array" ref="N612">INDEX(stable[is_free_text],MATCH(VALUE(questions[[#This Row],[qno]]),VALUE(stable[qno]),0))</f>
        <v>0</v>
      </c>
      <c r="O612" s="9" t="b" cm="1">
        <f t="array" ref="O612">INDEX(stable[is_numerical],MATCH(VALUE(questions[[#This Row],[qno]]),VALUE(stable[qno]),0))</f>
        <v>0</v>
      </c>
      <c r="P612" s="77" t="b" cm="1">
        <f t="array" ref="P612">INDEX(stable[is_single_select],MATCH(VALUE(questions[[#This Row],[qno]]),VALUE(stable[qno]),0))</f>
        <v>1</v>
      </c>
      <c r="Q612" s="77" t="b" cm="1">
        <f t="array" ref="Q612">INDEX(stable[is_multi_select],MATCH(VALUE(questions[[#This Row],[qno]]),VALUE(stable[qno]),0))</f>
        <v>0</v>
      </c>
      <c r="R612" s="77" t="b" cm="1">
        <f t="array" ref="R612">INDEX(stable[is_skip_logic],MATCH(VALUE(questions[[#This Row],[qno]]),VALUE(stable[qno]),0))</f>
        <v>1</v>
      </c>
      <c r="S612" s="77" t="str">
        <f>_xlfn.TEXTJOIN(", ",TRUE,questions[[#This Row],[ans_opt_1]:[ans_opt_14]])</f>
        <v>No, Yes-Crop residues mulching, Yes-Other mulching, Yes-Cover crops, Yes-Cover crops &amp; Mulching</v>
      </c>
      <c r="T612" s="77" t="s">
        <v>119</v>
      </c>
      <c r="U612" s="77" t="s">
        <v>332</v>
      </c>
      <c r="V612" s="77" t="s">
        <v>333</v>
      </c>
      <c r="W612" s="77" t="s">
        <v>334</v>
      </c>
      <c r="X612" s="77" t="s">
        <v>335</v>
      </c>
      <c r="AD612" s="121"/>
      <c r="AE612" s="121"/>
      <c r="AF612" s="121"/>
      <c r="AG612" s="121"/>
      <c r="AH612" s="98" t="b">
        <f>INDEX(stable[q_standard],MATCH(questions[[#This Row],[qno]],stable[qno],0))</f>
        <v>0</v>
      </c>
      <c r="AI612" s="98" t="b">
        <f>INDEX(stable[q_living_income],MATCH(questions[[#This Row],[qno]],stable[qno],0))</f>
        <v>0</v>
      </c>
      <c r="AJ612" s="98" t="b">
        <f>INDEX(stable[q_carbon],MATCH(questions[[#This Row],[qno]],stable[qno],0))</f>
        <v>0</v>
      </c>
      <c r="AK612" s="98" t="b">
        <f>INDEX(stable[q_regen_ag],MATCH(questions[[#This Row],[qno]],stable[qno],0))</f>
        <v>1</v>
      </c>
      <c r="AL612" s="98" t="b">
        <f>COUNTIFS(stable[qno],questions[[#This Row],[qno]])=1</f>
        <v>1</v>
      </c>
      <c r="AM612" s="98" t="b">
        <f>OR(questions[[#This Row],[is_fixed]],questions[[#This Row],[is_localized]],questions[[#This Row],[is_supply_chain_dependent]])</f>
        <v>1</v>
      </c>
      <c r="AN612" s="98" t="b">
        <f>COUNTIFS(questions[[#This Row],[is_automated]:[is_multi_select]],TRUE)=1</f>
        <v>1</v>
      </c>
      <c r="AO612" s="98" t="b">
        <f>IF(questions[[#This Row],[is_fixed]],questions[[#This Row],[question]]=INDEX(stable[question],MATCH(questions[[#This Row],[qno]],stable[qno],0)),TRUE)</f>
        <v>1</v>
      </c>
      <c r="AP612" s="98" t="str">
        <f>LEFT(questions[[#This Row],[question]],similarity_range)</f>
        <v>Do you implement mul</v>
      </c>
      <c r="AQ612" s="98" t="str">
        <f>LEFT(INDEX(stable[question],MATCH(questions[[#This Row],[qno]],stable[qno],0)),similarity_range)</f>
        <v>Do you implement mul</v>
      </c>
      <c r="AR612" s="98" t="b">
        <f>questions[[#This Row],[question_first_characters]]=questions[[#This Row],[stability_first_characters]]</f>
        <v>1</v>
      </c>
      <c r="AS612" s="98" t="b">
        <f>IF(OR(questions[[#This Row],[is_single_select]],questions[[#This Row],[is_multi_select]]),NOT(ISBLANK(questions[[#This Row],[answer_opt_combined]])),TRUE)</f>
        <v>1</v>
      </c>
    </row>
    <row r="613" spans="1:45" s="77" customFormat="1" ht="15.75" customHeight="1" x14ac:dyDescent="0.25">
      <c r="A613" s="77" t="str">
        <f>_xlfn.TEXTJOIN("_",TRUE,questions[[#This Row],[origin]:[qno]])</f>
        <v>Rwanda_Arabica_Nestle_Illy_IMPACT_2024_7101</v>
      </c>
      <c r="B613" s="77" t="s">
        <v>719</v>
      </c>
      <c r="C613" s="77" t="s">
        <v>59</v>
      </c>
      <c r="D613" s="77" t="s">
        <v>720</v>
      </c>
      <c r="E613" s="77">
        <v>2024</v>
      </c>
      <c r="F613" s="105" t="s">
        <v>336</v>
      </c>
      <c r="G613" s="78" t="s">
        <v>337</v>
      </c>
      <c r="H613" s="9" t="str" cm="1">
        <f t="array" ref="H613">INDEX(stableR[question],MATCH(VALUE(questions[[#This Row],[qno]]),VALUE(stableR[qno]),0))</f>
        <v>If so, what is the % or proportion of your coffee plots using mulching and/or cover crops?</v>
      </c>
      <c r="I613" s="9" t="b" cm="1">
        <f t="array" ref="I613">INDEX(stable[is_fixed],MATCH(VALUE(questions[[#This Row],[qno]]),VALUE(stable[qno]),0))</f>
        <v>1</v>
      </c>
      <c r="J613" s="9" t="b" cm="1">
        <f t="array" ref="J613">INDEX(stable[is_localized],MATCH(VALUE(questions[[#This Row],[qno]]),VALUE(stable[qno]),0))</f>
        <v>0</v>
      </c>
      <c r="K613" s="9" t="b" cm="1">
        <f t="array" ref="K613">INDEX(stable[is_supply_chain_dependent],MATCH(VALUE(questions[[#This Row],[qno]]),VALUE(stable[qno]),0))</f>
        <v>0</v>
      </c>
      <c r="L613" s="9" t="b" cm="1">
        <f t="array" ref="L613">INDEX(stable[is_mandatory],MATCH(VALUE(questions[[#This Row],[qno]]),VALUE(stable[qno]),0))</f>
        <v>0</v>
      </c>
      <c r="M613" s="9" t="b" cm="1">
        <f t="array" ref="M613">INDEX(stable[is_automated],MATCH(VALUE(questions[[#This Row],[qno]]),VALUE(stable[qno]),0))</f>
        <v>0</v>
      </c>
      <c r="N613" s="9" t="b" cm="1">
        <f t="array" ref="N613">INDEX(stable[is_free_text],MATCH(VALUE(questions[[#This Row],[qno]]),VALUE(stable[qno]),0))</f>
        <v>0</v>
      </c>
      <c r="O613" s="9" t="b" cm="1">
        <f t="array" ref="O613">INDEX(stable[is_numerical],MATCH(VALUE(questions[[#This Row],[qno]]),VALUE(stable[qno]),0))</f>
        <v>0</v>
      </c>
      <c r="P613" s="77" t="b" cm="1">
        <f t="array" ref="P613">INDEX(stable[is_single_select],MATCH(VALUE(questions[[#This Row],[qno]]),VALUE(stable[qno]),0))</f>
        <v>1</v>
      </c>
      <c r="Q613" s="77" t="b" cm="1">
        <f t="array" ref="Q613">INDEX(stable[is_multi_select],MATCH(VALUE(questions[[#This Row],[qno]]),VALUE(stable[qno]),0))</f>
        <v>0</v>
      </c>
      <c r="R613" s="77" t="b" cm="1">
        <f t="array" ref="R613">INDEX(stable[is_skip_logic],MATCH(VALUE(questions[[#This Row],[qno]]),VALUE(stable[qno]),0))</f>
        <v>1</v>
      </c>
      <c r="S613" s="77" t="str">
        <f>_xlfn.TEXTJOIN(", ",TRUE,questions[[#This Row],[ans_opt_1]:[ans_opt_14]])</f>
        <v>1% to 25% - little to a quarter, 26% to 50% - less than half, 51% to 75% - more than half, 76% to 100% - almost all</v>
      </c>
      <c r="T613" s="77" t="s">
        <v>338</v>
      </c>
      <c r="U613" s="77" t="s">
        <v>339</v>
      </c>
      <c r="V613" s="77" t="s">
        <v>340</v>
      </c>
      <c r="W613" s="77" t="s">
        <v>341</v>
      </c>
      <c r="AD613" s="121"/>
      <c r="AE613" s="121"/>
      <c r="AF613" s="121"/>
      <c r="AG613" s="121"/>
      <c r="AH613" s="98" t="b">
        <f>INDEX(stable[q_standard],MATCH(questions[[#This Row],[qno]],stable[qno],0))</f>
        <v>0</v>
      </c>
      <c r="AI613" s="98" t="b">
        <f>INDEX(stable[q_living_income],MATCH(questions[[#This Row],[qno]],stable[qno],0))</f>
        <v>0</v>
      </c>
      <c r="AJ613" s="98" t="b">
        <f>INDEX(stable[q_carbon],MATCH(questions[[#This Row],[qno]],stable[qno],0))</f>
        <v>0</v>
      </c>
      <c r="AK613" s="98" t="b">
        <f>INDEX(stable[q_regen_ag],MATCH(questions[[#This Row],[qno]],stable[qno],0))</f>
        <v>1</v>
      </c>
      <c r="AL613" s="98" t="b">
        <f>COUNTIFS(stable[qno],questions[[#This Row],[qno]])=1</f>
        <v>1</v>
      </c>
      <c r="AM613" s="98" t="b">
        <f>OR(questions[[#This Row],[is_fixed]],questions[[#This Row],[is_localized]],questions[[#This Row],[is_supply_chain_dependent]])</f>
        <v>1</v>
      </c>
      <c r="AN613" s="98" t="b">
        <f>COUNTIFS(questions[[#This Row],[is_automated]:[is_multi_select]],TRUE)=1</f>
        <v>1</v>
      </c>
      <c r="AO613" s="98" t="b">
        <f>IF(questions[[#This Row],[is_fixed]],questions[[#This Row],[question]]=INDEX(stable[question],MATCH(questions[[#This Row],[qno]],stable[qno],0)),TRUE)</f>
        <v>1</v>
      </c>
      <c r="AP613" s="98" t="str">
        <f>LEFT(questions[[#This Row],[question]],similarity_range)</f>
        <v>If so, what is the %</v>
      </c>
      <c r="AQ613" s="98" t="str">
        <f>LEFT(INDEX(stable[question],MATCH(questions[[#This Row],[qno]],stable[qno],0)),similarity_range)</f>
        <v>If so, what is the %</v>
      </c>
      <c r="AR613" s="98" t="b">
        <f>questions[[#This Row],[question_first_characters]]=questions[[#This Row],[stability_first_characters]]</f>
        <v>1</v>
      </c>
      <c r="AS613" s="98" t="b">
        <f>IF(OR(questions[[#This Row],[is_single_select]],questions[[#This Row],[is_multi_select]]),NOT(ISBLANK(questions[[#This Row],[answer_opt_combined]])),TRUE)</f>
        <v>1</v>
      </c>
    </row>
    <row r="614" spans="1:45" s="77" customFormat="1" ht="15.75" customHeight="1" x14ac:dyDescent="0.25">
      <c r="A614" s="77" t="str">
        <f>_xlfn.TEXTJOIN("_",TRUE,questions[[#This Row],[origin]:[qno]])</f>
        <v>Rwanda_Arabica_Nestle_Illy_IMPACT_2024_7102</v>
      </c>
      <c r="B614" s="77" t="s">
        <v>719</v>
      </c>
      <c r="C614" s="77" t="s">
        <v>59</v>
      </c>
      <c r="D614" s="77" t="s">
        <v>720</v>
      </c>
      <c r="E614" s="77">
        <v>2024</v>
      </c>
      <c r="F614" s="105" t="s">
        <v>342</v>
      </c>
      <c r="G614" s="78" t="s">
        <v>343</v>
      </c>
      <c r="H614" s="9" t="str" cm="1">
        <f t="array" ref="H614">INDEX(stableR[question],MATCH(VALUE(questions[[#This Row],[qno]]),VALUE(stableR[qno]),0))</f>
        <v>And for how many months per year?</v>
      </c>
      <c r="I614" s="9" t="b" cm="1">
        <f t="array" ref="I614">INDEX(stable[is_fixed],MATCH(VALUE(questions[[#This Row],[qno]]),VALUE(stable[qno]),0))</f>
        <v>1</v>
      </c>
      <c r="J614" s="9" t="b" cm="1">
        <f t="array" ref="J614">INDEX(stable[is_localized],MATCH(VALUE(questions[[#This Row],[qno]]),VALUE(stable[qno]),0))</f>
        <v>0</v>
      </c>
      <c r="K614" s="9" t="b" cm="1">
        <f t="array" ref="K614">INDEX(stable[is_supply_chain_dependent],MATCH(VALUE(questions[[#This Row],[qno]]),VALUE(stable[qno]),0))</f>
        <v>0</v>
      </c>
      <c r="L614" s="9" t="b" cm="1">
        <f t="array" ref="L614">INDEX(stable[is_mandatory],MATCH(VALUE(questions[[#This Row],[qno]]),VALUE(stable[qno]),0))</f>
        <v>0</v>
      </c>
      <c r="M614" s="9" t="b" cm="1">
        <f t="array" ref="M614">INDEX(stable[is_automated],MATCH(VALUE(questions[[#This Row],[qno]]),VALUE(stable[qno]),0))</f>
        <v>0</v>
      </c>
      <c r="N614" s="9" t="b" cm="1">
        <f t="array" ref="N614">INDEX(stable[is_free_text],MATCH(VALUE(questions[[#This Row],[qno]]),VALUE(stable[qno]),0))</f>
        <v>0</v>
      </c>
      <c r="O614" s="9" t="b" cm="1">
        <f t="array" ref="O614">INDEX(stable[is_numerical],MATCH(VALUE(questions[[#This Row],[qno]]),VALUE(stable[qno]),0))</f>
        <v>0</v>
      </c>
      <c r="P614" s="77" t="b" cm="1">
        <f t="array" ref="P614">INDEX(stable[is_single_select],MATCH(VALUE(questions[[#This Row],[qno]]),VALUE(stable[qno]),0))</f>
        <v>1</v>
      </c>
      <c r="Q614" s="77" t="b" cm="1">
        <f t="array" ref="Q614">INDEX(stable[is_multi_select],MATCH(VALUE(questions[[#This Row],[qno]]),VALUE(stable[qno]),0))</f>
        <v>0</v>
      </c>
      <c r="R614" s="77" t="b" cm="1">
        <f t="array" ref="R614">INDEX(stable[is_skip_logic],MATCH(VALUE(questions[[#This Row],[qno]]),VALUE(stable[qno]),0))</f>
        <v>1</v>
      </c>
      <c r="S614" s="77" t="str">
        <f>_xlfn.TEXTJOIN(", ",TRUE,questions[[#This Row],[ans_opt_1]:[ans_opt_14]])</f>
        <v>&lt;6 months, 6-8 months, &gt;8 months</v>
      </c>
      <c r="T614" s="77" t="s">
        <v>344</v>
      </c>
      <c r="U614" s="77" t="s">
        <v>345</v>
      </c>
      <c r="V614" s="77" t="s">
        <v>346</v>
      </c>
      <c r="AD614" s="121"/>
      <c r="AE614" s="121"/>
      <c r="AF614" s="121"/>
      <c r="AG614" s="121"/>
      <c r="AH614" s="98" t="b">
        <f>INDEX(stable[q_standard],MATCH(questions[[#This Row],[qno]],stable[qno],0))</f>
        <v>0</v>
      </c>
      <c r="AI614" s="98" t="b">
        <f>INDEX(stable[q_living_income],MATCH(questions[[#This Row],[qno]],stable[qno],0))</f>
        <v>0</v>
      </c>
      <c r="AJ614" s="98" t="b">
        <f>INDEX(stable[q_carbon],MATCH(questions[[#This Row],[qno]],stable[qno],0))</f>
        <v>0</v>
      </c>
      <c r="AK614" s="98" t="b">
        <f>INDEX(stable[q_regen_ag],MATCH(questions[[#This Row],[qno]],stable[qno],0))</f>
        <v>1</v>
      </c>
      <c r="AL614" s="98" t="b">
        <f>COUNTIFS(stable[qno],questions[[#This Row],[qno]])=1</f>
        <v>1</v>
      </c>
      <c r="AM614" s="98" t="b">
        <f>OR(questions[[#This Row],[is_fixed]],questions[[#This Row],[is_localized]],questions[[#This Row],[is_supply_chain_dependent]])</f>
        <v>1</v>
      </c>
      <c r="AN614" s="98" t="b">
        <f>COUNTIFS(questions[[#This Row],[is_automated]:[is_multi_select]],TRUE)=1</f>
        <v>1</v>
      </c>
      <c r="AO614" s="98" t="b">
        <f>IF(questions[[#This Row],[is_fixed]],questions[[#This Row],[question]]=INDEX(stable[question],MATCH(questions[[#This Row],[qno]],stable[qno],0)),TRUE)</f>
        <v>0</v>
      </c>
      <c r="AP614" s="98" t="str">
        <f>LEFT(questions[[#This Row],[question]],similarity_range)</f>
        <v>And for how many mon</v>
      </c>
      <c r="AQ614" s="98" t="str">
        <f>LEFT(INDEX(stable[question],MATCH(questions[[#This Row],[qno]],stable[qno],0)),similarity_range)</f>
        <v>And for how many mon</v>
      </c>
      <c r="AR614" s="98" t="b">
        <f>questions[[#This Row],[question_first_characters]]=questions[[#This Row],[stability_first_characters]]</f>
        <v>1</v>
      </c>
      <c r="AS614" s="98" t="b">
        <f>IF(OR(questions[[#This Row],[is_single_select]],questions[[#This Row],[is_multi_select]]),NOT(ISBLANK(questions[[#This Row],[answer_opt_combined]])),TRUE)</f>
        <v>1</v>
      </c>
    </row>
    <row r="615" spans="1:45" s="77" customFormat="1" ht="15.75" customHeight="1" x14ac:dyDescent="0.25">
      <c r="A615" s="77" t="str">
        <f>_xlfn.TEXTJOIN("_",TRUE,questions[[#This Row],[origin]:[qno]])</f>
        <v>Rwanda_Arabica_Nestle_Illy_IMPACT_2024_7113</v>
      </c>
      <c r="B615" s="77" t="s">
        <v>719</v>
      </c>
      <c r="C615" s="77" t="s">
        <v>59</v>
      </c>
      <c r="D615" s="77" t="s">
        <v>720</v>
      </c>
      <c r="E615" s="77">
        <v>2024</v>
      </c>
      <c r="F615" s="105" t="s">
        <v>347</v>
      </c>
      <c r="G615" s="78" t="s">
        <v>793</v>
      </c>
      <c r="H615" s="9" t="str" cm="1">
        <f t="array" ref="H615">INDEX(stableR[question],MATCH(VALUE(questions[[#This Row],[qno]]),VALUE(stableR[qno]),0))</f>
        <v>Does any area of your coffee plots have significative risk of water and/or wind erosion due to heavy rain or irrigation, terrain slope, strong winds during dry periods…? If the answer is NO, you do not need to answer the next 2 questions</v>
      </c>
      <c r="I615" s="9" t="b" cm="1">
        <f t="array" ref="I615">INDEX(stable[is_fixed],MATCH(VALUE(questions[[#This Row],[qno]]),VALUE(stable[qno]),0))</f>
        <v>1</v>
      </c>
      <c r="J615" s="9" t="b" cm="1">
        <f t="array" ref="J615">INDEX(stable[is_localized],MATCH(VALUE(questions[[#This Row],[qno]]),VALUE(stable[qno]),0))</f>
        <v>0</v>
      </c>
      <c r="K615" s="9" t="b" cm="1">
        <f t="array" ref="K615">INDEX(stable[is_supply_chain_dependent],MATCH(VALUE(questions[[#This Row],[qno]]),VALUE(stable[qno]),0))</f>
        <v>0</v>
      </c>
      <c r="L615" s="9" t="b" cm="1">
        <f t="array" ref="L615">INDEX(stable[is_mandatory],MATCH(VALUE(questions[[#This Row],[qno]]),VALUE(stable[qno]),0))</f>
        <v>1</v>
      </c>
      <c r="M615" s="9" t="b" cm="1">
        <f t="array" ref="M615">INDEX(stable[is_automated],MATCH(VALUE(questions[[#This Row],[qno]]),VALUE(stable[qno]),0))</f>
        <v>0</v>
      </c>
      <c r="N615" s="9" t="b" cm="1">
        <f t="array" ref="N615">INDEX(stable[is_free_text],MATCH(VALUE(questions[[#This Row],[qno]]),VALUE(stable[qno]),0))</f>
        <v>0</v>
      </c>
      <c r="O615" s="9" t="b" cm="1">
        <f t="array" ref="O615">INDEX(stable[is_numerical],MATCH(VALUE(questions[[#This Row],[qno]]),VALUE(stable[qno]),0))</f>
        <v>0</v>
      </c>
      <c r="P615" s="77" t="b" cm="1">
        <f t="array" ref="P615">INDEX(stable[is_single_select],MATCH(VALUE(questions[[#This Row],[qno]]),VALUE(stable[qno]),0))</f>
        <v>1</v>
      </c>
      <c r="Q615" s="77" t="b" cm="1">
        <f t="array" ref="Q615">INDEX(stable[is_multi_select],MATCH(VALUE(questions[[#This Row],[qno]]),VALUE(stable[qno]),0))</f>
        <v>0</v>
      </c>
      <c r="R615" s="77" t="b" cm="1">
        <f t="array" ref="R615">INDEX(stable[is_skip_logic],MATCH(VALUE(questions[[#This Row],[qno]]),VALUE(stable[qno]),0))</f>
        <v>1</v>
      </c>
      <c r="S615" s="77" t="str">
        <f>_xlfn.TEXTJOIN(", ",TRUE,questions[[#This Row],[ans_opt_1]:[ans_opt_14]])</f>
        <v>Yes, No</v>
      </c>
      <c r="T615" s="77" t="s">
        <v>149</v>
      </c>
      <c r="U615" s="77" t="s">
        <v>119</v>
      </c>
      <c r="AD615" s="121"/>
      <c r="AE615" s="121"/>
      <c r="AF615" s="121"/>
      <c r="AG615" s="121"/>
      <c r="AH615" s="98" t="b">
        <f>INDEX(stable[q_standard],MATCH(questions[[#This Row],[qno]],stable[qno],0))</f>
        <v>0</v>
      </c>
      <c r="AI615" s="98" t="b">
        <f>INDEX(stable[q_living_income],MATCH(questions[[#This Row],[qno]],stable[qno],0))</f>
        <v>0</v>
      </c>
      <c r="AJ615" s="98" t="b">
        <f>INDEX(stable[q_carbon],MATCH(questions[[#This Row],[qno]],stable[qno],0))</f>
        <v>0</v>
      </c>
      <c r="AK615" s="98" t="b">
        <f>INDEX(stable[q_regen_ag],MATCH(questions[[#This Row],[qno]],stable[qno],0))</f>
        <v>1</v>
      </c>
      <c r="AL615" s="98" t="b">
        <f>COUNTIFS(stable[qno],questions[[#This Row],[qno]])=1</f>
        <v>1</v>
      </c>
      <c r="AM615" s="98" t="b">
        <f>OR(questions[[#This Row],[is_fixed]],questions[[#This Row],[is_localized]],questions[[#This Row],[is_supply_chain_dependent]])</f>
        <v>1</v>
      </c>
      <c r="AN615" s="98" t="b">
        <f>COUNTIFS(questions[[#This Row],[is_automated]:[is_multi_select]],TRUE)=1</f>
        <v>1</v>
      </c>
      <c r="AO615" s="98" t="b">
        <f>IF(questions[[#This Row],[is_fixed]],questions[[#This Row],[question]]=INDEX(stable[question],MATCH(questions[[#This Row],[qno]],stable[qno],0)),TRUE)</f>
        <v>0</v>
      </c>
      <c r="AP615" s="98" t="str">
        <f>LEFT(questions[[#This Row],[question]],similarity_range)</f>
        <v>Does any area of you</v>
      </c>
      <c r="AQ615" s="98" t="str">
        <f>LEFT(INDEX(stable[question],MATCH(questions[[#This Row],[qno]],stable[qno],0)),similarity_range)</f>
        <v>Does any area of you</v>
      </c>
      <c r="AR615" s="98" t="b">
        <f>questions[[#This Row],[question_first_characters]]=questions[[#This Row],[stability_first_characters]]</f>
        <v>1</v>
      </c>
      <c r="AS615" s="98" t="b">
        <f>IF(OR(questions[[#This Row],[is_single_select]],questions[[#This Row],[is_multi_select]]),NOT(ISBLANK(questions[[#This Row],[answer_opt_combined]])),TRUE)</f>
        <v>1</v>
      </c>
    </row>
    <row r="616" spans="1:45" s="77" customFormat="1" ht="15.75" customHeight="1" x14ac:dyDescent="0.25">
      <c r="A616" s="77" t="str">
        <f>_xlfn.TEXTJOIN("_",TRUE,questions[[#This Row],[origin]:[qno]])</f>
        <v>Rwanda_Arabica_Nestle_Illy_IMPACT_2024_7114</v>
      </c>
      <c r="B616" s="77" t="s">
        <v>719</v>
      </c>
      <c r="C616" s="77" t="s">
        <v>59</v>
      </c>
      <c r="D616" s="77" t="s">
        <v>720</v>
      </c>
      <c r="E616" s="77">
        <v>2024</v>
      </c>
      <c r="F616" s="105" t="s">
        <v>349</v>
      </c>
      <c r="G616" s="78" t="s">
        <v>794</v>
      </c>
      <c r="H616" s="9" t="str" cm="1">
        <f t="array" ref="H616">INDEX(stableR[question],MATCH(VALUE(questions[[#This Row],[qno]]),VALUE(stableR[qno]),0))</f>
        <v xml:space="preserve">If there is erosion risk, do you implement anti-erosion measures/control (e.g. trenches, terracing, windbreaks, soil coverage/mulching, bunds, contour planting…)? </v>
      </c>
      <c r="I616" s="9" t="b" cm="1">
        <f t="array" ref="I616">INDEX(stable[is_fixed],MATCH(VALUE(questions[[#This Row],[qno]]),VALUE(stable[qno]),0))</f>
        <v>1</v>
      </c>
      <c r="J616" s="9" t="b" cm="1">
        <f t="array" ref="J616">INDEX(stable[is_localized],MATCH(VALUE(questions[[#This Row],[qno]]),VALUE(stable[qno]),0))</f>
        <v>0</v>
      </c>
      <c r="K616" s="9" t="b" cm="1">
        <f t="array" ref="K616">INDEX(stable[is_supply_chain_dependent],MATCH(VALUE(questions[[#This Row],[qno]]),VALUE(stable[qno]),0))</f>
        <v>0</v>
      </c>
      <c r="L616" s="9" t="b" cm="1">
        <f t="array" ref="L616">INDEX(stable[is_mandatory],MATCH(VALUE(questions[[#This Row],[qno]]),VALUE(stable[qno]),0))</f>
        <v>0</v>
      </c>
      <c r="M616" s="9" t="b" cm="1">
        <f t="array" ref="M616">INDEX(stable[is_automated],MATCH(VALUE(questions[[#This Row],[qno]]),VALUE(stable[qno]),0))</f>
        <v>0</v>
      </c>
      <c r="N616" s="9" t="b" cm="1">
        <f t="array" ref="N616">INDEX(stable[is_free_text],MATCH(VALUE(questions[[#This Row],[qno]]),VALUE(stable[qno]),0))</f>
        <v>0</v>
      </c>
      <c r="O616" s="9" t="b" cm="1">
        <f t="array" ref="O616">INDEX(stable[is_numerical],MATCH(VALUE(questions[[#This Row],[qno]]),VALUE(stable[qno]),0))</f>
        <v>0</v>
      </c>
      <c r="P616" s="77" t="b" cm="1">
        <f t="array" ref="P616">INDEX(stable[is_single_select],MATCH(VALUE(questions[[#This Row],[qno]]),VALUE(stable[qno]),0))</f>
        <v>1</v>
      </c>
      <c r="Q616" s="77" t="b" cm="1">
        <f t="array" ref="Q616">INDEX(stable[is_multi_select],MATCH(VALUE(questions[[#This Row],[qno]]),VALUE(stable[qno]),0))</f>
        <v>0</v>
      </c>
      <c r="R616" s="77" t="b" cm="1">
        <f t="array" ref="R616">INDEX(stable[is_skip_logic],MATCH(VALUE(questions[[#This Row],[qno]]),VALUE(stable[qno]),0))</f>
        <v>1</v>
      </c>
      <c r="S616" s="77" t="str">
        <f>_xlfn.TEXTJOIN(", ",TRUE,questions[[#This Row],[ans_opt_1]:[ans_opt_14]])</f>
        <v>No, Yes-Terracing, Yes-Trenches, Yes-Windbreaks, Yes-Mulching, Yes-Cover Crops, Yes-Water dykes, Yes-Contour Planting, Yes-A combination of previous practices, Yes-Other practices</v>
      </c>
      <c r="T616" s="77" t="s">
        <v>119</v>
      </c>
      <c r="U616" s="77" t="s">
        <v>351</v>
      </c>
      <c r="V616" s="77" t="s">
        <v>352</v>
      </c>
      <c r="W616" s="77" t="s">
        <v>353</v>
      </c>
      <c r="X616" s="77" t="s">
        <v>354</v>
      </c>
      <c r="Y616" s="77" t="s">
        <v>355</v>
      </c>
      <c r="Z616" s="77" t="s">
        <v>356</v>
      </c>
      <c r="AA616" s="77" t="s">
        <v>357</v>
      </c>
      <c r="AB616" s="77" t="s">
        <v>358</v>
      </c>
      <c r="AC616" s="77" t="s">
        <v>359</v>
      </c>
      <c r="AD616" s="121"/>
      <c r="AE616" s="121"/>
      <c r="AF616" s="121"/>
      <c r="AG616" s="121"/>
      <c r="AH616" s="98" t="b">
        <f>INDEX(stable[q_standard],MATCH(questions[[#This Row],[qno]],stable[qno],0))</f>
        <v>0</v>
      </c>
      <c r="AI616" s="98" t="b">
        <f>INDEX(stable[q_living_income],MATCH(questions[[#This Row],[qno]],stable[qno],0))</f>
        <v>0</v>
      </c>
      <c r="AJ616" s="98" t="b">
        <f>INDEX(stable[q_carbon],MATCH(questions[[#This Row],[qno]],stable[qno],0))</f>
        <v>0</v>
      </c>
      <c r="AK616" s="98" t="b">
        <f>INDEX(stable[q_regen_ag],MATCH(questions[[#This Row],[qno]],stable[qno],0))</f>
        <v>1</v>
      </c>
      <c r="AL616" s="98" t="b">
        <f>COUNTIFS(stable[qno],questions[[#This Row],[qno]])=1</f>
        <v>1</v>
      </c>
      <c r="AM616" s="98" t="b">
        <f>OR(questions[[#This Row],[is_fixed]],questions[[#This Row],[is_localized]],questions[[#This Row],[is_supply_chain_dependent]])</f>
        <v>1</v>
      </c>
      <c r="AN616" s="98" t="b">
        <f>COUNTIFS(questions[[#This Row],[is_automated]:[is_multi_select]],TRUE)=1</f>
        <v>1</v>
      </c>
      <c r="AO616" s="98" t="b">
        <f>IF(questions[[#This Row],[is_fixed]],questions[[#This Row],[question]]=INDEX(stable[question],MATCH(questions[[#This Row],[qno]],stable[qno],0)),TRUE)</f>
        <v>0</v>
      </c>
      <c r="AP616" s="98" t="str">
        <f>LEFT(questions[[#This Row],[question]],similarity_range)</f>
        <v xml:space="preserve">If there is erosion </v>
      </c>
      <c r="AQ616" s="98" t="str">
        <f>LEFT(INDEX(stable[question],MATCH(questions[[#This Row],[qno]],stable[qno],0)),similarity_range)</f>
        <v xml:space="preserve">If there is erosion </v>
      </c>
      <c r="AR616" s="98" t="b">
        <f>questions[[#This Row],[question_first_characters]]=questions[[#This Row],[stability_first_characters]]</f>
        <v>1</v>
      </c>
      <c r="AS616" s="98" t="b">
        <f>IF(OR(questions[[#This Row],[is_single_select]],questions[[#This Row],[is_multi_select]]),NOT(ISBLANK(questions[[#This Row],[answer_opt_combined]])),TRUE)</f>
        <v>1</v>
      </c>
    </row>
    <row r="617" spans="1:45" s="77" customFormat="1" ht="15.75" customHeight="1" x14ac:dyDescent="0.25">
      <c r="A617" s="77" t="str">
        <f>_xlfn.TEXTJOIN("_",TRUE,questions[[#This Row],[origin]:[qno]])</f>
        <v>Rwanda_Arabica_Nestle_Illy_IMPACT_2024_7115</v>
      </c>
      <c r="B617" s="77" t="s">
        <v>719</v>
      </c>
      <c r="C617" s="77" t="s">
        <v>59</v>
      </c>
      <c r="D617" s="77" t="s">
        <v>720</v>
      </c>
      <c r="E617" s="77">
        <v>2024</v>
      </c>
      <c r="F617" s="105" t="s">
        <v>360</v>
      </c>
      <c r="G617" s="78" t="s">
        <v>361</v>
      </c>
      <c r="H617" s="9" t="str" cm="1">
        <f t="array" ref="H617">INDEX(stableR[question],MATCH(VALUE(questions[[#This Row],[qno]]),VALUE(stableR[qno]),0))</f>
        <v>Of the area of your coffee plots with risk of erosion, can you estimate the % or proportion of that area to which you apply anti-erosion measures/control?</v>
      </c>
      <c r="I617" s="9" t="b" cm="1">
        <f t="array" ref="I617">INDEX(stable[is_fixed],MATCH(VALUE(questions[[#This Row],[qno]]),VALUE(stable[qno]),0))</f>
        <v>1</v>
      </c>
      <c r="J617" s="9" t="b" cm="1">
        <f t="array" ref="J617">INDEX(stable[is_localized],MATCH(VALUE(questions[[#This Row],[qno]]),VALUE(stable[qno]),0))</f>
        <v>0</v>
      </c>
      <c r="K617" s="9" t="b" cm="1">
        <f t="array" ref="K617">INDEX(stable[is_supply_chain_dependent],MATCH(VALUE(questions[[#This Row],[qno]]),VALUE(stable[qno]),0))</f>
        <v>0</v>
      </c>
      <c r="L617" s="9" t="b" cm="1">
        <f t="array" ref="L617">INDEX(stable[is_mandatory],MATCH(VALUE(questions[[#This Row],[qno]]),VALUE(stable[qno]),0))</f>
        <v>0</v>
      </c>
      <c r="M617" s="9" t="b" cm="1">
        <f t="array" ref="M617">INDEX(stable[is_automated],MATCH(VALUE(questions[[#This Row],[qno]]),VALUE(stable[qno]),0))</f>
        <v>0</v>
      </c>
      <c r="N617" s="9" t="b" cm="1">
        <f t="array" ref="N617">INDEX(stable[is_free_text],MATCH(VALUE(questions[[#This Row],[qno]]),VALUE(stable[qno]),0))</f>
        <v>0</v>
      </c>
      <c r="O617" s="9" t="b" cm="1">
        <f t="array" ref="O617">INDEX(stable[is_numerical],MATCH(VALUE(questions[[#This Row],[qno]]),VALUE(stable[qno]),0))</f>
        <v>0</v>
      </c>
      <c r="P617" s="77" t="b" cm="1">
        <f t="array" ref="P617">INDEX(stable[is_single_select],MATCH(VALUE(questions[[#This Row],[qno]]),VALUE(stable[qno]),0))</f>
        <v>1</v>
      </c>
      <c r="Q617" s="77" t="b" cm="1">
        <f t="array" ref="Q617">INDEX(stable[is_multi_select],MATCH(VALUE(questions[[#This Row],[qno]]),VALUE(stable[qno]),0))</f>
        <v>0</v>
      </c>
      <c r="R617" s="77" t="b" cm="1">
        <f t="array" ref="R617">INDEX(stable[is_skip_logic],MATCH(VALUE(questions[[#This Row],[qno]]),VALUE(stable[qno]),0))</f>
        <v>1</v>
      </c>
      <c r="S617" s="77" t="str">
        <f>_xlfn.TEXTJOIN(", ",TRUE,questions[[#This Row],[ans_opt_1]:[ans_opt_14]])</f>
        <v>0% - none, 1% to 25% - little to a quarter, 26% to 50% - less than half, 51% to 75% - more than half, 76% to 100% - almost all</v>
      </c>
      <c r="T617" s="77" t="s">
        <v>362</v>
      </c>
      <c r="U617" s="77" t="s">
        <v>338</v>
      </c>
      <c r="V617" s="77" t="s">
        <v>339</v>
      </c>
      <c r="W617" s="77" t="s">
        <v>340</v>
      </c>
      <c r="X617" s="77" t="s">
        <v>341</v>
      </c>
      <c r="AD617" s="121"/>
      <c r="AE617" s="121"/>
      <c r="AF617" s="121"/>
      <c r="AG617" s="121"/>
      <c r="AH617" s="98" t="b">
        <f>INDEX(stable[q_standard],MATCH(questions[[#This Row],[qno]],stable[qno],0))</f>
        <v>0</v>
      </c>
      <c r="AI617" s="98" t="b">
        <f>INDEX(stable[q_living_income],MATCH(questions[[#This Row],[qno]],stable[qno],0))</f>
        <v>0</v>
      </c>
      <c r="AJ617" s="98" t="b">
        <f>INDEX(stable[q_carbon],MATCH(questions[[#This Row],[qno]],stable[qno],0))</f>
        <v>0</v>
      </c>
      <c r="AK617" s="98" t="b">
        <f>INDEX(stable[q_regen_ag],MATCH(questions[[#This Row],[qno]],stable[qno],0))</f>
        <v>1</v>
      </c>
      <c r="AL617" s="98" t="b">
        <f>COUNTIFS(stable[qno],questions[[#This Row],[qno]])=1</f>
        <v>1</v>
      </c>
      <c r="AM617" s="98" t="b">
        <f>OR(questions[[#This Row],[is_fixed]],questions[[#This Row],[is_localized]],questions[[#This Row],[is_supply_chain_dependent]])</f>
        <v>1</v>
      </c>
      <c r="AN617" s="98" t="b">
        <f>COUNTIFS(questions[[#This Row],[is_automated]:[is_multi_select]],TRUE)=1</f>
        <v>1</v>
      </c>
      <c r="AO617" s="98" t="b">
        <f>IF(questions[[#This Row],[is_fixed]],questions[[#This Row],[question]]=INDEX(stable[question],MATCH(questions[[#This Row],[qno]],stable[qno],0)),TRUE)</f>
        <v>1</v>
      </c>
      <c r="AP617" s="98" t="str">
        <f>LEFT(questions[[#This Row],[question]],similarity_range)</f>
        <v xml:space="preserve">Of the area of your </v>
      </c>
      <c r="AQ617" s="98" t="str">
        <f>LEFT(INDEX(stable[question],MATCH(questions[[#This Row],[qno]],stable[qno],0)),similarity_range)</f>
        <v xml:space="preserve">Of the area of your </v>
      </c>
      <c r="AR617" s="98" t="b">
        <f>questions[[#This Row],[question_first_characters]]=questions[[#This Row],[stability_first_characters]]</f>
        <v>1</v>
      </c>
      <c r="AS617" s="98" t="b">
        <f>IF(OR(questions[[#This Row],[is_single_select]],questions[[#This Row],[is_multi_select]]),NOT(ISBLANK(questions[[#This Row],[answer_opt_combined]])),TRUE)</f>
        <v>1</v>
      </c>
    </row>
    <row r="618" spans="1:45" s="77" customFormat="1" ht="15.75" customHeight="1" x14ac:dyDescent="0.25">
      <c r="A618" s="77" t="str">
        <f>_xlfn.TEXTJOIN("_",TRUE,questions[[#This Row],[origin]:[qno]])</f>
        <v>Rwanda_Arabica_Nestle_Illy_IMPACT_2024_7126</v>
      </c>
      <c r="B618" s="77" t="s">
        <v>719</v>
      </c>
      <c r="C618" s="77" t="s">
        <v>59</v>
      </c>
      <c r="D618" s="77" t="s">
        <v>720</v>
      </c>
      <c r="E618" s="77">
        <v>2024</v>
      </c>
      <c r="F618" s="105" t="s">
        <v>363</v>
      </c>
      <c r="G618" s="78" t="s">
        <v>795</v>
      </c>
      <c r="H618" s="9" t="str" cm="1">
        <f t="array" ref="H618">INDEX(stableR[question],MATCH(VALUE(questions[[#This Row],[qno]]),VALUE(stableR[qno]),0))</f>
        <v>Do you take soil samples and carry out soil analysis of your coffee plots and how often?</v>
      </c>
      <c r="I618" s="9" t="b" cm="1">
        <f t="array" ref="I618">INDEX(stable[is_fixed],MATCH(VALUE(questions[[#This Row],[qno]]),VALUE(stable[qno]),0))</f>
        <v>1</v>
      </c>
      <c r="J618" s="9" t="b" cm="1">
        <f t="array" ref="J618">INDEX(stable[is_localized],MATCH(VALUE(questions[[#This Row],[qno]]),VALUE(stable[qno]),0))</f>
        <v>0</v>
      </c>
      <c r="K618" s="9" t="b" cm="1">
        <f t="array" ref="K618">INDEX(stable[is_supply_chain_dependent],MATCH(VALUE(questions[[#This Row],[qno]]),VALUE(stable[qno]),0))</f>
        <v>0</v>
      </c>
      <c r="L618" s="9" t="b" cm="1">
        <f t="array" ref="L618">INDEX(stable[is_mandatory],MATCH(VALUE(questions[[#This Row],[qno]]),VALUE(stable[qno]),0))</f>
        <v>1</v>
      </c>
      <c r="M618" s="9" t="b" cm="1">
        <f t="array" ref="M618">INDEX(stable[is_automated],MATCH(VALUE(questions[[#This Row],[qno]]),VALUE(stable[qno]),0))</f>
        <v>0</v>
      </c>
      <c r="N618" s="9" t="b" cm="1">
        <f t="array" ref="N618">INDEX(stable[is_free_text],MATCH(VALUE(questions[[#This Row],[qno]]),VALUE(stable[qno]),0))</f>
        <v>0</v>
      </c>
      <c r="O618" s="9" t="b" cm="1">
        <f t="array" ref="O618">INDEX(stable[is_numerical],MATCH(VALUE(questions[[#This Row],[qno]]),VALUE(stable[qno]),0))</f>
        <v>0</v>
      </c>
      <c r="P618" s="77" t="b" cm="1">
        <f t="array" ref="P618">INDEX(stable[is_single_select],MATCH(VALUE(questions[[#This Row],[qno]]),VALUE(stable[qno]),0))</f>
        <v>1</v>
      </c>
      <c r="Q618" s="77" t="b" cm="1">
        <f t="array" ref="Q618">INDEX(stable[is_multi_select],MATCH(VALUE(questions[[#This Row],[qno]]),VALUE(stable[qno]),0))</f>
        <v>0</v>
      </c>
      <c r="R618" s="77" t="b" cm="1">
        <f t="array" ref="R618">INDEX(stable[is_skip_logic],MATCH(VALUE(questions[[#This Row],[qno]]),VALUE(stable[qno]),0))</f>
        <v>1</v>
      </c>
      <c r="S618" s="77" t="str">
        <f>_xlfn.TEXTJOIN(", ",TRUE,questions[[#This Row],[ans_opt_1]:[ans_opt_14]])</f>
        <v>No, Yes-every year, Yes-every 2 years, Yes-every 3 years, Yes-every &gt; 3 years</v>
      </c>
      <c r="T618" s="77" t="s">
        <v>119</v>
      </c>
      <c r="U618" s="77" t="s">
        <v>365</v>
      </c>
      <c r="V618" s="77" t="s">
        <v>366</v>
      </c>
      <c r="W618" s="77" t="s">
        <v>367</v>
      </c>
      <c r="X618" s="77" t="s">
        <v>368</v>
      </c>
      <c r="AD618" s="121"/>
      <c r="AE618" s="121"/>
      <c r="AF618" s="121"/>
      <c r="AG618" s="121"/>
      <c r="AH618" s="98" t="b">
        <f>INDEX(stable[q_standard],MATCH(questions[[#This Row],[qno]],stable[qno],0))</f>
        <v>0</v>
      </c>
      <c r="AI618" s="98" t="b">
        <f>INDEX(stable[q_living_income],MATCH(questions[[#This Row],[qno]],stable[qno],0))</f>
        <v>0</v>
      </c>
      <c r="AJ618" s="98" t="b">
        <f>INDEX(stable[q_carbon],MATCH(questions[[#This Row],[qno]],stable[qno],0))</f>
        <v>0</v>
      </c>
      <c r="AK618" s="98" t="b">
        <f>INDEX(stable[q_regen_ag],MATCH(questions[[#This Row],[qno]],stable[qno],0))</f>
        <v>1</v>
      </c>
      <c r="AL618" s="98" t="b">
        <f>COUNTIFS(stable[qno],questions[[#This Row],[qno]])=1</f>
        <v>1</v>
      </c>
      <c r="AM618" s="98" t="b">
        <f>OR(questions[[#This Row],[is_fixed]],questions[[#This Row],[is_localized]],questions[[#This Row],[is_supply_chain_dependent]])</f>
        <v>1</v>
      </c>
      <c r="AN618" s="98" t="b">
        <f>COUNTIFS(questions[[#This Row],[is_automated]:[is_multi_select]],TRUE)=1</f>
        <v>1</v>
      </c>
      <c r="AO618" s="98" t="b">
        <f>IF(questions[[#This Row],[is_fixed]],questions[[#This Row],[question]]=INDEX(stable[question],MATCH(questions[[#This Row],[qno]],stable[qno],0)),TRUE)</f>
        <v>0</v>
      </c>
      <c r="AP618" s="98" t="str">
        <f>LEFT(questions[[#This Row],[question]],similarity_range)</f>
        <v>Do you or someone el</v>
      </c>
      <c r="AQ618" s="98" t="str">
        <f>LEFT(INDEX(stable[question],MATCH(questions[[#This Row],[qno]],stable[qno],0)),similarity_range)</f>
        <v>Do you take soil sam</v>
      </c>
      <c r="AR618" s="98" t="b">
        <f>questions[[#This Row],[question_first_characters]]=questions[[#This Row],[stability_first_characters]]</f>
        <v>0</v>
      </c>
      <c r="AS618" s="98" t="b">
        <f>IF(OR(questions[[#This Row],[is_single_select]],questions[[#This Row],[is_multi_select]]),NOT(ISBLANK(questions[[#This Row],[answer_opt_combined]])),TRUE)</f>
        <v>1</v>
      </c>
    </row>
    <row r="619" spans="1:45" s="77" customFormat="1" ht="15.75" customHeight="1" x14ac:dyDescent="0.25">
      <c r="A619" s="77" t="str">
        <f>_xlfn.TEXTJOIN("_",TRUE,questions[[#This Row],[origin]:[qno]])</f>
        <v>Rwanda_Arabica_Nestle_Illy_IMPACT_2024_7127</v>
      </c>
      <c r="B619" s="77" t="s">
        <v>719</v>
      </c>
      <c r="C619" s="77" t="s">
        <v>59</v>
      </c>
      <c r="D619" s="77" t="s">
        <v>720</v>
      </c>
      <c r="E619" s="77">
        <v>2024</v>
      </c>
      <c r="F619" s="105" t="s">
        <v>369</v>
      </c>
      <c r="G619" s="78" t="s">
        <v>370</v>
      </c>
      <c r="H619" s="9" t="str" cm="1">
        <f t="array" ref="H619">INDEX(stableR[question],MATCH(VALUE(questions[[#This Row],[qno]]),VALUE(stableR[qno]),0))</f>
        <v>If you don´t or last analysis is older than 3 years ago, do you know the basic characteristics of the soil of your coffee plots (e.g. pH-acidity, texture-light/medium/heavy, organic matter-high/good/poor, general fertility-good/average/poor...)?</v>
      </c>
      <c r="I619" s="9" t="b" cm="1">
        <f t="array" ref="I619">INDEX(stable[is_fixed],MATCH(VALUE(questions[[#This Row],[qno]]),VALUE(stable[qno]),0))</f>
        <v>1</v>
      </c>
      <c r="J619" s="9" t="b" cm="1">
        <f t="array" ref="J619">INDEX(stable[is_localized],MATCH(VALUE(questions[[#This Row],[qno]]),VALUE(stable[qno]),0))</f>
        <v>0</v>
      </c>
      <c r="K619" s="9" t="b" cm="1">
        <f t="array" ref="K619">INDEX(stable[is_supply_chain_dependent],MATCH(VALUE(questions[[#This Row],[qno]]),VALUE(stable[qno]),0))</f>
        <v>0</v>
      </c>
      <c r="L619" s="9" t="b" cm="1">
        <f t="array" ref="L619">INDEX(stable[is_mandatory],MATCH(VALUE(questions[[#This Row],[qno]]),VALUE(stable[qno]),0))</f>
        <v>0</v>
      </c>
      <c r="M619" s="9" t="b" cm="1">
        <f t="array" ref="M619">INDEX(stable[is_automated],MATCH(VALUE(questions[[#This Row],[qno]]),VALUE(stable[qno]),0))</f>
        <v>0</v>
      </c>
      <c r="N619" s="9" t="b" cm="1">
        <f t="array" ref="N619">INDEX(stable[is_free_text],MATCH(VALUE(questions[[#This Row],[qno]]),VALUE(stable[qno]),0))</f>
        <v>0</v>
      </c>
      <c r="O619" s="9" t="b" cm="1">
        <f t="array" ref="O619">INDEX(stable[is_numerical],MATCH(VALUE(questions[[#This Row],[qno]]),VALUE(stable[qno]),0))</f>
        <v>0</v>
      </c>
      <c r="P619" s="77" t="b" cm="1">
        <f t="array" ref="P619">INDEX(stable[is_single_select],MATCH(VALUE(questions[[#This Row],[qno]]),VALUE(stable[qno]),0))</f>
        <v>1</v>
      </c>
      <c r="Q619" s="77" t="b" cm="1">
        <f t="array" ref="Q619">INDEX(stable[is_multi_select],MATCH(VALUE(questions[[#This Row],[qno]]),VALUE(stable[qno]),0))</f>
        <v>0</v>
      </c>
      <c r="R619" s="77" t="b" cm="1">
        <f t="array" ref="R619">INDEX(stable[is_skip_logic],MATCH(VALUE(questions[[#This Row],[qno]]),VALUE(stable[qno]),0))</f>
        <v>1</v>
      </c>
      <c r="S619" s="77" t="str">
        <f>_xlfn.TEXTJOIN(", ",TRUE,questions[[#This Row],[ans_opt_1]:[ans_opt_14]])</f>
        <v>Yes, No</v>
      </c>
      <c r="T619" s="77" t="s">
        <v>149</v>
      </c>
      <c r="U619" s="77" t="s">
        <v>119</v>
      </c>
      <c r="AD619" s="121"/>
      <c r="AE619" s="121"/>
      <c r="AF619" s="121"/>
      <c r="AG619" s="121"/>
      <c r="AH619" s="98" t="b">
        <f>INDEX(stable[q_standard],MATCH(questions[[#This Row],[qno]],stable[qno],0))</f>
        <v>0</v>
      </c>
      <c r="AI619" s="98" t="b">
        <f>INDEX(stable[q_living_income],MATCH(questions[[#This Row],[qno]],stable[qno],0))</f>
        <v>0</v>
      </c>
      <c r="AJ619" s="98" t="b">
        <f>INDEX(stable[q_carbon],MATCH(questions[[#This Row],[qno]],stable[qno],0))</f>
        <v>0</v>
      </c>
      <c r="AK619" s="98" t="b">
        <f>INDEX(stable[q_regen_ag],MATCH(questions[[#This Row],[qno]],stable[qno],0))</f>
        <v>1</v>
      </c>
      <c r="AL619" s="98" t="b">
        <f>COUNTIFS(stable[qno],questions[[#This Row],[qno]])=1</f>
        <v>1</v>
      </c>
      <c r="AM619" s="98" t="b">
        <f>OR(questions[[#This Row],[is_fixed]],questions[[#This Row],[is_localized]],questions[[#This Row],[is_supply_chain_dependent]])</f>
        <v>1</v>
      </c>
      <c r="AN619" s="98" t="b">
        <f>COUNTIFS(questions[[#This Row],[is_automated]:[is_multi_select]],TRUE)=1</f>
        <v>1</v>
      </c>
      <c r="AO619" s="98" t="b">
        <f>IF(questions[[#This Row],[is_fixed]],questions[[#This Row],[question]]=INDEX(stable[question],MATCH(questions[[#This Row],[qno]],stable[qno],0)),TRUE)</f>
        <v>1</v>
      </c>
      <c r="AP619" s="98" t="str">
        <f>LEFT(questions[[#This Row],[question]],similarity_range)</f>
        <v>If you don´t or last</v>
      </c>
      <c r="AQ619" s="98" t="str">
        <f>LEFT(INDEX(stable[question],MATCH(questions[[#This Row],[qno]],stable[qno],0)),similarity_range)</f>
        <v>If you don´t or last</v>
      </c>
      <c r="AR619" s="98" t="b">
        <f>questions[[#This Row],[question_first_characters]]=questions[[#This Row],[stability_first_characters]]</f>
        <v>1</v>
      </c>
      <c r="AS619" s="98" t="b">
        <f>IF(OR(questions[[#This Row],[is_single_select]],questions[[#This Row],[is_multi_select]]),NOT(ISBLANK(questions[[#This Row],[answer_opt_combined]])),TRUE)</f>
        <v>1</v>
      </c>
    </row>
    <row r="620" spans="1:45" s="77" customFormat="1" ht="15.75" customHeight="1" x14ac:dyDescent="0.25">
      <c r="A620" s="77" t="str">
        <f>_xlfn.TEXTJOIN("_",TRUE,questions[[#This Row],[origin]:[qno]])</f>
        <v>Rwanda_Arabica_Nestle_Illy_IMPACT_2024_7128</v>
      </c>
      <c r="B620" s="77" t="s">
        <v>719</v>
      </c>
      <c r="C620" s="77" t="s">
        <v>59</v>
      </c>
      <c r="D620" s="77" t="s">
        <v>720</v>
      </c>
      <c r="E620" s="77">
        <v>2024</v>
      </c>
      <c r="F620" s="105" t="s">
        <v>371</v>
      </c>
      <c r="G620" s="78" t="s">
        <v>372</v>
      </c>
      <c r="H620" s="9" t="str" cm="1">
        <f t="array" ref="H620">INDEX(stableR[question],MATCH(VALUE(questions[[#This Row],[qno]]),VALUE(stableR[qno]),0))</f>
        <v>What is the most common system to determine the amount and/or the type of organic and synthetic fertilizers that you use in your coffee crop?</v>
      </c>
      <c r="I620" s="9" t="b" cm="1">
        <f t="array" ref="I620">INDEX(stable[is_fixed],MATCH(VALUE(questions[[#This Row],[qno]]),VALUE(stable[qno]),0))</f>
        <v>1</v>
      </c>
      <c r="J620" s="9" t="b" cm="1">
        <f t="array" ref="J620">INDEX(stable[is_localized],MATCH(VALUE(questions[[#This Row],[qno]]),VALUE(stable[qno]),0))</f>
        <v>0</v>
      </c>
      <c r="K620" s="9" t="b" cm="1">
        <f t="array" ref="K620">INDEX(stable[is_supply_chain_dependent],MATCH(VALUE(questions[[#This Row],[qno]]),VALUE(stable[qno]),0))</f>
        <v>0</v>
      </c>
      <c r="L620" s="9" t="b" cm="1">
        <f t="array" ref="L620">INDEX(stable[is_mandatory],MATCH(VALUE(questions[[#This Row],[qno]]),VALUE(stable[qno]),0))</f>
        <v>1</v>
      </c>
      <c r="M620" s="9" t="b" cm="1">
        <f t="array" ref="M620">INDEX(stable[is_automated],MATCH(VALUE(questions[[#This Row],[qno]]),VALUE(stable[qno]),0))</f>
        <v>0</v>
      </c>
      <c r="N620" s="9" t="b" cm="1">
        <f t="array" ref="N620">INDEX(stable[is_free_text],MATCH(VALUE(questions[[#This Row],[qno]]),VALUE(stable[qno]),0))</f>
        <v>0</v>
      </c>
      <c r="O620" s="9" t="b" cm="1">
        <f t="array" ref="O620">INDEX(stable[is_numerical],MATCH(VALUE(questions[[#This Row],[qno]]),VALUE(stable[qno]),0))</f>
        <v>0</v>
      </c>
      <c r="P620" s="77" t="b" cm="1">
        <f t="array" ref="P620">INDEX(stable[is_single_select],MATCH(VALUE(questions[[#This Row],[qno]]),VALUE(stable[qno]),0))</f>
        <v>1</v>
      </c>
      <c r="Q620" s="77" t="b" cm="1">
        <f t="array" ref="Q620">INDEX(stable[is_multi_select],MATCH(VALUE(questions[[#This Row],[qno]]),VALUE(stable[qno]),0))</f>
        <v>0</v>
      </c>
      <c r="R620" s="77" t="b" cm="1">
        <f t="array" ref="R620">INDEX(stable[is_skip_logic],MATCH(VALUE(questions[[#This Row],[qno]]),VALUE(stable[qno]),0))</f>
        <v>0</v>
      </c>
      <c r="S620" s="77" t="str">
        <f>_xlfn.TEXTJOIN(", ",TRUE,questions[[#This Row],[ans_opt_1]:[ans_opt_14]])</f>
        <v>Based on my own judgment-experience, Based on what I can afford, I always use the same fertilization, Based on soil analysis or soil knowledge, Based on soil analysis or soil knowledge and the expected yield of the crop, Based on recommendations from experts (agronomists, field officers, extension services...) , Based on recommendations from input suppliers, I don't use organic or synthetic fertilizers, based on other reasons then the above options</v>
      </c>
      <c r="T620" s="77" t="s">
        <v>373</v>
      </c>
      <c r="U620" s="77" t="s">
        <v>374</v>
      </c>
      <c r="V620" s="77" t="s">
        <v>375</v>
      </c>
      <c r="W620" s="77" t="s">
        <v>376</v>
      </c>
      <c r="X620" s="77" t="s">
        <v>377</v>
      </c>
      <c r="Y620" s="77" t="s">
        <v>796</v>
      </c>
      <c r="Z620" s="77" t="s">
        <v>379</v>
      </c>
      <c r="AA620" s="77" t="s">
        <v>380</v>
      </c>
      <c r="AD620" s="121"/>
      <c r="AE620" s="121"/>
      <c r="AF620" s="121"/>
      <c r="AG620" s="121"/>
      <c r="AH620" s="98" t="b">
        <f>INDEX(stable[q_standard],MATCH(questions[[#This Row],[qno]],stable[qno],0))</f>
        <v>0</v>
      </c>
      <c r="AI620" s="98" t="b">
        <f>INDEX(stable[q_living_income],MATCH(questions[[#This Row],[qno]],stable[qno],0))</f>
        <v>0</v>
      </c>
      <c r="AJ620" s="98" t="b">
        <f>INDEX(stable[q_carbon],MATCH(questions[[#This Row],[qno]],stable[qno],0))</f>
        <v>0</v>
      </c>
      <c r="AK620" s="98" t="b">
        <f>INDEX(stable[q_regen_ag],MATCH(questions[[#This Row],[qno]],stable[qno],0))</f>
        <v>1</v>
      </c>
      <c r="AL620" s="98" t="b">
        <f>COUNTIFS(stable[qno],questions[[#This Row],[qno]])=1</f>
        <v>1</v>
      </c>
      <c r="AM620" s="98" t="b">
        <f>OR(questions[[#This Row],[is_fixed]],questions[[#This Row],[is_localized]],questions[[#This Row],[is_supply_chain_dependent]])</f>
        <v>1</v>
      </c>
      <c r="AN620" s="98" t="b">
        <f>COUNTIFS(questions[[#This Row],[is_automated]:[is_multi_select]],TRUE)=1</f>
        <v>1</v>
      </c>
      <c r="AO620" s="98" t="b">
        <f>IF(questions[[#This Row],[is_fixed]],questions[[#This Row],[question]]=INDEX(stable[question],MATCH(questions[[#This Row],[qno]],stable[qno],0)),TRUE)</f>
        <v>1</v>
      </c>
      <c r="AP620" s="98" t="str">
        <f>LEFT(questions[[#This Row],[question]],similarity_range)</f>
        <v>What is the most com</v>
      </c>
      <c r="AQ620" s="98" t="str">
        <f>LEFT(INDEX(stable[question],MATCH(questions[[#This Row],[qno]],stable[qno],0)),similarity_range)</f>
        <v>What is the most com</v>
      </c>
      <c r="AR620" s="98" t="b">
        <f>questions[[#This Row],[question_first_characters]]=questions[[#This Row],[stability_first_characters]]</f>
        <v>1</v>
      </c>
      <c r="AS620" s="98" t="b">
        <f>IF(OR(questions[[#This Row],[is_single_select]],questions[[#This Row],[is_multi_select]]),NOT(ISBLANK(questions[[#This Row],[answer_opt_combined]])),TRUE)</f>
        <v>1</v>
      </c>
    </row>
    <row r="621" spans="1:45" s="77" customFormat="1" ht="15.75" customHeight="1" x14ac:dyDescent="0.25">
      <c r="A621" s="77" t="str">
        <f>_xlfn.TEXTJOIN("_",TRUE,questions[[#This Row],[origin]:[qno]])</f>
        <v>Rwanda_Arabica_Nestle_Illy_IMPACT_2024_7131</v>
      </c>
      <c r="B621" s="77" t="s">
        <v>719</v>
      </c>
      <c r="C621" s="77" t="s">
        <v>59</v>
      </c>
      <c r="D621" s="77" t="s">
        <v>720</v>
      </c>
      <c r="E621" s="77">
        <v>2024</v>
      </c>
      <c r="F621" s="105" t="s">
        <v>381</v>
      </c>
      <c r="G621" s="78" t="s">
        <v>382</v>
      </c>
      <c r="H621" s="9" t="str" cm="1">
        <f t="array" ref="H621">INDEX(stableR[question],MATCH(VALUE(questions[[#This Row],[qno]]),VALUE(stableR[qno]),0))</f>
        <v>How often do you apply synthetic fertilizer per season in your coffee crop?</v>
      </c>
      <c r="I621" s="9" t="b" cm="1">
        <f t="array" ref="I621">INDEX(stable[is_fixed],MATCH(VALUE(questions[[#This Row],[qno]]),VALUE(stable[qno]),0))</f>
        <v>1</v>
      </c>
      <c r="J621" s="9" t="b" cm="1">
        <f t="array" ref="J621">INDEX(stable[is_localized],MATCH(VALUE(questions[[#This Row],[qno]]),VALUE(stable[qno]),0))</f>
        <v>0</v>
      </c>
      <c r="K621" s="9" t="b" cm="1">
        <f t="array" ref="K621">INDEX(stable[is_supply_chain_dependent],MATCH(VALUE(questions[[#This Row],[qno]]),VALUE(stable[qno]),0))</f>
        <v>0</v>
      </c>
      <c r="L621" s="9" t="b" cm="1">
        <f t="array" ref="L621">INDEX(stable[is_mandatory],MATCH(VALUE(questions[[#This Row],[qno]]),VALUE(stable[qno]),0))</f>
        <v>1</v>
      </c>
      <c r="M621" s="9" t="b" cm="1">
        <f t="array" ref="M621">INDEX(stable[is_automated],MATCH(VALUE(questions[[#This Row],[qno]]),VALUE(stable[qno]),0))</f>
        <v>0</v>
      </c>
      <c r="N621" s="9" t="b" cm="1">
        <f t="array" ref="N621">INDEX(stable[is_free_text],MATCH(VALUE(questions[[#This Row],[qno]]),VALUE(stable[qno]),0))</f>
        <v>0</v>
      </c>
      <c r="O621" s="9" t="b" cm="1">
        <f t="array" ref="O621">INDEX(stable[is_numerical],MATCH(VALUE(questions[[#This Row],[qno]]),VALUE(stable[qno]),0))</f>
        <v>0</v>
      </c>
      <c r="P621" s="77" t="b" cm="1">
        <f t="array" ref="P621">INDEX(stable[is_single_select],MATCH(VALUE(questions[[#This Row],[qno]]),VALUE(stable[qno]),0))</f>
        <v>1</v>
      </c>
      <c r="Q621" s="77" t="b" cm="1">
        <f t="array" ref="Q621">INDEX(stable[is_multi_select],MATCH(VALUE(questions[[#This Row],[qno]]),VALUE(stable[qno]),0))</f>
        <v>0</v>
      </c>
      <c r="R621" s="77" t="b" cm="1">
        <f t="array" ref="R621">INDEX(stable[is_skip_logic],MATCH(VALUE(questions[[#This Row],[qno]]),VALUE(stable[qno]),0))</f>
        <v>0</v>
      </c>
      <c r="S621" s="77" t="str">
        <f>_xlfn.TEXTJOIN(", ",TRUE,questions[[#This Row],[ans_opt_1]:[ans_opt_14]])</f>
        <v>I don't apply, I apply once per season, I apply multiple times throughout the season</v>
      </c>
      <c r="T621" s="77" t="s">
        <v>383</v>
      </c>
      <c r="U621" s="77" t="s">
        <v>384</v>
      </c>
      <c r="V621" s="77" t="s">
        <v>385</v>
      </c>
      <c r="AD621" s="121"/>
      <c r="AE621" s="121"/>
      <c r="AF621" s="121"/>
      <c r="AG621" s="121"/>
      <c r="AH621" s="98" t="b">
        <f>INDEX(stable[q_standard],MATCH(questions[[#This Row],[qno]],stable[qno],0))</f>
        <v>0</v>
      </c>
      <c r="AI621" s="98" t="b">
        <f>INDEX(stable[q_living_income],MATCH(questions[[#This Row],[qno]],stable[qno],0))</f>
        <v>0</v>
      </c>
      <c r="AJ621" s="98" t="b">
        <f>INDEX(stable[q_carbon],MATCH(questions[[#This Row],[qno]],stable[qno],0))</f>
        <v>0</v>
      </c>
      <c r="AK621" s="98" t="b">
        <f>INDEX(stable[q_regen_ag],MATCH(questions[[#This Row],[qno]],stable[qno],0))</f>
        <v>1</v>
      </c>
      <c r="AL621" s="98" t="b">
        <f>COUNTIFS(stable[qno],questions[[#This Row],[qno]])=1</f>
        <v>1</v>
      </c>
      <c r="AM621" s="98" t="b">
        <f>OR(questions[[#This Row],[is_fixed]],questions[[#This Row],[is_localized]],questions[[#This Row],[is_supply_chain_dependent]])</f>
        <v>1</v>
      </c>
      <c r="AN621" s="98" t="b">
        <f>COUNTIFS(questions[[#This Row],[is_automated]:[is_multi_select]],TRUE)=1</f>
        <v>1</v>
      </c>
      <c r="AO621" s="98" t="b">
        <f>IF(questions[[#This Row],[is_fixed]],questions[[#This Row],[question]]=INDEX(stable[question],MATCH(questions[[#This Row],[qno]],stable[qno],0)),TRUE)</f>
        <v>1</v>
      </c>
      <c r="AP621" s="98" t="str">
        <f>LEFT(questions[[#This Row],[question]],similarity_range)</f>
        <v>How often do you app</v>
      </c>
      <c r="AQ621" s="98" t="str">
        <f>LEFT(INDEX(stable[question],MATCH(questions[[#This Row],[qno]],stable[qno],0)),similarity_range)</f>
        <v>How often do you app</v>
      </c>
      <c r="AR621" s="98" t="b">
        <f>questions[[#This Row],[question_first_characters]]=questions[[#This Row],[stability_first_characters]]</f>
        <v>1</v>
      </c>
      <c r="AS621" s="98" t="b">
        <f>IF(OR(questions[[#This Row],[is_single_select]],questions[[#This Row],[is_multi_select]]),NOT(ISBLANK(questions[[#This Row],[answer_opt_combined]])),TRUE)</f>
        <v>1</v>
      </c>
    </row>
    <row r="622" spans="1:45" s="77" customFormat="1" ht="15.75" customHeight="1" x14ac:dyDescent="0.25">
      <c r="A622" s="77" t="str">
        <f>_xlfn.TEXTJOIN("_",TRUE,questions[[#This Row],[origin]:[qno]])</f>
        <v>Rwanda_Arabica_Nestle_Illy_IMPACT_2024_7132</v>
      </c>
      <c r="B622" s="77" t="s">
        <v>719</v>
      </c>
      <c r="C622" s="77" t="s">
        <v>59</v>
      </c>
      <c r="D622" s="77" t="s">
        <v>720</v>
      </c>
      <c r="E622" s="77">
        <v>2024</v>
      </c>
      <c r="F622" s="105" t="s">
        <v>386</v>
      </c>
      <c r="G622" s="78" t="s">
        <v>387</v>
      </c>
      <c r="H622" s="9" t="str" cm="1">
        <f t="array" ref="H622">INDEX(stableR[question],MATCH(VALUE(questions[[#This Row],[qno]]),VALUE(stableR[qno]),0))</f>
        <v>How do you apply the organic and synthetic fertilizers to the coffee trees in the coffee plots?</v>
      </c>
      <c r="I622" s="9" t="b" cm="1">
        <f t="array" ref="I622">INDEX(stable[is_fixed],MATCH(VALUE(questions[[#This Row],[qno]]),VALUE(stable[qno]),0))</f>
        <v>1</v>
      </c>
      <c r="J622" s="9" t="b" cm="1">
        <f t="array" ref="J622">INDEX(stable[is_localized],MATCH(VALUE(questions[[#This Row],[qno]]),VALUE(stable[qno]),0))</f>
        <v>0</v>
      </c>
      <c r="K622" s="9" t="b" cm="1">
        <f t="array" ref="K622">INDEX(stable[is_supply_chain_dependent],MATCH(VALUE(questions[[#This Row],[qno]]),VALUE(stable[qno]),0))</f>
        <v>0</v>
      </c>
      <c r="L622" s="9" t="b" cm="1">
        <f t="array" ref="L622">INDEX(stable[is_mandatory],MATCH(VALUE(questions[[#This Row],[qno]]),VALUE(stable[qno]),0))</f>
        <v>0</v>
      </c>
      <c r="M622" s="9" t="b" cm="1">
        <f t="array" ref="M622">INDEX(stable[is_automated],MATCH(VALUE(questions[[#This Row],[qno]]),VALUE(stable[qno]),0))</f>
        <v>0</v>
      </c>
      <c r="N622" s="9" t="b" cm="1">
        <f t="array" ref="N622">INDEX(stable[is_free_text],MATCH(VALUE(questions[[#This Row],[qno]]),VALUE(stable[qno]),0))</f>
        <v>0</v>
      </c>
      <c r="O622" s="9" t="b" cm="1">
        <f t="array" ref="O622">INDEX(stable[is_numerical],MATCH(VALUE(questions[[#This Row],[qno]]),VALUE(stable[qno]),0))</f>
        <v>0</v>
      </c>
      <c r="P622" s="77" t="b" cm="1">
        <f t="array" ref="P622">INDEX(stable[is_single_select],MATCH(VALUE(questions[[#This Row],[qno]]),VALUE(stable[qno]),0))</f>
        <v>1</v>
      </c>
      <c r="Q622" s="77" t="b" cm="1">
        <f t="array" ref="Q622">INDEX(stable[is_multi_select],MATCH(VALUE(questions[[#This Row],[qno]]),VALUE(stable[qno]),0))</f>
        <v>0</v>
      </c>
      <c r="R622" s="77" t="b" cm="1">
        <f t="array" ref="R622">INDEX(stable[is_skip_logic],MATCH(VALUE(questions[[#This Row],[qno]]),VALUE(stable[qno]),0))</f>
        <v>0</v>
      </c>
      <c r="S622" s="77" t="str">
        <f>_xlfn.TEXTJOIN(", ",TRUE,questions[[#This Row],[ans_opt_1]:[ans_opt_14]])</f>
        <v>Around the tree , In bands close to the trees, Broadcasted in all the field, Through the irrigation system (e.g. drip)</v>
      </c>
      <c r="T622" s="77" t="s">
        <v>797</v>
      </c>
      <c r="U622" s="77" t="s">
        <v>389</v>
      </c>
      <c r="V622" s="77" t="s">
        <v>390</v>
      </c>
      <c r="W622" s="77" t="s">
        <v>391</v>
      </c>
      <c r="AD622" s="121"/>
      <c r="AE622" s="121"/>
      <c r="AF622" s="121"/>
      <c r="AG622" s="121"/>
      <c r="AH622" s="98" t="b">
        <f>INDEX(stable[q_standard],MATCH(questions[[#This Row],[qno]],stable[qno],0))</f>
        <v>0</v>
      </c>
      <c r="AI622" s="98" t="b">
        <f>INDEX(stable[q_living_income],MATCH(questions[[#This Row],[qno]],stable[qno],0))</f>
        <v>0</v>
      </c>
      <c r="AJ622" s="98" t="b">
        <f>INDEX(stable[q_carbon],MATCH(questions[[#This Row],[qno]],stable[qno],0))</f>
        <v>0</v>
      </c>
      <c r="AK622" s="98" t="b">
        <f>INDEX(stable[q_regen_ag],MATCH(questions[[#This Row],[qno]],stable[qno],0))</f>
        <v>1</v>
      </c>
      <c r="AL622" s="98" t="b">
        <f>COUNTIFS(stable[qno],questions[[#This Row],[qno]])=1</f>
        <v>1</v>
      </c>
      <c r="AM622" s="98" t="b">
        <f>OR(questions[[#This Row],[is_fixed]],questions[[#This Row],[is_localized]],questions[[#This Row],[is_supply_chain_dependent]])</f>
        <v>1</v>
      </c>
      <c r="AN622" s="98" t="b">
        <f>COUNTIFS(questions[[#This Row],[is_automated]:[is_multi_select]],TRUE)=1</f>
        <v>1</v>
      </c>
      <c r="AO622" s="98" t="b">
        <f>IF(questions[[#This Row],[is_fixed]],questions[[#This Row],[question]]=INDEX(stable[question],MATCH(questions[[#This Row],[qno]],stable[qno],0)),TRUE)</f>
        <v>1</v>
      </c>
      <c r="AP622" s="98" t="str">
        <f>LEFT(questions[[#This Row],[question]],similarity_range)</f>
        <v>How do you apply the</v>
      </c>
      <c r="AQ622" s="98" t="str">
        <f>LEFT(INDEX(stable[question],MATCH(questions[[#This Row],[qno]],stable[qno],0)),similarity_range)</f>
        <v>How do you apply the</v>
      </c>
      <c r="AR622" s="98" t="b">
        <f>questions[[#This Row],[question_first_characters]]=questions[[#This Row],[stability_first_characters]]</f>
        <v>1</v>
      </c>
      <c r="AS622" s="98" t="b">
        <f>IF(OR(questions[[#This Row],[is_single_select]],questions[[#This Row],[is_multi_select]]),NOT(ISBLANK(questions[[#This Row],[answer_opt_combined]])),TRUE)</f>
        <v>1</v>
      </c>
    </row>
    <row r="623" spans="1:45" s="77" customFormat="1" ht="15.75" customHeight="1" x14ac:dyDescent="0.25">
      <c r="A623" s="77" t="str">
        <f>_xlfn.TEXTJOIN("_",TRUE,questions[[#This Row],[origin]:[qno]])</f>
        <v>Rwanda_Arabica_Nestle_Illy_IMPACT_2024_7133</v>
      </c>
      <c r="B623" s="77" t="s">
        <v>719</v>
      </c>
      <c r="C623" s="77" t="s">
        <v>59</v>
      </c>
      <c r="D623" s="77" t="s">
        <v>720</v>
      </c>
      <c r="E623" s="77">
        <v>2024</v>
      </c>
      <c r="F623" s="105" t="s">
        <v>392</v>
      </c>
      <c r="G623" s="78" t="s">
        <v>798</v>
      </c>
      <c r="H623" s="9" t="str" cm="1">
        <f t="array" ref="H623">INDEX(stableR[question],MATCH(VALUE(questions[[#This Row],[qno]]),VALUE(stableR[qno]),0))</f>
        <v>Do you know the 4R principles of using organic and synthetic fertilizers in crops (Right Amount, Right Product, Right Time, Right Place)?</v>
      </c>
      <c r="I623" s="9" t="b" cm="1">
        <f t="array" ref="I623">INDEX(stable[is_fixed],MATCH(VALUE(questions[[#This Row],[qno]]),VALUE(stable[qno]),0))</f>
        <v>1</v>
      </c>
      <c r="J623" s="9" t="b" cm="1">
        <f t="array" ref="J623">INDEX(stable[is_localized],MATCH(VALUE(questions[[#This Row],[qno]]),VALUE(stable[qno]),0))</f>
        <v>0</v>
      </c>
      <c r="K623" s="9" t="b" cm="1">
        <f t="array" ref="K623">INDEX(stable[is_supply_chain_dependent],MATCH(VALUE(questions[[#This Row],[qno]]),VALUE(stable[qno]),0))</f>
        <v>0</v>
      </c>
      <c r="L623" s="9" t="b" cm="1">
        <f t="array" ref="L623">INDEX(stable[is_mandatory],MATCH(VALUE(questions[[#This Row],[qno]]),VALUE(stable[qno]),0))</f>
        <v>1</v>
      </c>
      <c r="M623" s="9" t="b" cm="1">
        <f t="array" ref="M623">INDEX(stable[is_automated],MATCH(VALUE(questions[[#This Row],[qno]]),VALUE(stable[qno]),0))</f>
        <v>0</v>
      </c>
      <c r="N623" s="9" t="b" cm="1">
        <f t="array" ref="N623">INDEX(stable[is_free_text],MATCH(VALUE(questions[[#This Row],[qno]]),VALUE(stable[qno]),0))</f>
        <v>0</v>
      </c>
      <c r="O623" s="9" t="b" cm="1">
        <f t="array" ref="O623">INDEX(stable[is_numerical],MATCH(VALUE(questions[[#This Row],[qno]]),VALUE(stable[qno]),0))</f>
        <v>0</v>
      </c>
      <c r="P623" s="77" t="b" cm="1">
        <f t="array" ref="P623">INDEX(stable[is_single_select],MATCH(VALUE(questions[[#This Row],[qno]]),VALUE(stable[qno]),0))</f>
        <v>1</v>
      </c>
      <c r="Q623" s="77" t="b" cm="1">
        <f t="array" ref="Q623">INDEX(stable[is_multi_select],MATCH(VALUE(questions[[#This Row],[qno]]),VALUE(stable[qno]),0))</f>
        <v>0</v>
      </c>
      <c r="R623" s="77" t="b" cm="1">
        <f t="array" ref="R623">INDEX(stable[is_skip_logic],MATCH(VALUE(questions[[#This Row],[qno]]),VALUE(stable[qno]),0))</f>
        <v>0</v>
      </c>
      <c r="S623" s="77" t="str">
        <f>_xlfn.TEXTJOIN(", ",TRUE,questions[[#This Row],[ans_opt_1]:[ans_opt_14]])</f>
        <v>Yes, No</v>
      </c>
      <c r="T623" s="77" t="s">
        <v>149</v>
      </c>
      <c r="U623" s="77" t="s">
        <v>119</v>
      </c>
      <c r="AD623" s="121"/>
      <c r="AE623" s="121"/>
      <c r="AF623" s="121"/>
      <c r="AG623" s="121"/>
      <c r="AH623" s="98" t="b">
        <f>INDEX(stable[q_standard],MATCH(questions[[#This Row],[qno]],stable[qno],0))</f>
        <v>0</v>
      </c>
      <c r="AI623" s="98" t="b">
        <f>INDEX(stable[q_living_income],MATCH(questions[[#This Row],[qno]],stable[qno],0))</f>
        <v>0</v>
      </c>
      <c r="AJ623" s="98" t="b">
        <f>INDEX(stable[q_carbon],MATCH(questions[[#This Row],[qno]],stable[qno],0))</f>
        <v>0</v>
      </c>
      <c r="AK623" s="98" t="b">
        <f>INDEX(stable[q_regen_ag],MATCH(questions[[#This Row],[qno]],stable[qno],0))</f>
        <v>1</v>
      </c>
      <c r="AL623" s="98" t="b">
        <f>COUNTIFS(stable[qno],questions[[#This Row],[qno]])=1</f>
        <v>1</v>
      </c>
      <c r="AM623" s="98" t="b">
        <f>OR(questions[[#This Row],[is_fixed]],questions[[#This Row],[is_localized]],questions[[#This Row],[is_supply_chain_dependent]])</f>
        <v>1</v>
      </c>
      <c r="AN623" s="98" t="b">
        <f>COUNTIFS(questions[[#This Row],[is_automated]:[is_multi_select]],TRUE)=1</f>
        <v>1</v>
      </c>
      <c r="AO623" s="98" t="b">
        <f>IF(questions[[#This Row],[is_fixed]],questions[[#This Row],[question]]=INDEX(stable[question],MATCH(questions[[#This Row],[qno]],stable[qno],0)),TRUE)</f>
        <v>0</v>
      </c>
      <c r="AP623" s="98" t="str">
        <f>LEFT(questions[[#This Row],[question]],similarity_range)</f>
        <v>Do you know the 4R p</v>
      </c>
      <c r="AQ623" s="98" t="str">
        <f>LEFT(INDEX(stable[question],MATCH(questions[[#This Row],[qno]],stable[qno],0)),similarity_range)</f>
        <v>Do you know the 4R p</v>
      </c>
      <c r="AR623" s="98" t="b">
        <f>questions[[#This Row],[question_first_characters]]=questions[[#This Row],[stability_first_characters]]</f>
        <v>1</v>
      </c>
      <c r="AS623" s="98" t="b">
        <f>IF(OR(questions[[#This Row],[is_single_select]],questions[[#This Row],[is_multi_select]]),NOT(ISBLANK(questions[[#This Row],[answer_opt_combined]])),TRUE)</f>
        <v>1</v>
      </c>
    </row>
    <row r="624" spans="1:45" s="77" customFormat="1" ht="15.75" customHeight="1" x14ac:dyDescent="0.25">
      <c r="A624" s="77" t="str">
        <f>_xlfn.TEXTJOIN("_",TRUE,questions[[#This Row],[origin]:[qno]])</f>
        <v>Rwanda_Arabica_Nestle_Illy_IMPACT_2024_7240</v>
      </c>
      <c r="B624" s="77" t="s">
        <v>719</v>
      </c>
      <c r="C624" s="77" t="s">
        <v>59</v>
      </c>
      <c r="D624" s="77" t="s">
        <v>720</v>
      </c>
      <c r="E624" s="77">
        <v>2024</v>
      </c>
      <c r="F624" s="105" t="s">
        <v>394</v>
      </c>
      <c r="G624" s="78" t="s">
        <v>799</v>
      </c>
      <c r="H624" s="9" t="str" cm="1">
        <f t="array" ref="H624">INDEX(stableR[question],MATCH(VALUE(questions[[#This Row],[qno]]),VALUE(stableR[qno]),0))</f>
        <v>Do you apply chemical PPPs (plant protection products) like pesticides/fungicides/nematicides in your coffee crop, and how many different active ingredients per crop season?</v>
      </c>
      <c r="I624" s="9" t="b" cm="1">
        <f t="array" ref="I624">INDEX(stable[is_fixed],MATCH(VALUE(questions[[#This Row],[qno]]),VALUE(stable[qno]),0))</f>
        <v>1</v>
      </c>
      <c r="J624" s="9" t="b" cm="1">
        <f t="array" ref="J624">INDEX(stable[is_localized],MATCH(VALUE(questions[[#This Row],[qno]]),VALUE(stable[qno]),0))</f>
        <v>0</v>
      </c>
      <c r="K624" s="9" t="b" cm="1">
        <f t="array" ref="K624">INDEX(stable[is_supply_chain_dependent],MATCH(VALUE(questions[[#This Row],[qno]]),VALUE(stable[qno]),0))</f>
        <v>0</v>
      </c>
      <c r="L624" s="9" t="b" cm="1">
        <f t="array" ref="L624">INDEX(stable[is_mandatory],MATCH(VALUE(questions[[#This Row],[qno]]),VALUE(stable[qno]),0))</f>
        <v>1</v>
      </c>
      <c r="M624" s="9" t="b" cm="1">
        <f t="array" ref="M624">INDEX(stable[is_automated],MATCH(VALUE(questions[[#This Row],[qno]]),VALUE(stable[qno]),0))</f>
        <v>0</v>
      </c>
      <c r="N624" s="9" t="b" cm="1">
        <f t="array" ref="N624">INDEX(stable[is_free_text],MATCH(VALUE(questions[[#This Row],[qno]]),VALUE(stable[qno]),0))</f>
        <v>0</v>
      </c>
      <c r="O624" s="9" t="b" cm="1">
        <f t="array" ref="O624">INDEX(stable[is_numerical],MATCH(VALUE(questions[[#This Row],[qno]]),VALUE(stable[qno]),0))</f>
        <v>0</v>
      </c>
      <c r="P624" s="77" t="b" cm="1">
        <f t="array" ref="P624">INDEX(stable[is_single_select],MATCH(VALUE(questions[[#This Row],[qno]]),VALUE(stable[qno]),0))</f>
        <v>1</v>
      </c>
      <c r="Q624" s="77" t="b" cm="1">
        <f t="array" ref="Q624">INDEX(stable[is_multi_select],MATCH(VALUE(questions[[#This Row],[qno]]),VALUE(stable[qno]),0))</f>
        <v>0</v>
      </c>
      <c r="R624" s="77" t="b" cm="1">
        <f t="array" ref="R624">INDEX(stable[is_skip_logic],MATCH(VALUE(questions[[#This Row],[qno]]),VALUE(stable[qno]),0))</f>
        <v>1</v>
      </c>
      <c r="S624" s="77" t="str">
        <f>_xlfn.TEXTJOIN(", ",TRUE,questions[[#This Row],[ans_opt_1]:[ans_opt_14]])</f>
        <v>Yes, No</v>
      </c>
      <c r="T624" s="77" t="s">
        <v>149</v>
      </c>
      <c r="U624" s="77" t="s">
        <v>119</v>
      </c>
      <c r="AD624" s="121"/>
      <c r="AE624" s="121"/>
      <c r="AF624" s="121"/>
      <c r="AG624" s="121"/>
      <c r="AH624" s="98" t="b">
        <f>INDEX(stable[q_standard],MATCH(questions[[#This Row],[qno]],stable[qno],0))</f>
        <v>0</v>
      </c>
      <c r="AI624" s="98" t="b">
        <f>INDEX(stable[q_living_income],MATCH(questions[[#This Row],[qno]],stable[qno],0))</f>
        <v>0</v>
      </c>
      <c r="AJ624" s="98" t="b">
        <f>INDEX(stable[q_carbon],MATCH(questions[[#This Row],[qno]],stable[qno],0))</f>
        <v>0</v>
      </c>
      <c r="AK624" s="98" t="b">
        <f>INDEX(stable[q_regen_ag],MATCH(questions[[#This Row],[qno]],stable[qno],0))</f>
        <v>1</v>
      </c>
      <c r="AL624" s="98" t="b">
        <f>COUNTIFS(stable[qno],questions[[#This Row],[qno]])=1</f>
        <v>1</v>
      </c>
      <c r="AM624" s="98" t="b">
        <f>OR(questions[[#This Row],[is_fixed]],questions[[#This Row],[is_localized]],questions[[#This Row],[is_supply_chain_dependent]])</f>
        <v>1</v>
      </c>
      <c r="AN624" s="98" t="b">
        <f>COUNTIFS(questions[[#This Row],[is_automated]:[is_multi_select]],TRUE)=1</f>
        <v>1</v>
      </c>
      <c r="AO624" s="98" t="b">
        <f>IF(questions[[#This Row],[is_fixed]],questions[[#This Row],[question]]=INDEX(stable[question],MATCH(questions[[#This Row],[qno]],stable[qno],0)),TRUE)</f>
        <v>0</v>
      </c>
      <c r="AP624" s="98" t="str">
        <f>LEFT(questions[[#This Row],[question]],similarity_range)</f>
        <v>Did you use chemical</v>
      </c>
      <c r="AQ624" s="98" t="str">
        <f>LEFT(INDEX(stable[question],MATCH(questions[[#This Row],[qno]],stable[qno],0)),similarity_range)</f>
        <v>Did you use chemical</v>
      </c>
      <c r="AR624" s="98" t="b">
        <f>questions[[#This Row],[question_first_characters]]=questions[[#This Row],[stability_first_characters]]</f>
        <v>1</v>
      </c>
      <c r="AS624" s="98" t="b">
        <f>IF(OR(questions[[#This Row],[is_single_select]],questions[[#This Row],[is_multi_select]]),NOT(ISBLANK(questions[[#This Row],[answer_opt_combined]])),TRUE)</f>
        <v>1</v>
      </c>
    </row>
    <row r="625" spans="1:45" s="77" customFormat="1" ht="15.75" customHeight="1" x14ac:dyDescent="0.25">
      <c r="A625" s="77" t="str">
        <f>_xlfn.TEXTJOIN("_",TRUE,questions[[#This Row],[origin]:[qno]])</f>
        <v>Rwanda_Arabica_Nestle_Illy_IMPACT_2024_7241</v>
      </c>
      <c r="B625" s="77" t="s">
        <v>719</v>
      </c>
      <c r="C625" s="77" t="s">
        <v>59</v>
      </c>
      <c r="D625" s="77" t="s">
        <v>720</v>
      </c>
      <c r="E625" s="77">
        <v>2024</v>
      </c>
      <c r="F625" s="105" t="s">
        <v>396</v>
      </c>
      <c r="G625" s="78" t="s">
        <v>800</v>
      </c>
      <c r="H625" s="9" t="str" cm="1">
        <f t="array" ref="H625">INDEX(stableR[question],MATCH(VALUE(questions[[#This Row],[qno]]),VALUE(stableR[qno]),0))</f>
        <v>If yes, list the names of all the pesticides and/or fungicides that you used, last year.</v>
      </c>
      <c r="I625" s="9" t="b" cm="1">
        <f t="array" ref="I625">INDEX(stable[is_fixed],MATCH(VALUE(questions[[#This Row],[qno]]),VALUE(stable[qno]),0))</f>
        <v>1</v>
      </c>
      <c r="J625" s="9" t="b" cm="1">
        <f t="array" ref="J625">INDEX(stable[is_localized],MATCH(VALUE(questions[[#This Row],[qno]]),VALUE(stable[qno]),0))</f>
        <v>0</v>
      </c>
      <c r="K625" s="9" t="b" cm="1">
        <f t="array" ref="K625">INDEX(stable[is_supply_chain_dependent],MATCH(VALUE(questions[[#This Row],[qno]]),VALUE(stable[qno]),0))</f>
        <v>0</v>
      </c>
      <c r="L625" s="9" t="b" cm="1">
        <f t="array" ref="L625">INDEX(stable[is_mandatory],MATCH(VALUE(questions[[#This Row],[qno]]),VALUE(stable[qno]),0))</f>
        <v>0</v>
      </c>
      <c r="M625" s="9" t="b" cm="1">
        <f t="array" ref="M625">INDEX(stable[is_automated],MATCH(VALUE(questions[[#This Row],[qno]]),VALUE(stable[qno]),0))</f>
        <v>0</v>
      </c>
      <c r="N625" s="9" t="b" cm="1">
        <f t="array" ref="N625">INDEX(stable[is_free_text],MATCH(VALUE(questions[[#This Row],[qno]]),VALUE(stable[qno]),0))</f>
        <v>0</v>
      </c>
      <c r="O625" s="9" t="b" cm="1">
        <f t="array" ref="O625">INDEX(stable[is_numerical],MATCH(VALUE(questions[[#This Row],[qno]]),VALUE(stable[qno]),0))</f>
        <v>0</v>
      </c>
      <c r="P625" s="77" t="b" cm="1">
        <f t="array" ref="P625">INDEX(stable[is_single_select],MATCH(VALUE(questions[[#This Row],[qno]]),VALUE(stable[qno]),0))</f>
        <v>1</v>
      </c>
      <c r="Q625" s="77" t="b" cm="1">
        <f t="array" ref="Q625">INDEX(stable[is_multi_select],MATCH(VALUE(questions[[#This Row],[qno]]),VALUE(stable[qno]),0))</f>
        <v>0</v>
      </c>
      <c r="R625" s="77" t="b" cm="1">
        <f t="array" ref="R625">INDEX(stable[is_skip_logic],MATCH(VALUE(questions[[#This Row],[qno]]),VALUE(stable[qno]),0))</f>
        <v>1</v>
      </c>
      <c r="S625" s="77" t="str">
        <f>_xlfn.TEXTJOIN(", ",TRUE,questions[[#This Row],[ans_opt_1]:[ans_opt_14]])</f>
        <v>Yes, No</v>
      </c>
      <c r="T625" s="77" t="s">
        <v>149</v>
      </c>
      <c r="U625" s="77" t="s">
        <v>119</v>
      </c>
      <c r="AD625" s="121"/>
      <c r="AE625" s="121"/>
      <c r="AF625" s="121"/>
      <c r="AG625" s="121"/>
      <c r="AH625" s="98" t="b">
        <f>INDEX(stable[q_standard],MATCH(questions[[#This Row],[qno]],stable[qno],0))</f>
        <v>0</v>
      </c>
      <c r="AI625" s="98" t="b">
        <f>INDEX(stable[q_living_income],MATCH(questions[[#This Row],[qno]],stable[qno],0))</f>
        <v>0</v>
      </c>
      <c r="AJ625" s="98" t="b">
        <f>INDEX(stable[q_carbon],MATCH(questions[[#This Row],[qno]],stable[qno],0))</f>
        <v>0</v>
      </c>
      <c r="AK625" s="98" t="b">
        <f>INDEX(stable[q_regen_ag],MATCH(questions[[#This Row],[qno]],stable[qno],0))</f>
        <v>1</v>
      </c>
      <c r="AL625" s="98" t="b">
        <f>COUNTIFS(stable[qno],questions[[#This Row],[qno]])=1</f>
        <v>1</v>
      </c>
      <c r="AM625" s="98" t="b">
        <f>OR(questions[[#This Row],[is_fixed]],questions[[#This Row],[is_localized]],questions[[#This Row],[is_supply_chain_dependent]])</f>
        <v>1</v>
      </c>
      <c r="AN625" s="98" t="b">
        <f>COUNTIFS(questions[[#This Row],[is_automated]:[is_multi_select]],TRUE)=1</f>
        <v>1</v>
      </c>
      <c r="AO625" s="98" t="b">
        <f>IF(questions[[#This Row],[is_fixed]],questions[[#This Row],[question]]=INDEX(stable[question],MATCH(questions[[#This Row],[qno]],stable[qno],0)),TRUE)</f>
        <v>0</v>
      </c>
      <c r="AP625" s="98" t="str">
        <f>LEFT(questions[[#This Row],[question]],similarity_range)</f>
        <v>If you apply chemica</v>
      </c>
      <c r="AQ625" s="98" t="str">
        <f>LEFT(INDEX(stable[question],MATCH(questions[[#This Row],[qno]],stable[qno],0)),similarity_range)</f>
        <v>If you apply chemica</v>
      </c>
      <c r="AR625" s="98" t="b">
        <f>questions[[#This Row],[question_first_characters]]=questions[[#This Row],[stability_first_characters]]</f>
        <v>1</v>
      </c>
      <c r="AS625" s="98" t="b">
        <f>IF(OR(questions[[#This Row],[is_single_select]],questions[[#This Row],[is_multi_select]]),NOT(ISBLANK(questions[[#This Row],[answer_opt_combined]])),TRUE)</f>
        <v>1</v>
      </c>
    </row>
    <row r="626" spans="1:45" s="77" customFormat="1" ht="15.75" customHeight="1" x14ac:dyDescent="0.25">
      <c r="A626" s="77" t="str">
        <f>_xlfn.TEXTJOIN("_",TRUE,questions[[#This Row],[origin]:[qno]])</f>
        <v>Rwanda_Arabica_Nestle_Illy_IMPACT_2024_7242</v>
      </c>
      <c r="B626" s="77" t="s">
        <v>719</v>
      </c>
      <c r="C626" s="77" t="s">
        <v>59</v>
      </c>
      <c r="D626" s="77" t="s">
        <v>720</v>
      </c>
      <c r="E626" s="77">
        <v>2024</v>
      </c>
      <c r="F626" s="105" t="s">
        <v>398</v>
      </c>
      <c r="G626" s="78" t="s">
        <v>801</v>
      </c>
      <c r="H626" s="9" t="str" cm="1">
        <f t="array" ref="H626">INDEX(stableR[question],MATCH(VALUE(questions[[#This Row],[qno]]),VALUE(stableR[qno]),0))</f>
        <v>If you apply chemical PPPs, are you aware of the IPM-Integrated Pest Management concept and practices (e.g. pest-disease identification and monitoring, right moment for control, use of a combination of biological, cultural, physical/mechanical and chemical tools to prevent and control)?</v>
      </c>
      <c r="I626" s="9" t="b" cm="1">
        <f t="array" ref="I626">INDEX(stable[is_fixed],MATCH(VALUE(questions[[#This Row],[qno]]),VALUE(stable[qno]),0))</f>
        <v>1</v>
      </c>
      <c r="J626" s="9" t="b" cm="1">
        <f t="array" ref="J626">INDEX(stable[is_localized],MATCH(VALUE(questions[[#This Row],[qno]]),VALUE(stable[qno]),0))</f>
        <v>0</v>
      </c>
      <c r="K626" s="9" t="b" cm="1">
        <f t="array" ref="K626">INDEX(stable[is_supply_chain_dependent],MATCH(VALUE(questions[[#This Row],[qno]]),VALUE(stable[qno]),0))</f>
        <v>0</v>
      </c>
      <c r="L626" s="9" t="b" cm="1">
        <f t="array" ref="L626">INDEX(stable[is_mandatory],MATCH(VALUE(questions[[#This Row],[qno]]),VALUE(stable[qno]),0))</f>
        <v>0</v>
      </c>
      <c r="M626" s="9" t="b" cm="1">
        <f t="array" ref="M626">INDEX(stable[is_automated],MATCH(VALUE(questions[[#This Row],[qno]]),VALUE(stable[qno]),0))</f>
        <v>0</v>
      </c>
      <c r="N626" s="9" t="b" cm="1">
        <f t="array" ref="N626">INDEX(stable[is_free_text],MATCH(VALUE(questions[[#This Row],[qno]]),VALUE(stable[qno]),0))</f>
        <v>0</v>
      </c>
      <c r="O626" s="9" t="b" cm="1">
        <f t="array" ref="O626">INDEX(stable[is_numerical],MATCH(VALUE(questions[[#This Row],[qno]]),VALUE(stable[qno]),0))</f>
        <v>0</v>
      </c>
      <c r="P626" s="77" t="b" cm="1">
        <f t="array" ref="P626">INDEX(stable[is_single_select],MATCH(VALUE(questions[[#This Row],[qno]]),VALUE(stable[qno]),0))</f>
        <v>1</v>
      </c>
      <c r="Q626" s="77" t="b" cm="1">
        <f t="array" ref="Q626">INDEX(stable[is_multi_select],MATCH(VALUE(questions[[#This Row],[qno]]),VALUE(stable[qno]),0))</f>
        <v>0</v>
      </c>
      <c r="R626" s="77" t="b" cm="1">
        <f t="array" ref="R626">INDEX(stable[is_skip_logic],MATCH(VALUE(questions[[#This Row],[qno]]),VALUE(stable[qno]),0))</f>
        <v>1</v>
      </c>
      <c r="S626" s="77" t="str">
        <f>_xlfn.TEXTJOIN(", ",TRUE,questions[[#This Row],[ans_opt_1]:[ans_opt_14]])</f>
        <v>Yes, No</v>
      </c>
      <c r="T626" s="77" t="s">
        <v>149</v>
      </c>
      <c r="U626" s="77" t="s">
        <v>119</v>
      </c>
      <c r="AD626" s="121"/>
      <c r="AE626" s="121"/>
      <c r="AF626" s="121"/>
      <c r="AG626" s="121"/>
      <c r="AH626" s="98" t="b">
        <f>INDEX(stable[q_standard],MATCH(questions[[#This Row],[qno]],stable[qno],0))</f>
        <v>0</v>
      </c>
      <c r="AI626" s="98" t="b">
        <f>INDEX(stable[q_living_income],MATCH(questions[[#This Row],[qno]],stable[qno],0))</f>
        <v>0</v>
      </c>
      <c r="AJ626" s="98" t="b">
        <f>INDEX(stable[q_carbon],MATCH(questions[[#This Row],[qno]],stable[qno],0))</f>
        <v>0</v>
      </c>
      <c r="AK626" s="98" t="b">
        <f>INDEX(stable[q_regen_ag],MATCH(questions[[#This Row],[qno]],stable[qno],0))</f>
        <v>1</v>
      </c>
      <c r="AL626" s="98" t="b">
        <f>COUNTIFS(stable[qno],questions[[#This Row],[qno]])=1</f>
        <v>1</v>
      </c>
      <c r="AM626" s="98" t="b">
        <f>OR(questions[[#This Row],[is_fixed]],questions[[#This Row],[is_localized]],questions[[#This Row],[is_supply_chain_dependent]])</f>
        <v>1</v>
      </c>
      <c r="AN626" s="98" t="b">
        <f>COUNTIFS(questions[[#This Row],[is_automated]:[is_multi_select]],TRUE)=1</f>
        <v>1</v>
      </c>
      <c r="AO626" s="98" t="b">
        <f>IF(questions[[#This Row],[is_fixed]],questions[[#This Row],[question]]=INDEX(stable[question],MATCH(questions[[#This Row],[qno]],stable[qno],0)),TRUE)</f>
        <v>0</v>
      </c>
      <c r="AP626" s="98" t="str">
        <f>LEFT(questions[[#This Row],[question]],similarity_range)</f>
        <v>If you apply chemica</v>
      </c>
      <c r="AQ626" s="98" t="str">
        <f>LEFT(INDEX(stable[question],MATCH(questions[[#This Row],[qno]],stable[qno],0)),similarity_range)</f>
        <v>If you apply chemica</v>
      </c>
      <c r="AR626" s="98" t="b">
        <f>questions[[#This Row],[question_first_characters]]=questions[[#This Row],[stability_first_characters]]</f>
        <v>1</v>
      </c>
      <c r="AS626" s="98" t="b">
        <f>IF(OR(questions[[#This Row],[is_single_select]],questions[[#This Row],[is_multi_select]]),NOT(ISBLANK(questions[[#This Row],[answer_opt_combined]])),TRUE)</f>
        <v>1</v>
      </c>
    </row>
    <row r="627" spans="1:45" s="77" customFormat="1" ht="15.75" customHeight="1" x14ac:dyDescent="0.25">
      <c r="A627" s="77" t="str">
        <f>_xlfn.TEXTJOIN("_",TRUE,questions[[#This Row],[origin]:[qno]])</f>
        <v>Rwanda_Arabica_Nestle_Illy_IMPACT_2024_7243</v>
      </c>
      <c r="B627" s="77" t="s">
        <v>719</v>
      </c>
      <c r="C627" s="77" t="s">
        <v>59</v>
      </c>
      <c r="D627" s="77" t="s">
        <v>720</v>
      </c>
      <c r="E627" s="77">
        <v>2024</v>
      </c>
      <c r="F627" s="105" t="s">
        <v>400</v>
      </c>
      <c r="G627" s="78" t="s">
        <v>802</v>
      </c>
      <c r="H627" s="9" t="str" cm="1">
        <f t="array" ref="H627">INDEX(stableR[question],MATCH(VALUE(questions[[#This Row],[qno]]),VALUE(stableR[qno]),0))</f>
        <v>If you apply chemical PPPs, do you apply IPM principles and practices to prevent and control pest &amp; diseases and reduce the use of chemical PPPs?</v>
      </c>
      <c r="I627" s="9" t="b" cm="1">
        <f t="array" ref="I627">INDEX(stable[is_fixed],MATCH(VALUE(questions[[#This Row],[qno]]),VALUE(stable[qno]),0))</f>
        <v>1</v>
      </c>
      <c r="J627" s="9" t="b" cm="1">
        <f t="array" ref="J627">INDEX(stable[is_localized],MATCH(VALUE(questions[[#This Row],[qno]]),VALUE(stable[qno]),0))</f>
        <v>0</v>
      </c>
      <c r="K627" s="9" t="b" cm="1">
        <f t="array" ref="K627">INDEX(stable[is_supply_chain_dependent],MATCH(VALUE(questions[[#This Row],[qno]]),VALUE(stable[qno]),0))</f>
        <v>0</v>
      </c>
      <c r="L627" s="9" t="b" cm="1">
        <f t="array" ref="L627">INDEX(stable[is_mandatory],MATCH(VALUE(questions[[#This Row],[qno]]),VALUE(stable[qno]),0))</f>
        <v>0</v>
      </c>
      <c r="M627" s="9" t="b" cm="1">
        <f t="array" ref="M627">INDEX(stable[is_automated],MATCH(VALUE(questions[[#This Row],[qno]]),VALUE(stable[qno]),0))</f>
        <v>0</v>
      </c>
      <c r="N627" s="9" t="b" cm="1">
        <f t="array" ref="N627">INDEX(stable[is_free_text],MATCH(VALUE(questions[[#This Row],[qno]]),VALUE(stable[qno]),0))</f>
        <v>0</v>
      </c>
      <c r="O627" s="9" t="b" cm="1">
        <f t="array" ref="O627">INDEX(stable[is_numerical],MATCH(VALUE(questions[[#This Row],[qno]]),VALUE(stable[qno]),0))</f>
        <v>0</v>
      </c>
      <c r="P627" s="77" t="b" cm="1">
        <f t="array" ref="P627">INDEX(stable[is_single_select],MATCH(VALUE(questions[[#This Row],[qno]]),VALUE(stable[qno]),0))</f>
        <v>1</v>
      </c>
      <c r="Q627" s="77" t="b" cm="1">
        <f t="array" ref="Q627">INDEX(stable[is_multi_select],MATCH(VALUE(questions[[#This Row],[qno]]),VALUE(stable[qno]),0))</f>
        <v>0</v>
      </c>
      <c r="R627" s="77" t="b" cm="1">
        <f t="array" ref="R627">INDEX(stable[is_skip_logic],MATCH(VALUE(questions[[#This Row],[qno]]),VALUE(stable[qno]),0))</f>
        <v>1</v>
      </c>
      <c r="S627" s="77" t="str">
        <f>_xlfn.TEXTJOIN(", ",TRUE,questions[[#This Row],[ans_opt_1]:[ans_opt_14]])</f>
        <v>Yes, No</v>
      </c>
      <c r="T627" s="77" t="s">
        <v>149</v>
      </c>
      <c r="U627" s="77" t="s">
        <v>119</v>
      </c>
      <c r="AD627" s="121"/>
      <c r="AE627" s="121"/>
      <c r="AF627" s="121"/>
      <c r="AG627" s="121"/>
      <c r="AH627" s="98" t="b">
        <f>INDEX(stable[q_standard],MATCH(questions[[#This Row],[qno]],stable[qno],0))</f>
        <v>0</v>
      </c>
      <c r="AI627" s="98" t="b">
        <f>INDEX(stable[q_living_income],MATCH(questions[[#This Row],[qno]],stable[qno],0))</f>
        <v>0</v>
      </c>
      <c r="AJ627" s="98" t="b">
        <f>INDEX(stable[q_carbon],MATCH(questions[[#This Row],[qno]],stable[qno],0))</f>
        <v>0</v>
      </c>
      <c r="AK627" s="98" t="b">
        <f>INDEX(stable[q_regen_ag],MATCH(questions[[#This Row],[qno]],stable[qno],0))</f>
        <v>1</v>
      </c>
      <c r="AL627" s="98" t="b">
        <f>COUNTIFS(stable[qno],questions[[#This Row],[qno]])=1</f>
        <v>1</v>
      </c>
      <c r="AM627" s="98" t="b">
        <f>OR(questions[[#This Row],[is_fixed]],questions[[#This Row],[is_localized]],questions[[#This Row],[is_supply_chain_dependent]])</f>
        <v>1</v>
      </c>
      <c r="AN627" s="98" t="b">
        <f>COUNTIFS(questions[[#This Row],[is_automated]:[is_multi_select]],TRUE)=1</f>
        <v>1</v>
      </c>
      <c r="AO627" s="98" t="b">
        <f>IF(questions[[#This Row],[is_fixed]],questions[[#This Row],[question]]=INDEX(stable[question],MATCH(questions[[#This Row],[qno]],stable[qno],0)),TRUE)</f>
        <v>0</v>
      </c>
      <c r="AP627" s="98" t="str">
        <f>LEFT(questions[[#This Row],[question]],similarity_range)</f>
        <v>If you apply chemica</v>
      </c>
      <c r="AQ627" s="98" t="str">
        <f>LEFT(INDEX(stable[question],MATCH(questions[[#This Row],[qno]],stable[qno],0)),similarity_range)</f>
        <v>If you apply chemica</v>
      </c>
      <c r="AR627" s="98" t="b">
        <f>questions[[#This Row],[question_first_characters]]=questions[[#This Row],[stability_first_characters]]</f>
        <v>1</v>
      </c>
      <c r="AS627" s="98" t="b">
        <f>IF(OR(questions[[#This Row],[is_single_select]],questions[[#This Row],[is_multi_select]]),NOT(ISBLANK(questions[[#This Row],[answer_opt_combined]])),TRUE)</f>
        <v>1</v>
      </c>
    </row>
    <row r="628" spans="1:45" s="77" customFormat="1" ht="15.75" customHeight="1" x14ac:dyDescent="0.25">
      <c r="A628" s="77" t="str">
        <f>_xlfn.TEXTJOIN("_",TRUE,questions[[#This Row],[origin]:[qno]])</f>
        <v>Rwanda_Arabica_Nestle_Illy_IMPACT_2024_7244</v>
      </c>
      <c r="B628" s="77" t="s">
        <v>719</v>
      </c>
      <c r="C628" s="77" t="s">
        <v>59</v>
      </c>
      <c r="D628" s="77" t="s">
        <v>720</v>
      </c>
      <c r="E628" s="77">
        <v>2024</v>
      </c>
      <c r="F628" s="105" t="s">
        <v>402</v>
      </c>
      <c r="G628" s="78" t="s">
        <v>803</v>
      </c>
      <c r="H628" s="9" t="str" cm="1">
        <f t="array" ref="H628">INDEX(stableR[question],MATCH(VALUE(questions[[#This Row],[qno]]),VALUE(stableR[qno]),0))</f>
        <v>If you apply chemical PPPs, can you prove/show that all are locally authorized for coffee (e.g. coffee is in the product label), and that you respect the recommended dose and post-harvest intervals of the label of the product?</v>
      </c>
      <c r="I628" s="9" t="b" cm="1">
        <f t="array" ref="I628">INDEX(stable[is_fixed],MATCH(VALUE(questions[[#This Row],[qno]]),VALUE(stable[qno]),0))</f>
        <v>1</v>
      </c>
      <c r="J628" s="9" t="b" cm="1">
        <f t="array" ref="J628">INDEX(stable[is_localized],MATCH(VALUE(questions[[#This Row],[qno]]),VALUE(stable[qno]),0))</f>
        <v>0</v>
      </c>
      <c r="K628" s="9" t="b" cm="1">
        <f t="array" ref="K628">INDEX(stable[is_supply_chain_dependent],MATCH(VALUE(questions[[#This Row],[qno]]),VALUE(stable[qno]),0))</f>
        <v>0</v>
      </c>
      <c r="L628" s="9" t="b" cm="1">
        <f t="array" ref="L628">INDEX(stable[is_mandatory],MATCH(VALUE(questions[[#This Row],[qno]]),VALUE(stable[qno]),0))</f>
        <v>0</v>
      </c>
      <c r="M628" s="9" t="b" cm="1">
        <f t="array" ref="M628">INDEX(stable[is_automated],MATCH(VALUE(questions[[#This Row],[qno]]),VALUE(stable[qno]),0))</f>
        <v>0</v>
      </c>
      <c r="N628" s="9" t="b" cm="1">
        <f t="array" ref="N628">INDEX(stable[is_free_text],MATCH(VALUE(questions[[#This Row],[qno]]),VALUE(stable[qno]),0))</f>
        <v>0</v>
      </c>
      <c r="O628" s="9" t="b" cm="1">
        <f t="array" ref="O628">INDEX(stable[is_numerical],MATCH(VALUE(questions[[#This Row],[qno]]),VALUE(stable[qno]),0))</f>
        <v>0</v>
      </c>
      <c r="P628" s="77" t="b" cm="1">
        <f t="array" ref="P628">INDEX(stable[is_single_select],MATCH(VALUE(questions[[#This Row],[qno]]),VALUE(stable[qno]),0))</f>
        <v>1</v>
      </c>
      <c r="Q628" s="77" t="b" cm="1">
        <f t="array" ref="Q628">INDEX(stable[is_multi_select],MATCH(VALUE(questions[[#This Row],[qno]]),VALUE(stable[qno]),0))</f>
        <v>0</v>
      </c>
      <c r="R628" s="77" t="b" cm="1">
        <f t="array" ref="R628">INDEX(stable[is_skip_logic],MATCH(VALUE(questions[[#This Row],[qno]]),VALUE(stable[qno]),0))</f>
        <v>1</v>
      </c>
      <c r="S628" s="77" t="str">
        <f>_xlfn.TEXTJOIN(", ",TRUE,questions[[#This Row],[ans_opt_1]:[ans_opt_14]])</f>
        <v>1, 2, 3, 4, 5, &gt;5</v>
      </c>
      <c r="T628" s="77">
        <v>1</v>
      </c>
      <c r="U628" s="77">
        <v>2</v>
      </c>
      <c r="V628" s="77">
        <v>3</v>
      </c>
      <c r="W628" s="77">
        <v>4</v>
      </c>
      <c r="X628" s="77">
        <v>5</v>
      </c>
      <c r="Y628" s="77" t="s">
        <v>404</v>
      </c>
      <c r="AD628" s="121"/>
      <c r="AE628" s="121"/>
      <c r="AF628" s="121"/>
      <c r="AG628" s="121"/>
      <c r="AH628" s="98" t="b">
        <f>INDEX(stable[q_standard],MATCH(questions[[#This Row],[qno]],stable[qno],0))</f>
        <v>0</v>
      </c>
      <c r="AI628" s="98" t="b">
        <f>INDEX(stable[q_living_income],MATCH(questions[[#This Row],[qno]],stable[qno],0))</f>
        <v>0</v>
      </c>
      <c r="AJ628" s="98" t="b">
        <f>INDEX(stable[q_carbon],MATCH(questions[[#This Row],[qno]],stable[qno],0))</f>
        <v>0</v>
      </c>
      <c r="AK628" s="98" t="b">
        <f>INDEX(stable[q_regen_ag],MATCH(questions[[#This Row],[qno]],stable[qno],0))</f>
        <v>1</v>
      </c>
      <c r="AL628" s="98" t="b">
        <f>COUNTIFS(stable[qno],questions[[#This Row],[qno]])=1</f>
        <v>1</v>
      </c>
      <c r="AM628" s="98" t="b">
        <f>OR(questions[[#This Row],[is_fixed]],questions[[#This Row],[is_localized]],questions[[#This Row],[is_supply_chain_dependent]])</f>
        <v>1</v>
      </c>
      <c r="AN628" s="98" t="b">
        <f>COUNTIFS(questions[[#This Row],[is_automated]:[is_multi_select]],TRUE)=1</f>
        <v>1</v>
      </c>
      <c r="AO628" s="98" t="b">
        <f>IF(questions[[#This Row],[is_fixed]],questions[[#This Row],[question]]=INDEX(stable[question],MATCH(questions[[#This Row],[qno]],stable[qno],0)),TRUE)</f>
        <v>0</v>
      </c>
      <c r="AP628" s="98" t="str">
        <f>LEFT(questions[[#This Row],[question]],similarity_range)</f>
        <v>If you apply chemica</v>
      </c>
      <c r="AQ628" s="98" t="str">
        <f>LEFT(INDEX(stable[question],MATCH(questions[[#This Row],[qno]],stable[qno],0)),similarity_range)</f>
        <v>If you apply chemica</v>
      </c>
      <c r="AR628" s="98" t="b">
        <f>questions[[#This Row],[question_first_characters]]=questions[[#This Row],[stability_first_characters]]</f>
        <v>1</v>
      </c>
      <c r="AS628" s="98" t="b">
        <f>IF(OR(questions[[#This Row],[is_single_select]],questions[[#This Row],[is_multi_select]]),NOT(ISBLANK(questions[[#This Row],[answer_opt_combined]])),TRUE)</f>
        <v>1</v>
      </c>
    </row>
    <row r="629" spans="1:45" s="77" customFormat="1" ht="15.75" customHeight="1" x14ac:dyDescent="0.25">
      <c r="A629" s="77" t="str">
        <f>_xlfn.TEXTJOIN("_",TRUE,questions[[#This Row],[origin]:[qno]])</f>
        <v>Rwanda_Arabica_Nestle_Illy_IMPACT_2024_7245</v>
      </c>
      <c r="B629" s="77" t="s">
        <v>719</v>
      </c>
      <c r="C629" s="77" t="s">
        <v>59</v>
      </c>
      <c r="D629" s="77" t="s">
        <v>720</v>
      </c>
      <c r="E629" s="77">
        <v>2024</v>
      </c>
      <c r="F629" s="105" t="s">
        <v>405</v>
      </c>
      <c r="G629" s="78" t="s">
        <v>804</v>
      </c>
      <c r="H629" s="9" t="str" cm="1">
        <f t="array" ref="H629">INDEX(stableR[question],MATCH(VALUE(questions[[#This Row],[qno]]),VALUE(stableR[qno]),0))</f>
        <v>If you apply chemical PPPs to control pests and diseases in your farm, how many applications do you apply on average per year?</v>
      </c>
      <c r="I629" s="9" t="b" cm="1">
        <f t="array" ref="I629">INDEX(stable[is_fixed],MATCH(VALUE(questions[[#This Row],[qno]]),VALUE(stable[qno]),0))</f>
        <v>1</v>
      </c>
      <c r="J629" s="9" t="b" cm="1">
        <f t="array" ref="J629">INDEX(stable[is_localized],MATCH(VALUE(questions[[#This Row],[qno]]),VALUE(stable[qno]),0))</f>
        <v>0</v>
      </c>
      <c r="K629" s="9" t="b" cm="1">
        <f t="array" ref="K629">INDEX(stable[is_supply_chain_dependent],MATCH(VALUE(questions[[#This Row],[qno]]),VALUE(stable[qno]),0))</f>
        <v>0</v>
      </c>
      <c r="L629" s="9" t="b" cm="1">
        <f t="array" ref="L629">INDEX(stable[is_mandatory],MATCH(VALUE(questions[[#This Row],[qno]]),VALUE(stable[qno]),0))</f>
        <v>0</v>
      </c>
      <c r="M629" s="9" t="b" cm="1">
        <f t="array" ref="M629">INDEX(stable[is_automated],MATCH(VALUE(questions[[#This Row],[qno]]),VALUE(stable[qno]),0))</f>
        <v>0</v>
      </c>
      <c r="N629" s="9" t="b" cm="1">
        <f t="array" ref="N629">INDEX(stable[is_free_text],MATCH(VALUE(questions[[#This Row],[qno]]),VALUE(stable[qno]),0))</f>
        <v>0</v>
      </c>
      <c r="O629" s="9" t="b" cm="1">
        <f t="array" ref="O629">INDEX(stable[is_numerical],MATCH(VALUE(questions[[#This Row],[qno]]),VALUE(stable[qno]),0))</f>
        <v>0</v>
      </c>
      <c r="P629" s="77" t="b" cm="1">
        <f t="array" ref="P629">INDEX(stable[is_single_select],MATCH(VALUE(questions[[#This Row],[qno]]),VALUE(stable[qno]),0))</f>
        <v>1</v>
      </c>
      <c r="Q629" s="77" t="b" cm="1">
        <f t="array" ref="Q629">INDEX(stable[is_multi_select],MATCH(VALUE(questions[[#This Row],[qno]]),VALUE(stable[qno]),0))</f>
        <v>0</v>
      </c>
      <c r="R629" s="77" t="b" cm="1">
        <f t="array" ref="R629">INDEX(stable[is_skip_logic],MATCH(VALUE(questions[[#This Row],[qno]]),VALUE(stable[qno]),0))</f>
        <v>1</v>
      </c>
      <c r="S629" s="77" t="str">
        <f>_xlfn.TEXTJOIN(", ",TRUE,questions[[#This Row],[ans_opt_1]:[ans_opt_14]])</f>
        <v>Increased - pest/disease pressure, Increased - weather conditions, Increased - pest/disease resistance, Decreased - pest/disease pressure, Decreased - adverse weather conditions, Decreased - increased cost, Decreased - replaced by regenerative agriculture</v>
      </c>
      <c r="T629" s="77" t="s">
        <v>407</v>
      </c>
      <c r="U629" s="77" t="s">
        <v>408</v>
      </c>
      <c r="V629" s="77" t="s">
        <v>409</v>
      </c>
      <c r="W629" s="77" t="s">
        <v>410</v>
      </c>
      <c r="X629" s="77" t="s">
        <v>411</v>
      </c>
      <c r="Y629" s="77" t="s">
        <v>412</v>
      </c>
      <c r="Z629" s="77" t="s">
        <v>413</v>
      </c>
      <c r="AD629" s="121"/>
      <c r="AE629" s="121"/>
      <c r="AF629" s="121"/>
      <c r="AG629" s="121"/>
      <c r="AH629" s="98" t="b">
        <f>INDEX(stable[q_standard],MATCH(questions[[#This Row],[qno]],stable[qno],0))</f>
        <v>0</v>
      </c>
      <c r="AI629" s="98" t="b">
        <f>INDEX(stable[q_living_income],MATCH(questions[[#This Row],[qno]],stable[qno],0))</f>
        <v>0</v>
      </c>
      <c r="AJ629" s="98" t="b">
        <f>INDEX(stable[q_carbon],MATCH(questions[[#This Row],[qno]],stable[qno],0))</f>
        <v>0</v>
      </c>
      <c r="AK629" s="98" t="b">
        <f>INDEX(stable[q_regen_ag],MATCH(questions[[#This Row],[qno]],stable[qno],0))</f>
        <v>1</v>
      </c>
      <c r="AL629" s="98" t="b">
        <f>COUNTIFS(stable[qno],questions[[#This Row],[qno]])=1</f>
        <v>1</v>
      </c>
      <c r="AM629" s="98" t="b">
        <f>OR(questions[[#This Row],[is_fixed]],questions[[#This Row],[is_localized]],questions[[#This Row],[is_supply_chain_dependent]])</f>
        <v>1</v>
      </c>
      <c r="AN629" s="98" t="b">
        <f>COUNTIFS(questions[[#This Row],[is_automated]:[is_multi_select]],TRUE)=1</f>
        <v>1</v>
      </c>
      <c r="AO629" s="98" t="b">
        <f>IF(questions[[#This Row],[is_fixed]],questions[[#This Row],[question]]=INDEX(stable[question],MATCH(questions[[#This Row],[qno]],stable[qno],0)),TRUE)</f>
        <v>0</v>
      </c>
      <c r="AP629" s="98" t="str">
        <f>LEFT(questions[[#This Row],[question]],similarity_range)</f>
        <v>Have you decreased o</v>
      </c>
      <c r="AQ629" s="98" t="str">
        <f>LEFT(INDEX(stable[question],MATCH(questions[[#This Row],[qno]],stable[qno],0)),similarity_range)</f>
        <v>Have you decreased o</v>
      </c>
      <c r="AR629" s="98" t="b">
        <f>questions[[#This Row],[question_first_characters]]=questions[[#This Row],[stability_first_characters]]</f>
        <v>1</v>
      </c>
      <c r="AS629" s="98" t="b">
        <f>IF(OR(questions[[#This Row],[is_single_select]],questions[[#This Row],[is_multi_select]]),NOT(ISBLANK(questions[[#This Row],[answer_opt_combined]])),TRUE)</f>
        <v>1</v>
      </c>
    </row>
    <row r="630" spans="1:45" s="77" customFormat="1" ht="15.75" customHeight="1" x14ac:dyDescent="0.25">
      <c r="A630" s="77" t="str">
        <f>_xlfn.TEXTJOIN("_",TRUE,questions[[#This Row],[origin]:[qno]])</f>
        <v>Rwanda_Arabica_Nestle_Illy_IMPACT_2024_7250</v>
      </c>
      <c r="B630" s="77" t="s">
        <v>719</v>
      </c>
      <c r="C630" s="77" t="s">
        <v>59</v>
      </c>
      <c r="D630" s="77" t="s">
        <v>720</v>
      </c>
      <c r="E630" s="77">
        <v>2024</v>
      </c>
      <c r="F630" s="105" t="s">
        <v>414</v>
      </c>
      <c r="G630" s="78" t="s">
        <v>805</v>
      </c>
      <c r="H630" s="9" t="str" cm="1">
        <f t="array" ref="H630">INDEX(stableR[question],MATCH(VALUE(questions[[#This Row],[qno]]),VALUE(stableR[qno]),0))</f>
        <v>Do you apply chemical herbicides to your coffee crop and how many (different active ingredients) per crop season?</v>
      </c>
      <c r="I630" s="9" t="b" cm="1">
        <f t="array" ref="I630">INDEX(stable[is_fixed],MATCH(VALUE(questions[[#This Row],[qno]]),VALUE(stable[qno]),0))</f>
        <v>1</v>
      </c>
      <c r="J630" s="9" t="b" cm="1">
        <f t="array" ref="J630">INDEX(stable[is_localized],MATCH(VALUE(questions[[#This Row],[qno]]),VALUE(stable[qno]),0))</f>
        <v>0</v>
      </c>
      <c r="K630" s="9" t="b" cm="1">
        <f t="array" ref="K630">INDEX(stable[is_supply_chain_dependent],MATCH(VALUE(questions[[#This Row],[qno]]),VALUE(stable[qno]),0))</f>
        <v>0</v>
      </c>
      <c r="L630" s="9" t="b" cm="1">
        <f t="array" ref="L630">INDEX(stable[is_mandatory],MATCH(VALUE(questions[[#This Row],[qno]]),VALUE(stable[qno]),0))</f>
        <v>1</v>
      </c>
      <c r="M630" s="9" t="b" cm="1">
        <f t="array" ref="M630">INDEX(stable[is_automated],MATCH(VALUE(questions[[#This Row],[qno]]),VALUE(stable[qno]),0))</f>
        <v>0</v>
      </c>
      <c r="N630" s="9" t="b" cm="1">
        <f t="array" ref="N630">INDEX(stable[is_free_text],MATCH(VALUE(questions[[#This Row],[qno]]),VALUE(stable[qno]),0))</f>
        <v>0</v>
      </c>
      <c r="O630" s="9" t="b" cm="1">
        <f t="array" ref="O630">INDEX(stable[is_numerical],MATCH(VALUE(questions[[#This Row],[qno]]),VALUE(stable[qno]),0))</f>
        <v>0</v>
      </c>
      <c r="P630" s="77" t="b" cm="1">
        <f t="array" ref="P630">INDEX(stable[is_single_select],MATCH(VALUE(questions[[#This Row],[qno]]),VALUE(stable[qno]),0))</f>
        <v>1</v>
      </c>
      <c r="Q630" s="77" t="b" cm="1">
        <f t="array" ref="Q630">INDEX(stable[is_multi_select],MATCH(VALUE(questions[[#This Row],[qno]]),VALUE(stable[qno]),0))</f>
        <v>0</v>
      </c>
      <c r="R630" s="77" t="b" cm="1">
        <f t="array" ref="R630">INDEX(stable[is_skip_logic],MATCH(VALUE(questions[[#This Row],[qno]]),VALUE(stable[qno]),0))</f>
        <v>1</v>
      </c>
      <c r="S630" s="77" t="str">
        <f>_xlfn.TEXTJOIN(", ",TRUE,questions[[#This Row],[ans_opt_1]:[ans_opt_14]])</f>
        <v>No, Yes / 1-2 herbicides (active ingredients), Yes / 3-4 herbicides (active ingredients), Yes / &gt;=5 herbicides (active ingredients)</v>
      </c>
      <c r="T630" s="77" t="s">
        <v>119</v>
      </c>
      <c r="U630" s="77" t="s">
        <v>416</v>
      </c>
      <c r="V630" s="77" t="s">
        <v>417</v>
      </c>
      <c r="W630" s="77" t="s">
        <v>418</v>
      </c>
      <c r="AD630" s="121"/>
      <c r="AE630" s="121"/>
      <c r="AF630" s="121"/>
      <c r="AG630" s="121"/>
      <c r="AH630" s="98" t="b">
        <f>INDEX(stable[q_standard],MATCH(questions[[#This Row],[qno]],stable[qno],0))</f>
        <v>0</v>
      </c>
      <c r="AI630" s="98" t="b">
        <f>INDEX(stable[q_living_income],MATCH(questions[[#This Row],[qno]],stable[qno],0))</f>
        <v>0</v>
      </c>
      <c r="AJ630" s="98" t="b">
        <f>INDEX(stable[q_carbon],MATCH(questions[[#This Row],[qno]],stable[qno],0))</f>
        <v>0</v>
      </c>
      <c r="AK630" s="98" t="b">
        <f>INDEX(stable[q_regen_ag],MATCH(questions[[#This Row],[qno]],stable[qno],0))</f>
        <v>1</v>
      </c>
      <c r="AL630" s="98" t="b">
        <f>COUNTIFS(stable[qno],questions[[#This Row],[qno]])=1</f>
        <v>1</v>
      </c>
      <c r="AM630" s="98" t="b">
        <f>OR(questions[[#This Row],[is_fixed]],questions[[#This Row],[is_localized]],questions[[#This Row],[is_supply_chain_dependent]])</f>
        <v>1</v>
      </c>
      <c r="AN630" s="98" t="b">
        <f>COUNTIFS(questions[[#This Row],[is_automated]:[is_multi_select]],TRUE)=1</f>
        <v>1</v>
      </c>
      <c r="AO630" s="98" t="b">
        <f>IF(questions[[#This Row],[is_fixed]],questions[[#This Row],[question]]=INDEX(stable[question],MATCH(questions[[#This Row],[qno]],stable[qno],0)),TRUE)</f>
        <v>0</v>
      </c>
      <c r="AP630" s="98" t="str">
        <f>LEFT(questions[[#This Row],[question]],similarity_range)</f>
        <v>Did you use herbicid</v>
      </c>
      <c r="AQ630" s="98" t="str">
        <f>LEFT(INDEX(stable[question],MATCH(questions[[#This Row],[qno]],stable[qno],0)),similarity_range)</f>
        <v>Did you use herbicid</v>
      </c>
      <c r="AR630" s="98" t="b">
        <f>questions[[#This Row],[question_first_characters]]=questions[[#This Row],[stability_first_characters]]</f>
        <v>1</v>
      </c>
      <c r="AS630" s="98" t="b">
        <f>IF(OR(questions[[#This Row],[is_single_select]],questions[[#This Row],[is_multi_select]]),NOT(ISBLANK(questions[[#This Row],[answer_opt_combined]])),TRUE)</f>
        <v>1</v>
      </c>
    </row>
    <row r="631" spans="1:45" s="77" customFormat="1" ht="15.75" customHeight="1" x14ac:dyDescent="0.25">
      <c r="A631" s="77" t="str">
        <f>_xlfn.TEXTJOIN("_",TRUE,questions[[#This Row],[origin]:[qno]])</f>
        <v>Rwanda_Arabica_Nestle_Illy_IMPACT_2024_7251</v>
      </c>
      <c r="B631" s="77" t="s">
        <v>719</v>
      </c>
      <c r="C631" s="77" t="s">
        <v>59</v>
      </c>
      <c r="D631" s="77" t="s">
        <v>720</v>
      </c>
      <c r="E631" s="77">
        <v>2024</v>
      </c>
      <c r="F631" s="108" t="s">
        <v>419</v>
      </c>
      <c r="G631" s="78" t="s">
        <v>420</v>
      </c>
      <c r="H631" s="9" t="str" cm="1">
        <f t="array" ref="H631">INDEX(stableR[question],MATCH(VALUE(questions[[#This Row],[qno]]),VALUE(stableR[qno]),0))</f>
        <v>If yes, list the names of all the herbicides that you used, last year.</v>
      </c>
      <c r="I631" s="9" t="b" cm="1">
        <f t="array" ref="I631">INDEX(stable[is_fixed],MATCH(VALUE(questions[[#This Row],[qno]]),VALUE(stable[qno]),0))</f>
        <v>1</v>
      </c>
      <c r="J631" s="9" t="b" cm="1">
        <f t="array" ref="J631">INDEX(stable[is_localized],MATCH(VALUE(questions[[#This Row],[qno]]),VALUE(stable[qno]),0))</f>
        <v>0</v>
      </c>
      <c r="K631" s="9" t="b" cm="1">
        <f t="array" ref="K631">INDEX(stable[is_supply_chain_dependent],MATCH(VALUE(questions[[#This Row],[qno]]),VALUE(stable[qno]),0))</f>
        <v>0</v>
      </c>
      <c r="L631" s="9" t="b" cm="1">
        <f t="array" ref="L631">INDEX(stable[is_mandatory],MATCH(VALUE(questions[[#This Row],[qno]]),VALUE(stable[qno]),0))</f>
        <v>0</v>
      </c>
      <c r="M631" s="9" t="b" cm="1">
        <f t="array" ref="M631">INDEX(stable[is_automated],MATCH(VALUE(questions[[#This Row],[qno]]),VALUE(stable[qno]),0))</f>
        <v>0</v>
      </c>
      <c r="N631" s="9" t="b" cm="1">
        <f t="array" ref="N631">INDEX(stable[is_free_text],MATCH(VALUE(questions[[#This Row],[qno]]),VALUE(stable[qno]),0))</f>
        <v>0</v>
      </c>
      <c r="O631" s="9" t="b" cm="1">
        <f t="array" ref="O631">INDEX(stable[is_numerical],MATCH(VALUE(questions[[#This Row],[qno]]),VALUE(stable[qno]),0))</f>
        <v>0</v>
      </c>
      <c r="P631" s="77" t="b" cm="1">
        <f t="array" ref="P631">INDEX(stable[is_single_select],MATCH(VALUE(questions[[#This Row],[qno]]),VALUE(stable[qno]),0))</f>
        <v>1</v>
      </c>
      <c r="Q631" s="77" t="b" cm="1">
        <f t="array" ref="Q631">INDEX(stable[is_multi_select],MATCH(VALUE(questions[[#This Row],[qno]]),VALUE(stable[qno]),0))</f>
        <v>0</v>
      </c>
      <c r="R631" s="77" t="b" cm="1">
        <f t="array" ref="R631">INDEX(stable[is_skip_logic],MATCH(VALUE(questions[[#This Row],[qno]]),VALUE(stable[qno]),0))</f>
        <v>1</v>
      </c>
      <c r="S631" s="77" t="str">
        <f>_xlfn.TEXTJOIN(", ",TRUE,questions[[#This Row],[ans_opt_1]:[ans_opt_14]])</f>
        <v>1% to 10% - very little, 11% to 20% - little, 21% to 50% - less than half, 51% to 75% - more than half, 76% to 100% - almost all</v>
      </c>
      <c r="T631" s="77" t="s">
        <v>421</v>
      </c>
      <c r="U631" s="77" t="s">
        <v>422</v>
      </c>
      <c r="V631" s="77" t="s">
        <v>423</v>
      </c>
      <c r="W631" s="77" t="s">
        <v>340</v>
      </c>
      <c r="X631" s="77" t="s">
        <v>341</v>
      </c>
      <c r="AD631" s="121"/>
      <c r="AE631" s="121"/>
      <c r="AF631" s="121"/>
      <c r="AG631" s="121"/>
      <c r="AH631" s="98" t="b">
        <f>INDEX(stable[q_standard],MATCH(questions[[#This Row],[qno]],stable[qno],0))</f>
        <v>0</v>
      </c>
      <c r="AI631" s="98" t="b">
        <f>INDEX(stable[q_living_income],MATCH(questions[[#This Row],[qno]],stable[qno],0))</f>
        <v>0</v>
      </c>
      <c r="AJ631" s="98" t="b">
        <f>INDEX(stable[q_carbon],MATCH(questions[[#This Row],[qno]],stable[qno],0))</f>
        <v>0</v>
      </c>
      <c r="AK631" s="98" t="b">
        <f>INDEX(stable[q_regen_ag],MATCH(questions[[#This Row],[qno]],stable[qno],0))</f>
        <v>1</v>
      </c>
      <c r="AL631" s="98" t="b">
        <f>COUNTIFS(stable[qno],questions[[#This Row],[qno]])=1</f>
        <v>1</v>
      </c>
      <c r="AM631" s="98" t="b">
        <f>OR(questions[[#This Row],[is_fixed]],questions[[#This Row],[is_localized]],questions[[#This Row],[is_supply_chain_dependent]])</f>
        <v>1</v>
      </c>
      <c r="AN631" s="98" t="b">
        <f>COUNTIFS(questions[[#This Row],[is_automated]:[is_multi_select]],TRUE)=1</f>
        <v>1</v>
      </c>
      <c r="AO631" s="98" t="b">
        <f>IF(questions[[#This Row],[is_fixed]],questions[[#This Row],[question]]=INDEX(stable[question],MATCH(questions[[#This Row],[qno]],stable[qno],0)),TRUE)</f>
        <v>0</v>
      </c>
      <c r="AP631" s="98" t="str">
        <f>LEFT(questions[[#This Row],[question]],similarity_range)</f>
        <v>If you apply chemica</v>
      </c>
      <c r="AQ631" s="98" t="str">
        <f>LEFT(INDEX(stable[question],MATCH(questions[[#This Row],[qno]],stable[qno],0)),similarity_range)</f>
        <v>If you apply chemica</v>
      </c>
      <c r="AR631" s="98" t="b">
        <f>questions[[#This Row],[question_first_characters]]=questions[[#This Row],[stability_first_characters]]</f>
        <v>1</v>
      </c>
      <c r="AS631" s="98" t="b">
        <f>IF(OR(questions[[#This Row],[is_single_select]],questions[[#This Row],[is_multi_select]]),NOT(ISBLANK(questions[[#This Row],[answer_opt_combined]])),TRUE)</f>
        <v>1</v>
      </c>
    </row>
    <row r="632" spans="1:45" s="77" customFormat="1" ht="15.75" customHeight="1" x14ac:dyDescent="0.25">
      <c r="A632" s="77" t="str">
        <f>_xlfn.TEXTJOIN("_",TRUE,questions[[#This Row],[origin]:[qno]])</f>
        <v>Rwanda_Arabica_Nestle_Illy_IMPACT_2024_7252</v>
      </c>
      <c r="B632" s="77" t="s">
        <v>719</v>
      </c>
      <c r="C632" s="77" t="s">
        <v>59</v>
      </c>
      <c r="D632" s="77" t="s">
        <v>720</v>
      </c>
      <c r="E632" s="77">
        <v>2024</v>
      </c>
      <c r="F632" s="105" t="s">
        <v>424</v>
      </c>
      <c r="G632" s="78" t="s">
        <v>425</v>
      </c>
      <c r="H632" s="9" t="str" cm="1">
        <f t="array" ref="H632">INDEX(stableR[question],MATCH(VALUE(questions[[#This Row],[qno]]),VALUE(stableR[qno]),0))</f>
        <v>If applying herbicides, to which % of area of the coffee plots? e.g. if the coffee area is 1 hectare and herbicides are sprayed to only 0.5 hectare (where there is high weed pressure), then it is 50%</v>
      </c>
      <c r="I632" s="9" t="b" cm="1">
        <f t="array" ref="I632">INDEX(stable[is_fixed],MATCH(VALUE(questions[[#This Row],[qno]]),VALUE(stable[qno]),0))</f>
        <v>1</v>
      </c>
      <c r="J632" s="9" t="b" cm="1">
        <f t="array" ref="J632">INDEX(stable[is_localized],MATCH(VALUE(questions[[#This Row],[qno]]),VALUE(stable[qno]),0))</f>
        <v>0</v>
      </c>
      <c r="K632" s="9" t="b" cm="1">
        <f t="array" ref="K632">INDEX(stable[is_supply_chain_dependent],MATCH(VALUE(questions[[#This Row],[qno]]),VALUE(stable[qno]),0))</f>
        <v>0</v>
      </c>
      <c r="L632" s="9" t="b" cm="1">
        <f t="array" ref="L632">INDEX(stable[is_mandatory],MATCH(VALUE(questions[[#This Row],[qno]]),VALUE(stable[qno]),0))</f>
        <v>0</v>
      </c>
      <c r="M632" s="9" t="b" cm="1">
        <f t="array" ref="M632">INDEX(stable[is_automated],MATCH(VALUE(questions[[#This Row],[qno]]),VALUE(stable[qno]),0))</f>
        <v>0</v>
      </c>
      <c r="N632" s="9" t="b" cm="1">
        <f t="array" ref="N632">INDEX(stable[is_free_text],MATCH(VALUE(questions[[#This Row],[qno]]),VALUE(stable[qno]),0))</f>
        <v>0</v>
      </c>
      <c r="O632" s="9" t="b" cm="1">
        <f t="array" ref="O632">INDEX(stable[is_numerical],MATCH(VALUE(questions[[#This Row],[qno]]),VALUE(stable[qno]),0))</f>
        <v>0</v>
      </c>
      <c r="P632" s="77" t="b" cm="1">
        <f t="array" ref="P632">INDEX(stable[is_single_select],MATCH(VALUE(questions[[#This Row],[qno]]),VALUE(stable[qno]),0))</f>
        <v>1</v>
      </c>
      <c r="Q632" s="77" t="b" cm="1">
        <f t="array" ref="Q632">INDEX(stable[is_multi_select],MATCH(VALUE(questions[[#This Row],[qno]]),VALUE(stable[qno]),0))</f>
        <v>0</v>
      </c>
      <c r="R632" s="77" t="b" cm="1">
        <f t="array" ref="R632">INDEX(stable[is_skip_logic],MATCH(VALUE(questions[[#This Row],[qno]]),VALUE(stable[qno]),0))</f>
        <v>1</v>
      </c>
      <c r="S632" s="77" t="str">
        <f>_xlfn.TEXTJOIN(", ",TRUE,questions[[#This Row],[ans_opt_1]:[ans_opt_14]])</f>
        <v>Yes, No</v>
      </c>
      <c r="T632" s="77" t="s">
        <v>149</v>
      </c>
      <c r="U632" s="77" t="s">
        <v>119</v>
      </c>
      <c r="AD632" s="121"/>
      <c r="AE632" s="121"/>
      <c r="AF632" s="121"/>
      <c r="AG632" s="121"/>
      <c r="AH632" s="98" t="b">
        <f>INDEX(stable[q_standard],MATCH(questions[[#This Row],[qno]],stable[qno],0))</f>
        <v>0</v>
      </c>
      <c r="AI632" s="98" t="b">
        <f>INDEX(stable[q_living_income],MATCH(questions[[#This Row],[qno]],stable[qno],0))</f>
        <v>0</v>
      </c>
      <c r="AJ632" s="98" t="b">
        <f>INDEX(stable[q_carbon],MATCH(questions[[#This Row],[qno]],stable[qno],0))</f>
        <v>0</v>
      </c>
      <c r="AK632" s="98" t="b">
        <f>INDEX(stable[q_regen_ag],MATCH(questions[[#This Row],[qno]],stable[qno],0))</f>
        <v>1</v>
      </c>
      <c r="AL632" s="98" t="b">
        <f>COUNTIFS(stable[qno],questions[[#This Row],[qno]])=1</f>
        <v>1</v>
      </c>
      <c r="AM632" s="98" t="b">
        <f>OR(questions[[#This Row],[is_fixed]],questions[[#This Row],[is_localized]],questions[[#This Row],[is_supply_chain_dependent]])</f>
        <v>1</v>
      </c>
      <c r="AN632" s="98" t="b">
        <f>COUNTIFS(questions[[#This Row],[is_automated]:[is_multi_select]],TRUE)=1</f>
        <v>1</v>
      </c>
      <c r="AO632" s="98" t="b">
        <f>IF(questions[[#This Row],[is_fixed]],questions[[#This Row],[question]]=INDEX(stable[question],MATCH(questions[[#This Row],[qno]],stable[qno],0)),TRUE)</f>
        <v>0</v>
      </c>
      <c r="AP632" s="98" t="str">
        <f>LEFT(questions[[#This Row],[question]],similarity_range)</f>
        <v>If applying herbicid</v>
      </c>
      <c r="AQ632" s="98" t="str">
        <f>LEFT(INDEX(stable[question],MATCH(questions[[#This Row],[qno]],stable[qno],0)),similarity_range)</f>
        <v>If applying herbicid</v>
      </c>
      <c r="AR632" s="98" t="b">
        <f>questions[[#This Row],[question_first_characters]]=questions[[#This Row],[stability_first_characters]]</f>
        <v>1</v>
      </c>
      <c r="AS632" s="98" t="b">
        <f>IF(OR(questions[[#This Row],[is_single_select]],questions[[#This Row],[is_multi_select]]),NOT(ISBLANK(questions[[#This Row],[answer_opt_combined]])),TRUE)</f>
        <v>1</v>
      </c>
    </row>
    <row r="633" spans="1:45" s="77" customFormat="1" ht="15.75" customHeight="1" x14ac:dyDescent="0.25">
      <c r="A633" s="77" t="str">
        <f>_xlfn.TEXTJOIN("_",TRUE,questions[[#This Row],[origin]:[qno]])</f>
        <v>Rwanda_Arabica_Nestle_Illy_IMPACT_2024_7253</v>
      </c>
      <c r="B633" s="77" t="s">
        <v>719</v>
      </c>
      <c r="C633" s="77" t="s">
        <v>59</v>
      </c>
      <c r="D633" s="77" t="s">
        <v>720</v>
      </c>
      <c r="E633" s="77">
        <v>2024</v>
      </c>
      <c r="F633" s="105" t="s">
        <v>426</v>
      </c>
      <c r="G633" s="78" t="s">
        <v>427</v>
      </c>
      <c r="H633" s="9" t="str" cm="1">
        <f t="array" ref="H633">INDEX(stableR[question],MATCH(VALUE(questions[[#This Row],[qno]]),VALUE(stableR[qno]),0))</f>
        <v>If applying herbicides, can you prove that all are locally authorized for coffee use, and that you respect the doses and post-harvest intervals of the label of the product. If applying herbicides, to which % of area of the coffee plots? e.g. if the coffee area is 1 hectare and herbicides are sprayed to only 0.5 hectare (where there is high weed pressure), then it is 50%</v>
      </c>
      <c r="I633" s="9" t="b" cm="1">
        <f t="array" ref="I633">INDEX(stable[is_fixed],MATCH(VALUE(questions[[#This Row],[qno]]),VALUE(stable[qno]),0))</f>
        <v>1</v>
      </c>
      <c r="J633" s="9" t="b" cm="1">
        <f t="array" ref="J633">INDEX(stable[is_localized],MATCH(VALUE(questions[[#This Row],[qno]]),VALUE(stable[qno]),0))</f>
        <v>0</v>
      </c>
      <c r="K633" s="9" t="b" cm="1">
        <f t="array" ref="K633">INDEX(stable[is_supply_chain_dependent],MATCH(VALUE(questions[[#This Row],[qno]]),VALUE(stable[qno]),0))</f>
        <v>0</v>
      </c>
      <c r="L633" s="9" t="b" cm="1">
        <f t="array" ref="L633">INDEX(stable[is_mandatory],MATCH(VALUE(questions[[#This Row],[qno]]),VALUE(stable[qno]),0))</f>
        <v>1</v>
      </c>
      <c r="M633" s="9" t="b" cm="1">
        <f t="array" ref="M633">INDEX(stable[is_automated],MATCH(VALUE(questions[[#This Row],[qno]]),VALUE(stable[qno]),0))</f>
        <v>0</v>
      </c>
      <c r="N633" s="9" t="b" cm="1">
        <f t="array" ref="N633">INDEX(stable[is_free_text],MATCH(VALUE(questions[[#This Row],[qno]]),VALUE(stable[qno]),0))</f>
        <v>0</v>
      </c>
      <c r="O633" s="9" t="b" cm="1">
        <f t="array" ref="O633">INDEX(stable[is_numerical],MATCH(VALUE(questions[[#This Row],[qno]]),VALUE(stable[qno]),0))</f>
        <v>0</v>
      </c>
      <c r="P633" s="77" t="b" cm="1">
        <f t="array" ref="P633">INDEX(stable[is_single_select],MATCH(VALUE(questions[[#This Row],[qno]]),VALUE(stable[qno]),0))</f>
        <v>1</v>
      </c>
      <c r="Q633" s="77" t="b" cm="1">
        <f t="array" ref="Q633">INDEX(stable[is_multi_select],MATCH(VALUE(questions[[#This Row],[qno]]),VALUE(stable[qno]),0))</f>
        <v>0</v>
      </c>
      <c r="R633" s="77" t="b" cm="1">
        <f t="array" ref="R633">INDEX(stable[is_skip_logic],MATCH(VALUE(questions[[#This Row],[qno]]),VALUE(stable[qno]),0))</f>
        <v>1</v>
      </c>
      <c r="S633" s="77" t="str">
        <f>_xlfn.TEXTJOIN(", ",TRUE,questions[[#This Row],[ans_opt_1]:[ans_opt_14]])</f>
        <v>Manual removal, Mechanical removal, Mulching, Cover crops, Cover crops, Amix of different systems</v>
      </c>
      <c r="T633" s="77" t="s">
        <v>428</v>
      </c>
      <c r="U633" s="77" t="s">
        <v>429</v>
      </c>
      <c r="V633" s="77" t="s">
        <v>430</v>
      </c>
      <c r="W633" s="77" t="s">
        <v>431</v>
      </c>
      <c r="X633" s="77" t="s">
        <v>431</v>
      </c>
      <c r="Y633" s="131" t="s">
        <v>806</v>
      </c>
      <c r="AD633" s="121"/>
      <c r="AE633" s="121"/>
      <c r="AF633" s="121"/>
      <c r="AG633" s="121"/>
      <c r="AH633" s="98" t="b">
        <f>INDEX(stable[q_standard],MATCH(questions[[#This Row],[qno]],stable[qno],0))</f>
        <v>0</v>
      </c>
      <c r="AI633" s="98" t="b">
        <f>INDEX(stable[q_living_income],MATCH(questions[[#This Row],[qno]],stable[qno],0))</f>
        <v>0</v>
      </c>
      <c r="AJ633" s="98" t="b">
        <f>INDEX(stable[q_carbon],MATCH(questions[[#This Row],[qno]],stable[qno],0))</f>
        <v>0</v>
      </c>
      <c r="AK633" s="98" t="b">
        <f>INDEX(stable[q_regen_ag],MATCH(questions[[#This Row],[qno]],stable[qno],0))</f>
        <v>1</v>
      </c>
      <c r="AL633" s="98" t="b">
        <f>COUNTIFS(stable[qno],questions[[#This Row],[qno]])=1</f>
        <v>1</v>
      </c>
      <c r="AM633" s="98" t="b">
        <f>OR(questions[[#This Row],[is_fixed]],questions[[#This Row],[is_localized]],questions[[#This Row],[is_supply_chain_dependent]])</f>
        <v>1</v>
      </c>
      <c r="AN633" s="98" t="b">
        <f>COUNTIFS(questions[[#This Row],[is_automated]:[is_multi_select]],TRUE)=1</f>
        <v>1</v>
      </c>
      <c r="AO633" s="98" t="b">
        <f>IF(questions[[#This Row],[is_fixed]],questions[[#This Row],[question]]=INDEX(stable[question],MATCH(questions[[#This Row],[qno]],stable[qno],0)),TRUE)</f>
        <v>1</v>
      </c>
      <c r="AP633" s="98" t="str">
        <f>LEFT(questions[[#This Row],[question]],similarity_range)</f>
        <v>If you use or do not</v>
      </c>
      <c r="AQ633" s="98" t="str">
        <f>LEFT(INDEX(stable[question],MATCH(questions[[#This Row],[qno]],stable[qno],0)),similarity_range)</f>
        <v>If you use or do not</v>
      </c>
      <c r="AR633" s="98" t="b">
        <f>questions[[#This Row],[question_first_characters]]=questions[[#This Row],[stability_first_characters]]</f>
        <v>1</v>
      </c>
      <c r="AS633" s="98" t="b">
        <f>IF(OR(questions[[#This Row],[is_single_select]],questions[[#This Row],[is_multi_select]]),NOT(ISBLANK(questions[[#This Row],[answer_opt_combined]])),TRUE)</f>
        <v>1</v>
      </c>
    </row>
    <row r="634" spans="1:45" s="77" customFormat="1" ht="15.75" customHeight="1" x14ac:dyDescent="0.25">
      <c r="A634" s="77" t="str">
        <f>_xlfn.TEXTJOIN("_",TRUE,questions[[#This Row],[origin]:[qno]])</f>
        <v>Rwanda_Arabica_Nestle_Illy_IMPACT_2024_7300</v>
      </c>
      <c r="B634" s="77" t="s">
        <v>719</v>
      </c>
      <c r="C634" s="77" t="s">
        <v>59</v>
      </c>
      <c r="D634" s="77" t="s">
        <v>720</v>
      </c>
      <c r="E634" s="77">
        <v>2024</v>
      </c>
      <c r="F634" s="105" t="s">
        <v>433</v>
      </c>
      <c r="G634" s="78" t="s">
        <v>434</v>
      </c>
      <c r="H634" s="9" t="str" cm="1">
        <f t="array" ref="H634">INDEX(stableR[question],MATCH(VALUE(questions[[#This Row],[qno]]),VALUE(stableR[qno]),0))</f>
        <v>Do you irrigate your coffee crop and if yes, what irrigation system/s do you use? If the answer is NO, you do not need to answer the next question</v>
      </c>
      <c r="I634" s="9" t="b" cm="1">
        <f t="array" ref="I634">INDEX(stable[is_fixed],MATCH(VALUE(questions[[#This Row],[qno]]),VALUE(stable[qno]),0))</f>
        <v>1</v>
      </c>
      <c r="J634" s="9" t="b" cm="1">
        <f t="array" ref="J634">INDEX(stable[is_localized],MATCH(VALUE(questions[[#This Row],[qno]]),VALUE(stable[qno]),0))</f>
        <v>0</v>
      </c>
      <c r="K634" s="9" t="b" cm="1">
        <f t="array" ref="K634">INDEX(stable[is_supply_chain_dependent],MATCH(VALUE(questions[[#This Row],[qno]]),VALUE(stable[qno]),0))</f>
        <v>0</v>
      </c>
      <c r="L634" s="9" t="b" cm="1">
        <f t="array" ref="L634">INDEX(stable[is_mandatory],MATCH(VALUE(questions[[#This Row],[qno]]),VALUE(stable[qno]),0))</f>
        <v>1</v>
      </c>
      <c r="M634" s="9" t="b" cm="1">
        <f t="array" ref="M634">INDEX(stable[is_automated],MATCH(VALUE(questions[[#This Row],[qno]]),VALUE(stable[qno]),0))</f>
        <v>0</v>
      </c>
      <c r="N634" s="9" t="b" cm="1">
        <f t="array" ref="N634">INDEX(stable[is_free_text],MATCH(VALUE(questions[[#This Row],[qno]]),VALUE(stable[qno]),0))</f>
        <v>0</v>
      </c>
      <c r="O634" s="9" t="b" cm="1">
        <f t="array" ref="O634">INDEX(stable[is_numerical],MATCH(VALUE(questions[[#This Row],[qno]]),VALUE(stable[qno]),0))</f>
        <v>0</v>
      </c>
      <c r="P634" s="77" t="b" cm="1">
        <f t="array" ref="P634">INDEX(stable[is_single_select],MATCH(VALUE(questions[[#This Row],[qno]]),VALUE(stable[qno]),0))</f>
        <v>1</v>
      </c>
      <c r="Q634" s="77" t="b" cm="1">
        <f t="array" ref="Q634">INDEX(stable[is_multi_select],MATCH(VALUE(questions[[#This Row],[qno]]),VALUE(stable[qno]),0))</f>
        <v>0</v>
      </c>
      <c r="R634" s="77" t="b" cm="1">
        <f t="array" ref="R634">INDEX(stable[is_skip_logic],MATCH(VALUE(questions[[#This Row],[qno]]),VALUE(stable[qno]),0))</f>
        <v>0</v>
      </c>
      <c r="S634" s="77" t="str">
        <f>_xlfn.TEXTJOIN(", ",TRUE,questions[[#This Row],[ans_opt_1]:[ans_opt_14]])</f>
        <v>No, Yes / drip irrigation, Yes / minisprinkler irrigation, Yes / overhead irrigation (sprinklers, pivot, rain gun), Yes / flood-furrow-hose pipe irrigation</v>
      </c>
      <c r="T634" s="77" t="s">
        <v>119</v>
      </c>
      <c r="U634" s="77" t="s">
        <v>435</v>
      </c>
      <c r="V634" s="77" t="s">
        <v>436</v>
      </c>
      <c r="W634" s="77" t="s">
        <v>437</v>
      </c>
      <c r="X634" s="77" t="s">
        <v>438</v>
      </c>
      <c r="AD634" s="121"/>
      <c r="AE634" s="121"/>
      <c r="AF634" s="121"/>
      <c r="AG634" s="121"/>
      <c r="AH634" s="98" t="b">
        <f>INDEX(stable[q_standard],MATCH(questions[[#This Row],[qno]],stable[qno],0))</f>
        <v>0</v>
      </c>
      <c r="AI634" s="98" t="b">
        <f>INDEX(stable[q_living_income],MATCH(questions[[#This Row],[qno]],stable[qno],0))</f>
        <v>0</v>
      </c>
      <c r="AJ634" s="98" t="b">
        <f>INDEX(stable[q_carbon],MATCH(questions[[#This Row],[qno]],stable[qno],0))</f>
        <v>0</v>
      </c>
      <c r="AK634" s="98" t="b">
        <f>INDEX(stable[q_regen_ag],MATCH(questions[[#This Row],[qno]],stable[qno],0))</f>
        <v>1</v>
      </c>
      <c r="AL634" s="98" t="b">
        <f>COUNTIFS(stable[qno],questions[[#This Row],[qno]])=1</f>
        <v>1</v>
      </c>
      <c r="AM634" s="98" t="b">
        <f>OR(questions[[#This Row],[is_fixed]],questions[[#This Row],[is_localized]],questions[[#This Row],[is_supply_chain_dependent]])</f>
        <v>1</v>
      </c>
      <c r="AN634" s="98" t="b">
        <f>COUNTIFS(questions[[#This Row],[is_automated]:[is_multi_select]],TRUE)=1</f>
        <v>1</v>
      </c>
      <c r="AO634" s="98" t="b">
        <f>IF(questions[[#This Row],[is_fixed]],questions[[#This Row],[question]]=INDEX(stable[question],MATCH(questions[[#This Row],[qno]],stable[qno],0)),TRUE)</f>
        <v>0</v>
      </c>
      <c r="AP634" s="98" t="str">
        <f>LEFT(questions[[#This Row],[question]],similarity_range)</f>
        <v>Do you irrigate your</v>
      </c>
      <c r="AQ634" s="98" t="str">
        <f>LEFT(INDEX(stable[question],MATCH(questions[[#This Row],[qno]],stable[qno],0)),similarity_range)</f>
        <v>Do you irrigate your</v>
      </c>
      <c r="AR634" s="98" t="b">
        <f>questions[[#This Row],[question_first_characters]]=questions[[#This Row],[stability_first_characters]]</f>
        <v>1</v>
      </c>
      <c r="AS634" s="98" t="b">
        <f>IF(OR(questions[[#This Row],[is_single_select]],questions[[#This Row],[is_multi_select]]),NOT(ISBLANK(questions[[#This Row],[answer_opt_combined]])),TRUE)</f>
        <v>1</v>
      </c>
    </row>
    <row r="635" spans="1:45" s="77" customFormat="1" ht="15.75" customHeight="1" x14ac:dyDescent="0.25">
      <c r="A635" s="77" t="str">
        <f>_xlfn.TEXTJOIN("_",TRUE,questions[[#This Row],[origin]:[qno]])</f>
        <v>Rwanda_Arabica_Nestle_Illy_IMPACT_2024_7301</v>
      </c>
      <c r="B635" s="77" t="s">
        <v>719</v>
      </c>
      <c r="C635" s="77" t="s">
        <v>59</v>
      </c>
      <c r="D635" s="77" t="s">
        <v>720</v>
      </c>
      <c r="E635" s="77">
        <v>2024</v>
      </c>
      <c r="F635" s="105" t="s">
        <v>439</v>
      </c>
      <c r="G635" s="78" t="s">
        <v>440</v>
      </c>
      <c r="H635" s="9" t="str" cm="1">
        <f t="array" ref="H635">INDEX(stableR[question],MATCH(VALUE(questions[[#This Row],[qno]]),VALUE(stableR[qno]),0))</f>
        <v>Do you have a systems to know when and how much to irrigate and according to the irrigation system (balance sheet with rainfall and evapotranspiration, sensors, irrigation app-software, weather stations...)?</v>
      </c>
      <c r="I635" s="9" t="b" cm="1">
        <f t="array" ref="I635">INDEX(stable[is_fixed],MATCH(VALUE(questions[[#This Row],[qno]]),VALUE(stable[qno]),0))</f>
        <v>1</v>
      </c>
      <c r="J635" s="9" t="b" cm="1">
        <f t="array" ref="J635">INDEX(stable[is_localized],MATCH(VALUE(questions[[#This Row],[qno]]),VALUE(stable[qno]),0))</f>
        <v>0</v>
      </c>
      <c r="K635" s="9" t="b" cm="1">
        <f t="array" ref="K635">INDEX(stable[is_supply_chain_dependent],MATCH(VALUE(questions[[#This Row],[qno]]),VALUE(stable[qno]),0))</f>
        <v>0</v>
      </c>
      <c r="L635" s="9" t="b" cm="1">
        <f t="array" ref="L635">INDEX(stable[is_mandatory],MATCH(VALUE(questions[[#This Row],[qno]]),VALUE(stable[qno]),0))</f>
        <v>0</v>
      </c>
      <c r="M635" s="9" t="b" cm="1">
        <f t="array" ref="M635">INDEX(stable[is_automated],MATCH(VALUE(questions[[#This Row],[qno]]),VALUE(stable[qno]),0))</f>
        <v>0</v>
      </c>
      <c r="N635" s="9" t="b" cm="1">
        <f t="array" ref="N635">INDEX(stable[is_free_text],MATCH(VALUE(questions[[#This Row],[qno]]),VALUE(stable[qno]),0))</f>
        <v>0</v>
      </c>
      <c r="O635" s="9" t="b" cm="1">
        <f t="array" ref="O635">INDEX(stable[is_numerical],MATCH(VALUE(questions[[#This Row],[qno]]),VALUE(stable[qno]),0))</f>
        <v>0</v>
      </c>
      <c r="P635" s="77" t="b" cm="1">
        <f t="array" ref="P635">INDEX(stable[is_single_select],MATCH(VALUE(questions[[#This Row],[qno]]),VALUE(stable[qno]),0))</f>
        <v>1</v>
      </c>
      <c r="Q635" s="77" t="b" cm="1">
        <f t="array" ref="Q635">INDEX(stable[is_multi_select],MATCH(VALUE(questions[[#This Row],[qno]]),VALUE(stable[qno]),0))</f>
        <v>0</v>
      </c>
      <c r="R635" s="77" t="b" cm="1">
        <f t="array" ref="R635">INDEX(stable[is_skip_logic],MATCH(VALUE(questions[[#This Row],[qno]]),VALUE(stable[qno]),0))</f>
        <v>0</v>
      </c>
      <c r="S635" s="77" t="str">
        <f>_xlfn.TEXTJOIN(", ",TRUE,questions[[#This Row],[ans_opt_1]:[ans_opt_14]])</f>
        <v>Yes, No</v>
      </c>
      <c r="T635" s="77" t="s">
        <v>149</v>
      </c>
      <c r="U635" s="77" t="s">
        <v>119</v>
      </c>
      <c r="AD635" s="121"/>
      <c r="AE635" s="121"/>
      <c r="AF635" s="121"/>
      <c r="AG635" s="121"/>
      <c r="AH635" s="98" t="b">
        <f>INDEX(stable[q_standard],MATCH(questions[[#This Row],[qno]],stable[qno],0))</f>
        <v>0</v>
      </c>
      <c r="AI635" s="98" t="b">
        <f>INDEX(stable[q_living_income],MATCH(questions[[#This Row],[qno]],stable[qno],0))</f>
        <v>0</v>
      </c>
      <c r="AJ635" s="98" t="b">
        <f>INDEX(stable[q_carbon],MATCH(questions[[#This Row],[qno]],stable[qno],0))</f>
        <v>0</v>
      </c>
      <c r="AK635" s="98" t="b">
        <f>INDEX(stable[q_regen_ag],MATCH(questions[[#This Row],[qno]],stable[qno],0))</f>
        <v>1</v>
      </c>
      <c r="AL635" s="98" t="b">
        <f>COUNTIFS(stable[qno],questions[[#This Row],[qno]])=1</f>
        <v>1</v>
      </c>
      <c r="AM635" s="98" t="b">
        <f>OR(questions[[#This Row],[is_fixed]],questions[[#This Row],[is_localized]],questions[[#This Row],[is_supply_chain_dependent]])</f>
        <v>1</v>
      </c>
      <c r="AN635" s="98" t="b">
        <f>COUNTIFS(questions[[#This Row],[is_automated]:[is_multi_select]],TRUE)=1</f>
        <v>1</v>
      </c>
      <c r="AO635" s="98" t="b">
        <f>IF(questions[[#This Row],[is_fixed]],questions[[#This Row],[question]]=INDEX(stable[question],MATCH(questions[[#This Row],[qno]],stable[qno],0)),TRUE)</f>
        <v>1</v>
      </c>
      <c r="AP635" s="98" t="str">
        <f>LEFT(questions[[#This Row],[question]],similarity_range)</f>
        <v>Do you have a system</v>
      </c>
      <c r="AQ635" s="98" t="str">
        <f>LEFT(INDEX(stable[question],MATCH(questions[[#This Row],[qno]],stable[qno],0)),similarity_range)</f>
        <v>Do you have a system</v>
      </c>
      <c r="AR635" s="98" t="b">
        <f>questions[[#This Row],[question_first_characters]]=questions[[#This Row],[stability_first_characters]]</f>
        <v>1</v>
      </c>
      <c r="AS635" s="98" t="b">
        <f>IF(OR(questions[[#This Row],[is_single_select]],questions[[#This Row],[is_multi_select]]),NOT(ISBLANK(questions[[#This Row],[answer_opt_combined]])),TRUE)</f>
        <v>1</v>
      </c>
    </row>
    <row r="636" spans="1:45" s="77" customFormat="1" ht="15.75" customHeight="1" x14ac:dyDescent="0.25">
      <c r="A636" s="77" t="str">
        <f>_xlfn.TEXTJOIN("_",TRUE,questions[[#This Row],[origin]:[qno]])</f>
        <v>Rwanda_Arabica_Nestle_Illy_IMPACT_2024_7400</v>
      </c>
      <c r="B636" s="77" t="s">
        <v>719</v>
      </c>
      <c r="C636" s="77" t="s">
        <v>59</v>
      </c>
      <c r="D636" s="77" t="s">
        <v>720</v>
      </c>
      <c r="E636" s="77">
        <v>2024</v>
      </c>
      <c r="F636" s="105" t="s">
        <v>441</v>
      </c>
      <c r="G636" s="78" t="s">
        <v>442</v>
      </c>
      <c r="H636" s="9" t="str" cm="1">
        <f t="array" ref="H636">INDEX(stableR[question],MATCH(VALUE(questions[[#This Row],[qno]]),VALUE(stableR[qno]),0))</f>
        <v>Are you implementing a plan to renovate/rehabilitate the coffee trees of your coffee plots? e.g. stumping, partial stumping, capping, side pruning, uprooting and replanting, uprooting and planting new trees, or a mix of systems. If the answer is NO, you do not need to answer the next 2 questions</v>
      </c>
      <c r="I636" s="9" t="b" cm="1">
        <f t="array" ref="I636">INDEX(stable[is_fixed],MATCH(VALUE(questions[[#This Row],[qno]]),VALUE(stable[qno]),0))</f>
        <v>1</v>
      </c>
      <c r="J636" s="9" t="b" cm="1">
        <f t="array" ref="J636">INDEX(stable[is_localized],MATCH(VALUE(questions[[#This Row],[qno]]),VALUE(stable[qno]),0))</f>
        <v>0</v>
      </c>
      <c r="K636" s="9" t="b" cm="1">
        <f t="array" ref="K636">INDEX(stable[is_supply_chain_dependent],MATCH(VALUE(questions[[#This Row],[qno]]),VALUE(stable[qno]),0))</f>
        <v>0</v>
      </c>
      <c r="L636" s="9" t="b" cm="1">
        <f t="array" ref="L636">INDEX(stable[is_mandatory],MATCH(VALUE(questions[[#This Row],[qno]]),VALUE(stable[qno]),0))</f>
        <v>1</v>
      </c>
      <c r="M636" s="9" t="b" cm="1">
        <f t="array" ref="M636">INDEX(stable[is_automated],MATCH(VALUE(questions[[#This Row],[qno]]),VALUE(stable[qno]),0))</f>
        <v>0</v>
      </c>
      <c r="N636" s="9" t="b" cm="1">
        <f t="array" ref="N636">INDEX(stable[is_free_text],MATCH(VALUE(questions[[#This Row],[qno]]),VALUE(stable[qno]),0))</f>
        <v>0</v>
      </c>
      <c r="O636" s="9" t="b" cm="1">
        <f t="array" ref="O636">INDEX(stable[is_numerical],MATCH(VALUE(questions[[#This Row],[qno]]),VALUE(stable[qno]),0))</f>
        <v>0</v>
      </c>
      <c r="P636" s="77" t="b" cm="1">
        <f t="array" ref="P636">INDEX(stable[is_single_select],MATCH(VALUE(questions[[#This Row],[qno]]),VALUE(stable[qno]),0))</f>
        <v>1</v>
      </c>
      <c r="Q636" s="77" t="b" cm="1">
        <f t="array" ref="Q636">INDEX(stable[is_multi_select],MATCH(VALUE(questions[[#This Row],[qno]]),VALUE(stable[qno]),0))</f>
        <v>0</v>
      </c>
      <c r="R636" s="77" t="b" cm="1">
        <f t="array" ref="R636">INDEX(stable[is_skip_logic],MATCH(VALUE(questions[[#This Row],[qno]]),VALUE(stable[qno]),0))</f>
        <v>1</v>
      </c>
      <c r="S636" s="77" t="str">
        <f>_xlfn.TEXTJOIN(", ",TRUE,questions[[#This Row],[ans_opt_1]:[ans_opt_14]])</f>
        <v>Yes, No</v>
      </c>
      <c r="T636" s="77" t="s">
        <v>149</v>
      </c>
      <c r="U636" s="77" t="s">
        <v>119</v>
      </c>
      <c r="AD636" s="121"/>
      <c r="AE636" s="121"/>
      <c r="AF636" s="121"/>
      <c r="AG636" s="121"/>
      <c r="AH636" s="98" t="b">
        <f>INDEX(stable[q_standard],MATCH(questions[[#This Row],[qno]],stable[qno],0))</f>
        <v>0</v>
      </c>
      <c r="AI636" s="98" t="b">
        <f>INDEX(stable[q_living_income],MATCH(questions[[#This Row],[qno]],stable[qno],0))</f>
        <v>0</v>
      </c>
      <c r="AJ636" s="98" t="b">
        <f>INDEX(stable[q_carbon],MATCH(questions[[#This Row],[qno]],stable[qno],0))</f>
        <v>0</v>
      </c>
      <c r="AK636" s="98" t="b">
        <f>INDEX(stable[q_regen_ag],MATCH(questions[[#This Row],[qno]],stable[qno],0))</f>
        <v>1</v>
      </c>
      <c r="AL636" s="98" t="b">
        <f>COUNTIFS(stable[qno],questions[[#This Row],[qno]])=1</f>
        <v>1</v>
      </c>
      <c r="AM636" s="98" t="b">
        <f>OR(questions[[#This Row],[is_fixed]],questions[[#This Row],[is_localized]],questions[[#This Row],[is_supply_chain_dependent]])</f>
        <v>1</v>
      </c>
      <c r="AN636" s="98" t="b">
        <f>COUNTIFS(questions[[#This Row],[is_automated]:[is_multi_select]],TRUE)=1</f>
        <v>1</v>
      </c>
      <c r="AO636" s="98" t="b">
        <f>IF(questions[[#This Row],[is_fixed]],questions[[#This Row],[question]]=INDEX(stable[question],MATCH(questions[[#This Row],[qno]],stable[qno],0)),TRUE)</f>
        <v>0</v>
      </c>
      <c r="AP636" s="98" t="str">
        <f>LEFT(questions[[#This Row],[question]],similarity_range)</f>
        <v>Are you implementing</v>
      </c>
      <c r="AQ636" s="98" t="str">
        <f>LEFT(INDEX(stable[question],MATCH(questions[[#This Row],[qno]],stable[qno],0)),similarity_range)</f>
        <v>Are you implementing</v>
      </c>
      <c r="AR636" s="98" t="b">
        <f>questions[[#This Row],[question_first_characters]]=questions[[#This Row],[stability_first_characters]]</f>
        <v>1</v>
      </c>
      <c r="AS636" s="98" t="b">
        <f>IF(OR(questions[[#This Row],[is_single_select]],questions[[#This Row],[is_multi_select]]),NOT(ISBLANK(questions[[#This Row],[answer_opt_combined]])),TRUE)</f>
        <v>1</v>
      </c>
    </row>
    <row r="637" spans="1:45" s="77" customFormat="1" ht="15.75" customHeight="1" x14ac:dyDescent="0.25">
      <c r="A637" s="77" t="str">
        <f>_xlfn.TEXTJOIN("_",TRUE,questions[[#This Row],[origin]:[qno]])</f>
        <v>Rwanda_Arabica_Nestle_Illy_IMPACT_2024_7401</v>
      </c>
      <c r="B637" s="77" t="s">
        <v>719</v>
      </c>
      <c r="C637" s="77" t="s">
        <v>59</v>
      </c>
      <c r="D637" s="77" t="s">
        <v>720</v>
      </c>
      <c r="E637" s="77">
        <v>2024</v>
      </c>
      <c r="F637" s="105" t="s">
        <v>443</v>
      </c>
      <c r="G637" s="78" t="s">
        <v>807</v>
      </c>
      <c r="H637" s="9" t="str" cm="1">
        <f t="array" ref="H637">INDEX(stableR[question],MATCH(VALUE(questions[[#This Row],[qno]]),VALUE(stableR[qno]),0))</f>
        <v>What % or proportion of trees have you renovated/rehabilitated in last 3 years?</v>
      </c>
      <c r="I637" s="9" t="b" cm="1">
        <f t="array" ref="I637">INDEX(stable[is_fixed],MATCH(VALUE(questions[[#This Row],[qno]]),VALUE(stable[qno]),0))</f>
        <v>1</v>
      </c>
      <c r="J637" s="9" t="b" cm="1">
        <f t="array" ref="J637">INDEX(stable[is_localized],MATCH(VALUE(questions[[#This Row],[qno]]),VALUE(stable[qno]),0))</f>
        <v>0</v>
      </c>
      <c r="K637" s="9" t="b" cm="1">
        <f t="array" ref="K637">INDEX(stable[is_supply_chain_dependent],MATCH(VALUE(questions[[#This Row],[qno]]),VALUE(stable[qno]),0))</f>
        <v>0</v>
      </c>
      <c r="L637" s="9" t="b" cm="1">
        <f t="array" ref="L637">INDEX(stable[is_mandatory],MATCH(VALUE(questions[[#This Row],[qno]]),VALUE(stable[qno]),0))</f>
        <v>0</v>
      </c>
      <c r="M637" s="9" t="b" cm="1">
        <f t="array" ref="M637">INDEX(stable[is_automated],MATCH(VALUE(questions[[#This Row],[qno]]),VALUE(stable[qno]),0))</f>
        <v>0</v>
      </c>
      <c r="N637" s="9" t="b" cm="1">
        <f t="array" ref="N637">INDEX(stable[is_free_text],MATCH(VALUE(questions[[#This Row],[qno]]),VALUE(stable[qno]),0))</f>
        <v>0</v>
      </c>
      <c r="O637" s="9" t="b" cm="1">
        <f t="array" ref="O637">INDEX(stable[is_numerical],MATCH(VALUE(questions[[#This Row],[qno]]),VALUE(stable[qno]),0))</f>
        <v>0</v>
      </c>
      <c r="P637" s="77" t="b" cm="1">
        <f t="array" ref="P637">INDEX(stable[is_single_select],MATCH(VALUE(questions[[#This Row],[qno]]),VALUE(stable[qno]),0))</f>
        <v>1</v>
      </c>
      <c r="Q637" s="77" t="b" cm="1">
        <f t="array" ref="Q637">INDEX(stable[is_multi_select],MATCH(VALUE(questions[[#This Row],[qno]]),VALUE(stable[qno]),0))</f>
        <v>0</v>
      </c>
      <c r="R637" s="77" t="b" cm="1">
        <f t="array" ref="R637">INDEX(stable[is_skip_logic],MATCH(VALUE(questions[[#This Row],[qno]]),VALUE(stable[qno]),0))</f>
        <v>1</v>
      </c>
      <c r="S637" s="77" t="str">
        <f>_xlfn.TEXTJOIN(", ",TRUE,questions[[#This Row],[ans_opt_1]:[ans_opt_14]])</f>
        <v>1% to 10% - very little, 11% to 20% - little, 21% to 50% - less than half, 51% to 75% - more than half, 76% to 100% - almost all</v>
      </c>
      <c r="T637" s="77" t="s">
        <v>421</v>
      </c>
      <c r="U637" s="77" t="s">
        <v>422</v>
      </c>
      <c r="V637" s="77" t="s">
        <v>423</v>
      </c>
      <c r="W637" s="77" t="s">
        <v>340</v>
      </c>
      <c r="X637" s="77" t="s">
        <v>341</v>
      </c>
      <c r="AD637" s="121"/>
      <c r="AE637" s="121"/>
      <c r="AF637" s="121"/>
      <c r="AG637" s="121"/>
      <c r="AH637" s="98" t="b">
        <f>INDEX(stable[q_standard],MATCH(questions[[#This Row],[qno]],stable[qno],0))</f>
        <v>0</v>
      </c>
      <c r="AI637" s="98" t="b">
        <f>INDEX(stable[q_living_income],MATCH(questions[[#This Row],[qno]],stable[qno],0))</f>
        <v>0</v>
      </c>
      <c r="AJ637" s="98" t="b">
        <f>INDEX(stable[q_carbon],MATCH(questions[[#This Row],[qno]],stable[qno],0))</f>
        <v>0</v>
      </c>
      <c r="AK637" s="98" t="b">
        <f>INDEX(stable[q_regen_ag],MATCH(questions[[#This Row],[qno]],stable[qno],0))</f>
        <v>1</v>
      </c>
      <c r="AL637" s="98" t="b">
        <f>COUNTIFS(stable[qno],questions[[#This Row],[qno]])=1</f>
        <v>1</v>
      </c>
      <c r="AM637" s="98" t="b">
        <f>OR(questions[[#This Row],[is_fixed]],questions[[#This Row],[is_localized]],questions[[#This Row],[is_supply_chain_dependent]])</f>
        <v>1</v>
      </c>
      <c r="AN637" s="98" t="b">
        <f>COUNTIFS(questions[[#This Row],[is_automated]:[is_multi_select]],TRUE)=1</f>
        <v>1</v>
      </c>
      <c r="AO637" s="98" t="b">
        <f>IF(questions[[#This Row],[is_fixed]],questions[[#This Row],[question]]=INDEX(stable[question],MATCH(questions[[#This Row],[qno]],stable[qno],0)),TRUE)</f>
        <v>0</v>
      </c>
      <c r="AP637" s="98" t="str">
        <f>LEFT(questions[[#This Row],[question]],similarity_range)</f>
        <v>What % or proportion</v>
      </c>
      <c r="AQ637" s="98" t="str">
        <f>LEFT(INDEX(stable[question],MATCH(questions[[#This Row],[qno]],stable[qno],0)),similarity_range)</f>
        <v>What % or proportion</v>
      </c>
      <c r="AR637" s="98" t="b">
        <f>questions[[#This Row],[question_first_characters]]=questions[[#This Row],[stability_first_characters]]</f>
        <v>1</v>
      </c>
      <c r="AS637" s="98" t="b">
        <f>IF(OR(questions[[#This Row],[is_single_select]],questions[[#This Row],[is_multi_select]]),NOT(ISBLANK(questions[[#This Row],[answer_opt_combined]])),TRUE)</f>
        <v>1</v>
      </c>
    </row>
    <row r="638" spans="1:45" s="77" customFormat="1" ht="15.75" customHeight="1" x14ac:dyDescent="0.25">
      <c r="A638" s="77" t="str">
        <f>_xlfn.TEXTJOIN("_",TRUE,questions[[#This Row],[origin]:[qno]])</f>
        <v>Rwanda_Arabica_Nestle_Illy_IMPACT_2024_7402</v>
      </c>
      <c r="B638" s="77" t="s">
        <v>719</v>
      </c>
      <c r="C638" s="77" t="s">
        <v>59</v>
      </c>
      <c r="D638" s="77" t="s">
        <v>720</v>
      </c>
      <c r="E638" s="77">
        <v>2024</v>
      </c>
      <c r="F638" s="105" t="s">
        <v>445</v>
      </c>
      <c r="G638" s="78" t="s">
        <v>808</v>
      </c>
      <c r="H638" s="9" t="str" cm="1">
        <f t="array" ref="H638">INDEX(stableR[question],MATCH(VALUE(questions[[#This Row],[qno]]),VALUE(stableR[qno]),0))</f>
        <v>What is the main renovation-rehabilitation systems do you use to renovate/rehabilitate (e.g. full stumping, partial stumping, capping, side pruning, uprooting and planting new trees)?</v>
      </c>
      <c r="I638" s="9" t="b" cm="1">
        <f t="array" ref="I638">INDEX(stable[is_fixed],MATCH(VALUE(questions[[#This Row],[qno]]),VALUE(stable[qno]),0))</f>
        <v>1</v>
      </c>
      <c r="J638" s="9" t="b" cm="1">
        <f t="array" ref="J638">INDEX(stable[is_localized],MATCH(VALUE(questions[[#This Row],[qno]]),VALUE(stable[qno]),0))</f>
        <v>0</v>
      </c>
      <c r="K638" s="9" t="b" cm="1">
        <f t="array" ref="K638">INDEX(stable[is_supply_chain_dependent],MATCH(VALUE(questions[[#This Row],[qno]]),VALUE(stable[qno]),0))</f>
        <v>0</v>
      </c>
      <c r="L638" s="9" t="b" cm="1">
        <f t="array" ref="L638">INDEX(stable[is_mandatory],MATCH(VALUE(questions[[#This Row],[qno]]),VALUE(stable[qno]),0))</f>
        <v>0</v>
      </c>
      <c r="M638" s="9" t="b" cm="1">
        <f t="array" ref="M638">INDEX(stable[is_automated],MATCH(VALUE(questions[[#This Row],[qno]]),VALUE(stable[qno]),0))</f>
        <v>0</v>
      </c>
      <c r="N638" s="9" t="b" cm="1">
        <f t="array" ref="N638">INDEX(stable[is_free_text],MATCH(VALUE(questions[[#This Row],[qno]]),VALUE(stable[qno]),0))</f>
        <v>0</v>
      </c>
      <c r="O638" s="9" t="b" cm="1">
        <f t="array" ref="O638">INDEX(stable[is_numerical],MATCH(VALUE(questions[[#This Row],[qno]]),VALUE(stable[qno]),0))</f>
        <v>0</v>
      </c>
      <c r="P638" s="77" t="b" cm="1">
        <f t="array" ref="P638">INDEX(stable[is_single_select],MATCH(VALUE(questions[[#This Row],[qno]]),VALUE(stable[qno]),0))</f>
        <v>1</v>
      </c>
      <c r="Q638" s="77" t="b" cm="1">
        <f t="array" ref="Q638">INDEX(stable[is_multi_select],MATCH(VALUE(questions[[#This Row],[qno]]),VALUE(stable[qno]),0))</f>
        <v>0</v>
      </c>
      <c r="R638" s="77" t="b" cm="1">
        <f t="array" ref="R638">INDEX(stable[is_skip_logic],MATCH(VALUE(questions[[#This Row],[qno]]),VALUE(stable[qno]),0))</f>
        <v>1</v>
      </c>
      <c r="S638" s="77" t="str">
        <f>_xlfn.TEXTJOIN(", ",TRUE,questions[[#This Row],[ans_opt_1]:[ans_opt_14]])</f>
        <v>full stumping, partial stumping, capping, side pruning, capping and side prunning, uprooting and planting new trees</v>
      </c>
      <c r="T638" s="77" t="s">
        <v>447</v>
      </c>
      <c r="U638" s="77" t="s">
        <v>448</v>
      </c>
      <c r="V638" s="77" t="s">
        <v>449</v>
      </c>
      <c r="W638" s="77" t="s">
        <v>450</v>
      </c>
      <c r="X638" s="77" t="s">
        <v>451</v>
      </c>
      <c r="Y638" s="77" t="s">
        <v>452</v>
      </c>
      <c r="AD638" s="121"/>
      <c r="AE638" s="121"/>
      <c r="AF638" s="121"/>
      <c r="AG638" s="121"/>
      <c r="AH638" s="98" t="b">
        <f>INDEX(stable[q_standard],MATCH(questions[[#This Row],[qno]],stable[qno],0))</f>
        <v>0</v>
      </c>
      <c r="AI638" s="98" t="b">
        <f>INDEX(stable[q_living_income],MATCH(questions[[#This Row],[qno]],stable[qno],0))</f>
        <v>0</v>
      </c>
      <c r="AJ638" s="98" t="b">
        <f>INDEX(stable[q_carbon],MATCH(questions[[#This Row],[qno]],stable[qno],0))</f>
        <v>0</v>
      </c>
      <c r="AK638" s="98" t="b">
        <f>INDEX(stable[q_regen_ag],MATCH(questions[[#This Row],[qno]],stable[qno],0))</f>
        <v>1</v>
      </c>
      <c r="AL638" s="98" t="b">
        <f>COUNTIFS(stable[qno],questions[[#This Row],[qno]])=1</f>
        <v>1</v>
      </c>
      <c r="AM638" s="98" t="b">
        <f>OR(questions[[#This Row],[is_fixed]],questions[[#This Row],[is_localized]],questions[[#This Row],[is_supply_chain_dependent]])</f>
        <v>1</v>
      </c>
      <c r="AN638" s="98" t="b">
        <f>COUNTIFS(questions[[#This Row],[is_automated]:[is_multi_select]],TRUE)=1</f>
        <v>1</v>
      </c>
      <c r="AO638" s="98" t="b">
        <f>IF(questions[[#This Row],[is_fixed]],questions[[#This Row],[question]]=INDEX(stable[question],MATCH(questions[[#This Row],[qno]],stable[qno],0)),TRUE)</f>
        <v>0</v>
      </c>
      <c r="AP638" s="98" t="str">
        <f>LEFT(questions[[#This Row],[question]],similarity_range)</f>
        <v>What is the main ren</v>
      </c>
      <c r="AQ638" s="98" t="str">
        <f>LEFT(INDEX(stable[question],MATCH(questions[[#This Row],[qno]],stable[qno],0)),similarity_range)</f>
        <v>What is the main ren</v>
      </c>
      <c r="AR638" s="98" t="b">
        <f>questions[[#This Row],[question_first_characters]]=questions[[#This Row],[stability_first_characters]]</f>
        <v>1</v>
      </c>
      <c r="AS638" s="98" t="b">
        <f>IF(OR(questions[[#This Row],[is_single_select]],questions[[#This Row],[is_multi_select]]),NOT(ISBLANK(questions[[#This Row],[answer_opt_combined]])),TRUE)</f>
        <v>1</v>
      </c>
    </row>
    <row r="639" spans="1:45" s="77" customFormat="1" ht="15.75" customHeight="1" x14ac:dyDescent="0.25">
      <c r="A639" s="77" t="str">
        <f>_xlfn.TEXTJOIN("_",TRUE,questions[[#This Row],[origin]:[qno]])</f>
        <v>Rwanda_Arabica_Nestle_Illy_IMPACT_2024_7410</v>
      </c>
      <c r="B639" s="77" t="s">
        <v>719</v>
      </c>
      <c r="C639" s="77" t="s">
        <v>59</v>
      </c>
      <c r="D639" s="77" t="s">
        <v>720</v>
      </c>
      <c r="E639" s="77">
        <v>2024</v>
      </c>
      <c r="F639" s="105" t="s">
        <v>453</v>
      </c>
      <c r="G639" s="78" t="s">
        <v>454</v>
      </c>
      <c r="H639" s="9" t="str" cm="1">
        <f t="array" ref="H639">INDEX(stableR[question],MATCH(VALUE(questions[[#This Row],[qno]]),VALUE(stableR[qno]),0))</f>
        <v>How many coffee varieties do you grow in your coffee plots?</v>
      </c>
      <c r="I639" s="9" t="b" cm="1">
        <f t="array" ref="I639">INDEX(stable[is_fixed],MATCH(VALUE(questions[[#This Row],[qno]]),VALUE(stable[qno]),0))</f>
        <v>1</v>
      </c>
      <c r="J639" s="9" t="b" cm="1">
        <f t="array" ref="J639">INDEX(stable[is_localized],MATCH(VALUE(questions[[#This Row],[qno]]),VALUE(stable[qno]),0))</f>
        <v>0</v>
      </c>
      <c r="K639" s="9" t="b" cm="1">
        <f t="array" ref="K639">INDEX(stable[is_supply_chain_dependent],MATCH(VALUE(questions[[#This Row],[qno]]),VALUE(stable[qno]),0))</f>
        <v>0</v>
      </c>
      <c r="L639" s="9" t="b" cm="1">
        <f t="array" ref="L639">INDEX(stable[is_mandatory],MATCH(VALUE(questions[[#This Row],[qno]]),VALUE(stable[qno]),0))</f>
        <v>1</v>
      </c>
      <c r="M639" s="9" t="b" cm="1">
        <f t="array" ref="M639">INDEX(stable[is_automated],MATCH(VALUE(questions[[#This Row],[qno]]),VALUE(stable[qno]),0))</f>
        <v>0</v>
      </c>
      <c r="N639" s="9" t="b" cm="1">
        <f t="array" ref="N639">INDEX(stable[is_free_text],MATCH(VALUE(questions[[#This Row],[qno]]),VALUE(stable[qno]),0))</f>
        <v>0</v>
      </c>
      <c r="O639" s="9" t="b" cm="1">
        <f t="array" ref="O639">INDEX(stable[is_numerical],MATCH(VALUE(questions[[#This Row],[qno]]),VALUE(stable[qno]),0))</f>
        <v>0</v>
      </c>
      <c r="P639" s="77" t="b" cm="1">
        <f t="array" ref="P639">INDEX(stable[is_single_select],MATCH(VALUE(questions[[#This Row],[qno]]),VALUE(stable[qno]),0))</f>
        <v>1</v>
      </c>
      <c r="Q639" s="77" t="b" cm="1">
        <f t="array" ref="Q639">INDEX(stable[is_multi_select],MATCH(VALUE(questions[[#This Row],[qno]]),VALUE(stable[qno]),0))</f>
        <v>0</v>
      </c>
      <c r="R639" s="77" t="b" cm="1">
        <f t="array" ref="R639">INDEX(stable[is_skip_logic],MATCH(VALUE(questions[[#This Row],[qno]]),VALUE(stable[qno]),0))</f>
        <v>1</v>
      </c>
      <c r="S639" s="77" t="str">
        <f>_xlfn.TEXTJOIN(", ",TRUE,questions[[#This Row],[ans_opt_1]:[ans_opt_14]])</f>
        <v>1, 2, 3, 4, 5, &gt;5</v>
      </c>
      <c r="T639" s="77">
        <v>1</v>
      </c>
      <c r="U639" s="77">
        <v>2</v>
      </c>
      <c r="V639" s="77">
        <v>3</v>
      </c>
      <c r="W639" s="77">
        <v>4</v>
      </c>
      <c r="X639" s="77">
        <v>5</v>
      </c>
      <c r="Y639" s="77" t="s">
        <v>404</v>
      </c>
      <c r="AD639" s="121"/>
      <c r="AE639" s="121"/>
      <c r="AF639" s="121"/>
      <c r="AG639" s="121"/>
      <c r="AH639" s="98" t="b">
        <f>INDEX(stable[q_standard],MATCH(questions[[#This Row],[qno]],stable[qno],0))</f>
        <v>0</v>
      </c>
      <c r="AI639" s="98" t="b">
        <f>INDEX(stable[q_living_income],MATCH(questions[[#This Row],[qno]],stable[qno],0))</f>
        <v>0</v>
      </c>
      <c r="AJ639" s="98" t="b">
        <f>INDEX(stable[q_carbon],MATCH(questions[[#This Row],[qno]],stable[qno],0))</f>
        <v>0</v>
      </c>
      <c r="AK639" s="98" t="b">
        <f>INDEX(stable[q_regen_ag],MATCH(questions[[#This Row],[qno]],stable[qno],0))</f>
        <v>1</v>
      </c>
      <c r="AL639" s="98" t="b">
        <f>COUNTIFS(stable[qno],questions[[#This Row],[qno]])=1</f>
        <v>1</v>
      </c>
      <c r="AM639" s="98" t="b">
        <f>OR(questions[[#This Row],[is_fixed]],questions[[#This Row],[is_localized]],questions[[#This Row],[is_supply_chain_dependent]])</f>
        <v>1</v>
      </c>
      <c r="AN639" s="98" t="b">
        <f>COUNTIFS(questions[[#This Row],[is_automated]:[is_multi_select]],TRUE)=1</f>
        <v>1</v>
      </c>
      <c r="AO639" s="98" t="b">
        <f>IF(questions[[#This Row],[is_fixed]],questions[[#This Row],[question]]=INDEX(stable[question],MATCH(questions[[#This Row],[qno]],stable[qno],0)),TRUE)</f>
        <v>1</v>
      </c>
      <c r="AP639" s="98" t="str">
        <f>LEFT(questions[[#This Row],[question]],similarity_range)</f>
        <v>How many coffee vari</v>
      </c>
      <c r="AQ639" s="98" t="str">
        <f>LEFT(INDEX(stable[question],MATCH(questions[[#This Row],[qno]],stable[qno],0)),similarity_range)</f>
        <v>How many coffee vari</v>
      </c>
      <c r="AR639" s="98" t="b">
        <f>questions[[#This Row],[question_first_characters]]=questions[[#This Row],[stability_first_characters]]</f>
        <v>1</v>
      </c>
      <c r="AS639" s="98" t="b">
        <f>IF(OR(questions[[#This Row],[is_single_select]],questions[[#This Row],[is_multi_select]]),NOT(ISBLANK(questions[[#This Row],[answer_opt_combined]])),TRUE)</f>
        <v>1</v>
      </c>
    </row>
    <row r="640" spans="1:45" s="77" customFormat="1" ht="15.75" customHeight="1" x14ac:dyDescent="0.25">
      <c r="A640" s="77" t="str">
        <f>_xlfn.TEXTJOIN("_",TRUE,questions[[#This Row],[origin]:[qno]])</f>
        <v>Rwanda_Arabica_Nestle_Illy_IMPACT_2024_7411</v>
      </c>
      <c r="B640" s="77" t="s">
        <v>719</v>
      </c>
      <c r="C640" s="77" t="s">
        <v>59</v>
      </c>
      <c r="D640" s="77" t="s">
        <v>720</v>
      </c>
      <c r="E640" s="77">
        <v>2024</v>
      </c>
      <c r="F640" s="105" t="s">
        <v>455</v>
      </c>
      <c r="G640" s="78" t="s">
        <v>809</v>
      </c>
      <c r="H640" s="9" t="str" cm="1">
        <f t="array" ref="H640">INDEX(stableR[question],MATCH(VALUE(questions[[#This Row],[qno]]),VALUE(stableR[qno]),0))</f>
        <v>What % or proportion over the total number of trees of the cultivated area is planted with the main variety?</v>
      </c>
      <c r="I640" s="9" t="b" cm="1">
        <f t="array" ref="I640">INDEX(stable[is_fixed],MATCH(VALUE(questions[[#This Row],[qno]]),VALUE(stable[qno]),0))</f>
        <v>1</v>
      </c>
      <c r="J640" s="9" t="b" cm="1">
        <f t="array" ref="J640">INDEX(stable[is_localized],MATCH(VALUE(questions[[#This Row],[qno]]),VALUE(stable[qno]),0))</f>
        <v>0</v>
      </c>
      <c r="K640" s="9" t="b" cm="1">
        <f t="array" ref="K640">INDEX(stable[is_supply_chain_dependent],MATCH(VALUE(questions[[#This Row],[qno]]),VALUE(stable[qno]),0))</f>
        <v>0</v>
      </c>
      <c r="L640" s="9" t="b" cm="1">
        <f t="array" ref="L640">INDEX(stable[is_mandatory],MATCH(VALUE(questions[[#This Row],[qno]]),VALUE(stable[qno]),0))</f>
        <v>1</v>
      </c>
      <c r="M640" s="9" t="b" cm="1">
        <f t="array" ref="M640">INDEX(stable[is_automated],MATCH(VALUE(questions[[#This Row],[qno]]),VALUE(stable[qno]),0))</f>
        <v>0</v>
      </c>
      <c r="N640" s="9" t="b" cm="1">
        <f t="array" ref="N640">INDEX(stable[is_free_text],MATCH(VALUE(questions[[#This Row],[qno]]),VALUE(stable[qno]),0))</f>
        <v>0</v>
      </c>
      <c r="O640" s="9" t="b" cm="1">
        <f t="array" ref="O640">INDEX(stable[is_numerical],MATCH(VALUE(questions[[#This Row],[qno]]),VALUE(stable[qno]),0))</f>
        <v>0</v>
      </c>
      <c r="P640" s="77" t="b" cm="1">
        <f t="array" ref="P640">INDEX(stable[is_single_select],MATCH(VALUE(questions[[#This Row],[qno]]),VALUE(stable[qno]),0))</f>
        <v>1</v>
      </c>
      <c r="Q640" s="77" t="b" cm="1">
        <f t="array" ref="Q640">INDEX(stable[is_multi_select],MATCH(VALUE(questions[[#This Row],[qno]]),VALUE(stable[qno]),0))</f>
        <v>0</v>
      </c>
      <c r="R640" s="77" t="b" cm="1">
        <f t="array" ref="R640">INDEX(stable[is_skip_logic],MATCH(VALUE(questions[[#This Row],[qno]]),VALUE(stable[qno]),0))</f>
        <v>1</v>
      </c>
      <c r="S640" s="77" t="str">
        <f>_xlfn.TEXTJOIN(", ",TRUE,questions[[#This Row],[ans_opt_1]:[ans_opt_14]])</f>
        <v>1% to 25% - little to a quarter, 26% to 50% - less than half, 51% to 75% - more than half, 76% to 100% - almost all</v>
      </c>
      <c r="T640" s="77" t="s">
        <v>338</v>
      </c>
      <c r="U640" s="77" t="s">
        <v>339</v>
      </c>
      <c r="V640" s="77" t="s">
        <v>340</v>
      </c>
      <c r="W640" s="77" t="s">
        <v>341</v>
      </c>
      <c r="AD640" s="121"/>
      <c r="AE640" s="121"/>
      <c r="AF640" s="121"/>
      <c r="AG640" s="121"/>
      <c r="AH640" s="98" t="b">
        <f>INDEX(stable[q_standard],MATCH(questions[[#This Row],[qno]],stable[qno],0))</f>
        <v>0</v>
      </c>
      <c r="AI640" s="98" t="b">
        <f>INDEX(stable[q_living_income],MATCH(questions[[#This Row],[qno]],stable[qno],0))</f>
        <v>0</v>
      </c>
      <c r="AJ640" s="98" t="b">
        <f>INDEX(stable[q_carbon],MATCH(questions[[#This Row],[qno]],stable[qno],0))</f>
        <v>0</v>
      </c>
      <c r="AK640" s="98" t="b">
        <f>INDEX(stable[q_regen_ag],MATCH(questions[[#This Row],[qno]],stable[qno],0))</f>
        <v>1</v>
      </c>
      <c r="AL640" s="98" t="b">
        <f>COUNTIFS(stable[qno],questions[[#This Row],[qno]])=1</f>
        <v>1</v>
      </c>
      <c r="AM640" s="98" t="b">
        <f>OR(questions[[#This Row],[is_fixed]],questions[[#This Row],[is_localized]],questions[[#This Row],[is_supply_chain_dependent]])</f>
        <v>1</v>
      </c>
      <c r="AN640" s="98" t="b">
        <f>COUNTIFS(questions[[#This Row],[is_automated]:[is_multi_select]],TRUE)=1</f>
        <v>1</v>
      </c>
      <c r="AO640" s="98" t="b">
        <f>IF(questions[[#This Row],[is_fixed]],questions[[#This Row],[question]]=INDEX(stable[question],MATCH(questions[[#This Row],[qno]],stable[qno],0)),TRUE)</f>
        <v>0</v>
      </c>
      <c r="AP640" s="98" t="str">
        <f>LEFT(questions[[#This Row],[question]],similarity_range)</f>
        <v>What % or proportion</v>
      </c>
      <c r="AQ640" s="98" t="str">
        <f>LEFT(INDEX(stable[question],MATCH(questions[[#This Row],[qno]],stable[qno],0)),similarity_range)</f>
        <v>What % or proportion</v>
      </c>
      <c r="AR640" s="98" t="b">
        <f>questions[[#This Row],[question_first_characters]]=questions[[#This Row],[stability_first_characters]]</f>
        <v>1</v>
      </c>
      <c r="AS640" s="98" t="b">
        <f>IF(OR(questions[[#This Row],[is_single_select]],questions[[#This Row],[is_multi_select]]),NOT(ISBLANK(questions[[#This Row],[answer_opt_combined]])),TRUE)</f>
        <v>1</v>
      </c>
    </row>
    <row r="641" spans="1:45" s="77" customFormat="1" ht="15.75" customHeight="1" x14ac:dyDescent="0.25">
      <c r="A641" s="77" t="str">
        <f>_xlfn.TEXTJOIN("_",TRUE,questions[[#This Row],[origin]:[qno]])</f>
        <v>Rwanda_Arabica_Nestle_Illy_IMPACT_2024_7412</v>
      </c>
      <c r="B641" s="77" t="s">
        <v>719</v>
      </c>
      <c r="C641" s="77" t="s">
        <v>59</v>
      </c>
      <c r="D641" s="77" t="s">
        <v>720</v>
      </c>
      <c r="E641" s="77">
        <v>2024</v>
      </c>
      <c r="F641" s="105" t="s">
        <v>457</v>
      </c>
      <c r="G641" s="78" t="s">
        <v>458</v>
      </c>
      <c r="H641" s="9" t="str" cm="1">
        <f t="array" ref="H641">INDEX(stableR[question],MATCH(VALUE(questions[[#This Row],[qno]]),VALUE(stableR[qno]),0))</f>
        <v>If you grow only one variety, how many years ago was this variety planted?</v>
      </c>
      <c r="I641" s="9" t="b" cm="1">
        <f t="array" ref="I641">INDEX(stable[is_fixed],MATCH(VALUE(questions[[#This Row],[qno]]),VALUE(stable[qno]),0))</f>
        <v>1</v>
      </c>
      <c r="J641" s="9" t="b" cm="1">
        <f t="array" ref="J641">INDEX(stable[is_localized],MATCH(VALUE(questions[[#This Row],[qno]]),VALUE(stable[qno]),0))</f>
        <v>0</v>
      </c>
      <c r="K641" s="9" t="b" cm="1">
        <f t="array" ref="K641">INDEX(stable[is_supply_chain_dependent],MATCH(VALUE(questions[[#This Row],[qno]]),VALUE(stable[qno]),0))</f>
        <v>0</v>
      </c>
      <c r="L641" s="9" t="b" cm="1">
        <f t="array" ref="L641">INDEX(stable[is_mandatory],MATCH(VALUE(questions[[#This Row],[qno]]),VALUE(stable[qno]),0))</f>
        <v>0</v>
      </c>
      <c r="M641" s="9" t="b" cm="1">
        <f t="array" ref="M641">INDEX(stable[is_automated],MATCH(VALUE(questions[[#This Row],[qno]]),VALUE(stable[qno]),0))</f>
        <v>0</v>
      </c>
      <c r="N641" s="9" t="b" cm="1">
        <f t="array" ref="N641">INDEX(stable[is_free_text],MATCH(VALUE(questions[[#This Row],[qno]]),VALUE(stable[qno]),0))</f>
        <v>0</v>
      </c>
      <c r="O641" s="9" t="b" cm="1">
        <f t="array" ref="O641">INDEX(stable[is_numerical],MATCH(VALUE(questions[[#This Row],[qno]]),VALUE(stable[qno]),0))</f>
        <v>0</v>
      </c>
      <c r="P641" s="77" t="b" cm="1">
        <f t="array" ref="P641">INDEX(stable[is_single_select],MATCH(VALUE(questions[[#This Row],[qno]]),VALUE(stable[qno]),0))</f>
        <v>1</v>
      </c>
      <c r="Q641" s="77" t="b" cm="1">
        <f t="array" ref="Q641">INDEX(stable[is_multi_select],MATCH(VALUE(questions[[#This Row],[qno]]),VALUE(stable[qno]),0))</f>
        <v>0</v>
      </c>
      <c r="R641" s="77" t="b" cm="1">
        <f t="array" ref="R641">INDEX(stable[is_skip_logic],MATCH(VALUE(questions[[#This Row],[qno]]),VALUE(stable[qno]),0))</f>
        <v>1</v>
      </c>
      <c r="S641" s="77" t="str">
        <f>_xlfn.TEXTJOIN(", ",TRUE,questions[[#This Row],[ans_opt_1]:[ans_opt_14]])</f>
        <v>1-5 years, 6-10 years, 11-15 years, 15-20 years, 20-30 years, &gt;30 years</v>
      </c>
      <c r="T641" s="77" t="s">
        <v>459</v>
      </c>
      <c r="U641" s="77" t="s">
        <v>460</v>
      </c>
      <c r="V641" s="77" t="s">
        <v>461</v>
      </c>
      <c r="W641" s="77" t="s">
        <v>462</v>
      </c>
      <c r="X641" s="77" t="s">
        <v>463</v>
      </c>
      <c r="Y641" s="77" t="s">
        <v>464</v>
      </c>
      <c r="AD641" s="121"/>
      <c r="AE641" s="121"/>
      <c r="AF641" s="121"/>
      <c r="AG641" s="121"/>
      <c r="AH641" s="98" t="b">
        <f>INDEX(stable[q_standard],MATCH(questions[[#This Row],[qno]],stable[qno],0))</f>
        <v>0</v>
      </c>
      <c r="AI641" s="98" t="b">
        <f>INDEX(stable[q_living_income],MATCH(questions[[#This Row],[qno]],stable[qno],0))</f>
        <v>0</v>
      </c>
      <c r="AJ641" s="98" t="b">
        <f>INDEX(stable[q_carbon],MATCH(questions[[#This Row],[qno]],stable[qno],0))</f>
        <v>0</v>
      </c>
      <c r="AK641" s="98" t="b">
        <f>INDEX(stable[q_regen_ag],MATCH(questions[[#This Row],[qno]],stable[qno],0))</f>
        <v>1</v>
      </c>
      <c r="AL641" s="98" t="b">
        <f>COUNTIFS(stable[qno],questions[[#This Row],[qno]])=1</f>
        <v>1</v>
      </c>
      <c r="AM641" s="98" t="b">
        <f>OR(questions[[#This Row],[is_fixed]],questions[[#This Row],[is_localized]],questions[[#This Row],[is_supply_chain_dependent]])</f>
        <v>1</v>
      </c>
      <c r="AN641" s="98" t="b">
        <f>COUNTIFS(questions[[#This Row],[is_automated]:[is_multi_select]],TRUE)=1</f>
        <v>1</v>
      </c>
      <c r="AO641" s="98" t="b">
        <f>IF(questions[[#This Row],[is_fixed]],questions[[#This Row],[question]]=INDEX(stable[question],MATCH(questions[[#This Row],[qno]],stable[qno],0)),TRUE)</f>
        <v>1</v>
      </c>
      <c r="AP641" s="98" t="str">
        <f>LEFT(questions[[#This Row],[question]],similarity_range)</f>
        <v>If you grow only one</v>
      </c>
      <c r="AQ641" s="98" t="str">
        <f>LEFT(INDEX(stable[question],MATCH(questions[[#This Row],[qno]],stable[qno],0)),similarity_range)</f>
        <v>If you grow only one</v>
      </c>
      <c r="AR641" s="98" t="b">
        <f>questions[[#This Row],[question_first_characters]]=questions[[#This Row],[stability_first_characters]]</f>
        <v>1</v>
      </c>
      <c r="AS641" s="98" t="b">
        <f>IF(OR(questions[[#This Row],[is_single_select]],questions[[#This Row],[is_multi_select]]),NOT(ISBLANK(questions[[#This Row],[answer_opt_combined]])),TRUE)</f>
        <v>1</v>
      </c>
    </row>
    <row r="642" spans="1:45" s="77" customFormat="1" ht="15.75" customHeight="1" x14ac:dyDescent="0.25">
      <c r="A642" s="77" t="str">
        <f>_xlfn.TEXTJOIN("_",TRUE,questions[[#This Row],[origin]:[qno]])</f>
        <v>Rwanda_Arabica_Nestle_Illy_IMPACT_2024_7500</v>
      </c>
      <c r="B642" s="77" t="s">
        <v>719</v>
      </c>
      <c r="C642" s="77" t="s">
        <v>59</v>
      </c>
      <c r="D642" s="77" t="s">
        <v>720</v>
      </c>
      <c r="E642" s="77">
        <v>2024</v>
      </c>
      <c r="F642" s="105" t="s">
        <v>465</v>
      </c>
      <c r="G642" s="78" t="s">
        <v>810</v>
      </c>
      <c r="H642" s="9" t="str" cm="1">
        <f t="array" ref="H642">INDEX(stableR[question],MATCH(VALUE(questions[[#This Row],[qno]]),VALUE(stableR[qno]),0))</f>
        <v>Do you plant shade trees and/or fruit trees in your coffee plots?</v>
      </c>
      <c r="I642" s="9" t="b" cm="1">
        <f t="array" ref="I642">INDEX(stable[is_fixed],MATCH(VALUE(questions[[#This Row],[qno]]),VALUE(stable[qno]),0))</f>
        <v>0</v>
      </c>
      <c r="J642" s="9" t="b" cm="1">
        <f t="array" ref="J642">INDEX(stable[is_localized],MATCH(VALUE(questions[[#This Row],[qno]]),VALUE(stable[qno]),0))</f>
        <v>1</v>
      </c>
      <c r="K642" s="9" t="b" cm="1">
        <f t="array" ref="K642">INDEX(stable[is_supply_chain_dependent],MATCH(VALUE(questions[[#This Row],[qno]]),VALUE(stable[qno]),0))</f>
        <v>0</v>
      </c>
      <c r="L642" s="9" t="b" cm="1">
        <f t="array" ref="L642">INDEX(stable[is_mandatory],MATCH(VALUE(questions[[#This Row],[qno]]),VALUE(stable[qno]),0))</f>
        <v>1</v>
      </c>
      <c r="M642" s="9" t="b" cm="1">
        <f t="array" ref="M642">INDEX(stable[is_automated],MATCH(VALUE(questions[[#This Row],[qno]]),VALUE(stable[qno]),0))</f>
        <v>0</v>
      </c>
      <c r="N642" s="9" t="b" cm="1">
        <f t="array" ref="N642">INDEX(stable[is_free_text],MATCH(VALUE(questions[[#This Row],[qno]]),VALUE(stable[qno]),0))</f>
        <v>0</v>
      </c>
      <c r="O642" s="9" t="b" cm="1">
        <f t="array" ref="O642">INDEX(stable[is_numerical],MATCH(VALUE(questions[[#This Row],[qno]]),VALUE(stable[qno]),0))</f>
        <v>0</v>
      </c>
      <c r="P642" s="77" t="b" cm="1">
        <f t="array" ref="P642">INDEX(stable[is_single_select],MATCH(VALUE(questions[[#This Row],[qno]]),VALUE(stable[qno]),0))</f>
        <v>1</v>
      </c>
      <c r="Q642" s="77" t="b" cm="1">
        <f t="array" ref="Q642">INDEX(stable[is_multi_select],MATCH(VALUE(questions[[#This Row],[qno]]),VALUE(stable[qno]),0))</f>
        <v>0</v>
      </c>
      <c r="R642" s="77" t="b" cm="1">
        <f t="array" ref="R642">INDEX(stable[is_skip_logic],MATCH(VALUE(questions[[#This Row],[qno]]),VALUE(stable[qno]),0))</f>
        <v>1</v>
      </c>
      <c r="S642" s="77" t="str">
        <f>_xlfn.TEXTJOIN(", ",TRUE,questions[[#This Row],[ans_opt_1]:[ans_opt_14]])</f>
        <v>No, Yes - forest shade trees, Yes - fruit trees, Yes - mix of forest shade trees and fruit trees</v>
      </c>
      <c r="T642" s="77" t="s">
        <v>119</v>
      </c>
      <c r="U642" s="77" t="s">
        <v>467</v>
      </c>
      <c r="V642" s="77" t="s">
        <v>468</v>
      </c>
      <c r="W642" s="77" t="s">
        <v>469</v>
      </c>
      <c r="AD642" s="121"/>
      <c r="AE642" s="121"/>
      <c r="AF642" s="121"/>
      <c r="AG642" s="121"/>
      <c r="AH642" s="98" t="b">
        <f>INDEX(stable[q_standard],MATCH(questions[[#This Row],[qno]],stable[qno],0))</f>
        <v>0</v>
      </c>
      <c r="AI642" s="98" t="b">
        <f>INDEX(stable[q_living_income],MATCH(questions[[#This Row],[qno]],stable[qno],0))</f>
        <v>0</v>
      </c>
      <c r="AJ642" s="98" t="b">
        <f>INDEX(stable[q_carbon],MATCH(questions[[#This Row],[qno]],stable[qno],0))</f>
        <v>0</v>
      </c>
      <c r="AK642" s="98" t="b">
        <f>INDEX(stable[q_regen_ag],MATCH(questions[[#This Row],[qno]],stable[qno],0))</f>
        <v>1</v>
      </c>
      <c r="AL642" s="98" t="b">
        <f>COUNTIFS(stable[qno],questions[[#This Row],[qno]])=1</f>
        <v>1</v>
      </c>
      <c r="AM642" s="98" t="b">
        <f>OR(questions[[#This Row],[is_fixed]],questions[[#This Row],[is_localized]],questions[[#This Row],[is_supply_chain_dependent]])</f>
        <v>1</v>
      </c>
      <c r="AN642" s="98" t="b">
        <f>COUNTIFS(questions[[#This Row],[is_automated]:[is_multi_select]],TRUE)=1</f>
        <v>1</v>
      </c>
      <c r="AO642" s="98" t="b">
        <f>IF(questions[[#This Row],[is_fixed]],questions[[#This Row],[question]]=INDEX(stable[question],MATCH(questions[[#This Row],[qno]],stable[qno],0)),TRUE)</f>
        <v>1</v>
      </c>
      <c r="AP642" s="98" t="str">
        <f>LEFT(questions[[#This Row],[question]],similarity_range)</f>
        <v>Do you plant shade t</v>
      </c>
      <c r="AQ642" s="98" t="str">
        <f>LEFT(INDEX(stable[question],MATCH(questions[[#This Row],[qno]],stable[qno],0)),similarity_range)</f>
        <v>Do you plant shade t</v>
      </c>
      <c r="AR642" s="98" t="b">
        <f>questions[[#This Row],[question_first_characters]]=questions[[#This Row],[stability_first_characters]]</f>
        <v>1</v>
      </c>
      <c r="AS642" s="98" t="b">
        <f>IF(OR(questions[[#This Row],[is_single_select]],questions[[#This Row],[is_multi_select]]),NOT(ISBLANK(questions[[#This Row],[answer_opt_combined]])),TRUE)</f>
        <v>1</v>
      </c>
    </row>
    <row r="643" spans="1:45" s="77" customFormat="1" ht="15.75" customHeight="1" x14ac:dyDescent="0.25">
      <c r="A643" s="77" t="str">
        <f>_xlfn.TEXTJOIN("_",TRUE,questions[[#This Row],[origin]:[qno]])</f>
        <v>Rwanda_Arabica_Nestle_Illy_IMPACT_2024_7501</v>
      </c>
      <c r="B643" s="77" t="s">
        <v>719</v>
      </c>
      <c r="C643" s="77" t="s">
        <v>59</v>
      </c>
      <c r="D643" s="77" t="s">
        <v>720</v>
      </c>
      <c r="E643" s="77">
        <v>2024</v>
      </c>
      <c r="F643" s="105" t="s">
        <v>470</v>
      </c>
      <c r="G643" s="78" t="s">
        <v>811</v>
      </c>
      <c r="H643" s="9" t="str" cm="1">
        <f t="array" ref="H643">INDEX(stableR[question],MATCH(VALUE(questions[[#This Row],[qno]]),VALUE(stableR[qno]),0))</f>
        <v>If so, on what % or proportion of your coffee plots do you have shade and/or fruit trees? e.g. if all agro-forestry trees are only distributed in a quarter of the coffee plot, and the rest of the plot does not have agro-forestry trees, then it is 25%</v>
      </c>
      <c r="I643" s="9" t="b" cm="1">
        <f t="array" ref="I643">INDEX(stable[is_fixed],MATCH(VALUE(questions[[#This Row],[qno]]),VALUE(stable[qno]),0))</f>
        <v>1</v>
      </c>
      <c r="J643" s="9" t="b" cm="1">
        <f t="array" ref="J643">INDEX(stable[is_localized],MATCH(VALUE(questions[[#This Row],[qno]]),VALUE(stable[qno]),0))</f>
        <v>0</v>
      </c>
      <c r="K643" s="9" t="b" cm="1">
        <f t="array" ref="K643">INDEX(stable[is_supply_chain_dependent],MATCH(VALUE(questions[[#This Row],[qno]]),VALUE(stable[qno]),0))</f>
        <v>0</v>
      </c>
      <c r="L643" s="9" t="b" cm="1">
        <f t="array" ref="L643">INDEX(stable[is_mandatory],MATCH(VALUE(questions[[#This Row],[qno]]),VALUE(stable[qno]),0))</f>
        <v>0</v>
      </c>
      <c r="M643" s="9" t="b" cm="1">
        <f t="array" ref="M643">INDEX(stable[is_automated],MATCH(VALUE(questions[[#This Row],[qno]]),VALUE(stable[qno]),0))</f>
        <v>0</v>
      </c>
      <c r="N643" s="9" t="b" cm="1">
        <f t="array" ref="N643">INDEX(stable[is_free_text],MATCH(VALUE(questions[[#This Row],[qno]]),VALUE(stable[qno]),0))</f>
        <v>0</v>
      </c>
      <c r="O643" s="9" t="b" cm="1">
        <f t="array" ref="O643">INDEX(stable[is_numerical],MATCH(VALUE(questions[[#This Row],[qno]]),VALUE(stable[qno]),0))</f>
        <v>0</v>
      </c>
      <c r="P643" s="77" t="b" cm="1">
        <f t="array" ref="P643">INDEX(stable[is_single_select],MATCH(VALUE(questions[[#This Row],[qno]]),VALUE(stable[qno]),0))</f>
        <v>1</v>
      </c>
      <c r="Q643" s="77" t="b" cm="1">
        <f t="array" ref="Q643">INDEX(stable[is_multi_select],MATCH(VALUE(questions[[#This Row],[qno]]),VALUE(stable[qno]),0))</f>
        <v>0</v>
      </c>
      <c r="R643" s="77" t="b" cm="1">
        <f t="array" ref="R643">INDEX(stable[is_skip_logic],MATCH(VALUE(questions[[#This Row],[qno]]),VALUE(stable[qno]),0))</f>
        <v>1</v>
      </c>
      <c r="S643" s="77" t="str">
        <f>_xlfn.TEXTJOIN(", ",TRUE,questions[[#This Row],[ans_opt_1]:[ans_opt_14]])</f>
        <v>1% to 25% - little to a quarter, 26% to 50% - less than half, 51% to 75% - more than half, 76% to 100% - almost all</v>
      </c>
      <c r="T643" s="77" t="s">
        <v>338</v>
      </c>
      <c r="U643" s="77" t="s">
        <v>339</v>
      </c>
      <c r="V643" s="77" t="s">
        <v>340</v>
      </c>
      <c r="W643" s="77" t="s">
        <v>341</v>
      </c>
      <c r="AD643" s="121"/>
      <c r="AE643" s="121"/>
      <c r="AF643" s="121"/>
      <c r="AG643" s="121"/>
      <c r="AH643" s="98" t="b">
        <f>INDEX(stable[q_standard],MATCH(questions[[#This Row],[qno]],stable[qno],0))</f>
        <v>0</v>
      </c>
      <c r="AI643" s="98" t="b">
        <f>INDEX(stable[q_living_income],MATCH(questions[[#This Row],[qno]],stable[qno],0))</f>
        <v>0</v>
      </c>
      <c r="AJ643" s="98" t="b">
        <f>INDEX(stable[q_carbon],MATCH(questions[[#This Row],[qno]],stable[qno],0))</f>
        <v>0</v>
      </c>
      <c r="AK643" s="98" t="b">
        <f>INDEX(stable[q_regen_ag],MATCH(questions[[#This Row],[qno]],stable[qno],0))</f>
        <v>1</v>
      </c>
      <c r="AL643" s="98" t="b">
        <f>COUNTIFS(stable[qno],questions[[#This Row],[qno]])=1</f>
        <v>1</v>
      </c>
      <c r="AM643" s="98" t="b">
        <f>OR(questions[[#This Row],[is_fixed]],questions[[#This Row],[is_localized]],questions[[#This Row],[is_supply_chain_dependent]])</f>
        <v>1</v>
      </c>
      <c r="AN643" s="98" t="b">
        <f>COUNTIFS(questions[[#This Row],[is_automated]:[is_multi_select]],TRUE)=1</f>
        <v>1</v>
      </c>
      <c r="AO643" s="98" t="b">
        <f>IF(questions[[#This Row],[is_fixed]],questions[[#This Row],[question]]=INDEX(stable[question],MATCH(questions[[#This Row],[qno]],stable[qno],0)),TRUE)</f>
        <v>0</v>
      </c>
      <c r="AP643" s="98" t="str">
        <f>LEFT(questions[[#This Row],[question]],similarity_range)</f>
        <v xml:space="preserve">If so, on what % or </v>
      </c>
      <c r="AQ643" s="98" t="str">
        <f>LEFT(INDEX(stable[question],MATCH(questions[[#This Row],[qno]],stable[qno],0)),similarity_range)</f>
        <v xml:space="preserve">If so, on what % or </v>
      </c>
      <c r="AR643" s="98" t="b">
        <f>questions[[#This Row],[question_first_characters]]=questions[[#This Row],[stability_first_characters]]</f>
        <v>1</v>
      </c>
      <c r="AS643" s="98" t="b">
        <f>IF(OR(questions[[#This Row],[is_single_select]],questions[[#This Row],[is_multi_select]]),NOT(ISBLANK(questions[[#This Row],[answer_opt_combined]])),TRUE)</f>
        <v>1</v>
      </c>
    </row>
    <row r="644" spans="1:45" ht="15.75" customHeight="1" x14ac:dyDescent="0.25">
      <c r="A644" s="9" t="str">
        <f>_xlfn.TEXTJOIN("_",TRUE,questions[[#This Row],[origin]:[qno]])</f>
        <v>Rwanda_Arabica_Nestle_Illy_IMPACT_2024_7502</v>
      </c>
      <c r="B644" s="9" t="s">
        <v>719</v>
      </c>
      <c r="C644" s="9" t="s">
        <v>59</v>
      </c>
      <c r="D644" s="9" t="s">
        <v>720</v>
      </c>
      <c r="E644" s="9">
        <v>2024</v>
      </c>
      <c r="F644" s="36" t="s">
        <v>472</v>
      </c>
      <c r="G644" s="15" t="s">
        <v>473</v>
      </c>
      <c r="H644" s="9" t="str" cm="1">
        <f t="array" ref="H644">INDEX(stableR[question],MATCH(VALUE(questions[[#This Row],[qno]]),VALUE(stableR[qno]),0))</f>
        <v>How many different species of shade and/or fruit trees do you have in your coffee plots?</v>
      </c>
      <c r="I644" s="9" t="b" cm="1">
        <f t="array" ref="I644">INDEX(stable[is_fixed],MATCH(VALUE(questions[[#This Row],[qno]]),VALUE(stable[qno]),0))</f>
        <v>1</v>
      </c>
      <c r="J644" s="9" t="b" cm="1">
        <f t="array" ref="J644">INDEX(stable[is_localized],MATCH(VALUE(questions[[#This Row],[qno]]),VALUE(stable[qno]),0))</f>
        <v>0</v>
      </c>
      <c r="K644" s="9" t="b" cm="1">
        <f t="array" ref="K644">INDEX(stable[is_supply_chain_dependent],MATCH(VALUE(questions[[#This Row],[qno]]),VALUE(stable[qno]),0))</f>
        <v>0</v>
      </c>
      <c r="L644" s="9" t="b" cm="1">
        <f t="array" ref="L644">INDEX(stable[is_mandatory],MATCH(VALUE(questions[[#This Row],[qno]]),VALUE(stable[qno]),0))</f>
        <v>0</v>
      </c>
      <c r="M644" s="9" t="b" cm="1">
        <f t="array" ref="M644">INDEX(stable[is_automated],MATCH(VALUE(questions[[#This Row],[qno]]),VALUE(stable[qno]),0))</f>
        <v>0</v>
      </c>
      <c r="N644" s="9" t="b" cm="1">
        <f t="array" ref="N644">INDEX(stable[is_free_text],MATCH(VALUE(questions[[#This Row],[qno]]),VALUE(stable[qno]),0))</f>
        <v>0</v>
      </c>
      <c r="O644" s="9" t="b" cm="1">
        <f t="array" ref="O644">INDEX(stable[is_numerical],MATCH(VALUE(questions[[#This Row],[qno]]),VALUE(stable[qno]),0))</f>
        <v>1</v>
      </c>
      <c r="P644" s="9" t="b" cm="1">
        <f t="array" ref="P644">INDEX(stable[is_single_select],MATCH(VALUE(questions[[#This Row],[qno]]),VALUE(stable[qno]),0))</f>
        <v>0</v>
      </c>
      <c r="Q644" s="9" t="b" cm="1">
        <f t="array" ref="Q644">INDEX(stable[is_multi_select],MATCH(VALUE(questions[[#This Row],[qno]]),VALUE(stable[qno]),0))</f>
        <v>0</v>
      </c>
      <c r="R644" s="9" t="b" cm="1">
        <f t="array" ref="R644">INDEX(stable[is_skip_logic],MATCH(VALUE(questions[[#This Row],[qno]]),VALUE(stable[qno]),0))</f>
        <v>0</v>
      </c>
      <c r="S644" s="9" t="str">
        <f>_xlfn.TEXTJOIN(", ",TRUE,questions[[#This Row],[ans_opt_1]:[ans_opt_14]])</f>
        <v/>
      </c>
      <c r="AD644" s="40"/>
      <c r="AE644" s="40"/>
      <c r="AF644" s="40"/>
      <c r="AG644" s="40"/>
      <c r="AH644" s="16" t="b">
        <f>INDEX(stable[q_standard],MATCH(questions[[#This Row],[qno]],stable[qno],0))</f>
        <v>0</v>
      </c>
      <c r="AI644" s="16" t="b">
        <f>INDEX(stable[q_living_income],MATCH(questions[[#This Row],[qno]],stable[qno],0))</f>
        <v>0</v>
      </c>
      <c r="AJ644" s="16" t="b">
        <f>INDEX(stable[q_carbon],MATCH(questions[[#This Row],[qno]],stable[qno],0))</f>
        <v>0</v>
      </c>
      <c r="AK644" s="16" t="b">
        <f>INDEX(stable[q_regen_ag],MATCH(questions[[#This Row],[qno]],stable[qno],0))</f>
        <v>1</v>
      </c>
      <c r="AL644" s="16" t="b">
        <f>COUNTIFS(stable[qno],questions[[#This Row],[qno]])=1</f>
        <v>1</v>
      </c>
      <c r="AM644" s="16" t="b">
        <f>OR(questions[[#This Row],[is_fixed]],questions[[#This Row],[is_localized]],questions[[#This Row],[is_supply_chain_dependent]])</f>
        <v>1</v>
      </c>
      <c r="AN644" s="16" t="b">
        <f>COUNTIFS(questions[[#This Row],[is_automated]:[is_multi_select]],TRUE)=1</f>
        <v>1</v>
      </c>
      <c r="AO644" s="16" t="b">
        <f>IF(questions[[#This Row],[is_fixed]],questions[[#This Row],[question]]=INDEX(stable[question],MATCH(questions[[#This Row],[qno]],stable[qno],0)),TRUE)</f>
        <v>1</v>
      </c>
      <c r="AP644" s="16" t="str">
        <f>LEFT(questions[[#This Row],[question]],similarity_range)</f>
        <v>How many different s</v>
      </c>
      <c r="AQ644" s="16" t="str">
        <f>LEFT(INDEX(stable[question],MATCH(questions[[#This Row],[qno]],stable[qno],0)),similarity_range)</f>
        <v>How many different s</v>
      </c>
      <c r="AR644" s="16" t="b">
        <f>questions[[#This Row],[question_first_characters]]=questions[[#This Row],[stability_first_characters]]</f>
        <v>1</v>
      </c>
      <c r="AS644" s="16" t="b">
        <f>IF(OR(questions[[#This Row],[is_single_select]],questions[[#This Row],[is_multi_select]]),NOT(ISBLANK(questions[[#This Row],[answer_opt_combined]])),TRUE)</f>
        <v>1</v>
      </c>
    </row>
    <row r="645" spans="1:45" ht="15.75" customHeight="1" x14ac:dyDescent="0.25">
      <c r="A645" s="9" t="str">
        <f>_xlfn.TEXTJOIN("_",TRUE,questions[[#This Row],[origin]:[qno]])</f>
        <v>Rwanda_Arabica_Nestle_Illy_IMPACT_2024_7503</v>
      </c>
      <c r="B645" s="9" t="s">
        <v>719</v>
      </c>
      <c r="C645" s="9" t="s">
        <v>59</v>
      </c>
      <c r="D645" s="9" t="s">
        <v>720</v>
      </c>
      <c r="E645" s="9">
        <v>2024</v>
      </c>
      <c r="F645" s="36" t="s">
        <v>474</v>
      </c>
      <c r="G645" s="15" t="s">
        <v>475</v>
      </c>
      <c r="H645" s="9" t="str" cm="1">
        <f t="array" ref="H645">INDEX(stableR[question],MATCH(VALUE(questions[[#This Row],[qno]]),VALUE(stableR[qno]),0))</f>
        <v>Can you estimate how many shade trees (including fruit and other trees) you have in your coffee plots, in total (inside and boundary trees)?</v>
      </c>
      <c r="I645" s="9" t="b" cm="1">
        <f t="array" ref="I645">INDEX(stable[is_fixed],MATCH(VALUE(questions[[#This Row],[qno]]),VALUE(stable[qno]),0))</f>
        <v>1</v>
      </c>
      <c r="J645" s="9" t="b" cm="1">
        <f t="array" ref="J645">INDEX(stable[is_localized],MATCH(VALUE(questions[[#This Row],[qno]]),VALUE(stable[qno]),0))</f>
        <v>0</v>
      </c>
      <c r="K645" s="9" t="b" cm="1">
        <f t="array" ref="K645">INDEX(stable[is_supply_chain_dependent],MATCH(VALUE(questions[[#This Row],[qno]]),VALUE(stable[qno]),0))</f>
        <v>0</v>
      </c>
      <c r="L645" s="9" t="b" cm="1">
        <f t="array" ref="L645">INDEX(stable[is_mandatory],MATCH(VALUE(questions[[#This Row],[qno]]),VALUE(stable[qno]),0))</f>
        <v>0</v>
      </c>
      <c r="M645" s="9" t="b" cm="1">
        <f t="array" ref="M645">INDEX(stable[is_automated],MATCH(VALUE(questions[[#This Row],[qno]]),VALUE(stable[qno]),0))</f>
        <v>0</v>
      </c>
      <c r="N645" s="9" t="b" cm="1">
        <f t="array" ref="N645">INDEX(stable[is_free_text],MATCH(VALUE(questions[[#This Row],[qno]]),VALUE(stable[qno]),0))</f>
        <v>0</v>
      </c>
      <c r="O645" s="9" t="b" cm="1">
        <f t="array" ref="O645">INDEX(stable[is_numerical],MATCH(VALUE(questions[[#This Row],[qno]]),VALUE(stable[qno]),0))</f>
        <v>1</v>
      </c>
      <c r="P645" s="9" t="b" cm="1">
        <f t="array" ref="P645">INDEX(stable[is_single_select],MATCH(VALUE(questions[[#This Row],[qno]]),VALUE(stable[qno]),0))</f>
        <v>0</v>
      </c>
      <c r="Q645" s="9" t="b" cm="1">
        <f t="array" ref="Q645">INDEX(stable[is_multi_select],MATCH(VALUE(questions[[#This Row],[qno]]),VALUE(stable[qno]),0))</f>
        <v>0</v>
      </c>
      <c r="R645" s="9" t="b" cm="1">
        <f t="array" ref="R645">INDEX(stable[is_skip_logic],MATCH(VALUE(questions[[#This Row],[qno]]),VALUE(stable[qno]),0))</f>
        <v>0</v>
      </c>
      <c r="S645" s="9" t="str">
        <f>_xlfn.TEXTJOIN(", ",TRUE,questions[[#This Row],[ans_opt_1]:[ans_opt_14]])</f>
        <v/>
      </c>
      <c r="AD645" s="40"/>
      <c r="AE645" s="40"/>
      <c r="AF645" s="40"/>
      <c r="AG645" s="40"/>
      <c r="AH645" s="16" t="b">
        <f>INDEX(stable[q_standard],MATCH(questions[[#This Row],[qno]],stable[qno],0))</f>
        <v>0</v>
      </c>
      <c r="AI645" s="16" t="b">
        <f>INDEX(stable[q_living_income],MATCH(questions[[#This Row],[qno]],stable[qno],0))</f>
        <v>0</v>
      </c>
      <c r="AJ645" s="16" t="b">
        <f>INDEX(stable[q_carbon],MATCH(questions[[#This Row],[qno]],stable[qno],0))</f>
        <v>0</v>
      </c>
      <c r="AK645" s="16" t="b">
        <f>INDEX(stable[q_regen_ag],MATCH(questions[[#This Row],[qno]],stable[qno],0))</f>
        <v>1</v>
      </c>
      <c r="AL645" s="16" t="b">
        <f>COUNTIFS(stable[qno],questions[[#This Row],[qno]])=1</f>
        <v>1</v>
      </c>
      <c r="AM645" s="16" t="b">
        <f>OR(questions[[#This Row],[is_fixed]],questions[[#This Row],[is_localized]],questions[[#This Row],[is_supply_chain_dependent]])</f>
        <v>1</v>
      </c>
      <c r="AN645" s="16" t="b">
        <f>COUNTIFS(questions[[#This Row],[is_automated]:[is_multi_select]],TRUE)=1</f>
        <v>1</v>
      </c>
      <c r="AO645" s="16" t="b">
        <f>IF(questions[[#This Row],[is_fixed]],questions[[#This Row],[question]]=INDEX(stable[question],MATCH(questions[[#This Row],[qno]],stable[qno],0)),TRUE)</f>
        <v>1</v>
      </c>
      <c r="AP645" s="16" t="str">
        <f>LEFT(questions[[#This Row],[question]],similarity_range)</f>
        <v>Can you estimate how</v>
      </c>
      <c r="AQ645" s="16" t="str">
        <f>LEFT(INDEX(stable[question],MATCH(questions[[#This Row],[qno]],stable[qno],0)),similarity_range)</f>
        <v>Can you estimate how</v>
      </c>
      <c r="AR645" s="16" t="b">
        <f>questions[[#This Row],[question_first_characters]]=questions[[#This Row],[stability_first_characters]]</f>
        <v>1</v>
      </c>
      <c r="AS645" s="16" t="b">
        <f>IF(OR(questions[[#This Row],[is_single_select]],questions[[#This Row],[is_multi_select]]),NOT(ISBLANK(questions[[#This Row],[answer_opt_combined]])),TRUE)</f>
        <v>1</v>
      </c>
    </row>
    <row r="646" spans="1:45" s="77" customFormat="1" ht="15.75" customHeight="1" x14ac:dyDescent="0.25">
      <c r="A646" s="77" t="str">
        <f>_xlfn.TEXTJOIN("_",TRUE,questions[[#This Row],[origin]:[qno]])</f>
        <v>Rwanda_Arabica_Nestle_Illy_IMPACT_2024_7504</v>
      </c>
      <c r="B646" s="77" t="s">
        <v>719</v>
      </c>
      <c r="C646" s="77" t="s">
        <v>59</v>
      </c>
      <c r="D646" s="77" t="s">
        <v>720</v>
      </c>
      <c r="E646" s="77">
        <v>2024</v>
      </c>
      <c r="F646" s="105" t="s">
        <v>476</v>
      </c>
      <c r="G646" s="78" t="s">
        <v>477</v>
      </c>
      <c r="H646" s="9" t="str" cm="1">
        <f t="array" ref="H646">INDEX(stableR[question],MATCH(VALUE(questions[[#This Row],[qno]]),VALUE(stableR[qno]),0))</f>
        <v>What describes best the size of these shade trees?</v>
      </c>
      <c r="I646" s="9" t="b" cm="1">
        <f t="array" ref="I646">INDEX(stable[is_fixed],MATCH(VALUE(questions[[#This Row],[qno]]),VALUE(stable[qno]),0))</f>
        <v>1</v>
      </c>
      <c r="J646" s="9" t="b" cm="1">
        <f t="array" ref="J646">INDEX(stable[is_localized],MATCH(VALUE(questions[[#This Row],[qno]]),VALUE(stable[qno]),0))</f>
        <v>0</v>
      </c>
      <c r="K646" s="9" t="b" cm="1">
        <f t="array" ref="K646">INDEX(stable[is_supply_chain_dependent],MATCH(VALUE(questions[[#This Row],[qno]]),VALUE(stable[qno]),0))</f>
        <v>0</v>
      </c>
      <c r="L646" s="9" t="b" cm="1">
        <f t="array" ref="L646">INDEX(stable[is_mandatory],MATCH(VALUE(questions[[#This Row],[qno]]),VALUE(stable[qno]),0))</f>
        <v>0</v>
      </c>
      <c r="M646" s="9" t="b" cm="1">
        <f t="array" ref="M646">INDEX(stable[is_automated],MATCH(VALUE(questions[[#This Row],[qno]]),VALUE(stable[qno]),0))</f>
        <v>0</v>
      </c>
      <c r="N646" s="9" t="b" cm="1">
        <f t="array" ref="N646">INDEX(stable[is_free_text],MATCH(VALUE(questions[[#This Row],[qno]]),VALUE(stable[qno]),0))</f>
        <v>0</v>
      </c>
      <c r="O646" s="9" t="b" cm="1">
        <f t="array" ref="O646">INDEX(stable[is_numerical],MATCH(VALUE(questions[[#This Row],[qno]]),VALUE(stable[qno]),0))</f>
        <v>0</v>
      </c>
      <c r="P646" s="77" t="b" cm="1">
        <f t="array" ref="P646">INDEX(stable[is_single_select],MATCH(VALUE(questions[[#This Row],[qno]]),VALUE(stable[qno]),0))</f>
        <v>1</v>
      </c>
      <c r="Q646" s="77" t="b" cm="1">
        <f t="array" ref="Q646">INDEX(stable[is_multi_select],MATCH(VALUE(questions[[#This Row],[qno]]),VALUE(stable[qno]),0))</f>
        <v>0</v>
      </c>
      <c r="R646" s="77" t="b" cm="1">
        <f t="array" ref="R646">INDEX(stable[is_skip_logic],MATCH(VALUE(questions[[#This Row],[qno]]),VALUE(stable[qno]),0))</f>
        <v>0</v>
      </c>
      <c r="S646" s="77" t="str">
        <f>_xlfn.TEXTJOIN(", ",TRUE,questions[[#This Row],[ans_opt_1]:[ans_opt_14]])</f>
        <v>Big sized, full grown, shade trees, Medium sized shade trees, including fruit trees, Multipurpose mix of trees (different types and sizes)</v>
      </c>
      <c r="T646" s="77" t="s">
        <v>478</v>
      </c>
      <c r="U646" s="77" t="s">
        <v>812</v>
      </c>
      <c r="V646" s="77" t="s">
        <v>813</v>
      </c>
      <c r="AD646" s="121"/>
      <c r="AE646" s="121"/>
      <c r="AF646" s="121"/>
      <c r="AG646" s="121"/>
      <c r="AH646" s="98" t="b">
        <f>INDEX(stable[q_standard],MATCH(questions[[#This Row],[qno]],stable[qno],0))</f>
        <v>0</v>
      </c>
      <c r="AI646" s="98" t="b">
        <f>INDEX(stable[q_living_income],MATCH(questions[[#This Row],[qno]],stable[qno],0))</f>
        <v>0</v>
      </c>
      <c r="AJ646" s="98" t="b">
        <f>INDEX(stable[q_carbon],MATCH(questions[[#This Row],[qno]],stable[qno],0))</f>
        <v>0</v>
      </c>
      <c r="AK646" s="98" t="b">
        <f>INDEX(stable[q_regen_ag],MATCH(questions[[#This Row],[qno]],stable[qno],0))</f>
        <v>1</v>
      </c>
      <c r="AL646" s="98" t="b">
        <f>COUNTIFS(stable[qno],questions[[#This Row],[qno]])=1</f>
        <v>1</v>
      </c>
      <c r="AM646" s="98" t="b">
        <f>OR(questions[[#This Row],[is_fixed]],questions[[#This Row],[is_localized]],questions[[#This Row],[is_supply_chain_dependent]])</f>
        <v>1</v>
      </c>
      <c r="AN646" s="98" t="b">
        <f>COUNTIFS(questions[[#This Row],[is_automated]:[is_multi_select]],TRUE)=1</f>
        <v>1</v>
      </c>
      <c r="AO646" s="98" t="b">
        <f>IF(questions[[#This Row],[is_fixed]],questions[[#This Row],[question]]=INDEX(stable[question],MATCH(questions[[#This Row],[qno]],stable[qno],0)),TRUE)</f>
        <v>1</v>
      </c>
      <c r="AP646" s="98" t="str">
        <f>LEFT(questions[[#This Row],[question]],similarity_range)</f>
        <v xml:space="preserve">What describes best </v>
      </c>
      <c r="AQ646" s="98" t="str">
        <f>LEFT(INDEX(stable[question],MATCH(questions[[#This Row],[qno]],stable[qno],0)),similarity_range)</f>
        <v xml:space="preserve">What describes best </v>
      </c>
      <c r="AR646" s="98" t="b">
        <f>questions[[#This Row],[question_first_characters]]=questions[[#This Row],[stability_first_characters]]</f>
        <v>1</v>
      </c>
      <c r="AS646" s="98" t="b">
        <f>IF(OR(questions[[#This Row],[is_single_select]],questions[[#This Row],[is_multi_select]]),NOT(ISBLANK(questions[[#This Row],[answer_opt_combined]])),TRUE)</f>
        <v>1</v>
      </c>
    </row>
    <row r="647" spans="1:45" s="77" customFormat="1" ht="15.75" customHeight="1" x14ac:dyDescent="0.25">
      <c r="A647" s="77" t="str">
        <f>_xlfn.TEXTJOIN("_",TRUE,questions[[#This Row],[origin]:[qno]])</f>
        <v>Rwanda_Arabica_Nestle_Illy_IMPACT_2024_7600</v>
      </c>
      <c r="B647" s="77" t="s">
        <v>719</v>
      </c>
      <c r="C647" s="77" t="s">
        <v>59</v>
      </c>
      <c r="D647" s="77" t="s">
        <v>720</v>
      </c>
      <c r="E647" s="77">
        <v>2024</v>
      </c>
      <c r="F647" s="105" t="s">
        <v>481</v>
      </c>
      <c r="G647" s="78" t="s">
        <v>482</v>
      </c>
      <c r="H647" s="9" t="str" cm="1">
        <f t="array" ref="H647">INDEX(stableR[question],MATCH(VALUE(questions[[#This Row],[qno]]),VALUE(stableR[qno]),0))</f>
        <v>Do you keep bee hives in your farm (own bee hives or termporary during flowering season)?</v>
      </c>
      <c r="I647" s="9" t="b" cm="1">
        <f t="array" ref="I647">INDEX(stable[is_fixed],MATCH(VALUE(questions[[#This Row],[qno]]),VALUE(stable[qno]),0))</f>
        <v>1</v>
      </c>
      <c r="J647" s="9" t="b" cm="1">
        <f t="array" ref="J647">INDEX(stable[is_localized],MATCH(VALUE(questions[[#This Row],[qno]]),VALUE(stable[qno]),0))</f>
        <v>0</v>
      </c>
      <c r="K647" s="9" t="b" cm="1">
        <f t="array" ref="K647">INDEX(stable[is_supply_chain_dependent],MATCH(VALUE(questions[[#This Row],[qno]]),VALUE(stable[qno]),0))</f>
        <v>0</v>
      </c>
      <c r="L647" s="9" t="b" cm="1">
        <f t="array" ref="L647">INDEX(stable[is_mandatory],MATCH(VALUE(questions[[#This Row],[qno]]),VALUE(stable[qno]),0))</f>
        <v>1</v>
      </c>
      <c r="M647" s="9" t="b" cm="1">
        <f t="array" ref="M647">INDEX(stable[is_automated],MATCH(VALUE(questions[[#This Row],[qno]]),VALUE(stable[qno]),0))</f>
        <v>0</v>
      </c>
      <c r="N647" s="9" t="b" cm="1">
        <f t="array" ref="N647">INDEX(stable[is_free_text],MATCH(VALUE(questions[[#This Row],[qno]]),VALUE(stable[qno]),0))</f>
        <v>0</v>
      </c>
      <c r="O647" s="9" t="b" cm="1">
        <f t="array" ref="O647">INDEX(stable[is_numerical],MATCH(VALUE(questions[[#This Row],[qno]]),VALUE(stable[qno]),0))</f>
        <v>0</v>
      </c>
      <c r="P647" s="77" t="b" cm="1">
        <f t="array" ref="P647">INDEX(stable[is_single_select],MATCH(VALUE(questions[[#This Row],[qno]]),VALUE(stable[qno]),0))</f>
        <v>1</v>
      </c>
      <c r="Q647" s="77" t="b" cm="1">
        <f t="array" ref="Q647">INDEX(stable[is_multi_select],MATCH(VALUE(questions[[#This Row],[qno]]),VALUE(stable[qno]),0))</f>
        <v>0</v>
      </c>
      <c r="R647" s="77" t="b" cm="1">
        <f t="array" ref="R647">INDEX(stable[is_skip_logic],MATCH(VALUE(questions[[#This Row],[qno]]),VALUE(stable[qno]),0))</f>
        <v>0</v>
      </c>
      <c r="S647" s="77" t="str">
        <f>_xlfn.TEXTJOIN(", ",TRUE,questions[[#This Row],[ans_opt_1]:[ans_opt_14]])</f>
        <v>Yes, No</v>
      </c>
      <c r="T647" s="77" t="s">
        <v>149</v>
      </c>
      <c r="U647" s="77" t="s">
        <v>119</v>
      </c>
      <c r="AD647" s="121"/>
      <c r="AE647" s="121"/>
      <c r="AF647" s="121"/>
      <c r="AG647" s="121"/>
      <c r="AH647" s="98" t="b">
        <f>INDEX(stable[q_standard],MATCH(questions[[#This Row],[qno]],stable[qno],0))</f>
        <v>0</v>
      </c>
      <c r="AI647" s="98" t="b">
        <f>INDEX(stable[q_living_income],MATCH(questions[[#This Row],[qno]],stable[qno],0))</f>
        <v>0</v>
      </c>
      <c r="AJ647" s="98" t="b">
        <f>INDEX(stable[q_carbon],MATCH(questions[[#This Row],[qno]],stable[qno],0))</f>
        <v>0</v>
      </c>
      <c r="AK647" s="98" t="b">
        <f>INDEX(stable[q_regen_ag],MATCH(questions[[#This Row],[qno]],stable[qno],0))</f>
        <v>1</v>
      </c>
      <c r="AL647" s="98" t="b">
        <f>COUNTIFS(stable[qno],questions[[#This Row],[qno]])=1</f>
        <v>1</v>
      </c>
      <c r="AM647" s="98" t="b">
        <f>OR(questions[[#This Row],[is_fixed]],questions[[#This Row],[is_localized]],questions[[#This Row],[is_supply_chain_dependent]])</f>
        <v>1</v>
      </c>
      <c r="AN647" s="98" t="b">
        <f>COUNTIFS(questions[[#This Row],[is_automated]:[is_multi_select]],TRUE)=1</f>
        <v>1</v>
      </c>
      <c r="AO647" s="98" t="b">
        <f>IF(questions[[#This Row],[is_fixed]],questions[[#This Row],[question]]=INDEX(stable[question],MATCH(questions[[#This Row],[qno]],stable[qno],0)),TRUE)</f>
        <v>1</v>
      </c>
      <c r="AP647" s="98" t="str">
        <f>LEFT(questions[[#This Row],[question]],similarity_range)</f>
        <v>Do you keep bee hive</v>
      </c>
      <c r="AQ647" s="98" t="str">
        <f>LEFT(INDEX(stable[question],MATCH(questions[[#This Row],[qno]],stable[qno],0)),similarity_range)</f>
        <v>Do you keep bee hive</v>
      </c>
      <c r="AR647" s="98" t="b">
        <f>questions[[#This Row],[question_first_characters]]=questions[[#This Row],[stability_first_characters]]</f>
        <v>1</v>
      </c>
      <c r="AS647" s="98" t="b">
        <f>IF(OR(questions[[#This Row],[is_single_select]],questions[[#This Row],[is_multi_select]]),NOT(ISBLANK(questions[[#This Row],[answer_opt_combined]])),TRUE)</f>
        <v>1</v>
      </c>
    </row>
    <row r="648" spans="1:45" s="77" customFormat="1" ht="15.75" customHeight="1" x14ac:dyDescent="0.25">
      <c r="A648" s="77" t="str">
        <f>_xlfn.TEXTJOIN("_",TRUE,questions[[#This Row],[origin]:[qno]])</f>
        <v>Rwanda_Arabica_Nestle_Illy_IMPACT_2024_7700</v>
      </c>
      <c r="B648" s="77" t="s">
        <v>719</v>
      </c>
      <c r="C648" s="77" t="s">
        <v>59</v>
      </c>
      <c r="D648" s="77" t="s">
        <v>720</v>
      </c>
      <c r="E648" s="77">
        <v>2024</v>
      </c>
      <c r="F648" s="105" t="s">
        <v>483</v>
      </c>
      <c r="G648" s="78" t="s">
        <v>814</v>
      </c>
      <c r="H648" s="9" t="str" cm="1">
        <f t="array" ref="H648">INDEX(stableR[question],MATCH(VALUE(questions[[#This Row],[qno]]),VALUE(stableR[qno]),0))</f>
        <v>Do you have riparian areas (a buffer area or strip of vegetation along the bank of a stream or river that spatially separates agricultural land from the water) in your coffee plots and/or its boundaries and how many?  If the answer is NO, you do not need to answer the next question.</v>
      </c>
      <c r="I648" s="9" t="b" cm="1">
        <f t="array" ref="I648">INDEX(stable[is_fixed],MATCH(VALUE(questions[[#This Row],[qno]]),VALUE(stable[qno]),0))</f>
        <v>1</v>
      </c>
      <c r="J648" s="9" t="b" cm="1">
        <f t="array" ref="J648">INDEX(stable[is_localized],MATCH(VALUE(questions[[#This Row],[qno]]),VALUE(stable[qno]),0))</f>
        <v>0</v>
      </c>
      <c r="K648" s="9" t="b" cm="1">
        <f t="array" ref="K648">INDEX(stable[is_supply_chain_dependent],MATCH(VALUE(questions[[#This Row],[qno]]),VALUE(stable[qno]),0))</f>
        <v>0</v>
      </c>
      <c r="L648" s="9" t="b" cm="1">
        <f t="array" ref="L648">INDEX(stable[is_mandatory],MATCH(VALUE(questions[[#This Row],[qno]]),VALUE(stable[qno]),0))</f>
        <v>1</v>
      </c>
      <c r="M648" s="9" t="b" cm="1">
        <f t="array" ref="M648">INDEX(stable[is_automated],MATCH(VALUE(questions[[#This Row],[qno]]),VALUE(stable[qno]),0))</f>
        <v>0</v>
      </c>
      <c r="N648" s="9" t="b" cm="1">
        <f t="array" ref="N648">INDEX(stable[is_free_text],MATCH(VALUE(questions[[#This Row],[qno]]),VALUE(stable[qno]),0))</f>
        <v>0</v>
      </c>
      <c r="O648" s="9" t="b" cm="1">
        <f t="array" ref="O648">INDEX(stable[is_numerical],MATCH(VALUE(questions[[#This Row],[qno]]),VALUE(stable[qno]),0))</f>
        <v>0</v>
      </c>
      <c r="P648" s="77" t="b" cm="1">
        <f t="array" ref="P648">INDEX(stable[is_single_select],MATCH(VALUE(questions[[#This Row],[qno]]),VALUE(stable[qno]),0))</f>
        <v>1</v>
      </c>
      <c r="Q648" s="77" t="b" cm="1">
        <f t="array" ref="Q648">INDEX(stable[is_multi_select],MATCH(VALUE(questions[[#This Row],[qno]]),VALUE(stable[qno]),0))</f>
        <v>0</v>
      </c>
      <c r="R648" s="77" t="b" cm="1">
        <f t="array" ref="R648">INDEX(stable[is_skip_logic],MATCH(VALUE(questions[[#This Row],[qno]]),VALUE(stable[qno]),0))</f>
        <v>0</v>
      </c>
      <c r="S648" s="77" t="str">
        <f>_xlfn.TEXTJOIN(", ",TRUE,questions[[#This Row],[ans_opt_1]:[ans_opt_14]])</f>
        <v>No, Yes -1 stream/river, Yes -2 streams/rivers, Yes -3 streams/rivers, Yes -4 streams/rivers, Yes -5 streams/rivers</v>
      </c>
      <c r="T648" s="77" t="s">
        <v>119</v>
      </c>
      <c r="U648" s="77" t="s">
        <v>485</v>
      </c>
      <c r="V648" s="77" t="s">
        <v>486</v>
      </c>
      <c r="W648" s="77" t="s">
        <v>487</v>
      </c>
      <c r="X648" s="77" t="s">
        <v>488</v>
      </c>
      <c r="Y648" s="77" t="s">
        <v>489</v>
      </c>
      <c r="Z648" s="77" t="str">
        <f t="shared" ref="Z648:AA648" si="0">MID(Y649,7,6)</f>
        <v/>
      </c>
      <c r="AA648" s="77" t="str">
        <f t="shared" si="0"/>
        <v/>
      </c>
      <c r="AD648" s="121"/>
      <c r="AE648" s="121"/>
      <c r="AF648" s="121"/>
      <c r="AG648" s="121"/>
      <c r="AH648" s="98" t="b">
        <f>INDEX(stable[q_standard],MATCH(questions[[#This Row],[qno]],stable[qno],0))</f>
        <v>0</v>
      </c>
      <c r="AI648" s="98" t="b">
        <f>INDEX(stable[q_living_income],MATCH(questions[[#This Row],[qno]],stable[qno],0))</f>
        <v>0</v>
      </c>
      <c r="AJ648" s="98" t="b">
        <f>INDEX(stable[q_carbon],MATCH(questions[[#This Row],[qno]],stable[qno],0))</f>
        <v>0</v>
      </c>
      <c r="AK648" s="98" t="b">
        <f>INDEX(stable[q_regen_ag],MATCH(questions[[#This Row],[qno]],stable[qno],0))</f>
        <v>1</v>
      </c>
      <c r="AL648" s="98" t="b">
        <f>COUNTIFS(stable[qno],questions[[#This Row],[qno]])=1</f>
        <v>1</v>
      </c>
      <c r="AM648" s="98" t="b">
        <f>OR(questions[[#This Row],[is_fixed]],questions[[#This Row],[is_localized]],questions[[#This Row],[is_supply_chain_dependent]])</f>
        <v>1</v>
      </c>
      <c r="AN648" s="98" t="b">
        <f>COUNTIFS(questions[[#This Row],[is_automated]:[is_multi_select]],TRUE)=1</f>
        <v>1</v>
      </c>
      <c r="AO648" s="98" t="b">
        <f>IF(questions[[#This Row],[is_fixed]],questions[[#This Row],[question]]=INDEX(stable[question],MATCH(questions[[#This Row],[qno]],stable[qno],0)),TRUE)</f>
        <v>0</v>
      </c>
      <c r="AP648" s="98" t="str">
        <f>LEFT(questions[[#This Row],[question]],similarity_range)</f>
        <v>Is there a stream or</v>
      </c>
      <c r="AQ648" s="98" t="str">
        <f>LEFT(INDEX(stable[question],MATCH(questions[[#This Row],[qno]],stable[qno],0)),similarity_range)</f>
        <v>Do you have riparian</v>
      </c>
      <c r="AR648" s="98" t="b">
        <f>questions[[#This Row],[question_first_characters]]=questions[[#This Row],[stability_first_characters]]</f>
        <v>0</v>
      </c>
      <c r="AS648" s="98" t="b">
        <f>IF(OR(questions[[#This Row],[is_single_select]],questions[[#This Row],[is_multi_select]]),NOT(ISBLANK(questions[[#This Row],[answer_opt_combined]])),TRUE)</f>
        <v>1</v>
      </c>
    </row>
    <row r="649" spans="1:45" s="77" customFormat="1" ht="15.75" customHeight="1" x14ac:dyDescent="0.25">
      <c r="A649" s="77" t="str">
        <f>_xlfn.TEXTJOIN("_",TRUE,questions[[#This Row],[origin]:[qno]])</f>
        <v>Rwanda_Arabica_Nestle_Illy_IMPACT_2024_7701</v>
      </c>
      <c r="B649" s="77" t="s">
        <v>719</v>
      </c>
      <c r="C649" s="77" t="s">
        <v>59</v>
      </c>
      <c r="D649" s="77" t="s">
        <v>720</v>
      </c>
      <c r="E649" s="77">
        <v>2024</v>
      </c>
      <c r="F649" s="105" t="s">
        <v>490</v>
      </c>
      <c r="G649" s="78" t="s">
        <v>815</v>
      </c>
      <c r="H649" s="9" t="str" cm="1">
        <f t="array" ref="H649">INDEX(stableR[question],MATCH(VALUE(questions[[#This Row],[qno]]),VALUE(stableR[qno]),0))</f>
        <v>How many of the riparian areas in your coffee plots are covered/protected with natural vegetation</v>
      </c>
      <c r="I649" s="9" t="b" cm="1">
        <f t="array" ref="I649">INDEX(stable[is_fixed],MATCH(VALUE(questions[[#This Row],[qno]]),VALUE(stable[qno]),0))</f>
        <v>1</v>
      </c>
      <c r="J649" s="9" t="b" cm="1">
        <f t="array" ref="J649">INDEX(stable[is_localized],MATCH(VALUE(questions[[#This Row],[qno]]),VALUE(stable[qno]),0))</f>
        <v>0</v>
      </c>
      <c r="K649" s="9" t="b" cm="1">
        <f t="array" ref="K649">INDEX(stable[is_supply_chain_dependent],MATCH(VALUE(questions[[#This Row],[qno]]),VALUE(stable[qno]),0))</f>
        <v>0</v>
      </c>
      <c r="L649" s="9" t="b" cm="1">
        <f t="array" ref="L649">INDEX(stable[is_mandatory],MATCH(VALUE(questions[[#This Row],[qno]]),VALUE(stable[qno]),0))</f>
        <v>0</v>
      </c>
      <c r="M649" s="9" t="b" cm="1">
        <f t="array" ref="M649">INDEX(stable[is_automated],MATCH(VALUE(questions[[#This Row],[qno]]),VALUE(stable[qno]),0))</f>
        <v>0</v>
      </c>
      <c r="N649" s="9" t="b" cm="1">
        <f t="array" ref="N649">INDEX(stable[is_free_text],MATCH(VALUE(questions[[#This Row],[qno]]),VALUE(stable[qno]),0))</f>
        <v>0</v>
      </c>
      <c r="O649" s="9" t="b" cm="1">
        <f t="array" ref="O649">INDEX(stable[is_numerical],MATCH(VALUE(questions[[#This Row],[qno]]),VALUE(stable[qno]),0))</f>
        <v>0</v>
      </c>
      <c r="P649" s="77" t="b" cm="1">
        <f t="array" ref="P649">INDEX(stable[is_single_select],MATCH(VALUE(questions[[#This Row],[qno]]),VALUE(stable[qno]),0))</f>
        <v>1</v>
      </c>
      <c r="Q649" s="77" t="b" cm="1">
        <f t="array" ref="Q649">INDEX(stable[is_multi_select],MATCH(VALUE(questions[[#This Row],[qno]]),VALUE(stable[qno]),0))</f>
        <v>0</v>
      </c>
      <c r="R649" s="77" t="b" cm="1">
        <f t="array" ref="R649">INDEX(stable[is_skip_logic],MATCH(VALUE(questions[[#This Row],[qno]]),VALUE(stable[qno]),0))</f>
        <v>0</v>
      </c>
      <c r="S649" s="77" t="str">
        <f>_xlfn.TEXTJOIN(", ",TRUE,questions[[#This Row],[ans_opt_1]:[ans_opt_14]])</f>
        <v>All, Some</v>
      </c>
      <c r="T649" s="77" t="s">
        <v>492</v>
      </c>
      <c r="U649" s="77" t="s">
        <v>493</v>
      </c>
      <c r="AD649" s="121"/>
      <c r="AE649" s="121"/>
      <c r="AF649" s="121"/>
      <c r="AG649" s="121"/>
      <c r="AH649" s="98" t="b">
        <f>INDEX(stable[q_standard],MATCH(questions[[#This Row],[qno]],stable[qno],0))</f>
        <v>0</v>
      </c>
      <c r="AI649" s="98" t="b">
        <f>INDEX(stable[q_living_income],MATCH(questions[[#This Row],[qno]],stable[qno],0))</f>
        <v>0</v>
      </c>
      <c r="AJ649" s="98" t="b">
        <f>INDEX(stable[q_carbon],MATCH(questions[[#This Row],[qno]],stable[qno],0))</f>
        <v>0</v>
      </c>
      <c r="AK649" s="98" t="b">
        <f>INDEX(stable[q_regen_ag],MATCH(questions[[#This Row],[qno]],stable[qno],0))</f>
        <v>1</v>
      </c>
      <c r="AL649" s="98" t="b">
        <f>COUNTIFS(stable[qno],questions[[#This Row],[qno]])=1</f>
        <v>1</v>
      </c>
      <c r="AM649" s="98" t="b">
        <f>OR(questions[[#This Row],[is_fixed]],questions[[#This Row],[is_localized]],questions[[#This Row],[is_supply_chain_dependent]])</f>
        <v>1</v>
      </c>
      <c r="AN649" s="98" t="b">
        <f>COUNTIFS(questions[[#This Row],[is_automated]:[is_multi_select]],TRUE)=1</f>
        <v>1</v>
      </c>
      <c r="AO649" s="98" t="b">
        <f>IF(questions[[#This Row],[is_fixed]],questions[[#This Row],[question]]=INDEX(stable[question],MATCH(questions[[#This Row],[qno]],stable[qno],0)),TRUE)</f>
        <v>0</v>
      </c>
      <c r="AP649" s="98" t="str">
        <f>LEFT(questions[[#This Row],[question]],similarity_range)</f>
        <v xml:space="preserve">If yes, how many of </v>
      </c>
      <c r="AQ649" s="98" t="str">
        <f>LEFT(INDEX(stable[question],MATCH(questions[[#This Row],[qno]],stable[qno],0)),similarity_range)</f>
        <v>How many of the ripa</v>
      </c>
      <c r="AR649" s="98" t="b">
        <f>questions[[#This Row],[question_first_characters]]=questions[[#This Row],[stability_first_characters]]</f>
        <v>0</v>
      </c>
      <c r="AS649" s="98" t="b">
        <f>IF(OR(questions[[#This Row],[is_single_select]],questions[[#This Row],[is_multi_select]]),NOT(ISBLANK(questions[[#This Row],[answer_opt_combined]])),TRUE)</f>
        <v>1</v>
      </c>
    </row>
    <row r="650" spans="1:45" s="77" customFormat="1" ht="15.75" customHeight="1" x14ac:dyDescent="0.25">
      <c r="A650" s="77" t="str">
        <f>_xlfn.TEXTJOIN("_",TRUE,questions[[#This Row],[origin]:[qno]])</f>
        <v>Rwanda_Arabica_Nestle_Illy_IMPACT_2024_8000</v>
      </c>
      <c r="B650" s="77" t="s">
        <v>719</v>
      </c>
      <c r="C650" s="77" t="s">
        <v>59</v>
      </c>
      <c r="D650" s="77" t="s">
        <v>720</v>
      </c>
      <c r="E650" s="77">
        <v>2024</v>
      </c>
      <c r="F650" s="108" t="s">
        <v>494</v>
      </c>
      <c r="G650" s="78" t="s">
        <v>816</v>
      </c>
      <c r="H650" s="9" t="str" cm="1">
        <f t="array" ref="H650">INDEX(stableR[question],MATCH(VALUE(questions[[#This Row],[qno]]),VALUE(stableR[qno]),0))</f>
        <v>What describes the soil type best in the coffee plot of the farmer (please observe your self)</v>
      </c>
      <c r="I650" s="9" t="b" cm="1">
        <f t="array" ref="I650">INDEX(stable[is_fixed],MATCH(VALUE(questions[[#This Row],[qno]]),VALUE(stable[qno]),0))</f>
        <v>1</v>
      </c>
      <c r="J650" s="9" t="b" cm="1">
        <f t="array" ref="J650">INDEX(stable[is_localized],MATCH(VALUE(questions[[#This Row],[qno]]),VALUE(stable[qno]),0))</f>
        <v>0</v>
      </c>
      <c r="K650" s="9" t="b" cm="1">
        <f t="array" ref="K650">INDEX(stable[is_supply_chain_dependent],MATCH(VALUE(questions[[#This Row],[qno]]),VALUE(stable[qno]),0))</f>
        <v>0</v>
      </c>
      <c r="L650" s="9" t="b" cm="1">
        <f t="array" ref="L650">INDEX(stable[is_mandatory],MATCH(VALUE(questions[[#This Row],[qno]]),VALUE(stable[qno]),0))</f>
        <v>1</v>
      </c>
      <c r="M650" s="9" t="b" cm="1">
        <f t="array" ref="M650">INDEX(stable[is_automated],MATCH(VALUE(questions[[#This Row],[qno]]),VALUE(stable[qno]),0))</f>
        <v>0</v>
      </c>
      <c r="N650" s="9" t="b" cm="1">
        <f t="array" ref="N650">INDEX(stable[is_free_text],MATCH(VALUE(questions[[#This Row],[qno]]),VALUE(stable[qno]),0))</f>
        <v>0</v>
      </c>
      <c r="O650" s="9" t="b" cm="1">
        <f t="array" ref="O650">INDEX(stable[is_numerical],MATCH(VALUE(questions[[#This Row],[qno]]),VALUE(stable[qno]),0))</f>
        <v>0</v>
      </c>
      <c r="P650" s="77" t="b" cm="1">
        <f t="array" ref="P650">INDEX(stable[is_single_select],MATCH(VALUE(questions[[#This Row],[qno]]),VALUE(stable[qno]),0))</f>
        <v>1</v>
      </c>
      <c r="Q650" s="77" t="b" cm="1">
        <f t="array" ref="Q650">INDEX(stable[is_multi_select],MATCH(VALUE(questions[[#This Row],[qno]]),VALUE(stable[qno]),0))</f>
        <v>0</v>
      </c>
      <c r="R650" s="77" t="b" cm="1">
        <f t="array" ref="R650">INDEX(stable[is_skip_logic],MATCH(VALUE(questions[[#This Row],[qno]]),VALUE(stable[qno]),0))</f>
        <v>0</v>
      </c>
      <c r="S650" s="77" t="str">
        <f>_xlfn.TEXTJOIN(", ",TRUE,questions[[#This Row],[ans_opt_1]:[ans_opt_14]])</f>
        <v>High activity clay soils , Low activity clay soils, Sandy soils, Loamy soils, Volcanic soils, Wetland soils, Organic soils</v>
      </c>
      <c r="T650" s="77" t="s">
        <v>817</v>
      </c>
      <c r="U650" s="77" t="s">
        <v>497</v>
      </c>
      <c r="V650" s="77" t="s">
        <v>498</v>
      </c>
      <c r="W650" s="91" t="s">
        <v>499</v>
      </c>
      <c r="X650" s="77" t="s">
        <v>500</v>
      </c>
      <c r="Y650" s="77" t="s">
        <v>501</v>
      </c>
      <c r="Z650" s="77" t="s">
        <v>502</v>
      </c>
      <c r="AD650" s="121"/>
      <c r="AE650" s="121"/>
      <c r="AF650" s="121"/>
      <c r="AG650" s="121"/>
      <c r="AH650" s="98" t="b">
        <f>INDEX(stable[q_standard],MATCH(questions[[#This Row],[qno]],stable[qno],0))</f>
        <v>0</v>
      </c>
      <c r="AI650" s="98" t="b">
        <f>INDEX(stable[q_living_income],MATCH(questions[[#This Row],[qno]],stable[qno],0))</f>
        <v>0</v>
      </c>
      <c r="AJ650" s="98" t="b">
        <f>INDEX(stable[q_carbon],MATCH(questions[[#This Row],[qno]],stable[qno],0))</f>
        <v>0</v>
      </c>
      <c r="AK650" s="98" t="b">
        <f>INDEX(stable[q_regen_ag],MATCH(questions[[#This Row],[qno]],stable[qno],0))</f>
        <v>1</v>
      </c>
      <c r="AL650" s="98" t="b">
        <f>COUNTIFS(stable[qno],questions[[#This Row],[qno]])=1</f>
        <v>1</v>
      </c>
      <c r="AM650" s="98" t="b">
        <f>OR(questions[[#This Row],[is_fixed]],questions[[#This Row],[is_localized]],questions[[#This Row],[is_supply_chain_dependent]])</f>
        <v>1</v>
      </c>
      <c r="AN650" s="98" t="b">
        <f>COUNTIFS(questions[[#This Row],[is_automated]:[is_multi_select]],TRUE)=1</f>
        <v>1</v>
      </c>
      <c r="AO650" s="98" t="b">
        <f>IF(questions[[#This Row],[is_fixed]],questions[[#This Row],[question]]=INDEX(stable[question],MATCH(questions[[#This Row],[qno]],stable[qno],0)),TRUE)</f>
        <v>0</v>
      </c>
      <c r="AP650" s="98" t="str">
        <f>LEFT(questions[[#This Row],[question]],similarity_range)</f>
        <v>What the describes t</v>
      </c>
      <c r="AQ650" s="98" t="str">
        <f>LEFT(INDEX(stable[question],MATCH(questions[[#This Row],[qno]],stable[qno],0)),similarity_range)</f>
        <v>What describes the s</v>
      </c>
      <c r="AR650" s="98" t="b">
        <f>questions[[#This Row],[question_first_characters]]=questions[[#This Row],[stability_first_characters]]</f>
        <v>0</v>
      </c>
      <c r="AS650" s="98" t="b">
        <f>IF(OR(questions[[#This Row],[is_single_select]],questions[[#This Row],[is_multi_select]]),NOT(ISBLANK(questions[[#This Row],[answer_opt_combined]])),TRUE)</f>
        <v>1</v>
      </c>
    </row>
    <row r="651" spans="1:45" s="77" customFormat="1" ht="15.75" customHeight="1" x14ac:dyDescent="0.25">
      <c r="A651" s="77" t="str">
        <f>_xlfn.TEXTJOIN("_",TRUE,questions[[#This Row],[origin]:[qno]])</f>
        <v>Rwanda_Arabica_Nestle_Illy_IMPACT_2024_8010</v>
      </c>
      <c r="B651" s="77" t="s">
        <v>719</v>
      </c>
      <c r="C651" s="77" t="s">
        <v>59</v>
      </c>
      <c r="D651" s="77" t="s">
        <v>720</v>
      </c>
      <c r="E651" s="77">
        <v>2024</v>
      </c>
      <c r="F651" s="108" t="s">
        <v>503</v>
      </c>
      <c r="G651" s="78" t="s">
        <v>504</v>
      </c>
      <c r="H651" s="9" t="str" cm="1">
        <f t="array" ref="H651">INDEX(stableR[question],MATCH(VALUE(questions[[#This Row],[qno]]),VALUE(stableR[qno]),0))</f>
        <v>What type of tillage/ploughing do you use in your coffee plots mostly (full tillages=fully turning the soil; reduced tillages is only losening the soil; No till is no tillage or ploughing of the soil at all)?</v>
      </c>
      <c r="I651" s="9" t="b" cm="1">
        <f t="array" ref="I651">INDEX(stable[is_fixed],MATCH(VALUE(questions[[#This Row],[qno]]),VALUE(stable[qno]),0))</f>
        <v>1</v>
      </c>
      <c r="J651" s="9" t="b" cm="1">
        <f t="array" ref="J651">INDEX(stable[is_localized],MATCH(VALUE(questions[[#This Row],[qno]]),VALUE(stable[qno]),0))</f>
        <v>0</v>
      </c>
      <c r="K651" s="9" t="b" cm="1">
        <f t="array" ref="K651">INDEX(stable[is_supply_chain_dependent],MATCH(VALUE(questions[[#This Row],[qno]]),VALUE(stable[qno]),0))</f>
        <v>0</v>
      </c>
      <c r="L651" s="9" t="b" cm="1">
        <f t="array" ref="L651">INDEX(stable[is_mandatory],MATCH(VALUE(questions[[#This Row],[qno]]),VALUE(stable[qno]),0))</f>
        <v>1</v>
      </c>
      <c r="M651" s="9" t="b" cm="1">
        <f t="array" ref="M651">INDEX(stable[is_automated],MATCH(VALUE(questions[[#This Row],[qno]]),VALUE(stable[qno]),0))</f>
        <v>0</v>
      </c>
      <c r="N651" s="9" t="b" cm="1">
        <f t="array" ref="N651">INDEX(stable[is_free_text],MATCH(VALUE(questions[[#This Row],[qno]]),VALUE(stable[qno]),0))</f>
        <v>0</v>
      </c>
      <c r="O651" s="9" t="b" cm="1">
        <f t="array" ref="O651">INDEX(stable[is_numerical],MATCH(VALUE(questions[[#This Row],[qno]]),VALUE(stable[qno]),0))</f>
        <v>0</v>
      </c>
      <c r="P651" s="77" t="b" cm="1">
        <f t="array" ref="P651">INDEX(stable[is_single_select],MATCH(VALUE(questions[[#This Row],[qno]]),VALUE(stable[qno]),0))</f>
        <v>1</v>
      </c>
      <c r="Q651" s="77" t="b" cm="1">
        <f t="array" ref="Q651">INDEX(stable[is_multi_select],MATCH(VALUE(questions[[#This Row],[qno]]),VALUE(stable[qno]),0))</f>
        <v>0</v>
      </c>
      <c r="R651" s="77" t="b" cm="1">
        <f t="array" ref="R651">INDEX(stable[is_skip_logic],MATCH(VALUE(questions[[#This Row],[qno]]),VALUE(stable[qno]),0))</f>
        <v>0</v>
      </c>
      <c r="S651" s="77" t="str">
        <f>_xlfn.TEXTJOIN(", ",TRUE,questions[[#This Row],[ans_opt_1]:[ans_opt_14]])</f>
        <v>Full-tillage, Reduced tillage, No till</v>
      </c>
      <c r="T651" s="77" t="s">
        <v>505</v>
      </c>
      <c r="U651" s="77" t="s">
        <v>506</v>
      </c>
      <c r="V651" s="77" t="s">
        <v>507</v>
      </c>
      <c r="AD651" s="121"/>
      <c r="AE651" s="121"/>
      <c r="AF651" s="121"/>
      <c r="AG651" s="121"/>
      <c r="AH651" s="98" t="b">
        <f>INDEX(stable[q_standard],MATCH(questions[[#This Row],[qno]],stable[qno],0))</f>
        <v>0</v>
      </c>
      <c r="AI651" s="98" t="b">
        <f>INDEX(stable[q_living_income],MATCH(questions[[#This Row],[qno]],stable[qno],0))</f>
        <v>0</v>
      </c>
      <c r="AJ651" s="98" t="b">
        <f>INDEX(stable[q_carbon],MATCH(questions[[#This Row],[qno]],stable[qno],0))</f>
        <v>0</v>
      </c>
      <c r="AK651" s="98" t="b">
        <f>INDEX(stable[q_regen_ag],MATCH(questions[[#This Row],[qno]],stable[qno],0))</f>
        <v>1</v>
      </c>
      <c r="AL651" s="98" t="b">
        <f>COUNTIFS(stable[qno],questions[[#This Row],[qno]])=1</f>
        <v>1</v>
      </c>
      <c r="AM651" s="98" t="b">
        <f>OR(questions[[#This Row],[is_fixed]],questions[[#This Row],[is_localized]],questions[[#This Row],[is_supply_chain_dependent]])</f>
        <v>1</v>
      </c>
      <c r="AN651" s="98" t="b">
        <f>COUNTIFS(questions[[#This Row],[is_automated]:[is_multi_select]],TRUE)=1</f>
        <v>1</v>
      </c>
      <c r="AO651" s="98" t="b">
        <f>IF(questions[[#This Row],[is_fixed]],questions[[#This Row],[question]]=INDEX(stable[question],MATCH(questions[[#This Row],[qno]],stable[qno],0)),TRUE)</f>
        <v>1</v>
      </c>
      <c r="AP651" s="98" t="str">
        <f>LEFT(questions[[#This Row],[question]],similarity_range)</f>
        <v>What type of tillage</v>
      </c>
      <c r="AQ651" s="98" t="str">
        <f>LEFT(INDEX(stable[question],MATCH(questions[[#This Row],[qno]],stable[qno],0)),similarity_range)</f>
        <v>What type of tillage</v>
      </c>
      <c r="AR651" s="98" t="b">
        <f>questions[[#This Row],[question_first_characters]]=questions[[#This Row],[stability_first_characters]]</f>
        <v>1</v>
      </c>
      <c r="AS651" s="98" t="b">
        <f>IF(OR(questions[[#This Row],[is_single_select]],questions[[#This Row],[is_multi_select]]),NOT(ISBLANK(questions[[#This Row],[answer_opt_combined]])),TRUE)</f>
        <v>1</v>
      </c>
    </row>
    <row r="652" spans="1:45" s="77" customFormat="1" ht="15.75" customHeight="1" x14ac:dyDescent="0.25">
      <c r="A652" s="77" t="str">
        <f>_xlfn.TEXTJOIN("_",TRUE,questions[[#This Row],[origin]:[qno]])</f>
        <v>Rwanda_Arabica_Nestle_Illy_IMPACT_2024_9000</v>
      </c>
      <c r="B652" s="77" t="s">
        <v>719</v>
      </c>
      <c r="C652" s="77" t="s">
        <v>59</v>
      </c>
      <c r="D652" s="77" t="s">
        <v>720</v>
      </c>
      <c r="E652" s="77">
        <v>2024</v>
      </c>
      <c r="F652" s="105" t="s">
        <v>508</v>
      </c>
      <c r="G652" s="78" t="s">
        <v>509</v>
      </c>
      <c r="H652" s="9" t="str" cm="1">
        <f t="array" ref="H652">INDEX(stableR[question],MATCH(VALUE(questions[[#This Row],[qno]]),VALUE(stableR[qno]),0))</f>
        <v>Final check: did you measure/polygon map all the plots of the farmer?</v>
      </c>
      <c r="I652" s="9" t="b" cm="1">
        <f t="array" ref="I652">INDEX(stable[is_fixed],MATCH(VALUE(questions[[#This Row],[qno]]),VALUE(stable[qno]),0))</f>
        <v>1</v>
      </c>
      <c r="J652" s="9" t="b" cm="1">
        <f t="array" ref="J652">INDEX(stable[is_localized],MATCH(VALUE(questions[[#This Row],[qno]]),VALUE(stable[qno]),0))</f>
        <v>0</v>
      </c>
      <c r="K652" s="9" t="b" cm="1">
        <f t="array" ref="K652">INDEX(stable[is_supply_chain_dependent],MATCH(VALUE(questions[[#This Row],[qno]]),VALUE(stable[qno]),0))</f>
        <v>0</v>
      </c>
      <c r="L652" s="9" t="b" cm="1">
        <f t="array" ref="L652">INDEX(stable[is_mandatory],MATCH(VALUE(questions[[#This Row],[qno]]),VALUE(stable[qno]),0))</f>
        <v>1</v>
      </c>
      <c r="M652" s="9" t="b" cm="1">
        <f t="array" ref="M652">INDEX(stable[is_automated],MATCH(VALUE(questions[[#This Row],[qno]]),VALUE(stable[qno]),0))</f>
        <v>0</v>
      </c>
      <c r="N652" s="9" t="b" cm="1">
        <f t="array" ref="N652">INDEX(stable[is_free_text],MATCH(VALUE(questions[[#This Row],[qno]]),VALUE(stable[qno]),0))</f>
        <v>0</v>
      </c>
      <c r="O652" s="9" t="b" cm="1">
        <f t="array" ref="O652">INDEX(stable[is_numerical],MATCH(VALUE(questions[[#This Row],[qno]]),VALUE(stable[qno]),0))</f>
        <v>0</v>
      </c>
      <c r="P652" s="77" t="b" cm="1">
        <f t="array" ref="P652">INDEX(stable[is_single_select],MATCH(VALUE(questions[[#This Row],[qno]]),VALUE(stable[qno]),0))</f>
        <v>1</v>
      </c>
      <c r="Q652" s="77" t="b" cm="1">
        <f t="array" ref="Q652">INDEX(stable[is_multi_select],MATCH(VALUE(questions[[#This Row],[qno]]),VALUE(stable[qno]),0))</f>
        <v>0</v>
      </c>
      <c r="R652" s="77" t="b" cm="1">
        <f t="array" ref="R652">INDEX(stable[is_skip_logic],MATCH(VALUE(questions[[#This Row],[qno]]),VALUE(stable[qno]),0))</f>
        <v>0</v>
      </c>
      <c r="S652" s="77" t="str">
        <f>_xlfn.TEXTJOIN(", ",TRUE,questions[[#This Row],[ans_opt_1]:[ans_opt_14]])</f>
        <v>No, Yes, Not possible</v>
      </c>
      <c r="T652" s="77" t="s">
        <v>119</v>
      </c>
      <c r="U652" s="77" t="s">
        <v>149</v>
      </c>
      <c r="V652" s="77" t="s">
        <v>510</v>
      </c>
      <c r="AD652" s="121"/>
      <c r="AE652" s="121"/>
      <c r="AF652" s="121"/>
      <c r="AG652" s="121"/>
      <c r="AH652" s="98" t="b">
        <f>INDEX(stable[q_standard],MATCH(questions[[#This Row],[qno]],stable[qno],0))</f>
        <v>0</v>
      </c>
      <c r="AI652" s="98" t="b">
        <f>INDEX(stable[q_living_income],MATCH(questions[[#This Row],[qno]],stable[qno],0))</f>
        <v>0</v>
      </c>
      <c r="AJ652" s="98" t="b">
        <f>INDEX(stable[q_carbon],MATCH(questions[[#This Row],[qno]],stable[qno],0))</f>
        <v>0</v>
      </c>
      <c r="AK652" s="98" t="b">
        <f>INDEX(stable[q_regen_ag],MATCH(questions[[#This Row],[qno]],stable[qno],0))</f>
        <v>1</v>
      </c>
      <c r="AL652" s="98" t="b">
        <f>COUNTIFS(stable[qno],questions[[#This Row],[qno]])=1</f>
        <v>1</v>
      </c>
      <c r="AM652" s="98" t="b">
        <f>OR(questions[[#This Row],[is_fixed]],questions[[#This Row],[is_localized]],questions[[#This Row],[is_supply_chain_dependent]])</f>
        <v>1</v>
      </c>
      <c r="AN652" s="98" t="b">
        <f>COUNTIFS(questions[[#This Row],[is_automated]:[is_multi_select]],TRUE)=1</f>
        <v>1</v>
      </c>
      <c r="AO652" s="98" t="b">
        <f>IF(questions[[#This Row],[is_fixed]],questions[[#This Row],[question]]=INDEX(stable[question],MATCH(questions[[#This Row],[qno]],stable[qno],0)),TRUE)</f>
        <v>1</v>
      </c>
      <c r="AP652" s="98" t="str">
        <f>LEFT(questions[[#This Row],[question]],similarity_range)</f>
        <v>Final check: did you</v>
      </c>
      <c r="AQ652" s="98" t="str">
        <f>LEFT(INDEX(stable[question],MATCH(questions[[#This Row],[qno]],stable[qno],0)),similarity_range)</f>
        <v>Final check: did you</v>
      </c>
      <c r="AR652" s="98" t="b">
        <f>questions[[#This Row],[question_first_characters]]=questions[[#This Row],[stability_first_characters]]</f>
        <v>1</v>
      </c>
      <c r="AS652" s="98" t="b">
        <f>IF(OR(questions[[#This Row],[is_single_select]],questions[[#This Row],[is_multi_select]]),NOT(ISBLANK(questions[[#This Row],[answer_opt_combined]])),TRUE)</f>
        <v>1</v>
      </c>
    </row>
    <row r="653" spans="1:45" ht="15.75" customHeight="1" x14ac:dyDescent="0.25">
      <c r="A653" s="33" t="str">
        <f>_xlfn.TEXTJOIN("_",TRUE,questions[[#This Row],[origin]:[qno]])</f>
        <v>Kenya_Arabica_Nestle_2024_1000</v>
      </c>
      <c r="B653" s="33" t="s">
        <v>818</v>
      </c>
      <c r="C653" s="33" t="s">
        <v>59</v>
      </c>
      <c r="D653" s="33" t="s">
        <v>819</v>
      </c>
      <c r="E653" s="33">
        <v>2024</v>
      </c>
      <c r="F653" s="34" t="s">
        <v>61</v>
      </c>
      <c r="G653" s="18" t="s">
        <v>62</v>
      </c>
      <c r="H653" s="33" t="str" cm="1">
        <f t="array" ref="H653">INDEX(stableR[question],MATCH(VALUE(questions[[#This Row],[qno]]),VALUE(stableR[qno]),0))</f>
        <v>Origin</v>
      </c>
      <c r="I653" s="33" t="b" cm="1">
        <f t="array" ref="I653">INDEX(stable[is_fixed],MATCH(VALUE(questions[[#This Row],[qno]]),VALUE(stable[qno]),0))</f>
        <v>1</v>
      </c>
      <c r="J653" s="33" t="b" cm="1">
        <f t="array" ref="J653">INDEX(stable[is_localized],MATCH(VALUE(questions[[#This Row],[qno]]),VALUE(stable[qno]),0))</f>
        <v>0</v>
      </c>
      <c r="K653" s="33" t="b" cm="1">
        <f t="array" ref="K653">INDEX(stable[is_supply_chain_dependent],MATCH(VALUE(questions[[#This Row],[qno]]),VALUE(stable[qno]),0))</f>
        <v>0</v>
      </c>
      <c r="L653" s="33" t="b" cm="1">
        <f t="array" ref="L653">INDEX(stable[is_mandatory],MATCH(VALUE(questions[[#This Row],[qno]]),VALUE(stable[qno]),0))</f>
        <v>1</v>
      </c>
      <c r="M653" s="33" t="b" cm="1">
        <f t="array" ref="M653">INDEX(stable[is_automated],MATCH(VALUE(questions[[#This Row],[qno]]),VALUE(stable[qno]),0))</f>
        <v>1</v>
      </c>
      <c r="N653" s="33" t="b" cm="1">
        <f t="array" ref="N653">INDEX(stable[is_free_text],MATCH(VALUE(questions[[#This Row],[qno]]),VALUE(stable[qno]),0))</f>
        <v>0</v>
      </c>
      <c r="O653" s="33" t="b" cm="1">
        <f t="array" ref="O653">INDEX(stable[is_numerical],MATCH(VALUE(questions[[#This Row],[qno]]),VALUE(stable[qno]),0))</f>
        <v>0</v>
      </c>
      <c r="P653" s="33" t="b" cm="1">
        <f t="array" ref="P653">INDEX(stable[is_single_select],MATCH(VALUE(questions[[#This Row],[qno]]),VALUE(stable[qno]),0))</f>
        <v>0</v>
      </c>
      <c r="Q653" s="33" t="b" cm="1">
        <f t="array" ref="Q653">INDEX(stable[is_multi_select],MATCH(VALUE(questions[[#This Row],[qno]]),VALUE(stable[qno]),0))</f>
        <v>0</v>
      </c>
      <c r="R653" s="33" t="b" cm="1">
        <f t="array" ref="R653">INDEX(stable[is_skip_logic],MATCH(VALUE(questions[[#This Row],[qno]]),VALUE(stable[qno]),0))</f>
        <v>0</v>
      </c>
      <c r="S653" s="33" t="str">
        <f>_xlfn.TEXTJOIN(", ",TRUE,questions[[#This Row],[ans_opt_1]:[ans_opt_14]])</f>
        <v/>
      </c>
      <c r="T653" s="33"/>
      <c r="U653" s="33"/>
      <c r="V653" s="33"/>
      <c r="W653" s="33"/>
      <c r="X653" s="33"/>
      <c r="Y653" s="33"/>
      <c r="Z653" s="33"/>
      <c r="AA653" s="33"/>
      <c r="AB653" s="33"/>
      <c r="AC653" s="33"/>
      <c r="AD653" s="33"/>
      <c r="AE653" s="33"/>
      <c r="AF653" s="33"/>
      <c r="AG653" s="33"/>
      <c r="AH653" s="99" t="b">
        <f>INDEX(stable[q_standard],MATCH(questions[[#This Row],[qno]],stable[qno],0))</f>
        <v>1</v>
      </c>
      <c r="AI653" s="99" t="b">
        <f>INDEX(stable[q_living_income],MATCH(questions[[#This Row],[qno]],stable[qno],0))</f>
        <v>0</v>
      </c>
      <c r="AJ653" s="99" t="b">
        <f>INDEX(stable[q_carbon],MATCH(questions[[#This Row],[qno]],stable[qno],0))</f>
        <v>0</v>
      </c>
      <c r="AK653" s="99" t="b">
        <f>INDEX(stable[q_regen_ag],MATCH(questions[[#This Row],[qno]],stable[qno],0))</f>
        <v>0</v>
      </c>
      <c r="AL653" s="16" t="b">
        <f>COUNTIFS(stable[qno],questions[[#This Row],[qno]])=1</f>
        <v>1</v>
      </c>
      <c r="AM653" s="16" t="b">
        <f>OR(questions[[#This Row],[is_fixed]],questions[[#This Row],[is_localized]],questions[[#This Row],[is_supply_chain_dependent]])</f>
        <v>1</v>
      </c>
      <c r="AN653" s="16" t="b">
        <f>COUNTIFS(questions[[#This Row],[is_automated]:[is_multi_select]],TRUE)=1</f>
        <v>1</v>
      </c>
      <c r="AO653" s="16" t="b">
        <f>IF(questions[[#This Row],[is_fixed]],questions[[#This Row],[question]]=INDEX(stable[question],MATCH(questions[[#This Row],[qno]],stable[qno],0)),TRUE)</f>
        <v>1</v>
      </c>
      <c r="AP653" s="16" t="str">
        <f>LEFT(questions[[#This Row],[question]],similarity_range)</f>
        <v>Origin</v>
      </c>
      <c r="AQ653" s="16" t="str">
        <f>LEFT(INDEX(stable[question],MATCH(questions[[#This Row],[qno]],stable[qno],0)),similarity_range)</f>
        <v>Origin</v>
      </c>
      <c r="AR653" s="16" t="b">
        <f>questions[[#This Row],[question_first_characters]]=questions[[#This Row],[stability_first_characters]]</f>
        <v>1</v>
      </c>
      <c r="AS653" s="16" t="b">
        <f>IF(OR(questions[[#This Row],[is_single_select]],questions[[#This Row],[is_multi_select]]),NOT(ISBLANK(questions[[#This Row],[answer_opt_combined]])),TRUE)</f>
        <v>1</v>
      </c>
    </row>
    <row r="654" spans="1:45" ht="15.75" customHeight="1" x14ac:dyDescent="0.25">
      <c r="A654" s="33" t="str">
        <f>_xlfn.TEXTJOIN("_",TRUE,questions[[#This Row],[origin]:[qno]])</f>
        <v>Kenya_Arabica_Nestle_2024_1001</v>
      </c>
      <c r="B654" s="33" t="s">
        <v>818</v>
      </c>
      <c r="C654" s="33" t="s">
        <v>59</v>
      </c>
      <c r="D654" s="33" t="s">
        <v>819</v>
      </c>
      <c r="E654" s="33">
        <v>2024</v>
      </c>
      <c r="F654" s="34" t="s">
        <v>63</v>
      </c>
      <c r="G654" s="18" t="s">
        <v>64</v>
      </c>
      <c r="H654" s="33" t="str" cm="1">
        <f t="array" ref="H654">INDEX(stableR[question],MATCH(VALUE(questions[[#This Row],[qno]]),VALUE(stableR[qno]),0))</f>
        <v>Type</v>
      </c>
      <c r="I654" s="33" t="b" cm="1">
        <f t="array" ref="I654">INDEX(stable[is_fixed],MATCH(VALUE(questions[[#This Row],[qno]]),VALUE(stable[qno]),0))</f>
        <v>1</v>
      </c>
      <c r="J654" s="33" t="b" cm="1">
        <f t="array" ref="J654">INDEX(stable[is_localized],MATCH(VALUE(questions[[#This Row],[qno]]),VALUE(stable[qno]),0))</f>
        <v>0</v>
      </c>
      <c r="K654" s="33" t="b" cm="1">
        <f t="array" ref="K654">INDEX(stable[is_supply_chain_dependent],MATCH(VALUE(questions[[#This Row],[qno]]),VALUE(stable[qno]),0))</f>
        <v>0</v>
      </c>
      <c r="L654" s="33" t="b" cm="1">
        <f t="array" ref="L654">INDEX(stable[is_mandatory],MATCH(VALUE(questions[[#This Row],[qno]]),VALUE(stable[qno]),0))</f>
        <v>1</v>
      </c>
      <c r="M654" s="33" t="b" cm="1">
        <f t="array" ref="M654">INDEX(stable[is_automated],MATCH(VALUE(questions[[#This Row],[qno]]),VALUE(stable[qno]),0))</f>
        <v>1</v>
      </c>
      <c r="N654" s="33" t="b" cm="1">
        <f t="array" ref="N654">INDEX(stable[is_free_text],MATCH(VALUE(questions[[#This Row],[qno]]),VALUE(stable[qno]),0))</f>
        <v>0</v>
      </c>
      <c r="O654" s="33" t="b" cm="1">
        <f t="array" ref="O654">INDEX(stable[is_numerical],MATCH(VALUE(questions[[#This Row],[qno]]),VALUE(stable[qno]),0))</f>
        <v>0</v>
      </c>
      <c r="P654" s="33" t="b" cm="1">
        <f t="array" ref="P654">INDEX(stable[is_single_select],MATCH(VALUE(questions[[#This Row],[qno]]),VALUE(stable[qno]),0))</f>
        <v>0</v>
      </c>
      <c r="Q654" s="33" t="b" cm="1">
        <f t="array" ref="Q654">INDEX(stable[is_multi_select],MATCH(VALUE(questions[[#This Row],[qno]]),VALUE(stable[qno]),0))</f>
        <v>0</v>
      </c>
      <c r="R654" s="33" t="b" cm="1">
        <f t="array" ref="R654">INDEX(stable[is_skip_logic],MATCH(VALUE(questions[[#This Row],[qno]]),VALUE(stable[qno]),0))</f>
        <v>0</v>
      </c>
      <c r="S654" s="33" t="str">
        <f>_xlfn.TEXTJOIN(", ",TRUE,questions[[#This Row],[ans_opt_1]:[ans_opt_14]])</f>
        <v/>
      </c>
      <c r="T654" s="33"/>
      <c r="U654" s="33"/>
      <c r="V654" s="33"/>
      <c r="W654" s="33"/>
      <c r="X654" s="33"/>
      <c r="Y654" s="33"/>
      <c r="Z654" s="33"/>
      <c r="AA654" s="33"/>
      <c r="AB654" s="33"/>
      <c r="AC654" s="33"/>
      <c r="AD654" s="33"/>
      <c r="AE654" s="33"/>
      <c r="AF654" s="33"/>
      <c r="AG654" s="33"/>
      <c r="AH654" s="99" t="b">
        <f>INDEX(stable[q_standard],MATCH(questions[[#This Row],[qno]],stable[qno],0))</f>
        <v>1</v>
      </c>
      <c r="AI654" s="99" t="b">
        <f>INDEX(stable[q_living_income],MATCH(questions[[#This Row],[qno]],stable[qno],0))</f>
        <v>0</v>
      </c>
      <c r="AJ654" s="99" t="b">
        <f>INDEX(stable[q_carbon],MATCH(questions[[#This Row],[qno]],stable[qno],0))</f>
        <v>0</v>
      </c>
      <c r="AK654" s="99" t="b">
        <f>INDEX(stable[q_regen_ag],MATCH(questions[[#This Row],[qno]],stable[qno],0))</f>
        <v>0</v>
      </c>
      <c r="AL654" s="16" t="b">
        <f>COUNTIFS(stable[qno],questions[[#This Row],[qno]])=1</f>
        <v>1</v>
      </c>
      <c r="AM654" s="16" t="b">
        <f>OR(questions[[#This Row],[is_fixed]],questions[[#This Row],[is_localized]],questions[[#This Row],[is_supply_chain_dependent]])</f>
        <v>1</v>
      </c>
      <c r="AN654" s="16" t="b">
        <f>COUNTIFS(questions[[#This Row],[is_automated]:[is_multi_select]],TRUE)=1</f>
        <v>1</v>
      </c>
      <c r="AO654" s="16" t="b">
        <f>IF(questions[[#This Row],[is_fixed]],questions[[#This Row],[question]]=INDEX(stable[question],MATCH(questions[[#This Row],[qno]],stable[qno],0)),TRUE)</f>
        <v>1</v>
      </c>
      <c r="AP654" s="16" t="str">
        <f>LEFT(questions[[#This Row],[question]],similarity_range)</f>
        <v>Type</v>
      </c>
      <c r="AQ654" s="16" t="str">
        <f>LEFT(INDEX(stable[question],MATCH(questions[[#This Row],[qno]],stable[qno],0)),similarity_range)</f>
        <v>Type</v>
      </c>
      <c r="AR654" s="16" t="b">
        <f>questions[[#This Row],[question_first_characters]]=questions[[#This Row],[stability_first_characters]]</f>
        <v>1</v>
      </c>
      <c r="AS654" s="16" t="b">
        <f>IF(OR(questions[[#This Row],[is_single_select]],questions[[#This Row],[is_multi_select]]),NOT(ISBLANK(questions[[#This Row],[answer_opt_combined]])),TRUE)</f>
        <v>1</v>
      </c>
    </row>
    <row r="655" spans="1:45" ht="15.75" customHeight="1" x14ac:dyDescent="0.25">
      <c r="A655" s="33" t="str">
        <f>_xlfn.TEXTJOIN("_",TRUE,questions[[#This Row],[origin]:[qno]])</f>
        <v>Kenya_Arabica_Nestle_2024_1002</v>
      </c>
      <c r="B655" s="33" t="s">
        <v>818</v>
      </c>
      <c r="C655" s="33" t="s">
        <v>59</v>
      </c>
      <c r="D655" s="33" t="s">
        <v>819</v>
      </c>
      <c r="E655" s="33">
        <v>2024</v>
      </c>
      <c r="F655" s="34" t="s">
        <v>65</v>
      </c>
      <c r="G655" s="18" t="s">
        <v>66</v>
      </c>
      <c r="H655" s="33" t="str" cm="1">
        <f t="array" ref="H655">INDEX(stableR[question],MATCH(VALUE(questions[[#This Row],[qno]]),VALUE(stableR[qno]),0))</f>
        <v>Supply chain</v>
      </c>
      <c r="I655" s="33" t="b" cm="1">
        <f t="array" ref="I655">INDEX(stable[is_fixed],MATCH(VALUE(questions[[#This Row],[qno]]),VALUE(stable[qno]),0))</f>
        <v>1</v>
      </c>
      <c r="J655" s="33" t="b" cm="1">
        <f t="array" ref="J655">INDEX(stable[is_localized],MATCH(VALUE(questions[[#This Row],[qno]]),VALUE(stable[qno]),0))</f>
        <v>0</v>
      </c>
      <c r="K655" s="33" t="b" cm="1">
        <f t="array" ref="K655">INDEX(stable[is_supply_chain_dependent],MATCH(VALUE(questions[[#This Row],[qno]]),VALUE(stable[qno]),0))</f>
        <v>0</v>
      </c>
      <c r="L655" s="33" t="b" cm="1">
        <f t="array" ref="L655">INDEX(stable[is_mandatory],MATCH(VALUE(questions[[#This Row],[qno]]),VALUE(stable[qno]),0))</f>
        <v>1</v>
      </c>
      <c r="M655" s="33" t="b" cm="1">
        <f t="array" ref="M655">INDEX(stable[is_automated],MATCH(VALUE(questions[[#This Row],[qno]]),VALUE(stable[qno]),0))</f>
        <v>1</v>
      </c>
      <c r="N655" s="33" t="b" cm="1">
        <f t="array" ref="N655">INDEX(stable[is_free_text],MATCH(VALUE(questions[[#This Row],[qno]]),VALUE(stable[qno]),0))</f>
        <v>0</v>
      </c>
      <c r="O655" s="33" t="b" cm="1">
        <f t="array" ref="O655">INDEX(stable[is_numerical],MATCH(VALUE(questions[[#This Row],[qno]]),VALUE(stable[qno]),0))</f>
        <v>0</v>
      </c>
      <c r="P655" s="33" t="b" cm="1">
        <f t="array" ref="P655">INDEX(stable[is_single_select],MATCH(VALUE(questions[[#This Row],[qno]]),VALUE(stable[qno]),0))</f>
        <v>0</v>
      </c>
      <c r="Q655" s="33" t="b" cm="1">
        <f t="array" ref="Q655">INDEX(stable[is_multi_select],MATCH(VALUE(questions[[#This Row],[qno]]),VALUE(stable[qno]),0))</f>
        <v>0</v>
      </c>
      <c r="R655" s="33" t="b" cm="1">
        <f t="array" ref="R655">INDEX(stable[is_skip_logic],MATCH(VALUE(questions[[#This Row],[qno]]),VALUE(stable[qno]),0))</f>
        <v>0</v>
      </c>
      <c r="S655" s="33" t="str">
        <f>_xlfn.TEXTJOIN(", ",TRUE,questions[[#This Row],[ans_opt_1]:[ans_opt_14]])</f>
        <v/>
      </c>
      <c r="T655" s="33"/>
      <c r="U655" s="33"/>
      <c r="V655" s="33"/>
      <c r="W655" s="33"/>
      <c r="X655" s="33"/>
      <c r="Y655" s="33"/>
      <c r="Z655" s="33"/>
      <c r="AA655" s="33"/>
      <c r="AB655" s="33"/>
      <c r="AC655" s="33"/>
      <c r="AD655" s="33"/>
      <c r="AE655" s="33"/>
      <c r="AF655" s="33"/>
      <c r="AG655" s="33"/>
      <c r="AH655" s="99" t="b">
        <f>INDEX(stable[q_standard],MATCH(questions[[#This Row],[qno]],stable[qno],0))</f>
        <v>1</v>
      </c>
      <c r="AI655" s="99" t="b">
        <f>INDEX(stable[q_living_income],MATCH(questions[[#This Row],[qno]],stable[qno],0))</f>
        <v>0</v>
      </c>
      <c r="AJ655" s="99" t="b">
        <f>INDEX(stable[q_carbon],MATCH(questions[[#This Row],[qno]],stable[qno],0))</f>
        <v>0</v>
      </c>
      <c r="AK655" s="99" t="b">
        <f>INDEX(stable[q_regen_ag],MATCH(questions[[#This Row],[qno]],stable[qno],0))</f>
        <v>0</v>
      </c>
      <c r="AL655" s="16" t="b">
        <f>COUNTIFS(stable[qno],questions[[#This Row],[qno]])=1</f>
        <v>1</v>
      </c>
      <c r="AM655" s="16" t="b">
        <f>OR(questions[[#This Row],[is_fixed]],questions[[#This Row],[is_localized]],questions[[#This Row],[is_supply_chain_dependent]])</f>
        <v>1</v>
      </c>
      <c r="AN655" s="16" t="b">
        <f>COUNTIFS(questions[[#This Row],[is_automated]:[is_multi_select]],TRUE)=1</f>
        <v>1</v>
      </c>
      <c r="AO655" s="16" t="b">
        <f>IF(questions[[#This Row],[is_fixed]],questions[[#This Row],[question]]=INDEX(stable[question],MATCH(questions[[#This Row],[qno]],stable[qno],0)),TRUE)</f>
        <v>1</v>
      </c>
      <c r="AP655" s="16" t="str">
        <f>LEFT(questions[[#This Row],[question]],similarity_range)</f>
        <v>Supply chain</v>
      </c>
      <c r="AQ655" s="16" t="str">
        <f>LEFT(INDEX(stable[question],MATCH(questions[[#This Row],[qno]],stable[qno],0)),similarity_range)</f>
        <v>Supply chain</v>
      </c>
      <c r="AR655" s="16" t="b">
        <f>questions[[#This Row],[question_first_characters]]=questions[[#This Row],[stability_first_characters]]</f>
        <v>1</v>
      </c>
      <c r="AS655" s="16" t="b">
        <f>IF(OR(questions[[#This Row],[is_single_select]],questions[[#This Row],[is_multi_select]]),NOT(ISBLANK(questions[[#This Row],[answer_opt_combined]])),TRUE)</f>
        <v>1</v>
      </c>
    </row>
    <row r="656" spans="1:45" ht="15.75" customHeight="1" x14ac:dyDescent="0.25">
      <c r="A656" s="33" t="str">
        <f>_xlfn.TEXTJOIN("_",TRUE,questions[[#This Row],[origin]:[qno]])</f>
        <v>Kenya_Arabica_Nestle_2024_1003</v>
      </c>
      <c r="B656" s="33" t="s">
        <v>818</v>
      </c>
      <c r="C656" s="33" t="s">
        <v>59</v>
      </c>
      <c r="D656" s="33" t="s">
        <v>819</v>
      </c>
      <c r="E656" s="33">
        <v>2024</v>
      </c>
      <c r="F656" s="34" t="s">
        <v>67</v>
      </c>
      <c r="G656" s="18" t="s">
        <v>68</v>
      </c>
      <c r="H656" s="33" t="str" cm="1">
        <f t="array" ref="H656">INDEX(stableR[question],MATCH(VALUE(questions[[#This Row],[qno]]),VALUE(stableR[qno]),0))</f>
        <v>Year</v>
      </c>
      <c r="I656" s="33" t="b" cm="1">
        <f t="array" ref="I656">INDEX(stable[is_fixed],MATCH(VALUE(questions[[#This Row],[qno]]),VALUE(stable[qno]),0))</f>
        <v>1</v>
      </c>
      <c r="J656" s="33" t="b" cm="1">
        <f t="array" ref="J656">INDEX(stable[is_localized],MATCH(VALUE(questions[[#This Row],[qno]]),VALUE(stable[qno]),0))</f>
        <v>0</v>
      </c>
      <c r="K656" s="33" t="b" cm="1">
        <f t="array" ref="K656">INDEX(stable[is_supply_chain_dependent],MATCH(VALUE(questions[[#This Row],[qno]]),VALUE(stable[qno]),0))</f>
        <v>0</v>
      </c>
      <c r="L656" s="33" t="b" cm="1">
        <f t="array" ref="L656">INDEX(stable[is_mandatory],MATCH(VALUE(questions[[#This Row],[qno]]),VALUE(stable[qno]),0))</f>
        <v>1</v>
      </c>
      <c r="M656" s="33" t="b" cm="1">
        <f t="array" ref="M656">INDEX(stable[is_automated],MATCH(VALUE(questions[[#This Row],[qno]]),VALUE(stable[qno]),0))</f>
        <v>1</v>
      </c>
      <c r="N656" s="33" t="b" cm="1">
        <f t="array" ref="N656">INDEX(stable[is_free_text],MATCH(VALUE(questions[[#This Row],[qno]]),VALUE(stable[qno]),0))</f>
        <v>0</v>
      </c>
      <c r="O656" s="33" t="b" cm="1">
        <f t="array" ref="O656">INDEX(stable[is_numerical],MATCH(VALUE(questions[[#This Row],[qno]]),VALUE(stable[qno]),0))</f>
        <v>0</v>
      </c>
      <c r="P656" s="33" t="b" cm="1">
        <f t="array" ref="P656">INDEX(stable[is_single_select],MATCH(VALUE(questions[[#This Row],[qno]]),VALUE(stable[qno]),0))</f>
        <v>0</v>
      </c>
      <c r="Q656" s="33" t="b" cm="1">
        <f t="array" ref="Q656">INDEX(stable[is_multi_select],MATCH(VALUE(questions[[#This Row],[qno]]),VALUE(stable[qno]),0))</f>
        <v>0</v>
      </c>
      <c r="R656" s="33" t="b" cm="1">
        <f t="array" ref="R656">INDEX(stable[is_skip_logic],MATCH(VALUE(questions[[#This Row],[qno]]),VALUE(stable[qno]),0))</f>
        <v>0</v>
      </c>
      <c r="S656" s="33" t="str">
        <f>_xlfn.TEXTJOIN(", ",TRUE,questions[[#This Row],[ans_opt_1]:[ans_opt_14]])</f>
        <v/>
      </c>
      <c r="T656" s="33"/>
      <c r="U656" s="33"/>
      <c r="V656" s="33"/>
      <c r="W656" s="33"/>
      <c r="X656" s="33"/>
      <c r="Y656" s="33"/>
      <c r="Z656" s="33"/>
      <c r="AA656" s="33"/>
      <c r="AB656" s="33"/>
      <c r="AC656" s="33"/>
      <c r="AD656" s="33"/>
      <c r="AE656" s="33"/>
      <c r="AF656" s="33"/>
      <c r="AG656" s="33"/>
      <c r="AH656" s="99" t="b">
        <f>INDEX(stable[q_standard],MATCH(questions[[#This Row],[qno]],stable[qno],0))</f>
        <v>1</v>
      </c>
      <c r="AI656" s="99" t="b">
        <f>INDEX(stable[q_living_income],MATCH(questions[[#This Row],[qno]],stable[qno],0))</f>
        <v>0</v>
      </c>
      <c r="AJ656" s="99" t="b">
        <f>INDEX(stable[q_carbon],MATCH(questions[[#This Row],[qno]],stable[qno],0))</f>
        <v>0</v>
      </c>
      <c r="AK656" s="99" t="b">
        <f>INDEX(stable[q_regen_ag],MATCH(questions[[#This Row],[qno]],stable[qno],0))</f>
        <v>0</v>
      </c>
      <c r="AL656" s="16" t="b">
        <f>COUNTIFS(stable[qno],questions[[#This Row],[qno]])=1</f>
        <v>1</v>
      </c>
      <c r="AM656" s="16" t="b">
        <f>OR(questions[[#This Row],[is_fixed]],questions[[#This Row],[is_localized]],questions[[#This Row],[is_supply_chain_dependent]])</f>
        <v>1</v>
      </c>
      <c r="AN656" s="16" t="b">
        <f>COUNTIFS(questions[[#This Row],[is_automated]:[is_multi_select]],TRUE)=1</f>
        <v>1</v>
      </c>
      <c r="AO656" s="16" t="b">
        <f>IF(questions[[#This Row],[is_fixed]],questions[[#This Row],[question]]=INDEX(stable[question],MATCH(questions[[#This Row],[qno]],stable[qno],0)),TRUE)</f>
        <v>1</v>
      </c>
      <c r="AP656" s="16" t="str">
        <f>LEFT(questions[[#This Row],[question]],similarity_range)</f>
        <v>Year</v>
      </c>
      <c r="AQ656" s="16" t="str">
        <f>LEFT(INDEX(stable[question],MATCH(questions[[#This Row],[qno]],stable[qno],0)),similarity_range)</f>
        <v>Year</v>
      </c>
      <c r="AR656" s="16" t="b">
        <f>questions[[#This Row],[question_first_characters]]=questions[[#This Row],[stability_first_characters]]</f>
        <v>1</v>
      </c>
      <c r="AS656" s="16" t="b">
        <f>IF(OR(questions[[#This Row],[is_single_select]],questions[[#This Row],[is_multi_select]]),NOT(ISBLANK(questions[[#This Row],[answer_opt_combined]])),TRUE)</f>
        <v>1</v>
      </c>
    </row>
    <row r="657" spans="1:45" ht="15.75" customHeight="1" x14ac:dyDescent="0.25">
      <c r="A657" s="33" t="str">
        <f>_xlfn.TEXTJOIN("_",TRUE,questions[[#This Row],[origin]:[qno]])</f>
        <v>Kenya_Arabica_Nestle_2024_1104</v>
      </c>
      <c r="B657" s="33" t="s">
        <v>818</v>
      </c>
      <c r="C657" s="33" t="s">
        <v>59</v>
      </c>
      <c r="D657" s="33" t="s">
        <v>819</v>
      </c>
      <c r="E657" s="33">
        <v>2024</v>
      </c>
      <c r="F657" s="34" t="s">
        <v>69</v>
      </c>
      <c r="G657" s="18" t="s">
        <v>70</v>
      </c>
      <c r="H657" s="33" t="str" cm="1">
        <f t="array" ref="H657">INDEX(stableR[question],MATCH(VALUE(questions[[#This Row],[qno]]),VALUE(stableR[qno]),0))</f>
        <v>Managed by</v>
      </c>
      <c r="I657" s="33" t="b" cm="1">
        <f t="array" ref="I657">INDEX(stable[is_fixed],MATCH(VALUE(questions[[#This Row],[qno]]),VALUE(stable[qno]),0))</f>
        <v>1</v>
      </c>
      <c r="J657" s="33" t="b" cm="1">
        <f t="array" ref="J657">INDEX(stable[is_localized],MATCH(VALUE(questions[[#This Row],[qno]]),VALUE(stable[qno]),0))</f>
        <v>0</v>
      </c>
      <c r="K657" s="33" t="b" cm="1">
        <f t="array" ref="K657">INDEX(stable[is_supply_chain_dependent],MATCH(VALUE(questions[[#This Row],[qno]]),VALUE(stable[qno]),0))</f>
        <v>0</v>
      </c>
      <c r="L657" s="33" t="b" cm="1">
        <f t="array" ref="L657">INDEX(stable[is_mandatory],MATCH(VALUE(questions[[#This Row],[qno]]),VALUE(stable[qno]),0))</f>
        <v>1</v>
      </c>
      <c r="M657" s="33" t="b" cm="1">
        <f t="array" ref="M657">INDEX(stable[is_automated],MATCH(VALUE(questions[[#This Row],[qno]]),VALUE(stable[qno]),0))</f>
        <v>1</v>
      </c>
      <c r="N657" s="33" t="b" cm="1">
        <f t="array" ref="N657">INDEX(stable[is_free_text],MATCH(VALUE(questions[[#This Row],[qno]]),VALUE(stable[qno]),0))</f>
        <v>0</v>
      </c>
      <c r="O657" s="33" t="b" cm="1">
        <f t="array" ref="O657">INDEX(stable[is_numerical],MATCH(VALUE(questions[[#This Row],[qno]]),VALUE(stable[qno]),0))</f>
        <v>0</v>
      </c>
      <c r="P657" s="33" t="b" cm="1">
        <f t="array" ref="P657">INDEX(stable[is_single_select],MATCH(VALUE(questions[[#This Row],[qno]]),VALUE(stable[qno]),0))</f>
        <v>0</v>
      </c>
      <c r="Q657" s="33" t="b" cm="1">
        <f t="array" ref="Q657">INDEX(stable[is_multi_select],MATCH(VALUE(questions[[#This Row],[qno]]),VALUE(stable[qno]),0))</f>
        <v>0</v>
      </c>
      <c r="R657" s="33" t="b" cm="1">
        <f t="array" ref="R657">INDEX(stable[is_skip_logic],MATCH(VALUE(questions[[#This Row],[qno]]),VALUE(stable[qno]),0))</f>
        <v>0</v>
      </c>
      <c r="S657" s="33" t="str">
        <f>_xlfn.TEXTJOIN(", ",TRUE,questions[[#This Row],[ans_opt_1]:[ans_opt_14]])</f>
        <v/>
      </c>
      <c r="T657" s="33"/>
      <c r="U657" s="33"/>
      <c r="V657" s="33"/>
      <c r="W657" s="33"/>
      <c r="X657" s="33"/>
      <c r="Y657" s="33"/>
      <c r="Z657" s="33"/>
      <c r="AA657" s="33"/>
      <c r="AB657" s="33"/>
      <c r="AC657" s="33"/>
      <c r="AD657" s="33"/>
      <c r="AE657" s="33"/>
      <c r="AF657" s="33"/>
      <c r="AG657" s="33"/>
      <c r="AH657" s="99" t="b">
        <f>INDEX(stable[q_standard],MATCH(questions[[#This Row],[qno]],stable[qno],0))</f>
        <v>1</v>
      </c>
      <c r="AI657" s="99" t="b">
        <f>INDEX(stable[q_living_income],MATCH(questions[[#This Row],[qno]],stable[qno],0))</f>
        <v>0</v>
      </c>
      <c r="AJ657" s="99" t="b">
        <f>INDEX(stable[q_carbon],MATCH(questions[[#This Row],[qno]],stable[qno],0))</f>
        <v>0</v>
      </c>
      <c r="AK657" s="99" t="b">
        <f>INDEX(stable[q_regen_ag],MATCH(questions[[#This Row],[qno]],stable[qno],0))</f>
        <v>0</v>
      </c>
      <c r="AL657" s="16" t="b">
        <f>COUNTIFS(stable[qno],questions[[#This Row],[qno]])=1</f>
        <v>1</v>
      </c>
      <c r="AM657" s="16" t="b">
        <f>OR(questions[[#This Row],[is_fixed]],questions[[#This Row],[is_localized]],questions[[#This Row],[is_supply_chain_dependent]])</f>
        <v>1</v>
      </c>
      <c r="AN657" s="16" t="b">
        <f>COUNTIFS(questions[[#This Row],[is_automated]:[is_multi_select]],TRUE)=1</f>
        <v>1</v>
      </c>
      <c r="AO657" s="16" t="b">
        <f>IF(questions[[#This Row],[is_fixed]],questions[[#This Row],[question]]=INDEX(stable[question],MATCH(questions[[#This Row],[qno]],stable[qno],0)),TRUE)</f>
        <v>1</v>
      </c>
      <c r="AP657" s="16" t="str">
        <f>LEFT(questions[[#This Row],[question]],similarity_range)</f>
        <v>Managed by</v>
      </c>
      <c r="AQ657" s="16" t="str">
        <f>LEFT(INDEX(stable[question],MATCH(questions[[#This Row],[qno]],stable[qno],0)),similarity_range)</f>
        <v>Managed by</v>
      </c>
      <c r="AR657" s="16" t="b">
        <f>questions[[#This Row],[question_first_characters]]=questions[[#This Row],[stability_first_characters]]</f>
        <v>1</v>
      </c>
      <c r="AS657" s="16" t="b">
        <f>IF(OR(questions[[#This Row],[is_single_select]],questions[[#This Row],[is_multi_select]]),NOT(ISBLANK(questions[[#This Row],[answer_opt_combined]])),TRUE)</f>
        <v>1</v>
      </c>
    </row>
    <row r="658" spans="1:45" ht="15.75" customHeight="1" x14ac:dyDescent="0.25">
      <c r="A658" s="33" t="str">
        <f>_xlfn.TEXTJOIN("_",TRUE,questions[[#This Row],[origin]:[qno]])</f>
        <v>Kenya_Arabica_Nestle_2024_1105</v>
      </c>
      <c r="B658" s="33" t="s">
        <v>818</v>
      </c>
      <c r="C658" s="33" t="s">
        <v>59</v>
      </c>
      <c r="D658" s="33" t="s">
        <v>819</v>
      </c>
      <c r="E658" s="33">
        <v>2024</v>
      </c>
      <c r="F658" s="34" t="s">
        <v>71</v>
      </c>
      <c r="G658" s="18" t="s">
        <v>72</v>
      </c>
      <c r="H658" s="33" t="str" cm="1">
        <f t="array" ref="H658">INDEX(stableR[question],MATCH(VALUE(questions[[#This Row],[qno]]),VALUE(stableR[qno]),0))</f>
        <v>Field staff(s)</v>
      </c>
      <c r="I658" s="33" t="b" cm="1">
        <f t="array" ref="I658">INDEX(stable[is_fixed],MATCH(VALUE(questions[[#This Row],[qno]]),VALUE(stable[qno]),0))</f>
        <v>1</v>
      </c>
      <c r="J658" s="33" t="b" cm="1">
        <f t="array" ref="J658">INDEX(stable[is_localized],MATCH(VALUE(questions[[#This Row],[qno]]),VALUE(stable[qno]),0))</f>
        <v>0</v>
      </c>
      <c r="K658" s="33" t="b" cm="1">
        <f t="array" ref="K658">INDEX(stable[is_supply_chain_dependent],MATCH(VALUE(questions[[#This Row],[qno]]),VALUE(stable[qno]),0))</f>
        <v>0</v>
      </c>
      <c r="L658" s="33" t="b" cm="1">
        <f t="array" ref="L658">INDEX(stable[is_mandatory],MATCH(VALUE(questions[[#This Row],[qno]]),VALUE(stable[qno]),0))</f>
        <v>1</v>
      </c>
      <c r="M658" s="33" t="b" cm="1">
        <f t="array" ref="M658">INDEX(stable[is_automated],MATCH(VALUE(questions[[#This Row],[qno]]),VALUE(stable[qno]),0))</f>
        <v>1</v>
      </c>
      <c r="N658" s="33" t="b" cm="1">
        <f t="array" ref="N658">INDEX(stable[is_free_text],MATCH(VALUE(questions[[#This Row],[qno]]),VALUE(stable[qno]),0))</f>
        <v>0</v>
      </c>
      <c r="O658" s="33" t="b" cm="1">
        <f t="array" ref="O658">INDEX(stable[is_numerical],MATCH(VALUE(questions[[#This Row],[qno]]),VALUE(stable[qno]),0))</f>
        <v>0</v>
      </c>
      <c r="P658" s="33" t="b" cm="1">
        <f t="array" ref="P658">INDEX(stable[is_single_select],MATCH(VALUE(questions[[#This Row],[qno]]),VALUE(stable[qno]),0))</f>
        <v>0</v>
      </c>
      <c r="Q658" s="33" t="b" cm="1">
        <f t="array" ref="Q658">INDEX(stable[is_multi_select],MATCH(VALUE(questions[[#This Row],[qno]]),VALUE(stable[qno]),0))</f>
        <v>0</v>
      </c>
      <c r="R658" s="33" t="b" cm="1">
        <f t="array" ref="R658">INDEX(stable[is_skip_logic],MATCH(VALUE(questions[[#This Row],[qno]]),VALUE(stable[qno]),0))</f>
        <v>0</v>
      </c>
      <c r="S658" s="33" t="str">
        <f>_xlfn.TEXTJOIN(", ",TRUE,questions[[#This Row],[ans_opt_1]:[ans_opt_14]])</f>
        <v/>
      </c>
      <c r="T658" s="33"/>
      <c r="U658" s="33"/>
      <c r="V658" s="33"/>
      <c r="W658" s="33"/>
      <c r="X658" s="33"/>
      <c r="Y658" s="33"/>
      <c r="Z658" s="33"/>
      <c r="AA658" s="33"/>
      <c r="AB658" s="33"/>
      <c r="AC658" s="33"/>
      <c r="AD658" s="33"/>
      <c r="AE658" s="33"/>
      <c r="AF658" s="33"/>
      <c r="AG658" s="33"/>
      <c r="AH658" s="99" t="b">
        <f>INDEX(stable[q_standard],MATCH(questions[[#This Row],[qno]],stable[qno],0))</f>
        <v>1</v>
      </c>
      <c r="AI658" s="99" t="b">
        <f>INDEX(stable[q_living_income],MATCH(questions[[#This Row],[qno]],stable[qno],0))</f>
        <v>0</v>
      </c>
      <c r="AJ658" s="99" t="b">
        <f>INDEX(stable[q_carbon],MATCH(questions[[#This Row],[qno]],stable[qno],0))</f>
        <v>0</v>
      </c>
      <c r="AK658" s="99" t="b">
        <f>INDEX(stable[q_regen_ag],MATCH(questions[[#This Row],[qno]],stable[qno],0))</f>
        <v>0</v>
      </c>
      <c r="AL658" s="16" t="b">
        <f>COUNTIFS(stable[qno],questions[[#This Row],[qno]])=1</f>
        <v>1</v>
      </c>
      <c r="AM658" s="16" t="b">
        <f>OR(questions[[#This Row],[is_fixed]],questions[[#This Row],[is_localized]],questions[[#This Row],[is_supply_chain_dependent]])</f>
        <v>1</v>
      </c>
      <c r="AN658" s="16" t="b">
        <f>COUNTIFS(questions[[#This Row],[is_automated]:[is_multi_select]],TRUE)=1</f>
        <v>1</v>
      </c>
      <c r="AO658" s="16" t="b">
        <f>IF(questions[[#This Row],[is_fixed]],questions[[#This Row],[question]]=INDEX(stable[question],MATCH(questions[[#This Row],[qno]],stable[qno],0)),TRUE)</f>
        <v>1</v>
      </c>
      <c r="AP658" s="16" t="str">
        <f>LEFT(questions[[#This Row],[question]],similarity_range)</f>
        <v>Field staff(s)</v>
      </c>
      <c r="AQ658" s="16" t="str">
        <f>LEFT(INDEX(stable[question],MATCH(questions[[#This Row],[qno]],stable[qno],0)),similarity_range)</f>
        <v>Field staff(s)</v>
      </c>
      <c r="AR658" s="16" t="b">
        <f>questions[[#This Row],[question_first_characters]]=questions[[#This Row],[stability_first_characters]]</f>
        <v>1</v>
      </c>
      <c r="AS658" s="16" t="b">
        <f>IF(OR(questions[[#This Row],[is_single_select]],questions[[#This Row],[is_multi_select]]),NOT(ISBLANK(questions[[#This Row],[answer_opt_combined]])),TRUE)</f>
        <v>1</v>
      </c>
    </row>
    <row r="659" spans="1:45" ht="15.75" customHeight="1" x14ac:dyDescent="0.25">
      <c r="A659" s="33" t="str">
        <f>_xlfn.TEXTJOIN("_",TRUE,questions[[#This Row],[origin]:[qno]])</f>
        <v>Kenya_Arabica_Nestle_2024_1106</v>
      </c>
      <c r="B659" s="33" t="s">
        <v>818</v>
      </c>
      <c r="C659" s="33" t="s">
        <v>59</v>
      </c>
      <c r="D659" s="33" t="s">
        <v>819</v>
      </c>
      <c r="E659" s="33">
        <v>2024</v>
      </c>
      <c r="F659" s="34" t="s">
        <v>73</v>
      </c>
      <c r="G659" s="18" t="s">
        <v>74</v>
      </c>
      <c r="H659" s="33" t="str" cm="1">
        <f t="array" ref="H659">INDEX(stableR[question],MATCH(VALUE(questions[[#This Row],[qno]]),VALUE(stableR[qno]),0))</f>
        <v>Completion Date</v>
      </c>
      <c r="I659" s="33" t="b" cm="1">
        <f t="array" ref="I659">INDEX(stable[is_fixed],MATCH(VALUE(questions[[#This Row],[qno]]),VALUE(stable[qno]),0))</f>
        <v>1</v>
      </c>
      <c r="J659" s="33" t="b" cm="1">
        <f t="array" ref="J659">INDEX(stable[is_localized],MATCH(VALUE(questions[[#This Row],[qno]]),VALUE(stable[qno]),0))</f>
        <v>0</v>
      </c>
      <c r="K659" s="33" t="b" cm="1">
        <f t="array" ref="K659">INDEX(stable[is_supply_chain_dependent],MATCH(VALUE(questions[[#This Row],[qno]]),VALUE(stable[qno]),0))</f>
        <v>0</v>
      </c>
      <c r="L659" s="33" t="b" cm="1">
        <f t="array" ref="L659">INDEX(stable[is_mandatory],MATCH(VALUE(questions[[#This Row],[qno]]),VALUE(stable[qno]),0))</f>
        <v>1</v>
      </c>
      <c r="M659" s="33" t="b" cm="1">
        <f t="array" ref="M659">INDEX(stable[is_automated],MATCH(VALUE(questions[[#This Row],[qno]]),VALUE(stable[qno]),0))</f>
        <v>1</v>
      </c>
      <c r="N659" s="33" t="b" cm="1">
        <f t="array" ref="N659">INDEX(stable[is_free_text],MATCH(VALUE(questions[[#This Row],[qno]]),VALUE(stable[qno]),0))</f>
        <v>0</v>
      </c>
      <c r="O659" s="33" t="b" cm="1">
        <f t="array" ref="O659">INDEX(stable[is_numerical],MATCH(VALUE(questions[[#This Row],[qno]]),VALUE(stable[qno]),0))</f>
        <v>0</v>
      </c>
      <c r="P659" s="33" t="b" cm="1">
        <f t="array" ref="P659">INDEX(stable[is_single_select],MATCH(VALUE(questions[[#This Row],[qno]]),VALUE(stable[qno]),0))</f>
        <v>0</v>
      </c>
      <c r="Q659" s="33" t="b" cm="1">
        <f t="array" ref="Q659">INDEX(stable[is_multi_select],MATCH(VALUE(questions[[#This Row],[qno]]),VALUE(stable[qno]),0))</f>
        <v>0</v>
      </c>
      <c r="R659" s="33" t="b" cm="1">
        <f t="array" ref="R659">INDEX(stable[is_skip_logic],MATCH(VALUE(questions[[#This Row],[qno]]),VALUE(stable[qno]),0))</f>
        <v>0</v>
      </c>
      <c r="S659" s="33" t="str">
        <f>_xlfn.TEXTJOIN(", ",TRUE,questions[[#This Row],[ans_opt_1]:[ans_opt_14]])</f>
        <v/>
      </c>
      <c r="T659" s="33"/>
      <c r="U659" s="33"/>
      <c r="V659" s="33"/>
      <c r="W659" s="33"/>
      <c r="X659" s="33"/>
      <c r="Y659" s="33"/>
      <c r="Z659" s="33"/>
      <c r="AA659" s="33"/>
      <c r="AB659" s="33"/>
      <c r="AC659" s="33"/>
      <c r="AD659" s="33"/>
      <c r="AE659" s="33"/>
      <c r="AF659" s="33"/>
      <c r="AG659" s="33"/>
      <c r="AH659" s="99" t="b">
        <f>INDEX(stable[q_standard],MATCH(questions[[#This Row],[qno]],stable[qno],0))</f>
        <v>1</v>
      </c>
      <c r="AI659" s="99" t="b">
        <f>INDEX(stable[q_living_income],MATCH(questions[[#This Row],[qno]],stable[qno],0))</f>
        <v>0</v>
      </c>
      <c r="AJ659" s="99" t="b">
        <f>INDEX(stable[q_carbon],MATCH(questions[[#This Row],[qno]],stable[qno],0))</f>
        <v>0</v>
      </c>
      <c r="AK659" s="99" t="b">
        <f>INDEX(stable[q_regen_ag],MATCH(questions[[#This Row],[qno]],stable[qno],0))</f>
        <v>0</v>
      </c>
      <c r="AL659" s="16" t="b">
        <f>COUNTIFS(stable[qno],questions[[#This Row],[qno]])=1</f>
        <v>1</v>
      </c>
      <c r="AM659" s="16" t="b">
        <f>OR(questions[[#This Row],[is_fixed]],questions[[#This Row],[is_localized]],questions[[#This Row],[is_supply_chain_dependent]])</f>
        <v>1</v>
      </c>
      <c r="AN659" s="16" t="b">
        <f>COUNTIFS(questions[[#This Row],[is_automated]:[is_multi_select]],TRUE)=1</f>
        <v>1</v>
      </c>
      <c r="AO659" s="16" t="b">
        <f>IF(questions[[#This Row],[is_fixed]],questions[[#This Row],[question]]=INDEX(stable[question],MATCH(questions[[#This Row],[qno]],stable[qno],0)),TRUE)</f>
        <v>1</v>
      </c>
      <c r="AP659" s="16" t="str">
        <f>LEFT(questions[[#This Row],[question]],similarity_range)</f>
        <v>Completion Date</v>
      </c>
      <c r="AQ659" s="16" t="str">
        <f>LEFT(INDEX(stable[question],MATCH(questions[[#This Row],[qno]],stable[qno],0)),similarity_range)</f>
        <v>Completion Date</v>
      </c>
      <c r="AR659" s="16" t="b">
        <f>questions[[#This Row],[question_first_characters]]=questions[[#This Row],[stability_first_characters]]</f>
        <v>1</v>
      </c>
      <c r="AS659" s="16" t="b">
        <f>IF(OR(questions[[#This Row],[is_single_select]],questions[[#This Row],[is_multi_select]]),NOT(ISBLANK(questions[[#This Row],[answer_opt_combined]])),TRUE)</f>
        <v>1</v>
      </c>
    </row>
    <row r="660" spans="1:45" ht="15.75" customHeight="1" x14ac:dyDescent="0.25">
      <c r="A660" s="33" t="str">
        <f>_xlfn.TEXTJOIN("_",TRUE,questions[[#This Row],[origin]:[qno]])</f>
        <v>Kenya_Arabica_Nestle_2024_1110</v>
      </c>
      <c r="B660" s="33" t="s">
        <v>818</v>
      </c>
      <c r="C660" s="33" t="s">
        <v>59</v>
      </c>
      <c r="D660" s="33" t="s">
        <v>819</v>
      </c>
      <c r="E660" s="33">
        <v>2024</v>
      </c>
      <c r="F660" s="34" t="s">
        <v>75</v>
      </c>
      <c r="G660" s="18" t="s">
        <v>76</v>
      </c>
      <c r="H660" s="33" t="str" cm="1">
        <f t="array" ref="H660">INDEX(stableR[question],MATCH(VALUE(questions[[#This Row],[qno]]),VALUE(stableR[qno]),0))</f>
        <v>Approved / Rejected By</v>
      </c>
      <c r="I660" s="33" t="b" cm="1">
        <f t="array" ref="I660">INDEX(stable[is_fixed],MATCH(VALUE(questions[[#This Row],[qno]]),VALUE(stable[qno]),0))</f>
        <v>1</v>
      </c>
      <c r="J660" s="33" t="b" cm="1">
        <f t="array" ref="J660">INDEX(stable[is_localized],MATCH(VALUE(questions[[#This Row],[qno]]),VALUE(stable[qno]),0))</f>
        <v>0</v>
      </c>
      <c r="K660" s="33" t="b" cm="1">
        <f t="array" ref="K660">INDEX(stable[is_supply_chain_dependent],MATCH(VALUE(questions[[#This Row],[qno]]),VALUE(stable[qno]),0))</f>
        <v>0</v>
      </c>
      <c r="L660" s="33" t="b" cm="1">
        <f t="array" ref="L660">INDEX(stable[is_mandatory],MATCH(VALUE(questions[[#This Row],[qno]]),VALUE(stable[qno]),0))</f>
        <v>1</v>
      </c>
      <c r="M660" s="33" t="b" cm="1">
        <f t="array" ref="M660">INDEX(stable[is_automated],MATCH(VALUE(questions[[#This Row],[qno]]),VALUE(stable[qno]),0))</f>
        <v>1</v>
      </c>
      <c r="N660" s="33" t="b" cm="1">
        <f t="array" ref="N660">INDEX(stable[is_free_text],MATCH(VALUE(questions[[#This Row],[qno]]),VALUE(stable[qno]),0))</f>
        <v>0</v>
      </c>
      <c r="O660" s="33" t="b" cm="1">
        <f t="array" ref="O660">INDEX(stable[is_numerical],MATCH(VALUE(questions[[#This Row],[qno]]),VALUE(stable[qno]),0))</f>
        <v>0</v>
      </c>
      <c r="P660" s="33" t="b" cm="1">
        <f t="array" ref="P660">INDEX(stable[is_single_select],MATCH(VALUE(questions[[#This Row],[qno]]),VALUE(stable[qno]),0))</f>
        <v>0</v>
      </c>
      <c r="Q660" s="33" t="b" cm="1">
        <f t="array" ref="Q660">INDEX(stable[is_multi_select],MATCH(VALUE(questions[[#This Row],[qno]]),VALUE(stable[qno]),0))</f>
        <v>0</v>
      </c>
      <c r="R660" s="33" t="b" cm="1">
        <f t="array" ref="R660">INDEX(stable[is_skip_logic],MATCH(VALUE(questions[[#This Row],[qno]]),VALUE(stable[qno]),0))</f>
        <v>0</v>
      </c>
      <c r="S660" s="33" t="str">
        <f>_xlfn.TEXTJOIN(", ",TRUE,questions[[#This Row],[ans_opt_1]:[ans_opt_14]])</f>
        <v/>
      </c>
      <c r="T660" s="33"/>
      <c r="U660" s="33"/>
      <c r="V660" s="33"/>
      <c r="W660" s="33"/>
      <c r="X660" s="33"/>
      <c r="Y660" s="33"/>
      <c r="Z660" s="33"/>
      <c r="AA660" s="33"/>
      <c r="AB660" s="33"/>
      <c r="AC660" s="33"/>
      <c r="AD660" s="33"/>
      <c r="AE660" s="33"/>
      <c r="AF660" s="33"/>
      <c r="AG660" s="33"/>
      <c r="AH660" s="99" t="b">
        <f>INDEX(stable[q_standard],MATCH(questions[[#This Row],[qno]],stable[qno],0))</f>
        <v>1</v>
      </c>
      <c r="AI660" s="99" t="b">
        <f>INDEX(stable[q_living_income],MATCH(questions[[#This Row],[qno]],stable[qno],0))</f>
        <v>0</v>
      </c>
      <c r="AJ660" s="99" t="b">
        <f>INDEX(stable[q_carbon],MATCH(questions[[#This Row],[qno]],stable[qno],0))</f>
        <v>0</v>
      </c>
      <c r="AK660" s="99" t="b">
        <f>INDEX(stable[q_regen_ag],MATCH(questions[[#This Row],[qno]],stable[qno],0))</f>
        <v>0</v>
      </c>
      <c r="AL660" s="16" t="b">
        <f>COUNTIFS(stable[qno],questions[[#This Row],[qno]])=1</f>
        <v>1</v>
      </c>
      <c r="AM660" s="16" t="b">
        <f>OR(questions[[#This Row],[is_fixed]],questions[[#This Row],[is_localized]],questions[[#This Row],[is_supply_chain_dependent]])</f>
        <v>1</v>
      </c>
      <c r="AN660" s="16" t="b">
        <f>COUNTIFS(questions[[#This Row],[is_automated]:[is_multi_select]],TRUE)=1</f>
        <v>1</v>
      </c>
      <c r="AO660" s="16" t="b">
        <f>IF(questions[[#This Row],[is_fixed]],questions[[#This Row],[question]]=INDEX(stable[question],MATCH(questions[[#This Row],[qno]],stable[qno],0)),TRUE)</f>
        <v>1</v>
      </c>
      <c r="AP660" s="16" t="str">
        <f>LEFT(questions[[#This Row],[question]],similarity_range)</f>
        <v xml:space="preserve">Approved / Rejected </v>
      </c>
      <c r="AQ660" s="16" t="str">
        <f>LEFT(INDEX(stable[question],MATCH(questions[[#This Row],[qno]],stable[qno],0)),similarity_range)</f>
        <v xml:space="preserve">Approved / Rejected </v>
      </c>
      <c r="AR660" s="16" t="b">
        <f>questions[[#This Row],[question_first_characters]]=questions[[#This Row],[stability_first_characters]]</f>
        <v>1</v>
      </c>
      <c r="AS660" s="16" t="b">
        <f>IF(OR(questions[[#This Row],[is_single_select]],questions[[#This Row],[is_multi_select]]),NOT(ISBLANK(questions[[#This Row],[answer_opt_combined]])),TRUE)</f>
        <v>1</v>
      </c>
    </row>
    <row r="661" spans="1:45" ht="15.75" customHeight="1" x14ac:dyDescent="0.25">
      <c r="A661" s="33" t="str">
        <f>_xlfn.TEXTJOIN("_",TRUE,questions[[#This Row],[origin]:[qno]])</f>
        <v>Kenya_Arabica_Nestle_2024_1111</v>
      </c>
      <c r="B661" s="33" t="s">
        <v>818</v>
      </c>
      <c r="C661" s="33" t="s">
        <v>59</v>
      </c>
      <c r="D661" s="33" t="s">
        <v>819</v>
      </c>
      <c r="E661" s="33">
        <v>2024</v>
      </c>
      <c r="F661" s="34" t="s">
        <v>77</v>
      </c>
      <c r="G661" s="18" t="s">
        <v>78</v>
      </c>
      <c r="H661" s="33" t="str" cm="1">
        <f t="array" ref="H661">INDEX(stableR[question],MATCH(VALUE(questions[[#This Row],[qno]]),VALUE(stableR[qno]),0))</f>
        <v>Approved / Rejected Date</v>
      </c>
      <c r="I661" s="33" t="b" cm="1">
        <f t="array" ref="I661">INDEX(stable[is_fixed],MATCH(VALUE(questions[[#This Row],[qno]]),VALUE(stable[qno]),0))</f>
        <v>1</v>
      </c>
      <c r="J661" s="33" t="b" cm="1">
        <f t="array" ref="J661">INDEX(stable[is_localized],MATCH(VALUE(questions[[#This Row],[qno]]),VALUE(stable[qno]),0))</f>
        <v>0</v>
      </c>
      <c r="K661" s="33" t="b" cm="1">
        <f t="array" ref="K661">INDEX(stable[is_supply_chain_dependent],MATCH(VALUE(questions[[#This Row],[qno]]),VALUE(stable[qno]),0))</f>
        <v>0</v>
      </c>
      <c r="L661" s="33" t="b" cm="1">
        <f t="array" ref="L661">INDEX(stable[is_mandatory],MATCH(VALUE(questions[[#This Row],[qno]]),VALUE(stable[qno]),0))</f>
        <v>1</v>
      </c>
      <c r="M661" s="33" t="b" cm="1">
        <f t="array" ref="M661">INDEX(stable[is_automated],MATCH(VALUE(questions[[#This Row],[qno]]),VALUE(stable[qno]),0))</f>
        <v>1</v>
      </c>
      <c r="N661" s="33" t="b" cm="1">
        <f t="array" ref="N661">INDEX(stable[is_free_text],MATCH(VALUE(questions[[#This Row],[qno]]),VALUE(stable[qno]),0))</f>
        <v>0</v>
      </c>
      <c r="O661" s="33" t="b" cm="1">
        <f t="array" ref="O661">INDEX(stable[is_numerical],MATCH(VALUE(questions[[#This Row],[qno]]),VALUE(stable[qno]),0))</f>
        <v>0</v>
      </c>
      <c r="P661" s="33" t="b" cm="1">
        <f t="array" ref="P661">INDEX(stable[is_single_select],MATCH(VALUE(questions[[#This Row],[qno]]),VALUE(stable[qno]),0))</f>
        <v>0</v>
      </c>
      <c r="Q661" s="33" t="b" cm="1">
        <f t="array" ref="Q661">INDEX(stable[is_multi_select],MATCH(VALUE(questions[[#This Row],[qno]]),VALUE(stable[qno]),0))</f>
        <v>0</v>
      </c>
      <c r="R661" s="33" t="b" cm="1">
        <f t="array" ref="R661">INDEX(stable[is_skip_logic],MATCH(VALUE(questions[[#This Row],[qno]]),VALUE(stable[qno]),0))</f>
        <v>0</v>
      </c>
      <c r="S661" s="33" t="str">
        <f>_xlfn.TEXTJOIN(", ",TRUE,questions[[#This Row],[ans_opt_1]:[ans_opt_14]])</f>
        <v/>
      </c>
      <c r="T661" s="33"/>
      <c r="U661" s="33"/>
      <c r="V661" s="33"/>
      <c r="W661" s="33"/>
      <c r="X661" s="33"/>
      <c r="Y661" s="33"/>
      <c r="Z661" s="33"/>
      <c r="AA661" s="33"/>
      <c r="AB661" s="33"/>
      <c r="AC661" s="33"/>
      <c r="AD661" s="33"/>
      <c r="AE661" s="33"/>
      <c r="AF661" s="33"/>
      <c r="AG661" s="33"/>
      <c r="AH661" s="99" t="b">
        <f>INDEX(stable[q_standard],MATCH(questions[[#This Row],[qno]],stable[qno],0))</f>
        <v>1</v>
      </c>
      <c r="AI661" s="99" t="b">
        <f>INDEX(stable[q_living_income],MATCH(questions[[#This Row],[qno]],stable[qno],0))</f>
        <v>0</v>
      </c>
      <c r="AJ661" s="99" t="b">
        <f>INDEX(stable[q_carbon],MATCH(questions[[#This Row],[qno]],stable[qno],0))</f>
        <v>0</v>
      </c>
      <c r="AK661" s="99" t="b">
        <f>INDEX(stable[q_regen_ag],MATCH(questions[[#This Row],[qno]],stable[qno],0))</f>
        <v>0</v>
      </c>
      <c r="AL661" s="16" t="b">
        <f>COUNTIFS(stable[qno],questions[[#This Row],[qno]])=1</f>
        <v>1</v>
      </c>
      <c r="AM661" s="16" t="b">
        <f>OR(questions[[#This Row],[is_fixed]],questions[[#This Row],[is_localized]],questions[[#This Row],[is_supply_chain_dependent]])</f>
        <v>1</v>
      </c>
      <c r="AN661" s="16" t="b">
        <f>COUNTIFS(questions[[#This Row],[is_automated]:[is_multi_select]],TRUE)=1</f>
        <v>1</v>
      </c>
      <c r="AO661" s="16" t="b">
        <f>IF(questions[[#This Row],[is_fixed]],questions[[#This Row],[question]]=INDEX(stable[question],MATCH(questions[[#This Row],[qno]],stable[qno],0)),TRUE)</f>
        <v>1</v>
      </c>
      <c r="AP661" s="16" t="str">
        <f>LEFT(questions[[#This Row],[question]],similarity_range)</f>
        <v xml:space="preserve">Approved / Rejected </v>
      </c>
      <c r="AQ661" s="16" t="str">
        <f>LEFT(INDEX(stable[question],MATCH(questions[[#This Row],[qno]],stable[qno],0)),similarity_range)</f>
        <v xml:space="preserve">Approved / Rejected </v>
      </c>
      <c r="AR661" s="16" t="b">
        <f>questions[[#This Row],[question_first_characters]]=questions[[#This Row],[stability_first_characters]]</f>
        <v>1</v>
      </c>
      <c r="AS661" s="16" t="b">
        <f>IF(OR(questions[[#This Row],[is_single_select]],questions[[#This Row],[is_multi_select]]),NOT(ISBLANK(questions[[#This Row],[answer_opt_combined]])),TRUE)</f>
        <v>1</v>
      </c>
    </row>
    <row r="662" spans="1:45" ht="15.75" customHeight="1" x14ac:dyDescent="0.25">
      <c r="A662" s="33" t="str">
        <f>_xlfn.TEXTJOIN("_",TRUE,questions[[#This Row],[origin]:[qno]])</f>
        <v>Kenya_Arabica_Nestle_2024_1112</v>
      </c>
      <c r="B662" s="33" t="s">
        <v>818</v>
      </c>
      <c r="C662" s="33" t="s">
        <v>59</v>
      </c>
      <c r="D662" s="33" t="s">
        <v>819</v>
      </c>
      <c r="E662" s="33">
        <v>2024</v>
      </c>
      <c r="F662" s="34" t="s">
        <v>79</v>
      </c>
      <c r="G662" s="18" t="s">
        <v>80</v>
      </c>
      <c r="H662" s="33" t="str" cm="1">
        <f t="array" ref="H662">INDEX(stableR[question],MATCH(VALUE(questions[[#This Row],[qno]]),VALUE(stableR[qno]),0))</f>
        <v>Approval / Rejection Reason</v>
      </c>
      <c r="I662" s="33" t="b" cm="1">
        <f t="array" ref="I662">INDEX(stable[is_fixed],MATCH(VALUE(questions[[#This Row],[qno]]),VALUE(stable[qno]),0))</f>
        <v>1</v>
      </c>
      <c r="J662" s="33" t="b" cm="1">
        <f t="array" ref="J662">INDEX(stable[is_localized],MATCH(VALUE(questions[[#This Row],[qno]]),VALUE(stable[qno]),0))</f>
        <v>0</v>
      </c>
      <c r="K662" s="33" t="b" cm="1">
        <f t="array" ref="K662">INDEX(stable[is_supply_chain_dependent],MATCH(VALUE(questions[[#This Row],[qno]]),VALUE(stable[qno]),0))</f>
        <v>0</v>
      </c>
      <c r="L662" s="33" t="b" cm="1">
        <f t="array" ref="L662">INDEX(stable[is_mandatory],MATCH(VALUE(questions[[#This Row],[qno]]),VALUE(stable[qno]),0))</f>
        <v>1</v>
      </c>
      <c r="M662" s="33" t="b" cm="1">
        <f t="array" ref="M662">INDEX(stable[is_automated],MATCH(VALUE(questions[[#This Row],[qno]]),VALUE(stable[qno]),0))</f>
        <v>1</v>
      </c>
      <c r="N662" s="33" t="b" cm="1">
        <f t="array" ref="N662">INDEX(stable[is_free_text],MATCH(VALUE(questions[[#This Row],[qno]]),VALUE(stable[qno]),0))</f>
        <v>0</v>
      </c>
      <c r="O662" s="33" t="b" cm="1">
        <f t="array" ref="O662">INDEX(stable[is_numerical],MATCH(VALUE(questions[[#This Row],[qno]]),VALUE(stable[qno]),0))</f>
        <v>0</v>
      </c>
      <c r="P662" s="33" t="b" cm="1">
        <f t="array" ref="P662">INDEX(stable[is_single_select],MATCH(VALUE(questions[[#This Row],[qno]]),VALUE(stable[qno]),0))</f>
        <v>0</v>
      </c>
      <c r="Q662" s="33" t="b" cm="1">
        <f t="array" ref="Q662">INDEX(stable[is_multi_select],MATCH(VALUE(questions[[#This Row],[qno]]),VALUE(stable[qno]),0))</f>
        <v>0</v>
      </c>
      <c r="R662" s="33" t="b" cm="1">
        <f t="array" ref="R662">INDEX(stable[is_skip_logic],MATCH(VALUE(questions[[#This Row],[qno]]),VALUE(stable[qno]),0))</f>
        <v>0</v>
      </c>
      <c r="S662" s="33" t="str">
        <f>_xlfn.TEXTJOIN(", ",TRUE,questions[[#This Row],[ans_opt_1]:[ans_opt_14]])</f>
        <v/>
      </c>
      <c r="T662" s="33"/>
      <c r="U662" s="33"/>
      <c r="V662" s="33"/>
      <c r="W662" s="33"/>
      <c r="X662" s="33"/>
      <c r="Y662" s="33"/>
      <c r="Z662" s="33"/>
      <c r="AA662" s="33"/>
      <c r="AB662" s="33"/>
      <c r="AC662" s="33"/>
      <c r="AD662" s="33"/>
      <c r="AE662" s="33"/>
      <c r="AF662" s="33"/>
      <c r="AG662" s="33"/>
      <c r="AH662" s="99" t="b">
        <f>INDEX(stable[q_standard],MATCH(questions[[#This Row],[qno]],stable[qno],0))</f>
        <v>1</v>
      </c>
      <c r="AI662" s="99" t="b">
        <f>INDEX(stable[q_living_income],MATCH(questions[[#This Row],[qno]],stable[qno],0))</f>
        <v>0</v>
      </c>
      <c r="AJ662" s="99" t="b">
        <f>INDEX(stable[q_carbon],MATCH(questions[[#This Row],[qno]],stable[qno],0))</f>
        <v>0</v>
      </c>
      <c r="AK662" s="99" t="b">
        <f>INDEX(stable[q_regen_ag],MATCH(questions[[#This Row],[qno]],stable[qno],0))</f>
        <v>0</v>
      </c>
      <c r="AL662" s="16" t="b">
        <f>COUNTIFS(stable[qno],questions[[#This Row],[qno]])=1</f>
        <v>1</v>
      </c>
      <c r="AM662" s="16" t="b">
        <f>OR(questions[[#This Row],[is_fixed]],questions[[#This Row],[is_localized]],questions[[#This Row],[is_supply_chain_dependent]])</f>
        <v>1</v>
      </c>
      <c r="AN662" s="16" t="b">
        <f>COUNTIFS(questions[[#This Row],[is_automated]:[is_multi_select]],TRUE)=1</f>
        <v>1</v>
      </c>
      <c r="AO662" s="16" t="b">
        <f>IF(questions[[#This Row],[is_fixed]],questions[[#This Row],[question]]=INDEX(stable[question],MATCH(questions[[#This Row],[qno]],stable[qno],0)),TRUE)</f>
        <v>1</v>
      </c>
      <c r="AP662" s="16" t="str">
        <f>LEFT(questions[[#This Row],[question]],similarity_range)</f>
        <v>Approval / Rejection</v>
      </c>
      <c r="AQ662" s="16" t="str">
        <f>LEFT(INDEX(stable[question],MATCH(questions[[#This Row],[qno]],stable[qno],0)),similarity_range)</f>
        <v>Approval / Rejection</v>
      </c>
      <c r="AR662" s="16" t="b">
        <f>questions[[#This Row],[question_first_characters]]=questions[[#This Row],[stability_first_characters]]</f>
        <v>1</v>
      </c>
      <c r="AS662" s="16" t="b">
        <f>IF(OR(questions[[#This Row],[is_single_select]],questions[[#This Row],[is_multi_select]]),NOT(ISBLANK(questions[[#This Row],[answer_opt_combined]])),TRUE)</f>
        <v>1</v>
      </c>
    </row>
    <row r="663" spans="1:45" ht="15.75" customHeight="1" x14ac:dyDescent="0.25">
      <c r="A663" s="33" t="str">
        <f>_xlfn.TEXTJOIN("_",TRUE,questions[[#This Row],[origin]:[qno]])</f>
        <v>Kenya_Arabica_Nestle_2024_1200</v>
      </c>
      <c r="B663" s="33" t="s">
        <v>818</v>
      </c>
      <c r="C663" s="33" t="s">
        <v>59</v>
      </c>
      <c r="D663" s="33" t="s">
        <v>819</v>
      </c>
      <c r="E663" s="33">
        <v>2024</v>
      </c>
      <c r="F663" s="34" t="s">
        <v>81</v>
      </c>
      <c r="G663" s="18" t="s">
        <v>82</v>
      </c>
      <c r="H663" s="33" t="str" cm="1">
        <f t="array" ref="H663">INDEX(stableR[question],MATCH(VALUE(questions[[#This Row],[qno]]),VALUE(stableR[qno]),0))</f>
        <v>Farmer code</v>
      </c>
      <c r="I663" s="33" t="b" cm="1">
        <f t="array" ref="I663">INDEX(stable[is_fixed],MATCH(VALUE(questions[[#This Row],[qno]]),VALUE(stable[qno]),0))</f>
        <v>1</v>
      </c>
      <c r="J663" s="33" t="b" cm="1">
        <f t="array" ref="J663">INDEX(stable[is_localized],MATCH(VALUE(questions[[#This Row],[qno]]),VALUE(stable[qno]),0))</f>
        <v>0</v>
      </c>
      <c r="K663" s="33" t="b" cm="1">
        <f t="array" ref="K663">INDEX(stable[is_supply_chain_dependent],MATCH(VALUE(questions[[#This Row],[qno]]),VALUE(stable[qno]),0))</f>
        <v>0</v>
      </c>
      <c r="L663" s="33" t="b" cm="1">
        <f t="array" ref="L663">INDEX(stable[is_mandatory],MATCH(VALUE(questions[[#This Row],[qno]]),VALUE(stable[qno]),0))</f>
        <v>1</v>
      </c>
      <c r="M663" s="33" t="b" cm="1">
        <f t="array" ref="M663">INDEX(stable[is_automated],MATCH(VALUE(questions[[#This Row],[qno]]),VALUE(stable[qno]),0))</f>
        <v>1</v>
      </c>
      <c r="N663" s="33" t="b" cm="1">
        <f t="array" ref="N663">INDEX(stable[is_free_text],MATCH(VALUE(questions[[#This Row],[qno]]),VALUE(stable[qno]),0))</f>
        <v>0</v>
      </c>
      <c r="O663" s="33" t="b" cm="1">
        <f t="array" ref="O663">INDEX(stable[is_numerical],MATCH(VALUE(questions[[#This Row],[qno]]),VALUE(stable[qno]),0))</f>
        <v>0</v>
      </c>
      <c r="P663" s="33" t="b" cm="1">
        <f t="array" ref="P663">INDEX(stable[is_single_select],MATCH(VALUE(questions[[#This Row],[qno]]),VALUE(stable[qno]),0))</f>
        <v>0</v>
      </c>
      <c r="Q663" s="33" t="b" cm="1">
        <f t="array" ref="Q663">INDEX(stable[is_multi_select],MATCH(VALUE(questions[[#This Row],[qno]]),VALUE(stable[qno]),0))</f>
        <v>0</v>
      </c>
      <c r="R663" s="33" t="b" cm="1">
        <f t="array" ref="R663">INDEX(stable[is_skip_logic],MATCH(VALUE(questions[[#This Row],[qno]]),VALUE(stable[qno]),0))</f>
        <v>0</v>
      </c>
      <c r="S663" s="33" t="str">
        <f>_xlfn.TEXTJOIN(", ",TRUE,questions[[#This Row],[ans_opt_1]:[ans_opt_14]])</f>
        <v/>
      </c>
      <c r="T663" s="33"/>
      <c r="U663" s="33"/>
      <c r="V663" s="33"/>
      <c r="W663" s="33"/>
      <c r="X663" s="33"/>
      <c r="Y663" s="33"/>
      <c r="Z663" s="33"/>
      <c r="AA663" s="33"/>
      <c r="AB663" s="33"/>
      <c r="AC663" s="33"/>
      <c r="AD663" s="33"/>
      <c r="AE663" s="33"/>
      <c r="AF663" s="33"/>
      <c r="AG663" s="33"/>
      <c r="AH663" s="99" t="b">
        <f>INDEX(stable[q_standard],MATCH(questions[[#This Row],[qno]],stable[qno],0))</f>
        <v>1</v>
      </c>
      <c r="AI663" s="99" t="b">
        <f>INDEX(stable[q_living_income],MATCH(questions[[#This Row],[qno]],stable[qno],0))</f>
        <v>0</v>
      </c>
      <c r="AJ663" s="99" t="b">
        <f>INDEX(stable[q_carbon],MATCH(questions[[#This Row],[qno]],stable[qno],0))</f>
        <v>0</v>
      </c>
      <c r="AK663" s="99" t="b">
        <f>INDEX(stable[q_regen_ag],MATCH(questions[[#This Row],[qno]],stable[qno],0))</f>
        <v>0</v>
      </c>
      <c r="AL663" s="16" t="b">
        <f>COUNTIFS(stable[qno],questions[[#This Row],[qno]])=1</f>
        <v>1</v>
      </c>
      <c r="AM663" s="16" t="b">
        <f>OR(questions[[#This Row],[is_fixed]],questions[[#This Row],[is_localized]],questions[[#This Row],[is_supply_chain_dependent]])</f>
        <v>1</v>
      </c>
      <c r="AN663" s="16" t="b">
        <f>COUNTIFS(questions[[#This Row],[is_automated]:[is_multi_select]],TRUE)=1</f>
        <v>1</v>
      </c>
      <c r="AO663" s="16" t="b">
        <f>IF(questions[[#This Row],[is_fixed]],questions[[#This Row],[question]]=INDEX(stable[question],MATCH(questions[[#This Row],[qno]],stable[qno],0)),TRUE)</f>
        <v>1</v>
      </c>
      <c r="AP663" s="16" t="str">
        <f>LEFT(questions[[#This Row],[question]],similarity_range)</f>
        <v>Farmer code</v>
      </c>
      <c r="AQ663" s="16" t="str">
        <f>LEFT(INDEX(stable[question],MATCH(questions[[#This Row],[qno]],stable[qno],0)),similarity_range)</f>
        <v>Farmer code</v>
      </c>
      <c r="AR663" s="16" t="b">
        <f>questions[[#This Row],[question_first_characters]]=questions[[#This Row],[stability_first_characters]]</f>
        <v>1</v>
      </c>
      <c r="AS663" s="16" t="b">
        <f>IF(OR(questions[[#This Row],[is_single_select]],questions[[#This Row],[is_multi_select]]),NOT(ISBLANK(questions[[#This Row],[answer_opt_combined]])),TRUE)</f>
        <v>1</v>
      </c>
    </row>
    <row r="664" spans="1:45" ht="15.75" customHeight="1" x14ac:dyDescent="0.25">
      <c r="A664" s="33" t="str">
        <f>_xlfn.TEXTJOIN("_",TRUE,questions[[#This Row],[origin]:[qno]])</f>
        <v>Kenya_Arabica_Nestle_2024_1201</v>
      </c>
      <c r="B664" s="33" t="s">
        <v>818</v>
      </c>
      <c r="C664" s="33" t="s">
        <v>59</v>
      </c>
      <c r="D664" s="33" t="s">
        <v>819</v>
      </c>
      <c r="E664" s="33">
        <v>2024</v>
      </c>
      <c r="F664" s="34" t="s">
        <v>83</v>
      </c>
      <c r="G664" s="18" t="s">
        <v>84</v>
      </c>
      <c r="H664" s="33" t="str" cm="1">
        <f t="array" ref="H664">INDEX(stableR[question],MATCH(VALUE(questions[[#This Row],[qno]]),VALUE(stableR[qno]),0))</f>
        <v>Farmer name</v>
      </c>
      <c r="I664" s="33" t="b" cm="1">
        <f t="array" ref="I664">INDEX(stable[is_fixed],MATCH(VALUE(questions[[#This Row],[qno]]),VALUE(stable[qno]),0))</f>
        <v>1</v>
      </c>
      <c r="J664" s="33" t="b" cm="1">
        <f t="array" ref="J664">INDEX(stable[is_localized],MATCH(VALUE(questions[[#This Row],[qno]]),VALUE(stable[qno]),0))</f>
        <v>0</v>
      </c>
      <c r="K664" s="33" t="b" cm="1">
        <f t="array" ref="K664">INDEX(stable[is_supply_chain_dependent],MATCH(VALUE(questions[[#This Row],[qno]]),VALUE(stable[qno]),0))</f>
        <v>0</v>
      </c>
      <c r="L664" s="33" t="b" cm="1">
        <f t="array" ref="L664">INDEX(stable[is_mandatory],MATCH(VALUE(questions[[#This Row],[qno]]),VALUE(stable[qno]),0))</f>
        <v>1</v>
      </c>
      <c r="M664" s="33" t="b" cm="1">
        <f t="array" ref="M664">INDEX(stable[is_automated],MATCH(VALUE(questions[[#This Row],[qno]]),VALUE(stable[qno]),0))</f>
        <v>1</v>
      </c>
      <c r="N664" s="33" t="b" cm="1">
        <f t="array" ref="N664">INDEX(stable[is_free_text],MATCH(VALUE(questions[[#This Row],[qno]]),VALUE(stable[qno]),0))</f>
        <v>0</v>
      </c>
      <c r="O664" s="33" t="b" cm="1">
        <f t="array" ref="O664">INDEX(stable[is_numerical],MATCH(VALUE(questions[[#This Row],[qno]]),VALUE(stable[qno]),0))</f>
        <v>0</v>
      </c>
      <c r="P664" s="33" t="b" cm="1">
        <f t="array" ref="P664">INDEX(stable[is_single_select],MATCH(VALUE(questions[[#This Row],[qno]]),VALUE(stable[qno]),0))</f>
        <v>0</v>
      </c>
      <c r="Q664" s="33" t="b" cm="1">
        <f t="array" ref="Q664">INDEX(stable[is_multi_select],MATCH(VALUE(questions[[#This Row],[qno]]),VALUE(stable[qno]),0))</f>
        <v>0</v>
      </c>
      <c r="R664" s="33" t="b" cm="1">
        <f t="array" ref="R664">INDEX(stable[is_skip_logic],MATCH(VALUE(questions[[#This Row],[qno]]),VALUE(stable[qno]),0))</f>
        <v>0</v>
      </c>
      <c r="S664" s="33" t="str">
        <f>_xlfn.TEXTJOIN(", ",TRUE,questions[[#This Row],[ans_opt_1]:[ans_opt_14]])</f>
        <v/>
      </c>
      <c r="T664" s="33"/>
      <c r="U664" s="33"/>
      <c r="V664" s="33"/>
      <c r="W664" s="33"/>
      <c r="X664" s="33"/>
      <c r="Y664" s="33"/>
      <c r="Z664" s="33"/>
      <c r="AA664" s="33"/>
      <c r="AB664" s="33"/>
      <c r="AC664" s="33"/>
      <c r="AD664" s="33"/>
      <c r="AE664" s="33"/>
      <c r="AF664" s="33"/>
      <c r="AG664" s="33"/>
      <c r="AH664" s="99" t="b">
        <f>INDEX(stable[q_standard],MATCH(questions[[#This Row],[qno]],stable[qno],0))</f>
        <v>1</v>
      </c>
      <c r="AI664" s="99" t="b">
        <f>INDEX(stable[q_living_income],MATCH(questions[[#This Row],[qno]],stable[qno],0))</f>
        <v>0</v>
      </c>
      <c r="AJ664" s="99" t="b">
        <f>INDEX(stable[q_carbon],MATCH(questions[[#This Row],[qno]],stable[qno],0))</f>
        <v>0</v>
      </c>
      <c r="AK664" s="99" t="b">
        <f>INDEX(stable[q_regen_ag],MATCH(questions[[#This Row],[qno]],stable[qno],0))</f>
        <v>0</v>
      </c>
      <c r="AL664" s="16" t="b">
        <f>COUNTIFS(stable[qno],questions[[#This Row],[qno]])=1</f>
        <v>1</v>
      </c>
      <c r="AM664" s="16" t="b">
        <f>OR(questions[[#This Row],[is_fixed]],questions[[#This Row],[is_localized]],questions[[#This Row],[is_supply_chain_dependent]])</f>
        <v>1</v>
      </c>
      <c r="AN664" s="16" t="b">
        <f>COUNTIFS(questions[[#This Row],[is_automated]:[is_multi_select]],TRUE)=1</f>
        <v>1</v>
      </c>
      <c r="AO664" s="16" t="b">
        <f>IF(questions[[#This Row],[is_fixed]],questions[[#This Row],[question]]=INDEX(stable[question],MATCH(questions[[#This Row],[qno]],stable[qno],0)),TRUE)</f>
        <v>1</v>
      </c>
      <c r="AP664" s="16" t="str">
        <f>LEFT(questions[[#This Row],[question]],similarity_range)</f>
        <v>Farmer name</v>
      </c>
      <c r="AQ664" s="16" t="str">
        <f>LEFT(INDEX(stable[question],MATCH(questions[[#This Row],[qno]],stable[qno],0)),similarity_range)</f>
        <v>Farmer name</v>
      </c>
      <c r="AR664" s="16" t="b">
        <f>questions[[#This Row],[question_first_characters]]=questions[[#This Row],[stability_first_characters]]</f>
        <v>1</v>
      </c>
      <c r="AS664" s="16" t="b">
        <f>IF(OR(questions[[#This Row],[is_single_select]],questions[[#This Row],[is_multi_select]]),NOT(ISBLANK(questions[[#This Row],[answer_opt_combined]])),TRUE)</f>
        <v>1</v>
      </c>
    </row>
    <row r="665" spans="1:45" ht="15.75" customHeight="1" x14ac:dyDescent="0.25">
      <c r="A665" s="33" t="str">
        <f>_xlfn.TEXTJOIN("_",TRUE,questions[[#This Row],[origin]:[qno]])</f>
        <v>Kenya_Arabica_Nestle_2024_1202</v>
      </c>
      <c r="B665" s="33" t="s">
        <v>818</v>
      </c>
      <c r="C665" s="33" t="s">
        <v>59</v>
      </c>
      <c r="D665" s="33" t="s">
        <v>819</v>
      </c>
      <c r="E665" s="33">
        <v>2024</v>
      </c>
      <c r="F665" s="34" t="s">
        <v>85</v>
      </c>
      <c r="G665" s="18" t="s">
        <v>86</v>
      </c>
      <c r="H665" s="33" t="str" cm="1">
        <f t="array" ref="H665">INDEX(stableR[question],MATCH(VALUE(questions[[#This Row],[qno]]),VALUE(stableR[qno]),0))</f>
        <v>Farmer tags</v>
      </c>
      <c r="I665" s="33" t="b" cm="1">
        <f t="array" ref="I665">INDEX(stable[is_fixed],MATCH(VALUE(questions[[#This Row],[qno]]),VALUE(stable[qno]),0))</f>
        <v>1</v>
      </c>
      <c r="J665" s="33" t="b" cm="1">
        <f t="array" ref="J665">INDEX(stable[is_localized],MATCH(VALUE(questions[[#This Row],[qno]]),VALUE(stable[qno]),0))</f>
        <v>0</v>
      </c>
      <c r="K665" s="33" t="b" cm="1">
        <f t="array" ref="K665">INDEX(stable[is_supply_chain_dependent],MATCH(VALUE(questions[[#This Row],[qno]]),VALUE(stable[qno]),0))</f>
        <v>0</v>
      </c>
      <c r="L665" s="33" t="b" cm="1">
        <f t="array" ref="L665">INDEX(stable[is_mandatory],MATCH(VALUE(questions[[#This Row],[qno]]),VALUE(stable[qno]),0))</f>
        <v>1</v>
      </c>
      <c r="M665" s="33" t="b" cm="1">
        <f t="array" ref="M665">INDEX(stable[is_automated],MATCH(VALUE(questions[[#This Row],[qno]]),VALUE(stable[qno]),0))</f>
        <v>1</v>
      </c>
      <c r="N665" s="33" t="b" cm="1">
        <f t="array" ref="N665">INDEX(stable[is_free_text],MATCH(VALUE(questions[[#This Row],[qno]]),VALUE(stable[qno]),0))</f>
        <v>0</v>
      </c>
      <c r="O665" s="33" t="b" cm="1">
        <f t="array" ref="O665">INDEX(stable[is_numerical],MATCH(VALUE(questions[[#This Row],[qno]]),VALUE(stable[qno]),0))</f>
        <v>0</v>
      </c>
      <c r="P665" s="33" t="b" cm="1">
        <f t="array" ref="P665">INDEX(stable[is_single_select],MATCH(VALUE(questions[[#This Row],[qno]]),VALUE(stable[qno]),0))</f>
        <v>0</v>
      </c>
      <c r="Q665" s="33" t="b" cm="1">
        <f t="array" ref="Q665">INDEX(stable[is_multi_select],MATCH(VALUE(questions[[#This Row],[qno]]),VALUE(stable[qno]),0))</f>
        <v>0</v>
      </c>
      <c r="R665" s="33" t="b" cm="1">
        <f t="array" ref="R665">INDEX(stable[is_skip_logic],MATCH(VALUE(questions[[#This Row],[qno]]),VALUE(stable[qno]),0))</f>
        <v>0</v>
      </c>
      <c r="S665" s="33" t="str">
        <f>_xlfn.TEXTJOIN(", ",TRUE,questions[[#This Row],[ans_opt_1]:[ans_opt_14]])</f>
        <v/>
      </c>
      <c r="T665" s="33"/>
      <c r="U665" s="33"/>
      <c r="V665" s="33"/>
      <c r="W665" s="33"/>
      <c r="X665" s="33"/>
      <c r="Y665" s="33"/>
      <c r="Z665" s="33"/>
      <c r="AA665" s="33"/>
      <c r="AB665" s="33"/>
      <c r="AC665" s="33"/>
      <c r="AD665" s="33"/>
      <c r="AE665" s="33"/>
      <c r="AF665" s="33"/>
      <c r="AG665" s="33"/>
      <c r="AH665" s="99" t="b">
        <f>INDEX(stable[q_standard],MATCH(questions[[#This Row],[qno]],stable[qno],0))</f>
        <v>1</v>
      </c>
      <c r="AI665" s="99" t="b">
        <f>INDEX(stable[q_living_income],MATCH(questions[[#This Row],[qno]],stable[qno],0))</f>
        <v>0</v>
      </c>
      <c r="AJ665" s="99" t="b">
        <f>INDEX(stable[q_carbon],MATCH(questions[[#This Row],[qno]],stable[qno],0))</f>
        <v>0</v>
      </c>
      <c r="AK665" s="99" t="b">
        <f>INDEX(stable[q_regen_ag],MATCH(questions[[#This Row],[qno]],stable[qno],0))</f>
        <v>0</v>
      </c>
      <c r="AL665" s="16" t="b">
        <f>COUNTIFS(stable[qno],questions[[#This Row],[qno]])=1</f>
        <v>1</v>
      </c>
      <c r="AM665" s="16" t="b">
        <f>OR(questions[[#This Row],[is_fixed]],questions[[#This Row],[is_localized]],questions[[#This Row],[is_supply_chain_dependent]])</f>
        <v>1</v>
      </c>
      <c r="AN665" s="16" t="b">
        <f>COUNTIFS(questions[[#This Row],[is_automated]:[is_multi_select]],TRUE)=1</f>
        <v>1</v>
      </c>
      <c r="AO665" s="16" t="b">
        <f>IF(questions[[#This Row],[is_fixed]],questions[[#This Row],[question]]=INDEX(stable[question],MATCH(questions[[#This Row],[qno]],stable[qno],0)),TRUE)</f>
        <v>1</v>
      </c>
      <c r="AP665" s="16" t="str">
        <f>LEFT(questions[[#This Row],[question]],similarity_range)</f>
        <v>Farmer tags</v>
      </c>
      <c r="AQ665" s="16" t="str">
        <f>LEFT(INDEX(stable[question],MATCH(questions[[#This Row],[qno]],stable[qno],0)),similarity_range)</f>
        <v>Farmer tags</v>
      </c>
      <c r="AR665" s="16" t="b">
        <f>questions[[#This Row],[question_first_characters]]=questions[[#This Row],[stability_first_characters]]</f>
        <v>1</v>
      </c>
      <c r="AS665" s="16" t="b">
        <f>IF(OR(questions[[#This Row],[is_single_select]],questions[[#This Row],[is_multi_select]]),NOT(ISBLANK(questions[[#This Row],[answer_opt_combined]])),TRUE)</f>
        <v>1</v>
      </c>
    </row>
    <row r="666" spans="1:45" ht="15.75" customHeight="1" x14ac:dyDescent="0.25">
      <c r="A666" s="33" t="str">
        <f>_xlfn.TEXTJOIN("_",TRUE,questions[[#This Row],[origin]:[qno]])</f>
        <v>Kenya_Arabica_Nestle_2024_1203</v>
      </c>
      <c r="B666" s="33" t="s">
        <v>818</v>
      </c>
      <c r="C666" s="33" t="s">
        <v>59</v>
      </c>
      <c r="D666" s="33" t="s">
        <v>819</v>
      </c>
      <c r="E666" s="33">
        <v>2024</v>
      </c>
      <c r="F666" s="34" t="s">
        <v>87</v>
      </c>
      <c r="G666" s="18" t="s">
        <v>88</v>
      </c>
      <c r="H666" s="33" t="str" cm="1">
        <f t="array" ref="H666">INDEX(stableR[question],MATCH(VALUE(questions[[#This Row],[qno]]),VALUE(stableR[qno]),0))</f>
        <v>Address</v>
      </c>
      <c r="I666" s="33" t="b" cm="1">
        <f t="array" ref="I666">INDEX(stable[is_fixed],MATCH(VALUE(questions[[#This Row],[qno]]),VALUE(stable[qno]),0))</f>
        <v>1</v>
      </c>
      <c r="J666" s="33" t="b" cm="1">
        <f t="array" ref="J666">INDEX(stable[is_localized],MATCH(VALUE(questions[[#This Row],[qno]]),VALUE(stable[qno]),0))</f>
        <v>0</v>
      </c>
      <c r="K666" s="33" t="b" cm="1">
        <f t="array" ref="K666">INDEX(stable[is_supply_chain_dependent],MATCH(VALUE(questions[[#This Row],[qno]]),VALUE(stable[qno]),0))</f>
        <v>0</v>
      </c>
      <c r="L666" s="33" t="b" cm="1">
        <f t="array" ref="L666">INDEX(stable[is_mandatory],MATCH(VALUE(questions[[#This Row],[qno]]),VALUE(stable[qno]),0))</f>
        <v>1</v>
      </c>
      <c r="M666" s="33" t="b" cm="1">
        <f t="array" ref="M666">INDEX(stable[is_automated],MATCH(VALUE(questions[[#This Row],[qno]]),VALUE(stable[qno]),0))</f>
        <v>1</v>
      </c>
      <c r="N666" s="33" t="b" cm="1">
        <f t="array" ref="N666">INDEX(stable[is_free_text],MATCH(VALUE(questions[[#This Row],[qno]]),VALUE(stable[qno]),0))</f>
        <v>0</v>
      </c>
      <c r="O666" s="33" t="b" cm="1">
        <f t="array" ref="O666">INDEX(stable[is_numerical],MATCH(VALUE(questions[[#This Row],[qno]]),VALUE(stable[qno]),0))</f>
        <v>0</v>
      </c>
      <c r="P666" s="33" t="b" cm="1">
        <f t="array" ref="P666">INDEX(stable[is_single_select],MATCH(VALUE(questions[[#This Row],[qno]]),VALUE(stable[qno]),0))</f>
        <v>0</v>
      </c>
      <c r="Q666" s="33" t="b" cm="1">
        <f t="array" ref="Q666">INDEX(stable[is_multi_select],MATCH(VALUE(questions[[#This Row],[qno]]),VALUE(stable[qno]),0))</f>
        <v>0</v>
      </c>
      <c r="R666" s="33" t="b" cm="1">
        <f t="array" ref="R666">INDEX(stable[is_skip_logic],MATCH(VALUE(questions[[#This Row],[qno]]),VALUE(stable[qno]),0))</f>
        <v>0</v>
      </c>
      <c r="S666" s="33" t="str">
        <f>_xlfn.TEXTJOIN(", ",TRUE,questions[[#This Row],[ans_opt_1]:[ans_opt_14]])</f>
        <v/>
      </c>
      <c r="T666" s="33"/>
      <c r="U666" s="33"/>
      <c r="V666" s="33"/>
      <c r="W666" s="33"/>
      <c r="X666" s="33"/>
      <c r="Y666" s="33"/>
      <c r="Z666" s="33"/>
      <c r="AA666" s="33"/>
      <c r="AB666" s="33"/>
      <c r="AC666" s="33"/>
      <c r="AD666" s="33"/>
      <c r="AE666" s="33"/>
      <c r="AF666" s="33"/>
      <c r="AG666" s="33"/>
      <c r="AH666" s="99" t="b">
        <f>INDEX(stable[q_standard],MATCH(questions[[#This Row],[qno]],stable[qno],0))</f>
        <v>1</v>
      </c>
      <c r="AI666" s="99" t="b">
        <f>INDEX(stable[q_living_income],MATCH(questions[[#This Row],[qno]],stable[qno],0))</f>
        <v>0</v>
      </c>
      <c r="AJ666" s="99" t="b">
        <f>INDEX(stable[q_carbon],MATCH(questions[[#This Row],[qno]],stable[qno],0))</f>
        <v>0</v>
      </c>
      <c r="AK666" s="99" t="b">
        <f>INDEX(stable[q_regen_ag],MATCH(questions[[#This Row],[qno]],stable[qno],0))</f>
        <v>0</v>
      </c>
      <c r="AL666" s="16" t="b">
        <f>COUNTIFS(stable[qno],questions[[#This Row],[qno]])=1</f>
        <v>1</v>
      </c>
      <c r="AM666" s="16" t="b">
        <f>OR(questions[[#This Row],[is_fixed]],questions[[#This Row],[is_localized]],questions[[#This Row],[is_supply_chain_dependent]])</f>
        <v>1</v>
      </c>
      <c r="AN666" s="16" t="b">
        <f>COUNTIFS(questions[[#This Row],[is_automated]:[is_multi_select]],TRUE)=1</f>
        <v>1</v>
      </c>
      <c r="AO666" s="16" t="b">
        <f>IF(questions[[#This Row],[is_fixed]],questions[[#This Row],[question]]=INDEX(stable[question],MATCH(questions[[#This Row],[qno]],stable[qno],0)),TRUE)</f>
        <v>1</v>
      </c>
      <c r="AP666" s="16" t="str">
        <f>LEFT(questions[[#This Row],[question]],similarity_range)</f>
        <v>Address</v>
      </c>
      <c r="AQ666" s="16" t="str">
        <f>LEFT(INDEX(stable[question],MATCH(questions[[#This Row],[qno]],stable[qno],0)),similarity_range)</f>
        <v>Address</v>
      </c>
      <c r="AR666" s="16" t="b">
        <f>questions[[#This Row],[question_first_characters]]=questions[[#This Row],[stability_first_characters]]</f>
        <v>1</v>
      </c>
      <c r="AS666" s="16" t="b">
        <f>IF(OR(questions[[#This Row],[is_single_select]],questions[[#This Row],[is_multi_select]]),NOT(ISBLANK(questions[[#This Row],[answer_opt_combined]])),TRUE)</f>
        <v>1</v>
      </c>
    </row>
    <row r="667" spans="1:45" ht="15.75" customHeight="1" x14ac:dyDescent="0.25">
      <c r="A667" s="33" t="str">
        <f>_xlfn.TEXTJOIN("_",TRUE,questions[[#This Row],[origin]:[qno]])</f>
        <v>Kenya_Arabica_Nestle_2024_1210</v>
      </c>
      <c r="B667" s="33" t="s">
        <v>818</v>
      </c>
      <c r="C667" s="33" t="s">
        <v>59</v>
      </c>
      <c r="D667" s="33" t="s">
        <v>819</v>
      </c>
      <c r="E667" s="33">
        <v>2024</v>
      </c>
      <c r="F667" s="34" t="s">
        <v>89</v>
      </c>
      <c r="G667" s="18" t="s">
        <v>90</v>
      </c>
      <c r="H667" s="33" t="str" cm="1">
        <f t="array" ref="H667">INDEX(stableR[question],MATCH(VALUE(questions[[#This Row],[qno]]),VALUE(stableR[qno]),0))</f>
        <v>Plot name</v>
      </c>
      <c r="I667" s="33" t="b" cm="1">
        <f t="array" ref="I667">INDEX(stable[is_fixed],MATCH(VALUE(questions[[#This Row],[qno]]),VALUE(stable[qno]),0))</f>
        <v>1</v>
      </c>
      <c r="J667" s="33" t="b" cm="1">
        <f t="array" ref="J667">INDEX(stable[is_localized],MATCH(VALUE(questions[[#This Row],[qno]]),VALUE(stable[qno]),0))</f>
        <v>0</v>
      </c>
      <c r="K667" s="33" t="b" cm="1">
        <f t="array" ref="K667">INDEX(stable[is_supply_chain_dependent],MATCH(VALUE(questions[[#This Row],[qno]]),VALUE(stable[qno]),0))</f>
        <v>0</v>
      </c>
      <c r="L667" s="33" t="b" cm="1">
        <f t="array" ref="L667">INDEX(stable[is_mandatory],MATCH(VALUE(questions[[#This Row],[qno]]),VALUE(stable[qno]),0))</f>
        <v>1</v>
      </c>
      <c r="M667" s="33" t="b" cm="1">
        <f t="array" ref="M667">INDEX(stable[is_automated],MATCH(VALUE(questions[[#This Row],[qno]]),VALUE(stable[qno]),0))</f>
        <v>1</v>
      </c>
      <c r="N667" s="33" t="b" cm="1">
        <f t="array" ref="N667">INDEX(stable[is_free_text],MATCH(VALUE(questions[[#This Row],[qno]]),VALUE(stable[qno]),0))</f>
        <v>0</v>
      </c>
      <c r="O667" s="33" t="b" cm="1">
        <f t="array" ref="O667">INDEX(stable[is_numerical],MATCH(VALUE(questions[[#This Row],[qno]]),VALUE(stable[qno]),0))</f>
        <v>0</v>
      </c>
      <c r="P667" s="33" t="b" cm="1">
        <f t="array" ref="P667">INDEX(stable[is_single_select],MATCH(VALUE(questions[[#This Row],[qno]]),VALUE(stable[qno]),0))</f>
        <v>0</v>
      </c>
      <c r="Q667" s="33" t="b" cm="1">
        <f t="array" ref="Q667">INDEX(stable[is_multi_select],MATCH(VALUE(questions[[#This Row],[qno]]),VALUE(stable[qno]),0))</f>
        <v>0</v>
      </c>
      <c r="R667" s="33" t="b" cm="1">
        <f t="array" ref="R667">INDEX(stable[is_skip_logic],MATCH(VALUE(questions[[#This Row],[qno]]),VALUE(stable[qno]),0))</f>
        <v>0</v>
      </c>
      <c r="S667" s="33" t="str">
        <f>_xlfn.TEXTJOIN(", ",TRUE,questions[[#This Row],[ans_opt_1]:[ans_opt_14]])</f>
        <v/>
      </c>
      <c r="T667" s="33"/>
      <c r="U667" s="33"/>
      <c r="V667" s="33"/>
      <c r="W667" s="33"/>
      <c r="X667" s="33"/>
      <c r="Y667" s="33"/>
      <c r="Z667" s="33"/>
      <c r="AA667" s="33"/>
      <c r="AB667" s="33"/>
      <c r="AC667" s="33"/>
      <c r="AD667" s="33"/>
      <c r="AE667" s="33"/>
      <c r="AF667" s="33"/>
      <c r="AG667" s="33"/>
      <c r="AH667" s="99" t="b">
        <f>INDEX(stable[q_standard],MATCH(questions[[#This Row],[qno]],stable[qno],0))</f>
        <v>1</v>
      </c>
      <c r="AI667" s="99" t="b">
        <f>INDEX(stable[q_living_income],MATCH(questions[[#This Row],[qno]],stable[qno],0))</f>
        <v>0</v>
      </c>
      <c r="AJ667" s="99" t="b">
        <f>INDEX(stable[q_carbon],MATCH(questions[[#This Row],[qno]],stable[qno],0))</f>
        <v>0</v>
      </c>
      <c r="AK667" s="99" t="b">
        <f>INDEX(stable[q_regen_ag],MATCH(questions[[#This Row],[qno]],stable[qno],0))</f>
        <v>0</v>
      </c>
      <c r="AL667" s="16" t="b">
        <f>COUNTIFS(stable[qno],questions[[#This Row],[qno]])=1</f>
        <v>1</v>
      </c>
      <c r="AM667" s="16" t="b">
        <f>OR(questions[[#This Row],[is_fixed]],questions[[#This Row],[is_localized]],questions[[#This Row],[is_supply_chain_dependent]])</f>
        <v>1</v>
      </c>
      <c r="AN667" s="16" t="b">
        <f>COUNTIFS(questions[[#This Row],[is_automated]:[is_multi_select]],TRUE)=1</f>
        <v>1</v>
      </c>
      <c r="AO667" s="16" t="b">
        <f>IF(questions[[#This Row],[is_fixed]],questions[[#This Row],[question]]=INDEX(stable[question],MATCH(questions[[#This Row],[qno]],stable[qno],0)),TRUE)</f>
        <v>1</v>
      </c>
      <c r="AP667" s="16" t="str">
        <f>LEFT(questions[[#This Row],[question]],similarity_range)</f>
        <v>Plot name</v>
      </c>
      <c r="AQ667" s="16" t="str">
        <f>LEFT(INDEX(stable[question],MATCH(questions[[#This Row],[qno]],stable[qno],0)),similarity_range)</f>
        <v>Plot name</v>
      </c>
      <c r="AR667" s="16" t="b">
        <f>questions[[#This Row],[question_first_characters]]=questions[[#This Row],[stability_first_characters]]</f>
        <v>1</v>
      </c>
      <c r="AS667" s="16" t="b">
        <f>IF(OR(questions[[#This Row],[is_single_select]],questions[[#This Row],[is_multi_select]]),NOT(ISBLANK(questions[[#This Row],[answer_opt_combined]])),TRUE)</f>
        <v>1</v>
      </c>
    </row>
    <row r="668" spans="1:45" ht="15.75" customHeight="1" x14ac:dyDescent="0.25">
      <c r="A668" s="33" t="str">
        <f>_xlfn.TEXTJOIN("_",TRUE,questions[[#This Row],[origin]:[qno]])</f>
        <v>Kenya_Arabica_Nestle_2024_1211</v>
      </c>
      <c r="B668" s="33" t="s">
        <v>818</v>
      </c>
      <c r="C668" s="33" t="s">
        <v>59</v>
      </c>
      <c r="D668" s="33" t="s">
        <v>819</v>
      </c>
      <c r="E668" s="33">
        <v>2024</v>
      </c>
      <c r="F668" s="34" t="s">
        <v>91</v>
      </c>
      <c r="G668" s="18" t="s">
        <v>92</v>
      </c>
      <c r="H668" s="33" t="str" cm="1">
        <f t="array" ref="H668">INDEX(stableR[question],MATCH(VALUE(questions[[#This Row],[qno]]),VALUE(stableR[qno]),0))</f>
        <v>Plot tags</v>
      </c>
      <c r="I668" s="33" t="b" cm="1">
        <f t="array" ref="I668">INDEX(stable[is_fixed],MATCH(VALUE(questions[[#This Row],[qno]]),VALUE(stable[qno]),0))</f>
        <v>1</v>
      </c>
      <c r="J668" s="33" t="b" cm="1">
        <f t="array" ref="J668">INDEX(stable[is_localized],MATCH(VALUE(questions[[#This Row],[qno]]),VALUE(stable[qno]),0))</f>
        <v>0</v>
      </c>
      <c r="K668" s="33" t="b" cm="1">
        <f t="array" ref="K668">INDEX(stable[is_supply_chain_dependent],MATCH(VALUE(questions[[#This Row],[qno]]),VALUE(stable[qno]),0))</f>
        <v>0</v>
      </c>
      <c r="L668" s="33" t="b" cm="1">
        <f t="array" ref="L668">INDEX(stable[is_mandatory],MATCH(VALUE(questions[[#This Row],[qno]]),VALUE(stable[qno]),0))</f>
        <v>1</v>
      </c>
      <c r="M668" s="33" t="b" cm="1">
        <f t="array" ref="M668">INDEX(stable[is_automated],MATCH(VALUE(questions[[#This Row],[qno]]),VALUE(stable[qno]),0))</f>
        <v>1</v>
      </c>
      <c r="N668" s="33" t="b" cm="1">
        <f t="array" ref="N668">INDEX(stable[is_free_text],MATCH(VALUE(questions[[#This Row],[qno]]),VALUE(stable[qno]),0))</f>
        <v>0</v>
      </c>
      <c r="O668" s="33" t="b" cm="1">
        <f t="array" ref="O668">INDEX(stable[is_numerical],MATCH(VALUE(questions[[#This Row],[qno]]),VALUE(stable[qno]),0))</f>
        <v>0</v>
      </c>
      <c r="P668" s="33" t="b" cm="1">
        <f t="array" ref="P668">INDEX(stable[is_single_select],MATCH(VALUE(questions[[#This Row],[qno]]),VALUE(stable[qno]),0))</f>
        <v>0</v>
      </c>
      <c r="Q668" s="33" t="b" cm="1">
        <f t="array" ref="Q668">INDEX(stable[is_multi_select],MATCH(VALUE(questions[[#This Row],[qno]]),VALUE(stable[qno]),0))</f>
        <v>0</v>
      </c>
      <c r="R668" s="33" t="b" cm="1">
        <f t="array" ref="R668">INDEX(stable[is_skip_logic],MATCH(VALUE(questions[[#This Row],[qno]]),VALUE(stable[qno]),0))</f>
        <v>0</v>
      </c>
      <c r="S668" s="33" t="str">
        <f>_xlfn.TEXTJOIN(", ",TRUE,questions[[#This Row],[ans_opt_1]:[ans_opt_14]])</f>
        <v/>
      </c>
      <c r="T668" s="33"/>
      <c r="U668" s="33"/>
      <c r="V668" s="33"/>
      <c r="W668" s="33"/>
      <c r="X668" s="33"/>
      <c r="Y668" s="33"/>
      <c r="Z668" s="33"/>
      <c r="AA668" s="33"/>
      <c r="AB668" s="33"/>
      <c r="AC668" s="33"/>
      <c r="AD668" s="33"/>
      <c r="AE668" s="33"/>
      <c r="AF668" s="33"/>
      <c r="AG668" s="33"/>
      <c r="AH668" s="99" t="b">
        <f>INDEX(stable[q_standard],MATCH(questions[[#This Row],[qno]],stable[qno],0))</f>
        <v>1</v>
      </c>
      <c r="AI668" s="99" t="b">
        <f>INDEX(stable[q_living_income],MATCH(questions[[#This Row],[qno]],stable[qno],0))</f>
        <v>0</v>
      </c>
      <c r="AJ668" s="99" t="b">
        <f>INDEX(stable[q_carbon],MATCH(questions[[#This Row],[qno]],stable[qno],0))</f>
        <v>0</v>
      </c>
      <c r="AK668" s="99" t="b">
        <f>INDEX(stable[q_regen_ag],MATCH(questions[[#This Row],[qno]],stable[qno],0))</f>
        <v>0</v>
      </c>
      <c r="AL668" s="16" t="b">
        <f>COUNTIFS(stable[qno],questions[[#This Row],[qno]])=1</f>
        <v>1</v>
      </c>
      <c r="AM668" s="16" t="b">
        <f>OR(questions[[#This Row],[is_fixed]],questions[[#This Row],[is_localized]],questions[[#This Row],[is_supply_chain_dependent]])</f>
        <v>1</v>
      </c>
      <c r="AN668" s="16" t="b">
        <f>COUNTIFS(questions[[#This Row],[is_automated]:[is_multi_select]],TRUE)=1</f>
        <v>1</v>
      </c>
      <c r="AO668" s="16" t="b">
        <f>IF(questions[[#This Row],[is_fixed]],questions[[#This Row],[question]]=INDEX(stable[question],MATCH(questions[[#This Row],[qno]],stable[qno],0)),TRUE)</f>
        <v>1</v>
      </c>
      <c r="AP668" s="16" t="str">
        <f>LEFT(questions[[#This Row],[question]],similarity_range)</f>
        <v>Plot tags</v>
      </c>
      <c r="AQ668" s="16" t="str">
        <f>LEFT(INDEX(stable[question],MATCH(questions[[#This Row],[qno]],stable[qno],0)),similarity_range)</f>
        <v>Plot tags</v>
      </c>
      <c r="AR668" s="16" t="b">
        <f>questions[[#This Row],[question_first_characters]]=questions[[#This Row],[stability_first_characters]]</f>
        <v>1</v>
      </c>
      <c r="AS668" s="16" t="b">
        <f>IF(OR(questions[[#This Row],[is_single_select]],questions[[#This Row],[is_multi_select]]),NOT(ISBLANK(questions[[#This Row],[answer_opt_combined]])),TRUE)</f>
        <v>1</v>
      </c>
    </row>
    <row r="669" spans="1:45" ht="15.75" customHeight="1" x14ac:dyDescent="0.25">
      <c r="A669" s="33" t="str">
        <f>_xlfn.TEXTJOIN("_",TRUE,questions[[#This Row],[origin]:[qno]])</f>
        <v>Kenya_Arabica_Nestle_2024_1212</v>
      </c>
      <c r="B669" s="33" t="s">
        <v>818</v>
      </c>
      <c r="C669" s="33" t="s">
        <v>59</v>
      </c>
      <c r="D669" s="33" t="s">
        <v>819</v>
      </c>
      <c r="E669" s="33">
        <v>2024</v>
      </c>
      <c r="F669" s="34" t="s">
        <v>93</v>
      </c>
      <c r="G669" s="18" t="s">
        <v>94</v>
      </c>
      <c r="H669" s="33" t="str" cm="1">
        <f t="array" ref="H669">INDEX(stableR[question],MATCH(VALUE(questions[[#This Row],[qno]]),VALUE(stableR[qno]),0))</f>
        <v>Declared area (acre)</v>
      </c>
      <c r="I669" s="33" t="b" cm="1">
        <f t="array" ref="I669">INDEX(stable[is_fixed],MATCH(VALUE(questions[[#This Row],[qno]]),VALUE(stable[qno]),0))</f>
        <v>1</v>
      </c>
      <c r="J669" s="33" t="b" cm="1">
        <f t="array" ref="J669">INDEX(stable[is_localized],MATCH(VALUE(questions[[#This Row],[qno]]),VALUE(stable[qno]),0))</f>
        <v>0</v>
      </c>
      <c r="K669" s="33" t="b" cm="1">
        <f t="array" ref="K669">INDEX(stable[is_supply_chain_dependent],MATCH(VALUE(questions[[#This Row],[qno]]),VALUE(stable[qno]),0))</f>
        <v>0</v>
      </c>
      <c r="L669" s="33" t="b" cm="1">
        <f t="array" ref="L669">INDEX(stable[is_mandatory],MATCH(VALUE(questions[[#This Row],[qno]]),VALUE(stable[qno]),0))</f>
        <v>1</v>
      </c>
      <c r="M669" s="33" t="b" cm="1">
        <f t="array" ref="M669">INDEX(stable[is_automated],MATCH(VALUE(questions[[#This Row],[qno]]),VALUE(stable[qno]),0))</f>
        <v>1</v>
      </c>
      <c r="N669" s="33" t="b" cm="1">
        <f t="array" ref="N669">INDEX(stable[is_free_text],MATCH(VALUE(questions[[#This Row],[qno]]),VALUE(stable[qno]),0))</f>
        <v>0</v>
      </c>
      <c r="O669" s="33" t="b" cm="1">
        <f t="array" ref="O669">INDEX(stable[is_numerical],MATCH(VALUE(questions[[#This Row],[qno]]),VALUE(stable[qno]),0))</f>
        <v>1</v>
      </c>
      <c r="P669" s="33" t="b" cm="1">
        <f t="array" ref="P669">INDEX(stable[is_single_select],MATCH(VALUE(questions[[#This Row],[qno]]),VALUE(stable[qno]),0))</f>
        <v>0</v>
      </c>
      <c r="Q669" s="33" t="b" cm="1">
        <f t="array" ref="Q669">INDEX(stable[is_multi_select],MATCH(VALUE(questions[[#This Row],[qno]]),VALUE(stable[qno]),0))</f>
        <v>0</v>
      </c>
      <c r="R669" s="33" t="b" cm="1">
        <f t="array" ref="R669">INDEX(stable[is_skip_logic],MATCH(VALUE(questions[[#This Row],[qno]]),VALUE(stable[qno]),0))</f>
        <v>0</v>
      </c>
      <c r="S669" s="33" t="str">
        <f>_xlfn.TEXTJOIN(", ",TRUE,questions[[#This Row],[ans_opt_1]:[ans_opt_14]])</f>
        <v/>
      </c>
      <c r="T669" s="33"/>
      <c r="U669" s="33"/>
      <c r="V669" s="33"/>
      <c r="W669" s="33"/>
      <c r="X669" s="33"/>
      <c r="Y669" s="33"/>
      <c r="Z669" s="33"/>
      <c r="AA669" s="33"/>
      <c r="AB669" s="33"/>
      <c r="AC669" s="33"/>
      <c r="AD669" s="33"/>
      <c r="AE669" s="33"/>
      <c r="AF669" s="33"/>
      <c r="AG669" s="33"/>
      <c r="AH669" s="99" t="b">
        <f>INDEX(stable[q_standard],MATCH(questions[[#This Row],[qno]],stable[qno],0))</f>
        <v>1</v>
      </c>
      <c r="AI669" s="99" t="b">
        <f>INDEX(stable[q_living_income],MATCH(questions[[#This Row],[qno]],stable[qno],0))</f>
        <v>0</v>
      </c>
      <c r="AJ669" s="99" t="b">
        <f>INDEX(stable[q_carbon],MATCH(questions[[#This Row],[qno]],stable[qno],0))</f>
        <v>0</v>
      </c>
      <c r="AK669" s="99" t="b">
        <f>INDEX(stable[q_regen_ag],MATCH(questions[[#This Row],[qno]],stable[qno],0))</f>
        <v>0</v>
      </c>
      <c r="AL669" s="16" t="b">
        <f>COUNTIFS(stable[qno],questions[[#This Row],[qno]])=1</f>
        <v>1</v>
      </c>
      <c r="AM669" s="16" t="b">
        <f>OR(questions[[#This Row],[is_fixed]],questions[[#This Row],[is_localized]],questions[[#This Row],[is_supply_chain_dependent]])</f>
        <v>1</v>
      </c>
      <c r="AN669" s="16" t="b">
        <f>COUNTIFS(questions[[#This Row],[is_automated]:[is_multi_select]],TRUE)=1</f>
        <v>0</v>
      </c>
      <c r="AO669" s="16" t="b">
        <f>IF(questions[[#This Row],[is_fixed]],questions[[#This Row],[question]]=INDEX(stable[question],MATCH(questions[[#This Row],[qno]],stable[qno],0)),TRUE)</f>
        <v>1</v>
      </c>
      <c r="AP669" s="16" t="str">
        <f>LEFT(questions[[#This Row],[question]],similarity_range)</f>
        <v>Declared area (acre)</v>
      </c>
      <c r="AQ669" s="16" t="str">
        <f>LEFT(INDEX(stable[question],MATCH(questions[[#This Row],[qno]],stable[qno],0)),similarity_range)</f>
        <v>Declared area (acre)</v>
      </c>
      <c r="AR669" s="16" t="b">
        <f>questions[[#This Row],[question_first_characters]]=questions[[#This Row],[stability_first_characters]]</f>
        <v>1</v>
      </c>
      <c r="AS669" s="16" t="b">
        <f>IF(OR(questions[[#This Row],[is_single_select]],questions[[#This Row],[is_multi_select]]),NOT(ISBLANK(questions[[#This Row],[answer_opt_combined]])),TRUE)</f>
        <v>1</v>
      </c>
    </row>
    <row r="670" spans="1:45" ht="15.75" customHeight="1" x14ac:dyDescent="0.25">
      <c r="A670" s="33" t="str">
        <f>_xlfn.TEXTJOIN("_",TRUE,questions[[#This Row],[origin]:[qno]])</f>
        <v>Kenya_Arabica_Nestle_2024_1213</v>
      </c>
      <c r="B670" s="33" t="s">
        <v>818</v>
      </c>
      <c r="C670" s="33" t="s">
        <v>59</v>
      </c>
      <c r="D670" s="33" t="s">
        <v>819</v>
      </c>
      <c r="E670" s="33">
        <v>2024</v>
      </c>
      <c r="F670" s="34" t="s">
        <v>95</v>
      </c>
      <c r="G670" s="18" t="s">
        <v>96</v>
      </c>
      <c r="H670" s="33" t="str" cm="1">
        <f t="array" ref="H670">INDEX(stableR[question],MATCH(VALUE(questions[[#This Row],[qno]]),VALUE(stableR[qno]),0))</f>
        <v>Audited area (acre)</v>
      </c>
      <c r="I670" s="33" t="b" cm="1">
        <f t="array" ref="I670">INDEX(stable[is_fixed],MATCH(VALUE(questions[[#This Row],[qno]]),VALUE(stable[qno]),0))</f>
        <v>1</v>
      </c>
      <c r="J670" s="33" t="b" cm="1">
        <f t="array" ref="J670">INDEX(stable[is_localized],MATCH(VALUE(questions[[#This Row],[qno]]),VALUE(stable[qno]),0))</f>
        <v>0</v>
      </c>
      <c r="K670" s="33" t="b" cm="1">
        <f t="array" ref="K670">INDEX(stable[is_supply_chain_dependent],MATCH(VALUE(questions[[#This Row],[qno]]),VALUE(stable[qno]),0))</f>
        <v>0</v>
      </c>
      <c r="L670" s="33" t="b" cm="1">
        <f t="array" ref="L670">INDEX(stable[is_mandatory],MATCH(VALUE(questions[[#This Row],[qno]]),VALUE(stable[qno]),0))</f>
        <v>1</v>
      </c>
      <c r="M670" s="33" t="b" cm="1">
        <f t="array" ref="M670">INDEX(stable[is_automated],MATCH(VALUE(questions[[#This Row],[qno]]),VALUE(stable[qno]),0))</f>
        <v>1</v>
      </c>
      <c r="N670" s="33" t="b" cm="1">
        <f t="array" ref="N670">INDEX(stable[is_free_text],MATCH(VALUE(questions[[#This Row],[qno]]),VALUE(stable[qno]),0))</f>
        <v>0</v>
      </c>
      <c r="O670" s="33" t="b" cm="1">
        <f t="array" ref="O670">INDEX(stable[is_numerical],MATCH(VALUE(questions[[#This Row],[qno]]),VALUE(stable[qno]),0))</f>
        <v>1</v>
      </c>
      <c r="P670" s="33" t="b" cm="1">
        <f t="array" ref="P670">INDEX(stable[is_single_select],MATCH(VALUE(questions[[#This Row],[qno]]),VALUE(stable[qno]),0))</f>
        <v>0</v>
      </c>
      <c r="Q670" s="33" t="b" cm="1">
        <f t="array" ref="Q670">INDEX(stable[is_multi_select],MATCH(VALUE(questions[[#This Row],[qno]]),VALUE(stable[qno]),0))</f>
        <v>0</v>
      </c>
      <c r="R670" s="33" t="b" cm="1">
        <f t="array" ref="R670">INDEX(stable[is_skip_logic],MATCH(VALUE(questions[[#This Row],[qno]]),VALUE(stable[qno]),0))</f>
        <v>0</v>
      </c>
      <c r="S670" s="33" t="str">
        <f>_xlfn.TEXTJOIN(", ",TRUE,questions[[#This Row],[ans_opt_1]:[ans_opt_14]])</f>
        <v/>
      </c>
      <c r="T670" s="33"/>
      <c r="U670" s="33"/>
      <c r="V670" s="33"/>
      <c r="W670" s="33"/>
      <c r="X670" s="33"/>
      <c r="Y670" s="33"/>
      <c r="Z670" s="33"/>
      <c r="AA670" s="33"/>
      <c r="AB670" s="33"/>
      <c r="AC670" s="33"/>
      <c r="AD670" s="33"/>
      <c r="AE670" s="33"/>
      <c r="AF670" s="33"/>
      <c r="AG670" s="33"/>
      <c r="AH670" s="99" t="b">
        <f>INDEX(stable[q_standard],MATCH(questions[[#This Row],[qno]],stable[qno],0))</f>
        <v>1</v>
      </c>
      <c r="AI670" s="99" t="b">
        <f>INDEX(stable[q_living_income],MATCH(questions[[#This Row],[qno]],stable[qno],0))</f>
        <v>0</v>
      </c>
      <c r="AJ670" s="99" t="b">
        <f>INDEX(stable[q_carbon],MATCH(questions[[#This Row],[qno]],stable[qno],0))</f>
        <v>0</v>
      </c>
      <c r="AK670" s="99" t="b">
        <f>INDEX(stable[q_regen_ag],MATCH(questions[[#This Row],[qno]],stable[qno],0))</f>
        <v>0</v>
      </c>
      <c r="AL670" s="16" t="b">
        <f>COUNTIFS(stable[qno],questions[[#This Row],[qno]])=1</f>
        <v>1</v>
      </c>
      <c r="AM670" s="16" t="b">
        <f>OR(questions[[#This Row],[is_fixed]],questions[[#This Row],[is_localized]],questions[[#This Row],[is_supply_chain_dependent]])</f>
        <v>1</v>
      </c>
      <c r="AN670" s="16" t="b">
        <f>COUNTIFS(questions[[#This Row],[is_automated]:[is_multi_select]],TRUE)=1</f>
        <v>0</v>
      </c>
      <c r="AO670" s="16" t="b">
        <f>IF(questions[[#This Row],[is_fixed]],questions[[#This Row],[question]]=INDEX(stable[question],MATCH(questions[[#This Row],[qno]],stable[qno],0)),TRUE)</f>
        <v>1</v>
      </c>
      <c r="AP670" s="16" t="str">
        <f>LEFT(questions[[#This Row],[question]],similarity_range)</f>
        <v>Audited area (acre)</v>
      </c>
      <c r="AQ670" s="16" t="str">
        <f>LEFT(INDEX(stable[question],MATCH(questions[[#This Row],[qno]],stable[qno],0)),similarity_range)</f>
        <v>Audited area (acre)</v>
      </c>
      <c r="AR670" s="16" t="b">
        <f>questions[[#This Row],[question_first_characters]]=questions[[#This Row],[stability_first_characters]]</f>
        <v>1</v>
      </c>
      <c r="AS670" s="16" t="b">
        <f>IF(OR(questions[[#This Row],[is_single_select]],questions[[#This Row],[is_multi_select]]),NOT(ISBLANK(questions[[#This Row],[answer_opt_combined]])),TRUE)</f>
        <v>1</v>
      </c>
    </row>
    <row r="671" spans="1:45" ht="15.75" customHeight="1" x14ac:dyDescent="0.25">
      <c r="A671" s="33" t="str">
        <f>_xlfn.TEXTJOIN("_",TRUE,questions[[#This Row],[origin]:[qno]])</f>
        <v>Kenya_Arabica_Nestle_2024_1216</v>
      </c>
      <c r="B671" s="33" t="s">
        <v>818</v>
      </c>
      <c r="C671" s="33" t="s">
        <v>59</v>
      </c>
      <c r="D671" s="33" t="s">
        <v>819</v>
      </c>
      <c r="E671" s="33">
        <v>2024</v>
      </c>
      <c r="F671" s="34" t="s">
        <v>97</v>
      </c>
      <c r="G671" s="18" t="s">
        <v>98</v>
      </c>
      <c r="H671" s="33" t="str" cm="1">
        <f t="array" ref="H671">INDEX(stableR[question],MATCH(VALUE(questions[[#This Row],[qno]]),VALUE(stableR[qno]),0))</f>
        <v>Coordinates</v>
      </c>
      <c r="I671" s="33" t="b" cm="1">
        <f t="array" ref="I671">INDEX(stable[is_fixed],MATCH(VALUE(questions[[#This Row],[qno]]),VALUE(stable[qno]),0))</f>
        <v>1</v>
      </c>
      <c r="J671" s="33" t="b" cm="1">
        <f t="array" ref="J671">INDEX(stable[is_localized],MATCH(VALUE(questions[[#This Row],[qno]]),VALUE(stable[qno]),0))</f>
        <v>0</v>
      </c>
      <c r="K671" s="33" t="b" cm="1">
        <f t="array" ref="K671">INDEX(stable[is_supply_chain_dependent],MATCH(VALUE(questions[[#This Row],[qno]]),VALUE(stable[qno]),0))</f>
        <v>0</v>
      </c>
      <c r="L671" s="33" t="b" cm="1">
        <f t="array" ref="L671">INDEX(stable[is_mandatory],MATCH(VALUE(questions[[#This Row],[qno]]),VALUE(stable[qno]),0))</f>
        <v>1</v>
      </c>
      <c r="M671" s="33" t="b" cm="1">
        <f t="array" ref="M671">INDEX(stable[is_automated],MATCH(VALUE(questions[[#This Row],[qno]]),VALUE(stable[qno]),0))</f>
        <v>1</v>
      </c>
      <c r="N671" s="33" t="b" cm="1">
        <f t="array" ref="N671">INDEX(stable[is_free_text],MATCH(VALUE(questions[[#This Row],[qno]]),VALUE(stable[qno]),0))</f>
        <v>0</v>
      </c>
      <c r="O671" s="33" t="b" cm="1">
        <f t="array" ref="O671">INDEX(stable[is_numerical],MATCH(VALUE(questions[[#This Row],[qno]]),VALUE(stable[qno]),0))</f>
        <v>0</v>
      </c>
      <c r="P671" s="33" t="b" cm="1">
        <f t="array" ref="P671">INDEX(stable[is_single_select],MATCH(VALUE(questions[[#This Row],[qno]]),VALUE(stable[qno]),0))</f>
        <v>0</v>
      </c>
      <c r="Q671" s="33" t="b" cm="1">
        <f t="array" ref="Q671">INDEX(stable[is_multi_select],MATCH(VALUE(questions[[#This Row],[qno]]),VALUE(stable[qno]),0))</f>
        <v>0</v>
      </c>
      <c r="R671" s="33" t="b" cm="1">
        <f t="array" ref="R671">INDEX(stable[is_skip_logic],MATCH(VALUE(questions[[#This Row],[qno]]),VALUE(stable[qno]),0))</f>
        <v>0</v>
      </c>
      <c r="S671" s="33" t="str">
        <f>_xlfn.TEXTJOIN(", ",TRUE,questions[[#This Row],[ans_opt_1]:[ans_opt_14]])</f>
        <v/>
      </c>
      <c r="T671" s="33"/>
      <c r="U671" s="33"/>
      <c r="V671" s="33"/>
      <c r="W671" s="33"/>
      <c r="X671" s="33"/>
      <c r="Y671" s="33"/>
      <c r="Z671" s="33"/>
      <c r="AA671" s="33"/>
      <c r="AB671" s="33"/>
      <c r="AC671" s="33"/>
      <c r="AD671" s="33"/>
      <c r="AE671" s="33"/>
      <c r="AF671" s="33"/>
      <c r="AG671" s="33"/>
      <c r="AH671" s="99" t="b">
        <f>INDEX(stable[q_standard],MATCH(questions[[#This Row],[qno]],stable[qno],0))</f>
        <v>1</v>
      </c>
      <c r="AI671" s="99" t="b">
        <f>INDEX(stable[q_living_income],MATCH(questions[[#This Row],[qno]],stable[qno],0))</f>
        <v>0</v>
      </c>
      <c r="AJ671" s="99" t="b">
        <f>INDEX(stable[q_carbon],MATCH(questions[[#This Row],[qno]],stable[qno],0))</f>
        <v>0</v>
      </c>
      <c r="AK671" s="99" t="b">
        <f>INDEX(stable[q_regen_ag],MATCH(questions[[#This Row],[qno]],stable[qno],0))</f>
        <v>0</v>
      </c>
      <c r="AL671" s="16" t="b">
        <f>COUNTIFS(stable[qno],questions[[#This Row],[qno]])=1</f>
        <v>1</v>
      </c>
      <c r="AM671" s="16" t="b">
        <f>OR(questions[[#This Row],[is_fixed]],questions[[#This Row],[is_localized]],questions[[#This Row],[is_supply_chain_dependent]])</f>
        <v>1</v>
      </c>
      <c r="AN671" s="16" t="b">
        <f>COUNTIFS(questions[[#This Row],[is_automated]:[is_multi_select]],TRUE)=1</f>
        <v>1</v>
      </c>
      <c r="AO671" s="16" t="b">
        <f>IF(questions[[#This Row],[is_fixed]],questions[[#This Row],[question]]=INDEX(stable[question],MATCH(questions[[#This Row],[qno]],stable[qno],0)),TRUE)</f>
        <v>1</v>
      </c>
      <c r="AP671" s="16" t="str">
        <f>LEFT(questions[[#This Row],[question]],similarity_range)</f>
        <v>Coordinates</v>
      </c>
      <c r="AQ671" s="16" t="str">
        <f>LEFT(INDEX(stable[question],MATCH(questions[[#This Row],[qno]],stable[qno],0)),similarity_range)</f>
        <v>Coordinates</v>
      </c>
      <c r="AR671" s="16" t="b">
        <f>questions[[#This Row],[question_first_characters]]=questions[[#This Row],[stability_first_characters]]</f>
        <v>1</v>
      </c>
      <c r="AS671" s="16" t="b">
        <f>IF(OR(questions[[#This Row],[is_single_select]],questions[[#This Row],[is_multi_select]]),NOT(ISBLANK(questions[[#This Row],[answer_opt_combined]])),TRUE)</f>
        <v>1</v>
      </c>
    </row>
    <row r="672" spans="1:45" s="77" customFormat="1" ht="15.75" customHeight="1" x14ac:dyDescent="0.25">
      <c r="A672" s="77" t="str">
        <f>_xlfn.TEXTJOIN("_",TRUE,questions[[#This Row],[origin]:[qno]])</f>
        <v>Kenya_Arabica_Nestle_2024_2000</v>
      </c>
      <c r="B672" s="77" t="s">
        <v>818</v>
      </c>
      <c r="C672" s="77" t="s">
        <v>59</v>
      </c>
      <c r="D672" s="77" t="s">
        <v>819</v>
      </c>
      <c r="E672" s="77">
        <v>2024</v>
      </c>
      <c r="F672" s="105" t="s">
        <v>99</v>
      </c>
      <c r="G672" s="78" t="s">
        <v>100</v>
      </c>
      <c r="H672" s="33" t="str" cm="1">
        <f t="array" ref="H672">INDEX(stableR[question],MATCH(VALUE(questions[[#This Row],[qno]]),VALUE(stableR[qno]),0))</f>
        <v>Who was present and answering the questions for the interview?</v>
      </c>
      <c r="I672" s="33" t="b" cm="1">
        <f t="array" ref="I672">INDEX(stable[is_fixed],MATCH(VALUE(questions[[#This Row],[qno]]),VALUE(stable[qno]),0))</f>
        <v>1</v>
      </c>
      <c r="J672" s="33" t="b" cm="1">
        <f t="array" ref="J672">INDEX(stable[is_localized],MATCH(VALUE(questions[[#This Row],[qno]]),VALUE(stable[qno]),0))</f>
        <v>0</v>
      </c>
      <c r="K672" s="33" t="b" cm="1">
        <f t="array" ref="K672">INDEX(stable[is_supply_chain_dependent],MATCH(VALUE(questions[[#This Row],[qno]]),VALUE(stable[qno]),0))</f>
        <v>0</v>
      </c>
      <c r="L672" s="33" t="b" cm="1">
        <f t="array" ref="L672">INDEX(stable[is_mandatory],MATCH(VALUE(questions[[#This Row],[qno]]),VALUE(stable[qno]),0))</f>
        <v>1</v>
      </c>
      <c r="M672" s="33" t="b" cm="1">
        <f t="array" ref="M672">INDEX(stable[is_automated],MATCH(VALUE(questions[[#This Row],[qno]]),VALUE(stable[qno]),0))</f>
        <v>0</v>
      </c>
      <c r="N672" s="33" t="b" cm="1">
        <f t="array" ref="N672">INDEX(stable[is_free_text],MATCH(VALUE(questions[[#This Row],[qno]]),VALUE(stable[qno]),0))</f>
        <v>0</v>
      </c>
      <c r="O672" s="33" t="b" cm="1">
        <f t="array" ref="O672">INDEX(stable[is_numerical],MATCH(VALUE(questions[[#This Row],[qno]]),VALUE(stable[qno]),0))</f>
        <v>0</v>
      </c>
      <c r="P672" s="77" t="b" cm="1">
        <f t="array" ref="P672">INDEX(stable[is_single_select],MATCH(VALUE(questions[[#This Row],[qno]]),VALUE(stable[qno]),0))</f>
        <v>0</v>
      </c>
      <c r="Q672" s="77" t="b" cm="1">
        <f t="array" ref="Q672">INDEX(stable[is_multi_select],MATCH(VALUE(questions[[#This Row],[qno]]),VALUE(stable[qno]),0))</f>
        <v>1</v>
      </c>
      <c r="R672" s="77" t="b" cm="1">
        <f t="array" ref="R672">INDEX(stable[is_skip_logic],MATCH(VALUE(questions[[#This Row],[qno]]),VALUE(stable[qno]),0))</f>
        <v>0</v>
      </c>
      <c r="S672" s="77" t="str">
        <f>_xlfn.TEXTJOIN(", ",TRUE,questions[[#This Row],[ans_opt_1]:[ans_opt_14]])</f>
        <v>Wife, Husband, Other important household member</v>
      </c>
      <c r="T672" s="77" t="s">
        <v>101</v>
      </c>
      <c r="U672" s="77" t="s">
        <v>102</v>
      </c>
      <c r="V672" s="77" t="s">
        <v>103</v>
      </c>
      <c r="AH672" s="98" t="b">
        <f>INDEX(stable[q_standard],MATCH(questions[[#This Row],[qno]],stable[qno],0))</f>
        <v>1</v>
      </c>
      <c r="AI672" s="98" t="b">
        <f>INDEX(stable[q_living_income],MATCH(questions[[#This Row],[qno]],stable[qno],0))</f>
        <v>0</v>
      </c>
      <c r="AJ672" s="98" t="b">
        <f>INDEX(stable[q_carbon],MATCH(questions[[#This Row],[qno]],stable[qno],0))</f>
        <v>0</v>
      </c>
      <c r="AK672" s="98" t="b">
        <f>INDEX(stable[q_regen_ag],MATCH(questions[[#This Row],[qno]],stable[qno],0))</f>
        <v>0</v>
      </c>
      <c r="AL672" s="98" t="b">
        <f>COUNTIFS(stable[qno],questions[[#This Row],[qno]])=1</f>
        <v>1</v>
      </c>
      <c r="AM672" s="98" t="b">
        <f>OR(questions[[#This Row],[is_fixed]],questions[[#This Row],[is_localized]],questions[[#This Row],[is_supply_chain_dependent]])</f>
        <v>1</v>
      </c>
      <c r="AN672" s="98" t="b">
        <f>COUNTIFS(questions[[#This Row],[is_automated]:[is_multi_select]],TRUE)=1</f>
        <v>1</v>
      </c>
      <c r="AO672" s="98" t="b">
        <f>IF(questions[[#This Row],[is_fixed]],questions[[#This Row],[question]]=INDEX(stable[question],MATCH(questions[[#This Row],[qno]],stable[qno],0)),TRUE)</f>
        <v>1</v>
      </c>
      <c r="AP672" s="98" t="str">
        <f>LEFT(questions[[#This Row],[question]],similarity_range)</f>
        <v xml:space="preserve">Who was present and </v>
      </c>
      <c r="AQ672" s="98" t="str">
        <f>LEFT(INDEX(stable[question],MATCH(questions[[#This Row],[qno]],stable[qno],0)),similarity_range)</f>
        <v xml:space="preserve">Who was present and </v>
      </c>
      <c r="AR672" s="98" t="b">
        <f>questions[[#This Row],[question_first_characters]]=questions[[#This Row],[stability_first_characters]]</f>
        <v>1</v>
      </c>
      <c r="AS672" s="98" t="b">
        <f>IF(OR(questions[[#This Row],[is_single_select]],questions[[#This Row],[is_multi_select]]),NOT(ISBLANK(questions[[#This Row],[answer_opt_combined]])),TRUE)</f>
        <v>1</v>
      </c>
    </row>
    <row r="673" spans="1:45" s="77" customFormat="1" ht="15.75" customHeight="1" x14ac:dyDescent="0.25">
      <c r="A673" s="77" t="str">
        <f>_xlfn.TEXTJOIN("_",TRUE,questions[[#This Row],[origin]:[qno]])</f>
        <v>Kenya_Arabica_Nestle_2024_2001</v>
      </c>
      <c r="B673" s="77" t="s">
        <v>818</v>
      </c>
      <c r="C673" s="77" t="s">
        <v>59</v>
      </c>
      <c r="D673" s="77" t="s">
        <v>819</v>
      </c>
      <c r="E673" s="77">
        <v>2024</v>
      </c>
      <c r="F673" s="105" t="s">
        <v>104</v>
      </c>
      <c r="G673" s="78" t="s">
        <v>105</v>
      </c>
      <c r="H673" s="33" t="str" cm="1">
        <f t="array" ref="H673">INDEX(stableR[question],MATCH(VALUE(questions[[#This Row],[qno]]),VALUE(stableR[qno]),0))</f>
        <v>What is the gender of the lead farmer in the household? (The person that is selling the coffee)</v>
      </c>
      <c r="I673" s="33" t="b" cm="1">
        <f t="array" ref="I673">INDEX(stable[is_fixed],MATCH(VALUE(questions[[#This Row],[qno]]),VALUE(stable[qno]),0))</f>
        <v>1</v>
      </c>
      <c r="J673" s="33" t="b" cm="1">
        <f t="array" ref="J673">INDEX(stable[is_localized],MATCH(VALUE(questions[[#This Row],[qno]]),VALUE(stable[qno]),0))</f>
        <v>0</v>
      </c>
      <c r="K673" s="33" t="b" cm="1">
        <f t="array" ref="K673">INDEX(stable[is_supply_chain_dependent],MATCH(VALUE(questions[[#This Row],[qno]]),VALUE(stable[qno]),0))</f>
        <v>0</v>
      </c>
      <c r="L673" s="33" t="b" cm="1">
        <f t="array" ref="L673">INDEX(stable[is_mandatory],MATCH(VALUE(questions[[#This Row],[qno]]),VALUE(stable[qno]),0))</f>
        <v>1</v>
      </c>
      <c r="M673" s="33" t="b" cm="1">
        <f t="array" ref="M673">INDEX(stable[is_automated],MATCH(VALUE(questions[[#This Row],[qno]]),VALUE(stable[qno]),0))</f>
        <v>0</v>
      </c>
      <c r="N673" s="33" t="b" cm="1">
        <f t="array" ref="N673">INDEX(stable[is_free_text],MATCH(VALUE(questions[[#This Row],[qno]]),VALUE(stable[qno]),0))</f>
        <v>0</v>
      </c>
      <c r="O673" s="33" t="b" cm="1">
        <f t="array" ref="O673">INDEX(stable[is_numerical],MATCH(VALUE(questions[[#This Row],[qno]]),VALUE(stable[qno]),0))</f>
        <v>0</v>
      </c>
      <c r="P673" s="77" t="b" cm="1">
        <f t="array" ref="P673">INDEX(stable[is_single_select],MATCH(VALUE(questions[[#This Row],[qno]]),VALUE(stable[qno]),0))</f>
        <v>1</v>
      </c>
      <c r="Q673" s="77" t="b" cm="1">
        <f t="array" ref="Q673">INDEX(stable[is_multi_select],MATCH(VALUE(questions[[#This Row],[qno]]),VALUE(stable[qno]),0))</f>
        <v>0</v>
      </c>
      <c r="R673" s="77" t="b" cm="1">
        <f t="array" ref="R673">INDEX(stable[is_skip_logic],MATCH(VALUE(questions[[#This Row],[qno]]),VALUE(stable[qno]),0))</f>
        <v>0</v>
      </c>
      <c r="S673" s="77" t="str">
        <f>_xlfn.TEXTJOIN(", ",TRUE,questions[[#This Row],[ans_opt_1]:[ans_opt_14]])</f>
        <v>Female, Male</v>
      </c>
      <c r="T673" s="77" t="s">
        <v>106</v>
      </c>
      <c r="U673" s="77" t="s">
        <v>107</v>
      </c>
      <c r="AH673" s="98" t="b">
        <f>INDEX(stable[q_standard],MATCH(questions[[#This Row],[qno]],stable[qno],0))</f>
        <v>1</v>
      </c>
      <c r="AI673" s="98" t="b">
        <f>INDEX(stable[q_living_income],MATCH(questions[[#This Row],[qno]],stable[qno],0))</f>
        <v>0</v>
      </c>
      <c r="AJ673" s="98" t="b">
        <f>INDEX(stable[q_carbon],MATCH(questions[[#This Row],[qno]],stable[qno],0))</f>
        <v>0</v>
      </c>
      <c r="AK673" s="98" t="b">
        <f>INDEX(stable[q_regen_ag],MATCH(questions[[#This Row],[qno]],stable[qno],0))</f>
        <v>0</v>
      </c>
      <c r="AL673" s="98" t="b">
        <f>COUNTIFS(stable[qno],questions[[#This Row],[qno]])=1</f>
        <v>1</v>
      </c>
      <c r="AM673" s="98" t="b">
        <f>OR(questions[[#This Row],[is_fixed]],questions[[#This Row],[is_localized]],questions[[#This Row],[is_supply_chain_dependent]])</f>
        <v>1</v>
      </c>
      <c r="AN673" s="98" t="b">
        <f>COUNTIFS(questions[[#This Row],[is_automated]:[is_multi_select]],TRUE)=1</f>
        <v>1</v>
      </c>
      <c r="AO673" s="98" t="b">
        <f>IF(questions[[#This Row],[is_fixed]],questions[[#This Row],[question]]=INDEX(stable[question],MATCH(questions[[#This Row],[qno]],stable[qno],0)),TRUE)</f>
        <v>1</v>
      </c>
      <c r="AP673" s="98" t="str">
        <f>LEFT(questions[[#This Row],[question]],similarity_range)</f>
        <v>What is the gender o</v>
      </c>
      <c r="AQ673" s="98" t="str">
        <f>LEFT(INDEX(stable[question],MATCH(questions[[#This Row],[qno]],stable[qno],0)),similarity_range)</f>
        <v>What is the gender o</v>
      </c>
      <c r="AR673" s="98" t="b">
        <f>questions[[#This Row],[question_first_characters]]=questions[[#This Row],[stability_first_characters]]</f>
        <v>1</v>
      </c>
      <c r="AS673" s="98" t="b">
        <f>IF(OR(questions[[#This Row],[is_single_select]],questions[[#This Row],[is_multi_select]]),NOT(ISBLANK(questions[[#This Row],[answer_opt_combined]])),TRUE)</f>
        <v>1</v>
      </c>
    </row>
    <row r="674" spans="1:45" s="77" customFormat="1" ht="15.75" customHeight="1" x14ac:dyDescent="0.25">
      <c r="A674" s="77" t="str">
        <f>_xlfn.TEXTJOIN("_",TRUE,questions[[#This Row],[origin]:[qno]])</f>
        <v>Kenya_Arabica_Nestle_2024_2002</v>
      </c>
      <c r="B674" s="77" t="s">
        <v>818</v>
      </c>
      <c r="C674" s="77" t="s">
        <v>59</v>
      </c>
      <c r="D674" s="77" t="s">
        <v>819</v>
      </c>
      <c r="E674" s="77">
        <v>2024</v>
      </c>
      <c r="F674" s="108" t="s">
        <v>108</v>
      </c>
      <c r="G674" s="78" t="s">
        <v>109</v>
      </c>
      <c r="H674" s="33" t="str" cm="1">
        <f t="array" ref="H674">INDEX(stableR[question],MATCH(VALUE(questions[[#This Row],[qno]]),VALUE(stableR[qno]),0))</f>
        <v>What type of household is this?</v>
      </c>
      <c r="I674" s="33" t="b" cm="1">
        <f t="array" ref="I674">INDEX(stable[is_fixed],MATCH(VALUE(questions[[#This Row],[qno]]),VALUE(stable[qno]),0))</f>
        <v>1</v>
      </c>
      <c r="J674" s="33" t="b" cm="1">
        <f t="array" ref="J674">INDEX(stable[is_localized],MATCH(VALUE(questions[[#This Row],[qno]]),VALUE(stable[qno]),0))</f>
        <v>0</v>
      </c>
      <c r="K674" s="33" t="b" cm="1">
        <f t="array" ref="K674">INDEX(stable[is_supply_chain_dependent],MATCH(VALUE(questions[[#This Row],[qno]]),VALUE(stable[qno]),0))</f>
        <v>0</v>
      </c>
      <c r="L674" s="33" t="b" cm="1">
        <f t="array" ref="L674">INDEX(stable[is_mandatory],MATCH(VALUE(questions[[#This Row],[qno]]),VALUE(stable[qno]),0))</f>
        <v>1</v>
      </c>
      <c r="M674" s="33" t="b" cm="1">
        <f t="array" ref="M674">INDEX(stable[is_automated],MATCH(VALUE(questions[[#This Row],[qno]]),VALUE(stable[qno]),0))</f>
        <v>0</v>
      </c>
      <c r="N674" s="33" t="b" cm="1">
        <f t="array" ref="N674">INDEX(stable[is_free_text],MATCH(VALUE(questions[[#This Row],[qno]]),VALUE(stable[qno]),0))</f>
        <v>0</v>
      </c>
      <c r="O674" s="33" t="b" cm="1">
        <f t="array" ref="O674">INDEX(stable[is_numerical],MATCH(VALUE(questions[[#This Row],[qno]]),VALUE(stable[qno]),0))</f>
        <v>0</v>
      </c>
      <c r="P674" s="77" t="b" cm="1">
        <f t="array" ref="P674">INDEX(stable[is_single_select],MATCH(VALUE(questions[[#This Row],[qno]]),VALUE(stable[qno]),0))</f>
        <v>1</v>
      </c>
      <c r="Q674" s="77" t="b" cm="1">
        <f t="array" ref="Q674">INDEX(stable[is_multi_select],MATCH(VALUE(questions[[#This Row],[qno]]),VALUE(stable[qno]),0))</f>
        <v>0</v>
      </c>
      <c r="R674" s="77" t="b" cm="1">
        <f t="array" ref="R674">INDEX(stable[is_skip_logic],MATCH(VALUE(questions[[#This Row],[qno]]),VALUE(stable[qno]),0))</f>
        <v>0</v>
      </c>
      <c r="S674" s="77" t="str">
        <f>_xlfn.TEXTJOIN(", ",TRUE,questions[[#This Row],[ans_opt_1]:[ans_opt_14]])</f>
        <v>Male headed, Female headed, Other</v>
      </c>
      <c r="T674" s="77" t="s">
        <v>110</v>
      </c>
      <c r="U674" s="77" t="s">
        <v>111</v>
      </c>
      <c r="V674" s="77" t="s">
        <v>112</v>
      </c>
      <c r="AH674" s="98" t="b">
        <f>INDEX(stable[q_standard],MATCH(questions[[#This Row],[qno]],stable[qno],0))</f>
        <v>1</v>
      </c>
      <c r="AI674" s="98" t="b">
        <f>INDEX(stable[q_living_income],MATCH(questions[[#This Row],[qno]],stable[qno],0))</f>
        <v>0</v>
      </c>
      <c r="AJ674" s="98" t="b">
        <f>INDEX(stable[q_carbon],MATCH(questions[[#This Row],[qno]],stable[qno],0))</f>
        <v>0</v>
      </c>
      <c r="AK674" s="98" t="b">
        <f>INDEX(stable[q_regen_ag],MATCH(questions[[#This Row],[qno]],stable[qno],0))</f>
        <v>0</v>
      </c>
      <c r="AL674" s="98" t="b">
        <f>COUNTIFS(stable[qno],questions[[#This Row],[qno]])=1</f>
        <v>1</v>
      </c>
      <c r="AM674" s="98" t="b">
        <f>OR(questions[[#This Row],[is_fixed]],questions[[#This Row],[is_localized]],questions[[#This Row],[is_supply_chain_dependent]])</f>
        <v>1</v>
      </c>
      <c r="AN674" s="98" t="b">
        <f>COUNTIFS(questions[[#This Row],[is_automated]:[is_multi_select]],TRUE)=1</f>
        <v>1</v>
      </c>
      <c r="AO674" s="98" t="b">
        <f>IF(questions[[#This Row],[is_fixed]],questions[[#This Row],[question]]=INDEX(stable[question],MATCH(questions[[#This Row],[qno]],stable[qno],0)),TRUE)</f>
        <v>1</v>
      </c>
      <c r="AP674" s="98" t="str">
        <f>LEFT(questions[[#This Row],[question]],similarity_range)</f>
        <v>What type of househo</v>
      </c>
      <c r="AQ674" s="98" t="str">
        <f>LEFT(INDEX(stable[question],MATCH(questions[[#This Row],[qno]],stable[qno],0)),similarity_range)</f>
        <v>What type of househo</v>
      </c>
      <c r="AR674" s="98" t="b">
        <f>questions[[#This Row],[question_first_characters]]=questions[[#This Row],[stability_first_characters]]</f>
        <v>1</v>
      </c>
      <c r="AS674" s="98" t="b">
        <f>IF(OR(questions[[#This Row],[is_single_select]],questions[[#This Row],[is_multi_select]]),NOT(ISBLANK(questions[[#This Row],[answer_opt_combined]])),TRUE)</f>
        <v>1</v>
      </c>
    </row>
    <row r="675" spans="1:45" ht="15.75" customHeight="1" x14ac:dyDescent="0.25">
      <c r="A675" s="33" t="str">
        <f>_xlfn.TEXTJOIN("_",TRUE,questions[[#This Row],[origin]:[qno]])</f>
        <v>Kenya_Arabica_Nestle_2024_2003</v>
      </c>
      <c r="B675" s="33" t="s">
        <v>818</v>
      </c>
      <c r="C675" s="33" t="s">
        <v>59</v>
      </c>
      <c r="D675" s="33" t="s">
        <v>819</v>
      </c>
      <c r="E675" s="33">
        <v>2024</v>
      </c>
      <c r="F675" s="41" t="s">
        <v>113</v>
      </c>
      <c r="G675" s="18" t="s">
        <v>114</v>
      </c>
      <c r="H675" s="33" t="str" cm="1">
        <f t="array" ref="H675">INDEX(stableR[question],MATCH(VALUE(questions[[#This Row],[qno]]),VALUE(stableR[qno]),0))</f>
        <v>How many adults live in your household, that are above 18 years (including the respondent)? (Household members are those that stay more than three months per year within the same household and that 'eat from the same pot'.)</v>
      </c>
      <c r="I675" s="33" t="b" cm="1">
        <f t="array" ref="I675">INDEX(stable[is_fixed],MATCH(VALUE(questions[[#This Row],[qno]]),VALUE(stable[qno]),0))</f>
        <v>1</v>
      </c>
      <c r="J675" s="33" t="b" cm="1">
        <f t="array" ref="J675">INDEX(stable[is_localized],MATCH(VALUE(questions[[#This Row],[qno]]),VALUE(stable[qno]),0))</f>
        <v>0</v>
      </c>
      <c r="K675" s="33" t="b" cm="1">
        <f t="array" ref="K675">INDEX(stable[is_supply_chain_dependent],MATCH(VALUE(questions[[#This Row],[qno]]),VALUE(stable[qno]),0))</f>
        <v>0</v>
      </c>
      <c r="L675" s="33" t="b" cm="1">
        <f t="array" ref="L675">INDEX(stable[is_mandatory],MATCH(VALUE(questions[[#This Row],[qno]]),VALUE(stable[qno]),0))</f>
        <v>1</v>
      </c>
      <c r="M675" s="33" t="b" cm="1">
        <f t="array" ref="M675">INDEX(stable[is_automated],MATCH(VALUE(questions[[#This Row],[qno]]),VALUE(stable[qno]),0))</f>
        <v>0</v>
      </c>
      <c r="N675" s="33" t="b" cm="1">
        <f t="array" ref="N675">INDEX(stable[is_free_text],MATCH(VALUE(questions[[#This Row],[qno]]),VALUE(stable[qno]),0))</f>
        <v>0</v>
      </c>
      <c r="O675" s="33" t="b" cm="1">
        <f t="array" ref="O675">INDEX(stable[is_numerical],MATCH(VALUE(questions[[#This Row],[qno]]),VALUE(stable[qno]),0))</f>
        <v>1</v>
      </c>
      <c r="P675" s="33" t="b" cm="1">
        <f t="array" ref="P675">INDEX(stable[is_single_select],MATCH(VALUE(questions[[#This Row],[qno]]),VALUE(stable[qno]),0))</f>
        <v>0</v>
      </c>
      <c r="Q675" s="33" t="b" cm="1">
        <f t="array" ref="Q675">INDEX(stable[is_multi_select],MATCH(VALUE(questions[[#This Row],[qno]]),VALUE(stable[qno]),0))</f>
        <v>0</v>
      </c>
      <c r="R675" s="33" t="b" cm="1">
        <f t="array" ref="R675">INDEX(stable[is_skip_logic],MATCH(VALUE(questions[[#This Row],[qno]]),VALUE(stable[qno]),0))</f>
        <v>0</v>
      </c>
      <c r="S675" s="33" t="str">
        <f>_xlfn.TEXTJOIN(", ",TRUE,questions[[#This Row],[ans_opt_1]:[ans_opt_14]])</f>
        <v/>
      </c>
      <c r="T675" s="33"/>
      <c r="U675" s="33"/>
      <c r="V675" s="33"/>
      <c r="W675" s="33"/>
      <c r="X675" s="33"/>
      <c r="Y675" s="33"/>
      <c r="Z675" s="33"/>
      <c r="AA675" s="33"/>
      <c r="AB675" s="33"/>
      <c r="AC675" s="33"/>
      <c r="AD675" s="33"/>
      <c r="AE675" s="33"/>
      <c r="AF675" s="33"/>
      <c r="AG675" s="33"/>
      <c r="AH675" s="99" t="b">
        <f>INDEX(stable[q_standard],MATCH(questions[[#This Row],[qno]],stable[qno],0))</f>
        <v>1</v>
      </c>
      <c r="AI675" s="99" t="b">
        <f>INDEX(stable[q_living_income],MATCH(questions[[#This Row],[qno]],stable[qno],0))</f>
        <v>0</v>
      </c>
      <c r="AJ675" s="99" t="b">
        <f>INDEX(stable[q_carbon],MATCH(questions[[#This Row],[qno]],stable[qno],0))</f>
        <v>0</v>
      </c>
      <c r="AK675" s="99" t="b">
        <f>INDEX(stable[q_regen_ag],MATCH(questions[[#This Row],[qno]],stable[qno],0))</f>
        <v>0</v>
      </c>
      <c r="AL675" s="16" t="b">
        <f>COUNTIFS(stable[qno],questions[[#This Row],[qno]])=1</f>
        <v>1</v>
      </c>
      <c r="AM675" s="16" t="b">
        <f>OR(questions[[#This Row],[is_fixed]],questions[[#This Row],[is_localized]],questions[[#This Row],[is_supply_chain_dependent]])</f>
        <v>1</v>
      </c>
      <c r="AN675" s="16" t="b">
        <f>COUNTIFS(questions[[#This Row],[is_automated]:[is_multi_select]],TRUE)=1</f>
        <v>1</v>
      </c>
      <c r="AO675" s="16" t="b">
        <f>IF(questions[[#This Row],[is_fixed]],questions[[#This Row],[question]]=INDEX(stable[question],MATCH(questions[[#This Row],[qno]],stable[qno],0)),TRUE)</f>
        <v>0</v>
      </c>
      <c r="AP675" s="16" t="str">
        <f>LEFT(questions[[#This Row],[question]],similarity_range)</f>
        <v>How many adults live</v>
      </c>
      <c r="AQ675" s="16" t="str">
        <f>LEFT(INDEX(stable[question],MATCH(questions[[#This Row],[qno]],stable[qno],0)),similarity_range)</f>
        <v>How many adults live</v>
      </c>
      <c r="AR675" s="16" t="b">
        <f>questions[[#This Row],[question_first_characters]]=questions[[#This Row],[stability_first_characters]]</f>
        <v>1</v>
      </c>
      <c r="AS675" s="16" t="b">
        <f>IF(OR(questions[[#This Row],[is_single_select]],questions[[#This Row],[is_multi_select]]),NOT(ISBLANK(questions[[#This Row],[answer_opt_combined]])),TRUE)</f>
        <v>1</v>
      </c>
    </row>
    <row r="676" spans="1:45" ht="15.75" customHeight="1" x14ac:dyDescent="0.25">
      <c r="A676" s="33" t="str">
        <f>_xlfn.TEXTJOIN("_",TRUE,questions[[#This Row],[origin]:[qno]])</f>
        <v>Kenya_Arabica_Nestle_2024_2004</v>
      </c>
      <c r="B676" s="33" t="s">
        <v>818</v>
      </c>
      <c r="C676" s="33" t="s">
        <v>59</v>
      </c>
      <c r="D676" s="33" t="s">
        <v>819</v>
      </c>
      <c r="E676" s="33">
        <v>2024</v>
      </c>
      <c r="F676" s="41" t="s">
        <v>115</v>
      </c>
      <c r="G676" s="18" t="s">
        <v>116</v>
      </c>
      <c r="H676" s="33" t="str" cm="1">
        <f t="array" ref="H676">INDEX(stableR[question],MATCH(VALUE(questions[[#This Row],[qno]]),VALUE(stableR[qno]),0))</f>
        <v>How many children living in your household, are below 18 years? (Household members are those that stay more than three months per year within the same household and that 'eat from the same pot.')</v>
      </c>
      <c r="I676" s="33" t="b" cm="1">
        <f t="array" ref="I676">INDEX(stable[is_fixed],MATCH(VALUE(questions[[#This Row],[qno]]),VALUE(stable[qno]),0))</f>
        <v>1</v>
      </c>
      <c r="J676" s="33" t="b" cm="1">
        <f t="array" ref="J676">INDEX(stable[is_localized],MATCH(VALUE(questions[[#This Row],[qno]]),VALUE(stable[qno]),0))</f>
        <v>0</v>
      </c>
      <c r="K676" s="33" t="b" cm="1">
        <f t="array" ref="K676">INDEX(stable[is_supply_chain_dependent],MATCH(VALUE(questions[[#This Row],[qno]]),VALUE(stable[qno]),0))</f>
        <v>0</v>
      </c>
      <c r="L676" s="33" t="b" cm="1">
        <f t="array" ref="L676">INDEX(stable[is_mandatory],MATCH(VALUE(questions[[#This Row],[qno]]),VALUE(stable[qno]),0))</f>
        <v>1</v>
      </c>
      <c r="M676" s="33" t="b" cm="1">
        <f t="array" ref="M676">INDEX(stable[is_automated],MATCH(VALUE(questions[[#This Row],[qno]]),VALUE(stable[qno]),0))</f>
        <v>0</v>
      </c>
      <c r="N676" s="33" t="b" cm="1">
        <f t="array" ref="N676">INDEX(stable[is_free_text],MATCH(VALUE(questions[[#This Row],[qno]]),VALUE(stable[qno]),0))</f>
        <v>0</v>
      </c>
      <c r="O676" s="33" t="b" cm="1">
        <f t="array" ref="O676">INDEX(stable[is_numerical],MATCH(VALUE(questions[[#This Row],[qno]]),VALUE(stable[qno]),0))</f>
        <v>1</v>
      </c>
      <c r="P676" s="33" t="b" cm="1">
        <f t="array" ref="P676">INDEX(stable[is_single_select],MATCH(VALUE(questions[[#This Row],[qno]]),VALUE(stable[qno]),0))</f>
        <v>0</v>
      </c>
      <c r="Q676" s="33" t="b" cm="1">
        <f t="array" ref="Q676">INDEX(stable[is_multi_select],MATCH(VALUE(questions[[#This Row],[qno]]),VALUE(stable[qno]),0))</f>
        <v>0</v>
      </c>
      <c r="R676" s="33" t="b" cm="1">
        <f t="array" ref="R676">INDEX(stable[is_skip_logic],MATCH(VALUE(questions[[#This Row],[qno]]),VALUE(stable[qno]),0))</f>
        <v>0</v>
      </c>
      <c r="S676" s="33" t="str">
        <f>_xlfn.TEXTJOIN(", ",TRUE,questions[[#This Row],[ans_opt_1]:[ans_opt_14]])</f>
        <v/>
      </c>
      <c r="T676" s="33"/>
      <c r="U676" s="33"/>
      <c r="V676" s="33"/>
      <c r="W676" s="33"/>
      <c r="X676" s="33"/>
      <c r="Y676" s="33"/>
      <c r="Z676" s="33"/>
      <c r="AA676" s="33"/>
      <c r="AB676" s="33"/>
      <c r="AC676" s="33"/>
      <c r="AD676" s="33"/>
      <c r="AE676" s="33"/>
      <c r="AF676" s="33"/>
      <c r="AG676" s="33"/>
      <c r="AH676" s="99" t="b">
        <f>INDEX(stable[q_standard],MATCH(questions[[#This Row],[qno]],stable[qno],0))</f>
        <v>1</v>
      </c>
      <c r="AI676" s="99" t="b">
        <f>INDEX(stable[q_living_income],MATCH(questions[[#This Row],[qno]],stable[qno],0))</f>
        <v>0</v>
      </c>
      <c r="AJ676" s="99" t="b">
        <f>INDEX(stable[q_carbon],MATCH(questions[[#This Row],[qno]],stable[qno],0))</f>
        <v>0</v>
      </c>
      <c r="AK676" s="99" t="b">
        <f>INDEX(stable[q_regen_ag],MATCH(questions[[#This Row],[qno]],stable[qno],0))</f>
        <v>0</v>
      </c>
      <c r="AL676" s="16" t="b">
        <f>COUNTIFS(stable[qno],questions[[#This Row],[qno]])=1</f>
        <v>1</v>
      </c>
      <c r="AM676" s="16" t="b">
        <f>OR(questions[[#This Row],[is_fixed]],questions[[#This Row],[is_localized]],questions[[#This Row],[is_supply_chain_dependent]])</f>
        <v>1</v>
      </c>
      <c r="AN676" s="16" t="b">
        <f>COUNTIFS(questions[[#This Row],[is_automated]:[is_multi_select]],TRUE)=1</f>
        <v>1</v>
      </c>
      <c r="AO676" s="16" t="b">
        <f>IF(questions[[#This Row],[is_fixed]],questions[[#This Row],[question]]=INDEX(stable[question],MATCH(questions[[#This Row],[qno]],stable[qno],0)),TRUE)</f>
        <v>1</v>
      </c>
      <c r="AP676" s="16" t="str">
        <f>LEFT(questions[[#This Row],[question]],similarity_range)</f>
        <v>How many children li</v>
      </c>
      <c r="AQ676" s="16" t="str">
        <f>LEFT(INDEX(stable[question],MATCH(questions[[#This Row],[qno]],stable[qno],0)),similarity_range)</f>
        <v>How many children li</v>
      </c>
      <c r="AR676" s="16" t="b">
        <f>questions[[#This Row],[question_first_characters]]=questions[[#This Row],[stability_first_characters]]</f>
        <v>1</v>
      </c>
      <c r="AS676" s="16" t="b">
        <f>IF(OR(questions[[#This Row],[is_single_select]],questions[[#This Row],[is_multi_select]]),NOT(ISBLANK(questions[[#This Row],[answer_opt_combined]])),TRUE)</f>
        <v>1</v>
      </c>
    </row>
    <row r="677" spans="1:45" s="77" customFormat="1" ht="15.75" customHeight="1" x14ac:dyDescent="0.25">
      <c r="A677" s="77" t="str">
        <f>_xlfn.TEXTJOIN("_",TRUE,questions[[#This Row],[origin]:[qno]])</f>
        <v>Kenya_Arabica_Nestle_2024_2100</v>
      </c>
      <c r="B677" s="77" t="s">
        <v>818</v>
      </c>
      <c r="C677" s="77" t="s">
        <v>59</v>
      </c>
      <c r="D677" s="77" t="s">
        <v>819</v>
      </c>
      <c r="E677" s="77">
        <v>2024</v>
      </c>
      <c r="F677" s="105" t="s">
        <v>117</v>
      </c>
      <c r="G677" s="78" t="s">
        <v>118</v>
      </c>
      <c r="H677" s="33" t="str" cm="1">
        <f t="array" ref="H677">INDEX(stableR[question],MATCH(VALUE(questions[[#This Row],[qno]]),VALUE(stableR[qno]),0))</f>
        <v>If your farm is certified, under which certification scheme(s) is it certified?</v>
      </c>
      <c r="I677" s="33" t="b" cm="1">
        <f t="array" ref="I677">INDEX(stable[is_fixed],MATCH(VALUE(questions[[#This Row],[qno]]),VALUE(stable[qno]),0))</f>
        <v>1</v>
      </c>
      <c r="J677" s="33" t="b" cm="1">
        <f t="array" ref="J677">INDEX(stable[is_localized],MATCH(VALUE(questions[[#This Row],[qno]]),VALUE(stable[qno]),0))</f>
        <v>0</v>
      </c>
      <c r="K677" s="33" t="b" cm="1">
        <f t="array" ref="K677">INDEX(stable[is_supply_chain_dependent],MATCH(VALUE(questions[[#This Row],[qno]]),VALUE(stable[qno]),0))</f>
        <v>0</v>
      </c>
      <c r="L677" s="33" t="b" cm="1">
        <f t="array" ref="L677">INDEX(stable[is_mandatory],MATCH(VALUE(questions[[#This Row],[qno]]),VALUE(stable[qno]),0))</f>
        <v>1</v>
      </c>
      <c r="M677" s="33" t="b" cm="1">
        <f t="array" ref="M677">INDEX(stable[is_automated],MATCH(VALUE(questions[[#This Row],[qno]]),VALUE(stable[qno]),0))</f>
        <v>0</v>
      </c>
      <c r="N677" s="33" t="b" cm="1">
        <f t="array" ref="N677">INDEX(stable[is_free_text],MATCH(VALUE(questions[[#This Row],[qno]]),VALUE(stable[qno]),0))</f>
        <v>0</v>
      </c>
      <c r="O677" s="33" t="b" cm="1">
        <f t="array" ref="O677">INDEX(stable[is_numerical],MATCH(VALUE(questions[[#This Row],[qno]]),VALUE(stable[qno]),0))</f>
        <v>0</v>
      </c>
      <c r="P677" s="77" t="b" cm="1">
        <f t="array" ref="P677">INDEX(stable[is_single_select],MATCH(VALUE(questions[[#This Row],[qno]]),VALUE(stable[qno]),0))</f>
        <v>0</v>
      </c>
      <c r="Q677" s="77" t="b" cm="1">
        <f t="array" ref="Q677">INDEX(stable[is_multi_select],MATCH(VALUE(questions[[#This Row],[qno]]),VALUE(stable[qno]),0))</f>
        <v>1</v>
      </c>
      <c r="R677" s="77" t="b" cm="1">
        <f t="array" ref="R677">INDEX(stable[is_skip_logic],MATCH(VALUE(questions[[#This Row],[qno]]),VALUE(stable[qno]),0))</f>
        <v>1</v>
      </c>
      <c r="S677" s="77" t="str">
        <f>_xlfn.TEXTJOIN(", ",TRUE,questions[[#This Row],[ans_opt_1]:[ans_opt_14]])</f>
        <v>No, IMPACT, 4C, Rainforest alliance, Organic, CAFÉ practices, RegenAgri, Other, Fair trade</v>
      </c>
      <c r="T677" s="77" t="s">
        <v>119</v>
      </c>
      <c r="U677" s="77" t="s">
        <v>120</v>
      </c>
      <c r="V677" s="77" t="s">
        <v>121</v>
      </c>
      <c r="W677" s="77" t="s">
        <v>721</v>
      </c>
      <c r="X677" s="77" t="s">
        <v>124</v>
      </c>
      <c r="Y677" s="77" t="s">
        <v>125</v>
      </c>
      <c r="Z677" s="77" t="s">
        <v>126</v>
      </c>
      <c r="AA677" s="77" t="s">
        <v>112</v>
      </c>
      <c r="AB677" s="77" t="s">
        <v>722</v>
      </c>
      <c r="AH677" s="98" t="b">
        <f>INDEX(stable[q_standard],MATCH(questions[[#This Row],[qno]],stable[qno],0))</f>
        <v>0</v>
      </c>
      <c r="AI677" s="98" t="b">
        <f>INDEX(stable[q_living_income],MATCH(questions[[#This Row],[qno]],stable[qno],0))</f>
        <v>0</v>
      </c>
      <c r="AJ677" s="98" t="b">
        <f>INDEX(stable[q_carbon],MATCH(questions[[#This Row],[qno]],stable[qno],0))</f>
        <v>0</v>
      </c>
      <c r="AK677" s="98" t="b">
        <f>INDEX(stable[q_regen_ag],MATCH(questions[[#This Row],[qno]],stable[qno],0))</f>
        <v>1</v>
      </c>
      <c r="AL677" s="98" t="b">
        <f>COUNTIFS(stable[qno],questions[[#This Row],[qno]])=1</f>
        <v>1</v>
      </c>
      <c r="AM677" s="98" t="b">
        <f>OR(questions[[#This Row],[is_fixed]],questions[[#This Row],[is_localized]],questions[[#This Row],[is_supply_chain_dependent]])</f>
        <v>1</v>
      </c>
      <c r="AN677" s="98" t="b">
        <f>COUNTIFS(questions[[#This Row],[is_automated]:[is_multi_select]],TRUE)=1</f>
        <v>1</v>
      </c>
      <c r="AO677" s="98" t="b">
        <f>IF(questions[[#This Row],[is_fixed]],questions[[#This Row],[question]]=INDEX(stable[question],MATCH(questions[[#This Row],[qno]],stable[qno],0)),TRUE)</f>
        <v>1</v>
      </c>
      <c r="AP677" s="98" t="str">
        <f>LEFT(questions[[#This Row],[question]],similarity_range)</f>
        <v>Is your farm certifi</v>
      </c>
      <c r="AQ677" s="98" t="str">
        <f>LEFT(INDEX(stable[question],MATCH(questions[[#This Row],[qno]],stable[qno],0)),similarity_range)</f>
        <v>Is your farm certifi</v>
      </c>
      <c r="AR677" s="98" t="b">
        <f>questions[[#This Row],[question_first_characters]]=questions[[#This Row],[stability_first_characters]]</f>
        <v>1</v>
      </c>
      <c r="AS677" s="98" t="b">
        <f>IF(OR(questions[[#This Row],[is_single_select]],questions[[#This Row],[is_multi_select]]),NOT(ISBLANK(questions[[#This Row],[answer_opt_combined]])),TRUE)</f>
        <v>1</v>
      </c>
    </row>
    <row r="678" spans="1:45" s="77" customFormat="1" ht="15.75" customHeight="1" x14ac:dyDescent="0.25">
      <c r="A678" s="77" t="str">
        <f>_xlfn.TEXTJOIN("_",TRUE,questions[[#This Row],[origin]:[qno]])</f>
        <v>Kenya_Arabica_Nestle_2024_2101</v>
      </c>
      <c r="B678" s="77" t="s">
        <v>818</v>
      </c>
      <c r="C678" s="77" t="s">
        <v>59</v>
      </c>
      <c r="D678" s="77" t="s">
        <v>819</v>
      </c>
      <c r="E678" s="77">
        <v>2024</v>
      </c>
      <c r="F678" s="108" t="s">
        <v>127</v>
      </c>
      <c r="G678" s="78" t="s">
        <v>820</v>
      </c>
      <c r="H678" s="33" t="str" cm="1">
        <f t="array" ref="H678">INDEX(stableR[question],MATCH(VALUE(questions[[#This Row],[qno]]),VALUE(stableR[qno]),0))</f>
        <v>If yes, since when have you been certified? (In case you are part of multiple certification schemes, consider the one that you are in longest.)</v>
      </c>
      <c r="I678" s="33" t="b" cm="1">
        <f t="array" ref="I678">INDEX(stable[is_fixed],MATCH(VALUE(questions[[#This Row],[qno]]),VALUE(stable[qno]),0))</f>
        <v>1</v>
      </c>
      <c r="J678" s="33" t="b" cm="1">
        <f t="array" ref="J678">INDEX(stable[is_localized],MATCH(VALUE(questions[[#This Row],[qno]]),VALUE(stable[qno]),0))</f>
        <v>0</v>
      </c>
      <c r="K678" s="33" t="b" cm="1">
        <f t="array" ref="K678">INDEX(stable[is_supply_chain_dependent],MATCH(VALUE(questions[[#This Row],[qno]]),VALUE(stable[qno]),0))</f>
        <v>0</v>
      </c>
      <c r="L678" s="33" t="b" cm="1">
        <f t="array" ref="L678">INDEX(stable[is_mandatory],MATCH(VALUE(questions[[#This Row],[qno]]),VALUE(stable[qno]),0))</f>
        <v>0</v>
      </c>
      <c r="M678" s="33" t="b" cm="1">
        <f t="array" ref="M678">INDEX(stable[is_automated],MATCH(VALUE(questions[[#This Row],[qno]]),VALUE(stable[qno]),0))</f>
        <v>0</v>
      </c>
      <c r="N678" s="33" t="b" cm="1">
        <f t="array" ref="N678">INDEX(stable[is_free_text],MATCH(VALUE(questions[[#This Row],[qno]]),VALUE(stable[qno]),0))</f>
        <v>0</v>
      </c>
      <c r="O678" s="33" t="b" cm="1">
        <f t="array" ref="O678">INDEX(stable[is_numerical],MATCH(VALUE(questions[[#This Row],[qno]]),VALUE(stable[qno]),0))</f>
        <v>0</v>
      </c>
      <c r="P678" s="77" t="b" cm="1">
        <f t="array" ref="P678">INDEX(stable[is_single_select],MATCH(VALUE(questions[[#This Row],[qno]]),VALUE(stable[qno]),0))</f>
        <v>1</v>
      </c>
      <c r="Q678" s="77" t="b" cm="1">
        <f t="array" ref="Q678">INDEX(stable[is_multi_select],MATCH(VALUE(questions[[#This Row],[qno]]),VALUE(stable[qno]),0))</f>
        <v>0</v>
      </c>
      <c r="R678" s="77" t="b" cm="1">
        <f t="array" ref="R678">INDEX(stable[is_skip_logic],MATCH(VALUE(questions[[#This Row],[qno]]),VALUE(stable[qno]),0))</f>
        <v>1</v>
      </c>
      <c r="S678" s="77" t="str">
        <f>_xlfn.TEXTJOIN(", ",TRUE,questions[[#This Row],[ans_opt_1]:[ans_opt_14]])</f>
        <v>1-2 years, 3-4 years, &gt;=5 years</v>
      </c>
      <c r="T678" s="77" t="s">
        <v>129</v>
      </c>
      <c r="U678" s="77" t="s">
        <v>130</v>
      </c>
      <c r="V678" s="77" t="s">
        <v>131</v>
      </c>
      <c r="AH678" s="98" t="b">
        <f>INDEX(stable[q_standard],MATCH(questions[[#This Row],[qno]],stable[qno],0))</f>
        <v>0</v>
      </c>
      <c r="AI678" s="98" t="b">
        <f>INDEX(stable[q_living_income],MATCH(questions[[#This Row],[qno]],stable[qno],0))</f>
        <v>0</v>
      </c>
      <c r="AJ678" s="98" t="b">
        <f>INDEX(stable[q_carbon],MATCH(questions[[#This Row],[qno]],stable[qno],0))</f>
        <v>0</v>
      </c>
      <c r="AK678" s="98" t="b">
        <f>INDEX(stable[q_regen_ag],MATCH(questions[[#This Row],[qno]],stable[qno],0))</f>
        <v>1</v>
      </c>
      <c r="AL678" s="98" t="b">
        <f>COUNTIFS(stable[qno],questions[[#This Row],[qno]])=1</f>
        <v>1</v>
      </c>
      <c r="AM678" s="98" t="b">
        <f>OR(questions[[#This Row],[is_fixed]],questions[[#This Row],[is_localized]],questions[[#This Row],[is_supply_chain_dependent]])</f>
        <v>1</v>
      </c>
      <c r="AN678" s="98" t="b">
        <f>COUNTIFS(questions[[#This Row],[is_automated]:[is_multi_select]],TRUE)=1</f>
        <v>1</v>
      </c>
      <c r="AO678" s="98" t="b">
        <f>IF(questions[[#This Row],[is_fixed]],questions[[#This Row],[question]]=INDEX(stable[question],MATCH(questions[[#This Row],[qno]],stable[qno],0)),TRUE)</f>
        <v>0</v>
      </c>
      <c r="AP678" s="98" t="str">
        <f>LEFT(questions[[#This Row],[question]],similarity_range)</f>
        <v>If yes, since when h</v>
      </c>
      <c r="AQ678" s="98" t="str">
        <f>LEFT(INDEX(stable[question],MATCH(questions[[#This Row],[qno]],stable[qno],0)),similarity_range)</f>
        <v>If yes, since when h</v>
      </c>
      <c r="AR678" s="98" t="b">
        <f>questions[[#This Row],[question_first_characters]]=questions[[#This Row],[stability_first_characters]]</f>
        <v>1</v>
      </c>
      <c r="AS678" s="98" t="b">
        <f>IF(OR(questions[[#This Row],[is_single_select]],questions[[#This Row],[is_multi_select]]),NOT(ISBLANK(questions[[#This Row],[answer_opt_combined]])),TRUE)</f>
        <v>1</v>
      </c>
    </row>
    <row r="679" spans="1:45" s="77" customFormat="1" ht="15.75" customHeight="1" x14ac:dyDescent="0.25">
      <c r="A679" s="77" t="str">
        <f>_xlfn.TEXTJOIN("_",TRUE,questions[[#This Row],[origin]:[qno]])</f>
        <v>Kenya_Arabica_Nestle_2024_2200</v>
      </c>
      <c r="B679" s="77" t="s">
        <v>818</v>
      </c>
      <c r="C679" s="77" t="s">
        <v>59</v>
      </c>
      <c r="D679" s="77" t="s">
        <v>819</v>
      </c>
      <c r="E679" s="77">
        <v>2024</v>
      </c>
      <c r="F679" s="105" t="s">
        <v>132</v>
      </c>
      <c r="G679" s="78" t="s">
        <v>821</v>
      </c>
      <c r="H679" s="33" t="str" cm="1">
        <f t="array" ref="H679">INDEX(stableR[question],MATCH(VALUE(questions[[#This Row],[qno]]),VALUE(stableR[qno]),0))</f>
        <v>What is the name of the Sucafina coffee collection point you delivered your coffee to (e.g. name of  washing station/hulling station/cooperative/ intermediary), or which one is closest to you?</v>
      </c>
      <c r="I679" s="33" t="b" cm="1">
        <f t="array" ref="I679">INDEX(stable[is_fixed],MATCH(VALUE(questions[[#This Row],[qno]]),VALUE(stable[qno]),0))</f>
        <v>0</v>
      </c>
      <c r="J679" s="33" t="b" cm="1">
        <f t="array" ref="J679">INDEX(stable[is_localized],MATCH(VALUE(questions[[#This Row],[qno]]),VALUE(stable[qno]),0))</f>
        <v>1</v>
      </c>
      <c r="K679" s="33" t="b" cm="1">
        <f t="array" ref="K679">INDEX(stable[is_supply_chain_dependent],MATCH(VALUE(questions[[#This Row],[qno]]),VALUE(stable[qno]),0))</f>
        <v>0</v>
      </c>
      <c r="L679" s="33" t="b" cm="1">
        <f t="array" ref="L679">INDEX(stable[is_mandatory],MATCH(VALUE(questions[[#This Row],[qno]]),VALUE(stable[qno]),0))</f>
        <v>1</v>
      </c>
      <c r="M679" s="33" t="b" cm="1">
        <f t="array" ref="M679">INDEX(stable[is_automated],MATCH(VALUE(questions[[#This Row],[qno]]),VALUE(stable[qno]),0))</f>
        <v>0</v>
      </c>
      <c r="N679" s="33" t="b" cm="1">
        <f t="array" ref="N679">INDEX(stable[is_free_text],MATCH(VALUE(questions[[#This Row],[qno]]),VALUE(stable[qno]),0))</f>
        <v>0</v>
      </c>
      <c r="O679" s="33" t="b" cm="1">
        <f t="array" ref="O679">INDEX(stable[is_numerical],MATCH(VALUE(questions[[#This Row],[qno]]),VALUE(stable[qno]),0))</f>
        <v>0</v>
      </c>
      <c r="P679" s="77" t="b" cm="1">
        <f t="array" ref="P679">INDEX(stable[is_single_select],MATCH(VALUE(questions[[#This Row],[qno]]),VALUE(stable[qno]),0))</f>
        <v>1</v>
      </c>
      <c r="Q679" s="77" t="b" cm="1">
        <f t="array" ref="Q679">INDEX(stable[is_multi_select],MATCH(VALUE(questions[[#This Row],[qno]]),VALUE(stable[qno]),0))</f>
        <v>0</v>
      </c>
      <c r="R679" s="77" t="b" cm="1">
        <f t="array" ref="R679">INDEX(stable[is_skip_logic],MATCH(VALUE(questions[[#This Row],[qno]]),VALUE(stable[qno]),0))</f>
        <v>0</v>
      </c>
      <c r="S679" s="77" t="str">
        <f>_xlfn.TEXTJOIN(", ",TRUE,questions[[#This Row],[ans_opt_1]:[ans_opt_14]])</f>
        <v>Thikagiki, Chepnorio, Kikai, Kichawir, Gathugu &amp; Gatina , Gitareini</v>
      </c>
      <c r="T679" s="77" t="s">
        <v>822</v>
      </c>
      <c r="U679" s="77" t="s">
        <v>823</v>
      </c>
      <c r="V679" s="77" t="s">
        <v>824</v>
      </c>
      <c r="W679" s="77" t="s">
        <v>825</v>
      </c>
      <c r="X679" s="77" t="s">
        <v>826</v>
      </c>
      <c r="Y679" s="77" t="s">
        <v>827</v>
      </c>
      <c r="AH679" s="98" t="b">
        <f>INDEX(stable[q_standard],MATCH(questions[[#This Row],[qno]],stable[qno],0))</f>
        <v>1</v>
      </c>
      <c r="AI679" s="98" t="b">
        <f>INDEX(stable[q_living_income],MATCH(questions[[#This Row],[qno]],stable[qno],0))</f>
        <v>0</v>
      </c>
      <c r="AJ679" s="98" t="b">
        <f>INDEX(stable[q_carbon],MATCH(questions[[#This Row],[qno]],stable[qno],0))</f>
        <v>0</v>
      </c>
      <c r="AK679" s="98" t="b">
        <f>INDEX(stable[q_regen_ag],MATCH(questions[[#This Row],[qno]],stable[qno],0))</f>
        <v>0</v>
      </c>
      <c r="AL679" s="98" t="b">
        <f>COUNTIFS(stable[qno],questions[[#This Row],[qno]])=1</f>
        <v>1</v>
      </c>
      <c r="AM679" s="98" t="b">
        <f>OR(questions[[#This Row],[is_fixed]],questions[[#This Row],[is_localized]],questions[[#This Row],[is_supply_chain_dependent]])</f>
        <v>1</v>
      </c>
      <c r="AN679" s="98" t="b">
        <f>COUNTIFS(questions[[#This Row],[is_automated]:[is_multi_select]],TRUE)=1</f>
        <v>1</v>
      </c>
      <c r="AO679" s="98" t="b">
        <f>IF(questions[[#This Row],[is_fixed]],questions[[#This Row],[question]]=INDEX(stable[question],MATCH(questions[[#This Row],[qno]],stable[qno],0)),TRUE)</f>
        <v>1</v>
      </c>
      <c r="AP679" s="98" t="str">
        <f>LEFT(questions[[#This Row],[question]],similarity_range)</f>
        <v>To which cooperative</v>
      </c>
      <c r="AQ679" s="98" t="str">
        <f>LEFT(INDEX(stable[question],MATCH(questions[[#This Row],[qno]],stable[qno],0)),similarity_range)</f>
        <v>To which Sucafina wa</v>
      </c>
      <c r="AR679" s="98" t="b">
        <f>questions[[#This Row],[question_first_characters]]=questions[[#This Row],[stability_first_characters]]</f>
        <v>0</v>
      </c>
      <c r="AS679" s="98" t="b">
        <f>IF(OR(questions[[#This Row],[is_single_select]],questions[[#This Row],[is_multi_select]]),NOT(ISBLANK(questions[[#This Row],[answer_opt_combined]])),TRUE)</f>
        <v>1</v>
      </c>
    </row>
    <row r="680" spans="1:45" s="77" customFormat="1" ht="15.75" customHeight="1" x14ac:dyDescent="0.25">
      <c r="A680" s="77" t="str">
        <f>_xlfn.TEXTJOIN("_",TRUE,questions[[#This Row],[origin]:[qno]])</f>
        <v>Kenya_Arabica_Nestle_2024_3000</v>
      </c>
      <c r="B680" s="77" t="s">
        <v>818</v>
      </c>
      <c r="C680" s="77" t="s">
        <v>59</v>
      </c>
      <c r="D680" s="77" t="s">
        <v>819</v>
      </c>
      <c r="E680" s="77">
        <v>2024</v>
      </c>
      <c r="F680" s="108" t="s">
        <v>520</v>
      </c>
      <c r="G680" s="78" t="s">
        <v>521</v>
      </c>
      <c r="H680" s="33" t="str" cm="1">
        <f t="array" ref="H680">INDEX(stableR[question],MATCH(VALUE(questions[[#This Row],[qno]]),VALUE(stableR[qno]),0))</f>
        <v>What were the types of coffee that you sold last year?</v>
      </c>
      <c r="I680" s="33" t="b" cm="1">
        <f t="array" ref="I680">INDEX(stable[is_fixed],MATCH(VALUE(questions[[#This Row],[qno]]),VALUE(stable[qno]),0))</f>
        <v>0</v>
      </c>
      <c r="J680" s="33" t="b" cm="1">
        <f t="array" ref="J680">INDEX(stable[is_localized],MATCH(VALUE(questions[[#This Row],[qno]]),VALUE(stable[qno]),0))</f>
        <v>1</v>
      </c>
      <c r="K680" s="33" t="b" cm="1">
        <f t="array" ref="K680">INDEX(stable[is_supply_chain_dependent],MATCH(VALUE(questions[[#This Row],[qno]]),VALUE(stable[qno]),0))</f>
        <v>0</v>
      </c>
      <c r="L680" s="33" t="b" cm="1">
        <f t="array" ref="L680">INDEX(stable[is_mandatory],MATCH(VALUE(questions[[#This Row],[qno]]),VALUE(stable[qno]),0))</f>
        <v>0</v>
      </c>
      <c r="M680" s="33" t="b" cm="1">
        <f t="array" ref="M680">INDEX(stable[is_automated],MATCH(VALUE(questions[[#This Row],[qno]]),VALUE(stable[qno]),0))</f>
        <v>0</v>
      </c>
      <c r="N680" s="33" t="b" cm="1">
        <f t="array" ref="N680">INDEX(stable[is_free_text],MATCH(VALUE(questions[[#This Row],[qno]]),VALUE(stable[qno]),0))</f>
        <v>0</v>
      </c>
      <c r="O680" s="33" t="b" cm="1">
        <f t="array" ref="O680">INDEX(stable[is_numerical],MATCH(VALUE(questions[[#This Row],[qno]]),VALUE(stable[qno]),0))</f>
        <v>0</v>
      </c>
      <c r="P680" s="77" t="b" cm="1">
        <f t="array" ref="P680">INDEX(stable[is_single_select],MATCH(VALUE(questions[[#This Row],[qno]]),VALUE(stable[qno]),0))</f>
        <v>0</v>
      </c>
      <c r="Q680" s="77" t="b" cm="1">
        <f t="array" ref="Q680">INDEX(stable[is_multi_select],MATCH(VALUE(questions[[#This Row],[qno]]),VALUE(stable[qno]),0))</f>
        <v>1</v>
      </c>
      <c r="R680" s="77" t="b" cm="1">
        <f t="array" ref="R680">INDEX(stable[is_skip_logic],MATCH(VALUE(questions[[#This Row],[qno]]),VALUE(stable[qno]),0))</f>
        <v>0</v>
      </c>
      <c r="S680" s="77" t="str">
        <f>_xlfn.TEXTJOIN(", ",TRUE,questions[[#This Row],[ans_opt_1]:[ans_opt_14]])</f>
        <v>Fresh cherries, Dried cherries, Fresh cherries, Hulled beans, Green beans</v>
      </c>
      <c r="T680" s="77" t="s">
        <v>522</v>
      </c>
      <c r="U680" s="77" t="s">
        <v>523</v>
      </c>
      <c r="V680" s="77" t="s">
        <v>522</v>
      </c>
      <c r="W680" s="77" t="s">
        <v>524</v>
      </c>
      <c r="X680" s="77" t="s">
        <v>525</v>
      </c>
      <c r="AH680" s="98" t="b">
        <f>INDEX(stable[q_standard],MATCH(questions[[#This Row],[qno]],stable[qno],0))</f>
        <v>0</v>
      </c>
      <c r="AI680" s="98" t="b">
        <f>INDEX(stable[q_living_income],MATCH(questions[[#This Row],[qno]],stable[qno],0))</f>
        <v>1</v>
      </c>
      <c r="AJ680" s="98" t="b">
        <f>INDEX(stable[q_carbon],MATCH(questions[[#This Row],[qno]],stable[qno],0))</f>
        <v>1</v>
      </c>
      <c r="AK680" s="98" t="b">
        <f>INDEX(stable[q_regen_ag],MATCH(questions[[#This Row],[qno]],stable[qno],0))</f>
        <v>1</v>
      </c>
      <c r="AL680" s="98" t="b">
        <f>COUNTIFS(stable[qno],questions[[#This Row],[qno]])=1</f>
        <v>1</v>
      </c>
      <c r="AM680" s="98" t="b">
        <f>OR(questions[[#This Row],[is_fixed]],questions[[#This Row],[is_localized]],questions[[#This Row],[is_supply_chain_dependent]])</f>
        <v>1</v>
      </c>
      <c r="AN680" s="98" t="b">
        <f>COUNTIFS(questions[[#This Row],[is_automated]:[is_multi_select]],TRUE)=1</f>
        <v>1</v>
      </c>
      <c r="AO680" s="98" t="b">
        <f>IF(questions[[#This Row],[is_fixed]],questions[[#This Row],[question]]=INDEX(stable[question],MATCH(questions[[#This Row],[qno]],stable[qno],0)),TRUE)</f>
        <v>1</v>
      </c>
      <c r="AP680" s="98" t="str">
        <f>LEFT(questions[[#This Row],[question]],similarity_range)</f>
        <v xml:space="preserve">What were the types </v>
      </c>
      <c r="AQ680" s="98" t="str">
        <f>LEFT(INDEX(stable[question],MATCH(questions[[#This Row],[qno]],stable[qno],0)),similarity_range)</f>
        <v xml:space="preserve">What were the types </v>
      </c>
      <c r="AR680" s="98" t="b">
        <f>questions[[#This Row],[question_first_characters]]=questions[[#This Row],[stability_first_characters]]</f>
        <v>1</v>
      </c>
      <c r="AS680" s="98" t="b">
        <f>IF(OR(questions[[#This Row],[is_single_select]],questions[[#This Row],[is_multi_select]]),NOT(ISBLANK(questions[[#This Row],[answer_opt_combined]])),TRUE)</f>
        <v>1</v>
      </c>
    </row>
    <row r="681" spans="1:45" ht="15.75" customHeight="1" x14ac:dyDescent="0.25">
      <c r="A681" s="33" t="str">
        <f>_xlfn.TEXTJOIN("_",TRUE,questions[[#This Row],[origin]:[qno]])</f>
        <v>Kenya_Arabica_Nestle_2024_3100</v>
      </c>
      <c r="B681" s="33" t="s">
        <v>818</v>
      </c>
      <c r="C681" s="33" t="s">
        <v>59</v>
      </c>
      <c r="D681" s="33" t="s">
        <v>819</v>
      </c>
      <c r="E681" s="33">
        <v>2024</v>
      </c>
      <c r="F681" s="41" t="s">
        <v>526</v>
      </c>
      <c r="G681" s="18" t="s">
        <v>828</v>
      </c>
      <c r="H681" s="33" t="str" cm="1">
        <f t="array" ref="H681">INDEX(stableR[question],MATCH(VALUE(questions[[#This Row],[qno]]),VALUE(stableR[qno]),0))</f>
        <v>How many kilograms of fresh cherries did you sell during the fly season?</v>
      </c>
      <c r="I681" s="33" t="b" cm="1">
        <f t="array" ref="I681">INDEX(stable[is_fixed],MATCH(VALUE(questions[[#This Row],[qno]]),VALUE(stable[qno]),0))</f>
        <v>0</v>
      </c>
      <c r="J681" s="33" t="b" cm="1">
        <f t="array" ref="J681">INDEX(stable[is_localized],MATCH(VALUE(questions[[#This Row],[qno]]),VALUE(stable[qno]),0))</f>
        <v>1</v>
      </c>
      <c r="K681" s="33" t="b" cm="1">
        <f t="array" ref="K681">INDEX(stable[is_supply_chain_dependent],MATCH(VALUE(questions[[#This Row],[qno]]),VALUE(stable[qno]),0))</f>
        <v>0</v>
      </c>
      <c r="L681" s="33" t="b" cm="1">
        <f t="array" ref="L681">INDEX(stable[is_mandatory],MATCH(VALUE(questions[[#This Row],[qno]]),VALUE(stable[qno]),0))</f>
        <v>0</v>
      </c>
      <c r="M681" s="33" t="b" cm="1">
        <f t="array" ref="M681">INDEX(stable[is_automated],MATCH(VALUE(questions[[#This Row],[qno]]),VALUE(stable[qno]),0))</f>
        <v>0</v>
      </c>
      <c r="N681" s="33" t="b" cm="1">
        <f t="array" ref="N681">INDEX(stable[is_free_text],MATCH(VALUE(questions[[#This Row],[qno]]),VALUE(stable[qno]),0))</f>
        <v>0</v>
      </c>
      <c r="O681" s="33" t="b" cm="1">
        <f t="array" ref="O681">INDEX(stable[is_numerical],MATCH(VALUE(questions[[#This Row],[qno]]),VALUE(stable[qno]),0))</f>
        <v>1</v>
      </c>
      <c r="P681" s="33" t="b" cm="1">
        <f t="array" ref="P681">INDEX(stable[is_single_select],MATCH(VALUE(questions[[#This Row],[qno]]),VALUE(stable[qno]),0))</f>
        <v>0</v>
      </c>
      <c r="Q681" s="33" t="b" cm="1">
        <f t="array" ref="Q681">INDEX(stable[is_multi_select],MATCH(VALUE(questions[[#This Row],[qno]]),VALUE(stable[qno]),0))</f>
        <v>0</v>
      </c>
      <c r="R681" s="33" t="b" cm="1">
        <f t="array" ref="R681">INDEX(stable[is_skip_logic],MATCH(VALUE(questions[[#This Row],[qno]]),VALUE(stable[qno]),0))</f>
        <v>0</v>
      </c>
      <c r="S681" s="33" t="str">
        <f>_xlfn.TEXTJOIN(", ",TRUE,questions[[#This Row],[ans_opt_1]:[ans_opt_14]])</f>
        <v/>
      </c>
      <c r="T681" s="33"/>
      <c r="U681" s="33"/>
      <c r="V681" s="33"/>
      <c r="W681" s="33"/>
      <c r="X681" s="33"/>
      <c r="Y681" s="33"/>
      <c r="Z681" s="33"/>
      <c r="AA681" s="33"/>
      <c r="AB681" s="33"/>
      <c r="AC681" s="33"/>
      <c r="AD681" s="33"/>
      <c r="AE681" s="33"/>
      <c r="AF681" s="33"/>
      <c r="AG681" s="33"/>
      <c r="AH681" s="99" t="b">
        <f>INDEX(stable[q_standard],MATCH(questions[[#This Row],[qno]],stable[qno],0))</f>
        <v>0</v>
      </c>
      <c r="AI681" s="99" t="b">
        <f>INDEX(stable[q_living_income],MATCH(questions[[#This Row],[qno]],stable[qno],0))</f>
        <v>1</v>
      </c>
      <c r="AJ681" s="99" t="b">
        <f>INDEX(stable[q_carbon],MATCH(questions[[#This Row],[qno]],stable[qno],0))</f>
        <v>1</v>
      </c>
      <c r="AK681" s="99" t="b">
        <f>INDEX(stable[q_regen_ag],MATCH(questions[[#This Row],[qno]],stable[qno],0))</f>
        <v>1</v>
      </c>
      <c r="AL681" s="16" t="b">
        <f>COUNTIFS(stable[qno],questions[[#This Row],[qno]])=1</f>
        <v>1</v>
      </c>
      <c r="AM681" s="16" t="b">
        <f>OR(questions[[#This Row],[is_fixed]],questions[[#This Row],[is_localized]],questions[[#This Row],[is_supply_chain_dependent]])</f>
        <v>1</v>
      </c>
      <c r="AN681" s="16" t="b">
        <f>COUNTIFS(questions[[#This Row],[is_automated]:[is_multi_select]],TRUE)=1</f>
        <v>1</v>
      </c>
      <c r="AO681" s="16" t="b">
        <f>IF(questions[[#This Row],[is_fixed]],questions[[#This Row],[question]]=INDEX(stable[question],MATCH(questions[[#This Row],[qno]],stable[qno],0)),TRUE)</f>
        <v>1</v>
      </c>
      <c r="AP681" s="16" t="str">
        <f>LEFT(questions[[#This Row],[question]],similarity_range)</f>
        <v>How many kilograms o</v>
      </c>
      <c r="AQ681" s="16" t="str">
        <f>LEFT(INDEX(stable[question],MATCH(questions[[#This Row],[qno]],stable[qno],0)),similarity_range)</f>
        <v>How many kilograms o</v>
      </c>
      <c r="AR681" s="16" t="b">
        <f>questions[[#This Row],[question_first_characters]]=questions[[#This Row],[stability_first_characters]]</f>
        <v>1</v>
      </c>
      <c r="AS681" s="16" t="b">
        <f>IF(OR(questions[[#This Row],[is_single_select]],questions[[#This Row],[is_multi_select]]),NOT(ISBLANK(questions[[#This Row],[answer_opt_combined]])),TRUE)</f>
        <v>1</v>
      </c>
    </row>
    <row r="682" spans="1:45" ht="15.75" customHeight="1" x14ac:dyDescent="0.25">
      <c r="A682" s="33" t="str">
        <f>_xlfn.TEXTJOIN("_",TRUE,questions[[#This Row],[origin]:[qno]])</f>
        <v>Kenya_Arabica_Nestle_2024_3101</v>
      </c>
      <c r="B682" s="33" t="s">
        <v>818</v>
      </c>
      <c r="C682" s="33" t="s">
        <v>59</v>
      </c>
      <c r="D682" s="33" t="s">
        <v>819</v>
      </c>
      <c r="E682" s="33">
        <v>2024</v>
      </c>
      <c r="F682" s="41" t="s">
        <v>528</v>
      </c>
      <c r="G682" s="18" t="s">
        <v>829</v>
      </c>
      <c r="H682" s="33" t="str" cm="1">
        <f t="array" ref="H682">INDEX(stableR[question],MATCH(VALUE(questions[[#This Row],[qno]]),VALUE(stableR[qno]),0))</f>
        <v>What was the most common price per kilogram that you received for the fresh cherries harvested in the fly season? (in local currency)</v>
      </c>
      <c r="I682" s="33" t="b" cm="1">
        <f t="array" ref="I682">INDEX(stable[is_fixed],MATCH(VALUE(questions[[#This Row],[qno]]),VALUE(stable[qno]),0))</f>
        <v>0</v>
      </c>
      <c r="J682" s="33" t="b" cm="1">
        <f t="array" ref="J682">INDEX(stable[is_localized],MATCH(VALUE(questions[[#This Row],[qno]]),VALUE(stable[qno]),0))</f>
        <v>1</v>
      </c>
      <c r="K682" s="33" t="b" cm="1">
        <f t="array" ref="K682">INDEX(stable[is_supply_chain_dependent],MATCH(VALUE(questions[[#This Row],[qno]]),VALUE(stable[qno]),0))</f>
        <v>0</v>
      </c>
      <c r="L682" s="33" t="b" cm="1">
        <f t="array" ref="L682">INDEX(stable[is_mandatory],MATCH(VALUE(questions[[#This Row],[qno]]),VALUE(stable[qno]),0))</f>
        <v>0</v>
      </c>
      <c r="M682" s="33" t="b" cm="1">
        <f t="array" ref="M682">INDEX(stable[is_automated],MATCH(VALUE(questions[[#This Row],[qno]]),VALUE(stable[qno]),0))</f>
        <v>0</v>
      </c>
      <c r="N682" s="33" t="b" cm="1">
        <f t="array" ref="N682">INDEX(stable[is_free_text],MATCH(VALUE(questions[[#This Row],[qno]]),VALUE(stable[qno]),0))</f>
        <v>0</v>
      </c>
      <c r="O682" s="33" t="b" cm="1">
        <f t="array" ref="O682">INDEX(stable[is_numerical],MATCH(VALUE(questions[[#This Row],[qno]]),VALUE(stable[qno]),0))</f>
        <v>1</v>
      </c>
      <c r="P682" s="33" t="b" cm="1">
        <f t="array" ref="P682">INDEX(stable[is_single_select],MATCH(VALUE(questions[[#This Row],[qno]]),VALUE(stable[qno]),0))</f>
        <v>0</v>
      </c>
      <c r="Q682" s="33" t="b" cm="1">
        <f t="array" ref="Q682">INDEX(stable[is_multi_select],MATCH(VALUE(questions[[#This Row],[qno]]),VALUE(stable[qno]),0))</f>
        <v>0</v>
      </c>
      <c r="R682" s="33" t="b" cm="1">
        <f t="array" ref="R682">INDEX(stable[is_skip_logic],MATCH(VALUE(questions[[#This Row],[qno]]),VALUE(stable[qno]),0))</f>
        <v>0</v>
      </c>
      <c r="S682" s="33" t="str">
        <f>_xlfn.TEXTJOIN(", ",TRUE,questions[[#This Row],[ans_opt_1]:[ans_opt_14]])</f>
        <v/>
      </c>
      <c r="T682" s="33"/>
      <c r="U682" s="33"/>
      <c r="V682" s="33"/>
      <c r="W682" s="33"/>
      <c r="X682" s="33"/>
      <c r="Y682" s="33"/>
      <c r="Z682" s="33"/>
      <c r="AA682" s="33"/>
      <c r="AB682" s="33"/>
      <c r="AC682" s="33"/>
      <c r="AD682" s="33"/>
      <c r="AE682" s="33"/>
      <c r="AF682" s="33"/>
      <c r="AG682" s="33"/>
      <c r="AH682" s="99" t="b">
        <f>INDEX(stable[q_standard],MATCH(questions[[#This Row],[qno]],stable[qno],0))</f>
        <v>0</v>
      </c>
      <c r="AI682" s="99" t="b">
        <f>INDEX(stable[q_living_income],MATCH(questions[[#This Row],[qno]],stable[qno],0))</f>
        <v>1</v>
      </c>
      <c r="AJ682" s="99" t="b">
        <f>INDEX(stable[q_carbon],MATCH(questions[[#This Row],[qno]],stable[qno],0))</f>
        <v>0</v>
      </c>
      <c r="AK682" s="99" t="b">
        <f>INDEX(stable[q_regen_ag],MATCH(questions[[#This Row],[qno]],stable[qno],0))</f>
        <v>0</v>
      </c>
      <c r="AL682" s="16" t="b">
        <f>COUNTIFS(stable[qno],questions[[#This Row],[qno]])=1</f>
        <v>1</v>
      </c>
      <c r="AM682" s="16" t="b">
        <f>OR(questions[[#This Row],[is_fixed]],questions[[#This Row],[is_localized]],questions[[#This Row],[is_supply_chain_dependent]])</f>
        <v>1</v>
      </c>
      <c r="AN682" s="16" t="b">
        <f>COUNTIFS(questions[[#This Row],[is_automated]:[is_multi_select]],TRUE)=1</f>
        <v>1</v>
      </c>
      <c r="AO682" s="16" t="b">
        <f>IF(questions[[#This Row],[is_fixed]],questions[[#This Row],[question]]=INDEX(stable[question],MATCH(questions[[#This Row],[qno]],stable[qno],0)),TRUE)</f>
        <v>1</v>
      </c>
      <c r="AP682" s="16" t="str">
        <f>LEFT(questions[[#This Row],[question]],similarity_range)</f>
        <v>What was the most co</v>
      </c>
      <c r="AQ682" s="16" t="str">
        <f>LEFT(INDEX(stable[question],MATCH(questions[[#This Row],[qno]],stable[qno],0)),similarity_range)</f>
        <v>What was the most co</v>
      </c>
      <c r="AR682" s="16" t="b">
        <f>questions[[#This Row],[question_first_characters]]=questions[[#This Row],[stability_first_characters]]</f>
        <v>1</v>
      </c>
      <c r="AS682" s="16" t="b">
        <f>IF(OR(questions[[#This Row],[is_single_select]],questions[[#This Row],[is_multi_select]]),NOT(ISBLANK(questions[[#This Row],[answer_opt_combined]])),TRUE)</f>
        <v>1</v>
      </c>
    </row>
    <row r="683" spans="1:45" ht="15.75" customHeight="1" x14ac:dyDescent="0.25">
      <c r="A683" s="33" t="str">
        <f>_xlfn.TEXTJOIN("_",TRUE,questions[[#This Row],[origin]:[qno]])</f>
        <v>Kenya_Arabica_Nestle_2024_3120</v>
      </c>
      <c r="B683" s="33" t="s">
        <v>818</v>
      </c>
      <c r="C683" s="33" t="s">
        <v>59</v>
      </c>
      <c r="D683" s="33" t="s">
        <v>819</v>
      </c>
      <c r="E683" s="33">
        <v>2024</v>
      </c>
      <c r="F683" s="41" t="s">
        <v>534</v>
      </c>
      <c r="G683" s="18" t="s">
        <v>830</v>
      </c>
      <c r="H683" s="33" t="str" cm="1">
        <f t="array" ref="H683">INDEX(stableR[question],MATCH(VALUE(questions[[#This Row],[qno]]),VALUE(stableR[qno]),0))</f>
        <v>How many kilograms of dried cherries did you sell during the fly season?</v>
      </c>
      <c r="I683" s="33" t="b" cm="1">
        <f t="array" ref="I683">INDEX(stable[is_fixed],MATCH(VALUE(questions[[#This Row],[qno]]),VALUE(stable[qno]),0))</f>
        <v>0</v>
      </c>
      <c r="J683" s="33" t="b" cm="1">
        <f t="array" ref="J683">INDEX(stable[is_localized],MATCH(VALUE(questions[[#This Row],[qno]]),VALUE(stable[qno]),0))</f>
        <v>0</v>
      </c>
      <c r="K683" s="33" t="b" cm="1">
        <f t="array" ref="K683">INDEX(stable[is_supply_chain_dependent],MATCH(VALUE(questions[[#This Row],[qno]]),VALUE(stable[qno]),0))</f>
        <v>1</v>
      </c>
      <c r="L683" s="33" t="b" cm="1">
        <f t="array" ref="L683">INDEX(stable[is_mandatory],MATCH(VALUE(questions[[#This Row],[qno]]),VALUE(stable[qno]),0))</f>
        <v>0</v>
      </c>
      <c r="M683" s="33" t="b" cm="1">
        <f t="array" ref="M683">INDEX(stable[is_automated],MATCH(VALUE(questions[[#This Row],[qno]]),VALUE(stable[qno]),0))</f>
        <v>0</v>
      </c>
      <c r="N683" s="33" t="b" cm="1">
        <f t="array" ref="N683">INDEX(stable[is_free_text],MATCH(VALUE(questions[[#This Row],[qno]]),VALUE(stable[qno]),0))</f>
        <v>0</v>
      </c>
      <c r="O683" s="33" t="b" cm="1">
        <f t="array" ref="O683">INDEX(stable[is_numerical],MATCH(VALUE(questions[[#This Row],[qno]]),VALUE(stable[qno]),0))</f>
        <v>1</v>
      </c>
      <c r="P683" s="33" t="b" cm="1">
        <f t="array" ref="P683">INDEX(stable[is_single_select],MATCH(VALUE(questions[[#This Row],[qno]]),VALUE(stable[qno]),0))</f>
        <v>0</v>
      </c>
      <c r="Q683" s="33" t="b" cm="1">
        <f t="array" ref="Q683">INDEX(stable[is_multi_select],MATCH(VALUE(questions[[#This Row],[qno]]),VALUE(stable[qno]),0))</f>
        <v>0</v>
      </c>
      <c r="R683" s="33" t="b" cm="1">
        <f t="array" ref="R683">INDEX(stable[is_skip_logic],MATCH(VALUE(questions[[#This Row],[qno]]),VALUE(stable[qno]),0))</f>
        <v>0</v>
      </c>
      <c r="S683" s="33" t="str">
        <f>_xlfn.TEXTJOIN(", ",TRUE,questions[[#This Row],[ans_opt_1]:[ans_opt_14]])</f>
        <v/>
      </c>
      <c r="T683" s="33"/>
      <c r="U683" s="33"/>
      <c r="V683" s="33"/>
      <c r="W683" s="33"/>
      <c r="X683" s="33"/>
      <c r="Y683" s="33"/>
      <c r="Z683" s="33"/>
      <c r="AA683" s="33"/>
      <c r="AB683" s="33"/>
      <c r="AC683" s="33"/>
      <c r="AD683" s="33"/>
      <c r="AE683" s="33"/>
      <c r="AF683" s="33"/>
      <c r="AG683" s="33"/>
      <c r="AH683" s="99" t="b">
        <f>INDEX(stable[q_standard],MATCH(questions[[#This Row],[qno]],stable[qno],0))</f>
        <v>0</v>
      </c>
      <c r="AI683" s="99" t="b">
        <f>INDEX(stable[q_living_income],MATCH(questions[[#This Row],[qno]],stable[qno],0))</f>
        <v>1</v>
      </c>
      <c r="AJ683" s="99" t="b">
        <f>INDEX(stable[q_carbon],MATCH(questions[[#This Row],[qno]],stable[qno],0))</f>
        <v>1</v>
      </c>
      <c r="AK683" s="99" t="b">
        <f>INDEX(stable[q_regen_ag],MATCH(questions[[#This Row],[qno]],stable[qno],0))</f>
        <v>1</v>
      </c>
      <c r="AL683" s="16" t="b">
        <f>COUNTIFS(stable[qno],questions[[#This Row],[qno]])=1</f>
        <v>1</v>
      </c>
      <c r="AM683" s="16" t="b">
        <f>OR(questions[[#This Row],[is_fixed]],questions[[#This Row],[is_localized]],questions[[#This Row],[is_supply_chain_dependent]])</f>
        <v>1</v>
      </c>
      <c r="AN683" s="16" t="b">
        <f>COUNTIFS(questions[[#This Row],[is_automated]:[is_multi_select]],TRUE)=1</f>
        <v>1</v>
      </c>
      <c r="AO683" s="16" t="b">
        <f>IF(questions[[#This Row],[is_fixed]],questions[[#This Row],[question]]=INDEX(stable[question],MATCH(questions[[#This Row],[qno]],stable[qno],0)),TRUE)</f>
        <v>1</v>
      </c>
      <c r="AP683" s="16" t="str">
        <f>LEFT(questions[[#This Row],[question]],similarity_range)</f>
        <v>How many kilograms o</v>
      </c>
      <c r="AQ683" s="16" t="str">
        <f>LEFT(INDEX(stable[question],MATCH(questions[[#This Row],[qno]],stable[qno],0)),similarity_range)</f>
        <v>How many kilograms o</v>
      </c>
      <c r="AR683" s="16" t="b">
        <f>questions[[#This Row],[question_first_characters]]=questions[[#This Row],[stability_first_characters]]</f>
        <v>1</v>
      </c>
      <c r="AS683" s="16" t="b">
        <f>IF(OR(questions[[#This Row],[is_single_select]],questions[[#This Row],[is_multi_select]]),NOT(ISBLANK(questions[[#This Row],[answer_opt_combined]])),TRUE)</f>
        <v>1</v>
      </c>
    </row>
    <row r="684" spans="1:45" ht="15.75" customHeight="1" x14ac:dyDescent="0.25">
      <c r="A684" s="33" t="str">
        <f>_xlfn.TEXTJOIN("_",TRUE,questions[[#This Row],[origin]:[qno]])</f>
        <v>Kenya_Arabica_Nestle_2024_3121</v>
      </c>
      <c r="B684" s="33" t="s">
        <v>818</v>
      </c>
      <c r="C684" s="33" t="s">
        <v>59</v>
      </c>
      <c r="D684" s="33" t="s">
        <v>819</v>
      </c>
      <c r="E684" s="33">
        <v>2024</v>
      </c>
      <c r="F684" s="41" t="s">
        <v>536</v>
      </c>
      <c r="G684" s="18" t="s">
        <v>831</v>
      </c>
      <c r="H684" s="33" t="str" cm="1">
        <f t="array" ref="H684">INDEX(stableR[question],MATCH(VALUE(questions[[#This Row],[qno]]),VALUE(stableR[qno]),0))</f>
        <v>What was the most common price per kilogram that you received for dried cherries harvested in the fly season? (in local currency)</v>
      </c>
      <c r="I684" s="33" t="b" cm="1">
        <f t="array" ref="I684">INDEX(stable[is_fixed],MATCH(VALUE(questions[[#This Row],[qno]]),VALUE(stable[qno]),0))</f>
        <v>0</v>
      </c>
      <c r="J684" s="33" t="b" cm="1">
        <f t="array" ref="J684">INDEX(stable[is_localized],MATCH(VALUE(questions[[#This Row],[qno]]),VALUE(stable[qno]),0))</f>
        <v>0</v>
      </c>
      <c r="K684" s="33" t="b" cm="1">
        <f t="array" ref="K684">INDEX(stable[is_supply_chain_dependent],MATCH(VALUE(questions[[#This Row],[qno]]),VALUE(stable[qno]),0))</f>
        <v>1</v>
      </c>
      <c r="L684" s="33" t="b" cm="1">
        <f t="array" ref="L684">INDEX(stable[is_mandatory],MATCH(VALUE(questions[[#This Row],[qno]]),VALUE(stable[qno]),0))</f>
        <v>0</v>
      </c>
      <c r="M684" s="33" t="b" cm="1">
        <f t="array" ref="M684">INDEX(stable[is_automated],MATCH(VALUE(questions[[#This Row],[qno]]),VALUE(stable[qno]),0))</f>
        <v>0</v>
      </c>
      <c r="N684" s="33" t="b" cm="1">
        <f t="array" ref="N684">INDEX(stable[is_free_text],MATCH(VALUE(questions[[#This Row],[qno]]),VALUE(stable[qno]),0))</f>
        <v>0</v>
      </c>
      <c r="O684" s="33" t="b" cm="1">
        <f t="array" ref="O684">INDEX(stable[is_numerical],MATCH(VALUE(questions[[#This Row],[qno]]),VALUE(stable[qno]),0))</f>
        <v>1</v>
      </c>
      <c r="P684" s="33" t="b" cm="1">
        <f t="array" ref="P684">INDEX(stable[is_single_select],MATCH(VALUE(questions[[#This Row],[qno]]),VALUE(stable[qno]),0))</f>
        <v>0</v>
      </c>
      <c r="Q684" s="33" t="b" cm="1">
        <f t="array" ref="Q684">INDEX(stable[is_multi_select],MATCH(VALUE(questions[[#This Row],[qno]]),VALUE(stable[qno]),0))</f>
        <v>0</v>
      </c>
      <c r="R684" s="33" t="b" cm="1">
        <f t="array" ref="R684">INDEX(stable[is_skip_logic],MATCH(VALUE(questions[[#This Row],[qno]]),VALUE(stable[qno]),0))</f>
        <v>0</v>
      </c>
      <c r="S684" s="33" t="str">
        <f>_xlfn.TEXTJOIN(", ",TRUE,questions[[#This Row],[ans_opt_1]:[ans_opt_14]])</f>
        <v/>
      </c>
      <c r="T684" s="33"/>
      <c r="U684" s="33"/>
      <c r="V684" s="33"/>
      <c r="W684" s="33"/>
      <c r="X684" s="33"/>
      <c r="Y684" s="33"/>
      <c r="Z684" s="33"/>
      <c r="AA684" s="33"/>
      <c r="AB684" s="33"/>
      <c r="AC684" s="33"/>
      <c r="AD684" s="33"/>
      <c r="AE684" s="33"/>
      <c r="AF684" s="33"/>
      <c r="AG684" s="33"/>
      <c r="AH684" s="99" t="b">
        <f>INDEX(stable[q_standard],MATCH(questions[[#This Row],[qno]],stable[qno],0))</f>
        <v>0</v>
      </c>
      <c r="AI684" s="99" t="b">
        <f>INDEX(stable[q_living_income],MATCH(questions[[#This Row],[qno]],stable[qno],0))</f>
        <v>1</v>
      </c>
      <c r="AJ684" s="99" t="b">
        <f>INDEX(stable[q_carbon],MATCH(questions[[#This Row],[qno]],stable[qno],0))</f>
        <v>0</v>
      </c>
      <c r="AK684" s="99" t="b">
        <f>INDEX(stable[q_regen_ag],MATCH(questions[[#This Row],[qno]],stable[qno],0))</f>
        <v>0</v>
      </c>
      <c r="AL684" s="16" t="b">
        <f>COUNTIFS(stable[qno],questions[[#This Row],[qno]])=1</f>
        <v>1</v>
      </c>
      <c r="AM684" s="16" t="b">
        <f>OR(questions[[#This Row],[is_fixed]],questions[[#This Row],[is_localized]],questions[[#This Row],[is_supply_chain_dependent]])</f>
        <v>1</v>
      </c>
      <c r="AN684" s="16" t="b">
        <f>COUNTIFS(questions[[#This Row],[is_automated]:[is_multi_select]],TRUE)=1</f>
        <v>1</v>
      </c>
      <c r="AO684" s="16" t="b">
        <f>IF(questions[[#This Row],[is_fixed]],questions[[#This Row],[question]]=INDEX(stable[question],MATCH(questions[[#This Row],[qno]],stable[qno],0)),TRUE)</f>
        <v>1</v>
      </c>
      <c r="AP684" s="16" t="str">
        <f>LEFT(questions[[#This Row],[question]],similarity_range)</f>
        <v>What was the most co</v>
      </c>
      <c r="AQ684" s="16" t="str">
        <f>LEFT(INDEX(stable[question],MATCH(questions[[#This Row],[qno]],stable[qno],0)),similarity_range)</f>
        <v>What was the most co</v>
      </c>
      <c r="AR684" s="16" t="b">
        <f>questions[[#This Row],[question_first_characters]]=questions[[#This Row],[stability_first_characters]]</f>
        <v>1</v>
      </c>
      <c r="AS684" s="16" t="b">
        <f>IF(OR(questions[[#This Row],[is_single_select]],questions[[#This Row],[is_multi_select]]),NOT(ISBLANK(questions[[#This Row],[answer_opt_combined]])),TRUE)</f>
        <v>1</v>
      </c>
    </row>
    <row r="685" spans="1:45" ht="15.75" customHeight="1" x14ac:dyDescent="0.25">
      <c r="A685" s="33" t="str">
        <f>_xlfn.TEXTJOIN("_",TRUE,questions[[#This Row],[origin]:[qno]])</f>
        <v>Kenya_Arabica_Nestle_2024_3200</v>
      </c>
      <c r="B685" s="33" t="s">
        <v>818</v>
      </c>
      <c r="C685" s="33" t="s">
        <v>59</v>
      </c>
      <c r="D685" s="33" t="s">
        <v>819</v>
      </c>
      <c r="E685" s="33">
        <v>2024</v>
      </c>
      <c r="F685" s="41" t="s">
        <v>542</v>
      </c>
      <c r="G685" s="18" t="s">
        <v>832</v>
      </c>
      <c r="H685" s="33" t="str" cm="1">
        <f t="array" ref="H685">INDEX(stableR[question],MATCH(VALUE(questions[[#This Row],[qno]]),VALUE(stableR[qno]),0))</f>
        <v>How many kilograms of fresh cherries did you sell during the main season?</v>
      </c>
      <c r="I685" s="33" t="b" cm="1">
        <f t="array" ref="I685">INDEX(stable[is_fixed],MATCH(VALUE(questions[[#This Row],[qno]]),VALUE(stable[qno]),0))</f>
        <v>0</v>
      </c>
      <c r="J685" s="33" t="b" cm="1">
        <f t="array" ref="J685">INDEX(stable[is_localized],MATCH(VALUE(questions[[#This Row],[qno]]),VALUE(stable[qno]),0))</f>
        <v>1</v>
      </c>
      <c r="K685" s="33" t="b" cm="1">
        <f t="array" ref="K685">INDEX(stable[is_supply_chain_dependent],MATCH(VALUE(questions[[#This Row],[qno]]),VALUE(stable[qno]),0))</f>
        <v>0</v>
      </c>
      <c r="L685" s="33" t="b" cm="1">
        <f t="array" ref="L685">INDEX(stable[is_mandatory],MATCH(VALUE(questions[[#This Row],[qno]]),VALUE(stable[qno]),0))</f>
        <v>0</v>
      </c>
      <c r="M685" s="33" t="b" cm="1">
        <f t="array" ref="M685">INDEX(stable[is_automated],MATCH(VALUE(questions[[#This Row],[qno]]),VALUE(stable[qno]),0))</f>
        <v>0</v>
      </c>
      <c r="N685" s="33" t="b" cm="1">
        <f t="array" ref="N685">INDEX(stable[is_free_text],MATCH(VALUE(questions[[#This Row],[qno]]),VALUE(stable[qno]),0))</f>
        <v>0</v>
      </c>
      <c r="O685" s="33" t="b" cm="1">
        <f t="array" ref="O685">INDEX(stable[is_numerical],MATCH(VALUE(questions[[#This Row],[qno]]),VALUE(stable[qno]),0))</f>
        <v>1</v>
      </c>
      <c r="P685" s="33" t="b" cm="1">
        <f t="array" ref="P685">INDEX(stable[is_single_select],MATCH(VALUE(questions[[#This Row],[qno]]),VALUE(stable[qno]),0))</f>
        <v>0</v>
      </c>
      <c r="Q685" s="33" t="b" cm="1">
        <f t="array" ref="Q685">INDEX(stable[is_multi_select],MATCH(VALUE(questions[[#This Row],[qno]]),VALUE(stable[qno]),0))</f>
        <v>0</v>
      </c>
      <c r="R685" s="33" t="b" cm="1">
        <f t="array" ref="R685">INDEX(stable[is_skip_logic],MATCH(VALUE(questions[[#This Row],[qno]]),VALUE(stable[qno]),0))</f>
        <v>0</v>
      </c>
      <c r="S685" s="33" t="str">
        <f>_xlfn.TEXTJOIN(", ",TRUE,questions[[#This Row],[ans_opt_1]:[ans_opt_14]])</f>
        <v/>
      </c>
      <c r="T685" s="33"/>
      <c r="U685" s="33"/>
      <c r="V685" s="33"/>
      <c r="W685" s="33"/>
      <c r="X685" s="33"/>
      <c r="Y685" s="33"/>
      <c r="Z685" s="33"/>
      <c r="AA685" s="33"/>
      <c r="AB685" s="33"/>
      <c r="AC685" s="33"/>
      <c r="AD685" s="33"/>
      <c r="AE685" s="33"/>
      <c r="AF685" s="33"/>
      <c r="AG685" s="33"/>
      <c r="AH685" s="99" t="b">
        <f>INDEX(stable[q_standard],MATCH(questions[[#This Row],[qno]],stable[qno],0))</f>
        <v>0</v>
      </c>
      <c r="AI685" s="99" t="b">
        <f>INDEX(stable[q_living_income],MATCH(questions[[#This Row],[qno]],stable[qno],0))</f>
        <v>1</v>
      </c>
      <c r="AJ685" s="99" t="b">
        <f>INDEX(stable[q_carbon],MATCH(questions[[#This Row],[qno]],stable[qno],0))</f>
        <v>1</v>
      </c>
      <c r="AK685" s="99" t="b">
        <f>INDEX(stable[q_regen_ag],MATCH(questions[[#This Row],[qno]],stable[qno],0))</f>
        <v>1</v>
      </c>
      <c r="AL685" s="16" t="b">
        <f>COUNTIFS(stable[qno],questions[[#This Row],[qno]])=1</f>
        <v>1</v>
      </c>
      <c r="AM685" s="16" t="b">
        <f>OR(questions[[#This Row],[is_fixed]],questions[[#This Row],[is_localized]],questions[[#This Row],[is_supply_chain_dependent]])</f>
        <v>1</v>
      </c>
      <c r="AN685" s="16" t="b">
        <f>COUNTIFS(questions[[#This Row],[is_automated]:[is_multi_select]],TRUE)=1</f>
        <v>1</v>
      </c>
      <c r="AO685" s="16" t="b">
        <f>IF(questions[[#This Row],[is_fixed]],questions[[#This Row],[question]]=INDEX(stable[question],MATCH(questions[[#This Row],[qno]],stable[qno],0)),TRUE)</f>
        <v>1</v>
      </c>
      <c r="AP685" s="16" t="str">
        <f>LEFT(questions[[#This Row],[question]],similarity_range)</f>
        <v>How many kilograms o</v>
      </c>
      <c r="AQ685" s="16" t="str">
        <f>LEFT(INDEX(stable[question],MATCH(questions[[#This Row],[qno]],stable[qno],0)),similarity_range)</f>
        <v>How many kilograms o</v>
      </c>
      <c r="AR685" s="16" t="b">
        <f>questions[[#This Row],[question_first_characters]]=questions[[#This Row],[stability_first_characters]]</f>
        <v>1</v>
      </c>
      <c r="AS685" s="16" t="b">
        <f>IF(OR(questions[[#This Row],[is_single_select]],questions[[#This Row],[is_multi_select]]),NOT(ISBLANK(questions[[#This Row],[answer_opt_combined]])),TRUE)</f>
        <v>1</v>
      </c>
    </row>
    <row r="686" spans="1:45" ht="15.75" customHeight="1" x14ac:dyDescent="0.25">
      <c r="A686" s="33" t="str">
        <f>_xlfn.TEXTJOIN("_",TRUE,questions[[#This Row],[origin]:[qno]])</f>
        <v>Kenya_Arabica_Nestle_2024_3201</v>
      </c>
      <c r="B686" s="33" t="s">
        <v>818</v>
      </c>
      <c r="C686" s="33" t="s">
        <v>59</v>
      </c>
      <c r="D686" s="33" t="s">
        <v>819</v>
      </c>
      <c r="E686" s="33">
        <v>2024</v>
      </c>
      <c r="F686" s="41" t="s">
        <v>544</v>
      </c>
      <c r="G686" s="18" t="s">
        <v>833</v>
      </c>
      <c r="H686" s="33" t="str" cm="1">
        <f t="array" ref="H686">INDEX(stableR[question],MATCH(VALUE(questions[[#This Row],[qno]]),VALUE(stableR[qno]),0))</f>
        <v>What was the most common price per kilogram that you received for fresh cherries harvested in the main season? (in local currency)</v>
      </c>
      <c r="I686" s="33" t="b" cm="1">
        <f t="array" ref="I686">INDEX(stable[is_fixed],MATCH(VALUE(questions[[#This Row],[qno]]),VALUE(stable[qno]),0))</f>
        <v>0</v>
      </c>
      <c r="J686" s="33" t="b" cm="1">
        <f t="array" ref="J686">INDEX(stable[is_localized],MATCH(VALUE(questions[[#This Row],[qno]]),VALUE(stable[qno]),0))</f>
        <v>1</v>
      </c>
      <c r="K686" s="33" t="b" cm="1">
        <f t="array" ref="K686">INDEX(stable[is_supply_chain_dependent],MATCH(VALUE(questions[[#This Row],[qno]]),VALUE(stable[qno]),0))</f>
        <v>0</v>
      </c>
      <c r="L686" s="33" t="b" cm="1">
        <f t="array" ref="L686">INDEX(stable[is_mandatory],MATCH(VALUE(questions[[#This Row],[qno]]),VALUE(stable[qno]),0))</f>
        <v>0</v>
      </c>
      <c r="M686" s="33" t="b" cm="1">
        <f t="array" ref="M686">INDEX(stable[is_automated],MATCH(VALUE(questions[[#This Row],[qno]]),VALUE(stable[qno]),0))</f>
        <v>0</v>
      </c>
      <c r="N686" s="33" t="b" cm="1">
        <f t="array" ref="N686">INDEX(stable[is_free_text],MATCH(VALUE(questions[[#This Row],[qno]]),VALUE(stable[qno]),0))</f>
        <v>0</v>
      </c>
      <c r="O686" s="33" t="b" cm="1">
        <f t="array" ref="O686">INDEX(stable[is_numerical],MATCH(VALUE(questions[[#This Row],[qno]]),VALUE(stable[qno]),0))</f>
        <v>1</v>
      </c>
      <c r="P686" s="33" t="b" cm="1">
        <f t="array" ref="P686">INDEX(stable[is_single_select],MATCH(VALUE(questions[[#This Row],[qno]]),VALUE(stable[qno]),0))</f>
        <v>0</v>
      </c>
      <c r="Q686" s="33" t="b" cm="1">
        <f t="array" ref="Q686">INDEX(stable[is_multi_select],MATCH(VALUE(questions[[#This Row],[qno]]),VALUE(stable[qno]),0))</f>
        <v>0</v>
      </c>
      <c r="R686" s="33" t="b" cm="1">
        <f t="array" ref="R686">INDEX(stable[is_skip_logic],MATCH(VALUE(questions[[#This Row],[qno]]),VALUE(stable[qno]),0))</f>
        <v>0</v>
      </c>
      <c r="S686" s="33" t="str">
        <f>_xlfn.TEXTJOIN(", ",TRUE,questions[[#This Row],[ans_opt_1]:[ans_opt_14]])</f>
        <v/>
      </c>
      <c r="T686" s="33"/>
      <c r="U686" s="33"/>
      <c r="V686" s="33"/>
      <c r="W686" s="33"/>
      <c r="X686" s="33"/>
      <c r="Y686" s="33"/>
      <c r="Z686" s="33"/>
      <c r="AA686" s="33"/>
      <c r="AB686" s="33"/>
      <c r="AC686" s="33"/>
      <c r="AD686" s="33"/>
      <c r="AE686" s="33"/>
      <c r="AF686" s="33"/>
      <c r="AG686" s="33"/>
      <c r="AH686" s="99" t="b">
        <f>INDEX(stable[q_standard],MATCH(questions[[#This Row],[qno]],stable[qno],0))</f>
        <v>0</v>
      </c>
      <c r="AI686" s="99" t="b">
        <f>INDEX(stable[q_living_income],MATCH(questions[[#This Row],[qno]],stable[qno],0))</f>
        <v>1</v>
      </c>
      <c r="AJ686" s="99" t="b">
        <f>INDEX(stable[q_carbon],MATCH(questions[[#This Row],[qno]],stable[qno],0))</f>
        <v>0</v>
      </c>
      <c r="AK686" s="99" t="b">
        <f>INDEX(stable[q_regen_ag],MATCH(questions[[#This Row],[qno]],stable[qno],0))</f>
        <v>0</v>
      </c>
      <c r="AL686" s="16" t="b">
        <f>COUNTIFS(stable[qno],questions[[#This Row],[qno]])=1</f>
        <v>1</v>
      </c>
      <c r="AM686" s="16" t="b">
        <f>OR(questions[[#This Row],[is_fixed]],questions[[#This Row],[is_localized]],questions[[#This Row],[is_supply_chain_dependent]])</f>
        <v>1</v>
      </c>
      <c r="AN686" s="16" t="b">
        <f>COUNTIFS(questions[[#This Row],[is_automated]:[is_multi_select]],TRUE)=1</f>
        <v>1</v>
      </c>
      <c r="AO686" s="16" t="b">
        <f>IF(questions[[#This Row],[is_fixed]],questions[[#This Row],[question]]=INDEX(stable[question],MATCH(questions[[#This Row],[qno]],stable[qno],0)),TRUE)</f>
        <v>1</v>
      </c>
      <c r="AP686" s="16" t="str">
        <f>LEFT(questions[[#This Row],[question]],similarity_range)</f>
        <v>What was the most co</v>
      </c>
      <c r="AQ686" s="16" t="str">
        <f>LEFT(INDEX(stable[question],MATCH(questions[[#This Row],[qno]],stable[qno],0)),similarity_range)</f>
        <v>What was the most co</v>
      </c>
      <c r="AR686" s="16" t="b">
        <f>questions[[#This Row],[question_first_characters]]=questions[[#This Row],[stability_first_characters]]</f>
        <v>1</v>
      </c>
      <c r="AS686" s="16" t="b">
        <f>IF(OR(questions[[#This Row],[is_single_select]],questions[[#This Row],[is_multi_select]]),NOT(ISBLANK(questions[[#This Row],[answer_opt_combined]])),TRUE)</f>
        <v>1</v>
      </c>
    </row>
    <row r="687" spans="1:45" ht="15.75" customHeight="1" x14ac:dyDescent="0.25">
      <c r="A687" s="33" t="str">
        <f>_xlfn.TEXTJOIN("_",TRUE,questions[[#This Row],[origin]:[qno]])</f>
        <v>Kenya_Arabica_Nestle_2024_3220</v>
      </c>
      <c r="B687" s="33" t="s">
        <v>818</v>
      </c>
      <c r="C687" s="33" t="s">
        <v>59</v>
      </c>
      <c r="D687" s="33" t="s">
        <v>819</v>
      </c>
      <c r="E687" s="33">
        <v>2024</v>
      </c>
      <c r="F687" s="41" t="s">
        <v>550</v>
      </c>
      <c r="G687" s="18" t="s">
        <v>834</v>
      </c>
      <c r="H687" s="33" t="str" cm="1">
        <f t="array" ref="H687">INDEX(stableR[question],MATCH(VALUE(questions[[#This Row],[qno]]),VALUE(stableR[qno]),0))</f>
        <v>How many kilograms of dried cherries did you sell during the main season?</v>
      </c>
      <c r="I687" s="33" t="b" cm="1">
        <f t="array" ref="I687">INDEX(stable[is_fixed],MATCH(VALUE(questions[[#This Row],[qno]]),VALUE(stable[qno]),0))</f>
        <v>0</v>
      </c>
      <c r="J687" s="33" t="b" cm="1">
        <f t="array" ref="J687">INDEX(stable[is_localized],MATCH(VALUE(questions[[#This Row],[qno]]),VALUE(stable[qno]),0))</f>
        <v>0</v>
      </c>
      <c r="K687" s="33" t="b" cm="1">
        <f t="array" ref="K687">INDEX(stable[is_supply_chain_dependent],MATCH(VALUE(questions[[#This Row],[qno]]),VALUE(stable[qno]),0))</f>
        <v>1</v>
      </c>
      <c r="L687" s="33" t="b" cm="1">
        <f t="array" ref="L687">INDEX(stable[is_mandatory],MATCH(VALUE(questions[[#This Row],[qno]]),VALUE(stable[qno]),0))</f>
        <v>0</v>
      </c>
      <c r="M687" s="33" t="b" cm="1">
        <f t="array" ref="M687">INDEX(stable[is_automated],MATCH(VALUE(questions[[#This Row],[qno]]),VALUE(stable[qno]),0))</f>
        <v>0</v>
      </c>
      <c r="N687" s="33" t="b" cm="1">
        <f t="array" ref="N687">INDEX(stable[is_free_text],MATCH(VALUE(questions[[#This Row],[qno]]),VALUE(stable[qno]),0))</f>
        <v>0</v>
      </c>
      <c r="O687" s="33" t="b" cm="1">
        <f t="array" ref="O687">INDEX(stable[is_numerical],MATCH(VALUE(questions[[#This Row],[qno]]),VALUE(stable[qno]),0))</f>
        <v>1</v>
      </c>
      <c r="P687" s="33" t="b" cm="1">
        <f t="array" ref="P687">INDEX(stable[is_single_select],MATCH(VALUE(questions[[#This Row],[qno]]),VALUE(stable[qno]),0))</f>
        <v>0</v>
      </c>
      <c r="Q687" s="33" t="b" cm="1">
        <f t="array" ref="Q687">INDEX(stable[is_multi_select],MATCH(VALUE(questions[[#This Row],[qno]]),VALUE(stable[qno]),0))</f>
        <v>0</v>
      </c>
      <c r="R687" s="33" t="b" cm="1">
        <f t="array" ref="R687">INDEX(stable[is_skip_logic],MATCH(VALUE(questions[[#This Row],[qno]]),VALUE(stable[qno]),0))</f>
        <v>0</v>
      </c>
      <c r="S687" s="33" t="str">
        <f>_xlfn.TEXTJOIN(", ",TRUE,questions[[#This Row],[ans_opt_1]:[ans_opt_14]])</f>
        <v/>
      </c>
      <c r="T687" s="33"/>
      <c r="U687" s="33"/>
      <c r="V687" s="33"/>
      <c r="W687" s="33"/>
      <c r="X687" s="33"/>
      <c r="Y687" s="33"/>
      <c r="Z687" s="33"/>
      <c r="AA687" s="33"/>
      <c r="AB687" s="33"/>
      <c r="AC687" s="33"/>
      <c r="AD687" s="33"/>
      <c r="AE687" s="33"/>
      <c r="AF687" s="33"/>
      <c r="AG687" s="33"/>
      <c r="AH687" s="99" t="b">
        <f>INDEX(stable[q_standard],MATCH(questions[[#This Row],[qno]],stable[qno],0))</f>
        <v>0</v>
      </c>
      <c r="AI687" s="99" t="b">
        <f>INDEX(stable[q_living_income],MATCH(questions[[#This Row],[qno]],stable[qno],0))</f>
        <v>1</v>
      </c>
      <c r="AJ687" s="99" t="b">
        <f>INDEX(stable[q_carbon],MATCH(questions[[#This Row],[qno]],stable[qno],0))</f>
        <v>1</v>
      </c>
      <c r="AK687" s="99" t="b">
        <f>INDEX(stable[q_regen_ag],MATCH(questions[[#This Row],[qno]],stable[qno],0))</f>
        <v>1</v>
      </c>
      <c r="AL687" s="16" t="b">
        <f>COUNTIFS(stable[qno],questions[[#This Row],[qno]])=1</f>
        <v>1</v>
      </c>
      <c r="AM687" s="16" t="b">
        <f>OR(questions[[#This Row],[is_fixed]],questions[[#This Row],[is_localized]],questions[[#This Row],[is_supply_chain_dependent]])</f>
        <v>1</v>
      </c>
      <c r="AN687" s="16" t="b">
        <f>COUNTIFS(questions[[#This Row],[is_automated]:[is_multi_select]],TRUE)=1</f>
        <v>1</v>
      </c>
      <c r="AO687" s="16" t="b">
        <f>IF(questions[[#This Row],[is_fixed]],questions[[#This Row],[question]]=INDEX(stable[question],MATCH(questions[[#This Row],[qno]],stable[qno],0)),TRUE)</f>
        <v>1</v>
      </c>
      <c r="AP687" s="16" t="str">
        <f>LEFT(questions[[#This Row],[question]],similarity_range)</f>
        <v>How many kilograms o</v>
      </c>
      <c r="AQ687" s="16" t="str">
        <f>LEFT(INDEX(stable[question],MATCH(questions[[#This Row],[qno]],stable[qno],0)),similarity_range)</f>
        <v>How many kilograms o</v>
      </c>
      <c r="AR687" s="16" t="b">
        <f>questions[[#This Row],[question_first_characters]]=questions[[#This Row],[stability_first_characters]]</f>
        <v>1</v>
      </c>
      <c r="AS687" s="16" t="b">
        <f>IF(OR(questions[[#This Row],[is_single_select]],questions[[#This Row],[is_multi_select]]),NOT(ISBLANK(questions[[#This Row],[answer_opt_combined]])),TRUE)</f>
        <v>1</v>
      </c>
    </row>
    <row r="688" spans="1:45" ht="15.75" customHeight="1" x14ac:dyDescent="0.25">
      <c r="A688" s="33" t="str">
        <f>_xlfn.TEXTJOIN("_",TRUE,questions[[#This Row],[origin]:[qno]])</f>
        <v>Kenya_Arabica_Nestle_2024_3221</v>
      </c>
      <c r="B688" s="33" t="s">
        <v>818</v>
      </c>
      <c r="C688" s="33" t="s">
        <v>59</v>
      </c>
      <c r="D688" s="33" t="s">
        <v>819</v>
      </c>
      <c r="E688" s="33">
        <v>2024</v>
      </c>
      <c r="F688" s="41" t="s">
        <v>552</v>
      </c>
      <c r="G688" s="18" t="s">
        <v>835</v>
      </c>
      <c r="H688" s="33" t="str" cm="1">
        <f t="array" ref="H688">INDEX(stableR[question],MATCH(VALUE(questions[[#This Row],[qno]]),VALUE(stableR[qno]),0))</f>
        <v>What was the most common price per kilogram that you received for dried cherries harvested in the main season? (in local currency)</v>
      </c>
      <c r="I688" s="33" t="b" cm="1">
        <f t="array" ref="I688">INDEX(stable[is_fixed],MATCH(VALUE(questions[[#This Row],[qno]]),VALUE(stable[qno]),0))</f>
        <v>0</v>
      </c>
      <c r="J688" s="33" t="b" cm="1">
        <f t="array" ref="J688">INDEX(stable[is_localized],MATCH(VALUE(questions[[#This Row],[qno]]),VALUE(stable[qno]),0))</f>
        <v>0</v>
      </c>
      <c r="K688" s="33" t="b" cm="1">
        <f t="array" ref="K688">INDEX(stable[is_supply_chain_dependent],MATCH(VALUE(questions[[#This Row],[qno]]),VALUE(stable[qno]),0))</f>
        <v>1</v>
      </c>
      <c r="L688" s="33" t="b" cm="1">
        <f t="array" ref="L688">INDEX(stable[is_mandatory],MATCH(VALUE(questions[[#This Row],[qno]]),VALUE(stable[qno]),0))</f>
        <v>0</v>
      </c>
      <c r="M688" s="33" t="b" cm="1">
        <f t="array" ref="M688">INDEX(stable[is_automated],MATCH(VALUE(questions[[#This Row],[qno]]),VALUE(stable[qno]),0))</f>
        <v>0</v>
      </c>
      <c r="N688" s="33" t="b" cm="1">
        <f t="array" ref="N688">INDEX(stable[is_free_text],MATCH(VALUE(questions[[#This Row],[qno]]),VALUE(stable[qno]),0))</f>
        <v>0</v>
      </c>
      <c r="O688" s="33" t="b" cm="1">
        <f t="array" ref="O688">INDEX(stable[is_numerical],MATCH(VALUE(questions[[#This Row],[qno]]),VALUE(stable[qno]),0))</f>
        <v>1</v>
      </c>
      <c r="P688" s="33" t="b" cm="1">
        <f t="array" ref="P688">INDEX(stable[is_single_select],MATCH(VALUE(questions[[#This Row],[qno]]),VALUE(stable[qno]),0))</f>
        <v>0</v>
      </c>
      <c r="Q688" s="33" t="b" cm="1">
        <f t="array" ref="Q688">INDEX(stable[is_multi_select],MATCH(VALUE(questions[[#This Row],[qno]]),VALUE(stable[qno]),0))</f>
        <v>0</v>
      </c>
      <c r="R688" s="33" t="b" cm="1">
        <f t="array" ref="R688">INDEX(stable[is_skip_logic],MATCH(VALUE(questions[[#This Row],[qno]]),VALUE(stable[qno]),0))</f>
        <v>0</v>
      </c>
      <c r="S688" s="33" t="str">
        <f>_xlfn.TEXTJOIN(", ",TRUE,questions[[#This Row],[ans_opt_1]:[ans_opt_14]])</f>
        <v/>
      </c>
      <c r="T688" s="33"/>
      <c r="U688" s="33"/>
      <c r="V688" s="33"/>
      <c r="W688" s="33"/>
      <c r="X688" s="33"/>
      <c r="Y688" s="33"/>
      <c r="Z688" s="33"/>
      <c r="AA688" s="33"/>
      <c r="AB688" s="33"/>
      <c r="AC688" s="33"/>
      <c r="AD688" s="33"/>
      <c r="AE688" s="33"/>
      <c r="AF688" s="33"/>
      <c r="AG688" s="33"/>
      <c r="AH688" s="99" t="b">
        <f>INDEX(stable[q_standard],MATCH(questions[[#This Row],[qno]],stable[qno],0))</f>
        <v>0</v>
      </c>
      <c r="AI688" s="99" t="b">
        <f>INDEX(stable[q_living_income],MATCH(questions[[#This Row],[qno]],stable[qno],0))</f>
        <v>1</v>
      </c>
      <c r="AJ688" s="99" t="b">
        <f>INDEX(stable[q_carbon],MATCH(questions[[#This Row],[qno]],stable[qno],0))</f>
        <v>0</v>
      </c>
      <c r="AK688" s="99" t="b">
        <f>INDEX(stable[q_regen_ag],MATCH(questions[[#This Row],[qno]],stable[qno],0))</f>
        <v>0</v>
      </c>
      <c r="AL688" s="16" t="b">
        <f>COUNTIFS(stable[qno],questions[[#This Row],[qno]])=1</f>
        <v>1</v>
      </c>
      <c r="AM688" s="16" t="b">
        <f>OR(questions[[#This Row],[is_fixed]],questions[[#This Row],[is_localized]],questions[[#This Row],[is_supply_chain_dependent]])</f>
        <v>1</v>
      </c>
      <c r="AN688" s="16" t="b">
        <f>COUNTIFS(questions[[#This Row],[is_automated]:[is_multi_select]],TRUE)=1</f>
        <v>1</v>
      </c>
      <c r="AO688" s="16" t="b">
        <f>IF(questions[[#This Row],[is_fixed]],questions[[#This Row],[question]]=INDEX(stable[question],MATCH(questions[[#This Row],[qno]],stable[qno],0)),TRUE)</f>
        <v>1</v>
      </c>
      <c r="AP688" s="16" t="str">
        <f>LEFT(questions[[#This Row],[question]],similarity_range)</f>
        <v>What was the most co</v>
      </c>
      <c r="AQ688" s="16" t="str">
        <f>LEFT(INDEX(stable[question],MATCH(questions[[#This Row],[qno]],stable[qno],0)),similarity_range)</f>
        <v>What was the most co</v>
      </c>
      <c r="AR688" s="16" t="b">
        <f>questions[[#This Row],[question_first_characters]]=questions[[#This Row],[stability_first_characters]]</f>
        <v>1</v>
      </c>
      <c r="AS688" s="16" t="b">
        <f>IF(OR(questions[[#This Row],[is_single_select]],questions[[#This Row],[is_multi_select]]),NOT(ISBLANK(questions[[#This Row],[answer_opt_combined]])),TRUE)</f>
        <v>1</v>
      </c>
    </row>
    <row r="689" spans="1:45" ht="15.75" customHeight="1" x14ac:dyDescent="0.25">
      <c r="A689" s="33" t="str">
        <f>_xlfn.TEXTJOIN("_",TRUE,questions[[#This Row],[origin]:[qno]])</f>
        <v>Kenya_Arabica_Nestle_2024_4000</v>
      </c>
      <c r="B689" s="33" t="s">
        <v>818</v>
      </c>
      <c r="C689" s="33" t="s">
        <v>59</v>
      </c>
      <c r="D689" s="33" t="s">
        <v>819</v>
      </c>
      <c r="E689" s="33">
        <v>2024</v>
      </c>
      <c r="F689" s="41" t="s">
        <v>143</v>
      </c>
      <c r="G689" s="18" t="s">
        <v>144</v>
      </c>
      <c r="H689" s="33" t="str" cm="1">
        <f t="array" ref="H689">INDEX(stableR[question],MATCH(VALUE(questions[[#This Row],[qno]]),VALUE(stableR[qno]),0))</f>
        <v>About how many coffee trees do you have across all your coffee plots combined?</v>
      </c>
      <c r="I689" s="33" t="b" cm="1">
        <f t="array" ref="I689">INDEX(stable[is_fixed],MATCH(VALUE(questions[[#This Row],[qno]]),VALUE(stable[qno]),0))</f>
        <v>1</v>
      </c>
      <c r="J689" s="33" t="b" cm="1">
        <f t="array" ref="J689">INDEX(stable[is_localized],MATCH(VALUE(questions[[#This Row],[qno]]),VALUE(stable[qno]),0))</f>
        <v>0</v>
      </c>
      <c r="K689" s="33" t="b" cm="1">
        <f t="array" ref="K689">INDEX(stable[is_supply_chain_dependent],MATCH(VALUE(questions[[#This Row],[qno]]),VALUE(stable[qno]),0))</f>
        <v>0</v>
      </c>
      <c r="L689" s="33" t="b" cm="1">
        <f t="array" ref="L689">INDEX(stable[is_mandatory],MATCH(VALUE(questions[[#This Row],[qno]]),VALUE(stable[qno]),0))</f>
        <v>1</v>
      </c>
      <c r="M689" s="33" t="b" cm="1">
        <f t="array" ref="M689">INDEX(stable[is_automated],MATCH(VALUE(questions[[#This Row],[qno]]),VALUE(stable[qno]),0))</f>
        <v>0</v>
      </c>
      <c r="N689" s="33" t="b" cm="1">
        <f t="array" ref="N689">INDEX(stable[is_free_text],MATCH(VALUE(questions[[#This Row],[qno]]),VALUE(stable[qno]),0))</f>
        <v>0</v>
      </c>
      <c r="O689" s="33" t="b" cm="1">
        <f t="array" ref="O689">INDEX(stable[is_numerical],MATCH(VALUE(questions[[#This Row],[qno]]),VALUE(stable[qno]),0))</f>
        <v>1</v>
      </c>
      <c r="P689" s="33" t="b" cm="1">
        <f t="array" ref="P689">INDEX(stable[is_single_select],MATCH(VALUE(questions[[#This Row],[qno]]),VALUE(stable[qno]),0))</f>
        <v>0</v>
      </c>
      <c r="Q689" s="33" t="b" cm="1">
        <f t="array" ref="Q689">INDEX(stable[is_multi_select],MATCH(VALUE(questions[[#This Row],[qno]]),VALUE(stable[qno]),0))</f>
        <v>0</v>
      </c>
      <c r="R689" s="33" t="b" cm="1">
        <f t="array" ref="R689">INDEX(stable[is_skip_logic],MATCH(VALUE(questions[[#This Row],[qno]]),VALUE(stable[qno]),0))</f>
        <v>0</v>
      </c>
      <c r="S689" s="33" t="str">
        <f>_xlfn.TEXTJOIN(", ",TRUE,questions[[#This Row],[ans_opt_1]:[ans_opt_14]])</f>
        <v/>
      </c>
      <c r="T689" s="33"/>
      <c r="U689" s="33"/>
      <c r="V689" s="33"/>
      <c r="W689" s="33"/>
      <c r="X689" s="33"/>
      <c r="Y689" s="33"/>
      <c r="Z689" s="33"/>
      <c r="AA689" s="33"/>
      <c r="AB689" s="33"/>
      <c r="AC689" s="33"/>
      <c r="AD689" s="33"/>
      <c r="AE689" s="33"/>
      <c r="AF689" s="33"/>
      <c r="AG689" s="33"/>
      <c r="AH689" s="99" t="b">
        <f>INDEX(stable[q_standard],MATCH(questions[[#This Row],[qno]],stable[qno],0))</f>
        <v>0</v>
      </c>
      <c r="AI689" s="99" t="b">
        <f>INDEX(stable[q_living_income],MATCH(questions[[#This Row],[qno]],stable[qno],0))</f>
        <v>1</v>
      </c>
      <c r="AJ689" s="99" t="b">
        <f>INDEX(stable[q_carbon],MATCH(questions[[#This Row],[qno]],stable[qno],0))</f>
        <v>1</v>
      </c>
      <c r="AK689" s="99" t="b">
        <f>INDEX(stable[q_regen_ag],MATCH(questions[[#This Row],[qno]],stable[qno],0))</f>
        <v>1</v>
      </c>
      <c r="AL689" s="16" t="b">
        <f>COUNTIFS(stable[qno],questions[[#This Row],[qno]])=1</f>
        <v>1</v>
      </c>
      <c r="AM689" s="16" t="b">
        <f>OR(questions[[#This Row],[is_fixed]],questions[[#This Row],[is_localized]],questions[[#This Row],[is_supply_chain_dependent]])</f>
        <v>1</v>
      </c>
      <c r="AN689" s="16" t="b">
        <f>COUNTIFS(questions[[#This Row],[is_automated]:[is_multi_select]],TRUE)=1</f>
        <v>1</v>
      </c>
      <c r="AO689" s="16" t="b">
        <f>IF(questions[[#This Row],[is_fixed]],questions[[#This Row],[question]]=INDEX(stable[question],MATCH(questions[[#This Row],[qno]],stable[qno],0)),TRUE)</f>
        <v>1</v>
      </c>
      <c r="AP689" s="16" t="str">
        <f>LEFT(questions[[#This Row],[question]],similarity_range)</f>
        <v>Can you estimate how</v>
      </c>
      <c r="AQ689" s="16" t="str">
        <f>LEFT(INDEX(stable[question],MATCH(questions[[#This Row],[qno]],stable[qno],0)),similarity_range)</f>
        <v>Can you estimate how</v>
      </c>
      <c r="AR689" s="16" t="b">
        <f>questions[[#This Row],[question_first_characters]]=questions[[#This Row],[stability_first_characters]]</f>
        <v>1</v>
      </c>
      <c r="AS689" s="16" t="b">
        <f>IF(OR(questions[[#This Row],[is_single_select]],questions[[#This Row],[is_multi_select]]),NOT(ISBLANK(questions[[#This Row],[answer_opt_combined]])),TRUE)</f>
        <v>1</v>
      </c>
    </row>
    <row r="690" spans="1:45" ht="15.75" customHeight="1" x14ac:dyDescent="0.25">
      <c r="A690" s="33" t="str">
        <f>_xlfn.TEXTJOIN("_",TRUE,questions[[#This Row],[origin]:[qno]])</f>
        <v>Kenya_Arabica_Nestle_2024_4100</v>
      </c>
      <c r="B690" s="33" t="s">
        <v>818</v>
      </c>
      <c r="C690" s="33" t="s">
        <v>59</v>
      </c>
      <c r="D690" s="33" t="s">
        <v>819</v>
      </c>
      <c r="E690" s="33">
        <v>2024</v>
      </c>
      <c r="F690" s="41" t="s">
        <v>145</v>
      </c>
      <c r="G690" s="18" t="s">
        <v>146</v>
      </c>
      <c r="H690" s="33" t="str" cm="1">
        <f t="array" ref="H690">INDEX(stableR[question],MATCH(VALUE(questions[[#This Row],[qno]]),VALUE(stableR[qno]),0))</f>
        <v>In total, how many plots with coffee do you have?</v>
      </c>
      <c r="I690" s="33" t="b" cm="1">
        <f t="array" ref="I690">INDEX(stable[is_fixed],MATCH(VALUE(questions[[#This Row],[qno]]),VALUE(stable[qno]),0))</f>
        <v>1</v>
      </c>
      <c r="J690" s="33" t="b" cm="1">
        <f t="array" ref="J690">INDEX(stable[is_localized],MATCH(VALUE(questions[[#This Row],[qno]]),VALUE(stable[qno]),0))</f>
        <v>0</v>
      </c>
      <c r="K690" s="33" t="b" cm="1">
        <f t="array" ref="K690">INDEX(stable[is_supply_chain_dependent],MATCH(VALUE(questions[[#This Row],[qno]]),VALUE(stable[qno]),0))</f>
        <v>0</v>
      </c>
      <c r="L690" s="33" t="b" cm="1">
        <f t="array" ref="L690">INDEX(stable[is_mandatory],MATCH(VALUE(questions[[#This Row],[qno]]),VALUE(stable[qno]),0))</f>
        <v>1</v>
      </c>
      <c r="M690" s="33" t="b" cm="1">
        <f t="array" ref="M690">INDEX(stable[is_automated],MATCH(VALUE(questions[[#This Row],[qno]]),VALUE(stable[qno]),0))</f>
        <v>0</v>
      </c>
      <c r="N690" s="33" t="b" cm="1">
        <f t="array" ref="N690">INDEX(stable[is_free_text],MATCH(VALUE(questions[[#This Row],[qno]]),VALUE(stable[qno]),0))</f>
        <v>0</v>
      </c>
      <c r="O690" s="33" t="b" cm="1">
        <f t="array" ref="O690">INDEX(stable[is_numerical],MATCH(VALUE(questions[[#This Row],[qno]]),VALUE(stable[qno]),0))</f>
        <v>1</v>
      </c>
      <c r="P690" s="33" t="b" cm="1">
        <f t="array" ref="P690">INDEX(stable[is_single_select],MATCH(VALUE(questions[[#This Row],[qno]]),VALUE(stable[qno]),0))</f>
        <v>0</v>
      </c>
      <c r="Q690" s="33" t="b" cm="1">
        <f t="array" ref="Q690">INDEX(stable[is_multi_select],MATCH(VALUE(questions[[#This Row],[qno]]),VALUE(stable[qno]),0))</f>
        <v>0</v>
      </c>
      <c r="R690" s="33" t="b" cm="1">
        <f t="array" ref="R690">INDEX(stable[is_skip_logic],MATCH(VALUE(questions[[#This Row],[qno]]),VALUE(stable[qno]),0))</f>
        <v>0</v>
      </c>
      <c r="S690" s="33" t="str">
        <f>_xlfn.TEXTJOIN(", ",TRUE,questions[[#This Row],[ans_opt_1]:[ans_opt_14]])</f>
        <v/>
      </c>
      <c r="T690" s="33"/>
      <c r="U690" s="33"/>
      <c r="V690" s="33"/>
      <c r="W690" s="33"/>
      <c r="X690" s="33"/>
      <c r="Y690" s="33"/>
      <c r="Z690" s="33"/>
      <c r="AA690" s="33"/>
      <c r="AB690" s="33"/>
      <c r="AC690" s="33"/>
      <c r="AD690" s="33"/>
      <c r="AE690" s="33"/>
      <c r="AF690" s="33"/>
      <c r="AG690" s="33"/>
      <c r="AH690" s="99" t="b">
        <f>INDEX(stable[q_standard],MATCH(questions[[#This Row],[qno]],stable[qno],0))</f>
        <v>0</v>
      </c>
      <c r="AI690" s="99" t="b">
        <f>INDEX(stable[q_living_income],MATCH(questions[[#This Row],[qno]],stable[qno],0))</f>
        <v>1</v>
      </c>
      <c r="AJ690" s="99" t="b">
        <f>INDEX(stable[q_carbon],MATCH(questions[[#This Row],[qno]],stable[qno],0))</f>
        <v>1</v>
      </c>
      <c r="AK690" s="99" t="b">
        <f>INDEX(stable[q_regen_ag],MATCH(questions[[#This Row],[qno]],stable[qno],0))</f>
        <v>1</v>
      </c>
      <c r="AL690" s="16" t="b">
        <f>COUNTIFS(stable[qno],questions[[#This Row],[qno]])=1</f>
        <v>1</v>
      </c>
      <c r="AM690" s="16" t="b">
        <f>OR(questions[[#This Row],[is_fixed]],questions[[#This Row],[is_localized]],questions[[#This Row],[is_supply_chain_dependent]])</f>
        <v>1</v>
      </c>
      <c r="AN690" s="16" t="b">
        <f>COUNTIFS(questions[[#This Row],[is_automated]:[is_multi_select]],TRUE)=1</f>
        <v>1</v>
      </c>
      <c r="AO690" s="16" t="b">
        <f>IF(questions[[#This Row],[is_fixed]],questions[[#This Row],[question]]=INDEX(stable[question],MATCH(questions[[#This Row],[qno]],stable[qno],0)),TRUE)</f>
        <v>1</v>
      </c>
      <c r="AP690" s="16" t="str">
        <f>LEFT(questions[[#This Row],[question]],similarity_range)</f>
        <v>In total, how many p</v>
      </c>
      <c r="AQ690" s="16" t="str">
        <f>LEFT(INDEX(stable[question],MATCH(questions[[#This Row],[qno]],stable[qno],0)),similarity_range)</f>
        <v>In total, how many p</v>
      </c>
      <c r="AR690" s="16" t="b">
        <f>questions[[#This Row],[question_first_characters]]=questions[[#This Row],[stability_first_characters]]</f>
        <v>1</v>
      </c>
      <c r="AS690" s="16" t="b">
        <f>IF(OR(questions[[#This Row],[is_single_select]],questions[[#This Row],[is_multi_select]]),NOT(ISBLANK(questions[[#This Row],[answer_opt_combined]])),TRUE)</f>
        <v>1</v>
      </c>
    </row>
    <row r="691" spans="1:45" s="77" customFormat="1" ht="15.75" customHeight="1" x14ac:dyDescent="0.25">
      <c r="A691" s="77" t="str">
        <f>_xlfn.TEXTJOIN("_",TRUE,questions[[#This Row],[origin]:[qno]])</f>
        <v>Kenya_Arabica_Nestle_2024_4101</v>
      </c>
      <c r="B691" s="77" t="s">
        <v>818</v>
      </c>
      <c r="C691" s="77" t="s">
        <v>59</v>
      </c>
      <c r="D691" s="77" t="s">
        <v>819</v>
      </c>
      <c r="E691" s="77">
        <v>2024</v>
      </c>
      <c r="F691" s="105" t="s">
        <v>147</v>
      </c>
      <c r="G691" s="78" t="s">
        <v>734</v>
      </c>
      <c r="H691" s="33" t="str" cm="1">
        <f t="array" ref="H691">INDEX(stableR[question],MATCH(VALUE(questions[[#This Row],[qno]]),VALUE(stableR[qno]),0))</f>
        <v>Can we go to measure/polygon map (area audit) each of these plots?</v>
      </c>
      <c r="I691" s="33" t="b" cm="1">
        <f t="array" ref="I691">INDEX(stable[is_fixed],MATCH(VALUE(questions[[#This Row],[qno]]),VALUE(stable[qno]),0))</f>
        <v>1</v>
      </c>
      <c r="J691" s="33" t="b" cm="1">
        <f t="array" ref="J691">INDEX(stable[is_localized],MATCH(VALUE(questions[[#This Row],[qno]]),VALUE(stable[qno]),0))</f>
        <v>0</v>
      </c>
      <c r="K691" s="33" t="b" cm="1">
        <f t="array" ref="K691">INDEX(stable[is_supply_chain_dependent],MATCH(VALUE(questions[[#This Row],[qno]]),VALUE(stable[qno]),0))</f>
        <v>0</v>
      </c>
      <c r="L691" s="33" t="b" cm="1">
        <f t="array" ref="L691">INDEX(stable[is_mandatory],MATCH(VALUE(questions[[#This Row],[qno]]),VALUE(stable[qno]),0))</f>
        <v>1</v>
      </c>
      <c r="M691" s="33" t="b" cm="1">
        <f t="array" ref="M691">INDEX(stable[is_automated],MATCH(VALUE(questions[[#This Row],[qno]]),VALUE(stable[qno]),0))</f>
        <v>0</v>
      </c>
      <c r="N691" s="33" t="b" cm="1">
        <f t="array" ref="N691">INDEX(stable[is_free_text],MATCH(VALUE(questions[[#This Row],[qno]]),VALUE(stable[qno]),0))</f>
        <v>0</v>
      </c>
      <c r="O691" s="33" t="b" cm="1">
        <f t="array" ref="O691">INDEX(stable[is_numerical],MATCH(VALUE(questions[[#This Row],[qno]]),VALUE(stable[qno]),0))</f>
        <v>0</v>
      </c>
      <c r="P691" s="77" t="b" cm="1">
        <f t="array" ref="P691">INDEX(stable[is_single_select],MATCH(VALUE(questions[[#This Row],[qno]]),VALUE(stable[qno]),0))</f>
        <v>1</v>
      </c>
      <c r="Q691" s="77" t="b" cm="1">
        <f t="array" ref="Q691">INDEX(stable[is_multi_select],MATCH(VALUE(questions[[#This Row],[qno]]),VALUE(stable[qno]),0))</f>
        <v>0</v>
      </c>
      <c r="R691" s="77" t="b" cm="1">
        <f t="array" ref="R691">INDEX(stable[is_skip_logic],MATCH(VALUE(questions[[#This Row],[qno]]),VALUE(stable[qno]),0))</f>
        <v>1</v>
      </c>
      <c r="S691" s="77" t="str">
        <f>_xlfn.TEXTJOIN(", ",TRUE,questions[[#This Row],[ans_opt_1]:[ans_opt_14]])</f>
        <v>Yes, No</v>
      </c>
      <c r="T691" s="77" t="s">
        <v>149</v>
      </c>
      <c r="U691" s="77" t="s">
        <v>119</v>
      </c>
      <c r="AH691" s="98" t="b">
        <f>INDEX(stable[q_standard],MATCH(questions[[#This Row],[qno]],stable[qno],0))</f>
        <v>0</v>
      </c>
      <c r="AI691" s="98" t="b">
        <f>INDEX(stable[q_living_income],MATCH(questions[[#This Row],[qno]],stable[qno],0))</f>
        <v>1</v>
      </c>
      <c r="AJ691" s="98" t="b">
        <f>INDEX(stable[q_carbon],MATCH(questions[[#This Row],[qno]],stable[qno],0))</f>
        <v>1</v>
      </c>
      <c r="AK691" s="98" t="b">
        <f>INDEX(stable[q_regen_ag],MATCH(questions[[#This Row],[qno]],stable[qno],0))</f>
        <v>1</v>
      </c>
      <c r="AL691" s="98" t="b">
        <f>COUNTIFS(stable[qno],questions[[#This Row],[qno]])=1</f>
        <v>1</v>
      </c>
      <c r="AM691" s="98" t="b">
        <f>OR(questions[[#This Row],[is_fixed]],questions[[#This Row],[is_localized]],questions[[#This Row],[is_supply_chain_dependent]])</f>
        <v>1</v>
      </c>
      <c r="AN691" s="98" t="b">
        <f>COUNTIFS(questions[[#This Row],[is_automated]:[is_multi_select]],TRUE)=1</f>
        <v>1</v>
      </c>
      <c r="AO691" s="98" t="b">
        <f>IF(questions[[#This Row],[is_fixed]],questions[[#This Row],[question]]=INDEX(stable[question],MATCH(questions[[#This Row],[qno]],stable[qno],0)),TRUE)</f>
        <v>0</v>
      </c>
      <c r="AP691" s="98" t="str">
        <f>LEFT(questions[[#This Row],[question]],similarity_range)</f>
        <v>Can we go to measure</v>
      </c>
      <c r="AQ691" s="98" t="str">
        <f>LEFT(INDEX(stable[question],MATCH(questions[[#This Row],[qno]],stable[qno],0)),similarity_range)</f>
        <v>Can we go to measure</v>
      </c>
      <c r="AR691" s="98" t="b">
        <f>questions[[#This Row],[question_first_characters]]=questions[[#This Row],[stability_first_characters]]</f>
        <v>1</v>
      </c>
      <c r="AS691" s="98" t="b">
        <f>IF(OR(questions[[#This Row],[is_single_select]],questions[[#This Row],[is_multi_select]]),NOT(ISBLANK(questions[[#This Row],[answer_opt_combined]])),TRUE)</f>
        <v>1</v>
      </c>
    </row>
    <row r="692" spans="1:45" s="77" customFormat="1" ht="15.75" customHeight="1" x14ac:dyDescent="0.25">
      <c r="A692" s="77" t="str">
        <f>_xlfn.TEXTJOIN("_",TRUE,questions[[#This Row],[origin]:[qno]])</f>
        <v>Kenya_Arabica_Nestle_2024_4102</v>
      </c>
      <c r="B692" s="77" t="s">
        <v>818</v>
      </c>
      <c r="C692" s="77" t="s">
        <v>59</v>
      </c>
      <c r="D692" s="77" t="s">
        <v>819</v>
      </c>
      <c r="E692" s="77">
        <v>2024</v>
      </c>
      <c r="F692" s="105" t="s">
        <v>150</v>
      </c>
      <c r="G692" s="78" t="s">
        <v>151</v>
      </c>
      <c r="H692" s="33" t="str" cm="1">
        <f t="array" ref="H692">INDEX(stableR[question],MATCH(VALUE(questions[[#This Row],[qno]]),VALUE(stableR[qno]),0))</f>
        <v>If No, what is the reason why we cannot visit this/these plot (s) to measure/polygon map it/them?</v>
      </c>
      <c r="I692" s="33" t="b" cm="1">
        <f t="array" ref="I692">INDEX(stable[is_fixed],MATCH(VALUE(questions[[#This Row],[qno]]),VALUE(stable[qno]),0))</f>
        <v>1</v>
      </c>
      <c r="J692" s="33" t="b" cm="1">
        <f t="array" ref="J692">INDEX(stable[is_localized],MATCH(VALUE(questions[[#This Row],[qno]]),VALUE(stable[qno]),0))</f>
        <v>0</v>
      </c>
      <c r="K692" s="33" t="b" cm="1">
        <f t="array" ref="K692">INDEX(stable[is_supply_chain_dependent],MATCH(VALUE(questions[[#This Row],[qno]]),VALUE(stable[qno]),0))</f>
        <v>0</v>
      </c>
      <c r="L692" s="33" t="b" cm="1">
        <f t="array" ref="L692">INDEX(stable[is_mandatory],MATCH(VALUE(questions[[#This Row],[qno]]),VALUE(stable[qno]),0))</f>
        <v>0</v>
      </c>
      <c r="M692" s="33" t="b" cm="1">
        <f t="array" ref="M692">INDEX(stable[is_automated],MATCH(VALUE(questions[[#This Row],[qno]]),VALUE(stable[qno]),0))</f>
        <v>0</v>
      </c>
      <c r="N692" s="33" t="b" cm="1">
        <f t="array" ref="N692">INDEX(stable[is_free_text],MATCH(VALUE(questions[[#This Row],[qno]]),VALUE(stable[qno]),0))</f>
        <v>0</v>
      </c>
      <c r="O692" s="33" t="b" cm="1">
        <f t="array" ref="O692">INDEX(stable[is_numerical],MATCH(VALUE(questions[[#This Row],[qno]]),VALUE(stable[qno]),0))</f>
        <v>0</v>
      </c>
      <c r="P692" s="77" t="b" cm="1">
        <f t="array" ref="P692">INDEX(stable[is_single_select],MATCH(VALUE(questions[[#This Row],[qno]]),VALUE(stable[qno]),0))</f>
        <v>1</v>
      </c>
      <c r="Q692" s="77" t="b" cm="1">
        <f t="array" ref="Q692">INDEX(stable[is_multi_select],MATCH(VALUE(questions[[#This Row],[qno]]),VALUE(stable[qno]),0))</f>
        <v>0</v>
      </c>
      <c r="R692" s="77" t="b" cm="1">
        <f t="array" ref="R692">INDEX(stable[is_skip_logic],MATCH(VALUE(questions[[#This Row],[qno]]),VALUE(stable[qno]),0))</f>
        <v>1</v>
      </c>
      <c r="S692" s="77" t="str">
        <f>_xlfn.TEXTJOIN(", ",TRUE,questions[[#This Row],[ans_opt_1]:[ans_opt_14]])</f>
        <v>No, Yes - too far, Yes - farmer not willing, Yes - other reason</v>
      </c>
      <c r="T692" s="77" t="s">
        <v>119</v>
      </c>
      <c r="U692" s="77" t="s">
        <v>735</v>
      </c>
      <c r="V692" s="77" t="s">
        <v>736</v>
      </c>
      <c r="W692" s="77" t="s">
        <v>737</v>
      </c>
      <c r="AH692" s="98" t="b">
        <f>INDEX(stable[q_standard],MATCH(questions[[#This Row],[qno]],stable[qno],0))</f>
        <v>0</v>
      </c>
      <c r="AI692" s="98" t="b">
        <f>INDEX(stable[q_living_income],MATCH(questions[[#This Row],[qno]],stable[qno],0))</f>
        <v>1</v>
      </c>
      <c r="AJ692" s="98" t="b">
        <f>INDEX(stable[q_carbon],MATCH(questions[[#This Row],[qno]],stable[qno],0))</f>
        <v>1</v>
      </c>
      <c r="AK692" s="98" t="b">
        <f>INDEX(stable[q_regen_ag],MATCH(questions[[#This Row],[qno]],stable[qno],0))</f>
        <v>1</v>
      </c>
      <c r="AL692" s="98" t="b">
        <f>COUNTIFS(stable[qno],questions[[#This Row],[qno]])=1</f>
        <v>1</v>
      </c>
      <c r="AM692" s="98" t="b">
        <f>OR(questions[[#This Row],[is_fixed]],questions[[#This Row],[is_localized]],questions[[#This Row],[is_supply_chain_dependent]])</f>
        <v>1</v>
      </c>
      <c r="AN692" s="98" t="b">
        <f>COUNTIFS(questions[[#This Row],[is_automated]:[is_multi_select]],TRUE)=1</f>
        <v>1</v>
      </c>
      <c r="AO692" s="98" t="b">
        <f>IF(questions[[#This Row],[is_fixed]],questions[[#This Row],[question]]=INDEX(stable[question],MATCH(questions[[#This Row],[qno]],stable[qno],0)),TRUE)</f>
        <v>1</v>
      </c>
      <c r="AP692" s="98" t="str">
        <f>LEFT(questions[[#This Row],[question]],similarity_range)</f>
        <v>If no, what is the r</v>
      </c>
      <c r="AQ692" s="98" t="str">
        <f>LEFT(INDEX(stable[question],MATCH(questions[[#This Row],[qno]],stable[qno],0)),similarity_range)</f>
        <v>If no, what is the r</v>
      </c>
      <c r="AR692" s="98" t="b">
        <f>questions[[#This Row],[question_first_characters]]=questions[[#This Row],[stability_first_characters]]</f>
        <v>1</v>
      </c>
      <c r="AS692" s="98" t="b">
        <f>IF(OR(questions[[#This Row],[is_single_select]],questions[[#This Row],[is_multi_select]]),NOT(ISBLANK(questions[[#This Row],[answer_opt_combined]])),TRUE)</f>
        <v>1</v>
      </c>
    </row>
    <row r="693" spans="1:45" ht="15.75" customHeight="1" x14ac:dyDescent="0.25">
      <c r="A693" s="33" t="str">
        <f>_xlfn.TEXTJOIN("_",TRUE,questions[[#This Row],[origin]:[qno]])</f>
        <v>Kenya_Arabica_Nestle_2024_4103</v>
      </c>
      <c r="B693" s="33" t="s">
        <v>818</v>
      </c>
      <c r="C693" s="33" t="s">
        <v>59</v>
      </c>
      <c r="D693" s="33" t="s">
        <v>819</v>
      </c>
      <c r="E693" s="33">
        <v>2024</v>
      </c>
      <c r="F693" s="41" t="s">
        <v>155</v>
      </c>
      <c r="G693" s="18" t="str">
        <f>INDEX(stable[question],MATCH(questions[[#This Row],[qno]],stable[qno],0))</f>
        <v>How many coffee plots are there that we can not visit, of the total coffee plots that you have?</v>
      </c>
      <c r="H693" s="33" t="str" cm="1">
        <f t="array" ref="H693">INDEX(stableR[question],MATCH(VALUE(questions[[#This Row],[qno]]),VALUE(stableR[qno]),0))</f>
        <v>Of your total coffee plots, how many cannot be visited during the survey?</v>
      </c>
      <c r="I693" s="33" t="b" cm="1">
        <f t="array" ref="I693">INDEX(stable[is_fixed],MATCH(VALUE(questions[[#This Row],[qno]]),VALUE(stable[qno]),0))</f>
        <v>1</v>
      </c>
      <c r="J693" s="33" t="b" cm="1">
        <f t="array" ref="J693">INDEX(stable[is_localized],MATCH(VALUE(questions[[#This Row],[qno]]),VALUE(stable[qno]),0))</f>
        <v>0</v>
      </c>
      <c r="K693" s="33" t="b" cm="1">
        <f t="array" ref="K693">INDEX(stable[is_supply_chain_dependent],MATCH(VALUE(questions[[#This Row],[qno]]),VALUE(stable[qno]),0))</f>
        <v>0</v>
      </c>
      <c r="L693" s="33" t="b" cm="1">
        <f t="array" ref="L693">INDEX(stable[is_mandatory],MATCH(VALUE(questions[[#This Row],[qno]]),VALUE(stable[qno]),0))</f>
        <v>0</v>
      </c>
      <c r="M693" s="33" t="b" cm="1">
        <f t="array" ref="M693">INDEX(stable[is_automated],MATCH(VALUE(questions[[#This Row],[qno]]),VALUE(stable[qno]),0))</f>
        <v>0</v>
      </c>
      <c r="N693" s="33" t="b" cm="1">
        <f t="array" ref="N693">INDEX(stable[is_free_text],MATCH(VALUE(questions[[#This Row],[qno]]),VALUE(stable[qno]),0))</f>
        <v>0</v>
      </c>
      <c r="O693" s="33" t="b" cm="1">
        <f t="array" ref="O693">INDEX(stable[is_numerical],MATCH(VALUE(questions[[#This Row],[qno]]),VALUE(stable[qno]),0))</f>
        <v>1</v>
      </c>
      <c r="P693" s="33" t="b" cm="1">
        <f t="array" ref="P693">INDEX(stable[is_single_select],MATCH(VALUE(questions[[#This Row],[qno]]),VALUE(stable[qno]),0))</f>
        <v>0</v>
      </c>
      <c r="Q693" s="33" t="b" cm="1">
        <f t="array" ref="Q693">INDEX(stable[is_multi_select],MATCH(VALUE(questions[[#This Row],[qno]]),VALUE(stable[qno]),0))</f>
        <v>0</v>
      </c>
      <c r="R693" s="33" t="b" cm="1">
        <f t="array" ref="R693">INDEX(stable[is_skip_logic],MATCH(VALUE(questions[[#This Row],[qno]]),VALUE(stable[qno]),0))</f>
        <v>0</v>
      </c>
      <c r="S693" s="33" t="str">
        <f>_xlfn.TEXTJOIN(", ",TRUE,questions[[#This Row],[ans_opt_1]:[ans_opt_14]])</f>
        <v/>
      </c>
      <c r="T693" s="33"/>
      <c r="U693" s="33"/>
      <c r="V693" s="33"/>
      <c r="W693" s="33"/>
      <c r="X693" s="33"/>
      <c r="Y693" s="33"/>
      <c r="Z693" s="33"/>
      <c r="AA693" s="33"/>
      <c r="AB693" s="33"/>
      <c r="AC693" s="33"/>
      <c r="AD693" s="33"/>
      <c r="AE693" s="33"/>
      <c r="AF693" s="33"/>
      <c r="AG693" s="33"/>
      <c r="AH693" s="99" t="b">
        <f>INDEX(stable[q_standard],MATCH(questions[[#This Row],[qno]],stable[qno],0))</f>
        <v>0</v>
      </c>
      <c r="AI693" s="99" t="b">
        <f>INDEX(stable[q_living_income],MATCH(questions[[#This Row],[qno]],stable[qno],0))</f>
        <v>1</v>
      </c>
      <c r="AJ693" s="99" t="b">
        <f>INDEX(stable[q_carbon],MATCH(questions[[#This Row],[qno]],stable[qno],0))</f>
        <v>1</v>
      </c>
      <c r="AK693" s="99" t="b">
        <f>INDEX(stable[q_regen_ag],MATCH(questions[[#This Row],[qno]],stable[qno],0))</f>
        <v>1</v>
      </c>
      <c r="AL693" s="16" t="b">
        <f>COUNTIFS(stable[qno],questions[[#This Row],[qno]])=1</f>
        <v>1</v>
      </c>
      <c r="AM693" s="16" t="b">
        <f>OR(questions[[#This Row],[is_fixed]],questions[[#This Row],[is_localized]],questions[[#This Row],[is_supply_chain_dependent]])</f>
        <v>1</v>
      </c>
      <c r="AN693" s="16" t="b">
        <f>COUNTIFS(questions[[#This Row],[is_automated]:[is_multi_select]],TRUE)=1</f>
        <v>1</v>
      </c>
      <c r="AO693" s="16" t="b">
        <f>IF(questions[[#This Row],[is_fixed]],questions[[#This Row],[question]]=INDEX(stable[question],MATCH(questions[[#This Row],[qno]],stable[qno],0)),TRUE)</f>
        <v>1</v>
      </c>
      <c r="AP693" s="16" t="str">
        <f>LEFT(questions[[#This Row],[question]],similarity_range)</f>
        <v>How many coffee plot</v>
      </c>
      <c r="AQ693" s="16" t="str">
        <f>LEFT(INDEX(stable[question],MATCH(questions[[#This Row],[qno]],stable[qno],0)),similarity_range)</f>
        <v>How many coffee plot</v>
      </c>
      <c r="AR693" s="16" t="b">
        <f>questions[[#This Row],[question_first_characters]]=questions[[#This Row],[stability_first_characters]]</f>
        <v>1</v>
      </c>
      <c r="AS693" s="16" t="b">
        <f>IF(OR(questions[[#This Row],[is_single_select]],questions[[#This Row],[is_multi_select]]),NOT(ISBLANK(questions[[#This Row],[answer_opt_combined]])),TRUE)</f>
        <v>1</v>
      </c>
    </row>
    <row r="694" spans="1:45" ht="15.75" customHeight="1" x14ac:dyDescent="0.25">
      <c r="A694" s="33" t="str">
        <f>_xlfn.TEXTJOIN("_",TRUE,questions[[#This Row],[origin]:[qno]])</f>
        <v>Kenya_Arabica_Nestle_2024_4104</v>
      </c>
      <c r="B694" s="33" t="s">
        <v>818</v>
      </c>
      <c r="C694" s="33" t="s">
        <v>59</v>
      </c>
      <c r="D694" s="33" t="s">
        <v>819</v>
      </c>
      <c r="E694" s="33">
        <v>2024</v>
      </c>
      <c r="F694" s="41" t="s">
        <v>157</v>
      </c>
      <c r="G694" s="33" t="s">
        <v>158</v>
      </c>
      <c r="H694" s="33" t="str" cm="1">
        <f t="array" ref="H694">INDEX(stableR[question],MATCH(VALUE(questions[[#This Row],[qno]]),VALUE(stableR[qno]),0))</f>
        <v>Of the coffee plots that cannot be visited, what is the total area of these plots? (in acres)</v>
      </c>
      <c r="I694" s="33" t="b" cm="1">
        <f t="array" ref="I694">INDEX(stable[is_fixed],MATCH(VALUE(questions[[#This Row],[qno]]),VALUE(stable[qno]),0))</f>
        <v>1</v>
      </c>
      <c r="J694" s="33" t="b" cm="1">
        <f t="array" ref="J694">INDEX(stable[is_localized],MATCH(VALUE(questions[[#This Row],[qno]]),VALUE(stable[qno]),0))</f>
        <v>0</v>
      </c>
      <c r="K694" s="33" t="b" cm="1">
        <f t="array" ref="K694">INDEX(stable[is_supply_chain_dependent],MATCH(VALUE(questions[[#This Row],[qno]]),VALUE(stable[qno]),0))</f>
        <v>0</v>
      </c>
      <c r="L694" s="33" t="b" cm="1">
        <f t="array" ref="L694">INDEX(stable[is_mandatory],MATCH(VALUE(questions[[#This Row],[qno]]),VALUE(stable[qno]),0))</f>
        <v>0</v>
      </c>
      <c r="M694" s="33" t="b" cm="1">
        <f t="array" ref="M694">INDEX(stable[is_automated],MATCH(VALUE(questions[[#This Row],[qno]]),VALUE(stable[qno]),0))</f>
        <v>0</v>
      </c>
      <c r="N694" s="33" t="b" cm="1">
        <f t="array" ref="N694">INDEX(stable[is_free_text],MATCH(VALUE(questions[[#This Row],[qno]]),VALUE(stable[qno]),0))</f>
        <v>0</v>
      </c>
      <c r="O694" s="33" t="b" cm="1">
        <f t="array" ref="O694">INDEX(stable[is_numerical],MATCH(VALUE(questions[[#This Row],[qno]]),VALUE(stable[qno]),0))</f>
        <v>1</v>
      </c>
      <c r="P694" s="33" t="b" cm="1">
        <f t="array" ref="P694">INDEX(stable[is_single_select],MATCH(VALUE(questions[[#This Row],[qno]]),VALUE(stable[qno]),0))</f>
        <v>0</v>
      </c>
      <c r="Q694" s="33" t="b" cm="1">
        <f t="array" ref="Q694">INDEX(stable[is_multi_select],MATCH(VALUE(questions[[#This Row],[qno]]),VALUE(stable[qno]),0))</f>
        <v>0</v>
      </c>
      <c r="R694" s="33" t="b" cm="1">
        <f t="array" ref="R694">INDEX(stable[is_skip_logic],MATCH(VALUE(questions[[#This Row],[qno]]),VALUE(stable[qno]),0))</f>
        <v>0</v>
      </c>
      <c r="S694" s="33" t="str">
        <f>_xlfn.TEXTJOIN(", ",TRUE,questions[[#This Row],[ans_opt_1]:[ans_opt_14]])</f>
        <v/>
      </c>
      <c r="T694" s="33"/>
      <c r="U694" s="33"/>
      <c r="V694" s="33"/>
      <c r="W694" s="33"/>
      <c r="X694" s="33"/>
      <c r="Y694" s="33"/>
      <c r="Z694" s="33"/>
      <c r="AA694" s="33"/>
      <c r="AB694" s="33"/>
      <c r="AC694" s="33"/>
      <c r="AD694" s="33"/>
      <c r="AE694" s="33"/>
      <c r="AF694" s="33"/>
      <c r="AG694" s="33"/>
      <c r="AH694" s="99" t="b">
        <f>INDEX(stable[q_standard],MATCH(questions[[#This Row],[qno]],stable[qno],0))</f>
        <v>0</v>
      </c>
      <c r="AI694" s="99" t="b">
        <f>INDEX(stable[q_living_income],MATCH(questions[[#This Row],[qno]],stable[qno],0))</f>
        <v>1</v>
      </c>
      <c r="AJ694" s="99" t="b">
        <f>INDEX(stable[q_carbon],MATCH(questions[[#This Row],[qno]],stable[qno],0))</f>
        <v>1</v>
      </c>
      <c r="AK694" s="99" t="b">
        <f>INDEX(stable[q_regen_ag],MATCH(questions[[#This Row],[qno]],stable[qno],0))</f>
        <v>1</v>
      </c>
      <c r="AL694" s="16" t="b">
        <f>COUNTIFS(stable[qno],questions[[#This Row],[qno]])=1</f>
        <v>1</v>
      </c>
      <c r="AM694" s="16" t="b">
        <f>OR(questions[[#This Row],[is_fixed]],questions[[#This Row],[is_localized]],questions[[#This Row],[is_supply_chain_dependent]])</f>
        <v>1</v>
      </c>
      <c r="AN694" s="16" t="b">
        <f>COUNTIFS(questions[[#This Row],[is_automated]:[is_multi_select]],TRUE)=1</f>
        <v>1</v>
      </c>
      <c r="AO694" s="16" t="b">
        <f>IF(questions[[#This Row],[is_fixed]],questions[[#This Row],[question]]=INDEX(stable[question],MATCH(questions[[#This Row],[qno]],stable[qno],0)),TRUE)</f>
        <v>1</v>
      </c>
      <c r="AP694" s="16" t="str">
        <f>LEFT(questions[[#This Row],[question]],similarity_range)</f>
        <v>What is the total ar</v>
      </c>
      <c r="AQ694" s="16" t="str">
        <f>LEFT(INDEX(stable[question],MATCH(questions[[#This Row],[qno]],stable[qno],0)),similarity_range)</f>
        <v>What is the total ar</v>
      </c>
      <c r="AR694" s="16" t="b">
        <f>questions[[#This Row],[question_first_characters]]=questions[[#This Row],[stability_first_characters]]</f>
        <v>1</v>
      </c>
      <c r="AS694" s="16" t="b">
        <f>IF(OR(questions[[#This Row],[is_single_select]],questions[[#This Row],[is_multi_select]]),NOT(ISBLANK(questions[[#This Row],[answer_opt_combined]])),TRUE)</f>
        <v>1</v>
      </c>
    </row>
    <row r="695" spans="1:45" s="77" customFormat="1" ht="15.75" customHeight="1" x14ac:dyDescent="0.25">
      <c r="A695" s="77" t="str">
        <f>_xlfn.TEXTJOIN("_",TRUE,questions[[#This Row],[origin]:[qno]])</f>
        <v>Kenya_Arabica_Nestle_2024_5000</v>
      </c>
      <c r="B695" s="77" t="s">
        <v>818</v>
      </c>
      <c r="C695" s="77" t="s">
        <v>59</v>
      </c>
      <c r="D695" s="77" t="s">
        <v>819</v>
      </c>
      <c r="E695" s="77">
        <v>2024</v>
      </c>
      <c r="F695" s="105" t="s">
        <v>159</v>
      </c>
      <c r="G695" s="78" t="s">
        <v>739</v>
      </c>
      <c r="H695" s="33" t="str" cm="1">
        <f t="array" ref="H695">INDEX(stableR[question],MATCH(VALUE(questions[[#This Row],[qno]]),VALUE(stableR[qno]),0))</f>
        <v>Did you use synthetic fertilizers for your coffee last year?</v>
      </c>
      <c r="I695" s="33" t="b" cm="1">
        <f t="array" ref="I695">INDEX(stable[is_fixed],MATCH(VALUE(questions[[#This Row],[qno]]),VALUE(stable[qno]),0))</f>
        <v>1</v>
      </c>
      <c r="J695" s="33" t="b" cm="1">
        <f t="array" ref="J695">INDEX(stable[is_localized],MATCH(VALUE(questions[[#This Row],[qno]]),VALUE(stable[qno]),0))</f>
        <v>0</v>
      </c>
      <c r="K695" s="33" t="b" cm="1">
        <f t="array" ref="K695">INDEX(stable[is_supply_chain_dependent],MATCH(VALUE(questions[[#This Row],[qno]]),VALUE(stable[qno]),0))</f>
        <v>0</v>
      </c>
      <c r="L695" s="33" t="b" cm="1">
        <f t="array" ref="L695">INDEX(stable[is_mandatory],MATCH(VALUE(questions[[#This Row],[qno]]),VALUE(stable[qno]),0))</f>
        <v>1</v>
      </c>
      <c r="M695" s="33" t="b" cm="1">
        <f t="array" ref="M695">INDEX(stable[is_automated],MATCH(VALUE(questions[[#This Row],[qno]]),VALUE(stable[qno]),0))</f>
        <v>0</v>
      </c>
      <c r="N695" s="33" t="b" cm="1">
        <f t="array" ref="N695">INDEX(stable[is_free_text],MATCH(VALUE(questions[[#This Row],[qno]]),VALUE(stable[qno]),0))</f>
        <v>0</v>
      </c>
      <c r="O695" s="33" t="b" cm="1">
        <f t="array" ref="O695">INDEX(stable[is_numerical],MATCH(VALUE(questions[[#This Row],[qno]]),VALUE(stable[qno]),0))</f>
        <v>0</v>
      </c>
      <c r="P695" s="77" t="b" cm="1">
        <f t="array" ref="P695">INDEX(stable[is_single_select],MATCH(VALUE(questions[[#This Row],[qno]]),VALUE(stable[qno]),0))</f>
        <v>1</v>
      </c>
      <c r="Q695" s="77" t="b" cm="1">
        <f t="array" ref="Q695">INDEX(stable[is_multi_select],MATCH(VALUE(questions[[#This Row],[qno]]),VALUE(stable[qno]),0))</f>
        <v>0</v>
      </c>
      <c r="R695" s="77" t="b" cm="1">
        <f t="array" ref="R695">INDEX(stable[is_skip_logic],MATCH(VALUE(questions[[#This Row],[qno]]),VALUE(stable[qno]),0))</f>
        <v>1</v>
      </c>
      <c r="S695" s="77" t="str">
        <f>_xlfn.TEXTJOIN(", ",TRUE,questions[[#This Row],[ans_opt_1]:[ans_opt_14]])</f>
        <v>Yes, No</v>
      </c>
      <c r="T695" s="77" t="s">
        <v>149</v>
      </c>
      <c r="U695" s="77" t="s">
        <v>119</v>
      </c>
      <c r="AH695" s="98" t="b">
        <f>INDEX(stable[q_standard],MATCH(questions[[#This Row],[qno]],stable[qno],0))</f>
        <v>0</v>
      </c>
      <c r="AI695" s="98" t="b">
        <f>INDEX(stable[q_living_income],MATCH(questions[[#This Row],[qno]],stable[qno],0))</f>
        <v>1</v>
      </c>
      <c r="AJ695" s="98" t="b">
        <f>INDEX(stable[q_carbon],MATCH(questions[[#This Row],[qno]],stable[qno],0))</f>
        <v>1</v>
      </c>
      <c r="AK695" s="98" t="b">
        <f>INDEX(stable[q_regen_ag],MATCH(questions[[#This Row],[qno]],stable[qno],0))</f>
        <v>0</v>
      </c>
      <c r="AL695" s="98" t="b">
        <f>COUNTIFS(stable[qno],questions[[#This Row],[qno]])=1</f>
        <v>1</v>
      </c>
      <c r="AM695" s="98" t="b">
        <f>OR(questions[[#This Row],[is_fixed]],questions[[#This Row],[is_localized]],questions[[#This Row],[is_supply_chain_dependent]])</f>
        <v>1</v>
      </c>
      <c r="AN695" s="98" t="b">
        <f>COUNTIFS(questions[[#This Row],[is_automated]:[is_multi_select]],TRUE)=1</f>
        <v>1</v>
      </c>
      <c r="AO695" s="98" t="b">
        <f>IF(questions[[#This Row],[is_fixed]],questions[[#This Row],[question]]=INDEX(stable[question],MATCH(questions[[#This Row],[qno]],stable[qno],0)),TRUE)</f>
        <v>1</v>
      </c>
      <c r="AP695" s="98" t="str">
        <f>LEFT(questions[[#This Row],[question]],similarity_range)</f>
        <v>Did you use syntheti</v>
      </c>
      <c r="AQ695" s="98" t="str">
        <f>LEFT(INDEX(stable[question],MATCH(questions[[#This Row],[qno]],stable[qno],0)),similarity_range)</f>
        <v>Did you use syntheti</v>
      </c>
      <c r="AR695" s="98" t="b">
        <f>questions[[#This Row],[question_first_characters]]=questions[[#This Row],[stability_first_characters]]</f>
        <v>1</v>
      </c>
      <c r="AS695" s="98" t="b">
        <f>IF(OR(questions[[#This Row],[is_single_select]],questions[[#This Row],[is_multi_select]]),NOT(ISBLANK(questions[[#This Row],[answer_opt_combined]])),TRUE)</f>
        <v>1</v>
      </c>
    </row>
    <row r="696" spans="1:45" ht="15.75" customHeight="1" x14ac:dyDescent="0.25">
      <c r="A696" s="33" t="str">
        <f>_xlfn.TEXTJOIN("_",TRUE,questions[[#This Row],[origin]:[qno]])</f>
        <v>Kenya_Arabica_Nestle_2024_5001</v>
      </c>
      <c r="B696" s="33" t="s">
        <v>818</v>
      </c>
      <c r="C696" s="33" t="s">
        <v>59</v>
      </c>
      <c r="D696" s="33" t="s">
        <v>819</v>
      </c>
      <c r="E696" s="33">
        <v>2024</v>
      </c>
      <c r="F696" s="41" t="s">
        <v>161</v>
      </c>
      <c r="G696" s="18" t="s">
        <v>162</v>
      </c>
      <c r="H696" s="33" t="str" cm="1">
        <f t="array" ref="H696">INDEX(stableR[question],MATCH(VALUE(questions[[#This Row],[qno]]),VALUE(stableR[qno]),0))</f>
        <v>If yes, how many types of synthetic fertilizer did you use last year?</v>
      </c>
      <c r="I696" s="33" t="b" cm="1">
        <f t="array" ref="I696">INDEX(stable[is_fixed],MATCH(VALUE(questions[[#This Row],[qno]]),VALUE(stable[qno]),0))</f>
        <v>1</v>
      </c>
      <c r="J696" s="33" t="b" cm="1">
        <f t="array" ref="J696">INDEX(stable[is_localized],MATCH(VALUE(questions[[#This Row],[qno]]),VALUE(stable[qno]),0))</f>
        <v>0</v>
      </c>
      <c r="K696" s="33" t="b" cm="1">
        <f t="array" ref="K696">INDEX(stable[is_supply_chain_dependent],MATCH(VALUE(questions[[#This Row],[qno]]),VALUE(stable[qno]),0))</f>
        <v>0</v>
      </c>
      <c r="L696" s="33" t="b" cm="1">
        <f t="array" ref="L696">INDEX(stable[is_mandatory],MATCH(VALUE(questions[[#This Row],[qno]]),VALUE(stable[qno]),0))</f>
        <v>0</v>
      </c>
      <c r="M696" s="33" t="b" cm="1">
        <f t="array" ref="M696">INDEX(stable[is_automated],MATCH(VALUE(questions[[#This Row],[qno]]),VALUE(stable[qno]),0))</f>
        <v>0</v>
      </c>
      <c r="N696" s="33" t="b" cm="1">
        <f t="array" ref="N696">INDEX(stable[is_free_text],MATCH(VALUE(questions[[#This Row],[qno]]),VALUE(stable[qno]),0))</f>
        <v>0</v>
      </c>
      <c r="O696" s="33" t="b" cm="1">
        <f t="array" ref="O696">INDEX(stable[is_numerical],MATCH(VALUE(questions[[#This Row],[qno]]),VALUE(stable[qno]),0))</f>
        <v>1</v>
      </c>
      <c r="P696" s="33" t="b" cm="1">
        <f t="array" ref="P696">INDEX(stable[is_single_select],MATCH(VALUE(questions[[#This Row],[qno]]),VALUE(stable[qno]),0))</f>
        <v>0</v>
      </c>
      <c r="Q696" s="33" t="b" cm="1">
        <f t="array" ref="Q696">INDEX(stable[is_multi_select],MATCH(VALUE(questions[[#This Row],[qno]]),VALUE(stable[qno]),0))</f>
        <v>0</v>
      </c>
      <c r="R696" s="33" t="b" cm="1">
        <f t="array" ref="R696">INDEX(stable[is_skip_logic],MATCH(VALUE(questions[[#This Row],[qno]]),VALUE(stable[qno]),0))</f>
        <v>1</v>
      </c>
      <c r="S696" s="33" t="str">
        <f>_xlfn.TEXTJOIN(", ",TRUE,questions[[#This Row],[ans_opt_1]:[ans_opt_14]])</f>
        <v/>
      </c>
      <c r="T696" s="33"/>
      <c r="U696" s="33"/>
      <c r="V696" s="33"/>
      <c r="W696" s="33"/>
      <c r="X696" s="33"/>
      <c r="Y696" s="33"/>
      <c r="Z696" s="33"/>
      <c r="AA696" s="33"/>
      <c r="AB696" s="33"/>
      <c r="AC696" s="33"/>
      <c r="AD696" s="33"/>
      <c r="AE696" s="33"/>
      <c r="AF696" s="33"/>
      <c r="AG696" s="33"/>
      <c r="AH696" s="99" t="b">
        <f>INDEX(stable[q_standard],MATCH(questions[[#This Row],[qno]],stable[qno],0))</f>
        <v>0</v>
      </c>
      <c r="AI696" s="99" t="b">
        <f>INDEX(stable[q_living_income],MATCH(questions[[#This Row],[qno]],stable[qno],0))</f>
        <v>1</v>
      </c>
      <c r="AJ696" s="99" t="b">
        <f>INDEX(stable[q_carbon],MATCH(questions[[#This Row],[qno]],stable[qno],0))</f>
        <v>1</v>
      </c>
      <c r="AK696" s="99" t="b">
        <f>INDEX(stable[q_regen_ag],MATCH(questions[[#This Row],[qno]],stable[qno],0))</f>
        <v>0</v>
      </c>
      <c r="AL696" s="16" t="b">
        <f>COUNTIFS(stable[qno],questions[[#This Row],[qno]])=1</f>
        <v>1</v>
      </c>
      <c r="AM696" s="16" t="b">
        <f>OR(questions[[#This Row],[is_fixed]],questions[[#This Row],[is_localized]],questions[[#This Row],[is_supply_chain_dependent]])</f>
        <v>1</v>
      </c>
      <c r="AN696" s="16" t="b">
        <f>COUNTIFS(questions[[#This Row],[is_automated]:[is_multi_select]],TRUE)=1</f>
        <v>1</v>
      </c>
      <c r="AO696" s="16" t="b">
        <f>IF(questions[[#This Row],[is_fixed]],questions[[#This Row],[question]]=INDEX(stable[question],MATCH(questions[[#This Row],[qno]],stable[qno],0)),TRUE)</f>
        <v>1</v>
      </c>
      <c r="AP696" s="16" t="str">
        <f>LEFT(questions[[#This Row],[question]],similarity_range)</f>
        <v>If yes, how many typ</v>
      </c>
      <c r="AQ696" s="16" t="str">
        <f>LEFT(INDEX(stable[question],MATCH(questions[[#This Row],[qno]],stable[qno],0)),similarity_range)</f>
        <v>If yes, how many typ</v>
      </c>
      <c r="AR696" s="16" t="b">
        <f>questions[[#This Row],[question_first_characters]]=questions[[#This Row],[stability_first_characters]]</f>
        <v>1</v>
      </c>
      <c r="AS696" s="16" t="b">
        <f>IF(OR(questions[[#This Row],[is_single_select]],questions[[#This Row],[is_multi_select]]),NOT(ISBLANK(questions[[#This Row],[answer_opt_combined]])),TRUE)</f>
        <v>1</v>
      </c>
    </row>
    <row r="697" spans="1:45" ht="15.75" customHeight="1" x14ac:dyDescent="0.25">
      <c r="A697" s="33" t="str">
        <f>_xlfn.TEXTJOIN("_",TRUE,questions[[#This Row],[origin]:[qno]])</f>
        <v>Kenya_Arabica_Nestle_2024_5100</v>
      </c>
      <c r="B697" s="33" t="s">
        <v>818</v>
      </c>
      <c r="C697" s="33" t="s">
        <v>59</v>
      </c>
      <c r="D697" s="33" t="s">
        <v>819</v>
      </c>
      <c r="E697" s="33">
        <v>2024</v>
      </c>
      <c r="F697" s="41">
        <v>5100</v>
      </c>
      <c r="G697" s="18" t="s">
        <v>740</v>
      </c>
      <c r="H697" s="33" t="str" cm="1">
        <f t="array" ref="H697">INDEX(stableR[question],MATCH(VALUE(questions[[#This Row],[qno]]),VALUE(stableR[qno]),0))</f>
        <v>What was the name of the synthetic fertilizer that you used most, last year?</v>
      </c>
      <c r="I697" s="33" t="b" cm="1">
        <f t="array" ref="I697">INDEX(stable[is_fixed],MATCH(VALUE(questions[[#This Row],[qno]]),VALUE(stable[qno]),0))</f>
        <v>0</v>
      </c>
      <c r="J697" s="33" t="b" cm="1">
        <f t="array" ref="J697">INDEX(stable[is_localized],MATCH(VALUE(questions[[#This Row],[qno]]),VALUE(stable[qno]),0))</f>
        <v>1</v>
      </c>
      <c r="K697" s="33" t="b" cm="1">
        <f t="array" ref="K697">INDEX(stable[is_supply_chain_dependent],MATCH(VALUE(questions[[#This Row],[qno]]),VALUE(stable[qno]),0))</f>
        <v>0</v>
      </c>
      <c r="L697" s="33" t="b" cm="1">
        <f t="array" ref="L697">INDEX(stable[is_mandatory],MATCH(VALUE(questions[[#This Row],[qno]]),VALUE(stable[qno]),0))</f>
        <v>0</v>
      </c>
      <c r="M697" s="33" t="b" cm="1">
        <f t="array" ref="M697">INDEX(stable[is_automated],MATCH(VALUE(questions[[#This Row],[qno]]),VALUE(stable[qno]),0))</f>
        <v>0</v>
      </c>
      <c r="N697" s="33" t="b" cm="1">
        <f t="array" ref="N697">INDEX(stable[is_free_text],MATCH(VALUE(questions[[#This Row],[qno]]),VALUE(stable[qno]),0))</f>
        <v>0</v>
      </c>
      <c r="O697" s="33" t="b" cm="1">
        <f t="array" ref="O697">INDEX(stable[is_numerical],MATCH(VALUE(questions[[#This Row],[qno]]),VALUE(stable[qno]),0))</f>
        <v>0</v>
      </c>
      <c r="P697" s="33" t="b" cm="1">
        <f t="array" ref="P697">INDEX(stable[is_single_select],MATCH(VALUE(questions[[#This Row],[qno]]),VALUE(stable[qno]),0))</f>
        <v>1</v>
      </c>
      <c r="Q697" s="33" t="b" cm="1">
        <f t="array" ref="Q697">INDEX(stable[is_multi_select],MATCH(VALUE(questions[[#This Row],[qno]]),VALUE(stable[qno]),0))</f>
        <v>0</v>
      </c>
      <c r="R697" s="33" t="b" cm="1">
        <f t="array" ref="R697">INDEX(stable[is_skip_logic],MATCH(VALUE(questions[[#This Row],[qno]]),VALUE(stable[qno]),0))</f>
        <v>1</v>
      </c>
      <c r="S697" s="33" t="str">
        <f>_xlfn.TEXTJOIN(", ",TRUE,questions[[#This Row],[ans_opt_1]:[ans_opt_14]])</f>
        <v>NPK 26-6-12 - "special, CAN (calcium ammonium nitrate, 27% N), NPK 17-17-17, Urea (46% N), Ammonium sulphate (21% N), DAP (di-ammonium phosphate, 18% N)</v>
      </c>
      <c r="T697" s="33" t="s">
        <v>836</v>
      </c>
      <c r="U697" s="33" t="s">
        <v>837</v>
      </c>
      <c r="V697" s="33" t="s">
        <v>742</v>
      </c>
      <c r="W697" s="33" t="s">
        <v>743</v>
      </c>
      <c r="X697" s="33" t="s">
        <v>838</v>
      </c>
      <c r="Y697" s="33" t="s">
        <v>744</v>
      </c>
      <c r="Z697" s="33"/>
      <c r="AA697" s="33"/>
      <c r="AB697" s="33"/>
      <c r="AC697" s="33"/>
      <c r="AD697" s="33"/>
      <c r="AE697" s="33"/>
      <c r="AF697" s="33"/>
      <c r="AG697" s="33"/>
      <c r="AH697" s="99" t="e">
        <f>INDEX(stable[q_standard],MATCH(questions[[#This Row],[qno]],stable[qno],0))</f>
        <v>#N/A</v>
      </c>
      <c r="AI697" s="99" t="e">
        <f>INDEX(stable[q_living_income],MATCH(questions[[#This Row],[qno]],stable[qno],0))</f>
        <v>#N/A</v>
      </c>
      <c r="AJ697" s="99" t="e">
        <f>INDEX(stable[q_carbon],MATCH(questions[[#This Row],[qno]],stable[qno],0))</f>
        <v>#N/A</v>
      </c>
      <c r="AK697" s="99" t="e">
        <f>INDEX(stable[q_regen_ag],MATCH(questions[[#This Row],[qno]],stable[qno],0))</f>
        <v>#N/A</v>
      </c>
      <c r="AL697" s="16" t="b">
        <f>COUNTIFS(stable[qno],questions[[#This Row],[qno]])=1</f>
        <v>1</v>
      </c>
      <c r="AM697" s="16" t="b">
        <f>OR(questions[[#This Row],[is_fixed]],questions[[#This Row],[is_localized]],questions[[#This Row],[is_supply_chain_dependent]])</f>
        <v>1</v>
      </c>
      <c r="AN697" s="16" t="b">
        <f>COUNTIFS(questions[[#This Row],[is_automated]:[is_multi_select]],TRUE)=1</f>
        <v>1</v>
      </c>
      <c r="AO697" s="16" t="b">
        <f>IF(questions[[#This Row],[is_fixed]],questions[[#This Row],[question]]=INDEX(stable[question],MATCH(questions[[#This Row],[qno]],stable[qno],0)),TRUE)</f>
        <v>1</v>
      </c>
      <c r="AP697" s="16" t="str">
        <f>LEFT(questions[[#This Row],[question]],similarity_range)</f>
        <v xml:space="preserve">What is the name of </v>
      </c>
      <c r="AQ697" s="16" t="e">
        <f>LEFT(INDEX(stable[question],MATCH(questions[[#This Row],[qno]],stable[qno],0)),similarity_range)</f>
        <v>#N/A</v>
      </c>
      <c r="AR697" s="16" t="e">
        <f>questions[[#This Row],[question_first_characters]]=questions[[#This Row],[stability_first_characters]]</f>
        <v>#N/A</v>
      </c>
      <c r="AS697" s="16" t="b">
        <f>IF(OR(questions[[#This Row],[is_single_select]],questions[[#This Row],[is_multi_select]]),NOT(ISBLANK(questions[[#This Row],[answer_opt_combined]])),TRUE)</f>
        <v>1</v>
      </c>
    </row>
    <row r="698" spans="1:45" ht="15.75" customHeight="1" x14ac:dyDescent="0.25">
      <c r="A698" s="33" t="str">
        <f>_xlfn.TEXTJOIN("_",TRUE,questions[[#This Row],[origin]:[qno]])</f>
        <v>Kenya_Arabica_Nestle_2024_5101</v>
      </c>
      <c r="B698" s="33" t="s">
        <v>818</v>
      </c>
      <c r="C698" s="33" t="s">
        <v>59</v>
      </c>
      <c r="D698" s="33" t="s">
        <v>819</v>
      </c>
      <c r="E698" s="33">
        <v>2024</v>
      </c>
      <c r="F698" s="41">
        <v>5101</v>
      </c>
      <c r="G698" s="20" t="s">
        <v>745</v>
      </c>
      <c r="H698" s="33" t="str" cm="1">
        <f t="array" ref="H698">INDEX(stableR[question],MATCH(VALUE(questions[[#This Row],[qno]]),VALUE(stableR[qno]),0))</f>
        <v>What was the total quantity of the synthetic fertilizer that you used most, last year? (Kg)</v>
      </c>
      <c r="I698" s="33" t="b" cm="1">
        <f t="array" ref="I698">INDEX(stable[is_fixed],MATCH(VALUE(questions[[#This Row],[qno]]),VALUE(stable[qno]),0))</f>
        <v>0</v>
      </c>
      <c r="J698" s="33" t="b" cm="1">
        <f t="array" ref="J698">INDEX(stable[is_localized],MATCH(VALUE(questions[[#This Row],[qno]]),VALUE(stable[qno]),0))</f>
        <v>1</v>
      </c>
      <c r="K698" s="33" t="b" cm="1">
        <f t="array" ref="K698">INDEX(stable[is_supply_chain_dependent],MATCH(VALUE(questions[[#This Row],[qno]]),VALUE(stable[qno]),0))</f>
        <v>0</v>
      </c>
      <c r="L698" s="33" t="b" cm="1">
        <f t="array" ref="L698">INDEX(stable[is_mandatory],MATCH(VALUE(questions[[#This Row],[qno]]),VALUE(stable[qno]),0))</f>
        <v>0</v>
      </c>
      <c r="M698" s="33" t="b" cm="1">
        <f t="array" ref="M698">INDEX(stable[is_automated],MATCH(VALUE(questions[[#This Row],[qno]]),VALUE(stable[qno]),0))</f>
        <v>0</v>
      </c>
      <c r="N698" s="33" t="b" cm="1">
        <f t="array" ref="N698">INDEX(stable[is_free_text],MATCH(VALUE(questions[[#This Row],[qno]]),VALUE(stable[qno]),0))</f>
        <v>0</v>
      </c>
      <c r="O698" s="33" t="b" cm="1">
        <f t="array" ref="O698">INDEX(stable[is_numerical],MATCH(VALUE(questions[[#This Row],[qno]]),VALUE(stable[qno]),0))</f>
        <v>1</v>
      </c>
      <c r="P698" s="33" t="b" cm="1">
        <f t="array" ref="P698">INDEX(stable[is_single_select],MATCH(VALUE(questions[[#This Row],[qno]]),VALUE(stable[qno]),0))</f>
        <v>0</v>
      </c>
      <c r="Q698" s="33" t="b" cm="1">
        <f t="array" ref="Q698">INDEX(stable[is_multi_select],MATCH(VALUE(questions[[#This Row],[qno]]),VALUE(stable[qno]),0))</f>
        <v>0</v>
      </c>
      <c r="R698" s="33" t="b" cm="1">
        <f t="array" ref="R698">INDEX(stable[is_skip_logic],MATCH(VALUE(questions[[#This Row],[qno]]),VALUE(stable[qno]),0))</f>
        <v>1</v>
      </c>
      <c r="S698" s="33" t="str">
        <f>_xlfn.TEXTJOIN(", ",TRUE,questions[[#This Row],[ans_opt_1]:[ans_opt_14]])</f>
        <v/>
      </c>
      <c r="T698" s="33"/>
      <c r="U698" s="33"/>
      <c r="V698" s="33"/>
      <c r="W698" s="33"/>
      <c r="X698" s="33"/>
      <c r="Y698" s="33"/>
      <c r="Z698" s="33"/>
      <c r="AA698" s="33"/>
      <c r="AB698" s="33"/>
      <c r="AC698" s="33"/>
      <c r="AD698" s="33"/>
      <c r="AE698" s="33"/>
      <c r="AF698" s="33"/>
      <c r="AG698" s="33"/>
      <c r="AH698" s="99" t="e">
        <f>INDEX(stable[q_standard],MATCH(questions[[#This Row],[qno]],stable[qno],0))</f>
        <v>#N/A</v>
      </c>
      <c r="AI698" s="99" t="e">
        <f>INDEX(stable[q_living_income],MATCH(questions[[#This Row],[qno]],stable[qno],0))</f>
        <v>#N/A</v>
      </c>
      <c r="AJ698" s="99" t="e">
        <f>INDEX(stable[q_carbon],MATCH(questions[[#This Row],[qno]],stable[qno],0))</f>
        <v>#N/A</v>
      </c>
      <c r="AK698" s="99" t="e">
        <f>INDEX(stable[q_regen_ag],MATCH(questions[[#This Row],[qno]],stable[qno],0))</f>
        <v>#N/A</v>
      </c>
      <c r="AL698" s="16" t="b">
        <f>COUNTIFS(stable[qno],questions[[#This Row],[qno]])=1</f>
        <v>1</v>
      </c>
      <c r="AM698" s="16" t="b">
        <f>OR(questions[[#This Row],[is_fixed]],questions[[#This Row],[is_localized]],questions[[#This Row],[is_supply_chain_dependent]])</f>
        <v>1</v>
      </c>
      <c r="AN698" s="16" t="b">
        <f>COUNTIFS(questions[[#This Row],[is_automated]:[is_multi_select]],TRUE)=1</f>
        <v>1</v>
      </c>
      <c r="AO698" s="16" t="b">
        <f>IF(questions[[#This Row],[is_fixed]],questions[[#This Row],[question]]=INDEX(stable[question],MATCH(questions[[#This Row],[qno]],stable[qno],0)),TRUE)</f>
        <v>1</v>
      </c>
      <c r="AP698" s="16" t="str">
        <f>LEFT(questions[[#This Row],[question]],similarity_range)</f>
        <v>What was the total q</v>
      </c>
      <c r="AQ698" s="16" t="e">
        <f>LEFT(INDEX(stable[question],MATCH(questions[[#This Row],[qno]],stable[qno],0)),similarity_range)</f>
        <v>#N/A</v>
      </c>
      <c r="AR698" s="16" t="e">
        <f>questions[[#This Row],[question_first_characters]]=questions[[#This Row],[stability_first_characters]]</f>
        <v>#N/A</v>
      </c>
      <c r="AS698" s="16" t="b">
        <f>IF(OR(questions[[#This Row],[is_single_select]],questions[[#This Row],[is_multi_select]]),NOT(ISBLANK(questions[[#This Row],[answer_opt_combined]])),TRUE)</f>
        <v>1</v>
      </c>
    </row>
    <row r="699" spans="1:45" ht="15.75" customHeight="1" x14ac:dyDescent="0.25">
      <c r="A699" s="33" t="str">
        <f>_xlfn.TEXTJOIN("_",TRUE,questions[[#This Row],[origin]:[qno]])</f>
        <v>Kenya_Arabica_Nestle_2024_5102</v>
      </c>
      <c r="B699" s="33" t="s">
        <v>818</v>
      </c>
      <c r="C699" s="33" t="s">
        <v>59</v>
      </c>
      <c r="D699" s="33" t="s">
        <v>819</v>
      </c>
      <c r="E699" s="33">
        <v>2024</v>
      </c>
      <c r="F699" s="41">
        <v>5102</v>
      </c>
      <c r="G699" s="20" t="s">
        <v>746</v>
      </c>
      <c r="H699" s="33" t="str" cm="1">
        <f t="array" ref="H699">INDEX(stableR[question],MATCH(VALUE(questions[[#This Row],[qno]]),VALUE(stableR[qno]),0))</f>
        <v>What was the unit of the synthetic fertilizer type that you used most? (bags, kg)</v>
      </c>
      <c r="I699" s="33" t="b" cm="1">
        <f t="array" ref="I699">INDEX(stable[is_fixed],MATCH(VALUE(questions[[#This Row],[qno]]),VALUE(stable[qno]),0))</f>
        <v>0</v>
      </c>
      <c r="J699" s="33" t="b" cm="1">
        <f t="array" ref="J699">INDEX(stable[is_localized],MATCH(VALUE(questions[[#This Row],[qno]]),VALUE(stable[qno]),0))</f>
        <v>1</v>
      </c>
      <c r="K699" s="33" t="b" cm="1">
        <f t="array" ref="K699">INDEX(stable[is_supply_chain_dependent],MATCH(VALUE(questions[[#This Row],[qno]]),VALUE(stable[qno]),0))</f>
        <v>0</v>
      </c>
      <c r="L699" s="33" t="b" cm="1">
        <f t="array" ref="L699">INDEX(stable[is_mandatory],MATCH(VALUE(questions[[#This Row],[qno]]),VALUE(stable[qno]),0))</f>
        <v>0</v>
      </c>
      <c r="M699" s="33" t="b" cm="1">
        <f t="array" ref="M699">INDEX(stable[is_automated],MATCH(VALUE(questions[[#This Row],[qno]]),VALUE(stable[qno]),0))</f>
        <v>0</v>
      </c>
      <c r="N699" s="33" t="b" cm="1">
        <f t="array" ref="N699">INDEX(stable[is_free_text],MATCH(VALUE(questions[[#This Row],[qno]]),VALUE(stable[qno]),0))</f>
        <v>0</v>
      </c>
      <c r="O699" s="33" t="b" cm="1">
        <f t="array" ref="O699">INDEX(stable[is_numerical],MATCH(VALUE(questions[[#This Row],[qno]]),VALUE(stable[qno]),0))</f>
        <v>0</v>
      </c>
      <c r="P699" s="33" t="b" cm="1">
        <f t="array" ref="P699">INDEX(stable[is_single_select],MATCH(VALUE(questions[[#This Row],[qno]]),VALUE(stable[qno]),0))</f>
        <v>1</v>
      </c>
      <c r="Q699" s="33" t="b" cm="1">
        <f t="array" ref="Q699">INDEX(stable[is_multi_select],MATCH(VALUE(questions[[#This Row],[qno]]),VALUE(stable[qno]),0))</f>
        <v>0</v>
      </c>
      <c r="R699" s="33" t="b" cm="1">
        <f t="array" ref="R699">INDEX(stable[is_skip_logic],MATCH(VALUE(questions[[#This Row],[qno]]),VALUE(stable[qno]),0))</f>
        <v>1</v>
      </c>
      <c r="S699" s="33" t="str">
        <f>_xlfn.TEXTJOIN(", ",TRUE,questions[[#This Row],[ans_opt_1]:[ans_opt_14]])</f>
        <v>kg</v>
      </c>
      <c r="T699" s="33" t="s">
        <v>562</v>
      </c>
      <c r="U699" s="33"/>
      <c r="V699" s="33"/>
      <c r="W699" s="33"/>
      <c r="X699" s="33"/>
      <c r="Y699" s="33"/>
      <c r="Z699" s="33"/>
      <c r="AA699" s="33"/>
      <c r="AB699" s="33"/>
      <c r="AC699" s="33"/>
      <c r="AD699" s="33"/>
      <c r="AE699" s="33"/>
      <c r="AF699" s="33"/>
      <c r="AG699" s="33"/>
      <c r="AH699" s="99" t="e">
        <f>INDEX(stable[q_standard],MATCH(questions[[#This Row],[qno]],stable[qno],0))</f>
        <v>#N/A</v>
      </c>
      <c r="AI699" s="99" t="e">
        <f>INDEX(stable[q_living_income],MATCH(questions[[#This Row],[qno]],stable[qno],0))</f>
        <v>#N/A</v>
      </c>
      <c r="AJ699" s="99" t="e">
        <f>INDEX(stable[q_carbon],MATCH(questions[[#This Row],[qno]],stable[qno],0))</f>
        <v>#N/A</v>
      </c>
      <c r="AK699" s="99" t="e">
        <f>INDEX(stable[q_regen_ag],MATCH(questions[[#This Row],[qno]],stable[qno],0))</f>
        <v>#N/A</v>
      </c>
      <c r="AL699" s="16" t="b">
        <f>COUNTIFS(stable[qno],questions[[#This Row],[qno]])=1</f>
        <v>1</v>
      </c>
      <c r="AM699" s="16" t="b">
        <f>OR(questions[[#This Row],[is_fixed]],questions[[#This Row],[is_localized]],questions[[#This Row],[is_supply_chain_dependent]])</f>
        <v>1</v>
      </c>
      <c r="AN699" s="16" t="b">
        <f>COUNTIFS(questions[[#This Row],[is_automated]:[is_multi_select]],TRUE)=1</f>
        <v>1</v>
      </c>
      <c r="AO699" s="16" t="b">
        <f>IF(questions[[#This Row],[is_fixed]],questions[[#This Row],[question]]=INDEX(stable[question],MATCH(questions[[#This Row],[qno]],stable[qno],0)),TRUE)</f>
        <v>1</v>
      </c>
      <c r="AP699" s="16" t="str">
        <f>LEFT(questions[[#This Row],[question]],similarity_range)</f>
        <v>Please ensure that t</v>
      </c>
      <c r="AQ699" s="16" t="e">
        <f>LEFT(INDEX(stable[question],MATCH(questions[[#This Row],[qno]],stable[qno],0)),similarity_range)</f>
        <v>#N/A</v>
      </c>
      <c r="AR699" s="16" t="e">
        <f>questions[[#This Row],[question_first_characters]]=questions[[#This Row],[stability_first_characters]]</f>
        <v>#N/A</v>
      </c>
      <c r="AS699" s="16" t="b">
        <f>IF(OR(questions[[#This Row],[is_single_select]],questions[[#This Row],[is_multi_select]]),NOT(ISBLANK(questions[[#This Row],[answer_opt_combined]])),TRUE)</f>
        <v>1</v>
      </c>
    </row>
    <row r="700" spans="1:45" ht="15.75" customHeight="1" x14ac:dyDescent="0.25">
      <c r="A700" s="33" t="str">
        <f>_xlfn.TEXTJOIN("_",TRUE,questions[[#This Row],[origin]:[qno]])</f>
        <v>Kenya_Arabica_Nestle_2024_5110</v>
      </c>
      <c r="B700" s="33" t="s">
        <v>818</v>
      </c>
      <c r="C700" s="33" t="s">
        <v>59</v>
      </c>
      <c r="D700" s="33" t="s">
        <v>819</v>
      </c>
      <c r="E700" s="33">
        <v>2024</v>
      </c>
      <c r="F700" s="41" t="s">
        <v>167</v>
      </c>
      <c r="G700" s="18" t="s">
        <v>747</v>
      </c>
      <c r="H700" s="33" t="str" cm="1">
        <f t="array" ref="H700">INDEX(stableR[question],MATCH(VALUE(questions[[#This Row],[qno]]),VALUE(stableR[qno]),0))</f>
        <v>What was the name of the synthetic fertilizer that you used second most, last year?</v>
      </c>
      <c r="I700" s="33" t="b" cm="1">
        <f t="array" ref="I700">INDEX(stable[is_fixed],MATCH(VALUE(questions[[#This Row],[qno]]),VALUE(stable[qno]),0))</f>
        <v>0</v>
      </c>
      <c r="J700" s="33" t="b" cm="1">
        <f t="array" ref="J700">INDEX(stable[is_localized],MATCH(VALUE(questions[[#This Row],[qno]]),VALUE(stable[qno]),0))</f>
        <v>1</v>
      </c>
      <c r="K700" s="33" t="b" cm="1">
        <f t="array" ref="K700">INDEX(stable[is_supply_chain_dependent],MATCH(VALUE(questions[[#This Row],[qno]]),VALUE(stable[qno]),0))</f>
        <v>0</v>
      </c>
      <c r="L700" s="33" t="b" cm="1">
        <f t="array" ref="L700">INDEX(stable[is_mandatory],MATCH(VALUE(questions[[#This Row],[qno]]),VALUE(stable[qno]),0))</f>
        <v>0</v>
      </c>
      <c r="M700" s="33" t="b" cm="1">
        <f t="array" ref="M700">INDEX(stable[is_automated],MATCH(VALUE(questions[[#This Row],[qno]]),VALUE(stable[qno]),0))</f>
        <v>0</v>
      </c>
      <c r="N700" s="33" t="b" cm="1">
        <f t="array" ref="N700">INDEX(stable[is_free_text],MATCH(VALUE(questions[[#This Row],[qno]]),VALUE(stable[qno]),0))</f>
        <v>0</v>
      </c>
      <c r="O700" s="33" t="b" cm="1">
        <f t="array" ref="O700">INDEX(stable[is_numerical],MATCH(VALUE(questions[[#This Row],[qno]]),VALUE(stable[qno]),0))</f>
        <v>0</v>
      </c>
      <c r="P700" s="33" t="b" cm="1">
        <f t="array" ref="P700">INDEX(stable[is_single_select],MATCH(VALUE(questions[[#This Row],[qno]]),VALUE(stable[qno]),0))</f>
        <v>1</v>
      </c>
      <c r="Q700" s="33" t="b" cm="1">
        <f t="array" ref="Q700">INDEX(stable[is_multi_select],MATCH(VALUE(questions[[#This Row],[qno]]),VALUE(stable[qno]),0))</f>
        <v>0</v>
      </c>
      <c r="R700" s="33" t="b" cm="1">
        <f t="array" ref="R700">INDEX(stable[is_skip_logic],MATCH(VALUE(questions[[#This Row],[qno]]),VALUE(stable[qno]),0))</f>
        <v>1</v>
      </c>
      <c r="S700" s="33" t="str">
        <f>_xlfn.TEXTJOIN(", ",TRUE,questions[[#This Row],[ans_opt_1]:[ans_opt_14]])</f>
        <v>NPK 26-6-12 - "special, CAN (calcium ammonium nitrate, 27% N), NPK 17-17-17, Urea (46% N), Ammonium sulphate (21% N), DAP (di-ammonium phosphate, 18% N)</v>
      </c>
      <c r="T700" s="33" t="s">
        <v>836</v>
      </c>
      <c r="U700" s="33" t="s">
        <v>837</v>
      </c>
      <c r="V700" s="33" t="s">
        <v>742</v>
      </c>
      <c r="W700" s="33" t="s">
        <v>743</v>
      </c>
      <c r="X700" s="33" t="s">
        <v>838</v>
      </c>
      <c r="Y700" s="33" t="s">
        <v>744</v>
      </c>
      <c r="Z700" s="33"/>
      <c r="AA700" s="33"/>
      <c r="AB700" s="33"/>
      <c r="AC700" s="33"/>
      <c r="AD700" s="33"/>
      <c r="AE700" s="33"/>
      <c r="AF700" s="33"/>
      <c r="AG700" s="33"/>
      <c r="AH700" s="99" t="b">
        <f>INDEX(stable[q_standard],MATCH(questions[[#This Row],[qno]],stable[qno],0))</f>
        <v>0</v>
      </c>
      <c r="AI700" s="99" t="b">
        <f>INDEX(stable[q_living_income],MATCH(questions[[#This Row],[qno]],stable[qno],0))</f>
        <v>1</v>
      </c>
      <c r="AJ700" s="99" t="b">
        <f>INDEX(stable[q_carbon],MATCH(questions[[#This Row],[qno]],stable[qno],0))</f>
        <v>1</v>
      </c>
      <c r="AK700" s="99" t="b">
        <f>INDEX(stable[q_regen_ag],MATCH(questions[[#This Row],[qno]],stable[qno],0))</f>
        <v>0</v>
      </c>
      <c r="AL700" s="16" t="b">
        <f>COUNTIFS(stable[qno],questions[[#This Row],[qno]])=1</f>
        <v>1</v>
      </c>
      <c r="AM700" s="16" t="b">
        <f>OR(questions[[#This Row],[is_fixed]],questions[[#This Row],[is_localized]],questions[[#This Row],[is_supply_chain_dependent]])</f>
        <v>1</v>
      </c>
      <c r="AN700" s="16" t="b">
        <f>COUNTIFS(questions[[#This Row],[is_automated]:[is_multi_select]],TRUE)=1</f>
        <v>1</v>
      </c>
      <c r="AO700" s="16" t="b">
        <f>IF(questions[[#This Row],[is_fixed]],questions[[#This Row],[question]]=INDEX(stable[question],MATCH(questions[[#This Row],[qno]],stable[qno],0)),TRUE)</f>
        <v>1</v>
      </c>
      <c r="AP700" s="16" t="str">
        <f>LEFT(questions[[#This Row],[question]],similarity_range)</f>
        <v xml:space="preserve">What is the name of </v>
      </c>
      <c r="AQ700" s="16" t="str">
        <f>LEFT(INDEX(stable[question],MATCH(questions[[#This Row],[qno]],stable[qno],0)),similarity_range)</f>
        <v xml:space="preserve">What is the name of </v>
      </c>
      <c r="AR700" s="16" t="b">
        <f>questions[[#This Row],[question_first_characters]]=questions[[#This Row],[stability_first_characters]]</f>
        <v>1</v>
      </c>
      <c r="AS700" s="16" t="b">
        <f>IF(OR(questions[[#This Row],[is_single_select]],questions[[#This Row],[is_multi_select]]),NOT(ISBLANK(questions[[#This Row],[answer_opt_combined]])),TRUE)</f>
        <v>1</v>
      </c>
    </row>
    <row r="701" spans="1:45" ht="15.75" customHeight="1" x14ac:dyDescent="0.25">
      <c r="A701" s="33" t="str">
        <f>_xlfn.TEXTJOIN("_",TRUE,questions[[#This Row],[origin]:[qno]])</f>
        <v>Kenya_Arabica_Nestle_2024_5111</v>
      </c>
      <c r="B701" s="33" t="s">
        <v>818</v>
      </c>
      <c r="C701" s="33" t="s">
        <v>59</v>
      </c>
      <c r="D701" s="33" t="s">
        <v>819</v>
      </c>
      <c r="E701" s="33">
        <v>2024</v>
      </c>
      <c r="F701" s="41">
        <v>5111</v>
      </c>
      <c r="G701" s="20" t="s">
        <v>748</v>
      </c>
      <c r="H701" s="33" t="str" cm="1">
        <f t="array" ref="H701">INDEX(stableR[question],MATCH(VALUE(questions[[#This Row],[qno]]),VALUE(stableR[qno]),0))</f>
        <v>What was the total quantity of the synthetic fertilizer that you used second most, last year? (Kg)</v>
      </c>
      <c r="I701" s="33" t="b" cm="1">
        <f t="array" ref="I701">INDEX(stable[is_fixed],MATCH(VALUE(questions[[#This Row],[qno]]),VALUE(stable[qno]),0))</f>
        <v>0</v>
      </c>
      <c r="J701" s="33" t="b" cm="1">
        <f t="array" ref="J701">INDEX(stable[is_localized],MATCH(VALUE(questions[[#This Row],[qno]]),VALUE(stable[qno]),0))</f>
        <v>1</v>
      </c>
      <c r="K701" s="33" t="b" cm="1">
        <f t="array" ref="K701">INDEX(stable[is_supply_chain_dependent],MATCH(VALUE(questions[[#This Row],[qno]]),VALUE(stable[qno]),0))</f>
        <v>0</v>
      </c>
      <c r="L701" s="33" t="b" cm="1">
        <f t="array" ref="L701">INDEX(stable[is_mandatory],MATCH(VALUE(questions[[#This Row],[qno]]),VALUE(stable[qno]),0))</f>
        <v>0</v>
      </c>
      <c r="M701" s="33" t="b" cm="1">
        <f t="array" ref="M701">INDEX(stable[is_automated],MATCH(VALUE(questions[[#This Row],[qno]]),VALUE(stable[qno]),0))</f>
        <v>0</v>
      </c>
      <c r="N701" s="33" t="b" cm="1">
        <f t="array" ref="N701">INDEX(stable[is_free_text],MATCH(VALUE(questions[[#This Row],[qno]]),VALUE(stable[qno]),0))</f>
        <v>0</v>
      </c>
      <c r="O701" s="33" t="b" cm="1">
        <f t="array" ref="O701">INDEX(stable[is_numerical],MATCH(VALUE(questions[[#This Row],[qno]]),VALUE(stable[qno]),0))</f>
        <v>1</v>
      </c>
      <c r="P701" s="33" t="b" cm="1">
        <f t="array" ref="P701">INDEX(stable[is_single_select],MATCH(VALUE(questions[[#This Row],[qno]]),VALUE(stable[qno]),0))</f>
        <v>0</v>
      </c>
      <c r="Q701" s="33" t="b" cm="1">
        <f t="array" ref="Q701">INDEX(stable[is_multi_select],MATCH(VALUE(questions[[#This Row],[qno]]),VALUE(stable[qno]),0))</f>
        <v>0</v>
      </c>
      <c r="R701" s="33" t="b" cm="1">
        <f t="array" ref="R701">INDEX(stable[is_skip_logic],MATCH(VALUE(questions[[#This Row],[qno]]),VALUE(stable[qno]),0))</f>
        <v>1</v>
      </c>
      <c r="S701" s="33" t="str">
        <f>_xlfn.TEXTJOIN(", ",TRUE,questions[[#This Row],[ans_opt_1]:[ans_opt_14]])</f>
        <v/>
      </c>
      <c r="T701" s="33"/>
      <c r="U701" s="33"/>
      <c r="V701" s="33"/>
      <c r="W701" s="33"/>
      <c r="X701" s="33"/>
      <c r="Y701" s="33"/>
      <c r="Z701" s="33"/>
      <c r="AA701" s="33"/>
      <c r="AB701" s="33"/>
      <c r="AC701" s="33"/>
      <c r="AD701" s="33"/>
      <c r="AE701" s="33"/>
      <c r="AF701" s="33"/>
      <c r="AG701" s="33"/>
      <c r="AH701" s="99" t="e">
        <f>INDEX(stable[q_standard],MATCH(questions[[#This Row],[qno]],stable[qno],0))</f>
        <v>#N/A</v>
      </c>
      <c r="AI701" s="99" t="e">
        <f>INDEX(stable[q_living_income],MATCH(questions[[#This Row],[qno]],stable[qno],0))</f>
        <v>#N/A</v>
      </c>
      <c r="AJ701" s="99" t="e">
        <f>INDEX(stable[q_carbon],MATCH(questions[[#This Row],[qno]],stable[qno],0))</f>
        <v>#N/A</v>
      </c>
      <c r="AK701" s="99" t="e">
        <f>INDEX(stable[q_regen_ag],MATCH(questions[[#This Row],[qno]],stable[qno],0))</f>
        <v>#N/A</v>
      </c>
      <c r="AL701" s="16" t="b">
        <f>COUNTIFS(stable[qno],questions[[#This Row],[qno]])=1</f>
        <v>1</v>
      </c>
      <c r="AM701" s="16" t="b">
        <f>OR(questions[[#This Row],[is_fixed]],questions[[#This Row],[is_localized]],questions[[#This Row],[is_supply_chain_dependent]])</f>
        <v>1</v>
      </c>
      <c r="AN701" s="16" t="b">
        <f>COUNTIFS(questions[[#This Row],[is_automated]:[is_multi_select]],TRUE)=1</f>
        <v>1</v>
      </c>
      <c r="AO701" s="16" t="b">
        <f>IF(questions[[#This Row],[is_fixed]],questions[[#This Row],[question]]=INDEX(stable[question],MATCH(questions[[#This Row],[qno]],stable[qno],0)),TRUE)</f>
        <v>1</v>
      </c>
      <c r="AP701" s="16" t="str">
        <f>LEFT(questions[[#This Row],[question]],similarity_range)</f>
        <v>What was the total q</v>
      </c>
      <c r="AQ701" s="16" t="e">
        <f>LEFT(INDEX(stable[question],MATCH(questions[[#This Row],[qno]],stable[qno],0)),similarity_range)</f>
        <v>#N/A</v>
      </c>
      <c r="AR701" s="16" t="e">
        <f>questions[[#This Row],[question_first_characters]]=questions[[#This Row],[stability_first_characters]]</f>
        <v>#N/A</v>
      </c>
      <c r="AS701" s="16" t="b">
        <f>IF(OR(questions[[#This Row],[is_single_select]],questions[[#This Row],[is_multi_select]]),NOT(ISBLANK(questions[[#This Row],[answer_opt_combined]])),TRUE)</f>
        <v>1</v>
      </c>
    </row>
    <row r="702" spans="1:45" ht="15.75" customHeight="1" x14ac:dyDescent="0.25">
      <c r="A702" s="33" t="str">
        <f>_xlfn.TEXTJOIN("_",TRUE,questions[[#This Row],[origin]:[qno]])</f>
        <v>Kenya_Arabica_Nestle_2024_5112</v>
      </c>
      <c r="B702" s="33" t="s">
        <v>818</v>
      </c>
      <c r="C702" s="33" t="s">
        <v>59</v>
      </c>
      <c r="D702" s="33" t="s">
        <v>819</v>
      </c>
      <c r="E702" s="33">
        <v>2024</v>
      </c>
      <c r="F702" s="41">
        <v>5112</v>
      </c>
      <c r="G702" s="20" t="s">
        <v>749</v>
      </c>
      <c r="H702" s="33" t="str" cm="1">
        <f t="array" ref="H702">INDEX(stableR[question],MATCH(VALUE(questions[[#This Row],[qno]]),VALUE(stableR[qno]),0))</f>
        <v>What was the unit of the synthetic fertilizer type that you used second most ? (bags, kg)</v>
      </c>
      <c r="I702" s="33" t="b" cm="1">
        <f t="array" ref="I702">INDEX(stable[is_fixed],MATCH(VALUE(questions[[#This Row],[qno]]),VALUE(stable[qno]),0))</f>
        <v>0</v>
      </c>
      <c r="J702" s="33" t="b" cm="1">
        <f t="array" ref="J702">INDEX(stable[is_localized],MATCH(VALUE(questions[[#This Row],[qno]]),VALUE(stable[qno]),0))</f>
        <v>1</v>
      </c>
      <c r="K702" s="33" t="b" cm="1">
        <f t="array" ref="K702">INDEX(stable[is_supply_chain_dependent],MATCH(VALUE(questions[[#This Row],[qno]]),VALUE(stable[qno]),0))</f>
        <v>0</v>
      </c>
      <c r="L702" s="33" t="b" cm="1">
        <f t="array" ref="L702">INDEX(stable[is_mandatory],MATCH(VALUE(questions[[#This Row],[qno]]),VALUE(stable[qno]),0))</f>
        <v>0</v>
      </c>
      <c r="M702" s="33" t="b" cm="1">
        <f t="array" ref="M702">INDEX(stable[is_automated],MATCH(VALUE(questions[[#This Row],[qno]]),VALUE(stable[qno]),0))</f>
        <v>0</v>
      </c>
      <c r="N702" s="33" t="b" cm="1">
        <f t="array" ref="N702">INDEX(stable[is_free_text],MATCH(VALUE(questions[[#This Row],[qno]]),VALUE(stable[qno]),0))</f>
        <v>0</v>
      </c>
      <c r="O702" s="33" t="b" cm="1">
        <f t="array" ref="O702">INDEX(stable[is_numerical],MATCH(VALUE(questions[[#This Row],[qno]]),VALUE(stable[qno]),0))</f>
        <v>0</v>
      </c>
      <c r="P702" s="33" t="b" cm="1">
        <f t="array" ref="P702">INDEX(stable[is_single_select],MATCH(VALUE(questions[[#This Row],[qno]]),VALUE(stable[qno]),0))</f>
        <v>1</v>
      </c>
      <c r="Q702" s="33" t="b" cm="1">
        <f t="array" ref="Q702">INDEX(stable[is_multi_select],MATCH(VALUE(questions[[#This Row],[qno]]),VALUE(stable[qno]),0))</f>
        <v>0</v>
      </c>
      <c r="R702" s="33" t="b" cm="1">
        <f t="array" ref="R702">INDEX(stable[is_skip_logic],MATCH(VALUE(questions[[#This Row],[qno]]),VALUE(stable[qno]),0))</f>
        <v>1</v>
      </c>
      <c r="S702" s="33" t="str">
        <f>_xlfn.TEXTJOIN(", ",TRUE,questions[[#This Row],[ans_opt_1]:[ans_opt_14]])</f>
        <v>kg</v>
      </c>
      <c r="T702" s="33" t="s">
        <v>562</v>
      </c>
      <c r="U702" s="33"/>
      <c r="V702" s="33"/>
      <c r="W702" s="33"/>
      <c r="X702" s="33"/>
      <c r="Y702" s="33"/>
      <c r="Z702" s="33"/>
      <c r="AA702" s="33"/>
      <c r="AB702" s="33"/>
      <c r="AC702" s="33"/>
      <c r="AD702" s="33"/>
      <c r="AE702" s="33"/>
      <c r="AF702" s="33"/>
      <c r="AG702" s="33"/>
      <c r="AH702" s="99" t="e">
        <f>INDEX(stable[q_standard],MATCH(questions[[#This Row],[qno]],stable[qno],0))</f>
        <v>#N/A</v>
      </c>
      <c r="AI702" s="99" t="e">
        <f>INDEX(stable[q_living_income],MATCH(questions[[#This Row],[qno]],stable[qno],0))</f>
        <v>#N/A</v>
      </c>
      <c r="AJ702" s="99" t="e">
        <f>INDEX(stable[q_carbon],MATCH(questions[[#This Row],[qno]],stable[qno],0))</f>
        <v>#N/A</v>
      </c>
      <c r="AK702" s="99" t="e">
        <f>INDEX(stable[q_regen_ag],MATCH(questions[[#This Row],[qno]],stable[qno],0))</f>
        <v>#N/A</v>
      </c>
      <c r="AL702" s="16" t="b">
        <f>COUNTIFS(stable[qno],questions[[#This Row],[qno]])=1</f>
        <v>1</v>
      </c>
      <c r="AM702" s="16" t="b">
        <f>OR(questions[[#This Row],[is_fixed]],questions[[#This Row],[is_localized]],questions[[#This Row],[is_supply_chain_dependent]])</f>
        <v>1</v>
      </c>
      <c r="AN702" s="16" t="b">
        <f>COUNTIFS(questions[[#This Row],[is_automated]:[is_multi_select]],TRUE)=1</f>
        <v>1</v>
      </c>
      <c r="AO702" s="16" t="b">
        <f>IF(questions[[#This Row],[is_fixed]],questions[[#This Row],[question]]=INDEX(stable[question],MATCH(questions[[#This Row],[qno]],stable[qno],0)),TRUE)</f>
        <v>1</v>
      </c>
      <c r="AP702" s="16" t="str">
        <f>LEFT(questions[[#This Row],[question]],similarity_range)</f>
        <v>Please ensure that t</v>
      </c>
      <c r="AQ702" s="16" t="e">
        <f>LEFT(INDEX(stable[question],MATCH(questions[[#This Row],[qno]],stable[qno],0)),similarity_range)</f>
        <v>#N/A</v>
      </c>
      <c r="AR702" s="16" t="e">
        <f>questions[[#This Row],[question_first_characters]]=questions[[#This Row],[stability_first_characters]]</f>
        <v>#N/A</v>
      </c>
      <c r="AS702" s="16" t="b">
        <f>IF(OR(questions[[#This Row],[is_single_select]],questions[[#This Row],[is_multi_select]]),NOT(ISBLANK(questions[[#This Row],[answer_opt_combined]])),TRUE)</f>
        <v>1</v>
      </c>
    </row>
    <row r="703" spans="1:45" ht="15.75" customHeight="1" x14ac:dyDescent="0.25">
      <c r="A703" s="33" t="str">
        <f>_xlfn.TEXTJOIN("_",TRUE,questions[[#This Row],[origin]:[qno]])</f>
        <v>Kenya_Arabica_Nestle_2024_5140</v>
      </c>
      <c r="B703" s="33" t="s">
        <v>818</v>
      </c>
      <c r="C703" s="33" t="s">
        <v>59</v>
      </c>
      <c r="D703" s="33" t="s">
        <v>819</v>
      </c>
      <c r="E703" s="33">
        <v>2024</v>
      </c>
      <c r="F703" s="41" t="s">
        <v>171</v>
      </c>
      <c r="G703" s="18" t="s">
        <v>172</v>
      </c>
      <c r="H703" s="33" t="str" cm="1">
        <f t="array" ref="H703">INDEX(stableR[question],MATCH(VALUE(questions[[#This Row],[qno]]),VALUE(stableR[qno]),0))</f>
        <v>Did you use Limestone or Dolomitic Limestone (Dolomite) last year?</v>
      </c>
      <c r="I703" s="33" t="b" cm="1">
        <f t="array" ref="I703">INDEX(stable[is_fixed],MATCH(VALUE(questions[[#This Row],[qno]]),VALUE(stable[qno]),0))</f>
        <v>1</v>
      </c>
      <c r="J703" s="33" t="b" cm="1">
        <f t="array" ref="J703">INDEX(stable[is_localized],MATCH(VALUE(questions[[#This Row],[qno]]),VALUE(stable[qno]),0))</f>
        <v>1</v>
      </c>
      <c r="K703" s="33" t="b" cm="1">
        <f t="array" ref="K703">INDEX(stable[is_supply_chain_dependent],MATCH(VALUE(questions[[#This Row],[qno]]),VALUE(stable[qno]),0))</f>
        <v>0</v>
      </c>
      <c r="L703" s="33" t="b" cm="1">
        <f t="array" ref="L703">INDEX(stable[is_mandatory],MATCH(VALUE(questions[[#This Row],[qno]]),VALUE(stable[qno]),0))</f>
        <v>1</v>
      </c>
      <c r="M703" s="33" t="b" cm="1">
        <f t="array" ref="M703">INDEX(stable[is_automated],MATCH(VALUE(questions[[#This Row],[qno]]),VALUE(stable[qno]),0))</f>
        <v>0</v>
      </c>
      <c r="N703" s="33" t="b" cm="1">
        <f t="array" ref="N703">INDEX(stable[is_free_text],MATCH(VALUE(questions[[#This Row],[qno]]),VALUE(stable[qno]),0))</f>
        <v>0</v>
      </c>
      <c r="O703" s="33" t="b" cm="1">
        <f t="array" ref="O703">INDEX(stable[is_numerical],MATCH(VALUE(questions[[#This Row],[qno]]),VALUE(stable[qno]),0))</f>
        <v>0</v>
      </c>
      <c r="P703" s="33" t="b" cm="1">
        <f t="array" ref="P703">INDEX(stable[is_single_select],MATCH(VALUE(questions[[#This Row],[qno]]),VALUE(stable[qno]),0))</f>
        <v>1</v>
      </c>
      <c r="Q703" s="33" t="b" cm="1">
        <f t="array" ref="Q703">INDEX(stable[is_multi_select],MATCH(VALUE(questions[[#This Row],[qno]]),VALUE(stable[qno]),0))</f>
        <v>0</v>
      </c>
      <c r="R703" s="33" t="b" cm="1">
        <f t="array" ref="R703">INDEX(stable[is_skip_logic],MATCH(VALUE(questions[[#This Row],[qno]]),VALUE(stable[qno]),0))</f>
        <v>1</v>
      </c>
      <c r="S703" s="33" t="str">
        <f>_xlfn.TEXTJOIN(", ",TRUE,questions[[#This Row],[ans_opt_1]:[ans_opt_14]])</f>
        <v/>
      </c>
      <c r="T703" s="33"/>
      <c r="U703" s="33"/>
      <c r="V703" s="33"/>
      <c r="W703" s="33"/>
      <c r="X703" s="33"/>
      <c r="Y703" s="33"/>
      <c r="Z703" s="33"/>
      <c r="AA703" s="33"/>
      <c r="AB703" s="33"/>
      <c r="AC703" s="33"/>
      <c r="AD703" s="33"/>
      <c r="AE703" s="33"/>
      <c r="AF703" s="33"/>
      <c r="AG703" s="33"/>
      <c r="AH703" s="99" t="b">
        <f>INDEX(stable[q_standard],MATCH(questions[[#This Row],[qno]],stable[qno],0))</f>
        <v>0</v>
      </c>
      <c r="AI703" s="99" t="b">
        <f>INDEX(stable[q_living_income],MATCH(questions[[#This Row],[qno]],stable[qno],0))</f>
        <v>1</v>
      </c>
      <c r="AJ703" s="99" t="b">
        <f>INDEX(stable[q_carbon],MATCH(questions[[#This Row],[qno]],stable[qno],0))</f>
        <v>1</v>
      </c>
      <c r="AK703" s="99" t="b">
        <f>INDEX(stable[q_regen_ag],MATCH(questions[[#This Row],[qno]],stable[qno],0))</f>
        <v>0</v>
      </c>
      <c r="AL703" s="16" t="b">
        <f>COUNTIFS(stable[qno],questions[[#This Row],[qno]])=1</f>
        <v>1</v>
      </c>
      <c r="AM703" s="16" t="b">
        <f>OR(questions[[#This Row],[is_fixed]],questions[[#This Row],[is_localized]],questions[[#This Row],[is_supply_chain_dependent]])</f>
        <v>1</v>
      </c>
      <c r="AN703" s="16" t="b">
        <f>COUNTIFS(questions[[#This Row],[is_automated]:[is_multi_select]],TRUE)=1</f>
        <v>1</v>
      </c>
      <c r="AO703" s="16" t="b">
        <f>IF(questions[[#This Row],[is_fixed]],questions[[#This Row],[question]]=INDEX(stable[question],MATCH(questions[[#This Row],[qno]],stable[qno],0)),TRUE)</f>
        <v>0</v>
      </c>
      <c r="AP703" s="16" t="str">
        <f>LEFT(questions[[#This Row],[question]],similarity_range)</f>
        <v>Is there any other t</v>
      </c>
      <c r="AQ703" s="16" t="str">
        <f>LEFT(INDEX(stable[question],MATCH(questions[[#This Row],[qno]],stable[qno],0)),similarity_range)</f>
        <v>Did you use Limeston</v>
      </c>
      <c r="AR703" s="16" t="b">
        <f>questions[[#This Row],[question_first_characters]]=questions[[#This Row],[stability_first_characters]]</f>
        <v>0</v>
      </c>
      <c r="AS703" s="16" t="b">
        <f>IF(OR(questions[[#This Row],[is_single_select]],questions[[#This Row],[is_multi_select]]),NOT(ISBLANK(questions[[#This Row],[answer_opt_combined]])),TRUE)</f>
        <v>1</v>
      </c>
    </row>
    <row r="704" spans="1:45" ht="15.75" customHeight="1" x14ac:dyDescent="0.25">
      <c r="A704" s="33" t="str">
        <f>_xlfn.TEXTJOIN("_",TRUE,questions[[#This Row],[origin]:[qno]])</f>
        <v>Kenya_Arabica_Nestle_2024_5141</v>
      </c>
      <c r="B704" s="33" t="s">
        <v>818</v>
      </c>
      <c r="C704" s="33" t="s">
        <v>59</v>
      </c>
      <c r="D704" s="33" t="s">
        <v>819</v>
      </c>
      <c r="E704" s="33">
        <v>2024</v>
      </c>
      <c r="F704" s="41">
        <v>5141</v>
      </c>
      <c r="G704" s="20" t="s">
        <v>751</v>
      </c>
      <c r="H704" s="33" t="str" cm="1">
        <f t="array" ref="H704">INDEX(stableR[question],MATCH(VALUE(questions[[#This Row],[qno]]),VALUE(stableR[qno]),0))</f>
        <v>What was the total quantity of the Limestone or Dolomitic Limestone (Dolomite) that you used last year? (Kg)</v>
      </c>
      <c r="I704" s="33" t="b" cm="1">
        <f t="array" ref="I704">INDEX(stable[is_fixed],MATCH(VALUE(questions[[#This Row],[qno]]),VALUE(stable[qno]),0))</f>
        <v>0</v>
      </c>
      <c r="J704" s="33" t="b" cm="1">
        <f t="array" ref="J704">INDEX(stable[is_localized],MATCH(VALUE(questions[[#This Row],[qno]]),VALUE(stable[qno]),0))</f>
        <v>1</v>
      </c>
      <c r="K704" s="33" t="b" cm="1">
        <f t="array" ref="K704">INDEX(stable[is_supply_chain_dependent],MATCH(VALUE(questions[[#This Row],[qno]]),VALUE(stable[qno]),0))</f>
        <v>0</v>
      </c>
      <c r="L704" s="33" t="b" cm="1">
        <f t="array" ref="L704">INDEX(stable[is_mandatory],MATCH(VALUE(questions[[#This Row],[qno]]),VALUE(stable[qno]),0))</f>
        <v>0</v>
      </c>
      <c r="M704" s="33" t="b" cm="1">
        <f t="array" ref="M704">INDEX(stable[is_automated],MATCH(VALUE(questions[[#This Row],[qno]]),VALUE(stable[qno]),0))</f>
        <v>0</v>
      </c>
      <c r="N704" s="33" t="b" cm="1">
        <f t="array" ref="N704">INDEX(stable[is_free_text],MATCH(VALUE(questions[[#This Row],[qno]]),VALUE(stable[qno]),0))</f>
        <v>0</v>
      </c>
      <c r="O704" s="33" t="b" cm="1">
        <f t="array" ref="O704">INDEX(stable[is_numerical],MATCH(VALUE(questions[[#This Row],[qno]]),VALUE(stable[qno]),0))</f>
        <v>1</v>
      </c>
      <c r="P704" s="33" t="b" cm="1">
        <f t="array" ref="P704">INDEX(stable[is_single_select],MATCH(VALUE(questions[[#This Row],[qno]]),VALUE(stable[qno]),0))</f>
        <v>0</v>
      </c>
      <c r="Q704" s="33" t="b" cm="1">
        <f t="array" ref="Q704">INDEX(stable[is_multi_select],MATCH(VALUE(questions[[#This Row],[qno]]),VALUE(stable[qno]),0))</f>
        <v>0</v>
      </c>
      <c r="R704" s="33" t="b" cm="1">
        <f t="array" ref="R704">INDEX(stable[is_skip_logic],MATCH(VALUE(questions[[#This Row],[qno]]),VALUE(stable[qno]),0))</f>
        <v>1</v>
      </c>
      <c r="S704" s="33" t="str">
        <f>_xlfn.TEXTJOIN(", ",TRUE,questions[[#This Row],[ans_opt_1]:[ans_opt_14]])</f>
        <v/>
      </c>
      <c r="T704" s="33"/>
      <c r="U704" s="33"/>
      <c r="V704" s="33"/>
      <c r="W704" s="33"/>
      <c r="X704" s="33"/>
      <c r="Y704" s="33"/>
      <c r="Z704" s="33"/>
      <c r="AA704" s="33"/>
      <c r="AB704" s="33"/>
      <c r="AC704" s="33"/>
      <c r="AD704" s="33"/>
      <c r="AE704" s="33"/>
      <c r="AF704" s="33"/>
      <c r="AG704" s="33"/>
      <c r="AH704" s="99" t="e">
        <f>INDEX(stable[q_standard],MATCH(questions[[#This Row],[qno]],stable[qno],0))</f>
        <v>#N/A</v>
      </c>
      <c r="AI704" s="99" t="e">
        <f>INDEX(stable[q_living_income],MATCH(questions[[#This Row],[qno]],stable[qno],0))</f>
        <v>#N/A</v>
      </c>
      <c r="AJ704" s="99" t="e">
        <f>INDEX(stable[q_carbon],MATCH(questions[[#This Row],[qno]],stable[qno],0))</f>
        <v>#N/A</v>
      </c>
      <c r="AK704" s="99" t="e">
        <f>INDEX(stable[q_regen_ag],MATCH(questions[[#This Row],[qno]],stable[qno],0))</f>
        <v>#N/A</v>
      </c>
      <c r="AL704" s="16" t="b">
        <f>COUNTIFS(stable[qno],questions[[#This Row],[qno]])=1</f>
        <v>1</v>
      </c>
      <c r="AM704" s="16" t="b">
        <f>OR(questions[[#This Row],[is_fixed]],questions[[#This Row],[is_localized]],questions[[#This Row],[is_supply_chain_dependent]])</f>
        <v>1</v>
      </c>
      <c r="AN704" s="16" t="b">
        <f>COUNTIFS(questions[[#This Row],[is_automated]:[is_multi_select]],TRUE)=1</f>
        <v>1</v>
      </c>
      <c r="AO704" s="16" t="b">
        <f>IF(questions[[#This Row],[is_fixed]],questions[[#This Row],[question]]=INDEX(stable[question],MATCH(questions[[#This Row],[qno]],stable[qno],0)),TRUE)</f>
        <v>1</v>
      </c>
      <c r="AP704" s="16" t="str">
        <f>LEFT(questions[[#This Row],[question]],similarity_range)</f>
        <v>What was the total q</v>
      </c>
      <c r="AQ704" s="16" t="e">
        <f>LEFT(INDEX(stable[question],MATCH(questions[[#This Row],[qno]],stable[qno],0)),similarity_range)</f>
        <v>#N/A</v>
      </c>
      <c r="AR704" s="16" t="e">
        <f>questions[[#This Row],[question_first_characters]]=questions[[#This Row],[stability_first_characters]]</f>
        <v>#N/A</v>
      </c>
      <c r="AS704" s="16" t="b">
        <f>IF(OR(questions[[#This Row],[is_single_select]],questions[[#This Row],[is_multi_select]]),NOT(ISBLANK(questions[[#This Row],[answer_opt_combined]])),TRUE)</f>
        <v>1</v>
      </c>
    </row>
    <row r="705" spans="1:45" ht="15.75" customHeight="1" x14ac:dyDescent="0.25">
      <c r="A705" s="33" t="str">
        <f>_xlfn.TEXTJOIN("_",TRUE,questions[[#This Row],[origin]:[qno]])</f>
        <v>Kenya_Arabica_Nestle_2024_5142</v>
      </c>
      <c r="B705" s="33" t="s">
        <v>818</v>
      </c>
      <c r="C705" s="33" t="s">
        <v>59</v>
      </c>
      <c r="D705" s="33" t="s">
        <v>819</v>
      </c>
      <c r="E705" s="33">
        <v>2024</v>
      </c>
      <c r="F705" s="41">
        <v>5142</v>
      </c>
      <c r="G705" s="20" t="s">
        <v>752</v>
      </c>
      <c r="H705" s="33" t="str" cm="1">
        <f t="array" ref="H705">INDEX(stableR[question],MATCH(VALUE(questions[[#This Row],[qno]]),VALUE(stableR[qno]),0))</f>
        <v>What was the unit of the Limestone or Dolomitic Limestone (Dolomite)? (bags, kg)</v>
      </c>
      <c r="I705" s="33" t="b" cm="1">
        <f t="array" ref="I705">INDEX(stable[is_fixed],MATCH(VALUE(questions[[#This Row],[qno]]),VALUE(stable[qno]),0))</f>
        <v>0</v>
      </c>
      <c r="J705" s="33" t="b" cm="1">
        <f t="array" ref="J705">INDEX(stable[is_localized],MATCH(VALUE(questions[[#This Row],[qno]]),VALUE(stable[qno]),0))</f>
        <v>1</v>
      </c>
      <c r="K705" s="33" t="b" cm="1">
        <f t="array" ref="K705">INDEX(stable[is_supply_chain_dependent],MATCH(VALUE(questions[[#This Row],[qno]]),VALUE(stable[qno]),0))</f>
        <v>0</v>
      </c>
      <c r="L705" s="33" t="b" cm="1">
        <f t="array" ref="L705">INDEX(stable[is_mandatory],MATCH(VALUE(questions[[#This Row],[qno]]),VALUE(stable[qno]),0))</f>
        <v>0</v>
      </c>
      <c r="M705" s="33" t="b" cm="1">
        <f t="array" ref="M705">INDEX(stable[is_automated],MATCH(VALUE(questions[[#This Row],[qno]]),VALUE(stable[qno]),0))</f>
        <v>0</v>
      </c>
      <c r="N705" s="33" t="b" cm="1">
        <f t="array" ref="N705">INDEX(stable[is_free_text],MATCH(VALUE(questions[[#This Row],[qno]]),VALUE(stable[qno]),0))</f>
        <v>0</v>
      </c>
      <c r="O705" s="33" t="b" cm="1">
        <f t="array" ref="O705">INDEX(stable[is_numerical],MATCH(VALUE(questions[[#This Row],[qno]]),VALUE(stable[qno]),0))</f>
        <v>0</v>
      </c>
      <c r="P705" s="33" t="b" cm="1">
        <f t="array" ref="P705">INDEX(stable[is_single_select],MATCH(VALUE(questions[[#This Row],[qno]]),VALUE(stable[qno]),0))</f>
        <v>1</v>
      </c>
      <c r="Q705" s="33" t="b" cm="1">
        <f t="array" ref="Q705">INDEX(stable[is_multi_select],MATCH(VALUE(questions[[#This Row],[qno]]),VALUE(stable[qno]),0))</f>
        <v>0</v>
      </c>
      <c r="R705" s="33" t="b" cm="1">
        <f t="array" ref="R705">INDEX(stable[is_skip_logic],MATCH(VALUE(questions[[#This Row],[qno]]),VALUE(stable[qno]),0))</f>
        <v>1</v>
      </c>
      <c r="S705" s="33" t="str">
        <f>_xlfn.TEXTJOIN(", ",TRUE,questions[[#This Row],[ans_opt_1]:[ans_opt_14]])</f>
        <v>kg</v>
      </c>
      <c r="T705" s="33" t="s">
        <v>562</v>
      </c>
      <c r="U705" s="33"/>
      <c r="V705" s="33"/>
      <c r="W705" s="33"/>
      <c r="X705" s="33"/>
      <c r="Y705" s="33"/>
      <c r="Z705" s="33"/>
      <c r="AA705" s="33"/>
      <c r="AB705" s="33"/>
      <c r="AC705" s="33"/>
      <c r="AD705" s="33"/>
      <c r="AE705" s="33"/>
      <c r="AF705" s="33"/>
      <c r="AG705" s="33"/>
      <c r="AH705" s="99" t="e">
        <f>INDEX(stable[q_standard],MATCH(questions[[#This Row],[qno]],stable[qno],0))</f>
        <v>#N/A</v>
      </c>
      <c r="AI705" s="99" t="e">
        <f>INDEX(stable[q_living_income],MATCH(questions[[#This Row],[qno]],stable[qno],0))</f>
        <v>#N/A</v>
      </c>
      <c r="AJ705" s="99" t="e">
        <f>INDEX(stable[q_carbon],MATCH(questions[[#This Row],[qno]],stable[qno],0))</f>
        <v>#N/A</v>
      </c>
      <c r="AK705" s="99" t="e">
        <f>INDEX(stable[q_regen_ag],MATCH(questions[[#This Row],[qno]],stable[qno],0))</f>
        <v>#N/A</v>
      </c>
      <c r="AL705" s="16" t="b">
        <f>COUNTIFS(stable[qno],questions[[#This Row],[qno]])=1</f>
        <v>1</v>
      </c>
      <c r="AM705" s="16" t="b">
        <f>OR(questions[[#This Row],[is_fixed]],questions[[#This Row],[is_localized]],questions[[#This Row],[is_supply_chain_dependent]])</f>
        <v>1</v>
      </c>
      <c r="AN705" s="16" t="b">
        <f>COUNTIFS(questions[[#This Row],[is_automated]:[is_multi_select]],TRUE)=1</f>
        <v>1</v>
      </c>
      <c r="AO705" s="16" t="b">
        <f>IF(questions[[#This Row],[is_fixed]],questions[[#This Row],[question]]=INDEX(stable[question],MATCH(questions[[#This Row],[qno]],stable[qno],0)),TRUE)</f>
        <v>1</v>
      </c>
      <c r="AP705" s="16" t="str">
        <f>LEFT(questions[[#This Row],[question]],similarity_range)</f>
        <v>Please ensure that t</v>
      </c>
      <c r="AQ705" s="16" t="e">
        <f>LEFT(INDEX(stable[question],MATCH(questions[[#This Row],[qno]],stable[qno],0)),similarity_range)</f>
        <v>#N/A</v>
      </c>
      <c r="AR705" s="16" t="e">
        <f>questions[[#This Row],[question_first_characters]]=questions[[#This Row],[stability_first_characters]]</f>
        <v>#N/A</v>
      </c>
      <c r="AS705" s="16" t="b">
        <f>IF(OR(questions[[#This Row],[is_single_select]],questions[[#This Row],[is_multi_select]]),NOT(ISBLANK(questions[[#This Row],[answer_opt_combined]])),TRUE)</f>
        <v>1</v>
      </c>
    </row>
    <row r="706" spans="1:45" s="77" customFormat="1" ht="15.75" customHeight="1" x14ac:dyDescent="0.25">
      <c r="A706" s="77" t="str">
        <f>_xlfn.TEXTJOIN("_",TRUE,questions[[#This Row],[origin]:[qno]])</f>
        <v>Kenya_Arabica_Nestle_2024_5400</v>
      </c>
      <c r="B706" s="77" t="s">
        <v>818</v>
      </c>
      <c r="C706" s="77" t="s">
        <v>59</v>
      </c>
      <c r="D706" s="77" t="s">
        <v>819</v>
      </c>
      <c r="E706" s="77">
        <v>2024</v>
      </c>
      <c r="F706" s="105" t="s">
        <v>175</v>
      </c>
      <c r="G706" s="78" t="s">
        <v>176</v>
      </c>
      <c r="H706" s="33" t="str" cm="1">
        <f t="array" ref="H706">INDEX(stableR[question],MATCH(VALUE(questions[[#This Row],[qno]]),VALUE(stableR[qno]),0))</f>
        <v>Did you use any type of animal manure, compost, or organic fertilizers for your coffee last year?</v>
      </c>
      <c r="I706" s="33" t="b" cm="1">
        <f t="array" ref="I706">INDEX(stable[is_fixed],MATCH(VALUE(questions[[#This Row],[qno]]),VALUE(stable[qno]),0))</f>
        <v>1</v>
      </c>
      <c r="J706" s="33" t="b" cm="1">
        <f t="array" ref="J706">INDEX(stable[is_localized],MATCH(VALUE(questions[[#This Row],[qno]]),VALUE(stable[qno]),0))</f>
        <v>0</v>
      </c>
      <c r="K706" s="33" t="b" cm="1">
        <f t="array" ref="K706">INDEX(stable[is_supply_chain_dependent],MATCH(VALUE(questions[[#This Row],[qno]]),VALUE(stable[qno]),0))</f>
        <v>0</v>
      </c>
      <c r="L706" s="33" t="b" cm="1">
        <f t="array" ref="L706">INDEX(stable[is_mandatory],MATCH(VALUE(questions[[#This Row],[qno]]),VALUE(stable[qno]),0))</f>
        <v>1</v>
      </c>
      <c r="M706" s="33" t="b" cm="1">
        <f t="array" ref="M706">INDEX(stable[is_automated],MATCH(VALUE(questions[[#This Row],[qno]]),VALUE(stable[qno]),0))</f>
        <v>0</v>
      </c>
      <c r="N706" s="33" t="b" cm="1">
        <f t="array" ref="N706">INDEX(stable[is_free_text],MATCH(VALUE(questions[[#This Row],[qno]]),VALUE(stable[qno]),0))</f>
        <v>0</v>
      </c>
      <c r="O706" s="33" t="b" cm="1">
        <f t="array" ref="O706">INDEX(stable[is_numerical],MATCH(VALUE(questions[[#This Row],[qno]]),VALUE(stable[qno]),0))</f>
        <v>0</v>
      </c>
      <c r="P706" s="77" t="b" cm="1">
        <f t="array" ref="P706">INDEX(stable[is_single_select],MATCH(VALUE(questions[[#This Row],[qno]]),VALUE(stable[qno]),0))</f>
        <v>1</v>
      </c>
      <c r="Q706" s="77" t="b" cm="1">
        <f t="array" ref="Q706">INDEX(stable[is_multi_select],MATCH(VALUE(questions[[#This Row],[qno]]),VALUE(stable[qno]),0))</f>
        <v>0</v>
      </c>
      <c r="R706" s="77" t="b" cm="1">
        <f t="array" ref="R706">INDEX(stable[is_skip_logic],MATCH(VALUE(questions[[#This Row],[qno]]),VALUE(stable[qno]),0))</f>
        <v>1</v>
      </c>
      <c r="S706" s="77" t="str">
        <f>_xlfn.TEXTJOIN(", ",TRUE,questions[[#This Row],[ans_opt_1]:[ans_opt_14]])</f>
        <v>Yes, No</v>
      </c>
      <c r="T706" s="77" t="s">
        <v>149</v>
      </c>
      <c r="U706" s="77" t="s">
        <v>119</v>
      </c>
      <c r="AH706" s="98" t="b">
        <f>INDEX(stable[q_standard],MATCH(questions[[#This Row],[qno]],stable[qno],0))</f>
        <v>0</v>
      </c>
      <c r="AI706" s="98" t="b">
        <f>INDEX(stable[q_living_income],MATCH(questions[[#This Row],[qno]],stable[qno],0))</f>
        <v>1</v>
      </c>
      <c r="AJ706" s="98" t="b">
        <f>INDEX(stable[q_carbon],MATCH(questions[[#This Row],[qno]],stable[qno],0))</f>
        <v>1</v>
      </c>
      <c r="AK706" s="98" t="b">
        <f>INDEX(stable[q_regen_ag],MATCH(questions[[#This Row],[qno]],stable[qno],0))</f>
        <v>0</v>
      </c>
      <c r="AL706" s="98" t="b">
        <f>COUNTIFS(stable[qno],questions[[#This Row],[qno]])=1</f>
        <v>1</v>
      </c>
      <c r="AM706" s="98" t="b">
        <f>OR(questions[[#This Row],[is_fixed]],questions[[#This Row],[is_localized]],questions[[#This Row],[is_supply_chain_dependent]])</f>
        <v>1</v>
      </c>
      <c r="AN706" s="98" t="b">
        <f>COUNTIFS(questions[[#This Row],[is_automated]:[is_multi_select]],TRUE)=1</f>
        <v>1</v>
      </c>
      <c r="AO706" s="98" t="b">
        <f>IF(questions[[#This Row],[is_fixed]],questions[[#This Row],[question]]=INDEX(stable[question],MATCH(questions[[#This Row],[qno]],stable[qno],0)),TRUE)</f>
        <v>1</v>
      </c>
      <c r="AP706" s="98" t="str">
        <f>LEFT(questions[[#This Row],[question]],similarity_range)</f>
        <v>Did you use any type</v>
      </c>
      <c r="AQ706" s="98" t="str">
        <f>LEFT(INDEX(stable[question],MATCH(questions[[#This Row],[qno]],stable[qno],0)),similarity_range)</f>
        <v>Did you use any type</v>
      </c>
      <c r="AR706" s="98" t="b">
        <f>questions[[#This Row],[question_first_characters]]=questions[[#This Row],[stability_first_characters]]</f>
        <v>1</v>
      </c>
      <c r="AS706" s="98" t="b">
        <f>IF(OR(questions[[#This Row],[is_single_select]],questions[[#This Row],[is_multi_select]]),NOT(ISBLANK(questions[[#This Row],[answer_opt_combined]])),TRUE)</f>
        <v>1</v>
      </c>
    </row>
    <row r="707" spans="1:45" ht="15.75" customHeight="1" x14ac:dyDescent="0.25">
      <c r="A707" s="33" t="str">
        <f>_xlfn.TEXTJOIN("_",TRUE,questions[[#This Row],[origin]:[qno]])</f>
        <v>Kenya_Arabica_Nestle_2024_5401</v>
      </c>
      <c r="B707" s="33" t="s">
        <v>818</v>
      </c>
      <c r="C707" s="33" t="s">
        <v>59</v>
      </c>
      <c r="D707" s="33" t="s">
        <v>819</v>
      </c>
      <c r="E707" s="33">
        <v>2024</v>
      </c>
      <c r="F707" s="41" t="s">
        <v>177</v>
      </c>
      <c r="G707" s="18" t="s">
        <v>178</v>
      </c>
      <c r="H707" s="33" t="str" cm="1">
        <f t="array" ref="H707">INDEX(stableR[question],MATCH(VALUE(questions[[#This Row],[qno]]),VALUE(stableR[qno]),0))</f>
        <v>What was the type of animal manure, compost, or organic fertilizer that you used most last year?</v>
      </c>
      <c r="I707" s="33" t="b" cm="1">
        <f t="array" ref="I707">INDEX(stable[is_fixed],MATCH(VALUE(questions[[#This Row],[qno]]),VALUE(stable[qno]),0))</f>
        <v>1</v>
      </c>
      <c r="J707" s="33" t="b" cm="1">
        <f t="array" ref="J707">INDEX(stable[is_localized],MATCH(VALUE(questions[[#This Row],[qno]]),VALUE(stable[qno]),0))</f>
        <v>0</v>
      </c>
      <c r="K707" s="33" t="b" cm="1">
        <f t="array" ref="K707">INDEX(stable[is_supply_chain_dependent],MATCH(VALUE(questions[[#This Row],[qno]]),VALUE(stable[qno]),0))</f>
        <v>0</v>
      </c>
      <c r="L707" s="33" t="b" cm="1">
        <f t="array" ref="L707">INDEX(stable[is_mandatory],MATCH(VALUE(questions[[#This Row],[qno]]),VALUE(stable[qno]),0))</f>
        <v>0</v>
      </c>
      <c r="M707" s="33" t="b" cm="1">
        <f t="array" ref="M707">INDEX(stable[is_automated],MATCH(VALUE(questions[[#This Row],[qno]]),VALUE(stable[qno]),0))</f>
        <v>0</v>
      </c>
      <c r="N707" s="33" t="b" cm="1">
        <f t="array" ref="N707">INDEX(stable[is_free_text],MATCH(VALUE(questions[[#This Row],[qno]]),VALUE(stable[qno]),0))</f>
        <v>1</v>
      </c>
      <c r="O707" s="33" t="b" cm="1">
        <f t="array" ref="O707">INDEX(stable[is_numerical],MATCH(VALUE(questions[[#This Row],[qno]]),VALUE(stable[qno]),0))</f>
        <v>0</v>
      </c>
      <c r="P707" s="33" t="b" cm="1">
        <f t="array" ref="P707">INDEX(stable[is_single_select],MATCH(VALUE(questions[[#This Row],[qno]]),VALUE(stable[qno]),0))</f>
        <v>1</v>
      </c>
      <c r="Q707" s="33" t="b" cm="1">
        <f t="array" ref="Q707">INDEX(stable[is_multi_select],MATCH(VALUE(questions[[#This Row],[qno]]),VALUE(stable[qno]),0))</f>
        <v>0</v>
      </c>
      <c r="R707" s="33" t="b" cm="1">
        <f t="array" ref="R707">INDEX(stable[is_skip_logic],MATCH(VALUE(questions[[#This Row],[qno]]),VALUE(stable[qno]),0))</f>
        <v>1</v>
      </c>
      <c r="S707" s="33" t="str">
        <f>_xlfn.TEXTJOIN(", ",TRUE,questions[[#This Row],[ans_opt_1]:[ans_opt_14]])</f>
        <v/>
      </c>
      <c r="T707" s="33"/>
      <c r="U707" s="33"/>
      <c r="V707" s="33"/>
      <c r="W707" s="33"/>
      <c r="X707" s="33"/>
      <c r="Y707" s="33"/>
      <c r="Z707" s="33"/>
      <c r="AA707" s="33"/>
      <c r="AB707" s="33"/>
      <c r="AC707" s="33"/>
      <c r="AD707" s="33"/>
      <c r="AE707" s="33"/>
      <c r="AF707" s="33"/>
      <c r="AG707" s="33"/>
      <c r="AH707" s="99" t="b">
        <f>INDEX(stable[q_standard],MATCH(questions[[#This Row],[qno]],stable[qno],0))</f>
        <v>0</v>
      </c>
      <c r="AI707" s="99" t="b">
        <f>INDEX(stable[q_living_income],MATCH(questions[[#This Row],[qno]],stable[qno],0))</f>
        <v>1</v>
      </c>
      <c r="AJ707" s="99" t="b">
        <f>INDEX(stable[q_carbon],MATCH(questions[[#This Row],[qno]],stable[qno],0))</f>
        <v>1</v>
      </c>
      <c r="AK707" s="99" t="b">
        <f>INDEX(stable[q_regen_ag],MATCH(questions[[#This Row],[qno]],stable[qno],0))</f>
        <v>0</v>
      </c>
      <c r="AL707" s="16" t="b">
        <f>COUNTIFS(stable[qno],questions[[#This Row],[qno]])=1</f>
        <v>1</v>
      </c>
      <c r="AM707" s="16" t="b">
        <f>OR(questions[[#This Row],[is_fixed]],questions[[#This Row],[is_localized]],questions[[#This Row],[is_supply_chain_dependent]])</f>
        <v>1</v>
      </c>
      <c r="AN707" s="16" t="b">
        <f>COUNTIFS(questions[[#This Row],[is_automated]:[is_multi_select]],TRUE)=1</f>
        <v>0</v>
      </c>
      <c r="AO707" s="16" t="b">
        <f>IF(questions[[#This Row],[is_fixed]],questions[[#This Row],[question]]=INDEX(stable[question],MATCH(questions[[#This Row],[qno]],stable[qno],0)),TRUE)</f>
        <v>1</v>
      </c>
      <c r="AP707" s="16" t="str">
        <f>LEFT(questions[[#This Row],[question]],similarity_range)</f>
        <v>If yes, what was the</v>
      </c>
      <c r="AQ707" s="16" t="str">
        <f>LEFT(INDEX(stable[question],MATCH(questions[[#This Row],[qno]],stable[qno],0)),similarity_range)</f>
        <v>If yes, what was the</v>
      </c>
      <c r="AR707" s="16" t="b">
        <f>questions[[#This Row],[question_first_characters]]=questions[[#This Row],[stability_first_characters]]</f>
        <v>1</v>
      </c>
      <c r="AS707" s="16" t="b">
        <f>IF(OR(questions[[#This Row],[is_single_select]],questions[[#This Row],[is_multi_select]]),NOT(ISBLANK(questions[[#This Row],[answer_opt_combined]])),TRUE)</f>
        <v>1</v>
      </c>
    </row>
    <row r="708" spans="1:45" ht="15.75" customHeight="1" x14ac:dyDescent="0.25">
      <c r="A708" s="33" t="str">
        <f>_xlfn.TEXTJOIN("_",TRUE,questions[[#This Row],[origin]:[qno]])</f>
        <v>Kenya_Arabica_Nestle_2024_5402</v>
      </c>
      <c r="B708" s="33" t="s">
        <v>818</v>
      </c>
      <c r="C708" s="33" t="s">
        <v>59</v>
      </c>
      <c r="D708" s="33" t="s">
        <v>819</v>
      </c>
      <c r="E708" s="33">
        <v>2024</v>
      </c>
      <c r="F708" s="41" t="s">
        <v>179</v>
      </c>
      <c r="G708" s="18" t="s">
        <v>180</v>
      </c>
      <c r="H708" s="33" t="str" cm="1">
        <f t="array" ref="H708">INDEX(stableR[question],MATCH(VALUE(questions[[#This Row],[qno]]),VALUE(stableR[qno]),0))</f>
        <v>What was the total quantity of this type of animal manure/compost/organic fertilizer that you used most (Kg)?</v>
      </c>
      <c r="I708" s="33" t="b" cm="1">
        <f t="array" ref="I708">INDEX(stable[is_fixed],MATCH(VALUE(questions[[#This Row],[qno]]),VALUE(stable[qno]),0))</f>
        <v>1</v>
      </c>
      <c r="J708" s="33" t="b" cm="1">
        <f t="array" ref="J708">INDEX(stable[is_localized],MATCH(VALUE(questions[[#This Row],[qno]]),VALUE(stable[qno]),0))</f>
        <v>0</v>
      </c>
      <c r="K708" s="33" t="b" cm="1">
        <f t="array" ref="K708">INDEX(stable[is_supply_chain_dependent],MATCH(VALUE(questions[[#This Row],[qno]]),VALUE(stable[qno]),0))</f>
        <v>0</v>
      </c>
      <c r="L708" s="33" t="b" cm="1">
        <f t="array" ref="L708">INDEX(stable[is_mandatory],MATCH(VALUE(questions[[#This Row],[qno]]),VALUE(stable[qno]),0))</f>
        <v>0</v>
      </c>
      <c r="M708" s="33" t="b" cm="1">
        <f t="array" ref="M708">INDEX(stable[is_automated],MATCH(VALUE(questions[[#This Row],[qno]]),VALUE(stable[qno]),0))</f>
        <v>0</v>
      </c>
      <c r="N708" s="33" t="b" cm="1">
        <f t="array" ref="N708">INDEX(stable[is_free_text],MATCH(VALUE(questions[[#This Row],[qno]]),VALUE(stable[qno]),0))</f>
        <v>0</v>
      </c>
      <c r="O708" s="33" t="b" cm="1">
        <f t="array" ref="O708">INDEX(stable[is_numerical],MATCH(VALUE(questions[[#This Row],[qno]]),VALUE(stable[qno]),0))</f>
        <v>1</v>
      </c>
      <c r="P708" s="33" t="b" cm="1">
        <f t="array" ref="P708">INDEX(stable[is_single_select],MATCH(VALUE(questions[[#This Row],[qno]]),VALUE(stable[qno]),0))</f>
        <v>0</v>
      </c>
      <c r="Q708" s="33" t="b" cm="1">
        <f t="array" ref="Q708">INDEX(stable[is_multi_select],MATCH(VALUE(questions[[#This Row],[qno]]),VALUE(stable[qno]),0))</f>
        <v>0</v>
      </c>
      <c r="R708" s="33" t="b" cm="1">
        <f t="array" ref="R708">INDEX(stable[is_skip_logic],MATCH(VALUE(questions[[#This Row],[qno]]),VALUE(stable[qno]),0))</f>
        <v>1</v>
      </c>
      <c r="S708" s="33" t="str">
        <f>_xlfn.TEXTJOIN(", ",TRUE,questions[[#This Row],[ans_opt_1]:[ans_opt_14]])</f>
        <v/>
      </c>
      <c r="T708" s="33"/>
      <c r="U708" s="33"/>
      <c r="V708" s="33"/>
      <c r="W708" s="33"/>
      <c r="X708" s="33"/>
      <c r="Y708" s="33"/>
      <c r="Z708" s="33"/>
      <c r="AA708" s="33"/>
      <c r="AB708" s="33"/>
      <c r="AC708" s="33"/>
      <c r="AD708" s="33"/>
      <c r="AE708" s="33"/>
      <c r="AF708" s="33"/>
      <c r="AG708" s="33"/>
      <c r="AH708" s="99" t="b">
        <f>INDEX(stable[q_standard],MATCH(questions[[#This Row],[qno]],stable[qno],0))</f>
        <v>0</v>
      </c>
      <c r="AI708" s="99" t="b">
        <f>INDEX(stable[q_living_income],MATCH(questions[[#This Row],[qno]],stable[qno],0))</f>
        <v>1</v>
      </c>
      <c r="AJ708" s="99" t="b">
        <f>INDEX(stable[q_carbon],MATCH(questions[[#This Row],[qno]],stable[qno],0))</f>
        <v>1</v>
      </c>
      <c r="AK708" s="99" t="b">
        <f>INDEX(stable[q_regen_ag],MATCH(questions[[#This Row],[qno]],stable[qno],0))</f>
        <v>0</v>
      </c>
      <c r="AL708" s="16" t="b">
        <f>COUNTIFS(stable[qno],questions[[#This Row],[qno]])=1</f>
        <v>1</v>
      </c>
      <c r="AM708" s="16" t="b">
        <f>OR(questions[[#This Row],[is_fixed]],questions[[#This Row],[is_localized]],questions[[#This Row],[is_supply_chain_dependent]])</f>
        <v>1</v>
      </c>
      <c r="AN708" s="16" t="b">
        <f>COUNTIFS(questions[[#This Row],[is_automated]:[is_multi_select]],TRUE)=1</f>
        <v>1</v>
      </c>
      <c r="AO708" s="16" t="b">
        <f>IF(questions[[#This Row],[is_fixed]],questions[[#This Row],[question]]=INDEX(stable[question],MATCH(questions[[#This Row],[qno]],stable[qno],0)),TRUE)</f>
        <v>1</v>
      </c>
      <c r="AP708" s="16" t="str">
        <f>LEFT(questions[[#This Row],[question]],similarity_range)</f>
        <v>What was the total q</v>
      </c>
      <c r="AQ708" s="16" t="str">
        <f>LEFT(INDEX(stable[question],MATCH(questions[[#This Row],[qno]],stable[qno],0)),similarity_range)</f>
        <v>What was the total q</v>
      </c>
      <c r="AR708" s="16" t="b">
        <f>questions[[#This Row],[question_first_characters]]=questions[[#This Row],[stability_first_characters]]</f>
        <v>1</v>
      </c>
      <c r="AS708" s="16" t="b">
        <f>IF(OR(questions[[#This Row],[is_single_select]],questions[[#This Row],[is_multi_select]]),NOT(ISBLANK(questions[[#This Row],[answer_opt_combined]])),TRUE)</f>
        <v>1</v>
      </c>
    </row>
    <row r="709" spans="1:45" ht="15.75" customHeight="1" x14ac:dyDescent="0.25">
      <c r="A709" s="33" t="str">
        <f>_xlfn.TEXTJOIN("_",TRUE,questions[[#This Row],[origin]:[qno]])</f>
        <v>Kenya_Arabica_Nestle_2024_5403</v>
      </c>
      <c r="B709" s="33" t="s">
        <v>818</v>
      </c>
      <c r="C709" s="33" t="s">
        <v>59</v>
      </c>
      <c r="D709" s="33" t="s">
        <v>819</v>
      </c>
      <c r="E709" s="33">
        <v>2024</v>
      </c>
      <c r="F709" s="41" t="s">
        <v>181</v>
      </c>
      <c r="G709" s="216" t="s">
        <v>182</v>
      </c>
      <c r="H709" s="33" t="str" cm="1">
        <f t="array" ref="H709">INDEX(stableR[question],MATCH(VALUE(questions[[#This Row],[qno]]),VALUE(stableR[qno]),0))</f>
        <v>What was the unit of this type of animal manure/compost/organic fertilizer that you used most (kg, basins, 50 kg bags, wheel barrows, small truck/tipper, large truck)?</v>
      </c>
      <c r="I709" s="33" t="b" cm="1">
        <f t="array" ref="I709">INDEX(stable[is_fixed],MATCH(VALUE(questions[[#This Row],[qno]]),VALUE(stable[qno]),0))</f>
        <v>1</v>
      </c>
      <c r="J709" s="33" t="b" cm="1">
        <f t="array" ref="J709">INDEX(stable[is_localized],MATCH(VALUE(questions[[#This Row],[qno]]),VALUE(stable[qno]),0))</f>
        <v>0</v>
      </c>
      <c r="K709" s="33" t="b" cm="1">
        <f t="array" ref="K709">INDEX(stable[is_supply_chain_dependent],MATCH(VALUE(questions[[#This Row],[qno]]),VALUE(stable[qno]),0))</f>
        <v>0</v>
      </c>
      <c r="L709" s="33" t="b" cm="1">
        <f t="array" ref="L709">INDEX(stable[is_mandatory],MATCH(VALUE(questions[[#This Row],[qno]]),VALUE(stable[qno]),0))</f>
        <v>0</v>
      </c>
      <c r="M709" s="33" t="b" cm="1">
        <f t="array" ref="M709">INDEX(stable[is_automated],MATCH(VALUE(questions[[#This Row],[qno]]),VALUE(stable[qno]),0))</f>
        <v>0</v>
      </c>
      <c r="N709" s="33" t="b" cm="1">
        <f t="array" ref="N709">INDEX(stable[is_free_text],MATCH(VALUE(questions[[#This Row],[qno]]),VALUE(stable[qno]),0))</f>
        <v>1</v>
      </c>
      <c r="O709" s="33" t="b" cm="1">
        <f t="array" ref="O709">INDEX(stable[is_numerical],MATCH(VALUE(questions[[#This Row],[qno]]),VALUE(stable[qno]),0))</f>
        <v>0</v>
      </c>
      <c r="P709" s="33" t="b" cm="1">
        <f t="array" ref="P709">INDEX(stable[is_single_select],MATCH(VALUE(questions[[#This Row],[qno]]),VALUE(stable[qno]),0))</f>
        <v>0</v>
      </c>
      <c r="Q709" s="33" t="b" cm="1">
        <f t="array" ref="Q709">INDEX(stable[is_multi_select],MATCH(VALUE(questions[[#This Row],[qno]]),VALUE(stable[qno]),0))</f>
        <v>0</v>
      </c>
      <c r="R709" s="33" t="b" cm="1">
        <f t="array" ref="R709">INDEX(stable[is_skip_logic],MATCH(VALUE(questions[[#This Row],[qno]]),VALUE(stable[qno]),0))</f>
        <v>1</v>
      </c>
      <c r="S709" s="33" t="str">
        <f>_xlfn.TEXTJOIN(", ",TRUE,questions[[#This Row],[ans_opt_1]:[ans_opt_14]])</f>
        <v>kg's, basins (11 kg/load), debe (11 kg/load), wheel barrows (40 kg/load), small truck (1000 kg/load), medium truck (3000 kg/load), large truck (6000 kg/load)</v>
      </c>
      <c r="T709" s="33" t="s">
        <v>754</v>
      </c>
      <c r="U709" s="33" t="s">
        <v>839</v>
      </c>
      <c r="V709" s="33" t="s">
        <v>840</v>
      </c>
      <c r="W709" s="33" t="s">
        <v>841</v>
      </c>
      <c r="X709" s="33" t="s">
        <v>757</v>
      </c>
      <c r="Y709" s="33" t="s">
        <v>758</v>
      </c>
      <c r="Z709" s="33" t="s">
        <v>759</v>
      </c>
      <c r="AA709" s="33"/>
      <c r="AB709" s="33"/>
      <c r="AC709" s="33"/>
      <c r="AD709" s="33"/>
      <c r="AE709" s="33"/>
      <c r="AF709" s="33"/>
      <c r="AG709" s="33"/>
      <c r="AH709" s="99" t="b">
        <f>INDEX(stable[q_standard],MATCH(questions[[#This Row],[qno]],stable[qno],0))</f>
        <v>0</v>
      </c>
      <c r="AI709" s="99" t="b">
        <f>INDEX(stable[q_living_income],MATCH(questions[[#This Row],[qno]],stable[qno],0))</f>
        <v>1</v>
      </c>
      <c r="AJ709" s="99" t="b">
        <f>INDEX(stable[q_carbon],MATCH(questions[[#This Row],[qno]],stable[qno],0))</f>
        <v>1</v>
      </c>
      <c r="AK709" s="99" t="b">
        <f>INDEX(stable[q_regen_ag],MATCH(questions[[#This Row],[qno]],stable[qno],0))</f>
        <v>0</v>
      </c>
      <c r="AL709" s="16" t="b">
        <f>COUNTIFS(stable[qno],questions[[#This Row],[qno]])=1</f>
        <v>1</v>
      </c>
      <c r="AM709" s="16" t="b">
        <f>OR(questions[[#This Row],[is_fixed]],questions[[#This Row],[is_localized]],questions[[#This Row],[is_supply_chain_dependent]])</f>
        <v>1</v>
      </c>
      <c r="AN709" s="16" t="b">
        <f>COUNTIFS(questions[[#This Row],[is_automated]:[is_multi_select]],TRUE)=1</f>
        <v>1</v>
      </c>
      <c r="AO709" s="16" t="b">
        <f>IF(questions[[#This Row],[is_fixed]],questions[[#This Row],[question]]=INDEX(stable[question],MATCH(questions[[#This Row],[qno]],stable[qno],0)),TRUE)</f>
        <v>1</v>
      </c>
      <c r="AP709" s="16" t="str">
        <f>LEFT(questions[[#This Row],[question]],similarity_range)</f>
        <v>What was the unit of</v>
      </c>
      <c r="AQ709" s="16" t="str">
        <f>LEFT(INDEX(stable[question],MATCH(questions[[#This Row],[qno]],stable[qno],0)),similarity_range)</f>
        <v>What was the unit of</v>
      </c>
      <c r="AR709" s="16" t="b">
        <f>questions[[#This Row],[question_first_characters]]=questions[[#This Row],[stability_first_characters]]</f>
        <v>1</v>
      </c>
      <c r="AS709" s="16" t="b">
        <f>IF(OR(questions[[#This Row],[is_single_select]],questions[[#This Row],[is_multi_select]]),NOT(ISBLANK(questions[[#This Row],[answer_opt_combined]])),TRUE)</f>
        <v>1</v>
      </c>
    </row>
    <row r="710" spans="1:45" s="77" customFormat="1" ht="15.75" customHeight="1" x14ac:dyDescent="0.25">
      <c r="A710" s="77" t="str">
        <f>_xlfn.TEXTJOIN("_",TRUE,questions[[#This Row],[origin]:[qno]])</f>
        <v>Kenya_Arabica_Nestle_2024_5404</v>
      </c>
      <c r="B710" s="77" t="s">
        <v>818</v>
      </c>
      <c r="C710" s="77" t="s">
        <v>59</v>
      </c>
      <c r="D710" s="77" t="s">
        <v>819</v>
      </c>
      <c r="E710" s="77">
        <v>2024</v>
      </c>
      <c r="F710" s="105" t="s">
        <v>183</v>
      </c>
      <c r="G710" s="78" t="s">
        <v>842</v>
      </c>
      <c r="H710" s="33" t="str" cm="1">
        <f t="array" ref="H710">INDEX(stableR[question],MATCH(VALUE(questions[[#This Row],[qno]]),VALUE(stableR[qno]),0))</f>
        <v>How did you get this manure/compost/organic fertilizer that you used most?</v>
      </c>
      <c r="I710" s="33" t="b" cm="1">
        <f t="array" ref="I710">INDEX(stable[is_fixed],MATCH(VALUE(questions[[#This Row],[qno]]),VALUE(stable[qno]),0))</f>
        <v>1</v>
      </c>
      <c r="J710" s="33" t="b" cm="1">
        <f t="array" ref="J710">INDEX(stable[is_localized],MATCH(VALUE(questions[[#This Row],[qno]]),VALUE(stable[qno]),0))</f>
        <v>0</v>
      </c>
      <c r="K710" s="33" t="b" cm="1">
        <f t="array" ref="K710">INDEX(stable[is_supply_chain_dependent],MATCH(VALUE(questions[[#This Row],[qno]]),VALUE(stable[qno]),0))</f>
        <v>0</v>
      </c>
      <c r="L710" s="33" t="b" cm="1">
        <f t="array" ref="L710">INDEX(stable[is_mandatory],MATCH(VALUE(questions[[#This Row],[qno]]),VALUE(stable[qno]),0))</f>
        <v>0</v>
      </c>
      <c r="M710" s="33" t="b" cm="1">
        <f t="array" ref="M710">INDEX(stable[is_automated],MATCH(VALUE(questions[[#This Row],[qno]]),VALUE(stable[qno]),0))</f>
        <v>0</v>
      </c>
      <c r="N710" s="33" t="b" cm="1">
        <f t="array" ref="N710">INDEX(stable[is_free_text],MATCH(VALUE(questions[[#This Row],[qno]]),VALUE(stable[qno]),0))</f>
        <v>0</v>
      </c>
      <c r="O710" s="33" t="b" cm="1">
        <f t="array" ref="O710">INDEX(stable[is_numerical],MATCH(VALUE(questions[[#This Row],[qno]]),VALUE(stable[qno]),0))</f>
        <v>0</v>
      </c>
      <c r="P710" s="77" t="b" cm="1">
        <f t="array" ref="P710">INDEX(stable[is_single_select],MATCH(VALUE(questions[[#This Row],[qno]]),VALUE(stable[qno]),0))</f>
        <v>1</v>
      </c>
      <c r="Q710" s="77" t="b" cm="1">
        <f t="array" ref="Q710">INDEX(stable[is_multi_select],MATCH(VALUE(questions[[#This Row],[qno]]),VALUE(stable[qno]),0))</f>
        <v>0</v>
      </c>
      <c r="R710" s="77" t="b" cm="1">
        <f t="array" ref="R710">INDEX(stable[is_skip_logic],MATCH(VALUE(questions[[#This Row],[qno]]),VALUE(stable[qno]),0))</f>
        <v>1</v>
      </c>
      <c r="S710" s="77" t="str">
        <f>_xlfn.TEXTJOIN(", ",TRUE,questions[[#This Row],[ans_opt_1]:[ans_opt_14]])</f>
        <v>Bought, From own farm, Received for free, Both from own farm &amp; bought/received from outside the farm</v>
      </c>
      <c r="T710" s="77" t="s">
        <v>185</v>
      </c>
      <c r="U710" s="77" t="s">
        <v>186</v>
      </c>
      <c r="V710" s="77" t="s">
        <v>187</v>
      </c>
      <c r="W710" s="77" t="s">
        <v>188</v>
      </c>
      <c r="AH710" s="98" t="b">
        <f>INDEX(stable[q_standard],MATCH(questions[[#This Row],[qno]],stable[qno],0))</f>
        <v>0</v>
      </c>
      <c r="AI710" s="98" t="b">
        <f>INDEX(stable[q_living_income],MATCH(questions[[#This Row],[qno]],stable[qno],0))</f>
        <v>1</v>
      </c>
      <c r="AJ710" s="98" t="b">
        <f>INDEX(stable[q_carbon],MATCH(questions[[#This Row],[qno]],stable[qno],0))</f>
        <v>1</v>
      </c>
      <c r="AK710" s="98" t="b">
        <f>INDEX(stable[q_regen_ag],MATCH(questions[[#This Row],[qno]],stable[qno],0))</f>
        <v>0</v>
      </c>
      <c r="AL710" s="98" t="b">
        <f>COUNTIFS(stable[qno],questions[[#This Row],[qno]])=1</f>
        <v>1</v>
      </c>
      <c r="AM710" s="98" t="b">
        <f>OR(questions[[#This Row],[is_fixed]],questions[[#This Row],[is_localized]],questions[[#This Row],[is_supply_chain_dependent]])</f>
        <v>1</v>
      </c>
      <c r="AN710" s="98" t="b">
        <f>COUNTIFS(questions[[#This Row],[is_automated]:[is_multi_select]],TRUE)=1</f>
        <v>1</v>
      </c>
      <c r="AO710" s="98" t="b">
        <f>IF(questions[[#This Row],[is_fixed]],questions[[#This Row],[question]]=INDEX(stable[question],MATCH(questions[[#This Row],[qno]],stable[qno],0)),TRUE)</f>
        <v>0</v>
      </c>
      <c r="AP710" s="98" t="str">
        <f>LEFT(questions[[#This Row],[question]],similarity_range)</f>
        <v>How did you get this</v>
      </c>
      <c r="AQ710" s="98" t="str">
        <f>LEFT(INDEX(stable[question],MATCH(questions[[#This Row],[qno]],stable[qno],0)),similarity_range)</f>
        <v>How did you get this</v>
      </c>
      <c r="AR710" s="98" t="b">
        <f>questions[[#This Row],[question_first_characters]]=questions[[#This Row],[stability_first_characters]]</f>
        <v>1</v>
      </c>
      <c r="AS710" s="98" t="b">
        <f>IF(OR(questions[[#This Row],[is_single_select]],questions[[#This Row],[is_multi_select]]),NOT(ISBLANK(questions[[#This Row],[answer_opt_combined]])),TRUE)</f>
        <v>1</v>
      </c>
    </row>
    <row r="711" spans="1:45" x14ac:dyDescent="0.25">
      <c r="A711" s="33" t="str">
        <f>_xlfn.TEXTJOIN("_",TRUE,questions[[#This Row],[origin]:[qno]])</f>
        <v>Kenya_Arabica_Nestle_2024_5410</v>
      </c>
      <c r="B711" s="33" t="s">
        <v>818</v>
      </c>
      <c r="C711" s="33" t="s">
        <v>59</v>
      </c>
      <c r="D711" s="33" t="s">
        <v>819</v>
      </c>
      <c r="E711" s="33">
        <v>2024</v>
      </c>
      <c r="F711" s="43" t="s">
        <v>189</v>
      </c>
      <c r="G711" s="18" t="s">
        <v>843</v>
      </c>
      <c r="H711" s="33" t="str" cm="1">
        <f t="array" ref="H711">INDEX(stableR[question],MATCH(VALUE(questions[[#This Row],[qno]]),VALUE(stableR[qno]),0))</f>
        <v>What was the type of animal manure, compost, or organic fertilizer that you used second most last year?</v>
      </c>
      <c r="I711" s="33" t="b" cm="1">
        <f t="array" ref="I711">INDEX(stable[is_fixed],MATCH(VALUE(questions[[#This Row],[qno]]),VALUE(stable[qno]),0))</f>
        <v>1</v>
      </c>
      <c r="J711" s="33" t="b" cm="1">
        <f t="array" ref="J711">INDEX(stable[is_localized],MATCH(VALUE(questions[[#This Row],[qno]]),VALUE(stable[qno]),0))</f>
        <v>0</v>
      </c>
      <c r="K711" s="33" t="b" cm="1">
        <f t="array" ref="K711">INDEX(stable[is_supply_chain_dependent],MATCH(VALUE(questions[[#This Row],[qno]]),VALUE(stable[qno]),0))</f>
        <v>0</v>
      </c>
      <c r="L711" s="33" t="b" cm="1">
        <f t="array" ref="L711">INDEX(stable[is_mandatory],MATCH(VALUE(questions[[#This Row],[qno]]),VALUE(stable[qno]),0))</f>
        <v>0</v>
      </c>
      <c r="M711" s="33" t="b" cm="1">
        <f t="array" ref="M711">INDEX(stable[is_automated],MATCH(VALUE(questions[[#This Row],[qno]]),VALUE(stable[qno]),0))</f>
        <v>0</v>
      </c>
      <c r="N711" s="33" t="b" cm="1">
        <f t="array" ref="N711">INDEX(stable[is_free_text],MATCH(VALUE(questions[[#This Row],[qno]]),VALUE(stable[qno]),0))</f>
        <v>1</v>
      </c>
      <c r="O711" s="33" t="b" cm="1">
        <f t="array" ref="O711">INDEX(stable[is_numerical],MATCH(VALUE(questions[[#This Row],[qno]]),VALUE(stable[qno]),0))</f>
        <v>0</v>
      </c>
      <c r="P711" s="33" t="b" cm="1">
        <f t="array" ref="P711">INDEX(stable[is_single_select],MATCH(VALUE(questions[[#This Row],[qno]]),VALUE(stable[qno]),0))</f>
        <v>1</v>
      </c>
      <c r="Q711" s="33" t="b" cm="1">
        <f t="array" ref="Q711">INDEX(stable[is_multi_select],MATCH(VALUE(questions[[#This Row],[qno]]),VALUE(stable[qno]),0))</f>
        <v>0</v>
      </c>
      <c r="R711" s="33" t="b" cm="1">
        <f t="array" ref="R711">INDEX(stable[is_skip_logic],MATCH(VALUE(questions[[#This Row],[qno]]),VALUE(stable[qno]),0))</f>
        <v>1</v>
      </c>
      <c r="S711" s="33" t="str">
        <f>_xlfn.TEXTJOIN(", ",TRUE,questions[[#This Row],[ans_opt_1]:[ans_opt_14]])</f>
        <v/>
      </c>
      <c r="T711" s="33"/>
      <c r="U711" s="33"/>
      <c r="V711" s="33"/>
      <c r="W711" s="33"/>
      <c r="X711" s="33"/>
      <c r="Y711" s="33"/>
      <c r="Z711" s="33"/>
      <c r="AA711" s="33"/>
      <c r="AB711" s="33"/>
      <c r="AC711" s="33"/>
      <c r="AD711" s="33"/>
      <c r="AE711" s="33"/>
      <c r="AF711" s="33"/>
      <c r="AG711" s="33"/>
      <c r="AH711" s="99" t="b">
        <f>INDEX(stable[q_standard],MATCH(questions[[#This Row],[qno]],stable[qno],0))</f>
        <v>0</v>
      </c>
      <c r="AI711" s="99" t="b">
        <f>INDEX(stable[q_living_income],MATCH(questions[[#This Row],[qno]],stable[qno],0))</f>
        <v>1</v>
      </c>
      <c r="AJ711" s="99" t="b">
        <f>INDEX(stable[q_carbon],MATCH(questions[[#This Row],[qno]],stable[qno],0))</f>
        <v>1</v>
      </c>
      <c r="AK711" s="99" t="b">
        <f>INDEX(stable[q_regen_ag],MATCH(questions[[#This Row],[qno]],stable[qno],0))</f>
        <v>0</v>
      </c>
      <c r="AL711" s="16" t="b">
        <f>COUNTIFS(stable[qno],questions[[#This Row],[qno]])=1</f>
        <v>1</v>
      </c>
      <c r="AM711" s="16" t="b">
        <f>OR(questions[[#This Row],[is_fixed]],questions[[#This Row],[is_localized]],questions[[#This Row],[is_supply_chain_dependent]])</f>
        <v>1</v>
      </c>
      <c r="AN711" s="16" t="b">
        <f>COUNTIFS(questions[[#This Row],[is_automated]:[is_multi_select]],TRUE)=1</f>
        <v>0</v>
      </c>
      <c r="AO711" s="16" t="b">
        <f>IF(questions[[#This Row],[is_fixed]],questions[[#This Row],[question]]=INDEX(stable[question],MATCH(questions[[#This Row],[qno]],stable[qno],0)),TRUE)</f>
        <v>1</v>
      </c>
      <c r="AP711" s="16" t="str">
        <f>LEFT(questions[[#This Row],[question]],similarity_range)</f>
        <v>Was there a second t</v>
      </c>
      <c r="AQ711" s="16" t="str">
        <f>LEFT(INDEX(stable[question],MATCH(questions[[#This Row],[qno]],stable[qno],0)),similarity_range)</f>
        <v>Was there a second t</v>
      </c>
      <c r="AR711" s="16" t="b">
        <f>questions[[#This Row],[question_first_characters]]=questions[[#This Row],[stability_first_characters]]</f>
        <v>1</v>
      </c>
      <c r="AS711" s="16" t="b">
        <f>IF(OR(questions[[#This Row],[is_single_select]],questions[[#This Row],[is_multi_select]]),NOT(ISBLANK(questions[[#This Row],[answer_opt_combined]])),TRUE)</f>
        <v>1</v>
      </c>
    </row>
    <row r="712" spans="1:45" ht="15.75" customHeight="1" x14ac:dyDescent="0.25">
      <c r="A712" s="33" t="str">
        <f>_xlfn.TEXTJOIN("_",TRUE,questions[[#This Row],[origin]:[qno]])</f>
        <v>Kenya_Arabica_Nestle_2024_5411</v>
      </c>
      <c r="B712" s="33" t="s">
        <v>818</v>
      </c>
      <c r="C712" s="33" t="s">
        <v>59</v>
      </c>
      <c r="D712" s="33" t="s">
        <v>819</v>
      </c>
      <c r="E712" s="33">
        <v>2024</v>
      </c>
      <c r="F712" s="43" t="s">
        <v>191</v>
      </c>
      <c r="G712" s="18" t="s">
        <v>192</v>
      </c>
      <c r="H712" s="33" t="str" cm="1">
        <f t="array" ref="H712">INDEX(stableR[question],MATCH(VALUE(questions[[#This Row],[qno]]),VALUE(stableR[qno]),0))</f>
        <v>What was the total quantity of this type of animal manure/compost/organic fertilizer that you used second most? (Kg)</v>
      </c>
      <c r="I712" s="33" t="b" cm="1">
        <f t="array" ref="I712">INDEX(stable[is_fixed],MATCH(VALUE(questions[[#This Row],[qno]]),VALUE(stable[qno]),0))</f>
        <v>1</v>
      </c>
      <c r="J712" s="33" t="b" cm="1">
        <f t="array" ref="J712">INDEX(stable[is_localized],MATCH(VALUE(questions[[#This Row],[qno]]),VALUE(stable[qno]),0))</f>
        <v>0</v>
      </c>
      <c r="K712" s="33" t="b" cm="1">
        <f t="array" ref="K712">INDEX(stable[is_supply_chain_dependent],MATCH(VALUE(questions[[#This Row],[qno]]),VALUE(stable[qno]),0))</f>
        <v>0</v>
      </c>
      <c r="L712" s="33" t="b" cm="1">
        <f t="array" ref="L712">INDEX(stable[is_mandatory],MATCH(VALUE(questions[[#This Row],[qno]]),VALUE(stable[qno]),0))</f>
        <v>0</v>
      </c>
      <c r="M712" s="33" t="b" cm="1">
        <f t="array" ref="M712">INDEX(stable[is_automated],MATCH(VALUE(questions[[#This Row],[qno]]),VALUE(stable[qno]),0))</f>
        <v>0</v>
      </c>
      <c r="N712" s="33" t="b" cm="1">
        <f t="array" ref="N712">INDEX(stable[is_free_text],MATCH(VALUE(questions[[#This Row],[qno]]),VALUE(stable[qno]),0))</f>
        <v>0</v>
      </c>
      <c r="O712" s="33" t="b" cm="1">
        <f t="array" ref="O712">INDEX(stable[is_numerical],MATCH(VALUE(questions[[#This Row],[qno]]),VALUE(stable[qno]),0))</f>
        <v>1</v>
      </c>
      <c r="P712" s="33" t="b" cm="1">
        <f t="array" ref="P712">INDEX(stable[is_single_select],MATCH(VALUE(questions[[#This Row],[qno]]),VALUE(stable[qno]),0))</f>
        <v>0</v>
      </c>
      <c r="Q712" s="33" t="b" cm="1">
        <f t="array" ref="Q712">INDEX(stable[is_multi_select],MATCH(VALUE(questions[[#This Row],[qno]]),VALUE(stable[qno]),0))</f>
        <v>0</v>
      </c>
      <c r="R712" s="33" t="b" cm="1">
        <f t="array" ref="R712">INDEX(stable[is_skip_logic],MATCH(VALUE(questions[[#This Row],[qno]]),VALUE(stable[qno]),0))</f>
        <v>1</v>
      </c>
      <c r="S712" s="33" t="str">
        <f>_xlfn.TEXTJOIN(", ",TRUE,questions[[#This Row],[ans_opt_1]:[ans_opt_14]])</f>
        <v/>
      </c>
      <c r="T712" s="33"/>
      <c r="U712" s="33"/>
      <c r="V712" s="33"/>
      <c r="W712" s="33"/>
      <c r="X712" s="33"/>
      <c r="Y712" s="33"/>
      <c r="Z712" s="33"/>
      <c r="AA712" s="33"/>
      <c r="AB712" s="33"/>
      <c r="AC712" s="33"/>
      <c r="AD712" s="33"/>
      <c r="AE712" s="33"/>
      <c r="AF712" s="33"/>
      <c r="AG712" s="33"/>
      <c r="AH712" s="99" t="b">
        <f>INDEX(stable[q_standard],MATCH(questions[[#This Row],[qno]],stable[qno],0))</f>
        <v>0</v>
      </c>
      <c r="AI712" s="99" t="b">
        <f>INDEX(stable[q_living_income],MATCH(questions[[#This Row],[qno]],stable[qno],0))</f>
        <v>1</v>
      </c>
      <c r="AJ712" s="99" t="b">
        <f>INDEX(stable[q_carbon],MATCH(questions[[#This Row],[qno]],stable[qno],0))</f>
        <v>1</v>
      </c>
      <c r="AK712" s="99" t="b">
        <f>INDEX(stable[q_regen_ag],MATCH(questions[[#This Row],[qno]],stable[qno],0))</f>
        <v>0</v>
      </c>
      <c r="AL712" s="16" t="b">
        <f>COUNTIFS(stable[qno],questions[[#This Row],[qno]])=1</f>
        <v>1</v>
      </c>
      <c r="AM712" s="16" t="b">
        <f>OR(questions[[#This Row],[is_fixed]],questions[[#This Row],[is_localized]],questions[[#This Row],[is_supply_chain_dependent]])</f>
        <v>1</v>
      </c>
      <c r="AN712" s="16" t="b">
        <f>COUNTIFS(questions[[#This Row],[is_automated]:[is_multi_select]],TRUE)=1</f>
        <v>1</v>
      </c>
      <c r="AO712" s="16" t="b">
        <f>IF(questions[[#This Row],[is_fixed]],questions[[#This Row],[question]]=INDEX(stable[question],MATCH(questions[[#This Row],[qno]],stable[qno],0)),TRUE)</f>
        <v>1</v>
      </c>
      <c r="AP712" s="16" t="str">
        <f>LEFT(questions[[#This Row],[question]],similarity_range)</f>
        <v>What was the total q</v>
      </c>
      <c r="AQ712" s="16" t="str">
        <f>LEFT(INDEX(stable[question],MATCH(questions[[#This Row],[qno]],stable[qno],0)),similarity_range)</f>
        <v>What was the total q</v>
      </c>
      <c r="AR712" s="16" t="b">
        <f>questions[[#This Row],[question_first_characters]]=questions[[#This Row],[stability_first_characters]]</f>
        <v>1</v>
      </c>
      <c r="AS712" s="16" t="b">
        <f>IF(OR(questions[[#This Row],[is_single_select]],questions[[#This Row],[is_multi_select]]),NOT(ISBLANK(questions[[#This Row],[answer_opt_combined]])),TRUE)</f>
        <v>1</v>
      </c>
    </row>
    <row r="713" spans="1:45" ht="15.75" customHeight="1" x14ac:dyDescent="0.25">
      <c r="A713" s="33" t="str">
        <f>_xlfn.TEXTJOIN("_",TRUE,questions[[#This Row],[origin]:[qno]])</f>
        <v>Kenya_Arabica_Nestle_2024_5412</v>
      </c>
      <c r="B713" s="33" t="s">
        <v>818</v>
      </c>
      <c r="C713" s="33" t="s">
        <v>59</v>
      </c>
      <c r="D713" s="33" t="s">
        <v>819</v>
      </c>
      <c r="E713" s="33">
        <v>2024</v>
      </c>
      <c r="F713" s="43" t="s">
        <v>193</v>
      </c>
      <c r="G713" s="217" t="s">
        <v>194</v>
      </c>
      <c r="H713" s="33" t="str" cm="1">
        <f t="array" ref="H713">INDEX(stableR[question],MATCH(VALUE(questions[[#This Row],[qno]]),VALUE(stableR[qno]),0))</f>
        <v>What was the unit of this type of animal manure/compost/organic fertilizer that you used second most (kg, basins, 50 kg bags, wheel barrows, small truck/tipper, large truck)?</v>
      </c>
      <c r="I713" s="33" t="b" cm="1">
        <f t="array" ref="I713">INDEX(stable[is_fixed],MATCH(VALUE(questions[[#This Row],[qno]]),VALUE(stable[qno]),0))</f>
        <v>1</v>
      </c>
      <c r="J713" s="33" t="b" cm="1">
        <f t="array" ref="J713">INDEX(stable[is_localized],MATCH(VALUE(questions[[#This Row],[qno]]),VALUE(stable[qno]),0))</f>
        <v>0</v>
      </c>
      <c r="K713" s="33" t="b" cm="1">
        <f t="array" ref="K713">INDEX(stable[is_supply_chain_dependent],MATCH(VALUE(questions[[#This Row],[qno]]),VALUE(stable[qno]),0))</f>
        <v>0</v>
      </c>
      <c r="L713" s="33" t="b" cm="1">
        <f t="array" ref="L713">INDEX(stable[is_mandatory],MATCH(VALUE(questions[[#This Row],[qno]]),VALUE(stable[qno]),0))</f>
        <v>0</v>
      </c>
      <c r="M713" s="33" t="b" cm="1">
        <f t="array" ref="M713">INDEX(stable[is_automated],MATCH(VALUE(questions[[#This Row],[qno]]),VALUE(stable[qno]),0))</f>
        <v>0</v>
      </c>
      <c r="N713" s="33" t="b" cm="1">
        <f t="array" ref="N713">INDEX(stable[is_free_text],MATCH(VALUE(questions[[#This Row],[qno]]),VALUE(stable[qno]),0))</f>
        <v>1</v>
      </c>
      <c r="O713" s="33" t="b" cm="1">
        <f t="array" ref="O713">INDEX(stable[is_numerical],MATCH(VALUE(questions[[#This Row],[qno]]),VALUE(stable[qno]),0))</f>
        <v>0</v>
      </c>
      <c r="P713" s="33" t="b" cm="1">
        <f t="array" ref="P713">INDEX(stable[is_single_select],MATCH(VALUE(questions[[#This Row],[qno]]),VALUE(stable[qno]),0))</f>
        <v>0</v>
      </c>
      <c r="Q713" s="33" t="b" cm="1">
        <f t="array" ref="Q713">INDEX(stable[is_multi_select],MATCH(VALUE(questions[[#This Row],[qno]]),VALUE(stable[qno]),0))</f>
        <v>0</v>
      </c>
      <c r="R713" s="33" t="b" cm="1">
        <f t="array" ref="R713">INDEX(stable[is_skip_logic],MATCH(VALUE(questions[[#This Row],[qno]]),VALUE(stable[qno]),0))</f>
        <v>1</v>
      </c>
      <c r="S713" s="33" t="str">
        <f>_xlfn.TEXTJOIN(", ",TRUE,questions[[#This Row],[ans_opt_1]:[ans_opt_14]])</f>
        <v>kg's, basins (11 kg/load), debe (11 kg/load), wheel barrows (40 kg/load), small truck (1000 kg/load), medium truck (3000 kg/load), large truck (6000 kg/load)</v>
      </c>
      <c r="T713" s="33" t="s">
        <v>754</v>
      </c>
      <c r="U713" s="33" t="s">
        <v>839</v>
      </c>
      <c r="V713" s="33" t="s">
        <v>840</v>
      </c>
      <c r="W713" s="33" t="s">
        <v>841</v>
      </c>
      <c r="X713" s="33" t="s">
        <v>757</v>
      </c>
      <c r="Y713" s="33" t="s">
        <v>758</v>
      </c>
      <c r="Z713" s="33" t="s">
        <v>759</v>
      </c>
      <c r="AA713" s="33"/>
      <c r="AB713" s="33"/>
      <c r="AC713" s="33"/>
      <c r="AD713" s="33"/>
      <c r="AE713" s="33"/>
      <c r="AF713" s="33"/>
      <c r="AG713" s="33"/>
      <c r="AH713" s="99" t="b">
        <f>INDEX(stable[q_standard],MATCH(questions[[#This Row],[qno]],stable[qno],0))</f>
        <v>0</v>
      </c>
      <c r="AI713" s="99" t="b">
        <f>INDEX(stable[q_living_income],MATCH(questions[[#This Row],[qno]],stable[qno],0))</f>
        <v>1</v>
      </c>
      <c r="AJ713" s="99" t="b">
        <f>INDEX(stable[q_carbon],MATCH(questions[[#This Row],[qno]],stable[qno],0))</f>
        <v>1</v>
      </c>
      <c r="AK713" s="99" t="b">
        <f>INDEX(stable[q_regen_ag],MATCH(questions[[#This Row],[qno]],stable[qno],0))</f>
        <v>0</v>
      </c>
      <c r="AL713" s="16" t="b">
        <f>COUNTIFS(stable[qno],questions[[#This Row],[qno]])=1</f>
        <v>1</v>
      </c>
      <c r="AM713" s="16" t="b">
        <f>OR(questions[[#This Row],[is_fixed]],questions[[#This Row],[is_localized]],questions[[#This Row],[is_supply_chain_dependent]])</f>
        <v>1</v>
      </c>
      <c r="AN713" s="16" t="b">
        <f>COUNTIFS(questions[[#This Row],[is_automated]:[is_multi_select]],TRUE)=1</f>
        <v>1</v>
      </c>
      <c r="AO713" s="16" t="b">
        <f>IF(questions[[#This Row],[is_fixed]],questions[[#This Row],[question]]=INDEX(stable[question],MATCH(questions[[#This Row],[qno]],stable[qno],0)),TRUE)</f>
        <v>1</v>
      </c>
      <c r="AP713" s="16" t="str">
        <f>LEFT(questions[[#This Row],[question]],similarity_range)</f>
        <v>What was the unit of</v>
      </c>
      <c r="AQ713" s="16" t="str">
        <f>LEFT(INDEX(stable[question],MATCH(questions[[#This Row],[qno]],stable[qno],0)),similarity_range)</f>
        <v>What was the unit of</v>
      </c>
      <c r="AR713" s="16" t="b">
        <f>questions[[#This Row],[question_first_characters]]=questions[[#This Row],[stability_first_characters]]</f>
        <v>1</v>
      </c>
      <c r="AS713" s="16" t="b">
        <f>IF(OR(questions[[#This Row],[is_single_select]],questions[[#This Row],[is_multi_select]]),NOT(ISBLANK(questions[[#This Row],[answer_opt_combined]])),TRUE)</f>
        <v>1</v>
      </c>
    </row>
    <row r="714" spans="1:45" s="77" customFormat="1" ht="15.75" customHeight="1" x14ac:dyDescent="0.25">
      <c r="A714" s="77" t="str">
        <f>_xlfn.TEXTJOIN("_",TRUE,questions[[#This Row],[origin]:[qno]])</f>
        <v>Kenya_Arabica_Nestle_2024_5413</v>
      </c>
      <c r="B714" s="77" t="s">
        <v>818</v>
      </c>
      <c r="C714" s="77" t="s">
        <v>59</v>
      </c>
      <c r="D714" s="77" t="s">
        <v>819</v>
      </c>
      <c r="E714" s="77">
        <v>2024</v>
      </c>
      <c r="F714" s="114" t="s">
        <v>195</v>
      </c>
      <c r="G714" s="78" t="s">
        <v>761</v>
      </c>
      <c r="H714" s="33" t="str" cm="1">
        <f t="array" ref="H714">INDEX(stableR[question],MATCH(VALUE(questions[[#This Row],[qno]]),VALUE(stableR[qno]),0))</f>
        <v>How did you get this manure/compost/organic fertilizer that you used second most?</v>
      </c>
      <c r="I714" s="33" t="b" cm="1">
        <f t="array" ref="I714">INDEX(stable[is_fixed],MATCH(VALUE(questions[[#This Row],[qno]]),VALUE(stable[qno]),0))</f>
        <v>1</v>
      </c>
      <c r="J714" s="33" t="b" cm="1">
        <f t="array" ref="J714">INDEX(stable[is_localized],MATCH(VALUE(questions[[#This Row],[qno]]),VALUE(stable[qno]),0))</f>
        <v>0</v>
      </c>
      <c r="K714" s="33" t="b" cm="1">
        <f t="array" ref="K714">INDEX(stable[is_supply_chain_dependent],MATCH(VALUE(questions[[#This Row],[qno]]),VALUE(stable[qno]),0))</f>
        <v>0</v>
      </c>
      <c r="L714" s="33" t="b" cm="1">
        <f t="array" ref="L714">INDEX(stable[is_mandatory],MATCH(VALUE(questions[[#This Row],[qno]]),VALUE(stable[qno]),0))</f>
        <v>0</v>
      </c>
      <c r="M714" s="33" t="b" cm="1">
        <f t="array" ref="M714">INDEX(stable[is_automated],MATCH(VALUE(questions[[#This Row],[qno]]),VALUE(stable[qno]),0))</f>
        <v>0</v>
      </c>
      <c r="N714" s="33" t="b" cm="1">
        <f t="array" ref="N714">INDEX(stable[is_free_text],MATCH(VALUE(questions[[#This Row],[qno]]),VALUE(stable[qno]),0))</f>
        <v>0</v>
      </c>
      <c r="O714" s="33" t="b" cm="1">
        <f t="array" ref="O714">INDEX(stable[is_numerical],MATCH(VALUE(questions[[#This Row],[qno]]),VALUE(stable[qno]),0))</f>
        <v>0</v>
      </c>
      <c r="P714" s="77" t="b" cm="1">
        <f t="array" ref="P714">INDEX(stable[is_single_select],MATCH(VALUE(questions[[#This Row],[qno]]),VALUE(stable[qno]),0))</f>
        <v>1</v>
      </c>
      <c r="Q714" s="77" t="b" cm="1">
        <f t="array" ref="Q714">INDEX(stable[is_multi_select],MATCH(VALUE(questions[[#This Row],[qno]]),VALUE(stable[qno]),0))</f>
        <v>0</v>
      </c>
      <c r="R714" s="77" t="b" cm="1">
        <f t="array" ref="R714">INDEX(stable[is_skip_logic],MATCH(VALUE(questions[[#This Row],[qno]]),VALUE(stable[qno]),0))</f>
        <v>1</v>
      </c>
      <c r="S714" s="77" t="str">
        <f>_xlfn.TEXTJOIN(", ",TRUE,questions[[#This Row],[ans_opt_1]:[ans_opt_14]])</f>
        <v>Bought, From own farm, Received for free, Both from own farm &amp; bought/received from outside the farm</v>
      </c>
      <c r="T714" s="77" t="s">
        <v>185</v>
      </c>
      <c r="U714" s="77" t="s">
        <v>186</v>
      </c>
      <c r="V714" s="77" t="s">
        <v>187</v>
      </c>
      <c r="W714" s="77" t="s">
        <v>188</v>
      </c>
      <c r="AH714" s="98" t="b">
        <f>INDEX(stable[q_standard],MATCH(questions[[#This Row],[qno]],stable[qno],0))</f>
        <v>0</v>
      </c>
      <c r="AI714" s="98" t="b">
        <f>INDEX(stable[q_living_income],MATCH(questions[[#This Row],[qno]],stable[qno],0))</f>
        <v>1</v>
      </c>
      <c r="AJ714" s="98" t="b">
        <f>INDEX(stable[q_carbon],MATCH(questions[[#This Row],[qno]],stable[qno],0))</f>
        <v>1</v>
      </c>
      <c r="AK714" s="98" t="b">
        <f>INDEX(stable[q_regen_ag],MATCH(questions[[#This Row],[qno]],stable[qno],0))</f>
        <v>0</v>
      </c>
      <c r="AL714" s="98" t="b">
        <f>COUNTIFS(stable[qno],questions[[#This Row],[qno]])=1</f>
        <v>1</v>
      </c>
      <c r="AM714" s="98" t="b">
        <f>OR(questions[[#This Row],[is_fixed]],questions[[#This Row],[is_localized]],questions[[#This Row],[is_supply_chain_dependent]])</f>
        <v>1</v>
      </c>
      <c r="AN714" s="98" t="b">
        <f>COUNTIFS(questions[[#This Row],[is_automated]:[is_multi_select]],TRUE)=1</f>
        <v>1</v>
      </c>
      <c r="AO714" s="98" t="b">
        <f>IF(questions[[#This Row],[is_fixed]],questions[[#This Row],[question]]=INDEX(stable[question],MATCH(questions[[#This Row],[qno]],stable[qno],0)),TRUE)</f>
        <v>0</v>
      </c>
      <c r="AP714" s="98" t="str">
        <f>LEFT(questions[[#This Row],[question]],similarity_range)</f>
        <v>How did you get this</v>
      </c>
      <c r="AQ714" s="98" t="str">
        <f>LEFT(INDEX(stable[question],MATCH(questions[[#This Row],[qno]],stable[qno],0)),similarity_range)</f>
        <v>How did you get this</v>
      </c>
      <c r="AR714" s="98" t="b">
        <f>questions[[#This Row],[question_first_characters]]=questions[[#This Row],[stability_first_characters]]</f>
        <v>1</v>
      </c>
      <c r="AS714" s="98" t="b">
        <f>IF(OR(questions[[#This Row],[is_single_select]],questions[[#This Row],[is_multi_select]]),NOT(ISBLANK(questions[[#This Row],[answer_opt_combined]])),TRUE)</f>
        <v>1</v>
      </c>
    </row>
    <row r="715" spans="1:45" s="77" customFormat="1" ht="15.75" customHeight="1" x14ac:dyDescent="0.25">
      <c r="A715" s="77" t="str">
        <f>_xlfn.TEXTJOIN("_",TRUE,questions[[#This Row],[origin]:[qno]])</f>
        <v>Kenya_Arabica_Nestle_2024_5500</v>
      </c>
      <c r="B715" s="77" t="s">
        <v>818</v>
      </c>
      <c r="C715" s="77" t="s">
        <v>59</v>
      </c>
      <c r="D715" s="77" t="s">
        <v>819</v>
      </c>
      <c r="E715" s="77">
        <v>2024</v>
      </c>
      <c r="F715" s="105" t="s">
        <v>197</v>
      </c>
      <c r="G715" s="78" t="s">
        <v>198</v>
      </c>
      <c r="H715" s="33" t="str" cm="1">
        <f t="array" ref="H715">INDEX(stableR[question],MATCH(VALUE(questions[[#This Row],[qno]]),VALUE(stableR[qno]),0))</f>
        <v>Did you apply any type of mulch on your coffee last year?</v>
      </c>
      <c r="I715" s="33" t="b" cm="1">
        <f t="array" ref="I715">INDEX(stable[is_fixed],MATCH(VALUE(questions[[#This Row],[qno]]),VALUE(stable[qno]),0))</f>
        <v>1</v>
      </c>
      <c r="J715" s="33" t="b" cm="1">
        <f t="array" ref="J715">INDEX(stable[is_localized],MATCH(VALUE(questions[[#This Row],[qno]]),VALUE(stable[qno]),0))</f>
        <v>0</v>
      </c>
      <c r="K715" s="33" t="b" cm="1">
        <f t="array" ref="K715">INDEX(stable[is_supply_chain_dependent],MATCH(VALUE(questions[[#This Row],[qno]]),VALUE(stable[qno]),0))</f>
        <v>0</v>
      </c>
      <c r="L715" s="33" t="b" cm="1">
        <f t="array" ref="L715">INDEX(stable[is_mandatory],MATCH(VALUE(questions[[#This Row],[qno]]),VALUE(stable[qno]),0))</f>
        <v>1</v>
      </c>
      <c r="M715" s="33" t="b" cm="1">
        <f t="array" ref="M715">INDEX(stable[is_automated],MATCH(VALUE(questions[[#This Row],[qno]]),VALUE(stable[qno]),0))</f>
        <v>0</v>
      </c>
      <c r="N715" s="33" t="b" cm="1">
        <f t="array" ref="N715">INDEX(stable[is_free_text],MATCH(VALUE(questions[[#This Row],[qno]]),VALUE(stable[qno]),0))</f>
        <v>0</v>
      </c>
      <c r="O715" s="33" t="b" cm="1">
        <f t="array" ref="O715">INDEX(stable[is_numerical],MATCH(VALUE(questions[[#This Row],[qno]]),VALUE(stable[qno]),0))</f>
        <v>0</v>
      </c>
      <c r="P715" s="77" t="b" cm="1">
        <f t="array" ref="P715">INDEX(stable[is_single_select],MATCH(VALUE(questions[[#This Row],[qno]]),VALUE(stable[qno]),0))</f>
        <v>1</v>
      </c>
      <c r="Q715" s="77" t="b" cm="1">
        <f t="array" ref="Q715">INDEX(stable[is_multi_select],MATCH(VALUE(questions[[#This Row],[qno]]),VALUE(stable[qno]),0))</f>
        <v>0</v>
      </c>
      <c r="R715" s="77" t="b" cm="1">
        <f t="array" ref="R715">INDEX(stable[is_skip_logic],MATCH(VALUE(questions[[#This Row],[qno]]),VALUE(stable[qno]),0))</f>
        <v>1</v>
      </c>
      <c r="S715" s="77" t="str">
        <f>_xlfn.TEXTJOIN(", ",TRUE,questions[[#This Row],[ans_opt_1]:[ans_opt_14]])</f>
        <v>Yes, No</v>
      </c>
      <c r="T715" s="77" t="s">
        <v>149</v>
      </c>
      <c r="U715" s="77" t="s">
        <v>119</v>
      </c>
      <c r="AH715" s="98" t="b">
        <f>INDEX(stable[q_standard],MATCH(questions[[#This Row],[qno]],stable[qno],0))</f>
        <v>0</v>
      </c>
      <c r="AI715" s="98" t="b">
        <f>INDEX(stable[q_living_income],MATCH(questions[[#This Row],[qno]],stable[qno],0))</f>
        <v>1</v>
      </c>
      <c r="AJ715" s="98" t="b">
        <f>INDEX(stable[q_carbon],MATCH(questions[[#This Row],[qno]],stable[qno],0))</f>
        <v>1</v>
      </c>
      <c r="AK715" s="98" t="b">
        <f>INDEX(stable[q_regen_ag],MATCH(questions[[#This Row],[qno]],stable[qno],0))</f>
        <v>0</v>
      </c>
      <c r="AL715" s="98" t="b">
        <f>COUNTIFS(stable[qno],questions[[#This Row],[qno]])=1</f>
        <v>1</v>
      </c>
      <c r="AM715" s="98" t="b">
        <f>OR(questions[[#This Row],[is_fixed]],questions[[#This Row],[is_localized]],questions[[#This Row],[is_supply_chain_dependent]])</f>
        <v>1</v>
      </c>
      <c r="AN715" s="98" t="b">
        <f>COUNTIFS(questions[[#This Row],[is_automated]:[is_multi_select]],TRUE)=1</f>
        <v>1</v>
      </c>
      <c r="AO715" s="98" t="b">
        <f>IF(questions[[#This Row],[is_fixed]],questions[[#This Row],[question]]=INDEX(stable[question],MATCH(questions[[#This Row],[qno]],stable[qno],0)),TRUE)</f>
        <v>1</v>
      </c>
      <c r="AP715" s="98" t="str">
        <f>LEFT(questions[[#This Row],[question]],similarity_range)</f>
        <v>Did you apply any ty</v>
      </c>
      <c r="AQ715" s="98" t="str">
        <f>LEFT(INDEX(stable[question],MATCH(questions[[#This Row],[qno]],stable[qno],0)),similarity_range)</f>
        <v>Did you apply any ty</v>
      </c>
      <c r="AR715" s="98" t="b">
        <f>questions[[#This Row],[question_first_characters]]=questions[[#This Row],[stability_first_characters]]</f>
        <v>1</v>
      </c>
      <c r="AS715" s="98" t="b">
        <f>IF(OR(questions[[#This Row],[is_single_select]],questions[[#This Row],[is_multi_select]]),NOT(ISBLANK(questions[[#This Row],[answer_opt_combined]])),TRUE)</f>
        <v>1</v>
      </c>
    </row>
    <row r="716" spans="1:45" ht="15.75" customHeight="1" x14ac:dyDescent="0.25">
      <c r="A716" s="33" t="str">
        <f>_xlfn.TEXTJOIN("_",TRUE,questions[[#This Row],[origin]:[qno]])</f>
        <v>Kenya_Arabica_Nestle_2024_5501</v>
      </c>
      <c r="B716" s="33" t="s">
        <v>818</v>
      </c>
      <c r="C716" s="33" t="s">
        <v>59</v>
      </c>
      <c r="D716" s="33" t="s">
        <v>819</v>
      </c>
      <c r="E716" s="33">
        <v>2024</v>
      </c>
      <c r="F716" s="41" t="s">
        <v>199</v>
      </c>
      <c r="G716" s="18" t="s">
        <v>200</v>
      </c>
      <c r="H716" s="33" t="str" cm="1">
        <f t="array" ref="H716">INDEX(stableR[question],MATCH(VALUE(questions[[#This Row],[qno]]),VALUE(stableR[qno]),0))</f>
        <v>What type of mulch?</v>
      </c>
      <c r="I716" s="33" t="b" cm="1">
        <f t="array" ref="I716">INDEX(stable[is_fixed],MATCH(VALUE(questions[[#This Row],[qno]]),VALUE(stable[qno]),0))</f>
        <v>1</v>
      </c>
      <c r="J716" s="33" t="b" cm="1">
        <f t="array" ref="J716">INDEX(stable[is_localized],MATCH(VALUE(questions[[#This Row],[qno]]),VALUE(stable[qno]),0))</f>
        <v>0</v>
      </c>
      <c r="K716" s="33" t="b" cm="1">
        <f t="array" ref="K716">INDEX(stable[is_supply_chain_dependent],MATCH(VALUE(questions[[#This Row],[qno]]),VALUE(stable[qno]),0))</f>
        <v>0</v>
      </c>
      <c r="L716" s="33" t="b" cm="1">
        <f t="array" ref="L716">INDEX(stable[is_mandatory],MATCH(VALUE(questions[[#This Row],[qno]]),VALUE(stable[qno]),0))</f>
        <v>0</v>
      </c>
      <c r="M716" s="33" t="b" cm="1">
        <f t="array" ref="M716">INDEX(stable[is_automated],MATCH(VALUE(questions[[#This Row],[qno]]),VALUE(stable[qno]),0))</f>
        <v>0</v>
      </c>
      <c r="N716" s="33" t="b" cm="1">
        <f t="array" ref="N716">INDEX(stable[is_free_text],MATCH(VALUE(questions[[#This Row],[qno]]),VALUE(stable[qno]),0))</f>
        <v>0</v>
      </c>
      <c r="O716" s="33" t="b" cm="1">
        <f t="array" ref="O716">INDEX(stable[is_numerical],MATCH(VALUE(questions[[#This Row],[qno]]),VALUE(stable[qno]),0))</f>
        <v>0</v>
      </c>
      <c r="P716" s="33" t="b" cm="1">
        <f t="array" ref="P716">INDEX(stable[is_single_select],MATCH(VALUE(questions[[#This Row],[qno]]),VALUE(stable[qno]),0))</f>
        <v>0</v>
      </c>
      <c r="Q716" s="33" t="b" cm="1">
        <f t="array" ref="Q716">INDEX(stable[is_multi_select],MATCH(VALUE(questions[[#This Row],[qno]]),VALUE(stable[qno]),0))</f>
        <v>1</v>
      </c>
      <c r="R716" s="33" t="b" cm="1">
        <f t="array" ref="R716">INDEX(stable[is_skip_logic],MATCH(VALUE(questions[[#This Row],[qno]]),VALUE(stable[qno]),0))</f>
        <v>1</v>
      </c>
      <c r="S716" s="33" t="str">
        <f>_xlfn.TEXTJOIN(", ",TRUE,questions[[#This Row],[ans_opt_1]:[ans_opt_14]])</f>
        <v/>
      </c>
      <c r="T716" s="33"/>
      <c r="U716" s="33"/>
      <c r="V716" s="33"/>
      <c r="W716" s="33"/>
      <c r="X716" s="33"/>
      <c r="Y716" s="33"/>
      <c r="Z716" s="33"/>
      <c r="AA716" s="33"/>
      <c r="AB716" s="33"/>
      <c r="AC716" s="33"/>
      <c r="AD716" s="33"/>
      <c r="AE716" s="33"/>
      <c r="AF716" s="33"/>
      <c r="AG716" s="33"/>
      <c r="AH716" s="99" t="b">
        <f>INDEX(stable[q_standard],MATCH(questions[[#This Row],[qno]],stable[qno],0))</f>
        <v>0</v>
      </c>
      <c r="AI716" s="99" t="b">
        <f>INDEX(stable[q_living_income],MATCH(questions[[#This Row],[qno]],stable[qno],0))</f>
        <v>1</v>
      </c>
      <c r="AJ716" s="99" t="b">
        <f>INDEX(stable[q_carbon],MATCH(questions[[#This Row],[qno]],stable[qno],0))</f>
        <v>1</v>
      </c>
      <c r="AK716" s="99" t="b">
        <f>INDEX(stable[q_regen_ag],MATCH(questions[[#This Row],[qno]],stable[qno],0))</f>
        <v>0</v>
      </c>
      <c r="AL716" s="16" t="b">
        <f>COUNTIFS(stable[qno],questions[[#This Row],[qno]])=1</f>
        <v>1</v>
      </c>
      <c r="AM716" s="16" t="b">
        <f>OR(questions[[#This Row],[is_fixed]],questions[[#This Row],[is_localized]],questions[[#This Row],[is_supply_chain_dependent]])</f>
        <v>1</v>
      </c>
      <c r="AN716" s="16" t="b">
        <f>COUNTIFS(questions[[#This Row],[is_automated]:[is_multi_select]],TRUE)=1</f>
        <v>1</v>
      </c>
      <c r="AO716" s="16" t="b">
        <f>IF(questions[[#This Row],[is_fixed]],questions[[#This Row],[question]]=INDEX(stable[question],MATCH(questions[[#This Row],[qno]],stable[qno],0)),TRUE)</f>
        <v>1</v>
      </c>
      <c r="AP716" s="16" t="str">
        <f>LEFT(questions[[#This Row],[question]],similarity_range)</f>
        <v xml:space="preserve">What type of mulch? </v>
      </c>
      <c r="AQ716" s="16" t="str">
        <f>LEFT(INDEX(stable[question],MATCH(questions[[#This Row],[qno]],stable[qno],0)),similarity_range)</f>
        <v xml:space="preserve">What type of mulch? </v>
      </c>
      <c r="AR716" s="16" t="b">
        <f>questions[[#This Row],[question_first_characters]]=questions[[#This Row],[stability_first_characters]]</f>
        <v>1</v>
      </c>
      <c r="AS716" s="16" t="b">
        <f>IF(OR(questions[[#This Row],[is_single_select]],questions[[#This Row],[is_multi_select]]),NOT(ISBLANK(questions[[#This Row],[answer_opt_combined]])),TRUE)</f>
        <v>1</v>
      </c>
    </row>
    <row r="717" spans="1:45" ht="15.75" customHeight="1" x14ac:dyDescent="0.25">
      <c r="A717" s="33" t="str">
        <f>_xlfn.TEXTJOIN("_",TRUE,questions[[#This Row],[origin]:[qno]])</f>
        <v>Kenya_Arabica_Nestle_2024_5502</v>
      </c>
      <c r="B717" s="33" t="s">
        <v>818</v>
      </c>
      <c r="C717" s="33" t="s">
        <v>59</v>
      </c>
      <c r="D717" s="33" t="s">
        <v>819</v>
      </c>
      <c r="E717" s="33">
        <v>2024</v>
      </c>
      <c r="F717" s="41" t="s">
        <v>201</v>
      </c>
      <c r="G717" s="18" t="s">
        <v>202</v>
      </c>
      <c r="H717" s="33" t="str" cm="1">
        <f t="array" ref="H717">INDEX(stableR[question],MATCH(VALUE(questions[[#This Row],[qno]]),VALUE(stableR[qno]),0))</f>
        <v>What was the total quantity of mulch that you used? (Kg)</v>
      </c>
      <c r="I717" s="33" t="b" cm="1">
        <f t="array" ref="I717">INDEX(stable[is_fixed],MATCH(VALUE(questions[[#This Row],[qno]]),VALUE(stable[qno]),0))</f>
        <v>1</v>
      </c>
      <c r="J717" s="33" t="b" cm="1">
        <f t="array" ref="J717">INDEX(stable[is_localized],MATCH(VALUE(questions[[#This Row],[qno]]),VALUE(stable[qno]),0))</f>
        <v>0</v>
      </c>
      <c r="K717" s="33" t="b" cm="1">
        <f t="array" ref="K717">INDEX(stable[is_supply_chain_dependent],MATCH(VALUE(questions[[#This Row],[qno]]),VALUE(stable[qno]),0))</f>
        <v>0</v>
      </c>
      <c r="L717" s="33" t="b" cm="1">
        <f t="array" ref="L717">INDEX(stable[is_mandatory],MATCH(VALUE(questions[[#This Row],[qno]]),VALUE(stable[qno]),0))</f>
        <v>0</v>
      </c>
      <c r="M717" s="33" t="b" cm="1">
        <f t="array" ref="M717">INDEX(stable[is_automated],MATCH(VALUE(questions[[#This Row],[qno]]),VALUE(stable[qno]),0))</f>
        <v>0</v>
      </c>
      <c r="N717" s="33" t="b" cm="1">
        <f t="array" ref="N717">INDEX(stable[is_free_text],MATCH(VALUE(questions[[#This Row],[qno]]),VALUE(stable[qno]),0))</f>
        <v>0</v>
      </c>
      <c r="O717" s="33" t="b" cm="1">
        <f t="array" ref="O717">INDEX(stable[is_numerical],MATCH(VALUE(questions[[#This Row],[qno]]),VALUE(stable[qno]),0))</f>
        <v>1</v>
      </c>
      <c r="P717" s="33" t="b" cm="1">
        <f t="array" ref="P717">INDEX(stable[is_single_select],MATCH(VALUE(questions[[#This Row],[qno]]),VALUE(stable[qno]),0))</f>
        <v>0</v>
      </c>
      <c r="Q717" s="33" t="b" cm="1">
        <f t="array" ref="Q717">INDEX(stable[is_multi_select],MATCH(VALUE(questions[[#This Row],[qno]]),VALUE(stable[qno]),0))</f>
        <v>0</v>
      </c>
      <c r="R717" s="33" t="b" cm="1">
        <f t="array" ref="R717">INDEX(stable[is_skip_logic],MATCH(VALUE(questions[[#This Row],[qno]]),VALUE(stable[qno]),0))</f>
        <v>1</v>
      </c>
      <c r="S717" s="33" t="str">
        <f>_xlfn.TEXTJOIN(", ",TRUE,questions[[#This Row],[ans_opt_1]:[ans_opt_14]])</f>
        <v/>
      </c>
      <c r="T717" s="33"/>
      <c r="U717" s="33"/>
      <c r="V717" s="33"/>
      <c r="W717" s="33"/>
      <c r="X717" s="33"/>
      <c r="Y717" s="33"/>
      <c r="Z717" s="33"/>
      <c r="AA717" s="33"/>
      <c r="AB717" s="33"/>
      <c r="AC717" s="33"/>
      <c r="AD717" s="33"/>
      <c r="AE717" s="33"/>
      <c r="AF717" s="33"/>
      <c r="AG717" s="33"/>
      <c r="AH717" s="99" t="b">
        <f>INDEX(stable[q_standard],MATCH(questions[[#This Row],[qno]],stable[qno],0))</f>
        <v>0</v>
      </c>
      <c r="AI717" s="99" t="b">
        <f>INDEX(stable[q_living_income],MATCH(questions[[#This Row],[qno]],stable[qno],0))</f>
        <v>1</v>
      </c>
      <c r="AJ717" s="99" t="b">
        <f>INDEX(stable[q_carbon],MATCH(questions[[#This Row],[qno]],stable[qno],0))</f>
        <v>1</v>
      </c>
      <c r="AK717" s="99" t="b">
        <f>INDEX(stable[q_regen_ag],MATCH(questions[[#This Row],[qno]],stable[qno],0))</f>
        <v>0</v>
      </c>
      <c r="AL717" s="16" t="b">
        <f>COUNTIFS(stable[qno],questions[[#This Row],[qno]])=1</f>
        <v>1</v>
      </c>
      <c r="AM717" s="16" t="b">
        <f>OR(questions[[#This Row],[is_fixed]],questions[[#This Row],[is_localized]],questions[[#This Row],[is_supply_chain_dependent]])</f>
        <v>1</v>
      </c>
      <c r="AN717" s="16" t="b">
        <f>COUNTIFS(questions[[#This Row],[is_automated]:[is_multi_select]],TRUE)=1</f>
        <v>1</v>
      </c>
      <c r="AO717" s="16" t="b">
        <f>IF(questions[[#This Row],[is_fixed]],questions[[#This Row],[question]]=INDEX(stable[question],MATCH(questions[[#This Row],[qno]],stable[qno],0)),TRUE)</f>
        <v>0</v>
      </c>
      <c r="AP717" s="16" t="str">
        <f>LEFT(questions[[#This Row],[question]],similarity_range)</f>
        <v>What was the total q</v>
      </c>
      <c r="AQ717" s="16" t="str">
        <f>LEFT(INDEX(stable[question],MATCH(questions[[#This Row],[qno]],stable[qno],0)),similarity_range)</f>
        <v>What was the total q</v>
      </c>
      <c r="AR717" s="16" t="b">
        <f>questions[[#This Row],[question_first_characters]]=questions[[#This Row],[stability_first_characters]]</f>
        <v>1</v>
      </c>
      <c r="AS717" s="16" t="b">
        <f>IF(OR(questions[[#This Row],[is_single_select]],questions[[#This Row],[is_multi_select]]),NOT(ISBLANK(questions[[#This Row],[answer_opt_combined]])),TRUE)</f>
        <v>1</v>
      </c>
    </row>
    <row r="718" spans="1:45" ht="15.75" customHeight="1" x14ac:dyDescent="0.25">
      <c r="A718" s="33" t="str">
        <f>_xlfn.TEXTJOIN("_",TRUE,questions[[#This Row],[origin]:[qno]])</f>
        <v>Kenya_Arabica_Nestle_2024_5503</v>
      </c>
      <c r="B718" s="33" t="s">
        <v>818</v>
      </c>
      <c r="C718" s="33" t="s">
        <v>59</v>
      </c>
      <c r="D718" s="33" t="s">
        <v>819</v>
      </c>
      <c r="E718" s="33">
        <v>2024</v>
      </c>
      <c r="F718" s="41" t="s">
        <v>203</v>
      </c>
      <c r="G718" s="216" t="s">
        <v>844</v>
      </c>
      <c r="H718" s="33" t="str" cm="1">
        <f t="array" ref="H718">INDEX(stableR[question],MATCH(VALUE(questions[[#This Row],[qno]]),VALUE(stableR[qno]),0))</f>
        <v>What was the unit, for the mulch used (kg, basins, bags, wheel barrows, small truck/tipper, large truck)</v>
      </c>
      <c r="I718" s="33" t="b" cm="1">
        <f t="array" ref="I718">INDEX(stable[is_fixed],MATCH(VALUE(questions[[#This Row],[qno]]),VALUE(stable[qno]),0))</f>
        <v>1</v>
      </c>
      <c r="J718" s="33" t="b" cm="1">
        <f t="array" ref="J718">INDEX(stable[is_localized],MATCH(VALUE(questions[[#This Row],[qno]]),VALUE(stable[qno]),0))</f>
        <v>0</v>
      </c>
      <c r="K718" s="33" t="b" cm="1">
        <f t="array" ref="K718">INDEX(stable[is_supply_chain_dependent],MATCH(VALUE(questions[[#This Row],[qno]]),VALUE(stable[qno]),0))</f>
        <v>0</v>
      </c>
      <c r="L718" s="33" t="b" cm="1">
        <f t="array" ref="L718">INDEX(stable[is_mandatory],MATCH(VALUE(questions[[#This Row],[qno]]),VALUE(stable[qno]),0))</f>
        <v>0</v>
      </c>
      <c r="M718" s="33" t="b" cm="1">
        <f t="array" ref="M718">INDEX(stable[is_automated],MATCH(VALUE(questions[[#This Row],[qno]]),VALUE(stable[qno]),0))</f>
        <v>0</v>
      </c>
      <c r="N718" s="33" t="b" cm="1">
        <f t="array" ref="N718">INDEX(stable[is_free_text],MATCH(VALUE(questions[[#This Row],[qno]]),VALUE(stable[qno]),0))</f>
        <v>1</v>
      </c>
      <c r="O718" s="33" t="b" cm="1">
        <f t="array" ref="O718">INDEX(stable[is_numerical],MATCH(VALUE(questions[[#This Row],[qno]]),VALUE(stable[qno]),0))</f>
        <v>0</v>
      </c>
      <c r="P718" s="33" t="b" cm="1">
        <f t="array" ref="P718">INDEX(stable[is_single_select],MATCH(VALUE(questions[[#This Row],[qno]]),VALUE(stable[qno]),0))</f>
        <v>0</v>
      </c>
      <c r="Q718" s="33" t="b" cm="1">
        <f t="array" ref="Q718">INDEX(stable[is_multi_select],MATCH(VALUE(questions[[#This Row],[qno]]),VALUE(stable[qno]),0))</f>
        <v>0</v>
      </c>
      <c r="R718" s="33" t="b" cm="1">
        <f t="array" ref="R718">INDEX(stable[is_skip_logic],MATCH(VALUE(questions[[#This Row],[qno]]),VALUE(stable[qno]),0))</f>
        <v>1</v>
      </c>
      <c r="S718" s="33" t="str">
        <f>_xlfn.TEXTJOIN(", ",TRUE,questions[[#This Row],[ans_opt_1]:[ans_opt_14]])</f>
        <v>kg's, basins (3 kg/basin), debe (3 kg/load), wheel barrows (10 kg/load), small truck (250 kg/load), medium truck (750 kg/load), large truck (1500 kg/load)</v>
      </c>
      <c r="T718" s="33" t="s">
        <v>754</v>
      </c>
      <c r="U718" s="33" t="s">
        <v>763</v>
      </c>
      <c r="V718" s="33" t="s">
        <v>845</v>
      </c>
      <c r="W718" s="33" t="s">
        <v>846</v>
      </c>
      <c r="X718" s="33" t="s">
        <v>765</v>
      </c>
      <c r="Y718" s="33" t="s">
        <v>766</v>
      </c>
      <c r="Z718" s="33" t="s">
        <v>767</v>
      </c>
      <c r="AA718" s="33"/>
      <c r="AB718" s="33"/>
      <c r="AC718" s="33"/>
      <c r="AD718" s="33"/>
      <c r="AE718" s="33"/>
      <c r="AF718" s="33"/>
      <c r="AG718" s="33"/>
      <c r="AH718" s="99" t="b">
        <f>INDEX(stable[q_standard],MATCH(questions[[#This Row],[qno]],stable[qno],0))</f>
        <v>0</v>
      </c>
      <c r="AI718" s="99" t="b">
        <f>INDEX(stable[q_living_income],MATCH(questions[[#This Row],[qno]],stable[qno],0))</f>
        <v>1</v>
      </c>
      <c r="AJ718" s="99" t="b">
        <f>INDEX(stable[q_carbon],MATCH(questions[[#This Row],[qno]],stable[qno],0))</f>
        <v>1</v>
      </c>
      <c r="AK718" s="99" t="b">
        <f>INDEX(stable[q_regen_ag],MATCH(questions[[#This Row],[qno]],stable[qno],0))</f>
        <v>0</v>
      </c>
      <c r="AL718" s="16" t="b">
        <f>COUNTIFS(stable[qno],questions[[#This Row],[qno]])=1</f>
        <v>1</v>
      </c>
      <c r="AM718" s="16" t="b">
        <f>OR(questions[[#This Row],[is_fixed]],questions[[#This Row],[is_localized]],questions[[#This Row],[is_supply_chain_dependent]])</f>
        <v>1</v>
      </c>
      <c r="AN718" s="16" t="b">
        <f>COUNTIFS(questions[[#This Row],[is_automated]:[is_multi_select]],TRUE)=1</f>
        <v>1</v>
      </c>
      <c r="AO718" s="16" t="b">
        <f>IF(questions[[#This Row],[is_fixed]],questions[[#This Row],[question]]=INDEX(stable[question],MATCH(questions[[#This Row],[qno]],stable[qno],0)),TRUE)</f>
        <v>0</v>
      </c>
      <c r="AP718" s="16" t="str">
        <f>LEFT(questions[[#This Row],[question]],similarity_range)</f>
        <v>What was the unit, f</v>
      </c>
      <c r="AQ718" s="16" t="str">
        <f>LEFT(INDEX(stable[question],MATCH(questions[[#This Row],[qno]],stable[qno],0)),similarity_range)</f>
        <v>What was the unit, f</v>
      </c>
      <c r="AR718" s="16" t="b">
        <f>questions[[#This Row],[question_first_characters]]=questions[[#This Row],[stability_first_characters]]</f>
        <v>1</v>
      </c>
      <c r="AS718" s="16" t="b">
        <f>IF(OR(questions[[#This Row],[is_single_select]],questions[[#This Row],[is_multi_select]]),NOT(ISBLANK(questions[[#This Row],[answer_opt_combined]])),TRUE)</f>
        <v>1</v>
      </c>
    </row>
    <row r="719" spans="1:45" s="77" customFormat="1" ht="15.75" customHeight="1" x14ac:dyDescent="0.25">
      <c r="A719" s="77" t="str">
        <f>_xlfn.TEXTJOIN("_",TRUE,questions[[#This Row],[origin]:[qno]])</f>
        <v>Kenya_Arabica_Nestle_2024_5504</v>
      </c>
      <c r="B719" s="77" t="s">
        <v>818</v>
      </c>
      <c r="C719" s="77" t="s">
        <v>59</v>
      </c>
      <c r="D719" s="77" t="s">
        <v>819</v>
      </c>
      <c r="E719" s="77">
        <v>2024</v>
      </c>
      <c r="F719" s="105" t="s">
        <v>205</v>
      </c>
      <c r="G719" s="78" t="s">
        <v>768</v>
      </c>
      <c r="H719" s="33" t="str" cm="1">
        <f t="array" ref="H719">INDEX(stableR[question],MATCH(VALUE(questions[[#This Row],[qno]]),VALUE(stableR[qno]),0))</f>
        <v>From where was this mulch sourced?</v>
      </c>
      <c r="I719" s="33" t="b" cm="1">
        <f t="array" ref="I719">INDEX(stable[is_fixed],MATCH(VALUE(questions[[#This Row],[qno]]),VALUE(stable[qno]),0))</f>
        <v>1</v>
      </c>
      <c r="J719" s="33" t="b" cm="1">
        <f t="array" ref="J719">INDEX(stable[is_localized],MATCH(VALUE(questions[[#This Row],[qno]]),VALUE(stable[qno]),0))</f>
        <v>0</v>
      </c>
      <c r="K719" s="33" t="b" cm="1">
        <f t="array" ref="K719">INDEX(stable[is_supply_chain_dependent],MATCH(VALUE(questions[[#This Row],[qno]]),VALUE(stable[qno]),0))</f>
        <v>0</v>
      </c>
      <c r="L719" s="33" t="b" cm="1">
        <f t="array" ref="L719">INDEX(stable[is_mandatory],MATCH(VALUE(questions[[#This Row],[qno]]),VALUE(stable[qno]),0))</f>
        <v>0</v>
      </c>
      <c r="M719" s="33" t="b" cm="1">
        <f t="array" ref="M719">INDEX(stable[is_automated],MATCH(VALUE(questions[[#This Row],[qno]]),VALUE(stable[qno]),0))</f>
        <v>0</v>
      </c>
      <c r="N719" s="33" t="b" cm="1">
        <f t="array" ref="N719">INDEX(stable[is_free_text],MATCH(VALUE(questions[[#This Row],[qno]]),VALUE(stable[qno]),0))</f>
        <v>0</v>
      </c>
      <c r="O719" s="33" t="b" cm="1">
        <f t="array" ref="O719">INDEX(stable[is_numerical],MATCH(VALUE(questions[[#This Row],[qno]]),VALUE(stable[qno]),0))</f>
        <v>0</v>
      </c>
      <c r="P719" s="77" t="b" cm="1">
        <f t="array" ref="P719">INDEX(stable[is_single_select],MATCH(VALUE(questions[[#This Row],[qno]]),VALUE(stable[qno]),0))</f>
        <v>1</v>
      </c>
      <c r="Q719" s="77" t="b" cm="1">
        <f t="array" ref="Q719">INDEX(stable[is_multi_select],MATCH(VALUE(questions[[#This Row],[qno]]),VALUE(stable[qno]),0))</f>
        <v>0</v>
      </c>
      <c r="R719" s="77" t="b" cm="1">
        <f t="array" ref="R719">INDEX(stable[is_skip_logic],MATCH(VALUE(questions[[#This Row],[qno]]),VALUE(stable[qno]),0))</f>
        <v>1</v>
      </c>
      <c r="S719" s="77" t="str">
        <f>_xlfn.TEXTJOIN(", ",TRUE,questions[[#This Row],[ans_opt_1]:[ans_opt_14]])</f>
        <v>Outside the coffee plot, Inside the coffee plot, Both from inside and outside the coffee plot</v>
      </c>
      <c r="T719" s="77" t="s">
        <v>207</v>
      </c>
      <c r="U719" s="77" t="s">
        <v>208</v>
      </c>
      <c r="V719" s="77" t="s">
        <v>209</v>
      </c>
      <c r="AH719" s="98" t="b">
        <f>INDEX(stable[q_standard],MATCH(questions[[#This Row],[qno]],stable[qno],0))</f>
        <v>0</v>
      </c>
      <c r="AI719" s="98" t="b">
        <f>INDEX(stable[q_living_income],MATCH(questions[[#This Row],[qno]],stable[qno],0))</f>
        <v>1</v>
      </c>
      <c r="AJ719" s="98" t="b">
        <f>INDEX(stable[q_carbon],MATCH(questions[[#This Row],[qno]],stable[qno],0))</f>
        <v>1</v>
      </c>
      <c r="AK719" s="98" t="b">
        <f>INDEX(stable[q_regen_ag],MATCH(questions[[#This Row],[qno]],stable[qno],0))</f>
        <v>0</v>
      </c>
      <c r="AL719" s="98" t="b">
        <f>COUNTIFS(stable[qno],questions[[#This Row],[qno]])=1</f>
        <v>1</v>
      </c>
      <c r="AM719" s="98" t="b">
        <f>OR(questions[[#This Row],[is_fixed]],questions[[#This Row],[is_localized]],questions[[#This Row],[is_supply_chain_dependent]])</f>
        <v>1</v>
      </c>
      <c r="AN719" s="98" t="b">
        <f>COUNTIFS(questions[[#This Row],[is_automated]:[is_multi_select]],TRUE)=1</f>
        <v>1</v>
      </c>
      <c r="AO719" s="98" t="b">
        <f>IF(questions[[#This Row],[is_fixed]],questions[[#This Row],[question]]=INDEX(stable[question],MATCH(questions[[#This Row],[qno]],stable[qno],0)),TRUE)</f>
        <v>1</v>
      </c>
      <c r="AP719" s="98" t="str">
        <f>LEFT(questions[[#This Row],[question]],similarity_range)</f>
        <v xml:space="preserve">From where was this </v>
      </c>
      <c r="AQ719" s="98" t="str">
        <f>LEFT(INDEX(stable[question],MATCH(questions[[#This Row],[qno]],stable[qno],0)),similarity_range)</f>
        <v xml:space="preserve">From where was this </v>
      </c>
      <c r="AR719" s="98" t="b">
        <f>questions[[#This Row],[question_first_characters]]=questions[[#This Row],[stability_first_characters]]</f>
        <v>1</v>
      </c>
      <c r="AS719" s="98" t="b">
        <f>IF(OR(questions[[#This Row],[is_single_select]],questions[[#This Row],[is_multi_select]]),NOT(ISBLANK(questions[[#This Row],[answer_opt_combined]])),TRUE)</f>
        <v>1</v>
      </c>
    </row>
    <row r="720" spans="1:45" s="77" customFormat="1" ht="15.75" customHeight="1" x14ac:dyDescent="0.25">
      <c r="A720" s="77" t="str">
        <f>_xlfn.TEXTJOIN("_",TRUE,questions[[#This Row],[origin]:[qno]])</f>
        <v>Kenya_Arabica_Nestle_2024_5505</v>
      </c>
      <c r="B720" s="77" t="s">
        <v>818</v>
      </c>
      <c r="C720" s="77" t="s">
        <v>59</v>
      </c>
      <c r="D720" s="77" t="s">
        <v>819</v>
      </c>
      <c r="E720" s="77">
        <v>2024</v>
      </c>
      <c r="F720" s="105" t="s">
        <v>210</v>
      </c>
      <c r="G720" s="78" t="s">
        <v>769</v>
      </c>
      <c r="H720" s="33" t="str" cm="1">
        <f t="array" ref="H720">INDEX(stableR[question],MATCH(VALUE(questions[[#This Row],[qno]]),VALUE(stableR[qno]),0))</f>
        <v>If it was from outside the coffee plot, did you buy this mulch, or did it come from your own farm?</v>
      </c>
      <c r="I720" s="33" t="b" cm="1">
        <f t="array" ref="I720">INDEX(stable[is_fixed],MATCH(VALUE(questions[[#This Row],[qno]]),VALUE(stable[qno]),0))</f>
        <v>1</v>
      </c>
      <c r="J720" s="33" t="b" cm="1">
        <f t="array" ref="J720">INDEX(stable[is_localized],MATCH(VALUE(questions[[#This Row],[qno]]),VALUE(stable[qno]),0))</f>
        <v>0</v>
      </c>
      <c r="K720" s="33" t="b" cm="1">
        <f t="array" ref="K720">INDEX(stable[is_supply_chain_dependent],MATCH(VALUE(questions[[#This Row],[qno]]),VALUE(stable[qno]),0))</f>
        <v>0</v>
      </c>
      <c r="L720" s="33" t="b" cm="1">
        <f t="array" ref="L720">INDEX(stable[is_mandatory],MATCH(VALUE(questions[[#This Row],[qno]]),VALUE(stable[qno]),0))</f>
        <v>0</v>
      </c>
      <c r="M720" s="33" t="b" cm="1">
        <f t="array" ref="M720">INDEX(stable[is_automated],MATCH(VALUE(questions[[#This Row],[qno]]),VALUE(stable[qno]),0))</f>
        <v>0</v>
      </c>
      <c r="N720" s="33" t="b" cm="1">
        <f t="array" ref="N720">INDEX(stable[is_free_text],MATCH(VALUE(questions[[#This Row],[qno]]),VALUE(stable[qno]),0))</f>
        <v>0</v>
      </c>
      <c r="O720" s="33" t="b" cm="1">
        <f t="array" ref="O720">INDEX(stable[is_numerical],MATCH(VALUE(questions[[#This Row],[qno]]),VALUE(stable[qno]),0))</f>
        <v>0</v>
      </c>
      <c r="P720" s="77" t="b" cm="1">
        <f t="array" ref="P720">INDEX(stable[is_single_select],MATCH(VALUE(questions[[#This Row],[qno]]),VALUE(stable[qno]),0))</f>
        <v>1</v>
      </c>
      <c r="Q720" s="77" t="b" cm="1">
        <f t="array" ref="Q720">INDEX(stable[is_multi_select],MATCH(VALUE(questions[[#This Row],[qno]]),VALUE(stable[qno]),0))</f>
        <v>0</v>
      </c>
      <c r="R720" s="77" t="b" cm="1">
        <f t="array" ref="R720">INDEX(stable[is_skip_logic],MATCH(VALUE(questions[[#This Row],[qno]]),VALUE(stable[qno]),0))</f>
        <v>1</v>
      </c>
      <c r="S720" s="77" t="str">
        <f>_xlfn.TEXTJOIN(", ",TRUE,questions[[#This Row],[ans_opt_1]:[ans_opt_14]])</f>
        <v>Bought, From own farm</v>
      </c>
      <c r="T720" s="77" t="s">
        <v>185</v>
      </c>
      <c r="U720" s="77" t="s">
        <v>186</v>
      </c>
      <c r="AH720" s="98" t="b">
        <f>INDEX(stable[q_standard],MATCH(questions[[#This Row],[qno]],stable[qno],0))</f>
        <v>0</v>
      </c>
      <c r="AI720" s="98" t="b">
        <f>INDEX(stable[q_living_income],MATCH(questions[[#This Row],[qno]],stable[qno],0))</f>
        <v>1</v>
      </c>
      <c r="AJ720" s="98" t="b">
        <f>INDEX(stable[q_carbon],MATCH(questions[[#This Row],[qno]],stable[qno],0))</f>
        <v>1</v>
      </c>
      <c r="AK720" s="98" t="b">
        <f>INDEX(stable[q_regen_ag],MATCH(questions[[#This Row],[qno]],stable[qno],0))</f>
        <v>0</v>
      </c>
      <c r="AL720" s="98" t="b">
        <f>COUNTIFS(stable[qno],questions[[#This Row],[qno]])=1</f>
        <v>1</v>
      </c>
      <c r="AM720" s="98" t="b">
        <f>OR(questions[[#This Row],[is_fixed]],questions[[#This Row],[is_localized]],questions[[#This Row],[is_supply_chain_dependent]])</f>
        <v>1</v>
      </c>
      <c r="AN720" s="98" t="b">
        <f>COUNTIFS(questions[[#This Row],[is_automated]:[is_multi_select]],TRUE)=1</f>
        <v>1</v>
      </c>
      <c r="AO720" s="98" t="b">
        <f>IF(questions[[#This Row],[is_fixed]],questions[[#This Row],[question]]=INDEX(stable[question],MATCH(questions[[#This Row],[qno]],stable[qno],0)),TRUE)</f>
        <v>1</v>
      </c>
      <c r="AP720" s="98" t="str">
        <f>LEFT(questions[[#This Row],[question]],similarity_range)</f>
        <v>If it was from outsi</v>
      </c>
      <c r="AQ720" s="98" t="str">
        <f>LEFT(INDEX(stable[question],MATCH(questions[[#This Row],[qno]],stable[qno],0)),similarity_range)</f>
        <v>If it was from outsi</v>
      </c>
      <c r="AR720" s="98" t="b">
        <f>questions[[#This Row],[question_first_characters]]=questions[[#This Row],[stability_first_characters]]</f>
        <v>1</v>
      </c>
      <c r="AS720" s="98" t="b">
        <f>IF(OR(questions[[#This Row],[is_single_select]],questions[[#This Row],[is_multi_select]]),NOT(ISBLANK(questions[[#This Row],[answer_opt_combined]])),TRUE)</f>
        <v>1</v>
      </c>
    </row>
    <row r="721" spans="1:45" s="77" customFormat="1" ht="15.75" customHeight="1" x14ac:dyDescent="0.25">
      <c r="A721" s="77" t="str">
        <f>_xlfn.TEXTJOIN("_",TRUE,questions[[#This Row],[origin]:[qno]])</f>
        <v>Kenya_Arabica_Nestle_2024_5600</v>
      </c>
      <c r="B721" s="77" t="s">
        <v>818</v>
      </c>
      <c r="C721" s="77" t="s">
        <v>59</v>
      </c>
      <c r="D721" s="77" t="s">
        <v>819</v>
      </c>
      <c r="E721" s="77">
        <v>2024</v>
      </c>
      <c r="F721" s="105" t="s">
        <v>212</v>
      </c>
      <c r="G721" s="78" t="s">
        <v>847</v>
      </c>
      <c r="H721" s="33" t="str" cm="1">
        <f t="array" ref="H721">INDEX(stableR[question],MATCH(VALUE(questions[[#This Row],[qno]]),VALUE(stableR[qno]),0))</f>
        <v xml:space="preserve">Did you use pesticides, fungicides or herbicides for your coffee last year? </v>
      </c>
      <c r="I721" s="33" t="b" cm="1">
        <f t="array" ref="I721">INDEX(stable[is_fixed],MATCH(VALUE(questions[[#This Row],[qno]]),VALUE(stable[qno]),0))</f>
        <v>1</v>
      </c>
      <c r="J721" s="33" t="b" cm="1">
        <f t="array" ref="J721">INDEX(stable[is_localized],MATCH(VALUE(questions[[#This Row],[qno]]),VALUE(stable[qno]),0))</f>
        <v>0</v>
      </c>
      <c r="K721" s="33" t="b" cm="1">
        <f t="array" ref="K721">INDEX(stable[is_supply_chain_dependent],MATCH(VALUE(questions[[#This Row],[qno]]),VALUE(stable[qno]),0))</f>
        <v>0</v>
      </c>
      <c r="L721" s="33" t="b" cm="1">
        <f t="array" ref="L721">INDEX(stable[is_mandatory],MATCH(VALUE(questions[[#This Row],[qno]]),VALUE(stable[qno]),0))</f>
        <v>1</v>
      </c>
      <c r="M721" s="33" t="b" cm="1">
        <f t="array" ref="M721">INDEX(stable[is_automated],MATCH(VALUE(questions[[#This Row],[qno]]),VALUE(stable[qno]),0))</f>
        <v>0</v>
      </c>
      <c r="N721" s="33" t="b" cm="1">
        <f t="array" ref="N721">INDEX(stable[is_free_text],MATCH(VALUE(questions[[#This Row],[qno]]),VALUE(stable[qno]),0))</f>
        <v>0</v>
      </c>
      <c r="O721" s="33" t="b" cm="1">
        <f t="array" ref="O721">INDEX(stable[is_numerical],MATCH(VALUE(questions[[#This Row],[qno]]),VALUE(stable[qno]),0))</f>
        <v>0</v>
      </c>
      <c r="P721" s="77" t="b" cm="1">
        <f t="array" ref="P721">INDEX(stable[is_single_select],MATCH(VALUE(questions[[#This Row],[qno]]),VALUE(stable[qno]),0))</f>
        <v>1</v>
      </c>
      <c r="Q721" s="77" t="b" cm="1">
        <f t="array" ref="Q721">INDEX(stable[is_multi_select],MATCH(VALUE(questions[[#This Row],[qno]]),VALUE(stable[qno]),0))</f>
        <v>0</v>
      </c>
      <c r="R721" s="77" t="b" cm="1">
        <f t="array" ref="R721">INDEX(stable[is_skip_logic],MATCH(VALUE(questions[[#This Row],[qno]]),VALUE(stable[qno]),0))</f>
        <v>1</v>
      </c>
      <c r="S721" s="77" t="str">
        <f>_xlfn.TEXTJOIN(", ",TRUE,questions[[#This Row],[ans_opt_1]:[ans_opt_14]])</f>
        <v>Yes, No</v>
      </c>
      <c r="T721" s="77" t="s">
        <v>149</v>
      </c>
      <c r="U721" s="77" t="s">
        <v>119</v>
      </c>
      <c r="AH721" s="98" t="b">
        <f>INDEX(stable[q_standard],MATCH(questions[[#This Row],[qno]],stable[qno],0))</f>
        <v>0</v>
      </c>
      <c r="AI721" s="98" t="b">
        <f>INDEX(stable[q_living_income],MATCH(questions[[#This Row],[qno]],stable[qno],0))</f>
        <v>1</v>
      </c>
      <c r="AJ721" s="98" t="b">
        <f>INDEX(stable[q_carbon],MATCH(questions[[#This Row],[qno]],stable[qno],0))</f>
        <v>1</v>
      </c>
      <c r="AK721" s="98" t="b">
        <f>INDEX(stable[q_regen_ag],MATCH(questions[[#This Row],[qno]],stable[qno],0))</f>
        <v>0</v>
      </c>
      <c r="AL721" s="98" t="b">
        <f>COUNTIFS(stable[qno],questions[[#This Row],[qno]])=1</f>
        <v>1</v>
      </c>
      <c r="AM721" s="98" t="b">
        <f>OR(questions[[#This Row],[is_fixed]],questions[[#This Row],[is_localized]],questions[[#This Row],[is_supply_chain_dependent]])</f>
        <v>1</v>
      </c>
      <c r="AN721" s="98" t="b">
        <f>COUNTIFS(questions[[#This Row],[is_automated]:[is_multi_select]],TRUE)=1</f>
        <v>1</v>
      </c>
      <c r="AO721" s="98" t="b">
        <f>IF(questions[[#This Row],[is_fixed]],questions[[#This Row],[question]]=INDEX(stable[question],MATCH(questions[[#This Row],[qno]],stable[qno],0)),TRUE)</f>
        <v>0</v>
      </c>
      <c r="AP721" s="98" t="str">
        <f>LEFT(questions[[#This Row],[question]],similarity_range)</f>
        <v>Did you use pesticid</v>
      </c>
      <c r="AQ721" s="98" t="str">
        <f>LEFT(INDEX(stable[question],MATCH(questions[[#This Row],[qno]],stable[qno],0)),similarity_range)</f>
        <v>Did you use pesticid</v>
      </c>
      <c r="AR721" s="98" t="b">
        <f>questions[[#This Row],[question_first_characters]]=questions[[#This Row],[stability_first_characters]]</f>
        <v>1</v>
      </c>
      <c r="AS721" s="98" t="b">
        <f>IF(OR(questions[[#This Row],[is_single_select]],questions[[#This Row],[is_multi_select]]),NOT(ISBLANK(questions[[#This Row],[answer_opt_combined]])),TRUE)</f>
        <v>1</v>
      </c>
    </row>
    <row r="722" spans="1:45" ht="15.75" customHeight="1" x14ac:dyDescent="0.25">
      <c r="A722" s="33" t="str">
        <f>_xlfn.TEXTJOIN("_",TRUE,questions[[#This Row],[origin]:[qno]])</f>
        <v>Kenya_Arabica_Nestle_2024_5601</v>
      </c>
      <c r="B722" s="33" t="s">
        <v>818</v>
      </c>
      <c r="C722" s="33" t="s">
        <v>59</v>
      </c>
      <c r="D722" s="33" t="s">
        <v>819</v>
      </c>
      <c r="E722" s="33">
        <v>2024</v>
      </c>
      <c r="F722" s="41" t="s">
        <v>214</v>
      </c>
      <c r="G722" s="18" t="s">
        <v>215</v>
      </c>
      <c r="H722" s="33" t="str" cm="1">
        <f t="array" ref="H722">INDEX(stableR[question],MATCH(VALUE(questions[[#This Row],[qno]]),VALUE(stableR[qno]),0))</f>
        <v xml:space="preserve">If yes, how many types of pesticides, fungicides and/or herbicides did you use last year for your coffee, in total? </v>
      </c>
      <c r="I722" s="33" t="b" cm="1">
        <f t="array" ref="I722">INDEX(stable[is_fixed],MATCH(VALUE(questions[[#This Row],[qno]]),VALUE(stable[qno]),0))</f>
        <v>1</v>
      </c>
      <c r="J722" s="33" t="b" cm="1">
        <f t="array" ref="J722">INDEX(stable[is_localized],MATCH(VALUE(questions[[#This Row],[qno]]),VALUE(stable[qno]),0))</f>
        <v>0</v>
      </c>
      <c r="K722" s="33" t="b" cm="1">
        <f t="array" ref="K722">INDEX(stable[is_supply_chain_dependent],MATCH(VALUE(questions[[#This Row],[qno]]),VALUE(stable[qno]),0))</f>
        <v>0</v>
      </c>
      <c r="L722" s="33" t="b" cm="1">
        <f t="array" ref="L722">INDEX(stable[is_mandatory],MATCH(VALUE(questions[[#This Row],[qno]]),VALUE(stable[qno]),0))</f>
        <v>0</v>
      </c>
      <c r="M722" s="33" t="b" cm="1">
        <f t="array" ref="M722">INDEX(stable[is_automated],MATCH(VALUE(questions[[#This Row],[qno]]),VALUE(stable[qno]),0))</f>
        <v>0</v>
      </c>
      <c r="N722" s="33" t="b" cm="1">
        <f t="array" ref="N722">INDEX(stable[is_free_text],MATCH(VALUE(questions[[#This Row],[qno]]),VALUE(stable[qno]),0))</f>
        <v>0</v>
      </c>
      <c r="O722" s="33" t="b" cm="1">
        <f t="array" ref="O722">INDEX(stable[is_numerical],MATCH(VALUE(questions[[#This Row],[qno]]),VALUE(stable[qno]),0))</f>
        <v>1</v>
      </c>
      <c r="P722" s="33" t="b" cm="1">
        <f t="array" ref="P722">INDEX(stable[is_single_select],MATCH(VALUE(questions[[#This Row],[qno]]),VALUE(stable[qno]),0))</f>
        <v>0</v>
      </c>
      <c r="Q722" s="33" t="b" cm="1">
        <f t="array" ref="Q722">INDEX(stable[is_multi_select],MATCH(VALUE(questions[[#This Row],[qno]]),VALUE(stable[qno]),0))</f>
        <v>0</v>
      </c>
      <c r="R722" s="33" t="b" cm="1">
        <f t="array" ref="R722">INDEX(stable[is_skip_logic],MATCH(VALUE(questions[[#This Row],[qno]]),VALUE(stable[qno]),0))</f>
        <v>1</v>
      </c>
      <c r="S722" s="33" t="str">
        <f>_xlfn.TEXTJOIN(", ",TRUE,questions[[#This Row],[ans_opt_1]:[ans_opt_14]])</f>
        <v/>
      </c>
      <c r="T722" s="33"/>
      <c r="U722" s="33"/>
      <c r="V722" s="33"/>
      <c r="W722" s="33"/>
      <c r="X722" s="33"/>
      <c r="Y722" s="33"/>
      <c r="Z722" s="33"/>
      <c r="AA722" s="33"/>
      <c r="AB722" s="33"/>
      <c r="AC722" s="33"/>
      <c r="AD722" s="33"/>
      <c r="AE722" s="33"/>
      <c r="AF722" s="33"/>
      <c r="AG722" s="33"/>
      <c r="AH722" s="99" t="b">
        <f>INDEX(stable[q_standard],MATCH(questions[[#This Row],[qno]],stable[qno],0))</f>
        <v>0</v>
      </c>
      <c r="AI722" s="99" t="b">
        <f>INDEX(stable[q_living_income],MATCH(questions[[#This Row],[qno]],stable[qno],0))</f>
        <v>1</v>
      </c>
      <c r="AJ722" s="99" t="b">
        <f>INDEX(stable[q_carbon],MATCH(questions[[#This Row],[qno]],stable[qno],0))</f>
        <v>1</v>
      </c>
      <c r="AK722" s="99" t="b">
        <f>INDEX(stable[q_regen_ag],MATCH(questions[[#This Row],[qno]],stable[qno],0))</f>
        <v>0</v>
      </c>
      <c r="AL722" s="16" t="b">
        <f>COUNTIFS(stable[qno],questions[[#This Row],[qno]])=1</f>
        <v>1</v>
      </c>
      <c r="AM722" s="16" t="b">
        <f>OR(questions[[#This Row],[is_fixed]],questions[[#This Row],[is_localized]],questions[[#This Row],[is_supply_chain_dependent]])</f>
        <v>1</v>
      </c>
      <c r="AN722" s="16" t="b">
        <f>COUNTIFS(questions[[#This Row],[is_automated]:[is_multi_select]],TRUE)=1</f>
        <v>1</v>
      </c>
      <c r="AO722" s="16" t="b">
        <f>IF(questions[[#This Row],[is_fixed]],questions[[#This Row],[question]]=INDEX(stable[question],MATCH(questions[[#This Row],[qno]],stable[qno],0)),TRUE)</f>
        <v>0</v>
      </c>
      <c r="AP722" s="16" t="str">
        <f>LEFT(questions[[#This Row],[question]],similarity_range)</f>
        <v>If yes, how many typ</v>
      </c>
      <c r="AQ722" s="16" t="str">
        <f>LEFT(INDEX(stable[question],MATCH(questions[[#This Row],[qno]],stable[qno],0)),similarity_range)</f>
        <v>If yes, how many typ</v>
      </c>
      <c r="AR722" s="16" t="b">
        <f>questions[[#This Row],[question_first_characters]]=questions[[#This Row],[stability_first_characters]]</f>
        <v>1</v>
      </c>
      <c r="AS722" s="16" t="b">
        <f>IF(OR(questions[[#This Row],[is_single_select]],questions[[#This Row],[is_multi_select]]),NOT(ISBLANK(questions[[#This Row],[answer_opt_combined]])),TRUE)</f>
        <v>1</v>
      </c>
    </row>
    <row r="723" spans="1:45" ht="15.75" customHeight="1" x14ac:dyDescent="0.25">
      <c r="A723" s="33" t="str">
        <f>_xlfn.TEXTJOIN("_",TRUE,questions[[#This Row],[origin]:[qno]])</f>
        <v>Kenya_Arabica_Nestle_2024_5610</v>
      </c>
      <c r="B723" s="33" t="s">
        <v>818</v>
      </c>
      <c r="C723" s="33" t="s">
        <v>59</v>
      </c>
      <c r="D723" s="33" t="s">
        <v>819</v>
      </c>
      <c r="E723" s="33">
        <v>2024</v>
      </c>
      <c r="F723" s="41" t="s">
        <v>216</v>
      </c>
      <c r="G723" s="18" t="s">
        <v>771</v>
      </c>
      <c r="H723" s="33" t="str" cm="1">
        <f t="array" ref="H723">INDEX(stableR[question],MATCH(VALUE(questions[[#This Row],[qno]]),VALUE(stableR[qno]),0))</f>
        <v>What was the name of the pesticide/fungicide or herbicide that you used most, last year?</v>
      </c>
      <c r="I723" s="33" t="b" cm="1">
        <f t="array" ref="I723">INDEX(stable[is_fixed],MATCH(VALUE(questions[[#This Row],[qno]]),VALUE(stable[qno]),0))</f>
        <v>1</v>
      </c>
      <c r="J723" s="33" t="b" cm="1">
        <f t="array" ref="J723">INDEX(stable[is_localized],MATCH(VALUE(questions[[#This Row],[qno]]),VALUE(stable[qno]),0))</f>
        <v>0</v>
      </c>
      <c r="K723" s="33" t="b" cm="1">
        <f t="array" ref="K723">INDEX(stable[is_supply_chain_dependent],MATCH(VALUE(questions[[#This Row],[qno]]),VALUE(stable[qno]),0))</f>
        <v>0</v>
      </c>
      <c r="L723" s="33" t="b" cm="1">
        <f t="array" ref="L723">INDEX(stable[is_mandatory],MATCH(VALUE(questions[[#This Row],[qno]]),VALUE(stable[qno]),0))</f>
        <v>0</v>
      </c>
      <c r="M723" s="33" t="b" cm="1">
        <f t="array" ref="M723">INDEX(stable[is_automated],MATCH(VALUE(questions[[#This Row],[qno]]),VALUE(stable[qno]),0))</f>
        <v>0</v>
      </c>
      <c r="N723" s="33" t="b" cm="1">
        <f t="array" ref="N723">INDEX(stable[is_free_text],MATCH(VALUE(questions[[#This Row],[qno]]),VALUE(stable[qno]),0))</f>
        <v>1</v>
      </c>
      <c r="O723" s="33" t="b" cm="1">
        <f t="array" ref="O723">INDEX(stable[is_numerical],MATCH(VALUE(questions[[#This Row],[qno]]),VALUE(stable[qno]),0))</f>
        <v>0</v>
      </c>
      <c r="P723" s="33" t="b" cm="1">
        <f t="array" ref="P723">INDEX(stable[is_single_select],MATCH(VALUE(questions[[#This Row],[qno]]),VALUE(stable[qno]),0))</f>
        <v>0</v>
      </c>
      <c r="Q723" s="33" t="b" cm="1">
        <f t="array" ref="Q723">INDEX(stable[is_multi_select],MATCH(VALUE(questions[[#This Row],[qno]]),VALUE(stable[qno]),0))</f>
        <v>0</v>
      </c>
      <c r="R723" s="33" t="b" cm="1">
        <f t="array" ref="R723">INDEX(stable[is_skip_logic],MATCH(VALUE(questions[[#This Row],[qno]]),VALUE(stable[qno]),0))</f>
        <v>1</v>
      </c>
      <c r="S723" s="33" t="str">
        <f>_xlfn.TEXTJOIN(", ",TRUE,questions[[#This Row],[ans_opt_1]:[ans_opt_14]])</f>
        <v/>
      </c>
      <c r="T723" s="33"/>
      <c r="U723" s="33"/>
      <c r="V723" s="33"/>
      <c r="W723" s="33"/>
      <c r="X723" s="33"/>
      <c r="Y723" s="33"/>
      <c r="Z723" s="33"/>
      <c r="AA723" s="33"/>
      <c r="AB723" s="33"/>
      <c r="AC723" s="33"/>
      <c r="AD723" s="33"/>
      <c r="AE723" s="33"/>
      <c r="AF723" s="33"/>
      <c r="AG723" s="33"/>
      <c r="AH723" s="99" t="b">
        <f>INDEX(stable[q_standard],MATCH(questions[[#This Row],[qno]],stable[qno],0))</f>
        <v>0</v>
      </c>
      <c r="AI723" s="99" t="b">
        <f>INDEX(stable[q_living_income],MATCH(questions[[#This Row],[qno]],stable[qno],0))</f>
        <v>1</v>
      </c>
      <c r="AJ723" s="99" t="b">
        <f>INDEX(stable[q_carbon],MATCH(questions[[#This Row],[qno]],stable[qno],0))</f>
        <v>1</v>
      </c>
      <c r="AK723" s="99" t="b">
        <f>INDEX(stable[q_regen_ag],MATCH(questions[[#This Row],[qno]],stable[qno],0))</f>
        <v>0</v>
      </c>
      <c r="AL723" s="16" t="b">
        <f>COUNTIFS(stable[qno],questions[[#This Row],[qno]])=1</f>
        <v>1</v>
      </c>
      <c r="AM723" s="16" t="b">
        <f>OR(questions[[#This Row],[is_fixed]],questions[[#This Row],[is_localized]],questions[[#This Row],[is_supply_chain_dependent]])</f>
        <v>1</v>
      </c>
      <c r="AN723" s="16" t="b">
        <f>COUNTIFS(questions[[#This Row],[is_automated]:[is_multi_select]],TRUE)=1</f>
        <v>1</v>
      </c>
      <c r="AO723" s="16" t="b">
        <f>IF(questions[[#This Row],[is_fixed]],questions[[#This Row],[question]]=INDEX(stable[question],MATCH(questions[[#This Row],[qno]],stable[qno],0)),TRUE)</f>
        <v>0</v>
      </c>
      <c r="AP723" s="16" t="str">
        <f>LEFT(questions[[#This Row],[question]],similarity_range)</f>
        <v>If yes, what was the</v>
      </c>
      <c r="AQ723" s="16" t="str">
        <f>LEFT(INDEX(stable[question],MATCH(questions[[#This Row],[qno]],stable[qno],0)),similarity_range)</f>
        <v>If yes, what was the</v>
      </c>
      <c r="AR723" s="16" t="b">
        <f>questions[[#This Row],[question_first_characters]]=questions[[#This Row],[stability_first_characters]]</f>
        <v>1</v>
      </c>
      <c r="AS723" s="16" t="b">
        <f>IF(OR(questions[[#This Row],[is_single_select]],questions[[#This Row],[is_multi_select]]),NOT(ISBLANK(questions[[#This Row],[answer_opt_combined]])),TRUE)</f>
        <v>1</v>
      </c>
    </row>
    <row r="724" spans="1:45" ht="15.75" customHeight="1" x14ac:dyDescent="0.25">
      <c r="A724" s="33" t="str">
        <f>_xlfn.TEXTJOIN("_",TRUE,questions[[#This Row],[origin]:[qno]])</f>
        <v>Kenya_Arabica_Nestle_2024_5611</v>
      </c>
      <c r="B724" s="33" t="s">
        <v>818</v>
      </c>
      <c r="C724" s="33" t="s">
        <v>59</v>
      </c>
      <c r="D724" s="33" t="s">
        <v>819</v>
      </c>
      <c r="E724" s="33">
        <v>2024</v>
      </c>
      <c r="F724" s="41" t="s">
        <v>218</v>
      </c>
      <c r="G724" s="18" t="s">
        <v>219</v>
      </c>
      <c r="H724" s="33" t="str" cm="1">
        <f t="array" ref="H724">INDEX(stableR[question],MATCH(VALUE(questions[[#This Row],[qno]]),VALUE(stableR[qno]),0))</f>
        <v>What was the quantity used of this most used pesticide/fungicide/herbicide last year?</v>
      </c>
      <c r="I724" s="33" t="b" cm="1">
        <f t="array" ref="I724">INDEX(stable[is_fixed],MATCH(VALUE(questions[[#This Row],[qno]]),VALUE(stable[qno]),0))</f>
        <v>1</v>
      </c>
      <c r="J724" s="33" t="b" cm="1">
        <f t="array" ref="J724">INDEX(stable[is_localized],MATCH(VALUE(questions[[#This Row],[qno]]),VALUE(stable[qno]),0))</f>
        <v>0</v>
      </c>
      <c r="K724" s="33" t="b" cm="1">
        <f t="array" ref="K724">INDEX(stable[is_supply_chain_dependent],MATCH(VALUE(questions[[#This Row],[qno]]),VALUE(stable[qno]),0))</f>
        <v>0</v>
      </c>
      <c r="L724" s="33" t="b" cm="1">
        <f t="array" ref="L724">INDEX(stable[is_mandatory],MATCH(VALUE(questions[[#This Row],[qno]]),VALUE(stable[qno]),0))</f>
        <v>0</v>
      </c>
      <c r="M724" s="33" t="b" cm="1">
        <f t="array" ref="M724">INDEX(stable[is_automated],MATCH(VALUE(questions[[#This Row],[qno]]),VALUE(stable[qno]),0))</f>
        <v>0</v>
      </c>
      <c r="N724" s="33" t="b" cm="1">
        <f t="array" ref="N724">INDEX(stable[is_free_text],MATCH(VALUE(questions[[#This Row],[qno]]),VALUE(stable[qno]),0))</f>
        <v>0</v>
      </c>
      <c r="O724" s="33" t="b" cm="1">
        <f t="array" ref="O724">INDEX(stable[is_numerical],MATCH(VALUE(questions[[#This Row],[qno]]),VALUE(stable[qno]),0))</f>
        <v>1</v>
      </c>
      <c r="P724" s="33" t="b" cm="1">
        <f t="array" ref="P724">INDEX(stable[is_single_select],MATCH(VALUE(questions[[#This Row],[qno]]),VALUE(stable[qno]),0))</f>
        <v>0</v>
      </c>
      <c r="Q724" s="33" t="b" cm="1">
        <f t="array" ref="Q724">INDEX(stable[is_multi_select],MATCH(VALUE(questions[[#This Row],[qno]]),VALUE(stable[qno]),0))</f>
        <v>0</v>
      </c>
      <c r="R724" s="33" t="b" cm="1">
        <f t="array" ref="R724">INDEX(stable[is_skip_logic],MATCH(VALUE(questions[[#This Row],[qno]]),VALUE(stable[qno]),0))</f>
        <v>1</v>
      </c>
      <c r="S724" s="33" t="str">
        <f>_xlfn.TEXTJOIN(", ",TRUE,questions[[#This Row],[ans_opt_1]:[ans_opt_14]])</f>
        <v/>
      </c>
      <c r="T724" s="33"/>
      <c r="U724" s="33"/>
      <c r="V724" s="33"/>
      <c r="W724" s="33"/>
      <c r="X724" s="33"/>
      <c r="Y724" s="33"/>
      <c r="Z724" s="33"/>
      <c r="AA724" s="33"/>
      <c r="AB724" s="33"/>
      <c r="AC724" s="33"/>
      <c r="AD724" s="33"/>
      <c r="AE724" s="33"/>
      <c r="AF724" s="33"/>
      <c r="AG724" s="33"/>
      <c r="AH724" s="99" t="b">
        <f>INDEX(stable[q_standard],MATCH(questions[[#This Row],[qno]],stable[qno],0))</f>
        <v>0</v>
      </c>
      <c r="AI724" s="99" t="b">
        <f>INDEX(stable[q_living_income],MATCH(questions[[#This Row],[qno]],stable[qno],0))</f>
        <v>1</v>
      </c>
      <c r="AJ724" s="99" t="b">
        <f>INDEX(stable[q_carbon],MATCH(questions[[#This Row],[qno]],stable[qno],0))</f>
        <v>1</v>
      </c>
      <c r="AK724" s="99" t="b">
        <f>INDEX(stable[q_regen_ag],MATCH(questions[[#This Row],[qno]],stable[qno],0))</f>
        <v>0</v>
      </c>
      <c r="AL724" s="16" t="b">
        <f>COUNTIFS(stable[qno],questions[[#This Row],[qno]])=1</f>
        <v>1</v>
      </c>
      <c r="AM724" s="16" t="b">
        <f>OR(questions[[#This Row],[is_fixed]],questions[[#This Row],[is_localized]],questions[[#This Row],[is_supply_chain_dependent]])</f>
        <v>1</v>
      </c>
      <c r="AN724" s="16" t="b">
        <f>COUNTIFS(questions[[#This Row],[is_automated]:[is_multi_select]],TRUE)=1</f>
        <v>1</v>
      </c>
      <c r="AO724" s="16" t="b">
        <f>IF(questions[[#This Row],[is_fixed]],questions[[#This Row],[question]]=INDEX(stable[question],MATCH(questions[[#This Row],[qno]],stable[qno],0)),TRUE)</f>
        <v>1</v>
      </c>
      <c r="AP724" s="16" t="str">
        <f>LEFT(questions[[#This Row],[question]],similarity_range)</f>
        <v>What was the quantit</v>
      </c>
      <c r="AQ724" s="16" t="str">
        <f>LEFT(INDEX(stable[question],MATCH(questions[[#This Row],[qno]],stable[qno],0)),similarity_range)</f>
        <v>What was the quantit</v>
      </c>
      <c r="AR724" s="16" t="b">
        <f>questions[[#This Row],[question_first_characters]]=questions[[#This Row],[stability_first_characters]]</f>
        <v>1</v>
      </c>
      <c r="AS724" s="16" t="b">
        <f>IF(OR(questions[[#This Row],[is_single_select]],questions[[#This Row],[is_multi_select]]),NOT(ISBLANK(questions[[#This Row],[answer_opt_combined]])),TRUE)</f>
        <v>1</v>
      </c>
    </row>
    <row r="725" spans="1:45" s="77" customFormat="1" ht="15.75" customHeight="1" x14ac:dyDescent="0.25">
      <c r="A725" s="77" t="str">
        <f>_xlfn.TEXTJOIN("_",TRUE,questions[[#This Row],[origin]:[qno]])</f>
        <v>Kenya_Arabica_Nestle_2024_5612</v>
      </c>
      <c r="B725" s="77" t="s">
        <v>818</v>
      </c>
      <c r="C725" s="77" t="s">
        <v>59</v>
      </c>
      <c r="D725" s="77" t="s">
        <v>819</v>
      </c>
      <c r="E725" s="77">
        <v>2024</v>
      </c>
      <c r="F725" s="105" t="s">
        <v>220</v>
      </c>
      <c r="G725" s="78" t="s">
        <v>772</v>
      </c>
      <c r="H725" s="33" t="str" cm="1">
        <f t="array" ref="H725">INDEX(stableR[question],MATCH(VALUE(questions[[#This Row],[qno]]),VALUE(stableR[qno]),0))</f>
        <v>What was the unit of this most used pesticide/fungicide/herbicide?</v>
      </c>
      <c r="I725" s="33" t="b" cm="1">
        <f t="array" ref="I725">INDEX(stable[is_fixed],MATCH(VALUE(questions[[#This Row],[qno]]),VALUE(stable[qno]),0))</f>
        <v>1</v>
      </c>
      <c r="J725" s="33" t="b" cm="1">
        <f t="array" ref="J725">INDEX(stable[is_localized],MATCH(VALUE(questions[[#This Row],[qno]]),VALUE(stable[qno]),0))</f>
        <v>0</v>
      </c>
      <c r="K725" s="33" t="b" cm="1">
        <f t="array" ref="K725">INDEX(stable[is_supply_chain_dependent],MATCH(VALUE(questions[[#This Row],[qno]]),VALUE(stable[qno]),0))</f>
        <v>0</v>
      </c>
      <c r="L725" s="33" t="b" cm="1">
        <f t="array" ref="L725">INDEX(stable[is_mandatory],MATCH(VALUE(questions[[#This Row],[qno]]),VALUE(stable[qno]),0))</f>
        <v>0</v>
      </c>
      <c r="M725" s="33" t="b" cm="1">
        <f t="array" ref="M725">INDEX(stable[is_automated],MATCH(VALUE(questions[[#This Row],[qno]]),VALUE(stable[qno]),0))</f>
        <v>0</v>
      </c>
      <c r="N725" s="33" t="b" cm="1">
        <f t="array" ref="N725">INDEX(stable[is_free_text],MATCH(VALUE(questions[[#This Row],[qno]]),VALUE(stable[qno]),0))</f>
        <v>0</v>
      </c>
      <c r="O725" s="33" t="b" cm="1">
        <f t="array" ref="O725">INDEX(stable[is_numerical],MATCH(VALUE(questions[[#This Row],[qno]]),VALUE(stable[qno]),0))</f>
        <v>0</v>
      </c>
      <c r="P725" s="77" t="b" cm="1">
        <f t="array" ref="P725">INDEX(stable[is_single_select],MATCH(VALUE(questions[[#This Row],[qno]]),VALUE(stable[qno]),0))</f>
        <v>1</v>
      </c>
      <c r="Q725" s="77" t="b" cm="1">
        <f t="array" ref="Q725">INDEX(stable[is_multi_select],MATCH(VALUE(questions[[#This Row],[qno]]),VALUE(stable[qno]),0))</f>
        <v>0</v>
      </c>
      <c r="R725" s="77" t="b" cm="1">
        <f t="array" ref="R725">INDEX(stable[is_skip_logic],MATCH(VALUE(questions[[#This Row],[qno]]),VALUE(stable[qno]),0))</f>
        <v>1</v>
      </c>
      <c r="S725" s="77" t="str">
        <f>_xlfn.TEXTJOIN(", ",TRUE,questions[[#This Row],[ans_opt_1]:[ans_opt_14]])</f>
        <v>Kgs, Grams, Liters, Mililiters</v>
      </c>
      <c r="T725" s="77" t="s">
        <v>222</v>
      </c>
      <c r="U725" s="77" t="s">
        <v>223</v>
      </c>
      <c r="V725" s="77" t="s">
        <v>224</v>
      </c>
      <c r="W725" s="77" t="s">
        <v>225</v>
      </c>
      <c r="AH725" s="98" t="b">
        <f>INDEX(stable[q_standard],MATCH(questions[[#This Row],[qno]],stable[qno],0))</f>
        <v>0</v>
      </c>
      <c r="AI725" s="98" t="b">
        <f>INDEX(stable[q_living_income],MATCH(questions[[#This Row],[qno]],stable[qno],0))</f>
        <v>1</v>
      </c>
      <c r="AJ725" s="98" t="b">
        <f>INDEX(stable[q_carbon],MATCH(questions[[#This Row],[qno]],stable[qno],0))</f>
        <v>1</v>
      </c>
      <c r="AK725" s="98" t="b">
        <f>INDEX(stable[q_regen_ag],MATCH(questions[[#This Row],[qno]],stable[qno],0))</f>
        <v>0</v>
      </c>
      <c r="AL725" s="98" t="b">
        <f>COUNTIFS(stable[qno],questions[[#This Row],[qno]])=1</f>
        <v>1</v>
      </c>
      <c r="AM725" s="98" t="b">
        <f>OR(questions[[#This Row],[is_fixed]],questions[[#This Row],[is_localized]],questions[[#This Row],[is_supply_chain_dependent]])</f>
        <v>1</v>
      </c>
      <c r="AN725" s="98" t="b">
        <f>COUNTIFS(questions[[#This Row],[is_automated]:[is_multi_select]],TRUE)=1</f>
        <v>1</v>
      </c>
      <c r="AO725" s="98" t="b">
        <f>IF(questions[[#This Row],[is_fixed]],questions[[#This Row],[question]]=INDEX(stable[question],MATCH(questions[[#This Row],[qno]],stable[qno],0)),TRUE)</f>
        <v>0</v>
      </c>
      <c r="AP725" s="98" t="str">
        <f>LEFT(questions[[#This Row],[question]],similarity_range)</f>
        <v>What was the unit of</v>
      </c>
      <c r="AQ725" s="98" t="str">
        <f>LEFT(INDEX(stable[question],MATCH(questions[[#This Row],[qno]],stable[qno],0)),similarity_range)</f>
        <v>What was the unit of</v>
      </c>
      <c r="AR725" s="98" t="b">
        <f>questions[[#This Row],[question_first_characters]]=questions[[#This Row],[stability_first_characters]]</f>
        <v>1</v>
      </c>
      <c r="AS725" s="98" t="b">
        <f>IF(OR(questions[[#This Row],[is_single_select]],questions[[#This Row],[is_multi_select]]),NOT(ISBLANK(questions[[#This Row],[answer_opt_combined]])),TRUE)</f>
        <v>1</v>
      </c>
    </row>
    <row r="726" spans="1:45" ht="15.75" customHeight="1" x14ac:dyDescent="0.25">
      <c r="A726" s="33" t="str">
        <f>_xlfn.TEXTJOIN("_",TRUE,questions[[#This Row],[origin]:[qno]])</f>
        <v>Kenya_Arabica_Nestle_2024_5620</v>
      </c>
      <c r="B726" s="33" t="s">
        <v>818</v>
      </c>
      <c r="C726" s="33" t="s">
        <v>59</v>
      </c>
      <c r="D726" s="33" t="s">
        <v>819</v>
      </c>
      <c r="E726" s="33">
        <v>2024</v>
      </c>
      <c r="F726" s="41" t="s">
        <v>226</v>
      </c>
      <c r="G726" s="18" t="s">
        <v>848</v>
      </c>
      <c r="H726" s="33" t="str" cm="1">
        <f t="array" ref="H726">INDEX(stableR[question],MATCH(VALUE(questions[[#This Row],[qno]]),VALUE(stableR[qno]),0))</f>
        <v>What was the name of the pesticide/fungicide or herbicide that you used second most, last year?</v>
      </c>
      <c r="I726" s="33" t="b" cm="1">
        <f t="array" ref="I726">INDEX(stable[is_fixed],MATCH(VALUE(questions[[#This Row],[qno]]),VALUE(stable[qno]),0))</f>
        <v>1</v>
      </c>
      <c r="J726" s="33" t="b" cm="1">
        <f t="array" ref="J726">INDEX(stable[is_localized],MATCH(VALUE(questions[[#This Row],[qno]]),VALUE(stable[qno]),0))</f>
        <v>0</v>
      </c>
      <c r="K726" s="33" t="b" cm="1">
        <f t="array" ref="K726">INDEX(stable[is_supply_chain_dependent],MATCH(VALUE(questions[[#This Row],[qno]]),VALUE(stable[qno]),0))</f>
        <v>0</v>
      </c>
      <c r="L726" s="33" t="b" cm="1">
        <f t="array" ref="L726">INDEX(stable[is_mandatory],MATCH(VALUE(questions[[#This Row],[qno]]),VALUE(stable[qno]),0))</f>
        <v>0</v>
      </c>
      <c r="M726" s="33" t="b" cm="1">
        <f t="array" ref="M726">INDEX(stable[is_automated],MATCH(VALUE(questions[[#This Row],[qno]]),VALUE(stable[qno]),0))</f>
        <v>0</v>
      </c>
      <c r="N726" s="33" t="b" cm="1">
        <f t="array" ref="N726">INDEX(stable[is_free_text],MATCH(VALUE(questions[[#This Row],[qno]]),VALUE(stable[qno]),0))</f>
        <v>1</v>
      </c>
      <c r="O726" s="33" t="b" cm="1">
        <f t="array" ref="O726">INDEX(stable[is_numerical],MATCH(VALUE(questions[[#This Row],[qno]]),VALUE(stable[qno]),0))</f>
        <v>0</v>
      </c>
      <c r="P726" s="33" t="b" cm="1">
        <f t="array" ref="P726">INDEX(stable[is_single_select],MATCH(VALUE(questions[[#This Row],[qno]]),VALUE(stable[qno]),0))</f>
        <v>0</v>
      </c>
      <c r="Q726" s="33" t="b" cm="1">
        <f t="array" ref="Q726">INDEX(stable[is_multi_select],MATCH(VALUE(questions[[#This Row],[qno]]),VALUE(stable[qno]),0))</f>
        <v>0</v>
      </c>
      <c r="R726" s="33" t="b" cm="1">
        <f t="array" ref="R726">INDEX(stable[is_skip_logic],MATCH(VALUE(questions[[#This Row],[qno]]),VALUE(stable[qno]),0))</f>
        <v>1</v>
      </c>
      <c r="S726" s="33" t="str">
        <f>_xlfn.TEXTJOIN(", ",TRUE,questions[[#This Row],[ans_opt_1]:[ans_opt_14]])</f>
        <v/>
      </c>
      <c r="T726" s="33"/>
      <c r="U726" s="33"/>
      <c r="V726" s="33"/>
      <c r="W726" s="33"/>
      <c r="X726" s="33"/>
      <c r="Y726" s="33"/>
      <c r="Z726" s="33"/>
      <c r="AA726" s="33"/>
      <c r="AB726" s="33"/>
      <c r="AC726" s="33"/>
      <c r="AD726" s="33"/>
      <c r="AE726" s="33"/>
      <c r="AF726" s="33"/>
      <c r="AG726" s="33"/>
      <c r="AH726" s="99" t="b">
        <f>INDEX(stable[q_standard],MATCH(questions[[#This Row],[qno]],stable[qno],0))</f>
        <v>0</v>
      </c>
      <c r="AI726" s="99" t="b">
        <f>INDEX(stable[q_living_income],MATCH(questions[[#This Row],[qno]],stable[qno],0))</f>
        <v>1</v>
      </c>
      <c r="AJ726" s="99" t="b">
        <f>INDEX(stable[q_carbon],MATCH(questions[[#This Row],[qno]],stable[qno],0))</f>
        <v>1</v>
      </c>
      <c r="AK726" s="99" t="b">
        <f>INDEX(stable[q_regen_ag],MATCH(questions[[#This Row],[qno]],stable[qno],0))</f>
        <v>0</v>
      </c>
      <c r="AL726" s="16" t="b">
        <f>COUNTIFS(stable[qno],questions[[#This Row],[qno]])=1</f>
        <v>1</v>
      </c>
      <c r="AM726" s="16" t="b">
        <f>OR(questions[[#This Row],[is_fixed]],questions[[#This Row],[is_localized]],questions[[#This Row],[is_supply_chain_dependent]])</f>
        <v>1</v>
      </c>
      <c r="AN726" s="16" t="b">
        <f>COUNTIFS(questions[[#This Row],[is_automated]:[is_multi_select]],TRUE)=1</f>
        <v>1</v>
      </c>
      <c r="AO726" s="16" t="b">
        <f>IF(questions[[#This Row],[is_fixed]],questions[[#This Row],[question]]=INDEX(stable[question],MATCH(questions[[#This Row],[qno]],stable[qno],0)),TRUE)</f>
        <v>0</v>
      </c>
      <c r="AP726" s="16" t="str">
        <f>LEFT(questions[[#This Row],[question]],similarity_range)</f>
        <v>If yes, what was the</v>
      </c>
      <c r="AQ726" s="16" t="str">
        <f>LEFT(INDEX(stable[question],MATCH(questions[[#This Row],[qno]],stable[qno],0)),similarity_range)</f>
        <v>If yes, what was the</v>
      </c>
      <c r="AR726" s="16" t="b">
        <f>questions[[#This Row],[question_first_characters]]=questions[[#This Row],[stability_first_characters]]</f>
        <v>1</v>
      </c>
      <c r="AS726" s="16" t="b">
        <f>IF(OR(questions[[#This Row],[is_single_select]],questions[[#This Row],[is_multi_select]]),NOT(ISBLANK(questions[[#This Row],[answer_opt_combined]])),TRUE)</f>
        <v>1</v>
      </c>
    </row>
    <row r="727" spans="1:45" ht="15.75" customHeight="1" x14ac:dyDescent="0.25">
      <c r="A727" s="33" t="str">
        <f>_xlfn.TEXTJOIN("_",TRUE,questions[[#This Row],[origin]:[qno]])</f>
        <v>Kenya_Arabica_Nestle_2024_5621</v>
      </c>
      <c r="B727" s="33" t="s">
        <v>818</v>
      </c>
      <c r="C727" s="33" t="s">
        <v>59</v>
      </c>
      <c r="D727" s="33" t="s">
        <v>819</v>
      </c>
      <c r="E727" s="33">
        <v>2024</v>
      </c>
      <c r="F727" s="41" t="s">
        <v>228</v>
      </c>
      <c r="G727" s="18" t="s">
        <v>229</v>
      </c>
      <c r="H727" s="33" t="str" cm="1">
        <f t="array" ref="H727">INDEX(stableR[question],MATCH(VALUE(questions[[#This Row],[qno]]),VALUE(stableR[qno]),0))</f>
        <v>What was the quantity used of this second most used pesticide/fungicide/herbicide last year?</v>
      </c>
      <c r="I727" s="33" t="b" cm="1">
        <f t="array" ref="I727">INDEX(stable[is_fixed],MATCH(VALUE(questions[[#This Row],[qno]]),VALUE(stable[qno]),0))</f>
        <v>1</v>
      </c>
      <c r="J727" s="33" t="b" cm="1">
        <f t="array" ref="J727">INDEX(stable[is_localized],MATCH(VALUE(questions[[#This Row],[qno]]),VALUE(stable[qno]),0))</f>
        <v>0</v>
      </c>
      <c r="K727" s="33" t="b" cm="1">
        <f t="array" ref="K727">INDEX(stable[is_supply_chain_dependent],MATCH(VALUE(questions[[#This Row],[qno]]),VALUE(stable[qno]),0))</f>
        <v>0</v>
      </c>
      <c r="L727" s="33" t="b" cm="1">
        <f t="array" ref="L727">INDEX(stable[is_mandatory],MATCH(VALUE(questions[[#This Row],[qno]]),VALUE(stable[qno]),0))</f>
        <v>0</v>
      </c>
      <c r="M727" s="33" t="b" cm="1">
        <f t="array" ref="M727">INDEX(stable[is_automated],MATCH(VALUE(questions[[#This Row],[qno]]),VALUE(stable[qno]),0))</f>
        <v>0</v>
      </c>
      <c r="N727" s="33" t="b" cm="1">
        <f t="array" ref="N727">INDEX(stable[is_free_text],MATCH(VALUE(questions[[#This Row],[qno]]),VALUE(stable[qno]),0))</f>
        <v>0</v>
      </c>
      <c r="O727" s="33" t="b" cm="1">
        <f t="array" ref="O727">INDEX(stable[is_numerical],MATCH(VALUE(questions[[#This Row],[qno]]),VALUE(stable[qno]),0))</f>
        <v>1</v>
      </c>
      <c r="P727" s="33" t="b" cm="1">
        <f t="array" ref="P727">INDEX(stable[is_single_select],MATCH(VALUE(questions[[#This Row],[qno]]),VALUE(stable[qno]),0))</f>
        <v>0</v>
      </c>
      <c r="Q727" s="33" t="b" cm="1">
        <f t="array" ref="Q727">INDEX(stable[is_multi_select],MATCH(VALUE(questions[[#This Row],[qno]]),VALUE(stable[qno]),0))</f>
        <v>0</v>
      </c>
      <c r="R727" s="33" t="b" cm="1">
        <f t="array" ref="R727">INDEX(stable[is_skip_logic],MATCH(VALUE(questions[[#This Row],[qno]]),VALUE(stable[qno]),0))</f>
        <v>1</v>
      </c>
      <c r="S727" s="33" t="str">
        <f>_xlfn.TEXTJOIN(", ",TRUE,questions[[#This Row],[ans_opt_1]:[ans_opt_14]])</f>
        <v/>
      </c>
      <c r="T727" s="33"/>
      <c r="U727" s="33"/>
      <c r="V727" s="33"/>
      <c r="W727" s="33"/>
      <c r="X727" s="33"/>
      <c r="Y727" s="33"/>
      <c r="Z727" s="33"/>
      <c r="AA727" s="33"/>
      <c r="AB727" s="33"/>
      <c r="AC727" s="33"/>
      <c r="AD727" s="33"/>
      <c r="AE727" s="33"/>
      <c r="AF727" s="33"/>
      <c r="AG727" s="33"/>
      <c r="AH727" s="99" t="b">
        <f>INDEX(stable[q_standard],MATCH(questions[[#This Row],[qno]],stable[qno],0))</f>
        <v>0</v>
      </c>
      <c r="AI727" s="99" t="b">
        <f>INDEX(stable[q_living_income],MATCH(questions[[#This Row],[qno]],stable[qno],0))</f>
        <v>1</v>
      </c>
      <c r="AJ727" s="99" t="b">
        <f>INDEX(stable[q_carbon],MATCH(questions[[#This Row],[qno]],stable[qno],0))</f>
        <v>1</v>
      </c>
      <c r="AK727" s="99" t="b">
        <f>INDEX(stable[q_regen_ag],MATCH(questions[[#This Row],[qno]],stable[qno],0))</f>
        <v>0</v>
      </c>
      <c r="AL727" s="16" t="b">
        <f>COUNTIFS(stable[qno],questions[[#This Row],[qno]])=1</f>
        <v>1</v>
      </c>
      <c r="AM727" s="16" t="b">
        <f>OR(questions[[#This Row],[is_fixed]],questions[[#This Row],[is_localized]],questions[[#This Row],[is_supply_chain_dependent]])</f>
        <v>1</v>
      </c>
      <c r="AN727" s="16" t="b">
        <f>COUNTIFS(questions[[#This Row],[is_automated]:[is_multi_select]],TRUE)=1</f>
        <v>1</v>
      </c>
      <c r="AO727" s="16" t="b">
        <f>IF(questions[[#This Row],[is_fixed]],questions[[#This Row],[question]]=INDEX(stable[question],MATCH(questions[[#This Row],[qno]],stable[qno],0)),TRUE)</f>
        <v>1</v>
      </c>
      <c r="AP727" s="16" t="str">
        <f>LEFT(questions[[#This Row],[question]],similarity_range)</f>
        <v>What was the quantit</v>
      </c>
      <c r="AQ727" s="16" t="str">
        <f>LEFT(INDEX(stable[question],MATCH(questions[[#This Row],[qno]],stable[qno],0)),similarity_range)</f>
        <v>What was the quantit</v>
      </c>
      <c r="AR727" s="16" t="b">
        <f>questions[[#This Row],[question_first_characters]]=questions[[#This Row],[stability_first_characters]]</f>
        <v>1</v>
      </c>
      <c r="AS727" s="16" t="b">
        <f>IF(OR(questions[[#This Row],[is_single_select]],questions[[#This Row],[is_multi_select]]),NOT(ISBLANK(questions[[#This Row],[answer_opt_combined]])),TRUE)</f>
        <v>1</v>
      </c>
    </row>
    <row r="728" spans="1:45" s="77" customFormat="1" ht="15.75" customHeight="1" x14ac:dyDescent="0.25">
      <c r="A728" s="77" t="str">
        <f>_xlfn.TEXTJOIN("_",TRUE,questions[[#This Row],[origin]:[qno]])</f>
        <v>Kenya_Arabica_Nestle_2024_5622</v>
      </c>
      <c r="B728" s="77" t="s">
        <v>818</v>
      </c>
      <c r="C728" s="77" t="s">
        <v>59</v>
      </c>
      <c r="D728" s="77" t="s">
        <v>819</v>
      </c>
      <c r="E728" s="77">
        <v>2024</v>
      </c>
      <c r="F728" s="105" t="s">
        <v>230</v>
      </c>
      <c r="G728" s="78" t="s">
        <v>774</v>
      </c>
      <c r="H728" s="33" t="str" cm="1">
        <f t="array" ref="H728">INDEX(stableR[question],MATCH(VALUE(questions[[#This Row],[qno]]),VALUE(stableR[qno]),0))</f>
        <v>What was the unit of this second most used pesticide/fungicide/herbicide?</v>
      </c>
      <c r="I728" s="33" t="b" cm="1">
        <f t="array" ref="I728">INDEX(stable[is_fixed],MATCH(VALUE(questions[[#This Row],[qno]]),VALUE(stable[qno]),0))</f>
        <v>1</v>
      </c>
      <c r="J728" s="33" t="b" cm="1">
        <f t="array" ref="J728">INDEX(stable[is_localized],MATCH(VALUE(questions[[#This Row],[qno]]),VALUE(stable[qno]),0))</f>
        <v>0</v>
      </c>
      <c r="K728" s="33" t="b" cm="1">
        <f t="array" ref="K728">INDEX(stable[is_supply_chain_dependent],MATCH(VALUE(questions[[#This Row],[qno]]),VALUE(stable[qno]),0))</f>
        <v>0</v>
      </c>
      <c r="L728" s="33" t="b" cm="1">
        <f t="array" ref="L728">INDEX(stable[is_mandatory],MATCH(VALUE(questions[[#This Row],[qno]]),VALUE(stable[qno]),0))</f>
        <v>0</v>
      </c>
      <c r="M728" s="33" t="b" cm="1">
        <f t="array" ref="M728">INDEX(stable[is_automated],MATCH(VALUE(questions[[#This Row],[qno]]),VALUE(stable[qno]),0))</f>
        <v>0</v>
      </c>
      <c r="N728" s="33" t="b" cm="1">
        <f t="array" ref="N728">INDEX(stable[is_free_text],MATCH(VALUE(questions[[#This Row],[qno]]),VALUE(stable[qno]),0))</f>
        <v>0</v>
      </c>
      <c r="O728" s="33" t="b" cm="1">
        <f t="array" ref="O728">INDEX(stable[is_numerical],MATCH(VALUE(questions[[#This Row],[qno]]),VALUE(stable[qno]),0))</f>
        <v>0</v>
      </c>
      <c r="P728" s="77" t="b" cm="1">
        <f t="array" ref="P728">INDEX(stable[is_single_select],MATCH(VALUE(questions[[#This Row],[qno]]),VALUE(stable[qno]),0))</f>
        <v>1</v>
      </c>
      <c r="Q728" s="77" t="b" cm="1">
        <f t="array" ref="Q728">INDEX(stable[is_multi_select],MATCH(VALUE(questions[[#This Row],[qno]]),VALUE(stable[qno]),0))</f>
        <v>0</v>
      </c>
      <c r="R728" s="77" t="b" cm="1">
        <f t="array" ref="R728">INDEX(stable[is_skip_logic],MATCH(VALUE(questions[[#This Row],[qno]]),VALUE(stable[qno]),0))</f>
        <v>1</v>
      </c>
      <c r="S728" s="77" t="str">
        <f>_xlfn.TEXTJOIN(", ",TRUE,questions[[#This Row],[ans_opt_1]:[ans_opt_14]])</f>
        <v>Kgs, Grams, Liters, Mililiters</v>
      </c>
      <c r="T728" s="77" t="s">
        <v>222</v>
      </c>
      <c r="U728" s="77" t="s">
        <v>223</v>
      </c>
      <c r="V728" s="77" t="s">
        <v>224</v>
      </c>
      <c r="W728" s="77" t="s">
        <v>225</v>
      </c>
      <c r="AH728" s="98" t="b">
        <f>INDEX(stable[q_standard],MATCH(questions[[#This Row],[qno]],stable[qno],0))</f>
        <v>0</v>
      </c>
      <c r="AI728" s="98" t="b">
        <f>INDEX(stable[q_living_income],MATCH(questions[[#This Row],[qno]],stable[qno],0))</f>
        <v>1</v>
      </c>
      <c r="AJ728" s="98" t="b">
        <f>INDEX(stable[q_carbon],MATCH(questions[[#This Row],[qno]],stable[qno],0))</f>
        <v>1</v>
      </c>
      <c r="AK728" s="98" t="b">
        <f>INDEX(stable[q_regen_ag],MATCH(questions[[#This Row],[qno]],stable[qno],0))</f>
        <v>0</v>
      </c>
      <c r="AL728" s="98" t="b">
        <f>COUNTIFS(stable[qno],questions[[#This Row],[qno]])=1</f>
        <v>1</v>
      </c>
      <c r="AM728" s="98" t="b">
        <f>OR(questions[[#This Row],[is_fixed]],questions[[#This Row],[is_localized]],questions[[#This Row],[is_supply_chain_dependent]])</f>
        <v>1</v>
      </c>
      <c r="AN728" s="98" t="b">
        <f>COUNTIFS(questions[[#This Row],[is_automated]:[is_multi_select]],TRUE)=1</f>
        <v>1</v>
      </c>
      <c r="AO728" s="98" t="b">
        <f>IF(questions[[#This Row],[is_fixed]],questions[[#This Row],[question]]=INDEX(stable[question],MATCH(questions[[#This Row],[qno]],stable[qno],0)),TRUE)</f>
        <v>0</v>
      </c>
      <c r="AP728" s="98" t="str">
        <f>LEFT(questions[[#This Row],[question]],similarity_range)</f>
        <v>What was the unit of</v>
      </c>
      <c r="AQ728" s="98" t="str">
        <f>LEFT(INDEX(stable[question],MATCH(questions[[#This Row],[qno]],stable[qno],0)),similarity_range)</f>
        <v>What was the unit of</v>
      </c>
      <c r="AR728" s="98" t="b">
        <f>questions[[#This Row],[question_first_characters]]=questions[[#This Row],[stability_first_characters]]</f>
        <v>1</v>
      </c>
      <c r="AS728" s="98" t="b">
        <f>IF(OR(questions[[#This Row],[is_single_select]],questions[[#This Row],[is_multi_select]]),NOT(ISBLANK(questions[[#This Row],[answer_opt_combined]])),TRUE)</f>
        <v>1</v>
      </c>
    </row>
    <row r="729" spans="1:45" ht="15.75" customHeight="1" x14ac:dyDescent="0.25">
      <c r="A729" s="33" t="str">
        <f>_xlfn.TEXTJOIN("_",TRUE,questions[[#This Row],[origin]:[qno]])</f>
        <v>Kenya_Arabica_Nestle_2024_5630</v>
      </c>
      <c r="B729" s="33" t="s">
        <v>818</v>
      </c>
      <c r="C729" s="33" t="s">
        <v>59</v>
      </c>
      <c r="D729" s="33" t="s">
        <v>819</v>
      </c>
      <c r="E729" s="33">
        <v>2024</v>
      </c>
      <c r="F729" s="41" t="s">
        <v>232</v>
      </c>
      <c r="G729" s="18" t="s">
        <v>849</v>
      </c>
      <c r="H729" s="33" t="str" cm="1">
        <f t="array" ref="H729">INDEX(stableR[question],MATCH(VALUE(questions[[#This Row],[qno]]),VALUE(stableR[qno]),0))</f>
        <v>What was the name of the pesticide/fungicide or herbicide that you used third most, last year?</v>
      </c>
      <c r="I729" s="33" t="b" cm="1">
        <f t="array" ref="I729">INDEX(stable[is_fixed],MATCH(VALUE(questions[[#This Row],[qno]]),VALUE(stable[qno]),0))</f>
        <v>1</v>
      </c>
      <c r="J729" s="33" t="b" cm="1">
        <f t="array" ref="J729">INDEX(stable[is_localized],MATCH(VALUE(questions[[#This Row],[qno]]),VALUE(stable[qno]),0))</f>
        <v>0</v>
      </c>
      <c r="K729" s="33" t="b" cm="1">
        <f t="array" ref="K729">INDEX(stable[is_supply_chain_dependent],MATCH(VALUE(questions[[#This Row],[qno]]),VALUE(stable[qno]),0))</f>
        <v>0</v>
      </c>
      <c r="L729" s="33" t="b" cm="1">
        <f t="array" ref="L729">INDEX(stable[is_mandatory],MATCH(VALUE(questions[[#This Row],[qno]]),VALUE(stable[qno]),0))</f>
        <v>0</v>
      </c>
      <c r="M729" s="33" t="b" cm="1">
        <f t="array" ref="M729">INDEX(stable[is_automated],MATCH(VALUE(questions[[#This Row],[qno]]),VALUE(stable[qno]),0))</f>
        <v>0</v>
      </c>
      <c r="N729" s="33" t="b" cm="1">
        <f t="array" ref="N729">INDEX(stable[is_free_text],MATCH(VALUE(questions[[#This Row],[qno]]),VALUE(stable[qno]),0))</f>
        <v>1</v>
      </c>
      <c r="O729" s="33" t="b" cm="1">
        <f t="array" ref="O729">INDEX(stable[is_numerical],MATCH(VALUE(questions[[#This Row],[qno]]),VALUE(stable[qno]),0))</f>
        <v>0</v>
      </c>
      <c r="P729" s="33" t="b" cm="1">
        <f t="array" ref="P729">INDEX(stable[is_single_select],MATCH(VALUE(questions[[#This Row],[qno]]),VALUE(stable[qno]),0))</f>
        <v>0</v>
      </c>
      <c r="Q729" s="33" t="b" cm="1">
        <f t="array" ref="Q729">INDEX(stable[is_multi_select],MATCH(VALUE(questions[[#This Row],[qno]]),VALUE(stable[qno]),0))</f>
        <v>0</v>
      </c>
      <c r="R729" s="33" t="b" cm="1">
        <f t="array" ref="R729">INDEX(stable[is_skip_logic],MATCH(VALUE(questions[[#This Row],[qno]]),VALUE(stable[qno]),0))</f>
        <v>1</v>
      </c>
      <c r="S729" s="33" t="str">
        <f>_xlfn.TEXTJOIN(", ",TRUE,questions[[#This Row],[ans_opt_1]:[ans_opt_14]])</f>
        <v/>
      </c>
      <c r="T729" s="33"/>
      <c r="U729" s="33"/>
      <c r="V729" s="33"/>
      <c r="W729" s="33"/>
      <c r="X729" s="33"/>
      <c r="Y729" s="33"/>
      <c r="Z729" s="33"/>
      <c r="AA729" s="33"/>
      <c r="AB729" s="33"/>
      <c r="AC729" s="33"/>
      <c r="AD729" s="33"/>
      <c r="AE729" s="33"/>
      <c r="AF729" s="33"/>
      <c r="AG729" s="33"/>
      <c r="AH729" s="99" t="b">
        <f>INDEX(stable[q_standard],MATCH(questions[[#This Row],[qno]],stable[qno],0))</f>
        <v>0</v>
      </c>
      <c r="AI729" s="99" t="b">
        <f>INDEX(stable[q_living_income],MATCH(questions[[#This Row],[qno]],stable[qno],0))</f>
        <v>1</v>
      </c>
      <c r="AJ729" s="99" t="b">
        <f>INDEX(stable[q_carbon],MATCH(questions[[#This Row],[qno]],stable[qno],0))</f>
        <v>1</v>
      </c>
      <c r="AK729" s="99" t="b">
        <f>INDEX(stable[q_regen_ag],MATCH(questions[[#This Row],[qno]],stable[qno],0))</f>
        <v>0</v>
      </c>
      <c r="AL729" s="16" t="b">
        <f>COUNTIFS(stable[qno],questions[[#This Row],[qno]])=1</f>
        <v>1</v>
      </c>
      <c r="AM729" s="16" t="b">
        <f>OR(questions[[#This Row],[is_fixed]],questions[[#This Row],[is_localized]],questions[[#This Row],[is_supply_chain_dependent]])</f>
        <v>1</v>
      </c>
      <c r="AN729" s="16" t="b">
        <f>COUNTIFS(questions[[#This Row],[is_automated]:[is_multi_select]],TRUE)=1</f>
        <v>1</v>
      </c>
      <c r="AO729" s="16" t="b">
        <f>IF(questions[[#This Row],[is_fixed]],questions[[#This Row],[question]]=INDEX(stable[question],MATCH(questions[[#This Row],[qno]],stable[qno],0)),TRUE)</f>
        <v>0</v>
      </c>
      <c r="AP729" s="16" t="str">
        <f>LEFT(questions[[#This Row],[question]],similarity_range)</f>
        <v>If yes, what was the</v>
      </c>
      <c r="AQ729" s="16" t="str">
        <f>LEFT(INDEX(stable[question],MATCH(questions[[#This Row],[qno]],stable[qno],0)),similarity_range)</f>
        <v>If yes, what was the</v>
      </c>
      <c r="AR729" s="16" t="b">
        <f>questions[[#This Row],[question_first_characters]]=questions[[#This Row],[stability_first_characters]]</f>
        <v>1</v>
      </c>
      <c r="AS729" s="16" t="b">
        <f>IF(OR(questions[[#This Row],[is_single_select]],questions[[#This Row],[is_multi_select]]),NOT(ISBLANK(questions[[#This Row],[answer_opt_combined]])),TRUE)</f>
        <v>1</v>
      </c>
    </row>
    <row r="730" spans="1:45" ht="15.75" customHeight="1" x14ac:dyDescent="0.25">
      <c r="A730" s="33" t="str">
        <f>_xlfn.TEXTJOIN("_",TRUE,questions[[#This Row],[origin]:[qno]])</f>
        <v>Kenya_Arabica_Nestle_2024_5631</v>
      </c>
      <c r="B730" s="33" t="s">
        <v>818</v>
      </c>
      <c r="C730" s="33" t="s">
        <v>59</v>
      </c>
      <c r="D730" s="33" t="s">
        <v>819</v>
      </c>
      <c r="E730" s="33">
        <v>2024</v>
      </c>
      <c r="F730" s="41" t="s">
        <v>234</v>
      </c>
      <c r="G730" s="18" t="s">
        <v>235</v>
      </c>
      <c r="H730" s="33" t="str" cm="1">
        <f t="array" ref="H730">INDEX(stableR[question],MATCH(VALUE(questions[[#This Row],[qno]]),VALUE(stableR[qno]),0))</f>
        <v>What was the quantity used of this third most used pesticide/fungicide/herbicide last year?</v>
      </c>
      <c r="I730" s="33" t="b" cm="1">
        <f t="array" ref="I730">INDEX(stable[is_fixed],MATCH(VALUE(questions[[#This Row],[qno]]),VALUE(stable[qno]),0))</f>
        <v>1</v>
      </c>
      <c r="J730" s="33" t="b" cm="1">
        <f t="array" ref="J730">INDEX(stable[is_localized],MATCH(VALUE(questions[[#This Row],[qno]]),VALUE(stable[qno]),0))</f>
        <v>0</v>
      </c>
      <c r="K730" s="33" t="b" cm="1">
        <f t="array" ref="K730">INDEX(stable[is_supply_chain_dependent],MATCH(VALUE(questions[[#This Row],[qno]]),VALUE(stable[qno]),0))</f>
        <v>0</v>
      </c>
      <c r="L730" s="33" t="b" cm="1">
        <f t="array" ref="L730">INDEX(stable[is_mandatory],MATCH(VALUE(questions[[#This Row],[qno]]),VALUE(stable[qno]),0))</f>
        <v>0</v>
      </c>
      <c r="M730" s="33" t="b" cm="1">
        <f t="array" ref="M730">INDEX(stable[is_automated],MATCH(VALUE(questions[[#This Row],[qno]]),VALUE(stable[qno]),0))</f>
        <v>0</v>
      </c>
      <c r="N730" s="33" t="b" cm="1">
        <f t="array" ref="N730">INDEX(stable[is_free_text],MATCH(VALUE(questions[[#This Row],[qno]]),VALUE(stable[qno]),0))</f>
        <v>0</v>
      </c>
      <c r="O730" s="33" t="b" cm="1">
        <f t="array" ref="O730">INDEX(stable[is_numerical],MATCH(VALUE(questions[[#This Row],[qno]]),VALUE(stable[qno]),0))</f>
        <v>1</v>
      </c>
      <c r="P730" s="33" t="b" cm="1">
        <f t="array" ref="P730">INDEX(stable[is_single_select],MATCH(VALUE(questions[[#This Row],[qno]]),VALUE(stable[qno]),0))</f>
        <v>0</v>
      </c>
      <c r="Q730" s="33" t="b" cm="1">
        <f t="array" ref="Q730">INDEX(stable[is_multi_select],MATCH(VALUE(questions[[#This Row],[qno]]),VALUE(stable[qno]),0))</f>
        <v>0</v>
      </c>
      <c r="R730" s="33" t="b" cm="1">
        <f t="array" ref="R730">INDEX(stable[is_skip_logic],MATCH(VALUE(questions[[#This Row],[qno]]),VALUE(stable[qno]),0))</f>
        <v>1</v>
      </c>
      <c r="S730" s="33" t="str">
        <f>_xlfn.TEXTJOIN(", ",TRUE,questions[[#This Row],[ans_opt_1]:[ans_opt_14]])</f>
        <v/>
      </c>
      <c r="T730" s="33"/>
      <c r="U730" s="33"/>
      <c r="V730" s="33"/>
      <c r="W730" s="33"/>
      <c r="X730" s="33"/>
      <c r="Y730" s="33"/>
      <c r="Z730" s="33"/>
      <c r="AA730" s="33"/>
      <c r="AB730" s="33"/>
      <c r="AC730" s="33"/>
      <c r="AD730" s="33"/>
      <c r="AE730" s="33"/>
      <c r="AF730" s="33"/>
      <c r="AG730" s="33"/>
      <c r="AH730" s="99" t="b">
        <f>INDEX(stable[q_standard],MATCH(questions[[#This Row],[qno]],stable[qno],0))</f>
        <v>0</v>
      </c>
      <c r="AI730" s="99" t="b">
        <f>INDEX(stable[q_living_income],MATCH(questions[[#This Row],[qno]],stable[qno],0))</f>
        <v>1</v>
      </c>
      <c r="AJ730" s="99" t="b">
        <f>INDEX(stable[q_carbon],MATCH(questions[[#This Row],[qno]],stable[qno],0))</f>
        <v>1</v>
      </c>
      <c r="AK730" s="99" t="b">
        <f>INDEX(stable[q_regen_ag],MATCH(questions[[#This Row],[qno]],stable[qno],0))</f>
        <v>0</v>
      </c>
      <c r="AL730" s="16" t="b">
        <f>COUNTIFS(stable[qno],questions[[#This Row],[qno]])=1</f>
        <v>1</v>
      </c>
      <c r="AM730" s="16" t="b">
        <f>OR(questions[[#This Row],[is_fixed]],questions[[#This Row],[is_localized]],questions[[#This Row],[is_supply_chain_dependent]])</f>
        <v>1</v>
      </c>
      <c r="AN730" s="16" t="b">
        <f>COUNTIFS(questions[[#This Row],[is_automated]:[is_multi_select]],TRUE)=1</f>
        <v>1</v>
      </c>
      <c r="AO730" s="16" t="b">
        <f>IF(questions[[#This Row],[is_fixed]],questions[[#This Row],[question]]=INDEX(stable[question],MATCH(questions[[#This Row],[qno]],stable[qno],0)),TRUE)</f>
        <v>1</v>
      </c>
      <c r="AP730" s="16" t="str">
        <f>LEFT(questions[[#This Row],[question]],similarity_range)</f>
        <v>What was the quantit</v>
      </c>
      <c r="AQ730" s="16" t="str">
        <f>LEFT(INDEX(stable[question],MATCH(questions[[#This Row],[qno]],stable[qno],0)),similarity_range)</f>
        <v>What was the quantit</v>
      </c>
      <c r="AR730" s="16" t="b">
        <f>questions[[#This Row],[question_first_characters]]=questions[[#This Row],[stability_first_characters]]</f>
        <v>1</v>
      </c>
      <c r="AS730" s="16" t="b">
        <f>IF(OR(questions[[#This Row],[is_single_select]],questions[[#This Row],[is_multi_select]]),NOT(ISBLANK(questions[[#This Row],[answer_opt_combined]])),TRUE)</f>
        <v>1</v>
      </c>
    </row>
    <row r="731" spans="1:45" s="77" customFormat="1" ht="15.75" customHeight="1" x14ac:dyDescent="0.25">
      <c r="A731" s="77" t="str">
        <f>_xlfn.TEXTJOIN("_",TRUE,questions[[#This Row],[origin]:[qno]])</f>
        <v>Kenya_Arabica_Nestle_2024_5632</v>
      </c>
      <c r="B731" s="77" t="s">
        <v>818</v>
      </c>
      <c r="C731" s="77" t="s">
        <v>59</v>
      </c>
      <c r="D731" s="77" t="s">
        <v>819</v>
      </c>
      <c r="E731" s="77">
        <v>2024</v>
      </c>
      <c r="F731" s="105" t="s">
        <v>236</v>
      </c>
      <c r="G731" s="78" t="s">
        <v>776</v>
      </c>
      <c r="H731" s="33" t="str" cm="1">
        <f t="array" ref="H731">INDEX(stableR[question],MATCH(VALUE(questions[[#This Row],[qno]]),VALUE(stableR[qno]),0))</f>
        <v>What was the unit of this third most used pesticide/fungicide/herbicide</v>
      </c>
      <c r="I731" s="33" t="b" cm="1">
        <f t="array" ref="I731">INDEX(stable[is_fixed],MATCH(VALUE(questions[[#This Row],[qno]]),VALUE(stable[qno]),0))</f>
        <v>1</v>
      </c>
      <c r="J731" s="33" t="b" cm="1">
        <f t="array" ref="J731">INDEX(stable[is_localized],MATCH(VALUE(questions[[#This Row],[qno]]),VALUE(stable[qno]),0))</f>
        <v>0</v>
      </c>
      <c r="K731" s="33" t="b" cm="1">
        <f t="array" ref="K731">INDEX(stable[is_supply_chain_dependent],MATCH(VALUE(questions[[#This Row],[qno]]),VALUE(stable[qno]),0))</f>
        <v>0</v>
      </c>
      <c r="L731" s="33" t="b" cm="1">
        <f t="array" ref="L731">INDEX(stable[is_mandatory],MATCH(VALUE(questions[[#This Row],[qno]]),VALUE(stable[qno]),0))</f>
        <v>0</v>
      </c>
      <c r="M731" s="33" t="b" cm="1">
        <f t="array" ref="M731">INDEX(stable[is_automated],MATCH(VALUE(questions[[#This Row],[qno]]),VALUE(stable[qno]),0))</f>
        <v>0</v>
      </c>
      <c r="N731" s="33" t="b" cm="1">
        <f t="array" ref="N731">INDEX(stable[is_free_text],MATCH(VALUE(questions[[#This Row],[qno]]),VALUE(stable[qno]),0))</f>
        <v>0</v>
      </c>
      <c r="O731" s="33" t="b" cm="1">
        <f t="array" ref="O731">INDEX(stable[is_numerical],MATCH(VALUE(questions[[#This Row],[qno]]),VALUE(stable[qno]),0))</f>
        <v>0</v>
      </c>
      <c r="P731" s="77" t="b" cm="1">
        <f t="array" ref="P731">INDEX(stable[is_single_select],MATCH(VALUE(questions[[#This Row],[qno]]),VALUE(stable[qno]),0))</f>
        <v>1</v>
      </c>
      <c r="Q731" s="77" t="b" cm="1">
        <f t="array" ref="Q731">INDEX(stable[is_multi_select],MATCH(VALUE(questions[[#This Row],[qno]]),VALUE(stable[qno]),0))</f>
        <v>0</v>
      </c>
      <c r="R731" s="77" t="b" cm="1">
        <f t="array" ref="R731">INDEX(stable[is_skip_logic],MATCH(VALUE(questions[[#This Row],[qno]]),VALUE(stable[qno]),0))</f>
        <v>1</v>
      </c>
      <c r="S731" s="77" t="str">
        <f>_xlfn.TEXTJOIN(", ",TRUE,questions[[#This Row],[ans_opt_1]:[ans_opt_14]])</f>
        <v>Kgs, Grams, Liters, Mililiters</v>
      </c>
      <c r="T731" s="77" t="s">
        <v>222</v>
      </c>
      <c r="U731" s="77" t="s">
        <v>223</v>
      </c>
      <c r="V731" s="77" t="s">
        <v>224</v>
      </c>
      <c r="W731" s="77" t="s">
        <v>225</v>
      </c>
      <c r="AH731" s="98" t="b">
        <f>INDEX(stable[q_standard],MATCH(questions[[#This Row],[qno]],stable[qno],0))</f>
        <v>0</v>
      </c>
      <c r="AI731" s="98" t="b">
        <f>INDEX(stable[q_living_income],MATCH(questions[[#This Row],[qno]],stable[qno],0))</f>
        <v>1</v>
      </c>
      <c r="AJ731" s="98" t="b">
        <f>INDEX(stable[q_carbon],MATCH(questions[[#This Row],[qno]],stable[qno],0))</f>
        <v>1</v>
      </c>
      <c r="AK731" s="98" t="b">
        <f>INDEX(stable[q_regen_ag],MATCH(questions[[#This Row],[qno]],stable[qno],0))</f>
        <v>0</v>
      </c>
      <c r="AL731" s="98" t="b">
        <f>COUNTIFS(stable[qno],questions[[#This Row],[qno]])=1</f>
        <v>1</v>
      </c>
      <c r="AM731" s="98" t="b">
        <f>OR(questions[[#This Row],[is_fixed]],questions[[#This Row],[is_localized]],questions[[#This Row],[is_supply_chain_dependent]])</f>
        <v>1</v>
      </c>
      <c r="AN731" s="98" t="b">
        <f>COUNTIFS(questions[[#This Row],[is_automated]:[is_multi_select]],TRUE)=1</f>
        <v>1</v>
      </c>
      <c r="AO731" s="98" t="b">
        <f>IF(questions[[#This Row],[is_fixed]],questions[[#This Row],[question]]=INDEX(stable[question],MATCH(questions[[#This Row],[qno]],stable[qno],0)),TRUE)</f>
        <v>0</v>
      </c>
      <c r="AP731" s="98" t="str">
        <f>LEFT(questions[[#This Row],[question]],similarity_range)</f>
        <v>What was the unit of</v>
      </c>
      <c r="AQ731" s="98" t="str">
        <f>LEFT(INDEX(stable[question],MATCH(questions[[#This Row],[qno]],stable[qno],0)),similarity_range)</f>
        <v>What was the unit of</v>
      </c>
      <c r="AR731" s="98" t="b">
        <f>questions[[#This Row],[question_first_characters]]=questions[[#This Row],[stability_first_characters]]</f>
        <v>1</v>
      </c>
      <c r="AS731" s="98" t="b">
        <f>IF(OR(questions[[#This Row],[is_single_select]],questions[[#This Row],[is_multi_select]]),NOT(ISBLANK(questions[[#This Row],[answer_opt_combined]])),TRUE)</f>
        <v>1</v>
      </c>
    </row>
    <row r="732" spans="1:45" s="77" customFormat="1" ht="15.75" customHeight="1" x14ac:dyDescent="0.25">
      <c r="A732" s="77" t="str">
        <f>_xlfn.TEXTJOIN("_",TRUE,questions[[#This Row],[origin]:[qno]])</f>
        <v>Kenya_Arabica_Nestle_2024_6000</v>
      </c>
      <c r="B732" s="77" t="s">
        <v>818</v>
      </c>
      <c r="C732" s="77" t="s">
        <v>59</v>
      </c>
      <c r="D732" s="77" t="s">
        <v>819</v>
      </c>
      <c r="E732" s="77">
        <v>2024</v>
      </c>
      <c r="F732" s="105" t="s">
        <v>238</v>
      </c>
      <c r="G732" s="78" t="s">
        <v>239</v>
      </c>
      <c r="H732" s="33" t="str" cm="1">
        <f t="array" ref="H732">INDEX(stableR[question],MATCH(VALUE(questions[[#This Row],[qno]]),VALUE(stableR[qno]),0))</f>
        <v>Did you hire any permanent laborer's, for your coffee plots, last year?</v>
      </c>
      <c r="I732" s="33" t="b" cm="1">
        <f t="array" ref="I732">INDEX(stable[is_fixed],MATCH(VALUE(questions[[#This Row],[qno]]),VALUE(stable[qno]),0))</f>
        <v>1</v>
      </c>
      <c r="J732" s="33" t="b" cm="1">
        <f t="array" ref="J732">INDEX(stable[is_localized],MATCH(VALUE(questions[[#This Row],[qno]]),VALUE(stable[qno]),0))</f>
        <v>0</v>
      </c>
      <c r="K732" s="33" t="b" cm="1">
        <f t="array" ref="K732">INDEX(stable[is_supply_chain_dependent],MATCH(VALUE(questions[[#This Row],[qno]]),VALUE(stable[qno]),0))</f>
        <v>0</v>
      </c>
      <c r="L732" s="33" t="b" cm="1">
        <f t="array" ref="L732">INDEX(stable[is_mandatory],MATCH(VALUE(questions[[#This Row],[qno]]),VALUE(stable[qno]),0))</f>
        <v>1</v>
      </c>
      <c r="M732" s="33" t="b" cm="1">
        <f t="array" ref="M732">INDEX(stable[is_automated],MATCH(VALUE(questions[[#This Row],[qno]]),VALUE(stable[qno]),0))</f>
        <v>0</v>
      </c>
      <c r="N732" s="33" t="b" cm="1">
        <f t="array" ref="N732">INDEX(stable[is_free_text],MATCH(VALUE(questions[[#This Row],[qno]]),VALUE(stable[qno]),0))</f>
        <v>0</v>
      </c>
      <c r="O732" s="33" t="b" cm="1">
        <f t="array" ref="O732">INDEX(stable[is_numerical],MATCH(VALUE(questions[[#This Row],[qno]]),VALUE(stable[qno]),0))</f>
        <v>0</v>
      </c>
      <c r="P732" s="77" t="b" cm="1">
        <f t="array" ref="P732">INDEX(stable[is_single_select],MATCH(VALUE(questions[[#This Row],[qno]]),VALUE(stable[qno]),0))</f>
        <v>1</v>
      </c>
      <c r="Q732" s="77" t="b" cm="1">
        <f t="array" ref="Q732">INDEX(stable[is_multi_select],MATCH(VALUE(questions[[#This Row],[qno]]),VALUE(stable[qno]),0))</f>
        <v>0</v>
      </c>
      <c r="R732" s="77" t="b" cm="1">
        <f t="array" ref="R732">INDEX(stable[is_skip_logic],MATCH(VALUE(questions[[#This Row],[qno]]),VALUE(stable[qno]),0))</f>
        <v>1</v>
      </c>
      <c r="S732" s="77" t="str">
        <f>_xlfn.TEXTJOIN(", ",TRUE,questions[[#This Row],[ans_opt_1]:[ans_opt_14]])</f>
        <v>Yes, No</v>
      </c>
      <c r="T732" s="77" t="s">
        <v>149</v>
      </c>
      <c r="U732" s="77" t="s">
        <v>119</v>
      </c>
      <c r="AH732" s="98" t="b">
        <f>INDEX(stable[q_standard],MATCH(questions[[#This Row],[qno]],stable[qno],0))</f>
        <v>0</v>
      </c>
      <c r="AI732" s="98" t="b">
        <f>INDEX(stable[q_living_income],MATCH(questions[[#This Row],[qno]],stable[qno],0))</f>
        <v>1</v>
      </c>
      <c r="AJ732" s="98" t="b">
        <f>INDEX(stable[q_carbon],MATCH(questions[[#This Row],[qno]],stable[qno],0))</f>
        <v>0</v>
      </c>
      <c r="AK732" s="98" t="b">
        <f>INDEX(stable[q_regen_ag],MATCH(questions[[#This Row],[qno]],stable[qno],0))</f>
        <v>0</v>
      </c>
      <c r="AL732" s="98" t="b">
        <f>COUNTIFS(stable[qno],questions[[#This Row],[qno]])=1</f>
        <v>1</v>
      </c>
      <c r="AM732" s="98" t="b">
        <f>OR(questions[[#This Row],[is_fixed]],questions[[#This Row],[is_localized]],questions[[#This Row],[is_supply_chain_dependent]])</f>
        <v>1</v>
      </c>
      <c r="AN732" s="98" t="b">
        <f>COUNTIFS(questions[[#This Row],[is_automated]:[is_multi_select]],TRUE)=1</f>
        <v>1</v>
      </c>
      <c r="AO732" s="98" t="b">
        <f>IF(questions[[#This Row],[is_fixed]],questions[[#This Row],[question]]=INDEX(stable[question],MATCH(questions[[#This Row],[qno]],stable[qno],0)),TRUE)</f>
        <v>1</v>
      </c>
      <c r="AP732" s="98" t="str">
        <f>LEFT(questions[[#This Row],[question]],similarity_range)</f>
        <v>Did you hire any per</v>
      </c>
      <c r="AQ732" s="98" t="str">
        <f>LEFT(INDEX(stable[question],MATCH(questions[[#This Row],[qno]],stable[qno],0)),similarity_range)</f>
        <v>Did you hire any per</v>
      </c>
      <c r="AR732" s="98" t="b">
        <f>questions[[#This Row],[question_first_characters]]=questions[[#This Row],[stability_first_characters]]</f>
        <v>1</v>
      </c>
      <c r="AS732" s="98" t="b">
        <f>IF(OR(questions[[#This Row],[is_single_select]],questions[[#This Row],[is_multi_select]]),NOT(ISBLANK(questions[[#This Row],[answer_opt_combined]])),TRUE)</f>
        <v>1</v>
      </c>
    </row>
    <row r="733" spans="1:45" ht="15.75" customHeight="1" x14ac:dyDescent="0.25">
      <c r="A733" s="33" t="str">
        <f>_xlfn.TEXTJOIN("_",TRUE,questions[[#This Row],[origin]:[qno]])</f>
        <v>Kenya_Arabica_Nestle_2024_6001</v>
      </c>
      <c r="B733" s="33" t="s">
        <v>818</v>
      </c>
      <c r="C733" s="33" t="s">
        <v>59</v>
      </c>
      <c r="D733" s="33" t="s">
        <v>819</v>
      </c>
      <c r="E733" s="33">
        <v>2024</v>
      </c>
      <c r="F733" s="41" t="s">
        <v>240</v>
      </c>
      <c r="G733" s="18" t="s">
        <v>241</v>
      </c>
      <c r="H733" s="33" t="str" cm="1">
        <f t="array" ref="H733">INDEX(stableR[question],MATCH(VALUE(questions[[#This Row],[qno]]),VALUE(stableR[qno]),0))</f>
        <v>How many people did you hire, permanently for your coffee plots, last year?</v>
      </c>
      <c r="I733" s="33" t="b" cm="1">
        <f t="array" ref="I733">INDEX(stable[is_fixed],MATCH(VALUE(questions[[#This Row],[qno]]),VALUE(stable[qno]),0))</f>
        <v>1</v>
      </c>
      <c r="J733" s="33" t="b" cm="1">
        <f t="array" ref="J733">INDEX(stable[is_localized],MATCH(VALUE(questions[[#This Row],[qno]]),VALUE(stable[qno]),0))</f>
        <v>0</v>
      </c>
      <c r="K733" s="33" t="b" cm="1">
        <f t="array" ref="K733">INDEX(stable[is_supply_chain_dependent],MATCH(VALUE(questions[[#This Row],[qno]]),VALUE(stable[qno]),0))</f>
        <v>0</v>
      </c>
      <c r="L733" s="33" t="b" cm="1">
        <f t="array" ref="L733">INDEX(stable[is_mandatory],MATCH(VALUE(questions[[#This Row],[qno]]),VALUE(stable[qno]),0))</f>
        <v>0</v>
      </c>
      <c r="M733" s="33" t="b" cm="1">
        <f t="array" ref="M733">INDEX(stable[is_automated],MATCH(VALUE(questions[[#This Row],[qno]]),VALUE(stable[qno]),0))</f>
        <v>0</v>
      </c>
      <c r="N733" s="33" t="b" cm="1">
        <f t="array" ref="N733">INDEX(stable[is_free_text],MATCH(VALUE(questions[[#This Row],[qno]]),VALUE(stable[qno]),0))</f>
        <v>0</v>
      </c>
      <c r="O733" s="33" t="b" cm="1">
        <f t="array" ref="O733">INDEX(stable[is_numerical],MATCH(VALUE(questions[[#This Row],[qno]]),VALUE(stable[qno]),0))</f>
        <v>1</v>
      </c>
      <c r="P733" s="33" t="b" cm="1">
        <f t="array" ref="P733">INDEX(stable[is_single_select],MATCH(VALUE(questions[[#This Row],[qno]]),VALUE(stable[qno]),0))</f>
        <v>0</v>
      </c>
      <c r="Q733" s="33" t="b" cm="1">
        <f t="array" ref="Q733">INDEX(stable[is_multi_select],MATCH(VALUE(questions[[#This Row],[qno]]),VALUE(stable[qno]),0))</f>
        <v>0</v>
      </c>
      <c r="R733" s="33" t="b" cm="1">
        <f t="array" ref="R733">INDEX(stable[is_skip_logic],MATCH(VALUE(questions[[#This Row],[qno]]),VALUE(stable[qno]),0))</f>
        <v>1</v>
      </c>
      <c r="S733" s="33" t="str">
        <f>_xlfn.TEXTJOIN(", ",TRUE,questions[[#This Row],[ans_opt_1]:[ans_opt_14]])</f>
        <v/>
      </c>
      <c r="T733" s="33"/>
      <c r="U733" s="33"/>
      <c r="V733" s="33"/>
      <c r="W733" s="33"/>
      <c r="X733" s="33"/>
      <c r="Y733" s="33"/>
      <c r="Z733" s="33"/>
      <c r="AA733" s="33"/>
      <c r="AB733" s="33"/>
      <c r="AC733" s="33"/>
      <c r="AD733" s="33"/>
      <c r="AE733" s="33"/>
      <c r="AF733" s="33"/>
      <c r="AG733" s="33"/>
      <c r="AH733" s="99" t="b">
        <f>INDEX(stable[q_standard],MATCH(questions[[#This Row],[qno]],stable[qno],0))</f>
        <v>0</v>
      </c>
      <c r="AI733" s="99" t="b">
        <f>INDEX(stable[q_living_income],MATCH(questions[[#This Row],[qno]],stable[qno],0))</f>
        <v>1</v>
      </c>
      <c r="AJ733" s="99" t="b">
        <f>INDEX(stable[q_carbon],MATCH(questions[[#This Row],[qno]],stable[qno],0))</f>
        <v>0</v>
      </c>
      <c r="AK733" s="99" t="b">
        <f>INDEX(stable[q_regen_ag],MATCH(questions[[#This Row],[qno]],stable[qno],0))</f>
        <v>0</v>
      </c>
      <c r="AL733" s="16" t="b">
        <f>COUNTIFS(stable[qno],questions[[#This Row],[qno]])=1</f>
        <v>1</v>
      </c>
      <c r="AM733" s="16" t="b">
        <f>OR(questions[[#This Row],[is_fixed]],questions[[#This Row],[is_localized]],questions[[#This Row],[is_supply_chain_dependent]])</f>
        <v>1</v>
      </c>
      <c r="AN733" s="16" t="b">
        <f>COUNTIFS(questions[[#This Row],[is_automated]:[is_multi_select]],TRUE)=1</f>
        <v>1</v>
      </c>
      <c r="AO733" s="16" t="b">
        <f>IF(questions[[#This Row],[is_fixed]],questions[[#This Row],[question]]=INDEX(stable[question],MATCH(questions[[#This Row],[qno]],stable[qno],0)),TRUE)</f>
        <v>1</v>
      </c>
      <c r="AP733" s="16" t="str">
        <f>LEFT(questions[[#This Row],[question]],similarity_range)</f>
        <v>If yes, how many peo</v>
      </c>
      <c r="AQ733" s="16" t="str">
        <f>LEFT(INDEX(stable[question],MATCH(questions[[#This Row],[qno]],stable[qno],0)),similarity_range)</f>
        <v>If yes, how many peo</v>
      </c>
      <c r="AR733" s="16" t="b">
        <f>questions[[#This Row],[question_first_characters]]=questions[[#This Row],[stability_first_characters]]</f>
        <v>1</v>
      </c>
      <c r="AS733" s="16" t="b">
        <f>IF(OR(questions[[#This Row],[is_single_select]],questions[[#This Row],[is_multi_select]]),NOT(ISBLANK(questions[[#This Row],[answer_opt_combined]])),TRUE)</f>
        <v>1</v>
      </c>
    </row>
    <row r="734" spans="1:45" s="77" customFormat="1" ht="15.75" customHeight="1" x14ac:dyDescent="0.25">
      <c r="A734" s="77" t="str">
        <f>_xlfn.TEXTJOIN("_",TRUE,questions[[#This Row],[origin]:[qno]])</f>
        <v>Kenya_Arabica_Nestle_2024_6020</v>
      </c>
      <c r="B734" s="77" t="s">
        <v>818</v>
      </c>
      <c r="C734" s="77" t="s">
        <v>59</v>
      </c>
      <c r="D734" s="77" t="s">
        <v>819</v>
      </c>
      <c r="E734" s="77">
        <v>2024</v>
      </c>
      <c r="F734" s="105" t="s">
        <v>580</v>
      </c>
      <c r="G734" s="78" t="s">
        <v>850</v>
      </c>
      <c r="H734" s="33" t="str" cm="1">
        <f t="array" ref="H734">INDEX(stableR[question],MATCH(VALUE(questions[[#This Row],[qno]]),VALUE(stableR[qno]),0))</f>
        <v>Did you hire any people to work on your coffee plots for seasonal activities during the main season, last year?</v>
      </c>
      <c r="I734" s="33" t="b" cm="1">
        <f t="array" ref="I734">INDEX(stable[is_fixed],MATCH(VALUE(questions[[#This Row],[qno]]),VALUE(stable[qno]),0))</f>
        <v>0</v>
      </c>
      <c r="J734" s="33" t="b" cm="1">
        <f t="array" ref="J734">INDEX(stable[is_localized],MATCH(VALUE(questions[[#This Row],[qno]]),VALUE(stable[qno]),0))</f>
        <v>0</v>
      </c>
      <c r="K734" s="33" t="b" cm="1">
        <f t="array" ref="K734">INDEX(stable[is_supply_chain_dependent],MATCH(VALUE(questions[[#This Row],[qno]]),VALUE(stable[qno]),0))</f>
        <v>1</v>
      </c>
      <c r="L734" s="33" t="b" cm="1">
        <f t="array" ref="L734">INDEX(stable[is_mandatory],MATCH(VALUE(questions[[#This Row],[qno]]),VALUE(stable[qno]),0))</f>
        <v>1</v>
      </c>
      <c r="M734" s="33" t="b" cm="1">
        <f t="array" ref="M734">INDEX(stable[is_automated],MATCH(VALUE(questions[[#This Row],[qno]]),VALUE(stable[qno]),0))</f>
        <v>0</v>
      </c>
      <c r="N734" s="33" t="b" cm="1">
        <f t="array" ref="N734">INDEX(stable[is_free_text],MATCH(VALUE(questions[[#This Row],[qno]]),VALUE(stable[qno]),0))</f>
        <v>0</v>
      </c>
      <c r="O734" s="33" t="b" cm="1">
        <f t="array" ref="O734">INDEX(stable[is_numerical],MATCH(VALUE(questions[[#This Row],[qno]]),VALUE(stable[qno]),0))</f>
        <v>0</v>
      </c>
      <c r="P734" s="77" t="b" cm="1">
        <f t="array" ref="P734">INDEX(stable[is_single_select],MATCH(VALUE(questions[[#This Row],[qno]]),VALUE(stable[qno]),0))</f>
        <v>1</v>
      </c>
      <c r="Q734" s="77" t="b" cm="1">
        <f t="array" ref="Q734">INDEX(stable[is_multi_select],MATCH(VALUE(questions[[#This Row],[qno]]),VALUE(stable[qno]),0))</f>
        <v>0</v>
      </c>
      <c r="R734" s="77" t="b" cm="1">
        <f t="array" ref="R734">INDEX(stable[is_skip_logic],MATCH(VALUE(questions[[#This Row],[qno]]),VALUE(stable[qno]),0))</f>
        <v>1</v>
      </c>
      <c r="S734" s="77" t="str">
        <f>_xlfn.TEXTJOIN(", ",TRUE,questions[[#This Row],[ans_opt_1]:[ans_opt_14]])</f>
        <v>Yes, No</v>
      </c>
      <c r="T734" s="77" t="s">
        <v>149</v>
      </c>
      <c r="U734" s="77" t="s">
        <v>119</v>
      </c>
      <c r="AH734" s="98" t="b">
        <f>INDEX(stable[q_standard],MATCH(questions[[#This Row],[qno]],stable[qno],0))</f>
        <v>0</v>
      </c>
      <c r="AI734" s="98" t="b">
        <f>INDEX(stable[q_living_income],MATCH(questions[[#This Row],[qno]],stable[qno],0))</f>
        <v>1</v>
      </c>
      <c r="AJ734" s="98" t="b">
        <f>INDEX(stable[q_carbon],MATCH(questions[[#This Row],[qno]],stable[qno],0))</f>
        <v>0</v>
      </c>
      <c r="AK734" s="98" t="b">
        <f>INDEX(stable[q_regen_ag],MATCH(questions[[#This Row],[qno]],stable[qno],0))</f>
        <v>0</v>
      </c>
      <c r="AL734" s="98" t="b">
        <f>COUNTIFS(stable[qno],questions[[#This Row],[qno]])=1</f>
        <v>1</v>
      </c>
      <c r="AM734" s="98" t="b">
        <f>OR(questions[[#This Row],[is_fixed]],questions[[#This Row],[is_localized]],questions[[#This Row],[is_supply_chain_dependent]])</f>
        <v>1</v>
      </c>
      <c r="AN734" s="98" t="b">
        <f>COUNTIFS(questions[[#This Row],[is_automated]:[is_multi_select]],TRUE)=1</f>
        <v>1</v>
      </c>
      <c r="AO734" s="98" t="b">
        <f>IF(questions[[#This Row],[is_fixed]],questions[[#This Row],[question]]=INDEX(stable[question],MATCH(questions[[#This Row],[qno]],stable[qno],0)),TRUE)</f>
        <v>1</v>
      </c>
      <c r="AP734" s="98" t="str">
        <f>LEFT(questions[[#This Row],[question]],similarity_range)</f>
        <v>Did you hire any peo</v>
      </c>
      <c r="AQ734" s="98" t="str">
        <f>LEFT(INDEX(stable[question],MATCH(questions[[#This Row],[qno]],stable[qno],0)),similarity_range)</f>
        <v>Did you hire any peo</v>
      </c>
      <c r="AR734" s="98" t="b">
        <f>questions[[#This Row],[question_first_characters]]=questions[[#This Row],[stability_first_characters]]</f>
        <v>1</v>
      </c>
      <c r="AS734" s="98" t="b">
        <f>IF(OR(questions[[#This Row],[is_single_select]],questions[[#This Row],[is_multi_select]]),NOT(ISBLANK(questions[[#This Row],[answer_opt_combined]])),TRUE)</f>
        <v>1</v>
      </c>
    </row>
    <row r="735" spans="1:45" s="77" customFormat="1" ht="15.75" customHeight="1" x14ac:dyDescent="0.25">
      <c r="A735" s="77" t="str">
        <f>_xlfn.TEXTJOIN("_",TRUE,questions[[#This Row],[origin]:[qno]])</f>
        <v>Kenya_Arabica_Nestle_2024_6021</v>
      </c>
      <c r="B735" s="77" t="s">
        <v>818</v>
      </c>
      <c r="C735" s="77" t="s">
        <v>59</v>
      </c>
      <c r="D735" s="77" t="s">
        <v>819</v>
      </c>
      <c r="E735" s="77">
        <v>2024</v>
      </c>
      <c r="F735" s="105" t="s">
        <v>582</v>
      </c>
      <c r="G735" s="78" t="s">
        <v>575</v>
      </c>
      <c r="H735" s="33" t="str" cm="1">
        <f t="array" ref="H735">INDEX(stableR[question],MATCH(VALUE(questions[[#This Row],[qno]]),VALUE(stableR[qno]),0))</f>
        <v>What were the activities that you hired people for, during the main season?</v>
      </c>
      <c r="I735" s="33" t="b" cm="1">
        <f t="array" ref="I735">INDEX(stable[is_fixed],MATCH(VALUE(questions[[#This Row],[qno]]),VALUE(stable[qno]),0))</f>
        <v>0</v>
      </c>
      <c r="J735" s="33" t="b" cm="1">
        <f t="array" ref="J735">INDEX(stable[is_localized],MATCH(VALUE(questions[[#This Row],[qno]]),VALUE(stable[qno]),0))</f>
        <v>0</v>
      </c>
      <c r="K735" s="33" t="b" cm="1">
        <f t="array" ref="K735">INDEX(stable[is_supply_chain_dependent],MATCH(VALUE(questions[[#This Row],[qno]]),VALUE(stable[qno]),0))</f>
        <v>1</v>
      </c>
      <c r="L735" s="33" t="b" cm="1">
        <f t="array" ref="L735">INDEX(stable[is_mandatory],MATCH(VALUE(questions[[#This Row],[qno]]),VALUE(stable[qno]),0))</f>
        <v>0</v>
      </c>
      <c r="M735" s="33" t="b" cm="1">
        <f t="array" ref="M735">INDEX(stable[is_automated],MATCH(VALUE(questions[[#This Row],[qno]]),VALUE(stable[qno]),0))</f>
        <v>0</v>
      </c>
      <c r="N735" s="33" t="b" cm="1">
        <f t="array" ref="N735">INDEX(stable[is_free_text],MATCH(VALUE(questions[[#This Row],[qno]]),VALUE(stable[qno]),0))</f>
        <v>0</v>
      </c>
      <c r="O735" s="33" t="b" cm="1">
        <f t="array" ref="O735">INDEX(stable[is_numerical],MATCH(VALUE(questions[[#This Row],[qno]]),VALUE(stable[qno]),0))</f>
        <v>0</v>
      </c>
      <c r="P735" s="77" t="b" cm="1">
        <f t="array" ref="P735">INDEX(stable[is_single_select],MATCH(VALUE(questions[[#This Row],[qno]]),VALUE(stable[qno]),0))</f>
        <v>0</v>
      </c>
      <c r="Q735" s="77" t="b" cm="1">
        <f t="array" ref="Q735">INDEX(stable[is_multi_select],MATCH(VALUE(questions[[#This Row],[qno]]),VALUE(stable[qno]),0))</f>
        <v>1</v>
      </c>
      <c r="R735" s="77" t="b" cm="1">
        <f t="array" ref="R735">INDEX(stable[is_skip_logic],MATCH(VALUE(questions[[#This Row],[qno]]),VALUE(stable[qno]),0))</f>
        <v>1</v>
      </c>
      <c r="S735" s="77" t="str">
        <f>_xlfn.TEXTJOIN(", ",TRUE,questions[[#This Row],[ans_opt_1]:[ans_opt_14]])</f>
        <v>Harvesting, Pruning, Weeding, Spraying, Planting new trees, Other, NA</v>
      </c>
      <c r="T735" s="77" t="s">
        <v>246</v>
      </c>
      <c r="U735" s="77" t="s">
        <v>247</v>
      </c>
      <c r="V735" s="77" t="s">
        <v>248</v>
      </c>
      <c r="W735" s="77" t="s">
        <v>249</v>
      </c>
      <c r="X735" s="77" t="s">
        <v>250</v>
      </c>
      <c r="Y735" s="77" t="s">
        <v>112</v>
      </c>
      <c r="Z735" s="77" t="s">
        <v>251</v>
      </c>
      <c r="AH735" s="98" t="b">
        <f>INDEX(stable[q_standard],MATCH(questions[[#This Row],[qno]],stable[qno],0))</f>
        <v>0</v>
      </c>
      <c r="AI735" s="98" t="b">
        <f>INDEX(stable[q_living_income],MATCH(questions[[#This Row],[qno]],stable[qno],0))</f>
        <v>1</v>
      </c>
      <c r="AJ735" s="98" t="b">
        <f>INDEX(stable[q_carbon],MATCH(questions[[#This Row],[qno]],stable[qno],0))</f>
        <v>0</v>
      </c>
      <c r="AK735" s="98" t="b">
        <f>INDEX(stable[q_regen_ag],MATCH(questions[[#This Row],[qno]],stable[qno],0))</f>
        <v>0</v>
      </c>
      <c r="AL735" s="98" t="b">
        <f>COUNTIFS(stable[qno],questions[[#This Row],[qno]])=1</f>
        <v>1</v>
      </c>
      <c r="AM735" s="98" t="b">
        <f>OR(questions[[#This Row],[is_fixed]],questions[[#This Row],[is_localized]],questions[[#This Row],[is_supply_chain_dependent]])</f>
        <v>1</v>
      </c>
      <c r="AN735" s="98" t="b">
        <f>COUNTIFS(questions[[#This Row],[is_automated]:[is_multi_select]],TRUE)=1</f>
        <v>1</v>
      </c>
      <c r="AO735" s="98" t="b">
        <f>IF(questions[[#This Row],[is_fixed]],questions[[#This Row],[question]]=INDEX(stable[question],MATCH(questions[[#This Row],[qno]],stable[qno],0)),TRUE)</f>
        <v>1</v>
      </c>
      <c r="AP735" s="98" t="str">
        <f>LEFT(questions[[#This Row],[question]],similarity_range)</f>
        <v>If yes, what was the</v>
      </c>
      <c r="AQ735" s="98" t="str">
        <f>LEFT(INDEX(stable[question],MATCH(questions[[#This Row],[qno]],stable[qno],0)),similarity_range)</f>
        <v>If yes, what were th</v>
      </c>
      <c r="AR735" s="98" t="b">
        <f>questions[[#This Row],[question_first_characters]]=questions[[#This Row],[stability_first_characters]]</f>
        <v>0</v>
      </c>
      <c r="AS735" s="98" t="b">
        <f>IF(OR(questions[[#This Row],[is_single_select]],questions[[#This Row],[is_multi_select]]),NOT(ISBLANK(questions[[#This Row],[answer_opt_combined]])),TRUE)</f>
        <v>1</v>
      </c>
    </row>
    <row r="736" spans="1:45" ht="15.75" customHeight="1" x14ac:dyDescent="0.25">
      <c r="A736" s="33" t="str">
        <f>_xlfn.TEXTJOIN("_",TRUE,questions[[#This Row],[origin]:[qno]])</f>
        <v>Kenya_Arabica_Nestle_2024_6022</v>
      </c>
      <c r="B736" s="33" t="s">
        <v>818</v>
      </c>
      <c r="C736" s="33" t="s">
        <v>59</v>
      </c>
      <c r="D736" s="33" t="s">
        <v>819</v>
      </c>
      <c r="E736" s="33">
        <v>2024</v>
      </c>
      <c r="F736" s="41" t="s">
        <v>584</v>
      </c>
      <c r="G736" s="18" t="s">
        <v>577</v>
      </c>
      <c r="H736" s="33" t="str" cm="1">
        <f t="array" ref="H736">INDEX(stableR[question],MATCH(VALUE(questions[[#This Row],[qno]]),VALUE(stableR[qno]),0))</f>
        <v>How many days in total did you hire people for this main activity, during the main season? (Number of days)</v>
      </c>
      <c r="I736" s="33" t="b" cm="1">
        <f t="array" ref="I736">INDEX(stable[is_fixed],MATCH(VALUE(questions[[#This Row],[qno]]),VALUE(stable[qno]),0))</f>
        <v>0</v>
      </c>
      <c r="J736" s="33" t="b" cm="1">
        <f t="array" ref="J736">INDEX(stable[is_localized],MATCH(VALUE(questions[[#This Row],[qno]]),VALUE(stable[qno]),0))</f>
        <v>0</v>
      </c>
      <c r="K736" s="33" t="b" cm="1">
        <f t="array" ref="K736">INDEX(stable[is_supply_chain_dependent],MATCH(VALUE(questions[[#This Row],[qno]]),VALUE(stable[qno]),0))</f>
        <v>1</v>
      </c>
      <c r="L736" s="33" t="b" cm="1">
        <f t="array" ref="L736">INDEX(stable[is_mandatory],MATCH(VALUE(questions[[#This Row],[qno]]),VALUE(stable[qno]),0))</f>
        <v>0</v>
      </c>
      <c r="M736" s="33" t="b" cm="1">
        <f t="array" ref="M736">INDEX(stable[is_automated],MATCH(VALUE(questions[[#This Row],[qno]]),VALUE(stable[qno]),0))</f>
        <v>0</v>
      </c>
      <c r="N736" s="33" t="b" cm="1">
        <f t="array" ref="N736">INDEX(stable[is_free_text],MATCH(VALUE(questions[[#This Row],[qno]]),VALUE(stable[qno]),0))</f>
        <v>0</v>
      </c>
      <c r="O736" s="33" t="b" cm="1">
        <f t="array" ref="O736">INDEX(stable[is_numerical],MATCH(VALUE(questions[[#This Row],[qno]]),VALUE(stable[qno]),0))</f>
        <v>1</v>
      </c>
      <c r="P736" s="33" t="b" cm="1">
        <f t="array" ref="P736">INDEX(stable[is_single_select],MATCH(VALUE(questions[[#This Row],[qno]]),VALUE(stable[qno]),0))</f>
        <v>0</v>
      </c>
      <c r="Q736" s="33" t="b" cm="1">
        <f t="array" ref="Q736">INDEX(stable[is_multi_select],MATCH(VALUE(questions[[#This Row],[qno]]),VALUE(stable[qno]),0))</f>
        <v>0</v>
      </c>
      <c r="R736" s="33" t="b" cm="1">
        <f t="array" ref="R736">INDEX(stable[is_skip_logic],MATCH(VALUE(questions[[#This Row],[qno]]),VALUE(stable[qno]),0))</f>
        <v>1</v>
      </c>
      <c r="S736" s="33" t="str">
        <f>_xlfn.TEXTJOIN(", ",TRUE,questions[[#This Row],[ans_opt_1]:[ans_opt_14]])</f>
        <v/>
      </c>
      <c r="T736" s="33"/>
      <c r="U736" s="33"/>
      <c r="V736" s="33"/>
      <c r="W736" s="33"/>
      <c r="X736" s="33"/>
      <c r="Y736" s="33"/>
      <c r="Z736" s="33"/>
      <c r="AA736" s="33"/>
      <c r="AB736" s="33"/>
      <c r="AC736" s="33"/>
      <c r="AD736" s="33"/>
      <c r="AE736" s="33"/>
      <c r="AF736" s="33"/>
      <c r="AG736" s="33"/>
      <c r="AH736" s="99" t="b">
        <f>INDEX(stable[q_standard],MATCH(questions[[#This Row],[qno]],stable[qno],0))</f>
        <v>0</v>
      </c>
      <c r="AI736" s="99" t="b">
        <f>INDEX(stable[q_living_income],MATCH(questions[[#This Row],[qno]],stable[qno],0))</f>
        <v>1</v>
      </c>
      <c r="AJ736" s="99" t="b">
        <f>INDEX(stable[q_carbon],MATCH(questions[[#This Row],[qno]],stable[qno],0))</f>
        <v>0</v>
      </c>
      <c r="AK736" s="99" t="b">
        <f>INDEX(stable[q_regen_ag],MATCH(questions[[#This Row],[qno]],stable[qno],0))</f>
        <v>0</v>
      </c>
      <c r="AL736" s="16" t="b">
        <f>COUNTIFS(stable[qno],questions[[#This Row],[qno]])=1</f>
        <v>1</v>
      </c>
      <c r="AM736" s="16" t="b">
        <f>OR(questions[[#This Row],[is_fixed]],questions[[#This Row],[is_localized]],questions[[#This Row],[is_supply_chain_dependent]])</f>
        <v>1</v>
      </c>
      <c r="AN736" s="16" t="b">
        <f>COUNTIFS(questions[[#This Row],[is_automated]:[is_multi_select]],TRUE)=1</f>
        <v>1</v>
      </c>
      <c r="AO736" s="16" t="b">
        <f>IF(questions[[#This Row],[is_fixed]],questions[[#This Row],[question]]=INDEX(stable[question],MATCH(questions[[#This Row],[qno]],stable[qno],0)),TRUE)</f>
        <v>1</v>
      </c>
      <c r="AP736" s="16" t="str">
        <f>LEFT(questions[[#This Row],[question]],similarity_range)</f>
        <v>If yes, how many day</v>
      </c>
      <c r="AQ736" s="16" t="str">
        <f>LEFT(INDEX(stable[question],MATCH(questions[[#This Row],[qno]],stable[qno],0)),similarity_range)</f>
        <v>If yes, how many day</v>
      </c>
      <c r="AR736" s="16" t="b">
        <f>questions[[#This Row],[question_first_characters]]=questions[[#This Row],[stability_first_characters]]</f>
        <v>1</v>
      </c>
      <c r="AS736" s="16" t="b">
        <f>IF(OR(questions[[#This Row],[is_single_select]],questions[[#This Row],[is_multi_select]]),NOT(ISBLANK(questions[[#This Row],[answer_opt_combined]])),TRUE)</f>
        <v>1</v>
      </c>
    </row>
    <row r="737" spans="1:45" ht="15.75" customHeight="1" x14ac:dyDescent="0.25">
      <c r="A737" s="33" t="str">
        <f>_xlfn.TEXTJOIN("_",TRUE,questions[[#This Row],[origin]:[qno]])</f>
        <v>Kenya_Arabica_Nestle_2024_6023</v>
      </c>
      <c r="B737" s="33" t="s">
        <v>818</v>
      </c>
      <c r="C737" s="33" t="s">
        <v>59</v>
      </c>
      <c r="D737" s="33" t="s">
        <v>819</v>
      </c>
      <c r="E737" s="33">
        <v>2024</v>
      </c>
      <c r="F737" s="41" t="s">
        <v>586</v>
      </c>
      <c r="G737" s="18" t="s">
        <v>579</v>
      </c>
      <c r="H737" s="33" t="str" cm="1">
        <f t="array" ref="H737">INDEX(stableR[question],MATCH(VALUE(questions[[#This Row],[qno]]),VALUE(stableR[qno]),0))</f>
        <v>How many people did you typically hire per day for this main activity during main season?</v>
      </c>
      <c r="I737" s="33" t="b" cm="1">
        <f t="array" ref="I737">INDEX(stable[is_fixed],MATCH(VALUE(questions[[#This Row],[qno]]),VALUE(stable[qno]),0))</f>
        <v>0</v>
      </c>
      <c r="J737" s="33" t="b" cm="1">
        <f t="array" ref="J737">INDEX(stable[is_localized],MATCH(VALUE(questions[[#This Row],[qno]]),VALUE(stable[qno]),0))</f>
        <v>0</v>
      </c>
      <c r="K737" s="33" t="b" cm="1">
        <f t="array" ref="K737">INDEX(stable[is_supply_chain_dependent],MATCH(VALUE(questions[[#This Row],[qno]]),VALUE(stable[qno]),0))</f>
        <v>1</v>
      </c>
      <c r="L737" s="33" t="b" cm="1">
        <f t="array" ref="L737">INDEX(stable[is_mandatory],MATCH(VALUE(questions[[#This Row],[qno]]),VALUE(stable[qno]),0))</f>
        <v>0</v>
      </c>
      <c r="M737" s="33" t="b" cm="1">
        <f t="array" ref="M737">INDEX(stable[is_automated],MATCH(VALUE(questions[[#This Row],[qno]]),VALUE(stable[qno]),0))</f>
        <v>0</v>
      </c>
      <c r="N737" s="33" t="b" cm="1">
        <f t="array" ref="N737">INDEX(stable[is_free_text],MATCH(VALUE(questions[[#This Row],[qno]]),VALUE(stable[qno]),0))</f>
        <v>0</v>
      </c>
      <c r="O737" s="33" t="b" cm="1">
        <f t="array" ref="O737">INDEX(stable[is_numerical],MATCH(VALUE(questions[[#This Row],[qno]]),VALUE(stable[qno]),0))</f>
        <v>1</v>
      </c>
      <c r="P737" s="33" t="b" cm="1">
        <f t="array" ref="P737">INDEX(stable[is_single_select],MATCH(VALUE(questions[[#This Row],[qno]]),VALUE(stable[qno]),0))</f>
        <v>0</v>
      </c>
      <c r="Q737" s="33" t="b" cm="1">
        <f t="array" ref="Q737">INDEX(stable[is_multi_select],MATCH(VALUE(questions[[#This Row],[qno]]),VALUE(stable[qno]),0))</f>
        <v>0</v>
      </c>
      <c r="R737" s="33" t="b" cm="1">
        <f t="array" ref="R737">INDEX(stable[is_skip_logic],MATCH(VALUE(questions[[#This Row],[qno]]),VALUE(stable[qno]),0))</f>
        <v>1</v>
      </c>
      <c r="S737" s="33" t="str">
        <f>_xlfn.TEXTJOIN(", ",TRUE,questions[[#This Row],[ans_opt_1]:[ans_opt_14]])</f>
        <v/>
      </c>
      <c r="T737" s="33"/>
      <c r="U737" s="33"/>
      <c r="V737" s="33"/>
      <c r="W737" s="33"/>
      <c r="X737" s="33"/>
      <c r="Y737" s="33"/>
      <c r="Z737" s="33"/>
      <c r="AA737" s="33"/>
      <c r="AB737" s="33"/>
      <c r="AC737" s="33"/>
      <c r="AD737" s="33"/>
      <c r="AE737" s="33"/>
      <c r="AF737" s="33"/>
      <c r="AG737" s="33"/>
      <c r="AH737" s="99" t="b">
        <f>INDEX(stable[q_standard],MATCH(questions[[#This Row],[qno]],stable[qno],0))</f>
        <v>0</v>
      </c>
      <c r="AI737" s="99" t="b">
        <f>INDEX(stable[q_living_income],MATCH(questions[[#This Row],[qno]],stable[qno],0))</f>
        <v>1</v>
      </c>
      <c r="AJ737" s="99" t="b">
        <f>INDEX(stable[q_carbon],MATCH(questions[[#This Row],[qno]],stable[qno],0))</f>
        <v>0</v>
      </c>
      <c r="AK737" s="99" t="b">
        <f>INDEX(stable[q_regen_ag],MATCH(questions[[#This Row],[qno]],stable[qno],0))</f>
        <v>0</v>
      </c>
      <c r="AL737" s="16" t="b">
        <f>COUNTIFS(stable[qno],questions[[#This Row],[qno]])=1</f>
        <v>1</v>
      </c>
      <c r="AM737" s="16" t="b">
        <f>OR(questions[[#This Row],[is_fixed]],questions[[#This Row],[is_localized]],questions[[#This Row],[is_supply_chain_dependent]])</f>
        <v>1</v>
      </c>
      <c r="AN737" s="16" t="b">
        <f>COUNTIFS(questions[[#This Row],[is_automated]:[is_multi_select]],TRUE)=1</f>
        <v>1</v>
      </c>
      <c r="AO737" s="16" t="b">
        <f>IF(questions[[#This Row],[is_fixed]],questions[[#This Row],[question]]=INDEX(stable[question],MATCH(questions[[#This Row],[qno]],stable[qno],0)),TRUE)</f>
        <v>1</v>
      </c>
      <c r="AP737" s="16" t="str">
        <f>LEFT(questions[[#This Row],[question]],similarity_range)</f>
        <v>If yes, every day, h</v>
      </c>
      <c r="AQ737" s="16" t="str">
        <f>LEFT(INDEX(stable[question],MATCH(questions[[#This Row],[qno]],stable[qno],0)),similarity_range)</f>
        <v>If yes, how many peo</v>
      </c>
      <c r="AR737" s="16" t="b">
        <f>questions[[#This Row],[question_first_characters]]=questions[[#This Row],[stability_first_characters]]</f>
        <v>0</v>
      </c>
      <c r="AS737" s="16" t="b">
        <f>IF(OR(questions[[#This Row],[is_single_select]],questions[[#This Row],[is_multi_select]]),NOT(ISBLANK(questions[[#This Row],[answer_opt_combined]])),TRUE)</f>
        <v>1</v>
      </c>
    </row>
    <row r="738" spans="1:45" s="77" customFormat="1" ht="15.75" customHeight="1" x14ac:dyDescent="0.25">
      <c r="A738" s="77" t="str">
        <f>_xlfn.TEXTJOIN("_",TRUE,questions[[#This Row],[origin]:[qno]])</f>
        <v>Kenya_Arabica_Nestle_2024_6010</v>
      </c>
      <c r="B738" s="77" t="s">
        <v>818</v>
      </c>
      <c r="C738" s="77" t="s">
        <v>59</v>
      </c>
      <c r="D738" s="77" t="s">
        <v>819</v>
      </c>
      <c r="E738" s="77">
        <v>2024</v>
      </c>
      <c r="F738" s="105" t="s">
        <v>572</v>
      </c>
      <c r="G738" s="78" t="s">
        <v>851</v>
      </c>
      <c r="H738" s="33" t="str" cm="1">
        <f t="array" ref="H738">INDEX(stableR[question],MATCH(VALUE(questions[[#This Row],[qno]]),VALUE(stableR[qno]),0))</f>
        <v>Did you hire any people to work on your coffee plots for seasonal activities during the fly season, last year?</v>
      </c>
      <c r="I738" s="33" t="b" cm="1">
        <f t="array" ref="I738">INDEX(stable[is_fixed],MATCH(VALUE(questions[[#This Row],[qno]]),VALUE(stable[qno]),0))</f>
        <v>0</v>
      </c>
      <c r="J738" s="33" t="b" cm="1">
        <f t="array" ref="J738">INDEX(stable[is_localized],MATCH(VALUE(questions[[#This Row],[qno]]),VALUE(stable[qno]),0))</f>
        <v>1</v>
      </c>
      <c r="K738" s="33" t="b" cm="1">
        <f t="array" ref="K738">INDEX(stable[is_supply_chain_dependent],MATCH(VALUE(questions[[#This Row],[qno]]),VALUE(stable[qno]),0))</f>
        <v>0</v>
      </c>
      <c r="L738" s="33" t="b" cm="1">
        <f t="array" ref="L738">INDEX(stable[is_mandatory],MATCH(VALUE(questions[[#This Row],[qno]]),VALUE(stable[qno]),0))</f>
        <v>1</v>
      </c>
      <c r="M738" s="33" t="b" cm="1">
        <f t="array" ref="M738">INDEX(stable[is_automated],MATCH(VALUE(questions[[#This Row],[qno]]),VALUE(stable[qno]),0))</f>
        <v>0</v>
      </c>
      <c r="N738" s="33" t="b" cm="1">
        <f t="array" ref="N738">INDEX(stable[is_free_text],MATCH(VALUE(questions[[#This Row],[qno]]),VALUE(stable[qno]),0))</f>
        <v>0</v>
      </c>
      <c r="O738" s="33" t="b" cm="1">
        <f t="array" ref="O738">INDEX(stable[is_numerical],MATCH(VALUE(questions[[#This Row],[qno]]),VALUE(stable[qno]),0))</f>
        <v>0</v>
      </c>
      <c r="P738" s="77" t="b" cm="1">
        <f t="array" ref="P738">INDEX(stable[is_single_select],MATCH(VALUE(questions[[#This Row],[qno]]),VALUE(stable[qno]),0))</f>
        <v>1</v>
      </c>
      <c r="Q738" s="77" t="b" cm="1">
        <f t="array" ref="Q738">INDEX(stable[is_multi_select],MATCH(VALUE(questions[[#This Row],[qno]]),VALUE(stable[qno]),0))</f>
        <v>0</v>
      </c>
      <c r="R738" s="77" t="b" cm="1">
        <f t="array" ref="R738">INDEX(stable[is_skip_logic],MATCH(VALUE(questions[[#This Row],[qno]]),VALUE(stable[qno]),0))</f>
        <v>1</v>
      </c>
      <c r="S738" s="77" t="str">
        <f>_xlfn.TEXTJOIN(", ",TRUE,questions[[#This Row],[ans_opt_1]:[ans_opt_14]])</f>
        <v>Yes, No</v>
      </c>
      <c r="T738" s="77" t="s">
        <v>149</v>
      </c>
      <c r="U738" s="77" t="s">
        <v>119</v>
      </c>
      <c r="AH738" s="98" t="b">
        <f>INDEX(stable[q_standard],MATCH(questions[[#This Row],[qno]],stable[qno],0))</f>
        <v>0</v>
      </c>
      <c r="AI738" s="98" t="b">
        <f>INDEX(stable[q_living_income],MATCH(questions[[#This Row],[qno]],stable[qno],0))</f>
        <v>1</v>
      </c>
      <c r="AJ738" s="98" t="b">
        <f>INDEX(stable[q_carbon],MATCH(questions[[#This Row],[qno]],stable[qno],0))</f>
        <v>0</v>
      </c>
      <c r="AK738" s="98" t="b">
        <f>INDEX(stable[q_regen_ag],MATCH(questions[[#This Row],[qno]],stable[qno],0))</f>
        <v>0</v>
      </c>
      <c r="AL738" s="98" t="b">
        <f>COUNTIFS(stable[qno],questions[[#This Row],[qno]])=1</f>
        <v>1</v>
      </c>
      <c r="AM738" s="98" t="b">
        <f>OR(questions[[#This Row],[is_fixed]],questions[[#This Row],[is_localized]],questions[[#This Row],[is_supply_chain_dependent]])</f>
        <v>1</v>
      </c>
      <c r="AN738" s="98" t="b">
        <f>COUNTIFS(questions[[#This Row],[is_automated]:[is_multi_select]],TRUE)=1</f>
        <v>1</v>
      </c>
      <c r="AO738" s="98" t="b">
        <f>IF(questions[[#This Row],[is_fixed]],questions[[#This Row],[question]]=INDEX(stable[question],MATCH(questions[[#This Row],[qno]],stable[qno],0)),TRUE)</f>
        <v>1</v>
      </c>
      <c r="AP738" s="98" t="str">
        <f>LEFT(questions[[#This Row],[question]],similarity_range)</f>
        <v>Did you hire any peo</v>
      </c>
      <c r="AQ738" s="98" t="str">
        <f>LEFT(INDEX(stable[question],MATCH(questions[[#This Row],[qno]],stable[qno],0)),similarity_range)</f>
        <v>Did you hire any peo</v>
      </c>
      <c r="AR738" s="98" t="b">
        <f>questions[[#This Row],[question_first_characters]]=questions[[#This Row],[stability_first_characters]]</f>
        <v>1</v>
      </c>
      <c r="AS738" s="98" t="b">
        <f>IF(OR(questions[[#This Row],[is_single_select]],questions[[#This Row],[is_multi_select]]),NOT(ISBLANK(questions[[#This Row],[answer_opt_combined]])),TRUE)</f>
        <v>1</v>
      </c>
    </row>
    <row r="739" spans="1:45" s="77" customFormat="1" ht="15.75" customHeight="1" x14ac:dyDescent="0.25">
      <c r="A739" s="77" t="str">
        <f>_xlfn.TEXTJOIN("_",TRUE,questions[[#This Row],[origin]:[qno]])</f>
        <v>Kenya_Arabica_Nestle_2024_6011</v>
      </c>
      <c r="B739" s="77" t="s">
        <v>818</v>
      </c>
      <c r="C739" s="77" t="s">
        <v>59</v>
      </c>
      <c r="D739" s="77" t="s">
        <v>819</v>
      </c>
      <c r="E739" s="77">
        <v>2024</v>
      </c>
      <c r="F739" s="105" t="s">
        <v>574</v>
      </c>
      <c r="G739" s="78" t="s">
        <v>583</v>
      </c>
      <c r="H739" s="33" t="str" cm="1">
        <f t="array" ref="H739">INDEX(stableR[question],MATCH(VALUE(questions[[#This Row],[qno]]),VALUE(stableR[qno]),0))</f>
        <v>What were the activities that you hired people for, during the fly season?</v>
      </c>
      <c r="I739" s="33" t="b" cm="1">
        <f t="array" ref="I739">INDEX(stable[is_fixed],MATCH(VALUE(questions[[#This Row],[qno]]),VALUE(stable[qno]),0))</f>
        <v>0</v>
      </c>
      <c r="J739" s="33" t="b" cm="1">
        <f t="array" ref="J739">INDEX(stable[is_localized],MATCH(VALUE(questions[[#This Row],[qno]]),VALUE(stable[qno]),0))</f>
        <v>1</v>
      </c>
      <c r="K739" s="33" t="b" cm="1">
        <f t="array" ref="K739">INDEX(stable[is_supply_chain_dependent],MATCH(VALUE(questions[[#This Row],[qno]]),VALUE(stable[qno]),0))</f>
        <v>0</v>
      </c>
      <c r="L739" s="33" t="b" cm="1">
        <f t="array" ref="L739">INDEX(stable[is_mandatory],MATCH(VALUE(questions[[#This Row],[qno]]),VALUE(stable[qno]),0))</f>
        <v>0</v>
      </c>
      <c r="M739" s="33" t="b" cm="1">
        <f t="array" ref="M739">INDEX(stable[is_automated],MATCH(VALUE(questions[[#This Row],[qno]]),VALUE(stable[qno]),0))</f>
        <v>0</v>
      </c>
      <c r="N739" s="33" t="b" cm="1">
        <f t="array" ref="N739">INDEX(stable[is_free_text],MATCH(VALUE(questions[[#This Row],[qno]]),VALUE(stable[qno]),0))</f>
        <v>0</v>
      </c>
      <c r="O739" s="33" t="b" cm="1">
        <f t="array" ref="O739">INDEX(stable[is_numerical],MATCH(VALUE(questions[[#This Row],[qno]]),VALUE(stable[qno]),0))</f>
        <v>0</v>
      </c>
      <c r="P739" s="77" t="b" cm="1">
        <f t="array" ref="P739">INDEX(stable[is_single_select],MATCH(VALUE(questions[[#This Row],[qno]]),VALUE(stable[qno]),0))</f>
        <v>0</v>
      </c>
      <c r="Q739" s="77" t="b" cm="1">
        <f t="array" ref="Q739">INDEX(stable[is_multi_select],MATCH(VALUE(questions[[#This Row],[qno]]),VALUE(stable[qno]),0))</f>
        <v>1</v>
      </c>
      <c r="R739" s="77" t="b" cm="1">
        <f t="array" ref="R739">INDEX(stable[is_skip_logic],MATCH(VALUE(questions[[#This Row],[qno]]),VALUE(stable[qno]),0))</f>
        <v>1</v>
      </c>
      <c r="S739" s="77" t="str">
        <f>_xlfn.TEXTJOIN(", ",TRUE,questions[[#This Row],[ans_opt_1]:[ans_opt_14]])</f>
        <v>Harvesting, Pruning, Weeding, Spraying, Planting new trees, Other, NA</v>
      </c>
      <c r="T739" s="77" t="s">
        <v>246</v>
      </c>
      <c r="U739" s="77" t="s">
        <v>247</v>
      </c>
      <c r="V739" s="77" t="s">
        <v>248</v>
      </c>
      <c r="W739" s="77" t="s">
        <v>249</v>
      </c>
      <c r="X739" s="77" t="s">
        <v>250</v>
      </c>
      <c r="Y739" s="77" t="s">
        <v>112</v>
      </c>
      <c r="Z739" s="77" t="s">
        <v>251</v>
      </c>
      <c r="AH739" s="98" t="b">
        <f>INDEX(stable[q_standard],MATCH(questions[[#This Row],[qno]],stable[qno],0))</f>
        <v>0</v>
      </c>
      <c r="AI739" s="98" t="b">
        <f>INDEX(stable[q_living_income],MATCH(questions[[#This Row],[qno]],stable[qno],0))</f>
        <v>1</v>
      </c>
      <c r="AJ739" s="98" t="b">
        <f>INDEX(stable[q_carbon],MATCH(questions[[#This Row],[qno]],stable[qno],0))</f>
        <v>0</v>
      </c>
      <c r="AK739" s="98" t="b">
        <f>INDEX(stable[q_regen_ag],MATCH(questions[[#This Row],[qno]],stable[qno],0))</f>
        <v>0</v>
      </c>
      <c r="AL739" s="98" t="b">
        <f>COUNTIFS(stable[qno],questions[[#This Row],[qno]])=1</f>
        <v>1</v>
      </c>
      <c r="AM739" s="98" t="b">
        <f>OR(questions[[#This Row],[is_fixed]],questions[[#This Row],[is_localized]],questions[[#This Row],[is_supply_chain_dependent]])</f>
        <v>1</v>
      </c>
      <c r="AN739" s="98" t="b">
        <f>COUNTIFS(questions[[#This Row],[is_automated]:[is_multi_select]],TRUE)=1</f>
        <v>1</v>
      </c>
      <c r="AO739" s="98" t="b">
        <f>IF(questions[[#This Row],[is_fixed]],questions[[#This Row],[question]]=INDEX(stable[question],MATCH(questions[[#This Row],[qno]],stable[qno],0)),TRUE)</f>
        <v>1</v>
      </c>
      <c r="AP739" s="98" t="str">
        <f>LEFT(questions[[#This Row],[question]],similarity_range)</f>
        <v>If yes, what was the</v>
      </c>
      <c r="AQ739" s="98" t="str">
        <f>LEFT(INDEX(stable[question],MATCH(questions[[#This Row],[qno]],stable[qno],0)),similarity_range)</f>
        <v>If yes, what were th</v>
      </c>
      <c r="AR739" s="98" t="b">
        <f>questions[[#This Row],[question_first_characters]]=questions[[#This Row],[stability_first_characters]]</f>
        <v>0</v>
      </c>
      <c r="AS739" s="98" t="b">
        <f>IF(OR(questions[[#This Row],[is_single_select]],questions[[#This Row],[is_multi_select]]),NOT(ISBLANK(questions[[#This Row],[answer_opt_combined]])),TRUE)</f>
        <v>1</v>
      </c>
    </row>
    <row r="740" spans="1:45" ht="15.75" customHeight="1" x14ac:dyDescent="0.25">
      <c r="A740" s="33" t="str">
        <f>_xlfn.TEXTJOIN("_",TRUE,questions[[#This Row],[origin]:[qno]])</f>
        <v>Kenya_Arabica_Nestle_2024_6012</v>
      </c>
      <c r="B740" s="33" t="s">
        <v>818</v>
      </c>
      <c r="C740" s="33" t="s">
        <v>59</v>
      </c>
      <c r="D740" s="33" t="s">
        <v>819</v>
      </c>
      <c r="E740" s="33">
        <v>2024</v>
      </c>
      <c r="F740" s="41" t="s">
        <v>576</v>
      </c>
      <c r="G740" s="18" t="s">
        <v>585</v>
      </c>
      <c r="H740" s="33" t="str" cm="1">
        <f t="array" ref="H740">INDEX(stableR[question],MATCH(VALUE(questions[[#This Row],[qno]]),VALUE(stableR[qno]),0))</f>
        <v>How many days in total did you hire people for this main activity, during the fly season? (Number of days)</v>
      </c>
      <c r="I740" s="33" t="b" cm="1">
        <f t="array" ref="I740">INDEX(stable[is_fixed],MATCH(VALUE(questions[[#This Row],[qno]]),VALUE(stable[qno]),0))</f>
        <v>0</v>
      </c>
      <c r="J740" s="33" t="b" cm="1">
        <f t="array" ref="J740">INDEX(stable[is_localized],MATCH(VALUE(questions[[#This Row],[qno]]),VALUE(stable[qno]),0))</f>
        <v>1</v>
      </c>
      <c r="K740" s="33" t="b" cm="1">
        <f t="array" ref="K740">INDEX(stable[is_supply_chain_dependent],MATCH(VALUE(questions[[#This Row],[qno]]),VALUE(stable[qno]),0))</f>
        <v>0</v>
      </c>
      <c r="L740" s="33" t="b" cm="1">
        <f t="array" ref="L740">INDEX(stable[is_mandatory],MATCH(VALUE(questions[[#This Row],[qno]]),VALUE(stable[qno]),0))</f>
        <v>0</v>
      </c>
      <c r="M740" s="33" t="b" cm="1">
        <f t="array" ref="M740">INDEX(stable[is_automated],MATCH(VALUE(questions[[#This Row],[qno]]),VALUE(stable[qno]),0))</f>
        <v>0</v>
      </c>
      <c r="N740" s="33" t="b" cm="1">
        <f t="array" ref="N740">INDEX(stable[is_free_text],MATCH(VALUE(questions[[#This Row],[qno]]),VALUE(stable[qno]),0))</f>
        <v>0</v>
      </c>
      <c r="O740" s="33" t="b" cm="1">
        <f t="array" ref="O740">INDEX(stable[is_numerical],MATCH(VALUE(questions[[#This Row],[qno]]),VALUE(stable[qno]),0))</f>
        <v>1</v>
      </c>
      <c r="P740" s="33" t="b" cm="1">
        <f t="array" ref="P740">INDEX(stable[is_single_select],MATCH(VALUE(questions[[#This Row],[qno]]),VALUE(stable[qno]),0))</f>
        <v>0</v>
      </c>
      <c r="Q740" s="33" t="b" cm="1">
        <f t="array" ref="Q740">INDEX(stable[is_multi_select],MATCH(VALUE(questions[[#This Row],[qno]]),VALUE(stable[qno]),0))</f>
        <v>0</v>
      </c>
      <c r="R740" s="33" t="b" cm="1">
        <f t="array" ref="R740">INDEX(stable[is_skip_logic],MATCH(VALUE(questions[[#This Row],[qno]]),VALUE(stable[qno]),0))</f>
        <v>1</v>
      </c>
      <c r="S740" s="33" t="str">
        <f>_xlfn.TEXTJOIN(", ",TRUE,questions[[#This Row],[ans_opt_1]:[ans_opt_14]])</f>
        <v/>
      </c>
      <c r="T740" s="33"/>
      <c r="U740" s="33"/>
      <c r="V740" s="33"/>
      <c r="W740" s="33"/>
      <c r="X740" s="33"/>
      <c r="Y740" s="33"/>
      <c r="Z740" s="33"/>
      <c r="AA740" s="33"/>
      <c r="AB740" s="33"/>
      <c r="AC740" s="33"/>
      <c r="AD740" s="33"/>
      <c r="AE740" s="33"/>
      <c r="AF740" s="33"/>
      <c r="AG740" s="33"/>
      <c r="AH740" s="99" t="b">
        <f>INDEX(stable[q_standard],MATCH(questions[[#This Row],[qno]],stable[qno],0))</f>
        <v>0</v>
      </c>
      <c r="AI740" s="99" t="b">
        <f>INDEX(stable[q_living_income],MATCH(questions[[#This Row],[qno]],stable[qno],0))</f>
        <v>1</v>
      </c>
      <c r="AJ740" s="99" t="b">
        <f>INDEX(stable[q_carbon],MATCH(questions[[#This Row],[qno]],stable[qno],0))</f>
        <v>0</v>
      </c>
      <c r="AK740" s="99" t="b">
        <f>INDEX(stable[q_regen_ag],MATCH(questions[[#This Row],[qno]],stable[qno],0))</f>
        <v>0</v>
      </c>
      <c r="AL740" s="16" t="b">
        <f>COUNTIFS(stable[qno],questions[[#This Row],[qno]])=1</f>
        <v>1</v>
      </c>
      <c r="AM740" s="16" t="b">
        <f>OR(questions[[#This Row],[is_fixed]],questions[[#This Row],[is_localized]],questions[[#This Row],[is_supply_chain_dependent]])</f>
        <v>1</v>
      </c>
      <c r="AN740" s="16" t="b">
        <f>COUNTIFS(questions[[#This Row],[is_automated]:[is_multi_select]],TRUE)=1</f>
        <v>1</v>
      </c>
      <c r="AO740" s="16" t="b">
        <f>IF(questions[[#This Row],[is_fixed]],questions[[#This Row],[question]]=INDEX(stable[question],MATCH(questions[[#This Row],[qno]],stable[qno],0)),TRUE)</f>
        <v>1</v>
      </c>
      <c r="AP740" s="16" t="str">
        <f>LEFT(questions[[#This Row],[question]],similarity_range)</f>
        <v>If yes, how many day</v>
      </c>
      <c r="AQ740" s="16" t="str">
        <f>LEFT(INDEX(stable[question],MATCH(questions[[#This Row],[qno]],stable[qno],0)),similarity_range)</f>
        <v>If yes, how many day</v>
      </c>
      <c r="AR740" s="16" t="b">
        <f>questions[[#This Row],[question_first_characters]]=questions[[#This Row],[stability_first_characters]]</f>
        <v>1</v>
      </c>
      <c r="AS740" s="16" t="b">
        <f>IF(OR(questions[[#This Row],[is_single_select]],questions[[#This Row],[is_multi_select]]),NOT(ISBLANK(questions[[#This Row],[answer_opt_combined]])),TRUE)</f>
        <v>1</v>
      </c>
    </row>
    <row r="741" spans="1:45" ht="15.75" customHeight="1" x14ac:dyDescent="0.25">
      <c r="A741" s="33" t="str">
        <f>_xlfn.TEXTJOIN("_",TRUE,questions[[#This Row],[origin]:[qno]])</f>
        <v>Kenya_Arabica_Nestle_2024_6013</v>
      </c>
      <c r="B741" s="33" t="s">
        <v>818</v>
      </c>
      <c r="C741" s="33" t="s">
        <v>59</v>
      </c>
      <c r="D741" s="33" t="s">
        <v>819</v>
      </c>
      <c r="E741" s="33">
        <v>2024</v>
      </c>
      <c r="F741" s="41" t="s">
        <v>578</v>
      </c>
      <c r="G741" s="18" t="s">
        <v>587</v>
      </c>
      <c r="H741" s="33" t="str" cm="1">
        <f t="array" ref="H741">INDEX(stableR[question],MATCH(VALUE(questions[[#This Row],[qno]]),VALUE(stableR[qno]),0))</f>
        <v>How many people did you typically hire per day for this main activity during fly season?</v>
      </c>
      <c r="I741" s="33" t="b" cm="1">
        <f t="array" ref="I741">INDEX(stable[is_fixed],MATCH(VALUE(questions[[#This Row],[qno]]),VALUE(stable[qno]),0))</f>
        <v>0</v>
      </c>
      <c r="J741" s="33" t="b" cm="1">
        <f t="array" ref="J741">INDEX(stable[is_localized],MATCH(VALUE(questions[[#This Row],[qno]]),VALUE(stable[qno]),0))</f>
        <v>1</v>
      </c>
      <c r="K741" s="33" t="b" cm="1">
        <f t="array" ref="K741">INDEX(stable[is_supply_chain_dependent],MATCH(VALUE(questions[[#This Row],[qno]]),VALUE(stable[qno]),0))</f>
        <v>0</v>
      </c>
      <c r="L741" s="33" t="b" cm="1">
        <f t="array" ref="L741">INDEX(stable[is_mandatory],MATCH(VALUE(questions[[#This Row],[qno]]),VALUE(stable[qno]),0))</f>
        <v>0</v>
      </c>
      <c r="M741" s="33" t="b" cm="1">
        <f t="array" ref="M741">INDEX(stable[is_automated],MATCH(VALUE(questions[[#This Row],[qno]]),VALUE(stable[qno]),0))</f>
        <v>0</v>
      </c>
      <c r="N741" s="33" t="b" cm="1">
        <f t="array" ref="N741">INDEX(stable[is_free_text],MATCH(VALUE(questions[[#This Row],[qno]]),VALUE(stable[qno]),0))</f>
        <v>0</v>
      </c>
      <c r="O741" s="33" t="b" cm="1">
        <f t="array" ref="O741">INDEX(stable[is_numerical],MATCH(VALUE(questions[[#This Row],[qno]]),VALUE(stable[qno]),0))</f>
        <v>1</v>
      </c>
      <c r="P741" s="33" t="b" cm="1">
        <f t="array" ref="P741">INDEX(stable[is_single_select],MATCH(VALUE(questions[[#This Row],[qno]]),VALUE(stable[qno]),0))</f>
        <v>0</v>
      </c>
      <c r="Q741" s="33" t="b" cm="1">
        <f t="array" ref="Q741">INDEX(stable[is_multi_select],MATCH(VALUE(questions[[#This Row],[qno]]),VALUE(stable[qno]),0))</f>
        <v>0</v>
      </c>
      <c r="R741" s="33" t="b" cm="1">
        <f t="array" ref="R741">INDEX(stable[is_skip_logic],MATCH(VALUE(questions[[#This Row],[qno]]),VALUE(stable[qno]),0))</f>
        <v>1</v>
      </c>
      <c r="S741" s="33" t="str">
        <f>_xlfn.TEXTJOIN(", ",TRUE,questions[[#This Row],[ans_opt_1]:[ans_opt_14]])</f>
        <v/>
      </c>
      <c r="T741" s="33"/>
      <c r="U741" s="33"/>
      <c r="V741" s="33"/>
      <c r="W741" s="33"/>
      <c r="X741" s="33"/>
      <c r="Y741" s="33"/>
      <c r="Z741" s="33"/>
      <c r="AA741" s="33"/>
      <c r="AB741" s="33"/>
      <c r="AC741" s="33"/>
      <c r="AD741" s="33"/>
      <c r="AE741" s="33"/>
      <c r="AF741" s="33"/>
      <c r="AG741" s="33"/>
      <c r="AH741" s="99" t="b">
        <f>INDEX(stable[q_standard],MATCH(questions[[#This Row],[qno]],stable[qno],0))</f>
        <v>0</v>
      </c>
      <c r="AI741" s="99" t="b">
        <f>INDEX(stable[q_living_income],MATCH(questions[[#This Row],[qno]],stable[qno],0))</f>
        <v>1</v>
      </c>
      <c r="AJ741" s="99" t="b">
        <f>INDEX(stable[q_carbon],MATCH(questions[[#This Row],[qno]],stable[qno],0))</f>
        <v>0</v>
      </c>
      <c r="AK741" s="99" t="b">
        <f>INDEX(stable[q_regen_ag],MATCH(questions[[#This Row],[qno]],stable[qno],0))</f>
        <v>0</v>
      </c>
      <c r="AL741" s="16" t="b">
        <f>COUNTIFS(stable[qno],questions[[#This Row],[qno]])=1</f>
        <v>1</v>
      </c>
      <c r="AM741" s="16" t="b">
        <f>OR(questions[[#This Row],[is_fixed]],questions[[#This Row],[is_localized]],questions[[#This Row],[is_supply_chain_dependent]])</f>
        <v>1</v>
      </c>
      <c r="AN741" s="16" t="b">
        <f>COUNTIFS(questions[[#This Row],[is_automated]:[is_multi_select]],TRUE)=1</f>
        <v>1</v>
      </c>
      <c r="AO741" s="16" t="b">
        <f>IF(questions[[#This Row],[is_fixed]],questions[[#This Row],[question]]=INDEX(stable[question],MATCH(questions[[#This Row],[qno]],stable[qno],0)),TRUE)</f>
        <v>1</v>
      </c>
      <c r="AP741" s="16" t="str">
        <f>LEFT(questions[[#This Row],[question]],similarity_range)</f>
        <v>If yes, every day, h</v>
      </c>
      <c r="AQ741" s="16" t="str">
        <f>LEFT(INDEX(stable[question],MATCH(questions[[#This Row],[qno]],stable[qno],0)),similarity_range)</f>
        <v>If yes, how many peo</v>
      </c>
      <c r="AR741" s="16" t="b">
        <f>questions[[#This Row],[question_first_characters]]=questions[[#This Row],[stability_first_characters]]</f>
        <v>0</v>
      </c>
      <c r="AS741" s="16" t="b">
        <f>IF(OR(questions[[#This Row],[is_single_select]],questions[[#This Row],[is_multi_select]]),NOT(ISBLANK(questions[[#This Row],[answer_opt_combined]])),TRUE)</f>
        <v>1</v>
      </c>
    </row>
    <row r="742" spans="1:45" s="77" customFormat="1" ht="15.75" customHeight="1" x14ac:dyDescent="0.25">
      <c r="A742" s="77" t="str">
        <f>_xlfn.TEXTJOIN("_",TRUE,questions[[#This Row],[origin]:[qno]])</f>
        <v>Kenya_Arabica_Nestle_2024_6100</v>
      </c>
      <c r="B742" s="77" t="s">
        <v>818</v>
      </c>
      <c r="C742" s="77" t="s">
        <v>59</v>
      </c>
      <c r="D742" s="77" t="s">
        <v>819</v>
      </c>
      <c r="E742" s="77">
        <v>2024</v>
      </c>
      <c r="F742" s="105" t="s">
        <v>256</v>
      </c>
      <c r="G742" s="78" t="s">
        <v>257</v>
      </c>
      <c r="H742" s="33" t="str" cm="1">
        <f t="array" ref="H742">INDEX(stableR[question],MATCH(VALUE(questions[[#This Row],[qno]]),VALUE(stableR[qno]),0))</f>
        <v>Did you use any monetary loan for coffee activities last year?</v>
      </c>
      <c r="I742" s="33" t="b" cm="1">
        <f t="array" ref="I742">INDEX(stable[is_fixed],MATCH(VALUE(questions[[#This Row],[qno]]),VALUE(stable[qno]),0))</f>
        <v>1</v>
      </c>
      <c r="J742" s="33" t="b" cm="1">
        <f t="array" ref="J742">INDEX(stable[is_localized],MATCH(VALUE(questions[[#This Row],[qno]]),VALUE(stable[qno]),0))</f>
        <v>0</v>
      </c>
      <c r="K742" s="33" t="b" cm="1">
        <f t="array" ref="K742">INDEX(stable[is_supply_chain_dependent],MATCH(VALUE(questions[[#This Row],[qno]]),VALUE(stable[qno]),0))</f>
        <v>0</v>
      </c>
      <c r="L742" s="33" t="b" cm="1">
        <f t="array" ref="L742">INDEX(stable[is_mandatory],MATCH(VALUE(questions[[#This Row],[qno]]),VALUE(stable[qno]),0))</f>
        <v>1</v>
      </c>
      <c r="M742" s="33" t="b" cm="1">
        <f t="array" ref="M742">INDEX(stable[is_automated],MATCH(VALUE(questions[[#This Row],[qno]]),VALUE(stable[qno]),0))</f>
        <v>0</v>
      </c>
      <c r="N742" s="33" t="b" cm="1">
        <f t="array" ref="N742">INDEX(stable[is_free_text],MATCH(VALUE(questions[[#This Row],[qno]]),VALUE(stable[qno]),0))</f>
        <v>0</v>
      </c>
      <c r="O742" s="33" t="b" cm="1">
        <f t="array" ref="O742">INDEX(stable[is_numerical],MATCH(VALUE(questions[[#This Row],[qno]]),VALUE(stable[qno]),0))</f>
        <v>0</v>
      </c>
      <c r="P742" s="77" t="b" cm="1">
        <f t="array" ref="P742">INDEX(stable[is_single_select],MATCH(VALUE(questions[[#This Row],[qno]]),VALUE(stable[qno]),0))</f>
        <v>1</v>
      </c>
      <c r="Q742" s="77" t="b" cm="1">
        <f t="array" ref="Q742">INDEX(stable[is_multi_select],MATCH(VALUE(questions[[#This Row],[qno]]),VALUE(stable[qno]),0))</f>
        <v>0</v>
      </c>
      <c r="R742" s="77" t="b" cm="1">
        <f t="array" ref="R742">INDEX(stable[is_skip_logic],MATCH(VALUE(questions[[#This Row],[qno]]),VALUE(stable[qno]),0))</f>
        <v>1</v>
      </c>
      <c r="S742" s="77" t="str">
        <f>_xlfn.TEXTJOIN(", ",TRUE,questions[[#This Row],[ans_opt_1]:[ans_opt_14]])</f>
        <v>Yes, No</v>
      </c>
      <c r="T742" s="77" t="s">
        <v>149</v>
      </c>
      <c r="U742" s="77" t="s">
        <v>119</v>
      </c>
      <c r="AH742" s="98" t="b">
        <f>INDEX(stable[q_standard],MATCH(questions[[#This Row],[qno]],stable[qno],0))</f>
        <v>0</v>
      </c>
      <c r="AI742" s="98" t="b">
        <f>INDEX(stable[q_living_income],MATCH(questions[[#This Row],[qno]],stable[qno],0))</f>
        <v>1</v>
      </c>
      <c r="AJ742" s="98" t="b">
        <f>INDEX(stable[q_carbon],MATCH(questions[[#This Row],[qno]],stable[qno],0))</f>
        <v>0</v>
      </c>
      <c r="AK742" s="98" t="b">
        <f>INDEX(stable[q_regen_ag],MATCH(questions[[#This Row],[qno]],stable[qno],0))</f>
        <v>0</v>
      </c>
      <c r="AL742" s="98" t="b">
        <f>COUNTIFS(stable[qno],questions[[#This Row],[qno]])=1</f>
        <v>1</v>
      </c>
      <c r="AM742" s="98" t="b">
        <f>OR(questions[[#This Row],[is_fixed]],questions[[#This Row],[is_localized]],questions[[#This Row],[is_supply_chain_dependent]])</f>
        <v>1</v>
      </c>
      <c r="AN742" s="98" t="b">
        <f>COUNTIFS(questions[[#This Row],[is_automated]:[is_multi_select]],TRUE)=1</f>
        <v>1</v>
      </c>
      <c r="AO742" s="98" t="b">
        <f>IF(questions[[#This Row],[is_fixed]],questions[[#This Row],[question]]=INDEX(stable[question],MATCH(questions[[#This Row],[qno]],stable[qno],0)),TRUE)</f>
        <v>0</v>
      </c>
      <c r="AP742" s="98" t="str">
        <f>LEFT(questions[[#This Row],[question]],similarity_range)</f>
        <v>Did you use any mone</v>
      </c>
      <c r="AQ742" s="98" t="str">
        <f>LEFT(INDEX(stable[question],MATCH(questions[[#This Row],[qno]],stable[qno],0)),similarity_range)</f>
        <v>Did you use any mone</v>
      </c>
      <c r="AR742" s="98" t="b">
        <f>questions[[#This Row],[question_first_characters]]=questions[[#This Row],[stability_first_characters]]</f>
        <v>1</v>
      </c>
      <c r="AS742" s="98" t="b">
        <f>IF(OR(questions[[#This Row],[is_single_select]],questions[[#This Row],[is_multi_select]]),NOT(ISBLANK(questions[[#This Row],[answer_opt_combined]])),TRUE)</f>
        <v>1</v>
      </c>
    </row>
    <row r="743" spans="1:45" ht="15.75" customHeight="1" x14ac:dyDescent="0.25">
      <c r="A743" s="33" t="str">
        <f>_xlfn.TEXTJOIN("_",TRUE,questions[[#This Row],[origin]:[qno]])</f>
        <v>Kenya_Arabica_Nestle_2024_6101</v>
      </c>
      <c r="B743" s="33" t="s">
        <v>818</v>
      </c>
      <c r="C743" s="33" t="s">
        <v>59</v>
      </c>
      <c r="D743" s="33" t="s">
        <v>819</v>
      </c>
      <c r="E743" s="33">
        <v>2024</v>
      </c>
      <c r="F743" s="41" t="s">
        <v>258</v>
      </c>
      <c r="G743" s="18" t="s">
        <v>259</v>
      </c>
      <c r="H743" s="33" t="str" cm="1">
        <f t="array" ref="H743">INDEX(stableR[question],MATCH(VALUE(questions[[#This Row],[qno]]),VALUE(stableR[qno]),0))</f>
        <v>What was the total amount of loans you borrowed last year (in your local currency)?</v>
      </c>
      <c r="I743" s="33" t="b" cm="1">
        <f t="array" ref="I743">INDEX(stable[is_fixed],MATCH(VALUE(questions[[#This Row],[qno]]),VALUE(stable[qno]),0))</f>
        <v>1</v>
      </c>
      <c r="J743" s="33" t="b" cm="1">
        <f t="array" ref="J743">INDEX(stable[is_localized],MATCH(VALUE(questions[[#This Row],[qno]]),VALUE(stable[qno]),0))</f>
        <v>0</v>
      </c>
      <c r="K743" s="33" t="b" cm="1">
        <f t="array" ref="K743">INDEX(stable[is_supply_chain_dependent],MATCH(VALUE(questions[[#This Row],[qno]]),VALUE(stable[qno]),0))</f>
        <v>0</v>
      </c>
      <c r="L743" s="33" t="b" cm="1">
        <f t="array" ref="L743">INDEX(stable[is_mandatory],MATCH(VALUE(questions[[#This Row],[qno]]),VALUE(stable[qno]),0))</f>
        <v>0</v>
      </c>
      <c r="M743" s="33" t="b" cm="1">
        <f t="array" ref="M743">INDEX(stable[is_automated],MATCH(VALUE(questions[[#This Row],[qno]]),VALUE(stable[qno]),0))</f>
        <v>0</v>
      </c>
      <c r="N743" s="33" t="b" cm="1">
        <f t="array" ref="N743">INDEX(stable[is_free_text],MATCH(VALUE(questions[[#This Row],[qno]]),VALUE(stable[qno]),0))</f>
        <v>0</v>
      </c>
      <c r="O743" s="33" t="b" cm="1">
        <f t="array" ref="O743">INDEX(stable[is_numerical],MATCH(VALUE(questions[[#This Row],[qno]]),VALUE(stable[qno]),0))</f>
        <v>0</v>
      </c>
      <c r="P743" s="33" t="b" cm="1">
        <f t="array" ref="P743">INDEX(stable[is_single_select],MATCH(VALUE(questions[[#This Row],[qno]]),VALUE(stable[qno]),0))</f>
        <v>0</v>
      </c>
      <c r="Q743" s="33" t="b" cm="1">
        <f t="array" ref="Q743">INDEX(stable[is_multi_select],MATCH(VALUE(questions[[#This Row],[qno]]),VALUE(stable[qno]),0))</f>
        <v>1</v>
      </c>
      <c r="R743" s="33" t="b" cm="1">
        <f t="array" ref="R743">INDEX(stable[is_skip_logic],MATCH(VALUE(questions[[#This Row],[qno]]),VALUE(stable[qno]),0))</f>
        <v>1</v>
      </c>
      <c r="S743" s="33" t="str">
        <f>_xlfn.TEXTJOIN(", ",TRUE,questions[[#This Row],[ans_opt_1]:[ans_opt_14]])</f>
        <v/>
      </c>
      <c r="T743" s="33"/>
      <c r="U743" s="33"/>
      <c r="V743" s="33"/>
      <c r="W743" s="33"/>
      <c r="X743" s="33"/>
      <c r="Y743" s="33"/>
      <c r="Z743" s="33"/>
      <c r="AA743" s="33"/>
      <c r="AB743" s="33"/>
      <c r="AC743" s="33"/>
      <c r="AD743" s="33"/>
      <c r="AE743" s="33"/>
      <c r="AF743" s="33"/>
      <c r="AG743" s="33"/>
      <c r="AH743" s="99" t="b">
        <f>INDEX(stable[q_standard],MATCH(questions[[#This Row],[qno]],stable[qno],0))</f>
        <v>0</v>
      </c>
      <c r="AI743" s="99" t="b">
        <f>INDEX(stable[q_living_income],MATCH(questions[[#This Row],[qno]],stable[qno],0))</f>
        <v>1</v>
      </c>
      <c r="AJ743" s="99" t="b">
        <f>INDEX(stable[q_carbon],MATCH(questions[[#This Row],[qno]],stable[qno],0))</f>
        <v>0</v>
      </c>
      <c r="AK743" s="99" t="b">
        <f>INDEX(stable[q_regen_ag],MATCH(questions[[#This Row],[qno]],stable[qno],0))</f>
        <v>0</v>
      </c>
      <c r="AL743" s="16" t="b">
        <f>COUNTIFS(stable[qno],questions[[#This Row],[qno]])=1</f>
        <v>1</v>
      </c>
      <c r="AM743" s="16" t="b">
        <f>OR(questions[[#This Row],[is_fixed]],questions[[#This Row],[is_localized]],questions[[#This Row],[is_supply_chain_dependent]])</f>
        <v>1</v>
      </c>
      <c r="AN743" s="16" t="b">
        <f>COUNTIFS(questions[[#This Row],[is_automated]:[is_multi_select]],TRUE)=1</f>
        <v>1</v>
      </c>
      <c r="AO743" s="16" t="b">
        <f>IF(questions[[#This Row],[is_fixed]],questions[[#This Row],[question]]=INDEX(stable[question],MATCH(questions[[#This Row],[qno]],stable[qno],0)),TRUE)</f>
        <v>1</v>
      </c>
      <c r="AP743" s="16" t="str">
        <f>LEFT(questions[[#This Row],[question]],similarity_range)</f>
        <v xml:space="preserve">If yes, how did you </v>
      </c>
      <c r="AQ743" s="16" t="str">
        <f>LEFT(INDEX(stable[question],MATCH(questions[[#This Row],[qno]],stable[qno],0)),similarity_range)</f>
        <v xml:space="preserve">If yes, how did you </v>
      </c>
      <c r="AR743" s="16" t="b">
        <f>questions[[#This Row],[question_first_characters]]=questions[[#This Row],[stability_first_characters]]</f>
        <v>1</v>
      </c>
      <c r="AS743" s="16" t="b">
        <f>IF(OR(questions[[#This Row],[is_single_select]],questions[[#This Row],[is_multi_select]]),NOT(ISBLANK(questions[[#This Row],[answer_opt_combined]])),TRUE)</f>
        <v>1</v>
      </c>
    </row>
    <row r="744" spans="1:45" ht="15.75" customHeight="1" x14ac:dyDescent="0.25">
      <c r="A744" s="33" t="str">
        <f>_xlfn.TEXTJOIN("_",TRUE,questions[[#This Row],[origin]:[qno]])</f>
        <v>Kenya_Arabica_Nestle_2024_6102</v>
      </c>
      <c r="B744" s="33" t="s">
        <v>818</v>
      </c>
      <c r="C744" s="33" t="s">
        <v>59</v>
      </c>
      <c r="D744" s="33" t="s">
        <v>819</v>
      </c>
      <c r="E744" s="33">
        <v>2024</v>
      </c>
      <c r="F744" s="41" t="s">
        <v>260</v>
      </c>
      <c r="G744" s="18" t="s">
        <v>588</v>
      </c>
      <c r="H744" s="33" t="str" cm="1">
        <f t="array" ref="H744">INDEX(stableR[question],MATCH(VALUE(questions[[#This Row],[qno]]),VALUE(stableR[qno]),0))</f>
        <v>How did you have to pay for this? (in cash or in cherries? Please explain)</v>
      </c>
      <c r="I744" s="33" t="b" cm="1">
        <f t="array" ref="I744">INDEX(stable[is_fixed],MATCH(VALUE(questions[[#This Row],[qno]]),VALUE(stable[qno]),0))</f>
        <v>0</v>
      </c>
      <c r="J744" s="33" t="b" cm="1">
        <f t="array" ref="J744">INDEX(stable[is_localized],MATCH(VALUE(questions[[#This Row],[qno]]),VALUE(stable[qno]),0))</f>
        <v>1</v>
      </c>
      <c r="K744" s="33" t="b" cm="1">
        <f t="array" ref="K744">INDEX(stable[is_supply_chain_dependent],MATCH(VALUE(questions[[#This Row],[qno]]),VALUE(stable[qno]),0))</f>
        <v>0</v>
      </c>
      <c r="L744" s="33" t="b" cm="1">
        <f t="array" ref="L744">INDEX(stable[is_mandatory],MATCH(VALUE(questions[[#This Row],[qno]]),VALUE(stable[qno]),0))</f>
        <v>0</v>
      </c>
      <c r="M744" s="33" t="b" cm="1">
        <f t="array" ref="M744">INDEX(stable[is_automated],MATCH(VALUE(questions[[#This Row],[qno]]),VALUE(stable[qno]),0))</f>
        <v>0</v>
      </c>
      <c r="N744" s="33" t="b" cm="1">
        <f t="array" ref="N744">INDEX(stable[is_free_text],MATCH(VALUE(questions[[#This Row],[qno]]),VALUE(stable[qno]),0))</f>
        <v>0</v>
      </c>
      <c r="O744" s="33" t="b" cm="1">
        <f t="array" ref="O744">INDEX(stable[is_numerical],MATCH(VALUE(questions[[#This Row],[qno]]),VALUE(stable[qno]),0))</f>
        <v>1</v>
      </c>
      <c r="P744" s="33" t="b" cm="1">
        <f t="array" ref="P744">INDEX(stable[is_single_select],MATCH(VALUE(questions[[#This Row],[qno]]),VALUE(stable[qno]),0))</f>
        <v>0</v>
      </c>
      <c r="Q744" s="33" t="b" cm="1">
        <f t="array" ref="Q744">INDEX(stable[is_multi_select],MATCH(VALUE(questions[[#This Row],[qno]]),VALUE(stable[qno]),0))</f>
        <v>0</v>
      </c>
      <c r="R744" s="33" t="b" cm="1">
        <f t="array" ref="R744">INDEX(stable[is_skip_logic],MATCH(VALUE(questions[[#This Row],[qno]]),VALUE(stable[qno]),0))</f>
        <v>1</v>
      </c>
      <c r="S744" s="33" t="str">
        <f>_xlfn.TEXTJOIN(", ",TRUE,questions[[#This Row],[ans_opt_1]:[ans_opt_14]])</f>
        <v/>
      </c>
      <c r="T744" s="33"/>
      <c r="U744" s="33"/>
      <c r="V744" s="33"/>
      <c r="W744" s="33"/>
      <c r="X744" s="33"/>
      <c r="Y744" s="33"/>
      <c r="Z744" s="33"/>
      <c r="AA744" s="33"/>
      <c r="AB744" s="33"/>
      <c r="AC744" s="33"/>
      <c r="AD744" s="33"/>
      <c r="AE744" s="33"/>
      <c r="AF744" s="33"/>
      <c r="AG744" s="33"/>
      <c r="AH744" s="99" t="b">
        <f>INDEX(stable[q_standard],MATCH(questions[[#This Row],[qno]],stable[qno],0))</f>
        <v>0</v>
      </c>
      <c r="AI744" s="99" t="b">
        <f>INDEX(stable[q_living_income],MATCH(questions[[#This Row],[qno]],stable[qno],0))</f>
        <v>1</v>
      </c>
      <c r="AJ744" s="99" t="b">
        <f>INDEX(stable[q_carbon],MATCH(questions[[#This Row],[qno]],stable[qno],0))</f>
        <v>0</v>
      </c>
      <c r="AK744" s="99" t="b">
        <f>INDEX(stable[q_regen_ag],MATCH(questions[[#This Row],[qno]],stable[qno],0))</f>
        <v>0</v>
      </c>
      <c r="AL744" s="16" t="b">
        <f>COUNTIFS(stable[qno],questions[[#This Row],[qno]])=1</f>
        <v>1</v>
      </c>
      <c r="AM744" s="16" t="b">
        <f>OR(questions[[#This Row],[is_fixed]],questions[[#This Row],[is_localized]],questions[[#This Row],[is_supply_chain_dependent]])</f>
        <v>1</v>
      </c>
      <c r="AN744" s="16" t="b">
        <f>COUNTIFS(questions[[#This Row],[is_automated]:[is_multi_select]],TRUE)=1</f>
        <v>1</v>
      </c>
      <c r="AO744" s="16" t="b">
        <f>IF(questions[[#This Row],[is_fixed]],questions[[#This Row],[question]]=INDEX(stable[question],MATCH(questions[[#This Row],[qno]],stable[qno],0)),TRUE)</f>
        <v>1</v>
      </c>
      <c r="AP744" s="16" t="str">
        <f>LEFT(questions[[#This Row],[question]],similarity_range)</f>
        <v>If yes, can you esti</v>
      </c>
      <c r="AQ744" s="16" t="str">
        <f>LEFT(INDEX(stable[question],MATCH(questions[[#This Row],[qno]],stable[qno],0)),similarity_range)</f>
        <v>If yes, can you esti</v>
      </c>
      <c r="AR744" s="16" t="b">
        <f>questions[[#This Row],[question_first_characters]]=questions[[#This Row],[stability_first_characters]]</f>
        <v>1</v>
      </c>
      <c r="AS744" s="16" t="b">
        <f>IF(OR(questions[[#This Row],[is_single_select]],questions[[#This Row],[is_multi_select]]),NOT(ISBLANK(questions[[#This Row],[answer_opt_combined]])),TRUE)</f>
        <v>1</v>
      </c>
    </row>
    <row r="745" spans="1:45" ht="15.75" customHeight="1" x14ac:dyDescent="0.25">
      <c r="A745" s="33" t="str">
        <f>_xlfn.TEXTJOIN("_",TRUE,questions[[#This Row],[origin]:[qno]])</f>
        <v>Kenya_Arabica_Nestle_2024_6103</v>
      </c>
      <c r="B745" s="33" t="s">
        <v>818</v>
      </c>
      <c r="C745" s="33" t="s">
        <v>59</v>
      </c>
      <c r="D745" s="33" t="s">
        <v>819</v>
      </c>
      <c r="E745" s="33">
        <v>2024</v>
      </c>
      <c r="F745" s="41" t="s">
        <v>262</v>
      </c>
      <c r="G745" s="18" t="s">
        <v>852</v>
      </c>
      <c r="H745" s="33" t="str" cm="1">
        <f t="array" ref="H745">INDEX(stableR[question],MATCH(VALUE(questions[[#This Row],[qno]]),VALUE(stableR[qno]),0))</f>
        <v>Can you estimate how much you had to repay, in total, for the loan last year, including interest (in local currency)</v>
      </c>
      <c r="I745" s="33" t="b" cm="1">
        <f t="array" ref="I745">INDEX(stable[is_fixed],MATCH(VALUE(questions[[#This Row],[qno]]),VALUE(stable[qno]),0))</f>
        <v>0</v>
      </c>
      <c r="J745" s="33" t="b" cm="1">
        <f t="array" ref="J745">INDEX(stable[is_localized],MATCH(VALUE(questions[[#This Row],[qno]]),VALUE(stable[qno]),0))</f>
        <v>1</v>
      </c>
      <c r="K745" s="33" t="b" cm="1">
        <f t="array" ref="K745">INDEX(stable[is_supply_chain_dependent],MATCH(VALUE(questions[[#This Row],[qno]]),VALUE(stable[qno]),0))</f>
        <v>0</v>
      </c>
      <c r="L745" s="33" t="b" cm="1">
        <f t="array" ref="L745">INDEX(stable[is_mandatory],MATCH(VALUE(questions[[#This Row],[qno]]),VALUE(stable[qno]),0))</f>
        <v>0</v>
      </c>
      <c r="M745" s="33" t="b" cm="1">
        <f t="array" ref="M745">INDEX(stable[is_automated],MATCH(VALUE(questions[[#This Row],[qno]]),VALUE(stable[qno]),0))</f>
        <v>0</v>
      </c>
      <c r="N745" s="33" t="b" cm="1">
        <f t="array" ref="N745">INDEX(stable[is_free_text],MATCH(VALUE(questions[[#This Row],[qno]]),VALUE(stable[qno]),0))</f>
        <v>0</v>
      </c>
      <c r="O745" s="33" t="b" cm="1">
        <f t="array" ref="O745">INDEX(stable[is_numerical],MATCH(VALUE(questions[[#This Row],[qno]]),VALUE(stable[qno]),0))</f>
        <v>1</v>
      </c>
      <c r="P745" s="33" t="b" cm="1">
        <f t="array" ref="P745">INDEX(stable[is_single_select],MATCH(VALUE(questions[[#This Row],[qno]]),VALUE(stable[qno]),0))</f>
        <v>0</v>
      </c>
      <c r="Q745" s="33" t="b" cm="1">
        <f t="array" ref="Q745">INDEX(stable[is_multi_select],MATCH(VALUE(questions[[#This Row],[qno]]),VALUE(stable[qno]),0))</f>
        <v>0</v>
      </c>
      <c r="R745" s="33" t="b" cm="1">
        <f t="array" ref="R745">INDEX(stable[is_skip_logic],MATCH(VALUE(questions[[#This Row],[qno]]),VALUE(stable[qno]),0))</f>
        <v>1</v>
      </c>
      <c r="S745" s="33" t="str">
        <f>_xlfn.TEXTJOIN(", ",TRUE,questions[[#This Row],[ans_opt_1]:[ans_opt_14]])</f>
        <v/>
      </c>
      <c r="T745" s="33"/>
      <c r="U745" s="33"/>
      <c r="V745" s="33"/>
      <c r="W745" s="33"/>
      <c r="X745" s="33"/>
      <c r="Y745" s="33"/>
      <c r="Z745" s="33"/>
      <c r="AA745" s="33"/>
      <c r="AB745" s="33"/>
      <c r="AC745" s="33"/>
      <c r="AD745" s="33"/>
      <c r="AE745" s="33"/>
      <c r="AF745" s="33"/>
      <c r="AG745" s="33"/>
      <c r="AH745" s="99" t="b">
        <f>INDEX(stable[q_standard],MATCH(questions[[#This Row],[qno]],stable[qno],0))</f>
        <v>0</v>
      </c>
      <c r="AI745" s="99" t="b">
        <f>INDEX(stable[q_living_income],MATCH(questions[[#This Row],[qno]],stable[qno],0))</f>
        <v>1</v>
      </c>
      <c r="AJ745" s="99" t="b">
        <f>INDEX(stable[q_carbon],MATCH(questions[[#This Row],[qno]],stable[qno],0))</f>
        <v>0</v>
      </c>
      <c r="AK745" s="99" t="b">
        <f>INDEX(stable[q_regen_ag],MATCH(questions[[#This Row],[qno]],stable[qno],0))</f>
        <v>0</v>
      </c>
      <c r="AL745" s="16" t="b">
        <f>COUNTIFS(stable[qno],questions[[#This Row],[qno]])=1</f>
        <v>1</v>
      </c>
      <c r="AM745" s="16" t="b">
        <f>OR(questions[[#This Row],[is_fixed]],questions[[#This Row],[is_localized]],questions[[#This Row],[is_supply_chain_dependent]])</f>
        <v>1</v>
      </c>
      <c r="AN745" s="16" t="b">
        <f>COUNTIFS(questions[[#This Row],[is_automated]:[is_multi_select]],TRUE)=1</f>
        <v>1</v>
      </c>
      <c r="AO745" s="16" t="b">
        <f>IF(questions[[#This Row],[is_fixed]],questions[[#This Row],[question]]=INDEX(stable[question],MATCH(questions[[#This Row],[qno]],stable[qno],0)),TRUE)</f>
        <v>1</v>
      </c>
      <c r="AP745" s="16" t="str">
        <f>LEFT(questions[[#This Row],[question]],similarity_range)</f>
        <v>If yes, can you esti</v>
      </c>
      <c r="AQ745" s="16" t="str">
        <f>LEFT(INDEX(stable[question],MATCH(questions[[#This Row],[qno]],stable[qno],0)),similarity_range)</f>
        <v>If yes, can you esti</v>
      </c>
      <c r="AR745" s="16" t="b">
        <f>questions[[#This Row],[question_first_characters]]=questions[[#This Row],[stability_first_characters]]</f>
        <v>1</v>
      </c>
      <c r="AS745" s="16" t="b">
        <f>IF(OR(questions[[#This Row],[is_single_select]],questions[[#This Row],[is_multi_select]]),NOT(ISBLANK(questions[[#This Row],[answer_opt_combined]])),TRUE)</f>
        <v>1</v>
      </c>
    </row>
    <row r="746" spans="1:45" s="77" customFormat="1" ht="15.75" customHeight="1" x14ac:dyDescent="0.25">
      <c r="A746" s="77" t="str">
        <f>_xlfn.TEXTJOIN("_",TRUE,questions[[#This Row],[origin]:[qno]])</f>
        <v>Kenya_Arabica_Nestle_2024_6300</v>
      </c>
      <c r="B746" s="77" t="s">
        <v>818</v>
      </c>
      <c r="C746" s="77" t="s">
        <v>59</v>
      </c>
      <c r="D746" s="77" t="s">
        <v>819</v>
      </c>
      <c r="E746" s="77">
        <v>2024</v>
      </c>
      <c r="F746" s="105" t="s">
        <v>268</v>
      </c>
      <c r="G746" s="77" t="str">
        <f>INDEX(stable[question],MATCH(questions[[#This Row],[qno]],stable[qno],0))</f>
        <v>Did you buy coffee seedlings last year?</v>
      </c>
      <c r="H746" s="33" t="str" cm="1">
        <f t="array" ref="H746">INDEX(stableR[question],MATCH(VALUE(questions[[#This Row],[qno]]),VALUE(stableR[qno]),0))</f>
        <v>Did you buy coffee seedlings last year?</v>
      </c>
      <c r="I746" s="33" t="b" cm="1">
        <f t="array" ref="I746">INDEX(stable[is_fixed],MATCH(VALUE(questions[[#This Row],[qno]]),VALUE(stable[qno]),0))</f>
        <v>1</v>
      </c>
      <c r="J746" s="33" t="b" cm="1">
        <f t="array" ref="J746">INDEX(stable[is_localized],MATCH(VALUE(questions[[#This Row],[qno]]),VALUE(stable[qno]),0))</f>
        <v>0</v>
      </c>
      <c r="K746" s="33" t="b" cm="1">
        <f t="array" ref="K746">INDEX(stable[is_supply_chain_dependent],MATCH(VALUE(questions[[#This Row],[qno]]),VALUE(stable[qno]),0))</f>
        <v>0</v>
      </c>
      <c r="L746" s="33" t="b" cm="1">
        <f t="array" ref="L746">INDEX(stable[is_mandatory],MATCH(VALUE(questions[[#This Row],[qno]]),VALUE(stable[qno]),0))</f>
        <v>1</v>
      </c>
      <c r="M746" s="33" t="b" cm="1">
        <f t="array" ref="M746">INDEX(stable[is_automated],MATCH(VALUE(questions[[#This Row],[qno]]),VALUE(stable[qno]),0))</f>
        <v>0</v>
      </c>
      <c r="N746" s="33" t="b" cm="1">
        <f t="array" ref="N746">INDEX(stable[is_free_text],MATCH(VALUE(questions[[#This Row],[qno]]),VALUE(stable[qno]),0))</f>
        <v>0</v>
      </c>
      <c r="O746" s="33" t="b" cm="1">
        <f t="array" ref="O746">INDEX(stable[is_numerical],MATCH(VALUE(questions[[#This Row],[qno]]),VALUE(stable[qno]),0))</f>
        <v>0</v>
      </c>
      <c r="P746" s="77" t="b" cm="1">
        <f t="array" ref="P746">INDEX(stable[is_single_select],MATCH(VALUE(questions[[#This Row],[qno]]),VALUE(stable[qno]),0))</f>
        <v>1</v>
      </c>
      <c r="Q746" s="77" t="b" cm="1">
        <f t="array" ref="Q746">INDEX(stable[is_multi_select],MATCH(VALUE(questions[[#This Row],[qno]]),VALUE(stable[qno]),0))</f>
        <v>0</v>
      </c>
      <c r="R746" s="77" t="b" cm="1">
        <f t="array" ref="R746">INDEX(stable[is_skip_logic],MATCH(VALUE(questions[[#This Row],[qno]]),VALUE(stable[qno]),0))</f>
        <v>1</v>
      </c>
      <c r="S746" s="77" t="str">
        <f>_xlfn.TEXTJOIN(", ",TRUE,questions[[#This Row],[ans_opt_1]:[ans_opt_14]])</f>
        <v>No, Yes, mainly bought, Yes, mainly received for free</v>
      </c>
      <c r="T746" s="77" t="s">
        <v>119</v>
      </c>
      <c r="U746" s="77" t="s">
        <v>781</v>
      </c>
      <c r="V746" s="77" t="s">
        <v>782</v>
      </c>
      <c r="AH746" s="98" t="b">
        <f>INDEX(stable[q_standard],MATCH(questions[[#This Row],[qno]],stable[qno],0))</f>
        <v>0</v>
      </c>
      <c r="AI746" s="98" t="b">
        <f>INDEX(stable[q_living_income],MATCH(questions[[#This Row],[qno]],stable[qno],0))</f>
        <v>1</v>
      </c>
      <c r="AJ746" s="98" t="b">
        <f>INDEX(stable[q_carbon],MATCH(questions[[#This Row],[qno]],stable[qno],0))</f>
        <v>0</v>
      </c>
      <c r="AK746" s="98" t="b">
        <f>INDEX(stable[q_regen_ag],MATCH(questions[[#This Row],[qno]],stable[qno],0))</f>
        <v>0</v>
      </c>
      <c r="AL746" s="98" t="b">
        <f>COUNTIFS(stable[qno],questions[[#This Row],[qno]])=1</f>
        <v>1</v>
      </c>
      <c r="AM746" s="98" t="b">
        <f>OR(questions[[#This Row],[is_fixed]],questions[[#This Row],[is_localized]],questions[[#This Row],[is_supply_chain_dependent]])</f>
        <v>1</v>
      </c>
      <c r="AN746" s="98" t="b">
        <f>COUNTIFS(questions[[#This Row],[is_automated]:[is_multi_select]],TRUE)=1</f>
        <v>1</v>
      </c>
      <c r="AO746" s="98" t="b">
        <f>IF(questions[[#This Row],[is_fixed]],questions[[#This Row],[question]]=INDEX(stable[question],MATCH(questions[[#This Row],[qno]],stable[qno],0)),TRUE)</f>
        <v>1</v>
      </c>
      <c r="AP746" s="98" t="str">
        <f>LEFT(questions[[#This Row],[question]],similarity_range)</f>
        <v>Did you buy coffee s</v>
      </c>
      <c r="AQ746" s="98" t="str">
        <f>LEFT(INDEX(stable[question],MATCH(questions[[#This Row],[qno]],stable[qno],0)),similarity_range)</f>
        <v>Did you buy coffee s</v>
      </c>
      <c r="AR746" s="98" t="b">
        <f>questions[[#This Row],[question_first_characters]]=questions[[#This Row],[stability_first_characters]]</f>
        <v>1</v>
      </c>
      <c r="AS746" s="98" t="b">
        <f>IF(OR(questions[[#This Row],[is_single_select]],questions[[#This Row],[is_multi_select]]),NOT(ISBLANK(questions[[#This Row],[answer_opt_combined]])),TRUE)</f>
        <v>1</v>
      </c>
    </row>
    <row r="747" spans="1:45" s="77" customFormat="1" ht="15.75" customHeight="1" x14ac:dyDescent="0.25">
      <c r="A747" s="77" t="str">
        <f>_xlfn.TEXTJOIN("_",TRUE,questions[[#This Row],[origin]:[qno]])</f>
        <v>Kenya_Arabica_Nestle_2024_6301</v>
      </c>
      <c r="B747" s="77" t="s">
        <v>818</v>
      </c>
      <c r="C747" s="77" t="s">
        <v>59</v>
      </c>
      <c r="D747" s="77" t="s">
        <v>819</v>
      </c>
      <c r="E747" s="77">
        <v>2024</v>
      </c>
      <c r="F747" s="105" t="s">
        <v>270</v>
      </c>
      <c r="G747" s="78" t="s">
        <v>853</v>
      </c>
      <c r="H747" s="33" t="str" cm="1">
        <f t="array" ref="H747">INDEX(stableR[question],MATCH(VALUE(questions[[#This Row],[qno]]),VALUE(stableR[qno]),0))</f>
        <v>What was the main type seedlings bought?</v>
      </c>
      <c r="I747" s="33" t="b" cm="1">
        <f t="array" ref="I747">INDEX(stable[is_fixed],MATCH(VALUE(questions[[#This Row],[qno]]),VALUE(stable[qno]),0))</f>
        <v>1</v>
      </c>
      <c r="J747" s="33" t="b" cm="1">
        <f t="array" ref="J747">INDEX(stable[is_localized],MATCH(VALUE(questions[[#This Row],[qno]]),VALUE(stable[qno]),0))</f>
        <v>0</v>
      </c>
      <c r="K747" s="33" t="b" cm="1">
        <f t="array" ref="K747">INDEX(stable[is_supply_chain_dependent],MATCH(VALUE(questions[[#This Row],[qno]]),VALUE(stable[qno]),0))</f>
        <v>0</v>
      </c>
      <c r="L747" s="33" t="b" cm="1">
        <f t="array" ref="L747">INDEX(stable[is_mandatory],MATCH(VALUE(questions[[#This Row],[qno]]),VALUE(stable[qno]),0))</f>
        <v>0</v>
      </c>
      <c r="M747" s="33" t="b" cm="1">
        <f t="array" ref="M747">INDEX(stable[is_automated],MATCH(VALUE(questions[[#This Row],[qno]]),VALUE(stable[qno]),0))</f>
        <v>0</v>
      </c>
      <c r="N747" s="33" t="b" cm="1">
        <f t="array" ref="N747">INDEX(stable[is_free_text],MATCH(VALUE(questions[[#This Row],[qno]]),VALUE(stable[qno]),0))</f>
        <v>0</v>
      </c>
      <c r="O747" s="33" t="b" cm="1">
        <f t="array" ref="O747">INDEX(stable[is_numerical],MATCH(VALUE(questions[[#This Row],[qno]]),VALUE(stable[qno]),0))</f>
        <v>0</v>
      </c>
      <c r="P747" s="77" t="b" cm="1">
        <f t="array" ref="P747">INDEX(stable[is_single_select],MATCH(VALUE(questions[[#This Row],[qno]]),VALUE(stable[qno]),0))</f>
        <v>1</v>
      </c>
      <c r="Q747" s="77" t="b" cm="1">
        <f t="array" ref="Q747">INDEX(stable[is_multi_select],MATCH(VALUE(questions[[#This Row],[qno]]),VALUE(stable[qno]),0))</f>
        <v>0</v>
      </c>
      <c r="R747" s="77" t="b" cm="1">
        <f t="array" ref="R747">INDEX(stable[is_skip_logic],MATCH(VALUE(questions[[#This Row],[qno]]),VALUE(stable[qno]),0))</f>
        <v>1</v>
      </c>
      <c r="S747" s="77" t="str">
        <f>_xlfn.TEXTJOIN(", ",TRUE,questions[[#This Row],[ans_opt_1]:[ans_opt_14]])</f>
        <v>SL28, SL34, K7, Ruiru 11, Batain, Other, NA</v>
      </c>
      <c r="T747" s="77" t="s">
        <v>603</v>
      </c>
      <c r="U747" s="77" t="s">
        <v>854</v>
      </c>
      <c r="V747" s="77" t="s">
        <v>855</v>
      </c>
      <c r="W747" s="77" t="s">
        <v>856</v>
      </c>
      <c r="X747" s="77" t="s">
        <v>857</v>
      </c>
      <c r="Y747" s="77" t="s">
        <v>112</v>
      </c>
      <c r="Z747" s="77" t="s">
        <v>251</v>
      </c>
      <c r="AH747" s="98" t="b">
        <f>INDEX(stable[q_standard],MATCH(questions[[#This Row],[qno]],stable[qno],0))</f>
        <v>0</v>
      </c>
      <c r="AI747" s="98" t="b">
        <f>INDEX(stable[q_living_income],MATCH(questions[[#This Row],[qno]],stable[qno],0))</f>
        <v>1</v>
      </c>
      <c r="AJ747" s="98" t="b">
        <f>INDEX(stable[q_carbon],MATCH(questions[[#This Row],[qno]],stable[qno],0))</f>
        <v>0</v>
      </c>
      <c r="AK747" s="98" t="b">
        <f>INDEX(stable[q_regen_ag],MATCH(questions[[#This Row],[qno]],stable[qno],0))</f>
        <v>0</v>
      </c>
      <c r="AL747" s="98" t="b">
        <f>COUNTIFS(stable[qno],questions[[#This Row],[qno]])=1</f>
        <v>1</v>
      </c>
      <c r="AM747" s="98" t="b">
        <f>OR(questions[[#This Row],[is_fixed]],questions[[#This Row],[is_localized]],questions[[#This Row],[is_supply_chain_dependent]])</f>
        <v>1</v>
      </c>
      <c r="AN747" s="98" t="b">
        <f>COUNTIFS(questions[[#This Row],[is_automated]:[is_multi_select]],TRUE)=1</f>
        <v>1</v>
      </c>
      <c r="AO747" s="98" t="b">
        <f>IF(questions[[#This Row],[is_fixed]],questions[[#This Row],[question]]=INDEX(stable[question],MATCH(questions[[#This Row],[qno]],stable[qno],0)),TRUE)</f>
        <v>0</v>
      </c>
      <c r="AP747" s="98" t="str">
        <f>LEFT(questions[[#This Row],[question]],similarity_range)</f>
        <v xml:space="preserve">If yes what was the </v>
      </c>
      <c r="AQ747" s="98" t="str">
        <f>LEFT(INDEX(stable[question],MATCH(questions[[#This Row],[qno]],stable[qno],0)),similarity_range)</f>
        <v xml:space="preserve">If yes what was the </v>
      </c>
      <c r="AR747" s="98" t="b">
        <f>questions[[#This Row],[question_first_characters]]=questions[[#This Row],[stability_first_characters]]</f>
        <v>1</v>
      </c>
      <c r="AS747" s="98" t="b">
        <f>IF(OR(questions[[#This Row],[is_single_select]],questions[[#This Row],[is_multi_select]]),NOT(ISBLANK(questions[[#This Row],[answer_opt_combined]])),TRUE)</f>
        <v>1</v>
      </c>
    </row>
    <row r="748" spans="1:45" ht="15.75" customHeight="1" x14ac:dyDescent="0.25">
      <c r="A748" s="33" t="str">
        <f>_xlfn.TEXTJOIN("_",TRUE,questions[[#This Row],[origin]:[qno]])</f>
        <v>Kenya_Arabica_Nestle_2024_6302</v>
      </c>
      <c r="B748" s="33" t="s">
        <v>818</v>
      </c>
      <c r="C748" s="33" t="s">
        <v>59</v>
      </c>
      <c r="D748" s="33" t="s">
        <v>819</v>
      </c>
      <c r="E748" s="33">
        <v>2024</v>
      </c>
      <c r="F748" s="41" t="s">
        <v>282</v>
      </c>
      <c r="G748" s="18" t="s">
        <v>283</v>
      </c>
      <c r="H748" s="33" t="str" cm="1">
        <f t="array" ref="H748">INDEX(stableR[question],MATCH(VALUE(questions[[#This Row],[qno]]),VALUE(stableR[qno]),0))</f>
        <v>How many seedlings did you buy last year?</v>
      </c>
      <c r="I748" s="33" t="b" cm="1">
        <f t="array" ref="I748">INDEX(stable[is_fixed],MATCH(VALUE(questions[[#This Row],[qno]]),VALUE(stable[qno]),0))</f>
        <v>1</v>
      </c>
      <c r="J748" s="33" t="b" cm="1">
        <f t="array" ref="J748">INDEX(stable[is_localized],MATCH(VALUE(questions[[#This Row],[qno]]),VALUE(stable[qno]),0))</f>
        <v>0</v>
      </c>
      <c r="K748" s="33" t="b" cm="1">
        <f t="array" ref="K748">INDEX(stable[is_supply_chain_dependent],MATCH(VALUE(questions[[#This Row],[qno]]),VALUE(stable[qno]),0))</f>
        <v>0</v>
      </c>
      <c r="L748" s="33" t="b" cm="1">
        <f t="array" ref="L748">INDEX(stable[is_mandatory],MATCH(VALUE(questions[[#This Row],[qno]]),VALUE(stable[qno]),0))</f>
        <v>0</v>
      </c>
      <c r="M748" s="33" t="b" cm="1">
        <f t="array" ref="M748">INDEX(stable[is_automated],MATCH(VALUE(questions[[#This Row],[qno]]),VALUE(stable[qno]),0))</f>
        <v>0</v>
      </c>
      <c r="N748" s="33" t="b" cm="1">
        <f t="array" ref="N748">INDEX(stable[is_free_text],MATCH(VALUE(questions[[#This Row],[qno]]),VALUE(stable[qno]),0))</f>
        <v>0</v>
      </c>
      <c r="O748" s="33" t="b" cm="1">
        <f t="array" ref="O748">INDEX(stable[is_numerical],MATCH(VALUE(questions[[#This Row],[qno]]),VALUE(stable[qno]),0))</f>
        <v>1</v>
      </c>
      <c r="P748" s="33" t="b" cm="1">
        <f t="array" ref="P748">INDEX(stable[is_single_select],MATCH(VALUE(questions[[#This Row],[qno]]),VALUE(stable[qno]),0))</f>
        <v>0</v>
      </c>
      <c r="Q748" s="33" t="b" cm="1">
        <f t="array" ref="Q748">INDEX(stable[is_multi_select],MATCH(VALUE(questions[[#This Row],[qno]]),VALUE(stable[qno]),0))</f>
        <v>0</v>
      </c>
      <c r="R748" s="33" t="b" cm="1">
        <f t="array" ref="R748">INDEX(stable[is_skip_logic],MATCH(VALUE(questions[[#This Row],[qno]]),VALUE(stable[qno]),0))</f>
        <v>1</v>
      </c>
      <c r="S748" s="33" t="str">
        <f>_xlfn.TEXTJOIN(", ",TRUE,questions[[#This Row],[ans_opt_1]:[ans_opt_14]])</f>
        <v/>
      </c>
      <c r="T748" s="33"/>
      <c r="U748" s="33"/>
      <c r="V748" s="33"/>
      <c r="W748" s="33"/>
      <c r="X748" s="33"/>
      <c r="Y748" s="33"/>
      <c r="Z748" s="33"/>
      <c r="AA748" s="33"/>
      <c r="AB748" s="33"/>
      <c r="AC748" s="33"/>
      <c r="AD748" s="33"/>
      <c r="AE748" s="33"/>
      <c r="AF748" s="33"/>
      <c r="AG748" s="33"/>
      <c r="AH748" s="99" t="b">
        <f>INDEX(stable[q_standard],MATCH(questions[[#This Row],[qno]],stable[qno],0))</f>
        <v>0</v>
      </c>
      <c r="AI748" s="99" t="b">
        <f>INDEX(stable[q_living_income],MATCH(questions[[#This Row],[qno]],stable[qno],0))</f>
        <v>1</v>
      </c>
      <c r="AJ748" s="99" t="b">
        <f>INDEX(stable[q_carbon],MATCH(questions[[#This Row],[qno]],stable[qno],0))</f>
        <v>0</v>
      </c>
      <c r="AK748" s="99" t="b">
        <f>INDEX(stable[q_regen_ag],MATCH(questions[[#This Row],[qno]],stable[qno],0))</f>
        <v>0</v>
      </c>
      <c r="AL748" s="16" t="b">
        <f>COUNTIFS(stable[qno],questions[[#This Row],[qno]])=1</f>
        <v>1</v>
      </c>
      <c r="AM748" s="16" t="b">
        <f>OR(questions[[#This Row],[is_fixed]],questions[[#This Row],[is_localized]],questions[[#This Row],[is_supply_chain_dependent]])</f>
        <v>1</v>
      </c>
      <c r="AN748" s="16" t="b">
        <f>COUNTIFS(questions[[#This Row],[is_automated]:[is_multi_select]],TRUE)=1</f>
        <v>1</v>
      </c>
      <c r="AO748" s="16" t="b">
        <f>IF(questions[[#This Row],[is_fixed]],questions[[#This Row],[question]]=INDEX(stable[question],MATCH(questions[[#This Row],[qno]],stable[qno],0)),TRUE)</f>
        <v>1</v>
      </c>
      <c r="AP748" s="16" t="str">
        <f>LEFT(questions[[#This Row],[question]],similarity_range)</f>
        <v>How many seedlings d</v>
      </c>
      <c r="AQ748" s="16" t="str">
        <f>LEFT(INDEX(stable[question],MATCH(questions[[#This Row],[qno]],stable[qno],0)),similarity_range)</f>
        <v>How many seedlings d</v>
      </c>
      <c r="AR748" s="16" t="b">
        <f>questions[[#This Row],[question_first_characters]]=questions[[#This Row],[stability_first_characters]]</f>
        <v>1</v>
      </c>
      <c r="AS748" s="16" t="b">
        <f>IF(OR(questions[[#This Row],[is_single_select]],questions[[#This Row],[is_multi_select]]),NOT(ISBLANK(questions[[#This Row],[answer_opt_combined]])),TRUE)</f>
        <v>1</v>
      </c>
    </row>
    <row r="749" spans="1:45" s="77" customFormat="1" ht="15.75" customHeight="1" x14ac:dyDescent="0.25">
      <c r="A749" s="77" t="str">
        <f>_xlfn.TEXTJOIN("_",TRUE,questions[[#This Row],[origin]:[qno]])</f>
        <v>Kenya_Arabica_Nestle_2024_6400</v>
      </c>
      <c r="B749" s="77" t="s">
        <v>818</v>
      </c>
      <c r="C749" s="77" t="s">
        <v>59</v>
      </c>
      <c r="D749" s="77" t="s">
        <v>819</v>
      </c>
      <c r="E749" s="77">
        <v>2024</v>
      </c>
      <c r="F749" s="105" t="s">
        <v>284</v>
      </c>
      <c r="G749" s="78" t="s">
        <v>858</v>
      </c>
      <c r="H749" s="33" t="str" cm="1">
        <f t="array" ref="H749">INDEX(stableR[question],MATCH(VALUE(questions[[#This Row],[qno]]),VALUE(stableR[qno]),0))</f>
        <v>Did you organize your own transport to the Sucafina coffee collection point where you delivered your coffee last year?</v>
      </c>
      <c r="I749" s="33" t="b" cm="1">
        <f t="array" ref="I749">INDEX(stable[is_fixed],MATCH(VALUE(questions[[#This Row],[qno]]),VALUE(stable[qno]),0))</f>
        <v>1</v>
      </c>
      <c r="J749" s="33" t="b" cm="1">
        <f t="array" ref="J749">INDEX(stable[is_localized],MATCH(VALUE(questions[[#This Row],[qno]]),VALUE(stable[qno]),0))</f>
        <v>0</v>
      </c>
      <c r="K749" s="33" t="b" cm="1">
        <f t="array" ref="K749">INDEX(stable[is_supply_chain_dependent],MATCH(VALUE(questions[[#This Row],[qno]]),VALUE(stable[qno]),0))</f>
        <v>0</v>
      </c>
      <c r="L749" s="33" t="b" cm="1">
        <f t="array" ref="L749">INDEX(stable[is_mandatory],MATCH(VALUE(questions[[#This Row],[qno]]),VALUE(stable[qno]),0))</f>
        <v>1</v>
      </c>
      <c r="M749" s="33" t="b" cm="1">
        <f t="array" ref="M749">INDEX(stable[is_automated],MATCH(VALUE(questions[[#This Row],[qno]]),VALUE(stable[qno]),0))</f>
        <v>0</v>
      </c>
      <c r="N749" s="33" t="b" cm="1">
        <f t="array" ref="N749">INDEX(stable[is_free_text],MATCH(VALUE(questions[[#This Row],[qno]]),VALUE(stable[qno]),0))</f>
        <v>0</v>
      </c>
      <c r="O749" s="33" t="b" cm="1">
        <f t="array" ref="O749">INDEX(stable[is_numerical],MATCH(VALUE(questions[[#This Row],[qno]]),VALUE(stable[qno]),0))</f>
        <v>0</v>
      </c>
      <c r="P749" s="77" t="b" cm="1">
        <f t="array" ref="P749">INDEX(stable[is_single_select],MATCH(VALUE(questions[[#This Row],[qno]]),VALUE(stable[qno]),0))</f>
        <v>1</v>
      </c>
      <c r="Q749" s="77" t="b" cm="1">
        <f t="array" ref="Q749">INDEX(stable[is_multi_select],MATCH(VALUE(questions[[#This Row],[qno]]),VALUE(stable[qno]),0))</f>
        <v>0</v>
      </c>
      <c r="R749" s="77" t="b" cm="1">
        <f t="array" ref="R749">INDEX(stable[is_skip_logic],MATCH(VALUE(questions[[#This Row],[qno]]),VALUE(stable[qno]),0))</f>
        <v>1</v>
      </c>
      <c r="S749" s="77" t="str">
        <f>_xlfn.TEXTJOIN(", ",TRUE,questions[[#This Row],[ans_opt_1]:[ans_opt_14]])</f>
        <v>Yes, No</v>
      </c>
      <c r="T749" s="77" t="s">
        <v>149</v>
      </c>
      <c r="U749" s="77" t="s">
        <v>119</v>
      </c>
      <c r="AH749" s="98" t="b">
        <f>INDEX(stable[q_standard],MATCH(questions[[#This Row],[qno]],stable[qno],0))</f>
        <v>0</v>
      </c>
      <c r="AI749" s="98" t="b">
        <f>INDEX(stable[q_living_income],MATCH(questions[[#This Row],[qno]],stable[qno],0))</f>
        <v>1</v>
      </c>
      <c r="AJ749" s="98" t="b">
        <f>INDEX(stable[q_carbon],MATCH(questions[[#This Row],[qno]],stable[qno],0))</f>
        <v>0</v>
      </c>
      <c r="AK749" s="98" t="b">
        <f>INDEX(stable[q_regen_ag],MATCH(questions[[#This Row],[qno]],stable[qno],0))</f>
        <v>0</v>
      </c>
      <c r="AL749" s="98" t="b">
        <f>COUNTIFS(stable[qno],questions[[#This Row],[qno]])=1</f>
        <v>1</v>
      </c>
      <c r="AM749" s="98" t="b">
        <f>OR(questions[[#This Row],[is_fixed]],questions[[#This Row],[is_localized]],questions[[#This Row],[is_supply_chain_dependent]])</f>
        <v>1</v>
      </c>
      <c r="AN749" s="98" t="b">
        <f>COUNTIFS(questions[[#This Row],[is_automated]:[is_multi_select]],TRUE)=1</f>
        <v>1</v>
      </c>
      <c r="AO749" s="98" t="b">
        <f>IF(questions[[#This Row],[is_fixed]],questions[[#This Row],[question]]=INDEX(stable[question],MATCH(questions[[#This Row],[qno]],stable[qno],0)),TRUE)</f>
        <v>0</v>
      </c>
      <c r="AP749" s="98" t="str">
        <f>LEFT(questions[[#This Row],[question]],similarity_range)</f>
        <v>Did you organize the</v>
      </c>
      <c r="AQ749" s="98" t="str">
        <f>LEFT(INDEX(stable[question],MATCH(questions[[#This Row],[qno]],stable[qno],0)),similarity_range)</f>
        <v>Did you organize the</v>
      </c>
      <c r="AR749" s="98" t="b">
        <f>questions[[#This Row],[question_first_characters]]=questions[[#This Row],[stability_first_characters]]</f>
        <v>1</v>
      </c>
      <c r="AS749" s="98" t="b">
        <f>IF(OR(questions[[#This Row],[is_single_select]],questions[[#This Row],[is_multi_select]]),NOT(ISBLANK(questions[[#This Row],[answer_opt_combined]])),TRUE)</f>
        <v>1</v>
      </c>
    </row>
    <row r="750" spans="1:45" ht="15.75" customHeight="1" x14ac:dyDescent="0.25">
      <c r="A750" s="33" t="str">
        <f>_xlfn.TEXTJOIN("_",TRUE,questions[[#This Row],[origin]:[qno]])</f>
        <v>Kenya_Arabica_Nestle_2024_6401</v>
      </c>
      <c r="B750" s="33" t="s">
        <v>818</v>
      </c>
      <c r="C750" s="33" t="s">
        <v>59</v>
      </c>
      <c r="D750" s="33" t="s">
        <v>819</v>
      </c>
      <c r="E750" s="33">
        <v>2024</v>
      </c>
      <c r="F750" s="41" t="s">
        <v>286</v>
      </c>
      <c r="G750" s="18" t="s">
        <v>859</v>
      </c>
      <c r="H750" s="33" t="str" cm="1">
        <f t="array" ref="H750">INDEX(stableR[question],MATCH(VALUE(questions[[#This Row],[qno]]),VALUE(stableR[qno]),0))</f>
        <v>How many trips did you need to make last year?</v>
      </c>
      <c r="I750" s="33" t="b" cm="1">
        <f t="array" ref="I750">INDEX(stable[is_fixed],MATCH(VALUE(questions[[#This Row],[qno]]),VALUE(stable[qno]),0))</f>
        <v>1</v>
      </c>
      <c r="J750" s="33" t="b" cm="1">
        <f t="array" ref="J750">INDEX(stable[is_localized],MATCH(VALUE(questions[[#This Row],[qno]]),VALUE(stable[qno]),0))</f>
        <v>0</v>
      </c>
      <c r="K750" s="33" t="b" cm="1">
        <f t="array" ref="K750">INDEX(stable[is_supply_chain_dependent],MATCH(VALUE(questions[[#This Row],[qno]]),VALUE(stable[qno]),0))</f>
        <v>0</v>
      </c>
      <c r="L750" s="33" t="b" cm="1">
        <f t="array" ref="L750">INDEX(stable[is_mandatory],MATCH(VALUE(questions[[#This Row],[qno]]),VALUE(stable[qno]),0))</f>
        <v>0</v>
      </c>
      <c r="M750" s="33" t="b" cm="1">
        <f t="array" ref="M750">INDEX(stable[is_automated],MATCH(VALUE(questions[[#This Row],[qno]]),VALUE(stable[qno]),0))</f>
        <v>0</v>
      </c>
      <c r="N750" s="33" t="b" cm="1">
        <f t="array" ref="N750">INDEX(stable[is_free_text],MATCH(VALUE(questions[[#This Row],[qno]]),VALUE(stable[qno]),0))</f>
        <v>0</v>
      </c>
      <c r="O750" s="33" t="b" cm="1">
        <f t="array" ref="O750">INDEX(stable[is_numerical],MATCH(VALUE(questions[[#This Row],[qno]]),VALUE(stable[qno]),0))</f>
        <v>1</v>
      </c>
      <c r="P750" s="33" t="b" cm="1">
        <f t="array" ref="P750">INDEX(stable[is_single_select],MATCH(VALUE(questions[[#This Row],[qno]]),VALUE(stable[qno]),0))</f>
        <v>0</v>
      </c>
      <c r="Q750" s="33" t="b" cm="1">
        <f t="array" ref="Q750">INDEX(stable[is_multi_select],MATCH(VALUE(questions[[#This Row],[qno]]),VALUE(stable[qno]),0))</f>
        <v>0</v>
      </c>
      <c r="R750" s="33" t="b" cm="1">
        <f t="array" ref="R750">INDEX(stable[is_skip_logic],MATCH(VALUE(questions[[#This Row],[qno]]),VALUE(stable[qno]),0))</f>
        <v>1</v>
      </c>
      <c r="S750" s="33" t="str">
        <f>_xlfn.TEXTJOIN(", ",TRUE,questions[[#This Row],[ans_opt_1]:[ans_opt_14]])</f>
        <v/>
      </c>
      <c r="T750" s="33"/>
      <c r="U750" s="33"/>
      <c r="V750" s="33"/>
      <c r="W750" s="33"/>
      <c r="X750" s="33"/>
      <c r="Y750" s="33"/>
      <c r="Z750" s="33"/>
      <c r="AA750" s="33"/>
      <c r="AB750" s="33"/>
      <c r="AC750" s="33"/>
      <c r="AD750" s="33"/>
      <c r="AE750" s="33"/>
      <c r="AF750" s="33"/>
      <c r="AG750" s="33"/>
      <c r="AH750" s="99" t="b">
        <f>INDEX(stable[q_standard],MATCH(questions[[#This Row],[qno]],stable[qno],0))</f>
        <v>0</v>
      </c>
      <c r="AI750" s="99" t="b">
        <f>INDEX(stable[q_living_income],MATCH(questions[[#This Row],[qno]],stable[qno],0))</f>
        <v>1</v>
      </c>
      <c r="AJ750" s="99" t="b">
        <f>INDEX(stable[q_carbon],MATCH(questions[[#This Row],[qno]],stable[qno],0))</f>
        <v>0</v>
      </c>
      <c r="AK750" s="99" t="b">
        <f>INDEX(stable[q_regen_ag],MATCH(questions[[#This Row],[qno]],stable[qno],0))</f>
        <v>0</v>
      </c>
      <c r="AL750" s="16" t="b">
        <f>COUNTIFS(stable[qno],questions[[#This Row],[qno]])=1</f>
        <v>1</v>
      </c>
      <c r="AM750" s="16" t="b">
        <f>OR(questions[[#This Row],[is_fixed]],questions[[#This Row],[is_localized]],questions[[#This Row],[is_supply_chain_dependent]])</f>
        <v>1</v>
      </c>
      <c r="AN750" s="16" t="b">
        <f>COUNTIFS(questions[[#This Row],[is_automated]:[is_multi_select]],TRUE)=1</f>
        <v>1</v>
      </c>
      <c r="AO750" s="16" t="b">
        <f>IF(questions[[#This Row],[is_fixed]],questions[[#This Row],[question]]=INDEX(stable[question],MATCH(questions[[#This Row],[qno]],stable[qno],0)),TRUE)</f>
        <v>1</v>
      </c>
      <c r="AP750" s="16" t="str">
        <f>LEFT(questions[[#This Row],[question]],similarity_range)</f>
        <v>If yes, how many tri</v>
      </c>
      <c r="AQ750" s="16" t="str">
        <f>LEFT(INDEX(stable[question],MATCH(questions[[#This Row],[qno]],stable[qno],0)),similarity_range)</f>
        <v>If yes, how many tri</v>
      </c>
      <c r="AR750" s="16" t="b">
        <f>questions[[#This Row],[question_first_characters]]=questions[[#This Row],[stability_first_characters]]</f>
        <v>1</v>
      </c>
      <c r="AS750" s="16" t="b">
        <f>IF(OR(questions[[#This Row],[is_single_select]],questions[[#This Row],[is_multi_select]]),NOT(ISBLANK(questions[[#This Row],[answer_opt_combined]])),TRUE)</f>
        <v>1</v>
      </c>
    </row>
    <row r="751" spans="1:45" ht="15.75" customHeight="1" x14ac:dyDescent="0.25">
      <c r="A751" s="33" t="str">
        <f>_xlfn.TEXTJOIN("_",TRUE,questions[[#This Row],[origin]:[qno]])</f>
        <v>Kenya_Arabica_Nestle_2024_6402</v>
      </c>
      <c r="B751" s="33" t="s">
        <v>818</v>
      </c>
      <c r="C751" s="33" t="s">
        <v>59</v>
      </c>
      <c r="D751" s="33" t="s">
        <v>819</v>
      </c>
      <c r="E751" s="33">
        <v>2024</v>
      </c>
      <c r="F751" s="41" t="s">
        <v>288</v>
      </c>
      <c r="G751" s="18" t="s">
        <v>860</v>
      </c>
      <c r="H751" s="33" t="str" cm="1">
        <f t="array" ref="H751">INDEX(stableR[question],MATCH(VALUE(questions[[#This Row],[qno]]),VALUE(stableR[qno]),0))</f>
        <v>What were the costs per trip (the costs you make your self, or what you pay to someone to do the transport for you)? (in local currency)</v>
      </c>
      <c r="I751" s="33" t="b" cm="1">
        <f t="array" ref="I751">INDEX(stable[is_fixed],MATCH(VALUE(questions[[#This Row],[qno]]),VALUE(stable[qno]),0))</f>
        <v>0</v>
      </c>
      <c r="J751" s="33" t="b" cm="1">
        <f t="array" ref="J751">INDEX(stable[is_localized],MATCH(VALUE(questions[[#This Row],[qno]]),VALUE(stable[qno]),0))</f>
        <v>1</v>
      </c>
      <c r="K751" s="33" t="b" cm="1">
        <f t="array" ref="K751">INDEX(stable[is_supply_chain_dependent],MATCH(VALUE(questions[[#This Row],[qno]]),VALUE(stable[qno]),0))</f>
        <v>0</v>
      </c>
      <c r="L751" s="33" t="b" cm="1">
        <f t="array" ref="L751">INDEX(stable[is_mandatory],MATCH(VALUE(questions[[#This Row],[qno]]),VALUE(stable[qno]),0))</f>
        <v>0</v>
      </c>
      <c r="M751" s="33" t="b" cm="1">
        <f t="array" ref="M751">INDEX(stable[is_automated],MATCH(VALUE(questions[[#This Row],[qno]]),VALUE(stable[qno]),0))</f>
        <v>0</v>
      </c>
      <c r="N751" s="33" t="b" cm="1">
        <f t="array" ref="N751">INDEX(stable[is_free_text],MATCH(VALUE(questions[[#This Row],[qno]]),VALUE(stable[qno]),0))</f>
        <v>0</v>
      </c>
      <c r="O751" s="33" t="b" cm="1">
        <f t="array" ref="O751">INDEX(stable[is_numerical],MATCH(VALUE(questions[[#This Row],[qno]]),VALUE(stable[qno]),0))</f>
        <v>1</v>
      </c>
      <c r="P751" s="33" t="b" cm="1">
        <f t="array" ref="P751">INDEX(stable[is_single_select],MATCH(VALUE(questions[[#This Row],[qno]]),VALUE(stable[qno]),0))</f>
        <v>0</v>
      </c>
      <c r="Q751" s="33" t="b" cm="1">
        <f t="array" ref="Q751">INDEX(stable[is_multi_select],MATCH(VALUE(questions[[#This Row],[qno]]),VALUE(stable[qno]),0))</f>
        <v>0</v>
      </c>
      <c r="R751" s="33" t="b" cm="1">
        <f t="array" ref="R751">INDEX(stable[is_skip_logic],MATCH(VALUE(questions[[#This Row],[qno]]),VALUE(stable[qno]),0))</f>
        <v>1</v>
      </c>
      <c r="S751" s="33" t="str">
        <f>_xlfn.TEXTJOIN(", ",TRUE,questions[[#This Row],[ans_opt_1]:[ans_opt_14]])</f>
        <v/>
      </c>
      <c r="T751" s="33"/>
      <c r="U751" s="33"/>
      <c r="V751" s="33"/>
      <c r="W751" s="33"/>
      <c r="X751" s="33"/>
      <c r="Y751" s="33"/>
      <c r="Z751" s="33"/>
      <c r="AA751" s="33"/>
      <c r="AB751" s="33"/>
      <c r="AC751" s="33"/>
      <c r="AD751" s="33"/>
      <c r="AE751" s="33"/>
      <c r="AF751" s="33"/>
      <c r="AG751" s="33"/>
      <c r="AH751" s="99" t="b">
        <f>INDEX(stable[q_standard],MATCH(questions[[#This Row],[qno]],stable[qno],0))</f>
        <v>0</v>
      </c>
      <c r="AI751" s="99" t="b">
        <f>INDEX(stable[q_living_income],MATCH(questions[[#This Row],[qno]],stable[qno],0))</f>
        <v>1</v>
      </c>
      <c r="AJ751" s="99" t="b">
        <f>INDEX(stable[q_carbon],MATCH(questions[[#This Row],[qno]],stable[qno],0))</f>
        <v>0</v>
      </c>
      <c r="AK751" s="99" t="b">
        <f>INDEX(stable[q_regen_ag],MATCH(questions[[#This Row],[qno]],stable[qno],0))</f>
        <v>0</v>
      </c>
      <c r="AL751" s="16" t="b">
        <f>COUNTIFS(stable[qno],questions[[#This Row],[qno]])=1</f>
        <v>1</v>
      </c>
      <c r="AM751" s="16" t="b">
        <f>OR(questions[[#This Row],[is_fixed]],questions[[#This Row],[is_localized]],questions[[#This Row],[is_supply_chain_dependent]])</f>
        <v>1</v>
      </c>
      <c r="AN751" s="16" t="b">
        <f>COUNTIFS(questions[[#This Row],[is_automated]:[is_multi_select]],TRUE)=1</f>
        <v>1</v>
      </c>
      <c r="AO751" s="16" t="b">
        <f>IF(questions[[#This Row],[is_fixed]],questions[[#This Row],[question]]=INDEX(stable[question],MATCH(questions[[#This Row],[qno]],stable[qno],0)),TRUE)</f>
        <v>1</v>
      </c>
      <c r="AP751" s="16" t="str">
        <f>LEFT(questions[[#This Row],[question]],similarity_range)</f>
        <v>If yes, in general w</v>
      </c>
      <c r="AQ751" s="16" t="str">
        <f>LEFT(INDEX(stable[question],MATCH(questions[[#This Row],[qno]],stable[qno],0)),similarity_range)</f>
        <v>If yes, in general w</v>
      </c>
      <c r="AR751" s="16" t="b">
        <f>questions[[#This Row],[question_first_characters]]=questions[[#This Row],[stability_first_characters]]</f>
        <v>1</v>
      </c>
      <c r="AS751" s="16" t="b">
        <f>IF(OR(questions[[#This Row],[is_single_select]],questions[[#This Row],[is_multi_select]]),NOT(ISBLANK(questions[[#This Row],[answer_opt_combined]])),TRUE)</f>
        <v>1</v>
      </c>
    </row>
    <row r="752" spans="1:45" s="77" customFormat="1" ht="15.75" customHeight="1" x14ac:dyDescent="0.25">
      <c r="A752" s="77" t="str">
        <f>_xlfn.TEXTJOIN("_",TRUE,questions[[#This Row],[origin]:[qno]])</f>
        <v>Kenya_Arabica_Nestle_2024_6500</v>
      </c>
      <c r="B752" s="77" t="s">
        <v>818</v>
      </c>
      <c r="C752" s="77" t="s">
        <v>59</v>
      </c>
      <c r="D752" s="77" t="s">
        <v>819</v>
      </c>
      <c r="E752" s="77">
        <v>2024</v>
      </c>
      <c r="F752" s="105" t="s">
        <v>290</v>
      </c>
      <c r="G752" s="78" t="s">
        <v>291</v>
      </c>
      <c r="H752" s="33" t="str" cm="1">
        <f t="array" ref="H752">INDEX(stableR[question],MATCH(VALUE(questions[[#This Row],[qno]]),VALUE(stableR[qno]),0))</f>
        <v>What are your sources of income for the total household, from the farm and off-farm?</v>
      </c>
      <c r="I752" s="33" t="b" cm="1">
        <f t="array" ref="I752">INDEX(stable[is_fixed],MATCH(VALUE(questions[[#This Row],[qno]]),VALUE(stable[qno]),0))</f>
        <v>1</v>
      </c>
      <c r="J752" s="33" t="b" cm="1">
        <f t="array" ref="J752">INDEX(stable[is_localized],MATCH(VALUE(questions[[#This Row],[qno]]),VALUE(stable[qno]),0))</f>
        <v>0</v>
      </c>
      <c r="K752" s="33" t="b" cm="1">
        <f t="array" ref="K752">INDEX(stable[is_supply_chain_dependent],MATCH(VALUE(questions[[#This Row],[qno]]),VALUE(stable[qno]),0))</f>
        <v>0</v>
      </c>
      <c r="L752" s="33" t="b" cm="1">
        <f t="array" ref="L752">INDEX(stable[is_mandatory],MATCH(VALUE(questions[[#This Row],[qno]]),VALUE(stable[qno]),0))</f>
        <v>1</v>
      </c>
      <c r="M752" s="33" t="b" cm="1">
        <f t="array" ref="M752">INDEX(stable[is_automated],MATCH(VALUE(questions[[#This Row],[qno]]),VALUE(stable[qno]),0))</f>
        <v>0</v>
      </c>
      <c r="N752" s="33" t="b" cm="1">
        <f t="array" ref="N752">INDEX(stable[is_free_text],MATCH(VALUE(questions[[#This Row],[qno]]),VALUE(stable[qno]),0))</f>
        <v>0</v>
      </c>
      <c r="O752" s="33" t="b" cm="1">
        <f t="array" ref="O752">INDEX(stable[is_numerical],MATCH(VALUE(questions[[#This Row],[qno]]),VALUE(stable[qno]),0))</f>
        <v>0</v>
      </c>
      <c r="P752" s="77" t="b" cm="1">
        <f t="array" ref="P752">INDEX(stable[is_single_select],MATCH(VALUE(questions[[#This Row],[qno]]),VALUE(stable[qno]),0))</f>
        <v>0</v>
      </c>
      <c r="Q752" s="77" t="b" cm="1">
        <f t="array" ref="Q752">INDEX(stable[is_multi_select],MATCH(VALUE(questions[[#This Row],[qno]]),VALUE(stable[qno]),0))</f>
        <v>1</v>
      </c>
      <c r="R752" s="77" t="b" cm="1">
        <f t="array" ref="R752">INDEX(stable[is_skip_logic],MATCH(VALUE(questions[[#This Row],[qno]]),VALUE(stable[qno]),0))</f>
        <v>1</v>
      </c>
      <c r="S752" s="77" t="str">
        <f>_xlfn.TEXTJOIN(", ",TRUE,questions[[#This Row],[ans_opt_1]:[ans_opt_14]])</f>
        <v>Coffee, Cropping, Livestock, Casual labor in agriculture, Casual labor off-farm, Other business, Salaried job, Pension, Remittances</v>
      </c>
      <c r="T752" s="77" t="s">
        <v>292</v>
      </c>
      <c r="U752" s="77" t="s">
        <v>293</v>
      </c>
      <c r="V752" s="77" t="s">
        <v>294</v>
      </c>
      <c r="W752" s="77" t="s">
        <v>295</v>
      </c>
      <c r="X752" s="77" t="s">
        <v>296</v>
      </c>
      <c r="Y752" s="77" t="s">
        <v>297</v>
      </c>
      <c r="Z752" s="77" t="s">
        <v>298</v>
      </c>
      <c r="AA752" s="77" t="s">
        <v>299</v>
      </c>
      <c r="AB752" s="77" t="s">
        <v>300</v>
      </c>
      <c r="AH752" s="98" t="b">
        <f>INDEX(stable[q_standard],MATCH(questions[[#This Row],[qno]],stable[qno],0))</f>
        <v>0</v>
      </c>
      <c r="AI752" s="98" t="b">
        <f>INDEX(stable[q_living_income],MATCH(questions[[#This Row],[qno]],stable[qno],0))</f>
        <v>1</v>
      </c>
      <c r="AJ752" s="98" t="b">
        <f>INDEX(stable[q_carbon],MATCH(questions[[#This Row],[qno]],stable[qno],0))</f>
        <v>0</v>
      </c>
      <c r="AK752" s="98" t="b">
        <f>INDEX(stable[q_regen_ag],MATCH(questions[[#This Row],[qno]],stable[qno],0))</f>
        <v>0</v>
      </c>
      <c r="AL752" s="98" t="b">
        <f>COUNTIFS(stable[qno],questions[[#This Row],[qno]])=1</f>
        <v>1</v>
      </c>
      <c r="AM752" s="98" t="b">
        <f>OR(questions[[#This Row],[is_fixed]],questions[[#This Row],[is_localized]],questions[[#This Row],[is_supply_chain_dependent]])</f>
        <v>1</v>
      </c>
      <c r="AN752" s="98" t="b">
        <f>COUNTIFS(questions[[#This Row],[is_automated]:[is_multi_select]],TRUE)=1</f>
        <v>1</v>
      </c>
      <c r="AO752" s="98" t="b">
        <f>IF(questions[[#This Row],[is_fixed]],questions[[#This Row],[question]]=INDEX(stable[question],MATCH(questions[[#This Row],[qno]],stable[qno],0)),TRUE)</f>
        <v>1</v>
      </c>
      <c r="AP752" s="98" t="str">
        <f>LEFT(questions[[#This Row],[question]],similarity_range)</f>
        <v>What are your source</v>
      </c>
      <c r="AQ752" s="98" t="str">
        <f>LEFT(INDEX(stable[question],MATCH(questions[[#This Row],[qno]],stable[qno],0)),similarity_range)</f>
        <v>What are your source</v>
      </c>
      <c r="AR752" s="98" t="b">
        <f>questions[[#This Row],[question_first_characters]]=questions[[#This Row],[stability_first_characters]]</f>
        <v>1</v>
      </c>
      <c r="AS752" s="98" t="b">
        <f>IF(OR(questions[[#This Row],[is_single_select]],questions[[#This Row],[is_multi_select]]),NOT(ISBLANK(questions[[#This Row],[answer_opt_combined]])),TRUE)</f>
        <v>1</v>
      </c>
    </row>
    <row r="753" spans="1:45" ht="15.75" customHeight="1" x14ac:dyDescent="0.25">
      <c r="A753" s="33" t="str">
        <f>_xlfn.TEXTJOIN("_",TRUE,questions[[#This Row],[origin]:[qno]])</f>
        <v>Kenya_Arabica_Nestle_2024_6501</v>
      </c>
      <c r="B753" s="33" t="s">
        <v>818</v>
      </c>
      <c r="C753" s="33" t="s">
        <v>59</v>
      </c>
      <c r="D753" s="33" t="s">
        <v>819</v>
      </c>
      <c r="E753" s="33">
        <v>2024</v>
      </c>
      <c r="F753" s="41" t="s">
        <v>301</v>
      </c>
      <c r="G753" s="18" t="s">
        <v>791</v>
      </c>
      <c r="H753" s="33" t="str" cm="1">
        <f t="array" ref="H753">INDEX(stableR[question],MATCH(VALUE(questions[[#This Row],[qno]]),VALUE(stableR[qno]),0))</f>
        <v>For each of the sources of income that you have, please estimate the importance in terms of income for last year, as compared to the total household income! (next questions)</v>
      </c>
      <c r="I753" s="33" t="b" cm="1">
        <f t="array" ref="I753">INDEX(stable[is_fixed],MATCH(VALUE(questions[[#This Row],[qno]]),VALUE(stable[qno]),0))</f>
        <v>1</v>
      </c>
      <c r="J753" s="33" t="b" cm="1">
        <f t="array" ref="J753">INDEX(stable[is_localized],MATCH(VALUE(questions[[#This Row],[qno]]),VALUE(stable[qno]),0))</f>
        <v>0</v>
      </c>
      <c r="K753" s="33" t="b" cm="1">
        <f t="array" ref="K753">INDEX(stable[is_supply_chain_dependent],MATCH(VALUE(questions[[#This Row],[qno]]),VALUE(stable[qno]),0))</f>
        <v>0</v>
      </c>
      <c r="L753" s="33" t="b" cm="1">
        <f t="array" ref="L753">INDEX(stable[is_mandatory],MATCH(VALUE(questions[[#This Row],[qno]]),VALUE(stable[qno]),0))</f>
        <v>1</v>
      </c>
      <c r="M753" s="33" t="b" cm="1">
        <f t="array" ref="M753">INDEX(stable[is_automated],MATCH(VALUE(questions[[#This Row],[qno]]),VALUE(stable[qno]),0))</f>
        <v>1</v>
      </c>
      <c r="N753" s="33" t="b" cm="1">
        <f t="array" ref="N753">INDEX(stable[is_free_text],MATCH(VALUE(questions[[#This Row],[qno]]),VALUE(stable[qno]),0))</f>
        <v>0</v>
      </c>
      <c r="O753" s="33" t="b" cm="1">
        <f t="array" ref="O753">INDEX(stable[is_numerical],MATCH(VALUE(questions[[#This Row],[qno]]),VALUE(stable[qno]),0))</f>
        <v>0</v>
      </c>
      <c r="P753" s="33" t="b" cm="1">
        <f t="array" ref="P753">INDEX(stable[is_single_select],MATCH(VALUE(questions[[#This Row],[qno]]),VALUE(stable[qno]),0))</f>
        <v>0</v>
      </c>
      <c r="Q753" s="33" t="b" cm="1">
        <f t="array" ref="Q753">INDEX(stable[is_multi_select],MATCH(VALUE(questions[[#This Row],[qno]]),VALUE(stable[qno]),0))</f>
        <v>0</v>
      </c>
      <c r="R753" s="33" t="b" cm="1">
        <f t="array" ref="R753">INDEX(stable[is_skip_logic],MATCH(VALUE(questions[[#This Row],[qno]]),VALUE(stable[qno]),0))</f>
        <v>0</v>
      </c>
      <c r="S753" s="33" t="str">
        <f>_xlfn.TEXTJOIN(", ",TRUE,questions[[#This Row],[ans_opt_1]:[ans_opt_14]])</f>
        <v/>
      </c>
      <c r="T753" s="33"/>
      <c r="U753" s="33"/>
      <c r="V753" s="33"/>
      <c r="W753" s="33"/>
      <c r="X753" s="33"/>
      <c r="Y753" s="33"/>
      <c r="Z753" s="33"/>
      <c r="AA753" s="33"/>
      <c r="AB753" s="33"/>
      <c r="AC753" s="33"/>
      <c r="AD753" s="33"/>
      <c r="AE753" s="33"/>
      <c r="AF753" s="33"/>
      <c r="AG753" s="33"/>
      <c r="AH753" s="99" t="b">
        <f>INDEX(stable[q_standard],MATCH(questions[[#This Row],[qno]],stable[qno],0))</f>
        <v>0</v>
      </c>
      <c r="AI753" s="99" t="b">
        <f>INDEX(stable[q_living_income],MATCH(questions[[#This Row],[qno]],stable[qno],0))</f>
        <v>1</v>
      </c>
      <c r="AJ753" s="99" t="b">
        <f>INDEX(stable[q_carbon],MATCH(questions[[#This Row],[qno]],stable[qno],0))</f>
        <v>0</v>
      </c>
      <c r="AK753" s="99" t="b">
        <f>INDEX(stable[q_regen_ag],MATCH(questions[[#This Row],[qno]],stable[qno],0))</f>
        <v>0</v>
      </c>
      <c r="AL753" s="16" t="b">
        <f>COUNTIFS(stable[qno],questions[[#This Row],[qno]])=1</f>
        <v>1</v>
      </c>
      <c r="AM753" s="16" t="b">
        <f>OR(questions[[#This Row],[is_fixed]],questions[[#This Row],[is_localized]],questions[[#This Row],[is_supply_chain_dependent]])</f>
        <v>1</v>
      </c>
      <c r="AN753" s="16" t="b">
        <f>COUNTIFS(questions[[#This Row],[is_automated]:[is_multi_select]],TRUE)=1</f>
        <v>1</v>
      </c>
      <c r="AO753" s="16" t="b">
        <f>IF(questions[[#This Row],[is_fixed]],questions[[#This Row],[question]]=INDEX(stable[question],MATCH(questions[[#This Row],[qno]],stable[qno],0)),TRUE)</f>
        <v>0</v>
      </c>
      <c r="AP753" s="16" t="str">
        <f>LEFT(questions[[#This Row],[question]],similarity_range)</f>
        <v>For each of the sour</v>
      </c>
      <c r="AQ753" s="16" t="str">
        <f>LEFT(INDEX(stable[question],MATCH(questions[[#This Row],[qno]],stable[qno],0)),similarity_range)</f>
        <v>For each of the sour</v>
      </c>
      <c r="AR753" s="16" t="b">
        <f>questions[[#This Row],[question_first_characters]]=questions[[#This Row],[stability_first_characters]]</f>
        <v>1</v>
      </c>
      <c r="AS753" s="16" t="b">
        <f>IF(OR(questions[[#This Row],[is_single_select]],questions[[#This Row],[is_multi_select]]),NOT(ISBLANK(questions[[#This Row],[answer_opt_combined]])),TRUE)</f>
        <v>1</v>
      </c>
    </row>
    <row r="754" spans="1:45" s="77" customFormat="1" ht="15.75" customHeight="1" x14ac:dyDescent="0.25">
      <c r="A754" s="77" t="str">
        <f>_xlfn.TEXTJOIN("_",TRUE,questions[[#This Row],[origin]:[qno]])</f>
        <v>Kenya_Arabica_Nestle_2024_6510</v>
      </c>
      <c r="B754" s="77" t="s">
        <v>818</v>
      </c>
      <c r="C754" s="77" t="s">
        <v>59</v>
      </c>
      <c r="D754" s="77" t="s">
        <v>819</v>
      </c>
      <c r="E754" s="77">
        <v>2024</v>
      </c>
      <c r="F754" s="105" t="s">
        <v>303</v>
      </c>
      <c r="G754" s="78" t="s">
        <v>304</v>
      </c>
      <c r="H754" s="33" t="str" cm="1">
        <f t="array" ref="H754">INDEX(stableR[question],MATCH(VALUE(questions[[#This Row],[qno]]),VALUE(stableR[qno]),0))</f>
        <v>Coffee, what was the estimated importance?</v>
      </c>
      <c r="I754" s="33" t="b" cm="1">
        <f t="array" ref="I754">INDEX(stable[is_fixed],MATCH(VALUE(questions[[#This Row],[qno]]),VALUE(stable[qno]),0))</f>
        <v>1</v>
      </c>
      <c r="J754" s="33" t="b" cm="1">
        <f t="array" ref="J754">INDEX(stable[is_localized],MATCH(VALUE(questions[[#This Row],[qno]]),VALUE(stable[qno]),0))</f>
        <v>0</v>
      </c>
      <c r="K754" s="33" t="b" cm="1">
        <f t="array" ref="K754">INDEX(stable[is_supply_chain_dependent],MATCH(VALUE(questions[[#This Row],[qno]]),VALUE(stable[qno]),0))</f>
        <v>0</v>
      </c>
      <c r="L754" s="33" t="b" cm="1">
        <f t="array" ref="L754">INDEX(stable[is_mandatory],MATCH(VALUE(questions[[#This Row],[qno]]),VALUE(stable[qno]),0))</f>
        <v>0</v>
      </c>
      <c r="M754" s="33" t="b" cm="1">
        <f t="array" ref="M754">INDEX(stable[is_automated],MATCH(VALUE(questions[[#This Row],[qno]]),VALUE(stable[qno]),0))</f>
        <v>0</v>
      </c>
      <c r="N754" s="33" t="b" cm="1">
        <f t="array" ref="N754">INDEX(stable[is_free_text],MATCH(VALUE(questions[[#This Row],[qno]]),VALUE(stable[qno]),0))</f>
        <v>0</v>
      </c>
      <c r="O754" s="33" t="b" cm="1">
        <f t="array" ref="O754">INDEX(stable[is_numerical],MATCH(VALUE(questions[[#This Row],[qno]]),VALUE(stable[qno]),0))</f>
        <v>0</v>
      </c>
      <c r="P754" s="77" t="b" cm="1">
        <f t="array" ref="P754">INDEX(stable[is_single_select],MATCH(VALUE(questions[[#This Row],[qno]]),VALUE(stable[qno]),0))</f>
        <v>1</v>
      </c>
      <c r="Q754" s="77" t="b" cm="1">
        <f t="array" ref="Q754">INDEX(stable[is_multi_select],MATCH(VALUE(questions[[#This Row],[qno]]),VALUE(stable[qno]),0))</f>
        <v>0</v>
      </c>
      <c r="R754" s="77" t="b" cm="1">
        <f t="array" ref="R754">INDEX(stable[is_skip_logic],MATCH(VALUE(questions[[#This Row],[qno]]),VALUE(stable[qno]),0))</f>
        <v>0</v>
      </c>
      <c r="S754" s="77" t="str">
        <f>_xlfn.TEXTJOIN(", ",TRUE,questions[[#This Row],[ans_opt_1]:[ans_opt_14]])</f>
        <v>All or nearly all - 80-100%, More than half of it  - 60-80%, About half of it - 40-60%, Less than half of it - 20-40%, A small amount - 0-20%</v>
      </c>
      <c r="T754" s="77" t="s">
        <v>305</v>
      </c>
      <c r="U754" s="77" t="s">
        <v>306</v>
      </c>
      <c r="V754" s="77" t="s">
        <v>307</v>
      </c>
      <c r="W754" s="77" t="s">
        <v>308</v>
      </c>
      <c r="X754" s="77" t="s">
        <v>309</v>
      </c>
      <c r="AH754" s="98" t="b">
        <f>INDEX(stable[q_standard],MATCH(questions[[#This Row],[qno]],stable[qno],0))</f>
        <v>0</v>
      </c>
      <c r="AI754" s="98" t="b">
        <f>INDEX(stable[q_living_income],MATCH(questions[[#This Row],[qno]],stable[qno],0))</f>
        <v>1</v>
      </c>
      <c r="AJ754" s="98" t="b">
        <f>INDEX(stable[q_carbon],MATCH(questions[[#This Row],[qno]],stable[qno],0))</f>
        <v>0</v>
      </c>
      <c r="AK754" s="98" t="b">
        <f>INDEX(stable[q_regen_ag],MATCH(questions[[#This Row],[qno]],stable[qno],0))</f>
        <v>0</v>
      </c>
      <c r="AL754" s="98" t="b">
        <f>COUNTIFS(stable[qno],questions[[#This Row],[qno]])=1</f>
        <v>1</v>
      </c>
      <c r="AM754" s="98" t="b">
        <f>OR(questions[[#This Row],[is_fixed]],questions[[#This Row],[is_localized]],questions[[#This Row],[is_supply_chain_dependent]])</f>
        <v>1</v>
      </c>
      <c r="AN754" s="98" t="b">
        <f>COUNTIFS(questions[[#This Row],[is_automated]:[is_multi_select]],TRUE)=1</f>
        <v>1</v>
      </c>
      <c r="AO754" s="98" t="b">
        <f>IF(questions[[#This Row],[is_fixed]],questions[[#This Row],[question]]=INDEX(stable[question],MATCH(questions[[#This Row],[qno]],stable[qno],0)),TRUE)</f>
        <v>1</v>
      </c>
      <c r="AP754" s="98" t="str">
        <f>LEFT(questions[[#This Row],[question]],similarity_range)</f>
        <v>Coffee, what was the</v>
      </c>
      <c r="AQ754" s="98" t="str">
        <f>LEFT(INDEX(stable[question],MATCH(questions[[#This Row],[qno]],stable[qno],0)),similarity_range)</f>
        <v>Coffee, what was the</v>
      </c>
      <c r="AR754" s="98" t="b">
        <f>questions[[#This Row],[question_first_characters]]=questions[[#This Row],[stability_first_characters]]</f>
        <v>1</v>
      </c>
      <c r="AS754" s="98" t="b">
        <f>IF(OR(questions[[#This Row],[is_single_select]],questions[[#This Row],[is_multi_select]]),NOT(ISBLANK(questions[[#This Row],[answer_opt_combined]])),TRUE)</f>
        <v>1</v>
      </c>
    </row>
    <row r="755" spans="1:45" s="77" customFormat="1" ht="15.75" customHeight="1" x14ac:dyDescent="0.25">
      <c r="A755" s="77" t="str">
        <f>_xlfn.TEXTJOIN("_",TRUE,questions[[#This Row],[origin]:[qno]])</f>
        <v>Kenya_Arabica_Nestle_2024_6511</v>
      </c>
      <c r="B755" s="77" t="s">
        <v>818</v>
      </c>
      <c r="C755" s="77" t="s">
        <v>59</v>
      </c>
      <c r="D755" s="77" t="s">
        <v>819</v>
      </c>
      <c r="E755" s="77">
        <v>2024</v>
      </c>
      <c r="F755" s="105" t="s">
        <v>310</v>
      </c>
      <c r="G755" s="78" t="s">
        <v>311</v>
      </c>
      <c r="H755" s="33" t="str" cm="1">
        <f t="array" ref="H755">INDEX(stableR[question],MATCH(VALUE(questions[[#This Row],[qno]]),VALUE(stableR[qno]),0))</f>
        <v>Cropping other than coffee, what was the estimated importance?</v>
      </c>
      <c r="I755" s="33" t="b" cm="1">
        <f t="array" ref="I755">INDEX(stable[is_fixed],MATCH(VALUE(questions[[#This Row],[qno]]),VALUE(stable[qno]),0))</f>
        <v>1</v>
      </c>
      <c r="J755" s="33" t="b" cm="1">
        <f t="array" ref="J755">INDEX(stable[is_localized],MATCH(VALUE(questions[[#This Row],[qno]]),VALUE(stable[qno]),0))</f>
        <v>0</v>
      </c>
      <c r="K755" s="33" t="b" cm="1">
        <f t="array" ref="K755">INDEX(stable[is_supply_chain_dependent],MATCH(VALUE(questions[[#This Row],[qno]]),VALUE(stable[qno]),0))</f>
        <v>0</v>
      </c>
      <c r="L755" s="33" t="b" cm="1">
        <f t="array" ref="L755">INDEX(stable[is_mandatory],MATCH(VALUE(questions[[#This Row],[qno]]),VALUE(stable[qno]),0))</f>
        <v>0</v>
      </c>
      <c r="M755" s="33" t="b" cm="1">
        <f t="array" ref="M755">INDEX(stable[is_automated],MATCH(VALUE(questions[[#This Row],[qno]]),VALUE(stable[qno]),0))</f>
        <v>0</v>
      </c>
      <c r="N755" s="33" t="b" cm="1">
        <f t="array" ref="N755">INDEX(stable[is_free_text],MATCH(VALUE(questions[[#This Row],[qno]]),VALUE(stable[qno]),0))</f>
        <v>0</v>
      </c>
      <c r="O755" s="33" t="b" cm="1">
        <f t="array" ref="O755">INDEX(stable[is_numerical],MATCH(VALUE(questions[[#This Row],[qno]]),VALUE(stable[qno]),0))</f>
        <v>0</v>
      </c>
      <c r="P755" s="77" t="b" cm="1">
        <f t="array" ref="P755">INDEX(stable[is_single_select],MATCH(VALUE(questions[[#This Row],[qno]]),VALUE(stable[qno]),0))</f>
        <v>1</v>
      </c>
      <c r="Q755" s="77" t="b" cm="1">
        <f t="array" ref="Q755">INDEX(stable[is_multi_select],MATCH(VALUE(questions[[#This Row],[qno]]),VALUE(stable[qno]),0))</f>
        <v>0</v>
      </c>
      <c r="R755" s="77" t="b" cm="1">
        <f t="array" ref="R755">INDEX(stable[is_skip_logic],MATCH(VALUE(questions[[#This Row],[qno]]),VALUE(stable[qno]),0))</f>
        <v>0</v>
      </c>
      <c r="S755" s="77" t="str">
        <f>_xlfn.TEXTJOIN(", ",TRUE,questions[[#This Row],[ans_opt_1]:[ans_opt_14]])</f>
        <v>All or nearly all - 80-100%, More than half of it  - 60-80%, About half of it - 40-60%, Less than half of it - 20-40%, A small amount - 0-20%</v>
      </c>
      <c r="T755" s="77" t="s">
        <v>305</v>
      </c>
      <c r="U755" s="77" t="s">
        <v>306</v>
      </c>
      <c r="V755" s="77" t="s">
        <v>307</v>
      </c>
      <c r="W755" s="77" t="s">
        <v>308</v>
      </c>
      <c r="X755" s="77" t="s">
        <v>309</v>
      </c>
      <c r="AH755" s="98" t="b">
        <f>INDEX(stable[q_standard],MATCH(questions[[#This Row],[qno]],stable[qno],0))</f>
        <v>0</v>
      </c>
      <c r="AI755" s="98" t="b">
        <f>INDEX(stable[q_living_income],MATCH(questions[[#This Row],[qno]],stable[qno],0))</f>
        <v>1</v>
      </c>
      <c r="AJ755" s="98" t="b">
        <f>INDEX(stable[q_carbon],MATCH(questions[[#This Row],[qno]],stable[qno],0))</f>
        <v>0</v>
      </c>
      <c r="AK755" s="98" t="b">
        <f>INDEX(stable[q_regen_ag],MATCH(questions[[#This Row],[qno]],stable[qno],0))</f>
        <v>0</v>
      </c>
      <c r="AL755" s="98" t="b">
        <f>COUNTIFS(stable[qno],questions[[#This Row],[qno]])=1</f>
        <v>1</v>
      </c>
      <c r="AM755" s="98" t="b">
        <f>OR(questions[[#This Row],[is_fixed]],questions[[#This Row],[is_localized]],questions[[#This Row],[is_supply_chain_dependent]])</f>
        <v>1</v>
      </c>
      <c r="AN755" s="98" t="b">
        <f>COUNTIFS(questions[[#This Row],[is_automated]:[is_multi_select]],TRUE)=1</f>
        <v>1</v>
      </c>
      <c r="AO755" s="98" t="b">
        <f>IF(questions[[#This Row],[is_fixed]],questions[[#This Row],[question]]=INDEX(stable[question],MATCH(questions[[#This Row],[qno]],stable[qno],0)),TRUE)</f>
        <v>1</v>
      </c>
      <c r="AP755" s="98" t="str">
        <f>LEFT(questions[[#This Row],[question]],similarity_range)</f>
        <v xml:space="preserve">Cropping other than </v>
      </c>
      <c r="AQ755" s="98" t="str">
        <f>LEFT(INDEX(stable[question],MATCH(questions[[#This Row],[qno]],stable[qno],0)),similarity_range)</f>
        <v xml:space="preserve">Cropping other than </v>
      </c>
      <c r="AR755" s="98" t="b">
        <f>questions[[#This Row],[question_first_characters]]=questions[[#This Row],[stability_first_characters]]</f>
        <v>1</v>
      </c>
      <c r="AS755" s="98" t="b">
        <f>IF(OR(questions[[#This Row],[is_single_select]],questions[[#This Row],[is_multi_select]]),NOT(ISBLANK(questions[[#This Row],[answer_opt_combined]])),TRUE)</f>
        <v>1</v>
      </c>
    </row>
    <row r="756" spans="1:45" s="77" customFormat="1" ht="15.75" customHeight="1" x14ac:dyDescent="0.25">
      <c r="A756" s="77" t="str">
        <f>_xlfn.TEXTJOIN("_",TRUE,questions[[#This Row],[origin]:[qno]])</f>
        <v>Kenya_Arabica_Nestle_2024_6512</v>
      </c>
      <c r="B756" s="77" t="s">
        <v>818</v>
      </c>
      <c r="C756" s="77" t="s">
        <v>59</v>
      </c>
      <c r="D756" s="77" t="s">
        <v>819</v>
      </c>
      <c r="E756" s="77">
        <v>2024</v>
      </c>
      <c r="F756" s="105" t="s">
        <v>312</v>
      </c>
      <c r="G756" s="78" t="s">
        <v>313</v>
      </c>
      <c r="H756" s="33" t="str" cm="1">
        <f t="array" ref="H756">INDEX(stableR[question],MATCH(VALUE(questions[[#This Row],[qno]]),VALUE(stableR[qno]),0))</f>
        <v>Livestock, what was the estimated importance?</v>
      </c>
      <c r="I756" s="33" t="b" cm="1">
        <f t="array" ref="I756">INDEX(stable[is_fixed],MATCH(VALUE(questions[[#This Row],[qno]]),VALUE(stable[qno]),0))</f>
        <v>1</v>
      </c>
      <c r="J756" s="33" t="b" cm="1">
        <f t="array" ref="J756">INDEX(stable[is_localized],MATCH(VALUE(questions[[#This Row],[qno]]),VALUE(stable[qno]),0))</f>
        <v>0</v>
      </c>
      <c r="K756" s="33" t="b" cm="1">
        <f t="array" ref="K756">INDEX(stable[is_supply_chain_dependent],MATCH(VALUE(questions[[#This Row],[qno]]),VALUE(stable[qno]),0))</f>
        <v>0</v>
      </c>
      <c r="L756" s="33" t="b" cm="1">
        <f t="array" ref="L756">INDEX(stable[is_mandatory],MATCH(VALUE(questions[[#This Row],[qno]]),VALUE(stable[qno]),0))</f>
        <v>0</v>
      </c>
      <c r="M756" s="33" t="b" cm="1">
        <f t="array" ref="M756">INDEX(stable[is_automated],MATCH(VALUE(questions[[#This Row],[qno]]),VALUE(stable[qno]),0))</f>
        <v>0</v>
      </c>
      <c r="N756" s="33" t="b" cm="1">
        <f t="array" ref="N756">INDEX(stable[is_free_text],MATCH(VALUE(questions[[#This Row],[qno]]),VALUE(stable[qno]),0))</f>
        <v>0</v>
      </c>
      <c r="O756" s="33" t="b" cm="1">
        <f t="array" ref="O756">INDEX(stable[is_numerical],MATCH(VALUE(questions[[#This Row],[qno]]),VALUE(stable[qno]),0))</f>
        <v>0</v>
      </c>
      <c r="P756" s="77" t="b" cm="1">
        <f t="array" ref="P756">INDEX(stable[is_single_select],MATCH(VALUE(questions[[#This Row],[qno]]),VALUE(stable[qno]),0))</f>
        <v>1</v>
      </c>
      <c r="Q756" s="77" t="b" cm="1">
        <f t="array" ref="Q756">INDEX(stable[is_multi_select],MATCH(VALUE(questions[[#This Row],[qno]]),VALUE(stable[qno]),0))</f>
        <v>0</v>
      </c>
      <c r="R756" s="77" t="b" cm="1">
        <f t="array" ref="R756">INDEX(stable[is_skip_logic],MATCH(VALUE(questions[[#This Row],[qno]]),VALUE(stable[qno]),0))</f>
        <v>0</v>
      </c>
      <c r="S756" s="77" t="str">
        <f>_xlfn.TEXTJOIN(", ",TRUE,questions[[#This Row],[ans_opt_1]:[ans_opt_14]])</f>
        <v>All or nearly all - 80-100%, More than half of it  - 60-80%, About half of it - 40-60%, Less than half of it - 20-40%, A small amount - 0-20%</v>
      </c>
      <c r="T756" s="77" t="s">
        <v>305</v>
      </c>
      <c r="U756" s="77" t="s">
        <v>306</v>
      </c>
      <c r="V756" s="77" t="s">
        <v>307</v>
      </c>
      <c r="W756" s="77" t="s">
        <v>308</v>
      </c>
      <c r="X756" s="77" t="s">
        <v>309</v>
      </c>
      <c r="AH756" s="98" t="b">
        <f>INDEX(stable[q_standard],MATCH(questions[[#This Row],[qno]],stable[qno],0))</f>
        <v>0</v>
      </c>
      <c r="AI756" s="98" t="b">
        <f>INDEX(stable[q_living_income],MATCH(questions[[#This Row],[qno]],stable[qno],0))</f>
        <v>1</v>
      </c>
      <c r="AJ756" s="98" t="b">
        <f>INDEX(stable[q_carbon],MATCH(questions[[#This Row],[qno]],stable[qno],0))</f>
        <v>0</v>
      </c>
      <c r="AK756" s="98" t="b">
        <f>INDEX(stable[q_regen_ag],MATCH(questions[[#This Row],[qno]],stable[qno],0))</f>
        <v>0</v>
      </c>
      <c r="AL756" s="98" t="b">
        <f>COUNTIFS(stable[qno],questions[[#This Row],[qno]])=1</f>
        <v>1</v>
      </c>
      <c r="AM756" s="98" t="b">
        <f>OR(questions[[#This Row],[is_fixed]],questions[[#This Row],[is_localized]],questions[[#This Row],[is_supply_chain_dependent]])</f>
        <v>1</v>
      </c>
      <c r="AN756" s="98" t="b">
        <f>COUNTIFS(questions[[#This Row],[is_automated]:[is_multi_select]],TRUE)=1</f>
        <v>1</v>
      </c>
      <c r="AO756" s="98" t="b">
        <f>IF(questions[[#This Row],[is_fixed]],questions[[#This Row],[question]]=INDEX(stable[question],MATCH(questions[[#This Row],[qno]],stable[qno],0)),TRUE)</f>
        <v>1</v>
      </c>
      <c r="AP756" s="98" t="str">
        <f>LEFT(questions[[#This Row],[question]],similarity_range)</f>
        <v xml:space="preserve">Livestock, what was </v>
      </c>
      <c r="AQ756" s="98" t="str">
        <f>LEFT(INDEX(stable[question],MATCH(questions[[#This Row],[qno]],stable[qno],0)),similarity_range)</f>
        <v xml:space="preserve">Livestock, what was </v>
      </c>
      <c r="AR756" s="98" t="b">
        <f>questions[[#This Row],[question_first_characters]]=questions[[#This Row],[stability_first_characters]]</f>
        <v>1</v>
      </c>
      <c r="AS756" s="98" t="b">
        <f>IF(OR(questions[[#This Row],[is_single_select]],questions[[#This Row],[is_multi_select]]),NOT(ISBLANK(questions[[#This Row],[answer_opt_combined]])),TRUE)</f>
        <v>1</v>
      </c>
    </row>
    <row r="757" spans="1:45" s="77" customFormat="1" ht="15.75" customHeight="1" x14ac:dyDescent="0.25">
      <c r="A757" s="77" t="str">
        <f>_xlfn.TEXTJOIN("_",TRUE,questions[[#This Row],[origin]:[qno]])</f>
        <v>Kenya_Arabica_Nestle_2024_6513</v>
      </c>
      <c r="B757" s="77" t="s">
        <v>818</v>
      </c>
      <c r="C757" s="77" t="s">
        <v>59</v>
      </c>
      <c r="D757" s="77" t="s">
        <v>819</v>
      </c>
      <c r="E757" s="77">
        <v>2024</v>
      </c>
      <c r="F757" s="105" t="s">
        <v>314</v>
      </c>
      <c r="G757" s="78" t="s">
        <v>315</v>
      </c>
      <c r="H757" s="33" t="str" cm="1">
        <f t="array" ref="H757">INDEX(stableR[question],MATCH(VALUE(questions[[#This Row],[qno]]),VALUE(stableR[qno]),0))</f>
        <v>Casual labor on other peoples farm, what was the estimated importance?</v>
      </c>
      <c r="I757" s="33" t="b" cm="1">
        <f t="array" ref="I757">INDEX(stable[is_fixed],MATCH(VALUE(questions[[#This Row],[qno]]),VALUE(stable[qno]),0))</f>
        <v>1</v>
      </c>
      <c r="J757" s="33" t="b" cm="1">
        <f t="array" ref="J757">INDEX(stable[is_localized],MATCH(VALUE(questions[[#This Row],[qno]]),VALUE(stable[qno]),0))</f>
        <v>0</v>
      </c>
      <c r="K757" s="33" t="b" cm="1">
        <f t="array" ref="K757">INDEX(stable[is_supply_chain_dependent],MATCH(VALUE(questions[[#This Row],[qno]]),VALUE(stable[qno]),0))</f>
        <v>0</v>
      </c>
      <c r="L757" s="33" t="b" cm="1">
        <f t="array" ref="L757">INDEX(stable[is_mandatory],MATCH(VALUE(questions[[#This Row],[qno]]),VALUE(stable[qno]),0))</f>
        <v>0</v>
      </c>
      <c r="M757" s="33" t="b" cm="1">
        <f t="array" ref="M757">INDEX(stable[is_automated],MATCH(VALUE(questions[[#This Row],[qno]]),VALUE(stable[qno]),0))</f>
        <v>0</v>
      </c>
      <c r="N757" s="33" t="b" cm="1">
        <f t="array" ref="N757">INDEX(stable[is_free_text],MATCH(VALUE(questions[[#This Row],[qno]]),VALUE(stable[qno]),0))</f>
        <v>0</v>
      </c>
      <c r="O757" s="33" t="b" cm="1">
        <f t="array" ref="O757">INDEX(stable[is_numerical],MATCH(VALUE(questions[[#This Row],[qno]]),VALUE(stable[qno]),0))</f>
        <v>0</v>
      </c>
      <c r="P757" s="77" t="b" cm="1">
        <f t="array" ref="P757">INDEX(stable[is_single_select],MATCH(VALUE(questions[[#This Row],[qno]]),VALUE(stable[qno]),0))</f>
        <v>1</v>
      </c>
      <c r="Q757" s="77" t="b" cm="1">
        <f t="array" ref="Q757">INDEX(stable[is_multi_select],MATCH(VALUE(questions[[#This Row],[qno]]),VALUE(stable[qno]),0))</f>
        <v>0</v>
      </c>
      <c r="R757" s="77" t="b" cm="1">
        <f t="array" ref="R757">INDEX(stable[is_skip_logic],MATCH(VALUE(questions[[#This Row],[qno]]),VALUE(stable[qno]),0))</f>
        <v>0</v>
      </c>
      <c r="S757" s="77" t="str">
        <f>_xlfn.TEXTJOIN(", ",TRUE,questions[[#This Row],[ans_opt_1]:[ans_opt_14]])</f>
        <v>All or nearly all - 80-100%, More than half of it  - 60-80%, About half of it - 40-60%, Less than half of it - 20-40%, A small amount - 0-20%</v>
      </c>
      <c r="T757" s="77" t="s">
        <v>305</v>
      </c>
      <c r="U757" s="77" t="s">
        <v>306</v>
      </c>
      <c r="V757" s="77" t="s">
        <v>307</v>
      </c>
      <c r="W757" s="77" t="s">
        <v>308</v>
      </c>
      <c r="X757" s="77" t="s">
        <v>309</v>
      </c>
      <c r="AH757" s="98" t="b">
        <f>INDEX(stable[q_standard],MATCH(questions[[#This Row],[qno]],stable[qno],0))</f>
        <v>0</v>
      </c>
      <c r="AI757" s="98" t="b">
        <f>INDEX(stable[q_living_income],MATCH(questions[[#This Row],[qno]],stable[qno],0))</f>
        <v>1</v>
      </c>
      <c r="AJ757" s="98" t="b">
        <f>INDEX(stable[q_carbon],MATCH(questions[[#This Row],[qno]],stable[qno],0))</f>
        <v>0</v>
      </c>
      <c r="AK757" s="98" t="b">
        <f>INDEX(stable[q_regen_ag],MATCH(questions[[#This Row],[qno]],stable[qno],0))</f>
        <v>0</v>
      </c>
      <c r="AL757" s="98" t="b">
        <f>COUNTIFS(stable[qno],questions[[#This Row],[qno]])=1</f>
        <v>1</v>
      </c>
      <c r="AM757" s="98" t="b">
        <f>OR(questions[[#This Row],[is_fixed]],questions[[#This Row],[is_localized]],questions[[#This Row],[is_supply_chain_dependent]])</f>
        <v>1</v>
      </c>
      <c r="AN757" s="98" t="b">
        <f>COUNTIFS(questions[[#This Row],[is_automated]:[is_multi_select]],TRUE)=1</f>
        <v>1</v>
      </c>
      <c r="AO757" s="98" t="b">
        <f>IF(questions[[#This Row],[is_fixed]],questions[[#This Row],[question]]=INDEX(stable[question],MATCH(questions[[#This Row],[qno]],stable[qno],0)),TRUE)</f>
        <v>1</v>
      </c>
      <c r="AP757" s="98" t="str">
        <f>LEFT(questions[[#This Row],[question]],similarity_range)</f>
        <v>Casual labor on othe</v>
      </c>
      <c r="AQ757" s="98" t="str">
        <f>LEFT(INDEX(stable[question],MATCH(questions[[#This Row],[qno]],stable[qno],0)),similarity_range)</f>
        <v>Casual labor on othe</v>
      </c>
      <c r="AR757" s="98" t="b">
        <f>questions[[#This Row],[question_first_characters]]=questions[[#This Row],[stability_first_characters]]</f>
        <v>1</v>
      </c>
      <c r="AS757" s="98" t="b">
        <f>IF(OR(questions[[#This Row],[is_single_select]],questions[[#This Row],[is_multi_select]]),NOT(ISBLANK(questions[[#This Row],[answer_opt_combined]])),TRUE)</f>
        <v>1</v>
      </c>
    </row>
    <row r="758" spans="1:45" s="77" customFormat="1" ht="15.75" customHeight="1" x14ac:dyDescent="0.25">
      <c r="A758" s="77" t="str">
        <f>_xlfn.TEXTJOIN("_",TRUE,questions[[#This Row],[origin]:[qno]])</f>
        <v>Kenya_Arabica_Nestle_2024_6514</v>
      </c>
      <c r="B758" s="77" t="s">
        <v>818</v>
      </c>
      <c r="C758" s="77" t="s">
        <v>59</v>
      </c>
      <c r="D758" s="77" t="s">
        <v>819</v>
      </c>
      <c r="E758" s="77">
        <v>2024</v>
      </c>
      <c r="F758" s="105" t="s">
        <v>316</v>
      </c>
      <c r="G758" s="78" t="s">
        <v>317</v>
      </c>
      <c r="H758" s="33" t="str" cm="1">
        <f t="array" ref="H758">INDEX(stableR[question],MATCH(VALUE(questions[[#This Row],[qno]]),VALUE(stableR[qno]),0))</f>
        <v>Casual labor off-farm, what was the estimated importance?</v>
      </c>
      <c r="I758" s="33" t="b" cm="1">
        <f t="array" ref="I758">INDEX(stable[is_fixed],MATCH(VALUE(questions[[#This Row],[qno]]),VALUE(stable[qno]),0))</f>
        <v>1</v>
      </c>
      <c r="J758" s="33" t="b" cm="1">
        <f t="array" ref="J758">INDEX(stable[is_localized],MATCH(VALUE(questions[[#This Row],[qno]]),VALUE(stable[qno]),0))</f>
        <v>0</v>
      </c>
      <c r="K758" s="33" t="b" cm="1">
        <f t="array" ref="K758">INDEX(stable[is_supply_chain_dependent],MATCH(VALUE(questions[[#This Row],[qno]]),VALUE(stable[qno]),0))</f>
        <v>0</v>
      </c>
      <c r="L758" s="33" t="b" cm="1">
        <f t="array" ref="L758">INDEX(stable[is_mandatory],MATCH(VALUE(questions[[#This Row],[qno]]),VALUE(stable[qno]),0))</f>
        <v>0</v>
      </c>
      <c r="M758" s="33" t="b" cm="1">
        <f t="array" ref="M758">INDEX(stable[is_automated],MATCH(VALUE(questions[[#This Row],[qno]]),VALUE(stable[qno]),0))</f>
        <v>0</v>
      </c>
      <c r="N758" s="33" t="b" cm="1">
        <f t="array" ref="N758">INDEX(stable[is_free_text],MATCH(VALUE(questions[[#This Row],[qno]]),VALUE(stable[qno]),0))</f>
        <v>0</v>
      </c>
      <c r="O758" s="33" t="b" cm="1">
        <f t="array" ref="O758">INDEX(stable[is_numerical],MATCH(VALUE(questions[[#This Row],[qno]]),VALUE(stable[qno]),0))</f>
        <v>0</v>
      </c>
      <c r="P758" s="77" t="b" cm="1">
        <f t="array" ref="P758">INDEX(stable[is_single_select],MATCH(VALUE(questions[[#This Row],[qno]]),VALUE(stable[qno]),0))</f>
        <v>1</v>
      </c>
      <c r="Q758" s="77" t="b" cm="1">
        <f t="array" ref="Q758">INDEX(stable[is_multi_select],MATCH(VALUE(questions[[#This Row],[qno]]),VALUE(stable[qno]),0))</f>
        <v>0</v>
      </c>
      <c r="R758" s="77" t="b" cm="1">
        <f t="array" ref="R758">INDEX(stable[is_skip_logic],MATCH(VALUE(questions[[#This Row],[qno]]),VALUE(stable[qno]),0))</f>
        <v>0</v>
      </c>
      <c r="S758" s="77" t="str">
        <f>_xlfn.TEXTJOIN(", ",TRUE,questions[[#This Row],[ans_opt_1]:[ans_opt_14]])</f>
        <v>All or nearly all - 80-100%, More than half of it  - 60-80%, About half of it - 40-60%, Less than half of it - 20-40%, A small amount - 0-20%</v>
      </c>
      <c r="T758" s="77" t="s">
        <v>305</v>
      </c>
      <c r="U758" s="77" t="s">
        <v>306</v>
      </c>
      <c r="V758" s="77" t="s">
        <v>307</v>
      </c>
      <c r="W758" s="77" t="s">
        <v>308</v>
      </c>
      <c r="X758" s="77" t="s">
        <v>309</v>
      </c>
      <c r="AH758" s="98" t="b">
        <f>INDEX(stable[q_standard],MATCH(questions[[#This Row],[qno]],stable[qno],0))</f>
        <v>0</v>
      </c>
      <c r="AI758" s="98" t="b">
        <f>INDEX(stable[q_living_income],MATCH(questions[[#This Row],[qno]],stable[qno],0))</f>
        <v>1</v>
      </c>
      <c r="AJ758" s="98" t="b">
        <f>INDEX(stable[q_carbon],MATCH(questions[[#This Row],[qno]],stable[qno],0))</f>
        <v>0</v>
      </c>
      <c r="AK758" s="98" t="b">
        <f>INDEX(stable[q_regen_ag],MATCH(questions[[#This Row],[qno]],stable[qno],0))</f>
        <v>0</v>
      </c>
      <c r="AL758" s="98" t="b">
        <f>COUNTIFS(stable[qno],questions[[#This Row],[qno]])=1</f>
        <v>1</v>
      </c>
      <c r="AM758" s="98" t="b">
        <f>OR(questions[[#This Row],[is_fixed]],questions[[#This Row],[is_localized]],questions[[#This Row],[is_supply_chain_dependent]])</f>
        <v>1</v>
      </c>
      <c r="AN758" s="98" t="b">
        <f>COUNTIFS(questions[[#This Row],[is_automated]:[is_multi_select]],TRUE)=1</f>
        <v>1</v>
      </c>
      <c r="AO758" s="98" t="b">
        <f>IF(questions[[#This Row],[is_fixed]],questions[[#This Row],[question]]=INDEX(stable[question],MATCH(questions[[#This Row],[qno]],stable[qno],0)),TRUE)</f>
        <v>1</v>
      </c>
      <c r="AP758" s="98" t="str">
        <f>LEFT(questions[[#This Row],[question]],similarity_range)</f>
        <v>Casual labor off-far</v>
      </c>
      <c r="AQ758" s="98" t="str">
        <f>LEFT(INDEX(stable[question],MATCH(questions[[#This Row],[qno]],stable[qno],0)),similarity_range)</f>
        <v>Casual labor off-far</v>
      </c>
      <c r="AR758" s="98" t="b">
        <f>questions[[#This Row],[question_first_characters]]=questions[[#This Row],[stability_first_characters]]</f>
        <v>1</v>
      </c>
      <c r="AS758" s="98" t="b">
        <f>IF(OR(questions[[#This Row],[is_single_select]],questions[[#This Row],[is_multi_select]]),NOT(ISBLANK(questions[[#This Row],[answer_opt_combined]])),TRUE)</f>
        <v>1</v>
      </c>
    </row>
    <row r="759" spans="1:45" s="77" customFormat="1" ht="15.75" customHeight="1" x14ac:dyDescent="0.25">
      <c r="A759" s="77" t="str">
        <f>_xlfn.TEXTJOIN("_",TRUE,questions[[#This Row],[origin]:[qno]])</f>
        <v>Kenya_Arabica_Nestle_2024_6515</v>
      </c>
      <c r="B759" s="77" t="s">
        <v>818</v>
      </c>
      <c r="C759" s="77" t="s">
        <v>59</v>
      </c>
      <c r="D759" s="77" t="s">
        <v>819</v>
      </c>
      <c r="E759" s="77">
        <v>2024</v>
      </c>
      <c r="F759" s="105" t="s">
        <v>318</v>
      </c>
      <c r="G759" s="78" t="s">
        <v>319</v>
      </c>
      <c r="H759" s="33" t="str" cm="1">
        <f t="array" ref="H759">INDEX(stableR[question],MATCH(VALUE(questions[[#This Row],[qno]]),VALUE(stableR[qno]),0))</f>
        <v>Other business, what was the estimated importance?</v>
      </c>
      <c r="I759" s="33" t="b" cm="1">
        <f t="array" ref="I759">INDEX(stable[is_fixed],MATCH(VALUE(questions[[#This Row],[qno]]),VALUE(stable[qno]),0))</f>
        <v>1</v>
      </c>
      <c r="J759" s="33" t="b" cm="1">
        <f t="array" ref="J759">INDEX(stable[is_localized],MATCH(VALUE(questions[[#This Row],[qno]]),VALUE(stable[qno]),0))</f>
        <v>0</v>
      </c>
      <c r="K759" s="33" t="b" cm="1">
        <f t="array" ref="K759">INDEX(stable[is_supply_chain_dependent],MATCH(VALUE(questions[[#This Row],[qno]]),VALUE(stable[qno]),0))</f>
        <v>0</v>
      </c>
      <c r="L759" s="33" t="b" cm="1">
        <f t="array" ref="L759">INDEX(stable[is_mandatory],MATCH(VALUE(questions[[#This Row],[qno]]),VALUE(stable[qno]),0))</f>
        <v>0</v>
      </c>
      <c r="M759" s="33" t="b" cm="1">
        <f t="array" ref="M759">INDEX(stable[is_automated],MATCH(VALUE(questions[[#This Row],[qno]]),VALUE(stable[qno]),0))</f>
        <v>0</v>
      </c>
      <c r="N759" s="33" t="b" cm="1">
        <f t="array" ref="N759">INDEX(stable[is_free_text],MATCH(VALUE(questions[[#This Row],[qno]]),VALUE(stable[qno]),0))</f>
        <v>0</v>
      </c>
      <c r="O759" s="33" t="b" cm="1">
        <f t="array" ref="O759">INDEX(stable[is_numerical],MATCH(VALUE(questions[[#This Row],[qno]]),VALUE(stable[qno]),0))</f>
        <v>0</v>
      </c>
      <c r="P759" s="77" t="b" cm="1">
        <f t="array" ref="P759">INDEX(stable[is_single_select],MATCH(VALUE(questions[[#This Row],[qno]]),VALUE(stable[qno]),0))</f>
        <v>1</v>
      </c>
      <c r="Q759" s="77" t="b" cm="1">
        <f t="array" ref="Q759">INDEX(stable[is_multi_select],MATCH(VALUE(questions[[#This Row],[qno]]),VALUE(stable[qno]),0))</f>
        <v>0</v>
      </c>
      <c r="R759" s="77" t="b" cm="1">
        <f t="array" ref="R759">INDEX(stable[is_skip_logic],MATCH(VALUE(questions[[#This Row],[qno]]),VALUE(stable[qno]),0))</f>
        <v>0</v>
      </c>
      <c r="S759" s="77" t="str">
        <f>_xlfn.TEXTJOIN(", ",TRUE,questions[[#This Row],[ans_opt_1]:[ans_opt_14]])</f>
        <v>All or nearly all - 80-100%, More than half of it  - 60-80%, About half of it - 40-60%, Less than half of it - 20-40%, A small amount - 0-20%</v>
      </c>
      <c r="T759" s="77" t="s">
        <v>305</v>
      </c>
      <c r="U759" s="77" t="s">
        <v>306</v>
      </c>
      <c r="V759" s="77" t="s">
        <v>307</v>
      </c>
      <c r="W759" s="77" t="s">
        <v>308</v>
      </c>
      <c r="X759" s="77" t="s">
        <v>309</v>
      </c>
      <c r="AH759" s="98" t="b">
        <f>INDEX(stable[q_standard],MATCH(questions[[#This Row],[qno]],stable[qno],0))</f>
        <v>0</v>
      </c>
      <c r="AI759" s="98" t="b">
        <f>INDEX(stable[q_living_income],MATCH(questions[[#This Row],[qno]],stable[qno],0))</f>
        <v>1</v>
      </c>
      <c r="AJ759" s="98" t="b">
        <f>INDEX(stable[q_carbon],MATCH(questions[[#This Row],[qno]],stable[qno],0))</f>
        <v>0</v>
      </c>
      <c r="AK759" s="98" t="b">
        <f>INDEX(stable[q_regen_ag],MATCH(questions[[#This Row],[qno]],stable[qno],0))</f>
        <v>0</v>
      </c>
      <c r="AL759" s="98" t="b">
        <f>COUNTIFS(stable[qno],questions[[#This Row],[qno]])=1</f>
        <v>1</v>
      </c>
      <c r="AM759" s="98" t="b">
        <f>OR(questions[[#This Row],[is_fixed]],questions[[#This Row],[is_localized]],questions[[#This Row],[is_supply_chain_dependent]])</f>
        <v>1</v>
      </c>
      <c r="AN759" s="98" t="b">
        <f>COUNTIFS(questions[[#This Row],[is_automated]:[is_multi_select]],TRUE)=1</f>
        <v>1</v>
      </c>
      <c r="AO759" s="98" t="b">
        <f>IF(questions[[#This Row],[is_fixed]],questions[[#This Row],[question]]=INDEX(stable[question],MATCH(questions[[#This Row],[qno]],stable[qno],0)),TRUE)</f>
        <v>1</v>
      </c>
      <c r="AP759" s="98" t="str">
        <f>LEFT(questions[[#This Row],[question]],similarity_range)</f>
        <v>Other business, what</v>
      </c>
      <c r="AQ759" s="98" t="str">
        <f>LEFT(INDEX(stable[question],MATCH(questions[[#This Row],[qno]],stable[qno],0)),similarity_range)</f>
        <v>Other business, what</v>
      </c>
      <c r="AR759" s="98" t="b">
        <f>questions[[#This Row],[question_first_characters]]=questions[[#This Row],[stability_first_characters]]</f>
        <v>1</v>
      </c>
      <c r="AS759" s="98" t="b">
        <f>IF(OR(questions[[#This Row],[is_single_select]],questions[[#This Row],[is_multi_select]]),NOT(ISBLANK(questions[[#This Row],[answer_opt_combined]])),TRUE)</f>
        <v>1</v>
      </c>
    </row>
    <row r="760" spans="1:45" s="77" customFormat="1" ht="15.75" customHeight="1" x14ac:dyDescent="0.25">
      <c r="A760" s="77" t="str">
        <f>_xlfn.TEXTJOIN("_",TRUE,questions[[#This Row],[origin]:[qno]])</f>
        <v>Kenya_Arabica_Nestle_2024_6516</v>
      </c>
      <c r="B760" s="77" t="s">
        <v>818</v>
      </c>
      <c r="C760" s="77" t="s">
        <v>59</v>
      </c>
      <c r="D760" s="77" t="s">
        <v>819</v>
      </c>
      <c r="E760" s="77">
        <v>2024</v>
      </c>
      <c r="F760" s="105" t="s">
        <v>320</v>
      </c>
      <c r="G760" s="78" t="s">
        <v>321</v>
      </c>
      <c r="H760" s="33" t="str" cm="1">
        <f t="array" ref="H760">INDEX(stableR[question],MATCH(VALUE(questions[[#This Row],[qno]]),VALUE(stableR[qno]),0))</f>
        <v>Salaried job, what was the estimated importance?</v>
      </c>
      <c r="I760" s="33" t="b" cm="1">
        <f t="array" ref="I760">INDEX(stable[is_fixed],MATCH(VALUE(questions[[#This Row],[qno]]),VALUE(stable[qno]),0))</f>
        <v>1</v>
      </c>
      <c r="J760" s="33" t="b" cm="1">
        <f t="array" ref="J760">INDEX(stable[is_localized],MATCH(VALUE(questions[[#This Row],[qno]]),VALUE(stable[qno]),0))</f>
        <v>0</v>
      </c>
      <c r="K760" s="33" t="b" cm="1">
        <f t="array" ref="K760">INDEX(stable[is_supply_chain_dependent],MATCH(VALUE(questions[[#This Row],[qno]]),VALUE(stable[qno]),0))</f>
        <v>0</v>
      </c>
      <c r="L760" s="33" t="b" cm="1">
        <f t="array" ref="L760">INDEX(stable[is_mandatory],MATCH(VALUE(questions[[#This Row],[qno]]),VALUE(stable[qno]),0))</f>
        <v>0</v>
      </c>
      <c r="M760" s="33" t="b" cm="1">
        <f t="array" ref="M760">INDEX(stable[is_automated],MATCH(VALUE(questions[[#This Row],[qno]]),VALUE(stable[qno]),0))</f>
        <v>0</v>
      </c>
      <c r="N760" s="33" t="b" cm="1">
        <f t="array" ref="N760">INDEX(stable[is_free_text],MATCH(VALUE(questions[[#This Row],[qno]]),VALUE(stable[qno]),0))</f>
        <v>0</v>
      </c>
      <c r="O760" s="33" t="b" cm="1">
        <f t="array" ref="O760">INDEX(stable[is_numerical],MATCH(VALUE(questions[[#This Row],[qno]]),VALUE(stable[qno]),0))</f>
        <v>0</v>
      </c>
      <c r="P760" s="77" t="b" cm="1">
        <f t="array" ref="P760">INDEX(stable[is_single_select],MATCH(VALUE(questions[[#This Row],[qno]]),VALUE(stable[qno]),0))</f>
        <v>1</v>
      </c>
      <c r="Q760" s="77" t="b" cm="1">
        <f t="array" ref="Q760">INDEX(stable[is_multi_select],MATCH(VALUE(questions[[#This Row],[qno]]),VALUE(stable[qno]),0))</f>
        <v>0</v>
      </c>
      <c r="R760" s="77" t="b" cm="1">
        <f t="array" ref="R760">INDEX(stable[is_skip_logic],MATCH(VALUE(questions[[#This Row],[qno]]),VALUE(stable[qno]),0))</f>
        <v>0</v>
      </c>
      <c r="S760" s="77" t="str">
        <f>_xlfn.TEXTJOIN(", ",TRUE,questions[[#This Row],[ans_opt_1]:[ans_opt_14]])</f>
        <v>All or nearly all - 80-100%, More than half of it  - 60-80%, About half of it - 40-60%, Less than half of it - 20-40%, A small amount - 0-20%</v>
      </c>
      <c r="T760" s="77" t="s">
        <v>305</v>
      </c>
      <c r="U760" s="77" t="s">
        <v>306</v>
      </c>
      <c r="V760" s="77" t="s">
        <v>307</v>
      </c>
      <c r="W760" s="77" t="s">
        <v>308</v>
      </c>
      <c r="X760" s="77" t="s">
        <v>309</v>
      </c>
      <c r="AH760" s="98" t="b">
        <f>INDEX(stable[q_standard],MATCH(questions[[#This Row],[qno]],stable[qno],0))</f>
        <v>0</v>
      </c>
      <c r="AI760" s="98" t="b">
        <f>INDEX(stable[q_living_income],MATCH(questions[[#This Row],[qno]],stable[qno],0))</f>
        <v>1</v>
      </c>
      <c r="AJ760" s="98" t="b">
        <f>INDEX(stable[q_carbon],MATCH(questions[[#This Row],[qno]],stable[qno],0))</f>
        <v>0</v>
      </c>
      <c r="AK760" s="98" t="b">
        <f>INDEX(stable[q_regen_ag],MATCH(questions[[#This Row],[qno]],stable[qno],0))</f>
        <v>0</v>
      </c>
      <c r="AL760" s="98" t="b">
        <f>COUNTIFS(stable[qno],questions[[#This Row],[qno]])=1</f>
        <v>1</v>
      </c>
      <c r="AM760" s="98" t="b">
        <f>OR(questions[[#This Row],[is_fixed]],questions[[#This Row],[is_localized]],questions[[#This Row],[is_supply_chain_dependent]])</f>
        <v>1</v>
      </c>
      <c r="AN760" s="98" t="b">
        <f>COUNTIFS(questions[[#This Row],[is_automated]:[is_multi_select]],TRUE)=1</f>
        <v>1</v>
      </c>
      <c r="AO760" s="98" t="b">
        <f>IF(questions[[#This Row],[is_fixed]],questions[[#This Row],[question]]=INDEX(stable[question],MATCH(questions[[#This Row],[qno]],stable[qno],0)),TRUE)</f>
        <v>1</v>
      </c>
      <c r="AP760" s="98" t="str">
        <f>LEFT(questions[[#This Row],[question]],similarity_range)</f>
        <v>Salaried job, what w</v>
      </c>
      <c r="AQ760" s="98" t="str">
        <f>LEFT(INDEX(stable[question],MATCH(questions[[#This Row],[qno]],stable[qno],0)),similarity_range)</f>
        <v>Salaried job, what w</v>
      </c>
      <c r="AR760" s="98" t="b">
        <f>questions[[#This Row],[question_first_characters]]=questions[[#This Row],[stability_first_characters]]</f>
        <v>1</v>
      </c>
      <c r="AS760" s="98" t="b">
        <f>IF(OR(questions[[#This Row],[is_single_select]],questions[[#This Row],[is_multi_select]]),NOT(ISBLANK(questions[[#This Row],[answer_opt_combined]])),TRUE)</f>
        <v>1</v>
      </c>
    </row>
    <row r="761" spans="1:45" s="77" customFormat="1" ht="15.75" customHeight="1" x14ac:dyDescent="0.25">
      <c r="A761" s="77" t="str">
        <f>_xlfn.TEXTJOIN("_",TRUE,questions[[#This Row],[origin]:[qno]])</f>
        <v>Kenya_Arabica_Nestle_2024_6517</v>
      </c>
      <c r="B761" s="77" t="s">
        <v>818</v>
      </c>
      <c r="C761" s="77" t="s">
        <v>59</v>
      </c>
      <c r="D761" s="77" t="s">
        <v>819</v>
      </c>
      <c r="E761" s="77">
        <v>2024</v>
      </c>
      <c r="F761" s="105" t="s">
        <v>322</v>
      </c>
      <c r="G761" s="78" t="s">
        <v>323</v>
      </c>
      <c r="H761" s="33" t="str" cm="1">
        <f t="array" ref="H761">INDEX(stableR[question],MATCH(VALUE(questions[[#This Row],[qno]]),VALUE(stableR[qno]),0))</f>
        <v>Pension, what was the estimated importance?</v>
      </c>
      <c r="I761" s="33" t="b" cm="1">
        <f t="array" ref="I761">INDEX(stable[is_fixed],MATCH(VALUE(questions[[#This Row],[qno]]),VALUE(stable[qno]),0))</f>
        <v>1</v>
      </c>
      <c r="J761" s="33" t="b" cm="1">
        <f t="array" ref="J761">INDEX(stable[is_localized],MATCH(VALUE(questions[[#This Row],[qno]]),VALUE(stable[qno]),0))</f>
        <v>0</v>
      </c>
      <c r="K761" s="33" t="b" cm="1">
        <f t="array" ref="K761">INDEX(stable[is_supply_chain_dependent],MATCH(VALUE(questions[[#This Row],[qno]]),VALUE(stable[qno]),0))</f>
        <v>0</v>
      </c>
      <c r="L761" s="33" t="b" cm="1">
        <f t="array" ref="L761">INDEX(stable[is_mandatory],MATCH(VALUE(questions[[#This Row],[qno]]),VALUE(stable[qno]),0))</f>
        <v>0</v>
      </c>
      <c r="M761" s="33" t="b" cm="1">
        <f t="array" ref="M761">INDEX(stable[is_automated],MATCH(VALUE(questions[[#This Row],[qno]]),VALUE(stable[qno]),0))</f>
        <v>0</v>
      </c>
      <c r="N761" s="33" t="b" cm="1">
        <f t="array" ref="N761">INDEX(stable[is_free_text],MATCH(VALUE(questions[[#This Row],[qno]]),VALUE(stable[qno]),0))</f>
        <v>0</v>
      </c>
      <c r="O761" s="33" t="b" cm="1">
        <f t="array" ref="O761">INDEX(stable[is_numerical],MATCH(VALUE(questions[[#This Row],[qno]]),VALUE(stable[qno]),0))</f>
        <v>0</v>
      </c>
      <c r="P761" s="77" t="b" cm="1">
        <f t="array" ref="P761">INDEX(stable[is_single_select],MATCH(VALUE(questions[[#This Row],[qno]]),VALUE(stable[qno]),0))</f>
        <v>1</v>
      </c>
      <c r="Q761" s="77" t="b" cm="1">
        <f t="array" ref="Q761">INDEX(stable[is_multi_select],MATCH(VALUE(questions[[#This Row],[qno]]),VALUE(stable[qno]),0))</f>
        <v>0</v>
      </c>
      <c r="R761" s="77" t="b" cm="1">
        <f t="array" ref="R761">INDEX(stable[is_skip_logic],MATCH(VALUE(questions[[#This Row],[qno]]),VALUE(stable[qno]),0))</f>
        <v>0</v>
      </c>
      <c r="S761" s="77" t="str">
        <f>_xlfn.TEXTJOIN(", ",TRUE,questions[[#This Row],[ans_opt_1]:[ans_opt_14]])</f>
        <v>All or nearly all - 80-100%, More than half of it  - 60-80%, About half of it - 40-60%, Less than half of it - 20-40%, A small amount - 0-20%</v>
      </c>
      <c r="T761" s="77" t="s">
        <v>305</v>
      </c>
      <c r="U761" s="77" t="s">
        <v>306</v>
      </c>
      <c r="V761" s="77" t="s">
        <v>307</v>
      </c>
      <c r="W761" s="77" t="s">
        <v>308</v>
      </c>
      <c r="X761" s="77" t="s">
        <v>309</v>
      </c>
      <c r="AH761" s="98" t="b">
        <f>INDEX(stable[q_standard],MATCH(questions[[#This Row],[qno]],stable[qno],0))</f>
        <v>0</v>
      </c>
      <c r="AI761" s="98" t="b">
        <f>INDEX(stable[q_living_income],MATCH(questions[[#This Row],[qno]],stable[qno],0))</f>
        <v>1</v>
      </c>
      <c r="AJ761" s="98" t="b">
        <f>INDEX(stable[q_carbon],MATCH(questions[[#This Row],[qno]],stable[qno],0))</f>
        <v>0</v>
      </c>
      <c r="AK761" s="98" t="b">
        <f>INDEX(stable[q_regen_ag],MATCH(questions[[#This Row],[qno]],stable[qno],0))</f>
        <v>0</v>
      </c>
      <c r="AL761" s="98" t="b">
        <f>COUNTIFS(stable[qno],questions[[#This Row],[qno]])=1</f>
        <v>1</v>
      </c>
      <c r="AM761" s="98" t="b">
        <f>OR(questions[[#This Row],[is_fixed]],questions[[#This Row],[is_localized]],questions[[#This Row],[is_supply_chain_dependent]])</f>
        <v>1</v>
      </c>
      <c r="AN761" s="98" t="b">
        <f>COUNTIFS(questions[[#This Row],[is_automated]:[is_multi_select]],TRUE)=1</f>
        <v>1</v>
      </c>
      <c r="AO761" s="98" t="b">
        <f>IF(questions[[#This Row],[is_fixed]],questions[[#This Row],[question]]=INDEX(stable[question],MATCH(questions[[#This Row],[qno]],stable[qno],0)),TRUE)</f>
        <v>1</v>
      </c>
      <c r="AP761" s="98" t="str">
        <f>LEFT(questions[[#This Row],[question]],similarity_range)</f>
        <v>Pension, what was th</v>
      </c>
      <c r="AQ761" s="98" t="str">
        <f>LEFT(INDEX(stable[question],MATCH(questions[[#This Row],[qno]],stable[qno],0)),similarity_range)</f>
        <v>Pension, what was th</v>
      </c>
      <c r="AR761" s="98" t="b">
        <f>questions[[#This Row],[question_first_characters]]=questions[[#This Row],[stability_first_characters]]</f>
        <v>1</v>
      </c>
      <c r="AS761" s="98" t="b">
        <f>IF(OR(questions[[#This Row],[is_single_select]],questions[[#This Row],[is_multi_select]]),NOT(ISBLANK(questions[[#This Row],[answer_opt_combined]])),TRUE)</f>
        <v>1</v>
      </c>
    </row>
    <row r="762" spans="1:45" s="77" customFormat="1" ht="15.75" customHeight="1" x14ac:dyDescent="0.25">
      <c r="A762" s="77" t="str">
        <f>_xlfn.TEXTJOIN("_",TRUE,questions[[#This Row],[origin]:[qno]])</f>
        <v>Kenya_Arabica_Nestle_2024_6518</v>
      </c>
      <c r="B762" s="77" t="s">
        <v>818</v>
      </c>
      <c r="C762" s="77" t="s">
        <v>59</v>
      </c>
      <c r="D762" s="77" t="s">
        <v>819</v>
      </c>
      <c r="E762" s="77">
        <v>2024</v>
      </c>
      <c r="F762" s="105" t="s">
        <v>324</v>
      </c>
      <c r="G762" s="78" t="s">
        <v>325</v>
      </c>
      <c r="H762" s="33" t="str" cm="1">
        <f t="array" ref="H762">INDEX(stableR[question],MATCH(VALUE(questions[[#This Row],[qno]]),VALUE(stableR[qno]),0))</f>
        <v>Remittances, what was the estimated importance?</v>
      </c>
      <c r="I762" s="33" t="b" cm="1">
        <f t="array" ref="I762">INDEX(stable[is_fixed],MATCH(VALUE(questions[[#This Row],[qno]]),VALUE(stable[qno]),0))</f>
        <v>1</v>
      </c>
      <c r="J762" s="33" t="b" cm="1">
        <f t="array" ref="J762">INDEX(stable[is_localized],MATCH(VALUE(questions[[#This Row],[qno]]),VALUE(stable[qno]),0))</f>
        <v>0</v>
      </c>
      <c r="K762" s="33" t="b" cm="1">
        <f t="array" ref="K762">INDEX(stable[is_supply_chain_dependent],MATCH(VALUE(questions[[#This Row],[qno]]),VALUE(stable[qno]),0))</f>
        <v>0</v>
      </c>
      <c r="L762" s="33" t="b" cm="1">
        <f t="array" ref="L762">INDEX(stable[is_mandatory],MATCH(VALUE(questions[[#This Row],[qno]]),VALUE(stable[qno]),0))</f>
        <v>0</v>
      </c>
      <c r="M762" s="33" t="b" cm="1">
        <f t="array" ref="M762">INDEX(stable[is_automated],MATCH(VALUE(questions[[#This Row],[qno]]),VALUE(stable[qno]),0))</f>
        <v>0</v>
      </c>
      <c r="N762" s="33" t="b" cm="1">
        <f t="array" ref="N762">INDEX(stable[is_free_text],MATCH(VALUE(questions[[#This Row],[qno]]),VALUE(stable[qno]),0))</f>
        <v>0</v>
      </c>
      <c r="O762" s="33" t="b" cm="1">
        <f t="array" ref="O762">INDEX(stable[is_numerical],MATCH(VALUE(questions[[#This Row],[qno]]),VALUE(stable[qno]),0))</f>
        <v>0</v>
      </c>
      <c r="P762" s="77" t="b" cm="1">
        <f t="array" ref="P762">INDEX(stable[is_single_select],MATCH(VALUE(questions[[#This Row],[qno]]),VALUE(stable[qno]),0))</f>
        <v>1</v>
      </c>
      <c r="Q762" s="77" t="b" cm="1">
        <f t="array" ref="Q762">INDEX(stable[is_multi_select],MATCH(VALUE(questions[[#This Row],[qno]]),VALUE(stable[qno]),0))</f>
        <v>0</v>
      </c>
      <c r="R762" s="77" t="b" cm="1">
        <f t="array" ref="R762">INDEX(stable[is_skip_logic],MATCH(VALUE(questions[[#This Row],[qno]]),VALUE(stable[qno]),0))</f>
        <v>0</v>
      </c>
      <c r="S762" s="77" t="str">
        <f>_xlfn.TEXTJOIN(", ",TRUE,questions[[#This Row],[ans_opt_1]:[ans_opt_14]])</f>
        <v>All or nearly all - 80-100%, More than half of it  - 60-80%, About half of it - 40-60%, Less than half of it - 20-40%, A small amount - 0-20%</v>
      </c>
      <c r="T762" s="77" t="s">
        <v>305</v>
      </c>
      <c r="U762" s="77" t="s">
        <v>306</v>
      </c>
      <c r="V762" s="77" t="s">
        <v>307</v>
      </c>
      <c r="W762" s="77" t="s">
        <v>308</v>
      </c>
      <c r="X762" s="77" t="s">
        <v>309</v>
      </c>
      <c r="AH762" s="98" t="b">
        <f>INDEX(stable[q_standard],MATCH(questions[[#This Row],[qno]],stable[qno],0))</f>
        <v>0</v>
      </c>
      <c r="AI762" s="98" t="b">
        <f>INDEX(stable[q_living_income],MATCH(questions[[#This Row],[qno]],stable[qno],0))</f>
        <v>1</v>
      </c>
      <c r="AJ762" s="98" t="b">
        <f>INDEX(stable[q_carbon],MATCH(questions[[#This Row],[qno]],stable[qno],0))</f>
        <v>0</v>
      </c>
      <c r="AK762" s="98" t="b">
        <f>INDEX(stable[q_regen_ag],MATCH(questions[[#This Row],[qno]],stable[qno],0))</f>
        <v>0</v>
      </c>
      <c r="AL762" s="98" t="b">
        <f>COUNTIFS(stable[qno],questions[[#This Row],[qno]])=1</f>
        <v>1</v>
      </c>
      <c r="AM762" s="98" t="b">
        <f>OR(questions[[#This Row],[is_fixed]],questions[[#This Row],[is_localized]],questions[[#This Row],[is_supply_chain_dependent]])</f>
        <v>1</v>
      </c>
      <c r="AN762" s="98" t="b">
        <f>COUNTIFS(questions[[#This Row],[is_automated]:[is_multi_select]],TRUE)=1</f>
        <v>1</v>
      </c>
      <c r="AO762" s="98" t="b">
        <f>IF(questions[[#This Row],[is_fixed]],questions[[#This Row],[question]]=INDEX(stable[question],MATCH(questions[[#This Row],[qno]],stable[qno],0)),TRUE)</f>
        <v>1</v>
      </c>
      <c r="AP762" s="98" t="str">
        <f>LEFT(questions[[#This Row],[question]],similarity_range)</f>
        <v>Remittances, what wa</v>
      </c>
      <c r="AQ762" s="98" t="str">
        <f>LEFT(INDEX(stable[question],MATCH(questions[[#This Row],[qno]],stable[qno],0)),similarity_range)</f>
        <v>Remittances, what wa</v>
      </c>
      <c r="AR762" s="98" t="b">
        <f>questions[[#This Row],[question_first_characters]]=questions[[#This Row],[stability_first_characters]]</f>
        <v>1</v>
      </c>
      <c r="AS762" s="98" t="b">
        <f>IF(OR(questions[[#This Row],[is_single_select]],questions[[#This Row],[is_multi_select]]),NOT(ISBLANK(questions[[#This Row],[answer_opt_combined]])),TRUE)</f>
        <v>1</v>
      </c>
    </row>
    <row r="763" spans="1:45" s="77" customFormat="1" ht="15.75" customHeight="1" x14ac:dyDescent="0.25">
      <c r="A763" s="77" t="str">
        <f>_xlfn.TEXTJOIN("_",TRUE,questions[[#This Row],[origin]:[qno]])</f>
        <v>Kenya_Arabica_Nestle_2024_7000</v>
      </c>
      <c r="B763" s="77" t="s">
        <v>818</v>
      </c>
      <c r="C763" s="77" t="s">
        <v>59</v>
      </c>
      <c r="D763" s="77" t="s">
        <v>819</v>
      </c>
      <c r="E763" s="77">
        <v>2024</v>
      </c>
      <c r="F763" s="105" t="s">
        <v>326</v>
      </c>
      <c r="G763" s="78" t="s">
        <v>792</v>
      </c>
      <c r="H763" s="33" t="str" cm="1">
        <f t="array" ref="H763">INDEX(stableR[question],MATCH(VALUE(questions[[#This Row],[qno]]),VALUE(stableR[qno]),0))</f>
        <v>Have you received any training on Regenartive Agriculture principles and practices in last 1-2 years? For instance on mulching, cover crops, manure or fertiliser application, stumping, integrated pest management, etc.</v>
      </c>
      <c r="I763" s="33" t="b" cm="1">
        <f t="array" ref="I763">INDEX(stable[is_fixed],MATCH(VALUE(questions[[#This Row],[qno]]),VALUE(stable[qno]),0))</f>
        <v>1</v>
      </c>
      <c r="J763" s="33" t="b" cm="1">
        <f t="array" ref="J763">INDEX(stable[is_localized],MATCH(VALUE(questions[[#This Row],[qno]]),VALUE(stable[qno]),0))</f>
        <v>0</v>
      </c>
      <c r="K763" s="33" t="b" cm="1">
        <f t="array" ref="K763">INDEX(stable[is_supply_chain_dependent],MATCH(VALUE(questions[[#This Row],[qno]]),VALUE(stable[qno]),0))</f>
        <v>0</v>
      </c>
      <c r="L763" s="33" t="b" cm="1">
        <f t="array" ref="L763">INDEX(stable[is_mandatory],MATCH(VALUE(questions[[#This Row],[qno]]),VALUE(stable[qno]),0))</f>
        <v>1</v>
      </c>
      <c r="M763" s="33" t="b" cm="1">
        <f t="array" ref="M763">INDEX(stable[is_automated],MATCH(VALUE(questions[[#This Row],[qno]]),VALUE(stable[qno]),0))</f>
        <v>0</v>
      </c>
      <c r="N763" s="33" t="b" cm="1">
        <f t="array" ref="N763">INDEX(stable[is_free_text],MATCH(VALUE(questions[[#This Row],[qno]]),VALUE(stable[qno]),0))</f>
        <v>0</v>
      </c>
      <c r="O763" s="33" t="b" cm="1">
        <f t="array" ref="O763">INDEX(stable[is_numerical],MATCH(VALUE(questions[[#This Row],[qno]]),VALUE(stable[qno]),0))</f>
        <v>0</v>
      </c>
      <c r="P763" s="77" t="b" cm="1">
        <f t="array" ref="P763">INDEX(stable[is_single_select],MATCH(VALUE(questions[[#This Row],[qno]]),VALUE(stable[qno]),0))</f>
        <v>1</v>
      </c>
      <c r="Q763" s="77" t="b" cm="1">
        <f t="array" ref="Q763">INDEX(stable[is_multi_select],MATCH(VALUE(questions[[#This Row],[qno]]),VALUE(stable[qno]),0))</f>
        <v>0</v>
      </c>
      <c r="R763" s="77" t="b" cm="1">
        <f t="array" ref="R763">INDEX(stable[is_skip_logic],MATCH(VALUE(questions[[#This Row],[qno]]),VALUE(stable[qno]),0))</f>
        <v>1</v>
      </c>
      <c r="S763" s="77" t="str">
        <f>_xlfn.TEXTJOIN(", ",TRUE,questions[[#This Row],[ans_opt_1]:[ans_opt_14]])</f>
        <v>Yes, No</v>
      </c>
      <c r="T763" s="77" t="s">
        <v>149</v>
      </c>
      <c r="U763" s="77" t="s">
        <v>119</v>
      </c>
      <c r="AH763" s="98" t="b">
        <f>INDEX(stable[q_standard],MATCH(questions[[#This Row],[qno]],stable[qno],0))</f>
        <v>0</v>
      </c>
      <c r="AI763" s="98" t="b">
        <f>INDEX(stable[q_living_income],MATCH(questions[[#This Row],[qno]],stable[qno],0))</f>
        <v>0</v>
      </c>
      <c r="AJ763" s="98" t="b">
        <f>INDEX(stable[q_carbon],MATCH(questions[[#This Row],[qno]],stable[qno],0))</f>
        <v>0</v>
      </c>
      <c r="AK763" s="98" t="b">
        <f>INDEX(stable[q_regen_ag],MATCH(questions[[#This Row],[qno]],stable[qno],0))</f>
        <v>1</v>
      </c>
      <c r="AL763" s="98" t="b">
        <f>COUNTIFS(stable[qno],questions[[#This Row],[qno]])=1</f>
        <v>1</v>
      </c>
      <c r="AM763" s="98" t="b">
        <f>OR(questions[[#This Row],[is_fixed]],questions[[#This Row],[is_localized]],questions[[#This Row],[is_supply_chain_dependent]])</f>
        <v>1</v>
      </c>
      <c r="AN763" s="98" t="b">
        <f>COUNTIFS(questions[[#This Row],[is_automated]:[is_multi_select]],TRUE)=1</f>
        <v>1</v>
      </c>
      <c r="AO763" s="98" t="b">
        <f>IF(questions[[#This Row],[is_fixed]],questions[[#This Row],[question]]=INDEX(stable[question],MATCH(questions[[#This Row],[qno]],stable[qno],0)),TRUE)</f>
        <v>0</v>
      </c>
      <c r="AP763" s="98" t="str">
        <f>LEFT(questions[[#This Row],[question]],similarity_range)</f>
        <v>Have you received an</v>
      </c>
      <c r="AQ763" s="98" t="str">
        <f>LEFT(INDEX(stable[question],MATCH(questions[[#This Row],[qno]],stable[qno],0)),similarity_range)</f>
        <v>Have you received an</v>
      </c>
      <c r="AR763" s="98" t="b">
        <f>questions[[#This Row],[question_first_characters]]=questions[[#This Row],[stability_first_characters]]</f>
        <v>1</v>
      </c>
      <c r="AS763" s="98" t="b">
        <f>IF(OR(questions[[#This Row],[is_single_select]],questions[[#This Row],[is_multi_select]]),NOT(ISBLANK(questions[[#This Row],[answer_opt_combined]])),TRUE)</f>
        <v>1</v>
      </c>
    </row>
    <row r="764" spans="1:45" s="77" customFormat="1" ht="15.75" customHeight="1" x14ac:dyDescent="0.25">
      <c r="A764" s="77" t="str">
        <f>_xlfn.TEXTJOIN("_",TRUE,questions[[#This Row],[origin]:[qno]])</f>
        <v>Kenya_Arabica_Nestle_2024_7001</v>
      </c>
      <c r="B764" s="77" t="s">
        <v>818</v>
      </c>
      <c r="C764" s="77" t="s">
        <v>59</v>
      </c>
      <c r="D764" s="77" t="s">
        <v>819</v>
      </c>
      <c r="E764" s="77">
        <v>2024</v>
      </c>
      <c r="F764" s="105" t="s">
        <v>328</v>
      </c>
      <c r="G764" s="78" t="s">
        <v>329</v>
      </c>
      <c r="H764" s="33" t="str" cm="1">
        <f t="array" ref="H764">INDEX(stableR[question],MATCH(VALUE(questions[[#This Row],[qno]]),VALUE(stableR[qno]),0))</f>
        <v>If NO formal training received, are you aware of Regen Ag. and can explain its basics principles and main practices?</v>
      </c>
      <c r="I764" s="33" t="b" cm="1">
        <f t="array" ref="I764">INDEX(stable[is_fixed],MATCH(VALUE(questions[[#This Row],[qno]]),VALUE(stable[qno]),0))</f>
        <v>1</v>
      </c>
      <c r="J764" s="33" t="b" cm="1">
        <f t="array" ref="J764">INDEX(stable[is_localized],MATCH(VALUE(questions[[#This Row],[qno]]),VALUE(stable[qno]),0))</f>
        <v>0</v>
      </c>
      <c r="K764" s="33" t="b" cm="1">
        <f t="array" ref="K764">INDEX(stable[is_supply_chain_dependent],MATCH(VALUE(questions[[#This Row],[qno]]),VALUE(stable[qno]),0))</f>
        <v>0</v>
      </c>
      <c r="L764" s="33" t="b" cm="1">
        <f t="array" ref="L764">INDEX(stable[is_mandatory],MATCH(VALUE(questions[[#This Row],[qno]]),VALUE(stable[qno]),0))</f>
        <v>0</v>
      </c>
      <c r="M764" s="33" t="b" cm="1">
        <f t="array" ref="M764">INDEX(stable[is_automated],MATCH(VALUE(questions[[#This Row],[qno]]),VALUE(stable[qno]),0))</f>
        <v>0</v>
      </c>
      <c r="N764" s="33" t="b" cm="1">
        <f t="array" ref="N764">INDEX(stable[is_free_text],MATCH(VALUE(questions[[#This Row],[qno]]),VALUE(stable[qno]),0))</f>
        <v>0</v>
      </c>
      <c r="O764" s="33" t="b" cm="1">
        <f t="array" ref="O764">INDEX(stable[is_numerical],MATCH(VALUE(questions[[#This Row],[qno]]),VALUE(stable[qno]),0))</f>
        <v>0</v>
      </c>
      <c r="P764" s="77" t="b" cm="1">
        <f t="array" ref="P764">INDEX(stable[is_single_select],MATCH(VALUE(questions[[#This Row],[qno]]),VALUE(stable[qno]),0))</f>
        <v>1</v>
      </c>
      <c r="Q764" s="77" t="b" cm="1">
        <f t="array" ref="Q764">INDEX(stable[is_multi_select],MATCH(VALUE(questions[[#This Row],[qno]]),VALUE(stable[qno]),0))</f>
        <v>0</v>
      </c>
      <c r="R764" s="77" t="b" cm="1">
        <f t="array" ref="R764">INDEX(stable[is_skip_logic],MATCH(VALUE(questions[[#This Row],[qno]]),VALUE(stable[qno]),0))</f>
        <v>1</v>
      </c>
      <c r="S764" s="77" t="str">
        <f>_xlfn.TEXTJOIN(", ",TRUE,questions[[#This Row],[ans_opt_1]:[ans_opt_14]])</f>
        <v>Yes, No</v>
      </c>
      <c r="T764" s="77" t="s">
        <v>149</v>
      </c>
      <c r="U764" s="77" t="s">
        <v>119</v>
      </c>
      <c r="AH764" s="98" t="b">
        <f>INDEX(stable[q_standard],MATCH(questions[[#This Row],[qno]],stable[qno],0))</f>
        <v>0</v>
      </c>
      <c r="AI764" s="98" t="b">
        <f>INDEX(stable[q_living_income],MATCH(questions[[#This Row],[qno]],stable[qno],0))</f>
        <v>0</v>
      </c>
      <c r="AJ764" s="98" t="b">
        <f>INDEX(stable[q_carbon],MATCH(questions[[#This Row],[qno]],stable[qno],0))</f>
        <v>0</v>
      </c>
      <c r="AK764" s="98" t="b">
        <f>INDEX(stable[q_regen_ag],MATCH(questions[[#This Row],[qno]],stable[qno],0))</f>
        <v>1</v>
      </c>
      <c r="AL764" s="98" t="b">
        <f>COUNTIFS(stable[qno],questions[[#This Row],[qno]])=1</f>
        <v>1</v>
      </c>
      <c r="AM764" s="98" t="b">
        <f>OR(questions[[#This Row],[is_fixed]],questions[[#This Row],[is_localized]],questions[[#This Row],[is_supply_chain_dependent]])</f>
        <v>1</v>
      </c>
      <c r="AN764" s="98" t="b">
        <f>COUNTIFS(questions[[#This Row],[is_automated]:[is_multi_select]],TRUE)=1</f>
        <v>1</v>
      </c>
      <c r="AO764" s="98" t="b">
        <f>IF(questions[[#This Row],[is_fixed]],questions[[#This Row],[question]]=INDEX(stable[question],MATCH(questions[[#This Row],[qno]],stable[qno],0)),TRUE)</f>
        <v>1</v>
      </c>
      <c r="AP764" s="98" t="str">
        <f>LEFT(questions[[#This Row],[question]],similarity_range)</f>
        <v>If NO formal trainin</v>
      </c>
      <c r="AQ764" s="98" t="str">
        <f>LEFT(INDEX(stable[question],MATCH(questions[[#This Row],[qno]],stable[qno],0)),similarity_range)</f>
        <v>If NO formal trainin</v>
      </c>
      <c r="AR764" s="98" t="b">
        <f>questions[[#This Row],[question_first_characters]]=questions[[#This Row],[stability_first_characters]]</f>
        <v>1</v>
      </c>
      <c r="AS764" s="98" t="b">
        <f>IF(OR(questions[[#This Row],[is_single_select]],questions[[#This Row],[is_multi_select]]),NOT(ISBLANK(questions[[#This Row],[answer_opt_combined]])),TRUE)</f>
        <v>1</v>
      </c>
    </row>
    <row r="765" spans="1:45" s="77" customFormat="1" ht="15.75" customHeight="1" x14ac:dyDescent="0.25">
      <c r="A765" s="77" t="str">
        <f>_xlfn.TEXTJOIN("_",TRUE,questions[[#This Row],[origin]:[qno]])</f>
        <v>Kenya_Arabica_Nestle_2024_7100</v>
      </c>
      <c r="B765" s="77" t="s">
        <v>818</v>
      </c>
      <c r="C765" s="77" t="s">
        <v>59</v>
      </c>
      <c r="D765" s="77" t="s">
        <v>819</v>
      </c>
      <c r="E765" s="77">
        <v>2024</v>
      </c>
      <c r="F765" s="105" t="s">
        <v>330</v>
      </c>
      <c r="G765" s="78" t="s">
        <v>331</v>
      </c>
      <c r="H765" s="33" t="str" cm="1">
        <f t="array" ref="H765">INDEX(stableR[question],MATCH(VALUE(questions[[#This Row],[qno]]),VALUE(stableR[qno]),0))</f>
        <v>Do you implement mulching and/or cover crops-plants (e.g. beans, peanuts/groundnuts, brachiaria, desmodium…) in your coffee plots? If the answer is NO, you do not need to answer the next 2 questions</v>
      </c>
      <c r="I765" s="33" t="b" cm="1">
        <f t="array" ref="I765">INDEX(stable[is_fixed],MATCH(VALUE(questions[[#This Row],[qno]]),VALUE(stable[qno]),0))</f>
        <v>1</v>
      </c>
      <c r="J765" s="33" t="b" cm="1">
        <f t="array" ref="J765">INDEX(stable[is_localized],MATCH(VALUE(questions[[#This Row],[qno]]),VALUE(stable[qno]),0))</f>
        <v>0</v>
      </c>
      <c r="K765" s="33" t="b" cm="1">
        <f t="array" ref="K765">INDEX(stable[is_supply_chain_dependent],MATCH(VALUE(questions[[#This Row],[qno]]),VALUE(stable[qno]),0))</f>
        <v>0</v>
      </c>
      <c r="L765" s="33" t="b" cm="1">
        <f t="array" ref="L765">INDEX(stable[is_mandatory],MATCH(VALUE(questions[[#This Row],[qno]]),VALUE(stable[qno]),0))</f>
        <v>1</v>
      </c>
      <c r="M765" s="33" t="b" cm="1">
        <f t="array" ref="M765">INDEX(stable[is_automated],MATCH(VALUE(questions[[#This Row],[qno]]),VALUE(stable[qno]),0))</f>
        <v>0</v>
      </c>
      <c r="N765" s="33" t="b" cm="1">
        <f t="array" ref="N765">INDEX(stable[is_free_text],MATCH(VALUE(questions[[#This Row],[qno]]),VALUE(stable[qno]),0))</f>
        <v>0</v>
      </c>
      <c r="O765" s="33" t="b" cm="1">
        <f t="array" ref="O765">INDEX(stable[is_numerical],MATCH(VALUE(questions[[#This Row],[qno]]),VALUE(stable[qno]),0))</f>
        <v>0</v>
      </c>
      <c r="P765" s="77" t="b" cm="1">
        <f t="array" ref="P765">INDEX(stable[is_single_select],MATCH(VALUE(questions[[#This Row],[qno]]),VALUE(stable[qno]),0))</f>
        <v>1</v>
      </c>
      <c r="Q765" s="77" t="b" cm="1">
        <f t="array" ref="Q765">INDEX(stable[is_multi_select],MATCH(VALUE(questions[[#This Row],[qno]]),VALUE(stable[qno]),0))</f>
        <v>0</v>
      </c>
      <c r="R765" s="77" t="b" cm="1">
        <f t="array" ref="R765">INDEX(stable[is_skip_logic],MATCH(VALUE(questions[[#This Row],[qno]]),VALUE(stable[qno]),0))</f>
        <v>1</v>
      </c>
      <c r="S765" s="77" t="str">
        <f>_xlfn.TEXTJOIN(", ",TRUE,questions[[#This Row],[ans_opt_1]:[ans_opt_14]])</f>
        <v>No, Yes-Crop residues mulching, Yes-Other mulching, Yes-Cover crops, Yes-Cover crops &amp; Mulching</v>
      </c>
      <c r="T765" s="77" t="s">
        <v>119</v>
      </c>
      <c r="U765" s="77" t="s">
        <v>332</v>
      </c>
      <c r="V765" s="77" t="s">
        <v>333</v>
      </c>
      <c r="W765" s="77" t="s">
        <v>334</v>
      </c>
      <c r="X765" s="77" t="s">
        <v>335</v>
      </c>
      <c r="AH765" s="98" t="b">
        <f>INDEX(stable[q_standard],MATCH(questions[[#This Row],[qno]],stable[qno],0))</f>
        <v>0</v>
      </c>
      <c r="AI765" s="98" t="b">
        <f>INDEX(stable[q_living_income],MATCH(questions[[#This Row],[qno]],stable[qno],0))</f>
        <v>0</v>
      </c>
      <c r="AJ765" s="98" t="b">
        <f>INDEX(stable[q_carbon],MATCH(questions[[#This Row],[qno]],stable[qno],0))</f>
        <v>0</v>
      </c>
      <c r="AK765" s="98" t="b">
        <f>INDEX(stable[q_regen_ag],MATCH(questions[[#This Row],[qno]],stable[qno],0))</f>
        <v>1</v>
      </c>
      <c r="AL765" s="98" t="b">
        <f>COUNTIFS(stable[qno],questions[[#This Row],[qno]])=1</f>
        <v>1</v>
      </c>
      <c r="AM765" s="98" t="b">
        <f>OR(questions[[#This Row],[is_fixed]],questions[[#This Row],[is_localized]],questions[[#This Row],[is_supply_chain_dependent]])</f>
        <v>1</v>
      </c>
      <c r="AN765" s="98" t="b">
        <f>COUNTIFS(questions[[#This Row],[is_automated]:[is_multi_select]],TRUE)=1</f>
        <v>1</v>
      </c>
      <c r="AO765" s="98" t="b">
        <f>IF(questions[[#This Row],[is_fixed]],questions[[#This Row],[question]]=INDEX(stable[question],MATCH(questions[[#This Row],[qno]],stable[qno],0)),TRUE)</f>
        <v>1</v>
      </c>
      <c r="AP765" s="98" t="str">
        <f>LEFT(questions[[#This Row],[question]],similarity_range)</f>
        <v>Do you implement mul</v>
      </c>
      <c r="AQ765" s="98" t="str">
        <f>LEFT(INDEX(stable[question],MATCH(questions[[#This Row],[qno]],stable[qno],0)),similarity_range)</f>
        <v>Do you implement mul</v>
      </c>
      <c r="AR765" s="98" t="b">
        <f>questions[[#This Row],[question_first_characters]]=questions[[#This Row],[stability_first_characters]]</f>
        <v>1</v>
      </c>
      <c r="AS765" s="98" t="b">
        <f>IF(OR(questions[[#This Row],[is_single_select]],questions[[#This Row],[is_multi_select]]),NOT(ISBLANK(questions[[#This Row],[answer_opt_combined]])),TRUE)</f>
        <v>1</v>
      </c>
    </row>
    <row r="766" spans="1:45" s="77" customFormat="1" ht="15.75" customHeight="1" x14ac:dyDescent="0.25">
      <c r="A766" s="77" t="str">
        <f>_xlfn.TEXTJOIN("_",TRUE,questions[[#This Row],[origin]:[qno]])</f>
        <v>Kenya_Arabica_Nestle_2024_7101</v>
      </c>
      <c r="B766" s="77" t="s">
        <v>818</v>
      </c>
      <c r="C766" s="77" t="s">
        <v>59</v>
      </c>
      <c r="D766" s="77" t="s">
        <v>819</v>
      </c>
      <c r="E766" s="77">
        <v>2024</v>
      </c>
      <c r="F766" s="105" t="s">
        <v>336</v>
      </c>
      <c r="G766" s="78" t="s">
        <v>337</v>
      </c>
      <c r="H766" s="33" t="str" cm="1">
        <f t="array" ref="H766">INDEX(stableR[question],MATCH(VALUE(questions[[#This Row],[qno]]),VALUE(stableR[qno]),0))</f>
        <v>If so, what is the % or proportion of your coffee plots using mulching and/or cover crops?</v>
      </c>
      <c r="I766" s="33" t="b" cm="1">
        <f t="array" ref="I766">INDEX(stable[is_fixed],MATCH(VALUE(questions[[#This Row],[qno]]),VALUE(stable[qno]),0))</f>
        <v>1</v>
      </c>
      <c r="J766" s="33" t="b" cm="1">
        <f t="array" ref="J766">INDEX(stable[is_localized],MATCH(VALUE(questions[[#This Row],[qno]]),VALUE(stable[qno]),0))</f>
        <v>0</v>
      </c>
      <c r="K766" s="33" t="b" cm="1">
        <f t="array" ref="K766">INDEX(stable[is_supply_chain_dependent],MATCH(VALUE(questions[[#This Row],[qno]]),VALUE(stable[qno]),0))</f>
        <v>0</v>
      </c>
      <c r="L766" s="33" t="b" cm="1">
        <f t="array" ref="L766">INDEX(stable[is_mandatory],MATCH(VALUE(questions[[#This Row],[qno]]),VALUE(stable[qno]),0))</f>
        <v>0</v>
      </c>
      <c r="M766" s="33" t="b" cm="1">
        <f t="array" ref="M766">INDEX(stable[is_automated],MATCH(VALUE(questions[[#This Row],[qno]]),VALUE(stable[qno]),0))</f>
        <v>0</v>
      </c>
      <c r="N766" s="33" t="b" cm="1">
        <f t="array" ref="N766">INDEX(stable[is_free_text],MATCH(VALUE(questions[[#This Row],[qno]]),VALUE(stable[qno]),0))</f>
        <v>0</v>
      </c>
      <c r="O766" s="33" t="b" cm="1">
        <f t="array" ref="O766">INDEX(stable[is_numerical],MATCH(VALUE(questions[[#This Row],[qno]]),VALUE(stable[qno]),0))</f>
        <v>0</v>
      </c>
      <c r="P766" s="77" t="b" cm="1">
        <f t="array" ref="P766">INDEX(stable[is_single_select],MATCH(VALUE(questions[[#This Row],[qno]]),VALUE(stable[qno]),0))</f>
        <v>1</v>
      </c>
      <c r="Q766" s="77" t="b" cm="1">
        <f t="array" ref="Q766">INDEX(stable[is_multi_select],MATCH(VALUE(questions[[#This Row],[qno]]),VALUE(stable[qno]),0))</f>
        <v>0</v>
      </c>
      <c r="R766" s="77" t="b" cm="1">
        <f t="array" ref="R766">INDEX(stable[is_skip_logic],MATCH(VALUE(questions[[#This Row],[qno]]),VALUE(stable[qno]),0))</f>
        <v>1</v>
      </c>
      <c r="S766" s="77" t="str">
        <f>_xlfn.TEXTJOIN(", ",TRUE,questions[[#This Row],[ans_opt_1]:[ans_opt_14]])</f>
        <v>1% to 25% - little to a quarter, 26% to 50% - less than half, 51% to 75% - more than half, 76% to 100% - almost all</v>
      </c>
      <c r="T766" s="77" t="s">
        <v>338</v>
      </c>
      <c r="U766" s="77" t="s">
        <v>339</v>
      </c>
      <c r="V766" s="77" t="s">
        <v>340</v>
      </c>
      <c r="W766" s="77" t="s">
        <v>341</v>
      </c>
      <c r="AH766" s="98" t="b">
        <f>INDEX(stable[q_standard],MATCH(questions[[#This Row],[qno]],stable[qno],0))</f>
        <v>0</v>
      </c>
      <c r="AI766" s="98" t="b">
        <f>INDEX(stable[q_living_income],MATCH(questions[[#This Row],[qno]],stable[qno],0))</f>
        <v>0</v>
      </c>
      <c r="AJ766" s="98" t="b">
        <f>INDEX(stable[q_carbon],MATCH(questions[[#This Row],[qno]],stable[qno],0))</f>
        <v>0</v>
      </c>
      <c r="AK766" s="98" t="b">
        <f>INDEX(stable[q_regen_ag],MATCH(questions[[#This Row],[qno]],stable[qno],0))</f>
        <v>1</v>
      </c>
      <c r="AL766" s="98" t="b">
        <f>COUNTIFS(stable[qno],questions[[#This Row],[qno]])=1</f>
        <v>1</v>
      </c>
      <c r="AM766" s="98" t="b">
        <f>OR(questions[[#This Row],[is_fixed]],questions[[#This Row],[is_localized]],questions[[#This Row],[is_supply_chain_dependent]])</f>
        <v>1</v>
      </c>
      <c r="AN766" s="98" t="b">
        <f>COUNTIFS(questions[[#This Row],[is_automated]:[is_multi_select]],TRUE)=1</f>
        <v>1</v>
      </c>
      <c r="AO766" s="98" t="b">
        <f>IF(questions[[#This Row],[is_fixed]],questions[[#This Row],[question]]=INDEX(stable[question],MATCH(questions[[#This Row],[qno]],stable[qno],0)),TRUE)</f>
        <v>1</v>
      </c>
      <c r="AP766" s="98" t="str">
        <f>LEFT(questions[[#This Row],[question]],similarity_range)</f>
        <v>If so, what is the %</v>
      </c>
      <c r="AQ766" s="98" t="str">
        <f>LEFT(INDEX(stable[question],MATCH(questions[[#This Row],[qno]],stable[qno],0)),similarity_range)</f>
        <v>If so, what is the %</v>
      </c>
      <c r="AR766" s="98" t="b">
        <f>questions[[#This Row],[question_first_characters]]=questions[[#This Row],[stability_first_characters]]</f>
        <v>1</v>
      </c>
      <c r="AS766" s="98" t="b">
        <f>IF(OR(questions[[#This Row],[is_single_select]],questions[[#This Row],[is_multi_select]]),NOT(ISBLANK(questions[[#This Row],[answer_opt_combined]])),TRUE)</f>
        <v>1</v>
      </c>
    </row>
    <row r="767" spans="1:45" s="77" customFormat="1" ht="15.75" customHeight="1" x14ac:dyDescent="0.25">
      <c r="A767" s="77" t="str">
        <f>_xlfn.TEXTJOIN("_",TRUE,questions[[#This Row],[origin]:[qno]])</f>
        <v>Kenya_Arabica_Nestle_2024_7102</v>
      </c>
      <c r="B767" s="77" t="s">
        <v>818</v>
      </c>
      <c r="C767" s="77" t="s">
        <v>59</v>
      </c>
      <c r="D767" s="77" t="s">
        <v>819</v>
      </c>
      <c r="E767" s="77">
        <v>2024</v>
      </c>
      <c r="F767" s="105" t="s">
        <v>342</v>
      </c>
      <c r="G767" s="78" t="s">
        <v>861</v>
      </c>
      <c r="H767" s="33" t="str" cm="1">
        <f t="array" ref="H767">INDEX(stableR[question],MATCH(VALUE(questions[[#This Row],[qno]]),VALUE(stableR[qno]),0))</f>
        <v>And for how many months per year?</v>
      </c>
      <c r="I767" s="33" t="b" cm="1">
        <f t="array" ref="I767">INDEX(stable[is_fixed],MATCH(VALUE(questions[[#This Row],[qno]]),VALUE(stable[qno]),0))</f>
        <v>1</v>
      </c>
      <c r="J767" s="33" t="b" cm="1">
        <f t="array" ref="J767">INDEX(stable[is_localized],MATCH(VALUE(questions[[#This Row],[qno]]),VALUE(stable[qno]),0))</f>
        <v>0</v>
      </c>
      <c r="K767" s="33" t="b" cm="1">
        <f t="array" ref="K767">INDEX(stable[is_supply_chain_dependent],MATCH(VALUE(questions[[#This Row],[qno]]),VALUE(stable[qno]),0))</f>
        <v>0</v>
      </c>
      <c r="L767" s="33" t="b" cm="1">
        <f t="array" ref="L767">INDEX(stable[is_mandatory],MATCH(VALUE(questions[[#This Row],[qno]]),VALUE(stable[qno]),0))</f>
        <v>0</v>
      </c>
      <c r="M767" s="33" t="b" cm="1">
        <f t="array" ref="M767">INDEX(stable[is_automated],MATCH(VALUE(questions[[#This Row],[qno]]),VALUE(stable[qno]),0))</f>
        <v>0</v>
      </c>
      <c r="N767" s="33" t="b" cm="1">
        <f t="array" ref="N767">INDEX(stable[is_free_text],MATCH(VALUE(questions[[#This Row],[qno]]),VALUE(stable[qno]),0))</f>
        <v>0</v>
      </c>
      <c r="O767" s="33" t="b" cm="1">
        <f t="array" ref="O767">INDEX(stable[is_numerical],MATCH(VALUE(questions[[#This Row],[qno]]),VALUE(stable[qno]),0))</f>
        <v>0</v>
      </c>
      <c r="P767" s="77" t="b" cm="1">
        <f t="array" ref="P767">INDEX(stable[is_single_select],MATCH(VALUE(questions[[#This Row],[qno]]),VALUE(stable[qno]),0))</f>
        <v>1</v>
      </c>
      <c r="Q767" s="77" t="b" cm="1">
        <f t="array" ref="Q767">INDEX(stable[is_multi_select],MATCH(VALUE(questions[[#This Row],[qno]]),VALUE(stable[qno]),0))</f>
        <v>0</v>
      </c>
      <c r="R767" s="77" t="b" cm="1">
        <f t="array" ref="R767">INDEX(stable[is_skip_logic],MATCH(VALUE(questions[[#This Row],[qno]]),VALUE(stable[qno]),0))</f>
        <v>1</v>
      </c>
      <c r="S767" s="77" t="str">
        <f>_xlfn.TEXTJOIN(", ",TRUE,questions[[#This Row],[ans_opt_1]:[ans_opt_14]])</f>
        <v>&lt;6 months, 6-8 months, &gt;8 months</v>
      </c>
      <c r="T767" s="77" t="s">
        <v>344</v>
      </c>
      <c r="U767" s="77" t="s">
        <v>345</v>
      </c>
      <c r="V767" s="77" t="s">
        <v>346</v>
      </c>
      <c r="AH767" s="98" t="b">
        <f>INDEX(stable[q_standard],MATCH(questions[[#This Row],[qno]],stable[qno],0))</f>
        <v>0</v>
      </c>
      <c r="AI767" s="98" t="b">
        <f>INDEX(stable[q_living_income],MATCH(questions[[#This Row],[qno]],stable[qno],0))</f>
        <v>0</v>
      </c>
      <c r="AJ767" s="98" t="b">
        <f>INDEX(stable[q_carbon],MATCH(questions[[#This Row],[qno]],stable[qno],0))</f>
        <v>0</v>
      </c>
      <c r="AK767" s="98" t="b">
        <f>INDEX(stable[q_regen_ag],MATCH(questions[[#This Row],[qno]],stable[qno],0))</f>
        <v>1</v>
      </c>
      <c r="AL767" s="98" t="b">
        <f>COUNTIFS(stable[qno],questions[[#This Row],[qno]])=1</f>
        <v>1</v>
      </c>
      <c r="AM767" s="98" t="b">
        <f>OR(questions[[#This Row],[is_fixed]],questions[[#This Row],[is_localized]],questions[[#This Row],[is_supply_chain_dependent]])</f>
        <v>1</v>
      </c>
      <c r="AN767" s="98" t="b">
        <f>COUNTIFS(questions[[#This Row],[is_automated]:[is_multi_select]],TRUE)=1</f>
        <v>1</v>
      </c>
      <c r="AO767" s="98" t="b">
        <f>IF(questions[[#This Row],[is_fixed]],questions[[#This Row],[question]]=INDEX(stable[question],MATCH(questions[[#This Row],[qno]],stable[qno],0)),TRUE)</f>
        <v>1</v>
      </c>
      <c r="AP767" s="98" t="str">
        <f>LEFT(questions[[#This Row],[question]],similarity_range)</f>
        <v>And for how many mon</v>
      </c>
      <c r="AQ767" s="98" t="str">
        <f>LEFT(INDEX(stable[question],MATCH(questions[[#This Row],[qno]],stable[qno],0)),similarity_range)</f>
        <v>And for how many mon</v>
      </c>
      <c r="AR767" s="98" t="b">
        <f>questions[[#This Row],[question_first_characters]]=questions[[#This Row],[stability_first_characters]]</f>
        <v>1</v>
      </c>
      <c r="AS767" s="98" t="b">
        <f>IF(OR(questions[[#This Row],[is_single_select]],questions[[#This Row],[is_multi_select]]),NOT(ISBLANK(questions[[#This Row],[answer_opt_combined]])),TRUE)</f>
        <v>1</v>
      </c>
    </row>
    <row r="768" spans="1:45" s="77" customFormat="1" ht="15.75" customHeight="1" x14ac:dyDescent="0.25">
      <c r="A768" s="77" t="str">
        <f>_xlfn.TEXTJOIN("_",TRUE,questions[[#This Row],[origin]:[qno]])</f>
        <v>Kenya_Arabica_Nestle_2024_7113</v>
      </c>
      <c r="B768" s="77" t="s">
        <v>818</v>
      </c>
      <c r="C768" s="77" t="s">
        <v>59</v>
      </c>
      <c r="D768" s="77" t="s">
        <v>819</v>
      </c>
      <c r="E768" s="77">
        <v>2024</v>
      </c>
      <c r="F768" s="105" t="s">
        <v>347</v>
      </c>
      <c r="G768" s="78" t="s">
        <v>793</v>
      </c>
      <c r="H768" s="33" t="str" cm="1">
        <f t="array" ref="H768">INDEX(stableR[question],MATCH(VALUE(questions[[#This Row],[qno]]),VALUE(stableR[qno]),0))</f>
        <v>Does any area of your coffee plots have significative risk of water and/or wind erosion due to heavy rain or irrigation, terrain slope, strong winds during dry periods…? If the answer is NO, you do not need to answer the next 2 questions</v>
      </c>
      <c r="I768" s="33" t="b" cm="1">
        <f t="array" ref="I768">INDEX(stable[is_fixed],MATCH(VALUE(questions[[#This Row],[qno]]),VALUE(stable[qno]),0))</f>
        <v>1</v>
      </c>
      <c r="J768" s="33" t="b" cm="1">
        <f t="array" ref="J768">INDEX(stable[is_localized],MATCH(VALUE(questions[[#This Row],[qno]]),VALUE(stable[qno]),0))</f>
        <v>0</v>
      </c>
      <c r="K768" s="33" t="b" cm="1">
        <f t="array" ref="K768">INDEX(stable[is_supply_chain_dependent],MATCH(VALUE(questions[[#This Row],[qno]]),VALUE(stable[qno]),0))</f>
        <v>0</v>
      </c>
      <c r="L768" s="33" t="b" cm="1">
        <f t="array" ref="L768">INDEX(stable[is_mandatory],MATCH(VALUE(questions[[#This Row],[qno]]),VALUE(stable[qno]),0))</f>
        <v>1</v>
      </c>
      <c r="M768" s="33" t="b" cm="1">
        <f t="array" ref="M768">INDEX(stable[is_automated],MATCH(VALUE(questions[[#This Row],[qno]]),VALUE(stable[qno]),0))</f>
        <v>0</v>
      </c>
      <c r="N768" s="33" t="b" cm="1">
        <f t="array" ref="N768">INDEX(stable[is_free_text],MATCH(VALUE(questions[[#This Row],[qno]]),VALUE(stable[qno]),0))</f>
        <v>0</v>
      </c>
      <c r="O768" s="33" t="b" cm="1">
        <f t="array" ref="O768">INDEX(stable[is_numerical],MATCH(VALUE(questions[[#This Row],[qno]]),VALUE(stable[qno]),0))</f>
        <v>0</v>
      </c>
      <c r="P768" s="77" t="b" cm="1">
        <f t="array" ref="P768">INDEX(stable[is_single_select],MATCH(VALUE(questions[[#This Row],[qno]]),VALUE(stable[qno]),0))</f>
        <v>1</v>
      </c>
      <c r="Q768" s="77" t="b" cm="1">
        <f t="array" ref="Q768">INDEX(stable[is_multi_select],MATCH(VALUE(questions[[#This Row],[qno]]),VALUE(stable[qno]),0))</f>
        <v>0</v>
      </c>
      <c r="R768" s="77" t="b" cm="1">
        <f t="array" ref="R768">INDEX(stable[is_skip_logic],MATCH(VALUE(questions[[#This Row],[qno]]),VALUE(stable[qno]),0))</f>
        <v>1</v>
      </c>
      <c r="S768" s="77" t="str">
        <f>_xlfn.TEXTJOIN(", ",TRUE,questions[[#This Row],[ans_opt_1]:[ans_opt_14]])</f>
        <v>Yes, No</v>
      </c>
      <c r="T768" s="77" t="s">
        <v>149</v>
      </c>
      <c r="U768" s="77" t="s">
        <v>119</v>
      </c>
      <c r="AH768" s="98" t="b">
        <f>INDEX(stable[q_standard],MATCH(questions[[#This Row],[qno]],stable[qno],0))</f>
        <v>0</v>
      </c>
      <c r="AI768" s="98" t="b">
        <f>INDEX(stable[q_living_income],MATCH(questions[[#This Row],[qno]],stable[qno],0))</f>
        <v>0</v>
      </c>
      <c r="AJ768" s="98" t="b">
        <f>INDEX(stable[q_carbon],MATCH(questions[[#This Row],[qno]],stable[qno],0))</f>
        <v>0</v>
      </c>
      <c r="AK768" s="98" t="b">
        <f>INDEX(stable[q_regen_ag],MATCH(questions[[#This Row],[qno]],stable[qno],0))</f>
        <v>1</v>
      </c>
      <c r="AL768" s="98" t="b">
        <f>COUNTIFS(stable[qno],questions[[#This Row],[qno]])=1</f>
        <v>1</v>
      </c>
      <c r="AM768" s="98" t="b">
        <f>OR(questions[[#This Row],[is_fixed]],questions[[#This Row],[is_localized]],questions[[#This Row],[is_supply_chain_dependent]])</f>
        <v>1</v>
      </c>
      <c r="AN768" s="98" t="b">
        <f>COUNTIFS(questions[[#This Row],[is_automated]:[is_multi_select]],TRUE)=1</f>
        <v>1</v>
      </c>
      <c r="AO768" s="98" t="b">
        <f>IF(questions[[#This Row],[is_fixed]],questions[[#This Row],[question]]=INDEX(stable[question],MATCH(questions[[#This Row],[qno]],stable[qno],0)),TRUE)</f>
        <v>0</v>
      </c>
      <c r="AP768" s="98" t="str">
        <f>LEFT(questions[[#This Row],[question]],similarity_range)</f>
        <v>Does any area of you</v>
      </c>
      <c r="AQ768" s="98" t="str">
        <f>LEFT(INDEX(stable[question],MATCH(questions[[#This Row],[qno]],stable[qno],0)),similarity_range)</f>
        <v>Does any area of you</v>
      </c>
      <c r="AR768" s="98" t="b">
        <f>questions[[#This Row],[question_first_characters]]=questions[[#This Row],[stability_first_characters]]</f>
        <v>1</v>
      </c>
      <c r="AS768" s="98" t="b">
        <f>IF(OR(questions[[#This Row],[is_single_select]],questions[[#This Row],[is_multi_select]]),NOT(ISBLANK(questions[[#This Row],[answer_opt_combined]])),TRUE)</f>
        <v>1</v>
      </c>
    </row>
    <row r="769" spans="1:45" s="77" customFormat="1" ht="15.75" customHeight="1" x14ac:dyDescent="0.25">
      <c r="A769" s="77" t="str">
        <f>_xlfn.TEXTJOIN("_",TRUE,questions[[#This Row],[origin]:[qno]])</f>
        <v>Kenya_Arabica_Nestle_2024_7114</v>
      </c>
      <c r="B769" s="77" t="s">
        <v>818</v>
      </c>
      <c r="C769" s="77" t="s">
        <v>59</v>
      </c>
      <c r="D769" s="77" t="s">
        <v>819</v>
      </c>
      <c r="E769" s="77">
        <v>2024</v>
      </c>
      <c r="F769" s="105" t="s">
        <v>349</v>
      </c>
      <c r="G769" s="78" t="s">
        <v>794</v>
      </c>
      <c r="H769" s="33" t="str" cm="1">
        <f t="array" ref="H769">INDEX(stableR[question],MATCH(VALUE(questions[[#This Row],[qno]]),VALUE(stableR[qno]),0))</f>
        <v xml:space="preserve">If there is erosion risk, do you implement anti-erosion measures/control (e.g. trenches, terracing, windbreaks, soil coverage/mulching, bunds, contour planting…)? </v>
      </c>
      <c r="I769" s="33" t="b" cm="1">
        <f t="array" ref="I769">INDEX(stable[is_fixed],MATCH(VALUE(questions[[#This Row],[qno]]),VALUE(stable[qno]),0))</f>
        <v>1</v>
      </c>
      <c r="J769" s="33" t="b" cm="1">
        <f t="array" ref="J769">INDEX(stable[is_localized],MATCH(VALUE(questions[[#This Row],[qno]]),VALUE(stable[qno]),0))</f>
        <v>0</v>
      </c>
      <c r="K769" s="33" t="b" cm="1">
        <f t="array" ref="K769">INDEX(stable[is_supply_chain_dependent],MATCH(VALUE(questions[[#This Row],[qno]]),VALUE(stable[qno]),0))</f>
        <v>0</v>
      </c>
      <c r="L769" s="33" t="b" cm="1">
        <f t="array" ref="L769">INDEX(stable[is_mandatory],MATCH(VALUE(questions[[#This Row],[qno]]),VALUE(stable[qno]),0))</f>
        <v>0</v>
      </c>
      <c r="M769" s="33" t="b" cm="1">
        <f t="array" ref="M769">INDEX(stable[is_automated],MATCH(VALUE(questions[[#This Row],[qno]]),VALUE(stable[qno]),0))</f>
        <v>0</v>
      </c>
      <c r="N769" s="33" t="b" cm="1">
        <f t="array" ref="N769">INDEX(stable[is_free_text],MATCH(VALUE(questions[[#This Row],[qno]]),VALUE(stable[qno]),0))</f>
        <v>0</v>
      </c>
      <c r="O769" s="33" t="b" cm="1">
        <f t="array" ref="O769">INDEX(stable[is_numerical],MATCH(VALUE(questions[[#This Row],[qno]]),VALUE(stable[qno]),0))</f>
        <v>0</v>
      </c>
      <c r="P769" s="77" t="b" cm="1">
        <f t="array" ref="P769">INDEX(stable[is_single_select],MATCH(VALUE(questions[[#This Row],[qno]]),VALUE(stable[qno]),0))</f>
        <v>1</v>
      </c>
      <c r="Q769" s="77" t="b" cm="1">
        <f t="array" ref="Q769">INDEX(stable[is_multi_select],MATCH(VALUE(questions[[#This Row],[qno]]),VALUE(stable[qno]),0))</f>
        <v>0</v>
      </c>
      <c r="R769" s="77" t="b" cm="1">
        <f t="array" ref="R769">INDEX(stable[is_skip_logic],MATCH(VALUE(questions[[#This Row],[qno]]),VALUE(stable[qno]),0))</f>
        <v>1</v>
      </c>
      <c r="S769" s="77" t="str">
        <f>_xlfn.TEXTJOIN(", ",TRUE,questions[[#This Row],[ans_opt_1]:[ans_opt_14]])</f>
        <v>No, Yes-Terracing, Yes-Trenches, Yes-Windbreaks, Yes-Mulching, Yes-Cover Crops, Yes-Water dykes, Yes-Contour Planting, Yes-A combination of previous practices, Yes-Other practices</v>
      </c>
      <c r="T769" s="77" t="s">
        <v>119</v>
      </c>
      <c r="U769" s="77" t="s">
        <v>351</v>
      </c>
      <c r="V769" s="77" t="s">
        <v>352</v>
      </c>
      <c r="W769" s="77" t="s">
        <v>353</v>
      </c>
      <c r="X769" s="77" t="s">
        <v>354</v>
      </c>
      <c r="Y769" s="77" t="s">
        <v>355</v>
      </c>
      <c r="Z769" s="77" t="s">
        <v>356</v>
      </c>
      <c r="AA769" s="77" t="s">
        <v>357</v>
      </c>
      <c r="AB769" s="77" t="s">
        <v>358</v>
      </c>
      <c r="AC769" s="77" t="s">
        <v>359</v>
      </c>
      <c r="AH769" s="98" t="b">
        <f>INDEX(stable[q_standard],MATCH(questions[[#This Row],[qno]],stable[qno],0))</f>
        <v>0</v>
      </c>
      <c r="AI769" s="98" t="b">
        <f>INDEX(stable[q_living_income],MATCH(questions[[#This Row],[qno]],stable[qno],0))</f>
        <v>0</v>
      </c>
      <c r="AJ769" s="98" t="b">
        <f>INDEX(stable[q_carbon],MATCH(questions[[#This Row],[qno]],stable[qno],0))</f>
        <v>0</v>
      </c>
      <c r="AK769" s="98" t="b">
        <f>INDEX(stable[q_regen_ag],MATCH(questions[[#This Row],[qno]],stable[qno],0))</f>
        <v>1</v>
      </c>
      <c r="AL769" s="98" t="b">
        <f>COUNTIFS(stable[qno],questions[[#This Row],[qno]])=1</f>
        <v>1</v>
      </c>
      <c r="AM769" s="98" t="b">
        <f>OR(questions[[#This Row],[is_fixed]],questions[[#This Row],[is_localized]],questions[[#This Row],[is_supply_chain_dependent]])</f>
        <v>1</v>
      </c>
      <c r="AN769" s="98" t="b">
        <f>COUNTIFS(questions[[#This Row],[is_automated]:[is_multi_select]],TRUE)=1</f>
        <v>1</v>
      </c>
      <c r="AO769" s="98" t="b">
        <f>IF(questions[[#This Row],[is_fixed]],questions[[#This Row],[question]]=INDEX(stable[question],MATCH(questions[[#This Row],[qno]],stable[qno],0)),TRUE)</f>
        <v>0</v>
      </c>
      <c r="AP769" s="98" t="str">
        <f>LEFT(questions[[#This Row],[question]],similarity_range)</f>
        <v xml:space="preserve">If there is erosion </v>
      </c>
      <c r="AQ769" s="98" t="str">
        <f>LEFT(INDEX(stable[question],MATCH(questions[[#This Row],[qno]],stable[qno],0)),similarity_range)</f>
        <v xml:space="preserve">If there is erosion </v>
      </c>
      <c r="AR769" s="98" t="b">
        <f>questions[[#This Row],[question_first_characters]]=questions[[#This Row],[stability_first_characters]]</f>
        <v>1</v>
      </c>
      <c r="AS769" s="98" t="b">
        <f>IF(OR(questions[[#This Row],[is_single_select]],questions[[#This Row],[is_multi_select]]),NOT(ISBLANK(questions[[#This Row],[answer_opt_combined]])),TRUE)</f>
        <v>1</v>
      </c>
    </row>
    <row r="770" spans="1:45" s="77" customFormat="1" ht="15.75" customHeight="1" x14ac:dyDescent="0.25">
      <c r="A770" s="77" t="str">
        <f>_xlfn.TEXTJOIN("_",TRUE,questions[[#This Row],[origin]:[qno]])</f>
        <v>Kenya_Arabica_Nestle_2024_7115</v>
      </c>
      <c r="B770" s="77" t="s">
        <v>818</v>
      </c>
      <c r="C770" s="77" t="s">
        <v>59</v>
      </c>
      <c r="D770" s="77" t="s">
        <v>819</v>
      </c>
      <c r="E770" s="77">
        <v>2024</v>
      </c>
      <c r="F770" s="105" t="s">
        <v>360</v>
      </c>
      <c r="G770" s="78" t="s">
        <v>361</v>
      </c>
      <c r="H770" s="33" t="str" cm="1">
        <f t="array" ref="H770">INDEX(stableR[question],MATCH(VALUE(questions[[#This Row],[qno]]),VALUE(stableR[qno]),0))</f>
        <v>Of the area of your coffee plots with risk of erosion, can you estimate the % or proportion of that area to which you apply anti-erosion measures/control?</v>
      </c>
      <c r="I770" s="33" t="b" cm="1">
        <f t="array" ref="I770">INDEX(stable[is_fixed],MATCH(VALUE(questions[[#This Row],[qno]]),VALUE(stable[qno]),0))</f>
        <v>1</v>
      </c>
      <c r="J770" s="33" t="b" cm="1">
        <f t="array" ref="J770">INDEX(stable[is_localized],MATCH(VALUE(questions[[#This Row],[qno]]),VALUE(stable[qno]),0))</f>
        <v>0</v>
      </c>
      <c r="K770" s="33" t="b" cm="1">
        <f t="array" ref="K770">INDEX(stable[is_supply_chain_dependent],MATCH(VALUE(questions[[#This Row],[qno]]),VALUE(stable[qno]),0))</f>
        <v>0</v>
      </c>
      <c r="L770" s="33" t="b" cm="1">
        <f t="array" ref="L770">INDEX(stable[is_mandatory],MATCH(VALUE(questions[[#This Row],[qno]]),VALUE(stable[qno]),0))</f>
        <v>0</v>
      </c>
      <c r="M770" s="33" t="b" cm="1">
        <f t="array" ref="M770">INDEX(stable[is_automated],MATCH(VALUE(questions[[#This Row],[qno]]),VALUE(stable[qno]),0))</f>
        <v>0</v>
      </c>
      <c r="N770" s="33" t="b" cm="1">
        <f t="array" ref="N770">INDEX(stable[is_free_text],MATCH(VALUE(questions[[#This Row],[qno]]),VALUE(stable[qno]),0))</f>
        <v>0</v>
      </c>
      <c r="O770" s="33" t="b" cm="1">
        <f t="array" ref="O770">INDEX(stable[is_numerical],MATCH(VALUE(questions[[#This Row],[qno]]),VALUE(stable[qno]),0))</f>
        <v>0</v>
      </c>
      <c r="P770" s="77" t="b" cm="1">
        <f t="array" ref="P770">INDEX(stable[is_single_select],MATCH(VALUE(questions[[#This Row],[qno]]),VALUE(stable[qno]),0))</f>
        <v>1</v>
      </c>
      <c r="Q770" s="77" t="b" cm="1">
        <f t="array" ref="Q770">INDEX(stable[is_multi_select],MATCH(VALUE(questions[[#This Row],[qno]]),VALUE(stable[qno]),0))</f>
        <v>0</v>
      </c>
      <c r="R770" s="77" t="b" cm="1">
        <f t="array" ref="R770">INDEX(stable[is_skip_logic],MATCH(VALUE(questions[[#This Row],[qno]]),VALUE(stable[qno]),0))</f>
        <v>1</v>
      </c>
      <c r="S770" s="77" t="str">
        <f>_xlfn.TEXTJOIN(", ",TRUE,questions[[#This Row],[ans_opt_1]:[ans_opt_14]])</f>
        <v>0% - none, 1% to 25% - little to a quarter, 26% to 50% - less than half, 51% to 75% - more than half, 76% to 100% - almost all</v>
      </c>
      <c r="T770" s="77" t="s">
        <v>362</v>
      </c>
      <c r="U770" s="77" t="s">
        <v>338</v>
      </c>
      <c r="V770" s="77" t="s">
        <v>339</v>
      </c>
      <c r="W770" s="77" t="s">
        <v>340</v>
      </c>
      <c r="X770" s="77" t="s">
        <v>341</v>
      </c>
      <c r="AH770" s="98" t="b">
        <f>INDEX(stable[q_standard],MATCH(questions[[#This Row],[qno]],stable[qno],0))</f>
        <v>0</v>
      </c>
      <c r="AI770" s="98" t="b">
        <f>INDEX(stable[q_living_income],MATCH(questions[[#This Row],[qno]],stable[qno],0))</f>
        <v>0</v>
      </c>
      <c r="AJ770" s="98" t="b">
        <f>INDEX(stable[q_carbon],MATCH(questions[[#This Row],[qno]],stable[qno],0))</f>
        <v>0</v>
      </c>
      <c r="AK770" s="98" t="b">
        <f>INDEX(stable[q_regen_ag],MATCH(questions[[#This Row],[qno]],stable[qno],0))</f>
        <v>1</v>
      </c>
      <c r="AL770" s="98" t="b">
        <f>COUNTIFS(stable[qno],questions[[#This Row],[qno]])=1</f>
        <v>1</v>
      </c>
      <c r="AM770" s="98" t="b">
        <f>OR(questions[[#This Row],[is_fixed]],questions[[#This Row],[is_localized]],questions[[#This Row],[is_supply_chain_dependent]])</f>
        <v>1</v>
      </c>
      <c r="AN770" s="98" t="b">
        <f>COUNTIFS(questions[[#This Row],[is_automated]:[is_multi_select]],TRUE)=1</f>
        <v>1</v>
      </c>
      <c r="AO770" s="98" t="b">
        <f>IF(questions[[#This Row],[is_fixed]],questions[[#This Row],[question]]=INDEX(stable[question],MATCH(questions[[#This Row],[qno]],stable[qno],0)),TRUE)</f>
        <v>1</v>
      </c>
      <c r="AP770" s="98" t="str">
        <f>LEFT(questions[[#This Row],[question]],similarity_range)</f>
        <v xml:space="preserve">Of the area of your </v>
      </c>
      <c r="AQ770" s="98" t="str">
        <f>LEFT(INDEX(stable[question],MATCH(questions[[#This Row],[qno]],stable[qno],0)),similarity_range)</f>
        <v xml:space="preserve">Of the area of your </v>
      </c>
      <c r="AR770" s="98" t="b">
        <f>questions[[#This Row],[question_first_characters]]=questions[[#This Row],[stability_first_characters]]</f>
        <v>1</v>
      </c>
      <c r="AS770" s="98" t="b">
        <f>IF(OR(questions[[#This Row],[is_single_select]],questions[[#This Row],[is_multi_select]]),NOT(ISBLANK(questions[[#This Row],[answer_opt_combined]])),TRUE)</f>
        <v>1</v>
      </c>
    </row>
    <row r="771" spans="1:45" s="77" customFormat="1" ht="15.75" customHeight="1" x14ac:dyDescent="0.25">
      <c r="A771" s="77" t="str">
        <f>_xlfn.TEXTJOIN("_",TRUE,questions[[#This Row],[origin]:[qno]])</f>
        <v>Kenya_Arabica_Nestle_2024_7126</v>
      </c>
      <c r="B771" s="77" t="s">
        <v>818</v>
      </c>
      <c r="C771" s="77" t="s">
        <v>59</v>
      </c>
      <c r="D771" s="77" t="s">
        <v>819</v>
      </c>
      <c r="E771" s="77">
        <v>2024</v>
      </c>
      <c r="F771" s="105" t="s">
        <v>363</v>
      </c>
      <c r="G771" s="78" t="s">
        <v>364</v>
      </c>
      <c r="H771" s="33" t="str" cm="1">
        <f t="array" ref="H771">INDEX(stableR[question],MATCH(VALUE(questions[[#This Row],[qno]]),VALUE(stableR[qno]),0))</f>
        <v>Do you take soil samples and carry out soil analysis of your coffee plots and how often?</v>
      </c>
      <c r="I771" s="33" t="b" cm="1">
        <f t="array" ref="I771">INDEX(stable[is_fixed],MATCH(VALUE(questions[[#This Row],[qno]]),VALUE(stable[qno]),0))</f>
        <v>1</v>
      </c>
      <c r="J771" s="33" t="b" cm="1">
        <f t="array" ref="J771">INDEX(stable[is_localized],MATCH(VALUE(questions[[#This Row],[qno]]),VALUE(stable[qno]),0))</f>
        <v>0</v>
      </c>
      <c r="K771" s="33" t="b" cm="1">
        <f t="array" ref="K771">INDEX(stable[is_supply_chain_dependent],MATCH(VALUE(questions[[#This Row],[qno]]),VALUE(stable[qno]),0))</f>
        <v>0</v>
      </c>
      <c r="L771" s="33" t="b" cm="1">
        <f t="array" ref="L771">INDEX(stable[is_mandatory],MATCH(VALUE(questions[[#This Row],[qno]]),VALUE(stable[qno]),0))</f>
        <v>1</v>
      </c>
      <c r="M771" s="33" t="b" cm="1">
        <f t="array" ref="M771">INDEX(stable[is_automated],MATCH(VALUE(questions[[#This Row],[qno]]),VALUE(stable[qno]),0))</f>
        <v>0</v>
      </c>
      <c r="N771" s="33" t="b" cm="1">
        <f t="array" ref="N771">INDEX(stable[is_free_text],MATCH(VALUE(questions[[#This Row],[qno]]),VALUE(stable[qno]),0))</f>
        <v>0</v>
      </c>
      <c r="O771" s="33" t="b" cm="1">
        <f t="array" ref="O771">INDEX(stable[is_numerical],MATCH(VALUE(questions[[#This Row],[qno]]),VALUE(stable[qno]),0))</f>
        <v>0</v>
      </c>
      <c r="P771" s="77" t="b" cm="1">
        <f t="array" ref="P771">INDEX(stable[is_single_select],MATCH(VALUE(questions[[#This Row],[qno]]),VALUE(stable[qno]),0))</f>
        <v>1</v>
      </c>
      <c r="Q771" s="77" t="b" cm="1">
        <f t="array" ref="Q771">INDEX(stable[is_multi_select],MATCH(VALUE(questions[[#This Row],[qno]]),VALUE(stable[qno]),0))</f>
        <v>0</v>
      </c>
      <c r="R771" s="77" t="b" cm="1">
        <f t="array" ref="R771">INDEX(stable[is_skip_logic],MATCH(VALUE(questions[[#This Row],[qno]]),VALUE(stable[qno]),0))</f>
        <v>1</v>
      </c>
      <c r="S771" s="77" t="str">
        <f>_xlfn.TEXTJOIN(", ",TRUE,questions[[#This Row],[ans_opt_1]:[ans_opt_14]])</f>
        <v>No, Yes-every year, Yes-every 2 years, Yes-every 3 years, Yes-every &gt; 3 years</v>
      </c>
      <c r="T771" s="77" t="s">
        <v>119</v>
      </c>
      <c r="U771" s="77" t="s">
        <v>365</v>
      </c>
      <c r="V771" s="77" t="s">
        <v>366</v>
      </c>
      <c r="W771" s="77" t="s">
        <v>367</v>
      </c>
      <c r="X771" s="77" t="s">
        <v>368</v>
      </c>
      <c r="AH771" s="98" t="b">
        <f>INDEX(stable[q_standard],MATCH(questions[[#This Row],[qno]],stable[qno],0))</f>
        <v>0</v>
      </c>
      <c r="AI771" s="98" t="b">
        <f>INDEX(stable[q_living_income],MATCH(questions[[#This Row],[qno]],stable[qno],0))</f>
        <v>0</v>
      </c>
      <c r="AJ771" s="98" t="b">
        <f>INDEX(stable[q_carbon],MATCH(questions[[#This Row],[qno]],stable[qno],0))</f>
        <v>0</v>
      </c>
      <c r="AK771" s="98" t="b">
        <f>INDEX(stable[q_regen_ag],MATCH(questions[[#This Row],[qno]],stable[qno],0))</f>
        <v>1</v>
      </c>
      <c r="AL771" s="98" t="b">
        <f>COUNTIFS(stable[qno],questions[[#This Row],[qno]])=1</f>
        <v>1</v>
      </c>
      <c r="AM771" s="98" t="b">
        <f>OR(questions[[#This Row],[is_fixed]],questions[[#This Row],[is_localized]],questions[[#This Row],[is_supply_chain_dependent]])</f>
        <v>1</v>
      </c>
      <c r="AN771" s="98" t="b">
        <f>COUNTIFS(questions[[#This Row],[is_automated]:[is_multi_select]],TRUE)=1</f>
        <v>1</v>
      </c>
      <c r="AO771" s="98" t="b">
        <f>IF(questions[[#This Row],[is_fixed]],questions[[#This Row],[question]]=INDEX(stable[question],MATCH(questions[[#This Row],[qno]],stable[qno],0)),TRUE)</f>
        <v>1</v>
      </c>
      <c r="AP771" s="98" t="str">
        <f>LEFT(questions[[#This Row],[question]],similarity_range)</f>
        <v>Do you take soil sam</v>
      </c>
      <c r="AQ771" s="98" t="str">
        <f>LEFT(INDEX(stable[question],MATCH(questions[[#This Row],[qno]],stable[qno],0)),similarity_range)</f>
        <v>Do you take soil sam</v>
      </c>
      <c r="AR771" s="98" t="b">
        <f>questions[[#This Row],[question_first_characters]]=questions[[#This Row],[stability_first_characters]]</f>
        <v>1</v>
      </c>
      <c r="AS771" s="98" t="b">
        <f>IF(OR(questions[[#This Row],[is_single_select]],questions[[#This Row],[is_multi_select]]),NOT(ISBLANK(questions[[#This Row],[answer_opt_combined]])),TRUE)</f>
        <v>1</v>
      </c>
    </row>
    <row r="772" spans="1:45" s="77" customFormat="1" ht="15.75" customHeight="1" x14ac:dyDescent="0.25">
      <c r="A772" s="77" t="str">
        <f>_xlfn.TEXTJOIN("_",TRUE,questions[[#This Row],[origin]:[qno]])</f>
        <v>Kenya_Arabica_Nestle_2024_7127</v>
      </c>
      <c r="B772" s="77" t="s">
        <v>818</v>
      </c>
      <c r="C772" s="77" t="s">
        <v>59</v>
      </c>
      <c r="D772" s="77" t="s">
        <v>819</v>
      </c>
      <c r="E772" s="77">
        <v>2024</v>
      </c>
      <c r="F772" s="105" t="s">
        <v>369</v>
      </c>
      <c r="G772" s="78" t="s">
        <v>370</v>
      </c>
      <c r="H772" s="33" t="str" cm="1">
        <f t="array" ref="H772">INDEX(stableR[question],MATCH(VALUE(questions[[#This Row],[qno]]),VALUE(stableR[qno]),0))</f>
        <v>If you don´t or last analysis is older than 3 years ago, do you know the basic characteristics of the soil of your coffee plots (e.g. pH-acidity, texture-light/medium/heavy, organic matter-high/good/poor, general fertility-good/average/poor...)?</v>
      </c>
      <c r="I772" s="33" t="b" cm="1">
        <f t="array" ref="I772">INDEX(stable[is_fixed],MATCH(VALUE(questions[[#This Row],[qno]]),VALUE(stable[qno]),0))</f>
        <v>1</v>
      </c>
      <c r="J772" s="33" t="b" cm="1">
        <f t="array" ref="J772">INDEX(stable[is_localized],MATCH(VALUE(questions[[#This Row],[qno]]),VALUE(stable[qno]),0))</f>
        <v>0</v>
      </c>
      <c r="K772" s="33" t="b" cm="1">
        <f t="array" ref="K772">INDEX(stable[is_supply_chain_dependent],MATCH(VALUE(questions[[#This Row],[qno]]),VALUE(stable[qno]),0))</f>
        <v>0</v>
      </c>
      <c r="L772" s="33" t="b" cm="1">
        <f t="array" ref="L772">INDEX(stable[is_mandatory],MATCH(VALUE(questions[[#This Row],[qno]]),VALUE(stable[qno]),0))</f>
        <v>0</v>
      </c>
      <c r="M772" s="33" t="b" cm="1">
        <f t="array" ref="M772">INDEX(stable[is_automated],MATCH(VALUE(questions[[#This Row],[qno]]),VALUE(stable[qno]),0))</f>
        <v>0</v>
      </c>
      <c r="N772" s="33" t="b" cm="1">
        <f t="array" ref="N772">INDEX(stable[is_free_text],MATCH(VALUE(questions[[#This Row],[qno]]),VALUE(stable[qno]),0))</f>
        <v>0</v>
      </c>
      <c r="O772" s="33" t="b" cm="1">
        <f t="array" ref="O772">INDEX(stable[is_numerical],MATCH(VALUE(questions[[#This Row],[qno]]),VALUE(stable[qno]),0))</f>
        <v>0</v>
      </c>
      <c r="P772" s="77" t="b" cm="1">
        <f t="array" ref="P772">INDEX(stable[is_single_select],MATCH(VALUE(questions[[#This Row],[qno]]),VALUE(stable[qno]),0))</f>
        <v>1</v>
      </c>
      <c r="Q772" s="77" t="b" cm="1">
        <f t="array" ref="Q772">INDEX(stable[is_multi_select],MATCH(VALUE(questions[[#This Row],[qno]]),VALUE(stable[qno]),0))</f>
        <v>0</v>
      </c>
      <c r="R772" s="77" t="b" cm="1">
        <f t="array" ref="R772">INDEX(stable[is_skip_logic],MATCH(VALUE(questions[[#This Row],[qno]]),VALUE(stable[qno]),0))</f>
        <v>1</v>
      </c>
      <c r="S772" s="77" t="str">
        <f>_xlfn.TEXTJOIN(", ",TRUE,questions[[#This Row],[ans_opt_1]:[ans_opt_14]])</f>
        <v>Yes, No</v>
      </c>
      <c r="T772" s="77" t="s">
        <v>149</v>
      </c>
      <c r="U772" s="77" t="s">
        <v>119</v>
      </c>
      <c r="AH772" s="98" t="b">
        <f>INDEX(stable[q_standard],MATCH(questions[[#This Row],[qno]],stable[qno],0))</f>
        <v>0</v>
      </c>
      <c r="AI772" s="98" t="b">
        <f>INDEX(stable[q_living_income],MATCH(questions[[#This Row],[qno]],stable[qno],0))</f>
        <v>0</v>
      </c>
      <c r="AJ772" s="98" t="b">
        <f>INDEX(stable[q_carbon],MATCH(questions[[#This Row],[qno]],stable[qno],0))</f>
        <v>0</v>
      </c>
      <c r="AK772" s="98" t="b">
        <f>INDEX(stable[q_regen_ag],MATCH(questions[[#This Row],[qno]],stable[qno],0))</f>
        <v>1</v>
      </c>
      <c r="AL772" s="98" t="b">
        <f>COUNTIFS(stable[qno],questions[[#This Row],[qno]])=1</f>
        <v>1</v>
      </c>
      <c r="AM772" s="98" t="b">
        <f>OR(questions[[#This Row],[is_fixed]],questions[[#This Row],[is_localized]],questions[[#This Row],[is_supply_chain_dependent]])</f>
        <v>1</v>
      </c>
      <c r="AN772" s="98" t="b">
        <f>COUNTIFS(questions[[#This Row],[is_automated]:[is_multi_select]],TRUE)=1</f>
        <v>1</v>
      </c>
      <c r="AO772" s="98" t="b">
        <f>IF(questions[[#This Row],[is_fixed]],questions[[#This Row],[question]]=INDEX(stable[question],MATCH(questions[[#This Row],[qno]],stable[qno],0)),TRUE)</f>
        <v>1</v>
      </c>
      <c r="AP772" s="98" t="str">
        <f>LEFT(questions[[#This Row],[question]],similarity_range)</f>
        <v>If you don´t or last</v>
      </c>
      <c r="AQ772" s="98" t="str">
        <f>LEFT(INDEX(stable[question],MATCH(questions[[#This Row],[qno]],stable[qno],0)),similarity_range)</f>
        <v>If you don´t or last</v>
      </c>
      <c r="AR772" s="98" t="b">
        <f>questions[[#This Row],[question_first_characters]]=questions[[#This Row],[stability_first_characters]]</f>
        <v>1</v>
      </c>
      <c r="AS772" s="98" t="b">
        <f>IF(OR(questions[[#This Row],[is_single_select]],questions[[#This Row],[is_multi_select]]),NOT(ISBLANK(questions[[#This Row],[answer_opt_combined]])),TRUE)</f>
        <v>1</v>
      </c>
    </row>
    <row r="773" spans="1:45" s="77" customFormat="1" ht="15.75" customHeight="1" x14ac:dyDescent="0.25">
      <c r="A773" s="77" t="str">
        <f>_xlfn.TEXTJOIN("_",TRUE,questions[[#This Row],[origin]:[qno]])</f>
        <v>Kenya_Arabica_Nestle_2024_7128</v>
      </c>
      <c r="B773" s="77" t="s">
        <v>818</v>
      </c>
      <c r="C773" s="77" t="s">
        <v>59</v>
      </c>
      <c r="D773" s="77" t="s">
        <v>819</v>
      </c>
      <c r="E773" s="77">
        <v>2024</v>
      </c>
      <c r="F773" s="105" t="s">
        <v>371</v>
      </c>
      <c r="G773" s="78" t="s">
        <v>372</v>
      </c>
      <c r="H773" s="33" t="str" cm="1">
        <f t="array" ref="H773">INDEX(stableR[question],MATCH(VALUE(questions[[#This Row],[qno]]),VALUE(stableR[qno]),0))</f>
        <v>What is the most common system to determine the amount and/or the type of organic and synthetic fertilizers that you use in your coffee crop?</v>
      </c>
      <c r="I773" s="33" t="b" cm="1">
        <f t="array" ref="I773">INDEX(stable[is_fixed],MATCH(VALUE(questions[[#This Row],[qno]]),VALUE(stable[qno]),0))</f>
        <v>1</v>
      </c>
      <c r="J773" s="33" t="b" cm="1">
        <f t="array" ref="J773">INDEX(stable[is_localized],MATCH(VALUE(questions[[#This Row],[qno]]),VALUE(stable[qno]),0))</f>
        <v>0</v>
      </c>
      <c r="K773" s="33" t="b" cm="1">
        <f t="array" ref="K773">INDEX(stable[is_supply_chain_dependent],MATCH(VALUE(questions[[#This Row],[qno]]),VALUE(stable[qno]),0))</f>
        <v>0</v>
      </c>
      <c r="L773" s="33" t="b" cm="1">
        <f t="array" ref="L773">INDEX(stable[is_mandatory],MATCH(VALUE(questions[[#This Row],[qno]]),VALUE(stable[qno]),0))</f>
        <v>1</v>
      </c>
      <c r="M773" s="33" t="b" cm="1">
        <f t="array" ref="M773">INDEX(stable[is_automated],MATCH(VALUE(questions[[#This Row],[qno]]),VALUE(stable[qno]),0))</f>
        <v>0</v>
      </c>
      <c r="N773" s="33" t="b" cm="1">
        <f t="array" ref="N773">INDEX(stable[is_free_text],MATCH(VALUE(questions[[#This Row],[qno]]),VALUE(stable[qno]),0))</f>
        <v>0</v>
      </c>
      <c r="O773" s="33" t="b" cm="1">
        <f t="array" ref="O773">INDEX(stable[is_numerical],MATCH(VALUE(questions[[#This Row],[qno]]),VALUE(stable[qno]),0))</f>
        <v>0</v>
      </c>
      <c r="P773" s="77" t="b" cm="1">
        <f t="array" ref="P773">INDEX(stable[is_single_select],MATCH(VALUE(questions[[#This Row],[qno]]),VALUE(stable[qno]),0))</f>
        <v>1</v>
      </c>
      <c r="Q773" s="77" t="b" cm="1">
        <f t="array" ref="Q773">INDEX(stable[is_multi_select],MATCH(VALUE(questions[[#This Row],[qno]]),VALUE(stable[qno]),0))</f>
        <v>0</v>
      </c>
      <c r="R773" s="77" t="b" cm="1">
        <f t="array" ref="R773">INDEX(stable[is_skip_logic],MATCH(VALUE(questions[[#This Row],[qno]]),VALUE(stable[qno]),0))</f>
        <v>0</v>
      </c>
      <c r="S773" s="77" t="str">
        <f>_xlfn.TEXTJOIN(", ",TRUE,questions[[#This Row],[ans_opt_1]:[ans_opt_14]])</f>
        <v>Based on my own judgment-experience, Based on what I can afford, I always use the same fertilization, Based on soil analysis or soil knowledge, Based on soil analysis or soil knowledge and the expected yield of the crop, Based on recommendations from experts (agronomists, field officers, extension services...) , Based on recommendations from input suppliers, I don't use organic or synthetic fertilizers, based on other reasons then the above options</v>
      </c>
      <c r="T773" s="77" t="s">
        <v>373</v>
      </c>
      <c r="U773" s="77" t="s">
        <v>374</v>
      </c>
      <c r="V773" s="77" t="s">
        <v>375</v>
      </c>
      <c r="W773" s="77" t="s">
        <v>376</v>
      </c>
      <c r="X773" s="77" t="s">
        <v>377</v>
      </c>
      <c r="Y773" s="77" t="s">
        <v>796</v>
      </c>
      <c r="Z773" s="77" t="s">
        <v>379</v>
      </c>
      <c r="AA773" s="77" t="s">
        <v>380</v>
      </c>
      <c r="AH773" s="98" t="b">
        <f>INDEX(stable[q_standard],MATCH(questions[[#This Row],[qno]],stable[qno],0))</f>
        <v>0</v>
      </c>
      <c r="AI773" s="98" t="b">
        <f>INDEX(stable[q_living_income],MATCH(questions[[#This Row],[qno]],stable[qno],0))</f>
        <v>0</v>
      </c>
      <c r="AJ773" s="98" t="b">
        <f>INDEX(stable[q_carbon],MATCH(questions[[#This Row],[qno]],stable[qno],0))</f>
        <v>0</v>
      </c>
      <c r="AK773" s="98" t="b">
        <f>INDEX(stable[q_regen_ag],MATCH(questions[[#This Row],[qno]],stable[qno],0))</f>
        <v>1</v>
      </c>
      <c r="AL773" s="98" t="b">
        <f>COUNTIFS(stable[qno],questions[[#This Row],[qno]])=1</f>
        <v>1</v>
      </c>
      <c r="AM773" s="98" t="b">
        <f>OR(questions[[#This Row],[is_fixed]],questions[[#This Row],[is_localized]],questions[[#This Row],[is_supply_chain_dependent]])</f>
        <v>1</v>
      </c>
      <c r="AN773" s="98" t="b">
        <f>COUNTIFS(questions[[#This Row],[is_automated]:[is_multi_select]],TRUE)=1</f>
        <v>1</v>
      </c>
      <c r="AO773" s="98" t="b">
        <f>IF(questions[[#This Row],[is_fixed]],questions[[#This Row],[question]]=INDEX(stable[question],MATCH(questions[[#This Row],[qno]],stable[qno],0)),TRUE)</f>
        <v>1</v>
      </c>
      <c r="AP773" s="98" t="str">
        <f>LEFT(questions[[#This Row],[question]],similarity_range)</f>
        <v>What is the most com</v>
      </c>
      <c r="AQ773" s="98" t="str">
        <f>LEFT(INDEX(stable[question],MATCH(questions[[#This Row],[qno]],stable[qno],0)),similarity_range)</f>
        <v>What is the most com</v>
      </c>
      <c r="AR773" s="98" t="b">
        <f>questions[[#This Row],[question_first_characters]]=questions[[#This Row],[stability_first_characters]]</f>
        <v>1</v>
      </c>
      <c r="AS773" s="98" t="b">
        <f>IF(OR(questions[[#This Row],[is_single_select]],questions[[#This Row],[is_multi_select]]),NOT(ISBLANK(questions[[#This Row],[answer_opt_combined]])),TRUE)</f>
        <v>1</v>
      </c>
    </row>
    <row r="774" spans="1:45" s="77" customFormat="1" ht="15.75" customHeight="1" x14ac:dyDescent="0.25">
      <c r="A774" s="77" t="str">
        <f>_xlfn.TEXTJOIN("_",TRUE,questions[[#This Row],[origin]:[qno]])</f>
        <v>Kenya_Arabica_Nestle_2024_7131</v>
      </c>
      <c r="B774" s="77" t="s">
        <v>818</v>
      </c>
      <c r="C774" s="77" t="s">
        <v>59</v>
      </c>
      <c r="D774" s="77" t="s">
        <v>819</v>
      </c>
      <c r="E774" s="77">
        <v>2024</v>
      </c>
      <c r="F774" s="105" t="s">
        <v>381</v>
      </c>
      <c r="G774" s="78" t="s">
        <v>382</v>
      </c>
      <c r="H774" s="33" t="str" cm="1">
        <f t="array" ref="H774">INDEX(stableR[question],MATCH(VALUE(questions[[#This Row],[qno]]),VALUE(stableR[qno]),0))</f>
        <v>How often do you apply synthetic fertilizer per season in your coffee crop?</v>
      </c>
      <c r="I774" s="33" t="b" cm="1">
        <f t="array" ref="I774">INDEX(stable[is_fixed],MATCH(VALUE(questions[[#This Row],[qno]]),VALUE(stable[qno]),0))</f>
        <v>1</v>
      </c>
      <c r="J774" s="33" t="b" cm="1">
        <f t="array" ref="J774">INDEX(stable[is_localized],MATCH(VALUE(questions[[#This Row],[qno]]),VALUE(stable[qno]),0))</f>
        <v>0</v>
      </c>
      <c r="K774" s="33" t="b" cm="1">
        <f t="array" ref="K774">INDEX(stable[is_supply_chain_dependent],MATCH(VALUE(questions[[#This Row],[qno]]),VALUE(stable[qno]),0))</f>
        <v>0</v>
      </c>
      <c r="L774" s="33" t="b" cm="1">
        <f t="array" ref="L774">INDEX(stable[is_mandatory],MATCH(VALUE(questions[[#This Row],[qno]]),VALUE(stable[qno]),0))</f>
        <v>1</v>
      </c>
      <c r="M774" s="33" t="b" cm="1">
        <f t="array" ref="M774">INDEX(stable[is_automated],MATCH(VALUE(questions[[#This Row],[qno]]),VALUE(stable[qno]),0))</f>
        <v>0</v>
      </c>
      <c r="N774" s="33" t="b" cm="1">
        <f t="array" ref="N774">INDEX(stable[is_free_text],MATCH(VALUE(questions[[#This Row],[qno]]),VALUE(stable[qno]),0))</f>
        <v>0</v>
      </c>
      <c r="O774" s="33" t="b" cm="1">
        <f t="array" ref="O774">INDEX(stable[is_numerical],MATCH(VALUE(questions[[#This Row],[qno]]),VALUE(stable[qno]),0))</f>
        <v>0</v>
      </c>
      <c r="P774" s="77" t="b" cm="1">
        <f t="array" ref="P774">INDEX(stable[is_single_select],MATCH(VALUE(questions[[#This Row],[qno]]),VALUE(stable[qno]),0))</f>
        <v>1</v>
      </c>
      <c r="Q774" s="77" t="b" cm="1">
        <f t="array" ref="Q774">INDEX(stable[is_multi_select],MATCH(VALUE(questions[[#This Row],[qno]]),VALUE(stable[qno]),0))</f>
        <v>0</v>
      </c>
      <c r="R774" s="77" t="b" cm="1">
        <f t="array" ref="R774">INDEX(stable[is_skip_logic],MATCH(VALUE(questions[[#This Row],[qno]]),VALUE(stable[qno]),0))</f>
        <v>0</v>
      </c>
      <c r="S774" s="77" t="str">
        <f>_xlfn.TEXTJOIN(", ",TRUE,questions[[#This Row],[ans_opt_1]:[ans_opt_14]])</f>
        <v>I don't apply, I apply once per season, I apply multiple times throughout the season</v>
      </c>
      <c r="T774" s="77" t="s">
        <v>383</v>
      </c>
      <c r="U774" s="77" t="s">
        <v>384</v>
      </c>
      <c r="V774" s="77" t="s">
        <v>385</v>
      </c>
      <c r="AH774" s="98" t="b">
        <f>INDEX(stable[q_standard],MATCH(questions[[#This Row],[qno]],stable[qno],0))</f>
        <v>0</v>
      </c>
      <c r="AI774" s="98" t="b">
        <f>INDEX(stable[q_living_income],MATCH(questions[[#This Row],[qno]],stable[qno],0))</f>
        <v>0</v>
      </c>
      <c r="AJ774" s="98" t="b">
        <f>INDEX(stable[q_carbon],MATCH(questions[[#This Row],[qno]],stable[qno],0))</f>
        <v>0</v>
      </c>
      <c r="AK774" s="98" t="b">
        <f>INDEX(stable[q_regen_ag],MATCH(questions[[#This Row],[qno]],stable[qno],0))</f>
        <v>1</v>
      </c>
      <c r="AL774" s="98" t="b">
        <f>COUNTIFS(stable[qno],questions[[#This Row],[qno]])=1</f>
        <v>1</v>
      </c>
      <c r="AM774" s="98" t="b">
        <f>OR(questions[[#This Row],[is_fixed]],questions[[#This Row],[is_localized]],questions[[#This Row],[is_supply_chain_dependent]])</f>
        <v>1</v>
      </c>
      <c r="AN774" s="98" t="b">
        <f>COUNTIFS(questions[[#This Row],[is_automated]:[is_multi_select]],TRUE)=1</f>
        <v>1</v>
      </c>
      <c r="AO774" s="98" t="b">
        <f>IF(questions[[#This Row],[is_fixed]],questions[[#This Row],[question]]=INDEX(stable[question],MATCH(questions[[#This Row],[qno]],stable[qno],0)),TRUE)</f>
        <v>1</v>
      </c>
      <c r="AP774" s="98" t="str">
        <f>LEFT(questions[[#This Row],[question]],similarity_range)</f>
        <v>How often do you app</v>
      </c>
      <c r="AQ774" s="98" t="str">
        <f>LEFT(INDEX(stable[question],MATCH(questions[[#This Row],[qno]],stable[qno],0)),similarity_range)</f>
        <v>How often do you app</v>
      </c>
      <c r="AR774" s="98" t="b">
        <f>questions[[#This Row],[question_first_characters]]=questions[[#This Row],[stability_first_characters]]</f>
        <v>1</v>
      </c>
      <c r="AS774" s="98" t="b">
        <f>IF(OR(questions[[#This Row],[is_single_select]],questions[[#This Row],[is_multi_select]]),NOT(ISBLANK(questions[[#This Row],[answer_opt_combined]])),TRUE)</f>
        <v>1</v>
      </c>
    </row>
    <row r="775" spans="1:45" s="77" customFormat="1" ht="15.75" customHeight="1" x14ac:dyDescent="0.25">
      <c r="A775" s="77" t="str">
        <f>_xlfn.TEXTJOIN("_",TRUE,questions[[#This Row],[origin]:[qno]])</f>
        <v>Kenya_Arabica_Nestle_2024_7132</v>
      </c>
      <c r="B775" s="77" t="s">
        <v>818</v>
      </c>
      <c r="C775" s="77" t="s">
        <v>59</v>
      </c>
      <c r="D775" s="77" t="s">
        <v>819</v>
      </c>
      <c r="E775" s="77">
        <v>2024</v>
      </c>
      <c r="F775" s="105" t="s">
        <v>386</v>
      </c>
      <c r="G775" s="78" t="s">
        <v>387</v>
      </c>
      <c r="H775" s="33" t="str" cm="1">
        <f t="array" ref="H775">INDEX(stableR[question],MATCH(VALUE(questions[[#This Row],[qno]]),VALUE(stableR[qno]),0))</f>
        <v>How do you apply the organic and synthetic fertilizers to the coffee trees in the coffee plots?</v>
      </c>
      <c r="I775" s="33" t="b" cm="1">
        <f t="array" ref="I775">INDEX(stable[is_fixed],MATCH(VALUE(questions[[#This Row],[qno]]),VALUE(stable[qno]),0))</f>
        <v>1</v>
      </c>
      <c r="J775" s="33" t="b" cm="1">
        <f t="array" ref="J775">INDEX(stable[is_localized],MATCH(VALUE(questions[[#This Row],[qno]]),VALUE(stable[qno]),0))</f>
        <v>0</v>
      </c>
      <c r="K775" s="33" t="b" cm="1">
        <f t="array" ref="K775">INDEX(stable[is_supply_chain_dependent],MATCH(VALUE(questions[[#This Row],[qno]]),VALUE(stable[qno]),0))</f>
        <v>0</v>
      </c>
      <c r="L775" s="33" t="b" cm="1">
        <f t="array" ref="L775">INDEX(stable[is_mandatory],MATCH(VALUE(questions[[#This Row],[qno]]),VALUE(stable[qno]),0))</f>
        <v>0</v>
      </c>
      <c r="M775" s="33" t="b" cm="1">
        <f t="array" ref="M775">INDEX(stable[is_automated],MATCH(VALUE(questions[[#This Row],[qno]]),VALUE(stable[qno]),0))</f>
        <v>0</v>
      </c>
      <c r="N775" s="33" t="b" cm="1">
        <f t="array" ref="N775">INDEX(stable[is_free_text],MATCH(VALUE(questions[[#This Row],[qno]]),VALUE(stable[qno]),0))</f>
        <v>0</v>
      </c>
      <c r="O775" s="33" t="b" cm="1">
        <f t="array" ref="O775">INDEX(stable[is_numerical],MATCH(VALUE(questions[[#This Row],[qno]]),VALUE(stable[qno]),0))</f>
        <v>0</v>
      </c>
      <c r="P775" s="77" t="b" cm="1">
        <f t="array" ref="P775">INDEX(stable[is_single_select],MATCH(VALUE(questions[[#This Row],[qno]]),VALUE(stable[qno]),0))</f>
        <v>1</v>
      </c>
      <c r="Q775" s="77" t="b" cm="1">
        <f t="array" ref="Q775">INDEX(stable[is_multi_select],MATCH(VALUE(questions[[#This Row],[qno]]),VALUE(stable[qno]),0))</f>
        <v>0</v>
      </c>
      <c r="R775" s="77" t="b" cm="1">
        <f t="array" ref="R775">INDEX(stable[is_skip_logic],MATCH(VALUE(questions[[#This Row],[qno]]),VALUE(stable[qno]),0))</f>
        <v>0</v>
      </c>
      <c r="S775" s="77" t="str">
        <f>_xlfn.TEXTJOIN(", ",TRUE,questions[[#This Row],[ans_opt_1]:[ans_opt_14]])</f>
        <v>Around the tree , In bands close to the trees, Broadcasted in all the field, Through the irrigation system (e.g. drip)</v>
      </c>
      <c r="T775" s="77" t="s">
        <v>797</v>
      </c>
      <c r="U775" s="77" t="s">
        <v>389</v>
      </c>
      <c r="V775" s="77" t="s">
        <v>390</v>
      </c>
      <c r="W775" s="77" t="s">
        <v>391</v>
      </c>
      <c r="AH775" s="98" t="b">
        <f>INDEX(stable[q_standard],MATCH(questions[[#This Row],[qno]],stable[qno],0))</f>
        <v>0</v>
      </c>
      <c r="AI775" s="98" t="b">
        <f>INDEX(stable[q_living_income],MATCH(questions[[#This Row],[qno]],stable[qno],0))</f>
        <v>0</v>
      </c>
      <c r="AJ775" s="98" t="b">
        <f>INDEX(stable[q_carbon],MATCH(questions[[#This Row],[qno]],stable[qno],0))</f>
        <v>0</v>
      </c>
      <c r="AK775" s="98" t="b">
        <f>INDEX(stable[q_regen_ag],MATCH(questions[[#This Row],[qno]],stable[qno],0))</f>
        <v>1</v>
      </c>
      <c r="AL775" s="98" t="b">
        <f>COUNTIFS(stable[qno],questions[[#This Row],[qno]])=1</f>
        <v>1</v>
      </c>
      <c r="AM775" s="98" t="b">
        <f>OR(questions[[#This Row],[is_fixed]],questions[[#This Row],[is_localized]],questions[[#This Row],[is_supply_chain_dependent]])</f>
        <v>1</v>
      </c>
      <c r="AN775" s="98" t="b">
        <f>COUNTIFS(questions[[#This Row],[is_automated]:[is_multi_select]],TRUE)=1</f>
        <v>1</v>
      </c>
      <c r="AO775" s="98" t="b">
        <f>IF(questions[[#This Row],[is_fixed]],questions[[#This Row],[question]]=INDEX(stable[question],MATCH(questions[[#This Row],[qno]],stable[qno],0)),TRUE)</f>
        <v>1</v>
      </c>
      <c r="AP775" s="98" t="str">
        <f>LEFT(questions[[#This Row],[question]],similarity_range)</f>
        <v>How do you apply the</v>
      </c>
      <c r="AQ775" s="98" t="str">
        <f>LEFT(INDEX(stable[question],MATCH(questions[[#This Row],[qno]],stable[qno],0)),similarity_range)</f>
        <v>How do you apply the</v>
      </c>
      <c r="AR775" s="98" t="b">
        <f>questions[[#This Row],[question_first_characters]]=questions[[#This Row],[stability_first_characters]]</f>
        <v>1</v>
      </c>
      <c r="AS775" s="98" t="b">
        <f>IF(OR(questions[[#This Row],[is_single_select]],questions[[#This Row],[is_multi_select]]),NOT(ISBLANK(questions[[#This Row],[answer_opt_combined]])),TRUE)</f>
        <v>1</v>
      </c>
    </row>
    <row r="776" spans="1:45" s="77" customFormat="1" ht="15.75" customHeight="1" x14ac:dyDescent="0.25">
      <c r="A776" s="77" t="str">
        <f>_xlfn.TEXTJOIN("_",TRUE,questions[[#This Row],[origin]:[qno]])</f>
        <v>Kenya_Arabica_Nestle_2024_7133</v>
      </c>
      <c r="B776" s="77" t="s">
        <v>818</v>
      </c>
      <c r="C776" s="77" t="s">
        <v>59</v>
      </c>
      <c r="D776" s="77" t="s">
        <v>819</v>
      </c>
      <c r="E776" s="77">
        <v>2024</v>
      </c>
      <c r="F776" s="105" t="s">
        <v>392</v>
      </c>
      <c r="G776" s="78" t="s">
        <v>798</v>
      </c>
      <c r="H776" s="33" t="str" cm="1">
        <f t="array" ref="H776">INDEX(stableR[question],MATCH(VALUE(questions[[#This Row],[qno]]),VALUE(stableR[qno]),0))</f>
        <v>Do you know the 4R principles of using organic and synthetic fertilizers in crops (Right Amount, Right Product, Right Time, Right Place)?</v>
      </c>
      <c r="I776" s="33" t="b" cm="1">
        <f t="array" ref="I776">INDEX(stable[is_fixed],MATCH(VALUE(questions[[#This Row],[qno]]),VALUE(stable[qno]),0))</f>
        <v>1</v>
      </c>
      <c r="J776" s="33" t="b" cm="1">
        <f t="array" ref="J776">INDEX(stable[is_localized],MATCH(VALUE(questions[[#This Row],[qno]]),VALUE(stable[qno]),0))</f>
        <v>0</v>
      </c>
      <c r="K776" s="33" t="b" cm="1">
        <f t="array" ref="K776">INDEX(stable[is_supply_chain_dependent],MATCH(VALUE(questions[[#This Row],[qno]]),VALUE(stable[qno]),0))</f>
        <v>0</v>
      </c>
      <c r="L776" s="33" t="b" cm="1">
        <f t="array" ref="L776">INDEX(stable[is_mandatory],MATCH(VALUE(questions[[#This Row],[qno]]),VALUE(stable[qno]),0))</f>
        <v>1</v>
      </c>
      <c r="M776" s="33" t="b" cm="1">
        <f t="array" ref="M776">INDEX(stable[is_automated],MATCH(VALUE(questions[[#This Row],[qno]]),VALUE(stable[qno]),0))</f>
        <v>0</v>
      </c>
      <c r="N776" s="33" t="b" cm="1">
        <f t="array" ref="N776">INDEX(stable[is_free_text],MATCH(VALUE(questions[[#This Row],[qno]]),VALUE(stable[qno]),0))</f>
        <v>0</v>
      </c>
      <c r="O776" s="33" t="b" cm="1">
        <f t="array" ref="O776">INDEX(stable[is_numerical],MATCH(VALUE(questions[[#This Row],[qno]]),VALUE(stable[qno]),0))</f>
        <v>0</v>
      </c>
      <c r="P776" s="77" t="b" cm="1">
        <f t="array" ref="P776">INDEX(stable[is_single_select],MATCH(VALUE(questions[[#This Row],[qno]]),VALUE(stable[qno]),0))</f>
        <v>1</v>
      </c>
      <c r="Q776" s="77" t="b" cm="1">
        <f t="array" ref="Q776">INDEX(stable[is_multi_select],MATCH(VALUE(questions[[#This Row],[qno]]),VALUE(stable[qno]),0))</f>
        <v>0</v>
      </c>
      <c r="R776" s="77" t="b" cm="1">
        <f t="array" ref="R776">INDEX(stable[is_skip_logic],MATCH(VALUE(questions[[#This Row],[qno]]),VALUE(stable[qno]),0))</f>
        <v>0</v>
      </c>
      <c r="S776" s="77" t="str">
        <f>_xlfn.TEXTJOIN(", ",TRUE,questions[[#This Row],[ans_opt_1]:[ans_opt_14]])</f>
        <v>Yes, No</v>
      </c>
      <c r="T776" s="77" t="s">
        <v>149</v>
      </c>
      <c r="U776" s="77" t="s">
        <v>119</v>
      </c>
      <c r="AH776" s="98" t="b">
        <f>INDEX(stable[q_standard],MATCH(questions[[#This Row],[qno]],stable[qno],0))</f>
        <v>0</v>
      </c>
      <c r="AI776" s="98" t="b">
        <f>INDEX(stable[q_living_income],MATCH(questions[[#This Row],[qno]],stable[qno],0))</f>
        <v>0</v>
      </c>
      <c r="AJ776" s="98" t="b">
        <f>INDEX(stable[q_carbon],MATCH(questions[[#This Row],[qno]],stable[qno],0))</f>
        <v>0</v>
      </c>
      <c r="AK776" s="98" t="b">
        <f>INDEX(stable[q_regen_ag],MATCH(questions[[#This Row],[qno]],stable[qno],0))</f>
        <v>1</v>
      </c>
      <c r="AL776" s="98" t="b">
        <f>COUNTIFS(stable[qno],questions[[#This Row],[qno]])=1</f>
        <v>1</v>
      </c>
      <c r="AM776" s="98" t="b">
        <f>OR(questions[[#This Row],[is_fixed]],questions[[#This Row],[is_localized]],questions[[#This Row],[is_supply_chain_dependent]])</f>
        <v>1</v>
      </c>
      <c r="AN776" s="98" t="b">
        <f>COUNTIFS(questions[[#This Row],[is_automated]:[is_multi_select]],TRUE)=1</f>
        <v>1</v>
      </c>
      <c r="AO776" s="98" t="b">
        <f>IF(questions[[#This Row],[is_fixed]],questions[[#This Row],[question]]=INDEX(stable[question],MATCH(questions[[#This Row],[qno]],stable[qno],0)),TRUE)</f>
        <v>0</v>
      </c>
      <c r="AP776" s="98" t="str">
        <f>LEFT(questions[[#This Row],[question]],similarity_range)</f>
        <v>Do you know the 4R p</v>
      </c>
      <c r="AQ776" s="98" t="str">
        <f>LEFT(INDEX(stable[question],MATCH(questions[[#This Row],[qno]],stable[qno],0)),similarity_range)</f>
        <v>Do you know the 4R p</v>
      </c>
      <c r="AR776" s="98" t="b">
        <f>questions[[#This Row],[question_first_characters]]=questions[[#This Row],[stability_first_characters]]</f>
        <v>1</v>
      </c>
      <c r="AS776" s="98" t="b">
        <f>IF(OR(questions[[#This Row],[is_single_select]],questions[[#This Row],[is_multi_select]]),NOT(ISBLANK(questions[[#This Row],[answer_opt_combined]])),TRUE)</f>
        <v>1</v>
      </c>
    </row>
    <row r="777" spans="1:45" s="77" customFormat="1" ht="15.75" customHeight="1" x14ac:dyDescent="0.25">
      <c r="A777" s="77" t="str">
        <f>_xlfn.TEXTJOIN("_",TRUE,questions[[#This Row],[origin]:[qno]])</f>
        <v>Kenya_Arabica_Nestle_2024_7240</v>
      </c>
      <c r="B777" s="77" t="s">
        <v>818</v>
      </c>
      <c r="C777" s="77" t="s">
        <v>59</v>
      </c>
      <c r="D777" s="77" t="s">
        <v>819</v>
      </c>
      <c r="E777" s="77">
        <v>2024</v>
      </c>
      <c r="F777" s="105" t="s">
        <v>394</v>
      </c>
      <c r="G777" s="78" t="s">
        <v>799</v>
      </c>
      <c r="H777" s="33" t="str" cm="1">
        <f t="array" ref="H777">INDEX(stableR[question],MATCH(VALUE(questions[[#This Row],[qno]]),VALUE(stableR[qno]),0))</f>
        <v>Do you apply chemical PPPs (plant protection products) like pesticides/fungicides/nematicides in your coffee crop, and how many different active ingredients per crop season?</v>
      </c>
      <c r="I777" s="33" t="b" cm="1">
        <f t="array" ref="I777">INDEX(stable[is_fixed],MATCH(VALUE(questions[[#This Row],[qno]]),VALUE(stable[qno]),0))</f>
        <v>1</v>
      </c>
      <c r="J777" s="33" t="b" cm="1">
        <f t="array" ref="J777">INDEX(stable[is_localized],MATCH(VALUE(questions[[#This Row],[qno]]),VALUE(stable[qno]),0))</f>
        <v>0</v>
      </c>
      <c r="K777" s="33" t="b" cm="1">
        <f t="array" ref="K777">INDEX(stable[is_supply_chain_dependent],MATCH(VALUE(questions[[#This Row],[qno]]),VALUE(stable[qno]),0))</f>
        <v>0</v>
      </c>
      <c r="L777" s="33" t="b" cm="1">
        <f t="array" ref="L777">INDEX(stable[is_mandatory],MATCH(VALUE(questions[[#This Row],[qno]]),VALUE(stable[qno]),0))</f>
        <v>1</v>
      </c>
      <c r="M777" s="33" t="b" cm="1">
        <f t="array" ref="M777">INDEX(stable[is_automated],MATCH(VALUE(questions[[#This Row],[qno]]),VALUE(stable[qno]),0))</f>
        <v>0</v>
      </c>
      <c r="N777" s="33" t="b" cm="1">
        <f t="array" ref="N777">INDEX(stable[is_free_text],MATCH(VALUE(questions[[#This Row],[qno]]),VALUE(stable[qno]),0))</f>
        <v>0</v>
      </c>
      <c r="O777" s="33" t="b" cm="1">
        <f t="array" ref="O777">INDEX(stable[is_numerical],MATCH(VALUE(questions[[#This Row],[qno]]),VALUE(stable[qno]),0))</f>
        <v>0</v>
      </c>
      <c r="P777" s="77" t="b" cm="1">
        <f t="array" ref="P777">INDEX(stable[is_single_select],MATCH(VALUE(questions[[#This Row],[qno]]),VALUE(stable[qno]),0))</f>
        <v>1</v>
      </c>
      <c r="Q777" s="77" t="b" cm="1">
        <f t="array" ref="Q777">INDEX(stable[is_multi_select],MATCH(VALUE(questions[[#This Row],[qno]]),VALUE(stable[qno]),0))</f>
        <v>0</v>
      </c>
      <c r="R777" s="77" t="b" cm="1">
        <f t="array" ref="R777">INDEX(stable[is_skip_logic],MATCH(VALUE(questions[[#This Row],[qno]]),VALUE(stable[qno]),0))</f>
        <v>1</v>
      </c>
      <c r="S777" s="77" t="str">
        <f>_xlfn.TEXTJOIN(", ",TRUE,questions[[#This Row],[ans_opt_1]:[ans_opt_14]])</f>
        <v>Yes, No</v>
      </c>
      <c r="T777" s="77" t="s">
        <v>149</v>
      </c>
      <c r="U777" s="77" t="s">
        <v>119</v>
      </c>
      <c r="AH777" s="98" t="b">
        <f>INDEX(stable[q_standard],MATCH(questions[[#This Row],[qno]],stable[qno],0))</f>
        <v>0</v>
      </c>
      <c r="AI777" s="98" t="b">
        <f>INDEX(stable[q_living_income],MATCH(questions[[#This Row],[qno]],stable[qno],0))</f>
        <v>0</v>
      </c>
      <c r="AJ777" s="98" t="b">
        <f>INDEX(stable[q_carbon],MATCH(questions[[#This Row],[qno]],stable[qno],0))</f>
        <v>0</v>
      </c>
      <c r="AK777" s="98" t="b">
        <f>INDEX(stable[q_regen_ag],MATCH(questions[[#This Row],[qno]],stable[qno],0))</f>
        <v>1</v>
      </c>
      <c r="AL777" s="98" t="b">
        <f>COUNTIFS(stable[qno],questions[[#This Row],[qno]])=1</f>
        <v>1</v>
      </c>
      <c r="AM777" s="98" t="b">
        <f>OR(questions[[#This Row],[is_fixed]],questions[[#This Row],[is_localized]],questions[[#This Row],[is_supply_chain_dependent]])</f>
        <v>1</v>
      </c>
      <c r="AN777" s="98" t="b">
        <f>COUNTIFS(questions[[#This Row],[is_automated]:[is_multi_select]],TRUE)=1</f>
        <v>1</v>
      </c>
      <c r="AO777" s="98" t="b">
        <f>IF(questions[[#This Row],[is_fixed]],questions[[#This Row],[question]]=INDEX(stable[question],MATCH(questions[[#This Row],[qno]],stable[qno],0)),TRUE)</f>
        <v>0</v>
      </c>
      <c r="AP777" s="98" t="str">
        <f>LEFT(questions[[#This Row],[question]],similarity_range)</f>
        <v>Did you use chemical</v>
      </c>
      <c r="AQ777" s="98" t="str">
        <f>LEFT(INDEX(stable[question],MATCH(questions[[#This Row],[qno]],stable[qno],0)),similarity_range)</f>
        <v>Did you use chemical</v>
      </c>
      <c r="AR777" s="98" t="b">
        <f>questions[[#This Row],[question_first_characters]]=questions[[#This Row],[stability_first_characters]]</f>
        <v>1</v>
      </c>
      <c r="AS777" s="98" t="b">
        <f>IF(OR(questions[[#This Row],[is_single_select]],questions[[#This Row],[is_multi_select]]),NOT(ISBLANK(questions[[#This Row],[answer_opt_combined]])),TRUE)</f>
        <v>1</v>
      </c>
    </row>
    <row r="778" spans="1:45" s="77" customFormat="1" ht="15.75" customHeight="1" x14ac:dyDescent="0.25">
      <c r="A778" s="77" t="str">
        <f>_xlfn.TEXTJOIN("_",TRUE,questions[[#This Row],[origin]:[qno]])</f>
        <v>Kenya_Arabica_Nestle_2024_7241</v>
      </c>
      <c r="B778" s="77" t="s">
        <v>818</v>
      </c>
      <c r="C778" s="77" t="s">
        <v>59</v>
      </c>
      <c r="D778" s="77" t="s">
        <v>819</v>
      </c>
      <c r="E778" s="77">
        <v>2024</v>
      </c>
      <c r="F778" s="105" t="s">
        <v>396</v>
      </c>
      <c r="G778" s="78" t="s">
        <v>800</v>
      </c>
      <c r="H778" s="33" t="str" cm="1">
        <f t="array" ref="H778">INDEX(stableR[question],MATCH(VALUE(questions[[#This Row],[qno]]),VALUE(stableR[qno]),0))</f>
        <v>If yes, list the names of all the pesticides and/or fungicides that you used, last year.</v>
      </c>
      <c r="I778" s="33" t="b" cm="1">
        <f t="array" ref="I778">INDEX(stable[is_fixed],MATCH(VALUE(questions[[#This Row],[qno]]),VALUE(stable[qno]),0))</f>
        <v>1</v>
      </c>
      <c r="J778" s="33" t="b" cm="1">
        <f t="array" ref="J778">INDEX(stable[is_localized],MATCH(VALUE(questions[[#This Row],[qno]]),VALUE(stable[qno]),0))</f>
        <v>0</v>
      </c>
      <c r="K778" s="33" t="b" cm="1">
        <f t="array" ref="K778">INDEX(stable[is_supply_chain_dependent],MATCH(VALUE(questions[[#This Row],[qno]]),VALUE(stable[qno]),0))</f>
        <v>0</v>
      </c>
      <c r="L778" s="33" t="b" cm="1">
        <f t="array" ref="L778">INDEX(stable[is_mandatory],MATCH(VALUE(questions[[#This Row],[qno]]),VALUE(stable[qno]),0))</f>
        <v>0</v>
      </c>
      <c r="M778" s="33" t="b" cm="1">
        <f t="array" ref="M778">INDEX(stable[is_automated],MATCH(VALUE(questions[[#This Row],[qno]]),VALUE(stable[qno]),0))</f>
        <v>0</v>
      </c>
      <c r="N778" s="33" t="b" cm="1">
        <f t="array" ref="N778">INDEX(stable[is_free_text],MATCH(VALUE(questions[[#This Row],[qno]]),VALUE(stable[qno]),0))</f>
        <v>0</v>
      </c>
      <c r="O778" s="33" t="b" cm="1">
        <f t="array" ref="O778">INDEX(stable[is_numerical],MATCH(VALUE(questions[[#This Row],[qno]]),VALUE(stable[qno]),0))</f>
        <v>0</v>
      </c>
      <c r="P778" s="77" t="b" cm="1">
        <f t="array" ref="P778">INDEX(stable[is_single_select],MATCH(VALUE(questions[[#This Row],[qno]]),VALUE(stable[qno]),0))</f>
        <v>1</v>
      </c>
      <c r="Q778" s="77" t="b" cm="1">
        <f t="array" ref="Q778">INDEX(stable[is_multi_select],MATCH(VALUE(questions[[#This Row],[qno]]),VALUE(stable[qno]),0))</f>
        <v>0</v>
      </c>
      <c r="R778" s="77" t="b" cm="1">
        <f t="array" ref="R778">INDEX(stable[is_skip_logic],MATCH(VALUE(questions[[#This Row],[qno]]),VALUE(stable[qno]),0))</f>
        <v>1</v>
      </c>
      <c r="S778" s="77" t="str">
        <f>_xlfn.TEXTJOIN(", ",TRUE,questions[[#This Row],[ans_opt_1]:[ans_opt_14]])</f>
        <v>Yes, No</v>
      </c>
      <c r="T778" s="77" t="s">
        <v>149</v>
      </c>
      <c r="U778" s="77" t="s">
        <v>119</v>
      </c>
      <c r="AH778" s="98" t="b">
        <f>INDEX(stable[q_standard],MATCH(questions[[#This Row],[qno]],stable[qno],0))</f>
        <v>0</v>
      </c>
      <c r="AI778" s="98" t="b">
        <f>INDEX(stable[q_living_income],MATCH(questions[[#This Row],[qno]],stable[qno],0))</f>
        <v>0</v>
      </c>
      <c r="AJ778" s="98" t="b">
        <f>INDEX(stable[q_carbon],MATCH(questions[[#This Row],[qno]],stable[qno],0))</f>
        <v>0</v>
      </c>
      <c r="AK778" s="98" t="b">
        <f>INDEX(stable[q_regen_ag],MATCH(questions[[#This Row],[qno]],stable[qno],0))</f>
        <v>1</v>
      </c>
      <c r="AL778" s="98" t="b">
        <f>COUNTIFS(stable[qno],questions[[#This Row],[qno]])=1</f>
        <v>1</v>
      </c>
      <c r="AM778" s="98" t="b">
        <f>OR(questions[[#This Row],[is_fixed]],questions[[#This Row],[is_localized]],questions[[#This Row],[is_supply_chain_dependent]])</f>
        <v>1</v>
      </c>
      <c r="AN778" s="98" t="b">
        <f>COUNTIFS(questions[[#This Row],[is_automated]:[is_multi_select]],TRUE)=1</f>
        <v>1</v>
      </c>
      <c r="AO778" s="98" t="b">
        <f>IF(questions[[#This Row],[is_fixed]],questions[[#This Row],[question]]=INDEX(stable[question],MATCH(questions[[#This Row],[qno]],stable[qno],0)),TRUE)</f>
        <v>0</v>
      </c>
      <c r="AP778" s="98" t="str">
        <f>LEFT(questions[[#This Row],[question]],similarity_range)</f>
        <v>If you apply chemica</v>
      </c>
      <c r="AQ778" s="98" t="str">
        <f>LEFT(INDEX(stable[question],MATCH(questions[[#This Row],[qno]],stable[qno],0)),similarity_range)</f>
        <v>If you apply chemica</v>
      </c>
      <c r="AR778" s="98" t="b">
        <f>questions[[#This Row],[question_first_characters]]=questions[[#This Row],[stability_first_characters]]</f>
        <v>1</v>
      </c>
      <c r="AS778" s="98" t="b">
        <f>IF(OR(questions[[#This Row],[is_single_select]],questions[[#This Row],[is_multi_select]]),NOT(ISBLANK(questions[[#This Row],[answer_opt_combined]])),TRUE)</f>
        <v>1</v>
      </c>
    </row>
    <row r="779" spans="1:45" s="77" customFormat="1" ht="15.75" customHeight="1" x14ac:dyDescent="0.25">
      <c r="A779" s="77" t="str">
        <f>_xlfn.TEXTJOIN("_",TRUE,questions[[#This Row],[origin]:[qno]])</f>
        <v>Kenya_Arabica_Nestle_2024_7242</v>
      </c>
      <c r="B779" s="77" t="s">
        <v>818</v>
      </c>
      <c r="C779" s="77" t="s">
        <v>59</v>
      </c>
      <c r="D779" s="77" t="s">
        <v>819</v>
      </c>
      <c r="E779" s="77">
        <v>2024</v>
      </c>
      <c r="F779" s="105" t="s">
        <v>398</v>
      </c>
      <c r="G779" s="78" t="s">
        <v>801</v>
      </c>
      <c r="H779" s="33" t="str" cm="1">
        <f t="array" ref="H779">INDEX(stableR[question],MATCH(VALUE(questions[[#This Row],[qno]]),VALUE(stableR[qno]),0))</f>
        <v>If you apply chemical PPPs, are you aware of the IPM-Integrated Pest Management concept and practices (e.g. pest-disease identification and monitoring, right moment for control, use of a combination of biological, cultural, physical/mechanical and chemical tools to prevent and control)?</v>
      </c>
      <c r="I779" s="33" t="b" cm="1">
        <f t="array" ref="I779">INDEX(stable[is_fixed],MATCH(VALUE(questions[[#This Row],[qno]]),VALUE(stable[qno]),0))</f>
        <v>1</v>
      </c>
      <c r="J779" s="33" t="b" cm="1">
        <f t="array" ref="J779">INDEX(stable[is_localized],MATCH(VALUE(questions[[#This Row],[qno]]),VALUE(stable[qno]),0))</f>
        <v>0</v>
      </c>
      <c r="K779" s="33" t="b" cm="1">
        <f t="array" ref="K779">INDEX(stable[is_supply_chain_dependent],MATCH(VALUE(questions[[#This Row],[qno]]),VALUE(stable[qno]),0))</f>
        <v>0</v>
      </c>
      <c r="L779" s="33" t="b" cm="1">
        <f t="array" ref="L779">INDEX(stable[is_mandatory],MATCH(VALUE(questions[[#This Row],[qno]]),VALUE(stable[qno]),0))</f>
        <v>0</v>
      </c>
      <c r="M779" s="33" t="b" cm="1">
        <f t="array" ref="M779">INDEX(stable[is_automated],MATCH(VALUE(questions[[#This Row],[qno]]),VALUE(stable[qno]),0))</f>
        <v>0</v>
      </c>
      <c r="N779" s="33" t="b" cm="1">
        <f t="array" ref="N779">INDEX(stable[is_free_text],MATCH(VALUE(questions[[#This Row],[qno]]),VALUE(stable[qno]),0))</f>
        <v>0</v>
      </c>
      <c r="O779" s="33" t="b" cm="1">
        <f t="array" ref="O779">INDEX(stable[is_numerical],MATCH(VALUE(questions[[#This Row],[qno]]),VALUE(stable[qno]),0))</f>
        <v>0</v>
      </c>
      <c r="P779" s="77" t="b" cm="1">
        <f t="array" ref="P779">INDEX(stable[is_single_select],MATCH(VALUE(questions[[#This Row],[qno]]),VALUE(stable[qno]),0))</f>
        <v>1</v>
      </c>
      <c r="Q779" s="77" t="b" cm="1">
        <f t="array" ref="Q779">INDEX(stable[is_multi_select],MATCH(VALUE(questions[[#This Row],[qno]]),VALUE(stable[qno]),0))</f>
        <v>0</v>
      </c>
      <c r="R779" s="77" t="b" cm="1">
        <f t="array" ref="R779">INDEX(stable[is_skip_logic],MATCH(VALUE(questions[[#This Row],[qno]]),VALUE(stable[qno]),0))</f>
        <v>1</v>
      </c>
      <c r="S779" s="77" t="str">
        <f>_xlfn.TEXTJOIN(", ",TRUE,questions[[#This Row],[ans_opt_1]:[ans_opt_14]])</f>
        <v>Yes, No</v>
      </c>
      <c r="T779" s="77" t="s">
        <v>149</v>
      </c>
      <c r="U779" s="77" t="s">
        <v>119</v>
      </c>
      <c r="AH779" s="98" t="b">
        <f>INDEX(stable[q_standard],MATCH(questions[[#This Row],[qno]],stable[qno],0))</f>
        <v>0</v>
      </c>
      <c r="AI779" s="98" t="b">
        <f>INDEX(stable[q_living_income],MATCH(questions[[#This Row],[qno]],stable[qno],0))</f>
        <v>0</v>
      </c>
      <c r="AJ779" s="98" t="b">
        <f>INDEX(stable[q_carbon],MATCH(questions[[#This Row],[qno]],stable[qno],0))</f>
        <v>0</v>
      </c>
      <c r="AK779" s="98" t="b">
        <f>INDEX(stable[q_regen_ag],MATCH(questions[[#This Row],[qno]],stable[qno],0))</f>
        <v>1</v>
      </c>
      <c r="AL779" s="98" t="b">
        <f>COUNTIFS(stable[qno],questions[[#This Row],[qno]])=1</f>
        <v>1</v>
      </c>
      <c r="AM779" s="98" t="b">
        <f>OR(questions[[#This Row],[is_fixed]],questions[[#This Row],[is_localized]],questions[[#This Row],[is_supply_chain_dependent]])</f>
        <v>1</v>
      </c>
      <c r="AN779" s="98" t="b">
        <f>COUNTIFS(questions[[#This Row],[is_automated]:[is_multi_select]],TRUE)=1</f>
        <v>1</v>
      </c>
      <c r="AO779" s="98" t="b">
        <f>IF(questions[[#This Row],[is_fixed]],questions[[#This Row],[question]]=INDEX(stable[question],MATCH(questions[[#This Row],[qno]],stable[qno],0)),TRUE)</f>
        <v>0</v>
      </c>
      <c r="AP779" s="98" t="str">
        <f>LEFT(questions[[#This Row],[question]],similarity_range)</f>
        <v>If you apply chemica</v>
      </c>
      <c r="AQ779" s="98" t="str">
        <f>LEFT(INDEX(stable[question],MATCH(questions[[#This Row],[qno]],stable[qno],0)),similarity_range)</f>
        <v>If you apply chemica</v>
      </c>
      <c r="AR779" s="98" t="b">
        <f>questions[[#This Row],[question_first_characters]]=questions[[#This Row],[stability_first_characters]]</f>
        <v>1</v>
      </c>
      <c r="AS779" s="98" t="b">
        <f>IF(OR(questions[[#This Row],[is_single_select]],questions[[#This Row],[is_multi_select]]),NOT(ISBLANK(questions[[#This Row],[answer_opt_combined]])),TRUE)</f>
        <v>1</v>
      </c>
    </row>
    <row r="780" spans="1:45" s="77" customFormat="1" ht="15.75" customHeight="1" x14ac:dyDescent="0.25">
      <c r="A780" s="77" t="str">
        <f>_xlfn.TEXTJOIN("_",TRUE,questions[[#This Row],[origin]:[qno]])</f>
        <v>Kenya_Arabica_Nestle_2024_7243</v>
      </c>
      <c r="B780" s="77" t="s">
        <v>818</v>
      </c>
      <c r="C780" s="77" t="s">
        <v>59</v>
      </c>
      <c r="D780" s="77" t="s">
        <v>819</v>
      </c>
      <c r="E780" s="77">
        <v>2024</v>
      </c>
      <c r="F780" s="105" t="s">
        <v>400</v>
      </c>
      <c r="G780" s="78" t="s">
        <v>802</v>
      </c>
      <c r="H780" s="33" t="str" cm="1">
        <f t="array" ref="H780">INDEX(stableR[question],MATCH(VALUE(questions[[#This Row],[qno]]),VALUE(stableR[qno]),0))</f>
        <v>If you apply chemical PPPs, do you apply IPM principles and practices to prevent and control pest &amp; diseases and reduce the use of chemical PPPs?</v>
      </c>
      <c r="I780" s="33" t="b" cm="1">
        <f t="array" ref="I780">INDEX(stable[is_fixed],MATCH(VALUE(questions[[#This Row],[qno]]),VALUE(stable[qno]),0))</f>
        <v>1</v>
      </c>
      <c r="J780" s="33" t="b" cm="1">
        <f t="array" ref="J780">INDEX(stable[is_localized],MATCH(VALUE(questions[[#This Row],[qno]]),VALUE(stable[qno]),0))</f>
        <v>0</v>
      </c>
      <c r="K780" s="33" t="b" cm="1">
        <f t="array" ref="K780">INDEX(stable[is_supply_chain_dependent],MATCH(VALUE(questions[[#This Row],[qno]]),VALUE(stable[qno]),0))</f>
        <v>0</v>
      </c>
      <c r="L780" s="33" t="b" cm="1">
        <f t="array" ref="L780">INDEX(stable[is_mandatory],MATCH(VALUE(questions[[#This Row],[qno]]),VALUE(stable[qno]),0))</f>
        <v>0</v>
      </c>
      <c r="M780" s="33" t="b" cm="1">
        <f t="array" ref="M780">INDEX(stable[is_automated],MATCH(VALUE(questions[[#This Row],[qno]]),VALUE(stable[qno]),0))</f>
        <v>0</v>
      </c>
      <c r="N780" s="33" t="b" cm="1">
        <f t="array" ref="N780">INDEX(stable[is_free_text],MATCH(VALUE(questions[[#This Row],[qno]]),VALUE(stable[qno]),0))</f>
        <v>0</v>
      </c>
      <c r="O780" s="33" t="b" cm="1">
        <f t="array" ref="O780">INDEX(stable[is_numerical],MATCH(VALUE(questions[[#This Row],[qno]]),VALUE(stable[qno]),0))</f>
        <v>0</v>
      </c>
      <c r="P780" s="77" t="b" cm="1">
        <f t="array" ref="P780">INDEX(stable[is_single_select],MATCH(VALUE(questions[[#This Row],[qno]]),VALUE(stable[qno]),0))</f>
        <v>1</v>
      </c>
      <c r="Q780" s="77" t="b" cm="1">
        <f t="array" ref="Q780">INDEX(stable[is_multi_select],MATCH(VALUE(questions[[#This Row],[qno]]),VALUE(stable[qno]),0))</f>
        <v>0</v>
      </c>
      <c r="R780" s="77" t="b" cm="1">
        <f t="array" ref="R780">INDEX(stable[is_skip_logic],MATCH(VALUE(questions[[#This Row],[qno]]),VALUE(stable[qno]),0))</f>
        <v>1</v>
      </c>
      <c r="S780" s="77" t="str">
        <f>_xlfn.TEXTJOIN(", ",TRUE,questions[[#This Row],[ans_opt_1]:[ans_opt_14]])</f>
        <v>Yes, No</v>
      </c>
      <c r="T780" s="77" t="s">
        <v>149</v>
      </c>
      <c r="U780" s="77" t="s">
        <v>119</v>
      </c>
      <c r="AH780" s="98" t="b">
        <f>INDEX(stable[q_standard],MATCH(questions[[#This Row],[qno]],stable[qno],0))</f>
        <v>0</v>
      </c>
      <c r="AI780" s="98" t="b">
        <f>INDEX(stable[q_living_income],MATCH(questions[[#This Row],[qno]],stable[qno],0))</f>
        <v>0</v>
      </c>
      <c r="AJ780" s="98" t="b">
        <f>INDEX(stable[q_carbon],MATCH(questions[[#This Row],[qno]],stable[qno],0))</f>
        <v>0</v>
      </c>
      <c r="AK780" s="98" t="b">
        <f>INDEX(stable[q_regen_ag],MATCH(questions[[#This Row],[qno]],stable[qno],0))</f>
        <v>1</v>
      </c>
      <c r="AL780" s="98" t="b">
        <f>COUNTIFS(stable[qno],questions[[#This Row],[qno]])=1</f>
        <v>1</v>
      </c>
      <c r="AM780" s="98" t="b">
        <f>OR(questions[[#This Row],[is_fixed]],questions[[#This Row],[is_localized]],questions[[#This Row],[is_supply_chain_dependent]])</f>
        <v>1</v>
      </c>
      <c r="AN780" s="98" t="b">
        <f>COUNTIFS(questions[[#This Row],[is_automated]:[is_multi_select]],TRUE)=1</f>
        <v>1</v>
      </c>
      <c r="AO780" s="98" t="b">
        <f>IF(questions[[#This Row],[is_fixed]],questions[[#This Row],[question]]=INDEX(stable[question],MATCH(questions[[#This Row],[qno]],stable[qno],0)),TRUE)</f>
        <v>0</v>
      </c>
      <c r="AP780" s="98" t="str">
        <f>LEFT(questions[[#This Row],[question]],similarity_range)</f>
        <v>If you apply chemica</v>
      </c>
      <c r="AQ780" s="98" t="str">
        <f>LEFT(INDEX(stable[question],MATCH(questions[[#This Row],[qno]],stable[qno],0)),similarity_range)</f>
        <v>If you apply chemica</v>
      </c>
      <c r="AR780" s="98" t="b">
        <f>questions[[#This Row],[question_first_characters]]=questions[[#This Row],[stability_first_characters]]</f>
        <v>1</v>
      </c>
      <c r="AS780" s="98" t="b">
        <f>IF(OR(questions[[#This Row],[is_single_select]],questions[[#This Row],[is_multi_select]]),NOT(ISBLANK(questions[[#This Row],[answer_opt_combined]])),TRUE)</f>
        <v>1</v>
      </c>
    </row>
    <row r="781" spans="1:45" s="77" customFormat="1" ht="15.75" customHeight="1" x14ac:dyDescent="0.25">
      <c r="A781" s="77" t="str">
        <f>_xlfn.TEXTJOIN("_",TRUE,questions[[#This Row],[origin]:[qno]])</f>
        <v>Kenya_Arabica_Nestle_2024_7244</v>
      </c>
      <c r="B781" s="77" t="s">
        <v>818</v>
      </c>
      <c r="C781" s="77" t="s">
        <v>59</v>
      </c>
      <c r="D781" s="77" t="s">
        <v>819</v>
      </c>
      <c r="E781" s="77">
        <v>2024</v>
      </c>
      <c r="F781" s="105" t="s">
        <v>402</v>
      </c>
      <c r="G781" s="78" t="s">
        <v>862</v>
      </c>
      <c r="H781" s="33" t="str" cm="1">
        <f t="array" ref="H781">INDEX(stableR[question],MATCH(VALUE(questions[[#This Row],[qno]]),VALUE(stableR[qno]),0))</f>
        <v>If you apply chemical PPPs, can you prove/show that all are locally authorized for coffee (e.g. coffee is in the product label), and that you respect the recommended dose and post-harvest intervals of the label of the product?</v>
      </c>
      <c r="I781" s="33" t="b" cm="1">
        <f t="array" ref="I781">INDEX(stable[is_fixed],MATCH(VALUE(questions[[#This Row],[qno]]),VALUE(stable[qno]),0))</f>
        <v>1</v>
      </c>
      <c r="J781" s="33" t="b" cm="1">
        <f t="array" ref="J781">INDEX(stable[is_localized],MATCH(VALUE(questions[[#This Row],[qno]]),VALUE(stable[qno]),0))</f>
        <v>0</v>
      </c>
      <c r="K781" s="33" t="b" cm="1">
        <f t="array" ref="K781">INDEX(stable[is_supply_chain_dependent],MATCH(VALUE(questions[[#This Row],[qno]]),VALUE(stable[qno]),0))</f>
        <v>0</v>
      </c>
      <c r="L781" s="33" t="b" cm="1">
        <f t="array" ref="L781">INDEX(stable[is_mandatory],MATCH(VALUE(questions[[#This Row],[qno]]),VALUE(stable[qno]),0))</f>
        <v>0</v>
      </c>
      <c r="M781" s="33" t="b" cm="1">
        <f t="array" ref="M781">INDEX(stable[is_automated],MATCH(VALUE(questions[[#This Row],[qno]]),VALUE(stable[qno]),0))</f>
        <v>0</v>
      </c>
      <c r="N781" s="33" t="b" cm="1">
        <f t="array" ref="N781">INDEX(stable[is_free_text],MATCH(VALUE(questions[[#This Row],[qno]]),VALUE(stable[qno]),0))</f>
        <v>0</v>
      </c>
      <c r="O781" s="33" t="b" cm="1">
        <f t="array" ref="O781">INDEX(stable[is_numerical],MATCH(VALUE(questions[[#This Row],[qno]]),VALUE(stable[qno]),0))</f>
        <v>0</v>
      </c>
      <c r="P781" s="77" t="b" cm="1">
        <f t="array" ref="P781">INDEX(stable[is_single_select],MATCH(VALUE(questions[[#This Row],[qno]]),VALUE(stable[qno]),0))</f>
        <v>1</v>
      </c>
      <c r="Q781" s="77" t="b" cm="1">
        <f t="array" ref="Q781">INDEX(stable[is_multi_select],MATCH(VALUE(questions[[#This Row],[qno]]),VALUE(stable[qno]),0))</f>
        <v>0</v>
      </c>
      <c r="R781" s="77" t="b" cm="1">
        <f t="array" ref="R781">INDEX(stable[is_skip_logic],MATCH(VALUE(questions[[#This Row],[qno]]),VALUE(stable[qno]),0))</f>
        <v>1</v>
      </c>
      <c r="S781" s="77" t="str">
        <f>_xlfn.TEXTJOIN(", ",TRUE,questions[[#This Row],[ans_opt_1]:[ans_opt_14]])</f>
        <v>1, 2, 3, 4, 5, &gt;5</v>
      </c>
      <c r="T781" s="77">
        <v>1</v>
      </c>
      <c r="U781" s="77">
        <v>2</v>
      </c>
      <c r="V781" s="77">
        <v>3</v>
      </c>
      <c r="W781" s="77">
        <v>4</v>
      </c>
      <c r="X781" s="77">
        <v>5</v>
      </c>
      <c r="Y781" s="77" t="s">
        <v>404</v>
      </c>
      <c r="AH781" s="98" t="b">
        <f>INDEX(stable[q_standard],MATCH(questions[[#This Row],[qno]],stable[qno],0))</f>
        <v>0</v>
      </c>
      <c r="AI781" s="98" t="b">
        <f>INDEX(stable[q_living_income],MATCH(questions[[#This Row],[qno]],stable[qno],0))</f>
        <v>0</v>
      </c>
      <c r="AJ781" s="98" t="b">
        <f>INDEX(stable[q_carbon],MATCH(questions[[#This Row],[qno]],stable[qno],0))</f>
        <v>0</v>
      </c>
      <c r="AK781" s="98" t="b">
        <f>INDEX(stable[q_regen_ag],MATCH(questions[[#This Row],[qno]],stable[qno],0))</f>
        <v>1</v>
      </c>
      <c r="AL781" s="98" t="b">
        <f>COUNTIFS(stable[qno],questions[[#This Row],[qno]])=1</f>
        <v>1</v>
      </c>
      <c r="AM781" s="98" t="b">
        <f>OR(questions[[#This Row],[is_fixed]],questions[[#This Row],[is_localized]],questions[[#This Row],[is_supply_chain_dependent]])</f>
        <v>1</v>
      </c>
      <c r="AN781" s="98" t="b">
        <f>COUNTIFS(questions[[#This Row],[is_automated]:[is_multi_select]],TRUE)=1</f>
        <v>1</v>
      </c>
      <c r="AO781" s="98" t="b">
        <f>IF(questions[[#This Row],[is_fixed]],questions[[#This Row],[question]]=INDEX(stable[question],MATCH(questions[[#This Row],[qno]],stable[qno],0)),TRUE)</f>
        <v>0</v>
      </c>
      <c r="AP781" s="98" t="str">
        <f>LEFT(questions[[#This Row],[question]],similarity_range)</f>
        <v>If you apply chemica</v>
      </c>
      <c r="AQ781" s="98" t="str">
        <f>LEFT(INDEX(stable[question],MATCH(questions[[#This Row],[qno]],stable[qno],0)),similarity_range)</f>
        <v>If you apply chemica</v>
      </c>
      <c r="AR781" s="98" t="b">
        <f>questions[[#This Row],[question_first_characters]]=questions[[#This Row],[stability_first_characters]]</f>
        <v>1</v>
      </c>
      <c r="AS781" s="98" t="b">
        <f>IF(OR(questions[[#This Row],[is_single_select]],questions[[#This Row],[is_multi_select]]),NOT(ISBLANK(questions[[#This Row],[answer_opt_combined]])),TRUE)</f>
        <v>1</v>
      </c>
    </row>
    <row r="782" spans="1:45" s="77" customFormat="1" ht="15.75" customHeight="1" x14ac:dyDescent="0.25">
      <c r="A782" s="77" t="str">
        <f>_xlfn.TEXTJOIN("_",TRUE,questions[[#This Row],[origin]:[qno]])</f>
        <v>Kenya_Arabica_Nestle_2024_7245</v>
      </c>
      <c r="B782" s="77" t="s">
        <v>818</v>
      </c>
      <c r="C782" s="77" t="s">
        <v>59</v>
      </c>
      <c r="D782" s="77" t="s">
        <v>819</v>
      </c>
      <c r="E782" s="77">
        <v>2024</v>
      </c>
      <c r="F782" s="105" t="s">
        <v>405</v>
      </c>
      <c r="G782" s="78" t="s">
        <v>804</v>
      </c>
      <c r="H782" s="33" t="str" cm="1">
        <f t="array" ref="H782">INDEX(stableR[question],MATCH(VALUE(questions[[#This Row],[qno]]),VALUE(stableR[qno]),0))</f>
        <v>If you apply chemical PPPs to control pests and diseases in your farm, how many applications do you apply on average per year?</v>
      </c>
      <c r="I782" s="33" t="b" cm="1">
        <f t="array" ref="I782">INDEX(stable[is_fixed],MATCH(VALUE(questions[[#This Row],[qno]]),VALUE(stable[qno]),0))</f>
        <v>1</v>
      </c>
      <c r="J782" s="33" t="b" cm="1">
        <f t="array" ref="J782">INDEX(stable[is_localized],MATCH(VALUE(questions[[#This Row],[qno]]),VALUE(stable[qno]),0))</f>
        <v>0</v>
      </c>
      <c r="K782" s="33" t="b" cm="1">
        <f t="array" ref="K782">INDEX(stable[is_supply_chain_dependent],MATCH(VALUE(questions[[#This Row],[qno]]),VALUE(stable[qno]),0))</f>
        <v>0</v>
      </c>
      <c r="L782" s="33" t="b" cm="1">
        <f t="array" ref="L782">INDEX(stable[is_mandatory],MATCH(VALUE(questions[[#This Row],[qno]]),VALUE(stable[qno]),0))</f>
        <v>0</v>
      </c>
      <c r="M782" s="33" t="b" cm="1">
        <f t="array" ref="M782">INDEX(stable[is_automated],MATCH(VALUE(questions[[#This Row],[qno]]),VALUE(stable[qno]),0))</f>
        <v>0</v>
      </c>
      <c r="N782" s="33" t="b" cm="1">
        <f t="array" ref="N782">INDEX(stable[is_free_text],MATCH(VALUE(questions[[#This Row],[qno]]),VALUE(stable[qno]),0))</f>
        <v>0</v>
      </c>
      <c r="O782" s="33" t="b" cm="1">
        <f t="array" ref="O782">INDEX(stable[is_numerical],MATCH(VALUE(questions[[#This Row],[qno]]),VALUE(stable[qno]),0))</f>
        <v>0</v>
      </c>
      <c r="P782" s="77" t="b" cm="1">
        <f t="array" ref="P782">INDEX(stable[is_single_select],MATCH(VALUE(questions[[#This Row],[qno]]),VALUE(stable[qno]),0))</f>
        <v>1</v>
      </c>
      <c r="Q782" s="77" t="b" cm="1">
        <f t="array" ref="Q782">INDEX(stable[is_multi_select],MATCH(VALUE(questions[[#This Row],[qno]]),VALUE(stable[qno]),0))</f>
        <v>0</v>
      </c>
      <c r="R782" s="77" t="b" cm="1">
        <f t="array" ref="R782">INDEX(stable[is_skip_logic],MATCH(VALUE(questions[[#This Row],[qno]]),VALUE(stable[qno]),0))</f>
        <v>1</v>
      </c>
      <c r="S782" s="77" t="str">
        <f>_xlfn.TEXTJOIN(", ",TRUE,questions[[#This Row],[ans_opt_1]:[ans_opt_14]])</f>
        <v>Increased - pest/disease pressure, Increased - weather conditions, Increased - pest/disease resistance, Decreased - pest/disease pressure, Decreased - adverse weather conditions, Decreased - increased cost, Decreased - replaced by regenerative agriculture</v>
      </c>
      <c r="T782" s="77" t="s">
        <v>407</v>
      </c>
      <c r="U782" s="77" t="s">
        <v>408</v>
      </c>
      <c r="V782" s="77" t="s">
        <v>409</v>
      </c>
      <c r="W782" s="77" t="s">
        <v>410</v>
      </c>
      <c r="X782" s="77" t="s">
        <v>411</v>
      </c>
      <c r="Y782" s="77" t="s">
        <v>412</v>
      </c>
      <c r="Z782" s="77" t="s">
        <v>413</v>
      </c>
      <c r="AH782" s="98" t="b">
        <f>INDEX(stable[q_standard],MATCH(questions[[#This Row],[qno]],stable[qno],0))</f>
        <v>0</v>
      </c>
      <c r="AI782" s="98" t="b">
        <f>INDEX(stable[q_living_income],MATCH(questions[[#This Row],[qno]],stable[qno],0))</f>
        <v>0</v>
      </c>
      <c r="AJ782" s="98" t="b">
        <f>INDEX(stable[q_carbon],MATCH(questions[[#This Row],[qno]],stable[qno],0))</f>
        <v>0</v>
      </c>
      <c r="AK782" s="98" t="b">
        <f>INDEX(stable[q_regen_ag],MATCH(questions[[#This Row],[qno]],stable[qno],0))</f>
        <v>1</v>
      </c>
      <c r="AL782" s="98" t="b">
        <f>COUNTIFS(stable[qno],questions[[#This Row],[qno]])=1</f>
        <v>1</v>
      </c>
      <c r="AM782" s="98" t="b">
        <f>OR(questions[[#This Row],[is_fixed]],questions[[#This Row],[is_localized]],questions[[#This Row],[is_supply_chain_dependent]])</f>
        <v>1</v>
      </c>
      <c r="AN782" s="98" t="b">
        <f>COUNTIFS(questions[[#This Row],[is_automated]:[is_multi_select]],TRUE)=1</f>
        <v>1</v>
      </c>
      <c r="AO782" s="98" t="b">
        <f>IF(questions[[#This Row],[is_fixed]],questions[[#This Row],[question]]=INDEX(stable[question],MATCH(questions[[#This Row],[qno]],stable[qno],0)),TRUE)</f>
        <v>0</v>
      </c>
      <c r="AP782" s="98" t="str">
        <f>LEFT(questions[[#This Row],[question]],similarity_range)</f>
        <v>Have you decreased o</v>
      </c>
      <c r="AQ782" s="98" t="str">
        <f>LEFT(INDEX(stable[question],MATCH(questions[[#This Row],[qno]],stable[qno],0)),similarity_range)</f>
        <v>Have you decreased o</v>
      </c>
      <c r="AR782" s="98" t="b">
        <f>questions[[#This Row],[question_first_characters]]=questions[[#This Row],[stability_first_characters]]</f>
        <v>1</v>
      </c>
      <c r="AS782" s="98" t="b">
        <f>IF(OR(questions[[#This Row],[is_single_select]],questions[[#This Row],[is_multi_select]]),NOT(ISBLANK(questions[[#This Row],[answer_opt_combined]])),TRUE)</f>
        <v>1</v>
      </c>
    </row>
    <row r="783" spans="1:45" s="77" customFormat="1" ht="15.75" customHeight="1" x14ac:dyDescent="0.25">
      <c r="A783" s="77" t="str">
        <f>_xlfn.TEXTJOIN("_",TRUE,questions[[#This Row],[origin]:[qno]])</f>
        <v>Kenya_Arabica_Nestle_2024_7250</v>
      </c>
      <c r="B783" s="77" t="s">
        <v>818</v>
      </c>
      <c r="C783" s="77" t="s">
        <v>59</v>
      </c>
      <c r="D783" s="77" t="s">
        <v>819</v>
      </c>
      <c r="E783" s="77">
        <v>2024</v>
      </c>
      <c r="F783" s="105" t="s">
        <v>414</v>
      </c>
      <c r="G783" s="78" t="s">
        <v>805</v>
      </c>
      <c r="H783" s="33" t="str" cm="1">
        <f t="array" ref="H783">INDEX(stableR[question],MATCH(VALUE(questions[[#This Row],[qno]]),VALUE(stableR[qno]),0))</f>
        <v>Do you apply chemical herbicides to your coffee crop and how many (different active ingredients) per crop season?</v>
      </c>
      <c r="I783" s="33" t="b" cm="1">
        <f t="array" ref="I783">INDEX(stable[is_fixed],MATCH(VALUE(questions[[#This Row],[qno]]),VALUE(stable[qno]),0))</f>
        <v>1</v>
      </c>
      <c r="J783" s="33" t="b" cm="1">
        <f t="array" ref="J783">INDEX(stable[is_localized],MATCH(VALUE(questions[[#This Row],[qno]]),VALUE(stable[qno]),0))</f>
        <v>0</v>
      </c>
      <c r="K783" s="33" t="b" cm="1">
        <f t="array" ref="K783">INDEX(stable[is_supply_chain_dependent],MATCH(VALUE(questions[[#This Row],[qno]]),VALUE(stable[qno]),0))</f>
        <v>0</v>
      </c>
      <c r="L783" s="33" t="b" cm="1">
        <f t="array" ref="L783">INDEX(stable[is_mandatory],MATCH(VALUE(questions[[#This Row],[qno]]),VALUE(stable[qno]),0))</f>
        <v>1</v>
      </c>
      <c r="M783" s="33" t="b" cm="1">
        <f t="array" ref="M783">INDEX(stable[is_automated],MATCH(VALUE(questions[[#This Row],[qno]]),VALUE(stable[qno]),0))</f>
        <v>0</v>
      </c>
      <c r="N783" s="33" t="b" cm="1">
        <f t="array" ref="N783">INDEX(stable[is_free_text],MATCH(VALUE(questions[[#This Row],[qno]]),VALUE(stable[qno]),0))</f>
        <v>0</v>
      </c>
      <c r="O783" s="33" t="b" cm="1">
        <f t="array" ref="O783">INDEX(stable[is_numerical],MATCH(VALUE(questions[[#This Row],[qno]]),VALUE(stable[qno]),0))</f>
        <v>0</v>
      </c>
      <c r="P783" s="77" t="b" cm="1">
        <f t="array" ref="P783">INDEX(stable[is_single_select],MATCH(VALUE(questions[[#This Row],[qno]]),VALUE(stable[qno]),0))</f>
        <v>1</v>
      </c>
      <c r="Q783" s="77" t="b" cm="1">
        <f t="array" ref="Q783">INDEX(stable[is_multi_select],MATCH(VALUE(questions[[#This Row],[qno]]),VALUE(stable[qno]),0))</f>
        <v>0</v>
      </c>
      <c r="R783" s="77" t="b" cm="1">
        <f t="array" ref="R783">INDEX(stable[is_skip_logic],MATCH(VALUE(questions[[#This Row],[qno]]),VALUE(stable[qno]),0))</f>
        <v>1</v>
      </c>
      <c r="S783" s="77" t="str">
        <f>_xlfn.TEXTJOIN(", ",TRUE,questions[[#This Row],[ans_opt_1]:[ans_opt_14]])</f>
        <v>No, Yes / 1-2 herbicides (active ingredients), Yes / 3-4 herbicides (active ingredients), Yes / &gt;=5 herbicides (active ingredients)</v>
      </c>
      <c r="T783" s="77" t="s">
        <v>119</v>
      </c>
      <c r="U783" s="77" t="s">
        <v>416</v>
      </c>
      <c r="V783" s="77" t="s">
        <v>417</v>
      </c>
      <c r="W783" s="77" t="s">
        <v>418</v>
      </c>
      <c r="AH783" s="98" t="b">
        <f>INDEX(stable[q_standard],MATCH(questions[[#This Row],[qno]],stable[qno],0))</f>
        <v>0</v>
      </c>
      <c r="AI783" s="98" t="b">
        <f>INDEX(stable[q_living_income],MATCH(questions[[#This Row],[qno]],stable[qno],0))</f>
        <v>0</v>
      </c>
      <c r="AJ783" s="98" t="b">
        <f>INDEX(stable[q_carbon],MATCH(questions[[#This Row],[qno]],stable[qno],0))</f>
        <v>0</v>
      </c>
      <c r="AK783" s="98" t="b">
        <f>INDEX(stable[q_regen_ag],MATCH(questions[[#This Row],[qno]],stable[qno],0))</f>
        <v>1</v>
      </c>
      <c r="AL783" s="98" t="b">
        <f>COUNTIFS(stable[qno],questions[[#This Row],[qno]])=1</f>
        <v>1</v>
      </c>
      <c r="AM783" s="98" t="b">
        <f>OR(questions[[#This Row],[is_fixed]],questions[[#This Row],[is_localized]],questions[[#This Row],[is_supply_chain_dependent]])</f>
        <v>1</v>
      </c>
      <c r="AN783" s="98" t="b">
        <f>COUNTIFS(questions[[#This Row],[is_automated]:[is_multi_select]],TRUE)=1</f>
        <v>1</v>
      </c>
      <c r="AO783" s="98" t="b">
        <f>IF(questions[[#This Row],[is_fixed]],questions[[#This Row],[question]]=INDEX(stable[question],MATCH(questions[[#This Row],[qno]],stable[qno],0)),TRUE)</f>
        <v>0</v>
      </c>
      <c r="AP783" s="98" t="str">
        <f>LEFT(questions[[#This Row],[question]],similarity_range)</f>
        <v>Did you use herbicid</v>
      </c>
      <c r="AQ783" s="98" t="str">
        <f>LEFT(INDEX(stable[question],MATCH(questions[[#This Row],[qno]],stable[qno],0)),similarity_range)</f>
        <v>Did you use herbicid</v>
      </c>
      <c r="AR783" s="98" t="b">
        <f>questions[[#This Row],[question_first_characters]]=questions[[#This Row],[stability_first_characters]]</f>
        <v>1</v>
      </c>
      <c r="AS783" s="98" t="b">
        <f>IF(OR(questions[[#This Row],[is_single_select]],questions[[#This Row],[is_multi_select]]),NOT(ISBLANK(questions[[#This Row],[answer_opt_combined]])),TRUE)</f>
        <v>1</v>
      </c>
    </row>
    <row r="784" spans="1:45" s="77" customFormat="1" ht="15.75" customHeight="1" x14ac:dyDescent="0.25">
      <c r="A784" s="77" t="str">
        <f>_xlfn.TEXTJOIN("_",TRUE,questions[[#This Row],[origin]:[qno]])</f>
        <v>Kenya_Arabica_Nestle_2024_7251</v>
      </c>
      <c r="B784" s="77" t="s">
        <v>818</v>
      </c>
      <c r="C784" s="77" t="s">
        <v>59</v>
      </c>
      <c r="D784" s="77" t="s">
        <v>819</v>
      </c>
      <c r="E784" s="77">
        <v>2024</v>
      </c>
      <c r="F784" s="108" t="s">
        <v>419</v>
      </c>
      <c r="G784" s="78" t="s">
        <v>420</v>
      </c>
      <c r="H784" s="33" t="str" cm="1">
        <f t="array" ref="H784">INDEX(stableR[question],MATCH(VALUE(questions[[#This Row],[qno]]),VALUE(stableR[qno]),0))</f>
        <v>If yes, list the names of all the herbicides that you used, last year.</v>
      </c>
      <c r="I784" s="33" t="b" cm="1">
        <f t="array" ref="I784">INDEX(stable[is_fixed],MATCH(VALUE(questions[[#This Row],[qno]]),VALUE(stable[qno]),0))</f>
        <v>1</v>
      </c>
      <c r="J784" s="33" t="b" cm="1">
        <f t="array" ref="J784">INDEX(stable[is_localized],MATCH(VALUE(questions[[#This Row],[qno]]),VALUE(stable[qno]),0))</f>
        <v>0</v>
      </c>
      <c r="K784" s="33" t="b" cm="1">
        <f t="array" ref="K784">INDEX(stable[is_supply_chain_dependent],MATCH(VALUE(questions[[#This Row],[qno]]),VALUE(stable[qno]),0))</f>
        <v>0</v>
      </c>
      <c r="L784" s="33" t="b" cm="1">
        <f t="array" ref="L784">INDEX(stable[is_mandatory],MATCH(VALUE(questions[[#This Row],[qno]]),VALUE(stable[qno]),0))</f>
        <v>0</v>
      </c>
      <c r="M784" s="33" t="b" cm="1">
        <f t="array" ref="M784">INDEX(stable[is_automated],MATCH(VALUE(questions[[#This Row],[qno]]),VALUE(stable[qno]),0))</f>
        <v>0</v>
      </c>
      <c r="N784" s="33" t="b" cm="1">
        <f t="array" ref="N784">INDEX(stable[is_free_text],MATCH(VALUE(questions[[#This Row],[qno]]),VALUE(stable[qno]),0))</f>
        <v>0</v>
      </c>
      <c r="O784" s="33" t="b" cm="1">
        <f t="array" ref="O784">INDEX(stable[is_numerical],MATCH(VALUE(questions[[#This Row],[qno]]),VALUE(stable[qno]),0))</f>
        <v>0</v>
      </c>
      <c r="P784" s="77" t="b" cm="1">
        <f t="array" ref="P784">INDEX(stable[is_single_select],MATCH(VALUE(questions[[#This Row],[qno]]),VALUE(stable[qno]),0))</f>
        <v>1</v>
      </c>
      <c r="Q784" s="77" t="b" cm="1">
        <f t="array" ref="Q784">INDEX(stable[is_multi_select],MATCH(VALUE(questions[[#This Row],[qno]]),VALUE(stable[qno]),0))</f>
        <v>0</v>
      </c>
      <c r="R784" s="77" t="b" cm="1">
        <f t="array" ref="R784">INDEX(stable[is_skip_logic],MATCH(VALUE(questions[[#This Row],[qno]]),VALUE(stable[qno]),0))</f>
        <v>1</v>
      </c>
      <c r="S784" s="77" t="str">
        <f>_xlfn.TEXTJOIN(", ",TRUE,questions[[#This Row],[ans_opt_1]:[ans_opt_14]])</f>
        <v>1% to 10% - very little, 11% to 20% - little, 21% to 50% - less than half, 51% to 75% - more than half, 76% to 100% - almost all</v>
      </c>
      <c r="T784" s="77" t="s">
        <v>421</v>
      </c>
      <c r="U784" s="77" t="s">
        <v>422</v>
      </c>
      <c r="V784" s="77" t="s">
        <v>423</v>
      </c>
      <c r="W784" s="77" t="s">
        <v>340</v>
      </c>
      <c r="X784" s="77" t="s">
        <v>341</v>
      </c>
      <c r="AH784" s="98" t="b">
        <f>INDEX(stable[q_standard],MATCH(questions[[#This Row],[qno]],stable[qno],0))</f>
        <v>0</v>
      </c>
      <c r="AI784" s="98" t="b">
        <f>INDEX(stable[q_living_income],MATCH(questions[[#This Row],[qno]],stable[qno],0))</f>
        <v>0</v>
      </c>
      <c r="AJ784" s="98" t="b">
        <f>INDEX(stable[q_carbon],MATCH(questions[[#This Row],[qno]],stable[qno],0))</f>
        <v>0</v>
      </c>
      <c r="AK784" s="98" t="b">
        <f>INDEX(stable[q_regen_ag],MATCH(questions[[#This Row],[qno]],stable[qno],0))</f>
        <v>1</v>
      </c>
      <c r="AL784" s="98" t="b">
        <f>COUNTIFS(stable[qno],questions[[#This Row],[qno]])=1</f>
        <v>1</v>
      </c>
      <c r="AM784" s="98" t="b">
        <f>OR(questions[[#This Row],[is_fixed]],questions[[#This Row],[is_localized]],questions[[#This Row],[is_supply_chain_dependent]])</f>
        <v>1</v>
      </c>
      <c r="AN784" s="98" t="b">
        <f>COUNTIFS(questions[[#This Row],[is_automated]:[is_multi_select]],TRUE)=1</f>
        <v>1</v>
      </c>
      <c r="AO784" s="98" t="b">
        <f>IF(questions[[#This Row],[is_fixed]],questions[[#This Row],[question]]=INDEX(stable[question],MATCH(questions[[#This Row],[qno]],stable[qno],0)),TRUE)</f>
        <v>0</v>
      </c>
      <c r="AP784" s="98" t="str">
        <f>LEFT(questions[[#This Row],[question]],similarity_range)</f>
        <v>If you apply chemica</v>
      </c>
      <c r="AQ784" s="98" t="str">
        <f>LEFT(INDEX(stable[question],MATCH(questions[[#This Row],[qno]],stable[qno],0)),similarity_range)</f>
        <v>If you apply chemica</v>
      </c>
      <c r="AR784" s="98" t="b">
        <f>questions[[#This Row],[question_first_characters]]=questions[[#This Row],[stability_first_characters]]</f>
        <v>1</v>
      </c>
      <c r="AS784" s="98" t="b">
        <f>IF(OR(questions[[#This Row],[is_single_select]],questions[[#This Row],[is_multi_select]]),NOT(ISBLANK(questions[[#This Row],[answer_opt_combined]])),TRUE)</f>
        <v>1</v>
      </c>
    </row>
    <row r="785" spans="1:45" s="77" customFormat="1" ht="15.75" customHeight="1" x14ac:dyDescent="0.25">
      <c r="A785" s="77" t="str">
        <f>_xlfn.TEXTJOIN("_",TRUE,questions[[#This Row],[origin]:[qno]])</f>
        <v>Kenya_Arabica_Nestle_2024_7252</v>
      </c>
      <c r="B785" s="77" t="s">
        <v>818</v>
      </c>
      <c r="C785" s="77" t="s">
        <v>59</v>
      </c>
      <c r="D785" s="77" t="s">
        <v>819</v>
      </c>
      <c r="E785" s="77">
        <v>2024</v>
      </c>
      <c r="F785" s="105" t="s">
        <v>424</v>
      </c>
      <c r="G785" s="78" t="s">
        <v>425</v>
      </c>
      <c r="H785" s="33" t="str" cm="1">
        <f t="array" ref="H785">INDEX(stableR[question],MATCH(VALUE(questions[[#This Row],[qno]]),VALUE(stableR[qno]),0))</f>
        <v>If applying herbicides, to which % of area of the coffee plots? e.g. if the coffee area is 1 hectare and herbicides are sprayed to only 0.5 hectare (where there is high weed pressure), then it is 50%</v>
      </c>
      <c r="I785" s="33" t="b" cm="1">
        <f t="array" ref="I785">INDEX(stable[is_fixed],MATCH(VALUE(questions[[#This Row],[qno]]),VALUE(stable[qno]),0))</f>
        <v>1</v>
      </c>
      <c r="J785" s="33" t="b" cm="1">
        <f t="array" ref="J785">INDEX(stable[is_localized],MATCH(VALUE(questions[[#This Row],[qno]]),VALUE(stable[qno]),0))</f>
        <v>0</v>
      </c>
      <c r="K785" s="33" t="b" cm="1">
        <f t="array" ref="K785">INDEX(stable[is_supply_chain_dependent],MATCH(VALUE(questions[[#This Row],[qno]]),VALUE(stable[qno]),0))</f>
        <v>0</v>
      </c>
      <c r="L785" s="33" t="b" cm="1">
        <f t="array" ref="L785">INDEX(stable[is_mandatory],MATCH(VALUE(questions[[#This Row],[qno]]),VALUE(stable[qno]),0))</f>
        <v>0</v>
      </c>
      <c r="M785" s="33" t="b" cm="1">
        <f t="array" ref="M785">INDEX(stable[is_automated],MATCH(VALUE(questions[[#This Row],[qno]]),VALUE(stable[qno]),0))</f>
        <v>0</v>
      </c>
      <c r="N785" s="33" t="b" cm="1">
        <f t="array" ref="N785">INDEX(stable[is_free_text],MATCH(VALUE(questions[[#This Row],[qno]]),VALUE(stable[qno]),0))</f>
        <v>0</v>
      </c>
      <c r="O785" s="33" t="b" cm="1">
        <f t="array" ref="O785">INDEX(stable[is_numerical],MATCH(VALUE(questions[[#This Row],[qno]]),VALUE(stable[qno]),0))</f>
        <v>0</v>
      </c>
      <c r="P785" s="77" t="b" cm="1">
        <f t="array" ref="P785">INDEX(stable[is_single_select],MATCH(VALUE(questions[[#This Row],[qno]]),VALUE(stable[qno]),0))</f>
        <v>1</v>
      </c>
      <c r="Q785" s="77" t="b" cm="1">
        <f t="array" ref="Q785">INDEX(stable[is_multi_select],MATCH(VALUE(questions[[#This Row],[qno]]),VALUE(stable[qno]),0))</f>
        <v>0</v>
      </c>
      <c r="R785" s="77" t="b" cm="1">
        <f t="array" ref="R785">INDEX(stable[is_skip_logic],MATCH(VALUE(questions[[#This Row],[qno]]),VALUE(stable[qno]),0))</f>
        <v>1</v>
      </c>
      <c r="S785" s="77" t="str">
        <f>_xlfn.TEXTJOIN(", ",TRUE,questions[[#This Row],[ans_opt_1]:[ans_opt_14]])</f>
        <v>Yes, No</v>
      </c>
      <c r="T785" s="77" t="s">
        <v>149</v>
      </c>
      <c r="U785" s="77" t="s">
        <v>119</v>
      </c>
      <c r="AH785" s="98" t="b">
        <f>INDEX(stable[q_standard],MATCH(questions[[#This Row],[qno]],stable[qno],0))</f>
        <v>0</v>
      </c>
      <c r="AI785" s="98" t="b">
        <f>INDEX(stable[q_living_income],MATCH(questions[[#This Row],[qno]],stable[qno],0))</f>
        <v>0</v>
      </c>
      <c r="AJ785" s="98" t="b">
        <f>INDEX(stable[q_carbon],MATCH(questions[[#This Row],[qno]],stable[qno],0))</f>
        <v>0</v>
      </c>
      <c r="AK785" s="98" t="b">
        <f>INDEX(stable[q_regen_ag],MATCH(questions[[#This Row],[qno]],stable[qno],0))</f>
        <v>1</v>
      </c>
      <c r="AL785" s="98" t="b">
        <f>COUNTIFS(stable[qno],questions[[#This Row],[qno]])=1</f>
        <v>1</v>
      </c>
      <c r="AM785" s="98" t="b">
        <f>OR(questions[[#This Row],[is_fixed]],questions[[#This Row],[is_localized]],questions[[#This Row],[is_supply_chain_dependent]])</f>
        <v>1</v>
      </c>
      <c r="AN785" s="98" t="b">
        <f>COUNTIFS(questions[[#This Row],[is_automated]:[is_multi_select]],TRUE)=1</f>
        <v>1</v>
      </c>
      <c r="AO785" s="98" t="b">
        <f>IF(questions[[#This Row],[is_fixed]],questions[[#This Row],[question]]=INDEX(stable[question],MATCH(questions[[#This Row],[qno]],stable[qno],0)),TRUE)</f>
        <v>0</v>
      </c>
      <c r="AP785" s="98" t="str">
        <f>LEFT(questions[[#This Row],[question]],similarity_range)</f>
        <v>If applying herbicid</v>
      </c>
      <c r="AQ785" s="98" t="str">
        <f>LEFT(INDEX(stable[question],MATCH(questions[[#This Row],[qno]],stable[qno],0)),similarity_range)</f>
        <v>If applying herbicid</v>
      </c>
      <c r="AR785" s="98" t="b">
        <f>questions[[#This Row],[question_first_characters]]=questions[[#This Row],[stability_first_characters]]</f>
        <v>1</v>
      </c>
      <c r="AS785" s="98" t="b">
        <f>IF(OR(questions[[#This Row],[is_single_select]],questions[[#This Row],[is_multi_select]]),NOT(ISBLANK(questions[[#This Row],[answer_opt_combined]])),TRUE)</f>
        <v>1</v>
      </c>
    </row>
    <row r="786" spans="1:45" s="77" customFormat="1" ht="15.75" customHeight="1" x14ac:dyDescent="0.25">
      <c r="A786" s="77" t="str">
        <f>_xlfn.TEXTJOIN("_",TRUE,questions[[#This Row],[origin]:[qno]])</f>
        <v>Kenya_Arabica_Nestle_2024_7253</v>
      </c>
      <c r="B786" s="77" t="s">
        <v>818</v>
      </c>
      <c r="C786" s="77" t="s">
        <v>59</v>
      </c>
      <c r="D786" s="77" t="s">
        <v>819</v>
      </c>
      <c r="E786" s="77">
        <v>2024</v>
      </c>
      <c r="F786" s="105" t="s">
        <v>426</v>
      </c>
      <c r="G786" s="78" t="s">
        <v>427</v>
      </c>
      <c r="H786" s="33" t="str" cm="1">
        <f t="array" ref="H786">INDEX(stableR[question],MATCH(VALUE(questions[[#This Row],[qno]]),VALUE(stableR[qno]),0))</f>
        <v>If applying herbicides, can you prove that all are locally authorized for coffee use, and that you respect the doses and post-harvest intervals of the label of the product. If applying herbicides, to which % of area of the coffee plots? e.g. if the coffee area is 1 hectare and herbicides are sprayed to only 0.5 hectare (where there is high weed pressure), then it is 50%</v>
      </c>
      <c r="I786" s="33" t="b" cm="1">
        <f t="array" ref="I786">INDEX(stable[is_fixed],MATCH(VALUE(questions[[#This Row],[qno]]),VALUE(stable[qno]),0))</f>
        <v>1</v>
      </c>
      <c r="J786" s="33" t="b" cm="1">
        <f t="array" ref="J786">INDEX(stable[is_localized],MATCH(VALUE(questions[[#This Row],[qno]]),VALUE(stable[qno]),0))</f>
        <v>0</v>
      </c>
      <c r="K786" s="33" t="b" cm="1">
        <f t="array" ref="K786">INDEX(stable[is_supply_chain_dependent],MATCH(VALUE(questions[[#This Row],[qno]]),VALUE(stable[qno]),0))</f>
        <v>0</v>
      </c>
      <c r="L786" s="33" t="b" cm="1">
        <f t="array" ref="L786">INDEX(stable[is_mandatory],MATCH(VALUE(questions[[#This Row],[qno]]),VALUE(stable[qno]),0))</f>
        <v>1</v>
      </c>
      <c r="M786" s="33" t="b" cm="1">
        <f t="array" ref="M786">INDEX(stable[is_automated],MATCH(VALUE(questions[[#This Row],[qno]]),VALUE(stable[qno]),0))</f>
        <v>0</v>
      </c>
      <c r="N786" s="33" t="b" cm="1">
        <f t="array" ref="N786">INDEX(stable[is_free_text],MATCH(VALUE(questions[[#This Row],[qno]]),VALUE(stable[qno]),0))</f>
        <v>0</v>
      </c>
      <c r="O786" s="33" t="b" cm="1">
        <f t="array" ref="O786">INDEX(stable[is_numerical],MATCH(VALUE(questions[[#This Row],[qno]]),VALUE(stable[qno]),0))</f>
        <v>0</v>
      </c>
      <c r="P786" s="77" t="b" cm="1">
        <f t="array" ref="P786">INDEX(stable[is_single_select],MATCH(VALUE(questions[[#This Row],[qno]]),VALUE(stable[qno]),0))</f>
        <v>1</v>
      </c>
      <c r="Q786" s="77" t="b" cm="1">
        <f t="array" ref="Q786">INDEX(stable[is_multi_select],MATCH(VALUE(questions[[#This Row],[qno]]),VALUE(stable[qno]),0))</f>
        <v>0</v>
      </c>
      <c r="R786" s="77" t="b" cm="1">
        <f t="array" ref="R786">INDEX(stable[is_skip_logic],MATCH(VALUE(questions[[#This Row],[qno]]),VALUE(stable[qno]),0))</f>
        <v>1</v>
      </c>
      <c r="S786" s="77" t="str">
        <f>_xlfn.TEXTJOIN(", ",TRUE,questions[[#This Row],[ans_opt_1]:[ans_opt_14]])</f>
        <v>Manual removal, Mechanical removal, Mulching, Cover crops, Cover crops, Amix of different systems</v>
      </c>
      <c r="T786" s="77" t="s">
        <v>428</v>
      </c>
      <c r="U786" s="77" t="s">
        <v>429</v>
      </c>
      <c r="V786" s="77" t="s">
        <v>430</v>
      </c>
      <c r="W786" s="77" t="s">
        <v>431</v>
      </c>
      <c r="X786" s="77" t="s">
        <v>431</v>
      </c>
      <c r="Y786" s="131" t="s">
        <v>806</v>
      </c>
      <c r="AH786" s="98" t="b">
        <f>INDEX(stable[q_standard],MATCH(questions[[#This Row],[qno]],stable[qno],0))</f>
        <v>0</v>
      </c>
      <c r="AI786" s="98" t="b">
        <f>INDEX(stable[q_living_income],MATCH(questions[[#This Row],[qno]],stable[qno],0))</f>
        <v>0</v>
      </c>
      <c r="AJ786" s="98" t="b">
        <f>INDEX(stable[q_carbon],MATCH(questions[[#This Row],[qno]],stable[qno],0))</f>
        <v>0</v>
      </c>
      <c r="AK786" s="98" t="b">
        <f>INDEX(stable[q_regen_ag],MATCH(questions[[#This Row],[qno]],stable[qno],0))</f>
        <v>1</v>
      </c>
      <c r="AL786" s="98" t="b">
        <f>COUNTIFS(stable[qno],questions[[#This Row],[qno]])=1</f>
        <v>1</v>
      </c>
      <c r="AM786" s="98" t="b">
        <f>OR(questions[[#This Row],[is_fixed]],questions[[#This Row],[is_localized]],questions[[#This Row],[is_supply_chain_dependent]])</f>
        <v>1</v>
      </c>
      <c r="AN786" s="98" t="b">
        <f>COUNTIFS(questions[[#This Row],[is_automated]:[is_multi_select]],TRUE)=1</f>
        <v>1</v>
      </c>
      <c r="AO786" s="98" t="b">
        <f>IF(questions[[#This Row],[is_fixed]],questions[[#This Row],[question]]=INDEX(stable[question],MATCH(questions[[#This Row],[qno]],stable[qno],0)),TRUE)</f>
        <v>1</v>
      </c>
      <c r="AP786" s="98" t="str">
        <f>LEFT(questions[[#This Row],[question]],similarity_range)</f>
        <v>If you use or do not</v>
      </c>
      <c r="AQ786" s="98" t="str">
        <f>LEFT(INDEX(stable[question],MATCH(questions[[#This Row],[qno]],stable[qno],0)),similarity_range)</f>
        <v>If you use or do not</v>
      </c>
      <c r="AR786" s="98" t="b">
        <f>questions[[#This Row],[question_first_characters]]=questions[[#This Row],[stability_first_characters]]</f>
        <v>1</v>
      </c>
      <c r="AS786" s="98" t="b">
        <f>IF(OR(questions[[#This Row],[is_single_select]],questions[[#This Row],[is_multi_select]]),NOT(ISBLANK(questions[[#This Row],[answer_opt_combined]])),TRUE)</f>
        <v>1</v>
      </c>
    </row>
    <row r="787" spans="1:45" s="77" customFormat="1" ht="15.75" customHeight="1" x14ac:dyDescent="0.25">
      <c r="A787" s="77" t="str">
        <f>_xlfn.TEXTJOIN("_",TRUE,questions[[#This Row],[origin]:[qno]])</f>
        <v>Kenya_Arabica_Nestle_2024_7300</v>
      </c>
      <c r="B787" s="77" t="s">
        <v>818</v>
      </c>
      <c r="C787" s="77" t="s">
        <v>59</v>
      </c>
      <c r="D787" s="77" t="s">
        <v>819</v>
      </c>
      <c r="E787" s="77">
        <v>2024</v>
      </c>
      <c r="F787" s="105" t="s">
        <v>433</v>
      </c>
      <c r="G787" s="78" t="s">
        <v>434</v>
      </c>
      <c r="H787" s="33" t="str" cm="1">
        <f t="array" ref="H787">INDEX(stableR[question],MATCH(VALUE(questions[[#This Row],[qno]]),VALUE(stableR[qno]),0))</f>
        <v>Do you irrigate your coffee crop and if yes, what irrigation system/s do you use? If the answer is NO, you do not need to answer the next question</v>
      </c>
      <c r="I787" s="33" t="b" cm="1">
        <f t="array" ref="I787">INDEX(stable[is_fixed],MATCH(VALUE(questions[[#This Row],[qno]]),VALUE(stable[qno]),0))</f>
        <v>1</v>
      </c>
      <c r="J787" s="33" t="b" cm="1">
        <f t="array" ref="J787">INDEX(stable[is_localized],MATCH(VALUE(questions[[#This Row],[qno]]),VALUE(stable[qno]),0))</f>
        <v>0</v>
      </c>
      <c r="K787" s="33" t="b" cm="1">
        <f t="array" ref="K787">INDEX(stable[is_supply_chain_dependent],MATCH(VALUE(questions[[#This Row],[qno]]),VALUE(stable[qno]),0))</f>
        <v>0</v>
      </c>
      <c r="L787" s="33" t="b" cm="1">
        <f t="array" ref="L787">INDEX(stable[is_mandatory],MATCH(VALUE(questions[[#This Row],[qno]]),VALUE(stable[qno]),0))</f>
        <v>1</v>
      </c>
      <c r="M787" s="33" t="b" cm="1">
        <f t="array" ref="M787">INDEX(stable[is_automated],MATCH(VALUE(questions[[#This Row],[qno]]),VALUE(stable[qno]),0))</f>
        <v>0</v>
      </c>
      <c r="N787" s="33" t="b" cm="1">
        <f t="array" ref="N787">INDEX(stable[is_free_text],MATCH(VALUE(questions[[#This Row],[qno]]),VALUE(stable[qno]),0))</f>
        <v>0</v>
      </c>
      <c r="O787" s="33" t="b" cm="1">
        <f t="array" ref="O787">INDEX(stable[is_numerical],MATCH(VALUE(questions[[#This Row],[qno]]),VALUE(stable[qno]),0))</f>
        <v>0</v>
      </c>
      <c r="P787" s="77" t="b" cm="1">
        <f t="array" ref="P787">INDEX(stable[is_single_select],MATCH(VALUE(questions[[#This Row],[qno]]),VALUE(stable[qno]),0))</f>
        <v>1</v>
      </c>
      <c r="Q787" s="77" t="b" cm="1">
        <f t="array" ref="Q787">INDEX(stable[is_multi_select],MATCH(VALUE(questions[[#This Row],[qno]]),VALUE(stable[qno]),0))</f>
        <v>0</v>
      </c>
      <c r="R787" s="77" t="b" cm="1">
        <f t="array" ref="R787">INDEX(stable[is_skip_logic],MATCH(VALUE(questions[[#This Row],[qno]]),VALUE(stable[qno]),0))</f>
        <v>0</v>
      </c>
      <c r="S787" s="77" t="str">
        <f>_xlfn.TEXTJOIN(", ",TRUE,questions[[#This Row],[ans_opt_1]:[ans_opt_14]])</f>
        <v>No, Yes / drip irrigation, Yes / minisprinkler irrigation, Yes / overhead irrigation (sprinklers, pivot, rain gun), Yes / flood-furrow-hose pipe irrigation</v>
      </c>
      <c r="T787" s="77" t="s">
        <v>119</v>
      </c>
      <c r="U787" s="77" t="s">
        <v>435</v>
      </c>
      <c r="V787" s="77" t="s">
        <v>436</v>
      </c>
      <c r="W787" s="77" t="s">
        <v>437</v>
      </c>
      <c r="X787" s="77" t="s">
        <v>438</v>
      </c>
      <c r="AH787" s="98" t="b">
        <f>INDEX(stable[q_standard],MATCH(questions[[#This Row],[qno]],stable[qno],0))</f>
        <v>0</v>
      </c>
      <c r="AI787" s="98" t="b">
        <f>INDEX(stable[q_living_income],MATCH(questions[[#This Row],[qno]],stable[qno],0))</f>
        <v>0</v>
      </c>
      <c r="AJ787" s="98" t="b">
        <f>INDEX(stable[q_carbon],MATCH(questions[[#This Row],[qno]],stable[qno],0))</f>
        <v>0</v>
      </c>
      <c r="AK787" s="98" t="b">
        <f>INDEX(stable[q_regen_ag],MATCH(questions[[#This Row],[qno]],stable[qno],0))</f>
        <v>1</v>
      </c>
      <c r="AL787" s="98" t="b">
        <f>COUNTIFS(stable[qno],questions[[#This Row],[qno]])=1</f>
        <v>1</v>
      </c>
      <c r="AM787" s="98" t="b">
        <f>OR(questions[[#This Row],[is_fixed]],questions[[#This Row],[is_localized]],questions[[#This Row],[is_supply_chain_dependent]])</f>
        <v>1</v>
      </c>
      <c r="AN787" s="98" t="b">
        <f>COUNTIFS(questions[[#This Row],[is_automated]:[is_multi_select]],TRUE)=1</f>
        <v>1</v>
      </c>
      <c r="AO787" s="98" t="b">
        <f>IF(questions[[#This Row],[is_fixed]],questions[[#This Row],[question]]=INDEX(stable[question],MATCH(questions[[#This Row],[qno]],stable[qno],0)),TRUE)</f>
        <v>0</v>
      </c>
      <c r="AP787" s="98" t="str">
        <f>LEFT(questions[[#This Row],[question]],similarity_range)</f>
        <v>Do you irrigate your</v>
      </c>
      <c r="AQ787" s="98" t="str">
        <f>LEFT(INDEX(stable[question],MATCH(questions[[#This Row],[qno]],stable[qno],0)),similarity_range)</f>
        <v>Do you irrigate your</v>
      </c>
      <c r="AR787" s="98" t="b">
        <f>questions[[#This Row],[question_first_characters]]=questions[[#This Row],[stability_first_characters]]</f>
        <v>1</v>
      </c>
      <c r="AS787" s="98" t="b">
        <f>IF(OR(questions[[#This Row],[is_single_select]],questions[[#This Row],[is_multi_select]]),NOT(ISBLANK(questions[[#This Row],[answer_opt_combined]])),TRUE)</f>
        <v>1</v>
      </c>
    </row>
    <row r="788" spans="1:45" s="77" customFormat="1" ht="15.75" customHeight="1" x14ac:dyDescent="0.25">
      <c r="A788" s="77" t="str">
        <f>_xlfn.TEXTJOIN("_",TRUE,questions[[#This Row],[origin]:[qno]])</f>
        <v>Kenya_Arabica_Nestle_2024_7301</v>
      </c>
      <c r="B788" s="77" t="s">
        <v>818</v>
      </c>
      <c r="C788" s="77" t="s">
        <v>59</v>
      </c>
      <c r="D788" s="77" t="s">
        <v>819</v>
      </c>
      <c r="E788" s="77">
        <v>2024</v>
      </c>
      <c r="F788" s="105" t="s">
        <v>439</v>
      </c>
      <c r="G788" s="78" t="s">
        <v>440</v>
      </c>
      <c r="H788" s="33" t="str" cm="1">
        <f t="array" ref="H788">INDEX(stableR[question],MATCH(VALUE(questions[[#This Row],[qno]]),VALUE(stableR[qno]),0))</f>
        <v>Do you have a systems to know when and how much to irrigate and according to the irrigation system (balance sheet with rainfall and evapotranspiration, sensors, irrigation app-software, weather stations...)?</v>
      </c>
      <c r="I788" s="33" t="b" cm="1">
        <f t="array" ref="I788">INDEX(stable[is_fixed],MATCH(VALUE(questions[[#This Row],[qno]]),VALUE(stable[qno]),0))</f>
        <v>1</v>
      </c>
      <c r="J788" s="33" t="b" cm="1">
        <f t="array" ref="J788">INDEX(stable[is_localized],MATCH(VALUE(questions[[#This Row],[qno]]),VALUE(stable[qno]),0))</f>
        <v>0</v>
      </c>
      <c r="K788" s="33" t="b" cm="1">
        <f t="array" ref="K788">INDEX(stable[is_supply_chain_dependent],MATCH(VALUE(questions[[#This Row],[qno]]),VALUE(stable[qno]),0))</f>
        <v>0</v>
      </c>
      <c r="L788" s="33" t="b" cm="1">
        <f t="array" ref="L788">INDEX(stable[is_mandatory],MATCH(VALUE(questions[[#This Row],[qno]]),VALUE(stable[qno]),0))</f>
        <v>0</v>
      </c>
      <c r="M788" s="33" t="b" cm="1">
        <f t="array" ref="M788">INDEX(stable[is_automated],MATCH(VALUE(questions[[#This Row],[qno]]),VALUE(stable[qno]),0))</f>
        <v>0</v>
      </c>
      <c r="N788" s="33" t="b" cm="1">
        <f t="array" ref="N788">INDEX(stable[is_free_text],MATCH(VALUE(questions[[#This Row],[qno]]),VALUE(stable[qno]),0))</f>
        <v>0</v>
      </c>
      <c r="O788" s="33" t="b" cm="1">
        <f t="array" ref="O788">INDEX(stable[is_numerical],MATCH(VALUE(questions[[#This Row],[qno]]),VALUE(stable[qno]),0))</f>
        <v>0</v>
      </c>
      <c r="P788" s="77" t="b" cm="1">
        <f t="array" ref="P788">INDEX(stable[is_single_select],MATCH(VALUE(questions[[#This Row],[qno]]),VALUE(stable[qno]),0))</f>
        <v>1</v>
      </c>
      <c r="Q788" s="77" t="b" cm="1">
        <f t="array" ref="Q788">INDEX(stable[is_multi_select],MATCH(VALUE(questions[[#This Row],[qno]]),VALUE(stable[qno]),0))</f>
        <v>0</v>
      </c>
      <c r="R788" s="77" t="b" cm="1">
        <f t="array" ref="R788">INDEX(stable[is_skip_logic],MATCH(VALUE(questions[[#This Row],[qno]]),VALUE(stable[qno]),0))</f>
        <v>0</v>
      </c>
      <c r="S788" s="77" t="str">
        <f>_xlfn.TEXTJOIN(", ",TRUE,questions[[#This Row],[ans_opt_1]:[ans_opt_14]])</f>
        <v>Yes, No</v>
      </c>
      <c r="T788" s="77" t="s">
        <v>149</v>
      </c>
      <c r="U788" s="77" t="s">
        <v>119</v>
      </c>
      <c r="AH788" s="98" t="b">
        <f>INDEX(stable[q_standard],MATCH(questions[[#This Row],[qno]],stable[qno],0))</f>
        <v>0</v>
      </c>
      <c r="AI788" s="98" t="b">
        <f>INDEX(stable[q_living_income],MATCH(questions[[#This Row],[qno]],stable[qno],0))</f>
        <v>0</v>
      </c>
      <c r="AJ788" s="98" t="b">
        <f>INDEX(stable[q_carbon],MATCH(questions[[#This Row],[qno]],stable[qno],0))</f>
        <v>0</v>
      </c>
      <c r="AK788" s="98" t="b">
        <f>INDEX(stable[q_regen_ag],MATCH(questions[[#This Row],[qno]],stable[qno],0))</f>
        <v>1</v>
      </c>
      <c r="AL788" s="98" t="b">
        <f>COUNTIFS(stable[qno],questions[[#This Row],[qno]])=1</f>
        <v>1</v>
      </c>
      <c r="AM788" s="98" t="b">
        <f>OR(questions[[#This Row],[is_fixed]],questions[[#This Row],[is_localized]],questions[[#This Row],[is_supply_chain_dependent]])</f>
        <v>1</v>
      </c>
      <c r="AN788" s="98" t="b">
        <f>COUNTIFS(questions[[#This Row],[is_automated]:[is_multi_select]],TRUE)=1</f>
        <v>1</v>
      </c>
      <c r="AO788" s="98" t="b">
        <f>IF(questions[[#This Row],[is_fixed]],questions[[#This Row],[question]]=INDEX(stable[question],MATCH(questions[[#This Row],[qno]],stable[qno],0)),TRUE)</f>
        <v>1</v>
      </c>
      <c r="AP788" s="98" t="str">
        <f>LEFT(questions[[#This Row],[question]],similarity_range)</f>
        <v>Do you have a system</v>
      </c>
      <c r="AQ788" s="98" t="str">
        <f>LEFT(INDEX(stable[question],MATCH(questions[[#This Row],[qno]],stable[qno],0)),similarity_range)</f>
        <v>Do you have a system</v>
      </c>
      <c r="AR788" s="98" t="b">
        <f>questions[[#This Row],[question_first_characters]]=questions[[#This Row],[stability_first_characters]]</f>
        <v>1</v>
      </c>
      <c r="AS788" s="98" t="b">
        <f>IF(OR(questions[[#This Row],[is_single_select]],questions[[#This Row],[is_multi_select]]),NOT(ISBLANK(questions[[#This Row],[answer_opt_combined]])),TRUE)</f>
        <v>1</v>
      </c>
    </row>
    <row r="789" spans="1:45" s="77" customFormat="1" ht="15.75" customHeight="1" x14ac:dyDescent="0.25">
      <c r="A789" s="77" t="str">
        <f>_xlfn.TEXTJOIN("_",TRUE,questions[[#This Row],[origin]:[qno]])</f>
        <v>Kenya_Arabica_Nestle_2024_7400</v>
      </c>
      <c r="B789" s="77" t="s">
        <v>818</v>
      </c>
      <c r="C789" s="77" t="s">
        <v>59</v>
      </c>
      <c r="D789" s="77" t="s">
        <v>819</v>
      </c>
      <c r="E789" s="77">
        <v>2024</v>
      </c>
      <c r="F789" s="105" t="s">
        <v>441</v>
      </c>
      <c r="G789" s="78" t="s">
        <v>442</v>
      </c>
      <c r="H789" s="33" t="str" cm="1">
        <f t="array" ref="H789">INDEX(stableR[question],MATCH(VALUE(questions[[#This Row],[qno]]),VALUE(stableR[qno]),0))</f>
        <v>Are you implementing a plan to renovate/rehabilitate the coffee trees of your coffee plots? e.g. stumping, partial stumping, capping, side pruning, uprooting and replanting, uprooting and planting new trees, or a mix of systems. If the answer is NO, you do not need to answer the next 2 questions</v>
      </c>
      <c r="I789" s="33" t="b" cm="1">
        <f t="array" ref="I789">INDEX(stable[is_fixed],MATCH(VALUE(questions[[#This Row],[qno]]),VALUE(stable[qno]),0))</f>
        <v>1</v>
      </c>
      <c r="J789" s="33" t="b" cm="1">
        <f t="array" ref="J789">INDEX(stable[is_localized],MATCH(VALUE(questions[[#This Row],[qno]]),VALUE(stable[qno]),0))</f>
        <v>0</v>
      </c>
      <c r="K789" s="33" t="b" cm="1">
        <f t="array" ref="K789">INDEX(stable[is_supply_chain_dependent],MATCH(VALUE(questions[[#This Row],[qno]]),VALUE(stable[qno]),0))</f>
        <v>0</v>
      </c>
      <c r="L789" s="33" t="b" cm="1">
        <f t="array" ref="L789">INDEX(stable[is_mandatory],MATCH(VALUE(questions[[#This Row],[qno]]),VALUE(stable[qno]),0))</f>
        <v>1</v>
      </c>
      <c r="M789" s="33" t="b" cm="1">
        <f t="array" ref="M789">INDEX(stable[is_automated],MATCH(VALUE(questions[[#This Row],[qno]]),VALUE(stable[qno]),0))</f>
        <v>0</v>
      </c>
      <c r="N789" s="33" t="b" cm="1">
        <f t="array" ref="N789">INDEX(stable[is_free_text],MATCH(VALUE(questions[[#This Row],[qno]]),VALUE(stable[qno]),0))</f>
        <v>0</v>
      </c>
      <c r="O789" s="33" t="b" cm="1">
        <f t="array" ref="O789">INDEX(stable[is_numerical],MATCH(VALUE(questions[[#This Row],[qno]]),VALUE(stable[qno]),0))</f>
        <v>0</v>
      </c>
      <c r="P789" s="77" t="b" cm="1">
        <f t="array" ref="P789">INDEX(stable[is_single_select],MATCH(VALUE(questions[[#This Row],[qno]]),VALUE(stable[qno]),0))</f>
        <v>1</v>
      </c>
      <c r="Q789" s="77" t="b" cm="1">
        <f t="array" ref="Q789">INDEX(stable[is_multi_select],MATCH(VALUE(questions[[#This Row],[qno]]),VALUE(stable[qno]),0))</f>
        <v>0</v>
      </c>
      <c r="R789" s="77" t="b" cm="1">
        <f t="array" ref="R789">INDEX(stable[is_skip_logic],MATCH(VALUE(questions[[#This Row],[qno]]),VALUE(stable[qno]),0))</f>
        <v>1</v>
      </c>
      <c r="S789" s="77" t="str">
        <f>_xlfn.TEXTJOIN(", ",TRUE,questions[[#This Row],[ans_opt_1]:[ans_opt_14]])</f>
        <v>Yes, No</v>
      </c>
      <c r="T789" s="77" t="s">
        <v>149</v>
      </c>
      <c r="U789" s="77" t="s">
        <v>119</v>
      </c>
      <c r="AH789" s="98" t="b">
        <f>INDEX(stable[q_standard],MATCH(questions[[#This Row],[qno]],stable[qno],0))</f>
        <v>0</v>
      </c>
      <c r="AI789" s="98" t="b">
        <f>INDEX(stable[q_living_income],MATCH(questions[[#This Row],[qno]],stable[qno],0))</f>
        <v>0</v>
      </c>
      <c r="AJ789" s="98" t="b">
        <f>INDEX(stable[q_carbon],MATCH(questions[[#This Row],[qno]],stable[qno],0))</f>
        <v>0</v>
      </c>
      <c r="AK789" s="98" t="b">
        <f>INDEX(stable[q_regen_ag],MATCH(questions[[#This Row],[qno]],stable[qno],0))</f>
        <v>1</v>
      </c>
      <c r="AL789" s="98" t="b">
        <f>COUNTIFS(stable[qno],questions[[#This Row],[qno]])=1</f>
        <v>1</v>
      </c>
      <c r="AM789" s="98" t="b">
        <f>OR(questions[[#This Row],[is_fixed]],questions[[#This Row],[is_localized]],questions[[#This Row],[is_supply_chain_dependent]])</f>
        <v>1</v>
      </c>
      <c r="AN789" s="98" t="b">
        <f>COUNTIFS(questions[[#This Row],[is_automated]:[is_multi_select]],TRUE)=1</f>
        <v>1</v>
      </c>
      <c r="AO789" s="98" t="b">
        <f>IF(questions[[#This Row],[is_fixed]],questions[[#This Row],[question]]=INDEX(stable[question],MATCH(questions[[#This Row],[qno]],stable[qno],0)),TRUE)</f>
        <v>0</v>
      </c>
      <c r="AP789" s="98" t="str">
        <f>LEFT(questions[[#This Row],[question]],similarity_range)</f>
        <v>Are you implementing</v>
      </c>
      <c r="AQ789" s="98" t="str">
        <f>LEFT(INDEX(stable[question],MATCH(questions[[#This Row],[qno]],stable[qno],0)),similarity_range)</f>
        <v>Are you implementing</v>
      </c>
      <c r="AR789" s="98" t="b">
        <f>questions[[#This Row],[question_first_characters]]=questions[[#This Row],[stability_first_characters]]</f>
        <v>1</v>
      </c>
      <c r="AS789" s="98" t="b">
        <f>IF(OR(questions[[#This Row],[is_single_select]],questions[[#This Row],[is_multi_select]]),NOT(ISBLANK(questions[[#This Row],[answer_opt_combined]])),TRUE)</f>
        <v>1</v>
      </c>
    </row>
    <row r="790" spans="1:45" s="77" customFormat="1" ht="15.75" customHeight="1" x14ac:dyDescent="0.25">
      <c r="A790" s="77" t="str">
        <f>_xlfn.TEXTJOIN("_",TRUE,questions[[#This Row],[origin]:[qno]])</f>
        <v>Kenya_Arabica_Nestle_2024_7401</v>
      </c>
      <c r="B790" s="77" t="s">
        <v>818</v>
      </c>
      <c r="C790" s="77" t="s">
        <v>59</v>
      </c>
      <c r="D790" s="77" t="s">
        <v>819</v>
      </c>
      <c r="E790" s="77">
        <v>2024</v>
      </c>
      <c r="F790" s="105" t="s">
        <v>443</v>
      </c>
      <c r="G790" s="78" t="s">
        <v>807</v>
      </c>
      <c r="H790" s="33" t="str" cm="1">
        <f t="array" ref="H790">INDEX(stableR[question],MATCH(VALUE(questions[[#This Row],[qno]]),VALUE(stableR[qno]),0))</f>
        <v>What % or proportion of trees have you renovated/rehabilitated in last 3 years?</v>
      </c>
      <c r="I790" s="33" t="b" cm="1">
        <f t="array" ref="I790">INDEX(stable[is_fixed],MATCH(VALUE(questions[[#This Row],[qno]]),VALUE(stable[qno]),0))</f>
        <v>1</v>
      </c>
      <c r="J790" s="33" t="b" cm="1">
        <f t="array" ref="J790">INDEX(stable[is_localized],MATCH(VALUE(questions[[#This Row],[qno]]),VALUE(stable[qno]),0))</f>
        <v>0</v>
      </c>
      <c r="K790" s="33" t="b" cm="1">
        <f t="array" ref="K790">INDEX(stable[is_supply_chain_dependent],MATCH(VALUE(questions[[#This Row],[qno]]),VALUE(stable[qno]),0))</f>
        <v>0</v>
      </c>
      <c r="L790" s="33" t="b" cm="1">
        <f t="array" ref="L790">INDEX(stable[is_mandatory],MATCH(VALUE(questions[[#This Row],[qno]]),VALUE(stable[qno]),0))</f>
        <v>0</v>
      </c>
      <c r="M790" s="33" t="b" cm="1">
        <f t="array" ref="M790">INDEX(stable[is_automated],MATCH(VALUE(questions[[#This Row],[qno]]),VALUE(stable[qno]),0))</f>
        <v>0</v>
      </c>
      <c r="N790" s="33" t="b" cm="1">
        <f t="array" ref="N790">INDEX(stable[is_free_text],MATCH(VALUE(questions[[#This Row],[qno]]),VALUE(stable[qno]),0))</f>
        <v>0</v>
      </c>
      <c r="O790" s="33" t="b" cm="1">
        <f t="array" ref="O790">INDEX(stable[is_numerical],MATCH(VALUE(questions[[#This Row],[qno]]),VALUE(stable[qno]),0))</f>
        <v>0</v>
      </c>
      <c r="P790" s="77" t="b" cm="1">
        <f t="array" ref="P790">INDEX(stable[is_single_select],MATCH(VALUE(questions[[#This Row],[qno]]),VALUE(stable[qno]),0))</f>
        <v>1</v>
      </c>
      <c r="Q790" s="77" t="b" cm="1">
        <f t="array" ref="Q790">INDEX(stable[is_multi_select],MATCH(VALUE(questions[[#This Row],[qno]]),VALUE(stable[qno]),0))</f>
        <v>0</v>
      </c>
      <c r="R790" s="77" t="b" cm="1">
        <f t="array" ref="R790">INDEX(stable[is_skip_logic],MATCH(VALUE(questions[[#This Row],[qno]]),VALUE(stable[qno]),0))</f>
        <v>1</v>
      </c>
      <c r="S790" s="77" t="str">
        <f>_xlfn.TEXTJOIN(", ",TRUE,questions[[#This Row],[ans_opt_1]:[ans_opt_14]])</f>
        <v>1% to 10% - very little, 11% to 20% - little, 21% to 50% - less than half, 51% to 75% - more than half, 76% to 100% - almost all</v>
      </c>
      <c r="T790" s="77" t="s">
        <v>421</v>
      </c>
      <c r="U790" s="77" t="s">
        <v>422</v>
      </c>
      <c r="V790" s="77" t="s">
        <v>423</v>
      </c>
      <c r="W790" s="77" t="s">
        <v>340</v>
      </c>
      <c r="X790" s="77" t="s">
        <v>341</v>
      </c>
      <c r="AH790" s="98" t="b">
        <f>INDEX(stable[q_standard],MATCH(questions[[#This Row],[qno]],stable[qno],0))</f>
        <v>0</v>
      </c>
      <c r="AI790" s="98" t="b">
        <f>INDEX(stable[q_living_income],MATCH(questions[[#This Row],[qno]],stable[qno],0))</f>
        <v>0</v>
      </c>
      <c r="AJ790" s="98" t="b">
        <f>INDEX(stable[q_carbon],MATCH(questions[[#This Row],[qno]],stable[qno],0))</f>
        <v>0</v>
      </c>
      <c r="AK790" s="98" t="b">
        <f>INDEX(stable[q_regen_ag],MATCH(questions[[#This Row],[qno]],stable[qno],0))</f>
        <v>1</v>
      </c>
      <c r="AL790" s="98" t="b">
        <f>COUNTIFS(stable[qno],questions[[#This Row],[qno]])=1</f>
        <v>1</v>
      </c>
      <c r="AM790" s="98" t="b">
        <f>OR(questions[[#This Row],[is_fixed]],questions[[#This Row],[is_localized]],questions[[#This Row],[is_supply_chain_dependent]])</f>
        <v>1</v>
      </c>
      <c r="AN790" s="98" t="b">
        <f>COUNTIFS(questions[[#This Row],[is_automated]:[is_multi_select]],TRUE)=1</f>
        <v>1</v>
      </c>
      <c r="AO790" s="98" t="b">
        <f>IF(questions[[#This Row],[is_fixed]],questions[[#This Row],[question]]=INDEX(stable[question],MATCH(questions[[#This Row],[qno]],stable[qno],0)),TRUE)</f>
        <v>0</v>
      </c>
      <c r="AP790" s="98" t="str">
        <f>LEFT(questions[[#This Row],[question]],similarity_range)</f>
        <v>What % or proportion</v>
      </c>
      <c r="AQ790" s="98" t="str">
        <f>LEFT(INDEX(stable[question],MATCH(questions[[#This Row],[qno]],stable[qno],0)),similarity_range)</f>
        <v>What % or proportion</v>
      </c>
      <c r="AR790" s="98" t="b">
        <f>questions[[#This Row],[question_first_characters]]=questions[[#This Row],[stability_first_characters]]</f>
        <v>1</v>
      </c>
      <c r="AS790" s="98" t="b">
        <f>IF(OR(questions[[#This Row],[is_single_select]],questions[[#This Row],[is_multi_select]]),NOT(ISBLANK(questions[[#This Row],[answer_opt_combined]])),TRUE)</f>
        <v>1</v>
      </c>
    </row>
    <row r="791" spans="1:45" s="77" customFormat="1" ht="15.75" customHeight="1" x14ac:dyDescent="0.25">
      <c r="A791" s="77" t="str">
        <f>_xlfn.TEXTJOIN("_",TRUE,questions[[#This Row],[origin]:[qno]])</f>
        <v>Kenya_Arabica_Nestle_2024_7402</v>
      </c>
      <c r="B791" s="77" t="s">
        <v>818</v>
      </c>
      <c r="C791" s="77" t="s">
        <v>59</v>
      </c>
      <c r="D791" s="77" t="s">
        <v>819</v>
      </c>
      <c r="E791" s="77">
        <v>2024</v>
      </c>
      <c r="F791" s="105" t="s">
        <v>445</v>
      </c>
      <c r="G791" s="78" t="s">
        <v>808</v>
      </c>
      <c r="H791" s="33" t="str" cm="1">
        <f t="array" ref="H791">INDEX(stableR[question],MATCH(VALUE(questions[[#This Row],[qno]]),VALUE(stableR[qno]),0))</f>
        <v>What is the main renovation-rehabilitation systems do you use to renovate/rehabilitate (e.g. full stumping, partial stumping, capping, side pruning, uprooting and planting new trees)?</v>
      </c>
      <c r="I791" s="33" t="b" cm="1">
        <f t="array" ref="I791">INDEX(stable[is_fixed],MATCH(VALUE(questions[[#This Row],[qno]]),VALUE(stable[qno]),0))</f>
        <v>1</v>
      </c>
      <c r="J791" s="33" t="b" cm="1">
        <f t="array" ref="J791">INDEX(stable[is_localized],MATCH(VALUE(questions[[#This Row],[qno]]),VALUE(stable[qno]),0))</f>
        <v>0</v>
      </c>
      <c r="K791" s="33" t="b" cm="1">
        <f t="array" ref="K791">INDEX(stable[is_supply_chain_dependent],MATCH(VALUE(questions[[#This Row],[qno]]),VALUE(stable[qno]),0))</f>
        <v>0</v>
      </c>
      <c r="L791" s="33" t="b" cm="1">
        <f t="array" ref="L791">INDEX(stable[is_mandatory],MATCH(VALUE(questions[[#This Row],[qno]]),VALUE(stable[qno]),0))</f>
        <v>0</v>
      </c>
      <c r="M791" s="33" t="b" cm="1">
        <f t="array" ref="M791">INDEX(stable[is_automated],MATCH(VALUE(questions[[#This Row],[qno]]),VALUE(stable[qno]),0))</f>
        <v>0</v>
      </c>
      <c r="N791" s="33" t="b" cm="1">
        <f t="array" ref="N791">INDEX(stable[is_free_text],MATCH(VALUE(questions[[#This Row],[qno]]),VALUE(stable[qno]),0))</f>
        <v>0</v>
      </c>
      <c r="O791" s="33" t="b" cm="1">
        <f t="array" ref="O791">INDEX(stable[is_numerical],MATCH(VALUE(questions[[#This Row],[qno]]),VALUE(stable[qno]),0))</f>
        <v>0</v>
      </c>
      <c r="P791" s="77" t="b" cm="1">
        <f t="array" ref="P791">INDEX(stable[is_single_select],MATCH(VALUE(questions[[#This Row],[qno]]),VALUE(stable[qno]),0))</f>
        <v>1</v>
      </c>
      <c r="Q791" s="77" t="b" cm="1">
        <f t="array" ref="Q791">INDEX(stable[is_multi_select],MATCH(VALUE(questions[[#This Row],[qno]]),VALUE(stable[qno]),0))</f>
        <v>0</v>
      </c>
      <c r="R791" s="77" t="b" cm="1">
        <f t="array" ref="R791">INDEX(stable[is_skip_logic],MATCH(VALUE(questions[[#This Row],[qno]]),VALUE(stable[qno]),0))</f>
        <v>1</v>
      </c>
      <c r="S791" s="77" t="str">
        <f>_xlfn.TEXTJOIN(", ",TRUE,questions[[#This Row],[ans_opt_1]:[ans_opt_14]])</f>
        <v>full stumping, partial stumping, capping, side pruning, capping and side prunning, uprooting and planting new trees</v>
      </c>
      <c r="T791" s="77" t="s">
        <v>447</v>
      </c>
      <c r="U791" s="77" t="s">
        <v>448</v>
      </c>
      <c r="V791" s="77" t="s">
        <v>449</v>
      </c>
      <c r="W791" s="77" t="s">
        <v>450</v>
      </c>
      <c r="X791" s="77" t="s">
        <v>451</v>
      </c>
      <c r="Y791" s="77" t="s">
        <v>452</v>
      </c>
      <c r="AH791" s="98" t="b">
        <f>INDEX(stable[q_standard],MATCH(questions[[#This Row],[qno]],stable[qno],0))</f>
        <v>0</v>
      </c>
      <c r="AI791" s="98" t="b">
        <f>INDEX(stable[q_living_income],MATCH(questions[[#This Row],[qno]],stable[qno],0))</f>
        <v>0</v>
      </c>
      <c r="AJ791" s="98" t="b">
        <f>INDEX(stable[q_carbon],MATCH(questions[[#This Row],[qno]],stable[qno],0))</f>
        <v>0</v>
      </c>
      <c r="AK791" s="98" t="b">
        <f>INDEX(stable[q_regen_ag],MATCH(questions[[#This Row],[qno]],stable[qno],0))</f>
        <v>1</v>
      </c>
      <c r="AL791" s="98" t="b">
        <f>COUNTIFS(stable[qno],questions[[#This Row],[qno]])=1</f>
        <v>1</v>
      </c>
      <c r="AM791" s="98" t="b">
        <f>OR(questions[[#This Row],[is_fixed]],questions[[#This Row],[is_localized]],questions[[#This Row],[is_supply_chain_dependent]])</f>
        <v>1</v>
      </c>
      <c r="AN791" s="98" t="b">
        <f>COUNTIFS(questions[[#This Row],[is_automated]:[is_multi_select]],TRUE)=1</f>
        <v>1</v>
      </c>
      <c r="AO791" s="98" t="b">
        <f>IF(questions[[#This Row],[is_fixed]],questions[[#This Row],[question]]=INDEX(stable[question],MATCH(questions[[#This Row],[qno]],stable[qno],0)),TRUE)</f>
        <v>0</v>
      </c>
      <c r="AP791" s="98" t="str">
        <f>LEFT(questions[[#This Row],[question]],similarity_range)</f>
        <v>What is the main ren</v>
      </c>
      <c r="AQ791" s="98" t="str">
        <f>LEFT(INDEX(stable[question],MATCH(questions[[#This Row],[qno]],stable[qno],0)),similarity_range)</f>
        <v>What is the main ren</v>
      </c>
      <c r="AR791" s="98" t="b">
        <f>questions[[#This Row],[question_first_characters]]=questions[[#This Row],[stability_first_characters]]</f>
        <v>1</v>
      </c>
      <c r="AS791" s="98" t="b">
        <f>IF(OR(questions[[#This Row],[is_single_select]],questions[[#This Row],[is_multi_select]]),NOT(ISBLANK(questions[[#This Row],[answer_opt_combined]])),TRUE)</f>
        <v>1</v>
      </c>
    </row>
    <row r="792" spans="1:45" s="77" customFormat="1" ht="15.75" customHeight="1" x14ac:dyDescent="0.25">
      <c r="A792" s="77" t="str">
        <f>_xlfn.TEXTJOIN("_",TRUE,questions[[#This Row],[origin]:[qno]])</f>
        <v>Kenya_Arabica_Nestle_2024_7410</v>
      </c>
      <c r="B792" s="77" t="s">
        <v>818</v>
      </c>
      <c r="C792" s="77" t="s">
        <v>59</v>
      </c>
      <c r="D792" s="77" t="s">
        <v>819</v>
      </c>
      <c r="E792" s="77">
        <v>2024</v>
      </c>
      <c r="F792" s="105" t="s">
        <v>453</v>
      </c>
      <c r="G792" s="78" t="s">
        <v>454</v>
      </c>
      <c r="H792" s="33" t="str" cm="1">
        <f t="array" ref="H792">INDEX(stableR[question],MATCH(VALUE(questions[[#This Row],[qno]]),VALUE(stableR[qno]),0))</f>
        <v>How many coffee varieties do you grow in your coffee plots?</v>
      </c>
      <c r="I792" s="33" t="b" cm="1">
        <f t="array" ref="I792">INDEX(stable[is_fixed],MATCH(VALUE(questions[[#This Row],[qno]]),VALUE(stable[qno]),0))</f>
        <v>1</v>
      </c>
      <c r="J792" s="33" t="b" cm="1">
        <f t="array" ref="J792">INDEX(stable[is_localized],MATCH(VALUE(questions[[#This Row],[qno]]),VALUE(stable[qno]),0))</f>
        <v>0</v>
      </c>
      <c r="K792" s="33" t="b" cm="1">
        <f t="array" ref="K792">INDEX(stable[is_supply_chain_dependent],MATCH(VALUE(questions[[#This Row],[qno]]),VALUE(stable[qno]),0))</f>
        <v>0</v>
      </c>
      <c r="L792" s="33" t="b" cm="1">
        <f t="array" ref="L792">INDEX(stable[is_mandatory],MATCH(VALUE(questions[[#This Row],[qno]]),VALUE(stable[qno]),0))</f>
        <v>1</v>
      </c>
      <c r="M792" s="33" t="b" cm="1">
        <f t="array" ref="M792">INDEX(stable[is_automated],MATCH(VALUE(questions[[#This Row],[qno]]),VALUE(stable[qno]),0))</f>
        <v>0</v>
      </c>
      <c r="N792" s="33" t="b" cm="1">
        <f t="array" ref="N792">INDEX(stable[is_free_text],MATCH(VALUE(questions[[#This Row],[qno]]),VALUE(stable[qno]),0))</f>
        <v>0</v>
      </c>
      <c r="O792" s="33" t="b" cm="1">
        <f t="array" ref="O792">INDEX(stable[is_numerical],MATCH(VALUE(questions[[#This Row],[qno]]),VALUE(stable[qno]),0))</f>
        <v>0</v>
      </c>
      <c r="P792" s="77" t="b" cm="1">
        <f t="array" ref="P792">INDEX(stable[is_single_select],MATCH(VALUE(questions[[#This Row],[qno]]),VALUE(stable[qno]),0))</f>
        <v>1</v>
      </c>
      <c r="Q792" s="77" t="b" cm="1">
        <f t="array" ref="Q792">INDEX(stable[is_multi_select],MATCH(VALUE(questions[[#This Row],[qno]]),VALUE(stable[qno]),0))</f>
        <v>0</v>
      </c>
      <c r="R792" s="77" t="b" cm="1">
        <f t="array" ref="R792">INDEX(stable[is_skip_logic],MATCH(VALUE(questions[[#This Row],[qno]]),VALUE(stable[qno]),0))</f>
        <v>1</v>
      </c>
      <c r="S792" s="77" t="str">
        <f>_xlfn.TEXTJOIN(", ",TRUE,questions[[#This Row],[ans_opt_1]:[ans_opt_14]])</f>
        <v>1, 2, 3, 4, 5, &gt;5</v>
      </c>
      <c r="T792" s="77">
        <v>1</v>
      </c>
      <c r="U792" s="77">
        <v>2</v>
      </c>
      <c r="V792" s="77">
        <v>3</v>
      </c>
      <c r="W792" s="77">
        <v>4</v>
      </c>
      <c r="X792" s="77">
        <v>5</v>
      </c>
      <c r="Y792" s="77" t="s">
        <v>404</v>
      </c>
      <c r="AH792" s="98" t="b">
        <f>INDEX(stable[q_standard],MATCH(questions[[#This Row],[qno]],stable[qno],0))</f>
        <v>0</v>
      </c>
      <c r="AI792" s="98" t="b">
        <f>INDEX(stable[q_living_income],MATCH(questions[[#This Row],[qno]],stable[qno],0))</f>
        <v>0</v>
      </c>
      <c r="AJ792" s="98" t="b">
        <f>INDEX(stable[q_carbon],MATCH(questions[[#This Row],[qno]],stable[qno],0))</f>
        <v>0</v>
      </c>
      <c r="AK792" s="98" t="b">
        <f>INDEX(stable[q_regen_ag],MATCH(questions[[#This Row],[qno]],stable[qno],0))</f>
        <v>1</v>
      </c>
      <c r="AL792" s="98" t="b">
        <f>COUNTIFS(stable[qno],questions[[#This Row],[qno]])=1</f>
        <v>1</v>
      </c>
      <c r="AM792" s="98" t="b">
        <f>OR(questions[[#This Row],[is_fixed]],questions[[#This Row],[is_localized]],questions[[#This Row],[is_supply_chain_dependent]])</f>
        <v>1</v>
      </c>
      <c r="AN792" s="98" t="b">
        <f>COUNTIFS(questions[[#This Row],[is_automated]:[is_multi_select]],TRUE)=1</f>
        <v>1</v>
      </c>
      <c r="AO792" s="98" t="b">
        <f>IF(questions[[#This Row],[is_fixed]],questions[[#This Row],[question]]=INDEX(stable[question],MATCH(questions[[#This Row],[qno]],stable[qno],0)),TRUE)</f>
        <v>1</v>
      </c>
      <c r="AP792" s="98" t="str">
        <f>LEFT(questions[[#This Row],[question]],similarity_range)</f>
        <v>How many coffee vari</v>
      </c>
      <c r="AQ792" s="98" t="str">
        <f>LEFT(INDEX(stable[question],MATCH(questions[[#This Row],[qno]],stable[qno],0)),similarity_range)</f>
        <v>How many coffee vari</v>
      </c>
      <c r="AR792" s="98" t="b">
        <f>questions[[#This Row],[question_first_characters]]=questions[[#This Row],[stability_first_characters]]</f>
        <v>1</v>
      </c>
      <c r="AS792" s="98" t="b">
        <f>IF(OR(questions[[#This Row],[is_single_select]],questions[[#This Row],[is_multi_select]]),NOT(ISBLANK(questions[[#This Row],[answer_opt_combined]])),TRUE)</f>
        <v>1</v>
      </c>
    </row>
    <row r="793" spans="1:45" s="77" customFormat="1" ht="15.75" customHeight="1" x14ac:dyDescent="0.25">
      <c r="A793" s="77" t="str">
        <f>_xlfn.TEXTJOIN("_",TRUE,questions[[#This Row],[origin]:[qno]])</f>
        <v>Kenya_Arabica_Nestle_2024_7411</v>
      </c>
      <c r="B793" s="77" t="s">
        <v>818</v>
      </c>
      <c r="C793" s="77" t="s">
        <v>59</v>
      </c>
      <c r="D793" s="77" t="s">
        <v>819</v>
      </c>
      <c r="E793" s="77">
        <v>2024</v>
      </c>
      <c r="F793" s="105" t="s">
        <v>455</v>
      </c>
      <c r="G793" s="78" t="s">
        <v>809</v>
      </c>
      <c r="H793" s="33" t="str" cm="1">
        <f t="array" ref="H793">INDEX(stableR[question],MATCH(VALUE(questions[[#This Row],[qno]]),VALUE(stableR[qno]),0))</f>
        <v>What % or proportion over the total number of trees of the cultivated area is planted with the main variety?</v>
      </c>
      <c r="I793" s="33" t="b" cm="1">
        <f t="array" ref="I793">INDEX(stable[is_fixed],MATCH(VALUE(questions[[#This Row],[qno]]),VALUE(stable[qno]),0))</f>
        <v>1</v>
      </c>
      <c r="J793" s="33" t="b" cm="1">
        <f t="array" ref="J793">INDEX(stable[is_localized],MATCH(VALUE(questions[[#This Row],[qno]]),VALUE(stable[qno]),0))</f>
        <v>0</v>
      </c>
      <c r="K793" s="33" t="b" cm="1">
        <f t="array" ref="K793">INDEX(stable[is_supply_chain_dependent],MATCH(VALUE(questions[[#This Row],[qno]]),VALUE(stable[qno]),0))</f>
        <v>0</v>
      </c>
      <c r="L793" s="33" t="b" cm="1">
        <f t="array" ref="L793">INDEX(stable[is_mandatory],MATCH(VALUE(questions[[#This Row],[qno]]),VALUE(stable[qno]),0))</f>
        <v>1</v>
      </c>
      <c r="M793" s="33" t="b" cm="1">
        <f t="array" ref="M793">INDEX(stable[is_automated],MATCH(VALUE(questions[[#This Row],[qno]]),VALUE(stable[qno]),0))</f>
        <v>0</v>
      </c>
      <c r="N793" s="33" t="b" cm="1">
        <f t="array" ref="N793">INDEX(stable[is_free_text],MATCH(VALUE(questions[[#This Row],[qno]]),VALUE(stable[qno]),0))</f>
        <v>0</v>
      </c>
      <c r="O793" s="33" t="b" cm="1">
        <f t="array" ref="O793">INDEX(stable[is_numerical],MATCH(VALUE(questions[[#This Row],[qno]]),VALUE(stable[qno]),0))</f>
        <v>0</v>
      </c>
      <c r="P793" s="77" t="b" cm="1">
        <f t="array" ref="P793">INDEX(stable[is_single_select],MATCH(VALUE(questions[[#This Row],[qno]]),VALUE(stable[qno]),0))</f>
        <v>1</v>
      </c>
      <c r="Q793" s="77" t="b" cm="1">
        <f t="array" ref="Q793">INDEX(stable[is_multi_select],MATCH(VALUE(questions[[#This Row],[qno]]),VALUE(stable[qno]),0))</f>
        <v>0</v>
      </c>
      <c r="R793" s="77" t="b" cm="1">
        <f t="array" ref="R793">INDEX(stable[is_skip_logic],MATCH(VALUE(questions[[#This Row],[qno]]),VALUE(stable[qno]),0))</f>
        <v>1</v>
      </c>
      <c r="S793" s="77" t="str">
        <f>_xlfn.TEXTJOIN(", ",TRUE,questions[[#This Row],[ans_opt_1]:[ans_opt_14]])</f>
        <v>1% to 25% - little to a quarter, 26% to 50% - less than half, 51% to 75% - more than half, 76% to 100% - almost all</v>
      </c>
      <c r="T793" s="77" t="s">
        <v>338</v>
      </c>
      <c r="U793" s="77" t="s">
        <v>339</v>
      </c>
      <c r="V793" s="77" t="s">
        <v>340</v>
      </c>
      <c r="W793" s="77" t="s">
        <v>341</v>
      </c>
      <c r="AH793" s="98" t="b">
        <f>INDEX(stable[q_standard],MATCH(questions[[#This Row],[qno]],stable[qno],0))</f>
        <v>0</v>
      </c>
      <c r="AI793" s="98" t="b">
        <f>INDEX(stable[q_living_income],MATCH(questions[[#This Row],[qno]],stable[qno],0))</f>
        <v>0</v>
      </c>
      <c r="AJ793" s="98" t="b">
        <f>INDEX(stable[q_carbon],MATCH(questions[[#This Row],[qno]],stable[qno],0))</f>
        <v>0</v>
      </c>
      <c r="AK793" s="98" t="b">
        <f>INDEX(stable[q_regen_ag],MATCH(questions[[#This Row],[qno]],stable[qno],0))</f>
        <v>1</v>
      </c>
      <c r="AL793" s="98" t="b">
        <f>COUNTIFS(stable[qno],questions[[#This Row],[qno]])=1</f>
        <v>1</v>
      </c>
      <c r="AM793" s="98" t="b">
        <f>OR(questions[[#This Row],[is_fixed]],questions[[#This Row],[is_localized]],questions[[#This Row],[is_supply_chain_dependent]])</f>
        <v>1</v>
      </c>
      <c r="AN793" s="98" t="b">
        <f>COUNTIFS(questions[[#This Row],[is_automated]:[is_multi_select]],TRUE)=1</f>
        <v>1</v>
      </c>
      <c r="AO793" s="98" t="b">
        <f>IF(questions[[#This Row],[is_fixed]],questions[[#This Row],[question]]=INDEX(stable[question],MATCH(questions[[#This Row],[qno]],stable[qno],0)),TRUE)</f>
        <v>0</v>
      </c>
      <c r="AP793" s="98" t="str">
        <f>LEFT(questions[[#This Row],[question]],similarity_range)</f>
        <v>What % or proportion</v>
      </c>
      <c r="AQ793" s="98" t="str">
        <f>LEFT(INDEX(stable[question],MATCH(questions[[#This Row],[qno]],stable[qno],0)),similarity_range)</f>
        <v>What % or proportion</v>
      </c>
      <c r="AR793" s="98" t="b">
        <f>questions[[#This Row],[question_first_characters]]=questions[[#This Row],[stability_first_characters]]</f>
        <v>1</v>
      </c>
      <c r="AS793" s="98" t="b">
        <f>IF(OR(questions[[#This Row],[is_single_select]],questions[[#This Row],[is_multi_select]]),NOT(ISBLANK(questions[[#This Row],[answer_opt_combined]])),TRUE)</f>
        <v>1</v>
      </c>
    </row>
    <row r="794" spans="1:45" s="77" customFormat="1" ht="15.75" customHeight="1" x14ac:dyDescent="0.25">
      <c r="A794" s="77" t="str">
        <f>_xlfn.TEXTJOIN("_",TRUE,questions[[#This Row],[origin]:[qno]])</f>
        <v>Kenya_Arabica_Nestle_2024_7412</v>
      </c>
      <c r="B794" s="77" t="s">
        <v>818</v>
      </c>
      <c r="C794" s="77" t="s">
        <v>59</v>
      </c>
      <c r="D794" s="77" t="s">
        <v>819</v>
      </c>
      <c r="E794" s="77">
        <v>2024</v>
      </c>
      <c r="F794" s="105" t="s">
        <v>457</v>
      </c>
      <c r="G794" s="78" t="s">
        <v>458</v>
      </c>
      <c r="H794" s="33" t="str" cm="1">
        <f t="array" ref="H794">INDEX(stableR[question],MATCH(VALUE(questions[[#This Row],[qno]]),VALUE(stableR[qno]),0))</f>
        <v>If you grow only one variety, how many years ago was this variety planted?</v>
      </c>
      <c r="I794" s="33" t="b" cm="1">
        <f t="array" ref="I794">INDEX(stable[is_fixed],MATCH(VALUE(questions[[#This Row],[qno]]),VALUE(stable[qno]),0))</f>
        <v>1</v>
      </c>
      <c r="J794" s="33" t="b" cm="1">
        <f t="array" ref="J794">INDEX(stable[is_localized],MATCH(VALUE(questions[[#This Row],[qno]]),VALUE(stable[qno]),0))</f>
        <v>0</v>
      </c>
      <c r="K794" s="33" t="b" cm="1">
        <f t="array" ref="K794">INDEX(stable[is_supply_chain_dependent],MATCH(VALUE(questions[[#This Row],[qno]]),VALUE(stable[qno]),0))</f>
        <v>0</v>
      </c>
      <c r="L794" s="33" t="b" cm="1">
        <f t="array" ref="L794">INDEX(stable[is_mandatory],MATCH(VALUE(questions[[#This Row],[qno]]),VALUE(stable[qno]),0))</f>
        <v>0</v>
      </c>
      <c r="M794" s="33" t="b" cm="1">
        <f t="array" ref="M794">INDEX(stable[is_automated],MATCH(VALUE(questions[[#This Row],[qno]]),VALUE(stable[qno]),0))</f>
        <v>0</v>
      </c>
      <c r="N794" s="33" t="b" cm="1">
        <f t="array" ref="N794">INDEX(stable[is_free_text],MATCH(VALUE(questions[[#This Row],[qno]]),VALUE(stable[qno]),0))</f>
        <v>0</v>
      </c>
      <c r="O794" s="33" t="b" cm="1">
        <f t="array" ref="O794">INDEX(stable[is_numerical],MATCH(VALUE(questions[[#This Row],[qno]]),VALUE(stable[qno]),0))</f>
        <v>0</v>
      </c>
      <c r="P794" s="77" t="b" cm="1">
        <f t="array" ref="P794">INDEX(stable[is_single_select],MATCH(VALUE(questions[[#This Row],[qno]]),VALUE(stable[qno]),0))</f>
        <v>1</v>
      </c>
      <c r="Q794" s="77" t="b" cm="1">
        <f t="array" ref="Q794">INDEX(stable[is_multi_select],MATCH(VALUE(questions[[#This Row],[qno]]),VALUE(stable[qno]),0))</f>
        <v>0</v>
      </c>
      <c r="R794" s="77" t="b" cm="1">
        <f t="array" ref="R794">INDEX(stable[is_skip_logic],MATCH(VALUE(questions[[#This Row],[qno]]),VALUE(stable[qno]),0))</f>
        <v>1</v>
      </c>
      <c r="S794" s="77" t="str">
        <f>_xlfn.TEXTJOIN(", ",TRUE,questions[[#This Row],[ans_opt_1]:[ans_opt_14]])</f>
        <v>1-5 years, 6-10 years, 11-15 years, 15-20 years, 20-30 years, &gt;30 years</v>
      </c>
      <c r="T794" s="77" t="s">
        <v>459</v>
      </c>
      <c r="U794" s="77" t="s">
        <v>460</v>
      </c>
      <c r="V794" s="77" t="s">
        <v>461</v>
      </c>
      <c r="W794" s="77" t="s">
        <v>462</v>
      </c>
      <c r="X794" s="77" t="s">
        <v>463</v>
      </c>
      <c r="Y794" s="77" t="s">
        <v>464</v>
      </c>
      <c r="AH794" s="98" t="b">
        <f>INDEX(stable[q_standard],MATCH(questions[[#This Row],[qno]],stable[qno],0))</f>
        <v>0</v>
      </c>
      <c r="AI794" s="98" t="b">
        <f>INDEX(stable[q_living_income],MATCH(questions[[#This Row],[qno]],stable[qno],0))</f>
        <v>0</v>
      </c>
      <c r="AJ794" s="98" t="b">
        <f>INDEX(stable[q_carbon],MATCH(questions[[#This Row],[qno]],stable[qno],0))</f>
        <v>0</v>
      </c>
      <c r="AK794" s="98" t="b">
        <f>INDEX(stable[q_regen_ag],MATCH(questions[[#This Row],[qno]],stable[qno],0))</f>
        <v>1</v>
      </c>
      <c r="AL794" s="98" t="b">
        <f>COUNTIFS(stable[qno],questions[[#This Row],[qno]])=1</f>
        <v>1</v>
      </c>
      <c r="AM794" s="98" t="b">
        <f>OR(questions[[#This Row],[is_fixed]],questions[[#This Row],[is_localized]],questions[[#This Row],[is_supply_chain_dependent]])</f>
        <v>1</v>
      </c>
      <c r="AN794" s="98" t="b">
        <f>COUNTIFS(questions[[#This Row],[is_automated]:[is_multi_select]],TRUE)=1</f>
        <v>1</v>
      </c>
      <c r="AO794" s="98" t="b">
        <f>IF(questions[[#This Row],[is_fixed]],questions[[#This Row],[question]]=INDEX(stable[question],MATCH(questions[[#This Row],[qno]],stable[qno],0)),TRUE)</f>
        <v>1</v>
      </c>
      <c r="AP794" s="98" t="str">
        <f>LEFT(questions[[#This Row],[question]],similarity_range)</f>
        <v>If you grow only one</v>
      </c>
      <c r="AQ794" s="98" t="str">
        <f>LEFT(INDEX(stable[question],MATCH(questions[[#This Row],[qno]],stable[qno],0)),similarity_range)</f>
        <v>If you grow only one</v>
      </c>
      <c r="AR794" s="98" t="b">
        <f>questions[[#This Row],[question_first_characters]]=questions[[#This Row],[stability_first_characters]]</f>
        <v>1</v>
      </c>
      <c r="AS794" s="98" t="b">
        <f>IF(OR(questions[[#This Row],[is_single_select]],questions[[#This Row],[is_multi_select]]),NOT(ISBLANK(questions[[#This Row],[answer_opt_combined]])),TRUE)</f>
        <v>1</v>
      </c>
    </row>
    <row r="795" spans="1:45" s="77" customFormat="1" ht="15.75" customHeight="1" x14ac:dyDescent="0.25">
      <c r="A795" s="77" t="str">
        <f>_xlfn.TEXTJOIN("_",TRUE,questions[[#This Row],[origin]:[qno]])</f>
        <v>Kenya_Arabica_Nestle_2024_7500</v>
      </c>
      <c r="B795" s="77" t="s">
        <v>818</v>
      </c>
      <c r="C795" s="77" t="s">
        <v>59</v>
      </c>
      <c r="D795" s="77" t="s">
        <v>819</v>
      </c>
      <c r="E795" s="77">
        <v>2024</v>
      </c>
      <c r="F795" s="105" t="s">
        <v>465</v>
      </c>
      <c r="G795" s="78" t="s">
        <v>863</v>
      </c>
      <c r="H795" s="33" t="str" cm="1">
        <f t="array" ref="H795">INDEX(stableR[question],MATCH(VALUE(questions[[#This Row],[qno]]),VALUE(stableR[qno]),0))</f>
        <v>Do you plant shade trees and/or fruit trees in your coffee plots?</v>
      </c>
      <c r="I795" s="33" t="b" cm="1">
        <f t="array" ref="I795">INDEX(stable[is_fixed],MATCH(VALUE(questions[[#This Row],[qno]]),VALUE(stable[qno]),0))</f>
        <v>0</v>
      </c>
      <c r="J795" s="33" t="b" cm="1">
        <f t="array" ref="J795">INDEX(stable[is_localized],MATCH(VALUE(questions[[#This Row],[qno]]),VALUE(stable[qno]),0))</f>
        <v>1</v>
      </c>
      <c r="K795" s="33" t="b" cm="1">
        <f t="array" ref="K795">INDEX(stable[is_supply_chain_dependent],MATCH(VALUE(questions[[#This Row],[qno]]),VALUE(stable[qno]),0))</f>
        <v>0</v>
      </c>
      <c r="L795" s="33" t="b" cm="1">
        <f t="array" ref="L795">INDEX(stable[is_mandatory],MATCH(VALUE(questions[[#This Row],[qno]]),VALUE(stable[qno]),0))</f>
        <v>1</v>
      </c>
      <c r="M795" s="33" t="b" cm="1">
        <f t="array" ref="M795">INDEX(stable[is_automated],MATCH(VALUE(questions[[#This Row],[qno]]),VALUE(stable[qno]),0))</f>
        <v>0</v>
      </c>
      <c r="N795" s="33" t="b" cm="1">
        <f t="array" ref="N795">INDEX(stable[is_free_text],MATCH(VALUE(questions[[#This Row],[qno]]),VALUE(stable[qno]),0))</f>
        <v>0</v>
      </c>
      <c r="O795" s="33" t="b" cm="1">
        <f t="array" ref="O795">INDEX(stable[is_numerical],MATCH(VALUE(questions[[#This Row],[qno]]),VALUE(stable[qno]),0))</f>
        <v>0</v>
      </c>
      <c r="P795" s="77" t="b" cm="1">
        <f t="array" ref="P795">INDEX(stable[is_single_select],MATCH(VALUE(questions[[#This Row],[qno]]),VALUE(stable[qno]),0))</f>
        <v>1</v>
      </c>
      <c r="Q795" s="77" t="b" cm="1">
        <f t="array" ref="Q795">INDEX(stable[is_multi_select],MATCH(VALUE(questions[[#This Row],[qno]]),VALUE(stable[qno]),0))</f>
        <v>0</v>
      </c>
      <c r="R795" s="77" t="b" cm="1">
        <f t="array" ref="R795">INDEX(stable[is_skip_logic],MATCH(VALUE(questions[[#This Row],[qno]]),VALUE(stable[qno]),0))</f>
        <v>1</v>
      </c>
      <c r="S795" s="77" t="str">
        <f>_xlfn.TEXTJOIN(", ",TRUE,questions[[#This Row],[ans_opt_1]:[ans_opt_14]])</f>
        <v>No, Yes - forest shade trees, Yes - fruit trees, Yes - mix of forest shade trees and fruit trees</v>
      </c>
      <c r="T795" s="77" t="s">
        <v>119</v>
      </c>
      <c r="U795" s="77" t="s">
        <v>467</v>
      </c>
      <c r="V795" s="77" t="s">
        <v>468</v>
      </c>
      <c r="W795" s="77" t="s">
        <v>469</v>
      </c>
      <c r="AH795" s="98" t="b">
        <f>INDEX(stable[q_standard],MATCH(questions[[#This Row],[qno]],stable[qno],0))</f>
        <v>0</v>
      </c>
      <c r="AI795" s="98" t="b">
        <f>INDEX(stable[q_living_income],MATCH(questions[[#This Row],[qno]],stable[qno],0))</f>
        <v>0</v>
      </c>
      <c r="AJ795" s="98" t="b">
        <f>INDEX(stable[q_carbon],MATCH(questions[[#This Row],[qno]],stable[qno],0))</f>
        <v>0</v>
      </c>
      <c r="AK795" s="98" t="b">
        <f>INDEX(stable[q_regen_ag],MATCH(questions[[#This Row],[qno]],stable[qno],0))</f>
        <v>1</v>
      </c>
      <c r="AL795" s="98" t="b">
        <f>COUNTIFS(stable[qno],questions[[#This Row],[qno]])=1</f>
        <v>1</v>
      </c>
      <c r="AM795" s="98" t="b">
        <f>OR(questions[[#This Row],[is_fixed]],questions[[#This Row],[is_localized]],questions[[#This Row],[is_supply_chain_dependent]])</f>
        <v>1</v>
      </c>
      <c r="AN795" s="98" t="b">
        <f>COUNTIFS(questions[[#This Row],[is_automated]:[is_multi_select]],TRUE)=1</f>
        <v>1</v>
      </c>
      <c r="AO795" s="98" t="b">
        <f>IF(questions[[#This Row],[is_fixed]],questions[[#This Row],[question]]=INDEX(stable[question],MATCH(questions[[#This Row],[qno]],stable[qno],0)),TRUE)</f>
        <v>1</v>
      </c>
      <c r="AP795" s="98" t="str">
        <f>LEFT(questions[[#This Row],[question]],similarity_range)</f>
        <v>Do you plant shade t</v>
      </c>
      <c r="AQ795" s="98" t="str">
        <f>LEFT(INDEX(stable[question],MATCH(questions[[#This Row],[qno]],stable[qno],0)),similarity_range)</f>
        <v>Do you plant shade t</v>
      </c>
      <c r="AR795" s="98" t="b">
        <f>questions[[#This Row],[question_first_characters]]=questions[[#This Row],[stability_first_characters]]</f>
        <v>1</v>
      </c>
      <c r="AS795" s="98" t="b">
        <f>IF(OR(questions[[#This Row],[is_single_select]],questions[[#This Row],[is_multi_select]]),NOT(ISBLANK(questions[[#This Row],[answer_opt_combined]])),TRUE)</f>
        <v>1</v>
      </c>
    </row>
    <row r="796" spans="1:45" s="77" customFormat="1" ht="15.75" customHeight="1" x14ac:dyDescent="0.25">
      <c r="A796" s="77" t="str">
        <f>_xlfn.TEXTJOIN("_",TRUE,questions[[#This Row],[origin]:[qno]])</f>
        <v>Kenya_Arabica_Nestle_2024_7501</v>
      </c>
      <c r="B796" s="77" t="s">
        <v>818</v>
      </c>
      <c r="C796" s="77" t="s">
        <v>59</v>
      </c>
      <c r="D796" s="77" t="s">
        <v>819</v>
      </c>
      <c r="E796" s="77">
        <v>2024</v>
      </c>
      <c r="F796" s="105" t="s">
        <v>470</v>
      </c>
      <c r="G796" s="78" t="s">
        <v>811</v>
      </c>
      <c r="H796" s="33" t="str" cm="1">
        <f t="array" ref="H796">INDEX(stableR[question],MATCH(VALUE(questions[[#This Row],[qno]]),VALUE(stableR[qno]),0))</f>
        <v>If so, on what % or proportion of your coffee plots do you have shade and/or fruit trees? e.g. if all agro-forestry trees are only distributed in a quarter of the coffee plot, and the rest of the plot does not have agro-forestry trees, then it is 25%</v>
      </c>
      <c r="I796" s="33" t="b" cm="1">
        <f t="array" ref="I796">INDEX(stable[is_fixed],MATCH(VALUE(questions[[#This Row],[qno]]),VALUE(stable[qno]),0))</f>
        <v>1</v>
      </c>
      <c r="J796" s="33" t="b" cm="1">
        <f t="array" ref="J796">INDEX(stable[is_localized],MATCH(VALUE(questions[[#This Row],[qno]]),VALUE(stable[qno]),0))</f>
        <v>0</v>
      </c>
      <c r="K796" s="33" t="b" cm="1">
        <f t="array" ref="K796">INDEX(stable[is_supply_chain_dependent],MATCH(VALUE(questions[[#This Row],[qno]]),VALUE(stable[qno]),0))</f>
        <v>0</v>
      </c>
      <c r="L796" s="33" t="b" cm="1">
        <f t="array" ref="L796">INDEX(stable[is_mandatory],MATCH(VALUE(questions[[#This Row],[qno]]),VALUE(stable[qno]),0))</f>
        <v>0</v>
      </c>
      <c r="M796" s="33" t="b" cm="1">
        <f t="array" ref="M796">INDEX(stable[is_automated],MATCH(VALUE(questions[[#This Row],[qno]]),VALUE(stable[qno]),0))</f>
        <v>0</v>
      </c>
      <c r="N796" s="33" t="b" cm="1">
        <f t="array" ref="N796">INDEX(stable[is_free_text],MATCH(VALUE(questions[[#This Row],[qno]]),VALUE(stable[qno]),0))</f>
        <v>0</v>
      </c>
      <c r="O796" s="33" t="b" cm="1">
        <f t="array" ref="O796">INDEX(stable[is_numerical],MATCH(VALUE(questions[[#This Row],[qno]]),VALUE(stable[qno]),0))</f>
        <v>0</v>
      </c>
      <c r="P796" s="77" t="b" cm="1">
        <f t="array" ref="P796">INDEX(stable[is_single_select],MATCH(VALUE(questions[[#This Row],[qno]]),VALUE(stable[qno]),0))</f>
        <v>1</v>
      </c>
      <c r="Q796" s="77" t="b" cm="1">
        <f t="array" ref="Q796">INDEX(stable[is_multi_select],MATCH(VALUE(questions[[#This Row],[qno]]),VALUE(stable[qno]),0))</f>
        <v>0</v>
      </c>
      <c r="R796" s="77" t="b" cm="1">
        <f t="array" ref="R796">INDEX(stable[is_skip_logic],MATCH(VALUE(questions[[#This Row],[qno]]),VALUE(stable[qno]),0))</f>
        <v>1</v>
      </c>
      <c r="S796" s="77" t="str">
        <f>_xlfn.TEXTJOIN(", ",TRUE,questions[[#This Row],[ans_opt_1]:[ans_opt_14]])</f>
        <v>1% to 25% - little to a quarter, 26% to 50% - less than half, 51% to 75% - more than half, 76% to 100% - almost all</v>
      </c>
      <c r="T796" s="77" t="s">
        <v>338</v>
      </c>
      <c r="U796" s="77" t="s">
        <v>339</v>
      </c>
      <c r="V796" s="77" t="s">
        <v>340</v>
      </c>
      <c r="W796" s="77" t="s">
        <v>341</v>
      </c>
      <c r="AH796" s="98" t="b">
        <f>INDEX(stable[q_standard],MATCH(questions[[#This Row],[qno]],stable[qno],0))</f>
        <v>0</v>
      </c>
      <c r="AI796" s="98" t="b">
        <f>INDEX(stable[q_living_income],MATCH(questions[[#This Row],[qno]],stable[qno],0))</f>
        <v>0</v>
      </c>
      <c r="AJ796" s="98" t="b">
        <f>INDEX(stable[q_carbon],MATCH(questions[[#This Row],[qno]],stable[qno],0))</f>
        <v>0</v>
      </c>
      <c r="AK796" s="98" t="b">
        <f>INDEX(stable[q_regen_ag],MATCH(questions[[#This Row],[qno]],stable[qno],0))</f>
        <v>1</v>
      </c>
      <c r="AL796" s="98" t="b">
        <f>COUNTIFS(stable[qno],questions[[#This Row],[qno]])=1</f>
        <v>1</v>
      </c>
      <c r="AM796" s="98" t="b">
        <f>OR(questions[[#This Row],[is_fixed]],questions[[#This Row],[is_localized]],questions[[#This Row],[is_supply_chain_dependent]])</f>
        <v>1</v>
      </c>
      <c r="AN796" s="98" t="b">
        <f>COUNTIFS(questions[[#This Row],[is_automated]:[is_multi_select]],TRUE)=1</f>
        <v>1</v>
      </c>
      <c r="AO796" s="98" t="b">
        <f>IF(questions[[#This Row],[is_fixed]],questions[[#This Row],[question]]=INDEX(stable[question],MATCH(questions[[#This Row],[qno]],stable[qno],0)),TRUE)</f>
        <v>0</v>
      </c>
      <c r="AP796" s="98" t="str">
        <f>LEFT(questions[[#This Row],[question]],similarity_range)</f>
        <v xml:space="preserve">If so, on what % or </v>
      </c>
      <c r="AQ796" s="98" t="str">
        <f>LEFT(INDEX(stable[question],MATCH(questions[[#This Row],[qno]],stable[qno],0)),similarity_range)</f>
        <v xml:space="preserve">If so, on what % or </v>
      </c>
      <c r="AR796" s="98" t="b">
        <f>questions[[#This Row],[question_first_characters]]=questions[[#This Row],[stability_first_characters]]</f>
        <v>1</v>
      </c>
      <c r="AS796" s="98" t="b">
        <f>IF(OR(questions[[#This Row],[is_single_select]],questions[[#This Row],[is_multi_select]]),NOT(ISBLANK(questions[[#This Row],[answer_opt_combined]])),TRUE)</f>
        <v>1</v>
      </c>
    </row>
    <row r="797" spans="1:45" ht="15.75" customHeight="1" x14ac:dyDescent="0.25">
      <c r="A797" s="33" t="str">
        <f>_xlfn.TEXTJOIN("_",TRUE,questions[[#This Row],[origin]:[qno]])</f>
        <v>Kenya_Arabica_Nestle_2024_7502</v>
      </c>
      <c r="B797" s="33" t="s">
        <v>818</v>
      </c>
      <c r="C797" s="33" t="s">
        <v>59</v>
      </c>
      <c r="D797" s="33" t="s">
        <v>819</v>
      </c>
      <c r="E797" s="33">
        <v>2024</v>
      </c>
      <c r="F797" s="41" t="s">
        <v>472</v>
      </c>
      <c r="G797" s="18" t="s">
        <v>473</v>
      </c>
      <c r="H797" s="33" t="str" cm="1">
        <f t="array" ref="H797">INDEX(stableR[question],MATCH(VALUE(questions[[#This Row],[qno]]),VALUE(stableR[qno]),0))</f>
        <v>How many different species of shade and/or fruit trees do you have in your coffee plots?</v>
      </c>
      <c r="I797" s="33" t="b" cm="1">
        <f t="array" ref="I797">INDEX(stable[is_fixed],MATCH(VALUE(questions[[#This Row],[qno]]),VALUE(stable[qno]),0))</f>
        <v>1</v>
      </c>
      <c r="J797" s="33" t="b" cm="1">
        <f t="array" ref="J797">INDEX(stable[is_localized],MATCH(VALUE(questions[[#This Row],[qno]]),VALUE(stable[qno]),0))</f>
        <v>0</v>
      </c>
      <c r="K797" s="33" t="b" cm="1">
        <f t="array" ref="K797">INDEX(stable[is_supply_chain_dependent],MATCH(VALUE(questions[[#This Row],[qno]]),VALUE(stable[qno]),0))</f>
        <v>0</v>
      </c>
      <c r="L797" s="33" t="b" cm="1">
        <f t="array" ref="L797">INDEX(stable[is_mandatory],MATCH(VALUE(questions[[#This Row],[qno]]),VALUE(stable[qno]),0))</f>
        <v>0</v>
      </c>
      <c r="M797" s="33" t="b" cm="1">
        <f t="array" ref="M797">INDEX(stable[is_automated],MATCH(VALUE(questions[[#This Row],[qno]]),VALUE(stable[qno]),0))</f>
        <v>0</v>
      </c>
      <c r="N797" s="33" t="b" cm="1">
        <f t="array" ref="N797">INDEX(stable[is_free_text],MATCH(VALUE(questions[[#This Row],[qno]]),VALUE(stable[qno]),0))</f>
        <v>0</v>
      </c>
      <c r="O797" s="33" t="b" cm="1">
        <f t="array" ref="O797">INDEX(stable[is_numerical],MATCH(VALUE(questions[[#This Row],[qno]]),VALUE(stable[qno]),0))</f>
        <v>1</v>
      </c>
      <c r="P797" s="33" t="b" cm="1">
        <f t="array" ref="P797">INDEX(stable[is_single_select],MATCH(VALUE(questions[[#This Row],[qno]]),VALUE(stable[qno]),0))</f>
        <v>0</v>
      </c>
      <c r="Q797" s="33" t="b" cm="1">
        <f t="array" ref="Q797">INDEX(stable[is_multi_select],MATCH(VALUE(questions[[#This Row],[qno]]),VALUE(stable[qno]),0))</f>
        <v>0</v>
      </c>
      <c r="R797" s="33" t="b" cm="1">
        <f t="array" ref="R797">INDEX(stable[is_skip_logic],MATCH(VALUE(questions[[#This Row],[qno]]),VALUE(stable[qno]),0))</f>
        <v>0</v>
      </c>
      <c r="S797" s="33" t="str">
        <f>_xlfn.TEXTJOIN(", ",TRUE,questions[[#This Row],[ans_opt_1]:[ans_opt_14]])</f>
        <v/>
      </c>
      <c r="T797" s="33"/>
      <c r="U797" s="33"/>
      <c r="V797" s="33"/>
      <c r="W797" s="33"/>
      <c r="X797" s="33"/>
      <c r="Y797" s="33"/>
      <c r="Z797" s="33"/>
      <c r="AA797" s="33"/>
      <c r="AB797" s="33"/>
      <c r="AC797" s="33"/>
      <c r="AD797" s="33"/>
      <c r="AE797" s="33"/>
      <c r="AF797" s="33"/>
      <c r="AG797" s="33"/>
      <c r="AH797" s="99" t="b">
        <f>INDEX(stable[q_standard],MATCH(questions[[#This Row],[qno]],stable[qno],0))</f>
        <v>0</v>
      </c>
      <c r="AI797" s="99" t="b">
        <f>INDEX(stable[q_living_income],MATCH(questions[[#This Row],[qno]],stable[qno],0))</f>
        <v>0</v>
      </c>
      <c r="AJ797" s="99" t="b">
        <f>INDEX(stable[q_carbon],MATCH(questions[[#This Row],[qno]],stable[qno],0))</f>
        <v>0</v>
      </c>
      <c r="AK797" s="99" t="b">
        <f>INDEX(stable[q_regen_ag],MATCH(questions[[#This Row],[qno]],stable[qno],0))</f>
        <v>1</v>
      </c>
      <c r="AL797" s="16" t="b">
        <f>COUNTIFS(stable[qno],questions[[#This Row],[qno]])=1</f>
        <v>1</v>
      </c>
      <c r="AM797" s="16" t="b">
        <f>OR(questions[[#This Row],[is_fixed]],questions[[#This Row],[is_localized]],questions[[#This Row],[is_supply_chain_dependent]])</f>
        <v>1</v>
      </c>
      <c r="AN797" s="16" t="b">
        <f>COUNTIFS(questions[[#This Row],[is_automated]:[is_multi_select]],TRUE)=1</f>
        <v>1</v>
      </c>
      <c r="AO797" s="16" t="b">
        <f>IF(questions[[#This Row],[is_fixed]],questions[[#This Row],[question]]=INDEX(stable[question],MATCH(questions[[#This Row],[qno]],stable[qno],0)),TRUE)</f>
        <v>1</v>
      </c>
      <c r="AP797" s="16" t="str">
        <f>LEFT(questions[[#This Row],[question]],similarity_range)</f>
        <v>How many different s</v>
      </c>
      <c r="AQ797" s="16" t="str">
        <f>LEFT(INDEX(stable[question],MATCH(questions[[#This Row],[qno]],stable[qno],0)),similarity_range)</f>
        <v>How many different s</v>
      </c>
      <c r="AR797" s="16" t="b">
        <f>questions[[#This Row],[question_first_characters]]=questions[[#This Row],[stability_first_characters]]</f>
        <v>1</v>
      </c>
      <c r="AS797" s="16" t="b">
        <f>IF(OR(questions[[#This Row],[is_single_select]],questions[[#This Row],[is_multi_select]]),NOT(ISBLANK(questions[[#This Row],[answer_opt_combined]])),TRUE)</f>
        <v>1</v>
      </c>
    </row>
    <row r="798" spans="1:45" ht="15.75" customHeight="1" x14ac:dyDescent="0.25">
      <c r="A798" s="33" t="str">
        <f>_xlfn.TEXTJOIN("_",TRUE,questions[[#This Row],[origin]:[qno]])</f>
        <v>Kenya_Arabica_Nestle_2024_7503</v>
      </c>
      <c r="B798" s="33" t="s">
        <v>818</v>
      </c>
      <c r="C798" s="33" t="s">
        <v>59</v>
      </c>
      <c r="D798" s="33" t="s">
        <v>819</v>
      </c>
      <c r="E798" s="33">
        <v>2024</v>
      </c>
      <c r="F798" s="41" t="s">
        <v>474</v>
      </c>
      <c r="G798" s="18" t="s">
        <v>475</v>
      </c>
      <c r="H798" s="33" t="str" cm="1">
        <f t="array" ref="H798">INDEX(stableR[question],MATCH(VALUE(questions[[#This Row],[qno]]),VALUE(stableR[qno]),0))</f>
        <v>Can you estimate how many shade trees (including fruit and other trees) you have in your coffee plots, in total (inside and boundary trees)?</v>
      </c>
      <c r="I798" s="33" t="b" cm="1">
        <f t="array" ref="I798">INDEX(stable[is_fixed],MATCH(VALUE(questions[[#This Row],[qno]]),VALUE(stable[qno]),0))</f>
        <v>1</v>
      </c>
      <c r="J798" s="33" t="b" cm="1">
        <f t="array" ref="J798">INDEX(stable[is_localized],MATCH(VALUE(questions[[#This Row],[qno]]),VALUE(stable[qno]),0))</f>
        <v>0</v>
      </c>
      <c r="K798" s="33" t="b" cm="1">
        <f t="array" ref="K798">INDEX(stable[is_supply_chain_dependent],MATCH(VALUE(questions[[#This Row],[qno]]),VALUE(stable[qno]),0))</f>
        <v>0</v>
      </c>
      <c r="L798" s="33" t="b" cm="1">
        <f t="array" ref="L798">INDEX(stable[is_mandatory],MATCH(VALUE(questions[[#This Row],[qno]]),VALUE(stable[qno]),0))</f>
        <v>0</v>
      </c>
      <c r="M798" s="33" t="b" cm="1">
        <f t="array" ref="M798">INDEX(stable[is_automated],MATCH(VALUE(questions[[#This Row],[qno]]),VALUE(stable[qno]),0))</f>
        <v>0</v>
      </c>
      <c r="N798" s="33" t="b" cm="1">
        <f t="array" ref="N798">INDEX(stable[is_free_text],MATCH(VALUE(questions[[#This Row],[qno]]),VALUE(stable[qno]),0))</f>
        <v>0</v>
      </c>
      <c r="O798" s="33" t="b" cm="1">
        <f t="array" ref="O798">INDEX(stable[is_numerical],MATCH(VALUE(questions[[#This Row],[qno]]),VALUE(stable[qno]),0))</f>
        <v>1</v>
      </c>
      <c r="P798" s="33" t="b" cm="1">
        <f t="array" ref="P798">INDEX(stable[is_single_select],MATCH(VALUE(questions[[#This Row],[qno]]),VALUE(stable[qno]),0))</f>
        <v>0</v>
      </c>
      <c r="Q798" s="33" t="b" cm="1">
        <f t="array" ref="Q798">INDEX(stable[is_multi_select],MATCH(VALUE(questions[[#This Row],[qno]]),VALUE(stable[qno]),0))</f>
        <v>0</v>
      </c>
      <c r="R798" s="33" t="b" cm="1">
        <f t="array" ref="R798">INDEX(stable[is_skip_logic],MATCH(VALUE(questions[[#This Row],[qno]]),VALUE(stable[qno]),0))</f>
        <v>0</v>
      </c>
      <c r="S798" s="33" t="str">
        <f>_xlfn.TEXTJOIN(", ",TRUE,questions[[#This Row],[ans_opt_1]:[ans_opt_14]])</f>
        <v/>
      </c>
      <c r="T798" s="33"/>
      <c r="U798" s="33"/>
      <c r="V798" s="33"/>
      <c r="W798" s="33"/>
      <c r="X798" s="33"/>
      <c r="Y798" s="33"/>
      <c r="Z798" s="33"/>
      <c r="AA798" s="33"/>
      <c r="AB798" s="33"/>
      <c r="AC798" s="33"/>
      <c r="AD798" s="33"/>
      <c r="AE798" s="33"/>
      <c r="AF798" s="33"/>
      <c r="AG798" s="33"/>
      <c r="AH798" s="99" t="b">
        <f>INDEX(stable[q_standard],MATCH(questions[[#This Row],[qno]],stable[qno],0))</f>
        <v>0</v>
      </c>
      <c r="AI798" s="99" t="b">
        <f>INDEX(stable[q_living_income],MATCH(questions[[#This Row],[qno]],stable[qno],0))</f>
        <v>0</v>
      </c>
      <c r="AJ798" s="99" t="b">
        <f>INDEX(stable[q_carbon],MATCH(questions[[#This Row],[qno]],stable[qno],0))</f>
        <v>0</v>
      </c>
      <c r="AK798" s="99" t="b">
        <f>INDEX(stable[q_regen_ag],MATCH(questions[[#This Row],[qno]],stable[qno],0))</f>
        <v>1</v>
      </c>
      <c r="AL798" s="16" t="b">
        <f>COUNTIFS(stable[qno],questions[[#This Row],[qno]])=1</f>
        <v>1</v>
      </c>
      <c r="AM798" s="16" t="b">
        <f>OR(questions[[#This Row],[is_fixed]],questions[[#This Row],[is_localized]],questions[[#This Row],[is_supply_chain_dependent]])</f>
        <v>1</v>
      </c>
      <c r="AN798" s="16" t="b">
        <f>COUNTIFS(questions[[#This Row],[is_automated]:[is_multi_select]],TRUE)=1</f>
        <v>1</v>
      </c>
      <c r="AO798" s="16" t="b">
        <f>IF(questions[[#This Row],[is_fixed]],questions[[#This Row],[question]]=INDEX(stable[question],MATCH(questions[[#This Row],[qno]],stable[qno],0)),TRUE)</f>
        <v>1</v>
      </c>
      <c r="AP798" s="16" t="str">
        <f>LEFT(questions[[#This Row],[question]],similarity_range)</f>
        <v>Can you estimate how</v>
      </c>
      <c r="AQ798" s="16" t="str">
        <f>LEFT(INDEX(stable[question],MATCH(questions[[#This Row],[qno]],stable[qno],0)),similarity_range)</f>
        <v>Can you estimate how</v>
      </c>
      <c r="AR798" s="16" t="b">
        <f>questions[[#This Row],[question_first_characters]]=questions[[#This Row],[stability_first_characters]]</f>
        <v>1</v>
      </c>
      <c r="AS798" s="16" t="b">
        <f>IF(OR(questions[[#This Row],[is_single_select]],questions[[#This Row],[is_multi_select]]),NOT(ISBLANK(questions[[#This Row],[answer_opt_combined]])),TRUE)</f>
        <v>1</v>
      </c>
    </row>
    <row r="799" spans="1:45" s="77" customFormat="1" ht="15.75" customHeight="1" x14ac:dyDescent="0.25">
      <c r="A799" s="77" t="str">
        <f>_xlfn.TEXTJOIN("_",TRUE,questions[[#This Row],[origin]:[qno]])</f>
        <v>Kenya_Arabica_Nestle_2024_7504</v>
      </c>
      <c r="B799" s="77" t="s">
        <v>818</v>
      </c>
      <c r="C799" s="77" t="s">
        <v>59</v>
      </c>
      <c r="D799" s="77" t="s">
        <v>819</v>
      </c>
      <c r="E799" s="77">
        <v>2024</v>
      </c>
      <c r="F799" s="105" t="s">
        <v>476</v>
      </c>
      <c r="G799" s="78" t="s">
        <v>477</v>
      </c>
      <c r="H799" s="33" t="str" cm="1">
        <f t="array" ref="H799">INDEX(stableR[question],MATCH(VALUE(questions[[#This Row],[qno]]),VALUE(stableR[qno]),0))</f>
        <v>What describes best the size of these shade trees?</v>
      </c>
      <c r="I799" s="33" t="b" cm="1">
        <f t="array" ref="I799">INDEX(stable[is_fixed],MATCH(VALUE(questions[[#This Row],[qno]]),VALUE(stable[qno]),0))</f>
        <v>1</v>
      </c>
      <c r="J799" s="33" t="b" cm="1">
        <f t="array" ref="J799">INDEX(stable[is_localized],MATCH(VALUE(questions[[#This Row],[qno]]),VALUE(stable[qno]),0))</f>
        <v>0</v>
      </c>
      <c r="K799" s="33" t="b" cm="1">
        <f t="array" ref="K799">INDEX(stable[is_supply_chain_dependent],MATCH(VALUE(questions[[#This Row],[qno]]),VALUE(stable[qno]),0))</f>
        <v>0</v>
      </c>
      <c r="L799" s="33" t="b" cm="1">
        <f t="array" ref="L799">INDEX(stable[is_mandatory],MATCH(VALUE(questions[[#This Row],[qno]]),VALUE(stable[qno]),0))</f>
        <v>0</v>
      </c>
      <c r="M799" s="33" t="b" cm="1">
        <f t="array" ref="M799">INDEX(stable[is_automated],MATCH(VALUE(questions[[#This Row],[qno]]),VALUE(stable[qno]),0))</f>
        <v>0</v>
      </c>
      <c r="N799" s="33" t="b" cm="1">
        <f t="array" ref="N799">INDEX(stable[is_free_text],MATCH(VALUE(questions[[#This Row],[qno]]),VALUE(stable[qno]),0))</f>
        <v>0</v>
      </c>
      <c r="O799" s="33" t="b" cm="1">
        <f t="array" ref="O799">INDEX(stable[is_numerical],MATCH(VALUE(questions[[#This Row],[qno]]),VALUE(stable[qno]),0))</f>
        <v>0</v>
      </c>
      <c r="P799" s="77" t="b" cm="1">
        <f t="array" ref="P799">INDEX(stable[is_single_select],MATCH(VALUE(questions[[#This Row],[qno]]),VALUE(stable[qno]),0))</f>
        <v>1</v>
      </c>
      <c r="Q799" s="77" t="b" cm="1">
        <f t="array" ref="Q799">INDEX(stable[is_multi_select],MATCH(VALUE(questions[[#This Row],[qno]]),VALUE(stable[qno]),0))</f>
        <v>0</v>
      </c>
      <c r="R799" s="77" t="b" cm="1">
        <f t="array" ref="R799">INDEX(stable[is_skip_logic],MATCH(VALUE(questions[[#This Row],[qno]]),VALUE(stable[qno]),0))</f>
        <v>0</v>
      </c>
      <c r="S799" s="77" t="str">
        <f>_xlfn.TEXTJOIN(", ",TRUE,questions[[#This Row],[ans_opt_1]:[ans_opt_14]])</f>
        <v>Big sized, full grown, shade trees, Medium sized shade trees, including fruit trees, Multipurpose mix of trees (different types and sizes)</v>
      </c>
      <c r="T799" s="77" t="s">
        <v>478</v>
      </c>
      <c r="U799" s="77" t="s">
        <v>812</v>
      </c>
      <c r="V799" s="77" t="s">
        <v>813</v>
      </c>
      <c r="AH799" s="98" t="b">
        <f>INDEX(stable[q_standard],MATCH(questions[[#This Row],[qno]],stable[qno],0))</f>
        <v>0</v>
      </c>
      <c r="AI799" s="98" t="b">
        <f>INDEX(stable[q_living_income],MATCH(questions[[#This Row],[qno]],stable[qno],0))</f>
        <v>0</v>
      </c>
      <c r="AJ799" s="98" t="b">
        <f>INDEX(stable[q_carbon],MATCH(questions[[#This Row],[qno]],stable[qno],0))</f>
        <v>0</v>
      </c>
      <c r="AK799" s="98" t="b">
        <f>INDEX(stable[q_regen_ag],MATCH(questions[[#This Row],[qno]],stable[qno],0))</f>
        <v>1</v>
      </c>
      <c r="AL799" s="98" t="b">
        <f>COUNTIFS(stable[qno],questions[[#This Row],[qno]])=1</f>
        <v>1</v>
      </c>
      <c r="AM799" s="98" t="b">
        <f>OR(questions[[#This Row],[is_fixed]],questions[[#This Row],[is_localized]],questions[[#This Row],[is_supply_chain_dependent]])</f>
        <v>1</v>
      </c>
      <c r="AN799" s="98" t="b">
        <f>COUNTIFS(questions[[#This Row],[is_automated]:[is_multi_select]],TRUE)=1</f>
        <v>1</v>
      </c>
      <c r="AO799" s="98" t="b">
        <f>IF(questions[[#This Row],[is_fixed]],questions[[#This Row],[question]]=INDEX(stable[question],MATCH(questions[[#This Row],[qno]],stable[qno],0)),TRUE)</f>
        <v>1</v>
      </c>
      <c r="AP799" s="98" t="str">
        <f>LEFT(questions[[#This Row],[question]],similarity_range)</f>
        <v xml:space="preserve">What describes best </v>
      </c>
      <c r="AQ799" s="98" t="str">
        <f>LEFT(INDEX(stable[question],MATCH(questions[[#This Row],[qno]],stable[qno],0)),similarity_range)</f>
        <v xml:space="preserve">What describes best </v>
      </c>
      <c r="AR799" s="98" t="b">
        <f>questions[[#This Row],[question_first_characters]]=questions[[#This Row],[stability_first_characters]]</f>
        <v>1</v>
      </c>
      <c r="AS799" s="98" t="b">
        <f>IF(OR(questions[[#This Row],[is_single_select]],questions[[#This Row],[is_multi_select]]),NOT(ISBLANK(questions[[#This Row],[answer_opt_combined]])),TRUE)</f>
        <v>1</v>
      </c>
    </row>
    <row r="800" spans="1:45" s="77" customFormat="1" ht="15.75" customHeight="1" x14ac:dyDescent="0.25">
      <c r="A800" s="77" t="str">
        <f>_xlfn.TEXTJOIN("_",TRUE,questions[[#This Row],[origin]:[qno]])</f>
        <v>Kenya_Arabica_Nestle_2024_7600</v>
      </c>
      <c r="B800" s="77" t="s">
        <v>818</v>
      </c>
      <c r="C800" s="77" t="s">
        <v>59</v>
      </c>
      <c r="D800" s="77" t="s">
        <v>819</v>
      </c>
      <c r="E800" s="77">
        <v>2024</v>
      </c>
      <c r="F800" s="105" t="s">
        <v>481</v>
      </c>
      <c r="G800" s="78" t="s">
        <v>482</v>
      </c>
      <c r="H800" s="33" t="str" cm="1">
        <f t="array" ref="H800">INDEX(stableR[question],MATCH(VALUE(questions[[#This Row],[qno]]),VALUE(stableR[qno]),0))</f>
        <v>Do you keep bee hives in your farm (own bee hives or termporary during flowering season)?</v>
      </c>
      <c r="I800" s="33" t="b" cm="1">
        <f t="array" ref="I800">INDEX(stable[is_fixed],MATCH(VALUE(questions[[#This Row],[qno]]),VALUE(stable[qno]),0))</f>
        <v>1</v>
      </c>
      <c r="J800" s="33" t="b" cm="1">
        <f t="array" ref="J800">INDEX(stable[is_localized],MATCH(VALUE(questions[[#This Row],[qno]]),VALUE(stable[qno]),0))</f>
        <v>0</v>
      </c>
      <c r="K800" s="33" t="b" cm="1">
        <f t="array" ref="K800">INDEX(stable[is_supply_chain_dependent],MATCH(VALUE(questions[[#This Row],[qno]]),VALUE(stable[qno]),0))</f>
        <v>0</v>
      </c>
      <c r="L800" s="33" t="b" cm="1">
        <f t="array" ref="L800">INDEX(stable[is_mandatory],MATCH(VALUE(questions[[#This Row],[qno]]),VALUE(stable[qno]),0))</f>
        <v>1</v>
      </c>
      <c r="M800" s="33" t="b" cm="1">
        <f t="array" ref="M800">INDEX(stable[is_automated],MATCH(VALUE(questions[[#This Row],[qno]]),VALUE(stable[qno]),0))</f>
        <v>0</v>
      </c>
      <c r="N800" s="33" t="b" cm="1">
        <f t="array" ref="N800">INDEX(stable[is_free_text],MATCH(VALUE(questions[[#This Row],[qno]]),VALUE(stable[qno]),0))</f>
        <v>0</v>
      </c>
      <c r="O800" s="33" t="b" cm="1">
        <f t="array" ref="O800">INDEX(stable[is_numerical],MATCH(VALUE(questions[[#This Row],[qno]]),VALUE(stable[qno]),0))</f>
        <v>0</v>
      </c>
      <c r="P800" s="77" t="b" cm="1">
        <f t="array" ref="P800">INDEX(stable[is_single_select],MATCH(VALUE(questions[[#This Row],[qno]]),VALUE(stable[qno]),0))</f>
        <v>1</v>
      </c>
      <c r="Q800" s="77" t="b" cm="1">
        <f t="array" ref="Q800">INDEX(stable[is_multi_select],MATCH(VALUE(questions[[#This Row],[qno]]),VALUE(stable[qno]),0))</f>
        <v>0</v>
      </c>
      <c r="R800" s="77" t="b" cm="1">
        <f t="array" ref="R800">INDEX(stable[is_skip_logic],MATCH(VALUE(questions[[#This Row],[qno]]),VALUE(stable[qno]),0))</f>
        <v>0</v>
      </c>
      <c r="S800" s="77" t="str">
        <f>_xlfn.TEXTJOIN(", ",TRUE,questions[[#This Row],[ans_opt_1]:[ans_opt_14]])</f>
        <v>Yes, No</v>
      </c>
      <c r="T800" s="77" t="s">
        <v>149</v>
      </c>
      <c r="U800" s="77" t="s">
        <v>119</v>
      </c>
      <c r="AH800" s="98" t="b">
        <f>INDEX(stable[q_standard],MATCH(questions[[#This Row],[qno]],stable[qno],0))</f>
        <v>0</v>
      </c>
      <c r="AI800" s="98" t="b">
        <f>INDEX(stable[q_living_income],MATCH(questions[[#This Row],[qno]],stable[qno],0))</f>
        <v>0</v>
      </c>
      <c r="AJ800" s="98" t="b">
        <f>INDEX(stable[q_carbon],MATCH(questions[[#This Row],[qno]],stable[qno],0))</f>
        <v>0</v>
      </c>
      <c r="AK800" s="98" t="b">
        <f>INDEX(stable[q_regen_ag],MATCH(questions[[#This Row],[qno]],stable[qno],0))</f>
        <v>1</v>
      </c>
      <c r="AL800" s="98" t="b">
        <f>COUNTIFS(stable[qno],questions[[#This Row],[qno]])=1</f>
        <v>1</v>
      </c>
      <c r="AM800" s="98" t="b">
        <f>OR(questions[[#This Row],[is_fixed]],questions[[#This Row],[is_localized]],questions[[#This Row],[is_supply_chain_dependent]])</f>
        <v>1</v>
      </c>
      <c r="AN800" s="98" t="b">
        <f>COUNTIFS(questions[[#This Row],[is_automated]:[is_multi_select]],TRUE)=1</f>
        <v>1</v>
      </c>
      <c r="AO800" s="98" t="b">
        <f>IF(questions[[#This Row],[is_fixed]],questions[[#This Row],[question]]=INDEX(stable[question],MATCH(questions[[#This Row],[qno]],stable[qno],0)),TRUE)</f>
        <v>1</v>
      </c>
      <c r="AP800" s="98" t="str">
        <f>LEFT(questions[[#This Row],[question]],similarity_range)</f>
        <v>Do you keep bee hive</v>
      </c>
      <c r="AQ800" s="98" t="str">
        <f>LEFT(INDEX(stable[question],MATCH(questions[[#This Row],[qno]],stable[qno],0)),similarity_range)</f>
        <v>Do you keep bee hive</v>
      </c>
      <c r="AR800" s="98" t="b">
        <f>questions[[#This Row],[question_first_characters]]=questions[[#This Row],[stability_first_characters]]</f>
        <v>1</v>
      </c>
      <c r="AS800" s="98" t="b">
        <f>IF(OR(questions[[#This Row],[is_single_select]],questions[[#This Row],[is_multi_select]]),NOT(ISBLANK(questions[[#This Row],[answer_opt_combined]])),TRUE)</f>
        <v>1</v>
      </c>
    </row>
    <row r="801" spans="1:45" s="77" customFormat="1" ht="15.75" customHeight="1" x14ac:dyDescent="0.25">
      <c r="A801" s="77" t="str">
        <f>_xlfn.TEXTJOIN("_",TRUE,questions[[#This Row],[origin]:[qno]])</f>
        <v>Kenya_Arabica_Nestle_2024_7700</v>
      </c>
      <c r="B801" s="77" t="s">
        <v>818</v>
      </c>
      <c r="C801" s="77" t="s">
        <v>59</v>
      </c>
      <c r="D801" s="77" t="s">
        <v>819</v>
      </c>
      <c r="E801" s="77">
        <v>2024</v>
      </c>
      <c r="F801" s="105" t="s">
        <v>483</v>
      </c>
      <c r="G801" s="78" t="s">
        <v>814</v>
      </c>
      <c r="H801" s="33" t="str" cm="1">
        <f t="array" ref="H801">INDEX(stableR[question],MATCH(VALUE(questions[[#This Row],[qno]]),VALUE(stableR[qno]),0))</f>
        <v>Do you have riparian areas (a buffer area or strip of vegetation along the bank of a stream or river that spatially separates agricultural land from the water) in your coffee plots and/or its boundaries and how many?  If the answer is NO, you do not need to answer the next question.</v>
      </c>
      <c r="I801" s="33" t="b" cm="1">
        <f t="array" ref="I801">INDEX(stable[is_fixed],MATCH(VALUE(questions[[#This Row],[qno]]),VALUE(stable[qno]),0))</f>
        <v>1</v>
      </c>
      <c r="J801" s="33" t="b" cm="1">
        <f t="array" ref="J801">INDEX(stable[is_localized],MATCH(VALUE(questions[[#This Row],[qno]]),VALUE(stable[qno]),0))</f>
        <v>0</v>
      </c>
      <c r="K801" s="33" t="b" cm="1">
        <f t="array" ref="K801">INDEX(stable[is_supply_chain_dependent],MATCH(VALUE(questions[[#This Row],[qno]]),VALUE(stable[qno]),0))</f>
        <v>0</v>
      </c>
      <c r="L801" s="33" t="b" cm="1">
        <f t="array" ref="L801">INDEX(stable[is_mandatory],MATCH(VALUE(questions[[#This Row],[qno]]),VALUE(stable[qno]),0))</f>
        <v>1</v>
      </c>
      <c r="M801" s="33" t="b" cm="1">
        <f t="array" ref="M801">INDEX(stable[is_automated],MATCH(VALUE(questions[[#This Row],[qno]]),VALUE(stable[qno]),0))</f>
        <v>0</v>
      </c>
      <c r="N801" s="33" t="b" cm="1">
        <f t="array" ref="N801">INDEX(stable[is_free_text],MATCH(VALUE(questions[[#This Row],[qno]]),VALUE(stable[qno]),0))</f>
        <v>0</v>
      </c>
      <c r="O801" s="33" t="b" cm="1">
        <f t="array" ref="O801">INDEX(stable[is_numerical],MATCH(VALUE(questions[[#This Row],[qno]]),VALUE(stable[qno]),0))</f>
        <v>0</v>
      </c>
      <c r="P801" s="77" t="b" cm="1">
        <f t="array" ref="P801">INDEX(stable[is_single_select],MATCH(VALUE(questions[[#This Row],[qno]]),VALUE(stable[qno]),0))</f>
        <v>1</v>
      </c>
      <c r="Q801" s="77" t="b" cm="1">
        <f t="array" ref="Q801">INDEX(stable[is_multi_select],MATCH(VALUE(questions[[#This Row],[qno]]),VALUE(stable[qno]),0))</f>
        <v>0</v>
      </c>
      <c r="R801" s="77" t="b" cm="1">
        <f t="array" ref="R801">INDEX(stable[is_skip_logic],MATCH(VALUE(questions[[#This Row],[qno]]),VALUE(stable[qno]),0))</f>
        <v>0</v>
      </c>
      <c r="S801" s="77" t="str">
        <f>_xlfn.TEXTJOIN(", ",TRUE,questions[[#This Row],[ans_opt_1]:[ans_opt_14]])</f>
        <v>No, Yes -1 stream/river, Yes -2 streams/rivers, Yes -3 streams/rivers, Yes -4 streams/rivers, Yes -5 streams/rivers</v>
      </c>
      <c r="T801" s="77" t="s">
        <v>119</v>
      </c>
      <c r="U801" s="77" t="s">
        <v>485</v>
      </c>
      <c r="V801" s="77" t="s">
        <v>486</v>
      </c>
      <c r="W801" s="77" t="s">
        <v>487</v>
      </c>
      <c r="X801" s="77" t="s">
        <v>488</v>
      </c>
      <c r="Y801" s="77" t="s">
        <v>489</v>
      </c>
      <c r="Z801" s="77" t="str">
        <f t="shared" ref="Z801:AA801" si="1">MID(Y802,7,6)</f>
        <v/>
      </c>
      <c r="AA801" s="77" t="str">
        <f t="shared" si="1"/>
        <v/>
      </c>
      <c r="AH801" s="98" t="b">
        <f>INDEX(stable[q_standard],MATCH(questions[[#This Row],[qno]],stable[qno],0))</f>
        <v>0</v>
      </c>
      <c r="AI801" s="98" t="b">
        <f>INDEX(stable[q_living_income],MATCH(questions[[#This Row],[qno]],stable[qno],0))</f>
        <v>0</v>
      </c>
      <c r="AJ801" s="98" t="b">
        <f>INDEX(stable[q_carbon],MATCH(questions[[#This Row],[qno]],stable[qno],0))</f>
        <v>0</v>
      </c>
      <c r="AK801" s="98" t="b">
        <f>INDEX(stable[q_regen_ag],MATCH(questions[[#This Row],[qno]],stable[qno],0))</f>
        <v>1</v>
      </c>
      <c r="AL801" s="98" t="b">
        <f>COUNTIFS(stable[qno],questions[[#This Row],[qno]])=1</f>
        <v>1</v>
      </c>
      <c r="AM801" s="98" t="b">
        <f>OR(questions[[#This Row],[is_fixed]],questions[[#This Row],[is_localized]],questions[[#This Row],[is_supply_chain_dependent]])</f>
        <v>1</v>
      </c>
      <c r="AN801" s="98" t="b">
        <f>COUNTIFS(questions[[#This Row],[is_automated]:[is_multi_select]],TRUE)=1</f>
        <v>1</v>
      </c>
      <c r="AO801" s="98" t="b">
        <f>IF(questions[[#This Row],[is_fixed]],questions[[#This Row],[question]]=INDEX(stable[question],MATCH(questions[[#This Row],[qno]],stable[qno],0)),TRUE)</f>
        <v>0</v>
      </c>
      <c r="AP801" s="98" t="str">
        <f>LEFT(questions[[#This Row],[question]],similarity_range)</f>
        <v>Is there a stream or</v>
      </c>
      <c r="AQ801" s="98" t="str">
        <f>LEFT(INDEX(stable[question],MATCH(questions[[#This Row],[qno]],stable[qno],0)),similarity_range)</f>
        <v>Do you have riparian</v>
      </c>
      <c r="AR801" s="98" t="b">
        <f>questions[[#This Row],[question_first_characters]]=questions[[#This Row],[stability_first_characters]]</f>
        <v>0</v>
      </c>
      <c r="AS801" s="98" t="b">
        <f>IF(OR(questions[[#This Row],[is_single_select]],questions[[#This Row],[is_multi_select]]),NOT(ISBLANK(questions[[#This Row],[answer_opt_combined]])),TRUE)</f>
        <v>1</v>
      </c>
    </row>
    <row r="802" spans="1:45" s="77" customFormat="1" ht="15.75" customHeight="1" x14ac:dyDescent="0.25">
      <c r="A802" s="77" t="str">
        <f>_xlfn.TEXTJOIN("_",TRUE,questions[[#This Row],[origin]:[qno]])</f>
        <v>Kenya_Arabica_Nestle_2024_7701</v>
      </c>
      <c r="B802" s="77" t="s">
        <v>818</v>
      </c>
      <c r="C802" s="77" t="s">
        <v>59</v>
      </c>
      <c r="D802" s="77" t="s">
        <v>819</v>
      </c>
      <c r="E802" s="77">
        <v>2024</v>
      </c>
      <c r="F802" s="105" t="s">
        <v>490</v>
      </c>
      <c r="G802" s="78" t="s">
        <v>815</v>
      </c>
      <c r="H802" s="33" t="str" cm="1">
        <f t="array" ref="H802">INDEX(stableR[question],MATCH(VALUE(questions[[#This Row],[qno]]),VALUE(stableR[qno]),0))</f>
        <v>How many of the riparian areas in your coffee plots are covered/protected with natural vegetation</v>
      </c>
      <c r="I802" s="33" t="b" cm="1">
        <f t="array" ref="I802">INDEX(stable[is_fixed],MATCH(VALUE(questions[[#This Row],[qno]]),VALUE(stable[qno]),0))</f>
        <v>1</v>
      </c>
      <c r="J802" s="33" t="b" cm="1">
        <f t="array" ref="J802">INDEX(stable[is_localized],MATCH(VALUE(questions[[#This Row],[qno]]),VALUE(stable[qno]),0))</f>
        <v>0</v>
      </c>
      <c r="K802" s="33" t="b" cm="1">
        <f t="array" ref="K802">INDEX(stable[is_supply_chain_dependent],MATCH(VALUE(questions[[#This Row],[qno]]),VALUE(stable[qno]),0))</f>
        <v>0</v>
      </c>
      <c r="L802" s="33" t="b" cm="1">
        <f t="array" ref="L802">INDEX(stable[is_mandatory],MATCH(VALUE(questions[[#This Row],[qno]]),VALUE(stable[qno]),0))</f>
        <v>0</v>
      </c>
      <c r="M802" s="33" t="b" cm="1">
        <f t="array" ref="M802">INDEX(stable[is_automated],MATCH(VALUE(questions[[#This Row],[qno]]),VALUE(stable[qno]),0))</f>
        <v>0</v>
      </c>
      <c r="N802" s="33" t="b" cm="1">
        <f t="array" ref="N802">INDEX(stable[is_free_text],MATCH(VALUE(questions[[#This Row],[qno]]),VALUE(stable[qno]),0))</f>
        <v>0</v>
      </c>
      <c r="O802" s="33" t="b" cm="1">
        <f t="array" ref="O802">INDEX(stable[is_numerical],MATCH(VALUE(questions[[#This Row],[qno]]),VALUE(stable[qno]),0))</f>
        <v>0</v>
      </c>
      <c r="P802" s="77" t="b" cm="1">
        <f t="array" ref="P802">INDEX(stable[is_single_select],MATCH(VALUE(questions[[#This Row],[qno]]),VALUE(stable[qno]),0))</f>
        <v>1</v>
      </c>
      <c r="Q802" s="77" t="b" cm="1">
        <f t="array" ref="Q802">INDEX(stable[is_multi_select],MATCH(VALUE(questions[[#This Row],[qno]]),VALUE(stable[qno]),0))</f>
        <v>0</v>
      </c>
      <c r="R802" s="77" t="b" cm="1">
        <f t="array" ref="R802">INDEX(stable[is_skip_logic],MATCH(VALUE(questions[[#This Row],[qno]]),VALUE(stable[qno]),0))</f>
        <v>0</v>
      </c>
      <c r="S802" s="77" t="str">
        <f>_xlfn.TEXTJOIN(", ",TRUE,questions[[#This Row],[ans_opt_1]:[ans_opt_14]])</f>
        <v>All, Some</v>
      </c>
      <c r="T802" s="77" t="s">
        <v>492</v>
      </c>
      <c r="U802" s="77" t="s">
        <v>493</v>
      </c>
      <c r="AH802" s="98" t="b">
        <f>INDEX(stable[q_standard],MATCH(questions[[#This Row],[qno]],stable[qno],0))</f>
        <v>0</v>
      </c>
      <c r="AI802" s="98" t="b">
        <f>INDEX(stable[q_living_income],MATCH(questions[[#This Row],[qno]],stable[qno],0))</f>
        <v>0</v>
      </c>
      <c r="AJ802" s="98" t="b">
        <f>INDEX(stable[q_carbon],MATCH(questions[[#This Row],[qno]],stable[qno],0))</f>
        <v>0</v>
      </c>
      <c r="AK802" s="98" t="b">
        <f>INDEX(stable[q_regen_ag],MATCH(questions[[#This Row],[qno]],stable[qno],0))</f>
        <v>1</v>
      </c>
      <c r="AL802" s="98" t="b">
        <f>COUNTIFS(stable[qno],questions[[#This Row],[qno]])=1</f>
        <v>1</v>
      </c>
      <c r="AM802" s="98" t="b">
        <f>OR(questions[[#This Row],[is_fixed]],questions[[#This Row],[is_localized]],questions[[#This Row],[is_supply_chain_dependent]])</f>
        <v>1</v>
      </c>
      <c r="AN802" s="98" t="b">
        <f>COUNTIFS(questions[[#This Row],[is_automated]:[is_multi_select]],TRUE)=1</f>
        <v>1</v>
      </c>
      <c r="AO802" s="98" t="b">
        <f>IF(questions[[#This Row],[is_fixed]],questions[[#This Row],[question]]=INDEX(stable[question],MATCH(questions[[#This Row],[qno]],stable[qno],0)),TRUE)</f>
        <v>0</v>
      </c>
      <c r="AP802" s="98" t="str">
        <f>LEFT(questions[[#This Row],[question]],similarity_range)</f>
        <v xml:space="preserve">If yes, how many of </v>
      </c>
      <c r="AQ802" s="98" t="str">
        <f>LEFT(INDEX(stable[question],MATCH(questions[[#This Row],[qno]],stable[qno],0)),similarity_range)</f>
        <v>How many of the ripa</v>
      </c>
      <c r="AR802" s="98" t="b">
        <f>questions[[#This Row],[question_first_characters]]=questions[[#This Row],[stability_first_characters]]</f>
        <v>0</v>
      </c>
      <c r="AS802" s="98" t="b">
        <f>IF(OR(questions[[#This Row],[is_single_select]],questions[[#This Row],[is_multi_select]]),NOT(ISBLANK(questions[[#This Row],[answer_opt_combined]])),TRUE)</f>
        <v>1</v>
      </c>
    </row>
    <row r="803" spans="1:45" s="77" customFormat="1" ht="15.75" customHeight="1" x14ac:dyDescent="0.25">
      <c r="A803" s="77" t="str">
        <f>_xlfn.TEXTJOIN("_",TRUE,questions[[#This Row],[origin]:[qno]])</f>
        <v>Kenya_Arabica_Nestle_2024_8000</v>
      </c>
      <c r="B803" s="77" t="s">
        <v>818</v>
      </c>
      <c r="C803" s="77" t="s">
        <v>59</v>
      </c>
      <c r="D803" s="77" t="s">
        <v>819</v>
      </c>
      <c r="E803" s="77">
        <v>2024</v>
      </c>
      <c r="F803" s="108" t="s">
        <v>494</v>
      </c>
      <c r="G803" s="78" t="s">
        <v>816</v>
      </c>
      <c r="H803" s="33" t="str" cm="1">
        <f t="array" ref="H803">INDEX(stableR[question],MATCH(VALUE(questions[[#This Row],[qno]]),VALUE(stableR[qno]),0))</f>
        <v>What describes the soil type best in the coffee plot of the farmer (please observe your self)</v>
      </c>
      <c r="I803" s="33" t="b" cm="1">
        <f t="array" ref="I803">INDEX(stable[is_fixed],MATCH(VALUE(questions[[#This Row],[qno]]),VALUE(stable[qno]),0))</f>
        <v>1</v>
      </c>
      <c r="J803" s="33" t="b" cm="1">
        <f t="array" ref="J803">INDEX(stable[is_localized],MATCH(VALUE(questions[[#This Row],[qno]]),VALUE(stable[qno]),0))</f>
        <v>0</v>
      </c>
      <c r="K803" s="33" t="b" cm="1">
        <f t="array" ref="K803">INDEX(stable[is_supply_chain_dependent],MATCH(VALUE(questions[[#This Row],[qno]]),VALUE(stable[qno]),0))</f>
        <v>0</v>
      </c>
      <c r="L803" s="33" t="b" cm="1">
        <f t="array" ref="L803">INDEX(stable[is_mandatory],MATCH(VALUE(questions[[#This Row],[qno]]),VALUE(stable[qno]),0))</f>
        <v>1</v>
      </c>
      <c r="M803" s="33" t="b" cm="1">
        <f t="array" ref="M803">INDEX(stable[is_automated],MATCH(VALUE(questions[[#This Row],[qno]]),VALUE(stable[qno]),0))</f>
        <v>0</v>
      </c>
      <c r="N803" s="33" t="b" cm="1">
        <f t="array" ref="N803">INDEX(stable[is_free_text],MATCH(VALUE(questions[[#This Row],[qno]]),VALUE(stable[qno]),0))</f>
        <v>0</v>
      </c>
      <c r="O803" s="33" t="b" cm="1">
        <f t="array" ref="O803">INDEX(stable[is_numerical],MATCH(VALUE(questions[[#This Row],[qno]]),VALUE(stable[qno]),0))</f>
        <v>0</v>
      </c>
      <c r="P803" s="77" t="b" cm="1">
        <f t="array" ref="P803">INDEX(stable[is_single_select],MATCH(VALUE(questions[[#This Row],[qno]]),VALUE(stable[qno]),0))</f>
        <v>1</v>
      </c>
      <c r="Q803" s="77" t="b" cm="1">
        <f t="array" ref="Q803">INDEX(stable[is_multi_select],MATCH(VALUE(questions[[#This Row],[qno]]),VALUE(stable[qno]),0))</f>
        <v>0</v>
      </c>
      <c r="R803" s="77" t="b" cm="1">
        <f t="array" ref="R803">INDEX(stable[is_skip_logic],MATCH(VALUE(questions[[#This Row],[qno]]),VALUE(stable[qno]),0))</f>
        <v>0</v>
      </c>
      <c r="S803" s="77" t="str">
        <f>_xlfn.TEXTJOIN(", ",TRUE,questions[[#This Row],[ans_opt_1]:[ans_opt_14]])</f>
        <v>High activity clay soils , Low activity clay soils, Sandy soils, Loamy soils, Volcanic soils, Wetland soils, Organic soils</v>
      </c>
      <c r="T803" s="77" t="s">
        <v>817</v>
      </c>
      <c r="U803" s="77" t="s">
        <v>497</v>
      </c>
      <c r="V803" s="77" t="s">
        <v>498</v>
      </c>
      <c r="W803" s="91" t="s">
        <v>499</v>
      </c>
      <c r="X803" s="77" t="s">
        <v>500</v>
      </c>
      <c r="Y803" s="77" t="s">
        <v>501</v>
      </c>
      <c r="Z803" s="77" t="s">
        <v>502</v>
      </c>
      <c r="AH803" s="98" t="b">
        <f>INDEX(stable[q_standard],MATCH(questions[[#This Row],[qno]],stable[qno],0))</f>
        <v>0</v>
      </c>
      <c r="AI803" s="98" t="b">
        <f>INDEX(stable[q_living_income],MATCH(questions[[#This Row],[qno]],stable[qno],0))</f>
        <v>0</v>
      </c>
      <c r="AJ803" s="98" t="b">
        <f>INDEX(stable[q_carbon],MATCH(questions[[#This Row],[qno]],stable[qno],0))</f>
        <v>0</v>
      </c>
      <c r="AK803" s="98" t="b">
        <f>INDEX(stable[q_regen_ag],MATCH(questions[[#This Row],[qno]],stable[qno],0))</f>
        <v>1</v>
      </c>
      <c r="AL803" s="98" t="b">
        <f>COUNTIFS(stable[qno],questions[[#This Row],[qno]])=1</f>
        <v>1</v>
      </c>
      <c r="AM803" s="98" t="b">
        <f>OR(questions[[#This Row],[is_fixed]],questions[[#This Row],[is_localized]],questions[[#This Row],[is_supply_chain_dependent]])</f>
        <v>1</v>
      </c>
      <c r="AN803" s="98" t="b">
        <f>COUNTIFS(questions[[#This Row],[is_automated]:[is_multi_select]],TRUE)=1</f>
        <v>1</v>
      </c>
      <c r="AO803" s="98" t="b">
        <f>IF(questions[[#This Row],[is_fixed]],questions[[#This Row],[question]]=INDEX(stable[question],MATCH(questions[[#This Row],[qno]],stable[qno],0)),TRUE)</f>
        <v>0</v>
      </c>
      <c r="AP803" s="98" t="str">
        <f>LEFT(questions[[#This Row],[question]],similarity_range)</f>
        <v>What the describes t</v>
      </c>
      <c r="AQ803" s="98" t="str">
        <f>LEFT(INDEX(stable[question],MATCH(questions[[#This Row],[qno]],stable[qno],0)),similarity_range)</f>
        <v>What describes the s</v>
      </c>
      <c r="AR803" s="98" t="b">
        <f>questions[[#This Row],[question_first_characters]]=questions[[#This Row],[stability_first_characters]]</f>
        <v>0</v>
      </c>
      <c r="AS803" s="98" t="b">
        <f>IF(OR(questions[[#This Row],[is_single_select]],questions[[#This Row],[is_multi_select]]),NOT(ISBLANK(questions[[#This Row],[answer_opt_combined]])),TRUE)</f>
        <v>1</v>
      </c>
    </row>
    <row r="804" spans="1:45" s="77" customFormat="1" ht="15.75" customHeight="1" x14ac:dyDescent="0.25">
      <c r="A804" s="77" t="str">
        <f>_xlfn.TEXTJOIN("_",TRUE,questions[[#This Row],[origin]:[qno]])</f>
        <v>Kenya_Arabica_Nestle_2024_8010</v>
      </c>
      <c r="B804" s="77" t="s">
        <v>818</v>
      </c>
      <c r="C804" s="77" t="s">
        <v>59</v>
      </c>
      <c r="D804" s="77" t="s">
        <v>819</v>
      </c>
      <c r="E804" s="77">
        <v>2024</v>
      </c>
      <c r="F804" s="105" t="s">
        <v>503</v>
      </c>
      <c r="G804" s="78" t="s">
        <v>504</v>
      </c>
      <c r="H804" s="33" t="str" cm="1">
        <f t="array" ref="H804">INDEX(stableR[question],MATCH(VALUE(questions[[#This Row],[qno]]),VALUE(stableR[qno]),0))</f>
        <v>What type of tillage/ploughing do you use in your coffee plots mostly (full tillages=fully turning the soil; reduced tillages is only losening the soil; No till is no tillage or ploughing of the soil at all)?</v>
      </c>
      <c r="I804" s="33" t="b" cm="1">
        <f t="array" ref="I804">INDEX(stable[is_fixed],MATCH(VALUE(questions[[#This Row],[qno]]),VALUE(stable[qno]),0))</f>
        <v>1</v>
      </c>
      <c r="J804" s="33" t="b" cm="1">
        <f t="array" ref="J804">INDEX(stable[is_localized],MATCH(VALUE(questions[[#This Row],[qno]]),VALUE(stable[qno]),0))</f>
        <v>0</v>
      </c>
      <c r="K804" s="33" t="b" cm="1">
        <f t="array" ref="K804">INDEX(stable[is_supply_chain_dependent],MATCH(VALUE(questions[[#This Row],[qno]]),VALUE(stable[qno]),0))</f>
        <v>0</v>
      </c>
      <c r="L804" s="33" t="b" cm="1">
        <f t="array" ref="L804">INDEX(stable[is_mandatory],MATCH(VALUE(questions[[#This Row],[qno]]),VALUE(stable[qno]),0))</f>
        <v>1</v>
      </c>
      <c r="M804" s="33" t="b" cm="1">
        <f t="array" ref="M804">INDEX(stable[is_automated],MATCH(VALUE(questions[[#This Row],[qno]]),VALUE(stable[qno]),0))</f>
        <v>0</v>
      </c>
      <c r="N804" s="33" t="b" cm="1">
        <f t="array" ref="N804">INDEX(stable[is_free_text],MATCH(VALUE(questions[[#This Row],[qno]]),VALUE(stable[qno]),0))</f>
        <v>0</v>
      </c>
      <c r="O804" s="33" t="b" cm="1">
        <f t="array" ref="O804">INDEX(stable[is_numerical],MATCH(VALUE(questions[[#This Row],[qno]]),VALUE(stable[qno]),0))</f>
        <v>0</v>
      </c>
      <c r="P804" s="77" t="b" cm="1">
        <f t="array" ref="P804">INDEX(stable[is_single_select],MATCH(VALUE(questions[[#This Row],[qno]]),VALUE(stable[qno]),0))</f>
        <v>1</v>
      </c>
      <c r="Q804" s="77" t="b" cm="1">
        <f t="array" ref="Q804">INDEX(stable[is_multi_select],MATCH(VALUE(questions[[#This Row],[qno]]),VALUE(stable[qno]),0))</f>
        <v>0</v>
      </c>
      <c r="R804" s="77" t="b" cm="1">
        <f t="array" ref="R804">INDEX(stable[is_skip_logic],MATCH(VALUE(questions[[#This Row],[qno]]),VALUE(stable[qno]),0))</f>
        <v>0</v>
      </c>
      <c r="S804" s="77" t="str">
        <f>_xlfn.TEXTJOIN(", ",TRUE,questions[[#This Row],[ans_opt_1]:[ans_opt_14]])</f>
        <v>Full-tillage, Reduced tillage, No till</v>
      </c>
      <c r="T804" s="77" t="s">
        <v>505</v>
      </c>
      <c r="U804" s="77" t="s">
        <v>506</v>
      </c>
      <c r="V804" s="77" t="s">
        <v>507</v>
      </c>
      <c r="AH804" s="98" t="b">
        <f>INDEX(stable[q_standard],MATCH(questions[[#This Row],[qno]],stable[qno],0))</f>
        <v>0</v>
      </c>
      <c r="AI804" s="98" t="b">
        <f>INDEX(stable[q_living_income],MATCH(questions[[#This Row],[qno]],stable[qno],0))</f>
        <v>0</v>
      </c>
      <c r="AJ804" s="98" t="b">
        <f>INDEX(stable[q_carbon],MATCH(questions[[#This Row],[qno]],stable[qno],0))</f>
        <v>0</v>
      </c>
      <c r="AK804" s="98" t="b">
        <f>INDEX(stable[q_regen_ag],MATCH(questions[[#This Row],[qno]],stable[qno],0))</f>
        <v>1</v>
      </c>
      <c r="AL804" s="98" t="b">
        <f>COUNTIFS(stable[qno],questions[[#This Row],[qno]])=1</f>
        <v>1</v>
      </c>
      <c r="AM804" s="98" t="b">
        <f>OR(questions[[#This Row],[is_fixed]],questions[[#This Row],[is_localized]],questions[[#This Row],[is_supply_chain_dependent]])</f>
        <v>1</v>
      </c>
      <c r="AN804" s="98" t="b">
        <f>COUNTIFS(questions[[#This Row],[is_automated]:[is_multi_select]],TRUE)=1</f>
        <v>1</v>
      </c>
      <c r="AO804" s="98" t="b">
        <f>IF(questions[[#This Row],[is_fixed]],questions[[#This Row],[question]]=INDEX(stable[question],MATCH(questions[[#This Row],[qno]],stable[qno],0)),TRUE)</f>
        <v>1</v>
      </c>
      <c r="AP804" s="98" t="str">
        <f>LEFT(questions[[#This Row],[question]],similarity_range)</f>
        <v>What type of tillage</v>
      </c>
      <c r="AQ804" s="98" t="str">
        <f>LEFT(INDEX(stable[question],MATCH(questions[[#This Row],[qno]],stable[qno],0)),similarity_range)</f>
        <v>What type of tillage</v>
      </c>
      <c r="AR804" s="98" t="b">
        <f>questions[[#This Row],[question_first_characters]]=questions[[#This Row],[stability_first_characters]]</f>
        <v>1</v>
      </c>
      <c r="AS804" s="98" t="b">
        <f>IF(OR(questions[[#This Row],[is_single_select]],questions[[#This Row],[is_multi_select]]),NOT(ISBLANK(questions[[#This Row],[answer_opt_combined]])),TRUE)</f>
        <v>1</v>
      </c>
    </row>
    <row r="805" spans="1:45" s="77" customFormat="1" ht="15.75" customHeight="1" x14ac:dyDescent="0.25">
      <c r="A805" s="77" t="str">
        <f>_xlfn.TEXTJOIN("_",TRUE,questions[[#This Row],[origin]:[qno]])</f>
        <v>Kenya_Arabica_Nestle_2024_9000</v>
      </c>
      <c r="B805" s="77" t="s">
        <v>818</v>
      </c>
      <c r="C805" s="77" t="s">
        <v>59</v>
      </c>
      <c r="D805" s="77" t="s">
        <v>819</v>
      </c>
      <c r="E805" s="77">
        <v>2024</v>
      </c>
      <c r="F805" s="105" t="s">
        <v>508</v>
      </c>
      <c r="G805" s="78" t="s">
        <v>509</v>
      </c>
      <c r="H805" s="33" t="str" cm="1">
        <f t="array" ref="H805">INDEX(stableR[question],MATCH(VALUE(questions[[#This Row],[qno]]),VALUE(stableR[qno]),0))</f>
        <v>Final check: did you measure/polygon map all the plots of the farmer?</v>
      </c>
      <c r="I805" s="33" t="b" cm="1">
        <f t="array" ref="I805">INDEX(stable[is_fixed],MATCH(VALUE(questions[[#This Row],[qno]]),VALUE(stable[qno]),0))</f>
        <v>1</v>
      </c>
      <c r="J805" s="33" t="b" cm="1">
        <f t="array" ref="J805">INDEX(stable[is_localized],MATCH(VALUE(questions[[#This Row],[qno]]),VALUE(stable[qno]),0))</f>
        <v>0</v>
      </c>
      <c r="K805" s="33" t="b" cm="1">
        <f t="array" ref="K805">INDEX(stable[is_supply_chain_dependent],MATCH(VALUE(questions[[#This Row],[qno]]),VALUE(stable[qno]),0))</f>
        <v>0</v>
      </c>
      <c r="L805" s="33" t="b" cm="1">
        <f t="array" ref="L805">INDEX(stable[is_mandatory],MATCH(VALUE(questions[[#This Row],[qno]]),VALUE(stable[qno]),0))</f>
        <v>1</v>
      </c>
      <c r="M805" s="33" t="b" cm="1">
        <f t="array" ref="M805">INDEX(stable[is_automated],MATCH(VALUE(questions[[#This Row],[qno]]),VALUE(stable[qno]),0))</f>
        <v>0</v>
      </c>
      <c r="N805" s="33" t="b" cm="1">
        <f t="array" ref="N805">INDEX(stable[is_free_text],MATCH(VALUE(questions[[#This Row],[qno]]),VALUE(stable[qno]),0))</f>
        <v>0</v>
      </c>
      <c r="O805" s="33" t="b" cm="1">
        <f t="array" ref="O805">INDEX(stable[is_numerical],MATCH(VALUE(questions[[#This Row],[qno]]),VALUE(stable[qno]),0))</f>
        <v>0</v>
      </c>
      <c r="P805" s="77" t="b" cm="1">
        <f t="array" ref="P805">INDEX(stable[is_single_select],MATCH(VALUE(questions[[#This Row],[qno]]),VALUE(stable[qno]),0))</f>
        <v>1</v>
      </c>
      <c r="Q805" s="77" t="b" cm="1">
        <f t="array" ref="Q805">INDEX(stable[is_multi_select],MATCH(VALUE(questions[[#This Row],[qno]]),VALUE(stable[qno]),0))</f>
        <v>0</v>
      </c>
      <c r="R805" s="77" t="b" cm="1">
        <f t="array" ref="R805">INDEX(stable[is_skip_logic],MATCH(VALUE(questions[[#This Row],[qno]]),VALUE(stable[qno]),0))</f>
        <v>0</v>
      </c>
      <c r="S805" s="77" t="str">
        <f>_xlfn.TEXTJOIN(", ",TRUE,questions[[#This Row],[ans_opt_1]:[ans_opt_14]])</f>
        <v>No, Yes, Not possible</v>
      </c>
      <c r="T805" s="77" t="s">
        <v>119</v>
      </c>
      <c r="U805" s="77" t="s">
        <v>149</v>
      </c>
      <c r="V805" s="77" t="s">
        <v>510</v>
      </c>
      <c r="AH805" s="98" t="b">
        <f>INDEX(stable[q_standard],MATCH(questions[[#This Row],[qno]],stable[qno],0))</f>
        <v>0</v>
      </c>
      <c r="AI805" s="98" t="b">
        <f>INDEX(stable[q_living_income],MATCH(questions[[#This Row],[qno]],stable[qno],0))</f>
        <v>0</v>
      </c>
      <c r="AJ805" s="98" t="b">
        <f>INDEX(stable[q_carbon],MATCH(questions[[#This Row],[qno]],stable[qno],0))</f>
        <v>0</v>
      </c>
      <c r="AK805" s="98" t="b">
        <f>INDEX(stable[q_regen_ag],MATCH(questions[[#This Row],[qno]],stable[qno],0))</f>
        <v>1</v>
      </c>
      <c r="AL805" s="98" t="b">
        <f>COUNTIFS(stable[qno],questions[[#This Row],[qno]])=1</f>
        <v>1</v>
      </c>
      <c r="AM805" s="98" t="b">
        <f>OR(questions[[#This Row],[is_fixed]],questions[[#This Row],[is_localized]],questions[[#This Row],[is_supply_chain_dependent]])</f>
        <v>1</v>
      </c>
      <c r="AN805" s="98" t="b">
        <f>COUNTIFS(questions[[#This Row],[is_automated]:[is_multi_select]],TRUE)=1</f>
        <v>1</v>
      </c>
      <c r="AO805" s="98" t="b">
        <f>IF(questions[[#This Row],[is_fixed]],questions[[#This Row],[question]]=INDEX(stable[question],MATCH(questions[[#This Row],[qno]],stable[qno],0)),TRUE)</f>
        <v>1</v>
      </c>
      <c r="AP805" s="98" t="str">
        <f>LEFT(questions[[#This Row],[question]],similarity_range)</f>
        <v>Final check: did you</v>
      </c>
      <c r="AQ805" s="98" t="str">
        <f>LEFT(INDEX(stable[question],MATCH(questions[[#This Row],[qno]],stable[qno],0)),similarity_range)</f>
        <v>Final check: did you</v>
      </c>
      <c r="AR805" s="98" t="b">
        <f>questions[[#This Row],[question_first_characters]]=questions[[#This Row],[stability_first_characters]]</f>
        <v>1</v>
      </c>
      <c r="AS805" s="98" t="b">
        <f>IF(OR(questions[[#This Row],[is_single_select]],questions[[#This Row],[is_multi_select]]),NOT(ISBLANK(questions[[#This Row],[answer_opt_combined]])),TRUE)</f>
        <v>1</v>
      </c>
    </row>
    <row r="806" spans="1:45" ht="15.75" customHeight="1" x14ac:dyDescent="0.25">
      <c r="A806" s="9" t="str">
        <f>_xlfn.TEXTJOIN("_",TRUE,questions[[#This Row],[origin]:[qno]])</f>
        <v>Uganda_Robusta_Nespresso_1000</v>
      </c>
      <c r="B806" s="9" t="s">
        <v>511</v>
      </c>
      <c r="C806" s="9" t="s">
        <v>674</v>
      </c>
      <c r="D806" s="9" t="s">
        <v>864</v>
      </c>
      <c r="F806" s="24" t="s">
        <v>61</v>
      </c>
      <c r="G806" s="15" t="s">
        <v>62</v>
      </c>
      <c r="H806" s="9" t="str" cm="1">
        <f t="array" ref="H806">INDEX(stableR[question],MATCH(VALUE(questions[[#This Row],[qno]]),VALUE(stableR[qno]),0))</f>
        <v>Origin</v>
      </c>
      <c r="I806" s="9" t="b" cm="1">
        <f t="array" ref="I806">INDEX(stable[is_fixed],MATCH(VALUE(questions[[#This Row],[qno]]),VALUE(stable[qno]),0))</f>
        <v>1</v>
      </c>
      <c r="J806" s="9" t="b" cm="1">
        <f t="array" ref="J806">INDEX(stable[is_localized],MATCH(VALUE(questions[[#This Row],[qno]]),VALUE(stable[qno]),0))</f>
        <v>0</v>
      </c>
      <c r="K806" s="9" t="b" cm="1">
        <f t="array" ref="K806">INDEX(stable[is_supply_chain_dependent],MATCH(VALUE(questions[[#This Row],[qno]]),VALUE(stable[qno]),0))</f>
        <v>0</v>
      </c>
      <c r="L806" s="9" t="b" cm="1">
        <f t="array" ref="L806">INDEX(stable[is_mandatory],MATCH(VALUE(questions[[#This Row],[qno]]),VALUE(stable[qno]),0))</f>
        <v>1</v>
      </c>
      <c r="M806" s="9" t="b" cm="1">
        <f t="array" ref="M806">INDEX(stable[is_automated],MATCH(VALUE(questions[[#This Row],[qno]]),VALUE(stable[qno]),0))</f>
        <v>1</v>
      </c>
      <c r="N806" s="9" t="b" cm="1">
        <f t="array" ref="N806">INDEX(stable[is_free_text],MATCH(VALUE(questions[[#This Row],[qno]]),VALUE(stable[qno]),0))</f>
        <v>0</v>
      </c>
      <c r="O806" s="9" t="b" cm="1">
        <f t="array" ref="O806">INDEX(stable[is_numerical],MATCH(VALUE(questions[[#This Row],[qno]]),VALUE(stable[qno]),0))</f>
        <v>0</v>
      </c>
      <c r="P806" s="9" t="b" cm="1">
        <f t="array" ref="P806">INDEX(stable[is_single_select],MATCH(VALUE(questions[[#This Row],[qno]]),VALUE(stable[qno]),0))</f>
        <v>0</v>
      </c>
      <c r="Q806" s="9" t="b" cm="1">
        <f t="array" ref="Q806">INDEX(stable[is_multi_select],MATCH(VALUE(questions[[#This Row],[qno]]),VALUE(stable[qno]),0))</f>
        <v>0</v>
      </c>
      <c r="R806" s="9" t="b" cm="1">
        <f t="array" ref="R806">INDEX(stable[is_skip_logic],MATCH(VALUE(questions[[#This Row],[qno]]),VALUE(stable[qno]),0))</f>
        <v>0</v>
      </c>
      <c r="S806" s="9" t="str">
        <f>_xlfn.TEXTJOIN(", ",TRUE,questions[[#This Row],[ans_opt_1]:[ans_opt_14]])</f>
        <v/>
      </c>
      <c r="AH806" s="16" t="b">
        <f>INDEX(stable[q_standard],MATCH(questions[[#This Row],[qno]],stable[qno],0))</f>
        <v>1</v>
      </c>
      <c r="AI806" s="16" t="b">
        <f>INDEX(stable[q_living_income],MATCH(questions[[#This Row],[qno]],stable[qno],0))</f>
        <v>0</v>
      </c>
      <c r="AJ806" s="16" t="b">
        <f>INDEX(stable[q_carbon],MATCH(questions[[#This Row],[qno]],stable[qno],0))</f>
        <v>0</v>
      </c>
      <c r="AK806" s="16" t="b">
        <f>INDEX(stable[q_regen_ag],MATCH(questions[[#This Row],[qno]],stable[qno],0))</f>
        <v>0</v>
      </c>
      <c r="AL806" s="16" t="b">
        <f>COUNTIFS(stable[qno],questions[[#This Row],[qno]])=1</f>
        <v>1</v>
      </c>
      <c r="AM806" s="16" t="b">
        <f>OR(questions[[#This Row],[is_fixed]],questions[[#This Row],[is_localized]],questions[[#This Row],[is_supply_chain_dependent]])</f>
        <v>1</v>
      </c>
      <c r="AN806" s="16" t="b">
        <f>COUNTIFS(questions[[#This Row],[is_automated]:[is_multi_select]],TRUE)=1</f>
        <v>1</v>
      </c>
      <c r="AO806" s="16" t="b">
        <f>IF(questions[[#This Row],[is_fixed]],questions[[#This Row],[question]]=INDEX(stable[question],MATCH(questions[[#This Row],[qno]],stable[qno],0)),TRUE)</f>
        <v>1</v>
      </c>
      <c r="AP806" s="16" t="str">
        <f>LEFT(questions[[#This Row],[question]],similarity_range)</f>
        <v>Origin</v>
      </c>
      <c r="AQ806" s="16" t="str">
        <f>LEFT(INDEX(stable[question],MATCH(questions[[#This Row],[qno]],stable[qno],0)),similarity_range)</f>
        <v>Origin</v>
      </c>
      <c r="AR806" s="16" t="b">
        <f>questions[[#This Row],[question_first_characters]]=questions[[#This Row],[stability_first_characters]]</f>
        <v>1</v>
      </c>
      <c r="AS806" s="16" t="b">
        <f>IF(OR(questions[[#This Row],[is_single_select]],questions[[#This Row],[is_multi_select]]),NOT(ISBLANK(questions[[#This Row],[answer_opt_combined]])),TRUE)</f>
        <v>1</v>
      </c>
    </row>
    <row r="807" spans="1:45" ht="15.75" customHeight="1" x14ac:dyDescent="0.25">
      <c r="A807" s="9" t="str">
        <f>_xlfn.TEXTJOIN("_",TRUE,questions[[#This Row],[origin]:[qno]])</f>
        <v>Uganda_Robusta_Nespresso_1001</v>
      </c>
      <c r="B807" s="9" t="s">
        <v>511</v>
      </c>
      <c r="C807" s="9" t="s">
        <v>674</v>
      </c>
      <c r="D807" s="9" t="s">
        <v>864</v>
      </c>
      <c r="F807" s="24" t="s">
        <v>63</v>
      </c>
      <c r="G807" s="15" t="s">
        <v>64</v>
      </c>
      <c r="H807" s="9" t="str" cm="1">
        <f t="array" ref="H807">INDEX(stableR[question],MATCH(VALUE(questions[[#This Row],[qno]]),VALUE(stableR[qno]),0))</f>
        <v>Type</v>
      </c>
      <c r="I807" s="9" t="b" cm="1">
        <f t="array" ref="I807">INDEX(stable[is_fixed],MATCH(VALUE(questions[[#This Row],[qno]]),VALUE(stable[qno]),0))</f>
        <v>1</v>
      </c>
      <c r="J807" s="9" t="b" cm="1">
        <f t="array" ref="J807">INDEX(stable[is_localized],MATCH(VALUE(questions[[#This Row],[qno]]),VALUE(stable[qno]),0))</f>
        <v>0</v>
      </c>
      <c r="K807" s="9" t="b" cm="1">
        <f t="array" ref="K807">INDEX(stable[is_supply_chain_dependent],MATCH(VALUE(questions[[#This Row],[qno]]),VALUE(stable[qno]),0))</f>
        <v>0</v>
      </c>
      <c r="L807" s="9" t="b" cm="1">
        <f t="array" ref="L807">INDEX(stable[is_mandatory],MATCH(VALUE(questions[[#This Row],[qno]]),VALUE(stable[qno]),0))</f>
        <v>1</v>
      </c>
      <c r="M807" s="9" t="b" cm="1">
        <f t="array" ref="M807">INDEX(stable[is_automated],MATCH(VALUE(questions[[#This Row],[qno]]),VALUE(stable[qno]),0))</f>
        <v>1</v>
      </c>
      <c r="N807" s="9" t="b" cm="1">
        <f t="array" ref="N807">INDEX(stable[is_free_text],MATCH(VALUE(questions[[#This Row],[qno]]),VALUE(stable[qno]),0))</f>
        <v>0</v>
      </c>
      <c r="O807" s="9" t="b" cm="1">
        <f t="array" ref="O807">INDEX(stable[is_numerical],MATCH(VALUE(questions[[#This Row],[qno]]),VALUE(stable[qno]),0))</f>
        <v>0</v>
      </c>
      <c r="P807" s="9" t="b" cm="1">
        <f t="array" ref="P807">INDEX(stable[is_single_select],MATCH(VALUE(questions[[#This Row],[qno]]),VALUE(stable[qno]),0))</f>
        <v>0</v>
      </c>
      <c r="Q807" s="9" t="b" cm="1">
        <f t="array" ref="Q807">INDEX(stable[is_multi_select],MATCH(VALUE(questions[[#This Row],[qno]]),VALUE(stable[qno]),0))</f>
        <v>0</v>
      </c>
      <c r="R807" s="9" t="b" cm="1">
        <f t="array" ref="R807">INDEX(stable[is_skip_logic],MATCH(VALUE(questions[[#This Row],[qno]]),VALUE(stable[qno]),0))</f>
        <v>0</v>
      </c>
      <c r="S807" s="9" t="str">
        <f>_xlfn.TEXTJOIN(", ",TRUE,questions[[#This Row],[ans_opt_1]:[ans_opt_14]])</f>
        <v/>
      </c>
      <c r="AH807" s="16" t="b">
        <f>INDEX(stable[q_standard],MATCH(questions[[#This Row],[qno]],stable[qno],0))</f>
        <v>1</v>
      </c>
      <c r="AI807" s="16" t="b">
        <f>INDEX(stable[q_living_income],MATCH(questions[[#This Row],[qno]],stable[qno],0))</f>
        <v>0</v>
      </c>
      <c r="AJ807" s="16" t="b">
        <f>INDEX(stable[q_carbon],MATCH(questions[[#This Row],[qno]],stable[qno],0))</f>
        <v>0</v>
      </c>
      <c r="AK807" s="16" t="b">
        <f>INDEX(stable[q_regen_ag],MATCH(questions[[#This Row],[qno]],stable[qno],0))</f>
        <v>0</v>
      </c>
      <c r="AL807" s="16" t="b">
        <f>COUNTIFS(stable[qno],questions[[#This Row],[qno]])=1</f>
        <v>1</v>
      </c>
      <c r="AM807" s="16" t="b">
        <f>OR(questions[[#This Row],[is_fixed]],questions[[#This Row],[is_localized]],questions[[#This Row],[is_supply_chain_dependent]])</f>
        <v>1</v>
      </c>
      <c r="AN807" s="16" t="b">
        <f>COUNTIFS(questions[[#This Row],[is_automated]:[is_multi_select]],TRUE)=1</f>
        <v>1</v>
      </c>
      <c r="AO807" s="16" t="b">
        <f>IF(questions[[#This Row],[is_fixed]],questions[[#This Row],[question]]=INDEX(stable[question],MATCH(questions[[#This Row],[qno]],stable[qno],0)),TRUE)</f>
        <v>1</v>
      </c>
      <c r="AP807" s="16" t="str">
        <f>LEFT(questions[[#This Row],[question]],similarity_range)</f>
        <v>Type</v>
      </c>
      <c r="AQ807" s="16" t="str">
        <f>LEFT(INDEX(stable[question],MATCH(questions[[#This Row],[qno]],stable[qno],0)),similarity_range)</f>
        <v>Type</v>
      </c>
      <c r="AR807" s="16" t="b">
        <f>questions[[#This Row],[question_first_characters]]=questions[[#This Row],[stability_first_characters]]</f>
        <v>1</v>
      </c>
      <c r="AS807" s="16" t="b">
        <f>IF(OR(questions[[#This Row],[is_single_select]],questions[[#This Row],[is_multi_select]]),NOT(ISBLANK(questions[[#This Row],[answer_opt_combined]])),TRUE)</f>
        <v>1</v>
      </c>
    </row>
    <row r="808" spans="1:45" ht="15.75" customHeight="1" x14ac:dyDescent="0.25">
      <c r="A808" s="9" t="str">
        <f>_xlfn.TEXTJOIN("_",TRUE,questions[[#This Row],[origin]:[qno]])</f>
        <v>Uganda_Robusta_Nespresso_1002</v>
      </c>
      <c r="B808" s="9" t="s">
        <v>511</v>
      </c>
      <c r="C808" s="9" t="s">
        <v>674</v>
      </c>
      <c r="D808" s="9" t="s">
        <v>864</v>
      </c>
      <c r="F808" s="24" t="s">
        <v>65</v>
      </c>
      <c r="G808" s="15" t="s">
        <v>66</v>
      </c>
      <c r="H808" s="9" t="str" cm="1">
        <f t="array" ref="H808">INDEX(stableR[question],MATCH(VALUE(questions[[#This Row],[qno]]),VALUE(stableR[qno]),0))</f>
        <v>Supply chain</v>
      </c>
      <c r="I808" s="9" t="b" cm="1">
        <f t="array" ref="I808">INDEX(stable[is_fixed],MATCH(VALUE(questions[[#This Row],[qno]]),VALUE(stable[qno]),0))</f>
        <v>1</v>
      </c>
      <c r="J808" s="9" t="b" cm="1">
        <f t="array" ref="J808">INDEX(stable[is_localized],MATCH(VALUE(questions[[#This Row],[qno]]),VALUE(stable[qno]),0))</f>
        <v>0</v>
      </c>
      <c r="K808" s="9" t="b" cm="1">
        <f t="array" ref="K808">INDEX(stable[is_supply_chain_dependent],MATCH(VALUE(questions[[#This Row],[qno]]),VALUE(stable[qno]),0))</f>
        <v>0</v>
      </c>
      <c r="L808" s="9" t="b" cm="1">
        <f t="array" ref="L808">INDEX(stable[is_mandatory],MATCH(VALUE(questions[[#This Row],[qno]]),VALUE(stable[qno]),0))</f>
        <v>1</v>
      </c>
      <c r="M808" s="9" t="b" cm="1">
        <f t="array" ref="M808">INDEX(stable[is_automated],MATCH(VALUE(questions[[#This Row],[qno]]),VALUE(stable[qno]),0))</f>
        <v>1</v>
      </c>
      <c r="N808" s="9" t="b" cm="1">
        <f t="array" ref="N808">INDEX(stable[is_free_text],MATCH(VALUE(questions[[#This Row],[qno]]),VALUE(stable[qno]),0))</f>
        <v>0</v>
      </c>
      <c r="O808" s="9" t="b" cm="1">
        <f t="array" ref="O808">INDEX(stable[is_numerical],MATCH(VALUE(questions[[#This Row],[qno]]),VALUE(stable[qno]),0))</f>
        <v>0</v>
      </c>
      <c r="P808" s="9" t="b" cm="1">
        <f t="array" ref="P808">INDEX(stable[is_single_select],MATCH(VALUE(questions[[#This Row],[qno]]),VALUE(stable[qno]),0))</f>
        <v>0</v>
      </c>
      <c r="Q808" s="9" t="b" cm="1">
        <f t="array" ref="Q808">INDEX(stable[is_multi_select],MATCH(VALUE(questions[[#This Row],[qno]]),VALUE(stable[qno]),0))</f>
        <v>0</v>
      </c>
      <c r="R808" s="9" t="b" cm="1">
        <f t="array" ref="R808">INDEX(stable[is_skip_logic],MATCH(VALUE(questions[[#This Row],[qno]]),VALUE(stable[qno]),0))</f>
        <v>0</v>
      </c>
      <c r="S808" s="9" t="str">
        <f>_xlfn.TEXTJOIN(", ",TRUE,questions[[#This Row],[ans_opt_1]:[ans_opt_14]])</f>
        <v/>
      </c>
      <c r="AH808" s="16" t="b">
        <f>INDEX(stable[q_standard],MATCH(questions[[#This Row],[qno]],stable[qno],0))</f>
        <v>1</v>
      </c>
      <c r="AI808" s="16" t="b">
        <f>INDEX(stable[q_living_income],MATCH(questions[[#This Row],[qno]],stable[qno],0))</f>
        <v>0</v>
      </c>
      <c r="AJ808" s="16" t="b">
        <f>INDEX(stable[q_carbon],MATCH(questions[[#This Row],[qno]],stable[qno],0))</f>
        <v>0</v>
      </c>
      <c r="AK808" s="16" t="b">
        <f>INDEX(stable[q_regen_ag],MATCH(questions[[#This Row],[qno]],stable[qno],0))</f>
        <v>0</v>
      </c>
      <c r="AL808" s="16" t="b">
        <f>COUNTIFS(stable[qno],questions[[#This Row],[qno]])=1</f>
        <v>1</v>
      </c>
      <c r="AM808" s="16" t="b">
        <f>OR(questions[[#This Row],[is_fixed]],questions[[#This Row],[is_localized]],questions[[#This Row],[is_supply_chain_dependent]])</f>
        <v>1</v>
      </c>
      <c r="AN808" s="16" t="b">
        <f>COUNTIFS(questions[[#This Row],[is_automated]:[is_multi_select]],TRUE)=1</f>
        <v>1</v>
      </c>
      <c r="AO808" s="16" t="b">
        <f>IF(questions[[#This Row],[is_fixed]],questions[[#This Row],[question]]=INDEX(stable[question],MATCH(questions[[#This Row],[qno]],stable[qno],0)),TRUE)</f>
        <v>1</v>
      </c>
      <c r="AP808" s="16" t="str">
        <f>LEFT(questions[[#This Row],[question]],similarity_range)</f>
        <v>Supply chain</v>
      </c>
      <c r="AQ808" s="16" t="str">
        <f>LEFT(INDEX(stable[question],MATCH(questions[[#This Row],[qno]],stable[qno],0)),similarity_range)</f>
        <v>Supply chain</v>
      </c>
      <c r="AR808" s="16" t="b">
        <f>questions[[#This Row],[question_first_characters]]=questions[[#This Row],[stability_first_characters]]</f>
        <v>1</v>
      </c>
      <c r="AS808" s="16" t="b">
        <f>IF(OR(questions[[#This Row],[is_single_select]],questions[[#This Row],[is_multi_select]]),NOT(ISBLANK(questions[[#This Row],[answer_opt_combined]])),TRUE)</f>
        <v>1</v>
      </c>
    </row>
    <row r="809" spans="1:45" ht="15.75" customHeight="1" x14ac:dyDescent="0.25">
      <c r="A809" s="9" t="str">
        <f>_xlfn.TEXTJOIN("_",TRUE,questions[[#This Row],[origin]:[qno]])</f>
        <v>Uganda_Robusta_Nespresso_1003</v>
      </c>
      <c r="B809" s="9" t="s">
        <v>511</v>
      </c>
      <c r="C809" s="9" t="s">
        <v>674</v>
      </c>
      <c r="D809" s="9" t="s">
        <v>864</v>
      </c>
      <c r="F809" s="24" t="s">
        <v>67</v>
      </c>
      <c r="G809" s="15" t="s">
        <v>68</v>
      </c>
      <c r="H809" s="9" t="str" cm="1">
        <f t="array" ref="H809">INDEX(stableR[question],MATCH(VALUE(questions[[#This Row],[qno]]),VALUE(stableR[qno]),0))</f>
        <v>Year</v>
      </c>
      <c r="I809" s="9" t="b" cm="1">
        <f t="array" ref="I809">INDEX(stable[is_fixed],MATCH(VALUE(questions[[#This Row],[qno]]),VALUE(stable[qno]),0))</f>
        <v>1</v>
      </c>
      <c r="J809" s="9" t="b" cm="1">
        <f t="array" ref="J809">INDEX(stable[is_localized],MATCH(VALUE(questions[[#This Row],[qno]]),VALUE(stable[qno]),0))</f>
        <v>0</v>
      </c>
      <c r="K809" s="9" t="b" cm="1">
        <f t="array" ref="K809">INDEX(stable[is_supply_chain_dependent],MATCH(VALUE(questions[[#This Row],[qno]]),VALUE(stable[qno]),0))</f>
        <v>0</v>
      </c>
      <c r="L809" s="9" t="b" cm="1">
        <f t="array" ref="L809">INDEX(stable[is_mandatory],MATCH(VALUE(questions[[#This Row],[qno]]),VALUE(stable[qno]),0))</f>
        <v>1</v>
      </c>
      <c r="M809" s="9" t="b" cm="1">
        <f t="array" ref="M809">INDEX(stable[is_automated],MATCH(VALUE(questions[[#This Row],[qno]]),VALUE(stable[qno]),0))</f>
        <v>1</v>
      </c>
      <c r="N809" s="9" t="b" cm="1">
        <f t="array" ref="N809">INDEX(stable[is_free_text],MATCH(VALUE(questions[[#This Row],[qno]]),VALUE(stable[qno]),0))</f>
        <v>0</v>
      </c>
      <c r="O809" s="9" t="b" cm="1">
        <f t="array" ref="O809">INDEX(stable[is_numerical],MATCH(VALUE(questions[[#This Row],[qno]]),VALUE(stable[qno]),0))</f>
        <v>0</v>
      </c>
      <c r="P809" s="9" t="b" cm="1">
        <f t="array" ref="P809">INDEX(stable[is_single_select],MATCH(VALUE(questions[[#This Row],[qno]]),VALUE(stable[qno]),0))</f>
        <v>0</v>
      </c>
      <c r="Q809" s="9" t="b" cm="1">
        <f t="array" ref="Q809">INDEX(stable[is_multi_select],MATCH(VALUE(questions[[#This Row],[qno]]),VALUE(stable[qno]),0))</f>
        <v>0</v>
      </c>
      <c r="R809" s="9" t="b" cm="1">
        <f t="array" ref="R809">INDEX(stable[is_skip_logic],MATCH(VALUE(questions[[#This Row],[qno]]),VALUE(stable[qno]),0))</f>
        <v>0</v>
      </c>
      <c r="S809" s="9" t="str">
        <f>_xlfn.TEXTJOIN(", ",TRUE,questions[[#This Row],[ans_opt_1]:[ans_opt_14]])</f>
        <v/>
      </c>
      <c r="AH809" s="16" t="b">
        <f>INDEX(stable[q_standard],MATCH(questions[[#This Row],[qno]],stable[qno],0))</f>
        <v>1</v>
      </c>
      <c r="AI809" s="16" t="b">
        <f>INDEX(stable[q_living_income],MATCH(questions[[#This Row],[qno]],stable[qno],0))</f>
        <v>0</v>
      </c>
      <c r="AJ809" s="16" t="b">
        <f>INDEX(stable[q_carbon],MATCH(questions[[#This Row],[qno]],stable[qno],0))</f>
        <v>0</v>
      </c>
      <c r="AK809" s="16" t="b">
        <f>INDEX(stable[q_regen_ag],MATCH(questions[[#This Row],[qno]],stable[qno],0))</f>
        <v>0</v>
      </c>
      <c r="AL809" s="16" t="b">
        <f>COUNTIFS(stable[qno],questions[[#This Row],[qno]])=1</f>
        <v>1</v>
      </c>
      <c r="AM809" s="16" t="b">
        <f>OR(questions[[#This Row],[is_fixed]],questions[[#This Row],[is_localized]],questions[[#This Row],[is_supply_chain_dependent]])</f>
        <v>1</v>
      </c>
      <c r="AN809" s="16" t="b">
        <f>COUNTIFS(questions[[#This Row],[is_automated]:[is_multi_select]],TRUE)=1</f>
        <v>1</v>
      </c>
      <c r="AO809" s="16" t="b">
        <f>IF(questions[[#This Row],[is_fixed]],questions[[#This Row],[question]]=INDEX(stable[question],MATCH(questions[[#This Row],[qno]],stable[qno],0)),TRUE)</f>
        <v>1</v>
      </c>
      <c r="AP809" s="16" t="str">
        <f>LEFT(questions[[#This Row],[question]],similarity_range)</f>
        <v>Year</v>
      </c>
      <c r="AQ809" s="16" t="str">
        <f>LEFT(INDEX(stable[question],MATCH(questions[[#This Row],[qno]],stable[qno],0)),similarity_range)</f>
        <v>Year</v>
      </c>
      <c r="AR809" s="16" t="b">
        <f>questions[[#This Row],[question_first_characters]]=questions[[#This Row],[stability_first_characters]]</f>
        <v>1</v>
      </c>
      <c r="AS809" s="16" t="b">
        <f>IF(OR(questions[[#This Row],[is_single_select]],questions[[#This Row],[is_multi_select]]),NOT(ISBLANK(questions[[#This Row],[answer_opt_combined]])),TRUE)</f>
        <v>1</v>
      </c>
    </row>
    <row r="810" spans="1:45" ht="15.75" customHeight="1" x14ac:dyDescent="0.25">
      <c r="A810" s="9" t="str">
        <f>_xlfn.TEXTJOIN("_",TRUE,questions[[#This Row],[origin]:[qno]])</f>
        <v>Uganda_Robusta_Nespresso_1104</v>
      </c>
      <c r="B810" s="9" t="s">
        <v>511</v>
      </c>
      <c r="C810" s="9" t="s">
        <v>674</v>
      </c>
      <c r="D810" s="9" t="s">
        <v>864</v>
      </c>
      <c r="F810" s="24" t="s">
        <v>69</v>
      </c>
      <c r="G810" s="15" t="s">
        <v>70</v>
      </c>
      <c r="H810" s="9" t="str" cm="1">
        <f t="array" ref="H810">INDEX(stableR[question],MATCH(VALUE(questions[[#This Row],[qno]]),VALUE(stableR[qno]),0))</f>
        <v>Managed by</v>
      </c>
      <c r="I810" s="9" t="b" cm="1">
        <f t="array" ref="I810">INDEX(stable[is_fixed],MATCH(VALUE(questions[[#This Row],[qno]]),VALUE(stable[qno]),0))</f>
        <v>1</v>
      </c>
      <c r="J810" s="9" t="b" cm="1">
        <f t="array" ref="J810">INDEX(stable[is_localized],MATCH(VALUE(questions[[#This Row],[qno]]),VALUE(stable[qno]),0))</f>
        <v>0</v>
      </c>
      <c r="K810" s="9" t="b" cm="1">
        <f t="array" ref="K810">INDEX(stable[is_supply_chain_dependent],MATCH(VALUE(questions[[#This Row],[qno]]),VALUE(stable[qno]),0))</f>
        <v>0</v>
      </c>
      <c r="L810" s="9" t="b" cm="1">
        <f t="array" ref="L810">INDEX(stable[is_mandatory],MATCH(VALUE(questions[[#This Row],[qno]]),VALUE(stable[qno]),0))</f>
        <v>1</v>
      </c>
      <c r="M810" s="9" t="b" cm="1">
        <f t="array" ref="M810">INDEX(stable[is_automated],MATCH(VALUE(questions[[#This Row],[qno]]),VALUE(stable[qno]),0))</f>
        <v>1</v>
      </c>
      <c r="N810" s="9" t="b" cm="1">
        <f t="array" ref="N810">INDEX(stable[is_free_text],MATCH(VALUE(questions[[#This Row],[qno]]),VALUE(stable[qno]),0))</f>
        <v>0</v>
      </c>
      <c r="O810" s="9" t="b" cm="1">
        <f t="array" ref="O810">INDEX(stable[is_numerical],MATCH(VALUE(questions[[#This Row],[qno]]),VALUE(stable[qno]),0))</f>
        <v>0</v>
      </c>
      <c r="P810" s="9" t="b" cm="1">
        <f t="array" ref="P810">INDEX(stable[is_single_select],MATCH(VALUE(questions[[#This Row],[qno]]),VALUE(stable[qno]),0))</f>
        <v>0</v>
      </c>
      <c r="Q810" s="9" t="b" cm="1">
        <f t="array" ref="Q810">INDEX(stable[is_multi_select],MATCH(VALUE(questions[[#This Row],[qno]]),VALUE(stable[qno]),0))</f>
        <v>0</v>
      </c>
      <c r="R810" s="9" t="b" cm="1">
        <f t="array" ref="R810">INDEX(stable[is_skip_logic],MATCH(VALUE(questions[[#This Row],[qno]]),VALUE(stable[qno]),0))</f>
        <v>0</v>
      </c>
      <c r="S810" s="9" t="str">
        <f>_xlfn.TEXTJOIN(", ",TRUE,questions[[#This Row],[ans_opt_1]:[ans_opt_14]])</f>
        <v/>
      </c>
      <c r="AH810" s="16" t="b">
        <f>INDEX(stable[q_standard],MATCH(questions[[#This Row],[qno]],stable[qno],0))</f>
        <v>1</v>
      </c>
      <c r="AI810" s="16" t="b">
        <f>INDEX(stable[q_living_income],MATCH(questions[[#This Row],[qno]],stable[qno],0))</f>
        <v>0</v>
      </c>
      <c r="AJ810" s="16" t="b">
        <f>INDEX(stable[q_carbon],MATCH(questions[[#This Row],[qno]],stable[qno],0))</f>
        <v>0</v>
      </c>
      <c r="AK810" s="16" t="b">
        <f>INDEX(stable[q_regen_ag],MATCH(questions[[#This Row],[qno]],stable[qno],0))</f>
        <v>0</v>
      </c>
      <c r="AL810" s="16" t="b">
        <f>COUNTIFS(stable[qno],questions[[#This Row],[qno]])=1</f>
        <v>1</v>
      </c>
      <c r="AM810" s="16" t="b">
        <f>OR(questions[[#This Row],[is_fixed]],questions[[#This Row],[is_localized]],questions[[#This Row],[is_supply_chain_dependent]])</f>
        <v>1</v>
      </c>
      <c r="AN810" s="16" t="b">
        <f>COUNTIFS(questions[[#This Row],[is_automated]:[is_multi_select]],TRUE)=1</f>
        <v>1</v>
      </c>
      <c r="AO810" s="16" t="b">
        <f>IF(questions[[#This Row],[is_fixed]],questions[[#This Row],[question]]=INDEX(stable[question],MATCH(questions[[#This Row],[qno]],stable[qno],0)),TRUE)</f>
        <v>1</v>
      </c>
      <c r="AP810" s="16" t="str">
        <f>LEFT(questions[[#This Row],[question]],similarity_range)</f>
        <v>Managed by</v>
      </c>
      <c r="AQ810" s="16" t="str">
        <f>LEFT(INDEX(stable[question],MATCH(questions[[#This Row],[qno]],stable[qno],0)),similarity_range)</f>
        <v>Managed by</v>
      </c>
      <c r="AR810" s="16" t="b">
        <f>questions[[#This Row],[question_first_characters]]=questions[[#This Row],[stability_first_characters]]</f>
        <v>1</v>
      </c>
      <c r="AS810" s="16" t="b">
        <f>IF(OR(questions[[#This Row],[is_single_select]],questions[[#This Row],[is_multi_select]]),NOT(ISBLANK(questions[[#This Row],[answer_opt_combined]])),TRUE)</f>
        <v>1</v>
      </c>
    </row>
    <row r="811" spans="1:45" ht="15.75" customHeight="1" x14ac:dyDescent="0.25">
      <c r="A811" s="9" t="str">
        <f>_xlfn.TEXTJOIN("_",TRUE,questions[[#This Row],[origin]:[qno]])</f>
        <v>Uganda_Robusta_Nespresso_1105</v>
      </c>
      <c r="B811" s="9" t="s">
        <v>511</v>
      </c>
      <c r="C811" s="9" t="s">
        <v>674</v>
      </c>
      <c r="D811" s="9" t="s">
        <v>864</v>
      </c>
      <c r="F811" s="24" t="s">
        <v>71</v>
      </c>
      <c r="G811" s="15" t="s">
        <v>72</v>
      </c>
      <c r="H811" s="9" t="str" cm="1">
        <f t="array" ref="H811">INDEX(stableR[question],MATCH(VALUE(questions[[#This Row],[qno]]),VALUE(stableR[qno]),0))</f>
        <v>Field staff(s)</v>
      </c>
      <c r="I811" s="9" t="b" cm="1">
        <f t="array" ref="I811">INDEX(stable[is_fixed],MATCH(VALUE(questions[[#This Row],[qno]]),VALUE(stable[qno]),0))</f>
        <v>1</v>
      </c>
      <c r="J811" s="9" t="b" cm="1">
        <f t="array" ref="J811">INDEX(stable[is_localized],MATCH(VALUE(questions[[#This Row],[qno]]),VALUE(stable[qno]),0))</f>
        <v>0</v>
      </c>
      <c r="K811" s="9" t="b" cm="1">
        <f t="array" ref="K811">INDEX(stable[is_supply_chain_dependent],MATCH(VALUE(questions[[#This Row],[qno]]),VALUE(stable[qno]),0))</f>
        <v>0</v>
      </c>
      <c r="L811" s="9" t="b" cm="1">
        <f t="array" ref="L811">INDEX(stable[is_mandatory],MATCH(VALUE(questions[[#This Row],[qno]]),VALUE(stable[qno]),0))</f>
        <v>1</v>
      </c>
      <c r="M811" s="9" t="b" cm="1">
        <f t="array" ref="M811">INDEX(stable[is_automated],MATCH(VALUE(questions[[#This Row],[qno]]),VALUE(stable[qno]),0))</f>
        <v>1</v>
      </c>
      <c r="N811" s="9" t="b" cm="1">
        <f t="array" ref="N811">INDEX(stable[is_free_text],MATCH(VALUE(questions[[#This Row],[qno]]),VALUE(stable[qno]),0))</f>
        <v>0</v>
      </c>
      <c r="O811" s="9" t="b" cm="1">
        <f t="array" ref="O811">INDEX(stable[is_numerical],MATCH(VALUE(questions[[#This Row],[qno]]),VALUE(stable[qno]),0))</f>
        <v>0</v>
      </c>
      <c r="P811" s="9" t="b" cm="1">
        <f t="array" ref="P811">INDEX(stable[is_single_select],MATCH(VALUE(questions[[#This Row],[qno]]),VALUE(stable[qno]),0))</f>
        <v>0</v>
      </c>
      <c r="Q811" s="9" t="b" cm="1">
        <f t="array" ref="Q811">INDEX(stable[is_multi_select],MATCH(VALUE(questions[[#This Row],[qno]]),VALUE(stable[qno]),0))</f>
        <v>0</v>
      </c>
      <c r="R811" s="9" t="b" cm="1">
        <f t="array" ref="R811">INDEX(stable[is_skip_logic],MATCH(VALUE(questions[[#This Row],[qno]]),VALUE(stable[qno]),0))</f>
        <v>0</v>
      </c>
      <c r="S811" s="9" t="str">
        <f>_xlfn.TEXTJOIN(", ",TRUE,questions[[#This Row],[ans_opt_1]:[ans_opt_14]])</f>
        <v/>
      </c>
      <c r="AH811" s="16" t="b">
        <f>INDEX(stable[q_standard],MATCH(questions[[#This Row],[qno]],stable[qno],0))</f>
        <v>1</v>
      </c>
      <c r="AI811" s="16" t="b">
        <f>INDEX(stable[q_living_income],MATCH(questions[[#This Row],[qno]],stable[qno],0))</f>
        <v>0</v>
      </c>
      <c r="AJ811" s="16" t="b">
        <f>INDEX(stable[q_carbon],MATCH(questions[[#This Row],[qno]],stable[qno],0))</f>
        <v>0</v>
      </c>
      <c r="AK811" s="16" t="b">
        <f>INDEX(stable[q_regen_ag],MATCH(questions[[#This Row],[qno]],stable[qno],0))</f>
        <v>0</v>
      </c>
      <c r="AL811" s="16" t="b">
        <f>COUNTIFS(stable[qno],questions[[#This Row],[qno]])=1</f>
        <v>1</v>
      </c>
      <c r="AM811" s="16" t="b">
        <f>OR(questions[[#This Row],[is_fixed]],questions[[#This Row],[is_localized]],questions[[#This Row],[is_supply_chain_dependent]])</f>
        <v>1</v>
      </c>
      <c r="AN811" s="16" t="b">
        <f>COUNTIFS(questions[[#This Row],[is_automated]:[is_multi_select]],TRUE)=1</f>
        <v>1</v>
      </c>
      <c r="AO811" s="16" t="b">
        <f>IF(questions[[#This Row],[is_fixed]],questions[[#This Row],[question]]=INDEX(stable[question],MATCH(questions[[#This Row],[qno]],stable[qno],0)),TRUE)</f>
        <v>1</v>
      </c>
      <c r="AP811" s="16" t="str">
        <f>LEFT(questions[[#This Row],[question]],similarity_range)</f>
        <v>Field staff(s)</v>
      </c>
      <c r="AQ811" s="16" t="str">
        <f>LEFT(INDEX(stable[question],MATCH(questions[[#This Row],[qno]],stable[qno],0)),similarity_range)</f>
        <v>Field staff(s)</v>
      </c>
      <c r="AR811" s="16" t="b">
        <f>questions[[#This Row],[question_first_characters]]=questions[[#This Row],[stability_first_characters]]</f>
        <v>1</v>
      </c>
      <c r="AS811" s="16" t="b">
        <f>IF(OR(questions[[#This Row],[is_single_select]],questions[[#This Row],[is_multi_select]]),NOT(ISBLANK(questions[[#This Row],[answer_opt_combined]])),TRUE)</f>
        <v>1</v>
      </c>
    </row>
    <row r="812" spans="1:45" ht="15.75" customHeight="1" x14ac:dyDescent="0.25">
      <c r="A812" s="9" t="str">
        <f>_xlfn.TEXTJOIN("_",TRUE,questions[[#This Row],[origin]:[qno]])</f>
        <v>Uganda_Robusta_Nespresso_1106</v>
      </c>
      <c r="B812" s="9" t="s">
        <v>511</v>
      </c>
      <c r="C812" s="9" t="s">
        <v>674</v>
      </c>
      <c r="D812" s="9" t="s">
        <v>864</v>
      </c>
      <c r="F812" s="24" t="s">
        <v>73</v>
      </c>
      <c r="G812" s="15" t="s">
        <v>74</v>
      </c>
      <c r="H812" s="9" t="str" cm="1">
        <f t="array" ref="H812">INDEX(stableR[question],MATCH(VALUE(questions[[#This Row],[qno]]),VALUE(stableR[qno]),0))</f>
        <v>Completion Date</v>
      </c>
      <c r="I812" s="9" t="b" cm="1">
        <f t="array" ref="I812">INDEX(stable[is_fixed],MATCH(VALUE(questions[[#This Row],[qno]]),VALUE(stable[qno]),0))</f>
        <v>1</v>
      </c>
      <c r="J812" s="9" t="b" cm="1">
        <f t="array" ref="J812">INDEX(stable[is_localized],MATCH(VALUE(questions[[#This Row],[qno]]),VALUE(stable[qno]),0))</f>
        <v>0</v>
      </c>
      <c r="K812" s="9" t="b" cm="1">
        <f t="array" ref="K812">INDEX(stable[is_supply_chain_dependent],MATCH(VALUE(questions[[#This Row],[qno]]),VALUE(stable[qno]),0))</f>
        <v>0</v>
      </c>
      <c r="L812" s="9" t="b" cm="1">
        <f t="array" ref="L812">INDEX(stable[is_mandatory],MATCH(VALUE(questions[[#This Row],[qno]]),VALUE(stable[qno]),0))</f>
        <v>1</v>
      </c>
      <c r="M812" s="9" t="b" cm="1">
        <f t="array" ref="M812">INDEX(stable[is_automated],MATCH(VALUE(questions[[#This Row],[qno]]),VALUE(stable[qno]),0))</f>
        <v>1</v>
      </c>
      <c r="N812" s="9" t="b" cm="1">
        <f t="array" ref="N812">INDEX(stable[is_free_text],MATCH(VALUE(questions[[#This Row],[qno]]),VALUE(stable[qno]),0))</f>
        <v>0</v>
      </c>
      <c r="O812" s="9" t="b" cm="1">
        <f t="array" ref="O812">INDEX(stable[is_numerical],MATCH(VALUE(questions[[#This Row],[qno]]),VALUE(stable[qno]),0))</f>
        <v>0</v>
      </c>
      <c r="P812" s="9" t="b" cm="1">
        <f t="array" ref="P812">INDEX(stable[is_single_select],MATCH(VALUE(questions[[#This Row],[qno]]),VALUE(stable[qno]),0))</f>
        <v>0</v>
      </c>
      <c r="Q812" s="9" t="b" cm="1">
        <f t="array" ref="Q812">INDEX(stable[is_multi_select],MATCH(VALUE(questions[[#This Row],[qno]]),VALUE(stable[qno]),0))</f>
        <v>0</v>
      </c>
      <c r="R812" s="9" t="b" cm="1">
        <f t="array" ref="R812">INDEX(stable[is_skip_logic],MATCH(VALUE(questions[[#This Row],[qno]]),VALUE(stable[qno]),0))</f>
        <v>0</v>
      </c>
      <c r="S812" s="9" t="str">
        <f>_xlfn.TEXTJOIN(", ",TRUE,questions[[#This Row],[ans_opt_1]:[ans_opt_14]])</f>
        <v/>
      </c>
      <c r="AH812" s="16" t="b">
        <f>INDEX(stable[q_standard],MATCH(questions[[#This Row],[qno]],stable[qno],0))</f>
        <v>1</v>
      </c>
      <c r="AI812" s="16" t="b">
        <f>INDEX(stable[q_living_income],MATCH(questions[[#This Row],[qno]],stable[qno],0))</f>
        <v>0</v>
      </c>
      <c r="AJ812" s="16" t="b">
        <f>INDEX(stable[q_carbon],MATCH(questions[[#This Row],[qno]],stable[qno],0))</f>
        <v>0</v>
      </c>
      <c r="AK812" s="16" t="b">
        <f>INDEX(stable[q_regen_ag],MATCH(questions[[#This Row],[qno]],stable[qno],0))</f>
        <v>0</v>
      </c>
      <c r="AL812" s="16" t="b">
        <f>COUNTIFS(stable[qno],questions[[#This Row],[qno]])=1</f>
        <v>1</v>
      </c>
      <c r="AM812" s="16" t="b">
        <f>OR(questions[[#This Row],[is_fixed]],questions[[#This Row],[is_localized]],questions[[#This Row],[is_supply_chain_dependent]])</f>
        <v>1</v>
      </c>
      <c r="AN812" s="16" t="b">
        <f>COUNTIFS(questions[[#This Row],[is_automated]:[is_multi_select]],TRUE)=1</f>
        <v>1</v>
      </c>
      <c r="AO812" s="16" t="b">
        <f>IF(questions[[#This Row],[is_fixed]],questions[[#This Row],[question]]=INDEX(stable[question],MATCH(questions[[#This Row],[qno]],stable[qno],0)),TRUE)</f>
        <v>1</v>
      </c>
      <c r="AP812" s="16" t="str">
        <f>LEFT(questions[[#This Row],[question]],similarity_range)</f>
        <v>Completion Date</v>
      </c>
      <c r="AQ812" s="16" t="str">
        <f>LEFT(INDEX(stable[question],MATCH(questions[[#This Row],[qno]],stable[qno],0)),similarity_range)</f>
        <v>Completion Date</v>
      </c>
      <c r="AR812" s="16" t="b">
        <f>questions[[#This Row],[question_first_characters]]=questions[[#This Row],[stability_first_characters]]</f>
        <v>1</v>
      </c>
      <c r="AS812" s="16" t="b">
        <f>IF(OR(questions[[#This Row],[is_single_select]],questions[[#This Row],[is_multi_select]]),NOT(ISBLANK(questions[[#This Row],[answer_opt_combined]])),TRUE)</f>
        <v>1</v>
      </c>
    </row>
    <row r="813" spans="1:45" ht="15.75" customHeight="1" x14ac:dyDescent="0.25">
      <c r="A813" s="9" t="str">
        <f>_xlfn.TEXTJOIN("_",TRUE,questions[[#This Row],[origin]:[qno]])</f>
        <v>Uganda_Robusta_Nespresso_1110</v>
      </c>
      <c r="B813" s="9" t="s">
        <v>511</v>
      </c>
      <c r="C813" s="9" t="s">
        <v>674</v>
      </c>
      <c r="D813" s="9" t="s">
        <v>864</v>
      </c>
      <c r="F813" s="24" t="s">
        <v>75</v>
      </c>
      <c r="G813" s="15" t="s">
        <v>76</v>
      </c>
      <c r="H813" s="9" t="str" cm="1">
        <f t="array" ref="H813">INDEX(stableR[question],MATCH(VALUE(questions[[#This Row],[qno]]),VALUE(stableR[qno]),0))</f>
        <v>Approved / Rejected By</v>
      </c>
      <c r="I813" s="9" t="b" cm="1">
        <f t="array" ref="I813">INDEX(stable[is_fixed],MATCH(VALUE(questions[[#This Row],[qno]]),VALUE(stable[qno]),0))</f>
        <v>1</v>
      </c>
      <c r="J813" s="9" t="b" cm="1">
        <f t="array" ref="J813">INDEX(stable[is_localized],MATCH(VALUE(questions[[#This Row],[qno]]),VALUE(stable[qno]),0))</f>
        <v>0</v>
      </c>
      <c r="K813" s="9" t="b" cm="1">
        <f t="array" ref="K813">INDEX(stable[is_supply_chain_dependent],MATCH(VALUE(questions[[#This Row],[qno]]),VALUE(stable[qno]),0))</f>
        <v>0</v>
      </c>
      <c r="L813" s="9" t="b" cm="1">
        <f t="array" ref="L813">INDEX(stable[is_mandatory],MATCH(VALUE(questions[[#This Row],[qno]]),VALUE(stable[qno]),0))</f>
        <v>1</v>
      </c>
      <c r="M813" s="9" t="b" cm="1">
        <f t="array" ref="M813">INDEX(stable[is_automated],MATCH(VALUE(questions[[#This Row],[qno]]),VALUE(stable[qno]),0))</f>
        <v>1</v>
      </c>
      <c r="N813" s="9" t="b" cm="1">
        <f t="array" ref="N813">INDEX(stable[is_free_text],MATCH(VALUE(questions[[#This Row],[qno]]),VALUE(stable[qno]),0))</f>
        <v>0</v>
      </c>
      <c r="O813" s="9" t="b" cm="1">
        <f t="array" ref="O813">INDEX(stable[is_numerical],MATCH(VALUE(questions[[#This Row],[qno]]),VALUE(stable[qno]),0))</f>
        <v>0</v>
      </c>
      <c r="P813" s="9" t="b" cm="1">
        <f t="array" ref="P813">INDEX(stable[is_single_select],MATCH(VALUE(questions[[#This Row],[qno]]),VALUE(stable[qno]),0))</f>
        <v>0</v>
      </c>
      <c r="Q813" s="9" t="b" cm="1">
        <f t="array" ref="Q813">INDEX(stable[is_multi_select],MATCH(VALUE(questions[[#This Row],[qno]]),VALUE(stable[qno]),0))</f>
        <v>0</v>
      </c>
      <c r="R813" s="9" t="b" cm="1">
        <f t="array" ref="R813">INDEX(stable[is_skip_logic],MATCH(VALUE(questions[[#This Row],[qno]]),VALUE(stable[qno]),0))</f>
        <v>0</v>
      </c>
      <c r="S813" s="9" t="str">
        <f>_xlfn.TEXTJOIN(", ",TRUE,questions[[#This Row],[ans_opt_1]:[ans_opt_14]])</f>
        <v/>
      </c>
      <c r="AH813" s="16" t="b">
        <f>INDEX(stable[q_standard],MATCH(questions[[#This Row],[qno]],stable[qno],0))</f>
        <v>1</v>
      </c>
      <c r="AI813" s="16" t="b">
        <f>INDEX(stable[q_living_income],MATCH(questions[[#This Row],[qno]],stable[qno],0))</f>
        <v>0</v>
      </c>
      <c r="AJ813" s="16" t="b">
        <f>INDEX(stable[q_carbon],MATCH(questions[[#This Row],[qno]],stable[qno],0))</f>
        <v>0</v>
      </c>
      <c r="AK813" s="16" t="b">
        <f>INDEX(stable[q_regen_ag],MATCH(questions[[#This Row],[qno]],stable[qno],0))</f>
        <v>0</v>
      </c>
      <c r="AL813" s="16" t="b">
        <f>COUNTIFS(stable[qno],questions[[#This Row],[qno]])=1</f>
        <v>1</v>
      </c>
      <c r="AM813" s="16" t="b">
        <f>OR(questions[[#This Row],[is_fixed]],questions[[#This Row],[is_localized]],questions[[#This Row],[is_supply_chain_dependent]])</f>
        <v>1</v>
      </c>
      <c r="AN813" s="16" t="b">
        <f>COUNTIFS(questions[[#This Row],[is_automated]:[is_multi_select]],TRUE)=1</f>
        <v>1</v>
      </c>
      <c r="AO813" s="16" t="b">
        <f>IF(questions[[#This Row],[is_fixed]],questions[[#This Row],[question]]=INDEX(stable[question],MATCH(questions[[#This Row],[qno]],stable[qno],0)),TRUE)</f>
        <v>1</v>
      </c>
      <c r="AP813" s="16" t="str">
        <f>LEFT(questions[[#This Row],[question]],similarity_range)</f>
        <v xml:space="preserve">Approved / Rejected </v>
      </c>
      <c r="AQ813" s="16" t="str">
        <f>LEFT(INDEX(stable[question],MATCH(questions[[#This Row],[qno]],stable[qno],0)),similarity_range)</f>
        <v xml:space="preserve">Approved / Rejected </v>
      </c>
      <c r="AR813" s="16" t="b">
        <f>questions[[#This Row],[question_first_characters]]=questions[[#This Row],[stability_first_characters]]</f>
        <v>1</v>
      </c>
      <c r="AS813" s="16" t="b">
        <f>IF(OR(questions[[#This Row],[is_single_select]],questions[[#This Row],[is_multi_select]]),NOT(ISBLANK(questions[[#This Row],[answer_opt_combined]])),TRUE)</f>
        <v>1</v>
      </c>
    </row>
    <row r="814" spans="1:45" ht="15.75" customHeight="1" x14ac:dyDescent="0.25">
      <c r="A814" s="9" t="str">
        <f>_xlfn.TEXTJOIN("_",TRUE,questions[[#This Row],[origin]:[qno]])</f>
        <v>Uganda_Robusta_Nespresso_1111</v>
      </c>
      <c r="B814" s="9" t="s">
        <v>511</v>
      </c>
      <c r="C814" s="9" t="s">
        <v>674</v>
      </c>
      <c r="D814" s="9" t="s">
        <v>864</v>
      </c>
      <c r="F814" s="24" t="s">
        <v>77</v>
      </c>
      <c r="G814" s="15" t="s">
        <v>78</v>
      </c>
      <c r="H814" s="9" t="str" cm="1">
        <f t="array" ref="H814">INDEX(stableR[question],MATCH(VALUE(questions[[#This Row],[qno]]),VALUE(stableR[qno]),0))</f>
        <v>Approved / Rejected Date</v>
      </c>
      <c r="I814" s="9" t="b" cm="1">
        <f t="array" ref="I814">INDEX(stable[is_fixed],MATCH(VALUE(questions[[#This Row],[qno]]),VALUE(stable[qno]),0))</f>
        <v>1</v>
      </c>
      <c r="J814" s="9" t="b" cm="1">
        <f t="array" ref="J814">INDEX(stable[is_localized],MATCH(VALUE(questions[[#This Row],[qno]]),VALUE(stable[qno]),0))</f>
        <v>0</v>
      </c>
      <c r="K814" s="9" t="b" cm="1">
        <f t="array" ref="K814">INDEX(stable[is_supply_chain_dependent],MATCH(VALUE(questions[[#This Row],[qno]]),VALUE(stable[qno]),0))</f>
        <v>0</v>
      </c>
      <c r="L814" s="9" t="b" cm="1">
        <f t="array" ref="L814">INDEX(stable[is_mandatory],MATCH(VALUE(questions[[#This Row],[qno]]),VALUE(stable[qno]),0))</f>
        <v>1</v>
      </c>
      <c r="M814" s="9" t="b" cm="1">
        <f t="array" ref="M814">INDEX(stable[is_automated],MATCH(VALUE(questions[[#This Row],[qno]]),VALUE(stable[qno]),0))</f>
        <v>1</v>
      </c>
      <c r="N814" s="9" t="b" cm="1">
        <f t="array" ref="N814">INDEX(stable[is_free_text],MATCH(VALUE(questions[[#This Row],[qno]]),VALUE(stable[qno]),0))</f>
        <v>0</v>
      </c>
      <c r="O814" s="9" t="b" cm="1">
        <f t="array" ref="O814">INDEX(stable[is_numerical],MATCH(VALUE(questions[[#This Row],[qno]]),VALUE(stable[qno]),0))</f>
        <v>0</v>
      </c>
      <c r="P814" s="9" t="b" cm="1">
        <f t="array" ref="P814">INDEX(stable[is_single_select],MATCH(VALUE(questions[[#This Row],[qno]]),VALUE(stable[qno]),0))</f>
        <v>0</v>
      </c>
      <c r="Q814" s="9" t="b" cm="1">
        <f t="array" ref="Q814">INDEX(stable[is_multi_select],MATCH(VALUE(questions[[#This Row],[qno]]),VALUE(stable[qno]),0))</f>
        <v>0</v>
      </c>
      <c r="R814" s="9" t="b" cm="1">
        <f t="array" ref="R814">INDEX(stable[is_skip_logic],MATCH(VALUE(questions[[#This Row],[qno]]),VALUE(stable[qno]),0))</f>
        <v>0</v>
      </c>
      <c r="S814" s="9" t="str">
        <f>_xlfn.TEXTJOIN(", ",TRUE,questions[[#This Row],[ans_opt_1]:[ans_opt_14]])</f>
        <v/>
      </c>
      <c r="AH814" s="16" t="b">
        <f>INDEX(stable[q_standard],MATCH(questions[[#This Row],[qno]],stable[qno],0))</f>
        <v>1</v>
      </c>
      <c r="AI814" s="16" t="b">
        <f>INDEX(stable[q_living_income],MATCH(questions[[#This Row],[qno]],stable[qno],0))</f>
        <v>0</v>
      </c>
      <c r="AJ814" s="16" t="b">
        <f>INDEX(stable[q_carbon],MATCH(questions[[#This Row],[qno]],stable[qno],0))</f>
        <v>0</v>
      </c>
      <c r="AK814" s="16" t="b">
        <f>INDEX(stable[q_regen_ag],MATCH(questions[[#This Row],[qno]],stable[qno],0))</f>
        <v>0</v>
      </c>
      <c r="AL814" s="16" t="b">
        <f>COUNTIFS(stable[qno],questions[[#This Row],[qno]])=1</f>
        <v>1</v>
      </c>
      <c r="AM814" s="16" t="b">
        <f>OR(questions[[#This Row],[is_fixed]],questions[[#This Row],[is_localized]],questions[[#This Row],[is_supply_chain_dependent]])</f>
        <v>1</v>
      </c>
      <c r="AN814" s="16" t="b">
        <f>COUNTIFS(questions[[#This Row],[is_automated]:[is_multi_select]],TRUE)=1</f>
        <v>1</v>
      </c>
      <c r="AO814" s="16" t="b">
        <f>IF(questions[[#This Row],[is_fixed]],questions[[#This Row],[question]]=INDEX(stable[question],MATCH(questions[[#This Row],[qno]],stable[qno],0)),TRUE)</f>
        <v>1</v>
      </c>
      <c r="AP814" s="16" t="str">
        <f>LEFT(questions[[#This Row],[question]],similarity_range)</f>
        <v xml:space="preserve">Approved / Rejected </v>
      </c>
      <c r="AQ814" s="16" t="str">
        <f>LEFT(INDEX(stable[question],MATCH(questions[[#This Row],[qno]],stable[qno],0)),similarity_range)</f>
        <v xml:space="preserve">Approved / Rejected </v>
      </c>
      <c r="AR814" s="16" t="b">
        <f>questions[[#This Row],[question_first_characters]]=questions[[#This Row],[stability_first_characters]]</f>
        <v>1</v>
      </c>
      <c r="AS814" s="16" t="b">
        <f>IF(OR(questions[[#This Row],[is_single_select]],questions[[#This Row],[is_multi_select]]),NOT(ISBLANK(questions[[#This Row],[answer_opt_combined]])),TRUE)</f>
        <v>1</v>
      </c>
    </row>
    <row r="815" spans="1:45" ht="15.75" customHeight="1" x14ac:dyDescent="0.25">
      <c r="A815" s="9" t="str">
        <f>_xlfn.TEXTJOIN("_",TRUE,questions[[#This Row],[origin]:[qno]])</f>
        <v>Uganda_Robusta_Nespresso_1112</v>
      </c>
      <c r="B815" s="9" t="s">
        <v>511</v>
      </c>
      <c r="C815" s="9" t="s">
        <v>674</v>
      </c>
      <c r="D815" s="9" t="s">
        <v>864</v>
      </c>
      <c r="F815" s="24" t="s">
        <v>79</v>
      </c>
      <c r="G815" s="15" t="s">
        <v>80</v>
      </c>
      <c r="H815" s="9" t="str" cm="1">
        <f t="array" ref="H815">INDEX(stableR[question],MATCH(VALUE(questions[[#This Row],[qno]]),VALUE(stableR[qno]),0))</f>
        <v>Approval / Rejection Reason</v>
      </c>
      <c r="I815" s="9" t="b" cm="1">
        <f t="array" ref="I815">INDEX(stable[is_fixed],MATCH(VALUE(questions[[#This Row],[qno]]),VALUE(stable[qno]),0))</f>
        <v>1</v>
      </c>
      <c r="J815" s="9" t="b" cm="1">
        <f t="array" ref="J815">INDEX(stable[is_localized],MATCH(VALUE(questions[[#This Row],[qno]]),VALUE(stable[qno]),0))</f>
        <v>0</v>
      </c>
      <c r="K815" s="9" t="b" cm="1">
        <f t="array" ref="K815">INDEX(stable[is_supply_chain_dependent],MATCH(VALUE(questions[[#This Row],[qno]]),VALUE(stable[qno]),0))</f>
        <v>0</v>
      </c>
      <c r="L815" s="9" t="b" cm="1">
        <f t="array" ref="L815">INDEX(stable[is_mandatory],MATCH(VALUE(questions[[#This Row],[qno]]),VALUE(stable[qno]),0))</f>
        <v>1</v>
      </c>
      <c r="M815" s="9" t="b" cm="1">
        <f t="array" ref="M815">INDEX(stable[is_automated],MATCH(VALUE(questions[[#This Row],[qno]]),VALUE(stable[qno]),0))</f>
        <v>1</v>
      </c>
      <c r="N815" s="9" t="b" cm="1">
        <f t="array" ref="N815">INDEX(stable[is_free_text],MATCH(VALUE(questions[[#This Row],[qno]]),VALUE(stable[qno]),0))</f>
        <v>0</v>
      </c>
      <c r="O815" s="9" t="b" cm="1">
        <f t="array" ref="O815">INDEX(stable[is_numerical],MATCH(VALUE(questions[[#This Row],[qno]]),VALUE(stable[qno]),0))</f>
        <v>0</v>
      </c>
      <c r="P815" s="9" t="b" cm="1">
        <f t="array" ref="P815">INDEX(stable[is_single_select],MATCH(VALUE(questions[[#This Row],[qno]]),VALUE(stable[qno]),0))</f>
        <v>0</v>
      </c>
      <c r="Q815" s="9" t="b" cm="1">
        <f t="array" ref="Q815">INDEX(stable[is_multi_select],MATCH(VALUE(questions[[#This Row],[qno]]),VALUE(stable[qno]),0))</f>
        <v>0</v>
      </c>
      <c r="R815" s="9" t="b" cm="1">
        <f t="array" ref="R815">INDEX(stable[is_skip_logic],MATCH(VALUE(questions[[#This Row],[qno]]),VALUE(stable[qno]),0))</f>
        <v>0</v>
      </c>
      <c r="S815" s="9" t="str">
        <f>_xlfn.TEXTJOIN(", ",TRUE,questions[[#This Row],[ans_opt_1]:[ans_opt_14]])</f>
        <v/>
      </c>
      <c r="AH815" s="16" t="b">
        <f>INDEX(stable[q_standard],MATCH(questions[[#This Row],[qno]],stable[qno],0))</f>
        <v>1</v>
      </c>
      <c r="AI815" s="16" t="b">
        <f>INDEX(stable[q_living_income],MATCH(questions[[#This Row],[qno]],stable[qno],0))</f>
        <v>0</v>
      </c>
      <c r="AJ815" s="16" t="b">
        <f>INDEX(stable[q_carbon],MATCH(questions[[#This Row],[qno]],stable[qno],0))</f>
        <v>0</v>
      </c>
      <c r="AK815" s="16" t="b">
        <f>INDEX(stable[q_regen_ag],MATCH(questions[[#This Row],[qno]],stable[qno],0))</f>
        <v>0</v>
      </c>
      <c r="AL815" s="16" t="b">
        <f>COUNTIFS(stable[qno],questions[[#This Row],[qno]])=1</f>
        <v>1</v>
      </c>
      <c r="AM815" s="16" t="b">
        <f>OR(questions[[#This Row],[is_fixed]],questions[[#This Row],[is_localized]],questions[[#This Row],[is_supply_chain_dependent]])</f>
        <v>1</v>
      </c>
      <c r="AN815" s="16" t="b">
        <f>COUNTIFS(questions[[#This Row],[is_automated]:[is_multi_select]],TRUE)=1</f>
        <v>1</v>
      </c>
      <c r="AO815" s="16" t="b">
        <f>IF(questions[[#This Row],[is_fixed]],questions[[#This Row],[question]]=INDEX(stable[question],MATCH(questions[[#This Row],[qno]],stable[qno],0)),TRUE)</f>
        <v>1</v>
      </c>
      <c r="AP815" s="16" t="str">
        <f>LEFT(questions[[#This Row],[question]],similarity_range)</f>
        <v>Approval / Rejection</v>
      </c>
      <c r="AQ815" s="16" t="str">
        <f>LEFT(INDEX(stable[question],MATCH(questions[[#This Row],[qno]],stable[qno],0)),similarity_range)</f>
        <v>Approval / Rejection</v>
      </c>
      <c r="AR815" s="16" t="b">
        <f>questions[[#This Row],[question_first_characters]]=questions[[#This Row],[stability_first_characters]]</f>
        <v>1</v>
      </c>
      <c r="AS815" s="16" t="b">
        <f>IF(OR(questions[[#This Row],[is_single_select]],questions[[#This Row],[is_multi_select]]),NOT(ISBLANK(questions[[#This Row],[answer_opt_combined]])),TRUE)</f>
        <v>1</v>
      </c>
    </row>
    <row r="816" spans="1:45" ht="15.75" customHeight="1" x14ac:dyDescent="0.25">
      <c r="A816" s="9" t="str">
        <f>_xlfn.TEXTJOIN("_",TRUE,questions[[#This Row],[origin]:[qno]])</f>
        <v>Uganda_Robusta_Nespresso_1200</v>
      </c>
      <c r="B816" s="9" t="s">
        <v>511</v>
      </c>
      <c r="C816" s="9" t="s">
        <v>674</v>
      </c>
      <c r="D816" s="9" t="s">
        <v>864</v>
      </c>
      <c r="F816" s="24" t="s">
        <v>81</v>
      </c>
      <c r="G816" s="15" t="s">
        <v>82</v>
      </c>
      <c r="H816" s="9" t="str" cm="1">
        <f t="array" ref="H816">INDEX(stableR[question],MATCH(VALUE(questions[[#This Row],[qno]]),VALUE(stableR[qno]),0))</f>
        <v>Farmer code</v>
      </c>
      <c r="I816" s="9" t="b" cm="1">
        <f t="array" ref="I816">INDEX(stable[is_fixed],MATCH(VALUE(questions[[#This Row],[qno]]),VALUE(stable[qno]),0))</f>
        <v>1</v>
      </c>
      <c r="J816" s="9" t="b" cm="1">
        <f t="array" ref="J816">INDEX(stable[is_localized],MATCH(VALUE(questions[[#This Row],[qno]]),VALUE(stable[qno]),0))</f>
        <v>0</v>
      </c>
      <c r="K816" s="9" t="b" cm="1">
        <f t="array" ref="K816">INDEX(stable[is_supply_chain_dependent],MATCH(VALUE(questions[[#This Row],[qno]]),VALUE(stable[qno]),0))</f>
        <v>0</v>
      </c>
      <c r="L816" s="9" t="b" cm="1">
        <f t="array" ref="L816">INDEX(stable[is_mandatory],MATCH(VALUE(questions[[#This Row],[qno]]),VALUE(stable[qno]),0))</f>
        <v>1</v>
      </c>
      <c r="M816" s="9" t="b" cm="1">
        <f t="array" ref="M816">INDEX(stable[is_automated],MATCH(VALUE(questions[[#This Row],[qno]]),VALUE(stable[qno]),0))</f>
        <v>1</v>
      </c>
      <c r="N816" s="9" t="b" cm="1">
        <f t="array" ref="N816">INDEX(stable[is_free_text],MATCH(VALUE(questions[[#This Row],[qno]]),VALUE(stable[qno]),0))</f>
        <v>0</v>
      </c>
      <c r="O816" s="9" t="b" cm="1">
        <f t="array" ref="O816">INDEX(stable[is_numerical],MATCH(VALUE(questions[[#This Row],[qno]]),VALUE(stable[qno]),0))</f>
        <v>0</v>
      </c>
      <c r="P816" s="9" t="b" cm="1">
        <f t="array" ref="P816">INDEX(stable[is_single_select],MATCH(VALUE(questions[[#This Row],[qno]]),VALUE(stable[qno]),0))</f>
        <v>0</v>
      </c>
      <c r="Q816" s="9" t="b" cm="1">
        <f t="array" ref="Q816">INDEX(stable[is_multi_select],MATCH(VALUE(questions[[#This Row],[qno]]),VALUE(stable[qno]),0))</f>
        <v>0</v>
      </c>
      <c r="R816" s="9" t="b" cm="1">
        <f t="array" ref="R816">INDEX(stable[is_skip_logic],MATCH(VALUE(questions[[#This Row],[qno]]),VALUE(stable[qno]),0))</f>
        <v>0</v>
      </c>
      <c r="S816" s="9" t="str">
        <f>_xlfn.TEXTJOIN(", ",TRUE,questions[[#This Row],[ans_opt_1]:[ans_opt_14]])</f>
        <v/>
      </c>
      <c r="AH816" s="16" t="b">
        <f>INDEX(stable[q_standard],MATCH(questions[[#This Row],[qno]],stable[qno],0))</f>
        <v>1</v>
      </c>
      <c r="AI816" s="16" t="b">
        <f>INDEX(stable[q_living_income],MATCH(questions[[#This Row],[qno]],stable[qno],0))</f>
        <v>0</v>
      </c>
      <c r="AJ816" s="16" t="b">
        <f>INDEX(stable[q_carbon],MATCH(questions[[#This Row],[qno]],stable[qno],0))</f>
        <v>0</v>
      </c>
      <c r="AK816" s="16" t="b">
        <f>INDEX(stable[q_regen_ag],MATCH(questions[[#This Row],[qno]],stable[qno],0))</f>
        <v>0</v>
      </c>
      <c r="AL816" s="16" t="b">
        <f>COUNTIFS(stable[qno],questions[[#This Row],[qno]])=1</f>
        <v>1</v>
      </c>
      <c r="AM816" s="16" t="b">
        <f>OR(questions[[#This Row],[is_fixed]],questions[[#This Row],[is_localized]],questions[[#This Row],[is_supply_chain_dependent]])</f>
        <v>1</v>
      </c>
      <c r="AN816" s="16" t="b">
        <f>COUNTIFS(questions[[#This Row],[is_automated]:[is_multi_select]],TRUE)=1</f>
        <v>1</v>
      </c>
      <c r="AO816" s="16" t="b">
        <f>IF(questions[[#This Row],[is_fixed]],questions[[#This Row],[question]]=INDEX(stable[question],MATCH(questions[[#This Row],[qno]],stable[qno],0)),TRUE)</f>
        <v>1</v>
      </c>
      <c r="AP816" s="16" t="str">
        <f>LEFT(questions[[#This Row],[question]],similarity_range)</f>
        <v>Farmer code</v>
      </c>
      <c r="AQ816" s="16" t="str">
        <f>LEFT(INDEX(stable[question],MATCH(questions[[#This Row],[qno]],stable[qno],0)),similarity_range)</f>
        <v>Farmer code</v>
      </c>
      <c r="AR816" s="16" t="b">
        <f>questions[[#This Row],[question_first_characters]]=questions[[#This Row],[stability_first_characters]]</f>
        <v>1</v>
      </c>
      <c r="AS816" s="16" t="b">
        <f>IF(OR(questions[[#This Row],[is_single_select]],questions[[#This Row],[is_multi_select]]),NOT(ISBLANK(questions[[#This Row],[answer_opt_combined]])),TRUE)</f>
        <v>1</v>
      </c>
    </row>
    <row r="817" spans="1:45" ht="15.75" customHeight="1" x14ac:dyDescent="0.25">
      <c r="A817" s="9" t="str">
        <f>_xlfn.TEXTJOIN("_",TRUE,questions[[#This Row],[origin]:[qno]])</f>
        <v>Uganda_Robusta_Nespresso_1201</v>
      </c>
      <c r="B817" s="9" t="s">
        <v>511</v>
      </c>
      <c r="C817" s="9" t="s">
        <v>674</v>
      </c>
      <c r="D817" s="9" t="s">
        <v>864</v>
      </c>
      <c r="F817" s="24" t="s">
        <v>83</v>
      </c>
      <c r="G817" s="15" t="s">
        <v>84</v>
      </c>
      <c r="H817" s="9" t="str" cm="1">
        <f t="array" ref="H817">INDEX(stableR[question],MATCH(VALUE(questions[[#This Row],[qno]]),VALUE(stableR[qno]),0))</f>
        <v>Farmer name</v>
      </c>
      <c r="I817" s="9" t="b" cm="1">
        <f t="array" ref="I817">INDEX(stable[is_fixed],MATCH(VALUE(questions[[#This Row],[qno]]),VALUE(stable[qno]),0))</f>
        <v>1</v>
      </c>
      <c r="J817" s="9" t="b" cm="1">
        <f t="array" ref="J817">INDEX(stable[is_localized],MATCH(VALUE(questions[[#This Row],[qno]]),VALUE(stable[qno]),0))</f>
        <v>0</v>
      </c>
      <c r="K817" s="9" t="b" cm="1">
        <f t="array" ref="K817">INDEX(stable[is_supply_chain_dependent],MATCH(VALUE(questions[[#This Row],[qno]]),VALUE(stable[qno]),0))</f>
        <v>0</v>
      </c>
      <c r="L817" s="9" t="b" cm="1">
        <f t="array" ref="L817">INDEX(stable[is_mandatory],MATCH(VALUE(questions[[#This Row],[qno]]),VALUE(stable[qno]),0))</f>
        <v>1</v>
      </c>
      <c r="M817" s="9" t="b" cm="1">
        <f t="array" ref="M817">INDEX(stable[is_automated],MATCH(VALUE(questions[[#This Row],[qno]]),VALUE(stable[qno]),0))</f>
        <v>1</v>
      </c>
      <c r="N817" s="9" t="b" cm="1">
        <f t="array" ref="N817">INDEX(stable[is_free_text],MATCH(VALUE(questions[[#This Row],[qno]]),VALUE(stable[qno]),0))</f>
        <v>0</v>
      </c>
      <c r="O817" s="9" t="b" cm="1">
        <f t="array" ref="O817">INDEX(stable[is_numerical],MATCH(VALUE(questions[[#This Row],[qno]]),VALUE(stable[qno]),0))</f>
        <v>0</v>
      </c>
      <c r="P817" s="9" t="b" cm="1">
        <f t="array" ref="P817">INDEX(stable[is_single_select],MATCH(VALUE(questions[[#This Row],[qno]]),VALUE(stable[qno]),0))</f>
        <v>0</v>
      </c>
      <c r="Q817" s="9" t="b" cm="1">
        <f t="array" ref="Q817">INDEX(stable[is_multi_select],MATCH(VALUE(questions[[#This Row],[qno]]),VALUE(stable[qno]),0))</f>
        <v>0</v>
      </c>
      <c r="R817" s="9" t="b" cm="1">
        <f t="array" ref="R817">INDEX(stable[is_skip_logic],MATCH(VALUE(questions[[#This Row],[qno]]),VALUE(stable[qno]),0))</f>
        <v>0</v>
      </c>
      <c r="S817" s="9" t="str">
        <f>_xlfn.TEXTJOIN(", ",TRUE,questions[[#This Row],[ans_opt_1]:[ans_opt_14]])</f>
        <v/>
      </c>
      <c r="AH817" s="16" t="b">
        <f>INDEX(stable[q_standard],MATCH(questions[[#This Row],[qno]],stable[qno],0))</f>
        <v>1</v>
      </c>
      <c r="AI817" s="16" t="b">
        <f>INDEX(stable[q_living_income],MATCH(questions[[#This Row],[qno]],stable[qno],0))</f>
        <v>0</v>
      </c>
      <c r="AJ817" s="16" t="b">
        <f>INDEX(stable[q_carbon],MATCH(questions[[#This Row],[qno]],stable[qno],0))</f>
        <v>0</v>
      </c>
      <c r="AK817" s="16" t="b">
        <f>INDEX(stable[q_regen_ag],MATCH(questions[[#This Row],[qno]],stable[qno],0))</f>
        <v>0</v>
      </c>
      <c r="AL817" s="16" t="b">
        <f>COUNTIFS(stable[qno],questions[[#This Row],[qno]])=1</f>
        <v>1</v>
      </c>
      <c r="AM817" s="16" t="b">
        <f>OR(questions[[#This Row],[is_fixed]],questions[[#This Row],[is_localized]],questions[[#This Row],[is_supply_chain_dependent]])</f>
        <v>1</v>
      </c>
      <c r="AN817" s="16" t="b">
        <f>COUNTIFS(questions[[#This Row],[is_automated]:[is_multi_select]],TRUE)=1</f>
        <v>1</v>
      </c>
      <c r="AO817" s="16" t="b">
        <f>IF(questions[[#This Row],[is_fixed]],questions[[#This Row],[question]]=INDEX(stable[question],MATCH(questions[[#This Row],[qno]],stable[qno],0)),TRUE)</f>
        <v>1</v>
      </c>
      <c r="AP817" s="16" t="str">
        <f>LEFT(questions[[#This Row],[question]],similarity_range)</f>
        <v>Farmer name</v>
      </c>
      <c r="AQ817" s="16" t="str">
        <f>LEFT(INDEX(stable[question],MATCH(questions[[#This Row],[qno]],stable[qno],0)),similarity_range)</f>
        <v>Farmer name</v>
      </c>
      <c r="AR817" s="16" t="b">
        <f>questions[[#This Row],[question_first_characters]]=questions[[#This Row],[stability_first_characters]]</f>
        <v>1</v>
      </c>
      <c r="AS817" s="16" t="b">
        <f>IF(OR(questions[[#This Row],[is_single_select]],questions[[#This Row],[is_multi_select]]),NOT(ISBLANK(questions[[#This Row],[answer_opt_combined]])),TRUE)</f>
        <v>1</v>
      </c>
    </row>
    <row r="818" spans="1:45" ht="15.75" customHeight="1" x14ac:dyDescent="0.25">
      <c r="A818" s="9" t="str">
        <f>_xlfn.TEXTJOIN("_",TRUE,questions[[#This Row],[origin]:[qno]])</f>
        <v>Uganda_Robusta_Nespresso_1202</v>
      </c>
      <c r="B818" s="9" t="s">
        <v>511</v>
      </c>
      <c r="C818" s="9" t="s">
        <v>674</v>
      </c>
      <c r="D818" s="9" t="s">
        <v>864</v>
      </c>
      <c r="F818" s="24" t="s">
        <v>85</v>
      </c>
      <c r="G818" s="15" t="s">
        <v>86</v>
      </c>
      <c r="H818" s="9" t="str" cm="1">
        <f t="array" ref="H818">INDEX(stableR[question],MATCH(VALUE(questions[[#This Row],[qno]]),VALUE(stableR[qno]),0))</f>
        <v>Farmer tags</v>
      </c>
      <c r="I818" s="9" t="b" cm="1">
        <f t="array" ref="I818">INDEX(stable[is_fixed],MATCH(VALUE(questions[[#This Row],[qno]]),VALUE(stable[qno]),0))</f>
        <v>1</v>
      </c>
      <c r="J818" s="9" t="b" cm="1">
        <f t="array" ref="J818">INDEX(stable[is_localized],MATCH(VALUE(questions[[#This Row],[qno]]),VALUE(stable[qno]),0))</f>
        <v>0</v>
      </c>
      <c r="K818" s="9" t="b" cm="1">
        <f t="array" ref="K818">INDEX(stable[is_supply_chain_dependent],MATCH(VALUE(questions[[#This Row],[qno]]),VALUE(stable[qno]),0))</f>
        <v>0</v>
      </c>
      <c r="L818" s="9" t="b" cm="1">
        <f t="array" ref="L818">INDEX(stable[is_mandatory],MATCH(VALUE(questions[[#This Row],[qno]]),VALUE(stable[qno]),0))</f>
        <v>1</v>
      </c>
      <c r="M818" s="9" t="b" cm="1">
        <f t="array" ref="M818">INDEX(stable[is_automated],MATCH(VALUE(questions[[#This Row],[qno]]),VALUE(stable[qno]),0))</f>
        <v>1</v>
      </c>
      <c r="N818" s="9" t="b" cm="1">
        <f t="array" ref="N818">INDEX(stable[is_free_text],MATCH(VALUE(questions[[#This Row],[qno]]),VALUE(stable[qno]),0))</f>
        <v>0</v>
      </c>
      <c r="O818" s="9" t="b" cm="1">
        <f t="array" ref="O818">INDEX(stable[is_numerical],MATCH(VALUE(questions[[#This Row],[qno]]),VALUE(stable[qno]),0))</f>
        <v>0</v>
      </c>
      <c r="P818" s="9" t="b" cm="1">
        <f t="array" ref="P818">INDEX(stable[is_single_select],MATCH(VALUE(questions[[#This Row],[qno]]),VALUE(stable[qno]),0))</f>
        <v>0</v>
      </c>
      <c r="Q818" s="9" t="b" cm="1">
        <f t="array" ref="Q818">INDEX(stable[is_multi_select],MATCH(VALUE(questions[[#This Row],[qno]]),VALUE(stable[qno]),0))</f>
        <v>0</v>
      </c>
      <c r="R818" s="9" t="b" cm="1">
        <f t="array" ref="R818">INDEX(stable[is_skip_logic],MATCH(VALUE(questions[[#This Row],[qno]]),VALUE(stable[qno]),0))</f>
        <v>0</v>
      </c>
      <c r="S818" s="9" t="str">
        <f>_xlfn.TEXTJOIN(", ",TRUE,questions[[#This Row],[ans_opt_1]:[ans_opt_14]])</f>
        <v/>
      </c>
      <c r="AH818" s="16" t="b">
        <f>INDEX(stable[q_standard],MATCH(questions[[#This Row],[qno]],stable[qno],0))</f>
        <v>1</v>
      </c>
      <c r="AI818" s="16" t="b">
        <f>INDEX(stable[q_living_income],MATCH(questions[[#This Row],[qno]],stable[qno],0))</f>
        <v>0</v>
      </c>
      <c r="AJ818" s="16" t="b">
        <f>INDEX(stable[q_carbon],MATCH(questions[[#This Row],[qno]],stable[qno],0))</f>
        <v>0</v>
      </c>
      <c r="AK818" s="16" t="b">
        <f>INDEX(stable[q_regen_ag],MATCH(questions[[#This Row],[qno]],stable[qno],0))</f>
        <v>0</v>
      </c>
      <c r="AL818" s="16" t="b">
        <f>COUNTIFS(stable[qno],questions[[#This Row],[qno]])=1</f>
        <v>1</v>
      </c>
      <c r="AM818" s="16" t="b">
        <f>OR(questions[[#This Row],[is_fixed]],questions[[#This Row],[is_localized]],questions[[#This Row],[is_supply_chain_dependent]])</f>
        <v>1</v>
      </c>
      <c r="AN818" s="16" t="b">
        <f>COUNTIFS(questions[[#This Row],[is_automated]:[is_multi_select]],TRUE)=1</f>
        <v>1</v>
      </c>
      <c r="AO818" s="16" t="b">
        <f>IF(questions[[#This Row],[is_fixed]],questions[[#This Row],[question]]=INDEX(stable[question],MATCH(questions[[#This Row],[qno]],stable[qno],0)),TRUE)</f>
        <v>1</v>
      </c>
      <c r="AP818" s="16" t="str">
        <f>LEFT(questions[[#This Row],[question]],similarity_range)</f>
        <v>Farmer tags</v>
      </c>
      <c r="AQ818" s="16" t="str">
        <f>LEFT(INDEX(stable[question],MATCH(questions[[#This Row],[qno]],stable[qno],0)),similarity_range)</f>
        <v>Farmer tags</v>
      </c>
      <c r="AR818" s="16" t="b">
        <f>questions[[#This Row],[question_first_characters]]=questions[[#This Row],[stability_first_characters]]</f>
        <v>1</v>
      </c>
      <c r="AS818" s="16" t="b">
        <f>IF(OR(questions[[#This Row],[is_single_select]],questions[[#This Row],[is_multi_select]]),NOT(ISBLANK(questions[[#This Row],[answer_opt_combined]])),TRUE)</f>
        <v>1</v>
      </c>
    </row>
    <row r="819" spans="1:45" ht="15.75" customHeight="1" x14ac:dyDescent="0.25">
      <c r="A819" s="9" t="str">
        <f>_xlfn.TEXTJOIN("_",TRUE,questions[[#This Row],[origin]:[qno]])</f>
        <v>Uganda_Robusta_Nespresso_1203</v>
      </c>
      <c r="B819" s="9" t="s">
        <v>511</v>
      </c>
      <c r="C819" s="9" t="s">
        <v>674</v>
      </c>
      <c r="D819" s="9" t="s">
        <v>864</v>
      </c>
      <c r="F819" s="24" t="s">
        <v>87</v>
      </c>
      <c r="G819" s="15" t="s">
        <v>88</v>
      </c>
      <c r="H819" s="9" t="str" cm="1">
        <f t="array" ref="H819">INDEX(stableR[question],MATCH(VALUE(questions[[#This Row],[qno]]),VALUE(stableR[qno]),0))</f>
        <v>Address</v>
      </c>
      <c r="I819" s="9" t="b" cm="1">
        <f t="array" ref="I819">INDEX(stable[is_fixed],MATCH(VALUE(questions[[#This Row],[qno]]),VALUE(stable[qno]),0))</f>
        <v>1</v>
      </c>
      <c r="J819" s="9" t="b" cm="1">
        <f t="array" ref="J819">INDEX(stable[is_localized],MATCH(VALUE(questions[[#This Row],[qno]]),VALUE(stable[qno]),0))</f>
        <v>0</v>
      </c>
      <c r="K819" s="9" t="b" cm="1">
        <f t="array" ref="K819">INDEX(stable[is_supply_chain_dependent],MATCH(VALUE(questions[[#This Row],[qno]]),VALUE(stable[qno]),0))</f>
        <v>0</v>
      </c>
      <c r="L819" s="9" t="b" cm="1">
        <f t="array" ref="L819">INDEX(stable[is_mandatory],MATCH(VALUE(questions[[#This Row],[qno]]),VALUE(stable[qno]),0))</f>
        <v>1</v>
      </c>
      <c r="M819" s="9" t="b" cm="1">
        <f t="array" ref="M819">INDEX(stable[is_automated],MATCH(VALUE(questions[[#This Row],[qno]]),VALUE(stable[qno]),0))</f>
        <v>1</v>
      </c>
      <c r="N819" s="9" t="b" cm="1">
        <f t="array" ref="N819">INDEX(stable[is_free_text],MATCH(VALUE(questions[[#This Row],[qno]]),VALUE(stable[qno]),0))</f>
        <v>0</v>
      </c>
      <c r="O819" s="9" t="b" cm="1">
        <f t="array" ref="O819">INDEX(stable[is_numerical],MATCH(VALUE(questions[[#This Row],[qno]]),VALUE(stable[qno]),0))</f>
        <v>0</v>
      </c>
      <c r="P819" s="9" t="b" cm="1">
        <f t="array" ref="P819">INDEX(stable[is_single_select],MATCH(VALUE(questions[[#This Row],[qno]]),VALUE(stable[qno]),0))</f>
        <v>0</v>
      </c>
      <c r="Q819" s="9" t="b" cm="1">
        <f t="array" ref="Q819">INDEX(stable[is_multi_select],MATCH(VALUE(questions[[#This Row],[qno]]),VALUE(stable[qno]),0))</f>
        <v>0</v>
      </c>
      <c r="R819" s="9" t="b" cm="1">
        <f t="array" ref="R819">INDEX(stable[is_skip_logic],MATCH(VALUE(questions[[#This Row],[qno]]),VALUE(stable[qno]),0))</f>
        <v>0</v>
      </c>
      <c r="S819" s="9" t="str">
        <f>_xlfn.TEXTJOIN(", ",TRUE,questions[[#This Row],[ans_opt_1]:[ans_opt_14]])</f>
        <v/>
      </c>
      <c r="AH819" s="16" t="b">
        <f>INDEX(stable[q_standard],MATCH(questions[[#This Row],[qno]],stable[qno],0))</f>
        <v>1</v>
      </c>
      <c r="AI819" s="16" t="b">
        <f>INDEX(stable[q_living_income],MATCH(questions[[#This Row],[qno]],stable[qno],0))</f>
        <v>0</v>
      </c>
      <c r="AJ819" s="16" t="b">
        <f>INDEX(stable[q_carbon],MATCH(questions[[#This Row],[qno]],stable[qno],0))</f>
        <v>0</v>
      </c>
      <c r="AK819" s="16" t="b">
        <f>INDEX(stable[q_regen_ag],MATCH(questions[[#This Row],[qno]],stable[qno],0))</f>
        <v>0</v>
      </c>
      <c r="AL819" s="16" t="b">
        <f>COUNTIFS(stable[qno],questions[[#This Row],[qno]])=1</f>
        <v>1</v>
      </c>
      <c r="AM819" s="16" t="b">
        <f>OR(questions[[#This Row],[is_fixed]],questions[[#This Row],[is_localized]],questions[[#This Row],[is_supply_chain_dependent]])</f>
        <v>1</v>
      </c>
      <c r="AN819" s="16" t="b">
        <f>COUNTIFS(questions[[#This Row],[is_automated]:[is_multi_select]],TRUE)=1</f>
        <v>1</v>
      </c>
      <c r="AO819" s="16" t="b">
        <f>IF(questions[[#This Row],[is_fixed]],questions[[#This Row],[question]]=INDEX(stable[question],MATCH(questions[[#This Row],[qno]],stable[qno],0)),TRUE)</f>
        <v>1</v>
      </c>
      <c r="AP819" s="16" t="str">
        <f>LEFT(questions[[#This Row],[question]],similarity_range)</f>
        <v>Address</v>
      </c>
      <c r="AQ819" s="16" t="str">
        <f>LEFT(INDEX(stable[question],MATCH(questions[[#This Row],[qno]],stable[qno],0)),similarity_range)</f>
        <v>Address</v>
      </c>
      <c r="AR819" s="16" t="b">
        <f>questions[[#This Row],[question_first_characters]]=questions[[#This Row],[stability_first_characters]]</f>
        <v>1</v>
      </c>
      <c r="AS819" s="16" t="b">
        <f>IF(OR(questions[[#This Row],[is_single_select]],questions[[#This Row],[is_multi_select]]),NOT(ISBLANK(questions[[#This Row],[answer_opt_combined]])),TRUE)</f>
        <v>1</v>
      </c>
    </row>
    <row r="820" spans="1:45" ht="15.75" customHeight="1" x14ac:dyDescent="0.25">
      <c r="A820" s="9" t="str">
        <f>_xlfn.TEXTJOIN("_",TRUE,questions[[#This Row],[origin]:[qno]])</f>
        <v>Uganda_Robusta_Nespresso_1210</v>
      </c>
      <c r="B820" s="9" t="s">
        <v>511</v>
      </c>
      <c r="C820" s="9" t="s">
        <v>674</v>
      </c>
      <c r="D820" s="9" t="s">
        <v>864</v>
      </c>
      <c r="F820" s="24" t="s">
        <v>89</v>
      </c>
      <c r="G820" s="15" t="s">
        <v>90</v>
      </c>
      <c r="H820" s="9" t="str" cm="1">
        <f t="array" ref="H820">INDEX(stableR[question],MATCH(VALUE(questions[[#This Row],[qno]]),VALUE(stableR[qno]),0))</f>
        <v>Plot name</v>
      </c>
      <c r="I820" s="9" t="b" cm="1">
        <f t="array" ref="I820">INDEX(stable[is_fixed],MATCH(VALUE(questions[[#This Row],[qno]]),VALUE(stable[qno]),0))</f>
        <v>1</v>
      </c>
      <c r="J820" s="9" t="b" cm="1">
        <f t="array" ref="J820">INDEX(stable[is_localized],MATCH(VALUE(questions[[#This Row],[qno]]),VALUE(stable[qno]),0))</f>
        <v>0</v>
      </c>
      <c r="K820" s="9" t="b" cm="1">
        <f t="array" ref="K820">INDEX(stable[is_supply_chain_dependent],MATCH(VALUE(questions[[#This Row],[qno]]),VALUE(stable[qno]),0))</f>
        <v>0</v>
      </c>
      <c r="L820" s="9" t="b" cm="1">
        <f t="array" ref="L820">INDEX(stable[is_mandatory],MATCH(VALUE(questions[[#This Row],[qno]]),VALUE(stable[qno]),0))</f>
        <v>1</v>
      </c>
      <c r="M820" s="9" t="b" cm="1">
        <f t="array" ref="M820">INDEX(stable[is_automated],MATCH(VALUE(questions[[#This Row],[qno]]),VALUE(stable[qno]),0))</f>
        <v>1</v>
      </c>
      <c r="N820" s="9" t="b" cm="1">
        <f t="array" ref="N820">INDEX(stable[is_free_text],MATCH(VALUE(questions[[#This Row],[qno]]),VALUE(stable[qno]),0))</f>
        <v>0</v>
      </c>
      <c r="O820" s="9" t="b" cm="1">
        <f t="array" ref="O820">INDEX(stable[is_numerical],MATCH(VALUE(questions[[#This Row],[qno]]),VALUE(stable[qno]),0))</f>
        <v>0</v>
      </c>
      <c r="P820" s="9" t="b" cm="1">
        <f t="array" ref="P820">INDEX(stable[is_single_select],MATCH(VALUE(questions[[#This Row],[qno]]),VALUE(stable[qno]),0))</f>
        <v>0</v>
      </c>
      <c r="Q820" s="9" t="b" cm="1">
        <f t="array" ref="Q820">INDEX(stable[is_multi_select],MATCH(VALUE(questions[[#This Row],[qno]]),VALUE(stable[qno]),0))</f>
        <v>0</v>
      </c>
      <c r="R820" s="9" t="b" cm="1">
        <f t="array" ref="R820">INDEX(stable[is_skip_logic],MATCH(VALUE(questions[[#This Row],[qno]]),VALUE(stable[qno]),0))</f>
        <v>0</v>
      </c>
      <c r="S820" s="9" t="str">
        <f>_xlfn.TEXTJOIN(", ",TRUE,questions[[#This Row],[ans_opt_1]:[ans_opt_14]])</f>
        <v/>
      </c>
      <c r="AH820" s="16" t="b">
        <f>INDEX(stable[q_standard],MATCH(questions[[#This Row],[qno]],stable[qno],0))</f>
        <v>1</v>
      </c>
      <c r="AI820" s="16" t="b">
        <f>INDEX(stable[q_living_income],MATCH(questions[[#This Row],[qno]],stable[qno],0))</f>
        <v>0</v>
      </c>
      <c r="AJ820" s="16" t="b">
        <f>INDEX(stable[q_carbon],MATCH(questions[[#This Row],[qno]],stable[qno],0))</f>
        <v>0</v>
      </c>
      <c r="AK820" s="16" t="b">
        <f>INDEX(stable[q_regen_ag],MATCH(questions[[#This Row],[qno]],stable[qno],0))</f>
        <v>0</v>
      </c>
      <c r="AL820" s="16" t="b">
        <f>COUNTIFS(stable[qno],questions[[#This Row],[qno]])=1</f>
        <v>1</v>
      </c>
      <c r="AM820" s="16" t="b">
        <f>OR(questions[[#This Row],[is_fixed]],questions[[#This Row],[is_localized]],questions[[#This Row],[is_supply_chain_dependent]])</f>
        <v>1</v>
      </c>
      <c r="AN820" s="16" t="b">
        <f>COUNTIFS(questions[[#This Row],[is_automated]:[is_multi_select]],TRUE)=1</f>
        <v>1</v>
      </c>
      <c r="AO820" s="16" t="b">
        <f>IF(questions[[#This Row],[is_fixed]],questions[[#This Row],[question]]=INDEX(stable[question],MATCH(questions[[#This Row],[qno]],stable[qno],0)),TRUE)</f>
        <v>1</v>
      </c>
      <c r="AP820" s="16" t="str">
        <f>LEFT(questions[[#This Row],[question]],similarity_range)</f>
        <v>Plot name</v>
      </c>
      <c r="AQ820" s="16" t="str">
        <f>LEFT(INDEX(stable[question],MATCH(questions[[#This Row],[qno]],stable[qno],0)),similarity_range)</f>
        <v>Plot name</v>
      </c>
      <c r="AR820" s="16" t="b">
        <f>questions[[#This Row],[question_first_characters]]=questions[[#This Row],[stability_first_characters]]</f>
        <v>1</v>
      </c>
      <c r="AS820" s="16" t="b">
        <f>IF(OR(questions[[#This Row],[is_single_select]],questions[[#This Row],[is_multi_select]]),NOT(ISBLANK(questions[[#This Row],[answer_opt_combined]])),TRUE)</f>
        <v>1</v>
      </c>
    </row>
    <row r="821" spans="1:45" ht="15.75" customHeight="1" x14ac:dyDescent="0.25">
      <c r="A821" s="9" t="str">
        <f>_xlfn.TEXTJOIN("_",TRUE,questions[[#This Row],[origin]:[qno]])</f>
        <v>Uganda_Robusta_Nespresso_1211</v>
      </c>
      <c r="B821" s="9" t="s">
        <v>511</v>
      </c>
      <c r="C821" s="9" t="s">
        <v>674</v>
      </c>
      <c r="D821" s="9" t="s">
        <v>864</v>
      </c>
      <c r="F821" s="24" t="s">
        <v>91</v>
      </c>
      <c r="G821" s="15" t="s">
        <v>92</v>
      </c>
      <c r="H821" s="9" t="str" cm="1">
        <f t="array" ref="H821">INDEX(stableR[question],MATCH(VALUE(questions[[#This Row],[qno]]),VALUE(stableR[qno]),0))</f>
        <v>Plot tags</v>
      </c>
      <c r="I821" s="9" t="b" cm="1">
        <f t="array" ref="I821">INDEX(stable[is_fixed],MATCH(VALUE(questions[[#This Row],[qno]]),VALUE(stable[qno]),0))</f>
        <v>1</v>
      </c>
      <c r="J821" s="9" t="b" cm="1">
        <f t="array" ref="J821">INDEX(stable[is_localized],MATCH(VALUE(questions[[#This Row],[qno]]),VALUE(stable[qno]),0))</f>
        <v>0</v>
      </c>
      <c r="K821" s="9" t="b" cm="1">
        <f t="array" ref="K821">INDEX(stable[is_supply_chain_dependent],MATCH(VALUE(questions[[#This Row],[qno]]),VALUE(stable[qno]),0))</f>
        <v>0</v>
      </c>
      <c r="L821" s="9" t="b" cm="1">
        <f t="array" ref="L821">INDEX(stable[is_mandatory],MATCH(VALUE(questions[[#This Row],[qno]]),VALUE(stable[qno]),0))</f>
        <v>1</v>
      </c>
      <c r="M821" s="9" t="b" cm="1">
        <f t="array" ref="M821">INDEX(stable[is_automated],MATCH(VALUE(questions[[#This Row],[qno]]),VALUE(stable[qno]),0))</f>
        <v>1</v>
      </c>
      <c r="N821" s="9" t="b" cm="1">
        <f t="array" ref="N821">INDEX(stable[is_free_text],MATCH(VALUE(questions[[#This Row],[qno]]),VALUE(stable[qno]),0))</f>
        <v>0</v>
      </c>
      <c r="O821" s="9" t="b" cm="1">
        <f t="array" ref="O821">INDEX(stable[is_numerical],MATCH(VALUE(questions[[#This Row],[qno]]),VALUE(stable[qno]),0))</f>
        <v>0</v>
      </c>
      <c r="P821" s="9" t="b" cm="1">
        <f t="array" ref="P821">INDEX(stable[is_single_select],MATCH(VALUE(questions[[#This Row],[qno]]),VALUE(stable[qno]),0))</f>
        <v>0</v>
      </c>
      <c r="Q821" s="9" t="b" cm="1">
        <f t="array" ref="Q821">INDEX(stable[is_multi_select],MATCH(VALUE(questions[[#This Row],[qno]]),VALUE(stable[qno]),0))</f>
        <v>0</v>
      </c>
      <c r="R821" s="9" t="b" cm="1">
        <f t="array" ref="R821">INDEX(stable[is_skip_logic],MATCH(VALUE(questions[[#This Row],[qno]]),VALUE(stable[qno]),0))</f>
        <v>0</v>
      </c>
      <c r="S821" s="9" t="str">
        <f>_xlfn.TEXTJOIN(", ",TRUE,questions[[#This Row],[ans_opt_1]:[ans_opt_14]])</f>
        <v/>
      </c>
      <c r="AH821" s="16" t="b">
        <f>INDEX(stable[q_standard],MATCH(questions[[#This Row],[qno]],stable[qno],0))</f>
        <v>1</v>
      </c>
      <c r="AI821" s="16" t="b">
        <f>INDEX(stable[q_living_income],MATCH(questions[[#This Row],[qno]],stable[qno],0))</f>
        <v>0</v>
      </c>
      <c r="AJ821" s="16" t="b">
        <f>INDEX(stable[q_carbon],MATCH(questions[[#This Row],[qno]],stable[qno],0))</f>
        <v>0</v>
      </c>
      <c r="AK821" s="16" t="b">
        <f>INDEX(stable[q_regen_ag],MATCH(questions[[#This Row],[qno]],stable[qno],0))</f>
        <v>0</v>
      </c>
      <c r="AL821" s="16" t="b">
        <f>COUNTIFS(stable[qno],questions[[#This Row],[qno]])=1</f>
        <v>1</v>
      </c>
      <c r="AM821" s="16" t="b">
        <f>OR(questions[[#This Row],[is_fixed]],questions[[#This Row],[is_localized]],questions[[#This Row],[is_supply_chain_dependent]])</f>
        <v>1</v>
      </c>
      <c r="AN821" s="16" t="b">
        <f>COUNTIFS(questions[[#This Row],[is_automated]:[is_multi_select]],TRUE)=1</f>
        <v>1</v>
      </c>
      <c r="AO821" s="16" t="b">
        <f>IF(questions[[#This Row],[is_fixed]],questions[[#This Row],[question]]=INDEX(stable[question],MATCH(questions[[#This Row],[qno]],stable[qno],0)),TRUE)</f>
        <v>1</v>
      </c>
      <c r="AP821" s="16" t="str">
        <f>LEFT(questions[[#This Row],[question]],similarity_range)</f>
        <v>Plot tags</v>
      </c>
      <c r="AQ821" s="16" t="str">
        <f>LEFT(INDEX(stable[question],MATCH(questions[[#This Row],[qno]],stable[qno],0)),similarity_range)</f>
        <v>Plot tags</v>
      </c>
      <c r="AR821" s="16" t="b">
        <f>questions[[#This Row],[question_first_characters]]=questions[[#This Row],[stability_first_characters]]</f>
        <v>1</v>
      </c>
      <c r="AS821" s="16" t="b">
        <f>IF(OR(questions[[#This Row],[is_single_select]],questions[[#This Row],[is_multi_select]]),NOT(ISBLANK(questions[[#This Row],[answer_opt_combined]])),TRUE)</f>
        <v>1</v>
      </c>
    </row>
    <row r="822" spans="1:45" ht="15.75" customHeight="1" x14ac:dyDescent="0.25">
      <c r="A822" s="9" t="str">
        <f>_xlfn.TEXTJOIN("_",TRUE,questions[[#This Row],[origin]:[qno]])</f>
        <v>Uganda_Robusta_Nespresso_1212</v>
      </c>
      <c r="B822" s="9" t="s">
        <v>511</v>
      </c>
      <c r="C822" s="9" t="s">
        <v>674</v>
      </c>
      <c r="D822" s="9" t="s">
        <v>864</v>
      </c>
      <c r="F822" s="24" t="s">
        <v>93</v>
      </c>
      <c r="G822" s="15" t="s">
        <v>94</v>
      </c>
      <c r="H822" s="9" t="str" cm="1">
        <f t="array" ref="H822">INDEX(stableR[question],MATCH(VALUE(questions[[#This Row],[qno]]),VALUE(stableR[qno]),0))</f>
        <v>Declared area (acre)</v>
      </c>
      <c r="I822" s="9" t="b" cm="1">
        <f t="array" ref="I822">INDEX(stable[is_fixed],MATCH(VALUE(questions[[#This Row],[qno]]),VALUE(stable[qno]),0))</f>
        <v>1</v>
      </c>
      <c r="J822" s="9" t="b" cm="1">
        <f t="array" ref="J822">INDEX(stable[is_localized],MATCH(VALUE(questions[[#This Row],[qno]]),VALUE(stable[qno]),0))</f>
        <v>0</v>
      </c>
      <c r="K822" s="9" t="b" cm="1">
        <f t="array" ref="K822">INDEX(stable[is_supply_chain_dependent],MATCH(VALUE(questions[[#This Row],[qno]]),VALUE(stable[qno]),0))</f>
        <v>0</v>
      </c>
      <c r="L822" s="9" t="b" cm="1">
        <f t="array" ref="L822">INDEX(stable[is_mandatory],MATCH(VALUE(questions[[#This Row],[qno]]),VALUE(stable[qno]),0))</f>
        <v>1</v>
      </c>
      <c r="M822" s="9" t="b" cm="1">
        <f t="array" ref="M822">INDEX(stable[is_automated],MATCH(VALUE(questions[[#This Row],[qno]]),VALUE(stable[qno]),0))</f>
        <v>1</v>
      </c>
      <c r="N822" s="9" t="b" cm="1">
        <f t="array" ref="N822">INDEX(stable[is_free_text],MATCH(VALUE(questions[[#This Row],[qno]]),VALUE(stable[qno]),0))</f>
        <v>0</v>
      </c>
      <c r="O822" s="9" t="b" cm="1">
        <f t="array" ref="O822">INDEX(stable[is_numerical],MATCH(VALUE(questions[[#This Row],[qno]]),VALUE(stable[qno]),0))</f>
        <v>1</v>
      </c>
      <c r="P822" s="9" t="b" cm="1">
        <f t="array" ref="P822">INDEX(stable[is_single_select],MATCH(VALUE(questions[[#This Row],[qno]]),VALUE(stable[qno]),0))</f>
        <v>0</v>
      </c>
      <c r="Q822" s="9" t="b" cm="1">
        <f t="array" ref="Q822">INDEX(stable[is_multi_select],MATCH(VALUE(questions[[#This Row],[qno]]),VALUE(stable[qno]),0))</f>
        <v>0</v>
      </c>
      <c r="R822" s="9" t="b" cm="1">
        <f t="array" ref="R822">INDEX(stable[is_skip_logic],MATCH(VALUE(questions[[#This Row],[qno]]),VALUE(stable[qno]),0))</f>
        <v>0</v>
      </c>
      <c r="S822" s="9" t="str">
        <f>_xlfn.TEXTJOIN(", ",TRUE,questions[[#This Row],[ans_opt_1]:[ans_opt_14]])</f>
        <v/>
      </c>
      <c r="AH822" s="16" t="b">
        <f>INDEX(stable[q_standard],MATCH(questions[[#This Row],[qno]],stable[qno],0))</f>
        <v>1</v>
      </c>
      <c r="AI822" s="16" t="b">
        <f>INDEX(stable[q_living_income],MATCH(questions[[#This Row],[qno]],stable[qno],0))</f>
        <v>0</v>
      </c>
      <c r="AJ822" s="16" t="b">
        <f>INDEX(stable[q_carbon],MATCH(questions[[#This Row],[qno]],stable[qno],0))</f>
        <v>0</v>
      </c>
      <c r="AK822" s="16" t="b">
        <f>INDEX(stable[q_regen_ag],MATCH(questions[[#This Row],[qno]],stable[qno],0))</f>
        <v>0</v>
      </c>
      <c r="AL822" s="16" t="b">
        <f>COUNTIFS(stable[qno],questions[[#This Row],[qno]])=1</f>
        <v>1</v>
      </c>
      <c r="AM822" s="16" t="b">
        <f>OR(questions[[#This Row],[is_fixed]],questions[[#This Row],[is_localized]],questions[[#This Row],[is_supply_chain_dependent]])</f>
        <v>1</v>
      </c>
      <c r="AN822" s="16" t="b">
        <f>COUNTIFS(questions[[#This Row],[is_automated]:[is_multi_select]],TRUE)=1</f>
        <v>0</v>
      </c>
      <c r="AO822" s="16" t="b">
        <f>IF(questions[[#This Row],[is_fixed]],questions[[#This Row],[question]]=INDEX(stable[question],MATCH(questions[[#This Row],[qno]],stable[qno],0)),TRUE)</f>
        <v>1</v>
      </c>
      <c r="AP822" s="16" t="str">
        <f>LEFT(questions[[#This Row],[question]],similarity_range)</f>
        <v>Declared area (acre)</v>
      </c>
      <c r="AQ822" s="16" t="str">
        <f>LEFT(INDEX(stable[question],MATCH(questions[[#This Row],[qno]],stable[qno],0)),similarity_range)</f>
        <v>Declared area (acre)</v>
      </c>
      <c r="AR822" s="16" t="b">
        <f>questions[[#This Row],[question_first_characters]]=questions[[#This Row],[stability_first_characters]]</f>
        <v>1</v>
      </c>
      <c r="AS822" s="16" t="b">
        <f>IF(OR(questions[[#This Row],[is_single_select]],questions[[#This Row],[is_multi_select]]),NOT(ISBLANK(questions[[#This Row],[answer_opt_combined]])),TRUE)</f>
        <v>1</v>
      </c>
    </row>
    <row r="823" spans="1:45" ht="15.75" customHeight="1" x14ac:dyDescent="0.25">
      <c r="A823" s="9" t="str">
        <f>_xlfn.TEXTJOIN("_",TRUE,questions[[#This Row],[origin]:[qno]])</f>
        <v>Uganda_Robusta_Nespresso_1213</v>
      </c>
      <c r="B823" s="9" t="s">
        <v>511</v>
      </c>
      <c r="C823" s="9" t="s">
        <v>674</v>
      </c>
      <c r="D823" s="9" t="s">
        <v>864</v>
      </c>
      <c r="F823" s="24" t="s">
        <v>95</v>
      </c>
      <c r="G823" s="15" t="s">
        <v>96</v>
      </c>
      <c r="H823" s="9" t="str" cm="1">
        <f t="array" ref="H823">INDEX(stableR[question],MATCH(VALUE(questions[[#This Row],[qno]]),VALUE(stableR[qno]),0))</f>
        <v>Audited area (acre)</v>
      </c>
      <c r="I823" s="9" t="b" cm="1">
        <f t="array" ref="I823">INDEX(stable[is_fixed],MATCH(VALUE(questions[[#This Row],[qno]]),VALUE(stable[qno]),0))</f>
        <v>1</v>
      </c>
      <c r="J823" s="9" t="b" cm="1">
        <f t="array" ref="J823">INDEX(stable[is_localized],MATCH(VALUE(questions[[#This Row],[qno]]),VALUE(stable[qno]),0))</f>
        <v>0</v>
      </c>
      <c r="K823" s="9" t="b" cm="1">
        <f t="array" ref="K823">INDEX(stable[is_supply_chain_dependent],MATCH(VALUE(questions[[#This Row],[qno]]),VALUE(stable[qno]),0))</f>
        <v>0</v>
      </c>
      <c r="L823" s="9" t="b" cm="1">
        <f t="array" ref="L823">INDEX(stable[is_mandatory],MATCH(VALUE(questions[[#This Row],[qno]]),VALUE(stable[qno]),0))</f>
        <v>1</v>
      </c>
      <c r="M823" s="9" t="b" cm="1">
        <f t="array" ref="M823">INDEX(stable[is_automated],MATCH(VALUE(questions[[#This Row],[qno]]),VALUE(stable[qno]),0))</f>
        <v>1</v>
      </c>
      <c r="N823" s="9" t="b" cm="1">
        <f t="array" ref="N823">INDEX(stable[is_free_text],MATCH(VALUE(questions[[#This Row],[qno]]),VALUE(stable[qno]),0))</f>
        <v>0</v>
      </c>
      <c r="O823" s="9" t="b" cm="1">
        <f t="array" ref="O823">INDEX(stable[is_numerical],MATCH(VALUE(questions[[#This Row],[qno]]),VALUE(stable[qno]),0))</f>
        <v>1</v>
      </c>
      <c r="P823" s="9" t="b" cm="1">
        <f t="array" ref="P823">INDEX(stable[is_single_select],MATCH(VALUE(questions[[#This Row],[qno]]),VALUE(stable[qno]),0))</f>
        <v>0</v>
      </c>
      <c r="Q823" s="9" t="b" cm="1">
        <f t="array" ref="Q823">INDEX(stable[is_multi_select],MATCH(VALUE(questions[[#This Row],[qno]]),VALUE(stable[qno]),0))</f>
        <v>0</v>
      </c>
      <c r="R823" s="9" t="b" cm="1">
        <f t="array" ref="R823">INDEX(stable[is_skip_logic],MATCH(VALUE(questions[[#This Row],[qno]]),VALUE(stable[qno]),0))</f>
        <v>0</v>
      </c>
      <c r="S823" s="9" t="str">
        <f>_xlfn.TEXTJOIN(", ",TRUE,questions[[#This Row],[ans_opt_1]:[ans_opt_14]])</f>
        <v/>
      </c>
      <c r="AH823" s="16" t="b">
        <f>INDEX(stable[q_standard],MATCH(questions[[#This Row],[qno]],stable[qno],0))</f>
        <v>1</v>
      </c>
      <c r="AI823" s="16" t="b">
        <f>INDEX(stable[q_living_income],MATCH(questions[[#This Row],[qno]],stable[qno],0))</f>
        <v>0</v>
      </c>
      <c r="AJ823" s="16" t="b">
        <f>INDEX(stable[q_carbon],MATCH(questions[[#This Row],[qno]],stable[qno],0))</f>
        <v>0</v>
      </c>
      <c r="AK823" s="16" t="b">
        <f>INDEX(stable[q_regen_ag],MATCH(questions[[#This Row],[qno]],stable[qno],0))</f>
        <v>0</v>
      </c>
      <c r="AL823" s="16" t="b">
        <f>COUNTIFS(stable[qno],questions[[#This Row],[qno]])=1</f>
        <v>1</v>
      </c>
      <c r="AM823" s="16" t="b">
        <f>OR(questions[[#This Row],[is_fixed]],questions[[#This Row],[is_localized]],questions[[#This Row],[is_supply_chain_dependent]])</f>
        <v>1</v>
      </c>
      <c r="AN823" s="16" t="b">
        <f>COUNTIFS(questions[[#This Row],[is_automated]:[is_multi_select]],TRUE)=1</f>
        <v>0</v>
      </c>
      <c r="AO823" s="16" t="b">
        <f>IF(questions[[#This Row],[is_fixed]],questions[[#This Row],[question]]=INDEX(stable[question],MATCH(questions[[#This Row],[qno]],stable[qno],0)),TRUE)</f>
        <v>1</v>
      </c>
      <c r="AP823" s="16" t="str">
        <f>LEFT(questions[[#This Row],[question]],similarity_range)</f>
        <v>Audited area (acre)</v>
      </c>
      <c r="AQ823" s="16" t="str">
        <f>LEFT(INDEX(stable[question],MATCH(questions[[#This Row],[qno]],stable[qno],0)),similarity_range)</f>
        <v>Audited area (acre)</v>
      </c>
      <c r="AR823" s="16" t="b">
        <f>questions[[#This Row],[question_first_characters]]=questions[[#This Row],[stability_first_characters]]</f>
        <v>1</v>
      </c>
      <c r="AS823" s="16" t="b">
        <f>IF(OR(questions[[#This Row],[is_single_select]],questions[[#This Row],[is_multi_select]]),NOT(ISBLANK(questions[[#This Row],[answer_opt_combined]])),TRUE)</f>
        <v>1</v>
      </c>
    </row>
    <row r="824" spans="1:45" ht="15.75" customHeight="1" x14ac:dyDescent="0.25">
      <c r="A824" s="9" t="str">
        <f>_xlfn.TEXTJOIN("_",TRUE,questions[[#This Row],[origin]:[qno]])</f>
        <v>Uganda_Robusta_Nespresso_1216</v>
      </c>
      <c r="B824" s="9" t="s">
        <v>511</v>
      </c>
      <c r="C824" s="9" t="s">
        <v>674</v>
      </c>
      <c r="D824" s="9" t="s">
        <v>864</v>
      </c>
      <c r="F824" s="24" t="s">
        <v>97</v>
      </c>
      <c r="G824" s="15" t="s">
        <v>98</v>
      </c>
      <c r="H824" s="9" t="str" cm="1">
        <f t="array" ref="H824">INDEX(stableR[question],MATCH(VALUE(questions[[#This Row],[qno]]),VALUE(stableR[qno]),0))</f>
        <v>Coordinates</v>
      </c>
      <c r="I824" s="9" t="b" cm="1">
        <f t="array" ref="I824">INDEX(stable[is_fixed],MATCH(VALUE(questions[[#This Row],[qno]]),VALUE(stable[qno]),0))</f>
        <v>1</v>
      </c>
      <c r="J824" s="9" t="b" cm="1">
        <f t="array" ref="J824">INDEX(stable[is_localized],MATCH(VALUE(questions[[#This Row],[qno]]),VALUE(stable[qno]),0))</f>
        <v>0</v>
      </c>
      <c r="K824" s="9" t="b" cm="1">
        <f t="array" ref="K824">INDEX(stable[is_supply_chain_dependent],MATCH(VALUE(questions[[#This Row],[qno]]),VALUE(stable[qno]),0))</f>
        <v>0</v>
      </c>
      <c r="L824" s="9" t="b" cm="1">
        <f t="array" ref="L824">INDEX(stable[is_mandatory],MATCH(VALUE(questions[[#This Row],[qno]]),VALUE(stable[qno]),0))</f>
        <v>1</v>
      </c>
      <c r="M824" s="9" t="b" cm="1">
        <f t="array" ref="M824">INDEX(stable[is_automated],MATCH(VALUE(questions[[#This Row],[qno]]),VALUE(stable[qno]),0))</f>
        <v>1</v>
      </c>
      <c r="N824" s="9" t="b" cm="1">
        <f t="array" ref="N824">INDEX(stable[is_free_text],MATCH(VALUE(questions[[#This Row],[qno]]),VALUE(stable[qno]),0))</f>
        <v>0</v>
      </c>
      <c r="O824" s="9" t="b" cm="1">
        <f t="array" ref="O824">INDEX(stable[is_numerical],MATCH(VALUE(questions[[#This Row],[qno]]),VALUE(stable[qno]),0))</f>
        <v>0</v>
      </c>
      <c r="P824" s="9" t="b" cm="1">
        <f t="array" ref="P824">INDEX(stable[is_single_select],MATCH(VALUE(questions[[#This Row],[qno]]),VALUE(stable[qno]),0))</f>
        <v>0</v>
      </c>
      <c r="Q824" s="9" t="b" cm="1">
        <f t="array" ref="Q824">INDEX(stable[is_multi_select],MATCH(VALUE(questions[[#This Row],[qno]]),VALUE(stable[qno]),0))</f>
        <v>0</v>
      </c>
      <c r="R824" s="9" t="b" cm="1">
        <f t="array" ref="R824">INDEX(stable[is_skip_logic],MATCH(VALUE(questions[[#This Row],[qno]]),VALUE(stable[qno]),0))</f>
        <v>0</v>
      </c>
      <c r="S824" s="9" t="str">
        <f>_xlfn.TEXTJOIN(", ",TRUE,questions[[#This Row],[ans_opt_1]:[ans_opt_14]])</f>
        <v/>
      </c>
      <c r="AH824" s="16" t="b">
        <f>INDEX(stable[q_standard],MATCH(questions[[#This Row],[qno]],stable[qno],0))</f>
        <v>1</v>
      </c>
      <c r="AI824" s="16" t="b">
        <f>INDEX(stable[q_living_income],MATCH(questions[[#This Row],[qno]],stable[qno],0))</f>
        <v>0</v>
      </c>
      <c r="AJ824" s="16" t="b">
        <f>INDEX(stable[q_carbon],MATCH(questions[[#This Row],[qno]],stable[qno],0))</f>
        <v>0</v>
      </c>
      <c r="AK824" s="16" t="b">
        <f>INDEX(stable[q_regen_ag],MATCH(questions[[#This Row],[qno]],stable[qno],0))</f>
        <v>0</v>
      </c>
      <c r="AL824" s="16" t="b">
        <f>COUNTIFS(stable[qno],questions[[#This Row],[qno]])=1</f>
        <v>1</v>
      </c>
      <c r="AM824" s="16" t="b">
        <f>OR(questions[[#This Row],[is_fixed]],questions[[#This Row],[is_localized]],questions[[#This Row],[is_supply_chain_dependent]])</f>
        <v>1</v>
      </c>
      <c r="AN824" s="16" t="b">
        <f>COUNTIFS(questions[[#This Row],[is_automated]:[is_multi_select]],TRUE)=1</f>
        <v>1</v>
      </c>
      <c r="AO824" s="16" t="b">
        <f>IF(questions[[#This Row],[is_fixed]],questions[[#This Row],[question]]=INDEX(stable[question],MATCH(questions[[#This Row],[qno]],stable[qno],0)),TRUE)</f>
        <v>1</v>
      </c>
      <c r="AP824" s="16" t="str">
        <f>LEFT(questions[[#This Row],[question]],similarity_range)</f>
        <v>Coordinates</v>
      </c>
      <c r="AQ824" s="16" t="str">
        <f>LEFT(INDEX(stable[question],MATCH(questions[[#This Row],[qno]],stable[qno],0)),similarity_range)</f>
        <v>Coordinates</v>
      </c>
      <c r="AR824" s="16" t="b">
        <f>questions[[#This Row],[question_first_characters]]=questions[[#This Row],[stability_first_characters]]</f>
        <v>1</v>
      </c>
      <c r="AS824" s="16" t="b">
        <f>IF(OR(questions[[#This Row],[is_single_select]],questions[[#This Row],[is_multi_select]]),NOT(ISBLANK(questions[[#This Row],[answer_opt_combined]])),TRUE)</f>
        <v>1</v>
      </c>
    </row>
    <row r="825" spans="1:45" s="77" customFormat="1" ht="15.75" customHeight="1" x14ac:dyDescent="0.25">
      <c r="A825" s="77" t="str">
        <f>_xlfn.TEXTJOIN("_",TRUE,questions[[#This Row],[origin]:[qno]])</f>
        <v>Uganda_Robusta_Nespresso_2000</v>
      </c>
      <c r="B825" s="77" t="s">
        <v>511</v>
      </c>
      <c r="C825" s="77" t="s">
        <v>674</v>
      </c>
      <c r="D825" s="77" t="s">
        <v>864</v>
      </c>
      <c r="F825" s="104" t="s">
        <v>99</v>
      </c>
      <c r="G825" s="78" t="s">
        <v>100</v>
      </c>
      <c r="H825" s="9" t="str" cm="1">
        <f t="array" ref="H825">INDEX(stableR[question],MATCH(VALUE(questions[[#This Row],[qno]]),VALUE(stableR[qno]),0))</f>
        <v>Who was present and answering the questions for the interview?</v>
      </c>
      <c r="I825" s="9" t="b" cm="1">
        <f t="array" ref="I825">INDEX(stable[is_fixed],MATCH(VALUE(questions[[#This Row],[qno]]),VALUE(stable[qno]),0))</f>
        <v>1</v>
      </c>
      <c r="J825" s="9" t="b" cm="1">
        <f t="array" ref="J825">INDEX(stable[is_localized],MATCH(VALUE(questions[[#This Row],[qno]]),VALUE(stable[qno]),0))</f>
        <v>0</v>
      </c>
      <c r="K825" s="9" t="b" cm="1">
        <f t="array" ref="K825">INDEX(stable[is_supply_chain_dependent],MATCH(VALUE(questions[[#This Row],[qno]]),VALUE(stable[qno]),0))</f>
        <v>0</v>
      </c>
      <c r="L825" s="9" t="b" cm="1">
        <f t="array" ref="L825">INDEX(stable[is_mandatory],MATCH(VALUE(questions[[#This Row],[qno]]),VALUE(stable[qno]),0))</f>
        <v>1</v>
      </c>
      <c r="M825" s="9" t="b" cm="1">
        <f t="array" ref="M825">INDEX(stable[is_automated],MATCH(VALUE(questions[[#This Row],[qno]]),VALUE(stable[qno]),0))</f>
        <v>0</v>
      </c>
      <c r="N825" s="9" t="b" cm="1">
        <f t="array" ref="N825">INDEX(stable[is_free_text],MATCH(VALUE(questions[[#This Row],[qno]]),VALUE(stable[qno]),0))</f>
        <v>0</v>
      </c>
      <c r="O825" s="9" t="b" cm="1">
        <f t="array" ref="O825">INDEX(stable[is_numerical],MATCH(VALUE(questions[[#This Row],[qno]]),VALUE(stable[qno]),0))</f>
        <v>0</v>
      </c>
      <c r="P825" s="77" t="b" cm="1">
        <f t="array" ref="P825">INDEX(stable[is_single_select],MATCH(VALUE(questions[[#This Row],[qno]]),VALUE(stable[qno]),0))</f>
        <v>0</v>
      </c>
      <c r="Q825" s="77" t="b" cm="1">
        <f t="array" ref="Q825">INDEX(stable[is_multi_select],MATCH(VALUE(questions[[#This Row],[qno]]),VALUE(stable[qno]),0))</f>
        <v>1</v>
      </c>
      <c r="R825" s="77" t="b" cm="1">
        <f t="array" ref="R825">INDEX(stable[is_skip_logic],MATCH(VALUE(questions[[#This Row],[qno]]),VALUE(stable[qno]),0))</f>
        <v>0</v>
      </c>
      <c r="S825" s="77" t="str">
        <f>_xlfn.TEXTJOIN(", ",TRUE,questions[[#This Row],[ans_opt_1]:[ans_opt_14]])</f>
        <v>Wife, Husband, Other important household member</v>
      </c>
      <c r="T825" s="77" t="s">
        <v>101</v>
      </c>
      <c r="U825" s="77" t="s">
        <v>102</v>
      </c>
      <c r="V825" s="77" t="s">
        <v>103</v>
      </c>
      <c r="AH825" s="98" t="b">
        <f>INDEX(stable[q_standard],MATCH(questions[[#This Row],[qno]],stable[qno],0))</f>
        <v>1</v>
      </c>
      <c r="AI825" s="98" t="b">
        <f>INDEX(stable[q_living_income],MATCH(questions[[#This Row],[qno]],stable[qno],0))</f>
        <v>0</v>
      </c>
      <c r="AJ825" s="98" t="b">
        <f>INDEX(stable[q_carbon],MATCH(questions[[#This Row],[qno]],stable[qno],0))</f>
        <v>0</v>
      </c>
      <c r="AK825" s="98" t="b">
        <f>INDEX(stable[q_regen_ag],MATCH(questions[[#This Row],[qno]],stable[qno],0))</f>
        <v>0</v>
      </c>
      <c r="AL825" s="98" t="b">
        <f>COUNTIFS(stable[qno],questions[[#This Row],[qno]])=1</f>
        <v>1</v>
      </c>
      <c r="AM825" s="98" t="b">
        <f>OR(questions[[#This Row],[is_fixed]],questions[[#This Row],[is_localized]],questions[[#This Row],[is_supply_chain_dependent]])</f>
        <v>1</v>
      </c>
      <c r="AN825" s="98" t="b">
        <f>COUNTIFS(questions[[#This Row],[is_automated]:[is_multi_select]],TRUE)=1</f>
        <v>1</v>
      </c>
      <c r="AO825" s="98" t="b">
        <f>IF(questions[[#This Row],[is_fixed]],questions[[#This Row],[question]]=INDEX(stable[question],MATCH(questions[[#This Row],[qno]],stable[qno],0)),TRUE)</f>
        <v>1</v>
      </c>
      <c r="AP825" s="98" t="str">
        <f>LEFT(questions[[#This Row],[question]],similarity_range)</f>
        <v xml:space="preserve">Who was present and </v>
      </c>
      <c r="AQ825" s="98" t="str">
        <f>LEFT(INDEX(stable[question],MATCH(questions[[#This Row],[qno]],stable[qno],0)),similarity_range)</f>
        <v xml:space="preserve">Who was present and </v>
      </c>
      <c r="AR825" s="98" t="b">
        <f>questions[[#This Row],[question_first_characters]]=questions[[#This Row],[stability_first_characters]]</f>
        <v>1</v>
      </c>
      <c r="AS825" s="98" t="b">
        <f>IF(OR(questions[[#This Row],[is_single_select]],questions[[#This Row],[is_multi_select]]),NOT(ISBLANK(questions[[#This Row],[answer_opt_combined]])),TRUE)</f>
        <v>1</v>
      </c>
    </row>
    <row r="826" spans="1:45" s="77" customFormat="1" ht="15.75" customHeight="1" x14ac:dyDescent="0.25">
      <c r="A826" s="77" t="str">
        <f>_xlfn.TEXTJOIN("_",TRUE,questions[[#This Row],[origin]:[qno]])</f>
        <v>Uganda_Robusta_Nespresso_2001</v>
      </c>
      <c r="B826" s="77" t="s">
        <v>511</v>
      </c>
      <c r="C826" s="77" t="s">
        <v>674</v>
      </c>
      <c r="D826" s="77" t="s">
        <v>864</v>
      </c>
      <c r="F826" s="104" t="s">
        <v>104</v>
      </c>
      <c r="G826" s="78" t="s">
        <v>105</v>
      </c>
      <c r="H826" s="9" t="str" cm="1">
        <f t="array" ref="H826">INDEX(stableR[question],MATCH(VALUE(questions[[#This Row],[qno]]),VALUE(stableR[qno]),0))</f>
        <v>What is the gender of the lead farmer in the household? (The person that is selling the coffee)</v>
      </c>
      <c r="I826" s="9" t="b" cm="1">
        <f t="array" ref="I826">INDEX(stable[is_fixed],MATCH(VALUE(questions[[#This Row],[qno]]),VALUE(stable[qno]),0))</f>
        <v>1</v>
      </c>
      <c r="J826" s="9" t="b" cm="1">
        <f t="array" ref="J826">INDEX(stable[is_localized],MATCH(VALUE(questions[[#This Row],[qno]]),VALUE(stable[qno]),0))</f>
        <v>0</v>
      </c>
      <c r="K826" s="9" t="b" cm="1">
        <f t="array" ref="K826">INDEX(stable[is_supply_chain_dependent],MATCH(VALUE(questions[[#This Row],[qno]]),VALUE(stable[qno]),0))</f>
        <v>0</v>
      </c>
      <c r="L826" s="9" t="b" cm="1">
        <f t="array" ref="L826">INDEX(stable[is_mandatory],MATCH(VALUE(questions[[#This Row],[qno]]),VALUE(stable[qno]),0))</f>
        <v>1</v>
      </c>
      <c r="M826" s="9" t="b" cm="1">
        <f t="array" ref="M826">INDEX(stable[is_automated],MATCH(VALUE(questions[[#This Row],[qno]]),VALUE(stable[qno]),0))</f>
        <v>0</v>
      </c>
      <c r="N826" s="9" t="b" cm="1">
        <f t="array" ref="N826">INDEX(stable[is_free_text],MATCH(VALUE(questions[[#This Row],[qno]]),VALUE(stable[qno]),0))</f>
        <v>0</v>
      </c>
      <c r="O826" s="9" t="b" cm="1">
        <f t="array" ref="O826">INDEX(stable[is_numerical],MATCH(VALUE(questions[[#This Row],[qno]]),VALUE(stable[qno]),0))</f>
        <v>0</v>
      </c>
      <c r="P826" s="77" t="b" cm="1">
        <f t="array" ref="P826">INDEX(stable[is_single_select],MATCH(VALUE(questions[[#This Row],[qno]]),VALUE(stable[qno]),0))</f>
        <v>1</v>
      </c>
      <c r="Q826" s="77" t="b" cm="1">
        <f t="array" ref="Q826">INDEX(stable[is_multi_select],MATCH(VALUE(questions[[#This Row],[qno]]),VALUE(stable[qno]),0))</f>
        <v>0</v>
      </c>
      <c r="R826" s="77" t="b" cm="1">
        <f t="array" ref="R826">INDEX(stable[is_skip_logic],MATCH(VALUE(questions[[#This Row],[qno]]),VALUE(stable[qno]),0))</f>
        <v>0</v>
      </c>
      <c r="S826" s="77" t="str">
        <f>_xlfn.TEXTJOIN(", ",TRUE,questions[[#This Row],[ans_opt_1]:[ans_opt_14]])</f>
        <v>Female, Male</v>
      </c>
      <c r="T826" s="77" t="s">
        <v>106</v>
      </c>
      <c r="U826" s="77" t="s">
        <v>107</v>
      </c>
      <c r="AH826" s="98" t="b">
        <f>INDEX(stable[q_standard],MATCH(questions[[#This Row],[qno]],stable[qno],0))</f>
        <v>1</v>
      </c>
      <c r="AI826" s="98" t="b">
        <f>INDEX(stable[q_living_income],MATCH(questions[[#This Row],[qno]],stable[qno],0))</f>
        <v>0</v>
      </c>
      <c r="AJ826" s="98" t="b">
        <f>INDEX(stable[q_carbon],MATCH(questions[[#This Row],[qno]],stable[qno],0))</f>
        <v>0</v>
      </c>
      <c r="AK826" s="98" t="b">
        <f>INDEX(stable[q_regen_ag],MATCH(questions[[#This Row],[qno]],stable[qno],0))</f>
        <v>0</v>
      </c>
      <c r="AL826" s="98" t="b">
        <f>COUNTIFS(stable[qno],questions[[#This Row],[qno]])=1</f>
        <v>1</v>
      </c>
      <c r="AM826" s="98" t="b">
        <f>OR(questions[[#This Row],[is_fixed]],questions[[#This Row],[is_localized]],questions[[#This Row],[is_supply_chain_dependent]])</f>
        <v>1</v>
      </c>
      <c r="AN826" s="98" t="b">
        <f>COUNTIFS(questions[[#This Row],[is_automated]:[is_multi_select]],TRUE)=1</f>
        <v>1</v>
      </c>
      <c r="AO826" s="98" t="b">
        <f>IF(questions[[#This Row],[is_fixed]],questions[[#This Row],[question]]=INDEX(stable[question],MATCH(questions[[#This Row],[qno]],stable[qno],0)),TRUE)</f>
        <v>1</v>
      </c>
      <c r="AP826" s="98" t="str">
        <f>LEFT(questions[[#This Row],[question]],similarity_range)</f>
        <v>What is the gender o</v>
      </c>
      <c r="AQ826" s="98" t="str">
        <f>LEFT(INDEX(stable[question],MATCH(questions[[#This Row],[qno]],stable[qno],0)),similarity_range)</f>
        <v>What is the gender o</v>
      </c>
      <c r="AR826" s="98" t="b">
        <f>questions[[#This Row],[question_first_characters]]=questions[[#This Row],[stability_first_characters]]</f>
        <v>1</v>
      </c>
      <c r="AS826" s="98" t="b">
        <f>IF(OR(questions[[#This Row],[is_single_select]],questions[[#This Row],[is_multi_select]]),NOT(ISBLANK(questions[[#This Row],[answer_opt_combined]])),TRUE)</f>
        <v>1</v>
      </c>
    </row>
    <row r="827" spans="1:45" s="77" customFormat="1" ht="15.75" customHeight="1" x14ac:dyDescent="0.25">
      <c r="A827" s="77" t="str">
        <f>_xlfn.TEXTJOIN("_",TRUE,questions[[#This Row],[origin]:[qno]])</f>
        <v>Uganda_Robusta_Nespresso_2002</v>
      </c>
      <c r="B827" s="77" t="s">
        <v>511</v>
      </c>
      <c r="C827" s="77" t="s">
        <v>674</v>
      </c>
      <c r="D827" s="77" t="s">
        <v>864</v>
      </c>
      <c r="F827" s="104" t="s">
        <v>108</v>
      </c>
      <c r="G827" s="78" t="s">
        <v>109</v>
      </c>
      <c r="H827" s="9" t="str" cm="1">
        <f t="array" ref="H827">INDEX(stableR[question],MATCH(VALUE(questions[[#This Row],[qno]]),VALUE(stableR[qno]),0))</f>
        <v>What type of household is this?</v>
      </c>
      <c r="I827" s="9" t="b" cm="1">
        <f t="array" ref="I827">INDEX(stable[is_fixed],MATCH(VALUE(questions[[#This Row],[qno]]),VALUE(stable[qno]),0))</f>
        <v>1</v>
      </c>
      <c r="J827" s="9" t="b" cm="1">
        <f t="array" ref="J827">INDEX(stable[is_localized],MATCH(VALUE(questions[[#This Row],[qno]]),VALUE(stable[qno]),0))</f>
        <v>0</v>
      </c>
      <c r="K827" s="9" t="b" cm="1">
        <f t="array" ref="K827">INDEX(stable[is_supply_chain_dependent],MATCH(VALUE(questions[[#This Row],[qno]]),VALUE(stable[qno]),0))</f>
        <v>0</v>
      </c>
      <c r="L827" s="9" t="b" cm="1">
        <f t="array" ref="L827">INDEX(stable[is_mandatory],MATCH(VALUE(questions[[#This Row],[qno]]),VALUE(stable[qno]),0))</f>
        <v>1</v>
      </c>
      <c r="M827" s="9" t="b" cm="1">
        <f t="array" ref="M827">INDEX(stable[is_automated],MATCH(VALUE(questions[[#This Row],[qno]]),VALUE(stable[qno]),0))</f>
        <v>0</v>
      </c>
      <c r="N827" s="9" t="b" cm="1">
        <f t="array" ref="N827">INDEX(stable[is_free_text],MATCH(VALUE(questions[[#This Row],[qno]]),VALUE(stable[qno]),0))</f>
        <v>0</v>
      </c>
      <c r="O827" s="9" t="b" cm="1">
        <f t="array" ref="O827">INDEX(stable[is_numerical],MATCH(VALUE(questions[[#This Row],[qno]]),VALUE(stable[qno]),0))</f>
        <v>0</v>
      </c>
      <c r="P827" s="77" t="b" cm="1">
        <f t="array" ref="P827">INDEX(stable[is_single_select],MATCH(VALUE(questions[[#This Row],[qno]]),VALUE(stable[qno]),0))</f>
        <v>1</v>
      </c>
      <c r="Q827" s="77" t="b" cm="1">
        <f t="array" ref="Q827">INDEX(stable[is_multi_select],MATCH(VALUE(questions[[#This Row],[qno]]),VALUE(stable[qno]),0))</f>
        <v>0</v>
      </c>
      <c r="R827" s="77" t="b" cm="1">
        <f t="array" ref="R827">INDEX(stable[is_skip_logic],MATCH(VALUE(questions[[#This Row],[qno]]),VALUE(stable[qno]),0))</f>
        <v>0</v>
      </c>
      <c r="S827" s="77" t="str">
        <f>_xlfn.TEXTJOIN(", ",TRUE,questions[[#This Row],[ans_opt_1]:[ans_opt_14]])</f>
        <v>Male headed, Female headed, Other</v>
      </c>
      <c r="T827" s="77" t="s">
        <v>110</v>
      </c>
      <c r="U827" s="77" t="s">
        <v>111</v>
      </c>
      <c r="V827" s="77" t="s">
        <v>112</v>
      </c>
      <c r="AH827" s="98" t="b">
        <f>INDEX(stable[q_standard],MATCH(questions[[#This Row],[qno]],stable[qno],0))</f>
        <v>1</v>
      </c>
      <c r="AI827" s="98" t="b">
        <f>INDEX(stable[q_living_income],MATCH(questions[[#This Row],[qno]],stable[qno],0))</f>
        <v>0</v>
      </c>
      <c r="AJ827" s="98" t="b">
        <f>INDEX(stable[q_carbon],MATCH(questions[[#This Row],[qno]],stable[qno],0))</f>
        <v>0</v>
      </c>
      <c r="AK827" s="98" t="b">
        <f>INDEX(stable[q_regen_ag],MATCH(questions[[#This Row],[qno]],stable[qno],0))</f>
        <v>0</v>
      </c>
      <c r="AL827" s="98" t="b">
        <f>COUNTIFS(stable[qno],questions[[#This Row],[qno]])=1</f>
        <v>1</v>
      </c>
      <c r="AM827" s="98" t="b">
        <f>OR(questions[[#This Row],[is_fixed]],questions[[#This Row],[is_localized]],questions[[#This Row],[is_supply_chain_dependent]])</f>
        <v>1</v>
      </c>
      <c r="AN827" s="98" t="b">
        <f>COUNTIFS(questions[[#This Row],[is_automated]:[is_multi_select]],TRUE)=1</f>
        <v>1</v>
      </c>
      <c r="AO827" s="98" t="b">
        <f>IF(questions[[#This Row],[is_fixed]],questions[[#This Row],[question]]=INDEX(stable[question],MATCH(questions[[#This Row],[qno]],stable[qno],0)),TRUE)</f>
        <v>1</v>
      </c>
      <c r="AP827" s="98" t="str">
        <f>LEFT(questions[[#This Row],[question]],similarity_range)</f>
        <v>What type of househo</v>
      </c>
      <c r="AQ827" s="98" t="str">
        <f>LEFT(INDEX(stable[question],MATCH(questions[[#This Row],[qno]],stable[qno],0)),similarity_range)</f>
        <v>What type of househo</v>
      </c>
      <c r="AR827" s="98" t="b">
        <f>questions[[#This Row],[question_first_characters]]=questions[[#This Row],[stability_first_characters]]</f>
        <v>1</v>
      </c>
      <c r="AS827" s="98" t="b">
        <f>IF(OR(questions[[#This Row],[is_single_select]],questions[[#This Row],[is_multi_select]]),NOT(ISBLANK(questions[[#This Row],[answer_opt_combined]])),TRUE)</f>
        <v>1</v>
      </c>
    </row>
    <row r="828" spans="1:45" ht="15.75" customHeight="1" x14ac:dyDescent="0.25">
      <c r="A828" s="9" t="str">
        <f>_xlfn.TEXTJOIN("_",TRUE,questions[[#This Row],[origin]:[qno]])</f>
        <v>Uganda_Robusta_Nespresso_2003</v>
      </c>
      <c r="B828" s="9" t="s">
        <v>511</v>
      </c>
      <c r="C828" s="9" t="s">
        <v>674</v>
      </c>
      <c r="D828" s="9" t="s">
        <v>864</v>
      </c>
      <c r="F828" s="24" t="s">
        <v>113</v>
      </c>
      <c r="G828" s="15" t="s">
        <v>865</v>
      </c>
      <c r="H828" s="9" t="str" cm="1">
        <f t="array" ref="H828">INDEX(stableR[question],MATCH(VALUE(questions[[#This Row],[qno]]),VALUE(stableR[qno]),0))</f>
        <v>How many adults live in your household, that are above 18 years (including the respondent)? (Household members are those that stay more than three months per year within the same household and that 'eat from the same pot'.)</v>
      </c>
      <c r="I828" s="9" t="b" cm="1">
        <f t="array" ref="I828">INDEX(stable[is_fixed],MATCH(VALUE(questions[[#This Row],[qno]]),VALUE(stable[qno]),0))</f>
        <v>1</v>
      </c>
      <c r="J828" s="9" t="b" cm="1">
        <f t="array" ref="J828">INDEX(stable[is_localized],MATCH(VALUE(questions[[#This Row],[qno]]),VALUE(stable[qno]),0))</f>
        <v>0</v>
      </c>
      <c r="K828" s="9" t="b" cm="1">
        <f t="array" ref="K828">INDEX(stable[is_supply_chain_dependent],MATCH(VALUE(questions[[#This Row],[qno]]),VALUE(stable[qno]),0))</f>
        <v>0</v>
      </c>
      <c r="L828" s="9" t="b" cm="1">
        <f t="array" ref="L828">INDEX(stable[is_mandatory],MATCH(VALUE(questions[[#This Row],[qno]]),VALUE(stable[qno]),0))</f>
        <v>1</v>
      </c>
      <c r="M828" s="9" t="b" cm="1">
        <f t="array" ref="M828">INDEX(stable[is_automated],MATCH(VALUE(questions[[#This Row],[qno]]),VALUE(stable[qno]),0))</f>
        <v>0</v>
      </c>
      <c r="N828" s="9" t="b" cm="1">
        <f t="array" ref="N828">INDEX(stable[is_free_text],MATCH(VALUE(questions[[#This Row],[qno]]),VALUE(stable[qno]),0))</f>
        <v>0</v>
      </c>
      <c r="O828" s="9" t="b" cm="1">
        <f t="array" ref="O828">INDEX(stable[is_numerical],MATCH(VALUE(questions[[#This Row],[qno]]),VALUE(stable[qno]),0))</f>
        <v>1</v>
      </c>
      <c r="P828" s="9" t="b" cm="1">
        <f t="array" ref="P828">INDEX(stable[is_single_select],MATCH(VALUE(questions[[#This Row],[qno]]),VALUE(stable[qno]),0))</f>
        <v>0</v>
      </c>
      <c r="Q828" s="9" t="b" cm="1">
        <f t="array" ref="Q828">INDEX(stable[is_multi_select],MATCH(VALUE(questions[[#This Row],[qno]]),VALUE(stable[qno]),0))</f>
        <v>0</v>
      </c>
      <c r="R828" s="9" t="b" cm="1">
        <f t="array" ref="R828">INDEX(stable[is_skip_logic],MATCH(VALUE(questions[[#This Row],[qno]]),VALUE(stable[qno]),0))</f>
        <v>0</v>
      </c>
      <c r="S828" s="9" t="str">
        <f>_xlfn.TEXTJOIN(", ",TRUE,questions[[#This Row],[ans_opt_1]:[ans_opt_14]])</f>
        <v/>
      </c>
      <c r="AH828" s="16" t="b">
        <f>INDEX(stable[q_standard],MATCH(questions[[#This Row],[qno]],stable[qno],0))</f>
        <v>1</v>
      </c>
      <c r="AI828" s="16" t="b">
        <f>INDEX(stable[q_living_income],MATCH(questions[[#This Row],[qno]],stable[qno],0))</f>
        <v>0</v>
      </c>
      <c r="AJ828" s="16" t="b">
        <f>INDEX(stable[q_carbon],MATCH(questions[[#This Row],[qno]],stable[qno],0))</f>
        <v>0</v>
      </c>
      <c r="AK828" s="16" t="b">
        <f>INDEX(stable[q_regen_ag],MATCH(questions[[#This Row],[qno]],stable[qno],0))</f>
        <v>0</v>
      </c>
      <c r="AL828" s="16" t="b">
        <f>COUNTIFS(stable[qno],questions[[#This Row],[qno]])=1</f>
        <v>1</v>
      </c>
      <c r="AM828" s="16" t="b">
        <f>OR(questions[[#This Row],[is_fixed]],questions[[#This Row],[is_localized]],questions[[#This Row],[is_supply_chain_dependent]])</f>
        <v>1</v>
      </c>
      <c r="AN828" s="16" t="b">
        <f>COUNTIFS(questions[[#This Row],[is_automated]:[is_multi_select]],TRUE)=1</f>
        <v>1</v>
      </c>
      <c r="AO828" s="16" t="b">
        <f>IF(questions[[#This Row],[is_fixed]],questions[[#This Row],[question]]=INDEX(stable[question],MATCH(questions[[#This Row],[qno]],stable[qno],0)),TRUE)</f>
        <v>0</v>
      </c>
      <c r="AP828" s="16" t="str">
        <f>LEFT(questions[[#This Row],[question]],similarity_range)</f>
        <v>How many adults live</v>
      </c>
      <c r="AQ828" s="16" t="str">
        <f>LEFT(INDEX(stable[question],MATCH(questions[[#This Row],[qno]],stable[qno],0)),similarity_range)</f>
        <v>How many adults live</v>
      </c>
      <c r="AR828" s="16" t="b">
        <f>questions[[#This Row],[question_first_characters]]=questions[[#This Row],[stability_first_characters]]</f>
        <v>1</v>
      </c>
      <c r="AS828" s="16" t="b">
        <f>IF(OR(questions[[#This Row],[is_single_select]],questions[[#This Row],[is_multi_select]]),NOT(ISBLANK(questions[[#This Row],[answer_opt_combined]])),TRUE)</f>
        <v>1</v>
      </c>
    </row>
    <row r="829" spans="1:45" ht="15.75" customHeight="1" x14ac:dyDescent="0.25">
      <c r="A829" s="9" t="str">
        <f>_xlfn.TEXTJOIN("_",TRUE,questions[[#This Row],[origin]:[qno]])</f>
        <v>Uganda_Robusta_Nespresso_2004</v>
      </c>
      <c r="B829" s="9" t="s">
        <v>511</v>
      </c>
      <c r="C829" s="9" t="s">
        <v>674</v>
      </c>
      <c r="D829" s="9" t="s">
        <v>864</v>
      </c>
      <c r="F829" s="24" t="s">
        <v>115</v>
      </c>
      <c r="G829" s="15" t="s">
        <v>116</v>
      </c>
      <c r="H829" s="9" t="str" cm="1">
        <f t="array" ref="H829">INDEX(stableR[question],MATCH(VALUE(questions[[#This Row],[qno]]),VALUE(stableR[qno]),0))</f>
        <v>How many children living in your household, are below 18 years? (Household members are those that stay more than three months per year within the same household and that 'eat from the same pot.')</v>
      </c>
      <c r="I829" s="9" t="b" cm="1">
        <f t="array" ref="I829">INDEX(stable[is_fixed],MATCH(VALUE(questions[[#This Row],[qno]]),VALUE(stable[qno]),0))</f>
        <v>1</v>
      </c>
      <c r="J829" s="9" t="b" cm="1">
        <f t="array" ref="J829">INDEX(stable[is_localized],MATCH(VALUE(questions[[#This Row],[qno]]),VALUE(stable[qno]),0))</f>
        <v>0</v>
      </c>
      <c r="K829" s="9" t="b" cm="1">
        <f t="array" ref="K829">INDEX(stable[is_supply_chain_dependent],MATCH(VALUE(questions[[#This Row],[qno]]),VALUE(stable[qno]),0))</f>
        <v>0</v>
      </c>
      <c r="L829" s="9" t="b" cm="1">
        <f t="array" ref="L829">INDEX(stable[is_mandatory],MATCH(VALUE(questions[[#This Row],[qno]]),VALUE(stable[qno]),0))</f>
        <v>1</v>
      </c>
      <c r="M829" s="9" t="b" cm="1">
        <f t="array" ref="M829">INDEX(stable[is_automated],MATCH(VALUE(questions[[#This Row],[qno]]),VALUE(stable[qno]),0))</f>
        <v>0</v>
      </c>
      <c r="N829" s="9" t="b" cm="1">
        <f t="array" ref="N829">INDEX(stable[is_free_text],MATCH(VALUE(questions[[#This Row],[qno]]),VALUE(stable[qno]),0))</f>
        <v>0</v>
      </c>
      <c r="O829" s="9" t="b" cm="1">
        <f t="array" ref="O829">INDEX(stable[is_numerical],MATCH(VALUE(questions[[#This Row],[qno]]),VALUE(stable[qno]),0))</f>
        <v>1</v>
      </c>
      <c r="P829" s="9" t="b" cm="1">
        <f t="array" ref="P829">INDEX(stable[is_single_select],MATCH(VALUE(questions[[#This Row],[qno]]),VALUE(stable[qno]),0))</f>
        <v>0</v>
      </c>
      <c r="Q829" s="9" t="b" cm="1">
        <f t="array" ref="Q829">INDEX(stable[is_multi_select],MATCH(VALUE(questions[[#This Row],[qno]]),VALUE(stable[qno]),0))</f>
        <v>0</v>
      </c>
      <c r="R829" s="9" t="b" cm="1">
        <f t="array" ref="R829">INDEX(stable[is_skip_logic],MATCH(VALUE(questions[[#This Row],[qno]]),VALUE(stable[qno]),0))</f>
        <v>0</v>
      </c>
      <c r="S829" s="9" t="str">
        <f>_xlfn.TEXTJOIN(", ",TRUE,questions[[#This Row],[ans_opt_1]:[ans_opt_14]])</f>
        <v/>
      </c>
      <c r="AH829" s="16" t="b">
        <f>INDEX(stable[q_standard],MATCH(questions[[#This Row],[qno]],stable[qno],0))</f>
        <v>1</v>
      </c>
      <c r="AI829" s="16" t="b">
        <f>INDEX(stable[q_living_income],MATCH(questions[[#This Row],[qno]],stable[qno],0))</f>
        <v>0</v>
      </c>
      <c r="AJ829" s="16" t="b">
        <f>INDEX(stable[q_carbon],MATCH(questions[[#This Row],[qno]],stable[qno],0))</f>
        <v>0</v>
      </c>
      <c r="AK829" s="16" t="b">
        <f>INDEX(stable[q_regen_ag],MATCH(questions[[#This Row],[qno]],stable[qno],0))</f>
        <v>0</v>
      </c>
      <c r="AL829" s="16" t="b">
        <f>COUNTIFS(stable[qno],questions[[#This Row],[qno]])=1</f>
        <v>1</v>
      </c>
      <c r="AM829" s="16" t="b">
        <f>OR(questions[[#This Row],[is_fixed]],questions[[#This Row],[is_localized]],questions[[#This Row],[is_supply_chain_dependent]])</f>
        <v>1</v>
      </c>
      <c r="AN829" s="16" t="b">
        <f>COUNTIFS(questions[[#This Row],[is_automated]:[is_multi_select]],TRUE)=1</f>
        <v>1</v>
      </c>
      <c r="AO829" s="16" t="b">
        <f>IF(questions[[#This Row],[is_fixed]],questions[[#This Row],[question]]=INDEX(stable[question],MATCH(questions[[#This Row],[qno]],stable[qno],0)),TRUE)</f>
        <v>1</v>
      </c>
      <c r="AP829" s="16" t="str">
        <f>LEFT(questions[[#This Row],[question]],similarity_range)</f>
        <v>How many children li</v>
      </c>
      <c r="AQ829" s="16" t="str">
        <f>LEFT(INDEX(stable[question],MATCH(questions[[#This Row],[qno]],stable[qno],0)),similarity_range)</f>
        <v>How many children li</v>
      </c>
      <c r="AR829" s="16" t="b">
        <f>questions[[#This Row],[question_first_characters]]=questions[[#This Row],[stability_first_characters]]</f>
        <v>1</v>
      </c>
      <c r="AS829" s="16" t="b">
        <f>IF(OR(questions[[#This Row],[is_single_select]],questions[[#This Row],[is_multi_select]]),NOT(ISBLANK(questions[[#This Row],[answer_opt_combined]])),TRUE)</f>
        <v>1</v>
      </c>
    </row>
    <row r="830" spans="1:45" s="77" customFormat="1" ht="15.75" customHeight="1" x14ac:dyDescent="0.25">
      <c r="A830" s="77" t="str">
        <f>_xlfn.TEXTJOIN("_",TRUE,questions[[#This Row],[origin]:[qno]])</f>
        <v>Uganda_Robusta_Nespresso_2100</v>
      </c>
      <c r="B830" s="77" t="s">
        <v>511</v>
      </c>
      <c r="C830" s="77" t="s">
        <v>674</v>
      </c>
      <c r="D830" s="77" t="s">
        <v>864</v>
      </c>
      <c r="F830" s="104" t="s">
        <v>117</v>
      </c>
      <c r="G830" s="78" t="s">
        <v>118</v>
      </c>
      <c r="H830" s="9" t="str" cm="1">
        <f t="array" ref="H830">INDEX(stableR[question],MATCH(VALUE(questions[[#This Row],[qno]]),VALUE(stableR[qno]),0))</f>
        <v>If your farm is certified, under which certification scheme(s) is it certified?</v>
      </c>
      <c r="I830" s="9" t="b" cm="1">
        <f t="array" ref="I830">INDEX(stable[is_fixed],MATCH(VALUE(questions[[#This Row],[qno]]),VALUE(stable[qno]),0))</f>
        <v>1</v>
      </c>
      <c r="J830" s="9" t="b" cm="1">
        <f t="array" ref="J830">INDEX(stable[is_localized],MATCH(VALUE(questions[[#This Row],[qno]]),VALUE(stable[qno]),0))</f>
        <v>0</v>
      </c>
      <c r="K830" s="9" t="b" cm="1">
        <f t="array" ref="K830">INDEX(stable[is_supply_chain_dependent],MATCH(VALUE(questions[[#This Row],[qno]]),VALUE(stable[qno]),0))</f>
        <v>0</v>
      </c>
      <c r="L830" s="9" t="b" cm="1">
        <f t="array" ref="L830">INDEX(stable[is_mandatory],MATCH(VALUE(questions[[#This Row],[qno]]),VALUE(stable[qno]),0))</f>
        <v>1</v>
      </c>
      <c r="M830" s="9" t="b" cm="1">
        <f t="array" ref="M830">INDEX(stable[is_automated],MATCH(VALUE(questions[[#This Row],[qno]]),VALUE(stable[qno]),0))</f>
        <v>0</v>
      </c>
      <c r="N830" s="9" t="b" cm="1">
        <f t="array" ref="N830">INDEX(stable[is_free_text],MATCH(VALUE(questions[[#This Row],[qno]]),VALUE(stable[qno]),0))</f>
        <v>0</v>
      </c>
      <c r="O830" s="9" t="b" cm="1">
        <f t="array" ref="O830">INDEX(stable[is_numerical],MATCH(VALUE(questions[[#This Row],[qno]]),VALUE(stable[qno]),0))</f>
        <v>0</v>
      </c>
      <c r="P830" s="77" t="b" cm="1">
        <f t="array" ref="P830">INDEX(stable[is_single_select],MATCH(VALUE(questions[[#This Row],[qno]]),VALUE(stable[qno]),0))</f>
        <v>0</v>
      </c>
      <c r="Q830" s="77" t="b" cm="1">
        <f t="array" ref="Q830">INDEX(stable[is_multi_select],MATCH(VALUE(questions[[#This Row],[qno]]),VALUE(stable[qno]),0))</f>
        <v>1</v>
      </c>
      <c r="R830" s="77" t="b" cm="1">
        <f t="array" ref="R830">INDEX(stable[is_skip_logic],MATCH(VALUE(questions[[#This Row],[qno]]),VALUE(stable[qno]),0))</f>
        <v>1</v>
      </c>
      <c r="S830" s="77" t="str">
        <f>_xlfn.TEXTJOIN(", ",TRUE,questions[[#This Row],[ans_opt_1]:[ans_opt_14]])</f>
        <v>No, Rainforest alliance, IMPACT, 4C, Fair trade, Organic, CAFÉ practices, RegenAgri, Nespresso AAA, Other</v>
      </c>
      <c r="T830" s="77" t="s">
        <v>119</v>
      </c>
      <c r="U830" s="77" t="s">
        <v>721</v>
      </c>
      <c r="V830" s="77" t="s">
        <v>120</v>
      </c>
      <c r="W830" s="77" t="s">
        <v>121</v>
      </c>
      <c r="X830" s="77" t="s">
        <v>722</v>
      </c>
      <c r="Y830" s="77" t="s">
        <v>124</v>
      </c>
      <c r="Z830" s="77" t="s">
        <v>125</v>
      </c>
      <c r="AA830" s="77" t="s">
        <v>126</v>
      </c>
      <c r="AB830" s="77" t="s">
        <v>866</v>
      </c>
      <c r="AC830" s="77" t="s">
        <v>112</v>
      </c>
      <c r="AH830" s="98" t="b">
        <f>INDEX(stable[q_standard],MATCH(questions[[#This Row],[qno]],stable[qno],0))</f>
        <v>0</v>
      </c>
      <c r="AI830" s="98" t="b">
        <f>INDEX(stable[q_living_income],MATCH(questions[[#This Row],[qno]],stable[qno],0))</f>
        <v>0</v>
      </c>
      <c r="AJ830" s="98" t="b">
        <f>INDEX(stable[q_carbon],MATCH(questions[[#This Row],[qno]],stable[qno],0))</f>
        <v>0</v>
      </c>
      <c r="AK830" s="98" t="b">
        <f>INDEX(stable[q_regen_ag],MATCH(questions[[#This Row],[qno]],stable[qno],0))</f>
        <v>1</v>
      </c>
      <c r="AL830" s="98" t="b">
        <f>COUNTIFS(stable[qno],questions[[#This Row],[qno]])=1</f>
        <v>1</v>
      </c>
      <c r="AM830" s="98" t="b">
        <f>OR(questions[[#This Row],[is_fixed]],questions[[#This Row],[is_localized]],questions[[#This Row],[is_supply_chain_dependent]])</f>
        <v>1</v>
      </c>
      <c r="AN830" s="98" t="b">
        <f>COUNTIFS(questions[[#This Row],[is_automated]:[is_multi_select]],TRUE)=1</f>
        <v>1</v>
      </c>
      <c r="AO830" s="98" t="b">
        <f>IF(questions[[#This Row],[is_fixed]],questions[[#This Row],[question]]=INDEX(stable[question],MATCH(questions[[#This Row],[qno]],stable[qno],0)),TRUE)</f>
        <v>1</v>
      </c>
      <c r="AP830" s="98" t="str">
        <f>LEFT(questions[[#This Row],[question]],similarity_range)</f>
        <v>Is your farm certifi</v>
      </c>
      <c r="AQ830" s="98" t="str">
        <f>LEFT(INDEX(stable[question],MATCH(questions[[#This Row],[qno]],stable[qno],0)),similarity_range)</f>
        <v>Is your farm certifi</v>
      </c>
      <c r="AR830" s="98" t="b">
        <f>questions[[#This Row],[question_first_characters]]=questions[[#This Row],[stability_first_characters]]</f>
        <v>1</v>
      </c>
      <c r="AS830" s="98" t="b">
        <f>IF(OR(questions[[#This Row],[is_single_select]],questions[[#This Row],[is_multi_select]]),NOT(ISBLANK(questions[[#This Row],[answer_opt_combined]])),TRUE)</f>
        <v>1</v>
      </c>
    </row>
    <row r="831" spans="1:45" s="77" customFormat="1" ht="15.75" customHeight="1" x14ac:dyDescent="0.25">
      <c r="A831" s="77" t="str">
        <f>_xlfn.TEXTJOIN("_",TRUE,questions[[#This Row],[origin]:[qno]])</f>
        <v>Uganda_Robusta_Nespresso_2101</v>
      </c>
      <c r="B831" s="77" t="s">
        <v>511</v>
      </c>
      <c r="C831" s="77" t="s">
        <v>674</v>
      </c>
      <c r="D831" s="77" t="s">
        <v>864</v>
      </c>
      <c r="F831" s="104" t="s">
        <v>127</v>
      </c>
      <c r="G831" s="78" t="s">
        <v>128</v>
      </c>
      <c r="H831" s="9" t="str" cm="1">
        <f t="array" ref="H831">INDEX(stableR[question],MATCH(VALUE(questions[[#This Row],[qno]]),VALUE(stableR[qno]),0))</f>
        <v>If yes, since when have you been certified? (In case you are part of multiple certification schemes, consider the one that you are in longest.)</v>
      </c>
      <c r="I831" s="9" t="b" cm="1">
        <f t="array" ref="I831">INDEX(stable[is_fixed],MATCH(VALUE(questions[[#This Row],[qno]]),VALUE(stable[qno]),0))</f>
        <v>1</v>
      </c>
      <c r="J831" s="9" t="b" cm="1">
        <f t="array" ref="J831">INDEX(stable[is_localized],MATCH(VALUE(questions[[#This Row],[qno]]),VALUE(stable[qno]),0))</f>
        <v>0</v>
      </c>
      <c r="K831" s="9" t="b" cm="1">
        <f t="array" ref="K831">INDEX(stable[is_supply_chain_dependent],MATCH(VALUE(questions[[#This Row],[qno]]),VALUE(stable[qno]),0))</f>
        <v>0</v>
      </c>
      <c r="L831" s="9" t="b" cm="1">
        <f t="array" ref="L831">INDEX(stable[is_mandatory],MATCH(VALUE(questions[[#This Row],[qno]]),VALUE(stable[qno]),0))</f>
        <v>0</v>
      </c>
      <c r="M831" s="9" t="b" cm="1">
        <f t="array" ref="M831">INDEX(stable[is_automated],MATCH(VALUE(questions[[#This Row],[qno]]),VALUE(stable[qno]),0))</f>
        <v>0</v>
      </c>
      <c r="N831" s="9" t="b" cm="1">
        <f t="array" ref="N831">INDEX(stable[is_free_text],MATCH(VALUE(questions[[#This Row],[qno]]),VALUE(stable[qno]),0))</f>
        <v>0</v>
      </c>
      <c r="O831" s="9" t="b" cm="1">
        <f t="array" ref="O831">INDEX(stable[is_numerical],MATCH(VALUE(questions[[#This Row],[qno]]),VALUE(stable[qno]),0))</f>
        <v>0</v>
      </c>
      <c r="P831" s="77" t="b" cm="1">
        <f t="array" ref="P831">INDEX(stable[is_single_select],MATCH(VALUE(questions[[#This Row],[qno]]),VALUE(stable[qno]),0))</f>
        <v>1</v>
      </c>
      <c r="Q831" s="77" t="b" cm="1">
        <f t="array" ref="Q831">INDEX(stable[is_multi_select],MATCH(VALUE(questions[[#This Row],[qno]]),VALUE(stable[qno]),0))</f>
        <v>0</v>
      </c>
      <c r="R831" s="77" t="b" cm="1">
        <f t="array" ref="R831">INDEX(stable[is_skip_logic],MATCH(VALUE(questions[[#This Row],[qno]]),VALUE(stable[qno]),0))</f>
        <v>1</v>
      </c>
      <c r="S831" s="77" t="str">
        <f>_xlfn.TEXTJOIN(", ",TRUE,questions[[#This Row],[ans_opt_1]:[ans_opt_14]])</f>
        <v>1-2 years, 3-4 years, &gt;=5 years</v>
      </c>
      <c r="T831" s="77" t="s">
        <v>129</v>
      </c>
      <c r="U831" s="77" t="s">
        <v>130</v>
      </c>
      <c r="V831" s="77" t="s">
        <v>131</v>
      </c>
      <c r="AH831" s="98" t="b">
        <f>INDEX(stable[q_standard],MATCH(questions[[#This Row],[qno]],stable[qno],0))</f>
        <v>0</v>
      </c>
      <c r="AI831" s="98" t="b">
        <f>INDEX(stable[q_living_income],MATCH(questions[[#This Row],[qno]],stable[qno],0))</f>
        <v>0</v>
      </c>
      <c r="AJ831" s="98" t="b">
        <f>INDEX(stable[q_carbon],MATCH(questions[[#This Row],[qno]],stable[qno],0))</f>
        <v>0</v>
      </c>
      <c r="AK831" s="98" t="b">
        <f>INDEX(stable[q_regen_ag],MATCH(questions[[#This Row],[qno]],stable[qno],0))</f>
        <v>1</v>
      </c>
      <c r="AL831" s="98" t="b">
        <f>COUNTIFS(stable[qno],questions[[#This Row],[qno]])=1</f>
        <v>1</v>
      </c>
      <c r="AM831" s="98" t="b">
        <f>OR(questions[[#This Row],[is_fixed]],questions[[#This Row],[is_localized]],questions[[#This Row],[is_supply_chain_dependent]])</f>
        <v>1</v>
      </c>
      <c r="AN831" s="98" t="b">
        <f>COUNTIFS(questions[[#This Row],[is_automated]:[is_multi_select]],TRUE)=1</f>
        <v>1</v>
      </c>
      <c r="AO831" s="98" t="b">
        <f>IF(questions[[#This Row],[is_fixed]],questions[[#This Row],[question]]=INDEX(stable[question],MATCH(questions[[#This Row],[qno]],stable[qno],0)),TRUE)</f>
        <v>0</v>
      </c>
      <c r="AP831" s="98" t="str">
        <f>LEFT(questions[[#This Row],[question]],similarity_range)</f>
        <v>If yes, since when h</v>
      </c>
      <c r="AQ831" s="98" t="str">
        <f>LEFT(INDEX(stable[question],MATCH(questions[[#This Row],[qno]],stable[qno],0)),similarity_range)</f>
        <v>If yes, since when h</v>
      </c>
      <c r="AR831" s="98" t="b">
        <f>questions[[#This Row],[question_first_characters]]=questions[[#This Row],[stability_first_characters]]</f>
        <v>1</v>
      </c>
      <c r="AS831" s="98" t="b">
        <f>IF(OR(questions[[#This Row],[is_single_select]],questions[[#This Row],[is_multi_select]]),NOT(ISBLANK(questions[[#This Row],[answer_opt_combined]])),TRUE)</f>
        <v>1</v>
      </c>
    </row>
    <row r="832" spans="1:45" s="77" customFormat="1" ht="15.75" customHeight="1" x14ac:dyDescent="0.25">
      <c r="A832" s="77" t="str">
        <f>_xlfn.TEXTJOIN("_",TRUE,questions[[#This Row],[origin]:[qno]])</f>
        <v>Uganda_Robusta_Nespresso_2200</v>
      </c>
      <c r="B832" s="77" t="s">
        <v>511</v>
      </c>
      <c r="C832" s="77" t="s">
        <v>674</v>
      </c>
      <c r="D832" s="77" t="s">
        <v>864</v>
      </c>
      <c r="F832" s="104" t="s">
        <v>132</v>
      </c>
      <c r="G832" s="78" t="s">
        <v>867</v>
      </c>
      <c r="H832" s="9" t="str" cm="1">
        <f t="array" ref="H832">INDEX(stableR[question],MATCH(VALUE(questions[[#This Row],[qno]]),VALUE(stableR[qno]),0))</f>
        <v>What is the name of the Sucafina coffee collection point you delivered your coffee to (e.g. name of  washing station/hulling station/cooperative/ intermediary), or which one is closest to you?</v>
      </c>
      <c r="I832" s="9" t="b" cm="1">
        <f t="array" ref="I832">INDEX(stable[is_fixed],MATCH(VALUE(questions[[#This Row],[qno]]),VALUE(stable[qno]),0))</f>
        <v>0</v>
      </c>
      <c r="J832" s="9" t="b" cm="1">
        <f t="array" ref="J832">INDEX(stable[is_localized],MATCH(VALUE(questions[[#This Row],[qno]]),VALUE(stable[qno]),0))</f>
        <v>1</v>
      </c>
      <c r="K832" s="9" t="b" cm="1">
        <f t="array" ref="K832">INDEX(stable[is_supply_chain_dependent],MATCH(VALUE(questions[[#This Row],[qno]]),VALUE(stable[qno]),0))</f>
        <v>0</v>
      </c>
      <c r="L832" s="9" t="b" cm="1">
        <f t="array" ref="L832">INDEX(stable[is_mandatory],MATCH(VALUE(questions[[#This Row],[qno]]),VALUE(stable[qno]),0))</f>
        <v>1</v>
      </c>
      <c r="M832" s="9" t="b" cm="1">
        <f t="array" ref="M832">INDEX(stable[is_automated],MATCH(VALUE(questions[[#This Row],[qno]]),VALUE(stable[qno]),0))</f>
        <v>0</v>
      </c>
      <c r="N832" s="9" t="b" cm="1">
        <f t="array" ref="N832">INDEX(stable[is_free_text],MATCH(VALUE(questions[[#This Row],[qno]]),VALUE(stable[qno]),0))</f>
        <v>0</v>
      </c>
      <c r="O832" s="9" t="b" cm="1">
        <f t="array" ref="O832">INDEX(stable[is_numerical],MATCH(VALUE(questions[[#This Row],[qno]]),VALUE(stable[qno]),0))</f>
        <v>0</v>
      </c>
      <c r="P832" s="77" t="b" cm="1">
        <f t="array" ref="P832">INDEX(stable[is_single_select],MATCH(VALUE(questions[[#This Row],[qno]]),VALUE(stable[qno]),0))</f>
        <v>1</v>
      </c>
      <c r="Q832" s="77" t="b" cm="1">
        <f t="array" ref="Q832">INDEX(stable[is_multi_select],MATCH(VALUE(questions[[#This Row],[qno]]),VALUE(stable[qno]),0))</f>
        <v>0</v>
      </c>
      <c r="R832" s="77" t="b" cm="1">
        <f t="array" ref="R832">INDEX(stable[is_skip_logic],MATCH(VALUE(questions[[#This Row],[qno]]),VALUE(stable[qno]),0))</f>
        <v>0</v>
      </c>
      <c r="S832" s="77" t="str">
        <f>_xlfn.TEXTJOIN(", ",TRUE,questions[[#This Row],[ans_opt_1]:[ans_opt_14]])</f>
        <v>KINONI DRY MILL, LUKAYA DRY MILL, MATEETE DRY MILL, BULENGE DRY MILL, KIKOMA DRY MILL, LWANDA FARMERS COOP, KUSAKIMU-KATWADDE FARMERS COOP, ST.KIZITO MOTHERS GROUP, KALISIZO FARMERS COOP</v>
      </c>
      <c r="T832" s="77" t="s">
        <v>868</v>
      </c>
      <c r="U832" s="77" t="s">
        <v>869</v>
      </c>
      <c r="V832" s="77" t="s">
        <v>870</v>
      </c>
      <c r="W832" s="77" t="s">
        <v>871</v>
      </c>
      <c r="X832" s="77" t="s">
        <v>872</v>
      </c>
      <c r="Y832" s="77" t="s">
        <v>873</v>
      </c>
      <c r="Z832" s="77" t="s">
        <v>874</v>
      </c>
      <c r="AA832" s="77" t="s">
        <v>875</v>
      </c>
      <c r="AB832" s="77" t="s">
        <v>876</v>
      </c>
      <c r="AH832" s="98" t="b">
        <f>INDEX(stable[q_standard],MATCH(questions[[#This Row],[qno]],stable[qno],0))</f>
        <v>1</v>
      </c>
      <c r="AI832" s="98" t="b">
        <f>INDEX(stable[q_living_income],MATCH(questions[[#This Row],[qno]],stable[qno],0))</f>
        <v>0</v>
      </c>
      <c r="AJ832" s="98" t="b">
        <f>INDEX(stable[q_carbon],MATCH(questions[[#This Row],[qno]],stable[qno],0))</f>
        <v>0</v>
      </c>
      <c r="AK832" s="98" t="b">
        <f>INDEX(stable[q_regen_ag],MATCH(questions[[#This Row],[qno]],stable[qno],0))</f>
        <v>0</v>
      </c>
      <c r="AL832" s="98" t="b">
        <f>COUNTIFS(stable[qno],questions[[#This Row],[qno]])=1</f>
        <v>1</v>
      </c>
      <c r="AM832" s="98" t="b">
        <f>OR(questions[[#This Row],[is_fixed]],questions[[#This Row],[is_localized]],questions[[#This Row],[is_supply_chain_dependent]])</f>
        <v>1</v>
      </c>
      <c r="AN832" s="98" t="b">
        <f>COUNTIFS(questions[[#This Row],[is_automated]:[is_multi_select]],TRUE)=1</f>
        <v>1</v>
      </c>
      <c r="AO832" s="98" t="b">
        <f>IF(questions[[#This Row],[is_fixed]],questions[[#This Row],[question]]=INDEX(stable[question],MATCH(questions[[#This Row],[qno]],stable[qno],0)),TRUE)</f>
        <v>1</v>
      </c>
      <c r="AP832" s="98" t="str">
        <f>LEFT(questions[[#This Row],[question]],similarity_range)</f>
        <v>To which Hulling sta</v>
      </c>
      <c r="AQ832" s="98" t="str">
        <f>LEFT(INDEX(stable[question],MATCH(questions[[#This Row],[qno]],stable[qno],0)),similarity_range)</f>
        <v>To which Sucafina wa</v>
      </c>
      <c r="AR832" s="98" t="b">
        <f>questions[[#This Row],[question_first_characters]]=questions[[#This Row],[stability_first_characters]]</f>
        <v>0</v>
      </c>
      <c r="AS832" s="98" t="b">
        <f>IF(OR(questions[[#This Row],[is_single_select]],questions[[#This Row],[is_multi_select]]),NOT(ISBLANK(questions[[#This Row],[answer_opt_combined]])),TRUE)</f>
        <v>1</v>
      </c>
    </row>
    <row r="833" spans="1:45" s="77" customFormat="1" ht="15.75" customHeight="1" x14ac:dyDescent="0.25">
      <c r="A833" s="77" t="str">
        <f>_xlfn.TEXTJOIN("_",TRUE,questions[[#This Row],[origin]:[qno]])</f>
        <v>Uganda_Robusta_Nespresso_3000</v>
      </c>
      <c r="B833" s="77" t="s">
        <v>511</v>
      </c>
      <c r="C833" s="77" t="s">
        <v>674</v>
      </c>
      <c r="D833" s="77" t="s">
        <v>864</v>
      </c>
      <c r="F833" s="104" t="s">
        <v>520</v>
      </c>
      <c r="G833" s="78" t="s">
        <v>521</v>
      </c>
      <c r="H833" s="9" t="str" cm="1">
        <f t="array" ref="H833">INDEX(stableR[question],MATCH(VALUE(questions[[#This Row],[qno]]),VALUE(stableR[qno]),0))</f>
        <v>What were the types of coffee that you sold last year?</v>
      </c>
      <c r="I833" s="9" t="b" cm="1">
        <f t="array" ref="I833">INDEX(stable[is_fixed],MATCH(VALUE(questions[[#This Row],[qno]]),VALUE(stable[qno]),0))</f>
        <v>0</v>
      </c>
      <c r="J833" s="9" t="b" cm="1">
        <f t="array" ref="J833">INDEX(stable[is_localized],MATCH(VALUE(questions[[#This Row],[qno]]),VALUE(stable[qno]),0))</f>
        <v>1</v>
      </c>
      <c r="K833" s="9" t="b" cm="1">
        <f t="array" ref="K833">INDEX(stable[is_supply_chain_dependent],MATCH(VALUE(questions[[#This Row],[qno]]),VALUE(stable[qno]),0))</f>
        <v>0</v>
      </c>
      <c r="L833" s="9" t="b" cm="1">
        <f t="array" ref="L833">INDEX(stable[is_mandatory],MATCH(VALUE(questions[[#This Row],[qno]]),VALUE(stable[qno]),0))</f>
        <v>0</v>
      </c>
      <c r="M833" s="9" t="b" cm="1">
        <f t="array" ref="M833">INDEX(stable[is_automated],MATCH(VALUE(questions[[#This Row],[qno]]),VALUE(stable[qno]),0))</f>
        <v>0</v>
      </c>
      <c r="N833" s="9" t="b" cm="1">
        <f t="array" ref="N833">INDEX(stable[is_free_text],MATCH(VALUE(questions[[#This Row],[qno]]),VALUE(stable[qno]),0))</f>
        <v>0</v>
      </c>
      <c r="O833" s="9" t="b" cm="1">
        <f t="array" ref="O833">INDEX(stable[is_numerical],MATCH(VALUE(questions[[#This Row],[qno]]),VALUE(stable[qno]),0))</f>
        <v>0</v>
      </c>
      <c r="P833" s="77" t="b" cm="1">
        <f t="array" ref="P833">INDEX(stable[is_single_select],MATCH(VALUE(questions[[#This Row],[qno]]),VALUE(stable[qno]),0))</f>
        <v>0</v>
      </c>
      <c r="Q833" s="77" t="b" cm="1">
        <f t="array" ref="Q833">INDEX(stable[is_multi_select],MATCH(VALUE(questions[[#This Row],[qno]]),VALUE(stable[qno]),0))</f>
        <v>1</v>
      </c>
      <c r="R833" s="77" t="b" cm="1">
        <f t="array" ref="R833">INDEX(stable[is_skip_logic],MATCH(VALUE(questions[[#This Row],[qno]]),VALUE(stable[qno]),0))</f>
        <v>0</v>
      </c>
      <c r="S833" s="77" t="str">
        <f>_xlfn.TEXTJOIN(", ",TRUE,questions[[#This Row],[ans_opt_1]:[ans_opt_14]])</f>
        <v>Fresh cherries, Dried cherries, Fresh cherries, Hulled beans, Green beans</v>
      </c>
      <c r="T833" s="77" t="s">
        <v>522</v>
      </c>
      <c r="U833" s="77" t="s">
        <v>523</v>
      </c>
      <c r="V833" s="77" t="s">
        <v>522</v>
      </c>
      <c r="W833" s="77" t="s">
        <v>524</v>
      </c>
      <c r="X833" s="77" t="s">
        <v>525</v>
      </c>
      <c r="AH833" s="98" t="b">
        <f>INDEX(stable[q_standard],MATCH(questions[[#This Row],[qno]],stable[qno],0))</f>
        <v>0</v>
      </c>
      <c r="AI833" s="98" t="b">
        <f>INDEX(stable[q_living_income],MATCH(questions[[#This Row],[qno]],stable[qno],0))</f>
        <v>1</v>
      </c>
      <c r="AJ833" s="98" t="b">
        <f>INDEX(stable[q_carbon],MATCH(questions[[#This Row],[qno]],stable[qno],0))</f>
        <v>1</v>
      </c>
      <c r="AK833" s="98" t="b">
        <f>INDEX(stable[q_regen_ag],MATCH(questions[[#This Row],[qno]],stable[qno],0))</f>
        <v>1</v>
      </c>
      <c r="AL833" s="98" t="b">
        <f>COUNTIFS(stable[qno],questions[[#This Row],[qno]])=1</f>
        <v>1</v>
      </c>
      <c r="AM833" s="98" t="b">
        <f>OR(questions[[#This Row],[is_fixed]],questions[[#This Row],[is_localized]],questions[[#This Row],[is_supply_chain_dependent]])</f>
        <v>1</v>
      </c>
      <c r="AN833" s="98" t="b">
        <f>COUNTIFS(questions[[#This Row],[is_automated]:[is_multi_select]],TRUE)=1</f>
        <v>1</v>
      </c>
      <c r="AO833" s="98" t="b">
        <f>IF(questions[[#This Row],[is_fixed]],questions[[#This Row],[question]]=INDEX(stable[question],MATCH(questions[[#This Row],[qno]],stable[qno],0)),TRUE)</f>
        <v>1</v>
      </c>
      <c r="AP833" s="98" t="str">
        <f>LEFT(questions[[#This Row],[question]],similarity_range)</f>
        <v xml:space="preserve">What were the types </v>
      </c>
      <c r="AQ833" s="98" t="str">
        <f>LEFT(INDEX(stable[question],MATCH(questions[[#This Row],[qno]],stable[qno],0)),similarity_range)</f>
        <v xml:space="preserve">What were the types </v>
      </c>
      <c r="AR833" s="98" t="b">
        <f>questions[[#This Row],[question_first_characters]]=questions[[#This Row],[stability_first_characters]]</f>
        <v>1</v>
      </c>
      <c r="AS833" s="98" t="b">
        <f>IF(OR(questions[[#This Row],[is_single_select]],questions[[#This Row],[is_multi_select]]),NOT(ISBLANK(questions[[#This Row],[answer_opt_combined]])),TRUE)</f>
        <v>1</v>
      </c>
    </row>
    <row r="834" spans="1:45" ht="15.75" customHeight="1" x14ac:dyDescent="0.25">
      <c r="A834" s="9" t="str">
        <f>_xlfn.TEXTJOIN("_",TRUE,questions[[#This Row],[origin]:[qno]])</f>
        <v>Uganda_Robusta_Nespresso_3110</v>
      </c>
      <c r="B834" s="9" t="s">
        <v>511</v>
      </c>
      <c r="C834" s="9" t="s">
        <v>674</v>
      </c>
      <c r="D834" s="9" t="s">
        <v>864</v>
      </c>
      <c r="F834" s="24" t="s">
        <v>530</v>
      </c>
      <c r="G834" s="15" t="s">
        <v>877</v>
      </c>
      <c r="H834" s="9" t="str" cm="1">
        <f t="array" ref="H834">INDEX(stableR[question],MATCH(VALUE(questions[[#This Row],[qno]]),VALUE(stableR[qno]),0))</f>
        <v>How many kilograms of hulled beans did you sell during the fly season?</v>
      </c>
      <c r="I834" s="9" t="b" cm="1">
        <f t="array" ref="I834">INDEX(stable[is_fixed],MATCH(VALUE(questions[[#This Row],[qno]]),VALUE(stable[qno]),0))</f>
        <v>0</v>
      </c>
      <c r="J834" s="9" t="b" cm="1">
        <f t="array" ref="J834">INDEX(stable[is_localized],MATCH(VALUE(questions[[#This Row],[qno]]),VALUE(stable[qno]),0))</f>
        <v>0</v>
      </c>
      <c r="K834" s="9" t="b" cm="1">
        <f t="array" ref="K834">INDEX(stable[is_supply_chain_dependent],MATCH(VALUE(questions[[#This Row],[qno]]),VALUE(stable[qno]),0))</f>
        <v>1</v>
      </c>
      <c r="L834" s="9" t="b" cm="1">
        <f t="array" ref="L834">INDEX(stable[is_mandatory],MATCH(VALUE(questions[[#This Row],[qno]]),VALUE(stable[qno]),0))</f>
        <v>0</v>
      </c>
      <c r="M834" s="9" t="b" cm="1">
        <f t="array" ref="M834">INDEX(stable[is_automated],MATCH(VALUE(questions[[#This Row],[qno]]),VALUE(stable[qno]),0))</f>
        <v>0</v>
      </c>
      <c r="N834" s="9" t="b" cm="1">
        <f t="array" ref="N834">INDEX(stable[is_free_text],MATCH(VALUE(questions[[#This Row],[qno]]),VALUE(stable[qno]),0))</f>
        <v>0</v>
      </c>
      <c r="O834" s="9" t="b" cm="1">
        <f t="array" ref="O834">INDEX(stable[is_numerical],MATCH(VALUE(questions[[#This Row],[qno]]),VALUE(stable[qno]),0))</f>
        <v>1</v>
      </c>
      <c r="P834" s="9" t="b" cm="1">
        <f t="array" ref="P834">INDEX(stable[is_single_select],MATCH(VALUE(questions[[#This Row],[qno]]),VALUE(stable[qno]),0))</f>
        <v>0</v>
      </c>
      <c r="Q834" s="9" t="b" cm="1">
        <f t="array" ref="Q834">INDEX(stable[is_multi_select],MATCH(VALUE(questions[[#This Row],[qno]]),VALUE(stable[qno]),0))</f>
        <v>0</v>
      </c>
      <c r="R834" s="9" t="b" cm="1">
        <f t="array" ref="R834">INDEX(stable[is_skip_logic],MATCH(VALUE(questions[[#This Row],[qno]]),VALUE(stable[qno]),0))</f>
        <v>0</v>
      </c>
      <c r="S834" s="9" t="str">
        <f>_xlfn.TEXTJOIN(", ",TRUE,questions[[#This Row],[ans_opt_1]:[ans_opt_14]])</f>
        <v/>
      </c>
      <c r="AH834" s="16" t="b">
        <f>INDEX(stable[q_standard],MATCH(questions[[#This Row],[qno]],stable[qno],0))</f>
        <v>0</v>
      </c>
      <c r="AI834" s="16" t="b">
        <f>INDEX(stable[q_living_income],MATCH(questions[[#This Row],[qno]],stable[qno],0))</f>
        <v>1</v>
      </c>
      <c r="AJ834" s="16" t="b">
        <f>INDEX(stable[q_carbon],MATCH(questions[[#This Row],[qno]],stable[qno],0))</f>
        <v>1</v>
      </c>
      <c r="AK834" s="16" t="b">
        <f>INDEX(stable[q_regen_ag],MATCH(questions[[#This Row],[qno]],stable[qno],0))</f>
        <v>1</v>
      </c>
      <c r="AL834" s="16" t="b">
        <f>COUNTIFS(stable[qno],questions[[#This Row],[qno]])=1</f>
        <v>1</v>
      </c>
      <c r="AM834" s="16" t="b">
        <f>OR(questions[[#This Row],[is_fixed]],questions[[#This Row],[is_localized]],questions[[#This Row],[is_supply_chain_dependent]])</f>
        <v>1</v>
      </c>
      <c r="AN834" s="16" t="b">
        <f>COUNTIFS(questions[[#This Row],[is_automated]:[is_multi_select]],TRUE)=1</f>
        <v>1</v>
      </c>
      <c r="AO834" s="16" t="b">
        <f>IF(questions[[#This Row],[is_fixed]],questions[[#This Row],[question]]=INDEX(stable[question],MATCH(questions[[#This Row],[qno]],stable[qno],0)),TRUE)</f>
        <v>1</v>
      </c>
      <c r="AP834" s="16" t="str">
        <f>LEFT(questions[[#This Row],[question]],similarity_range)</f>
        <v>How many kilograms o</v>
      </c>
      <c r="AQ834" s="16" t="str">
        <f>LEFT(INDEX(stable[question],MATCH(questions[[#This Row],[qno]],stable[qno],0)),similarity_range)</f>
        <v>How many kilograms o</v>
      </c>
      <c r="AR834" s="16" t="b">
        <f>questions[[#This Row],[question_first_characters]]=questions[[#This Row],[stability_first_characters]]</f>
        <v>1</v>
      </c>
      <c r="AS834" s="16" t="b">
        <f>IF(OR(questions[[#This Row],[is_single_select]],questions[[#This Row],[is_multi_select]]),NOT(ISBLANK(questions[[#This Row],[answer_opt_combined]])),TRUE)</f>
        <v>1</v>
      </c>
    </row>
    <row r="835" spans="1:45" ht="15.75" customHeight="1" x14ac:dyDescent="0.25">
      <c r="A835" s="9" t="str">
        <f>_xlfn.TEXTJOIN("_",TRUE,questions[[#This Row],[origin]:[qno]])</f>
        <v>Uganda_Robusta_Nespresso_3111</v>
      </c>
      <c r="B835" s="9" t="s">
        <v>511</v>
      </c>
      <c r="C835" s="9" t="s">
        <v>674</v>
      </c>
      <c r="D835" s="9" t="s">
        <v>864</v>
      </c>
      <c r="F835" s="24" t="s">
        <v>532</v>
      </c>
      <c r="G835" s="15" t="s">
        <v>878</v>
      </c>
      <c r="H835" s="9" t="str" cm="1">
        <f t="array" ref="H835">INDEX(stableR[question],MATCH(VALUE(questions[[#This Row],[qno]]),VALUE(stableR[qno]),0))</f>
        <v>What was the most common price per kilogram that you received for hulled beans harvested in the fly season? (in local currency)</v>
      </c>
      <c r="I835" s="9" t="b" cm="1">
        <f t="array" ref="I835">INDEX(stable[is_fixed],MATCH(VALUE(questions[[#This Row],[qno]]),VALUE(stable[qno]),0))</f>
        <v>0</v>
      </c>
      <c r="J835" s="9" t="b" cm="1">
        <f t="array" ref="J835">INDEX(stable[is_localized],MATCH(VALUE(questions[[#This Row],[qno]]),VALUE(stable[qno]),0))</f>
        <v>0</v>
      </c>
      <c r="K835" s="9" t="b" cm="1">
        <f t="array" ref="K835">INDEX(stable[is_supply_chain_dependent],MATCH(VALUE(questions[[#This Row],[qno]]),VALUE(stable[qno]),0))</f>
        <v>1</v>
      </c>
      <c r="L835" s="9" t="b" cm="1">
        <f t="array" ref="L835">INDEX(stable[is_mandatory],MATCH(VALUE(questions[[#This Row],[qno]]),VALUE(stable[qno]),0))</f>
        <v>0</v>
      </c>
      <c r="M835" s="9" t="b" cm="1">
        <f t="array" ref="M835">INDEX(stable[is_automated],MATCH(VALUE(questions[[#This Row],[qno]]),VALUE(stable[qno]),0))</f>
        <v>0</v>
      </c>
      <c r="N835" s="9" t="b" cm="1">
        <f t="array" ref="N835">INDEX(stable[is_free_text],MATCH(VALUE(questions[[#This Row],[qno]]),VALUE(stable[qno]),0))</f>
        <v>0</v>
      </c>
      <c r="O835" s="9" t="b" cm="1">
        <f t="array" ref="O835">INDEX(stable[is_numerical],MATCH(VALUE(questions[[#This Row],[qno]]),VALUE(stable[qno]),0))</f>
        <v>1</v>
      </c>
      <c r="P835" s="9" t="b" cm="1">
        <f t="array" ref="P835">INDEX(stable[is_single_select],MATCH(VALUE(questions[[#This Row],[qno]]),VALUE(stable[qno]),0))</f>
        <v>0</v>
      </c>
      <c r="Q835" s="9" t="b" cm="1">
        <f t="array" ref="Q835">INDEX(stable[is_multi_select],MATCH(VALUE(questions[[#This Row],[qno]]),VALUE(stable[qno]),0))</f>
        <v>0</v>
      </c>
      <c r="R835" s="9" t="b" cm="1">
        <f t="array" ref="R835">INDEX(stable[is_skip_logic],MATCH(VALUE(questions[[#This Row],[qno]]),VALUE(stable[qno]),0))</f>
        <v>0</v>
      </c>
      <c r="S835" s="9" t="str">
        <f>_xlfn.TEXTJOIN(", ",TRUE,questions[[#This Row],[ans_opt_1]:[ans_opt_14]])</f>
        <v/>
      </c>
      <c r="AH835" s="16" t="b">
        <f>INDEX(stable[q_standard],MATCH(questions[[#This Row],[qno]],stable[qno],0))</f>
        <v>0</v>
      </c>
      <c r="AI835" s="16" t="b">
        <f>INDEX(stable[q_living_income],MATCH(questions[[#This Row],[qno]],stable[qno],0))</f>
        <v>1</v>
      </c>
      <c r="AJ835" s="16" t="b">
        <f>INDEX(stable[q_carbon],MATCH(questions[[#This Row],[qno]],stable[qno],0))</f>
        <v>0</v>
      </c>
      <c r="AK835" s="16" t="b">
        <f>INDEX(stable[q_regen_ag],MATCH(questions[[#This Row],[qno]],stable[qno],0))</f>
        <v>0</v>
      </c>
      <c r="AL835" s="16" t="b">
        <f>COUNTIFS(stable[qno],questions[[#This Row],[qno]])=1</f>
        <v>1</v>
      </c>
      <c r="AM835" s="16" t="b">
        <f>OR(questions[[#This Row],[is_fixed]],questions[[#This Row],[is_localized]],questions[[#This Row],[is_supply_chain_dependent]])</f>
        <v>1</v>
      </c>
      <c r="AN835" s="16" t="b">
        <f>COUNTIFS(questions[[#This Row],[is_automated]:[is_multi_select]],TRUE)=1</f>
        <v>1</v>
      </c>
      <c r="AO835" s="16" t="b">
        <f>IF(questions[[#This Row],[is_fixed]],questions[[#This Row],[question]]=INDEX(stable[question],MATCH(questions[[#This Row],[qno]],stable[qno],0)),TRUE)</f>
        <v>1</v>
      </c>
      <c r="AP835" s="16" t="str">
        <f>LEFT(questions[[#This Row],[question]],similarity_range)</f>
        <v>What was the most co</v>
      </c>
      <c r="AQ835" s="16" t="str">
        <f>LEFT(INDEX(stable[question],MATCH(questions[[#This Row],[qno]],stable[qno],0)),similarity_range)</f>
        <v>What was the most co</v>
      </c>
      <c r="AR835" s="16" t="b">
        <f>questions[[#This Row],[question_first_characters]]=questions[[#This Row],[stability_first_characters]]</f>
        <v>1</v>
      </c>
      <c r="AS835" s="16" t="b">
        <f>IF(OR(questions[[#This Row],[is_single_select]],questions[[#This Row],[is_multi_select]]),NOT(ISBLANK(questions[[#This Row],[answer_opt_combined]])),TRUE)</f>
        <v>1</v>
      </c>
    </row>
    <row r="836" spans="1:45" ht="15.75" customHeight="1" x14ac:dyDescent="0.25">
      <c r="A836" s="9" t="str">
        <f>_xlfn.TEXTJOIN("_",TRUE,questions[[#This Row],[origin]:[qno]])</f>
        <v>Uganda_Robusta_Nespresso_3120</v>
      </c>
      <c r="B836" s="9" t="s">
        <v>511</v>
      </c>
      <c r="C836" s="9" t="s">
        <v>674</v>
      </c>
      <c r="D836" s="9" t="s">
        <v>864</v>
      </c>
      <c r="F836" s="24" t="s">
        <v>534</v>
      </c>
      <c r="G836" s="15" t="s">
        <v>879</v>
      </c>
      <c r="H836" s="9" t="str" cm="1">
        <f t="array" ref="H836">INDEX(stableR[question],MATCH(VALUE(questions[[#This Row],[qno]]),VALUE(stableR[qno]),0))</f>
        <v>How many kilograms of dried cherries did you sell during the fly season?</v>
      </c>
      <c r="I836" s="9" t="b" cm="1">
        <f t="array" ref="I836">INDEX(stable[is_fixed],MATCH(VALUE(questions[[#This Row],[qno]]),VALUE(stable[qno]),0))</f>
        <v>0</v>
      </c>
      <c r="J836" s="9" t="b" cm="1">
        <f t="array" ref="J836">INDEX(stable[is_localized],MATCH(VALUE(questions[[#This Row],[qno]]),VALUE(stable[qno]),0))</f>
        <v>0</v>
      </c>
      <c r="K836" s="9" t="b" cm="1">
        <f t="array" ref="K836">INDEX(stable[is_supply_chain_dependent],MATCH(VALUE(questions[[#This Row],[qno]]),VALUE(stable[qno]),0))</f>
        <v>1</v>
      </c>
      <c r="L836" s="9" t="b" cm="1">
        <f t="array" ref="L836">INDEX(stable[is_mandatory],MATCH(VALUE(questions[[#This Row],[qno]]),VALUE(stable[qno]),0))</f>
        <v>0</v>
      </c>
      <c r="M836" s="9" t="b" cm="1">
        <f t="array" ref="M836">INDEX(stable[is_automated],MATCH(VALUE(questions[[#This Row],[qno]]),VALUE(stable[qno]),0))</f>
        <v>0</v>
      </c>
      <c r="N836" s="9" t="b" cm="1">
        <f t="array" ref="N836">INDEX(stable[is_free_text],MATCH(VALUE(questions[[#This Row],[qno]]),VALUE(stable[qno]),0))</f>
        <v>0</v>
      </c>
      <c r="O836" s="9" t="b" cm="1">
        <f t="array" ref="O836">INDEX(stable[is_numerical],MATCH(VALUE(questions[[#This Row],[qno]]),VALUE(stable[qno]),0))</f>
        <v>1</v>
      </c>
      <c r="P836" s="9" t="b" cm="1">
        <f t="array" ref="P836">INDEX(stable[is_single_select],MATCH(VALUE(questions[[#This Row],[qno]]),VALUE(stable[qno]),0))</f>
        <v>0</v>
      </c>
      <c r="Q836" s="9" t="b" cm="1">
        <f t="array" ref="Q836">INDEX(stable[is_multi_select],MATCH(VALUE(questions[[#This Row],[qno]]),VALUE(stable[qno]),0))</f>
        <v>0</v>
      </c>
      <c r="R836" s="9" t="b" cm="1">
        <f t="array" ref="R836">INDEX(stable[is_skip_logic],MATCH(VALUE(questions[[#This Row],[qno]]),VALUE(stable[qno]),0))</f>
        <v>0</v>
      </c>
      <c r="S836" s="9" t="str">
        <f>_xlfn.TEXTJOIN(", ",TRUE,questions[[#This Row],[ans_opt_1]:[ans_opt_14]])</f>
        <v/>
      </c>
      <c r="AH836" s="16" t="b">
        <f>INDEX(stable[q_standard],MATCH(questions[[#This Row],[qno]],stable[qno],0))</f>
        <v>0</v>
      </c>
      <c r="AI836" s="16" t="b">
        <f>INDEX(stable[q_living_income],MATCH(questions[[#This Row],[qno]],stable[qno],0))</f>
        <v>1</v>
      </c>
      <c r="AJ836" s="16" t="b">
        <f>INDEX(stable[q_carbon],MATCH(questions[[#This Row],[qno]],stable[qno],0))</f>
        <v>1</v>
      </c>
      <c r="AK836" s="16" t="b">
        <f>INDEX(stable[q_regen_ag],MATCH(questions[[#This Row],[qno]],stable[qno],0))</f>
        <v>1</v>
      </c>
      <c r="AL836" s="16" t="b">
        <f>COUNTIFS(stable[qno],questions[[#This Row],[qno]])=1</f>
        <v>1</v>
      </c>
      <c r="AM836" s="16" t="b">
        <f>OR(questions[[#This Row],[is_fixed]],questions[[#This Row],[is_localized]],questions[[#This Row],[is_supply_chain_dependent]])</f>
        <v>1</v>
      </c>
      <c r="AN836" s="16" t="b">
        <f>COUNTIFS(questions[[#This Row],[is_automated]:[is_multi_select]],TRUE)=1</f>
        <v>1</v>
      </c>
      <c r="AO836" s="16" t="b">
        <f>IF(questions[[#This Row],[is_fixed]],questions[[#This Row],[question]]=INDEX(stable[question],MATCH(questions[[#This Row],[qno]],stable[qno],0)),TRUE)</f>
        <v>1</v>
      </c>
      <c r="AP836" s="16" t="str">
        <f>LEFT(questions[[#This Row],[question]],similarity_range)</f>
        <v>How many kilograms o</v>
      </c>
      <c r="AQ836" s="16" t="str">
        <f>LEFT(INDEX(stable[question],MATCH(questions[[#This Row],[qno]],stable[qno],0)),similarity_range)</f>
        <v>How many kilograms o</v>
      </c>
      <c r="AR836" s="16" t="b">
        <f>questions[[#This Row],[question_first_characters]]=questions[[#This Row],[stability_first_characters]]</f>
        <v>1</v>
      </c>
      <c r="AS836" s="16" t="b">
        <f>IF(OR(questions[[#This Row],[is_single_select]],questions[[#This Row],[is_multi_select]]),NOT(ISBLANK(questions[[#This Row],[answer_opt_combined]])),TRUE)</f>
        <v>1</v>
      </c>
    </row>
    <row r="837" spans="1:45" ht="15.75" customHeight="1" x14ac:dyDescent="0.25">
      <c r="A837" s="9" t="str">
        <f>_xlfn.TEXTJOIN("_",TRUE,questions[[#This Row],[origin]:[qno]])</f>
        <v>Uganda_Robusta_Nespresso_3121</v>
      </c>
      <c r="B837" s="9" t="s">
        <v>511</v>
      </c>
      <c r="C837" s="9" t="s">
        <v>674</v>
      </c>
      <c r="D837" s="9" t="s">
        <v>864</v>
      </c>
      <c r="F837" s="24" t="s">
        <v>536</v>
      </c>
      <c r="G837" s="15" t="s">
        <v>537</v>
      </c>
      <c r="H837" s="9" t="str" cm="1">
        <f t="array" ref="H837">INDEX(stableR[question],MATCH(VALUE(questions[[#This Row],[qno]]),VALUE(stableR[qno]),0))</f>
        <v>What was the most common price per kilogram that you received for dried cherries harvested in the fly season? (in local currency)</v>
      </c>
      <c r="I837" s="9" t="b" cm="1">
        <f t="array" ref="I837">INDEX(stable[is_fixed],MATCH(VALUE(questions[[#This Row],[qno]]),VALUE(stable[qno]),0))</f>
        <v>0</v>
      </c>
      <c r="J837" s="9" t="b" cm="1">
        <f t="array" ref="J837">INDEX(stable[is_localized],MATCH(VALUE(questions[[#This Row],[qno]]),VALUE(stable[qno]),0))</f>
        <v>0</v>
      </c>
      <c r="K837" s="9" t="b" cm="1">
        <f t="array" ref="K837">INDEX(stable[is_supply_chain_dependent],MATCH(VALUE(questions[[#This Row],[qno]]),VALUE(stable[qno]),0))</f>
        <v>1</v>
      </c>
      <c r="L837" s="9" t="b" cm="1">
        <f t="array" ref="L837">INDEX(stable[is_mandatory],MATCH(VALUE(questions[[#This Row],[qno]]),VALUE(stable[qno]),0))</f>
        <v>0</v>
      </c>
      <c r="M837" s="9" t="b" cm="1">
        <f t="array" ref="M837">INDEX(stable[is_automated],MATCH(VALUE(questions[[#This Row],[qno]]),VALUE(stable[qno]),0))</f>
        <v>0</v>
      </c>
      <c r="N837" s="9" t="b" cm="1">
        <f t="array" ref="N837">INDEX(stable[is_free_text],MATCH(VALUE(questions[[#This Row],[qno]]),VALUE(stable[qno]),0))</f>
        <v>0</v>
      </c>
      <c r="O837" s="9" t="b" cm="1">
        <f t="array" ref="O837">INDEX(stable[is_numerical],MATCH(VALUE(questions[[#This Row],[qno]]),VALUE(stable[qno]),0))</f>
        <v>1</v>
      </c>
      <c r="P837" s="9" t="b" cm="1">
        <f t="array" ref="P837">INDEX(stable[is_single_select],MATCH(VALUE(questions[[#This Row],[qno]]),VALUE(stable[qno]),0))</f>
        <v>0</v>
      </c>
      <c r="Q837" s="9" t="b" cm="1">
        <f t="array" ref="Q837">INDEX(stable[is_multi_select],MATCH(VALUE(questions[[#This Row],[qno]]),VALUE(stable[qno]),0))</f>
        <v>0</v>
      </c>
      <c r="R837" s="9" t="b" cm="1">
        <f t="array" ref="R837">INDEX(stable[is_skip_logic],MATCH(VALUE(questions[[#This Row],[qno]]),VALUE(stable[qno]),0))</f>
        <v>0</v>
      </c>
      <c r="S837" s="9" t="str">
        <f>_xlfn.TEXTJOIN(", ",TRUE,questions[[#This Row],[ans_opt_1]:[ans_opt_14]])</f>
        <v/>
      </c>
      <c r="AH837" s="16" t="b">
        <f>INDEX(stable[q_standard],MATCH(questions[[#This Row],[qno]],stable[qno],0))</f>
        <v>0</v>
      </c>
      <c r="AI837" s="16" t="b">
        <f>INDEX(stable[q_living_income],MATCH(questions[[#This Row],[qno]],stable[qno],0))</f>
        <v>1</v>
      </c>
      <c r="AJ837" s="16" t="b">
        <f>INDEX(stable[q_carbon],MATCH(questions[[#This Row],[qno]],stable[qno],0))</f>
        <v>0</v>
      </c>
      <c r="AK837" s="16" t="b">
        <f>INDEX(stable[q_regen_ag],MATCH(questions[[#This Row],[qno]],stable[qno],0))</f>
        <v>0</v>
      </c>
      <c r="AL837" s="16" t="b">
        <f>COUNTIFS(stable[qno],questions[[#This Row],[qno]])=1</f>
        <v>1</v>
      </c>
      <c r="AM837" s="16" t="b">
        <f>OR(questions[[#This Row],[is_fixed]],questions[[#This Row],[is_localized]],questions[[#This Row],[is_supply_chain_dependent]])</f>
        <v>1</v>
      </c>
      <c r="AN837" s="16" t="b">
        <f>COUNTIFS(questions[[#This Row],[is_automated]:[is_multi_select]],TRUE)=1</f>
        <v>1</v>
      </c>
      <c r="AO837" s="16" t="b">
        <f>IF(questions[[#This Row],[is_fixed]],questions[[#This Row],[question]]=INDEX(stable[question],MATCH(questions[[#This Row],[qno]],stable[qno],0)),TRUE)</f>
        <v>1</v>
      </c>
      <c r="AP837" s="16" t="str">
        <f>LEFT(questions[[#This Row],[question]],similarity_range)</f>
        <v>What was the most co</v>
      </c>
      <c r="AQ837" s="16" t="str">
        <f>LEFT(INDEX(stable[question],MATCH(questions[[#This Row],[qno]],stable[qno],0)),similarity_range)</f>
        <v>What was the most co</v>
      </c>
      <c r="AR837" s="16" t="b">
        <f>questions[[#This Row],[question_first_characters]]=questions[[#This Row],[stability_first_characters]]</f>
        <v>1</v>
      </c>
      <c r="AS837" s="16" t="b">
        <f>IF(OR(questions[[#This Row],[is_single_select]],questions[[#This Row],[is_multi_select]]),NOT(ISBLANK(questions[[#This Row],[answer_opt_combined]])),TRUE)</f>
        <v>1</v>
      </c>
    </row>
    <row r="838" spans="1:45" ht="15.75" customHeight="1" x14ac:dyDescent="0.25">
      <c r="A838" s="9" t="str">
        <f>_xlfn.TEXTJOIN("_",TRUE,questions[[#This Row],[origin]:[qno]])</f>
        <v>Uganda_Robusta_Nespresso_3100</v>
      </c>
      <c r="B838" s="9" t="s">
        <v>511</v>
      </c>
      <c r="C838" s="9" t="s">
        <v>674</v>
      </c>
      <c r="D838" s="9" t="s">
        <v>864</v>
      </c>
      <c r="F838" s="24" t="s">
        <v>526</v>
      </c>
      <c r="G838" s="15" t="s">
        <v>880</v>
      </c>
      <c r="H838" s="9" t="str" cm="1">
        <f t="array" ref="H838">INDEX(stableR[question],MATCH(VALUE(questions[[#This Row],[qno]]),VALUE(stableR[qno]),0))</f>
        <v>How many kilograms of fresh cherries did you sell during the fly season?</v>
      </c>
      <c r="I838" s="9" t="b" cm="1">
        <f t="array" ref="I838">INDEX(stable[is_fixed],MATCH(VALUE(questions[[#This Row],[qno]]),VALUE(stable[qno]),0))</f>
        <v>0</v>
      </c>
      <c r="J838" s="9" t="b" cm="1">
        <f t="array" ref="J838">INDEX(stable[is_localized],MATCH(VALUE(questions[[#This Row],[qno]]),VALUE(stable[qno]),0))</f>
        <v>1</v>
      </c>
      <c r="K838" s="9" t="b" cm="1">
        <f t="array" ref="K838">INDEX(stable[is_supply_chain_dependent],MATCH(VALUE(questions[[#This Row],[qno]]),VALUE(stable[qno]),0))</f>
        <v>0</v>
      </c>
      <c r="L838" s="9" t="b" cm="1">
        <f t="array" ref="L838">INDEX(stable[is_mandatory],MATCH(VALUE(questions[[#This Row],[qno]]),VALUE(stable[qno]),0))</f>
        <v>0</v>
      </c>
      <c r="M838" s="9" t="b" cm="1">
        <f t="array" ref="M838">INDEX(stable[is_automated],MATCH(VALUE(questions[[#This Row],[qno]]),VALUE(stable[qno]),0))</f>
        <v>0</v>
      </c>
      <c r="N838" s="9" t="b" cm="1">
        <f t="array" ref="N838">INDEX(stable[is_free_text],MATCH(VALUE(questions[[#This Row],[qno]]),VALUE(stable[qno]),0))</f>
        <v>0</v>
      </c>
      <c r="O838" s="9" t="b" cm="1">
        <f t="array" ref="O838">INDEX(stable[is_numerical],MATCH(VALUE(questions[[#This Row],[qno]]),VALUE(stable[qno]),0))</f>
        <v>1</v>
      </c>
      <c r="P838" s="9" t="b" cm="1">
        <f t="array" ref="P838">INDEX(stable[is_single_select],MATCH(VALUE(questions[[#This Row],[qno]]),VALUE(stable[qno]),0))</f>
        <v>0</v>
      </c>
      <c r="Q838" s="9" t="b" cm="1">
        <f t="array" ref="Q838">INDEX(stable[is_multi_select],MATCH(VALUE(questions[[#This Row],[qno]]),VALUE(stable[qno]),0))</f>
        <v>0</v>
      </c>
      <c r="R838" s="9" t="b" cm="1">
        <f t="array" ref="R838">INDEX(stable[is_skip_logic],MATCH(VALUE(questions[[#This Row],[qno]]),VALUE(stable[qno]),0))</f>
        <v>0</v>
      </c>
      <c r="S838" s="9" t="str">
        <f>_xlfn.TEXTJOIN(", ",TRUE,questions[[#This Row],[ans_opt_1]:[ans_opt_14]])</f>
        <v/>
      </c>
      <c r="AH838" s="16" t="b">
        <f>INDEX(stable[q_standard],MATCH(questions[[#This Row],[qno]],stable[qno],0))</f>
        <v>0</v>
      </c>
      <c r="AI838" s="16" t="b">
        <f>INDEX(stable[q_living_income],MATCH(questions[[#This Row],[qno]],stable[qno],0))</f>
        <v>1</v>
      </c>
      <c r="AJ838" s="16" t="b">
        <f>INDEX(stable[q_carbon],MATCH(questions[[#This Row],[qno]],stable[qno],0))</f>
        <v>1</v>
      </c>
      <c r="AK838" s="16" t="b">
        <f>INDEX(stable[q_regen_ag],MATCH(questions[[#This Row],[qno]],stable[qno],0))</f>
        <v>1</v>
      </c>
      <c r="AL838" s="16" t="b">
        <f>COUNTIFS(stable[qno],questions[[#This Row],[qno]])=1</f>
        <v>1</v>
      </c>
      <c r="AM838" s="16" t="b">
        <f>OR(questions[[#This Row],[is_fixed]],questions[[#This Row],[is_localized]],questions[[#This Row],[is_supply_chain_dependent]])</f>
        <v>1</v>
      </c>
      <c r="AN838" s="16" t="b">
        <f>COUNTIFS(questions[[#This Row],[is_automated]:[is_multi_select]],TRUE)=1</f>
        <v>1</v>
      </c>
      <c r="AO838" s="16" t="b">
        <f>IF(questions[[#This Row],[is_fixed]],questions[[#This Row],[question]]=INDEX(stable[question],MATCH(questions[[#This Row],[qno]],stable[qno],0)),TRUE)</f>
        <v>1</v>
      </c>
      <c r="AP838" s="16" t="str">
        <f>LEFT(questions[[#This Row],[question]],similarity_range)</f>
        <v>How many kilograms o</v>
      </c>
      <c r="AQ838" s="16" t="str">
        <f>LEFT(INDEX(stable[question],MATCH(questions[[#This Row],[qno]],stable[qno],0)),similarity_range)</f>
        <v>How many kilograms o</v>
      </c>
      <c r="AR838" s="16" t="b">
        <f>questions[[#This Row],[question_first_characters]]=questions[[#This Row],[stability_first_characters]]</f>
        <v>1</v>
      </c>
      <c r="AS838" s="16" t="b">
        <f>IF(OR(questions[[#This Row],[is_single_select]],questions[[#This Row],[is_multi_select]]),NOT(ISBLANK(questions[[#This Row],[answer_opt_combined]])),TRUE)</f>
        <v>1</v>
      </c>
    </row>
    <row r="839" spans="1:45" ht="15.75" customHeight="1" x14ac:dyDescent="0.25">
      <c r="A839" s="9" t="str">
        <f>_xlfn.TEXTJOIN("_",TRUE,questions[[#This Row],[origin]:[qno]])</f>
        <v>Uganda_Robusta_Nespresso_3101</v>
      </c>
      <c r="B839" s="9" t="s">
        <v>511</v>
      </c>
      <c r="C839" s="9" t="s">
        <v>674</v>
      </c>
      <c r="D839" s="9" t="s">
        <v>864</v>
      </c>
      <c r="F839" s="24" t="s">
        <v>528</v>
      </c>
      <c r="G839" s="15" t="s">
        <v>545</v>
      </c>
      <c r="H839" s="9" t="str" cm="1">
        <f t="array" ref="H839">INDEX(stableR[question],MATCH(VALUE(questions[[#This Row],[qno]]),VALUE(stableR[qno]),0))</f>
        <v>What was the most common price per kilogram that you received for the fresh cherries harvested in the fly season? (in local currency)</v>
      </c>
      <c r="I839" s="9" t="b" cm="1">
        <f t="array" ref="I839">INDEX(stable[is_fixed],MATCH(VALUE(questions[[#This Row],[qno]]),VALUE(stable[qno]),0))</f>
        <v>0</v>
      </c>
      <c r="J839" s="9" t="b" cm="1">
        <f t="array" ref="J839">INDEX(stable[is_localized],MATCH(VALUE(questions[[#This Row],[qno]]),VALUE(stable[qno]),0))</f>
        <v>1</v>
      </c>
      <c r="K839" s="9" t="b" cm="1">
        <f t="array" ref="K839">INDEX(stable[is_supply_chain_dependent],MATCH(VALUE(questions[[#This Row],[qno]]),VALUE(stable[qno]),0))</f>
        <v>0</v>
      </c>
      <c r="L839" s="9" t="b" cm="1">
        <f t="array" ref="L839">INDEX(stable[is_mandatory],MATCH(VALUE(questions[[#This Row],[qno]]),VALUE(stable[qno]),0))</f>
        <v>0</v>
      </c>
      <c r="M839" s="9" t="b" cm="1">
        <f t="array" ref="M839">INDEX(stable[is_automated],MATCH(VALUE(questions[[#This Row],[qno]]),VALUE(stable[qno]),0))</f>
        <v>0</v>
      </c>
      <c r="N839" s="9" t="b" cm="1">
        <f t="array" ref="N839">INDEX(stable[is_free_text],MATCH(VALUE(questions[[#This Row],[qno]]),VALUE(stable[qno]),0))</f>
        <v>0</v>
      </c>
      <c r="O839" s="9" t="b" cm="1">
        <f t="array" ref="O839">INDEX(stable[is_numerical],MATCH(VALUE(questions[[#This Row],[qno]]),VALUE(stable[qno]),0))</f>
        <v>1</v>
      </c>
      <c r="P839" s="9" t="b" cm="1">
        <f t="array" ref="P839">INDEX(stable[is_single_select],MATCH(VALUE(questions[[#This Row],[qno]]),VALUE(stable[qno]),0))</f>
        <v>0</v>
      </c>
      <c r="Q839" s="9" t="b" cm="1">
        <f t="array" ref="Q839">INDEX(stable[is_multi_select],MATCH(VALUE(questions[[#This Row],[qno]]),VALUE(stable[qno]),0))</f>
        <v>0</v>
      </c>
      <c r="R839" s="9" t="b" cm="1">
        <f t="array" ref="R839">INDEX(stable[is_skip_logic],MATCH(VALUE(questions[[#This Row],[qno]]),VALUE(stable[qno]),0))</f>
        <v>0</v>
      </c>
      <c r="S839" s="9" t="str">
        <f>_xlfn.TEXTJOIN(", ",TRUE,questions[[#This Row],[ans_opt_1]:[ans_opt_14]])</f>
        <v/>
      </c>
      <c r="AH839" s="16" t="b">
        <f>INDEX(stable[q_standard],MATCH(questions[[#This Row],[qno]],stable[qno],0))</f>
        <v>0</v>
      </c>
      <c r="AI839" s="16" t="b">
        <f>INDEX(stable[q_living_income],MATCH(questions[[#This Row],[qno]],stable[qno],0))</f>
        <v>1</v>
      </c>
      <c r="AJ839" s="16" t="b">
        <f>INDEX(stable[q_carbon],MATCH(questions[[#This Row],[qno]],stable[qno],0))</f>
        <v>0</v>
      </c>
      <c r="AK839" s="16" t="b">
        <f>INDEX(stable[q_regen_ag],MATCH(questions[[#This Row],[qno]],stable[qno],0))</f>
        <v>0</v>
      </c>
      <c r="AL839" s="16" t="b">
        <f>COUNTIFS(stable[qno],questions[[#This Row],[qno]])=1</f>
        <v>1</v>
      </c>
      <c r="AM839" s="16" t="b">
        <f>OR(questions[[#This Row],[is_fixed]],questions[[#This Row],[is_localized]],questions[[#This Row],[is_supply_chain_dependent]])</f>
        <v>1</v>
      </c>
      <c r="AN839" s="16" t="b">
        <f>COUNTIFS(questions[[#This Row],[is_automated]:[is_multi_select]],TRUE)=1</f>
        <v>1</v>
      </c>
      <c r="AO839" s="16" t="b">
        <f>IF(questions[[#This Row],[is_fixed]],questions[[#This Row],[question]]=INDEX(stable[question],MATCH(questions[[#This Row],[qno]],stable[qno],0)),TRUE)</f>
        <v>1</v>
      </c>
      <c r="AP839" s="16" t="str">
        <f>LEFT(questions[[#This Row],[question]],similarity_range)</f>
        <v>What was the most co</v>
      </c>
      <c r="AQ839" s="16" t="str">
        <f>LEFT(INDEX(stable[question],MATCH(questions[[#This Row],[qno]],stable[qno],0)),similarity_range)</f>
        <v>What was the most co</v>
      </c>
      <c r="AR839" s="16" t="b">
        <f>questions[[#This Row],[question_first_characters]]=questions[[#This Row],[stability_first_characters]]</f>
        <v>1</v>
      </c>
      <c r="AS839" s="16" t="b">
        <f>IF(OR(questions[[#This Row],[is_single_select]],questions[[#This Row],[is_multi_select]]),NOT(ISBLANK(questions[[#This Row],[answer_opt_combined]])),TRUE)</f>
        <v>1</v>
      </c>
    </row>
    <row r="840" spans="1:45" ht="15.75" customHeight="1" x14ac:dyDescent="0.25">
      <c r="A840" s="9" t="str">
        <f>_xlfn.TEXTJOIN("_",TRUE,questions[[#This Row],[origin]:[qno]])</f>
        <v>Uganda_Robusta_Nespresso_3210</v>
      </c>
      <c r="B840" s="9" t="s">
        <v>511</v>
      </c>
      <c r="C840" s="9" t="s">
        <v>674</v>
      </c>
      <c r="D840" s="9" t="s">
        <v>864</v>
      </c>
      <c r="F840" s="24" t="s">
        <v>546</v>
      </c>
      <c r="G840" s="15" t="s">
        <v>881</v>
      </c>
      <c r="H840" s="9" t="str" cm="1">
        <f t="array" ref="H840">INDEX(stableR[question],MATCH(VALUE(questions[[#This Row],[qno]]),VALUE(stableR[qno]),0))</f>
        <v>How many kilograms of hulled beans did you sell during the main season?</v>
      </c>
      <c r="I840" s="9" t="b" cm="1">
        <f t="array" ref="I840">INDEX(stable[is_fixed],MATCH(VALUE(questions[[#This Row],[qno]]),VALUE(stable[qno]),0))</f>
        <v>0</v>
      </c>
      <c r="J840" s="9" t="b" cm="1">
        <f t="array" ref="J840">INDEX(stable[is_localized],MATCH(VALUE(questions[[#This Row],[qno]]),VALUE(stable[qno]),0))</f>
        <v>0</v>
      </c>
      <c r="K840" s="9" t="b" cm="1">
        <f t="array" ref="K840">INDEX(stable[is_supply_chain_dependent],MATCH(VALUE(questions[[#This Row],[qno]]),VALUE(stable[qno]),0))</f>
        <v>1</v>
      </c>
      <c r="L840" s="9" t="b" cm="1">
        <f t="array" ref="L840">INDEX(stable[is_mandatory],MATCH(VALUE(questions[[#This Row],[qno]]),VALUE(stable[qno]),0))</f>
        <v>0</v>
      </c>
      <c r="M840" s="9" t="b" cm="1">
        <f t="array" ref="M840">INDEX(stable[is_automated],MATCH(VALUE(questions[[#This Row],[qno]]),VALUE(stable[qno]),0))</f>
        <v>0</v>
      </c>
      <c r="N840" s="9" t="b" cm="1">
        <f t="array" ref="N840">INDEX(stable[is_free_text],MATCH(VALUE(questions[[#This Row],[qno]]),VALUE(stable[qno]),0))</f>
        <v>0</v>
      </c>
      <c r="O840" s="9" t="b" cm="1">
        <f t="array" ref="O840">INDEX(stable[is_numerical],MATCH(VALUE(questions[[#This Row],[qno]]),VALUE(stable[qno]),0))</f>
        <v>1</v>
      </c>
      <c r="P840" s="9" t="b" cm="1">
        <f t="array" ref="P840">INDEX(stable[is_single_select],MATCH(VALUE(questions[[#This Row],[qno]]),VALUE(stable[qno]),0))</f>
        <v>0</v>
      </c>
      <c r="Q840" s="9" t="b" cm="1">
        <f t="array" ref="Q840">INDEX(stable[is_multi_select],MATCH(VALUE(questions[[#This Row],[qno]]),VALUE(stable[qno]),0))</f>
        <v>0</v>
      </c>
      <c r="R840" s="9" t="b" cm="1">
        <f t="array" ref="R840">INDEX(stable[is_skip_logic],MATCH(VALUE(questions[[#This Row],[qno]]),VALUE(stable[qno]),0))</f>
        <v>0</v>
      </c>
      <c r="S840" s="9" t="str">
        <f>_xlfn.TEXTJOIN(", ",TRUE,questions[[#This Row],[ans_opt_1]:[ans_opt_14]])</f>
        <v/>
      </c>
      <c r="AH840" s="16" t="b">
        <f>INDEX(stable[q_standard],MATCH(questions[[#This Row],[qno]],stable[qno],0))</f>
        <v>0</v>
      </c>
      <c r="AI840" s="16" t="b">
        <f>INDEX(stable[q_living_income],MATCH(questions[[#This Row],[qno]],stable[qno],0))</f>
        <v>1</v>
      </c>
      <c r="AJ840" s="16" t="b">
        <f>INDEX(stable[q_carbon],MATCH(questions[[#This Row],[qno]],stable[qno],0))</f>
        <v>1</v>
      </c>
      <c r="AK840" s="16" t="b">
        <f>INDEX(stable[q_regen_ag],MATCH(questions[[#This Row],[qno]],stable[qno],0))</f>
        <v>1</v>
      </c>
      <c r="AL840" s="16" t="b">
        <f>COUNTIFS(stable[qno],questions[[#This Row],[qno]])=1</f>
        <v>1</v>
      </c>
      <c r="AM840" s="16" t="b">
        <f>OR(questions[[#This Row],[is_fixed]],questions[[#This Row],[is_localized]],questions[[#This Row],[is_supply_chain_dependent]])</f>
        <v>1</v>
      </c>
      <c r="AN840" s="16" t="b">
        <f>COUNTIFS(questions[[#This Row],[is_automated]:[is_multi_select]],TRUE)=1</f>
        <v>1</v>
      </c>
      <c r="AO840" s="16" t="b">
        <f>IF(questions[[#This Row],[is_fixed]],questions[[#This Row],[question]]=INDEX(stable[question],MATCH(questions[[#This Row],[qno]],stable[qno],0)),TRUE)</f>
        <v>1</v>
      </c>
      <c r="AP840" s="16" t="str">
        <f>LEFT(questions[[#This Row],[question]],similarity_range)</f>
        <v>How many kilograms o</v>
      </c>
      <c r="AQ840" s="16" t="str">
        <f>LEFT(INDEX(stable[question],MATCH(questions[[#This Row],[qno]],stable[qno],0)),similarity_range)</f>
        <v>How many kilograms o</v>
      </c>
      <c r="AR840" s="16" t="b">
        <f>questions[[#This Row],[question_first_characters]]=questions[[#This Row],[stability_first_characters]]</f>
        <v>1</v>
      </c>
      <c r="AS840" s="16" t="b">
        <f>IF(OR(questions[[#This Row],[is_single_select]],questions[[#This Row],[is_multi_select]]),NOT(ISBLANK(questions[[#This Row],[answer_opt_combined]])),TRUE)</f>
        <v>1</v>
      </c>
    </row>
    <row r="841" spans="1:45" ht="15.75" customHeight="1" x14ac:dyDescent="0.25">
      <c r="A841" s="9" t="str">
        <f>_xlfn.TEXTJOIN("_",TRUE,questions[[#This Row],[origin]:[qno]])</f>
        <v>Uganda_Robusta_Nespresso_3211</v>
      </c>
      <c r="B841" s="9" t="s">
        <v>511</v>
      </c>
      <c r="C841" s="9" t="s">
        <v>674</v>
      </c>
      <c r="D841" s="9" t="s">
        <v>864</v>
      </c>
      <c r="F841" s="24" t="s">
        <v>548</v>
      </c>
      <c r="G841" s="15" t="s">
        <v>882</v>
      </c>
      <c r="H841" s="9" t="str" cm="1">
        <f t="array" ref="H841">INDEX(stableR[question],MATCH(VALUE(questions[[#This Row],[qno]]),VALUE(stableR[qno]),0))</f>
        <v>What was the most common price per kilogram that you received for hulled beans harvested in the main season?</v>
      </c>
      <c r="I841" s="9" t="b" cm="1">
        <f t="array" ref="I841">INDEX(stable[is_fixed],MATCH(VALUE(questions[[#This Row],[qno]]),VALUE(stable[qno]),0))</f>
        <v>0</v>
      </c>
      <c r="J841" s="9" t="b" cm="1">
        <f t="array" ref="J841">INDEX(stable[is_localized],MATCH(VALUE(questions[[#This Row],[qno]]),VALUE(stable[qno]),0))</f>
        <v>0</v>
      </c>
      <c r="K841" s="9" t="b" cm="1">
        <f t="array" ref="K841">INDEX(stable[is_supply_chain_dependent],MATCH(VALUE(questions[[#This Row],[qno]]),VALUE(stable[qno]),0))</f>
        <v>1</v>
      </c>
      <c r="L841" s="9" t="b" cm="1">
        <f t="array" ref="L841">INDEX(stable[is_mandatory],MATCH(VALUE(questions[[#This Row],[qno]]),VALUE(stable[qno]),0))</f>
        <v>0</v>
      </c>
      <c r="M841" s="9" t="b" cm="1">
        <f t="array" ref="M841">INDEX(stable[is_automated],MATCH(VALUE(questions[[#This Row],[qno]]),VALUE(stable[qno]),0))</f>
        <v>0</v>
      </c>
      <c r="N841" s="9" t="b" cm="1">
        <f t="array" ref="N841">INDEX(stable[is_free_text],MATCH(VALUE(questions[[#This Row],[qno]]),VALUE(stable[qno]),0))</f>
        <v>0</v>
      </c>
      <c r="O841" s="9" t="b" cm="1">
        <f t="array" ref="O841">INDEX(stable[is_numerical],MATCH(VALUE(questions[[#This Row],[qno]]),VALUE(stable[qno]),0))</f>
        <v>1</v>
      </c>
      <c r="P841" s="9" t="b" cm="1">
        <f t="array" ref="P841">INDEX(stable[is_single_select],MATCH(VALUE(questions[[#This Row],[qno]]),VALUE(stable[qno]),0))</f>
        <v>0</v>
      </c>
      <c r="Q841" s="9" t="b" cm="1">
        <f t="array" ref="Q841">INDEX(stable[is_multi_select],MATCH(VALUE(questions[[#This Row],[qno]]),VALUE(stable[qno]),0))</f>
        <v>0</v>
      </c>
      <c r="R841" s="9" t="b" cm="1">
        <f t="array" ref="R841">INDEX(stable[is_skip_logic],MATCH(VALUE(questions[[#This Row],[qno]]),VALUE(stable[qno]),0))</f>
        <v>0</v>
      </c>
      <c r="S841" s="9" t="str">
        <f>_xlfn.TEXTJOIN(", ",TRUE,questions[[#This Row],[ans_opt_1]:[ans_opt_14]])</f>
        <v/>
      </c>
      <c r="AH841" s="16" t="b">
        <f>INDEX(stable[q_standard],MATCH(questions[[#This Row],[qno]],stable[qno],0))</f>
        <v>0</v>
      </c>
      <c r="AI841" s="16" t="b">
        <f>INDEX(stable[q_living_income],MATCH(questions[[#This Row],[qno]],stable[qno],0))</f>
        <v>1</v>
      </c>
      <c r="AJ841" s="16" t="b">
        <f>INDEX(stable[q_carbon],MATCH(questions[[#This Row],[qno]],stable[qno],0))</f>
        <v>0</v>
      </c>
      <c r="AK841" s="16" t="b">
        <f>INDEX(stable[q_regen_ag],MATCH(questions[[#This Row],[qno]],stable[qno],0))</f>
        <v>0</v>
      </c>
      <c r="AL841" s="16" t="b">
        <f>COUNTIFS(stable[qno],questions[[#This Row],[qno]])=1</f>
        <v>1</v>
      </c>
      <c r="AM841" s="16" t="b">
        <f>OR(questions[[#This Row],[is_fixed]],questions[[#This Row],[is_localized]],questions[[#This Row],[is_supply_chain_dependent]])</f>
        <v>1</v>
      </c>
      <c r="AN841" s="16" t="b">
        <f>COUNTIFS(questions[[#This Row],[is_automated]:[is_multi_select]],TRUE)=1</f>
        <v>1</v>
      </c>
      <c r="AO841" s="16" t="b">
        <f>IF(questions[[#This Row],[is_fixed]],questions[[#This Row],[question]]=INDEX(stable[question],MATCH(questions[[#This Row],[qno]],stable[qno],0)),TRUE)</f>
        <v>1</v>
      </c>
      <c r="AP841" s="16" t="str">
        <f>LEFT(questions[[#This Row],[question]],similarity_range)</f>
        <v>What was the most co</v>
      </c>
      <c r="AQ841" s="16" t="str">
        <f>LEFT(INDEX(stable[question],MATCH(questions[[#This Row],[qno]],stable[qno],0)),similarity_range)</f>
        <v>What was the most co</v>
      </c>
      <c r="AR841" s="16" t="b">
        <f>questions[[#This Row],[question_first_characters]]=questions[[#This Row],[stability_first_characters]]</f>
        <v>1</v>
      </c>
      <c r="AS841" s="16" t="b">
        <f>IF(OR(questions[[#This Row],[is_single_select]],questions[[#This Row],[is_multi_select]]),NOT(ISBLANK(questions[[#This Row],[answer_opt_combined]])),TRUE)</f>
        <v>1</v>
      </c>
    </row>
    <row r="842" spans="1:45" ht="15.75" customHeight="1" x14ac:dyDescent="0.25">
      <c r="A842" s="9" t="str">
        <f>_xlfn.TEXTJOIN("_",TRUE,questions[[#This Row],[origin]:[qno]])</f>
        <v>Uganda_Robusta_Nespresso_3220</v>
      </c>
      <c r="B842" s="9" t="s">
        <v>511</v>
      </c>
      <c r="C842" s="9" t="s">
        <v>674</v>
      </c>
      <c r="D842" s="9" t="s">
        <v>864</v>
      </c>
      <c r="F842" s="24" t="s">
        <v>550</v>
      </c>
      <c r="G842" s="15" t="s">
        <v>551</v>
      </c>
      <c r="H842" s="9" t="str" cm="1">
        <f t="array" ref="H842">INDEX(stableR[question],MATCH(VALUE(questions[[#This Row],[qno]]),VALUE(stableR[qno]),0))</f>
        <v>How many kilograms of dried cherries did you sell during the main season?</v>
      </c>
      <c r="I842" s="9" t="b" cm="1">
        <f t="array" ref="I842">INDEX(stable[is_fixed],MATCH(VALUE(questions[[#This Row],[qno]]),VALUE(stable[qno]),0))</f>
        <v>0</v>
      </c>
      <c r="J842" s="9" t="b" cm="1">
        <f t="array" ref="J842">INDEX(stable[is_localized],MATCH(VALUE(questions[[#This Row],[qno]]),VALUE(stable[qno]),0))</f>
        <v>0</v>
      </c>
      <c r="K842" s="9" t="b" cm="1">
        <f t="array" ref="K842">INDEX(stable[is_supply_chain_dependent],MATCH(VALUE(questions[[#This Row],[qno]]),VALUE(stable[qno]),0))</f>
        <v>1</v>
      </c>
      <c r="L842" s="9" t="b" cm="1">
        <f t="array" ref="L842">INDEX(stable[is_mandatory],MATCH(VALUE(questions[[#This Row],[qno]]),VALUE(stable[qno]),0))</f>
        <v>0</v>
      </c>
      <c r="M842" s="9" t="b" cm="1">
        <f t="array" ref="M842">INDEX(stable[is_automated],MATCH(VALUE(questions[[#This Row],[qno]]),VALUE(stable[qno]),0))</f>
        <v>0</v>
      </c>
      <c r="N842" s="9" t="b" cm="1">
        <f t="array" ref="N842">INDEX(stable[is_free_text],MATCH(VALUE(questions[[#This Row],[qno]]),VALUE(stable[qno]),0))</f>
        <v>0</v>
      </c>
      <c r="O842" s="9" t="b" cm="1">
        <f t="array" ref="O842">INDEX(stable[is_numerical],MATCH(VALUE(questions[[#This Row],[qno]]),VALUE(stable[qno]),0))</f>
        <v>1</v>
      </c>
      <c r="P842" s="9" t="b" cm="1">
        <f t="array" ref="P842">INDEX(stable[is_single_select],MATCH(VALUE(questions[[#This Row],[qno]]),VALUE(stable[qno]),0))</f>
        <v>0</v>
      </c>
      <c r="Q842" s="9" t="b" cm="1">
        <f t="array" ref="Q842">INDEX(stable[is_multi_select],MATCH(VALUE(questions[[#This Row],[qno]]),VALUE(stable[qno]),0))</f>
        <v>0</v>
      </c>
      <c r="R842" s="9" t="b" cm="1">
        <f t="array" ref="R842">INDEX(stable[is_skip_logic],MATCH(VALUE(questions[[#This Row],[qno]]),VALUE(stable[qno]),0))</f>
        <v>0</v>
      </c>
      <c r="S842" s="9" t="str">
        <f>_xlfn.TEXTJOIN(", ",TRUE,questions[[#This Row],[ans_opt_1]:[ans_opt_14]])</f>
        <v/>
      </c>
      <c r="AH842" s="16" t="b">
        <f>INDEX(stable[q_standard],MATCH(questions[[#This Row],[qno]],stable[qno],0))</f>
        <v>0</v>
      </c>
      <c r="AI842" s="16" t="b">
        <f>INDEX(stable[q_living_income],MATCH(questions[[#This Row],[qno]],stable[qno],0))</f>
        <v>1</v>
      </c>
      <c r="AJ842" s="16" t="b">
        <f>INDEX(stable[q_carbon],MATCH(questions[[#This Row],[qno]],stable[qno],0))</f>
        <v>1</v>
      </c>
      <c r="AK842" s="16" t="b">
        <f>INDEX(stable[q_regen_ag],MATCH(questions[[#This Row],[qno]],stable[qno],0))</f>
        <v>1</v>
      </c>
      <c r="AL842" s="16" t="b">
        <f>COUNTIFS(stable[qno],questions[[#This Row],[qno]])=1</f>
        <v>1</v>
      </c>
      <c r="AM842" s="16" t="b">
        <f>OR(questions[[#This Row],[is_fixed]],questions[[#This Row],[is_localized]],questions[[#This Row],[is_supply_chain_dependent]])</f>
        <v>1</v>
      </c>
      <c r="AN842" s="16" t="b">
        <f>COUNTIFS(questions[[#This Row],[is_automated]:[is_multi_select]],TRUE)=1</f>
        <v>1</v>
      </c>
      <c r="AO842" s="16" t="b">
        <f>IF(questions[[#This Row],[is_fixed]],questions[[#This Row],[question]]=INDEX(stable[question],MATCH(questions[[#This Row],[qno]],stable[qno],0)),TRUE)</f>
        <v>1</v>
      </c>
      <c r="AP842" s="16" t="str">
        <f>LEFT(questions[[#This Row],[question]],similarity_range)</f>
        <v>How many kilograms o</v>
      </c>
      <c r="AQ842" s="16" t="str">
        <f>LEFT(INDEX(stable[question],MATCH(questions[[#This Row],[qno]],stable[qno],0)),similarity_range)</f>
        <v>How many kilograms o</v>
      </c>
      <c r="AR842" s="16" t="b">
        <f>questions[[#This Row],[question_first_characters]]=questions[[#This Row],[stability_first_characters]]</f>
        <v>1</v>
      </c>
      <c r="AS842" s="16" t="b">
        <f>IF(OR(questions[[#This Row],[is_single_select]],questions[[#This Row],[is_multi_select]]),NOT(ISBLANK(questions[[#This Row],[answer_opt_combined]])),TRUE)</f>
        <v>1</v>
      </c>
    </row>
    <row r="843" spans="1:45" ht="15.75" customHeight="1" x14ac:dyDescent="0.25">
      <c r="A843" s="9" t="str">
        <f>_xlfn.TEXTJOIN("_",TRUE,questions[[#This Row],[origin]:[qno]])</f>
        <v>Uganda_Robusta_Nespresso_3221</v>
      </c>
      <c r="B843" s="9" t="s">
        <v>511</v>
      </c>
      <c r="C843" s="9" t="s">
        <v>674</v>
      </c>
      <c r="D843" s="9" t="s">
        <v>864</v>
      </c>
      <c r="F843" s="24" t="s">
        <v>552</v>
      </c>
      <c r="G843" s="15" t="s">
        <v>553</v>
      </c>
      <c r="H843" s="9" t="str" cm="1">
        <f t="array" ref="H843">INDEX(stableR[question],MATCH(VALUE(questions[[#This Row],[qno]]),VALUE(stableR[qno]),0))</f>
        <v>What was the most common price per kilogram that you received for dried cherries harvested in the main season? (in local currency)</v>
      </c>
      <c r="I843" s="9" t="b" cm="1">
        <f t="array" ref="I843">INDEX(stable[is_fixed],MATCH(VALUE(questions[[#This Row],[qno]]),VALUE(stable[qno]),0))</f>
        <v>0</v>
      </c>
      <c r="J843" s="9" t="b" cm="1">
        <f t="array" ref="J843">INDEX(stable[is_localized],MATCH(VALUE(questions[[#This Row],[qno]]),VALUE(stable[qno]),0))</f>
        <v>0</v>
      </c>
      <c r="K843" s="9" t="b" cm="1">
        <f t="array" ref="K843">INDEX(stable[is_supply_chain_dependent],MATCH(VALUE(questions[[#This Row],[qno]]),VALUE(stable[qno]),0))</f>
        <v>1</v>
      </c>
      <c r="L843" s="9" t="b" cm="1">
        <f t="array" ref="L843">INDEX(stable[is_mandatory],MATCH(VALUE(questions[[#This Row],[qno]]),VALUE(stable[qno]),0))</f>
        <v>0</v>
      </c>
      <c r="M843" s="9" t="b" cm="1">
        <f t="array" ref="M843">INDEX(stable[is_automated],MATCH(VALUE(questions[[#This Row],[qno]]),VALUE(stable[qno]),0))</f>
        <v>0</v>
      </c>
      <c r="N843" s="9" t="b" cm="1">
        <f t="array" ref="N843">INDEX(stable[is_free_text],MATCH(VALUE(questions[[#This Row],[qno]]),VALUE(stable[qno]),0))</f>
        <v>0</v>
      </c>
      <c r="O843" s="9" t="b" cm="1">
        <f t="array" ref="O843">INDEX(stable[is_numerical],MATCH(VALUE(questions[[#This Row],[qno]]),VALUE(stable[qno]),0))</f>
        <v>1</v>
      </c>
      <c r="P843" s="9" t="b" cm="1">
        <f t="array" ref="P843">INDEX(stable[is_single_select],MATCH(VALUE(questions[[#This Row],[qno]]),VALUE(stable[qno]),0))</f>
        <v>0</v>
      </c>
      <c r="Q843" s="9" t="b" cm="1">
        <f t="array" ref="Q843">INDEX(stable[is_multi_select],MATCH(VALUE(questions[[#This Row],[qno]]),VALUE(stable[qno]),0))</f>
        <v>0</v>
      </c>
      <c r="R843" s="9" t="b" cm="1">
        <f t="array" ref="R843">INDEX(stable[is_skip_logic],MATCH(VALUE(questions[[#This Row],[qno]]),VALUE(stable[qno]),0))</f>
        <v>0</v>
      </c>
      <c r="S843" s="9" t="str">
        <f>_xlfn.TEXTJOIN(", ",TRUE,questions[[#This Row],[ans_opt_1]:[ans_opt_14]])</f>
        <v/>
      </c>
      <c r="AH843" s="16" t="b">
        <f>INDEX(stable[q_standard],MATCH(questions[[#This Row],[qno]],stable[qno],0))</f>
        <v>0</v>
      </c>
      <c r="AI843" s="16" t="b">
        <f>INDEX(stable[q_living_income],MATCH(questions[[#This Row],[qno]],stable[qno],0))</f>
        <v>1</v>
      </c>
      <c r="AJ843" s="16" t="b">
        <f>INDEX(stable[q_carbon],MATCH(questions[[#This Row],[qno]],stable[qno],0))</f>
        <v>0</v>
      </c>
      <c r="AK843" s="16" t="b">
        <f>INDEX(stable[q_regen_ag],MATCH(questions[[#This Row],[qno]],stable[qno],0))</f>
        <v>0</v>
      </c>
      <c r="AL843" s="16" t="b">
        <f>COUNTIFS(stable[qno],questions[[#This Row],[qno]])=1</f>
        <v>1</v>
      </c>
      <c r="AM843" s="16" t="b">
        <f>OR(questions[[#This Row],[is_fixed]],questions[[#This Row],[is_localized]],questions[[#This Row],[is_supply_chain_dependent]])</f>
        <v>1</v>
      </c>
      <c r="AN843" s="16" t="b">
        <f>COUNTIFS(questions[[#This Row],[is_automated]:[is_multi_select]],TRUE)=1</f>
        <v>1</v>
      </c>
      <c r="AO843" s="16" t="b">
        <f>IF(questions[[#This Row],[is_fixed]],questions[[#This Row],[question]]=INDEX(stable[question],MATCH(questions[[#This Row],[qno]],stable[qno],0)),TRUE)</f>
        <v>1</v>
      </c>
      <c r="AP843" s="16" t="str">
        <f>LEFT(questions[[#This Row],[question]],similarity_range)</f>
        <v>What was the most co</v>
      </c>
      <c r="AQ843" s="16" t="str">
        <f>LEFT(INDEX(stable[question],MATCH(questions[[#This Row],[qno]],stable[qno],0)),similarity_range)</f>
        <v>What was the most co</v>
      </c>
      <c r="AR843" s="16" t="b">
        <f>questions[[#This Row],[question_first_characters]]=questions[[#This Row],[stability_first_characters]]</f>
        <v>1</v>
      </c>
      <c r="AS843" s="16" t="b">
        <f>IF(OR(questions[[#This Row],[is_single_select]],questions[[#This Row],[is_multi_select]]),NOT(ISBLANK(questions[[#This Row],[answer_opt_combined]])),TRUE)</f>
        <v>1</v>
      </c>
    </row>
    <row r="844" spans="1:45" ht="15.75" customHeight="1" x14ac:dyDescent="0.25">
      <c r="A844" s="9" t="str">
        <f>_xlfn.TEXTJOIN("_",TRUE,questions[[#This Row],[origin]:[qno]])</f>
        <v>Uganda_Robusta_Nespresso_3200</v>
      </c>
      <c r="B844" s="9" t="s">
        <v>511</v>
      </c>
      <c r="C844" s="9" t="s">
        <v>674</v>
      </c>
      <c r="D844" s="9" t="s">
        <v>864</v>
      </c>
      <c r="F844" s="24" t="s">
        <v>542</v>
      </c>
      <c r="G844" s="15" t="s">
        <v>543</v>
      </c>
      <c r="H844" s="9" t="str" cm="1">
        <f t="array" ref="H844">INDEX(stableR[question],MATCH(VALUE(questions[[#This Row],[qno]]),VALUE(stableR[qno]),0))</f>
        <v>How many kilograms of fresh cherries did you sell during the main season?</v>
      </c>
      <c r="I844" s="9" t="b" cm="1">
        <f t="array" ref="I844">INDEX(stable[is_fixed],MATCH(VALUE(questions[[#This Row],[qno]]),VALUE(stable[qno]),0))</f>
        <v>0</v>
      </c>
      <c r="J844" s="9" t="b" cm="1">
        <f t="array" ref="J844">INDEX(stable[is_localized],MATCH(VALUE(questions[[#This Row],[qno]]),VALUE(stable[qno]),0))</f>
        <v>1</v>
      </c>
      <c r="K844" s="9" t="b" cm="1">
        <f t="array" ref="K844">INDEX(stable[is_supply_chain_dependent],MATCH(VALUE(questions[[#This Row],[qno]]),VALUE(stable[qno]),0))</f>
        <v>0</v>
      </c>
      <c r="L844" s="9" t="b" cm="1">
        <f t="array" ref="L844">INDEX(stable[is_mandatory],MATCH(VALUE(questions[[#This Row],[qno]]),VALUE(stable[qno]),0))</f>
        <v>0</v>
      </c>
      <c r="M844" s="9" t="b" cm="1">
        <f t="array" ref="M844">INDEX(stable[is_automated],MATCH(VALUE(questions[[#This Row],[qno]]),VALUE(stable[qno]),0))</f>
        <v>0</v>
      </c>
      <c r="N844" s="9" t="b" cm="1">
        <f t="array" ref="N844">INDEX(stable[is_free_text],MATCH(VALUE(questions[[#This Row],[qno]]),VALUE(stable[qno]),0))</f>
        <v>0</v>
      </c>
      <c r="O844" s="9" t="b" cm="1">
        <f t="array" ref="O844">INDEX(stable[is_numerical],MATCH(VALUE(questions[[#This Row],[qno]]),VALUE(stable[qno]),0))</f>
        <v>1</v>
      </c>
      <c r="P844" s="9" t="b" cm="1">
        <f t="array" ref="P844">INDEX(stable[is_single_select],MATCH(VALUE(questions[[#This Row],[qno]]),VALUE(stable[qno]),0))</f>
        <v>0</v>
      </c>
      <c r="Q844" s="9" t="b" cm="1">
        <f t="array" ref="Q844">INDEX(stable[is_multi_select],MATCH(VALUE(questions[[#This Row],[qno]]),VALUE(stable[qno]),0))</f>
        <v>0</v>
      </c>
      <c r="R844" s="9" t="b" cm="1">
        <f t="array" ref="R844">INDEX(stable[is_skip_logic],MATCH(VALUE(questions[[#This Row],[qno]]),VALUE(stable[qno]),0))</f>
        <v>0</v>
      </c>
      <c r="S844" s="9" t="str">
        <f>_xlfn.TEXTJOIN(", ",TRUE,questions[[#This Row],[ans_opt_1]:[ans_opt_14]])</f>
        <v/>
      </c>
      <c r="AH844" s="16" t="b">
        <f>INDEX(stable[q_standard],MATCH(questions[[#This Row],[qno]],stable[qno],0))</f>
        <v>0</v>
      </c>
      <c r="AI844" s="16" t="b">
        <f>INDEX(stable[q_living_income],MATCH(questions[[#This Row],[qno]],stable[qno],0))</f>
        <v>1</v>
      </c>
      <c r="AJ844" s="16" t="b">
        <f>INDEX(stable[q_carbon],MATCH(questions[[#This Row],[qno]],stable[qno],0))</f>
        <v>1</v>
      </c>
      <c r="AK844" s="16" t="b">
        <f>INDEX(stable[q_regen_ag],MATCH(questions[[#This Row],[qno]],stable[qno],0))</f>
        <v>1</v>
      </c>
      <c r="AL844" s="16" t="b">
        <f>COUNTIFS(stable[qno],questions[[#This Row],[qno]])=1</f>
        <v>1</v>
      </c>
      <c r="AM844" s="16" t="b">
        <f>OR(questions[[#This Row],[is_fixed]],questions[[#This Row],[is_localized]],questions[[#This Row],[is_supply_chain_dependent]])</f>
        <v>1</v>
      </c>
      <c r="AN844" s="16" t="b">
        <f>COUNTIFS(questions[[#This Row],[is_automated]:[is_multi_select]],TRUE)=1</f>
        <v>1</v>
      </c>
      <c r="AO844" s="16" t="b">
        <f>IF(questions[[#This Row],[is_fixed]],questions[[#This Row],[question]]=INDEX(stable[question],MATCH(questions[[#This Row],[qno]],stable[qno],0)),TRUE)</f>
        <v>1</v>
      </c>
      <c r="AP844" s="16" t="str">
        <f>LEFT(questions[[#This Row],[question]],similarity_range)</f>
        <v>How many kilograms o</v>
      </c>
      <c r="AQ844" s="16" t="str">
        <f>LEFT(INDEX(stable[question],MATCH(questions[[#This Row],[qno]],stable[qno],0)),similarity_range)</f>
        <v>How many kilograms o</v>
      </c>
      <c r="AR844" s="16" t="b">
        <f>questions[[#This Row],[question_first_characters]]=questions[[#This Row],[stability_first_characters]]</f>
        <v>1</v>
      </c>
      <c r="AS844" s="16" t="b">
        <f>IF(OR(questions[[#This Row],[is_single_select]],questions[[#This Row],[is_multi_select]]),NOT(ISBLANK(questions[[#This Row],[answer_opt_combined]])),TRUE)</f>
        <v>1</v>
      </c>
    </row>
    <row r="845" spans="1:45" ht="15.75" customHeight="1" x14ac:dyDescent="0.25">
      <c r="A845" s="9" t="str">
        <f>_xlfn.TEXTJOIN("_",TRUE,questions[[#This Row],[origin]:[qno]])</f>
        <v>Uganda_Robusta_Nespresso_3201</v>
      </c>
      <c r="B845" s="9" t="s">
        <v>511</v>
      </c>
      <c r="C845" s="9" t="s">
        <v>674</v>
      </c>
      <c r="D845" s="9" t="s">
        <v>864</v>
      </c>
      <c r="F845" s="24" t="s">
        <v>544</v>
      </c>
      <c r="G845" s="15" t="s">
        <v>883</v>
      </c>
      <c r="H845" s="9" t="str" cm="1">
        <f t="array" ref="H845">INDEX(stableR[question],MATCH(VALUE(questions[[#This Row],[qno]]),VALUE(stableR[qno]),0))</f>
        <v>What was the most common price per kilogram that you received for fresh cherries harvested in the main season? (in local currency)</v>
      </c>
      <c r="I845" s="9" t="b" cm="1">
        <f t="array" ref="I845">INDEX(stable[is_fixed],MATCH(VALUE(questions[[#This Row],[qno]]),VALUE(stable[qno]),0))</f>
        <v>0</v>
      </c>
      <c r="J845" s="9" t="b" cm="1">
        <f t="array" ref="J845">INDEX(stable[is_localized],MATCH(VALUE(questions[[#This Row],[qno]]),VALUE(stable[qno]),0))</f>
        <v>1</v>
      </c>
      <c r="K845" s="9" t="b" cm="1">
        <f t="array" ref="K845">INDEX(stable[is_supply_chain_dependent],MATCH(VALUE(questions[[#This Row],[qno]]),VALUE(stable[qno]),0))</f>
        <v>0</v>
      </c>
      <c r="L845" s="9" t="b" cm="1">
        <f t="array" ref="L845">INDEX(stable[is_mandatory],MATCH(VALUE(questions[[#This Row],[qno]]),VALUE(stable[qno]),0))</f>
        <v>0</v>
      </c>
      <c r="M845" s="9" t="b" cm="1">
        <f t="array" ref="M845">INDEX(stable[is_automated],MATCH(VALUE(questions[[#This Row],[qno]]),VALUE(stable[qno]),0))</f>
        <v>0</v>
      </c>
      <c r="N845" s="9" t="b" cm="1">
        <f t="array" ref="N845">INDEX(stable[is_free_text],MATCH(VALUE(questions[[#This Row],[qno]]),VALUE(stable[qno]),0))</f>
        <v>0</v>
      </c>
      <c r="O845" s="9" t="b" cm="1">
        <f t="array" ref="O845">INDEX(stable[is_numerical],MATCH(VALUE(questions[[#This Row],[qno]]),VALUE(stable[qno]),0))</f>
        <v>1</v>
      </c>
      <c r="P845" s="9" t="b" cm="1">
        <f t="array" ref="P845">INDEX(stable[is_single_select],MATCH(VALUE(questions[[#This Row],[qno]]),VALUE(stable[qno]),0))</f>
        <v>0</v>
      </c>
      <c r="Q845" s="9" t="b" cm="1">
        <f t="array" ref="Q845">INDEX(stable[is_multi_select],MATCH(VALUE(questions[[#This Row],[qno]]),VALUE(stable[qno]),0))</f>
        <v>0</v>
      </c>
      <c r="R845" s="9" t="b" cm="1">
        <f t="array" ref="R845">INDEX(stable[is_skip_logic],MATCH(VALUE(questions[[#This Row],[qno]]),VALUE(stable[qno]),0))</f>
        <v>0</v>
      </c>
      <c r="S845" s="9" t="str">
        <f>_xlfn.TEXTJOIN(", ",TRUE,questions[[#This Row],[ans_opt_1]:[ans_opt_14]])</f>
        <v/>
      </c>
      <c r="AH845" s="16" t="b">
        <f>INDEX(stable[q_standard],MATCH(questions[[#This Row],[qno]],stable[qno],0))</f>
        <v>0</v>
      </c>
      <c r="AI845" s="16" t="b">
        <f>INDEX(stable[q_living_income],MATCH(questions[[#This Row],[qno]],stable[qno],0))</f>
        <v>1</v>
      </c>
      <c r="AJ845" s="16" t="b">
        <f>INDEX(stable[q_carbon],MATCH(questions[[#This Row],[qno]],stable[qno],0))</f>
        <v>0</v>
      </c>
      <c r="AK845" s="16" t="b">
        <f>INDEX(stable[q_regen_ag],MATCH(questions[[#This Row],[qno]],stable[qno],0))</f>
        <v>0</v>
      </c>
      <c r="AL845" s="16" t="b">
        <f>COUNTIFS(stable[qno],questions[[#This Row],[qno]])=1</f>
        <v>1</v>
      </c>
      <c r="AM845" s="16" t="b">
        <f>OR(questions[[#This Row],[is_fixed]],questions[[#This Row],[is_localized]],questions[[#This Row],[is_supply_chain_dependent]])</f>
        <v>1</v>
      </c>
      <c r="AN845" s="16" t="b">
        <f>COUNTIFS(questions[[#This Row],[is_automated]:[is_multi_select]],TRUE)=1</f>
        <v>1</v>
      </c>
      <c r="AO845" s="16" t="b">
        <f>IF(questions[[#This Row],[is_fixed]],questions[[#This Row],[question]]=INDEX(stable[question],MATCH(questions[[#This Row],[qno]],stable[qno],0)),TRUE)</f>
        <v>1</v>
      </c>
      <c r="AP845" s="16" t="str">
        <f>LEFT(questions[[#This Row],[question]],similarity_range)</f>
        <v>What was the most co</v>
      </c>
      <c r="AQ845" s="16" t="str">
        <f>LEFT(INDEX(stable[question],MATCH(questions[[#This Row],[qno]],stable[qno],0)),similarity_range)</f>
        <v>What was the most co</v>
      </c>
      <c r="AR845" s="16" t="b">
        <f>questions[[#This Row],[question_first_characters]]=questions[[#This Row],[stability_first_characters]]</f>
        <v>1</v>
      </c>
      <c r="AS845" s="16" t="b">
        <f>IF(OR(questions[[#This Row],[is_single_select]],questions[[#This Row],[is_multi_select]]),NOT(ISBLANK(questions[[#This Row],[answer_opt_combined]])),TRUE)</f>
        <v>1</v>
      </c>
    </row>
    <row r="846" spans="1:45" ht="15.75" customHeight="1" x14ac:dyDescent="0.25">
      <c r="A846" s="9" t="str">
        <f>_xlfn.TEXTJOIN("_",TRUE,questions[[#This Row],[origin]:[qno]])</f>
        <v>Uganda_Robusta_Nespresso_4000</v>
      </c>
      <c r="B846" s="9" t="s">
        <v>511</v>
      </c>
      <c r="C846" s="9" t="s">
        <v>674</v>
      </c>
      <c r="D846" s="9" t="s">
        <v>864</v>
      </c>
      <c r="F846" s="24" t="s">
        <v>143</v>
      </c>
      <c r="G846" s="15" t="s">
        <v>144</v>
      </c>
      <c r="H846" s="9" t="str" cm="1">
        <f t="array" ref="H846">INDEX(stableR[question],MATCH(VALUE(questions[[#This Row],[qno]]),VALUE(stableR[qno]),0))</f>
        <v>About how many coffee trees do you have across all your coffee plots combined?</v>
      </c>
      <c r="I846" s="9" t="b" cm="1">
        <f t="array" ref="I846">INDEX(stable[is_fixed],MATCH(VALUE(questions[[#This Row],[qno]]),VALUE(stable[qno]),0))</f>
        <v>1</v>
      </c>
      <c r="J846" s="9" t="b" cm="1">
        <f t="array" ref="J846">INDEX(stable[is_localized],MATCH(VALUE(questions[[#This Row],[qno]]),VALUE(stable[qno]),0))</f>
        <v>0</v>
      </c>
      <c r="K846" s="9" t="b" cm="1">
        <f t="array" ref="K846">INDEX(stable[is_supply_chain_dependent],MATCH(VALUE(questions[[#This Row],[qno]]),VALUE(stable[qno]),0))</f>
        <v>0</v>
      </c>
      <c r="L846" s="9" t="b" cm="1">
        <f t="array" ref="L846">INDEX(stable[is_mandatory],MATCH(VALUE(questions[[#This Row],[qno]]),VALUE(stable[qno]),0))</f>
        <v>1</v>
      </c>
      <c r="M846" s="9" t="b" cm="1">
        <f t="array" ref="M846">INDEX(stable[is_automated],MATCH(VALUE(questions[[#This Row],[qno]]),VALUE(stable[qno]),0))</f>
        <v>0</v>
      </c>
      <c r="N846" s="9" t="b" cm="1">
        <f t="array" ref="N846">INDEX(stable[is_free_text],MATCH(VALUE(questions[[#This Row],[qno]]),VALUE(stable[qno]),0))</f>
        <v>0</v>
      </c>
      <c r="O846" s="9" t="b" cm="1">
        <f t="array" ref="O846">INDEX(stable[is_numerical],MATCH(VALUE(questions[[#This Row],[qno]]),VALUE(stable[qno]),0))</f>
        <v>1</v>
      </c>
      <c r="P846" s="9" t="b" cm="1">
        <f t="array" ref="P846">INDEX(stable[is_single_select],MATCH(VALUE(questions[[#This Row],[qno]]),VALUE(stable[qno]),0))</f>
        <v>0</v>
      </c>
      <c r="Q846" s="9" t="b" cm="1">
        <f t="array" ref="Q846">INDEX(stable[is_multi_select],MATCH(VALUE(questions[[#This Row],[qno]]),VALUE(stable[qno]),0))</f>
        <v>0</v>
      </c>
      <c r="R846" s="9" t="b" cm="1">
        <f t="array" ref="R846">INDEX(stable[is_skip_logic],MATCH(VALUE(questions[[#This Row],[qno]]),VALUE(stable[qno]),0))</f>
        <v>0</v>
      </c>
      <c r="S846" s="9" t="str">
        <f>_xlfn.TEXTJOIN(", ",TRUE,questions[[#This Row],[ans_opt_1]:[ans_opt_14]])</f>
        <v/>
      </c>
      <c r="AH846" s="16" t="b">
        <f>INDEX(stable[q_standard],MATCH(questions[[#This Row],[qno]],stable[qno],0))</f>
        <v>0</v>
      </c>
      <c r="AI846" s="16" t="b">
        <f>INDEX(stable[q_living_income],MATCH(questions[[#This Row],[qno]],stable[qno],0))</f>
        <v>1</v>
      </c>
      <c r="AJ846" s="16" t="b">
        <f>INDEX(stable[q_carbon],MATCH(questions[[#This Row],[qno]],stable[qno],0))</f>
        <v>1</v>
      </c>
      <c r="AK846" s="16" t="b">
        <f>INDEX(stable[q_regen_ag],MATCH(questions[[#This Row],[qno]],stable[qno],0))</f>
        <v>1</v>
      </c>
      <c r="AL846" s="16" t="b">
        <f>COUNTIFS(stable[qno],questions[[#This Row],[qno]])=1</f>
        <v>1</v>
      </c>
      <c r="AM846" s="16" t="b">
        <f>OR(questions[[#This Row],[is_fixed]],questions[[#This Row],[is_localized]],questions[[#This Row],[is_supply_chain_dependent]])</f>
        <v>1</v>
      </c>
      <c r="AN846" s="16" t="b">
        <f>COUNTIFS(questions[[#This Row],[is_automated]:[is_multi_select]],TRUE)=1</f>
        <v>1</v>
      </c>
      <c r="AO846" s="16" t="b">
        <f>IF(questions[[#This Row],[is_fixed]],questions[[#This Row],[question]]=INDEX(stable[question],MATCH(questions[[#This Row],[qno]],stable[qno],0)),TRUE)</f>
        <v>1</v>
      </c>
      <c r="AP846" s="16" t="str">
        <f>LEFT(questions[[#This Row],[question]],similarity_range)</f>
        <v>Can you estimate how</v>
      </c>
      <c r="AQ846" s="16" t="str">
        <f>LEFT(INDEX(stable[question],MATCH(questions[[#This Row],[qno]],stable[qno],0)),similarity_range)</f>
        <v>Can you estimate how</v>
      </c>
      <c r="AR846" s="16" t="b">
        <f>questions[[#This Row],[question_first_characters]]=questions[[#This Row],[stability_first_characters]]</f>
        <v>1</v>
      </c>
      <c r="AS846" s="16" t="b">
        <f>IF(OR(questions[[#This Row],[is_single_select]],questions[[#This Row],[is_multi_select]]),NOT(ISBLANK(questions[[#This Row],[answer_opt_combined]])),TRUE)</f>
        <v>1</v>
      </c>
    </row>
    <row r="847" spans="1:45" ht="15.75" customHeight="1" x14ac:dyDescent="0.25">
      <c r="A847" s="9" t="str">
        <f>_xlfn.TEXTJOIN("_",TRUE,questions[[#This Row],[origin]:[qno]])</f>
        <v>Uganda_Robusta_Nespresso_4100</v>
      </c>
      <c r="B847" s="9" t="s">
        <v>511</v>
      </c>
      <c r="C847" s="9" t="s">
        <v>674</v>
      </c>
      <c r="D847" s="9" t="s">
        <v>864</v>
      </c>
      <c r="F847" s="24" t="s">
        <v>145</v>
      </c>
      <c r="G847" s="15" t="s">
        <v>146</v>
      </c>
      <c r="H847" s="9" t="str" cm="1">
        <f t="array" ref="H847">INDEX(stableR[question],MATCH(VALUE(questions[[#This Row],[qno]]),VALUE(stableR[qno]),0))</f>
        <v>In total, how many plots with coffee do you have?</v>
      </c>
      <c r="I847" s="9" t="b" cm="1">
        <f t="array" ref="I847">INDEX(stable[is_fixed],MATCH(VALUE(questions[[#This Row],[qno]]),VALUE(stable[qno]),0))</f>
        <v>1</v>
      </c>
      <c r="J847" s="9" t="b" cm="1">
        <f t="array" ref="J847">INDEX(stable[is_localized],MATCH(VALUE(questions[[#This Row],[qno]]),VALUE(stable[qno]),0))</f>
        <v>0</v>
      </c>
      <c r="K847" s="9" t="b" cm="1">
        <f t="array" ref="K847">INDEX(stable[is_supply_chain_dependent],MATCH(VALUE(questions[[#This Row],[qno]]),VALUE(stable[qno]),0))</f>
        <v>0</v>
      </c>
      <c r="L847" s="9" t="b" cm="1">
        <f t="array" ref="L847">INDEX(stable[is_mandatory],MATCH(VALUE(questions[[#This Row],[qno]]),VALUE(stable[qno]),0))</f>
        <v>1</v>
      </c>
      <c r="M847" s="9" t="b" cm="1">
        <f t="array" ref="M847">INDEX(stable[is_automated],MATCH(VALUE(questions[[#This Row],[qno]]),VALUE(stable[qno]),0))</f>
        <v>0</v>
      </c>
      <c r="N847" s="9" t="b" cm="1">
        <f t="array" ref="N847">INDEX(stable[is_free_text],MATCH(VALUE(questions[[#This Row],[qno]]),VALUE(stable[qno]),0))</f>
        <v>0</v>
      </c>
      <c r="O847" s="9" t="b" cm="1">
        <f t="array" ref="O847">INDEX(stable[is_numerical],MATCH(VALUE(questions[[#This Row],[qno]]),VALUE(stable[qno]),0))</f>
        <v>1</v>
      </c>
      <c r="P847" s="9" t="b" cm="1">
        <f t="array" ref="P847">INDEX(stable[is_single_select],MATCH(VALUE(questions[[#This Row],[qno]]),VALUE(stable[qno]),0))</f>
        <v>0</v>
      </c>
      <c r="Q847" s="9" t="b" cm="1">
        <f t="array" ref="Q847">INDEX(stable[is_multi_select],MATCH(VALUE(questions[[#This Row],[qno]]),VALUE(stable[qno]),0))</f>
        <v>0</v>
      </c>
      <c r="R847" s="9" t="b" cm="1">
        <f t="array" ref="R847">INDEX(stable[is_skip_logic],MATCH(VALUE(questions[[#This Row],[qno]]),VALUE(stable[qno]),0))</f>
        <v>0</v>
      </c>
      <c r="S847" s="9" t="str">
        <f>_xlfn.TEXTJOIN(", ",TRUE,questions[[#This Row],[ans_opt_1]:[ans_opt_14]])</f>
        <v/>
      </c>
      <c r="AH847" s="16" t="b">
        <f>INDEX(stable[q_standard],MATCH(questions[[#This Row],[qno]],stable[qno],0))</f>
        <v>0</v>
      </c>
      <c r="AI847" s="16" t="b">
        <f>INDEX(stable[q_living_income],MATCH(questions[[#This Row],[qno]],stable[qno],0))</f>
        <v>1</v>
      </c>
      <c r="AJ847" s="16" t="b">
        <f>INDEX(stable[q_carbon],MATCH(questions[[#This Row],[qno]],stable[qno],0))</f>
        <v>1</v>
      </c>
      <c r="AK847" s="16" t="b">
        <f>INDEX(stable[q_regen_ag],MATCH(questions[[#This Row],[qno]],stable[qno],0))</f>
        <v>1</v>
      </c>
      <c r="AL847" s="16" t="b">
        <f>COUNTIFS(stable[qno],questions[[#This Row],[qno]])=1</f>
        <v>1</v>
      </c>
      <c r="AM847" s="16" t="b">
        <f>OR(questions[[#This Row],[is_fixed]],questions[[#This Row],[is_localized]],questions[[#This Row],[is_supply_chain_dependent]])</f>
        <v>1</v>
      </c>
      <c r="AN847" s="16" t="b">
        <f>COUNTIFS(questions[[#This Row],[is_automated]:[is_multi_select]],TRUE)=1</f>
        <v>1</v>
      </c>
      <c r="AO847" s="16" t="b">
        <f>IF(questions[[#This Row],[is_fixed]],questions[[#This Row],[question]]=INDEX(stable[question],MATCH(questions[[#This Row],[qno]],stable[qno],0)),TRUE)</f>
        <v>1</v>
      </c>
      <c r="AP847" s="16" t="str">
        <f>LEFT(questions[[#This Row],[question]],similarity_range)</f>
        <v>In total, how many p</v>
      </c>
      <c r="AQ847" s="16" t="str">
        <f>LEFT(INDEX(stable[question],MATCH(questions[[#This Row],[qno]],stable[qno],0)),similarity_range)</f>
        <v>In total, how many p</v>
      </c>
      <c r="AR847" s="16" t="b">
        <f>questions[[#This Row],[question_first_characters]]=questions[[#This Row],[stability_first_characters]]</f>
        <v>1</v>
      </c>
      <c r="AS847" s="16" t="b">
        <f>IF(OR(questions[[#This Row],[is_single_select]],questions[[#This Row],[is_multi_select]]),NOT(ISBLANK(questions[[#This Row],[answer_opt_combined]])),TRUE)</f>
        <v>1</v>
      </c>
    </row>
    <row r="848" spans="1:45" s="77" customFormat="1" ht="15.75" customHeight="1" x14ac:dyDescent="0.25">
      <c r="A848" s="77" t="str">
        <f>_xlfn.TEXTJOIN("_",TRUE,questions[[#This Row],[origin]:[qno]])</f>
        <v>Uganda_Robusta_Nespresso_4101</v>
      </c>
      <c r="B848" s="77" t="s">
        <v>511</v>
      </c>
      <c r="C848" s="77" t="s">
        <v>674</v>
      </c>
      <c r="D848" s="77" t="s">
        <v>864</v>
      </c>
      <c r="F848" s="104" t="s">
        <v>147</v>
      </c>
      <c r="G848" s="78" t="s">
        <v>734</v>
      </c>
      <c r="H848" s="9" t="str" cm="1">
        <f t="array" ref="H848">INDEX(stableR[question],MATCH(VALUE(questions[[#This Row],[qno]]),VALUE(stableR[qno]),0))</f>
        <v>Can we go to measure/polygon map (area audit) each of these plots?</v>
      </c>
      <c r="I848" s="9" t="b" cm="1">
        <f t="array" ref="I848">INDEX(stable[is_fixed],MATCH(VALUE(questions[[#This Row],[qno]]),VALUE(stable[qno]),0))</f>
        <v>1</v>
      </c>
      <c r="J848" s="9" t="b" cm="1">
        <f t="array" ref="J848">INDEX(stable[is_localized],MATCH(VALUE(questions[[#This Row],[qno]]),VALUE(stable[qno]),0))</f>
        <v>0</v>
      </c>
      <c r="K848" s="9" t="b" cm="1">
        <f t="array" ref="K848">INDEX(stable[is_supply_chain_dependent],MATCH(VALUE(questions[[#This Row],[qno]]),VALUE(stable[qno]),0))</f>
        <v>0</v>
      </c>
      <c r="L848" s="9" t="b" cm="1">
        <f t="array" ref="L848">INDEX(stable[is_mandatory],MATCH(VALUE(questions[[#This Row],[qno]]),VALUE(stable[qno]),0))</f>
        <v>1</v>
      </c>
      <c r="M848" s="9" t="b" cm="1">
        <f t="array" ref="M848">INDEX(stable[is_automated],MATCH(VALUE(questions[[#This Row],[qno]]),VALUE(stable[qno]),0))</f>
        <v>0</v>
      </c>
      <c r="N848" s="9" t="b" cm="1">
        <f t="array" ref="N848">INDEX(stable[is_free_text],MATCH(VALUE(questions[[#This Row],[qno]]),VALUE(stable[qno]),0))</f>
        <v>0</v>
      </c>
      <c r="O848" s="9" t="b" cm="1">
        <f t="array" ref="O848">INDEX(stable[is_numerical],MATCH(VALUE(questions[[#This Row],[qno]]),VALUE(stable[qno]),0))</f>
        <v>0</v>
      </c>
      <c r="P848" s="77" t="b" cm="1">
        <f t="array" ref="P848">INDEX(stable[is_single_select],MATCH(VALUE(questions[[#This Row],[qno]]),VALUE(stable[qno]),0))</f>
        <v>1</v>
      </c>
      <c r="Q848" s="77" t="b" cm="1">
        <f t="array" ref="Q848">INDEX(stable[is_multi_select],MATCH(VALUE(questions[[#This Row],[qno]]),VALUE(stable[qno]),0))</f>
        <v>0</v>
      </c>
      <c r="R848" s="77" t="b" cm="1">
        <f t="array" ref="R848">INDEX(stable[is_skip_logic],MATCH(VALUE(questions[[#This Row],[qno]]),VALUE(stable[qno]),0))</f>
        <v>1</v>
      </c>
      <c r="S848" s="77" t="str">
        <f>_xlfn.TEXTJOIN(", ",TRUE,questions[[#This Row],[ans_opt_1]:[ans_opt_14]])</f>
        <v>Yes, No</v>
      </c>
      <c r="T848" s="77" t="s">
        <v>149</v>
      </c>
      <c r="U848" s="77" t="s">
        <v>119</v>
      </c>
      <c r="AH848" s="98" t="b">
        <f>INDEX(stable[q_standard],MATCH(questions[[#This Row],[qno]],stable[qno],0))</f>
        <v>0</v>
      </c>
      <c r="AI848" s="98" t="b">
        <f>INDEX(stable[q_living_income],MATCH(questions[[#This Row],[qno]],stable[qno],0))</f>
        <v>1</v>
      </c>
      <c r="AJ848" s="98" t="b">
        <f>INDEX(stable[q_carbon],MATCH(questions[[#This Row],[qno]],stable[qno],0))</f>
        <v>1</v>
      </c>
      <c r="AK848" s="98" t="b">
        <f>INDEX(stable[q_regen_ag],MATCH(questions[[#This Row],[qno]],stable[qno],0))</f>
        <v>1</v>
      </c>
      <c r="AL848" s="98" t="b">
        <f>COUNTIFS(stable[qno],questions[[#This Row],[qno]])=1</f>
        <v>1</v>
      </c>
      <c r="AM848" s="98" t="b">
        <f>OR(questions[[#This Row],[is_fixed]],questions[[#This Row],[is_localized]],questions[[#This Row],[is_supply_chain_dependent]])</f>
        <v>1</v>
      </c>
      <c r="AN848" s="98" t="b">
        <f>COUNTIFS(questions[[#This Row],[is_automated]:[is_multi_select]],TRUE)=1</f>
        <v>1</v>
      </c>
      <c r="AO848" s="98" t="b">
        <f>IF(questions[[#This Row],[is_fixed]],questions[[#This Row],[question]]=INDEX(stable[question],MATCH(questions[[#This Row],[qno]],stable[qno],0)),TRUE)</f>
        <v>0</v>
      </c>
      <c r="AP848" s="98" t="str">
        <f>LEFT(questions[[#This Row],[question]],similarity_range)</f>
        <v>Can we go to measure</v>
      </c>
      <c r="AQ848" s="98" t="str">
        <f>LEFT(INDEX(stable[question],MATCH(questions[[#This Row],[qno]],stable[qno],0)),similarity_range)</f>
        <v>Can we go to measure</v>
      </c>
      <c r="AR848" s="98" t="b">
        <f>questions[[#This Row],[question_first_characters]]=questions[[#This Row],[stability_first_characters]]</f>
        <v>1</v>
      </c>
      <c r="AS848" s="98" t="b">
        <f>IF(OR(questions[[#This Row],[is_single_select]],questions[[#This Row],[is_multi_select]]),NOT(ISBLANK(questions[[#This Row],[answer_opt_combined]])),TRUE)</f>
        <v>1</v>
      </c>
    </row>
    <row r="849" spans="1:45" s="77" customFormat="1" ht="15.75" customHeight="1" x14ac:dyDescent="0.25">
      <c r="A849" s="77" t="str">
        <f>_xlfn.TEXTJOIN("_",TRUE,questions[[#This Row],[origin]:[qno]])</f>
        <v>Uganda_Robusta_Nespresso_4102</v>
      </c>
      <c r="B849" s="77" t="s">
        <v>511</v>
      </c>
      <c r="C849" s="77" t="s">
        <v>674</v>
      </c>
      <c r="D849" s="77" t="s">
        <v>864</v>
      </c>
      <c r="F849" s="104" t="s">
        <v>150</v>
      </c>
      <c r="G849" s="78" t="s">
        <v>151</v>
      </c>
      <c r="H849" s="9" t="str" cm="1">
        <f t="array" ref="H849">INDEX(stableR[question],MATCH(VALUE(questions[[#This Row],[qno]]),VALUE(stableR[qno]),0))</f>
        <v>If No, what is the reason why we cannot visit this/these plot (s) to measure/polygon map it/them?</v>
      </c>
      <c r="I849" s="9" t="b" cm="1">
        <f t="array" ref="I849">INDEX(stable[is_fixed],MATCH(VALUE(questions[[#This Row],[qno]]),VALUE(stable[qno]),0))</f>
        <v>1</v>
      </c>
      <c r="J849" s="9" t="b" cm="1">
        <f t="array" ref="J849">INDEX(stable[is_localized],MATCH(VALUE(questions[[#This Row],[qno]]),VALUE(stable[qno]),0))</f>
        <v>0</v>
      </c>
      <c r="K849" s="9" t="b" cm="1">
        <f t="array" ref="K849">INDEX(stable[is_supply_chain_dependent],MATCH(VALUE(questions[[#This Row],[qno]]),VALUE(stable[qno]),0))</f>
        <v>0</v>
      </c>
      <c r="L849" s="9" t="b" cm="1">
        <f t="array" ref="L849">INDEX(stable[is_mandatory],MATCH(VALUE(questions[[#This Row],[qno]]),VALUE(stable[qno]),0))</f>
        <v>0</v>
      </c>
      <c r="M849" s="9" t="b" cm="1">
        <f t="array" ref="M849">INDEX(stable[is_automated],MATCH(VALUE(questions[[#This Row],[qno]]),VALUE(stable[qno]),0))</f>
        <v>0</v>
      </c>
      <c r="N849" s="9" t="b" cm="1">
        <f t="array" ref="N849">INDEX(stable[is_free_text],MATCH(VALUE(questions[[#This Row],[qno]]),VALUE(stable[qno]),0))</f>
        <v>0</v>
      </c>
      <c r="O849" s="9" t="b" cm="1">
        <f t="array" ref="O849">INDEX(stable[is_numerical],MATCH(VALUE(questions[[#This Row],[qno]]),VALUE(stable[qno]),0))</f>
        <v>0</v>
      </c>
      <c r="P849" s="77" t="b" cm="1">
        <f t="array" ref="P849">INDEX(stable[is_single_select],MATCH(VALUE(questions[[#This Row],[qno]]),VALUE(stable[qno]),0))</f>
        <v>1</v>
      </c>
      <c r="Q849" s="77" t="b" cm="1">
        <f t="array" ref="Q849">INDEX(stable[is_multi_select],MATCH(VALUE(questions[[#This Row],[qno]]),VALUE(stable[qno]),0))</f>
        <v>0</v>
      </c>
      <c r="R849" s="77" t="b" cm="1">
        <f t="array" ref="R849">INDEX(stable[is_skip_logic],MATCH(VALUE(questions[[#This Row],[qno]]),VALUE(stable[qno]),0))</f>
        <v>1</v>
      </c>
      <c r="S849" s="77" t="str">
        <f>_xlfn.TEXTJOIN(", ",TRUE,questions[[#This Row],[ans_opt_1]:[ans_opt_14]])</f>
        <v>Too far, Farmer not willing, Other reason</v>
      </c>
      <c r="T849" s="77" t="s">
        <v>152</v>
      </c>
      <c r="U849" s="77" t="s">
        <v>153</v>
      </c>
      <c r="V849" s="77" t="s">
        <v>154</v>
      </c>
      <c r="AH849" s="98" t="b">
        <f>INDEX(stable[q_standard],MATCH(questions[[#This Row],[qno]],stable[qno],0))</f>
        <v>0</v>
      </c>
      <c r="AI849" s="98" t="b">
        <f>INDEX(stable[q_living_income],MATCH(questions[[#This Row],[qno]],stable[qno],0))</f>
        <v>1</v>
      </c>
      <c r="AJ849" s="98" t="b">
        <f>INDEX(stable[q_carbon],MATCH(questions[[#This Row],[qno]],stable[qno],0))</f>
        <v>1</v>
      </c>
      <c r="AK849" s="98" t="b">
        <f>INDEX(stable[q_regen_ag],MATCH(questions[[#This Row],[qno]],stable[qno],0))</f>
        <v>1</v>
      </c>
      <c r="AL849" s="98" t="b">
        <f>COUNTIFS(stable[qno],questions[[#This Row],[qno]])=1</f>
        <v>1</v>
      </c>
      <c r="AM849" s="98" t="b">
        <f>OR(questions[[#This Row],[is_fixed]],questions[[#This Row],[is_localized]],questions[[#This Row],[is_supply_chain_dependent]])</f>
        <v>1</v>
      </c>
      <c r="AN849" s="98" t="b">
        <f>COUNTIFS(questions[[#This Row],[is_automated]:[is_multi_select]],TRUE)=1</f>
        <v>1</v>
      </c>
      <c r="AO849" s="98" t="b">
        <f>IF(questions[[#This Row],[is_fixed]],questions[[#This Row],[question]]=INDEX(stable[question],MATCH(questions[[#This Row],[qno]],stable[qno],0)),TRUE)</f>
        <v>1</v>
      </c>
      <c r="AP849" s="98" t="str">
        <f>LEFT(questions[[#This Row],[question]],similarity_range)</f>
        <v>If no, what is the r</v>
      </c>
      <c r="AQ849" s="98" t="str">
        <f>LEFT(INDEX(stable[question],MATCH(questions[[#This Row],[qno]],stable[qno],0)),similarity_range)</f>
        <v>If no, what is the r</v>
      </c>
      <c r="AR849" s="98" t="b">
        <f>questions[[#This Row],[question_first_characters]]=questions[[#This Row],[stability_first_characters]]</f>
        <v>1</v>
      </c>
      <c r="AS849" s="98" t="b">
        <f>IF(OR(questions[[#This Row],[is_single_select]],questions[[#This Row],[is_multi_select]]),NOT(ISBLANK(questions[[#This Row],[answer_opt_combined]])),TRUE)</f>
        <v>1</v>
      </c>
    </row>
    <row r="850" spans="1:45" ht="15.75" customHeight="1" x14ac:dyDescent="0.25">
      <c r="A850" s="9" t="str">
        <f>_xlfn.TEXTJOIN("_",TRUE,questions[[#This Row],[origin]:[qno]])</f>
        <v>Uganda_Robusta_Nespresso_4103</v>
      </c>
      <c r="B850" s="9" t="s">
        <v>511</v>
      </c>
      <c r="C850" s="9" t="s">
        <v>674</v>
      </c>
      <c r="D850" s="9" t="s">
        <v>864</v>
      </c>
      <c r="F850" s="24" t="s">
        <v>155</v>
      </c>
      <c r="G850" s="15" t="s">
        <v>156</v>
      </c>
      <c r="H850" s="9" t="str" cm="1">
        <f t="array" ref="H850">INDEX(stableR[question],MATCH(VALUE(questions[[#This Row],[qno]]),VALUE(stableR[qno]),0))</f>
        <v>Of your total coffee plots, how many cannot be visited during the survey?</v>
      </c>
      <c r="I850" s="9" t="b" cm="1">
        <f t="array" ref="I850">INDEX(stable[is_fixed],MATCH(VALUE(questions[[#This Row],[qno]]),VALUE(stable[qno]),0))</f>
        <v>1</v>
      </c>
      <c r="J850" s="9" t="b" cm="1">
        <f t="array" ref="J850">INDEX(stable[is_localized],MATCH(VALUE(questions[[#This Row],[qno]]),VALUE(stable[qno]),0))</f>
        <v>0</v>
      </c>
      <c r="K850" s="9" t="b" cm="1">
        <f t="array" ref="K850">INDEX(stable[is_supply_chain_dependent],MATCH(VALUE(questions[[#This Row],[qno]]),VALUE(stable[qno]),0))</f>
        <v>0</v>
      </c>
      <c r="L850" s="9" t="b" cm="1">
        <f t="array" ref="L850">INDEX(stable[is_mandatory],MATCH(VALUE(questions[[#This Row],[qno]]),VALUE(stable[qno]),0))</f>
        <v>0</v>
      </c>
      <c r="M850" s="9" t="b" cm="1">
        <f t="array" ref="M850">INDEX(stable[is_automated],MATCH(VALUE(questions[[#This Row],[qno]]),VALUE(stable[qno]),0))</f>
        <v>0</v>
      </c>
      <c r="N850" s="9" t="b" cm="1">
        <f t="array" ref="N850">INDEX(stable[is_free_text],MATCH(VALUE(questions[[#This Row],[qno]]),VALUE(stable[qno]),0))</f>
        <v>0</v>
      </c>
      <c r="O850" s="9" t="b" cm="1">
        <f t="array" ref="O850">INDEX(stable[is_numerical],MATCH(VALUE(questions[[#This Row],[qno]]),VALUE(stable[qno]),0))</f>
        <v>1</v>
      </c>
      <c r="P850" s="9" t="b" cm="1">
        <f t="array" ref="P850">INDEX(stable[is_single_select],MATCH(VALUE(questions[[#This Row],[qno]]),VALUE(stable[qno]),0))</f>
        <v>0</v>
      </c>
      <c r="Q850" s="9" t="b" cm="1">
        <f t="array" ref="Q850">INDEX(stable[is_multi_select],MATCH(VALUE(questions[[#This Row],[qno]]),VALUE(stable[qno]),0))</f>
        <v>0</v>
      </c>
      <c r="R850" s="9" t="b" cm="1">
        <f t="array" ref="R850">INDEX(stable[is_skip_logic],MATCH(VALUE(questions[[#This Row],[qno]]),VALUE(stable[qno]),0))</f>
        <v>0</v>
      </c>
      <c r="S850" s="9" t="str">
        <f>_xlfn.TEXTJOIN(", ",TRUE,questions[[#This Row],[ans_opt_1]:[ans_opt_14]])</f>
        <v/>
      </c>
      <c r="AH850" s="16" t="b">
        <f>INDEX(stable[q_standard],MATCH(questions[[#This Row],[qno]],stable[qno],0))</f>
        <v>0</v>
      </c>
      <c r="AI850" s="16" t="b">
        <f>INDEX(stable[q_living_income],MATCH(questions[[#This Row],[qno]],stable[qno],0))</f>
        <v>1</v>
      </c>
      <c r="AJ850" s="16" t="b">
        <f>INDEX(stable[q_carbon],MATCH(questions[[#This Row],[qno]],stable[qno],0))</f>
        <v>1</v>
      </c>
      <c r="AK850" s="16" t="b">
        <f>INDEX(stable[q_regen_ag],MATCH(questions[[#This Row],[qno]],stable[qno],0))</f>
        <v>1</v>
      </c>
      <c r="AL850" s="16" t="b">
        <f>COUNTIFS(stable[qno],questions[[#This Row],[qno]])=1</f>
        <v>1</v>
      </c>
      <c r="AM850" s="16" t="b">
        <f>OR(questions[[#This Row],[is_fixed]],questions[[#This Row],[is_localized]],questions[[#This Row],[is_supply_chain_dependent]])</f>
        <v>1</v>
      </c>
      <c r="AN850" s="16" t="b">
        <f>COUNTIFS(questions[[#This Row],[is_automated]:[is_multi_select]],TRUE)=1</f>
        <v>1</v>
      </c>
      <c r="AO850" s="16" t="b">
        <f>IF(questions[[#This Row],[is_fixed]],questions[[#This Row],[question]]=INDEX(stable[question],MATCH(questions[[#This Row],[qno]],stable[qno],0)),TRUE)</f>
        <v>1</v>
      </c>
      <c r="AP850" s="16" t="str">
        <f>LEFT(questions[[#This Row],[question]],similarity_range)</f>
        <v>How many coffee plot</v>
      </c>
      <c r="AQ850" s="16" t="str">
        <f>LEFT(INDEX(stable[question],MATCH(questions[[#This Row],[qno]],stable[qno],0)),similarity_range)</f>
        <v>How many coffee plot</v>
      </c>
      <c r="AR850" s="16" t="b">
        <f>questions[[#This Row],[question_first_characters]]=questions[[#This Row],[stability_first_characters]]</f>
        <v>1</v>
      </c>
      <c r="AS850" s="16" t="b">
        <f>IF(OR(questions[[#This Row],[is_single_select]],questions[[#This Row],[is_multi_select]]),NOT(ISBLANK(questions[[#This Row],[answer_opt_combined]])),TRUE)</f>
        <v>1</v>
      </c>
    </row>
    <row r="851" spans="1:45" ht="15.75" customHeight="1" x14ac:dyDescent="0.25">
      <c r="A851" s="9" t="str">
        <f>_xlfn.TEXTJOIN("_",TRUE,questions[[#This Row],[origin]:[qno]])</f>
        <v>Uganda_Robusta_Nespresso_4104</v>
      </c>
      <c r="B851" s="9" t="s">
        <v>511</v>
      </c>
      <c r="C851" s="9" t="s">
        <v>674</v>
      </c>
      <c r="D851" s="9" t="s">
        <v>864</v>
      </c>
      <c r="F851" s="24" t="s">
        <v>157</v>
      </c>
      <c r="G851" s="15" t="s">
        <v>158</v>
      </c>
      <c r="H851" s="9" t="str" cm="1">
        <f t="array" ref="H851">INDEX(stableR[question],MATCH(VALUE(questions[[#This Row],[qno]]),VALUE(stableR[qno]),0))</f>
        <v>Of the coffee plots that cannot be visited, what is the total area of these plots? (in acres)</v>
      </c>
      <c r="I851" s="9" t="b" cm="1">
        <f t="array" ref="I851">INDEX(stable[is_fixed],MATCH(VALUE(questions[[#This Row],[qno]]),VALUE(stable[qno]),0))</f>
        <v>1</v>
      </c>
      <c r="J851" s="9" t="b" cm="1">
        <f t="array" ref="J851">INDEX(stable[is_localized],MATCH(VALUE(questions[[#This Row],[qno]]),VALUE(stable[qno]),0))</f>
        <v>0</v>
      </c>
      <c r="K851" s="9" t="b" cm="1">
        <f t="array" ref="K851">INDEX(stable[is_supply_chain_dependent],MATCH(VALUE(questions[[#This Row],[qno]]),VALUE(stable[qno]),0))</f>
        <v>0</v>
      </c>
      <c r="L851" s="9" t="b" cm="1">
        <f t="array" ref="L851">INDEX(stable[is_mandatory],MATCH(VALUE(questions[[#This Row],[qno]]),VALUE(stable[qno]),0))</f>
        <v>0</v>
      </c>
      <c r="M851" s="9" t="b" cm="1">
        <f t="array" ref="M851">INDEX(stable[is_automated],MATCH(VALUE(questions[[#This Row],[qno]]),VALUE(stable[qno]),0))</f>
        <v>0</v>
      </c>
      <c r="N851" s="9" t="b" cm="1">
        <f t="array" ref="N851">INDEX(stable[is_free_text],MATCH(VALUE(questions[[#This Row],[qno]]),VALUE(stable[qno]),0))</f>
        <v>0</v>
      </c>
      <c r="O851" s="9" t="b" cm="1">
        <f t="array" ref="O851">INDEX(stable[is_numerical],MATCH(VALUE(questions[[#This Row],[qno]]),VALUE(stable[qno]),0))</f>
        <v>1</v>
      </c>
      <c r="P851" s="9" t="b" cm="1">
        <f t="array" ref="P851">INDEX(stable[is_single_select],MATCH(VALUE(questions[[#This Row],[qno]]),VALUE(stable[qno]),0))</f>
        <v>0</v>
      </c>
      <c r="Q851" s="9" t="b" cm="1">
        <f t="array" ref="Q851">INDEX(stable[is_multi_select],MATCH(VALUE(questions[[#This Row],[qno]]),VALUE(stable[qno]),0))</f>
        <v>0</v>
      </c>
      <c r="R851" s="9" t="b" cm="1">
        <f t="array" ref="R851">INDEX(stable[is_skip_logic],MATCH(VALUE(questions[[#This Row],[qno]]),VALUE(stable[qno]),0))</f>
        <v>0</v>
      </c>
      <c r="S851" s="9" t="str">
        <f>_xlfn.TEXTJOIN(", ",TRUE,questions[[#This Row],[ans_opt_1]:[ans_opt_14]])</f>
        <v/>
      </c>
      <c r="AH851" s="16" t="b">
        <f>INDEX(stable[q_standard],MATCH(questions[[#This Row],[qno]],stable[qno],0))</f>
        <v>0</v>
      </c>
      <c r="AI851" s="16" t="b">
        <f>INDEX(stable[q_living_income],MATCH(questions[[#This Row],[qno]],stable[qno],0))</f>
        <v>1</v>
      </c>
      <c r="AJ851" s="16" t="b">
        <f>INDEX(stable[q_carbon],MATCH(questions[[#This Row],[qno]],stable[qno],0))</f>
        <v>1</v>
      </c>
      <c r="AK851" s="16" t="b">
        <f>INDEX(stable[q_regen_ag],MATCH(questions[[#This Row],[qno]],stable[qno],0))</f>
        <v>1</v>
      </c>
      <c r="AL851" s="16" t="b">
        <f>COUNTIFS(stable[qno],questions[[#This Row],[qno]])=1</f>
        <v>1</v>
      </c>
      <c r="AM851" s="16" t="b">
        <f>OR(questions[[#This Row],[is_fixed]],questions[[#This Row],[is_localized]],questions[[#This Row],[is_supply_chain_dependent]])</f>
        <v>1</v>
      </c>
      <c r="AN851" s="16" t="b">
        <f>COUNTIFS(questions[[#This Row],[is_automated]:[is_multi_select]],TRUE)=1</f>
        <v>1</v>
      </c>
      <c r="AO851" s="16" t="b">
        <f>IF(questions[[#This Row],[is_fixed]],questions[[#This Row],[question]]=INDEX(stable[question],MATCH(questions[[#This Row],[qno]],stable[qno],0)),TRUE)</f>
        <v>1</v>
      </c>
      <c r="AP851" s="16" t="str">
        <f>LEFT(questions[[#This Row],[question]],similarity_range)</f>
        <v>What is the total ar</v>
      </c>
      <c r="AQ851" s="16" t="str">
        <f>LEFT(INDEX(stable[question],MATCH(questions[[#This Row],[qno]],stable[qno],0)),similarity_range)</f>
        <v>What is the total ar</v>
      </c>
      <c r="AR851" s="16" t="b">
        <f>questions[[#This Row],[question_first_characters]]=questions[[#This Row],[stability_first_characters]]</f>
        <v>1</v>
      </c>
      <c r="AS851" s="16" t="b">
        <f>IF(OR(questions[[#This Row],[is_single_select]],questions[[#This Row],[is_multi_select]]),NOT(ISBLANK(questions[[#This Row],[answer_opt_combined]])),TRUE)</f>
        <v>1</v>
      </c>
    </row>
    <row r="852" spans="1:45" s="77" customFormat="1" ht="15.75" customHeight="1" x14ac:dyDescent="0.25">
      <c r="A852" s="77" t="str">
        <f>_xlfn.TEXTJOIN("_",TRUE,questions[[#This Row],[origin]:[qno]])</f>
        <v>Uganda_Robusta_Nespresso_5000</v>
      </c>
      <c r="B852" s="77" t="s">
        <v>511</v>
      </c>
      <c r="C852" s="77" t="s">
        <v>674</v>
      </c>
      <c r="D852" s="77" t="s">
        <v>864</v>
      </c>
      <c r="F852" s="104" t="s">
        <v>159</v>
      </c>
      <c r="G852" s="78" t="s">
        <v>884</v>
      </c>
      <c r="H852" s="9" t="str" cm="1">
        <f t="array" ref="H852">INDEX(stableR[question],MATCH(VALUE(questions[[#This Row],[qno]]),VALUE(stableR[qno]),0))</f>
        <v>Did you use synthetic fertilizers for your coffee last year?</v>
      </c>
      <c r="I852" s="9" t="b" cm="1">
        <f t="array" ref="I852">INDEX(stable[is_fixed],MATCH(VALUE(questions[[#This Row],[qno]]),VALUE(stable[qno]),0))</f>
        <v>1</v>
      </c>
      <c r="J852" s="9" t="b" cm="1">
        <f t="array" ref="J852">INDEX(stable[is_localized],MATCH(VALUE(questions[[#This Row],[qno]]),VALUE(stable[qno]),0))</f>
        <v>0</v>
      </c>
      <c r="K852" s="9" t="b" cm="1">
        <f t="array" ref="K852">INDEX(stable[is_supply_chain_dependent],MATCH(VALUE(questions[[#This Row],[qno]]),VALUE(stable[qno]),0))</f>
        <v>0</v>
      </c>
      <c r="L852" s="9" t="b" cm="1">
        <f t="array" ref="L852">INDEX(stable[is_mandatory],MATCH(VALUE(questions[[#This Row],[qno]]),VALUE(stable[qno]),0))</f>
        <v>1</v>
      </c>
      <c r="M852" s="9" t="b" cm="1">
        <f t="array" ref="M852">INDEX(stable[is_automated],MATCH(VALUE(questions[[#This Row],[qno]]),VALUE(stable[qno]),0))</f>
        <v>0</v>
      </c>
      <c r="N852" s="9" t="b" cm="1">
        <f t="array" ref="N852">INDEX(stable[is_free_text],MATCH(VALUE(questions[[#This Row],[qno]]),VALUE(stable[qno]),0))</f>
        <v>0</v>
      </c>
      <c r="O852" s="9" t="b" cm="1">
        <f t="array" ref="O852">INDEX(stable[is_numerical],MATCH(VALUE(questions[[#This Row],[qno]]),VALUE(stable[qno]),0))</f>
        <v>0</v>
      </c>
      <c r="P852" s="77" t="b" cm="1">
        <f t="array" ref="P852">INDEX(stable[is_single_select],MATCH(VALUE(questions[[#This Row],[qno]]),VALUE(stable[qno]),0))</f>
        <v>1</v>
      </c>
      <c r="Q852" s="77" t="b" cm="1">
        <f t="array" ref="Q852">INDEX(stable[is_multi_select],MATCH(VALUE(questions[[#This Row],[qno]]),VALUE(stable[qno]),0))</f>
        <v>0</v>
      </c>
      <c r="R852" s="77" t="b" cm="1">
        <f t="array" ref="R852">INDEX(stable[is_skip_logic],MATCH(VALUE(questions[[#This Row],[qno]]),VALUE(stable[qno]),0))</f>
        <v>1</v>
      </c>
      <c r="S852" s="77" t="str">
        <f>_xlfn.TEXTJOIN(", ",TRUE,questions[[#This Row],[ans_opt_1]:[ans_opt_14]])</f>
        <v>Yes, No</v>
      </c>
      <c r="T852" s="77" t="s">
        <v>149</v>
      </c>
      <c r="U852" s="77" t="s">
        <v>119</v>
      </c>
      <c r="AH852" s="98" t="b">
        <f>INDEX(stable[q_standard],MATCH(questions[[#This Row],[qno]],stable[qno],0))</f>
        <v>0</v>
      </c>
      <c r="AI852" s="98" t="b">
        <f>INDEX(stable[q_living_income],MATCH(questions[[#This Row],[qno]],stable[qno],0))</f>
        <v>1</v>
      </c>
      <c r="AJ852" s="98" t="b">
        <f>INDEX(stable[q_carbon],MATCH(questions[[#This Row],[qno]],stable[qno],0))</f>
        <v>1</v>
      </c>
      <c r="AK852" s="98" t="b">
        <f>INDEX(stable[q_regen_ag],MATCH(questions[[#This Row],[qno]],stable[qno],0))</f>
        <v>0</v>
      </c>
      <c r="AL852" s="98" t="b">
        <f>COUNTIFS(stable[qno],questions[[#This Row],[qno]])=1</f>
        <v>1</v>
      </c>
      <c r="AM852" s="98" t="b">
        <f>OR(questions[[#This Row],[is_fixed]],questions[[#This Row],[is_localized]],questions[[#This Row],[is_supply_chain_dependent]])</f>
        <v>1</v>
      </c>
      <c r="AN852" s="98" t="b">
        <f>COUNTIFS(questions[[#This Row],[is_automated]:[is_multi_select]],TRUE)=1</f>
        <v>1</v>
      </c>
      <c r="AO852" s="98" t="b">
        <f>IF(questions[[#This Row],[is_fixed]],questions[[#This Row],[question]]=INDEX(stable[question],MATCH(questions[[#This Row],[qno]],stable[qno],0)),TRUE)</f>
        <v>1</v>
      </c>
      <c r="AP852" s="98" t="str">
        <f>LEFT(questions[[#This Row],[question]],similarity_range)</f>
        <v>Did you use syntheti</v>
      </c>
      <c r="AQ852" s="98" t="str">
        <f>LEFT(INDEX(stable[question],MATCH(questions[[#This Row],[qno]],stable[qno],0)),similarity_range)</f>
        <v>Did you use syntheti</v>
      </c>
      <c r="AR852" s="98" t="b">
        <f>questions[[#This Row],[question_first_characters]]=questions[[#This Row],[stability_first_characters]]</f>
        <v>1</v>
      </c>
      <c r="AS852" s="98" t="b">
        <f>IF(OR(questions[[#This Row],[is_single_select]],questions[[#This Row],[is_multi_select]]),NOT(ISBLANK(questions[[#This Row],[answer_opt_combined]])),TRUE)</f>
        <v>1</v>
      </c>
    </row>
    <row r="853" spans="1:45" ht="15.75" customHeight="1" x14ac:dyDescent="0.25">
      <c r="A853" s="9" t="str">
        <f>_xlfn.TEXTJOIN("_",TRUE,questions[[#This Row],[origin]:[qno]])</f>
        <v>Uganda_Robusta_Nespresso_5001</v>
      </c>
      <c r="B853" s="9" t="s">
        <v>511</v>
      </c>
      <c r="C853" s="9" t="s">
        <v>674</v>
      </c>
      <c r="D853" s="9" t="s">
        <v>864</v>
      </c>
      <c r="F853" s="24" t="s">
        <v>161</v>
      </c>
      <c r="G853" s="15" t="s">
        <v>162</v>
      </c>
      <c r="H853" s="9" t="str" cm="1">
        <f t="array" ref="H853">INDEX(stableR[question],MATCH(VALUE(questions[[#This Row],[qno]]),VALUE(stableR[qno]),0))</f>
        <v>If yes, how many types of synthetic fertilizer did you use last year?</v>
      </c>
      <c r="I853" s="9" t="b" cm="1">
        <f t="array" ref="I853">INDEX(stable[is_fixed],MATCH(VALUE(questions[[#This Row],[qno]]),VALUE(stable[qno]),0))</f>
        <v>1</v>
      </c>
      <c r="J853" s="9" t="b" cm="1">
        <f t="array" ref="J853">INDEX(stable[is_localized],MATCH(VALUE(questions[[#This Row],[qno]]),VALUE(stable[qno]),0))</f>
        <v>0</v>
      </c>
      <c r="K853" s="9" t="b" cm="1">
        <f t="array" ref="K853">INDEX(stable[is_supply_chain_dependent],MATCH(VALUE(questions[[#This Row],[qno]]),VALUE(stable[qno]),0))</f>
        <v>0</v>
      </c>
      <c r="L853" s="9" t="b" cm="1">
        <f t="array" ref="L853">INDEX(stable[is_mandatory],MATCH(VALUE(questions[[#This Row],[qno]]),VALUE(stable[qno]),0))</f>
        <v>0</v>
      </c>
      <c r="M853" s="9" t="b" cm="1">
        <f t="array" ref="M853">INDEX(stable[is_automated],MATCH(VALUE(questions[[#This Row],[qno]]),VALUE(stable[qno]),0))</f>
        <v>0</v>
      </c>
      <c r="N853" s="9" t="b" cm="1">
        <f t="array" ref="N853">INDEX(stable[is_free_text],MATCH(VALUE(questions[[#This Row],[qno]]),VALUE(stable[qno]),0))</f>
        <v>0</v>
      </c>
      <c r="O853" s="9" t="b" cm="1">
        <f t="array" ref="O853">INDEX(stable[is_numerical],MATCH(VALUE(questions[[#This Row],[qno]]),VALUE(stable[qno]),0))</f>
        <v>1</v>
      </c>
      <c r="P853" s="9" t="b" cm="1">
        <f t="array" ref="P853">INDEX(stable[is_single_select],MATCH(VALUE(questions[[#This Row],[qno]]),VALUE(stable[qno]),0))</f>
        <v>0</v>
      </c>
      <c r="Q853" s="9" t="b" cm="1">
        <f t="array" ref="Q853">INDEX(stable[is_multi_select],MATCH(VALUE(questions[[#This Row],[qno]]),VALUE(stable[qno]),0))</f>
        <v>0</v>
      </c>
      <c r="R853" s="9" t="b" cm="1">
        <f t="array" ref="R853">INDEX(stable[is_skip_logic],MATCH(VALUE(questions[[#This Row],[qno]]),VALUE(stable[qno]),0))</f>
        <v>1</v>
      </c>
      <c r="S853" s="9" t="str">
        <f>_xlfn.TEXTJOIN(", ",TRUE,questions[[#This Row],[ans_opt_1]:[ans_opt_14]])</f>
        <v/>
      </c>
      <c r="AH853" s="16" t="b">
        <f>INDEX(stable[q_standard],MATCH(questions[[#This Row],[qno]],stable[qno],0))</f>
        <v>0</v>
      </c>
      <c r="AI853" s="16" t="b">
        <f>INDEX(stable[q_living_income],MATCH(questions[[#This Row],[qno]],stable[qno],0))</f>
        <v>1</v>
      </c>
      <c r="AJ853" s="16" t="b">
        <f>INDEX(stable[q_carbon],MATCH(questions[[#This Row],[qno]],stable[qno],0))</f>
        <v>1</v>
      </c>
      <c r="AK853" s="16" t="b">
        <f>INDEX(stable[q_regen_ag],MATCH(questions[[#This Row],[qno]],stable[qno],0))</f>
        <v>0</v>
      </c>
      <c r="AL853" s="16" t="b">
        <f>COUNTIFS(stable[qno],questions[[#This Row],[qno]])=1</f>
        <v>1</v>
      </c>
      <c r="AM853" s="16" t="b">
        <f>OR(questions[[#This Row],[is_fixed]],questions[[#This Row],[is_localized]],questions[[#This Row],[is_supply_chain_dependent]])</f>
        <v>1</v>
      </c>
      <c r="AN853" s="16" t="b">
        <f>COUNTIFS(questions[[#This Row],[is_automated]:[is_multi_select]],TRUE)=1</f>
        <v>1</v>
      </c>
      <c r="AO853" s="16" t="b">
        <f>IF(questions[[#This Row],[is_fixed]],questions[[#This Row],[question]]=INDEX(stable[question],MATCH(questions[[#This Row],[qno]],stable[qno],0)),TRUE)</f>
        <v>1</v>
      </c>
      <c r="AP853" s="16" t="str">
        <f>LEFT(questions[[#This Row],[question]],similarity_range)</f>
        <v>If yes, how many typ</v>
      </c>
      <c r="AQ853" s="16" t="str">
        <f>LEFT(INDEX(stable[question],MATCH(questions[[#This Row],[qno]],stable[qno],0)),similarity_range)</f>
        <v>If yes, how many typ</v>
      </c>
      <c r="AR853" s="16" t="b">
        <f>questions[[#This Row],[question_first_characters]]=questions[[#This Row],[stability_first_characters]]</f>
        <v>1</v>
      </c>
      <c r="AS853" s="16" t="b">
        <f>IF(OR(questions[[#This Row],[is_single_select]],questions[[#This Row],[is_multi_select]]),NOT(ISBLANK(questions[[#This Row],[answer_opt_combined]])),TRUE)</f>
        <v>1</v>
      </c>
    </row>
    <row r="854" spans="1:45" ht="15.75" customHeight="1" x14ac:dyDescent="0.25">
      <c r="A854" s="9" t="str">
        <f>_xlfn.TEXTJOIN("_",TRUE,questions[[#This Row],[origin]:[qno]])</f>
        <v>Uganda_Robusta_Nespresso_5100</v>
      </c>
      <c r="B854" s="9" t="s">
        <v>511</v>
      </c>
      <c r="C854" s="9" t="s">
        <v>674</v>
      </c>
      <c r="D854" s="9" t="s">
        <v>864</v>
      </c>
      <c r="F854" s="24" t="s">
        <v>163</v>
      </c>
      <c r="G854" s="15" t="s">
        <v>740</v>
      </c>
      <c r="H854" s="9" t="str" cm="1">
        <f t="array" ref="H854">INDEX(stableR[question],MATCH(VALUE(questions[[#This Row],[qno]]),VALUE(stableR[qno]),0))</f>
        <v>What was the name of the synthetic fertilizer that you used most, last year?</v>
      </c>
      <c r="I854" s="9" t="b" cm="1">
        <f t="array" ref="I854">INDEX(stable[is_fixed],MATCH(VALUE(questions[[#This Row],[qno]]),VALUE(stable[qno]),0))</f>
        <v>0</v>
      </c>
      <c r="J854" s="9" t="b" cm="1">
        <f t="array" ref="J854">INDEX(stable[is_localized],MATCH(VALUE(questions[[#This Row],[qno]]),VALUE(stable[qno]),0))</f>
        <v>1</v>
      </c>
      <c r="K854" s="9" t="b" cm="1">
        <f t="array" ref="K854">INDEX(stable[is_supply_chain_dependent],MATCH(VALUE(questions[[#This Row],[qno]]),VALUE(stable[qno]),0))</f>
        <v>0</v>
      </c>
      <c r="L854" s="9" t="b" cm="1">
        <f t="array" ref="L854">INDEX(stable[is_mandatory],MATCH(VALUE(questions[[#This Row],[qno]]),VALUE(stable[qno]),0))</f>
        <v>0</v>
      </c>
      <c r="M854" s="9" t="b" cm="1">
        <f t="array" ref="M854">INDEX(stable[is_automated],MATCH(VALUE(questions[[#This Row],[qno]]),VALUE(stable[qno]),0))</f>
        <v>0</v>
      </c>
      <c r="N854" s="9" t="b" cm="1">
        <f t="array" ref="N854">INDEX(stable[is_free_text],MATCH(VALUE(questions[[#This Row],[qno]]),VALUE(stable[qno]),0))</f>
        <v>0</v>
      </c>
      <c r="O854" s="9" t="b" cm="1">
        <f t="array" ref="O854">INDEX(stable[is_numerical],MATCH(VALUE(questions[[#This Row],[qno]]),VALUE(stable[qno]),0))</f>
        <v>0</v>
      </c>
      <c r="P854" s="9" t="b" cm="1">
        <f t="array" ref="P854">INDEX(stable[is_single_select],MATCH(VALUE(questions[[#This Row],[qno]]),VALUE(stable[qno]),0))</f>
        <v>1</v>
      </c>
      <c r="Q854" s="9" t="b" cm="1">
        <f t="array" ref="Q854">INDEX(stable[is_multi_select],MATCH(VALUE(questions[[#This Row],[qno]]),VALUE(stable[qno]),0))</f>
        <v>0</v>
      </c>
      <c r="R854" s="9" t="b" cm="1">
        <f t="array" ref="R854">INDEX(stable[is_skip_logic],MATCH(VALUE(questions[[#This Row],[qno]]),VALUE(stable[qno]),0))</f>
        <v>1</v>
      </c>
      <c r="S854" s="9" t="str">
        <f>_xlfn.TEXTJOIN(", ",TRUE,questions[[#This Row],[ans_opt_1]:[ans_opt_14]])</f>
        <v>Yara Milla Java (NPK 26-6-12), NPK 15-15-15, NPK 17-17-17, Urea (46% N), CAN (calcium ammonium nitrate, 27% N), Grainpulse coffee (NPK 16-2-31), Grainpulse coffee &lt;2 yr (NPK 19-11-22), DAP (di-ammonium phosphate, 18% N), Yara bela sulfan (24N 6S), NPK 25-5-5 S</v>
      </c>
      <c r="T854" s="9" t="s">
        <v>741</v>
      </c>
      <c r="U854" s="9" t="s">
        <v>885</v>
      </c>
      <c r="V854" s="9" t="s">
        <v>742</v>
      </c>
      <c r="W854" s="9" t="s">
        <v>743</v>
      </c>
      <c r="X854" s="9" t="s">
        <v>837</v>
      </c>
      <c r="Y854" s="9" t="s">
        <v>886</v>
      </c>
      <c r="Z854" s="9" t="s">
        <v>887</v>
      </c>
      <c r="AA854" s="9" t="s">
        <v>744</v>
      </c>
      <c r="AB854" s="9" t="s">
        <v>888</v>
      </c>
      <c r="AC854" s="9" t="s">
        <v>889</v>
      </c>
      <c r="AH854" s="16" t="b">
        <f>INDEX(stable[q_standard],MATCH(questions[[#This Row],[qno]],stable[qno],0))</f>
        <v>0</v>
      </c>
      <c r="AI854" s="16" t="b">
        <f>INDEX(stable[q_living_income],MATCH(questions[[#This Row],[qno]],stable[qno],0))</f>
        <v>1</v>
      </c>
      <c r="AJ854" s="16" t="b">
        <f>INDEX(stable[q_carbon],MATCH(questions[[#This Row],[qno]],stable[qno],0))</f>
        <v>1</v>
      </c>
      <c r="AK854" s="16" t="b">
        <f>INDEX(stable[q_regen_ag],MATCH(questions[[#This Row],[qno]],stable[qno],0))</f>
        <v>0</v>
      </c>
      <c r="AL854" s="16" t="b">
        <f>COUNTIFS(stable[qno],questions[[#This Row],[qno]])=1</f>
        <v>1</v>
      </c>
      <c r="AM854" s="16" t="b">
        <f>OR(questions[[#This Row],[is_fixed]],questions[[#This Row],[is_localized]],questions[[#This Row],[is_supply_chain_dependent]])</f>
        <v>1</v>
      </c>
      <c r="AN854" s="16" t="b">
        <f>COUNTIFS(questions[[#This Row],[is_automated]:[is_multi_select]],TRUE)=1</f>
        <v>1</v>
      </c>
      <c r="AO854" s="16" t="b">
        <f>IF(questions[[#This Row],[is_fixed]],questions[[#This Row],[question]]=INDEX(stable[question],MATCH(questions[[#This Row],[qno]],stable[qno],0)),TRUE)</f>
        <v>1</v>
      </c>
      <c r="AP854" s="16" t="str">
        <f>LEFT(questions[[#This Row],[question]],similarity_range)</f>
        <v xml:space="preserve">What is the name of </v>
      </c>
      <c r="AQ854" s="16" t="str">
        <f>LEFT(INDEX(stable[question],MATCH(questions[[#This Row],[qno]],stable[qno],0)),similarity_range)</f>
        <v xml:space="preserve">What is the name of </v>
      </c>
      <c r="AR854" s="16" t="b">
        <f>questions[[#This Row],[question_first_characters]]=questions[[#This Row],[stability_first_characters]]</f>
        <v>1</v>
      </c>
      <c r="AS854" s="16" t="b">
        <f>IF(OR(questions[[#This Row],[is_single_select]],questions[[#This Row],[is_multi_select]]),NOT(ISBLANK(questions[[#This Row],[answer_opt_combined]])),TRUE)</f>
        <v>1</v>
      </c>
    </row>
    <row r="855" spans="1:45" ht="15.75" customHeight="1" x14ac:dyDescent="0.25">
      <c r="A855" s="9" t="str">
        <f>_xlfn.TEXTJOIN("_",TRUE,questions[[#This Row],[origin]:[qno]])</f>
        <v>Uganda_Robusta_Nespresso_5101</v>
      </c>
      <c r="B855" s="9" t="s">
        <v>511</v>
      </c>
      <c r="C855" s="9" t="s">
        <v>674</v>
      </c>
      <c r="D855" s="9" t="s">
        <v>864</v>
      </c>
      <c r="F855" s="36" t="s">
        <v>165</v>
      </c>
      <c r="G855" s="21" t="s">
        <v>745</v>
      </c>
      <c r="H855" s="9" t="str" cm="1">
        <f t="array" ref="H855">INDEX(stableR[question],MATCH(VALUE(questions[[#This Row],[qno]]),VALUE(stableR[qno]),0))</f>
        <v>What was the total quantity of the synthetic fertilizer that you used most, last year? (Kg)</v>
      </c>
      <c r="I855" s="9" t="b" cm="1">
        <f t="array" ref="I855">INDEX(stable[is_fixed],MATCH(VALUE(questions[[#This Row],[qno]]),VALUE(stable[qno]),0))</f>
        <v>0</v>
      </c>
      <c r="J855" s="9" t="b" cm="1">
        <f t="array" ref="J855">INDEX(stable[is_localized],MATCH(VALUE(questions[[#This Row],[qno]]),VALUE(stable[qno]),0))</f>
        <v>1</v>
      </c>
      <c r="K855" s="9" t="b" cm="1">
        <f t="array" ref="K855">INDEX(stable[is_supply_chain_dependent],MATCH(VALUE(questions[[#This Row],[qno]]),VALUE(stable[qno]),0))</f>
        <v>0</v>
      </c>
      <c r="L855" s="9" t="b" cm="1">
        <f t="array" ref="L855">INDEX(stable[is_mandatory],MATCH(VALUE(questions[[#This Row],[qno]]),VALUE(stable[qno]),0))</f>
        <v>0</v>
      </c>
      <c r="M855" s="9" t="b" cm="1">
        <f t="array" ref="M855">INDEX(stable[is_automated],MATCH(VALUE(questions[[#This Row],[qno]]),VALUE(stable[qno]),0))</f>
        <v>0</v>
      </c>
      <c r="N855" s="9" t="b" cm="1">
        <f t="array" ref="N855">INDEX(stable[is_free_text],MATCH(VALUE(questions[[#This Row],[qno]]),VALUE(stable[qno]),0))</f>
        <v>0</v>
      </c>
      <c r="O855" s="9" t="b" cm="1">
        <f t="array" ref="O855">INDEX(stable[is_numerical],MATCH(VALUE(questions[[#This Row],[qno]]),VALUE(stable[qno]),0))</f>
        <v>1</v>
      </c>
      <c r="P855" s="9" t="b" cm="1">
        <f t="array" ref="P855">INDEX(stable[is_single_select],MATCH(VALUE(questions[[#This Row],[qno]]),VALUE(stable[qno]),0))</f>
        <v>0</v>
      </c>
      <c r="Q855" s="9" t="b" cm="1">
        <f t="array" ref="Q855">INDEX(stable[is_multi_select],MATCH(VALUE(questions[[#This Row],[qno]]),VALUE(stable[qno]),0))</f>
        <v>0</v>
      </c>
      <c r="R855" s="9" t="b" cm="1">
        <f t="array" ref="R855">INDEX(stable[is_skip_logic],MATCH(VALUE(questions[[#This Row],[qno]]),VALUE(stable[qno]),0))</f>
        <v>1</v>
      </c>
      <c r="S855" s="9" t="str">
        <f>_xlfn.TEXTJOIN(", ",TRUE,questions[[#This Row],[ans_opt_1]:[ans_opt_14]])</f>
        <v/>
      </c>
      <c r="AH855" s="16" t="b">
        <f>INDEX(stable[q_standard],MATCH(questions[[#This Row],[qno]],stable[qno],0))</f>
        <v>0</v>
      </c>
      <c r="AI855" s="16" t="b">
        <f>INDEX(stable[q_living_income],MATCH(questions[[#This Row],[qno]],stable[qno],0))</f>
        <v>1</v>
      </c>
      <c r="AJ855" s="16" t="b">
        <f>INDEX(stable[q_carbon],MATCH(questions[[#This Row],[qno]],stable[qno],0))</f>
        <v>1</v>
      </c>
      <c r="AK855" s="16" t="b">
        <f>INDEX(stable[q_regen_ag],MATCH(questions[[#This Row],[qno]],stable[qno],0))</f>
        <v>0</v>
      </c>
      <c r="AL855" s="16" t="b">
        <f>COUNTIFS(stable[qno],questions[[#This Row],[qno]])=1</f>
        <v>1</v>
      </c>
      <c r="AM855" s="16" t="b">
        <f>OR(questions[[#This Row],[is_fixed]],questions[[#This Row],[is_localized]],questions[[#This Row],[is_supply_chain_dependent]])</f>
        <v>1</v>
      </c>
      <c r="AN855" s="16" t="b">
        <f>COUNTIFS(questions[[#This Row],[is_automated]:[is_multi_select]],TRUE)=1</f>
        <v>1</v>
      </c>
      <c r="AO855" s="16" t="b">
        <f>IF(questions[[#This Row],[is_fixed]],questions[[#This Row],[question]]=INDEX(stable[question],MATCH(questions[[#This Row],[qno]],stable[qno],0)),TRUE)</f>
        <v>1</v>
      </c>
      <c r="AP855" s="16" t="str">
        <f>LEFT(questions[[#This Row],[question]],similarity_range)</f>
        <v>What was the total q</v>
      </c>
      <c r="AQ855" s="16" t="str">
        <f>LEFT(INDEX(stable[question],MATCH(questions[[#This Row],[qno]],stable[qno],0)),similarity_range)</f>
        <v>What was the total q</v>
      </c>
      <c r="AR855" s="16" t="b">
        <f>questions[[#This Row],[question_first_characters]]=questions[[#This Row],[stability_first_characters]]</f>
        <v>1</v>
      </c>
      <c r="AS855" s="16" t="b">
        <f>IF(OR(questions[[#This Row],[is_single_select]],questions[[#This Row],[is_multi_select]]),NOT(ISBLANK(questions[[#This Row],[answer_opt_combined]])),TRUE)</f>
        <v>1</v>
      </c>
    </row>
    <row r="856" spans="1:45" ht="15.75" customHeight="1" x14ac:dyDescent="0.25">
      <c r="A856" s="9" t="str">
        <f>_xlfn.TEXTJOIN("_",TRUE,questions[[#This Row],[origin]:[qno]])</f>
        <v>Uganda_Robusta_Nespresso_5102</v>
      </c>
      <c r="B856" s="9" t="s">
        <v>511</v>
      </c>
      <c r="C856" s="9" t="s">
        <v>674</v>
      </c>
      <c r="D856" s="9" t="s">
        <v>864</v>
      </c>
      <c r="F856" s="36" t="s">
        <v>560</v>
      </c>
      <c r="G856" s="21" t="s">
        <v>746</v>
      </c>
      <c r="H856" s="9" t="str" cm="1">
        <f t="array" ref="H856">INDEX(stableR[question],MATCH(VALUE(questions[[#This Row],[qno]]),VALUE(stableR[qno]),0))</f>
        <v>What was the unit of the synthetic fertilizer type that you used most? (bags, kg)</v>
      </c>
      <c r="I856" s="9" t="b" cm="1">
        <f t="array" ref="I856">INDEX(stable[is_fixed],MATCH(VALUE(questions[[#This Row],[qno]]),VALUE(stable[qno]),0))</f>
        <v>0</v>
      </c>
      <c r="J856" s="9" t="b" cm="1">
        <f t="array" ref="J856">INDEX(stable[is_localized],MATCH(VALUE(questions[[#This Row],[qno]]),VALUE(stable[qno]),0))</f>
        <v>1</v>
      </c>
      <c r="K856" s="9" t="b" cm="1">
        <f t="array" ref="K856">INDEX(stable[is_supply_chain_dependent],MATCH(VALUE(questions[[#This Row],[qno]]),VALUE(stable[qno]),0))</f>
        <v>0</v>
      </c>
      <c r="L856" s="9" t="b" cm="1">
        <f t="array" ref="L856">INDEX(stable[is_mandatory],MATCH(VALUE(questions[[#This Row],[qno]]),VALUE(stable[qno]),0))</f>
        <v>0</v>
      </c>
      <c r="M856" s="9" t="b" cm="1">
        <f t="array" ref="M856">INDEX(stable[is_automated],MATCH(VALUE(questions[[#This Row],[qno]]),VALUE(stable[qno]),0))</f>
        <v>0</v>
      </c>
      <c r="N856" s="9" t="b" cm="1">
        <f t="array" ref="N856">INDEX(stable[is_free_text],MATCH(VALUE(questions[[#This Row],[qno]]),VALUE(stable[qno]),0))</f>
        <v>0</v>
      </c>
      <c r="O856" s="9" t="b" cm="1">
        <f t="array" ref="O856">INDEX(stable[is_numerical],MATCH(VALUE(questions[[#This Row],[qno]]),VALUE(stable[qno]),0))</f>
        <v>0</v>
      </c>
      <c r="P856" s="9" t="b" cm="1">
        <f t="array" ref="P856">INDEX(stable[is_single_select],MATCH(VALUE(questions[[#This Row],[qno]]),VALUE(stable[qno]),0))</f>
        <v>1</v>
      </c>
      <c r="Q856" s="9" t="b" cm="1">
        <f t="array" ref="Q856">INDEX(stable[is_multi_select],MATCH(VALUE(questions[[#This Row],[qno]]),VALUE(stable[qno]),0))</f>
        <v>0</v>
      </c>
      <c r="R856" s="9" t="b" cm="1">
        <f t="array" ref="R856">INDEX(stable[is_skip_logic],MATCH(VALUE(questions[[#This Row],[qno]]),VALUE(stable[qno]),0))</f>
        <v>1</v>
      </c>
      <c r="S856" s="9" t="str">
        <f>_xlfn.TEXTJOIN(", ",TRUE,questions[[#This Row],[ans_opt_1]:[ans_opt_14]])</f>
        <v/>
      </c>
      <c r="AH856" s="16" t="b">
        <f>INDEX(stable[q_standard],MATCH(questions[[#This Row],[qno]],stable[qno],0))</f>
        <v>0</v>
      </c>
      <c r="AI856" s="16" t="b">
        <f>INDEX(stable[q_living_income],MATCH(questions[[#This Row],[qno]],stable[qno],0))</f>
        <v>1</v>
      </c>
      <c r="AJ856" s="16" t="b">
        <f>INDEX(stable[q_carbon],MATCH(questions[[#This Row],[qno]],stable[qno],0))</f>
        <v>1</v>
      </c>
      <c r="AK856" s="16" t="b">
        <f>INDEX(stable[q_regen_ag],MATCH(questions[[#This Row],[qno]],stable[qno],0))</f>
        <v>0</v>
      </c>
      <c r="AL856" s="16" t="b">
        <f>COUNTIFS(stable[qno],questions[[#This Row],[qno]])=1</f>
        <v>1</v>
      </c>
      <c r="AM856" s="16" t="b">
        <f>OR(questions[[#This Row],[is_fixed]],questions[[#This Row],[is_localized]],questions[[#This Row],[is_supply_chain_dependent]])</f>
        <v>1</v>
      </c>
      <c r="AN856" s="16" t="b">
        <f>COUNTIFS(questions[[#This Row],[is_automated]:[is_multi_select]],TRUE)=1</f>
        <v>1</v>
      </c>
      <c r="AO856" s="16" t="b">
        <f>IF(questions[[#This Row],[is_fixed]],questions[[#This Row],[question]]=INDEX(stable[question],MATCH(questions[[#This Row],[qno]],stable[qno],0)),TRUE)</f>
        <v>1</v>
      </c>
      <c r="AP856" s="16" t="str">
        <f>LEFT(questions[[#This Row],[question]],similarity_range)</f>
        <v>Please ensure that t</v>
      </c>
      <c r="AQ856" s="16" t="str">
        <f>LEFT(INDEX(stable[question],MATCH(questions[[#This Row],[qno]],stable[qno],0)),similarity_range)</f>
        <v>What was the unit of</v>
      </c>
      <c r="AR856" s="16" t="b">
        <f>questions[[#This Row],[question_first_characters]]=questions[[#This Row],[stability_first_characters]]</f>
        <v>0</v>
      </c>
      <c r="AS856" s="16" t="b">
        <f>IF(OR(questions[[#This Row],[is_single_select]],questions[[#This Row],[is_multi_select]]),NOT(ISBLANK(questions[[#This Row],[answer_opt_combined]])),TRUE)</f>
        <v>1</v>
      </c>
    </row>
    <row r="857" spans="1:45" ht="15.75" customHeight="1" x14ac:dyDescent="0.25">
      <c r="A857" s="9" t="str">
        <f>_xlfn.TEXTJOIN("_",TRUE,questions[[#This Row],[origin]:[qno]])</f>
        <v>Uganda_Robusta_Nespresso_5110</v>
      </c>
      <c r="B857" s="9" t="s">
        <v>511</v>
      </c>
      <c r="C857" s="9" t="s">
        <v>674</v>
      </c>
      <c r="D857" s="9" t="s">
        <v>864</v>
      </c>
      <c r="F857" s="24" t="s">
        <v>167</v>
      </c>
      <c r="G857" s="15" t="s">
        <v>747</v>
      </c>
      <c r="H857" s="9" t="str" cm="1">
        <f t="array" ref="H857">INDEX(stableR[question],MATCH(VALUE(questions[[#This Row],[qno]]),VALUE(stableR[qno]),0))</f>
        <v>What was the name of the synthetic fertilizer that you used second most, last year?</v>
      </c>
      <c r="I857" s="9" t="b" cm="1">
        <f t="array" ref="I857">INDEX(stable[is_fixed],MATCH(VALUE(questions[[#This Row],[qno]]),VALUE(stable[qno]),0))</f>
        <v>0</v>
      </c>
      <c r="J857" s="9" t="b" cm="1">
        <f t="array" ref="J857">INDEX(stable[is_localized],MATCH(VALUE(questions[[#This Row],[qno]]),VALUE(stable[qno]),0))</f>
        <v>1</v>
      </c>
      <c r="K857" s="9" t="b" cm="1">
        <f t="array" ref="K857">INDEX(stable[is_supply_chain_dependent],MATCH(VALUE(questions[[#This Row],[qno]]),VALUE(stable[qno]),0))</f>
        <v>0</v>
      </c>
      <c r="L857" s="9" t="b" cm="1">
        <f t="array" ref="L857">INDEX(stable[is_mandatory],MATCH(VALUE(questions[[#This Row],[qno]]),VALUE(stable[qno]),0))</f>
        <v>0</v>
      </c>
      <c r="M857" s="9" t="b" cm="1">
        <f t="array" ref="M857">INDEX(stable[is_automated],MATCH(VALUE(questions[[#This Row],[qno]]),VALUE(stable[qno]),0))</f>
        <v>0</v>
      </c>
      <c r="N857" s="9" t="b" cm="1">
        <f t="array" ref="N857">INDEX(stable[is_free_text],MATCH(VALUE(questions[[#This Row],[qno]]),VALUE(stable[qno]),0))</f>
        <v>0</v>
      </c>
      <c r="O857" s="9" t="b" cm="1">
        <f t="array" ref="O857">INDEX(stable[is_numerical],MATCH(VALUE(questions[[#This Row],[qno]]),VALUE(stable[qno]),0))</f>
        <v>0</v>
      </c>
      <c r="P857" s="9" t="b" cm="1">
        <f t="array" ref="P857">INDEX(stable[is_single_select],MATCH(VALUE(questions[[#This Row],[qno]]),VALUE(stable[qno]),0))</f>
        <v>1</v>
      </c>
      <c r="Q857" s="9" t="b" cm="1">
        <f t="array" ref="Q857">INDEX(stable[is_multi_select],MATCH(VALUE(questions[[#This Row],[qno]]),VALUE(stable[qno]),0))</f>
        <v>0</v>
      </c>
      <c r="R857" s="9" t="b" cm="1">
        <f t="array" ref="R857">INDEX(stable[is_skip_logic],MATCH(VALUE(questions[[#This Row],[qno]]),VALUE(stable[qno]),0))</f>
        <v>1</v>
      </c>
      <c r="S857" s="9" t="str">
        <f>_xlfn.TEXTJOIN(", ",TRUE,questions[[#This Row],[ans_opt_1]:[ans_opt_14]])</f>
        <v>Yara Milla Java (NPK 26-6-12), NPK 15-15-15, NPK 17-17-17, Urea (46% N), CAN (calcium ammonium nitrate, 27% N), Grainpulse coffee (NPK 16-2-31), Grainpulse coffee &lt;2 yr (NPK 19-11-22), DAP (di-ammonium phosphate, 18% N), Yara bela sulfan (24N 6S), NPK 25-5-5 S</v>
      </c>
      <c r="T857" s="9" t="s">
        <v>741</v>
      </c>
      <c r="U857" s="9" t="s">
        <v>885</v>
      </c>
      <c r="V857" s="9" t="s">
        <v>742</v>
      </c>
      <c r="W857" s="9" t="s">
        <v>743</v>
      </c>
      <c r="X857" s="9" t="s">
        <v>837</v>
      </c>
      <c r="Y857" s="9" t="s">
        <v>886</v>
      </c>
      <c r="Z857" s="9" t="s">
        <v>887</v>
      </c>
      <c r="AA857" s="9" t="s">
        <v>744</v>
      </c>
      <c r="AB857" s="9" t="s">
        <v>888</v>
      </c>
      <c r="AC857" s="9" t="s">
        <v>889</v>
      </c>
      <c r="AH857" s="16" t="b">
        <f>INDEX(stable[q_standard],MATCH(questions[[#This Row],[qno]],stable[qno],0))</f>
        <v>0</v>
      </c>
      <c r="AI857" s="16" t="b">
        <f>INDEX(stable[q_living_income],MATCH(questions[[#This Row],[qno]],stable[qno],0))</f>
        <v>1</v>
      </c>
      <c r="AJ857" s="16" t="b">
        <f>INDEX(stable[q_carbon],MATCH(questions[[#This Row],[qno]],stable[qno],0))</f>
        <v>1</v>
      </c>
      <c r="AK857" s="16" t="b">
        <f>INDEX(stable[q_regen_ag],MATCH(questions[[#This Row],[qno]],stable[qno],0))</f>
        <v>0</v>
      </c>
      <c r="AL857" s="16" t="b">
        <f>COUNTIFS(stable[qno],questions[[#This Row],[qno]])=1</f>
        <v>1</v>
      </c>
      <c r="AM857" s="16" t="b">
        <f>OR(questions[[#This Row],[is_fixed]],questions[[#This Row],[is_localized]],questions[[#This Row],[is_supply_chain_dependent]])</f>
        <v>1</v>
      </c>
      <c r="AN857" s="16" t="b">
        <f>COUNTIFS(questions[[#This Row],[is_automated]:[is_multi_select]],TRUE)=1</f>
        <v>1</v>
      </c>
      <c r="AO857" s="16" t="b">
        <f>IF(questions[[#This Row],[is_fixed]],questions[[#This Row],[question]]=INDEX(stable[question],MATCH(questions[[#This Row],[qno]],stable[qno],0)),TRUE)</f>
        <v>1</v>
      </c>
      <c r="AP857" s="16" t="str">
        <f>LEFT(questions[[#This Row],[question]],similarity_range)</f>
        <v xml:space="preserve">What is the name of </v>
      </c>
      <c r="AQ857" s="16" t="str">
        <f>LEFT(INDEX(stable[question],MATCH(questions[[#This Row],[qno]],stable[qno],0)),similarity_range)</f>
        <v xml:space="preserve">What is the name of </v>
      </c>
      <c r="AR857" s="16" t="b">
        <f>questions[[#This Row],[question_first_characters]]=questions[[#This Row],[stability_first_characters]]</f>
        <v>1</v>
      </c>
      <c r="AS857" s="16" t="b">
        <f>IF(OR(questions[[#This Row],[is_single_select]],questions[[#This Row],[is_multi_select]]),NOT(ISBLANK(questions[[#This Row],[answer_opt_combined]])),TRUE)</f>
        <v>1</v>
      </c>
    </row>
    <row r="858" spans="1:45" ht="15.75" customHeight="1" x14ac:dyDescent="0.25">
      <c r="A858" s="9" t="str">
        <f>_xlfn.TEXTJOIN("_",TRUE,questions[[#This Row],[origin]:[qno]])</f>
        <v>Uganda_Robusta_Nespresso_5111</v>
      </c>
      <c r="B858" s="9" t="s">
        <v>511</v>
      </c>
      <c r="C858" s="9" t="s">
        <v>674</v>
      </c>
      <c r="D858" s="9" t="s">
        <v>864</v>
      </c>
      <c r="F858" s="36" t="s">
        <v>169</v>
      </c>
      <c r="G858" s="21" t="s">
        <v>748</v>
      </c>
      <c r="H858" s="9" t="str" cm="1">
        <f t="array" ref="H858">INDEX(stableR[question],MATCH(VALUE(questions[[#This Row],[qno]]),VALUE(stableR[qno]),0))</f>
        <v>What was the total quantity of the synthetic fertilizer that you used second most, last year? (Kg)</v>
      </c>
      <c r="I858" s="9" t="b" cm="1">
        <f t="array" ref="I858">INDEX(stable[is_fixed],MATCH(VALUE(questions[[#This Row],[qno]]),VALUE(stable[qno]),0))</f>
        <v>0</v>
      </c>
      <c r="J858" s="9" t="b" cm="1">
        <f t="array" ref="J858">INDEX(stable[is_localized],MATCH(VALUE(questions[[#This Row],[qno]]),VALUE(stable[qno]),0))</f>
        <v>1</v>
      </c>
      <c r="K858" s="9" t="b" cm="1">
        <f t="array" ref="K858">INDEX(stable[is_supply_chain_dependent],MATCH(VALUE(questions[[#This Row],[qno]]),VALUE(stable[qno]),0))</f>
        <v>0</v>
      </c>
      <c r="L858" s="9" t="b" cm="1">
        <f t="array" ref="L858">INDEX(stable[is_mandatory],MATCH(VALUE(questions[[#This Row],[qno]]),VALUE(stable[qno]),0))</f>
        <v>0</v>
      </c>
      <c r="M858" s="9" t="b" cm="1">
        <f t="array" ref="M858">INDEX(stable[is_automated],MATCH(VALUE(questions[[#This Row],[qno]]),VALUE(stable[qno]),0))</f>
        <v>0</v>
      </c>
      <c r="N858" s="9" t="b" cm="1">
        <f t="array" ref="N858">INDEX(stable[is_free_text],MATCH(VALUE(questions[[#This Row],[qno]]),VALUE(stable[qno]),0))</f>
        <v>0</v>
      </c>
      <c r="O858" s="9" t="b" cm="1">
        <f t="array" ref="O858">INDEX(stable[is_numerical],MATCH(VALUE(questions[[#This Row],[qno]]),VALUE(stable[qno]),0))</f>
        <v>1</v>
      </c>
      <c r="P858" s="9" t="b" cm="1">
        <f t="array" ref="P858">INDEX(stable[is_single_select],MATCH(VALUE(questions[[#This Row],[qno]]),VALUE(stable[qno]),0))</f>
        <v>0</v>
      </c>
      <c r="Q858" s="9" t="b" cm="1">
        <f t="array" ref="Q858">INDEX(stable[is_multi_select],MATCH(VALUE(questions[[#This Row],[qno]]),VALUE(stable[qno]),0))</f>
        <v>0</v>
      </c>
      <c r="R858" s="9" t="b" cm="1">
        <f t="array" ref="R858">INDEX(stable[is_skip_logic],MATCH(VALUE(questions[[#This Row],[qno]]),VALUE(stable[qno]),0))</f>
        <v>1</v>
      </c>
      <c r="S858" s="9" t="str">
        <f>_xlfn.TEXTJOIN(", ",TRUE,questions[[#This Row],[ans_opt_1]:[ans_opt_14]])</f>
        <v/>
      </c>
      <c r="AH858" s="16" t="b">
        <f>INDEX(stable[q_standard],MATCH(questions[[#This Row],[qno]],stable[qno],0))</f>
        <v>0</v>
      </c>
      <c r="AI858" s="16" t="b">
        <f>INDEX(stable[q_living_income],MATCH(questions[[#This Row],[qno]],stable[qno],0))</f>
        <v>1</v>
      </c>
      <c r="AJ858" s="16" t="b">
        <f>INDEX(stable[q_carbon],MATCH(questions[[#This Row],[qno]],stable[qno],0))</f>
        <v>1</v>
      </c>
      <c r="AK858" s="16" t="b">
        <f>INDEX(stable[q_regen_ag],MATCH(questions[[#This Row],[qno]],stable[qno],0))</f>
        <v>0</v>
      </c>
      <c r="AL858" s="16" t="b">
        <f>COUNTIFS(stable[qno],questions[[#This Row],[qno]])=1</f>
        <v>1</v>
      </c>
      <c r="AM858" s="16" t="b">
        <f>OR(questions[[#This Row],[is_fixed]],questions[[#This Row],[is_localized]],questions[[#This Row],[is_supply_chain_dependent]])</f>
        <v>1</v>
      </c>
      <c r="AN858" s="16" t="b">
        <f>COUNTIFS(questions[[#This Row],[is_automated]:[is_multi_select]],TRUE)=1</f>
        <v>1</v>
      </c>
      <c r="AO858" s="16" t="b">
        <f>IF(questions[[#This Row],[is_fixed]],questions[[#This Row],[question]]=INDEX(stable[question],MATCH(questions[[#This Row],[qno]],stable[qno],0)),TRUE)</f>
        <v>1</v>
      </c>
      <c r="AP858" s="16" t="str">
        <f>LEFT(questions[[#This Row],[question]],similarity_range)</f>
        <v>What was the total q</v>
      </c>
      <c r="AQ858" s="16" t="str">
        <f>LEFT(INDEX(stable[question],MATCH(questions[[#This Row],[qno]],stable[qno],0)),similarity_range)</f>
        <v>What was the total q</v>
      </c>
      <c r="AR858" s="16" t="b">
        <f>questions[[#This Row],[question_first_characters]]=questions[[#This Row],[stability_first_characters]]</f>
        <v>1</v>
      </c>
      <c r="AS858" s="16" t="b">
        <f>IF(OR(questions[[#This Row],[is_single_select]],questions[[#This Row],[is_multi_select]]),NOT(ISBLANK(questions[[#This Row],[answer_opt_combined]])),TRUE)</f>
        <v>1</v>
      </c>
    </row>
    <row r="859" spans="1:45" ht="15.75" customHeight="1" x14ac:dyDescent="0.25">
      <c r="A859" s="9" t="str">
        <f>_xlfn.TEXTJOIN("_",TRUE,questions[[#This Row],[origin]:[qno]])</f>
        <v>Uganda_Robusta_Nespresso_5112</v>
      </c>
      <c r="B859" s="9" t="s">
        <v>511</v>
      </c>
      <c r="C859" s="9" t="s">
        <v>674</v>
      </c>
      <c r="D859" s="9" t="s">
        <v>864</v>
      </c>
      <c r="F859" s="36" t="s">
        <v>567</v>
      </c>
      <c r="G859" s="21" t="s">
        <v>749</v>
      </c>
      <c r="H859" s="9" t="str" cm="1">
        <f t="array" ref="H859">INDEX(stableR[question],MATCH(VALUE(questions[[#This Row],[qno]]),VALUE(stableR[qno]),0))</f>
        <v>What was the unit of the synthetic fertilizer type that you used second most ? (bags, kg)</v>
      </c>
      <c r="I859" s="9" t="b" cm="1">
        <f t="array" ref="I859">INDEX(stable[is_fixed],MATCH(VALUE(questions[[#This Row],[qno]]),VALUE(stable[qno]),0))</f>
        <v>0</v>
      </c>
      <c r="J859" s="9" t="b" cm="1">
        <f t="array" ref="J859">INDEX(stable[is_localized],MATCH(VALUE(questions[[#This Row],[qno]]),VALUE(stable[qno]),0))</f>
        <v>1</v>
      </c>
      <c r="K859" s="9" t="b" cm="1">
        <f t="array" ref="K859">INDEX(stable[is_supply_chain_dependent],MATCH(VALUE(questions[[#This Row],[qno]]),VALUE(stable[qno]),0))</f>
        <v>0</v>
      </c>
      <c r="L859" s="9" t="b" cm="1">
        <f t="array" ref="L859">INDEX(stable[is_mandatory],MATCH(VALUE(questions[[#This Row],[qno]]),VALUE(stable[qno]),0))</f>
        <v>0</v>
      </c>
      <c r="M859" s="9" t="b" cm="1">
        <f t="array" ref="M859">INDEX(stable[is_automated],MATCH(VALUE(questions[[#This Row],[qno]]),VALUE(stable[qno]),0))</f>
        <v>0</v>
      </c>
      <c r="N859" s="9" t="b" cm="1">
        <f t="array" ref="N859">INDEX(stable[is_free_text],MATCH(VALUE(questions[[#This Row],[qno]]),VALUE(stable[qno]),0))</f>
        <v>0</v>
      </c>
      <c r="O859" s="9" t="b" cm="1">
        <f t="array" ref="O859">INDEX(stable[is_numerical],MATCH(VALUE(questions[[#This Row],[qno]]),VALUE(stable[qno]),0))</f>
        <v>0</v>
      </c>
      <c r="P859" s="9" t="b" cm="1">
        <f t="array" ref="P859">INDEX(stable[is_single_select],MATCH(VALUE(questions[[#This Row],[qno]]),VALUE(stable[qno]),0))</f>
        <v>1</v>
      </c>
      <c r="Q859" s="9" t="b" cm="1">
        <f t="array" ref="Q859">INDEX(stable[is_multi_select],MATCH(VALUE(questions[[#This Row],[qno]]),VALUE(stable[qno]),0))</f>
        <v>0</v>
      </c>
      <c r="R859" s="9" t="b" cm="1">
        <f t="array" ref="R859">INDEX(stable[is_skip_logic],MATCH(VALUE(questions[[#This Row],[qno]]),VALUE(stable[qno]),0))</f>
        <v>1</v>
      </c>
      <c r="S859" s="9" t="str">
        <f>_xlfn.TEXTJOIN(", ",TRUE,questions[[#This Row],[ans_opt_1]:[ans_opt_14]])</f>
        <v/>
      </c>
      <c r="AH859" s="16" t="b">
        <f>INDEX(stable[q_standard],MATCH(questions[[#This Row],[qno]],stable[qno],0))</f>
        <v>0</v>
      </c>
      <c r="AI859" s="16" t="b">
        <f>INDEX(stable[q_living_income],MATCH(questions[[#This Row],[qno]],stable[qno],0))</f>
        <v>1</v>
      </c>
      <c r="AJ859" s="16" t="b">
        <f>INDEX(stable[q_carbon],MATCH(questions[[#This Row],[qno]],stable[qno],0))</f>
        <v>1</v>
      </c>
      <c r="AK859" s="16" t="b">
        <f>INDEX(stable[q_regen_ag],MATCH(questions[[#This Row],[qno]],stable[qno],0))</f>
        <v>0</v>
      </c>
      <c r="AL859" s="16" t="b">
        <f>COUNTIFS(stable[qno],questions[[#This Row],[qno]])=1</f>
        <v>1</v>
      </c>
      <c r="AM859" s="16" t="b">
        <f>OR(questions[[#This Row],[is_fixed]],questions[[#This Row],[is_localized]],questions[[#This Row],[is_supply_chain_dependent]])</f>
        <v>1</v>
      </c>
      <c r="AN859" s="16" t="b">
        <f>COUNTIFS(questions[[#This Row],[is_automated]:[is_multi_select]],TRUE)=1</f>
        <v>1</v>
      </c>
      <c r="AO859" s="16" t="b">
        <f>IF(questions[[#This Row],[is_fixed]],questions[[#This Row],[question]]=INDEX(stable[question],MATCH(questions[[#This Row],[qno]],stable[qno],0)),TRUE)</f>
        <v>1</v>
      </c>
      <c r="AP859" s="16" t="str">
        <f>LEFT(questions[[#This Row],[question]],similarity_range)</f>
        <v>Please ensure that t</v>
      </c>
      <c r="AQ859" s="16" t="str">
        <f>LEFT(INDEX(stable[question],MATCH(questions[[#This Row],[qno]],stable[qno],0)),similarity_range)</f>
        <v>What was the unit of</v>
      </c>
      <c r="AR859" s="16" t="b">
        <f>questions[[#This Row],[question_first_characters]]=questions[[#This Row],[stability_first_characters]]</f>
        <v>0</v>
      </c>
      <c r="AS859" s="16" t="b">
        <f>IF(OR(questions[[#This Row],[is_single_select]],questions[[#This Row],[is_multi_select]]),NOT(ISBLANK(questions[[#This Row],[answer_opt_combined]])),TRUE)</f>
        <v>1</v>
      </c>
    </row>
    <row r="860" spans="1:45" ht="15.75" customHeight="1" x14ac:dyDescent="0.25">
      <c r="A860" s="9" t="str">
        <f>_xlfn.TEXTJOIN("_",TRUE,questions[[#This Row],[origin]:[qno]])</f>
        <v>Uganda_Robusta_Nespresso_5140</v>
      </c>
      <c r="B860" s="9" t="s">
        <v>511</v>
      </c>
      <c r="C860" s="9" t="s">
        <v>674</v>
      </c>
      <c r="D860" s="9" t="s">
        <v>864</v>
      </c>
      <c r="F860" s="24" t="s">
        <v>171</v>
      </c>
      <c r="G860" s="15" t="s">
        <v>172</v>
      </c>
      <c r="H860" s="9" t="str" cm="1">
        <f t="array" ref="H860">INDEX(stableR[question],MATCH(VALUE(questions[[#This Row],[qno]]),VALUE(stableR[qno]),0))</f>
        <v>Did you use Limestone or Dolomitic Limestone (Dolomite) last year?</v>
      </c>
      <c r="I860" s="9" t="b" cm="1">
        <f t="array" ref="I860">INDEX(stable[is_fixed],MATCH(VALUE(questions[[#This Row],[qno]]),VALUE(stable[qno]),0))</f>
        <v>1</v>
      </c>
      <c r="J860" s="9" t="b" cm="1">
        <f t="array" ref="J860">INDEX(stable[is_localized],MATCH(VALUE(questions[[#This Row],[qno]]),VALUE(stable[qno]),0))</f>
        <v>1</v>
      </c>
      <c r="K860" s="9" t="b" cm="1">
        <f t="array" ref="K860">INDEX(stable[is_supply_chain_dependent],MATCH(VALUE(questions[[#This Row],[qno]]),VALUE(stable[qno]),0))</f>
        <v>0</v>
      </c>
      <c r="L860" s="9" t="b" cm="1">
        <f t="array" ref="L860">INDEX(stable[is_mandatory],MATCH(VALUE(questions[[#This Row],[qno]]),VALUE(stable[qno]),0))</f>
        <v>1</v>
      </c>
      <c r="M860" s="9" t="b" cm="1">
        <f t="array" ref="M860">INDEX(stable[is_automated],MATCH(VALUE(questions[[#This Row],[qno]]),VALUE(stable[qno]),0))</f>
        <v>0</v>
      </c>
      <c r="N860" s="9" t="b" cm="1">
        <f t="array" ref="N860">INDEX(stable[is_free_text],MATCH(VALUE(questions[[#This Row],[qno]]),VALUE(stable[qno]),0))</f>
        <v>0</v>
      </c>
      <c r="O860" s="9" t="b" cm="1">
        <f t="array" ref="O860">INDEX(stable[is_numerical],MATCH(VALUE(questions[[#This Row],[qno]]),VALUE(stable[qno]),0))</f>
        <v>0</v>
      </c>
      <c r="P860" s="9" t="b" cm="1">
        <f t="array" ref="P860">INDEX(stable[is_single_select],MATCH(VALUE(questions[[#This Row],[qno]]),VALUE(stable[qno]),0))</f>
        <v>1</v>
      </c>
      <c r="Q860" s="9" t="b" cm="1">
        <f t="array" ref="Q860">INDEX(stable[is_multi_select],MATCH(VALUE(questions[[#This Row],[qno]]),VALUE(stable[qno]),0))</f>
        <v>0</v>
      </c>
      <c r="R860" s="9" t="b" cm="1">
        <f t="array" ref="R860">INDEX(stable[is_skip_logic],MATCH(VALUE(questions[[#This Row],[qno]]),VALUE(stable[qno]),0))</f>
        <v>1</v>
      </c>
      <c r="S860" s="9" t="str">
        <f>_xlfn.TEXTJOIN(", ",TRUE,questions[[#This Row],[ans_opt_1]:[ans_opt_14]])</f>
        <v/>
      </c>
      <c r="AH860" s="16" t="b">
        <f>INDEX(stable[q_standard],MATCH(questions[[#This Row],[qno]],stable[qno],0))</f>
        <v>0</v>
      </c>
      <c r="AI860" s="16" t="b">
        <f>INDEX(stable[q_living_income],MATCH(questions[[#This Row],[qno]],stable[qno],0))</f>
        <v>1</v>
      </c>
      <c r="AJ860" s="16" t="b">
        <f>INDEX(stable[q_carbon],MATCH(questions[[#This Row],[qno]],stable[qno],0))</f>
        <v>1</v>
      </c>
      <c r="AK860" s="16" t="b">
        <f>INDEX(stable[q_regen_ag],MATCH(questions[[#This Row],[qno]],stable[qno],0))</f>
        <v>0</v>
      </c>
      <c r="AL860" s="16" t="b">
        <f>COUNTIFS(stable[qno],questions[[#This Row],[qno]])=1</f>
        <v>1</v>
      </c>
      <c r="AM860" s="16" t="b">
        <f>OR(questions[[#This Row],[is_fixed]],questions[[#This Row],[is_localized]],questions[[#This Row],[is_supply_chain_dependent]])</f>
        <v>1</v>
      </c>
      <c r="AN860" s="16" t="b">
        <f>COUNTIFS(questions[[#This Row],[is_automated]:[is_multi_select]],TRUE)=1</f>
        <v>1</v>
      </c>
      <c r="AO860" s="16" t="b">
        <f>IF(questions[[#This Row],[is_fixed]],questions[[#This Row],[question]]=INDEX(stable[question],MATCH(questions[[#This Row],[qno]],stable[qno],0)),TRUE)</f>
        <v>0</v>
      </c>
      <c r="AP860" s="16" t="str">
        <f>LEFT(questions[[#This Row],[question]],similarity_range)</f>
        <v>Is there any other t</v>
      </c>
      <c r="AQ860" s="16" t="str">
        <f>LEFT(INDEX(stable[question],MATCH(questions[[#This Row],[qno]],stable[qno],0)),similarity_range)</f>
        <v>Did you use Limeston</v>
      </c>
      <c r="AR860" s="16" t="b">
        <f>questions[[#This Row],[question_first_characters]]=questions[[#This Row],[stability_first_characters]]</f>
        <v>0</v>
      </c>
      <c r="AS860" s="16" t="b">
        <f>IF(OR(questions[[#This Row],[is_single_select]],questions[[#This Row],[is_multi_select]]),NOT(ISBLANK(questions[[#This Row],[answer_opt_combined]])),TRUE)</f>
        <v>1</v>
      </c>
    </row>
    <row r="861" spans="1:45" ht="15.75" customHeight="1" x14ac:dyDescent="0.25">
      <c r="A861" s="9" t="str">
        <f>_xlfn.TEXTJOIN("_",TRUE,questions[[#This Row],[origin]:[qno]])</f>
        <v>Uganda_Robusta_Nespresso_5141</v>
      </c>
      <c r="B861" s="9" t="s">
        <v>511</v>
      </c>
      <c r="C861" s="9" t="s">
        <v>674</v>
      </c>
      <c r="D861" s="9" t="s">
        <v>864</v>
      </c>
      <c r="F861" s="36" t="s">
        <v>750</v>
      </c>
      <c r="G861" s="21" t="s">
        <v>751</v>
      </c>
      <c r="H861" s="9" t="str" cm="1">
        <f t="array" ref="H861">INDEX(stableR[question],MATCH(VALUE(questions[[#This Row],[qno]]),VALUE(stableR[qno]),0))</f>
        <v>What was the total quantity of the Limestone or Dolomitic Limestone (Dolomite) that you used last year? (Kg)</v>
      </c>
      <c r="I861" s="9" t="b" cm="1">
        <f t="array" ref="I861">INDEX(stable[is_fixed],MATCH(VALUE(questions[[#This Row],[qno]]),VALUE(stable[qno]),0))</f>
        <v>0</v>
      </c>
      <c r="J861" s="9" t="b" cm="1">
        <f t="array" ref="J861">INDEX(stable[is_localized],MATCH(VALUE(questions[[#This Row],[qno]]),VALUE(stable[qno]),0))</f>
        <v>1</v>
      </c>
      <c r="K861" s="9" t="b" cm="1">
        <f t="array" ref="K861">INDEX(stable[is_supply_chain_dependent],MATCH(VALUE(questions[[#This Row],[qno]]),VALUE(stable[qno]),0))</f>
        <v>0</v>
      </c>
      <c r="L861" s="9" t="b" cm="1">
        <f t="array" ref="L861">INDEX(stable[is_mandatory],MATCH(VALUE(questions[[#This Row],[qno]]),VALUE(stable[qno]),0))</f>
        <v>0</v>
      </c>
      <c r="M861" s="9" t="b" cm="1">
        <f t="array" ref="M861">INDEX(stable[is_automated],MATCH(VALUE(questions[[#This Row],[qno]]),VALUE(stable[qno]),0))</f>
        <v>0</v>
      </c>
      <c r="N861" s="9" t="b" cm="1">
        <f t="array" ref="N861">INDEX(stable[is_free_text],MATCH(VALUE(questions[[#This Row],[qno]]),VALUE(stable[qno]),0))</f>
        <v>0</v>
      </c>
      <c r="O861" s="9" t="b" cm="1">
        <f t="array" ref="O861">INDEX(stable[is_numerical],MATCH(VALUE(questions[[#This Row],[qno]]),VALUE(stable[qno]),0))</f>
        <v>1</v>
      </c>
      <c r="P861" s="9" t="b" cm="1">
        <f t="array" ref="P861">INDEX(stable[is_single_select],MATCH(VALUE(questions[[#This Row],[qno]]),VALUE(stable[qno]),0))</f>
        <v>0</v>
      </c>
      <c r="Q861" s="9" t="b" cm="1">
        <f t="array" ref="Q861">INDEX(stable[is_multi_select],MATCH(VALUE(questions[[#This Row],[qno]]),VALUE(stable[qno]),0))</f>
        <v>0</v>
      </c>
      <c r="R861" s="9" t="b" cm="1">
        <f t="array" ref="R861">INDEX(stable[is_skip_logic],MATCH(VALUE(questions[[#This Row],[qno]]),VALUE(stable[qno]),0))</f>
        <v>1</v>
      </c>
      <c r="S861" s="9" t="str">
        <f>_xlfn.TEXTJOIN(", ",TRUE,questions[[#This Row],[ans_opt_1]:[ans_opt_14]])</f>
        <v/>
      </c>
      <c r="AH861" s="16" t="b">
        <f>INDEX(stable[q_standard],MATCH(questions[[#This Row],[qno]],stable[qno],0))</f>
        <v>0</v>
      </c>
      <c r="AI861" s="16" t="b">
        <f>INDEX(stable[q_living_income],MATCH(questions[[#This Row],[qno]],stable[qno],0))</f>
        <v>1</v>
      </c>
      <c r="AJ861" s="16" t="b">
        <f>INDEX(stable[q_carbon],MATCH(questions[[#This Row],[qno]],stable[qno],0))</f>
        <v>1</v>
      </c>
      <c r="AK861" s="16" t="b">
        <f>INDEX(stable[q_regen_ag],MATCH(questions[[#This Row],[qno]],stable[qno],0))</f>
        <v>0</v>
      </c>
      <c r="AL861" s="16" t="b">
        <f>COUNTIFS(stable[qno],questions[[#This Row],[qno]])=1</f>
        <v>1</v>
      </c>
      <c r="AM861" s="16" t="b">
        <f>OR(questions[[#This Row],[is_fixed]],questions[[#This Row],[is_localized]],questions[[#This Row],[is_supply_chain_dependent]])</f>
        <v>1</v>
      </c>
      <c r="AN861" s="16" t="b">
        <f>COUNTIFS(questions[[#This Row],[is_automated]:[is_multi_select]],TRUE)=1</f>
        <v>1</v>
      </c>
      <c r="AO861" s="16" t="b">
        <f>IF(questions[[#This Row],[is_fixed]],questions[[#This Row],[question]]=INDEX(stable[question],MATCH(questions[[#This Row],[qno]],stable[qno],0)),TRUE)</f>
        <v>1</v>
      </c>
      <c r="AP861" s="16" t="str">
        <f>LEFT(questions[[#This Row],[question]],similarity_range)</f>
        <v>What was the total q</v>
      </c>
      <c r="AQ861" s="16" t="str">
        <f>LEFT(INDEX(stable[question],MATCH(questions[[#This Row],[qno]],stable[qno],0)),similarity_range)</f>
        <v>What was the total q</v>
      </c>
      <c r="AR861" s="16" t="b">
        <f>questions[[#This Row],[question_first_characters]]=questions[[#This Row],[stability_first_characters]]</f>
        <v>1</v>
      </c>
      <c r="AS861" s="16" t="b">
        <f>IF(OR(questions[[#This Row],[is_single_select]],questions[[#This Row],[is_multi_select]]),NOT(ISBLANK(questions[[#This Row],[answer_opt_combined]])),TRUE)</f>
        <v>1</v>
      </c>
    </row>
    <row r="862" spans="1:45" ht="15.75" customHeight="1" x14ac:dyDescent="0.25">
      <c r="A862" s="9" t="str">
        <f>_xlfn.TEXTJOIN("_",TRUE,questions[[#This Row],[origin]:[qno]])</f>
        <v>Uganda_Robusta_Nespresso_5142</v>
      </c>
      <c r="B862" s="9" t="s">
        <v>511</v>
      </c>
      <c r="C862" s="9" t="s">
        <v>674</v>
      </c>
      <c r="D862" s="9" t="s">
        <v>864</v>
      </c>
      <c r="F862" s="36" t="s">
        <v>692</v>
      </c>
      <c r="G862" s="21" t="s">
        <v>752</v>
      </c>
      <c r="H862" s="9" t="str" cm="1">
        <f t="array" ref="H862">INDEX(stableR[question],MATCH(VALUE(questions[[#This Row],[qno]]),VALUE(stableR[qno]),0))</f>
        <v>What was the unit of the Limestone or Dolomitic Limestone (Dolomite)? (bags, kg)</v>
      </c>
      <c r="I862" s="9" t="b" cm="1">
        <f t="array" ref="I862">INDEX(stable[is_fixed],MATCH(VALUE(questions[[#This Row],[qno]]),VALUE(stable[qno]),0))</f>
        <v>0</v>
      </c>
      <c r="J862" s="9" t="b" cm="1">
        <f t="array" ref="J862">INDEX(stable[is_localized],MATCH(VALUE(questions[[#This Row],[qno]]),VALUE(stable[qno]),0))</f>
        <v>1</v>
      </c>
      <c r="K862" s="9" t="b" cm="1">
        <f t="array" ref="K862">INDEX(stable[is_supply_chain_dependent],MATCH(VALUE(questions[[#This Row],[qno]]),VALUE(stable[qno]),0))</f>
        <v>0</v>
      </c>
      <c r="L862" s="9" t="b" cm="1">
        <f t="array" ref="L862">INDEX(stable[is_mandatory],MATCH(VALUE(questions[[#This Row],[qno]]),VALUE(stable[qno]),0))</f>
        <v>0</v>
      </c>
      <c r="M862" s="9" t="b" cm="1">
        <f t="array" ref="M862">INDEX(stable[is_automated],MATCH(VALUE(questions[[#This Row],[qno]]),VALUE(stable[qno]),0))</f>
        <v>0</v>
      </c>
      <c r="N862" s="9" t="b" cm="1">
        <f t="array" ref="N862">INDEX(stable[is_free_text],MATCH(VALUE(questions[[#This Row],[qno]]),VALUE(stable[qno]),0))</f>
        <v>0</v>
      </c>
      <c r="O862" s="9" t="b" cm="1">
        <f t="array" ref="O862">INDEX(stable[is_numerical],MATCH(VALUE(questions[[#This Row],[qno]]),VALUE(stable[qno]),0))</f>
        <v>0</v>
      </c>
      <c r="P862" s="9" t="b" cm="1">
        <f t="array" ref="P862">INDEX(stable[is_single_select],MATCH(VALUE(questions[[#This Row],[qno]]),VALUE(stable[qno]),0))</f>
        <v>1</v>
      </c>
      <c r="Q862" s="9" t="b" cm="1">
        <f t="array" ref="Q862">INDEX(stable[is_multi_select],MATCH(VALUE(questions[[#This Row],[qno]]),VALUE(stable[qno]),0))</f>
        <v>0</v>
      </c>
      <c r="R862" s="9" t="b" cm="1">
        <f t="array" ref="R862">INDEX(stable[is_skip_logic],MATCH(VALUE(questions[[#This Row],[qno]]),VALUE(stable[qno]),0))</f>
        <v>1</v>
      </c>
      <c r="S862" s="9" t="str">
        <f>_xlfn.TEXTJOIN(", ",TRUE,questions[[#This Row],[ans_opt_1]:[ans_opt_14]])</f>
        <v/>
      </c>
      <c r="AH862" s="16" t="b">
        <f>INDEX(stable[q_standard],MATCH(questions[[#This Row],[qno]],stable[qno],0))</f>
        <v>0</v>
      </c>
      <c r="AI862" s="16" t="b">
        <f>INDEX(stable[q_living_income],MATCH(questions[[#This Row],[qno]],stable[qno],0))</f>
        <v>1</v>
      </c>
      <c r="AJ862" s="16" t="b">
        <f>INDEX(stable[q_carbon],MATCH(questions[[#This Row],[qno]],stable[qno],0))</f>
        <v>1</v>
      </c>
      <c r="AK862" s="16" t="b">
        <f>INDEX(stable[q_regen_ag],MATCH(questions[[#This Row],[qno]],stable[qno],0))</f>
        <v>0</v>
      </c>
      <c r="AL862" s="16" t="b">
        <f>COUNTIFS(stable[qno],questions[[#This Row],[qno]])=1</f>
        <v>1</v>
      </c>
      <c r="AM862" s="16" t="b">
        <f>OR(questions[[#This Row],[is_fixed]],questions[[#This Row],[is_localized]],questions[[#This Row],[is_supply_chain_dependent]])</f>
        <v>1</v>
      </c>
      <c r="AN862" s="16" t="b">
        <f>COUNTIFS(questions[[#This Row],[is_automated]:[is_multi_select]],TRUE)=1</f>
        <v>1</v>
      </c>
      <c r="AO862" s="16" t="b">
        <f>IF(questions[[#This Row],[is_fixed]],questions[[#This Row],[question]]=INDEX(stable[question],MATCH(questions[[#This Row],[qno]],stable[qno],0)),TRUE)</f>
        <v>1</v>
      </c>
      <c r="AP862" s="16" t="str">
        <f>LEFT(questions[[#This Row],[question]],similarity_range)</f>
        <v>Please ensure that t</v>
      </c>
      <c r="AQ862" s="16" t="str">
        <f>LEFT(INDEX(stable[question],MATCH(questions[[#This Row],[qno]],stable[qno],0)),similarity_range)</f>
        <v>What was the unit of</v>
      </c>
      <c r="AR862" s="16" t="b">
        <f>questions[[#This Row],[question_first_characters]]=questions[[#This Row],[stability_first_characters]]</f>
        <v>0</v>
      </c>
      <c r="AS862" s="16" t="b">
        <f>IF(OR(questions[[#This Row],[is_single_select]],questions[[#This Row],[is_multi_select]]),NOT(ISBLANK(questions[[#This Row],[answer_opt_combined]])),TRUE)</f>
        <v>1</v>
      </c>
    </row>
    <row r="863" spans="1:45" s="77" customFormat="1" ht="15.75" customHeight="1" x14ac:dyDescent="0.25">
      <c r="A863" s="77" t="str">
        <f>_xlfn.TEXTJOIN("_",TRUE,questions[[#This Row],[origin]:[qno]])</f>
        <v>Uganda_Robusta_Nespresso_5400</v>
      </c>
      <c r="B863" s="77" t="s">
        <v>511</v>
      </c>
      <c r="C863" s="77" t="s">
        <v>674</v>
      </c>
      <c r="D863" s="77" t="s">
        <v>864</v>
      </c>
      <c r="F863" s="104" t="s">
        <v>175</v>
      </c>
      <c r="G863" s="78" t="s">
        <v>176</v>
      </c>
      <c r="H863" s="9" t="str" cm="1">
        <f t="array" ref="H863">INDEX(stableR[question],MATCH(VALUE(questions[[#This Row],[qno]]),VALUE(stableR[qno]),0))</f>
        <v>Did you use any type of animal manure, compost, or organic fertilizers for your coffee last year?</v>
      </c>
      <c r="I863" s="9" t="b" cm="1">
        <f t="array" ref="I863">INDEX(stable[is_fixed],MATCH(VALUE(questions[[#This Row],[qno]]),VALUE(stable[qno]),0))</f>
        <v>1</v>
      </c>
      <c r="J863" s="9" t="b" cm="1">
        <f t="array" ref="J863">INDEX(stable[is_localized],MATCH(VALUE(questions[[#This Row],[qno]]),VALUE(stable[qno]),0))</f>
        <v>0</v>
      </c>
      <c r="K863" s="9" t="b" cm="1">
        <f t="array" ref="K863">INDEX(stable[is_supply_chain_dependent],MATCH(VALUE(questions[[#This Row],[qno]]),VALUE(stable[qno]),0))</f>
        <v>0</v>
      </c>
      <c r="L863" s="9" t="b" cm="1">
        <f t="array" ref="L863">INDEX(stable[is_mandatory],MATCH(VALUE(questions[[#This Row],[qno]]),VALUE(stable[qno]),0))</f>
        <v>1</v>
      </c>
      <c r="M863" s="9" t="b" cm="1">
        <f t="array" ref="M863">INDEX(stable[is_automated],MATCH(VALUE(questions[[#This Row],[qno]]),VALUE(stable[qno]),0))</f>
        <v>0</v>
      </c>
      <c r="N863" s="9" t="b" cm="1">
        <f t="array" ref="N863">INDEX(stable[is_free_text],MATCH(VALUE(questions[[#This Row],[qno]]),VALUE(stable[qno]),0))</f>
        <v>0</v>
      </c>
      <c r="O863" s="9" t="b" cm="1">
        <f t="array" ref="O863">INDEX(stable[is_numerical],MATCH(VALUE(questions[[#This Row],[qno]]),VALUE(stable[qno]),0))</f>
        <v>0</v>
      </c>
      <c r="P863" s="77" t="b" cm="1">
        <f t="array" ref="P863">INDEX(stable[is_single_select],MATCH(VALUE(questions[[#This Row],[qno]]),VALUE(stable[qno]),0))</f>
        <v>1</v>
      </c>
      <c r="Q863" s="77" t="b" cm="1">
        <f t="array" ref="Q863">INDEX(stable[is_multi_select],MATCH(VALUE(questions[[#This Row],[qno]]),VALUE(stable[qno]),0))</f>
        <v>0</v>
      </c>
      <c r="R863" s="77" t="b" cm="1">
        <f t="array" ref="R863">INDEX(stable[is_skip_logic],MATCH(VALUE(questions[[#This Row],[qno]]),VALUE(stable[qno]),0))</f>
        <v>1</v>
      </c>
      <c r="S863" s="77" t="str">
        <f>_xlfn.TEXTJOIN(", ",TRUE,questions[[#This Row],[ans_opt_1]:[ans_opt_14]])</f>
        <v>Yes, No</v>
      </c>
      <c r="T863" s="77" t="s">
        <v>149</v>
      </c>
      <c r="U863" s="77" t="s">
        <v>119</v>
      </c>
      <c r="AH863" s="98" t="b">
        <f>INDEX(stable[q_standard],MATCH(questions[[#This Row],[qno]],stable[qno],0))</f>
        <v>0</v>
      </c>
      <c r="AI863" s="98" t="b">
        <f>INDEX(stable[q_living_income],MATCH(questions[[#This Row],[qno]],stable[qno],0))</f>
        <v>1</v>
      </c>
      <c r="AJ863" s="98" t="b">
        <f>INDEX(stable[q_carbon],MATCH(questions[[#This Row],[qno]],stable[qno],0))</f>
        <v>1</v>
      </c>
      <c r="AK863" s="98" t="b">
        <f>INDEX(stable[q_regen_ag],MATCH(questions[[#This Row],[qno]],stable[qno],0))</f>
        <v>0</v>
      </c>
      <c r="AL863" s="98" t="b">
        <f>COUNTIFS(stable[qno],questions[[#This Row],[qno]])=1</f>
        <v>1</v>
      </c>
      <c r="AM863" s="98" t="b">
        <f>OR(questions[[#This Row],[is_fixed]],questions[[#This Row],[is_localized]],questions[[#This Row],[is_supply_chain_dependent]])</f>
        <v>1</v>
      </c>
      <c r="AN863" s="98" t="b">
        <f>COUNTIFS(questions[[#This Row],[is_automated]:[is_multi_select]],TRUE)=1</f>
        <v>1</v>
      </c>
      <c r="AO863" s="98" t="b">
        <f>IF(questions[[#This Row],[is_fixed]],questions[[#This Row],[question]]=INDEX(stable[question],MATCH(questions[[#This Row],[qno]],stable[qno],0)),TRUE)</f>
        <v>1</v>
      </c>
      <c r="AP863" s="98" t="str">
        <f>LEFT(questions[[#This Row],[question]],similarity_range)</f>
        <v>Did you use any type</v>
      </c>
      <c r="AQ863" s="98" t="str">
        <f>LEFT(INDEX(stable[question],MATCH(questions[[#This Row],[qno]],stable[qno],0)),similarity_range)</f>
        <v>Did you use any type</v>
      </c>
      <c r="AR863" s="98" t="b">
        <f>questions[[#This Row],[question_first_characters]]=questions[[#This Row],[stability_first_characters]]</f>
        <v>1</v>
      </c>
      <c r="AS863" s="98" t="b">
        <f>IF(OR(questions[[#This Row],[is_single_select]],questions[[#This Row],[is_multi_select]]),NOT(ISBLANK(questions[[#This Row],[answer_opt_combined]])),TRUE)</f>
        <v>1</v>
      </c>
    </row>
    <row r="864" spans="1:45" ht="15.75" customHeight="1" x14ac:dyDescent="0.25">
      <c r="A864" s="9" t="str">
        <f>_xlfn.TEXTJOIN("_",TRUE,questions[[#This Row],[origin]:[qno]])</f>
        <v>Uganda_Robusta_Nespresso_5401</v>
      </c>
      <c r="B864" s="9" t="s">
        <v>511</v>
      </c>
      <c r="C864" s="9" t="s">
        <v>674</v>
      </c>
      <c r="D864" s="9" t="s">
        <v>864</v>
      </c>
      <c r="F864" s="24" t="s">
        <v>177</v>
      </c>
      <c r="G864" s="15" t="s">
        <v>753</v>
      </c>
      <c r="H864" s="9" t="str" cm="1">
        <f t="array" ref="H864">INDEX(stableR[question],MATCH(VALUE(questions[[#This Row],[qno]]),VALUE(stableR[qno]),0))</f>
        <v>What was the type of animal manure, compost, or organic fertilizer that you used most last year?</v>
      </c>
      <c r="I864" s="9" t="b" cm="1">
        <f t="array" ref="I864">INDEX(stable[is_fixed],MATCH(VALUE(questions[[#This Row],[qno]]),VALUE(stable[qno]),0))</f>
        <v>1</v>
      </c>
      <c r="J864" s="9" t="b" cm="1">
        <f t="array" ref="J864">INDEX(stable[is_localized],MATCH(VALUE(questions[[#This Row],[qno]]),VALUE(stable[qno]),0))</f>
        <v>0</v>
      </c>
      <c r="K864" s="9" t="b" cm="1">
        <f t="array" ref="K864">INDEX(stable[is_supply_chain_dependent],MATCH(VALUE(questions[[#This Row],[qno]]),VALUE(stable[qno]),0))</f>
        <v>0</v>
      </c>
      <c r="L864" s="9" t="b" cm="1">
        <f t="array" ref="L864">INDEX(stable[is_mandatory],MATCH(VALUE(questions[[#This Row],[qno]]),VALUE(stable[qno]),0))</f>
        <v>0</v>
      </c>
      <c r="M864" s="9" t="b" cm="1">
        <f t="array" ref="M864">INDEX(stable[is_automated],MATCH(VALUE(questions[[#This Row],[qno]]),VALUE(stable[qno]),0))</f>
        <v>0</v>
      </c>
      <c r="N864" s="9" t="b" cm="1">
        <f t="array" ref="N864">INDEX(stable[is_free_text],MATCH(VALUE(questions[[#This Row],[qno]]),VALUE(stable[qno]),0))</f>
        <v>1</v>
      </c>
      <c r="O864" s="9" t="b" cm="1">
        <f t="array" ref="O864">INDEX(stable[is_numerical],MATCH(VALUE(questions[[#This Row],[qno]]),VALUE(stable[qno]),0))</f>
        <v>0</v>
      </c>
      <c r="P864" s="9" t="b" cm="1">
        <f t="array" ref="P864">INDEX(stable[is_single_select],MATCH(VALUE(questions[[#This Row],[qno]]),VALUE(stable[qno]),0))</f>
        <v>1</v>
      </c>
      <c r="Q864" s="9" t="b" cm="1">
        <f t="array" ref="Q864">INDEX(stable[is_multi_select],MATCH(VALUE(questions[[#This Row],[qno]]),VALUE(stable[qno]),0))</f>
        <v>0</v>
      </c>
      <c r="R864" s="9" t="b" cm="1">
        <f t="array" ref="R864">INDEX(stable[is_skip_logic],MATCH(VALUE(questions[[#This Row],[qno]]),VALUE(stable[qno]),0))</f>
        <v>1</v>
      </c>
      <c r="S864" s="9" t="str">
        <f>_xlfn.TEXTJOIN(", ",TRUE,questions[[#This Row],[ans_opt_1]:[ans_opt_14]])</f>
        <v/>
      </c>
      <c r="AH864" s="16" t="b">
        <f>INDEX(stable[q_standard],MATCH(questions[[#This Row],[qno]],stable[qno],0))</f>
        <v>0</v>
      </c>
      <c r="AI864" s="16" t="b">
        <f>INDEX(stable[q_living_income],MATCH(questions[[#This Row],[qno]],stable[qno],0))</f>
        <v>1</v>
      </c>
      <c r="AJ864" s="16" t="b">
        <f>INDEX(stable[q_carbon],MATCH(questions[[#This Row],[qno]],stable[qno],0))</f>
        <v>1</v>
      </c>
      <c r="AK864" s="16" t="b">
        <f>INDEX(stable[q_regen_ag],MATCH(questions[[#This Row],[qno]],stable[qno],0))</f>
        <v>0</v>
      </c>
      <c r="AL864" s="16" t="b">
        <f>COUNTIFS(stable[qno],questions[[#This Row],[qno]])=1</f>
        <v>1</v>
      </c>
      <c r="AM864" s="16" t="b">
        <f>OR(questions[[#This Row],[is_fixed]],questions[[#This Row],[is_localized]],questions[[#This Row],[is_supply_chain_dependent]])</f>
        <v>1</v>
      </c>
      <c r="AN864" s="16" t="b">
        <f>COUNTIFS(questions[[#This Row],[is_automated]:[is_multi_select]],TRUE)=1</f>
        <v>0</v>
      </c>
      <c r="AO864" s="16" t="b">
        <f>IF(questions[[#This Row],[is_fixed]],questions[[#This Row],[question]]=INDEX(stable[question],MATCH(questions[[#This Row],[qno]],stable[qno],0)),TRUE)</f>
        <v>0</v>
      </c>
      <c r="AP864" s="16" t="str">
        <f>LEFT(questions[[#This Row],[question]],similarity_range)</f>
        <v>If yes, what was the</v>
      </c>
      <c r="AQ864" s="16" t="str">
        <f>LEFT(INDEX(stable[question],MATCH(questions[[#This Row],[qno]],stable[qno],0)),similarity_range)</f>
        <v>If yes, what was the</v>
      </c>
      <c r="AR864" s="16" t="b">
        <f>questions[[#This Row],[question_first_characters]]=questions[[#This Row],[stability_first_characters]]</f>
        <v>1</v>
      </c>
      <c r="AS864" s="16" t="b">
        <f>IF(OR(questions[[#This Row],[is_single_select]],questions[[#This Row],[is_multi_select]]),NOT(ISBLANK(questions[[#This Row],[answer_opt_combined]])),TRUE)</f>
        <v>1</v>
      </c>
    </row>
    <row r="865" spans="1:45" ht="15.75" customHeight="1" x14ac:dyDescent="0.25">
      <c r="A865" s="9" t="str">
        <f>_xlfn.TEXTJOIN("_",TRUE,questions[[#This Row],[origin]:[qno]])</f>
        <v>Uganda_Robusta_Nespresso_5402</v>
      </c>
      <c r="B865" s="9" t="s">
        <v>511</v>
      </c>
      <c r="C865" s="9" t="s">
        <v>674</v>
      </c>
      <c r="D865" s="9" t="s">
        <v>864</v>
      </c>
      <c r="F865" s="24" t="s">
        <v>179</v>
      </c>
      <c r="G865" s="15" t="s">
        <v>180</v>
      </c>
      <c r="H865" s="9" t="str" cm="1">
        <f t="array" ref="H865">INDEX(stableR[question],MATCH(VALUE(questions[[#This Row],[qno]]),VALUE(stableR[qno]),0))</f>
        <v>What was the total quantity of this type of animal manure/compost/organic fertilizer that you used most (Kg)?</v>
      </c>
      <c r="I865" s="9" t="b" cm="1">
        <f t="array" ref="I865">INDEX(stable[is_fixed],MATCH(VALUE(questions[[#This Row],[qno]]),VALUE(stable[qno]),0))</f>
        <v>1</v>
      </c>
      <c r="J865" s="9" t="b" cm="1">
        <f t="array" ref="J865">INDEX(stable[is_localized],MATCH(VALUE(questions[[#This Row],[qno]]),VALUE(stable[qno]),0))</f>
        <v>0</v>
      </c>
      <c r="K865" s="9" t="b" cm="1">
        <f t="array" ref="K865">INDEX(stable[is_supply_chain_dependent],MATCH(VALUE(questions[[#This Row],[qno]]),VALUE(stable[qno]),0))</f>
        <v>0</v>
      </c>
      <c r="L865" s="9" t="b" cm="1">
        <f t="array" ref="L865">INDEX(stable[is_mandatory],MATCH(VALUE(questions[[#This Row],[qno]]),VALUE(stable[qno]),0))</f>
        <v>0</v>
      </c>
      <c r="M865" s="9" t="b" cm="1">
        <f t="array" ref="M865">INDEX(stable[is_automated],MATCH(VALUE(questions[[#This Row],[qno]]),VALUE(stable[qno]),0))</f>
        <v>0</v>
      </c>
      <c r="N865" s="9" t="b" cm="1">
        <f t="array" ref="N865">INDEX(stable[is_free_text],MATCH(VALUE(questions[[#This Row],[qno]]),VALUE(stable[qno]),0))</f>
        <v>0</v>
      </c>
      <c r="O865" s="9" t="b" cm="1">
        <f t="array" ref="O865">INDEX(stable[is_numerical],MATCH(VALUE(questions[[#This Row],[qno]]),VALUE(stable[qno]),0))</f>
        <v>1</v>
      </c>
      <c r="P865" s="9" t="b" cm="1">
        <f t="array" ref="P865">INDEX(stable[is_single_select],MATCH(VALUE(questions[[#This Row],[qno]]),VALUE(stable[qno]),0))</f>
        <v>0</v>
      </c>
      <c r="Q865" s="9" t="b" cm="1">
        <f t="array" ref="Q865">INDEX(stable[is_multi_select],MATCH(VALUE(questions[[#This Row],[qno]]),VALUE(stable[qno]),0))</f>
        <v>0</v>
      </c>
      <c r="R865" s="9" t="b" cm="1">
        <f t="array" ref="R865">INDEX(stable[is_skip_logic],MATCH(VALUE(questions[[#This Row],[qno]]),VALUE(stable[qno]),0))</f>
        <v>1</v>
      </c>
      <c r="S865" s="9" t="str">
        <f>_xlfn.TEXTJOIN(", ",TRUE,questions[[#This Row],[ans_opt_1]:[ans_opt_14]])</f>
        <v/>
      </c>
      <c r="AH865" s="16" t="b">
        <f>INDEX(stable[q_standard],MATCH(questions[[#This Row],[qno]],stable[qno],0))</f>
        <v>0</v>
      </c>
      <c r="AI865" s="16" t="b">
        <f>INDEX(stable[q_living_income],MATCH(questions[[#This Row],[qno]],stable[qno],0))</f>
        <v>1</v>
      </c>
      <c r="AJ865" s="16" t="b">
        <f>INDEX(stable[q_carbon],MATCH(questions[[#This Row],[qno]],stable[qno],0))</f>
        <v>1</v>
      </c>
      <c r="AK865" s="16" t="b">
        <f>INDEX(stable[q_regen_ag],MATCH(questions[[#This Row],[qno]],stable[qno],0))</f>
        <v>0</v>
      </c>
      <c r="AL865" s="16" t="b">
        <f>COUNTIFS(stable[qno],questions[[#This Row],[qno]])=1</f>
        <v>1</v>
      </c>
      <c r="AM865" s="16" t="b">
        <f>OR(questions[[#This Row],[is_fixed]],questions[[#This Row],[is_localized]],questions[[#This Row],[is_supply_chain_dependent]])</f>
        <v>1</v>
      </c>
      <c r="AN865" s="16" t="b">
        <f>COUNTIFS(questions[[#This Row],[is_automated]:[is_multi_select]],TRUE)=1</f>
        <v>1</v>
      </c>
      <c r="AO865" s="16" t="b">
        <f>IF(questions[[#This Row],[is_fixed]],questions[[#This Row],[question]]=INDEX(stable[question],MATCH(questions[[#This Row],[qno]],stable[qno],0)),TRUE)</f>
        <v>1</v>
      </c>
      <c r="AP865" s="16" t="str">
        <f>LEFT(questions[[#This Row],[question]],similarity_range)</f>
        <v>What was the total q</v>
      </c>
      <c r="AQ865" s="16" t="str">
        <f>LEFT(INDEX(stable[question],MATCH(questions[[#This Row],[qno]],stable[qno],0)),similarity_range)</f>
        <v>What was the total q</v>
      </c>
      <c r="AR865" s="16" t="b">
        <f>questions[[#This Row],[question_first_characters]]=questions[[#This Row],[stability_first_characters]]</f>
        <v>1</v>
      </c>
      <c r="AS865" s="16" t="b">
        <f>IF(OR(questions[[#This Row],[is_single_select]],questions[[#This Row],[is_multi_select]]),NOT(ISBLANK(questions[[#This Row],[answer_opt_combined]])),TRUE)</f>
        <v>1</v>
      </c>
    </row>
    <row r="866" spans="1:45" ht="15.75" customHeight="1" x14ac:dyDescent="0.25">
      <c r="A866" s="9" t="str">
        <f>_xlfn.TEXTJOIN("_",TRUE,questions[[#This Row],[origin]:[qno]])</f>
        <v>Uganda_Robusta_Nespresso_5403</v>
      </c>
      <c r="B866" s="9" t="s">
        <v>511</v>
      </c>
      <c r="C866" s="9" t="s">
        <v>674</v>
      </c>
      <c r="D866" s="9" t="s">
        <v>864</v>
      </c>
      <c r="F866" s="24" t="s">
        <v>181</v>
      </c>
      <c r="G866" s="214" t="s">
        <v>182</v>
      </c>
      <c r="H866" s="9" t="str" cm="1">
        <f t="array" ref="H866">INDEX(stableR[question],MATCH(VALUE(questions[[#This Row],[qno]]),VALUE(stableR[qno]),0))</f>
        <v>What was the unit of this type of animal manure/compost/organic fertilizer that you used most (kg, basins, 50 kg bags, wheel barrows, small truck/tipper, large truck)?</v>
      </c>
      <c r="I866" s="9" t="b" cm="1">
        <f t="array" ref="I866">INDEX(stable[is_fixed],MATCH(VALUE(questions[[#This Row],[qno]]),VALUE(stable[qno]),0))</f>
        <v>1</v>
      </c>
      <c r="J866" s="9" t="b" cm="1">
        <f t="array" ref="J866">INDEX(stable[is_localized],MATCH(VALUE(questions[[#This Row],[qno]]),VALUE(stable[qno]),0))</f>
        <v>0</v>
      </c>
      <c r="K866" s="9" t="b" cm="1">
        <f t="array" ref="K866">INDEX(stable[is_supply_chain_dependent],MATCH(VALUE(questions[[#This Row],[qno]]),VALUE(stable[qno]),0))</f>
        <v>0</v>
      </c>
      <c r="L866" s="9" t="b" cm="1">
        <f t="array" ref="L866">INDEX(stable[is_mandatory],MATCH(VALUE(questions[[#This Row],[qno]]),VALUE(stable[qno]),0))</f>
        <v>0</v>
      </c>
      <c r="M866" s="9" t="b" cm="1">
        <f t="array" ref="M866">INDEX(stable[is_automated],MATCH(VALUE(questions[[#This Row],[qno]]),VALUE(stable[qno]),0))</f>
        <v>0</v>
      </c>
      <c r="N866" s="9" t="b" cm="1">
        <f t="array" ref="N866">INDEX(stable[is_free_text],MATCH(VALUE(questions[[#This Row],[qno]]),VALUE(stable[qno]),0))</f>
        <v>1</v>
      </c>
      <c r="O866" s="9" t="b" cm="1">
        <f t="array" ref="O866">INDEX(stable[is_numerical],MATCH(VALUE(questions[[#This Row],[qno]]),VALUE(stable[qno]),0))</f>
        <v>0</v>
      </c>
      <c r="P866" s="9" t="b" cm="1">
        <f t="array" ref="P866">INDEX(stable[is_single_select],MATCH(VALUE(questions[[#This Row],[qno]]),VALUE(stable[qno]),0))</f>
        <v>0</v>
      </c>
      <c r="Q866" s="9" t="b" cm="1">
        <f t="array" ref="Q866">INDEX(stable[is_multi_select],MATCH(VALUE(questions[[#This Row],[qno]]),VALUE(stable[qno]),0))</f>
        <v>0</v>
      </c>
      <c r="R866" s="9" t="b" cm="1">
        <f t="array" ref="R866">INDEX(stable[is_skip_logic],MATCH(VALUE(questions[[#This Row],[qno]]),VALUE(stable[qno]),0))</f>
        <v>1</v>
      </c>
      <c r="S866" s="9" t="str">
        <f>_xlfn.TEXTJOIN(", ",TRUE,questions[[#This Row],[ans_opt_1]:[ans_opt_14]])</f>
        <v/>
      </c>
      <c r="AH866" s="16" t="b">
        <f>INDEX(stable[q_standard],MATCH(questions[[#This Row],[qno]],stable[qno],0))</f>
        <v>0</v>
      </c>
      <c r="AI866" s="16" t="b">
        <f>INDEX(stable[q_living_income],MATCH(questions[[#This Row],[qno]],stable[qno],0))</f>
        <v>1</v>
      </c>
      <c r="AJ866" s="16" t="b">
        <f>INDEX(stable[q_carbon],MATCH(questions[[#This Row],[qno]],stable[qno],0))</f>
        <v>1</v>
      </c>
      <c r="AK866" s="16" t="b">
        <f>INDEX(stable[q_regen_ag],MATCH(questions[[#This Row],[qno]],stable[qno],0))</f>
        <v>0</v>
      </c>
      <c r="AL866" s="16" t="b">
        <f>COUNTIFS(stable[qno],questions[[#This Row],[qno]])=1</f>
        <v>1</v>
      </c>
      <c r="AM866" s="16" t="b">
        <f>OR(questions[[#This Row],[is_fixed]],questions[[#This Row],[is_localized]],questions[[#This Row],[is_supply_chain_dependent]])</f>
        <v>1</v>
      </c>
      <c r="AN866" s="16" t="b">
        <f>COUNTIFS(questions[[#This Row],[is_automated]:[is_multi_select]],TRUE)=1</f>
        <v>1</v>
      </c>
      <c r="AO866" s="16" t="b">
        <f>IF(questions[[#This Row],[is_fixed]],questions[[#This Row],[question]]=INDEX(stable[question],MATCH(questions[[#This Row],[qno]],stable[qno],0)),TRUE)</f>
        <v>1</v>
      </c>
      <c r="AP866" s="16" t="str">
        <f>LEFT(questions[[#This Row],[question]],similarity_range)</f>
        <v>What was the unit of</v>
      </c>
      <c r="AQ866" s="16" t="str">
        <f>LEFT(INDEX(stable[question],MATCH(questions[[#This Row],[qno]],stable[qno],0)),similarity_range)</f>
        <v>What was the unit of</v>
      </c>
      <c r="AR866" s="16" t="b">
        <f>questions[[#This Row],[question_first_characters]]=questions[[#This Row],[stability_first_characters]]</f>
        <v>1</v>
      </c>
      <c r="AS866" s="16" t="b">
        <f>IF(OR(questions[[#This Row],[is_single_select]],questions[[#This Row],[is_multi_select]]),NOT(ISBLANK(questions[[#This Row],[answer_opt_combined]])),TRUE)</f>
        <v>1</v>
      </c>
    </row>
    <row r="867" spans="1:45" s="77" customFormat="1" ht="15.75" customHeight="1" x14ac:dyDescent="0.25">
      <c r="A867" s="77" t="str">
        <f>_xlfn.TEXTJOIN("_",TRUE,questions[[#This Row],[origin]:[qno]])</f>
        <v>Uganda_Robusta_Nespresso_5404</v>
      </c>
      <c r="B867" s="77" t="s">
        <v>511</v>
      </c>
      <c r="C867" s="77" t="s">
        <v>674</v>
      </c>
      <c r="D867" s="77" t="s">
        <v>864</v>
      </c>
      <c r="F867" s="104" t="s">
        <v>183</v>
      </c>
      <c r="G867" s="78" t="s">
        <v>184</v>
      </c>
      <c r="H867" s="9" t="str" cm="1">
        <f t="array" ref="H867">INDEX(stableR[question],MATCH(VALUE(questions[[#This Row],[qno]]),VALUE(stableR[qno]),0))</f>
        <v>How did you get this manure/compost/organic fertilizer that you used most?</v>
      </c>
      <c r="I867" s="9" t="b" cm="1">
        <f t="array" ref="I867">INDEX(stable[is_fixed],MATCH(VALUE(questions[[#This Row],[qno]]),VALUE(stable[qno]),0))</f>
        <v>1</v>
      </c>
      <c r="J867" s="9" t="b" cm="1">
        <f t="array" ref="J867">INDEX(stable[is_localized],MATCH(VALUE(questions[[#This Row],[qno]]),VALUE(stable[qno]),0))</f>
        <v>0</v>
      </c>
      <c r="K867" s="9" t="b" cm="1">
        <f t="array" ref="K867">INDEX(stable[is_supply_chain_dependent],MATCH(VALUE(questions[[#This Row],[qno]]),VALUE(stable[qno]),0))</f>
        <v>0</v>
      </c>
      <c r="L867" s="9" t="b" cm="1">
        <f t="array" ref="L867">INDEX(stable[is_mandatory],MATCH(VALUE(questions[[#This Row],[qno]]),VALUE(stable[qno]),0))</f>
        <v>0</v>
      </c>
      <c r="M867" s="9" t="b" cm="1">
        <f t="array" ref="M867">INDEX(stable[is_automated],MATCH(VALUE(questions[[#This Row],[qno]]),VALUE(stable[qno]),0))</f>
        <v>0</v>
      </c>
      <c r="N867" s="9" t="b" cm="1">
        <f t="array" ref="N867">INDEX(stable[is_free_text],MATCH(VALUE(questions[[#This Row],[qno]]),VALUE(stable[qno]),0))</f>
        <v>0</v>
      </c>
      <c r="O867" s="9" t="b" cm="1">
        <f t="array" ref="O867">INDEX(stable[is_numerical],MATCH(VALUE(questions[[#This Row],[qno]]),VALUE(stable[qno]),0))</f>
        <v>0</v>
      </c>
      <c r="P867" s="77" t="b" cm="1">
        <f t="array" ref="P867">INDEX(stable[is_single_select],MATCH(VALUE(questions[[#This Row],[qno]]),VALUE(stable[qno]),0))</f>
        <v>1</v>
      </c>
      <c r="Q867" s="77" t="b" cm="1">
        <f t="array" ref="Q867">INDEX(stable[is_multi_select],MATCH(VALUE(questions[[#This Row],[qno]]),VALUE(stable[qno]),0))</f>
        <v>0</v>
      </c>
      <c r="R867" s="77" t="b" cm="1">
        <f t="array" ref="R867">INDEX(stable[is_skip_logic],MATCH(VALUE(questions[[#This Row],[qno]]),VALUE(stable[qno]),0))</f>
        <v>1</v>
      </c>
      <c r="S867" s="77" t="str">
        <f>_xlfn.TEXTJOIN(", ",TRUE,questions[[#This Row],[ans_opt_1]:[ans_opt_14]])</f>
        <v>Bought, From own farm, Received for free, Both from own farm &amp; bought/received from outside the farm</v>
      </c>
      <c r="T867" s="77" t="s">
        <v>185</v>
      </c>
      <c r="U867" s="77" t="s">
        <v>186</v>
      </c>
      <c r="V867" s="77" t="s">
        <v>187</v>
      </c>
      <c r="W867" s="77" t="s">
        <v>188</v>
      </c>
      <c r="AH867" s="98" t="b">
        <f>INDEX(stable[q_standard],MATCH(questions[[#This Row],[qno]],stable[qno],0))</f>
        <v>0</v>
      </c>
      <c r="AI867" s="98" t="b">
        <f>INDEX(stable[q_living_income],MATCH(questions[[#This Row],[qno]],stable[qno],0))</f>
        <v>1</v>
      </c>
      <c r="AJ867" s="98" t="b">
        <f>INDEX(stable[q_carbon],MATCH(questions[[#This Row],[qno]],stable[qno],0))</f>
        <v>1</v>
      </c>
      <c r="AK867" s="98" t="b">
        <f>INDEX(stable[q_regen_ag],MATCH(questions[[#This Row],[qno]],stable[qno],0))</f>
        <v>0</v>
      </c>
      <c r="AL867" s="98" t="b">
        <f>COUNTIFS(stable[qno],questions[[#This Row],[qno]])=1</f>
        <v>1</v>
      </c>
      <c r="AM867" s="98" t="b">
        <f>OR(questions[[#This Row],[is_fixed]],questions[[#This Row],[is_localized]],questions[[#This Row],[is_supply_chain_dependent]])</f>
        <v>1</v>
      </c>
      <c r="AN867" s="98" t="b">
        <f>COUNTIFS(questions[[#This Row],[is_automated]:[is_multi_select]],TRUE)=1</f>
        <v>1</v>
      </c>
      <c r="AO867" s="98" t="b">
        <f>IF(questions[[#This Row],[is_fixed]],questions[[#This Row],[question]]=INDEX(stable[question],MATCH(questions[[#This Row],[qno]],stable[qno],0)),TRUE)</f>
        <v>0</v>
      </c>
      <c r="AP867" s="98" t="str">
        <f>LEFT(questions[[#This Row],[question]],similarity_range)</f>
        <v>Did you buy this man</v>
      </c>
      <c r="AQ867" s="98" t="str">
        <f>LEFT(INDEX(stable[question],MATCH(questions[[#This Row],[qno]],stable[qno],0)),similarity_range)</f>
        <v>How did you get this</v>
      </c>
      <c r="AR867" s="98" t="b">
        <f>questions[[#This Row],[question_first_characters]]=questions[[#This Row],[stability_first_characters]]</f>
        <v>0</v>
      </c>
      <c r="AS867" s="98" t="b">
        <f>IF(OR(questions[[#This Row],[is_single_select]],questions[[#This Row],[is_multi_select]]),NOT(ISBLANK(questions[[#This Row],[answer_opt_combined]])),TRUE)</f>
        <v>1</v>
      </c>
    </row>
    <row r="868" spans="1:45" ht="15.75" customHeight="1" x14ac:dyDescent="0.25">
      <c r="A868" s="9" t="str">
        <f>_xlfn.TEXTJOIN("_",TRUE,questions[[#This Row],[origin]:[qno]])</f>
        <v>Uganda_Robusta_Nespresso_5410</v>
      </c>
      <c r="B868" s="9" t="s">
        <v>511</v>
      </c>
      <c r="C868" s="9" t="s">
        <v>674</v>
      </c>
      <c r="D868" s="9" t="s">
        <v>864</v>
      </c>
      <c r="F868" s="24" t="s">
        <v>189</v>
      </c>
      <c r="G868" s="15" t="s">
        <v>890</v>
      </c>
      <c r="H868" s="9" t="str" cm="1">
        <f t="array" ref="H868">INDEX(stableR[question],MATCH(VALUE(questions[[#This Row],[qno]]),VALUE(stableR[qno]),0))</f>
        <v>What was the type of animal manure, compost, or organic fertilizer that you used second most last year?</v>
      </c>
      <c r="I868" s="9" t="b" cm="1">
        <f t="array" ref="I868">INDEX(stable[is_fixed],MATCH(VALUE(questions[[#This Row],[qno]]),VALUE(stable[qno]),0))</f>
        <v>1</v>
      </c>
      <c r="J868" s="9" t="b" cm="1">
        <f t="array" ref="J868">INDEX(stable[is_localized],MATCH(VALUE(questions[[#This Row],[qno]]),VALUE(stable[qno]),0))</f>
        <v>0</v>
      </c>
      <c r="K868" s="9" t="b" cm="1">
        <f t="array" ref="K868">INDEX(stable[is_supply_chain_dependent],MATCH(VALUE(questions[[#This Row],[qno]]),VALUE(stable[qno]),0))</f>
        <v>0</v>
      </c>
      <c r="L868" s="9" t="b" cm="1">
        <f t="array" ref="L868">INDEX(stable[is_mandatory],MATCH(VALUE(questions[[#This Row],[qno]]),VALUE(stable[qno]),0))</f>
        <v>0</v>
      </c>
      <c r="M868" s="9" t="b" cm="1">
        <f t="array" ref="M868">INDEX(stable[is_automated],MATCH(VALUE(questions[[#This Row],[qno]]),VALUE(stable[qno]),0))</f>
        <v>0</v>
      </c>
      <c r="N868" s="9" t="b" cm="1">
        <f t="array" ref="N868">INDEX(stable[is_free_text],MATCH(VALUE(questions[[#This Row],[qno]]),VALUE(stable[qno]),0))</f>
        <v>1</v>
      </c>
      <c r="O868" s="9" t="b" cm="1">
        <f t="array" ref="O868">INDEX(stable[is_numerical],MATCH(VALUE(questions[[#This Row],[qno]]),VALUE(stable[qno]),0))</f>
        <v>0</v>
      </c>
      <c r="P868" s="9" t="b" cm="1">
        <f t="array" ref="P868">INDEX(stable[is_single_select],MATCH(VALUE(questions[[#This Row],[qno]]),VALUE(stable[qno]),0))</f>
        <v>1</v>
      </c>
      <c r="Q868" s="9" t="b" cm="1">
        <f t="array" ref="Q868">INDEX(stable[is_multi_select],MATCH(VALUE(questions[[#This Row],[qno]]),VALUE(stable[qno]),0))</f>
        <v>0</v>
      </c>
      <c r="R868" s="9" t="b" cm="1">
        <f t="array" ref="R868">INDEX(stable[is_skip_logic],MATCH(VALUE(questions[[#This Row],[qno]]),VALUE(stable[qno]),0))</f>
        <v>1</v>
      </c>
      <c r="S868" s="9" t="str">
        <f>_xlfn.TEXTJOIN(", ",TRUE,questions[[#This Row],[ans_opt_1]:[ans_opt_14]])</f>
        <v/>
      </c>
      <c r="AH868" s="16" t="b">
        <f>INDEX(stable[q_standard],MATCH(questions[[#This Row],[qno]],stable[qno],0))</f>
        <v>0</v>
      </c>
      <c r="AI868" s="16" t="b">
        <f>INDEX(stable[q_living_income],MATCH(questions[[#This Row],[qno]],stable[qno],0))</f>
        <v>1</v>
      </c>
      <c r="AJ868" s="16" t="b">
        <f>INDEX(stable[q_carbon],MATCH(questions[[#This Row],[qno]],stable[qno],0))</f>
        <v>1</v>
      </c>
      <c r="AK868" s="16" t="b">
        <f>INDEX(stable[q_regen_ag],MATCH(questions[[#This Row],[qno]],stable[qno],0))</f>
        <v>0</v>
      </c>
      <c r="AL868" s="16" t="b">
        <f>COUNTIFS(stable[qno],questions[[#This Row],[qno]])=1</f>
        <v>1</v>
      </c>
      <c r="AM868" s="16" t="b">
        <f>OR(questions[[#This Row],[is_fixed]],questions[[#This Row],[is_localized]],questions[[#This Row],[is_supply_chain_dependent]])</f>
        <v>1</v>
      </c>
      <c r="AN868" s="16" t="b">
        <f>COUNTIFS(questions[[#This Row],[is_automated]:[is_multi_select]],TRUE)=1</f>
        <v>0</v>
      </c>
      <c r="AO868" s="16" t="b">
        <f>IF(questions[[#This Row],[is_fixed]],questions[[#This Row],[question]]=INDEX(stable[question],MATCH(questions[[#This Row],[qno]],stable[qno],0)),TRUE)</f>
        <v>0</v>
      </c>
      <c r="AP868" s="16" t="str">
        <f>LEFT(questions[[#This Row],[question]],similarity_range)</f>
        <v>If yes, what was the</v>
      </c>
      <c r="AQ868" s="16" t="str">
        <f>LEFT(INDEX(stable[question],MATCH(questions[[#This Row],[qno]],stable[qno],0)),similarity_range)</f>
        <v>Was there a second t</v>
      </c>
      <c r="AR868" s="16" t="b">
        <f>questions[[#This Row],[question_first_characters]]=questions[[#This Row],[stability_first_characters]]</f>
        <v>0</v>
      </c>
      <c r="AS868" s="16" t="b">
        <f>IF(OR(questions[[#This Row],[is_single_select]],questions[[#This Row],[is_multi_select]]),NOT(ISBLANK(questions[[#This Row],[answer_opt_combined]])),TRUE)</f>
        <v>1</v>
      </c>
    </row>
    <row r="869" spans="1:45" ht="15.75" customHeight="1" x14ac:dyDescent="0.25">
      <c r="A869" s="9" t="str">
        <f>_xlfn.TEXTJOIN("_",TRUE,questions[[#This Row],[origin]:[qno]])</f>
        <v>Uganda_Robusta_Nespresso_5411</v>
      </c>
      <c r="B869" s="9" t="s">
        <v>511</v>
      </c>
      <c r="C869" s="9" t="s">
        <v>674</v>
      </c>
      <c r="D869" s="9" t="s">
        <v>864</v>
      </c>
      <c r="F869" s="24" t="s">
        <v>191</v>
      </c>
      <c r="G869" s="15" t="s">
        <v>192</v>
      </c>
      <c r="H869" s="9" t="str" cm="1">
        <f t="array" ref="H869">INDEX(stableR[question],MATCH(VALUE(questions[[#This Row],[qno]]),VALUE(stableR[qno]),0))</f>
        <v>What was the total quantity of this type of animal manure/compost/organic fertilizer that you used second most? (Kg)</v>
      </c>
      <c r="I869" s="9" t="b" cm="1">
        <f t="array" ref="I869">INDEX(stable[is_fixed],MATCH(VALUE(questions[[#This Row],[qno]]),VALUE(stable[qno]),0))</f>
        <v>1</v>
      </c>
      <c r="J869" s="9" t="b" cm="1">
        <f t="array" ref="J869">INDEX(stable[is_localized],MATCH(VALUE(questions[[#This Row],[qno]]),VALUE(stable[qno]),0))</f>
        <v>0</v>
      </c>
      <c r="K869" s="9" t="b" cm="1">
        <f t="array" ref="K869">INDEX(stable[is_supply_chain_dependent],MATCH(VALUE(questions[[#This Row],[qno]]),VALUE(stable[qno]),0))</f>
        <v>0</v>
      </c>
      <c r="L869" s="9" t="b" cm="1">
        <f t="array" ref="L869">INDEX(stable[is_mandatory],MATCH(VALUE(questions[[#This Row],[qno]]),VALUE(stable[qno]),0))</f>
        <v>0</v>
      </c>
      <c r="M869" s="9" t="b" cm="1">
        <f t="array" ref="M869">INDEX(stable[is_automated],MATCH(VALUE(questions[[#This Row],[qno]]),VALUE(stable[qno]),0))</f>
        <v>0</v>
      </c>
      <c r="N869" s="9" t="b" cm="1">
        <f t="array" ref="N869">INDEX(stable[is_free_text],MATCH(VALUE(questions[[#This Row],[qno]]),VALUE(stable[qno]),0))</f>
        <v>0</v>
      </c>
      <c r="O869" s="9" t="b" cm="1">
        <f t="array" ref="O869">INDEX(stable[is_numerical],MATCH(VALUE(questions[[#This Row],[qno]]),VALUE(stable[qno]),0))</f>
        <v>1</v>
      </c>
      <c r="P869" s="9" t="b" cm="1">
        <f t="array" ref="P869">INDEX(stable[is_single_select],MATCH(VALUE(questions[[#This Row],[qno]]),VALUE(stable[qno]),0))</f>
        <v>0</v>
      </c>
      <c r="Q869" s="9" t="b" cm="1">
        <f t="array" ref="Q869">INDEX(stable[is_multi_select],MATCH(VALUE(questions[[#This Row],[qno]]),VALUE(stable[qno]),0))</f>
        <v>0</v>
      </c>
      <c r="R869" s="9" t="b" cm="1">
        <f t="array" ref="R869">INDEX(stable[is_skip_logic],MATCH(VALUE(questions[[#This Row],[qno]]),VALUE(stable[qno]),0))</f>
        <v>1</v>
      </c>
      <c r="S869" s="9" t="str">
        <f>_xlfn.TEXTJOIN(", ",TRUE,questions[[#This Row],[ans_opt_1]:[ans_opt_14]])</f>
        <v/>
      </c>
      <c r="AH869" s="16" t="b">
        <f>INDEX(stable[q_standard],MATCH(questions[[#This Row],[qno]],stable[qno],0))</f>
        <v>0</v>
      </c>
      <c r="AI869" s="16" t="b">
        <f>INDEX(stable[q_living_income],MATCH(questions[[#This Row],[qno]],stable[qno],0))</f>
        <v>1</v>
      </c>
      <c r="AJ869" s="16" t="b">
        <f>INDEX(stable[q_carbon],MATCH(questions[[#This Row],[qno]],stable[qno],0))</f>
        <v>1</v>
      </c>
      <c r="AK869" s="16" t="b">
        <f>INDEX(stable[q_regen_ag],MATCH(questions[[#This Row],[qno]],stable[qno],0))</f>
        <v>0</v>
      </c>
      <c r="AL869" s="16" t="b">
        <f>COUNTIFS(stable[qno],questions[[#This Row],[qno]])=1</f>
        <v>1</v>
      </c>
      <c r="AM869" s="16" t="b">
        <f>OR(questions[[#This Row],[is_fixed]],questions[[#This Row],[is_localized]],questions[[#This Row],[is_supply_chain_dependent]])</f>
        <v>1</v>
      </c>
      <c r="AN869" s="16" t="b">
        <f>COUNTIFS(questions[[#This Row],[is_automated]:[is_multi_select]],TRUE)=1</f>
        <v>1</v>
      </c>
      <c r="AO869" s="16" t="b">
        <f>IF(questions[[#This Row],[is_fixed]],questions[[#This Row],[question]]=INDEX(stable[question],MATCH(questions[[#This Row],[qno]],stable[qno],0)),TRUE)</f>
        <v>1</v>
      </c>
      <c r="AP869" s="16" t="str">
        <f>LEFT(questions[[#This Row],[question]],similarity_range)</f>
        <v>What was the total q</v>
      </c>
      <c r="AQ869" s="16" t="str">
        <f>LEFT(INDEX(stable[question],MATCH(questions[[#This Row],[qno]],stable[qno],0)),similarity_range)</f>
        <v>What was the total q</v>
      </c>
      <c r="AR869" s="16" t="b">
        <f>questions[[#This Row],[question_first_characters]]=questions[[#This Row],[stability_first_characters]]</f>
        <v>1</v>
      </c>
      <c r="AS869" s="16" t="b">
        <f>IF(OR(questions[[#This Row],[is_single_select]],questions[[#This Row],[is_multi_select]]),NOT(ISBLANK(questions[[#This Row],[answer_opt_combined]])),TRUE)</f>
        <v>1</v>
      </c>
    </row>
    <row r="870" spans="1:45" ht="15.75" customHeight="1" x14ac:dyDescent="0.25">
      <c r="A870" s="9" t="str">
        <f>_xlfn.TEXTJOIN("_",TRUE,questions[[#This Row],[origin]:[qno]])</f>
        <v>Uganda_Robusta_Nespresso_5412</v>
      </c>
      <c r="B870" s="9" t="s">
        <v>511</v>
      </c>
      <c r="C870" s="9" t="s">
        <v>674</v>
      </c>
      <c r="D870" s="9" t="s">
        <v>864</v>
      </c>
      <c r="F870" s="24" t="s">
        <v>193</v>
      </c>
      <c r="G870" s="215" t="s">
        <v>194</v>
      </c>
      <c r="H870" s="9" t="str" cm="1">
        <f t="array" ref="H870">INDEX(stableR[question],MATCH(VALUE(questions[[#This Row],[qno]]),VALUE(stableR[qno]),0))</f>
        <v>What was the unit of this type of animal manure/compost/organic fertilizer that you used second most (kg, basins, 50 kg bags, wheel barrows, small truck/tipper, large truck)?</v>
      </c>
      <c r="I870" s="9" t="b" cm="1">
        <f t="array" ref="I870">INDEX(stable[is_fixed],MATCH(VALUE(questions[[#This Row],[qno]]),VALUE(stable[qno]),0))</f>
        <v>1</v>
      </c>
      <c r="J870" s="9" t="b" cm="1">
        <f t="array" ref="J870">INDEX(stable[is_localized],MATCH(VALUE(questions[[#This Row],[qno]]),VALUE(stable[qno]),0))</f>
        <v>0</v>
      </c>
      <c r="K870" s="9" t="b" cm="1">
        <f t="array" ref="K870">INDEX(stable[is_supply_chain_dependent],MATCH(VALUE(questions[[#This Row],[qno]]),VALUE(stable[qno]),0))</f>
        <v>0</v>
      </c>
      <c r="L870" s="9" t="b" cm="1">
        <f t="array" ref="L870">INDEX(stable[is_mandatory],MATCH(VALUE(questions[[#This Row],[qno]]),VALUE(stable[qno]),0))</f>
        <v>0</v>
      </c>
      <c r="M870" s="9" t="b" cm="1">
        <f t="array" ref="M870">INDEX(stable[is_automated],MATCH(VALUE(questions[[#This Row],[qno]]),VALUE(stable[qno]),0))</f>
        <v>0</v>
      </c>
      <c r="N870" s="9" t="b" cm="1">
        <f t="array" ref="N870">INDEX(stable[is_free_text],MATCH(VALUE(questions[[#This Row],[qno]]),VALUE(stable[qno]),0))</f>
        <v>1</v>
      </c>
      <c r="O870" s="9" t="b" cm="1">
        <f t="array" ref="O870">INDEX(stable[is_numerical],MATCH(VALUE(questions[[#This Row],[qno]]),VALUE(stable[qno]),0))</f>
        <v>0</v>
      </c>
      <c r="P870" s="9" t="b" cm="1">
        <f t="array" ref="P870">INDEX(stable[is_single_select],MATCH(VALUE(questions[[#This Row],[qno]]),VALUE(stable[qno]),0))</f>
        <v>0</v>
      </c>
      <c r="Q870" s="9" t="b" cm="1">
        <f t="array" ref="Q870">INDEX(stable[is_multi_select],MATCH(VALUE(questions[[#This Row],[qno]]),VALUE(stable[qno]),0))</f>
        <v>0</v>
      </c>
      <c r="R870" s="9" t="b" cm="1">
        <f t="array" ref="R870">INDEX(stable[is_skip_logic],MATCH(VALUE(questions[[#This Row],[qno]]),VALUE(stable[qno]),0))</f>
        <v>1</v>
      </c>
      <c r="S870" s="9" t="str">
        <f>_xlfn.TEXTJOIN(", ",TRUE,questions[[#This Row],[ans_opt_1]:[ans_opt_14]])</f>
        <v/>
      </c>
      <c r="AH870" s="16" t="b">
        <f>INDEX(stable[q_standard],MATCH(questions[[#This Row],[qno]],stable[qno],0))</f>
        <v>0</v>
      </c>
      <c r="AI870" s="16" t="b">
        <f>INDEX(stable[q_living_income],MATCH(questions[[#This Row],[qno]],stable[qno],0))</f>
        <v>1</v>
      </c>
      <c r="AJ870" s="16" t="b">
        <f>INDEX(stable[q_carbon],MATCH(questions[[#This Row],[qno]],stable[qno],0))</f>
        <v>1</v>
      </c>
      <c r="AK870" s="16" t="b">
        <f>INDEX(stable[q_regen_ag],MATCH(questions[[#This Row],[qno]],stable[qno],0))</f>
        <v>0</v>
      </c>
      <c r="AL870" s="16" t="b">
        <f>COUNTIFS(stable[qno],questions[[#This Row],[qno]])=1</f>
        <v>1</v>
      </c>
      <c r="AM870" s="16" t="b">
        <f>OR(questions[[#This Row],[is_fixed]],questions[[#This Row],[is_localized]],questions[[#This Row],[is_supply_chain_dependent]])</f>
        <v>1</v>
      </c>
      <c r="AN870" s="16" t="b">
        <f>COUNTIFS(questions[[#This Row],[is_automated]:[is_multi_select]],TRUE)=1</f>
        <v>1</v>
      </c>
      <c r="AO870" s="16" t="b">
        <f>IF(questions[[#This Row],[is_fixed]],questions[[#This Row],[question]]=INDEX(stable[question],MATCH(questions[[#This Row],[qno]],stable[qno],0)),TRUE)</f>
        <v>1</v>
      </c>
      <c r="AP870" s="16" t="str">
        <f>LEFT(questions[[#This Row],[question]],similarity_range)</f>
        <v>What was the unit of</v>
      </c>
      <c r="AQ870" s="16" t="str">
        <f>LEFT(INDEX(stable[question],MATCH(questions[[#This Row],[qno]],stable[qno],0)),similarity_range)</f>
        <v>What was the unit of</v>
      </c>
      <c r="AR870" s="16" t="b">
        <f>questions[[#This Row],[question_first_characters]]=questions[[#This Row],[stability_first_characters]]</f>
        <v>1</v>
      </c>
      <c r="AS870" s="16" t="b">
        <f>IF(OR(questions[[#This Row],[is_single_select]],questions[[#This Row],[is_multi_select]]),NOT(ISBLANK(questions[[#This Row],[answer_opt_combined]])),TRUE)</f>
        <v>1</v>
      </c>
    </row>
    <row r="871" spans="1:45" s="77" customFormat="1" ht="15.75" customHeight="1" x14ac:dyDescent="0.25">
      <c r="A871" s="77" t="str">
        <f>_xlfn.TEXTJOIN("_",TRUE,questions[[#This Row],[origin]:[qno]])</f>
        <v>Uganda_Robusta_Nespresso_5413</v>
      </c>
      <c r="B871" s="77" t="s">
        <v>511</v>
      </c>
      <c r="C871" s="77" t="s">
        <v>674</v>
      </c>
      <c r="D871" s="77" t="s">
        <v>864</v>
      </c>
      <c r="F871" s="104" t="s">
        <v>195</v>
      </c>
      <c r="G871" s="78" t="s">
        <v>891</v>
      </c>
      <c r="H871" s="9" t="str" cm="1">
        <f t="array" ref="H871">INDEX(stableR[question],MATCH(VALUE(questions[[#This Row],[qno]]),VALUE(stableR[qno]),0))</f>
        <v>How did you get this manure/compost/organic fertilizer that you used second most?</v>
      </c>
      <c r="I871" s="9" t="b" cm="1">
        <f t="array" ref="I871">INDEX(stable[is_fixed],MATCH(VALUE(questions[[#This Row],[qno]]),VALUE(stable[qno]),0))</f>
        <v>1</v>
      </c>
      <c r="J871" s="9" t="b" cm="1">
        <f t="array" ref="J871">INDEX(stable[is_localized],MATCH(VALUE(questions[[#This Row],[qno]]),VALUE(stable[qno]),0))</f>
        <v>0</v>
      </c>
      <c r="K871" s="9" t="b" cm="1">
        <f t="array" ref="K871">INDEX(stable[is_supply_chain_dependent],MATCH(VALUE(questions[[#This Row],[qno]]),VALUE(stable[qno]),0))</f>
        <v>0</v>
      </c>
      <c r="L871" s="9" t="b" cm="1">
        <f t="array" ref="L871">INDEX(stable[is_mandatory],MATCH(VALUE(questions[[#This Row],[qno]]),VALUE(stable[qno]),0))</f>
        <v>0</v>
      </c>
      <c r="M871" s="9" t="b" cm="1">
        <f t="array" ref="M871">INDEX(stable[is_automated],MATCH(VALUE(questions[[#This Row],[qno]]),VALUE(stable[qno]),0))</f>
        <v>0</v>
      </c>
      <c r="N871" s="9" t="b" cm="1">
        <f t="array" ref="N871">INDEX(stable[is_free_text],MATCH(VALUE(questions[[#This Row],[qno]]),VALUE(stable[qno]),0))</f>
        <v>0</v>
      </c>
      <c r="O871" s="9" t="b" cm="1">
        <f t="array" ref="O871">INDEX(stable[is_numerical],MATCH(VALUE(questions[[#This Row],[qno]]),VALUE(stable[qno]),0))</f>
        <v>0</v>
      </c>
      <c r="P871" s="77" t="b" cm="1">
        <f t="array" ref="P871">INDEX(stable[is_single_select],MATCH(VALUE(questions[[#This Row],[qno]]),VALUE(stable[qno]),0))</f>
        <v>1</v>
      </c>
      <c r="Q871" s="77" t="b" cm="1">
        <f t="array" ref="Q871">INDEX(stable[is_multi_select],MATCH(VALUE(questions[[#This Row],[qno]]),VALUE(stable[qno]),0))</f>
        <v>0</v>
      </c>
      <c r="R871" s="77" t="b" cm="1">
        <f t="array" ref="R871">INDEX(stable[is_skip_logic],MATCH(VALUE(questions[[#This Row],[qno]]),VALUE(stable[qno]),0))</f>
        <v>1</v>
      </c>
      <c r="S871" s="77" t="str">
        <f>_xlfn.TEXTJOIN(", ",TRUE,questions[[#This Row],[ans_opt_1]:[ans_opt_14]])</f>
        <v>Bought, From own farm, Received for free, Both from own farm &amp; bought/received from outside the farm</v>
      </c>
      <c r="T871" s="77" t="s">
        <v>185</v>
      </c>
      <c r="U871" s="77" t="s">
        <v>186</v>
      </c>
      <c r="V871" s="77" t="s">
        <v>187</v>
      </c>
      <c r="W871" s="77" t="s">
        <v>188</v>
      </c>
      <c r="AH871" s="98" t="b">
        <f>INDEX(stable[q_standard],MATCH(questions[[#This Row],[qno]],stable[qno],0))</f>
        <v>0</v>
      </c>
      <c r="AI871" s="98" t="b">
        <f>INDEX(stable[q_living_income],MATCH(questions[[#This Row],[qno]],stable[qno],0))</f>
        <v>1</v>
      </c>
      <c r="AJ871" s="98" t="b">
        <f>INDEX(stable[q_carbon],MATCH(questions[[#This Row],[qno]],stable[qno],0))</f>
        <v>1</v>
      </c>
      <c r="AK871" s="98" t="b">
        <f>INDEX(stable[q_regen_ag],MATCH(questions[[#This Row],[qno]],stable[qno],0))</f>
        <v>0</v>
      </c>
      <c r="AL871" s="98" t="b">
        <f>COUNTIFS(stable[qno],questions[[#This Row],[qno]])=1</f>
        <v>1</v>
      </c>
      <c r="AM871" s="98" t="b">
        <f>OR(questions[[#This Row],[is_fixed]],questions[[#This Row],[is_localized]],questions[[#This Row],[is_supply_chain_dependent]])</f>
        <v>1</v>
      </c>
      <c r="AN871" s="98" t="b">
        <f>COUNTIFS(questions[[#This Row],[is_automated]:[is_multi_select]],TRUE)=1</f>
        <v>1</v>
      </c>
      <c r="AO871" s="98" t="b">
        <f>IF(questions[[#This Row],[is_fixed]],questions[[#This Row],[question]]=INDEX(stable[question],MATCH(questions[[#This Row],[qno]],stable[qno],0)),TRUE)</f>
        <v>0</v>
      </c>
      <c r="AP871" s="98" t="str">
        <f>LEFT(questions[[#This Row],[question]],similarity_range)</f>
        <v>Did you buy this man</v>
      </c>
      <c r="AQ871" s="98" t="str">
        <f>LEFT(INDEX(stable[question],MATCH(questions[[#This Row],[qno]],stable[qno],0)),similarity_range)</f>
        <v>How did you get this</v>
      </c>
      <c r="AR871" s="98" t="b">
        <f>questions[[#This Row],[question_first_characters]]=questions[[#This Row],[stability_first_characters]]</f>
        <v>0</v>
      </c>
      <c r="AS871" s="98" t="b">
        <f>IF(OR(questions[[#This Row],[is_single_select]],questions[[#This Row],[is_multi_select]]),NOT(ISBLANK(questions[[#This Row],[answer_opt_combined]])),TRUE)</f>
        <v>1</v>
      </c>
    </row>
    <row r="872" spans="1:45" s="77" customFormat="1" ht="15.75" customHeight="1" x14ac:dyDescent="0.25">
      <c r="A872" s="77" t="str">
        <f>_xlfn.TEXTJOIN("_",TRUE,questions[[#This Row],[origin]:[qno]])</f>
        <v>Uganda_Robusta_Nespresso_5500</v>
      </c>
      <c r="B872" s="77" t="s">
        <v>511</v>
      </c>
      <c r="C872" s="77" t="s">
        <v>674</v>
      </c>
      <c r="D872" s="77" t="s">
        <v>864</v>
      </c>
      <c r="F872" s="104" t="s">
        <v>197</v>
      </c>
      <c r="G872" s="78" t="s">
        <v>198</v>
      </c>
      <c r="H872" s="9" t="str" cm="1">
        <f t="array" ref="H872">INDEX(stableR[question],MATCH(VALUE(questions[[#This Row],[qno]]),VALUE(stableR[qno]),0))</f>
        <v>Did you apply any type of mulch on your coffee last year?</v>
      </c>
      <c r="I872" s="9" t="b" cm="1">
        <f t="array" ref="I872">INDEX(stable[is_fixed],MATCH(VALUE(questions[[#This Row],[qno]]),VALUE(stable[qno]),0))</f>
        <v>1</v>
      </c>
      <c r="J872" s="9" t="b" cm="1">
        <f t="array" ref="J872">INDEX(stable[is_localized],MATCH(VALUE(questions[[#This Row],[qno]]),VALUE(stable[qno]),0))</f>
        <v>0</v>
      </c>
      <c r="K872" s="9" t="b" cm="1">
        <f t="array" ref="K872">INDEX(stable[is_supply_chain_dependent],MATCH(VALUE(questions[[#This Row],[qno]]),VALUE(stable[qno]),0))</f>
        <v>0</v>
      </c>
      <c r="L872" s="9" t="b" cm="1">
        <f t="array" ref="L872">INDEX(stable[is_mandatory],MATCH(VALUE(questions[[#This Row],[qno]]),VALUE(stable[qno]),0))</f>
        <v>1</v>
      </c>
      <c r="M872" s="9" t="b" cm="1">
        <f t="array" ref="M872">INDEX(stable[is_automated],MATCH(VALUE(questions[[#This Row],[qno]]),VALUE(stable[qno]),0))</f>
        <v>0</v>
      </c>
      <c r="N872" s="9" t="b" cm="1">
        <f t="array" ref="N872">INDEX(stable[is_free_text],MATCH(VALUE(questions[[#This Row],[qno]]),VALUE(stable[qno]),0))</f>
        <v>0</v>
      </c>
      <c r="O872" s="9" t="b" cm="1">
        <f t="array" ref="O872">INDEX(stable[is_numerical],MATCH(VALUE(questions[[#This Row],[qno]]),VALUE(stable[qno]),0))</f>
        <v>0</v>
      </c>
      <c r="P872" s="77" t="b" cm="1">
        <f t="array" ref="P872">INDEX(stable[is_single_select],MATCH(VALUE(questions[[#This Row],[qno]]),VALUE(stable[qno]),0))</f>
        <v>1</v>
      </c>
      <c r="Q872" s="77" t="b" cm="1">
        <f t="array" ref="Q872">INDEX(stable[is_multi_select],MATCH(VALUE(questions[[#This Row],[qno]]),VALUE(stable[qno]),0))</f>
        <v>0</v>
      </c>
      <c r="R872" s="77" t="b" cm="1">
        <f t="array" ref="R872">INDEX(stable[is_skip_logic],MATCH(VALUE(questions[[#This Row],[qno]]),VALUE(stable[qno]),0))</f>
        <v>1</v>
      </c>
      <c r="S872" s="77" t="str">
        <f>_xlfn.TEXTJOIN(", ",TRUE,questions[[#This Row],[ans_opt_1]:[ans_opt_14]])</f>
        <v>Yes, No</v>
      </c>
      <c r="T872" s="77" t="s">
        <v>149</v>
      </c>
      <c r="U872" s="77" t="s">
        <v>119</v>
      </c>
      <c r="AH872" s="98" t="b">
        <f>INDEX(stable[q_standard],MATCH(questions[[#This Row],[qno]],stable[qno],0))</f>
        <v>0</v>
      </c>
      <c r="AI872" s="98" t="b">
        <f>INDEX(stable[q_living_income],MATCH(questions[[#This Row],[qno]],stable[qno],0))</f>
        <v>1</v>
      </c>
      <c r="AJ872" s="98" t="b">
        <f>INDEX(stable[q_carbon],MATCH(questions[[#This Row],[qno]],stable[qno],0))</f>
        <v>1</v>
      </c>
      <c r="AK872" s="98" t="b">
        <f>INDEX(stable[q_regen_ag],MATCH(questions[[#This Row],[qno]],stable[qno],0))</f>
        <v>0</v>
      </c>
      <c r="AL872" s="98" t="b">
        <f>COUNTIFS(stable[qno],questions[[#This Row],[qno]])=1</f>
        <v>1</v>
      </c>
      <c r="AM872" s="98" t="b">
        <f>OR(questions[[#This Row],[is_fixed]],questions[[#This Row],[is_localized]],questions[[#This Row],[is_supply_chain_dependent]])</f>
        <v>1</v>
      </c>
      <c r="AN872" s="98" t="b">
        <f>COUNTIFS(questions[[#This Row],[is_automated]:[is_multi_select]],TRUE)=1</f>
        <v>1</v>
      </c>
      <c r="AO872" s="98" t="b">
        <f>IF(questions[[#This Row],[is_fixed]],questions[[#This Row],[question]]=INDEX(stable[question],MATCH(questions[[#This Row],[qno]],stable[qno],0)),TRUE)</f>
        <v>1</v>
      </c>
      <c r="AP872" s="98" t="str">
        <f>LEFT(questions[[#This Row],[question]],similarity_range)</f>
        <v>Did you apply any ty</v>
      </c>
      <c r="AQ872" s="98" t="str">
        <f>LEFT(INDEX(stable[question],MATCH(questions[[#This Row],[qno]],stable[qno],0)),similarity_range)</f>
        <v>Did you apply any ty</v>
      </c>
      <c r="AR872" s="98" t="b">
        <f>questions[[#This Row],[question_first_characters]]=questions[[#This Row],[stability_first_characters]]</f>
        <v>1</v>
      </c>
      <c r="AS872" s="98" t="b">
        <f>IF(OR(questions[[#This Row],[is_single_select]],questions[[#This Row],[is_multi_select]]),NOT(ISBLANK(questions[[#This Row],[answer_opt_combined]])),TRUE)</f>
        <v>1</v>
      </c>
    </row>
    <row r="873" spans="1:45" ht="15.75" customHeight="1" x14ac:dyDescent="0.25">
      <c r="A873" s="9" t="str">
        <f>_xlfn.TEXTJOIN("_",TRUE,questions[[#This Row],[origin]:[qno]])</f>
        <v>Uganda_Robusta_Nespresso_5501</v>
      </c>
      <c r="B873" s="9" t="s">
        <v>511</v>
      </c>
      <c r="C873" s="9" t="s">
        <v>674</v>
      </c>
      <c r="D873" s="9" t="s">
        <v>864</v>
      </c>
      <c r="F873" s="24" t="s">
        <v>199</v>
      </c>
      <c r="G873" s="15" t="s">
        <v>200</v>
      </c>
      <c r="H873" s="9" t="str" cm="1">
        <f t="array" ref="H873">INDEX(stableR[question],MATCH(VALUE(questions[[#This Row],[qno]]),VALUE(stableR[qno]),0))</f>
        <v>What type of mulch?</v>
      </c>
      <c r="I873" s="9" t="b" cm="1">
        <f t="array" ref="I873">INDEX(stable[is_fixed],MATCH(VALUE(questions[[#This Row],[qno]]),VALUE(stable[qno]),0))</f>
        <v>1</v>
      </c>
      <c r="J873" s="9" t="b" cm="1">
        <f t="array" ref="J873">INDEX(stable[is_localized],MATCH(VALUE(questions[[#This Row],[qno]]),VALUE(stable[qno]),0))</f>
        <v>0</v>
      </c>
      <c r="K873" s="9" t="b" cm="1">
        <f t="array" ref="K873">INDEX(stable[is_supply_chain_dependent],MATCH(VALUE(questions[[#This Row],[qno]]),VALUE(stable[qno]),0))</f>
        <v>0</v>
      </c>
      <c r="L873" s="9" t="b" cm="1">
        <f t="array" ref="L873">INDEX(stable[is_mandatory],MATCH(VALUE(questions[[#This Row],[qno]]),VALUE(stable[qno]),0))</f>
        <v>0</v>
      </c>
      <c r="M873" s="9" t="b" cm="1">
        <f t="array" ref="M873">INDEX(stable[is_automated],MATCH(VALUE(questions[[#This Row],[qno]]),VALUE(stable[qno]),0))</f>
        <v>0</v>
      </c>
      <c r="N873" s="9" t="b" cm="1">
        <f t="array" ref="N873">INDEX(stable[is_free_text],MATCH(VALUE(questions[[#This Row],[qno]]),VALUE(stable[qno]),0))</f>
        <v>0</v>
      </c>
      <c r="O873" s="9" t="b" cm="1">
        <f t="array" ref="O873">INDEX(stable[is_numerical],MATCH(VALUE(questions[[#This Row],[qno]]),VALUE(stable[qno]),0))</f>
        <v>0</v>
      </c>
      <c r="P873" s="9" t="b" cm="1">
        <f t="array" ref="P873">INDEX(stable[is_single_select],MATCH(VALUE(questions[[#This Row],[qno]]),VALUE(stable[qno]),0))</f>
        <v>0</v>
      </c>
      <c r="Q873" s="9" t="b" cm="1">
        <f t="array" ref="Q873">INDEX(stable[is_multi_select],MATCH(VALUE(questions[[#This Row],[qno]]),VALUE(stable[qno]),0))</f>
        <v>1</v>
      </c>
      <c r="R873" s="9" t="b" cm="1">
        <f t="array" ref="R873">INDEX(stable[is_skip_logic],MATCH(VALUE(questions[[#This Row],[qno]]),VALUE(stable[qno]),0))</f>
        <v>1</v>
      </c>
      <c r="S873" s="9" t="str">
        <f>_xlfn.TEXTJOIN(", ",TRUE,questions[[#This Row],[ans_opt_1]:[ans_opt_14]])</f>
        <v/>
      </c>
      <c r="AH873" s="16" t="b">
        <f>INDEX(stable[q_standard],MATCH(questions[[#This Row],[qno]],stable[qno],0))</f>
        <v>0</v>
      </c>
      <c r="AI873" s="16" t="b">
        <f>INDEX(stable[q_living_income],MATCH(questions[[#This Row],[qno]],stable[qno],0))</f>
        <v>1</v>
      </c>
      <c r="AJ873" s="16" t="b">
        <f>INDEX(stable[q_carbon],MATCH(questions[[#This Row],[qno]],stable[qno],0))</f>
        <v>1</v>
      </c>
      <c r="AK873" s="16" t="b">
        <f>INDEX(stable[q_regen_ag],MATCH(questions[[#This Row],[qno]],stable[qno],0))</f>
        <v>0</v>
      </c>
      <c r="AL873" s="16" t="b">
        <f>COUNTIFS(stable[qno],questions[[#This Row],[qno]])=1</f>
        <v>1</v>
      </c>
      <c r="AM873" s="16" t="b">
        <f>OR(questions[[#This Row],[is_fixed]],questions[[#This Row],[is_localized]],questions[[#This Row],[is_supply_chain_dependent]])</f>
        <v>1</v>
      </c>
      <c r="AN873" s="16" t="b">
        <f>COUNTIFS(questions[[#This Row],[is_automated]:[is_multi_select]],TRUE)=1</f>
        <v>1</v>
      </c>
      <c r="AO873" s="16" t="b">
        <f>IF(questions[[#This Row],[is_fixed]],questions[[#This Row],[question]]=INDEX(stable[question],MATCH(questions[[#This Row],[qno]],stable[qno],0)),TRUE)</f>
        <v>1</v>
      </c>
      <c r="AP873" s="16" t="str">
        <f>LEFT(questions[[#This Row],[question]],similarity_range)</f>
        <v xml:space="preserve">What type of mulch? </v>
      </c>
      <c r="AQ873" s="16" t="str">
        <f>LEFT(INDEX(stable[question],MATCH(questions[[#This Row],[qno]],stable[qno],0)),similarity_range)</f>
        <v xml:space="preserve">What type of mulch? </v>
      </c>
      <c r="AR873" s="16" t="b">
        <f>questions[[#This Row],[question_first_characters]]=questions[[#This Row],[stability_first_characters]]</f>
        <v>1</v>
      </c>
      <c r="AS873" s="16" t="b">
        <f>IF(OR(questions[[#This Row],[is_single_select]],questions[[#This Row],[is_multi_select]]),NOT(ISBLANK(questions[[#This Row],[answer_opt_combined]])),TRUE)</f>
        <v>1</v>
      </c>
    </row>
    <row r="874" spans="1:45" ht="15.75" customHeight="1" x14ac:dyDescent="0.25">
      <c r="A874" s="9" t="str">
        <f>_xlfn.TEXTJOIN("_",TRUE,questions[[#This Row],[origin]:[qno]])</f>
        <v>Uganda_Robusta_Nespresso_5502</v>
      </c>
      <c r="B874" s="9" t="s">
        <v>511</v>
      </c>
      <c r="C874" s="9" t="s">
        <v>674</v>
      </c>
      <c r="D874" s="9" t="s">
        <v>864</v>
      </c>
      <c r="F874" s="24" t="s">
        <v>201</v>
      </c>
      <c r="G874" s="15" t="s">
        <v>202</v>
      </c>
      <c r="H874" s="9" t="str" cm="1">
        <f t="array" ref="H874">INDEX(stableR[question],MATCH(VALUE(questions[[#This Row],[qno]]),VALUE(stableR[qno]),0))</f>
        <v>What was the total quantity of mulch that you used? (Kg)</v>
      </c>
      <c r="I874" s="9" t="b" cm="1">
        <f t="array" ref="I874">INDEX(stable[is_fixed],MATCH(VALUE(questions[[#This Row],[qno]]),VALUE(stable[qno]),0))</f>
        <v>1</v>
      </c>
      <c r="J874" s="9" t="b" cm="1">
        <f t="array" ref="J874">INDEX(stable[is_localized],MATCH(VALUE(questions[[#This Row],[qno]]),VALUE(stable[qno]),0))</f>
        <v>0</v>
      </c>
      <c r="K874" s="9" t="b" cm="1">
        <f t="array" ref="K874">INDEX(stable[is_supply_chain_dependent],MATCH(VALUE(questions[[#This Row],[qno]]),VALUE(stable[qno]),0))</f>
        <v>0</v>
      </c>
      <c r="L874" s="9" t="b" cm="1">
        <f t="array" ref="L874">INDEX(stable[is_mandatory],MATCH(VALUE(questions[[#This Row],[qno]]),VALUE(stable[qno]),0))</f>
        <v>0</v>
      </c>
      <c r="M874" s="9" t="b" cm="1">
        <f t="array" ref="M874">INDEX(stable[is_automated],MATCH(VALUE(questions[[#This Row],[qno]]),VALUE(stable[qno]),0))</f>
        <v>0</v>
      </c>
      <c r="N874" s="9" t="b" cm="1">
        <f t="array" ref="N874">INDEX(stable[is_free_text],MATCH(VALUE(questions[[#This Row],[qno]]),VALUE(stable[qno]),0))</f>
        <v>0</v>
      </c>
      <c r="O874" s="9" t="b" cm="1">
        <f t="array" ref="O874">INDEX(stable[is_numerical],MATCH(VALUE(questions[[#This Row],[qno]]),VALUE(stable[qno]),0))</f>
        <v>1</v>
      </c>
      <c r="P874" s="9" t="b" cm="1">
        <f t="array" ref="P874">INDEX(stable[is_single_select],MATCH(VALUE(questions[[#This Row],[qno]]),VALUE(stable[qno]),0))</f>
        <v>0</v>
      </c>
      <c r="Q874" s="9" t="b" cm="1">
        <f t="array" ref="Q874">INDEX(stable[is_multi_select],MATCH(VALUE(questions[[#This Row],[qno]]),VALUE(stable[qno]),0))</f>
        <v>0</v>
      </c>
      <c r="R874" s="9" t="b" cm="1">
        <f t="array" ref="R874">INDEX(stable[is_skip_logic],MATCH(VALUE(questions[[#This Row],[qno]]),VALUE(stable[qno]),0))</f>
        <v>1</v>
      </c>
      <c r="S874" s="9" t="str">
        <f>_xlfn.TEXTJOIN(", ",TRUE,questions[[#This Row],[ans_opt_1]:[ans_opt_14]])</f>
        <v/>
      </c>
      <c r="AH874" s="16" t="b">
        <f>INDEX(stable[q_standard],MATCH(questions[[#This Row],[qno]],stable[qno],0))</f>
        <v>0</v>
      </c>
      <c r="AI874" s="16" t="b">
        <f>INDEX(stable[q_living_income],MATCH(questions[[#This Row],[qno]],stable[qno],0))</f>
        <v>1</v>
      </c>
      <c r="AJ874" s="16" t="b">
        <f>INDEX(stable[q_carbon],MATCH(questions[[#This Row],[qno]],stable[qno],0))</f>
        <v>1</v>
      </c>
      <c r="AK874" s="16" t="b">
        <f>INDEX(stable[q_regen_ag],MATCH(questions[[#This Row],[qno]],stable[qno],0))</f>
        <v>0</v>
      </c>
      <c r="AL874" s="16" t="b">
        <f>COUNTIFS(stable[qno],questions[[#This Row],[qno]])=1</f>
        <v>1</v>
      </c>
      <c r="AM874" s="16" t="b">
        <f>OR(questions[[#This Row],[is_fixed]],questions[[#This Row],[is_localized]],questions[[#This Row],[is_supply_chain_dependent]])</f>
        <v>1</v>
      </c>
      <c r="AN874" s="16" t="b">
        <f>COUNTIFS(questions[[#This Row],[is_automated]:[is_multi_select]],TRUE)=1</f>
        <v>1</v>
      </c>
      <c r="AO874" s="16" t="b">
        <f>IF(questions[[#This Row],[is_fixed]],questions[[#This Row],[question]]=INDEX(stable[question],MATCH(questions[[#This Row],[qno]],stable[qno],0)),TRUE)</f>
        <v>0</v>
      </c>
      <c r="AP874" s="16" t="str">
        <f>LEFT(questions[[#This Row],[question]],similarity_range)</f>
        <v>What was the total q</v>
      </c>
      <c r="AQ874" s="16" t="str">
        <f>LEFT(INDEX(stable[question],MATCH(questions[[#This Row],[qno]],stable[qno],0)),similarity_range)</f>
        <v>What was the total q</v>
      </c>
      <c r="AR874" s="16" t="b">
        <f>questions[[#This Row],[question_first_characters]]=questions[[#This Row],[stability_first_characters]]</f>
        <v>1</v>
      </c>
      <c r="AS874" s="16" t="b">
        <f>IF(OR(questions[[#This Row],[is_single_select]],questions[[#This Row],[is_multi_select]]),NOT(ISBLANK(questions[[#This Row],[answer_opt_combined]])),TRUE)</f>
        <v>1</v>
      </c>
    </row>
    <row r="875" spans="1:45" ht="15.75" customHeight="1" x14ac:dyDescent="0.25">
      <c r="A875" s="9" t="str">
        <f>_xlfn.TEXTJOIN("_",TRUE,questions[[#This Row],[origin]:[qno]])</f>
        <v>Uganda_Robusta_Nespresso_5503</v>
      </c>
      <c r="B875" s="9" t="s">
        <v>511</v>
      </c>
      <c r="C875" s="9" t="s">
        <v>674</v>
      </c>
      <c r="D875" s="9" t="s">
        <v>864</v>
      </c>
      <c r="F875" s="24" t="s">
        <v>203</v>
      </c>
      <c r="G875" s="214" t="s">
        <v>844</v>
      </c>
      <c r="H875" s="9" t="str" cm="1">
        <f t="array" ref="H875">INDEX(stableR[question],MATCH(VALUE(questions[[#This Row],[qno]]),VALUE(stableR[qno]),0))</f>
        <v>What was the unit, for the mulch used (kg, basins, bags, wheel barrows, small truck/tipper, large truck)</v>
      </c>
      <c r="I875" s="9" t="b" cm="1">
        <f t="array" ref="I875">INDEX(stable[is_fixed],MATCH(VALUE(questions[[#This Row],[qno]]),VALUE(stable[qno]),0))</f>
        <v>1</v>
      </c>
      <c r="J875" s="9" t="b" cm="1">
        <f t="array" ref="J875">INDEX(stable[is_localized],MATCH(VALUE(questions[[#This Row],[qno]]),VALUE(stable[qno]),0))</f>
        <v>0</v>
      </c>
      <c r="K875" s="9" t="b" cm="1">
        <f t="array" ref="K875">INDEX(stable[is_supply_chain_dependent],MATCH(VALUE(questions[[#This Row],[qno]]),VALUE(stable[qno]),0))</f>
        <v>0</v>
      </c>
      <c r="L875" s="9" t="b" cm="1">
        <f t="array" ref="L875">INDEX(stable[is_mandatory],MATCH(VALUE(questions[[#This Row],[qno]]),VALUE(stable[qno]),0))</f>
        <v>0</v>
      </c>
      <c r="M875" s="9" t="b" cm="1">
        <f t="array" ref="M875">INDEX(stable[is_automated],MATCH(VALUE(questions[[#This Row],[qno]]),VALUE(stable[qno]),0))</f>
        <v>0</v>
      </c>
      <c r="N875" s="9" t="b" cm="1">
        <f t="array" ref="N875">INDEX(stable[is_free_text],MATCH(VALUE(questions[[#This Row],[qno]]),VALUE(stable[qno]),0))</f>
        <v>1</v>
      </c>
      <c r="O875" s="9" t="b" cm="1">
        <f t="array" ref="O875">INDEX(stable[is_numerical],MATCH(VALUE(questions[[#This Row],[qno]]),VALUE(stable[qno]),0))</f>
        <v>0</v>
      </c>
      <c r="P875" s="9" t="b" cm="1">
        <f t="array" ref="P875">INDEX(stable[is_single_select],MATCH(VALUE(questions[[#This Row],[qno]]),VALUE(stable[qno]),0))</f>
        <v>0</v>
      </c>
      <c r="Q875" s="9" t="b" cm="1">
        <f t="array" ref="Q875">INDEX(stable[is_multi_select],MATCH(VALUE(questions[[#This Row],[qno]]),VALUE(stable[qno]),0))</f>
        <v>0</v>
      </c>
      <c r="R875" s="9" t="b" cm="1">
        <f t="array" ref="R875">INDEX(stable[is_skip_logic],MATCH(VALUE(questions[[#This Row],[qno]]),VALUE(stable[qno]),0))</f>
        <v>1</v>
      </c>
      <c r="S875" s="9" t="str">
        <f>_xlfn.TEXTJOIN(", ",TRUE,questions[[#This Row],[ans_opt_1]:[ans_opt_14]])</f>
        <v/>
      </c>
      <c r="AH875" s="16" t="b">
        <f>INDEX(stable[q_standard],MATCH(questions[[#This Row],[qno]],stable[qno],0))</f>
        <v>0</v>
      </c>
      <c r="AI875" s="16" t="b">
        <f>INDEX(stable[q_living_income],MATCH(questions[[#This Row],[qno]],stable[qno],0))</f>
        <v>1</v>
      </c>
      <c r="AJ875" s="16" t="b">
        <f>INDEX(stable[q_carbon],MATCH(questions[[#This Row],[qno]],stable[qno],0))</f>
        <v>1</v>
      </c>
      <c r="AK875" s="16" t="b">
        <f>INDEX(stable[q_regen_ag],MATCH(questions[[#This Row],[qno]],stable[qno],0))</f>
        <v>0</v>
      </c>
      <c r="AL875" s="16" t="b">
        <f>COUNTIFS(stable[qno],questions[[#This Row],[qno]])=1</f>
        <v>1</v>
      </c>
      <c r="AM875" s="16" t="b">
        <f>OR(questions[[#This Row],[is_fixed]],questions[[#This Row],[is_localized]],questions[[#This Row],[is_supply_chain_dependent]])</f>
        <v>1</v>
      </c>
      <c r="AN875" s="16" t="b">
        <f>COUNTIFS(questions[[#This Row],[is_automated]:[is_multi_select]],TRUE)=1</f>
        <v>1</v>
      </c>
      <c r="AO875" s="16" t="b">
        <f>IF(questions[[#This Row],[is_fixed]],questions[[#This Row],[question]]=INDEX(stable[question],MATCH(questions[[#This Row],[qno]],stable[qno],0)),TRUE)</f>
        <v>0</v>
      </c>
      <c r="AP875" s="16" t="str">
        <f>LEFT(questions[[#This Row],[question]],similarity_range)</f>
        <v>What was the unit, f</v>
      </c>
      <c r="AQ875" s="16" t="str">
        <f>LEFT(INDEX(stable[question],MATCH(questions[[#This Row],[qno]],stable[qno],0)),similarity_range)</f>
        <v>What was the unit, f</v>
      </c>
      <c r="AR875" s="16" t="b">
        <f>questions[[#This Row],[question_first_characters]]=questions[[#This Row],[stability_first_characters]]</f>
        <v>1</v>
      </c>
      <c r="AS875" s="16" t="b">
        <f>IF(OR(questions[[#This Row],[is_single_select]],questions[[#This Row],[is_multi_select]]),NOT(ISBLANK(questions[[#This Row],[answer_opt_combined]])),TRUE)</f>
        <v>1</v>
      </c>
    </row>
    <row r="876" spans="1:45" s="77" customFormat="1" ht="15.75" customHeight="1" x14ac:dyDescent="0.25">
      <c r="A876" s="77" t="str">
        <f>_xlfn.TEXTJOIN("_",TRUE,questions[[#This Row],[origin]:[qno]])</f>
        <v>Uganda_Robusta_Nespresso_5504</v>
      </c>
      <c r="B876" s="77" t="s">
        <v>511</v>
      </c>
      <c r="C876" s="77" t="s">
        <v>674</v>
      </c>
      <c r="D876" s="77" t="s">
        <v>864</v>
      </c>
      <c r="F876" s="104" t="s">
        <v>205</v>
      </c>
      <c r="G876" s="78" t="s">
        <v>206</v>
      </c>
      <c r="H876" s="9" t="str" cm="1">
        <f t="array" ref="H876">INDEX(stableR[question],MATCH(VALUE(questions[[#This Row],[qno]]),VALUE(stableR[qno]),0))</f>
        <v>From where was this mulch sourced?</v>
      </c>
      <c r="I876" s="9" t="b" cm="1">
        <f t="array" ref="I876">INDEX(stable[is_fixed],MATCH(VALUE(questions[[#This Row],[qno]]),VALUE(stable[qno]),0))</f>
        <v>1</v>
      </c>
      <c r="J876" s="9" t="b" cm="1">
        <f t="array" ref="J876">INDEX(stable[is_localized],MATCH(VALUE(questions[[#This Row],[qno]]),VALUE(stable[qno]),0))</f>
        <v>0</v>
      </c>
      <c r="K876" s="9" t="b" cm="1">
        <f t="array" ref="K876">INDEX(stable[is_supply_chain_dependent],MATCH(VALUE(questions[[#This Row],[qno]]),VALUE(stable[qno]),0))</f>
        <v>0</v>
      </c>
      <c r="L876" s="9" t="b" cm="1">
        <f t="array" ref="L876">INDEX(stable[is_mandatory],MATCH(VALUE(questions[[#This Row],[qno]]),VALUE(stable[qno]),0))</f>
        <v>0</v>
      </c>
      <c r="M876" s="9" t="b" cm="1">
        <f t="array" ref="M876">INDEX(stable[is_automated],MATCH(VALUE(questions[[#This Row],[qno]]),VALUE(stable[qno]),0))</f>
        <v>0</v>
      </c>
      <c r="N876" s="9" t="b" cm="1">
        <f t="array" ref="N876">INDEX(stable[is_free_text],MATCH(VALUE(questions[[#This Row],[qno]]),VALUE(stable[qno]),0))</f>
        <v>0</v>
      </c>
      <c r="O876" s="9" t="b" cm="1">
        <f t="array" ref="O876">INDEX(stable[is_numerical],MATCH(VALUE(questions[[#This Row],[qno]]),VALUE(stable[qno]),0))</f>
        <v>0</v>
      </c>
      <c r="P876" s="77" t="b" cm="1">
        <f t="array" ref="P876">INDEX(stable[is_single_select],MATCH(VALUE(questions[[#This Row],[qno]]),VALUE(stable[qno]),0))</f>
        <v>1</v>
      </c>
      <c r="Q876" s="77" t="b" cm="1">
        <f t="array" ref="Q876">INDEX(stable[is_multi_select],MATCH(VALUE(questions[[#This Row],[qno]]),VALUE(stable[qno]),0))</f>
        <v>0</v>
      </c>
      <c r="R876" s="77" t="b" cm="1">
        <f t="array" ref="R876">INDEX(stable[is_skip_logic],MATCH(VALUE(questions[[#This Row],[qno]]),VALUE(stable[qno]),0))</f>
        <v>1</v>
      </c>
      <c r="S876" s="77" t="str">
        <f>_xlfn.TEXTJOIN(", ",TRUE,questions[[#This Row],[ans_opt_1]:[ans_opt_14]])</f>
        <v>Outside the coffee plot, Inside the coffee plot, Both from inside and outside the coffee plot</v>
      </c>
      <c r="T876" s="77" t="s">
        <v>207</v>
      </c>
      <c r="U876" s="77" t="s">
        <v>208</v>
      </c>
      <c r="V876" s="77" t="s">
        <v>209</v>
      </c>
      <c r="AH876" s="98" t="b">
        <f>INDEX(stable[q_standard],MATCH(questions[[#This Row],[qno]],stable[qno],0))</f>
        <v>0</v>
      </c>
      <c r="AI876" s="98" t="b">
        <f>INDEX(stable[q_living_income],MATCH(questions[[#This Row],[qno]],stable[qno],0))</f>
        <v>1</v>
      </c>
      <c r="AJ876" s="98" t="b">
        <f>INDEX(stable[q_carbon],MATCH(questions[[#This Row],[qno]],stable[qno],0))</f>
        <v>1</v>
      </c>
      <c r="AK876" s="98" t="b">
        <f>INDEX(stable[q_regen_ag],MATCH(questions[[#This Row],[qno]],stable[qno],0))</f>
        <v>0</v>
      </c>
      <c r="AL876" s="98" t="b">
        <f>COUNTIFS(stable[qno],questions[[#This Row],[qno]])=1</f>
        <v>1</v>
      </c>
      <c r="AM876" s="98" t="b">
        <f>OR(questions[[#This Row],[is_fixed]],questions[[#This Row],[is_localized]],questions[[#This Row],[is_supply_chain_dependent]])</f>
        <v>1</v>
      </c>
      <c r="AN876" s="98" t="b">
        <f>COUNTIFS(questions[[#This Row],[is_automated]:[is_multi_select]],TRUE)=1</f>
        <v>1</v>
      </c>
      <c r="AO876" s="98" t="b">
        <f>IF(questions[[#This Row],[is_fixed]],questions[[#This Row],[question]]=INDEX(stable[question],MATCH(questions[[#This Row],[qno]],stable[qno],0)),TRUE)</f>
        <v>0</v>
      </c>
      <c r="AP876" s="98" t="str">
        <f>LEFT(questions[[#This Row],[question]],similarity_range)</f>
        <v xml:space="preserve">From where was this </v>
      </c>
      <c r="AQ876" s="98" t="str">
        <f>LEFT(INDEX(stable[question],MATCH(questions[[#This Row],[qno]],stable[qno],0)),similarity_range)</f>
        <v xml:space="preserve">From where was this </v>
      </c>
      <c r="AR876" s="98" t="b">
        <f>questions[[#This Row],[question_first_characters]]=questions[[#This Row],[stability_first_characters]]</f>
        <v>1</v>
      </c>
      <c r="AS876" s="98" t="b">
        <f>IF(OR(questions[[#This Row],[is_single_select]],questions[[#This Row],[is_multi_select]]),NOT(ISBLANK(questions[[#This Row],[answer_opt_combined]])),TRUE)</f>
        <v>1</v>
      </c>
    </row>
    <row r="877" spans="1:45" s="77" customFormat="1" ht="15.75" customHeight="1" x14ac:dyDescent="0.25">
      <c r="A877" s="77" t="str">
        <f>_xlfn.TEXTJOIN("_",TRUE,questions[[#This Row],[origin]:[qno]])</f>
        <v>Uganda_Robusta_Nespresso_5505</v>
      </c>
      <c r="B877" s="77" t="s">
        <v>511</v>
      </c>
      <c r="C877" s="77" t="s">
        <v>674</v>
      </c>
      <c r="D877" s="77" t="s">
        <v>864</v>
      </c>
      <c r="F877" s="104" t="s">
        <v>210</v>
      </c>
      <c r="G877" s="78" t="s">
        <v>211</v>
      </c>
      <c r="H877" s="9" t="str" cm="1">
        <f t="array" ref="H877">INDEX(stableR[question],MATCH(VALUE(questions[[#This Row],[qno]]),VALUE(stableR[qno]),0))</f>
        <v>If it was from outside the coffee plot, did you buy this mulch, or did it come from your own farm?</v>
      </c>
      <c r="I877" s="9" t="b" cm="1">
        <f t="array" ref="I877">INDEX(stable[is_fixed],MATCH(VALUE(questions[[#This Row],[qno]]),VALUE(stable[qno]),0))</f>
        <v>1</v>
      </c>
      <c r="J877" s="9" t="b" cm="1">
        <f t="array" ref="J877">INDEX(stable[is_localized],MATCH(VALUE(questions[[#This Row],[qno]]),VALUE(stable[qno]),0))</f>
        <v>0</v>
      </c>
      <c r="K877" s="9" t="b" cm="1">
        <f t="array" ref="K877">INDEX(stable[is_supply_chain_dependent],MATCH(VALUE(questions[[#This Row],[qno]]),VALUE(stable[qno]),0))</f>
        <v>0</v>
      </c>
      <c r="L877" s="9" t="b" cm="1">
        <f t="array" ref="L877">INDEX(stable[is_mandatory],MATCH(VALUE(questions[[#This Row],[qno]]),VALUE(stable[qno]),0))</f>
        <v>0</v>
      </c>
      <c r="M877" s="9" t="b" cm="1">
        <f t="array" ref="M877">INDEX(stable[is_automated],MATCH(VALUE(questions[[#This Row],[qno]]),VALUE(stable[qno]),0))</f>
        <v>0</v>
      </c>
      <c r="N877" s="9" t="b" cm="1">
        <f t="array" ref="N877">INDEX(stable[is_free_text],MATCH(VALUE(questions[[#This Row],[qno]]),VALUE(stable[qno]),0))</f>
        <v>0</v>
      </c>
      <c r="O877" s="9" t="b" cm="1">
        <f t="array" ref="O877">INDEX(stable[is_numerical],MATCH(VALUE(questions[[#This Row],[qno]]),VALUE(stable[qno]),0))</f>
        <v>0</v>
      </c>
      <c r="P877" s="77" t="b" cm="1">
        <f t="array" ref="P877">INDEX(stable[is_single_select],MATCH(VALUE(questions[[#This Row],[qno]]),VALUE(stable[qno]),0))</f>
        <v>1</v>
      </c>
      <c r="Q877" s="77" t="b" cm="1">
        <f t="array" ref="Q877">INDEX(stable[is_multi_select],MATCH(VALUE(questions[[#This Row],[qno]]),VALUE(stable[qno]),0))</f>
        <v>0</v>
      </c>
      <c r="R877" s="77" t="b" cm="1">
        <f t="array" ref="R877">INDEX(stable[is_skip_logic],MATCH(VALUE(questions[[#This Row],[qno]]),VALUE(stable[qno]),0))</f>
        <v>1</v>
      </c>
      <c r="S877" s="77" t="str">
        <f>_xlfn.TEXTJOIN(", ",TRUE,questions[[#This Row],[ans_opt_1]:[ans_opt_14]])</f>
        <v>Bought, From own farm, Received for free, Both from own farm &amp; bought/received from outside the farm</v>
      </c>
      <c r="T877" s="77" t="s">
        <v>185</v>
      </c>
      <c r="U877" s="77" t="s">
        <v>186</v>
      </c>
      <c r="V877" s="77" t="s">
        <v>187</v>
      </c>
      <c r="W877" s="77" t="s">
        <v>188</v>
      </c>
      <c r="AH877" s="98" t="b">
        <f>INDEX(stable[q_standard],MATCH(questions[[#This Row],[qno]],stable[qno],0))</f>
        <v>0</v>
      </c>
      <c r="AI877" s="98" t="b">
        <f>INDEX(stable[q_living_income],MATCH(questions[[#This Row],[qno]],stable[qno],0))</f>
        <v>1</v>
      </c>
      <c r="AJ877" s="98" t="b">
        <f>INDEX(stable[q_carbon],MATCH(questions[[#This Row],[qno]],stable[qno],0))</f>
        <v>1</v>
      </c>
      <c r="AK877" s="98" t="b">
        <f>INDEX(stable[q_regen_ag],MATCH(questions[[#This Row],[qno]],stable[qno],0))</f>
        <v>0</v>
      </c>
      <c r="AL877" s="98" t="b">
        <f>COUNTIFS(stable[qno],questions[[#This Row],[qno]])=1</f>
        <v>1</v>
      </c>
      <c r="AM877" s="98" t="b">
        <f>OR(questions[[#This Row],[is_fixed]],questions[[#This Row],[is_localized]],questions[[#This Row],[is_supply_chain_dependent]])</f>
        <v>1</v>
      </c>
      <c r="AN877" s="98" t="b">
        <f>COUNTIFS(questions[[#This Row],[is_automated]:[is_multi_select]],TRUE)=1</f>
        <v>1</v>
      </c>
      <c r="AO877" s="98" t="b">
        <f>IF(questions[[#This Row],[is_fixed]],questions[[#This Row],[question]]=INDEX(stable[question],MATCH(questions[[#This Row],[qno]],stable[qno],0)),TRUE)</f>
        <v>0</v>
      </c>
      <c r="AP877" s="98" t="str">
        <f>LEFT(questions[[#This Row],[question]],similarity_range)</f>
        <v>If it was from outsi</v>
      </c>
      <c r="AQ877" s="98" t="str">
        <f>LEFT(INDEX(stable[question],MATCH(questions[[#This Row],[qno]],stable[qno],0)),similarity_range)</f>
        <v>If it was from outsi</v>
      </c>
      <c r="AR877" s="98" t="b">
        <f>questions[[#This Row],[question_first_characters]]=questions[[#This Row],[stability_first_characters]]</f>
        <v>1</v>
      </c>
      <c r="AS877" s="98" t="b">
        <f>IF(OR(questions[[#This Row],[is_single_select]],questions[[#This Row],[is_multi_select]]),NOT(ISBLANK(questions[[#This Row],[answer_opt_combined]])),TRUE)</f>
        <v>1</v>
      </c>
    </row>
    <row r="878" spans="1:45" s="77" customFormat="1" ht="15.75" customHeight="1" x14ac:dyDescent="0.25">
      <c r="A878" s="77" t="str">
        <f>_xlfn.TEXTJOIN("_",TRUE,questions[[#This Row],[origin]:[qno]])</f>
        <v>Uganda_Robusta_Nespresso_5600</v>
      </c>
      <c r="B878" s="77" t="s">
        <v>511</v>
      </c>
      <c r="C878" s="77" t="s">
        <v>674</v>
      </c>
      <c r="D878" s="77" t="s">
        <v>864</v>
      </c>
      <c r="F878" s="104" t="s">
        <v>212</v>
      </c>
      <c r="G878" s="78" t="s">
        <v>213</v>
      </c>
      <c r="H878" s="9" t="str" cm="1">
        <f t="array" ref="H878">INDEX(stableR[question],MATCH(VALUE(questions[[#This Row],[qno]]),VALUE(stableR[qno]),0))</f>
        <v xml:space="preserve">Did you use pesticides, fungicides or herbicides for your coffee last year? </v>
      </c>
      <c r="I878" s="9" t="b" cm="1">
        <f t="array" ref="I878">INDEX(stable[is_fixed],MATCH(VALUE(questions[[#This Row],[qno]]),VALUE(stable[qno]),0))</f>
        <v>1</v>
      </c>
      <c r="J878" s="9" t="b" cm="1">
        <f t="array" ref="J878">INDEX(stable[is_localized],MATCH(VALUE(questions[[#This Row],[qno]]),VALUE(stable[qno]),0))</f>
        <v>0</v>
      </c>
      <c r="K878" s="9" t="b" cm="1">
        <f t="array" ref="K878">INDEX(stable[is_supply_chain_dependent],MATCH(VALUE(questions[[#This Row],[qno]]),VALUE(stable[qno]),0))</f>
        <v>0</v>
      </c>
      <c r="L878" s="9" t="b" cm="1">
        <f t="array" ref="L878">INDEX(stable[is_mandatory],MATCH(VALUE(questions[[#This Row],[qno]]),VALUE(stable[qno]),0))</f>
        <v>1</v>
      </c>
      <c r="M878" s="9" t="b" cm="1">
        <f t="array" ref="M878">INDEX(stable[is_automated],MATCH(VALUE(questions[[#This Row],[qno]]),VALUE(stable[qno]),0))</f>
        <v>0</v>
      </c>
      <c r="N878" s="9" t="b" cm="1">
        <f t="array" ref="N878">INDEX(stable[is_free_text],MATCH(VALUE(questions[[#This Row],[qno]]),VALUE(stable[qno]),0))</f>
        <v>0</v>
      </c>
      <c r="O878" s="9" t="b" cm="1">
        <f t="array" ref="O878">INDEX(stable[is_numerical],MATCH(VALUE(questions[[#This Row],[qno]]),VALUE(stable[qno]),0))</f>
        <v>0</v>
      </c>
      <c r="P878" s="77" t="b" cm="1">
        <f t="array" ref="P878">INDEX(stable[is_single_select],MATCH(VALUE(questions[[#This Row],[qno]]),VALUE(stable[qno]),0))</f>
        <v>1</v>
      </c>
      <c r="Q878" s="77" t="b" cm="1">
        <f t="array" ref="Q878">INDEX(stable[is_multi_select],MATCH(VALUE(questions[[#This Row],[qno]]),VALUE(stable[qno]),0))</f>
        <v>0</v>
      </c>
      <c r="R878" s="77" t="b" cm="1">
        <f t="array" ref="R878">INDEX(stable[is_skip_logic],MATCH(VALUE(questions[[#This Row],[qno]]),VALUE(stable[qno]),0))</f>
        <v>1</v>
      </c>
      <c r="S878" s="77" t="str">
        <f>_xlfn.TEXTJOIN(", ",TRUE,questions[[#This Row],[ans_opt_1]:[ans_opt_14]])</f>
        <v>Yes, No</v>
      </c>
      <c r="T878" s="77" t="s">
        <v>149</v>
      </c>
      <c r="U878" s="77" t="s">
        <v>119</v>
      </c>
      <c r="AH878" s="98" t="b">
        <f>INDEX(stable[q_standard],MATCH(questions[[#This Row],[qno]],stable[qno],0))</f>
        <v>0</v>
      </c>
      <c r="AI878" s="98" t="b">
        <f>INDEX(stable[q_living_income],MATCH(questions[[#This Row],[qno]],stable[qno],0))</f>
        <v>1</v>
      </c>
      <c r="AJ878" s="98" t="b">
        <f>INDEX(stable[q_carbon],MATCH(questions[[#This Row],[qno]],stable[qno],0))</f>
        <v>1</v>
      </c>
      <c r="AK878" s="98" t="b">
        <f>INDEX(stable[q_regen_ag],MATCH(questions[[#This Row],[qno]],stable[qno],0))</f>
        <v>0</v>
      </c>
      <c r="AL878" s="98" t="b">
        <f>COUNTIFS(stable[qno],questions[[#This Row],[qno]])=1</f>
        <v>1</v>
      </c>
      <c r="AM878" s="98" t="b">
        <f>OR(questions[[#This Row],[is_fixed]],questions[[#This Row],[is_localized]],questions[[#This Row],[is_supply_chain_dependent]])</f>
        <v>1</v>
      </c>
      <c r="AN878" s="98" t="b">
        <f>COUNTIFS(questions[[#This Row],[is_automated]:[is_multi_select]],TRUE)=1</f>
        <v>1</v>
      </c>
      <c r="AO878" s="98" t="b">
        <f>IF(questions[[#This Row],[is_fixed]],questions[[#This Row],[question]]=INDEX(stable[question],MATCH(questions[[#This Row],[qno]],stable[qno],0)),TRUE)</f>
        <v>0</v>
      </c>
      <c r="AP878" s="98" t="str">
        <f>LEFT(questions[[#This Row],[question]],similarity_range)</f>
        <v>Did you use pesticid</v>
      </c>
      <c r="AQ878" s="98" t="str">
        <f>LEFT(INDEX(stable[question],MATCH(questions[[#This Row],[qno]],stable[qno],0)),similarity_range)</f>
        <v>Did you use pesticid</v>
      </c>
      <c r="AR878" s="98" t="b">
        <f>questions[[#This Row],[question_first_characters]]=questions[[#This Row],[stability_first_characters]]</f>
        <v>1</v>
      </c>
      <c r="AS878" s="98" t="b">
        <f>IF(OR(questions[[#This Row],[is_single_select]],questions[[#This Row],[is_multi_select]]),NOT(ISBLANK(questions[[#This Row],[answer_opt_combined]])),TRUE)</f>
        <v>1</v>
      </c>
    </row>
    <row r="879" spans="1:45" ht="15.75" customHeight="1" x14ac:dyDescent="0.25">
      <c r="A879" s="9" t="str">
        <f>_xlfn.TEXTJOIN("_",TRUE,questions[[#This Row],[origin]:[qno]])</f>
        <v>Uganda_Robusta_Nespresso_5601</v>
      </c>
      <c r="B879" s="9" t="s">
        <v>511</v>
      </c>
      <c r="C879" s="9" t="s">
        <v>674</v>
      </c>
      <c r="D879" s="9" t="s">
        <v>864</v>
      </c>
      <c r="F879" s="24" t="s">
        <v>214</v>
      </c>
      <c r="G879" s="15" t="s">
        <v>215</v>
      </c>
      <c r="H879" s="9" t="str" cm="1">
        <f t="array" ref="H879">INDEX(stableR[question],MATCH(VALUE(questions[[#This Row],[qno]]),VALUE(stableR[qno]),0))</f>
        <v xml:space="preserve">If yes, how many types of pesticides, fungicides and/or herbicides did you use last year for your coffee, in total? </v>
      </c>
      <c r="I879" s="9" t="b" cm="1">
        <f t="array" ref="I879">INDEX(stable[is_fixed],MATCH(VALUE(questions[[#This Row],[qno]]),VALUE(stable[qno]),0))</f>
        <v>1</v>
      </c>
      <c r="J879" s="9" t="b" cm="1">
        <f t="array" ref="J879">INDEX(stable[is_localized],MATCH(VALUE(questions[[#This Row],[qno]]),VALUE(stable[qno]),0))</f>
        <v>0</v>
      </c>
      <c r="K879" s="9" t="b" cm="1">
        <f t="array" ref="K879">INDEX(stable[is_supply_chain_dependent],MATCH(VALUE(questions[[#This Row],[qno]]),VALUE(stable[qno]),0))</f>
        <v>0</v>
      </c>
      <c r="L879" s="9" t="b" cm="1">
        <f t="array" ref="L879">INDEX(stable[is_mandatory],MATCH(VALUE(questions[[#This Row],[qno]]),VALUE(stable[qno]),0))</f>
        <v>0</v>
      </c>
      <c r="M879" s="9" t="b" cm="1">
        <f t="array" ref="M879">INDEX(stable[is_automated],MATCH(VALUE(questions[[#This Row],[qno]]),VALUE(stable[qno]),0))</f>
        <v>0</v>
      </c>
      <c r="N879" s="9" t="b" cm="1">
        <f t="array" ref="N879">INDEX(stable[is_free_text],MATCH(VALUE(questions[[#This Row],[qno]]),VALUE(stable[qno]),0))</f>
        <v>0</v>
      </c>
      <c r="O879" s="9" t="b" cm="1">
        <f t="array" ref="O879">INDEX(stable[is_numerical],MATCH(VALUE(questions[[#This Row],[qno]]),VALUE(stable[qno]),0))</f>
        <v>1</v>
      </c>
      <c r="P879" s="9" t="b" cm="1">
        <f t="array" ref="P879">INDEX(stable[is_single_select],MATCH(VALUE(questions[[#This Row],[qno]]),VALUE(stable[qno]),0))</f>
        <v>0</v>
      </c>
      <c r="Q879" s="9" t="b" cm="1">
        <f t="array" ref="Q879">INDEX(stable[is_multi_select],MATCH(VALUE(questions[[#This Row],[qno]]),VALUE(stable[qno]),0))</f>
        <v>0</v>
      </c>
      <c r="R879" s="9" t="b" cm="1">
        <f t="array" ref="R879">INDEX(stable[is_skip_logic],MATCH(VALUE(questions[[#This Row],[qno]]),VALUE(stable[qno]),0))</f>
        <v>1</v>
      </c>
      <c r="S879" s="9" t="str">
        <f>_xlfn.TEXTJOIN(", ",TRUE,questions[[#This Row],[ans_opt_1]:[ans_opt_14]])</f>
        <v/>
      </c>
      <c r="AH879" s="16" t="b">
        <f>INDEX(stable[q_standard],MATCH(questions[[#This Row],[qno]],stable[qno],0))</f>
        <v>0</v>
      </c>
      <c r="AI879" s="16" t="b">
        <f>INDEX(stable[q_living_income],MATCH(questions[[#This Row],[qno]],stable[qno],0))</f>
        <v>1</v>
      </c>
      <c r="AJ879" s="16" t="b">
        <f>INDEX(stable[q_carbon],MATCH(questions[[#This Row],[qno]],stable[qno],0))</f>
        <v>1</v>
      </c>
      <c r="AK879" s="16" t="b">
        <f>INDEX(stable[q_regen_ag],MATCH(questions[[#This Row],[qno]],stable[qno],0))</f>
        <v>0</v>
      </c>
      <c r="AL879" s="16" t="b">
        <f>COUNTIFS(stable[qno],questions[[#This Row],[qno]])=1</f>
        <v>1</v>
      </c>
      <c r="AM879" s="16" t="b">
        <f>OR(questions[[#This Row],[is_fixed]],questions[[#This Row],[is_localized]],questions[[#This Row],[is_supply_chain_dependent]])</f>
        <v>1</v>
      </c>
      <c r="AN879" s="16" t="b">
        <f>COUNTIFS(questions[[#This Row],[is_automated]:[is_multi_select]],TRUE)=1</f>
        <v>1</v>
      </c>
      <c r="AO879" s="16" t="b">
        <f>IF(questions[[#This Row],[is_fixed]],questions[[#This Row],[question]]=INDEX(stable[question],MATCH(questions[[#This Row],[qno]],stable[qno],0)),TRUE)</f>
        <v>0</v>
      </c>
      <c r="AP879" s="16" t="str">
        <f>LEFT(questions[[#This Row],[question]],similarity_range)</f>
        <v>If yes, how many typ</v>
      </c>
      <c r="AQ879" s="16" t="str">
        <f>LEFT(INDEX(stable[question],MATCH(questions[[#This Row],[qno]],stable[qno],0)),similarity_range)</f>
        <v>If yes, how many typ</v>
      </c>
      <c r="AR879" s="16" t="b">
        <f>questions[[#This Row],[question_first_characters]]=questions[[#This Row],[stability_first_characters]]</f>
        <v>1</v>
      </c>
      <c r="AS879" s="16" t="b">
        <f>IF(OR(questions[[#This Row],[is_single_select]],questions[[#This Row],[is_multi_select]]),NOT(ISBLANK(questions[[#This Row],[answer_opt_combined]])),TRUE)</f>
        <v>1</v>
      </c>
    </row>
    <row r="880" spans="1:45" ht="15.75" customHeight="1" x14ac:dyDescent="0.25">
      <c r="A880" s="9" t="str">
        <f>_xlfn.TEXTJOIN("_",TRUE,questions[[#This Row],[origin]:[qno]])</f>
        <v>Uganda_Robusta_Nespresso_5610</v>
      </c>
      <c r="B880" s="9" t="s">
        <v>511</v>
      </c>
      <c r="C880" s="9" t="s">
        <v>674</v>
      </c>
      <c r="D880" s="9" t="s">
        <v>864</v>
      </c>
      <c r="F880" s="24" t="s">
        <v>216</v>
      </c>
      <c r="G880" s="15" t="s">
        <v>892</v>
      </c>
      <c r="H880" s="9" t="str" cm="1">
        <f t="array" ref="H880">INDEX(stableR[question],MATCH(VALUE(questions[[#This Row],[qno]]),VALUE(stableR[qno]),0))</f>
        <v>What was the name of the pesticide/fungicide or herbicide that you used most, last year?</v>
      </c>
      <c r="I880" s="9" t="b" cm="1">
        <f t="array" ref="I880">INDEX(stable[is_fixed],MATCH(VALUE(questions[[#This Row],[qno]]),VALUE(stable[qno]),0))</f>
        <v>1</v>
      </c>
      <c r="J880" s="9" t="b" cm="1">
        <f t="array" ref="J880">INDEX(stable[is_localized],MATCH(VALUE(questions[[#This Row],[qno]]),VALUE(stable[qno]),0))</f>
        <v>0</v>
      </c>
      <c r="K880" s="9" t="b" cm="1">
        <f t="array" ref="K880">INDEX(stable[is_supply_chain_dependent],MATCH(VALUE(questions[[#This Row],[qno]]),VALUE(stable[qno]),0))</f>
        <v>0</v>
      </c>
      <c r="L880" s="9" t="b" cm="1">
        <f t="array" ref="L880">INDEX(stable[is_mandatory],MATCH(VALUE(questions[[#This Row],[qno]]),VALUE(stable[qno]),0))</f>
        <v>0</v>
      </c>
      <c r="M880" s="9" t="b" cm="1">
        <f t="array" ref="M880">INDEX(stable[is_automated],MATCH(VALUE(questions[[#This Row],[qno]]),VALUE(stable[qno]),0))</f>
        <v>0</v>
      </c>
      <c r="N880" s="9" t="b" cm="1">
        <f t="array" ref="N880">INDEX(stable[is_free_text],MATCH(VALUE(questions[[#This Row],[qno]]),VALUE(stable[qno]),0))</f>
        <v>1</v>
      </c>
      <c r="O880" s="9" t="b" cm="1">
        <f t="array" ref="O880">INDEX(stable[is_numerical],MATCH(VALUE(questions[[#This Row],[qno]]),VALUE(stable[qno]),0))</f>
        <v>0</v>
      </c>
      <c r="P880" s="9" t="b" cm="1">
        <f t="array" ref="P880">INDEX(stable[is_single_select],MATCH(VALUE(questions[[#This Row],[qno]]),VALUE(stable[qno]),0))</f>
        <v>0</v>
      </c>
      <c r="Q880" s="9" t="b" cm="1">
        <f t="array" ref="Q880">INDEX(stable[is_multi_select],MATCH(VALUE(questions[[#This Row],[qno]]),VALUE(stable[qno]),0))</f>
        <v>0</v>
      </c>
      <c r="R880" s="9" t="b" cm="1">
        <f t="array" ref="R880">INDEX(stable[is_skip_logic],MATCH(VALUE(questions[[#This Row],[qno]]),VALUE(stable[qno]),0))</f>
        <v>1</v>
      </c>
      <c r="S880" s="9" t="str">
        <f>_xlfn.TEXTJOIN(", ",TRUE,questions[[#This Row],[ans_opt_1]:[ans_opt_14]])</f>
        <v/>
      </c>
      <c r="AH880" s="16" t="b">
        <f>INDEX(stable[q_standard],MATCH(questions[[#This Row],[qno]],stable[qno],0))</f>
        <v>0</v>
      </c>
      <c r="AI880" s="16" t="b">
        <f>INDEX(stable[q_living_income],MATCH(questions[[#This Row],[qno]],stable[qno],0))</f>
        <v>1</v>
      </c>
      <c r="AJ880" s="16" t="b">
        <f>INDEX(stable[q_carbon],MATCH(questions[[#This Row],[qno]],stable[qno],0))</f>
        <v>1</v>
      </c>
      <c r="AK880" s="16" t="b">
        <f>INDEX(stable[q_regen_ag],MATCH(questions[[#This Row],[qno]],stable[qno],0))</f>
        <v>0</v>
      </c>
      <c r="AL880" s="16" t="b">
        <f>COUNTIFS(stable[qno],questions[[#This Row],[qno]])=1</f>
        <v>1</v>
      </c>
      <c r="AM880" s="16" t="b">
        <f>OR(questions[[#This Row],[is_fixed]],questions[[#This Row],[is_localized]],questions[[#This Row],[is_supply_chain_dependent]])</f>
        <v>1</v>
      </c>
      <c r="AN880" s="16" t="b">
        <f>COUNTIFS(questions[[#This Row],[is_automated]:[is_multi_select]],TRUE)=1</f>
        <v>1</v>
      </c>
      <c r="AO880" s="16" t="b">
        <f>IF(questions[[#This Row],[is_fixed]],questions[[#This Row],[question]]=INDEX(stable[question],MATCH(questions[[#This Row],[qno]],stable[qno],0)),TRUE)</f>
        <v>0</v>
      </c>
      <c r="AP880" s="16" t="str">
        <f>LEFT(questions[[#This Row],[question]],similarity_range)</f>
        <v>If yes, what was the</v>
      </c>
      <c r="AQ880" s="16" t="str">
        <f>LEFT(INDEX(stable[question],MATCH(questions[[#This Row],[qno]],stable[qno],0)),similarity_range)</f>
        <v>If yes, what was the</v>
      </c>
      <c r="AR880" s="16" t="b">
        <f>questions[[#This Row],[question_first_characters]]=questions[[#This Row],[stability_first_characters]]</f>
        <v>1</v>
      </c>
      <c r="AS880" s="16" t="b">
        <f>IF(OR(questions[[#This Row],[is_single_select]],questions[[#This Row],[is_multi_select]]),NOT(ISBLANK(questions[[#This Row],[answer_opt_combined]])),TRUE)</f>
        <v>1</v>
      </c>
    </row>
    <row r="881" spans="1:45" ht="15.75" customHeight="1" x14ac:dyDescent="0.25">
      <c r="A881" s="9" t="str">
        <f>_xlfn.TEXTJOIN("_",TRUE,questions[[#This Row],[origin]:[qno]])</f>
        <v>Uganda_Robusta_Nespresso_5611</v>
      </c>
      <c r="B881" s="9" t="s">
        <v>511</v>
      </c>
      <c r="C881" s="9" t="s">
        <v>674</v>
      </c>
      <c r="D881" s="9" t="s">
        <v>864</v>
      </c>
      <c r="F881" s="24" t="s">
        <v>218</v>
      </c>
      <c r="G881" s="15" t="s">
        <v>219</v>
      </c>
      <c r="H881" s="9" t="str" cm="1">
        <f t="array" ref="H881">INDEX(stableR[question],MATCH(VALUE(questions[[#This Row],[qno]]),VALUE(stableR[qno]),0))</f>
        <v>What was the quantity used of this most used pesticide/fungicide/herbicide last year?</v>
      </c>
      <c r="I881" s="9" t="b" cm="1">
        <f t="array" ref="I881">INDEX(stable[is_fixed],MATCH(VALUE(questions[[#This Row],[qno]]),VALUE(stable[qno]),0))</f>
        <v>1</v>
      </c>
      <c r="J881" s="9" t="b" cm="1">
        <f t="array" ref="J881">INDEX(stable[is_localized],MATCH(VALUE(questions[[#This Row],[qno]]),VALUE(stable[qno]),0))</f>
        <v>0</v>
      </c>
      <c r="K881" s="9" t="b" cm="1">
        <f t="array" ref="K881">INDEX(stable[is_supply_chain_dependent],MATCH(VALUE(questions[[#This Row],[qno]]),VALUE(stable[qno]),0))</f>
        <v>0</v>
      </c>
      <c r="L881" s="9" t="b" cm="1">
        <f t="array" ref="L881">INDEX(stable[is_mandatory],MATCH(VALUE(questions[[#This Row],[qno]]),VALUE(stable[qno]),0))</f>
        <v>0</v>
      </c>
      <c r="M881" s="9" t="b" cm="1">
        <f t="array" ref="M881">INDEX(stable[is_automated],MATCH(VALUE(questions[[#This Row],[qno]]),VALUE(stable[qno]),0))</f>
        <v>0</v>
      </c>
      <c r="N881" s="9" t="b" cm="1">
        <f t="array" ref="N881">INDEX(stable[is_free_text],MATCH(VALUE(questions[[#This Row],[qno]]),VALUE(stable[qno]),0))</f>
        <v>0</v>
      </c>
      <c r="O881" s="9" t="b" cm="1">
        <f t="array" ref="O881">INDEX(stable[is_numerical],MATCH(VALUE(questions[[#This Row],[qno]]),VALUE(stable[qno]),0))</f>
        <v>1</v>
      </c>
      <c r="P881" s="9" t="b" cm="1">
        <f t="array" ref="P881">INDEX(stable[is_single_select],MATCH(VALUE(questions[[#This Row],[qno]]),VALUE(stable[qno]),0))</f>
        <v>0</v>
      </c>
      <c r="Q881" s="9" t="b" cm="1">
        <f t="array" ref="Q881">INDEX(stable[is_multi_select],MATCH(VALUE(questions[[#This Row],[qno]]),VALUE(stable[qno]),0))</f>
        <v>0</v>
      </c>
      <c r="R881" s="9" t="b" cm="1">
        <f t="array" ref="R881">INDEX(stable[is_skip_logic],MATCH(VALUE(questions[[#This Row],[qno]]),VALUE(stable[qno]),0))</f>
        <v>1</v>
      </c>
      <c r="S881" s="9" t="str">
        <f>_xlfn.TEXTJOIN(", ",TRUE,questions[[#This Row],[ans_opt_1]:[ans_opt_14]])</f>
        <v/>
      </c>
      <c r="AH881" s="16" t="b">
        <f>INDEX(stable[q_standard],MATCH(questions[[#This Row],[qno]],stable[qno],0))</f>
        <v>0</v>
      </c>
      <c r="AI881" s="16" t="b">
        <f>INDEX(stable[q_living_income],MATCH(questions[[#This Row],[qno]],stable[qno],0))</f>
        <v>1</v>
      </c>
      <c r="AJ881" s="16" t="b">
        <f>INDEX(stable[q_carbon],MATCH(questions[[#This Row],[qno]],stable[qno],0))</f>
        <v>1</v>
      </c>
      <c r="AK881" s="16" t="b">
        <f>INDEX(stable[q_regen_ag],MATCH(questions[[#This Row],[qno]],stable[qno],0))</f>
        <v>0</v>
      </c>
      <c r="AL881" s="16" t="b">
        <f>COUNTIFS(stable[qno],questions[[#This Row],[qno]])=1</f>
        <v>1</v>
      </c>
      <c r="AM881" s="16" t="b">
        <f>OR(questions[[#This Row],[is_fixed]],questions[[#This Row],[is_localized]],questions[[#This Row],[is_supply_chain_dependent]])</f>
        <v>1</v>
      </c>
      <c r="AN881" s="16" t="b">
        <f>COUNTIFS(questions[[#This Row],[is_automated]:[is_multi_select]],TRUE)=1</f>
        <v>1</v>
      </c>
      <c r="AO881" s="16" t="b">
        <f>IF(questions[[#This Row],[is_fixed]],questions[[#This Row],[question]]=INDEX(stable[question],MATCH(questions[[#This Row],[qno]],stable[qno],0)),TRUE)</f>
        <v>1</v>
      </c>
      <c r="AP881" s="16" t="str">
        <f>LEFT(questions[[#This Row],[question]],similarity_range)</f>
        <v>What was the quantit</v>
      </c>
      <c r="AQ881" s="16" t="str">
        <f>LEFT(INDEX(stable[question],MATCH(questions[[#This Row],[qno]],stable[qno],0)),similarity_range)</f>
        <v>What was the quantit</v>
      </c>
      <c r="AR881" s="16" t="b">
        <f>questions[[#This Row],[question_first_characters]]=questions[[#This Row],[stability_first_characters]]</f>
        <v>1</v>
      </c>
      <c r="AS881" s="16" t="b">
        <f>IF(OR(questions[[#This Row],[is_single_select]],questions[[#This Row],[is_multi_select]]),NOT(ISBLANK(questions[[#This Row],[answer_opt_combined]])),TRUE)</f>
        <v>1</v>
      </c>
    </row>
    <row r="882" spans="1:45" s="77" customFormat="1" ht="15.75" customHeight="1" x14ac:dyDescent="0.25">
      <c r="A882" s="77" t="str">
        <f>_xlfn.TEXTJOIN("_",TRUE,questions[[#This Row],[origin]:[qno]])</f>
        <v>Uganda_Robusta_Nespresso_5612</v>
      </c>
      <c r="B882" s="77" t="s">
        <v>511</v>
      </c>
      <c r="C882" s="77" t="s">
        <v>674</v>
      </c>
      <c r="D882" s="77" t="s">
        <v>864</v>
      </c>
      <c r="F882" s="104" t="s">
        <v>220</v>
      </c>
      <c r="G882" s="78" t="s">
        <v>221</v>
      </c>
      <c r="H882" s="9" t="str" cm="1">
        <f t="array" ref="H882">INDEX(stableR[question],MATCH(VALUE(questions[[#This Row],[qno]]),VALUE(stableR[qno]),0))</f>
        <v>What was the unit of this most used pesticide/fungicide/herbicide?</v>
      </c>
      <c r="I882" s="9" t="b" cm="1">
        <f t="array" ref="I882">INDEX(stable[is_fixed],MATCH(VALUE(questions[[#This Row],[qno]]),VALUE(stable[qno]),0))</f>
        <v>1</v>
      </c>
      <c r="J882" s="9" t="b" cm="1">
        <f t="array" ref="J882">INDEX(stable[is_localized],MATCH(VALUE(questions[[#This Row],[qno]]),VALUE(stable[qno]),0))</f>
        <v>0</v>
      </c>
      <c r="K882" s="9" t="b" cm="1">
        <f t="array" ref="K882">INDEX(stable[is_supply_chain_dependent],MATCH(VALUE(questions[[#This Row],[qno]]),VALUE(stable[qno]),0))</f>
        <v>0</v>
      </c>
      <c r="L882" s="9" t="b" cm="1">
        <f t="array" ref="L882">INDEX(stable[is_mandatory],MATCH(VALUE(questions[[#This Row],[qno]]),VALUE(stable[qno]),0))</f>
        <v>0</v>
      </c>
      <c r="M882" s="9" t="b" cm="1">
        <f t="array" ref="M882">INDEX(stable[is_automated],MATCH(VALUE(questions[[#This Row],[qno]]),VALUE(stable[qno]),0))</f>
        <v>0</v>
      </c>
      <c r="N882" s="9" t="b" cm="1">
        <f t="array" ref="N882">INDEX(stable[is_free_text],MATCH(VALUE(questions[[#This Row],[qno]]),VALUE(stable[qno]),0))</f>
        <v>0</v>
      </c>
      <c r="O882" s="9" t="b" cm="1">
        <f t="array" ref="O882">INDEX(stable[is_numerical],MATCH(VALUE(questions[[#This Row],[qno]]),VALUE(stable[qno]),0))</f>
        <v>0</v>
      </c>
      <c r="P882" s="77" t="b" cm="1">
        <f t="array" ref="P882">INDEX(stable[is_single_select],MATCH(VALUE(questions[[#This Row],[qno]]),VALUE(stable[qno]),0))</f>
        <v>1</v>
      </c>
      <c r="Q882" s="77" t="b" cm="1">
        <f t="array" ref="Q882">INDEX(stable[is_multi_select],MATCH(VALUE(questions[[#This Row],[qno]]),VALUE(stable[qno]),0))</f>
        <v>0</v>
      </c>
      <c r="R882" s="77" t="b" cm="1">
        <f t="array" ref="R882">INDEX(stable[is_skip_logic],MATCH(VALUE(questions[[#This Row],[qno]]),VALUE(stable[qno]),0))</f>
        <v>1</v>
      </c>
      <c r="S882" s="77" t="str">
        <f>_xlfn.TEXTJOIN(", ",TRUE,questions[[#This Row],[ans_opt_1]:[ans_opt_14]])</f>
        <v>Kgs, Grams, Liters, Mililiters</v>
      </c>
      <c r="T882" s="77" t="s">
        <v>222</v>
      </c>
      <c r="U882" s="77" t="s">
        <v>223</v>
      </c>
      <c r="V882" s="77" t="s">
        <v>224</v>
      </c>
      <c r="W882" s="77" t="s">
        <v>225</v>
      </c>
      <c r="AH882" s="98" t="b">
        <f>INDEX(stable[q_standard],MATCH(questions[[#This Row],[qno]],stable[qno],0))</f>
        <v>0</v>
      </c>
      <c r="AI882" s="98" t="b">
        <f>INDEX(stable[q_living_income],MATCH(questions[[#This Row],[qno]],stable[qno],0))</f>
        <v>1</v>
      </c>
      <c r="AJ882" s="98" t="b">
        <f>INDEX(stable[q_carbon],MATCH(questions[[#This Row],[qno]],stable[qno],0))</f>
        <v>1</v>
      </c>
      <c r="AK882" s="98" t="b">
        <f>INDEX(stable[q_regen_ag],MATCH(questions[[#This Row],[qno]],stable[qno],0))</f>
        <v>0</v>
      </c>
      <c r="AL882" s="98" t="b">
        <f>COUNTIFS(stable[qno],questions[[#This Row],[qno]])=1</f>
        <v>1</v>
      </c>
      <c r="AM882" s="98" t="b">
        <f>OR(questions[[#This Row],[is_fixed]],questions[[#This Row],[is_localized]],questions[[#This Row],[is_supply_chain_dependent]])</f>
        <v>1</v>
      </c>
      <c r="AN882" s="98" t="b">
        <f>COUNTIFS(questions[[#This Row],[is_automated]:[is_multi_select]],TRUE)=1</f>
        <v>1</v>
      </c>
      <c r="AO882" s="98" t="b">
        <f>IF(questions[[#This Row],[is_fixed]],questions[[#This Row],[question]]=INDEX(stable[question],MATCH(questions[[#This Row],[qno]],stable[qno],0)),TRUE)</f>
        <v>1</v>
      </c>
      <c r="AP882" s="98" t="str">
        <f>LEFT(questions[[#This Row],[question]],similarity_range)</f>
        <v>What was the unit of</v>
      </c>
      <c r="AQ882" s="98" t="str">
        <f>LEFT(INDEX(stable[question],MATCH(questions[[#This Row],[qno]],stable[qno],0)),similarity_range)</f>
        <v>What was the unit of</v>
      </c>
      <c r="AR882" s="98" t="b">
        <f>questions[[#This Row],[question_first_characters]]=questions[[#This Row],[stability_first_characters]]</f>
        <v>1</v>
      </c>
      <c r="AS882" s="98" t="b">
        <f>IF(OR(questions[[#This Row],[is_single_select]],questions[[#This Row],[is_multi_select]]),NOT(ISBLANK(questions[[#This Row],[answer_opt_combined]])),TRUE)</f>
        <v>1</v>
      </c>
    </row>
    <row r="883" spans="1:45" ht="15.75" customHeight="1" x14ac:dyDescent="0.25">
      <c r="A883" s="9" t="str">
        <f>_xlfn.TEXTJOIN("_",TRUE,questions[[#This Row],[origin]:[qno]])</f>
        <v>Uganda_Robusta_Nespresso_5620</v>
      </c>
      <c r="B883" s="9" t="s">
        <v>511</v>
      </c>
      <c r="C883" s="9" t="s">
        <v>674</v>
      </c>
      <c r="D883" s="9" t="s">
        <v>864</v>
      </c>
      <c r="F883" s="24" t="s">
        <v>226</v>
      </c>
      <c r="G883" s="15" t="s">
        <v>773</v>
      </c>
      <c r="H883" s="9" t="str" cm="1">
        <f t="array" ref="H883">INDEX(stableR[question],MATCH(VALUE(questions[[#This Row],[qno]]),VALUE(stableR[qno]),0))</f>
        <v>What was the name of the pesticide/fungicide or herbicide that you used second most, last year?</v>
      </c>
      <c r="I883" s="9" t="b" cm="1">
        <f t="array" ref="I883">INDEX(stable[is_fixed],MATCH(VALUE(questions[[#This Row],[qno]]),VALUE(stable[qno]),0))</f>
        <v>1</v>
      </c>
      <c r="J883" s="9" t="b" cm="1">
        <f t="array" ref="J883">INDEX(stable[is_localized],MATCH(VALUE(questions[[#This Row],[qno]]),VALUE(stable[qno]),0))</f>
        <v>0</v>
      </c>
      <c r="K883" s="9" t="b" cm="1">
        <f t="array" ref="K883">INDEX(stable[is_supply_chain_dependent],MATCH(VALUE(questions[[#This Row],[qno]]),VALUE(stable[qno]),0))</f>
        <v>0</v>
      </c>
      <c r="L883" s="9" t="b" cm="1">
        <f t="array" ref="L883">INDEX(stable[is_mandatory],MATCH(VALUE(questions[[#This Row],[qno]]),VALUE(stable[qno]),0))</f>
        <v>0</v>
      </c>
      <c r="M883" s="9" t="b" cm="1">
        <f t="array" ref="M883">INDEX(stable[is_automated],MATCH(VALUE(questions[[#This Row],[qno]]),VALUE(stable[qno]),0))</f>
        <v>0</v>
      </c>
      <c r="N883" s="9" t="b" cm="1">
        <f t="array" ref="N883">INDEX(stable[is_free_text],MATCH(VALUE(questions[[#This Row],[qno]]),VALUE(stable[qno]),0))</f>
        <v>1</v>
      </c>
      <c r="O883" s="9" t="b" cm="1">
        <f t="array" ref="O883">INDEX(stable[is_numerical],MATCH(VALUE(questions[[#This Row],[qno]]),VALUE(stable[qno]),0))</f>
        <v>0</v>
      </c>
      <c r="P883" s="9" t="b" cm="1">
        <f t="array" ref="P883">INDEX(stable[is_single_select],MATCH(VALUE(questions[[#This Row],[qno]]),VALUE(stable[qno]),0))</f>
        <v>0</v>
      </c>
      <c r="Q883" s="9" t="b" cm="1">
        <f t="array" ref="Q883">INDEX(stable[is_multi_select],MATCH(VALUE(questions[[#This Row],[qno]]),VALUE(stable[qno]),0))</f>
        <v>0</v>
      </c>
      <c r="R883" s="9" t="b" cm="1">
        <f t="array" ref="R883">INDEX(stable[is_skip_logic],MATCH(VALUE(questions[[#This Row],[qno]]),VALUE(stable[qno]),0))</f>
        <v>1</v>
      </c>
      <c r="S883" s="9" t="str">
        <f>_xlfn.TEXTJOIN(", ",TRUE,questions[[#This Row],[ans_opt_1]:[ans_opt_14]])</f>
        <v/>
      </c>
      <c r="AH883" s="16" t="b">
        <f>INDEX(stable[q_standard],MATCH(questions[[#This Row],[qno]],stable[qno],0))</f>
        <v>0</v>
      </c>
      <c r="AI883" s="16" t="b">
        <f>INDEX(stable[q_living_income],MATCH(questions[[#This Row],[qno]],stable[qno],0))</f>
        <v>1</v>
      </c>
      <c r="AJ883" s="16" t="b">
        <f>INDEX(stable[q_carbon],MATCH(questions[[#This Row],[qno]],stable[qno],0))</f>
        <v>1</v>
      </c>
      <c r="AK883" s="16" t="b">
        <f>INDEX(stable[q_regen_ag],MATCH(questions[[#This Row],[qno]],stable[qno],0))</f>
        <v>0</v>
      </c>
      <c r="AL883" s="16" t="b">
        <f>COUNTIFS(stable[qno],questions[[#This Row],[qno]])=1</f>
        <v>1</v>
      </c>
      <c r="AM883" s="16" t="b">
        <f>OR(questions[[#This Row],[is_fixed]],questions[[#This Row],[is_localized]],questions[[#This Row],[is_supply_chain_dependent]])</f>
        <v>1</v>
      </c>
      <c r="AN883" s="16" t="b">
        <f>COUNTIFS(questions[[#This Row],[is_automated]:[is_multi_select]],TRUE)=1</f>
        <v>1</v>
      </c>
      <c r="AO883" s="16" t="b">
        <f>IF(questions[[#This Row],[is_fixed]],questions[[#This Row],[question]]=INDEX(stable[question],MATCH(questions[[#This Row],[qno]],stable[qno],0)),TRUE)</f>
        <v>0</v>
      </c>
      <c r="AP883" s="16" t="str">
        <f>LEFT(questions[[#This Row],[question]],similarity_range)</f>
        <v>If yes, what was the</v>
      </c>
      <c r="AQ883" s="16" t="str">
        <f>LEFT(INDEX(stable[question],MATCH(questions[[#This Row],[qno]],stable[qno],0)),similarity_range)</f>
        <v>If yes, what was the</v>
      </c>
      <c r="AR883" s="16" t="b">
        <f>questions[[#This Row],[question_first_characters]]=questions[[#This Row],[stability_first_characters]]</f>
        <v>1</v>
      </c>
      <c r="AS883" s="16" t="b">
        <f>IF(OR(questions[[#This Row],[is_single_select]],questions[[#This Row],[is_multi_select]]),NOT(ISBLANK(questions[[#This Row],[answer_opt_combined]])),TRUE)</f>
        <v>1</v>
      </c>
    </row>
    <row r="884" spans="1:45" ht="15.75" customHeight="1" x14ac:dyDescent="0.25">
      <c r="A884" s="9" t="str">
        <f>_xlfn.TEXTJOIN("_",TRUE,questions[[#This Row],[origin]:[qno]])</f>
        <v>Uganda_Robusta_Nespresso_5621</v>
      </c>
      <c r="B884" s="9" t="s">
        <v>511</v>
      </c>
      <c r="C884" s="9" t="s">
        <v>674</v>
      </c>
      <c r="D884" s="9" t="s">
        <v>864</v>
      </c>
      <c r="F884" s="24" t="s">
        <v>228</v>
      </c>
      <c r="G884" s="15" t="s">
        <v>229</v>
      </c>
      <c r="H884" s="9" t="str" cm="1">
        <f t="array" ref="H884">INDEX(stableR[question],MATCH(VALUE(questions[[#This Row],[qno]]),VALUE(stableR[qno]),0))</f>
        <v>What was the quantity used of this second most used pesticide/fungicide/herbicide last year?</v>
      </c>
      <c r="I884" s="9" t="b" cm="1">
        <f t="array" ref="I884">INDEX(stable[is_fixed],MATCH(VALUE(questions[[#This Row],[qno]]),VALUE(stable[qno]),0))</f>
        <v>1</v>
      </c>
      <c r="J884" s="9" t="b" cm="1">
        <f t="array" ref="J884">INDEX(stable[is_localized],MATCH(VALUE(questions[[#This Row],[qno]]),VALUE(stable[qno]),0))</f>
        <v>0</v>
      </c>
      <c r="K884" s="9" t="b" cm="1">
        <f t="array" ref="K884">INDEX(stable[is_supply_chain_dependent],MATCH(VALUE(questions[[#This Row],[qno]]),VALUE(stable[qno]),0))</f>
        <v>0</v>
      </c>
      <c r="L884" s="9" t="b" cm="1">
        <f t="array" ref="L884">INDEX(stable[is_mandatory],MATCH(VALUE(questions[[#This Row],[qno]]),VALUE(stable[qno]),0))</f>
        <v>0</v>
      </c>
      <c r="M884" s="9" t="b" cm="1">
        <f t="array" ref="M884">INDEX(stable[is_automated],MATCH(VALUE(questions[[#This Row],[qno]]),VALUE(stable[qno]),0))</f>
        <v>0</v>
      </c>
      <c r="N884" s="9" t="b" cm="1">
        <f t="array" ref="N884">INDEX(stable[is_free_text],MATCH(VALUE(questions[[#This Row],[qno]]),VALUE(stable[qno]),0))</f>
        <v>0</v>
      </c>
      <c r="O884" s="9" t="b" cm="1">
        <f t="array" ref="O884">INDEX(stable[is_numerical],MATCH(VALUE(questions[[#This Row],[qno]]),VALUE(stable[qno]),0))</f>
        <v>1</v>
      </c>
      <c r="P884" s="9" t="b" cm="1">
        <f t="array" ref="P884">INDEX(stable[is_single_select],MATCH(VALUE(questions[[#This Row],[qno]]),VALUE(stable[qno]),0))</f>
        <v>0</v>
      </c>
      <c r="Q884" s="9" t="b" cm="1">
        <f t="array" ref="Q884">INDEX(stable[is_multi_select],MATCH(VALUE(questions[[#This Row],[qno]]),VALUE(stable[qno]),0))</f>
        <v>0</v>
      </c>
      <c r="R884" s="9" t="b" cm="1">
        <f t="array" ref="R884">INDEX(stable[is_skip_logic],MATCH(VALUE(questions[[#This Row],[qno]]),VALUE(stable[qno]),0))</f>
        <v>1</v>
      </c>
      <c r="S884" s="9" t="str">
        <f>_xlfn.TEXTJOIN(", ",TRUE,questions[[#This Row],[ans_opt_1]:[ans_opt_14]])</f>
        <v/>
      </c>
      <c r="AH884" s="16" t="b">
        <f>INDEX(stable[q_standard],MATCH(questions[[#This Row],[qno]],stable[qno],0))</f>
        <v>0</v>
      </c>
      <c r="AI884" s="16" t="b">
        <f>INDEX(stable[q_living_income],MATCH(questions[[#This Row],[qno]],stable[qno],0))</f>
        <v>1</v>
      </c>
      <c r="AJ884" s="16" t="b">
        <f>INDEX(stable[q_carbon],MATCH(questions[[#This Row],[qno]],stable[qno],0))</f>
        <v>1</v>
      </c>
      <c r="AK884" s="16" t="b">
        <f>INDEX(stable[q_regen_ag],MATCH(questions[[#This Row],[qno]],stable[qno],0))</f>
        <v>0</v>
      </c>
      <c r="AL884" s="16" t="b">
        <f>COUNTIFS(stable[qno],questions[[#This Row],[qno]])=1</f>
        <v>1</v>
      </c>
      <c r="AM884" s="16" t="b">
        <f>OR(questions[[#This Row],[is_fixed]],questions[[#This Row],[is_localized]],questions[[#This Row],[is_supply_chain_dependent]])</f>
        <v>1</v>
      </c>
      <c r="AN884" s="16" t="b">
        <f>COUNTIFS(questions[[#This Row],[is_automated]:[is_multi_select]],TRUE)=1</f>
        <v>1</v>
      </c>
      <c r="AO884" s="16" t="b">
        <f>IF(questions[[#This Row],[is_fixed]],questions[[#This Row],[question]]=INDEX(stable[question],MATCH(questions[[#This Row],[qno]],stable[qno],0)),TRUE)</f>
        <v>1</v>
      </c>
      <c r="AP884" s="16" t="str">
        <f>LEFT(questions[[#This Row],[question]],similarity_range)</f>
        <v>What was the quantit</v>
      </c>
      <c r="AQ884" s="16" t="str">
        <f>LEFT(INDEX(stable[question],MATCH(questions[[#This Row],[qno]],stable[qno],0)),similarity_range)</f>
        <v>What was the quantit</v>
      </c>
      <c r="AR884" s="16" t="b">
        <f>questions[[#This Row],[question_first_characters]]=questions[[#This Row],[stability_first_characters]]</f>
        <v>1</v>
      </c>
      <c r="AS884" s="16" t="b">
        <f>IF(OR(questions[[#This Row],[is_single_select]],questions[[#This Row],[is_multi_select]]),NOT(ISBLANK(questions[[#This Row],[answer_opt_combined]])),TRUE)</f>
        <v>1</v>
      </c>
    </row>
    <row r="885" spans="1:45" s="77" customFormat="1" ht="15.75" customHeight="1" x14ac:dyDescent="0.25">
      <c r="A885" s="77" t="str">
        <f>_xlfn.TEXTJOIN("_",TRUE,questions[[#This Row],[origin]:[qno]])</f>
        <v>Uganda_Robusta_Nespresso_5622</v>
      </c>
      <c r="B885" s="77" t="s">
        <v>511</v>
      </c>
      <c r="C885" s="77" t="s">
        <v>674</v>
      </c>
      <c r="D885" s="77" t="s">
        <v>864</v>
      </c>
      <c r="F885" s="104" t="s">
        <v>230</v>
      </c>
      <c r="G885" s="78" t="s">
        <v>231</v>
      </c>
      <c r="H885" s="9" t="str" cm="1">
        <f t="array" ref="H885">INDEX(stableR[question],MATCH(VALUE(questions[[#This Row],[qno]]),VALUE(stableR[qno]),0))</f>
        <v>What was the unit of this second most used pesticide/fungicide/herbicide?</v>
      </c>
      <c r="I885" s="9" t="b" cm="1">
        <f t="array" ref="I885">INDEX(stable[is_fixed],MATCH(VALUE(questions[[#This Row],[qno]]),VALUE(stable[qno]),0))</f>
        <v>1</v>
      </c>
      <c r="J885" s="9" t="b" cm="1">
        <f t="array" ref="J885">INDEX(stable[is_localized],MATCH(VALUE(questions[[#This Row],[qno]]),VALUE(stable[qno]),0))</f>
        <v>0</v>
      </c>
      <c r="K885" s="9" t="b" cm="1">
        <f t="array" ref="K885">INDEX(stable[is_supply_chain_dependent],MATCH(VALUE(questions[[#This Row],[qno]]),VALUE(stable[qno]),0))</f>
        <v>0</v>
      </c>
      <c r="L885" s="9" t="b" cm="1">
        <f t="array" ref="L885">INDEX(stable[is_mandatory],MATCH(VALUE(questions[[#This Row],[qno]]),VALUE(stable[qno]),0))</f>
        <v>0</v>
      </c>
      <c r="M885" s="9" t="b" cm="1">
        <f t="array" ref="M885">INDEX(stable[is_automated],MATCH(VALUE(questions[[#This Row],[qno]]),VALUE(stable[qno]),0))</f>
        <v>0</v>
      </c>
      <c r="N885" s="9" t="b" cm="1">
        <f t="array" ref="N885">INDEX(stable[is_free_text],MATCH(VALUE(questions[[#This Row],[qno]]),VALUE(stable[qno]),0))</f>
        <v>0</v>
      </c>
      <c r="O885" s="9" t="b" cm="1">
        <f t="array" ref="O885">INDEX(stable[is_numerical],MATCH(VALUE(questions[[#This Row],[qno]]),VALUE(stable[qno]),0))</f>
        <v>0</v>
      </c>
      <c r="P885" s="77" t="b" cm="1">
        <f t="array" ref="P885">INDEX(stable[is_single_select],MATCH(VALUE(questions[[#This Row],[qno]]),VALUE(stable[qno]),0))</f>
        <v>1</v>
      </c>
      <c r="Q885" s="77" t="b" cm="1">
        <f t="array" ref="Q885">INDEX(stable[is_multi_select],MATCH(VALUE(questions[[#This Row],[qno]]),VALUE(stable[qno]),0))</f>
        <v>0</v>
      </c>
      <c r="R885" s="77" t="b" cm="1">
        <f t="array" ref="R885">INDEX(stable[is_skip_logic],MATCH(VALUE(questions[[#This Row],[qno]]),VALUE(stable[qno]),0))</f>
        <v>1</v>
      </c>
      <c r="S885" s="77" t="str">
        <f>_xlfn.TEXTJOIN(", ",TRUE,questions[[#This Row],[ans_opt_1]:[ans_opt_14]])</f>
        <v>Kgs, Grams, Liters, Mililiters</v>
      </c>
      <c r="T885" s="77" t="s">
        <v>222</v>
      </c>
      <c r="U885" s="77" t="s">
        <v>223</v>
      </c>
      <c r="V885" s="77" t="s">
        <v>224</v>
      </c>
      <c r="W885" s="77" t="s">
        <v>225</v>
      </c>
      <c r="AH885" s="98" t="b">
        <f>INDEX(stable[q_standard],MATCH(questions[[#This Row],[qno]],stable[qno],0))</f>
        <v>0</v>
      </c>
      <c r="AI885" s="98" t="b">
        <f>INDEX(stable[q_living_income],MATCH(questions[[#This Row],[qno]],stable[qno],0))</f>
        <v>1</v>
      </c>
      <c r="AJ885" s="98" t="b">
        <f>INDEX(stable[q_carbon],MATCH(questions[[#This Row],[qno]],stable[qno],0))</f>
        <v>1</v>
      </c>
      <c r="AK885" s="98" t="b">
        <f>INDEX(stable[q_regen_ag],MATCH(questions[[#This Row],[qno]],stable[qno],0))</f>
        <v>0</v>
      </c>
      <c r="AL885" s="98" t="b">
        <f>COUNTIFS(stable[qno],questions[[#This Row],[qno]])=1</f>
        <v>1</v>
      </c>
      <c r="AM885" s="98" t="b">
        <f>OR(questions[[#This Row],[is_fixed]],questions[[#This Row],[is_localized]],questions[[#This Row],[is_supply_chain_dependent]])</f>
        <v>1</v>
      </c>
      <c r="AN885" s="98" t="b">
        <f>COUNTIFS(questions[[#This Row],[is_automated]:[is_multi_select]],TRUE)=1</f>
        <v>1</v>
      </c>
      <c r="AO885" s="98" t="b">
        <f>IF(questions[[#This Row],[is_fixed]],questions[[#This Row],[question]]=INDEX(stable[question],MATCH(questions[[#This Row],[qno]],stable[qno],0)),TRUE)</f>
        <v>1</v>
      </c>
      <c r="AP885" s="98" t="str">
        <f>LEFT(questions[[#This Row],[question]],similarity_range)</f>
        <v>What was the unit of</v>
      </c>
      <c r="AQ885" s="98" t="str">
        <f>LEFT(INDEX(stable[question],MATCH(questions[[#This Row],[qno]],stable[qno],0)),similarity_range)</f>
        <v>What was the unit of</v>
      </c>
      <c r="AR885" s="98" t="b">
        <f>questions[[#This Row],[question_first_characters]]=questions[[#This Row],[stability_first_characters]]</f>
        <v>1</v>
      </c>
      <c r="AS885" s="98" t="b">
        <f>IF(OR(questions[[#This Row],[is_single_select]],questions[[#This Row],[is_multi_select]]),NOT(ISBLANK(questions[[#This Row],[answer_opt_combined]])),TRUE)</f>
        <v>1</v>
      </c>
    </row>
    <row r="886" spans="1:45" ht="15.75" customHeight="1" x14ac:dyDescent="0.25">
      <c r="A886" s="9" t="str">
        <f>_xlfn.TEXTJOIN("_",TRUE,questions[[#This Row],[origin]:[qno]])</f>
        <v>Uganda_Robusta_Nespresso_5630</v>
      </c>
      <c r="B886" s="9" t="s">
        <v>511</v>
      </c>
      <c r="C886" s="9" t="s">
        <v>674</v>
      </c>
      <c r="D886" s="9" t="s">
        <v>864</v>
      </c>
      <c r="F886" s="24" t="s">
        <v>232</v>
      </c>
      <c r="G886" s="15" t="s">
        <v>775</v>
      </c>
      <c r="H886" s="9" t="str" cm="1">
        <f t="array" ref="H886">INDEX(stableR[question],MATCH(VALUE(questions[[#This Row],[qno]]),VALUE(stableR[qno]),0))</f>
        <v>What was the name of the pesticide/fungicide or herbicide that you used third most, last year?</v>
      </c>
      <c r="I886" s="9" t="b" cm="1">
        <f t="array" ref="I886">INDEX(stable[is_fixed],MATCH(VALUE(questions[[#This Row],[qno]]),VALUE(stable[qno]),0))</f>
        <v>1</v>
      </c>
      <c r="J886" s="9" t="b" cm="1">
        <f t="array" ref="J886">INDEX(stable[is_localized],MATCH(VALUE(questions[[#This Row],[qno]]),VALUE(stable[qno]),0))</f>
        <v>0</v>
      </c>
      <c r="K886" s="9" t="b" cm="1">
        <f t="array" ref="K886">INDEX(stable[is_supply_chain_dependent],MATCH(VALUE(questions[[#This Row],[qno]]),VALUE(stable[qno]),0))</f>
        <v>0</v>
      </c>
      <c r="L886" s="9" t="b" cm="1">
        <f t="array" ref="L886">INDEX(stable[is_mandatory],MATCH(VALUE(questions[[#This Row],[qno]]),VALUE(stable[qno]),0))</f>
        <v>0</v>
      </c>
      <c r="M886" s="9" t="b" cm="1">
        <f t="array" ref="M886">INDEX(stable[is_automated],MATCH(VALUE(questions[[#This Row],[qno]]),VALUE(stable[qno]),0))</f>
        <v>0</v>
      </c>
      <c r="N886" s="9" t="b" cm="1">
        <f t="array" ref="N886">INDEX(stable[is_free_text],MATCH(VALUE(questions[[#This Row],[qno]]),VALUE(stable[qno]),0))</f>
        <v>1</v>
      </c>
      <c r="O886" s="9" t="b" cm="1">
        <f t="array" ref="O886">INDEX(stable[is_numerical],MATCH(VALUE(questions[[#This Row],[qno]]),VALUE(stable[qno]),0))</f>
        <v>0</v>
      </c>
      <c r="P886" s="9" t="b" cm="1">
        <f t="array" ref="P886">INDEX(stable[is_single_select],MATCH(VALUE(questions[[#This Row],[qno]]),VALUE(stable[qno]),0))</f>
        <v>0</v>
      </c>
      <c r="Q886" s="9" t="b" cm="1">
        <f t="array" ref="Q886">INDEX(stable[is_multi_select],MATCH(VALUE(questions[[#This Row],[qno]]),VALUE(stable[qno]),0))</f>
        <v>0</v>
      </c>
      <c r="R886" s="9" t="b" cm="1">
        <f t="array" ref="R886">INDEX(stable[is_skip_logic],MATCH(VALUE(questions[[#This Row],[qno]]),VALUE(stable[qno]),0))</f>
        <v>1</v>
      </c>
      <c r="S886" s="9" t="str">
        <f>_xlfn.TEXTJOIN(", ",TRUE,questions[[#This Row],[ans_opt_1]:[ans_opt_14]])</f>
        <v/>
      </c>
      <c r="AH886" s="16" t="b">
        <f>INDEX(stable[q_standard],MATCH(questions[[#This Row],[qno]],stable[qno],0))</f>
        <v>0</v>
      </c>
      <c r="AI886" s="16" t="b">
        <f>INDEX(stable[q_living_income],MATCH(questions[[#This Row],[qno]],stable[qno],0))</f>
        <v>1</v>
      </c>
      <c r="AJ886" s="16" t="b">
        <f>INDEX(stable[q_carbon],MATCH(questions[[#This Row],[qno]],stable[qno],0))</f>
        <v>1</v>
      </c>
      <c r="AK886" s="16" t="b">
        <f>INDEX(stable[q_regen_ag],MATCH(questions[[#This Row],[qno]],stable[qno],0))</f>
        <v>0</v>
      </c>
      <c r="AL886" s="16" t="b">
        <f>COUNTIFS(stable[qno],questions[[#This Row],[qno]])=1</f>
        <v>1</v>
      </c>
      <c r="AM886" s="16" t="b">
        <f>OR(questions[[#This Row],[is_fixed]],questions[[#This Row],[is_localized]],questions[[#This Row],[is_supply_chain_dependent]])</f>
        <v>1</v>
      </c>
      <c r="AN886" s="16" t="b">
        <f>COUNTIFS(questions[[#This Row],[is_automated]:[is_multi_select]],TRUE)=1</f>
        <v>1</v>
      </c>
      <c r="AO886" s="16" t="b">
        <f>IF(questions[[#This Row],[is_fixed]],questions[[#This Row],[question]]=INDEX(stable[question],MATCH(questions[[#This Row],[qno]],stable[qno],0)),TRUE)</f>
        <v>0</v>
      </c>
      <c r="AP886" s="16" t="str">
        <f>LEFT(questions[[#This Row],[question]],similarity_range)</f>
        <v>If yes, what was the</v>
      </c>
      <c r="AQ886" s="16" t="str">
        <f>LEFT(INDEX(stable[question],MATCH(questions[[#This Row],[qno]],stable[qno],0)),similarity_range)</f>
        <v>If yes, what was the</v>
      </c>
      <c r="AR886" s="16" t="b">
        <f>questions[[#This Row],[question_first_characters]]=questions[[#This Row],[stability_first_characters]]</f>
        <v>1</v>
      </c>
      <c r="AS886" s="16" t="b">
        <f>IF(OR(questions[[#This Row],[is_single_select]],questions[[#This Row],[is_multi_select]]),NOT(ISBLANK(questions[[#This Row],[answer_opt_combined]])),TRUE)</f>
        <v>1</v>
      </c>
    </row>
    <row r="887" spans="1:45" ht="15.75" customHeight="1" x14ac:dyDescent="0.25">
      <c r="A887" s="9" t="str">
        <f>_xlfn.TEXTJOIN("_",TRUE,questions[[#This Row],[origin]:[qno]])</f>
        <v>Uganda_Robusta_Nespresso_5631</v>
      </c>
      <c r="B887" s="9" t="s">
        <v>511</v>
      </c>
      <c r="C887" s="9" t="s">
        <v>674</v>
      </c>
      <c r="D887" s="9" t="s">
        <v>864</v>
      </c>
      <c r="F887" s="24" t="s">
        <v>234</v>
      </c>
      <c r="G887" s="15" t="s">
        <v>235</v>
      </c>
      <c r="H887" s="9" t="str" cm="1">
        <f t="array" ref="H887">INDEX(stableR[question],MATCH(VALUE(questions[[#This Row],[qno]]),VALUE(stableR[qno]),0))</f>
        <v>What was the quantity used of this third most used pesticide/fungicide/herbicide last year?</v>
      </c>
      <c r="I887" s="9" t="b" cm="1">
        <f t="array" ref="I887">INDEX(stable[is_fixed],MATCH(VALUE(questions[[#This Row],[qno]]),VALUE(stable[qno]),0))</f>
        <v>1</v>
      </c>
      <c r="J887" s="9" t="b" cm="1">
        <f t="array" ref="J887">INDEX(stable[is_localized],MATCH(VALUE(questions[[#This Row],[qno]]),VALUE(stable[qno]),0))</f>
        <v>0</v>
      </c>
      <c r="K887" s="9" t="b" cm="1">
        <f t="array" ref="K887">INDEX(stable[is_supply_chain_dependent],MATCH(VALUE(questions[[#This Row],[qno]]),VALUE(stable[qno]),0))</f>
        <v>0</v>
      </c>
      <c r="L887" s="9" t="b" cm="1">
        <f t="array" ref="L887">INDEX(stable[is_mandatory],MATCH(VALUE(questions[[#This Row],[qno]]),VALUE(stable[qno]),0))</f>
        <v>0</v>
      </c>
      <c r="M887" s="9" t="b" cm="1">
        <f t="array" ref="M887">INDEX(stable[is_automated],MATCH(VALUE(questions[[#This Row],[qno]]),VALUE(stable[qno]),0))</f>
        <v>0</v>
      </c>
      <c r="N887" s="9" t="b" cm="1">
        <f t="array" ref="N887">INDEX(stable[is_free_text],MATCH(VALUE(questions[[#This Row],[qno]]),VALUE(stable[qno]),0))</f>
        <v>0</v>
      </c>
      <c r="O887" s="9" t="b" cm="1">
        <f t="array" ref="O887">INDEX(stable[is_numerical],MATCH(VALUE(questions[[#This Row],[qno]]),VALUE(stable[qno]),0))</f>
        <v>1</v>
      </c>
      <c r="P887" s="9" t="b" cm="1">
        <f t="array" ref="P887">INDEX(stable[is_single_select],MATCH(VALUE(questions[[#This Row],[qno]]),VALUE(stable[qno]),0))</f>
        <v>0</v>
      </c>
      <c r="Q887" s="9" t="b" cm="1">
        <f t="array" ref="Q887">INDEX(stable[is_multi_select],MATCH(VALUE(questions[[#This Row],[qno]]),VALUE(stable[qno]),0))</f>
        <v>0</v>
      </c>
      <c r="R887" s="9" t="b" cm="1">
        <f t="array" ref="R887">INDEX(stable[is_skip_logic],MATCH(VALUE(questions[[#This Row],[qno]]),VALUE(stable[qno]),0))</f>
        <v>1</v>
      </c>
      <c r="S887" s="9" t="str">
        <f>_xlfn.TEXTJOIN(", ",TRUE,questions[[#This Row],[ans_opt_1]:[ans_opt_14]])</f>
        <v/>
      </c>
      <c r="AH887" s="16" t="b">
        <f>INDEX(stable[q_standard],MATCH(questions[[#This Row],[qno]],stable[qno],0))</f>
        <v>0</v>
      </c>
      <c r="AI887" s="16" t="b">
        <f>INDEX(stable[q_living_income],MATCH(questions[[#This Row],[qno]],stable[qno],0))</f>
        <v>1</v>
      </c>
      <c r="AJ887" s="16" t="b">
        <f>INDEX(stable[q_carbon],MATCH(questions[[#This Row],[qno]],stable[qno],0))</f>
        <v>1</v>
      </c>
      <c r="AK887" s="16" t="b">
        <f>INDEX(stable[q_regen_ag],MATCH(questions[[#This Row],[qno]],stable[qno],0))</f>
        <v>0</v>
      </c>
      <c r="AL887" s="16" t="b">
        <f>COUNTIFS(stable[qno],questions[[#This Row],[qno]])=1</f>
        <v>1</v>
      </c>
      <c r="AM887" s="16" t="b">
        <f>OR(questions[[#This Row],[is_fixed]],questions[[#This Row],[is_localized]],questions[[#This Row],[is_supply_chain_dependent]])</f>
        <v>1</v>
      </c>
      <c r="AN887" s="16" t="b">
        <f>COUNTIFS(questions[[#This Row],[is_automated]:[is_multi_select]],TRUE)=1</f>
        <v>1</v>
      </c>
      <c r="AO887" s="16" t="b">
        <f>IF(questions[[#This Row],[is_fixed]],questions[[#This Row],[question]]=INDEX(stable[question],MATCH(questions[[#This Row],[qno]],stable[qno],0)),TRUE)</f>
        <v>1</v>
      </c>
      <c r="AP887" s="16" t="str">
        <f>LEFT(questions[[#This Row],[question]],similarity_range)</f>
        <v>What was the quantit</v>
      </c>
      <c r="AQ887" s="16" t="str">
        <f>LEFT(INDEX(stable[question],MATCH(questions[[#This Row],[qno]],stable[qno],0)),similarity_range)</f>
        <v>What was the quantit</v>
      </c>
      <c r="AR887" s="16" t="b">
        <f>questions[[#This Row],[question_first_characters]]=questions[[#This Row],[stability_first_characters]]</f>
        <v>1</v>
      </c>
      <c r="AS887" s="16" t="b">
        <f>IF(OR(questions[[#This Row],[is_single_select]],questions[[#This Row],[is_multi_select]]),NOT(ISBLANK(questions[[#This Row],[answer_opt_combined]])),TRUE)</f>
        <v>1</v>
      </c>
    </row>
    <row r="888" spans="1:45" s="77" customFormat="1" ht="15.75" customHeight="1" x14ac:dyDescent="0.25">
      <c r="A888" s="77" t="str">
        <f>_xlfn.TEXTJOIN("_",TRUE,questions[[#This Row],[origin]:[qno]])</f>
        <v>Uganda_Robusta_Nespresso_5632</v>
      </c>
      <c r="B888" s="77" t="s">
        <v>511</v>
      </c>
      <c r="C888" s="77" t="s">
        <v>674</v>
      </c>
      <c r="D888" s="77" t="s">
        <v>864</v>
      </c>
      <c r="F888" s="104" t="s">
        <v>236</v>
      </c>
      <c r="G888" s="78" t="s">
        <v>237</v>
      </c>
      <c r="H888" s="9" t="str" cm="1">
        <f t="array" ref="H888">INDEX(stableR[question],MATCH(VALUE(questions[[#This Row],[qno]]),VALUE(stableR[qno]),0))</f>
        <v>What was the unit of this third most used pesticide/fungicide/herbicide</v>
      </c>
      <c r="I888" s="9" t="b" cm="1">
        <f t="array" ref="I888">INDEX(stable[is_fixed],MATCH(VALUE(questions[[#This Row],[qno]]),VALUE(stable[qno]),0))</f>
        <v>1</v>
      </c>
      <c r="J888" s="9" t="b" cm="1">
        <f t="array" ref="J888">INDEX(stable[is_localized],MATCH(VALUE(questions[[#This Row],[qno]]),VALUE(stable[qno]),0))</f>
        <v>0</v>
      </c>
      <c r="K888" s="9" t="b" cm="1">
        <f t="array" ref="K888">INDEX(stable[is_supply_chain_dependent],MATCH(VALUE(questions[[#This Row],[qno]]),VALUE(stable[qno]),0))</f>
        <v>0</v>
      </c>
      <c r="L888" s="9" t="b" cm="1">
        <f t="array" ref="L888">INDEX(stable[is_mandatory],MATCH(VALUE(questions[[#This Row],[qno]]),VALUE(stable[qno]),0))</f>
        <v>0</v>
      </c>
      <c r="M888" s="9" t="b" cm="1">
        <f t="array" ref="M888">INDEX(stable[is_automated],MATCH(VALUE(questions[[#This Row],[qno]]),VALUE(stable[qno]),0))</f>
        <v>0</v>
      </c>
      <c r="N888" s="9" t="b" cm="1">
        <f t="array" ref="N888">INDEX(stable[is_free_text],MATCH(VALUE(questions[[#This Row],[qno]]),VALUE(stable[qno]),0))</f>
        <v>0</v>
      </c>
      <c r="O888" s="9" t="b" cm="1">
        <f t="array" ref="O888">INDEX(stable[is_numerical],MATCH(VALUE(questions[[#This Row],[qno]]),VALUE(stable[qno]),0))</f>
        <v>0</v>
      </c>
      <c r="P888" s="77" t="b" cm="1">
        <f t="array" ref="P888">INDEX(stable[is_single_select],MATCH(VALUE(questions[[#This Row],[qno]]),VALUE(stable[qno]),0))</f>
        <v>1</v>
      </c>
      <c r="Q888" s="77" t="b" cm="1">
        <f t="array" ref="Q888">INDEX(stable[is_multi_select],MATCH(VALUE(questions[[#This Row],[qno]]),VALUE(stable[qno]),0))</f>
        <v>0</v>
      </c>
      <c r="R888" s="77" t="b" cm="1">
        <f t="array" ref="R888">INDEX(stable[is_skip_logic],MATCH(VALUE(questions[[#This Row],[qno]]),VALUE(stable[qno]),0))</f>
        <v>1</v>
      </c>
      <c r="S888" s="77" t="str">
        <f>_xlfn.TEXTJOIN(", ",TRUE,questions[[#This Row],[ans_opt_1]:[ans_opt_14]])</f>
        <v>Kgs, Grams, Liters, Mililiters</v>
      </c>
      <c r="T888" s="77" t="s">
        <v>222</v>
      </c>
      <c r="U888" s="77" t="s">
        <v>223</v>
      </c>
      <c r="V888" s="77" t="s">
        <v>224</v>
      </c>
      <c r="W888" s="77" t="s">
        <v>225</v>
      </c>
      <c r="AH888" s="98" t="b">
        <f>INDEX(stable[q_standard],MATCH(questions[[#This Row],[qno]],stable[qno],0))</f>
        <v>0</v>
      </c>
      <c r="AI888" s="98" t="b">
        <f>INDEX(stable[q_living_income],MATCH(questions[[#This Row],[qno]],stable[qno],0))</f>
        <v>1</v>
      </c>
      <c r="AJ888" s="98" t="b">
        <f>INDEX(stable[q_carbon],MATCH(questions[[#This Row],[qno]],stable[qno],0))</f>
        <v>1</v>
      </c>
      <c r="AK888" s="98" t="b">
        <f>INDEX(stable[q_regen_ag],MATCH(questions[[#This Row],[qno]],stable[qno],0))</f>
        <v>0</v>
      </c>
      <c r="AL888" s="98" t="b">
        <f>COUNTIFS(stable[qno],questions[[#This Row],[qno]])=1</f>
        <v>1</v>
      </c>
      <c r="AM888" s="98" t="b">
        <f>OR(questions[[#This Row],[is_fixed]],questions[[#This Row],[is_localized]],questions[[#This Row],[is_supply_chain_dependent]])</f>
        <v>1</v>
      </c>
      <c r="AN888" s="98" t="b">
        <f>COUNTIFS(questions[[#This Row],[is_automated]:[is_multi_select]],TRUE)=1</f>
        <v>1</v>
      </c>
      <c r="AO888" s="98" t="b">
        <f>IF(questions[[#This Row],[is_fixed]],questions[[#This Row],[question]]=INDEX(stable[question],MATCH(questions[[#This Row],[qno]],stable[qno],0)),TRUE)</f>
        <v>1</v>
      </c>
      <c r="AP888" s="98" t="str">
        <f>LEFT(questions[[#This Row],[question]],similarity_range)</f>
        <v>What was the unit of</v>
      </c>
      <c r="AQ888" s="98" t="str">
        <f>LEFT(INDEX(stable[question],MATCH(questions[[#This Row],[qno]],stable[qno],0)),similarity_range)</f>
        <v>What was the unit of</v>
      </c>
      <c r="AR888" s="98" t="b">
        <f>questions[[#This Row],[question_first_characters]]=questions[[#This Row],[stability_first_characters]]</f>
        <v>1</v>
      </c>
      <c r="AS888" s="98" t="b">
        <f>IF(OR(questions[[#This Row],[is_single_select]],questions[[#This Row],[is_multi_select]]),NOT(ISBLANK(questions[[#This Row],[answer_opt_combined]])),TRUE)</f>
        <v>1</v>
      </c>
    </row>
    <row r="889" spans="1:45" s="77" customFormat="1" ht="15.75" customHeight="1" x14ac:dyDescent="0.25">
      <c r="A889" s="77" t="str">
        <f>_xlfn.TEXTJOIN("_",TRUE,questions[[#This Row],[origin]:[qno]])</f>
        <v>Uganda_Robusta_Nespresso_6000</v>
      </c>
      <c r="B889" s="77" t="s">
        <v>511</v>
      </c>
      <c r="C889" s="77" t="s">
        <v>674</v>
      </c>
      <c r="D889" s="77" t="s">
        <v>864</v>
      </c>
      <c r="F889" s="104" t="s">
        <v>238</v>
      </c>
      <c r="G889" s="78" t="s">
        <v>239</v>
      </c>
      <c r="H889" s="9" t="str" cm="1">
        <f t="array" ref="H889">INDEX(stableR[question],MATCH(VALUE(questions[[#This Row],[qno]]),VALUE(stableR[qno]),0))</f>
        <v>Did you hire any permanent laborer's, for your coffee plots, last year?</v>
      </c>
      <c r="I889" s="9" t="b" cm="1">
        <f t="array" ref="I889">INDEX(stable[is_fixed],MATCH(VALUE(questions[[#This Row],[qno]]),VALUE(stable[qno]),0))</f>
        <v>1</v>
      </c>
      <c r="J889" s="9" t="b" cm="1">
        <f t="array" ref="J889">INDEX(stable[is_localized],MATCH(VALUE(questions[[#This Row],[qno]]),VALUE(stable[qno]),0))</f>
        <v>0</v>
      </c>
      <c r="K889" s="9" t="b" cm="1">
        <f t="array" ref="K889">INDEX(stable[is_supply_chain_dependent],MATCH(VALUE(questions[[#This Row],[qno]]),VALUE(stable[qno]),0))</f>
        <v>0</v>
      </c>
      <c r="L889" s="9" t="b" cm="1">
        <f t="array" ref="L889">INDEX(stable[is_mandatory],MATCH(VALUE(questions[[#This Row],[qno]]),VALUE(stable[qno]),0))</f>
        <v>1</v>
      </c>
      <c r="M889" s="9" t="b" cm="1">
        <f t="array" ref="M889">INDEX(stable[is_automated],MATCH(VALUE(questions[[#This Row],[qno]]),VALUE(stable[qno]),0))</f>
        <v>0</v>
      </c>
      <c r="N889" s="9" t="b" cm="1">
        <f t="array" ref="N889">INDEX(stable[is_free_text],MATCH(VALUE(questions[[#This Row],[qno]]),VALUE(stable[qno]),0))</f>
        <v>0</v>
      </c>
      <c r="O889" s="9" t="b" cm="1">
        <f t="array" ref="O889">INDEX(stable[is_numerical],MATCH(VALUE(questions[[#This Row],[qno]]),VALUE(stable[qno]),0))</f>
        <v>0</v>
      </c>
      <c r="P889" s="77" t="b" cm="1">
        <f t="array" ref="P889">INDEX(stable[is_single_select],MATCH(VALUE(questions[[#This Row],[qno]]),VALUE(stable[qno]),0))</f>
        <v>1</v>
      </c>
      <c r="Q889" s="77" t="b" cm="1">
        <f t="array" ref="Q889">INDEX(stable[is_multi_select],MATCH(VALUE(questions[[#This Row],[qno]]),VALUE(stable[qno]),0))</f>
        <v>0</v>
      </c>
      <c r="R889" s="77" t="b" cm="1">
        <f t="array" ref="R889">INDEX(stable[is_skip_logic],MATCH(VALUE(questions[[#This Row],[qno]]),VALUE(stable[qno]),0))</f>
        <v>1</v>
      </c>
      <c r="S889" s="77" t="str">
        <f>_xlfn.TEXTJOIN(", ",TRUE,questions[[#This Row],[ans_opt_1]:[ans_opt_14]])</f>
        <v>Yes, No</v>
      </c>
      <c r="T889" s="77" t="s">
        <v>149</v>
      </c>
      <c r="U889" s="77" t="s">
        <v>119</v>
      </c>
      <c r="AH889" s="98" t="b">
        <f>INDEX(stable[q_standard],MATCH(questions[[#This Row],[qno]],stable[qno],0))</f>
        <v>0</v>
      </c>
      <c r="AI889" s="98" t="b">
        <f>INDEX(stable[q_living_income],MATCH(questions[[#This Row],[qno]],stable[qno],0))</f>
        <v>1</v>
      </c>
      <c r="AJ889" s="98" t="b">
        <f>INDEX(stable[q_carbon],MATCH(questions[[#This Row],[qno]],stable[qno],0))</f>
        <v>0</v>
      </c>
      <c r="AK889" s="98" t="b">
        <f>INDEX(stable[q_regen_ag],MATCH(questions[[#This Row],[qno]],stable[qno],0))</f>
        <v>0</v>
      </c>
      <c r="AL889" s="98" t="b">
        <f>COUNTIFS(stable[qno],questions[[#This Row],[qno]])=1</f>
        <v>1</v>
      </c>
      <c r="AM889" s="98" t="b">
        <f>OR(questions[[#This Row],[is_fixed]],questions[[#This Row],[is_localized]],questions[[#This Row],[is_supply_chain_dependent]])</f>
        <v>1</v>
      </c>
      <c r="AN889" s="98" t="b">
        <f>COUNTIFS(questions[[#This Row],[is_automated]:[is_multi_select]],TRUE)=1</f>
        <v>1</v>
      </c>
      <c r="AO889" s="98" t="b">
        <f>IF(questions[[#This Row],[is_fixed]],questions[[#This Row],[question]]=INDEX(stable[question],MATCH(questions[[#This Row],[qno]],stable[qno],0)),TRUE)</f>
        <v>1</v>
      </c>
      <c r="AP889" s="98" t="str">
        <f>LEFT(questions[[#This Row],[question]],similarity_range)</f>
        <v>Did you hire any per</v>
      </c>
      <c r="AQ889" s="98" t="str">
        <f>LEFT(INDEX(stable[question],MATCH(questions[[#This Row],[qno]],stable[qno],0)),similarity_range)</f>
        <v>Did you hire any per</v>
      </c>
      <c r="AR889" s="98" t="b">
        <f>questions[[#This Row],[question_first_characters]]=questions[[#This Row],[stability_first_characters]]</f>
        <v>1</v>
      </c>
      <c r="AS889" s="98" t="b">
        <f>IF(OR(questions[[#This Row],[is_single_select]],questions[[#This Row],[is_multi_select]]),NOT(ISBLANK(questions[[#This Row],[answer_opt_combined]])),TRUE)</f>
        <v>1</v>
      </c>
    </row>
    <row r="890" spans="1:45" ht="15.75" customHeight="1" x14ac:dyDescent="0.25">
      <c r="A890" s="9" t="str">
        <f>_xlfn.TEXTJOIN("_",TRUE,questions[[#This Row],[origin]:[qno]])</f>
        <v>Uganda_Robusta_Nespresso_6001</v>
      </c>
      <c r="B890" s="9" t="s">
        <v>511</v>
      </c>
      <c r="C890" s="9" t="s">
        <v>674</v>
      </c>
      <c r="D890" s="9" t="s">
        <v>864</v>
      </c>
      <c r="F890" s="24" t="s">
        <v>240</v>
      </c>
      <c r="G890" s="15" t="s">
        <v>241</v>
      </c>
      <c r="H890" s="9" t="str" cm="1">
        <f t="array" ref="H890">INDEX(stableR[question],MATCH(VALUE(questions[[#This Row],[qno]]),VALUE(stableR[qno]),0))</f>
        <v>How many people did you hire, permanently for your coffee plots, last year?</v>
      </c>
      <c r="I890" s="9" t="b" cm="1">
        <f t="array" ref="I890">INDEX(stable[is_fixed],MATCH(VALUE(questions[[#This Row],[qno]]),VALUE(stable[qno]),0))</f>
        <v>1</v>
      </c>
      <c r="J890" s="9" t="b" cm="1">
        <f t="array" ref="J890">INDEX(stable[is_localized],MATCH(VALUE(questions[[#This Row],[qno]]),VALUE(stable[qno]),0))</f>
        <v>0</v>
      </c>
      <c r="K890" s="9" t="b" cm="1">
        <f t="array" ref="K890">INDEX(stable[is_supply_chain_dependent],MATCH(VALUE(questions[[#This Row],[qno]]),VALUE(stable[qno]),0))</f>
        <v>0</v>
      </c>
      <c r="L890" s="9" t="b" cm="1">
        <f t="array" ref="L890">INDEX(stable[is_mandatory],MATCH(VALUE(questions[[#This Row],[qno]]),VALUE(stable[qno]),0))</f>
        <v>0</v>
      </c>
      <c r="M890" s="9" t="b" cm="1">
        <f t="array" ref="M890">INDEX(stable[is_automated],MATCH(VALUE(questions[[#This Row],[qno]]),VALUE(stable[qno]),0))</f>
        <v>0</v>
      </c>
      <c r="N890" s="9" t="b" cm="1">
        <f t="array" ref="N890">INDEX(stable[is_free_text],MATCH(VALUE(questions[[#This Row],[qno]]),VALUE(stable[qno]),0))</f>
        <v>0</v>
      </c>
      <c r="O890" s="9" t="b" cm="1">
        <f t="array" ref="O890">INDEX(stable[is_numerical],MATCH(VALUE(questions[[#This Row],[qno]]),VALUE(stable[qno]),0))</f>
        <v>1</v>
      </c>
      <c r="P890" s="9" t="b" cm="1">
        <f t="array" ref="P890">INDEX(stable[is_single_select],MATCH(VALUE(questions[[#This Row],[qno]]),VALUE(stable[qno]),0))</f>
        <v>0</v>
      </c>
      <c r="Q890" s="9" t="b" cm="1">
        <f t="array" ref="Q890">INDEX(stable[is_multi_select],MATCH(VALUE(questions[[#This Row],[qno]]),VALUE(stable[qno]),0))</f>
        <v>0</v>
      </c>
      <c r="R890" s="9" t="b" cm="1">
        <f t="array" ref="R890">INDEX(stable[is_skip_logic],MATCH(VALUE(questions[[#This Row],[qno]]),VALUE(stable[qno]),0))</f>
        <v>1</v>
      </c>
      <c r="S890" s="9" t="str">
        <f>_xlfn.TEXTJOIN(", ",TRUE,questions[[#This Row],[ans_opt_1]:[ans_opt_14]])</f>
        <v/>
      </c>
      <c r="AH890" s="16" t="b">
        <f>INDEX(stable[q_standard],MATCH(questions[[#This Row],[qno]],stable[qno],0))</f>
        <v>0</v>
      </c>
      <c r="AI890" s="16" t="b">
        <f>INDEX(stable[q_living_income],MATCH(questions[[#This Row],[qno]],stable[qno],0))</f>
        <v>1</v>
      </c>
      <c r="AJ890" s="16" t="b">
        <f>INDEX(stable[q_carbon],MATCH(questions[[#This Row],[qno]],stable[qno],0))</f>
        <v>0</v>
      </c>
      <c r="AK890" s="16" t="b">
        <f>INDEX(stable[q_regen_ag],MATCH(questions[[#This Row],[qno]],stable[qno],0))</f>
        <v>0</v>
      </c>
      <c r="AL890" s="16" t="b">
        <f>COUNTIFS(stable[qno],questions[[#This Row],[qno]])=1</f>
        <v>1</v>
      </c>
      <c r="AM890" s="16" t="b">
        <f>OR(questions[[#This Row],[is_fixed]],questions[[#This Row],[is_localized]],questions[[#This Row],[is_supply_chain_dependent]])</f>
        <v>1</v>
      </c>
      <c r="AN890" s="16" t="b">
        <f>COUNTIFS(questions[[#This Row],[is_automated]:[is_multi_select]],TRUE)=1</f>
        <v>1</v>
      </c>
      <c r="AO890" s="16" t="b">
        <f>IF(questions[[#This Row],[is_fixed]],questions[[#This Row],[question]]=INDEX(stable[question],MATCH(questions[[#This Row],[qno]],stable[qno],0)),TRUE)</f>
        <v>1</v>
      </c>
      <c r="AP890" s="16" t="str">
        <f>LEFT(questions[[#This Row],[question]],similarity_range)</f>
        <v>If yes, how many peo</v>
      </c>
      <c r="AQ890" s="16" t="str">
        <f>LEFT(INDEX(stable[question],MATCH(questions[[#This Row],[qno]],stable[qno],0)),similarity_range)</f>
        <v>If yes, how many peo</v>
      </c>
      <c r="AR890" s="16" t="b">
        <f>questions[[#This Row],[question_first_characters]]=questions[[#This Row],[stability_first_characters]]</f>
        <v>1</v>
      </c>
      <c r="AS890" s="16" t="b">
        <f>IF(OR(questions[[#This Row],[is_single_select]],questions[[#This Row],[is_multi_select]]),NOT(ISBLANK(questions[[#This Row],[answer_opt_combined]])),TRUE)</f>
        <v>1</v>
      </c>
    </row>
    <row r="891" spans="1:45" s="77" customFormat="1" ht="15.75" customHeight="1" x14ac:dyDescent="0.25">
      <c r="A891" s="77" t="str">
        <f>_xlfn.TEXTJOIN("_",TRUE,questions[[#This Row],[origin]:[qno]])</f>
        <v>Uganda_Robusta_Nespresso_6010</v>
      </c>
      <c r="B891" s="77" t="s">
        <v>511</v>
      </c>
      <c r="C891" s="77" t="s">
        <v>674</v>
      </c>
      <c r="D891" s="77" t="s">
        <v>864</v>
      </c>
      <c r="F891" s="104" t="s">
        <v>572</v>
      </c>
      <c r="G891" s="78" t="s">
        <v>893</v>
      </c>
      <c r="H891" s="9" t="str" cm="1">
        <f t="array" ref="H891">INDEX(stableR[question],MATCH(VALUE(questions[[#This Row],[qno]]),VALUE(stableR[qno]),0))</f>
        <v>Did you hire any people to work on your coffee plots for seasonal activities during the fly season, last year?</v>
      </c>
      <c r="I891" s="9" t="b" cm="1">
        <f t="array" ref="I891">INDEX(stable[is_fixed],MATCH(VALUE(questions[[#This Row],[qno]]),VALUE(stable[qno]),0))</f>
        <v>0</v>
      </c>
      <c r="J891" s="9" t="b" cm="1">
        <f t="array" ref="J891">INDEX(stable[is_localized],MATCH(VALUE(questions[[#This Row],[qno]]),VALUE(stable[qno]),0))</f>
        <v>1</v>
      </c>
      <c r="K891" s="9" t="b" cm="1">
        <f t="array" ref="K891">INDEX(stable[is_supply_chain_dependent],MATCH(VALUE(questions[[#This Row],[qno]]),VALUE(stable[qno]),0))</f>
        <v>0</v>
      </c>
      <c r="L891" s="9" t="b" cm="1">
        <f t="array" ref="L891">INDEX(stable[is_mandatory],MATCH(VALUE(questions[[#This Row],[qno]]),VALUE(stable[qno]),0))</f>
        <v>1</v>
      </c>
      <c r="M891" s="9" t="b" cm="1">
        <f t="array" ref="M891">INDEX(stable[is_automated],MATCH(VALUE(questions[[#This Row],[qno]]),VALUE(stable[qno]),0))</f>
        <v>0</v>
      </c>
      <c r="N891" s="9" t="b" cm="1">
        <f t="array" ref="N891">INDEX(stable[is_free_text],MATCH(VALUE(questions[[#This Row],[qno]]),VALUE(stable[qno]),0))</f>
        <v>0</v>
      </c>
      <c r="O891" s="9" t="b" cm="1">
        <f t="array" ref="O891">INDEX(stable[is_numerical],MATCH(VALUE(questions[[#This Row],[qno]]),VALUE(stable[qno]),0))</f>
        <v>0</v>
      </c>
      <c r="P891" s="77" t="b" cm="1">
        <f t="array" ref="P891">INDEX(stable[is_single_select],MATCH(VALUE(questions[[#This Row],[qno]]),VALUE(stable[qno]),0))</f>
        <v>1</v>
      </c>
      <c r="Q891" s="77" t="b" cm="1">
        <f t="array" ref="Q891">INDEX(stable[is_multi_select],MATCH(VALUE(questions[[#This Row],[qno]]),VALUE(stable[qno]),0))</f>
        <v>0</v>
      </c>
      <c r="R891" s="77" t="b" cm="1">
        <f t="array" ref="R891">INDEX(stable[is_skip_logic],MATCH(VALUE(questions[[#This Row],[qno]]),VALUE(stable[qno]),0))</f>
        <v>1</v>
      </c>
      <c r="S891" s="77" t="str">
        <f>_xlfn.TEXTJOIN(", ",TRUE,questions[[#This Row],[ans_opt_1]:[ans_opt_14]])</f>
        <v>Yes, No</v>
      </c>
      <c r="T891" s="77" t="s">
        <v>149</v>
      </c>
      <c r="U891" s="77" t="s">
        <v>119</v>
      </c>
      <c r="AH891" s="98" t="b">
        <f>INDEX(stable[q_standard],MATCH(questions[[#This Row],[qno]],stable[qno],0))</f>
        <v>0</v>
      </c>
      <c r="AI891" s="98" t="b">
        <f>INDEX(stable[q_living_income],MATCH(questions[[#This Row],[qno]],stable[qno],0))</f>
        <v>1</v>
      </c>
      <c r="AJ891" s="98" t="b">
        <f>INDEX(stable[q_carbon],MATCH(questions[[#This Row],[qno]],stable[qno],0))</f>
        <v>0</v>
      </c>
      <c r="AK891" s="98" t="b">
        <f>INDEX(stable[q_regen_ag],MATCH(questions[[#This Row],[qno]],stable[qno],0))</f>
        <v>0</v>
      </c>
      <c r="AL891" s="98" t="b">
        <f>COUNTIFS(stable[qno],questions[[#This Row],[qno]])=1</f>
        <v>1</v>
      </c>
      <c r="AM891" s="98" t="b">
        <f>OR(questions[[#This Row],[is_fixed]],questions[[#This Row],[is_localized]],questions[[#This Row],[is_supply_chain_dependent]])</f>
        <v>1</v>
      </c>
      <c r="AN891" s="98" t="b">
        <f>COUNTIFS(questions[[#This Row],[is_automated]:[is_multi_select]],TRUE)=1</f>
        <v>1</v>
      </c>
      <c r="AO891" s="98" t="b">
        <f>IF(questions[[#This Row],[is_fixed]],questions[[#This Row],[question]]=INDEX(stable[question],MATCH(questions[[#This Row],[qno]],stable[qno],0)),TRUE)</f>
        <v>1</v>
      </c>
      <c r="AP891" s="98" t="str">
        <f>LEFT(questions[[#This Row],[question]],similarity_range)</f>
        <v>Did you hire any peo</v>
      </c>
      <c r="AQ891" s="98" t="str">
        <f>LEFT(INDEX(stable[question],MATCH(questions[[#This Row],[qno]],stable[qno],0)),similarity_range)</f>
        <v>Did you hire any peo</v>
      </c>
      <c r="AR891" s="98" t="b">
        <f>questions[[#This Row],[question_first_characters]]=questions[[#This Row],[stability_first_characters]]</f>
        <v>1</v>
      </c>
      <c r="AS891" s="98" t="b">
        <f>IF(OR(questions[[#This Row],[is_single_select]],questions[[#This Row],[is_multi_select]]),NOT(ISBLANK(questions[[#This Row],[answer_opt_combined]])),TRUE)</f>
        <v>1</v>
      </c>
    </row>
    <row r="892" spans="1:45" s="77" customFormat="1" ht="15.75" customHeight="1" x14ac:dyDescent="0.25">
      <c r="A892" s="77" t="str">
        <f>_xlfn.TEXTJOIN("_",TRUE,questions[[#This Row],[origin]:[qno]])</f>
        <v>Uganda_Robusta_Nespresso_6011</v>
      </c>
      <c r="B892" s="77" t="s">
        <v>511</v>
      </c>
      <c r="C892" s="77" t="s">
        <v>674</v>
      </c>
      <c r="D892" s="77" t="s">
        <v>864</v>
      </c>
      <c r="F892" s="104" t="s">
        <v>574</v>
      </c>
      <c r="G892" s="78" t="s">
        <v>894</v>
      </c>
      <c r="H892" s="9" t="str" cm="1">
        <f t="array" ref="H892">INDEX(stableR[question],MATCH(VALUE(questions[[#This Row],[qno]]),VALUE(stableR[qno]),0))</f>
        <v>What were the activities that you hired people for, during the fly season?</v>
      </c>
      <c r="I892" s="9" t="b" cm="1">
        <f t="array" ref="I892">INDEX(stable[is_fixed],MATCH(VALUE(questions[[#This Row],[qno]]),VALUE(stable[qno]),0))</f>
        <v>0</v>
      </c>
      <c r="J892" s="9" t="b" cm="1">
        <f t="array" ref="J892">INDEX(stable[is_localized],MATCH(VALUE(questions[[#This Row],[qno]]),VALUE(stable[qno]),0))</f>
        <v>1</v>
      </c>
      <c r="K892" s="9" t="b" cm="1">
        <f t="array" ref="K892">INDEX(stable[is_supply_chain_dependent],MATCH(VALUE(questions[[#This Row],[qno]]),VALUE(stable[qno]),0))</f>
        <v>0</v>
      </c>
      <c r="L892" s="9" t="b" cm="1">
        <f t="array" ref="L892">INDEX(stable[is_mandatory],MATCH(VALUE(questions[[#This Row],[qno]]),VALUE(stable[qno]),0))</f>
        <v>0</v>
      </c>
      <c r="M892" s="9" t="b" cm="1">
        <f t="array" ref="M892">INDEX(stable[is_automated],MATCH(VALUE(questions[[#This Row],[qno]]),VALUE(stable[qno]),0))</f>
        <v>0</v>
      </c>
      <c r="N892" s="9" t="b" cm="1">
        <f t="array" ref="N892">INDEX(stable[is_free_text],MATCH(VALUE(questions[[#This Row],[qno]]),VALUE(stable[qno]),0))</f>
        <v>0</v>
      </c>
      <c r="O892" s="9" t="b" cm="1">
        <f t="array" ref="O892">INDEX(stable[is_numerical],MATCH(VALUE(questions[[#This Row],[qno]]),VALUE(stable[qno]),0))</f>
        <v>0</v>
      </c>
      <c r="P892" s="77" t="b" cm="1">
        <f t="array" ref="P892">INDEX(stable[is_single_select],MATCH(VALUE(questions[[#This Row],[qno]]),VALUE(stable[qno]),0))</f>
        <v>0</v>
      </c>
      <c r="Q892" s="77" t="b" cm="1">
        <f t="array" ref="Q892">INDEX(stable[is_multi_select],MATCH(VALUE(questions[[#This Row],[qno]]),VALUE(stable[qno]),0))</f>
        <v>1</v>
      </c>
      <c r="R892" s="77" t="b" cm="1">
        <f t="array" ref="R892">INDEX(stable[is_skip_logic],MATCH(VALUE(questions[[#This Row],[qno]]),VALUE(stable[qno]),0))</f>
        <v>1</v>
      </c>
      <c r="S892" s="77" t="str">
        <f>_xlfn.TEXTJOIN(", ",TRUE,questions[[#This Row],[ans_opt_1]:[ans_opt_14]])</f>
        <v>Harvesting, Pruning, Weeding, Spraying, Planting new trees, Other, NA</v>
      </c>
      <c r="T892" s="77" t="s">
        <v>246</v>
      </c>
      <c r="U892" s="77" t="s">
        <v>247</v>
      </c>
      <c r="V892" s="77" t="s">
        <v>248</v>
      </c>
      <c r="W892" s="77" t="s">
        <v>249</v>
      </c>
      <c r="X892" s="77" t="s">
        <v>250</v>
      </c>
      <c r="Y892" s="77" t="s">
        <v>112</v>
      </c>
      <c r="Z892" s="77" t="s">
        <v>251</v>
      </c>
      <c r="AH892" s="98" t="b">
        <f>INDEX(stable[q_standard],MATCH(questions[[#This Row],[qno]],stable[qno],0))</f>
        <v>0</v>
      </c>
      <c r="AI892" s="98" t="b">
        <f>INDEX(stable[q_living_income],MATCH(questions[[#This Row],[qno]],stable[qno],0))</f>
        <v>1</v>
      </c>
      <c r="AJ892" s="98" t="b">
        <f>INDEX(stable[q_carbon],MATCH(questions[[#This Row],[qno]],stable[qno],0))</f>
        <v>0</v>
      </c>
      <c r="AK892" s="98" t="b">
        <f>INDEX(stable[q_regen_ag],MATCH(questions[[#This Row],[qno]],stable[qno],0))</f>
        <v>0</v>
      </c>
      <c r="AL892" s="98" t="b">
        <f>COUNTIFS(stable[qno],questions[[#This Row],[qno]])=1</f>
        <v>1</v>
      </c>
      <c r="AM892" s="98" t="b">
        <f>OR(questions[[#This Row],[is_fixed]],questions[[#This Row],[is_localized]],questions[[#This Row],[is_supply_chain_dependent]])</f>
        <v>1</v>
      </c>
      <c r="AN892" s="98" t="b">
        <f>COUNTIFS(questions[[#This Row],[is_automated]:[is_multi_select]],TRUE)=1</f>
        <v>1</v>
      </c>
      <c r="AO892" s="98" t="b">
        <f>IF(questions[[#This Row],[is_fixed]],questions[[#This Row],[question]]=INDEX(stable[question],MATCH(questions[[#This Row],[qno]],stable[qno],0)),TRUE)</f>
        <v>1</v>
      </c>
      <c r="AP892" s="98" t="str">
        <f>LEFT(questions[[#This Row],[question]],similarity_range)</f>
        <v>If yes, what was the</v>
      </c>
      <c r="AQ892" s="98" t="str">
        <f>LEFT(INDEX(stable[question],MATCH(questions[[#This Row],[qno]],stable[qno],0)),similarity_range)</f>
        <v>If yes, what were th</v>
      </c>
      <c r="AR892" s="98" t="b">
        <f>questions[[#This Row],[question_first_characters]]=questions[[#This Row],[stability_first_characters]]</f>
        <v>0</v>
      </c>
      <c r="AS892" s="98" t="b">
        <f>IF(OR(questions[[#This Row],[is_single_select]],questions[[#This Row],[is_multi_select]]),NOT(ISBLANK(questions[[#This Row],[answer_opt_combined]])),TRUE)</f>
        <v>1</v>
      </c>
    </row>
    <row r="893" spans="1:45" ht="15.75" customHeight="1" x14ac:dyDescent="0.25">
      <c r="A893" s="9" t="str">
        <f>_xlfn.TEXTJOIN("_",TRUE,questions[[#This Row],[origin]:[qno]])</f>
        <v>Uganda_Robusta_Nespresso_6012</v>
      </c>
      <c r="B893" s="9" t="s">
        <v>511</v>
      </c>
      <c r="C893" s="9" t="s">
        <v>674</v>
      </c>
      <c r="D893" s="9" t="s">
        <v>864</v>
      </c>
      <c r="F893" s="24" t="s">
        <v>576</v>
      </c>
      <c r="G893" s="15" t="s">
        <v>895</v>
      </c>
      <c r="H893" s="9" t="str" cm="1">
        <f t="array" ref="H893">INDEX(stableR[question],MATCH(VALUE(questions[[#This Row],[qno]]),VALUE(stableR[qno]),0))</f>
        <v>How many days in total did you hire people for this main activity, during the fly season? (Number of days)</v>
      </c>
      <c r="I893" s="9" t="b" cm="1">
        <f t="array" ref="I893">INDEX(stable[is_fixed],MATCH(VALUE(questions[[#This Row],[qno]]),VALUE(stable[qno]),0))</f>
        <v>0</v>
      </c>
      <c r="J893" s="9" t="b" cm="1">
        <f t="array" ref="J893">INDEX(stable[is_localized],MATCH(VALUE(questions[[#This Row],[qno]]),VALUE(stable[qno]),0))</f>
        <v>1</v>
      </c>
      <c r="K893" s="9" t="b" cm="1">
        <f t="array" ref="K893">INDEX(stable[is_supply_chain_dependent],MATCH(VALUE(questions[[#This Row],[qno]]),VALUE(stable[qno]),0))</f>
        <v>0</v>
      </c>
      <c r="L893" s="9" t="b" cm="1">
        <f t="array" ref="L893">INDEX(stable[is_mandatory],MATCH(VALUE(questions[[#This Row],[qno]]),VALUE(stable[qno]),0))</f>
        <v>0</v>
      </c>
      <c r="M893" s="9" t="b" cm="1">
        <f t="array" ref="M893">INDEX(stable[is_automated],MATCH(VALUE(questions[[#This Row],[qno]]),VALUE(stable[qno]),0))</f>
        <v>0</v>
      </c>
      <c r="N893" s="9" t="b" cm="1">
        <f t="array" ref="N893">INDEX(stable[is_free_text],MATCH(VALUE(questions[[#This Row],[qno]]),VALUE(stable[qno]),0))</f>
        <v>0</v>
      </c>
      <c r="O893" s="9" t="b" cm="1">
        <f t="array" ref="O893">INDEX(stable[is_numerical],MATCH(VALUE(questions[[#This Row],[qno]]),VALUE(stable[qno]),0))</f>
        <v>1</v>
      </c>
      <c r="P893" s="9" t="b" cm="1">
        <f t="array" ref="P893">INDEX(stable[is_single_select],MATCH(VALUE(questions[[#This Row],[qno]]),VALUE(stable[qno]),0))</f>
        <v>0</v>
      </c>
      <c r="Q893" s="9" t="b" cm="1">
        <f t="array" ref="Q893">INDEX(stable[is_multi_select],MATCH(VALUE(questions[[#This Row],[qno]]),VALUE(stable[qno]),0))</f>
        <v>0</v>
      </c>
      <c r="R893" s="9" t="b" cm="1">
        <f t="array" ref="R893">INDEX(stable[is_skip_logic],MATCH(VALUE(questions[[#This Row],[qno]]),VALUE(stable[qno]),0))</f>
        <v>1</v>
      </c>
      <c r="S893" s="9" t="str">
        <f>_xlfn.TEXTJOIN(", ",TRUE,questions[[#This Row],[ans_opt_1]:[ans_opt_14]])</f>
        <v/>
      </c>
      <c r="AH893" s="16" t="b">
        <f>INDEX(stable[q_standard],MATCH(questions[[#This Row],[qno]],stable[qno],0))</f>
        <v>0</v>
      </c>
      <c r="AI893" s="16" t="b">
        <f>INDEX(stable[q_living_income],MATCH(questions[[#This Row],[qno]],stable[qno],0))</f>
        <v>1</v>
      </c>
      <c r="AJ893" s="16" t="b">
        <f>INDEX(stable[q_carbon],MATCH(questions[[#This Row],[qno]],stable[qno],0))</f>
        <v>0</v>
      </c>
      <c r="AK893" s="16" t="b">
        <f>INDEX(stable[q_regen_ag],MATCH(questions[[#This Row],[qno]],stable[qno],0))</f>
        <v>0</v>
      </c>
      <c r="AL893" s="16" t="b">
        <f>COUNTIFS(stable[qno],questions[[#This Row],[qno]])=1</f>
        <v>1</v>
      </c>
      <c r="AM893" s="16" t="b">
        <f>OR(questions[[#This Row],[is_fixed]],questions[[#This Row],[is_localized]],questions[[#This Row],[is_supply_chain_dependent]])</f>
        <v>1</v>
      </c>
      <c r="AN893" s="16" t="b">
        <f>COUNTIFS(questions[[#This Row],[is_automated]:[is_multi_select]],TRUE)=1</f>
        <v>1</v>
      </c>
      <c r="AO893" s="16" t="b">
        <f>IF(questions[[#This Row],[is_fixed]],questions[[#This Row],[question]]=INDEX(stable[question],MATCH(questions[[#This Row],[qno]],stable[qno],0)),TRUE)</f>
        <v>1</v>
      </c>
      <c r="AP893" s="16" t="str">
        <f>LEFT(questions[[#This Row],[question]],similarity_range)</f>
        <v>If yes, how many day</v>
      </c>
      <c r="AQ893" s="16" t="str">
        <f>LEFT(INDEX(stable[question],MATCH(questions[[#This Row],[qno]],stable[qno],0)),similarity_range)</f>
        <v>If yes, how many day</v>
      </c>
      <c r="AR893" s="16" t="b">
        <f>questions[[#This Row],[question_first_characters]]=questions[[#This Row],[stability_first_characters]]</f>
        <v>1</v>
      </c>
      <c r="AS893" s="16" t="b">
        <f>IF(OR(questions[[#This Row],[is_single_select]],questions[[#This Row],[is_multi_select]]),NOT(ISBLANK(questions[[#This Row],[answer_opt_combined]])),TRUE)</f>
        <v>1</v>
      </c>
    </row>
    <row r="894" spans="1:45" ht="15.75" customHeight="1" x14ac:dyDescent="0.25">
      <c r="A894" s="9" t="str">
        <f>_xlfn.TEXTJOIN("_",TRUE,questions[[#This Row],[origin]:[qno]])</f>
        <v>Uganda_Robusta_Nespresso_6013</v>
      </c>
      <c r="B894" s="9" t="s">
        <v>511</v>
      </c>
      <c r="C894" s="9" t="s">
        <v>674</v>
      </c>
      <c r="D894" s="9" t="s">
        <v>864</v>
      </c>
      <c r="F894" s="24" t="s">
        <v>578</v>
      </c>
      <c r="G894" s="15" t="s">
        <v>896</v>
      </c>
      <c r="H894" s="9" t="str" cm="1">
        <f t="array" ref="H894">INDEX(stableR[question],MATCH(VALUE(questions[[#This Row],[qno]]),VALUE(stableR[qno]),0))</f>
        <v>How many people did you typically hire per day for this main activity during fly season?</v>
      </c>
      <c r="I894" s="9" t="b" cm="1">
        <f t="array" ref="I894">INDEX(stable[is_fixed],MATCH(VALUE(questions[[#This Row],[qno]]),VALUE(stable[qno]),0))</f>
        <v>0</v>
      </c>
      <c r="J894" s="9" t="b" cm="1">
        <f t="array" ref="J894">INDEX(stable[is_localized],MATCH(VALUE(questions[[#This Row],[qno]]),VALUE(stable[qno]),0))</f>
        <v>1</v>
      </c>
      <c r="K894" s="9" t="b" cm="1">
        <f t="array" ref="K894">INDEX(stable[is_supply_chain_dependent],MATCH(VALUE(questions[[#This Row],[qno]]),VALUE(stable[qno]),0))</f>
        <v>0</v>
      </c>
      <c r="L894" s="9" t="b" cm="1">
        <f t="array" ref="L894">INDEX(stable[is_mandatory],MATCH(VALUE(questions[[#This Row],[qno]]),VALUE(stable[qno]),0))</f>
        <v>0</v>
      </c>
      <c r="M894" s="9" t="b" cm="1">
        <f t="array" ref="M894">INDEX(stable[is_automated],MATCH(VALUE(questions[[#This Row],[qno]]),VALUE(stable[qno]),0))</f>
        <v>0</v>
      </c>
      <c r="N894" s="9" t="b" cm="1">
        <f t="array" ref="N894">INDEX(stable[is_free_text],MATCH(VALUE(questions[[#This Row],[qno]]),VALUE(stable[qno]),0))</f>
        <v>0</v>
      </c>
      <c r="O894" s="9" t="b" cm="1">
        <f t="array" ref="O894">INDEX(stable[is_numerical],MATCH(VALUE(questions[[#This Row],[qno]]),VALUE(stable[qno]),0))</f>
        <v>1</v>
      </c>
      <c r="P894" s="9" t="b" cm="1">
        <f t="array" ref="P894">INDEX(stable[is_single_select],MATCH(VALUE(questions[[#This Row],[qno]]),VALUE(stable[qno]),0))</f>
        <v>0</v>
      </c>
      <c r="Q894" s="9" t="b" cm="1">
        <f t="array" ref="Q894">INDEX(stable[is_multi_select],MATCH(VALUE(questions[[#This Row],[qno]]),VALUE(stable[qno]),0))</f>
        <v>0</v>
      </c>
      <c r="R894" s="9" t="b" cm="1">
        <f t="array" ref="R894">INDEX(stable[is_skip_logic],MATCH(VALUE(questions[[#This Row],[qno]]),VALUE(stable[qno]),0))</f>
        <v>1</v>
      </c>
      <c r="S894" s="9" t="str">
        <f>_xlfn.TEXTJOIN(", ",TRUE,questions[[#This Row],[ans_opt_1]:[ans_opt_14]])</f>
        <v/>
      </c>
      <c r="AH894" s="16" t="b">
        <f>INDEX(stable[q_standard],MATCH(questions[[#This Row],[qno]],stable[qno],0))</f>
        <v>0</v>
      </c>
      <c r="AI894" s="16" t="b">
        <f>INDEX(stable[q_living_income],MATCH(questions[[#This Row],[qno]],stable[qno],0))</f>
        <v>1</v>
      </c>
      <c r="AJ894" s="16" t="b">
        <f>INDEX(stable[q_carbon],MATCH(questions[[#This Row],[qno]],stable[qno],0))</f>
        <v>0</v>
      </c>
      <c r="AK894" s="16" t="b">
        <f>INDEX(stable[q_regen_ag],MATCH(questions[[#This Row],[qno]],stable[qno],0))</f>
        <v>0</v>
      </c>
      <c r="AL894" s="16" t="b">
        <f>COUNTIFS(stable[qno],questions[[#This Row],[qno]])=1</f>
        <v>1</v>
      </c>
      <c r="AM894" s="16" t="b">
        <f>OR(questions[[#This Row],[is_fixed]],questions[[#This Row],[is_localized]],questions[[#This Row],[is_supply_chain_dependent]])</f>
        <v>1</v>
      </c>
      <c r="AN894" s="16" t="b">
        <f>COUNTIFS(questions[[#This Row],[is_automated]:[is_multi_select]],TRUE)=1</f>
        <v>1</v>
      </c>
      <c r="AO894" s="16" t="b">
        <f>IF(questions[[#This Row],[is_fixed]],questions[[#This Row],[question]]=INDEX(stable[question],MATCH(questions[[#This Row],[qno]],stable[qno],0)),TRUE)</f>
        <v>1</v>
      </c>
      <c r="AP894" s="16" t="str">
        <f>LEFT(questions[[#This Row],[question]],similarity_range)</f>
        <v>If yes, every day, h</v>
      </c>
      <c r="AQ894" s="16" t="str">
        <f>LEFT(INDEX(stable[question],MATCH(questions[[#This Row],[qno]],stable[qno],0)),similarity_range)</f>
        <v>If yes, how many peo</v>
      </c>
      <c r="AR894" s="16" t="b">
        <f>questions[[#This Row],[question_first_characters]]=questions[[#This Row],[stability_first_characters]]</f>
        <v>0</v>
      </c>
      <c r="AS894" s="16" t="b">
        <f>IF(OR(questions[[#This Row],[is_single_select]],questions[[#This Row],[is_multi_select]]),NOT(ISBLANK(questions[[#This Row],[answer_opt_combined]])),TRUE)</f>
        <v>1</v>
      </c>
    </row>
    <row r="895" spans="1:45" s="77" customFormat="1" ht="15.75" customHeight="1" x14ac:dyDescent="0.25">
      <c r="A895" s="77" t="str">
        <f>_xlfn.TEXTJOIN("_",TRUE,questions[[#This Row],[origin]:[qno]])</f>
        <v>Uganda_Robusta_Nespresso_6020</v>
      </c>
      <c r="B895" s="77" t="s">
        <v>511</v>
      </c>
      <c r="C895" s="77" t="s">
        <v>674</v>
      </c>
      <c r="D895" s="77" t="s">
        <v>864</v>
      </c>
      <c r="F895" s="104" t="s">
        <v>580</v>
      </c>
      <c r="G895" s="78" t="s">
        <v>897</v>
      </c>
      <c r="H895" s="9" t="str" cm="1">
        <f t="array" ref="H895">INDEX(stableR[question],MATCH(VALUE(questions[[#This Row],[qno]]),VALUE(stableR[qno]),0))</f>
        <v>Did you hire any people to work on your coffee plots for seasonal activities during the main season, last year?</v>
      </c>
      <c r="I895" s="9" t="b" cm="1">
        <f t="array" ref="I895">INDEX(stable[is_fixed],MATCH(VALUE(questions[[#This Row],[qno]]),VALUE(stable[qno]),0))</f>
        <v>0</v>
      </c>
      <c r="J895" s="9" t="b" cm="1">
        <f t="array" ref="J895">INDEX(stable[is_localized],MATCH(VALUE(questions[[#This Row],[qno]]),VALUE(stable[qno]),0))</f>
        <v>0</v>
      </c>
      <c r="K895" s="9" t="b" cm="1">
        <f t="array" ref="K895">INDEX(stable[is_supply_chain_dependent],MATCH(VALUE(questions[[#This Row],[qno]]),VALUE(stable[qno]),0))</f>
        <v>1</v>
      </c>
      <c r="L895" s="9" t="b" cm="1">
        <f t="array" ref="L895">INDEX(stable[is_mandatory],MATCH(VALUE(questions[[#This Row],[qno]]),VALUE(stable[qno]),0))</f>
        <v>1</v>
      </c>
      <c r="M895" s="9" t="b" cm="1">
        <f t="array" ref="M895">INDEX(stable[is_automated],MATCH(VALUE(questions[[#This Row],[qno]]),VALUE(stable[qno]),0))</f>
        <v>0</v>
      </c>
      <c r="N895" s="9" t="b" cm="1">
        <f t="array" ref="N895">INDEX(stable[is_free_text],MATCH(VALUE(questions[[#This Row],[qno]]),VALUE(stable[qno]),0))</f>
        <v>0</v>
      </c>
      <c r="O895" s="9" t="b" cm="1">
        <f t="array" ref="O895">INDEX(stable[is_numerical],MATCH(VALUE(questions[[#This Row],[qno]]),VALUE(stable[qno]),0))</f>
        <v>0</v>
      </c>
      <c r="P895" s="77" t="b" cm="1">
        <f t="array" ref="P895">INDEX(stable[is_single_select],MATCH(VALUE(questions[[#This Row],[qno]]),VALUE(stable[qno]),0))</f>
        <v>1</v>
      </c>
      <c r="Q895" s="77" t="b" cm="1">
        <f t="array" ref="Q895">INDEX(stable[is_multi_select],MATCH(VALUE(questions[[#This Row],[qno]]),VALUE(stable[qno]),0))</f>
        <v>0</v>
      </c>
      <c r="R895" s="77" t="b" cm="1">
        <f t="array" ref="R895">INDEX(stable[is_skip_logic],MATCH(VALUE(questions[[#This Row],[qno]]),VALUE(stable[qno]),0))</f>
        <v>1</v>
      </c>
      <c r="S895" s="77" t="str">
        <f>_xlfn.TEXTJOIN(", ",TRUE,questions[[#This Row],[ans_opt_1]:[ans_opt_14]])</f>
        <v>Yes, No</v>
      </c>
      <c r="T895" s="77" t="s">
        <v>149</v>
      </c>
      <c r="U895" s="77" t="s">
        <v>119</v>
      </c>
      <c r="AH895" s="98" t="b">
        <f>INDEX(stable[q_standard],MATCH(questions[[#This Row],[qno]],stable[qno],0))</f>
        <v>0</v>
      </c>
      <c r="AI895" s="98" t="b">
        <f>INDEX(stable[q_living_income],MATCH(questions[[#This Row],[qno]],stable[qno],0))</f>
        <v>1</v>
      </c>
      <c r="AJ895" s="98" t="b">
        <f>INDEX(stable[q_carbon],MATCH(questions[[#This Row],[qno]],stable[qno],0))</f>
        <v>0</v>
      </c>
      <c r="AK895" s="98" t="b">
        <f>INDEX(stable[q_regen_ag],MATCH(questions[[#This Row],[qno]],stable[qno],0))</f>
        <v>0</v>
      </c>
      <c r="AL895" s="98" t="b">
        <f>COUNTIFS(stable[qno],questions[[#This Row],[qno]])=1</f>
        <v>1</v>
      </c>
      <c r="AM895" s="98" t="b">
        <f>OR(questions[[#This Row],[is_fixed]],questions[[#This Row],[is_localized]],questions[[#This Row],[is_supply_chain_dependent]])</f>
        <v>1</v>
      </c>
      <c r="AN895" s="98" t="b">
        <f>COUNTIFS(questions[[#This Row],[is_automated]:[is_multi_select]],TRUE)=1</f>
        <v>1</v>
      </c>
      <c r="AO895" s="98" t="b">
        <f>IF(questions[[#This Row],[is_fixed]],questions[[#This Row],[question]]=INDEX(stable[question],MATCH(questions[[#This Row],[qno]],stable[qno],0)),TRUE)</f>
        <v>1</v>
      </c>
      <c r="AP895" s="98" t="str">
        <f>LEFT(questions[[#This Row],[question]],similarity_range)</f>
        <v>Did you hire any peo</v>
      </c>
      <c r="AQ895" s="98" t="str">
        <f>LEFT(INDEX(stable[question],MATCH(questions[[#This Row],[qno]],stable[qno],0)),similarity_range)</f>
        <v>Did you hire any peo</v>
      </c>
      <c r="AR895" s="98" t="b">
        <f>questions[[#This Row],[question_first_characters]]=questions[[#This Row],[stability_first_characters]]</f>
        <v>1</v>
      </c>
      <c r="AS895" s="98" t="b">
        <f>IF(OR(questions[[#This Row],[is_single_select]],questions[[#This Row],[is_multi_select]]),NOT(ISBLANK(questions[[#This Row],[answer_opt_combined]])),TRUE)</f>
        <v>1</v>
      </c>
    </row>
    <row r="896" spans="1:45" s="77" customFormat="1" ht="15.75" customHeight="1" x14ac:dyDescent="0.25">
      <c r="A896" s="77" t="str">
        <f>_xlfn.TEXTJOIN("_",TRUE,questions[[#This Row],[origin]:[qno]])</f>
        <v>Uganda_Robusta_Nespresso_6021</v>
      </c>
      <c r="B896" s="77" t="s">
        <v>511</v>
      </c>
      <c r="C896" s="77" t="s">
        <v>674</v>
      </c>
      <c r="D896" s="77" t="s">
        <v>864</v>
      </c>
      <c r="F896" s="104" t="s">
        <v>582</v>
      </c>
      <c r="G896" s="78" t="s">
        <v>583</v>
      </c>
      <c r="H896" s="9" t="str" cm="1">
        <f t="array" ref="H896">INDEX(stableR[question],MATCH(VALUE(questions[[#This Row],[qno]]),VALUE(stableR[qno]),0))</f>
        <v>What were the activities that you hired people for, during the main season?</v>
      </c>
      <c r="I896" s="9" t="b" cm="1">
        <f t="array" ref="I896">INDEX(stable[is_fixed],MATCH(VALUE(questions[[#This Row],[qno]]),VALUE(stable[qno]),0))</f>
        <v>0</v>
      </c>
      <c r="J896" s="9" t="b" cm="1">
        <f t="array" ref="J896">INDEX(stable[is_localized],MATCH(VALUE(questions[[#This Row],[qno]]),VALUE(stable[qno]),0))</f>
        <v>0</v>
      </c>
      <c r="K896" s="9" t="b" cm="1">
        <f t="array" ref="K896">INDEX(stable[is_supply_chain_dependent],MATCH(VALUE(questions[[#This Row],[qno]]),VALUE(stable[qno]),0))</f>
        <v>1</v>
      </c>
      <c r="L896" s="9" t="b" cm="1">
        <f t="array" ref="L896">INDEX(stable[is_mandatory],MATCH(VALUE(questions[[#This Row],[qno]]),VALUE(stable[qno]),0))</f>
        <v>0</v>
      </c>
      <c r="M896" s="9" t="b" cm="1">
        <f t="array" ref="M896">INDEX(stable[is_automated],MATCH(VALUE(questions[[#This Row],[qno]]),VALUE(stable[qno]),0))</f>
        <v>0</v>
      </c>
      <c r="N896" s="9" t="b" cm="1">
        <f t="array" ref="N896">INDEX(stable[is_free_text],MATCH(VALUE(questions[[#This Row],[qno]]),VALUE(stable[qno]),0))</f>
        <v>0</v>
      </c>
      <c r="O896" s="9" t="b" cm="1">
        <f t="array" ref="O896">INDEX(stable[is_numerical],MATCH(VALUE(questions[[#This Row],[qno]]),VALUE(stable[qno]),0))</f>
        <v>0</v>
      </c>
      <c r="P896" s="77" t="b" cm="1">
        <f t="array" ref="P896">INDEX(stable[is_single_select],MATCH(VALUE(questions[[#This Row],[qno]]),VALUE(stable[qno]),0))</f>
        <v>0</v>
      </c>
      <c r="Q896" s="77" t="b" cm="1">
        <f t="array" ref="Q896">INDEX(stable[is_multi_select],MATCH(VALUE(questions[[#This Row],[qno]]),VALUE(stable[qno]),0))</f>
        <v>1</v>
      </c>
      <c r="R896" s="77" t="b" cm="1">
        <f t="array" ref="R896">INDEX(stable[is_skip_logic],MATCH(VALUE(questions[[#This Row],[qno]]),VALUE(stable[qno]),0))</f>
        <v>1</v>
      </c>
      <c r="S896" s="77" t="str">
        <f>_xlfn.TEXTJOIN(", ",TRUE,questions[[#This Row],[ans_opt_1]:[ans_opt_14]])</f>
        <v>Harvesting, Pruning, Weeding, Spraying, Planting new trees, Other, NA</v>
      </c>
      <c r="T896" s="77" t="s">
        <v>246</v>
      </c>
      <c r="U896" s="77" t="s">
        <v>247</v>
      </c>
      <c r="V896" s="77" t="s">
        <v>248</v>
      </c>
      <c r="W896" s="77" t="s">
        <v>249</v>
      </c>
      <c r="X896" s="77" t="s">
        <v>250</v>
      </c>
      <c r="Y896" s="77" t="s">
        <v>112</v>
      </c>
      <c r="Z896" s="77" t="s">
        <v>251</v>
      </c>
      <c r="AH896" s="98" t="b">
        <f>INDEX(stable[q_standard],MATCH(questions[[#This Row],[qno]],stable[qno],0))</f>
        <v>0</v>
      </c>
      <c r="AI896" s="98" t="b">
        <f>INDEX(stable[q_living_income],MATCH(questions[[#This Row],[qno]],stable[qno],0))</f>
        <v>1</v>
      </c>
      <c r="AJ896" s="98" t="b">
        <f>INDEX(stable[q_carbon],MATCH(questions[[#This Row],[qno]],stable[qno],0))</f>
        <v>0</v>
      </c>
      <c r="AK896" s="98" t="b">
        <f>INDEX(stable[q_regen_ag],MATCH(questions[[#This Row],[qno]],stable[qno],0))</f>
        <v>0</v>
      </c>
      <c r="AL896" s="98" t="b">
        <f>COUNTIFS(stable[qno],questions[[#This Row],[qno]])=1</f>
        <v>1</v>
      </c>
      <c r="AM896" s="98" t="b">
        <f>OR(questions[[#This Row],[is_fixed]],questions[[#This Row],[is_localized]],questions[[#This Row],[is_supply_chain_dependent]])</f>
        <v>1</v>
      </c>
      <c r="AN896" s="98" t="b">
        <f>COUNTIFS(questions[[#This Row],[is_automated]:[is_multi_select]],TRUE)=1</f>
        <v>1</v>
      </c>
      <c r="AO896" s="98" t="b">
        <f>IF(questions[[#This Row],[is_fixed]],questions[[#This Row],[question]]=INDEX(stable[question],MATCH(questions[[#This Row],[qno]],stable[qno],0)),TRUE)</f>
        <v>1</v>
      </c>
      <c r="AP896" s="98" t="str">
        <f>LEFT(questions[[#This Row],[question]],similarity_range)</f>
        <v>If yes, what was the</v>
      </c>
      <c r="AQ896" s="98" t="str">
        <f>LEFT(INDEX(stable[question],MATCH(questions[[#This Row],[qno]],stable[qno],0)),similarity_range)</f>
        <v>If yes, what were th</v>
      </c>
      <c r="AR896" s="98" t="b">
        <f>questions[[#This Row],[question_first_characters]]=questions[[#This Row],[stability_first_characters]]</f>
        <v>0</v>
      </c>
      <c r="AS896" s="98" t="b">
        <f>IF(OR(questions[[#This Row],[is_single_select]],questions[[#This Row],[is_multi_select]]),NOT(ISBLANK(questions[[#This Row],[answer_opt_combined]])),TRUE)</f>
        <v>1</v>
      </c>
    </row>
    <row r="897" spans="1:45" ht="15.75" customHeight="1" x14ac:dyDescent="0.25">
      <c r="A897" s="9" t="str">
        <f>_xlfn.TEXTJOIN("_",TRUE,questions[[#This Row],[origin]:[qno]])</f>
        <v>Uganda_Robusta_Nespresso_6022</v>
      </c>
      <c r="B897" s="9" t="s">
        <v>511</v>
      </c>
      <c r="C897" s="9" t="s">
        <v>674</v>
      </c>
      <c r="D897" s="9" t="s">
        <v>864</v>
      </c>
      <c r="F897" s="24" t="s">
        <v>584</v>
      </c>
      <c r="G897" s="15" t="s">
        <v>585</v>
      </c>
      <c r="H897" s="9" t="str" cm="1">
        <f t="array" ref="H897">INDEX(stableR[question],MATCH(VALUE(questions[[#This Row],[qno]]),VALUE(stableR[qno]),0))</f>
        <v>How many days in total did you hire people for this main activity, during the main season? (Number of days)</v>
      </c>
      <c r="I897" s="9" t="b" cm="1">
        <f t="array" ref="I897">INDEX(stable[is_fixed],MATCH(VALUE(questions[[#This Row],[qno]]),VALUE(stable[qno]),0))</f>
        <v>0</v>
      </c>
      <c r="J897" s="9" t="b" cm="1">
        <f t="array" ref="J897">INDEX(stable[is_localized],MATCH(VALUE(questions[[#This Row],[qno]]),VALUE(stable[qno]),0))</f>
        <v>0</v>
      </c>
      <c r="K897" s="9" t="b" cm="1">
        <f t="array" ref="K897">INDEX(stable[is_supply_chain_dependent],MATCH(VALUE(questions[[#This Row],[qno]]),VALUE(stable[qno]),0))</f>
        <v>1</v>
      </c>
      <c r="L897" s="9" t="b" cm="1">
        <f t="array" ref="L897">INDEX(stable[is_mandatory],MATCH(VALUE(questions[[#This Row],[qno]]),VALUE(stable[qno]),0))</f>
        <v>0</v>
      </c>
      <c r="M897" s="9" t="b" cm="1">
        <f t="array" ref="M897">INDEX(stable[is_automated],MATCH(VALUE(questions[[#This Row],[qno]]),VALUE(stable[qno]),0))</f>
        <v>0</v>
      </c>
      <c r="N897" s="9" t="b" cm="1">
        <f t="array" ref="N897">INDEX(stable[is_free_text],MATCH(VALUE(questions[[#This Row],[qno]]),VALUE(stable[qno]),0))</f>
        <v>0</v>
      </c>
      <c r="O897" s="9" t="b" cm="1">
        <f t="array" ref="O897">INDEX(stable[is_numerical],MATCH(VALUE(questions[[#This Row],[qno]]),VALUE(stable[qno]),0))</f>
        <v>1</v>
      </c>
      <c r="P897" s="9" t="b" cm="1">
        <f t="array" ref="P897">INDEX(stable[is_single_select],MATCH(VALUE(questions[[#This Row],[qno]]),VALUE(stable[qno]),0))</f>
        <v>0</v>
      </c>
      <c r="Q897" s="9" t="b" cm="1">
        <f t="array" ref="Q897">INDEX(stable[is_multi_select],MATCH(VALUE(questions[[#This Row],[qno]]),VALUE(stable[qno]),0))</f>
        <v>0</v>
      </c>
      <c r="R897" s="9" t="b" cm="1">
        <f t="array" ref="R897">INDEX(stable[is_skip_logic],MATCH(VALUE(questions[[#This Row],[qno]]),VALUE(stable[qno]),0))</f>
        <v>1</v>
      </c>
      <c r="S897" s="9" t="str">
        <f>_xlfn.TEXTJOIN(", ",TRUE,questions[[#This Row],[ans_opt_1]:[ans_opt_14]])</f>
        <v/>
      </c>
      <c r="AH897" s="16" t="b">
        <f>INDEX(stable[q_standard],MATCH(questions[[#This Row],[qno]],stable[qno],0))</f>
        <v>0</v>
      </c>
      <c r="AI897" s="16" t="b">
        <f>INDEX(stable[q_living_income],MATCH(questions[[#This Row],[qno]],stable[qno],0))</f>
        <v>1</v>
      </c>
      <c r="AJ897" s="16" t="b">
        <f>INDEX(stable[q_carbon],MATCH(questions[[#This Row],[qno]],stable[qno],0))</f>
        <v>0</v>
      </c>
      <c r="AK897" s="16" t="b">
        <f>INDEX(stable[q_regen_ag],MATCH(questions[[#This Row],[qno]],stable[qno],0))</f>
        <v>0</v>
      </c>
      <c r="AL897" s="16" t="b">
        <f>COUNTIFS(stable[qno],questions[[#This Row],[qno]])=1</f>
        <v>1</v>
      </c>
      <c r="AM897" s="16" t="b">
        <f>OR(questions[[#This Row],[is_fixed]],questions[[#This Row],[is_localized]],questions[[#This Row],[is_supply_chain_dependent]])</f>
        <v>1</v>
      </c>
      <c r="AN897" s="16" t="b">
        <f>COUNTIFS(questions[[#This Row],[is_automated]:[is_multi_select]],TRUE)=1</f>
        <v>1</v>
      </c>
      <c r="AO897" s="16" t="b">
        <f>IF(questions[[#This Row],[is_fixed]],questions[[#This Row],[question]]=INDEX(stable[question],MATCH(questions[[#This Row],[qno]],stable[qno],0)),TRUE)</f>
        <v>1</v>
      </c>
      <c r="AP897" s="16" t="str">
        <f>LEFT(questions[[#This Row],[question]],similarity_range)</f>
        <v>If yes, how many day</v>
      </c>
      <c r="AQ897" s="16" t="str">
        <f>LEFT(INDEX(stable[question],MATCH(questions[[#This Row],[qno]],stable[qno],0)),similarity_range)</f>
        <v>If yes, how many day</v>
      </c>
      <c r="AR897" s="16" t="b">
        <f>questions[[#This Row],[question_first_characters]]=questions[[#This Row],[stability_first_characters]]</f>
        <v>1</v>
      </c>
      <c r="AS897" s="16" t="b">
        <f>IF(OR(questions[[#This Row],[is_single_select]],questions[[#This Row],[is_multi_select]]),NOT(ISBLANK(questions[[#This Row],[answer_opt_combined]])),TRUE)</f>
        <v>1</v>
      </c>
    </row>
    <row r="898" spans="1:45" ht="15.75" customHeight="1" x14ac:dyDescent="0.25">
      <c r="A898" s="9" t="str">
        <f>_xlfn.TEXTJOIN("_",TRUE,questions[[#This Row],[origin]:[qno]])</f>
        <v>Uganda_Robusta_Nespresso_6023</v>
      </c>
      <c r="B898" s="9" t="s">
        <v>511</v>
      </c>
      <c r="C898" s="9" t="s">
        <v>674</v>
      </c>
      <c r="D898" s="9" t="s">
        <v>864</v>
      </c>
      <c r="F898" s="24" t="s">
        <v>586</v>
      </c>
      <c r="G898" s="15" t="s">
        <v>587</v>
      </c>
      <c r="H898" s="9" t="str" cm="1">
        <f t="array" ref="H898">INDEX(stableR[question],MATCH(VALUE(questions[[#This Row],[qno]]),VALUE(stableR[qno]),0))</f>
        <v>How many people did you typically hire per day for this main activity during main season?</v>
      </c>
      <c r="I898" s="9" t="b" cm="1">
        <f t="array" ref="I898">INDEX(stable[is_fixed],MATCH(VALUE(questions[[#This Row],[qno]]),VALUE(stable[qno]),0))</f>
        <v>0</v>
      </c>
      <c r="J898" s="9" t="b" cm="1">
        <f t="array" ref="J898">INDEX(stable[is_localized],MATCH(VALUE(questions[[#This Row],[qno]]),VALUE(stable[qno]),0))</f>
        <v>0</v>
      </c>
      <c r="K898" s="9" t="b" cm="1">
        <f t="array" ref="K898">INDEX(stable[is_supply_chain_dependent],MATCH(VALUE(questions[[#This Row],[qno]]),VALUE(stable[qno]),0))</f>
        <v>1</v>
      </c>
      <c r="L898" s="9" t="b" cm="1">
        <f t="array" ref="L898">INDEX(stable[is_mandatory],MATCH(VALUE(questions[[#This Row],[qno]]),VALUE(stable[qno]),0))</f>
        <v>0</v>
      </c>
      <c r="M898" s="9" t="b" cm="1">
        <f t="array" ref="M898">INDEX(stable[is_automated],MATCH(VALUE(questions[[#This Row],[qno]]),VALUE(stable[qno]),0))</f>
        <v>0</v>
      </c>
      <c r="N898" s="9" t="b" cm="1">
        <f t="array" ref="N898">INDEX(stable[is_free_text],MATCH(VALUE(questions[[#This Row],[qno]]),VALUE(stable[qno]),0))</f>
        <v>0</v>
      </c>
      <c r="O898" s="9" t="b" cm="1">
        <f t="array" ref="O898">INDEX(stable[is_numerical],MATCH(VALUE(questions[[#This Row],[qno]]),VALUE(stable[qno]),0))</f>
        <v>1</v>
      </c>
      <c r="P898" s="9" t="b" cm="1">
        <f t="array" ref="P898">INDEX(stable[is_single_select],MATCH(VALUE(questions[[#This Row],[qno]]),VALUE(stable[qno]),0))</f>
        <v>0</v>
      </c>
      <c r="Q898" s="9" t="b" cm="1">
        <f t="array" ref="Q898">INDEX(stable[is_multi_select],MATCH(VALUE(questions[[#This Row],[qno]]),VALUE(stable[qno]),0))</f>
        <v>0</v>
      </c>
      <c r="R898" s="9" t="b" cm="1">
        <f t="array" ref="R898">INDEX(stable[is_skip_logic],MATCH(VALUE(questions[[#This Row],[qno]]),VALUE(stable[qno]),0))</f>
        <v>1</v>
      </c>
      <c r="S898" s="9" t="str">
        <f>_xlfn.TEXTJOIN(", ",TRUE,questions[[#This Row],[ans_opt_1]:[ans_opt_14]])</f>
        <v/>
      </c>
      <c r="AH898" s="16" t="b">
        <f>INDEX(stable[q_standard],MATCH(questions[[#This Row],[qno]],stable[qno],0))</f>
        <v>0</v>
      </c>
      <c r="AI898" s="16" t="b">
        <f>INDEX(stable[q_living_income],MATCH(questions[[#This Row],[qno]],stable[qno],0))</f>
        <v>1</v>
      </c>
      <c r="AJ898" s="16" t="b">
        <f>INDEX(stable[q_carbon],MATCH(questions[[#This Row],[qno]],stable[qno],0))</f>
        <v>0</v>
      </c>
      <c r="AK898" s="16" t="b">
        <f>INDEX(stable[q_regen_ag],MATCH(questions[[#This Row],[qno]],stable[qno],0))</f>
        <v>0</v>
      </c>
      <c r="AL898" s="16" t="b">
        <f>COUNTIFS(stable[qno],questions[[#This Row],[qno]])=1</f>
        <v>1</v>
      </c>
      <c r="AM898" s="16" t="b">
        <f>OR(questions[[#This Row],[is_fixed]],questions[[#This Row],[is_localized]],questions[[#This Row],[is_supply_chain_dependent]])</f>
        <v>1</v>
      </c>
      <c r="AN898" s="16" t="b">
        <f>COUNTIFS(questions[[#This Row],[is_automated]:[is_multi_select]],TRUE)=1</f>
        <v>1</v>
      </c>
      <c r="AO898" s="16" t="b">
        <f>IF(questions[[#This Row],[is_fixed]],questions[[#This Row],[question]]=INDEX(stable[question],MATCH(questions[[#This Row],[qno]],stable[qno],0)),TRUE)</f>
        <v>1</v>
      </c>
      <c r="AP898" s="16" t="str">
        <f>LEFT(questions[[#This Row],[question]],similarity_range)</f>
        <v>If yes, every day, h</v>
      </c>
      <c r="AQ898" s="16" t="str">
        <f>LEFT(INDEX(stable[question],MATCH(questions[[#This Row],[qno]],stable[qno],0)),similarity_range)</f>
        <v>If yes, how many peo</v>
      </c>
      <c r="AR898" s="16" t="b">
        <f>questions[[#This Row],[question_first_characters]]=questions[[#This Row],[stability_first_characters]]</f>
        <v>0</v>
      </c>
      <c r="AS898" s="16" t="b">
        <f>IF(OR(questions[[#This Row],[is_single_select]],questions[[#This Row],[is_multi_select]]),NOT(ISBLANK(questions[[#This Row],[answer_opt_combined]])),TRUE)</f>
        <v>1</v>
      </c>
    </row>
    <row r="899" spans="1:45" s="77" customFormat="1" ht="15.75" customHeight="1" x14ac:dyDescent="0.25">
      <c r="A899" s="77" t="str">
        <f>_xlfn.TEXTJOIN("_",TRUE,questions[[#This Row],[origin]:[qno]])</f>
        <v>Uganda_Robusta_Nespresso_6100</v>
      </c>
      <c r="B899" s="77" t="s">
        <v>511</v>
      </c>
      <c r="C899" s="77" t="s">
        <v>674</v>
      </c>
      <c r="D899" s="77" t="s">
        <v>864</v>
      </c>
      <c r="F899" s="104" t="s">
        <v>256</v>
      </c>
      <c r="G899" s="78" t="s">
        <v>257</v>
      </c>
      <c r="H899" s="9" t="str" cm="1">
        <f t="array" ref="H899">INDEX(stableR[question],MATCH(VALUE(questions[[#This Row],[qno]]),VALUE(stableR[qno]),0))</f>
        <v>Did you use any monetary loan for coffee activities last year?</v>
      </c>
      <c r="I899" s="9" t="b" cm="1">
        <f t="array" ref="I899">INDEX(stable[is_fixed],MATCH(VALUE(questions[[#This Row],[qno]]),VALUE(stable[qno]),0))</f>
        <v>1</v>
      </c>
      <c r="J899" s="9" t="b" cm="1">
        <f t="array" ref="J899">INDEX(stable[is_localized],MATCH(VALUE(questions[[#This Row],[qno]]),VALUE(stable[qno]),0))</f>
        <v>0</v>
      </c>
      <c r="K899" s="9" t="b" cm="1">
        <f t="array" ref="K899">INDEX(stable[is_supply_chain_dependent],MATCH(VALUE(questions[[#This Row],[qno]]),VALUE(stable[qno]),0))</f>
        <v>0</v>
      </c>
      <c r="L899" s="9" t="b" cm="1">
        <f t="array" ref="L899">INDEX(stable[is_mandatory],MATCH(VALUE(questions[[#This Row],[qno]]),VALUE(stable[qno]),0))</f>
        <v>1</v>
      </c>
      <c r="M899" s="9" t="b" cm="1">
        <f t="array" ref="M899">INDEX(stable[is_automated],MATCH(VALUE(questions[[#This Row],[qno]]),VALUE(stable[qno]),0))</f>
        <v>0</v>
      </c>
      <c r="N899" s="9" t="b" cm="1">
        <f t="array" ref="N899">INDEX(stable[is_free_text],MATCH(VALUE(questions[[#This Row],[qno]]),VALUE(stable[qno]),0))</f>
        <v>0</v>
      </c>
      <c r="O899" s="9" t="b" cm="1">
        <f t="array" ref="O899">INDEX(stable[is_numerical],MATCH(VALUE(questions[[#This Row],[qno]]),VALUE(stable[qno]),0))</f>
        <v>0</v>
      </c>
      <c r="P899" s="77" t="b" cm="1">
        <f t="array" ref="P899">INDEX(stable[is_single_select],MATCH(VALUE(questions[[#This Row],[qno]]),VALUE(stable[qno]),0))</f>
        <v>1</v>
      </c>
      <c r="Q899" s="77" t="b" cm="1">
        <f t="array" ref="Q899">INDEX(stable[is_multi_select],MATCH(VALUE(questions[[#This Row],[qno]]),VALUE(stable[qno]),0))</f>
        <v>0</v>
      </c>
      <c r="R899" s="77" t="b" cm="1">
        <f t="array" ref="R899">INDEX(stable[is_skip_logic],MATCH(VALUE(questions[[#This Row],[qno]]),VALUE(stable[qno]),0))</f>
        <v>1</v>
      </c>
      <c r="S899" s="77" t="str">
        <f>_xlfn.TEXTJOIN(", ",TRUE,questions[[#This Row],[ans_opt_1]:[ans_opt_14]])</f>
        <v>Yes, No</v>
      </c>
      <c r="T899" s="77" t="s">
        <v>149</v>
      </c>
      <c r="U899" s="77" t="s">
        <v>119</v>
      </c>
      <c r="AH899" s="98" t="b">
        <f>INDEX(stable[q_standard],MATCH(questions[[#This Row],[qno]],stable[qno],0))</f>
        <v>0</v>
      </c>
      <c r="AI899" s="98" t="b">
        <f>INDEX(stable[q_living_income],MATCH(questions[[#This Row],[qno]],stable[qno],0))</f>
        <v>1</v>
      </c>
      <c r="AJ899" s="98" t="b">
        <f>INDEX(stable[q_carbon],MATCH(questions[[#This Row],[qno]],stable[qno],0))</f>
        <v>0</v>
      </c>
      <c r="AK899" s="98" t="b">
        <f>INDEX(stable[q_regen_ag],MATCH(questions[[#This Row],[qno]],stable[qno],0))</f>
        <v>0</v>
      </c>
      <c r="AL899" s="98" t="b">
        <f>COUNTIFS(stable[qno],questions[[#This Row],[qno]])=1</f>
        <v>1</v>
      </c>
      <c r="AM899" s="98" t="b">
        <f>OR(questions[[#This Row],[is_fixed]],questions[[#This Row],[is_localized]],questions[[#This Row],[is_supply_chain_dependent]])</f>
        <v>1</v>
      </c>
      <c r="AN899" s="98" t="b">
        <f>COUNTIFS(questions[[#This Row],[is_automated]:[is_multi_select]],TRUE)=1</f>
        <v>1</v>
      </c>
      <c r="AO899" s="98" t="b">
        <f>IF(questions[[#This Row],[is_fixed]],questions[[#This Row],[question]]=INDEX(stable[question],MATCH(questions[[#This Row],[qno]],stable[qno],0)),TRUE)</f>
        <v>0</v>
      </c>
      <c r="AP899" s="98" t="str">
        <f>LEFT(questions[[#This Row],[question]],similarity_range)</f>
        <v>Did you use any mone</v>
      </c>
      <c r="AQ899" s="98" t="str">
        <f>LEFT(INDEX(stable[question],MATCH(questions[[#This Row],[qno]],stable[qno],0)),similarity_range)</f>
        <v>Did you use any mone</v>
      </c>
      <c r="AR899" s="98" t="b">
        <f>questions[[#This Row],[question_first_characters]]=questions[[#This Row],[stability_first_characters]]</f>
        <v>1</v>
      </c>
      <c r="AS899" s="98" t="b">
        <f>IF(OR(questions[[#This Row],[is_single_select]],questions[[#This Row],[is_multi_select]]),NOT(ISBLANK(questions[[#This Row],[answer_opt_combined]])),TRUE)</f>
        <v>1</v>
      </c>
    </row>
    <row r="900" spans="1:45" ht="15.75" customHeight="1" x14ac:dyDescent="0.25">
      <c r="A900" s="9" t="str">
        <f>_xlfn.TEXTJOIN("_",TRUE,questions[[#This Row],[origin]:[qno]])</f>
        <v>Uganda_Robusta_Nespresso_6101</v>
      </c>
      <c r="B900" s="9" t="s">
        <v>511</v>
      </c>
      <c r="C900" s="9" t="s">
        <v>674</v>
      </c>
      <c r="D900" s="9" t="s">
        <v>864</v>
      </c>
      <c r="F900" s="24" t="s">
        <v>258</v>
      </c>
      <c r="G900" s="15" t="s">
        <v>259</v>
      </c>
      <c r="H900" s="9" t="str" cm="1">
        <f t="array" ref="H900">INDEX(stableR[question],MATCH(VALUE(questions[[#This Row],[qno]]),VALUE(stableR[qno]),0))</f>
        <v>What was the total amount of loans you borrowed last year (in your local currency)?</v>
      </c>
      <c r="I900" s="9" t="b" cm="1">
        <f t="array" ref="I900">INDEX(stable[is_fixed],MATCH(VALUE(questions[[#This Row],[qno]]),VALUE(stable[qno]),0))</f>
        <v>1</v>
      </c>
      <c r="J900" s="9" t="b" cm="1">
        <f t="array" ref="J900">INDEX(stable[is_localized],MATCH(VALUE(questions[[#This Row],[qno]]),VALUE(stable[qno]),0))</f>
        <v>0</v>
      </c>
      <c r="K900" s="9" t="b" cm="1">
        <f t="array" ref="K900">INDEX(stable[is_supply_chain_dependent],MATCH(VALUE(questions[[#This Row],[qno]]),VALUE(stable[qno]),0))</f>
        <v>0</v>
      </c>
      <c r="L900" s="9" t="b" cm="1">
        <f t="array" ref="L900">INDEX(stable[is_mandatory],MATCH(VALUE(questions[[#This Row],[qno]]),VALUE(stable[qno]),0))</f>
        <v>0</v>
      </c>
      <c r="M900" s="9" t="b" cm="1">
        <f t="array" ref="M900">INDEX(stable[is_automated],MATCH(VALUE(questions[[#This Row],[qno]]),VALUE(stable[qno]),0))</f>
        <v>0</v>
      </c>
      <c r="N900" s="9" t="b" cm="1">
        <f t="array" ref="N900">INDEX(stable[is_free_text],MATCH(VALUE(questions[[#This Row],[qno]]),VALUE(stable[qno]),0))</f>
        <v>0</v>
      </c>
      <c r="O900" s="9" t="b" cm="1">
        <f t="array" ref="O900">INDEX(stable[is_numerical],MATCH(VALUE(questions[[#This Row],[qno]]),VALUE(stable[qno]),0))</f>
        <v>0</v>
      </c>
      <c r="P900" s="9" t="b" cm="1">
        <f t="array" ref="P900">INDEX(stable[is_single_select],MATCH(VALUE(questions[[#This Row],[qno]]),VALUE(stable[qno]),0))</f>
        <v>0</v>
      </c>
      <c r="Q900" s="9" t="b" cm="1">
        <f t="array" ref="Q900">INDEX(stable[is_multi_select],MATCH(VALUE(questions[[#This Row],[qno]]),VALUE(stable[qno]),0))</f>
        <v>1</v>
      </c>
      <c r="R900" s="9" t="b" cm="1">
        <f t="array" ref="R900">INDEX(stable[is_skip_logic],MATCH(VALUE(questions[[#This Row],[qno]]),VALUE(stable[qno]),0))</f>
        <v>1</v>
      </c>
      <c r="S900" s="9" t="str">
        <f>_xlfn.TEXTJOIN(", ",TRUE,questions[[#This Row],[ans_opt_1]:[ans_opt_14]])</f>
        <v/>
      </c>
      <c r="AH900" s="16" t="b">
        <f>INDEX(stable[q_standard],MATCH(questions[[#This Row],[qno]],stable[qno],0))</f>
        <v>0</v>
      </c>
      <c r="AI900" s="16" t="b">
        <f>INDEX(stable[q_living_income],MATCH(questions[[#This Row],[qno]],stable[qno],0))</f>
        <v>1</v>
      </c>
      <c r="AJ900" s="16" t="b">
        <f>INDEX(stable[q_carbon],MATCH(questions[[#This Row],[qno]],stable[qno],0))</f>
        <v>0</v>
      </c>
      <c r="AK900" s="16" t="b">
        <f>INDEX(stable[q_regen_ag],MATCH(questions[[#This Row],[qno]],stable[qno],0))</f>
        <v>0</v>
      </c>
      <c r="AL900" s="16" t="b">
        <f>COUNTIFS(stable[qno],questions[[#This Row],[qno]])=1</f>
        <v>1</v>
      </c>
      <c r="AM900" s="16" t="b">
        <f>OR(questions[[#This Row],[is_fixed]],questions[[#This Row],[is_localized]],questions[[#This Row],[is_supply_chain_dependent]])</f>
        <v>1</v>
      </c>
      <c r="AN900" s="16" t="b">
        <f>COUNTIFS(questions[[#This Row],[is_automated]:[is_multi_select]],TRUE)=1</f>
        <v>1</v>
      </c>
      <c r="AO900" s="16" t="b">
        <f>IF(questions[[#This Row],[is_fixed]],questions[[#This Row],[question]]=INDEX(stable[question],MATCH(questions[[#This Row],[qno]],stable[qno],0)),TRUE)</f>
        <v>1</v>
      </c>
      <c r="AP900" s="16" t="str">
        <f>LEFT(questions[[#This Row],[question]],similarity_range)</f>
        <v xml:space="preserve">If yes, how did you </v>
      </c>
      <c r="AQ900" s="16" t="str">
        <f>LEFT(INDEX(stable[question],MATCH(questions[[#This Row],[qno]],stable[qno],0)),similarity_range)</f>
        <v xml:space="preserve">If yes, how did you </v>
      </c>
      <c r="AR900" s="16" t="b">
        <f>questions[[#This Row],[question_first_characters]]=questions[[#This Row],[stability_first_characters]]</f>
        <v>1</v>
      </c>
      <c r="AS900" s="16" t="b">
        <f>IF(OR(questions[[#This Row],[is_single_select]],questions[[#This Row],[is_multi_select]]),NOT(ISBLANK(questions[[#This Row],[answer_opt_combined]])),TRUE)</f>
        <v>1</v>
      </c>
    </row>
    <row r="901" spans="1:45" ht="15.75" customHeight="1" x14ac:dyDescent="0.25">
      <c r="A901" s="9" t="str">
        <f>_xlfn.TEXTJOIN("_",TRUE,questions[[#This Row],[origin]:[qno]])</f>
        <v>Uganda_Robusta_Nespresso_6102</v>
      </c>
      <c r="B901" s="9" t="s">
        <v>511</v>
      </c>
      <c r="C901" s="9" t="s">
        <v>674</v>
      </c>
      <c r="D901" s="9" t="s">
        <v>864</v>
      </c>
      <c r="F901" s="24" t="s">
        <v>260</v>
      </c>
      <c r="G901" s="15" t="s">
        <v>588</v>
      </c>
      <c r="H901" s="9" t="str" cm="1">
        <f t="array" ref="H901">INDEX(stableR[question],MATCH(VALUE(questions[[#This Row],[qno]]),VALUE(stableR[qno]),0))</f>
        <v>How did you have to pay for this? (in cash or in cherries? Please explain)</v>
      </c>
      <c r="I901" s="9" t="b" cm="1">
        <f t="array" ref="I901">INDEX(stable[is_fixed],MATCH(VALUE(questions[[#This Row],[qno]]),VALUE(stable[qno]),0))</f>
        <v>0</v>
      </c>
      <c r="J901" s="9" t="b" cm="1">
        <f t="array" ref="J901">INDEX(stable[is_localized],MATCH(VALUE(questions[[#This Row],[qno]]),VALUE(stable[qno]),0))</f>
        <v>1</v>
      </c>
      <c r="K901" s="9" t="b" cm="1">
        <f t="array" ref="K901">INDEX(stable[is_supply_chain_dependent],MATCH(VALUE(questions[[#This Row],[qno]]),VALUE(stable[qno]),0))</f>
        <v>0</v>
      </c>
      <c r="L901" s="9" t="b" cm="1">
        <f t="array" ref="L901">INDEX(stable[is_mandatory],MATCH(VALUE(questions[[#This Row],[qno]]),VALUE(stable[qno]),0))</f>
        <v>0</v>
      </c>
      <c r="M901" s="9" t="b" cm="1">
        <f t="array" ref="M901">INDEX(stable[is_automated],MATCH(VALUE(questions[[#This Row],[qno]]),VALUE(stable[qno]),0))</f>
        <v>0</v>
      </c>
      <c r="N901" s="9" t="b" cm="1">
        <f t="array" ref="N901">INDEX(stable[is_free_text],MATCH(VALUE(questions[[#This Row],[qno]]),VALUE(stable[qno]),0))</f>
        <v>0</v>
      </c>
      <c r="O901" s="9" t="b" cm="1">
        <f t="array" ref="O901">INDEX(stable[is_numerical],MATCH(VALUE(questions[[#This Row],[qno]]),VALUE(stable[qno]),0))</f>
        <v>1</v>
      </c>
      <c r="P901" s="9" t="b" cm="1">
        <f t="array" ref="P901">INDEX(stable[is_single_select],MATCH(VALUE(questions[[#This Row],[qno]]),VALUE(stable[qno]),0))</f>
        <v>0</v>
      </c>
      <c r="Q901" s="9" t="b" cm="1">
        <f t="array" ref="Q901">INDEX(stable[is_multi_select],MATCH(VALUE(questions[[#This Row],[qno]]),VALUE(stable[qno]),0))</f>
        <v>0</v>
      </c>
      <c r="R901" s="9" t="b" cm="1">
        <f t="array" ref="R901">INDEX(stable[is_skip_logic],MATCH(VALUE(questions[[#This Row],[qno]]),VALUE(stable[qno]),0))</f>
        <v>1</v>
      </c>
      <c r="S901" s="9" t="str">
        <f>_xlfn.TEXTJOIN(", ",TRUE,questions[[#This Row],[ans_opt_1]:[ans_opt_14]])</f>
        <v/>
      </c>
      <c r="AH901" s="16" t="b">
        <f>INDEX(stable[q_standard],MATCH(questions[[#This Row],[qno]],stable[qno],0))</f>
        <v>0</v>
      </c>
      <c r="AI901" s="16" t="b">
        <f>INDEX(stable[q_living_income],MATCH(questions[[#This Row],[qno]],stable[qno],0))</f>
        <v>1</v>
      </c>
      <c r="AJ901" s="16" t="b">
        <f>INDEX(stable[q_carbon],MATCH(questions[[#This Row],[qno]],stable[qno],0))</f>
        <v>0</v>
      </c>
      <c r="AK901" s="16" t="b">
        <f>INDEX(stable[q_regen_ag],MATCH(questions[[#This Row],[qno]],stable[qno],0))</f>
        <v>0</v>
      </c>
      <c r="AL901" s="16" t="b">
        <f>COUNTIFS(stable[qno],questions[[#This Row],[qno]])=1</f>
        <v>1</v>
      </c>
      <c r="AM901" s="16" t="b">
        <f>OR(questions[[#This Row],[is_fixed]],questions[[#This Row],[is_localized]],questions[[#This Row],[is_supply_chain_dependent]])</f>
        <v>1</v>
      </c>
      <c r="AN901" s="16" t="b">
        <f>COUNTIFS(questions[[#This Row],[is_automated]:[is_multi_select]],TRUE)=1</f>
        <v>1</v>
      </c>
      <c r="AO901" s="16" t="b">
        <f>IF(questions[[#This Row],[is_fixed]],questions[[#This Row],[question]]=INDEX(stable[question],MATCH(questions[[#This Row],[qno]],stable[qno],0)),TRUE)</f>
        <v>1</v>
      </c>
      <c r="AP901" s="16" t="str">
        <f>LEFT(questions[[#This Row],[question]],similarity_range)</f>
        <v>If yes, can you esti</v>
      </c>
      <c r="AQ901" s="16" t="str">
        <f>LEFT(INDEX(stable[question],MATCH(questions[[#This Row],[qno]],stable[qno],0)),similarity_range)</f>
        <v>If yes, can you esti</v>
      </c>
      <c r="AR901" s="16" t="b">
        <f>questions[[#This Row],[question_first_characters]]=questions[[#This Row],[stability_first_characters]]</f>
        <v>1</v>
      </c>
      <c r="AS901" s="16" t="b">
        <f>IF(OR(questions[[#This Row],[is_single_select]],questions[[#This Row],[is_multi_select]]),NOT(ISBLANK(questions[[#This Row],[answer_opt_combined]])),TRUE)</f>
        <v>1</v>
      </c>
    </row>
    <row r="902" spans="1:45" ht="15.75" customHeight="1" x14ac:dyDescent="0.25">
      <c r="A902" s="9" t="str">
        <f>_xlfn.TEXTJOIN("_",TRUE,questions[[#This Row],[origin]:[qno]])</f>
        <v>Uganda_Robusta_Nespresso_6103</v>
      </c>
      <c r="B902" s="9" t="s">
        <v>511</v>
      </c>
      <c r="C902" s="9" t="s">
        <v>674</v>
      </c>
      <c r="D902" s="9" t="s">
        <v>864</v>
      </c>
      <c r="F902" s="24" t="s">
        <v>262</v>
      </c>
      <c r="G902" s="15" t="s">
        <v>589</v>
      </c>
      <c r="H902" s="9" t="str" cm="1">
        <f t="array" ref="H902">INDEX(stableR[question],MATCH(VALUE(questions[[#This Row],[qno]]),VALUE(stableR[qno]),0))</f>
        <v>Can you estimate how much you had to repay, in total, for the loan last year, including interest (in local currency)</v>
      </c>
      <c r="I902" s="9" t="b" cm="1">
        <f t="array" ref="I902">INDEX(stable[is_fixed],MATCH(VALUE(questions[[#This Row],[qno]]),VALUE(stable[qno]),0))</f>
        <v>0</v>
      </c>
      <c r="J902" s="9" t="b" cm="1">
        <f t="array" ref="J902">INDEX(stable[is_localized],MATCH(VALUE(questions[[#This Row],[qno]]),VALUE(stable[qno]),0))</f>
        <v>1</v>
      </c>
      <c r="K902" s="9" t="b" cm="1">
        <f t="array" ref="K902">INDEX(stable[is_supply_chain_dependent],MATCH(VALUE(questions[[#This Row],[qno]]),VALUE(stable[qno]),0))</f>
        <v>0</v>
      </c>
      <c r="L902" s="9" t="b" cm="1">
        <f t="array" ref="L902">INDEX(stable[is_mandatory],MATCH(VALUE(questions[[#This Row],[qno]]),VALUE(stable[qno]),0))</f>
        <v>0</v>
      </c>
      <c r="M902" s="9" t="b" cm="1">
        <f t="array" ref="M902">INDEX(stable[is_automated],MATCH(VALUE(questions[[#This Row],[qno]]),VALUE(stable[qno]),0))</f>
        <v>0</v>
      </c>
      <c r="N902" s="9" t="b" cm="1">
        <f t="array" ref="N902">INDEX(stable[is_free_text],MATCH(VALUE(questions[[#This Row],[qno]]),VALUE(stable[qno]),0))</f>
        <v>0</v>
      </c>
      <c r="O902" s="9" t="b" cm="1">
        <f t="array" ref="O902">INDEX(stable[is_numerical],MATCH(VALUE(questions[[#This Row],[qno]]),VALUE(stable[qno]),0))</f>
        <v>1</v>
      </c>
      <c r="P902" s="9" t="b" cm="1">
        <f t="array" ref="P902">INDEX(stable[is_single_select],MATCH(VALUE(questions[[#This Row],[qno]]),VALUE(stable[qno]),0))</f>
        <v>0</v>
      </c>
      <c r="Q902" s="9" t="b" cm="1">
        <f t="array" ref="Q902">INDEX(stable[is_multi_select],MATCH(VALUE(questions[[#This Row],[qno]]),VALUE(stable[qno]),0))</f>
        <v>0</v>
      </c>
      <c r="R902" s="9" t="b" cm="1">
        <f t="array" ref="R902">INDEX(stable[is_skip_logic],MATCH(VALUE(questions[[#This Row],[qno]]),VALUE(stable[qno]),0))</f>
        <v>1</v>
      </c>
      <c r="S902" s="9" t="str">
        <f>_xlfn.TEXTJOIN(", ",TRUE,questions[[#This Row],[ans_opt_1]:[ans_opt_14]])</f>
        <v/>
      </c>
      <c r="AH902" s="16" t="b">
        <f>INDEX(stable[q_standard],MATCH(questions[[#This Row],[qno]],stable[qno],0))</f>
        <v>0</v>
      </c>
      <c r="AI902" s="16" t="b">
        <f>INDEX(stable[q_living_income],MATCH(questions[[#This Row],[qno]],stable[qno],0))</f>
        <v>1</v>
      </c>
      <c r="AJ902" s="16" t="b">
        <f>INDEX(stable[q_carbon],MATCH(questions[[#This Row],[qno]],stable[qno],0))</f>
        <v>0</v>
      </c>
      <c r="AK902" s="16" t="b">
        <f>INDEX(stable[q_regen_ag],MATCH(questions[[#This Row],[qno]],stable[qno],0))</f>
        <v>0</v>
      </c>
      <c r="AL902" s="16" t="b">
        <f>COUNTIFS(stable[qno],questions[[#This Row],[qno]])=1</f>
        <v>1</v>
      </c>
      <c r="AM902" s="16" t="b">
        <f>OR(questions[[#This Row],[is_fixed]],questions[[#This Row],[is_localized]],questions[[#This Row],[is_supply_chain_dependent]])</f>
        <v>1</v>
      </c>
      <c r="AN902" s="16" t="b">
        <f>COUNTIFS(questions[[#This Row],[is_automated]:[is_multi_select]],TRUE)=1</f>
        <v>1</v>
      </c>
      <c r="AO902" s="16" t="b">
        <f>IF(questions[[#This Row],[is_fixed]],questions[[#This Row],[question]]=INDEX(stable[question],MATCH(questions[[#This Row],[qno]],stable[qno],0)),TRUE)</f>
        <v>1</v>
      </c>
      <c r="AP902" s="16" t="str">
        <f>LEFT(questions[[#This Row],[question]],similarity_range)</f>
        <v>If yes, can you esti</v>
      </c>
      <c r="AQ902" s="16" t="str">
        <f>LEFT(INDEX(stable[question],MATCH(questions[[#This Row],[qno]],stable[qno],0)),similarity_range)</f>
        <v>If yes, can you esti</v>
      </c>
      <c r="AR902" s="16" t="b">
        <f>questions[[#This Row],[question_first_characters]]=questions[[#This Row],[stability_first_characters]]</f>
        <v>1</v>
      </c>
      <c r="AS902" s="16" t="b">
        <f>IF(OR(questions[[#This Row],[is_single_select]],questions[[#This Row],[is_multi_select]]),NOT(ISBLANK(questions[[#This Row],[answer_opt_combined]])),TRUE)</f>
        <v>1</v>
      </c>
    </row>
    <row r="903" spans="1:45" s="77" customFormat="1" ht="15.75" customHeight="1" x14ac:dyDescent="0.25">
      <c r="A903" s="77" t="str">
        <f>_xlfn.TEXTJOIN("_",TRUE,questions[[#This Row],[origin]:[qno]])</f>
        <v>Uganda_Robusta_Nespresso_6200</v>
      </c>
      <c r="B903" s="77" t="s">
        <v>511</v>
      </c>
      <c r="C903" s="77" t="s">
        <v>674</v>
      </c>
      <c r="D903" s="77" t="s">
        <v>864</v>
      </c>
      <c r="F903" s="104" t="s">
        <v>596</v>
      </c>
      <c r="G903" s="78" t="s">
        <v>597</v>
      </c>
      <c r="H903" s="9" t="str" cm="1">
        <f t="array" ref="H903">INDEX(stableR[question],MATCH(VALUE(questions[[#This Row],[qno]]),VALUE(stableR[qno]),0))</f>
        <v>Are you member of a coffee cooperative?</v>
      </c>
      <c r="I903" s="9" t="b" cm="1">
        <f t="array" ref="I903">INDEX(stable[is_fixed],MATCH(VALUE(questions[[#This Row],[qno]]),VALUE(stable[qno]),0))</f>
        <v>0</v>
      </c>
      <c r="J903" s="9" t="b" cm="1">
        <f t="array" ref="J903">INDEX(stable[is_localized],MATCH(VALUE(questions[[#This Row],[qno]]),VALUE(stable[qno]),0))</f>
        <v>0</v>
      </c>
      <c r="K903" s="9" t="b" cm="1">
        <f t="array" ref="K903">INDEX(stable[is_supply_chain_dependent],MATCH(VALUE(questions[[#This Row],[qno]]),VALUE(stable[qno]),0))</f>
        <v>1</v>
      </c>
      <c r="L903" s="9" t="b" cm="1">
        <f t="array" ref="L903">INDEX(stable[is_mandatory],MATCH(VALUE(questions[[#This Row],[qno]]),VALUE(stable[qno]),0))</f>
        <v>1</v>
      </c>
      <c r="M903" s="9" t="b" cm="1">
        <f t="array" ref="M903">INDEX(stable[is_automated],MATCH(VALUE(questions[[#This Row],[qno]]),VALUE(stable[qno]),0))</f>
        <v>0</v>
      </c>
      <c r="N903" s="9" t="b" cm="1">
        <f t="array" ref="N903">INDEX(stable[is_free_text],MATCH(VALUE(questions[[#This Row],[qno]]),VALUE(stable[qno]),0))</f>
        <v>0</v>
      </c>
      <c r="O903" s="9" t="b" cm="1">
        <f t="array" ref="O903">INDEX(stable[is_numerical],MATCH(VALUE(questions[[#This Row],[qno]]),VALUE(stable[qno]),0))</f>
        <v>0</v>
      </c>
      <c r="P903" s="77" t="b" cm="1">
        <f t="array" ref="P903">INDEX(stable[is_single_select],MATCH(VALUE(questions[[#This Row],[qno]]),VALUE(stable[qno]),0))</f>
        <v>1</v>
      </c>
      <c r="Q903" s="77" t="b" cm="1">
        <f t="array" ref="Q903">INDEX(stable[is_multi_select],MATCH(VALUE(questions[[#This Row],[qno]]),VALUE(stable[qno]),0))</f>
        <v>0</v>
      </c>
      <c r="R903" s="77" t="b" cm="1">
        <f t="array" ref="R903">INDEX(stable[is_skip_logic],MATCH(VALUE(questions[[#This Row],[qno]]),VALUE(stable[qno]),0))</f>
        <v>1</v>
      </c>
      <c r="S903" s="77" t="str">
        <f>_xlfn.TEXTJOIN(", ",TRUE,questions[[#This Row],[ans_opt_1]:[ans_opt_14]])</f>
        <v>Yes, No</v>
      </c>
      <c r="T903" s="77" t="s">
        <v>149</v>
      </c>
      <c r="U903" s="77" t="s">
        <v>119</v>
      </c>
      <c r="AH903" s="98" t="b">
        <f>INDEX(stable[q_standard],MATCH(questions[[#This Row],[qno]],stable[qno],0))</f>
        <v>0</v>
      </c>
      <c r="AI903" s="98" t="b">
        <f>INDEX(stable[q_living_income],MATCH(questions[[#This Row],[qno]],stable[qno],0))</f>
        <v>1</v>
      </c>
      <c r="AJ903" s="98" t="b">
        <f>INDEX(stable[q_carbon],MATCH(questions[[#This Row],[qno]],stable[qno],0))</f>
        <v>0</v>
      </c>
      <c r="AK903" s="98" t="b">
        <f>INDEX(stable[q_regen_ag],MATCH(questions[[#This Row],[qno]],stable[qno],0))</f>
        <v>0</v>
      </c>
      <c r="AL903" s="98" t="b">
        <f>COUNTIFS(stable[qno],questions[[#This Row],[qno]])=1</f>
        <v>1</v>
      </c>
      <c r="AM903" s="98" t="b">
        <f>OR(questions[[#This Row],[is_fixed]],questions[[#This Row],[is_localized]],questions[[#This Row],[is_supply_chain_dependent]])</f>
        <v>1</v>
      </c>
      <c r="AN903" s="98" t="b">
        <f>COUNTIFS(questions[[#This Row],[is_automated]:[is_multi_select]],TRUE)=1</f>
        <v>1</v>
      </c>
      <c r="AO903" s="98" t="b">
        <f>IF(questions[[#This Row],[is_fixed]],questions[[#This Row],[question]]=INDEX(stable[question],MATCH(questions[[#This Row],[qno]],stable[qno],0)),TRUE)</f>
        <v>1</v>
      </c>
      <c r="AP903" s="98" t="str">
        <f>LEFT(questions[[#This Row],[question]],similarity_range)</f>
        <v xml:space="preserve">Are you member of a </v>
      </c>
      <c r="AQ903" s="98" t="str">
        <f>LEFT(INDEX(stable[question],MATCH(questions[[#This Row],[qno]],stable[qno],0)),similarity_range)</f>
        <v xml:space="preserve">Are you member of a </v>
      </c>
      <c r="AR903" s="98" t="b">
        <f>questions[[#This Row],[question_first_characters]]=questions[[#This Row],[stability_first_characters]]</f>
        <v>1</v>
      </c>
      <c r="AS903" s="98" t="b">
        <f>IF(OR(questions[[#This Row],[is_single_select]],questions[[#This Row],[is_multi_select]]),NOT(ISBLANK(questions[[#This Row],[answer_opt_combined]])),TRUE)</f>
        <v>1</v>
      </c>
    </row>
    <row r="904" spans="1:45" ht="15.75" customHeight="1" x14ac:dyDescent="0.25">
      <c r="A904" s="9" t="str">
        <f>_xlfn.TEXTJOIN("_",TRUE,questions[[#This Row],[origin]:[qno]])</f>
        <v>Uganda_Robusta_Nespresso_6201</v>
      </c>
      <c r="B904" s="9" t="s">
        <v>511</v>
      </c>
      <c r="C904" s="9" t="s">
        <v>674</v>
      </c>
      <c r="D904" s="9" t="s">
        <v>864</v>
      </c>
      <c r="F904" s="24" t="s">
        <v>598</v>
      </c>
      <c r="G904" s="15" t="s">
        <v>898</v>
      </c>
      <c r="H904" s="9" t="str" cm="1">
        <f t="array" ref="H904">INDEX(stableR[question],MATCH(VALUE(questions[[#This Row],[qno]]),VALUE(stableR[qno]),0))</f>
        <v>What subscription fee did you pay per year, in total? (in local currency)</v>
      </c>
      <c r="I904" s="9" t="b" cm="1">
        <f t="array" ref="I904">INDEX(stable[is_fixed],MATCH(VALUE(questions[[#This Row],[qno]]),VALUE(stable[qno]),0))</f>
        <v>0</v>
      </c>
      <c r="J904" s="9" t="b" cm="1">
        <f t="array" ref="J904">INDEX(stable[is_localized],MATCH(VALUE(questions[[#This Row],[qno]]),VALUE(stable[qno]),0))</f>
        <v>0</v>
      </c>
      <c r="K904" s="9" t="b" cm="1">
        <f t="array" ref="K904">INDEX(stable[is_supply_chain_dependent],MATCH(VALUE(questions[[#This Row],[qno]]),VALUE(stable[qno]),0))</f>
        <v>1</v>
      </c>
      <c r="L904" s="9" t="b" cm="1">
        <f t="array" ref="L904">INDEX(stable[is_mandatory],MATCH(VALUE(questions[[#This Row],[qno]]),VALUE(stable[qno]),0))</f>
        <v>0</v>
      </c>
      <c r="M904" s="9" t="b" cm="1">
        <f t="array" ref="M904">INDEX(stable[is_automated],MATCH(VALUE(questions[[#This Row],[qno]]),VALUE(stable[qno]),0))</f>
        <v>0</v>
      </c>
      <c r="N904" s="9" t="b" cm="1">
        <f t="array" ref="N904">INDEX(stable[is_free_text],MATCH(VALUE(questions[[#This Row],[qno]]),VALUE(stable[qno]),0))</f>
        <v>0</v>
      </c>
      <c r="O904" s="9" t="b" cm="1">
        <f t="array" ref="O904">INDEX(stable[is_numerical],MATCH(VALUE(questions[[#This Row],[qno]]),VALUE(stable[qno]),0))</f>
        <v>1</v>
      </c>
      <c r="P904" s="9" t="b" cm="1">
        <f t="array" ref="P904">INDEX(stable[is_single_select],MATCH(VALUE(questions[[#This Row],[qno]]),VALUE(stable[qno]),0))</f>
        <v>0</v>
      </c>
      <c r="Q904" s="9" t="b" cm="1">
        <f t="array" ref="Q904">INDEX(stable[is_multi_select],MATCH(VALUE(questions[[#This Row],[qno]]),VALUE(stable[qno]),0))</f>
        <v>0</v>
      </c>
      <c r="R904" s="9" t="b" cm="1">
        <f t="array" ref="R904">INDEX(stable[is_skip_logic],MATCH(VALUE(questions[[#This Row],[qno]]),VALUE(stable[qno]),0))</f>
        <v>1</v>
      </c>
      <c r="S904" s="9" t="str">
        <f>_xlfn.TEXTJOIN(", ",TRUE,questions[[#This Row],[ans_opt_1]:[ans_opt_14]])</f>
        <v/>
      </c>
      <c r="AH904" s="16" t="b">
        <f>INDEX(stable[q_standard],MATCH(questions[[#This Row],[qno]],stable[qno],0))</f>
        <v>0</v>
      </c>
      <c r="AI904" s="16" t="b">
        <f>INDEX(stable[q_living_income],MATCH(questions[[#This Row],[qno]],stable[qno],0))</f>
        <v>1</v>
      </c>
      <c r="AJ904" s="16" t="b">
        <f>INDEX(stable[q_carbon],MATCH(questions[[#This Row],[qno]],stable[qno],0))</f>
        <v>0</v>
      </c>
      <c r="AK904" s="16" t="b">
        <f>INDEX(stable[q_regen_ag],MATCH(questions[[#This Row],[qno]],stable[qno],0))</f>
        <v>0</v>
      </c>
      <c r="AL904" s="16" t="b">
        <f>COUNTIFS(stable[qno],questions[[#This Row],[qno]])=1</f>
        <v>1</v>
      </c>
      <c r="AM904" s="16" t="b">
        <f>OR(questions[[#This Row],[is_fixed]],questions[[#This Row],[is_localized]],questions[[#This Row],[is_supply_chain_dependent]])</f>
        <v>1</v>
      </c>
      <c r="AN904" s="16" t="b">
        <f>COUNTIFS(questions[[#This Row],[is_automated]:[is_multi_select]],TRUE)=1</f>
        <v>1</v>
      </c>
      <c r="AO904" s="16" t="b">
        <f>IF(questions[[#This Row],[is_fixed]],questions[[#This Row],[question]]=INDEX(stable[question],MATCH(questions[[#This Row],[qno]],stable[qno],0)),TRUE)</f>
        <v>1</v>
      </c>
      <c r="AP904" s="16" t="str">
        <f>LEFT(questions[[#This Row],[question]],similarity_range)</f>
        <v>If yes, what subscri</v>
      </c>
      <c r="AQ904" s="16" t="str">
        <f>LEFT(INDEX(stable[question],MATCH(questions[[#This Row],[qno]],stable[qno],0)),similarity_range)</f>
        <v>If yes, what subscri</v>
      </c>
      <c r="AR904" s="16" t="b">
        <f>questions[[#This Row],[question_first_characters]]=questions[[#This Row],[stability_first_characters]]</f>
        <v>1</v>
      </c>
      <c r="AS904" s="16" t="b">
        <f>IF(OR(questions[[#This Row],[is_single_select]],questions[[#This Row],[is_multi_select]]),NOT(ISBLANK(questions[[#This Row],[answer_opt_combined]])),TRUE)</f>
        <v>1</v>
      </c>
    </row>
    <row r="905" spans="1:45" s="77" customFormat="1" ht="15.75" customHeight="1" x14ac:dyDescent="0.25">
      <c r="A905" s="77" t="str">
        <f>_xlfn.TEXTJOIN("_",TRUE,questions[[#This Row],[origin]:[qno]])</f>
        <v>Uganda_Robusta_Nespresso_6300</v>
      </c>
      <c r="B905" s="77" t="s">
        <v>511</v>
      </c>
      <c r="C905" s="77" t="s">
        <v>674</v>
      </c>
      <c r="D905" s="77" t="s">
        <v>864</v>
      </c>
      <c r="F905" s="104" t="s">
        <v>268</v>
      </c>
      <c r="G905" s="78" t="s">
        <v>269</v>
      </c>
      <c r="H905" s="9" t="str" cm="1">
        <f t="array" ref="H905">INDEX(stableR[question],MATCH(VALUE(questions[[#This Row],[qno]]),VALUE(stableR[qno]),0))</f>
        <v>Did you buy coffee seedlings last year?</v>
      </c>
      <c r="I905" s="9" t="b" cm="1">
        <f t="array" ref="I905">INDEX(stable[is_fixed],MATCH(VALUE(questions[[#This Row],[qno]]),VALUE(stable[qno]),0))</f>
        <v>1</v>
      </c>
      <c r="J905" s="9" t="b" cm="1">
        <f t="array" ref="J905">INDEX(stable[is_localized],MATCH(VALUE(questions[[#This Row],[qno]]),VALUE(stable[qno]),0))</f>
        <v>0</v>
      </c>
      <c r="K905" s="9" t="b" cm="1">
        <f t="array" ref="K905">INDEX(stable[is_supply_chain_dependent],MATCH(VALUE(questions[[#This Row],[qno]]),VALUE(stable[qno]),0))</f>
        <v>0</v>
      </c>
      <c r="L905" s="9" t="b" cm="1">
        <f t="array" ref="L905">INDEX(stable[is_mandatory],MATCH(VALUE(questions[[#This Row],[qno]]),VALUE(stable[qno]),0))</f>
        <v>1</v>
      </c>
      <c r="M905" s="9" t="b" cm="1">
        <f t="array" ref="M905">INDEX(stable[is_automated],MATCH(VALUE(questions[[#This Row],[qno]]),VALUE(stable[qno]),0))</f>
        <v>0</v>
      </c>
      <c r="N905" s="9" t="b" cm="1">
        <f t="array" ref="N905">INDEX(stable[is_free_text],MATCH(VALUE(questions[[#This Row],[qno]]),VALUE(stable[qno]),0))</f>
        <v>0</v>
      </c>
      <c r="O905" s="9" t="b" cm="1">
        <f t="array" ref="O905">INDEX(stable[is_numerical],MATCH(VALUE(questions[[#This Row],[qno]]),VALUE(stable[qno]),0))</f>
        <v>0</v>
      </c>
      <c r="P905" s="77" t="b" cm="1">
        <f t="array" ref="P905">INDEX(stable[is_single_select],MATCH(VALUE(questions[[#This Row],[qno]]),VALUE(stable[qno]),0))</f>
        <v>1</v>
      </c>
      <c r="Q905" s="77" t="b" cm="1">
        <f t="array" ref="Q905">INDEX(stable[is_multi_select],MATCH(VALUE(questions[[#This Row],[qno]]),VALUE(stable[qno]),0))</f>
        <v>0</v>
      </c>
      <c r="R905" s="77" t="b" cm="1">
        <f t="array" ref="R905">INDEX(stable[is_skip_logic],MATCH(VALUE(questions[[#This Row],[qno]]),VALUE(stable[qno]),0))</f>
        <v>1</v>
      </c>
      <c r="S905" s="77" t="str">
        <f>_xlfn.TEXTJOIN(", ",TRUE,questions[[#This Row],[ans_opt_1]:[ans_opt_14]])</f>
        <v>Yes, No</v>
      </c>
      <c r="T905" s="77" t="s">
        <v>149</v>
      </c>
      <c r="U905" s="77" t="s">
        <v>119</v>
      </c>
      <c r="AH905" s="98" t="b">
        <f>INDEX(stable[q_standard],MATCH(questions[[#This Row],[qno]],stable[qno],0))</f>
        <v>0</v>
      </c>
      <c r="AI905" s="98" t="b">
        <f>INDEX(stable[q_living_income],MATCH(questions[[#This Row],[qno]],stable[qno],0))</f>
        <v>1</v>
      </c>
      <c r="AJ905" s="98" t="b">
        <f>INDEX(stable[q_carbon],MATCH(questions[[#This Row],[qno]],stable[qno],0))</f>
        <v>0</v>
      </c>
      <c r="AK905" s="98" t="b">
        <f>INDEX(stable[q_regen_ag],MATCH(questions[[#This Row],[qno]],stable[qno],0))</f>
        <v>0</v>
      </c>
      <c r="AL905" s="98" t="b">
        <f>COUNTIFS(stable[qno],questions[[#This Row],[qno]])=1</f>
        <v>1</v>
      </c>
      <c r="AM905" s="98" t="b">
        <f>OR(questions[[#This Row],[is_fixed]],questions[[#This Row],[is_localized]],questions[[#This Row],[is_supply_chain_dependent]])</f>
        <v>1</v>
      </c>
      <c r="AN905" s="98" t="b">
        <f>COUNTIFS(questions[[#This Row],[is_automated]:[is_multi_select]],TRUE)=1</f>
        <v>1</v>
      </c>
      <c r="AO905" s="98" t="b">
        <f>IF(questions[[#This Row],[is_fixed]],questions[[#This Row],[question]]=INDEX(stable[question],MATCH(questions[[#This Row],[qno]],stable[qno],0)),TRUE)</f>
        <v>0</v>
      </c>
      <c r="AP905" s="98" t="str">
        <f>LEFT(questions[[#This Row],[question]],similarity_range)</f>
        <v>Did you buy coffee s</v>
      </c>
      <c r="AQ905" s="98" t="str">
        <f>LEFT(INDEX(stable[question],MATCH(questions[[#This Row],[qno]],stable[qno],0)),similarity_range)</f>
        <v>Did you buy coffee s</v>
      </c>
      <c r="AR905" s="98" t="b">
        <f>questions[[#This Row],[question_first_characters]]=questions[[#This Row],[stability_first_characters]]</f>
        <v>1</v>
      </c>
      <c r="AS905" s="98" t="b">
        <f>IF(OR(questions[[#This Row],[is_single_select]],questions[[#This Row],[is_multi_select]]),NOT(ISBLANK(questions[[#This Row],[answer_opt_combined]])),TRUE)</f>
        <v>1</v>
      </c>
    </row>
    <row r="906" spans="1:45" s="77" customFormat="1" ht="15.75" customHeight="1" x14ac:dyDescent="0.25">
      <c r="A906" s="77" t="str">
        <f>_xlfn.TEXTJOIN("_",TRUE,questions[[#This Row],[origin]:[qno]])</f>
        <v>Uganda_Robusta_Nespresso_6301</v>
      </c>
      <c r="B906" s="77" t="s">
        <v>511</v>
      </c>
      <c r="C906" s="77" t="s">
        <v>674</v>
      </c>
      <c r="D906" s="77" t="s">
        <v>864</v>
      </c>
      <c r="F906" s="104" t="s">
        <v>270</v>
      </c>
      <c r="G906" s="78" t="s">
        <v>271</v>
      </c>
      <c r="H906" s="9" t="str" cm="1">
        <f t="array" ref="H906">INDEX(stableR[question],MATCH(VALUE(questions[[#This Row],[qno]]),VALUE(stableR[qno]),0))</f>
        <v>What was the main type seedlings bought?</v>
      </c>
      <c r="I906" s="9" t="b" cm="1">
        <f t="array" ref="I906">INDEX(stable[is_fixed],MATCH(VALUE(questions[[#This Row],[qno]]),VALUE(stable[qno]),0))</f>
        <v>1</v>
      </c>
      <c r="J906" s="9" t="b" cm="1">
        <f t="array" ref="J906">INDEX(stable[is_localized],MATCH(VALUE(questions[[#This Row],[qno]]),VALUE(stable[qno]),0))</f>
        <v>0</v>
      </c>
      <c r="K906" s="9" t="b" cm="1">
        <f t="array" ref="K906">INDEX(stable[is_supply_chain_dependent],MATCH(VALUE(questions[[#This Row],[qno]]),VALUE(stable[qno]),0))</f>
        <v>0</v>
      </c>
      <c r="L906" s="9" t="b" cm="1">
        <f t="array" ref="L906">INDEX(stable[is_mandatory],MATCH(VALUE(questions[[#This Row],[qno]]),VALUE(stable[qno]),0))</f>
        <v>0</v>
      </c>
      <c r="M906" s="9" t="b" cm="1">
        <f t="array" ref="M906">INDEX(stable[is_automated],MATCH(VALUE(questions[[#This Row],[qno]]),VALUE(stable[qno]),0))</f>
        <v>0</v>
      </c>
      <c r="N906" s="9" t="b" cm="1">
        <f t="array" ref="N906">INDEX(stable[is_free_text],MATCH(VALUE(questions[[#This Row],[qno]]),VALUE(stable[qno]),0))</f>
        <v>0</v>
      </c>
      <c r="O906" s="9" t="b" cm="1">
        <f t="array" ref="O906">INDEX(stable[is_numerical],MATCH(VALUE(questions[[#This Row],[qno]]),VALUE(stable[qno]),0))</f>
        <v>0</v>
      </c>
      <c r="P906" s="77" t="b" cm="1">
        <f t="array" ref="P906">INDEX(stable[is_single_select],MATCH(VALUE(questions[[#This Row],[qno]]),VALUE(stable[qno]),0))</f>
        <v>1</v>
      </c>
      <c r="Q906" s="77" t="b" cm="1">
        <f t="array" ref="Q906">INDEX(stable[is_multi_select],MATCH(VALUE(questions[[#This Row],[qno]]),VALUE(stable[qno]),0))</f>
        <v>0</v>
      </c>
      <c r="R906" s="77" t="b" cm="1">
        <f t="array" ref="R906">INDEX(stable[is_skip_logic],MATCH(VALUE(questions[[#This Row],[qno]]),VALUE(stable[qno]),0))</f>
        <v>1</v>
      </c>
      <c r="S906" s="77" t="str">
        <f>_xlfn.TEXTJOIN(", ",TRUE,questions[[#This Row],[ans_opt_1]:[ans_opt_14]])</f>
        <v>Elite, Cuttings (clonal), Other, NA</v>
      </c>
      <c r="T906" s="77" t="s">
        <v>899</v>
      </c>
      <c r="U906" s="77" t="s">
        <v>900</v>
      </c>
      <c r="V906" s="77" t="s">
        <v>112</v>
      </c>
      <c r="W906" s="77" t="s">
        <v>251</v>
      </c>
      <c r="AH906" s="98" t="b">
        <f>INDEX(stable[q_standard],MATCH(questions[[#This Row],[qno]],stable[qno],0))</f>
        <v>0</v>
      </c>
      <c r="AI906" s="98" t="b">
        <f>INDEX(stable[q_living_income],MATCH(questions[[#This Row],[qno]],stable[qno],0))</f>
        <v>1</v>
      </c>
      <c r="AJ906" s="98" t="b">
        <f>INDEX(stable[q_carbon],MATCH(questions[[#This Row],[qno]],stable[qno],0))</f>
        <v>0</v>
      </c>
      <c r="AK906" s="98" t="b">
        <f>INDEX(stable[q_regen_ag],MATCH(questions[[#This Row],[qno]],stable[qno],0))</f>
        <v>0</v>
      </c>
      <c r="AL906" s="98" t="b">
        <f>COUNTIFS(stable[qno],questions[[#This Row],[qno]])=1</f>
        <v>1</v>
      </c>
      <c r="AM906" s="98" t="b">
        <f>OR(questions[[#This Row],[is_fixed]],questions[[#This Row],[is_localized]],questions[[#This Row],[is_supply_chain_dependent]])</f>
        <v>1</v>
      </c>
      <c r="AN906" s="98" t="b">
        <f>COUNTIFS(questions[[#This Row],[is_automated]:[is_multi_select]],TRUE)=1</f>
        <v>1</v>
      </c>
      <c r="AO906" s="98" t="b">
        <f>IF(questions[[#This Row],[is_fixed]],questions[[#This Row],[question]]=INDEX(stable[question],MATCH(questions[[#This Row],[qno]],stable[qno],0)),TRUE)</f>
        <v>1</v>
      </c>
      <c r="AP906" s="98" t="str">
        <f>LEFT(questions[[#This Row],[question]],similarity_range)</f>
        <v xml:space="preserve">If yes what was the </v>
      </c>
      <c r="AQ906" s="98" t="str">
        <f>LEFT(INDEX(stable[question],MATCH(questions[[#This Row],[qno]],stable[qno],0)),similarity_range)</f>
        <v xml:space="preserve">If yes what was the </v>
      </c>
      <c r="AR906" s="98" t="b">
        <f>questions[[#This Row],[question_first_characters]]=questions[[#This Row],[stability_first_characters]]</f>
        <v>1</v>
      </c>
      <c r="AS906" s="98" t="b">
        <f>IF(OR(questions[[#This Row],[is_single_select]],questions[[#This Row],[is_multi_select]]),NOT(ISBLANK(questions[[#This Row],[answer_opt_combined]])),TRUE)</f>
        <v>1</v>
      </c>
    </row>
    <row r="907" spans="1:45" ht="15.75" customHeight="1" x14ac:dyDescent="0.25">
      <c r="A907" s="9" t="str">
        <f>_xlfn.TEXTJOIN("_",TRUE,questions[[#This Row],[origin]:[qno]])</f>
        <v>Uganda_Robusta_Nespresso_6302</v>
      </c>
      <c r="B907" s="9" t="s">
        <v>511</v>
      </c>
      <c r="C907" s="9" t="s">
        <v>674</v>
      </c>
      <c r="D907" s="9" t="s">
        <v>864</v>
      </c>
      <c r="F907" s="24" t="s">
        <v>282</v>
      </c>
      <c r="G907" s="15" t="s">
        <v>283</v>
      </c>
      <c r="H907" s="9" t="str" cm="1">
        <f t="array" ref="H907">INDEX(stableR[question],MATCH(VALUE(questions[[#This Row],[qno]]),VALUE(stableR[qno]),0))</f>
        <v>How many seedlings did you buy last year?</v>
      </c>
      <c r="I907" s="9" t="b" cm="1">
        <f t="array" ref="I907">INDEX(stable[is_fixed],MATCH(VALUE(questions[[#This Row],[qno]]),VALUE(stable[qno]),0))</f>
        <v>1</v>
      </c>
      <c r="J907" s="9" t="b" cm="1">
        <f t="array" ref="J907">INDEX(stable[is_localized],MATCH(VALUE(questions[[#This Row],[qno]]),VALUE(stable[qno]),0))</f>
        <v>0</v>
      </c>
      <c r="K907" s="9" t="b" cm="1">
        <f t="array" ref="K907">INDEX(stable[is_supply_chain_dependent],MATCH(VALUE(questions[[#This Row],[qno]]),VALUE(stable[qno]),0))</f>
        <v>0</v>
      </c>
      <c r="L907" s="9" t="b" cm="1">
        <f t="array" ref="L907">INDEX(stable[is_mandatory],MATCH(VALUE(questions[[#This Row],[qno]]),VALUE(stable[qno]),0))</f>
        <v>0</v>
      </c>
      <c r="M907" s="9" t="b" cm="1">
        <f t="array" ref="M907">INDEX(stable[is_automated],MATCH(VALUE(questions[[#This Row],[qno]]),VALUE(stable[qno]),0))</f>
        <v>0</v>
      </c>
      <c r="N907" s="9" t="b" cm="1">
        <f t="array" ref="N907">INDEX(stable[is_free_text],MATCH(VALUE(questions[[#This Row],[qno]]),VALUE(stable[qno]),0))</f>
        <v>0</v>
      </c>
      <c r="O907" s="9" t="b" cm="1">
        <f t="array" ref="O907">INDEX(stable[is_numerical],MATCH(VALUE(questions[[#This Row],[qno]]),VALUE(stable[qno]),0))</f>
        <v>1</v>
      </c>
      <c r="P907" s="9" t="b" cm="1">
        <f t="array" ref="P907">INDEX(stable[is_single_select],MATCH(VALUE(questions[[#This Row],[qno]]),VALUE(stable[qno]),0))</f>
        <v>0</v>
      </c>
      <c r="Q907" s="9" t="b" cm="1">
        <f t="array" ref="Q907">INDEX(stable[is_multi_select],MATCH(VALUE(questions[[#This Row],[qno]]),VALUE(stable[qno]),0))</f>
        <v>0</v>
      </c>
      <c r="R907" s="9" t="b" cm="1">
        <f t="array" ref="R907">INDEX(stable[is_skip_logic],MATCH(VALUE(questions[[#This Row],[qno]]),VALUE(stable[qno]),0))</f>
        <v>1</v>
      </c>
      <c r="S907" s="9" t="str">
        <f>_xlfn.TEXTJOIN(", ",TRUE,questions[[#This Row],[ans_opt_1]:[ans_opt_14]])</f>
        <v/>
      </c>
      <c r="AH907" s="16" t="b">
        <f>INDEX(stable[q_standard],MATCH(questions[[#This Row],[qno]],stable[qno],0))</f>
        <v>0</v>
      </c>
      <c r="AI907" s="16" t="b">
        <f>INDEX(stable[q_living_income],MATCH(questions[[#This Row],[qno]],stable[qno],0))</f>
        <v>1</v>
      </c>
      <c r="AJ907" s="16" t="b">
        <f>INDEX(stable[q_carbon],MATCH(questions[[#This Row],[qno]],stable[qno],0))</f>
        <v>0</v>
      </c>
      <c r="AK907" s="16" t="b">
        <f>INDEX(stable[q_regen_ag],MATCH(questions[[#This Row],[qno]],stable[qno],0))</f>
        <v>0</v>
      </c>
      <c r="AL907" s="16" t="b">
        <f>COUNTIFS(stable[qno],questions[[#This Row],[qno]])=1</f>
        <v>1</v>
      </c>
      <c r="AM907" s="16" t="b">
        <f>OR(questions[[#This Row],[is_fixed]],questions[[#This Row],[is_localized]],questions[[#This Row],[is_supply_chain_dependent]])</f>
        <v>1</v>
      </c>
      <c r="AN907" s="16" t="b">
        <f>COUNTIFS(questions[[#This Row],[is_automated]:[is_multi_select]],TRUE)=1</f>
        <v>1</v>
      </c>
      <c r="AO907" s="16" t="b">
        <f>IF(questions[[#This Row],[is_fixed]],questions[[#This Row],[question]]=INDEX(stable[question],MATCH(questions[[#This Row],[qno]],stable[qno],0)),TRUE)</f>
        <v>1</v>
      </c>
      <c r="AP907" s="16" t="str">
        <f>LEFT(questions[[#This Row],[question]],similarity_range)</f>
        <v>How many seedlings d</v>
      </c>
      <c r="AQ907" s="16" t="str">
        <f>LEFT(INDEX(stable[question],MATCH(questions[[#This Row],[qno]],stable[qno],0)),similarity_range)</f>
        <v>How many seedlings d</v>
      </c>
      <c r="AR907" s="16" t="b">
        <f>questions[[#This Row],[question_first_characters]]=questions[[#This Row],[stability_first_characters]]</f>
        <v>1</v>
      </c>
      <c r="AS907" s="16" t="b">
        <f>IF(OR(questions[[#This Row],[is_single_select]],questions[[#This Row],[is_multi_select]]),NOT(ISBLANK(questions[[#This Row],[answer_opt_combined]])),TRUE)</f>
        <v>1</v>
      </c>
    </row>
    <row r="908" spans="1:45" s="77" customFormat="1" ht="15.75" customHeight="1" x14ac:dyDescent="0.25">
      <c r="A908" s="77" t="str">
        <f>_xlfn.TEXTJOIN("_",TRUE,questions[[#This Row],[origin]:[qno]])</f>
        <v>Uganda_Robusta_Nespresso_6400</v>
      </c>
      <c r="B908" s="77" t="s">
        <v>511</v>
      </c>
      <c r="C908" s="77" t="s">
        <v>674</v>
      </c>
      <c r="D908" s="77" t="s">
        <v>864</v>
      </c>
      <c r="F908" s="104" t="s">
        <v>284</v>
      </c>
      <c r="G908" s="78" t="s">
        <v>901</v>
      </c>
      <c r="H908" s="9" t="str" cm="1">
        <f t="array" ref="H908">INDEX(stableR[question],MATCH(VALUE(questions[[#This Row],[qno]]),VALUE(stableR[qno]),0))</f>
        <v>Did you organize your own transport to the Sucafina coffee collection point where you delivered your coffee last year?</v>
      </c>
      <c r="I908" s="9" t="b" cm="1">
        <f t="array" ref="I908">INDEX(stable[is_fixed],MATCH(VALUE(questions[[#This Row],[qno]]),VALUE(stable[qno]),0))</f>
        <v>1</v>
      </c>
      <c r="J908" s="9" t="b" cm="1">
        <f t="array" ref="J908">INDEX(stable[is_localized],MATCH(VALUE(questions[[#This Row],[qno]]),VALUE(stable[qno]),0))</f>
        <v>0</v>
      </c>
      <c r="K908" s="9" t="b" cm="1">
        <f t="array" ref="K908">INDEX(stable[is_supply_chain_dependent],MATCH(VALUE(questions[[#This Row],[qno]]),VALUE(stable[qno]),0))</f>
        <v>0</v>
      </c>
      <c r="L908" s="9" t="b" cm="1">
        <f t="array" ref="L908">INDEX(stable[is_mandatory],MATCH(VALUE(questions[[#This Row],[qno]]),VALUE(stable[qno]),0))</f>
        <v>1</v>
      </c>
      <c r="M908" s="9" t="b" cm="1">
        <f t="array" ref="M908">INDEX(stable[is_automated],MATCH(VALUE(questions[[#This Row],[qno]]),VALUE(stable[qno]),0))</f>
        <v>0</v>
      </c>
      <c r="N908" s="9" t="b" cm="1">
        <f t="array" ref="N908">INDEX(stable[is_free_text],MATCH(VALUE(questions[[#This Row],[qno]]),VALUE(stable[qno]),0))</f>
        <v>0</v>
      </c>
      <c r="O908" s="9" t="b" cm="1">
        <f t="array" ref="O908">INDEX(stable[is_numerical],MATCH(VALUE(questions[[#This Row],[qno]]),VALUE(stable[qno]),0))</f>
        <v>0</v>
      </c>
      <c r="P908" s="77" t="b" cm="1">
        <f t="array" ref="P908">INDEX(stable[is_single_select],MATCH(VALUE(questions[[#This Row],[qno]]),VALUE(stable[qno]),0))</f>
        <v>1</v>
      </c>
      <c r="Q908" s="77" t="b" cm="1">
        <f t="array" ref="Q908">INDEX(stable[is_multi_select],MATCH(VALUE(questions[[#This Row],[qno]]),VALUE(stable[qno]),0))</f>
        <v>0</v>
      </c>
      <c r="R908" s="77" t="b" cm="1">
        <f t="array" ref="R908">INDEX(stable[is_skip_logic],MATCH(VALUE(questions[[#This Row],[qno]]),VALUE(stable[qno]),0))</f>
        <v>1</v>
      </c>
      <c r="S908" s="77" t="str">
        <f>_xlfn.TEXTJOIN(", ",TRUE,questions[[#This Row],[ans_opt_1]:[ans_opt_14]])</f>
        <v>Yes, No</v>
      </c>
      <c r="T908" s="77" t="s">
        <v>149</v>
      </c>
      <c r="U908" s="77" t="s">
        <v>119</v>
      </c>
      <c r="AH908" s="98" t="b">
        <f>INDEX(stable[q_standard],MATCH(questions[[#This Row],[qno]],stable[qno],0))</f>
        <v>0</v>
      </c>
      <c r="AI908" s="98" t="b">
        <f>INDEX(stable[q_living_income],MATCH(questions[[#This Row],[qno]],stable[qno],0))</f>
        <v>1</v>
      </c>
      <c r="AJ908" s="98" t="b">
        <f>INDEX(stable[q_carbon],MATCH(questions[[#This Row],[qno]],stable[qno],0))</f>
        <v>0</v>
      </c>
      <c r="AK908" s="98" t="b">
        <f>INDEX(stable[q_regen_ag],MATCH(questions[[#This Row],[qno]],stable[qno],0))</f>
        <v>0</v>
      </c>
      <c r="AL908" s="98" t="b">
        <f>COUNTIFS(stable[qno],questions[[#This Row],[qno]])=1</f>
        <v>1</v>
      </c>
      <c r="AM908" s="98" t="b">
        <f>OR(questions[[#This Row],[is_fixed]],questions[[#This Row],[is_localized]],questions[[#This Row],[is_supply_chain_dependent]])</f>
        <v>1</v>
      </c>
      <c r="AN908" s="98" t="b">
        <f>COUNTIFS(questions[[#This Row],[is_automated]:[is_multi_select]],TRUE)=1</f>
        <v>1</v>
      </c>
      <c r="AO908" s="98" t="b">
        <f>IF(questions[[#This Row],[is_fixed]],questions[[#This Row],[question]]=INDEX(stable[question],MATCH(questions[[#This Row],[qno]],stable[qno],0)),TRUE)</f>
        <v>0</v>
      </c>
      <c r="AP908" s="98" t="str">
        <f>LEFT(questions[[#This Row],[question]],similarity_range)</f>
        <v>Did you organize the</v>
      </c>
      <c r="AQ908" s="98" t="str">
        <f>LEFT(INDEX(stable[question],MATCH(questions[[#This Row],[qno]],stable[qno],0)),similarity_range)</f>
        <v>Did you organize the</v>
      </c>
      <c r="AR908" s="98" t="b">
        <f>questions[[#This Row],[question_first_characters]]=questions[[#This Row],[stability_first_characters]]</f>
        <v>1</v>
      </c>
      <c r="AS908" s="98" t="b">
        <f>IF(OR(questions[[#This Row],[is_single_select]],questions[[#This Row],[is_multi_select]]),NOT(ISBLANK(questions[[#This Row],[answer_opt_combined]])),TRUE)</f>
        <v>1</v>
      </c>
    </row>
    <row r="909" spans="1:45" ht="15.75" customHeight="1" x14ac:dyDescent="0.25">
      <c r="A909" s="9" t="str">
        <f>_xlfn.TEXTJOIN("_",TRUE,questions[[#This Row],[origin]:[qno]])</f>
        <v>Uganda_Robusta_Nespresso_6401</v>
      </c>
      <c r="B909" s="9" t="s">
        <v>511</v>
      </c>
      <c r="C909" s="9" t="s">
        <v>674</v>
      </c>
      <c r="D909" s="9" t="s">
        <v>864</v>
      </c>
      <c r="F909" s="24" t="s">
        <v>286</v>
      </c>
      <c r="G909" s="15" t="s">
        <v>287</v>
      </c>
      <c r="H909" s="9" t="str" cm="1">
        <f t="array" ref="H909">INDEX(stableR[question],MATCH(VALUE(questions[[#This Row],[qno]]),VALUE(stableR[qno]),0))</f>
        <v>How many trips did you need to make last year?</v>
      </c>
      <c r="I909" s="9" t="b" cm="1">
        <f t="array" ref="I909">INDEX(stable[is_fixed],MATCH(VALUE(questions[[#This Row],[qno]]),VALUE(stable[qno]),0))</f>
        <v>1</v>
      </c>
      <c r="J909" s="9" t="b" cm="1">
        <f t="array" ref="J909">INDEX(stable[is_localized],MATCH(VALUE(questions[[#This Row],[qno]]),VALUE(stable[qno]),0))</f>
        <v>0</v>
      </c>
      <c r="K909" s="9" t="b" cm="1">
        <f t="array" ref="K909">INDEX(stable[is_supply_chain_dependent],MATCH(VALUE(questions[[#This Row],[qno]]),VALUE(stable[qno]),0))</f>
        <v>0</v>
      </c>
      <c r="L909" s="9" t="b" cm="1">
        <f t="array" ref="L909">INDEX(stable[is_mandatory],MATCH(VALUE(questions[[#This Row],[qno]]),VALUE(stable[qno]),0))</f>
        <v>0</v>
      </c>
      <c r="M909" s="9" t="b" cm="1">
        <f t="array" ref="M909">INDEX(stable[is_automated],MATCH(VALUE(questions[[#This Row],[qno]]),VALUE(stable[qno]),0))</f>
        <v>0</v>
      </c>
      <c r="N909" s="9" t="b" cm="1">
        <f t="array" ref="N909">INDEX(stable[is_free_text],MATCH(VALUE(questions[[#This Row],[qno]]),VALUE(stable[qno]),0))</f>
        <v>0</v>
      </c>
      <c r="O909" s="9" t="b" cm="1">
        <f t="array" ref="O909">INDEX(stable[is_numerical],MATCH(VALUE(questions[[#This Row],[qno]]),VALUE(stable[qno]),0))</f>
        <v>1</v>
      </c>
      <c r="P909" s="9" t="b" cm="1">
        <f t="array" ref="P909">INDEX(stable[is_single_select],MATCH(VALUE(questions[[#This Row],[qno]]),VALUE(stable[qno]),0))</f>
        <v>0</v>
      </c>
      <c r="Q909" s="9" t="b" cm="1">
        <f t="array" ref="Q909">INDEX(stable[is_multi_select],MATCH(VALUE(questions[[#This Row],[qno]]),VALUE(stable[qno]),0))</f>
        <v>0</v>
      </c>
      <c r="R909" s="9" t="b" cm="1">
        <f t="array" ref="R909">INDEX(stable[is_skip_logic],MATCH(VALUE(questions[[#This Row],[qno]]),VALUE(stable[qno]),0))</f>
        <v>1</v>
      </c>
      <c r="S909" s="9" t="str">
        <f>_xlfn.TEXTJOIN(", ",TRUE,questions[[#This Row],[ans_opt_1]:[ans_opt_14]])</f>
        <v/>
      </c>
      <c r="AH909" s="16" t="b">
        <f>INDEX(stable[q_standard],MATCH(questions[[#This Row],[qno]],stable[qno],0))</f>
        <v>0</v>
      </c>
      <c r="AI909" s="16" t="b">
        <f>INDEX(stable[q_living_income],MATCH(questions[[#This Row],[qno]],stable[qno],0))</f>
        <v>1</v>
      </c>
      <c r="AJ909" s="16" t="b">
        <f>INDEX(stable[q_carbon],MATCH(questions[[#This Row],[qno]],stable[qno],0))</f>
        <v>0</v>
      </c>
      <c r="AK909" s="16" t="b">
        <f>INDEX(stable[q_regen_ag],MATCH(questions[[#This Row],[qno]],stable[qno],0))</f>
        <v>0</v>
      </c>
      <c r="AL909" s="16" t="b">
        <f>COUNTIFS(stable[qno],questions[[#This Row],[qno]])=1</f>
        <v>1</v>
      </c>
      <c r="AM909" s="16" t="b">
        <f>OR(questions[[#This Row],[is_fixed]],questions[[#This Row],[is_localized]],questions[[#This Row],[is_supply_chain_dependent]])</f>
        <v>1</v>
      </c>
      <c r="AN909" s="16" t="b">
        <f>COUNTIFS(questions[[#This Row],[is_automated]:[is_multi_select]],TRUE)=1</f>
        <v>1</v>
      </c>
      <c r="AO909" s="16" t="b">
        <f>IF(questions[[#This Row],[is_fixed]],questions[[#This Row],[question]]=INDEX(stable[question],MATCH(questions[[#This Row],[qno]],stable[qno],0)),TRUE)</f>
        <v>0</v>
      </c>
      <c r="AP909" s="16" t="str">
        <f>LEFT(questions[[#This Row],[question]],similarity_range)</f>
        <v>If yes, how many tri</v>
      </c>
      <c r="AQ909" s="16" t="str">
        <f>LEFT(INDEX(stable[question],MATCH(questions[[#This Row],[qno]],stable[qno],0)),similarity_range)</f>
        <v>If yes, how many tri</v>
      </c>
      <c r="AR909" s="16" t="b">
        <f>questions[[#This Row],[question_first_characters]]=questions[[#This Row],[stability_first_characters]]</f>
        <v>1</v>
      </c>
      <c r="AS909" s="16" t="b">
        <f>IF(OR(questions[[#This Row],[is_single_select]],questions[[#This Row],[is_multi_select]]),NOT(ISBLANK(questions[[#This Row],[answer_opt_combined]])),TRUE)</f>
        <v>1</v>
      </c>
    </row>
    <row r="910" spans="1:45" ht="15.75" customHeight="1" x14ac:dyDescent="0.25">
      <c r="A910" s="9" t="str">
        <f>_xlfn.TEXTJOIN("_",TRUE,questions[[#This Row],[origin]:[qno]])</f>
        <v>Uganda_Robusta_Nespresso_6402</v>
      </c>
      <c r="B910" s="9" t="s">
        <v>511</v>
      </c>
      <c r="C910" s="9" t="s">
        <v>674</v>
      </c>
      <c r="D910" s="9" t="s">
        <v>864</v>
      </c>
      <c r="F910" s="24" t="s">
        <v>288</v>
      </c>
      <c r="G910" s="15" t="s">
        <v>289</v>
      </c>
      <c r="H910" s="9" t="str" cm="1">
        <f t="array" ref="H910">INDEX(stableR[question],MATCH(VALUE(questions[[#This Row],[qno]]),VALUE(stableR[qno]),0))</f>
        <v>What were the costs per trip (the costs you make your self, or what you pay to someone to do the transport for you)? (in local currency)</v>
      </c>
      <c r="I910" s="9" t="b" cm="1">
        <f t="array" ref="I910">INDEX(stable[is_fixed],MATCH(VALUE(questions[[#This Row],[qno]]),VALUE(stable[qno]),0))</f>
        <v>0</v>
      </c>
      <c r="J910" s="9" t="b" cm="1">
        <f t="array" ref="J910">INDEX(stable[is_localized],MATCH(VALUE(questions[[#This Row],[qno]]),VALUE(stable[qno]),0))</f>
        <v>1</v>
      </c>
      <c r="K910" s="9" t="b" cm="1">
        <f t="array" ref="K910">INDEX(stable[is_supply_chain_dependent],MATCH(VALUE(questions[[#This Row],[qno]]),VALUE(stable[qno]),0))</f>
        <v>0</v>
      </c>
      <c r="L910" s="9" t="b" cm="1">
        <f t="array" ref="L910">INDEX(stable[is_mandatory],MATCH(VALUE(questions[[#This Row],[qno]]),VALUE(stable[qno]),0))</f>
        <v>0</v>
      </c>
      <c r="M910" s="9" t="b" cm="1">
        <f t="array" ref="M910">INDEX(stable[is_automated],MATCH(VALUE(questions[[#This Row],[qno]]),VALUE(stable[qno]),0))</f>
        <v>0</v>
      </c>
      <c r="N910" s="9" t="b" cm="1">
        <f t="array" ref="N910">INDEX(stable[is_free_text],MATCH(VALUE(questions[[#This Row],[qno]]),VALUE(stable[qno]),0))</f>
        <v>0</v>
      </c>
      <c r="O910" s="9" t="b" cm="1">
        <f t="array" ref="O910">INDEX(stable[is_numerical],MATCH(VALUE(questions[[#This Row],[qno]]),VALUE(stable[qno]),0))</f>
        <v>1</v>
      </c>
      <c r="P910" s="9" t="b" cm="1">
        <f t="array" ref="P910">INDEX(stable[is_single_select],MATCH(VALUE(questions[[#This Row],[qno]]),VALUE(stable[qno]),0))</f>
        <v>0</v>
      </c>
      <c r="Q910" s="9" t="b" cm="1">
        <f t="array" ref="Q910">INDEX(stable[is_multi_select],MATCH(VALUE(questions[[#This Row],[qno]]),VALUE(stable[qno]),0))</f>
        <v>0</v>
      </c>
      <c r="R910" s="9" t="b" cm="1">
        <f t="array" ref="R910">INDEX(stable[is_skip_logic],MATCH(VALUE(questions[[#This Row],[qno]]),VALUE(stable[qno]),0))</f>
        <v>1</v>
      </c>
      <c r="S910" s="9" t="str">
        <f>_xlfn.TEXTJOIN(", ",TRUE,questions[[#This Row],[ans_opt_1]:[ans_opt_14]])</f>
        <v/>
      </c>
      <c r="AH910" s="16" t="b">
        <f>INDEX(stable[q_standard],MATCH(questions[[#This Row],[qno]],stable[qno],0))</f>
        <v>0</v>
      </c>
      <c r="AI910" s="16" t="b">
        <f>INDEX(stable[q_living_income],MATCH(questions[[#This Row],[qno]],stable[qno],0))</f>
        <v>1</v>
      </c>
      <c r="AJ910" s="16" t="b">
        <f>INDEX(stable[q_carbon],MATCH(questions[[#This Row],[qno]],stable[qno],0))</f>
        <v>0</v>
      </c>
      <c r="AK910" s="16" t="b">
        <f>INDEX(stable[q_regen_ag],MATCH(questions[[#This Row],[qno]],stable[qno],0))</f>
        <v>0</v>
      </c>
      <c r="AL910" s="16" t="b">
        <f>COUNTIFS(stable[qno],questions[[#This Row],[qno]])=1</f>
        <v>1</v>
      </c>
      <c r="AM910" s="16" t="b">
        <f>OR(questions[[#This Row],[is_fixed]],questions[[#This Row],[is_localized]],questions[[#This Row],[is_supply_chain_dependent]])</f>
        <v>1</v>
      </c>
      <c r="AN910" s="16" t="b">
        <f>COUNTIFS(questions[[#This Row],[is_automated]:[is_multi_select]],TRUE)=1</f>
        <v>1</v>
      </c>
      <c r="AO910" s="16" t="b">
        <f>IF(questions[[#This Row],[is_fixed]],questions[[#This Row],[question]]=INDEX(stable[question],MATCH(questions[[#This Row],[qno]],stable[qno],0)),TRUE)</f>
        <v>1</v>
      </c>
      <c r="AP910" s="16" t="str">
        <f>LEFT(questions[[#This Row],[question]],similarity_range)</f>
        <v>If yes, in general w</v>
      </c>
      <c r="AQ910" s="16" t="str">
        <f>LEFT(INDEX(stable[question],MATCH(questions[[#This Row],[qno]],stable[qno],0)),similarity_range)</f>
        <v>If yes, in general w</v>
      </c>
      <c r="AR910" s="16" t="b">
        <f>questions[[#This Row],[question_first_characters]]=questions[[#This Row],[stability_first_characters]]</f>
        <v>1</v>
      </c>
      <c r="AS910" s="16" t="b">
        <f>IF(OR(questions[[#This Row],[is_single_select]],questions[[#This Row],[is_multi_select]]),NOT(ISBLANK(questions[[#This Row],[answer_opt_combined]])),TRUE)</f>
        <v>1</v>
      </c>
    </row>
    <row r="911" spans="1:45" s="77" customFormat="1" ht="15.75" customHeight="1" x14ac:dyDescent="0.25">
      <c r="A911" s="77" t="str">
        <f>_xlfn.TEXTJOIN("_",TRUE,questions[[#This Row],[origin]:[qno]])</f>
        <v>Uganda_Robusta_Nespresso_6500</v>
      </c>
      <c r="B911" s="77" t="s">
        <v>511</v>
      </c>
      <c r="C911" s="77" t="s">
        <v>674</v>
      </c>
      <c r="D911" s="77" t="s">
        <v>864</v>
      </c>
      <c r="F911" s="104" t="s">
        <v>290</v>
      </c>
      <c r="G911" s="78" t="s">
        <v>291</v>
      </c>
      <c r="H911" s="9" t="str" cm="1">
        <f t="array" ref="H911">INDEX(stableR[question],MATCH(VALUE(questions[[#This Row],[qno]]),VALUE(stableR[qno]),0))</f>
        <v>What are your sources of income for the total household, from the farm and off-farm?</v>
      </c>
      <c r="I911" s="9" t="b" cm="1">
        <f t="array" ref="I911">INDEX(stable[is_fixed],MATCH(VALUE(questions[[#This Row],[qno]]),VALUE(stable[qno]),0))</f>
        <v>1</v>
      </c>
      <c r="J911" s="9" t="b" cm="1">
        <f t="array" ref="J911">INDEX(stable[is_localized],MATCH(VALUE(questions[[#This Row],[qno]]),VALUE(stable[qno]),0))</f>
        <v>0</v>
      </c>
      <c r="K911" s="9" t="b" cm="1">
        <f t="array" ref="K911">INDEX(stable[is_supply_chain_dependent],MATCH(VALUE(questions[[#This Row],[qno]]),VALUE(stable[qno]),0))</f>
        <v>0</v>
      </c>
      <c r="L911" s="9" t="b" cm="1">
        <f t="array" ref="L911">INDEX(stable[is_mandatory],MATCH(VALUE(questions[[#This Row],[qno]]),VALUE(stable[qno]),0))</f>
        <v>1</v>
      </c>
      <c r="M911" s="9" t="b" cm="1">
        <f t="array" ref="M911">INDEX(stable[is_automated],MATCH(VALUE(questions[[#This Row],[qno]]),VALUE(stable[qno]),0))</f>
        <v>0</v>
      </c>
      <c r="N911" s="9" t="b" cm="1">
        <f t="array" ref="N911">INDEX(stable[is_free_text],MATCH(VALUE(questions[[#This Row],[qno]]),VALUE(stable[qno]),0))</f>
        <v>0</v>
      </c>
      <c r="O911" s="9" t="b" cm="1">
        <f t="array" ref="O911">INDEX(stable[is_numerical],MATCH(VALUE(questions[[#This Row],[qno]]),VALUE(stable[qno]),0))</f>
        <v>0</v>
      </c>
      <c r="P911" s="77" t="b" cm="1">
        <f t="array" ref="P911">INDEX(stable[is_single_select],MATCH(VALUE(questions[[#This Row],[qno]]),VALUE(stable[qno]),0))</f>
        <v>0</v>
      </c>
      <c r="Q911" s="77" t="b" cm="1">
        <f t="array" ref="Q911">INDEX(stable[is_multi_select],MATCH(VALUE(questions[[#This Row],[qno]]),VALUE(stable[qno]),0))</f>
        <v>1</v>
      </c>
      <c r="R911" s="77" t="b" cm="1">
        <f t="array" ref="R911">INDEX(stable[is_skip_logic],MATCH(VALUE(questions[[#This Row],[qno]]),VALUE(stable[qno]),0))</f>
        <v>1</v>
      </c>
      <c r="S911" s="77" t="str">
        <f>_xlfn.TEXTJOIN(", ",TRUE,questions[[#This Row],[ans_opt_1]:[ans_opt_14]])</f>
        <v>Coffee, Cropping, Livestock, Casual labor in agriculture, Casual labor off-farm, Other business, Salaried job, Pension, Remittances</v>
      </c>
      <c r="T911" s="77" t="s">
        <v>292</v>
      </c>
      <c r="U911" s="77" t="s">
        <v>293</v>
      </c>
      <c r="V911" s="77" t="s">
        <v>294</v>
      </c>
      <c r="W911" s="77" t="s">
        <v>295</v>
      </c>
      <c r="X911" s="77" t="s">
        <v>296</v>
      </c>
      <c r="Y911" s="77" t="s">
        <v>297</v>
      </c>
      <c r="Z911" s="77" t="s">
        <v>298</v>
      </c>
      <c r="AA911" s="77" t="s">
        <v>299</v>
      </c>
      <c r="AB911" s="77" t="s">
        <v>300</v>
      </c>
      <c r="AH911" s="98" t="b">
        <f>INDEX(stable[q_standard],MATCH(questions[[#This Row],[qno]],stable[qno],0))</f>
        <v>0</v>
      </c>
      <c r="AI911" s="98" t="b">
        <f>INDEX(stable[q_living_income],MATCH(questions[[#This Row],[qno]],stable[qno],0))</f>
        <v>1</v>
      </c>
      <c r="AJ911" s="98" t="b">
        <f>INDEX(stable[q_carbon],MATCH(questions[[#This Row],[qno]],stable[qno],0))</f>
        <v>0</v>
      </c>
      <c r="AK911" s="98" t="b">
        <f>INDEX(stable[q_regen_ag],MATCH(questions[[#This Row],[qno]],stable[qno],0))</f>
        <v>0</v>
      </c>
      <c r="AL911" s="98" t="b">
        <f>COUNTIFS(stable[qno],questions[[#This Row],[qno]])=1</f>
        <v>1</v>
      </c>
      <c r="AM911" s="98" t="b">
        <f>OR(questions[[#This Row],[is_fixed]],questions[[#This Row],[is_localized]],questions[[#This Row],[is_supply_chain_dependent]])</f>
        <v>1</v>
      </c>
      <c r="AN911" s="98" t="b">
        <f>COUNTIFS(questions[[#This Row],[is_automated]:[is_multi_select]],TRUE)=1</f>
        <v>1</v>
      </c>
      <c r="AO911" s="98" t="b">
        <f>IF(questions[[#This Row],[is_fixed]],questions[[#This Row],[question]]=INDEX(stable[question],MATCH(questions[[#This Row],[qno]],stable[qno],0)),TRUE)</f>
        <v>1</v>
      </c>
      <c r="AP911" s="98" t="str">
        <f>LEFT(questions[[#This Row],[question]],similarity_range)</f>
        <v>What are your source</v>
      </c>
      <c r="AQ911" s="98" t="str">
        <f>LEFT(INDEX(stable[question],MATCH(questions[[#This Row],[qno]],stable[qno],0)),similarity_range)</f>
        <v>What are your source</v>
      </c>
      <c r="AR911" s="98" t="b">
        <f>questions[[#This Row],[question_first_characters]]=questions[[#This Row],[stability_first_characters]]</f>
        <v>1</v>
      </c>
      <c r="AS911" s="98" t="b">
        <f>IF(OR(questions[[#This Row],[is_single_select]],questions[[#This Row],[is_multi_select]]),NOT(ISBLANK(questions[[#This Row],[answer_opt_combined]])),TRUE)</f>
        <v>1</v>
      </c>
    </row>
    <row r="912" spans="1:45" ht="15.75" customHeight="1" x14ac:dyDescent="0.25">
      <c r="A912" s="9" t="str">
        <f>_xlfn.TEXTJOIN("_",TRUE,questions[[#This Row],[origin]:[qno]])</f>
        <v>Uganda_Robusta_Nespresso_6501</v>
      </c>
      <c r="B912" s="9" t="s">
        <v>511</v>
      </c>
      <c r="C912" s="9" t="s">
        <v>674</v>
      </c>
      <c r="D912" s="9" t="s">
        <v>864</v>
      </c>
      <c r="F912" s="24" t="s">
        <v>301</v>
      </c>
      <c r="G912" s="15" t="s">
        <v>791</v>
      </c>
      <c r="H912" s="9" t="str" cm="1">
        <f t="array" ref="H912">INDEX(stableR[question],MATCH(VALUE(questions[[#This Row],[qno]]),VALUE(stableR[qno]),0))</f>
        <v>For each of the sources of income that you have, please estimate the importance in terms of income for last year, as compared to the total household income! (next questions)</v>
      </c>
      <c r="I912" s="9" t="b" cm="1">
        <f t="array" ref="I912">INDEX(stable[is_fixed],MATCH(VALUE(questions[[#This Row],[qno]]),VALUE(stable[qno]),0))</f>
        <v>1</v>
      </c>
      <c r="J912" s="9" t="b" cm="1">
        <f t="array" ref="J912">INDEX(stable[is_localized],MATCH(VALUE(questions[[#This Row],[qno]]),VALUE(stable[qno]),0))</f>
        <v>0</v>
      </c>
      <c r="K912" s="9" t="b" cm="1">
        <f t="array" ref="K912">INDEX(stable[is_supply_chain_dependent],MATCH(VALUE(questions[[#This Row],[qno]]),VALUE(stable[qno]),0))</f>
        <v>0</v>
      </c>
      <c r="L912" s="9" t="b" cm="1">
        <f t="array" ref="L912">INDEX(stable[is_mandatory],MATCH(VALUE(questions[[#This Row],[qno]]),VALUE(stable[qno]),0))</f>
        <v>1</v>
      </c>
      <c r="M912" s="9" t="b" cm="1">
        <f t="array" ref="M912">INDEX(stable[is_automated],MATCH(VALUE(questions[[#This Row],[qno]]),VALUE(stable[qno]),0))</f>
        <v>1</v>
      </c>
      <c r="N912" s="9" t="b" cm="1">
        <f t="array" ref="N912">INDEX(stable[is_free_text],MATCH(VALUE(questions[[#This Row],[qno]]),VALUE(stable[qno]),0))</f>
        <v>0</v>
      </c>
      <c r="O912" s="9" t="b" cm="1">
        <f t="array" ref="O912">INDEX(stable[is_numerical],MATCH(VALUE(questions[[#This Row],[qno]]),VALUE(stable[qno]),0))</f>
        <v>0</v>
      </c>
      <c r="P912" s="9" t="b" cm="1">
        <f t="array" ref="P912">INDEX(stable[is_single_select],MATCH(VALUE(questions[[#This Row],[qno]]),VALUE(stable[qno]),0))</f>
        <v>0</v>
      </c>
      <c r="Q912" s="9" t="b" cm="1">
        <f t="array" ref="Q912">INDEX(stable[is_multi_select],MATCH(VALUE(questions[[#This Row],[qno]]),VALUE(stable[qno]),0))</f>
        <v>0</v>
      </c>
      <c r="R912" s="9" t="b" cm="1">
        <f t="array" ref="R912">INDEX(stable[is_skip_logic],MATCH(VALUE(questions[[#This Row],[qno]]),VALUE(stable[qno]),0))</f>
        <v>0</v>
      </c>
      <c r="S912" s="9" t="str">
        <f>_xlfn.TEXTJOIN(", ",TRUE,questions[[#This Row],[ans_opt_1]:[ans_opt_14]])</f>
        <v/>
      </c>
      <c r="AH912" s="16" t="b">
        <f>INDEX(stable[q_standard],MATCH(questions[[#This Row],[qno]],stable[qno],0))</f>
        <v>0</v>
      </c>
      <c r="AI912" s="16" t="b">
        <f>INDEX(stable[q_living_income],MATCH(questions[[#This Row],[qno]],stable[qno],0))</f>
        <v>1</v>
      </c>
      <c r="AJ912" s="16" t="b">
        <f>INDEX(stable[q_carbon],MATCH(questions[[#This Row],[qno]],stable[qno],0))</f>
        <v>0</v>
      </c>
      <c r="AK912" s="16" t="b">
        <f>INDEX(stable[q_regen_ag],MATCH(questions[[#This Row],[qno]],stable[qno],0))</f>
        <v>0</v>
      </c>
      <c r="AL912" s="16" t="b">
        <f>COUNTIFS(stable[qno],questions[[#This Row],[qno]])=1</f>
        <v>1</v>
      </c>
      <c r="AM912" s="16" t="b">
        <f>OR(questions[[#This Row],[is_fixed]],questions[[#This Row],[is_localized]],questions[[#This Row],[is_supply_chain_dependent]])</f>
        <v>1</v>
      </c>
      <c r="AN912" s="16" t="b">
        <f>COUNTIFS(questions[[#This Row],[is_automated]:[is_multi_select]],TRUE)=1</f>
        <v>1</v>
      </c>
      <c r="AO912" s="16" t="b">
        <f>IF(questions[[#This Row],[is_fixed]],questions[[#This Row],[question]]=INDEX(stable[question],MATCH(questions[[#This Row],[qno]],stable[qno],0)),TRUE)</f>
        <v>0</v>
      </c>
      <c r="AP912" s="16" t="str">
        <f>LEFT(questions[[#This Row],[question]],similarity_range)</f>
        <v>For each of the sour</v>
      </c>
      <c r="AQ912" s="16" t="str">
        <f>LEFT(INDEX(stable[question],MATCH(questions[[#This Row],[qno]],stable[qno],0)),similarity_range)</f>
        <v>For each of the sour</v>
      </c>
      <c r="AR912" s="16" t="b">
        <f>questions[[#This Row],[question_first_characters]]=questions[[#This Row],[stability_first_characters]]</f>
        <v>1</v>
      </c>
      <c r="AS912" s="16" t="b">
        <f>IF(OR(questions[[#This Row],[is_single_select]],questions[[#This Row],[is_multi_select]]),NOT(ISBLANK(questions[[#This Row],[answer_opt_combined]])),TRUE)</f>
        <v>1</v>
      </c>
    </row>
    <row r="913" spans="1:45" s="77" customFormat="1" ht="15.75" customHeight="1" x14ac:dyDescent="0.25">
      <c r="A913" s="77" t="str">
        <f>_xlfn.TEXTJOIN("_",TRUE,questions[[#This Row],[origin]:[qno]])</f>
        <v>Uganda_Robusta_Nespresso_6510</v>
      </c>
      <c r="B913" s="77" t="s">
        <v>511</v>
      </c>
      <c r="C913" s="77" t="s">
        <v>674</v>
      </c>
      <c r="D913" s="77" t="s">
        <v>864</v>
      </c>
      <c r="F913" s="104" t="s">
        <v>303</v>
      </c>
      <c r="G913" s="78" t="s">
        <v>304</v>
      </c>
      <c r="H913" s="9" t="str" cm="1">
        <f t="array" ref="H913">INDEX(stableR[question],MATCH(VALUE(questions[[#This Row],[qno]]),VALUE(stableR[qno]),0))</f>
        <v>Coffee, what was the estimated importance?</v>
      </c>
      <c r="I913" s="9" t="b" cm="1">
        <f t="array" ref="I913">INDEX(stable[is_fixed],MATCH(VALUE(questions[[#This Row],[qno]]),VALUE(stable[qno]),0))</f>
        <v>1</v>
      </c>
      <c r="J913" s="9" t="b" cm="1">
        <f t="array" ref="J913">INDEX(stable[is_localized],MATCH(VALUE(questions[[#This Row],[qno]]),VALUE(stable[qno]),0))</f>
        <v>0</v>
      </c>
      <c r="K913" s="9" t="b" cm="1">
        <f t="array" ref="K913">INDEX(stable[is_supply_chain_dependent],MATCH(VALUE(questions[[#This Row],[qno]]),VALUE(stable[qno]),0))</f>
        <v>0</v>
      </c>
      <c r="L913" s="9" t="b" cm="1">
        <f t="array" ref="L913">INDEX(stable[is_mandatory],MATCH(VALUE(questions[[#This Row],[qno]]),VALUE(stable[qno]),0))</f>
        <v>0</v>
      </c>
      <c r="M913" s="9" t="b" cm="1">
        <f t="array" ref="M913">INDEX(stable[is_automated],MATCH(VALUE(questions[[#This Row],[qno]]),VALUE(stable[qno]),0))</f>
        <v>0</v>
      </c>
      <c r="N913" s="9" t="b" cm="1">
        <f t="array" ref="N913">INDEX(stable[is_free_text],MATCH(VALUE(questions[[#This Row],[qno]]),VALUE(stable[qno]),0))</f>
        <v>0</v>
      </c>
      <c r="O913" s="9" t="b" cm="1">
        <f t="array" ref="O913">INDEX(stable[is_numerical],MATCH(VALUE(questions[[#This Row],[qno]]),VALUE(stable[qno]),0))</f>
        <v>0</v>
      </c>
      <c r="P913" s="77" t="b" cm="1">
        <f t="array" ref="P913">INDEX(stable[is_single_select],MATCH(VALUE(questions[[#This Row],[qno]]),VALUE(stable[qno]),0))</f>
        <v>1</v>
      </c>
      <c r="Q913" s="77" t="b" cm="1">
        <f t="array" ref="Q913">INDEX(stable[is_multi_select],MATCH(VALUE(questions[[#This Row],[qno]]),VALUE(stable[qno]),0))</f>
        <v>0</v>
      </c>
      <c r="R913" s="77" t="b" cm="1">
        <f t="array" ref="R913">INDEX(stable[is_skip_logic],MATCH(VALUE(questions[[#This Row],[qno]]),VALUE(stable[qno]),0))</f>
        <v>0</v>
      </c>
      <c r="S913" s="77" t="str">
        <f>_xlfn.TEXTJOIN(", ",TRUE,questions[[#This Row],[ans_opt_1]:[ans_opt_14]])</f>
        <v>All or nearly all - 80-100%, More than half of it  - 60-80%, About half of it - 40-60%, Less than half of it - 20-40%, A small amount - 0-20%</v>
      </c>
      <c r="T913" s="77" t="s">
        <v>305</v>
      </c>
      <c r="U913" s="77" t="s">
        <v>306</v>
      </c>
      <c r="V913" s="77" t="s">
        <v>307</v>
      </c>
      <c r="W913" s="77" t="s">
        <v>308</v>
      </c>
      <c r="X913" s="77" t="s">
        <v>309</v>
      </c>
      <c r="AH913" s="98" t="b">
        <f>INDEX(stable[q_standard],MATCH(questions[[#This Row],[qno]],stable[qno],0))</f>
        <v>0</v>
      </c>
      <c r="AI913" s="98" t="b">
        <f>INDEX(stable[q_living_income],MATCH(questions[[#This Row],[qno]],stable[qno],0))</f>
        <v>1</v>
      </c>
      <c r="AJ913" s="98" t="b">
        <f>INDEX(stable[q_carbon],MATCH(questions[[#This Row],[qno]],stable[qno],0))</f>
        <v>0</v>
      </c>
      <c r="AK913" s="98" t="b">
        <f>INDEX(stable[q_regen_ag],MATCH(questions[[#This Row],[qno]],stable[qno],0))</f>
        <v>0</v>
      </c>
      <c r="AL913" s="98" t="b">
        <f>COUNTIFS(stable[qno],questions[[#This Row],[qno]])=1</f>
        <v>1</v>
      </c>
      <c r="AM913" s="98" t="b">
        <f>OR(questions[[#This Row],[is_fixed]],questions[[#This Row],[is_localized]],questions[[#This Row],[is_supply_chain_dependent]])</f>
        <v>1</v>
      </c>
      <c r="AN913" s="98" t="b">
        <f>COUNTIFS(questions[[#This Row],[is_automated]:[is_multi_select]],TRUE)=1</f>
        <v>1</v>
      </c>
      <c r="AO913" s="98" t="b">
        <f>IF(questions[[#This Row],[is_fixed]],questions[[#This Row],[question]]=INDEX(stable[question],MATCH(questions[[#This Row],[qno]],stable[qno],0)),TRUE)</f>
        <v>1</v>
      </c>
      <c r="AP913" s="98" t="str">
        <f>LEFT(questions[[#This Row],[question]],similarity_range)</f>
        <v>Coffee, what was the</v>
      </c>
      <c r="AQ913" s="98" t="str">
        <f>LEFT(INDEX(stable[question],MATCH(questions[[#This Row],[qno]],stable[qno],0)),similarity_range)</f>
        <v>Coffee, what was the</v>
      </c>
      <c r="AR913" s="98" t="b">
        <f>questions[[#This Row],[question_first_characters]]=questions[[#This Row],[stability_first_characters]]</f>
        <v>1</v>
      </c>
      <c r="AS913" s="98" t="b">
        <f>IF(OR(questions[[#This Row],[is_single_select]],questions[[#This Row],[is_multi_select]]),NOT(ISBLANK(questions[[#This Row],[answer_opt_combined]])),TRUE)</f>
        <v>1</v>
      </c>
    </row>
    <row r="914" spans="1:45" s="77" customFormat="1" ht="15.75" customHeight="1" x14ac:dyDescent="0.25">
      <c r="A914" s="77" t="str">
        <f>_xlfn.TEXTJOIN("_",TRUE,questions[[#This Row],[origin]:[qno]])</f>
        <v>Uganda_Robusta_Nespresso_6511</v>
      </c>
      <c r="B914" s="77" t="s">
        <v>511</v>
      </c>
      <c r="C914" s="77" t="s">
        <v>674</v>
      </c>
      <c r="D914" s="77" t="s">
        <v>864</v>
      </c>
      <c r="F914" s="104" t="s">
        <v>310</v>
      </c>
      <c r="G914" s="78" t="s">
        <v>311</v>
      </c>
      <c r="H914" s="9" t="str" cm="1">
        <f t="array" ref="H914">INDEX(stableR[question],MATCH(VALUE(questions[[#This Row],[qno]]),VALUE(stableR[qno]),0))</f>
        <v>Cropping other than coffee, what was the estimated importance?</v>
      </c>
      <c r="I914" s="9" t="b" cm="1">
        <f t="array" ref="I914">INDEX(stable[is_fixed],MATCH(VALUE(questions[[#This Row],[qno]]),VALUE(stable[qno]),0))</f>
        <v>1</v>
      </c>
      <c r="J914" s="9" t="b" cm="1">
        <f t="array" ref="J914">INDEX(stable[is_localized],MATCH(VALUE(questions[[#This Row],[qno]]),VALUE(stable[qno]),0))</f>
        <v>0</v>
      </c>
      <c r="K914" s="9" t="b" cm="1">
        <f t="array" ref="K914">INDEX(stable[is_supply_chain_dependent],MATCH(VALUE(questions[[#This Row],[qno]]),VALUE(stable[qno]),0))</f>
        <v>0</v>
      </c>
      <c r="L914" s="9" t="b" cm="1">
        <f t="array" ref="L914">INDEX(stable[is_mandatory],MATCH(VALUE(questions[[#This Row],[qno]]),VALUE(stable[qno]),0))</f>
        <v>0</v>
      </c>
      <c r="M914" s="9" t="b" cm="1">
        <f t="array" ref="M914">INDEX(stable[is_automated],MATCH(VALUE(questions[[#This Row],[qno]]),VALUE(stable[qno]),0))</f>
        <v>0</v>
      </c>
      <c r="N914" s="9" t="b" cm="1">
        <f t="array" ref="N914">INDEX(stable[is_free_text],MATCH(VALUE(questions[[#This Row],[qno]]),VALUE(stable[qno]),0))</f>
        <v>0</v>
      </c>
      <c r="O914" s="9" t="b" cm="1">
        <f t="array" ref="O914">INDEX(stable[is_numerical],MATCH(VALUE(questions[[#This Row],[qno]]),VALUE(stable[qno]),0))</f>
        <v>0</v>
      </c>
      <c r="P914" s="77" t="b" cm="1">
        <f t="array" ref="P914">INDEX(stable[is_single_select],MATCH(VALUE(questions[[#This Row],[qno]]),VALUE(stable[qno]),0))</f>
        <v>1</v>
      </c>
      <c r="Q914" s="77" t="b" cm="1">
        <f t="array" ref="Q914">INDEX(stable[is_multi_select],MATCH(VALUE(questions[[#This Row],[qno]]),VALUE(stable[qno]),0))</f>
        <v>0</v>
      </c>
      <c r="R914" s="77" t="b" cm="1">
        <f t="array" ref="R914">INDEX(stable[is_skip_logic],MATCH(VALUE(questions[[#This Row],[qno]]),VALUE(stable[qno]),0))</f>
        <v>0</v>
      </c>
      <c r="S914" s="77" t="str">
        <f>_xlfn.TEXTJOIN(", ",TRUE,questions[[#This Row],[ans_opt_1]:[ans_opt_14]])</f>
        <v>All or nearly all - 80-100%, More than half of it  - 60-80%, About half of it - 40-60%, Less than half of it - 20-40%, A small amount - 0-20%</v>
      </c>
      <c r="T914" s="77" t="s">
        <v>305</v>
      </c>
      <c r="U914" s="77" t="s">
        <v>306</v>
      </c>
      <c r="V914" s="77" t="s">
        <v>307</v>
      </c>
      <c r="W914" s="77" t="s">
        <v>308</v>
      </c>
      <c r="X914" s="77" t="s">
        <v>309</v>
      </c>
      <c r="AH914" s="98" t="b">
        <f>INDEX(stable[q_standard],MATCH(questions[[#This Row],[qno]],stable[qno],0))</f>
        <v>0</v>
      </c>
      <c r="AI914" s="98" t="b">
        <f>INDEX(stable[q_living_income],MATCH(questions[[#This Row],[qno]],stable[qno],0))</f>
        <v>1</v>
      </c>
      <c r="AJ914" s="98" t="b">
        <f>INDEX(stable[q_carbon],MATCH(questions[[#This Row],[qno]],stable[qno],0))</f>
        <v>0</v>
      </c>
      <c r="AK914" s="98" t="b">
        <f>INDEX(stable[q_regen_ag],MATCH(questions[[#This Row],[qno]],stable[qno],0))</f>
        <v>0</v>
      </c>
      <c r="AL914" s="98" t="b">
        <f>COUNTIFS(stable[qno],questions[[#This Row],[qno]])=1</f>
        <v>1</v>
      </c>
      <c r="AM914" s="98" t="b">
        <f>OR(questions[[#This Row],[is_fixed]],questions[[#This Row],[is_localized]],questions[[#This Row],[is_supply_chain_dependent]])</f>
        <v>1</v>
      </c>
      <c r="AN914" s="98" t="b">
        <f>COUNTIFS(questions[[#This Row],[is_automated]:[is_multi_select]],TRUE)=1</f>
        <v>1</v>
      </c>
      <c r="AO914" s="98" t="b">
        <f>IF(questions[[#This Row],[is_fixed]],questions[[#This Row],[question]]=INDEX(stable[question],MATCH(questions[[#This Row],[qno]],stable[qno],0)),TRUE)</f>
        <v>1</v>
      </c>
      <c r="AP914" s="98" t="str">
        <f>LEFT(questions[[#This Row],[question]],similarity_range)</f>
        <v xml:space="preserve">Cropping other than </v>
      </c>
      <c r="AQ914" s="98" t="str">
        <f>LEFT(INDEX(stable[question],MATCH(questions[[#This Row],[qno]],stable[qno],0)),similarity_range)</f>
        <v xml:space="preserve">Cropping other than </v>
      </c>
      <c r="AR914" s="98" t="b">
        <f>questions[[#This Row],[question_first_characters]]=questions[[#This Row],[stability_first_characters]]</f>
        <v>1</v>
      </c>
      <c r="AS914" s="98" t="b">
        <f>IF(OR(questions[[#This Row],[is_single_select]],questions[[#This Row],[is_multi_select]]),NOT(ISBLANK(questions[[#This Row],[answer_opt_combined]])),TRUE)</f>
        <v>1</v>
      </c>
    </row>
    <row r="915" spans="1:45" s="77" customFormat="1" ht="15.75" customHeight="1" x14ac:dyDescent="0.25">
      <c r="A915" s="77" t="str">
        <f>_xlfn.TEXTJOIN("_",TRUE,questions[[#This Row],[origin]:[qno]])</f>
        <v>Uganda_Robusta_Nespresso_6512</v>
      </c>
      <c r="B915" s="77" t="s">
        <v>511</v>
      </c>
      <c r="C915" s="77" t="s">
        <v>674</v>
      </c>
      <c r="D915" s="77" t="s">
        <v>864</v>
      </c>
      <c r="F915" s="104" t="s">
        <v>312</v>
      </c>
      <c r="G915" s="78" t="s">
        <v>313</v>
      </c>
      <c r="H915" s="9" t="str" cm="1">
        <f t="array" ref="H915">INDEX(stableR[question],MATCH(VALUE(questions[[#This Row],[qno]]),VALUE(stableR[qno]),0))</f>
        <v>Livestock, what was the estimated importance?</v>
      </c>
      <c r="I915" s="9" t="b" cm="1">
        <f t="array" ref="I915">INDEX(stable[is_fixed],MATCH(VALUE(questions[[#This Row],[qno]]),VALUE(stable[qno]),0))</f>
        <v>1</v>
      </c>
      <c r="J915" s="9" t="b" cm="1">
        <f t="array" ref="J915">INDEX(stable[is_localized],MATCH(VALUE(questions[[#This Row],[qno]]),VALUE(stable[qno]),0))</f>
        <v>0</v>
      </c>
      <c r="K915" s="9" t="b" cm="1">
        <f t="array" ref="K915">INDEX(stable[is_supply_chain_dependent],MATCH(VALUE(questions[[#This Row],[qno]]),VALUE(stable[qno]),0))</f>
        <v>0</v>
      </c>
      <c r="L915" s="9" t="b" cm="1">
        <f t="array" ref="L915">INDEX(stable[is_mandatory],MATCH(VALUE(questions[[#This Row],[qno]]),VALUE(stable[qno]),0))</f>
        <v>0</v>
      </c>
      <c r="M915" s="9" t="b" cm="1">
        <f t="array" ref="M915">INDEX(stable[is_automated],MATCH(VALUE(questions[[#This Row],[qno]]),VALUE(stable[qno]),0))</f>
        <v>0</v>
      </c>
      <c r="N915" s="9" t="b" cm="1">
        <f t="array" ref="N915">INDEX(stable[is_free_text],MATCH(VALUE(questions[[#This Row],[qno]]),VALUE(stable[qno]),0))</f>
        <v>0</v>
      </c>
      <c r="O915" s="9" t="b" cm="1">
        <f t="array" ref="O915">INDEX(stable[is_numerical],MATCH(VALUE(questions[[#This Row],[qno]]),VALUE(stable[qno]),0))</f>
        <v>0</v>
      </c>
      <c r="P915" s="77" t="b" cm="1">
        <f t="array" ref="P915">INDEX(stable[is_single_select],MATCH(VALUE(questions[[#This Row],[qno]]),VALUE(stable[qno]),0))</f>
        <v>1</v>
      </c>
      <c r="Q915" s="77" t="b" cm="1">
        <f t="array" ref="Q915">INDEX(stable[is_multi_select],MATCH(VALUE(questions[[#This Row],[qno]]),VALUE(stable[qno]),0))</f>
        <v>0</v>
      </c>
      <c r="R915" s="77" t="b" cm="1">
        <f t="array" ref="R915">INDEX(stable[is_skip_logic],MATCH(VALUE(questions[[#This Row],[qno]]),VALUE(stable[qno]),0))</f>
        <v>0</v>
      </c>
      <c r="S915" s="77" t="str">
        <f>_xlfn.TEXTJOIN(", ",TRUE,questions[[#This Row],[ans_opt_1]:[ans_opt_14]])</f>
        <v>All or nearly all - 80-100%, More than half of it  - 60-80%, About half of it - 40-60%, Less than half of it - 20-40%, A small amount - 0-20%</v>
      </c>
      <c r="T915" s="77" t="s">
        <v>305</v>
      </c>
      <c r="U915" s="77" t="s">
        <v>306</v>
      </c>
      <c r="V915" s="77" t="s">
        <v>307</v>
      </c>
      <c r="W915" s="77" t="s">
        <v>308</v>
      </c>
      <c r="X915" s="77" t="s">
        <v>309</v>
      </c>
      <c r="AH915" s="98" t="b">
        <f>INDEX(stable[q_standard],MATCH(questions[[#This Row],[qno]],stable[qno],0))</f>
        <v>0</v>
      </c>
      <c r="AI915" s="98" t="b">
        <f>INDEX(stable[q_living_income],MATCH(questions[[#This Row],[qno]],stable[qno],0))</f>
        <v>1</v>
      </c>
      <c r="AJ915" s="98" t="b">
        <f>INDEX(stable[q_carbon],MATCH(questions[[#This Row],[qno]],stable[qno],0))</f>
        <v>0</v>
      </c>
      <c r="AK915" s="98" t="b">
        <f>INDEX(stable[q_regen_ag],MATCH(questions[[#This Row],[qno]],stable[qno],0))</f>
        <v>0</v>
      </c>
      <c r="AL915" s="98" t="b">
        <f>COUNTIFS(stable[qno],questions[[#This Row],[qno]])=1</f>
        <v>1</v>
      </c>
      <c r="AM915" s="98" t="b">
        <f>OR(questions[[#This Row],[is_fixed]],questions[[#This Row],[is_localized]],questions[[#This Row],[is_supply_chain_dependent]])</f>
        <v>1</v>
      </c>
      <c r="AN915" s="98" t="b">
        <f>COUNTIFS(questions[[#This Row],[is_automated]:[is_multi_select]],TRUE)=1</f>
        <v>1</v>
      </c>
      <c r="AO915" s="98" t="b">
        <f>IF(questions[[#This Row],[is_fixed]],questions[[#This Row],[question]]=INDEX(stable[question],MATCH(questions[[#This Row],[qno]],stable[qno],0)),TRUE)</f>
        <v>1</v>
      </c>
      <c r="AP915" s="98" t="str">
        <f>LEFT(questions[[#This Row],[question]],similarity_range)</f>
        <v xml:space="preserve">Livestock, what was </v>
      </c>
      <c r="AQ915" s="98" t="str">
        <f>LEFT(INDEX(stable[question],MATCH(questions[[#This Row],[qno]],stable[qno],0)),similarity_range)</f>
        <v xml:space="preserve">Livestock, what was </v>
      </c>
      <c r="AR915" s="98" t="b">
        <f>questions[[#This Row],[question_first_characters]]=questions[[#This Row],[stability_first_characters]]</f>
        <v>1</v>
      </c>
      <c r="AS915" s="98" t="b">
        <f>IF(OR(questions[[#This Row],[is_single_select]],questions[[#This Row],[is_multi_select]]),NOT(ISBLANK(questions[[#This Row],[answer_opt_combined]])),TRUE)</f>
        <v>1</v>
      </c>
    </row>
    <row r="916" spans="1:45" s="77" customFormat="1" ht="15.75" customHeight="1" x14ac:dyDescent="0.25">
      <c r="A916" s="77" t="str">
        <f>_xlfn.TEXTJOIN("_",TRUE,questions[[#This Row],[origin]:[qno]])</f>
        <v>Uganda_Robusta_Nespresso_6513</v>
      </c>
      <c r="B916" s="77" t="s">
        <v>511</v>
      </c>
      <c r="C916" s="77" t="s">
        <v>674</v>
      </c>
      <c r="D916" s="77" t="s">
        <v>864</v>
      </c>
      <c r="F916" s="104" t="s">
        <v>314</v>
      </c>
      <c r="G916" s="78" t="s">
        <v>315</v>
      </c>
      <c r="H916" s="9" t="str" cm="1">
        <f t="array" ref="H916">INDEX(stableR[question],MATCH(VALUE(questions[[#This Row],[qno]]),VALUE(stableR[qno]),0))</f>
        <v>Casual labor on other peoples farm, what was the estimated importance?</v>
      </c>
      <c r="I916" s="9" t="b" cm="1">
        <f t="array" ref="I916">INDEX(stable[is_fixed],MATCH(VALUE(questions[[#This Row],[qno]]),VALUE(stable[qno]),0))</f>
        <v>1</v>
      </c>
      <c r="J916" s="9" t="b" cm="1">
        <f t="array" ref="J916">INDEX(stable[is_localized],MATCH(VALUE(questions[[#This Row],[qno]]),VALUE(stable[qno]),0))</f>
        <v>0</v>
      </c>
      <c r="K916" s="9" t="b" cm="1">
        <f t="array" ref="K916">INDEX(stable[is_supply_chain_dependent],MATCH(VALUE(questions[[#This Row],[qno]]),VALUE(stable[qno]),0))</f>
        <v>0</v>
      </c>
      <c r="L916" s="9" t="b" cm="1">
        <f t="array" ref="L916">INDEX(stable[is_mandatory],MATCH(VALUE(questions[[#This Row],[qno]]),VALUE(stable[qno]),0))</f>
        <v>0</v>
      </c>
      <c r="M916" s="9" t="b" cm="1">
        <f t="array" ref="M916">INDEX(stable[is_automated],MATCH(VALUE(questions[[#This Row],[qno]]),VALUE(stable[qno]),0))</f>
        <v>0</v>
      </c>
      <c r="N916" s="9" t="b" cm="1">
        <f t="array" ref="N916">INDEX(stable[is_free_text],MATCH(VALUE(questions[[#This Row],[qno]]),VALUE(stable[qno]),0))</f>
        <v>0</v>
      </c>
      <c r="O916" s="9" t="b" cm="1">
        <f t="array" ref="O916">INDEX(stable[is_numerical],MATCH(VALUE(questions[[#This Row],[qno]]),VALUE(stable[qno]),0))</f>
        <v>0</v>
      </c>
      <c r="P916" s="77" t="b" cm="1">
        <f t="array" ref="P916">INDEX(stable[is_single_select],MATCH(VALUE(questions[[#This Row],[qno]]),VALUE(stable[qno]),0))</f>
        <v>1</v>
      </c>
      <c r="Q916" s="77" t="b" cm="1">
        <f t="array" ref="Q916">INDEX(stable[is_multi_select],MATCH(VALUE(questions[[#This Row],[qno]]),VALUE(stable[qno]),0))</f>
        <v>0</v>
      </c>
      <c r="R916" s="77" t="b" cm="1">
        <f t="array" ref="R916">INDEX(stable[is_skip_logic],MATCH(VALUE(questions[[#This Row],[qno]]),VALUE(stable[qno]),0))</f>
        <v>0</v>
      </c>
      <c r="S916" s="77" t="str">
        <f>_xlfn.TEXTJOIN(", ",TRUE,questions[[#This Row],[ans_opt_1]:[ans_opt_14]])</f>
        <v>All or nearly all - 80-100%, More than half of it  - 60-80%, About half of it - 40-60%, Less than half of it - 20-40%, A small amount - 0-20%</v>
      </c>
      <c r="T916" s="77" t="s">
        <v>305</v>
      </c>
      <c r="U916" s="77" t="s">
        <v>306</v>
      </c>
      <c r="V916" s="77" t="s">
        <v>307</v>
      </c>
      <c r="W916" s="77" t="s">
        <v>308</v>
      </c>
      <c r="X916" s="77" t="s">
        <v>309</v>
      </c>
      <c r="AH916" s="98" t="b">
        <f>INDEX(stable[q_standard],MATCH(questions[[#This Row],[qno]],stable[qno],0))</f>
        <v>0</v>
      </c>
      <c r="AI916" s="98" t="b">
        <f>INDEX(stable[q_living_income],MATCH(questions[[#This Row],[qno]],stable[qno],0))</f>
        <v>1</v>
      </c>
      <c r="AJ916" s="98" t="b">
        <f>INDEX(stable[q_carbon],MATCH(questions[[#This Row],[qno]],stable[qno],0))</f>
        <v>0</v>
      </c>
      <c r="AK916" s="98" t="b">
        <f>INDEX(stable[q_regen_ag],MATCH(questions[[#This Row],[qno]],stable[qno],0))</f>
        <v>0</v>
      </c>
      <c r="AL916" s="98" t="b">
        <f>COUNTIFS(stable[qno],questions[[#This Row],[qno]])=1</f>
        <v>1</v>
      </c>
      <c r="AM916" s="98" t="b">
        <f>OR(questions[[#This Row],[is_fixed]],questions[[#This Row],[is_localized]],questions[[#This Row],[is_supply_chain_dependent]])</f>
        <v>1</v>
      </c>
      <c r="AN916" s="98" t="b">
        <f>COUNTIFS(questions[[#This Row],[is_automated]:[is_multi_select]],TRUE)=1</f>
        <v>1</v>
      </c>
      <c r="AO916" s="98" t="b">
        <f>IF(questions[[#This Row],[is_fixed]],questions[[#This Row],[question]]=INDEX(stable[question],MATCH(questions[[#This Row],[qno]],stable[qno],0)),TRUE)</f>
        <v>1</v>
      </c>
      <c r="AP916" s="98" t="str">
        <f>LEFT(questions[[#This Row],[question]],similarity_range)</f>
        <v>Casual labor on othe</v>
      </c>
      <c r="AQ916" s="98" t="str">
        <f>LEFT(INDEX(stable[question],MATCH(questions[[#This Row],[qno]],stable[qno],0)),similarity_range)</f>
        <v>Casual labor on othe</v>
      </c>
      <c r="AR916" s="98" t="b">
        <f>questions[[#This Row],[question_first_characters]]=questions[[#This Row],[stability_first_characters]]</f>
        <v>1</v>
      </c>
      <c r="AS916" s="98" t="b">
        <f>IF(OR(questions[[#This Row],[is_single_select]],questions[[#This Row],[is_multi_select]]),NOT(ISBLANK(questions[[#This Row],[answer_opt_combined]])),TRUE)</f>
        <v>1</v>
      </c>
    </row>
    <row r="917" spans="1:45" s="77" customFormat="1" ht="15.75" customHeight="1" x14ac:dyDescent="0.25">
      <c r="A917" s="77" t="str">
        <f>_xlfn.TEXTJOIN("_",TRUE,questions[[#This Row],[origin]:[qno]])</f>
        <v>Uganda_Robusta_Nespresso_6514</v>
      </c>
      <c r="B917" s="77" t="s">
        <v>511</v>
      </c>
      <c r="C917" s="77" t="s">
        <v>674</v>
      </c>
      <c r="D917" s="77" t="s">
        <v>864</v>
      </c>
      <c r="F917" s="104" t="s">
        <v>316</v>
      </c>
      <c r="G917" s="78" t="s">
        <v>317</v>
      </c>
      <c r="H917" s="9" t="str" cm="1">
        <f t="array" ref="H917">INDEX(stableR[question],MATCH(VALUE(questions[[#This Row],[qno]]),VALUE(stableR[qno]),0))</f>
        <v>Casual labor off-farm, what was the estimated importance?</v>
      </c>
      <c r="I917" s="9" t="b" cm="1">
        <f t="array" ref="I917">INDEX(stable[is_fixed],MATCH(VALUE(questions[[#This Row],[qno]]),VALUE(stable[qno]),0))</f>
        <v>1</v>
      </c>
      <c r="J917" s="9" t="b" cm="1">
        <f t="array" ref="J917">INDEX(stable[is_localized],MATCH(VALUE(questions[[#This Row],[qno]]),VALUE(stable[qno]),0))</f>
        <v>0</v>
      </c>
      <c r="K917" s="9" t="b" cm="1">
        <f t="array" ref="K917">INDEX(stable[is_supply_chain_dependent],MATCH(VALUE(questions[[#This Row],[qno]]),VALUE(stable[qno]),0))</f>
        <v>0</v>
      </c>
      <c r="L917" s="9" t="b" cm="1">
        <f t="array" ref="L917">INDEX(stable[is_mandatory],MATCH(VALUE(questions[[#This Row],[qno]]),VALUE(stable[qno]),0))</f>
        <v>0</v>
      </c>
      <c r="M917" s="9" t="b" cm="1">
        <f t="array" ref="M917">INDEX(stable[is_automated],MATCH(VALUE(questions[[#This Row],[qno]]),VALUE(stable[qno]),0))</f>
        <v>0</v>
      </c>
      <c r="N917" s="9" t="b" cm="1">
        <f t="array" ref="N917">INDEX(stable[is_free_text],MATCH(VALUE(questions[[#This Row],[qno]]),VALUE(stable[qno]),0))</f>
        <v>0</v>
      </c>
      <c r="O917" s="9" t="b" cm="1">
        <f t="array" ref="O917">INDEX(stable[is_numerical],MATCH(VALUE(questions[[#This Row],[qno]]),VALUE(stable[qno]),0))</f>
        <v>0</v>
      </c>
      <c r="P917" s="77" t="b" cm="1">
        <f t="array" ref="P917">INDEX(stable[is_single_select],MATCH(VALUE(questions[[#This Row],[qno]]),VALUE(stable[qno]),0))</f>
        <v>1</v>
      </c>
      <c r="Q917" s="77" t="b" cm="1">
        <f t="array" ref="Q917">INDEX(stable[is_multi_select],MATCH(VALUE(questions[[#This Row],[qno]]),VALUE(stable[qno]),0))</f>
        <v>0</v>
      </c>
      <c r="R917" s="77" t="b" cm="1">
        <f t="array" ref="R917">INDEX(stable[is_skip_logic],MATCH(VALUE(questions[[#This Row],[qno]]),VALUE(stable[qno]),0))</f>
        <v>0</v>
      </c>
      <c r="S917" s="77" t="str">
        <f>_xlfn.TEXTJOIN(", ",TRUE,questions[[#This Row],[ans_opt_1]:[ans_opt_14]])</f>
        <v>All or nearly all - 80-100%, More than half of it  - 60-80%, About half of it - 40-60%, Less than half of it - 20-40%, A small amount - 0-20%</v>
      </c>
      <c r="T917" s="77" t="s">
        <v>305</v>
      </c>
      <c r="U917" s="77" t="s">
        <v>306</v>
      </c>
      <c r="V917" s="77" t="s">
        <v>307</v>
      </c>
      <c r="W917" s="77" t="s">
        <v>308</v>
      </c>
      <c r="X917" s="77" t="s">
        <v>309</v>
      </c>
      <c r="AH917" s="98" t="b">
        <f>INDEX(stable[q_standard],MATCH(questions[[#This Row],[qno]],stable[qno],0))</f>
        <v>0</v>
      </c>
      <c r="AI917" s="98" t="b">
        <f>INDEX(stable[q_living_income],MATCH(questions[[#This Row],[qno]],stable[qno],0))</f>
        <v>1</v>
      </c>
      <c r="AJ917" s="98" t="b">
        <f>INDEX(stable[q_carbon],MATCH(questions[[#This Row],[qno]],stable[qno],0))</f>
        <v>0</v>
      </c>
      <c r="AK917" s="98" t="b">
        <f>INDEX(stable[q_regen_ag],MATCH(questions[[#This Row],[qno]],stable[qno],0))</f>
        <v>0</v>
      </c>
      <c r="AL917" s="98" t="b">
        <f>COUNTIFS(stable[qno],questions[[#This Row],[qno]])=1</f>
        <v>1</v>
      </c>
      <c r="AM917" s="98" t="b">
        <f>OR(questions[[#This Row],[is_fixed]],questions[[#This Row],[is_localized]],questions[[#This Row],[is_supply_chain_dependent]])</f>
        <v>1</v>
      </c>
      <c r="AN917" s="98" t="b">
        <f>COUNTIFS(questions[[#This Row],[is_automated]:[is_multi_select]],TRUE)=1</f>
        <v>1</v>
      </c>
      <c r="AO917" s="98" t="b">
        <f>IF(questions[[#This Row],[is_fixed]],questions[[#This Row],[question]]=INDEX(stable[question],MATCH(questions[[#This Row],[qno]],stable[qno],0)),TRUE)</f>
        <v>1</v>
      </c>
      <c r="AP917" s="98" t="str">
        <f>LEFT(questions[[#This Row],[question]],similarity_range)</f>
        <v>Casual labor off-far</v>
      </c>
      <c r="AQ917" s="98" t="str">
        <f>LEFT(INDEX(stable[question],MATCH(questions[[#This Row],[qno]],stable[qno],0)),similarity_range)</f>
        <v>Casual labor off-far</v>
      </c>
      <c r="AR917" s="98" t="b">
        <f>questions[[#This Row],[question_first_characters]]=questions[[#This Row],[stability_first_characters]]</f>
        <v>1</v>
      </c>
      <c r="AS917" s="98" t="b">
        <f>IF(OR(questions[[#This Row],[is_single_select]],questions[[#This Row],[is_multi_select]]),NOT(ISBLANK(questions[[#This Row],[answer_opt_combined]])),TRUE)</f>
        <v>1</v>
      </c>
    </row>
    <row r="918" spans="1:45" s="77" customFormat="1" ht="15.75" customHeight="1" x14ac:dyDescent="0.25">
      <c r="A918" s="77" t="str">
        <f>_xlfn.TEXTJOIN("_",TRUE,questions[[#This Row],[origin]:[qno]])</f>
        <v>Uganda_Robusta_Nespresso_6515</v>
      </c>
      <c r="B918" s="77" t="s">
        <v>511</v>
      </c>
      <c r="C918" s="77" t="s">
        <v>674</v>
      </c>
      <c r="D918" s="77" t="s">
        <v>864</v>
      </c>
      <c r="F918" s="104" t="s">
        <v>318</v>
      </c>
      <c r="G918" s="78" t="s">
        <v>319</v>
      </c>
      <c r="H918" s="9" t="str" cm="1">
        <f t="array" ref="H918">INDEX(stableR[question],MATCH(VALUE(questions[[#This Row],[qno]]),VALUE(stableR[qno]),0))</f>
        <v>Other business, what was the estimated importance?</v>
      </c>
      <c r="I918" s="9" t="b" cm="1">
        <f t="array" ref="I918">INDEX(stable[is_fixed],MATCH(VALUE(questions[[#This Row],[qno]]),VALUE(stable[qno]),0))</f>
        <v>1</v>
      </c>
      <c r="J918" s="9" t="b" cm="1">
        <f t="array" ref="J918">INDEX(stable[is_localized],MATCH(VALUE(questions[[#This Row],[qno]]),VALUE(stable[qno]),0))</f>
        <v>0</v>
      </c>
      <c r="K918" s="9" t="b" cm="1">
        <f t="array" ref="K918">INDEX(stable[is_supply_chain_dependent],MATCH(VALUE(questions[[#This Row],[qno]]),VALUE(stable[qno]),0))</f>
        <v>0</v>
      </c>
      <c r="L918" s="9" t="b" cm="1">
        <f t="array" ref="L918">INDEX(stable[is_mandatory],MATCH(VALUE(questions[[#This Row],[qno]]),VALUE(stable[qno]),0))</f>
        <v>0</v>
      </c>
      <c r="M918" s="9" t="b" cm="1">
        <f t="array" ref="M918">INDEX(stable[is_automated],MATCH(VALUE(questions[[#This Row],[qno]]),VALUE(stable[qno]),0))</f>
        <v>0</v>
      </c>
      <c r="N918" s="9" t="b" cm="1">
        <f t="array" ref="N918">INDEX(stable[is_free_text],MATCH(VALUE(questions[[#This Row],[qno]]),VALUE(stable[qno]),0))</f>
        <v>0</v>
      </c>
      <c r="O918" s="9" t="b" cm="1">
        <f t="array" ref="O918">INDEX(stable[is_numerical],MATCH(VALUE(questions[[#This Row],[qno]]),VALUE(stable[qno]),0))</f>
        <v>0</v>
      </c>
      <c r="P918" s="77" t="b" cm="1">
        <f t="array" ref="P918">INDEX(stable[is_single_select],MATCH(VALUE(questions[[#This Row],[qno]]),VALUE(stable[qno]),0))</f>
        <v>1</v>
      </c>
      <c r="Q918" s="77" t="b" cm="1">
        <f t="array" ref="Q918">INDEX(stable[is_multi_select],MATCH(VALUE(questions[[#This Row],[qno]]),VALUE(stable[qno]),0))</f>
        <v>0</v>
      </c>
      <c r="R918" s="77" t="b" cm="1">
        <f t="array" ref="R918">INDEX(stable[is_skip_logic],MATCH(VALUE(questions[[#This Row],[qno]]),VALUE(stable[qno]),0))</f>
        <v>0</v>
      </c>
      <c r="S918" s="77" t="str">
        <f>_xlfn.TEXTJOIN(", ",TRUE,questions[[#This Row],[ans_opt_1]:[ans_opt_14]])</f>
        <v>All or nearly all - 80-100%, More than half of it  - 60-80%, About half of it - 40-60%, Less than half of it - 20-40%, A small amount - 0-20%</v>
      </c>
      <c r="T918" s="77" t="s">
        <v>305</v>
      </c>
      <c r="U918" s="77" t="s">
        <v>306</v>
      </c>
      <c r="V918" s="77" t="s">
        <v>307</v>
      </c>
      <c r="W918" s="77" t="s">
        <v>308</v>
      </c>
      <c r="X918" s="77" t="s">
        <v>309</v>
      </c>
      <c r="AH918" s="98" t="b">
        <f>INDEX(stable[q_standard],MATCH(questions[[#This Row],[qno]],stable[qno],0))</f>
        <v>0</v>
      </c>
      <c r="AI918" s="98" t="b">
        <f>INDEX(stable[q_living_income],MATCH(questions[[#This Row],[qno]],stable[qno],0))</f>
        <v>1</v>
      </c>
      <c r="AJ918" s="98" t="b">
        <f>INDEX(stable[q_carbon],MATCH(questions[[#This Row],[qno]],stable[qno],0))</f>
        <v>0</v>
      </c>
      <c r="AK918" s="98" t="b">
        <f>INDEX(stable[q_regen_ag],MATCH(questions[[#This Row],[qno]],stable[qno],0))</f>
        <v>0</v>
      </c>
      <c r="AL918" s="98" t="b">
        <f>COUNTIFS(stable[qno],questions[[#This Row],[qno]])=1</f>
        <v>1</v>
      </c>
      <c r="AM918" s="98" t="b">
        <f>OR(questions[[#This Row],[is_fixed]],questions[[#This Row],[is_localized]],questions[[#This Row],[is_supply_chain_dependent]])</f>
        <v>1</v>
      </c>
      <c r="AN918" s="98" t="b">
        <f>COUNTIFS(questions[[#This Row],[is_automated]:[is_multi_select]],TRUE)=1</f>
        <v>1</v>
      </c>
      <c r="AO918" s="98" t="b">
        <f>IF(questions[[#This Row],[is_fixed]],questions[[#This Row],[question]]=INDEX(stable[question],MATCH(questions[[#This Row],[qno]],stable[qno],0)),TRUE)</f>
        <v>1</v>
      </c>
      <c r="AP918" s="98" t="str">
        <f>LEFT(questions[[#This Row],[question]],similarity_range)</f>
        <v>Other business, what</v>
      </c>
      <c r="AQ918" s="98" t="str">
        <f>LEFT(INDEX(stable[question],MATCH(questions[[#This Row],[qno]],stable[qno],0)),similarity_range)</f>
        <v>Other business, what</v>
      </c>
      <c r="AR918" s="98" t="b">
        <f>questions[[#This Row],[question_first_characters]]=questions[[#This Row],[stability_first_characters]]</f>
        <v>1</v>
      </c>
      <c r="AS918" s="98" t="b">
        <f>IF(OR(questions[[#This Row],[is_single_select]],questions[[#This Row],[is_multi_select]]),NOT(ISBLANK(questions[[#This Row],[answer_opt_combined]])),TRUE)</f>
        <v>1</v>
      </c>
    </row>
    <row r="919" spans="1:45" s="77" customFormat="1" ht="15.75" customHeight="1" x14ac:dyDescent="0.25">
      <c r="A919" s="77" t="str">
        <f>_xlfn.TEXTJOIN("_",TRUE,questions[[#This Row],[origin]:[qno]])</f>
        <v>Uganda_Robusta_Nespresso_6516</v>
      </c>
      <c r="B919" s="77" t="s">
        <v>511</v>
      </c>
      <c r="C919" s="77" t="s">
        <v>674</v>
      </c>
      <c r="D919" s="77" t="s">
        <v>864</v>
      </c>
      <c r="F919" s="104" t="s">
        <v>320</v>
      </c>
      <c r="G919" s="78" t="s">
        <v>321</v>
      </c>
      <c r="H919" s="9" t="str" cm="1">
        <f t="array" ref="H919">INDEX(stableR[question],MATCH(VALUE(questions[[#This Row],[qno]]),VALUE(stableR[qno]),0))</f>
        <v>Salaried job, what was the estimated importance?</v>
      </c>
      <c r="I919" s="9" t="b" cm="1">
        <f t="array" ref="I919">INDEX(stable[is_fixed],MATCH(VALUE(questions[[#This Row],[qno]]),VALUE(stable[qno]),0))</f>
        <v>1</v>
      </c>
      <c r="J919" s="9" t="b" cm="1">
        <f t="array" ref="J919">INDEX(stable[is_localized],MATCH(VALUE(questions[[#This Row],[qno]]),VALUE(stable[qno]),0))</f>
        <v>0</v>
      </c>
      <c r="K919" s="9" t="b" cm="1">
        <f t="array" ref="K919">INDEX(stable[is_supply_chain_dependent],MATCH(VALUE(questions[[#This Row],[qno]]),VALUE(stable[qno]),0))</f>
        <v>0</v>
      </c>
      <c r="L919" s="9" t="b" cm="1">
        <f t="array" ref="L919">INDEX(stable[is_mandatory],MATCH(VALUE(questions[[#This Row],[qno]]),VALUE(stable[qno]),0))</f>
        <v>0</v>
      </c>
      <c r="M919" s="9" t="b" cm="1">
        <f t="array" ref="M919">INDEX(stable[is_automated],MATCH(VALUE(questions[[#This Row],[qno]]),VALUE(stable[qno]),0))</f>
        <v>0</v>
      </c>
      <c r="N919" s="9" t="b" cm="1">
        <f t="array" ref="N919">INDEX(stable[is_free_text],MATCH(VALUE(questions[[#This Row],[qno]]),VALUE(stable[qno]),0))</f>
        <v>0</v>
      </c>
      <c r="O919" s="9" t="b" cm="1">
        <f t="array" ref="O919">INDEX(stable[is_numerical],MATCH(VALUE(questions[[#This Row],[qno]]),VALUE(stable[qno]),0))</f>
        <v>0</v>
      </c>
      <c r="P919" s="77" t="b" cm="1">
        <f t="array" ref="P919">INDEX(stable[is_single_select],MATCH(VALUE(questions[[#This Row],[qno]]),VALUE(stable[qno]),0))</f>
        <v>1</v>
      </c>
      <c r="Q919" s="77" t="b" cm="1">
        <f t="array" ref="Q919">INDEX(stable[is_multi_select],MATCH(VALUE(questions[[#This Row],[qno]]),VALUE(stable[qno]),0))</f>
        <v>0</v>
      </c>
      <c r="R919" s="77" t="b" cm="1">
        <f t="array" ref="R919">INDEX(stable[is_skip_logic],MATCH(VALUE(questions[[#This Row],[qno]]),VALUE(stable[qno]),0))</f>
        <v>0</v>
      </c>
      <c r="S919" s="77" t="str">
        <f>_xlfn.TEXTJOIN(", ",TRUE,questions[[#This Row],[ans_opt_1]:[ans_opt_14]])</f>
        <v>All or nearly all - 80-100%, More than half of it  - 60-80%, About half of it - 40-60%, Less than half of it - 20-40%, A small amount - 0-20%</v>
      </c>
      <c r="T919" s="77" t="s">
        <v>305</v>
      </c>
      <c r="U919" s="77" t="s">
        <v>306</v>
      </c>
      <c r="V919" s="77" t="s">
        <v>307</v>
      </c>
      <c r="W919" s="77" t="s">
        <v>308</v>
      </c>
      <c r="X919" s="77" t="s">
        <v>309</v>
      </c>
      <c r="AH919" s="98" t="b">
        <f>INDEX(stable[q_standard],MATCH(questions[[#This Row],[qno]],stable[qno],0))</f>
        <v>0</v>
      </c>
      <c r="AI919" s="98" t="b">
        <f>INDEX(stable[q_living_income],MATCH(questions[[#This Row],[qno]],stable[qno],0))</f>
        <v>1</v>
      </c>
      <c r="AJ919" s="98" t="b">
        <f>INDEX(stable[q_carbon],MATCH(questions[[#This Row],[qno]],stable[qno],0))</f>
        <v>0</v>
      </c>
      <c r="AK919" s="98" t="b">
        <f>INDEX(stable[q_regen_ag],MATCH(questions[[#This Row],[qno]],stable[qno],0))</f>
        <v>0</v>
      </c>
      <c r="AL919" s="98" t="b">
        <f>COUNTIFS(stable[qno],questions[[#This Row],[qno]])=1</f>
        <v>1</v>
      </c>
      <c r="AM919" s="98" t="b">
        <f>OR(questions[[#This Row],[is_fixed]],questions[[#This Row],[is_localized]],questions[[#This Row],[is_supply_chain_dependent]])</f>
        <v>1</v>
      </c>
      <c r="AN919" s="98" t="b">
        <f>COUNTIFS(questions[[#This Row],[is_automated]:[is_multi_select]],TRUE)=1</f>
        <v>1</v>
      </c>
      <c r="AO919" s="98" t="b">
        <f>IF(questions[[#This Row],[is_fixed]],questions[[#This Row],[question]]=INDEX(stable[question],MATCH(questions[[#This Row],[qno]],stable[qno],0)),TRUE)</f>
        <v>1</v>
      </c>
      <c r="AP919" s="98" t="str">
        <f>LEFT(questions[[#This Row],[question]],similarity_range)</f>
        <v>Salaried job, what w</v>
      </c>
      <c r="AQ919" s="98" t="str">
        <f>LEFT(INDEX(stable[question],MATCH(questions[[#This Row],[qno]],stable[qno],0)),similarity_range)</f>
        <v>Salaried job, what w</v>
      </c>
      <c r="AR919" s="98" t="b">
        <f>questions[[#This Row],[question_first_characters]]=questions[[#This Row],[stability_first_characters]]</f>
        <v>1</v>
      </c>
      <c r="AS919" s="98" t="b">
        <f>IF(OR(questions[[#This Row],[is_single_select]],questions[[#This Row],[is_multi_select]]),NOT(ISBLANK(questions[[#This Row],[answer_opt_combined]])),TRUE)</f>
        <v>1</v>
      </c>
    </row>
    <row r="920" spans="1:45" s="77" customFormat="1" ht="15.75" customHeight="1" x14ac:dyDescent="0.25">
      <c r="A920" s="77" t="str">
        <f>_xlfn.TEXTJOIN("_",TRUE,questions[[#This Row],[origin]:[qno]])</f>
        <v>Uganda_Robusta_Nespresso_6517</v>
      </c>
      <c r="B920" s="77" t="s">
        <v>511</v>
      </c>
      <c r="C920" s="77" t="s">
        <v>674</v>
      </c>
      <c r="D920" s="77" t="s">
        <v>864</v>
      </c>
      <c r="F920" s="104" t="s">
        <v>322</v>
      </c>
      <c r="G920" s="78" t="s">
        <v>323</v>
      </c>
      <c r="H920" s="9" t="str" cm="1">
        <f t="array" ref="H920">INDEX(stableR[question],MATCH(VALUE(questions[[#This Row],[qno]]),VALUE(stableR[qno]),0))</f>
        <v>Pension, what was the estimated importance?</v>
      </c>
      <c r="I920" s="9" t="b" cm="1">
        <f t="array" ref="I920">INDEX(stable[is_fixed],MATCH(VALUE(questions[[#This Row],[qno]]),VALUE(stable[qno]),0))</f>
        <v>1</v>
      </c>
      <c r="J920" s="9" t="b" cm="1">
        <f t="array" ref="J920">INDEX(stable[is_localized],MATCH(VALUE(questions[[#This Row],[qno]]),VALUE(stable[qno]),0))</f>
        <v>0</v>
      </c>
      <c r="K920" s="9" t="b" cm="1">
        <f t="array" ref="K920">INDEX(stable[is_supply_chain_dependent],MATCH(VALUE(questions[[#This Row],[qno]]),VALUE(stable[qno]),0))</f>
        <v>0</v>
      </c>
      <c r="L920" s="9" t="b" cm="1">
        <f t="array" ref="L920">INDEX(stable[is_mandatory],MATCH(VALUE(questions[[#This Row],[qno]]),VALUE(stable[qno]),0))</f>
        <v>0</v>
      </c>
      <c r="M920" s="9" t="b" cm="1">
        <f t="array" ref="M920">INDEX(stable[is_automated],MATCH(VALUE(questions[[#This Row],[qno]]),VALUE(stable[qno]),0))</f>
        <v>0</v>
      </c>
      <c r="N920" s="9" t="b" cm="1">
        <f t="array" ref="N920">INDEX(stable[is_free_text],MATCH(VALUE(questions[[#This Row],[qno]]),VALUE(stable[qno]),0))</f>
        <v>0</v>
      </c>
      <c r="O920" s="9" t="b" cm="1">
        <f t="array" ref="O920">INDEX(stable[is_numerical],MATCH(VALUE(questions[[#This Row],[qno]]),VALUE(stable[qno]),0))</f>
        <v>0</v>
      </c>
      <c r="P920" s="77" t="b" cm="1">
        <f t="array" ref="P920">INDEX(stable[is_single_select],MATCH(VALUE(questions[[#This Row],[qno]]),VALUE(stable[qno]),0))</f>
        <v>1</v>
      </c>
      <c r="Q920" s="77" t="b" cm="1">
        <f t="array" ref="Q920">INDEX(stable[is_multi_select],MATCH(VALUE(questions[[#This Row],[qno]]),VALUE(stable[qno]),0))</f>
        <v>0</v>
      </c>
      <c r="R920" s="77" t="b" cm="1">
        <f t="array" ref="R920">INDEX(stable[is_skip_logic],MATCH(VALUE(questions[[#This Row],[qno]]),VALUE(stable[qno]),0))</f>
        <v>0</v>
      </c>
      <c r="S920" s="77" t="str">
        <f>_xlfn.TEXTJOIN(", ",TRUE,questions[[#This Row],[ans_opt_1]:[ans_opt_14]])</f>
        <v>All or nearly all - 80-100%, More than half of it  - 60-80%, About half of it - 40-60%, Less than half of it - 20-40%, A small amount - 0-20%</v>
      </c>
      <c r="T920" s="77" t="s">
        <v>305</v>
      </c>
      <c r="U920" s="77" t="s">
        <v>306</v>
      </c>
      <c r="V920" s="77" t="s">
        <v>307</v>
      </c>
      <c r="W920" s="77" t="s">
        <v>308</v>
      </c>
      <c r="X920" s="77" t="s">
        <v>309</v>
      </c>
      <c r="AH920" s="98" t="b">
        <f>INDEX(stable[q_standard],MATCH(questions[[#This Row],[qno]],stable[qno],0))</f>
        <v>0</v>
      </c>
      <c r="AI920" s="98" t="b">
        <f>INDEX(stable[q_living_income],MATCH(questions[[#This Row],[qno]],stable[qno],0))</f>
        <v>1</v>
      </c>
      <c r="AJ920" s="98" t="b">
        <f>INDEX(stable[q_carbon],MATCH(questions[[#This Row],[qno]],stable[qno],0))</f>
        <v>0</v>
      </c>
      <c r="AK920" s="98" t="b">
        <f>INDEX(stable[q_regen_ag],MATCH(questions[[#This Row],[qno]],stable[qno],0))</f>
        <v>0</v>
      </c>
      <c r="AL920" s="98" t="b">
        <f>COUNTIFS(stable[qno],questions[[#This Row],[qno]])=1</f>
        <v>1</v>
      </c>
      <c r="AM920" s="98" t="b">
        <f>OR(questions[[#This Row],[is_fixed]],questions[[#This Row],[is_localized]],questions[[#This Row],[is_supply_chain_dependent]])</f>
        <v>1</v>
      </c>
      <c r="AN920" s="98" t="b">
        <f>COUNTIFS(questions[[#This Row],[is_automated]:[is_multi_select]],TRUE)=1</f>
        <v>1</v>
      </c>
      <c r="AO920" s="98" t="b">
        <f>IF(questions[[#This Row],[is_fixed]],questions[[#This Row],[question]]=INDEX(stable[question],MATCH(questions[[#This Row],[qno]],stable[qno],0)),TRUE)</f>
        <v>1</v>
      </c>
      <c r="AP920" s="98" t="str">
        <f>LEFT(questions[[#This Row],[question]],similarity_range)</f>
        <v>Pension, what was th</v>
      </c>
      <c r="AQ920" s="98" t="str">
        <f>LEFT(INDEX(stable[question],MATCH(questions[[#This Row],[qno]],stable[qno],0)),similarity_range)</f>
        <v>Pension, what was th</v>
      </c>
      <c r="AR920" s="98" t="b">
        <f>questions[[#This Row],[question_first_characters]]=questions[[#This Row],[stability_first_characters]]</f>
        <v>1</v>
      </c>
      <c r="AS920" s="98" t="b">
        <f>IF(OR(questions[[#This Row],[is_single_select]],questions[[#This Row],[is_multi_select]]),NOT(ISBLANK(questions[[#This Row],[answer_opt_combined]])),TRUE)</f>
        <v>1</v>
      </c>
    </row>
    <row r="921" spans="1:45" s="77" customFormat="1" ht="15.75" customHeight="1" x14ac:dyDescent="0.25">
      <c r="A921" s="77" t="str">
        <f>_xlfn.TEXTJOIN("_",TRUE,questions[[#This Row],[origin]:[qno]])</f>
        <v>Uganda_Robusta_Nespresso_6518</v>
      </c>
      <c r="B921" s="77" t="s">
        <v>511</v>
      </c>
      <c r="C921" s="77" t="s">
        <v>674</v>
      </c>
      <c r="D921" s="77" t="s">
        <v>864</v>
      </c>
      <c r="F921" s="104" t="s">
        <v>324</v>
      </c>
      <c r="G921" s="78" t="s">
        <v>325</v>
      </c>
      <c r="H921" s="9" t="str" cm="1">
        <f t="array" ref="H921">INDEX(stableR[question],MATCH(VALUE(questions[[#This Row],[qno]]),VALUE(stableR[qno]),0))</f>
        <v>Remittances, what was the estimated importance?</v>
      </c>
      <c r="I921" s="9" t="b" cm="1">
        <f t="array" ref="I921">INDEX(stable[is_fixed],MATCH(VALUE(questions[[#This Row],[qno]]),VALUE(stable[qno]),0))</f>
        <v>1</v>
      </c>
      <c r="J921" s="9" t="b" cm="1">
        <f t="array" ref="J921">INDEX(stable[is_localized],MATCH(VALUE(questions[[#This Row],[qno]]),VALUE(stable[qno]),0))</f>
        <v>0</v>
      </c>
      <c r="K921" s="9" t="b" cm="1">
        <f t="array" ref="K921">INDEX(stable[is_supply_chain_dependent],MATCH(VALUE(questions[[#This Row],[qno]]),VALUE(stable[qno]),0))</f>
        <v>0</v>
      </c>
      <c r="L921" s="9" t="b" cm="1">
        <f t="array" ref="L921">INDEX(stable[is_mandatory],MATCH(VALUE(questions[[#This Row],[qno]]),VALUE(stable[qno]),0))</f>
        <v>0</v>
      </c>
      <c r="M921" s="9" t="b" cm="1">
        <f t="array" ref="M921">INDEX(stable[is_automated],MATCH(VALUE(questions[[#This Row],[qno]]),VALUE(stable[qno]),0))</f>
        <v>0</v>
      </c>
      <c r="N921" s="9" t="b" cm="1">
        <f t="array" ref="N921">INDEX(stable[is_free_text],MATCH(VALUE(questions[[#This Row],[qno]]),VALUE(stable[qno]),0))</f>
        <v>0</v>
      </c>
      <c r="O921" s="9" t="b" cm="1">
        <f t="array" ref="O921">INDEX(stable[is_numerical],MATCH(VALUE(questions[[#This Row],[qno]]),VALUE(stable[qno]),0))</f>
        <v>0</v>
      </c>
      <c r="P921" s="77" t="b" cm="1">
        <f t="array" ref="P921">INDEX(stable[is_single_select],MATCH(VALUE(questions[[#This Row],[qno]]),VALUE(stable[qno]),0))</f>
        <v>1</v>
      </c>
      <c r="Q921" s="77" t="b" cm="1">
        <f t="array" ref="Q921">INDEX(stable[is_multi_select],MATCH(VALUE(questions[[#This Row],[qno]]),VALUE(stable[qno]),0))</f>
        <v>0</v>
      </c>
      <c r="R921" s="77" t="b" cm="1">
        <f t="array" ref="R921">INDEX(stable[is_skip_logic],MATCH(VALUE(questions[[#This Row],[qno]]),VALUE(stable[qno]),0))</f>
        <v>0</v>
      </c>
      <c r="S921" s="77" t="str">
        <f>_xlfn.TEXTJOIN(", ",TRUE,questions[[#This Row],[ans_opt_1]:[ans_opt_14]])</f>
        <v>All or nearly all - 80-100%, More than half of it  - 60-80%, About half of it - 40-60%, Less than half of it - 20-40%, A small amount - 0-20%</v>
      </c>
      <c r="T921" s="77" t="s">
        <v>305</v>
      </c>
      <c r="U921" s="77" t="s">
        <v>306</v>
      </c>
      <c r="V921" s="77" t="s">
        <v>307</v>
      </c>
      <c r="W921" s="77" t="s">
        <v>308</v>
      </c>
      <c r="X921" s="77" t="s">
        <v>309</v>
      </c>
      <c r="AH921" s="98" t="b">
        <f>INDEX(stable[q_standard],MATCH(questions[[#This Row],[qno]],stable[qno],0))</f>
        <v>0</v>
      </c>
      <c r="AI921" s="98" t="b">
        <f>INDEX(stable[q_living_income],MATCH(questions[[#This Row],[qno]],stable[qno],0))</f>
        <v>1</v>
      </c>
      <c r="AJ921" s="98" t="b">
        <f>INDEX(stable[q_carbon],MATCH(questions[[#This Row],[qno]],stable[qno],0))</f>
        <v>0</v>
      </c>
      <c r="AK921" s="98" t="b">
        <f>INDEX(stable[q_regen_ag],MATCH(questions[[#This Row],[qno]],stable[qno],0))</f>
        <v>0</v>
      </c>
      <c r="AL921" s="98" t="b">
        <f>COUNTIFS(stable[qno],questions[[#This Row],[qno]])=1</f>
        <v>1</v>
      </c>
      <c r="AM921" s="98" t="b">
        <f>OR(questions[[#This Row],[is_fixed]],questions[[#This Row],[is_localized]],questions[[#This Row],[is_supply_chain_dependent]])</f>
        <v>1</v>
      </c>
      <c r="AN921" s="98" t="b">
        <f>COUNTIFS(questions[[#This Row],[is_automated]:[is_multi_select]],TRUE)=1</f>
        <v>1</v>
      </c>
      <c r="AO921" s="98" t="b">
        <f>IF(questions[[#This Row],[is_fixed]],questions[[#This Row],[question]]=INDEX(stable[question],MATCH(questions[[#This Row],[qno]],stable[qno],0)),TRUE)</f>
        <v>1</v>
      </c>
      <c r="AP921" s="98" t="str">
        <f>LEFT(questions[[#This Row],[question]],similarity_range)</f>
        <v>Remittances, what wa</v>
      </c>
      <c r="AQ921" s="98" t="str">
        <f>LEFT(INDEX(stable[question],MATCH(questions[[#This Row],[qno]],stable[qno],0)),similarity_range)</f>
        <v>Remittances, what wa</v>
      </c>
      <c r="AR921" s="98" t="b">
        <f>questions[[#This Row],[question_first_characters]]=questions[[#This Row],[stability_first_characters]]</f>
        <v>1</v>
      </c>
      <c r="AS921" s="98" t="b">
        <f>IF(OR(questions[[#This Row],[is_single_select]],questions[[#This Row],[is_multi_select]]),NOT(ISBLANK(questions[[#This Row],[answer_opt_combined]])),TRUE)</f>
        <v>1</v>
      </c>
    </row>
    <row r="922" spans="1:45" s="77" customFormat="1" ht="15.75" customHeight="1" x14ac:dyDescent="0.25">
      <c r="A922" s="77" t="str">
        <f>_xlfn.TEXTJOIN("_",TRUE,questions[[#This Row],[origin]:[qno]])</f>
        <v>Uganda_Robusta_Nespresso_7000</v>
      </c>
      <c r="B922" s="77" t="s">
        <v>511</v>
      </c>
      <c r="C922" s="77" t="s">
        <v>674</v>
      </c>
      <c r="D922" s="77" t="s">
        <v>864</v>
      </c>
      <c r="F922" s="104" t="s">
        <v>326</v>
      </c>
      <c r="G922" s="78" t="s">
        <v>792</v>
      </c>
      <c r="H922" s="9" t="str" cm="1">
        <f t="array" ref="H922">INDEX(stableR[question],MATCH(VALUE(questions[[#This Row],[qno]]),VALUE(stableR[qno]),0))</f>
        <v>Have you received any training on Regenartive Agriculture principles and practices in last 1-2 years? For instance on mulching, cover crops, manure or fertiliser application, stumping, integrated pest management, etc.</v>
      </c>
      <c r="I922" s="9" t="b" cm="1">
        <f t="array" ref="I922">INDEX(stable[is_fixed],MATCH(VALUE(questions[[#This Row],[qno]]),VALUE(stable[qno]),0))</f>
        <v>1</v>
      </c>
      <c r="J922" s="9" t="b" cm="1">
        <f t="array" ref="J922">INDEX(stable[is_localized],MATCH(VALUE(questions[[#This Row],[qno]]),VALUE(stable[qno]),0))</f>
        <v>0</v>
      </c>
      <c r="K922" s="9" t="b" cm="1">
        <f t="array" ref="K922">INDEX(stable[is_supply_chain_dependent],MATCH(VALUE(questions[[#This Row],[qno]]),VALUE(stable[qno]),0))</f>
        <v>0</v>
      </c>
      <c r="L922" s="9" t="b" cm="1">
        <f t="array" ref="L922">INDEX(stable[is_mandatory],MATCH(VALUE(questions[[#This Row],[qno]]),VALUE(stable[qno]),0))</f>
        <v>1</v>
      </c>
      <c r="M922" s="9" t="b" cm="1">
        <f t="array" ref="M922">INDEX(stable[is_automated],MATCH(VALUE(questions[[#This Row],[qno]]),VALUE(stable[qno]),0))</f>
        <v>0</v>
      </c>
      <c r="N922" s="9" t="b" cm="1">
        <f t="array" ref="N922">INDEX(stable[is_free_text],MATCH(VALUE(questions[[#This Row],[qno]]),VALUE(stable[qno]),0))</f>
        <v>0</v>
      </c>
      <c r="O922" s="9" t="b" cm="1">
        <f t="array" ref="O922">INDEX(stable[is_numerical],MATCH(VALUE(questions[[#This Row],[qno]]),VALUE(stable[qno]),0))</f>
        <v>0</v>
      </c>
      <c r="P922" s="77" t="b" cm="1">
        <f t="array" ref="P922">INDEX(stable[is_single_select],MATCH(VALUE(questions[[#This Row],[qno]]),VALUE(stable[qno]),0))</f>
        <v>1</v>
      </c>
      <c r="Q922" s="77" t="b" cm="1">
        <f t="array" ref="Q922">INDEX(stable[is_multi_select],MATCH(VALUE(questions[[#This Row],[qno]]),VALUE(stable[qno]),0))</f>
        <v>0</v>
      </c>
      <c r="R922" s="77" t="b" cm="1">
        <f t="array" ref="R922">INDEX(stable[is_skip_logic],MATCH(VALUE(questions[[#This Row],[qno]]),VALUE(stable[qno]),0))</f>
        <v>1</v>
      </c>
      <c r="S922" s="77" t="str">
        <f>_xlfn.TEXTJOIN(", ",TRUE,questions[[#This Row],[ans_opt_1]:[ans_opt_14]])</f>
        <v>Yes, No</v>
      </c>
      <c r="T922" s="77" t="s">
        <v>149</v>
      </c>
      <c r="U922" s="77" t="s">
        <v>119</v>
      </c>
      <c r="AH922" s="98" t="b">
        <f>INDEX(stable[q_standard],MATCH(questions[[#This Row],[qno]],stable[qno],0))</f>
        <v>0</v>
      </c>
      <c r="AI922" s="98" t="b">
        <f>INDEX(stable[q_living_income],MATCH(questions[[#This Row],[qno]],stable[qno],0))</f>
        <v>0</v>
      </c>
      <c r="AJ922" s="98" t="b">
        <f>INDEX(stable[q_carbon],MATCH(questions[[#This Row],[qno]],stable[qno],0))</f>
        <v>0</v>
      </c>
      <c r="AK922" s="98" t="b">
        <f>INDEX(stable[q_regen_ag],MATCH(questions[[#This Row],[qno]],stable[qno],0))</f>
        <v>1</v>
      </c>
      <c r="AL922" s="98" t="b">
        <f>COUNTIFS(stable[qno],questions[[#This Row],[qno]])=1</f>
        <v>1</v>
      </c>
      <c r="AM922" s="98" t="b">
        <f>OR(questions[[#This Row],[is_fixed]],questions[[#This Row],[is_localized]],questions[[#This Row],[is_supply_chain_dependent]])</f>
        <v>1</v>
      </c>
      <c r="AN922" s="98" t="b">
        <f>COUNTIFS(questions[[#This Row],[is_automated]:[is_multi_select]],TRUE)=1</f>
        <v>1</v>
      </c>
      <c r="AO922" s="98" t="b">
        <f>IF(questions[[#This Row],[is_fixed]],questions[[#This Row],[question]]=INDEX(stable[question],MATCH(questions[[#This Row],[qno]],stable[qno],0)),TRUE)</f>
        <v>0</v>
      </c>
      <c r="AP922" s="98" t="str">
        <f>LEFT(questions[[#This Row],[question]],similarity_range)</f>
        <v>Have you received an</v>
      </c>
      <c r="AQ922" s="98" t="str">
        <f>LEFT(INDEX(stable[question],MATCH(questions[[#This Row],[qno]],stable[qno],0)),similarity_range)</f>
        <v>Have you received an</v>
      </c>
      <c r="AR922" s="98" t="b">
        <f>questions[[#This Row],[question_first_characters]]=questions[[#This Row],[stability_first_characters]]</f>
        <v>1</v>
      </c>
      <c r="AS922" s="98" t="b">
        <f>IF(OR(questions[[#This Row],[is_single_select]],questions[[#This Row],[is_multi_select]]),NOT(ISBLANK(questions[[#This Row],[answer_opt_combined]])),TRUE)</f>
        <v>1</v>
      </c>
    </row>
    <row r="923" spans="1:45" s="77" customFormat="1" ht="15.75" customHeight="1" x14ac:dyDescent="0.25">
      <c r="A923" s="77" t="str">
        <f>_xlfn.TEXTJOIN("_",TRUE,questions[[#This Row],[origin]:[qno]])</f>
        <v>Uganda_Robusta_Nespresso_7001</v>
      </c>
      <c r="B923" s="77" t="s">
        <v>511</v>
      </c>
      <c r="C923" s="77" t="s">
        <v>674</v>
      </c>
      <c r="D923" s="77" t="s">
        <v>864</v>
      </c>
      <c r="F923" s="104" t="s">
        <v>328</v>
      </c>
      <c r="G923" s="78" t="s">
        <v>329</v>
      </c>
      <c r="H923" s="9" t="str" cm="1">
        <f t="array" ref="H923">INDEX(stableR[question],MATCH(VALUE(questions[[#This Row],[qno]]),VALUE(stableR[qno]),0))</f>
        <v>If NO formal training received, are you aware of Regen Ag. and can explain its basics principles and main practices?</v>
      </c>
      <c r="I923" s="9" t="b" cm="1">
        <f t="array" ref="I923">INDEX(stable[is_fixed],MATCH(VALUE(questions[[#This Row],[qno]]),VALUE(stable[qno]),0))</f>
        <v>1</v>
      </c>
      <c r="J923" s="9" t="b" cm="1">
        <f t="array" ref="J923">INDEX(stable[is_localized],MATCH(VALUE(questions[[#This Row],[qno]]),VALUE(stable[qno]),0))</f>
        <v>0</v>
      </c>
      <c r="K923" s="9" t="b" cm="1">
        <f t="array" ref="K923">INDEX(stable[is_supply_chain_dependent],MATCH(VALUE(questions[[#This Row],[qno]]),VALUE(stable[qno]),0))</f>
        <v>0</v>
      </c>
      <c r="L923" s="9" t="b" cm="1">
        <f t="array" ref="L923">INDEX(stable[is_mandatory],MATCH(VALUE(questions[[#This Row],[qno]]),VALUE(stable[qno]),0))</f>
        <v>0</v>
      </c>
      <c r="M923" s="9" t="b" cm="1">
        <f t="array" ref="M923">INDEX(stable[is_automated],MATCH(VALUE(questions[[#This Row],[qno]]),VALUE(stable[qno]),0))</f>
        <v>0</v>
      </c>
      <c r="N923" s="9" t="b" cm="1">
        <f t="array" ref="N923">INDEX(stable[is_free_text],MATCH(VALUE(questions[[#This Row],[qno]]),VALUE(stable[qno]),0))</f>
        <v>0</v>
      </c>
      <c r="O923" s="9" t="b" cm="1">
        <f t="array" ref="O923">INDEX(stable[is_numerical],MATCH(VALUE(questions[[#This Row],[qno]]),VALUE(stable[qno]),0))</f>
        <v>0</v>
      </c>
      <c r="P923" s="77" t="b" cm="1">
        <f t="array" ref="P923">INDEX(stable[is_single_select],MATCH(VALUE(questions[[#This Row],[qno]]),VALUE(stable[qno]),0))</f>
        <v>1</v>
      </c>
      <c r="Q923" s="77" t="b" cm="1">
        <f t="array" ref="Q923">INDEX(stable[is_multi_select],MATCH(VALUE(questions[[#This Row],[qno]]),VALUE(stable[qno]),0))</f>
        <v>0</v>
      </c>
      <c r="R923" s="77" t="b" cm="1">
        <f t="array" ref="R923">INDEX(stable[is_skip_logic],MATCH(VALUE(questions[[#This Row],[qno]]),VALUE(stable[qno]),0))</f>
        <v>1</v>
      </c>
      <c r="S923" s="77" t="str">
        <f>_xlfn.TEXTJOIN(", ",TRUE,questions[[#This Row],[ans_opt_1]:[ans_opt_14]])</f>
        <v>Yes, No</v>
      </c>
      <c r="T923" s="77" t="s">
        <v>149</v>
      </c>
      <c r="U923" s="77" t="s">
        <v>119</v>
      </c>
      <c r="AH923" s="98" t="b">
        <f>INDEX(stable[q_standard],MATCH(questions[[#This Row],[qno]],stable[qno],0))</f>
        <v>0</v>
      </c>
      <c r="AI923" s="98" t="b">
        <f>INDEX(stable[q_living_income],MATCH(questions[[#This Row],[qno]],stable[qno],0))</f>
        <v>0</v>
      </c>
      <c r="AJ923" s="98" t="b">
        <f>INDEX(stable[q_carbon],MATCH(questions[[#This Row],[qno]],stable[qno],0))</f>
        <v>0</v>
      </c>
      <c r="AK923" s="98" t="b">
        <f>INDEX(stable[q_regen_ag],MATCH(questions[[#This Row],[qno]],stable[qno],0))</f>
        <v>1</v>
      </c>
      <c r="AL923" s="98" t="b">
        <f>COUNTIFS(stable[qno],questions[[#This Row],[qno]])=1</f>
        <v>1</v>
      </c>
      <c r="AM923" s="98" t="b">
        <f>OR(questions[[#This Row],[is_fixed]],questions[[#This Row],[is_localized]],questions[[#This Row],[is_supply_chain_dependent]])</f>
        <v>1</v>
      </c>
      <c r="AN923" s="98" t="b">
        <f>COUNTIFS(questions[[#This Row],[is_automated]:[is_multi_select]],TRUE)=1</f>
        <v>1</v>
      </c>
      <c r="AO923" s="98" t="b">
        <f>IF(questions[[#This Row],[is_fixed]],questions[[#This Row],[question]]=INDEX(stable[question],MATCH(questions[[#This Row],[qno]],stable[qno],0)),TRUE)</f>
        <v>1</v>
      </c>
      <c r="AP923" s="98" t="str">
        <f>LEFT(questions[[#This Row],[question]],similarity_range)</f>
        <v>If NO formal trainin</v>
      </c>
      <c r="AQ923" s="98" t="str">
        <f>LEFT(INDEX(stable[question],MATCH(questions[[#This Row],[qno]],stable[qno],0)),similarity_range)</f>
        <v>If NO formal trainin</v>
      </c>
      <c r="AR923" s="98" t="b">
        <f>questions[[#This Row],[question_first_characters]]=questions[[#This Row],[stability_first_characters]]</f>
        <v>1</v>
      </c>
      <c r="AS923" s="98" t="b">
        <f>IF(OR(questions[[#This Row],[is_single_select]],questions[[#This Row],[is_multi_select]]),NOT(ISBLANK(questions[[#This Row],[answer_opt_combined]])),TRUE)</f>
        <v>1</v>
      </c>
    </row>
    <row r="924" spans="1:45" s="77" customFormat="1" ht="15.75" customHeight="1" x14ac:dyDescent="0.25">
      <c r="A924" s="77" t="str">
        <f>_xlfn.TEXTJOIN("_",TRUE,questions[[#This Row],[origin]:[qno]])</f>
        <v>Uganda_Robusta_Nespresso_7100</v>
      </c>
      <c r="B924" s="77" t="s">
        <v>511</v>
      </c>
      <c r="C924" s="77" t="s">
        <v>674</v>
      </c>
      <c r="D924" s="77" t="s">
        <v>864</v>
      </c>
      <c r="F924" s="104" t="s">
        <v>330</v>
      </c>
      <c r="G924" s="78" t="s">
        <v>331</v>
      </c>
      <c r="H924" s="9" t="str" cm="1">
        <f t="array" ref="H924">INDEX(stableR[question],MATCH(VALUE(questions[[#This Row],[qno]]),VALUE(stableR[qno]),0))</f>
        <v>Do you implement mulching and/or cover crops-plants (e.g. beans, peanuts/groundnuts, brachiaria, desmodium…) in your coffee plots? If the answer is NO, you do not need to answer the next 2 questions</v>
      </c>
      <c r="I924" s="9" t="b" cm="1">
        <f t="array" ref="I924">INDEX(stable[is_fixed],MATCH(VALUE(questions[[#This Row],[qno]]),VALUE(stable[qno]),0))</f>
        <v>1</v>
      </c>
      <c r="J924" s="9" t="b" cm="1">
        <f t="array" ref="J924">INDEX(stable[is_localized],MATCH(VALUE(questions[[#This Row],[qno]]),VALUE(stable[qno]),0))</f>
        <v>0</v>
      </c>
      <c r="K924" s="9" t="b" cm="1">
        <f t="array" ref="K924">INDEX(stable[is_supply_chain_dependent],MATCH(VALUE(questions[[#This Row],[qno]]),VALUE(stable[qno]),0))</f>
        <v>0</v>
      </c>
      <c r="L924" s="9" t="b" cm="1">
        <f t="array" ref="L924">INDEX(stable[is_mandatory],MATCH(VALUE(questions[[#This Row],[qno]]),VALUE(stable[qno]),0))</f>
        <v>1</v>
      </c>
      <c r="M924" s="9" t="b" cm="1">
        <f t="array" ref="M924">INDEX(stable[is_automated],MATCH(VALUE(questions[[#This Row],[qno]]),VALUE(stable[qno]),0))</f>
        <v>0</v>
      </c>
      <c r="N924" s="9" t="b" cm="1">
        <f t="array" ref="N924">INDEX(stable[is_free_text],MATCH(VALUE(questions[[#This Row],[qno]]),VALUE(stable[qno]),0))</f>
        <v>0</v>
      </c>
      <c r="O924" s="9" t="b" cm="1">
        <f t="array" ref="O924">INDEX(stable[is_numerical],MATCH(VALUE(questions[[#This Row],[qno]]),VALUE(stable[qno]),0))</f>
        <v>0</v>
      </c>
      <c r="P924" s="77" t="b" cm="1">
        <f t="array" ref="P924">INDEX(stable[is_single_select],MATCH(VALUE(questions[[#This Row],[qno]]),VALUE(stable[qno]),0))</f>
        <v>1</v>
      </c>
      <c r="Q924" s="77" t="b" cm="1">
        <f t="array" ref="Q924">INDEX(stable[is_multi_select],MATCH(VALUE(questions[[#This Row],[qno]]),VALUE(stable[qno]),0))</f>
        <v>0</v>
      </c>
      <c r="R924" s="77" t="b" cm="1">
        <f t="array" ref="R924">INDEX(stable[is_skip_logic],MATCH(VALUE(questions[[#This Row],[qno]]),VALUE(stable[qno]),0))</f>
        <v>1</v>
      </c>
      <c r="S924" s="77" t="str">
        <f>_xlfn.TEXTJOIN(", ",TRUE,questions[[#This Row],[ans_opt_1]:[ans_opt_14]])</f>
        <v>No, Yes-Crop residues mulching, Yes-Other mulching, Yes-Cover crops, Yes-Cover crops &amp; Mulching</v>
      </c>
      <c r="T924" s="77" t="s">
        <v>119</v>
      </c>
      <c r="U924" s="77" t="s">
        <v>332</v>
      </c>
      <c r="V924" s="77" t="s">
        <v>333</v>
      </c>
      <c r="W924" s="77" t="s">
        <v>334</v>
      </c>
      <c r="X924" s="77" t="s">
        <v>335</v>
      </c>
      <c r="AH924" s="98" t="b">
        <f>INDEX(stable[q_standard],MATCH(questions[[#This Row],[qno]],stable[qno],0))</f>
        <v>0</v>
      </c>
      <c r="AI924" s="98" t="b">
        <f>INDEX(stable[q_living_income],MATCH(questions[[#This Row],[qno]],stable[qno],0))</f>
        <v>0</v>
      </c>
      <c r="AJ924" s="98" t="b">
        <f>INDEX(stable[q_carbon],MATCH(questions[[#This Row],[qno]],stable[qno],0))</f>
        <v>0</v>
      </c>
      <c r="AK924" s="98" t="b">
        <f>INDEX(stable[q_regen_ag],MATCH(questions[[#This Row],[qno]],stable[qno],0))</f>
        <v>1</v>
      </c>
      <c r="AL924" s="98" t="b">
        <f>COUNTIFS(stable[qno],questions[[#This Row],[qno]])=1</f>
        <v>1</v>
      </c>
      <c r="AM924" s="98" t="b">
        <f>OR(questions[[#This Row],[is_fixed]],questions[[#This Row],[is_localized]],questions[[#This Row],[is_supply_chain_dependent]])</f>
        <v>1</v>
      </c>
      <c r="AN924" s="98" t="b">
        <f>COUNTIFS(questions[[#This Row],[is_automated]:[is_multi_select]],TRUE)=1</f>
        <v>1</v>
      </c>
      <c r="AO924" s="98" t="b">
        <f>IF(questions[[#This Row],[is_fixed]],questions[[#This Row],[question]]=INDEX(stable[question],MATCH(questions[[#This Row],[qno]],stable[qno],0)),TRUE)</f>
        <v>1</v>
      </c>
      <c r="AP924" s="98" t="str">
        <f>LEFT(questions[[#This Row],[question]],similarity_range)</f>
        <v>Do you implement mul</v>
      </c>
      <c r="AQ924" s="98" t="str">
        <f>LEFT(INDEX(stable[question],MATCH(questions[[#This Row],[qno]],stable[qno],0)),similarity_range)</f>
        <v>Do you implement mul</v>
      </c>
      <c r="AR924" s="98" t="b">
        <f>questions[[#This Row],[question_first_characters]]=questions[[#This Row],[stability_first_characters]]</f>
        <v>1</v>
      </c>
      <c r="AS924" s="98" t="b">
        <f>IF(OR(questions[[#This Row],[is_single_select]],questions[[#This Row],[is_multi_select]]),NOT(ISBLANK(questions[[#This Row],[answer_opt_combined]])),TRUE)</f>
        <v>1</v>
      </c>
    </row>
    <row r="925" spans="1:45" s="77" customFormat="1" ht="15.75" customHeight="1" x14ac:dyDescent="0.25">
      <c r="A925" s="77" t="str">
        <f>_xlfn.TEXTJOIN("_",TRUE,questions[[#This Row],[origin]:[qno]])</f>
        <v>Uganda_Robusta_Nespresso_7101</v>
      </c>
      <c r="B925" s="77" t="s">
        <v>511</v>
      </c>
      <c r="C925" s="77" t="s">
        <v>674</v>
      </c>
      <c r="D925" s="77" t="s">
        <v>864</v>
      </c>
      <c r="F925" s="104" t="s">
        <v>336</v>
      </c>
      <c r="G925" s="78" t="s">
        <v>337</v>
      </c>
      <c r="H925" s="9" t="str" cm="1">
        <f t="array" ref="H925">INDEX(stableR[question],MATCH(VALUE(questions[[#This Row],[qno]]),VALUE(stableR[qno]),0))</f>
        <v>If so, what is the % or proportion of your coffee plots using mulching and/or cover crops?</v>
      </c>
      <c r="I925" s="9" t="b" cm="1">
        <f t="array" ref="I925">INDEX(stable[is_fixed],MATCH(VALUE(questions[[#This Row],[qno]]),VALUE(stable[qno]),0))</f>
        <v>1</v>
      </c>
      <c r="J925" s="9" t="b" cm="1">
        <f t="array" ref="J925">INDEX(stable[is_localized],MATCH(VALUE(questions[[#This Row],[qno]]),VALUE(stable[qno]),0))</f>
        <v>0</v>
      </c>
      <c r="K925" s="9" t="b" cm="1">
        <f t="array" ref="K925">INDEX(stable[is_supply_chain_dependent],MATCH(VALUE(questions[[#This Row],[qno]]),VALUE(stable[qno]),0))</f>
        <v>0</v>
      </c>
      <c r="L925" s="9" t="b" cm="1">
        <f t="array" ref="L925">INDEX(stable[is_mandatory],MATCH(VALUE(questions[[#This Row],[qno]]),VALUE(stable[qno]),0))</f>
        <v>0</v>
      </c>
      <c r="M925" s="9" t="b" cm="1">
        <f t="array" ref="M925">INDEX(stable[is_automated],MATCH(VALUE(questions[[#This Row],[qno]]),VALUE(stable[qno]),0))</f>
        <v>0</v>
      </c>
      <c r="N925" s="9" t="b" cm="1">
        <f t="array" ref="N925">INDEX(stable[is_free_text],MATCH(VALUE(questions[[#This Row],[qno]]),VALUE(stable[qno]),0))</f>
        <v>0</v>
      </c>
      <c r="O925" s="9" t="b" cm="1">
        <f t="array" ref="O925">INDEX(stable[is_numerical],MATCH(VALUE(questions[[#This Row],[qno]]),VALUE(stable[qno]),0))</f>
        <v>0</v>
      </c>
      <c r="P925" s="77" t="b" cm="1">
        <f t="array" ref="P925">INDEX(stable[is_single_select],MATCH(VALUE(questions[[#This Row],[qno]]),VALUE(stable[qno]),0))</f>
        <v>1</v>
      </c>
      <c r="Q925" s="77" t="b" cm="1">
        <f t="array" ref="Q925">INDEX(stable[is_multi_select],MATCH(VALUE(questions[[#This Row],[qno]]),VALUE(stable[qno]),0))</f>
        <v>0</v>
      </c>
      <c r="R925" s="77" t="b" cm="1">
        <f t="array" ref="R925">INDEX(stable[is_skip_logic],MATCH(VALUE(questions[[#This Row],[qno]]),VALUE(stable[qno]),0))</f>
        <v>1</v>
      </c>
      <c r="S925" s="77" t="str">
        <f>_xlfn.TEXTJOIN(", ",TRUE,questions[[#This Row],[ans_opt_1]:[ans_opt_14]])</f>
        <v>1% to 25% - little to a quarter, 26% to 50% - less than half, 51% to 75% - more than half, 76% to 100% - almost all</v>
      </c>
      <c r="T925" s="77" t="s">
        <v>338</v>
      </c>
      <c r="U925" s="77" t="s">
        <v>339</v>
      </c>
      <c r="V925" s="77" t="s">
        <v>340</v>
      </c>
      <c r="W925" s="77" t="s">
        <v>341</v>
      </c>
      <c r="AH925" s="98" t="b">
        <f>INDEX(stable[q_standard],MATCH(questions[[#This Row],[qno]],stable[qno],0))</f>
        <v>0</v>
      </c>
      <c r="AI925" s="98" t="b">
        <f>INDEX(stable[q_living_income],MATCH(questions[[#This Row],[qno]],stable[qno],0))</f>
        <v>0</v>
      </c>
      <c r="AJ925" s="98" t="b">
        <f>INDEX(stable[q_carbon],MATCH(questions[[#This Row],[qno]],stable[qno],0))</f>
        <v>0</v>
      </c>
      <c r="AK925" s="98" t="b">
        <f>INDEX(stable[q_regen_ag],MATCH(questions[[#This Row],[qno]],stable[qno],0))</f>
        <v>1</v>
      </c>
      <c r="AL925" s="98" t="b">
        <f>COUNTIFS(stable[qno],questions[[#This Row],[qno]])=1</f>
        <v>1</v>
      </c>
      <c r="AM925" s="98" t="b">
        <f>OR(questions[[#This Row],[is_fixed]],questions[[#This Row],[is_localized]],questions[[#This Row],[is_supply_chain_dependent]])</f>
        <v>1</v>
      </c>
      <c r="AN925" s="98" t="b">
        <f>COUNTIFS(questions[[#This Row],[is_automated]:[is_multi_select]],TRUE)=1</f>
        <v>1</v>
      </c>
      <c r="AO925" s="98" t="b">
        <f>IF(questions[[#This Row],[is_fixed]],questions[[#This Row],[question]]=INDEX(stable[question],MATCH(questions[[#This Row],[qno]],stable[qno],0)),TRUE)</f>
        <v>1</v>
      </c>
      <c r="AP925" s="98" t="str">
        <f>LEFT(questions[[#This Row],[question]],similarity_range)</f>
        <v>If so, what is the %</v>
      </c>
      <c r="AQ925" s="98" t="str">
        <f>LEFT(INDEX(stable[question],MATCH(questions[[#This Row],[qno]],stable[qno],0)),similarity_range)</f>
        <v>If so, what is the %</v>
      </c>
      <c r="AR925" s="98" t="b">
        <f>questions[[#This Row],[question_first_characters]]=questions[[#This Row],[stability_first_characters]]</f>
        <v>1</v>
      </c>
      <c r="AS925" s="98" t="b">
        <f>IF(OR(questions[[#This Row],[is_single_select]],questions[[#This Row],[is_multi_select]]),NOT(ISBLANK(questions[[#This Row],[answer_opt_combined]])),TRUE)</f>
        <v>1</v>
      </c>
    </row>
    <row r="926" spans="1:45" s="77" customFormat="1" ht="15.75" customHeight="1" x14ac:dyDescent="0.25">
      <c r="A926" s="77" t="str">
        <f>_xlfn.TEXTJOIN("_",TRUE,questions[[#This Row],[origin]:[qno]])</f>
        <v>Uganda_Robusta_Nespresso_7102</v>
      </c>
      <c r="B926" s="77" t="s">
        <v>511</v>
      </c>
      <c r="C926" s="77" t="s">
        <v>674</v>
      </c>
      <c r="D926" s="77" t="s">
        <v>864</v>
      </c>
      <c r="F926" s="104" t="s">
        <v>342</v>
      </c>
      <c r="G926" s="78" t="s">
        <v>343</v>
      </c>
      <c r="H926" s="9" t="str" cm="1">
        <f t="array" ref="H926">INDEX(stableR[question],MATCH(VALUE(questions[[#This Row],[qno]]),VALUE(stableR[qno]),0))</f>
        <v>And for how many months per year?</v>
      </c>
      <c r="I926" s="9" t="b" cm="1">
        <f t="array" ref="I926">INDEX(stable[is_fixed],MATCH(VALUE(questions[[#This Row],[qno]]),VALUE(stable[qno]),0))</f>
        <v>1</v>
      </c>
      <c r="J926" s="9" t="b" cm="1">
        <f t="array" ref="J926">INDEX(stable[is_localized],MATCH(VALUE(questions[[#This Row],[qno]]),VALUE(stable[qno]),0))</f>
        <v>0</v>
      </c>
      <c r="K926" s="9" t="b" cm="1">
        <f t="array" ref="K926">INDEX(stable[is_supply_chain_dependent],MATCH(VALUE(questions[[#This Row],[qno]]),VALUE(stable[qno]),0))</f>
        <v>0</v>
      </c>
      <c r="L926" s="9" t="b" cm="1">
        <f t="array" ref="L926">INDEX(stable[is_mandatory],MATCH(VALUE(questions[[#This Row],[qno]]),VALUE(stable[qno]),0))</f>
        <v>0</v>
      </c>
      <c r="M926" s="9" t="b" cm="1">
        <f t="array" ref="M926">INDEX(stable[is_automated],MATCH(VALUE(questions[[#This Row],[qno]]),VALUE(stable[qno]),0))</f>
        <v>0</v>
      </c>
      <c r="N926" s="9" t="b" cm="1">
        <f t="array" ref="N926">INDEX(stable[is_free_text],MATCH(VALUE(questions[[#This Row],[qno]]),VALUE(stable[qno]),0))</f>
        <v>0</v>
      </c>
      <c r="O926" s="9" t="b" cm="1">
        <f t="array" ref="O926">INDEX(stable[is_numerical],MATCH(VALUE(questions[[#This Row],[qno]]),VALUE(stable[qno]),0))</f>
        <v>0</v>
      </c>
      <c r="P926" s="77" t="b" cm="1">
        <f t="array" ref="P926">INDEX(stable[is_single_select],MATCH(VALUE(questions[[#This Row],[qno]]),VALUE(stable[qno]),0))</f>
        <v>1</v>
      </c>
      <c r="Q926" s="77" t="b" cm="1">
        <f t="array" ref="Q926">INDEX(stable[is_multi_select],MATCH(VALUE(questions[[#This Row],[qno]]),VALUE(stable[qno]),0))</f>
        <v>0</v>
      </c>
      <c r="R926" s="77" t="b" cm="1">
        <f t="array" ref="R926">INDEX(stable[is_skip_logic],MATCH(VALUE(questions[[#This Row],[qno]]),VALUE(stable[qno]),0))</f>
        <v>1</v>
      </c>
      <c r="S926" s="77" t="str">
        <f>_xlfn.TEXTJOIN(", ",TRUE,questions[[#This Row],[ans_opt_1]:[ans_opt_14]])</f>
        <v>&lt;6 months, 6-8 months, &gt;8 months</v>
      </c>
      <c r="T926" s="77" t="s">
        <v>344</v>
      </c>
      <c r="U926" s="77" t="s">
        <v>345</v>
      </c>
      <c r="V926" s="77" t="s">
        <v>346</v>
      </c>
      <c r="AH926" s="98" t="b">
        <f>INDEX(stable[q_standard],MATCH(questions[[#This Row],[qno]],stable[qno],0))</f>
        <v>0</v>
      </c>
      <c r="AI926" s="98" t="b">
        <f>INDEX(stable[q_living_income],MATCH(questions[[#This Row],[qno]],stable[qno],0))</f>
        <v>0</v>
      </c>
      <c r="AJ926" s="98" t="b">
        <f>INDEX(stable[q_carbon],MATCH(questions[[#This Row],[qno]],stable[qno],0))</f>
        <v>0</v>
      </c>
      <c r="AK926" s="98" t="b">
        <f>INDEX(stable[q_regen_ag],MATCH(questions[[#This Row],[qno]],stable[qno],0))</f>
        <v>1</v>
      </c>
      <c r="AL926" s="98" t="b">
        <f>COUNTIFS(stable[qno],questions[[#This Row],[qno]])=1</f>
        <v>1</v>
      </c>
      <c r="AM926" s="98" t="b">
        <f>OR(questions[[#This Row],[is_fixed]],questions[[#This Row],[is_localized]],questions[[#This Row],[is_supply_chain_dependent]])</f>
        <v>1</v>
      </c>
      <c r="AN926" s="98" t="b">
        <f>COUNTIFS(questions[[#This Row],[is_automated]:[is_multi_select]],TRUE)=1</f>
        <v>1</v>
      </c>
      <c r="AO926" s="98" t="b">
        <f>IF(questions[[#This Row],[is_fixed]],questions[[#This Row],[question]]=INDEX(stable[question],MATCH(questions[[#This Row],[qno]],stable[qno],0)),TRUE)</f>
        <v>0</v>
      </c>
      <c r="AP926" s="98" t="str">
        <f>LEFT(questions[[#This Row],[question]],similarity_range)</f>
        <v>And for how many mon</v>
      </c>
      <c r="AQ926" s="98" t="str">
        <f>LEFT(INDEX(stable[question],MATCH(questions[[#This Row],[qno]],stable[qno],0)),similarity_range)</f>
        <v>And for how many mon</v>
      </c>
      <c r="AR926" s="98" t="b">
        <f>questions[[#This Row],[question_first_characters]]=questions[[#This Row],[stability_first_characters]]</f>
        <v>1</v>
      </c>
      <c r="AS926" s="98" t="b">
        <f>IF(OR(questions[[#This Row],[is_single_select]],questions[[#This Row],[is_multi_select]]),NOT(ISBLANK(questions[[#This Row],[answer_opt_combined]])),TRUE)</f>
        <v>1</v>
      </c>
    </row>
    <row r="927" spans="1:45" s="77" customFormat="1" ht="15.75" customHeight="1" x14ac:dyDescent="0.25">
      <c r="A927" s="77" t="str">
        <f>_xlfn.TEXTJOIN("_",TRUE,questions[[#This Row],[origin]:[qno]])</f>
        <v>Uganda_Robusta_Nespresso_7113</v>
      </c>
      <c r="B927" s="77" t="s">
        <v>511</v>
      </c>
      <c r="C927" s="77" t="s">
        <v>674</v>
      </c>
      <c r="D927" s="77" t="s">
        <v>864</v>
      </c>
      <c r="F927" s="104" t="s">
        <v>347</v>
      </c>
      <c r="G927" s="78" t="s">
        <v>348</v>
      </c>
      <c r="H927" s="9" t="str" cm="1">
        <f t="array" ref="H927">INDEX(stableR[question],MATCH(VALUE(questions[[#This Row],[qno]]),VALUE(stableR[qno]),0))</f>
        <v>Does any area of your coffee plots have significative risk of water and/or wind erosion due to heavy rain or irrigation, terrain slope, strong winds during dry periods…? If the answer is NO, you do not need to answer the next 2 questions</v>
      </c>
      <c r="I927" s="9" t="b" cm="1">
        <f t="array" ref="I927">INDEX(stable[is_fixed],MATCH(VALUE(questions[[#This Row],[qno]]),VALUE(stable[qno]),0))</f>
        <v>1</v>
      </c>
      <c r="J927" s="9" t="b" cm="1">
        <f t="array" ref="J927">INDEX(stable[is_localized],MATCH(VALUE(questions[[#This Row],[qno]]),VALUE(stable[qno]),0))</f>
        <v>0</v>
      </c>
      <c r="K927" s="9" t="b" cm="1">
        <f t="array" ref="K927">INDEX(stable[is_supply_chain_dependent],MATCH(VALUE(questions[[#This Row],[qno]]),VALUE(stable[qno]),0))</f>
        <v>0</v>
      </c>
      <c r="L927" s="9" t="b" cm="1">
        <f t="array" ref="L927">INDEX(stable[is_mandatory],MATCH(VALUE(questions[[#This Row],[qno]]),VALUE(stable[qno]),0))</f>
        <v>1</v>
      </c>
      <c r="M927" s="9" t="b" cm="1">
        <f t="array" ref="M927">INDEX(stable[is_automated],MATCH(VALUE(questions[[#This Row],[qno]]),VALUE(stable[qno]),0))</f>
        <v>0</v>
      </c>
      <c r="N927" s="9" t="b" cm="1">
        <f t="array" ref="N927">INDEX(stable[is_free_text],MATCH(VALUE(questions[[#This Row],[qno]]),VALUE(stable[qno]),0))</f>
        <v>0</v>
      </c>
      <c r="O927" s="9" t="b" cm="1">
        <f t="array" ref="O927">INDEX(stable[is_numerical],MATCH(VALUE(questions[[#This Row],[qno]]),VALUE(stable[qno]),0))</f>
        <v>0</v>
      </c>
      <c r="P927" s="77" t="b" cm="1">
        <f t="array" ref="P927">INDEX(stable[is_single_select],MATCH(VALUE(questions[[#This Row],[qno]]),VALUE(stable[qno]),0))</f>
        <v>1</v>
      </c>
      <c r="Q927" s="77" t="b" cm="1">
        <f t="array" ref="Q927">INDEX(stable[is_multi_select],MATCH(VALUE(questions[[#This Row],[qno]]),VALUE(stable[qno]),0))</f>
        <v>0</v>
      </c>
      <c r="R927" s="77" t="b" cm="1">
        <f t="array" ref="R927">INDEX(stable[is_skip_logic],MATCH(VALUE(questions[[#This Row],[qno]]),VALUE(stable[qno]),0))</f>
        <v>1</v>
      </c>
      <c r="S927" s="77" t="str">
        <f>_xlfn.TEXTJOIN(", ",TRUE,questions[[#This Row],[ans_opt_1]:[ans_opt_14]])</f>
        <v>Yes, No</v>
      </c>
      <c r="T927" s="77" t="s">
        <v>149</v>
      </c>
      <c r="U927" s="77" t="s">
        <v>119</v>
      </c>
      <c r="AH927" s="98" t="b">
        <f>INDEX(stable[q_standard],MATCH(questions[[#This Row],[qno]],stable[qno],0))</f>
        <v>0</v>
      </c>
      <c r="AI927" s="98" t="b">
        <f>INDEX(stable[q_living_income],MATCH(questions[[#This Row],[qno]],stable[qno],0))</f>
        <v>0</v>
      </c>
      <c r="AJ927" s="98" t="b">
        <f>INDEX(stable[q_carbon],MATCH(questions[[#This Row],[qno]],stable[qno],0))</f>
        <v>0</v>
      </c>
      <c r="AK927" s="98" t="b">
        <f>INDEX(stable[q_regen_ag],MATCH(questions[[#This Row],[qno]],stable[qno],0))</f>
        <v>1</v>
      </c>
      <c r="AL927" s="98" t="b">
        <f>COUNTIFS(stable[qno],questions[[#This Row],[qno]])=1</f>
        <v>1</v>
      </c>
      <c r="AM927" s="98" t="b">
        <f>OR(questions[[#This Row],[is_fixed]],questions[[#This Row],[is_localized]],questions[[#This Row],[is_supply_chain_dependent]])</f>
        <v>1</v>
      </c>
      <c r="AN927" s="98" t="b">
        <f>COUNTIFS(questions[[#This Row],[is_automated]:[is_multi_select]],TRUE)=1</f>
        <v>1</v>
      </c>
      <c r="AO927" s="98" t="b">
        <f>IF(questions[[#This Row],[is_fixed]],questions[[#This Row],[question]]=INDEX(stable[question],MATCH(questions[[#This Row],[qno]],stable[qno],0)),TRUE)</f>
        <v>1</v>
      </c>
      <c r="AP927" s="98" t="str">
        <f>LEFT(questions[[#This Row],[question]],similarity_range)</f>
        <v>Does any area of you</v>
      </c>
      <c r="AQ927" s="98" t="str">
        <f>LEFT(INDEX(stable[question],MATCH(questions[[#This Row],[qno]],stable[qno],0)),similarity_range)</f>
        <v>Does any area of you</v>
      </c>
      <c r="AR927" s="98" t="b">
        <f>questions[[#This Row],[question_first_characters]]=questions[[#This Row],[stability_first_characters]]</f>
        <v>1</v>
      </c>
      <c r="AS927" s="98" t="b">
        <f>IF(OR(questions[[#This Row],[is_single_select]],questions[[#This Row],[is_multi_select]]),NOT(ISBLANK(questions[[#This Row],[answer_opt_combined]])),TRUE)</f>
        <v>1</v>
      </c>
    </row>
    <row r="928" spans="1:45" s="77" customFormat="1" ht="15.75" customHeight="1" x14ac:dyDescent="0.25">
      <c r="A928" s="77" t="str">
        <f>_xlfn.TEXTJOIN("_",TRUE,questions[[#This Row],[origin]:[qno]])</f>
        <v>Uganda_Robusta_Nespresso_7114</v>
      </c>
      <c r="B928" s="77" t="s">
        <v>511</v>
      </c>
      <c r="C928" s="77" t="s">
        <v>674</v>
      </c>
      <c r="D928" s="77" t="s">
        <v>864</v>
      </c>
      <c r="F928" s="104" t="s">
        <v>349</v>
      </c>
      <c r="G928" s="78" t="s">
        <v>350</v>
      </c>
      <c r="H928" s="9" t="str" cm="1">
        <f t="array" ref="H928">INDEX(stableR[question],MATCH(VALUE(questions[[#This Row],[qno]]),VALUE(stableR[qno]),0))</f>
        <v xml:space="preserve">If there is erosion risk, do you implement anti-erosion measures/control (e.g. trenches, terracing, windbreaks, soil coverage/mulching, bunds, contour planting…)? </v>
      </c>
      <c r="I928" s="9" t="b" cm="1">
        <f t="array" ref="I928">INDEX(stable[is_fixed],MATCH(VALUE(questions[[#This Row],[qno]]),VALUE(stable[qno]),0))</f>
        <v>1</v>
      </c>
      <c r="J928" s="9" t="b" cm="1">
        <f t="array" ref="J928">INDEX(stable[is_localized],MATCH(VALUE(questions[[#This Row],[qno]]),VALUE(stable[qno]),0))</f>
        <v>0</v>
      </c>
      <c r="K928" s="9" t="b" cm="1">
        <f t="array" ref="K928">INDEX(stable[is_supply_chain_dependent],MATCH(VALUE(questions[[#This Row],[qno]]),VALUE(stable[qno]),0))</f>
        <v>0</v>
      </c>
      <c r="L928" s="9" t="b" cm="1">
        <f t="array" ref="L928">INDEX(stable[is_mandatory],MATCH(VALUE(questions[[#This Row],[qno]]),VALUE(stable[qno]),0))</f>
        <v>0</v>
      </c>
      <c r="M928" s="9" t="b" cm="1">
        <f t="array" ref="M928">INDEX(stable[is_automated],MATCH(VALUE(questions[[#This Row],[qno]]),VALUE(stable[qno]),0))</f>
        <v>0</v>
      </c>
      <c r="N928" s="9" t="b" cm="1">
        <f t="array" ref="N928">INDEX(stable[is_free_text],MATCH(VALUE(questions[[#This Row],[qno]]),VALUE(stable[qno]),0))</f>
        <v>0</v>
      </c>
      <c r="O928" s="9" t="b" cm="1">
        <f t="array" ref="O928">INDEX(stable[is_numerical],MATCH(VALUE(questions[[#This Row],[qno]]),VALUE(stable[qno]),0))</f>
        <v>0</v>
      </c>
      <c r="P928" s="77" t="b" cm="1">
        <f t="array" ref="P928">INDEX(stable[is_single_select],MATCH(VALUE(questions[[#This Row],[qno]]),VALUE(stable[qno]),0))</f>
        <v>1</v>
      </c>
      <c r="Q928" s="77" t="b" cm="1">
        <f t="array" ref="Q928">INDEX(stable[is_multi_select],MATCH(VALUE(questions[[#This Row],[qno]]),VALUE(stable[qno]),0))</f>
        <v>0</v>
      </c>
      <c r="R928" s="77" t="b" cm="1">
        <f t="array" ref="R928">INDEX(stable[is_skip_logic],MATCH(VALUE(questions[[#This Row],[qno]]),VALUE(stable[qno]),0))</f>
        <v>1</v>
      </c>
      <c r="S928" s="77" t="str">
        <f>_xlfn.TEXTJOIN(", ",TRUE,questions[[#This Row],[ans_opt_1]:[ans_opt_14]])</f>
        <v>No, Yes-Terracing, Yes-Trenches, Yes-Windbreaks, Yes-Mulching, Yes-Cover Crops, Yes-Water dykes, Yes-Contour Planting, Yes-A combination of previous practices, Yes-Other practices</v>
      </c>
      <c r="T928" s="77" t="s">
        <v>119</v>
      </c>
      <c r="U928" s="77" t="s">
        <v>351</v>
      </c>
      <c r="V928" s="77" t="s">
        <v>352</v>
      </c>
      <c r="W928" s="77" t="s">
        <v>353</v>
      </c>
      <c r="X928" s="77" t="s">
        <v>354</v>
      </c>
      <c r="Y928" s="77" t="s">
        <v>355</v>
      </c>
      <c r="Z928" s="77" t="s">
        <v>356</v>
      </c>
      <c r="AA928" s="77" t="s">
        <v>357</v>
      </c>
      <c r="AB928" s="77" t="s">
        <v>358</v>
      </c>
      <c r="AC928" s="77" t="s">
        <v>359</v>
      </c>
      <c r="AH928" s="98" t="b">
        <f>INDEX(stable[q_standard],MATCH(questions[[#This Row],[qno]],stable[qno],0))</f>
        <v>0</v>
      </c>
      <c r="AI928" s="98" t="b">
        <f>INDEX(stable[q_living_income],MATCH(questions[[#This Row],[qno]],stable[qno],0))</f>
        <v>0</v>
      </c>
      <c r="AJ928" s="98" t="b">
        <f>INDEX(stable[q_carbon],MATCH(questions[[#This Row],[qno]],stable[qno],0))</f>
        <v>0</v>
      </c>
      <c r="AK928" s="98" t="b">
        <f>INDEX(stable[q_regen_ag],MATCH(questions[[#This Row],[qno]],stable[qno],0))</f>
        <v>1</v>
      </c>
      <c r="AL928" s="98" t="b">
        <f>COUNTIFS(stable[qno],questions[[#This Row],[qno]])=1</f>
        <v>1</v>
      </c>
      <c r="AM928" s="98" t="b">
        <f>OR(questions[[#This Row],[is_fixed]],questions[[#This Row],[is_localized]],questions[[#This Row],[is_supply_chain_dependent]])</f>
        <v>1</v>
      </c>
      <c r="AN928" s="98" t="b">
        <f>COUNTIFS(questions[[#This Row],[is_automated]:[is_multi_select]],TRUE)=1</f>
        <v>1</v>
      </c>
      <c r="AO928" s="98" t="b">
        <f>IF(questions[[#This Row],[is_fixed]],questions[[#This Row],[question]]=INDEX(stable[question],MATCH(questions[[#This Row],[qno]],stable[qno],0)),TRUE)</f>
        <v>1</v>
      </c>
      <c r="AP928" s="98" t="str">
        <f>LEFT(questions[[#This Row],[question]],similarity_range)</f>
        <v xml:space="preserve">If there is erosion </v>
      </c>
      <c r="AQ928" s="98" t="str">
        <f>LEFT(INDEX(stable[question],MATCH(questions[[#This Row],[qno]],stable[qno],0)),similarity_range)</f>
        <v xml:space="preserve">If there is erosion </v>
      </c>
      <c r="AR928" s="98" t="b">
        <f>questions[[#This Row],[question_first_characters]]=questions[[#This Row],[stability_first_characters]]</f>
        <v>1</v>
      </c>
      <c r="AS928" s="98" t="b">
        <f>IF(OR(questions[[#This Row],[is_single_select]],questions[[#This Row],[is_multi_select]]),NOT(ISBLANK(questions[[#This Row],[answer_opt_combined]])),TRUE)</f>
        <v>1</v>
      </c>
    </row>
    <row r="929" spans="1:45" s="77" customFormat="1" ht="15.75" customHeight="1" x14ac:dyDescent="0.25">
      <c r="A929" s="77" t="str">
        <f>_xlfn.TEXTJOIN("_",TRUE,questions[[#This Row],[origin]:[qno]])</f>
        <v>Uganda_Robusta_Nespresso_7115</v>
      </c>
      <c r="B929" s="77" t="s">
        <v>511</v>
      </c>
      <c r="C929" s="77" t="s">
        <v>674</v>
      </c>
      <c r="D929" s="77" t="s">
        <v>864</v>
      </c>
      <c r="F929" s="104" t="s">
        <v>360</v>
      </c>
      <c r="G929" s="78" t="s">
        <v>361</v>
      </c>
      <c r="H929" s="9" t="str" cm="1">
        <f t="array" ref="H929">INDEX(stableR[question],MATCH(VALUE(questions[[#This Row],[qno]]),VALUE(stableR[qno]),0))</f>
        <v>Of the area of your coffee plots with risk of erosion, can you estimate the % or proportion of that area to which you apply anti-erosion measures/control?</v>
      </c>
      <c r="I929" s="9" t="b" cm="1">
        <f t="array" ref="I929">INDEX(stable[is_fixed],MATCH(VALUE(questions[[#This Row],[qno]]),VALUE(stable[qno]),0))</f>
        <v>1</v>
      </c>
      <c r="J929" s="9" t="b" cm="1">
        <f t="array" ref="J929">INDEX(stable[is_localized],MATCH(VALUE(questions[[#This Row],[qno]]),VALUE(stable[qno]),0))</f>
        <v>0</v>
      </c>
      <c r="K929" s="9" t="b" cm="1">
        <f t="array" ref="K929">INDEX(stable[is_supply_chain_dependent],MATCH(VALUE(questions[[#This Row],[qno]]),VALUE(stable[qno]),0))</f>
        <v>0</v>
      </c>
      <c r="L929" s="9" t="b" cm="1">
        <f t="array" ref="L929">INDEX(stable[is_mandatory],MATCH(VALUE(questions[[#This Row],[qno]]),VALUE(stable[qno]),0))</f>
        <v>0</v>
      </c>
      <c r="M929" s="9" t="b" cm="1">
        <f t="array" ref="M929">INDEX(stable[is_automated],MATCH(VALUE(questions[[#This Row],[qno]]),VALUE(stable[qno]),0))</f>
        <v>0</v>
      </c>
      <c r="N929" s="9" t="b" cm="1">
        <f t="array" ref="N929">INDEX(stable[is_free_text],MATCH(VALUE(questions[[#This Row],[qno]]),VALUE(stable[qno]),0))</f>
        <v>0</v>
      </c>
      <c r="O929" s="9" t="b" cm="1">
        <f t="array" ref="O929">INDEX(stable[is_numerical],MATCH(VALUE(questions[[#This Row],[qno]]),VALUE(stable[qno]),0))</f>
        <v>0</v>
      </c>
      <c r="P929" s="77" t="b" cm="1">
        <f t="array" ref="P929">INDEX(stable[is_single_select],MATCH(VALUE(questions[[#This Row],[qno]]),VALUE(stable[qno]),0))</f>
        <v>1</v>
      </c>
      <c r="Q929" s="77" t="b" cm="1">
        <f t="array" ref="Q929">INDEX(stable[is_multi_select],MATCH(VALUE(questions[[#This Row],[qno]]),VALUE(stable[qno]),0))</f>
        <v>0</v>
      </c>
      <c r="R929" s="77" t="b" cm="1">
        <f t="array" ref="R929">INDEX(stable[is_skip_logic],MATCH(VALUE(questions[[#This Row],[qno]]),VALUE(stable[qno]),0))</f>
        <v>1</v>
      </c>
      <c r="S929" s="77" t="str">
        <f>_xlfn.TEXTJOIN(", ",TRUE,questions[[#This Row],[ans_opt_1]:[ans_opt_14]])</f>
        <v>0% - none, 1% to 25% - little to a quarter, 26% to 50% - less than half, 51% to 75% - more than half, 76% to 100% - almost all</v>
      </c>
      <c r="T929" s="77" t="s">
        <v>362</v>
      </c>
      <c r="U929" s="77" t="s">
        <v>338</v>
      </c>
      <c r="V929" s="77" t="s">
        <v>339</v>
      </c>
      <c r="W929" s="77" t="s">
        <v>340</v>
      </c>
      <c r="X929" s="77" t="s">
        <v>341</v>
      </c>
      <c r="AH929" s="98" t="b">
        <f>INDEX(stable[q_standard],MATCH(questions[[#This Row],[qno]],stable[qno],0))</f>
        <v>0</v>
      </c>
      <c r="AI929" s="98" t="b">
        <f>INDEX(stable[q_living_income],MATCH(questions[[#This Row],[qno]],stable[qno],0))</f>
        <v>0</v>
      </c>
      <c r="AJ929" s="98" t="b">
        <f>INDEX(stable[q_carbon],MATCH(questions[[#This Row],[qno]],stable[qno],0))</f>
        <v>0</v>
      </c>
      <c r="AK929" s="98" t="b">
        <f>INDEX(stable[q_regen_ag],MATCH(questions[[#This Row],[qno]],stable[qno],0))</f>
        <v>1</v>
      </c>
      <c r="AL929" s="98" t="b">
        <f>COUNTIFS(stable[qno],questions[[#This Row],[qno]])=1</f>
        <v>1</v>
      </c>
      <c r="AM929" s="98" t="b">
        <f>OR(questions[[#This Row],[is_fixed]],questions[[#This Row],[is_localized]],questions[[#This Row],[is_supply_chain_dependent]])</f>
        <v>1</v>
      </c>
      <c r="AN929" s="98" t="b">
        <f>COUNTIFS(questions[[#This Row],[is_automated]:[is_multi_select]],TRUE)=1</f>
        <v>1</v>
      </c>
      <c r="AO929" s="98" t="b">
        <f>IF(questions[[#This Row],[is_fixed]],questions[[#This Row],[question]]=INDEX(stable[question],MATCH(questions[[#This Row],[qno]],stable[qno],0)),TRUE)</f>
        <v>1</v>
      </c>
      <c r="AP929" s="98" t="str">
        <f>LEFT(questions[[#This Row],[question]],similarity_range)</f>
        <v xml:space="preserve">Of the area of your </v>
      </c>
      <c r="AQ929" s="98" t="str">
        <f>LEFT(INDEX(stable[question],MATCH(questions[[#This Row],[qno]],stable[qno],0)),similarity_range)</f>
        <v xml:space="preserve">Of the area of your </v>
      </c>
      <c r="AR929" s="98" t="b">
        <f>questions[[#This Row],[question_first_characters]]=questions[[#This Row],[stability_first_characters]]</f>
        <v>1</v>
      </c>
      <c r="AS929" s="98" t="b">
        <f>IF(OR(questions[[#This Row],[is_single_select]],questions[[#This Row],[is_multi_select]]),NOT(ISBLANK(questions[[#This Row],[answer_opt_combined]])),TRUE)</f>
        <v>1</v>
      </c>
    </row>
    <row r="930" spans="1:45" s="77" customFormat="1" ht="15.75" customHeight="1" x14ac:dyDescent="0.25">
      <c r="A930" s="77" t="str">
        <f>_xlfn.TEXTJOIN("_",TRUE,questions[[#This Row],[origin]:[qno]])</f>
        <v>Uganda_Robusta_Nespresso_7126</v>
      </c>
      <c r="B930" s="77" t="s">
        <v>511</v>
      </c>
      <c r="C930" s="77" t="s">
        <v>674</v>
      </c>
      <c r="D930" s="77" t="s">
        <v>864</v>
      </c>
      <c r="F930" s="104" t="s">
        <v>363</v>
      </c>
      <c r="G930" s="78" t="s">
        <v>364</v>
      </c>
      <c r="H930" s="9" t="str" cm="1">
        <f t="array" ref="H930">INDEX(stableR[question],MATCH(VALUE(questions[[#This Row],[qno]]),VALUE(stableR[qno]),0))</f>
        <v>Do you take soil samples and carry out soil analysis of your coffee plots and how often?</v>
      </c>
      <c r="I930" s="9" t="b" cm="1">
        <f t="array" ref="I930">INDEX(stable[is_fixed],MATCH(VALUE(questions[[#This Row],[qno]]),VALUE(stable[qno]),0))</f>
        <v>1</v>
      </c>
      <c r="J930" s="9" t="b" cm="1">
        <f t="array" ref="J930">INDEX(stable[is_localized],MATCH(VALUE(questions[[#This Row],[qno]]),VALUE(stable[qno]),0))</f>
        <v>0</v>
      </c>
      <c r="K930" s="9" t="b" cm="1">
        <f t="array" ref="K930">INDEX(stable[is_supply_chain_dependent],MATCH(VALUE(questions[[#This Row],[qno]]),VALUE(stable[qno]),0))</f>
        <v>0</v>
      </c>
      <c r="L930" s="9" t="b" cm="1">
        <f t="array" ref="L930">INDEX(stable[is_mandatory],MATCH(VALUE(questions[[#This Row],[qno]]),VALUE(stable[qno]),0))</f>
        <v>1</v>
      </c>
      <c r="M930" s="9" t="b" cm="1">
        <f t="array" ref="M930">INDEX(stable[is_automated],MATCH(VALUE(questions[[#This Row],[qno]]),VALUE(stable[qno]),0))</f>
        <v>0</v>
      </c>
      <c r="N930" s="9" t="b" cm="1">
        <f t="array" ref="N930">INDEX(stable[is_free_text],MATCH(VALUE(questions[[#This Row],[qno]]),VALUE(stable[qno]),0))</f>
        <v>0</v>
      </c>
      <c r="O930" s="9" t="b" cm="1">
        <f t="array" ref="O930">INDEX(stable[is_numerical],MATCH(VALUE(questions[[#This Row],[qno]]),VALUE(stable[qno]),0))</f>
        <v>0</v>
      </c>
      <c r="P930" s="77" t="b" cm="1">
        <f t="array" ref="P930">INDEX(stable[is_single_select],MATCH(VALUE(questions[[#This Row],[qno]]),VALUE(stable[qno]),0))</f>
        <v>1</v>
      </c>
      <c r="Q930" s="77" t="b" cm="1">
        <f t="array" ref="Q930">INDEX(stable[is_multi_select],MATCH(VALUE(questions[[#This Row],[qno]]),VALUE(stable[qno]),0))</f>
        <v>0</v>
      </c>
      <c r="R930" s="77" t="b" cm="1">
        <f t="array" ref="R930">INDEX(stable[is_skip_logic],MATCH(VALUE(questions[[#This Row],[qno]]),VALUE(stable[qno]),0))</f>
        <v>1</v>
      </c>
      <c r="S930" s="77" t="str">
        <f>_xlfn.TEXTJOIN(", ",TRUE,questions[[#This Row],[ans_opt_1]:[ans_opt_14]])</f>
        <v>No, Yes-every year, Yes-every 2 years, Yes-every 3 years, Yes-every &gt; 3 years</v>
      </c>
      <c r="T930" s="77" t="s">
        <v>119</v>
      </c>
      <c r="U930" s="77" t="s">
        <v>365</v>
      </c>
      <c r="V930" s="77" t="s">
        <v>366</v>
      </c>
      <c r="W930" s="77" t="s">
        <v>367</v>
      </c>
      <c r="X930" s="77" t="s">
        <v>368</v>
      </c>
      <c r="AH930" s="98" t="b">
        <f>INDEX(stable[q_standard],MATCH(questions[[#This Row],[qno]],stable[qno],0))</f>
        <v>0</v>
      </c>
      <c r="AI930" s="98" t="b">
        <f>INDEX(stable[q_living_income],MATCH(questions[[#This Row],[qno]],stable[qno],0))</f>
        <v>0</v>
      </c>
      <c r="AJ930" s="98" t="b">
        <f>INDEX(stable[q_carbon],MATCH(questions[[#This Row],[qno]],stable[qno],0))</f>
        <v>0</v>
      </c>
      <c r="AK930" s="98" t="b">
        <f>INDEX(stable[q_regen_ag],MATCH(questions[[#This Row],[qno]],stable[qno],0))</f>
        <v>1</v>
      </c>
      <c r="AL930" s="98" t="b">
        <f>COUNTIFS(stable[qno],questions[[#This Row],[qno]])=1</f>
        <v>1</v>
      </c>
      <c r="AM930" s="98" t="b">
        <f>OR(questions[[#This Row],[is_fixed]],questions[[#This Row],[is_localized]],questions[[#This Row],[is_supply_chain_dependent]])</f>
        <v>1</v>
      </c>
      <c r="AN930" s="98" t="b">
        <f>COUNTIFS(questions[[#This Row],[is_automated]:[is_multi_select]],TRUE)=1</f>
        <v>1</v>
      </c>
      <c r="AO930" s="98" t="b">
        <f>IF(questions[[#This Row],[is_fixed]],questions[[#This Row],[question]]=INDEX(stable[question],MATCH(questions[[#This Row],[qno]],stable[qno],0)),TRUE)</f>
        <v>1</v>
      </c>
      <c r="AP930" s="98" t="str">
        <f>LEFT(questions[[#This Row],[question]],similarity_range)</f>
        <v>Do you take soil sam</v>
      </c>
      <c r="AQ930" s="98" t="str">
        <f>LEFT(INDEX(stable[question],MATCH(questions[[#This Row],[qno]],stable[qno],0)),similarity_range)</f>
        <v>Do you take soil sam</v>
      </c>
      <c r="AR930" s="98" t="b">
        <f>questions[[#This Row],[question_first_characters]]=questions[[#This Row],[stability_first_characters]]</f>
        <v>1</v>
      </c>
      <c r="AS930" s="98" t="b">
        <f>IF(OR(questions[[#This Row],[is_single_select]],questions[[#This Row],[is_multi_select]]),NOT(ISBLANK(questions[[#This Row],[answer_opt_combined]])),TRUE)</f>
        <v>1</v>
      </c>
    </row>
    <row r="931" spans="1:45" s="77" customFormat="1" ht="15.75" customHeight="1" x14ac:dyDescent="0.25">
      <c r="A931" s="77" t="str">
        <f>_xlfn.TEXTJOIN("_",TRUE,questions[[#This Row],[origin]:[qno]])</f>
        <v>Uganda_Robusta_Nespresso_7127</v>
      </c>
      <c r="B931" s="77" t="s">
        <v>511</v>
      </c>
      <c r="C931" s="77" t="s">
        <v>674</v>
      </c>
      <c r="D931" s="77" t="s">
        <v>864</v>
      </c>
      <c r="F931" s="104" t="s">
        <v>369</v>
      </c>
      <c r="G931" s="78" t="s">
        <v>370</v>
      </c>
      <c r="H931" s="9" t="str" cm="1">
        <f t="array" ref="H931">INDEX(stableR[question],MATCH(VALUE(questions[[#This Row],[qno]]),VALUE(stableR[qno]),0))</f>
        <v>If you don´t or last analysis is older than 3 years ago, do you know the basic characteristics of the soil of your coffee plots (e.g. pH-acidity, texture-light/medium/heavy, organic matter-high/good/poor, general fertility-good/average/poor...)?</v>
      </c>
      <c r="I931" s="9" t="b" cm="1">
        <f t="array" ref="I931">INDEX(stable[is_fixed],MATCH(VALUE(questions[[#This Row],[qno]]),VALUE(stable[qno]),0))</f>
        <v>1</v>
      </c>
      <c r="J931" s="9" t="b" cm="1">
        <f t="array" ref="J931">INDEX(stable[is_localized],MATCH(VALUE(questions[[#This Row],[qno]]),VALUE(stable[qno]),0))</f>
        <v>0</v>
      </c>
      <c r="K931" s="9" t="b" cm="1">
        <f t="array" ref="K931">INDEX(stable[is_supply_chain_dependent],MATCH(VALUE(questions[[#This Row],[qno]]),VALUE(stable[qno]),0))</f>
        <v>0</v>
      </c>
      <c r="L931" s="9" t="b" cm="1">
        <f t="array" ref="L931">INDEX(stable[is_mandatory],MATCH(VALUE(questions[[#This Row],[qno]]),VALUE(stable[qno]),0))</f>
        <v>0</v>
      </c>
      <c r="M931" s="9" t="b" cm="1">
        <f t="array" ref="M931">INDEX(stable[is_automated],MATCH(VALUE(questions[[#This Row],[qno]]),VALUE(stable[qno]),0))</f>
        <v>0</v>
      </c>
      <c r="N931" s="9" t="b" cm="1">
        <f t="array" ref="N931">INDEX(stable[is_free_text],MATCH(VALUE(questions[[#This Row],[qno]]),VALUE(stable[qno]),0))</f>
        <v>0</v>
      </c>
      <c r="O931" s="9" t="b" cm="1">
        <f t="array" ref="O931">INDEX(stable[is_numerical],MATCH(VALUE(questions[[#This Row],[qno]]),VALUE(stable[qno]),0))</f>
        <v>0</v>
      </c>
      <c r="P931" s="77" t="b" cm="1">
        <f t="array" ref="P931">INDEX(stable[is_single_select],MATCH(VALUE(questions[[#This Row],[qno]]),VALUE(stable[qno]),0))</f>
        <v>1</v>
      </c>
      <c r="Q931" s="77" t="b" cm="1">
        <f t="array" ref="Q931">INDEX(stable[is_multi_select],MATCH(VALUE(questions[[#This Row],[qno]]),VALUE(stable[qno]),0))</f>
        <v>0</v>
      </c>
      <c r="R931" s="77" t="b" cm="1">
        <f t="array" ref="R931">INDEX(stable[is_skip_logic],MATCH(VALUE(questions[[#This Row],[qno]]),VALUE(stable[qno]),0))</f>
        <v>1</v>
      </c>
      <c r="S931" s="77" t="str">
        <f>_xlfn.TEXTJOIN(", ",TRUE,questions[[#This Row],[ans_opt_1]:[ans_opt_14]])</f>
        <v>Yes, No</v>
      </c>
      <c r="T931" s="77" t="s">
        <v>149</v>
      </c>
      <c r="U931" s="77" t="s">
        <v>119</v>
      </c>
      <c r="AH931" s="98" t="b">
        <f>INDEX(stable[q_standard],MATCH(questions[[#This Row],[qno]],stable[qno],0))</f>
        <v>0</v>
      </c>
      <c r="AI931" s="98" t="b">
        <f>INDEX(stable[q_living_income],MATCH(questions[[#This Row],[qno]],stable[qno],0))</f>
        <v>0</v>
      </c>
      <c r="AJ931" s="98" t="b">
        <f>INDEX(stable[q_carbon],MATCH(questions[[#This Row],[qno]],stable[qno],0))</f>
        <v>0</v>
      </c>
      <c r="AK931" s="98" t="b">
        <f>INDEX(stable[q_regen_ag],MATCH(questions[[#This Row],[qno]],stable[qno],0))</f>
        <v>1</v>
      </c>
      <c r="AL931" s="98" t="b">
        <f>COUNTIFS(stable[qno],questions[[#This Row],[qno]])=1</f>
        <v>1</v>
      </c>
      <c r="AM931" s="98" t="b">
        <f>OR(questions[[#This Row],[is_fixed]],questions[[#This Row],[is_localized]],questions[[#This Row],[is_supply_chain_dependent]])</f>
        <v>1</v>
      </c>
      <c r="AN931" s="98" t="b">
        <f>COUNTIFS(questions[[#This Row],[is_automated]:[is_multi_select]],TRUE)=1</f>
        <v>1</v>
      </c>
      <c r="AO931" s="98" t="b">
        <f>IF(questions[[#This Row],[is_fixed]],questions[[#This Row],[question]]=INDEX(stable[question],MATCH(questions[[#This Row],[qno]],stable[qno],0)),TRUE)</f>
        <v>1</v>
      </c>
      <c r="AP931" s="98" t="str">
        <f>LEFT(questions[[#This Row],[question]],similarity_range)</f>
        <v>If you don´t or last</v>
      </c>
      <c r="AQ931" s="98" t="str">
        <f>LEFT(INDEX(stable[question],MATCH(questions[[#This Row],[qno]],stable[qno],0)),similarity_range)</f>
        <v>If you don´t or last</v>
      </c>
      <c r="AR931" s="98" t="b">
        <f>questions[[#This Row],[question_first_characters]]=questions[[#This Row],[stability_first_characters]]</f>
        <v>1</v>
      </c>
      <c r="AS931" s="98" t="b">
        <f>IF(OR(questions[[#This Row],[is_single_select]],questions[[#This Row],[is_multi_select]]),NOT(ISBLANK(questions[[#This Row],[answer_opt_combined]])),TRUE)</f>
        <v>1</v>
      </c>
    </row>
    <row r="932" spans="1:45" s="77" customFormat="1" ht="15.75" customHeight="1" x14ac:dyDescent="0.25">
      <c r="A932" s="77" t="str">
        <f>_xlfn.TEXTJOIN("_",TRUE,questions[[#This Row],[origin]:[qno]])</f>
        <v>Uganda_Robusta_Nespresso_7128</v>
      </c>
      <c r="B932" s="77" t="s">
        <v>511</v>
      </c>
      <c r="C932" s="77" t="s">
        <v>674</v>
      </c>
      <c r="D932" s="77" t="s">
        <v>864</v>
      </c>
      <c r="F932" s="104" t="s">
        <v>371</v>
      </c>
      <c r="G932" s="78" t="s">
        <v>372</v>
      </c>
      <c r="H932" s="9" t="str" cm="1">
        <f t="array" ref="H932">INDEX(stableR[question],MATCH(VALUE(questions[[#This Row],[qno]]),VALUE(stableR[qno]),0))</f>
        <v>What is the most common system to determine the amount and/or the type of organic and synthetic fertilizers that you use in your coffee crop?</v>
      </c>
      <c r="I932" s="9" t="b" cm="1">
        <f t="array" ref="I932">INDEX(stable[is_fixed],MATCH(VALUE(questions[[#This Row],[qno]]),VALUE(stable[qno]),0))</f>
        <v>1</v>
      </c>
      <c r="J932" s="9" t="b" cm="1">
        <f t="array" ref="J932">INDEX(stable[is_localized],MATCH(VALUE(questions[[#This Row],[qno]]),VALUE(stable[qno]),0))</f>
        <v>0</v>
      </c>
      <c r="K932" s="9" t="b" cm="1">
        <f t="array" ref="K932">INDEX(stable[is_supply_chain_dependent],MATCH(VALUE(questions[[#This Row],[qno]]),VALUE(stable[qno]),0))</f>
        <v>0</v>
      </c>
      <c r="L932" s="9" t="b" cm="1">
        <f t="array" ref="L932">INDEX(stable[is_mandatory],MATCH(VALUE(questions[[#This Row],[qno]]),VALUE(stable[qno]),0))</f>
        <v>1</v>
      </c>
      <c r="M932" s="9" t="b" cm="1">
        <f t="array" ref="M932">INDEX(stable[is_automated],MATCH(VALUE(questions[[#This Row],[qno]]),VALUE(stable[qno]),0))</f>
        <v>0</v>
      </c>
      <c r="N932" s="9" t="b" cm="1">
        <f t="array" ref="N932">INDEX(stable[is_free_text],MATCH(VALUE(questions[[#This Row],[qno]]),VALUE(stable[qno]),0))</f>
        <v>0</v>
      </c>
      <c r="O932" s="9" t="b" cm="1">
        <f t="array" ref="O932">INDEX(stable[is_numerical],MATCH(VALUE(questions[[#This Row],[qno]]),VALUE(stable[qno]),0))</f>
        <v>0</v>
      </c>
      <c r="P932" s="77" t="b" cm="1">
        <f t="array" ref="P932">INDEX(stable[is_single_select],MATCH(VALUE(questions[[#This Row],[qno]]),VALUE(stable[qno]),0))</f>
        <v>1</v>
      </c>
      <c r="Q932" s="77" t="b" cm="1">
        <f t="array" ref="Q932">INDEX(stable[is_multi_select],MATCH(VALUE(questions[[#This Row],[qno]]),VALUE(stable[qno]),0))</f>
        <v>0</v>
      </c>
      <c r="R932" s="77" t="b" cm="1">
        <f t="array" ref="R932">INDEX(stable[is_skip_logic],MATCH(VALUE(questions[[#This Row],[qno]]),VALUE(stable[qno]),0))</f>
        <v>0</v>
      </c>
      <c r="S932" s="77" t="str">
        <f>_xlfn.TEXTJOIN(", ",TRUE,questions[[#This Row],[ans_opt_1]:[ans_opt_14]])</f>
        <v>Based on my own judgment-experience, Based on what I can afford, I always use the same fertilization, Based on soil analysis or soil knowledge, Based on soil analysis or soil knowledge and the expected yield of the crop, Based on recommendations from experts (agronomists, field officers, extension services...) , Based on recommendations from input suppliers, I don't use organic or synthetic fertilizers, based on other reasons then the above options</v>
      </c>
      <c r="T932" s="77" t="s">
        <v>373</v>
      </c>
      <c r="U932" s="77" t="s">
        <v>374</v>
      </c>
      <c r="V932" s="77" t="s">
        <v>375</v>
      </c>
      <c r="W932" s="77" t="s">
        <v>376</v>
      </c>
      <c r="X932" s="77" t="s">
        <v>377</v>
      </c>
      <c r="Y932" s="77" t="s">
        <v>796</v>
      </c>
      <c r="Z932" s="77" t="s">
        <v>379</v>
      </c>
      <c r="AA932" s="77" t="s">
        <v>380</v>
      </c>
      <c r="AH932" s="98" t="b">
        <f>INDEX(stable[q_standard],MATCH(questions[[#This Row],[qno]],stable[qno],0))</f>
        <v>0</v>
      </c>
      <c r="AI932" s="98" t="b">
        <f>INDEX(stable[q_living_income],MATCH(questions[[#This Row],[qno]],stable[qno],0))</f>
        <v>0</v>
      </c>
      <c r="AJ932" s="98" t="b">
        <f>INDEX(stable[q_carbon],MATCH(questions[[#This Row],[qno]],stable[qno],0))</f>
        <v>0</v>
      </c>
      <c r="AK932" s="98" t="b">
        <f>INDEX(stable[q_regen_ag],MATCH(questions[[#This Row],[qno]],stable[qno],0))</f>
        <v>1</v>
      </c>
      <c r="AL932" s="98" t="b">
        <f>COUNTIFS(stable[qno],questions[[#This Row],[qno]])=1</f>
        <v>1</v>
      </c>
      <c r="AM932" s="98" t="b">
        <f>OR(questions[[#This Row],[is_fixed]],questions[[#This Row],[is_localized]],questions[[#This Row],[is_supply_chain_dependent]])</f>
        <v>1</v>
      </c>
      <c r="AN932" s="98" t="b">
        <f>COUNTIFS(questions[[#This Row],[is_automated]:[is_multi_select]],TRUE)=1</f>
        <v>1</v>
      </c>
      <c r="AO932" s="98" t="b">
        <f>IF(questions[[#This Row],[is_fixed]],questions[[#This Row],[question]]=INDEX(stable[question],MATCH(questions[[#This Row],[qno]],stable[qno],0)),TRUE)</f>
        <v>1</v>
      </c>
      <c r="AP932" s="98" t="str">
        <f>LEFT(questions[[#This Row],[question]],similarity_range)</f>
        <v>What is the most com</v>
      </c>
      <c r="AQ932" s="98" t="str">
        <f>LEFT(INDEX(stable[question],MATCH(questions[[#This Row],[qno]],stable[qno],0)),similarity_range)</f>
        <v>What is the most com</v>
      </c>
      <c r="AR932" s="98" t="b">
        <f>questions[[#This Row],[question_first_characters]]=questions[[#This Row],[stability_first_characters]]</f>
        <v>1</v>
      </c>
      <c r="AS932" s="98" t="b">
        <f>IF(OR(questions[[#This Row],[is_single_select]],questions[[#This Row],[is_multi_select]]),NOT(ISBLANK(questions[[#This Row],[answer_opt_combined]])),TRUE)</f>
        <v>1</v>
      </c>
    </row>
    <row r="933" spans="1:45" s="77" customFormat="1" ht="15.75" customHeight="1" x14ac:dyDescent="0.25">
      <c r="A933" s="77" t="str">
        <f>_xlfn.TEXTJOIN("_",TRUE,questions[[#This Row],[origin]:[qno]])</f>
        <v>Uganda_Robusta_Nespresso_7131</v>
      </c>
      <c r="B933" s="77" t="s">
        <v>511</v>
      </c>
      <c r="C933" s="77" t="s">
        <v>674</v>
      </c>
      <c r="D933" s="77" t="s">
        <v>864</v>
      </c>
      <c r="F933" s="104" t="s">
        <v>381</v>
      </c>
      <c r="G933" s="78" t="s">
        <v>382</v>
      </c>
      <c r="H933" s="9" t="str" cm="1">
        <f t="array" ref="H933">INDEX(stableR[question],MATCH(VALUE(questions[[#This Row],[qno]]),VALUE(stableR[qno]),0))</f>
        <v>How often do you apply synthetic fertilizer per season in your coffee crop?</v>
      </c>
      <c r="I933" s="9" t="b" cm="1">
        <f t="array" ref="I933">INDEX(stable[is_fixed],MATCH(VALUE(questions[[#This Row],[qno]]),VALUE(stable[qno]),0))</f>
        <v>1</v>
      </c>
      <c r="J933" s="9" t="b" cm="1">
        <f t="array" ref="J933">INDEX(stable[is_localized],MATCH(VALUE(questions[[#This Row],[qno]]),VALUE(stable[qno]),0))</f>
        <v>0</v>
      </c>
      <c r="K933" s="9" t="b" cm="1">
        <f t="array" ref="K933">INDEX(stable[is_supply_chain_dependent],MATCH(VALUE(questions[[#This Row],[qno]]),VALUE(stable[qno]),0))</f>
        <v>0</v>
      </c>
      <c r="L933" s="9" t="b" cm="1">
        <f t="array" ref="L933">INDEX(stable[is_mandatory],MATCH(VALUE(questions[[#This Row],[qno]]),VALUE(stable[qno]),0))</f>
        <v>1</v>
      </c>
      <c r="M933" s="9" t="b" cm="1">
        <f t="array" ref="M933">INDEX(stable[is_automated],MATCH(VALUE(questions[[#This Row],[qno]]),VALUE(stable[qno]),0))</f>
        <v>0</v>
      </c>
      <c r="N933" s="9" t="b" cm="1">
        <f t="array" ref="N933">INDEX(stable[is_free_text],MATCH(VALUE(questions[[#This Row],[qno]]),VALUE(stable[qno]),0))</f>
        <v>0</v>
      </c>
      <c r="O933" s="9" t="b" cm="1">
        <f t="array" ref="O933">INDEX(stable[is_numerical],MATCH(VALUE(questions[[#This Row],[qno]]),VALUE(stable[qno]),0))</f>
        <v>0</v>
      </c>
      <c r="P933" s="77" t="b" cm="1">
        <f t="array" ref="P933">INDEX(stable[is_single_select],MATCH(VALUE(questions[[#This Row],[qno]]),VALUE(stable[qno]),0))</f>
        <v>1</v>
      </c>
      <c r="Q933" s="77" t="b" cm="1">
        <f t="array" ref="Q933">INDEX(stable[is_multi_select],MATCH(VALUE(questions[[#This Row],[qno]]),VALUE(stable[qno]),0))</f>
        <v>0</v>
      </c>
      <c r="R933" s="77" t="b" cm="1">
        <f t="array" ref="R933">INDEX(stable[is_skip_logic],MATCH(VALUE(questions[[#This Row],[qno]]),VALUE(stable[qno]),0))</f>
        <v>0</v>
      </c>
      <c r="S933" s="77" t="str">
        <f>_xlfn.TEXTJOIN(", ",TRUE,questions[[#This Row],[ans_opt_1]:[ans_opt_14]])</f>
        <v>I don't apply, I apply once per season, I apply multiple times throughout the season</v>
      </c>
      <c r="T933" s="77" t="s">
        <v>383</v>
      </c>
      <c r="U933" s="77" t="s">
        <v>384</v>
      </c>
      <c r="V933" s="77" t="s">
        <v>385</v>
      </c>
      <c r="AH933" s="98" t="b">
        <f>INDEX(stable[q_standard],MATCH(questions[[#This Row],[qno]],stable[qno],0))</f>
        <v>0</v>
      </c>
      <c r="AI933" s="98" t="b">
        <f>INDEX(stable[q_living_income],MATCH(questions[[#This Row],[qno]],stable[qno],0))</f>
        <v>0</v>
      </c>
      <c r="AJ933" s="98" t="b">
        <f>INDEX(stable[q_carbon],MATCH(questions[[#This Row],[qno]],stable[qno],0))</f>
        <v>0</v>
      </c>
      <c r="AK933" s="98" t="b">
        <f>INDEX(stable[q_regen_ag],MATCH(questions[[#This Row],[qno]],stable[qno],0))</f>
        <v>1</v>
      </c>
      <c r="AL933" s="98" t="b">
        <f>COUNTIFS(stable[qno],questions[[#This Row],[qno]])=1</f>
        <v>1</v>
      </c>
      <c r="AM933" s="98" t="b">
        <f>OR(questions[[#This Row],[is_fixed]],questions[[#This Row],[is_localized]],questions[[#This Row],[is_supply_chain_dependent]])</f>
        <v>1</v>
      </c>
      <c r="AN933" s="98" t="b">
        <f>COUNTIFS(questions[[#This Row],[is_automated]:[is_multi_select]],TRUE)=1</f>
        <v>1</v>
      </c>
      <c r="AO933" s="98" t="b">
        <f>IF(questions[[#This Row],[is_fixed]],questions[[#This Row],[question]]=INDEX(stable[question],MATCH(questions[[#This Row],[qno]],stable[qno],0)),TRUE)</f>
        <v>1</v>
      </c>
      <c r="AP933" s="98" t="str">
        <f>LEFT(questions[[#This Row],[question]],similarity_range)</f>
        <v>How often do you app</v>
      </c>
      <c r="AQ933" s="98" t="str">
        <f>LEFT(INDEX(stable[question],MATCH(questions[[#This Row],[qno]],stable[qno],0)),similarity_range)</f>
        <v>How often do you app</v>
      </c>
      <c r="AR933" s="98" t="b">
        <f>questions[[#This Row],[question_first_characters]]=questions[[#This Row],[stability_first_characters]]</f>
        <v>1</v>
      </c>
      <c r="AS933" s="98" t="b">
        <f>IF(OR(questions[[#This Row],[is_single_select]],questions[[#This Row],[is_multi_select]]),NOT(ISBLANK(questions[[#This Row],[answer_opt_combined]])),TRUE)</f>
        <v>1</v>
      </c>
    </row>
    <row r="934" spans="1:45" s="77" customFormat="1" ht="15.75" customHeight="1" x14ac:dyDescent="0.25">
      <c r="A934" s="77" t="str">
        <f>_xlfn.TEXTJOIN("_",TRUE,questions[[#This Row],[origin]:[qno]])</f>
        <v>Uganda_Robusta_Nespresso_7132</v>
      </c>
      <c r="B934" s="77" t="s">
        <v>511</v>
      </c>
      <c r="C934" s="77" t="s">
        <v>674</v>
      </c>
      <c r="D934" s="77" t="s">
        <v>864</v>
      </c>
      <c r="F934" s="104" t="s">
        <v>386</v>
      </c>
      <c r="G934" s="78" t="s">
        <v>387</v>
      </c>
      <c r="H934" s="9" t="str" cm="1">
        <f t="array" ref="H934">INDEX(stableR[question],MATCH(VALUE(questions[[#This Row],[qno]]),VALUE(stableR[qno]),0))</f>
        <v>How do you apply the organic and synthetic fertilizers to the coffee trees in the coffee plots?</v>
      </c>
      <c r="I934" s="9" t="b" cm="1">
        <f t="array" ref="I934">INDEX(stable[is_fixed],MATCH(VALUE(questions[[#This Row],[qno]]),VALUE(stable[qno]),0))</f>
        <v>1</v>
      </c>
      <c r="J934" s="9" t="b" cm="1">
        <f t="array" ref="J934">INDEX(stable[is_localized],MATCH(VALUE(questions[[#This Row],[qno]]),VALUE(stable[qno]),0))</f>
        <v>0</v>
      </c>
      <c r="K934" s="9" t="b" cm="1">
        <f t="array" ref="K934">INDEX(stable[is_supply_chain_dependent],MATCH(VALUE(questions[[#This Row],[qno]]),VALUE(stable[qno]),0))</f>
        <v>0</v>
      </c>
      <c r="L934" s="9" t="b" cm="1">
        <f t="array" ref="L934">INDEX(stable[is_mandatory],MATCH(VALUE(questions[[#This Row],[qno]]),VALUE(stable[qno]),0))</f>
        <v>0</v>
      </c>
      <c r="M934" s="9" t="b" cm="1">
        <f t="array" ref="M934">INDEX(stable[is_automated],MATCH(VALUE(questions[[#This Row],[qno]]),VALUE(stable[qno]),0))</f>
        <v>0</v>
      </c>
      <c r="N934" s="9" t="b" cm="1">
        <f t="array" ref="N934">INDEX(stable[is_free_text],MATCH(VALUE(questions[[#This Row],[qno]]),VALUE(stable[qno]),0))</f>
        <v>0</v>
      </c>
      <c r="O934" s="9" t="b" cm="1">
        <f t="array" ref="O934">INDEX(stable[is_numerical],MATCH(VALUE(questions[[#This Row],[qno]]),VALUE(stable[qno]),0))</f>
        <v>0</v>
      </c>
      <c r="P934" s="77" t="b" cm="1">
        <f t="array" ref="P934">INDEX(stable[is_single_select],MATCH(VALUE(questions[[#This Row],[qno]]),VALUE(stable[qno]),0))</f>
        <v>1</v>
      </c>
      <c r="Q934" s="77" t="b" cm="1">
        <f t="array" ref="Q934">INDEX(stable[is_multi_select],MATCH(VALUE(questions[[#This Row],[qno]]),VALUE(stable[qno]),0))</f>
        <v>0</v>
      </c>
      <c r="R934" s="77" t="b" cm="1">
        <f t="array" ref="R934">INDEX(stable[is_skip_logic],MATCH(VALUE(questions[[#This Row],[qno]]),VALUE(stable[qno]),0))</f>
        <v>0</v>
      </c>
      <c r="S934" s="77" t="str">
        <f>_xlfn.TEXTJOIN(", ",TRUE,questions[[#This Row],[ans_opt_1]:[ans_opt_14]])</f>
        <v>Around the tree , In bands close to the trees, Broadcasted in all the field, Through the irrigation system (e.g. drip)</v>
      </c>
      <c r="T934" s="77" t="s">
        <v>797</v>
      </c>
      <c r="U934" s="77" t="s">
        <v>389</v>
      </c>
      <c r="V934" s="77" t="s">
        <v>390</v>
      </c>
      <c r="W934" s="77" t="s">
        <v>391</v>
      </c>
      <c r="AH934" s="98" t="b">
        <f>INDEX(stable[q_standard],MATCH(questions[[#This Row],[qno]],stable[qno],0))</f>
        <v>0</v>
      </c>
      <c r="AI934" s="98" t="b">
        <f>INDEX(stable[q_living_income],MATCH(questions[[#This Row],[qno]],stable[qno],0))</f>
        <v>0</v>
      </c>
      <c r="AJ934" s="98" t="b">
        <f>INDEX(stable[q_carbon],MATCH(questions[[#This Row],[qno]],stable[qno],0))</f>
        <v>0</v>
      </c>
      <c r="AK934" s="98" t="b">
        <f>INDEX(stable[q_regen_ag],MATCH(questions[[#This Row],[qno]],stable[qno],0))</f>
        <v>1</v>
      </c>
      <c r="AL934" s="98" t="b">
        <f>COUNTIFS(stable[qno],questions[[#This Row],[qno]])=1</f>
        <v>1</v>
      </c>
      <c r="AM934" s="98" t="b">
        <f>OR(questions[[#This Row],[is_fixed]],questions[[#This Row],[is_localized]],questions[[#This Row],[is_supply_chain_dependent]])</f>
        <v>1</v>
      </c>
      <c r="AN934" s="98" t="b">
        <f>COUNTIFS(questions[[#This Row],[is_automated]:[is_multi_select]],TRUE)=1</f>
        <v>1</v>
      </c>
      <c r="AO934" s="98" t="b">
        <f>IF(questions[[#This Row],[is_fixed]],questions[[#This Row],[question]]=INDEX(stable[question],MATCH(questions[[#This Row],[qno]],stable[qno],0)),TRUE)</f>
        <v>1</v>
      </c>
      <c r="AP934" s="98" t="str">
        <f>LEFT(questions[[#This Row],[question]],similarity_range)</f>
        <v>How do you apply the</v>
      </c>
      <c r="AQ934" s="98" t="str">
        <f>LEFT(INDEX(stable[question],MATCH(questions[[#This Row],[qno]],stable[qno],0)),similarity_range)</f>
        <v>How do you apply the</v>
      </c>
      <c r="AR934" s="98" t="b">
        <f>questions[[#This Row],[question_first_characters]]=questions[[#This Row],[stability_first_characters]]</f>
        <v>1</v>
      </c>
      <c r="AS934" s="98" t="b">
        <f>IF(OR(questions[[#This Row],[is_single_select]],questions[[#This Row],[is_multi_select]]),NOT(ISBLANK(questions[[#This Row],[answer_opt_combined]])),TRUE)</f>
        <v>1</v>
      </c>
    </row>
    <row r="935" spans="1:45" s="77" customFormat="1" ht="15.75" customHeight="1" x14ac:dyDescent="0.25">
      <c r="A935" s="77" t="str">
        <f>_xlfn.TEXTJOIN("_",TRUE,questions[[#This Row],[origin]:[qno]])</f>
        <v>Uganda_Robusta_Nespresso_7133</v>
      </c>
      <c r="B935" s="77" t="s">
        <v>511</v>
      </c>
      <c r="C935" s="77" t="s">
        <v>674</v>
      </c>
      <c r="D935" s="77" t="s">
        <v>864</v>
      </c>
      <c r="F935" s="104" t="s">
        <v>392</v>
      </c>
      <c r="G935" s="78" t="s">
        <v>798</v>
      </c>
      <c r="H935" s="9" t="str" cm="1">
        <f t="array" ref="H935">INDEX(stableR[question],MATCH(VALUE(questions[[#This Row],[qno]]),VALUE(stableR[qno]),0))</f>
        <v>Do you know the 4R principles of using organic and synthetic fertilizers in crops (Right Amount, Right Product, Right Time, Right Place)?</v>
      </c>
      <c r="I935" s="9" t="b" cm="1">
        <f t="array" ref="I935">INDEX(stable[is_fixed],MATCH(VALUE(questions[[#This Row],[qno]]),VALUE(stable[qno]),0))</f>
        <v>1</v>
      </c>
      <c r="J935" s="9" t="b" cm="1">
        <f t="array" ref="J935">INDEX(stable[is_localized],MATCH(VALUE(questions[[#This Row],[qno]]),VALUE(stable[qno]),0))</f>
        <v>0</v>
      </c>
      <c r="K935" s="9" t="b" cm="1">
        <f t="array" ref="K935">INDEX(stable[is_supply_chain_dependent],MATCH(VALUE(questions[[#This Row],[qno]]),VALUE(stable[qno]),0))</f>
        <v>0</v>
      </c>
      <c r="L935" s="9" t="b" cm="1">
        <f t="array" ref="L935">INDEX(stable[is_mandatory],MATCH(VALUE(questions[[#This Row],[qno]]),VALUE(stable[qno]),0))</f>
        <v>1</v>
      </c>
      <c r="M935" s="9" t="b" cm="1">
        <f t="array" ref="M935">INDEX(stable[is_automated],MATCH(VALUE(questions[[#This Row],[qno]]),VALUE(stable[qno]),0))</f>
        <v>0</v>
      </c>
      <c r="N935" s="9" t="b" cm="1">
        <f t="array" ref="N935">INDEX(stable[is_free_text],MATCH(VALUE(questions[[#This Row],[qno]]),VALUE(stable[qno]),0))</f>
        <v>0</v>
      </c>
      <c r="O935" s="9" t="b" cm="1">
        <f t="array" ref="O935">INDEX(stable[is_numerical],MATCH(VALUE(questions[[#This Row],[qno]]),VALUE(stable[qno]),0))</f>
        <v>0</v>
      </c>
      <c r="P935" s="77" t="b" cm="1">
        <f t="array" ref="P935">INDEX(stable[is_single_select],MATCH(VALUE(questions[[#This Row],[qno]]),VALUE(stable[qno]),0))</f>
        <v>1</v>
      </c>
      <c r="Q935" s="77" t="b" cm="1">
        <f t="array" ref="Q935">INDEX(stable[is_multi_select],MATCH(VALUE(questions[[#This Row],[qno]]),VALUE(stable[qno]),0))</f>
        <v>0</v>
      </c>
      <c r="R935" s="77" t="b" cm="1">
        <f t="array" ref="R935">INDEX(stable[is_skip_logic],MATCH(VALUE(questions[[#This Row],[qno]]),VALUE(stable[qno]),0))</f>
        <v>0</v>
      </c>
      <c r="S935" s="77" t="str">
        <f>_xlfn.TEXTJOIN(", ",TRUE,questions[[#This Row],[ans_opt_1]:[ans_opt_14]])</f>
        <v>Yes, No</v>
      </c>
      <c r="T935" s="77" t="s">
        <v>149</v>
      </c>
      <c r="U935" s="77" t="s">
        <v>119</v>
      </c>
      <c r="AH935" s="98" t="b">
        <f>INDEX(stable[q_standard],MATCH(questions[[#This Row],[qno]],stable[qno],0))</f>
        <v>0</v>
      </c>
      <c r="AI935" s="98" t="b">
        <f>INDEX(stable[q_living_income],MATCH(questions[[#This Row],[qno]],stable[qno],0))</f>
        <v>0</v>
      </c>
      <c r="AJ935" s="98" t="b">
        <f>INDEX(stable[q_carbon],MATCH(questions[[#This Row],[qno]],stable[qno],0))</f>
        <v>0</v>
      </c>
      <c r="AK935" s="98" t="b">
        <f>INDEX(stable[q_regen_ag],MATCH(questions[[#This Row],[qno]],stable[qno],0))</f>
        <v>1</v>
      </c>
      <c r="AL935" s="98" t="b">
        <f>COUNTIFS(stable[qno],questions[[#This Row],[qno]])=1</f>
        <v>1</v>
      </c>
      <c r="AM935" s="98" t="b">
        <f>OR(questions[[#This Row],[is_fixed]],questions[[#This Row],[is_localized]],questions[[#This Row],[is_supply_chain_dependent]])</f>
        <v>1</v>
      </c>
      <c r="AN935" s="98" t="b">
        <f>COUNTIFS(questions[[#This Row],[is_automated]:[is_multi_select]],TRUE)=1</f>
        <v>1</v>
      </c>
      <c r="AO935" s="98" t="b">
        <f>IF(questions[[#This Row],[is_fixed]],questions[[#This Row],[question]]=INDEX(stable[question],MATCH(questions[[#This Row],[qno]],stable[qno],0)),TRUE)</f>
        <v>0</v>
      </c>
      <c r="AP935" s="98" t="str">
        <f>LEFT(questions[[#This Row],[question]],similarity_range)</f>
        <v>Do you know the 4R p</v>
      </c>
      <c r="AQ935" s="98" t="str">
        <f>LEFT(INDEX(stable[question],MATCH(questions[[#This Row],[qno]],stable[qno],0)),similarity_range)</f>
        <v>Do you know the 4R p</v>
      </c>
      <c r="AR935" s="98" t="b">
        <f>questions[[#This Row],[question_first_characters]]=questions[[#This Row],[stability_first_characters]]</f>
        <v>1</v>
      </c>
      <c r="AS935" s="98" t="b">
        <f>IF(OR(questions[[#This Row],[is_single_select]],questions[[#This Row],[is_multi_select]]),NOT(ISBLANK(questions[[#This Row],[answer_opt_combined]])),TRUE)</f>
        <v>1</v>
      </c>
    </row>
    <row r="936" spans="1:45" s="77" customFormat="1" ht="15.75" customHeight="1" x14ac:dyDescent="0.25">
      <c r="A936" s="77" t="str">
        <f>_xlfn.TEXTJOIN("_",TRUE,questions[[#This Row],[origin]:[qno]])</f>
        <v>Uganda_Robusta_Nespresso_7240</v>
      </c>
      <c r="B936" s="77" t="s">
        <v>511</v>
      </c>
      <c r="C936" s="77" t="s">
        <v>674</v>
      </c>
      <c r="D936" s="77" t="s">
        <v>864</v>
      </c>
      <c r="F936" s="104" t="s">
        <v>394</v>
      </c>
      <c r="G936" s="78" t="s">
        <v>395</v>
      </c>
      <c r="H936" s="9" t="str" cm="1">
        <f t="array" ref="H936">INDEX(stableR[question],MATCH(VALUE(questions[[#This Row],[qno]]),VALUE(stableR[qno]),0))</f>
        <v>Do you apply chemical PPPs (plant protection products) like pesticides/fungicides/nematicides in your coffee crop, and how many different active ingredients per crop season?</v>
      </c>
      <c r="I936" s="9" t="b" cm="1">
        <f t="array" ref="I936">INDEX(stable[is_fixed],MATCH(VALUE(questions[[#This Row],[qno]]),VALUE(stable[qno]),0))</f>
        <v>1</v>
      </c>
      <c r="J936" s="9" t="b" cm="1">
        <f t="array" ref="J936">INDEX(stable[is_localized],MATCH(VALUE(questions[[#This Row],[qno]]),VALUE(stable[qno]),0))</f>
        <v>0</v>
      </c>
      <c r="K936" s="9" t="b" cm="1">
        <f t="array" ref="K936">INDEX(stable[is_supply_chain_dependent],MATCH(VALUE(questions[[#This Row],[qno]]),VALUE(stable[qno]),0))</f>
        <v>0</v>
      </c>
      <c r="L936" s="9" t="b" cm="1">
        <f t="array" ref="L936">INDEX(stable[is_mandatory],MATCH(VALUE(questions[[#This Row],[qno]]),VALUE(stable[qno]),0))</f>
        <v>1</v>
      </c>
      <c r="M936" s="9" t="b" cm="1">
        <f t="array" ref="M936">INDEX(stable[is_automated],MATCH(VALUE(questions[[#This Row],[qno]]),VALUE(stable[qno]),0))</f>
        <v>0</v>
      </c>
      <c r="N936" s="9" t="b" cm="1">
        <f t="array" ref="N936">INDEX(stable[is_free_text],MATCH(VALUE(questions[[#This Row],[qno]]),VALUE(stable[qno]),0))</f>
        <v>0</v>
      </c>
      <c r="O936" s="9" t="b" cm="1">
        <f t="array" ref="O936">INDEX(stable[is_numerical],MATCH(VALUE(questions[[#This Row],[qno]]),VALUE(stable[qno]),0))</f>
        <v>0</v>
      </c>
      <c r="P936" s="77" t="b" cm="1">
        <f t="array" ref="P936">INDEX(stable[is_single_select],MATCH(VALUE(questions[[#This Row],[qno]]),VALUE(stable[qno]),0))</f>
        <v>1</v>
      </c>
      <c r="Q936" s="77" t="b" cm="1">
        <f t="array" ref="Q936">INDEX(stable[is_multi_select],MATCH(VALUE(questions[[#This Row],[qno]]),VALUE(stable[qno]),0))</f>
        <v>0</v>
      </c>
      <c r="R936" s="77" t="b" cm="1">
        <f t="array" ref="R936">INDEX(stable[is_skip_logic],MATCH(VALUE(questions[[#This Row],[qno]]),VALUE(stable[qno]),0))</f>
        <v>1</v>
      </c>
      <c r="S936" s="77" t="str">
        <f>_xlfn.TEXTJOIN(", ",TRUE,questions[[#This Row],[ans_opt_1]:[ans_opt_14]])</f>
        <v>Yes, No</v>
      </c>
      <c r="T936" s="77" t="s">
        <v>149</v>
      </c>
      <c r="U936" s="77" t="s">
        <v>119</v>
      </c>
      <c r="AH936" s="98" t="b">
        <f>INDEX(stable[q_standard],MATCH(questions[[#This Row],[qno]],stable[qno],0))</f>
        <v>0</v>
      </c>
      <c r="AI936" s="98" t="b">
        <f>INDEX(stable[q_living_income],MATCH(questions[[#This Row],[qno]],stable[qno],0))</f>
        <v>0</v>
      </c>
      <c r="AJ936" s="98" t="b">
        <f>INDEX(stable[q_carbon],MATCH(questions[[#This Row],[qno]],stable[qno],0))</f>
        <v>0</v>
      </c>
      <c r="AK936" s="98" t="b">
        <f>INDEX(stable[q_regen_ag],MATCH(questions[[#This Row],[qno]],stable[qno],0))</f>
        <v>1</v>
      </c>
      <c r="AL936" s="98" t="b">
        <f>COUNTIFS(stable[qno],questions[[#This Row],[qno]])=1</f>
        <v>1</v>
      </c>
      <c r="AM936" s="98" t="b">
        <f>OR(questions[[#This Row],[is_fixed]],questions[[#This Row],[is_localized]],questions[[#This Row],[is_supply_chain_dependent]])</f>
        <v>1</v>
      </c>
      <c r="AN936" s="98" t="b">
        <f>COUNTIFS(questions[[#This Row],[is_automated]:[is_multi_select]],TRUE)=1</f>
        <v>1</v>
      </c>
      <c r="AO936" s="98" t="b">
        <f>IF(questions[[#This Row],[is_fixed]],questions[[#This Row],[question]]=INDEX(stable[question],MATCH(questions[[#This Row],[qno]],stable[qno],0)),TRUE)</f>
        <v>0</v>
      </c>
      <c r="AP936" s="98" t="str">
        <f>LEFT(questions[[#This Row],[question]],similarity_range)</f>
        <v>Did you use chemical</v>
      </c>
      <c r="AQ936" s="98" t="str">
        <f>LEFT(INDEX(stable[question],MATCH(questions[[#This Row],[qno]],stable[qno],0)),similarity_range)</f>
        <v>Did you use chemical</v>
      </c>
      <c r="AR936" s="98" t="b">
        <f>questions[[#This Row],[question_first_characters]]=questions[[#This Row],[stability_first_characters]]</f>
        <v>1</v>
      </c>
      <c r="AS936" s="98" t="b">
        <f>IF(OR(questions[[#This Row],[is_single_select]],questions[[#This Row],[is_multi_select]]),NOT(ISBLANK(questions[[#This Row],[answer_opt_combined]])),TRUE)</f>
        <v>1</v>
      </c>
    </row>
    <row r="937" spans="1:45" s="77" customFormat="1" ht="15.75" customHeight="1" x14ac:dyDescent="0.25">
      <c r="A937" s="77" t="str">
        <f>_xlfn.TEXTJOIN("_",TRUE,questions[[#This Row],[origin]:[qno]])</f>
        <v>Uganda_Robusta_Nespresso_7241</v>
      </c>
      <c r="B937" s="77" t="s">
        <v>511</v>
      </c>
      <c r="C937" s="77" t="s">
        <v>674</v>
      </c>
      <c r="D937" s="77" t="s">
        <v>864</v>
      </c>
      <c r="F937" s="104" t="s">
        <v>396</v>
      </c>
      <c r="G937" s="78" t="s">
        <v>397</v>
      </c>
      <c r="H937" s="9" t="str" cm="1">
        <f t="array" ref="H937">INDEX(stableR[question],MATCH(VALUE(questions[[#This Row],[qno]]),VALUE(stableR[qno]),0))</f>
        <v>If yes, list the names of all the pesticides and/or fungicides that you used, last year.</v>
      </c>
      <c r="I937" s="9" t="b" cm="1">
        <f t="array" ref="I937">INDEX(stable[is_fixed],MATCH(VALUE(questions[[#This Row],[qno]]),VALUE(stable[qno]),0))</f>
        <v>1</v>
      </c>
      <c r="J937" s="9" t="b" cm="1">
        <f t="array" ref="J937">INDEX(stable[is_localized],MATCH(VALUE(questions[[#This Row],[qno]]),VALUE(stable[qno]),0))</f>
        <v>0</v>
      </c>
      <c r="K937" s="9" t="b" cm="1">
        <f t="array" ref="K937">INDEX(stable[is_supply_chain_dependent],MATCH(VALUE(questions[[#This Row],[qno]]),VALUE(stable[qno]),0))</f>
        <v>0</v>
      </c>
      <c r="L937" s="9" t="b" cm="1">
        <f t="array" ref="L937">INDEX(stable[is_mandatory],MATCH(VALUE(questions[[#This Row],[qno]]),VALUE(stable[qno]),0))</f>
        <v>0</v>
      </c>
      <c r="M937" s="9" t="b" cm="1">
        <f t="array" ref="M937">INDEX(stable[is_automated],MATCH(VALUE(questions[[#This Row],[qno]]),VALUE(stable[qno]),0))</f>
        <v>0</v>
      </c>
      <c r="N937" s="9" t="b" cm="1">
        <f t="array" ref="N937">INDEX(stable[is_free_text],MATCH(VALUE(questions[[#This Row],[qno]]),VALUE(stable[qno]),0))</f>
        <v>0</v>
      </c>
      <c r="O937" s="9" t="b" cm="1">
        <f t="array" ref="O937">INDEX(stable[is_numerical],MATCH(VALUE(questions[[#This Row],[qno]]),VALUE(stable[qno]),0))</f>
        <v>0</v>
      </c>
      <c r="P937" s="77" t="b" cm="1">
        <f t="array" ref="P937">INDEX(stable[is_single_select],MATCH(VALUE(questions[[#This Row],[qno]]),VALUE(stable[qno]),0))</f>
        <v>1</v>
      </c>
      <c r="Q937" s="77" t="b" cm="1">
        <f t="array" ref="Q937">INDEX(stable[is_multi_select],MATCH(VALUE(questions[[#This Row],[qno]]),VALUE(stable[qno]),0))</f>
        <v>0</v>
      </c>
      <c r="R937" s="77" t="b" cm="1">
        <f t="array" ref="R937">INDEX(stable[is_skip_logic],MATCH(VALUE(questions[[#This Row],[qno]]),VALUE(stable[qno]),0))</f>
        <v>1</v>
      </c>
      <c r="S937" s="77" t="str">
        <f>_xlfn.TEXTJOIN(", ",TRUE,questions[[#This Row],[ans_opt_1]:[ans_opt_14]])</f>
        <v>Yes, No</v>
      </c>
      <c r="T937" s="77" t="s">
        <v>149</v>
      </c>
      <c r="U937" s="77" t="s">
        <v>119</v>
      </c>
      <c r="AH937" s="98" t="b">
        <f>INDEX(stable[q_standard],MATCH(questions[[#This Row],[qno]],stable[qno],0))</f>
        <v>0</v>
      </c>
      <c r="AI937" s="98" t="b">
        <f>INDEX(stable[q_living_income],MATCH(questions[[#This Row],[qno]],stable[qno],0))</f>
        <v>0</v>
      </c>
      <c r="AJ937" s="98" t="b">
        <f>INDEX(stable[q_carbon],MATCH(questions[[#This Row],[qno]],stable[qno],0))</f>
        <v>0</v>
      </c>
      <c r="AK937" s="98" t="b">
        <f>INDEX(stable[q_regen_ag],MATCH(questions[[#This Row],[qno]],stable[qno],0))</f>
        <v>1</v>
      </c>
      <c r="AL937" s="98" t="b">
        <f>COUNTIFS(stable[qno],questions[[#This Row],[qno]])=1</f>
        <v>1</v>
      </c>
      <c r="AM937" s="98" t="b">
        <f>OR(questions[[#This Row],[is_fixed]],questions[[#This Row],[is_localized]],questions[[#This Row],[is_supply_chain_dependent]])</f>
        <v>1</v>
      </c>
      <c r="AN937" s="98" t="b">
        <f>COUNTIFS(questions[[#This Row],[is_automated]:[is_multi_select]],TRUE)=1</f>
        <v>1</v>
      </c>
      <c r="AO937" s="98" t="b">
        <f>IF(questions[[#This Row],[is_fixed]],questions[[#This Row],[question]]=INDEX(stable[question],MATCH(questions[[#This Row],[qno]],stable[qno],0)),TRUE)</f>
        <v>0</v>
      </c>
      <c r="AP937" s="98" t="str">
        <f>LEFT(questions[[#This Row],[question]],similarity_range)</f>
        <v>If you apply chemica</v>
      </c>
      <c r="AQ937" s="98" t="str">
        <f>LEFT(INDEX(stable[question],MATCH(questions[[#This Row],[qno]],stable[qno],0)),similarity_range)</f>
        <v>If you apply chemica</v>
      </c>
      <c r="AR937" s="98" t="b">
        <f>questions[[#This Row],[question_first_characters]]=questions[[#This Row],[stability_first_characters]]</f>
        <v>1</v>
      </c>
      <c r="AS937" s="98" t="b">
        <f>IF(OR(questions[[#This Row],[is_single_select]],questions[[#This Row],[is_multi_select]]),NOT(ISBLANK(questions[[#This Row],[answer_opt_combined]])),TRUE)</f>
        <v>1</v>
      </c>
    </row>
    <row r="938" spans="1:45" s="77" customFormat="1" ht="15.75" customHeight="1" x14ac:dyDescent="0.25">
      <c r="A938" s="77" t="str">
        <f>_xlfn.TEXTJOIN("_",TRUE,questions[[#This Row],[origin]:[qno]])</f>
        <v>Uganda_Robusta_Nespresso_7242</v>
      </c>
      <c r="B938" s="77" t="s">
        <v>511</v>
      </c>
      <c r="C938" s="77" t="s">
        <v>674</v>
      </c>
      <c r="D938" s="77" t="s">
        <v>864</v>
      </c>
      <c r="F938" s="104" t="s">
        <v>398</v>
      </c>
      <c r="G938" s="78" t="s">
        <v>801</v>
      </c>
      <c r="H938" s="9" t="str" cm="1">
        <f t="array" ref="H938">INDEX(stableR[question],MATCH(VALUE(questions[[#This Row],[qno]]),VALUE(stableR[qno]),0))</f>
        <v>If you apply chemical PPPs, are you aware of the IPM-Integrated Pest Management concept and practices (e.g. pest-disease identification and monitoring, right moment for control, use of a combination of biological, cultural, physical/mechanical and chemical tools to prevent and control)?</v>
      </c>
      <c r="I938" s="9" t="b" cm="1">
        <f t="array" ref="I938">INDEX(stable[is_fixed],MATCH(VALUE(questions[[#This Row],[qno]]),VALUE(stable[qno]),0))</f>
        <v>1</v>
      </c>
      <c r="J938" s="9" t="b" cm="1">
        <f t="array" ref="J938">INDEX(stable[is_localized],MATCH(VALUE(questions[[#This Row],[qno]]),VALUE(stable[qno]),0))</f>
        <v>0</v>
      </c>
      <c r="K938" s="9" t="b" cm="1">
        <f t="array" ref="K938">INDEX(stable[is_supply_chain_dependent],MATCH(VALUE(questions[[#This Row],[qno]]),VALUE(stable[qno]),0))</f>
        <v>0</v>
      </c>
      <c r="L938" s="9" t="b" cm="1">
        <f t="array" ref="L938">INDEX(stable[is_mandatory],MATCH(VALUE(questions[[#This Row],[qno]]),VALUE(stable[qno]),0))</f>
        <v>0</v>
      </c>
      <c r="M938" s="9" t="b" cm="1">
        <f t="array" ref="M938">INDEX(stable[is_automated],MATCH(VALUE(questions[[#This Row],[qno]]),VALUE(stable[qno]),0))</f>
        <v>0</v>
      </c>
      <c r="N938" s="9" t="b" cm="1">
        <f t="array" ref="N938">INDEX(stable[is_free_text],MATCH(VALUE(questions[[#This Row],[qno]]),VALUE(stable[qno]),0))</f>
        <v>0</v>
      </c>
      <c r="O938" s="9" t="b" cm="1">
        <f t="array" ref="O938">INDEX(stable[is_numerical],MATCH(VALUE(questions[[#This Row],[qno]]),VALUE(stable[qno]),0))</f>
        <v>0</v>
      </c>
      <c r="P938" s="77" t="b" cm="1">
        <f t="array" ref="P938">INDEX(stable[is_single_select],MATCH(VALUE(questions[[#This Row],[qno]]),VALUE(stable[qno]),0))</f>
        <v>1</v>
      </c>
      <c r="Q938" s="77" t="b" cm="1">
        <f t="array" ref="Q938">INDEX(stable[is_multi_select],MATCH(VALUE(questions[[#This Row],[qno]]),VALUE(stable[qno]),0))</f>
        <v>0</v>
      </c>
      <c r="R938" s="77" t="b" cm="1">
        <f t="array" ref="R938">INDEX(stable[is_skip_logic],MATCH(VALUE(questions[[#This Row],[qno]]),VALUE(stable[qno]),0))</f>
        <v>1</v>
      </c>
      <c r="S938" s="77" t="str">
        <f>_xlfn.TEXTJOIN(", ",TRUE,questions[[#This Row],[ans_opt_1]:[ans_opt_14]])</f>
        <v>Yes, No</v>
      </c>
      <c r="T938" s="77" t="s">
        <v>149</v>
      </c>
      <c r="U938" s="77" t="s">
        <v>119</v>
      </c>
      <c r="AH938" s="98" t="b">
        <f>INDEX(stable[q_standard],MATCH(questions[[#This Row],[qno]],stable[qno],0))</f>
        <v>0</v>
      </c>
      <c r="AI938" s="98" t="b">
        <f>INDEX(stable[q_living_income],MATCH(questions[[#This Row],[qno]],stable[qno],0))</f>
        <v>0</v>
      </c>
      <c r="AJ938" s="98" t="b">
        <f>INDEX(stable[q_carbon],MATCH(questions[[#This Row],[qno]],stable[qno],0))</f>
        <v>0</v>
      </c>
      <c r="AK938" s="98" t="b">
        <f>INDEX(stable[q_regen_ag],MATCH(questions[[#This Row],[qno]],stable[qno],0))</f>
        <v>1</v>
      </c>
      <c r="AL938" s="98" t="b">
        <f>COUNTIFS(stable[qno],questions[[#This Row],[qno]])=1</f>
        <v>1</v>
      </c>
      <c r="AM938" s="98" t="b">
        <f>OR(questions[[#This Row],[is_fixed]],questions[[#This Row],[is_localized]],questions[[#This Row],[is_supply_chain_dependent]])</f>
        <v>1</v>
      </c>
      <c r="AN938" s="98" t="b">
        <f>COUNTIFS(questions[[#This Row],[is_automated]:[is_multi_select]],TRUE)=1</f>
        <v>1</v>
      </c>
      <c r="AO938" s="98" t="b">
        <f>IF(questions[[#This Row],[is_fixed]],questions[[#This Row],[question]]=INDEX(stable[question],MATCH(questions[[#This Row],[qno]],stable[qno],0)),TRUE)</f>
        <v>0</v>
      </c>
      <c r="AP938" s="98" t="str">
        <f>LEFT(questions[[#This Row],[question]],similarity_range)</f>
        <v>If you apply chemica</v>
      </c>
      <c r="AQ938" s="98" t="str">
        <f>LEFT(INDEX(stable[question],MATCH(questions[[#This Row],[qno]],stable[qno],0)),similarity_range)</f>
        <v>If you apply chemica</v>
      </c>
      <c r="AR938" s="98" t="b">
        <f>questions[[#This Row],[question_first_characters]]=questions[[#This Row],[stability_first_characters]]</f>
        <v>1</v>
      </c>
      <c r="AS938" s="98" t="b">
        <f>IF(OR(questions[[#This Row],[is_single_select]],questions[[#This Row],[is_multi_select]]),NOT(ISBLANK(questions[[#This Row],[answer_opt_combined]])),TRUE)</f>
        <v>1</v>
      </c>
    </row>
    <row r="939" spans="1:45" s="77" customFormat="1" ht="15.75" customHeight="1" x14ac:dyDescent="0.25">
      <c r="A939" s="77" t="str">
        <f>_xlfn.TEXTJOIN("_",TRUE,questions[[#This Row],[origin]:[qno]])</f>
        <v>Uganda_Robusta_Nespresso_7243</v>
      </c>
      <c r="B939" s="77" t="s">
        <v>511</v>
      </c>
      <c r="C939" s="77" t="s">
        <v>674</v>
      </c>
      <c r="D939" s="77" t="s">
        <v>864</v>
      </c>
      <c r="F939" s="104" t="s">
        <v>400</v>
      </c>
      <c r="G939" s="78" t="s">
        <v>401</v>
      </c>
      <c r="H939" s="9" t="str" cm="1">
        <f t="array" ref="H939">INDEX(stableR[question],MATCH(VALUE(questions[[#This Row],[qno]]),VALUE(stableR[qno]),0))</f>
        <v>If you apply chemical PPPs, do you apply IPM principles and practices to prevent and control pest &amp; diseases and reduce the use of chemical PPPs?</v>
      </c>
      <c r="I939" s="9" t="b" cm="1">
        <f t="array" ref="I939">INDEX(stable[is_fixed],MATCH(VALUE(questions[[#This Row],[qno]]),VALUE(stable[qno]),0))</f>
        <v>1</v>
      </c>
      <c r="J939" s="9" t="b" cm="1">
        <f t="array" ref="J939">INDEX(stable[is_localized],MATCH(VALUE(questions[[#This Row],[qno]]),VALUE(stable[qno]),0))</f>
        <v>0</v>
      </c>
      <c r="K939" s="9" t="b" cm="1">
        <f t="array" ref="K939">INDEX(stable[is_supply_chain_dependent],MATCH(VALUE(questions[[#This Row],[qno]]),VALUE(stable[qno]),0))</f>
        <v>0</v>
      </c>
      <c r="L939" s="9" t="b" cm="1">
        <f t="array" ref="L939">INDEX(stable[is_mandatory],MATCH(VALUE(questions[[#This Row],[qno]]),VALUE(stable[qno]),0))</f>
        <v>0</v>
      </c>
      <c r="M939" s="9" t="b" cm="1">
        <f t="array" ref="M939">INDEX(stable[is_automated],MATCH(VALUE(questions[[#This Row],[qno]]),VALUE(stable[qno]),0))</f>
        <v>0</v>
      </c>
      <c r="N939" s="9" t="b" cm="1">
        <f t="array" ref="N939">INDEX(stable[is_free_text],MATCH(VALUE(questions[[#This Row],[qno]]),VALUE(stable[qno]),0))</f>
        <v>0</v>
      </c>
      <c r="O939" s="9" t="b" cm="1">
        <f t="array" ref="O939">INDEX(stable[is_numerical],MATCH(VALUE(questions[[#This Row],[qno]]),VALUE(stable[qno]),0))</f>
        <v>0</v>
      </c>
      <c r="P939" s="77" t="b" cm="1">
        <f t="array" ref="P939">INDEX(stable[is_single_select],MATCH(VALUE(questions[[#This Row],[qno]]),VALUE(stable[qno]),0))</f>
        <v>1</v>
      </c>
      <c r="Q939" s="77" t="b" cm="1">
        <f t="array" ref="Q939">INDEX(stable[is_multi_select],MATCH(VALUE(questions[[#This Row],[qno]]),VALUE(stable[qno]),0))</f>
        <v>0</v>
      </c>
      <c r="R939" s="77" t="b" cm="1">
        <f t="array" ref="R939">INDEX(stable[is_skip_logic],MATCH(VALUE(questions[[#This Row],[qno]]),VALUE(stable[qno]),0))</f>
        <v>1</v>
      </c>
      <c r="S939" s="77" t="str">
        <f>_xlfn.TEXTJOIN(", ",TRUE,questions[[#This Row],[ans_opt_1]:[ans_opt_14]])</f>
        <v>Yes, No</v>
      </c>
      <c r="T939" s="77" t="s">
        <v>149</v>
      </c>
      <c r="U939" s="77" t="s">
        <v>119</v>
      </c>
      <c r="AH939" s="98" t="b">
        <f>INDEX(stable[q_standard],MATCH(questions[[#This Row],[qno]],stable[qno],0))</f>
        <v>0</v>
      </c>
      <c r="AI939" s="98" t="b">
        <f>INDEX(stable[q_living_income],MATCH(questions[[#This Row],[qno]],stable[qno],0))</f>
        <v>0</v>
      </c>
      <c r="AJ939" s="98" t="b">
        <f>INDEX(stable[q_carbon],MATCH(questions[[#This Row],[qno]],stable[qno],0))</f>
        <v>0</v>
      </c>
      <c r="AK939" s="98" t="b">
        <f>INDEX(stable[q_regen_ag],MATCH(questions[[#This Row],[qno]],stable[qno],0))</f>
        <v>1</v>
      </c>
      <c r="AL939" s="98" t="b">
        <f>COUNTIFS(stable[qno],questions[[#This Row],[qno]])=1</f>
        <v>1</v>
      </c>
      <c r="AM939" s="98" t="b">
        <f>OR(questions[[#This Row],[is_fixed]],questions[[#This Row],[is_localized]],questions[[#This Row],[is_supply_chain_dependent]])</f>
        <v>1</v>
      </c>
      <c r="AN939" s="98" t="b">
        <f>COUNTIFS(questions[[#This Row],[is_automated]:[is_multi_select]],TRUE)=1</f>
        <v>1</v>
      </c>
      <c r="AO939" s="98" t="b">
        <f>IF(questions[[#This Row],[is_fixed]],questions[[#This Row],[question]]=INDEX(stable[question],MATCH(questions[[#This Row],[qno]],stable[qno],0)),TRUE)</f>
        <v>0</v>
      </c>
      <c r="AP939" s="98" t="str">
        <f>LEFT(questions[[#This Row],[question]],similarity_range)</f>
        <v>If you apply chemica</v>
      </c>
      <c r="AQ939" s="98" t="str">
        <f>LEFT(INDEX(stable[question],MATCH(questions[[#This Row],[qno]],stable[qno],0)),similarity_range)</f>
        <v>If you apply chemica</v>
      </c>
      <c r="AR939" s="98" t="b">
        <f>questions[[#This Row],[question_first_characters]]=questions[[#This Row],[stability_first_characters]]</f>
        <v>1</v>
      </c>
      <c r="AS939" s="98" t="b">
        <f>IF(OR(questions[[#This Row],[is_single_select]],questions[[#This Row],[is_multi_select]]),NOT(ISBLANK(questions[[#This Row],[answer_opt_combined]])),TRUE)</f>
        <v>1</v>
      </c>
    </row>
    <row r="940" spans="1:45" s="77" customFormat="1" ht="15.75" customHeight="1" x14ac:dyDescent="0.25">
      <c r="A940" s="77" t="str">
        <f>_xlfn.TEXTJOIN("_",TRUE,questions[[#This Row],[origin]:[qno]])</f>
        <v>Uganda_Robusta_Nespresso_7244</v>
      </c>
      <c r="B940" s="77" t="s">
        <v>511</v>
      </c>
      <c r="C940" s="77" t="s">
        <v>674</v>
      </c>
      <c r="D940" s="77" t="s">
        <v>864</v>
      </c>
      <c r="F940" s="104" t="s">
        <v>402</v>
      </c>
      <c r="G940" s="78" t="s">
        <v>803</v>
      </c>
      <c r="H940" s="9" t="str" cm="1">
        <f t="array" ref="H940">INDEX(stableR[question],MATCH(VALUE(questions[[#This Row],[qno]]),VALUE(stableR[qno]),0))</f>
        <v>If you apply chemical PPPs, can you prove/show that all are locally authorized for coffee (e.g. coffee is in the product label), and that you respect the recommended dose and post-harvest intervals of the label of the product?</v>
      </c>
      <c r="I940" s="9" t="b" cm="1">
        <f t="array" ref="I940">INDEX(stable[is_fixed],MATCH(VALUE(questions[[#This Row],[qno]]),VALUE(stable[qno]),0))</f>
        <v>1</v>
      </c>
      <c r="J940" s="9" t="b" cm="1">
        <f t="array" ref="J940">INDEX(stable[is_localized],MATCH(VALUE(questions[[#This Row],[qno]]),VALUE(stable[qno]),0))</f>
        <v>0</v>
      </c>
      <c r="K940" s="9" t="b" cm="1">
        <f t="array" ref="K940">INDEX(stable[is_supply_chain_dependent],MATCH(VALUE(questions[[#This Row],[qno]]),VALUE(stable[qno]),0))</f>
        <v>0</v>
      </c>
      <c r="L940" s="9" t="b" cm="1">
        <f t="array" ref="L940">INDEX(stable[is_mandatory],MATCH(VALUE(questions[[#This Row],[qno]]),VALUE(stable[qno]),0))</f>
        <v>0</v>
      </c>
      <c r="M940" s="9" t="b" cm="1">
        <f t="array" ref="M940">INDEX(stable[is_automated],MATCH(VALUE(questions[[#This Row],[qno]]),VALUE(stable[qno]),0))</f>
        <v>0</v>
      </c>
      <c r="N940" s="9" t="b" cm="1">
        <f t="array" ref="N940">INDEX(stable[is_free_text],MATCH(VALUE(questions[[#This Row],[qno]]),VALUE(stable[qno]),0))</f>
        <v>0</v>
      </c>
      <c r="O940" s="9" t="b" cm="1">
        <f t="array" ref="O940">INDEX(stable[is_numerical],MATCH(VALUE(questions[[#This Row],[qno]]),VALUE(stable[qno]),0))</f>
        <v>0</v>
      </c>
      <c r="P940" s="77" t="b" cm="1">
        <f t="array" ref="P940">INDEX(stable[is_single_select],MATCH(VALUE(questions[[#This Row],[qno]]),VALUE(stable[qno]),0))</f>
        <v>1</v>
      </c>
      <c r="Q940" s="77" t="b" cm="1">
        <f t="array" ref="Q940">INDEX(stable[is_multi_select],MATCH(VALUE(questions[[#This Row],[qno]]),VALUE(stable[qno]),0))</f>
        <v>0</v>
      </c>
      <c r="R940" s="77" t="b" cm="1">
        <f t="array" ref="R940">INDEX(stable[is_skip_logic],MATCH(VALUE(questions[[#This Row],[qno]]),VALUE(stable[qno]),0))</f>
        <v>1</v>
      </c>
      <c r="S940" s="77" t="str">
        <f>_xlfn.TEXTJOIN(", ",TRUE,questions[[#This Row],[ans_opt_1]:[ans_opt_14]])</f>
        <v>1, 2, 3, 4, 5, &gt;5</v>
      </c>
      <c r="T940" s="77">
        <v>1</v>
      </c>
      <c r="U940" s="77">
        <v>2</v>
      </c>
      <c r="V940" s="77">
        <v>3</v>
      </c>
      <c r="W940" s="77">
        <v>4</v>
      </c>
      <c r="X940" s="77">
        <v>5</v>
      </c>
      <c r="Y940" s="77" t="s">
        <v>404</v>
      </c>
      <c r="AH940" s="98" t="b">
        <f>INDEX(stable[q_standard],MATCH(questions[[#This Row],[qno]],stable[qno],0))</f>
        <v>0</v>
      </c>
      <c r="AI940" s="98" t="b">
        <f>INDEX(stable[q_living_income],MATCH(questions[[#This Row],[qno]],stable[qno],0))</f>
        <v>0</v>
      </c>
      <c r="AJ940" s="98" t="b">
        <f>INDEX(stable[q_carbon],MATCH(questions[[#This Row],[qno]],stable[qno],0))</f>
        <v>0</v>
      </c>
      <c r="AK940" s="98" t="b">
        <f>INDEX(stable[q_regen_ag],MATCH(questions[[#This Row],[qno]],stable[qno],0))</f>
        <v>1</v>
      </c>
      <c r="AL940" s="98" t="b">
        <f>COUNTIFS(stable[qno],questions[[#This Row],[qno]])=1</f>
        <v>1</v>
      </c>
      <c r="AM940" s="98" t="b">
        <f>OR(questions[[#This Row],[is_fixed]],questions[[#This Row],[is_localized]],questions[[#This Row],[is_supply_chain_dependent]])</f>
        <v>1</v>
      </c>
      <c r="AN940" s="98" t="b">
        <f>COUNTIFS(questions[[#This Row],[is_automated]:[is_multi_select]],TRUE)=1</f>
        <v>1</v>
      </c>
      <c r="AO940" s="98" t="b">
        <f>IF(questions[[#This Row],[is_fixed]],questions[[#This Row],[question]]=INDEX(stable[question],MATCH(questions[[#This Row],[qno]],stable[qno],0)),TRUE)</f>
        <v>0</v>
      </c>
      <c r="AP940" s="98" t="str">
        <f>LEFT(questions[[#This Row],[question]],similarity_range)</f>
        <v>If you apply chemica</v>
      </c>
      <c r="AQ940" s="98" t="str">
        <f>LEFT(INDEX(stable[question],MATCH(questions[[#This Row],[qno]],stable[qno],0)),similarity_range)</f>
        <v>If you apply chemica</v>
      </c>
      <c r="AR940" s="98" t="b">
        <f>questions[[#This Row],[question_first_characters]]=questions[[#This Row],[stability_first_characters]]</f>
        <v>1</v>
      </c>
      <c r="AS940" s="98" t="b">
        <f>IF(OR(questions[[#This Row],[is_single_select]],questions[[#This Row],[is_multi_select]]),NOT(ISBLANK(questions[[#This Row],[answer_opt_combined]])),TRUE)</f>
        <v>1</v>
      </c>
    </row>
    <row r="941" spans="1:45" s="77" customFormat="1" ht="15.75" customHeight="1" x14ac:dyDescent="0.25">
      <c r="A941" s="77" t="str">
        <f>_xlfn.TEXTJOIN("_",TRUE,questions[[#This Row],[origin]:[qno]])</f>
        <v>Uganda_Robusta_Nespresso_7245</v>
      </c>
      <c r="B941" s="77" t="s">
        <v>511</v>
      </c>
      <c r="C941" s="77" t="s">
        <v>674</v>
      </c>
      <c r="D941" s="77" t="s">
        <v>864</v>
      </c>
      <c r="F941" s="104" t="s">
        <v>405</v>
      </c>
      <c r="G941" s="78" t="s">
        <v>406</v>
      </c>
      <c r="H941" s="9" t="str" cm="1">
        <f t="array" ref="H941">INDEX(stableR[question],MATCH(VALUE(questions[[#This Row],[qno]]),VALUE(stableR[qno]),0))</f>
        <v>If you apply chemical PPPs to control pests and diseases in your farm, how many applications do you apply on average per year?</v>
      </c>
      <c r="I941" s="9" t="b" cm="1">
        <f t="array" ref="I941">INDEX(stable[is_fixed],MATCH(VALUE(questions[[#This Row],[qno]]),VALUE(stable[qno]),0))</f>
        <v>1</v>
      </c>
      <c r="J941" s="9" t="b" cm="1">
        <f t="array" ref="J941">INDEX(stable[is_localized],MATCH(VALUE(questions[[#This Row],[qno]]),VALUE(stable[qno]),0))</f>
        <v>0</v>
      </c>
      <c r="K941" s="9" t="b" cm="1">
        <f t="array" ref="K941">INDEX(stable[is_supply_chain_dependent],MATCH(VALUE(questions[[#This Row],[qno]]),VALUE(stable[qno]),0))</f>
        <v>0</v>
      </c>
      <c r="L941" s="9" t="b" cm="1">
        <f t="array" ref="L941">INDEX(stable[is_mandatory],MATCH(VALUE(questions[[#This Row],[qno]]),VALUE(stable[qno]),0))</f>
        <v>0</v>
      </c>
      <c r="M941" s="9" t="b" cm="1">
        <f t="array" ref="M941">INDEX(stable[is_automated],MATCH(VALUE(questions[[#This Row],[qno]]),VALUE(stable[qno]),0))</f>
        <v>0</v>
      </c>
      <c r="N941" s="9" t="b" cm="1">
        <f t="array" ref="N941">INDEX(stable[is_free_text],MATCH(VALUE(questions[[#This Row],[qno]]),VALUE(stable[qno]),0))</f>
        <v>0</v>
      </c>
      <c r="O941" s="9" t="b" cm="1">
        <f t="array" ref="O941">INDEX(stable[is_numerical],MATCH(VALUE(questions[[#This Row],[qno]]),VALUE(stable[qno]),0))</f>
        <v>0</v>
      </c>
      <c r="P941" s="77" t="b" cm="1">
        <f t="array" ref="P941">INDEX(stable[is_single_select],MATCH(VALUE(questions[[#This Row],[qno]]),VALUE(stable[qno]),0))</f>
        <v>1</v>
      </c>
      <c r="Q941" s="77" t="b" cm="1">
        <f t="array" ref="Q941">INDEX(stable[is_multi_select],MATCH(VALUE(questions[[#This Row],[qno]]),VALUE(stable[qno]),0))</f>
        <v>0</v>
      </c>
      <c r="R941" s="77" t="b" cm="1">
        <f t="array" ref="R941">INDEX(stable[is_skip_logic],MATCH(VALUE(questions[[#This Row],[qno]]),VALUE(stable[qno]),0))</f>
        <v>1</v>
      </c>
      <c r="S941" s="77" t="str">
        <f>_xlfn.TEXTJOIN(", ",TRUE,questions[[#This Row],[ans_opt_1]:[ans_opt_14]])</f>
        <v>Increased - pest/disease pressure, Increased - weather conditions, Increased - pest/disease resistance, Decreased - pest/disease pressure, Decreased - adverse weather conditions, Decreased - increased cost, Decreased - replaced by regenerative agriculture</v>
      </c>
      <c r="T941" s="77" t="s">
        <v>407</v>
      </c>
      <c r="U941" s="77" t="s">
        <v>408</v>
      </c>
      <c r="V941" s="77" t="s">
        <v>409</v>
      </c>
      <c r="W941" s="77" t="s">
        <v>410</v>
      </c>
      <c r="X941" s="77" t="s">
        <v>411</v>
      </c>
      <c r="Y941" s="77" t="s">
        <v>412</v>
      </c>
      <c r="Z941" s="77" t="s">
        <v>413</v>
      </c>
      <c r="AH941" s="98" t="b">
        <f>INDEX(stable[q_standard],MATCH(questions[[#This Row],[qno]],stable[qno],0))</f>
        <v>0</v>
      </c>
      <c r="AI941" s="98" t="b">
        <f>INDEX(stable[q_living_income],MATCH(questions[[#This Row],[qno]],stable[qno],0))</f>
        <v>0</v>
      </c>
      <c r="AJ941" s="98" t="b">
        <f>INDEX(stable[q_carbon],MATCH(questions[[#This Row],[qno]],stable[qno],0))</f>
        <v>0</v>
      </c>
      <c r="AK941" s="98" t="b">
        <f>INDEX(stable[q_regen_ag],MATCH(questions[[#This Row],[qno]],stable[qno],0))</f>
        <v>1</v>
      </c>
      <c r="AL941" s="98" t="b">
        <f>COUNTIFS(stable[qno],questions[[#This Row],[qno]])=1</f>
        <v>1</v>
      </c>
      <c r="AM941" s="98" t="b">
        <f>OR(questions[[#This Row],[is_fixed]],questions[[#This Row],[is_localized]],questions[[#This Row],[is_supply_chain_dependent]])</f>
        <v>1</v>
      </c>
      <c r="AN941" s="98" t="b">
        <f>COUNTIFS(questions[[#This Row],[is_automated]:[is_multi_select]],TRUE)=1</f>
        <v>1</v>
      </c>
      <c r="AO941" s="98" t="b">
        <f>IF(questions[[#This Row],[is_fixed]],questions[[#This Row],[question]]=INDEX(stable[question],MATCH(questions[[#This Row],[qno]],stable[qno],0)),TRUE)</f>
        <v>0</v>
      </c>
      <c r="AP941" s="98" t="str">
        <f>LEFT(questions[[#This Row],[question]],similarity_range)</f>
        <v>Have you decreased o</v>
      </c>
      <c r="AQ941" s="98" t="str">
        <f>LEFT(INDEX(stable[question],MATCH(questions[[#This Row],[qno]],stable[qno],0)),similarity_range)</f>
        <v>Have you decreased o</v>
      </c>
      <c r="AR941" s="98" t="b">
        <f>questions[[#This Row],[question_first_characters]]=questions[[#This Row],[stability_first_characters]]</f>
        <v>1</v>
      </c>
      <c r="AS941" s="98" t="b">
        <f>IF(OR(questions[[#This Row],[is_single_select]],questions[[#This Row],[is_multi_select]]),NOT(ISBLANK(questions[[#This Row],[answer_opt_combined]])),TRUE)</f>
        <v>1</v>
      </c>
    </row>
    <row r="942" spans="1:45" s="77" customFormat="1" ht="15.75" customHeight="1" x14ac:dyDescent="0.25">
      <c r="A942" s="77" t="str">
        <f>_xlfn.TEXTJOIN("_",TRUE,questions[[#This Row],[origin]:[qno]])</f>
        <v>Uganda_Robusta_Nespresso_7250</v>
      </c>
      <c r="B942" s="77" t="s">
        <v>511</v>
      </c>
      <c r="C942" s="77" t="s">
        <v>674</v>
      </c>
      <c r="D942" s="77" t="s">
        <v>864</v>
      </c>
      <c r="F942" s="104" t="s">
        <v>414</v>
      </c>
      <c r="G942" s="78" t="s">
        <v>415</v>
      </c>
      <c r="H942" s="9" t="str" cm="1">
        <f t="array" ref="H942">INDEX(stableR[question],MATCH(VALUE(questions[[#This Row],[qno]]),VALUE(stableR[qno]),0))</f>
        <v>Do you apply chemical herbicides to your coffee crop and how many (different active ingredients) per crop season?</v>
      </c>
      <c r="I942" s="9" t="b" cm="1">
        <f t="array" ref="I942">INDEX(stable[is_fixed],MATCH(VALUE(questions[[#This Row],[qno]]),VALUE(stable[qno]),0))</f>
        <v>1</v>
      </c>
      <c r="J942" s="9" t="b" cm="1">
        <f t="array" ref="J942">INDEX(stable[is_localized],MATCH(VALUE(questions[[#This Row],[qno]]),VALUE(stable[qno]),0))</f>
        <v>0</v>
      </c>
      <c r="K942" s="9" t="b" cm="1">
        <f t="array" ref="K942">INDEX(stable[is_supply_chain_dependent],MATCH(VALUE(questions[[#This Row],[qno]]),VALUE(stable[qno]),0))</f>
        <v>0</v>
      </c>
      <c r="L942" s="9" t="b" cm="1">
        <f t="array" ref="L942">INDEX(stable[is_mandatory],MATCH(VALUE(questions[[#This Row],[qno]]),VALUE(stable[qno]),0))</f>
        <v>1</v>
      </c>
      <c r="M942" s="9" t="b" cm="1">
        <f t="array" ref="M942">INDEX(stable[is_automated],MATCH(VALUE(questions[[#This Row],[qno]]),VALUE(stable[qno]),0))</f>
        <v>0</v>
      </c>
      <c r="N942" s="9" t="b" cm="1">
        <f t="array" ref="N942">INDEX(stable[is_free_text],MATCH(VALUE(questions[[#This Row],[qno]]),VALUE(stable[qno]),0))</f>
        <v>0</v>
      </c>
      <c r="O942" s="9" t="b" cm="1">
        <f t="array" ref="O942">INDEX(stable[is_numerical],MATCH(VALUE(questions[[#This Row],[qno]]),VALUE(stable[qno]),0))</f>
        <v>0</v>
      </c>
      <c r="P942" s="77" t="b" cm="1">
        <f t="array" ref="P942">INDEX(stable[is_single_select],MATCH(VALUE(questions[[#This Row],[qno]]),VALUE(stable[qno]),0))</f>
        <v>1</v>
      </c>
      <c r="Q942" s="77" t="b" cm="1">
        <f t="array" ref="Q942">INDEX(stable[is_multi_select],MATCH(VALUE(questions[[#This Row],[qno]]),VALUE(stable[qno]),0))</f>
        <v>0</v>
      </c>
      <c r="R942" s="77" t="b" cm="1">
        <f t="array" ref="R942">INDEX(stable[is_skip_logic],MATCH(VALUE(questions[[#This Row],[qno]]),VALUE(stable[qno]),0))</f>
        <v>1</v>
      </c>
      <c r="S942" s="77" t="str">
        <f>_xlfn.TEXTJOIN(", ",TRUE,questions[[#This Row],[ans_opt_1]:[ans_opt_14]])</f>
        <v>No, Yes / 1-2 herbicides (active ingredients), Yes / 3-4 herbicides (active ingredients), Yes / &gt;=5 herbicides (active ingredients)</v>
      </c>
      <c r="T942" s="77" t="s">
        <v>119</v>
      </c>
      <c r="U942" s="77" t="s">
        <v>416</v>
      </c>
      <c r="V942" s="77" t="s">
        <v>417</v>
      </c>
      <c r="W942" s="77" t="s">
        <v>418</v>
      </c>
      <c r="AH942" s="98" t="b">
        <f>INDEX(stable[q_standard],MATCH(questions[[#This Row],[qno]],stable[qno],0))</f>
        <v>0</v>
      </c>
      <c r="AI942" s="98" t="b">
        <f>INDEX(stable[q_living_income],MATCH(questions[[#This Row],[qno]],stable[qno],0))</f>
        <v>0</v>
      </c>
      <c r="AJ942" s="98" t="b">
        <f>INDEX(stable[q_carbon],MATCH(questions[[#This Row],[qno]],stable[qno],0))</f>
        <v>0</v>
      </c>
      <c r="AK942" s="98" t="b">
        <f>INDEX(stable[q_regen_ag],MATCH(questions[[#This Row],[qno]],stable[qno],0))</f>
        <v>1</v>
      </c>
      <c r="AL942" s="98" t="b">
        <f>COUNTIFS(stable[qno],questions[[#This Row],[qno]])=1</f>
        <v>1</v>
      </c>
      <c r="AM942" s="98" t="b">
        <f>OR(questions[[#This Row],[is_fixed]],questions[[#This Row],[is_localized]],questions[[#This Row],[is_supply_chain_dependent]])</f>
        <v>1</v>
      </c>
      <c r="AN942" s="98" t="b">
        <f>COUNTIFS(questions[[#This Row],[is_automated]:[is_multi_select]],TRUE)=1</f>
        <v>1</v>
      </c>
      <c r="AO942" s="98" t="b">
        <f>IF(questions[[#This Row],[is_fixed]],questions[[#This Row],[question]]=INDEX(stable[question],MATCH(questions[[#This Row],[qno]],stable[qno],0)),TRUE)</f>
        <v>0</v>
      </c>
      <c r="AP942" s="98" t="str">
        <f>LEFT(questions[[#This Row],[question]],similarity_range)</f>
        <v>Did you use herbicid</v>
      </c>
      <c r="AQ942" s="98" t="str">
        <f>LEFT(INDEX(stable[question],MATCH(questions[[#This Row],[qno]],stable[qno],0)),similarity_range)</f>
        <v>Did you use herbicid</v>
      </c>
      <c r="AR942" s="98" t="b">
        <f>questions[[#This Row],[question_first_characters]]=questions[[#This Row],[stability_first_characters]]</f>
        <v>1</v>
      </c>
      <c r="AS942" s="98" t="b">
        <f>IF(OR(questions[[#This Row],[is_single_select]],questions[[#This Row],[is_multi_select]]),NOT(ISBLANK(questions[[#This Row],[answer_opt_combined]])),TRUE)</f>
        <v>1</v>
      </c>
    </row>
    <row r="943" spans="1:45" s="77" customFormat="1" ht="15.75" customHeight="1" x14ac:dyDescent="0.25">
      <c r="A943" s="77" t="str">
        <f>_xlfn.TEXTJOIN("_",TRUE,questions[[#This Row],[origin]:[qno]])</f>
        <v>Uganda_Robusta_Nespresso_7251</v>
      </c>
      <c r="B943" s="77" t="s">
        <v>511</v>
      </c>
      <c r="C943" s="77" t="s">
        <v>674</v>
      </c>
      <c r="D943" s="77" t="s">
        <v>864</v>
      </c>
      <c r="F943" s="104" t="s">
        <v>419</v>
      </c>
      <c r="G943" s="78" t="s">
        <v>420</v>
      </c>
      <c r="H943" s="9" t="str" cm="1">
        <f t="array" ref="H943">INDEX(stableR[question],MATCH(VALUE(questions[[#This Row],[qno]]),VALUE(stableR[qno]),0))</f>
        <v>If yes, list the names of all the herbicides that you used, last year.</v>
      </c>
      <c r="I943" s="9" t="b" cm="1">
        <f t="array" ref="I943">INDEX(stable[is_fixed],MATCH(VALUE(questions[[#This Row],[qno]]),VALUE(stable[qno]),0))</f>
        <v>1</v>
      </c>
      <c r="J943" s="9" t="b" cm="1">
        <f t="array" ref="J943">INDEX(stable[is_localized],MATCH(VALUE(questions[[#This Row],[qno]]),VALUE(stable[qno]),0))</f>
        <v>0</v>
      </c>
      <c r="K943" s="9" t="b" cm="1">
        <f t="array" ref="K943">INDEX(stable[is_supply_chain_dependent],MATCH(VALUE(questions[[#This Row],[qno]]),VALUE(stable[qno]),0))</f>
        <v>0</v>
      </c>
      <c r="L943" s="9" t="b" cm="1">
        <f t="array" ref="L943">INDEX(stable[is_mandatory],MATCH(VALUE(questions[[#This Row],[qno]]),VALUE(stable[qno]),0))</f>
        <v>0</v>
      </c>
      <c r="M943" s="9" t="b" cm="1">
        <f t="array" ref="M943">INDEX(stable[is_automated],MATCH(VALUE(questions[[#This Row],[qno]]),VALUE(stable[qno]),0))</f>
        <v>0</v>
      </c>
      <c r="N943" s="9" t="b" cm="1">
        <f t="array" ref="N943">INDEX(stable[is_free_text],MATCH(VALUE(questions[[#This Row],[qno]]),VALUE(stable[qno]),0))</f>
        <v>0</v>
      </c>
      <c r="O943" s="9" t="b" cm="1">
        <f t="array" ref="O943">INDEX(stable[is_numerical],MATCH(VALUE(questions[[#This Row],[qno]]),VALUE(stable[qno]),0))</f>
        <v>0</v>
      </c>
      <c r="P943" s="77" t="b" cm="1">
        <f t="array" ref="P943">INDEX(stable[is_single_select],MATCH(VALUE(questions[[#This Row],[qno]]),VALUE(stable[qno]),0))</f>
        <v>1</v>
      </c>
      <c r="Q943" s="77" t="b" cm="1">
        <f t="array" ref="Q943">INDEX(stable[is_multi_select],MATCH(VALUE(questions[[#This Row],[qno]]),VALUE(stable[qno]),0))</f>
        <v>0</v>
      </c>
      <c r="R943" s="77" t="b" cm="1">
        <f t="array" ref="R943">INDEX(stable[is_skip_logic],MATCH(VALUE(questions[[#This Row],[qno]]),VALUE(stable[qno]),0))</f>
        <v>1</v>
      </c>
      <c r="S943" s="77" t="str">
        <f>_xlfn.TEXTJOIN(", ",TRUE,questions[[#This Row],[ans_opt_1]:[ans_opt_14]])</f>
        <v>1% to 10% - very little, 11% to 20% - little, 21% to 50% - less than half, 51% to 75% - more than half, 76% to 100% - almost all</v>
      </c>
      <c r="T943" s="77" t="s">
        <v>421</v>
      </c>
      <c r="U943" s="77" t="s">
        <v>422</v>
      </c>
      <c r="V943" s="77" t="s">
        <v>423</v>
      </c>
      <c r="W943" s="77" t="s">
        <v>340</v>
      </c>
      <c r="X943" s="77" t="s">
        <v>341</v>
      </c>
      <c r="AH943" s="98" t="b">
        <f>INDEX(stable[q_standard],MATCH(questions[[#This Row],[qno]],stable[qno],0))</f>
        <v>0</v>
      </c>
      <c r="AI943" s="98" t="b">
        <f>INDEX(stable[q_living_income],MATCH(questions[[#This Row],[qno]],stable[qno],0))</f>
        <v>0</v>
      </c>
      <c r="AJ943" s="98" t="b">
        <f>INDEX(stable[q_carbon],MATCH(questions[[#This Row],[qno]],stable[qno],0))</f>
        <v>0</v>
      </c>
      <c r="AK943" s="98" t="b">
        <f>INDEX(stable[q_regen_ag],MATCH(questions[[#This Row],[qno]],stable[qno],0))</f>
        <v>1</v>
      </c>
      <c r="AL943" s="98" t="b">
        <f>COUNTIFS(stable[qno],questions[[#This Row],[qno]])=1</f>
        <v>1</v>
      </c>
      <c r="AM943" s="98" t="b">
        <f>OR(questions[[#This Row],[is_fixed]],questions[[#This Row],[is_localized]],questions[[#This Row],[is_supply_chain_dependent]])</f>
        <v>1</v>
      </c>
      <c r="AN943" s="98" t="b">
        <f>COUNTIFS(questions[[#This Row],[is_automated]:[is_multi_select]],TRUE)=1</f>
        <v>1</v>
      </c>
      <c r="AO943" s="98" t="b">
        <f>IF(questions[[#This Row],[is_fixed]],questions[[#This Row],[question]]=INDEX(stable[question],MATCH(questions[[#This Row],[qno]],stable[qno],0)),TRUE)</f>
        <v>0</v>
      </c>
      <c r="AP943" s="98" t="str">
        <f>LEFT(questions[[#This Row],[question]],similarity_range)</f>
        <v>If you apply chemica</v>
      </c>
      <c r="AQ943" s="98" t="str">
        <f>LEFT(INDEX(stable[question],MATCH(questions[[#This Row],[qno]],stable[qno],0)),similarity_range)</f>
        <v>If you apply chemica</v>
      </c>
      <c r="AR943" s="98" t="b">
        <f>questions[[#This Row],[question_first_characters]]=questions[[#This Row],[stability_first_characters]]</f>
        <v>1</v>
      </c>
      <c r="AS943" s="98" t="b">
        <f>IF(OR(questions[[#This Row],[is_single_select]],questions[[#This Row],[is_multi_select]]),NOT(ISBLANK(questions[[#This Row],[answer_opt_combined]])),TRUE)</f>
        <v>1</v>
      </c>
    </row>
    <row r="944" spans="1:45" s="77" customFormat="1" ht="15.75" customHeight="1" x14ac:dyDescent="0.25">
      <c r="A944" s="77" t="str">
        <f>_xlfn.TEXTJOIN("_",TRUE,questions[[#This Row],[origin]:[qno]])</f>
        <v>Uganda_Robusta_Nespresso_7252</v>
      </c>
      <c r="B944" s="77" t="s">
        <v>511</v>
      </c>
      <c r="C944" s="77" t="s">
        <v>674</v>
      </c>
      <c r="D944" s="77" t="s">
        <v>864</v>
      </c>
      <c r="F944" s="104" t="s">
        <v>424</v>
      </c>
      <c r="G944" s="78" t="s">
        <v>425</v>
      </c>
      <c r="H944" s="9" t="str" cm="1">
        <f t="array" ref="H944">INDEX(stableR[question],MATCH(VALUE(questions[[#This Row],[qno]]),VALUE(stableR[qno]),0))</f>
        <v>If applying herbicides, to which % of area of the coffee plots? e.g. if the coffee area is 1 hectare and herbicides are sprayed to only 0.5 hectare (where there is high weed pressure), then it is 50%</v>
      </c>
      <c r="I944" s="9" t="b" cm="1">
        <f t="array" ref="I944">INDEX(stable[is_fixed],MATCH(VALUE(questions[[#This Row],[qno]]),VALUE(stable[qno]),0))</f>
        <v>1</v>
      </c>
      <c r="J944" s="9" t="b" cm="1">
        <f t="array" ref="J944">INDEX(stable[is_localized],MATCH(VALUE(questions[[#This Row],[qno]]),VALUE(stable[qno]),0))</f>
        <v>0</v>
      </c>
      <c r="K944" s="9" t="b" cm="1">
        <f t="array" ref="K944">INDEX(stable[is_supply_chain_dependent],MATCH(VALUE(questions[[#This Row],[qno]]),VALUE(stable[qno]),0))</f>
        <v>0</v>
      </c>
      <c r="L944" s="9" t="b" cm="1">
        <f t="array" ref="L944">INDEX(stable[is_mandatory],MATCH(VALUE(questions[[#This Row],[qno]]),VALUE(stable[qno]),0))</f>
        <v>0</v>
      </c>
      <c r="M944" s="9" t="b" cm="1">
        <f t="array" ref="M944">INDEX(stable[is_automated],MATCH(VALUE(questions[[#This Row],[qno]]),VALUE(stable[qno]),0))</f>
        <v>0</v>
      </c>
      <c r="N944" s="9" t="b" cm="1">
        <f t="array" ref="N944">INDEX(stable[is_free_text],MATCH(VALUE(questions[[#This Row],[qno]]),VALUE(stable[qno]),0))</f>
        <v>0</v>
      </c>
      <c r="O944" s="9" t="b" cm="1">
        <f t="array" ref="O944">INDEX(stable[is_numerical],MATCH(VALUE(questions[[#This Row],[qno]]),VALUE(stable[qno]),0))</f>
        <v>0</v>
      </c>
      <c r="P944" s="77" t="b" cm="1">
        <f t="array" ref="P944">INDEX(stable[is_single_select],MATCH(VALUE(questions[[#This Row],[qno]]),VALUE(stable[qno]),0))</f>
        <v>1</v>
      </c>
      <c r="Q944" s="77" t="b" cm="1">
        <f t="array" ref="Q944">INDEX(stable[is_multi_select],MATCH(VALUE(questions[[#This Row],[qno]]),VALUE(stable[qno]),0))</f>
        <v>0</v>
      </c>
      <c r="R944" s="77" t="b" cm="1">
        <f t="array" ref="R944">INDEX(stable[is_skip_logic],MATCH(VALUE(questions[[#This Row],[qno]]),VALUE(stable[qno]),0))</f>
        <v>1</v>
      </c>
      <c r="S944" s="77" t="str">
        <f>_xlfn.TEXTJOIN(", ",TRUE,questions[[#This Row],[ans_opt_1]:[ans_opt_14]])</f>
        <v>Yes, No</v>
      </c>
      <c r="T944" s="77" t="s">
        <v>149</v>
      </c>
      <c r="U944" s="77" t="s">
        <v>119</v>
      </c>
      <c r="AH944" s="98" t="b">
        <f>INDEX(stable[q_standard],MATCH(questions[[#This Row],[qno]],stable[qno],0))</f>
        <v>0</v>
      </c>
      <c r="AI944" s="98" t="b">
        <f>INDEX(stable[q_living_income],MATCH(questions[[#This Row],[qno]],stable[qno],0))</f>
        <v>0</v>
      </c>
      <c r="AJ944" s="98" t="b">
        <f>INDEX(stable[q_carbon],MATCH(questions[[#This Row],[qno]],stable[qno],0))</f>
        <v>0</v>
      </c>
      <c r="AK944" s="98" t="b">
        <f>INDEX(stable[q_regen_ag],MATCH(questions[[#This Row],[qno]],stable[qno],0))</f>
        <v>1</v>
      </c>
      <c r="AL944" s="98" t="b">
        <f>COUNTIFS(stable[qno],questions[[#This Row],[qno]])=1</f>
        <v>1</v>
      </c>
      <c r="AM944" s="98" t="b">
        <f>OR(questions[[#This Row],[is_fixed]],questions[[#This Row],[is_localized]],questions[[#This Row],[is_supply_chain_dependent]])</f>
        <v>1</v>
      </c>
      <c r="AN944" s="98" t="b">
        <f>COUNTIFS(questions[[#This Row],[is_automated]:[is_multi_select]],TRUE)=1</f>
        <v>1</v>
      </c>
      <c r="AO944" s="98" t="b">
        <f>IF(questions[[#This Row],[is_fixed]],questions[[#This Row],[question]]=INDEX(stable[question],MATCH(questions[[#This Row],[qno]],stable[qno],0)),TRUE)</f>
        <v>0</v>
      </c>
      <c r="AP944" s="98" t="str">
        <f>LEFT(questions[[#This Row],[question]],similarity_range)</f>
        <v>If applying herbicid</v>
      </c>
      <c r="AQ944" s="98" t="str">
        <f>LEFT(INDEX(stable[question],MATCH(questions[[#This Row],[qno]],stable[qno],0)),similarity_range)</f>
        <v>If applying herbicid</v>
      </c>
      <c r="AR944" s="98" t="b">
        <f>questions[[#This Row],[question_first_characters]]=questions[[#This Row],[stability_first_characters]]</f>
        <v>1</v>
      </c>
      <c r="AS944" s="98" t="b">
        <f>IF(OR(questions[[#This Row],[is_single_select]],questions[[#This Row],[is_multi_select]]),NOT(ISBLANK(questions[[#This Row],[answer_opt_combined]])),TRUE)</f>
        <v>1</v>
      </c>
    </row>
    <row r="945" spans="1:45" s="77" customFormat="1" ht="15.75" customHeight="1" x14ac:dyDescent="0.25">
      <c r="A945" s="77" t="str">
        <f>_xlfn.TEXTJOIN("_",TRUE,questions[[#This Row],[origin]:[qno]])</f>
        <v>Uganda_Robusta_Nespresso_7253</v>
      </c>
      <c r="B945" s="77" t="s">
        <v>511</v>
      </c>
      <c r="C945" s="77" t="s">
        <v>674</v>
      </c>
      <c r="D945" s="77" t="s">
        <v>864</v>
      </c>
      <c r="F945" s="104" t="s">
        <v>426</v>
      </c>
      <c r="G945" s="78" t="s">
        <v>427</v>
      </c>
      <c r="H945" s="9" t="str" cm="1">
        <f t="array" ref="H945">INDEX(stableR[question],MATCH(VALUE(questions[[#This Row],[qno]]),VALUE(stableR[qno]),0))</f>
        <v>If applying herbicides, can you prove that all are locally authorized for coffee use, and that you respect the doses and post-harvest intervals of the label of the product. If applying herbicides, to which % of area of the coffee plots? e.g. if the coffee area is 1 hectare and herbicides are sprayed to only 0.5 hectare (where there is high weed pressure), then it is 50%</v>
      </c>
      <c r="I945" s="9" t="b" cm="1">
        <f t="array" ref="I945">INDEX(stable[is_fixed],MATCH(VALUE(questions[[#This Row],[qno]]),VALUE(stable[qno]),0))</f>
        <v>1</v>
      </c>
      <c r="J945" s="9" t="b" cm="1">
        <f t="array" ref="J945">INDEX(stable[is_localized],MATCH(VALUE(questions[[#This Row],[qno]]),VALUE(stable[qno]),0))</f>
        <v>0</v>
      </c>
      <c r="K945" s="9" t="b" cm="1">
        <f t="array" ref="K945">INDEX(stable[is_supply_chain_dependent],MATCH(VALUE(questions[[#This Row],[qno]]),VALUE(stable[qno]),0))</f>
        <v>0</v>
      </c>
      <c r="L945" s="9" t="b" cm="1">
        <f t="array" ref="L945">INDEX(stable[is_mandatory],MATCH(VALUE(questions[[#This Row],[qno]]),VALUE(stable[qno]),0))</f>
        <v>1</v>
      </c>
      <c r="M945" s="9" t="b" cm="1">
        <f t="array" ref="M945">INDEX(stable[is_automated],MATCH(VALUE(questions[[#This Row],[qno]]),VALUE(stable[qno]),0))</f>
        <v>0</v>
      </c>
      <c r="N945" s="9" t="b" cm="1">
        <f t="array" ref="N945">INDEX(stable[is_free_text],MATCH(VALUE(questions[[#This Row],[qno]]),VALUE(stable[qno]),0))</f>
        <v>0</v>
      </c>
      <c r="O945" s="9" t="b" cm="1">
        <f t="array" ref="O945">INDEX(stable[is_numerical],MATCH(VALUE(questions[[#This Row],[qno]]),VALUE(stable[qno]),0))</f>
        <v>0</v>
      </c>
      <c r="P945" s="77" t="b" cm="1">
        <f t="array" ref="P945">INDEX(stable[is_single_select],MATCH(VALUE(questions[[#This Row],[qno]]),VALUE(stable[qno]),0))</f>
        <v>1</v>
      </c>
      <c r="Q945" s="77" t="b" cm="1">
        <f t="array" ref="Q945">INDEX(stable[is_multi_select],MATCH(VALUE(questions[[#This Row],[qno]]),VALUE(stable[qno]),0))</f>
        <v>0</v>
      </c>
      <c r="R945" s="77" t="b" cm="1">
        <f t="array" ref="R945">INDEX(stable[is_skip_logic],MATCH(VALUE(questions[[#This Row],[qno]]),VALUE(stable[qno]),0))</f>
        <v>1</v>
      </c>
      <c r="S945" s="77" t="str">
        <f>_xlfn.TEXTJOIN(", ",TRUE,questions[[#This Row],[ans_opt_1]:[ans_opt_14]])</f>
        <v>Manual removal, Mechanical removal, Mulching, Cover crops, Cover crops, Amix of different systems</v>
      </c>
      <c r="T945" s="77" t="s">
        <v>428</v>
      </c>
      <c r="U945" s="77" t="s">
        <v>429</v>
      </c>
      <c r="V945" s="77" t="s">
        <v>430</v>
      </c>
      <c r="W945" s="77" t="s">
        <v>431</v>
      </c>
      <c r="X945" s="77" t="s">
        <v>431</v>
      </c>
      <c r="Y945" s="131" t="s">
        <v>806</v>
      </c>
      <c r="AH945" s="98" t="b">
        <f>INDEX(stable[q_standard],MATCH(questions[[#This Row],[qno]],stable[qno],0))</f>
        <v>0</v>
      </c>
      <c r="AI945" s="98" t="b">
        <f>INDEX(stable[q_living_income],MATCH(questions[[#This Row],[qno]],stable[qno],0))</f>
        <v>0</v>
      </c>
      <c r="AJ945" s="98" t="b">
        <f>INDEX(stable[q_carbon],MATCH(questions[[#This Row],[qno]],stable[qno],0))</f>
        <v>0</v>
      </c>
      <c r="AK945" s="98" t="b">
        <f>INDEX(stable[q_regen_ag],MATCH(questions[[#This Row],[qno]],stable[qno],0))</f>
        <v>1</v>
      </c>
      <c r="AL945" s="98" t="b">
        <f>COUNTIFS(stable[qno],questions[[#This Row],[qno]])=1</f>
        <v>1</v>
      </c>
      <c r="AM945" s="98" t="b">
        <f>OR(questions[[#This Row],[is_fixed]],questions[[#This Row],[is_localized]],questions[[#This Row],[is_supply_chain_dependent]])</f>
        <v>1</v>
      </c>
      <c r="AN945" s="98" t="b">
        <f>COUNTIFS(questions[[#This Row],[is_automated]:[is_multi_select]],TRUE)=1</f>
        <v>1</v>
      </c>
      <c r="AO945" s="98" t="b">
        <f>IF(questions[[#This Row],[is_fixed]],questions[[#This Row],[question]]=INDEX(stable[question],MATCH(questions[[#This Row],[qno]],stable[qno],0)),TRUE)</f>
        <v>1</v>
      </c>
      <c r="AP945" s="98" t="str">
        <f>LEFT(questions[[#This Row],[question]],similarity_range)</f>
        <v>If you use or do not</v>
      </c>
      <c r="AQ945" s="98" t="str">
        <f>LEFT(INDEX(stable[question],MATCH(questions[[#This Row],[qno]],stable[qno],0)),similarity_range)</f>
        <v>If you use or do not</v>
      </c>
      <c r="AR945" s="98" t="b">
        <f>questions[[#This Row],[question_first_characters]]=questions[[#This Row],[stability_first_characters]]</f>
        <v>1</v>
      </c>
      <c r="AS945" s="98" t="b">
        <f>IF(OR(questions[[#This Row],[is_single_select]],questions[[#This Row],[is_multi_select]]),NOT(ISBLANK(questions[[#This Row],[answer_opt_combined]])),TRUE)</f>
        <v>1</v>
      </c>
    </row>
    <row r="946" spans="1:45" s="77" customFormat="1" ht="15.75" customHeight="1" x14ac:dyDescent="0.25">
      <c r="A946" s="77" t="str">
        <f>_xlfn.TEXTJOIN("_",TRUE,questions[[#This Row],[origin]:[qno]])</f>
        <v>Uganda_Robusta_Nespresso_7300</v>
      </c>
      <c r="B946" s="77" t="s">
        <v>511</v>
      </c>
      <c r="C946" s="77" t="s">
        <v>674</v>
      </c>
      <c r="D946" s="77" t="s">
        <v>864</v>
      </c>
      <c r="F946" s="104" t="s">
        <v>433</v>
      </c>
      <c r="G946" s="78" t="s">
        <v>434</v>
      </c>
      <c r="H946" s="9" t="str" cm="1">
        <f t="array" ref="H946">INDEX(stableR[question],MATCH(VALUE(questions[[#This Row],[qno]]),VALUE(stableR[qno]),0))</f>
        <v>Do you irrigate your coffee crop and if yes, what irrigation system/s do you use? If the answer is NO, you do not need to answer the next question</v>
      </c>
      <c r="I946" s="9" t="b" cm="1">
        <f t="array" ref="I946">INDEX(stable[is_fixed],MATCH(VALUE(questions[[#This Row],[qno]]),VALUE(stable[qno]),0))</f>
        <v>1</v>
      </c>
      <c r="J946" s="9" t="b" cm="1">
        <f t="array" ref="J946">INDEX(stable[is_localized],MATCH(VALUE(questions[[#This Row],[qno]]),VALUE(stable[qno]),0))</f>
        <v>0</v>
      </c>
      <c r="K946" s="9" t="b" cm="1">
        <f t="array" ref="K946">INDEX(stable[is_supply_chain_dependent],MATCH(VALUE(questions[[#This Row],[qno]]),VALUE(stable[qno]),0))</f>
        <v>0</v>
      </c>
      <c r="L946" s="9" t="b" cm="1">
        <f t="array" ref="L946">INDEX(stable[is_mandatory],MATCH(VALUE(questions[[#This Row],[qno]]),VALUE(stable[qno]),0))</f>
        <v>1</v>
      </c>
      <c r="M946" s="9" t="b" cm="1">
        <f t="array" ref="M946">INDEX(stable[is_automated],MATCH(VALUE(questions[[#This Row],[qno]]),VALUE(stable[qno]),0))</f>
        <v>0</v>
      </c>
      <c r="N946" s="9" t="b" cm="1">
        <f t="array" ref="N946">INDEX(stable[is_free_text],MATCH(VALUE(questions[[#This Row],[qno]]),VALUE(stable[qno]),0))</f>
        <v>0</v>
      </c>
      <c r="O946" s="9" t="b" cm="1">
        <f t="array" ref="O946">INDEX(stable[is_numerical],MATCH(VALUE(questions[[#This Row],[qno]]),VALUE(stable[qno]),0))</f>
        <v>0</v>
      </c>
      <c r="P946" s="77" t="b" cm="1">
        <f t="array" ref="P946">INDEX(stable[is_single_select],MATCH(VALUE(questions[[#This Row],[qno]]),VALUE(stable[qno]),0))</f>
        <v>1</v>
      </c>
      <c r="Q946" s="77" t="b" cm="1">
        <f t="array" ref="Q946">INDEX(stable[is_multi_select],MATCH(VALUE(questions[[#This Row],[qno]]),VALUE(stable[qno]),0))</f>
        <v>0</v>
      </c>
      <c r="R946" s="77" t="b" cm="1">
        <f t="array" ref="R946">INDEX(stable[is_skip_logic],MATCH(VALUE(questions[[#This Row],[qno]]),VALUE(stable[qno]),0))</f>
        <v>0</v>
      </c>
      <c r="S946" s="77" t="str">
        <f>_xlfn.TEXTJOIN(", ",TRUE,questions[[#This Row],[ans_opt_1]:[ans_opt_14]])</f>
        <v>No, Yes / drip irrigation, Yes / minisprinkler irrigation, Yes / overhead irrigation (sprinklers, pivot, rain gun), Yes / flood-furrow-hose pipe irrigation</v>
      </c>
      <c r="T946" s="77" t="s">
        <v>119</v>
      </c>
      <c r="U946" s="77" t="s">
        <v>435</v>
      </c>
      <c r="V946" s="77" t="s">
        <v>436</v>
      </c>
      <c r="W946" s="77" t="s">
        <v>437</v>
      </c>
      <c r="X946" s="77" t="s">
        <v>438</v>
      </c>
      <c r="AH946" s="98" t="b">
        <f>INDEX(stable[q_standard],MATCH(questions[[#This Row],[qno]],stable[qno],0))</f>
        <v>0</v>
      </c>
      <c r="AI946" s="98" t="b">
        <f>INDEX(stable[q_living_income],MATCH(questions[[#This Row],[qno]],stable[qno],0))</f>
        <v>0</v>
      </c>
      <c r="AJ946" s="98" t="b">
        <f>INDEX(stable[q_carbon],MATCH(questions[[#This Row],[qno]],stable[qno],0))</f>
        <v>0</v>
      </c>
      <c r="AK946" s="98" t="b">
        <f>INDEX(stable[q_regen_ag],MATCH(questions[[#This Row],[qno]],stable[qno],0))</f>
        <v>1</v>
      </c>
      <c r="AL946" s="98" t="b">
        <f>COUNTIFS(stable[qno],questions[[#This Row],[qno]])=1</f>
        <v>1</v>
      </c>
      <c r="AM946" s="98" t="b">
        <f>OR(questions[[#This Row],[is_fixed]],questions[[#This Row],[is_localized]],questions[[#This Row],[is_supply_chain_dependent]])</f>
        <v>1</v>
      </c>
      <c r="AN946" s="98" t="b">
        <f>COUNTIFS(questions[[#This Row],[is_automated]:[is_multi_select]],TRUE)=1</f>
        <v>1</v>
      </c>
      <c r="AO946" s="98" t="b">
        <f>IF(questions[[#This Row],[is_fixed]],questions[[#This Row],[question]]=INDEX(stable[question],MATCH(questions[[#This Row],[qno]],stable[qno],0)),TRUE)</f>
        <v>0</v>
      </c>
      <c r="AP946" s="98" t="str">
        <f>LEFT(questions[[#This Row],[question]],similarity_range)</f>
        <v>Do you irrigate your</v>
      </c>
      <c r="AQ946" s="98" t="str">
        <f>LEFT(INDEX(stable[question],MATCH(questions[[#This Row],[qno]],stable[qno],0)),similarity_range)</f>
        <v>Do you irrigate your</v>
      </c>
      <c r="AR946" s="98" t="b">
        <f>questions[[#This Row],[question_first_characters]]=questions[[#This Row],[stability_first_characters]]</f>
        <v>1</v>
      </c>
      <c r="AS946" s="98" t="b">
        <f>IF(OR(questions[[#This Row],[is_single_select]],questions[[#This Row],[is_multi_select]]),NOT(ISBLANK(questions[[#This Row],[answer_opt_combined]])),TRUE)</f>
        <v>1</v>
      </c>
    </row>
    <row r="947" spans="1:45" s="77" customFormat="1" ht="15.75" customHeight="1" x14ac:dyDescent="0.25">
      <c r="A947" s="77" t="str">
        <f>_xlfn.TEXTJOIN("_",TRUE,questions[[#This Row],[origin]:[qno]])</f>
        <v>Uganda_Robusta_Nespresso_7301</v>
      </c>
      <c r="B947" s="77" t="s">
        <v>511</v>
      </c>
      <c r="C947" s="77" t="s">
        <v>674</v>
      </c>
      <c r="D947" s="77" t="s">
        <v>864</v>
      </c>
      <c r="F947" s="104" t="s">
        <v>439</v>
      </c>
      <c r="G947" s="78" t="s">
        <v>440</v>
      </c>
      <c r="H947" s="9" t="str" cm="1">
        <f t="array" ref="H947">INDEX(stableR[question],MATCH(VALUE(questions[[#This Row],[qno]]),VALUE(stableR[qno]),0))</f>
        <v>Do you have a systems to know when and how much to irrigate and according to the irrigation system (balance sheet with rainfall and evapotranspiration, sensors, irrigation app-software, weather stations...)?</v>
      </c>
      <c r="I947" s="9" t="b" cm="1">
        <f t="array" ref="I947">INDEX(stable[is_fixed],MATCH(VALUE(questions[[#This Row],[qno]]),VALUE(stable[qno]),0))</f>
        <v>1</v>
      </c>
      <c r="J947" s="9" t="b" cm="1">
        <f t="array" ref="J947">INDEX(stable[is_localized],MATCH(VALUE(questions[[#This Row],[qno]]),VALUE(stable[qno]),0))</f>
        <v>0</v>
      </c>
      <c r="K947" s="9" t="b" cm="1">
        <f t="array" ref="K947">INDEX(stable[is_supply_chain_dependent],MATCH(VALUE(questions[[#This Row],[qno]]),VALUE(stable[qno]),0))</f>
        <v>0</v>
      </c>
      <c r="L947" s="9" t="b" cm="1">
        <f t="array" ref="L947">INDEX(stable[is_mandatory],MATCH(VALUE(questions[[#This Row],[qno]]),VALUE(stable[qno]),0))</f>
        <v>0</v>
      </c>
      <c r="M947" s="9" t="b" cm="1">
        <f t="array" ref="M947">INDEX(stable[is_automated],MATCH(VALUE(questions[[#This Row],[qno]]),VALUE(stable[qno]),0))</f>
        <v>0</v>
      </c>
      <c r="N947" s="9" t="b" cm="1">
        <f t="array" ref="N947">INDEX(stable[is_free_text],MATCH(VALUE(questions[[#This Row],[qno]]),VALUE(stable[qno]),0))</f>
        <v>0</v>
      </c>
      <c r="O947" s="9" t="b" cm="1">
        <f t="array" ref="O947">INDEX(stable[is_numerical],MATCH(VALUE(questions[[#This Row],[qno]]),VALUE(stable[qno]),0))</f>
        <v>0</v>
      </c>
      <c r="P947" s="77" t="b" cm="1">
        <f t="array" ref="P947">INDEX(stable[is_single_select],MATCH(VALUE(questions[[#This Row],[qno]]),VALUE(stable[qno]),0))</f>
        <v>1</v>
      </c>
      <c r="Q947" s="77" t="b" cm="1">
        <f t="array" ref="Q947">INDEX(stable[is_multi_select],MATCH(VALUE(questions[[#This Row],[qno]]),VALUE(stable[qno]),0))</f>
        <v>0</v>
      </c>
      <c r="R947" s="77" t="b" cm="1">
        <f t="array" ref="R947">INDEX(stable[is_skip_logic],MATCH(VALUE(questions[[#This Row],[qno]]),VALUE(stable[qno]),0))</f>
        <v>0</v>
      </c>
      <c r="S947" s="77" t="str">
        <f>_xlfn.TEXTJOIN(", ",TRUE,questions[[#This Row],[ans_opt_1]:[ans_opt_14]])</f>
        <v>Yes, No</v>
      </c>
      <c r="T947" s="77" t="s">
        <v>149</v>
      </c>
      <c r="U947" s="77" t="s">
        <v>119</v>
      </c>
      <c r="AH947" s="98" t="b">
        <f>INDEX(stable[q_standard],MATCH(questions[[#This Row],[qno]],stable[qno],0))</f>
        <v>0</v>
      </c>
      <c r="AI947" s="98" t="b">
        <f>INDEX(stable[q_living_income],MATCH(questions[[#This Row],[qno]],stable[qno],0))</f>
        <v>0</v>
      </c>
      <c r="AJ947" s="98" t="b">
        <f>INDEX(stable[q_carbon],MATCH(questions[[#This Row],[qno]],stable[qno],0))</f>
        <v>0</v>
      </c>
      <c r="AK947" s="98" t="b">
        <f>INDEX(stable[q_regen_ag],MATCH(questions[[#This Row],[qno]],stable[qno],0))</f>
        <v>1</v>
      </c>
      <c r="AL947" s="98" t="b">
        <f>COUNTIFS(stable[qno],questions[[#This Row],[qno]])=1</f>
        <v>1</v>
      </c>
      <c r="AM947" s="98" t="b">
        <f>OR(questions[[#This Row],[is_fixed]],questions[[#This Row],[is_localized]],questions[[#This Row],[is_supply_chain_dependent]])</f>
        <v>1</v>
      </c>
      <c r="AN947" s="98" t="b">
        <f>COUNTIFS(questions[[#This Row],[is_automated]:[is_multi_select]],TRUE)=1</f>
        <v>1</v>
      </c>
      <c r="AO947" s="98" t="b">
        <f>IF(questions[[#This Row],[is_fixed]],questions[[#This Row],[question]]=INDEX(stable[question],MATCH(questions[[#This Row],[qno]],stable[qno],0)),TRUE)</f>
        <v>1</v>
      </c>
      <c r="AP947" s="98" t="str">
        <f>LEFT(questions[[#This Row],[question]],similarity_range)</f>
        <v>Do you have a system</v>
      </c>
      <c r="AQ947" s="98" t="str">
        <f>LEFT(INDEX(stable[question],MATCH(questions[[#This Row],[qno]],stable[qno],0)),similarity_range)</f>
        <v>Do you have a system</v>
      </c>
      <c r="AR947" s="98" t="b">
        <f>questions[[#This Row],[question_first_characters]]=questions[[#This Row],[stability_first_characters]]</f>
        <v>1</v>
      </c>
      <c r="AS947" s="98" t="b">
        <f>IF(OR(questions[[#This Row],[is_single_select]],questions[[#This Row],[is_multi_select]]),NOT(ISBLANK(questions[[#This Row],[answer_opt_combined]])),TRUE)</f>
        <v>1</v>
      </c>
    </row>
    <row r="948" spans="1:45" s="77" customFormat="1" ht="15.75" customHeight="1" x14ac:dyDescent="0.25">
      <c r="A948" s="77" t="str">
        <f>_xlfn.TEXTJOIN("_",TRUE,questions[[#This Row],[origin]:[qno]])</f>
        <v>Uganda_Robusta_Nespresso_7400</v>
      </c>
      <c r="B948" s="77" t="s">
        <v>511</v>
      </c>
      <c r="C948" s="77" t="s">
        <v>674</v>
      </c>
      <c r="D948" s="77" t="s">
        <v>864</v>
      </c>
      <c r="F948" s="104" t="s">
        <v>441</v>
      </c>
      <c r="G948" s="78" t="s">
        <v>442</v>
      </c>
      <c r="H948" s="9" t="str" cm="1">
        <f t="array" ref="H948">INDEX(stableR[question],MATCH(VALUE(questions[[#This Row],[qno]]),VALUE(stableR[qno]),0))</f>
        <v>Are you implementing a plan to renovate/rehabilitate the coffee trees of your coffee plots? e.g. stumping, partial stumping, capping, side pruning, uprooting and replanting, uprooting and planting new trees, or a mix of systems. If the answer is NO, you do not need to answer the next 2 questions</v>
      </c>
      <c r="I948" s="9" t="b" cm="1">
        <f t="array" ref="I948">INDEX(stable[is_fixed],MATCH(VALUE(questions[[#This Row],[qno]]),VALUE(stable[qno]),0))</f>
        <v>1</v>
      </c>
      <c r="J948" s="9" t="b" cm="1">
        <f t="array" ref="J948">INDEX(stable[is_localized],MATCH(VALUE(questions[[#This Row],[qno]]),VALUE(stable[qno]),0))</f>
        <v>0</v>
      </c>
      <c r="K948" s="9" t="b" cm="1">
        <f t="array" ref="K948">INDEX(stable[is_supply_chain_dependent],MATCH(VALUE(questions[[#This Row],[qno]]),VALUE(stable[qno]),0))</f>
        <v>0</v>
      </c>
      <c r="L948" s="9" t="b" cm="1">
        <f t="array" ref="L948">INDEX(stable[is_mandatory],MATCH(VALUE(questions[[#This Row],[qno]]),VALUE(stable[qno]),0))</f>
        <v>1</v>
      </c>
      <c r="M948" s="9" t="b" cm="1">
        <f t="array" ref="M948">INDEX(stable[is_automated],MATCH(VALUE(questions[[#This Row],[qno]]),VALUE(stable[qno]),0))</f>
        <v>0</v>
      </c>
      <c r="N948" s="9" t="b" cm="1">
        <f t="array" ref="N948">INDEX(stable[is_free_text],MATCH(VALUE(questions[[#This Row],[qno]]),VALUE(stable[qno]),0))</f>
        <v>0</v>
      </c>
      <c r="O948" s="9" t="b" cm="1">
        <f t="array" ref="O948">INDEX(stable[is_numerical],MATCH(VALUE(questions[[#This Row],[qno]]),VALUE(stable[qno]),0))</f>
        <v>0</v>
      </c>
      <c r="P948" s="77" t="b" cm="1">
        <f t="array" ref="P948">INDEX(stable[is_single_select],MATCH(VALUE(questions[[#This Row],[qno]]),VALUE(stable[qno]),0))</f>
        <v>1</v>
      </c>
      <c r="Q948" s="77" t="b" cm="1">
        <f t="array" ref="Q948">INDEX(stable[is_multi_select],MATCH(VALUE(questions[[#This Row],[qno]]),VALUE(stable[qno]),0))</f>
        <v>0</v>
      </c>
      <c r="R948" s="77" t="b" cm="1">
        <f t="array" ref="R948">INDEX(stable[is_skip_logic],MATCH(VALUE(questions[[#This Row],[qno]]),VALUE(stable[qno]),0))</f>
        <v>1</v>
      </c>
      <c r="S948" s="77" t="str">
        <f>_xlfn.TEXTJOIN(", ",TRUE,questions[[#This Row],[ans_opt_1]:[ans_opt_14]])</f>
        <v>Yes, No</v>
      </c>
      <c r="T948" s="77" t="s">
        <v>149</v>
      </c>
      <c r="U948" s="77" t="s">
        <v>119</v>
      </c>
      <c r="AH948" s="98" t="b">
        <f>INDEX(stable[q_standard],MATCH(questions[[#This Row],[qno]],stable[qno],0))</f>
        <v>0</v>
      </c>
      <c r="AI948" s="98" t="b">
        <f>INDEX(stable[q_living_income],MATCH(questions[[#This Row],[qno]],stable[qno],0))</f>
        <v>0</v>
      </c>
      <c r="AJ948" s="98" t="b">
        <f>INDEX(stable[q_carbon],MATCH(questions[[#This Row],[qno]],stable[qno],0))</f>
        <v>0</v>
      </c>
      <c r="AK948" s="98" t="b">
        <f>INDEX(stable[q_regen_ag],MATCH(questions[[#This Row],[qno]],stable[qno],0))</f>
        <v>1</v>
      </c>
      <c r="AL948" s="98" t="b">
        <f>COUNTIFS(stable[qno],questions[[#This Row],[qno]])=1</f>
        <v>1</v>
      </c>
      <c r="AM948" s="98" t="b">
        <f>OR(questions[[#This Row],[is_fixed]],questions[[#This Row],[is_localized]],questions[[#This Row],[is_supply_chain_dependent]])</f>
        <v>1</v>
      </c>
      <c r="AN948" s="98" t="b">
        <f>COUNTIFS(questions[[#This Row],[is_automated]:[is_multi_select]],TRUE)=1</f>
        <v>1</v>
      </c>
      <c r="AO948" s="98" t="b">
        <f>IF(questions[[#This Row],[is_fixed]],questions[[#This Row],[question]]=INDEX(stable[question],MATCH(questions[[#This Row],[qno]],stable[qno],0)),TRUE)</f>
        <v>0</v>
      </c>
      <c r="AP948" s="98" t="str">
        <f>LEFT(questions[[#This Row],[question]],similarity_range)</f>
        <v>Are you implementing</v>
      </c>
      <c r="AQ948" s="98" t="str">
        <f>LEFT(INDEX(stable[question],MATCH(questions[[#This Row],[qno]],stable[qno],0)),similarity_range)</f>
        <v>Are you implementing</v>
      </c>
      <c r="AR948" s="98" t="b">
        <f>questions[[#This Row],[question_first_characters]]=questions[[#This Row],[stability_first_characters]]</f>
        <v>1</v>
      </c>
      <c r="AS948" s="98" t="b">
        <f>IF(OR(questions[[#This Row],[is_single_select]],questions[[#This Row],[is_multi_select]]),NOT(ISBLANK(questions[[#This Row],[answer_opt_combined]])),TRUE)</f>
        <v>1</v>
      </c>
    </row>
    <row r="949" spans="1:45" s="77" customFormat="1" ht="15.75" customHeight="1" x14ac:dyDescent="0.25">
      <c r="A949" s="77" t="str">
        <f>_xlfn.TEXTJOIN("_",TRUE,questions[[#This Row],[origin]:[qno]])</f>
        <v>Uganda_Robusta_Nespresso_7401</v>
      </c>
      <c r="B949" s="77" t="s">
        <v>511</v>
      </c>
      <c r="C949" s="77" t="s">
        <v>674</v>
      </c>
      <c r="D949" s="77" t="s">
        <v>864</v>
      </c>
      <c r="F949" s="104" t="s">
        <v>443</v>
      </c>
      <c r="G949" s="78" t="s">
        <v>807</v>
      </c>
      <c r="H949" s="9" t="str" cm="1">
        <f t="array" ref="H949">INDEX(stableR[question],MATCH(VALUE(questions[[#This Row],[qno]]),VALUE(stableR[qno]),0))</f>
        <v>What % or proportion of trees have you renovated/rehabilitated in last 3 years?</v>
      </c>
      <c r="I949" s="9" t="b" cm="1">
        <f t="array" ref="I949">INDEX(stable[is_fixed],MATCH(VALUE(questions[[#This Row],[qno]]),VALUE(stable[qno]),0))</f>
        <v>1</v>
      </c>
      <c r="J949" s="9" t="b" cm="1">
        <f t="array" ref="J949">INDEX(stable[is_localized],MATCH(VALUE(questions[[#This Row],[qno]]),VALUE(stable[qno]),0))</f>
        <v>0</v>
      </c>
      <c r="K949" s="9" t="b" cm="1">
        <f t="array" ref="K949">INDEX(stable[is_supply_chain_dependent],MATCH(VALUE(questions[[#This Row],[qno]]),VALUE(stable[qno]),0))</f>
        <v>0</v>
      </c>
      <c r="L949" s="9" t="b" cm="1">
        <f t="array" ref="L949">INDEX(stable[is_mandatory],MATCH(VALUE(questions[[#This Row],[qno]]),VALUE(stable[qno]),0))</f>
        <v>0</v>
      </c>
      <c r="M949" s="9" t="b" cm="1">
        <f t="array" ref="M949">INDEX(stable[is_automated],MATCH(VALUE(questions[[#This Row],[qno]]),VALUE(stable[qno]),0))</f>
        <v>0</v>
      </c>
      <c r="N949" s="9" t="b" cm="1">
        <f t="array" ref="N949">INDEX(stable[is_free_text],MATCH(VALUE(questions[[#This Row],[qno]]),VALUE(stable[qno]),0))</f>
        <v>0</v>
      </c>
      <c r="O949" s="9" t="b" cm="1">
        <f t="array" ref="O949">INDEX(stable[is_numerical],MATCH(VALUE(questions[[#This Row],[qno]]),VALUE(stable[qno]),0))</f>
        <v>0</v>
      </c>
      <c r="P949" s="77" t="b" cm="1">
        <f t="array" ref="P949">INDEX(stable[is_single_select],MATCH(VALUE(questions[[#This Row],[qno]]),VALUE(stable[qno]),0))</f>
        <v>1</v>
      </c>
      <c r="Q949" s="77" t="b" cm="1">
        <f t="array" ref="Q949">INDEX(stable[is_multi_select],MATCH(VALUE(questions[[#This Row],[qno]]),VALUE(stable[qno]),0))</f>
        <v>0</v>
      </c>
      <c r="R949" s="77" t="b" cm="1">
        <f t="array" ref="R949">INDEX(stable[is_skip_logic],MATCH(VALUE(questions[[#This Row],[qno]]),VALUE(stable[qno]),0))</f>
        <v>1</v>
      </c>
      <c r="S949" s="77" t="str">
        <f>_xlfn.TEXTJOIN(", ",TRUE,questions[[#This Row],[ans_opt_1]:[ans_opt_14]])</f>
        <v>1% to 10% - very little, 11% to 20% - little, 21% to 50% - less than half, 51% to 75% - more than half, 76% to 100% - almost all</v>
      </c>
      <c r="T949" s="77" t="s">
        <v>421</v>
      </c>
      <c r="U949" s="77" t="s">
        <v>422</v>
      </c>
      <c r="V949" s="77" t="s">
        <v>423</v>
      </c>
      <c r="W949" s="77" t="s">
        <v>340</v>
      </c>
      <c r="X949" s="77" t="s">
        <v>341</v>
      </c>
      <c r="AH949" s="98" t="b">
        <f>INDEX(stable[q_standard],MATCH(questions[[#This Row],[qno]],stable[qno],0))</f>
        <v>0</v>
      </c>
      <c r="AI949" s="98" t="b">
        <f>INDEX(stable[q_living_income],MATCH(questions[[#This Row],[qno]],stable[qno],0))</f>
        <v>0</v>
      </c>
      <c r="AJ949" s="98" t="b">
        <f>INDEX(stable[q_carbon],MATCH(questions[[#This Row],[qno]],stable[qno],0))</f>
        <v>0</v>
      </c>
      <c r="AK949" s="98" t="b">
        <f>INDEX(stable[q_regen_ag],MATCH(questions[[#This Row],[qno]],stable[qno],0))</f>
        <v>1</v>
      </c>
      <c r="AL949" s="98" t="b">
        <f>COUNTIFS(stable[qno],questions[[#This Row],[qno]])=1</f>
        <v>1</v>
      </c>
      <c r="AM949" s="98" t="b">
        <f>OR(questions[[#This Row],[is_fixed]],questions[[#This Row],[is_localized]],questions[[#This Row],[is_supply_chain_dependent]])</f>
        <v>1</v>
      </c>
      <c r="AN949" s="98" t="b">
        <f>COUNTIFS(questions[[#This Row],[is_automated]:[is_multi_select]],TRUE)=1</f>
        <v>1</v>
      </c>
      <c r="AO949" s="98" t="b">
        <f>IF(questions[[#This Row],[is_fixed]],questions[[#This Row],[question]]=INDEX(stable[question],MATCH(questions[[#This Row],[qno]],stable[qno],0)),TRUE)</f>
        <v>0</v>
      </c>
      <c r="AP949" s="98" t="str">
        <f>LEFT(questions[[#This Row],[question]],similarity_range)</f>
        <v>What % or proportion</v>
      </c>
      <c r="AQ949" s="98" t="str">
        <f>LEFT(INDEX(stable[question],MATCH(questions[[#This Row],[qno]],stable[qno],0)),similarity_range)</f>
        <v>What % or proportion</v>
      </c>
      <c r="AR949" s="98" t="b">
        <f>questions[[#This Row],[question_first_characters]]=questions[[#This Row],[stability_first_characters]]</f>
        <v>1</v>
      </c>
      <c r="AS949" s="98" t="b">
        <f>IF(OR(questions[[#This Row],[is_single_select]],questions[[#This Row],[is_multi_select]]),NOT(ISBLANK(questions[[#This Row],[answer_opt_combined]])),TRUE)</f>
        <v>1</v>
      </c>
    </row>
    <row r="950" spans="1:45" s="77" customFormat="1" ht="15.75" customHeight="1" x14ac:dyDescent="0.25">
      <c r="A950" s="77" t="str">
        <f>_xlfn.TEXTJOIN("_",TRUE,questions[[#This Row],[origin]:[qno]])</f>
        <v>Uganda_Robusta_Nespresso_7402</v>
      </c>
      <c r="B950" s="77" t="s">
        <v>511</v>
      </c>
      <c r="C950" s="77" t="s">
        <v>674</v>
      </c>
      <c r="D950" s="77" t="s">
        <v>864</v>
      </c>
      <c r="F950" s="104" t="s">
        <v>445</v>
      </c>
      <c r="G950" s="78" t="s">
        <v>808</v>
      </c>
      <c r="H950" s="9" t="str" cm="1">
        <f t="array" ref="H950">INDEX(stableR[question],MATCH(VALUE(questions[[#This Row],[qno]]),VALUE(stableR[qno]),0))</f>
        <v>What is the main renovation-rehabilitation systems do you use to renovate/rehabilitate (e.g. full stumping, partial stumping, capping, side pruning, uprooting and planting new trees)?</v>
      </c>
      <c r="I950" s="9" t="b" cm="1">
        <f t="array" ref="I950">INDEX(stable[is_fixed],MATCH(VALUE(questions[[#This Row],[qno]]),VALUE(stable[qno]),0))</f>
        <v>1</v>
      </c>
      <c r="J950" s="9" t="b" cm="1">
        <f t="array" ref="J950">INDEX(stable[is_localized],MATCH(VALUE(questions[[#This Row],[qno]]),VALUE(stable[qno]),0))</f>
        <v>0</v>
      </c>
      <c r="K950" s="9" t="b" cm="1">
        <f t="array" ref="K950">INDEX(stable[is_supply_chain_dependent],MATCH(VALUE(questions[[#This Row],[qno]]),VALUE(stable[qno]),0))</f>
        <v>0</v>
      </c>
      <c r="L950" s="9" t="b" cm="1">
        <f t="array" ref="L950">INDEX(stable[is_mandatory],MATCH(VALUE(questions[[#This Row],[qno]]),VALUE(stable[qno]),0))</f>
        <v>0</v>
      </c>
      <c r="M950" s="9" t="b" cm="1">
        <f t="array" ref="M950">INDEX(stable[is_automated],MATCH(VALUE(questions[[#This Row],[qno]]),VALUE(stable[qno]),0))</f>
        <v>0</v>
      </c>
      <c r="N950" s="9" t="b" cm="1">
        <f t="array" ref="N950">INDEX(stable[is_free_text],MATCH(VALUE(questions[[#This Row],[qno]]),VALUE(stable[qno]),0))</f>
        <v>0</v>
      </c>
      <c r="O950" s="9" t="b" cm="1">
        <f t="array" ref="O950">INDEX(stable[is_numerical],MATCH(VALUE(questions[[#This Row],[qno]]),VALUE(stable[qno]),0))</f>
        <v>0</v>
      </c>
      <c r="P950" s="77" t="b" cm="1">
        <f t="array" ref="P950">INDEX(stable[is_single_select],MATCH(VALUE(questions[[#This Row],[qno]]),VALUE(stable[qno]),0))</f>
        <v>1</v>
      </c>
      <c r="Q950" s="77" t="b" cm="1">
        <f t="array" ref="Q950">INDEX(stable[is_multi_select],MATCH(VALUE(questions[[#This Row],[qno]]),VALUE(stable[qno]),0))</f>
        <v>0</v>
      </c>
      <c r="R950" s="77" t="b" cm="1">
        <f t="array" ref="R950">INDEX(stable[is_skip_logic],MATCH(VALUE(questions[[#This Row],[qno]]),VALUE(stable[qno]),0))</f>
        <v>1</v>
      </c>
      <c r="S950" s="77" t="str">
        <f>_xlfn.TEXTJOIN(", ",TRUE,questions[[#This Row],[ans_opt_1]:[ans_opt_14]])</f>
        <v>full stumping, partial stumping, capping, side pruning, capping and side prunning, uprooting and planting new trees</v>
      </c>
      <c r="T950" s="77" t="s">
        <v>447</v>
      </c>
      <c r="U950" s="77" t="s">
        <v>448</v>
      </c>
      <c r="V950" s="77" t="s">
        <v>449</v>
      </c>
      <c r="W950" s="77" t="s">
        <v>450</v>
      </c>
      <c r="X950" s="77" t="s">
        <v>451</v>
      </c>
      <c r="Y950" s="77" t="s">
        <v>452</v>
      </c>
      <c r="AH950" s="98" t="b">
        <f>INDEX(stable[q_standard],MATCH(questions[[#This Row],[qno]],stable[qno],0))</f>
        <v>0</v>
      </c>
      <c r="AI950" s="98" t="b">
        <f>INDEX(stable[q_living_income],MATCH(questions[[#This Row],[qno]],stable[qno],0))</f>
        <v>0</v>
      </c>
      <c r="AJ950" s="98" t="b">
        <f>INDEX(stable[q_carbon],MATCH(questions[[#This Row],[qno]],stable[qno],0))</f>
        <v>0</v>
      </c>
      <c r="AK950" s="98" t="b">
        <f>INDEX(stable[q_regen_ag],MATCH(questions[[#This Row],[qno]],stable[qno],0))</f>
        <v>1</v>
      </c>
      <c r="AL950" s="98" t="b">
        <f>COUNTIFS(stable[qno],questions[[#This Row],[qno]])=1</f>
        <v>1</v>
      </c>
      <c r="AM950" s="98" t="b">
        <f>OR(questions[[#This Row],[is_fixed]],questions[[#This Row],[is_localized]],questions[[#This Row],[is_supply_chain_dependent]])</f>
        <v>1</v>
      </c>
      <c r="AN950" s="98" t="b">
        <f>COUNTIFS(questions[[#This Row],[is_automated]:[is_multi_select]],TRUE)=1</f>
        <v>1</v>
      </c>
      <c r="AO950" s="98" t="b">
        <f>IF(questions[[#This Row],[is_fixed]],questions[[#This Row],[question]]=INDEX(stable[question],MATCH(questions[[#This Row],[qno]],stable[qno],0)),TRUE)</f>
        <v>0</v>
      </c>
      <c r="AP950" s="98" t="str">
        <f>LEFT(questions[[#This Row],[question]],similarity_range)</f>
        <v>What is the main ren</v>
      </c>
      <c r="AQ950" s="98" t="str">
        <f>LEFT(INDEX(stable[question],MATCH(questions[[#This Row],[qno]],stable[qno],0)),similarity_range)</f>
        <v>What is the main ren</v>
      </c>
      <c r="AR950" s="98" t="b">
        <f>questions[[#This Row],[question_first_characters]]=questions[[#This Row],[stability_first_characters]]</f>
        <v>1</v>
      </c>
      <c r="AS950" s="98" t="b">
        <f>IF(OR(questions[[#This Row],[is_single_select]],questions[[#This Row],[is_multi_select]]),NOT(ISBLANK(questions[[#This Row],[answer_opt_combined]])),TRUE)</f>
        <v>1</v>
      </c>
    </row>
    <row r="951" spans="1:45" s="77" customFormat="1" ht="15.75" customHeight="1" x14ac:dyDescent="0.25">
      <c r="A951" s="77" t="str">
        <f>_xlfn.TEXTJOIN("_",TRUE,questions[[#This Row],[origin]:[qno]])</f>
        <v>Uganda_Robusta_Nespresso_7410</v>
      </c>
      <c r="B951" s="77" t="s">
        <v>511</v>
      </c>
      <c r="C951" s="77" t="s">
        <v>674</v>
      </c>
      <c r="D951" s="77" t="s">
        <v>864</v>
      </c>
      <c r="F951" s="104" t="s">
        <v>453</v>
      </c>
      <c r="G951" s="78" t="s">
        <v>454</v>
      </c>
      <c r="H951" s="9" t="str" cm="1">
        <f t="array" ref="H951">INDEX(stableR[question],MATCH(VALUE(questions[[#This Row],[qno]]),VALUE(stableR[qno]),0))</f>
        <v>How many coffee varieties do you grow in your coffee plots?</v>
      </c>
      <c r="I951" s="9" t="b" cm="1">
        <f t="array" ref="I951">INDEX(stable[is_fixed],MATCH(VALUE(questions[[#This Row],[qno]]),VALUE(stable[qno]),0))</f>
        <v>1</v>
      </c>
      <c r="J951" s="9" t="b" cm="1">
        <f t="array" ref="J951">INDEX(stable[is_localized],MATCH(VALUE(questions[[#This Row],[qno]]),VALUE(stable[qno]),0))</f>
        <v>0</v>
      </c>
      <c r="K951" s="9" t="b" cm="1">
        <f t="array" ref="K951">INDEX(stable[is_supply_chain_dependent],MATCH(VALUE(questions[[#This Row],[qno]]),VALUE(stable[qno]),0))</f>
        <v>0</v>
      </c>
      <c r="L951" s="9" t="b" cm="1">
        <f t="array" ref="L951">INDEX(stable[is_mandatory],MATCH(VALUE(questions[[#This Row],[qno]]),VALUE(stable[qno]),0))</f>
        <v>1</v>
      </c>
      <c r="M951" s="9" t="b" cm="1">
        <f t="array" ref="M951">INDEX(stable[is_automated],MATCH(VALUE(questions[[#This Row],[qno]]),VALUE(stable[qno]),0))</f>
        <v>0</v>
      </c>
      <c r="N951" s="9" t="b" cm="1">
        <f t="array" ref="N951">INDEX(stable[is_free_text],MATCH(VALUE(questions[[#This Row],[qno]]),VALUE(stable[qno]),0))</f>
        <v>0</v>
      </c>
      <c r="O951" s="9" t="b" cm="1">
        <f t="array" ref="O951">INDEX(stable[is_numerical],MATCH(VALUE(questions[[#This Row],[qno]]),VALUE(stable[qno]),0))</f>
        <v>0</v>
      </c>
      <c r="P951" s="77" t="b" cm="1">
        <f t="array" ref="P951">INDEX(stable[is_single_select],MATCH(VALUE(questions[[#This Row],[qno]]),VALUE(stable[qno]),0))</f>
        <v>1</v>
      </c>
      <c r="Q951" s="77" t="b" cm="1">
        <f t="array" ref="Q951">INDEX(stable[is_multi_select],MATCH(VALUE(questions[[#This Row],[qno]]),VALUE(stable[qno]),0))</f>
        <v>0</v>
      </c>
      <c r="R951" s="77" t="b" cm="1">
        <f t="array" ref="R951">INDEX(stable[is_skip_logic],MATCH(VALUE(questions[[#This Row],[qno]]),VALUE(stable[qno]),0))</f>
        <v>1</v>
      </c>
      <c r="S951" s="77" t="str">
        <f>_xlfn.TEXTJOIN(", ",TRUE,questions[[#This Row],[ans_opt_1]:[ans_opt_14]])</f>
        <v>1, 2, 3, 4, 5, &gt;5</v>
      </c>
      <c r="T951" s="77">
        <v>1</v>
      </c>
      <c r="U951" s="77">
        <v>2</v>
      </c>
      <c r="V951" s="77">
        <v>3</v>
      </c>
      <c r="W951" s="77">
        <v>4</v>
      </c>
      <c r="X951" s="77">
        <v>5</v>
      </c>
      <c r="Y951" s="77" t="s">
        <v>404</v>
      </c>
      <c r="AH951" s="98" t="b">
        <f>INDEX(stable[q_standard],MATCH(questions[[#This Row],[qno]],stable[qno],0))</f>
        <v>0</v>
      </c>
      <c r="AI951" s="98" t="b">
        <f>INDEX(stable[q_living_income],MATCH(questions[[#This Row],[qno]],stable[qno],0))</f>
        <v>0</v>
      </c>
      <c r="AJ951" s="98" t="b">
        <f>INDEX(stable[q_carbon],MATCH(questions[[#This Row],[qno]],stable[qno],0))</f>
        <v>0</v>
      </c>
      <c r="AK951" s="98" t="b">
        <f>INDEX(stable[q_regen_ag],MATCH(questions[[#This Row],[qno]],stable[qno],0))</f>
        <v>1</v>
      </c>
      <c r="AL951" s="98" t="b">
        <f>COUNTIFS(stable[qno],questions[[#This Row],[qno]])=1</f>
        <v>1</v>
      </c>
      <c r="AM951" s="98" t="b">
        <f>OR(questions[[#This Row],[is_fixed]],questions[[#This Row],[is_localized]],questions[[#This Row],[is_supply_chain_dependent]])</f>
        <v>1</v>
      </c>
      <c r="AN951" s="98" t="b">
        <f>COUNTIFS(questions[[#This Row],[is_automated]:[is_multi_select]],TRUE)=1</f>
        <v>1</v>
      </c>
      <c r="AO951" s="98" t="b">
        <f>IF(questions[[#This Row],[is_fixed]],questions[[#This Row],[question]]=INDEX(stable[question],MATCH(questions[[#This Row],[qno]],stable[qno],0)),TRUE)</f>
        <v>1</v>
      </c>
      <c r="AP951" s="98" t="str">
        <f>LEFT(questions[[#This Row],[question]],similarity_range)</f>
        <v>How many coffee vari</v>
      </c>
      <c r="AQ951" s="98" t="str">
        <f>LEFT(INDEX(stable[question],MATCH(questions[[#This Row],[qno]],stable[qno],0)),similarity_range)</f>
        <v>How many coffee vari</v>
      </c>
      <c r="AR951" s="98" t="b">
        <f>questions[[#This Row],[question_first_characters]]=questions[[#This Row],[stability_first_characters]]</f>
        <v>1</v>
      </c>
      <c r="AS951" s="98" t="b">
        <f>IF(OR(questions[[#This Row],[is_single_select]],questions[[#This Row],[is_multi_select]]),NOT(ISBLANK(questions[[#This Row],[answer_opt_combined]])),TRUE)</f>
        <v>1</v>
      </c>
    </row>
    <row r="952" spans="1:45" s="77" customFormat="1" ht="15.75" customHeight="1" x14ac:dyDescent="0.25">
      <c r="A952" s="77" t="str">
        <f>_xlfn.TEXTJOIN("_",TRUE,questions[[#This Row],[origin]:[qno]])</f>
        <v>Uganda_Robusta_Nespresso_7411</v>
      </c>
      <c r="B952" s="77" t="s">
        <v>511</v>
      </c>
      <c r="C952" s="77" t="s">
        <v>674</v>
      </c>
      <c r="D952" s="77" t="s">
        <v>864</v>
      </c>
      <c r="F952" s="104" t="s">
        <v>455</v>
      </c>
      <c r="G952" s="78" t="s">
        <v>809</v>
      </c>
      <c r="H952" s="9" t="str" cm="1">
        <f t="array" ref="H952">INDEX(stableR[question],MATCH(VALUE(questions[[#This Row],[qno]]),VALUE(stableR[qno]),0))</f>
        <v>What % or proportion over the total number of trees of the cultivated area is planted with the main variety?</v>
      </c>
      <c r="I952" s="9" t="b" cm="1">
        <f t="array" ref="I952">INDEX(stable[is_fixed],MATCH(VALUE(questions[[#This Row],[qno]]),VALUE(stable[qno]),0))</f>
        <v>1</v>
      </c>
      <c r="J952" s="9" t="b" cm="1">
        <f t="array" ref="J952">INDEX(stable[is_localized],MATCH(VALUE(questions[[#This Row],[qno]]),VALUE(stable[qno]),0))</f>
        <v>0</v>
      </c>
      <c r="K952" s="9" t="b" cm="1">
        <f t="array" ref="K952">INDEX(stable[is_supply_chain_dependent],MATCH(VALUE(questions[[#This Row],[qno]]),VALUE(stable[qno]),0))</f>
        <v>0</v>
      </c>
      <c r="L952" s="9" t="b" cm="1">
        <f t="array" ref="L952">INDEX(stable[is_mandatory],MATCH(VALUE(questions[[#This Row],[qno]]),VALUE(stable[qno]),0))</f>
        <v>1</v>
      </c>
      <c r="M952" s="9" t="b" cm="1">
        <f t="array" ref="M952">INDEX(stable[is_automated],MATCH(VALUE(questions[[#This Row],[qno]]),VALUE(stable[qno]),0))</f>
        <v>0</v>
      </c>
      <c r="N952" s="9" t="b" cm="1">
        <f t="array" ref="N952">INDEX(stable[is_free_text],MATCH(VALUE(questions[[#This Row],[qno]]),VALUE(stable[qno]),0))</f>
        <v>0</v>
      </c>
      <c r="O952" s="9" t="b" cm="1">
        <f t="array" ref="O952">INDEX(stable[is_numerical],MATCH(VALUE(questions[[#This Row],[qno]]),VALUE(stable[qno]),0))</f>
        <v>0</v>
      </c>
      <c r="P952" s="77" t="b" cm="1">
        <f t="array" ref="P952">INDEX(stable[is_single_select],MATCH(VALUE(questions[[#This Row],[qno]]),VALUE(stable[qno]),0))</f>
        <v>1</v>
      </c>
      <c r="Q952" s="77" t="b" cm="1">
        <f t="array" ref="Q952">INDEX(stable[is_multi_select],MATCH(VALUE(questions[[#This Row],[qno]]),VALUE(stable[qno]),0))</f>
        <v>0</v>
      </c>
      <c r="R952" s="77" t="b" cm="1">
        <f t="array" ref="R952">INDEX(stable[is_skip_logic],MATCH(VALUE(questions[[#This Row],[qno]]),VALUE(stable[qno]),0))</f>
        <v>1</v>
      </c>
      <c r="S952" s="77" t="str">
        <f>_xlfn.TEXTJOIN(", ",TRUE,questions[[#This Row],[ans_opt_1]:[ans_opt_14]])</f>
        <v>1% to 25% - little to a quarter, 26% to 50% - less than half, 51% to 75% - more than half, 76% to 100% - almost all</v>
      </c>
      <c r="T952" s="77" t="s">
        <v>338</v>
      </c>
      <c r="U952" s="77" t="s">
        <v>339</v>
      </c>
      <c r="V952" s="77" t="s">
        <v>340</v>
      </c>
      <c r="W952" s="77" t="s">
        <v>341</v>
      </c>
      <c r="AH952" s="98" t="b">
        <f>INDEX(stable[q_standard],MATCH(questions[[#This Row],[qno]],stable[qno],0))</f>
        <v>0</v>
      </c>
      <c r="AI952" s="98" t="b">
        <f>INDEX(stable[q_living_income],MATCH(questions[[#This Row],[qno]],stable[qno],0))</f>
        <v>0</v>
      </c>
      <c r="AJ952" s="98" t="b">
        <f>INDEX(stable[q_carbon],MATCH(questions[[#This Row],[qno]],stable[qno],0))</f>
        <v>0</v>
      </c>
      <c r="AK952" s="98" t="b">
        <f>INDEX(stable[q_regen_ag],MATCH(questions[[#This Row],[qno]],stable[qno],0))</f>
        <v>1</v>
      </c>
      <c r="AL952" s="98" t="b">
        <f>COUNTIFS(stable[qno],questions[[#This Row],[qno]])=1</f>
        <v>1</v>
      </c>
      <c r="AM952" s="98" t="b">
        <f>OR(questions[[#This Row],[is_fixed]],questions[[#This Row],[is_localized]],questions[[#This Row],[is_supply_chain_dependent]])</f>
        <v>1</v>
      </c>
      <c r="AN952" s="98" t="b">
        <f>COUNTIFS(questions[[#This Row],[is_automated]:[is_multi_select]],TRUE)=1</f>
        <v>1</v>
      </c>
      <c r="AO952" s="98" t="b">
        <f>IF(questions[[#This Row],[is_fixed]],questions[[#This Row],[question]]=INDEX(stable[question],MATCH(questions[[#This Row],[qno]],stable[qno],0)),TRUE)</f>
        <v>0</v>
      </c>
      <c r="AP952" s="98" t="str">
        <f>LEFT(questions[[#This Row],[question]],similarity_range)</f>
        <v>What % or proportion</v>
      </c>
      <c r="AQ952" s="98" t="str">
        <f>LEFT(INDEX(stable[question],MATCH(questions[[#This Row],[qno]],stable[qno],0)),similarity_range)</f>
        <v>What % or proportion</v>
      </c>
      <c r="AR952" s="98" t="b">
        <f>questions[[#This Row],[question_first_characters]]=questions[[#This Row],[stability_first_characters]]</f>
        <v>1</v>
      </c>
      <c r="AS952" s="98" t="b">
        <f>IF(OR(questions[[#This Row],[is_single_select]],questions[[#This Row],[is_multi_select]]),NOT(ISBLANK(questions[[#This Row],[answer_opt_combined]])),TRUE)</f>
        <v>1</v>
      </c>
    </row>
    <row r="953" spans="1:45" s="77" customFormat="1" ht="15.75" customHeight="1" x14ac:dyDescent="0.25">
      <c r="A953" s="77" t="str">
        <f>_xlfn.TEXTJOIN("_",TRUE,questions[[#This Row],[origin]:[qno]])</f>
        <v>Uganda_Robusta_Nespresso_7412</v>
      </c>
      <c r="B953" s="77" t="s">
        <v>511</v>
      </c>
      <c r="C953" s="77" t="s">
        <v>674</v>
      </c>
      <c r="D953" s="77" t="s">
        <v>864</v>
      </c>
      <c r="F953" s="104" t="s">
        <v>457</v>
      </c>
      <c r="G953" s="78" t="s">
        <v>458</v>
      </c>
      <c r="H953" s="9" t="str" cm="1">
        <f t="array" ref="H953">INDEX(stableR[question],MATCH(VALUE(questions[[#This Row],[qno]]),VALUE(stableR[qno]),0))</f>
        <v>If you grow only one variety, how many years ago was this variety planted?</v>
      </c>
      <c r="I953" s="9" t="b" cm="1">
        <f t="array" ref="I953">INDEX(stable[is_fixed],MATCH(VALUE(questions[[#This Row],[qno]]),VALUE(stable[qno]),0))</f>
        <v>1</v>
      </c>
      <c r="J953" s="9" t="b" cm="1">
        <f t="array" ref="J953">INDEX(stable[is_localized],MATCH(VALUE(questions[[#This Row],[qno]]),VALUE(stable[qno]),0))</f>
        <v>0</v>
      </c>
      <c r="K953" s="9" t="b" cm="1">
        <f t="array" ref="K953">INDEX(stable[is_supply_chain_dependent],MATCH(VALUE(questions[[#This Row],[qno]]),VALUE(stable[qno]),0))</f>
        <v>0</v>
      </c>
      <c r="L953" s="9" t="b" cm="1">
        <f t="array" ref="L953">INDEX(stable[is_mandatory],MATCH(VALUE(questions[[#This Row],[qno]]),VALUE(stable[qno]),0))</f>
        <v>0</v>
      </c>
      <c r="M953" s="9" t="b" cm="1">
        <f t="array" ref="M953">INDEX(stable[is_automated],MATCH(VALUE(questions[[#This Row],[qno]]),VALUE(stable[qno]),0))</f>
        <v>0</v>
      </c>
      <c r="N953" s="9" t="b" cm="1">
        <f t="array" ref="N953">INDEX(stable[is_free_text],MATCH(VALUE(questions[[#This Row],[qno]]),VALUE(stable[qno]),0))</f>
        <v>0</v>
      </c>
      <c r="O953" s="9" t="b" cm="1">
        <f t="array" ref="O953">INDEX(stable[is_numerical],MATCH(VALUE(questions[[#This Row],[qno]]),VALUE(stable[qno]),0))</f>
        <v>0</v>
      </c>
      <c r="P953" s="77" t="b" cm="1">
        <f t="array" ref="P953">INDEX(stable[is_single_select],MATCH(VALUE(questions[[#This Row],[qno]]),VALUE(stable[qno]),0))</f>
        <v>1</v>
      </c>
      <c r="Q953" s="77" t="b" cm="1">
        <f t="array" ref="Q953">INDEX(stable[is_multi_select],MATCH(VALUE(questions[[#This Row],[qno]]),VALUE(stable[qno]),0))</f>
        <v>0</v>
      </c>
      <c r="R953" s="77" t="b" cm="1">
        <f t="array" ref="R953">INDEX(stable[is_skip_logic],MATCH(VALUE(questions[[#This Row],[qno]]),VALUE(stable[qno]),0))</f>
        <v>1</v>
      </c>
      <c r="S953" s="77" t="str">
        <f>_xlfn.TEXTJOIN(", ",TRUE,questions[[#This Row],[ans_opt_1]:[ans_opt_14]])</f>
        <v>1-5 years, 6-10 years, 11-15 years, 15-20 years, 20-30 years, &gt;30 years</v>
      </c>
      <c r="T953" s="77" t="s">
        <v>459</v>
      </c>
      <c r="U953" s="77" t="s">
        <v>460</v>
      </c>
      <c r="V953" s="77" t="s">
        <v>461</v>
      </c>
      <c r="W953" s="77" t="s">
        <v>462</v>
      </c>
      <c r="X953" s="77" t="s">
        <v>463</v>
      </c>
      <c r="Y953" s="77" t="s">
        <v>464</v>
      </c>
      <c r="AH953" s="98" t="b">
        <f>INDEX(stable[q_standard],MATCH(questions[[#This Row],[qno]],stable[qno],0))</f>
        <v>0</v>
      </c>
      <c r="AI953" s="98" t="b">
        <f>INDEX(stable[q_living_income],MATCH(questions[[#This Row],[qno]],stable[qno],0))</f>
        <v>0</v>
      </c>
      <c r="AJ953" s="98" t="b">
        <f>INDEX(stable[q_carbon],MATCH(questions[[#This Row],[qno]],stable[qno],0))</f>
        <v>0</v>
      </c>
      <c r="AK953" s="98" t="b">
        <f>INDEX(stable[q_regen_ag],MATCH(questions[[#This Row],[qno]],stable[qno],0))</f>
        <v>1</v>
      </c>
      <c r="AL953" s="98" t="b">
        <f>COUNTIFS(stable[qno],questions[[#This Row],[qno]])=1</f>
        <v>1</v>
      </c>
      <c r="AM953" s="98" t="b">
        <f>OR(questions[[#This Row],[is_fixed]],questions[[#This Row],[is_localized]],questions[[#This Row],[is_supply_chain_dependent]])</f>
        <v>1</v>
      </c>
      <c r="AN953" s="98" t="b">
        <f>COUNTIFS(questions[[#This Row],[is_automated]:[is_multi_select]],TRUE)=1</f>
        <v>1</v>
      </c>
      <c r="AO953" s="98" t="b">
        <f>IF(questions[[#This Row],[is_fixed]],questions[[#This Row],[question]]=INDEX(stable[question],MATCH(questions[[#This Row],[qno]],stable[qno],0)),TRUE)</f>
        <v>1</v>
      </c>
      <c r="AP953" s="98" t="str">
        <f>LEFT(questions[[#This Row],[question]],similarity_range)</f>
        <v>If you grow only one</v>
      </c>
      <c r="AQ953" s="98" t="str">
        <f>LEFT(INDEX(stable[question],MATCH(questions[[#This Row],[qno]],stable[qno],0)),similarity_range)</f>
        <v>If you grow only one</v>
      </c>
      <c r="AR953" s="98" t="b">
        <f>questions[[#This Row],[question_first_characters]]=questions[[#This Row],[stability_first_characters]]</f>
        <v>1</v>
      </c>
      <c r="AS953" s="98" t="b">
        <f>IF(OR(questions[[#This Row],[is_single_select]],questions[[#This Row],[is_multi_select]]),NOT(ISBLANK(questions[[#This Row],[answer_opt_combined]])),TRUE)</f>
        <v>1</v>
      </c>
    </row>
    <row r="954" spans="1:45" s="77" customFormat="1" ht="15.75" customHeight="1" x14ac:dyDescent="0.25">
      <c r="A954" s="77" t="str">
        <f>_xlfn.TEXTJOIN("_",TRUE,questions[[#This Row],[origin]:[qno]])</f>
        <v>Uganda_Robusta_Nespresso_7500</v>
      </c>
      <c r="B954" s="77" t="s">
        <v>511</v>
      </c>
      <c r="C954" s="77" t="s">
        <v>674</v>
      </c>
      <c r="D954" s="77" t="s">
        <v>864</v>
      </c>
      <c r="F954" s="104" t="s">
        <v>465</v>
      </c>
      <c r="G954" s="78" t="s">
        <v>466</v>
      </c>
      <c r="H954" s="9" t="str" cm="1">
        <f t="array" ref="H954">INDEX(stableR[question],MATCH(VALUE(questions[[#This Row],[qno]]),VALUE(stableR[qno]),0))</f>
        <v>Do you plant shade trees and/or fruit trees in your coffee plots?</v>
      </c>
      <c r="I954" s="9" t="b" cm="1">
        <f t="array" ref="I954">INDEX(stable[is_fixed],MATCH(VALUE(questions[[#This Row],[qno]]),VALUE(stable[qno]),0))</f>
        <v>0</v>
      </c>
      <c r="J954" s="9" t="b" cm="1">
        <f t="array" ref="J954">INDEX(stable[is_localized],MATCH(VALUE(questions[[#This Row],[qno]]),VALUE(stable[qno]),0))</f>
        <v>1</v>
      </c>
      <c r="K954" s="9" t="b" cm="1">
        <f t="array" ref="K954">INDEX(stable[is_supply_chain_dependent],MATCH(VALUE(questions[[#This Row],[qno]]),VALUE(stable[qno]),0))</f>
        <v>0</v>
      </c>
      <c r="L954" s="9" t="b" cm="1">
        <f t="array" ref="L954">INDEX(stable[is_mandatory],MATCH(VALUE(questions[[#This Row],[qno]]),VALUE(stable[qno]),0))</f>
        <v>1</v>
      </c>
      <c r="M954" s="9" t="b" cm="1">
        <f t="array" ref="M954">INDEX(stable[is_automated],MATCH(VALUE(questions[[#This Row],[qno]]),VALUE(stable[qno]),0))</f>
        <v>0</v>
      </c>
      <c r="N954" s="9" t="b" cm="1">
        <f t="array" ref="N954">INDEX(stable[is_free_text],MATCH(VALUE(questions[[#This Row],[qno]]),VALUE(stable[qno]),0))</f>
        <v>0</v>
      </c>
      <c r="O954" s="9" t="b" cm="1">
        <f t="array" ref="O954">INDEX(stable[is_numerical],MATCH(VALUE(questions[[#This Row],[qno]]),VALUE(stable[qno]),0))</f>
        <v>0</v>
      </c>
      <c r="P954" s="77" t="b" cm="1">
        <f t="array" ref="P954">INDEX(stable[is_single_select],MATCH(VALUE(questions[[#This Row],[qno]]),VALUE(stable[qno]),0))</f>
        <v>1</v>
      </c>
      <c r="Q954" s="77" t="b" cm="1">
        <f t="array" ref="Q954">INDEX(stable[is_multi_select],MATCH(VALUE(questions[[#This Row],[qno]]),VALUE(stable[qno]),0))</f>
        <v>0</v>
      </c>
      <c r="R954" s="77" t="b" cm="1">
        <f t="array" ref="R954">INDEX(stable[is_skip_logic],MATCH(VALUE(questions[[#This Row],[qno]]),VALUE(stable[qno]),0))</f>
        <v>1</v>
      </c>
      <c r="S954" s="77" t="str">
        <f>_xlfn.TEXTJOIN(", ",TRUE,questions[[#This Row],[ans_opt_1]:[ans_opt_14]])</f>
        <v>No, Yes - forest shade trees, Yes - fruit trees, Yes - mix of forest shade trees and fruit trees</v>
      </c>
      <c r="T954" s="77" t="s">
        <v>119</v>
      </c>
      <c r="U954" s="77" t="s">
        <v>467</v>
      </c>
      <c r="V954" s="77" t="s">
        <v>468</v>
      </c>
      <c r="W954" s="77" t="s">
        <v>469</v>
      </c>
      <c r="AH954" s="98" t="b">
        <f>INDEX(stable[q_standard],MATCH(questions[[#This Row],[qno]],stable[qno],0))</f>
        <v>0</v>
      </c>
      <c r="AI954" s="98" t="b">
        <f>INDEX(stable[q_living_income],MATCH(questions[[#This Row],[qno]],stable[qno],0))</f>
        <v>0</v>
      </c>
      <c r="AJ954" s="98" t="b">
        <f>INDEX(stable[q_carbon],MATCH(questions[[#This Row],[qno]],stable[qno],0))</f>
        <v>0</v>
      </c>
      <c r="AK954" s="98" t="b">
        <f>INDEX(stable[q_regen_ag],MATCH(questions[[#This Row],[qno]],stable[qno],0))</f>
        <v>1</v>
      </c>
      <c r="AL954" s="98" t="b">
        <f>COUNTIFS(stable[qno],questions[[#This Row],[qno]])=1</f>
        <v>1</v>
      </c>
      <c r="AM954" s="98" t="b">
        <f>OR(questions[[#This Row],[is_fixed]],questions[[#This Row],[is_localized]],questions[[#This Row],[is_supply_chain_dependent]])</f>
        <v>1</v>
      </c>
      <c r="AN954" s="98" t="b">
        <f>COUNTIFS(questions[[#This Row],[is_automated]:[is_multi_select]],TRUE)=1</f>
        <v>1</v>
      </c>
      <c r="AO954" s="98" t="b">
        <f>IF(questions[[#This Row],[is_fixed]],questions[[#This Row],[question]]=INDEX(stable[question],MATCH(questions[[#This Row],[qno]],stable[qno],0)),TRUE)</f>
        <v>1</v>
      </c>
      <c r="AP954" s="98" t="str">
        <f>LEFT(questions[[#This Row],[question]],similarity_range)</f>
        <v>Do you plant shade t</v>
      </c>
      <c r="AQ954" s="98" t="str">
        <f>LEFT(INDEX(stable[question],MATCH(questions[[#This Row],[qno]],stable[qno],0)),similarity_range)</f>
        <v>Do you plant shade t</v>
      </c>
      <c r="AR954" s="98" t="b">
        <f>questions[[#This Row],[question_first_characters]]=questions[[#This Row],[stability_first_characters]]</f>
        <v>1</v>
      </c>
      <c r="AS954" s="98" t="b">
        <f>IF(OR(questions[[#This Row],[is_single_select]],questions[[#This Row],[is_multi_select]]),NOT(ISBLANK(questions[[#This Row],[answer_opt_combined]])),TRUE)</f>
        <v>1</v>
      </c>
    </row>
    <row r="955" spans="1:45" s="77" customFormat="1" ht="15.75" customHeight="1" x14ac:dyDescent="0.25">
      <c r="A955" s="77" t="str">
        <f>_xlfn.TEXTJOIN("_",TRUE,questions[[#This Row],[origin]:[qno]])</f>
        <v>Uganda_Robusta_Nespresso_7501</v>
      </c>
      <c r="B955" s="77" t="s">
        <v>511</v>
      </c>
      <c r="C955" s="77" t="s">
        <v>674</v>
      </c>
      <c r="D955" s="77" t="s">
        <v>864</v>
      </c>
      <c r="F955" s="104" t="s">
        <v>470</v>
      </c>
      <c r="G955" s="78" t="s">
        <v>811</v>
      </c>
      <c r="H955" s="9" t="str" cm="1">
        <f t="array" ref="H955">INDEX(stableR[question],MATCH(VALUE(questions[[#This Row],[qno]]),VALUE(stableR[qno]),0))</f>
        <v>If so, on what % or proportion of your coffee plots do you have shade and/or fruit trees? e.g. if all agro-forestry trees are only distributed in a quarter of the coffee plot, and the rest of the plot does not have agro-forestry trees, then it is 25%</v>
      </c>
      <c r="I955" s="9" t="b" cm="1">
        <f t="array" ref="I955">INDEX(stable[is_fixed],MATCH(VALUE(questions[[#This Row],[qno]]),VALUE(stable[qno]),0))</f>
        <v>1</v>
      </c>
      <c r="J955" s="9" t="b" cm="1">
        <f t="array" ref="J955">INDEX(stable[is_localized],MATCH(VALUE(questions[[#This Row],[qno]]),VALUE(stable[qno]),0))</f>
        <v>0</v>
      </c>
      <c r="K955" s="9" t="b" cm="1">
        <f t="array" ref="K955">INDEX(stable[is_supply_chain_dependent],MATCH(VALUE(questions[[#This Row],[qno]]),VALUE(stable[qno]),0))</f>
        <v>0</v>
      </c>
      <c r="L955" s="9" t="b" cm="1">
        <f t="array" ref="L955">INDEX(stable[is_mandatory],MATCH(VALUE(questions[[#This Row],[qno]]),VALUE(stable[qno]),0))</f>
        <v>0</v>
      </c>
      <c r="M955" s="9" t="b" cm="1">
        <f t="array" ref="M955">INDEX(stable[is_automated],MATCH(VALUE(questions[[#This Row],[qno]]),VALUE(stable[qno]),0))</f>
        <v>0</v>
      </c>
      <c r="N955" s="9" t="b" cm="1">
        <f t="array" ref="N955">INDEX(stable[is_free_text],MATCH(VALUE(questions[[#This Row],[qno]]),VALUE(stable[qno]),0))</f>
        <v>0</v>
      </c>
      <c r="O955" s="9" t="b" cm="1">
        <f t="array" ref="O955">INDEX(stable[is_numerical],MATCH(VALUE(questions[[#This Row],[qno]]),VALUE(stable[qno]),0))</f>
        <v>0</v>
      </c>
      <c r="P955" s="77" t="b" cm="1">
        <f t="array" ref="P955">INDEX(stable[is_single_select],MATCH(VALUE(questions[[#This Row],[qno]]),VALUE(stable[qno]),0))</f>
        <v>1</v>
      </c>
      <c r="Q955" s="77" t="b" cm="1">
        <f t="array" ref="Q955">INDEX(stable[is_multi_select],MATCH(VALUE(questions[[#This Row],[qno]]),VALUE(stable[qno]),0))</f>
        <v>0</v>
      </c>
      <c r="R955" s="77" t="b" cm="1">
        <f t="array" ref="R955">INDEX(stable[is_skip_logic],MATCH(VALUE(questions[[#This Row],[qno]]),VALUE(stable[qno]),0))</f>
        <v>1</v>
      </c>
      <c r="S955" s="77" t="str">
        <f>_xlfn.TEXTJOIN(", ",TRUE,questions[[#This Row],[ans_opt_1]:[ans_opt_14]])</f>
        <v>1% to 25% - little to a quarter, 26% to 50% - less than half, 51% to 75% - more than half, 76% to 100% - almost all</v>
      </c>
      <c r="T955" s="77" t="s">
        <v>338</v>
      </c>
      <c r="U955" s="77" t="s">
        <v>339</v>
      </c>
      <c r="V955" s="77" t="s">
        <v>340</v>
      </c>
      <c r="W955" s="77" t="s">
        <v>341</v>
      </c>
      <c r="AH955" s="98" t="b">
        <f>INDEX(stable[q_standard],MATCH(questions[[#This Row],[qno]],stable[qno],0))</f>
        <v>0</v>
      </c>
      <c r="AI955" s="98" t="b">
        <f>INDEX(stable[q_living_income],MATCH(questions[[#This Row],[qno]],stable[qno],0))</f>
        <v>0</v>
      </c>
      <c r="AJ955" s="98" t="b">
        <f>INDEX(stable[q_carbon],MATCH(questions[[#This Row],[qno]],stable[qno],0))</f>
        <v>0</v>
      </c>
      <c r="AK955" s="98" t="b">
        <f>INDEX(stable[q_regen_ag],MATCH(questions[[#This Row],[qno]],stable[qno],0))</f>
        <v>1</v>
      </c>
      <c r="AL955" s="98" t="b">
        <f>COUNTIFS(stable[qno],questions[[#This Row],[qno]])=1</f>
        <v>1</v>
      </c>
      <c r="AM955" s="98" t="b">
        <f>OR(questions[[#This Row],[is_fixed]],questions[[#This Row],[is_localized]],questions[[#This Row],[is_supply_chain_dependent]])</f>
        <v>1</v>
      </c>
      <c r="AN955" s="98" t="b">
        <f>COUNTIFS(questions[[#This Row],[is_automated]:[is_multi_select]],TRUE)=1</f>
        <v>1</v>
      </c>
      <c r="AO955" s="98" t="b">
        <f>IF(questions[[#This Row],[is_fixed]],questions[[#This Row],[question]]=INDEX(stable[question],MATCH(questions[[#This Row],[qno]],stable[qno],0)),TRUE)</f>
        <v>0</v>
      </c>
      <c r="AP955" s="98" t="str">
        <f>LEFT(questions[[#This Row],[question]],similarity_range)</f>
        <v xml:space="preserve">If so, on what % or </v>
      </c>
      <c r="AQ955" s="98" t="str">
        <f>LEFT(INDEX(stable[question],MATCH(questions[[#This Row],[qno]],stable[qno],0)),similarity_range)</f>
        <v xml:space="preserve">If so, on what % or </v>
      </c>
      <c r="AR955" s="98" t="b">
        <f>questions[[#This Row],[question_first_characters]]=questions[[#This Row],[stability_first_characters]]</f>
        <v>1</v>
      </c>
      <c r="AS955" s="98" t="b">
        <f>IF(OR(questions[[#This Row],[is_single_select]],questions[[#This Row],[is_multi_select]]),NOT(ISBLANK(questions[[#This Row],[answer_opt_combined]])),TRUE)</f>
        <v>1</v>
      </c>
    </row>
    <row r="956" spans="1:45" ht="15.75" customHeight="1" x14ac:dyDescent="0.25">
      <c r="A956" s="9" t="str">
        <f>_xlfn.TEXTJOIN("_",TRUE,questions[[#This Row],[origin]:[qno]])</f>
        <v>Uganda_Robusta_Nespresso_7502</v>
      </c>
      <c r="B956" s="9" t="s">
        <v>511</v>
      </c>
      <c r="C956" s="9" t="s">
        <v>674</v>
      </c>
      <c r="D956" s="9" t="s">
        <v>864</v>
      </c>
      <c r="F956" s="24" t="s">
        <v>472</v>
      </c>
      <c r="G956" s="15" t="s">
        <v>473</v>
      </c>
      <c r="H956" s="9" t="str" cm="1">
        <f t="array" ref="H956">INDEX(stableR[question],MATCH(VALUE(questions[[#This Row],[qno]]),VALUE(stableR[qno]),0))</f>
        <v>How many different species of shade and/or fruit trees do you have in your coffee plots?</v>
      </c>
      <c r="I956" s="9" t="b" cm="1">
        <f t="array" ref="I956">INDEX(stable[is_fixed],MATCH(VALUE(questions[[#This Row],[qno]]),VALUE(stable[qno]),0))</f>
        <v>1</v>
      </c>
      <c r="J956" s="9" t="b" cm="1">
        <f t="array" ref="J956">INDEX(stable[is_localized],MATCH(VALUE(questions[[#This Row],[qno]]),VALUE(stable[qno]),0))</f>
        <v>0</v>
      </c>
      <c r="K956" s="9" t="b" cm="1">
        <f t="array" ref="K956">INDEX(stable[is_supply_chain_dependent],MATCH(VALUE(questions[[#This Row],[qno]]),VALUE(stable[qno]),0))</f>
        <v>0</v>
      </c>
      <c r="L956" s="9" t="b" cm="1">
        <f t="array" ref="L956">INDEX(stable[is_mandatory],MATCH(VALUE(questions[[#This Row],[qno]]),VALUE(stable[qno]),0))</f>
        <v>0</v>
      </c>
      <c r="M956" s="9" t="b" cm="1">
        <f t="array" ref="M956">INDEX(stable[is_automated],MATCH(VALUE(questions[[#This Row],[qno]]),VALUE(stable[qno]),0))</f>
        <v>0</v>
      </c>
      <c r="N956" s="9" t="b" cm="1">
        <f t="array" ref="N956">INDEX(stable[is_free_text],MATCH(VALUE(questions[[#This Row],[qno]]),VALUE(stable[qno]),0))</f>
        <v>0</v>
      </c>
      <c r="O956" s="9" t="b" cm="1">
        <f t="array" ref="O956">INDEX(stable[is_numerical],MATCH(VALUE(questions[[#This Row],[qno]]),VALUE(stable[qno]),0))</f>
        <v>1</v>
      </c>
      <c r="P956" s="9" t="b" cm="1">
        <f t="array" ref="P956">INDEX(stable[is_single_select],MATCH(VALUE(questions[[#This Row],[qno]]),VALUE(stable[qno]),0))</f>
        <v>0</v>
      </c>
      <c r="Q956" s="9" t="b" cm="1">
        <f t="array" ref="Q956">INDEX(stable[is_multi_select],MATCH(VALUE(questions[[#This Row],[qno]]),VALUE(stable[qno]),0))</f>
        <v>0</v>
      </c>
      <c r="R956" s="9" t="b" cm="1">
        <f t="array" ref="R956">INDEX(stable[is_skip_logic],MATCH(VALUE(questions[[#This Row],[qno]]),VALUE(stable[qno]),0))</f>
        <v>0</v>
      </c>
      <c r="S956" s="9" t="str">
        <f>_xlfn.TEXTJOIN(", ",TRUE,questions[[#This Row],[ans_opt_1]:[ans_opt_14]])</f>
        <v/>
      </c>
      <c r="AH956" s="16" t="b">
        <f>INDEX(stable[q_standard],MATCH(questions[[#This Row],[qno]],stable[qno],0))</f>
        <v>0</v>
      </c>
      <c r="AI956" s="16" t="b">
        <f>INDEX(stable[q_living_income],MATCH(questions[[#This Row],[qno]],stable[qno],0))</f>
        <v>0</v>
      </c>
      <c r="AJ956" s="16" t="b">
        <f>INDEX(stable[q_carbon],MATCH(questions[[#This Row],[qno]],stable[qno],0))</f>
        <v>0</v>
      </c>
      <c r="AK956" s="16" t="b">
        <f>INDEX(stable[q_regen_ag],MATCH(questions[[#This Row],[qno]],stable[qno],0))</f>
        <v>1</v>
      </c>
      <c r="AL956" s="16" t="b">
        <f>COUNTIFS(stable[qno],questions[[#This Row],[qno]])=1</f>
        <v>1</v>
      </c>
      <c r="AM956" s="16" t="b">
        <f>OR(questions[[#This Row],[is_fixed]],questions[[#This Row],[is_localized]],questions[[#This Row],[is_supply_chain_dependent]])</f>
        <v>1</v>
      </c>
      <c r="AN956" s="16" t="b">
        <f>COUNTIFS(questions[[#This Row],[is_automated]:[is_multi_select]],TRUE)=1</f>
        <v>1</v>
      </c>
      <c r="AO956" s="16" t="b">
        <f>IF(questions[[#This Row],[is_fixed]],questions[[#This Row],[question]]=INDEX(stable[question],MATCH(questions[[#This Row],[qno]],stable[qno],0)),TRUE)</f>
        <v>1</v>
      </c>
      <c r="AP956" s="16" t="str">
        <f>LEFT(questions[[#This Row],[question]],similarity_range)</f>
        <v>How many different s</v>
      </c>
      <c r="AQ956" s="16" t="str">
        <f>LEFT(INDEX(stable[question],MATCH(questions[[#This Row],[qno]],stable[qno],0)),similarity_range)</f>
        <v>How many different s</v>
      </c>
      <c r="AR956" s="16" t="b">
        <f>questions[[#This Row],[question_first_characters]]=questions[[#This Row],[stability_first_characters]]</f>
        <v>1</v>
      </c>
      <c r="AS956" s="16" t="b">
        <f>IF(OR(questions[[#This Row],[is_single_select]],questions[[#This Row],[is_multi_select]]),NOT(ISBLANK(questions[[#This Row],[answer_opt_combined]])),TRUE)</f>
        <v>1</v>
      </c>
    </row>
    <row r="957" spans="1:45" ht="15.75" customHeight="1" x14ac:dyDescent="0.25">
      <c r="A957" s="9" t="str">
        <f>_xlfn.TEXTJOIN("_",TRUE,questions[[#This Row],[origin]:[qno]])</f>
        <v>Uganda_Robusta_Nespresso_7503</v>
      </c>
      <c r="B957" s="9" t="s">
        <v>511</v>
      </c>
      <c r="C957" s="9" t="s">
        <v>674</v>
      </c>
      <c r="D957" s="9" t="s">
        <v>864</v>
      </c>
      <c r="F957" s="24" t="s">
        <v>474</v>
      </c>
      <c r="G957" s="15" t="s">
        <v>475</v>
      </c>
      <c r="H957" s="9" t="str" cm="1">
        <f t="array" ref="H957">INDEX(stableR[question],MATCH(VALUE(questions[[#This Row],[qno]]),VALUE(stableR[qno]),0))</f>
        <v>Can you estimate how many shade trees (including fruit and other trees) you have in your coffee plots, in total (inside and boundary trees)?</v>
      </c>
      <c r="I957" s="9" t="b" cm="1">
        <f t="array" ref="I957">INDEX(stable[is_fixed],MATCH(VALUE(questions[[#This Row],[qno]]),VALUE(stable[qno]),0))</f>
        <v>1</v>
      </c>
      <c r="J957" s="9" t="b" cm="1">
        <f t="array" ref="J957">INDEX(stable[is_localized],MATCH(VALUE(questions[[#This Row],[qno]]),VALUE(stable[qno]),0))</f>
        <v>0</v>
      </c>
      <c r="K957" s="9" t="b" cm="1">
        <f t="array" ref="K957">INDEX(stable[is_supply_chain_dependent],MATCH(VALUE(questions[[#This Row],[qno]]),VALUE(stable[qno]),0))</f>
        <v>0</v>
      </c>
      <c r="L957" s="9" t="b" cm="1">
        <f t="array" ref="L957">INDEX(stable[is_mandatory],MATCH(VALUE(questions[[#This Row],[qno]]),VALUE(stable[qno]),0))</f>
        <v>0</v>
      </c>
      <c r="M957" s="9" t="b" cm="1">
        <f t="array" ref="M957">INDEX(stable[is_automated],MATCH(VALUE(questions[[#This Row],[qno]]),VALUE(stable[qno]),0))</f>
        <v>0</v>
      </c>
      <c r="N957" s="9" t="b" cm="1">
        <f t="array" ref="N957">INDEX(stable[is_free_text],MATCH(VALUE(questions[[#This Row],[qno]]),VALUE(stable[qno]),0))</f>
        <v>0</v>
      </c>
      <c r="O957" s="9" t="b" cm="1">
        <f t="array" ref="O957">INDEX(stable[is_numerical],MATCH(VALUE(questions[[#This Row],[qno]]),VALUE(stable[qno]),0))</f>
        <v>1</v>
      </c>
      <c r="P957" s="9" t="b" cm="1">
        <f t="array" ref="P957">INDEX(stable[is_single_select],MATCH(VALUE(questions[[#This Row],[qno]]),VALUE(stable[qno]),0))</f>
        <v>0</v>
      </c>
      <c r="Q957" s="9" t="b" cm="1">
        <f t="array" ref="Q957">INDEX(stable[is_multi_select],MATCH(VALUE(questions[[#This Row],[qno]]),VALUE(stable[qno]),0))</f>
        <v>0</v>
      </c>
      <c r="R957" s="9" t="b" cm="1">
        <f t="array" ref="R957">INDEX(stable[is_skip_logic],MATCH(VALUE(questions[[#This Row],[qno]]),VALUE(stable[qno]),0))</f>
        <v>0</v>
      </c>
      <c r="S957" s="9" t="str">
        <f>_xlfn.TEXTJOIN(", ",TRUE,questions[[#This Row],[ans_opt_1]:[ans_opt_14]])</f>
        <v/>
      </c>
      <c r="AH957" s="16" t="b">
        <f>INDEX(stable[q_standard],MATCH(questions[[#This Row],[qno]],stable[qno],0))</f>
        <v>0</v>
      </c>
      <c r="AI957" s="16" t="b">
        <f>INDEX(stable[q_living_income],MATCH(questions[[#This Row],[qno]],stable[qno],0))</f>
        <v>0</v>
      </c>
      <c r="AJ957" s="16" t="b">
        <f>INDEX(stable[q_carbon],MATCH(questions[[#This Row],[qno]],stable[qno],0))</f>
        <v>0</v>
      </c>
      <c r="AK957" s="16" t="b">
        <f>INDEX(stable[q_regen_ag],MATCH(questions[[#This Row],[qno]],stable[qno],0))</f>
        <v>1</v>
      </c>
      <c r="AL957" s="16" t="b">
        <f>COUNTIFS(stable[qno],questions[[#This Row],[qno]])=1</f>
        <v>1</v>
      </c>
      <c r="AM957" s="16" t="b">
        <f>OR(questions[[#This Row],[is_fixed]],questions[[#This Row],[is_localized]],questions[[#This Row],[is_supply_chain_dependent]])</f>
        <v>1</v>
      </c>
      <c r="AN957" s="16" t="b">
        <f>COUNTIFS(questions[[#This Row],[is_automated]:[is_multi_select]],TRUE)=1</f>
        <v>1</v>
      </c>
      <c r="AO957" s="16" t="b">
        <f>IF(questions[[#This Row],[is_fixed]],questions[[#This Row],[question]]=INDEX(stable[question],MATCH(questions[[#This Row],[qno]],stable[qno],0)),TRUE)</f>
        <v>1</v>
      </c>
      <c r="AP957" s="16" t="str">
        <f>LEFT(questions[[#This Row],[question]],similarity_range)</f>
        <v>Can you estimate how</v>
      </c>
      <c r="AQ957" s="16" t="str">
        <f>LEFT(INDEX(stable[question],MATCH(questions[[#This Row],[qno]],stable[qno],0)),similarity_range)</f>
        <v>Can you estimate how</v>
      </c>
      <c r="AR957" s="16" t="b">
        <f>questions[[#This Row],[question_first_characters]]=questions[[#This Row],[stability_first_characters]]</f>
        <v>1</v>
      </c>
      <c r="AS957" s="16" t="b">
        <f>IF(OR(questions[[#This Row],[is_single_select]],questions[[#This Row],[is_multi_select]]),NOT(ISBLANK(questions[[#This Row],[answer_opt_combined]])),TRUE)</f>
        <v>1</v>
      </c>
    </row>
    <row r="958" spans="1:45" s="77" customFormat="1" ht="15.75" customHeight="1" x14ac:dyDescent="0.25">
      <c r="A958" s="77" t="str">
        <f>_xlfn.TEXTJOIN("_",TRUE,questions[[#This Row],[origin]:[qno]])</f>
        <v>Uganda_Robusta_Nespresso_7504</v>
      </c>
      <c r="B958" s="77" t="s">
        <v>511</v>
      </c>
      <c r="C958" s="77" t="s">
        <v>674</v>
      </c>
      <c r="D958" s="77" t="s">
        <v>864</v>
      </c>
      <c r="F958" s="104" t="s">
        <v>476</v>
      </c>
      <c r="G958" s="78" t="s">
        <v>477</v>
      </c>
      <c r="H958" s="9" t="str" cm="1">
        <f t="array" ref="H958">INDEX(stableR[question],MATCH(VALUE(questions[[#This Row],[qno]]),VALUE(stableR[qno]),0))</f>
        <v>What describes best the size of these shade trees?</v>
      </c>
      <c r="I958" s="9" t="b" cm="1">
        <f t="array" ref="I958">INDEX(stable[is_fixed],MATCH(VALUE(questions[[#This Row],[qno]]),VALUE(stable[qno]),0))</f>
        <v>1</v>
      </c>
      <c r="J958" s="9" t="b" cm="1">
        <f t="array" ref="J958">INDEX(stable[is_localized],MATCH(VALUE(questions[[#This Row],[qno]]),VALUE(stable[qno]),0))</f>
        <v>0</v>
      </c>
      <c r="K958" s="9" t="b" cm="1">
        <f t="array" ref="K958">INDEX(stable[is_supply_chain_dependent],MATCH(VALUE(questions[[#This Row],[qno]]),VALUE(stable[qno]),0))</f>
        <v>0</v>
      </c>
      <c r="L958" s="9" t="b" cm="1">
        <f t="array" ref="L958">INDEX(stable[is_mandatory],MATCH(VALUE(questions[[#This Row],[qno]]),VALUE(stable[qno]),0))</f>
        <v>0</v>
      </c>
      <c r="M958" s="9" t="b" cm="1">
        <f t="array" ref="M958">INDEX(stable[is_automated],MATCH(VALUE(questions[[#This Row],[qno]]),VALUE(stable[qno]),0))</f>
        <v>0</v>
      </c>
      <c r="N958" s="9" t="b" cm="1">
        <f t="array" ref="N958">INDEX(stable[is_free_text],MATCH(VALUE(questions[[#This Row],[qno]]),VALUE(stable[qno]),0))</f>
        <v>0</v>
      </c>
      <c r="O958" s="9" t="b" cm="1">
        <f t="array" ref="O958">INDEX(stable[is_numerical],MATCH(VALUE(questions[[#This Row],[qno]]),VALUE(stable[qno]),0))</f>
        <v>0</v>
      </c>
      <c r="P958" s="77" t="b" cm="1">
        <f t="array" ref="P958">INDEX(stable[is_single_select],MATCH(VALUE(questions[[#This Row],[qno]]),VALUE(stable[qno]),0))</f>
        <v>1</v>
      </c>
      <c r="Q958" s="77" t="b" cm="1">
        <f t="array" ref="Q958">INDEX(stable[is_multi_select],MATCH(VALUE(questions[[#This Row],[qno]]),VALUE(stable[qno]),0))</f>
        <v>0</v>
      </c>
      <c r="R958" s="77" t="b" cm="1">
        <f t="array" ref="R958">INDEX(stable[is_skip_logic],MATCH(VALUE(questions[[#This Row],[qno]]),VALUE(stable[qno]),0))</f>
        <v>0</v>
      </c>
      <c r="S958" s="77" t="str">
        <f>_xlfn.TEXTJOIN(", ",TRUE,questions[[#This Row],[ans_opt_1]:[ans_opt_14]])</f>
        <v>Big sized, full grown, shade trees, Medium sized shade trees, including fruit trees, Multipurpose mix of trees (different types and sizes)</v>
      </c>
      <c r="T958" s="77" t="s">
        <v>478</v>
      </c>
      <c r="U958" s="77" t="s">
        <v>812</v>
      </c>
      <c r="V958" s="77" t="s">
        <v>813</v>
      </c>
      <c r="AH958" s="98" t="b">
        <f>INDEX(stable[q_standard],MATCH(questions[[#This Row],[qno]],stable[qno],0))</f>
        <v>0</v>
      </c>
      <c r="AI958" s="98" t="b">
        <f>INDEX(stable[q_living_income],MATCH(questions[[#This Row],[qno]],stable[qno],0))</f>
        <v>0</v>
      </c>
      <c r="AJ958" s="98" t="b">
        <f>INDEX(stable[q_carbon],MATCH(questions[[#This Row],[qno]],stable[qno],0))</f>
        <v>0</v>
      </c>
      <c r="AK958" s="98" t="b">
        <f>INDEX(stable[q_regen_ag],MATCH(questions[[#This Row],[qno]],stable[qno],0))</f>
        <v>1</v>
      </c>
      <c r="AL958" s="98" t="b">
        <f>COUNTIFS(stable[qno],questions[[#This Row],[qno]])=1</f>
        <v>1</v>
      </c>
      <c r="AM958" s="98" t="b">
        <f>OR(questions[[#This Row],[is_fixed]],questions[[#This Row],[is_localized]],questions[[#This Row],[is_supply_chain_dependent]])</f>
        <v>1</v>
      </c>
      <c r="AN958" s="98" t="b">
        <f>COUNTIFS(questions[[#This Row],[is_automated]:[is_multi_select]],TRUE)=1</f>
        <v>1</v>
      </c>
      <c r="AO958" s="98" t="b">
        <f>IF(questions[[#This Row],[is_fixed]],questions[[#This Row],[question]]=INDEX(stable[question],MATCH(questions[[#This Row],[qno]],stable[qno],0)),TRUE)</f>
        <v>1</v>
      </c>
      <c r="AP958" s="98" t="str">
        <f>LEFT(questions[[#This Row],[question]],similarity_range)</f>
        <v xml:space="preserve">What describes best </v>
      </c>
      <c r="AQ958" s="98" t="str">
        <f>LEFT(INDEX(stable[question],MATCH(questions[[#This Row],[qno]],stable[qno],0)),similarity_range)</f>
        <v xml:space="preserve">What describes best </v>
      </c>
      <c r="AR958" s="98" t="b">
        <f>questions[[#This Row],[question_first_characters]]=questions[[#This Row],[stability_first_characters]]</f>
        <v>1</v>
      </c>
      <c r="AS958" s="98" t="b">
        <f>IF(OR(questions[[#This Row],[is_single_select]],questions[[#This Row],[is_multi_select]]),NOT(ISBLANK(questions[[#This Row],[answer_opt_combined]])),TRUE)</f>
        <v>1</v>
      </c>
    </row>
    <row r="959" spans="1:45" s="77" customFormat="1" ht="15.75" customHeight="1" x14ac:dyDescent="0.25">
      <c r="A959" s="77" t="str">
        <f>_xlfn.TEXTJOIN("_",TRUE,questions[[#This Row],[origin]:[qno]])</f>
        <v>Uganda_Robusta_Nespresso_7600</v>
      </c>
      <c r="B959" s="77" t="s">
        <v>511</v>
      </c>
      <c r="C959" s="77" t="s">
        <v>674</v>
      </c>
      <c r="D959" s="77" t="s">
        <v>864</v>
      </c>
      <c r="F959" s="104" t="s">
        <v>481</v>
      </c>
      <c r="G959" s="78" t="s">
        <v>482</v>
      </c>
      <c r="H959" s="9" t="str" cm="1">
        <f t="array" ref="H959">INDEX(stableR[question],MATCH(VALUE(questions[[#This Row],[qno]]),VALUE(stableR[qno]),0))</f>
        <v>Do you keep bee hives in your farm (own bee hives or termporary during flowering season)?</v>
      </c>
      <c r="I959" s="9" t="b" cm="1">
        <f t="array" ref="I959">INDEX(stable[is_fixed],MATCH(VALUE(questions[[#This Row],[qno]]),VALUE(stable[qno]),0))</f>
        <v>1</v>
      </c>
      <c r="J959" s="9" t="b" cm="1">
        <f t="array" ref="J959">INDEX(stable[is_localized],MATCH(VALUE(questions[[#This Row],[qno]]),VALUE(stable[qno]),0))</f>
        <v>0</v>
      </c>
      <c r="K959" s="9" t="b" cm="1">
        <f t="array" ref="K959">INDEX(stable[is_supply_chain_dependent],MATCH(VALUE(questions[[#This Row],[qno]]),VALUE(stable[qno]),0))</f>
        <v>0</v>
      </c>
      <c r="L959" s="9" t="b" cm="1">
        <f t="array" ref="L959">INDEX(stable[is_mandatory],MATCH(VALUE(questions[[#This Row],[qno]]),VALUE(stable[qno]),0))</f>
        <v>1</v>
      </c>
      <c r="M959" s="9" t="b" cm="1">
        <f t="array" ref="M959">INDEX(stable[is_automated],MATCH(VALUE(questions[[#This Row],[qno]]),VALUE(stable[qno]),0))</f>
        <v>0</v>
      </c>
      <c r="N959" s="9" t="b" cm="1">
        <f t="array" ref="N959">INDEX(stable[is_free_text],MATCH(VALUE(questions[[#This Row],[qno]]),VALUE(stable[qno]),0))</f>
        <v>0</v>
      </c>
      <c r="O959" s="9" t="b" cm="1">
        <f t="array" ref="O959">INDEX(stable[is_numerical],MATCH(VALUE(questions[[#This Row],[qno]]),VALUE(stable[qno]),0))</f>
        <v>0</v>
      </c>
      <c r="P959" s="77" t="b" cm="1">
        <f t="array" ref="P959">INDEX(stable[is_single_select],MATCH(VALUE(questions[[#This Row],[qno]]),VALUE(stable[qno]),0))</f>
        <v>1</v>
      </c>
      <c r="Q959" s="77" t="b" cm="1">
        <f t="array" ref="Q959">INDEX(stable[is_multi_select],MATCH(VALUE(questions[[#This Row],[qno]]),VALUE(stable[qno]),0))</f>
        <v>0</v>
      </c>
      <c r="R959" s="77" t="b" cm="1">
        <f t="array" ref="R959">INDEX(stable[is_skip_logic],MATCH(VALUE(questions[[#This Row],[qno]]),VALUE(stable[qno]),0))</f>
        <v>0</v>
      </c>
      <c r="S959" s="77" t="str">
        <f>_xlfn.TEXTJOIN(", ",TRUE,questions[[#This Row],[ans_opt_1]:[ans_opt_14]])</f>
        <v>Yes, No</v>
      </c>
      <c r="T959" s="77" t="s">
        <v>149</v>
      </c>
      <c r="U959" s="77" t="s">
        <v>119</v>
      </c>
      <c r="AH959" s="98" t="b">
        <f>INDEX(stable[q_standard],MATCH(questions[[#This Row],[qno]],stable[qno],0))</f>
        <v>0</v>
      </c>
      <c r="AI959" s="98" t="b">
        <f>INDEX(stable[q_living_income],MATCH(questions[[#This Row],[qno]],stable[qno],0))</f>
        <v>0</v>
      </c>
      <c r="AJ959" s="98" t="b">
        <f>INDEX(stable[q_carbon],MATCH(questions[[#This Row],[qno]],stable[qno],0))</f>
        <v>0</v>
      </c>
      <c r="AK959" s="98" t="b">
        <f>INDEX(stable[q_regen_ag],MATCH(questions[[#This Row],[qno]],stable[qno],0))</f>
        <v>1</v>
      </c>
      <c r="AL959" s="98" t="b">
        <f>COUNTIFS(stable[qno],questions[[#This Row],[qno]])=1</f>
        <v>1</v>
      </c>
      <c r="AM959" s="98" t="b">
        <f>OR(questions[[#This Row],[is_fixed]],questions[[#This Row],[is_localized]],questions[[#This Row],[is_supply_chain_dependent]])</f>
        <v>1</v>
      </c>
      <c r="AN959" s="98" t="b">
        <f>COUNTIFS(questions[[#This Row],[is_automated]:[is_multi_select]],TRUE)=1</f>
        <v>1</v>
      </c>
      <c r="AO959" s="98" t="b">
        <f>IF(questions[[#This Row],[is_fixed]],questions[[#This Row],[question]]=INDEX(stable[question],MATCH(questions[[#This Row],[qno]],stable[qno],0)),TRUE)</f>
        <v>1</v>
      </c>
      <c r="AP959" s="98" t="str">
        <f>LEFT(questions[[#This Row],[question]],similarity_range)</f>
        <v>Do you keep bee hive</v>
      </c>
      <c r="AQ959" s="98" t="str">
        <f>LEFT(INDEX(stable[question],MATCH(questions[[#This Row],[qno]],stable[qno],0)),similarity_range)</f>
        <v>Do you keep bee hive</v>
      </c>
      <c r="AR959" s="98" t="b">
        <f>questions[[#This Row],[question_first_characters]]=questions[[#This Row],[stability_first_characters]]</f>
        <v>1</v>
      </c>
      <c r="AS959" s="98" t="b">
        <f>IF(OR(questions[[#This Row],[is_single_select]],questions[[#This Row],[is_multi_select]]),NOT(ISBLANK(questions[[#This Row],[answer_opt_combined]])),TRUE)</f>
        <v>1</v>
      </c>
    </row>
    <row r="960" spans="1:45" s="77" customFormat="1" ht="15.75" customHeight="1" x14ac:dyDescent="0.25">
      <c r="A960" s="77" t="str">
        <f>_xlfn.TEXTJOIN("_",TRUE,questions[[#This Row],[origin]:[qno]])</f>
        <v>Uganda_Robusta_Nespresso_7700</v>
      </c>
      <c r="B960" s="77" t="s">
        <v>511</v>
      </c>
      <c r="C960" s="77" t="s">
        <v>674</v>
      </c>
      <c r="D960" s="77" t="s">
        <v>864</v>
      </c>
      <c r="F960" s="104" t="s">
        <v>483</v>
      </c>
      <c r="G960" s="78" t="s">
        <v>484</v>
      </c>
      <c r="H960" s="9" t="str" cm="1">
        <f t="array" ref="H960">INDEX(stableR[question],MATCH(VALUE(questions[[#This Row],[qno]]),VALUE(stableR[qno]),0))</f>
        <v>Do you have riparian areas (a buffer area or strip of vegetation along the bank of a stream or river that spatially separates agricultural land from the water) in your coffee plots and/or its boundaries and how many?  If the answer is NO, you do not need to answer the next question.</v>
      </c>
      <c r="I960" s="9" t="b" cm="1">
        <f t="array" ref="I960">INDEX(stable[is_fixed],MATCH(VALUE(questions[[#This Row],[qno]]),VALUE(stable[qno]),0))</f>
        <v>1</v>
      </c>
      <c r="J960" s="9" t="b" cm="1">
        <f t="array" ref="J960">INDEX(stable[is_localized],MATCH(VALUE(questions[[#This Row],[qno]]),VALUE(stable[qno]),0))</f>
        <v>0</v>
      </c>
      <c r="K960" s="9" t="b" cm="1">
        <f t="array" ref="K960">INDEX(stable[is_supply_chain_dependent],MATCH(VALUE(questions[[#This Row],[qno]]),VALUE(stable[qno]),0))</f>
        <v>0</v>
      </c>
      <c r="L960" s="9" t="b" cm="1">
        <f t="array" ref="L960">INDEX(stable[is_mandatory],MATCH(VALUE(questions[[#This Row],[qno]]),VALUE(stable[qno]),0))</f>
        <v>1</v>
      </c>
      <c r="M960" s="9" t="b" cm="1">
        <f t="array" ref="M960">INDEX(stable[is_automated],MATCH(VALUE(questions[[#This Row],[qno]]),VALUE(stable[qno]),0))</f>
        <v>0</v>
      </c>
      <c r="N960" s="9" t="b" cm="1">
        <f t="array" ref="N960">INDEX(stable[is_free_text],MATCH(VALUE(questions[[#This Row],[qno]]),VALUE(stable[qno]),0))</f>
        <v>0</v>
      </c>
      <c r="O960" s="9" t="b" cm="1">
        <f t="array" ref="O960">INDEX(stable[is_numerical],MATCH(VALUE(questions[[#This Row],[qno]]),VALUE(stable[qno]),0))</f>
        <v>0</v>
      </c>
      <c r="P960" s="77" t="b" cm="1">
        <f t="array" ref="P960">INDEX(stable[is_single_select],MATCH(VALUE(questions[[#This Row],[qno]]),VALUE(stable[qno]),0))</f>
        <v>1</v>
      </c>
      <c r="Q960" s="77" t="b" cm="1">
        <f t="array" ref="Q960">INDEX(stable[is_multi_select],MATCH(VALUE(questions[[#This Row],[qno]]),VALUE(stable[qno]),0))</f>
        <v>0</v>
      </c>
      <c r="R960" s="77" t="b" cm="1">
        <f t="array" ref="R960">INDEX(stable[is_skip_logic],MATCH(VALUE(questions[[#This Row],[qno]]),VALUE(stable[qno]),0))</f>
        <v>0</v>
      </c>
      <c r="S960" s="77" t="str">
        <f>_xlfn.TEXTJOIN(", ",TRUE,questions[[#This Row],[ans_opt_1]:[ans_opt_14]])</f>
        <v>No, Yes -1 stream/river, Yes -2 streams/rivers, Yes -3 streams/rivers, Yes -4 streams/rivers, Yes -5 streams/rivers</v>
      </c>
      <c r="T960" s="77" t="s">
        <v>119</v>
      </c>
      <c r="U960" s="77" t="s">
        <v>485</v>
      </c>
      <c r="V960" s="77" t="s">
        <v>486</v>
      </c>
      <c r="W960" s="77" t="s">
        <v>487</v>
      </c>
      <c r="X960" s="77" t="s">
        <v>488</v>
      </c>
      <c r="Y960" s="77" t="s">
        <v>489</v>
      </c>
      <c r="AH960" s="98" t="b">
        <f>INDEX(stable[q_standard],MATCH(questions[[#This Row],[qno]],stable[qno],0))</f>
        <v>0</v>
      </c>
      <c r="AI960" s="98" t="b">
        <f>INDEX(stable[q_living_income],MATCH(questions[[#This Row],[qno]],stable[qno],0))</f>
        <v>0</v>
      </c>
      <c r="AJ960" s="98" t="b">
        <f>INDEX(stable[q_carbon],MATCH(questions[[#This Row],[qno]],stable[qno],0))</f>
        <v>0</v>
      </c>
      <c r="AK960" s="98" t="b">
        <f>INDEX(stable[q_regen_ag],MATCH(questions[[#This Row],[qno]],stable[qno],0))</f>
        <v>1</v>
      </c>
      <c r="AL960" s="98" t="b">
        <f>COUNTIFS(stable[qno],questions[[#This Row],[qno]])=1</f>
        <v>1</v>
      </c>
      <c r="AM960" s="98" t="b">
        <f>OR(questions[[#This Row],[is_fixed]],questions[[#This Row],[is_localized]],questions[[#This Row],[is_supply_chain_dependent]])</f>
        <v>1</v>
      </c>
      <c r="AN960" s="98" t="b">
        <f>COUNTIFS(questions[[#This Row],[is_automated]:[is_multi_select]],TRUE)=1</f>
        <v>1</v>
      </c>
      <c r="AO960" s="98" t="b">
        <f>IF(questions[[#This Row],[is_fixed]],questions[[#This Row],[question]]=INDEX(stable[question],MATCH(questions[[#This Row],[qno]],stable[qno],0)),TRUE)</f>
        <v>1</v>
      </c>
      <c r="AP960" s="98" t="str">
        <f>LEFT(questions[[#This Row],[question]],similarity_range)</f>
        <v>Do you have riparian</v>
      </c>
      <c r="AQ960" s="98" t="str">
        <f>LEFT(INDEX(stable[question],MATCH(questions[[#This Row],[qno]],stable[qno],0)),similarity_range)</f>
        <v>Do you have riparian</v>
      </c>
      <c r="AR960" s="98" t="b">
        <f>questions[[#This Row],[question_first_characters]]=questions[[#This Row],[stability_first_characters]]</f>
        <v>1</v>
      </c>
      <c r="AS960" s="98" t="b">
        <f>IF(OR(questions[[#This Row],[is_single_select]],questions[[#This Row],[is_multi_select]]),NOT(ISBLANK(questions[[#This Row],[answer_opt_combined]])),TRUE)</f>
        <v>1</v>
      </c>
    </row>
    <row r="961" spans="1:45" s="77" customFormat="1" ht="15.75" customHeight="1" x14ac:dyDescent="0.25">
      <c r="A961" s="77" t="str">
        <f>_xlfn.TEXTJOIN("_",TRUE,questions[[#This Row],[origin]:[qno]])</f>
        <v>Uganda_Robusta_Nespresso_7701</v>
      </c>
      <c r="B961" s="77" t="s">
        <v>511</v>
      </c>
      <c r="C961" s="77" t="s">
        <v>674</v>
      </c>
      <c r="D961" s="77" t="s">
        <v>864</v>
      </c>
      <c r="F961" s="104" t="s">
        <v>490</v>
      </c>
      <c r="G961" s="78" t="s">
        <v>902</v>
      </c>
      <c r="H961" s="9" t="str" cm="1">
        <f t="array" ref="H961">INDEX(stableR[question],MATCH(VALUE(questions[[#This Row],[qno]]),VALUE(stableR[qno]),0))</f>
        <v>How many of the riparian areas in your coffee plots are covered/protected with natural vegetation</v>
      </c>
      <c r="I961" s="9" t="b" cm="1">
        <f t="array" ref="I961">INDEX(stable[is_fixed],MATCH(VALUE(questions[[#This Row],[qno]]),VALUE(stable[qno]),0))</f>
        <v>1</v>
      </c>
      <c r="J961" s="9" t="b" cm="1">
        <f t="array" ref="J961">INDEX(stable[is_localized],MATCH(VALUE(questions[[#This Row],[qno]]),VALUE(stable[qno]),0))</f>
        <v>0</v>
      </c>
      <c r="K961" s="9" t="b" cm="1">
        <f t="array" ref="K961">INDEX(stable[is_supply_chain_dependent],MATCH(VALUE(questions[[#This Row],[qno]]),VALUE(stable[qno]),0))</f>
        <v>0</v>
      </c>
      <c r="L961" s="9" t="b" cm="1">
        <f t="array" ref="L961">INDEX(stable[is_mandatory],MATCH(VALUE(questions[[#This Row],[qno]]),VALUE(stable[qno]),0))</f>
        <v>0</v>
      </c>
      <c r="M961" s="9" t="b" cm="1">
        <f t="array" ref="M961">INDEX(stable[is_automated],MATCH(VALUE(questions[[#This Row],[qno]]),VALUE(stable[qno]),0))</f>
        <v>0</v>
      </c>
      <c r="N961" s="9" t="b" cm="1">
        <f t="array" ref="N961">INDEX(stable[is_free_text],MATCH(VALUE(questions[[#This Row],[qno]]),VALUE(stable[qno]),0))</f>
        <v>0</v>
      </c>
      <c r="O961" s="9" t="b" cm="1">
        <f t="array" ref="O961">INDEX(stable[is_numerical],MATCH(VALUE(questions[[#This Row],[qno]]),VALUE(stable[qno]),0))</f>
        <v>0</v>
      </c>
      <c r="P961" s="77" t="b" cm="1">
        <f t="array" ref="P961">INDEX(stable[is_single_select],MATCH(VALUE(questions[[#This Row],[qno]]),VALUE(stable[qno]),0))</f>
        <v>1</v>
      </c>
      <c r="Q961" s="77" t="b" cm="1">
        <f t="array" ref="Q961">INDEX(stable[is_multi_select],MATCH(VALUE(questions[[#This Row],[qno]]),VALUE(stable[qno]),0))</f>
        <v>0</v>
      </c>
      <c r="R961" s="77" t="b" cm="1">
        <f t="array" ref="R961">INDEX(stable[is_skip_logic],MATCH(VALUE(questions[[#This Row],[qno]]),VALUE(stable[qno]),0))</f>
        <v>0</v>
      </c>
      <c r="S961" s="77" t="str">
        <f>_xlfn.TEXTJOIN(", ",TRUE,questions[[#This Row],[ans_opt_1]:[ans_opt_14]])</f>
        <v>All, Some</v>
      </c>
      <c r="T961" s="77" t="s">
        <v>492</v>
      </c>
      <c r="U961" s="77" t="s">
        <v>493</v>
      </c>
      <c r="AH961" s="98" t="b">
        <f>INDEX(stable[q_standard],MATCH(questions[[#This Row],[qno]],stable[qno],0))</f>
        <v>0</v>
      </c>
      <c r="AI961" s="98" t="b">
        <f>INDEX(stable[q_living_income],MATCH(questions[[#This Row],[qno]],stable[qno],0))</f>
        <v>0</v>
      </c>
      <c r="AJ961" s="98" t="b">
        <f>INDEX(stable[q_carbon],MATCH(questions[[#This Row],[qno]],stable[qno],0))</f>
        <v>0</v>
      </c>
      <c r="AK961" s="98" t="b">
        <f>INDEX(stable[q_regen_ag],MATCH(questions[[#This Row],[qno]],stable[qno],0))</f>
        <v>1</v>
      </c>
      <c r="AL961" s="98" t="b">
        <f>COUNTIFS(stable[qno],questions[[#This Row],[qno]])=1</f>
        <v>1</v>
      </c>
      <c r="AM961" s="98" t="b">
        <f>OR(questions[[#This Row],[is_fixed]],questions[[#This Row],[is_localized]],questions[[#This Row],[is_supply_chain_dependent]])</f>
        <v>1</v>
      </c>
      <c r="AN961" s="98" t="b">
        <f>COUNTIFS(questions[[#This Row],[is_automated]:[is_multi_select]],TRUE)=1</f>
        <v>1</v>
      </c>
      <c r="AO961" s="98" t="b">
        <f>IF(questions[[#This Row],[is_fixed]],questions[[#This Row],[question]]=INDEX(stable[question],MATCH(questions[[#This Row],[qno]],stable[qno],0)),TRUE)</f>
        <v>0</v>
      </c>
      <c r="AP961" s="98" t="str">
        <f>LEFT(questions[[#This Row],[question]],similarity_range)</f>
        <v>How many of the ripa</v>
      </c>
      <c r="AQ961" s="98" t="str">
        <f>LEFT(INDEX(stable[question],MATCH(questions[[#This Row],[qno]],stable[qno],0)),similarity_range)</f>
        <v>How many of the ripa</v>
      </c>
      <c r="AR961" s="98" t="b">
        <f>questions[[#This Row],[question_first_characters]]=questions[[#This Row],[stability_first_characters]]</f>
        <v>1</v>
      </c>
      <c r="AS961" s="98" t="b">
        <f>IF(OR(questions[[#This Row],[is_single_select]],questions[[#This Row],[is_multi_select]]),NOT(ISBLANK(questions[[#This Row],[answer_opt_combined]])),TRUE)</f>
        <v>1</v>
      </c>
    </row>
    <row r="962" spans="1:45" s="77" customFormat="1" ht="15.75" customHeight="1" x14ac:dyDescent="0.25">
      <c r="A962" s="77" t="str">
        <f>_xlfn.TEXTJOIN("_",TRUE,questions[[#This Row],[origin]:[qno]])</f>
        <v>Uganda_Robusta_Nespresso_8000</v>
      </c>
      <c r="B962" s="77" t="s">
        <v>511</v>
      </c>
      <c r="C962" s="77" t="s">
        <v>674</v>
      </c>
      <c r="D962" s="77" t="s">
        <v>864</v>
      </c>
      <c r="F962" s="104" t="s">
        <v>494</v>
      </c>
      <c r="G962" s="78" t="s">
        <v>903</v>
      </c>
      <c r="H962" s="9" t="str" cm="1">
        <f t="array" ref="H962">INDEX(stableR[question],MATCH(VALUE(questions[[#This Row],[qno]]),VALUE(stableR[qno]),0))</f>
        <v>What describes the soil type best in the coffee plot of the farmer (please observe your self)</v>
      </c>
      <c r="I962" s="9" t="b" cm="1">
        <f t="array" ref="I962">INDEX(stable[is_fixed],MATCH(VALUE(questions[[#This Row],[qno]]),VALUE(stable[qno]),0))</f>
        <v>1</v>
      </c>
      <c r="J962" s="9" t="b" cm="1">
        <f t="array" ref="J962">INDEX(stable[is_localized],MATCH(VALUE(questions[[#This Row],[qno]]),VALUE(stable[qno]),0))</f>
        <v>0</v>
      </c>
      <c r="K962" s="9" t="b" cm="1">
        <f t="array" ref="K962">INDEX(stable[is_supply_chain_dependent],MATCH(VALUE(questions[[#This Row],[qno]]),VALUE(stable[qno]),0))</f>
        <v>0</v>
      </c>
      <c r="L962" s="9" t="b" cm="1">
        <f t="array" ref="L962">INDEX(stable[is_mandatory],MATCH(VALUE(questions[[#This Row],[qno]]),VALUE(stable[qno]),0))</f>
        <v>1</v>
      </c>
      <c r="M962" s="9" t="b" cm="1">
        <f t="array" ref="M962">INDEX(stable[is_automated],MATCH(VALUE(questions[[#This Row],[qno]]),VALUE(stable[qno]),0))</f>
        <v>0</v>
      </c>
      <c r="N962" s="9" t="b" cm="1">
        <f t="array" ref="N962">INDEX(stable[is_free_text],MATCH(VALUE(questions[[#This Row],[qno]]),VALUE(stable[qno]),0))</f>
        <v>0</v>
      </c>
      <c r="O962" s="9" t="b" cm="1">
        <f t="array" ref="O962">INDEX(stable[is_numerical],MATCH(VALUE(questions[[#This Row],[qno]]),VALUE(stable[qno]),0))</f>
        <v>0</v>
      </c>
      <c r="P962" s="77" t="b" cm="1">
        <f t="array" ref="P962">INDEX(stable[is_single_select],MATCH(VALUE(questions[[#This Row],[qno]]),VALUE(stable[qno]),0))</f>
        <v>1</v>
      </c>
      <c r="Q962" s="77" t="b" cm="1">
        <f t="array" ref="Q962">INDEX(stable[is_multi_select],MATCH(VALUE(questions[[#This Row],[qno]]),VALUE(stable[qno]),0))</f>
        <v>0</v>
      </c>
      <c r="R962" s="77" t="b" cm="1">
        <f t="array" ref="R962">INDEX(stable[is_skip_logic],MATCH(VALUE(questions[[#This Row],[qno]]),VALUE(stable[qno]),0))</f>
        <v>0</v>
      </c>
      <c r="S962" s="77" t="str">
        <f>_xlfn.TEXTJOIN(", ",TRUE,questions[[#This Row],[ans_opt_1]:[ans_opt_14]])</f>
        <v>High activity clay soils , Low activity clay soils, Sandy soils, Loamy soils, Volcanic soils, Wetland soils, Organic soils</v>
      </c>
      <c r="T962" s="77" t="s">
        <v>817</v>
      </c>
      <c r="U962" s="77" t="s">
        <v>497</v>
      </c>
      <c r="V962" s="77" t="s">
        <v>498</v>
      </c>
      <c r="W962" s="91" t="s">
        <v>499</v>
      </c>
      <c r="X962" s="77" t="s">
        <v>500</v>
      </c>
      <c r="Y962" s="77" t="s">
        <v>501</v>
      </c>
      <c r="Z962" s="77" t="s">
        <v>502</v>
      </c>
      <c r="AH962" s="98" t="b">
        <f>INDEX(stable[q_standard],MATCH(questions[[#This Row],[qno]],stable[qno],0))</f>
        <v>0</v>
      </c>
      <c r="AI962" s="98" t="b">
        <f>INDEX(stable[q_living_income],MATCH(questions[[#This Row],[qno]],stable[qno],0))</f>
        <v>0</v>
      </c>
      <c r="AJ962" s="98" t="b">
        <f>INDEX(stable[q_carbon],MATCH(questions[[#This Row],[qno]],stable[qno],0))</f>
        <v>0</v>
      </c>
      <c r="AK962" s="98" t="b">
        <f>INDEX(stable[q_regen_ag],MATCH(questions[[#This Row],[qno]],stable[qno],0))</f>
        <v>1</v>
      </c>
      <c r="AL962" s="98" t="b">
        <f>COUNTIFS(stable[qno],questions[[#This Row],[qno]])=1</f>
        <v>1</v>
      </c>
      <c r="AM962" s="98" t="b">
        <f>OR(questions[[#This Row],[is_fixed]],questions[[#This Row],[is_localized]],questions[[#This Row],[is_supply_chain_dependent]])</f>
        <v>1</v>
      </c>
      <c r="AN962" s="98" t="b">
        <f>COUNTIFS(questions[[#This Row],[is_automated]:[is_multi_select]],TRUE)=1</f>
        <v>1</v>
      </c>
      <c r="AO962" s="98" t="b">
        <f>IF(questions[[#This Row],[is_fixed]],questions[[#This Row],[question]]=INDEX(stable[question],MATCH(questions[[#This Row],[qno]],stable[qno],0)),TRUE)</f>
        <v>0</v>
      </c>
      <c r="AP962" s="98" t="str">
        <f>LEFT(questions[[#This Row],[question]],similarity_range)</f>
        <v>What the describes t</v>
      </c>
      <c r="AQ962" s="98" t="str">
        <f>LEFT(INDEX(stable[question],MATCH(questions[[#This Row],[qno]],stable[qno],0)),similarity_range)</f>
        <v>What describes the s</v>
      </c>
      <c r="AR962" s="98" t="b">
        <f>questions[[#This Row],[question_first_characters]]=questions[[#This Row],[stability_first_characters]]</f>
        <v>0</v>
      </c>
      <c r="AS962" s="98" t="b">
        <f>IF(OR(questions[[#This Row],[is_single_select]],questions[[#This Row],[is_multi_select]]),NOT(ISBLANK(questions[[#This Row],[answer_opt_combined]])),TRUE)</f>
        <v>1</v>
      </c>
    </row>
    <row r="963" spans="1:45" s="77" customFormat="1" ht="15.75" customHeight="1" x14ac:dyDescent="0.25">
      <c r="A963" s="77" t="str">
        <f>_xlfn.TEXTJOIN("_",TRUE,questions[[#This Row],[origin]:[qno]])</f>
        <v>Uganda_Robusta_Nespresso_8010</v>
      </c>
      <c r="B963" s="77" t="s">
        <v>511</v>
      </c>
      <c r="C963" s="77" t="s">
        <v>674</v>
      </c>
      <c r="D963" s="77" t="s">
        <v>864</v>
      </c>
      <c r="F963" s="104" t="s">
        <v>503</v>
      </c>
      <c r="G963" s="78" t="s">
        <v>504</v>
      </c>
      <c r="H963" s="9" t="str" cm="1">
        <f t="array" ref="H963">INDEX(stableR[question],MATCH(VALUE(questions[[#This Row],[qno]]),VALUE(stableR[qno]),0))</f>
        <v>What type of tillage/ploughing do you use in your coffee plots mostly (full tillages=fully turning the soil; reduced tillages is only losening the soil; No till is no tillage or ploughing of the soil at all)?</v>
      </c>
      <c r="I963" s="9" t="b" cm="1">
        <f t="array" ref="I963">INDEX(stable[is_fixed],MATCH(VALUE(questions[[#This Row],[qno]]),VALUE(stable[qno]),0))</f>
        <v>1</v>
      </c>
      <c r="J963" s="9" t="b" cm="1">
        <f t="array" ref="J963">INDEX(stable[is_localized],MATCH(VALUE(questions[[#This Row],[qno]]),VALUE(stable[qno]),0))</f>
        <v>0</v>
      </c>
      <c r="K963" s="9" t="b" cm="1">
        <f t="array" ref="K963">INDEX(stable[is_supply_chain_dependent],MATCH(VALUE(questions[[#This Row],[qno]]),VALUE(stable[qno]),0))</f>
        <v>0</v>
      </c>
      <c r="L963" s="9" t="b" cm="1">
        <f t="array" ref="L963">INDEX(stable[is_mandatory],MATCH(VALUE(questions[[#This Row],[qno]]),VALUE(stable[qno]),0))</f>
        <v>1</v>
      </c>
      <c r="M963" s="9" t="b" cm="1">
        <f t="array" ref="M963">INDEX(stable[is_automated],MATCH(VALUE(questions[[#This Row],[qno]]),VALUE(stable[qno]),0))</f>
        <v>0</v>
      </c>
      <c r="N963" s="9" t="b" cm="1">
        <f t="array" ref="N963">INDEX(stable[is_free_text],MATCH(VALUE(questions[[#This Row],[qno]]),VALUE(stable[qno]),0))</f>
        <v>0</v>
      </c>
      <c r="O963" s="9" t="b" cm="1">
        <f t="array" ref="O963">INDEX(stable[is_numerical],MATCH(VALUE(questions[[#This Row],[qno]]),VALUE(stable[qno]),0))</f>
        <v>0</v>
      </c>
      <c r="P963" s="77" t="b" cm="1">
        <f t="array" ref="P963">INDEX(stable[is_single_select],MATCH(VALUE(questions[[#This Row],[qno]]),VALUE(stable[qno]),0))</f>
        <v>1</v>
      </c>
      <c r="Q963" s="77" t="b" cm="1">
        <f t="array" ref="Q963">INDEX(stable[is_multi_select],MATCH(VALUE(questions[[#This Row],[qno]]),VALUE(stable[qno]),0))</f>
        <v>0</v>
      </c>
      <c r="R963" s="77" t="b" cm="1">
        <f t="array" ref="R963">INDEX(stable[is_skip_logic],MATCH(VALUE(questions[[#This Row],[qno]]),VALUE(stable[qno]),0))</f>
        <v>0</v>
      </c>
      <c r="S963" s="77" t="str">
        <f>_xlfn.TEXTJOIN(", ",TRUE,questions[[#This Row],[ans_opt_1]:[ans_opt_14]])</f>
        <v>Full-tillage, Reduced tillage, No till</v>
      </c>
      <c r="T963" s="77" t="s">
        <v>505</v>
      </c>
      <c r="U963" s="77" t="s">
        <v>506</v>
      </c>
      <c r="V963" s="77" t="s">
        <v>507</v>
      </c>
      <c r="AH963" s="98" t="b">
        <f>INDEX(stable[q_standard],MATCH(questions[[#This Row],[qno]],stable[qno],0))</f>
        <v>0</v>
      </c>
      <c r="AI963" s="98" t="b">
        <f>INDEX(stable[q_living_income],MATCH(questions[[#This Row],[qno]],stable[qno],0))</f>
        <v>0</v>
      </c>
      <c r="AJ963" s="98" t="b">
        <f>INDEX(stable[q_carbon],MATCH(questions[[#This Row],[qno]],stable[qno],0))</f>
        <v>0</v>
      </c>
      <c r="AK963" s="98" t="b">
        <f>INDEX(stable[q_regen_ag],MATCH(questions[[#This Row],[qno]],stable[qno],0))</f>
        <v>1</v>
      </c>
      <c r="AL963" s="98" t="b">
        <f>COUNTIFS(stable[qno],questions[[#This Row],[qno]])=1</f>
        <v>1</v>
      </c>
      <c r="AM963" s="98" t="b">
        <f>OR(questions[[#This Row],[is_fixed]],questions[[#This Row],[is_localized]],questions[[#This Row],[is_supply_chain_dependent]])</f>
        <v>1</v>
      </c>
      <c r="AN963" s="98" t="b">
        <f>COUNTIFS(questions[[#This Row],[is_automated]:[is_multi_select]],TRUE)=1</f>
        <v>1</v>
      </c>
      <c r="AO963" s="98" t="b">
        <f>IF(questions[[#This Row],[is_fixed]],questions[[#This Row],[question]]=INDEX(stable[question],MATCH(questions[[#This Row],[qno]],stable[qno],0)),TRUE)</f>
        <v>1</v>
      </c>
      <c r="AP963" s="98" t="str">
        <f>LEFT(questions[[#This Row],[question]],similarity_range)</f>
        <v>What type of tillage</v>
      </c>
      <c r="AQ963" s="98" t="str">
        <f>LEFT(INDEX(stable[question],MATCH(questions[[#This Row],[qno]],stable[qno],0)),similarity_range)</f>
        <v>What type of tillage</v>
      </c>
      <c r="AR963" s="98" t="b">
        <f>questions[[#This Row],[question_first_characters]]=questions[[#This Row],[stability_first_characters]]</f>
        <v>1</v>
      </c>
      <c r="AS963" s="98" t="b">
        <f>IF(OR(questions[[#This Row],[is_single_select]],questions[[#This Row],[is_multi_select]]),NOT(ISBLANK(questions[[#This Row],[answer_opt_combined]])),TRUE)</f>
        <v>1</v>
      </c>
    </row>
    <row r="964" spans="1:45" s="77" customFormat="1" ht="15.75" customHeight="1" x14ac:dyDescent="0.25">
      <c r="A964" s="77" t="str">
        <f>_xlfn.TEXTJOIN("_",TRUE,questions[[#This Row],[origin]:[qno]])</f>
        <v>Uganda_Robusta_Nespresso_9000</v>
      </c>
      <c r="B964" s="77" t="s">
        <v>511</v>
      </c>
      <c r="C964" s="77" t="s">
        <v>674</v>
      </c>
      <c r="D964" s="77" t="s">
        <v>864</v>
      </c>
      <c r="F964" s="104" t="s">
        <v>508</v>
      </c>
      <c r="G964" s="78" t="s">
        <v>509</v>
      </c>
      <c r="H964" s="9" t="str" cm="1">
        <f t="array" ref="H964">INDEX(stableR[question],MATCH(VALUE(questions[[#This Row],[qno]]),VALUE(stableR[qno]),0))</f>
        <v>Final check: did you measure/polygon map all the plots of the farmer?</v>
      </c>
      <c r="I964" s="9" t="b" cm="1">
        <f t="array" ref="I964">INDEX(stable[is_fixed],MATCH(VALUE(questions[[#This Row],[qno]]),VALUE(stable[qno]),0))</f>
        <v>1</v>
      </c>
      <c r="J964" s="9" t="b" cm="1">
        <f t="array" ref="J964">INDEX(stable[is_localized],MATCH(VALUE(questions[[#This Row],[qno]]),VALUE(stable[qno]),0))</f>
        <v>0</v>
      </c>
      <c r="K964" s="9" t="b" cm="1">
        <f t="array" ref="K964">INDEX(stable[is_supply_chain_dependent],MATCH(VALUE(questions[[#This Row],[qno]]),VALUE(stable[qno]),0))</f>
        <v>0</v>
      </c>
      <c r="L964" s="9" t="b" cm="1">
        <f t="array" ref="L964">INDEX(stable[is_mandatory],MATCH(VALUE(questions[[#This Row],[qno]]),VALUE(stable[qno]),0))</f>
        <v>1</v>
      </c>
      <c r="M964" s="9" t="b" cm="1">
        <f t="array" ref="M964">INDEX(stable[is_automated],MATCH(VALUE(questions[[#This Row],[qno]]),VALUE(stable[qno]),0))</f>
        <v>0</v>
      </c>
      <c r="N964" s="9" t="b" cm="1">
        <f t="array" ref="N964">INDEX(stable[is_free_text],MATCH(VALUE(questions[[#This Row],[qno]]),VALUE(stable[qno]),0))</f>
        <v>0</v>
      </c>
      <c r="O964" s="9" t="b" cm="1">
        <f t="array" ref="O964">INDEX(stable[is_numerical],MATCH(VALUE(questions[[#This Row],[qno]]),VALUE(stable[qno]),0))</f>
        <v>0</v>
      </c>
      <c r="P964" s="77" t="b" cm="1">
        <f t="array" ref="P964">INDEX(stable[is_single_select],MATCH(VALUE(questions[[#This Row],[qno]]),VALUE(stable[qno]),0))</f>
        <v>1</v>
      </c>
      <c r="Q964" s="77" t="b" cm="1">
        <f t="array" ref="Q964">INDEX(stable[is_multi_select],MATCH(VALUE(questions[[#This Row],[qno]]),VALUE(stable[qno]),0))</f>
        <v>0</v>
      </c>
      <c r="R964" s="77" t="b" cm="1">
        <f t="array" ref="R964">INDEX(stable[is_skip_logic],MATCH(VALUE(questions[[#This Row],[qno]]),VALUE(stable[qno]),0))</f>
        <v>0</v>
      </c>
      <c r="S964" s="77" t="str">
        <f>_xlfn.TEXTJOIN(", ",TRUE,questions[[#This Row],[ans_opt_1]:[ans_opt_14]])</f>
        <v>No, Yes, Not possible</v>
      </c>
      <c r="T964" s="77" t="s">
        <v>119</v>
      </c>
      <c r="U964" s="77" t="s">
        <v>149</v>
      </c>
      <c r="V964" s="77" t="s">
        <v>510</v>
      </c>
      <c r="AH964" s="98" t="b">
        <f>INDEX(stable[q_standard],MATCH(questions[[#This Row],[qno]],stable[qno],0))</f>
        <v>0</v>
      </c>
      <c r="AI964" s="98" t="b">
        <f>INDEX(stable[q_living_income],MATCH(questions[[#This Row],[qno]],stable[qno],0))</f>
        <v>0</v>
      </c>
      <c r="AJ964" s="98" t="b">
        <f>INDEX(stable[q_carbon],MATCH(questions[[#This Row],[qno]],stable[qno],0))</f>
        <v>0</v>
      </c>
      <c r="AK964" s="98" t="b">
        <f>INDEX(stable[q_regen_ag],MATCH(questions[[#This Row],[qno]],stable[qno],0))</f>
        <v>1</v>
      </c>
      <c r="AL964" s="98" t="b">
        <f>COUNTIFS(stable[qno],questions[[#This Row],[qno]])=1</f>
        <v>1</v>
      </c>
      <c r="AM964" s="98" t="b">
        <f>OR(questions[[#This Row],[is_fixed]],questions[[#This Row],[is_localized]],questions[[#This Row],[is_supply_chain_dependent]])</f>
        <v>1</v>
      </c>
      <c r="AN964" s="98" t="b">
        <f>COUNTIFS(questions[[#This Row],[is_automated]:[is_multi_select]],TRUE)=1</f>
        <v>1</v>
      </c>
      <c r="AO964" s="98" t="b">
        <f>IF(questions[[#This Row],[is_fixed]],questions[[#This Row],[question]]=INDEX(stable[question],MATCH(questions[[#This Row],[qno]],stable[qno],0)),TRUE)</f>
        <v>1</v>
      </c>
      <c r="AP964" s="98" t="str">
        <f>LEFT(questions[[#This Row],[question]],similarity_range)</f>
        <v>Final check: did you</v>
      </c>
      <c r="AQ964" s="98" t="str">
        <f>LEFT(INDEX(stable[question],MATCH(questions[[#This Row],[qno]],stable[qno],0)),similarity_range)</f>
        <v>Final check: did you</v>
      </c>
      <c r="AR964" s="98" t="b">
        <f>questions[[#This Row],[question_first_characters]]=questions[[#This Row],[stability_first_characters]]</f>
        <v>1</v>
      </c>
      <c r="AS964" s="98" t="b">
        <f>IF(OR(questions[[#This Row],[is_single_select]],questions[[#This Row],[is_multi_select]]),NOT(ISBLANK(questions[[#This Row],[answer_opt_combined]])),TRUE)</f>
        <v>1</v>
      </c>
    </row>
    <row r="965" spans="1:45" ht="15.75" customHeight="1" x14ac:dyDescent="0.25">
      <c r="A965" s="33" t="str">
        <f>_xlfn.TEXTJOIN("_",TRUE,questions[[#This Row],[origin]:[qno]])</f>
        <v>Vietnam_Robusta_Nestle_Selecta_2025_1000</v>
      </c>
      <c r="B965" s="33" t="s">
        <v>673</v>
      </c>
      <c r="C965" s="33" t="s">
        <v>674</v>
      </c>
      <c r="D965" s="33" t="s">
        <v>904</v>
      </c>
      <c r="E965" s="33">
        <v>2025</v>
      </c>
      <c r="F965" s="34" t="s">
        <v>61</v>
      </c>
      <c r="G965" s="18" t="s">
        <v>62</v>
      </c>
      <c r="H965" s="33" t="str" cm="1">
        <f t="array" ref="H965">INDEX(stableR[question],MATCH(VALUE(questions[[#This Row],[qno]]),VALUE(stableR[qno]),0))</f>
        <v>Origin</v>
      </c>
      <c r="I965" s="33" t="b" cm="1">
        <f t="array" ref="I965">INDEX(stable[is_fixed],MATCH(VALUE(questions[[#This Row],[qno]]),VALUE(stable[qno]),0))</f>
        <v>1</v>
      </c>
      <c r="J965" s="33" t="b" cm="1">
        <f t="array" ref="J965">INDEX(stable[is_localized],MATCH(VALUE(questions[[#This Row],[qno]]),VALUE(stable[qno]),0))</f>
        <v>0</v>
      </c>
      <c r="K965" s="33" t="b" cm="1">
        <f t="array" ref="K965">INDEX(stable[is_supply_chain_dependent],MATCH(VALUE(questions[[#This Row],[qno]]),VALUE(stable[qno]),0))</f>
        <v>0</v>
      </c>
      <c r="L965" s="33" t="b" cm="1">
        <f t="array" ref="L965">INDEX(stable[is_mandatory],MATCH(VALUE(questions[[#This Row],[qno]]),VALUE(stable[qno]),0))</f>
        <v>1</v>
      </c>
      <c r="M965" s="33" t="b" cm="1">
        <f t="array" ref="M965">INDEX(stable[is_automated],MATCH(VALUE(questions[[#This Row],[qno]]),VALUE(stable[qno]),0))</f>
        <v>1</v>
      </c>
      <c r="N965" s="33" t="b" cm="1">
        <f t="array" ref="N965">INDEX(stable[is_free_text],MATCH(VALUE(questions[[#This Row],[qno]]),VALUE(stable[qno]),0))</f>
        <v>0</v>
      </c>
      <c r="O965" s="33" t="b" cm="1">
        <f t="array" ref="O965">INDEX(stable[is_numerical],MATCH(VALUE(questions[[#This Row],[qno]]),VALUE(stable[qno]),0))</f>
        <v>0</v>
      </c>
      <c r="P965" s="33" t="b" cm="1">
        <f t="array" ref="P965">INDEX(stable[is_single_select],MATCH(VALUE(questions[[#This Row],[qno]]),VALUE(stable[qno]),0))</f>
        <v>0</v>
      </c>
      <c r="Q965" s="33" t="b" cm="1">
        <f t="array" ref="Q965">INDEX(stable[is_multi_select],MATCH(VALUE(questions[[#This Row],[qno]]),VALUE(stable[qno]),0))</f>
        <v>0</v>
      </c>
      <c r="R965" s="33" t="b" cm="1">
        <f t="array" ref="R965">INDEX(stable[is_skip_logic],MATCH(VALUE(questions[[#This Row],[qno]]),VALUE(stable[qno]),0))</f>
        <v>0</v>
      </c>
      <c r="S965" s="33" t="str">
        <f>_xlfn.TEXTJOIN(", ",TRUE,questions[[#This Row],[ans_opt_1]:[ans_opt_14]])</f>
        <v/>
      </c>
      <c r="T965" s="33"/>
      <c r="U965" s="33"/>
      <c r="V965" s="33"/>
      <c r="W965" s="33"/>
      <c r="X965" s="33"/>
      <c r="Y965" s="33"/>
      <c r="Z965" s="33"/>
      <c r="AA965" s="33"/>
      <c r="AB965" s="33"/>
      <c r="AC965" s="33"/>
      <c r="AD965" s="33"/>
      <c r="AE965" s="33"/>
      <c r="AF965" s="33"/>
      <c r="AG965" s="33"/>
      <c r="AH965" s="99" t="b">
        <f>INDEX(stable[q_standard],MATCH(questions[[#This Row],[qno]],stable[qno],0))</f>
        <v>1</v>
      </c>
      <c r="AI965" s="99" t="b">
        <f>INDEX(stable[q_living_income],MATCH(questions[[#This Row],[qno]],stable[qno],0))</f>
        <v>0</v>
      </c>
      <c r="AJ965" s="99" t="b">
        <f>INDEX(stable[q_carbon],MATCH(questions[[#This Row],[qno]],stable[qno],0))</f>
        <v>0</v>
      </c>
      <c r="AK965" s="99" t="b">
        <f>INDEX(stable[q_regen_ag],MATCH(questions[[#This Row],[qno]],stable[qno],0))</f>
        <v>0</v>
      </c>
      <c r="AL965" s="16" t="b">
        <f>COUNTIFS(stable[qno],questions[[#This Row],[qno]])=1</f>
        <v>1</v>
      </c>
      <c r="AM965" s="16" t="b">
        <f>OR(questions[[#This Row],[is_fixed]],questions[[#This Row],[is_localized]],questions[[#This Row],[is_supply_chain_dependent]])</f>
        <v>1</v>
      </c>
      <c r="AN965" s="16" t="b">
        <f>COUNTIFS(questions[[#This Row],[is_automated]:[is_multi_select]],TRUE)=1</f>
        <v>1</v>
      </c>
      <c r="AO965" s="16" t="b">
        <f>IF(questions[[#This Row],[is_fixed]],questions[[#This Row],[question]]=INDEX(stable[question],MATCH(questions[[#This Row],[qno]],stable[qno],0)),TRUE)</f>
        <v>1</v>
      </c>
      <c r="AP965" s="16" t="str">
        <f>LEFT(questions[[#This Row],[question]],similarity_range)</f>
        <v>Origin</v>
      </c>
      <c r="AQ965" s="16" t="str">
        <f>LEFT(INDEX(stable[question],MATCH(questions[[#This Row],[qno]],stable[qno],0)),similarity_range)</f>
        <v>Origin</v>
      </c>
      <c r="AR965" s="16" t="b">
        <f>questions[[#This Row],[question_first_characters]]=questions[[#This Row],[stability_first_characters]]</f>
        <v>1</v>
      </c>
      <c r="AS965" s="16" t="b">
        <f>IF(OR(questions[[#This Row],[is_single_select]],questions[[#This Row],[is_multi_select]]),NOT(ISBLANK(questions[[#This Row],[answer_opt_combined]])),TRUE)</f>
        <v>1</v>
      </c>
    </row>
    <row r="966" spans="1:45" ht="15.75" customHeight="1" x14ac:dyDescent="0.25">
      <c r="A966" s="33" t="str">
        <f>_xlfn.TEXTJOIN("_",TRUE,questions[[#This Row],[origin]:[qno]])</f>
        <v>Vietnam_Robusta_Nestle_Selecta_2025_1001</v>
      </c>
      <c r="B966" s="33" t="s">
        <v>673</v>
      </c>
      <c r="C966" s="33" t="s">
        <v>674</v>
      </c>
      <c r="D966" s="33" t="s">
        <v>904</v>
      </c>
      <c r="E966" s="33">
        <v>2025</v>
      </c>
      <c r="F966" s="34" t="s">
        <v>63</v>
      </c>
      <c r="G966" s="18" t="s">
        <v>64</v>
      </c>
      <c r="H966" s="33" t="str" cm="1">
        <f t="array" ref="H966">INDEX(stableR[question],MATCH(VALUE(questions[[#This Row],[qno]]),VALUE(stableR[qno]),0))</f>
        <v>Type</v>
      </c>
      <c r="I966" s="33" t="b" cm="1">
        <f t="array" ref="I966">INDEX(stable[is_fixed],MATCH(VALUE(questions[[#This Row],[qno]]),VALUE(stable[qno]),0))</f>
        <v>1</v>
      </c>
      <c r="J966" s="33" t="b" cm="1">
        <f t="array" ref="J966">INDEX(stable[is_localized],MATCH(VALUE(questions[[#This Row],[qno]]),VALUE(stable[qno]),0))</f>
        <v>0</v>
      </c>
      <c r="K966" s="33" t="b" cm="1">
        <f t="array" ref="K966">INDEX(stable[is_supply_chain_dependent],MATCH(VALUE(questions[[#This Row],[qno]]),VALUE(stable[qno]),0))</f>
        <v>0</v>
      </c>
      <c r="L966" s="33" t="b" cm="1">
        <f t="array" ref="L966">INDEX(stable[is_mandatory],MATCH(VALUE(questions[[#This Row],[qno]]),VALUE(stable[qno]),0))</f>
        <v>1</v>
      </c>
      <c r="M966" s="33" t="b" cm="1">
        <f t="array" ref="M966">INDEX(stable[is_automated],MATCH(VALUE(questions[[#This Row],[qno]]),VALUE(stable[qno]),0))</f>
        <v>1</v>
      </c>
      <c r="N966" s="33" t="b" cm="1">
        <f t="array" ref="N966">INDEX(stable[is_free_text],MATCH(VALUE(questions[[#This Row],[qno]]),VALUE(stable[qno]),0))</f>
        <v>0</v>
      </c>
      <c r="O966" s="33" t="b" cm="1">
        <f t="array" ref="O966">INDEX(stable[is_numerical],MATCH(VALUE(questions[[#This Row],[qno]]),VALUE(stable[qno]),0))</f>
        <v>0</v>
      </c>
      <c r="P966" s="33" t="b" cm="1">
        <f t="array" ref="P966">INDEX(stable[is_single_select],MATCH(VALUE(questions[[#This Row],[qno]]),VALUE(stable[qno]),0))</f>
        <v>0</v>
      </c>
      <c r="Q966" s="33" t="b" cm="1">
        <f t="array" ref="Q966">INDEX(stable[is_multi_select],MATCH(VALUE(questions[[#This Row],[qno]]),VALUE(stable[qno]),0))</f>
        <v>0</v>
      </c>
      <c r="R966" s="33" t="b" cm="1">
        <f t="array" ref="R966">INDEX(stable[is_skip_logic],MATCH(VALUE(questions[[#This Row],[qno]]),VALUE(stable[qno]),0))</f>
        <v>0</v>
      </c>
      <c r="S966" s="33" t="str">
        <f>_xlfn.TEXTJOIN(", ",TRUE,questions[[#This Row],[ans_opt_1]:[ans_opt_14]])</f>
        <v/>
      </c>
      <c r="T966" s="33"/>
      <c r="U966" s="33"/>
      <c r="V966" s="33"/>
      <c r="W966" s="33"/>
      <c r="X966" s="33"/>
      <c r="Y966" s="33"/>
      <c r="Z966" s="33"/>
      <c r="AA966" s="33"/>
      <c r="AB966" s="33"/>
      <c r="AC966" s="33"/>
      <c r="AD966" s="33"/>
      <c r="AE966" s="33"/>
      <c r="AF966" s="33"/>
      <c r="AG966" s="33"/>
      <c r="AH966" s="99" t="b">
        <f>INDEX(stable[q_standard],MATCH(questions[[#This Row],[qno]],stable[qno],0))</f>
        <v>1</v>
      </c>
      <c r="AI966" s="99" t="b">
        <f>INDEX(stable[q_living_income],MATCH(questions[[#This Row],[qno]],stable[qno],0))</f>
        <v>0</v>
      </c>
      <c r="AJ966" s="99" t="b">
        <f>INDEX(stable[q_carbon],MATCH(questions[[#This Row],[qno]],stable[qno],0))</f>
        <v>0</v>
      </c>
      <c r="AK966" s="99" t="b">
        <f>INDEX(stable[q_regen_ag],MATCH(questions[[#This Row],[qno]],stable[qno],0))</f>
        <v>0</v>
      </c>
      <c r="AL966" s="16" t="b">
        <f>COUNTIFS(stable[qno],questions[[#This Row],[qno]])=1</f>
        <v>1</v>
      </c>
      <c r="AM966" s="16" t="b">
        <f>OR(questions[[#This Row],[is_fixed]],questions[[#This Row],[is_localized]],questions[[#This Row],[is_supply_chain_dependent]])</f>
        <v>1</v>
      </c>
      <c r="AN966" s="16" t="b">
        <f>COUNTIFS(questions[[#This Row],[is_automated]:[is_multi_select]],TRUE)=1</f>
        <v>1</v>
      </c>
      <c r="AO966" s="16" t="b">
        <f>IF(questions[[#This Row],[is_fixed]],questions[[#This Row],[question]]=INDEX(stable[question],MATCH(questions[[#This Row],[qno]],stable[qno],0)),TRUE)</f>
        <v>1</v>
      </c>
      <c r="AP966" s="16" t="str">
        <f>LEFT(questions[[#This Row],[question]],similarity_range)</f>
        <v>Type</v>
      </c>
      <c r="AQ966" s="16" t="str">
        <f>LEFT(INDEX(stable[question],MATCH(questions[[#This Row],[qno]],stable[qno],0)),similarity_range)</f>
        <v>Type</v>
      </c>
      <c r="AR966" s="16" t="b">
        <f>questions[[#This Row],[question_first_characters]]=questions[[#This Row],[stability_first_characters]]</f>
        <v>1</v>
      </c>
      <c r="AS966" s="16" t="b">
        <f>IF(OR(questions[[#This Row],[is_single_select]],questions[[#This Row],[is_multi_select]]),NOT(ISBLANK(questions[[#This Row],[answer_opt_combined]])),TRUE)</f>
        <v>1</v>
      </c>
    </row>
    <row r="967" spans="1:45" ht="15.75" customHeight="1" x14ac:dyDescent="0.25">
      <c r="A967" s="33" t="str">
        <f>_xlfn.TEXTJOIN("_",TRUE,questions[[#This Row],[origin]:[qno]])</f>
        <v>Vietnam_Robusta_Nestle_Selecta_2025_1002</v>
      </c>
      <c r="B967" s="33" t="s">
        <v>673</v>
      </c>
      <c r="C967" s="33" t="s">
        <v>674</v>
      </c>
      <c r="D967" s="33" t="s">
        <v>904</v>
      </c>
      <c r="E967" s="33">
        <v>2025</v>
      </c>
      <c r="F967" s="34" t="s">
        <v>65</v>
      </c>
      <c r="G967" s="18" t="s">
        <v>66</v>
      </c>
      <c r="H967" s="33" t="str" cm="1">
        <f t="array" ref="H967">INDEX(stableR[question],MATCH(VALUE(questions[[#This Row],[qno]]),VALUE(stableR[qno]),0))</f>
        <v>Supply chain</v>
      </c>
      <c r="I967" s="33" t="b" cm="1">
        <f t="array" ref="I967">INDEX(stable[is_fixed],MATCH(VALUE(questions[[#This Row],[qno]]),VALUE(stable[qno]),0))</f>
        <v>1</v>
      </c>
      <c r="J967" s="33" t="b" cm="1">
        <f t="array" ref="J967">INDEX(stable[is_localized],MATCH(VALUE(questions[[#This Row],[qno]]),VALUE(stable[qno]),0))</f>
        <v>0</v>
      </c>
      <c r="K967" s="33" t="b" cm="1">
        <f t="array" ref="K967">INDEX(stable[is_supply_chain_dependent],MATCH(VALUE(questions[[#This Row],[qno]]),VALUE(stable[qno]),0))</f>
        <v>0</v>
      </c>
      <c r="L967" s="33" t="b" cm="1">
        <f t="array" ref="L967">INDEX(stable[is_mandatory],MATCH(VALUE(questions[[#This Row],[qno]]),VALUE(stable[qno]),0))</f>
        <v>1</v>
      </c>
      <c r="M967" s="33" t="b" cm="1">
        <f t="array" ref="M967">INDEX(stable[is_automated],MATCH(VALUE(questions[[#This Row],[qno]]),VALUE(stable[qno]),0))</f>
        <v>1</v>
      </c>
      <c r="N967" s="33" t="b" cm="1">
        <f t="array" ref="N967">INDEX(stable[is_free_text],MATCH(VALUE(questions[[#This Row],[qno]]),VALUE(stable[qno]),0))</f>
        <v>0</v>
      </c>
      <c r="O967" s="33" t="b" cm="1">
        <f t="array" ref="O967">INDEX(stable[is_numerical],MATCH(VALUE(questions[[#This Row],[qno]]),VALUE(stable[qno]),0))</f>
        <v>0</v>
      </c>
      <c r="P967" s="33" t="b" cm="1">
        <f t="array" ref="P967">INDEX(stable[is_single_select],MATCH(VALUE(questions[[#This Row],[qno]]),VALUE(stable[qno]),0))</f>
        <v>0</v>
      </c>
      <c r="Q967" s="33" t="b" cm="1">
        <f t="array" ref="Q967">INDEX(stable[is_multi_select],MATCH(VALUE(questions[[#This Row],[qno]]),VALUE(stable[qno]),0))</f>
        <v>0</v>
      </c>
      <c r="R967" s="33" t="b" cm="1">
        <f t="array" ref="R967">INDEX(stable[is_skip_logic],MATCH(VALUE(questions[[#This Row],[qno]]),VALUE(stable[qno]),0))</f>
        <v>0</v>
      </c>
      <c r="S967" s="33" t="str">
        <f>_xlfn.TEXTJOIN(", ",TRUE,questions[[#This Row],[ans_opt_1]:[ans_opt_14]])</f>
        <v/>
      </c>
      <c r="T967" s="33"/>
      <c r="U967" s="33"/>
      <c r="V967" s="33"/>
      <c r="W967" s="33"/>
      <c r="X967" s="33"/>
      <c r="Y967" s="33"/>
      <c r="Z967" s="33"/>
      <c r="AA967" s="33"/>
      <c r="AB967" s="33"/>
      <c r="AC967" s="33"/>
      <c r="AD967" s="33"/>
      <c r="AE967" s="33"/>
      <c r="AF967" s="33"/>
      <c r="AG967" s="33"/>
      <c r="AH967" s="99" t="b">
        <f>INDEX(stable[q_standard],MATCH(questions[[#This Row],[qno]],stable[qno],0))</f>
        <v>1</v>
      </c>
      <c r="AI967" s="99" t="b">
        <f>INDEX(stable[q_living_income],MATCH(questions[[#This Row],[qno]],stable[qno],0))</f>
        <v>0</v>
      </c>
      <c r="AJ967" s="99" t="b">
        <f>INDEX(stable[q_carbon],MATCH(questions[[#This Row],[qno]],stable[qno],0))</f>
        <v>0</v>
      </c>
      <c r="AK967" s="99" t="b">
        <f>INDEX(stable[q_regen_ag],MATCH(questions[[#This Row],[qno]],stable[qno],0))</f>
        <v>0</v>
      </c>
      <c r="AL967" s="16" t="b">
        <f>COUNTIFS(stable[qno],questions[[#This Row],[qno]])=1</f>
        <v>1</v>
      </c>
      <c r="AM967" s="16" t="b">
        <f>OR(questions[[#This Row],[is_fixed]],questions[[#This Row],[is_localized]],questions[[#This Row],[is_supply_chain_dependent]])</f>
        <v>1</v>
      </c>
      <c r="AN967" s="16" t="b">
        <f>COUNTIFS(questions[[#This Row],[is_automated]:[is_multi_select]],TRUE)=1</f>
        <v>1</v>
      </c>
      <c r="AO967" s="16" t="b">
        <f>IF(questions[[#This Row],[is_fixed]],questions[[#This Row],[question]]=INDEX(stable[question],MATCH(questions[[#This Row],[qno]],stable[qno],0)),TRUE)</f>
        <v>1</v>
      </c>
      <c r="AP967" s="16" t="str">
        <f>LEFT(questions[[#This Row],[question]],similarity_range)</f>
        <v>Supply chain</v>
      </c>
      <c r="AQ967" s="16" t="str">
        <f>LEFT(INDEX(stable[question],MATCH(questions[[#This Row],[qno]],stable[qno],0)),similarity_range)</f>
        <v>Supply chain</v>
      </c>
      <c r="AR967" s="16" t="b">
        <f>questions[[#This Row],[question_first_characters]]=questions[[#This Row],[stability_first_characters]]</f>
        <v>1</v>
      </c>
      <c r="AS967" s="16" t="b">
        <f>IF(OR(questions[[#This Row],[is_single_select]],questions[[#This Row],[is_multi_select]]),NOT(ISBLANK(questions[[#This Row],[answer_opt_combined]])),TRUE)</f>
        <v>1</v>
      </c>
    </row>
    <row r="968" spans="1:45" ht="15.75" customHeight="1" x14ac:dyDescent="0.25">
      <c r="A968" s="33" t="str">
        <f>_xlfn.TEXTJOIN("_",TRUE,questions[[#This Row],[origin]:[qno]])</f>
        <v>Vietnam_Robusta_Nestle_Selecta_2025_1003</v>
      </c>
      <c r="B968" s="33" t="s">
        <v>673</v>
      </c>
      <c r="C968" s="33" t="s">
        <v>674</v>
      </c>
      <c r="D968" s="33" t="s">
        <v>904</v>
      </c>
      <c r="E968" s="33">
        <v>2025</v>
      </c>
      <c r="F968" s="34" t="s">
        <v>67</v>
      </c>
      <c r="G968" s="18" t="s">
        <v>68</v>
      </c>
      <c r="H968" s="33" t="str" cm="1">
        <f t="array" ref="H968">INDEX(stableR[question],MATCH(VALUE(questions[[#This Row],[qno]]),VALUE(stableR[qno]),0))</f>
        <v>Year</v>
      </c>
      <c r="I968" s="33" t="b" cm="1">
        <f t="array" ref="I968">INDEX(stable[is_fixed],MATCH(VALUE(questions[[#This Row],[qno]]),VALUE(stable[qno]),0))</f>
        <v>1</v>
      </c>
      <c r="J968" s="33" t="b" cm="1">
        <f t="array" ref="J968">INDEX(stable[is_localized],MATCH(VALUE(questions[[#This Row],[qno]]),VALUE(stable[qno]),0))</f>
        <v>0</v>
      </c>
      <c r="K968" s="33" t="b" cm="1">
        <f t="array" ref="K968">INDEX(stable[is_supply_chain_dependent],MATCH(VALUE(questions[[#This Row],[qno]]),VALUE(stable[qno]),0))</f>
        <v>0</v>
      </c>
      <c r="L968" s="33" t="b" cm="1">
        <f t="array" ref="L968">INDEX(stable[is_mandatory],MATCH(VALUE(questions[[#This Row],[qno]]),VALUE(stable[qno]),0))</f>
        <v>1</v>
      </c>
      <c r="M968" s="33" t="b" cm="1">
        <f t="array" ref="M968">INDEX(stable[is_automated],MATCH(VALUE(questions[[#This Row],[qno]]),VALUE(stable[qno]),0))</f>
        <v>1</v>
      </c>
      <c r="N968" s="33" t="b" cm="1">
        <f t="array" ref="N968">INDEX(stable[is_free_text],MATCH(VALUE(questions[[#This Row],[qno]]),VALUE(stable[qno]),0))</f>
        <v>0</v>
      </c>
      <c r="O968" s="33" t="b" cm="1">
        <f t="array" ref="O968">INDEX(stable[is_numerical],MATCH(VALUE(questions[[#This Row],[qno]]),VALUE(stable[qno]),0))</f>
        <v>0</v>
      </c>
      <c r="P968" s="33" t="b" cm="1">
        <f t="array" ref="P968">INDEX(stable[is_single_select],MATCH(VALUE(questions[[#This Row],[qno]]),VALUE(stable[qno]),0))</f>
        <v>0</v>
      </c>
      <c r="Q968" s="33" t="b" cm="1">
        <f t="array" ref="Q968">INDEX(stable[is_multi_select],MATCH(VALUE(questions[[#This Row],[qno]]),VALUE(stable[qno]),0))</f>
        <v>0</v>
      </c>
      <c r="R968" s="33" t="b" cm="1">
        <f t="array" ref="R968">INDEX(stable[is_skip_logic],MATCH(VALUE(questions[[#This Row],[qno]]),VALUE(stable[qno]),0))</f>
        <v>0</v>
      </c>
      <c r="S968" s="33" t="str">
        <f>_xlfn.TEXTJOIN(", ",TRUE,questions[[#This Row],[ans_opt_1]:[ans_opt_14]])</f>
        <v/>
      </c>
      <c r="T968" s="33"/>
      <c r="U968" s="33"/>
      <c r="V968" s="33"/>
      <c r="W968" s="33"/>
      <c r="X968" s="33"/>
      <c r="Y968" s="33"/>
      <c r="Z968" s="33"/>
      <c r="AA968" s="33"/>
      <c r="AB968" s="33"/>
      <c r="AC968" s="33"/>
      <c r="AD968" s="33"/>
      <c r="AE968" s="33"/>
      <c r="AF968" s="33"/>
      <c r="AG968" s="33"/>
      <c r="AH968" s="99" t="b">
        <f>INDEX(stable[q_standard],MATCH(questions[[#This Row],[qno]],stable[qno],0))</f>
        <v>1</v>
      </c>
      <c r="AI968" s="99" t="b">
        <f>INDEX(stable[q_living_income],MATCH(questions[[#This Row],[qno]],stable[qno],0))</f>
        <v>0</v>
      </c>
      <c r="AJ968" s="99" t="b">
        <f>INDEX(stable[q_carbon],MATCH(questions[[#This Row],[qno]],stable[qno],0))</f>
        <v>0</v>
      </c>
      <c r="AK968" s="99" t="b">
        <f>INDEX(stable[q_regen_ag],MATCH(questions[[#This Row],[qno]],stable[qno],0))</f>
        <v>0</v>
      </c>
      <c r="AL968" s="16" t="b">
        <f>COUNTIFS(stable[qno],questions[[#This Row],[qno]])=1</f>
        <v>1</v>
      </c>
      <c r="AM968" s="16" t="b">
        <f>OR(questions[[#This Row],[is_fixed]],questions[[#This Row],[is_localized]],questions[[#This Row],[is_supply_chain_dependent]])</f>
        <v>1</v>
      </c>
      <c r="AN968" s="16" t="b">
        <f>COUNTIFS(questions[[#This Row],[is_automated]:[is_multi_select]],TRUE)=1</f>
        <v>1</v>
      </c>
      <c r="AO968" s="16" t="b">
        <f>IF(questions[[#This Row],[is_fixed]],questions[[#This Row],[question]]=INDEX(stable[question],MATCH(questions[[#This Row],[qno]],stable[qno],0)),TRUE)</f>
        <v>1</v>
      </c>
      <c r="AP968" s="16" t="str">
        <f>LEFT(questions[[#This Row],[question]],similarity_range)</f>
        <v>Year</v>
      </c>
      <c r="AQ968" s="16" t="str">
        <f>LEFT(INDEX(stable[question],MATCH(questions[[#This Row],[qno]],stable[qno],0)),similarity_range)</f>
        <v>Year</v>
      </c>
      <c r="AR968" s="16" t="b">
        <f>questions[[#This Row],[question_first_characters]]=questions[[#This Row],[stability_first_characters]]</f>
        <v>1</v>
      </c>
      <c r="AS968" s="16" t="b">
        <f>IF(OR(questions[[#This Row],[is_single_select]],questions[[#This Row],[is_multi_select]]),NOT(ISBLANK(questions[[#This Row],[answer_opt_combined]])),TRUE)</f>
        <v>1</v>
      </c>
    </row>
    <row r="969" spans="1:45" ht="15.75" customHeight="1" x14ac:dyDescent="0.25">
      <c r="A969" s="33" t="str">
        <f>_xlfn.TEXTJOIN("_",TRUE,questions[[#This Row],[origin]:[qno]])</f>
        <v>Vietnam_Robusta_Nestle_Selecta_2025_1104</v>
      </c>
      <c r="B969" s="33" t="s">
        <v>673</v>
      </c>
      <c r="C969" s="33" t="s">
        <v>674</v>
      </c>
      <c r="D969" s="33" t="s">
        <v>904</v>
      </c>
      <c r="E969" s="33">
        <v>2025</v>
      </c>
      <c r="F969" s="34" t="s">
        <v>69</v>
      </c>
      <c r="G969" s="18" t="s">
        <v>70</v>
      </c>
      <c r="H969" s="33" t="str" cm="1">
        <f t="array" ref="H969">INDEX(stableR[question],MATCH(VALUE(questions[[#This Row],[qno]]),VALUE(stableR[qno]),0))</f>
        <v>Managed by</v>
      </c>
      <c r="I969" s="33" t="b" cm="1">
        <f t="array" ref="I969">INDEX(stable[is_fixed],MATCH(VALUE(questions[[#This Row],[qno]]),VALUE(stable[qno]),0))</f>
        <v>1</v>
      </c>
      <c r="J969" s="33" t="b" cm="1">
        <f t="array" ref="J969">INDEX(stable[is_localized],MATCH(VALUE(questions[[#This Row],[qno]]),VALUE(stable[qno]),0))</f>
        <v>0</v>
      </c>
      <c r="K969" s="33" t="b" cm="1">
        <f t="array" ref="K969">INDEX(stable[is_supply_chain_dependent],MATCH(VALUE(questions[[#This Row],[qno]]),VALUE(stable[qno]),0))</f>
        <v>0</v>
      </c>
      <c r="L969" s="33" t="b" cm="1">
        <f t="array" ref="L969">INDEX(stable[is_mandatory],MATCH(VALUE(questions[[#This Row],[qno]]),VALUE(stable[qno]),0))</f>
        <v>1</v>
      </c>
      <c r="M969" s="33" t="b" cm="1">
        <f t="array" ref="M969">INDEX(stable[is_automated],MATCH(VALUE(questions[[#This Row],[qno]]),VALUE(stable[qno]),0))</f>
        <v>1</v>
      </c>
      <c r="N969" s="33" t="b" cm="1">
        <f t="array" ref="N969">INDEX(stable[is_free_text],MATCH(VALUE(questions[[#This Row],[qno]]),VALUE(stable[qno]),0))</f>
        <v>0</v>
      </c>
      <c r="O969" s="33" t="b" cm="1">
        <f t="array" ref="O969">INDEX(stable[is_numerical],MATCH(VALUE(questions[[#This Row],[qno]]),VALUE(stable[qno]),0))</f>
        <v>0</v>
      </c>
      <c r="P969" s="33" t="b" cm="1">
        <f t="array" ref="P969">INDEX(stable[is_single_select],MATCH(VALUE(questions[[#This Row],[qno]]),VALUE(stable[qno]),0))</f>
        <v>0</v>
      </c>
      <c r="Q969" s="33" t="b" cm="1">
        <f t="array" ref="Q969">INDEX(stable[is_multi_select],MATCH(VALUE(questions[[#This Row],[qno]]),VALUE(stable[qno]),0))</f>
        <v>0</v>
      </c>
      <c r="R969" s="33" t="b" cm="1">
        <f t="array" ref="R969">INDEX(stable[is_skip_logic],MATCH(VALUE(questions[[#This Row],[qno]]),VALUE(stable[qno]),0))</f>
        <v>0</v>
      </c>
      <c r="S969" s="33" t="str">
        <f>_xlfn.TEXTJOIN(", ",TRUE,questions[[#This Row],[ans_opt_1]:[ans_opt_14]])</f>
        <v/>
      </c>
      <c r="T969" s="33"/>
      <c r="U969" s="33"/>
      <c r="V969" s="33"/>
      <c r="W969" s="33"/>
      <c r="X969" s="33"/>
      <c r="Y969" s="33"/>
      <c r="Z969" s="33"/>
      <c r="AA969" s="33"/>
      <c r="AB969" s="33"/>
      <c r="AC969" s="33"/>
      <c r="AD969" s="33"/>
      <c r="AE969" s="33"/>
      <c r="AF969" s="33"/>
      <c r="AG969" s="33"/>
      <c r="AH969" s="99" t="b">
        <f>INDEX(stable[q_standard],MATCH(questions[[#This Row],[qno]],stable[qno],0))</f>
        <v>1</v>
      </c>
      <c r="AI969" s="99" t="b">
        <f>INDEX(stable[q_living_income],MATCH(questions[[#This Row],[qno]],stable[qno],0))</f>
        <v>0</v>
      </c>
      <c r="AJ969" s="99" t="b">
        <f>INDEX(stable[q_carbon],MATCH(questions[[#This Row],[qno]],stable[qno],0))</f>
        <v>0</v>
      </c>
      <c r="AK969" s="99" t="b">
        <f>INDEX(stable[q_regen_ag],MATCH(questions[[#This Row],[qno]],stable[qno],0))</f>
        <v>0</v>
      </c>
      <c r="AL969" s="16" t="b">
        <f>COUNTIFS(stable[qno],questions[[#This Row],[qno]])=1</f>
        <v>1</v>
      </c>
      <c r="AM969" s="16" t="b">
        <f>OR(questions[[#This Row],[is_fixed]],questions[[#This Row],[is_localized]],questions[[#This Row],[is_supply_chain_dependent]])</f>
        <v>1</v>
      </c>
      <c r="AN969" s="16" t="b">
        <f>COUNTIFS(questions[[#This Row],[is_automated]:[is_multi_select]],TRUE)=1</f>
        <v>1</v>
      </c>
      <c r="AO969" s="16" t="b">
        <f>IF(questions[[#This Row],[is_fixed]],questions[[#This Row],[question]]=INDEX(stable[question],MATCH(questions[[#This Row],[qno]],stable[qno],0)),TRUE)</f>
        <v>1</v>
      </c>
      <c r="AP969" s="16" t="str">
        <f>LEFT(questions[[#This Row],[question]],similarity_range)</f>
        <v>Managed by</v>
      </c>
      <c r="AQ969" s="16" t="str">
        <f>LEFT(INDEX(stable[question],MATCH(questions[[#This Row],[qno]],stable[qno],0)),similarity_range)</f>
        <v>Managed by</v>
      </c>
      <c r="AR969" s="16" t="b">
        <f>questions[[#This Row],[question_first_characters]]=questions[[#This Row],[stability_first_characters]]</f>
        <v>1</v>
      </c>
      <c r="AS969" s="16" t="b">
        <f>IF(OR(questions[[#This Row],[is_single_select]],questions[[#This Row],[is_multi_select]]),NOT(ISBLANK(questions[[#This Row],[answer_opt_combined]])),TRUE)</f>
        <v>1</v>
      </c>
    </row>
    <row r="970" spans="1:45" ht="15.75" customHeight="1" x14ac:dyDescent="0.25">
      <c r="A970" s="33" t="str">
        <f>_xlfn.TEXTJOIN("_",TRUE,questions[[#This Row],[origin]:[qno]])</f>
        <v>Vietnam_Robusta_Nestle_Selecta_2025_1105</v>
      </c>
      <c r="B970" s="33" t="s">
        <v>673</v>
      </c>
      <c r="C970" s="33" t="s">
        <v>674</v>
      </c>
      <c r="D970" s="33" t="s">
        <v>904</v>
      </c>
      <c r="E970" s="33">
        <v>2025</v>
      </c>
      <c r="F970" s="34" t="s">
        <v>71</v>
      </c>
      <c r="G970" s="18" t="s">
        <v>72</v>
      </c>
      <c r="H970" s="33" t="str" cm="1">
        <f t="array" ref="H970">INDEX(stableR[question],MATCH(VALUE(questions[[#This Row],[qno]]),VALUE(stableR[qno]),0))</f>
        <v>Field staff(s)</v>
      </c>
      <c r="I970" s="33" t="b" cm="1">
        <f t="array" ref="I970">INDEX(stable[is_fixed],MATCH(VALUE(questions[[#This Row],[qno]]),VALUE(stable[qno]),0))</f>
        <v>1</v>
      </c>
      <c r="J970" s="33" t="b" cm="1">
        <f t="array" ref="J970">INDEX(stable[is_localized],MATCH(VALUE(questions[[#This Row],[qno]]),VALUE(stable[qno]),0))</f>
        <v>0</v>
      </c>
      <c r="K970" s="33" t="b" cm="1">
        <f t="array" ref="K970">INDEX(stable[is_supply_chain_dependent],MATCH(VALUE(questions[[#This Row],[qno]]),VALUE(stable[qno]),0))</f>
        <v>0</v>
      </c>
      <c r="L970" s="33" t="b" cm="1">
        <f t="array" ref="L970">INDEX(stable[is_mandatory],MATCH(VALUE(questions[[#This Row],[qno]]),VALUE(stable[qno]),0))</f>
        <v>1</v>
      </c>
      <c r="M970" s="33" t="b" cm="1">
        <f t="array" ref="M970">INDEX(stable[is_automated],MATCH(VALUE(questions[[#This Row],[qno]]),VALUE(stable[qno]),0))</f>
        <v>1</v>
      </c>
      <c r="N970" s="33" t="b" cm="1">
        <f t="array" ref="N970">INDEX(stable[is_free_text],MATCH(VALUE(questions[[#This Row],[qno]]),VALUE(stable[qno]),0))</f>
        <v>0</v>
      </c>
      <c r="O970" s="33" t="b" cm="1">
        <f t="array" ref="O970">INDEX(stable[is_numerical],MATCH(VALUE(questions[[#This Row],[qno]]),VALUE(stable[qno]),0))</f>
        <v>0</v>
      </c>
      <c r="P970" s="33" t="b" cm="1">
        <f t="array" ref="P970">INDEX(stable[is_single_select],MATCH(VALUE(questions[[#This Row],[qno]]),VALUE(stable[qno]),0))</f>
        <v>0</v>
      </c>
      <c r="Q970" s="33" t="b" cm="1">
        <f t="array" ref="Q970">INDEX(stable[is_multi_select],MATCH(VALUE(questions[[#This Row],[qno]]),VALUE(stable[qno]),0))</f>
        <v>0</v>
      </c>
      <c r="R970" s="33" t="b" cm="1">
        <f t="array" ref="R970">INDEX(stable[is_skip_logic],MATCH(VALUE(questions[[#This Row],[qno]]),VALUE(stable[qno]),0))</f>
        <v>0</v>
      </c>
      <c r="S970" s="33" t="str">
        <f>_xlfn.TEXTJOIN(", ",TRUE,questions[[#This Row],[ans_opt_1]:[ans_opt_14]])</f>
        <v/>
      </c>
      <c r="T970" s="33"/>
      <c r="U970" s="33"/>
      <c r="V970" s="33"/>
      <c r="W970" s="33"/>
      <c r="X970" s="33"/>
      <c r="Y970" s="33"/>
      <c r="Z970" s="33"/>
      <c r="AA970" s="33"/>
      <c r="AB970" s="33"/>
      <c r="AC970" s="33"/>
      <c r="AD970" s="33"/>
      <c r="AE970" s="33"/>
      <c r="AF970" s="33"/>
      <c r="AG970" s="33"/>
      <c r="AH970" s="99" t="b">
        <f>INDEX(stable[q_standard],MATCH(questions[[#This Row],[qno]],stable[qno],0))</f>
        <v>1</v>
      </c>
      <c r="AI970" s="99" t="b">
        <f>INDEX(stable[q_living_income],MATCH(questions[[#This Row],[qno]],stable[qno],0))</f>
        <v>0</v>
      </c>
      <c r="AJ970" s="99" t="b">
        <f>INDEX(stable[q_carbon],MATCH(questions[[#This Row],[qno]],stable[qno],0))</f>
        <v>0</v>
      </c>
      <c r="AK970" s="99" t="b">
        <f>INDEX(stable[q_regen_ag],MATCH(questions[[#This Row],[qno]],stable[qno],0))</f>
        <v>0</v>
      </c>
      <c r="AL970" s="16" t="b">
        <f>COUNTIFS(stable[qno],questions[[#This Row],[qno]])=1</f>
        <v>1</v>
      </c>
      <c r="AM970" s="16" t="b">
        <f>OR(questions[[#This Row],[is_fixed]],questions[[#This Row],[is_localized]],questions[[#This Row],[is_supply_chain_dependent]])</f>
        <v>1</v>
      </c>
      <c r="AN970" s="16" t="b">
        <f>COUNTIFS(questions[[#This Row],[is_automated]:[is_multi_select]],TRUE)=1</f>
        <v>1</v>
      </c>
      <c r="AO970" s="16" t="b">
        <f>IF(questions[[#This Row],[is_fixed]],questions[[#This Row],[question]]=INDEX(stable[question],MATCH(questions[[#This Row],[qno]],stable[qno],0)),TRUE)</f>
        <v>1</v>
      </c>
      <c r="AP970" s="16" t="str">
        <f>LEFT(questions[[#This Row],[question]],similarity_range)</f>
        <v>Field staff(s)</v>
      </c>
      <c r="AQ970" s="16" t="str">
        <f>LEFT(INDEX(stable[question],MATCH(questions[[#This Row],[qno]],stable[qno],0)),similarity_range)</f>
        <v>Field staff(s)</v>
      </c>
      <c r="AR970" s="16" t="b">
        <f>questions[[#This Row],[question_first_characters]]=questions[[#This Row],[stability_first_characters]]</f>
        <v>1</v>
      </c>
      <c r="AS970" s="16" t="b">
        <f>IF(OR(questions[[#This Row],[is_single_select]],questions[[#This Row],[is_multi_select]]),NOT(ISBLANK(questions[[#This Row],[answer_opt_combined]])),TRUE)</f>
        <v>1</v>
      </c>
    </row>
    <row r="971" spans="1:45" ht="15.75" customHeight="1" x14ac:dyDescent="0.25">
      <c r="A971" s="33" t="str">
        <f>_xlfn.TEXTJOIN("_",TRUE,questions[[#This Row],[origin]:[qno]])</f>
        <v>Vietnam_Robusta_Nestle_Selecta_2025_1106</v>
      </c>
      <c r="B971" s="33" t="s">
        <v>673</v>
      </c>
      <c r="C971" s="33" t="s">
        <v>674</v>
      </c>
      <c r="D971" s="33" t="s">
        <v>904</v>
      </c>
      <c r="E971" s="33">
        <v>2025</v>
      </c>
      <c r="F971" s="34" t="s">
        <v>73</v>
      </c>
      <c r="G971" s="18" t="s">
        <v>74</v>
      </c>
      <c r="H971" s="33" t="str" cm="1">
        <f t="array" ref="H971">INDEX(stableR[question],MATCH(VALUE(questions[[#This Row],[qno]]),VALUE(stableR[qno]),0))</f>
        <v>Completion Date</v>
      </c>
      <c r="I971" s="33" t="b" cm="1">
        <f t="array" ref="I971">INDEX(stable[is_fixed],MATCH(VALUE(questions[[#This Row],[qno]]),VALUE(stable[qno]),0))</f>
        <v>1</v>
      </c>
      <c r="J971" s="33" t="b" cm="1">
        <f t="array" ref="J971">INDEX(stable[is_localized],MATCH(VALUE(questions[[#This Row],[qno]]),VALUE(stable[qno]),0))</f>
        <v>0</v>
      </c>
      <c r="K971" s="33" t="b" cm="1">
        <f t="array" ref="K971">INDEX(stable[is_supply_chain_dependent],MATCH(VALUE(questions[[#This Row],[qno]]),VALUE(stable[qno]),0))</f>
        <v>0</v>
      </c>
      <c r="L971" s="33" t="b" cm="1">
        <f t="array" ref="L971">INDEX(stable[is_mandatory],MATCH(VALUE(questions[[#This Row],[qno]]),VALUE(stable[qno]),0))</f>
        <v>1</v>
      </c>
      <c r="M971" s="33" t="b" cm="1">
        <f t="array" ref="M971">INDEX(stable[is_automated],MATCH(VALUE(questions[[#This Row],[qno]]),VALUE(stable[qno]),0))</f>
        <v>1</v>
      </c>
      <c r="N971" s="33" t="b" cm="1">
        <f t="array" ref="N971">INDEX(stable[is_free_text],MATCH(VALUE(questions[[#This Row],[qno]]),VALUE(stable[qno]),0))</f>
        <v>0</v>
      </c>
      <c r="O971" s="33" t="b" cm="1">
        <f t="array" ref="O971">INDEX(stable[is_numerical],MATCH(VALUE(questions[[#This Row],[qno]]),VALUE(stable[qno]),0))</f>
        <v>0</v>
      </c>
      <c r="P971" s="33" t="b" cm="1">
        <f t="array" ref="P971">INDEX(stable[is_single_select],MATCH(VALUE(questions[[#This Row],[qno]]),VALUE(stable[qno]),0))</f>
        <v>0</v>
      </c>
      <c r="Q971" s="33" t="b" cm="1">
        <f t="array" ref="Q971">INDEX(stable[is_multi_select],MATCH(VALUE(questions[[#This Row],[qno]]),VALUE(stable[qno]),0))</f>
        <v>0</v>
      </c>
      <c r="R971" s="33" t="b" cm="1">
        <f t="array" ref="R971">INDEX(stable[is_skip_logic],MATCH(VALUE(questions[[#This Row],[qno]]),VALUE(stable[qno]),0))</f>
        <v>0</v>
      </c>
      <c r="S971" s="33" t="str">
        <f>_xlfn.TEXTJOIN(", ",TRUE,questions[[#This Row],[ans_opt_1]:[ans_opt_14]])</f>
        <v/>
      </c>
      <c r="T971" s="33"/>
      <c r="U971" s="33"/>
      <c r="V971" s="33"/>
      <c r="W971" s="33"/>
      <c r="X971" s="33"/>
      <c r="Y971" s="33"/>
      <c r="Z971" s="33"/>
      <c r="AA971" s="33"/>
      <c r="AB971" s="33"/>
      <c r="AC971" s="33"/>
      <c r="AD971" s="33"/>
      <c r="AE971" s="33"/>
      <c r="AF971" s="33"/>
      <c r="AG971" s="33"/>
      <c r="AH971" s="99" t="b">
        <f>INDEX(stable[q_standard],MATCH(questions[[#This Row],[qno]],stable[qno],0))</f>
        <v>1</v>
      </c>
      <c r="AI971" s="99" t="b">
        <f>INDEX(stable[q_living_income],MATCH(questions[[#This Row],[qno]],stable[qno],0))</f>
        <v>0</v>
      </c>
      <c r="AJ971" s="99" t="b">
        <f>INDEX(stable[q_carbon],MATCH(questions[[#This Row],[qno]],stable[qno],0))</f>
        <v>0</v>
      </c>
      <c r="AK971" s="99" t="b">
        <f>INDEX(stable[q_regen_ag],MATCH(questions[[#This Row],[qno]],stable[qno],0))</f>
        <v>0</v>
      </c>
      <c r="AL971" s="16" t="b">
        <f>COUNTIFS(stable[qno],questions[[#This Row],[qno]])=1</f>
        <v>1</v>
      </c>
      <c r="AM971" s="16" t="b">
        <f>OR(questions[[#This Row],[is_fixed]],questions[[#This Row],[is_localized]],questions[[#This Row],[is_supply_chain_dependent]])</f>
        <v>1</v>
      </c>
      <c r="AN971" s="16" t="b">
        <f>COUNTIFS(questions[[#This Row],[is_automated]:[is_multi_select]],TRUE)=1</f>
        <v>1</v>
      </c>
      <c r="AO971" s="16" t="b">
        <f>IF(questions[[#This Row],[is_fixed]],questions[[#This Row],[question]]=INDEX(stable[question],MATCH(questions[[#This Row],[qno]],stable[qno],0)),TRUE)</f>
        <v>1</v>
      </c>
      <c r="AP971" s="16" t="str">
        <f>LEFT(questions[[#This Row],[question]],similarity_range)</f>
        <v>Completion Date</v>
      </c>
      <c r="AQ971" s="16" t="str">
        <f>LEFT(INDEX(stable[question],MATCH(questions[[#This Row],[qno]],stable[qno],0)),similarity_range)</f>
        <v>Completion Date</v>
      </c>
      <c r="AR971" s="16" t="b">
        <f>questions[[#This Row],[question_first_characters]]=questions[[#This Row],[stability_first_characters]]</f>
        <v>1</v>
      </c>
      <c r="AS971" s="16" t="b">
        <f>IF(OR(questions[[#This Row],[is_single_select]],questions[[#This Row],[is_multi_select]]),NOT(ISBLANK(questions[[#This Row],[answer_opt_combined]])),TRUE)</f>
        <v>1</v>
      </c>
    </row>
    <row r="972" spans="1:45" ht="15.75" customHeight="1" x14ac:dyDescent="0.25">
      <c r="A972" s="33" t="str">
        <f>_xlfn.TEXTJOIN("_",TRUE,questions[[#This Row],[origin]:[qno]])</f>
        <v>Vietnam_Robusta_Nestle_Selecta_2025_1110</v>
      </c>
      <c r="B972" s="33" t="s">
        <v>673</v>
      </c>
      <c r="C972" s="33" t="s">
        <v>674</v>
      </c>
      <c r="D972" s="33" t="s">
        <v>904</v>
      </c>
      <c r="E972" s="33">
        <v>2025</v>
      </c>
      <c r="F972" s="34" t="s">
        <v>75</v>
      </c>
      <c r="G972" s="18" t="s">
        <v>76</v>
      </c>
      <c r="H972" s="33" t="str" cm="1">
        <f t="array" ref="H972">INDEX(stableR[question],MATCH(VALUE(questions[[#This Row],[qno]]),VALUE(stableR[qno]),0))</f>
        <v>Approved / Rejected By</v>
      </c>
      <c r="I972" s="33" t="b" cm="1">
        <f t="array" ref="I972">INDEX(stable[is_fixed],MATCH(VALUE(questions[[#This Row],[qno]]),VALUE(stable[qno]),0))</f>
        <v>1</v>
      </c>
      <c r="J972" s="33" t="b" cm="1">
        <f t="array" ref="J972">INDEX(stable[is_localized],MATCH(VALUE(questions[[#This Row],[qno]]),VALUE(stable[qno]),0))</f>
        <v>0</v>
      </c>
      <c r="K972" s="33" t="b" cm="1">
        <f t="array" ref="K972">INDEX(stable[is_supply_chain_dependent],MATCH(VALUE(questions[[#This Row],[qno]]),VALUE(stable[qno]),0))</f>
        <v>0</v>
      </c>
      <c r="L972" s="33" t="b" cm="1">
        <f t="array" ref="L972">INDEX(stable[is_mandatory],MATCH(VALUE(questions[[#This Row],[qno]]),VALUE(stable[qno]),0))</f>
        <v>1</v>
      </c>
      <c r="M972" s="33" t="b" cm="1">
        <f t="array" ref="M972">INDEX(stable[is_automated],MATCH(VALUE(questions[[#This Row],[qno]]),VALUE(stable[qno]),0))</f>
        <v>1</v>
      </c>
      <c r="N972" s="33" t="b" cm="1">
        <f t="array" ref="N972">INDEX(stable[is_free_text],MATCH(VALUE(questions[[#This Row],[qno]]),VALUE(stable[qno]),0))</f>
        <v>0</v>
      </c>
      <c r="O972" s="33" t="b" cm="1">
        <f t="array" ref="O972">INDEX(stable[is_numerical],MATCH(VALUE(questions[[#This Row],[qno]]),VALUE(stable[qno]),0))</f>
        <v>0</v>
      </c>
      <c r="P972" s="33" t="b" cm="1">
        <f t="array" ref="P972">INDEX(stable[is_single_select],MATCH(VALUE(questions[[#This Row],[qno]]),VALUE(stable[qno]),0))</f>
        <v>0</v>
      </c>
      <c r="Q972" s="33" t="b" cm="1">
        <f t="array" ref="Q972">INDEX(stable[is_multi_select],MATCH(VALUE(questions[[#This Row],[qno]]),VALUE(stable[qno]),0))</f>
        <v>0</v>
      </c>
      <c r="R972" s="33" t="b" cm="1">
        <f t="array" ref="R972">INDEX(stable[is_skip_logic],MATCH(VALUE(questions[[#This Row],[qno]]),VALUE(stable[qno]),0))</f>
        <v>0</v>
      </c>
      <c r="S972" s="33" t="str">
        <f>_xlfn.TEXTJOIN(", ",TRUE,questions[[#This Row],[ans_opt_1]:[ans_opt_14]])</f>
        <v/>
      </c>
      <c r="T972" s="33"/>
      <c r="U972" s="33"/>
      <c r="V972" s="33"/>
      <c r="W972" s="33"/>
      <c r="X972" s="33"/>
      <c r="Y972" s="33"/>
      <c r="Z972" s="33"/>
      <c r="AA972" s="33"/>
      <c r="AB972" s="33"/>
      <c r="AC972" s="33"/>
      <c r="AD972" s="33"/>
      <c r="AE972" s="33"/>
      <c r="AF972" s="33"/>
      <c r="AG972" s="33"/>
      <c r="AH972" s="99" t="b">
        <f>INDEX(stable[q_standard],MATCH(questions[[#This Row],[qno]],stable[qno],0))</f>
        <v>1</v>
      </c>
      <c r="AI972" s="99" t="b">
        <f>INDEX(stable[q_living_income],MATCH(questions[[#This Row],[qno]],stable[qno],0))</f>
        <v>0</v>
      </c>
      <c r="AJ972" s="99" t="b">
        <f>INDEX(stable[q_carbon],MATCH(questions[[#This Row],[qno]],stable[qno],0))</f>
        <v>0</v>
      </c>
      <c r="AK972" s="99" t="b">
        <f>INDEX(stable[q_regen_ag],MATCH(questions[[#This Row],[qno]],stable[qno],0))</f>
        <v>0</v>
      </c>
      <c r="AL972" s="16" t="b">
        <f>COUNTIFS(stable[qno],questions[[#This Row],[qno]])=1</f>
        <v>1</v>
      </c>
      <c r="AM972" s="16" t="b">
        <f>OR(questions[[#This Row],[is_fixed]],questions[[#This Row],[is_localized]],questions[[#This Row],[is_supply_chain_dependent]])</f>
        <v>1</v>
      </c>
      <c r="AN972" s="16" t="b">
        <f>COUNTIFS(questions[[#This Row],[is_automated]:[is_multi_select]],TRUE)=1</f>
        <v>1</v>
      </c>
      <c r="AO972" s="16" t="b">
        <f>IF(questions[[#This Row],[is_fixed]],questions[[#This Row],[question]]=INDEX(stable[question],MATCH(questions[[#This Row],[qno]],stable[qno],0)),TRUE)</f>
        <v>1</v>
      </c>
      <c r="AP972" s="16" t="str">
        <f>LEFT(questions[[#This Row],[question]],similarity_range)</f>
        <v xml:space="preserve">Approved / Rejected </v>
      </c>
      <c r="AQ972" s="16" t="str">
        <f>LEFT(INDEX(stable[question],MATCH(questions[[#This Row],[qno]],stable[qno],0)),similarity_range)</f>
        <v xml:space="preserve">Approved / Rejected </v>
      </c>
      <c r="AR972" s="16" t="b">
        <f>questions[[#This Row],[question_first_characters]]=questions[[#This Row],[stability_first_characters]]</f>
        <v>1</v>
      </c>
      <c r="AS972" s="16" t="b">
        <f>IF(OR(questions[[#This Row],[is_single_select]],questions[[#This Row],[is_multi_select]]),NOT(ISBLANK(questions[[#This Row],[answer_opt_combined]])),TRUE)</f>
        <v>1</v>
      </c>
    </row>
    <row r="973" spans="1:45" ht="15.75" customHeight="1" x14ac:dyDescent="0.25">
      <c r="A973" s="33" t="str">
        <f>_xlfn.TEXTJOIN("_",TRUE,questions[[#This Row],[origin]:[qno]])</f>
        <v>Vietnam_Robusta_Nestle_Selecta_2025_1111</v>
      </c>
      <c r="B973" s="33" t="s">
        <v>673</v>
      </c>
      <c r="C973" s="33" t="s">
        <v>674</v>
      </c>
      <c r="D973" s="33" t="s">
        <v>904</v>
      </c>
      <c r="E973" s="33">
        <v>2025</v>
      </c>
      <c r="F973" s="34" t="s">
        <v>77</v>
      </c>
      <c r="G973" s="18" t="s">
        <v>78</v>
      </c>
      <c r="H973" s="33" t="str" cm="1">
        <f t="array" ref="H973">INDEX(stableR[question],MATCH(VALUE(questions[[#This Row],[qno]]),VALUE(stableR[qno]),0))</f>
        <v>Approved / Rejected Date</v>
      </c>
      <c r="I973" s="33" t="b" cm="1">
        <f t="array" ref="I973">INDEX(stable[is_fixed],MATCH(VALUE(questions[[#This Row],[qno]]),VALUE(stable[qno]),0))</f>
        <v>1</v>
      </c>
      <c r="J973" s="33" t="b" cm="1">
        <f t="array" ref="J973">INDEX(stable[is_localized],MATCH(VALUE(questions[[#This Row],[qno]]),VALUE(stable[qno]),0))</f>
        <v>0</v>
      </c>
      <c r="K973" s="33" t="b" cm="1">
        <f t="array" ref="K973">INDEX(stable[is_supply_chain_dependent],MATCH(VALUE(questions[[#This Row],[qno]]),VALUE(stable[qno]),0))</f>
        <v>0</v>
      </c>
      <c r="L973" s="33" t="b" cm="1">
        <f t="array" ref="L973">INDEX(stable[is_mandatory],MATCH(VALUE(questions[[#This Row],[qno]]),VALUE(stable[qno]),0))</f>
        <v>1</v>
      </c>
      <c r="M973" s="33" t="b" cm="1">
        <f t="array" ref="M973">INDEX(stable[is_automated],MATCH(VALUE(questions[[#This Row],[qno]]),VALUE(stable[qno]),0))</f>
        <v>1</v>
      </c>
      <c r="N973" s="33" t="b" cm="1">
        <f t="array" ref="N973">INDEX(stable[is_free_text],MATCH(VALUE(questions[[#This Row],[qno]]),VALUE(stable[qno]),0))</f>
        <v>0</v>
      </c>
      <c r="O973" s="33" t="b" cm="1">
        <f t="array" ref="O973">INDEX(stable[is_numerical],MATCH(VALUE(questions[[#This Row],[qno]]),VALUE(stable[qno]),0))</f>
        <v>0</v>
      </c>
      <c r="P973" s="33" t="b" cm="1">
        <f t="array" ref="P973">INDEX(stable[is_single_select],MATCH(VALUE(questions[[#This Row],[qno]]),VALUE(stable[qno]),0))</f>
        <v>0</v>
      </c>
      <c r="Q973" s="33" t="b" cm="1">
        <f t="array" ref="Q973">INDEX(stable[is_multi_select],MATCH(VALUE(questions[[#This Row],[qno]]),VALUE(stable[qno]),0))</f>
        <v>0</v>
      </c>
      <c r="R973" s="33" t="b" cm="1">
        <f t="array" ref="R973">INDEX(stable[is_skip_logic],MATCH(VALUE(questions[[#This Row],[qno]]),VALUE(stable[qno]),0))</f>
        <v>0</v>
      </c>
      <c r="S973" s="33" t="str">
        <f>_xlfn.TEXTJOIN(", ",TRUE,questions[[#This Row],[ans_opt_1]:[ans_opt_14]])</f>
        <v/>
      </c>
      <c r="T973" s="33"/>
      <c r="U973" s="33"/>
      <c r="V973" s="33"/>
      <c r="W973" s="33"/>
      <c r="X973" s="33"/>
      <c r="Y973" s="33"/>
      <c r="Z973" s="33"/>
      <c r="AA973" s="33"/>
      <c r="AB973" s="33"/>
      <c r="AC973" s="33"/>
      <c r="AD973" s="33"/>
      <c r="AE973" s="33"/>
      <c r="AF973" s="33"/>
      <c r="AG973" s="33"/>
      <c r="AH973" s="99" t="b">
        <f>INDEX(stable[q_standard],MATCH(questions[[#This Row],[qno]],stable[qno],0))</f>
        <v>1</v>
      </c>
      <c r="AI973" s="99" t="b">
        <f>INDEX(stable[q_living_income],MATCH(questions[[#This Row],[qno]],stable[qno],0))</f>
        <v>0</v>
      </c>
      <c r="AJ973" s="99" t="b">
        <f>INDEX(stable[q_carbon],MATCH(questions[[#This Row],[qno]],stable[qno],0))</f>
        <v>0</v>
      </c>
      <c r="AK973" s="99" t="b">
        <f>INDEX(stable[q_regen_ag],MATCH(questions[[#This Row],[qno]],stable[qno],0))</f>
        <v>0</v>
      </c>
      <c r="AL973" s="16" t="b">
        <f>COUNTIFS(stable[qno],questions[[#This Row],[qno]])=1</f>
        <v>1</v>
      </c>
      <c r="AM973" s="16" t="b">
        <f>OR(questions[[#This Row],[is_fixed]],questions[[#This Row],[is_localized]],questions[[#This Row],[is_supply_chain_dependent]])</f>
        <v>1</v>
      </c>
      <c r="AN973" s="16" t="b">
        <f>COUNTIFS(questions[[#This Row],[is_automated]:[is_multi_select]],TRUE)=1</f>
        <v>1</v>
      </c>
      <c r="AO973" s="16" t="b">
        <f>IF(questions[[#This Row],[is_fixed]],questions[[#This Row],[question]]=INDEX(stable[question],MATCH(questions[[#This Row],[qno]],stable[qno],0)),TRUE)</f>
        <v>1</v>
      </c>
      <c r="AP973" s="16" t="str">
        <f>LEFT(questions[[#This Row],[question]],similarity_range)</f>
        <v xml:space="preserve">Approved / Rejected </v>
      </c>
      <c r="AQ973" s="16" t="str">
        <f>LEFT(INDEX(stable[question],MATCH(questions[[#This Row],[qno]],stable[qno],0)),similarity_range)</f>
        <v xml:space="preserve">Approved / Rejected </v>
      </c>
      <c r="AR973" s="16" t="b">
        <f>questions[[#This Row],[question_first_characters]]=questions[[#This Row],[stability_first_characters]]</f>
        <v>1</v>
      </c>
      <c r="AS973" s="16" t="b">
        <f>IF(OR(questions[[#This Row],[is_single_select]],questions[[#This Row],[is_multi_select]]),NOT(ISBLANK(questions[[#This Row],[answer_opt_combined]])),TRUE)</f>
        <v>1</v>
      </c>
    </row>
    <row r="974" spans="1:45" ht="15.75" customHeight="1" x14ac:dyDescent="0.25">
      <c r="A974" s="33" t="str">
        <f>_xlfn.TEXTJOIN("_",TRUE,questions[[#This Row],[origin]:[qno]])</f>
        <v>Vietnam_Robusta_Nestle_Selecta_2025_1112</v>
      </c>
      <c r="B974" s="33" t="s">
        <v>673</v>
      </c>
      <c r="C974" s="33" t="s">
        <v>674</v>
      </c>
      <c r="D974" s="33" t="s">
        <v>904</v>
      </c>
      <c r="E974" s="33">
        <v>2025</v>
      </c>
      <c r="F974" s="34" t="s">
        <v>79</v>
      </c>
      <c r="G974" s="18" t="s">
        <v>80</v>
      </c>
      <c r="H974" s="33" t="str" cm="1">
        <f t="array" ref="H974">INDEX(stableR[question],MATCH(VALUE(questions[[#This Row],[qno]]),VALUE(stableR[qno]),0))</f>
        <v>Approval / Rejection Reason</v>
      </c>
      <c r="I974" s="33" t="b" cm="1">
        <f t="array" ref="I974">INDEX(stable[is_fixed],MATCH(VALUE(questions[[#This Row],[qno]]),VALUE(stable[qno]),0))</f>
        <v>1</v>
      </c>
      <c r="J974" s="33" t="b" cm="1">
        <f t="array" ref="J974">INDEX(stable[is_localized],MATCH(VALUE(questions[[#This Row],[qno]]),VALUE(stable[qno]),0))</f>
        <v>0</v>
      </c>
      <c r="K974" s="33" t="b" cm="1">
        <f t="array" ref="K974">INDEX(stable[is_supply_chain_dependent],MATCH(VALUE(questions[[#This Row],[qno]]),VALUE(stable[qno]),0))</f>
        <v>0</v>
      </c>
      <c r="L974" s="33" t="b" cm="1">
        <f t="array" ref="L974">INDEX(stable[is_mandatory],MATCH(VALUE(questions[[#This Row],[qno]]),VALUE(stable[qno]),0))</f>
        <v>1</v>
      </c>
      <c r="M974" s="33" t="b" cm="1">
        <f t="array" ref="M974">INDEX(stable[is_automated],MATCH(VALUE(questions[[#This Row],[qno]]),VALUE(stable[qno]),0))</f>
        <v>1</v>
      </c>
      <c r="N974" s="33" t="b" cm="1">
        <f t="array" ref="N974">INDEX(stable[is_free_text],MATCH(VALUE(questions[[#This Row],[qno]]),VALUE(stable[qno]),0))</f>
        <v>0</v>
      </c>
      <c r="O974" s="33" t="b" cm="1">
        <f t="array" ref="O974">INDEX(stable[is_numerical],MATCH(VALUE(questions[[#This Row],[qno]]),VALUE(stable[qno]),0))</f>
        <v>0</v>
      </c>
      <c r="P974" s="33" t="b" cm="1">
        <f t="array" ref="P974">INDEX(stable[is_single_select],MATCH(VALUE(questions[[#This Row],[qno]]),VALUE(stable[qno]),0))</f>
        <v>0</v>
      </c>
      <c r="Q974" s="33" t="b" cm="1">
        <f t="array" ref="Q974">INDEX(stable[is_multi_select],MATCH(VALUE(questions[[#This Row],[qno]]),VALUE(stable[qno]),0))</f>
        <v>0</v>
      </c>
      <c r="R974" s="33" t="b" cm="1">
        <f t="array" ref="R974">INDEX(stable[is_skip_logic],MATCH(VALUE(questions[[#This Row],[qno]]),VALUE(stable[qno]),0))</f>
        <v>0</v>
      </c>
      <c r="S974" s="33" t="str">
        <f>_xlfn.TEXTJOIN(", ",TRUE,questions[[#This Row],[ans_opt_1]:[ans_opt_14]])</f>
        <v/>
      </c>
      <c r="T974" s="33"/>
      <c r="U974" s="33"/>
      <c r="V974" s="33"/>
      <c r="W974" s="33"/>
      <c r="X974" s="33"/>
      <c r="Y974" s="33"/>
      <c r="Z974" s="33"/>
      <c r="AA974" s="33"/>
      <c r="AB974" s="33"/>
      <c r="AC974" s="33"/>
      <c r="AD974" s="33"/>
      <c r="AE974" s="33"/>
      <c r="AF974" s="33"/>
      <c r="AG974" s="33"/>
      <c r="AH974" s="99" t="b">
        <f>INDEX(stable[q_standard],MATCH(questions[[#This Row],[qno]],stable[qno],0))</f>
        <v>1</v>
      </c>
      <c r="AI974" s="99" t="b">
        <f>INDEX(stable[q_living_income],MATCH(questions[[#This Row],[qno]],stable[qno],0))</f>
        <v>0</v>
      </c>
      <c r="AJ974" s="99" t="b">
        <f>INDEX(stable[q_carbon],MATCH(questions[[#This Row],[qno]],stable[qno],0))</f>
        <v>0</v>
      </c>
      <c r="AK974" s="99" t="b">
        <f>INDEX(stable[q_regen_ag],MATCH(questions[[#This Row],[qno]],stable[qno],0))</f>
        <v>0</v>
      </c>
      <c r="AL974" s="16" t="b">
        <f>COUNTIFS(stable[qno],questions[[#This Row],[qno]])=1</f>
        <v>1</v>
      </c>
      <c r="AM974" s="16" t="b">
        <f>OR(questions[[#This Row],[is_fixed]],questions[[#This Row],[is_localized]],questions[[#This Row],[is_supply_chain_dependent]])</f>
        <v>1</v>
      </c>
      <c r="AN974" s="16" t="b">
        <f>COUNTIFS(questions[[#This Row],[is_automated]:[is_multi_select]],TRUE)=1</f>
        <v>1</v>
      </c>
      <c r="AO974" s="16" t="b">
        <f>IF(questions[[#This Row],[is_fixed]],questions[[#This Row],[question]]=INDEX(stable[question],MATCH(questions[[#This Row],[qno]],stable[qno],0)),TRUE)</f>
        <v>1</v>
      </c>
      <c r="AP974" s="16" t="str">
        <f>LEFT(questions[[#This Row],[question]],similarity_range)</f>
        <v>Approval / Rejection</v>
      </c>
      <c r="AQ974" s="16" t="str">
        <f>LEFT(INDEX(stable[question],MATCH(questions[[#This Row],[qno]],stable[qno],0)),similarity_range)</f>
        <v>Approval / Rejection</v>
      </c>
      <c r="AR974" s="16" t="b">
        <f>questions[[#This Row],[question_first_characters]]=questions[[#This Row],[stability_first_characters]]</f>
        <v>1</v>
      </c>
      <c r="AS974" s="16" t="b">
        <f>IF(OR(questions[[#This Row],[is_single_select]],questions[[#This Row],[is_multi_select]]),NOT(ISBLANK(questions[[#This Row],[answer_opt_combined]])),TRUE)</f>
        <v>1</v>
      </c>
    </row>
    <row r="975" spans="1:45" ht="15.75" customHeight="1" x14ac:dyDescent="0.25">
      <c r="A975" s="33" t="str">
        <f>_xlfn.TEXTJOIN("_",TRUE,questions[[#This Row],[origin]:[qno]])</f>
        <v>Vietnam_Robusta_Nestle_Selecta_2025_1200</v>
      </c>
      <c r="B975" s="33" t="s">
        <v>673</v>
      </c>
      <c r="C975" s="33" t="s">
        <v>674</v>
      </c>
      <c r="D975" s="33" t="s">
        <v>904</v>
      </c>
      <c r="E975" s="33">
        <v>2025</v>
      </c>
      <c r="F975" s="34" t="s">
        <v>81</v>
      </c>
      <c r="G975" s="18" t="s">
        <v>82</v>
      </c>
      <c r="H975" s="33" t="str" cm="1">
        <f t="array" ref="H975">INDEX(stableR[question],MATCH(VALUE(questions[[#This Row],[qno]]),VALUE(stableR[qno]),0))</f>
        <v>Farmer code</v>
      </c>
      <c r="I975" s="33" t="b" cm="1">
        <f t="array" ref="I975">INDEX(stable[is_fixed],MATCH(VALUE(questions[[#This Row],[qno]]),VALUE(stable[qno]),0))</f>
        <v>1</v>
      </c>
      <c r="J975" s="33" t="b" cm="1">
        <f t="array" ref="J975">INDEX(stable[is_localized],MATCH(VALUE(questions[[#This Row],[qno]]),VALUE(stable[qno]),0))</f>
        <v>0</v>
      </c>
      <c r="K975" s="33" t="b" cm="1">
        <f t="array" ref="K975">INDEX(stable[is_supply_chain_dependent],MATCH(VALUE(questions[[#This Row],[qno]]),VALUE(stable[qno]),0))</f>
        <v>0</v>
      </c>
      <c r="L975" s="33" t="b" cm="1">
        <f t="array" ref="L975">INDEX(stable[is_mandatory],MATCH(VALUE(questions[[#This Row],[qno]]),VALUE(stable[qno]),0))</f>
        <v>1</v>
      </c>
      <c r="M975" s="33" t="b" cm="1">
        <f t="array" ref="M975">INDEX(stable[is_automated],MATCH(VALUE(questions[[#This Row],[qno]]),VALUE(stable[qno]),0))</f>
        <v>1</v>
      </c>
      <c r="N975" s="33" t="b" cm="1">
        <f t="array" ref="N975">INDEX(stable[is_free_text],MATCH(VALUE(questions[[#This Row],[qno]]),VALUE(stable[qno]),0))</f>
        <v>0</v>
      </c>
      <c r="O975" s="33" t="b" cm="1">
        <f t="array" ref="O975">INDEX(stable[is_numerical],MATCH(VALUE(questions[[#This Row],[qno]]),VALUE(stable[qno]),0))</f>
        <v>0</v>
      </c>
      <c r="P975" s="33" t="b" cm="1">
        <f t="array" ref="P975">INDEX(stable[is_single_select],MATCH(VALUE(questions[[#This Row],[qno]]),VALUE(stable[qno]),0))</f>
        <v>0</v>
      </c>
      <c r="Q975" s="33" t="b" cm="1">
        <f t="array" ref="Q975">INDEX(stable[is_multi_select],MATCH(VALUE(questions[[#This Row],[qno]]),VALUE(stable[qno]),0))</f>
        <v>0</v>
      </c>
      <c r="R975" s="33" t="b" cm="1">
        <f t="array" ref="R975">INDEX(stable[is_skip_logic],MATCH(VALUE(questions[[#This Row],[qno]]),VALUE(stable[qno]),0))</f>
        <v>0</v>
      </c>
      <c r="S975" s="33" t="str">
        <f>_xlfn.TEXTJOIN(", ",TRUE,questions[[#This Row],[ans_opt_1]:[ans_opt_14]])</f>
        <v/>
      </c>
      <c r="T975" s="33"/>
      <c r="U975" s="33"/>
      <c r="V975" s="33"/>
      <c r="W975" s="33"/>
      <c r="X975" s="33"/>
      <c r="Y975" s="33"/>
      <c r="Z975" s="33"/>
      <c r="AA975" s="33"/>
      <c r="AB975" s="33"/>
      <c r="AC975" s="33"/>
      <c r="AD975" s="33"/>
      <c r="AE975" s="33"/>
      <c r="AF975" s="33"/>
      <c r="AG975" s="33"/>
      <c r="AH975" s="99" t="b">
        <f>INDEX(stable[q_standard],MATCH(questions[[#This Row],[qno]],stable[qno],0))</f>
        <v>1</v>
      </c>
      <c r="AI975" s="99" t="b">
        <f>INDEX(stable[q_living_income],MATCH(questions[[#This Row],[qno]],stable[qno],0))</f>
        <v>0</v>
      </c>
      <c r="AJ975" s="99" t="b">
        <f>INDEX(stable[q_carbon],MATCH(questions[[#This Row],[qno]],stable[qno],0))</f>
        <v>0</v>
      </c>
      <c r="AK975" s="99" t="b">
        <f>INDEX(stable[q_regen_ag],MATCH(questions[[#This Row],[qno]],stable[qno],0))</f>
        <v>0</v>
      </c>
      <c r="AL975" s="16" t="b">
        <f>COUNTIFS(stable[qno],questions[[#This Row],[qno]])=1</f>
        <v>1</v>
      </c>
      <c r="AM975" s="16" t="b">
        <f>OR(questions[[#This Row],[is_fixed]],questions[[#This Row],[is_localized]],questions[[#This Row],[is_supply_chain_dependent]])</f>
        <v>1</v>
      </c>
      <c r="AN975" s="16" t="b">
        <f>COUNTIFS(questions[[#This Row],[is_automated]:[is_multi_select]],TRUE)=1</f>
        <v>1</v>
      </c>
      <c r="AO975" s="16" t="b">
        <f>IF(questions[[#This Row],[is_fixed]],questions[[#This Row],[question]]=INDEX(stable[question],MATCH(questions[[#This Row],[qno]],stable[qno],0)),TRUE)</f>
        <v>1</v>
      </c>
      <c r="AP975" s="16" t="str">
        <f>LEFT(questions[[#This Row],[question]],similarity_range)</f>
        <v>Farmer code</v>
      </c>
      <c r="AQ975" s="16" t="str">
        <f>LEFT(INDEX(stable[question],MATCH(questions[[#This Row],[qno]],stable[qno],0)),similarity_range)</f>
        <v>Farmer code</v>
      </c>
      <c r="AR975" s="16" t="b">
        <f>questions[[#This Row],[question_first_characters]]=questions[[#This Row],[stability_first_characters]]</f>
        <v>1</v>
      </c>
      <c r="AS975" s="16" t="b">
        <f>IF(OR(questions[[#This Row],[is_single_select]],questions[[#This Row],[is_multi_select]]),NOT(ISBLANK(questions[[#This Row],[answer_opt_combined]])),TRUE)</f>
        <v>1</v>
      </c>
    </row>
    <row r="976" spans="1:45" ht="15.75" customHeight="1" x14ac:dyDescent="0.25">
      <c r="A976" s="33" t="str">
        <f>_xlfn.TEXTJOIN("_",TRUE,questions[[#This Row],[origin]:[qno]])</f>
        <v>Vietnam_Robusta_Nestle_Selecta_2025_1201</v>
      </c>
      <c r="B976" s="33" t="s">
        <v>673</v>
      </c>
      <c r="C976" s="33" t="s">
        <v>674</v>
      </c>
      <c r="D976" s="33" t="s">
        <v>904</v>
      </c>
      <c r="E976" s="33">
        <v>2025</v>
      </c>
      <c r="F976" s="34" t="s">
        <v>83</v>
      </c>
      <c r="G976" s="18" t="s">
        <v>84</v>
      </c>
      <c r="H976" s="33" t="str" cm="1">
        <f t="array" ref="H976">INDEX(stableR[question],MATCH(VALUE(questions[[#This Row],[qno]]),VALUE(stableR[qno]),0))</f>
        <v>Farmer name</v>
      </c>
      <c r="I976" s="33" t="b" cm="1">
        <f t="array" ref="I976">INDEX(stable[is_fixed],MATCH(VALUE(questions[[#This Row],[qno]]),VALUE(stable[qno]),0))</f>
        <v>1</v>
      </c>
      <c r="J976" s="33" t="b" cm="1">
        <f t="array" ref="J976">INDEX(stable[is_localized],MATCH(VALUE(questions[[#This Row],[qno]]),VALUE(stable[qno]),0))</f>
        <v>0</v>
      </c>
      <c r="K976" s="33" t="b" cm="1">
        <f t="array" ref="K976">INDEX(stable[is_supply_chain_dependent],MATCH(VALUE(questions[[#This Row],[qno]]),VALUE(stable[qno]),0))</f>
        <v>0</v>
      </c>
      <c r="L976" s="33" t="b" cm="1">
        <f t="array" ref="L976">INDEX(stable[is_mandatory],MATCH(VALUE(questions[[#This Row],[qno]]),VALUE(stable[qno]),0))</f>
        <v>1</v>
      </c>
      <c r="M976" s="33" t="b" cm="1">
        <f t="array" ref="M976">INDEX(stable[is_automated],MATCH(VALUE(questions[[#This Row],[qno]]),VALUE(stable[qno]),0))</f>
        <v>1</v>
      </c>
      <c r="N976" s="33" t="b" cm="1">
        <f t="array" ref="N976">INDEX(stable[is_free_text],MATCH(VALUE(questions[[#This Row],[qno]]),VALUE(stable[qno]),0))</f>
        <v>0</v>
      </c>
      <c r="O976" s="33" t="b" cm="1">
        <f t="array" ref="O976">INDEX(stable[is_numerical],MATCH(VALUE(questions[[#This Row],[qno]]),VALUE(stable[qno]),0))</f>
        <v>0</v>
      </c>
      <c r="P976" s="33" t="b" cm="1">
        <f t="array" ref="P976">INDEX(stable[is_single_select],MATCH(VALUE(questions[[#This Row],[qno]]),VALUE(stable[qno]),0))</f>
        <v>0</v>
      </c>
      <c r="Q976" s="33" t="b" cm="1">
        <f t="array" ref="Q976">INDEX(stable[is_multi_select],MATCH(VALUE(questions[[#This Row],[qno]]),VALUE(stable[qno]),0))</f>
        <v>0</v>
      </c>
      <c r="R976" s="33" t="b" cm="1">
        <f t="array" ref="R976">INDEX(stable[is_skip_logic],MATCH(VALUE(questions[[#This Row],[qno]]),VALUE(stable[qno]),0))</f>
        <v>0</v>
      </c>
      <c r="S976" s="33" t="str">
        <f>_xlfn.TEXTJOIN(", ",TRUE,questions[[#This Row],[ans_opt_1]:[ans_opt_14]])</f>
        <v/>
      </c>
      <c r="T976" s="33"/>
      <c r="U976" s="33"/>
      <c r="V976" s="33"/>
      <c r="W976" s="33"/>
      <c r="X976" s="33"/>
      <c r="Y976" s="33"/>
      <c r="Z976" s="33"/>
      <c r="AA976" s="33"/>
      <c r="AB976" s="33"/>
      <c r="AC976" s="33"/>
      <c r="AD976" s="33"/>
      <c r="AE976" s="33"/>
      <c r="AF976" s="33"/>
      <c r="AG976" s="33"/>
      <c r="AH976" s="99" t="b">
        <f>INDEX(stable[q_standard],MATCH(questions[[#This Row],[qno]],stable[qno],0))</f>
        <v>1</v>
      </c>
      <c r="AI976" s="99" t="b">
        <f>INDEX(stable[q_living_income],MATCH(questions[[#This Row],[qno]],stable[qno],0))</f>
        <v>0</v>
      </c>
      <c r="AJ976" s="99" t="b">
        <f>INDEX(stable[q_carbon],MATCH(questions[[#This Row],[qno]],stable[qno],0))</f>
        <v>0</v>
      </c>
      <c r="AK976" s="99" t="b">
        <f>INDEX(stable[q_regen_ag],MATCH(questions[[#This Row],[qno]],stable[qno],0))</f>
        <v>0</v>
      </c>
      <c r="AL976" s="16" t="b">
        <f>COUNTIFS(stable[qno],questions[[#This Row],[qno]])=1</f>
        <v>1</v>
      </c>
      <c r="AM976" s="16" t="b">
        <f>OR(questions[[#This Row],[is_fixed]],questions[[#This Row],[is_localized]],questions[[#This Row],[is_supply_chain_dependent]])</f>
        <v>1</v>
      </c>
      <c r="AN976" s="16" t="b">
        <f>COUNTIFS(questions[[#This Row],[is_automated]:[is_multi_select]],TRUE)=1</f>
        <v>1</v>
      </c>
      <c r="AO976" s="16" t="b">
        <f>IF(questions[[#This Row],[is_fixed]],questions[[#This Row],[question]]=INDEX(stable[question],MATCH(questions[[#This Row],[qno]],stable[qno],0)),TRUE)</f>
        <v>1</v>
      </c>
      <c r="AP976" s="16" t="str">
        <f>LEFT(questions[[#This Row],[question]],similarity_range)</f>
        <v>Farmer name</v>
      </c>
      <c r="AQ976" s="16" t="str">
        <f>LEFT(INDEX(stable[question],MATCH(questions[[#This Row],[qno]],stable[qno],0)),similarity_range)</f>
        <v>Farmer name</v>
      </c>
      <c r="AR976" s="16" t="b">
        <f>questions[[#This Row],[question_first_characters]]=questions[[#This Row],[stability_first_characters]]</f>
        <v>1</v>
      </c>
      <c r="AS976" s="16" t="b">
        <f>IF(OR(questions[[#This Row],[is_single_select]],questions[[#This Row],[is_multi_select]]),NOT(ISBLANK(questions[[#This Row],[answer_opt_combined]])),TRUE)</f>
        <v>1</v>
      </c>
    </row>
    <row r="977" spans="1:45" ht="15.75" customHeight="1" x14ac:dyDescent="0.25">
      <c r="A977" s="33" t="str">
        <f>_xlfn.TEXTJOIN("_",TRUE,questions[[#This Row],[origin]:[qno]])</f>
        <v>Vietnam_Robusta_Nestle_Selecta_2025_1202</v>
      </c>
      <c r="B977" s="33" t="s">
        <v>673</v>
      </c>
      <c r="C977" s="33" t="s">
        <v>674</v>
      </c>
      <c r="D977" s="33" t="s">
        <v>904</v>
      </c>
      <c r="E977" s="33">
        <v>2025</v>
      </c>
      <c r="F977" s="34" t="s">
        <v>85</v>
      </c>
      <c r="G977" s="18" t="s">
        <v>86</v>
      </c>
      <c r="H977" s="33" t="str" cm="1">
        <f t="array" ref="H977">INDEX(stableR[question],MATCH(VALUE(questions[[#This Row],[qno]]),VALUE(stableR[qno]),0))</f>
        <v>Farmer tags</v>
      </c>
      <c r="I977" s="33" t="b" cm="1">
        <f t="array" ref="I977">INDEX(stable[is_fixed],MATCH(VALUE(questions[[#This Row],[qno]]),VALUE(stable[qno]),0))</f>
        <v>1</v>
      </c>
      <c r="J977" s="33" t="b" cm="1">
        <f t="array" ref="J977">INDEX(stable[is_localized],MATCH(VALUE(questions[[#This Row],[qno]]),VALUE(stable[qno]),0))</f>
        <v>0</v>
      </c>
      <c r="K977" s="33" t="b" cm="1">
        <f t="array" ref="K977">INDEX(stable[is_supply_chain_dependent],MATCH(VALUE(questions[[#This Row],[qno]]),VALUE(stable[qno]),0))</f>
        <v>0</v>
      </c>
      <c r="L977" s="33" t="b" cm="1">
        <f t="array" ref="L977">INDEX(stable[is_mandatory],MATCH(VALUE(questions[[#This Row],[qno]]),VALUE(stable[qno]),0))</f>
        <v>1</v>
      </c>
      <c r="M977" s="33" t="b" cm="1">
        <f t="array" ref="M977">INDEX(stable[is_automated],MATCH(VALUE(questions[[#This Row],[qno]]),VALUE(stable[qno]),0))</f>
        <v>1</v>
      </c>
      <c r="N977" s="33" t="b" cm="1">
        <f t="array" ref="N977">INDEX(stable[is_free_text],MATCH(VALUE(questions[[#This Row],[qno]]),VALUE(stable[qno]),0))</f>
        <v>0</v>
      </c>
      <c r="O977" s="33" t="b" cm="1">
        <f t="array" ref="O977">INDEX(stable[is_numerical],MATCH(VALUE(questions[[#This Row],[qno]]),VALUE(stable[qno]),0))</f>
        <v>0</v>
      </c>
      <c r="P977" s="33" t="b" cm="1">
        <f t="array" ref="P977">INDEX(stable[is_single_select],MATCH(VALUE(questions[[#This Row],[qno]]),VALUE(stable[qno]),0))</f>
        <v>0</v>
      </c>
      <c r="Q977" s="33" t="b" cm="1">
        <f t="array" ref="Q977">INDEX(stable[is_multi_select],MATCH(VALUE(questions[[#This Row],[qno]]),VALUE(stable[qno]),0))</f>
        <v>0</v>
      </c>
      <c r="R977" s="33" t="b" cm="1">
        <f t="array" ref="R977">INDEX(stable[is_skip_logic],MATCH(VALUE(questions[[#This Row],[qno]]),VALUE(stable[qno]),0))</f>
        <v>0</v>
      </c>
      <c r="S977" s="33" t="str">
        <f>_xlfn.TEXTJOIN(", ",TRUE,questions[[#This Row],[ans_opt_1]:[ans_opt_14]])</f>
        <v/>
      </c>
      <c r="T977" s="33"/>
      <c r="U977" s="33"/>
      <c r="V977" s="33"/>
      <c r="W977" s="33"/>
      <c r="X977" s="33"/>
      <c r="Y977" s="33"/>
      <c r="Z977" s="33"/>
      <c r="AA977" s="33"/>
      <c r="AB977" s="33"/>
      <c r="AC977" s="33"/>
      <c r="AD977" s="33"/>
      <c r="AE977" s="33"/>
      <c r="AF977" s="33"/>
      <c r="AG977" s="33"/>
      <c r="AH977" s="99" t="b">
        <f>INDEX(stable[q_standard],MATCH(questions[[#This Row],[qno]],stable[qno],0))</f>
        <v>1</v>
      </c>
      <c r="AI977" s="99" t="b">
        <f>INDEX(stable[q_living_income],MATCH(questions[[#This Row],[qno]],stable[qno],0))</f>
        <v>0</v>
      </c>
      <c r="AJ977" s="99" t="b">
        <f>INDEX(stable[q_carbon],MATCH(questions[[#This Row],[qno]],stable[qno],0))</f>
        <v>0</v>
      </c>
      <c r="AK977" s="99" t="b">
        <f>INDEX(stable[q_regen_ag],MATCH(questions[[#This Row],[qno]],stable[qno],0))</f>
        <v>0</v>
      </c>
      <c r="AL977" s="16" t="b">
        <f>COUNTIFS(stable[qno],questions[[#This Row],[qno]])=1</f>
        <v>1</v>
      </c>
      <c r="AM977" s="16" t="b">
        <f>OR(questions[[#This Row],[is_fixed]],questions[[#This Row],[is_localized]],questions[[#This Row],[is_supply_chain_dependent]])</f>
        <v>1</v>
      </c>
      <c r="AN977" s="16" t="b">
        <f>COUNTIFS(questions[[#This Row],[is_automated]:[is_multi_select]],TRUE)=1</f>
        <v>1</v>
      </c>
      <c r="AO977" s="16" t="b">
        <f>IF(questions[[#This Row],[is_fixed]],questions[[#This Row],[question]]=INDEX(stable[question],MATCH(questions[[#This Row],[qno]],stable[qno],0)),TRUE)</f>
        <v>1</v>
      </c>
      <c r="AP977" s="16" t="str">
        <f>LEFT(questions[[#This Row],[question]],similarity_range)</f>
        <v>Farmer tags</v>
      </c>
      <c r="AQ977" s="16" t="str">
        <f>LEFT(INDEX(stable[question],MATCH(questions[[#This Row],[qno]],stable[qno],0)),similarity_range)</f>
        <v>Farmer tags</v>
      </c>
      <c r="AR977" s="16" t="b">
        <f>questions[[#This Row],[question_first_characters]]=questions[[#This Row],[stability_first_characters]]</f>
        <v>1</v>
      </c>
      <c r="AS977" s="16" t="b">
        <f>IF(OR(questions[[#This Row],[is_single_select]],questions[[#This Row],[is_multi_select]]),NOT(ISBLANK(questions[[#This Row],[answer_opt_combined]])),TRUE)</f>
        <v>1</v>
      </c>
    </row>
    <row r="978" spans="1:45" ht="15.75" customHeight="1" x14ac:dyDescent="0.25">
      <c r="A978" s="33" t="str">
        <f>_xlfn.TEXTJOIN("_",TRUE,questions[[#This Row],[origin]:[qno]])</f>
        <v>Vietnam_Robusta_Nestle_Selecta_2025_1203</v>
      </c>
      <c r="B978" s="33" t="s">
        <v>673</v>
      </c>
      <c r="C978" s="33" t="s">
        <v>674</v>
      </c>
      <c r="D978" s="33" t="s">
        <v>904</v>
      </c>
      <c r="E978" s="33">
        <v>2025</v>
      </c>
      <c r="F978" s="34" t="s">
        <v>87</v>
      </c>
      <c r="G978" s="18" t="s">
        <v>88</v>
      </c>
      <c r="H978" s="33" t="str" cm="1">
        <f t="array" ref="H978">INDEX(stableR[question],MATCH(VALUE(questions[[#This Row],[qno]]),VALUE(stableR[qno]),0))</f>
        <v>Address</v>
      </c>
      <c r="I978" s="33" t="b" cm="1">
        <f t="array" ref="I978">INDEX(stable[is_fixed],MATCH(VALUE(questions[[#This Row],[qno]]),VALUE(stable[qno]),0))</f>
        <v>1</v>
      </c>
      <c r="J978" s="33" t="b" cm="1">
        <f t="array" ref="J978">INDEX(stable[is_localized],MATCH(VALUE(questions[[#This Row],[qno]]),VALUE(stable[qno]),0))</f>
        <v>0</v>
      </c>
      <c r="K978" s="33" t="b" cm="1">
        <f t="array" ref="K978">INDEX(stable[is_supply_chain_dependent],MATCH(VALUE(questions[[#This Row],[qno]]),VALUE(stable[qno]),0))</f>
        <v>0</v>
      </c>
      <c r="L978" s="33" t="b" cm="1">
        <f t="array" ref="L978">INDEX(stable[is_mandatory],MATCH(VALUE(questions[[#This Row],[qno]]),VALUE(stable[qno]),0))</f>
        <v>1</v>
      </c>
      <c r="M978" s="33" t="b" cm="1">
        <f t="array" ref="M978">INDEX(stable[is_automated],MATCH(VALUE(questions[[#This Row],[qno]]),VALUE(stable[qno]),0))</f>
        <v>1</v>
      </c>
      <c r="N978" s="33" t="b" cm="1">
        <f t="array" ref="N978">INDEX(stable[is_free_text],MATCH(VALUE(questions[[#This Row],[qno]]),VALUE(stable[qno]),0))</f>
        <v>0</v>
      </c>
      <c r="O978" s="33" t="b" cm="1">
        <f t="array" ref="O978">INDEX(stable[is_numerical],MATCH(VALUE(questions[[#This Row],[qno]]),VALUE(stable[qno]),0))</f>
        <v>0</v>
      </c>
      <c r="P978" s="33" t="b" cm="1">
        <f t="array" ref="P978">INDEX(stable[is_single_select],MATCH(VALUE(questions[[#This Row],[qno]]),VALUE(stable[qno]),0))</f>
        <v>0</v>
      </c>
      <c r="Q978" s="33" t="b" cm="1">
        <f t="array" ref="Q978">INDEX(stable[is_multi_select],MATCH(VALUE(questions[[#This Row],[qno]]),VALUE(stable[qno]),0))</f>
        <v>0</v>
      </c>
      <c r="R978" s="33" t="b" cm="1">
        <f t="array" ref="R978">INDEX(stable[is_skip_logic],MATCH(VALUE(questions[[#This Row],[qno]]),VALUE(stable[qno]),0))</f>
        <v>0</v>
      </c>
      <c r="S978" s="33" t="str">
        <f>_xlfn.TEXTJOIN(", ",TRUE,questions[[#This Row],[ans_opt_1]:[ans_opt_14]])</f>
        <v/>
      </c>
      <c r="T978" s="33"/>
      <c r="U978" s="33"/>
      <c r="V978" s="33"/>
      <c r="W978" s="33"/>
      <c r="X978" s="33"/>
      <c r="Y978" s="33"/>
      <c r="Z978" s="33"/>
      <c r="AA978" s="33"/>
      <c r="AB978" s="33"/>
      <c r="AC978" s="33"/>
      <c r="AD978" s="33"/>
      <c r="AE978" s="33"/>
      <c r="AF978" s="33"/>
      <c r="AG978" s="33"/>
      <c r="AH978" s="99" t="b">
        <f>INDEX(stable[q_standard],MATCH(questions[[#This Row],[qno]],stable[qno],0))</f>
        <v>1</v>
      </c>
      <c r="AI978" s="99" t="b">
        <f>INDEX(stable[q_living_income],MATCH(questions[[#This Row],[qno]],stable[qno],0))</f>
        <v>0</v>
      </c>
      <c r="AJ978" s="99" t="b">
        <f>INDEX(stable[q_carbon],MATCH(questions[[#This Row],[qno]],stable[qno],0))</f>
        <v>0</v>
      </c>
      <c r="AK978" s="99" t="b">
        <f>INDEX(stable[q_regen_ag],MATCH(questions[[#This Row],[qno]],stable[qno],0))</f>
        <v>0</v>
      </c>
      <c r="AL978" s="16" t="b">
        <f>COUNTIFS(stable[qno],questions[[#This Row],[qno]])=1</f>
        <v>1</v>
      </c>
      <c r="AM978" s="16" t="b">
        <f>OR(questions[[#This Row],[is_fixed]],questions[[#This Row],[is_localized]],questions[[#This Row],[is_supply_chain_dependent]])</f>
        <v>1</v>
      </c>
      <c r="AN978" s="16" t="b">
        <f>COUNTIFS(questions[[#This Row],[is_automated]:[is_multi_select]],TRUE)=1</f>
        <v>1</v>
      </c>
      <c r="AO978" s="16" t="b">
        <f>IF(questions[[#This Row],[is_fixed]],questions[[#This Row],[question]]=INDEX(stable[question],MATCH(questions[[#This Row],[qno]],stable[qno],0)),TRUE)</f>
        <v>1</v>
      </c>
      <c r="AP978" s="16" t="str">
        <f>LEFT(questions[[#This Row],[question]],similarity_range)</f>
        <v>Address</v>
      </c>
      <c r="AQ978" s="16" t="str">
        <f>LEFT(INDEX(stable[question],MATCH(questions[[#This Row],[qno]],stable[qno],0)),similarity_range)</f>
        <v>Address</v>
      </c>
      <c r="AR978" s="16" t="b">
        <f>questions[[#This Row],[question_first_characters]]=questions[[#This Row],[stability_first_characters]]</f>
        <v>1</v>
      </c>
      <c r="AS978" s="16" t="b">
        <f>IF(OR(questions[[#This Row],[is_single_select]],questions[[#This Row],[is_multi_select]]),NOT(ISBLANK(questions[[#This Row],[answer_opt_combined]])),TRUE)</f>
        <v>1</v>
      </c>
    </row>
    <row r="979" spans="1:45" ht="15.75" customHeight="1" x14ac:dyDescent="0.25">
      <c r="A979" s="33" t="str">
        <f>_xlfn.TEXTJOIN("_",TRUE,questions[[#This Row],[origin]:[qno]])</f>
        <v>Vietnam_Robusta_Nestle_Selecta_2025_1210</v>
      </c>
      <c r="B979" s="33" t="s">
        <v>673</v>
      </c>
      <c r="C979" s="33" t="s">
        <v>674</v>
      </c>
      <c r="D979" s="33" t="s">
        <v>904</v>
      </c>
      <c r="E979" s="33">
        <v>2025</v>
      </c>
      <c r="F979" s="34" t="s">
        <v>89</v>
      </c>
      <c r="G979" s="18" t="s">
        <v>90</v>
      </c>
      <c r="H979" s="33" t="str" cm="1">
        <f t="array" ref="H979">INDEX(stableR[question],MATCH(VALUE(questions[[#This Row],[qno]]),VALUE(stableR[qno]),0))</f>
        <v>Plot name</v>
      </c>
      <c r="I979" s="33" t="b" cm="1">
        <f t="array" ref="I979">INDEX(stable[is_fixed],MATCH(VALUE(questions[[#This Row],[qno]]),VALUE(stable[qno]),0))</f>
        <v>1</v>
      </c>
      <c r="J979" s="33" t="b" cm="1">
        <f t="array" ref="J979">INDEX(stable[is_localized],MATCH(VALUE(questions[[#This Row],[qno]]),VALUE(stable[qno]),0))</f>
        <v>0</v>
      </c>
      <c r="K979" s="33" t="b" cm="1">
        <f t="array" ref="K979">INDEX(stable[is_supply_chain_dependent],MATCH(VALUE(questions[[#This Row],[qno]]),VALUE(stable[qno]),0))</f>
        <v>0</v>
      </c>
      <c r="L979" s="33" t="b" cm="1">
        <f t="array" ref="L979">INDEX(stable[is_mandatory],MATCH(VALUE(questions[[#This Row],[qno]]),VALUE(stable[qno]),0))</f>
        <v>1</v>
      </c>
      <c r="M979" s="33" t="b" cm="1">
        <f t="array" ref="M979">INDEX(stable[is_automated],MATCH(VALUE(questions[[#This Row],[qno]]),VALUE(stable[qno]),0))</f>
        <v>1</v>
      </c>
      <c r="N979" s="33" t="b" cm="1">
        <f t="array" ref="N979">INDEX(stable[is_free_text],MATCH(VALUE(questions[[#This Row],[qno]]),VALUE(stable[qno]),0))</f>
        <v>0</v>
      </c>
      <c r="O979" s="33" t="b" cm="1">
        <f t="array" ref="O979">INDEX(stable[is_numerical],MATCH(VALUE(questions[[#This Row],[qno]]),VALUE(stable[qno]),0))</f>
        <v>0</v>
      </c>
      <c r="P979" s="33" t="b" cm="1">
        <f t="array" ref="P979">INDEX(stable[is_single_select],MATCH(VALUE(questions[[#This Row],[qno]]),VALUE(stable[qno]),0))</f>
        <v>0</v>
      </c>
      <c r="Q979" s="33" t="b" cm="1">
        <f t="array" ref="Q979">INDEX(stable[is_multi_select],MATCH(VALUE(questions[[#This Row],[qno]]),VALUE(stable[qno]),0))</f>
        <v>0</v>
      </c>
      <c r="R979" s="33" t="b" cm="1">
        <f t="array" ref="R979">INDEX(stable[is_skip_logic],MATCH(VALUE(questions[[#This Row],[qno]]),VALUE(stable[qno]),0))</f>
        <v>0</v>
      </c>
      <c r="S979" s="33" t="str">
        <f>_xlfn.TEXTJOIN(", ",TRUE,questions[[#This Row],[ans_opt_1]:[ans_opt_14]])</f>
        <v/>
      </c>
      <c r="T979" s="33"/>
      <c r="U979" s="33"/>
      <c r="V979" s="33"/>
      <c r="W979" s="33"/>
      <c r="X979" s="33"/>
      <c r="Y979" s="33"/>
      <c r="Z979" s="33"/>
      <c r="AA979" s="33"/>
      <c r="AB979" s="33"/>
      <c r="AC979" s="33"/>
      <c r="AD979" s="33"/>
      <c r="AE979" s="33"/>
      <c r="AF979" s="33"/>
      <c r="AG979" s="33"/>
      <c r="AH979" s="99" t="b">
        <f>INDEX(stable[q_standard],MATCH(questions[[#This Row],[qno]],stable[qno],0))</f>
        <v>1</v>
      </c>
      <c r="AI979" s="99" t="b">
        <f>INDEX(stable[q_living_income],MATCH(questions[[#This Row],[qno]],stable[qno],0))</f>
        <v>0</v>
      </c>
      <c r="AJ979" s="99" t="b">
        <f>INDEX(stable[q_carbon],MATCH(questions[[#This Row],[qno]],stable[qno],0))</f>
        <v>0</v>
      </c>
      <c r="AK979" s="99" t="b">
        <f>INDEX(stable[q_regen_ag],MATCH(questions[[#This Row],[qno]],stable[qno],0))</f>
        <v>0</v>
      </c>
      <c r="AL979" s="16" t="b">
        <f>COUNTIFS(stable[qno],questions[[#This Row],[qno]])=1</f>
        <v>1</v>
      </c>
      <c r="AM979" s="16" t="b">
        <f>OR(questions[[#This Row],[is_fixed]],questions[[#This Row],[is_localized]],questions[[#This Row],[is_supply_chain_dependent]])</f>
        <v>1</v>
      </c>
      <c r="AN979" s="16" t="b">
        <f>COUNTIFS(questions[[#This Row],[is_automated]:[is_multi_select]],TRUE)=1</f>
        <v>1</v>
      </c>
      <c r="AO979" s="16" t="b">
        <f>IF(questions[[#This Row],[is_fixed]],questions[[#This Row],[question]]=INDEX(stable[question],MATCH(questions[[#This Row],[qno]],stable[qno],0)),TRUE)</f>
        <v>1</v>
      </c>
      <c r="AP979" s="16" t="str">
        <f>LEFT(questions[[#This Row],[question]],similarity_range)</f>
        <v>Plot name</v>
      </c>
      <c r="AQ979" s="16" t="str">
        <f>LEFT(INDEX(stable[question],MATCH(questions[[#This Row],[qno]],stable[qno],0)),similarity_range)</f>
        <v>Plot name</v>
      </c>
      <c r="AR979" s="16" t="b">
        <f>questions[[#This Row],[question_first_characters]]=questions[[#This Row],[stability_first_characters]]</f>
        <v>1</v>
      </c>
      <c r="AS979" s="16" t="b">
        <f>IF(OR(questions[[#This Row],[is_single_select]],questions[[#This Row],[is_multi_select]]),NOT(ISBLANK(questions[[#This Row],[answer_opt_combined]])),TRUE)</f>
        <v>1</v>
      </c>
    </row>
    <row r="980" spans="1:45" ht="15.75" customHeight="1" x14ac:dyDescent="0.25">
      <c r="A980" s="33" t="str">
        <f>_xlfn.TEXTJOIN("_",TRUE,questions[[#This Row],[origin]:[qno]])</f>
        <v>Vietnam_Robusta_Nestle_Selecta_2025_1211</v>
      </c>
      <c r="B980" s="33" t="s">
        <v>673</v>
      </c>
      <c r="C980" s="33" t="s">
        <v>674</v>
      </c>
      <c r="D980" s="33" t="s">
        <v>904</v>
      </c>
      <c r="E980" s="33">
        <v>2025</v>
      </c>
      <c r="F980" s="34" t="s">
        <v>91</v>
      </c>
      <c r="G980" s="18" t="s">
        <v>92</v>
      </c>
      <c r="H980" s="33" t="str" cm="1">
        <f t="array" ref="H980">INDEX(stableR[question],MATCH(VALUE(questions[[#This Row],[qno]]),VALUE(stableR[qno]),0))</f>
        <v>Plot tags</v>
      </c>
      <c r="I980" s="33" t="b" cm="1">
        <f t="array" ref="I980">INDEX(stable[is_fixed],MATCH(VALUE(questions[[#This Row],[qno]]),VALUE(stable[qno]),0))</f>
        <v>1</v>
      </c>
      <c r="J980" s="33" t="b" cm="1">
        <f t="array" ref="J980">INDEX(stable[is_localized],MATCH(VALUE(questions[[#This Row],[qno]]),VALUE(stable[qno]),0))</f>
        <v>0</v>
      </c>
      <c r="K980" s="33" t="b" cm="1">
        <f t="array" ref="K980">INDEX(stable[is_supply_chain_dependent],MATCH(VALUE(questions[[#This Row],[qno]]),VALUE(stable[qno]),0))</f>
        <v>0</v>
      </c>
      <c r="L980" s="33" t="b" cm="1">
        <f t="array" ref="L980">INDEX(stable[is_mandatory],MATCH(VALUE(questions[[#This Row],[qno]]),VALUE(stable[qno]),0))</f>
        <v>1</v>
      </c>
      <c r="M980" s="33" t="b" cm="1">
        <f t="array" ref="M980">INDEX(stable[is_automated],MATCH(VALUE(questions[[#This Row],[qno]]),VALUE(stable[qno]),0))</f>
        <v>1</v>
      </c>
      <c r="N980" s="33" t="b" cm="1">
        <f t="array" ref="N980">INDEX(stable[is_free_text],MATCH(VALUE(questions[[#This Row],[qno]]),VALUE(stable[qno]),0))</f>
        <v>0</v>
      </c>
      <c r="O980" s="33" t="b" cm="1">
        <f t="array" ref="O980">INDEX(stable[is_numerical],MATCH(VALUE(questions[[#This Row],[qno]]),VALUE(stable[qno]),0))</f>
        <v>0</v>
      </c>
      <c r="P980" s="33" t="b" cm="1">
        <f t="array" ref="P980">INDEX(stable[is_single_select],MATCH(VALUE(questions[[#This Row],[qno]]),VALUE(stable[qno]),0))</f>
        <v>0</v>
      </c>
      <c r="Q980" s="33" t="b" cm="1">
        <f t="array" ref="Q980">INDEX(stable[is_multi_select],MATCH(VALUE(questions[[#This Row],[qno]]),VALUE(stable[qno]),0))</f>
        <v>0</v>
      </c>
      <c r="R980" s="33" t="b" cm="1">
        <f t="array" ref="R980">INDEX(stable[is_skip_logic],MATCH(VALUE(questions[[#This Row],[qno]]),VALUE(stable[qno]),0))</f>
        <v>0</v>
      </c>
      <c r="S980" s="33" t="str">
        <f>_xlfn.TEXTJOIN(", ",TRUE,questions[[#This Row],[ans_opt_1]:[ans_opt_14]])</f>
        <v/>
      </c>
      <c r="T980" s="33"/>
      <c r="U980" s="33"/>
      <c r="V980" s="33"/>
      <c r="W980" s="33"/>
      <c r="X980" s="33"/>
      <c r="Y980" s="33"/>
      <c r="Z980" s="33"/>
      <c r="AA980" s="33"/>
      <c r="AB980" s="33"/>
      <c r="AC980" s="33"/>
      <c r="AD980" s="33"/>
      <c r="AE980" s="33"/>
      <c r="AF980" s="33"/>
      <c r="AG980" s="33"/>
      <c r="AH980" s="99" t="b">
        <f>INDEX(stable[q_standard],MATCH(questions[[#This Row],[qno]],stable[qno],0))</f>
        <v>1</v>
      </c>
      <c r="AI980" s="99" t="b">
        <f>INDEX(stable[q_living_income],MATCH(questions[[#This Row],[qno]],stable[qno],0))</f>
        <v>0</v>
      </c>
      <c r="AJ980" s="99" t="b">
        <f>INDEX(stable[q_carbon],MATCH(questions[[#This Row],[qno]],stable[qno],0))</f>
        <v>0</v>
      </c>
      <c r="AK980" s="99" t="b">
        <f>INDEX(stable[q_regen_ag],MATCH(questions[[#This Row],[qno]],stable[qno],0))</f>
        <v>0</v>
      </c>
      <c r="AL980" s="16" t="b">
        <f>COUNTIFS(stable[qno],questions[[#This Row],[qno]])=1</f>
        <v>1</v>
      </c>
      <c r="AM980" s="16" t="b">
        <f>OR(questions[[#This Row],[is_fixed]],questions[[#This Row],[is_localized]],questions[[#This Row],[is_supply_chain_dependent]])</f>
        <v>1</v>
      </c>
      <c r="AN980" s="16" t="b">
        <f>COUNTIFS(questions[[#This Row],[is_automated]:[is_multi_select]],TRUE)=1</f>
        <v>1</v>
      </c>
      <c r="AO980" s="16" t="b">
        <f>IF(questions[[#This Row],[is_fixed]],questions[[#This Row],[question]]=INDEX(stable[question],MATCH(questions[[#This Row],[qno]],stable[qno],0)),TRUE)</f>
        <v>1</v>
      </c>
      <c r="AP980" s="16" t="str">
        <f>LEFT(questions[[#This Row],[question]],similarity_range)</f>
        <v>Plot tags</v>
      </c>
      <c r="AQ980" s="16" t="str">
        <f>LEFT(INDEX(stable[question],MATCH(questions[[#This Row],[qno]],stable[qno],0)),similarity_range)</f>
        <v>Plot tags</v>
      </c>
      <c r="AR980" s="16" t="b">
        <f>questions[[#This Row],[question_first_characters]]=questions[[#This Row],[stability_first_characters]]</f>
        <v>1</v>
      </c>
      <c r="AS980" s="16" t="b">
        <f>IF(OR(questions[[#This Row],[is_single_select]],questions[[#This Row],[is_multi_select]]),NOT(ISBLANK(questions[[#This Row],[answer_opt_combined]])),TRUE)</f>
        <v>1</v>
      </c>
    </row>
    <row r="981" spans="1:45" ht="15.75" customHeight="1" x14ac:dyDescent="0.25">
      <c r="A981" s="33" t="str">
        <f>_xlfn.TEXTJOIN("_",TRUE,questions[[#This Row],[origin]:[qno]])</f>
        <v>Vietnam_Robusta_Nestle_Selecta_2025_1212</v>
      </c>
      <c r="B981" s="33" t="s">
        <v>673</v>
      </c>
      <c r="C981" s="33" t="s">
        <v>674</v>
      </c>
      <c r="D981" s="33" t="s">
        <v>904</v>
      </c>
      <c r="E981" s="33">
        <v>2025</v>
      </c>
      <c r="F981" s="34" t="s">
        <v>93</v>
      </c>
      <c r="G981" s="18" t="s">
        <v>94</v>
      </c>
      <c r="H981" s="33" t="str" cm="1">
        <f t="array" ref="H981">INDEX(stableR[question],MATCH(VALUE(questions[[#This Row],[qno]]),VALUE(stableR[qno]),0))</f>
        <v>Declared area (acre)</v>
      </c>
      <c r="I981" s="33" t="b" cm="1">
        <f t="array" ref="I981">INDEX(stable[is_fixed],MATCH(VALUE(questions[[#This Row],[qno]]),VALUE(stable[qno]),0))</f>
        <v>1</v>
      </c>
      <c r="J981" s="33" t="b" cm="1">
        <f t="array" ref="J981">INDEX(stable[is_localized],MATCH(VALUE(questions[[#This Row],[qno]]),VALUE(stable[qno]),0))</f>
        <v>0</v>
      </c>
      <c r="K981" s="33" t="b" cm="1">
        <f t="array" ref="K981">INDEX(stable[is_supply_chain_dependent],MATCH(VALUE(questions[[#This Row],[qno]]),VALUE(stable[qno]),0))</f>
        <v>0</v>
      </c>
      <c r="L981" s="33" t="b" cm="1">
        <f t="array" ref="L981">INDEX(stable[is_mandatory],MATCH(VALUE(questions[[#This Row],[qno]]),VALUE(stable[qno]),0))</f>
        <v>1</v>
      </c>
      <c r="M981" s="33" t="b" cm="1">
        <f t="array" ref="M981">INDEX(stable[is_automated],MATCH(VALUE(questions[[#This Row],[qno]]),VALUE(stable[qno]),0))</f>
        <v>1</v>
      </c>
      <c r="N981" s="33" t="b" cm="1">
        <f t="array" ref="N981">INDEX(stable[is_free_text],MATCH(VALUE(questions[[#This Row],[qno]]),VALUE(stable[qno]),0))</f>
        <v>0</v>
      </c>
      <c r="O981" s="33" t="b" cm="1">
        <f t="array" ref="O981">INDEX(stable[is_numerical],MATCH(VALUE(questions[[#This Row],[qno]]),VALUE(stable[qno]),0))</f>
        <v>1</v>
      </c>
      <c r="P981" s="33" t="b" cm="1">
        <f t="array" ref="P981">INDEX(stable[is_single_select],MATCH(VALUE(questions[[#This Row],[qno]]),VALUE(stable[qno]),0))</f>
        <v>0</v>
      </c>
      <c r="Q981" s="33" t="b" cm="1">
        <f t="array" ref="Q981">INDEX(stable[is_multi_select],MATCH(VALUE(questions[[#This Row],[qno]]),VALUE(stable[qno]),0))</f>
        <v>0</v>
      </c>
      <c r="R981" s="33" t="b" cm="1">
        <f t="array" ref="R981">INDEX(stable[is_skip_logic],MATCH(VALUE(questions[[#This Row],[qno]]),VALUE(stable[qno]),0))</f>
        <v>0</v>
      </c>
      <c r="S981" s="33" t="str">
        <f>_xlfn.TEXTJOIN(", ",TRUE,questions[[#This Row],[ans_opt_1]:[ans_opt_14]])</f>
        <v/>
      </c>
      <c r="T981" s="33"/>
      <c r="U981" s="33"/>
      <c r="V981" s="33"/>
      <c r="W981" s="33"/>
      <c r="X981" s="33"/>
      <c r="Y981" s="33"/>
      <c r="Z981" s="33"/>
      <c r="AA981" s="33"/>
      <c r="AB981" s="33"/>
      <c r="AC981" s="33"/>
      <c r="AD981" s="33"/>
      <c r="AE981" s="33"/>
      <c r="AF981" s="33"/>
      <c r="AG981" s="33"/>
      <c r="AH981" s="99" t="b">
        <f>INDEX(stable[q_standard],MATCH(questions[[#This Row],[qno]],stable[qno],0))</f>
        <v>1</v>
      </c>
      <c r="AI981" s="99" t="b">
        <f>INDEX(stable[q_living_income],MATCH(questions[[#This Row],[qno]],stable[qno],0))</f>
        <v>0</v>
      </c>
      <c r="AJ981" s="99" t="b">
        <f>INDEX(stable[q_carbon],MATCH(questions[[#This Row],[qno]],stable[qno],0))</f>
        <v>0</v>
      </c>
      <c r="AK981" s="99" t="b">
        <f>INDEX(stable[q_regen_ag],MATCH(questions[[#This Row],[qno]],stable[qno],0))</f>
        <v>0</v>
      </c>
      <c r="AL981" s="16" t="b">
        <f>COUNTIFS(stable[qno],questions[[#This Row],[qno]])=1</f>
        <v>1</v>
      </c>
      <c r="AM981" s="16" t="b">
        <f>OR(questions[[#This Row],[is_fixed]],questions[[#This Row],[is_localized]],questions[[#This Row],[is_supply_chain_dependent]])</f>
        <v>1</v>
      </c>
      <c r="AN981" s="16" t="b">
        <f>COUNTIFS(questions[[#This Row],[is_automated]:[is_multi_select]],TRUE)=1</f>
        <v>0</v>
      </c>
      <c r="AO981" s="16" t="b">
        <f>IF(questions[[#This Row],[is_fixed]],questions[[#This Row],[question]]=INDEX(stable[question],MATCH(questions[[#This Row],[qno]],stable[qno],0)),TRUE)</f>
        <v>1</v>
      </c>
      <c r="AP981" s="16" t="str">
        <f>LEFT(questions[[#This Row],[question]],similarity_range)</f>
        <v>Declared area (acre)</v>
      </c>
      <c r="AQ981" s="16" t="str">
        <f>LEFT(INDEX(stable[question],MATCH(questions[[#This Row],[qno]],stable[qno],0)),similarity_range)</f>
        <v>Declared area (acre)</v>
      </c>
      <c r="AR981" s="16" t="b">
        <f>questions[[#This Row],[question_first_characters]]=questions[[#This Row],[stability_first_characters]]</f>
        <v>1</v>
      </c>
      <c r="AS981" s="16" t="b">
        <f>IF(OR(questions[[#This Row],[is_single_select]],questions[[#This Row],[is_multi_select]]),NOT(ISBLANK(questions[[#This Row],[answer_opt_combined]])),TRUE)</f>
        <v>1</v>
      </c>
    </row>
    <row r="982" spans="1:45" ht="15.75" customHeight="1" x14ac:dyDescent="0.25">
      <c r="A982" s="33" t="str">
        <f>_xlfn.TEXTJOIN("_",TRUE,questions[[#This Row],[origin]:[qno]])</f>
        <v>Vietnam_Robusta_Nestle_Selecta_2025_1213</v>
      </c>
      <c r="B982" s="33" t="s">
        <v>673</v>
      </c>
      <c r="C982" s="33" t="s">
        <v>674</v>
      </c>
      <c r="D982" s="33" t="s">
        <v>904</v>
      </c>
      <c r="E982" s="33">
        <v>2025</v>
      </c>
      <c r="F982" s="34" t="s">
        <v>95</v>
      </c>
      <c r="G982" s="18" t="s">
        <v>96</v>
      </c>
      <c r="H982" s="33" t="str" cm="1">
        <f t="array" ref="H982">INDEX(stableR[question],MATCH(VALUE(questions[[#This Row],[qno]]),VALUE(stableR[qno]),0))</f>
        <v>Audited area (acre)</v>
      </c>
      <c r="I982" s="33" t="b" cm="1">
        <f t="array" ref="I982">INDEX(stable[is_fixed],MATCH(VALUE(questions[[#This Row],[qno]]),VALUE(stable[qno]),0))</f>
        <v>1</v>
      </c>
      <c r="J982" s="33" t="b" cm="1">
        <f t="array" ref="J982">INDEX(stable[is_localized],MATCH(VALUE(questions[[#This Row],[qno]]),VALUE(stable[qno]),0))</f>
        <v>0</v>
      </c>
      <c r="K982" s="33" t="b" cm="1">
        <f t="array" ref="K982">INDEX(stable[is_supply_chain_dependent],MATCH(VALUE(questions[[#This Row],[qno]]),VALUE(stable[qno]),0))</f>
        <v>0</v>
      </c>
      <c r="L982" s="33" t="b" cm="1">
        <f t="array" ref="L982">INDEX(stable[is_mandatory],MATCH(VALUE(questions[[#This Row],[qno]]),VALUE(stable[qno]),0))</f>
        <v>1</v>
      </c>
      <c r="M982" s="33" t="b" cm="1">
        <f t="array" ref="M982">INDEX(stable[is_automated],MATCH(VALUE(questions[[#This Row],[qno]]),VALUE(stable[qno]),0))</f>
        <v>1</v>
      </c>
      <c r="N982" s="33" t="b" cm="1">
        <f t="array" ref="N982">INDEX(stable[is_free_text],MATCH(VALUE(questions[[#This Row],[qno]]),VALUE(stable[qno]),0))</f>
        <v>0</v>
      </c>
      <c r="O982" s="33" t="b" cm="1">
        <f t="array" ref="O982">INDEX(stable[is_numerical],MATCH(VALUE(questions[[#This Row],[qno]]),VALUE(stable[qno]),0))</f>
        <v>1</v>
      </c>
      <c r="P982" s="33" t="b" cm="1">
        <f t="array" ref="P982">INDEX(stable[is_single_select],MATCH(VALUE(questions[[#This Row],[qno]]),VALUE(stable[qno]),0))</f>
        <v>0</v>
      </c>
      <c r="Q982" s="33" t="b" cm="1">
        <f t="array" ref="Q982">INDEX(stable[is_multi_select],MATCH(VALUE(questions[[#This Row],[qno]]),VALUE(stable[qno]),0))</f>
        <v>0</v>
      </c>
      <c r="R982" s="33" t="b" cm="1">
        <f t="array" ref="R982">INDEX(stable[is_skip_logic],MATCH(VALUE(questions[[#This Row],[qno]]),VALUE(stable[qno]),0))</f>
        <v>0</v>
      </c>
      <c r="S982" s="33" t="str">
        <f>_xlfn.TEXTJOIN(", ",TRUE,questions[[#This Row],[ans_opt_1]:[ans_opt_14]])</f>
        <v/>
      </c>
      <c r="T982" s="33"/>
      <c r="U982" s="33"/>
      <c r="V982" s="33"/>
      <c r="W982" s="33"/>
      <c r="X982" s="33"/>
      <c r="Y982" s="33"/>
      <c r="Z982" s="33"/>
      <c r="AA982" s="33"/>
      <c r="AB982" s="33"/>
      <c r="AC982" s="33"/>
      <c r="AD982" s="33"/>
      <c r="AE982" s="33"/>
      <c r="AF982" s="33"/>
      <c r="AG982" s="33"/>
      <c r="AH982" s="99" t="b">
        <f>INDEX(stable[q_standard],MATCH(questions[[#This Row],[qno]],stable[qno],0))</f>
        <v>1</v>
      </c>
      <c r="AI982" s="99" t="b">
        <f>INDEX(stable[q_living_income],MATCH(questions[[#This Row],[qno]],stable[qno],0))</f>
        <v>0</v>
      </c>
      <c r="AJ982" s="99" t="b">
        <f>INDEX(stable[q_carbon],MATCH(questions[[#This Row],[qno]],stable[qno],0))</f>
        <v>0</v>
      </c>
      <c r="AK982" s="99" t="b">
        <f>INDEX(stable[q_regen_ag],MATCH(questions[[#This Row],[qno]],stable[qno],0))</f>
        <v>0</v>
      </c>
      <c r="AL982" s="16" t="b">
        <f>COUNTIFS(stable[qno],questions[[#This Row],[qno]])=1</f>
        <v>1</v>
      </c>
      <c r="AM982" s="16" t="b">
        <f>OR(questions[[#This Row],[is_fixed]],questions[[#This Row],[is_localized]],questions[[#This Row],[is_supply_chain_dependent]])</f>
        <v>1</v>
      </c>
      <c r="AN982" s="16" t="b">
        <f>COUNTIFS(questions[[#This Row],[is_automated]:[is_multi_select]],TRUE)=1</f>
        <v>0</v>
      </c>
      <c r="AO982" s="16" t="b">
        <f>IF(questions[[#This Row],[is_fixed]],questions[[#This Row],[question]]=INDEX(stable[question],MATCH(questions[[#This Row],[qno]],stable[qno],0)),TRUE)</f>
        <v>1</v>
      </c>
      <c r="AP982" s="16" t="str">
        <f>LEFT(questions[[#This Row],[question]],similarity_range)</f>
        <v>Audited area (acre)</v>
      </c>
      <c r="AQ982" s="16" t="str">
        <f>LEFT(INDEX(stable[question],MATCH(questions[[#This Row],[qno]],stable[qno],0)),similarity_range)</f>
        <v>Audited area (acre)</v>
      </c>
      <c r="AR982" s="16" t="b">
        <f>questions[[#This Row],[question_first_characters]]=questions[[#This Row],[stability_first_characters]]</f>
        <v>1</v>
      </c>
      <c r="AS982" s="16" t="b">
        <f>IF(OR(questions[[#This Row],[is_single_select]],questions[[#This Row],[is_multi_select]]),NOT(ISBLANK(questions[[#This Row],[answer_opt_combined]])),TRUE)</f>
        <v>1</v>
      </c>
    </row>
    <row r="983" spans="1:45" ht="15.75" customHeight="1" x14ac:dyDescent="0.25">
      <c r="A983" s="33" t="str">
        <f>_xlfn.TEXTJOIN("_",TRUE,questions[[#This Row],[origin]:[qno]])</f>
        <v>Vietnam_Robusta_Nestle_Selecta_2025_1216</v>
      </c>
      <c r="B983" s="33" t="s">
        <v>673</v>
      </c>
      <c r="C983" s="33" t="s">
        <v>674</v>
      </c>
      <c r="D983" s="33" t="s">
        <v>904</v>
      </c>
      <c r="E983" s="33">
        <v>2025</v>
      </c>
      <c r="F983" s="34" t="s">
        <v>97</v>
      </c>
      <c r="G983" s="18" t="s">
        <v>98</v>
      </c>
      <c r="H983" s="33" t="str" cm="1">
        <f t="array" ref="H983">INDEX(stableR[question],MATCH(VALUE(questions[[#This Row],[qno]]),VALUE(stableR[qno]),0))</f>
        <v>Coordinates</v>
      </c>
      <c r="I983" s="33" t="b" cm="1">
        <f t="array" ref="I983">INDEX(stable[is_fixed],MATCH(VALUE(questions[[#This Row],[qno]]),VALUE(stable[qno]),0))</f>
        <v>1</v>
      </c>
      <c r="J983" s="33" t="b" cm="1">
        <f t="array" ref="J983">INDEX(stable[is_localized],MATCH(VALUE(questions[[#This Row],[qno]]),VALUE(stable[qno]),0))</f>
        <v>0</v>
      </c>
      <c r="K983" s="33" t="b" cm="1">
        <f t="array" ref="K983">INDEX(stable[is_supply_chain_dependent],MATCH(VALUE(questions[[#This Row],[qno]]),VALUE(stable[qno]),0))</f>
        <v>0</v>
      </c>
      <c r="L983" s="33" t="b" cm="1">
        <f t="array" ref="L983">INDEX(stable[is_mandatory],MATCH(VALUE(questions[[#This Row],[qno]]),VALUE(stable[qno]),0))</f>
        <v>1</v>
      </c>
      <c r="M983" s="33" t="b" cm="1">
        <f t="array" ref="M983">INDEX(stable[is_automated],MATCH(VALUE(questions[[#This Row],[qno]]),VALUE(stable[qno]),0))</f>
        <v>1</v>
      </c>
      <c r="N983" s="33" t="b" cm="1">
        <f t="array" ref="N983">INDEX(stable[is_free_text],MATCH(VALUE(questions[[#This Row],[qno]]),VALUE(stable[qno]),0))</f>
        <v>0</v>
      </c>
      <c r="O983" s="33" t="b" cm="1">
        <f t="array" ref="O983">INDEX(stable[is_numerical],MATCH(VALUE(questions[[#This Row],[qno]]),VALUE(stable[qno]),0))</f>
        <v>0</v>
      </c>
      <c r="P983" s="33" t="b" cm="1">
        <f t="array" ref="P983">INDEX(stable[is_single_select],MATCH(VALUE(questions[[#This Row],[qno]]),VALUE(stable[qno]),0))</f>
        <v>0</v>
      </c>
      <c r="Q983" s="33" t="b" cm="1">
        <f t="array" ref="Q983">INDEX(stable[is_multi_select],MATCH(VALUE(questions[[#This Row],[qno]]),VALUE(stable[qno]),0))</f>
        <v>0</v>
      </c>
      <c r="R983" s="33" t="b" cm="1">
        <f t="array" ref="R983">INDEX(stable[is_skip_logic],MATCH(VALUE(questions[[#This Row],[qno]]),VALUE(stable[qno]),0))</f>
        <v>0</v>
      </c>
      <c r="S983" s="33" t="str">
        <f>_xlfn.TEXTJOIN(", ",TRUE,questions[[#This Row],[ans_opt_1]:[ans_opt_14]])</f>
        <v/>
      </c>
      <c r="T983" s="33"/>
      <c r="U983" s="33"/>
      <c r="V983" s="33"/>
      <c r="W983" s="33"/>
      <c r="X983" s="33"/>
      <c r="Y983" s="33"/>
      <c r="Z983" s="33"/>
      <c r="AA983" s="33"/>
      <c r="AB983" s="33"/>
      <c r="AC983" s="33"/>
      <c r="AD983" s="33"/>
      <c r="AE983" s="33"/>
      <c r="AF983" s="33"/>
      <c r="AG983" s="33"/>
      <c r="AH983" s="99" t="b">
        <f>INDEX(stable[q_standard],MATCH(questions[[#This Row],[qno]],stable[qno],0))</f>
        <v>1</v>
      </c>
      <c r="AI983" s="99" t="b">
        <f>INDEX(stable[q_living_income],MATCH(questions[[#This Row],[qno]],stable[qno],0))</f>
        <v>0</v>
      </c>
      <c r="AJ983" s="99" t="b">
        <f>INDEX(stable[q_carbon],MATCH(questions[[#This Row],[qno]],stable[qno],0))</f>
        <v>0</v>
      </c>
      <c r="AK983" s="99" t="b">
        <f>INDEX(stable[q_regen_ag],MATCH(questions[[#This Row],[qno]],stable[qno],0))</f>
        <v>0</v>
      </c>
      <c r="AL983" s="16" t="b">
        <f>COUNTIFS(stable[qno],questions[[#This Row],[qno]])=1</f>
        <v>1</v>
      </c>
      <c r="AM983" s="16" t="b">
        <f>OR(questions[[#This Row],[is_fixed]],questions[[#This Row],[is_localized]],questions[[#This Row],[is_supply_chain_dependent]])</f>
        <v>1</v>
      </c>
      <c r="AN983" s="16" t="b">
        <f>COUNTIFS(questions[[#This Row],[is_automated]:[is_multi_select]],TRUE)=1</f>
        <v>1</v>
      </c>
      <c r="AO983" s="16" t="b">
        <f>IF(questions[[#This Row],[is_fixed]],questions[[#This Row],[question]]=INDEX(stable[question],MATCH(questions[[#This Row],[qno]],stable[qno],0)),TRUE)</f>
        <v>1</v>
      </c>
      <c r="AP983" s="16" t="str">
        <f>LEFT(questions[[#This Row],[question]],similarity_range)</f>
        <v>Coordinates</v>
      </c>
      <c r="AQ983" s="16" t="str">
        <f>LEFT(INDEX(stable[question],MATCH(questions[[#This Row],[qno]],stable[qno],0)),similarity_range)</f>
        <v>Coordinates</v>
      </c>
      <c r="AR983" s="16" t="b">
        <f>questions[[#This Row],[question_first_characters]]=questions[[#This Row],[stability_first_characters]]</f>
        <v>1</v>
      </c>
      <c r="AS983" s="16" t="b">
        <f>IF(OR(questions[[#This Row],[is_single_select]],questions[[#This Row],[is_multi_select]]),NOT(ISBLANK(questions[[#This Row],[answer_opt_combined]])),TRUE)</f>
        <v>1</v>
      </c>
    </row>
    <row r="984" spans="1:45" s="77" customFormat="1" ht="15.75" customHeight="1" x14ac:dyDescent="0.25">
      <c r="A984" s="77" t="str">
        <f>_xlfn.TEXTJOIN("_",TRUE,questions[[#This Row],[origin]:[qno]])</f>
        <v>Vietnam_Robusta_Nestle_Selecta_2025_2000</v>
      </c>
      <c r="B984" s="77" t="s">
        <v>673</v>
      </c>
      <c r="C984" s="77" t="s">
        <v>674</v>
      </c>
      <c r="D984" s="77" t="s">
        <v>904</v>
      </c>
      <c r="E984" s="77">
        <v>2025</v>
      </c>
      <c r="F984" s="105" t="s">
        <v>99</v>
      </c>
      <c r="G984" s="109" t="s">
        <v>100</v>
      </c>
      <c r="H984" s="33" t="str" cm="1">
        <f t="array" ref="H984">INDEX(stableR[question],MATCH(VALUE(questions[[#This Row],[qno]]),VALUE(stableR[qno]),0))</f>
        <v>Who was present and answering the questions for the interview?</v>
      </c>
      <c r="I984" s="33" t="b" cm="1">
        <f t="array" ref="I984">INDEX(stable[is_fixed],MATCH(VALUE(questions[[#This Row],[qno]]),VALUE(stable[qno]),0))</f>
        <v>1</v>
      </c>
      <c r="J984" s="33" t="b" cm="1">
        <f t="array" ref="J984">INDEX(stable[is_localized],MATCH(VALUE(questions[[#This Row],[qno]]),VALUE(stable[qno]),0))</f>
        <v>0</v>
      </c>
      <c r="K984" s="33" t="b" cm="1">
        <f t="array" ref="K984">INDEX(stable[is_supply_chain_dependent],MATCH(VALUE(questions[[#This Row],[qno]]),VALUE(stable[qno]),0))</f>
        <v>0</v>
      </c>
      <c r="L984" s="33" t="b" cm="1">
        <f t="array" ref="L984">INDEX(stable[is_mandatory],MATCH(VALUE(questions[[#This Row],[qno]]),VALUE(stable[qno]),0))</f>
        <v>1</v>
      </c>
      <c r="M984" s="33" t="b" cm="1">
        <f t="array" ref="M984">INDEX(stable[is_automated],MATCH(VALUE(questions[[#This Row],[qno]]),VALUE(stable[qno]),0))</f>
        <v>0</v>
      </c>
      <c r="N984" s="33" t="b" cm="1">
        <f t="array" ref="N984">INDEX(stable[is_free_text],MATCH(VALUE(questions[[#This Row],[qno]]),VALUE(stable[qno]),0))</f>
        <v>0</v>
      </c>
      <c r="O984" s="33" t="b" cm="1">
        <f t="array" ref="O984">INDEX(stable[is_numerical],MATCH(VALUE(questions[[#This Row],[qno]]),VALUE(stable[qno]),0))</f>
        <v>0</v>
      </c>
      <c r="P984" s="77" t="b" cm="1">
        <f t="array" ref="P984">INDEX(stable[is_single_select],MATCH(VALUE(questions[[#This Row],[qno]]),VALUE(stable[qno]),0))</f>
        <v>0</v>
      </c>
      <c r="Q984" s="77" t="b" cm="1">
        <f t="array" ref="Q984">INDEX(stable[is_multi_select],MATCH(VALUE(questions[[#This Row],[qno]]),VALUE(stable[qno]),0))</f>
        <v>1</v>
      </c>
      <c r="R984" s="77" t="b" cm="1">
        <f t="array" ref="R984">INDEX(stable[is_skip_logic],MATCH(VALUE(questions[[#This Row],[qno]]),VALUE(stable[qno]),0))</f>
        <v>0</v>
      </c>
      <c r="S984" s="77" t="str">
        <f>_xlfn.TEXTJOIN(", ",TRUE,questions[[#This Row],[ans_opt_1]:[ans_opt_14]])</f>
        <v>Wife, Husband, Wife and husband, Other important household member</v>
      </c>
      <c r="T984" s="91" t="s">
        <v>101</v>
      </c>
      <c r="U984" s="91" t="s">
        <v>102</v>
      </c>
      <c r="V984" s="106" t="s">
        <v>513</v>
      </c>
      <c r="W984" s="91" t="s">
        <v>103</v>
      </c>
      <c r="X984" s="91"/>
      <c r="Y984" s="91"/>
      <c r="Z984" s="91"/>
      <c r="AA984" s="91"/>
      <c r="AB984" s="91"/>
      <c r="AC984" s="91"/>
      <c r="AD984" s="91"/>
      <c r="AE984" s="91"/>
      <c r="AF984" s="91"/>
      <c r="AG984" s="91"/>
      <c r="AH984" s="126" t="b">
        <f>INDEX(stable[q_standard],MATCH(questions[[#This Row],[qno]],stable[qno],0))</f>
        <v>1</v>
      </c>
      <c r="AI984" s="126" t="b">
        <f>INDEX(stable[q_living_income],MATCH(questions[[#This Row],[qno]],stable[qno],0))</f>
        <v>0</v>
      </c>
      <c r="AJ984" s="126" t="b">
        <f>INDEX(stable[q_carbon],MATCH(questions[[#This Row],[qno]],stable[qno],0))</f>
        <v>0</v>
      </c>
      <c r="AK984" s="126" t="b">
        <f>INDEX(stable[q_regen_ag],MATCH(questions[[#This Row],[qno]],stable[qno],0))</f>
        <v>0</v>
      </c>
      <c r="AL984" s="126"/>
      <c r="AM984" s="126"/>
      <c r="AN984" s="126"/>
      <c r="AO984" s="126"/>
      <c r="AP984" s="98" t="str">
        <f>LEFT(questions[[#This Row],[question]],similarity_range)</f>
        <v xml:space="preserve">Who was present and </v>
      </c>
      <c r="AQ984" s="98" t="str">
        <f>LEFT(INDEX(stable[question],MATCH(questions[[#This Row],[qno]],stable[qno],0)),similarity_range)</f>
        <v xml:space="preserve">Who was present and </v>
      </c>
      <c r="AR984" s="98" t="b">
        <f>questions[[#This Row],[question_first_characters]]=questions[[#This Row],[stability_first_characters]]</f>
        <v>1</v>
      </c>
      <c r="AS984" s="98" t="b">
        <f>IF(OR(questions[[#This Row],[is_single_select]],questions[[#This Row],[is_multi_select]]),NOT(ISBLANK(questions[[#This Row],[answer_opt_combined]])),TRUE)</f>
        <v>1</v>
      </c>
    </row>
    <row r="985" spans="1:45" s="77" customFormat="1" ht="15.75" customHeight="1" x14ac:dyDescent="0.25">
      <c r="A985" s="77" t="str">
        <f>_xlfn.TEXTJOIN("_",TRUE,questions[[#This Row],[origin]:[qno]])</f>
        <v>Vietnam_Robusta_Nestle_Selecta_2025_2001</v>
      </c>
      <c r="B985" s="77" t="s">
        <v>673</v>
      </c>
      <c r="C985" s="77" t="s">
        <v>674</v>
      </c>
      <c r="D985" s="77" t="s">
        <v>904</v>
      </c>
      <c r="E985" s="77">
        <v>2025</v>
      </c>
      <c r="F985" s="105" t="s">
        <v>104</v>
      </c>
      <c r="G985" s="109" t="s">
        <v>105</v>
      </c>
      <c r="H985" s="33" t="str" cm="1">
        <f t="array" ref="H985">INDEX(stableR[question],MATCH(VALUE(questions[[#This Row],[qno]]),VALUE(stableR[qno]),0))</f>
        <v>What is the gender of the lead farmer in the household? (The person that is selling the coffee)</v>
      </c>
      <c r="I985" s="33" t="b" cm="1">
        <f t="array" ref="I985">INDEX(stable[is_fixed],MATCH(VALUE(questions[[#This Row],[qno]]),VALUE(stable[qno]),0))</f>
        <v>1</v>
      </c>
      <c r="J985" s="33" t="b" cm="1">
        <f t="array" ref="J985">INDEX(stable[is_localized],MATCH(VALUE(questions[[#This Row],[qno]]),VALUE(stable[qno]),0))</f>
        <v>0</v>
      </c>
      <c r="K985" s="33" t="b" cm="1">
        <f t="array" ref="K985">INDEX(stable[is_supply_chain_dependent],MATCH(VALUE(questions[[#This Row],[qno]]),VALUE(stable[qno]),0))</f>
        <v>0</v>
      </c>
      <c r="L985" s="33" t="b" cm="1">
        <f t="array" ref="L985">INDEX(stable[is_mandatory],MATCH(VALUE(questions[[#This Row],[qno]]),VALUE(stable[qno]),0))</f>
        <v>1</v>
      </c>
      <c r="M985" s="33" t="b" cm="1">
        <f t="array" ref="M985">INDEX(stable[is_automated],MATCH(VALUE(questions[[#This Row],[qno]]),VALUE(stable[qno]),0))</f>
        <v>0</v>
      </c>
      <c r="N985" s="33" t="b" cm="1">
        <f t="array" ref="N985">INDEX(stable[is_free_text],MATCH(VALUE(questions[[#This Row],[qno]]),VALUE(stable[qno]),0))</f>
        <v>0</v>
      </c>
      <c r="O985" s="33" t="b" cm="1">
        <f t="array" ref="O985">INDEX(stable[is_numerical],MATCH(VALUE(questions[[#This Row],[qno]]),VALUE(stable[qno]),0))</f>
        <v>0</v>
      </c>
      <c r="P985" s="77" t="b" cm="1">
        <f t="array" ref="P985">INDEX(stable[is_single_select],MATCH(VALUE(questions[[#This Row],[qno]]),VALUE(stable[qno]),0))</f>
        <v>1</v>
      </c>
      <c r="Q985" s="77" t="b" cm="1">
        <f t="array" ref="Q985">INDEX(stable[is_multi_select],MATCH(VALUE(questions[[#This Row],[qno]]),VALUE(stable[qno]),0))</f>
        <v>0</v>
      </c>
      <c r="R985" s="77" t="b" cm="1">
        <f t="array" ref="R985">INDEX(stable[is_skip_logic],MATCH(VALUE(questions[[#This Row],[qno]]),VALUE(stable[qno]),0))</f>
        <v>0</v>
      </c>
      <c r="S985" s="77" t="str">
        <f>_xlfn.TEXTJOIN(", ",TRUE,questions[[#This Row],[ans_opt_1]:[ans_opt_14]])</f>
        <v>Female, Male</v>
      </c>
      <c r="T985" s="91" t="s">
        <v>106</v>
      </c>
      <c r="U985" s="91" t="s">
        <v>107</v>
      </c>
      <c r="V985" s="91"/>
      <c r="W985" s="91"/>
      <c r="X985" s="91"/>
      <c r="Y985" s="91"/>
      <c r="Z985" s="91"/>
      <c r="AA985" s="91"/>
      <c r="AB985" s="91"/>
      <c r="AC985" s="91"/>
      <c r="AD985" s="91"/>
      <c r="AE985" s="91"/>
      <c r="AF985" s="91"/>
      <c r="AG985" s="91"/>
      <c r="AH985" s="126" t="b">
        <f>INDEX(stable[q_standard],MATCH(questions[[#This Row],[qno]],stable[qno],0))</f>
        <v>1</v>
      </c>
      <c r="AI985" s="126" t="b">
        <f>INDEX(stable[q_living_income],MATCH(questions[[#This Row],[qno]],stable[qno],0))</f>
        <v>0</v>
      </c>
      <c r="AJ985" s="126" t="b">
        <f>INDEX(stable[q_carbon],MATCH(questions[[#This Row],[qno]],stable[qno],0))</f>
        <v>0</v>
      </c>
      <c r="AK985" s="126" t="b">
        <f>INDEX(stable[q_regen_ag],MATCH(questions[[#This Row],[qno]],stable[qno],0))</f>
        <v>0</v>
      </c>
      <c r="AL985" s="126"/>
      <c r="AM985" s="126"/>
      <c r="AN985" s="126"/>
      <c r="AO985" s="126"/>
      <c r="AP985" s="98" t="str">
        <f>LEFT(questions[[#This Row],[question]],similarity_range)</f>
        <v>What is the gender o</v>
      </c>
      <c r="AQ985" s="98" t="str">
        <f>LEFT(INDEX(stable[question],MATCH(questions[[#This Row],[qno]],stable[qno],0)),similarity_range)</f>
        <v>What is the gender o</v>
      </c>
      <c r="AR985" s="98" t="b">
        <f>questions[[#This Row],[question_first_characters]]=questions[[#This Row],[stability_first_characters]]</f>
        <v>1</v>
      </c>
      <c r="AS985" s="98" t="b">
        <f>IF(OR(questions[[#This Row],[is_single_select]],questions[[#This Row],[is_multi_select]]),NOT(ISBLANK(questions[[#This Row],[answer_opt_combined]])),TRUE)</f>
        <v>1</v>
      </c>
    </row>
    <row r="986" spans="1:45" s="77" customFormat="1" ht="15.75" customHeight="1" x14ac:dyDescent="0.25">
      <c r="A986" s="77" t="str">
        <f>_xlfn.TEXTJOIN("_",TRUE,questions[[#This Row],[origin]:[qno]])</f>
        <v>Vietnam_Robusta_Nestle_Selecta_2025_2002</v>
      </c>
      <c r="B986" s="77" t="s">
        <v>673</v>
      </c>
      <c r="C986" s="77" t="s">
        <v>674</v>
      </c>
      <c r="D986" s="77" t="s">
        <v>904</v>
      </c>
      <c r="E986" s="77">
        <v>2025</v>
      </c>
      <c r="F986" s="108" t="s">
        <v>108</v>
      </c>
      <c r="G986" s="109" t="s">
        <v>109</v>
      </c>
      <c r="H986" s="33" t="str" cm="1">
        <f t="array" ref="H986">INDEX(stableR[question],MATCH(VALUE(questions[[#This Row],[qno]]),VALUE(stableR[qno]),0))</f>
        <v>What type of household is this?</v>
      </c>
      <c r="I986" s="33" t="b" cm="1">
        <f t="array" ref="I986">INDEX(stable[is_fixed],MATCH(VALUE(questions[[#This Row],[qno]]),VALUE(stable[qno]),0))</f>
        <v>1</v>
      </c>
      <c r="J986" s="33" t="b" cm="1">
        <f t="array" ref="J986">INDEX(stable[is_localized],MATCH(VALUE(questions[[#This Row],[qno]]),VALUE(stable[qno]),0))</f>
        <v>0</v>
      </c>
      <c r="K986" s="33" t="b" cm="1">
        <f t="array" ref="K986">INDEX(stable[is_supply_chain_dependent],MATCH(VALUE(questions[[#This Row],[qno]]),VALUE(stable[qno]),0))</f>
        <v>0</v>
      </c>
      <c r="L986" s="33" t="b" cm="1">
        <f t="array" ref="L986">INDEX(stable[is_mandatory],MATCH(VALUE(questions[[#This Row],[qno]]),VALUE(stable[qno]),0))</f>
        <v>1</v>
      </c>
      <c r="M986" s="33" t="b" cm="1">
        <f t="array" ref="M986">INDEX(stable[is_automated],MATCH(VALUE(questions[[#This Row],[qno]]),VALUE(stable[qno]),0))</f>
        <v>0</v>
      </c>
      <c r="N986" s="33" t="b" cm="1">
        <f t="array" ref="N986">INDEX(stable[is_free_text],MATCH(VALUE(questions[[#This Row],[qno]]),VALUE(stable[qno]),0))</f>
        <v>0</v>
      </c>
      <c r="O986" s="33" t="b" cm="1">
        <f t="array" ref="O986">INDEX(stable[is_numerical],MATCH(VALUE(questions[[#This Row],[qno]]),VALUE(stable[qno]),0))</f>
        <v>0</v>
      </c>
      <c r="P986" s="77" t="b" cm="1">
        <f t="array" ref="P986">INDEX(stable[is_single_select],MATCH(VALUE(questions[[#This Row],[qno]]),VALUE(stable[qno]),0))</f>
        <v>1</v>
      </c>
      <c r="Q986" s="77" t="b" cm="1">
        <f t="array" ref="Q986">INDEX(stable[is_multi_select],MATCH(VALUE(questions[[#This Row],[qno]]),VALUE(stable[qno]),0))</f>
        <v>0</v>
      </c>
      <c r="R986" s="77" t="b" cm="1">
        <f t="array" ref="R986">INDEX(stable[is_skip_logic],MATCH(VALUE(questions[[#This Row],[qno]]),VALUE(stable[qno]),0))</f>
        <v>0</v>
      </c>
      <c r="S986" s="77" t="str">
        <f>_xlfn.TEXTJOIN(", ",TRUE,questions[[#This Row],[ans_opt_1]:[ans_opt_14]])</f>
        <v>Male headed, Female headed, Other</v>
      </c>
      <c r="T986" s="91" t="s">
        <v>110</v>
      </c>
      <c r="U986" s="91" t="s">
        <v>111</v>
      </c>
      <c r="V986" s="91" t="s">
        <v>112</v>
      </c>
      <c r="W986" s="91"/>
      <c r="X986" s="91"/>
      <c r="Y986" s="91"/>
      <c r="Z986" s="91"/>
      <c r="AA986" s="91"/>
      <c r="AB986" s="91"/>
      <c r="AC986" s="91"/>
      <c r="AD986" s="91"/>
      <c r="AE986" s="91"/>
      <c r="AF986" s="91"/>
      <c r="AG986" s="91"/>
      <c r="AH986" s="126" t="b">
        <f>INDEX(stable[q_standard],MATCH(questions[[#This Row],[qno]],stable[qno],0))</f>
        <v>1</v>
      </c>
      <c r="AI986" s="126" t="b">
        <f>INDEX(stable[q_living_income],MATCH(questions[[#This Row],[qno]],stable[qno],0))</f>
        <v>0</v>
      </c>
      <c r="AJ986" s="126" t="b">
        <f>INDEX(stable[q_carbon],MATCH(questions[[#This Row],[qno]],stable[qno],0))</f>
        <v>0</v>
      </c>
      <c r="AK986" s="126" t="b">
        <f>INDEX(stable[q_regen_ag],MATCH(questions[[#This Row],[qno]],stable[qno],0))</f>
        <v>0</v>
      </c>
      <c r="AL986" s="126"/>
      <c r="AM986" s="126"/>
      <c r="AN986" s="126"/>
      <c r="AO986" s="126"/>
      <c r="AP986" s="98" t="str">
        <f>LEFT(questions[[#This Row],[question]],similarity_range)</f>
        <v>What type of househo</v>
      </c>
      <c r="AQ986" s="98" t="str">
        <f>LEFT(INDEX(stable[question],MATCH(questions[[#This Row],[qno]],stable[qno],0)),similarity_range)</f>
        <v>What type of househo</v>
      </c>
      <c r="AR986" s="98" t="b">
        <f>questions[[#This Row],[question_first_characters]]=questions[[#This Row],[stability_first_characters]]</f>
        <v>1</v>
      </c>
      <c r="AS986" s="98" t="b">
        <f>IF(OR(questions[[#This Row],[is_single_select]],questions[[#This Row],[is_multi_select]]),NOT(ISBLANK(questions[[#This Row],[answer_opt_combined]])),TRUE)</f>
        <v>1</v>
      </c>
    </row>
    <row r="987" spans="1:45" ht="15.75" customHeight="1" x14ac:dyDescent="0.25">
      <c r="A987" s="33" t="str">
        <f>_xlfn.TEXTJOIN("_",TRUE,questions[[#This Row],[origin]:[qno]])</f>
        <v>Vietnam_Robusta_Nestle_Selecta_2025_2003</v>
      </c>
      <c r="B987" s="33" t="s">
        <v>673</v>
      </c>
      <c r="C987" s="33" t="s">
        <v>674</v>
      </c>
      <c r="D987" s="33" t="s">
        <v>904</v>
      </c>
      <c r="E987" s="33">
        <v>2025</v>
      </c>
      <c r="F987" s="41" t="s">
        <v>113</v>
      </c>
      <c r="G987" s="218" t="s">
        <v>114</v>
      </c>
      <c r="H987" s="33" t="str" cm="1">
        <f t="array" ref="H987">INDEX(stableR[question],MATCH(VALUE(questions[[#This Row],[qno]]),VALUE(stableR[qno]),0))</f>
        <v>How many adults live in your household, that are above 18 years (including the respondent)? (Household members are those that stay more than three months per year within the same household and that 'eat from the same pot'.)</v>
      </c>
      <c r="I987" s="33" t="b" cm="1">
        <f t="array" ref="I987">INDEX(stable[is_fixed],MATCH(VALUE(questions[[#This Row],[qno]]),VALUE(stable[qno]),0))</f>
        <v>1</v>
      </c>
      <c r="J987" s="33" t="b" cm="1">
        <f t="array" ref="J987">INDEX(stable[is_localized],MATCH(VALUE(questions[[#This Row],[qno]]),VALUE(stable[qno]),0))</f>
        <v>0</v>
      </c>
      <c r="K987" s="33" t="b" cm="1">
        <f t="array" ref="K987">INDEX(stable[is_supply_chain_dependent],MATCH(VALUE(questions[[#This Row],[qno]]),VALUE(stable[qno]),0))</f>
        <v>0</v>
      </c>
      <c r="L987" s="33" t="b" cm="1">
        <f t="array" ref="L987">INDEX(stable[is_mandatory],MATCH(VALUE(questions[[#This Row],[qno]]),VALUE(stable[qno]),0))</f>
        <v>1</v>
      </c>
      <c r="M987" s="33" t="b" cm="1">
        <f t="array" ref="M987">INDEX(stable[is_automated],MATCH(VALUE(questions[[#This Row],[qno]]),VALUE(stable[qno]),0))</f>
        <v>0</v>
      </c>
      <c r="N987" s="33" t="b" cm="1">
        <f t="array" ref="N987">INDEX(stable[is_free_text],MATCH(VALUE(questions[[#This Row],[qno]]),VALUE(stable[qno]),0))</f>
        <v>0</v>
      </c>
      <c r="O987" s="33" t="b" cm="1">
        <f t="array" ref="O987">INDEX(stable[is_numerical],MATCH(VALUE(questions[[#This Row],[qno]]),VALUE(stable[qno]),0))</f>
        <v>1</v>
      </c>
      <c r="P987" s="33" t="b" cm="1">
        <f t="array" ref="P987">INDEX(stable[is_single_select],MATCH(VALUE(questions[[#This Row],[qno]]),VALUE(stable[qno]),0))</f>
        <v>0</v>
      </c>
      <c r="Q987" s="33" t="b" cm="1">
        <f t="array" ref="Q987">INDEX(stable[is_multi_select],MATCH(VALUE(questions[[#This Row],[qno]]),VALUE(stable[qno]),0))</f>
        <v>0</v>
      </c>
      <c r="R987" s="33" t="b" cm="1">
        <f t="array" ref="R987">INDEX(stable[is_skip_logic],MATCH(VALUE(questions[[#This Row],[qno]]),VALUE(stable[qno]),0))</f>
        <v>0</v>
      </c>
      <c r="S987" s="33" t="str">
        <f>_xlfn.TEXTJOIN(", ",TRUE,questions[[#This Row],[ans_opt_1]:[ans_opt_14]])</f>
        <v/>
      </c>
      <c r="T987" s="44"/>
      <c r="U987" s="44"/>
      <c r="V987" s="44"/>
      <c r="W987" s="44"/>
      <c r="X987" s="44"/>
      <c r="Y987" s="44"/>
      <c r="Z987" s="44"/>
      <c r="AA987" s="44"/>
      <c r="AB987" s="44"/>
      <c r="AC987" s="44"/>
      <c r="AD987" s="44"/>
      <c r="AE987" s="44"/>
      <c r="AF987" s="44"/>
      <c r="AG987" s="44"/>
      <c r="AH987" s="124" t="b">
        <f>INDEX(stable[q_standard],MATCH(questions[[#This Row],[qno]],stable[qno],0))</f>
        <v>1</v>
      </c>
      <c r="AI987" s="124" t="b">
        <f>INDEX(stable[q_living_income],MATCH(questions[[#This Row],[qno]],stable[qno],0))</f>
        <v>0</v>
      </c>
      <c r="AJ987" s="124" t="b">
        <f>INDEX(stable[q_carbon],MATCH(questions[[#This Row],[qno]],stable[qno],0))</f>
        <v>0</v>
      </c>
      <c r="AK987" s="124" t="b">
        <f>INDEX(stable[q_regen_ag],MATCH(questions[[#This Row],[qno]],stable[qno],0))</f>
        <v>0</v>
      </c>
      <c r="AL987" s="146"/>
      <c r="AM987" s="146"/>
      <c r="AN987" s="146"/>
      <c r="AO987" s="146"/>
      <c r="AP987" s="16" t="str">
        <f>LEFT(questions[[#This Row],[question]],similarity_range)</f>
        <v>How many adults live</v>
      </c>
      <c r="AQ987" s="16" t="str">
        <f>LEFT(INDEX(stable[question],MATCH(questions[[#This Row],[qno]],stable[qno],0)),similarity_range)</f>
        <v>How many adults live</v>
      </c>
      <c r="AR987" s="16" t="b">
        <f>questions[[#This Row],[question_first_characters]]=questions[[#This Row],[stability_first_characters]]</f>
        <v>1</v>
      </c>
      <c r="AS987" s="16" t="b">
        <f>IF(OR(questions[[#This Row],[is_single_select]],questions[[#This Row],[is_multi_select]]),NOT(ISBLANK(questions[[#This Row],[answer_opt_combined]])),TRUE)</f>
        <v>1</v>
      </c>
    </row>
    <row r="988" spans="1:45" ht="15.75" customHeight="1" x14ac:dyDescent="0.25">
      <c r="A988" s="33" t="str">
        <f>_xlfn.TEXTJOIN("_",TRUE,questions[[#This Row],[origin]:[qno]])</f>
        <v>Vietnam_Robusta_Nestle_Selecta_2025_2004</v>
      </c>
      <c r="B988" s="33" t="s">
        <v>673</v>
      </c>
      <c r="C988" s="33" t="s">
        <v>674</v>
      </c>
      <c r="D988" s="33" t="s">
        <v>904</v>
      </c>
      <c r="E988" s="33">
        <v>2025</v>
      </c>
      <c r="F988" s="41" t="s">
        <v>115</v>
      </c>
      <c r="G988" s="218" t="s">
        <v>116</v>
      </c>
      <c r="H988" s="33" t="str" cm="1">
        <f t="array" ref="H988">INDEX(stableR[question],MATCH(VALUE(questions[[#This Row],[qno]]),VALUE(stableR[qno]),0))</f>
        <v>How many children living in your household, are below 18 years? (Household members are those that stay more than three months per year within the same household and that 'eat from the same pot.')</v>
      </c>
      <c r="I988" s="33" t="b" cm="1">
        <f t="array" ref="I988">INDEX(stable[is_fixed],MATCH(VALUE(questions[[#This Row],[qno]]),VALUE(stable[qno]),0))</f>
        <v>1</v>
      </c>
      <c r="J988" s="33" t="b" cm="1">
        <f t="array" ref="J988">INDEX(stable[is_localized],MATCH(VALUE(questions[[#This Row],[qno]]),VALUE(stable[qno]),0))</f>
        <v>0</v>
      </c>
      <c r="K988" s="33" t="b" cm="1">
        <f t="array" ref="K988">INDEX(stable[is_supply_chain_dependent],MATCH(VALUE(questions[[#This Row],[qno]]),VALUE(stable[qno]),0))</f>
        <v>0</v>
      </c>
      <c r="L988" s="33" t="b" cm="1">
        <f t="array" ref="L988">INDEX(stable[is_mandatory],MATCH(VALUE(questions[[#This Row],[qno]]),VALUE(stable[qno]),0))</f>
        <v>1</v>
      </c>
      <c r="M988" s="33" t="b" cm="1">
        <f t="array" ref="M988">INDEX(stable[is_automated],MATCH(VALUE(questions[[#This Row],[qno]]),VALUE(stable[qno]),0))</f>
        <v>0</v>
      </c>
      <c r="N988" s="33" t="b" cm="1">
        <f t="array" ref="N988">INDEX(stable[is_free_text],MATCH(VALUE(questions[[#This Row],[qno]]),VALUE(stable[qno]),0))</f>
        <v>0</v>
      </c>
      <c r="O988" s="33" t="b" cm="1">
        <f t="array" ref="O988">INDEX(stable[is_numerical],MATCH(VALUE(questions[[#This Row],[qno]]),VALUE(stable[qno]),0))</f>
        <v>1</v>
      </c>
      <c r="P988" s="33" t="b" cm="1">
        <f t="array" ref="P988">INDEX(stable[is_single_select],MATCH(VALUE(questions[[#This Row],[qno]]),VALUE(stable[qno]),0))</f>
        <v>0</v>
      </c>
      <c r="Q988" s="33" t="b" cm="1">
        <f t="array" ref="Q988">INDEX(stable[is_multi_select],MATCH(VALUE(questions[[#This Row],[qno]]),VALUE(stable[qno]),0))</f>
        <v>0</v>
      </c>
      <c r="R988" s="33" t="b" cm="1">
        <f t="array" ref="R988">INDEX(stable[is_skip_logic],MATCH(VALUE(questions[[#This Row],[qno]]),VALUE(stable[qno]),0))</f>
        <v>0</v>
      </c>
      <c r="S988" s="33" t="str">
        <f>_xlfn.TEXTJOIN(", ",TRUE,questions[[#This Row],[ans_opt_1]:[ans_opt_14]])</f>
        <v/>
      </c>
      <c r="T988" s="44"/>
      <c r="U988" s="44"/>
      <c r="V988" s="44"/>
      <c r="W988" s="44"/>
      <c r="X988" s="44"/>
      <c r="Y988" s="44"/>
      <c r="Z988" s="44"/>
      <c r="AA988" s="44"/>
      <c r="AB988" s="44"/>
      <c r="AC988" s="44"/>
      <c r="AD988" s="44"/>
      <c r="AE988" s="44"/>
      <c r="AF988" s="44"/>
      <c r="AG988" s="44"/>
      <c r="AH988" s="124" t="b">
        <f>INDEX(stable[q_standard],MATCH(questions[[#This Row],[qno]],stable[qno],0))</f>
        <v>1</v>
      </c>
      <c r="AI988" s="124" t="b">
        <f>INDEX(stable[q_living_income],MATCH(questions[[#This Row],[qno]],stable[qno],0))</f>
        <v>0</v>
      </c>
      <c r="AJ988" s="124" t="b">
        <f>INDEX(stable[q_carbon],MATCH(questions[[#This Row],[qno]],stable[qno],0))</f>
        <v>0</v>
      </c>
      <c r="AK988" s="124" t="b">
        <f>INDEX(stable[q_regen_ag],MATCH(questions[[#This Row],[qno]],stable[qno],0))</f>
        <v>0</v>
      </c>
      <c r="AL988" s="146"/>
      <c r="AM988" s="146"/>
      <c r="AN988" s="146"/>
      <c r="AO988" s="146"/>
      <c r="AP988" s="16" t="str">
        <f>LEFT(questions[[#This Row],[question]],similarity_range)</f>
        <v>How many children li</v>
      </c>
      <c r="AQ988" s="16" t="str">
        <f>LEFT(INDEX(stable[question],MATCH(questions[[#This Row],[qno]],stable[qno],0)),similarity_range)</f>
        <v>How many children li</v>
      </c>
      <c r="AR988" s="16" t="b">
        <f>questions[[#This Row],[question_first_characters]]=questions[[#This Row],[stability_first_characters]]</f>
        <v>1</v>
      </c>
      <c r="AS988" s="16" t="b">
        <f>IF(OR(questions[[#This Row],[is_single_select]],questions[[#This Row],[is_multi_select]]),NOT(ISBLANK(questions[[#This Row],[answer_opt_combined]])),TRUE)</f>
        <v>1</v>
      </c>
    </row>
    <row r="989" spans="1:45" s="77" customFormat="1" ht="15.75" customHeight="1" x14ac:dyDescent="0.25">
      <c r="A989" s="77" t="str">
        <f>_xlfn.TEXTJOIN("_",TRUE,questions[[#This Row],[origin]:[qno]])</f>
        <v>Vietnam_Robusta_Nestle_Selecta_2025_2100</v>
      </c>
      <c r="B989" s="77" t="s">
        <v>673</v>
      </c>
      <c r="C989" s="77" t="s">
        <v>674</v>
      </c>
      <c r="D989" s="77" t="s">
        <v>904</v>
      </c>
      <c r="E989" s="77">
        <v>2025</v>
      </c>
      <c r="F989" s="105" t="s">
        <v>117</v>
      </c>
      <c r="G989" s="109" t="s">
        <v>118</v>
      </c>
      <c r="H989" s="33" t="str" cm="1">
        <f t="array" ref="H989">INDEX(stableR[question],MATCH(VALUE(questions[[#This Row],[qno]]),VALUE(stableR[qno]),0))</f>
        <v>If your farm is certified, under which certification scheme(s) is it certified?</v>
      </c>
      <c r="I989" s="33" t="b" cm="1">
        <f t="array" ref="I989">INDEX(stable[is_fixed],MATCH(VALUE(questions[[#This Row],[qno]]),VALUE(stable[qno]),0))</f>
        <v>1</v>
      </c>
      <c r="J989" s="33" t="b" cm="1">
        <f t="array" ref="J989">INDEX(stable[is_localized],MATCH(VALUE(questions[[#This Row],[qno]]),VALUE(stable[qno]),0))</f>
        <v>0</v>
      </c>
      <c r="K989" s="33" t="b" cm="1">
        <f t="array" ref="K989">INDEX(stable[is_supply_chain_dependent],MATCH(VALUE(questions[[#This Row],[qno]]),VALUE(stable[qno]),0))</f>
        <v>0</v>
      </c>
      <c r="L989" s="33" t="b" cm="1">
        <f t="array" ref="L989">INDEX(stable[is_mandatory],MATCH(VALUE(questions[[#This Row],[qno]]),VALUE(stable[qno]),0))</f>
        <v>1</v>
      </c>
      <c r="M989" s="33" t="b" cm="1">
        <f t="array" ref="M989">INDEX(stable[is_automated],MATCH(VALUE(questions[[#This Row],[qno]]),VALUE(stable[qno]),0))</f>
        <v>0</v>
      </c>
      <c r="N989" s="33" t="b" cm="1">
        <f t="array" ref="N989">INDEX(stable[is_free_text],MATCH(VALUE(questions[[#This Row],[qno]]),VALUE(stable[qno]),0))</f>
        <v>0</v>
      </c>
      <c r="O989" s="33" t="b" cm="1">
        <f t="array" ref="O989">INDEX(stable[is_numerical],MATCH(VALUE(questions[[#This Row],[qno]]),VALUE(stable[qno]),0))</f>
        <v>0</v>
      </c>
      <c r="P989" s="77" t="b" cm="1">
        <f t="array" ref="P989">INDEX(stable[is_single_select],MATCH(VALUE(questions[[#This Row],[qno]]),VALUE(stable[qno]),0))</f>
        <v>0</v>
      </c>
      <c r="Q989" s="77" t="b" cm="1">
        <f t="array" ref="Q989">INDEX(stable[is_multi_select],MATCH(VALUE(questions[[#This Row],[qno]]),VALUE(stable[qno]),0))</f>
        <v>1</v>
      </c>
      <c r="R989" s="77" t="b" cm="1">
        <f t="array" ref="R989">INDEX(stable[is_skip_logic],MATCH(VALUE(questions[[#This Row],[qno]]),VALUE(stable[qno]),0))</f>
        <v>1</v>
      </c>
      <c r="S989" s="77" t="str">
        <f>_xlfn.TEXTJOIN(", ",TRUE,questions[[#This Row],[ans_opt_1]:[ans_opt_14]])</f>
        <v>No, Rainforest alliance, 4C, IMPACT, Fair trade, Organic, CAFÉ practices, RegenAgri, Other</v>
      </c>
      <c r="T989" s="110" t="s">
        <v>119</v>
      </c>
      <c r="U989" s="110" t="s">
        <v>721</v>
      </c>
      <c r="V989" s="110" t="s">
        <v>121</v>
      </c>
      <c r="W989" s="110" t="s">
        <v>120</v>
      </c>
      <c r="X989" s="111" t="s">
        <v>722</v>
      </c>
      <c r="Y989" s="111" t="s">
        <v>124</v>
      </c>
      <c r="Z989" s="111" t="s">
        <v>125</v>
      </c>
      <c r="AA989" s="110" t="s">
        <v>126</v>
      </c>
      <c r="AB989" s="110" t="s">
        <v>112</v>
      </c>
      <c r="AC989" s="110"/>
      <c r="AD989" s="110"/>
      <c r="AE989" s="110"/>
      <c r="AF989" s="110"/>
      <c r="AG989" s="110"/>
      <c r="AH989" s="126" t="b">
        <f>INDEX(stable[q_standard],MATCH(questions[[#This Row],[qno]],stable[qno],0))</f>
        <v>0</v>
      </c>
      <c r="AI989" s="126" t="b">
        <f>INDEX(stable[q_living_income],MATCH(questions[[#This Row],[qno]],stable[qno],0))</f>
        <v>0</v>
      </c>
      <c r="AJ989" s="126" t="b">
        <f>INDEX(stable[q_carbon],MATCH(questions[[#This Row],[qno]],stable[qno],0))</f>
        <v>0</v>
      </c>
      <c r="AK989" s="126" t="b">
        <f>INDEX(stable[q_regen_ag],MATCH(questions[[#This Row],[qno]],stable[qno],0))</f>
        <v>1</v>
      </c>
      <c r="AL989" s="147"/>
      <c r="AM989" s="147"/>
      <c r="AN989" s="147"/>
      <c r="AO989" s="147"/>
      <c r="AP989" s="98" t="str">
        <f>LEFT(questions[[#This Row],[question]],similarity_range)</f>
        <v>Is your farm certifi</v>
      </c>
      <c r="AQ989" s="98" t="str">
        <f>LEFT(INDEX(stable[question],MATCH(questions[[#This Row],[qno]],stable[qno],0)),similarity_range)</f>
        <v>Is your farm certifi</v>
      </c>
      <c r="AR989" s="98" t="b">
        <f>questions[[#This Row],[question_first_characters]]=questions[[#This Row],[stability_first_characters]]</f>
        <v>1</v>
      </c>
      <c r="AS989" s="98" t="b">
        <f>IF(OR(questions[[#This Row],[is_single_select]],questions[[#This Row],[is_multi_select]]),NOT(ISBLANK(questions[[#This Row],[answer_opt_combined]])),TRUE)</f>
        <v>1</v>
      </c>
    </row>
    <row r="990" spans="1:45" s="77" customFormat="1" ht="15.75" customHeight="1" x14ac:dyDescent="0.25">
      <c r="A990" s="77" t="str">
        <f>_xlfn.TEXTJOIN("_",TRUE,questions[[#This Row],[origin]:[qno]])</f>
        <v>Vietnam_Robusta_Nestle_Selecta_2025_2101</v>
      </c>
      <c r="B990" s="77" t="s">
        <v>673</v>
      </c>
      <c r="C990" s="77" t="s">
        <v>674</v>
      </c>
      <c r="D990" s="77" t="s">
        <v>904</v>
      </c>
      <c r="E990" s="77">
        <v>2025</v>
      </c>
      <c r="F990" s="108" t="s">
        <v>127</v>
      </c>
      <c r="G990" s="109" t="s">
        <v>128</v>
      </c>
      <c r="H990" s="33" t="str" cm="1">
        <f t="array" ref="H990">INDEX(stableR[question],MATCH(VALUE(questions[[#This Row],[qno]]),VALUE(stableR[qno]),0))</f>
        <v>If yes, since when have you been certified? (In case you are part of multiple certification schemes, consider the one that you are in longest.)</v>
      </c>
      <c r="I990" s="33" t="b" cm="1">
        <f t="array" ref="I990">INDEX(stable[is_fixed],MATCH(VALUE(questions[[#This Row],[qno]]),VALUE(stable[qno]),0))</f>
        <v>1</v>
      </c>
      <c r="J990" s="33" t="b" cm="1">
        <f t="array" ref="J990">INDEX(stable[is_localized],MATCH(VALUE(questions[[#This Row],[qno]]),VALUE(stable[qno]),0))</f>
        <v>0</v>
      </c>
      <c r="K990" s="33" t="b" cm="1">
        <f t="array" ref="K990">INDEX(stable[is_supply_chain_dependent],MATCH(VALUE(questions[[#This Row],[qno]]),VALUE(stable[qno]),0))</f>
        <v>0</v>
      </c>
      <c r="L990" s="33" t="b" cm="1">
        <f t="array" ref="L990">INDEX(stable[is_mandatory],MATCH(VALUE(questions[[#This Row],[qno]]),VALUE(stable[qno]),0))</f>
        <v>0</v>
      </c>
      <c r="M990" s="33" t="b" cm="1">
        <f t="array" ref="M990">INDEX(stable[is_automated],MATCH(VALUE(questions[[#This Row],[qno]]),VALUE(stable[qno]),0))</f>
        <v>0</v>
      </c>
      <c r="N990" s="33" t="b" cm="1">
        <f t="array" ref="N990">INDEX(stable[is_free_text],MATCH(VALUE(questions[[#This Row],[qno]]),VALUE(stable[qno]),0))</f>
        <v>0</v>
      </c>
      <c r="O990" s="33" t="b" cm="1">
        <f t="array" ref="O990">INDEX(stable[is_numerical],MATCH(VALUE(questions[[#This Row],[qno]]),VALUE(stable[qno]),0))</f>
        <v>0</v>
      </c>
      <c r="P990" s="77" t="b" cm="1">
        <f t="array" ref="P990">INDEX(stable[is_single_select],MATCH(VALUE(questions[[#This Row],[qno]]),VALUE(stable[qno]),0))</f>
        <v>1</v>
      </c>
      <c r="Q990" s="77" t="b" cm="1">
        <f t="array" ref="Q990">INDEX(stable[is_multi_select],MATCH(VALUE(questions[[#This Row],[qno]]),VALUE(stable[qno]),0))</f>
        <v>0</v>
      </c>
      <c r="R990" s="77" t="b" cm="1">
        <f t="array" ref="R990">INDEX(stable[is_skip_logic],MATCH(VALUE(questions[[#This Row],[qno]]),VALUE(stable[qno]),0))</f>
        <v>1</v>
      </c>
      <c r="S990" s="77" t="str">
        <f>_xlfn.TEXTJOIN(", ",TRUE,questions[[#This Row],[ans_opt_1]:[ans_opt_14]])</f>
        <v>1-2 years, 3-4 years, &gt;=5 years</v>
      </c>
      <c r="T990" s="91" t="s">
        <v>129</v>
      </c>
      <c r="U990" s="91" t="s">
        <v>130</v>
      </c>
      <c r="V990" s="91" t="s">
        <v>131</v>
      </c>
      <c r="W990" s="110"/>
      <c r="X990" s="110"/>
      <c r="Y990" s="110"/>
      <c r="Z990" s="110"/>
      <c r="AA990" s="110"/>
      <c r="AB990" s="110"/>
      <c r="AC990" s="110"/>
      <c r="AD990" s="110"/>
      <c r="AE990" s="91"/>
      <c r="AF990" s="91"/>
      <c r="AG990" s="91"/>
      <c r="AH990" s="126" t="b">
        <f>INDEX(stable[q_standard],MATCH(questions[[#This Row],[qno]],stable[qno],0))</f>
        <v>0</v>
      </c>
      <c r="AI990" s="126" t="b">
        <f>INDEX(stable[q_living_income],MATCH(questions[[#This Row],[qno]],stable[qno],0))</f>
        <v>0</v>
      </c>
      <c r="AJ990" s="126" t="b">
        <f>INDEX(stable[q_carbon],MATCH(questions[[#This Row],[qno]],stable[qno],0))</f>
        <v>0</v>
      </c>
      <c r="AK990" s="126" t="b">
        <f>INDEX(stable[q_regen_ag],MATCH(questions[[#This Row],[qno]],stable[qno],0))</f>
        <v>1</v>
      </c>
      <c r="AL990" s="147"/>
      <c r="AM990" s="147"/>
      <c r="AN990" s="147"/>
      <c r="AO990" s="147"/>
      <c r="AP990" s="98" t="str">
        <f>LEFT(questions[[#This Row],[question]],similarity_range)</f>
        <v>If yes, since when h</v>
      </c>
      <c r="AQ990" s="98" t="str">
        <f>LEFT(INDEX(stable[question],MATCH(questions[[#This Row],[qno]],stable[qno],0)),similarity_range)</f>
        <v>If yes, since when h</v>
      </c>
      <c r="AR990" s="98" t="b">
        <f>questions[[#This Row],[question_first_characters]]=questions[[#This Row],[stability_first_characters]]</f>
        <v>1</v>
      </c>
      <c r="AS990" s="98" t="b">
        <f>IF(OR(questions[[#This Row],[is_single_select]],questions[[#This Row],[is_multi_select]]),NOT(ISBLANK(questions[[#This Row],[answer_opt_combined]])),TRUE)</f>
        <v>1</v>
      </c>
    </row>
    <row r="991" spans="1:45" s="77" customFormat="1" ht="15.75" customHeight="1" x14ac:dyDescent="0.25">
      <c r="A991" s="77" t="str">
        <f>_xlfn.TEXTJOIN("_",TRUE,questions[[#This Row],[origin]:[qno]])</f>
        <v>Vietnam_Robusta_Nestle_Selecta_2025_2200</v>
      </c>
      <c r="B991" s="77" t="s">
        <v>673</v>
      </c>
      <c r="C991" s="77" t="s">
        <v>674</v>
      </c>
      <c r="D991" s="77" t="s">
        <v>904</v>
      </c>
      <c r="E991" s="77">
        <v>2025</v>
      </c>
      <c r="F991" s="105" t="s">
        <v>132</v>
      </c>
      <c r="G991" s="109" t="s">
        <v>905</v>
      </c>
      <c r="H991" s="33" t="str" cm="1">
        <f t="array" ref="H991">INDEX(stableR[question],MATCH(VALUE(questions[[#This Row],[qno]]),VALUE(stableR[qno]),0))</f>
        <v>What is the name of the Sucafina coffee collection point you delivered your coffee to (e.g. name of  washing station/hulling station/cooperative/ intermediary), or which one is closest to you?</v>
      </c>
      <c r="I991" s="33" t="b" cm="1">
        <f t="array" ref="I991">INDEX(stable[is_fixed],MATCH(VALUE(questions[[#This Row],[qno]]),VALUE(stable[qno]),0))</f>
        <v>0</v>
      </c>
      <c r="J991" s="33" t="b" cm="1">
        <f t="array" ref="J991">INDEX(stable[is_localized],MATCH(VALUE(questions[[#This Row],[qno]]),VALUE(stable[qno]),0))</f>
        <v>1</v>
      </c>
      <c r="K991" s="33" t="b" cm="1">
        <f t="array" ref="K991">INDEX(stable[is_supply_chain_dependent],MATCH(VALUE(questions[[#This Row],[qno]]),VALUE(stable[qno]),0))</f>
        <v>0</v>
      </c>
      <c r="L991" s="33" t="b" cm="1">
        <f t="array" ref="L991">INDEX(stable[is_mandatory],MATCH(VALUE(questions[[#This Row],[qno]]),VALUE(stable[qno]),0))</f>
        <v>1</v>
      </c>
      <c r="M991" s="33" t="b" cm="1">
        <f t="array" ref="M991">INDEX(stable[is_automated],MATCH(VALUE(questions[[#This Row],[qno]]),VALUE(stable[qno]),0))</f>
        <v>0</v>
      </c>
      <c r="N991" s="33" t="b" cm="1">
        <f t="array" ref="N991">INDEX(stable[is_free_text],MATCH(VALUE(questions[[#This Row],[qno]]),VALUE(stable[qno]),0))</f>
        <v>0</v>
      </c>
      <c r="O991" s="33" t="b" cm="1">
        <f t="array" ref="O991">INDEX(stable[is_numerical],MATCH(VALUE(questions[[#This Row],[qno]]),VALUE(stable[qno]),0))</f>
        <v>0</v>
      </c>
      <c r="P991" s="77" t="b" cm="1">
        <f t="array" ref="P991">INDEX(stable[is_single_select],MATCH(VALUE(questions[[#This Row],[qno]]),VALUE(stable[qno]),0))</f>
        <v>1</v>
      </c>
      <c r="Q991" s="77" t="b" cm="1">
        <f t="array" ref="Q991">INDEX(stable[is_multi_select],MATCH(VALUE(questions[[#This Row],[qno]]),VALUE(stable[qno]),0))</f>
        <v>0</v>
      </c>
      <c r="R991" s="77" t="b" cm="1">
        <f t="array" ref="R991">INDEX(stable[is_skip_logic],MATCH(VALUE(questions[[#This Row],[qno]]),VALUE(stable[qno]),0))</f>
        <v>0</v>
      </c>
      <c r="S991" s="77" t="str">
        <f>_xlfn.TEXTJOIN(", ",TRUE,questions[[#This Row],[ans_opt_1]:[ans_opt_14]])</f>
        <v>CAN (Lamdong), Gia Lai Huyen Phat One Member Limited Company, PHUC VAN LOC (Lamdong), LY THANH (Lamdong), SON HUYEN PHAT (Gai Lai), Others</v>
      </c>
      <c r="T991" s="113" t="s">
        <v>906</v>
      </c>
      <c r="U991" s="113" t="s">
        <v>907</v>
      </c>
      <c r="V991" s="113" t="s">
        <v>908</v>
      </c>
      <c r="W991" s="113" t="s">
        <v>909</v>
      </c>
      <c r="X991" s="113" t="s">
        <v>910</v>
      </c>
      <c r="Y991" s="91" t="s">
        <v>911</v>
      </c>
      <c r="Z991" s="110"/>
      <c r="AA991" s="110"/>
      <c r="AB991" s="110"/>
      <c r="AC991" s="110"/>
      <c r="AD991" s="110"/>
      <c r="AE991" s="110"/>
      <c r="AF991" s="110"/>
      <c r="AG991" s="110"/>
      <c r="AH991" s="126" t="b">
        <f>INDEX(stable[q_standard],MATCH(questions[[#This Row],[qno]],stable[qno],0))</f>
        <v>1</v>
      </c>
      <c r="AI991" s="126" t="b">
        <f>INDEX(stable[q_living_income],MATCH(questions[[#This Row],[qno]],stable[qno],0))</f>
        <v>0</v>
      </c>
      <c r="AJ991" s="126" t="b">
        <f>INDEX(stable[q_carbon],MATCH(questions[[#This Row],[qno]],stable[qno],0))</f>
        <v>0</v>
      </c>
      <c r="AK991" s="126" t="b">
        <f>INDEX(stable[q_regen_ag],MATCH(questions[[#This Row],[qno]],stable[qno],0))</f>
        <v>0</v>
      </c>
      <c r="AL991" s="147"/>
      <c r="AM991" s="147"/>
      <c r="AN991" s="147"/>
      <c r="AO991" s="147"/>
      <c r="AP991" s="98" t="str">
        <f>LEFT(questions[[#This Row],[question]],similarity_range)</f>
        <v>To which intermediar</v>
      </c>
      <c r="AQ991" s="98" t="str">
        <f>LEFT(INDEX(stable[question],MATCH(questions[[#This Row],[qno]],stable[qno],0)),similarity_range)</f>
        <v>To which Sucafina wa</v>
      </c>
      <c r="AR991" s="98" t="b">
        <f>questions[[#This Row],[question_first_characters]]=questions[[#This Row],[stability_first_characters]]</f>
        <v>0</v>
      </c>
      <c r="AS991" s="98" t="b">
        <f>IF(OR(questions[[#This Row],[is_single_select]],questions[[#This Row],[is_multi_select]]),NOT(ISBLANK(questions[[#This Row],[answer_opt_combined]])),TRUE)</f>
        <v>1</v>
      </c>
    </row>
    <row r="992" spans="1:45" ht="15.75" customHeight="1" x14ac:dyDescent="0.25">
      <c r="A992" s="33" t="str">
        <f>_xlfn.TEXTJOIN("_",TRUE,questions[[#This Row],[origin]:[qno]])</f>
        <v>Vietnam_Robusta_Nestle_Selecta_2025_3310</v>
      </c>
      <c r="B992" s="33" t="s">
        <v>673</v>
      </c>
      <c r="C992" s="33" t="s">
        <v>674</v>
      </c>
      <c r="D992" s="33" t="s">
        <v>904</v>
      </c>
      <c r="E992" s="33">
        <v>2025</v>
      </c>
      <c r="F992" s="41" t="s">
        <v>676</v>
      </c>
      <c r="G992" s="218" t="s">
        <v>677</v>
      </c>
      <c r="H992" s="33" t="str" cm="1">
        <f t="array" ref="H992">INDEX(stableR[question],MATCH(VALUE(questions[[#This Row],[qno]]),VALUE(stableR[qno]),0))</f>
        <v>How many kilograms of green beans did you sell last season (previous 12 months)?</v>
      </c>
      <c r="I992" s="33" t="b" cm="1">
        <f t="array" ref="I992">INDEX(stable[is_fixed],MATCH(VALUE(questions[[#This Row],[qno]]),VALUE(stable[qno]),0))</f>
        <v>0</v>
      </c>
      <c r="J992" s="33" t="b" cm="1">
        <f t="array" ref="J992">INDEX(stable[is_localized],MATCH(VALUE(questions[[#This Row],[qno]]),VALUE(stable[qno]),0))</f>
        <v>1</v>
      </c>
      <c r="K992" s="33" t="b" cm="1">
        <f t="array" ref="K992">INDEX(stable[is_supply_chain_dependent],MATCH(VALUE(questions[[#This Row],[qno]]),VALUE(stable[qno]),0))</f>
        <v>0</v>
      </c>
      <c r="L992" s="33" t="b" cm="1">
        <f t="array" ref="L992">INDEX(stable[is_mandatory],MATCH(VALUE(questions[[#This Row],[qno]]),VALUE(stable[qno]),0))</f>
        <v>0</v>
      </c>
      <c r="M992" s="33" t="b" cm="1">
        <f t="array" ref="M992">INDEX(stable[is_automated],MATCH(VALUE(questions[[#This Row],[qno]]),VALUE(stable[qno]),0))</f>
        <v>0</v>
      </c>
      <c r="N992" s="33" t="b" cm="1">
        <f t="array" ref="N992">INDEX(stable[is_free_text],MATCH(VALUE(questions[[#This Row],[qno]]),VALUE(stable[qno]),0))</f>
        <v>0</v>
      </c>
      <c r="O992" s="33" t="b" cm="1">
        <f t="array" ref="O992">INDEX(stable[is_numerical],MATCH(VALUE(questions[[#This Row],[qno]]),VALUE(stable[qno]),0))</f>
        <v>1</v>
      </c>
      <c r="P992" s="33" t="b" cm="1">
        <f t="array" ref="P992">INDEX(stable[is_single_select],MATCH(VALUE(questions[[#This Row],[qno]]),VALUE(stable[qno]),0))</f>
        <v>0</v>
      </c>
      <c r="Q992" s="33" t="b" cm="1">
        <f t="array" ref="Q992">INDEX(stable[is_multi_select],MATCH(VALUE(questions[[#This Row],[qno]]),VALUE(stable[qno]),0))</f>
        <v>0</v>
      </c>
      <c r="R992" s="33" t="b" cm="1">
        <f t="array" ref="R992">INDEX(stable[is_skip_logic],MATCH(VALUE(questions[[#This Row],[qno]]),VALUE(stable[qno]),0))</f>
        <v>0</v>
      </c>
      <c r="S992" s="33" t="str">
        <f>_xlfn.TEXTJOIN(", ",TRUE,questions[[#This Row],[ans_opt_1]:[ans_opt_14]])</f>
        <v/>
      </c>
      <c r="T992" s="48"/>
      <c r="U992" s="48"/>
      <c r="V992" s="48"/>
      <c r="W992" s="48"/>
      <c r="X992" s="48"/>
      <c r="Y992" s="48"/>
      <c r="Z992" s="48"/>
      <c r="AA992" s="48"/>
      <c r="AB992" s="48"/>
      <c r="AC992" s="48"/>
      <c r="AD992" s="48"/>
      <c r="AE992" s="48"/>
      <c r="AF992" s="48"/>
      <c r="AG992" s="48"/>
      <c r="AH992" s="148" t="b">
        <f>INDEX(stable[q_standard],MATCH(questions[[#This Row],[qno]],stable[qno],0))</f>
        <v>0</v>
      </c>
      <c r="AI992" s="148" t="b">
        <f>INDEX(stable[q_living_income],MATCH(questions[[#This Row],[qno]],stable[qno],0))</f>
        <v>1</v>
      </c>
      <c r="AJ992" s="148" t="b">
        <f>INDEX(stable[q_carbon],MATCH(questions[[#This Row],[qno]],stable[qno],0))</f>
        <v>1</v>
      </c>
      <c r="AK992" s="148" t="b">
        <f>INDEX(stable[q_regen_ag],MATCH(questions[[#This Row],[qno]],stable[qno],0))</f>
        <v>1</v>
      </c>
      <c r="AL992" s="149"/>
      <c r="AM992" s="149"/>
      <c r="AN992" s="149"/>
      <c r="AO992" s="149"/>
      <c r="AP992" s="16" t="str">
        <f>LEFT(questions[[#This Row],[question]],similarity_range)</f>
        <v>How many kilograms o</v>
      </c>
      <c r="AQ992" s="16" t="str">
        <f>LEFT(INDEX(stable[question],MATCH(questions[[#This Row],[qno]],stable[qno],0)),similarity_range)</f>
        <v>How many kilograms o</v>
      </c>
      <c r="AR992" s="16" t="b">
        <f>questions[[#This Row],[question_first_characters]]=questions[[#This Row],[stability_first_characters]]</f>
        <v>1</v>
      </c>
      <c r="AS992" s="16" t="b">
        <f>IF(OR(questions[[#This Row],[is_single_select]],questions[[#This Row],[is_multi_select]]),NOT(ISBLANK(questions[[#This Row],[answer_opt_combined]])),TRUE)</f>
        <v>1</v>
      </c>
    </row>
    <row r="993" spans="1:45" ht="15.75" customHeight="1" x14ac:dyDescent="0.25">
      <c r="A993" s="33" t="str">
        <f>_xlfn.TEXTJOIN("_",TRUE,questions[[#This Row],[origin]:[qno]])</f>
        <v>Vietnam_Robusta_Nestle_Selecta_2025_3311</v>
      </c>
      <c r="B993" s="33" t="s">
        <v>673</v>
      </c>
      <c r="C993" s="33" t="s">
        <v>674</v>
      </c>
      <c r="D993" s="33" t="s">
        <v>904</v>
      </c>
      <c r="E993" s="33">
        <v>2025</v>
      </c>
      <c r="F993" s="41" t="s">
        <v>678</v>
      </c>
      <c r="G993" s="218" t="s">
        <v>679</v>
      </c>
      <c r="H993" s="33" t="str" cm="1">
        <f t="array" ref="H993">INDEX(stableR[question],MATCH(VALUE(questions[[#This Row],[qno]]),VALUE(stableR[qno]),0))</f>
        <v>What was the most common price per kilogram of green beans that you sold last season (previous 12 months)? (in local currency)</v>
      </c>
      <c r="I993" s="33" t="b" cm="1">
        <f t="array" ref="I993">INDEX(stable[is_fixed],MATCH(VALUE(questions[[#This Row],[qno]]),VALUE(stable[qno]),0))</f>
        <v>0</v>
      </c>
      <c r="J993" s="33" t="b" cm="1">
        <f t="array" ref="J993">INDEX(stable[is_localized],MATCH(VALUE(questions[[#This Row],[qno]]),VALUE(stable[qno]),0))</f>
        <v>1</v>
      </c>
      <c r="K993" s="33" t="b" cm="1">
        <f t="array" ref="K993">INDEX(stable[is_supply_chain_dependent],MATCH(VALUE(questions[[#This Row],[qno]]),VALUE(stable[qno]),0))</f>
        <v>0</v>
      </c>
      <c r="L993" s="33" t="b" cm="1">
        <f t="array" ref="L993">INDEX(stable[is_mandatory],MATCH(VALUE(questions[[#This Row],[qno]]),VALUE(stable[qno]),0))</f>
        <v>0</v>
      </c>
      <c r="M993" s="33" t="b" cm="1">
        <f t="array" ref="M993">INDEX(stable[is_automated],MATCH(VALUE(questions[[#This Row],[qno]]),VALUE(stable[qno]),0))</f>
        <v>0</v>
      </c>
      <c r="N993" s="33" t="b" cm="1">
        <f t="array" ref="N993">INDEX(stable[is_free_text],MATCH(VALUE(questions[[#This Row],[qno]]),VALUE(stable[qno]),0))</f>
        <v>0</v>
      </c>
      <c r="O993" s="33" t="b" cm="1">
        <f t="array" ref="O993">INDEX(stable[is_numerical],MATCH(VALUE(questions[[#This Row],[qno]]),VALUE(stable[qno]),0))</f>
        <v>1</v>
      </c>
      <c r="P993" s="33" t="b" cm="1">
        <f t="array" ref="P993">INDEX(stable[is_single_select],MATCH(VALUE(questions[[#This Row],[qno]]),VALUE(stable[qno]),0))</f>
        <v>0</v>
      </c>
      <c r="Q993" s="33" t="b" cm="1">
        <f t="array" ref="Q993">INDEX(stable[is_multi_select],MATCH(VALUE(questions[[#This Row],[qno]]),VALUE(stable[qno]),0))</f>
        <v>0</v>
      </c>
      <c r="R993" s="33" t="b" cm="1">
        <f t="array" ref="R993">INDEX(stable[is_skip_logic],MATCH(VALUE(questions[[#This Row],[qno]]),VALUE(stable[qno]),0))</f>
        <v>0</v>
      </c>
      <c r="S993" s="33" t="str">
        <f>_xlfn.TEXTJOIN(", ",TRUE,questions[[#This Row],[ans_opt_1]:[ans_opt_14]])</f>
        <v/>
      </c>
      <c r="T993" s="44"/>
      <c r="U993" s="44"/>
      <c r="V993" s="44"/>
      <c r="W993" s="44"/>
      <c r="X993" s="44"/>
      <c r="Y993" s="44"/>
      <c r="Z993" s="44"/>
      <c r="AA993" s="44"/>
      <c r="AB993" s="44"/>
      <c r="AC993" s="44"/>
      <c r="AD993" s="44"/>
      <c r="AE993" s="44"/>
      <c r="AF993" s="44"/>
      <c r="AG993" s="44"/>
      <c r="AH993" s="124" t="b">
        <f>INDEX(stable[q_standard],MATCH(questions[[#This Row],[qno]],stable[qno],0))</f>
        <v>0</v>
      </c>
      <c r="AI993" s="124" t="b">
        <f>INDEX(stable[q_living_income],MATCH(questions[[#This Row],[qno]],stable[qno],0))</f>
        <v>1</v>
      </c>
      <c r="AJ993" s="124" t="b">
        <f>INDEX(stable[q_carbon],MATCH(questions[[#This Row],[qno]],stable[qno],0))</f>
        <v>0</v>
      </c>
      <c r="AK993" s="124" t="b">
        <f>INDEX(stable[q_regen_ag],MATCH(questions[[#This Row],[qno]],stable[qno],0))</f>
        <v>0</v>
      </c>
      <c r="AL993" s="150"/>
      <c r="AM993" s="150"/>
      <c r="AN993" s="150"/>
      <c r="AO993" s="150"/>
      <c r="AP993" s="16" t="str">
        <f>LEFT(questions[[#This Row],[question]],similarity_range)</f>
        <v>What was the most co</v>
      </c>
      <c r="AQ993" s="16" t="str">
        <f>LEFT(INDEX(stable[question],MATCH(questions[[#This Row],[qno]],stable[qno],0)),similarity_range)</f>
        <v>What was the most co</v>
      </c>
      <c r="AR993" s="16" t="b">
        <f>questions[[#This Row],[question_first_characters]]=questions[[#This Row],[stability_first_characters]]</f>
        <v>1</v>
      </c>
      <c r="AS993" s="16" t="b">
        <f>IF(OR(questions[[#This Row],[is_single_select]],questions[[#This Row],[is_multi_select]]),NOT(ISBLANK(questions[[#This Row],[answer_opt_combined]])),TRUE)</f>
        <v>1</v>
      </c>
    </row>
    <row r="994" spans="1:45" ht="15.75" customHeight="1" x14ac:dyDescent="0.25">
      <c r="A994" s="33" t="str">
        <f>_xlfn.TEXTJOIN("_",TRUE,questions[[#This Row],[origin]:[qno]])</f>
        <v>Vietnam_Robusta_Nestle_Selecta_2025_4000</v>
      </c>
      <c r="B994" s="33" t="s">
        <v>673</v>
      </c>
      <c r="C994" s="33" t="s">
        <v>674</v>
      </c>
      <c r="D994" s="33" t="s">
        <v>904</v>
      </c>
      <c r="E994" s="33">
        <v>2025</v>
      </c>
      <c r="F994" s="41" t="s">
        <v>143</v>
      </c>
      <c r="G994" s="218" t="s">
        <v>144</v>
      </c>
      <c r="H994" s="33" t="str" cm="1">
        <f t="array" ref="H994">INDEX(stableR[question],MATCH(VALUE(questions[[#This Row],[qno]]),VALUE(stableR[qno]),0))</f>
        <v>About how many coffee trees do you have across all your coffee plots combined?</v>
      </c>
      <c r="I994" s="33" t="b" cm="1">
        <f t="array" ref="I994">INDEX(stable[is_fixed],MATCH(VALUE(questions[[#This Row],[qno]]),VALUE(stable[qno]),0))</f>
        <v>1</v>
      </c>
      <c r="J994" s="33" t="b" cm="1">
        <f t="array" ref="J994">INDEX(stable[is_localized],MATCH(VALUE(questions[[#This Row],[qno]]),VALUE(stable[qno]),0))</f>
        <v>0</v>
      </c>
      <c r="K994" s="33" t="b" cm="1">
        <f t="array" ref="K994">INDEX(stable[is_supply_chain_dependent],MATCH(VALUE(questions[[#This Row],[qno]]),VALUE(stable[qno]),0))</f>
        <v>0</v>
      </c>
      <c r="L994" s="33" t="b" cm="1">
        <f t="array" ref="L994">INDEX(stable[is_mandatory],MATCH(VALUE(questions[[#This Row],[qno]]),VALUE(stable[qno]),0))</f>
        <v>1</v>
      </c>
      <c r="M994" s="33" t="b" cm="1">
        <f t="array" ref="M994">INDEX(stable[is_automated],MATCH(VALUE(questions[[#This Row],[qno]]),VALUE(stable[qno]),0))</f>
        <v>0</v>
      </c>
      <c r="N994" s="33" t="b" cm="1">
        <f t="array" ref="N994">INDEX(stable[is_free_text],MATCH(VALUE(questions[[#This Row],[qno]]),VALUE(stable[qno]),0))</f>
        <v>0</v>
      </c>
      <c r="O994" s="33" t="b" cm="1">
        <f t="array" ref="O994">INDEX(stable[is_numerical],MATCH(VALUE(questions[[#This Row],[qno]]),VALUE(stable[qno]),0))</f>
        <v>1</v>
      </c>
      <c r="P994" s="33" t="b" cm="1">
        <f t="array" ref="P994">INDEX(stable[is_single_select],MATCH(VALUE(questions[[#This Row],[qno]]),VALUE(stable[qno]),0))</f>
        <v>0</v>
      </c>
      <c r="Q994" s="33" t="b" cm="1">
        <f t="array" ref="Q994">INDEX(stable[is_multi_select],MATCH(VALUE(questions[[#This Row],[qno]]),VALUE(stable[qno]),0))</f>
        <v>0</v>
      </c>
      <c r="R994" s="33" t="b" cm="1">
        <f t="array" ref="R994">INDEX(stable[is_skip_logic],MATCH(VALUE(questions[[#This Row],[qno]]),VALUE(stable[qno]),0))</f>
        <v>0</v>
      </c>
      <c r="S994" s="33" t="str">
        <f>_xlfn.TEXTJOIN(", ",TRUE,questions[[#This Row],[ans_opt_1]:[ans_opt_14]])</f>
        <v/>
      </c>
      <c r="T994" s="46"/>
      <c r="U994" s="46"/>
      <c r="V994" s="46"/>
      <c r="W994" s="46"/>
      <c r="X994" s="46"/>
      <c r="Y994" s="46"/>
      <c r="Z994" s="46"/>
      <c r="AA994" s="46"/>
      <c r="AB994" s="46"/>
      <c r="AC994" s="46"/>
      <c r="AD994" s="46"/>
      <c r="AE994" s="46"/>
      <c r="AF994" s="46"/>
      <c r="AG994" s="46"/>
      <c r="AH994" s="124" t="b">
        <f>INDEX(stable[q_standard],MATCH(questions[[#This Row],[qno]],stable[qno],0))</f>
        <v>0</v>
      </c>
      <c r="AI994" s="124" t="b">
        <f>INDEX(stable[q_living_income],MATCH(questions[[#This Row],[qno]],stable[qno],0))</f>
        <v>1</v>
      </c>
      <c r="AJ994" s="124" t="b">
        <f>INDEX(stable[q_carbon],MATCH(questions[[#This Row],[qno]],stable[qno],0))</f>
        <v>1</v>
      </c>
      <c r="AK994" s="124" t="b">
        <f>INDEX(stable[q_regen_ag],MATCH(questions[[#This Row],[qno]],stable[qno],0))</f>
        <v>1</v>
      </c>
      <c r="AL994" s="151"/>
      <c r="AM994" s="151"/>
      <c r="AN994" s="151"/>
      <c r="AO994" s="151"/>
      <c r="AP994" s="16" t="str">
        <f>LEFT(questions[[#This Row],[question]],similarity_range)</f>
        <v>Can you estimate how</v>
      </c>
      <c r="AQ994" s="16" t="str">
        <f>LEFT(INDEX(stable[question],MATCH(questions[[#This Row],[qno]],stable[qno],0)),similarity_range)</f>
        <v>Can you estimate how</v>
      </c>
      <c r="AR994" s="16" t="b">
        <f>questions[[#This Row],[question_first_characters]]=questions[[#This Row],[stability_first_characters]]</f>
        <v>1</v>
      </c>
      <c r="AS994" s="16" t="b">
        <f>IF(OR(questions[[#This Row],[is_single_select]],questions[[#This Row],[is_multi_select]]),NOT(ISBLANK(questions[[#This Row],[answer_opt_combined]])),TRUE)</f>
        <v>1</v>
      </c>
    </row>
    <row r="995" spans="1:45" ht="15.75" customHeight="1" x14ac:dyDescent="0.25">
      <c r="A995" s="33" t="str">
        <f>_xlfn.TEXTJOIN("_",TRUE,questions[[#This Row],[origin]:[qno]])</f>
        <v>Vietnam_Robusta_Nestle_Selecta_2025_4100</v>
      </c>
      <c r="B995" s="33" t="s">
        <v>673</v>
      </c>
      <c r="C995" s="33" t="s">
        <v>674</v>
      </c>
      <c r="D995" s="33" t="s">
        <v>904</v>
      </c>
      <c r="E995" s="33">
        <v>2025</v>
      </c>
      <c r="F995" s="41" t="s">
        <v>145</v>
      </c>
      <c r="G995" s="218" t="s">
        <v>146</v>
      </c>
      <c r="H995" s="33" t="str" cm="1">
        <f t="array" ref="H995">INDEX(stableR[question],MATCH(VALUE(questions[[#This Row],[qno]]),VALUE(stableR[qno]),0))</f>
        <v>In total, how many plots with coffee do you have?</v>
      </c>
      <c r="I995" s="33" t="b" cm="1">
        <f t="array" ref="I995">INDEX(stable[is_fixed],MATCH(VALUE(questions[[#This Row],[qno]]),VALUE(stable[qno]),0))</f>
        <v>1</v>
      </c>
      <c r="J995" s="33" t="b" cm="1">
        <f t="array" ref="J995">INDEX(stable[is_localized],MATCH(VALUE(questions[[#This Row],[qno]]),VALUE(stable[qno]),0))</f>
        <v>0</v>
      </c>
      <c r="K995" s="33" t="b" cm="1">
        <f t="array" ref="K995">INDEX(stable[is_supply_chain_dependent],MATCH(VALUE(questions[[#This Row],[qno]]),VALUE(stable[qno]),0))</f>
        <v>0</v>
      </c>
      <c r="L995" s="33" t="b" cm="1">
        <f t="array" ref="L995">INDEX(stable[is_mandatory],MATCH(VALUE(questions[[#This Row],[qno]]),VALUE(stable[qno]),0))</f>
        <v>1</v>
      </c>
      <c r="M995" s="33" t="b" cm="1">
        <f t="array" ref="M995">INDEX(stable[is_automated],MATCH(VALUE(questions[[#This Row],[qno]]),VALUE(stable[qno]),0))</f>
        <v>0</v>
      </c>
      <c r="N995" s="33" t="b" cm="1">
        <f t="array" ref="N995">INDEX(stable[is_free_text],MATCH(VALUE(questions[[#This Row],[qno]]),VALUE(stable[qno]),0))</f>
        <v>0</v>
      </c>
      <c r="O995" s="33" t="b" cm="1">
        <f t="array" ref="O995">INDEX(stable[is_numerical],MATCH(VALUE(questions[[#This Row],[qno]]),VALUE(stable[qno]),0))</f>
        <v>1</v>
      </c>
      <c r="P995" s="33" t="b" cm="1">
        <f t="array" ref="P995">INDEX(stable[is_single_select],MATCH(VALUE(questions[[#This Row],[qno]]),VALUE(stable[qno]),0))</f>
        <v>0</v>
      </c>
      <c r="Q995" s="33" t="b" cm="1">
        <f t="array" ref="Q995">INDEX(stable[is_multi_select],MATCH(VALUE(questions[[#This Row],[qno]]),VALUE(stable[qno]),0))</f>
        <v>0</v>
      </c>
      <c r="R995" s="33" t="b" cm="1">
        <f t="array" ref="R995">INDEX(stable[is_skip_logic],MATCH(VALUE(questions[[#This Row],[qno]]),VALUE(stable[qno]),0))</f>
        <v>0</v>
      </c>
      <c r="S995" s="33" t="str">
        <f>_xlfn.TEXTJOIN(", ",TRUE,questions[[#This Row],[ans_opt_1]:[ans_opt_14]])</f>
        <v/>
      </c>
      <c r="T995" s="44"/>
      <c r="U995" s="44"/>
      <c r="V995" s="44"/>
      <c r="W995" s="44"/>
      <c r="X995" s="44"/>
      <c r="Y995" s="44"/>
      <c r="Z995" s="44"/>
      <c r="AA995" s="44"/>
      <c r="AB995" s="44"/>
      <c r="AC995" s="44"/>
      <c r="AD995" s="33"/>
      <c r="AE995" s="33"/>
      <c r="AF995" s="33"/>
      <c r="AG995" s="33"/>
      <c r="AH995" s="99" t="b">
        <f>INDEX(stable[q_standard],MATCH(questions[[#This Row],[qno]],stable[qno],0))</f>
        <v>0</v>
      </c>
      <c r="AI995" s="99" t="b">
        <f>INDEX(stable[q_living_income],MATCH(questions[[#This Row],[qno]],stable[qno],0))</f>
        <v>1</v>
      </c>
      <c r="AJ995" s="99" t="b">
        <f>INDEX(stable[q_carbon],MATCH(questions[[#This Row],[qno]],stable[qno],0))</f>
        <v>1</v>
      </c>
      <c r="AK995" s="99" t="b">
        <f>INDEX(stable[q_regen_ag],MATCH(questions[[#This Row],[qno]],stable[qno],0))</f>
        <v>1</v>
      </c>
      <c r="AL995" s="152"/>
      <c r="AM995" s="152"/>
      <c r="AN995" s="152"/>
      <c r="AO995" s="152"/>
      <c r="AP995" s="16" t="str">
        <f>LEFT(questions[[#This Row],[question]],similarity_range)</f>
        <v>In total, how many p</v>
      </c>
      <c r="AQ995" s="16" t="str">
        <f>LEFT(INDEX(stable[question],MATCH(questions[[#This Row],[qno]],stable[qno],0)),similarity_range)</f>
        <v>In total, how many p</v>
      </c>
      <c r="AR995" s="16" t="b">
        <f>questions[[#This Row],[question_first_characters]]=questions[[#This Row],[stability_first_characters]]</f>
        <v>1</v>
      </c>
      <c r="AS995" s="16" t="b">
        <f>IF(OR(questions[[#This Row],[is_single_select]],questions[[#This Row],[is_multi_select]]),NOT(ISBLANK(questions[[#This Row],[answer_opt_combined]])),TRUE)</f>
        <v>1</v>
      </c>
    </row>
    <row r="996" spans="1:45" s="77" customFormat="1" ht="15.75" customHeight="1" x14ac:dyDescent="0.25">
      <c r="A996" s="77" t="str">
        <f>_xlfn.TEXTJOIN("_",TRUE,questions[[#This Row],[origin]:[qno]])</f>
        <v>Vietnam_Robusta_Nestle_Selecta_2025_4101</v>
      </c>
      <c r="B996" s="77" t="s">
        <v>673</v>
      </c>
      <c r="C996" s="77" t="s">
        <v>674</v>
      </c>
      <c r="D996" s="77" t="s">
        <v>904</v>
      </c>
      <c r="E996" s="77">
        <v>2025</v>
      </c>
      <c r="F996" s="105" t="s">
        <v>147</v>
      </c>
      <c r="G996" s="109" t="s">
        <v>148</v>
      </c>
      <c r="H996" s="33" t="str" cm="1">
        <f t="array" ref="H996">INDEX(stableR[question],MATCH(VALUE(questions[[#This Row],[qno]]),VALUE(stableR[qno]),0))</f>
        <v>Can we go to measure/polygon map (area audit) each of these plots?</v>
      </c>
      <c r="I996" s="33" t="b" cm="1">
        <f t="array" ref="I996">INDEX(stable[is_fixed],MATCH(VALUE(questions[[#This Row],[qno]]),VALUE(stable[qno]),0))</f>
        <v>1</v>
      </c>
      <c r="J996" s="33" t="b" cm="1">
        <f t="array" ref="J996">INDEX(stable[is_localized],MATCH(VALUE(questions[[#This Row],[qno]]),VALUE(stable[qno]),0))</f>
        <v>0</v>
      </c>
      <c r="K996" s="33" t="b" cm="1">
        <f t="array" ref="K996">INDEX(stable[is_supply_chain_dependent],MATCH(VALUE(questions[[#This Row],[qno]]),VALUE(stable[qno]),0))</f>
        <v>0</v>
      </c>
      <c r="L996" s="33" t="b" cm="1">
        <f t="array" ref="L996">INDEX(stable[is_mandatory],MATCH(VALUE(questions[[#This Row],[qno]]),VALUE(stable[qno]),0))</f>
        <v>1</v>
      </c>
      <c r="M996" s="33" t="b" cm="1">
        <f t="array" ref="M996">INDEX(stable[is_automated],MATCH(VALUE(questions[[#This Row],[qno]]),VALUE(stable[qno]),0))</f>
        <v>0</v>
      </c>
      <c r="N996" s="33" t="b" cm="1">
        <f t="array" ref="N996">INDEX(stable[is_free_text],MATCH(VALUE(questions[[#This Row],[qno]]),VALUE(stable[qno]),0))</f>
        <v>0</v>
      </c>
      <c r="O996" s="33" t="b" cm="1">
        <f t="array" ref="O996">INDEX(stable[is_numerical],MATCH(VALUE(questions[[#This Row],[qno]]),VALUE(stable[qno]),0))</f>
        <v>0</v>
      </c>
      <c r="P996" s="77" t="b" cm="1">
        <f t="array" ref="P996">INDEX(stable[is_single_select],MATCH(VALUE(questions[[#This Row],[qno]]),VALUE(stable[qno]),0))</f>
        <v>1</v>
      </c>
      <c r="Q996" s="77" t="b" cm="1">
        <f t="array" ref="Q996">INDEX(stable[is_multi_select],MATCH(VALUE(questions[[#This Row],[qno]]),VALUE(stable[qno]),0))</f>
        <v>0</v>
      </c>
      <c r="R996" s="77" t="b" cm="1">
        <f t="array" ref="R996">INDEX(stable[is_skip_logic],MATCH(VALUE(questions[[#This Row],[qno]]),VALUE(stable[qno]),0))</f>
        <v>1</v>
      </c>
      <c r="S996" s="77" t="str">
        <f>_xlfn.TEXTJOIN(", ",TRUE,questions[[#This Row],[ans_opt_1]:[ans_opt_14]])</f>
        <v>Yes, No</v>
      </c>
      <c r="T996" s="91" t="s">
        <v>149</v>
      </c>
      <c r="U996" s="91" t="s">
        <v>119</v>
      </c>
      <c r="V996" s="91"/>
      <c r="W996" s="91"/>
      <c r="X996" s="91"/>
      <c r="Y996" s="91"/>
      <c r="Z996" s="91"/>
      <c r="AA996" s="91"/>
      <c r="AB996" s="91"/>
      <c r="AC996" s="91"/>
      <c r="AH996" s="98" t="b">
        <f>INDEX(stable[q_standard],MATCH(questions[[#This Row],[qno]],stable[qno],0))</f>
        <v>0</v>
      </c>
      <c r="AI996" s="98" t="b">
        <f>INDEX(stable[q_living_income],MATCH(questions[[#This Row],[qno]],stable[qno],0))</f>
        <v>1</v>
      </c>
      <c r="AJ996" s="98" t="b">
        <f>INDEX(stable[q_carbon],MATCH(questions[[#This Row],[qno]],stable[qno],0))</f>
        <v>1</v>
      </c>
      <c r="AK996" s="98" t="b">
        <f>INDEX(stable[q_regen_ag],MATCH(questions[[#This Row],[qno]],stable[qno],0))</f>
        <v>1</v>
      </c>
      <c r="AL996" s="153"/>
      <c r="AM996" s="153"/>
      <c r="AN996" s="153"/>
      <c r="AO996" s="153"/>
      <c r="AP996" s="98" t="str">
        <f>LEFT(questions[[#This Row],[question]],similarity_range)</f>
        <v>Can we go to measure</v>
      </c>
      <c r="AQ996" s="98" t="str">
        <f>LEFT(INDEX(stable[question],MATCH(questions[[#This Row],[qno]],stable[qno],0)),similarity_range)</f>
        <v>Can we go to measure</v>
      </c>
      <c r="AR996" s="98" t="b">
        <f>questions[[#This Row],[question_first_characters]]=questions[[#This Row],[stability_first_characters]]</f>
        <v>1</v>
      </c>
      <c r="AS996" s="98" t="b">
        <f>IF(OR(questions[[#This Row],[is_single_select]],questions[[#This Row],[is_multi_select]]),NOT(ISBLANK(questions[[#This Row],[answer_opt_combined]])),TRUE)</f>
        <v>1</v>
      </c>
    </row>
    <row r="997" spans="1:45" s="77" customFormat="1" ht="15.75" customHeight="1" x14ac:dyDescent="0.25">
      <c r="A997" s="77" t="str">
        <f>_xlfn.TEXTJOIN("_",TRUE,questions[[#This Row],[origin]:[qno]])</f>
        <v>Vietnam_Robusta_Nestle_Selecta_2025_4102</v>
      </c>
      <c r="B997" s="77" t="s">
        <v>673</v>
      </c>
      <c r="C997" s="77" t="s">
        <v>674</v>
      </c>
      <c r="D997" s="77" t="s">
        <v>904</v>
      </c>
      <c r="E997" s="77">
        <v>2025</v>
      </c>
      <c r="F997" s="105" t="s">
        <v>150</v>
      </c>
      <c r="G997" s="109" t="s">
        <v>151</v>
      </c>
      <c r="H997" s="33" t="str" cm="1">
        <f t="array" ref="H997">INDEX(stableR[question],MATCH(VALUE(questions[[#This Row],[qno]]),VALUE(stableR[qno]),0))</f>
        <v>If No, what is the reason why we cannot visit this/these plot (s) to measure/polygon map it/them?</v>
      </c>
      <c r="I997" s="33" t="b" cm="1">
        <f t="array" ref="I997">INDEX(stable[is_fixed],MATCH(VALUE(questions[[#This Row],[qno]]),VALUE(stable[qno]),0))</f>
        <v>1</v>
      </c>
      <c r="J997" s="33" t="b" cm="1">
        <f t="array" ref="J997">INDEX(stable[is_localized],MATCH(VALUE(questions[[#This Row],[qno]]),VALUE(stable[qno]),0))</f>
        <v>0</v>
      </c>
      <c r="K997" s="33" t="b" cm="1">
        <f t="array" ref="K997">INDEX(stable[is_supply_chain_dependent],MATCH(VALUE(questions[[#This Row],[qno]]),VALUE(stable[qno]),0))</f>
        <v>0</v>
      </c>
      <c r="L997" s="33" t="b" cm="1">
        <f t="array" ref="L997">INDEX(stable[is_mandatory],MATCH(VALUE(questions[[#This Row],[qno]]),VALUE(stable[qno]),0))</f>
        <v>0</v>
      </c>
      <c r="M997" s="33" t="b" cm="1">
        <f t="array" ref="M997">INDEX(stable[is_automated],MATCH(VALUE(questions[[#This Row],[qno]]),VALUE(stable[qno]),0))</f>
        <v>0</v>
      </c>
      <c r="N997" s="33" t="b" cm="1">
        <f t="array" ref="N997">INDEX(stable[is_free_text],MATCH(VALUE(questions[[#This Row],[qno]]),VALUE(stable[qno]),0))</f>
        <v>0</v>
      </c>
      <c r="O997" s="33" t="b" cm="1">
        <f t="array" ref="O997">INDEX(stable[is_numerical],MATCH(VALUE(questions[[#This Row],[qno]]),VALUE(stable[qno]),0))</f>
        <v>0</v>
      </c>
      <c r="P997" s="77" t="b" cm="1">
        <f t="array" ref="P997">INDEX(stable[is_single_select],MATCH(VALUE(questions[[#This Row],[qno]]),VALUE(stable[qno]),0))</f>
        <v>1</v>
      </c>
      <c r="Q997" s="77" t="b" cm="1">
        <f t="array" ref="Q997">INDEX(stable[is_multi_select],MATCH(VALUE(questions[[#This Row],[qno]]),VALUE(stable[qno]),0))</f>
        <v>0</v>
      </c>
      <c r="R997" s="77" t="b" cm="1">
        <f t="array" ref="R997">INDEX(stable[is_skip_logic],MATCH(VALUE(questions[[#This Row],[qno]]),VALUE(stable[qno]),0))</f>
        <v>1</v>
      </c>
      <c r="S997" s="77" t="str">
        <f>_xlfn.TEXTJOIN(", ",TRUE,questions[[#This Row],[ans_opt_1]:[ans_opt_14]])</f>
        <v>Too far, Farmer not willing, Other reason</v>
      </c>
      <c r="T997" s="91" t="s">
        <v>152</v>
      </c>
      <c r="U997" s="91" t="s">
        <v>153</v>
      </c>
      <c r="V997" s="91" t="s">
        <v>154</v>
      </c>
      <c r="W997" s="91"/>
      <c r="X997" s="91"/>
      <c r="Y997" s="91"/>
      <c r="Z997" s="91"/>
      <c r="AA997" s="91"/>
      <c r="AB997" s="91"/>
      <c r="AC997" s="91"/>
      <c r="AH997" s="98" t="b">
        <f>INDEX(stable[q_standard],MATCH(questions[[#This Row],[qno]],stable[qno],0))</f>
        <v>0</v>
      </c>
      <c r="AI997" s="98" t="b">
        <f>INDEX(stable[q_living_income],MATCH(questions[[#This Row],[qno]],stable[qno],0))</f>
        <v>1</v>
      </c>
      <c r="AJ997" s="98" t="b">
        <f>INDEX(stable[q_carbon],MATCH(questions[[#This Row],[qno]],stable[qno],0))</f>
        <v>1</v>
      </c>
      <c r="AK997" s="98" t="b">
        <f>INDEX(stable[q_regen_ag],MATCH(questions[[#This Row],[qno]],stable[qno],0))</f>
        <v>1</v>
      </c>
      <c r="AL997" s="153"/>
      <c r="AM997" s="153"/>
      <c r="AN997" s="153"/>
      <c r="AO997" s="153"/>
      <c r="AP997" s="98" t="str">
        <f>LEFT(questions[[#This Row],[question]],similarity_range)</f>
        <v>If no, what is the r</v>
      </c>
      <c r="AQ997" s="98" t="str">
        <f>LEFT(INDEX(stable[question],MATCH(questions[[#This Row],[qno]],stable[qno],0)),similarity_range)</f>
        <v>If no, what is the r</v>
      </c>
      <c r="AR997" s="98" t="b">
        <f>questions[[#This Row],[question_first_characters]]=questions[[#This Row],[stability_first_characters]]</f>
        <v>1</v>
      </c>
      <c r="AS997" s="98" t="b">
        <f>IF(OR(questions[[#This Row],[is_single_select]],questions[[#This Row],[is_multi_select]]),NOT(ISBLANK(questions[[#This Row],[answer_opt_combined]])),TRUE)</f>
        <v>1</v>
      </c>
    </row>
    <row r="998" spans="1:45" ht="15.75" customHeight="1" x14ac:dyDescent="0.25">
      <c r="A998" s="33" t="str">
        <f>_xlfn.TEXTJOIN("_",TRUE,questions[[#This Row],[origin]:[qno]])</f>
        <v>Vietnam_Robusta_Nestle_Selecta_2025_4103</v>
      </c>
      <c r="B998" s="33" t="s">
        <v>673</v>
      </c>
      <c r="C998" s="33" t="s">
        <v>674</v>
      </c>
      <c r="D998" s="33" t="s">
        <v>904</v>
      </c>
      <c r="E998" s="33">
        <v>2025</v>
      </c>
      <c r="F998" s="41" t="s">
        <v>155</v>
      </c>
      <c r="G998" s="218" t="s">
        <v>912</v>
      </c>
      <c r="H998" s="33" t="str" cm="1">
        <f t="array" ref="H998">INDEX(stableR[question],MATCH(VALUE(questions[[#This Row],[qno]]),VALUE(stableR[qno]),0))</f>
        <v>Of your total coffee plots, how many cannot be visited during the survey?</v>
      </c>
      <c r="I998" s="33" t="b" cm="1">
        <f t="array" ref="I998">INDEX(stable[is_fixed],MATCH(VALUE(questions[[#This Row],[qno]]),VALUE(stable[qno]),0))</f>
        <v>1</v>
      </c>
      <c r="J998" s="33" t="b" cm="1">
        <f t="array" ref="J998">INDEX(stable[is_localized],MATCH(VALUE(questions[[#This Row],[qno]]),VALUE(stable[qno]),0))</f>
        <v>0</v>
      </c>
      <c r="K998" s="33" t="b" cm="1">
        <f t="array" ref="K998">INDEX(stable[is_supply_chain_dependent],MATCH(VALUE(questions[[#This Row],[qno]]),VALUE(stable[qno]),0))</f>
        <v>0</v>
      </c>
      <c r="L998" s="33" t="b" cm="1">
        <f t="array" ref="L998">INDEX(stable[is_mandatory],MATCH(VALUE(questions[[#This Row],[qno]]),VALUE(stable[qno]),0))</f>
        <v>0</v>
      </c>
      <c r="M998" s="33" t="b" cm="1">
        <f t="array" ref="M998">INDEX(stable[is_automated],MATCH(VALUE(questions[[#This Row],[qno]]),VALUE(stable[qno]),0))</f>
        <v>0</v>
      </c>
      <c r="N998" s="33" t="b" cm="1">
        <f t="array" ref="N998">INDEX(stable[is_free_text],MATCH(VALUE(questions[[#This Row],[qno]]),VALUE(stable[qno]),0))</f>
        <v>0</v>
      </c>
      <c r="O998" s="33" t="b" cm="1">
        <f t="array" ref="O998">INDEX(stable[is_numerical],MATCH(VALUE(questions[[#This Row],[qno]]),VALUE(stable[qno]),0))</f>
        <v>1</v>
      </c>
      <c r="P998" s="33" t="b" cm="1">
        <f t="array" ref="P998">INDEX(stable[is_single_select],MATCH(VALUE(questions[[#This Row],[qno]]),VALUE(stable[qno]),0))</f>
        <v>0</v>
      </c>
      <c r="Q998" s="33" t="b" cm="1">
        <f t="array" ref="Q998">INDEX(stable[is_multi_select],MATCH(VALUE(questions[[#This Row],[qno]]),VALUE(stable[qno]),0))</f>
        <v>0</v>
      </c>
      <c r="R998" s="33" t="b" cm="1">
        <f t="array" ref="R998">INDEX(stable[is_skip_logic],MATCH(VALUE(questions[[#This Row],[qno]]),VALUE(stable[qno]),0))</f>
        <v>0</v>
      </c>
      <c r="S998" s="33" t="str">
        <f>_xlfn.TEXTJOIN(", ",TRUE,questions[[#This Row],[ans_opt_1]:[ans_opt_14]])</f>
        <v/>
      </c>
      <c r="T998" s="44"/>
      <c r="U998" s="44"/>
      <c r="V998" s="44"/>
      <c r="W998" s="44"/>
      <c r="X998" s="44"/>
      <c r="Y998" s="44"/>
      <c r="Z998" s="44"/>
      <c r="AA998" s="44"/>
      <c r="AB998" s="44"/>
      <c r="AC998" s="44"/>
      <c r="AD998" s="33"/>
      <c r="AE998" s="33"/>
      <c r="AF998" s="33"/>
      <c r="AG998" s="33"/>
      <c r="AH998" s="99" t="b">
        <f>INDEX(stable[q_standard],MATCH(questions[[#This Row],[qno]],stable[qno],0))</f>
        <v>0</v>
      </c>
      <c r="AI998" s="99" t="b">
        <f>INDEX(stable[q_living_income],MATCH(questions[[#This Row],[qno]],stable[qno],0))</f>
        <v>1</v>
      </c>
      <c r="AJ998" s="99" t="b">
        <f>INDEX(stable[q_carbon],MATCH(questions[[#This Row],[qno]],stable[qno],0))</f>
        <v>1</v>
      </c>
      <c r="AK998" s="99" t="b">
        <f>INDEX(stable[q_regen_ag],MATCH(questions[[#This Row],[qno]],stable[qno],0))</f>
        <v>1</v>
      </c>
      <c r="AL998" s="152"/>
      <c r="AM998" s="152"/>
      <c r="AN998" s="152"/>
      <c r="AO998" s="152"/>
      <c r="AP998" s="16" t="str">
        <f>LEFT(questions[[#This Row],[question]],similarity_range)</f>
        <v>If no, how many coff</v>
      </c>
      <c r="AQ998" s="16" t="str">
        <f>LEFT(INDEX(stable[question],MATCH(questions[[#This Row],[qno]],stable[qno],0)),similarity_range)</f>
        <v>How many coffee plot</v>
      </c>
      <c r="AR998" s="16" t="b">
        <f>questions[[#This Row],[question_first_characters]]=questions[[#This Row],[stability_first_characters]]</f>
        <v>0</v>
      </c>
      <c r="AS998" s="16" t="b">
        <f>IF(OR(questions[[#This Row],[is_single_select]],questions[[#This Row],[is_multi_select]]),NOT(ISBLANK(questions[[#This Row],[answer_opt_combined]])),TRUE)</f>
        <v>1</v>
      </c>
    </row>
    <row r="999" spans="1:45" ht="15.75" customHeight="1" x14ac:dyDescent="0.25">
      <c r="A999" s="33" t="str">
        <f>_xlfn.TEXTJOIN("_",TRUE,questions[[#This Row],[origin]:[qno]])</f>
        <v>Vietnam_Robusta_Nestle_Selecta_2025_4105</v>
      </c>
      <c r="B999" s="33" t="s">
        <v>673</v>
      </c>
      <c r="C999" s="33" t="s">
        <v>674</v>
      </c>
      <c r="D999" s="33" t="s">
        <v>904</v>
      </c>
      <c r="E999" s="33">
        <v>2025</v>
      </c>
      <c r="F999" s="41">
        <v>4105</v>
      </c>
      <c r="G999" s="218" t="s">
        <v>913</v>
      </c>
      <c r="H999" s="33" t="str" cm="1">
        <f t="array" ref="H999">INDEX(stableR[question],MATCH(VALUE(questions[[#This Row],[qno]]),VALUE(stableR[qno]),0))</f>
        <v>Of the coffee plots that cannot be visited, what is the total area of these plots? (in hectares)</v>
      </c>
      <c r="I999" s="33" t="b" cm="1">
        <f t="array" ref="I999">INDEX(stable[is_fixed],MATCH(VALUE(questions[[#This Row],[qno]]),VALUE(stable[qno]),0))</f>
        <v>1</v>
      </c>
      <c r="J999" s="33" t="b" cm="1">
        <f t="array" ref="J999">INDEX(stable[is_localized],MATCH(VALUE(questions[[#This Row],[qno]]),VALUE(stable[qno]),0))</f>
        <v>0</v>
      </c>
      <c r="K999" s="33" t="b" cm="1">
        <f t="array" ref="K999">INDEX(stable[is_supply_chain_dependent],MATCH(VALUE(questions[[#This Row],[qno]]),VALUE(stable[qno]),0))</f>
        <v>0</v>
      </c>
      <c r="L999" s="33" t="b" cm="1">
        <f t="array" ref="L999">INDEX(stable[is_mandatory],MATCH(VALUE(questions[[#This Row],[qno]]),VALUE(stable[qno]),0))</f>
        <v>0</v>
      </c>
      <c r="M999" s="33" t="b" cm="1">
        <f t="array" ref="M999">INDEX(stable[is_automated],MATCH(VALUE(questions[[#This Row],[qno]]),VALUE(stable[qno]),0))</f>
        <v>0</v>
      </c>
      <c r="N999" s="33" t="b" cm="1">
        <f t="array" ref="N999">INDEX(stable[is_free_text],MATCH(VALUE(questions[[#This Row],[qno]]),VALUE(stable[qno]),0))</f>
        <v>0</v>
      </c>
      <c r="O999" s="33" t="b" cm="1">
        <f t="array" ref="O999">INDEX(stable[is_numerical],MATCH(VALUE(questions[[#This Row],[qno]]),VALUE(stable[qno]),0))</f>
        <v>1</v>
      </c>
      <c r="P999" s="33" t="b" cm="1">
        <f t="array" ref="P999">INDEX(stable[is_single_select],MATCH(VALUE(questions[[#This Row],[qno]]),VALUE(stable[qno]),0))</f>
        <v>0</v>
      </c>
      <c r="Q999" s="33" t="b" cm="1">
        <f t="array" ref="Q999">INDEX(stable[is_multi_select],MATCH(VALUE(questions[[#This Row],[qno]]),VALUE(stable[qno]),0))</f>
        <v>0</v>
      </c>
      <c r="R999" s="33" t="b" cm="1">
        <f t="array" ref="R999">INDEX(stable[is_skip_logic],MATCH(VALUE(questions[[#This Row],[qno]]),VALUE(stable[qno]),0))</f>
        <v>0</v>
      </c>
      <c r="S999" s="33" t="str">
        <f>_xlfn.TEXTJOIN(", ",TRUE,questions[[#This Row],[ans_opt_1]:[ans_opt_14]])</f>
        <v/>
      </c>
      <c r="T999" s="44"/>
      <c r="U999" s="44"/>
      <c r="V999" s="44"/>
      <c r="W999" s="44"/>
      <c r="X999" s="44"/>
      <c r="Y999" s="44"/>
      <c r="Z999" s="44"/>
      <c r="AA999" s="44"/>
      <c r="AB999" s="44"/>
      <c r="AC999" s="44"/>
      <c r="AD999" s="33"/>
      <c r="AE999" s="33"/>
      <c r="AF999" s="33"/>
      <c r="AG999" s="33"/>
      <c r="AH999" s="99" t="e">
        <f>INDEX(stable[q_standard],MATCH(questions[[#This Row],[qno]],stable[qno],0))</f>
        <v>#N/A</v>
      </c>
      <c r="AI999" s="99" t="e">
        <f>INDEX(stable[q_living_income],MATCH(questions[[#This Row],[qno]],stable[qno],0))</f>
        <v>#N/A</v>
      </c>
      <c r="AJ999" s="99" t="e">
        <f>INDEX(stable[q_carbon],MATCH(questions[[#This Row],[qno]],stable[qno],0))</f>
        <v>#N/A</v>
      </c>
      <c r="AK999" s="99" t="e">
        <f>INDEX(stable[q_regen_ag],MATCH(questions[[#This Row],[qno]],stable[qno],0))</f>
        <v>#N/A</v>
      </c>
      <c r="AL999" s="152"/>
      <c r="AM999" s="152"/>
      <c r="AN999" s="152"/>
      <c r="AO999" s="152"/>
      <c r="AP999" s="16" t="str">
        <f>LEFT(questions[[#This Row],[question]],similarity_range)</f>
        <v>If no, what is the t</v>
      </c>
      <c r="AQ999" s="16" t="e">
        <f>LEFT(INDEX(stable[question],MATCH(questions[[#This Row],[qno]],stable[qno],0)),similarity_range)</f>
        <v>#N/A</v>
      </c>
      <c r="AR999" s="16" t="e">
        <f>questions[[#This Row],[question_first_characters]]=questions[[#This Row],[stability_first_characters]]</f>
        <v>#N/A</v>
      </c>
      <c r="AS999" s="16" t="b">
        <f>IF(OR(questions[[#This Row],[is_single_select]],questions[[#This Row],[is_multi_select]]),NOT(ISBLANK(questions[[#This Row],[answer_opt_combined]])),TRUE)</f>
        <v>1</v>
      </c>
    </row>
    <row r="1000" spans="1:45" s="77" customFormat="1" ht="15.75" customHeight="1" x14ac:dyDescent="0.25">
      <c r="A1000" s="77" t="str">
        <f>_xlfn.TEXTJOIN("_",TRUE,questions[[#This Row],[origin]:[qno]])</f>
        <v>Vietnam_Robusta_Nestle_Selecta_2025_5000</v>
      </c>
      <c r="B1000" s="77" t="s">
        <v>673</v>
      </c>
      <c r="C1000" s="77" t="s">
        <v>674</v>
      </c>
      <c r="D1000" s="77" t="s">
        <v>904</v>
      </c>
      <c r="E1000" s="77">
        <v>2025</v>
      </c>
      <c r="F1000" s="105" t="s">
        <v>159</v>
      </c>
      <c r="G1000" s="109" t="s">
        <v>884</v>
      </c>
      <c r="H1000" s="33" t="str" cm="1">
        <f t="array" ref="H1000">INDEX(stableR[question],MATCH(VALUE(questions[[#This Row],[qno]]),VALUE(stableR[qno]),0))</f>
        <v>Did you use synthetic fertilizers for your coffee last year?</v>
      </c>
      <c r="I1000" s="33" t="b" cm="1">
        <f t="array" ref="I1000">INDEX(stable[is_fixed],MATCH(VALUE(questions[[#This Row],[qno]]),VALUE(stable[qno]),0))</f>
        <v>1</v>
      </c>
      <c r="J1000" s="33" t="b" cm="1">
        <f t="array" ref="J1000">INDEX(stable[is_localized],MATCH(VALUE(questions[[#This Row],[qno]]),VALUE(stable[qno]),0))</f>
        <v>0</v>
      </c>
      <c r="K1000" s="33" t="b" cm="1">
        <f t="array" ref="K1000">INDEX(stable[is_supply_chain_dependent],MATCH(VALUE(questions[[#This Row],[qno]]),VALUE(stable[qno]),0))</f>
        <v>0</v>
      </c>
      <c r="L1000" s="33" t="b" cm="1">
        <f t="array" ref="L1000">INDEX(stable[is_mandatory],MATCH(VALUE(questions[[#This Row],[qno]]),VALUE(stable[qno]),0))</f>
        <v>1</v>
      </c>
      <c r="M1000" s="33" t="b" cm="1">
        <f t="array" ref="M1000">INDEX(stable[is_automated],MATCH(VALUE(questions[[#This Row],[qno]]),VALUE(stable[qno]),0))</f>
        <v>0</v>
      </c>
      <c r="N1000" s="33" t="b" cm="1">
        <f t="array" ref="N1000">INDEX(stable[is_free_text],MATCH(VALUE(questions[[#This Row],[qno]]),VALUE(stable[qno]),0))</f>
        <v>0</v>
      </c>
      <c r="O1000" s="33" t="b" cm="1">
        <f t="array" ref="O1000">INDEX(stable[is_numerical],MATCH(VALUE(questions[[#This Row],[qno]]),VALUE(stable[qno]),0))</f>
        <v>0</v>
      </c>
      <c r="P1000" s="77" t="b" cm="1">
        <f t="array" ref="P1000">INDEX(stable[is_single_select],MATCH(VALUE(questions[[#This Row],[qno]]),VALUE(stable[qno]),0))</f>
        <v>1</v>
      </c>
      <c r="Q1000" s="77" t="b" cm="1">
        <f t="array" ref="Q1000">INDEX(stable[is_multi_select],MATCH(VALUE(questions[[#This Row],[qno]]),VALUE(stable[qno]),0))</f>
        <v>0</v>
      </c>
      <c r="R1000" s="77" t="b" cm="1">
        <f t="array" ref="R1000">INDEX(stable[is_skip_logic],MATCH(VALUE(questions[[#This Row],[qno]]),VALUE(stable[qno]),0))</f>
        <v>1</v>
      </c>
      <c r="S1000" s="77" t="str">
        <f>_xlfn.TEXTJOIN(", ",TRUE,questions[[#This Row],[ans_opt_1]:[ans_opt_14]])</f>
        <v>Yes, No</v>
      </c>
      <c r="T1000" s="113" t="s">
        <v>149</v>
      </c>
      <c r="U1000" s="91" t="s">
        <v>119</v>
      </c>
      <c r="V1000" s="91"/>
      <c r="W1000" s="91"/>
      <c r="X1000" s="91"/>
      <c r="Y1000" s="91"/>
      <c r="Z1000" s="91"/>
      <c r="AA1000" s="91"/>
      <c r="AB1000" s="91"/>
      <c r="AC1000" s="91"/>
      <c r="AD1000" s="91"/>
      <c r="AE1000" s="91"/>
      <c r="AF1000" s="91"/>
      <c r="AG1000" s="91"/>
      <c r="AH1000" s="126" t="b">
        <f>INDEX(stable[q_standard],MATCH(questions[[#This Row],[qno]],stable[qno],0))</f>
        <v>0</v>
      </c>
      <c r="AI1000" s="126" t="b">
        <f>INDEX(stable[q_living_income],MATCH(questions[[#This Row],[qno]],stable[qno],0))</f>
        <v>1</v>
      </c>
      <c r="AJ1000" s="126" t="b">
        <f>INDEX(stable[q_carbon],MATCH(questions[[#This Row],[qno]],stable[qno],0))</f>
        <v>1</v>
      </c>
      <c r="AK1000" s="126" t="b">
        <f>INDEX(stable[q_regen_ag],MATCH(questions[[#This Row],[qno]],stable[qno],0))</f>
        <v>0</v>
      </c>
      <c r="AL1000" s="154"/>
      <c r="AM1000" s="154"/>
      <c r="AN1000" s="154"/>
      <c r="AO1000" s="154"/>
      <c r="AP1000" s="98" t="str">
        <f>LEFT(questions[[#This Row],[question]],similarity_range)</f>
        <v>Did you use syntheti</v>
      </c>
      <c r="AQ1000" s="98" t="str">
        <f>LEFT(INDEX(stable[question],MATCH(questions[[#This Row],[qno]],stable[qno],0)),similarity_range)</f>
        <v>Did you use syntheti</v>
      </c>
      <c r="AR1000" s="98" t="b">
        <f>questions[[#This Row],[question_first_characters]]=questions[[#This Row],[stability_first_characters]]</f>
        <v>1</v>
      </c>
      <c r="AS1000" s="98" t="b">
        <f>IF(OR(questions[[#This Row],[is_single_select]],questions[[#This Row],[is_multi_select]]),NOT(ISBLANK(questions[[#This Row],[answer_opt_combined]])),TRUE)</f>
        <v>1</v>
      </c>
    </row>
    <row r="1001" spans="1:45" ht="15.75" customHeight="1" x14ac:dyDescent="0.25">
      <c r="A1001" s="33" t="str">
        <f>_xlfn.TEXTJOIN("_",TRUE,questions[[#This Row],[origin]:[qno]])</f>
        <v>Vietnam_Robusta_Nestle_Selecta_2025_5001</v>
      </c>
      <c r="B1001" s="33" t="s">
        <v>673</v>
      </c>
      <c r="C1001" s="33" t="s">
        <v>674</v>
      </c>
      <c r="D1001" s="33" t="s">
        <v>904</v>
      </c>
      <c r="E1001" s="33">
        <v>2025</v>
      </c>
      <c r="F1001" s="41" t="s">
        <v>161</v>
      </c>
      <c r="G1001" s="218" t="s">
        <v>162</v>
      </c>
      <c r="H1001" s="33" t="str" cm="1">
        <f t="array" ref="H1001">INDEX(stableR[question],MATCH(VALUE(questions[[#This Row],[qno]]),VALUE(stableR[qno]),0))</f>
        <v>If yes, how many types of synthetic fertilizer did you use last year?</v>
      </c>
      <c r="I1001" s="33" t="b" cm="1">
        <f t="array" ref="I1001">INDEX(stable[is_fixed],MATCH(VALUE(questions[[#This Row],[qno]]),VALUE(stable[qno]),0))</f>
        <v>1</v>
      </c>
      <c r="J1001" s="33" t="b" cm="1">
        <f t="array" ref="J1001">INDEX(stable[is_localized],MATCH(VALUE(questions[[#This Row],[qno]]),VALUE(stable[qno]),0))</f>
        <v>0</v>
      </c>
      <c r="K1001" s="33" t="b" cm="1">
        <f t="array" ref="K1001">INDEX(stable[is_supply_chain_dependent],MATCH(VALUE(questions[[#This Row],[qno]]),VALUE(stable[qno]),0))</f>
        <v>0</v>
      </c>
      <c r="L1001" s="33" t="b" cm="1">
        <f t="array" ref="L1001">INDEX(stable[is_mandatory],MATCH(VALUE(questions[[#This Row],[qno]]),VALUE(stable[qno]),0))</f>
        <v>0</v>
      </c>
      <c r="M1001" s="33" t="b" cm="1">
        <f t="array" ref="M1001">INDEX(stable[is_automated],MATCH(VALUE(questions[[#This Row],[qno]]),VALUE(stable[qno]),0))</f>
        <v>0</v>
      </c>
      <c r="N1001" s="33" t="b" cm="1">
        <f t="array" ref="N1001">INDEX(stable[is_free_text],MATCH(VALUE(questions[[#This Row],[qno]]),VALUE(stable[qno]),0))</f>
        <v>0</v>
      </c>
      <c r="O1001" s="33" t="b" cm="1">
        <f t="array" ref="O1001">INDEX(stable[is_numerical],MATCH(VALUE(questions[[#This Row],[qno]]),VALUE(stable[qno]),0))</f>
        <v>1</v>
      </c>
      <c r="P1001" s="33" t="b" cm="1">
        <f t="array" ref="P1001">INDEX(stable[is_single_select],MATCH(VALUE(questions[[#This Row],[qno]]),VALUE(stable[qno]),0))</f>
        <v>0</v>
      </c>
      <c r="Q1001" s="33" t="b" cm="1">
        <f t="array" ref="Q1001">INDEX(stable[is_multi_select],MATCH(VALUE(questions[[#This Row],[qno]]),VALUE(stable[qno]),0))</f>
        <v>0</v>
      </c>
      <c r="R1001" s="33" t="b" cm="1">
        <f t="array" ref="R1001">INDEX(stable[is_skip_logic],MATCH(VALUE(questions[[#This Row],[qno]]),VALUE(stable[qno]),0))</f>
        <v>1</v>
      </c>
      <c r="S1001" s="33" t="str">
        <f>_xlfn.TEXTJOIN(", ",TRUE,questions[[#This Row],[ans_opt_1]:[ans_opt_14]])</f>
        <v/>
      </c>
      <c r="T1001" s="44"/>
      <c r="U1001" s="44"/>
      <c r="V1001" s="44"/>
      <c r="W1001" s="44"/>
      <c r="X1001" s="44"/>
      <c r="Y1001" s="44"/>
      <c r="Z1001" s="44"/>
      <c r="AA1001" s="44"/>
      <c r="AB1001" s="44"/>
      <c r="AC1001" s="44"/>
      <c r="AD1001" s="44"/>
      <c r="AE1001" s="44"/>
      <c r="AF1001" s="44"/>
      <c r="AG1001" s="44"/>
      <c r="AH1001" s="124" t="b">
        <f>INDEX(stable[q_standard],MATCH(questions[[#This Row],[qno]],stable[qno],0))</f>
        <v>0</v>
      </c>
      <c r="AI1001" s="124" t="b">
        <f>INDEX(stable[q_living_income],MATCH(questions[[#This Row],[qno]],stable[qno],0))</f>
        <v>1</v>
      </c>
      <c r="AJ1001" s="124" t="b">
        <f>INDEX(stable[q_carbon],MATCH(questions[[#This Row],[qno]],stable[qno],0))</f>
        <v>1</v>
      </c>
      <c r="AK1001" s="124" t="b">
        <f>INDEX(stable[q_regen_ag],MATCH(questions[[#This Row],[qno]],stable[qno],0))</f>
        <v>0</v>
      </c>
      <c r="AL1001" s="155"/>
      <c r="AM1001" s="155"/>
      <c r="AN1001" s="155"/>
      <c r="AO1001" s="155"/>
      <c r="AP1001" s="16" t="str">
        <f>LEFT(questions[[#This Row],[question]],similarity_range)</f>
        <v>If yes, how many typ</v>
      </c>
      <c r="AQ1001" s="16" t="str">
        <f>LEFT(INDEX(stable[question],MATCH(questions[[#This Row],[qno]],stable[qno],0)),similarity_range)</f>
        <v>If yes, how many typ</v>
      </c>
      <c r="AR1001" s="16" t="b">
        <f>questions[[#This Row],[question_first_characters]]=questions[[#This Row],[stability_first_characters]]</f>
        <v>1</v>
      </c>
      <c r="AS1001" s="16" t="b">
        <f>IF(OR(questions[[#This Row],[is_single_select]],questions[[#This Row],[is_multi_select]]),NOT(ISBLANK(questions[[#This Row],[answer_opt_combined]])),TRUE)</f>
        <v>1</v>
      </c>
    </row>
    <row r="1002" spans="1:45" ht="15.75" customHeight="1" x14ac:dyDescent="0.25">
      <c r="A1002" s="33" t="str">
        <f>_xlfn.TEXTJOIN("_",TRUE,questions[[#This Row],[origin]:[qno]])</f>
        <v>Vietnam_Robusta_Nestle_Selecta_2025_5100</v>
      </c>
      <c r="B1002" s="33" t="s">
        <v>673</v>
      </c>
      <c r="C1002" s="33" t="s">
        <v>674</v>
      </c>
      <c r="D1002" s="33" t="s">
        <v>904</v>
      </c>
      <c r="E1002" s="33">
        <v>2025</v>
      </c>
      <c r="F1002" s="41" t="s">
        <v>163</v>
      </c>
      <c r="G1002" s="218" t="s">
        <v>914</v>
      </c>
      <c r="H1002" s="33" t="str" cm="1">
        <f t="array" ref="H1002">INDEX(stableR[question],MATCH(VALUE(questions[[#This Row],[qno]]),VALUE(stableR[qno]),0))</f>
        <v>What was the name of the synthetic fertilizer that you used most, last year?</v>
      </c>
      <c r="I1002" s="33" t="b" cm="1">
        <f t="array" ref="I1002">INDEX(stable[is_fixed],MATCH(VALUE(questions[[#This Row],[qno]]),VALUE(stable[qno]),0))</f>
        <v>0</v>
      </c>
      <c r="J1002" s="33" t="b" cm="1">
        <f t="array" ref="J1002">INDEX(stable[is_localized],MATCH(VALUE(questions[[#This Row],[qno]]),VALUE(stable[qno]),0))</f>
        <v>1</v>
      </c>
      <c r="K1002" s="33" t="b" cm="1">
        <f t="array" ref="K1002">INDEX(stable[is_supply_chain_dependent],MATCH(VALUE(questions[[#This Row],[qno]]),VALUE(stable[qno]),0))</f>
        <v>0</v>
      </c>
      <c r="L1002" s="33" t="b" cm="1">
        <f t="array" ref="L1002">INDEX(stable[is_mandatory],MATCH(VALUE(questions[[#This Row],[qno]]),VALUE(stable[qno]),0))</f>
        <v>0</v>
      </c>
      <c r="M1002" s="33" t="b" cm="1">
        <f t="array" ref="M1002">INDEX(stable[is_automated],MATCH(VALUE(questions[[#This Row],[qno]]),VALUE(stable[qno]),0))</f>
        <v>0</v>
      </c>
      <c r="N1002" s="33" t="b" cm="1">
        <f t="array" ref="N1002">INDEX(stable[is_free_text],MATCH(VALUE(questions[[#This Row],[qno]]),VALUE(stable[qno]),0))</f>
        <v>0</v>
      </c>
      <c r="O1002" s="33" t="b" cm="1">
        <f t="array" ref="O1002">INDEX(stable[is_numerical],MATCH(VALUE(questions[[#This Row],[qno]]),VALUE(stable[qno]),0))</f>
        <v>0</v>
      </c>
      <c r="P1002" s="33" t="b" cm="1">
        <f t="array" ref="P1002">INDEX(stable[is_single_select],MATCH(VALUE(questions[[#This Row],[qno]]),VALUE(stable[qno]),0))</f>
        <v>1</v>
      </c>
      <c r="Q1002" s="33" t="b" cm="1">
        <f t="array" ref="Q1002">INDEX(stable[is_multi_select],MATCH(VALUE(questions[[#This Row],[qno]]),VALUE(stable[qno]),0))</f>
        <v>0</v>
      </c>
      <c r="R1002" s="33" t="b" cm="1">
        <f t="array" ref="R1002">INDEX(stable[is_skip_logic],MATCH(VALUE(questions[[#This Row],[qno]]),VALUE(stable[qno]),0))</f>
        <v>1</v>
      </c>
      <c r="S1002" s="33" t="str">
        <f>_xlfn.TEXTJOIN(", ",TRUE,questions[[#This Row],[ans_opt_1]:[ans_opt_14]])</f>
        <v/>
      </c>
      <c r="T1002" s="44"/>
      <c r="U1002" s="44"/>
      <c r="V1002" s="44"/>
      <c r="W1002" s="44"/>
      <c r="X1002" s="44"/>
      <c r="Y1002" s="44"/>
      <c r="Z1002" s="44"/>
      <c r="AA1002" s="44"/>
      <c r="AB1002" s="44"/>
      <c r="AC1002" s="44"/>
      <c r="AD1002" s="44"/>
      <c r="AE1002" s="44"/>
      <c r="AF1002" s="44"/>
      <c r="AG1002" s="44"/>
      <c r="AH1002" s="124" t="b">
        <f>INDEX(stable[q_standard],MATCH(questions[[#This Row],[qno]],stable[qno],0))</f>
        <v>0</v>
      </c>
      <c r="AI1002" s="124" t="b">
        <f>INDEX(stable[q_living_income],MATCH(questions[[#This Row],[qno]],stable[qno],0))</f>
        <v>1</v>
      </c>
      <c r="AJ1002" s="124" t="b">
        <f>INDEX(stable[q_carbon],MATCH(questions[[#This Row],[qno]],stable[qno],0))</f>
        <v>1</v>
      </c>
      <c r="AK1002" s="124" t="b">
        <f>INDEX(stable[q_regen_ag],MATCH(questions[[#This Row],[qno]],stable[qno],0))</f>
        <v>0</v>
      </c>
      <c r="AL1002" s="155"/>
      <c r="AM1002" s="155"/>
      <c r="AN1002" s="155"/>
      <c r="AO1002" s="155"/>
      <c r="AP1002" s="16" t="str">
        <f>LEFT(questions[[#This Row],[question]],similarity_range)</f>
        <v>What is the name and</v>
      </c>
      <c r="AQ1002" s="16" t="str">
        <f>LEFT(INDEX(stable[question],MATCH(questions[[#This Row],[qno]],stable[qno],0)),similarity_range)</f>
        <v xml:space="preserve">What is the name of </v>
      </c>
      <c r="AR1002" s="16" t="b">
        <f>questions[[#This Row],[question_first_characters]]=questions[[#This Row],[stability_first_characters]]</f>
        <v>0</v>
      </c>
      <c r="AS1002" s="16" t="b">
        <f>IF(OR(questions[[#This Row],[is_single_select]],questions[[#This Row],[is_multi_select]]),NOT(ISBLANK(questions[[#This Row],[answer_opt_combined]])),TRUE)</f>
        <v>1</v>
      </c>
    </row>
    <row r="1003" spans="1:45" ht="15.75" customHeight="1" x14ac:dyDescent="0.25">
      <c r="A1003" s="33" t="str">
        <f>_xlfn.TEXTJOIN("_",TRUE,questions[[#This Row],[origin]:[qno]])</f>
        <v>Vietnam_Robusta_Nestle_Selecta_2025_5101</v>
      </c>
      <c r="B1003" s="33" t="s">
        <v>673</v>
      </c>
      <c r="C1003" s="33" t="s">
        <v>674</v>
      </c>
      <c r="D1003" s="33" t="s">
        <v>904</v>
      </c>
      <c r="E1003" s="33">
        <v>2025</v>
      </c>
      <c r="F1003" s="41" t="s">
        <v>165</v>
      </c>
      <c r="G1003" s="218" t="s">
        <v>915</v>
      </c>
      <c r="H1003" s="33" t="str" cm="1">
        <f t="array" ref="H1003">INDEX(stableR[question],MATCH(VALUE(questions[[#This Row],[qno]]),VALUE(stableR[qno]),0))</f>
        <v>What was the total quantity of the synthetic fertilizer that you used most, last year? (Kg)</v>
      </c>
      <c r="I1003" s="33" t="b" cm="1">
        <f t="array" ref="I1003">INDEX(stable[is_fixed],MATCH(VALUE(questions[[#This Row],[qno]]),VALUE(stable[qno]),0))</f>
        <v>0</v>
      </c>
      <c r="J1003" s="33" t="b" cm="1">
        <f t="array" ref="J1003">INDEX(stable[is_localized],MATCH(VALUE(questions[[#This Row],[qno]]),VALUE(stable[qno]),0))</f>
        <v>1</v>
      </c>
      <c r="K1003" s="33" t="b" cm="1">
        <f t="array" ref="K1003">INDEX(stable[is_supply_chain_dependent],MATCH(VALUE(questions[[#This Row],[qno]]),VALUE(stable[qno]),0))</f>
        <v>0</v>
      </c>
      <c r="L1003" s="33" t="b" cm="1">
        <f t="array" ref="L1003">INDEX(stable[is_mandatory],MATCH(VALUE(questions[[#This Row],[qno]]),VALUE(stable[qno]),0))</f>
        <v>0</v>
      </c>
      <c r="M1003" s="33" t="b" cm="1">
        <f t="array" ref="M1003">INDEX(stable[is_automated],MATCH(VALUE(questions[[#This Row],[qno]]),VALUE(stable[qno]),0))</f>
        <v>0</v>
      </c>
      <c r="N1003" s="33" t="b" cm="1">
        <f t="array" ref="N1003">INDEX(stable[is_free_text],MATCH(VALUE(questions[[#This Row],[qno]]),VALUE(stable[qno]),0))</f>
        <v>0</v>
      </c>
      <c r="O1003" s="33" t="b" cm="1">
        <f t="array" ref="O1003">INDEX(stable[is_numerical],MATCH(VALUE(questions[[#This Row],[qno]]),VALUE(stable[qno]),0))</f>
        <v>1</v>
      </c>
      <c r="P1003" s="33" t="b" cm="1">
        <f t="array" ref="P1003">INDEX(stable[is_single_select],MATCH(VALUE(questions[[#This Row],[qno]]),VALUE(stable[qno]),0))</f>
        <v>0</v>
      </c>
      <c r="Q1003" s="33" t="b" cm="1">
        <f t="array" ref="Q1003">INDEX(stable[is_multi_select],MATCH(VALUE(questions[[#This Row],[qno]]),VALUE(stable[qno]),0))</f>
        <v>0</v>
      </c>
      <c r="R1003" s="33" t="b" cm="1">
        <f t="array" ref="R1003">INDEX(stable[is_skip_logic],MATCH(VALUE(questions[[#This Row],[qno]]),VALUE(stable[qno]),0))</f>
        <v>1</v>
      </c>
      <c r="S1003" s="33" t="str">
        <f>_xlfn.TEXTJOIN(", ",TRUE,questions[[#This Row],[ans_opt_1]:[ans_opt_14]])</f>
        <v/>
      </c>
      <c r="T1003" s="44"/>
      <c r="U1003" s="44"/>
      <c r="V1003" s="44"/>
      <c r="W1003" s="44"/>
      <c r="X1003" s="44"/>
      <c r="Y1003" s="44"/>
      <c r="Z1003" s="44"/>
      <c r="AA1003" s="44"/>
      <c r="AB1003" s="44"/>
      <c r="AC1003" s="44"/>
      <c r="AD1003" s="44"/>
      <c r="AE1003" s="44"/>
      <c r="AF1003" s="44"/>
      <c r="AG1003" s="44"/>
      <c r="AH1003" s="124" t="b">
        <f>INDEX(stable[q_standard],MATCH(questions[[#This Row],[qno]],stable[qno],0))</f>
        <v>0</v>
      </c>
      <c r="AI1003" s="124" t="b">
        <f>INDEX(stable[q_living_income],MATCH(questions[[#This Row],[qno]],stable[qno],0))</f>
        <v>1</v>
      </c>
      <c r="AJ1003" s="124" t="b">
        <f>INDEX(stable[q_carbon],MATCH(questions[[#This Row],[qno]],stable[qno],0))</f>
        <v>1</v>
      </c>
      <c r="AK1003" s="124" t="b">
        <f>INDEX(stable[q_regen_ag],MATCH(questions[[#This Row],[qno]],stable[qno],0))</f>
        <v>0</v>
      </c>
      <c r="AL1003" s="155"/>
      <c r="AM1003" s="155"/>
      <c r="AN1003" s="155"/>
      <c r="AO1003" s="155"/>
      <c r="AP1003" s="16" t="str">
        <f>LEFT(questions[[#This Row],[question]],similarity_range)</f>
        <v>What was the total a</v>
      </c>
      <c r="AQ1003" s="16" t="str">
        <f>LEFT(INDEX(stable[question],MATCH(questions[[#This Row],[qno]],stable[qno],0)),similarity_range)</f>
        <v>What was the total q</v>
      </c>
      <c r="AR1003" s="16" t="b">
        <f>questions[[#This Row],[question_first_characters]]=questions[[#This Row],[stability_first_characters]]</f>
        <v>0</v>
      </c>
      <c r="AS1003" s="16" t="b">
        <f>IF(OR(questions[[#This Row],[is_single_select]],questions[[#This Row],[is_multi_select]]),NOT(ISBLANK(questions[[#This Row],[answer_opt_combined]])),TRUE)</f>
        <v>1</v>
      </c>
    </row>
    <row r="1004" spans="1:45" ht="15.75" customHeight="1" x14ac:dyDescent="0.25">
      <c r="A1004" s="33" t="str">
        <f>_xlfn.TEXTJOIN("_",TRUE,questions[[#This Row],[origin]:[qno]])</f>
        <v>Vietnam_Robusta_Nestle_Selecta_2025_5102</v>
      </c>
      <c r="B1004" s="33" t="s">
        <v>673</v>
      </c>
      <c r="C1004" s="33" t="s">
        <v>674</v>
      </c>
      <c r="D1004" s="33" t="s">
        <v>904</v>
      </c>
      <c r="E1004" s="33">
        <v>2025</v>
      </c>
      <c r="F1004" s="41" t="s">
        <v>560</v>
      </c>
      <c r="G1004" s="218" t="s">
        <v>916</v>
      </c>
      <c r="H1004" s="33" t="str" cm="1">
        <f t="array" ref="H1004">INDEX(stableR[question],MATCH(VALUE(questions[[#This Row],[qno]]),VALUE(stableR[qno]),0))</f>
        <v>What was the unit of the synthetic fertilizer type that you used most? (bags, kg)</v>
      </c>
      <c r="I1004" s="33" t="b" cm="1">
        <f t="array" ref="I1004">INDEX(stable[is_fixed],MATCH(VALUE(questions[[#This Row],[qno]]),VALUE(stable[qno]),0))</f>
        <v>0</v>
      </c>
      <c r="J1004" s="33" t="b" cm="1">
        <f t="array" ref="J1004">INDEX(stable[is_localized],MATCH(VALUE(questions[[#This Row],[qno]]),VALUE(stable[qno]),0))</f>
        <v>1</v>
      </c>
      <c r="K1004" s="33" t="b" cm="1">
        <f t="array" ref="K1004">INDEX(stable[is_supply_chain_dependent],MATCH(VALUE(questions[[#This Row],[qno]]),VALUE(stable[qno]),0))</f>
        <v>0</v>
      </c>
      <c r="L1004" s="33" t="b" cm="1">
        <f t="array" ref="L1004">INDEX(stable[is_mandatory],MATCH(VALUE(questions[[#This Row],[qno]]),VALUE(stable[qno]),0))</f>
        <v>0</v>
      </c>
      <c r="M1004" s="33" t="b" cm="1">
        <f t="array" ref="M1004">INDEX(stable[is_automated],MATCH(VALUE(questions[[#This Row],[qno]]),VALUE(stable[qno]),0))</f>
        <v>0</v>
      </c>
      <c r="N1004" s="33" t="b" cm="1">
        <f t="array" ref="N1004">INDEX(stable[is_free_text],MATCH(VALUE(questions[[#This Row],[qno]]),VALUE(stable[qno]),0))</f>
        <v>0</v>
      </c>
      <c r="O1004" s="33" t="b" cm="1">
        <f t="array" ref="O1004">INDEX(stable[is_numerical],MATCH(VALUE(questions[[#This Row],[qno]]),VALUE(stable[qno]),0))</f>
        <v>0</v>
      </c>
      <c r="P1004" s="33" t="b" cm="1">
        <f t="array" ref="P1004">INDEX(stable[is_single_select],MATCH(VALUE(questions[[#This Row],[qno]]),VALUE(stable[qno]),0))</f>
        <v>1</v>
      </c>
      <c r="Q1004" s="33" t="b" cm="1">
        <f t="array" ref="Q1004">INDEX(stable[is_multi_select],MATCH(VALUE(questions[[#This Row],[qno]]),VALUE(stable[qno]),0))</f>
        <v>0</v>
      </c>
      <c r="R1004" s="33" t="b" cm="1">
        <f t="array" ref="R1004">INDEX(stable[is_skip_logic],MATCH(VALUE(questions[[#This Row],[qno]]),VALUE(stable[qno]),0))</f>
        <v>1</v>
      </c>
      <c r="S1004" s="33" t="str">
        <f>_xlfn.TEXTJOIN(", ",TRUE,questions[[#This Row],[ans_opt_1]:[ans_opt_14]])</f>
        <v>kg, liters</v>
      </c>
      <c r="T1004" s="44" t="s">
        <v>562</v>
      </c>
      <c r="U1004" s="45" t="s">
        <v>564</v>
      </c>
      <c r="V1004" s="44"/>
      <c r="W1004" s="44"/>
      <c r="X1004" s="44"/>
      <c r="Y1004" s="44"/>
      <c r="Z1004" s="44"/>
      <c r="AA1004" s="44"/>
      <c r="AB1004" s="44"/>
      <c r="AC1004" s="44"/>
      <c r="AD1004" s="44"/>
      <c r="AE1004" s="44"/>
      <c r="AF1004" s="44"/>
      <c r="AG1004" s="44"/>
      <c r="AH1004" s="124" t="b">
        <f>INDEX(stable[q_standard],MATCH(questions[[#This Row],[qno]],stable[qno],0))</f>
        <v>0</v>
      </c>
      <c r="AI1004" s="124" t="b">
        <f>INDEX(stable[q_living_income],MATCH(questions[[#This Row],[qno]],stable[qno],0))</f>
        <v>1</v>
      </c>
      <c r="AJ1004" s="124" t="b">
        <f>INDEX(stable[q_carbon],MATCH(questions[[#This Row],[qno]],stable[qno],0))</f>
        <v>1</v>
      </c>
      <c r="AK1004" s="124" t="b">
        <f>INDEX(stable[q_regen_ag],MATCH(questions[[#This Row],[qno]],stable[qno],0))</f>
        <v>0</v>
      </c>
      <c r="AL1004" s="155"/>
      <c r="AM1004" s="155"/>
      <c r="AN1004" s="155"/>
      <c r="AO1004" s="155"/>
      <c r="AP1004" s="16" t="str">
        <f>LEFT(questions[[#This Row],[question]],similarity_range)</f>
        <v>What was the unit of</v>
      </c>
      <c r="AQ1004" s="16" t="str">
        <f>LEFT(INDEX(stable[question],MATCH(questions[[#This Row],[qno]],stable[qno],0)),similarity_range)</f>
        <v>What was the unit of</v>
      </c>
      <c r="AR1004" s="16" t="b">
        <f>questions[[#This Row],[question_first_characters]]=questions[[#This Row],[stability_first_characters]]</f>
        <v>1</v>
      </c>
      <c r="AS1004" s="16" t="b">
        <f>IF(OR(questions[[#This Row],[is_single_select]],questions[[#This Row],[is_multi_select]]),NOT(ISBLANK(questions[[#This Row],[answer_opt_combined]])),TRUE)</f>
        <v>1</v>
      </c>
    </row>
    <row r="1005" spans="1:45" ht="15.75" customHeight="1" x14ac:dyDescent="0.25">
      <c r="A1005" s="33" t="str">
        <f>_xlfn.TEXTJOIN("_",TRUE,questions[[#This Row],[origin]:[qno]])</f>
        <v>Vietnam_Robusta_Nestle_Selecta_2025_5110</v>
      </c>
      <c r="B1005" s="33" t="s">
        <v>673</v>
      </c>
      <c r="C1005" s="33" t="s">
        <v>674</v>
      </c>
      <c r="D1005" s="33" t="s">
        <v>904</v>
      </c>
      <c r="E1005" s="33">
        <v>2025</v>
      </c>
      <c r="F1005" s="41" t="s">
        <v>167</v>
      </c>
      <c r="G1005" s="218" t="s">
        <v>917</v>
      </c>
      <c r="H1005" s="33" t="str" cm="1">
        <f t="array" ref="H1005">INDEX(stableR[question],MATCH(VALUE(questions[[#This Row],[qno]]),VALUE(stableR[qno]),0))</f>
        <v>What was the name of the synthetic fertilizer that you used second most, last year?</v>
      </c>
      <c r="I1005" s="33" t="b" cm="1">
        <f t="array" ref="I1005">INDEX(stable[is_fixed],MATCH(VALUE(questions[[#This Row],[qno]]),VALUE(stable[qno]),0))</f>
        <v>0</v>
      </c>
      <c r="J1005" s="33" t="b" cm="1">
        <f t="array" ref="J1005">INDEX(stable[is_localized],MATCH(VALUE(questions[[#This Row],[qno]]),VALUE(stable[qno]),0))</f>
        <v>1</v>
      </c>
      <c r="K1005" s="33" t="b" cm="1">
        <f t="array" ref="K1005">INDEX(stable[is_supply_chain_dependent],MATCH(VALUE(questions[[#This Row],[qno]]),VALUE(stable[qno]),0))</f>
        <v>0</v>
      </c>
      <c r="L1005" s="33" t="b" cm="1">
        <f t="array" ref="L1005">INDEX(stable[is_mandatory],MATCH(VALUE(questions[[#This Row],[qno]]),VALUE(stable[qno]),0))</f>
        <v>0</v>
      </c>
      <c r="M1005" s="33" t="b" cm="1">
        <f t="array" ref="M1005">INDEX(stable[is_automated],MATCH(VALUE(questions[[#This Row],[qno]]),VALUE(stable[qno]),0))</f>
        <v>0</v>
      </c>
      <c r="N1005" s="33" t="b" cm="1">
        <f t="array" ref="N1005">INDEX(stable[is_free_text],MATCH(VALUE(questions[[#This Row],[qno]]),VALUE(stable[qno]),0))</f>
        <v>0</v>
      </c>
      <c r="O1005" s="33" t="b" cm="1">
        <f t="array" ref="O1005">INDEX(stable[is_numerical],MATCH(VALUE(questions[[#This Row],[qno]]),VALUE(stable[qno]),0))</f>
        <v>0</v>
      </c>
      <c r="P1005" s="33" t="b" cm="1">
        <f t="array" ref="P1005">INDEX(stable[is_single_select],MATCH(VALUE(questions[[#This Row],[qno]]),VALUE(stable[qno]),0))</f>
        <v>1</v>
      </c>
      <c r="Q1005" s="33" t="b" cm="1">
        <f t="array" ref="Q1005">INDEX(stable[is_multi_select],MATCH(VALUE(questions[[#This Row],[qno]]),VALUE(stable[qno]),0))</f>
        <v>0</v>
      </c>
      <c r="R1005" s="33" t="b" cm="1">
        <f t="array" ref="R1005">INDEX(stable[is_skip_logic],MATCH(VALUE(questions[[#This Row],[qno]]),VALUE(stable[qno]),0))</f>
        <v>1</v>
      </c>
      <c r="S1005" s="33" t="str">
        <f>_xlfn.TEXTJOIN(", ",TRUE,questions[[#This Row],[ans_opt_1]:[ans_opt_14]])</f>
        <v/>
      </c>
      <c r="T1005" s="44"/>
      <c r="U1005" s="44"/>
      <c r="V1005" s="44"/>
      <c r="W1005" s="44"/>
      <c r="X1005" s="44"/>
      <c r="Y1005" s="44"/>
      <c r="Z1005" s="44"/>
      <c r="AA1005" s="44"/>
      <c r="AB1005" s="44"/>
      <c r="AC1005" s="44"/>
      <c r="AD1005" s="44"/>
      <c r="AE1005" s="44"/>
      <c r="AF1005" s="44"/>
      <c r="AG1005" s="44"/>
      <c r="AH1005" s="124" t="b">
        <f>INDEX(stable[q_standard],MATCH(questions[[#This Row],[qno]],stable[qno],0))</f>
        <v>0</v>
      </c>
      <c r="AI1005" s="124" t="b">
        <f>INDEX(stable[q_living_income],MATCH(questions[[#This Row],[qno]],stable[qno],0))</f>
        <v>1</v>
      </c>
      <c r="AJ1005" s="124" t="b">
        <f>INDEX(stable[q_carbon],MATCH(questions[[#This Row],[qno]],stable[qno],0))</f>
        <v>1</v>
      </c>
      <c r="AK1005" s="124" t="b">
        <f>INDEX(stable[q_regen_ag],MATCH(questions[[#This Row],[qno]],stable[qno],0))</f>
        <v>0</v>
      </c>
      <c r="AL1005" s="155"/>
      <c r="AM1005" s="155"/>
      <c r="AN1005" s="155"/>
      <c r="AO1005" s="155"/>
      <c r="AP1005" s="16" t="str">
        <f>LEFT(questions[[#This Row],[question]],similarity_range)</f>
        <v>What is the name and</v>
      </c>
      <c r="AQ1005" s="16" t="str">
        <f>LEFT(INDEX(stable[question],MATCH(questions[[#This Row],[qno]],stable[qno],0)),similarity_range)</f>
        <v xml:space="preserve">What is the name of </v>
      </c>
      <c r="AR1005" s="16" t="b">
        <f>questions[[#This Row],[question_first_characters]]=questions[[#This Row],[stability_first_characters]]</f>
        <v>0</v>
      </c>
      <c r="AS1005" s="16" t="b">
        <f>IF(OR(questions[[#This Row],[is_single_select]],questions[[#This Row],[is_multi_select]]),NOT(ISBLANK(questions[[#This Row],[answer_opt_combined]])),TRUE)</f>
        <v>1</v>
      </c>
    </row>
    <row r="1006" spans="1:45" ht="15.75" customHeight="1" x14ac:dyDescent="0.25">
      <c r="A1006" s="33" t="str">
        <f>_xlfn.TEXTJOIN("_",TRUE,questions[[#This Row],[origin]:[qno]])</f>
        <v>Vietnam_Robusta_Nestle_Selecta_2025_5111</v>
      </c>
      <c r="B1006" s="33" t="s">
        <v>673</v>
      </c>
      <c r="C1006" s="33" t="s">
        <v>674</v>
      </c>
      <c r="D1006" s="33" t="s">
        <v>904</v>
      </c>
      <c r="E1006" s="33">
        <v>2025</v>
      </c>
      <c r="F1006" s="41" t="s">
        <v>169</v>
      </c>
      <c r="G1006" s="218" t="s">
        <v>918</v>
      </c>
      <c r="H1006" s="33" t="str" cm="1">
        <f t="array" ref="H1006">INDEX(stableR[question],MATCH(VALUE(questions[[#This Row],[qno]]),VALUE(stableR[qno]),0))</f>
        <v>What was the total quantity of the synthetic fertilizer that you used second most, last year? (Kg)</v>
      </c>
      <c r="I1006" s="33" t="b" cm="1">
        <f t="array" ref="I1006">INDEX(stable[is_fixed],MATCH(VALUE(questions[[#This Row],[qno]]),VALUE(stable[qno]),0))</f>
        <v>0</v>
      </c>
      <c r="J1006" s="33" t="b" cm="1">
        <f t="array" ref="J1006">INDEX(stable[is_localized],MATCH(VALUE(questions[[#This Row],[qno]]),VALUE(stable[qno]),0))</f>
        <v>1</v>
      </c>
      <c r="K1006" s="33" t="b" cm="1">
        <f t="array" ref="K1006">INDEX(stable[is_supply_chain_dependent],MATCH(VALUE(questions[[#This Row],[qno]]),VALUE(stable[qno]),0))</f>
        <v>0</v>
      </c>
      <c r="L1006" s="33" t="b" cm="1">
        <f t="array" ref="L1006">INDEX(stable[is_mandatory],MATCH(VALUE(questions[[#This Row],[qno]]),VALUE(stable[qno]),0))</f>
        <v>0</v>
      </c>
      <c r="M1006" s="33" t="b" cm="1">
        <f t="array" ref="M1006">INDEX(stable[is_automated],MATCH(VALUE(questions[[#This Row],[qno]]),VALUE(stable[qno]),0))</f>
        <v>0</v>
      </c>
      <c r="N1006" s="33" t="b" cm="1">
        <f t="array" ref="N1006">INDEX(stable[is_free_text],MATCH(VALUE(questions[[#This Row],[qno]]),VALUE(stable[qno]),0))</f>
        <v>0</v>
      </c>
      <c r="O1006" s="33" t="b" cm="1">
        <f t="array" ref="O1006">INDEX(stable[is_numerical],MATCH(VALUE(questions[[#This Row],[qno]]),VALUE(stable[qno]),0))</f>
        <v>1</v>
      </c>
      <c r="P1006" s="33" t="b" cm="1">
        <f t="array" ref="P1006">INDEX(stable[is_single_select],MATCH(VALUE(questions[[#This Row],[qno]]),VALUE(stable[qno]),0))</f>
        <v>0</v>
      </c>
      <c r="Q1006" s="33" t="b" cm="1">
        <f t="array" ref="Q1006">INDEX(stable[is_multi_select],MATCH(VALUE(questions[[#This Row],[qno]]),VALUE(stable[qno]),0))</f>
        <v>0</v>
      </c>
      <c r="R1006" s="33" t="b" cm="1">
        <f t="array" ref="R1006">INDEX(stable[is_skip_logic],MATCH(VALUE(questions[[#This Row],[qno]]),VALUE(stable[qno]),0))</f>
        <v>1</v>
      </c>
      <c r="S1006" s="33" t="str">
        <f>_xlfn.TEXTJOIN(", ",TRUE,questions[[#This Row],[ans_opt_1]:[ans_opt_14]])</f>
        <v/>
      </c>
      <c r="T1006" s="44"/>
      <c r="U1006" s="44"/>
      <c r="V1006" s="44"/>
      <c r="W1006" s="44"/>
      <c r="X1006" s="44"/>
      <c r="Y1006" s="44"/>
      <c r="Z1006" s="44"/>
      <c r="AA1006" s="44"/>
      <c r="AB1006" s="44"/>
      <c r="AC1006" s="44"/>
      <c r="AD1006" s="44"/>
      <c r="AE1006" s="44"/>
      <c r="AF1006" s="44"/>
      <c r="AG1006" s="44"/>
      <c r="AH1006" s="124" t="b">
        <f>INDEX(stable[q_standard],MATCH(questions[[#This Row],[qno]],stable[qno],0))</f>
        <v>0</v>
      </c>
      <c r="AI1006" s="124" t="b">
        <f>INDEX(stable[q_living_income],MATCH(questions[[#This Row],[qno]],stable[qno],0))</f>
        <v>1</v>
      </c>
      <c r="AJ1006" s="124" t="b">
        <f>INDEX(stable[q_carbon],MATCH(questions[[#This Row],[qno]],stable[qno],0))</f>
        <v>1</v>
      </c>
      <c r="AK1006" s="124" t="b">
        <f>INDEX(stable[q_regen_ag],MATCH(questions[[#This Row],[qno]],stable[qno],0))</f>
        <v>0</v>
      </c>
      <c r="AL1006" s="155"/>
      <c r="AM1006" s="155"/>
      <c r="AN1006" s="155"/>
      <c r="AO1006" s="155"/>
      <c r="AP1006" s="16" t="str">
        <f>LEFT(questions[[#This Row],[question]],similarity_range)</f>
        <v>What was the total a</v>
      </c>
      <c r="AQ1006" s="16" t="str">
        <f>LEFT(INDEX(stable[question],MATCH(questions[[#This Row],[qno]],stable[qno],0)),similarity_range)</f>
        <v>What was the total q</v>
      </c>
      <c r="AR1006" s="16" t="b">
        <f>questions[[#This Row],[question_first_characters]]=questions[[#This Row],[stability_first_characters]]</f>
        <v>0</v>
      </c>
      <c r="AS1006" s="16" t="b">
        <f>IF(OR(questions[[#This Row],[is_single_select]],questions[[#This Row],[is_multi_select]]),NOT(ISBLANK(questions[[#This Row],[answer_opt_combined]])),TRUE)</f>
        <v>1</v>
      </c>
    </row>
    <row r="1007" spans="1:45" ht="15.75" customHeight="1" x14ac:dyDescent="0.25">
      <c r="A1007" s="33" t="str">
        <f>_xlfn.TEXTJOIN("_",TRUE,questions[[#This Row],[origin]:[qno]])</f>
        <v>Vietnam_Robusta_Nestle_Selecta_2025_5112</v>
      </c>
      <c r="B1007" s="33" t="s">
        <v>673</v>
      </c>
      <c r="C1007" s="33" t="s">
        <v>674</v>
      </c>
      <c r="D1007" s="33" t="s">
        <v>904</v>
      </c>
      <c r="E1007" s="33">
        <v>2025</v>
      </c>
      <c r="F1007" s="41" t="s">
        <v>567</v>
      </c>
      <c r="G1007" s="218" t="s">
        <v>919</v>
      </c>
      <c r="H1007" s="33" t="str" cm="1">
        <f t="array" ref="H1007">INDEX(stableR[question],MATCH(VALUE(questions[[#This Row],[qno]]),VALUE(stableR[qno]),0))</f>
        <v>What was the unit of the synthetic fertilizer type that you used second most ? (bags, kg)</v>
      </c>
      <c r="I1007" s="33" t="b" cm="1">
        <f t="array" ref="I1007">INDEX(stable[is_fixed],MATCH(VALUE(questions[[#This Row],[qno]]),VALUE(stable[qno]),0))</f>
        <v>0</v>
      </c>
      <c r="J1007" s="33" t="b" cm="1">
        <f t="array" ref="J1007">INDEX(stable[is_localized],MATCH(VALUE(questions[[#This Row],[qno]]),VALUE(stable[qno]),0))</f>
        <v>1</v>
      </c>
      <c r="K1007" s="33" t="b" cm="1">
        <f t="array" ref="K1007">INDEX(stable[is_supply_chain_dependent],MATCH(VALUE(questions[[#This Row],[qno]]),VALUE(stable[qno]),0))</f>
        <v>0</v>
      </c>
      <c r="L1007" s="33" t="b" cm="1">
        <f t="array" ref="L1007">INDEX(stable[is_mandatory],MATCH(VALUE(questions[[#This Row],[qno]]),VALUE(stable[qno]),0))</f>
        <v>0</v>
      </c>
      <c r="M1007" s="33" t="b" cm="1">
        <f t="array" ref="M1007">INDEX(stable[is_automated],MATCH(VALUE(questions[[#This Row],[qno]]),VALUE(stable[qno]),0))</f>
        <v>0</v>
      </c>
      <c r="N1007" s="33" t="b" cm="1">
        <f t="array" ref="N1007">INDEX(stable[is_free_text],MATCH(VALUE(questions[[#This Row],[qno]]),VALUE(stable[qno]),0))</f>
        <v>0</v>
      </c>
      <c r="O1007" s="33" t="b" cm="1">
        <f t="array" ref="O1007">INDEX(stable[is_numerical],MATCH(VALUE(questions[[#This Row],[qno]]),VALUE(stable[qno]),0))</f>
        <v>0</v>
      </c>
      <c r="P1007" s="33" t="b" cm="1">
        <f t="array" ref="P1007">INDEX(stable[is_single_select],MATCH(VALUE(questions[[#This Row],[qno]]),VALUE(stable[qno]),0))</f>
        <v>1</v>
      </c>
      <c r="Q1007" s="33" t="b" cm="1">
        <f t="array" ref="Q1007">INDEX(stable[is_multi_select],MATCH(VALUE(questions[[#This Row],[qno]]),VALUE(stable[qno]),0))</f>
        <v>0</v>
      </c>
      <c r="R1007" s="33" t="b" cm="1">
        <f t="array" ref="R1007">INDEX(stable[is_skip_logic],MATCH(VALUE(questions[[#This Row],[qno]]),VALUE(stable[qno]),0))</f>
        <v>1</v>
      </c>
      <c r="S1007" s="33" t="str">
        <f>_xlfn.TEXTJOIN(", ",TRUE,questions[[#This Row],[ans_opt_1]:[ans_opt_14]])</f>
        <v>kg, liters</v>
      </c>
      <c r="T1007" s="44" t="s">
        <v>562</v>
      </c>
      <c r="U1007" s="45" t="s">
        <v>564</v>
      </c>
      <c r="V1007" s="44"/>
      <c r="W1007" s="44"/>
      <c r="X1007" s="44"/>
      <c r="Y1007" s="44"/>
      <c r="Z1007" s="44"/>
      <c r="AA1007" s="44"/>
      <c r="AB1007" s="44"/>
      <c r="AC1007" s="44"/>
      <c r="AD1007" s="44"/>
      <c r="AE1007" s="44"/>
      <c r="AF1007" s="44"/>
      <c r="AG1007" s="44"/>
      <c r="AH1007" s="124" t="b">
        <f>INDEX(stable[q_standard],MATCH(questions[[#This Row],[qno]],stable[qno],0))</f>
        <v>0</v>
      </c>
      <c r="AI1007" s="124" t="b">
        <f>INDEX(stable[q_living_income],MATCH(questions[[#This Row],[qno]],stable[qno],0))</f>
        <v>1</v>
      </c>
      <c r="AJ1007" s="124" t="b">
        <f>INDEX(stable[q_carbon],MATCH(questions[[#This Row],[qno]],stable[qno],0))</f>
        <v>1</v>
      </c>
      <c r="AK1007" s="124" t="b">
        <f>INDEX(stable[q_regen_ag],MATCH(questions[[#This Row],[qno]],stable[qno],0))</f>
        <v>0</v>
      </c>
      <c r="AL1007" s="155"/>
      <c r="AM1007" s="155"/>
      <c r="AN1007" s="155"/>
      <c r="AO1007" s="155"/>
      <c r="AP1007" s="16" t="str">
        <f>LEFT(questions[[#This Row],[question]],similarity_range)</f>
        <v>What was the unit of</v>
      </c>
      <c r="AQ1007" s="16" t="str">
        <f>LEFT(INDEX(stable[question],MATCH(questions[[#This Row],[qno]],stable[qno],0)),similarity_range)</f>
        <v>What was the unit of</v>
      </c>
      <c r="AR1007" s="16" t="b">
        <f>questions[[#This Row],[question_first_characters]]=questions[[#This Row],[stability_first_characters]]</f>
        <v>1</v>
      </c>
      <c r="AS1007" s="16" t="b">
        <f>IF(OR(questions[[#This Row],[is_single_select]],questions[[#This Row],[is_multi_select]]),NOT(ISBLANK(questions[[#This Row],[answer_opt_combined]])),TRUE)</f>
        <v>1</v>
      </c>
    </row>
    <row r="1008" spans="1:45" ht="15.75" customHeight="1" x14ac:dyDescent="0.25">
      <c r="A1008" s="33" t="str">
        <f>_xlfn.TEXTJOIN("_",TRUE,questions[[#This Row],[origin]:[qno]])</f>
        <v>Vietnam_Robusta_Nestle_Selecta_2025_5120</v>
      </c>
      <c r="B1008" s="33" t="s">
        <v>673</v>
      </c>
      <c r="C1008" s="33" t="s">
        <v>674</v>
      </c>
      <c r="D1008" s="33" t="s">
        <v>904</v>
      </c>
      <c r="E1008" s="33">
        <v>2025</v>
      </c>
      <c r="F1008" s="41">
        <v>5120</v>
      </c>
      <c r="G1008" s="218" t="s">
        <v>920</v>
      </c>
      <c r="H1008" s="33" t="str" cm="1">
        <f t="array" ref="H1008">INDEX(stableR[question],MATCH(VALUE(questions[[#This Row],[qno]]),VALUE(stableR[qno]),0))</f>
        <v>What was the name of the synthetic fertilizer that you used third most, last year?</v>
      </c>
      <c r="I1008" s="33" t="b" cm="1">
        <f t="array" ref="I1008">INDEX(stable[is_fixed],MATCH(VALUE(questions[[#This Row],[qno]]),VALUE(stable[qno]),0))</f>
        <v>0</v>
      </c>
      <c r="J1008" s="33" t="b" cm="1">
        <f t="array" ref="J1008">INDEX(stable[is_localized],MATCH(VALUE(questions[[#This Row],[qno]]),VALUE(stable[qno]),0))</f>
        <v>1</v>
      </c>
      <c r="K1008" s="33" t="b" cm="1">
        <f t="array" ref="K1008">INDEX(stable[is_supply_chain_dependent],MATCH(VALUE(questions[[#This Row],[qno]]),VALUE(stable[qno]),0))</f>
        <v>1</v>
      </c>
      <c r="L1008" s="33" t="b" cm="1">
        <f t="array" ref="L1008">INDEX(stable[is_mandatory],MATCH(VALUE(questions[[#This Row],[qno]]),VALUE(stable[qno]),0))</f>
        <v>0</v>
      </c>
      <c r="M1008" s="33" t="b" cm="1">
        <f t="array" ref="M1008">INDEX(stable[is_automated],MATCH(VALUE(questions[[#This Row],[qno]]),VALUE(stable[qno]),0))</f>
        <v>0</v>
      </c>
      <c r="N1008" s="33" t="b" cm="1">
        <f t="array" ref="N1008">INDEX(stable[is_free_text],MATCH(VALUE(questions[[#This Row],[qno]]),VALUE(stable[qno]),0))</f>
        <v>1</v>
      </c>
      <c r="O1008" s="33" t="b" cm="1">
        <f t="array" ref="O1008">INDEX(stable[is_numerical],MATCH(VALUE(questions[[#This Row],[qno]]),VALUE(stable[qno]),0))</f>
        <v>0</v>
      </c>
      <c r="P1008" s="33" t="b" cm="1">
        <f t="array" ref="P1008">INDEX(stable[is_single_select],MATCH(VALUE(questions[[#This Row],[qno]]),VALUE(stable[qno]),0))</f>
        <v>0</v>
      </c>
      <c r="Q1008" s="33" t="b" cm="1">
        <f t="array" ref="Q1008">INDEX(stable[is_multi_select],MATCH(VALUE(questions[[#This Row],[qno]]),VALUE(stable[qno]),0))</f>
        <v>0</v>
      </c>
      <c r="R1008" s="33" t="b" cm="1">
        <f t="array" ref="R1008">INDEX(stable[is_skip_logic],MATCH(VALUE(questions[[#This Row],[qno]]),VALUE(stable[qno]),0))</f>
        <v>1</v>
      </c>
      <c r="S1008" s="33" t="str">
        <f>_xlfn.TEXTJOIN(", ",TRUE,questions[[#This Row],[ans_opt_1]:[ans_opt_14]])</f>
        <v/>
      </c>
      <c r="T1008" s="44"/>
      <c r="U1008" s="44"/>
      <c r="V1008" s="44"/>
      <c r="W1008" s="44"/>
      <c r="X1008" s="44"/>
      <c r="Y1008" s="44"/>
      <c r="Z1008" s="44"/>
      <c r="AA1008" s="44"/>
      <c r="AB1008" s="44"/>
      <c r="AC1008" s="44"/>
      <c r="AD1008" s="44"/>
      <c r="AE1008" s="44"/>
      <c r="AF1008" s="44"/>
      <c r="AG1008" s="44"/>
      <c r="AH1008" s="124" t="e">
        <f>INDEX(stable[q_standard],MATCH(questions[[#This Row],[qno]],stable[qno],0))</f>
        <v>#N/A</v>
      </c>
      <c r="AI1008" s="124" t="e">
        <f>INDEX(stable[q_living_income],MATCH(questions[[#This Row],[qno]],stable[qno],0))</f>
        <v>#N/A</v>
      </c>
      <c r="AJ1008" s="124" t="e">
        <f>INDEX(stable[q_carbon],MATCH(questions[[#This Row],[qno]],stable[qno],0))</f>
        <v>#N/A</v>
      </c>
      <c r="AK1008" s="124" t="e">
        <f>INDEX(stable[q_regen_ag],MATCH(questions[[#This Row],[qno]],stable[qno],0))</f>
        <v>#N/A</v>
      </c>
      <c r="AL1008" s="155"/>
      <c r="AM1008" s="155"/>
      <c r="AN1008" s="155"/>
      <c r="AO1008" s="155"/>
      <c r="AP1008" s="16" t="str">
        <f>LEFT(questions[[#This Row],[question]],similarity_range)</f>
        <v>What is the name and</v>
      </c>
      <c r="AQ1008" s="16" t="e">
        <f>LEFT(INDEX(stable[question],MATCH(questions[[#This Row],[qno]],stable[qno],0)),similarity_range)</f>
        <v>#N/A</v>
      </c>
      <c r="AR1008" s="16" t="e">
        <f>questions[[#This Row],[question_first_characters]]=questions[[#This Row],[stability_first_characters]]</f>
        <v>#N/A</v>
      </c>
      <c r="AS1008" s="16" t="b">
        <f>IF(OR(questions[[#This Row],[is_single_select]],questions[[#This Row],[is_multi_select]]),NOT(ISBLANK(questions[[#This Row],[answer_opt_combined]])),TRUE)</f>
        <v>1</v>
      </c>
    </row>
    <row r="1009" spans="1:45" ht="15.75" customHeight="1" x14ac:dyDescent="0.25">
      <c r="A1009" s="33" t="str">
        <f>_xlfn.TEXTJOIN("_",TRUE,questions[[#This Row],[origin]:[qno]])</f>
        <v>Vietnam_Robusta_Nestle_Selecta_2025_5121</v>
      </c>
      <c r="B1009" s="33" t="s">
        <v>673</v>
      </c>
      <c r="C1009" s="33" t="s">
        <v>674</v>
      </c>
      <c r="D1009" s="33" t="s">
        <v>904</v>
      </c>
      <c r="E1009" s="33">
        <v>2025</v>
      </c>
      <c r="F1009" s="41">
        <v>5121</v>
      </c>
      <c r="G1009" s="218" t="s">
        <v>921</v>
      </c>
      <c r="H1009" s="33" t="str" cm="1">
        <f t="array" ref="H1009">INDEX(stableR[question],MATCH(VALUE(questions[[#This Row],[qno]]),VALUE(stableR[qno]),0))</f>
        <v>What was the total quantity of the synthetic fertilizer that you used third most, last year? (Kg)</v>
      </c>
      <c r="I1009" s="33" t="b" cm="1">
        <f t="array" ref="I1009">INDEX(stable[is_fixed],MATCH(VALUE(questions[[#This Row],[qno]]),VALUE(stable[qno]),0))</f>
        <v>0</v>
      </c>
      <c r="J1009" s="33" t="b" cm="1">
        <f t="array" ref="J1009">INDEX(stable[is_localized],MATCH(VALUE(questions[[#This Row],[qno]]),VALUE(stable[qno]),0))</f>
        <v>1</v>
      </c>
      <c r="K1009" s="33" t="b" cm="1">
        <f t="array" ref="K1009">INDEX(stable[is_supply_chain_dependent],MATCH(VALUE(questions[[#This Row],[qno]]),VALUE(stable[qno]),0))</f>
        <v>1</v>
      </c>
      <c r="L1009" s="33" t="b" cm="1">
        <f t="array" ref="L1009">INDEX(stable[is_mandatory],MATCH(VALUE(questions[[#This Row],[qno]]),VALUE(stable[qno]),0))</f>
        <v>0</v>
      </c>
      <c r="M1009" s="33" t="b" cm="1">
        <f t="array" ref="M1009">INDEX(stable[is_automated],MATCH(VALUE(questions[[#This Row],[qno]]),VALUE(stable[qno]),0))</f>
        <v>0</v>
      </c>
      <c r="N1009" s="33" t="b" cm="1">
        <f t="array" ref="N1009">INDEX(stable[is_free_text],MATCH(VALUE(questions[[#This Row],[qno]]),VALUE(stable[qno]),0))</f>
        <v>0</v>
      </c>
      <c r="O1009" s="33" t="b" cm="1">
        <f t="array" ref="O1009">INDEX(stable[is_numerical],MATCH(VALUE(questions[[#This Row],[qno]]),VALUE(stable[qno]),0))</f>
        <v>1</v>
      </c>
      <c r="P1009" s="33" t="b" cm="1">
        <f t="array" ref="P1009">INDEX(stable[is_single_select],MATCH(VALUE(questions[[#This Row],[qno]]),VALUE(stable[qno]),0))</f>
        <v>0</v>
      </c>
      <c r="Q1009" s="33" t="b" cm="1">
        <f t="array" ref="Q1009">INDEX(stable[is_multi_select],MATCH(VALUE(questions[[#This Row],[qno]]),VALUE(stable[qno]),0))</f>
        <v>0</v>
      </c>
      <c r="R1009" s="33" t="b" cm="1">
        <f t="array" ref="R1009">INDEX(stable[is_skip_logic],MATCH(VALUE(questions[[#This Row],[qno]]),VALUE(stable[qno]),0))</f>
        <v>1</v>
      </c>
      <c r="S1009" s="33" t="str">
        <f>_xlfn.TEXTJOIN(", ",TRUE,questions[[#This Row],[ans_opt_1]:[ans_opt_14]])</f>
        <v/>
      </c>
      <c r="T1009" s="44"/>
      <c r="U1009" s="44"/>
      <c r="V1009" s="44"/>
      <c r="W1009" s="44"/>
      <c r="X1009" s="44"/>
      <c r="Y1009" s="44"/>
      <c r="Z1009" s="44"/>
      <c r="AA1009" s="44"/>
      <c r="AB1009" s="44"/>
      <c r="AC1009" s="44"/>
      <c r="AD1009" s="44"/>
      <c r="AE1009" s="44"/>
      <c r="AF1009" s="44"/>
      <c r="AG1009" s="44"/>
      <c r="AH1009" s="124" t="e">
        <f>INDEX(stable[q_standard],MATCH(questions[[#This Row],[qno]],stable[qno],0))</f>
        <v>#N/A</v>
      </c>
      <c r="AI1009" s="124" t="e">
        <f>INDEX(stable[q_living_income],MATCH(questions[[#This Row],[qno]],stable[qno],0))</f>
        <v>#N/A</v>
      </c>
      <c r="AJ1009" s="124" t="e">
        <f>INDEX(stable[q_carbon],MATCH(questions[[#This Row],[qno]],stable[qno],0))</f>
        <v>#N/A</v>
      </c>
      <c r="AK1009" s="124" t="e">
        <f>INDEX(stable[q_regen_ag],MATCH(questions[[#This Row],[qno]],stable[qno],0))</f>
        <v>#N/A</v>
      </c>
      <c r="AL1009" s="155"/>
      <c r="AM1009" s="155"/>
      <c r="AN1009" s="155"/>
      <c r="AO1009" s="155"/>
      <c r="AP1009" s="16" t="str">
        <f>LEFT(questions[[#This Row],[question]],similarity_range)</f>
        <v>What was the total a</v>
      </c>
      <c r="AQ1009" s="16" t="e">
        <f>LEFT(INDEX(stable[question],MATCH(questions[[#This Row],[qno]],stable[qno],0)),similarity_range)</f>
        <v>#N/A</v>
      </c>
      <c r="AR1009" s="16" t="e">
        <f>questions[[#This Row],[question_first_characters]]=questions[[#This Row],[stability_first_characters]]</f>
        <v>#N/A</v>
      </c>
      <c r="AS1009" s="16" t="b">
        <f>IF(OR(questions[[#This Row],[is_single_select]],questions[[#This Row],[is_multi_select]]),NOT(ISBLANK(questions[[#This Row],[answer_opt_combined]])),TRUE)</f>
        <v>1</v>
      </c>
    </row>
    <row r="1010" spans="1:45" ht="15.75" customHeight="1" x14ac:dyDescent="0.25">
      <c r="A1010" s="33" t="str">
        <f>_xlfn.TEXTJOIN("_",TRUE,questions[[#This Row],[origin]:[qno]])</f>
        <v>Vietnam_Robusta_Nestle_Selecta_2025_5122</v>
      </c>
      <c r="B1010" s="33" t="s">
        <v>673</v>
      </c>
      <c r="C1010" s="33" t="s">
        <v>674</v>
      </c>
      <c r="D1010" s="33" t="s">
        <v>904</v>
      </c>
      <c r="E1010" s="33">
        <v>2025</v>
      </c>
      <c r="F1010" s="41">
        <v>5122</v>
      </c>
      <c r="G1010" s="218" t="s">
        <v>922</v>
      </c>
      <c r="H1010" s="33" t="str" cm="1">
        <f t="array" ref="H1010">INDEX(stableR[question],MATCH(VALUE(questions[[#This Row],[qno]]),VALUE(stableR[qno]),0))</f>
        <v>What was the unit of the synthetic fertilizer type that you used third most ? (bags, kg)</v>
      </c>
      <c r="I1010" s="33" t="b" cm="1">
        <f t="array" ref="I1010">INDEX(stable[is_fixed],MATCH(VALUE(questions[[#This Row],[qno]]),VALUE(stable[qno]),0))</f>
        <v>0</v>
      </c>
      <c r="J1010" s="33" t="b" cm="1">
        <f t="array" ref="J1010">INDEX(stable[is_localized],MATCH(VALUE(questions[[#This Row],[qno]]),VALUE(stable[qno]),0))</f>
        <v>1</v>
      </c>
      <c r="K1010" s="33" t="b" cm="1">
        <f t="array" ref="K1010">INDEX(stable[is_supply_chain_dependent],MATCH(VALUE(questions[[#This Row],[qno]]),VALUE(stable[qno]),0))</f>
        <v>1</v>
      </c>
      <c r="L1010" s="33" t="b" cm="1">
        <f t="array" ref="L1010">INDEX(stable[is_mandatory],MATCH(VALUE(questions[[#This Row],[qno]]),VALUE(stable[qno]),0))</f>
        <v>0</v>
      </c>
      <c r="M1010" s="33" t="b" cm="1">
        <f t="array" ref="M1010">INDEX(stable[is_automated],MATCH(VALUE(questions[[#This Row],[qno]]),VALUE(stable[qno]),0))</f>
        <v>0</v>
      </c>
      <c r="N1010" s="33" t="b" cm="1">
        <f t="array" ref="N1010">INDEX(stable[is_free_text],MATCH(VALUE(questions[[#This Row],[qno]]),VALUE(stable[qno]),0))</f>
        <v>0</v>
      </c>
      <c r="O1010" s="33" t="b" cm="1">
        <f t="array" ref="O1010">INDEX(stable[is_numerical],MATCH(VALUE(questions[[#This Row],[qno]]),VALUE(stable[qno]),0))</f>
        <v>0</v>
      </c>
      <c r="P1010" s="33" t="b" cm="1">
        <f t="array" ref="P1010">INDEX(stable[is_single_select],MATCH(VALUE(questions[[#This Row],[qno]]),VALUE(stable[qno]),0))</f>
        <v>1</v>
      </c>
      <c r="Q1010" s="33" t="b" cm="1">
        <f t="array" ref="Q1010">INDEX(stable[is_multi_select],MATCH(VALUE(questions[[#This Row],[qno]]),VALUE(stable[qno]),0))</f>
        <v>0</v>
      </c>
      <c r="R1010" s="33" t="b" cm="1">
        <f t="array" ref="R1010">INDEX(stable[is_skip_logic],MATCH(VALUE(questions[[#This Row],[qno]]),VALUE(stable[qno]),0))</f>
        <v>1</v>
      </c>
      <c r="S1010" s="33" t="str">
        <f>_xlfn.TEXTJOIN(", ",TRUE,questions[[#This Row],[ans_opt_1]:[ans_opt_14]])</f>
        <v>kg, liters</v>
      </c>
      <c r="T1010" s="44" t="s">
        <v>562</v>
      </c>
      <c r="U1010" s="45" t="s">
        <v>564</v>
      </c>
      <c r="V1010" s="44"/>
      <c r="W1010" s="44"/>
      <c r="X1010" s="44"/>
      <c r="Y1010" s="44"/>
      <c r="Z1010" s="44"/>
      <c r="AA1010" s="44"/>
      <c r="AB1010" s="44"/>
      <c r="AC1010" s="44"/>
      <c r="AD1010" s="44"/>
      <c r="AE1010" s="44"/>
      <c r="AF1010" s="44"/>
      <c r="AG1010" s="44"/>
      <c r="AH1010" s="124" t="e">
        <f>INDEX(stable[q_standard],MATCH(questions[[#This Row],[qno]],stable[qno],0))</f>
        <v>#N/A</v>
      </c>
      <c r="AI1010" s="124" t="e">
        <f>INDEX(stable[q_living_income],MATCH(questions[[#This Row],[qno]],stable[qno],0))</f>
        <v>#N/A</v>
      </c>
      <c r="AJ1010" s="124" t="e">
        <f>INDEX(stable[q_carbon],MATCH(questions[[#This Row],[qno]],stable[qno],0))</f>
        <v>#N/A</v>
      </c>
      <c r="AK1010" s="124" t="e">
        <f>INDEX(stable[q_regen_ag],MATCH(questions[[#This Row],[qno]],stable[qno],0))</f>
        <v>#N/A</v>
      </c>
      <c r="AL1010" s="155"/>
      <c r="AM1010" s="155"/>
      <c r="AN1010" s="155"/>
      <c r="AO1010" s="155"/>
      <c r="AP1010" s="16" t="str">
        <f>LEFT(questions[[#This Row],[question]],similarity_range)</f>
        <v>What was the unit of</v>
      </c>
      <c r="AQ1010" s="16" t="e">
        <f>LEFT(INDEX(stable[question],MATCH(questions[[#This Row],[qno]],stable[qno],0)),similarity_range)</f>
        <v>#N/A</v>
      </c>
      <c r="AR1010" s="16" t="e">
        <f>questions[[#This Row],[question_first_characters]]=questions[[#This Row],[stability_first_characters]]</f>
        <v>#N/A</v>
      </c>
      <c r="AS1010" s="16" t="b">
        <f>IF(OR(questions[[#This Row],[is_single_select]],questions[[#This Row],[is_multi_select]]),NOT(ISBLANK(questions[[#This Row],[answer_opt_combined]])),TRUE)</f>
        <v>1</v>
      </c>
    </row>
    <row r="1011" spans="1:45" ht="15.75" customHeight="1" x14ac:dyDescent="0.25">
      <c r="A1011" s="33" t="str">
        <f>_xlfn.TEXTJOIN("_",TRUE,questions[[#This Row],[origin]:[qno]])</f>
        <v>Vietnam_Robusta_Nestle_Selecta_2025_5130</v>
      </c>
      <c r="B1011" s="33" t="s">
        <v>673</v>
      </c>
      <c r="C1011" s="33" t="s">
        <v>674</v>
      </c>
      <c r="D1011" s="33" t="s">
        <v>904</v>
      </c>
      <c r="E1011" s="33">
        <v>2025</v>
      </c>
      <c r="F1011" s="41">
        <v>5130</v>
      </c>
      <c r="G1011" s="218" t="s">
        <v>923</v>
      </c>
      <c r="H1011" s="33" t="str" cm="1">
        <f t="array" ref="H1011">INDEX(stableR[question],MATCH(VALUE(questions[[#This Row],[qno]]),VALUE(stableR[qno]),0))</f>
        <v>What was the name of the synthetic fertilizer that you used fourth most, last year?</v>
      </c>
      <c r="I1011" s="33" t="b" cm="1">
        <f t="array" ref="I1011">INDEX(stable[is_fixed],MATCH(VALUE(questions[[#This Row],[qno]]),VALUE(stable[qno]),0))</f>
        <v>0</v>
      </c>
      <c r="J1011" s="33" t="b" cm="1">
        <f t="array" ref="J1011">INDEX(stable[is_localized],MATCH(VALUE(questions[[#This Row],[qno]]),VALUE(stable[qno]),0))</f>
        <v>1</v>
      </c>
      <c r="K1011" s="33" t="b" cm="1">
        <f t="array" ref="K1011">INDEX(stable[is_supply_chain_dependent],MATCH(VALUE(questions[[#This Row],[qno]]),VALUE(stable[qno]),0))</f>
        <v>0</v>
      </c>
      <c r="L1011" s="33" t="b" cm="1">
        <f t="array" ref="L1011">INDEX(stable[is_mandatory],MATCH(VALUE(questions[[#This Row],[qno]]),VALUE(stable[qno]),0))</f>
        <v>0</v>
      </c>
      <c r="M1011" s="33" t="b" cm="1">
        <f t="array" ref="M1011">INDEX(stable[is_automated],MATCH(VALUE(questions[[#This Row],[qno]]),VALUE(stable[qno]),0))</f>
        <v>0</v>
      </c>
      <c r="N1011" s="33" t="b" cm="1">
        <f t="array" ref="N1011">INDEX(stable[is_free_text],MATCH(VALUE(questions[[#This Row],[qno]]),VALUE(stable[qno]),0))</f>
        <v>1</v>
      </c>
      <c r="O1011" s="33" t="b" cm="1">
        <f t="array" ref="O1011">INDEX(stable[is_numerical],MATCH(VALUE(questions[[#This Row],[qno]]),VALUE(stable[qno]),0))</f>
        <v>0</v>
      </c>
      <c r="P1011" s="33" t="b" cm="1">
        <f t="array" ref="P1011">INDEX(stable[is_single_select],MATCH(VALUE(questions[[#This Row],[qno]]),VALUE(stable[qno]),0))</f>
        <v>0</v>
      </c>
      <c r="Q1011" s="33" t="b" cm="1">
        <f t="array" ref="Q1011">INDEX(stable[is_multi_select],MATCH(VALUE(questions[[#This Row],[qno]]),VALUE(stable[qno]),0))</f>
        <v>0</v>
      </c>
      <c r="R1011" s="33" t="b" cm="1">
        <f t="array" ref="R1011">INDEX(stable[is_skip_logic],MATCH(VALUE(questions[[#This Row],[qno]]),VALUE(stable[qno]),0))</f>
        <v>1</v>
      </c>
      <c r="S1011" s="33" t="str">
        <f>_xlfn.TEXTJOIN(", ",TRUE,questions[[#This Row],[ans_opt_1]:[ans_opt_14]])</f>
        <v/>
      </c>
      <c r="T1011" s="44"/>
      <c r="U1011" s="44"/>
      <c r="V1011" s="44"/>
      <c r="W1011" s="44"/>
      <c r="X1011" s="44"/>
      <c r="Y1011" s="44"/>
      <c r="Z1011" s="44"/>
      <c r="AA1011" s="44"/>
      <c r="AB1011" s="44"/>
      <c r="AC1011" s="44"/>
      <c r="AD1011" s="44"/>
      <c r="AE1011" s="44"/>
      <c r="AF1011" s="44"/>
      <c r="AG1011" s="44"/>
      <c r="AH1011" s="124" t="e">
        <f>INDEX(stable[q_standard],MATCH(questions[[#This Row],[qno]],stable[qno],0))</f>
        <v>#N/A</v>
      </c>
      <c r="AI1011" s="124" t="e">
        <f>INDEX(stable[q_living_income],MATCH(questions[[#This Row],[qno]],stable[qno],0))</f>
        <v>#N/A</v>
      </c>
      <c r="AJ1011" s="124" t="e">
        <f>INDEX(stable[q_carbon],MATCH(questions[[#This Row],[qno]],stable[qno],0))</f>
        <v>#N/A</v>
      </c>
      <c r="AK1011" s="124" t="e">
        <f>INDEX(stable[q_regen_ag],MATCH(questions[[#This Row],[qno]],stable[qno],0))</f>
        <v>#N/A</v>
      </c>
      <c r="AL1011" s="155"/>
      <c r="AM1011" s="155"/>
      <c r="AN1011" s="155"/>
      <c r="AO1011" s="155"/>
      <c r="AP1011" s="16" t="str">
        <f>LEFT(questions[[#This Row],[question]],similarity_range)</f>
        <v>What is the name and</v>
      </c>
      <c r="AQ1011" s="16" t="e">
        <f>LEFT(INDEX(stable[question],MATCH(questions[[#This Row],[qno]],stable[qno],0)),similarity_range)</f>
        <v>#N/A</v>
      </c>
      <c r="AR1011" s="16" t="e">
        <f>questions[[#This Row],[question_first_characters]]=questions[[#This Row],[stability_first_characters]]</f>
        <v>#N/A</v>
      </c>
      <c r="AS1011" s="16" t="b">
        <f>IF(OR(questions[[#This Row],[is_single_select]],questions[[#This Row],[is_multi_select]]),NOT(ISBLANK(questions[[#This Row],[answer_opt_combined]])),TRUE)</f>
        <v>1</v>
      </c>
    </row>
    <row r="1012" spans="1:45" ht="15.75" customHeight="1" x14ac:dyDescent="0.25">
      <c r="A1012" s="33" t="str">
        <f>_xlfn.TEXTJOIN("_",TRUE,questions[[#This Row],[origin]:[qno]])</f>
        <v>Vietnam_Robusta_Nestle_Selecta_2025_5131</v>
      </c>
      <c r="B1012" s="33" t="s">
        <v>673</v>
      </c>
      <c r="C1012" s="33" t="s">
        <v>674</v>
      </c>
      <c r="D1012" s="33" t="s">
        <v>904</v>
      </c>
      <c r="E1012" s="33">
        <v>2025</v>
      </c>
      <c r="F1012" s="41">
        <v>5131</v>
      </c>
      <c r="G1012" s="218" t="s">
        <v>924</v>
      </c>
      <c r="H1012" s="33" t="str" cm="1">
        <f t="array" ref="H1012">INDEX(stableR[question],MATCH(VALUE(questions[[#This Row],[qno]]),VALUE(stableR[qno]),0))</f>
        <v>What was the total quantity of the synthetic fertilizer that you used fourth most, last year? (Kg)</v>
      </c>
      <c r="I1012" s="33" t="b" cm="1">
        <f t="array" ref="I1012">INDEX(stable[is_fixed],MATCH(VALUE(questions[[#This Row],[qno]]),VALUE(stable[qno]),0))</f>
        <v>0</v>
      </c>
      <c r="J1012" s="33" t="b" cm="1">
        <f t="array" ref="J1012">INDEX(stable[is_localized],MATCH(VALUE(questions[[#This Row],[qno]]),VALUE(stable[qno]),0))</f>
        <v>1</v>
      </c>
      <c r="K1012" s="33" t="b" cm="1">
        <f t="array" ref="K1012">INDEX(stable[is_supply_chain_dependent],MATCH(VALUE(questions[[#This Row],[qno]]),VALUE(stable[qno]),0))</f>
        <v>0</v>
      </c>
      <c r="L1012" s="33" t="b" cm="1">
        <f t="array" ref="L1012">INDEX(stable[is_mandatory],MATCH(VALUE(questions[[#This Row],[qno]]),VALUE(stable[qno]),0))</f>
        <v>0</v>
      </c>
      <c r="M1012" s="33" t="b" cm="1">
        <f t="array" ref="M1012">INDEX(stable[is_automated],MATCH(VALUE(questions[[#This Row],[qno]]),VALUE(stable[qno]),0))</f>
        <v>0</v>
      </c>
      <c r="N1012" s="33" t="b" cm="1">
        <f t="array" ref="N1012">INDEX(stable[is_free_text],MATCH(VALUE(questions[[#This Row],[qno]]),VALUE(stable[qno]),0))</f>
        <v>0</v>
      </c>
      <c r="O1012" s="33" t="b" cm="1">
        <f t="array" ref="O1012">INDEX(stable[is_numerical],MATCH(VALUE(questions[[#This Row],[qno]]),VALUE(stable[qno]),0))</f>
        <v>1</v>
      </c>
      <c r="P1012" s="33" t="b" cm="1">
        <f t="array" ref="P1012">INDEX(stable[is_single_select],MATCH(VALUE(questions[[#This Row],[qno]]),VALUE(stable[qno]),0))</f>
        <v>0</v>
      </c>
      <c r="Q1012" s="33" t="b" cm="1">
        <f t="array" ref="Q1012">INDEX(stable[is_multi_select],MATCH(VALUE(questions[[#This Row],[qno]]),VALUE(stable[qno]),0))</f>
        <v>0</v>
      </c>
      <c r="R1012" s="33" t="b" cm="1">
        <f t="array" ref="R1012">INDEX(stable[is_skip_logic],MATCH(VALUE(questions[[#This Row],[qno]]),VALUE(stable[qno]),0))</f>
        <v>1</v>
      </c>
      <c r="S1012" s="33" t="str">
        <f>_xlfn.TEXTJOIN(", ",TRUE,questions[[#This Row],[ans_opt_1]:[ans_opt_14]])</f>
        <v/>
      </c>
      <c r="T1012" s="44"/>
      <c r="U1012" s="44"/>
      <c r="V1012" s="44"/>
      <c r="W1012" s="44"/>
      <c r="X1012" s="44"/>
      <c r="Y1012" s="44"/>
      <c r="Z1012" s="44"/>
      <c r="AA1012" s="44"/>
      <c r="AB1012" s="44"/>
      <c r="AC1012" s="44"/>
      <c r="AD1012" s="44"/>
      <c r="AE1012" s="44"/>
      <c r="AF1012" s="44"/>
      <c r="AG1012" s="44"/>
      <c r="AH1012" s="124" t="e">
        <f>INDEX(stable[q_standard],MATCH(questions[[#This Row],[qno]],stable[qno],0))</f>
        <v>#N/A</v>
      </c>
      <c r="AI1012" s="124" t="e">
        <f>INDEX(stable[q_living_income],MATCH(questions[[#This Row],[qno]],stable[qno],0))</f>
        <v>#N/A</v>
      </c>
      <c r="AJ1012" s="124" t="e">
        <f>INDEX(stable[q_carbon],MATCH(questions[[#This Row],[qno]],stable[qno],0))</f>
        <v>#N/A</v>
      </c>
      <c r="AK1012" s="124" t="e">
        <f>INDEX(stable[q_regen_ag],MATCH(questions[[#This Row],[qno]],stable[qno],0))</f>
        <v>#N/A</v>
      </c>
      <c r="AL1012" s="155"/>
      <c r="AM1012" s="155"/>
      <c r="AN1012" s="155"/>
      <c r="AO1012" s="155"/>
      <c r="AP1012" s="16" t="str">
        <f>LEFT(questions[[#This Row],[question]],similarity_range)</f>
        <v>What was the total a</v>
      </c>
      <c r="AQ1012" s="16" t="e">
        <f>LEFT(INDEX(stable[question],MATCH(questions[[#This Row],[qno]],stable[qno],0)),similarity_range)</f>
        <v>#N/A</v>
      </c>
      <c r="AR1012" s="16" t="e">
        <f>questions[[#This Row],[question_first_characters]]=questions[[#This Row],[stability_first_characters]]</f>
        <v>#N/A</v>
      </c>
      <c r="AS1012" s="16" t="b">
        <f>IF(OR(questions[[#This Row],[is_single_select]],questions[[#This Row],[is_multi_select]]),NOT(ISBLANK(questions[[#This Row],[answer_opt_combined]])),TRUE)</f>
        <v>1</v>
      </c>
    </row>
    <row r="1013" spans="1:45" ht="15.75" customHeight="1" x14ac:dyDescent="0.25">
      <c r="A1013" s="33" t="str">
        <f>_xlfn.TEXTJOIN("_",TRUE,questions[[#This Row],[origin]:[qno]])</f>
        <v>Vietnam_Robusta_Nestle_Selecta_2025_5132</v>
      </c>
      <c r="B1013" s="33" t="s">
        <v>673</v>
      </c>
      <c r="C1013" s="33" t="s">
        <v>674</v>
      </c>
      <c r="D1013" s="33" t="s">
        <v>904</v>
      </c>
      <c r="E1013" s="33">
        <v>2025</v>
      </c>
      <c r="F1013" s="41">
        <v>5132</v>
      </c>
      <c r="G1013" s="218" t="s">
        <v>925</v>
      </c>
      <c r="H1013" s="33" t="str" cm="1">
        <f t="array" ref="H1013">INDEX(stableR[question],MATCH(VALUE(questions[[#This Row],[qno]]),VALUE(stableR[qno]),0))</f>
        <v>What was the unit of the synthetic fertilizer type that you used fourth most ? (bags, kg)</v>
      </c>
      <c r="I1013" s="33" t="b" cm="1">
        <f t="array" ref="I1013">INDEX(stable[is_fixed],MATCH(VALUE(questions[[#This Row],[qno]]),VALUE(stable[qno]),0))</f>
        <v>0</v>
      </c>
      <c r="J1013" s="33" t="b" cm="1">
        <f t="array" ref="J1013">INDEX(stable[is_localized],MATCH(VALUE(questions[[#This Row],[qno]]),VALUE(stable[qno]),0))</f>
        <v>1</v>
      </c>
      <c r="K1013" s="33" t="b" cm="1">
        <f t="array" ref="K1013">INDEX(stable[is_supply_chain_dependent],MATCH(VALUE(questions[[#This Row],[qno]]),VALUE(stable[qno]),0))</f>
        <v>0</v>
      </c>
      <c r="L1013" s="33" t="b" cm="1">
        <f t="array" ref="L1013">INDEX(stable[is_mandatory],MATCH(VALUE(questions[[#This Row],[qno]]),VALUE(stable[qno]),0))</f>
        <v>0</v>
      </c>
      <c r="M1013" s="33" t="b" cm="1">
        <f t="array" ref="M1013">INDEX(stable[is_automated],MATCH(VALUE(questions[[#This Row],[qno]]),VALUE(stable[qno]),0))</f>
        <v>0</v>
      </c>
      <c r="N1013" s="33" t="b" cm="1">
        <f t="array" ref="N1013">INDEX(stable[is_free_text],MATCH(VALUE(questions[[#This Row],[qno]]),VALUE(stable[qno]),0))</f>
        <v>0</v>
      </c>
      <c r="O1013" s="33" t="b" cm="1">
        <f t="array" ref="O1013">INDEX(stable[is_numerical],MATCH(VALUE(questions[[#This Row],[qno]]),VALUE(stable[qno]),0))</f>
        <v>0</v>
      </c>
      <c r="P1013" s="33" t="b" cm="1">
        <f t="array" ref="P1013">INDEX(stable[is_single_select],MATCH(VALUE(questions[[#This Row],[qno]]),VALUE(stable[qno]),0))</f>
        <v>1</v>
      </c>
      <c r="Q1013" s="33" t="b" cm="1">
        <f t="array" ref="Q1013">INDEX(stable[is_multi_select],MATCH(VALUE(questions[[#This Row],[qno]]),VALUE(stable[qno]),0))</f>
        <v>0</v>
      </c>
      <c r="R1013" s="33" t="b" cm="1">
        <f t="array" ref="R1013">INDEX(stable[is_skip_logic],MATCH(VALUE(questions[[#This Row],[qno]]),VALUE(stable[qno]),0))</f>
        <v>1</v>
      </c>
      <c r="S1013" s="33" t="str">
        <f>_xlfn.TEXTJOIN(", ",TRUE,questions[[#This Row],[ans_opt_1]:[ans_opt_14]])</f>
        <v>kg, liters</v>
      </c>
      <c r="T1013" s="44" t="s">
        <v>562</v>
      </c>
      <c r="U1013" s="45" t="s">
        <v>564</v>
      </c>
      <c r="V1013" s="44"/>
      <c r="W1013" s="44"/>
      <c r="X1013" s="44"/>
      <c r="Y1013" s="44"/>
      <c r="Z1013" s="44"/>
      <c r="AA1013" s="44"/>
      <c r="AB1013" s="44"/>
      <c r="AC1013" s="44"/>
      <c r="AD1013" s="44"/>
      <c r="AE1013" s="44"/>
      <c r="AF1013" s="44"/>
      <c r="AG1013" s="44"/>
      <c r="AH1013" s="124" t="e">
        <f>INDEX(stable[q_standard],MATCH(questions[[#This Row],[qno]],stable[qno],0))</f>
        <v>#N/A</v>
      </c>
      <c r="AI1013" s="124" t="e">
        <f>INDEX(stable[q_living_income],MATCH(questions[[#This Row],[qno]],stable[qno],0))</f>
        <v>#N/A</v>
      </c>
      <c r="AJ1013" s="124" t="e">
        <f>INDEX(stable[q_carbon],MATCH(questions[[#This Row],[qno]],stable[qno],0))</f>
        <v>#N/A</v>
      </c>
      <c r="AK1013" s="124" t="e">
        <f>INDEX(stable[q_regen_ag],MATCH(questions[[#This Row],[qno]],stable[qno],0))</f>
        <v>#N/A</v>
      </c>
      <c r="AL1013" s="155"/>
      <c r="AM1013" s="155"/>
      <c r="AN1013" s="155"/>
      <c r="AO1013" s="155"/>
      <c r="AP1013" s="16" t="str">
        <f>LEFT(questions[[#This Row],[question]],similarity_range)</f>
        <v>What was the unit of</v>
      </c>
      <c r="AQ1013" s="16" t="e">
        <f>LEFT(INDEX(stable[question],MATCH(questions[[#This Row],[qno]],stable[qno],0)),similarity_range)</f>
        <v>#N/A</v>
      </c>
      <c r="AR1013" s="16" t="e">
        <f>questions[[#This Row],[question_first_characters]]=questions[[#This Row],[stability_first_characters]]</f>
        <v>#N/A</v>
      </c>
      <c r="AS1013" s="16" t="b">
        <f>IF(OR(questions[[#This Row],[is_single_select]],questions[[#This Row],[is_multi_select]]),NOT(ISBLANK(questions[[#This Row],[answer_opt_combined]])),TRUE)</f>
        <v>1</v>
      </c>
    </row>
    <row r="1014" spans="1:45" ht="15.75" customHeight="1" x14ac:dyDescent="0.25">
      <c r="A1014" s="33" t="str">
        <f>_xlfn.TEXTJOIN("_",TRUE,questions[[#This Row],[origin]:[qno]])</f>
        <v>Vietnam_Robusta_Nestle_Selecta_2025_5140</v>
      </c>
      <c r="B1014" s="33" t="s">
        <v>673</v>
      </c>
      <c r="C1014" s="33" t="s">
        <v>674</v>
      </c>
      <c r="D1014" s="33" t="s">
        <v>904</v>
      </c>
      <c r="E1014" s="33">
        <v>2025</v>
      </c>
      <c r="F1014" s="41" t="s">
        <v>171</v>
      </c>
      <c r="G1014" s="219" t="s">
        <v>172</v>
      </c>
      <c r="H1014" s="33" t="str" cm="1">
        <f t="array" ref="H1014">INDEX(stableR[question],MATCH(VALUE(questions[[#This Row],[qno]]),VALUE(stableR[qno]),0))</f>
        <v>Did you use Limestone or Dolomitic Limestone (Dolomite) last year?</v>
      </c>
      <c r="I1014" s="33" t="b" cm="1">
        <f t="array" ref="I1014">INDEX(stable[is_fixed],MATCH(VALUE(questions[[#This Row],[qno]]),VALUE(stable[qno]),0))</f>
        <v>1</v>
      </c>
      <c r="J1014" s="33" t="b" cm="1">
        <f t="array" ref="J1014">INDEX(stable[is_localized],MATCH(VALUE(questions[[#This Row],[qno]]),VALUE(stable[qno]),0))</f>
        <v>1</v>
      </c>
      <c r="K1014" s="33" t="b" cm="1">
        <f t="array" ref="K1014">INDEX(stable[is_supply_chain_dependent],MATCH(VALUE(questions[[#This Row],[qno]]),VALUE(stable[qno]),0))</f>
        <v>0</v>
      </c>
      <c r="L1014" s="33" t="b" cm="1">
        <f t="array" ref="L1014">INDEX(stable[is_mandatory],MATCH(VALUE(questions[[#This Row],[qno]]),VALUE(stable[qno]),0))</f>
        <v>1</v>
      </c>
      <c r="M1014" s="33" t="b" cm="1">
        <f t="array" ref="M1014">INDEX(stable[is_automated],MATCH(VALUE(questions[[#This Row],[qno]]),VALUE(stable[qno]),0))</f>
        <v>0</v>
      </c>
      <c r="N1014" s="33" t="b" cm="1">
        <f t="array" ref="N1014">INDEX(stable[is_free_text],MATCH(VALUE(questions[[#This Row],[qno]]),VALUE(stable[qno]),0))</f>
        <v>0</v>
      </c>
      <c r="O1014" s="33" t="b" cm="1">
        <f t="array" ref="O1014">INDEX(stable[is_numerical],MATCH(VALUE(questions[[#This Row],[qno]]),VALUE(stable[qno]),0))</f>
        <v>0</v>
      </c>
      <c r="P1014" s="33" t="b" cm="1">
        <f t="array" ref="P1014">INDEX(stable[is_single_select],MATCH(VALUE(questions[[#This Row],[qno]]),VALUE(stable[qno]),0))</f>
        <v>1</v>
      </c>
      <c r="Q1014" s="33" t="b" cm="1">
        <f t="array" ref="Q1014">INDEX(stable[is_multi_select],MATCH(VALUE(questions[[#This Row],[qno]]),VALUE(stable[qno]),0))</f>
        <v>0</v>
      </c>
      <c r="R1014" s="33" t="b" cm="1">
        <f t="array" ref="R1014">INDEX(stable[is_skip_logic],MATCH(VALUE(questions[[#This Row],[qno]]),VALUE(stable[qno]),0))</f>
        <v>1</v>
      </c>
      <c r="S1014" s="33" t="str">
        <f>_xlfn.TEXTJOIN(", ",TRUE,questions[[#This Row],[ans_opt_1]:[ans_opt_14]])</f>
        <v/>
      </c>
      <c r="T1014" s="44"/>
      <c r="U1014" s="44"/>
      <c r="V1014" s="44"/>
      <c r="W1014" s="44"/>
      <c r="X1014" s="44"/>
      <c r="Y1014" s="44"/>
      <c r="Z1014" s="44"/>
      <c r="AA1014" s="44"/>
      <c r="AB1014" s="44"/>
      <c r="AC1014" s="44"/>
      <c r="AD1014" s="44"/>
      <c r="AE1014" s="44"/>
      <c r="AF1014" s="44"/>
      <c r="AG1014" s="44"/>
      <c r="AH1014" s="124" t="b">
        <f>INDEX(stable[q_standard],MATCH(questions[[#This Row],[qno]],stable[qno],0))</f>
        <v>0</v>
      </c>
      <c r="AI1014" s="124" t="b">
        <f>INDEX(stable[q_living_income],MATCH(questions[[#This Row],[qno]],stable[qno],0))</f>
        <v>1</v>
      </c>
      <c r="AJ1014" s="124" t="b">
        <f>INDEX(stable[q_carbon],MATCH(questions[[#This Row],[qno]],stable[qno],0))</f>
        <v>1</v>
      </c>
      <c r="AK1014" s="124" t="b">
        <f>INDEX(stable[q_regen_ag],MATCH(questions[[#This Row],[qno]],stable[qno],0))</f>
        <v>0</v>
      </c>
      <c r="AL1014" s="155"/>
      <c r="AM1014" s="155"/>
      <c r="AN1014" s="155"/>
      <c r="AO1014" s="155"/>
      <c r="AP1014" s="16" t="str">
        <f>LEFT(questions[[#This Row],[question]],similarity_range)</f>
        <v>Is there any other t</v>
      </c>
      <c r="AQ1014" s="16" t="str">
        <f>LEFT(INDEX(stable[question],MATCH(questions[[#This Row],[qno]],stable[qno],0)),similarity_range)</f>
        <v>Did you use Limeston</v>
      </c>
      <c r="AR1014" s="16" t="b">
        <f>questions[[#This Row],[question_first_characters]]=questions[[#This Row],[stability_first_characters]]</f>
        <v>0</v>
      </c>
      <c r="AS1014" s="16" t="b">
        <f>IF(OR(questions[[#This Row],[is_single_select]],questions[[#This Row],[is_multi_select]]),NOT(ISBLANK(questions[[#This Row],[answer_opt_combined]])),TRUE)</f>
        <v>1</v>
      </c>
    </row>
    <row r="1015" spans="1:45" ht="15.75" customHeight="1" x14ac:dyDescent="0.25">
      <c r="A1015" s="33" t="str">
        <f>_xlfn.TEXTJOIN("_",TRUE,questions[[#This Row],[origin]:[qno]])</f>
        <v>Vietnam_Robusta_Nestle_Selecta_2025_5141</v>
      </c>
      <c r="B1015" s="33" t="s">
        <v>673</v>
      </c>
      <c r="C1015" s="33" t="s">
        <v>674</v>
      </c>
      <c r="D1015" s="33" t="s">
        <v>904</v>
      </c>
      <c r="E1015" s="33">
        <v>2025</v>
      </c>
      <c r="F1015" s="41" t="s">
        <v>750</v>
      </c>
      <c r="G1015" s="218" t="s">
        <v>569</v>
      </c>
      <c r="H1015" s="33" t="str" cm="1">
        <f t="array" ref="H1015">INDEX(stableR[question],MATCH(VALUE(questions[[#This Row],[qno]]),VALUE(stableR[qno]),0))</f>
        <v>What was the total quantity of the Limestone or Dolomitic Limestone (Dolomite) that you used last year? (Kg)</v>
      </c>
      <c r="I1015" s="33" t="b" cm="1">
        <f t="array" ref="I1015">INDEX(stable[is_fixed],MATCH(VALUE(questions[[#This Row],[qno]]),VALUE(stable[qno]),0))</f>
        <v>0</v>
      </c>
      <c r="J1015" s="33" t="b" cm="1">
        <f t="array" ref="J1015">INDEX(stable[is_localized],MATCH(VALUE(questions[[#This Row],[qno]]),VALUE(stable[qno]),0))</f>
        <v>1</v>
      </c>
      <c r="K1015" s="33" t="b" cm="1">
        <f t="array" ref="K1015">INDEX(stable[is_supply_chain_dependent],MATCH(VALUE(questions[[#This Row],[qno]]),VALUE(stable[qno]),0))</f>
        <v>0</v>
      </c>
      <c r="L1015" s="33" t="b" cm="1">
        <f t="array" ref="L1015">INDEX(stable[is_mandatory],MATCH(VALUE(questions[[#This Row],[qno]]),VALUE(stable[qno]),0))</f>
        <v>0</v>
      </c>
      <c r="M1015" s="33" t="b" cm="1">
        <f t="array" ref="M1015">INDEX(stable[is_automated],MATCH(VALUE(questions[[#This Row],[qno]]),VALUE(stable[qno]),0))</f>
        <v>0</v>
      </c>
      <c r="N1015" s="33" t="b" cm="1">
        <f t="array" ref="N1015">INDEX(stable[is_free_text],MATCH(VALUE(questions[[#This Row],[qno]]),VALUE(stable[qno]),0))</f>
        <v>0</v>
      </c>
      <c r="O1015" s="33" t="b" cm="1">
        <f t="array" ref="O1015">INDEX(stable[is_numerical],MATCH(VALUE(questions[[#This Row],[qno]]),VALUE(stable[qno]),0))</f>
        <v>1</v>
      </c>
      <c r="P1015" s="33" t="b" cm="1">
        <f t="array" ref="P1015">INDEX(stable[is_single_select],MATCH(VALUE(questions[[#This Row],[qno]]),VALUE(stable[qno]),0))</f>
        <v>0</v>
      </c>
      <c r="Q1015" s="33" t="b" cm="1">
        <f t="array" ref="Q1015">INDEX(stable[is_multi_select],MATCH(VALUE(questions[[#This Row],[qno]]),VALUE(stable[qno]),0))</f>
        <v>0</v>
      </c>
      <c r="R1015" s="33" t="b" cm="1">
        <f t="array" ref="R1015">INDEX(stable[is_skip_logic],MATCH(VALUE(questions[[#This Row],[qno]]),VALUE(stable[qno]),0))</f>
        <v>1</v>
      </c>
      <c r="S1015" s="33" t="str">
        <f>_xlfn.TEXTJOIN(", ",TRUE,questions[[#This Row],[ans_opt_1]:[ans_opt_14]])</f>
        <v/>
      </c>
      <c r="T1015" s="44"/>
      <c r="U1015" s="44"/>
      <c r="V1015" s="44"/>
      <c r="W1015" s="44"/>
      <c r="X1015" s="44"/>
      <c r="Y1015" s="44"/>
      <c r="Z1015" s="44"/>
      <c r="AA1015" s="44"/>
      <c r="AB1015" s="44"/>
      <c r="AC1015" s="44"/>
      <c r="AD1015" s="44"/>
      <c r="AE1015" s="44"/>
      <c r="AF1015" s="44"/>
      <c r="AG1015" s="44"/>
      <c r="AH1015" s="124" t="b">
        <f>INDEX(stable[q_standard],MATCH(questions[[#This Row],[qno]],stable[qno],0))</f>
        <v>0</v>
      </c>
      <c r="AI1015" s="124" t="b">
        <f>INDEX(stable[q_living_income],MATCH(questions[[#This Row],[qno]],stable[qno],0))</f>
        <v>1</v>
      </c>
      <c r="AJ1015" s="124" t="b">
        <f>INDEX(stable[q_carbon],MATCH(questions[[#This Row],[qno]],stable[qno],0))</f>
        <v>1</v>
      </c>
      <c r="AK1015" s="124" t="b">
        <f>INDEX(stable[q_regen_ag],MATCH(questions[[#This Row],[qno]],stable[qno],0))</f>
        <v>0</v>
      </c>
      <c r="AL1015" s="155"/>
      <c r="AM1015" s="155"/>
      <c r="AN1015" s="155"/>
      <c r="AO1015" s="155"/>
      <c r="AP1015" s="16" t="str">
        <f>LEFT(questions[[#This Row],[question]],similarity_range)</f>
        <v>What was the total q</v>
      </c>
      <c r="AQ1015" s="16" t="str">
        <f>LEFT(INDEX(stable[question],MATCH(questions[[#This Row],[qno]],stable[qno],0)),similarity_range)</f>
        <v>What was the total q</v>
      </c>
      <c r="AR1015" s="16" t="b">
        <f>questions[[#This Row],[question_first_characters]]=questions[[#This Row],[stability_first_characters]]</f>
        <v>1</v>
      </c>
      <c r="AS1015" s="16" t="b">
        <f>IF(OR(questions[[#This Row],[is_single_select]],questions[[#This Row],[is_multi_select]]),NOT(ISBLANK(questions[[#This Row],[answer_opt_combined]])),TRUE)</f>
        <v>1</v>
      </c>
    </row>
    <row r="1016" spans="1:45" ht="15.75" customHeight="1" x14ac:dyDescent="0.25">
      <c r="A1016" s="33" t="str">
        <f>_xlfn.TEXTJOIN("_",TRUE,questions[[#This Row],[origin]:[qno]])</f>
        <v>Vietnam_Robusta_Nestle_Selecta_2025_5142</v>
      </c>
      <c r="B1016" s="33" t="s">
        <v>673</v>
      </c>
      <c r="C1016" s="33" t="s">
        <v>674</v>
      </c>
      <c r="D1016" s="33" t="s">
        <v>904</v>
      </c>
      <c r="E1016" s="33">
        <v>2025</v>
      </c>
      <c r="F1016" s="41" t="s">
        <v>692</v>
      </c>
      <c r="G1016" s="218" t="s">
        <v>926</v>
      </c>
      <c r="H1016" s="33" t="str" cm="1">
        <f t="array" ref="H1016">INDEX(stableR[question],MATCH(VALUE(questions[[#This Row],[qno]]),VALUE(stableR[qno]),0))</f>
        <v>What was the unit of the Limestone or Dolomitic Limestone (Dolomite)? (bags, kg)</v>
      </c>
      <c r="I1016" s="33" t="b" cm="1">
        <f t="array" ref="I1016">INDEX(stable[is_fixed],MATCH(VALUE(questions[[#This Row],[qno]]),VALUE(stable[qno]),0))</f>
        <v>0</v>
      </c>
      <c r="J1016" s="33" t="b" cm="1">
        <f t="array" ref="J1016">INDEX(stable[is_localized],MATCH(VALUE(questions[[#This Row],[qno]]),VALUE(stable[qno]),0))</f>
        <v>1</v>
      </c>
      <c r="K1016" s="33" t="b" cm="1">
        <f t="array" ref="K1016">INDEX(stable[is_supply_chain_dependent],MATCH(VALUE(questions[[#This Row],[qno]]),VALUE(stable[qno]),0))</f>
        <v>0</v>
      </c>
      <c r="L1016" s="33" t="b" cm="1">
        <f t="array" ref="L1016">INDEX(stable[is_mandatory],MATCH(VALUE(questions[[#This Row],[qno]]),VALUE(stable[qno]),0))</f>
        <v>0</v>
      </c>
      <c r="M1016" s="33" t="b" cm="1">
        <f t="array" ref="M1016">INDEX(stable[is_automated],MATCH(VALUE(questions[[#This Row],[qno]]),VALUE(stable[qno]),0))</f>
        <v>0</v>
      </c>
      <c r="N1016" s="33" t="b" cm="1">
        <f t="array" ref="N1016">INDEX(stable[is_free_text],MATCH(VALUE(questions[[#This Row],[qno]]),VALUE(stable[qno]),0))</f>
        <v>0</v>
      </c>
      <c r="O1016" s="33" t="b" cm="1">
        <f t="array" ref="O1016">INDEX(stable[is_numerical],MATCH(VALUE(questions[[#This Row],[qno]]),VALUE(stable[qno]),0))</f>
        <v>0</v>
      </c>
      <c r="P1016" s="33" t="b" cm="1">
        <f t="array" ref="P1016">INDEX(stable[is_single_select],MATCH(VALUE(questions[[#This Row],[qno]]),VALUE(stable[qno]),0))</f>
        <v>1</v>
      </c>
      <c r="Q1016" s="33" t="b" cm="1">
        <f t="array" ref="Q1016">INDEX(stable[is_multi_select],MATCH(VALUE(questions[[#This Row],[qno]]),VALUE(stable[qno]),0))</f>
        <v>0</v>
      </c>
      <c r="R1016" s="33" t="b" cm="1">
        <f t="array" ref="R1016">INDEX(stable[is_skip_logic],MATCH(VALUE(questions[[#This Row],[qno]]),VALUE(stable[qno]),0))</f>
        <v>1</v>
      </c>
      <c r="S1016" s="33" t="str">
        <f>_xlfn.TEXTJOIN(", ",TRUE,questions[[#This Row],[ans_opt_1]:[ans_opt_14]])</f>
        <v/>
      </c>
      <c r="T1016" s="44"/>
      <c r="U1016" s="44"/>
      <c r="V1016" s="44"/>
      <c r="W1016" s="44"/>
      <c r="X1016" s="44"/>
      <c r="Y1016" s="44"/>
      <c r="Z1016" s="44"/>
      <c r="AA1016" s="44"/>
      <c r="AB1016" s="44"/>
      <c r="AC1016" s="44"/>
      <c r="AD1016" s="44"/>
      <c r="AE1016" s="44"/>
      <c r="AF1016" s="44"/>
      <c r="AG1016" s="44"/>
      <c r="AH1016" s="124" t="b">
        <f>INDEX(stable[q_standard],MATCH(questions[[#This Row],[qno]],stable[qno],0))</f>
        <v>0</v>
      </c>
      <c r="AI1016" s="124" t="b">
        <f>INDEX(stable[q_living_income],MATCH(questions[[#This Row],[qno]],stable[qno],0))</f>
        <v>1</v>
      </c>
      <c r="AJ1016" s="124" t="b">
        <f>INDEX(stable[q_carbon],MATCH(questions[[#This Row],[qno]],stable[qno],0))</f>
        <v>1</v>
      </c>
      <c r="AK1016" s="124" t="b">
        <f>INDEX(stable[q_regen_ag],MATCH(questions[[#This Row],[qno]],stable[qno],0))</f>
        <v>0</v>
      </c>
      <c r="AL1016" s="155"/>
      <c r="AM1016" s="155"/>
      <c r="AN1016" s="155"/>
      <c r="AO1016" s="155"/>
      <c r="AP1016" s="16" t="str">
        <f>LEFT(questions[[#This Row],[question]],similarity_range)</f>
        <v>What was the unit of</v>
      </c>
      <c r="AQ1016" s="16" t="str">
        <f>LEFT(INDEX(stable[question],MATCH(questions[[#This Row],[qno]],stable[qno],0)),similarity_range)</f>
        <v>What was the unit of</v>
      </c>
      <c r="AR1016" s="16" t="b">
        <f>questions[[#This Row],[question_first_characters]]=questions[[#This Row],[stability_first_characters]]</f>
        <v>1</v>
      </c>
      <c r="AS1016" s="16" t="b">
        <f>IF(OR(questions[[#This Row],[is_single_select]],questions[[#This Row],[is_multi_select]]),NOT(ISBLANK(questions[[#This Row],[answer_opt_combined]])),TRUE)</f>
        <v>1</v>
      </c>
    </row>
    <row r="1017" spans="1:45" s="77" customFormat="1" ht="15.75" customHeight="1" x14ac:dyDescent="0.25">
      <c r="A1017" s="77" t="str">
        <f>_xlfn.TEXTJOIN("_",TRUE,questions[[#This Row],[origin]:[qno]])</f>
        <v>Vietnam_Robusta_Nestle_Selecta_2025_5400</v>
      </c>
      <c r="B1017" s="77" t="s">
        <v>673</v>
      </c>
      <c r="C1017" s="77" t="s">
        <v>674</v>
      </c>
      <c r="D1017" s="77" t="s">
        <v>904</v>
      </c>
      <c r="E1017" s="77">
        <v>2025</v>
      </c>
      <c r="F1017" s="105" t="s">
        <v>175</v>
      </c>
      <c r="G1017" s="109" t="s">
        <v>176</v>
      </c>
      <c r="H1017" s="33" t="str" cm="1">
        <f t="array" ref="H1017">INDEX(stableR[question],MATCH(VALUE(questions[[#This Row],[qno]]),VALUE(stableR[qno]),0))</f>
        <v>Did you use any type of animal manure, compost, or organic fertilizers for your coffee last year?</v>
      </c>
      <c r="I1017" s="33" t="b" cm="1">
        <f t="array" ref="I1017">INDEX(stable[is_fixed],MATCH(VALUE(questions[[#This Row],[qno]]),VALUE(stable[qno]),0))</f>
        <v>1</v>
      </c>
      <c r="J1017" s="33" t="b" cm="1">
        <f t="array" ref="J1017">INDEX(stable[is_localized],MATCH(VALUE(questions[[#This Row],[qno]]),VALUE(stable[qno]),0))</f>
        <v>0</v>
      </c>
      <c r="K1017" s="33" t="b" cm="1">
        <f t="array" ref="K1017">INDEX(stable[is_supply_chain_dependent],MATCH(VALUE(questions[[#This Row],[qno]]),VALUE(stable[qno]),0))</f>
        <v>0</v>
      </c>
      <c r="L1017" s="33" t="b" cm="1">
        <f t="array" ref="L1017">INDEX(stable[is_mandatory],MATCH(VALUE(questions[[#This Row],[qno]]),VALUE(stable[qno]),0))</f>
        <v>1</v>
      </c>
      <c r="M1017" s="33" t="b" cm="1">
        <f t="array" ref="M1017">INDEX(stable[is_automated],MATCH(VALUE(questions[[#This Row],[qno]]),VALUE(stable[qno]),0))</f>
        <v>0</v>
      </c>
      <c r="N1017" s="33" t="b" cm="1">
        <f t="array" ref="N1017">INDEX(stable[is_free_text],MATCH(VALUE(questions[[#This Row],[qno]]),VALUE(stable[qno]),0))</f>
        <v>0</v>
      </c>
      <c r="O1017" s="33" t="b" cm="1">
        <f t="array" ref="O1017">INDEX(stable[is_numerical],MATCH(VALUE(questions[[#This Row],[qno]]),VALUE(stable[qno]),0))</f>
        <v>0</v>
      </c>
      <c r="P1017" s="77" t="b" cm="1">
        <f t="array" ref="P1017">INDEX(stable[is_single_select],MATCH(VALUE(questions[[#This Row],[qno]]),VALUE(stable[qno]),0))</f>
        <v>1</v>
      </c>
      <c r="Q1017" s="77" t="b" cm="1">
        <f t="array" ref="Q1017">INDEX(stable[is_multi_select],MATCH(VALUE(questions[[#This Row],[qno]]),VALUE(stable[qno]),0))</f>
        <v>0</v>
      </c>
      <c r="R1017" s="77" t="b" cm="1">
        <f t="array" ref="R1017">INDEX(stable[is_skip_logic],MATCH(VALUE(questions[[#This Row],[qno]]),VALUE(stable[qno]),0))</f>
        <v>1</v>
      </c>
      <c r="S1017" s="77" t="str">
        <f>_xlfn.TEXTJOIN(", ",TRUE,questions[[#This Row],[ans_opt_1]:[ans_opt_14]])</f>
        <v>Yes, No</v>
      </c>
      <c r="T1017" s="77" t="s">
        <v>149</v>
      </c>
      <c r="U1017" s="77" t="s">
        <v>119</v>
      </c>
      <c r="V1017" s="110"/>
      <c r="W1017" s="113"/>
      <c r="X1017" s="113"/>
      <c r="Y1017" s="113"/>
      <c r="Z1017" s="113"/>
      <c r="AA1017" s="113"/>
      <c r="AB1017" s="113"/>
      <c r="AC1017" s="113"/>
      <c r="AD1017" s="110"/>
      <c r="AE1017" s="110"/>
      <c r="AF1017" s="110"/>
      <c r="AG1017" s="110"/>
      <c r="AH1017" s="126" t="b">
        <f>INDEX(stable[q_standard],MATCH(questions[[#This Row],[qno]],stable[qno],0))</f>
        <v>0</v>
      </c>
      <c r="AI1017" s="126" t="b">
        <f>INDEX(stable[q_living_income],MATCH(questions[[#This Row],[qno]],stable[qno],0))</f>
        <v>1</v>
      </c>
      <c r="AJ1017" s="126" t="b">
        <f>INDEX(stable[q_carbon],MATCH(questions[[#This Row],[qno]],stable[qno],0))</f>
        <v>1</v>
      </c>
      <c r="AK1017" s="126" t="b">
        <f>INDEX(stable[q_regen_ag],MATCH(questions[[#This Row],[qno]],stable[qno],0))</f>
        <v>0</v>
      </c>
      <c r="AL1017" s="156"/>
      <c r="AM1017" s="156"/>
      <c r="AN1017" s="156"/>
      <c r="AO1017" s="156"/>
      <c r="AP1017" s="98" t="str">
        <f>LEFT(questions[[#This Row],[question]],similarity_range)</f>
        <v>Did you use any type</v>
      </c>
      <c r="AQ1017" s="98" t="str">
        <f>LEFT(INDEX(stable[question],MATCH(questions[[#This Row],[qno]],stable[qno],0)),similarity_range)</f>
        <v>Did you use any type</v>
      </c>
      <c r="AR1017" s="98" t="b">
        <f>questions[[#This Row],[question_first_characters]]=questions[[#This Row],[stability_first_characters]]</f>
        <v>1</v>
      </c>
      <c r="AS1017" s="98" t="b">
        <f>IF(OR(questions[[#This Row],[is_single_select]],questions[[#This Row],[is_multi_select]]),NOT(ISBLANK(questions[[#This Row],[answer_opt_combined]])),TRUE)</f>
        <v>1</v>
      </c>
    </row>
    <row r="1018" spans="1:45" s="22" customFormat="1" ht="15.75" customHeight="1" x14ac:dyDescent="0.25">
      <c r="A1018" s="49" t="str">
        <f>_xlfn.TEXTJOIN("_",TRUE,questions[[#This Row],[origin]:[qno]])</f>
        <v>Vietnam_Robusta_Nestle_Selecta_2025_5401</v>
      </c>
      <c r="B1018" s="49" t="s">
        <v>673</v>
      </c>
      <c r="C1018" s="49" t="s">
        <v>674</v>
      </c>
      <c r="D1018" s="49" t="s">
        <v>904</v>
      </c>
      <c r="E1018" s="49">
        <v>2025</v>
      </c>
      <c r="F1018" s="50" t="s">
        <v>177</v>
      </c>
      <c r="G1018" s="216" t="s">
        <v>178</v>
      </c>
      <c r="H1018" s="49" t="str" cm="1">
        <f t="array" ref="H1018">INDEX(stableR[question],MATCH(VALUE(questions[[#This Row],[qno]]),VALUE(stableR[qno]),0))</f>
        <v>What was the type of animal manure, compost, or organic fertilizer that you used most last year?</v>
      </c>
      <c r="I1018" s="49" t="b" cm="1">
        <f t="array" ref="I1018">INDEX(stable[is_fixed],MATCH(VALUE(questions[[#This Row],[qno]]),VALUE(stable[qno]),0))</f>
        <v>1</v>
      </c>
      <c r="J1018" s="49" t="b" cm="1">
        <f t="array" ref="J1018">INDEX(stable[is_localized],MATCH(VALUE(questions[[#This Row],[qno]]),VALUE(stable[qno]),0))</f>
        <v>0</v>
      </c>
      <c r="K1018" s="49" t="b" cm="1">
        <f t="array" ref="K1018">INDEX(stable[is_supply_chain_dependent],MATCH(VALUE(questions[[#This Row],[qno]]),VALUE(stable[qno]),0))</f>
        <v>0</v>
      </c>
      <c r="L1018" s="49" t="b" cm="1">
        <f t="array" ref="L1018">INDEX(stable[is_mandatory],MATCH(VALUE(questions[[#This Row],[qno]]),VALUE(stable[qno]),0))</f>
        <v>0</v>
      </c>
      <c r="M1018" s="49" t="b" cm="1">
        <f t="array" ref="M1018">INDEX(stable[is_automated],MATCH(VALUE(questions[[#This Row],[qno]]),VALUE(stable[qno]),0))</f>
        <v>0</v>
      </c>
      <c r="N1018" s="49" t="b" cm="1">
        <f t="array" ref="N1018">INDEX(stable[is_free_text],MATCH(VALUE(questions[[#This Row],[qno]]),VALUE(stable[qno]),0))</f>
        <v>1</v>
      </c>
      <c r="O1018" s="49" t="b" cm="1">
        <f t="array" ref="O1018">INDEX(stable[is_numerical],MATCH(VALUE(questions[[#This Row],[qno]]),VALUE(stable[qno]),0))</f>
        <v>0</v>
      </c>
      <c r="P1018" s="49" t="b" cm="1">
        <f t="array" ref="P1018">INDEX(stable[is_single_select],MATCH(VALUE(questions[[#This Row],[qno]]),VALUE(stable[qno]),0))</f>
        <v>1</v>
      </c>
      <c r="Q1018" s="49" t="b" cm="1">
        <f t="array" ref="Q1018">INDEX(stable[is_multi_select],MATCH(VALUE(questions[[#This Row],[qno]]),VALUE(stable[qno]),0))</f>
        <v>0</v>
      </c>
      <c r="R1018" s="49" t="b" cm="1">
        <f t="array" ref="R1018">INDEX(stable[is_skip_logic],MATCH(VALUE(questions[[#This Row],[qno]]),VALUE(stable[qno]),0))</f>
        <v>1</v>
      </c>
      <c r="S1018" s="49" t="str">
        <f>_xlfn.TEXTJOIN(", ",TRUE,questions[[#This Row],[ans_opt_1]:[ans_opt_14]])</f>
        <v/>
      </c>
      <c r="T1018" s="51"/>
      <c r="U1018" s="51"/>
      <c r="V1018" s="51"/>
      <c r="W1018" s="52"/>
      <c r="X1018" s="52"/>
      <c r="Y1018" s="52"/>
      <c r="Z1018" s="52"/>
      <c r="AA1018" s="52"/>
      <c r="AB1018" s="52"/>
      <c r="AC1018" s="52"/>
      <c r="AD1018" s="51"/>
      <c r="AE1018" s="51"/>
      <c r="AF1018" s="51"/>
      <c r="AG1018" s="51"/>
      <c r="AH1018" s="157" t="b">
        <f>INDEX(stable[q_standard],MATCH(questions[[#This Row],[qno]],stable[qno],0))</f>
        <v>0</v>
      </c>
      <c r="AI1018" s="157" t="b">
        <f>INDEX(stable[q_living_income],MATCH(questions[[#This Row],[qno]],stable[qno],0))</f>
        <v>1</v>
      </c>
      <c r="AJ1018" s="157" t="b">
        <f>INDEX(stable[q_carbon],MATCH(questions[[#This Row],[qno]],stable[qno],0))</f>
        <v>1</v>
      </c>
      <c r="AK1018" s="157" t="b">
        <f>INDEX(stable[q_regen_ag],MATCH(questions[[#This Row],[qno]],stable[qno],0))</f>
        <v>0</v>
      </c>
      <c r="AL1018" s="158"/>
      <c r="AM1018" s="158"/>
      <c r="AN1018" s="158"/>
      <c r="AO1018" s="158"/>
      <c r="AP1018" s="29" t="str">
        <f>LEFT(questions[[#This Row],[question]],similarity_range)</f>
        <v>If yes, what was the</v>
      </c>
      <c r="AQ1018" s="29" t="str">
        <f>LEFT(INDEX(stable[question],MATCH(questions[[#This Row],[qno]],stable[qno],0)),similarity_range)</f>
        <v>If yes, what was the</v>
      </c>
      <c r="AR1018" s="29" t="b">
        <f>questions[[#This Row],[question_first_characters]]=questions[[#This Row],[stability_first_characters]]</f>
        <v>1</v>
      </c>
      <c r="AS1018" s="29" t="b">
        <f>IF(OR(questions[[#This Row],[is_single_select]],questions[[#This Row],[is_multi_select]]),NOT(ISBLANK(questions[[#This Row],[answer_opt_combined]])),TRUE)</f>
        <v>1</v>
      </c>
    </row>
    <row r="1019" spans="1:45" ht="15.75" customHeight="1" x14ac:dyDescent="0.25">
      <c r="A1019" s="33" t="str">
        <f>_xlfn.TEXTJOIN("_",TRUE,questions[[#This Row],[origin]:[qno]])</f>
        <v>Vietnam_Robusta_Nestle_Selecta_2025_5402</v>
      </c>
      <c r="B1019" s="33" t="s">
        <v>673</v>
      </c>
      <c r="C1019" s="33" t="s">
        <v>674</v>
      </c>
      <c r="D1019" s="33" t="s">
        <v>904</v>
      </c>
      <c r="E1019" s="33">
        <v>2025</v>
      </c>
      <c r="F1019" s="41" t="s">
        <v>179</v>
      </c>
      <c r="G1019" s="218" t="s">
        <v>180</v>
      </c>
      <c r="H1019" s="33" t="str" cm="1">
        <f t="array" ref="H1019">INDEX(stableR[question],MATCH(VALUE(questions[[#This Row],[qno]]),VALUE(stableR[qno]),0))</f>
        <v>What was the total quantity of this type of animal manure/compost/organic fertilizer that you used most (Kg)?</v>
      </c>
      <c r="I1019" s="33" t="b" cm="1">
        <f t="array" ref="I1019">INDEX(stable[is_fixed],MATCH(VALUE(questions[[#This Row],[qno]]),VALUE(stable[qno]),0))</f>
        <v>1</v>
      </c>
      <c r="J1019" s="33" t="b" cm="1">
        <f t="array" ref="J1019">INDEX(stable[is_localized],MATCH(VALUE(questions[[#This Row],[qno]]),VALUE(stable[qno]),0))</f>
        <v>0</v>
      </c>
      <c r="K1019" s="33" t="b" cm="1">
        <f t="array" ref="K1019">INDEX(stable[is_supply_chain_dependent],MATCH(VALUE(questions[[#This Row],[qno]]),VALUE(stable[qno]),0))</f>
        <v>0</v>
      </c>
      <c r="L1019" s="33" t="b" cm="1">
        <f t="array" ref="L1019">INDEX(stable[is_mandatory],MATCH(VALUE(questions[[#This Row],[qno]]),VALUE(stable[qno]),0))</f>
        <v>0</v>
      </c>
      <c r="M1019" s="33" t="b" cm="1">
        <f t="array" ref="M1019">INDEX(stable[is_automated],MATCH(VALUE(questions[[#This Row],[qno]]),VALUE(stable[qno]),0))</f>
        <v>0</v>
      </c>
      <c r="N1019" s="33" t="b" cm="1">
        <f t="array" ref="N1019">INDEX(stable[is_free_text],MATCH(VALUE(questions[[#This Row],[qno]]),VALUE(stable[qno]),0))</f>
        <v>0</v>
      </c>
      <c r="O1019" s="33" t="b" cm="1">
        <f t="array" ref="O1019">INDEX(stable[is_numerical],MATCH(VALUE(questions[[#This Row],[qno]]),VALUE(stable[qno]),0))</f>
        <v>1</v>
      </c>
      <c r="P1019" s="33" t="b" cm="1">
        <f t="array" ref="P1019">INDEX(stable[is_single_select],MATCH(VALUE(questions[[#This Row],[qno]]),VALUE(stable[qno]),0))</f>
        <v>0</v>
      </c>
      <c r="Q1019" s="33" t="b" cm="1">
        <f t="array" ref="Q1019">INDEX(stable[is_multi_select],MATCH(VALUE(questions[[#This Row],[qno]]),VALUE(stable[qno]),0))</f>
        <v>0</v>
      </c>
      <c r="R1019" s="33" t="b" cm="1">
        <f t="array" ref="R1019">INDEX(stable[is_skip_logic],MATCH(VALUE(questions[[#This Row],[qno]]),VALUE(stable[qno]),0))</f>
        <v>1</v>
      </c>
      <c r="S1019" s="33" t="str">
        <f>_xlfn.TEXTJOIN(", ",TRUE,questions[[#This Row],[ans_opt_1]:[ans_opt_14]])</f>
        <v/>
      </c>
      <c r="T1019" s="46"/>
      <c r="U1019" s="46"/>
      <c r="V1019" s="47"/>
      <c r="W1019" s="46"/>
      <c r="X1019" s="47"/>
      <c r="Y1019" s="47"/>
      <c r="Z1019" s="47"/>
      <c r="AA1019" s="47"/>
      <c r="AB1019" s="47"/>
      <c r="AC1019" s="47"/>
      <c r="AD1019" s="46"/>
      <c r="AE1019" s="46"/>
      <c r="AF1019" s="46"/>
      <c r="AG1019" s="46"/>
      <c r="AH1019" s="124" t="b">
        <f>INDEX(stable[q_standard],MATCH(questions[[#This Row],[qno]],stable[qno],0))</f>
        <v>0</v>
      </c>
      <c r="AI1019" s="124" t="b">
        <f>INDEX(stable[q_living_income],MATCH(questions[[#This Row],[qno]],stable[qno],0))</f>
        <v>1</v>
      </c>
      <c r="AJ1019" s="124" t="b">
        <f>INDEX(stable[q_carbon],MATCH(questions[[#This Row],[qno]],stable[qno],0))</f>
        <v>1</v>
      </c>
      <c r="AK1019" s="124" t="b">
        <f>INDEX(stable[q_regen_ag],MATCH(questions[[#This Row],[qno]],stable[qno],0))</f>
        <v>0</v>
      </c>
      <c r="AL1019" s="159"/>
      <c r="AM1019" s="159"/>
      <c r="AN1019" s="159"/>
      <c r="AO1019" s="159"/>
      <c r="AP1019" s="16" t="str">
        <f>LEFT(questions[[#This Row],[question]],similarity_range)</f>
        <v>What was the total q</v>
      </c>
      <c r="AQ1019" s="16" t="str">
        <f>LEFT(INDEX(stable[question],MATCH(questions[[#This Row],[qno]],stable[qno],0)),similarity_range)</f>
        <v>What was the total q</v>
      </c>
      <c r="AR1019" s="16" t="b">
        <f>questions[[#This Row],[question_first_characters]]=questions[[#This Row],[stability_first_characters]]</f>
        <v>1</v>
      </c>
      <c r="AS1019" s="16" t="b">
        <f>IF(OR(questions[[#This Row],[is_single_select]],questions[[#This Row],[is_multi_select]]),NOT(ISBLANK(questions[[#This Row],[answer_opt_combined]])),TRUE)</f>
        <v>1</v>
      </c>
    </row>
    <row r="1020" spans="1:45" ht="15.75" customHeight="1" x14ac:dyDescent="0.25">
      <c r="A1020" s="33" t="str">
        <f>_xlfn.TEXTJOIN("_",TRUE,questions[[#This Row],[origin]:[qno]])</f>
        <v>Vietnam_Robusta_Nestle_Selecta_2025_5403</v>
      </c>
      <c r="B1020" s="33" t="s">
        <v>673</v>
      </c>
      <c r="C1020" s="33" t="s">
        <v>674</v>
      </c>
      <c r="D1020" s="33" t="s">
        <v>904</v>
      </c>
      <c r="E1020" s="33">
        <v>2025</v>
      </c>
      <c r="F1020" s="41" t="s">
        <v>181</v>
      </c>
      <c r="G1020" s="218" t="s">
        <v>927</v>
      </c>
      <c r="H1020" s="33" t="str" cm="1">
        <f t="array" ref="H1020">INDEX(stableR[question],MATCH(VALUE(questions[[#This Row],[qno]]),VALUE(stableR[qno]),0))</f>
        <v>What was the unit of this type of animal manure/compost/organic fertilizer that you used most (kg, basins, 50 kg bags, wheel barrows, small truck/tipper, large truck)?</v>
      </c>
      <c r="I1020" s="33" t="b" cm="1">
        <f t="array" ref="I1020">INDEX(stable[is_fixed],MATCH(VALUE(questions[[#This Row],[qno]]),VALUE(stable[qno]),0))</f>
        <v>1</v>
      </c>
      <c r="J1020" s="33" t="b" cm="1">
        <f t="array" ref="J1020">INDEX(stable[is_localized],MATCH(VALUE(questions[[#This Row],[qno]]),VALUE(stable[qno]),0))</f>
        <v>0</v>
      </c>
      <c r="K1020" s="33" t="b" cm="1">
        <f t="array" ref="K1020">INDEX(stable[is_supply_chain_dependent],MATCH(VALUE(questions[[#This Row],[qno]]),VALUE(stable[qno]),0))</f>
        <v>0</v>
      </c>
      <c r="L1020" s="33" t="b" cm="1">
        <f t="array" ref="L1020">INDEX(stable[is_mandatory],MATCH(VALUE(questions[[#This Row],[qno]]),VALUE(stable[qno]),0))</f>
        <v>0</v>
      </c>
      <c r="M1020" s="33" t="b" cm="1">
        <f t="array" ref="M1020">INDEX(stable[is_automated],MATCH(VALUE(questions[[#This Row],[qno]]),VALUE(stable[qno]),0))</f>
        <v>0</v>
      </c>
      <c r="N1020" s="33" t="b" cm="1">
        <f t="array" ref="N1020">INDEX(stable[is_free_text],MATCH(VALUE(questions[[#This Row],[qno]]),VALUE(stable[qno]),0))</f>
        <v>1</v>
      </c>
      <c r="O1020" s="33" t="b" cm="1">
        <f t="array" ref="O1020">INDEX(stable[is_numerical],MATCH(VALUE(questions[[#This Row],[qno]]),VALUE(stable[qno]),0))</f>
        <v>0</v>
      </c>
      <c r="P1020" s="33" t="b" cm="1">
        <f t="array" ref="P1020">INDEX(stable[is_single_select],MATCH(VALUE(questions[[#This Row],[qno]]),VALUE(stable[qno]),0))</f>
        <v>0</v>
      </c>
      <c r="Q1020" s="33" t="b" cm="1">
        <f t="array" ref="Q1020">INDEX(stable[is_multi_select],MATCH(VALUE(questions[[#This Row],[qno]]),VALUE(stable[qno]),0))</f>
        <v>0</v>
      </c>
      <c r="R1020" s="33" t="b" cm="1">
        <f t="array" ref="R1020">INDEX(stable[is_skip_logic],MATCH(VALUE(questions[[#This Row],[qno]]),VALUE(stable[qno]),0))</f>
        <v>1</v>
      </c>
      <c r="S1020" s="33" t="str">
        <f>_xlfn.TEXTJOIN(", ",TRUE,questions[[#This Row],[ans_opt_1]:[ans_opt_14]])</f>
        <v>kg</v>
      </c>
      <c r="T1020" s="46" t="s">
        <v>562</v>
      </c>
      <c r="U1020" s="46"/>
      <c r="V1020" s="47"/>
      <c r="W1020" s="46"/>
      <c r="X1020" s="47"/>
      <c r="Y1020" s="47"/>
      <c r="Z1020" s="47"/>
      <c r="AA1020" s="47"/>
      <c r="AB1020" s="47"/>
      <c r="AC1020" s="47"/>
      <c r="AD1020" s="46"/>
      <c r="AE1020" s="46"/>
      <c r="AF1020" s="46"/>
      <c r="AG1020" s="46"/>
      <c r="AH1020" s="124" t="b">
        <f>INDEX(stable[q_standard],MATCH(questions[[#This Row],[qno]],stable[qno],0))</f>
        <v>0</v>
      </c>
      <c r="AI1020" s="124" t="b">
        <f>INDEX(stable[q_living_income],MATCH(questions[[#This Row],[qno]],stable[qno],0))</f>
        <v>1</v>
      </c>
      <c r="AJ1020" s="124" t="b">
        <f>INDEX(stable[q_carbon],MATCH(questions[[#This Row],[qno]],stable[qno],0))</f>
        <v>1</v>
      </c>
      <c r="AK1020" s="124" t="b">
        <f>INDEX(stable[q_regen_ag],MATCH(questions[[#This Row],[qno]],stable[qno],0))</f>
        <v>0</v>
      </c>
      <c r="AL1020" s="159"/>
      <c r="AM1020" s="159"/>
      <c r="AN1020" s="159"/>
      <c r="AO1020" s="159"/>
      <c r="AP1020" s="16" t="str">
        <f>LEFT(questions[[#This Row],[question]],similarity_range)</f>
        <v>What was the unit of</v>
      </c>
      <c r="AQ1020" s="16" t="str">
        <f>LEFT(INDEX(stable[question],MATCH(questions[[#This Row],[qno]],stable[qno],0)),similarity_range)</f>
        <v>What was the unit of</v>
      </c>
      <c r="AR1020" s="16" t="b">
        <f>questions[[#This Row],[question_first_characters]]=questions[[#This Row],[stability_first_characters]]</f>
        <v>1</v>
      </c>
      <c r="AS1020" s="16" t="b">
        <f>IF(OR(questions[[#This Row],[is_single_select]],questions[[#This Row],[is_multi_select]]),NOT(ISBLANK(questions[[#This Row],[answer_opt_combined]])),TRUE)</f>
        <v>1</v>
      </c>
    </row>
    <row r="1021" spans="1:45" s="77" customFormat="1" ht="15.75" customHeight="1" x14ac:dyDescent="0.25">
      <c r="A1021" s="77" t="str">
        <f>_xlfn.TEXTJOIN("_",TRUE,questions[[#This Row],[origin]:[qno]])</f>
        <v>Vietnam_Robusta_Nestle_Selecta_2025_5404</v>
      </c>
      <c r="B1021" s="77" t="s">
        <v>673</v>
      </c>
      <c r="C1021" s="77" t="s">
        <v>674</v>
      </c>
      <c r="D1021" s="77" t="s">
        <v>904</v>
      </c>
      <c r="E1021" s="77">
        <v>2025</v>
      </c>
      <c r="F1021" s="105" t="s">
        <v>183</v>
      </c>
      <c r="G1021" s="109" t="s">
        <v>184</v>
      </c>
      <c r="H1021" s="33" t="str" cm="1">
        <f t="array" ref="H1021">INDEX(stableR[question],MATCH(VALUE(questions[[#This Row],[qno]]),VALUE(stableR[qno]),0))</f>
        <v>How did you get this manure/compost/organic fertilizer that you used most?</v>
      </c>
      <c r="I1021" s="33" t="b" cm="1">
        <f t="array" ref="I1021">INDEX(stable[is_fixed],MATCH(VALUE(questions[[#This Row],[qno]]),VALUE(stable[qno]),0))</f>
        <v>1</v>
      </c>
      <c r="J1021" s="33" t="b" cm="1">
        <f t="array" ref="J1021">INDEX(stable[is_localized],MATCH(VALUE(questions[[#This Row],[qno]]),VALUE(stable[qno]),0))</f>
        <v>0</v>
      </c>
      <c r="K1021" s="33" t="b" cm="1">
        <f t="array" ref="K1021">INDEX(stable[is_supply_chain_dependent],MATCH(VALUE(questions[[#This Row],[qno]]),VALUE(stable[qno]),0))</f>
        <v>0</v>
      </c>
      <c r="L1021" s="33" t="b" cm="1">
        <f t="array" ref="L1021">INDEX(stable[is_mandatory],MATCH(VALUE(questions[[#This Row],[qno]]),VALUE(stable[qno]),0))</f>
        <v>0</v>
      </c>
      <c r="M1021" s="33" t="b" cm="1">
        <f t="array" ref="M1021">INDEX(stable[is_automated],MATCH(VALUE(questions[[#This Row],[qno]]),VALUE(stable[qno]),0))</f>
        <v>0</v>
      </c>
      <c r="N1021" s="33" t="b" cm="1">
        <f t="array" ref="N1021">INDEX(stable[is_free_text],MATCH(VALUE(questions[[#This Row],[qno]]),VALUE(stable[qno]),0))</f>
        <v>0</v>
      </c>
      <c r="O1021" s="33" t="b" cm="1">
        <f t="array" ref="O1021">INDEX(stable[is_numerical],MATCH(VALUE(questions[[#This Row],[qno]]),VALUE(stable[qno]),0))</f>
        <v>0</v>
      </c>
      <c r="P1021" s="77" t="b" cm="1">
        <f t="array" ref="P1021">INDEX(stable[is_single_select],MATCH(VALUE(questions[[#This Row],[qno]]),VALUE(stable[qno]),0))</f>
        <v>1</v>
      </c>
      <c r="Q1021" s="77" t="b" cm="1">
        <f t="array" ref="Q1021">INDEX(stable[is_multi_select],MATCH(VALUE(questions[[#This Row],[qno]]),VALUE(stable[qno]),0))</f>
        <v>0</v>
      </c>
      <c r="R1021" s="77" t="b" cm="1">
        <f t="array" ref="R1021">INDEX(stable[is_skip_logic],MATCH(VALUE(questions[[#This Row],[qno]]),VALUE(stable[qno]),0))</f>
        <v>1</v>
      </c>
      <c r="S1021" s="77" t="str">
        <f>_xlfn.TEXTJOIN(", ",TRUE,questions[[#This Row],[ans_opt_1]:[ans_opt_14]])</f>
        <v>Bought, From own farm, Received for free, Both from own farm &amp; bought/received from outside the farm</v>
      </c>
      <c r="T1021" s="110" t="s">
        <v>185</v>
      </c>
      <c r="U1021" s="110" t="s">
        <v>186</v>
      </c>
      <c r="V1021" s="113" t="s">
        <v>187</v>
      </c>
      <c r="W1021" s="110" t="s">
        <v>188</v>
      </c>
      <c r="X1021" s="113"/>
      <c r="Y1021" s="113"/>
      <c r="Z1021" s="113"/>
      <c r="AA1021" s="113"/>
      <c r="AB1021" s="113"/>
      <c r="AC1021" s="113"/>
      <c r="AD1021" s="110"/>
      <c r="AE1021" s="110"/>
      <c r="AF1021" s="110"/>
      <c r="AG1021" s="110"/>
      <c r="AH1021" s="126" t="b">
        <f>INDEX(stable[q_standard],MATCH(questions[[#This Row],[qno]],stable[qno],0))</f>
        <v>0</v>
      </c>
      <c r="AI1021" s="126" t="b">
        <f>INDEX(stable[q_living_income],MATCH(questions[[#This Row],[qno]],stable[qno],0))</f>
        <v>1</v>
      </c>
      <c r="AJ1021" s="126" t="b">
        <f>INDEX(stable[q_carbon],MATCH(questions[[#This Row],[qno]],stable[qno],0))</f>
        <v>1</v>
      </c>
      <c r="AK1021" s="126" t="b">
        <f>INDEX(stable[q_regen_ag],MATCH(questions[[#This Row],[qno]],stable[qno],0))</f>
        <v>0</v>
      </c>
      <c r="AL1021" s="156"/>
      <c r="AM1021" s="156"/>
      <c r="AN1021" s="156"/>
      <c r="AO1021" s="156"/>
      <c r="AP1021" s="98" t="str">
        <f>LEFT(questions[[#This Row],[question]],similarity_range)</f>
        <v>Did you buy this man</v>
      </c>
      <c r="AQ1021" s="98" t="str">
        <f>LEFT(INDEX(stable[question],MATCH(questions[[#This Row],[qno]],stable[qno],0)),similarity_range)</f>
        <v>How did you get this</v>
      </c>
      <c r="AR1021" s="98" t="b">
        <f>questions[[#This Row],[question_first_characters]]=questions[[#This Row],[stability_first_characters]]</f>
        <v>0</v>
      </c>
      <c r="AS1021" s="98" t="b">
        <f>IF(OR(questions[[#This Row],[is_single_select]],questions[[#This Row],[is_multi_select]]),NOT(ISBLANK(questions[[#This Row],[answer_opt_combined]])),TRUE)</f>
        <v>1</v>
      </c>
    </row>
    <row r="1022" spans="1:45" s="22" customFormat="1" ht="15.75" customHeight="1" x14ac:dyDescent="0.25">
      <c r="A1022" s="49" t="str">
        <f>_xlfn.TEXTJOIN("_",TRUE,questions[[#This Row],[origin]:[qno]])</f>
        <v>Vietnam_Robusta_Nestle_Selecta_2025_5410</v>
      </c>
      <c r="B1022" s="49" t="s">
        <v>673</v>
      </c>
      <c r="C1022" s="49" t="s">
        <v>674</v>
      </c>
      <c r="D1022" s="49" t="s">
        <v>904</v>
      </c>
      <c r="E1022" s="49">
        <v>2025</v>
      </c>
      <c r="F1022" s="53" t="s">
        <v>189</v>
      </c>
      <c r="G1022" s="217" t="s">
        <v>190</v>
      </c>
      <c r="H1022" s="49" t="str" cm="1">
        <f t="array" ref="H1022">INDEX(stableR[question],MATCH(VALUE(questions[[#This Row],[qno]]),VALUE(stableR[qno]),0))</f>
        <v>What was the type of animal manure, compost, or organic fertilizer that you used second most last year?</v>
      </c>
      <c r="I1022" s="49" t="b" cm="1">
        <f t="array" ref="I1022">INDEX(stable[is_fixed],MATCH(VALUE(questions[[#This Row],[qno]]),VALUE(stable[qno]),0))</f>
        <v>1</v>
      </c>
      <c r="J1022" s="49" t="b" cm="1">
        <f t="array" ref="J1022">INDEX(stable[is_localized],MATCH(VALUE(questions[[#This Row],[qno]]),VALUE(stable[qno]),0))</f>
        <v>0</v>
      </c>
      <c r="K1022" s="49" t="b" cm="1">
        <f t="array" ref="K1022">INDEX(stable[is_supply_chain_dependent],MATCH(VALUE(questions[[#This Row],[qno]]),VALUE(stable[qno]),0))</f>
        <v>0</v>
      </c>
      <c r="L1022" s="49" t="b" cm="1">
        <f t="array" ref="L1022">INDEX(stable[is_mandatory],MATCH(VALUE(questions[[#This Row],[qno]]),VALUE(stable[qno]),0))</f>
        <v>0</v>
      </c>
      <c r="M1022" s="49" t="b" cm="1">
        <f t="array" ref="M1022">INDEX(stable[is_automated],MATCH(VALUE(questions[[#This Row],[qno]]),VALUE(stable[qno]),0))</f>
        <v>0</v>
      </c>
      <c r="N1022" s="49" t="b" cm="1">
        <f t="array" ref="N1022">INDEX(stable[is_free_text],MATCH(VALUE(questions[[#This Row],[qno]]),VALUE(stable[qno]),0))</f>
        <v>1</v>
      </c>
      <c r="O1022" s="49" t="b" cm="1">
        <f t="array" ref="O1022">INDEX(stable[is_numerical],MATCH(VALUE(questions[[#This Row],[qno]]),VALUE(stable[qno]),0))</f>
        <v>0</v>
      </c>
      <c r="P1022" s="49" t="b" cm="1">
        <f t="array" ref="P1022">INDEX(stable[is_single_select],MATCH(VALUE(questions[[#This Row],[qno]]),VALUE(stable[qno]),0))</f>
        <v>1</v>
      </c>
      <c r="Q1022" s="49" t="b" cm="1">
        <f t="array" ref="Q1022">INDEX(stable[is_multi_select],MATCH(VALUE(questions[[#This Row],[qno]]),VALUE(stable[qno]),0))</f>
        <v>0</v>
      </c>
      <c r="R1022" s="49" t="b" cm="1">
        <f t="array" ref="R1022">INDEX(stable[is_skip_logic],MATCH(VALUE(questions[[#This Row],[qno]]),VALUE(stable[qno]),0))</f>
        <v>1</v>
      </c>
      <c r="S1022" s="49" t="str">
        <f>_xlfn.TEXTJOIN(", ",TRUE,questions[[#This Row],[ans_opt_1]:[ans_opt_14]])</f>
        <v/>
      </c>
      <c r="T1022" s="51"/>
      <c r="U1022" s="51"/>
      <c r="V1022" s="52"/>
      <c r="W1022" s="51"/>
      <c r="X1022" s="52"/>
      <c r="Y1022" s="52"/>
      <c r="Z1022" s="52"/>
      <c r="AA1022" s="52"/>
      <c r="AB1022" s="52"/>
      <c r="AC1022" s="52"/>
      <c r="AD1022" s="51"/>
      <c r="AE1022" s="51"/>
      <c r="AF1022" s="51"/>
      <c r="AG1022" s="51"/>
      <c r="AH1022" s="157" t="b">
        <f>INDEX(stable[q_standard],MATCH(questions[[#This Row],[qno]],stable[qno],0))</f>
        <v>0</v>
      </c>
      <c r="AI1022" s="157" t="b">
        <f>INDEX(stable[q_living_income],MATCH(questions[[#This Row],[qno]],stable[qno],0))</f>
        <v>1</v>
      </c>
      <c r="AJ1022" s="157" t="b">
        <f>INDEX(stable[q_carbon],MATCH(questions[[#This Row],[qno]],stable[qno],0))</f>
        <v>1</v>
      </c>
      <c r="AK1022" s="157" t="b">
        <f>INDEX(stable[q_regen_ag],MATCH(questions[[#This Row],[qno]],stable[qno],0))</f>
        <v>0</v>
      </c>
      <c r="AL1022" s="158"/>
      <c r="AM1022" s="158"/>
      <c r="AN1022" s="158"/>
      <c r="AO1022" s="158"/>
      <c r="AP1022" s="29" t="str">
        <f>LEFT(questions[[#This Row],[question]],similarity_range)</f>
        <v>If yes, what was the</v>
      </c>
      <c r="AQ1022" s="29" t="str">
        <f>LEFT(INDEX(stable[question],MATCH(questions[[#This Row],[qno]],stable[qno],0)),similarity_range)</f>
        <v>Was there a second t</v>
      </c>
      <c r="AR1022" s="29" t="b">
        <f>questions[[#This Row],[question_first_characters]]=questions[[#This Row],[stability_first_characters]]</f>
        <v>0</v>
      </c>
      <c r="AS1022" s="29" t="b">
        <f>IF(OR(questions[[#This Row],[is_single_select]],questions[[#This Row],[is_multi_select]]),NOT(ISBLANK(questions[[#This Row],[answer_opt_combined]])),TRUE)</f>
        <v>1</v>
      </c>
    </row>
    <row r="1023" spans="1:45" ht="15.75" customHeight="1" x14ac:dyDescent="0.25">
      <c r="A1023" s="33" t="str">
        <f>_xlfn.TEXTJOIN("_",TRUE,questions[[#This Row],[origin]:[qno]])</f>
        <v>Vietnam_Robusta_Nestle_Selecta_2025_5411</v>
      </c>
      <c r="B1023" s="33" t="s">
        <v>673</v>
      </c>
      <c r="C1023" s="33" t="s">
        <v>674</v>
      </c>
      <c r="D1023" s="33" t="s">
        <v>904</v>
      </c>
      <c r="E1023" s="33">
        <v>2025</v>
      </c>
      <c r="F1023" s="43" t="s">
        <v>191</v>
      </c>
      <c r="G1023" s="220" t="s">
        <v>192</v>
      </c>
      <c r="H1023" s="33" t="str" cm="1">
        <f t="array" ref="H1023">INDEX(stableR[question],MATCH(VALUE(questions[[#This Row],[qno]]),VALUE(stableR[qno]),0))</f>
        <v>What was the total quantity of this type of animal manure/compost/organic fertilizer that you used second most? (Kg)</v>
      </c>
      <c r="I1023" s="33" t="b" cm="1">
        <f t="array" ref="I1023">INDEX(stable[is_fixed],MATCH(VALUE(questions[[#This Row],[qno]]),VALUE(stable[qno]),0))</f>
        <v>1</v>
      </c>
      <c r="J1023" s="33" t="b" cm="1">
        <f t="array" ref="J1023">INDEX(stable[is_localized],MATCH(VALUE(questions[[#This Row],[qno]]),VALUE(stable[qno]),0))</f>
        <v>0</v>
      </c>
      <c r="K1023" s="33" t="b" cm="1">
        <f t="array" ref="K1023">INDEX(stable[is_supply_chain_dependent],MATCH(VALUE(questions[[#This Row],[qno]]),VALUE(stable[qno]),0))</f>
        <v>0</v>
      </c>
      <c r="L1023" s="33" t="b" cm="1">
        <f t="array" ref="L1023">INDEX(stable[is_mandatory],MATCH(VALUE(questions[[#This Row],[qno]]),VALUE(stable[qno]),0))</f>
        <v>0</v>
      </c>
      <c r="M1023" s="33" t="b" cm="1">
        <f t="array" ref="M1023">INDEX(stable[is_automated],MATCH(VALUE(questions[[#This Row],[qno]]),VALUE(stable[qno]),0))</f>
        <v>0</v>
      </c>
      <c r="N1023" s="33" t="b" cm="1">
        <f t="array" ref="N1023">INDEX(stable[is_free_text],MATCH(VALUE(questions[[#This Row],[qno]]),VALUE(stable[qno]),0))</f>
        <v>0</v>
      </c>
      <c r="O1023" s="33" t="b" cm="1">
        <f t="array" ref="O1023">INDEX(stable[is_numerical],MATCH(VALUE(questions[[#This Row],[qno]]),VALUE(stable[qno]),0))</f>
        <v>1</v>
      </c>
      <c r="P1023" s="33" t="b" cm="1">
        <f t="array" ref="P1023">INDEX(stable[is_single_select],MATCH(VALUE(questions[[#This Row],[qno]]),VALUE(stable[qno]),0))</f>
        <v>0</v>
      </c>
      <c r="Q1023" s="33" t="b" cm="1">
        <f t="array" ref="Q1023">INDEX(stable[is_multi_select],MATCH(VALUE(questions[[#This Row],[qno]]),VALUE(stable[qno]),0))</f>
        <v>0</v>
      </c>
      <c r="R1023" s="33" t="b" cm="1">
        <f t="array" ref="R1023">INDEX(stable[is_skip_logic],MATCH(VALUE(questions[[#This Row],[qno]]),VALUE(stable[qno]),0))</f>
        <v>1</v>
      </c>
      <c r="S1023" s="33" t="str">
        <f>_xlfn.TEXTJOIN(", ",TRUE,questions[[#This Row],[ans_opt_1]:[ans_opt_14]])</f>
        <v/>
      </c>
      <c r="T1023" s="46"/>
      <c r="U1023" s="46"/>
      <c r="V1023" s="47"/>
      <c r="W1023" s="46"/>
      <c r="X1023" s="47"/>
      <c r="Y1023" s="47"/>
      <c r="Z1023" s="47"/>
      <c r="AA1023" s="47"/>
      <c r="AB1023" s="47"/>
      <c r="AC1023" s="47"/>
      <c r="AD1023" s="46"/>
      <c r="AE1023" s="46"/>
      <c r="AF1023" s="46"/>
      <c r="AG1023" s="46"/>
      <c r="AH1023" s="124" t="b">
        <f>INDEX(stable[q_standard],MATCH(questions[[#This Row],[qno]],stable[qno],0))</f>
        <v>0</v>
      </c>
      <c r="AI1023" s="124" t="b">
        <f>INDEX(stable[q_living_income],MATCH(questions[[#This Row],[qno]],stable[qno],0))</f>
        <v>1</v>
      </c>
      <c r="AJ1023" s="124" t="b">
        <f>INDEX(stable[q_carbon],MATCH(questions[[#This Row],[qno]],stable[qno],0))</f>
        <v>1</v>
      </c>
      <c r="AK1023" s="124" t="b">
        <f>INDEX(stable[q_regen_ag],MATCH(questions[[#This Row],[qno]],stable[qno],0))</f>
        <v>0</v>
      </c>
      <c r="AL1023" s="160"/>
      <c r="AM1023" s="160"/>
      <c r="AN1023" s="160"/>
      <c r="AO1023" s="160"/>
      <c r="AP1023" s="16" t="str">
        <f>LEFT(questions[[#This Row],[question]],similarity_range)</f>
        <v>What was the total q</v>
      </c>
      <c r="AQ1023" s="16" t="str">
        <f>LEFT(INDEX(stable[question],MATCH(questions[[#This Row],[qno]],stable[qno],0)),similarity_range)</f>
        <v>What was the total q</v>
      </c>
      <c r="AR1023" s="16" t="b">
        <f>questions[[#This Row],[question_first_characters]]=questions[[#This Row],[stability_first_characters]]</f>
        <v>1</v>
      </c>
      <c r="AS1023" s="16" t="b">
        <f>IF(OR(questions[[#This Row],[is_single_select]],questions[[#This Row],[is_multi_select]]),NOT(ISBLANK(questions[[#This Row],[answer_opt_combined]])),TRUE)</f>
        <v>1</v>
      </c>
    </row>
    <row r="1024" spans="1:45" ht="15.75" customHeight="1" x14ac:dyDescent="0.25">
      <c r="A1024" s="33" t="str">
        <f>_xlfn.TEXTJOIN("_",TRUE,questions[[#This Row],[origin]:[qno]])</f>
        <v>Vietnam_Robusta_Nestle_Selecta_2025_5412</v>
      </c>
      <c r="B1024" s="33" t="s">
        <v>673</v>
      </c>
      <c r="C1024" s="33" t="s">
        <v>674</v>
      </c>
      <c r="D1024" s="33" t="s">
        <v>904</v>
      </c>
      <c r="E1024" s="33">
        <v>2025</v>
      </c>
      <c r="F1024" s="43" t="s">
        <v>193</v>
      </c>
      <c r="G1024" s="220" t="s">
        <v>928</v>
      </c>
      <c r="H1024" s="33" t="str" cm="1">
        <f t="array" ref="H1024">INDEX(stableR[question],MATCH(VALUE(questions[[#This Row],[qno]]),VALUE(stableR[qno]),0))</f>
        <v>What was the unit of this type of animal manure/compost/organic fertilizer that you used second most (kg, basins, 50 kg bags, wheel barrows, small truck/tipper, large truck)?</v>
      </c>
      <c r="I1024" s="33" t="b" cm="1">
        <f t="array" ref="I1024">INDEX(stable[is_fixed],MATCH(VALUE(questions[[#This Row],[qno]]),VALUE(stable[qno]),0))</f>
        <v>1</v>
      </c>
      <c r="J1024" s="33" t="b" cm="1">
        <f t="array" ref="J1024">INDEX(stable[is_localized],MATCH(VALUE(questions[[#This Row],[qno]]),VALUE(stable[qno]),0))</f>
        <v>0</v>
      </c>
      <c r="K1024" s="33" t="b" cm="1">
        <f t="array" ref="K1024">INDEX(stable[is_supply_chain_dependent],MATCH(VALUE(questions[[#This Row],[qno]]),VALUE(stable[qno]),0))</f>
        <v>0</v>
      </c>
      <c r="L1024" s="33" t="b" cm="1">
        <f t="array" ref="L1024">INDEX(stable[is_mandatory],MATCH(VALUE(questions[[#This Row],[qno]]),VALUE(stable[qno]),0))</f>
        <v>0</v>
      </c>
      <c r="M1024" s="33" t="b" cm="1">
        <f t="array" ref="M1024">INDEX(stable[is_automated],MATCH(VALUE(questions[[#This Row],[qno]]),VALUE(stable[qno]),0))</f>
        <v>0</v>
      </c>
      <c r="N1024" s="33" t="b" cm="1">
        <f t="array" ref="N1024">INDEX(stable[is_free_text],MATCH(VALUE(questions[[#This Row],[qno]]),VALUE(stable[qno]),0))</f>
        <v>1</v>
      </c>
      <c r="O1024" s="33" t="b" cm="1">
        <f t="array" ref="O1024">INDEX(stable[is_numerical],MATCH(VALUE(questions[[#This Row],[qno]]),VALUE(stable[qno]),0))</f>
        <v>0</v>
      </c>
      <c r="P1024" s="33" t="b" cm="1">
        <f t="array" ref="P1024">INDEX(stable[is_single_select],MATCH(VALUE(questions[[#This Row],[qno]]),VALUE(stable[qno]),0))</f>
        <v>0</v>
      </c>
      <c r="Q1024" s="33" t="b" cm="1">
        <f t="array" ref="Q1024">INDEX(stable[is_multi_select],MATCH(VALUE(questions[[#This Row],[qno]]),VALUE(stable[qno]),0))</f>
        <v>0</v>
      </c>
      <c r="R1024" s="33" t="b" cm="1">
        <f t="array" ref="R1024">INDEX(stable[is_skip_logic],MATCH(VALUE(questions[[#This Row],[qno]]),VALUE(stable[qno]),0))</f>
        <v>1</v>
      </c>
      <c r="S1024" s="33" t="str">
        <f>_xlfn.TEXTJOIN(", ",TRUE,questions[[#This Row],[ans_opt_1]:[ans_opt_14]])</f>
        <v>kg</v>
      </c>
      <c r="T1024" s="46" t="s">
        <v>562</v>
      </c>
      <c r="U1024" s="46"/>
      <c r="V1024" s="47"/>
      <c r="W1024" s="46"/>
      <c r="X1024" s="47"/>
      <c r="Y1024" s="47"/>
      <c r="Z1024" s="47"/>
      <c r="AA1024" s="47"/>
      <c r="AB1024" s="47"/>
      <c r="AC1024" s="47"/>
      <c r="AD1024" s="46"/>
      <c r="AE1024" s="46"/>
      <c r="AF1024" s="46"/>
      <c r="AG1024" s="46"/>
      <c r="AH1024" s="124" t="b">
        <f>INDEX(stable[q_standard],MATCH(questions[[#This Row],[qno]],stable[qno],0))</f>
        <v>0</v>
      </c>
      <c r="AI1024" s="124" t="b">
        <f>INDEX(stable[q_living_income],MATCH(questions[[#This Row],[qno]],stable[qno],0))</f>
        <v>1</v>
      </c>
      <c r="AJ1024" s="124" t="b">
        <f>INDEX(stable[q_carbon],MATCH(questions[[#This Row],[qno]],stable[qno],0))</f>
        <v>1</v>
      </c>
      <c r="AK1024" s="124" t="b">
        <f>INDEX(stable[q_regen_ag],MATCH(questions[[#This Row],[qno]],stable[qno],0))</f>
        <v>0</v>
      </c>
      <c r="AL1024" s="160"/>
      <c r="AM1024" s="160"/>
      <c r="AN1024" s="160"/>
      <c r="AO1024" s="160"/>
      <c r="AP1024" s="16" t="str">
        <f>LEFT(questions[[#This Row],[question]],similarity_range)</f>
        <v>What was the unit of</v>
      </c>
      <c r="AQ1024" s="16" t="str">
        <f>LEFT(INDEX(stable[question],MATCH(questions[[#This Row],[qno]],stable[qno],0)),similarity_range)</f>
        <v>What was the unit of</v>
      </c>
      <c r="AR1024" s="16" t="b">
        <f>questions[[#This Row],[question_first_characters]]=questions[[#This Row],[stability_first_characters]]</f>
        <v>1</v>
      </c>
      <c r="AS1024" s="16" t="b">
        <f>IF(OR(questions[[#This Row],[is_single_select]],questions[[#This Row],[is_multi_select]]),NOT(ISBLANK(questions[[#This Row],[answer_opt_combined]])),TRUE)</f>
        <v>1</v>
      </c>
    </row>
    <row r="1025" spans="1:45" s="77" customFormat="1" ht="15.75" customHeight="1" x14ac:dyDescent="0.25">
      <c r="A1025" s="77" t="str">
        <f>_xlfn.TEXTJOIN("_",TRUE,questions[[#This Row],[origin]:[qno]])</f>
        <v>Vietnam_Robusta_Nestle_Selecta_2025_5413</v>
      </c>
      <c r="B1025" s="77" t="s">
        <v>673</v>
      </c>
      <c r="C1025" s="77" t="s">
        <v>674</v>
      </c>
      <c r="D1025" s="77" t="s">
        <v>904</v>
      </c>
      <c r="E1025" s="77">
        <v>2025</v>
      </c>
      <c r="F1025" s="114" t="s">
        <v>195</v>
      </c>
      <c r="G1025" s="221" t="s">
        <v>196</v>
      </c>
      <c r="H1025" s="33" t="str" cm="1">
        <f t="array" ref="H1025">INDEX(stableR[question],MATCH(VALUE(questions[[#This Row],[qno]]),VALUE(stableR[qno]),0))</f>
        <v>How did you get this manure/compost/organic fertilizer that you used second most?</v>
      </c>
      <c r="I1025" s="33" t="b" cm="1">
        <f t="array" ref="I1025">INDEX(stable[is_fixed],MATCH(VALUE(questions[[#This Row],[qno]]),VALUE(stable[qno]),0))</f>
        <v>1</v>
      </c>
      <c r="J1025" s="33" t="b" cm="1">
        <f t="array" ref="J1025">INDEX(stable[is_localized],MATCH(VALUE(questions[[#This Row],[qno]]),VALUE(stable[qno]),0))</f>
        <v>0</v>
      </c>
      <c r="K1025" s="33" t="b" cm="1">
        <f t="array" ref="K1025">INDEX(stable[is_supply_chain_dependent],MATCH(VALUE(questions[[#This Row],[qno]]),VALUE(stable[qno]),0))</f>
        <v>0</v>
      </c>
      <c r="L1025" s="33" t="b" cm="1">
        <f t="array" ref="L1025">INDEX(stable[is_mandatory],MATCH(VALUE(questions[[#This Row],[qno]]),VALUE(stable[qno]),0))</f>
        <v>0</v>
      </c>
      <c r="M1025" s="33" t="b" cm="1">
        <f t="array" ref="M1025">INDEX(stable[is_automated],MATCH(VALUE(questions[[#This Row],[qno]]),VALUE(stable[qno]),0))</f>
        <v>0</v>
      </c>
      <c r="N1025" s="33" t="b" cm="1">
        <f t="array" ref="N1025">INDEX(stable[is_free_text],MATCH(VALUE(questions[[#This Row],[qno]]),VALUE(stable[qno]),0))</f>
        <v>0</v>
      </c>
      <c r="O1025" s="33" t="b" cm="1">
        <f t="array" ref="O1025">INDEX(stable[is_numerical],MATCH(VALUE(questions[[#This Row],[qno]]),VALUE(stable[qno]),0))</f>
        <v>0</v>
      </c>
      <c r="P1025" s="77" t="b" cm="1">
        <f t="array" ref="P1025">INDEX(stable[is_single_select],MATCH(VALUE(questions[[#This Row],[qno]]),VALUE(stable[qno]),0))</f>
        <v>1</v>
      </c>
      <c r="Q1025" s="77" t="b" cm="1">
        <f t="array" ref="Q1025">INDEX(stable[is_multi_select],MATCH(VALUE(questions[[#This Row],[qno]]),VALUE(stable[qno]),0))</f>
        <v>0</v>
      </c>
      <c r="R1025" s="77" t="b" cm="1">
        <f t="array" ref="R1025">INDEX(stable[is_skip_logic],MATCH(VALUE(questions[[#This Row],[qno]]),VALUE(stable[qno]),0))</f>
        <v>1</v>
      </c>
      <c r="S1025" s="77" t="str">
        <f>_xlfn.TEXTJOIN(", ",TRUE,questions[[#This Row],[ans_opt_1]:[ans_opt_14]])</f>
        <v>Bought, From own farm, Received for free, Both from own farm &amp; bought/received from outside the farm</v>
      </c>
      <c r="T1025" s="110" t="s">
        <v>185</v>
      </c>
      <c r="U1025" s="110" t="s">
        <v>186</v>
      </c>
      <c r="V1025" s="113" t="s">
        <v>187</v>
      </c>
      <c r="W1025" s="110" t="s">
        <v>188</v>
      </c>
      <c r="X1025" s="113"/>
      <c r="Y1025" s="113"/>
      <c r="Z1025" s="113"/>
      <c r="AA1025" s="113"/>
      <c r="AB1025" s="113"/>
      <c r="AC1025" s="113"/>
      <c r="AD1025" s="110"/>
      <c r="AE1025" s="110"/>
      <c r="AF1025" s="110"/>
      <c r="AG1025" s="110"/>
      <c r="AH1025" s="126" t="b">
        <f>INDEX(stable[q_standard],MATCH(questions[[#This Row],[qno]],stable[qno],0))</f>
        <v>0</v>
      </c>
      <c r="AI1025" s="126" t="b">
        <f>INDEX(stable[q_living_income],MATCH(questions[[#This Row],[qno]],stable[qno],0))</f>
        <v>1</v>
      </c>
      <c r="AJ1025" s="126" t="b">
        <f>INDEX(stable[q_carbon],MATCH(questions[[#This Row],[qno]],stable[qno],0))</f>
        <v>1</v>
      </c>
      <c r="AK1025" s="126" t="b">
        <f>INDEX(stable[q_regen_ag],MATCH(questions[[#This Row],[qno]],stable[qno],0))</f>
        <v>0</v>
      </c>
      <c r="AL1025" s="161"/>
      <c r="AM1025" s="161"/>
      <c r="AN1025" s="161"/>
      <c r="AO1025" s="161"/>
      <c r="AP1025" s="98" t="str">
        <f>LEFT(questions[[#This Row],[question]],similarity_range)</f>
        <v>Did you buy this man</v>
      </c>
      <c r="AQ1025" s="98" t="str">
        <f>LEFT(INDEX(stable[question],MATCH(questions[[#This Row],[qno]],stable[qno],0)),similarity_range)</f>
        <v>How did you get this</v>
      </c>
      <c r="AR1025" s="98" t="b">
        <f>questions[[#This Row],[question_first_characters]]=questions[[#This Row],[stability_first_characters]]</f>
        <v>0</v>
      </c>
      <c r="AS1025" s="98" t="b">
        <f>IF(OR(questions[[#This Row],[is_single_select]],questions[[#This Row],[is_multi_select]]),NOT(ISBLANK(questions[[#This Row],[answer_opt_combined]])),TRUE)</f>
        <v>1</v>
      </c>
    </row>
    <row r="1026" spans="1:45" s="77" customFormat="1" ht="15.75" customHeight="1" x14ac:dyDescent="0.25">
      <c r="A1026" s="77" t="str">
        <f>_xlfn.TEXTJOIN("_",TRUE,questions[[#This Row],[origin]:[qno]])</f>
        <v>Vietnam_Robusta_Nestle_Selecta_2025_5500</v>
      </c>
      <c r="B1026" s="77" t="s">
        <v>673</v>
      </c>
      <c r="C1026" s="77" t="s">
        <v>674</v>
      </c>
      <c r="D1026" s="77" t="s">
        <v>904</v>
      </c>
      <c r="E1026" s="77">
        <v>2025</v>
      </c>
      <c r="F1026" s="105" t="s">
        <v>197</v>
      </c>
      <c r="G1026" s="109" t="s">
        <v>198</v>
      </c>
      <c r="H1026" s="33" t="str" cm="1">
        <f t="array" ref="H1026">INDEX(stableR[question],MATCH(VALUE(questions[[#This Row],[qno]]),VALUE(stableR[qno]),0))</f>
        <v>Did you apply any type of mulch on your coffee last year?</v>
      </c>
      <c r="I1026" s="33" t="b" cm="1">
        <f t="array" ref="I1026">INDEX(stable[is_fixed],MATCH(VALUE(questions[[#This Row],[qno]]),VALUE(stable[qno]),0))</f>
        <v>1</v>
      </c>
      <c r="J1026" s="33" t="b" cm="1">
        <f t="array" ref="J1026">INDEX(stable[is_localized],MATCH(VALUE(questions[[#This Row],[qno]]),VALUE(stable[qno]),0))</f>
        <v>0</v>
      </c>
      <c r="K1026" s="33" t="b" cm="1">
        <f t="array" ref="K1026">INDEX(stable[is_supply_chain_dependent],MATCH(VALUE(questions[[#This Row],[qno]]),VALUE(stable[qno]),0))</f>
        <v>0</v>
      </c>
      <c r="L1026" s="33" t="b" cm="1">
        <f t="array" ref="L1026">INDEX(stable[is_mandatory],MATCH(VALUE(questions[[#This Row],[qno]]),VALUE(stable[qno]),0))</f>
        <v>1</v>
      </c>
      <c r="M1026" s="33" t="b" cm="1">
        <f t="array" ref="M1026">INDEX(stable[is_automated],MATCH(VALUE(questions[[#This Row],[qno]]),VALUE(stable[qno]),0))</f>
        <v>0</v>
      </c>
      <c r="N1026" s="33" t="b" cm="1">
        <f t="array" ref="N1026">INDEX(stable[is_free_text],MATCH(VALUE(questions[[#This Row],[qno]]),VALUE(stable[qno]),0))</f>
        <v>0</v>
      </c>
      <c r="O1026" s="33" t="b" cm="1">
        <f t="array" ref="O1026">INDEX(stable[is_numerical],MATCH(VALUE(questions[[#This Row],[qno]]),VALUE(stable[qno]),0))</f>
        <v>0</v>
      </c>
      <c r="P1026" s="77" t="b" cm="1">
        <f t="array" ref="P1026">INDEX(stable[is_single_select],MATCH(VALUE(questions[[#This Row],[qno]]),VALUE(stable[qno]),0))</f>
        <v>1</v>
      </c>
      <c r="Q1026" s="77" t="b" cm="1">
        <f t="array" ref="Q1026">INDEX(stable[is_multi_select],MATCH(VALUE(questions[[#This Row],[qno]]),VALUE(stable[qno]),0))</f>
        <v>0</v>
      </c>
      <c r="R1026" s="77" t="b" cm="1">
        <f t="array" ref="R1026">INDEX(stable[is_skip_logic],MATCH(VALUE(questions[[#This Row],[qno]]),VALUE(stable[qno]),0))</f>
        <v>1</v>
      </c>
      <c r="S1026" s="77" t="str">
        <f>_xlfn.TEXTJOIN(", ",TRUE,questions[[#This Row],[ans_opt_1]:[ans_opt_14]])</f>
        <v>Yes, No</v>
      </c>
      <c r="T1026" s="91" t="s">
        <v>149</v>
      </c>
      <c r="U1026" s="91" t="s">
        <v>119</v>
      </c>
      <c r="V1026" s="113"/>
      <c r="W1026" s="113"/>
      <c r="X1026" s="113"/>
      <c r="Y1026" s="113"/>
      <c r="Z1026" s="113"/>
      <c r="AA1026" s="113"/>
      <c r="AB1026" s="113"/>
      <c r="AC1026" s="113"/>
      <c r="AD1026" s="110"/>
      <c r="AE1026" s="110"/>
      <c r="AF1026" s="110"/>
      <c r="AG1026" s="110"/>
      <c r="AH1026" s="126" t="b">
        <f>INDEX(stable[q_standard],MATCH(questions[[#This Row],[qno]],stable[qno],0))</f>
        <v>0</v>
      </c>
      <c r="AI1026" s="126" t="b">
        <f>INDEX(stable[q_living_income],MATCH(questions[[#This Row],[qno]],stable[qno],0))</f>
        <v>1</v>
      </c>
      <c r="AJ1026" s="126" t="b">
        <f>INDEX(stable[q_carbon],MATCH(questions[[#This Row],[qno]],stable[qno],0))</f>
        <v>1</v>
      </c>
      <c r="AK1026" s="126" t="b">
        <f>INDEX(stable[q_regen_ag],MATCH(questions[[#This Row],[qno]],stable[qno],0))</f>
        <v>0</v>
      </c>
      <c r="AL1026" s="162"/>
      <c r="AM1026" s="162"/>
      <c r="AN1026" s="162"/>
      <c r="AO1026" s="162"/>
      <c r="AP1026" s="98" t="str">
        <f>LEFT(questions[[#This Row],[question]],similarity_range)</f>
        <v>Did you apply any ty</v>
      </c>
      <c r="AQ1026" s="98" t="str">
        <f>LEFT(INDEX(stable[question],MATCH(questions[[#This Row],[qno]],stable[qno],0)),similarity_range)</f>
        <v>Did you apply any ty</v>
      </c>
      <c r="AR1026" s="98" t="b">
        <f>questions[[#This Row],[question_first_characters]]=questions[[#This Row],[stability_first_characters]]</f>
        <v>1</v>
      </c>
      <c r="AS1026" s="98" t="b">
        <f>IF(OR(questions[[#This Row],[is_single_select]],questions[[#This Row],[is_multi_select]]),NOT(ISBLANK(questions[[#This Row],[answer_opt_combined]])),TRUE)</f>
        <v>1</v>
      </c>
    </row>
    <row r="1027" spans="1:45" ht="15.75" customHeight="1" x14ac:dyDescent="0.25">
      <c r="A1027" s="33" t="str">
        <f>_xlfn.TEXTJOIN("_",TRUE,questions[[#This Row],[origin]:[qno]])</f>
        <v>Vietnam_Robusta_Nestle_Selecta_2025_5501</v>
      </c>
      <c r="B1027" s="33" t="s">
        <v>673</v>
      </c>
      <c r="C1027" s="33" t="s">
        <v>674</v>
      </c>
      <c r="D1027" s="33" t="s">
        <v>904</v>
      </c>
      <c r="E1027" s="33">
        <v>2025</v>
      </c>
      <c r="F1027" s="41" t="s">
        <v>199</v>
      </c>
      <c r="G1027" s="218" t="s">
        <v>200</v>
      </c>
      <c r="H1027" s="33" t="str" cm="1">
        <f t="array" ref="H1027">INDEX(stableR[question],MATCH(VALUE(questions[[#This Row],[qno]]),VALUE(stableR[qno]),0))</f>
        <v>What type of mulch?</v>
      </c>
      <c r="I1027" s="33" t="b" cm="1">
        <f t="array" ref="I1027">INDEX(stable[is_fixed],MATCH(VALUE(questions[[#This Row],[qno]]),VALUE(stable[qno]),0))</f>
        <v>1</v>
      </c>
      <c r="J1027" s="33" t="b" cm="1">
        <f t="array" ref="J1027">INDEX(stable[is_localized],MATCH(VALUE(questions[[#This Row],[qno]]),VALUE(stable[qno]),0))</f>
        <v>0</v>
      </c>
      <c r="K1027" s="33" t="b" cm="1">
        <f t="array" ref="K1027">INDEX(stable[is_supply_chain_dependent],MATCH(VALUE(questions[[#This Row],[qno]]),VALUE(stable[qno]),0))</f>
        <v>0</v>
      </c>
      <c r="L1027" s="33" t="b" cm="1">
        <f t="array" ref="L1027">INDEX(stable[is_mandatory],MATCH(VALUE(questions[[#This Row],[qno]]),VALUE(stable[qno]),0))</f>
        <v>0</v>
      </c>
      <c r="M1027" s="33" t="b" cm="1">
        <f t="array" ref="M1027">INDEX(stable[is_automated],MATCH(VALUE(questions[[#This Row],[qno]]),VALUE(stable[qno]),0))</f>
        <v>0</v>
      </c>
      <c r="N1027" s="33" t="b" cm="1">
        <f t="array" ref="N1027">INDEX(stable[is_free_text],MATCH(VALUE(questions[[#This Row],[qno]]),VALUE(stable[qno]),0))</f>
        <v>0</v>
      </c>
      <c r="O1027" s="33" t="b" cm="1">
        <f t="array" ref="O1027">INDEX(stable[is_numerical],MATCH(VALUE(questions[[#This Row],[qno]]),VALUE(stable[qno]),0))</f>
        <v>0</v>
      </c>
      <c r="P1027" s="33" t="b" cm="1">
        <f t="array" ref="P1027">INDEX(stable[is_single_select],MATCH(VALUE(questions[[#This Row],[qno]]),VALUE(stable[qno]),0))</f>
        <v>0</v>
      </c>
      <c r="Q1027" s="33" t="b" cm="1">
        <f t="array" ref="Q1027">INDEX(stable[is_multi_select],MATCH(VALUE(questions[[#This Row],[qno]]),VALUE(stable[qno]),0))</f>
        <v>1</v>
      </c>
      <c r="R1027" s="33" t="b" cm="1">
        <f t="array" ref="R1027">INDEX(stable[is_skip_logic],MATCH(VALUE(questions[[#This Row],[qno]]),VALUE(stable[qno]),0))</f>
        <v>1</v>
      </c>
      <c r="S1027" s="33" t="str">
        <f>_xlfn.TEXTJOIN(", ",TRUE,questions[[#This Row],[ans_opt_1]:[ans_opt_14]])</f>
        <v/>
      </c>
      <c r="T1027" s="47"/>
      <c r="U1027" s="47"/>
      <c r="V1027" s="47"/>
      <c r="W1027" s="47"/>
      <c r="X1027" s="47"/>
      <c r="Y1027" s="47"/>
      <c r="Z1027" s="47"/>
      <c r="AA1027" s="47"/>
      <c r="AB1027" s="47"/>
      <c r="AC1027" s="47"/>
      <c r="AD1027" s="46"/>
      <c r="AE1027" s="46"/>
      <c r="AF1027" s="46"/>
      <c r="AG1027" s="46"/>
      <c r="AH1027" s="124" t="b">
        <f>INDEX(stable[q_standard],MATCH(questions[[#This Row],[qno]],stable[qno],0))</f>
        <v>0</v>
      </c>
      <c r="AI1027" s="124" t="b">
        <f>INDEX(stable[q_living_income],MATCH(questions[[#This Row],[qno]],stable[qno],0))</f>
        <v>1</v>
      </c>
      <c r="AJ1027" s="124" t="b">
        <f>INDEX(stable[q_carbon],MATCH(questions[[#This Row],[qno]],stable[qno],0))</f>
        <v>1</v>
      </c>
      <c r="AK1027" s="124" t="b">
        <f>INDEX(stable[q_regen_ag],MATCH(questions[[#This Row],[qno]],stable[qno],0))</f>
        <v>0</v>
      </c>
      <c r="AL1027" s="163"/>
      <c r="AM1027" s="163"/>
      <c r="AN1027" s="163"/>
      <c r="AO1027" s="163"/>
      <c r="AP1027" s="16" t="str">
        <f>LEFT(questions[[#This Row],[question]],similarity_range)</f>
        <v xml:space="preserve">What type of mulch? </v>
      </c>
      <c r="AQ1027" s="16" t="str">
        <f>LEFT(INDEX(stable[question],MATCH(questions[[#This Row],[qno]],stable[qno],0)),similarity_range)</f>
        <v xml:space="preserve">What type of mulch? </v>
      </c>
      <c r="AR1027" s="16" t="b">
        <f>questions[[#This Row],[question_first_characters]]=questions[[#This Row],[stability_first_characters]]</f>
        <v>1</v>
      </c>
      <c r="AS1027" s="16" t="b">
        <f>IF(OR(questions[[#This Row],[is_single_select]],questions[[#This Row],[is_multi_select]]),NOT(ISBLANK(questions[[#This Row],[answer_opt_combined]])),TRUE)</f>
        <v>1</v>
      </c>
    </row>
    <row r="1028" spans="1:45" ht="15.75" customHeight="1" x14ac:dyDescent="0.25">
      <c r="A1028" s="33" t="str">
        <f>_xlfn.TEXTJOIN("_",TRUE,questions[[#This Row],[origin]:[qno]])</f>
        <v>Vietnam_Robusta_Nestle_Selecta_2025_5502</v>
      </c>
      <c r="B1028" s="33" t="s">
        <v>673</v>
      </c>
      <c r="C1028" s="33" t="s">
        <v>674</v>
      </c>
      <c r="D1028" s="33" t="s">
        <v>904</v>
      </c>
      <c r="E1028" s="33">
        <v>2025</v>
      </c>
      <c r="F1028" s="41" t="s">
        <v>201</v>
      </c>
      <c r="G1028" s="218" t="s">
        <v>929</v>
      </c>
      <c r="H1028" s="33" t="str" cm="1">
        <f t="array" ref="H1028">INDEX(stableR[question],MATCH(VALUE(questions[[#This Row],[qno]]),VALUE(stableR[qno]),0))</f>
        <v>What was the total quantity of mulch that you used? (Kg)</v>
      </c>
      <c r="I1028" s="33" t="b" cm="1">
        <f t="array" ref="I1028">INDEX(stable[is_fixed],MATCH(VALUE(questions[[#This Row],[qno]]),VALUE(stable[qno]),0))</f>
        <v>1</v>
      </c>
      <c r="J1028" s="33" t="b" cm="1">
        <f t="array" ref="J1028">INDEX(stable[is_localized],MATCH(VALUE(questions[[#This Row],[qno]]),VALUE(stable[qno]),0))</f>
        <v>0</v>
      </c>
      <c r="K1028" s="33" t="b" cm="1">
        <f t="array" ref="K1028">INDEX(stable[is_supply_chain_dependent],MATCH(VALUE(questions[[#This Row],[qno]]),VALUE(stable[qno]),0))</f>
        <v>0</v>
      </c>
      <c r="L1028" s="33" t="b" cm="1">
        <f t="array" ref="L1028">INDEX(stable[is_mandatory],MATCH(VALUE(questions[[#This Row],[qno]]),VALUE(stable[qno]),0))</f>
        <v>0</v>
      </c>
      <c r="M1028" s="33" t="b" cm="1">
        <f t="array" ref="M1028">INDEX(stable[is_automated],MATCH(VALUE(questions[[#This Row],[qno]]),VALUE(stable[qno]),0))</f>
        <v>0</v>
      </c>
      <c r="N1028" s="33" t="b" cm="1">
        <f t="array" ref="N1028">INDEX(stable[is_free_text],MATCH(VALUE(questions[[#This Row],[qno]]),VALUE(stable[qno]),0))</f>
        <v>0</v>
      </c>
      <c r="O1028" s="33" t="b" cm="1">
        <f t="array" ref="O1028">INDEX(stable[is_numerical],MATCH(VALUE(questions[[#This Row],[qno]]),VALUE(stable[qno]),0))</f>
        <v>1</v>
      </c>
      <c r="P1028" s="33" t="b" cm="1">
        <f t="array" ref="P1028">INDEX(stable[is_single_select],MATCH(VALUE(questions[[#This Row],[qno]]),VALUE(stable[qno]),0))</f>
        <v>0</v>
      </c>
      <c r="Q1028" s="33" t="b" cm="1">
        <f t="array" ref="Q1028">INDEX(stable[is_multi_select],MATCH(VALUE(questions[[#This Row],[qno]]),VALUE(stable[qno]),0))</f>
        <v>0</v>
      </c>
      <c r="R1028" s="33" t="b" cm="1">
        <f t="array" ref="R1028">INDEX(stable[is_skip_logic],MATCH(VALUE(questions[[#This Row],[qno]]),VALUE(stable[qno]),0))</f>
        <v>1</v>
      </c>
      <c r="S1028" s="33" t="str">
        <f>_xlfn.TEXTJOIN(", ",TRUE,questions[[#This Row],[ans_opt_1]:[ans_opt_14]])</f>
        <v/>
      </c>
      <c r="T1028" s="47"/>
      <c r="U1028" s="47"/>
      <c r="V1028" s="47"/>
      <c r="W1028" s="47"/>
      <c r="X1028" s="47"/>
      <c r="Y1028" s="47"/>
      <c r="Z1028" s="47"/>
      <c r="AA1028" s="47"/>
      <c r="AB1028" s="47"/>
      <c r="AC1028" s="47"/>
      <c r="AD1028" s="46"/>
      <c r="AE1028" s="46"/>
      <c r="AF1028" s="46"/>
      <c r="AG1028" s="46"/>
      <c r="AH1028" s="124" t="b">
        <f>INDEX(stable[q_standard],MATCH(questions[[#This Row],[qno]],stable[qno],0))</f>
        <v>0</v>
      </c>
      <c r="AI1028" s="124" t="b">
        <f>INDEX(stable[q_living_income],MATCH(questions[[#This Row],[qno]],stable[qno],0))</f>
        <v>1</v>
      </c>
      <c r="AJ1028" s="124" t="b">
        <f>INDEX(stable[q_carbon],MATCH(questions[[#This Row],[qno]],stable[qno],0))</f>
        <v>1</v>
      </c>
      <c r="AK1028" s="124" t="b">
        <f>INDEX(stable[q_regen_ag],MATCH(questions[[#This Row],[qno]],stable[qno],0))</f>
        <v>0</v>
      </c>
      <c r="AL1028" s="163"/>
      <c r="AM1028" s="163"/>
      <c r="AN1028" s="163"/>
      <c r="AO1028" s="163"/>
      <c r="AP1028" s="16" t="str">
        <f>LEFT(questions[[#This Row],[question]],similarity_range)</f>
        <v>What was the total q</v>
      </c>
      <c r="AQ1028" s="16" t="str">
        <f>LEFT(INDEX(stable[question],MATCH(questions[[#This Row],[qno]],stable[qno],0)),similarity_range)</f>
        <v>What was the total q</v>
      </c>
      <c r="AR1028" s="16" t="b">
        <f>questions[[#This Row],[question_first_characters]]=questions[[#This Row],[stability_first_characters]]</f>
        <v>1</v>
      </c>
      <c r="AS1028" s="16" t="b">
        <f>IF(OR(questions[[#This Row],[is_single_select]],questions[[#This Row],[is_multi_select]]),NOT(ISBLANK(questions[[#This Row],[answer_opt_combined]])),TRUE)</f>
        <v>1</v>
      </c>
    </row>
    <row r="1029" spans="1:45" ht="15.75" customHeight="1" x14ac:dyDescent="0.25">
      <c r="A1029" s="33" t="str">
        <f>_xlfn.TEXTJOIN("_",TRUE,questions[[#This Row],[origin]:[qno]])</f>
        <v>Vietnam_Robusta_Nestle_Selecta_2025_5503</v>
      </c>
      <c r="B1029" s="33" t="s">
        <v>673</v>
      </c>
      <c r="C1029" s="33" t="s">
        <v>674</v>
      </c>
      <c r="D1029" s="33" t="s">
        <v>904</v>
      </c>
      <c r="E1029" s="33">
        <v>2025</v>
      </c>
      <c r="F1029" s="41" t="s">
        <v>203</v>
      </c>
      <c r="G1029" s="218" t="s">
        <v>930</v>
      </c>
      <c r="H1029" s="33" t="str" cm="1">
        <f t="array" ref="H1029">INDEX(stableR[question],MATCH(VALUE(questions[[#This Row],[qno]]),VALUE(stableR[qno]),0))</f>
        <v>What was the unit, for the mulch used (kg, basins, bags, wheel barrows, small truck/tipper, large truck)</v>
      </c>
      <c r="I1029" s="33" t="b" cm="1">
        <f t="array" ref="I1029">INDEX(stable[is_fixed],MATCH(VALUE(questions[[#This Row],[qno]]),VALUE(stable[qno]),0))</f>
        <v>1</v>
      </c>
      <c r="J1029" s="33" t="b" cm="1">
        <f t="array" ref="J1029">INDEX(stable[is_localized],MATCH(VALUE(questions[[#This Row],[qno]]),VALUE(stable[qno]),0))</f>
        <v>0</v>
      </c>
      <c r="K1029" s="33" t="b" cm="1">
        <f t="array" ref="K1029">INDEX(stable[is_supply_chain_dependent],MATCH(VALUE(questions[[#This Row],[qno]]),VALUE(stable[qno]),0))</f>
        <v>0</v>
      </c>
      <c r="L1029" s="33" t="b" cm="1">
        <f t="array" ref="L1029">INDEX(stable[is_mandatory],MATCH(VALUE(questions[[#This Row],[qno]]),VALUE(stable[qno]),0))</f>
        <v>0</v>
      </c>
      <c r="M1029" s="33" t="b" cm="1">
        <f t="array" ref="M1029">INDEX(stable[is_automated],MATCH(VALUE(questions[[#This Row],[qno]]),VALUE(stable[qno]),0))</f>
        <v>0</v>
      </c>
      <c r="N1029" s="33" t="b" cm="1">
        <f t="array" ref="N1029">INDEX(stable[is_free_text],MATCH(VALUE(questions[[#This Row],[qno]]),VALUE(stable[qno]),0))</f>
        <v>1</v>
      </c>
      <c r="O1029" s="33" t="b" cm="1">
        <f t="array" ref="O1029">INDEX(stable[is_numerical],MATCH(VALUE(questions[[#This Row],[qno]]),VALUE(stable[qno]),0))</f>
        <v>0</v>
      </c>
      <c r="P1029" s="33" t="b" cm="1">
        <f t="array" ref="P1029">INDEX(stable[is_single_select],MATCH(VALUE(questions[[#This Row],[qno]]),VALUE(stable[qno]),0))</f>
        <v>0</v>
      </c>
      <c r="Q1029" s="33" t="b" cm="1">
        <f t="array" ref="Q1029">INDEX(stable[is_multi_select],MATCH(VALUE(questions[[#This Row],[qno]]),VALUE(stable[qno]),0))</f>
        <v>0</v>
      </c>
      <c r="R1029" s="33" t="b" cm="1">
        <f t="array" ref="R1029">INDEX(stable[is_skip_logic],MATCH(VALUE(questions[[#This Row],[qno]]),VALUE(stable[qno]),0))</f>
        <v>1</v>
      </c>
      <c r="S1029" s="33" t="str">
        <f>_xlfn.TEXTJOIN(", ",TRUE,questions[[#This Row],[ans_opt_1]:[ans_opt_14]])</f>
        <v>kg</v>
      </c>
      <c r="T1029" s="46" t="s">
        <v>562</v>
      </c>
      <c r="U1029" s="47"/>
      <c r="V1029" s="47"/>
      <c r="W1029" s="47"/>
      <c r="X1029" s="47"/>
      <c r="Y1029" s="47"/>
      <c r="Z1029" s="47"/>
      <c r="AA1029" s="47"/>
      <c r="AB1029" s="47"/>
      <c r="AC1029" s="47"/>
      <c r="AD1029" s="46"/>
      <c r="AE1029" s="46"/>
      <c r="AF1029" s="46"/>
      <c r="AG1029" s="46"/>
      <c r="AH1029" s="124" t="b">
        <f>INDEX(stable[q_standard],MATCH(questions[[#This Row],[qno]],stable[qno],0))</f>
        <v>0</v>
      </c>
      <c r="AI1029" s="124" t="b">
        <f>INDEX(stable[q_living_income],MATCH(questions[[#This Row],[qno]],stable[qno],0))</f>
        <v>1</v>
      </c>
      <c r="AJ1029" s="124" t="b">
        <f>INDEX(stable[q_carbon],MATCH(questions[[#This Row],[qno]],stable[qno],0))</f>
        <v>1</v>
      </c>
      <c r="AK1029" s="124" t="b">
        <f>INDEX(stable[q_regen_ag],MATCH(questions[[#This Row],[qno]],stable[qno],0))</f>
        <v>0</v>
      </c>
      <c r="AL1029" s="163"/>
      <c r="AM1029" s="163"/>
      <c r="AN1029" s="163"/>
      <c r="AO1029" s="163"/>
      <c r="AP1029" s="16" t="str">
        <f>LEFT(questions[[#This Row],[question]],similarity_range)</f>
        <v>What was the unit, f</v>
      </c>
      <c r="AQ1029" s="16" t="str">
        <f>LEFT(INDEX(stable[question],MATCH(questions[[#This Row],[qno]],stable[qno],0)),similarity_range)</f>
        <v>What was the unit, f</v>
      </c>
      <c r="AR1029" s="16" t="b">
        <f>questions[[#This Row],[question_first_characters]]=questions[[#This Row],[stability_first_characters]]</f>
        <v>1</v>
      </c>
      <c r="AS1029" s="16" t="b">
        <f>IF(OR(questions[[#This Row],[is_single_select]],questions[[#This Row],[is_multi_select]]),NOT(ISBLANK(questions[[#This Row],[answer_opt_combined]])),TRUE)</f>
        <v>1</v>
      </c>
    </row>
    <row r="1030" spans="1:45" s="77" customFormat="1" ht="15.75" customHeight="1" x14ac:dyDescent="0.25">
      <c r="A1030" s="77" t="str">
        <f>_xlfn.TEXTJOIN("_",TRUE,questions[[#This Row],[origin]:[qno]])</f>
        <v>Vietnam_Robusta_Nestle_Selecta_2025_5504</v>
      </c>
      <c r="B1030" s="77" t="s">
        <v>673</v>
      </c>
      <c r="C1030" s="77" t="s">
        <v>674</v>
      </c>
      <c r="D1030" s="77" t="s">
        <v>904</v>
      </c>
      <c r="E1030" s="77">
        <v>2025</v>
      </c>
      <c r="F1030" s="105" t="s">
        <v>205</v>
      </c>
      <c r="G1030" s="109" t="s">
        <v>206</v>
      </c>
      <c r="H1030" s="33" t="str" cm="1">
        <f t="array" ref="H1030">INDEX(stableR[question],MATCH(VALUE(questions[[#This Row],[qno]]),VALUE(stableR[qno]),0))</f>
        <v>From where was this mulch sourced?</v>
      </c>
      <c r="I1030" s="33" t="b" cm="1">
        <f t="array" ref="I1030">INDEX(stable[is_fixed],MATCH(VALUE(questions[[#This Row],[qno]]),VALUE(stable[qno]),0))</f>
        <v>1</v>
      </c>
      <c r="J1030" s="33" t="b" cm="1">
        <f t="array" ref="J1030">INDEX(stable[is_localized],MATCH(VALUE(questions[[#This Row],[qno]]),VALUE(stable[qno]),0))</f>
        <v>0</v>
      </c>
      <c r="K1030" s="33" t="b" cm="1">
        <f t="array" ref="K1030">INDEX(stable[is_supply_chain_dependent],MATCH(VALUE(questions[[#This Row],[qno]]),VALUE(stable[qno]),0))</f>
        <v>0</v>
      </c>
      <c r="L1030" s="33" t="b" cm="1">
        <f t="array" ref="L1030">INDEX(stable[is_mandatory],MATCH(VALUE(questions[[#This Row],[qno]]),VALUE(stable[qno]),0))</f>
        <v>0</v>
      </c>
      <c r="M1030" s="33" t="b" cm="1">
        <f t="array" ref="M1030">INDEX(stable[is_automated],MATCH(VALUE(questions[[#This Row],[qno]]),VALUE(stable[qno]),0))</f>
        <v>0</v>
      </c>
      <c r="N1030" s="33" t="b" cm="1">
        <f t="array" ref="N1030">INDEX(stable[is_free_text],MATCH(VALUE(questions[[#This Row],[qno]]),VALUE(stable[qno]),0))</f>
        <v>0</v>
      </c>
      <c r="O1030" s="33" t="b" cm="1">
        <f t="array" ref="O1030">INDEX(stable[is_numerical],MATCH(VALUE(questions[[#This Row],[qno]]),VALUE(stable[qno]),0))</f>
        <v>0</v>
      </c>
      <c r="P1030" s="77" t="b" cm="1">
        <f t="array" ref="P1030">INDEX(stable[is_single_select],MATCH(VALUE(questions[[#This Row],[qno]]),VALUE(stable[qno]),0))</f>
        <v>1</v>
      </c>
      <c r="Q1030" s="77" t="b" cm="1">
        <f t="array" ref="Q1030">INDEX(stable[is_multi_select],MATCH(VALUE(questions[[#This Row],[qno]]),VALUE(stable[qno]),0))</f>
        <v>0</v>
      </c>
      <c r="R1030" s="77" t="b" cm="1">
        <f t="array" ref="R1030">INDEX(stable[is_skip_logic],MATCH(VALUE(questions[[#This Row],[qno]]),VALUE(stable[qno]),0))</f>
        <v>1</v>
      </c>
      <c r="S1030" s="77" t="str">
        <f>_xlfn.TEXTJOIN(", ",TRUE,questions[[#This Row],[ans_opt_1]:[ans_opt_14]])</f>
        <v>Outside the coffee plot, Inside the coffee plot, Both from inside and outside the coffee plot</v>
      </c>
      <c r="T1030" s="113" t="s">
        <v>207</v>
      </c>
      <c r="U1030" s="113" t="s">
        <v>208</v>
      </c>
      <c r="V1030" s="91" t="s">
        <v>209</v>
      </c>
      <c r="W1030" s="113"/>
      <c r="X1030" s="113"/>
      <c r="Y1030" s="113"/>
      <c r="Z1030" s="113"/>
      <c r="AA1030" s="113"/>
      <c r="AB1030" s="113"/>
      <c r="AC1030" s="113"/>
      <c r="AD1030" s="110"/>
      <c r="AE1030" s="110"/>
      <c r="AF1030" s="110"/>
      <c r="AG1030" s="110"/>
      <c r="AH1030" s="126" t="b">
        <f>INDEX(stable[q_standard],MATCH(questions[[#This Row],[qno]],stable[qno],0))</f>
        <v>0</v>
      </c>
      <c r="AI1030" s="126" t="b">
        <f>INDEX(stable[q_living_income],MATCH(questions[[#This Row],[qno]],stable[qno],0))</f>
        <v>1</v>
      </c>
      <c r="AJ1030" s="126" t="b">
        <f>INDEX(stable[q_carbon],MATCH(questions[[#This Row],[qno]],stable[qno],0))</f>
        <v>1</v>
      </c>
      <c r="AK1030" s="126" t="b">
        <f>INDEX(stable[q_regen_ag],MATCH(questions[[#This Row],[qno]],stable[qno],0))</f>
        <v>0</v>
      </c>
      <c r="AL1030" s="164"/>
      <c r="AM1030" s="164"/>
      <c r="AN1030" s="164"/>
      <c r="AO1030" s="164"/>
      <c r="AP1030" s="98" t="str">
        <f>LEFT(questions[[#This Row],[question]],similarity_range)</f>
        <v xml:space="preserve">From where was this </v>
      </c>
      <c r="AQ1030" s="98" t="str">
        <f>LEFT(INDEX(stable[question],MATCH(questions[[#This Row],[qno]],stable[qno],0)),similarity_range)</f>
        <v xml:space="preserve">From where was this </v>
      </c>
      <c r="AR1030" s="98" t="b">
        <f>questions[[#This Row],[question_first_characters]]=questions[[#This Row],[stability_first_characters]]</f>
        <v>1</v>
      </c>
      <c r="AS1030" s="98" t="b">
        <f>IF(OR(questions[[#This Row],[is_single_select]],questions[[#This Row],[is_multi_select]]),NOT(ISBLANK(questions[[#This Row],[answer_opt_combined]])),TRUE)</f>
        <v>1</v>
      </c>
    </row>
    <row r="1031" spans="1:45" s="77" customFormat="1" ht="15.75" customHeight="1" x14ac:dyDescent="0.25">
      <c r="A1031" s="77" t="str">
        <f>_xlfn.TEXTJOIN("_",TRUE,questions[[#This Row],[origin]:[qno]])</f>
        <v>Vietnam_Robusta_Nestle_Selecta_2025_5505</v>
      </c>
      <c r="B1031" s="77" t="s">
        <v>673</v>
      </c>
      <c r="C1031" s="77" t="s">
        <v>674</v>
      </c>
      <c r="D1031" s="77" t="s">
        <v>904</v>
      </c>
      <c r="E1031" s="77">
        <v>2025</v>
      </c>
      <c r="F1031" s="105" t="s">
        <v>210</v>
      </c>
      <c r="G1031" s="109" t="s">
        <v>211</v>
      </c>
      <c r="H1031" s="33" t="str" cm="1">
        <f t="array" ref="H1031">INDEX(stableR[question],MATCH(VALUE(questions[[#This Row],[qno]]),VALUE(stableR[qno]),0))</f>
        <v>If it was from outside the coffee plot, did you buy this mulch, or did it come from your own farm?</v>
      </c>
      <c r="I1031" s="33" t="b" cm="1">
        <f t="array" ref="I1031">INDEX(stable[is_fixed],MATCH(VALUE(questions[[#This Row],[qno]]),VALUE(stable[qno]),0))</f>
        <v>1</v>
      </c>
      <c r="J1031" s="33" t="b" cm="1">
        <f t="array" ref="J1031">INDEX(stable[is_localized],MATCH(VALUE(questions[[#This Row],[qno]]),VALUE(stable[qno]),0))</f>
        <v>0</v>
      </c>
      <c r="K1031" s="33" t="b" cm="1">
        <f t="array" ref="K1031">INDEX(stable[is_supply_chain_dependent],MATCH(VALUE(questions[[#This Row],[qno]]),VALUE(stable[qno]),0))</f>
        <v>0</v>
      </c>
      <c r="L1031" s="33" t="b" cm="1">
        <f t="array" ref="L1031">INDEX(stable[is_mandatory],MATCH(VALUE(questions[[#This Row],[qno]]),VALUE(stable[qno]),0))</f>
        <v>0</v>
      </c>
      <c r="M1031" s="33" t="b" cm="1">
        <f t="array" ref="M1031">INDEX(stable[is_automated],MATCH(VALUE(questions[[#This Row],[qno]]),VALUE(stable[qno]),0))</f>
        <v>0</v>
      </c>
      <c r="N1031" s="33" t="b" cm="1">
        <f t="array" ref="N1031">INDEX(stable[is_free_text],MATCH(VALUE(questions[[#This Row],[qno]]),VALUE(stable[qno]),0))</f>
        <v>0</v>
      </c>
      <c r="O1031" s="33" t="b" cm="1">
        <f t="array" ref="O1031">INDEX(stable[is_numerical],MATCH(VALUE(questions[[#This Row],[qno]]),VALUE(stable[qno]),0))</f>
        <v>0</v>
      </c>
      <c r="P1031" s="77" t="b" cm="1">
        <f t="array" ref="P1031">INDEX(stable[is_single_select],MATCH(VALUE(questions[[#This Row],[qno]]),VALUE(stable[qno]),0))</f>
        <v>1</v>
      </c>
      <c r="Q1031" s="77" t="b" cm="1">
        <f t="array" ref="Q1031">INDEX(stable[is_multi_select],MATCH(VALUE(questions[[#This Row],[qno]]),VALUE(stable[qno]),0))</f>
        <v>0</v>
      </c>
      <c r="R1031" s="77" t="b" cm="1">
        <f t="array" ref="R1031">INDEX(stable[is_skip_logic],MATCH(VALUE(questions[[#This Row],[qno]]),VALUE(stable[qno]),0))</f>
        <v>1</v>
      </c>
      <c r="S1031" s="77" t="str">
        <f>_xlfn.TEXTJOIN(", ",TRUE,questions[[#This Row],[ans_opt_1]:[ans_opt_14]])</f>
        <v>Bought, From own farm, Received for free, Both from own farm &amp; bought/received from outside the farm</v>
      </c>
      <c r="T1031" s="113" t="s">
        <v>185</v>
      </c>
      <c r="U1031" s="113" t="s">
        <v>186</v>
      </c>
      <c r="V1031" s="91" t="s">
        <v>187</v>
      </c>
      <c r="W1031" s="91" t="s">
        <v>188</v>
      </c>
      <c r="X1031" s="113"/>
      <c r="Y1031" s="113"/>
      <c r="Z1031" s="113"/>
      <c r="AA1031" s="113"/>
      <c r="AB1031" s="113"/>
      <c r="AC1031" s="113"/>
      <c r="AD1031" s="110"/>
      <c r="AE1031" s="110"/>
      <c r="AF1031" s="110"/>
      <c r="AG1031" s="110"/>
      <c r="AH1031" s="126" t="b">
        <f>INDEX(stable[q_standard],MATCH(questions[[#This Row],[qno]],stable[qno],0))</f>
        <v>0</v>
      </c>
      <c r="AI1031" s="126" t="b">
        <f>INDEX(stable[q_living_income],MATCH(questions[[#This Row],[qno]],stable[qno],0))</f>
        <v>1</v>
      </c>
      <c r="AJ1031" s="126" t="b">
        <f>INDEX(stable[q_carbon],MATCH(questions[[#This Row],[qno]],stable[qno],0))</f>
        <v>1</v>
      </c>
      <c r="AK1031" s="126" t="b">
        <f>INDEX(stable[q_regen_ag],MATCH(questions[[#This Row],[qno]],stable[qno],0))</f>
        <v>0</v>
      </c>
      <c r="AL1031" s="162"/>
      <c r="AM1031" s="162"/>
      <c r="AN1031" s="162"/>
      <c r="AO1031" s="162"/>
      <c r="AP1031" s="98" t="str">
        <f>LEFT(questions[[#This Row],[question]],similarity_range)</f>
        <v>If it was from outsi</v>
      </c>
      <c r="AQ1031" s="98" t="str">
        <f>LEFT(INDEX(stable[question],MATCH(questions[[#This Row],[qno]],stable[qno],0)),similarity_range)</f>
        <v>If it was from outsi</v>
      </c>
      <c r="AR1031" s="98" t="b">
        <f>questions[[#This Row],[question_first_characters]]=questions[[#This Row],[stability_first_characters]]</f>
        <v>1</v>
      </c>
      <c r="AS1031" s="98" t="b">
        <f>IF(OR(questions[[#This Row],[is_single_select]],questions[[#This Row],[is_multi_select]]),NOT(ISBLANK(questions[[#This Row],[answer_opt_combined]])),TRUE)</f>
        <v>1</v>
      </c>
    </row>
    <row r="1032" spans="1:45" s="77" customFormat="1" ht="15.75" customHeight="1" x14ac:dyDescent="0.25">
      <c r="A1032" s="77" t="str">
        <f>_xlfn.TEXTJOIN("_",TRUE,questions[[#This Row],[origin]:[qno]])</f>
        <v>Vietnam_Robusta_Nestle_Selecta_2025_5600</v>
      </c>
      <c r="B1032" s="77" t="s">
        <v>673</v>
      </c>
      <c r="C1032" s="77" t="s">
        <v>674</v>
      </c>
      <c r="D1032" s="77" t="s">
        <v>904</v>
      </c>
      <c r="E1032" s="77">
        <v>2025</v>
      </c>
      <c r="F1032" s="105" t="s">
        <v>212</v>
      </c>
      <c r="G1032" s="109" t="s">
        <v>847</v>
      </c>
      <c r="H1032" s="33" t="str" cm="1">
        <f t="array" ref="H1032">INDEX(stableR[question],MATCH(VALUE(questions[[#This Row],[qno]]),VALUE(stableR[qno]),0))</f>
        <v xml:space="preserve">Did you use pesticides, fungicides or herbicides for your coffee last year? </v>
      </c>
      <c r="I1032" s="33" t="b" cm="1">
        <f t="array" ref="I1032">INDEX(stable[is_fixed],MATCH(VALUE(questions[[#This Row],[qno]]),VALUE(stable[qno]),0))</f>
        <v>1</v>
      </c>
      <c r="J1032" s="33" t="b" cm="1">
        <f t="array" ref="J1032">INDEX(stable[is_localized],MATCH(VALUE(questions[[#This Row],[qno]]),VALUE(stable[qno]),0))</f>
        <v>0</v>
      </c>
      <c r="K1032" s="33" t="b" cm="1">
        <f t="array" ref="K1032">INDEX(stable[is_supply_chain_dependent],MATCH(VALUE(questions[[#This Row],[qno]]),VALUE(stable[qno]),0))</f>
        <v>0</v>
      </c>
      <c r="L1032" s="33" t="b" cm="1">
        <f t="array" ref="L1032">INDEX(stable[is_mandatory],MATCH(VALUE(questions[[#This Row],[qno]]),VALUE(stable[qno]),0))</f>
        <v>1</v>
      </c>
      <c r="M1032" s="33" t="b" cm="1">
        <f t="array" ref="M1032">INDEX(stable[is_automated],MATCH(VALUE(questions[[#This Row],[qno]]),VALUE(stable[qno]),0))</f>
        <v>0</v>
      </c>
      <c r="N1032" s="33" t="b" cm="1">
        <f t="array" ref="N1032">INDEX(stable[is_free_text],MATCH(VALUE(questions[[#This Row],[qno]]),VALUE(stable[qno]),0))</f>
        <v>0</v>
      </c>
      <c r="O1032" s="33" t="b" cm="1">
        <f t="array" ref="O1032">INDEX(stable[is_numerical],MATCH(VALUE(questions[[#This Row],[qno]]),VALUE(stable[qno]),0))</f>
        <v>0</v>
      </c>
      <c r="P1032" s="77" t="b" cm="1">
        <f t="array" ref="P1032">INDEX(stable[is_single_select],MATCH(VALUE(questions[[#This Row],[qno]]),VALUE(stable[qno]),0))</f>
        <v>1</v>
      </c>
      <c r="Q1032" s="77" t="b" cm="1">
        <f t="array" ref="Q1032">INDEX(stable[is_multi_select],MATCH(VALUE(questions[[#This Row],[qno]]),VALUE(stable[qno]),0))</f>
        <v>0</v>
      </c>
      <c r="R1032" s="77" t="b" cm="1">
        <f t="array" ref="R1032">INDEX(stable[is_skip_logic],MATCH(VALUE(questions[[#This Row],[qno]]),VALUE(stable[qno]),0))</f>
        <v>1</v>
      </c>
      <c r="S1032" s="77" t="str">
        <f>_xlfn.TEXTJOIN(", ",TRUE,questions[[#This Row],[ans_opt_1]:[ans_opt_14]])</f>
        <v>Yes, No</v>
      </c>
      <c r="T1032" s="113" t="s">
        <v>149</v>
      </c>
      <c r="U1032" s="91" t="s">
        <v>119</v>
      </c>
      <c r="V1032" s="91"/>
      <c r="W1032" s="91"/>
      <c r="X1032" s="91"/>
      <c r="Y1032" s="91"/>
      <c r="Z1032" s="91"/>
      <c r="AA1032" s="91"/>
      <c r="AB1032" s="91"/>
      <c r="AC1032" s="91"/>
      <c r="AD1032" s="91"/>
      <c r="AE1032" s="91"/>
      <c r="AF1032" s="91"/>
      <c r="AG1032" s="91"/>
      <c r="AH1032" s="126" t="b">
        <f>INDEX(stable[q_standard],MATCH(questions[[#This Row],[qno]],stable[qno],0))</f>
        <v>0</v>
      </c>
      <c r="AI1032" s="126" t="b">
        <f>INDEX(stable[q_living_income],MATCH(questions[[#This Row],[qno]],stable[qno],0))</f>
        <v>1</v>
      </c>
      <c r="AJ1032" s="126" t="b">
        <f>INDEX(stable[q_carbon],MATCH(questions[[#This Row],[qno]],stable[qno],0))</f>
        <v>1</v>
      </c>
      <c r="AK1032" s="126" t="b">
        <f>INDEX(stable[q_regen_ag],MATCH(questions[[#This Row],[qno]],stable[qno],0))</f>
        <v>0</v>
      </c>
      <c r="AL1032" s="165"/>
      <c r="AM1032" s="165"/>
      <c r="AN1032" s="165"/>
      <c r="AO1032" s="165"/>
      <c r="AP1032" s="98" t="str">
        <f>LEFT(questions[[#This Row],[question]],similarity_range)</f>
        <v>Did you use pesticid</v>
      </c>
      <c r="AQ1032" s="98" t="str">
        <f>LEFT(INDEX(stable[question],MATCH(questions[[#This Row],[qno]],stable[qno],0)),similarity_range)</f>
        <v>Did you use pesticid</v>
      </c>
      <c r="AR1032" s="98" t="b">
        <f>questions[[#This Row],[question_first_characters]]=questions[[#This Row],[stability_first_characters]]</f>
        <v>1</v>
      </c>
      <c r="AS1032" s="98" t="b">
        <f>IF(OR(questions[[#This Row],[is_single_select]],questions[[#This Row],[is_multi_select]]),NOT(ISBLANK(questions[[#This Row],[answer_opt_combined]])),TRUE)</f>
        <v>1</v>
      </c>
    </row>
    <row r="1033" spans="1:45" ht="15.75" customHeight="1" x14ac:dyDescent="0.25">
      <c r="A1033" s="33" t="str">
        <f>_xlfn.TEXTJOIN("_",TRUE,questions[[#This Row],[origin]:[qno]])</f>
        <v>Vietnam_Robusta_Nestle_Selecta_2025_5601</v>
      </c>
      <c r="B1033" s="33" t="s">
        <v>673</v>
      </c>
      <c r="C1033" s="33" t="s">
        <v>674</v>
      </c>
      <c r="D1033" s="33" t="s">
        <v>904</v>
      </c>
      <c r="E1033" s="33">
        <v>2025</v>
      </c>
      <c r="F1033" s="41" t="s">
        <v>214</v>
      </c>
      <c r="G1033" s="218" t="s">
        <v>215</v>
      </c>
      <c r="H1033" s="33" t="str" cm="1">
        <f t="array" ref="H1033">INDEX(stableR[question],MATCH(VALUE(questions[[#This Row],[qno]]),VALUE(stableR[qno]),0))</f>
        <v xml:space="preserve">If yes, how many types of pesticides, fungicides and/or herbicides did you use last year for your coffee, in total? </v>
      </c>
      <c r="I1033" s="33" t="b" cm="1">
        <f t="array" ref="I1033">INDEX(stable[is_fixed],MATCH(VALUE(questions[[#This Row],[qno]]),VALUE(stable[qno]),0))</f>
        <v>1</v>
      </c>
      <c r="J1033" s="33" t="b" cm="1">
        <f t="array" ref="J1033">INDEX(stable[is_localized],MATCH(VALUE(questions[[#This Row],[qno]]),VALUE(stable[qno]),0))</f>
        <v>0</v>
      </c>
      <c r="K1033" s="33" t="b" cm="1">
        <f t="array" ref="K1033">INDEX(stable[is_supply_chain_dependent],MATCH(VALUE(questions[[#This Row],[qno]]),VALUE(stable[qno]),0))</f>
        <v>0</v>
      </c>
      <c r="L1033" s="33" t="b" cm="1">
        <f t="array" ref="L1033">INDEX(stable[is_mandatory],MATCH(VALUE(questions[[#This Row],[qno]]),VALUE(stable[qno]),0))</f>
        <v>0</v>
      </c>
      <c r="M1033" s="33" t="b" cm="1">
        <f t="array" ref="M1033">INDEX(stable[is_automated],MATCH(VALUE(questions[[#This Row],[qno]]),VALUE(stable[qno]),0))</f>
        <v>0</v>
      </c>
      <c r="N1033" s="33" t="b" cm="1">
        <f t="array" ref="N1033">INDEX(stable[is_free_text],MATCH(VALUE(questions[[#This Row],[qno]]),VALUE(stable[qno]),0))</f>
        <v>0</v>
      </c>
      <c r="O1033" s="33" t="b" cm="1">
        <f t="array" ref="O1033">INDEX(stable[is_numerical],MATCH(VALUE(questions[[#This Row],[qno]]),VALUE(stable[qno]),0))</f>
        <v>1</v>
      </c>
      <c r="P1033" s="33" t="b" cm="1">
        <f t="array" ref="P1033">INDEX(stable[is_single_select],MATCH(VALUE(questions[[#This Row],[qno]]),VALUE(stable[qno]),0))</f>
        <v>0</v>
      </c>
      <c r="Q1033" s="33" t="b" cm="1">
        <f t="array" ref="Q1033">INDEX(stable[is_multi_select],MATCH(VALUE(questions[[#This Row],[qno]]),VALUE(stable[qno]),0))</f>
        <v>0</v>
      </c>
      <c r="R1033" s="33" t="b" cm="1">
        <f t="array" ref="R1033">INDEX(stable[is_skip_logic],MATCH(VALUE(questions[[#This Row],[qno]]),VALUE(stable[qno]),0))</f>
        <v>1</v>
      </c>
      <c r="S1033" s="33" t="str">
        <f>_xlfn.TEXTJOIN(", ",TRUE,questions[[#This Row],[ans_opt_1]:[ans_opt_14]])</f>
        <v/>
      </c>
      <c r="T1033" s="47"/>
      <c r="U1033" s="44"/>
      <c r="V1033" s="44"/>
      <c r="W1033" s="44"/>
      <c r="X1033" s="44"/>
      <c r="Y1033" s="44"/>
      <c r="Z1033" s="44"/>
      <c r="AA1033" s="44"/>
      <c r="AB1033" s="44"/>
      <c r="AC1033" s="44"/>
      <c r="AD1033" s="44"/>
      <c r="AE1033" s="44"/>
      <c r="AF1033" s="44"/>
      <c r="AG1033" s="44"/>
      <c r="AH1033" s="124" t="b">
        <f>INDEX(stable[q_standard],MATCH(questions[[#This Row],[qno]],stable[qno],0))</f>
        <v>0</v>
      </c>
      <c r="AI1033" s="124" t="b">
        <f>INDEX(stable[q_living_income],MATCH(questions[[#This Row],[qno]],stable[qno],0))</f>
        <v>1</v>
      </c>
      <c r="AJ1033" s="124" t="b">
        <f>INDEX(stable[q_carbon],MATCH(questions[[#This Row],[qno]],stable[qno],0))</f>
        <v>1</v>
      </c>
      <c r="AK1033" s="124" t="b">
        <f>INDEX(stable[q_regen_ag],MATCH(questions[[#This Row],[qno]],stable[qno],0))</f>
        <v>0</v>
      </c>
      <c r="AL1033" s="166"/>
      <c r="AM1033" s="166"/>
      <c r="AN1033" s="166"/>
      <c r="AO1033" s="166"/>
      <c r="AP1033" s="16" t="str">
        <f>LEFT(questions[[#This Row],[question]],similarity_range)</f>
        <v>If yes, how many typ</v>
      </c>
      <c r="AQ1033" s="16" t="str">
        <f>LEFT(INDEX(stable[question],MATCH(questions[[#This Row],[qno]],stable[qno],0)),similarity_range)</f>
        <v>If yes, how many typ</v>
      </c>
      <c r="AR1033" s="16" t="b">
        <f>questions[[#This Row],[question_first_characters]]=questions[[#This Row],[stability_first_characters]]</f>
        <v>1</v>
      </c>
      <c r="AS1033" s="16" t="b">
        <f>IF(OR(questions[[#This Row],[is_single_select]],questions[[#This Row],[is_multi_select]]),NOT(ISBLANK(questions[[#This Row],[answer_opt_combined]])),TRUE)</f>
        <v>1</v>
      </c>
    </row>
    <row r="1034" spans="1:45" ht="15.75" customHeight="1" x14ac:dyDescent="0.25">
      <c r="A1034" s="33" t="str">
        <f>_xlfn.TEXTJOIN("_",TRUE,questions[[#This Row],[origin]:[qno]])</f>
        <v>Vietnam_Robusta_Nestle_Selecta_2025_5610</v>
      </c>
      <c r="B1034" s="33" t="s">
        <v>673</v>
      </c>
      <c r="C1034" s="33" t="s">
        <v>674</v>
      </c>
      <c r="D1034" s="33" t="s">
        <v>904</v>
      </c>
      <c r="E1034" s="33">
        <v>2025</v>
      </c>
      <c r="F1034" s="41" t="s">
        <v>216</v>
      </c>
      <c r="G1034" s="218" t="s">
        <v>217</v>
      </c>
      <c r="H1034" s="33" t="str" cm="1">
        <f t="array" ref="H1034">INDEX(stableR[question],MATCH(VALUE(questions[[#This Row],[qno]]),VALUE(stableR[qno]),0))</f>
        <v>What was the name of the pesticide/fungicide or herbicide that you used most, last year?</v>
      </c>
      <c r="I1034" s="33" t="b" cm="1">
        <f t="array" ref="I1034">INDEX(stable[is_fixed],MATCH(VALUE(questions[[#This Row],[qno]]),VALUE(stable[qno]),0))</f>
        <v>1</v>
      </c>
      <c r="J1034" s="33" t="b" cm="1">
        <f t="array" ref="J1034">INDEX(stable[is_localized],MATCH(VALUE(questions[[#This Row],[qno]]),VALUE(stable[qno]),0))</f>
        <v>0</v>
      </c>
      <c r="K1034" s="33" t="b" cm="1">
        <f t="array" ref="K1034">INDEX(stable[is_supply_chain_dependent],MATCH(VALUE(questions[[#This Row],[qno]]),VALUE(stable[qno]),0))</f>
        <v>0</v>
      </c>
      <c r="L1034" s="33" t="b" cm="1">
        <f t="array" ref="L1034">INDEX(stable[is_mandatory],MATCH(VALUE(questions[[#This Row],[qno]]),VALUE(stable[qno]),0))</f>
        <v>0</v>
      </c>
      <c r="M1034" s="33" t="b" cm="1">
        <f t="array" ref="M1034">INDEX(stable[is_automated],MATCH(VALUE(questions[[#This Row],[qno]]),VALUE(stable[qno]),0))</f>
        <v>0</v>
      </c>
      <c r="N1034" s="33" t="b" cm="1">
        <f t="array" ref="N1034">INDEX(stable[is_free_text],MATCH(VALUE(questions[[#This Row],[qno]]),VALUE(stable[qno]),0))</f>
        <v>1</v>
      </c>
      <c r="O1034" s="33" t="b" cm="1">
        <f t="array" ref="O1034">INDEX(stable[is_numerical],MATCH(VALUE(questions[[#This Row],[qno]]),VALUE(stable[qno]),0))</f>
        <v>0</v>
      </c>
      <c r="P1034" s="33" t="b" cm="1">
        <f t="array" ref="P1034">INDEX(stable[is_single_select],MATCH(VALUE(questions[[#This Row],[qno]]),VALUE(stable[qno]),0))</f>
        <v>0</v>
      </c>
      <c r="Q1034" s="33" t="b" cm="1">
        <f t="array" ref="Q1034">INDEX(stable[is_multi_select],MATCH(VALUE(questions[[#This Row],[qno]]),VALUE(stable[qno]),0))</f>
        <v>0</v>
      </c>
      <c r="R1034" s="33" t="b" cm="1">
        <f t="array" ref="R1034">INDEX(stable[is_skip_logic],MATCH(VALUE(questions[[#This Row],[qno]]),VALUE(stable[qno]),0))</f>
        <v>1</v>
      </c>
      <c r="S1034" s="33" t="str">
        <f>_xlfn.TEXTJOIN(", ",TRUE,questions[[#This Row],[ans_opt_1]:[ans_opt_14]])</f>
        <v/>
      </c>
      <c r="T1034" s="44"/>
      <c r="U1034" s="44"/>
      <c r="V1034" s="44"/>
      <c r="W1034" s="44"/>
      <c r="X1034" s="44"/>
      <c r="Y1034" s="44"/>
      <c r="Z1034" s="44"/>
      <c r="AA1034" s="44"/>
      <c r="AB1034" s="44"/>
      <c r="AC1034" s="44"/>
      <c r="AD1034" s="44"/>
      <c r="AE1034" s="44"/>
      <c r="AF1034" s="44"/>
      <c r="AG1034" s="44"/>
      <c r="AH1034" s="124" t="b">
        <f>INDEX(stable[q_standard],MATCH(questions[[#This Row],[qno]],stable[qno],0))</f>
        <v>0</v>
      </c>
      <c r="AI1034" s="124" t="b">
        <f>INDEX(stable[q_living_income],MATCH(questions[[#This Row],[qno]],stable[qno],0))</f>
        <v>1</v>
      </c>
      <c r="AJ1034" s="124" t="b">
        <f>INDEX(stable[q_carbon],MATCH(questions[[#This Row],[qno]],stable[qno],0))</f>
        <v>1</v>
      </c>
      <c r="AK1034" s="124" t="b">
        <f>INDEX(stable[q_regen_ag],MATCH(questions[[#This Row],[qno]],stable[qno],0))</f>
        <v>0</v>
      </c>
      <c r="AL1034" s="166"/>
      <c r="AM1034" s="166"/>
      <c r="AN1034" s="166"/>
      <c r="AO1034" s="166"/>
      <c r="AP1034" s="16" t="str">
        <f>LEFT(questions[[#This Row],[question]],similarity_range)</f>
        <v>If yes, what was the</v>
      </c>
      <c r="AQ1034" s="16" t="str">
        <f>LEFT(INDEX(stable[question],MATCH(questions[[#This Row],[qno]],stable[qno],0)),similarity_range)</f>
        <v>If yes, what was the</v>
      </c>
      <c r="AR1034" s="16" t="b">
        <f>questions[[#This Row],[question_first_characters]]=questions[[#This Row],[stability_first_characters]]</f>
        <v>1</v>
      </c>
      <c r="AS1034" s="16" t="b">
        <f>IF(OR(questions[[#This Row],[is_single_select]],questions[[#This Row],[is_multi_select]]),NOT(ISBLANK(questions[[#This Row],[answer_opt_combined]])),TRUE)</f>
        <v>1</v>
      </c>
    </row>
    <row r="1035" spans="1:45" ht="15.75" customHeight="1" x14ac:dyDescent="0.25">
      <c r="A1035" s="33" t="str">
        <f>_xlfn.TEXTJOIN("_",TRUE,questions[[#This Row],[origin]:[qno]])</f>
        <v>Vietnam_Robusta_Nestle_Selecta_2025_5611</v>
      </c>
      <c r="B1035" s="33" t="s">
        <v>673</v>
      </c>
      <c r="C1035" s="33" t="s">
        <v>674</v>
      </c>
      <c r="D1035" s="33" t="s">
        <v>904</v>
      </c>
      <c r="E1035" s="33">
        <v>2025</v>
      </c>
      <c r="F1035" s="41" t="s">
        <v>218</v>
      </c>
      <c r="G1035" s="218" t="s">
        <v>219</v>
      </c>
      <c r="H1035" s="33" t="str" cm="1">
        <f t="array" ref="H1035">INDEX(stableR[question],MATCH(VALUE(questions[[#This Row],[qno]]),VALUE(stableR[qno]),0))</f>
        <v>What was the quantity used of this most used pesticide/fungicide/herbicide last year?</v>
      </c>
      <c r="I1035" s="33" t="b" cm="1">
        <f t="array" ref="I1035">INDEX(stable[is_fixed],MATCH(VALUE(questions[[#This Row],[qno]]),VALUE(stable[qno]),0))</f>
        <v>1</v>
      </c>
      <c r="J1035" s="33" t="b" cm="1">
        <f t="array" ref="J1035">INDEX(stable[is_localized],MATCH(VALUE(questions[[#This Row],[qno]]),VALUE(stable[qno]),0))</f>
        <v>0</v>
      </c>
      <c r="K1035" s="33" t="b" cm="1">
        <f t="array" ref="K1035">INDEX(stable[is_supply_chain_dependent],MATCH(VALUE(questions[[#This Row],[qno]]),VALUE(stable[qno]),0))</f>
        <v>0</v>
      </c>
      <c r="L1035" s="33" t="b" cm="1">
        <f t="array" ref="L1035">INDEX(stable[is_mandatory],MATCH(VALUE(questions[[#This Row],[qno]]),VALUE(stable[qno]),0))</f>
        <v>0</v>
      </c>
      <c r="M1035" s="33" t="b" cm="1">
        <f t="array" ref="M1035">INDEX(stable[is_automated],MATCH(VALUE(questions[[#This Row],[qno]]),VALUE(stable[qno]),0))</f>
        <v>0</v>
      </c>
      <c r="N1035" s="33" t="b" cm="1">
        <f t="array" ref="N1035">INDEX(stable[is_free_text],MATCH(VALUE(questions[[#This Row],[qno]]),VALUE(stable[qno]),0))</f>
        <v>0</v>
      </c>
      <c r="O1035" s="33" t="b" cm="1">
        <f t="array" ref="O1035">INDEX(stable[is_numerical],MATCH(VALUE(questions[[#This Row],[qno]]),VALUE(stable[qno]),0))</f>
        <v>1</v>
      </c>
      <c r="P1035" s="33" t="b" cm="1">
        <f t="array" ref="P1035">INDEX(stable[is_single_select],MATCH(VALUE(questions[[#This Row],[qno]]),VALUE(stable[qno]),0))</f>
        <v>0</v>
      </c>
      <c r="Q1035" s="33" t="b" cm="1">
        <f t="array" ref="Q1035">INDEX(stable[is_multi_select],MATCH(VALUE(questions[[#This Row],[qno]]),VALUE(stable[qno]),0))</f>
        <v>0</v>
      </c>
      <c r="R1035" s="33" t="b" cm="1">
        <f t="array" ref="R1035">INDEX(stable[is_skip_logic],MATCH(VALUE(questions[[#This Row],[qno]]),VALUE(stable[qno]),0))</f>
        <v>1</v>
      </c>
      <c r="S1035" s="33" t="str">
        <f>_xlfn.TEXTJOIN(", ",TRUE,questions[[#This Row],[ans_opt_1]:[ans_opt_14]])</f>
        <v/>
      </c>
      <c r="T1035" s="44"/>
      <c r="U1035" s="44"/>
      <c r="V1035" s="44"/>
      <c r="W1035" s="44"/>
      <c r="X1035" s="44"/>
      <c r="Y1035" s="44"/>
      <c r="Z1035" s="44"/>
      <c r="AA1035" s="44"/>
      <c r="AB1035" s="44"/>
      <c r="AC1035" s="44"/>
      <c r="AD1035" s="44"/>
      <c r="AE1035" s="44"/>
      <c r="AF1035" s="44"/>
      <c r="AG1035" s="44"/>
      <c r="AH1035" s="124" t="b">
        <f>INDEX(stable[q_standard],MATCH(questions[[#This Row],[qno]],stable[qno],0))</f>
        <v>0</v>
      </c>
      <c r="AI1035" s="124" t="b">
        <f>INDEX(stable[q_living_income],MATCH(questions[[#This Row],[qno]],stable[qno],0))</f>
        <v>1</v>
      </c>
      <c r="AJ1035" s="124" t="b">
        <f>INDEX(stable[q_carbon],MATCH(questions[[#This Row],[qno]],stable[qno],0))</f>
        <v>1</v>
      </c>
      <c r="AK1035" s="124" t="b">
        <f>INDEX(stable[q_regen_ag],MATCH(questions[[#This Row],[qno]],stable[qno],0))</f>
        <v>0</v>
      </c>
      <c r="AL1035" s="166"/>
      <c r="AM1035" s="166"/>
      <c r="AN1035" s="166"/>
      <c r="AO1035" s="166"/>
      <c r="AP1035" s="16" t="str">
        <f>LEFT(questions[[#This Row],[question]],similarity_range)</f>
        <v>What was the quantit</v>
      </c>
      <c r="AQ1035" s="16" t="str">
        <f>LEFT(INDEX(stable[question],MATCH(questions[[#This Row],[qno]],stable[qno],0)),similarity_range)</f>
        <v>What was the quantit</v>
      </c>
      <c r="AR1035" s="16" t="b">
        <f>questions[[#This Row],[question_first_characters]]=questions[[#This Row],[stability_first_characters]]</f>
        <v>1</v>
      </c>
      <c r="AS1035" s="16" t="b">
        <f>IF(OR(questions[[#This Row],[is_single_select]],questions[[#This Row],[is_multi_select]]),NOT(ISBLANK(questions[[#This Row],[answer_opt_combined]])),TRUE)</f>
        <v>1</v>
      </c>
    </row>
    <row r="1036" spans="1:45" s="77" customFormat="1" ht="15.75" customHeight="1" x14ac:dyDescent="0.25">
      <c r="A1036" s="77" t="str">
        <f>_xlfn.TEXTJOIN("_",TRUE,questions[[#This Row],[origin]:[qno]])</f>
        <v>Vietnam_Robusta_Nestle_Selecta_2025_5612</v>
      </c>
      <c r="B1036" s="77" t="s">
        <v>673</v>
      </c>
      <c r="C1036" s="77" t="s">
        <v>674</v>
      </c>
      <c r="D1036" s="77" t="s">
        <v>904</v>
      </c>
      <c r="E1036" s="77">
        <v>2025</v>
      </c>
      <c r="F1036" s="105" t="s">
        <v>220</v>
      </c>
      <c r="G1036" s="109" t="s">
        <v>221</v>
      </c>
      <c r="H1036" s="33" t="str" cm="1">
        <f t="array" ref="H1036">INDEX(stableR[question],MATCH(VALUE(questions[[#This Row],[qno]]),VALUE(stableR[qno]),0))</f>
        <v>What was the unit of this most used pesticide/fungicide/herbicide?</v>
      </c>
      <c r="I1036" s="33" t="b" cm="1">
        <f t="array" ref="I1036">INDEX(stable[is_fixed],MATCH(VALUE(questions[[#This Row],[qno]]),VALUE(stable[qno]),0))</f>
        <v>1</v>
      </c>
      <c r="J1036" s="33" t="b" cm="1">
        <f t="array" ref="J1036">INDEX(stable[is_localized],MATCH(VALUE(questions[[#This Row],[qno]]),VALUE(stable[qno]),0))</f>
        <v>0</v>
      </c>
      <c r="K1036" s="33" t="b" cm="1">
        <f t="array" ref="K1036">INDEX(stable[is_supply_chain_dependent],MATCH(VALUE(questions[[#This Row],[qno]]),VALUE(stable[qno]),0))</f>
        <v>0</v>
      </c>
      <c r="L1036" s="33" t="b" cm="1">
        <f t="array" ref="L1036">INDEX(stable[is_mandatory],MATCH(VALUE(questions[[#This Row],[qno]]),VALUE(stable[qno]),0))</f>
        <v>0</v>
      </c>
      <c r="M1036" s="33" t="b" cm="1">
        <f t="array" ref="M1036">INDEX(stable[is_automated],MATCH(VALUE(questions[[#This Row],[qno]]),VALUE(stable[qno]),0))</f>
        <v>0</v>
      </c>
      <c r="N1036" s="33" t="b" cm="1">
        <f t="array" ref="N1036">INDEX(stable[is_free_text],MATCH(VALUE(questions[[#This Row],[qno]]),VALUE(stable[qno]),0))</f>
        <v>0</v>
      </c>
      <c r="O1036" s="33" t="b" cm="1">
        <f t="array" ref="O1036">INDEX(stable[is_numerical],MATCH(VALUE(questions[[#This Row],[qno]]),VALUE(stable[qno]),0))</f>
        <v>0</v>
      </c>
      <c r="P1036" s="77" t="b" cm="1">
        <f t="array" ref="P1036">INDEX(stable[is_single_select],MATCH(VALUE(questions[[#This Row],[qno]]),VALUE(stable[qno]),0))</f>
        <v>1</v>
      </c>
      <c r="Q1036" s="77" t="b" cm="1">
        <f t="array" ref="Q1036">INDEX(stable[is_multi_select],MATCH(VALUE(questions[[#This Row],[qno]]),VALUE(stable[qno]),0))</f>
        <v>0</v>
      </c>
      <c r="R1036" s="77" t="b" cm="1">
        <f t="array" ref="R1036">INDEX(stable[is_skip_logic],MATCH(VALUE(questions[[#This Row],[qno]]),VALUE(stable[qno]),0))</f>
        <v>1</v>
      </c>
      <c r="S1036" s="77" t="str">
        <f>_xlfn.TEXTJOIN(", ",TRUE,questions[[#This Row],[ans_opt_1]:[ans_opt_14]])</f>
        <v>Kgs, Grams, Liters, Mililiters</v>
      </c>
      <c r="T1036" s="77" t="s">
        <v>222</v>
      </c>
      <c r="U1036" s="77" t="s">
        <v>223</v>
      </c>
      <c r="V1036" s="77" t="s">
        <v>224</v>
      </c>
      <c r="W1036" s="77" t="s">
        <v>225</v>
      </c>
      <c r="X1036" s="91"/>
      <c r="Y1036" s="91"/>
      <c r="Z1036" s="91"/>
      <c r="AA1036" s="91"/>
      <c r="AB1036" s="91"/>
      <c r="AC1036" s="91"/>
      <c r="AD1036" s="91"/>
      <c r="AE1036" s="91"/>
      <c r="AF1036" s="91"/>
      <c r="AG1036" s="91"/>
      <c r="AH1036" s="126" t="b">
        <f>INDEX(stable[q_standard],MATCH(questions[[#This Row],[qno]],stable[qno],0))</f>
        <v>0</v>
      </c>
      <c r="AI1036" s="126" t="b">
        <f>INDEX(stable[q_living_income],MATCH(questions[[#This Row],[qno]],stable[qno],0))</f>
        <v>1</v>
      </c>
      <c r="AJ1036" s="126" t="b">
        <f>INDEX(stable[q_carbon],MATCH(questions[[#This Row],[qno]],stable[qno],0))</f>
        <v>1</v>
      </c>
      <c r="AK1036" s="126" t="b">
        <f>INDEX(stable[q_regen_ag],MATCH(questions[[#This Row],[qno]],stable[qno],0))</f>
        <v>0</v>
      </c>
      <c r="AL1036" s="165"/>
      <c r="AM1036" s="165"/>
      <c r="AN1036" s="165"/>
      <c r="AO1036" s="165"/>
      <c r="AP1036" s="98" t="str">
        <f>LEFT(questions[[#This Row],[question]],similarity_range)</f>
        <v>What was the unit of</v>
      </c>
      <c r="AQ1036" s="98" t="str">
        <f>LEFT(INDEX(stable[question],MATCH(questions[[#This Row],[qno]],stable[qno],0)),similarity_range)</f>
        <v>What was the unit of</v>
      </c>
      <c r="AR1036" s="98" t="b">
        <f>questions[[#This Row],[question_first_characters]]=questions[[#This Row],[stability_first_characters]]</f>
        <v>1</v>
      </c>
      <c r="AS1036" s="98" t="b">
        <f>IF(OR(questions[[#This Row],[is_single_select]],questions[[#This Row],[is_multi_select]]),NOT(ISBLANK(questions[[#This Row],[answer_opt_combined]])),TRUE)</f>
        <v>1</v>
      </c>
    </row>
    <row r="1037" spans="1:45" ht="15.75" customHeight="1" x14ac:dyDescent="0.25">
      <c r="A1037" s="33" t="str">
        <f>_xlfn.TEXTJOIN("_",TRUE,questions[[#This Row],[origin]:[qno]])</f>
        <v>Vietnam_Robusta_Nestle_Selecta_2025_5620</v>
      </c>
      <c r="B1037" s="33" t="s">
        <v>673</v>
      </c>
      <c r="C1037" s="33" t="s">
        <v>674</v>
      </c>
      <c r="D1037" s="33" t="s">
        <v>904</v>
      </c>
      <c r="E1037" s="33">
        <v>2025</v>
      </c>
      <c r="F1037" s="41" t="s">
        <v>226</v>
      </c>
      <c r="G1037" s="218" t="s">
        <v>227</v>
      </c>
      <c r="H1037" s="33" t="str" cm="1">
        <f t="array" ref="H1037">INDEX(stableR[question],MATCH(VALUE(questions[[#This Row],[qno]]),VALUE(stableR[qno]),0))</f>
        <v>What was the name of the pesticide/fungicide or herbicide that you used second most, last year?</v>
      </c>
      <c r="I1037" s="33" t="b" cm="1">
        <f t="array" ref="I1037">INDEX(stable[is_fixed],MATCH(VALUE(questions[[#This Row],[qno]]),VALUE(stable[qno]),0))</f>
        <v>1</v>
      </c>
      <c r="J1037" s="33" t="b" cm="1">
        <f t="array" ref="J1037">INDEX(stable[is_localized],MATCH(VALUE(questions[[#This Row],[qno]]),VALUE(stable[qno]),0))</f>
        <v>0</v>
      </c>
      <c r="K1037" s="33" t="b" cm="1">
        <f t="array" ref="K1037">INDEX(stable[is_supply_chain_dependent],MATCH(VALUE(questions[[#This Row],[qno]]),VALUE(stable[qno]),0))</f>
        <v>0</v>
      </c>
      <c r="L1037" s="33" t="b" cm="1">
        <f t="array" ref="L1037">INDEX(stable[is_mandatory],MATCH(VALUE(questions[[#This Row],[qno]]),VALUE(stable[qno]),0))</f>
        <v>0</v>
      </c>
      <c r="M1037" s="33" t="b" cm="1">
        <f t="array" ref="M1037">INDEX(stable[is_automated],MATCH(VALUE(questions[[#This Row],[qno]]),VALUE(stable[qno]),0))</f>
        <v>0</v>
      </c>
      <c r="N1037" s="33" t="b" cm="1">
        <f t="array" ref="N1037">INDEX(stable[is_free_text],MATCH(VALUE(questions[[#This Row],[qno]]),VALUE(stable[qno]),0))</f>
        <v>1</v>
      </c>
      <c r="O1037" s="33" t="b" cm="1">
        <f t="array" ref="O1037">INDEX(stable[is_numerical],MATCH(VALUE(questions[[#This Row],[qno]]),VALUE(stable[qno]),0))</f>
        <v>0</v>
      </c>
      <c r="P1037" s="33" t="b" cm="1">
        <f t="array" ref="P1037">INDEX(stable[is_single_select],MATCH(VALUE(questions[[#This Row],[qno]]),VALUE(stable[qno]),0))</f>
        <v>0</v>
      </c>
      <c r="Q1037" s="33" t="b" cm="1">
        <f t="array" ref="Q1037">INDEX(stable[is_multi_select],MATCH(VALUE(questions[[#This Row],[qno]]),VALUE(stable[qno]),0))</f>
        <v>0</v>
      </c>
      <c r="R1037" s="33" t="b" cm="1">
        <f t="array" ref="R1037">INDEX(stable[is_skip_logic],MATCH(VALUE(questions[[#This Row],[qno]]),VALUE(stable[qno]),0))</f>
        <v>1</v>
      </c>
      <c r="S1037" s="33" t="str">
        <f>_xlfn.TEXTJOIN(", ",TRUE,questions[[#This Row],[ans_opt_1]:[ans_opt_14]])</f>
        <v/>
      </c>
      <c r="T1037" s="44"/>
      <c r="U1037" s="44"/>
      <c r="V1037" s="44"/>
      <c r="W1037" s="44"/>
      <c r="X1037" s="44"/>
      <c r="Y1037" s="44"/>
      <c r="Z1037" s="44"/>
      <c r="AA1037" s="44"/>
      <c r="AB1037" s="44"/>
      <c r="AC1037" s="44"/>
      <c r="AD1037" s="44"/>
      <c r="AE1037" s="44"/>
      <c r="AF1037" s="44"/>
      <c r="AG1037" s="44"/>
      <c r="AH1037" s="124" t="b">
        <f>INDEX(stable[q_standard],MATCH(questions[[#This Row],[qno]],stable[qno],0))</f>
        <v>0</v>
      </c>
      <c r="AI1037" s="124" t="b">
        <f>INDEX(stable[q_living_income],MATCH(questions[[#This Row],[qno]],stable[qno],0))</f>
        <v>1</v>
      </c>
      <c r="AJ1037" s="124" t="b">
        <f>INDEX(stable[q_carbon],MATCH(questions[[#This Row],[qno]],stable[qno],0))</f>
        <v>1</v>
      </c>
      <c r="AK1037" s="124" t="b">
        <f>INDEX(stable[q_regen_ag],MATCH(questions[[#This Row],[qno]],stable[qno],0))</f>
        <v>0</v>
      </c>
      <c r="AL1037" s="166"/>
      <c r="AM1037" s="166"/>
      <c r="AN1037" s="166"/>
      <c r="AO1037" s="166"/>
      <c r="AP1037" s="16" t="str">
        <f>LEFT(questions[[#This Row],[question]],similarity_range)</f>
        <v>If yes, what was the</v>
      </c>
      <c r="AQ1037" s="16" t="str">
        <f>LEFT(INDEX(stable[question],MATCH(questions[[#This Row],[qno]],stable[qno],0)),similarity_range)</f>
        <v>If yes, what was the</v>
      </c>
      <c r="AR1037" s="16" t="b">
        <f>questions[[#This Row],[question_first_characters]]=questions[[#This Row],[stability_first_characters]]</f>
        <v>1</v>
      </c>
      <c r="AS1037" s="16" t="b">
        <f>IF(OR(questions[[#This Row],[is_single_select]],questions[[#This Row],[is_multi_select]]),NOT(ISBLANK(questions[[#This Row],[answer_opt_combined]])),TRUE)</f>
        <v>1</v>
      </c>
    </row>
    <row r="1038" spans="1:45" ht="15.75" customHeight="1" x14ac:dyDescent="0.25">
      <c r="A1038" s="33" t="str">
        <f>_xlfn.TEXTJOIN("_",TRUE,questions[[#This Row],[origin]:[qno]])</f>
        <v>Vietnam_Robusta_Nestle_Selecta_2025_5621</v>
      </c>
      <c r="B1038" s="33" t="s">
        <v>673</v>
      </c>
      <c r="C1038" s="33" t="s">
        <v>674</v>
      </c>
      <c r="D1038" s="33" t="s">
        <v>904</v>
      </c>
      <c r="E1038" s="33">
        <v>2025</v>
      </c>
      <c r="F1038" s="41" t="s">
        <v>228</v>
      </c>
      <c r="G1038" s="218" t="s">
        <v>229</v>
      </c>
      <c r="H1038" s="33" t="str" cm="1">
        <f t="array" ref="H1038">INDEX(stableR[question],MATCH(VALUE(questions[[#This Row],[qno]]),VALUE(stableR[qno]),0))</f>
        <v>What was the quantity used of this second most used pesticide/fungicide/herbicide last year?</v>
      </c>
      <c r="I1038" s="33" t="b" cm="1">
        <f t="array" ref="I1038">INDEX(stable[is_fixed],MATCH(VALUE(questions[[#This Row],[qno]]),VALUE(stable[qno]),0))</f>
        <v>1</v>
      </c>
      <c r="J1038" s="33" t="b" cm="1">
        <f t="array" ref="J1038">INDEX(stable[is_localized],MATCH(VALUE(questions[[#This Row],[qno]]),VALUE(stable[qno]),0))</f>
        <v>0</v>
      </c>
      <c r="K1038" s="33" t="b" cm="1">
        <f t="array" ref="K1038">INDEX(stable[is_supply_chain_dependent],MATCH(VALUE(questions[[#This Row],[qno]]),VALUE(stable[qno]),0))</f>
        <v>0</v>
      </c>
      <c r="L1038" s="33" t="b" cm="1">
        <f t="array" ref="L1038">INDEX(stable[is_mandatory],MATCH(VALUE(questions[[#This Row],[qno]]),VALUE(stable[qno]),0))</f>
        <v>0</v>
      </c>
      <c r="M1038" s="33" t="b" cm="1">
        <f t="array" ref="M1038">INDEX(stable[is_automated],MATCH(VALUE(questions[[#This Row],[qno]]),VALUE(stable[qno]),0))</f>
        <v>0</v>
      </c>
      <c r="N1038" s="33" t="b" cm="1">
        <f t="array" ref="N1038">INDEX(stable[is_free_text],MATCH(VALUE(questions[[#This Row],[qno]]),VALUE(stable[qno]),0))</f>
        <v>0</v>
      </c>
      <c r="O1038" s="33" t="b" cm="1">
        <f t="array" ref="O1038">INDEX(stable[is_numerical],MATCH(VALUE(questions[[#This Row],[qno]]),VALUE(stable[qno]),0))</f>
        <v>1</v>
      </c>
      <c r="P1038" s="33" t="b" cm="1">
        <f t="array" ref="P1038">INDEX(stable[is_single_select],MATCH(VALUE(questions[[#This Row],[qno]]),VALUE(stable[qno]),0))</f>
        <v>0</v>
      </c>
      <c r="Q1038" s="33" t="b" cm="1">
        <f t="array" ref="Q1038">INDEX(stable[is_multi_select],MATCH(VALUE(questions[[#This Row],[qno]]),VALUE(stable[qno]),0))</f>
        <v>0</v>
      </c>
      <c r="R1038" s="33" t="b" cm="1">
        <f t="array" ref="R1038">INDEX(stable[is_skip_logic],MATCH(VALUE(questions[[#This Row],[qno]]),VALUE(stable[qno]),0))</f>
        <v>1</v>
      </c>
      <c r="S1038" s="33" t="str">
        <f>_xlfn.TEXTJOIN(", ",TRUE,questions[[#This Row],[ans_opt_1]:[ans_opt_14]])</f>
        <v/>
      </c>
      <c r="T1038" s="44"/>
      <c r="U1038" s="44"/>
      <c r="V1038" s="44"/>
      <c r="W1038" s="44"/>
      <c r="X1038" s="44"/>
      <c r="Y1038" s="44"/>
      <c r="Z1038" s="44"/>
      <c r="AA1038" s="44"/>
      <c r="AB1038" s="44"/>
      <c r="AC1038" s="44"/>
      <c r="AD1038" s="44"/>
      <c r="AE1038" s="44"/>
      <c r="AF1038" s="44"/>
      <c r="AG1038" s="44"/>
      <c r="AH1038" s="124" t="b">
        <f>INDEX(stable[q_standard],MATCH(questions[[#This Row],[qno]],stable[qno],0))</f>
        <v>0</v>
      </c>
      <c r="AI1038" s="124" t="b">
        <f>INDEX(stable[q_living_income],MATCH(questions[[#This Row],[qno]],stable[qno],0))</f>
        <v>1</v>
      </c>
      <c r="AJ1038" s="124" t="b">
        <f>INDEX(stable[q_carbon],MATCH(questions[[#This Row],[qno]],stable[qno],0))</f>
        <v>1</v>
      </c>
      <c r="AK1038" s="124" t="b">
        <f>INDEX(stable[q_regen_ag],MATCH(questions[[#This Row],[qno]],stable[qno],0))</f>
        <v>0</v>
      </c>
      <c r="AL1038" s="166"/>
      <c r="AM1038" s="166"/>
      <c r="AN1038" s="166"/>
      <c r="AO1038" s="166"/>
      <c r="AP1038" s="16" t="str">
        <f>LEFT(questions[[#This Row],[question]],similarity_range)</f>
        <v>What was the quantit</v>
      </c>
      <c r="AQ1038" s="16" t="str">
        <f>LEFT(INDEX(stable[question],MATCH(questions[[#This Row],[qno]],stable[qno],0)),similarity_range)</f>
        <v>What was the quantit</v>
      </c>
      <c r="AR1038" s="16" t="b">
        <f>questions[[#This Row],[question_first_characters]]=questions[[#This Row],[stability_first_characters]]</f>
        <v>1</v>
      </c>
      <c r="AS1038" s="16" t="b">
        <f>IF(OR(questions[[#This Row],[is_single_select]],questions[[#This Row],[is_multi_select]]),NOT(ISBLANK(questions[[#This Row],[answer_opt_combined]])),TRUE)</f>
        <v>1</v>
      </c>
    </row>
    <row r="1039" spans="1:45" s="77" customFormat="1" ht="15.75" customHeight="1" x14ac:dyDescent="0.25">
      <c r="A1039" s="77" t="str">
        <f>_xlfn.TEXTJOIN("_",TRUE,questions[[#This Row],[origin]:[qno]])</f>
        <v>Vietnam_Robusta_Nestle_Selecta_2025_5622</v>
      </c>
      <c r="B1039" s="77" t="s">
        <v>673</v>
      </c>
      <c r="C1039" s="77" t="s">
        <v>674</v>
      </c>
      <c r="D1039" s="77" t="s">
        <v>904</v>
      </c>
      <c r="E1039" s="77">
        <v>2025</v>
      </c>
      <c r="F1039" s="105" t="s">
        <v>230</v>
      </c>
      <c r="G1039" s="109" t="s">
        <v>231</v>
      </c>
      <c r="H1039" s="33" t="str" cm="1">
        <f t="array" ref="H1039">INDEX(stableR[question],MATCH(VALUE(questions[[#This Row],[qno]]),VALUE(stableR[qno]),0))</f>
        <v>What was the unit of this second most used pesticide/fungicide/herbicide?</v>
      </c>
      <c r="I1039" s="33" t="b" cm="1">
        <f t="array" ref="I1039">INDEX(stable[is_fixed],MATCH(VALUE(questions[[#This Row],[qno]]),VALUE(stable[qno]),0))</f>
        <v>1</v>
      </c>
      <c r="J1039" s="33" t="b" cm="1">
        <f t="array" ref="J1039">INDEX(stable[is_localized],MATCH(VALUE(questions[[#This Row],[qno]]),VALUE(stable[qno]),0))</f>
        <v>0</v>
      </c>
      <c r="K1039" s="33" t="b" cm="1">
        <f t="array" ref="K1039">INDEX(stable[is_supply_chain_dependent],MATCH(VALUE(questions[[#This Row],[qno]]),VALUE(stable[qno]),0))</f>
        <v>0</v>
      </c>
      <c r="L1039" s="33" t="b" cm="1">
        <f t="array" ref="L1039">INDEX(stable[is_mandatory],MATCH(VALUE(questions[[#This Row],[qno]]),VALUE(stable[qno]),0))</f>
        <v>0</v>
      </c>
      <c r="M1039" s="33" t="b" cm="1">
        <f t="array" ref="M1039">INDEX(stable[is_automated],MATCH(VALUE(questions[[#This Row],[qno]]),VALUE(stable[qno]),0))</f>
        <v>0</v>
      </c>
      <c r="N1039" s="33" t="b" cm="1">
        <f t="array" ref="N1039">INDEX(stable[is_free_text],MATCH(VALUE(questions[[#This Row],[qno]]),VALUE(stable[qno]),0))</f>
        <v>0</v>
      </c>
      <c r="O1039" s="33" t="b" cm="1">
        <f t="array" ref="O1039">INDEX(stable[is_numerical],MATCH(VALUE(questions[[#This Row],[qno]]),VALUE(stable[qno]),0))</f>
        <v>0</v>
      </c>
      <c r="P1039" s="77" t="b" cm="1">
        <f t="array" ref="P1039">INDEX(stable[is_single_select],MATCH(VALUE(questions[[#This Row],[qno]]),VALUE(stable[qno]),0))</f>
        <v>1</v>
      </c>
      <c r="Q1039" s="77" t="b" cm="1">
        <f t="array" ref="Q1039">INDEX(stable[is_multi_select],MATCH(VALUE(questions[[#This Row],[qno]]),VALUE(stable[qno]),0))</f>
        <v>0</v>
      </c>
      <c r="R1039" s="77" t="b" cm="1">
        <f t="array" ref="R1039">INDEX(stable[is_skip_logic],MATCH(VALUE(questions[[#This Row],[qno]]),VALUE(stable[qno]),0))</f>
        <v>1</v>
      </c>
      <c r="S1039" s="77" t="str">
        <f>_xlfn.TEXTJOIN(", ",TRUE,questions[[#This Row],[ans_opt_1]:[ans_opt_14]])</f>
        <v>Kgs, Grams, Liters, Mililiters</v>
      </c>
      <c r="T1039" s="77" t="s">
        <v>222</v>
      </c>
      <c r="U1039" s="77" t="s">
        <v>223</v>
      </c>
      <c r="V1039" s="77" t="s">
        <v>224</v>
      </c>
      <c r="W1039" s="77" t="s">
        <v>225</v>
      </c>
      <c r="X1039" s="91"/>
      <c r="Y1039" s="91"/>
      <c r="Z1039" s="91"/>
      <c r="AA1039" s="91"/>
      <c r="AB1039" s="91"/>
      <c r="AC1039" s="91"/>
      <c r="AD1039" s="91"/>
      <c r="AE1039" s="91"/>
      <c r="AF1039" s="91"/>
      <c r="AG1039" s="91"/>
      <c r="AH1039" s="126" t="b">
        <f>INDEX(stable[q_standard],MATCH(questions[[#This Row],[qno]],stable[qno],0))</f>
        <v>0</v>
      </c>
      <c r="AI1039" s="126" t="b">
        <f>INDEX(stable[q_living_income],MATCH(questions[[#This Row],[qno]],stable[qno],0))</f>
        <v>1</v>
      </c>
      <c r="AJ1039" s="126" t="b">
        <f>INDEX(stable[q_carbon],MATCH(questions[[#This Row],[qno]],stable[qno],0))</f>
        <v>1</v>
      </c>
      <c r="AK1039" s="126" t="b">
        <f>INDEX(stable[q_regen_ag],MATCH(questions[[#This Row],[qno]],stable[qno],0))</f>
        <v>0</v>
      </c>
      <c r="AL1039" s="165"/>
      <c r="AM1039" s="165"/>
      <c r="AN1039" s="165"/>
      <c r="AO1039" s="165"/>
      <c r="AP1039" s="98" t="str">
        <f>LEFT(questions[[#This Row],[question]],similarity_range)</f>
        <v>What was the unit of</v>
      </c>
      <c r="AQ1039" s="98" t="str">
        <f>LEFT(INDEX(stable[question],MATCH(questions[[#This Row],[qno]],stable[qno],0)),similarity_range)</f>
        <v>What was the unit of</v>
      </c>
      <c r="AR1039" s="98" t="b">
        <f>questions[[#This Row],[question_first_characters]]=questions[[#This Row],[stability_first_characters]]</f>
        <v>1</v>
      </c>
      <c r="AS1039" s="98" t="b">
        <f>IF(OR(questions[[#This Row],[is_single_select]],questions[[#This Row],[is_multi_select]]),NOT(ISBLANK(questions[[#This Row],[answer_opt_combined]])),TRUE)</f>
        <v>1</v>
      </c>
    </row>
    <row r="1040" spans="1:45" ht="15.75" customHeight="1" x14ac:dyDescent="0.25">
      <c r="A1040" s="33" t="str">
        <f>_xlfn.TEXTJOIN("_",TRUE,questions[[#This Row],[origin]:[qno]])</f>
        <v>Vietnam_Robusta_Nestle_Selecta_2025_5630</v>
      </c>
      <c r="B1040" s="33" t="s">
        <v>673</v>
      </c>
      <c r="C1040" s="33" t="s">
        <v>674</v>
      </c>
      <c r="D1040" s="33" t="s">
        <v>904</v>
      </c>
      <c r="E1040" s="33">
        <v>2025</v>
      </c>
      <c r="F1040" s="41" t="s">
        <v>232</v>
      </c>
      <c r="G1040" s="218" t="s">
        <v>233</v>
      </c>
      <c r="H1040" s="33" t="str" cm="1">
        <f t="array" ref="H1040">INDEX(stableR[question],MATCH(VALUE(questions[[#This Row],[qno]]),VALUE(stableR[qno]),0))</f>
        <v>What was the name of the pesticide/fungicide or herbicide that you used third most, last year?</v>
      </c>
      <c r="I1040" s="33" t="b" cm="1">
        <f t="array" ref="I1040">INDEX(stable[is_fixed],MATCH(VALUE(questions[[#This Row],[qno]]),VALUE(stable[qno]),0))</f>
        <v>1</v>
      </c>
      <c r="J1040" s="33" t="b" cm="1">
        <f t="array" ref="J1040">INDEX(stable[is_localized],MATCH(VALUE(questions[[#This Row],[qno]]),VALUE(stable[qno]),0))</f>
        <v>0</v>
      </c>
      <c r="K1040" s="33" t="b" cm="1">
        <f t="array" ref="K1040">INDEX(stable[is_supply_chain_dependent],MATCH(VALUE(questions[[#This Row],[qno]]),VALUE(stable[qno]),0))</f>
        <v>0</v>
      </c>
      <c r="L1040" s="33" t="b" cm="1">
        <f t="array" ref="L1040">INDEX(stable[is_mandatory],MATCH(VALUE(questions[[#This Row],[qno]]),VALUE(stable[qno]),0))</f>
        <v>0</v>
      </c>
      <c r="M1040" s="33" t="b" cm="1">
        <f t="array" ref="M1040">INDEX(stable[is_automated],MATCH(VALUE(questions[[#This Row],[qno]]),VALUE(stable[qno]),0))</f>
        <v>0</v>
      </c>
      <c r="N1040" s="33" t="b" cm="1">
        <f t="array" ref="N1040">INDEX(stable[is_free_text],MATCH(VALUE(questions[[#This Row],[qno]]),VALUE(stable[qno]),0))</f>
        <v>1</v>
      </c>
      <c r="O1040" s="33" t="b" cm="1">
        <f t="array" ref="O1040">INDEX(stable[is_numerical],MATCH(VALUE(questions[[#This Row],[qno]]),VALUE(stable[qno]),0))</f>
        <v>0</v>
      </c>
      <c r="P1040" s="33" t="b" cm="1">
        <f t="array" ref="P1040">INDEX(stable[is_single_select],MATCH(VALUE(questions[[#This Row],[qno]]),VALUE(stable[qno]),0))</f>
        <v>0</v>
      </c>
      <c r="Q1040" s="33" t="b" cm="1">
        <f t="array" ref="Q1040">INDEX(stable[is_multi_select],MATCH(VALUE(questions[[#This Row],[qno]]),VALUE(stable[qno]),0))</f>
        <v>0</v>
      </c>
      <c r="R1040" s="33" t="b" cm="1">
        <f t="array" ref="R1040">INDEX(stable[is_skip_logic],MATCH(VALUE(questions[[#This Row],[qno]]),VALUE(stable[qno]),0))</f>
        <v>1</v>
      </c>
      <c r="S1040" s="33" t="str">
        <f>_xlfn.TEXTJOIN(", ",TRUE,questions[[#This Row],[ans_opt_1]:[ans_opt_14]])</f>
        <v/>
      </c>
      <c r="T1040" s="44"/>
      <c r="U1040" s="44"/>
      <c r="V1040" s="44"/>
      <c r="W1040" s="44"/>
      <c r="X1040" s="44"/>
      <c r="Y1040" s="44"/>
      <c r="Z1040" s="44"/>
      <c r="AA1040" s="44"/>
      <c r="AB1040" s="44"/>
      <c r="AC1040" s="44"/>
      <c r="AD1040" s="44"/>
      <c r="AE1040" s="44"/>
      <c r="AF1040" s="44"/>
      <c r="AG1040" s="44"/>
      <c r="AH1040" s="124" t="b">
        <f>INDEX(stable[q_standard],MATCH(questions[[#This Row],[qno]],stable[qno],0))</f>
        <v>0</v>
      </c>
      <c r="AI1040" s="124" t="b">
        <f>INDEX(stable[q_living_income],MATCH(questions[[#This Row],[qno]],stable[qno],0))</f>
        <v>1</v>
      </c>
      <c r="AJ1040" s="124" t="b">
        <f>INDEX(stable[q_carbon],MATCH(questions[[#This Row],[qno]],stable[qno],0))</f>
        <v>1</v>
      </c>
      <c r="AK1040" s="124" t="b">
        <f>INDEX(stable[q_regen_ag],MATCH(questions[[#This Row],[qno]],stable[qno],0))</f>
        <v>0</v>
      </c>
      <c r="AL1040" s="166"/>
      <c r="AM1040" s="166"/>
      <c r="AN1040" s="166"/>
      <c r="AO1040" s="166"/>
      <c r="AP1040" s="16" t="str">
        <f>LEFT(questions[[#This Row],[question]],similarity_range)</f>
        <v>If yes, what was the</v>
      </c>
      <c r="AQ1040" s="16" t="str">
        <f>LEFT(INDEX(stable[question],MATCH(questions[[#This Row],[qno]],stable[qno],0)),similarity_range)</f>
        <v>If yes, what was the</v>
      </c>
      <c r="AR1040" s="16" t="b">
        <f>questions[[#This Row],[question_first_characters]]=questions[[#This Row],[stability_first_characters]]</f>
        <v>1</v>
      </c>
      <c r="AS1040" s="16" t="b">
        <f>IF(OR(questions[[#This Row],[is_single_select]],questions[[#This Row],[is_multi_select]]),NOT(ISBLANK(questions[[#This Row],[answer_opt_combined]])),TRUE)</f>
        <v>1</v>
      </c>
    </row>
    <row r="1041" spans="1:45" ht="15.75" customHeight="1" x14ac:dyDescent="0.25">
      <c r="A1041" s="33" t="str">
        <f>_xlfn.TEXTJOIN("_",TRUE,questions[[#This Row],[origin]:[qno]])</f>
        <v>Vietnam_Robusta_Nestle_Selecta_2025_5631</v>
      </c>
      <c r="B1041" s="33" t="s">
        <v>673</v>
      </c>
      <c r="C1041" s="33" t="s">
        <v>674</v>
      </c>
      <c r="D1041" s="33" t="s">
        <v>904</v>
      </c>
      <c r="E1041" s="33">
        <v>2025</v>
      </c>
      <c r="F1041" s="41" t="s">
        <v>234</v>
      </c>
      <c r="G1041" s="218" t="s">
        <v>235</v>
      </c>
      <c r="H1041" s="33" t="str" cm="1">
        <f t="array" ref="H1041">INDEX(stableR[question],MATCH(VALUE(questions[[#This Row],[qno]]),VALUE(stableR[qno]),0))</f>
        <v>What was the quantity used of this third most used pesticide/fungicide/herbicide last year?</v>
      </c>
      <c r="I1041" s="33" t="b" cm="1">
        <f t="array" ref="I1041">INDEX(stable[is_fixed],MATCH(VALUE(questions[[#This Row],[qno]]),VALUE(stable[qno]),0))</f>
        <v>1</v>
      </c>
      <c r="J1041" s="33" t="b" cm="1">
        <f t="array" ref="J1041">INDEX(stable[is_localized],MATCH(VALUE(questions[[#This Row],[qno]]),VALUE(stable[qno]),0))</f>
        <v>0</v>
      </c>
      <c r="K1041" s="33" t="b" cm="1">
        <f t="array" ref="K1041">INDEX(stable[is_supply_chain_dependent],MATCH(VALUE(questions[[#This Row],[qno]]),VALUE(stable[qno]),0))</f>
        <v>0</v>
      </c>
      <c r="L1041" s="33" t="b" cm="1">
        <f t="array" ref="L1041">INDEX(stable[is_mandatory],MATCH(VALUE(questions[[#This Row],[qno]]),VALUE(stable[qno]),0))</f>
        <v>0</v>
      </c>
      <c r="M1041" s="33" t="b" cm="1">
        <f t="array" ref="M1041">INDEX(stable[is_automated],MATCH(VALUE(questions[[#This Row],[qno]]),VALUE(stable[qno]),0))</f>
        <v>0</v>
      </c>
      <c r="N1041" s="33" t="b" cm="1">
        <f t="array" ref="N1041">INDEX(stable[is_free_text],MATCH(VALUE(questions[[#This Row],[qno]]),VALUE(stable[qno]),0))</f>
        <v>0</v>
      </c>
      <c r="O1041" s="33" t="b" cm="1">
        <f t="array" ref="O1041">INDEX(stable[is_numerical],MATCH(VALUE(questions[[#This Row],[qno]]),VALUE(stable[qno]),0))</f>
        <v>1</v>
      </c>
      <c r="P1041" s="33" t="b" cm="1">
        <f t="array" ref="P1041">INDEX(stable[is_single_select],MATCH(VALUE(questions[[#This Row],[qno]]),VALUE(stable[qno]),0))</f>
        <v>0</v>
      </c>
      <c r="Q1041" s="33" t="b" cm="1">
        <f t="array" ref="Q1041">INDEX(stable[is_multi_select],MATCH(VALUE(questions[[#This Row],[qno]]),VALUE(stable[qno]),0))</f>
        <v>0</v>
      </c>
      <c r="R1041" s="33" t="b" cm="1">
        <f t="array" ref="R1041">INDEX(stable[is_skip_logic],MATCH(VALUE(questions[[#This Row],[qno]]),VALUE(stable[qno]),0))</f>
        <v>1</v>
      </c>
      <c r="S1041" s="33" t="str">
        <f>_xlfn.TEXTJOIN(", ",TRUE,questions[[#This Row],[ans_opt_1]:[ans_opt_14]])</f>
        <v/>
      </c>
      <c r="T1041" s="44"/>
      <c r="U1041" s="44"/>
      <c r="V1041" s="44"/>
      <c r="W1041" s="44"/>
      <c r="X1041" s="44"/>
      <c r="Y1041" s="44"/>
      <c r="Z1041" s="44"/>
      <c r="AA1041" s="44"/>
      <c r="AB1041" s="44"/>
      <c r="AC1041" s="44"/>
      <c r="AD1041" s="44"/>
      <c r="AE1041" s="44"/>
      <c r="AF1041" s="44"/>
      <c r="AG1041" s="44"/>
      <c r="AH1041" s="124" t="b">
        <f>INDEX(stable[q_standard],MATCH(questions[[#This Row],[qno]],stable[qno],0))</f>
        <v>0</v>
      </c>
      <c r="AI1041" s="124" t="b">
        <f>INDEX(stable[q_living_income],MATCH(questions[[#This Row],[qno]],stable[qno],0))</f>
        <v>1</v>
      </c>
      <c r="AJ1041" s="124" t="b">
        <f>INDEX(stable[q_carbon],MATCH(questions[[#This Row],[qno]],stable[qno],0))</f>
        <v>1</v>
      </c>
      <c r="AK1041" s="124" t="b">
        <f>INDEX(stable[q_regen_ag],MATCH(questions[[#This Row],[qno]],stable[qno],0))</f>
        <v>0</v>
      </c>
      <c r="AL1041" s="166"/>
      <c r="AM1041" s="166"/>
      <c r="AN1041" s="166"/>
      <c r="AO1041" s="166"/>
      <c r="AP1041" s="16" t="str">
        <f>LEFT(questions[[#This Row],[question]],similarity_range)</f>
        <v>What was the quantit</v>
      </c>
      <c r="AQ1041" s="16" t="str">
        <f>LEFT(INDEX(stable[question],MATCH(questions[[#This Row],[qno]],stable[qno],0)),similarity_range)</f>
        <v>What was the quantit</v>
      </c>
      <c r="AR1041" s="16" t="b">
        <f>questions[[#This Row],[question_first_characters]]=questions[[#This Row],[stability_first_characters]]</f>
        <v>1</v>
      </c>
      <c r="AS1041" s="16" t="b">
        <f>IF(OR(questions[[#This Row],[is_single_select]],questions[[#This Row],[is_multi_select]]),NOT(ISBLANK(questions[[#This Row],[answer_opt_combined]])),TRUE)</f>
        <v>1</v>
      </c>
    </row>
    <row r="1042" spans="1:45" s="77" customFormat="1" ht="15.75" customHeight="1" x14ac:dyDescent="0.25">
      <c r="A1042" s="77" t="str">
        <f>_xlfn.TEXTJOIN("_",TRUE,questions[[#This Row],[origin]:[qno]])</f>
        <v>Vietnam_Robusta_Nestle_Selecta_2025_5632</v>
      </c>
      <c r="B1042" s="77" t="s">
        <v>673</v>
      </c>
      <c r="C1042" s="77" t="s">
        <v>674</v>
      </c>
      <c r="D1042" s="77" t="s">
        <v>904</v>
      </c>
      <c r="E1042" s="77">
        <v>2025</v>
      </c>
      <c r="F1042" s="105" t="s">
        <v>236</v>
      </c>
      <c r="G1042" s="109" t="s">
        <v>237</v>
      </c>
      <c r="H1042" s="33" t="str" cm="1">
        <f t="array" ref="H1042">INDEX(stableR[question],MATCH(VALUE(questions[[#This Row],[qno]]),VALUE(stableR[qno]),0))</f>
        <v>What was the unit of this third most used pesticide/fungicide/herbicide</v>
      </c>
      <c r="I1042" s="33" t="b" cm="1">
        <f t="array" ref="I1042">INDEX(stable[is_fixed],MATCH(VALUE(questions[[#This Row],[qno]]),VALUE(stable[qno]),0))</f>
        <v>1</v>
      </c>
      <c r="J1042" s="33" t="b" cm="1">
        <f t="array" ref="J1042">INDEX(stable[is_localized],MATCH(VALUE(questions[[#This Row],[qno]]),VALUE(stable[qno]),0))</f>
        <v>0</v>
      </c>
      <c r="K1042" s="33" t="b" cm="1">
        <f t="array" ref="K1042">INDEX(stable[is_supply_chain_dependent],MATCH(VALUE(questions[[#This Row],[qno]]),VALUE(stable[qno]),0))</f>
        <v>0</v>
      </c>
      <c r="L1042" s="33" t="b" cm="1">
        <f t="array" ref="L1042">INDEX(stable[is_mandatory],MATCH(VALUE(questions[[#This Row],[qno]]),VALUE(stable[qno]),0))</f>
        <v>0</v>
      </c>
      <c r="M1042" s="33" t="b" cm="1">
        <f t="array" ref="M1042">INDEX(stable[is_automated],MATCH(VALUE(questions[[#This Row],[qno]]),VALUE(stable[qno]),0))</f>
        <v>0</v>
      </c>
      <c r="N1042" s="33" t="b" cm="1">
        <f t="array" ref="N1042">INDEX(stable[is_free_text],MATCH(VALUE(questions[[#This Row],[qno]]),VALUE(stable[qno]),0))</f>
        <v>0</v>
      </c>
      <c r="O1042" s="33" t="b" cm="1">
        <f t="array" ref="O1042">INDEX(stable[is_numerical],MATCH(VALUE(questions[[#This Row],[qno]]),VALUE(stable[qno]),0))</f>
        <v>0</v>
      </c>
      <c r="P1042" s="77" t="b" cm="1">
        <f t="array" ref="P1042">INDEX(stable[is_single_select],MATCH(VALUE(questions[[#This Row],[qno]]),VALUE(stable[qno]),0))</f>
        <v>1</v>
      </c>
      <c r="Q1042" s="77" t="b" cm="1">
        <f t="array" ref="Q1042">INDEX(stable[is_multi_select],MATCH(VALUE(questions[[#This Row],[qno]]),VALUE(stable[qno]),0))</f>
        <v>0</v>
      </c>
      <c r="R1042" s="77" t="b" cm="1">
        <f t="array" ref="R1042">INDEX(stable[is_skip_logic],MATCH(VALUE(questions[[#This Row],[qno]]),VALUE(stable[qno]),0))</f>
        <v>1</v>
      </c>
      <c r="S1042" s="77" t="str">
        <f>_xlfn.TEXTJOIN(", ",TRUE,questions[[#This Row],[ans_opt_1]:[ans_opt_14]])</f>
        <v>Kgs, Grams, Liters, Mililiters</v>
      </c>
      <c r="T1042" s="77" t="s">
        <v>222</v>
      </c>
      <c r="U1042" s="77" t="s">
        <v>223</v>
      </c>
      <c r="V1042" s="77" t="s">
        <v>224</v>
      </c>
      <c r="W1042" s="77" t="s">
        <v>225</v>
      </c>
      <c r="X1042" s="91"/>
      <c r="Y1042" s="91"/>
      <c r="Z1042" s="91"/>
      <c r="AA1042" s="91"/>
      <c r="AB1042" s="91"/>
      <c r="AC1042" s="91"/>
      <c r="AD1042" s="91"/>
      <c r="AE1042" s="91"/>
      <c r="AF1042" s="91"/>
      <c r="AG1042" s="91"/>
      <c r="AH1042" s="126" t="b">
        <f>INDEX(stable[q_standard],MATCH(questions[[#This Row],[qno]],stable[qno],0))</f>
        <v>0</v>
      </c>
      <c r="AI1042" s="126" t="b">
        <f>INDEX(stable[q_living_income],MATCH(questions[[#This Row],[qno]],stable[qno],0))</f>
        <v>1</v>
      </c>
      <c r="AJ1042" s="126" t="b">
        <f>INDEX(stable[q_carbon],MATCH(questions[[#This Row],[qno]],stable[qno],0))</f>
        <v>1</v>
      </c>
      <c r="AK1042" s="126" t="b">
        <f>INDEX(stable[q_regen_ag],MATCH(questions[[#This Row],[qno]],stable[qno],0))</f>
        <v>0</v>
      </c>
      <c r="AL1042" s="165"/>
      <c r="AM1042" s="165"/>
      <c r="AN1042" s="165"/>
      <c r="AO1042" s="165"/>
      <c r="AP1042" s="98" t="str">
        <f>LEFT(questions[[#This Row],[question]],similarity_range)</f>
        <v>What was the unit of</v>
      </c>
      <c r="AQ1042" s="98" t="str">
        <f>LEFT(INDEX(stable[question],MATCH(questions[[#This Row],[qno]],stable[qno],0)),similarity_range)</f>
        <v>What was the unit of</v>
      </c>
      <c r="AR1042" s="98" t="b">
        <f>questions[[#This Row],[question_first_characters]]=questions[[#This Row],[stability_first_characters]]</f>
        <v>1</v>
      </c>
      <c r="AS1042" s="98" t="b">
        <f>IF(OR(questions[[#This Row],[is_single_select]],questions[[#This Row],[is_multi_select]]),NOT(ISBLANK(questions[[#This Row],[answer_opt_combined]])),TRUE)</f>
        <v>1</v>
      </c>
    </row>
    <row r="1043" spans="1:45" s="77" customFormat="1" ht="15.75" customHeight="1" x14ac:dyDescent="0.25">
      <c r="A1043" s="77" t="str">
        <f>_xlfn.TEXTJOIN("_",TRUE,questions[[#This Row],[origin]:[qno]])</f>
        <v>Vietnam_Robusta_Nestle_Selecta_2025_6000</v>
      </c>
      <c r="B1043" s="77" t="s">
        <v>673</v>
      </c>
      <c r="C1043" s="77" t="s">
        <v>674</v>
      </c>
      <c r="D1043" s="77" t="s">
        <v>904</v>
      </c>
      <c r="E1043" s="77">
        <v>2025</v>
      </c>
      <c r="F1043" s="105" t="s">
        <v>238</v>
      </c>
      <c r="G1043" s="109" t="s">
        <v>931</v>
      </c>
      <c r="H1043" s="33" t="str" cm="1">
        <f t="array" ref="H1043">INDEX(stableR[question],MATCH(VALUE(questions[[#This Row],[qno]]),VALUE(stableR[qno]),0))</f>
        <v>Did you hire any permanent laborer's, for your coffee plots, last year?</v>
      </c>
      <c r="I1043" s="33" t="b" cm="1">
        <f t="array" ref="I1043">INDEX(stable[is_fixed],MATCH(VALUE(questions[[#This Row],[qno]]),VALUE(stable[qno]),0))</f>
        <v>1</v>
      </c>
      <c r="J1043" s="33" t="b" cm="1">
        <f t="array" ref="J1043">INDEX(stable[is_localized],MATCH(VALUE(questions[[#This Row],[qno]]),VALUE(stable[qno]),0))</f>
        <v>0</v>
      </c>
      <c r="K1043" s="33" t="b" cm="1">
        <f t="array" ref="K1043">INDEX(stable[is_supply_chain_dependent],MATCH(VALUE(questions[[#This Row],[qno]]),VALUE(stable[qno]),0))</f>
        <v>0</v>
      </c>
      <c r="L1043" s="33" t="b" cm="1">
        <f t="array" ref="L1043">INDEX(stable[is_mandatory],MATCH(VALUE(questions[[#This Row],[qno]]),VALUE(stable[qno]),0))</f>
        <v>1</v>
      </c>
      <c r="M1043" s="33" t="b" cm="1">
        <f t="array" ref="M1043">INDEX(stable[is_automated],MATCH(VALUE(questions[[#This Row],[qno]]),VALUE(stable[qno]),0))</f>
        <v>0</v>
      </c>
      <c r="N1043" s="33" t="b" cm="1">
        <f t="array" ref="N1043">INDEX(stable[is_free_text],MATCH(VALUE(questions[[#This Row],[qno]]),VALUE(stable[qno]),0))</f>
        <v>0</v>
      </c>
      <c r="O1043" s="33" t="b" cm="1">
        <f t="array" ref="O1043">INDEX(stable[is_numerical],MATCH(VALUE(questions[[#This Row],[qno]]),VALUE(stable[qno]),0))</f>
        <v>0</v>
      </c>
      <c r="P1043" s="77" t="b" cm="1">
        <f t="array" ref="P1043">INDEX(stable[is_single_select],MATCH(VALUE(questions[[#This Row],[qno]]),VALUE(stable[qno]),0))</f>
        <v>1</v>
      </c>
      <c r="Q1043" s="77" t="b" cm="1">
        <f t="array" ref="Q1043">INDEX(stable[is_multi_select],MATCH(VALUE(questions[[#This Row],[qno]]),VALUE(stable[qno]),0))</f>
        <v>0</v>
      </c>
      <c r="R1043" s="77" t="b" cm="1">
        <f t="array" ref="R1043">INDEX(stable[is_skip_logic],MATCH(VALUE(questions[[#This Row],[qno]]),VALUE(stable[qno]),0))</f>
        <v>1</v>
      </c>
      <c r="S1043" s="77" t="str">
        <f>_xlfn.TEXTJOIN(", ",TRUE,questions[[#This Row],[ans_opt_1]:[ans_opt_14]])</f>
        <v>Yes, No</v>
      </c>
      <c r="T1043" s="91" t="s">
        <v>149</v>
      </c>
      <c r="U1043" s="91" t="s">
        <v>119</v>
      </c>
      <c r="V1043" s="91"/>
      <c r="W1043" s="91"/>
      <c r="X1043" s="91"/>
      <c r="Y1043" s="91"/>
      <c r="Z1043" s="91"/>
      <c r="AA1043" s="91"/>
      <c r="AB1043" s="91"/>
      <c r="AC1043" s="91"/>
      <c r="AD1043" s="91"/>
      <c r="AE1043" s="91"/>
      <c r="AF1043" s="91"/>
      <c r="AG1043" s="91"/>
      <c r="AH1043" s="126" t="b">
        <f>INDEX(stable[q_standard],MATCH(questions[[#This Row],[qno]],stable[qno],0))</f>
        <v>0</v>
      </c>
      <c r="AI1043" s="126" t="b">
        <f>INDEX(stable[q_living_income],MATCH(questions[[#This Row],[qno]],stable[qno],0))</f>
        <v>1</v>
      </c>
      <c r="AJ1043" s="126" t="b">
        <f>INDEX(stable[q_carbon],MATCH(questions[[#This Row],[qno]],stable[qno],0))</f>
        <v>0</v>
      </c>
      <c r="AK1043" s="126" t="b">
        <f>INDEX(stable[q_regen_ag],MATCH(questions[[#This Row],[qno]],stable[qno],0))</f>
        <v>0</v>
      </c>
      <c r="AL1043" s="167"/>
      <c r="AM1043" s="167"/>
      <c r="AN1043" s="167"/>
      <c r="AO1043" s="167"/>
      <c r="AP1043" s="98" t="str">
        <f>LEFT(questions[[#This Row],[question]],similarity_range)</f>
        <v>Did you hire any per</v>
      </c>
      <c r="AQ1043" s="98" t="str">
        <f>LEFT(INDEX(stable[question],MATCH(questions[[#This Row],[qno]],stable[qno],0)),similarity_range)</f>
        <v>Did you hire any per</v>
      </c>
      <c r="AR1043" s="98" t="b">
        <f>questions[[#This Row],[question_first_characters]]=questions[[#This Row],[stability_first_characters]]</f>
        <v>1</v>
      </c>
      <c r="AS1043" s="98" t="b">
        <f>IF(OR(questions[[#This Row],[is_single_select]],questions[[#This Row],[is_multi_select]]),NOT(ISBLANK(questions[[#This Row],[answer_opt_combined]])),TRUE)</f>
        <v>1</v>
      </c>
    </row>
    <row r="1044" spans="1:45" ht="15.75" customHeight="1" x14ac:dyDescent="0.25">
      <c r="A1044" s="33" t="str">
        <f>_xlfn.TEXTJOIN("_",TRUE,questions[[#This Row],[origin]:[qno]])</f>
        <v>Vietnam_Robusta_Nestle_Selecta_2025_6001</v>
      </c>
      <c r="B1044" s="33" t="s">
        <v>673</v>
      </c>
      <c r="C1044" s="33" t="s">
        <v>674</v>
      </c>
      <c r="D1044" s="33" t="s">
        <v>904</v>
      </c>
      <c r="E1044" s="33">
        <v>2025</v>
      </c>
      <c r="F1044" s="41" t="s">
        <v>240</v>
      </c>
      <c r="G1044" s="218" t="s">
        <v>241</v>
      </c>
      <c r="H1044" s="33" t="str" cm="1">
        <f t="array" ref="H1044">INDEX(stableR[question],MATCH(VALUE(questions[[#This Row],[qno]]),VALUE(stableR[qno]),0))</f>
        <v>How many people did you hire, permanently for your coffee plots, last year?</v>
      </c>
      <c r="I1044" s="33" t="b" cm="1">
        <f t="array" ref="I1044">INDEX(stable[is_fixed],MATCH(VALUE(questions[[#This Row],[qno]]),VALUE(stable[qno]),0))</f>
        <v>1</v>
      </c>
      <c r="J1044" s="33" t="b" cm="1">
        <f t="array" ref="J1044">INDEX(stable[is_localized],MATCH(VALUE(questions[[#This Row],[qno]]),VALUE(stable[qno]),0))</f>
        <v>0</v>
      </c>
      <c r="K1044" s="33" t="b" cm="1">
        <f t="array" ref="K1044">INDEX(stable[is_supply_chain_dependent],MATCH(VALUE(questions[[#This Row],[qno]]),VALUE(stable[qno]),0))</f>
        <v>0</v>
      </c>
      <c r="L1044" s="33" t="b" cm="1">
        <f t="array" ref="L1044">INDEX(stable[is_mandatory],MATCH(VALUE(questions[[#This Row],[qno]]),VALUE(stable[qno]),0))</f>
        <v>0</v>
      </c>
      <c r="M1044" s="33" t="b" cm="1">
        <f t="array" ref="M1044">INDEX(stable[is_automated],MATCH(VALUE(questions[[#This Row],[qno]]),VALUE(stable[qno]),0))</f>
        <v>0</v>
      </c>
      <c r="N1044" s="33" t="b" cm="1">
        <f t="array" ref="N1044">INDEX(stable[is_free_text],MATCH(VALUE(questions[[#This Row],[qno]]),VALUE(stable[qno]),0))</f>
        <v>0</v>
      </c>
      <c r="O1044" s="33" t="b" cm="1">
        <f t="array" ref="O1044">INDEX(stable[is_numerical],MATCH(VALUE(questions[[#This Row],[qno]]),VALUE(stable[qno]),0))</f>
        <v>1</v>
      </c>
      <c r="P1044" s="33" t="b" cm="1">
        <f t="array" ref="P1044">INDEX(stable[is_single_select],MATCH(VALUE(questions[[#This Row],[qno]]),VALUE(stable[qno]),0))</f>
        <v>0</v>
      </c>
      <c r="Q1044" s="33" t="b" cm="1">
        <f t="array" ref="Q1044">INDEX(stable[is_multi_select],MATCH(VALUE(questions[[#This Row],[qno]]),VALUE(stable[qno]),0))</f>
        <v>0</v>
      </c>
      <c r="R1044" s="33" t="b" cm="1">
        <f t="array" ref="R1044">INDEX(stable[is_skip_logic],MATCH(VALUE(questions[[#This Row],[qno]]),VALUE(stable[qno]),0))</f>
        <v>1</v>
      </c>
      <c r="S1044" s="33" t="str">
        <f>_xlfn.TEXTJOIN(", ",TRUE,questions[[#This Row],[ans_opt_1]:[ans_opt_14]])</f>
        <v/>
      </c>
      <c r="T1044" s="44"/>
      <c r="U1044" s="44"/>
      <c r="V1044" s="44"/>
      <c r="W1044" s="44"/>
      <c r="X1044" s="44"/>
      <c r="Y1044" s="44"/>
      <c r="Z1044" s="44"/>
      <c r="AA1044" s="44"/>
      <c r="AB1044" s="44"/>
      <c r="AC1044" s="44"/>
      <c r="AD1044" s="44"/>
      <c r="AE1044" s="44"/>
      <c r="AF1044" s="44"/>
      <c r="AG1044" s="44"/>
      <c r="AH1044" s="124" t="b">
        <f>INDEX(stable[q_standard],MATCH(questions[[#This Row],[qno]],stable[qno],0))</f>
        <v>0</v>
      </c>
      <c r="AI1044" s="124" t="b">
        <f>INDEX(stable[q_living_income],MATCH(questions[[#This Row],[qno]],stable[qno],0))</f>
        <v>1</v>
      </c>
      <c r="AJ1044" s="124" t="b">
        <f>INDEX(stable[q_carbon],MATCH(questions[[#This Row],[qno]],stable[qno],0))</f>
        <v>0</v>
      </c>
      <c r="AK1044" s="124" t="b">
        <f>INDEX(stable[q_regen_ag],MATCH(questions[[#This Row],[qno]],stable[qno],0))</f>
        <v>0</v>
      </c>
      <c r="AL1044" s="168"/>
      <c r="AM1044" s="168"/>
      <c r="AN1044" s="168"/>
      <c r="AO1044" s="168"/>
      <c r="AP1044" s="16" t="str">
        <f>LEFT(questions[[#This Row],[question]],similarity_range)</f>
        <v>If yes, how many peo</v>
      </c>
      <c r="AQ1044" s="16" t="str">
        <f>LEFT(INDEX(stable[question],MATCH(questions[[#This Row],[qno]],stable[qno],0)),similarity_range)</f>
        <v>If yes, how many peo</v>
      </c>
      <c r="AR1044" s="16" t="b">
        <f>questions[[#This Row],[question_first_characters]]=questions[[#This Row],[stability_first_characters]]</f>
        <v>1</v>
      </c>
      <c r="AS1044" s="16" t="b">
        <f>IF(OR(questions[[#This Row],[is_single_select]],questions[[#This Row],[is_multi_select]]),NOT(ISBLANK(questions[[#This Row],[answer_opt_combined]])),TRUE)</f>
        <v>1</v>
      </c>
    </row>
    <row r="1045" spans="1:45" s="77" customFormat="1" ht="15.75" customHeight="1" x14ac:dyDescent="0.25">
      <c r="A1045" s="77" t="str">
        <f>_xlfn.TEXTJOIN("_",TRUE,questions[[#This Row],[origin]:[qno]])</f>
        <v>Vietnam_Robusta_Nestle_Selecta_2025_6030</v>
      </c>
      <c r="B1045" s="77" t="s">
        <v>673</v>
      </c>
      <c r="C1045" s="77" t="s">
        <v>674</v>
      </c>
      <c r="D1045" s="77" t="s">
        <v>904</v>
      </c>
      <c r="E1045" s="77">
        <v>2025</v>
      </c>
      <c r="F1045" s="105" t="s">
        <v>242</v>
      </c>
      <c r="G1045" s="109" t="s">
        <v>932</v>
      </c>
      <c r="H1045" s="33" t="str" cm="1">
        <f t="array" ref="H1045">INDEX(stableR[question],MATCH(VALUE(questions[[#This Row],[qno]]),VALUE(stableR[qno]),0))</f>
        <v>Did you hire any people to work on your coffee plots  for seasonal activities during last year?</v>
      </c>
      <c r="I1045" s="33" t="b" cm="1">
        <f t="array" ref="I1045">INDEX(stable[is_fixed],MATCH(VALUE(questions[[#This Row],[qno]]),VALUE(stable[qno]),0))</f>
        <v>0</v>
      </c>
      <c r="J1045" s="33" t="b" cm="1">
        <f t="array" ref="J1045">INDEX(stable[is_localized],MATCH(VALUE(questions[[#This Row],[qno]]),VALUE(stable[qno]),0))</f>
        <v>1</v>
      </c>
      <c r="K1045" s="33" t="b" cm="1">
        <f t="array" ref="K1045">INDEX(stable[is_supply_chain_dependent],MATCH(VALUE(questions[[#This Row],[qno]]),VALUE(stable[qno]),0))</f>
        <v>0</v>
      </c>
      <c r="L1045" s="33" t="b" cm="1">
        <f t="array" ref="L1045">INDEX(stable[is_mandatory],MATCH(VALUE(questions[[#This Row],[qno]]),VALUE(stable[qno]),0))</f>
        <v>1</v>
      </c>
      <c r="M1045" s="33" t="b" cm="1">
        <f t="array" ref="M1045">INDEX(stable[is_automated],MATCH(VALUE(questions[[#This Row],[qno]]),VALUE(stable[qno]),0))</f>
        <v>0</v>
      </c>
      <c r="N1045" s="33" t="b" cm="1">
        <f t="array" ref="N1045">INDEX(stable[is_free_text],MATCH(VALUE(questions[[#This Row],[qno]]),VALUE(stable[qno]),0))</f>
        <v>0</v>
      </c>
      <c r="O1045" s="33" t="b" cm="1">
        <f t="array" ref="O1045">INDEX(stable[is_numerical],MATCH(VALUE(questions[[#This Row],[qno]]),VALUE(stable[qno]),0))</f>
        <v>0</v>
      </c>
      <c r="P1045" s="77" t="b" cm="1">
        <f t="array" ref="P1045">INDEX(stable[is_single_select],MATCH(VALUE(questions[[#This Row],[qno]]),VALUE(stable[qno]),0))</f>
        <v>1</v>
      </c>
      <c r="Q1045" s="77" t="b" cm="1">
        <f t="array" ref="Q1045">INDEX(stable[is_multi_select],MATCH(VALUE(questions[[#This Row],[qno]]),VALUE(stable[qno]),0))</f>
        <v>0</v>
      </c>
      <c r="R1045" s="77" t="b" cm="1">
        <f t="array" ref="R1045">INDEX(stable[is_skip_logic],MATCH(VALUE(questions[[#This Row],[qno]]),VALUE(stable[qno]),0))</f>
        <v>1</v>
      </c>
      <c r="S1045" s="77" t="str">
        <f>_xlfn.TEXTJOIN(", ",TRUE,questions[[#This Row],[ans_opt_1]:[ans_opt_14]])</f>
        <v>Yes, No</v>
      </c>
      <c r="T1045" s="113" t="s">
        <v>149</v>
      </c>
      <c r="U1045" s="91" t="s">
        <v>119</v>
      </c>
      <c r="V1045" s="91"/>
      <c r="W1045" s="91"/>
      <c r="X1045" s="91"/>
      <c r="Y1045" s="91"/>
      <c r="Z1045" s="91"/>
      <c r="AA1045" s="91"/>
      <c r="AB1045" s="91"/>
      <c r="AC1045" s="91"/>
      <c r="AD1045" s="91"/>
      <c r="AE1045" s="91"/>
      <c r="AF1045" s="91"/>
      <c r="AG1045" s="91"/>
      <c r="AH1045" s="126" t="b">
        <f>INDEX(stable[q_standard],MATCH(questions[[#This Row],[qno]],stable[qno],0))</f>
        <v>0</v>
      </c>
      <c r="AI1045" s="126" t="b">
        <f>INDEX(stable[q_living_income],MATCH(questions[[#This Row],[qno]],stable[qno],0))</f>
        <v>1</v>
      </c>
      <c r="AJ1045" s="126" t="b">
        <f>INDEX(stable[q_carbon],MATCH(questions[[#This Row],[qno]],stable[qno],0))</f>
        <v>0</v>
      </c>
      <c r="AK1045" s="126" t="b">
        <f>INDEX(stable[q_regen_ag],MATCH(questions[[#This Row],[qno]],stable[qno],0))</f>
        <v>0</v>
      </c>
      <c r="AL1045" s="164"/>
      <c r="AM1045" s="164"/>
      <c r="AN1045" s="164"/>
      <c r="AO1045" s="164"/>
      <c r="AP1045" s="98" t="str">
        <f>LEFT(questions[[#This Row],[question]],similarity_range)</f>
        <v>Did you hire any peo</v>
      </c>
      <c r="AQ1045" s="98" t="str">
        <f>LEFT(INDEX(stable[question],MATCH(questions[[#This Row],[qno]],stable[qno],0)),similarity_range)</f>
        <v>Did you hire any peo</v>
      </c>
      <c r="AR1045" s="98" t="b">
        <f>questions[[#This Row],[question_first_characters]]=questions[[#This Row],[stability_first_characters]]</f>
        <v>1</v>
      </c>
      <c r="AS1045" s="98" t="b">
        <f>IF(OR(questions[[#This Row],[is_single_select]],questions[[#This Row],[is_multi_select]]),NOT(ISBLANK(questions[[#This Row],[answer_opt_combined]])),TRUE)</f>
        <v>1</v>
      </c>
    </row>
    <row r="1046" spans="1:45" s="77" customFormat="1" ht="15.75" customHeight="1" x14ac:dyDescent="0.25">
      <c r="A1046" s="77" t="str">
        <f>_xlfn.TEXTJOIN("_",TRUE,questions[[#This Row],[origin]:[qno]])</f>
        <v>Vietnam_Robusta_Nestle_Selecta_2025_6031</v>
      </c>
      <c r="B1046" s="77" t="s">
        <v>673</v>
      </c>
      <c r="C1046" s="77" t="s">
        <v>674</v>
      </c>
      <c r="D1046" s="77" t="s">
        <v>904</v>
      </c>
      <c r="E1046" s="77">
        <v>2025</v>
      </c>
      <c r="F1046" s="105" t="s">
        <v>244</v>
      </c>
      <c r="G1046" s="140" t="s">
        <v>933</v>
      </c>
      <c r="H1046" s="33" t="str" cm="1">
        <f t="array" ref="H1046">INDEX(stableR[question],MATCH(VALUE(questions[[#This Row],[qno]]),VALUE(stableR[qno]),0))</f>
        <v>What were the activities that you hired people for during last year?</v>
      </c>
      <c r="I1046" s="33" t="b" cm="1">
        <f t="array" ref="I1046">INDEX(stable[is_fixed],MATCH(VALUE(questions[[#This Row],[qno]]),VALUE(stable[qno]),0))</f>
        <v>0</v>
      </c>
      <c r="J1046" s="33" t="b" cm="1">
        <f t="array" ref="J1046">INDEX(stable[is_localized],MATCH(VALUE(questions[[#This Row],[qno]]),VALUE(stable[qno]),0))</f>
        <v>1</v>
      </c>
      <c r="K1046" s="33" t="b" cm="1">
        <f t="array" ref="K1046">INDEX(stable[is_supply_chain_dependent],MATCH(VALUE(questions[[#This Row],[qno]]),VALUE(stable[qno]),0))</f>
        <v>0</v>
      </c>
      <c r="L1046" s="33" t="b" cm="1">
        <f t="array" ref="L1046">INDEX(stable[is_mandatory],MATCH(VALUE(questions[[#This Row],[qno]]),VALUE(stable[qno]),0))</f>
        <v>0</v>
      </c>
      <c r="M1046" s="33" t="b" cm="1">
        <f t="array" ref="M1046">INDEX(stable[is_automated],MATCH(VALUE(questions[[#This Row],[qno]]),VALUE(stable[qno]),0))</f>
        <v>0</v>
      </c>
      <c r="N1046" s="33" t="b" cm="1">
        <f t="array" ref="N1046">INDEX(stable[is_free_text],MATCH(VALUE(questions[[#This Row],[qno]]),VALUE(stable[qno]),0))</f>
        <v>0</v>
      </c>
      <c r="O1046" s="33" t="b" cm="1">
        <f t="array" ref="O1046">INDEX(stable[is_numerical],MATCH(VALUE(questions[[#This Row],[qno]]),VALUE(stable[qno]),0))</f>
        <v>0</v>
      </c>
      <c r="P1046" s="77" t="b" cm="1">
        <f t="array" ref="P1046">INDEX(stable[is_single_select],MATCH(VALUE(questions[[#This Row],[qno]]),VALUE(stable[qno]),0))</f>
        <v>0</v>
      </c>
      <c r="Q1046" s="77" t="b" cm="1">
        <f t="array" ref="Q1046">INDEX(stable[is_multi_select],MATCH(VALUE(questions[[#This Row],[qno]]),VALUE(stable[qno]),0))</f>
        <v>1</v>
      </c>
      <c r="R1046" s="77" t="b" cm="1">
        <f t="array" ref="R1046">INDEX(stable[is_skip_logic],MATCH(VALUE(questions[[#This Row],[qno]]),VALUE(stable[qno]),0))</f>
        <v>1</v>
      </c>
      <c r="S1046" s="77" t="str">
        <f>_xlfn.TEXTJOIN(", ",TRUE,questions[[#This Row],[ans_opt_1]:[ans_opt_14]])</f>
        <v>Harvesting, Pruning, Weeding, Spraying, Planting new trees, Other, NA</v>
      </c>
      <c r="T1046" s="113" t="s">
        <v>246</v>
      </c>
      <c r="U1046" s="91" t="s">
        <v>247</v>
      </c>
      <c r="V1046" s="91" t="s">
        <v>248</v>
      </c>
      <c r="W1046" s="91" t="s">
        <v>249</v>
      </c>
      <c r="X1046" s="91" t="s">
        <v>250</v>
      </c>
      <c r="Y1046" s="91" t="s">
        <v>112</v>
      </c>
      <c r="Z1046" s="91" t="s">
        <v>251</v>
      </c>
      <c r="AA1046" s="91"/>
      <c r="AB1046" s="91"/>
      <c r="AC1046" s="91"/>
      <c r="AD1046" s="91"/>
      <c r="AE1046" s="91"/>
      <c r="AF1046" s="91"/>
      <c r="AG1046" s="91"/>
      <c r="AH1046" s="126" t="b">
        <f>INDEX(stable[q_standard],MATCH(questions[[#This Row],[qno]],stable[qno],0))</f>
        <v>0</v>
      </c>
      <c r="AI1046" s="126" t="b">
        <f>INDEX(stable[q_living_income],MATCH(questions[[#This Row],[qno]],stable[qno],0))</f>
        <v>1</v>
      </c>
      <c r="AJ1046" s="126" t="b">
        <f>INDEX(stable[q_carbon],MATCH(questions[[#This Row],[qno]],stable[qno],0))</f>
        <v>0</v>
      </c>
      <c r="AK1046" s="126" t="b">
        <f>INDEX(stable[q_regen_ag],MATCH(questions[[#This Row],[qno]],stable[qno],0))</f>
        <v>0</v>
      </c>
      <c r="AL1046" s="164"/>
      <c r="AM1046" s="164"/>
      <c r="AN1046" s="164"/>
      <c r="AO1046" s="164"/>
      <c r="AP1046" s="98" t="str">
        <f>LEFT(questions[[#This Row],[question]],similarity_range)</f>
        <v>If yes, what was the</v>
      </c>
      <c r="AQ1046" s="98" t="str">
        <f>LEFT(INDEX(stable[question],MATCH(questions[[#This Row],[qno]],stable[qno],0)),similarity_range)</f>
        <v>If yes, what were th</v>
      </c>
      <c r="AR1046" s="98" t="b">
        <f>questions[[#This Row],[question_first_characters]]=questions[[#This Row],[stability_first_characters]]</f>
        <v>0</v>
      </c>
      <c r="AS1046" s="98" t="b">
        <f>IF(OR(questions[[#This Row],[is_single_select]],questions[[#This Row],[is_multi_select]]),NOT(ISBLANK(questions[[#This Row],[answer_opt_combined]])),TRUE)</f>
        <v>1</v>
      </c>
    </row>
    <row r="1047" spans="1:45" ht="15.75" customHeight="1" x14ac:dyDescent="0.25">
      <c r="A1047" s="33" t="str">
        <f>_xlfn.TEXTJOIN("_",TRUE,questions[[#This Row],[origin]:[qno]])</f>
        <v>Vietnam_Robusta_Nestle_Selecta_2025_6032</v>
      </c>
      <c r="B1047" s="33" t="s">
        <v>673</v>
      </c>
      <c r="C1047" s="33" t="s">
        <v>674</v>
      </c>
      <c r="D1047" s="33" t="s">
        <v>904</v>
      </c>
      <c r="E1047" s="33">
        <v>2025</v>
      </c>
      <c r="F1047" s="41" t="s">
        <v>252</v>
      </c>
      <c r="G1047" s="218" t="s">
        <v>702</v>
      </c>
      <c r="H1047" s="33" t="str" cm="1">
        <f t="array" ref="H1047">INDEX(stableR[question],MATCH(VALUE(questions[[#This Row],[qno]]),VALUE(stableR[qno]),0))</f>
        <v>How many days in total did you hire people for these activities, during last year?</v>
      </c>
      <c r="I1047" s="33" t="b" cm="1">
        <f t="array" ref="I1047">INDEX(stable[is_fixed],MATCH(VALUE(questions[[#This Row],[qno]]),VALUE(stable[qno]),0))</f>
        <v>0</v>
      </c>
      <c r="J1047" s="33" t="b" cm="1">
        <f t="array" ref="J1047">INDEX(stable[is_localized],MATCH(VALUE(questions[[#This Row],[qno]]),VALUE(stable[qno]),0))</f>
        <v>1</v>
      </c>
      <c r="K1047" s="33" t="b" cm="1">
        <f t="array" ref="K1047">INDEX(stable[is_supply_chain_dependent],MATCH(VALUE(questions[[#This Row],[qno]]),VALUE(stable[qno]),0))</f>
        <v>0</v>
      </c>
      <c r="L1047" s="33" t="b" cm="1">
        <f t="array" ref="L1047">INDEX(stable[is_mandatory],MATCH(VALUE(questions[[#This Row],[qno]]),VALUE(stable[qno]),0))</f>
        <v>0</v>
      </c>
      <c r="M1047" s="33" t="b" cm="1">
        <f t="array" ref="M1047">INDEX(stable[is_automated],MATCH(VALUE(questions[[#This Row],[qno]]),VALUE(stable[qno]),0))</f>
        <v>0</v>
      </c>
      <c r="N1047" s="33" t="b" cm="1">
        <f t="array" ref="N1047">INDEX(stable[is_free_text],MATCH(VALUE(questions[[#This Row],[qno]]),VALUE(stable[qno]),0))</f>
        <v>0</v>
      </c>
      <c r="O1047" s="33" t="b" cm="1">
        <f t="array" ref="O1047">INDEX(stable[is_numerical],MATCH(VALUE(questions[[#This Row],[qno]]),VALUE(stable[qno]),0))</f>
        <v>1</v>
      </c>
      <c r="P1047" s="33" t="b" cm="1">
        <f t="array" ref="P1047">INDEX(stable[is_single_select],MATCH(VALUE(questions[[#This Row],[qno]]),VALUE(stable[qno]),0))</f>
        <v>0</v>
      </c>
      <c r="Q1047" s="33" t="b" cm="1">
        <f t="array" ref="Q1047">INDEX(stable[is_multi_select],MATCH(VALUE(questions[[#This Row],[qno]]),VALUE(stable[qno]),0))</f>
        <v>0</v>
      </c>
      <c r="R1047" s="33" t="b" cm="1">
        <f t="array" ref="R1047">INDEX(stable[is_skip_logic],MATCH(VALUE(questions[[#This Row],[qno]]),VALUE(stable[qno]),0))</f>
        <v>1</v>
      </c>
      <c r="S1047" s="33" t="str">
        <f>_xlfn.TEXTJOIN(", ",TRUE,questions[[#This Row],[ans_opt_1]:[ans_opt_14]])</f>
        <v/>
      </c>
      <c r="T1047" s="44"/>
      <c r="U1047" s="44"/>
      <c r="V1047" s="44"/>
      <c r="W1047" s="44"/>
      <c r="X1047" s="44"/>
      <c r="Y1047" s="44"/>
      <c r="Z1047" s="44"/>
      <c r="AA1047" s="44"/>
      <c r="AB1047" s="44"/>
      <c r="AC1047" s="44"/>
      <c r="AD1047" s="44"/>
      <c r="AE1047" s="44"/>
      <c r="AF1047" s="44"/>
      <c r="AG1047" s="44"/>
      <c r="AH1047" s="124" t="b">
        <f>INDEX(stable[q_standard],MATCH(questions[[#This Row],[qno]],stable[qno],0))</f>
        <v>0</v>
      </c>
      <c r="AI1047" s="124" t="b">
        <f>INDEX(stable[q_living_income],MATCH(questions[[#This Row],[qno]],stable[qno],0))</f>
        <v>1</v>
      </c>
      <c r="AJ1047" s="124" t="b">
        <f>INDEX(stable[q_carbon],MATCH(questions[[#This Row],[qno]],stable[qno],0))</f>
        <v>0</v>
      </c>
      <c r="AK1047" s="124" t="b">
        <f>INDEX(stable[q_regen_ag],MATCH(questions[[#This Row],[qno]],stable[qno],0))</f>
        <v>0</v>
      </c>
      <c r="AL1047" s="150"/>
      <c r="AM1047" s="150"/>
      <c r="AN1047" s="150"/>
      <c r="AO1047" s="150"/>
      <c r="AP1047" s="16" t="str">
        <f>LEFT(questions[[#This Row],[question]],similarity_range)</f>
        <v>If yes, how many day</v>
      </c>
      <c r="AQ1047" s="16" t="str">
        <f>LEFT(INDEX(stable[question],MATCH(questions[[#This Row],[qno]],stable[qno],0)),similarity_range)</f>
        <v>If yes, how many day</v>
      </c>
      <c r="AR1047" s="16" t="b">
        <f>questions[[#This Row],[question_first_characters]]=questions[[#This Row],[stability_first_characters]]</f>
        <v>1</v>
      </c>
      <c r="AS1047" s="16" t="b">
        <f>IF(OR(questions[[#This Row],[is_single_select]],questions[[#This Row],[is_multi_select]]),NOT(ISBLANK(questions[[#This Row],[answer_opt_combined]])),TRUE)</f>
        <v>1</v>
      </c>
    </row>
    <row r="1048" spans="1:45" ht="15.75" customHeight="1" x14ac:dyDescent="0.25">
      <c r="A1048" s="33" t="str">
        <f>_xlfn.TEXTJOIN("_",TRUE,questions[[#This Row],[origin]:[qno]])</f>
        <v>Vietnam_Robusta_Nestle_Selecta_2025_6033</v>
      </c>
      <c r="B1048" s="33" t="s">
        <v>673</v>
      </c>
      <c r="C1048" s="33" t="s">
        <v>674</v>
      </c>
      <c r="D1048" s="33" t="s">
        <v>904</v>
      </c>
      <c r="E1048" s="33">
        <v>2025</v>
      </c>
      <c r="F1048" s="41" t="s">
        <v>254</v>
      </c>
      <c r="G1048" s="218" t="s">
        <v>703</v>
      </c>
      <c r="H1048" s="33" t="str" cm="1">
        <f t="array" ref="H1048">INDEX(stableR[question],MATCH(VALUE(questions[[#This Row],[qno]]),VALUE(stableR[qno]),0))</f>
        <v>How many people did you typically hire per day for these activities during last year?</v>
      </c>
      <c r="I1048" s="33" t="b" cm="1">
        <f t="array" ref="I1048">INDEX(stable[is_fixed],MATCH(VALUE(questions[[#This Row],[qno]]),VALUE(stable[qno]),0))</f>
        <v>0</v>
      </c>
      <c r="J1048" s="33" t="b" cm="1">
        <f t="array" ref="J1048">INDEX(stable[is_localized],MATCH(VALUE(questions[[#This Row],[qno]]),VALUE(stable[qno]),0))</f>
        <v>1</v>
      </c>
      <c r="K1048" s="33" t="b" cm="1">
        <f t="array" ref="K1048">INDEX(stable[is_supply_chain_dependent],MATCH(VALUE(questions[[#This Row],[qno]]),VALUE(stable[qno]),0))</f>
        <v>0</v>
      </c>
      <c r="L1048" s="33" t="b" cm="1">
        <f t="array" ref="L1048">INDEX(stable[is_mandatory],MATCH(VALUE(questions[[#This Row],[qno]]),VALUE(stable[qno]),0))</f>
        <v>0</v>
      </c>
      <c r="M1048" s="33" t="b" cm="1">
        <f t="array" ref="M1048">INDEX(stable[is_automated],MATCH(VALUE(questions[[#This Row],[qno]]),VALUE(stable[qno]),0))</f>
        <v>0</v>
      </c>
      <c r="N1048" s="33" t="b" cm="1">
        <f t="array" ref="N1048">INDEX(stable[is_free_text],MATCH(VALUE(questions[[#This Row],[qno]]),VALUE(stable[qno]),0))</f>
        <v>0</v>
      </c>
      <c r="O1048" s="33" t="b" cm="1">
        <f t="array" ref="O1048">INDEX(stable[is_numerical],MATCH(VALUE(questions[[#This Row],[qno]]),VALUE(stable[qno]),0))</f>
        <v>1</v>
      </c>
      <c r="P1048" s="33" t="b" cm="1">
        <f t="array" ref="P1048">INDEX(stable[is_single_select],MATCH(VALUE(questions[[#This Row],[qno]]),VALUE(stable[qno]),0))</f>
        <v>0</v>
      </c>
      <c r="Q1048" s="33" t="b" cm="1">
        <f t="array" ref="Q1048">INDEX(stable[is_multi_select],MATCH(VALUE(questions[[#This Row],[qno]]),VALUE(stable[qno]),0))</f>
        <v>0</v>
      </c>
      <c r="R1048" s="33" t="b" cm="1">
        <f t="array" ref="R1048">INDEX(stable[is_skip_logic],MATCH(VALUE(questions[[#This Row],[qno]]),VALUE(stable[qno]),0))</f>
        <v>1</v>
      </c>
      <c r="S1048" s="33" t="str">
        <f>_xlfn.TEXTJOIN(", ",TRUE,questions[[#This Row],[ans_opt_1]:[ans_opt_14]])</f>
        <v/>
      </c>
      <c r="T1048" s="44"/>
      <c r="U1048" s="44"/>
      <c r="V1048" s="44"/>
      <c r="W1048" s="44"/>
      <c r="X1048" s="44"/>
      <c r="Y1048" s="44"/>
      <c r="Z1048" s="44"/>
      <c r="AA1048" s="44"/>
      <c r="AB1048" s="44"/>
      <c r="AC1048" s="44"/>
      <c r="AD1048" s="44"/>
      <c r="AE1048" s="44"/>
      <c r="AF1048" s="44"/>
      <c r="AG1048" s="44"/>
      <c r="AH1048" s="124" t="b">
        <f>INDEX(stable[q_standard],MATCH(questions[[#This Row],[qno]],stable[qno],0))</f>
        <v>0</v>
      </c>
      <c r="AI1048" s="124" t="b">
        <f>INDEX(stable[q_living_income],MATCH(questions[[#This Row],[qno]],stable[qno],0))</f>
        <v>1</v>
      </c>
      <c r="AJ1048" s="124" t="b">
        <f>INDEX(stable[q_carbon],MATCH(questions[[#This Row],[qno]],stable[qno],0))</f>
        <v>0</v>
      </c>
      <c r="AK1048" s="124" t="b">
        <f>INDEX(stable[q_regen_ag],MATCH(questions[[#This Row],[qno]],stable[qno],0))</f>
        <v>0</v>
      </c>
      <c r="AL1048" s="150"/>
      <c r="AM1048" s="150"/>
      <c r="AN1048" s="150"/>
      <c r="AO1048" s="150"/>
      <c r="AP1048" s="16" t="str">
        <f>LEFT(questions[[#This Row],[question]],similarity_range)</f>
        <v>If yes, every day, h</v>
      </c>
      <c r="AQ1048" s="16" t="str">
        <f>LEFT(INDEX(stable[question],MATCH(questions[[#This Row],[qno]],stable[qno],0)),similarity_range)</f>
        <v>If yes, how many peo</v>
      </c>
      <c r="AR1048" s="16" t="b">
        <f>questions[[#This Row],[question_first_characters]]=questions[[#This Row],[stability_first_characters]]</f>
        <v>0</v>
      </c>
      <c r="AS1048" s="16" t="b">
        <f>IF(OR(questions[[#This Row],[is_single_select]],questions[[#This Row],[is_multi_select]]),NOT(ISBLANK(questions[[#This Row],[answer_opt_combined]])),TRUE)</f>
        <v>1</v>
      </c>
    </row>
    <row r="1049" spans="1:45" s="77" customFormat="1" ht="15.75" customHeight="1" x14ac:dyDescent="0.25">
      <c r="A1049" s="77" t="str">
        <f>_xlfn.TEXTJOIN("_",TRUE,questions[[#This Row],[origin]:[qno]])</f>
        <v>Vietnam_Robusta_Nestle_Selecta_2025_6100</v>
      </c>
      <c r="B1049" s="77" t="s">
        <v>673</v>
      </c>
      <c r="C1049" s="77" t="s">
        <v>674</v>
      </c>
      <c r="D1049" s="77" t="s">
        <v>904</v>
      </c>
      <c r="E1049" s="77">
        <v>2025</v>
      </c>
      <c r="F1049" s="105" t="s">
        <v>256</v>
      </c>
      <c r="G1049" s="109" t="s">
        <v>934</v>
      </c>
      <c r="H1049" s="33" t="str" cm="1">
        <f t="array" ref="H1049">INDEX(stableR[question],MATCH(VALUE(questions[[#This Row],[qno]]),VALUE(stableR[qno]),0))</f>
        <v>Did you use any monetary loan for coffee activities last year?</v>
      </c>
      <c r="I1049" s="33" t="b" cm="1">
        <f t="array" ref="I1049">INDEX(stable[is_fixed],MATCH(VALUE(questions[[#This Row],[qno]]),VALUE(stable[qno]),0))</f>
        <v>1</v>
      </c>
      <c r="J1049" s="33" t="b" cm="1">
        <f t="array" ref="J1049">INDEX(stable[is_localized],MATCH(VALUE(questions[[#This Row],[qno]]),VALUE(stable[qno]),0))</f>
        <v>0</v>
      </c>
      <c r="K1049" s="33" t="b" cm="1">
        <f t="array" ref="K1049">INDEX(stable[is_supply_chain_dependent],MATCH(VALUE(questions[[#This Row],[qno]]),VALUE(stable[qno]),0))</f>
        <v>0</v>
      </c>
      <c r="L1049" s="33" t="b" cm="1">
        <f t="array" ref="L1049">INDEX(stable[is_mandatory],MATCH(VALUE(questions[[#This Row],[qno]]),VALUE(stable[qno]),0))</f>
        <v>1</v>
      </c>
      <c r="M1049" s="33" t="b" cm="1">
        <f t="array" ref="M1049">INDEX(stable[is_automated],MATCH(VALUE(questions[[#This Row],[qno]]),VALUE(stable[qno]),0))</f>
        <v>0</v>
      </c>
      <c r="N1049" s="33" t="b" cm="1">
        <f t="array" ref="N1049">INDEX(stable[is_free_text],MATCH(VALUE(questions[[#This Row],[qno]]),VALUE(stable[qno]),0))</f>
        <v>0</v>
      </c>
      <c r="O1049" s="33" t="b" cm="1">
        <f t="array" ref="O1049">INDEX(stable[is_numerical],MATCH(VALUE(questions[[#This Row],[qno]]),VALUE(stable[qno]),0))</f>
        <v>0</v>
      </c>
      <c r="P1049" s="77" t="b" cm="1">
        <f t="array" ref="P1049">INDEX(stable[is_single_select],MATCH(VALUE(questions[[#This Row],[qno]]),VALUE(stable[qno]),0))</f>
        <v>1</v>
      </c>
      <c r="Q1049" s="77" t="b" cm="1">
        <f t="array" ref="Q1049">INDEX(stable[is_multi_select],MATCH(VALUE(questions[[#This Row],[qno]]),VALUE(stable[qno]),0))</f>
        <v>0</v>
      </c>
      <c r="R1049" s="77" t="b" cm="1">
        <f t="array" ref="R1049">INDEX(stable[is_skip_logic],MATCH(VALUE(questions[[#This Row],[qno]]),VALUE(stable[qno]),0))</f>
        <v>1</v>
      </c>
      <c r="S1049" s="77" t="str">
        <f>_xlfn.TEXTJOIN(", ",TRUE,questions[[#This Row],[ans_opt_1]:[ans_opt_14]])</f>
        <v>Yes, No</v>
      </c>
      <c r="T1049" s="113" t="s">
        <v>149</v>
      </c>
      <c r="U1049" s="91" t="s">
        <v>119</v>
      </c>
      <c r="V1049" s="91"/>
      <c r="W1049" s="91"/>
      <c r="X1049" s="91"/>
      <c r="Y1049" s="91"/>
      <c r="Z1049" s="91"/>
      <c r="AA1049" s="91"/>
      <c r="AB1049" s="91"/>
      <c r="AC1049" s="91"/>
      <c r="AD1049" s="91"/>
      <c r="AE1049" s="91"/>
      <c r="AF1049" s="91"/>
      <c r="AG1049" s="91"/>
      <c r="AH1049" s="126" t="b">
        <f>INDEX(stable[q_standard],MATCH(questions[[#This Row],[qno]],stable[qno],0))</f>
        <v>0</v>
      </c>
      <c r="AI1049" s="126" t="b">
        <f>INDEX(stable[q_living_income],MATCH(questions[[#This Row],[qno]],stable[qno],0))</f>
        <v>1</v>
      </c>
      <c r="AJ1049" s="126" t="b">
        <f>INDEX(stable[q_carbon],MATCH(questions[[#This Row],[qno]],stable[qno],0))</f>
        <v>0</v>
      </c>
      <c r="AK1049" s="126" t="b">
        <f>INDEX(stable[q_regen_ag],MATCH(questions[[#This Row],[qno]],stable[qno],0))</f>
        <v>0</v>
      </c>
      <c r="AL1049" s="169"/>
      <c r="AM1049" s="169"/>
      <c r="AN1049" s="169"/>
      <c r="AO1049" s="169"/>
      <c r="AP1049" s="98" t="str">
        <f>LEFT(questions[[#This Row],[question]],similarity_range)</f>
        <v>Did you use any mone</v>
      </c>
      <c r="AQ1049" s="98" t="str">
        <f>LEFT(INDEX(stable[question],MATCH(questions[[#This Row],[qno]],stable[qno],0)),similarity_range)</f>
        <v>Did you use any mone</v>
      </c>
      <c r="AR1049" s="98" t="b">
        <f>questions[[#This Row],[question_first_characters]]=questions[[#This Row],[stability_first_characters]]</f>
        <v>1</v>
      </c>
      <c r="AS1049" s="98" t="b">
        <f>IF(OR(questions[[#This Row],[is_single_select]],questions[[#This Row],[is_multi_select]]),NOT(ISBLANK(questions[[#This Row],[answer_opt_combined]])),TRUE)</f>
        <v>1</v>
      </c>
    </row>
    <row r="1050" spans="1:45" ht="15.75" customHeight="1" x14ac:dyDescent="0.25">
      <c r="A1050" s="33" t="str">
        <f>_xlfn.TEXTJOIN("_",TRUE,questions[[#This Row],[origin]:[qno]])</f>
        <v>Vietnam_Robusta_Nestle_Selecta_2025_6101</v>
      </c>
      <c r="B1050" s="33" t="s">
        <v>673</v>
      </c>
      <c r="C1050" s="33" t="s">
        <v>674</v>
      </c>
      <c r="D1050" s="33" t="s">
        <v>904</v>
      </c>
      <c r="E1050" s="33">
        <v>2025</v>
      </c>
      <c r="F1050" s="41" t="s">
        <v>258</v>
      </c>
      <c r="G1050" s="218" t="s">
        <v>935</v>
      </c>
      <c r="H1050" s="33" t="str" cm="1">
        <f t="array" ref="H1050">INDEX(stableR[question],MATCH(VALUE(questions[[#This Row],[qno]]),VALUE(stableR[qno]),0))</f>
        <v>What was the total amount of loans you borrowed last year (in your local currency)?</v>
      </c>
      <c r="I1050" s="33" t="b" cm="1">
        <f t="array" ref="I1050">INDEX(stable[is_fixed],MATCH(VALUE(questions[[#This Row],[qno]]),VALUE(stable[qno]),0))</f>
        <v>1</v>
      </c>
      <c r="J1050" s="33" t="b" cm="1">
        <f t="array" ref="J1050">INDEX(stable[is_localized],MATCH(VALUE(questions[[#This Row],[qno]]),VALUE(stable[qno]),0))</f>
        <v>0</v>
      </c>
      <c r="K1050" s="33" t="b" cm="1">
        <f t="array" ref="K1050">INDEX(stable[is_supply_chain_dependent],MATCH(VALUE(questions[[#This Row],[qno]]),VALUE(stable[qno]),0))</f>
        <v>0</v>
      </c>
      <c r="L1050" s="33" t="b" cm="1">
        <f t="array" ref="L1050">INDEX(stable[is_mandatory],MATCH(VALUE(questions[[#This Row],[qno]]),VALUE(stable[qno]),0))</f>
        <v>0</v>
      </c>
      <c r="M1050" s="33" t="b" cm="1">
        <f t="array" ref="M1050">INDEX(stable[is_automated],MATCH(VALUE(questions[[#This Row],[qno]]),VALUE(stable[qno]),0))</f>
        <v>0</v>
      </c>
      <c r="N1050" s="33" t="b" cm="1">
        <f t="array" ref="N1050">INDEX(stable[is_free_text],MATCH(VALUE(questions[[#This Row],[qno]]),VALUE(stable[qno]),0))</f>
        <v>0</v>
      </c>
      <c r="O1050" s="33" t="b" cm="1">
        <f t="array" ref="O1050">INDEX(stable[is_numerical],MATCH(VALUE(questions[[#This Row],[qno]]),VALUE(stable[qno]),0))</f>
        <v>0</v>
      </c>
      <c r="P1050" s="33" t="b" cm="1">
        <f t="array" ref="P1050">INDEX(stable[is_single_select],MATCH(VALUE(questions[[#This Row],[qno]]),VALUE(stable[qno]),0))</f>
        <v>0</v>
      </c>
      <c r="Q1050" s="33" t="b" cm="1">
        <f t="array" ref="Q1050">INDEX(stable[is_multi_select],MATCH(VALUE(questions[[#This Row],[qno]]),VALUE(stable[qno]),0))</f>
        <v>1</v>
      </c>
      <c r="R1050" s="33" t="b" cm="1">
        <f t="array" ref="R1050">INDEX(stable[is_skip_logic],MATCH(VALUE(questions[[#This Row],[qno]]),VALUE(stable[qno]),0))</f>
        <v>1</v>
      </c>
      <c r="S1050" s="33" t="str">
        <f>_xlfn.TEXTJOIN(", ",TRUE,questions[[#This Row],[ans_opt_1]:[ans_opt_14]])</f>
        <v/>
      </c>
      <c r="T1050" s="44"/>
      <c r="U1050" s="44"/>
      <c r="V1050" s="44"/>
      <c r="W1050" s="44"/>
      <c r="X1050" s="44"/>
      <c r="Y1050" s="44"/>
      <c r="Z1050" s="44"/>
      <c r="AA1050" s="44"/>
      <c r="AB1050" s="44"/>
      <c r="AC1050" s="44"/>
      <c r="AD1050" s="44"/>
      <c r="AE1050" s="44"/>
      <c r="AF1050" s="44"/>
      <c r="AG1050" s="44"/>
      <c r="AH1050" s="124" t="b">
        <f>INDEX(stable[q_standard],MATCH(questions[[#This Row],[qno]],stable[qno],0))</f>
        <v>0</v>
      </c>
      <c r="AI1050" s="124" t="b">
        <f>INDEX(stable[q_living_income],MATCH(questions[[#This Row],[qno]],stable[qno],0))</f>
        <v>1</v>
      </c>
      <c r="AJ1050" s="124" t="b">
        <f>INDEX(stable[q_carbon],MATCH(questions[[#This Row],[qno]],stable[qno],0))</f>
        <v>0</v>
      </c>
      <c r="AK1050" s="124" t="b">
        <f>INDEX(stable[q_regen_ag],MATCH(questions[[#This Row],[qno]],stable[qno],0))</f>
        <v>0</v>
      </c>
      <c r="AL1050" s="170"/>
      <c r="AM1050" s="170"/>
      <c r="AN1050" s="170"/>
      <c r="AO1050" s="170"/>
      <c r="AP1050" s="16" t="str">
        <f>LEFT(questions[[#This Row],[question]],similarity_range)</f>
        <v xml:space="preserve">If yes, how did you </v>
      </c>
      <c r="AQ1050" s="16" t="str">
        <f>LEFT(INDEX(stable[question],MATCH(questions[[#This Row],[qno]],stable[qno],0)),similarity_range)</f>
        <v xml:space="preserve">If yes, how did you </v>
      </c>
      <c r="AR1050" s="16" t="b">
        <f>questions[[#This Row],[question_first_characters]]=questions[[#This Row],[stability_first_characters]]</f>
        <v>1</v>
      </c>
      <c r="AS1050" s="16" t="b">
        <f>IF(OR(questions[[#This Row],[is_single_select]],questions[[#This Row],[is_multi_select]]),NOT(ISBLANK(questions[[#This Row],[answer_opt_combined]])),TRUE)</f>
        <v>1</v>
      </c>
    </row>
    <row r="1051" spans="1:45" ht="15.75" customHeight="1" x14ac:dyDescent="0.25">
      <c r="A1051" s="33" t="str">
        <f>_xlfn.TEXTJOIN("_",TRUE,questions[[#This Row],[origin]:[qno]])</f>
        <v>Vietnam_Robusta_Nestle_Selecta_2025_6102</v>
      </c>
      <c r="B1051" s="33" t="s">
        <v>673</v>
      </c>
      <c r="C1051" s="33" t="s">
        <v>674</v>
      </c>
      <c r="D1051" s="33" t="s">
        <v>904</v>
      </c>
      <c r="E1051" s="33">
        <v>2025</v>
      </c>
      <c r="F1051" s="41" t="s">
        <v>260</v>
      </c>
      <c r="G1051" s="218" t="s">
        <v>704</v>
      </c>
      <c r="H1051" s="33" t="str" cm="1">
        <f t="array" ref="H1051">INDEX(stableR[question],MATCH(VALUE(questions[[#This Row],[qno]]),VALUE(stableR[qno]),0))</f>
        <v>How did you have to pay for this? (in cash or in cherries? Please explain)</v>
      </c>
      <c r="I1051" s="33" t="b" cm="1">
        <f t="array" ref="I1051">INDEX(stable[is_fixed],MATCH(VALUE(questions[[#This Row],[qno]]),VALUE(stable[qno]),0))</f>
        <v>0</v>
      </c>
      <c r="J1051" s="33" t="b" cm="1">
        <f t="array" ref="J1051">INDEX(stable[is_localized],MATCH(VALUE(questions[[#This Row],[qno]]),VALUE(stable[qno]),0))</f>
        <v>1</v>
      </c>
      <c r="K1051" s="33" t="b" cm="1">
        <f t="array" ref="K1051">INDEX(stable[is_supply_chain_dependent],MATCH(VALUE(questions[[#This Row],[qno]]),VALUE(stable[qno]),0))</f>
        <v>0</v>
      </c>
      <c r="L1051" s="33" t="b" cm="1">
        <f t="array" ref="L1051">INDEX(stable[is_mandatory],MATCH(VALUE(questions[[#This Row],[qno]]),VALUE(stable[qno]),0))</f>
        <v>0</v>
      </c>
      <c r="M1051" s="33" t="b" cm="1">
        <f t="array" ref="M1051">INDEX(stable[is_automated],MATCH(VALUE(questions[[#This Row],[qno]]),VALUE(stable[qno]),0))</f>
        <v>0</v>
      </c>
      <c r="N1051" s="33" t="b" cm="1">
        <f t="array" ref="N1051">INDEX(stable[is_free_text],MATCH(VALUE(questions[[#This Row],[qno]]),VALUE(stable[qno]),0))</f>
        <v>0</v>
      </c>
      <c r="O1051" s="33" t="b" cm="1">
        <f t="array" ref="O1051">INDEX(stable[is_numerical],MATCH(VALUE(questions[[#This Row],[qno]]),VALUE(stable[qno]),0))</f>
        <v>1</v>
      </c>
      <c r="P1051" s="33" t="b" cm="1">
        <f t="array" ref="P1051">INDEX(stable[is_single_select],MATCH(VALUE(questions[[#This Row],[qno]]),VALUE(stable[qno]),0))</f>
        <v>0</v>
      </c>
      <c r="Q1051" s="33" t="b" cm="1">
        <f t="array" ref="Q1051">INDEX(stable[is_multi_select],MATCH(VALUE(questions[[#This Row],[qno]]),VALUE(stable[qno]),0))</f>
        <v>0</v>
      </c>
      <c r="R1051" s="33" t="b" cm="1">
        <f t="array" ref="R1051">INDEX(stable[is_skip_logic],MATCH(VALUE(questions[[#This Row],[qno]]),VALUE(stable[qno]),0))</f>
        <v>1</v>
      </c>
      <c r="S1051" s="33" t="str">
        <f>_xlfn.TEXTJOIN(", ",TRUE,questions[[#This Row],[ans_opt_1]:[ans_opt_14]])</f>
        <v/>
      </c>
      <c r="T1051" s="47"/>
      <c r="U1051" s="47"/>
      <c r="V1051" s="47"/>
      <c r="W1051" s="47"/>
      <c r="X1051" s="47"/>
      <c r="Y1051" s="47"/>
      <c r="Z1051" s="47"/>
      <c r="AA1051" s="47"/>
      <c r="AB1051" s="47"/>
      <c r="AC1051" s="47"/>
      <c r="AD1051" s="47"/>
      <c r="AE1051" s="47"/>
      <c r="AF1051" s="47"/>
      <c r="AG1051" s="47"/>
      <c r="AH1051" s="171" t="b">
        <f>INDEX(stable[q_standard],MATCH(questions[[#This Row],[qno]],stable[qno],0))</f>
        <v>0</v>
      </c>
      <c r="AI1051" s="171" t="b">
        <f>INDEX(stable[q_living_income],MATCH(questions[[#This Row],[qno]],stable[qno],0))</f>
        <v>1</v>
      </c>
      <c r="AJ1051" s="171" t="b">
        <f>INDEX(stable[q_carbon],MATCH(questions[[#This Row],[qno]],stable[qno],0))</f>
        <v>0</v>
      </c>
      <c r="AK1051" s="171" t="b">
        <f>INDEX(stable[q_regen_ag],MATCH(questions[[#This Row],[qno]],stable[qno],0))</f>
        <v>0</v>
      </c>
      <c r="AL1051" s="172"/>
      <c r="AM1051" s="172"/>
      <c r="AN1051" s="172"/>
      <c r="AO1051" s="172"/>
      <c r="AP1051" s="16" t="str">
        <f>LEFT(questions[[#This Row],[question]],similarity_range)</f>
        <v>If yes, can you esti</v>
      </c>
      <c r="AQ1051" s="16" t="str">
        <f>LEFT(INDEX(stable[question],MATCH(questions[[#This Row],[qno]],stable[qno],0)),similarity_range)</f>
        <v>If yes, can you esti</v>
      </c>
      <c r="AR1051" s="16" t="b">
        <f>questions[[#This Row],[question_first_characters]]=questions[[#This Row],[stability_first_characters]]</f>
        <v>1</v>
      </c>
      <c r="AS1051" s="16" t="b">
        <f>IF(OR(questions[[#This Row],[is_single_select]],questions[[#This Row],[is_multi_select]]),NOT(ISBLANK(questions[[#This Row],[answer_opt_combined]])),TRUE)</f>
        <v>1</v>
      </c>
    </row>
    <row r="1052" spans="1:45" ht="15.75" customHeight="1" x14ac:dyDescent="0.25">
      <c r="A1052" s="33" t="str">
        <f>_xlfn.TEXTJOIN("_",TRUE,questions[[#This Row],[origin]:[qno]])</f>
        <v>Vietnam_Robusta_Nestle_Selecta_2025_6103</v>
      </c>
      <c r="B1052" s="33" t="s">
        <v>673</v>
      </c>
      <c r="C1052" s="33" t="s">
        <v>674</v>
      </c>
      <c r="D1052" s="33" t="s">
        <v>904</v>
      </c>
      <c r="E1052" s="33">
        <v>2025</v>
      </c>
      <c r="F1052" s="41" t="s">
        <v>262</v>
      </c>
      <c r="G1052" s="218" t="s">
        <v>705</v>
      </c>
      <c r="H1052" s="33" t="str" cm="1">
        <f t="array" ref="H1052">INDEX(stableR[question],MATCH(VALUE(questions[[#This Row],[qno]]),VALUE(stableR[qno]),0))</f>
        <v>Can you estimate how much you had to repay, in total, for the loan last year, including interest (in local currency)</v>
      </c>
      <c r="I1052" s="33" t="b" cm="1">
        <f t="array" ref="I1052">INDEX(stable[is_fixed],MATCH(VALUE(questions[[#This Row],[qno]]),VALUE(stable[qno]),0))</f>
        <v>0</v>
      </c>
      <c r="J1052" s="33" t="b" cm="1">
        <f t="array" ref="J1052">INDEX(stable[is_localized],MATCH(VALUE(questions[[#This Row],[qno]]),VALUE(stable[qno]),0))</f>
        <v>1</v>
      </c>
      <c r="K1052" s="33" t="b" cm="1">
        <f t="array" ref="K1052">INDEX(stable[is_supply_chain_dependent],MATCH(VALUE(questions[[#This Row],[qno]]),VALUE(stable[qno]),0))</f>
        <v>0</v>
      </c>
      <c r="L1052" s="33" t="b" cm="1">
        <f t="array" ref="L1052">INDEX(stable[is_mandatory],MATCH(VALUE(questions[[#This Row],[qno]]),VALUE(stable[qno]),0))</f>
        <v>0</v>
      </c>
      <c r="M1052" s="33" t="b" cm="1">
        <f t="array" ref="M1052">INDEX(stable[is_automated],MATCH(VALUE(questions[[#This Row],[qno]]),VALUE(stable[qno]),0))</f>
        <v>0</v>
      </c>
      <c r="N1052" s="33" t="b" cm="1">
        <f t="array" ref="N1052">INDEX(stable[is_free_text],MATCH(VALUE(questions[[#This Row],[qno]]),VALUE(stable[qno]),0))</f>
        <v>0</v>
      </c>
      <c r="O1052" s="33" t="b" cm="1">
        <f t="array" ref="O1052">INDEX(stable[is_numerical],MATCH(VALUE(questions[[#This Row],[qno]]),VALUE(stable[qno]),0))</f>
        <v>1</v>
      </c>
      <c r="P1052" s="33" t="b" cm="1">
        <f t="array" ref="P1052">INDEX(stable[is_single_select],MATCH(VALUE(questions[[#This Row],[qno]]),VALUE(stable[qno]),0))</f>
        <v>0</v>
      </c>
      <c r="Q1052" s="33" t="b" cm="1">
        <f t="array" ref="Q1052">INDEX(stable[is_multi_select],MATCH(VALUE(questions[[#This Row],[qno]]),VALUE(stable[qno]),0))</f>
        <v>0</v>
      </c>
      <c r="R1052" s="33" t="b" cm="1">
        <f t="array" ref="R1052">INDEX(stable[is_skip_logic],MATCH(VALUE(questions[[#This Row],[qno]]),VALUE(stable[qno]),0))</f>
        <v>1</v>
      </c>
      <c r="S1052" s="33" t="str">
        <f>_xlfn.TEXTJOIN(", ",TRUE,questions[[#This Row],[ans_opt_1]:[ans_opt_14]])</f>
        <v/>
      </c>
      <c r="T1052" s="44"/>
      <c r="U1052" s="44"/>
      <c r="V1052" s="44"/>
      <c r="W1052" s="44"/>
      <c r="X1052" s="44"/>
      <c r="Y1052" s="44"/>
      <c r="Z1052" s="44"/>
      <c r="AA1052" s="44"/>
      <c r="AB1052" s="44"/>
      <c r="AC1052" s="44"/>
      <c r="AD1052" s="44"/>
      <c r="AE1052" s="44"/>
      <c r="AF1052" s="44"/>
      <c r="AG1052" s="44"/>
      <c r="AH1052" s="124" t="b">
        <f>INDEX(stable[q_standard],MATCH(questions[[#This Row],[qno]],stable[qno],0))</f>
        <v>0</v>
      </c>
      <c r="AI1052" s="124" t="b">
        <f>INDEX(stable[q_living_income],MATCH(questions[[#This Row],[qno]],stable[qno],0))</f>
        <v>1</v>
      </c>
      <c r="AJ1052" s="124" t="b">
        <f>INDEX(stable[q_carbon],MATCH(questions[[#This Row],[qno]],stable[qno],0))</f>
        <v>0</v>
      </c>
      <c r="AK1052" s="124" t="b">
        <f>INDEX(stable[q_regen_ag],MATCH(questions[[#This Row],[qno]],stable[qno],0))</f>
        <v>0</v>
      </c>
      <c r="AL1052" s="170"/>
      <c r="AM1052" s="170"/>
      <c r="AN1052" s="170"/>
      <c r="AO1052" s="170"/>
      <c r="AP1052" s="16" t="str">
        <f>LEFT(questions[[#This Row],[question]],similarity_range)</f>
        <v>If yes, can you esti</v>
      </c>
      <c r="AQ1052" s="16" t="str">
        <f>LEFT(INDEX(stable[question],MATCH(questions[[#This Row],[qno]],stable[qno],0)),similarity_range)</f>
        <v>If yes, can you esti</v>
      </c>
      <c r="AR1052" s="16" t="b">
        <f>questions[[#This Row],[question_first_characters]]=questions[[#This Row],[stability_first_characters]]</f>
        <v>1</v>
      </c>
      <c r="AS1052" s="16" t="b">
        <f>IF(OR(questions[[#This Row],[is_single_select]],questions[[#This Row],[is_multi_select]]),NOT(ISBLANK(questions[[#This Row],[answer_opt_combined]])),TRUE)</f>
        <v>1</v>
      </c>
    </row>
    <row r="1053" spans="1:45" s="77" customFormat="1" ht="15.75" customHeight="1" x14ac:dyDescent="0.25">
      <c r="A1053" s="77" t="str">
        <f>_xlfn.TEXTJOIN("_",TRUE,questions[[#This Row],[origin]:[qno]])</f>
        <v>Vietnam_Robusta_Nestle_Selecta_2025_6220</v>
      </c>
      <c r="B1053" s="77" t="s">
        <v>673</v>
      </c>
      <c r="C1053" s="77" t="s">
        <v>674</v>
      </c>
      <c r="D1053" s="77" t="s">
        <v>904</v>
      </c>
      <c r="E1053" s="77">
        <v>2025</v>
      </c>
      <c r="F1053" s="105" t="s">
        <v>706</v>
      </c>
      <c r="G1053" s="109" t="s">
        <v>707</v>
      </c>
      <c r="H1053" s="33" t="str" cm="1">
        <f t="array" ref="H1053">INDEX(stableR[question],MATCH(VALUE(questions[[#This Row],[qno]]),VALUE(stableR[qno]),0))</f>
        <v>What machinery do you own that you use for coffee farming and/or coffee processing?</v>
      </c>
      <c r="I1053" s="33" t="b" cm="1">
        <f t="array" ref="I1053">INDEX(stable[is_fixed],MATCH(VALUE(questions[[#This Row],[qno]]),VALUE(stable[qno]),0))</f>
        <v>0</v>
      </c>
      <c r="J1053" s="33" t="b" cm="1">
        <f t="array" ref="J1053">INDEX(stable[is_localized],MATCH(VALUE(questions[[#This Row],[qno]]),VALUE(stable[qno]),0))</f>
        <v>1</v>
      </c>
      <c r="K1053" s="33" t="b" cm="1">
        <f t="array" ref="K1053">INDEX(stable[is_supply_chain_dependent],MATCH(VALUE(questions[[#This Row],[qno]]),VALUE(stable[qno]),0))</f>
        <v>1</v>
      </c>
      <c r="L1053" s="33" t="b" cm="1">
        <f t="array" ref="L1053">INDEX(stable[is_mandatory],MATCH(VALUE(questions[[#This Row],[qno]]),VALUE(stable[qno]),0))</f>
        <v>1</v>
      </c>
      <c r="M1053" s="33" t="b" cm="1">
        <f t="array" ref="M1053">INDEX(stable[is_automated],MATCH(VALUE(questions[[#This Row],[qno]]),VALUE(stable[qno]),0))</f>
        <v>0</v>
      </c>
      <c r="N1053" s="33" t="b" cm="1">
        <f t="array" ref="N1053">INDEX(stable[is_free_text],MATCH(VALUE(questions[[#This Row],[qno]]),VALUE(stable[qno]),0))</f>
        <v>0</v>
      </c>
      <c r="O1053" s="33" t="b" cm="1">
        <f t="array" ref="O1053">INDEX(stable[is_numerical],MATCH(VALUE(questions[[#This Row],[qno]]),VALUE(stable[qno]),0))</f>
        <v>0</v>
      </c>
      <c r="P1053" s="77" t="b" cm="1">
        <f t="array" ref="P1053">INDEX(stable[is_single_select],MATCH(VALUE(questions[[#This Row],[qno]]),VALUE(stable[qno]),0))</f>
        <v>0</v>
      </c>
      <c r="Q1053" s="77" t="b" cm="1">
        <f t="array" ref="Q1053">INDEX(stable[is_multi_select],MATCH(VALUE(questions[[#This Row],[qno]]),VALUE(stable[qno]),0))</f>
        <v>1</v>
      </c>
      <c r="R1053" s="77" t="b" cm="1">
        <f t="array" ref="R1053">INDEX(stable[is_skip_logic],MATCH(VALUE(questions[[#This Row],[qno]]),VALUE(stable[qno]),0))</f>
        <v>1</v>
      </c>
      <c r="S1053" s="77" t="str">
        <f>_xlfn.TEXTJOIN(", ",TRUE,questions[[#This Row],[ans_opt_1]:[ans_opt_14]])</f>
        <v>Dry mill, Water pump (irrigation), Spray pump (insecticide/fungicide/herbicide application), Weed/grass trimmer, Two-wheeled tractor, Four wheeled tractor</v>
      </c>
      <c r="T1053" s="91" t="s">
        <v>708</v>
      </c>
      <c r="U1053" s="91" t="s">
        <v>709</v>
      </c>
      <c r="V1053" s="91" t="s">
        <v>710</v>
      </c>
      <c r="W1053" s="91" t="s">
        <v>711</v>
      </c>
      <c r="X1053" s="91" t="s">
        <v>712</v>
      </c>
      <c r="Y1053" s="91" t="s">
        <v>713</v>
      </c>
      <c r="Z1053" s="91"/>
      <c r="AA1053" s="91"/>
      <c r="AB1053" s="91"/>
      <c r="AC1053" s="91"/>
      <c r="AD1053" s="91"/>
      <c r="AE1053" s="91"/>
      <c r="AF1053" s="91"/>
      <c r="AG1053" s="91"/>
      <c r="AH1053" s="126" t="b">
        <f>INDEX(stable[q_standard],MATCH(questions[[#This Row],[qno]],stable[qno],0))</f>
        <v>0</v>
      </c>
      <c r="AI1053" s="126" t="b">
        <f>INDEX(stable[q_living_income],MATCH(questions[[#This Row],[qno]],stable[qno],0))</f>
        <v>1</v>
      </c>
      <c r="AJ1053" s="126" t="b">
        <f>INDEX(stable[q_carbon],MATCH(questions[[#This Row],[qno]],stable[qno],0))</f>
        <v>0</v>
      </c>
      <c r="AK1053" s="126" t="b">
        <f>INDEX(stable[q_regen_ag],MATCH(questions[[#This Row],[qno]],stable[qno],0))</f>
        <v>0</v>
      </c>
      <c r="AL1053" s="173"/>
      <c r="AM1053" s="173"/>
      <c r="AN1053" s="173"/>
      <c r="AO1053" s="173"/>
      <c r="AP1053" s="98" t="str">
        <f>LEFT(questions[[#This Row],[question]],similarity_range)</f>
        <v>What machinery do yo</v>
      </c>
      <c r="AQ1053" s="98" t="str">
        <f>LEFT(INDEX(stable[question],MATCH(questions[[#This Row],[qno]],stable[qno],0)),similarity_range)</f>
        <v>What machinery do yo</v>
      </c>
      <c r="AR1053" s="98" t="b">
        <f>questions[[#This Row],[question_first_characters]]=questions[[#This Row],[stability_first_characters]]</f>
        <v>1</v>
      </c>
      <c r="AS1053" s="98" t="b">
        <f>IF(OR(questions[[#This Row],[is_single_select]],questions[[#This Row],[is_multi_select]]),NOT(ISBLANK(questions[[#This Row],[answer_opt_combined]])),TRUE)</f>
        <v>1</v>
      </c>
    </row>
    <row r="1054" spans="1:45" s="77" customFormat="1" ht="15.75" customHeight="1" x14ac:dyDescent="0.25">
      <c r="A1054" s="77" t="str">
        <f>_xlfn.TEXTJOIN("_",TRUE,questions[[#This Row],[origin]:[qno]])</f>
        <v>Vietnam_Robusta_Nestle_Selecta_2025_6300</v>
      </c>
      <c r="B1054" s="77" t="s">
        <v>673</v>
      </c>
      <c r="C1054" s="77" t="s">
        <v>674</v>
      </c>
      <c r="D1054" s="77" t="s">
        <v>904</v>
      </c>
      <c r="E1054" s="77">
        <v>2025</v>
      </c>
      <c r="F1054" s="105" t="s">
        <v>268</v>
      </c>
      <c r="G1054" s="109" t="s">
        <v>269</v>
      </c>
      <c r="H1054" s="33" t="str" cm="1">
        <f t="array" ref="H1054">INDEX(stableR[question],MATCH(VALUE(questions[[#This Row],[qno]]),VALUE(stableR[qno]),0))</f>
        <v>Did you buy coffee seedlings last year?</v>
      </c>
      <c r="I1054" s="33" t="b" cm="1">
        <f t="array" ref="I1054">INDEX(stable[is_fixed],MATCH(VALUE(questions[[#This Row],[qno]]),VALUE(stable[qno]),0))</f>
        <v>1</v>
      </c>
      <c r="J1054" s="33" t="b" cm="1">
        <f t="array" ref="J1054">INDEX(stable[is_localized],MATCH(VALUE(questions[[#This Row],[qno]]),VALUE(stable[qno]),0))</f>
        <v>0</v>
      </c>
      <c r="K1054" s="33" t="b" cm="1">
        <f t="array" ref="K1054">INDEX(stable[is_supply_chain_dependent],MATCH(VALUE(questions[[#This Row],[qno]]),VALUE(stable[qno]),0))</f>
        <v>0</v>
      </c>
      <c r="L1054" s="33" t="b" cm="1">
        <f t="array" ref="L1054">INDEX(stable[is_mandatory],MATCH(VALUE(questions[[#This Row],[qno]]),VALUE(stable[qno]),0))</f>
        <v>1</v>
      </c>
      <c r="M1054" s="33" t="b" cm="1">
        <f t="array" ref="M1054">INDEX(stable[is_automated],MATCH(VALUE(questions[[#This Row],[qno]]),VALUE(stable[qno]),0))</f>
        <v>0</v>
      </c>
      <c r="N1054" s="33" t="b" cm="1">
        <f t="array" ref="N1054">INDEX(stable[is_free_text],MATCH(VALUE(questions[[#This Row],[qno]]),VALUE(stable[qno]),0))</f>
        <v>0</v>
      </c>
      <c r="O1054" s="33" t="b" cm="1">
        <f t="array" ref="O1054">INDEX(stable[is_numerical],MATCH(VALUE(questions[[#This Row],[qno]]),VALUE(stable[qno]),0))</f>
        <v>0</v>
      </c>
      <c r="P1054" s="77" t="b" cm="1">
        <f t="array" ref="P1054">INDEX(stable[is_single_select],MATCH(VALUE(questions[[#This Row],[qno]]),VALUE(stable[qno]),0))</f>
        <v>1</v>
      </c>
      <c r="Q1054" s="77" t="b" cm="1">
        <f t="array" ref="Q1054">INDEX(stable[is_multi_select],MATCH(VALUE(questions[[#This Row],[qno]]),VALUE(stable[qno]),0))</f>
        <v>0</v>
      </c>
      <c r="R1054" s="77" t="b" cm="1">
        <f t="array" ref="R1054">INDEX(stable[is_skip_logic],MATCH(VALUE(questions[[#This Row],[qno]]),VALUE(stable[qno]),0))</f>
        <v>1</v>
      </c>
      <c r="S1054" s="77" t="str">
        <f>_xlfn.TEXTJOIN(", ",TRUE,questions[[#This Row],[ans_opt_1]:[ans_opt_14]])</f>
        <v>Yes, No</v>
      </c>
      <c r="T1054" s="113" t="s">
        <v>149</v>
      </c>
      <c r="U1054" s="91" t="s">
        <v>119</v>
      </c>
      <c r="V1054" s="91"/>
      <c r="W1054" s="91"/>
      <c r="X1054" s="91"/>
      <c r="Y1054" s="91"/>
      <c r="Z1054" s="91"/>
      <c r="AA1054" s="91"/>
      <c r="AB1054" s="91"/>
      <c r="AC1054" s="91"/>
      <c r="AD1054" s="91"/>
      <c r="AE1054" s="91"/>
      <c r="AF1054" s="91"/>
      <c r="AG1054" s="91"/>
      <c r="AH1054" s="126" t="b">
        <f>INDEX(stable[q_standard],MATCH(questions[[#This Row],[qno]],stable[qno],0))</f>
        <v>0</v>
      </c>
      <c r="AI1054" s="126" t="b">
        <f>INDEX(stable[q_living_income],MATCH(questions[[#This Row],[qno]],stable[qno],0))</f>
        <v>1</v>
      </c>
      <c r="AJ1054" s="126" t="b">
        <f>INDEX(stable[q_carbon],MATCH(questions[[#This Row],[qno]],stable[qno],0))</f>
        <v>0</v>
      </c>
      <c r="AK1054" s="126" t="b">
        <f>INDEX(stable[q_regen_ag],MATCH(questions[[#This Row],[qno]],stable[qno],0))</f>
        <v>0</v>
      </c>
      <c r="AL1054" s="174"/>
      <c r="AM1054" s="174"/>
      <c r="AN1054" s="174"/>
      <c r="AO1054" s="174"/>
      <c r="AP1054" s="98" t="str">
        <f>LEFT(questions[[#This Row],[question]],similarity_range)</f>
        <v>Did you buy coffee s</v>
      </c>
      <c r="AQ1054" s="98" t="str">
        <f>LEFT(INDEX(stable[question],MATCH(questions[[#This Row],[qno]],stable[qno],0)),similarity_range)</f>
        <v>Did you buy coffee s</v>
      </c>
      <c r="AR1054" s="98" t="b">
        <f>questions[[#This Row],[question_first_characters]]=questions[[#This Row],[stability_first_characters]]</f>
        <v>1</v>
      </c>
      <c r="AS1054" s="98" t="b">
        <f>IF(OR(questions[[#This Row],[is_single_select]],questions[[#This Row],[is_multi_select]]),NOT(ISBLANK(questions[[#This Row],[answer_opt_combined]])),TRUE)</f>
        <v>1</v>
      </c>
    </row>
    <row r="1055" spans="1:45" s="77" customFormat="1" ht="15.75" customHeight="1" x14ac:dyDescent="0.25">
      <c r="A1055" s="77" t="str">
        <f>_xlfn.TEXTJOIN("_",TRUE,questions[[#This Row],[origin]:[qno]])</f>
        <v>Vietnam_Robusta_Nestle_Selecta_2025_6301</v>
      </c>
      <c r="B1055" s="77" t="s">
        <v>673</v>
      </c>
      <c r="C1055" s="77" t="s">
        <v>674</v>
      </c>
      <c r="D1055" s="77" t="s">
        <v>904</v>
      </c>
      <c r="E1055" s="77">
        <v>2025</v>
      </c>
      <c r="F1055" s="105" t="s">
        <v>270</v>
      </c>
      <c r="G1055" s="109" t="s">
        <v>271</v>
      </c>
      <c r="H1055" s="33" t="str" cm="1">
        <f t="array" ref="H1055">INDEX(stableR[question],MATCH(VALUE(questions[[#This Row],[qno]]),VALUE(stableR[qno]),0))</f>
        <v>What was the main type seedlings bought?</v>
      </c>
      <c r="I1055" s="33" t="b" cm="1">
        <f t="array" ref="I1055">INDEX(stable[is_fixed],MATCH(VALUE(questions[[#This Row],[qno]]),VALUE(stable[qno]),0))</f>
        <v>1</v>
      </c>
      <c r="J1055" s="33" t="b" cm="1">
        <f t="array" ref="J1055">INDEX(stable[is_localized],MATCH(VALUE(questions[[#This Row],[qno]]),VALUE(stable[qno]),0))</f>
        <v>0</v>
      </c>
      <c r="K1055" s="33" t="b" cm="1">
        <f t="array" ref="K1055">INDEX(stable[is_supply_chain_dependent],MATCH(VALUE(questions[[#This Row],[qno]]),VALUE(stable[qno]),0))</f>
        <v>0</v>
      </c>
      <c r="L1055" s="33" t="b" cm="1">
        <f t="array" ref="L1055">INDEX(stable[is_mandatory],MATCH(VALUE(questions[[#This Row],[qno]]),VALUE(stable[qno]),0))</f>
        <v>0</v>
      </c>
      <c r="M1055" s="33" t="b" cm="1">
        <f t="array" ref="M1055">INDEX(stable[is_automated],MATCH(VALUE(questions[[#This Row],[qno]]),VALUE(stable[qno]),0))</f>
        <v>0</v>
      </c>
      <c r="N1055" s="33" t="b" cm="1">
        <f t="array" ref="N1055">INDEX(stable[is_free_text],MATCH(VALUE(questions[[#This Row],[qno]]),VALUE(stable[qno]),0))</f>
        <v>0</v>
      </c>
      <c r="O1055" s="33" t="b" cm="1">
        <f t="array" ref="O1055">INDEX(stable[is_numerical],MATCH(VALUE(questions[[#This Row],[qno]]),VALUE(stable[qno]),0))</f>
        <v>0</v>
      </c>
      <c r="P1055" s="77" t="b" cm="1">
        <f t="array" ref="P1055">INDEX(stable[is_single_select],MATCH(VALUE(questions[[#This Row],[qno]]),VALUE(stable[qno]),0))</f>
        <v>1</v>
      </c>
      <c r="Q1055" s="77" t="b" cm="1">
        <f t="array" ref="Q1055">INDEX(stable[is_multi_select],MATCH(VALUE(questions[[#This Row],[qno]]),VALUE(stable[qno]),0))</f>
        <v>0</v>
      </c>
      <c r="R1055" s="77" t="b" cm="1">
        <f t="array" ref="R1055">INDEX(stable[is_skip_logic],MATCH(VALUE(questions[[#This Row],[qno]]),VALUE(stable[qno]),0))</f>
        <v>1</v>
      </c>
      <c r="S1055" s="77" t="str">
        <f>_xlfn.TEXTJOIN(", ",TRUE,questions[[#This Row],[ans_opt_1]:[ans_opt_14]])</f>
        <v>TR4, TR9, Thien Truong, Xanh Lun, Old varieties</v>
      </c>
      <c r="T1055" s="113" t="s">
        <v>936</v>
      </c>
      <c r="U1055" s="91" t="s">
        <v>937</v>
      </c>
      <c r="V1055" s="91" t="s">
        <v>938</v>
      </c>
      <c r="W1055" s="91" t="s">
        <v>939</v>
      </c>
      <c r="X1055" s="91" t="s">
        <v>940</v>
      </c>
      <c r="Y1055" s="91"/>
      <c r="Z1055" s="91"/>
      <c r="AA1055" s="91"/>
      <c r="AB1055" s="91"/>
      <c r="AC1055" s="91"/>
      <c r="AD1055" s="91"/>
      <c r="AE1055" s="91"/>
      <c r="AF1055" s="91"/>
      <c r="AG1055" s="91"/>
      <c r="AH1055" s="126" t="b">
        <f>INDEX(stable[q_standard],MATCH(questions[[#This Row],[qno]],stable[qno],0))</f>
        <v>0</v>
      </c>
      <c r="AI1055" s="126" t="b">
        <f>INDEX(stable[q_living_income],MATCH(questions[[#This Row],[qno]],stable[qno],0))</f>
        <v>1</v>
      </c>
      <c r="AJ1055" s="126" t="b">
        <f>INDEX(stable[q_carbon],MATCH(questions[[#This Row],[qno]],stable[qno],0))</f>
        <v>0</v>
      </c>
      <c r="AK1055" s="126" t="b">
        <f>INDEX(stable[q_regen_ag],MATCH(questions[[#This Row],[qno]],stable[qno],0))</f>
        <v>0</v>
      </c>
      <c r="AL1055" s="174"/>
      <c r="AM1055" s="174"/>
      <c r="AN1055" s="174"/>
      <c r="AO1055" s="174"/>
      <c r="AP1055" s="98" t="str">
        <f>LEFT(questions[[#This Row],[question]],similarity_range)</f>
        <v xml:space="preserve">If yes what was the </v>
      </c>
      <c r="AQ1055" s="98" t="str">
        <f>LEFT(INDEX(stable[question],MATCH(questions[[#This Row],[qno]],stable[qno],0)),similarity_range)</f>
        <v xml:space="preserve">If yes what was the </v>
      </c>
      <c r="AR1055" s="98" t="b">
        <f>questions[[#This Row],[question_first_characters]]=questions[[#This Row],[stability_first_characters]]</f>
        <v>1</v>
      </c>
      <c r="AS1055" s="98" t="b">
        <f>IF(OR(questions[[#This Row],[is_single_select]],questions[[#This Row],[is_multi_select]]),NOT(ISBLANK(questions[[#This Row],[answer_opt_combined]])),TRUE)</f>
        <v>1</v>
      </c>
    </row>
    <row r="1056" spans="1:45" ht="15.75" customHeight="1" x14ac:dyDescent="0.25">
      <c r="A1056" s="33" t="str">
        <f>_xlfn.TEXTJOIN("_",TRUE,questions[[#This Row],[origin]:[qno]])</f>
        <v>Vietnam_Robusta_Nestle_Selecta_2025_6302</v>
      </c>
      <c r="B1056" s="33" t="s">
        <v>673</v>
      </c>
      <c r="C1056" s="33" t="s">
        <v>674</v>
      </c>
      <c r="D1056" s="33" t="s">
        <v>904</v>
      </c>
      <c r="E1056" s="33">
        <v>2025</v>
      </c>
      <c r="F1056" s="41" t="s">
        <v>282</v>
      </c>
      <c r="G1056" s="218" t="s">
        <v>283</v>
      </c>
      <c r="H1056" s="33" t="str" cm="1">
        <f t="array" ref="H1056">INDEX(stableR[question],MATCH(VALUE(questions[[#This Row],[qno]]),VALUE(stableR[qno]),0))</f>
        <v>How many seedlings did you buy last year?</v>
      </c>
      <c r="I1056" s="33" t="b" cm="1">
        <f t="array" ref="I1056">INDEX(stable[is_fixed],MATCH(VALUE(questions[[#This Row],[qno]]),VALUE(stable[qno]),0))</f>
        <v>1</v>
      </c>
      <c r="J1056" s="33" t="b" cm="1">
        <f t="array" ref="J1056">INDEX(stable[is_localized],MATCH(VALUE(questions[[#This Row],[qno]]),VALUE(stable[qno]),0))</f>
        <v>0</v>
      </c>
      <c r="K1056" s="33" t="b" cm="1">
        <f t="array" ref="K1056">INDEX(stable[is_supply_chain_dependent],MATCH(VALUE(questions[[#This Row],[qno]]),VALUE(stable[qno]),0))</f>
        <v>0</v>
      </c>
      <c r="L1056" s="33" t="b" cm="1">
        <f t="array" ref="L1056">INDEX(stable[is_mandatory],MATCH(VALUE(questions[[#This Row],[qno]]),VALUE(stable[qno]),0))</f>
        <v>0</v>
      </c>
      <c r="M1056" s="33" t="b" cm="1">
        <f t="array" ref="M1056">INDEX(stable[is_automated],MATCH(VALUE(questions[[#This Row],[qno]]),VALUE(stable[qno]),0))</f>
        <v>0</v>
      </c>
      <c r="N1056" s="33" t="b" cm="1">
        <f t="array" ref="N1056">INDEX(stable[is_free_text],MATCH(VALUE(questions[[#This Row],[qno]]),VALUE(stable[qno]),0))</f>
        <v>0</v>
      </c>
      <c r="O1056" s="33" t="b" cm="1">
        <f t="array" ref="O1056">INDEX(stable[is_numerical],MATCH(VALUE(questions[[#This Row],[qno]]),VALUE(stable[qno]),0))</f>
        <v>1</v>
      </c>
      <c r="P1056" s="33" t="b" cm="1">
        <f t="array" ref="P1056">INDEX(stable[is_single_select],MATCH(VALUE(questions[[#This Row],[qno]]),VALUE(stable[qno]),0))</f>
        <v>0</v>
      </c>
      <c r="Q1056" s="33" t="b" cm="1">
        <f t="array" ref="Q1056">INDEX(stable[is_multi_select],MATCH(VALUE(questions[[#This Row],[qno]]),VALUE(stable[qno]),0))</f>
        <v>0</v>
      </c>
      <c r="R1056" s="33" t="b" cm="1">
        <f t="array" ref="R1056">INDEX(stable[is_skip_logic],MATCH(VALUE(questions[[#This Row],[qno]]),VALUE(stable[qno]),0))</f>
        <v>1</v>
      </c>
      <c r="S1056" s="33" t="str">
        <f>_xlfn.TEXTJOIN(", ",TRUE,questions[[#This Row],[ans_opt_1]:[ans_opt_14]])</f>
        <v/>
      </c>
      <c r="T1056" s="44"/>
      <c r="U1056" s="44"/>
      <c r="V1056" s="44"/>
      <c r="W1056" s="44"/>
      <c r="X1056" s="44"/>
      <c r="Y1056" s="44"/>
      <c r="Z1056" s="44"/>
      <c r="AA1056" s="44"/>
      <c r="AB1056" s="44"/>
      <c r="AC1056" s="44"/>
      <c r="AD1056" s="44"/>
      <c r="AE1056" s="44"/>
      <c r="AF1056" s="44"/>
      <c r="AG1056" s="44"/>
      <c r="AH1056" s="124" t="b">
        <f>INDEX(stable[q_standard],MATCH(questions[[#This Row],[qno]],stable[qno],0))</f>
        <v>0</v>
      </c>
      <c r="AI1056" s="124" t="b">
        <f>INDEX(stable[q_living_income],MATCH(questions[[#This Row],[qno]],stable[qno],0))</f>
        <v>1</v>
      </c>
      <c r="AJ1056" s="124" t="b">
        <f>INDEX(stable[q_carbon],MATCH(questions[[#This Row],[qno]],stable[qno],0))</f>
        <v>0</v>
      </c>
      <c r="AK1056" s="124" t="b">
        <f>INDEX(stable[q_regen_ag],MATCH(questions[[#This Row],[qno]],stable[qno],0))</f>
        <v>0</v>
      </c>
      <c r="AL1056" s="175"/>
      <c r="AM1056" s="175"/>
      <c r="AN1056" s="175"/>
      <c r="AO1056" s="175"/>
      <c r="AP1056" s="16" t="str">
        <f>LEFT(questions[[#This Row],[question]],similarity_range)</f>
        <v>How many seedlings d</v>
      </c>
      <c r="AQ1056" s="16" t="str">
        <f>LEFT(INDEX(stable[question],MATCH(questions[[#This Row],[qno]],stable[qno],0)),similarity_range)</f>
        <v>How many seedlings d</v>
      </c>
      <c r="AR1056" s="16" t="b">
        <f>questions[[#This Row],[question_first_characters]]=questions[[#This Row],[stability_first_characters]]</f>
        <v>1</v>
      </c>
      <c r="AS1056" s="16" t="b">
        <f>IF(OR(questions[[#This Row],[is_single_select]],questions[[#This Row],[is_multi_select]]),NOT(ISBLANK(questions[[#This Row],[answer_opt_combined]])),TRUE)</f>
        <v>1</v>
      </c>
    </row>
    <row r="1057" spans="1:45" s="77" customFormat="1" ht="15.75" customHeight="1" x14ac:dyDescent="0.25">
      <c r="A1057" s="77" t="str">
        <f>_xlfn.TEXTJOIN("_",TRUE,questions[[#This Row],[origin]:[qno]])</f>
        <v>Vietnam_Robusta_Nestle_Selecta_2025_6400</v>
      </c>
      <c r="B1057" s="77" t="s">
        <v>673</v>
      </c>
      <c r="C1057" s="77" t="s">
        <v>674</v>
      </c>
      <c r="D1057" s="77" t="s">
        <v>904</v>
      </c>
      <c r="E1057" s="77">
        <v>2025</v>
      </c>
      <c r="F1057" s="105" t="s">
        <v>284</v>
      </c>
      <c r="G1057" s="109" t="s">
        <v>941</v>
      </c>
      <c r="H1057" s="33" t="str" cm="1">
        <f t="array" ref="H1057">INDEX(stableR[question],MATCH(VALUE(questions[[#This Row],[qno]]),VALUE(stableR[qno]),0))</f>
        <v>Did you organize your own transport to the Sucafina coffee collection point where you delivered your coffee last year?</v>
      </c>
      <c r="I1057" s="33" t="b" cm="1">
        <f t="array" ref="I1057">INDEX(stable[is_fixed],MATCH(VALUE(questions[[#This Row],[qno]]),VALUE(stable[qno]),0))</f>
        <v>1</v>
      </c>
      <c r="J1057" s="33" t="b" cm="1">
        <f t="array" ref="J1057">INDEX(stable[is_localized],MATCH(VALUE(questions[[#This Row],[qno]]),VALUE(stable[qno]),0))</f>
        <v>0</v>
      </c>
      <c r="K1057" s="33" t="b" cm="1">
        <f t="array" ref="K1057">INDEX(stable[is_supply_chain_dependent],MATCH(VALUE(questions[[#This Row],[qno]]),VALUE(stable[qno]),0))</f>
        <v>0</v>
      </c>
      <c r="L1057" s="33" t="b" cm="1">
        <f t="array" ref="L1057">INDEX(stable[is_mandatory],MATCH(VALUE(questions[[#This Row],[qno]]),VALUE(stable[qno]),0))</f>
        <v>1</v>
      </c>
      <c r="M1057" s="33" t="b" cm="1">
        <f t="array" ref="M1057">INDEX(stable[is_automated],MATCH(VALUE(questions[[#This Row],[qno]]),VALUE(stable[qno]),0))</f>
        <v>0</v>
      </c>
      <c r="N1057" s="33" t="b" cm="1">
        <f t="array" ref="N1057">INDEX(stable[is_free_text],MATCH(VALUE(questions[[#This Row],[qno]]),VALUE(stable[qno]),0))</f>
        <v>0</v>
      </c>
      <c r="O1057" s="33" t="b" cm="1">
        <f t="array" ref="O1057">INDEX(stable[is_numerical],MATCH(VALUE(questions[[#This Row],[qno]]),VALUE(stable[qno]),0))</f>
        <v>0</v>
      </c>
      <c r="P1057" s="77" t="b" cm="1">
        <f t="array" ref="P1057">INDEX(stable[is_single_select],MATCH(VALUE(questions[[#This Row],[qno]]),VALUE(stable[qno]),0))</f>
        <v>1</v>
      </c>
      <c r="Q1057" s="77" t="b" cm="1">
        <f t="array" ref="Q1057">INDEX(stable[is_multi_select],MATCH(VALUE(questions[[#This Row],[qno]]),VALUE(stable[qno]),0))</f>
        <v>0</v>
      </c>
      <c r="R1057" s="77" t="b" cm="1">
        <f t="array" ref="R1057">INDEX(stable[is_skip_logic],MATCH(VALUE(questions[[#This Row],[qno]]),VALUE(stable[qno]),0))</f>
        <v>1</v>
      </c>
      <c r="S1057" s="77" t="str">
        <f>_xlfn.TEXTJOIN(", ",TRUE,questions[[#This Row],[ans_opt_1]:[ans_opt_14]])</f>
        <v>Yes, No</v>
      </c>
      <c r="T1057" s="91" t="s">
        <v>149</v>
      </c>
      <c r="U1057" s="91" t="s">
        <v>119</v>
      </c>
      <c r="V1057" s="113"/>
      <c r="W1057" s="113"/>
      <c r="X1057" s="113"/>
      <c r="Y1057" s="113"/>
      <c r="Z1057" s="113"/>
      <c r="AA1057" s="113"/>
      <c r="AB1057" s="113"/>
      <c r="AC1057" s="91"/>
      <c r="AD1057" s="91"/>
      <c r="AE1057" s="91"/>
      <c r="AF1057" s="91"/>
      <c r="AG1057" s="91"/>
      <c r="AH1057" s="126" t="b">
        <f>INDEX(stable[q_standard],MATCH(questions[[#This Row],[qno]],stable[qno],0))</f>
        <v>0</v>
      </c>
      <c r="AI1057" s="126" t="b">
        <f>INDEX(stable[q_living_income],MATCH(questions[[#This Row],[qno]],stable[qno],0))</f>
        <v>1</v>
      </c>
      <c r="AJ1057" s="126" t="b">
        <f>INDEX(stable[q_carbon],MATCH(questions[[#This Row],[qno]],stable[qno],0))</f>
        <v>0</v>
      </c>
      <c r="AK1057" s="126" t="b">
        <f>INDEX(stable[q_regen_ag],MATCH(questions[[#This Row],[qno]],stable[qno],0))</f>
        <v>0</v>
      </c>
      <c r="AL1057" s="126"/>
      <c r="AM1057" s="126"/>
      <c r="AN1057" s="126"/>
      <c r="AO1057" s="126"/>
      <c r="AP1057" s="98" t="str">
        <f>LEFT(questions[[#This Row],[question]],similarity_range)</f>
        <v>Didt you organize th</v>
      </c>
      <c r="AQ1057" s="98" t="str">
        <f>LEFT(INDEX(stable[question],MATCH(questions[[#This Row],[qno]],stable[qno],0)),similarity_range)</f>
        <v>Did you organize the</v>
      </c>
      <c r="AR1057" s="98" t="b">
        <f>questions[[#This Row],[question_first_characters]]=questions[[#This Row],[stability_first_characters]]</f>
        <v>0</v>
      </c>
      <c r="AS1057" s="98" t="b">
        <f>IF(OR(questions[[#This Row],[is_single_select]],questions[[#This Row],[is_multi_select]]),NOT(ISBLANK(questions[[#This Row],[answer_opt_combined]])),TRUE)</f>
        <v>1</v>
      </c>
    </row>
    <row r="1058" spans="1:45" ht="15.75" customHeight="1" x14ac:dyDescent="0.25">
      <c r="A1058" s="33" t="str">
        <f>_xlfn.TEXTJOIN("_",TRUE,questions[[#This Row],[origin]:[qno]])</f>
        <v>Vietnam_Robusta_Nestle_Selecta_2025_6401</v>
      </c>
      <c r="B1058" s="33" t="s">
        <v>673</v>
      </c>
      <c r="C1058" s="33" t="s">
        <v>674</v>
      </c>
      <c r="D1058" s="33" t="s">
        <v>904</v>
      </c>
      <c r="E1058" s="33">
        <v>2025</v>
      </c>
      <c r="F1058" s="41" t="s">
        <v>286</v>
      </c>
      <c r="G1058" s="218" t="s">
        <v>287</v>
      </c>
      <c r="H1058" s="33" t="str" cm="1">
        <f t="array" ref="H1058">INDEX(stableR[question],MATCH(VALUE(questions[[#This Row],[qno]]),VALUE(stableR[qno]),0))</f>
        <v>How many trips did you need to make last year?</v>
      </c>
      <c r="I1058" s="33" t="b" cm="1">
        <f t="array" ref="I1058">INDEX(stable[is_fixed],MATCH(VALUE(questions[[#This Row],[qno]]),VALUE(stable[qno]),0))</f>
        <v>1</v>
      </c>
      <c r="J1058" s="33" t="b" cm="1">
        <f t="array" ref="J1058">INDEX(stable[is_localized],MATCH(VALUE(questions[[#This Row],[qno]]),VALUE(stable[qno]),0))</f>
        <v>0</v>
      </c>
      <c r="K1058" s="33" t="b" cm="1">
        <f t="array" ref="K1058">INDEX(stable[is_supply_chain_dependent],MATCH(VALUE(questions[[#This Row],[qno]]),VALUE(stable[qno]),0))</f>
        <v>0</v>
      </c>
      <c r="L1058" s="33" t="b" cm="1">
        <f t="array" ref="L1058">INDEX(stable[is_mandatory],MATCH(VALUE(questions[[#This Row],[qno]]),VALUE(stable[qno]),0))</f>
        <v>0</v>
      </c>
      <c r="M1058" s="33" t="b" cm="1">
        <f t="array" ref="M1058">INDEX(stable[is_automated],MATCH(VALUE(questions[[#This Row],[qno]]),VALUE(stable[qno]),0))</f>
        <v>0</v>
      </c>
      <c r="N1058" s="33" t="b" cm="1">
        <f t="array" ref="N1058">INDEX(stable[is_free_text],MATCH(VALUE(questions[[#This Row],[qno]]),VALUE(stable[qno]),0))</f>
        <v>0</v>
      </c>
      <c r="O1058" s="33" t="b" cm="1">
        <f t="array" ref="O1058">INDEX(stable[is_numerical],MATCH(VALUE(questions[[#This Row],[qno]]),VALUE(stable[qno]),0))</f>
        <v>1</v>
      </c>
      <c r="P1058" s="33" t="b" cm="1">
        <f t="array" ref="P1058">INDEX(stable[is_single_select],MATCH(VALUE(questions[[#This Row],[qno]]),VALUE(stable[qno]),0))</f>
        <v>0</v>
      </c>
      <c r="Q1058" s="33" t="b" cm="1">
        <f t="array" ref="Q1058">INDEX(stable[is_multi_select],MATCH(VALUE(questions[[#This Row],[qno]]),VALUE(stable[qno]),0))</f>
        <v>0</v>
      </c>
      <c r="R1058" s="33" t="b" cm="1">
        <f t="array" ref="R1058">INDEX(stable[is_skip_logic],MATCH(VALUE(questions[[#This Row],[qno]]),VALUE(stable[qno]),0))</f>
        <v>1</v>
      </c>
      <c r="S1058" s="33" t="str">
        <f>_xlfn.TEXTJOIN(", ",TRUE,questions[[#This Row],[ans_opt_1]:[ans_opt_14]])</f>
        <v/>
      </c>
      <c r="T1058" s="47"/>
      <c r="U1058" s="47"/>
      <c r="V1058" s="47"/>
      <c r="W1058" s="47"/>
      <c r="X1058" s="47"/>
      <c r="Y1058" s="47"/>
      <c r="Z1058" s="47"/>
      <c r="AA1058" s="47"/>
      <c r="AB1058" s="47"/>
      <c r="AC1058" s="44"/>
      <c r="AD1058" s="44"/>
      <c r="AE1058" s="44"/>
      <c r="AF1058" s="44"/>
      <c r="AG1058" s="44"/>
      <c r="AH1058" s="124" t="b">
        <f>INDEX(stable[q_standard],MATCH(questions[[#This Row],[qno]],stable[qno],0))</f>
        <v>0</v>
      </c>
      <c r="AI1058" s="124" t="b">
        <f>INDEX(stable[q_living_income],MATCH(questions[[#This Row],[qno]],stable[qno],0))</f>
        <v>1</v>
      </c>
      <c r="AJ1058" s="124" t="b">
        <f>INDEX(stable[q_carbon],MATCH(questions[[#This Row],[qno]],stable[qno],0))</f>
        <v>0</v>
      </c>
      <c r="AK1058" s="124" t="b">
        <f>INDEX(stable[q_regen_ag],MATCH(questions[[#This Row],[qno]],stable[qno],0))</f>
        <v>0</v>
      </c>
      <c r="AL1058" s="146"/>
      <c r="AM1058" s="146"/>
      <c r="AN1058" s="146"/>
      <c r="AO1058" s="146"/>
      <c r="AP1058" s="16" t="str">
        <f>LEFT(questions[[#This Row],[question]],similarity_range)</f>
        <v>If yes, how many tri</v>
      </c>
      <c r="AQ1058" s="16" t="str">
        <f>LEFT(INDEX(stable[question],MATCH(questions[[#This Row],[qno]],stable[qno],0)),similarity_range)</f>
        <v>If yes, how many tri</v>
      </c>
      <c r="AR1058" s="16" t="b">
        <f>questions[[#This Row],[question_first_characters]]=questions[[#This Row],[stability_first_characters]]</f>
        <v>1</v>
      </c>
      <c r="AS1058" s="16" t="b">
        <f>IF(OR(questions[[#This Row],[is_single_select]],questions[[#This Row],[is_multi_select]]),NOT(ISBLANK(questions[[#This Row],[answer_opt_combined]])),TRUE)</f>
        <v>1</v>
      </c>
    </row>
    <row r="1059" spans="1:45" ht="15.75" customHeight="1" x14ac:dyDescent="0.25">
      <c r="A1059" s="33" t="str">
        <f>_xlfn.TEXTJOIN("_",TRUE,questions[[#This Row],[origin]:[qno]])</f>
        <v>Vietnam_Robusta_Nestle_Selecta_2025_6402</v>
      </c>
      <c r="B1059" s="33" t="s">
        <v>673</v>
      </c>
      <c r="C1059" s="33" t="s">
        <v>674</v>
      </c>
      <c r="D1059" s="33" t="s">
        <v>904</v>
      </c>
      <c r="E1059" s="33">
        <v>2025</v>
      </c>
      <c r="F1059" s="41" t="s">
        <v>288</v>
      </c>
      <c r="G1059" s="218" t="s">
        <v>289</v>
      </c>
      <c r="H1059" s="33" t="str" cm="1">
        <f t="array" ref="H1059">INDEX(stableR[question],MATCH(VALUE(questions[[#This Row],[qno]]),VALUE(stableR[qno]),0))</f>
        <v>What were the costs per trip (the costs you make your self, or what you pay to someone to do the transport for you)? (in local currency)</v>
      </c>
      <c r="I1059" s="33" t="b" cm="1">
        <f t="array" ref="I1059">INDEX(stable[is_fixed],MATCH(VALUE(questions[[#This Row],[qno]]),VALUE(stable[qno]),0))</f>
        <v>0</v>
      </c>
      <c r="J1059" s="33" t="b" cm="1">
        <f t="array" ref="J1059">INDEX(stable[is_localized],MATCH(VALUE(questions[[#This Row],[qno]]),VALUE(stable[qno]),0))</f>
        <v>1</v>
      </c>
      <c r="K1059" s="33" t="b" cm="1">
        <f t="array" ref="K1059">INDEX(stable[is_supply_chain_dependent],MATCH(VALUE(questions[[#This Row],[qno]]),VALUE(stable[qno]),0))</f>
        <v>0</v>
      </c>
      <c r="L1059" s="33" t="b" cm="1">
        <f t="array" ref="L1059">INDEX(stable[is_mandatory],MATCH(VALUE(questions[[#This Row],[qno]]),VALUE(stable[qno]),0))</f>
        <v>0</v>
      </c>
      <c r="M1059" s="33" t="b" cm="1">
        <f t="array" ref="M1059">INDEX(stable[is_automated],MATCH(VALUE(questions[[#This Row],[qno]]),VALUE(stable[qno]),0))</f>
        <v>0</v>
      </c>
      <c r="N1059" s="33" t="b" cm="1">
        <f t="array" ref="N1059">INDEX(stable[is_free_text],MATCH(VALUE(questions[[#This Row],[qno]]),VALUE(stable[qno]),0))</f>
        <v>0</v>
      </c>
      <c r="O1059" s="33" t="b" cm="1">
        <f t="array" ref="O1059">INDEX(stable[is_numerical],MATCH(VALUE(questions[[#This Row],[qno]]),VALUE(stable[qno]),0))</f>
        <v>1</v>
      </c>
      <c r="P1059" s="33" t="b" cm="1">
        <f t="array" ref="P1059">INDEX(stable[is_single_select],MATCH(VALUE(questions[[#This Row],[qno]]),VALUE(stable[qno]),0))</f>
        <v>0</v>
      </c>
      <c r="Q1059" s="33" t="b" cm="1">
        <f t="array" ref="Q1059">INDEX(stable[is_multi_select],MATCH(VALUE(questions[[#This Row],[qno]]),VALUE(stable[qno]),0))</f>
        <v>0</v>
      </c>
      <c r="R1059" s="33" t="b" cm="1">
        <f t="array" ref="R1059">INDEX(stable[is_skip_logic],MATCH(VALUE(questions[[#This Row],[qno]]),VALUE(stable[qno]),0))</f>
        <v>1</v>
      </c>
      <c r="S1059" s="33" t="str">
        <f>_xlfn.TEXTJOIN(", ",TRUE,questions[[#This Row],[ans_opt_1]:[ans_opt_14]])</f>
        <v/>
      </c>
      <c r="T1059" s="47"/>
      <c r="U1059" s="47"/>
      <c r="V1059" s="47"/>
      <c r="W1059" s="47"/>
      <c r="X1059" s="47"/>
      <c r="Y1059" s="47"/>
      <c r="Z1059" s="47"/>
      <c r="AA1059" s="47"/>
      <c r="AB1059" s="47"/>
      <c r="AC1059" s="44"/>
      <c r="AD1059" s="44"/>
      <c r="AE1059" s="44"/>
      <c r="AF1059" s="44"/>
      <c r="AG1059" s="44"/>
      <c r="AH1059" s="124" t="b">
        <f>INDEX(stable[q_standard],MATCH(questions[[#This Row],[qno]],stable[qno],0))</f>
        <v>0</v>
      </c>
      <c r="AI1059" s="124" t="b">
        <f>INDEX(stable[q_living_income],MATCH(questions[[#This Row],[qno]],stable[qno],0))</f>
        <v>1</v>
      </c>
      <c r="AJ1059" s="124" t="b">
        <f>INDEX(stable[q_carbon],MATCH(questions[[#This Row],[qno]],stable[qno],0))</f>
        <v>0</v>
      </c>
      <c r="AK1059" s="124" t="b">
        <f>INDEX(stable[q_regen_ag],MATCH(questions[[#This Row],[qno]],stable[qno],0))</f>
        <v>0</v>
      </c>
      <c r="AL1059" s="146"/>
      <c r="AM1059" s="146"/>
      <c r="AN1059" s="146"/>
      <c r="AO1059" s="146"/>
      <c r="AP1059" s="16" t="str">
        <f>LEFT(questions[[#This Row],[question]],similarity_range)</f>
        <v>If yes, in general w</v>
      </c>
      <c r="AQ1059" s="16" t="str">
        <f>LEFT(INDEX(stable[question],MATCH(questions[[#This Row],[qno]],stable[qno],0)),similarity_range)</f>
        <v>If yes, in general w</v>
      </c>
      <c r="AR1059" s="16" t="b">
        <f>questions[[#This Row],[question_first_characters]]=questions[[#This Row],[stability_first_characters]]</f>
        <v>1</v>
      </c>
      <c r="AS1059" s="16" t="b">
        <f>IF(OR(questions[[#This Row],[is_single_select]],questions[[#This Row],[is_multi_select]]),NOT(ISBLANK(questions[[#This Row],[answer_opt_combined]])),TRUE)</f>
        <v>1</v>
      </c>
    </row>
    <row r="1060" spans="1:45" s="77" customFormat="1" ht="15.75" customHeight="1" x14ac:dyDescent="0.25">
      <c r="A1060" s="77" t="str">
        <f>_xlfn.TEXTJOIN("_",TRUE,questions[[#This Row],[origin]:[qno]])</f>
        <v>Vietnam_Robusta_Nestle_Selecta_2025_6500</v>
      </c>
      <c r="B1060" s="77" t="s">
        <v>673</v>
      </c>
      <c r="C1060" s="77" t="s">
        <v>674</v>
      </c>
      <c r="D1060" s="77" t="s">
        <v>904</v>
      </c>
      <c r="E1060" s="77">
        <v>2025</v>
      </c>
      <c r="F1060" s="105" t="s">
        <v>290</v>
      </c>
      <c r="G1060" s="109" t="s">
        <v>291</v>
      </c>
      <c r="H1060" s="33" t="str" cm="1">
        <f t="array" ref="H1060">INDEX(stableR[question],MATCH(VALUE(questions[[#This Row],[qno]]),VALUE(stableR[qno]),0))</f>
        <v>What are your sources of income for the total household, from the farm and off-farm?</v>
      </c>
      <c r="I1060" s="33" t="b" cm="1">
        <f t="array" ref="I1060">INDEX(stable[is_fixed],MATCH(VALUE(questions[[#This Row],[qno]]),VALUE(stable[qno]),0))</f>
        <v>1</v>
      </c>
      <c r="J1060" s="33" t="b" cm="1">
        <f t="array" ref="J1060">INDEX(stable[is_localized],MATCH(VALUE(questions[[#This Row],[qno]]),VALUE(stable[qno]),0))</f>
        <v>0</v>
      </c>
      <c r="K1060" s="33" t="b" cm="1">
        <f t="array" ref="K1060">INDEX(stable[is_supply_chain_dependent],MATCH(VALUE(questions[[#This Row],[qno]]),VALUE(stable[qno]),0))</f>
        <v>0</v>
      </c>
      <c r="L1060" s="33" t="b" cm="1">
        <f t="array" ref="L1060">INDEX(stable[is_mandatory],MATCH(VALUE(questions[[#This Row],[qno]]),VALUE(stable[qno]),0))</f>
        <v>1</v>
      </c>
      <c r="M1060" s="33" t="b" cm="1">
        <f t="array" ref="M1060">INDEX(stable[is_automated],MATCH(VALUE(questions[[#This Row],[qno]]),VALUE(stable[qno]),0))</f>
        <v>0</v>
      </c>
      <c r="N1060" s="33" t="b" cm="1">
        <f t="array" ref="N1060">INDEX(stable[is_free_text],MATCH(VALUE(questions[[#This Row],[qno]]),VALUE(stable[qno]),0))</f>
        <v>0</v>
      </c>
      <c r="O1060" s="33" t="b" cm="1">
        <f t="array" ref="O1060">INDEX(stable[is_numerical],MATCH(VALUE(questions[[#This Row],[qno]]),VALUE(stable[qno]),0))</f>
        <v>0</v>
      </c>
      <c r="P1060" s="77" t="b" cm="1">
        <f t="array" ref="P1060">INDEX(stable[is_single_select],MATCH(VALUE(questions[[#This Row],[qno]]),VALUE(stable[qno]),0))</f>
        <v>0</v>
      </c>
      <c r="Q1060" s="77" t="b" cm="1">
        <f t="array" ref="Q1060">INDEX(stable[is_multi_select],MATCH(VALUE(questions[[#This Row],[qno]]),VALUE(stable[qno]),0))</f>
        <v>1</v>
      </c>
      <c r="R1060" s="77" t="b" cm="1">
        <f t="array" ref="R1060">INDEX(stable[is_skip_logic],MATCH(VALUE(questions[[#This Row],[qno]]),VALUE(stable[qno]),0))</f>
        <v>1</v>
      </c>
      <c r="S1060" s="77" t="str">
        <f>_xlfn.TEXTJOIN(", ",TRUE,questions[[#This Row],[ans_opt_1]:[ans_opt_14]])</f>
        <v>Coffee, Cropping, Livestock, Casual labor in agriculture, Casual labor off-farm, Other business, Salaried job, Pension, Remittances</v>
      </c>
      <c r="T1060" s="91" t="s">
        <v>292</v>
      </c>
      <c r="U1060" s="91" t="s">
        <v>293</v>
      </c>
      <c r="V1060" s="91" t="s">
        <v>294</v>
      </c>
      <c r="W1060" s="91" t="s">
        <v>295</v>
      </c>
      <c r="X1060" s="91" t="s">
        <v>296</v>
      </c>
      <c r="Y1060" s="91" t="s">
        <v>297</v>
      </c>
      <c r="Z1060" s="91" t="s">
        <v>298</v>
      </c>
      <c r="AA1060" s="91" t="s">
        <v>299</v>
      </c>
      <c r="AB1060" s="91" t="s">
        <v>300</v>
      </c>
      <c r="AC1060" s="91"/>
      <c r="AD1060" s="91"/>
      <c r="AE1060" s="91"/>
      <c r="AF1060" s="91"/>
      <c r="AG1060" s="91"/>
      <c r="AH1060" s="126" t="b">
        <f>INDEX(stable[q_standard],MATCH(questions[[#This Row],[qno]],stable[qno],0))</f>
        <v>0</v>
      </c>
      <c r="AI1060" s="126" t="b">
        <f>INDEX(stable[q_living_income],MATCH(questions[[#This Row],[qno]],stable[qno],0))</f>
        <v>1</v>
      </c>
      <c r="AJ1060" s="126" t="b">
        <f>INDEX(stable[q_carbon],MATCH(questions[[#This Row],[qno]],stable[qno],0))</f>
        <v>0</v>
      </c>
      <c r="AK1060" s="126" t="b">
        <f>INDEX(stable[q_regen_ag],MATCH(questions[[#This Row],[qno]],stable[qno],0))</f>
        <v>0</v>
      </c>
      <c r="AL1060" s="173"/>
      <c r="AM1060" s="173"/>
      <c r="AN1060" s="173"/>
      <c r="AO1060" s="173"/>
      <c r="AP1060" s="98" t="str">
        <f>LEFT(questions[[#This Row],[question]],similarity_range)</f>
        <v>What are your source</v>
      </c>
      <c r="AQ1060" s="98" t="str">
        <f>LEFT(INDEX(stable[question],MATCH(questions[[#This Row],[qno]],stable[qno],0)),similarity_range)</f>
        <v>What are your source</v>
      </c>
      <c r="AR1060" s="98" t="b">
        <f>questions[[#This Row],[question_first_characters]]=questions[[#This Row],[stability_first_characters]]</f>
        <v>1</v>
      </c>
      <c r="AS1060" s="98" t="b">
        <f>IF(OR(questions[[#This Row],[is_single_select]],questions[[#This Row],[is_multi_select]]),NOT(ISBLANK(questions[[#This Row],[answer_opt_combined]])),TRUE)</f>
        <v>1</v>
      </c>
    </row>
    <row r="1061" spans="1:45" ht="15.75" customHeight="1" x14ac:dyDescent="0.25">
      <c r="A1061" s="33" t="str">
        <f>_xlfn.TEXTJOIN("_",TRUE,questions[[#This Row],[origin]:[qno]])</f>
        <v>Vietnam_Robusta_Nestle_Selecta_2025_6501</v>
      </c>
      <c r="B1061" s="33" t="s">
        <v>673</v>
      </c>
      <c r="C1061" s="33" t="s">
        <v>674</v>
      </c>
      <c r="D1061" s="33" t="s">
        <v>904</v>
      </c>
      <c r="E1061" s="33">
        <v>2025</v>
      </c>
      <c r="F1061" s="41" t="s">
        <v>301</v>
      </c>
      <c r="G1061" s="222" t="s">
        <v>942</v>
      </c>
      <c r="H1061" s="33" t="str" cm="1">
        <f t="array" ref="H1061">INDEX(stableR[question],MATCH(VALUE(questions[[#This Row],[qno]]),VALUE(stableR[qno]),0))</f>
        <v>For each of the sources of income that you have, please estimate the importance in terms of income for last year, as compared to the total household income! (next questions)</v>
      </c>
      <c r="I1061" s="33" t="b" cm="1">
        <f t="array" ref="I1061">INDEX(stable[is_fixed],MATCH(VALUE(questions[[#This Row],[qno]]),VALUE(stable[qno]),0))</f>
        <v>1</v>
      </c>
      <c r="J1061" s="33" t="b" cm="1">
        <f t="array" ref="J1061">INDEX(stable[is_localized],MATCH(VALUE(questions[[#This Row],[qno]]),VALUE(stable[qno]),0))</f>
        <v>0</v>
      </c>
      <c r="K1061" s="33" t="b" cm="1">
        <f t="array" ref="K1061">INDEX(stable[is_supply_chain_dependent],MATCH(VALUE(questions[[#This Row],[qno]]),VALUE(stable[qno]),0))</f>
        <v>0</v>
      </c>
      <c r="L1061" s="33" t="b" cm="1">
        <f t="array" ref="L1061">INDEX(stable[is_mandatory],MATCH(VALUE(questions[[#This Row],[qno]]),VALUE(stable[qno]),0))</f>
        <v>1</v>
      </c>
      <c r="M1061" s="33" t="b" cm="1">
        <f t="array" ref="M1061">INDEX(stable[is_automated],MATCH(VALUE(questions[[#This Row],[qno]]),VALUE(stable[qno]),0))</f>
        <v>1</v>
      </c>
      <c r="N1061" s="33" t="b" cm="1">
        <f t="array" ref="N1061">INDEX(stable[is_free_text],MATCH(VALUE(questions[[#This Row],[qno]]),VALUE(stable[qno]),0))</f>
        <v>0</v>
      </c>
      <c r="O1061" s="33" t="b" cm="1">
        <f t="array" ref="O1061">INDEX(stable[is_numerical],MATCH(VALUE(questions[[#This Row],[qno]]),VALUE(stable[qno]),0))</f>
        <v>0</v>
      </c>
      <c r="P1061" s="33" t="b" cm="1">
        <f t="array" ref="P1061">INDEX(stable[is_single_select],MATCH(VALUE(questions[[#This Row],[qno]]),VALUE(stable[qno]),0))</f>
        <v>0</v>
      </c>
      <c r="Q1061" s="33" t="b" cm="1">
        <f t="array" ref="Q1061">INDEX(stable[is_multi_select],MATCH(VALUE(questions[[#This Row],[qno]]),VALUE(stable[qno]),0))</f>
        <v>0</v>
      </c>
      <c r="R1061" s="33" t="b" cm="1">
        <f t="array" ref="R1061">INDEX(stable[is_skip_logic],MATCH(VALUE(questions[[#This Row],[qno]]),VALUE(stable[qno]),0))</f>
        <v>0</v>
      </c>
      <c r="S1061" s="33" t="str">
        <f>_xlfn.TEXTJOIN(", ",TRUE,questions[[#This Row],[ans_opt_1]:[ans_opt_14]])</f>
        <v/>
      </c>
      <c r="T1061" s="44"/>
      <c r="U1061" s="44"/>
      <c r="V1061" s="44"/>
      <c r="W1061" s="44"/>
      <c r="X1061" s="44"/>
      <c r="Y1061" s="44"/>
      <c r="Z1061" s="44"/>
      <c r="AA1061" s="44"/>
      <c r="AB1061" s="44"/>
      <c r="AC1061" s="44"/>
      <c r="AD1061" s="44"/>
      <c r="AE1061" s="44"/>
      <c r="AF1061" s="44"/>
      <c r="AG1061" s="44"/>
      <c r="AH1061" s="124" t="b">
        <f>INDEX(stable[q_standard],MATCH(questions[[#This Row],[qno]],stable[qno],0))</f>
        <v>0</v>
      </c>
      <c r="AI1061" s="124" t="b">
        <f>INDEX(stable[q_living_income],MATCH(questions[[#This Row],[qno]],stable[qno],0))</f>
        <v>1</v>
      </c>
      <c r="AJ1061" s="124" t="b">
        <f>INDEX(stable[q_carbon],MATCH(questions[[#This Row],[qno]],stable[qno],0))</f>
        <v>0</v>
      </c>
      <c r="AK1061" s="124" t="b">
        <f>INDEX(stable[q_regen_ag],MATCH(questions[[#This Row],[qno]],stable[qno],0))</f>
        <v>0</v>
      </c>
      <c r="AL1061" s="176"/>
      <c r="AM1061" s="176"/>
      <c r="AN1061" s="176"/>
      <c r="AO1061" s="176"/>
      <c r="AP1061" s="16" t="str">
        <f>LEFT(questions[[#This Row],[question]],similarity_range)</f>
        <v>For each of the sour</v>
      </c>
      <c r="AQ1061" s="16" t="str">
        <f>LEFT(INDEX(stable[question],MATCH(questions[[#This Row],[qno]],stable[qno],0)),similarity_range)</f>
        <v>For each of the sour</v>
      </c>
      <c r="AR1061" s="16" t="b">
        <f>questions[[#This Row],[question_first_characters]]=questions[[#This Row],[stability_first_characters]]</f>
        <v>1</v>
      </c>
      <c r="AS1061" s="16" t="b">
        <f>IF(OR(questions[[#This Row],[is_single_select]],questions[[#This Row],[is_multi_select]]),NOT(ISBLANK(questions[[#This Row],[answer_opt_combined]])),TRUE)</f>
        <v>1</v>
      </c>
    </row>
    <row r="1062" spans="1:45" s="77" customFormat="1" ht="15.75" customHeight="1" x14ac:dyDescent="0.25">
      <c r="A1062" s="77" t="str">
        <f>_xlfn.TEXTJOIN("_",TRUE,questions[[#This Row],[origin]:[qno]])</f>
        <v>Vietnam_Robusta_Nestle_Selecta_2025_6510</v>
      </c>
      <c r="B1062" s="77" t="s">
        <v>673</v>
      </c>
      <c r="C1062" s="77" t="s">
        <v>674</v>
      </c>
      <c r="D1062" s="77" t="s">
        <v>904</v>
      </c>
      <c r="E1062" s="77">
        <v>2025</v>
      </c>
      <c r="F1062" s="105" t="s">
        <v>303</v>
      </c>
      <c r="G1062" s="109" t="s">
        <v>304</v>
      </c>
      <c r="H1062" s="33" t="str" cm="1">
        <f t="array" ref="H1062">INDEX(stableR[question],MATCH(VALUE(questions[[#This Row],[qno]]),VALUE(stableR[qno]),0))</f>
        <v>Coffee, what was the estimated importance?</v>
      </c>
      <c r="I1062" s="33" t="b" cm="1">
        <f t="array" ref="I1062">INDEX(stable[is_fixed],MATCH(VALUE(questions[[#This Row],[qno]]),VALUE(stable[qno]),0))</f>
        <v>1</v>
      </c>
      <c r="J1062" s="33" t="b" cm="1">
        <f t="array" ref="J1062">INDEX(stable[is_localized],MATCH(VALUE(questions[[#This Row],[qno]]),VALUE(stable[qno]),0))</f>
        <v>0</v>
      </c>
      <c r="K1062" s="33" t="b" cm="1">
        <f t="array" ref="K1062">INDEX(stable[is_supply_chain_dependent],MATCH(VALUE(questions[[#This Row],[qno]]),VALUE(stable[qno]),0))</f>
        <v>0</v>
      </c>
      <c r="L1062" s="33" t="b" cm="1">
        <f t="array" ref="L1062">INDEX(stable[is_mandatory],MATCH(VALUE(questions[[#This Row],[qno]]),VALUE(stable[qno]),0))</f>
        <v>0</v>
      </c>
      <c r="M1062" s="33" t="b" cm="1">
        <f t="array" ref="M1062">INDEX(stable[is_automated],MATCH(VALUE(questions[[#This Row],[qno]]),VALUE(stable[qno]),0))</f>
        <v>0</v>
      </c>
      <c r="N1062" s="33" t="b" cm="1">
        <f t="array" ref="N1062">INDEX(stable[is_free_text],MATCH(VALUE(questions[[#This Row],[qno]]),VALUE(stable[qno]),0))</f>
        <v>0</v>
      </c>
      <c r="O1062" s="33" t="b" cm="1">
        <f t="array" ref="O1062">INDEX(stable[is_numerical],MATCH(VALUE(questions[[#This Row],[qno]]),VALUE(stable[qno]),0))</f>
        <v>0</v>
      </c>
      <c r="P1062" s="77" t="b" cm="1">
        <f t="array" ref="P1062">INDEX(stable[is_single_select],MATCH(VALUE(questions[[#This Row],[qno]]),VALUE(stable[qno]),0))</f>
        <v>1</v>
      </c>
      <c r="Q1062" s="77" t="b" cm="1">
        <f t="array" ref="Q1062">INDEX(stable[is_multi_select],MATCH(VALUE(questions[[#This Row],[qno]]),VALUE(stable[qno]),0))</f>
        <v>0</v>
      </c>
      <c r="R1062" s="77" t="b" cm="1">
        <f t="array" ref="R1062">INDEX(stable[is_skip_logic],MATCH(VALUE(questions[[#This Row],[qno]]),VALUE(stable[qno]),0))</f>
        <v>0</v>
      </c>
      <c r="S1062" s="77" t="str">
        <f>_xlfn.TEXTJOIN(", ",TRUE,questions[[#This Row],[ans_opt_1]:[ans_opt_14]])</f>
        <v>All or nearly all - 80-100%, More than half of it  - 60-80%, About half of it - 40-60%, Less than half of it - 20-40%, A small amount - 0-20%</v>
      </c>
      <c r="T1062" s="91" t="s">
        <v>305</v>
      </c>
      <c r="U1062" s="91" t="s">
        <v>306</v>
      </c>
      <c r="V1062" s="91" t="s">
        <v>307</v>
      </c>
      <c r="W1062" s="91" t="s">
        <v>308</v>
      </c>
      <c r="X1062" s="91" t="s">
        <v>309</v>
      </c>
      <c r="Y1062" s="91"/>
      <c r="Z1062" s="91"/>
      <c r="AA1062" s="91"/>
      <c r="AB1062" s="91"/>
      <c r="AC1062" s="91"/>
      <c r="AD1062" s="91"/>
      <c r="AE1062" s="91"/>
      <c r="AF1062" s="91"/>
      <c r="AG1062" s="91"/>
      <c r="AH1062" s="126" t="b">
        <f>INDEX(stable[q_standard],MATCH(questions[[#This Row],[qno]],stable[qno],0))</f>
        <v>0</v>
      </c>
      <c r="AI1062" s="126" t="b">
        <f>INDEX(stable[q_living_income],MATCH(questions[[#This Row],[qno]],stable[qno],0))</f>
        <v>1</v>
      </c>
      <c r="AJ1062" s="126" t="b">
        <f>INDEX(stable[q_carbon],MATCH(questions[[#This Row],[qno]],stable[qno],0))</f>
        <v>0</v>
      </c>
      <c r="AK1062" s="126" t="b">
        <f>INDEX(stable[q_regen_ag],MATCH(questions[[#This Row],[qno]],stable[qno],0))</f>
        <v>0</v>
      </c>
      <c r="AL1062" s="177"/>
      <c r="AM1062" s="177"/>
      <c r="AN1062" s="177"/>
      <c r="AO1062" s="177"/>
      <c r="AP1062" s="98" t="str">
        <f>LEFT(questions[[#This Row],[question]],similarity_range)</f>
        <v>Coffee, what was the</v>
      </c>
      <c r="AQ1062" s="98" t="str">
        <f>LEFT(INDEX(stable[question],MATCH(questions[[#This Row],[qno]],stable[qno],0)),similarity_range)</f>
        <v>Coffee, what was the</v>
      </c>
      <c r="AR1062" s="98" t="b">
        <f>questions[[#This Row],[question_first_characters]]=questions[[#This Row],[stability_first_characters]]</f>
        <v>1</v>
      </c>
      <c r="AS1062" s="98" t="b">
        <f>IF(OR(questions[[#This Row],[is_single_select]],questions[[#This Row],[is_multi_select]]),NOT(ISBLANK(questions[[#This Row],[answer_opt_combined]])),TRUE)</f>
        <v>1</v>
      </c>
    </row>
    <row r="1063" spans="1:45" s="77" customFormat="1" ht="15.75" customHeight="1" x14ac:dyDescent="0.25">
      <c r="A1063" s="77" t="str">
        <f>_xlfn.TEXTJOIN("_",TRUE,questions[[#This Row],[origin]:[qno]])</f>
        <v>Vietnam_Robusta_Nestle_Selecta_2025_6511</v>
      </c>
      <c r="B1063" s="77" t="s">
        <v>673</v>
      </c>
      <c r="C1063" s="77" t="s">
        <v>674</v>
      </c>
      <c r="D1063" s="77" t="s">
        <v>904</v>
      </c>
      <c r="E1063" s="77">
        <v>2025</v>
      </c>
      <c r="F1063" s="105" t="s">
        <v>310</v>
      </c>
      <c r="G1063" s="109" t="s">
        <v>311</v>
      </c>
      <c r="H1063" s="33" t="str" cm="1">
        <f t="array" ref="H1063">INDEX(stableR[question],MATCH(VALUE(questions[[#This Row],[qno]]),VALUE(stableR[qno]),0))</f>
        <v>Cropping other than coffee, what was the estimated importance?</v>
      </c>
      <c r="I1063" s="33" t="b" cm="1">
        <f t="array" ref="I1063">INDEX(stable[is_fixed],MATCH(VALUE(questions[[#This Row],[qno]]),VALUE(stable[qno]),0))</f>
        <v>1</v>
      </c>
      <c r="J1063" s="33" t="b" cm="1">
        <f t="array" ref="J1063">INDEX(stable[is_localized],MATCH(VALUE(questions[[#This Row],[qno]]),VALUE(stable[qno]),0))</f>
        <v>0</v>
      </c>
      <c r="K1063" s="33" t="b" cm="1">
        <f t="array" ref="K1063">INDEX(stable[is_supply_chain_dependent],MATCH(VALUE(questions[[#This Row],[qno]]),VALUE(stable[qno]),0))</f>
        <v>0</v>
      </c>
      <c r="L1063" s="33" t="b" cm="1">
        <f t="array" ref="L1063">INDEX(stable[is_mandatory],MATCH(VALUE(questions[[#This Row],[qno]]),VALUE(stable[qno]),0))</f>
        <v>0</v>
      </c>
      <c r="M1063" s="33" t="b" cm="1">
        <f t="array" ref="M1063">INDEX(stable[is_automated],MATCH(VALUE(questions[[#This Row],[qno]]),VALUE(stable[qno]),0))</f>
        <v>0</v>
      </c>
      <c r="N1063" s="33" t="b" cm="1">
        <f t="array" ref="N1063">INDEX(stable[is_free_text],MATCH(VALUE(questions[[#This Row],[qno]]),VALUE(stable[qno]),0))</f>
        <v>0</v>
      </c>
      <c r="O1063" s="33" t="b" cm="1">
        <f t="array" ref="O1063">INDEX(stable[is_numerical],MATCH(VALUE(questions[[#This Row],[qno]]),VALUE(stable[qno]),0))</f>
        <v>0</v>
      </c>
      <c r="P1063" s="77" t="b" cm="1">
        <f t="array" ref="P1063">INDEX(stable[is_single_select],MATCH(VALUE(questions[[#This Row],[qno]]),VALUE(stable[qno]),0))</f>
        <v>1</v>
      </c>
      <c r="Q1063" s="77" t="b" cm="1">
        <f t="array" ref="Q1063">INDEX(stable[is_multi_select],MATCH(VALUE(questions[[#This Row],[qno]]),VALUE(stable[qno]),0))</f>
        <v>0</v>
      </c>
      <c r="R1063" s="77" t="b" cm="1">
        <f t="array" ref="R1063">INDEX(stable[is_skip_logic],MATCH(VALUE(questions[[#This Row],[qno]]),VALUE(stable[qno]),0))</f>
        <v>0</v>
      </c>
      <c r="S1063" s="77" t="str">
        <f>_xlfn.TEXTJOIN(", ",TRUE,questions[[#This Row],[ans_opt_1]:[ans_opt_14]])</f>
        <v>All or nearly all - 80-100%, More than half of it  - 60-80%, About half of it - 40-60%, Less than half of it - 20-40%, A small amount - 0-20%</v>
      </c>
      <c r="T1063" s="91" t="s">
        <v>305</v>
      </c>
      <c r="U1063" s="91" t="s">
        <v>306</v>
      </c>
      <c r="V1063" s="91" t="s">
        <v>307</v>
      </c>
      <c r="W1063" s="91" t="s">
        <v>308</v>
      </c>
      <c r="X1063" s="91" t="s">
        <v>309</v>
      </c>
      <c r="Y1063" s="91"/>
      <c r="Z1063" s="91"/>
      <c r="AA1063" s="91"/>
      <c r="AB1063" s="91"/>
      <c r="AC1063" s="91"/>
      <c r="AD1063" s="91"/>
      <c r="AE1063" s="91"/>
      <c r="AF1063" s="91"/>
      <c r="AG1063" s="91"/>
      <c r="AH1063" s="126" t="b">
        <f>INDEX(stable[q_standard],MATCH(questions[[#This Row],[qno]],stable[qno],0))</f>
        <v>0</v>
      </c>
      <c r="AI1063" s="126" t="b">
        <f>INDEX(stable[q_living_income],MATCH(questions[[#This Row],[qno]],stable[qno],0))</f>
        <v>1</v>
      </c>
      <c r="AJ1063" s="126" t="b">
        <f>INDEX(stable[q_carbon],MATCH(questions[[#This Row],[qno]],stable[qno],0))</f>
        <v>0</v>
      </c>
      <c r="AK1063" s="126" t="b">
        <f>INDEX(stable[q_regen_ag],MATCH(questions[[#This Row],[qno]],stable[qno],0))</f>
        <v>0</v>
      </c>
      <c r="AL1063" s="177"/>
      <c r="AM1063" s="177"/>
      <c r="AN1063" s="177"/>
      <c r="AO1063" s="177"/>
      <c r="AP1063" s="98" t="str">
        <f>LEFT(questions[[#This Row],[question]],similarity_range)</f>
        <v xml:space="preserve">Cropping other than </v>
      </c>
      <c r="AQ1063" s="98" t="str">
        <f>LEFT(INDEX(stable[question],MATCH(questions[[#This Row],[qno]],stable[qno],0)),similarity_range)</f>
        <v xml:space="preserve">Cropping other than </v>
      </c>
      <c r="AR1063" s="98" t="b">
        <f>questions[[#This Row],[question_first_characters]]=questions[[#This Row],[stability_first_characters]]</f>
        <v>1</v>
      </c>
      <c r="AS1063" s="98" t="b">
        <f>IF(OR(questions[[#This Row],[is_single_select]],questions[[#This Row],[is_multi_select]]),NOT(ISBLANK(questions[[#This Row],[answer_opt_combined]])),TRUE)</f>
        <v>1</v>
      </c>
    </row>
    <row r="1064" spans="1:45" s="77" customFormat="1" ht="15.75" customHeight="1" x14ac:dyDescent="0.25">
      <c r="A1064" s="77" t="str">
        <f>_xlfn.TEXTJOIN("_",TRUE,questions[[#This Row],[origin]:[qno]])</f>
        <v>Vietnam_Robusta_Nestle_Selecta_2025_6512</v>
      </c>
      <c r="B1064" s="77" t="s">
        <v>673</v>
      </c>
      <c r="C1064" s="77" t="s">
        <v>674</v>
      </c>
      <c r="D1064" s="77" t="s">
        <v>904</v>
      </c>
      <c r="E1064" s="77">
        <v>2025</v>
      </c>
      <c r="F1064" s="105" t="s">
        <v>312</v>
      </c>
      <c r="G1064" s="109" t="s">
        <v>313</v>
      </c>
      <c r="H1064" s="33" t="str" cm="1">
        <f t="array" ref="H1064">INDEX(stableR[question],MATCH(VALUE(questions[[#This Row],[qno]]),VALUE(stableR[qno]),0))</f>
        <v>Livestock, what was the estimated importance?</v>
      </c>
      <c r="I1064" s="33" t="b" cm="1">
        <f t="array" ref="I1064">INDEX(stable[is_fixed],MATCH(VALUE(questions[[#This Row],[qno]]),VALUE(stable[qno]),0))</f>
        <v>1</v>
      </c>
      <c r="J1064" s="33" t="b" cm="1">
        <f t="array" ref="J1064">INDEX(stable[is_localized],MATCH(VALUE(questions[[#This Row],[qno]]),VALUE(stable[qno]),0))</f>
        <v>0</v>
      </c>
      <c r="K1064" s="33" t="b" cm="1">
        <f t="array" ref="K1064">INDEX(stable[is_supply_chain_dependent],MATCH(VALUE(questions[[#This Row],[qno]]),VALUE(stable[qno]),0))</f>
        <v>0</v>
      </c>
      <c r="L1064" s="33" t="b" cm="1">
        <f t="array" ref="L1064">INDEX(stable[is_mandatory],MATCH(VALUE(questions[[#This Row],[qno]]),VALUE(stable[qno]),0))</f>
        <v>0</v>
      </c>
      <c r="M1064" s="33" t="b" cm="1">
        <f t="array" ref="M1064">INDEX(stable[is_automated],MATCH(VALUE(questions[[#This Row],[qno]]),VALUE(stable[qno]),0))</f>
        <v>0</v>
      </c>
      <c r="N1064" s="33" t="b" cm="1">
        <f t="array" ref="N1064">INDEX(stable[is_free_text],MATCH(VALUE(questions[[#This Row],[qno]]),VALUE(stable[qno]),0))</f>
        <v>0</v>
      </c>
      <c r="O1064" s="33" t="b" cm="1">
        <f t="array" ref="O1064">INDEX(stable[is_numerical],MATCH(VALUE(questions[[#This Row],[qno]]),VALUE(stable[qno]),0))</f>
        <v>0</v>
      </c>
      <c r="P1064" s="77" t="b" cm="1">
        <f t="array" ref="P1064">INDEX(stable[is_single_select],MATCH(VALUE(questions[[#This Row],[qno]]),VALUE(stable[qno]),0))</f>
        <v>1</v>
      </c>
      <c r="Q1064" s="77" t="b" cm="1">
        <f t="array" ref="Q1064">INDEX(stable[is_multi_select],MATCH(VALUE(questions[[#This Row],[qno]]),VALUE(stable[qno]),0))</f>
        <v>0</v>
      </c>
      <c r="R1064" s="77" t="b" cm="1">
        <f t="array" ref="R1064">INDEX(stable[is_skip_logic],MATCH(VALUE(questions[[#This Row],[qno]]),VALUE(stable[qno]),0))</f>
        <v>0</v>
      </c>
      <c r="S1064" s="77" t="str">
        <f>_xlfn.TEXTJOIN(", ",TRUE,questions[[#This Row],[ans_opt_1]:[ans_opt_14]])</f>
        <v>All or nearly all - 80-100%, More than half of it  - 60-80%, About half of it - 40-60%, Less than half of it - 20-40%, A small amount - 0-20%</v>
      </c>
      <c r="T1064" s="91" t="s">
        <v>305</v>
      </c>
      <c r="U1064" s="91" t="s">
        <v>306</v>
      </c>
      <c r="V1064" s="91" t="s">
        <v>307</v>
      </c>
      <c r="W1064" s="91" t="s">
        <v>308</v>
      </c>
      <c r="X1064" s="91" t="s">
        <v>309</v>
      </c>
      <c r="Y1064" s="91"/>
      <c r="Z1064" s="91"/>
      <c r="AA1064" s="91"/>
      <c r="AB1064" s="91"/>
      <c r="AC1064" s="91"/>
      <c r="AD1064" s="91"/>
      <c r="AE1064" s="91"/>
      <c r="AF1064" s="91"/>
      <c r="AG1064" s="91"/>
      <c r="AH1064" s="126" t="b">
        <f>INDEX(stable[q_standard],MATCH(questions[[#This Row],[qno]],stable[qno],0))</f>
        <v>0</v>
      </c>
      <c r="AI1064" s="126" t="b">
        <f>INDEX(stable[q_living_income],MATCH(questions[[#This Row],[qno]],stable[qno],0))</f>
        <v>1</v>
      </c>
      <c r="AJ1064" s="126" t="b">
        <f>INDEX(stable[q_carbon],MATCH(questions[[#This Row],[qno]],stable[qno],0))</f>
        <v>0</v>
      </c>
      <c r="AK1064" s="126" t="b">
        <f>INDEX(stable[q_regen_ag],MATCH(questions[[#This Row],[qno]],stable[qno],0))</f>
        <v>0</v>
      </c>
      <c r="AL1064" s="177"/>
      <c r="AM1064" s="177"/>
      <c r="AN1064" s="177"/>
      <c r="AO1064" s="177"/>
      <c r="AP1064" s="98" t="str">
        <f>LEFT(questions[[#This Row],[question]],similarity_range)</f>
        <v xml:space="preserve">Livestock, what was </v>
      </c>
      <c r="AQ1064" s="98" t="str">
        <f>LEFT(INDEX(stable[question],MATCH(questions[[#This Row],[qno]],stable[qno],0)),similarity_range)</f>
        <v xml:space="preserve">Livestock, what was </v>
      </c>
      <c r="AR1064" s="98" t="b">
        <f>questions[[#This Row],[question_first_characters]]=questions[[#This Row],[stability_first_characters]]</f>
        <v>1</v>
      </c>
      <c r="AS1064" s="98" t="b">
        <f>IF(OR(questions[[#This Row],[is_single_select]],questions[[#This Row],[is_multi_select]]),NOT(ISBLANK(questions[[#This Row],[answer_opt_combined]])),TRUE)</f>
        <v>1</v>
      </c>
    </row>
    <row r="1065" spans="1:45" s="77" customFormat="1" ht="15.75" customHeight="1" x14ac:dyDescent="0.25">
      <c r="A1065" s="77" t="str">
        <f>_xlfn.TEXTJOIN("_",TRUE,questions[[#This Row],[origin]:[qno]])</f>
        <v>Vietnam_Robusta_Nestle_Selecta_2025_6513</v>
      </c>
      <c r="B1065" s="77" t="s">
        <v>673</v>
      </c>
      <c r="C1065" s="77" t="s">
        <v>674</v>
      </c>
      <c r="D1065" s="77" t="s">
        <v>904</v>
      </c>
      <c r="E1065" s="77">
        <v>2025</v>
      </c>
      <c r="F1065" s="105" t="s">
        <v>314</v>
      </c>
      <c r="G1065" s="109" t="s">
        <v>315</v>
      </c>
      <c r="H1065" s="33" t="str" cm="1">
        <f t="array" ref="H1065">INDEX(stableR[question],MATCH(VALUE(questions[[#This Row],[qno]]),VALUE(stableR[qno]),0))</f>
        <v>Casual labor on other peoples farm, what was the estimated importance?</v>
      </c>
      <c r="I1065" s="33" t="b" cm="1">
        <f t="array" ref="I1065">INDEX(stable[is_fixed],MATCH(VALUE(questions[[#This Row],[qno]]),VALUE(stable[qno]),0))</f>
        <v>1</v>
      </c>
      <c r="J1065" s="33" t="b" cm="1">
        <f t="array" ref="J1065">INDEX(stable[is_localized],MATCH(VALUE(questions[[#This Row],[qno]]),VALUE(stable[qno]),0))</f>
        <v>0</v>
      </c>
      <c r="K1065" s="33" t="b" cm="1">
        <f t="array" ref="K1065">INDEX(stable[is_supply_chain_dependent],MATCH(VALUE(questions[[#This Row],[qno]]),VALUE(stable[qno]),0))</f>
        <v>0</v>
      </c>
      <c r="L1065" s="33" t="b" cm="1">
        <f t="array" ref="L1065">INDEX(stable[is_mandatory],MATCH(VALUE(questions[[#This Row],[qno]]),VALUE(stable[qno]),0))</f>
        <v>0</v>
      </c>
      <c r="M1065" s="33" t="b" cm="1">
        <f t="array" ref="M1065">INDEX(stable[is_automated],MATCH(VALUE(questions[[#This Row],[qno]]),VALUE(stable[qno]),0))</f>
        <v>0</v>
      </c>
      <c r="N1065" s="33" t="b" cm="1">
        <f t="array" ref="N1065">INDEX(stable[is_free_text],MATCH(VALUE(questions[[#This Row],[qno]]),VALUE(stable[qno]),0))</f>
        <v>0</v>
      </c>
      <c r="O1065" s="33" t="b" cm="1">
        <f t="array" ref="O1065">INDEX(stable[is_numerical],MATCH(VALUE(questions[[#This Row],[qno]]),VALUE(stable[qno]),0))</f>
        <v>0</v>
      </c>
      <c r="P1065" s="77" t="b" cm="1">
        <f t="array" ref="P1065">INDEX(stable[is_single_select],MATCH(VALUE(questions[[#This Row],[qno]]),VALUE(stable[qno]),0))</f>
        <v>1</v>
      </c>
      <c r="Q1065" s="77" t="b" cm="1">
        <f t="array" ref="Q1065">INDEX(stable[is_multi_select],MATCH(VALUE(questions[[#This Row],[qno]]),VALUE(stable[qno]),0))</f>
        <v>0</v>
      </c>
      <c r="R1065" s="77" t="b" cm="1">
        <f t="array" ref="R1065">INDEX(stable[is_skip_logic],MATCH(VALUE(questions[[#This Row],[qno]]),VALUE(stable[qno]),0))</f>
        <v>0</v>
      </c>
      <c r="S1065" s="77" t="str">
        <f>_xlfn.TEXTJOIN(", ",TRUE,questions[[#This Row],[ans_opt_1]:[ans_opt_14]])</f>
        <v>All or nearly all - 80-100%, More than half of it  - 60-80%, About half of it - 40-60%, Less than half of it - 20-40%, A small amount - 0-20%</v>
      </c>
      <c r="T1065" s="91" t="s">
        <v>305</v>
      </c>
      <c r="U1065" s="91" t="s">
        <v>306</v>
      </c>
      <c r="V1065" s="91" t="s">
        <v>307</v>
      </c>
      <c r="W1065" s="91" t="s">
        <v>308</v>
      </c>
      <c r="X1065" s="91" t="s">
        <v>309</v>
      </c>
      <c r="Y1065" s="91"/>
      <c r="Z1065" s="91"/>
      <c r="AA1065" s="91"/>
      <c r="AB1065" s="91"/>
      <c r="AC1065" s="91"/>
      <c r="AD1065" s="91"/>
      <c r="AE1065" s="91"/>
      <c r="AF1065" s="91"/>
      <c r="AG1065" s="91"/>
      <c r="AH1065" s="126" t="b">
        <f>INDEX(stable[q_standard],MATCH(questions[[#This Row],[qno]],stable[qno],0))</f>
        <v>0</v>
      </c>
      <c r="AI1065" s="126" t="b">
        <f>INDEX(stable[q_living_income],MATCH(questions[[#This Row],[qno]],stable[qno],0))</f>
        <v>1</v>
      </c>
      <c r="AJ1065" s="126" t="b">
        <f>INDEX(stable[q_carbon],MATCH(questions[[#This Row],[qno]],stable[qno],0))</f>
        <v>0</v>
      </c>
      <c r="AK1065" s="126" t="b">
        <f>INDEX(stable[q_regen_ag],MATCH(questions[[#This Row],[qno]],stable[qno],0))</f>
        <v>0</v>
      </c>
      <c r="AL1065" s="177"/>
      <c r="AM1065" s="177"/>
      <c r="AN1065" s="177"/>
      <c r="AO1065" s="177"/>
      <c r="AP1065" s="98" t="str">
        <f>LEFT(questions[[#This Row],[question]],similarity_range)</f>
        <v>Casual labor on othe</v>
      </c>
      <c r="AQ1065" s="98" t="str">
        <f>LEFT(INDEX(stable[question],MATCH(questions[[#This Row],[qno]],stable[qno],0)),similarity_range)</f>
        <v>Casual labor on othe</v>
      </c>
      <c r="AR1065" s="98" t="b">
        <f>questions[[#This Row],[question_first_characters]]=questions[[#This Row],[stability_first_characters]]</f>
        <v>1</v>
      </c>
      <c r="AS1065" s="98" t="b">
        <f>IF(OR(questions[[#This Row],[is_single_select]],questions[[#This Row],[is_multi_select]]),NOT(ISBLANK(questions[[#This Row],[answer_opt_combined]])),TRUE)</f>
        <v>1</v>
      </c>
    </row>
    <row r="1066" spans="1:45" s="77" customFormat="1" ht="15.75" customHeight="1" x14ac:dyDescent="0.25">
      <c r="A1066" s="77" t="str">
        <f>_xlfn.TEXTJOIN("_",TRUE,questions[[#This Row],[origin]:[qno]])</f>
        <v>Vietnam_Robusta_Nestle_Selecta_2025_6514</v>
      </c>
      <c r="B1066" s="77" t="s">
        <v>673</v>
      </c>
      <c r="C1066" s="77" t="s">
        <v>674</v>
      </c>
      <c r="D1066" s="77" t="s">
        <v>904</v>
      </c>
      <c r="E1066" s="77">
        <v>2025</v>
      </c>
      <c r="F1066" s="105" t="s">
        <v>316</v>
      </c>
      <c r="G1066" s="109" t="s">
        <v>317</v>
      </c>
      <c r="H1066" s="33" t="str" cm="1">
        <f t="array" ref="H1066">INDEX(stableR[question],MATCH(VALUE(questions[[#This Row],[qno]]),VALUE(stableR[qno]),0))</f>
        <v>Casual labor off-farm, what was the estimated importance?</v>
      </c>
      <c r="I1066" s="33" t="b" cm="1">
        <f t="array" ref="I1066">INDEX(stable[is_fixed],MATCH(VALUE(questions[[#This Row],[qno]]),VALUE(stable[qno]),0))</f>
        <v>1</v>
      </c>
      <c r="J1066" s="33" t="b" cm="1">
        <f t="array" ref="J1066">INDEX(stable[is_localized],MATCH(VALUE(questions[[#This Row],[qno]]),VALUE(stable[qno]),0))</f>
        <v>0</v>
      </c>
      <c r="K1066" s="33" t="b" cm="1">
        <f t="array" ref="K1066">INDEX(stable[is_supply_chain_dependent],MATCH(VALUE(questions[[#This Row],[qno]]),VALUE(stable[qno]),0))</f>
        <v>0</v>
      </c>
      <c r="L1066" s="33" t="b" cm="1">
        <f t="array" ref="L1066">INDEX(stable[is_mandatory],MATCH(VALUE(questions[[#This Row],[qno]]),VALUE(stable[qno]),0))</f>
        <v>0</v>
      </c>
      <c r="M1066" s="33" t="b" cm="1">
        <f t="array" ref="M1066">INDEX(stable[is_automated],MATCH(VALUE(questions[[#This Row],[qno]]),VALUE(stable[qno]),0))</f>
        <v>0</v>
      </c>
      <c r="N1066" s="33" t="b" cm="1">
        <f t="array" ref="N1066">INDEX(stable[is_free_text],MATCH(VALUE(questions[[#This Row],[qno]]),VALUE(stable[qno]),0))</f>
        <v>0</v>
      </c>
      <c r="O1066" s="33" t="b" cm="1">
        <f t="array" ref="O1066">INDEX(stable[is_numerical],MATCH(VALUE(questions[[#This Row],[qno]]),VALUE(stable[qno]),0))</f>
        <v>0</v>
      </c>
      <c r="P1066" s="77" t="b" cm="1">
        <f t="array" ref="P1066">INDEX(stable[is_single_select],MATCH(VALUE(questions[[#This Row],[qno]]),VALUE(stable[qno]),0))</f>
        <v>1</v>
      </c>
      <c r="Q1066" s="77" t="b" cm="1">
        <f t="array" ref="Q1066">INDEX(stable[is_multi_select],MATCH(VALUE(questions[[#This Row],[qno]]),VALUE(stable[qno]),0))</f>
        <v>0</v>
      </c>
      <c r="R1066" s="77" t="b" cm="1">
        <f t="array" ref="R1066">INDEX(stable[is_skip_logic],MATCH(VALUE(questions[[#This Row],[qno]]),VALUE(stable[qno]),0))</f>
        <v>0</v>
      </c>
      <c r="S1066" s="77" t="str">
        <f>_xlfn.TEXTJOIN(", ",TRUE,questions[[#This Row],[ans_opt_1]:[ans_opt_14]])</f>
        <v>All or nearly all - 80-100%, More than half of it  - 60-80%, About half of it - 40-60%, Less than half of it - 20-40%, A small amount - 0-20%</v>
      </c>
      <c r="T1066" s="91" t="s">
        <v>305</v>
      </c>
      <c r="U1066" s="91" t="s">
        <v>306</v>
      </c>
      <c r="V1066" s="91" t="s">
        <v>307</v>
      </c>
      <c r="W1066" s="91" t="s">
        <v>308</v>
      </c>
      <c r="X1066" s="91" t="s">
        <v>309</v>
      </c>
      <c r="Y1066" s="91"/>
      <c r="Z1066" s="91"/>
      <c r="AA1066" s="91"/>
      <c r="AB1066" s="91"/>
      <c r="AC1066" s="91"/>
      <c r="AD1066" s="91"/>
      <c r="AE1066" s="91"/>
      <c r="AF1066" s="91"/>
      <c r="AG1066" s="91"/>
      <c r="AH1066" s="126" t="b">
        <f>INDEX(stable[q_standard],MATCH(questions[[#This Row],[qno]],stable[qno],0))</f>
        <v>0</v>
      </c>
      <c r="AI1066" s="126" t="b">
        <f>INDEX(stable[q_living_income],MATCH(questions[[#This Row],[qno]],stable[qno],0))</f>
        <v>1</v>
      </c>
      <c r="AJ1066" s="126" t="b">
        <f>INDEX(stable[q_carbon],MATCH(questions[[#This Row],[qno]],stable[qno],0))</f>
        <v>0</v>
      </c>
      <c r="AK1066" s="126" t="b">
        <f>INDEX(stable[q_regen_ag],MATCH(questions[[#This Row],[qno]],stable[qno],0))</f>
        <v>0</v>
      </c>
      <c r="AL1066" s="177"/>
      <c r="AM1066" s="177"/>
      <c r="AN1066" s="177"/>
      <c r="AO1066" s="177"/>
      <c r="AP1066" s="98" t="str">
        <f>LEFT(questions[[#This Row],[question]],similarity_range)</f>
        <v>Casual labor off-far</v>
      </c>
      <c r="AQ1066" s="98" t="str">
        <f>LEFT(INDEX(stable[question],MATCH(questions[[#This Row],[qno]],stable[qno],0)),similarity_range)</f>
        <v>Casual labor off-far</v>
      </c>
      <c r="AR1066" s="98" t="b">
        <f>questions[[#This Row],[question_first_characters]]=questions[[#This Row],[stability_first_characters]]</f>
        <v>1</v>
      </c>
      <c r="AS1066" s="98" t="b">
        <f>IF(OR(questions[[#This Row],[is_single_select]],questions[[#This Row],[is_multi_select]]),NOT(ISBLANK(questions[[#This Row],[answer_opt_combined]])),TRUE)</f>
        <v>1</v>
      </c>
    </row>
    <row r="1067" spans="1:45" s="77" customFormat="1" ht="15.75" customHeight="1" x14ac:dyDescent="0.25">
      <c r="A1067" s="77" t="str">
        <f>_xlfn.TEXTJOIN("_",TRUE,questions[[#This Row],[origin]:[qno]])</f>
        <v>Vietnam_Robusta_Nestle_Selecta_2025_6515</v>
      </c>
      <c r="B1067" s="77" t="s">
        <v>673</v>
      </c>
      <c r="C1067" s="77" t="s">
        <v>674</v>
      </c>
      <c r="D1067" s="77" t="s">
        <v>904</v>
      </c>
      <c r="E1067" s="77">
        <v>2025</v>
      </c>
      <c r="F1067" s="105" t="s">
        <v>318</v>
      </c>
      <c r="G1067" s="109" t="s">
        <v>319</v>
      </c>
      <c r="H1067" s="33" t="str" cm="1">
        <f t="array" ref="H1067">INDEX(stableR[question],MATCH(VALUE(questions[[#This Row],[qno]]),VALUE(stableR[qno]),0))</f>
        <v>Other business, what was the estimated importance?</v>
      </c>
      <c r="I1067" s="33" t="b" cm="1">
        <f t="array" ref="I1067">INDEX(stable[is_fixed],MATCH(VALUE(questions[[#This Row],[qno]]),VALUE(stable[qno]),0))</f>
        <v>1</v>
      </c>
      <c r="J1067" s="33" t="b" cm="1">
        <f t="array" ref="J1067">INDEX(stable[is_localized],MATCH(VALUE(questions[[#This Row],[qno]]),VALUE(stable[qno]),0))</f>
        <v>0</v>
      </c>
      <c r="K1067" s="33" t="b" cm="1">
        <f t="array" ref="K1067">INDEX(stable[is_supply_chain_dependent],MATCH(VALUE(questions[[#This Row],[qno]]),VALUE(stable[qno]),0))</f>
        <v>0</v>
      </c>
      <c r="L1067" s="33" t="b" cm="1">
        <f t="array" ref="L1067">INDEX(stable[is_mandatory],MATCH(VALUE(questions[[#This Row],[qno]]),VALUE(stable[qno]),0))</f>
        <v>0</v>
      </c>
      <c r="M1067" s="33" t="b" cm="1">
        <f t="array" ref="M1067">INDEX(stable[is_automated],MATCH(VALUE(questions[[#This Row],[qno]]),VALUE(stable[qno]),0))</f>
        <v>0</v>
      </c>
      <c r="N1067" s="33" t="b" cm="1">
        <f t="array" ref="N1067">INDEX(stable[is_free_text],MATCH(VALUE(questions[[#This Row],[qno]]),VALUE(stable[qno]),0))</f>
        <v>0</v>
      </c>
      <c r="O1067" s="33" t="b" cm="1">
        <f t="array" ref="O1067">INDEX(stable[is_numerical],MATCH(VALUE(questions[[#This Row],[qno]]),VALUE(stable[qno]),0))</f>
        <v>0</v>
      </c>
      <c r="P1067" s="77" t="b" cm="1">
        <f t="array" ref="P1067">INDEX(stable[is_single_select],MATCH(VALUE(questions[[#This Row],[qno]]),VALUE(stable[qno]),0))</f>
        <v>1</v>
      </c>
      <c r="Q1067" s="77" t="b" cm="1">
        <f t="array" ref="Q1067">INDEX(stable[is_multi_select],MATCH(VALUE(questions[[#This Row],[qno]]),VALUE(stable[qno]),0))</f>
        <v>0</v>
      </c>
      <c r="R1067" s="77" t="b" cm="1">
        <f t="array" ref="R1067">INDEX(stable[is_skip_logic],MATCH(VALUE(questions[[#This Row],[qno]]),VALUE(stable[qno]),0))</f>
        <v>0</v>
      </c>
      <c r="S1067" s="77" t="str">
        <f>_xlfn.TEXTJOIN(", ",TRUE,questions[[#This Row],[ans_opt_1]:[ans_opt_14]])</f>
        <v>All or nearly all - 80-100%, More than half of it  - 60-80%, About half of it - 40-60%, Less than half of it - 20-40%, A small amount - 0-20%</v>
      </c>
      <c r="T1067" s="91" t="s">
        <v>305</v>
      </c>
      <c r="U1067" s="91" t="s">
        <v>306</v>
      </c>
      <c r="V1067" s="91" t="s">
        <v>307</v>
      </c>
      <c r="W1067" s="91" t="s">
        <v>308</v>
      </c>
      <c r="X1067" s="91" t="s">
        <v>309</v>
      </c>
      <c r="Y1067" s="91"/>
      <c r="Z1067" s="91"/>
      <c r="AA1067" s="91"/>
      <c r="AB1067" s="91"/>
      <c r="AC1067" s="91"/>
      <c r="AD1067" s="91"/>
      <c r="AE1067" s="91"/>
      <c r="AF1067" s="91"/>
      <c r="AG1067" s="91"/>
      <c r="AH1067" s="126" t="b">
        <f>INDEX(stable[q_standard],MATCH(questions[[#This Row],[qno]],stable[qno],0))</f>
        <v>0</v>
      </c>
      <c r="AI1067" s="126" t="b">
        <f>INDEX(stable[q_living_income],MATCH(questions[[#This Row],[qno]],stable[qno],0))</f>
        <v>1</v>
      </c>
      <c r="AJ1067" s="126" t="b">
        <f>INDEX(stable[q_carbon],MATCH(questions[[#This Row],[qno]],stable[qno],0))</f>
        <v>0</v>
      </c>
      <c r="AK1067" s="126" t="b">
        <f>INDEX(stable[q_regen_ag],MATCH(questions[[#This Row],[qno]],stable[qno],0))</f>
        <v>0</v>
      </c>
      <c r="AL1067" s="177"/>
      <c r="AM1067" s="177"/>
      <c r="AN1067" s="177"/>
      <c r="AO1067" s="177"/>
      <c r="AP1067" s="98" t="str">
        <f>LEFT(questions[[#This Row],[question]],similarity_range)</f>
        <v>Other business, what</v>
      </c>
      <c r="AQ1067" s="98" t="str">
        <f>LEFT(INDEX(stable[question],MATCH(questions[[#This Row],[qno]],stable[qno],0)),similarity_range)</f>
        <v>Other business, what</v>
      </c>
      <c r="AR1067" s="98" t="b">
        <f>questions[[#This Row],[question_first_characters]]=questions[[#This Row],[stability_first_characters]]</f>
        <v>1</v>
      </c>
      <c r="AS1067" s="98" t="b">
        <f>IF(OR(questions[[#This Row],[is_single_select]],questions[[#This Row],[is_multi_select]]),NOT(ISBLANK(questions[[#This Row],[answer_opt_combined]])),TRUE)</f>
        <v>1</v>
      </c>
    </row>
    <row r="1068" spans="1:45" s="77" customFormat="1" ht="15.75" customHeight="1" x14ac:dyDescent="0.25">
      <c r="A1068" s="77" t="str">
        <f>_xlfn.TEXTJOIN("_",TRUE,questions[[#This Row],[origin]:[qno]])</f>
        <v>Vietnam_Robusta_Nestle_Selecta_2025_6516</v>
      </c>
      <c r="B1068" s="77" t="s">
        <v>673</v>
      </c>
      <c r="C1068" s="77" t="s">
        <v>674</v>
      </c>
      <c r="D1068" s="77" t="s">
        <v>904</v>
      </c>
      <c r="E1068" s="77">
        <v>2025</v>
      </c>
      <c r="F1068" s="105" t="s">
        <v>320</v>
      </c>
      <c r="G1068" s="109" t="s">
        <v>321</v>
      </c>
      <c r="H1068" s="33" t="str" cm="1">
        <f t="array" ref="H1068">INDEX(stableR[question],MATCH(VALUE(questions[[#This Row],[qno]]),VALUE(stableR[qno]),0))</f>
        <v>Salaried job, what was the estimated importance?</v>
      </c>
      <c r="I1068" s="33" t="b" cm="1">
        <f t="array" ref="I1068">INDEX(stable[is_fixed],MATCH(VALUE(questions[[#This Row],[qno]]),VALUE(stable[qno]),0))</f>
        <v>1</v>
      </c>
      <c r="J1068" s="33" t="b" cm="1">
        <f t="array" ref="J1068">INDEX(stable[is_localized],MATCH(VALUE(questions[[#This Row],[qno]]),VALUE(stable[qno]),0))</f>
        <v>0</v>
      </c>
      <c r="K1068" s="33" t="b" cm="1">
        <f t="array" ref="K1068">INDEX(stable[is_supply_chain_dependent],MATCH(VALUE(questions[[#This Row],[qno]]),VALUE(stable[qno]),0))</f>
        <v>0</v>
      </c>
      <c r="L1068" s="33" t="b" cm="1">
        <f t="array" ref="L1068">INDEX(stable[is_mandatory],MATCH(VALUE(questions[[#This Row],[qno]]),VALUE(stable[qno]),0))</f>
        <v>0</v>
      </c>
      <c r="M1068" s="33" t="b" cm="1">
        <f t="array" ref="M1068">INDEX(stable[is_automated],MATCH(VALUE(questions[[#This Row],[qno]]),VALUE(stable[qno]),0))</f>
        <v>0</v>
      </c>
      <c r="N1068" s="33" t="b" cm="1">
        <f t="array" ref="N1068">INDEX(stable[is_free_text],MATCH(VALUE(questions[[#This Row],[qno]]),VALUE(stable[qno]),0))</f>
        <v>0</v>
      </c>
      <c r="O1068" s="33" t="b" cm="1">
        <f t="array" ref="O1068">INDEX(stable[is_numerical],MATCH(VALUE(questions[[#This Row],[qno]]),VALUE(stable[qno]),0))</f>
        <v>0</v>
      </c>
      <c r="P1068" s="77" t="b" cm="1">
        <f t="array" ref="P1068">INDEX(stable[is_single_select],MATCH(VALUE(questions[[#This Row],[qno]]),VALUE(stable[qno]),0))</f>
        <v>1</v>
      </c>
      <c r="Q1068" s="77" t="b" cm="1">
        <f t="array" ref="Q1068">INDEX(stable[is_multi_select],MATCH(VALUE(questions[[#This Row],[qno]]),VALUE(stable[qno]),0))</f>
        <v>0</v>
      </c>
      <c r="R1068" s="77" t="b" cm="1">
        <f t="array" ref="R1068">INDEX(stable[is_skip_logic],MATCH(VALUE(questions[[#This Row],[qno]]),VALUE(stable[qno]),0))</f>
        <v>0</v>
      </c>
      <c r="S1068" s="77" t="str">
        <f>_xlfn.TEXTJOIN(", ",TRUE,questions[[#This Row],[ans_opt_1]:[ans_opt_14]])</f>
        <v>All or nearly all - 80-100%, More than half of it  - 60-80%, About half of it - 40-60%, Less than half of it - 20-40%, A small amount - 0-20%</v>
      </c>
      <c r="T1068" s="91" t="s">
        <v>305</v>
      </c>
      <c r="U1068" s="91" t="s">
        <v>306</v>
      </c>
      <c r="V1068" s="91" t="s">
        <v>307</v>
      </c>
      <c r="W1068" s="91" t="s">
        <v>308</v>
      </c>
      <c r="X1068" s="91" t="s">
        <v>309</v>
      </c>
      <c r="Y1068" s="91"/>
      <c r="Z1068" s="91"/>
      <c r="AA1068" s="91"/>
      <c r="AB1068" s="91"/>
      <c r="AC1068" s="91"/>
      <c r="AD1068" s="91"/>
      <c r="AE1068" s="91"/>
      <c r="AF1068" s="91"/>
      <c r="AG1068" s="91"/>
      <c r="AH1068" s="126" t="b">
        <f>INDEX(stable[q_standard],MATCH(questions[[#This Row],[qno]],stable[qno],0))</f>
        <v>0</v>
      </c>
      <c r="AI1068" s="126" t="b">
        <f>INDEX(stable[q_living_income],MATCH(questions[[#This Row],[qno]],stable[qno],0))</f>
        <v>1</v>
      </c>
      <c r="AJ1068" s="126" t="b">
        <f>INDEX(stable[q_carbon],MATCH(questions[[#This Row],[qno]],stable[qno],0))</f>
        <v>0</v>
      </c>
      <c r="AK1068" s="126" t="b">
        <f>INDEX(stable[q_regen_ag],MATCH(questions[[#This Row],[qno]],stable[qno],0))</f>
        <v>0</v>
      </c>
      <c r="AL1068" s="177"/>
      <c r="AM1068" s="177"/>
      <c r="AN1068" s="177"/>
      <c r="AO1068" s="177"/>
      <c r="AP1068" s="98" t="str">
        <f>LEFT(questions[[#This Row],[question]],similarity_range)</f>
        <v>Salaried job, what w</v>
      </c>
      <c r="AQ1068" s="98" t="str">
        <f>LEFT(INDEX(stable[question],MATCH(questions[[#This Row],[qno]],stable[qno],0)),similarity_range)</f>
        <v>Salaried job, what w</v>
      </c>
      <c r="AR1068" s="98" t="b">
        <f>questions[[#This Row],[question_first_characters]]=questions[[#This Row],[stability_first_characters]]</f>
        <v>1</v>
      </c>
      <c r="AS1068" s="98" t="b">
        <f>IF(OR(questions[[#This Row],[is_single_select]],questions[[#This Row],[is_multi_select]]),NOT(ISBLANK(questions[[#This Row],[answer_opt_combined]])),TRUE)</f>
        <v>1</v>
      </c>
    </row>
    <row r="1069" spans="1:45" s="77" customFormat="1" ht="15.75" customHeight="1" x14ac:dyDescent="0.25">
      <c r="A1069" s="77" t="str">
        <f>_xlfn.TEXTJOIN("_",TRUE,questions[[#This Row],[origin]:[qno]])</f>
        <v>Vietnam_Robusta_Nestle_Selecta_2025_6517</v>
      </c>
      <c r="B1069" s="77" t="s">
        <v>673</v>
      </c>
      <c r="C1069" s="77" t="s">
        <v>674</v>
      </c>
      <c r="D1069" s="77" t="s">
        <v>904</v>
      </c>
      <c r="E1069" s="77">
        <v>2025</v>
      </c>
      <c r="F1069" s="105" t="s">
        <v>322</v>
      </c>
      <c r="G1069" s="109" t="s">
        <v>323</v>
      </c>
      <c r="H1069" s="33" t="str" cm="1">
        <f t="array" ref="H1069">INDEX(stableR[question],MATCH(VALUE(questions[[#This Row],[qno]]),VALUE(stableR[qno]),0))</f>
        <v>Pension, what was the estimated importance?</v>
      </c>
      <c r="I1069" s="33" t="b" cm="1">
        <f t="array" ref="I1069">INDEX(stable[is_fixed],MATCH(VALUE(questions[[#This Row],[qno]]),VALUE(stable[qno]),0))</f>
        <v>1</v>
      </c>
      <c r="J1069" s="33" t="b" cm="1">
        <f t="array" ref="J1069">INDEX(stable[is_localized],MATCH(VALUE(questions[[#This Row],[qno]]),VALUE(stable[qno]),0))</f>
        <v>0</v>
      </c>
      <c r="K1069" s="33" t="b" cm="1">
        <f t="array" ref="K1069">INDEX(stable[is_supply_chain_dependent],MATCH(VALUE(questions[[#This Row],[qno]]),VALUE(stable[qno]),0))</f>
        <v>0</v>
      </c>
      <c r="L1069" s="33" t="b" cm="1">
        <f t="array" ref="L1069">INDEX(stable[is_mandatory],MATCH(VALUE(questions[[#This Row],[qno]]),VALUE(stable[qno]),0))</f>
        <v>0</v>
      </c>
      <c r="M1069" s="33" t="b" cm="1">
        <f t="array" ref="M1069">INDEX(stable[is_automated],MATCH(VALUE(questions[[#This Row],[qno]]),VALUE(stable[qno]),0))</f>
        <v>0</v>
      </c>
      <c r="N1069" s="33" t="b" cm="1">
        <f t="array" ref="N1069">INDEX(stable[is_free_text],MATCH(VALUE(questions[[#This Row],[qno]]),VALUE(stable[qno]),0))</f>
        <v>0</v>
      </c>
      <c r="O1069" s="33" t="b" cm="1">
        <f t="array" ref="O1069">INDEX(stable[is_numerical],MATCH(VALUE(questions[[#This Row],[qno]]),VALUE(stable[qno]),0))</f>
        <v>0</v>
      </c>
      <c r="P1069" s="77" t="b" cm="1">
        <f t="array" ref="P1069">INDEX(stable[is_single_select],MATCH(VALUE(questions[[#This Row],[qno]]),VALUE(stable[qno]),0))</f>
        <v>1</v>
      </c>
      <c r="Q1069" s="77" t="b" cm="1">
        <f t="array" ref="Q1069">INDEX(stable[is_multi_select],MATCH(VALUE(questions[[#This Row],[qno]]),VALUE(stable[qno]),0))</f>
        <v>0</v>
      </c>
      <c r="R1069" s="77" t="b" cm="1">
        <f t="array" ref="R1069">INDEX(stable[is_skip_logic],MATCH(VALUE(questions[[#This Row],[qno]]),VALUE(stable[qno]),0))</f>
        <v>0</v>
      </c>
      <c r="S1069" s="77" t="str">
        <f>_xlfn.TEXTJOIN(", ",TRUE,questions[[#This Row],[ans_opt_1]:[ans_opt_14]])</f>
        <v>All or nearly all - 80-100%, More than half of it  - 60-80%, About half of it - 40-60%, Less than half of it - 20-40%, A small amount - 0-20%</v>
      </c>
      <c r="T1069" s="91" t="s">
        <v>305</v>
      </c>
      <c r="U1069" s="91" t="s">
        <v>306</v>
      </c>
      <c r="V1069" s="91" t="s">
        <v>307</v>
      </c>
      <c r="W1069" s="91" t="s">
        <v>308</v>
      </c>
      <c r="X1069" s="91" t="s">
        <v>309</v>
      </c>
      <c r="Y1069" s="91"/>
      <c r="Z1069" s="91"/>
      <c r="AA1069" s="91"/>
      <c r="AB1069" s="91"/>
      <c r="AC1069" s="91"/>
      <c r="AD1069" s="91"/>
      <c r="AE1069" s="91"/>
      <c r="AF1069" s="91"/>
      <c r="AG1069" s="91"/>
      <c r="AH1069" s="126" t="b">
        <f>INDEX(stable[q_standard],MATCH(questions[[#This Row],[qno]],stable[qno],0))</f>
        <v>0</v>
      </c>
      <c r="AI1069" s="126" t="b">
        <f>INDEX(stable[q_living_income],MATCH(questions[[#This Row],[qno]],stable[qno],0))</f>
        <v>1</v>
      </c>
      <c r="AJ1069" s="126" t="b">
        <f>INDEX(stable[q_carbon],MATCH(questions[[#This Row],[qno]],stable[qno],0))</f>
        <v>0</v>
      </c>
      <c r="AK1069" s="126" t="b">
        <f>INDEX(stable[q_regen_ag],MATCH(questions[[#This Row],[qno]],stable[qno],0))</f>
        <v>0</v>
      </c>
      <c r="AL1069" s="177"/>
      <c r="AM1069" s="177"/>
      <c r="AN1069" s="177"/>
      <c r="AO1069" s="177"/>
      <c r="AP1069" s="98" t="str">
        <f>LEFT(questions[[#This Row],[question]],similarity_range)</f>
        <v>Pension, what was th</v>
      </c>
      <c r="AQ1069" s="98" t="str">
        <f>LEFT(INDEX(stable[question],MATCH(questions[[#This Row],[qno]],stable[qno],0)),similarity_range)</f>
        <v>Pension, what was th</v>
      </c>
      <c r="AR1069" s="98" t="b">
        <f>questions[[#This Row],[question_first_characters]]=questions[[#This Row],[stability_first_characters]]</f>
        <v>1</v>
      </c>
      <c r="AS1069" s="98" t="b">
        <f>IF(OR(questions[[#This Row],[is_single_select]],questions[[#This Row],[is_multi_select]]),NOT(ISBLANK(questions[[#This Row],[answer_opt_combined]])),TRUE)</f>
        <v>1</v>
      </c>
    </row>
    <row r="1070" spans="1:45" s="77" customFormat="1" ht="15.75" customHeight="1" x14ac:dyDescent="0.25">
      <c r="A1070" s="77" t="str">
        <f>_xlfn.TEXTJOIN("_",TRUE,questions[[#This Row],[origin]:[qno]])</f>
        <v>Vietnam_Robusta_Nestle_Selecta_2025_6518</v>
      </c>
      <c r="B1070" s="77" t="s">
        <v>673</v>
      </c>
      <c r="C1070" s="77" t="s">
        <v>674</v>
      </c>
      <c r="D1070" s="77" t="s">
        <v>904</v>
      </c>
      <c r="E1070" s="77">
        <v>2025</v>
      </c>
      <c r="F1070" s="105" t="s">
        <v>324</v>
      </c>
      <c r="G1070" s="109" t="s">
        <v>325</v>
      </c>
      <c r="H1070" s="33" t="str" cm="1">
        <f t="array" ref="H1070">INDEX(stableR[question],MATCH(VALUE(questions[[#This Row],[qno]]),VALUE(stableR[qno]),0))</f>
        <v>Remittances, what was the estimated importance?</v>
      </c>
      <c r="I1070" s="33" t="b" cm="1">
        <f t="array" ref="I1070">INDEX(stable[is_fixed],MATCH(VALUE(questions[[#This Row],[qno]]),VALUE(stable[qno]),0))</f>
        <v>1</v>
      </c>
      <c r="J1070" s="33" t="b" cm="1">
        <f t="array" ref="J1070">INDEX(stable[is_localized],MATCH(VALUE(questions[[#This Row],[qno]]),VALUE(stable[qno]),0))</f>
        <v>0</v>
      </c>
      <c r="K1070" s="33" t="b" cm="1">
        <f t="array" ref="K1070">INDEX(stable[is_supply_chain_dependent],MATCH(VALUE(questions[[#This Row],[qno]]),VALUE(stable[qno]),0))</f>
        <v>0</v>
      </c>
      <c r="L1070" s="33" t="b" cm="1">
        <f t="array" ref="L1070">INDEX(stable[is_mandatory],MATCH(VALUE(questions[[#This Row],[qno]]),VALUE(stable[qno]),0))</f>
        <v>0</v>
      </c>
      <c r="M1070" s="33" t="b" cm="1">
        <f t="array" ref="M1070">INDEX(stable[is_automated],MATCH(VALUE(questions[[#This Row],[qno]]),VALUE(stable[qno]),0))</f>
        <v>0</v>
      </c>
      <c r="N1070" s="33" t="b" cm="1">
        <f t="array" ref="N1070">INDEX(stable[is_free_text],MATCH(VALUE(questions[[#This Row],[qno]]),VALUE(stable[qno]),0))</f>
        <v>0</v>
      </c>
      <c r="O1070" s="33" t="b" cm="1">
        <f t="array" ref="O1070">INDEX(stable[is_numerical],MATCH(VALUE(questions[[#This Row],[qno]]),VALUE(stable[qno]),0))</f>
        <v>0</v>
      </c>
      <c r="P1070" s="77" t="b" cm="1">
        <f t="array" ref="P1070">INDEX(stable[is_single_select],MATCH(VALUE(questions[[#This Row],[qno]]),VALUE(stable[qno]),0))</f>
        <v>1</v>
      </c>
      <c r="Q1070" s="77" t="b" cm="1">
        <f t="array" ref="Q1070">INDEX(stable[is_multi_select],MATCH(VALUE(questions[[#This Row],[qno]]),VALUE(stable[qno]),0))</f>
        <v>0</v>
      </c>
      <c r="R1070" s="77" t="b" cm="1">
        <f t="array" ref="R1070">INDEX(stable[is_skip_logic],MATCH(VALUE(questions[[#This Row],[qno]]),VALUE(stable[qno]),0))</f>
        <v>0</v>
      </c>
      <c r="S1070" s="77" t="str">
        <f>_xlfn.TEXTJOIN(", ",TRUE,questions[[#This Row],[ans_opt_1]:[ans_opt_14]])</f>
        <v>All or nearly all - 80-100%, More than half of it  - 60-80%, About half of it - 40-60%, Less than half of it - 20-40%, A small amount - 0-20%</v>
      </c>
      <c r="T1070" s="91" t="s">
        <v>305</v>
      </c>
      <c r="U1070" s="91" t="s">
        <v>306</v>
      </c>
      <c r="V1070" s="91" t="s">
        <v>307</v>
      </c>
      <c r="W1070" s="91" t="s">
        <v>308</v>
      </c>
      <c r="X1070" s="91" t="s">
        <v>309</v>
      </c>
      <c r="Y1070" s="91"/>
      <c r="Z1070" s="91"/>
      <c r="AA1070" s="91"/>
      <c r="AB1070" s="91"/>
      <c r="AC1070" s="91"/>
      <c r="AD1070" s="91"/>
      <c r="AE1070" s="91"/>
      <c r="AF1070" s="91"/>
      <c r="AG1070" s="91"/>
      <c r="AH1070" s="126" t="b">
        <f>INDEX(stable[q_standard],MATCH(questions[[#This Row],[qno]],stable[qno],0))</f>
        <v>0</v>
      </c>
      <c r="AI1070" s="126" t="b">
        <f>INDEX(stable[q_living_income],MATCH(questions[[#This Row],[qno]],stable[qno],0))</f>
        <v>1</v>
      </c>
      <c r="AJ1070" s="126" t="b">
        <f>INDEX(stable[q_carbon],MATCH(questions[[#This Row],[qno]],stable[qno],0))</f>
        <v>0</v>
      </c>
      <c r="AK1070" s="126" t="b">
        <f>INDEX(stable[q_regen_ag],MATCH(questions[[#This Row],[qno]],stable[qno],0))</f>
        <v>0</v>
      </c>
      <c r="AL1070" s="177"/>
      <c r="AM1070" s="177"/>
      <c r="AN1070" s="177"/>
      <c r="AO1070" s="177"/>
      <c r="AP1070" s="98" t="str">
        <f>LEFT(questions[[#This Row],[question]],similarity_range)</f>
        <v>Remittances, what wa</v>
      </c>
      <c r="AQ1070" s="98" t="str">
        <f>LEFT(INDEX(stable[question],MATCH(questions[[#This Row],[qno]],stable[qno],0)),similarity_range)</f>
        <v>Remittances, what wa</v>
      </c>
      <c r="AR1070" s="98" t="b">
        <f>questions[[#This Row],[question_first_characters]]=questions[[#This Row],[stability_first_characters]]</f>
        <v>1</v>
      </c>
      <c r="AS1070" s="98" t="b">
        <f>IF(OR(questions[[#This Row],[is_single_select]],questions[[#This Row],[is_multi_select]]),NOT(ISBLANK(questions[[#This Row],[answer_opt_combined]])),TRUE)</f>
        <v>1</v>
      </c>
    </row>
    <row r="1071" spans="1:45" s="77" customFormat="1" ht="15.75" customHeight="1" x14ac:dyDescent="0.25">
      <c r="A1071" s="77" t="str">
        <f>_xlfn.TEXTJOIN("_",TRUE,questions[[#This Row],[origin]:[qno]])</f>
        <v>Vietnam_Robusta_Nestle_Selecta_2025_7000</v>
      </c>
      <c r="B1071" s="77" t="s">
        <v>673</v>
      </c>
      <c r="C1071" s="77" t="s">
        <v>674</v>
      </c>
      <c r="D1071" s="77" t="s">
        <v>904</v>
      </c>
      <c r="E1071" s="77">
        <v>2025</v>
      </c>
      <c r="F1071" s="105" t="s">
        <v>326</v>
      </c>
      <c r="G1071" s="109" t="s">
        <v>327</v>
      </c>
      <c r="H1071" s="33" t="str" cm="1">
        <f t="array" ref="H1071">INDEX(stableR[question],MATCH(VALUE(questions[[#This Row],[qno]]),VALUE(stableR[qno]),0))</f>
        <v>Have you received any training on Regenartive Agriculture principles and practices in last 1-2 years? For instance on mulching, cover crops, manure or fertiliser application, stumping, integrated pest management, etc.</v>
      </c>
      <c r="I1071" s="33" t="b" cm="1">
        <f t="array" ref="I1071">INDEX(stable[is_fixed],MATCH(VALUE(questions[[#This Row],[qno]]),VALUE(stable[qno]),0))</f>
        <v>1</v>
      </c>
      <c r="J1071" s="33" t="b" cm="1">
        <f t="array" ref="J1071">INDEX(stable[is_localized],MATCH(VALUE(questions[[#This Row],[qno]]),VALUE(stable[qno]),0))</f>
        <v>0</v>
      </c>
      <c r="K1071" s="33" t="b" cm="1">
        <f t="array" ref="K1071">INDEX(stable[is_supply_chain_dependent],MATCH(VALUE(questions[[#This Row],[qno]]),VALUE(stable[qno]),0))</f>
        <v>0</v>
      </c>
      <c r="L1071" s="33" t="b" cm="1">
        <f t="array" ref="L1071">INDEX(stable[is_mandatory],MATCH(VALUE(questions[[#This Row],[qno]]),VALUE(stable[qno]),0))</f>
        <v>1</v>
      </c>
      <c r="M1071" s="33" t="b" cm="1">
        <f t="array" ref="M1071">INDEX(stable[is_automated],MATCH(VALUE(questions[[#This Row],[qno]]),VALUE(stable[qno]),0))</f>
        <v>0</v>
      </c>
      <c r="N1071" s="33" t="b" cm="1">
        <f t="array" ref="N1071">INDEX(stable[is_free_text],MATCH(VALUE(questions[[#This Row],[qno]]),VALUE(stable[qno]),0))</f>
        <v>0</v>
      </c>
      <c r="O1071" s="33" t="b" cm="1">
        <f t="array" ref="O1071">INDEX(stable[is_numerical],MATCH(VALUE(questions[[#This Row],[qno]]),VALUE(stable[qno]),0))</f>
        <v>0</v>
      </c>
      <c r="P1071" s="77" t="b" cm="1">
        <f t="array" ref="P1071">INDEX(stable[is_single_select],MATCH(VALUE(questions[[#This Row],[qno]]),VALUE(stable[qno]),0))</f>
        <v>1</v>
      </c>
      <c r="Q1071" s="77" t="b" cm="1">
        <f t="array" ref="Q1071">INDEX(stable[is_multi_select],MATCH(VALUE(questions[[#This Row],[qno]]),VALUE(stable[qno]),0))</f>
        <v>0</v>
      </c>
      <c r="R1071" s="77" t="b" cm="1">
        <f t="array" ref="R1071">INDEX(stable[is_skip_logic],MATCH(VALUE(questions[[#This Row],[qno]]),VALUE(stable[qno]),0))</f>
        <v>1</v>
      </c>
      <c r="S1071" s="77" t="str">
        <f>_xlfn.TEXTJOIN(", ",TRUE,questions[[#This Row],[ans_opt_1]:[ans_opt_14]])</f>
        <v>Yes, No</v>
      </c>
      <c r="T1071" s="110" t="s">
        <v>149</v>
      </c>
      <c r="U1071" s="110" t="s">
        <v>119</v>
      </c>
      <c r="V1071" s="110"/>
      <c r="W1071" s="110"/>
      <c r="X1071" s="110"/>
      <c r="Y1071" s="110"/>
      <c r="Z1071" s="110"/>
      <c r="AA1071" s="110"/>
      <c r="AB1071" s="110"/>
      <c r="AC1071" s="110"/>
      <c r="AD1071" s="110"/>
      <c r="AE1071" s="91"/>
      <c r="AF1071" s="91"/>
      <c r="AG1071" s="91"/>
      <c r="AH1071" s="126" t="b">
        <f>INDEX(stable[q_standard],MATCH(questions[[#This Row],[qno]],stable[qno],0))</f>
        <v>0</v>
      </c>
      <c r="AI1071" s="126" t="b">
        <f>INDEX(stable[q_living_income],MATCH(questions[[#This Row],[qno]],stable[qno],0))</f>
        <v>0</v>
      </c>
      <c r="AJ1071" s="126" t="b">
        <f>INDEX(stable[q_carbon],MATCH(questions[[#This Row],[qno]],stable[qno],0))</f>
        <v>0</v>
      </c>
      <c r="AK1071" s="126" t="b">
        <f>INDEX(stable[q_regen_ag],MATCH(questions[[#This Row],[qno]],stable[qno],0))</f>
        <v>1</v>
      </c>
      <c r="AL1071" s="178"/>
      <c r="AM1071" s="179"/>
      <c r="AN1071" s="179"/>
      <c r="AO1071" s="179"/>
      <c r="AP1071" s="98" t="str">
        <f>LEFT(questions[[#This Row],[question]],similarity_range)</f>
        <v>Have you received an</v>
      </c>
      <c r="AQ1071" s="98" t="str">
        <f>LEFT(INDEX(stable[question],MATCH(questions[[#This Row],[qno]],stable[qno],0)),similarity_range)</f>
        <v>Have you received an</v>
      </c>
      <c r="AR1071" s="98" t="b">
        <f>questions[[#This Row],[question_first_characters]]=questions[[#This Row],[stability_first_characters]]</f>
        <v>1</v>
      </c>
      <c r="AS1071" s="98" t="b">
        <f>IF(OR(questions[[#This Row],[is_single_select]],questions[[#This Row],[is_multi_select]]),NOT(ISBLANK(questions[[#This Row],[answer_opt_combined]])),TRUE)</f>
        <v>1</v>
      </c>
    </row>
    <row r="1072" spans="1:45" s="77" customFormat="1" ht="15.75" customHeight="1" x14ac:dyDescent="0.25">
      <c r="A1072" s="77" t="str">
        <f>_xlfn.TEXTJOIN("_",TRUE,questions[[#This Row],[origin]:[qno]])</f>
        <v>Vietnam_Robusta_Nestle_Selecta_2025_7001</v>
      </c>
      <c r="B1072" s="77" t="s">
        <v>673</v>
      </c>
      <c r="C1072" s="77" t="s">
        <v>674</v>
      </c>
      <c r="D1072" s="77" t="s">
        <v>904</v>
      </c>
      <c r="E1072" s="77">
        <v>2025</v>
      </c>
      <c r="F1072" s="105" t="s">
        <v>328</v>
      </c>
      <c r="G1072" s="109" t="s">
        <v>329</v>
      </c>
      <c r="H1072" s="33" t="str" cm="1">
        <f t="array" ref="H1072">INDEX(stableR[question],MATCH(VALUE(questions[[#This Row],[qno]]),VALUE(stableR[qno]),0))</f>
        <v>If NO formal training received, are you aware of Regen Ag. and can explain its basics principles and main practices?</v>
      </c>
      <c r="I1072" s="33" t="b" cm="1">
        <f t="array" ref="I1072">INDEX(stable[is_fixed],MATCH(VALUE(questions[[#This Row],[qno]]),VALUE(stable[qno]),0))</f>
        <v>1</v>
      </c>
      <c r="J1072" s="33" t="b" cm="1">
        <f t="array" ref="J1072">INDEX(stable[is_localized],MATCH(VALUE(questions[[#This Row],[qno]]),VALUE(stable[qno]),0))</f>
        <v>0</v>
      </c>
      <c r="K1072" s="33" t="b" cm="1">
        <f t="array" ref="K1072">INDEX(stable[is_supply_chain_dependent],MATCH(VALUE(questions[[#This Row],[qno]]),VALUE(stable[qno]),0))</f>
        <v>0</v>
      </c>
      <c r="L1072" s="33" t="b" cm="1">
        <f t="array" ref="L1072">INDEX(stable[is_mandatory],MATCH(VALUE(questions[[#This Row],[qno]]),VALUE(stable[qno]),0))</f>
        <v>0</v>
      </c>
      <c r="M1072" s="33" t="b" cm="1">
        <f t="array" ref="M1072">INDEX(stable[is_automated],MATCH(VALUE(questions[[#This Row],[qno]]),VALUE(stable[qno]),0))</f>
        <v>0</v>
      </c>
      <c r="N1072" s="33" t="b" cm="1">
        <f t="array" ref="N1072">INDEX(stable[is_free_text],MATCH(VALUE(questions[[#This Row],[qno]]),VALUE(stable[qno]),0))</f>
        <v>0</v>
      </c>
      <c r="O1072" s="33" t="b" cm="1">
        <f t="array" ref="O1072">INDEX(stable[is_numerical],MATCH(VALUE(questions[[#This Row],[qno]]),VALUE(stable[qno]),0))</f>
        <v>0</v>
      </c>
      <c r="P1072" s="77" t="b" cm="1">
        <f t="array" ref="P1072">INDEX(stable[is_single_select],MATCH(VALUE(questions[[#This Row],[qno]]),VALUE(stable[qno]),0))</f>
        <v>1</v>
      </c>
      <c r="Q1072" s="77" t="b" cm="1">
        <f t="array" ref="Q1072">INDEX(stable[is_multi_select],MATCH(VALUE(questions[[#This Row],[qno]]),VALUE(stable[qno]),0))</f>
        <v>0</v>
      </c>
      <c r="R1072" s="77" t="b" cm="1">
        <f t="array" ref="R1072">INDEX(stable[is_skip_logic],MATCH(VALUE(questions[[#This Row],[qno]]),VALUE(stable[qno]),0))</f>
        <v>1</v>
      </c>
      <c r="S1072" s="77" t="str">
        <f>_xlfn.TEXTJOIN(", ",TRUE,questions[[#This Row],[ans_opt_1]:[ans_opt_14]])</f>
        <v>Yes, No</v>
      </c>
      <c r="T1072" s="110" t="s">
        <v>149</v>
      </c>
      <c r="U1072" s="110" t="s">
        <v>119</v>
      </c>
      <c r="V1072" s="110"/>
      <c r="W1072" s="110"/>
      <c r="X1072" s="110"/>
      <c r="Y1072" s="110"/>
      <c r="Z1072" s="110"/>
      <c r="AA1072" s="110"/>
      <c r="AB1072" s="110"/>
      <c r="AC1072" s="110"/>
      <c r="AD1072" s="110"/>
      <c r="AE1072" s="91"/>
      <c r="AF1072" s="91"/>
      <c r="AG1072" s="91"/>
      <c r="AH1072" s="126" t="b">
        <f>INDEX(stable[q_standard],MATCH(questions[[#This Row],[qno]],stable[qno],0))</f>
        <v>0</v>
      </c>
      <c r="AI1072" s="126" t="b">
        <f>INDEX(stable[q_living_income],MATCH(questions[[#This Row],[qno]],stable[qno],0))</f>
        <v>0</v>
      </c>
      <c r="AJ1072" s="126" t="b">
        <f>INDEX(stable[q_carbon],MATCH(questions[[#This Row],[qno]],stable[qno],0))</f>
        <v>0</v>
      </c>
      <c r="AK1072" s="126" t="b">
        <f>INDEX(stable[q_regen_ag],MATCH(questions[[#This Row],[qno]],stable[qno],0))</f>
        <v>1</v>
      </c>
      <c r="AL1072" s="178"/>
      <c r="AM1072" s="179"/>
      <c r="AN1072" s="179"/>
      <c r="AO1072" s="179"/>
      <c r="AP1072" s="98" t="str">
        <f>LEFT(questions[[#This Row],[question]],similarity_range)</f>
        <v>If NO formal trainin</v>
      </c>
      <c r="AQ1072" s="98" t="str">
        <f>LEFT(INDEX(stable[question],MATCH(questions[[#This Row],[qno]],stable[qno],0)),similarity_range)</f>
        <v>If NO formal trainin</v>
      </c>
      <c r="AR1072" s="98" t="b">
        <f>questions[[#This Row],[question_first_characters]]=questions[[#This Row],[stability_first_characters]]</f>
        <v>1</v>
      </c>
      <c r="AS1072" s="98" t="b">
        <f>IF(OR(questions[[#This Row],[is_single_select]],questions[[#This Row],[is_multi_select]]),NOT(ISBLANK(questions[[#This Row],[answer_opt_combined]])),TRUE)</f>
        <v>1</v>
      </c>
    </row>
    <row r="1073" spans="1:45" s="77" customFormat="1" ht="15.75" customHeight="1" x14ac:dyDescent="0.25">
      <c r="A1073" s="77" t="str">
        <f>_xlfn.TEXTJOIN("_",TRUE,questions[[#This Row],[origin]:[qno]])</f>
        <v>Vietnam_Robusta_Nestle_Selecta_2025_7100</v>
      </c>
      <c r="B1073" s="77" t="s">
        <v>673</v>
      </c>
      <c r="C1073" s="77" t="s">
        <v>674</v>
      </c>
      <c r="D1073" s="77" t="s">
        <v>904</v>
      </c>
      <c r="E1073" s="77">
        <v>2025</v>
      </c>
      <c r="F1073" s="105" t="s">
        <v>330</v>
      </c>
      <c r="G1073" s="109" t="s">
        <v>331</v>
      </c>
      <c r="H1073" s="33" t="str" cm="1">
        <f t="array" ref="H1073">INDEX(stableR[question],MATCH(VALUE(questions[[#This Row],[qno]]),VALUE(stableR[qno]),0))</f>
        <v>Do you implement mulching and/or cover crops-plants (e.g. beans, peanuts/groundnuts, brachiaria, desmodium…) in your coffee plots? If the answer is NO, you do not need to answer the next 2 questions</v>
      </c>
      <c r="I1073" s="33" t="b" cm="1">
        <f t="array" ref="I1073">INDEX(stable[is_fixed],MATCH(VALUE(questions[[#This Row],[qno]]),VALUE(stable[qno]),0))</f>
        <v>1</v>
      </c>
      <c r="J1073" s="33" t="b" cm="1">
        <f t="array" ref="J1073">INDEX(stable[is_localized],MATCH(VALUE(questions[[#This Row],[qno]]),VALUE(stable[qno]),0))</f>
        <v>0</v>
      </c>
      <c r="K1073" s="33" t="b" cm="1">
        <f t="array" ref="K1073">INDEX(stable[is_supply_chain_dependent],MATCH(VALUE(questions[[#This Row],[qno]]),VALUE(stable[qno]),0))</f>
        <v>0</v>
      </c>
      <c r="L1073" s="33" t="b" cm="1">
        <f t="array" ref="L1073">INDEX(stable[is_mandatory],MATCH(VALUE(questions[[#This Row],[qno]]),VALUE(stable[qno]),0))</f>
        <v>1</v>
      </c>
      <c r="M1073" s="33" t="b" cm="1">
        <f t="array" ref="M1073">INDEX(stable[is_automated],MATCH(VALUE(questions[[#This Row],[qno]]),VALUE(stable[qno]),0))</f>
        <v>0</v>
      </c>
      <c r="N1073" s="33" t="b" cm="1">
        <f t="array" ref="N1073">INDEX(stable[is_free_text],MATCH(VALUE(questions[[#This Row],[qno]]),VALUE(stable[qno]),0))</f>
        <v>0</v>
      </c>
      <c r="O1073" s="33" t="b" cm="1">
        <f t="array" ref="O1073">INDEX(stable[is_numerical],MATCH(VALUE(questions[[#This Row],[qno]]),VALUE(stable[qno]),0))</f>
        <v>0</v>
      </c>
      <c r="P1073" s="77" t="b" cm="1">
        <f t="array" ref="P1073">INDEX(stable[is_single_select],MATCH(VALUE(questions[[#This Row],[qno]]),VALUE(stable[qno]),0))</f>
        <v>1</v>
      </c>
      <c r="Q1073" s="77" t="b" cm="1">
        <f t="array" ref="Q1073">INDEX(stable[is_multi_select],MATCH(VALUE(questions[[#This Row],[qno]]),VALUE(stable[qno]),0))</f>
        <v>0</v>
      </c>
      <c r="R1073" s="77" t="b" cm="1">
        <f t="array" ref="R1073">INDEX(stable[is_skip_logic],MATCH(VALUE(questions[[#This Row],[qno]]),VALUE(stable[qno]),0))</f>
        <v>1</v>
      </c>
      <c r="S1073" s="77" t="str">
        <f>_xlfn.TEXTJOIN(", ",TRUE,questions[[#This Row],[ans_opt_1]:[ans_opt_14]])</f>
        <v>No, Yes-Crop residues mulching, Yes-Other mulching, Yes-Cover crops, Yes-Cover crops &amp; Mulching</v>
      </c>
      <c r="T1073" s="110" t="s">
        <v>119</v>
      </c>
      <c r="U1073" s="110" t="s">
        <v>332</v>
      </c>
      <c r="V1073" s="110" t="s">
        <v>333</v>
      </c>
      <c r="W1073" s="110" t="s">
        <v>334</v>
      </c>
      <c r="X1073" s="110" t="s">
        <v>335</v>
      </c>
      <c r="Y1073" s="110"/>
      <c r="Z1073" s="110"/>
      <c r="AA1073" s="110"/>
      <c r="AB1073" s="110"/>
      <c r="AC1073" s="110"/>
      <c r="AD1073" s="110"/>
      <c r="AE1073" s="91"/>
      <c r="AF1073" s="91"/>
      <c r="AG1073" s="91"/>
      <c r="AH1073" s="126" t="b">
        <f>INDEX(stable[q_standard],MATCH(questions[[#This Row],[qno]],stable[qno],0))</f>
        <v>0</v>
      </c>
      <c r="AI1073" s="126" t="b">
        <f>INDEX(stable[q_living_income],MATCH(questions[[#This Row],[qno]],stable[qno],0))</f>
        <v>0</v>
      </c>
      <c r="AJ1073" s="126" t="b">
        <f>INDEX(stable[q_carbon],MATCH(questions[[#This Row],[qno]],stable[qno],0))</f>
        <v>0</v>
      </c>
      <c r="AK1073" s="126" t="b">
        <f>INDEX(stable[q_regen_ag],MATCH(questions[[#This Row],[qno]],stable[qno],0))</f>
        <v>1</v>
      </c>
      <c r="AL1073" s="180"/>
      <c r="AM1073" s="179"/>
      <c r="AN1073" s="179"/>
      <c r="AO1073" s="179"/>
      <c r="AP1073" s="98" t="str">
        <f>LEFT(questions[[#This Row],[question]],similarity_range)</f>
        <v>Do you implement mul</v>
      </c>
      <c r="AQ1073" s="98" t="str">
        <f>LEFT(INDEX(stable[question],MATCH(questions[[#This Row],[qno]],stable[qno],0)),similarity_range)</f>
        <v>Do you implement mul</v>
      </c>
      <c r="AR1073" s="98" t="b">
        <f>questions[[#This Row],[question_first_characters]]=questions[[#This Row],[stability_first_characters]]</f>
        <v>1</v>
      </c>
      <c r="AS1073" s="98" t="b">
        <f>IF(OR(questions[[#This Row],[is_single_select]],questions[[#This Row],[is_multi_select]]),NOT(ISBLANK(questions[[#This Row],[answer_opt_combined]])),TRUE)</f>
        <v>1</v>
      </c>
    </row>
    <row r="1074" spans="1:45" s="77" customFormat="1" ht="15.75" customHeight="1" x14ac:dyDescent="0.25">
      <c r="A1074" s="77" t="str">
        <f>_xlfn.TEXTJOIN("_",TRUE,questions[[#This Row],[origin]:[qno]])</f>
        <v>Vietnam_Robusta_Nestle_Selecta_2025_7101</v>
      </c>
      <c r="B1074" s="77" t="s">
        <v>673</v>
      </c>
      <c r="C1074" s="77" t="s">
        <v>674</v>
      </c>
      <c r="D1074" s="77" t="s">
        <v>904</v>
      </c>
      <c r="E1074" s="77">
        <v>2025</v>
      </c>
      <c r="F1074" s="105" t="s">
        <v>336</v>
      </c>
      <c r="G1074" s="109" t="s">
        <v>337</v>
      </c>
      <c r="H1074" s="33" t="str" cm="1">
        <f t="array" ref="H1074">INDEX(stableR[question],MATCH(VALUE(questions[[#This Row],[qno]]),VALUE(stableR[qno]),0))</f>
        <v>If so, what is the % or proportion of your coffee plots using mulching and/or cover crops?</v>
      </c>
      <c r="I1074" s="33" t="b" cm="1">
        <f t="array" ref="I1074">INDEX(stable[is_fixed],MATCH(VALUE(questions[[#This Row],[qno]]),VALUE(stable[qno]),0))</f>
        <v>1</v>
      </c>
      <c r="J1074" s="33" t="b" cm="1">
        <f t="array" ref="J1074">INDEX(stable[is_localized],MATCH(VALUE(questions[[#This Row],[qno]]),VALUE(stable[qno]),0))</f>
        <v>0</v>
      </c>
      <c r="K1074" s="33" t="b" cm="1">
        <f t="array" ref="K1074">INDEX(stable[is_supply_chain_dependent],MATCH(VALUE(questions[[#This Row],[qno]]),VALUE(stable[qno]),0))</f>
        <v>0</v>
      </c>
      <c r="L1074" s="33" t="b" cm="1">
        <f t="array" ref="L1074">INDEX(stable[is_mandatory],MATCH(VALUE(questions[[#This Row],[qno]]),VALUE(stable[qno]),0))</f>
        <v>0</v>
      </c>
      <c r="M1074" s="33" t="b" cm="1">
        <f t="array" ref="M1074">INDEX(stable[is_automated],MATCH(VALUE(questions[[#This Row],[qno]]),VALUE(stable[qno]),0))</f>
        <v>0</v>
      </c>
      <c r="N1074" s="33" t="b" cm="1">
        <f t="array" ref="N1074">INDEX(stable[is_free_text],MATCH(VALUE(questions[[#This Row],[qno]]),VALUE(stable[qno]),0))</f>
        <v>0</v>
      </c>
      <c r="O1074" s="33" t="b" cm="1">
        <f t="array" ref="O1074">INDEX(stable[is_numerical],MATCH(VALUE(questions[[#This Row],[qno]]),VALUE(stable[qno]),0))</f>
        <v>0</v>
      </c>
      <c r="P1074" s="77" t="b" cm="1">
        <f t="array" ref="P1074">INDEX(stable[is_single_select],MATCH(VALUE(questions[[#This Row],[qno]]),VALUE(stable[qno]),0))</f>
        <v>1</v>
      </c>
      <c r="Q1074" s="77" t="b" cm="1">
        <f t="array" ref="Q1074">INDEX(stable[is_multi_select],MATCH(VALUE(questions[[#This Row],[qno]]),VALUE(stable[qno]),0))</f>
        <v>0</v>
      </c>
      <c r="R1074" s="77" t="b" cm="1">
        <f t="array" ref="R1074">INDEX(stable[is_skip_logic],MATCH(VALUE(questions[[#This Row],[qno]]),VALUE(stable[qno]),0))</f>
        <v>1</v>
      </c>
      <c r="S1074" s="77" t="str">
        <f>_xlfn.TEXTJOIN(", ",TRUE,questions[[#This Row],[ans_opt_1]:[ans_opt_14]])</f>
        <v>1% to 25% - little to a quarter, 26% to 50% - less than half, 51% to 75% - more than half, 76% to 100% - almost all</v>
      </c>
      <c r="T1074" s="122" t="s">
        <v>338</v>
      </c>
      <c r="U1074" s="110" t="s">
        <v>339</v>
      </c>
      <c r="V1074" s="110" t="s">
        <v>340</v>
      </c>
      <c r="W1074" s="110" t="s">
        <v>341</v>
      </c>
      <c r="X1074" s="110"/>
      <c r="Y1074" s="110"/>
      <c r="Z1074" s="110"/>
      <c r="AA1074" s="110"/>
      <c r="AB1074" s="110"/>
      <c r="AC1074" s="110"/>
      <c r="AD1074" s="110"/>
      <c r="AE1074" s="91"/>
      <c r="AF1074" s="91"/>
      <c r="AG1074" s="91"/>
      <c r="AH1074" s="126" t="b">
        <f>INDEX(stable[q_standard],MATCH(questions[[#This Row],[qno]],stable[qno],0))</f>
        <v>0</v>
      </c>
      <c r="AI1074" s="126" t="b">
        <f>INDEX(stable[q_living_income],MATCH(questions[[#This Row],[qno]],stable[qno],0))</f>
        <v>0</v>
      </c>
      <c r="AJ1074" s="126" t="b">
        <f>INDEX(stable[q_carbon],MATCH(questions[[#This Row],[qno]],stable[qno],0))</f>
        <v>0</v>
      </c>
      <c r="AK1074" s="126" t="b">
        <f>INDEX(stable[q_regen_ag],MATCH(questions[[#This Row],[qno]],stable[qno],0))</f>
        <v>1</v>
      </c>
      <c r="AL1074" s="180"/>
      <c r="AM1074" s="179"/>
      <c r="AN1074" s="179"/>
      <c r="AO1074" s="179"/>
      <c r="AP1074" s="98" t="str">
        <f>LEFT(questions[[#This Row],[question]],similarity_range)</f>
        <v>If so, what is the %</v>
      </c>
      <c r="AQ1074" s="98" t="str">
        <f>LEFT(INDEX(stable[question],MATCH(questions[[#This Row],[qno]],stable[qno],0)),similarity_range)</f>
        <v>If so, what is the %</v>
      </c>
      <c r="AR1074" s="98" t="b">
        <f>questions[[#This Row],[question_first_characters]]=questions[[#This Row],[stability_first_characters]]</f>
        <v>1</v>
      </c>
      <c r="AS1074" s="98" t="b">
        <f>IF(OR(questions[[#This Row],[is_single_select]],questions[[#This Row],[is_multi_select]]),NOT(ISBLANK(questions[[#This Row],[answer_opt_combined]])),TRUE)</f>
        <v>1</v>
      </c>
    </row>
    <row r="1075" spans="1:45" s="77" customFormat="1" ht="15.75" customHeight="1" x14ac:dyDescent="0.25">
      <c r="A1075" s="77" t="str">
        <f>_xlfn.TEXTJOIN("_",TRUE,questions[[#This Row],[origin]:[qno]])</f>
        <v>Vietnam_Robusta_Nestle_Selecta_2025_7102</v>
      </c>
      <c r="B1075" s="77" t="s">
        <v>673</v>
      </c>
      <c r="C1075" s="77" t="s">
        <v>674</v>
      </c>
      <c r="D1075" s="77" t="s">
        <v>904</v>
      </c>
      <c r="E1075" s="77">
        <v>2025</v>
      </c>
      <c r="F1075" s="105" t="s">
        <v>342</v>
      </c>
      <c r="G1075" s="109" t="s">
        <v>343</v>
      </c>
      <c r="H1075" s="33" t="str" cm="1">
        <f t="array" ref="H1075">INDEX(stableR[question],MATCH(VALUE(questions[[#This Row],[qno]]),VALUE(stableR[qno]),0))</f>
        <v>And for how many months per year?</v>
      </c>
      <c r="I1075" s="33" t="b" cm="1">
        <f t="array" ref="I1075">INDEX(stable[is_fixed],MATCH(VALUE(questions[[#This Row],[qno]]),VALUE(stable[qno]),0))</f>
        <v>1</v>
      </c>
      <c r="J1075" s="33" t="b" cm="1">
        <f t="array" ref="J1075">INDEX(stable[is_localized],MATCH(VALUE(questions[[#This Row],[qno]]),VALUE(stable[qno]),0))</f>
        <v>0</v>
      </c>
      <c r="K1075" s="33" t="b" cm="1">
        <f t="array" ref="K1075">INDEX(stable[is_supply_chain_dependent],MATCH(VALUE(questions[[#This Row],[qno]]),VALUE(stable[qno]),0))</f>
        <v>0</v>
      </c>
      <c r="L1075" s="33" t="b" cm="1">
        <f t="array" ref="L1075">INDEX(stable[is_mandatory],MATCH(VALUE(questions[[#This Row],[qno]]),VALUE(stable[qno]),0))</f>
        <v>0</v>
      </c>
      <c r="M1075" s="33" t="b" cm="1">
        <f t="array" ref="M1075">INDEX(stable[is_automated],MATCH(VALUE(questions[[#This Row],[qno]]),VALUE(stable[qno]),0))</f>
        <v>0</v>
      </c>
      <c r="N1075" s="33" t="b" cm="1">
        <f t="array" ref="N1075">INDEX(stable[is_free_text],MATCH(VALUE(questions[[#This Row],[qno]]),VALUE(stable[qno]),0))</f>
        <v>0</v>
      </c>
      <c r="O1075" s="33" t="b" cm="1">
        <f t="array" ref="O1075">INDEX(stable[is_numerical],MATCH(VALUE(questions[[#This Row],[qno]]),VALUE(stable[qno]),0))</f>
        <v>0</v>
      </c>
      <c r="P1075" s="77" t="b" cm="1">
        <f t="array" ref="P1075">INDEX(stable[is_single_select],MATCH(VALUE(questions[[#This Row],[qno]]),VALUE(stable[qno]),0))</f>
        <v>1</v>
      </c>
      <c r="Q1075" s="77" t="b" cm="1">
        <f t="array" ref="Q1075">INDEX(stable[is_multi_select],MATCH(VALUE(questions[[#This Row],[qno]]),VALUE(stable[qno]),0))</f>
        <v>0</v>
      </c>
      <c r="R1075" s="77" t="b" cm="1">
        <f t="array" ref="R1075">INDEX(stable[is_skip_logic],MATCH(VALUE(questions[[#This Row],[qno]]),VALUE(stable[qno]),0))</f>
        <v>1</v>
      </c>
      <c r="S1075" s="77" t="str">
        <f>_xlfn.TEXTJOIN(", ",TRUE,questions[[#This Row],[ans_opt_1]:[ans_opt_14]])</f>
        <v>&lt;6 months, 6-8 months, &gt;8 months</v>
      </c>
      <c r="T1075" s="110" t="s">
        <v>344</v>
      </c>
      <c r="U1075" s="110" t="s">
        <v>345</v>
      </c>
      <c r="V1075" s="110" t="s">
        <v>346</v>
      </c>
      <c r="W1075" s="110"/>
      <c r="X1075" s="110"/>
      <c r="Y1075" s="110"/>
      <c r="Z1075" s="110"/>
      <c r="AA1075" s="110"/>
      <c r="AB1075" s="110"/>
      <c r="AC1075" s="110"/>
      <c r="AD1075" s="110"/>
      <c r="AE1075" s="91"/>
      <c r="AF1075" s="91"/>
      <c r="AG1075" s="91"/>
      <c r="AH1075" s="126" t="b">
        <f>INDEX(stable[q_standard],MATCH(questions[[#This Row],[qno]],stable[qno],0))</f>
        <v>0</v>
      </c>
      <c r="AI1075" s="126" t="b">
        <f>INDEX(stable[q_living_income],MATCH(questions[[#This Row],[qno]],stable[qno],0))</f>
        <v>0</v>
      </c>
      <c r="AJ1075" s="126" t="b">
        <f>INDEX(stable[q_carbon],MATCH(questions[[#This Row],[qno]],stable[qno],0))</f>
        <v>0</v>
      </c>
      <c r="AK1075" s="126" t="b">
        <f>INDEX(stable[q_regen_ag],MATCH(questions[[#This Row],[qno]],stable[qno],0))</f>
        <v>1</v>
      </c>
      <c r="AL1075" s="180"/>
      <c r="AM1075" s="179"/>
      <c r="AN1075" s="179"/>
      <c r="AO1075" s="179"/>
      <c r="AP1075" s="98" t="str">
        <f>LEFT(questions[[#This Row],[question]],similarity_range)</f>
        <v>And for how many mon</v>
      </c>
      <c r="AQ1075" s="98" t="str">
        <f>LEFT(INDEX(stable[question],MATCH(questions[[#This Row],[qno]],stable[qno],0)),similarity_range)</f>
        <v>And for how many mon</v>
      </c>
      <c r="AR1075" s="98" t="b">
        <f>questions[[#This Row],[question_first_characters]]=questions[[#This Row],[stability_first_characters]]</f>
        <v>1</v>
      </c>
      <c r="AS1075" s="98" t="b">
        <f>IF(OR(questions[[#This Row],[is_single_select]],questions[[#This Row],[is_multi_select]]),NOT(ISBLANK(questions[[#This Row],[answer_opt_combined]])),TRUE)</f>
        <v>1</v>
      </c>
    </row>
    <row r="1076" spans="1:45" s="77" customFormat="1" ht="15.75" customHeight="1" x14ac:dyDescent="0.25">
      <c r="A1076" s="77" t="str">
        <f>_xlfn.TEXTJOIN("_",TRUE,questions[[#This Row],[origin]:[qno]])</f>
        <v>Vietnam_Robusta_Nestle_Selecta_2025_7113</v>
      </c>
      <c r="B1076" s="77" t="s">
        <v>673</v>
      </c>
      <c r="C1076" s="77" t="s">
        <v>674</v>
      </c>
      <c r="D1076" s="77" t="s">
        <v>904</v>
      </c>
      <c r="E1076" s="77">
        <v>2025</v>
      </c>
      <c r="F1076" s="105" t="s">
        <v>347</v>
      </c>
      <c r="G1076" s="109" t="s">
        <v>348</v>
      </c>
      <c r="H1076" s="33" t="str" cm="1">
        <f t="array" ref="H1076">INDEX(stableR[question],MATCH(VALUE(questions[[#This Row],[qno]]),VALUE(stableR[qno]),0))</f>
        <v>Does any area of your coffee plots have significative risk of water and/or wind erosion due to heavy rain or irrigation, terrain slope, strong winds during dry periods…? If the answer is NO, you do not need to answer the next 2 questions</v>
      </c>
      <c r="I1076" s="33" t="b" cm="1">
        <f t="array" ref="I1076">INDEX(stable[is_fixed],MATCH(VALUE(questions[[#This Row],[qno]]),VALUE(stable[qno]),0))</f>
        <v>1</v>
      </c>
      <c r="J1076" s="33" t="b" cm="1">
        <f t="array" ref="J1076">INDEX(stable[is_localized],MATCH(VALUE(questions[[#This Row],[qno]]),VALUE(stable[qno]),0))</f>
        <v>0</v>
      </c>
      <c r="K1076" s="33" t="b" cm="1">
        <f t="array" ref="K1076">INDEX(stable[is_supply_chain_dependent],MATCH(VALUE(questions[[#This Row],[qno]]),VALUE(stable[qno]),0))</f>
        <v>0</v>
      </c>
      <c r="L1076" s="33" t="b" cm="1">
        <f t="array" ref="L1076">INDEX(stable[is_mandatory],MATCH(VALUE(questions[[#This Row],[qno]]),VALUE(stable[qno]),0))</f>
        <v>1</v>
      </c>
      <c r="M1076" s="33" t="b" cm="1">
        <f t="array" ref="M1076">INDEX(stable[is_automated],MATCH(VALUE(questions[[#This Row],[qno]]),VALUE(stable[qno]),0))</f>
        <v>0</v>
      </c>
      <c r="N1076" s="33" t="b" cm="1">
        <f t="array" ref="N1076">INDEX(stable[is_free_text],MATCH(VALUE(questions[[#This Row],[qno]]),VALUE(stable[qno]),0))</f>
        <v>0</v>
      </c>
      <c r="O1076" s="33" t="b" cm="1">
        <f t="array" ref="O1076">INDEX(stable[is_numerical],MATCH(VALUE(questions[[#This Row],[qno]]),VALUE(stable[qno]),0))</f>
        <v>0</v>
      </c>
      <c r="P1076" s="77" t="b" cm="1">
        <f t="array" ref="P1076">INDEX(stable[is_single_select],MATCH(VALUE(questions[[#This Row],[qno]]),VALUE(stable[qno]),0))</f>
        <v>1</v>
      </c>
      <c r="Q1076" s="77" t="b" cm="1">
        <f t="array" ref="Q1076">INDEX(stable[is_multi_select],MATCH(VALUE(questions[[#This Row],[qno]]),VALUE(stable[qno]),0))</f>
        <v>0</v>
      </c>
      <c r="R1076" s="77" t="b" cm="1">
        <f t="array" ref="R1076">INDEX(stable[is_skip_logic],MATCH(VALUE(questions[[#This Row],[qno]]),VALUE(stable[qno]),0))</f>
        <v>1</v>
      </c>
      <c r="S1076" s="77" t="str">
        <f>_xlfn.TEXTJOIN(", ",TRUE,questions[[#This Row],[ans_opt_1]:[ans_opt_14]])</f>
        <v>Yes, No</v>
      </c>
      <c r="T1076" s="110" t="s">
        <v>149</v>
      </c>
      <c r="U1076" s="110" t="s">
        <v>119</v>
      </c>
      <c r="V1076" s="110"/>
      <c r="W1076" s="110"/>
      <c r="X1076" s="110"/>
      <c r="Y1076" s="110"/>
      <c r="Z1076" s="110"/>
      <c r="AA1076" s="110"/>
      <c r="AB1076" s="110"/>
      <c r="AC1076" s="110"/>
      <c r="AD1076" s="110"/>
      <c r="AE1076" s="91"/>
      <c r="AF1076" s="91"/>
      <c r="AG1076" s="91"/>
      <c r="AH1076" s="126" t="b">
        <f>INDEX(stable[q_standard],MATCH(questions[[#This Row],[qno]],stable[qno],0))</f>
        <v>0</v>
      </c>
      <c r="AI1076" s="126" t="b">
        <f>INDEX(stable[q_living_income],MATCH(questions[[#This Row],[qno]],stable[qno],0))</f>
        <v>0</v>
      </c>
      <c r="AJ1076" s="126" t="b">
        <f>INDEX(stable[q_carbon],MATCH(questions[[#This Row],[qno]],stable[qno],0))</f>
        <v>0</v>
      </c>
      <c r="AK1076" s="126" t="b">
        <f>INDEX(stable[q_regen_ag],MATCH(questions[[#This Row],[qno]],stable[qno],0))</f>
        <v>1</v>
      </c>
      <c r="AL1076" s="127"/>
      <c r="AM1076" s="179"/>
      <c r="AN1076" s="179"/>
      <c r="AO1076" s="179"/>
      <c r="AP1076" s="98" t="str">
        <f>LEFT(questions[[#This Row],[question]],similarity_range)</f>
        <v>Does any area of you</v>
      </c>
      <c r="AQ1076" s="98" t="str">
        <f>LEFT(INDEX(stable[question],MATCH(questions[[#This Row],[qno]],stable[qno],0)),similarity_range)</f>
        <v>Does any area of you</v>
      </c>
      <c r="AR1076" s="98" t="b">
        <f>questions[[#This Row],[question_first_characters]]=questions[[#This Row],[stability_first_characters]]</f>
        <v>1</v>
      </c>
      <c r="AS1076" s="98" t="b">
        <f>IF(OR(questions[[#This Row],[is_single_select]],questions[[#This Row],[is_multi_select]]),NOT(ISBLANK(questions[[#This Row],[answer_opt_combined]])),TRUE)</f>
        <v>1</v>
      </c>
    </row>
    <row r="1077" spans="1:45" s="77" customFormat="1" ht="15.75" customHeight="1" x14ac:dyDescent="0.25">
      <c r="A1077" s="77" t="str">
        <f>_xlfn.TEXTJOIN("_",TRUE,questions[[#This Row],[origin]:[qno]])</f>
        <v>Vietnam_Robusta_Nestle_Selecta_2025_7114</v>
      </c>
      <c r="B1077" s="77" t="s">
        <v>673</v>
      </c>
      <c r="C1077" s="77" t="s">
        <v>674</v>
      </c>
      <c r="D1077" s="77" t="s">
        <v>904</v>
      </c>
      <c r="E1077" s="77">
        <v>2025</v>
      </c>
      <c r="F1077" s="105" t="s">
        <v>349</v>
      </c>
      <c r="G1077" s="109" t="s">
        <v>350</v>
      </c>
      <c r="H1077" s="33" t="str" cm="1">
        <f t="array" ref="H1077">INDEX(stableR[question],MATCH(VALUE(questions[[#This Row],[qno]]),VALUE(stableR[qno]),0))</f>
        <v xml:space="preserve">If there is erosion risk, do you implement anti-erosion measures/control (e.g. trenches, terracing, windbreaks, soil coverage/mulching, bunds, contour planting…)? </v>
      </c>
      <c r="I1077" s="33" t="b" cm="1">
        <f t="array" ref="I1077">INDEX(stable[is_fixed],MATCH(VALUE(questions[[#This Row],[qno]]),VALUE(stable[qno]),0))</f>
        <v>1</v>
      </c>
      <c r="J1077" s="33" t="b" cm="1">
        <f t="array" ref="J1077">INDEX(stable[is_localized],MATCH(VALUE(questions[[#This Row],[qno]]),VALUE(stable[qno]),0))</f>
        <v>0</v>
      </c>
      <c r="K1077" s="33" t="b" cm="1">
        <f t="array" ref="K1077">INDEX(stable[is_supply_chain_dependent],MATCH(VALUE(questions[[#This Row],[qno]]),VALUE(stable[qno]),0))</f>
        <v>0</v>
      </c>
      <c r="L1077" s="33" t="b" cm="1">
        <f t="array" ref="L1077">INDEX(stable[is_mandatory],MATCH(VALUE(questions[[#This Row],[qno]]),VALUE(stable[qno]),0))</f>
        <v>0</v>
      </c>
      <c r="M1077" s="33" t="b" cm="1">
        <f t="array" ref="M1077">INDEX(stable[is_automated],MATCH(VALUE(questions[[#This Row],[qno]]),VALUE(stable[qno]),0))</f>
        <v>0</v>
      </c>
      <c r="N1077" s="33" t="b" cm="1">
        <f t="array" ref="N1077">INDEX(stable[is_free_text],MATCH(VALUE(questions[[#This Row],[qno]]),VALUE(stable[qno]),0))</f>
        <v>0</v>
      </c>
      <c r="O1077" s="33" t="b" cm="1">
        <f t="array" ref="O1077">INDEX(stable[is_numerical],MATCH(VALUE(questions[[#This Row],[qno]]),VALUE(stable[qno]),0))</f>
        <v>0</v>
      </c>
      <c r="P1077" s="77" t="b" cm="1">
        <f t="array" ref="P1077">INDEX(stable[is_single_select],MATCH(VALUE(questions[[#This Row],[qno]]),VALUE(stable[qno]),0))</f>
        <v>1</v>
      </c>
      <c r="Q1077" s="77" t="b" cm="1">
        <f t="array" ref="Q1077">INDEX(stable[is_multi_select],MATCH(VALUE(questions[[#This Row],[qno]]),VALUE(stable[qno]),0))</f>
        <v>0</v>
      </c>
      <c r="R1077" s="77" t="b" cm="1">
        <f t="array" ref="R1077">INDEX(stable[is_skip_logic],MATCH(VALUE(questions[[#This Row],[qno]]),VALUE(stable[qno]),0))</f>
        <v>1</v>
      </c>
      <c r="S1077" s="77" t="str">
        <f>_xlfn.TEXTJOIN(", ",TRUE,questions[[#This Row],[ans_opt_1]:[ans_opt_14]])</f>
        <v>No, Yes-Terracing, Yes-Trenches, Yes-Windbreaks, Yes-Mulching, Yes-Cover Crops, Yes-Water dykes, Yes-Contour Planting, Yes-A combination of previous practices, Yes-Other practices</v>
      </c>
      <c r="T1077" s="77" t="s">
        <v>119</v>
      </c>
      <c r="U1077" s="77" t="s">
        <v>351</v>
      </c>
      <c r="V1077" s="77" t="s">
        <v>352</v>
      </c>
      <c r="W1077" s="77" t="s">
        <v>353</v>
      </c>
      <c r="X1077" s="77" t="s">
        <v>354</v>
      </c>
      <c r="Y1077" s="77" t="s">
        <v>355</v>
      </c>
      <c r="Z1077" s="77" t="s">
        <v>356</v>
      </c>
      <c r="AA1077" s="77" t="s">
        <v>357</v>
      </c>
      <c r="AB1077" s="77" t="s">
        <v>358</v>
      </c>
      <c r="AC1077" s="77" t="s">
        <v>359</v>
      </c>
      <c r="AD1077" s="110"/>
      <c r="AE1077" s="91"/>
      <c r="AF1077" s="91"/>
      <c r="AG1077" s="91"/>
      <c r="AH1077" s="126" t="b">
        <f>INDEX(stable[q_standard],MATCH(questions[[#This Row],[qno]],stable[qno],0))</f>
        <v>0</v>
      </c>
      <c r="AI1077" s="126" t="b">
        <f>INDEX(stable[q_living_income],MATCH(questions[[#This Row],[qno]],stable[qno],0))</f>
        <v>0</v>
      </c>
      <c r="AJ1077" s="126" t="b">
        <f>INDEX(stable[q_carbon],MATCH(questions[[#This Row],[qno]],stable[qno],0))</f>
        <v>0</v>
      </c>
      <c r="AK1077" s="126" t="b">
        <f>INDEX(stable[q_regen_ag],MATCH(questions[[#This Row],[qno]],stable[qno],0))</f>
        <v>1</v>
      </c>
      <c r="AL1077" s="127"/>
      <c r="AM1077" s="179"/>
      <c r="AN1077" s="179"/>
      <c r="AO1077" s="179"/>
      <c r="AP1077" s="98" t="str">
        <f>LEFT(questions[[#This Row],[question]],similarity_range)</f>
        <v xml:space="preserve">If there is erosion </v>
      </c>
      <c r="AQ1077" s="98" t="str">
        <f>LEFT(INDEX(stable[question],MATCH(questions[[#This Row],[qno]],stable[qno],0)),similarity_range)</f>
        <v xml:space="preserve">If there is erosion </v>
      </c>
      <c r="AR1077" s="98" t="b">
        <f>questions[[#This Row],[question_first_characters]]=questions[[#This Row],[stability_first_characters]]</f>
        <v>1</v>
      </c>
      <c r="AS1077" s="98" t="b">
        <f>IF(OR(questions[[#This Row],[is_single_select]],questions[[#This Row],[is_multi_select]]),NOT(ISBLANK(questions[[#This Row],[answer_opt_combined]])),TRUE)</f>
        <v>1</v>
      </c>
    </row>
    <row r="1078" spans="1:45" s="77" customFormat="1" ht="15.75" customHeight="1" x14ac:dyDescent="0.25">
      <c r="A1078" s="77" t="str">
        <f>_xlfn.TEXTJOIN("_",TRUE,questions[[#This Row],[origin]:[qno]])</f>
        <v>Vietnam_Robusta_Nestle_Selecta_2025_7115</v>
      </c>
      <c r="B1078" s="77" t="s">
        <v>673</v>
      </c>
      <c r="C1078" s="77" t="s">
        <v>674</v>
      </c>
      <c r="D1078" s="77" t="s">
        <v>904</v>
      </c>
      <c r="E1078" s="77">
        <v>2025</v>
      </c>
      <c r="F1078" s="105" t="s">
        <v>360</v>
      </c>
      <c r="G1078" s="109" t="s">
        <v>361</v>
      </c>
      <c r="H1078" s="33" t="str" cm="1">
        <f t="array" ref="H1078">INDEX(stableR[question],MATCH(VALUE(questions[[#This Row],[qno]]),VALUE(stableR[qno]),0))</f>
        <v>Of the area of your coffee plots with risk of erosion, can you estimate the % or proportion of that area to which you apply anti-erosion measures/control?</v>
      </c>
      <c r="I1078" s="33" t="b" cm="1">
        <f t="array" ref="I1078">INDEX(stable[is_fixed],MATCH(VALUE(questions[[#This Row],[qno]]),VALUE(stable[qno]),0))</f>
        <v>1</v>
      </c>
      <c r="J1078" s="33" t="b" cm="1">
        <f t="array" ref="J1078">INDEX(stable[is_localized],MATCH(VALUE(questions[[#This Row],[qno]]),VALUE(stable[qno]),0))</f>
        <v>0</v>
      </c>
      <c r="K1078" s="33" t="b" cm="1">
        <f t="array" ref="K1078">INDEX(stable[is_supply_chain_dependent],MATCH(VALUE(questions[[#This Row],[qno]]),VALUE(stable[qno]),0))</f>
        <v>0</v>
      </c>
      <c r="L1078" s="33" t="b" cm="1">
        <f t="array" ref="L1078">INDEX(stable[is_mandatory],MATCH(VALUE(questions[[#This Row],[qno]]),VALUE(stable[qno]),0))</f>
        <v>0</v>
      </c>
      <c r="M1078" s="33" t="b" cm="1">
        <f t="array" ref="M1078">INDEX(stable[is_automated],MATCH(VALUE(questions[[#This Row],[qno]]),VALUE(stable[qno]),0))</f>
        <v>0</v>
      </c>
      <c r="N1078" s="33" t="b" cm="1">
        <f t="array" ref="N1078">INDEX(stable[is_free_text],MATCH(VALUE(questions[[#This Row],[qno]]),VALUE(stable[qno]),0))</f>
        <v>0</v>
      </c>
      <c r="O1078" s="33" t="b" cm="1">
        <f t="array" ref="O1078">INDEX(stable[is_numerical],MATCH(VALUE(questions[[#This Row],[qno]]),VALUE(stable[qno]),0))</f>
        <v>0</v>
      </c>
      <c r="P1078" s="77" t="b" cm="1">
        <f t="array" ref="P1078">INDEX(stable[is_single_select],MATCH(VALUE(questions[[#This Row],[qno]]),VALUE(stable[qno]),0))</f>
        <v>1</v>
      </c>
      <c r="Q1078" s="77" t="b" cm="1">
        <f t="array" ref="Q1078">INDEX(stable[is_multi_select],MATCH(VALUE(questions[[#This Row],[qno]]),VALUE(stable[qno]),0))</f>
        <v>0</v>
      </c>
      <c r="R1078" s="77" t="b" cm="1">
        <f t="array" ref="R1078">INDEX(stable[is_skip_logic],MATCH(VALUE(questions[[#This Row],[qno]]),VALUE(stable[qno]),0))</f>
        <v>1</v>
      </c>
      <c r="S1078" s="77" t="str">
        <f>_xlfn.TEXTJOIN(", ",TRUE,questions[[#This Row],[ans_opt_1]:[ans_opt_14]])</f>
        <v>0% - none, 1% to 25% - little to a quarter, 26% to 50% - less than half, 51% to 75% - more than half, 76% to 100% - almost all</v>
      </c>
      <c r="T1078" s="129" t="s">
        <v>362</v>
      </c>
      <c r="U1078" s="130" t="s">
        <v>338</v>
      </c>
      <c r="V1078" s="91" t="s">
        <v>339</v>
      </c>
      <c r="W1078" s="91" t="s">
        <v>340</v>
      </c>
      <c r="X1078" s="91" t="s">
        <v>341</v>
      </c>
      <c r="Y1078" s="110"/>
      <c r="Z1078" s="110"/>
      <c r="AA1078" s="110"/>
      <c r="AB1078" s="110"/>
      <c r="AC1078" s="110"/>
      <c r="AD1078" s="110"/>
      <c r="AE1078" s="91"/>
      <c r="AF1078" s="91"/>
      <c r="AG1078" s="91"/>
      <c r="AH1078" s="126" t="b">
        <f>INDEX(stable[q_standard],MATCH(questions[[#This Row],[qno]],stable[qno],0))</f>
        <v>0</v>
      </c>
      <c r="AI1078" s="126" t="b">
        <f>INDEX(stable[q_living_income],MATCH(questions[[#This Row],[qno]],stable[qno],0))</f>
        <v>0</v>
      </c>
      <c r="AJ1078" s="126" t="b">
        <f>INDEX(stable[q_carbon],MATCH(questions[[#This Row],[qno]],stable[qno],0))</f>
        <v>0</v>
      </c>
      <c r="AK1078" s="126" t="b">
        <f>INDEX(stable[q_regen_ag],MATCH(questions[[#This Row],[qno]],stable[qno],0))</f>
        <v>1</v>
      </c>
      <c r="AL1078" s="127"/>
      <c r="AM1078" s="179"/>
      <c r="AN1078" s="179"/>
      <c r="AO1078" s="179"/>
      <c r="AP1078" s="98" t="str">
        <f>LEFT(questions[[#This Row],[question]],similarity_range)</f>
        <v xml:space="preserve">Of the area of your </v>
      </c>
      <c r="AQ1078" s="98" t="str">
        <f>LEFT(INDEX(stable[question],MATCH(questions[[#This Row],[qno]],stable[qno],0)),similarity_range)</f>
        <v xml:space="preserve">Of the area of your </v>
      </c>
      <c r="AR1078" s="98" t="b">
        <f>questions[[#This Row],[question_first_characters]]=questions[[#This Row],[stability_first_characters]]</f>
        <v>1</v>
      </c>
      <c r="AS1078" s="98" t="b">
        <f>IF(OR(questions[[#This Row],[is_single_select]],questions[[#This Row],[is_multi_select]]),NOT(ISBLANK(questions[[#This Row],[answer_opt_combined]])),TRUE)</f>
        <v>1</v>
      </c>
    </row>
    <row r="1079" spans="1:45" s="77" customFormat="1" ht="15.75" customHeight="1" x14ac:dyDescent="0.25">
      <c r="A1079" s="77" t="str">
        <f>_xlfn.TEXTJOIN("_",TRUE,questions[[#This Row],[origin]:[qno]])</f>
        <v>Vietnam_Robusta_Nestle_Selecta_2025_7126</v>
      </c>
      <c r="B1079" s="77" t="s">
        <v>673</v>
      </c>
      <c r="C1079" s="77" t="s">
        <v>674</v>
      </c>
      <c r="D1079" s="77" t="s">
        <v>904</v>
      </c>
      <c r="E1079" s="77">
        <v>2025</v>
      </c>
      <c r="F1079" s="105" t="s">
        <v>363</v>
      </c>
      <c r="G1079" s="109" t="s">
        <v>364</v>
      </c>
      <c r="H1079" s="33" t="str" cm="1">
        <f t="array" ref="H1079">INDEX(stableR[question],MATCH(VALUE(questions[[#This Row],[qno]]),VALUE(stableR[qno]),0))</f>
        <v>Do you take soil samples and carry out soil analysis of your coffee plots and how often?</v>
      </c>
      <c r="I1079" s="33" t="b" cm="1">
        <f t="array" ref="I1079">INDEX(stable[is_fixed],MATCH(VALUE(questions[[#This Row],[qno]]),VALUE(stable[qno]),0))</f>
        <v>1</v>
      </c>
      <c r="J1079" s="33" t="b" cm="1">
        <f t="array" ref="J1079">INDEX(stable[is_localized],MATCH(VALUE(questions[[#This Row],[qno]]),VALUE(stable[qno]),0))</f>
        <v>0</v>
      </c>
      <c r="K1079" s="33" t="b" cm="1">
        <f t="array" ref="K1079">INDEX(stable[is_supply_chain_dependent],MATCH(VALUE(questions[[#This Row],[qno]]),VALUE(stable[qno]),0))</f>
        <v>0</v>
      </c>
      <c r="L1079" s="33" t="b" cm="1">
        <f t="array" ref="L1079">INDEX(stable[is_mandatory],MATCH(VALUE(questions[[#This Row],[qno]]),VALUE(stable[qno]),0))</f>
        <v>1</v>
      </c>
      <c r="M1079" s="33" t="b" cm="1">
        <f t="array" ref="M1079">INDEX(stable[is_automated],MATCH(VALUE(questions[[#This Row],[qno]]),VALUE(stable[qno]),0))</f>
        <v>0</v>
      </c>
      <c r="N1079" s="33" t="b" cm="1">
        <f t="array" ref="N1079">INDEX(stable[is_free_text],MATCH(VALUE(questions[[#This Row],[qno]]),VALUE(stable[qno]),0))</f>
        <v>0</v>
      </c>
      <c r="O1079" s="33" t="b" cm="1">
        <f t="array" ref="O1079">INDEX(stable[is_numerical],MATCH(VALUE(questions[[#This Row],[qno]]),VALUE(stable[qno]),0))</f>
        <v>0</v>
      </c>
      <c r="P1079" s="77" t="b" cm="1">
        <f t="array" ref="P1079">INDEX(stable[is_single_select],MATCH(VALUE(questions[[#This Row],[qno]]),VALUE(stable[qno]),0))</f>
        <v>1</v>
      </c>
      <c r="Q1079" s="77" t="b" cm="1">
        <f t="array" ref="Q1079">INDEX(stable[is_multi_select],MATCH(VALUE(questions[[#This Row],[qno]]),VALUE(stable[qno]),0))</f>
        <v>0</v>
      </c>
      <c r="R1079" s="77" t="b" cm="1">
        <f t="array" ref="R1079">INDEX(stable[is_skip_logic],MATCH(VALUE(questions[[#This Row],[qno]]),VALUE(stable[qno]),0))</f>
        <v>1</v>
      </c>
      <c r="S1079" s="77" t="str">
        <f>_xlfn.TEXTJOIN(", ",TRUE,questions[[#This Row],[ans_opt_1]:[ans_opt_14]])</f>
        <v>No, Yes-every year, Yes-every 2 years, Yes-every 3 years, Yes-every &gt; 3 years</v>
      </c>
      <c r="T1079" s="91" t="s">
        <v>119</v>
      </c>
      <c r="U1079" s="91" t="s">
        <v>365</v>
      </c>
      <c r="V1079" s="91" t="s">
        <v>366</v>
      </c>
      <c r="W1079" s="91" t="s">
        <v>367</v>
      </c>
      <c r="X1079" s="91" t="s">
        <v>368</v>
      </c>
      <c r="Y1079" s="110"/>
      <c r="Z1079" s="110"/>
      <c r="AA1079" s="110"/>
      <c r="AB1079" s="110"/>
      <c r="AC1079" s="110"/>
      <c r="AD1079" s="110"/>
      <c r="AE1079" s="91"/>
      <c r="AF1079" s="91"/>
      <c r="AG1079" s="91"/>
      <c r="AH1079" s="126" t="b">
        <f>INDEX(stable[q_standard],MATCH(questions[[#This Row],[qno]],stable[qno],0))</f>
        <v>0</v>
      </c>
      <c r="AI1079" s="126" t="b">
        <f>INDEX(stable[q_living_income],MATCH(questions[[#This Row],[qno]],stable[qno],0))</f>
        <v>0</v>
      </c>
      <c r="AJ1079" s="126" t="b">
        <f>INDEX(stable[q_carbon],MATCH(questions[[#This Row],[qno]],stable[qno],0))</f>
        <v>0</v>
      </c>
      <c r="AK1079" s="126" t="b">
        <f>INDEX(stable[q_regen_ag],MATCH(questions[[#This Row],[qno]],stable[qno],0))</f>
        <v>1</v>
      </c>
      <c r="AL1079" s="181"/>
      <c r="AM1079" s="179"/>
      <c r="AN1079" s="179"/>
      <c r="AO1079" s="179"/>
      <c r="AP1079" s="98" t="str">
        <f>LEFT(questions[[#This Row],[question]],similarity_range)</f>
        <v>Do you take soil sam</v>
      </c>
      <c r="AQ1079" s="98" t="str">
        <f>LEFT(INDEX(stable[question],MATCH(questions[[#This Row],[qno]],stable[qno],0)),similarity_range)</f>
        <v>Do you take soil sam</v>
      </c>
      <c r="AR1079" s="98" t="b">
        <f>questions[[#This Row],[question_first_characters]]=questions[[#This Row],[stability_first_characters]]</f>
        <v>1</v>
      </c>
      <c r="AS1079" s="98" t="b">
        <f>IF(OR(questions[[#This Row],[is_single_select]],questions[[#This Row],[is_multi_select]]),NOT(ISBLANK(questions[[#This Row],[answer_opt_combined]])),TRUE)</f>
        <v>1</v>
      </c>
    </row>
    <row r="1080" spans="1:45" s="77" customFormat="1" ht="15.75" customHeight="1" x14ac:dyDescent="0.25">
      <c r="A1080" s="77" t="str">
        <f>_xlfn.TEXTJOIN("_",TRUE,questions[[#This Row],[origin]:[qno]])</f>
        <v>Vietnam_Robusta_Nestle_Selecta_2025_7127</v>
      </c>
      <c r="B1080" s="77" t="s">
        <v>673</v>
      </c>
      <c r="C1080" s="77" t="s">
        <v>674</v>
      </c>
      <c r="D1080" s="77" t="s">
        <v>904</v>
      </c>
      <c r="E1080" s="77">
        <v>2025</v>
      </c>
      <c r="F1080" s="105" t="s">
        <v>369</v>
      </c>
      <c r="G1080" s="109" t="s">
        <v>370</v>
      </c>
      <c r="H1080" s="33" t="str" cm="1">
        <f t="array" ref="H1080">INDEX(stableR[question],MATCH(VALUE(questions[[#This Row],[qno]]),VALUE(stableR[qno]),0))</f>
        <v>If you don´t or last analysis is older than 3 years ago, do you know the basic characteristics of the soil of your coffee plots (e.g. pH-acidity, texture-light/medium/heavy, organic matter-high/good/poor, general fertility-good/average/poor...)?</v>
      </c>
      <c r="I1080" s="33" t="b" cm="1">
        <f t="array" ref="I1080">INDEX(stable[is_fixed],MATCH(VALUE(questions[[#This Row],[qno]]),VALUE(stable[qno]),0))</f>
        <v>1</v>
      </c>
      <c r="J1080" s="33" t="b" cm="1">
        <f t="array" ref="J1080">INDEX(stable[is_localized],MATCH(VALUE(questions[[#This Row],[qno]]),VALUE(stable[qno]),0))</f>
        <v>0</v>
      </c>
      <c r="K1080" s="33" t="b" cm="1">
        <f t="array" ref="K1080">INDEX(stable[is_supply_chain_dependent],MATCH(VALUE(questions[[#This Row],[qno]]),VALUE(stable[qno]),0))</f>
        <v>0</v>
      </c>
      <c r="L1080" s="33" t="b" cm="1">
        <f t="array" ref="L1080">INDEX(stable[is_mandatory],MATCH(VALUE(questions[[#This Row],[qno]]),VALUE(stable[qno]),0))</f>
        <v>0</v>
      </c>
      <c r="M1080" s="33" t="b" cm="1">
        <f t="array" ref="M1080">INDEX(stable[is_automated],MATCH(VALUE(questions[[#This Row],[qno]]),VALUE(stable[qno]),0))</f>
        <v>0</v>
      </c>
      <c r="N1080" s="33" t="b" cm="1">
        <f t="array" ref="N1080">INDEX(stable[is_free_text],MATCH(VALUE(questions[[#This Row],[qno]]),VALUE(stable[qno]),0))</f>
        <v>0</v>
      </c>
      <c r="O1080" s="33" t="b" cm="1">
        <f t="array" ref="O1080">INDEX(stable[is_numerical],MATCH(VALUE(questions[[#This Row],[qno]]),VALUE(stable[qno]),0))</f>
        <v>0</v>
      </c>
      <c r="P1080" s="77" t="b" cm="1">
        <f t="array" ref="P1080">INDEX(stable[is_single_select],MATCH(VALUE(questions[[#This Row],[qno]]),VALUE(stable[qno]),0))</f>
        <v>1</v>
      </c>
      <c r="Q1080" s="77" t="b" cm="1">
        <f t="array" ref="Q1080">INDEX(stable[is_multi_select],MATCH(VALUE(questions[[#This Row],[qno]]),VALUE(stable[qno]),0))</f>
        <v>0</v>
      </c>
      <c r="R1080" s="77" t="b" cm="1">
        <f t="array" ref="R1080">INDEX(stable[is_skip_logic],MATCH(VALUE(questions[[#This Row],[qno]]),VALUE(stable[qno]),0))</f>
        <v>1</v>
      </c>
      <c r="S1080" s="77" t="str">
        <f>_xlfn.TEXTJOIN(", ",TRUE,questions[[#This Row],[ans_opt_1]:[ans_opt_14]])</f>
        <v>Yes, No</v>
      </c>
      <c r="T1080" s="110" t="s">
        <v>149</v>
      </c>
      <c r="U1080" s="110" t="s">
        <v>119</v>
      </c>
      <c r="V1080" s="110"/>
      <c r="W1080" s="110"/>
      <c r="X1080" s="110"/>
      <c r="Y1080" s="110"/>
      <c r="Z1080" s="110"/>
      <c r="AA1080" s="110"/>
      <c r="AB1080" s="110"/>
      <c r="AC1080" s="110"/>
      <c r="AD1080" s="110"/>
      <c r="AE1080" s="91"/>
      <c r="AF1080" s="91"/>
      <c r="AG1080" s="91"/>
      <c r="AH1080" s="126" t="b">
        <f>INDEX(stable[q_standard],MATCH(questions[[#This Row],[qno]],stable[qno],0))</f>
        <v>0</v>
      </c>
      <c r="AI1080" s="126" t="b">
        <f>INDEX(stable[q_living_income],MATCH(questions[[#This Row],[qno]],stable[qno],0))</f>
        <v>0</v>
      </c>
      <c r="AJ1080" s="126" t="b">
        <f>INDEX(stable[q_carbon],MATCH(questions[[#This Row],[qno]],stable[qno],0))</f>
        <v>0</v>
      </c>
      <c r="AK1080" s="126" t="b">
        <f>INDEX(stable[q_regen_ag],MATCH(questions[[#This Row],[qno]],stable[qno],0))</f>
        <v>1</v>
      </c>
      <c r="AL1080" s="181"/>
      <c r="AM1080" s="179"/>
      <c r="AN1080" s="179"/>
      <c r="AO1080" s="179"/>
      <c r="AP1080" s="98" t="str">
        <f>LEFT(questions[[#This Row],[question]],similarity_range)</f>
        <v>If you don´t or last</v>
      </c>
      <c r="AQ1080" s="98" t="str">
        <f>LEFT(INDEX(stable[question],MATCH(questions[[#This Row],[qno]],stable[qno],0)),similarity_range)</f>
        <v>If you don´t or last</v>
      </c>
      <c r="AR1080" s="98" t="b">
        <f>questions[[#This Row],[question_first_characters]]=questions[[#This Row],[stability_first_characters]]</f>
        <v>1</v>
      </c>
      <c r="AS1080" s="98" t="b">
        <f>IF(OR(questions[[#This Row],[is_single_select]],questions[[#This Row],[is_multi_select]]),NOT(ISBLANK(questions[[#This Row],[answer_opt_combined]])),TRUE)</f>
        <v>1</v>
      </c>
    </row>
    <row r="1081" spans="1:45" s="77" customFormat="1" ht="15.75" customHeight="1" x14ac:dyDescent="0.25">
      <c r="A1081" s="77" t="str">
        <f>_xlfn.TEXTJOIN("_",TRUE,questions[[#This Row],[origin]:[qno]])</f>
        <v>Vietnam_Robusta_Nestle_Selecta_2025_7128</v>
      </c>
      <c r="B1081" s="77" t="s">
        <v>673</v>
      </c>
      <c r="C1081" s="77" t="s">
        <v>674</v>
      </c>
      <c r="D1081" s="77" t="s">
        <v>904</v>
      </c>
      <c r="E1081" s="77">
        <v>2025</v>
      </c>
      <c r="F1081" s="105" t="s">
        <v>371</v>
      </c>
      <c r="G1081" s="109" t="s">
        <v>372</v>
      </c>
      <c r="H1081" s="33" t="str" cm="1">
        <f t="array" ref="H1081">INDEX(stableR[question],MATCH(VALUE(questions[[#This Row],[qno]]),VALUE(stableR[qno]),0))</f>
        <v>What is the most common system to determine the amount and/or the type of organic and synthetic fertilizers that you use in your coffee crop?</v>
      </c>
      <c r="I1081" s="33" t="b" cm="1">
        <f t="array" ref="I1081">INDEX(stable[is_fixed],MATCH(VALUE(questions[[#This Row],[qno]]),VALUE(stable[qno]),0))</f>
        <v>1</v>
      </c>
      <c r="J1081" s="33" t="b" cm="1">
        <f t="array" ref="J1081">INDEX(stable[is_localized],MATCH(VALUE(questions[[#This Row],[qno]]),VALUE(stable[qno]),0))</f>
        <v>0</v>
      </c>
      <c r="K1081" s="33" t="b" cm="1">
        <f t="array" ref="K1081">INDEX(stable[is_supply_chain_dependent],MATCH(VALUE(questions[[#This Row],[qno]]),VALUE(stable[qno]),0))</f>
        <v>0</v>
      </c>
      <c r="L1081" s="33" t="b" cm="1">
        <f t="array" ref="L1081">INDEX(stable[is_mandatory],MATCH(VALUE(questions[[#This Row],[qno]]),VALUE(stable[qno]),0))</f>
        <v>1</v>
      </c>
      <c r="M1081" s="33" t="b" cm="1">
        <f t="array" ref="M1081">INDEX(stable[is_automated],MATCH(VALUE(questions[[#This Row],[qno]]),VALUE(stable[qno]),0))</f>
        <v>0</v>
      </c>
      <c r="N1081" s="33" t="b" cm="1">
        <f t="array" ref="N1081">INDEX(stable[is_free_text],MATCH(VALUE(questions[[#This Row],[qno]]),VALUE(stable[qno]),0))</f>
        <v>0</v>
      </c>
      <c r="O1081" s="33" t="b" cm="1">
        <f t="array" ref="O1081">INDEX(stable[is_numerical],MATCH(VALUE(questions[[#This Row],[qno]]),VALUE(stable[qno]),0))</f>
        <v>0</v>
      </c>
      <c r="P1081" s="77" t="b" cm="1">
        <f t="array" ref="P1081">INDEX(stable[is_single_select],MATCH(VALUE(questions[[#This Row],[qno]]),VALUE(stable[qno]),0))</f>
        <v>1</v>
      </c>
      <c r="Q1081" s="77" t="b" cm="1">
        <f t="array" ref="Q1081">INDEX(stable[is_multi_select],MATCH(VALUE(questions[[#This Row],[qno]]),VALUE(stable[qno]),0))</f>
        <v>0</v>
      </c>
      <c r="R1081" s="77" t="b" cm="1">
        <f t="array" ref="R1081">INDEX(stable[is_skip_logic],MATCH(VALUE(questions[[#This Row],[qno]]),VALUE(stable[qno]),0))</f>
        <v>0</v>
      </c>
      <c r="S1081" s="77" t="str">
        <f>_xlfn.TEXTJOIN(", ",TRUE,questions[[#This Row],[ans_opt_1]:[ans_opt_14]])</f>
        <v>Based on my own judgment-experience, Based on what I can afford, I always use the same fertilization, Based on soil analysis or soil knowledge, Based on soil analysis or soil knowledge and the expected yield of the crop, Based on recommendations from experts (agronomists, field officers, extension services...) , Based on recommendations from input suppliers, I don't use organic or synthetic fertilizers, based on other reasons then the above options</v>
      </c>
      <c r="T1081" s="91" t="s">
        <v>373</v>
      </c>
      <c r="U1081" s="91" t="s">
        <v>374</v>
      </c>
      <c r="V1081" s="91" t="s">
        <v>375</v>
      </c>
      <c r="W1081" s="91" t="s">
        <v>376</v>
      </c>
      <c r="X1081" s="91" t="s">
        <v>377</v>
      </c>
      <c r="Y1081" s="91" t="s">
        <v>796</v>
      </c>
      <c r="Z1081" s="91" t="s">
        <v>379</v>
      </c>
      <c r="AA1081" s="110" t="s">
        <v>380</v>
      </c>
      <c r="AB1081" s="110"/>
      <c r="AC1081" s="110"/>
      <c r="AD1081" s="110"/>
      <c r="AE1081" s="91"/>
      <c r="AF1081" s="91"/>
      <c r="AG1081" s="91"/>
      <c r="AH1081" s="126" t="b">
        <f>INDEX(stable[q_standard],MATCH(questions[[#This Row],[qno]],stable[qno],0))</f>
        <v>0</v>
      </c>
      <c r="AI1081" s="126" t="b">
        <f>INDEX(stable[q_living_income],MATCH(questions[[#This Row],[qno]],stable[qno],0))</f>
        <v>0</v>
      </c>
      <c r="AJ1081" s="126" t="b">
        <f>INDEX(stable[q_carbon],MATCH(questions[[#This Row],[qno]],stable[qno],0))</f>
        <v>0</v>
      </c>
      <c r="AK1081" s="126" t="b">
        <f>INDEX(stable[q_regen_ag],MATCH(questions[[#This Row],[qno]],stable[qno],0))</f>
        <v>1</v>
      </c>
      <c r="AL1081" s="180"/>
      <c r="AM1081" s="179"/>
      <c r="AN1081" s="179"/>
      <c r="AO1081" s="179"/>
      <c r="AP1081" s="98" t="str">
        <f>LEFT(questions[[#This Row],[question]],similarity_range)</f>
        <v>What is the most com</v>
      </c>
      <c r="AQ1081" s="98" t="str">
        <f>LEFT(INDEX(stable[question],MATCH(questions[[#This Row],[qno]],stable[qno],0)),similarity_range)</f>
        <v>What is the most com</v>
      </c>
      <c r="AR1081" s="98" t="b">
        <f>questions[[#This Row],[question_first_characters]]=questions[[#This Row],[stability_first_characters]]</f>
        <v>1</v>
      </c>
      <c r="AS1081" s="98" t="b">
        <f>IF(OR(questions[[#This Row],[is_single_select]],questions[[#This Row],[is_multi_select]]),NOT(ISBLANK(questions[[#This Row],[answer_opt_combined]])),TRUE)</f>
        <v>1</v>
      </c>
    </row>
    <row r="1082" spans="1:45" s="77" customFormat="1" ht="15.75" customHeight="1" x14ac:dyDescent="0.25">
      <c r="A1082" s="77" t="str">
        <f>_xlfn.TEXTJOIN("_",TRUE,questions[[#This Row],[origin]:[qno]])</f>
        <v>Vietnam_Robusta_Nestle_Selecta_2025_7131</v>
      </c>
      <c r="B1082" s="77" t="s">
        <v>673</v>
      </c>
      <c r="C1082" s="77" t="s">
        <v>674</v>
      </c>
      <c r="D1082" s="77" t="s">
        <v>904</v>
      </c>
      <c r="E1082" s="77">
        <v>2025</v>
      </c>
      <c r="F1082" s="105" t="s">
        <v>381</v>
      </c>
      <c r="G1082" s="109" t="s">
        <v>382</v>
      </c>
      <c r="H1082" s="33" t="str" cm="1">
        <f t="array" ref="H1082">INDEX(stableR[question],MATCH(VALUE(questions[[#This Row],[qno]]),VALUE(stableR[qno]),0))</f>
        <v>How often do you apply synthetic fertilizer per season in your coffee crop?</v>
      </c>
      <c r="I1082" s="33" t="b" cm="1">
        <f t="array" ref="I1082">INDEX(stable[is_fixed],MATCH(VALUE(questions[[#This Row],[qno]]),VALUE(stable[qno]),0))</f>
        <v>1</v>
      </c>
      <c r="J1082" s="33" t="b" cm="1">
        <f t="array" ref="J1082">INDEX(stable[is_localized],MATCH(VALUE(questions[[#This Row],[qno]]),VALUE(stable[qno]),0))</f>
        <v>0</v>
      </c>
      <c r="K1082" s="33" t="b" cm="1">
        <f t="array" ref="K1082">INDEX(stable[is_supply_chain_dependent],MATCH(VALUE(questions[[#This Row],[qno]]),VALUE(stable[qno]),0))</f>
        <v>0</v>
      </c>
      <c r="L1082" s="33" t="b" cm="1">
        <f t="array" ref="L1082">INDEX(stable[is_mandatory],MATCH(VALUE(questions[[#This Row],[qno]]),VALUE(stable[qno]),0))</f>
        <v>1</v>
      </c>
      <c r="M1082" s="33" t="b" cm="1">
        <f t="array" ref="M1082">INDEX(stable[is_automated],MATCH(VALUE(questions[[#This Row],[qno]]),VALUE(stable[qno]),0))</f>
        <v>0</v>
      </c>
      <c r="N1082" s="33" t="b" cm="1">
        <f t="array" ref="N1082">INDEX(stable[is_free_text],MATCH(VALUE(questions[[#This Row],[qno]]),VALUE(stable[qno]),0))</f>
        <v>0</v>
      </c>
      <c r="O1082" s="33" t="b" cm="1">
        <f t="array" ref="O1082">INDEX(stable[is_numerical],MATCH(VALUE(questions[[#This Row],[qno]]),VALUE(stable[qno]),0))</f>
        <v>0</v>
      </c>
      <c r="P1082" s="77" t="b" cm="1">
        <f t="array" ref="P1082">INDEX(stable[is_single_select],MATCH(VALUE(questions[[#This Row],[qno]]),VALUE(stable[qno]),0))</f>
        <v>1</v>
      </c>
      <c r="Q1082" s="77" t="b" cm="1">
        <f t="array" ref="Q1082">INDEX(stable[is_multi_select],MATCH(VALUE(questions[[#This Row],[qno]]),VALUE(stable[qno]),0))</f>
        <v>0</v>
      </c>
      <c r="R1082" s="77" t="b" cm="1">
        <f t="array" ref="R1082">INDEX(stable[is_skip_logic],MATCH(VALUE(questions[[#This Row],[qno]]),VALUE(stable[qno]),0))</f>
        <v>0</v>
      </c>
      <c r="S1082" s="77" t="str">
        <f>_xlfn.TEXTJOIN(", ",TRUE,questions[[#This Row],[ans_opt_1]:[ans_opt_14]])</f>
        <v>I don't apply, I apply once per season, I apply multiple times throughout the season</v>
      </c>
      <c r="T1082" s="91" t="s">
        <v>383</v>
      </c>
      <c r="U1082" s="91" t="s">
        <v>384</v>
      </c>
      <c r="V1082" s="91" t="s">
        <v>385</v>
      </c>
      <c r="W1082" s="110"/>
      <c r="X1082" s="110"/>
      <c r="Y1082" s="110"/>
      <c r="Z1082" s="110"/>
      <c r="AA1082" s="110"/>
      <c r="AB1082" s="110"/>
      <c r="AC1082" s="110"/>
      <c r="AD1082" s="110"/>
      <c r="AE1082" s="91"/>
      <c r="AF1082" s="91"/>
      <c r="AG1082" s="91"/>
      <c r="AH1082" s="126" t="b">
        <f>INDEX(stable[q_standard],MATCH(questions[[#This Row],[qno]],stable[qno],0))</f>
        <v>0</v>
      </c>
      <c r="AI1082" s="126" t="b">
        <f>INDEX(stable[q_living_income],MATCH(questions[[#This Row],[qno]],stable[qno],0))</f>
        <v>0</v>
      </c>
      <c r="AJ1082" s="126" t="b">
        <f>INDEX(stable[q_carbon],MATCH(questions[[#This Row],[qno]],stable[qno],0))</f>
        <v>0</v>
      </c>
      <c r="AK1082" s="126" t="b">
        <f>INDEX(stable[q_regen_ag],MATCH(questions[[#This Row],[qno]],stable[qno],0))</f>
        <v>1</v>
      </c>
      <c r="AL1082" s="180"/>
      <c r="AM1082" s="179"/>
      <c r="AN1082" s="179"/>
      <c r="AO1082" s="179"/>
      <c r="AP1082" s="98" t="str">
        <f>LEFT(questions[[#This Row],[question]],similarity_range)</f>
        <v>How often do you app</v>
      </c>
      <c r="AQ1082" s="98" t="str">
        <f>LEFT(INDEX(stable[question],MATCH(questions[[#This Row],[qno]],stable[qno],0)),similarity_range)</f>
        <v>How often do you app</v>
      </c>
      <c r="AR1082" s="98" t="b">
        <f>questions[[#This Row],[question_first_characters]]=questions[[#This Row],[stability_first_characters]]</f>
        <v>1</v>
      </c>
      <c r="AS1082" s="98" t="b">
        <f>IF(OR(questions[[#This Row],[is_single_select]],questions[[#This Row],[is_multi_select]]),NOT(ISBLANK(questions[[#This Row],[answer_opt_combined]])),TRUE)</f>
        <v>1</v>
      </c>
    </row>
    <row r="1083" spans="1:45" s="77" customFormat="1" ht="15.75" customHeight="1" x14ac:dyDescent="0.25">
      <c r="A1083" s="77" t="str">
        <f>_xlfn.TEXTJOIN("_",TRUE,questions[[#This Row],[origin]:[qno]])</f>
        <v>Vietnam_Robusta_Nestle_Selecta_2025_7132</v>
      </c>
      <c r="B1083" s="77" t="s">
        <v>673</v>
      </c>
      <c r="C1083" s="77" t="s">
        <v>674</v>
      </c>
      <c r="D1083" s="77" t="s">
        <v>904</v>
      </c>
      <c r="E1083" s="77">
        <v>2025</v>
      </c>
      <c r="F1083" s="105" t="s">
        <v>386</v>
      </c>
      <c r="G1083" s="109" t="s">
        <v>387</v>
      </c>
      <c r="H1083" s="33" t="str" cm="1">
        <f t="array" ref="H1083">INDEX(stableR[question],MATCH(VALUE(questions[[#This Row],[qno]]),VALUE(stableR[qno]),0))</f>
        <v>How do you apply the organic and synthetic fertilizers to the coffee trees in the coffee plots?</v>
      </c>
      <c r="I1083" s="33" t="b" cm="1">
        <f t="array" ref="I1083">INDEX(stable[is_fixed],MATCH(VALUE(questions[[#This Row],[qno]]),VALUE(stable[qno]),0))</f>
        <v>1</v>
      </c>
      <c r="J1083" s="33" t="b" cm="1">
        <f t="array" ref="J1083">INDEX(stable[is_localized],MATCH(VALUE(questions[[#This Row],[qno]]),VALUE(stable[qno]),0))</f>
        <v>0</v>
      </c>
      <c r="K1083" s="33" t="b" cm="1">
        <f t="array" ref="K1083">INDEX(stable[is_supply_chain_dependent],MATCH(VALUE(questions[[#This Row],[qno]]),VALUE(stable[qno]),0))</f>
        <v>0</v>
      </c>
      <c r="L1083" s="33" t="b" cm="1">
        <f t="array" ref="L1083">INDEX(stable[is_mandatory],MATCH(VALUE(questions[[#This Row],[qno]]),VALUE(stable[qno]),0))</f>
        <v>0</v>
      </c>
      <c r="M1083" s="33" t="b" cm="1">
        <f t="array" ref="M1083">INDEX(stable[is_automated],MATCH(VALUE(questions[[#This Row],[qno]]),VALUE(stable[qno]),0))</f>
        <v>0</v>
      </c>
      <c r="N1083" s="33" t="b" cm="1">
        <f t="array" ref="N1083">INDEX(stable[is_free_text],MATCH(VALUE(questions[[#This Row],[qno]]),VALUE(stable[qno]),0))</f>
        <v>0</v>
      </c>
      <c r="O1083" s="33" t="b" cm="1">
        <f t="array" ref="O1083">INDEX(stable[is_numerical],MATCH(VALUE(questions[[#This Row],[qno]]),VALUE(stable[qno]),0))</f>
        <v>0</v>
      </c>
      <c r="P1083" s="77" t="b" cm="1">
        <f t="array" ref="P1083">INDEX(stable[is_single_select],MATCH(VALUE(questions[[#This Row],[qno]]),VALUE(stable[qno]),0))</f>
        <v>1</v>
      </c>
      <c r="Q1083" s="77" t="b" cm="1">
        <f t="array" ref="Q1083">INDEX(stable[is_multi_select],MATCH(VALUE(questions[[#This Row],[qno]]),VALUE(stable[qno]),0))</f>
        <v>0</v>
      </c>
      <c r="R1083" s="77" t="b" cm="1">
        <f t="array" ref="R1083">INDEX(stable[is_skip_logic],MATCH(VALUE(questions[[#This Row],[qno]]),VALUE(stable[qno]),0))</f>
        <v>0</v>
      </c>
      <c r="S1083" s="77" t="str">
        <f>_xlfn.TEXTJOIN(", ",TRUE,questions[[#This Row],[ans_opt_1]:[ans_opt_14]])</f>
        <v>Around the tree , In bands close to the trees, Broadcasted in all the field, Through the irrigation system (e.g. drip)</v>
      </c>
      <c r="T1083" s="91" t="s">
        <v>797</v>
      </c>
      <c r="U1083" s="91" t="s">
        <v>389</v>
      </c>
      <c r="V1083" s="91" t="s">
        <v>390</v>
      </c>
      <c r="W1083" s="91" t="s">
        <v>391</v>
      </c>
      <c r="X1083" s="110"/>
      <c r="Y1083" s="110"/>
      <c r="Z1083" s="110"/>
      <c r="AA1083" s="110"/>
      <c r="AB1083" s="110"/>
      <c r="AC1083" s="110"/>
      <c r="AD1083" s="110"/>
      <c r="AE1083" s="91"/>
      <c r="AF1083" s="91"/>
      <c r="AG1083" s="91"/>
      <c r="AH1083" s="126" t="b">
        <f>INDEX(stable[q_standard],MATCH(questions[[#This Row],[qno]],stable[qno],0))</f>
        <v>0</v>
      </c>
      <c r="AI1083" s="126" t="b">
        <f>INDEX(stable[q_living_income],MATCH(questions[[#This Row],[qno]],stable[qno],0))</f>
        <v>0</v>
      </c>
      <c r="AJ1083" s="126" t="b">
        <f>INDEX(stable[q_carbon],MATCH(questions[[#This Row],[qno]],stable[qno],0))</f>
        <v>0</v>
      </c>
      <c r="AK1083" s="126" t="b">
        <f>INDEX(stable[q_regen_ag],MATCH(questions[[#This Row],[qno]],stable[qno],0))</f>
        <v>1</v>
      </c>
      <c r="AL1083" s="180"/>
      <c r="AM1083" s="179"/>
      <c r="AN1083" s="179"/>
      <c r="AO1083" s="179"/>
      <c r="AP1083" s="98" t="str">
        <f>LEFT(questions[[#This Row],[question]],similarity_range)</f>
        <v>How do you apply the</v>
      </c>
      <c r="AQ1083" s="98" t="str">
        <f>LEFT(INDEX(stable[question],MATCH(questions[[#This Row],[qno]],stable[qno],0)),similarity_range)</f>
        <v>How do you apply the</v>
      </c>
      <c r="AR1083" s="98" t="b">
        <f>questions[[#This Row],[question_first_characters]]=questions[[#This Row],[stability_first_characters]]</f>
        <v>1</v>
      </c>
      <c r="AS1083" s="98" t="b">
        <f>IF(OR(questions[[#This Row],[is_single_select]],questions[[#This Row],[is_multi_select]]),NOT(ISBLANK(questions[[#This Row],[answer_opt_combined]])),TRUE)</f>
        <v>1</v>
      </c>
    </row>
    <row r="1084" spans="1:45" s="77" customFormat="1" ht="15.75" customHeight="1" x14ac:dyDescent="0.25">
      <c r="A1084" s="77" t="str">
        <f>_xlfn.TEXTJOIN("_",TRUE,questions[[#This Row],[origin]:[qno]])</f>
        <v>Vietnam_Robusta_Nestle_Selecta_2025_7133</v>
      </c>
      <c r="B1084" s="77" t="s">
        <v>673</v>
      </c>
      <c r="C1084" s="77" t="s">
        <v>674</v>
      </c>
      <c r="D1084" s="77" t="s">
        <v>904</v>
      </c>
      <c r="E1084" s="77">
        <v>2025</v>
      </c>
      <c r="F1084" s="105" t="s">
        <v>392</v>
      </c>
      <c r="G1084" s="109" t="s">
        <v>393</v>
      </c>
      <c r="H1084" s="33" t="str" cm="1">
        <f t="array" ref="H1084">INDEX(stableR[question],MATCH(VALUE(questions[[#This Row],[qno]]),VALUE(stableR[qno]),0))</f>
        <v>Do you know the 4R principles of using organic and synthetic fertilizers in crops (Right Amount, Right Product, Right Time, Right Place)?</v>
      </c>
      <c r="I1084" s="33" t="b" cm="1">
        <f t="array" ref="I1084">INDEX(stable[is_fixed],MATCH(VALUE(questions[[#This Row],[qno]]),VALUE(stable[qno]),0))</f>
        <v>1</v>
      </c>
      <c r="J1084" s="33" t="b" cm="1">
        <f t="array" ref="J1084">INDEX(stable[is_localized],MATCH(VALUE(questions[[#This Row],[qno]]),VALUE(stable[qno]),0))</f>
        <v>0</v>
      </c>
      <c r="K1084" s="33" t="b" cm="1">
        <f t="array" ref="K1084">INDEX(stable[is_supply_chain_dependent],MATCH(VALUE(questions[[#This Row],[qno]]),VALUE(stable[qno]),0))</f>
        <v>0</v>
      </c>
      <c r="L1084" s="33" t="b" cm="1">
        <f t="array" ref="L1084">INDEX(stable[is_mandatory],MATCH(VALUE(questions[[#This Row],[qno]]),VALUE(stable[qno]),0))</f>
        <v>1</v>
      </c>
      <c r="M1084" s="33" t="b" cm="1">
        <f t="array" ref="M1084">INDEX(stable[is_automated],MATCH(VALUE(questions[[#This Row],[qno]]),VALUE(stable[qno]),0))</f>
        <v>0</v>
      </c>
      <c r="N1084" s="33" t="b" cm="1">
        <f t="array" ref="N1084">INDEX(stable[is_free_text],MATCH(VALUE(questions[[#This Row],[qno]]),VALUE(stable[qno]),0))</f>
        <v>0</v>
      </c>
      <c r="O1084" s="33" t="b" cm="1">
        <f t="array" ref="O1084">INDEX(stable[is_numerical],MATCH(VALUE(questions[[#This Row],[qno]]),VALUE(stable[qno]),0))</f>
        <v>0</v>
      </c>
      <c r="P1084" s="77" t="b" cm="1">
        <f t="array" ref="P1084">INDEX(stable[is_single_select],MATCH(VALUE(questions[[#This Row],[qno]]),VALUE(stable[qno]),0))</f>
        <v>1</v>
      </c>
      <c r="Q1084" s="77" t="b" cm="1">
        <f t="array" ref="Q1084">INDEX(stable[is_multi_select],MATCH(VALUE(questions[[#This Row],[qno]]),VALUE(stable[qno]),0))</f>
        <v>0</v>
      </c>
      <c r="R1084" s="77" t="b" cm="1">
        <f t="array" ref="R1084">INDEX(stable[is_skip_logic],MATCH(VALUE(questions[[#This Row],[qno]]),VALUE(stable[qno]),0))</f>
        <v>0</v>
      </c>
      <c r="S1084" s="77" t="str">
        <f>_xlfn.TEXTJOIN(", ",TRUE,questions[[#This Row],[ans_opt_1]:[ans_opt_14]])</f>
        <v>Yes, No</v>
      </c>
      <c r="T1084" s="110" t="s">
        <v>149</v>
      </c>
      <c r="U1084" s="110" t="s">
        <v>119</v>
      </c>
      <c r="V1084" s="110"/>
      <c r="W1084" s="110"/>
      <c r="X1084" s="110"/>
      <c r="Y1084" s="110"/>
      <c r="Z1084" s="110"/>
      <c r="AA1084" s="110"/>
      <c r="AB1084" s="110"/>
      <c r="AC1084" s="110"/>
      <c r="AD1084" s="110"/>
      <c r="AE1084" s="91"/>
      <c r="AF1084" s="91"/>
      <c r="AG1084" s="91"/>
      <c r="AH1084" s="126" t="b">
        <f>INDEX(stable[q_standard],MATCH(questions[[#This Row],[qno]],stable[qno],0))</f>
        <v>0</v>
      </c>
      <c r="AI1084" s="126" t="b">
        <f>INDEX(stable[q_living_income],MATCH(questions[[#This Row],[qno]],stable[qno],0))</f>
        <v>0</v>
      </c>
      <c r="AJ1084" s="126" t="b">
        <f>INDEX(stable[q_carbon],MATCH(questions[[#This Row],[qno]],stable[qno],0))</f>
        <v>0</v>
      </c>
      <c r="AK1084" s="126" t="b">
        <f>INDEX(stable[q_regen_ag],MATCH(questions[[#This Row],[qno]],stable[qno],0))</f>
        <v>1</v>
      </c>
      <c r="AL1084" s="180"/>
      <c r="AM1084" s="179"/>
      <c r="AN1084" s="179"/>
      <c r="AO1084" s="179"/>
      <c r="AP1084" s="98" t="str">
        <f>LEFT(questions[[#This Row],[question]],similarity_range)</f>
        <v>Do you know the 4R p</v>
      </c>
      <c r="AQ1084" s="98" t="str">
        <f>LEFT(INDEX(stable[question],MATCH(questions[[#This Row],[qno]],stable[qno],0)),similarity_range)</f>
        <v>Do you know the 4R p</v>
      </c>
      <c r="AR1084" s="98" t="b">
        <f>questions[[#This Row],[question_first_characters]]=questions[[#This Row],[stability_first_characters]]</f>
        <v>1</v>
      </c>
      <c r="AS1084" s="98" t="b">
        <f>IF(OR(questions[[#This Row],[is_single_select]],questions[[#This Row],[is_multi_select]]),NOT(ISBLANK(questions[[#This Row],[answer_opt_combined]])),TRUE)</f>
        <v>1</v>
      </c>
    </row>
    <row r="1085" spans="1:45" s="77" customFormat="1" ht="15.75" customHeight="1" x14ac:dyDescent="0.25">
      <c r="A1085" s="77" t="str">
        <f>_xlfn.TEXTJOIN("_",TRUE,questions[[#This Row],[origin]:[qno]])</f>
        <v>Vietnam_Robusta_Nestle_Selecta_2025_7240</v>
      </c>
      <c r="B1085" s="77" t="s">
        <v>673</v>
      </c>
      <c r="C1085" s="77" t="s">
        <v>674</v>
      </c>
      <c r="D1085" s="77" t="s">
        <v>904</v>
      </c>
      <c r="E1085" s="77">
        <v>2025</v>
      </c>
      <c r="F1085" s="105" t="s">
        <v>394</v>
      </c>
      <c r="G1085" s="109" t="s">
        <v>943</v>
      </c>
      <c r="H1085" s="33" t="str" cm="1">
        <f t="array" ref="H1085">INDEX(stableR[question],MATCH(VALUE(questions[[#This Row],[qno]]),VALUE(stableR[qno]),0))</f>
        <v>Do you apply chemical PPPs (plant protection products) like pesticides/fungicides/nematicides in your coffee crop, and how many different active ingredients per crop season?</v>
      </c>
      <c r="I1085" s="33" t="b" cm="1">
        <f t="array" ref="I1085">INDEX(stable[is_fixed],MATCH(VALUE(questions[[#This Row],[qno]]),VALUE(stable[qno]),0))</f>
        <v>1</v>
      </c>
      <c r="J1085" s="33" t="b" cm="1">
        <f t="array" ref="J1085">INDEX(stable[is_localized],MATCH(VALUE(questions[[#This Row],[qno]]),VALUE(stable[qno]),0))</f>
        <v>0</v>
      </c>
      <c r="K1085" s="33" t="b" cm="1">
        <f t="array" ref="K1085">INDEX(stable[is_supply_chain_dependent],MATCH(VALUE(questions[[#This Row],[qno]]),VALUE(stable[qno]),0))</f>
        <v>0</v>
      </c>
      <c r="L1085" s="33" t="b" cm="1">
        <f t="array" ref="L1085">INDEX(stable[is_mandatory],MATCH(VALUE(questions[[#This Row],[qno]]),VALUE(stable[qno]),0))</f>
        <v>1</v>
      </c>
      <c r="M1085" s="33" t="b" cm="1">
        <f t="array" ref="M1085">INDEX(stable[is_automated],MATCH(VALUE(questions[[#This Row],[qno]]),VALUE(stable[qno]),0))</f>
        <v>0</v>
      </c>
      <c r="N1085" s="33" t="b" cm="1">
        <f t="array" ref="N1085">INDEX(stable[is_free_text],MATCH(VALUE(questions[[#This Row],[qno]]),VALUE(stable[qno]),0))</f>
        <v>0</v>
      </c>
      <c r="O1085" s="33" t="b" cm="1">
        <f t="array" ref="O1085">INDEX(stable[is_numerical],MATCH(VALUE(questions[[#This Row],[qno]]),VALUE(stable[qno]),0))</f>
        <v>0</v>
      </c>
      <c r="P1085" s="77" t="b" cm="1">
        <f t="array" ref="P1085">INDEX(stable[is_single_select],MATCH(VALUE(questions[[#This Row],[qno]]),VALUE(stable[qno]),0))</f>
        <v>1</v>
      </c>
      <c r="Q1085" s="77" t="b" cm="1">
        <f t="array" ref="Q1085">INDEX(stable[is_multi_select],MATCH(VALUE(questions[[#This Row],[qno]]),VALUE(stable[qno]),0))</f>
        <v>0</v>
      </c>
      <c r="R1085" s="77" t="b" cm="1">
        <f t="array" ref="R1085">INDEX(stable[is_skip_logic],MATCH(VALUE(questions[[#This Row],[qno]]),VALUE(stable[qno]),0))</f>
        <v>1</v>
      </c>
      <c r="S1085" s="77" t="str">
        <f>_xlfn.TEXTJOIN(", ",TRUE,questions[[#This Row],[ans_opt_1]:[ans_opt_14]])</f>
        <v>Yes, No</v>
      </c>
      <c r="T1085" s="110" t="s">
        <v>149</v>
      </c>
      <c r="U1085" s="110" t="s">
        <v>119</v>
      </c>
      <c r="V1085" s="110"/>
      <c r="W1085" s="110"/>
      <c r="X1085" s="110"/>
      <c r="Y1085" s="110"/>
      <c r="Z1085" s="110"/>
      <c r="AA1085" s="110"/>
      <c r="AB1085" s="110"/>
      <c r="AC1085" s="110"/>
      <c r="AD1085" s="110"/>
      <c r="AE1085" s="91"/>
      <c r="AF1085" s="91"/>
      <c r="AG1085" s="91"/>
      <c r="AH1085" s="126" t="b">
        <f>INDEX(stable[q_standard],MATCH(questions[[#This Row],[qno]],stable[qno],0))</f>
        <v>0</v>
      </c>
      <c r="AI1085" s="126" t="b">
        <f>INDEX(stable[q_living_income],MATCH(questions[[#This Row],[qno]],stable[qno],0))</f>
        <v>0</v>
      </c>
      <c r="AJ1085" s="126" t="b">
        <f>INDEX(stable[q_carbon],MATCH(questions[[#This Row],[qno]],stable[qno],0))</f>
        <v>0</v>
      </c>
      <c r="AK1085" s="126" t="b">
        <f>INDEX(stable[q_regen_ag],MATCH(questions[[#This Row],[qno]],stable[qno],0))</f>
        <v>1</v>
      </c>
      <c r="AL1085" s="182"/>
      <c r="AM1085" s="179"/>
      <c r="AN1085" s="179"/>
      <c r="AO1085" s="179"/>
      <c r="AP1085" s="98" t="str">
        <f>LEFT(questions[[#This Row],[question]],similarity_range)</f>
        <v>Did you use chemical</v>
      </c>
      <c r="AQ1085" s="98" t="str">
        <f>LEFT(INDEX(stable[question],MATCH(questions[[#This Row],[qno]],stable[qno],0)),similarity_range)</f>
        <v>Did you use chemical</v>
      </c>
      <c r="AR1085" s="98" t="b">
        <f>questions[[#This Row],[question_first_characters]]=questions[[#This Row],[stability_first_characters]]</f>
        <v>1</v>
      </c>
      <c r="AS1085" s="98" t="b">
        <f>IF(OR(questions[[#This Row],[is_single_select]],questions[[#This Row],[is_multi_select]]),NOT(ISBLANK(questions[[#This Row],[answer_opt_combined]])),TRUE)</f>
        <v>1</v>
      </c>
    </row>
    <row r="1086" spans="1:45" s="77" customFormat="1" ht="15.75" customHeight="1" x14ac:dyDescent="0.25">
      <c r="A1086" s="77" t="str">
        <f>_xlfn.TEXTJOIN("_",TRUE,questions[[#This Row],[origin]:[qno]])</f>
        <v>Vietnam_Robusta_Nestle_Selecta_2025_7241</v>
      </c>
      <c r="B1086" s="77" t="s">
        <v>673</v>
      </c>
      <c r="C1086" s="77" t="s">
        <v>674</v>
      </c>
      <c r="D1086" s="77" t="s">
        <v>904</v>
      </c>
      <c r="E1086" s="77">
        <v>2025</v>
      </c>
      <c r="F1086" s="105" t="s">
        <v>396</v>
      </c>
      <c r="G1086" s="109" t="s">
        <v>397</v>
      </c>
      <c r="H1086" s="33" t="str" cm="1">
        <f t="array" ref="H1086">INDEX(stableR[question],MATCH(VALUE(questions[[#This Row],[qno]]),VALUE(stableR[qno]),0))</f>
        <v>If yes, list the names of all the pesticides and/or fungicides that you used, last year.</v>
      </c>
      <c r="I1086" s="33" t="b" cm="1">
        <f t="array" ref="I1086">INDEX(stable[is_fixed],MATCH(VALUE(questions[[#This Row],[qno]]),VALUE(stable[qno]),0))</f>
        <v>1</v>
      </c>
      <c r="J1086" s="33" t="b" cm="1">
        <f t="array" ref="J1086">INDEX(stable[is_localized],MATCH(VALUE(questions[[#This Row],[qno]]),VALUE(stable[qno]),0))</f>
        <v>0</v>
      </c>
      <c r="K1086" s="33" t="b" cm="1">
        <f t="array" ref="K1086">INDEX(stable[is_supply_chain_dependent],MATCH(VALUE(questions[[#This Row],[qno]]),VALUE(stable[qno]),0))</f>
        <v>0</v>
      </c>
      <c r="L1086" s="33" t="b" cm="1">
        <f t="array" ref="L1086">INDEX(stable[is_mandatory],MATCH(VALUE(questions[[#This Row],[qno]]),VALUE(stable[qno]),0))</f>
        <v>0</v>
      </c>
      <c r="M1086" s="33" t="b" cm="1">
        <f t="array" ref="M1086">INDEX(stable[is_automated],MATCH(VALUE(questions[[#This Row],[qno]]),VALUE(stable[qno]),0))</f>
        <v>0</v>
      </c>
      <c r="N1086" s="33" t="b" cm="1">
        <f t="array" ref="N1086">INDEX(stable[is_free_text],MATCH(VALUE(questions[[#This Row],[qno]]),VALUE(stable[qno]),0))</f>
        <v>0</v>
      </c>
      <c r="O1086" s="33" t="b" cm="1">
        <f t="array" ref="O1086">INDEX(stable[is_numerical],MATCH(VALUE(questions[[#This Row],[qno]]),VALUE(stable[qno]),0))</f>
        <v>0</v>
      </c>
      <c r="P1086" s="77" t="b" cm="1">
        <f t="array" ref="P1086">INDEX(stable[is_single_select],MATCH(VALUE(questions[[#This Row],[qno]]),VALUE(stable[qno]),0))</f>
        <v>1</v>
      </c>
      <c r="Q1086" s="77" t="b" cm="1">
        <f t="array" ref="Q1086">INDEX(stable[is_multi_select],MATCH(VALUE(questions[[#This Row],[qno]]),VALUE(stable[qno]),0))</f>
        <v>0</v>
      </c>
      <c r="R1086" s="77" t="b" cm="1">
        <f t="array" ref="R1086">INDEX(stable[is_skip_logic],MATCH(VALUE(questions[[#This Row],[qno]]),VALUE(stable[qno]),0))</f>
        <v>1</v>
      </c>
      <c r="S1086" s="77" t="str">
        <f>_xlfn.TEXTJOIN(", ",TRUE,questions[[#This Row],[ans_opt_1]:[ans_opt_14]])</f>
        <v>Yes, No</v>
      </c>
      <c r="T1086" s="110" t="s">
        <v>149</v>
      </c>
      <c r="U1086" s="110" t="s">
        <v>119</v>
      </c>
      <c r="V1086" s="110"/>
      <c r="W1086" s="110"/>
      <c r="X1086" s="110"/>
      <c r="Y1086" s="110"/>
      <c r="Z1086" s="110"/>
      <c r="AA1086" s="110"/>
      <c r="AB1086" s="110"/>
      <c r="AC1086" s="110"/>
      <c r="AD1086" s="110"/>
      <c r="AE1086" s="91"/>
      <c r="AF1086" s="91"/>
      <c r="AG1086" s="91"/>
      <c r="AH1086" s="126" t="b">
        <f>INDEX(stable[q_standard],MATCH(questions[[#This Row],[qno]],stable[qno],0))</f>
        <v>0</v>
      </c>
      <c r="AI1086" s="126" t="b">
        <f>INDEX(stable[q_living_income],MATCH(questions[[#This Row],[qno]],stable[qno],0))</f>
        <v>0</v>
      </c>
      <c r="AJ1086" s="126" t="b">
        <f>INDEX(stable[q_carbon],MATCH(questions[[#This Row],[qno]],stable[qno],0))</f>
        <v>0</v>
      </c>
      <c r="AK1086" s="126" t="b">
        <f>INDEX(stable[q_regen_ag],MATCH(questions[[#This Row],[qno]],stable[qno],0))</f>
        <v>1</v>
      </c>
      <c r="AL1086" s="182"/>
      <c r="AM1086" s="179"/>
      <c r="AN1086" s="179"/>
      <c r="AO1086" s="179"/>
      <c r="AP1086" s="98" t="str">
        <f>LEFT(questions[[#This Row],[question]],similarity_range)</f>
        <v>If you apply chemica</v>
      </c>
      <c r="AQ1086" s="98" t="str">
        <f>LEFT(INDEX(stable[question],MATCH(questions[[#This Row],[qno]],stable[qno],0)),similarity_range)</f>
        <v>If you apply chemica</v>
      </c>
      <c r="AR1086" s="98" t="b">
        <f>questions[[#This Row],[question_first_characters]]=questions[[#This Row],[stability_first_characters]]</f>
        <v>1</v>
      </c>
      <c r="AS1086" s="98" t="b">
        <f>IF(OR(questions[[#This Row],[is_single_select]],questions[[#This Row],[is_multi_select]]),NOT(ISBLANK(questions[[#This Row],[answer_opt_combined]])),TRUE)</f>
        <v>1</v>
      </c>
    </row>
    <row r="1087" spans="1:45" s="77" customFormat="1" ht="15.75" customHeight="1" x14ac:dyDescent="0.25">
      <c r="A1087" s="77" t="str">
        <f>_xlfn.TEXTJOIN("_",TRUE,questions[[#This Row],[origin]:[qno]])</f>
        <v>Vietnam_Robusta_Nestle_Selecta_2025_7242</v>
      </c>
      <c r="B1087" s="77" t="s">
        <v>673</v>
      </c>
      <c r="C1087" s="77" t="s">
        <v>674</v>
      </c>
      <c r="D1087" s="77" t="s">
        <v>904</v>
      </c>
      <c r="E1087" s="77">
        <v>2025</v>
      </c>
      <c r="F1087" s="105" t="s">
        <v>398</v>
      </c>
      <c r="G1087" s="223" t="s">
        <v>399</v>
      </c>
      <c r="H1087" s="33" t="str" cm="1">
        <f t="array" ref="H1087">INDEX(stableR[question],MATCH(VALUE(questions[[#This Row],[qno]]),VALUE(stableR[qno]),0))</f>
        <v>If you apply chemical PPPs, are you aware of the IPM-Integrated Pest Management concept and practices (e.g. pest-disease identification and monitoring, right moment for control, use of a combination of biological, cultural, physical/mechanical and chemical tools to prevent and control)?</v>
      </c>
      <c r="I1087" s="33" t="b" cm="1">
        <f t="array" ref="I1087">INDEX(stable[is_fixed],MATCH(VALUE(questions[[#This Row],[qno]]),VALUE(stable[qno]),0))</f>
        <v>1</v>
      </c>
      <c r="J1087" s="33" t="b" cm="1">
        <f t="array" ref="J1087">INDEX(stable[is_localized],MATCH(VALUE(questions[[#This Row],[qno]]),VALUE(stable[qno]),0))</f>
        <v>0</v>
      </c>
      <c r="K1087" s="33" t="b" cm="1">
        <f t="array" ref="K1087">INDEX(stable[is_supply_chain_dependent],MATCH(VALUE(questions[[#This Row],[qno]]),VALUE(stable[qno]),0))</f>
        <v>0</v>
      </c>
      <c r="L1087" s="33" t="b" cm="1">
        <f t="array" ref="L1087">INDEX(stable[is_mandatory],MATCH(VALUE(questions[[#This Row],[qno]]),VALUE(stable[qno]),0))</f>
        <v>0</v>
      </c>
      <c r="M1087" s="33" t="b" cm="1">
        <f t="array" ref="M1087">INDEX(stable[is_automated],MATCH(VALUE(questions[[#This Row],[qno]]),VALUE(stable[qno]),0))</f>
        <v>0</v>
      </c>
      <c r="N1087" s="33" t="b" cm="1">
        <f t="array" ref="N1087">INDEX(stable[is_free_text],MATCH(VALUE(questions[[#This Row],[qno]]),VALUE(stable[qno]),0))</f>
        <v>0</v>
      </c>
      <c r="O1087" s="33" t="b" cm="1">
        <f t="array" ref="O1087">INDEX(stable[is_numerical],MATCH(VALUE(questions[[#This Row],[qno]]),VALUE(stable[qno]),0))</f>
        <v>0</v>
      </c>
      <c r="P1087" s="77" t="b" cm="1">
        <f t="array" ref="P1087">INDEX(stable[is_single_select],MATCH(VALUE(questions[[#This Row],[qno]]),VALUE(stable[qno]),0))</f>
        <v>1</v>
      </c>
      <c r="Q1087" s="77" t="b" cm="1">
        <f t="array" ref="Q1087">INDEX(stable[is_multi_select],MATCH(VALUE(questions[[#This Row],[qno]]),VALUE(stable[qno]),0))</f>
        <v>0</v>
      </c>
      <c r="R1087" s="77" t="b" cm="1">
        <f t="array" ref="R1087">INDEX(stable[is_skip_logic],MATCH(VALUE(questions[[#This Row],[qno]]),VALUE(stable[qno]),0))</f>
        <v>1</v>
      </c>
      <c r="S1087" s="77" t="str">
        <f>_xlfn.TEXTJOIN(", ",TRUE,questions[[#This Row],[ans_opt_1]:[ans_opt_14]])</f>
        <v>Yes, No</v>
      </c>
      <c r="T1087" s="110" t="s">
        <v>149</v>
      </c>
      <c r="U1087" s="110" t="s">
        <v>119</v>
      </c>
      <c r="V1087" s="110"/>
      <c r="W1087" s="110"/>
      <c r="X1087" s="110"/>
      <c r="Y1087" s="110"/>
      <c r="Z1087" s="110"/>
      <c r="AA1087" s="110"/>
      <c r="AB1087" s="110"/>
      <c r="AC1087" s="110"/>
      <c r="AD1087" s="110"/>
      <c r="AE1087" s="91"/>
      <c r="AF1087" s="91"/>
      <c r="AG1087" s="91"/>
      <c r="AH1087" s="126" t="b">
        <f>INDEX(stable[q_standard],MATCH(questions[[#This Row],[qno]],stable[qno],0))</f>
        <v>0</v>
      </c>
      <c r="AI1087" s="126" t="b">
        <f>INDEX(stable[q_living_income],MATCH(questions[[#This Row],[qno]],stable[qno],0))</f>
        <v>0</v>
      </c>
      <c r="AJ1087" s="126" t="b">
        <f>INDEX(stable[q_carbon],MATCH(questions[[#This Row],[qno]],stable[qno],0))</f>
        <v>0</v>
      </c>
      <c r="AK1087" s="126" t="b">
        <f>INDEX(stable[q_regen_ag],MATCH(questions[[#This Row],[qno]],stable[qno],0))</f>
        <v>1</v>
      </c>
      <c r="AL1087" s="182"/>
      <c r="AM1087" s="179"/>
      <c r="AN1087" s="179"/>
      <c r="AO1087" s="179"/>
      <c r="AP1087" s="98" t="str">
        <f>LEFT(questions[[#This Row],[question]],similarity_range)</f>
        <v>If you apply chemica</v>
      </c>
      <c r="AQ1087" s="98" t="str">
        <f>LEFT(INDEX(stable[question],MATCH(questions[[#This Row],[qno]],stable[qno],0)),similarity_range)</f>
        <v>If you apply chemica</v>
      </c>
      <c r="AR1087" s="98" t="b">
        <f>questions[[#This Row],[question_first_characters]]=questions[[#This Row],[stability_first_characters]]</f>
        <v>1</v>
      </c>
      <c r="AS1087" s="98" t="b">
        <f>IF(OR(questions[[#This Row],[is_single_select]],questions[[#This Row],[is_multi_select]]),NOT(ISBLANK(questions[[#This Row],[answer_opt_combined]])),TRUE)</f>
        <v>1</v>
      </c>
    </row>
    <row r="1088" spans="1:45" s="77" customFormat="1" ht="15.75" customHeight="1" x14ac:dyDescent="0.25">
      <c r="A1088" s="77" t="str">
        <f>_xlfn.TEXTJOIN("_",TRUE,questions[[#This Row],[origin]:[qno]])</f>
        <v>Vietnam_Robusta_Nestle_Selecta_2025_7243</v>
      </c>
      <c r="B1088" s="77" t="s">
        <v>673</v>
      </c>
      <c r="C1088" s="77" t="s">
        <v>674</v>
      </c>
      <c r="D1088" s="77" t="s">
        <v>904</v>
      </c>
      <c r="E1088" s="77">
        <v>2025</v>
      </c>
      <c r="F1088" s="105" t="s">
        <v>400</v>
      </c>
      <c r="G1088" s="109" t="s">
        <v>401</v>
      </c>
      <c r="H1088" s="33" t="str" cm="1">
        <f t="array" ref="H1088">INDEX(stableR[question],MATCH(VALUE(questions[[#This Row],[qno]]),VALUE(stableR[qno]),0))</f>
        <v>If you apply chemical PPPs, do you apply IPM principles and practices to prevent and control pest &amp; diseases and reduce the use of chemical PPPs?</v>
      </c>
      <c r="I1088" s="33" t="b" cm="1">
        <f t="array" ref="I1088">INDEX(stable[is_fixed],MATCH(VALUE(questions[[#This Row],[qno]]),VALUE(stable[qno]),0))</f>
        <v>1</v>
      </c>
      <c r="J1088" s="33" t="b" cm="1">
        <f t="array" ref="J1088">INDEX(stable[is_localized],MATCH(VALUE(questions[[#This Row],[qno]]),VALUE(stable[qno]),0))</f>
        <v>0</v>
      </c>
      <c r="K1088" s="33" t="b" cm="1">
        <f t="array" ref="K1088">INDEX(stable[is_supply_chain_dependent],MATCH(VALUE(questions[[#This Row],[qno]]),VALUE(stable[qno]),0))</f>
        <v>0</v>
      </c>
      <c r="L1088" s="33" t="b" cm="1">
        <f t="array" ref="L1088">INDEX(stable[is_mandatory],MATCH(VALUE(questions[[#This Row],[qno]]),VALUE(stable[qno]),0))</f>
        <v>0</v>
      </c>
      <c r="M1088" s="33" t="b" cm="1">
        <f t="array" ref="M1088">INDEX(stable[is_automated],MATCH(VALUE(questions[[#This Row],[qno]]),VALUE(stable[qno]),0))</f>
        <v>0</v>
      </c>
      <c r="N1088" s="33" t="b" cm="1">
        <f t="array" ref="N1088">INDEX(stable[is_free_text],MATCH(VALUE(questions[[#This Row],[qno]]),VALUE(stable[qno]),0))</f>
        <v>0</v>
      </c>
      <c r="O1088" s="33" t="b" cm="1">
        <f t="array" ref="O1088">INDEX(stable[is_numerical],MATCH(VALUE(questions[[#This Row],[qno]]),VALUE(stable[qno]),0))</f>
        <v>0</v>
      </c>
      <c r="P1088" s="77" t="b" cm="1">
        <f t="array" ref="P1088">INDEX(stable[is_single_select],MATCH(VALUE(questions[[#This Row],[qno]]),VALUE(stable[qno]),0))</f>
        <v>1</v>
      </c>
      <c r="Q1088" s="77" t="b" cm="1">
        <f t="array" ref="Q1088">INDEX(stable[is_multi_select],MATCH(VALUE(questions[[#This Row],[qno]]),VALUE(stable[qno]),0))</f>
        <v>0</v>
      </c>
      <c r="R1088" s="77" t="b" cm="1">
        <f t="array" ref="R1088">INDEX(stable[is_skip_logic],MATCH(VALUE(questions[[#This Row],[qno]]),VALUE(stable[qno]),0))</f>
        <v>1</v>
      </c>
      <c r="S1088" s="77" t="str">
        <f>_xlfn.TEXTJOIN(", ",TRUE,questions[[#This Row],[ans_opt_1]:[ans_opt_14]])</f>
        <v>Yes, No</v>
      </c>
      <c r="T1088" s="110" t="s">
        <v>149</v>
      </c>
      <c r="U1088" s="110" t="s">
        <v>119</v>
      </c>
      <c r="V1088" s="110"/>
      <c r="W1088" s="110"/>
      <c r="X1088" s="110"/>
      <c r="Y1088" s="110"/>
      <c r="Z1088" s="110"/>
      <c r="AA1088" s="110"/>
      <c r="AB1088" s="110"/>
      <c r="AC1088" s="110"/>
      <c r="AD1088" s="110"/>
      <c r="AE1088" s="91"/>
      <c r="AF1088" s="91"/>
      <c r="AG1088" s="91"/>
      <c r="AH1088" s="126" t="b">
        <f>INDEX(stable[q_standard],MATCH(questions[[#This Row],[qno]],stable[qno],0))</f>
        <v>0</v>
      </c>
      <c r="AI1088" s="126" t="b">
        <f>INDEX(stable[q_living_income],MATCH(questions[[#This Row],[qno]],stable[qno],0))</f>
        <v>0</v>
      </c>
      <c r="AJ1088" s="126" t="b">
        <f>INDEX(stable[q_carbon],MATCH(questions[[#This Row],[qno]],stable[qno],0))</f>
        <v>0</v>
      </c>
      <c r="AK1088" s="126" t="b">
        <f>INDEX(stable[q_regen_ag],MATCH(questions[[#This Row],[qno]],stable[qno],0))</f>
        <v>1</v>
      </c>
      <c r="AL1088" s="182"/>
      <c r="AM1088" s="179"/>
      <c r="AN1088" s="179"/>
      <c r="AO1088" s="179"/>
      <c r="AP1088" s="98" t="str">
        <f>LEFT(questions[[#This Row],[question]],similarity_range)</f>
        <v>If you apply chemica</v>
      </c>
      <c r="AQ1088" s="98" t="str">
        <f>LEFT(INDEX(stable[question],MATCH(questions[[#This Row],[qno]],stable[qno],0)),similarity_range)</f>
        <v>If you apply chemica</v>
      </c>
      <c r="AR1088" s="98" t="b">
        <f>questions[[#This Row],[question_first_characters]]=questions[[#This Row],[stability_first_characters]]</f>
        <v>1</v>
      </c>
      <c r="AS1088" s="98" t="b">
        <f>IF(OR(questions[[#This Row],[is_single_select]],questions[[#This Row],[is_multi_select]]),NOT(ISBLANK(questions[[#This Row],[answer_opt_combined]])),TRUE)</f>
        <v>1</v>
      </c>
    </row>
    <row r="1089" spans="1:45" s="77" customFormat="1" ht="15.75" customHeight="1" x14ac:dyDescent="0.25">
      <c r="A1089" s="77" t="str">
        <f>_xlfn.TEXTJOIN("_",TRUE,questions[[#This Row],[origin]:[qno]])</f>
        <v>Vietnam_Robusta_Nestle_Selecta_2025_7244</v>
      </c>
      <c r="B1089" s="77" t="s">
        <v>673</v>
      </c>
      <c r="C1089" s="77" t="s">
        <v>674</v>
      </c>
      <c r="D1089" s="77" t="s">
        <v>904</v>
      </c>
      <c r="E1089" s="77">
        <v>2025</v>
      </c>
      <c r="F1089" s="105" t="s">
        <v>402</v>
      </c>
      <c r="G1089" s="109" t="s">
        <v>403</v>
      </c>
      <c r="H1089" s="33" t="str" cm="1">
        <f t="array" ref="H1089">INDEX(stableR[question],MATCH(VALUE(questions[[#This Row],[qno]]),VALUE(stableR[qno]),0))</f>
        <v>If you apply chemical PPPs, can you prove/show that all are locally authorized for coffee (e.g. coffee is in the product label), and that you respect the recommended dose and post-harvest intervals of the label of the product?</v>
      </c>
      <c r="I1089" s="33" t="b" cm="1">
        <f t="array" ref="I1089">INDEX(stable[is_fixed],MATCH(VALUE(questions[[#This Row],[qno]]),VALUE(stable[qno]),0))</f>
        <v>1</v>
      </c>
      <c r="J1089" s="33" t="b" cm="1">
        <f t="array" ref="J1089">INDEX(stable[is_localized],MATCH(VALUE(questions[[#This Row],[qno]]),VALUE(stable[qno]),0))</f>
        <v>0</v>
      </c>
      <c r="K1089" s="33" t="b" cm="1">
        <f t="array" ref="K1089">INDEX(stable[is_supply_chain_dependent],MATCH(VALUE(questions[[#This Row],[qno]]),VALUE(stable[qno]),0))</f>
        <v>0</v>
      </c>
      <c r="L1089" s="33" t="b" cm="1">
        <f t="array" ref="L1089">INDEX(stable[is_mandatory],MATCH(VALUE(questions[[#This Row],[qno]]),VALUE(stable[qno]),0))</f>
        <v>0</v>
      </c>
      <c r="M1089" s="33" t="b" cm="1">
        <f t="array" ref="M1089">INDEX(stable[is_automated],MATCH(VALUE(questions[[#This Row],[qno]]),VALUE(stable[qno]),0))</f>
        <v>0</v>
      </c>
      <c r="N1089" s="33" t="b" cm="1">
        <f t="array" ref="N1089">INDEX(stable[is_free_text],MATCH(VALUE(questions[[#This Row],[qno]]),VALUE(stable[qno]),0))</f>
        <v>0</v>
      </c>
      <c r="O1089" s="33" t="b" cm="1">
        <f t="array" ref="O1089">INDEX(stable[is_numerical],MATCH(VALUE(questions[[#This Row],[qno]]),VALUE(stable[qno]),0))</f>
        <v>0</v>
      </c>
      <c r="P1089" s="77" t="b" cm="1">
        <f t="array" ref="P1089">INDEX(stable[is_single_select],MATCH(VALUE(questions[[#This Row],[qno]]),VALUE(stable[qno]),0))</f>
        <v>1</v>
      </c>
      <c r="Q1089" s="77" t="b" cm="1">
        <f t="array" ref="Q1089">INDEX(stable[is_multi_select],MATCH(VALUE(questions[[#This Row],[qno]]),VALUE(stable[qno]),0))</f>
        <v>0</v>
      </c>
      <c r="R1089" s="77" t="b" cm="1">
        <f t="array" ref="R1089">INDEX(stable[is_skip_logic],MATCH(VALUE(questions[[#This Row],[qno]]),VALUE(stable[qno]),0))</f>
        <v>1</v>
      </c>
      <c r="S1089" s="77" t="str">
        <f>_xlfn.TEXTJOIN(", ",TRUE,questions[[#This Row],[ans_opt_1]:[ans_opt_14]])</f>
        <v>1, 2, 3, 4, 5, &gt;5</v>
      </c>
      <c r="T1089" s="77">
        <v>1</v>
      </c>
      <c r="U1089" s="77">
        <v>2</v>
      </c>
      <c r="V1089" s="77">
        <v>3</v>
      </c>
      <c r="W1089" s="77">
        <v>4</v>
      </c>
      <c r="X1089" s="77">
        <v>5</v>
      </c>
      <c r="Y1089" s="77" t="s">
        <v>404</v>
      </c>
      <c r="Z1089" s="110"/>
      <c r="AA1089" s="110"/>
      <c r="AB1089" s="110"/>
      <c r="AC1089" s="110"/>
      <c r="AD1089" s="110"/>
      <c r="AE1089" s="91"/>
      <c r="AF1089" s="91"/>
      <c r="AG1089" s="91"/>
      <c r="AH1089" s="126" t="b">
        <f>INDEX(stable[q_standard],MATCH(questions[[#This Row],[qno]],stable[qno],0))</f>
        <v>0</v>
      </c>
      <c r="AI1089" s="126" t="b">
        <f>INDEX(stable[q_living_income],MATCH(questions[[#This Row],[qno]],stable[qno],0))</f>
        <v>0</v>
      </c>
      <c r="AJ1089" s="126" t="b">
        <f>INDEX(stable[q_carbon],MATCH(questions[[#This Row],[qno]],stable[qno],0))</f>
        <v>0</v>
      </c>
      <c r="AK1089" s="126" t="b">
        <f>INDEX(stable[q_regen_ag],MATCH(questions[[#This Row],[qno]],stable[qno],0))</f>
        <v>1</v>
      </c>
      <c r="AL1089" s="182"/>
      <c r="AM1089" s="179"/>
      <c r="AN1089" s="179"/>
      <c r="AO1089" s="179"/>
      <c r="AP1089" s="98" t="str">
        <f>LEFT(questions[[#This Row],[question]],similarity_range)</f>
        <v>If you apply chemica</v>
      </c>
      <c r="AQ1089" s="98" t="str">
        <f>LEFT(INDEX(stable[question],MATCH(questions[[#This Row],[qno]],stable[qno],0)),similarity_range)</f>
        <v>If you apply chemica</v>
      </c>
      <c r="AR1089" s="98" t="b">
        <f>questions[[#This Row],[question_first_characters]]=questions[[#This Row],[stability_first_characters]]</f>
        <v>1</v>
      </c>
      <c r="AS1089" s="98" t="b">
        <f>IF(OR(questions[[#This Row],[is_single_select]],questions[[#This Row],[is_multi_select]]),NOT(ISBLANK(questions[[#This Row],[answer_opt_combined]])),TRUE)</f>
        <v>1</v>
      </c>
    </row>
    <row r="1090" spans="1:45" s="77" customFormat="1" ht="15.75" customHeight="1" x14ac:dyDescent="0.25">
      <c r="A1090" s="77" t="str">
        <f>_xlfn.TEXTJOIN("_",TRUE,questions[[#This Row],[origin]:[qno]])</f>
        <v>Vietnam_Robusta_Nestle_Selecta_2025_7245</v>
      </c>
      <c r="B1090" s="77" t="s">
        <v>673</v>
      </c>
      <c r="C1090" s="77" t="s">
        <v>674</v>
      </c>
      <c r="D1090" s="77" t="s">
        <v>904</v>
      </c>
      <c r="E1090" s="77">
        <v>2025</v>
      </c>
      <c r="F1090" s="105" t="s">
        <v>405</v>
      </c>
      <c r="G1090" s="109" t="s">
        <v>406</v>
      </c>
      <c r="H1090" s="33" t="str" cm="1">
        <f t="array" ref="H1090">INDEX(stableR[question],MATCH(VALUE(questions[[#This Row],[qno]]),VALUE(stableR[qno]),0))</f>
        <v>If you apply chemical PPPs to control pests and diseases in your farm, how many applications do you apply on average per year?</v>
      </c>
      <c r="I1090" s="33" t="b" cm="1">
        <f t="array" ref="I1090">INDEX(stable[is_fixed],MATCH(VALUE(questions[[#This Row],[qno]]),VALUE(stable[qno]),0))</f>
        <v>1</v>
      </c>
      <c r="J1090" s="33" t="b" cm="1">
        <f t="array" ref="J1090">INDEX(stable[is_localized],MATCH(VALUE(questions[[#This Row],[qno]]),VALUE(stable[qno]),0))</f>
        <v>0</v>
      </c>
      <c r="K1090" s="33" t="b" cm="1">
        <f t="array" ref="K1090">INDEX(stable[is_supply_chain_dependent],MATCH(VALUE(questions[[#This Row],[qno]]),VALUE(stable[qno]),0))</f>
        <v>0</v>
      </c>
      <c r="L1090" s="33" t="b" cm="1">
        <f t="array" ref="L1090">INDEX(stable[is_mandatory],MATCH(VALUE(questions[[#This Row],[qno]]),VALUE(stable[qno]),0))</f>
        <v>0</v>
      </c>
      <c r="M1090" s="33" t="b" cm="1">
        <f t="array" ref="M1090">INDEX(stable[is_automated],MATCH(VALUE(questions[[#This Row],[qno]]),VALUE(stable[qno]),0))</f>
        <v>0</v>
      </c>
      <c r="N1090" s="33" t="b" cm="1">
        <f t="array" ref="N1090">INDEX(stable[is_free_text],MATCH(VALUE(questions[[#This Row],[qno]]),VALUE(stable[qno]),0))</f>
        <v>0</v>
      </c>
      <c r="O1090" s="33" t="b" cm="1">
        <f t="array" ref="O1090">INDEX(stable[is_numerical],MATCH(VALUE(questions[[#This Row],[qno]]),VALUE(stable[qno]),0))</f>
        <v>0</v>
      </c>
      <c r="P1090" s="77" t="b" cm="1">
        <f t="array" ref="P1090">INDEX(stable[is_single_select],MATCH(VALUE(questions[[#This Row],[qno]]),VALUE(stable[qno]),0))</f>
        <v>1</v>
      </c>
      <c r="Q1090" s="77" t="b" cm="1">
        <f t="array" ref="Q1090">INDEX(stable[is_multi_select],MATCH(VALUE(questions[[#This Row],[qno]]),VALUE(stable[qno]),0))</f>
        <v>0</v>
      </c>
      <c r="R1090" s="77" t="b" cm="1">
        <f t="array" ref="R1090">INDEX(stable[is_skip_logic],MATCH(VALUE(questions[[#This Row],[qno]]),VALUE(stable[qno]),0))</f>
        <v>1</v>
      </c>
      <c r="S1090" s="77" t="str">
        <f>_xlfn.TEXTJOIN(", ",TRUE,questions[[#This Row],[ans_opt_1]:[ans_opt_14]])</f>
        <v>Increased - pest/disease pressure, Increased - weather conditions, Increased - pest/disease resistance, Decreased - pest/disease pressure, Decreased - adverse weather conditions, Decreased - increased cost, Decreased - replaced by regenerative agriculture</v>
      </c>
      <c r="T1090" s="77" t="s">
        <v>407</v>
      </c>
      <c r="U1090" s="77" t="s">
        <v>408</v>
      </c>
      <c r="V1090" s="77" t="s">
        <v>409</v>
      </c>
      <c r="W1090" s="77" t="s">
        <v>410</v>
      </c>
      <c r="X1090" s="77" t="s">
        <v>411</v>
      </c>
      <c r="Y1090" s="77" t="s">
        <v>412</v>
      </c>
      <c r="Z1090" s="77" t="s">
        <v>413</v>
      </c>
      <c r="AA1090" s="110"/>
      <c r="AB1090" s="110"/>
      <c r="AC1090" s="110"/>
      <c r="AD1090" s="110"/>
      <c r="AE1090" s="91"/>
      <c r="AF1090" s="91"/>
      <c r="AG1090" s="91"/>
      <c r="AH1090" s="126" t="b">
        <f>INDEX(stable[q_standard],MATCH(questions[[#This Row],[qno]],stable[qno],0))</f>
        <v>0</v>
      </c>
      <c r="AI1090" s="126" t="b">
        <f>INDEX(stable[q_living_income],MATCH(questions[[#This Row],[qno]],stable[qno],0))</f>
        <v>0</v>
      </c>
      <c r="AJ1090" s="126" t="b">
        <f>INDEX(stable[q_carbon],MATCH(questions[[#This Row],[qno]],stable[qno],0))</f>
        <v>0</v>
      </c>
      <c r="AK1090" s="126" t="b">
        <f>INDEX(stable[q_regen_ag],MATCH(questions[[#This Row],[qno]],stable[qno],0))</f>
        <v>1</v>
      </c>
      <c r="AL1090" s="182"/>
      <c r="AM1090" s="179"/>
      <c r="AN1090" s="179"/>
      <c r="AO1090" s="179"/>
      <c r="AP1090" s="98" t="str">
        <f>LEFT(questions[[#This Row],[question]],similarity_range)</f>
        <v>Have you decreased o</v>
      </c>
      <c r="AQ1090" s="98" t="str">
        <f>LEFT(INDEX(stable[question],MATCH(questions[[#This Row],[qno]],stable[qno],0)),similarity_range)</f>
        <v>Have you decreased o</v>
      </c>
      <c r="AR1090" s="98" t="b">
        <f>questions[[#This Row],[question_first_characters]]=questions[[#This Row],[stability_first_characters]]</f>
        <v>1</v>
      </c>
      <c r="AS1090" s="98" t="b">
        <f>IF(OR(questions[[#This Row],[is_single_select]],questions[[#This Row],[is_multi_select]]),NOT(ISBLANK(questions[[#This Row],[answer_opt_combined]])),TRUE)</f>
        <v>1</v>
      </c>
    </row>
    <row r="1091" spans="1:45" s="77" customFormat="1" ht="15.75" customHeight="1" x14ac:dyDescent="0.25">
      <c r="A1091" s="77" t="str">
        <f>_xlfn.TEXTJOIN("_",TRUE,questions[[#This Row],[origin]:[qno]])</f>
        <v>Vietnam_Robusta_Nestle_Selecta_2025_7250</v>
      </c>
      <c r="B1091" s="77" t="s">
        <v>673</v>
      </c>
      <c r="C1091" s="77" t="s">
        <v>674</v>
      </c>
      <c r="D1091" s="77" t="s">
        <v>904</v>
      </c>
      <c r="E1091" s="77">
        <v>2025</v>
      </c>
      <c r="F1091" s="105" t="s">
        <v>414</v>
      </c>
      <c r="G1091" s="109" t="s">
        <v>944</v>
      </c>
      <c r="H1091" s="33" t="str" cm="1">
        <f t="array" ref="H1091">INDEX(stableR[question],MATCH(VALUE(questions[[#This Row],[qno]]),VALUE(stableR[qno]),0))</f>
        <v>Do you apply chemical herbicides to your coffee crop and how many (different active ingredients) per crop season?</v>
      </c>
      <c r="I1091" s="33" t="b" cm="1">
        <f t="array" ref="I1091">INDEX(stable[is_fixed],MATCH(VALUE(questions[[#This Row],[qno]]),VALUE(stable[qno]),0))</f>
        <v>1</v>
      </c>
      <c r="J1091" s="33" t="b" cm="1">
        <f t="array" ref="J1091">INDEX(stable[is_localized],MATCH(VALUE(questions[[#This Row],[qno]]),VALUE(stable[qno]),0))</f>
        <v>0</v>
      </c>
      <c r="K1091" s="33" t="b" cm="1">
        <f t="array" ref="K1091">INDEX(stable[is_supply_chain_dependent],MATCH(VALUE(questions[[#This Row],[qno]]),VALUE(stable[qno]),0))</f>
        <v>0</v>
      </c>
      <c r="L1091" s="33" t="b" cm="1">
        <f t="array" ref="L1091">INDEX(stable[is_mandatory],MATCH(VALUE(questions[[#This Row],[qno]]),VALUE(stable[qno]),0))</f>
        <v>1</v>
      </c>
      <c r="M1091" s="33" t="b" cm="1">
        <f t="array" ref="M1091">INDEX(stable[is_automated],MATCH(VALUE(questions[[#This Row],[qno]]),VALUE(stable[qno]),0))</f>
        <v>0</v>
      </c>
      <c r="N1091" s="33" t="b" cm="1">
        <f t="array" ref="N1091">INDEX(stable[is_free_text],MATCH(VALUE(questions[[#This Row],[qno]]),VALUE(stable[qno]),0))</f>
        <v>0</v>
      </c>
      <c r="O1091" s="33" t="b" cm="1">
        <f t="array" ref="O1091">INDEX(stable[is_numerical],MATCH(VALUE(questions[[#This Row],[qno]]),VALUE(stable[qno]),0))</f>
        <v>0</v>
      </c>
      <c r="P1091" s="77" t="b" cm="1">
        <f t="array" ref="P1091">INDEX(stable[is_single_select],MATCH(VALUE(questions[[#This Row],[qno]]),VALUE(stable[qno]),0))</f>
        <v>1</v>
      </c>
      <c r="Q1091" s="77" t="b" cm="1">
        <f t="array" ref="Q1091">INDEX(stable[is_multi_select],MATCH(VALUE(questions[[#This Row],[qno]]),VALUE(stable[qno]),0))</f>
        <v>0</v>
      </c>
      <c r="R1091" s="77" t="b" cm="1">
        <f t="array" ref="R1091">INDEX(stable[is_skip_logic],MATCH(VALUE(questions[[#This Row],[qno]]),VALUE(stable[qno]),0))</f>
        <v>1</v>
      </c>
      <c r="S1091" s="77" t="str">
        <f>_xlfn.TEXTJOIN(", ",TRUE,questions[[#This Row],[ans_opt_1]:[ans_opt_14]])</f>
        <v>No, Yes / 1-2 herbicides (active ingredients), Yes / 3-4 herbicides (active ingredients), Yes / &gt;=5 herbicides (active ingredients)</v>
      </c>
      <c r="T1091" s="110" t="s">
        <v>119</v>
      </c>
      <c r="U1091" s="110" t="s">
        <v>416</v>
      </c>
      <c r="V1091" s="110" t="s">
        <v>417</v>
      </c>
      <c r="W1091" s="110" t="s">
        <v>418</v>
      </c>
      <c r="X1091" s="110"/>
      <c r="Y1091" s="110"/>
      <c r="Z1091" s="110"/>
      <c r="AA1091" s="110"/>
      <c r="AB1091" s="110"/>
      <c r="AC1091" s="110"/>
      <c r="AD1091" s="110"/>
      <c r="AE1091" s="91"/>
      <c r="AF1091" s="91"/>
      <c r="AG1091" s="91"/>
      <c r="AH1091" s="126" t="b">
        <f>INDEX(stable[q_standard],MATCH(questions[[#This Row],[qno]],stable[qno],0))</f>
        <v>0</v>
      </c>
      <c r="AI1091" s="126" t="b">
        <f>INDEX(stable[q_living_income],MATCH(questions[[#This Row],[qno]],stable[qno],0))</f>
        <v>0</v>
      </c>
      <c r="AJ1091" s="126" t="b">
        <f>INDEX(stable[q_carbon],MATCH(questions[[#This Row],[qno]],stable[qno],0))</f>
        <v>0</v>
      </c>
      <c r="AK1091" s="126" t="b">
        <f>INDEX(stable[q_regen_ag],MATCH(questions[[#This Row],[qno]],stable[qno],0))</f>
        <v>1</v>
      </c>
      <c r="AL1091" s="126"/>
      <c r="AM1091" s="179"/>
      <c r="AN1091" s="179"/>
      <c r="AO1091" s="179"/>
      <c r="AP1091" s="98" t="str">
        <f>LEFT(questions[[#This Row],[question]],similarity_range)</f>
        <v>Did you use herbicid</v>
      </c>
      <c r="AQ1091" s="98" t="str">
        <f>LEFT(INDEX(stable[question],MATCH(questions[[#This Row],[qno]],stable[qno],0)),similarity_range)</f>
        <v>Did you use herbicid</v>
      </c>
      <c r="AR1091" s="98" t="b">
        <f>questions[[#This Row],[question_first_characters]]=questions[[#This Row],[stability_first_characters]]</f>
        <v>1</v>
      </c>
      <c r="AS1091" s="98" t="b">
        <f>IF(OR(questions[[#This Row],[is_single_select]],questions[[#This Row],[is_multi_select]]),NOT(ISBLANK(questions[[#This Row],[answer_opt_combined]])),TRUE)</f>
        <v>1</v>
      </c>
    </row>
    <row r="1092" spans="1:45" s="77" customFormat="1" ht="15.75" customHeight="1" x14ac:dyDescent="0.25">
      <c r="A1092" s="77" t="str">
        <f>_xlfn.TEXTJOIN("_",TRUE,questions[[#This Row],[origin]:[qno]])</f>
        <v>Vietnam_Robusta_Nestle_Selecta_2025_7251</v>
      </c>
      <c r="B1092" s="77" t="s">
        <v>673</v>
      </c>
      <c r="C1092" s="77" t="s">
        <v>674</v>
      </c>
      <c r="D1092" s="77" t="s">
        <v>904</v>
      </c>
      <c r="E1092" s="77">
        <v>2025</v>
      </c>
      <c r="F1092" s="108" t="s">
        <v>419</v>
      </c>
      <c r="G1092" s="109" t="s">
        <v>420</v>
      </c>
      <c r="H1092" s="33" t="str" cm="1">
        <f t="array" ref="H1092">INDEX(stableR[question],MATCH(VALUE(questions[[#This Row],[qno]]),VALUE(stableR[qno]),0))</f>
        <v>If yes, list the names of all the herbicides that you used, last year.</v>
      </c>
      <c r="I1092" s="33" t="b" cm="1">
        <f t="array" ref="I1092">INDEX(stable[is_fixed],MATCH(VALUE(questions[[#This Row],[qno]]),VALUE(stable[qno]),0))</f>
        <v>1</v>
      </c>
      <c r="J1092" s="33" t="b" cm="1">
        <f t="array" ref="J1092">INDEX(stable[is_localized],MATCH(VALUE(questions[[#This Row],[qno]]),VALUE(stable[qno]),0))</f>
        <v>0</v>
      </c>
      <c r="K1092" s="33" t="b" cm="1">
        <f t="array" ref="K1092">INDEX(stable[is_supply_chain_dependent],MATCH(VALUE(questions[[#This Row],[qno]]),VALUE(stable[qno]),0))</f>
        <v>0</v>
      </c>
      <c r="L1092" s="33" t="b" cm="1">
        <f t="array" ref="L1092">INDEX(stable[is_mandatory],MATCH(VALUE(questions[[#This Row],[qno]]),VALUE(stable[qno]),0))</f>
        <v>0</v>
      </c>
      <c r="M1092" s="33" t="b" cm="1">
        <f t="array" ref="M1092">INDEX(stable[is_automated],MATCH(VALUE(questions[[#This Row],[qno]]),VALUE(stable[qno]),0))</f>
        <v>0</v>
      </c>
      <c r="N1092" s="33" t="b" cm="1">
        <f t="array" ref="N1092">INDEX(stable[is_free_text],MATCH(VALUE(questions[[#This Row],[qno]]),VALUE(stable[qno]),0))</f>
        <v>0</v>
      </c>
      <c r="O1092" s="33" t="b" cm="1">
        <f t="array" ref="O1092">INDEX(stable[is_numerical],MATCH(VALUE(questions[[#This Row],[qno]]),VALUE(stable[qno]),0))</f>
        <v>0</v>
      </c>
      <c r="P1092" s="77" t="b" cm="1">
        <f t="array" ref="P1092">INDEX(stable[is_single_select],MATCH(VALUE(questions[[#This Row],[qno]]),VALUE(stable[qno]),0))</f>
        <v>1</v>
      </c>
      <c r="Q1092" s="77" t="b" cm="1">
        <f t="array" ref="Q1092">INDEX(stable[is_multi_select],MATCH(VALUE(questions[[#This Row],[qno]]),VALUE(stable[qno]),0))</f>
        <v>0</v>
      </c>
      <c r="R1092" s="77" t="b" cm="1">
        <f t="array" ref="R1092">INDEX(stable[is_skip_logic],MATCH(VALUE(questions[[#This Row],[qno]]),VALUE(stable[qno]),0))</f>
        <v>1</v>
      </c>
      <c r="S1092" s="77" t="str">
        <f>_xlfn.TEXTJOIN(", ",TRUE,questions[[#This Row],[ans_opt_1]:[ans_opt_14]])</f>
        <v>1% to 10% - very little, 11% to 20% - little, 21% to 50% - less than half, 51% to 75% - more than half, 76% to 100% - almost all</v>
      </c>
      <c r="T1092" s="110" t="s">
        <v>421</v>
      </c>
      <c r="U1092" s="110" t="s">
        <v>422</v>
      </c>
      <c r="V1092" s="110" t="s">
        <v>423</v>
      </c>
      <c r="W1092" s="110" t="s">
        <v>340</v>
      </c>
      <c r="X1092" s="110" t="s">
        <v>341</v>
      </c>
      <c r="Y1092" s="110"/>
      <c r="Z1092" s="110"/>
      <c r="AA1092" s="110"/>
      <c r="AB1092" s="110"/>
      <c r="AC1092" s="110"/>
      <c r="AD1092" s="110"/>
      <c r="AE1092" s="91"/>
      <c r="AF1092" s="91"/>
      <c r="AG1092" s="91"/>
      <c r="AH1092" s="126" t="b">
        <f>INDEX(stable[q_standard],MATCH(questions[[#This Row],[qno]],stable[qno],0))</f>
        <v>0</v>
      </c>
      <c r="AI1092" s="126" t="b">
        <f>INDEX(stable[q_living_income],MATCH(questions[[#This Row],[qno]],stable[qno],0))</f>
        <v>0</v>
      </c>
      <c r="AJ1092" s="126" t="b">
        <f>INDEX(stable[q_carbon],MATCH(questions[[#This Row],[qno]],stable[qno],0))</f>
        <v>0</v>
      </c>
      <c r="AK1092" s="126" t="b">
        <f>INDEX(stable[q_regen_ag],MATCH(questions[[#This Row],[qno]],stable[qno],0))</f>
        <v>1</v>
      </c>
      <c r="AL1092" s="127"/>
      <c r="AM1092" s="179"/>
      <c r="AN1092" s="179"/>
      <c r="AO1092" s="179"/>
      <c r="AP1092" s="98" t="str">
        <f>LEFT(questions[[#This Row],[question]],similarity_range)</f>
        <v>If you apply chemica</v>
      </c>
      <c r="AQ1092" s="98" t="str">
        <f>LEFT(INDEX(stable[question],MATCH(questions[[#This Row],[qno]],stable[qno],0)),similarity_range)</f>
        <v>If you apply chemica</v>
      </c>
      <c r="AR1092" s="98" t="b">
        <f>questions[[#This Row],[question_first_characters]]=questions[[#This Row],[stability_first_characters]]</f>
        <v>1</v>
      </c>
      <c r="AS1092" s="98" t="b">
        <f>IF(OR(questions[[#This Row],[is_single_select]],questions[[#This Row],[is_multi_select]]),NOT(ISBLANK(questions[[#This Row],[answer_opt_combined]])),TRUE)</f>
        <v>1</v>
      </c>
    </row>
    <row r="1093" spans="1:45" s="77" customFormat="1" ht="15.75" customHeight="1" x14ac:dyDescent="0.25">
      <c r="A1093" s="77" t="str">
        <f>_xlfn.TEXTJOIN("_",TRUE,questions[[#This Row],[origin]:[qno]])</f>
        <v>Vietnam_Robusta_Nestle_Selecta_2025_7252</v>
      </c>
      <c r="B1093" s="77" t="s">
        <v>673</v>
      </c>
      <c r="C1093" s="77" t="s">
        <v>674</v>
      </c>
      <c r="D1093" s="77" t="s">
        <v>904</v>
      </c>
      <c r="E1093" s="77">
        <v>2025</v>
      </c>
      <c r="F1093" s="105" t="s">
        <v>424</v>
      </c>
      <c r="G1093" s="109" t="s">
        <v>425</v>
      </c>
      <c r="H1093" s="33" t="str" cm="1">
        <f t="array" ref="H1093">INDEX(stableR[question],MATCH(VALUE(questions[[#This Row],[qno]]),VALUE(stableR[qno]),0))</f>
        <v>If applying herbicides, to which % of area of the coffee plots? e.g. if the coffee area is 1 hectare and herbicides are sprayed to only 0.5 hectare (where there is high weed pressure), then it is 50%</v>
      </c>
      <c r="I1093" s="33" t="b" cm="1">
        <f t="array" ref="I1093">INDEX(stable[is_fixed],MATCH(VALUE(questions[[#This Row],[qno]]),VALUE(stable[qno]),0))</f>
        <v>1</v>
      </c>
      <c r="J1093" s="33" t="b" cm="1">
        <f t="array" ref="J1093">INDEX(stable[is_localized],MATCH(VALUE(questions[[#This Row],[qno]]),VALUE(stable[qno]),0))</f>
        <v>0</v>
      </c>
      <c r="K1093" s="33" t="b" cm="1">
        <f t="array" ref="K1093">INDEX(stable[is_supply_chain_dependent],MATCH(VALUE(questions[[#This Row],[qno]]),VALUE(stable[qno]),0))</f>
        <v>0</v>
      </c>
      <c r="L1093" s="33" t="b" cm="1">
        <f t="array" ref="L1093">INDEX(stable[is_mandatory],MATCH(VALUE(questions[[#This Row],[qno]]),VALUE(stable[qno]),0))</f>
        <v>0</v>
      </c>
      <c r="M1093" s="33" t="b" cm="1">
        <f t="array" ref="M1093">INDEX(stable[is_automated],MATCH(VALUE(questions[[#This Row],[qno]]),VALUE(stable[qno]),0))</f>
        <v>0</v>
      </c>
      <c r="N1093" s="33" t="b" cm="1">
        <f t="array" ref="N1093">INDEX(stable[is_free_text],MATCH(VALUE(questions[[#This Row],[qno]]),VALUE(stable[qno]),0))</f>
        <v>0</v>
      </c>
      <c r="O1093" s="33" t="b" cm="1">
        <f t="array" ref="O1093">INDEX(stable[is_numerical],MATCH(VALUE(questions[[#This Row],[qno]]),VALUE(stable[qno]),0))</f>
        <v>0</v>
      </c>
      <c r="P1093" s="77" t="b" cm="1">
        <f t="array" ref="P1093">INDEX(stable[is_single_select],MATCH(VALUE(questions[[#This Row],[qno]]),VALUE(stable[qno]),0))</f>
        <v>1</v>
      </c>
      <c r="Q1093" s="77" t="b" cm="1">
        <f t="array" ref="Q1093">INDEX(stable[is_multi_select],MATCH(VALUE(questions[[#This Row],[qno]]),VALUE(stable[qno]),0))</f>
        <v>0</v>
      </c>
      <c r="R1093" s="77" t="b" cm="1">
        <f t="array" ref="R1093">INDEX(stable[is_skip_logic],MATCH(VALUE(questions[[#This Row],[qno]]),VALUE(stable[qno]),0))</f>
        <v>1</v>
      </c>
      <c r="S1093" s="77" t="str">
        <f>_xlfn.TEXTJOIN(", ",TRUE,questions[[#This Row],[ans_opt_1]:[ans_opt_14]])</f>
        <v>Yes, No</v>
      </c>
      <c r="T1093" s="110" t="s">
        <v>149</v>
      </c>
      <c r="U1093" s="110" t="s">
        <v>119</v>
      </c>
      <c r="V1093" s="110"/>
      <c r="W1093" s="110"/>
      <c r="X1093" s="110"/>
      <c r="Y1093" s="110"/>
      <c r="Z1093" s="110"/>
      <c r="AA1093" s="110"/>
      <c r="AB1093" s="110"/>
      <c r="AC1093" s="110"/>
      <c r="AD1093" s="110"/>
      <c r="AE1093" s="91"/>
      <c r="AF1093" s="91"/>
      <c r="AG1093" s="91"/>
      <c r="AH1093" s="126" t="b">
        <f>INDEX(stable[q_standard],MATCH(questions[[#This Row],[qno]],stable[qno],0))</f>
        <v>0</v>
      </c>
      <c r="AI1093" s="126" t="b">
        <f>INDEX(stable[q_living_income],MATCH(questions[[#This Row],[qno]],stable[qno],0))</f>
        <v>0</v>
      </c>
      <c r="AJ1093" s="126" t="b">
        <f>INDEX(stable[q_carbon],MATCH(questions[[#This Row],[qno]],stable[qno],0))</f>
        <v>0</v>
      </c>
      <c r="AK1093" s="126" t="b">
        <f>INDEX(stable[q_regen_ag],MATCH(questions[[#This Row],[qno]],stable[qno],0))</f>
        <v>1</v>
      </c>
      <c r="AL1093" s="127"/>
      <c r="AM1093" s="179"/>
      <c r="AN1093" s="179"/>
      <c r="AO1093" s="179"/>
      <c r="AP1093" s="98" t="str">
        <f>LEFT(questions[[#This Row],[question]],similarity_range)</f>
        <v>If applying herbicid</v>
      </c>
      <c r="AQ1093" s="98" t="str">
        <f>LEFT(INDEX(stable[question],MATCH(questions[[#This Row],[qno]],stable[qno],0)),similarity_range)</f>
        <v>If applying herbicid</v>
      </c>
      <c r="AR1093" s="98" t="b">
        <f>questions[[#This Row],[question_first_characters]]=questions[[#This Row],[stability_first_characters]]</f>
        <v>1</v>
      </c>
      <c r="AS1093" s="98" t="b">
        <f>IF(OR(questions[[#This Row],[is_single_select]],questions[[#This Row],[is_multi_select]]),NOT(ISBLANK(questions[[#This Row],[answer_opt_combined]])),TRUE)</f>
        <v>1</v>
      </c>
    </row>
    <row r="1094" spans="1:45" s="77" customFormat="1" ht="15.75" customHeight="1" x14ac:dyDescent="0.25">
      <c r="A1094" s="77" t="str">
        <f>_xlfn.TEXTJOIN("_",TRUE,questions[[#This Row],[origin]:[qno]])</f>
        <v>Vietnam_Robusta_Nestle_Selecta_2025_7253</v>
      </c>
      <c r="B1094" s="77" t="s">
        <v>673</v>
      </c>
      <c r="C1094" s="77" t="s">
        <v>674</v>
      </c>
      <c r="D1094" s="77" t="s">
        <v>904</v>
      </c>
      <c r="E1094" s="77">
        <v>2025</v>
      </c>
      <c r="F1094" s="105" t="s">
        <v>426</v>
      </c>
      <c r="G1094" s="223" t="s">
        <v>427</v>
      </c>
      <c r="H1094" s="33" t="str" cm="1">
        <f t="array" ref="H1094">INDEX(stableR[question],MATCH(VALUE(questions[[#This Row],[qno]]),VALUE(stableR[qno]),0))</f>
        <v>If applying herbicides, can you prove that all are locally authorized for coffee use, and that you respect the doses and post-harvest intervals of the label of the product. If applying herbicides, to which % of area of the coffee plots? e.g. if the coffee area is 1 hectare and herbicides are sprayed to only 0.5 hectare (where there is high weed pressure), then it is 50%</v>
      </c>
      <c r="I1094" s="33" t="b" cm="1">
        <f t="array" ref="I1094">INDEX(stable[is_fixed],MATCH(VALUE(questions[[#This Row],[qno]]),VALUE(stable[qno]),0))</f>
        <v>1</v>
      </c>
      <c r="J1094" s="33" t="b" cm="1">
        <f t="array" ref="J1094">INDEX(stable[is_localized],MATCH(VALUE(questions[[#This Row],[qno]]),VALUE(stable[qno]),0))</f>
        <v>0</v>
      </c>
      <c r="K1094" s="33" t="b" cm="1">
        <f t="array" ref="K1094">INDEX(stable[is_supply_chain_dependent],MATCH(VALUE(questions[[#This Row],[qno]]),VALUE(stable[qno]),0))</f>
        <v>0</v>
      </c>
      <c r="L1094" s="33" t="b" cm="1">
        <f t="array" ref="L1094">INDEX(stable[is_mandatory],MATCH(VALUE(questions[[#This Row],[qno]]),VALUE(stable[qno]),0))</f>
        <v>1</v>
      </c>
      <c r="M1094" s="33" t="b" cm="1">
        <f t="array" ref="M1094">INDEX(stable[is_automated],MATCH(VALUE(questions[[#This Row],[qno]]),VALUE(stable[qno]),0))</f>
        <v>0</v>
      </c>
      <c r="N1094" s="33" t="b" cm="1">
        <f t="array" ref="N1094">INDEX(stable[is_free_text],MATCH(VALUE(questions[[#This Row],[qno]]),VALUE(stable[qno]),0))</f>
        <v>0</v>
      </c>
      <c r="O1094" s="33" t="b" cm="1">
        <f t="array" ref="O1094">INDEX(stable[is_numerical],MATCH(VALUE(questions[[#This Row],[qno]]),VALUE(stable[qno]),0))</f>
        <v>0</v>
      </c>
      <c r="P1094" s="77" t="b" cm="1">
        <f t="array" ref="P1094">INDEX(stable[is_single_select],MATCH(VALUE(questions[[#This Row],[qno]]),VALUE(stable[qno]),0))</f>
        <v>1</v>
      </c>
      <c r="Q1094" s="77" t="b" cm="1">
        <f t="array" ref="Q1094">INDEX(stable[is_multi_select],MATCH(VALUE(questions[[#This Row],[qno]]),VALUE(stable[qno]),0))</f>
        <v>0</v>
      </c>
      <c r="R1094" s="77" t="b" cm="1">
        <f t="array" ref="R1094">INDEX(stable[is_skip_logic],MATCH(VALUE(questions[[#This Row],[qno]]),VALUE(stable[qno]),0))</f>
        <v>1</v>
      </c>
      <c r="S1094" s="77" t="str">
        <f>_xlfn.TEXTJOIN(", ",TRUE,questions[[#This Row],[ans_opt_1]:[ans_opt_14]])</f>
        <v>Manual removal, Mechanical removal, Mulching, Cover crops, Cover crops, Amix of different systems</v>
      </c>
      <c r="T1094" s="77" t="s">
        <v>428</v>
      </c>
      <c r="U1094" s="77" t="s">
        <v>429</v>
      </c>
      <c r="V1094" s="77" t="s">
        <v>430</v>
      </c>
      <c r="W1094" s="77" t="s">
        <v>431</v>
      </c>
      <c r="X1094" s="77" t="s">
        <v>431</v>
      </c>
      <c r="Y1094" s="131" t="s">
        <v>806</v>
      </c>
      <c r="Z1094" s="110"/>
      <c r="AA1094" s="110"/>
      <c r="AB1094" s="110"/>
      <c r="AC1094" s="110"/>
      <c r="AD1094" s="110"/>
      <c r="AE1094" s="91"/>
      <c r="AF1094" s="91"/>
      <c r="AG1094" s="91"/>
      <c r="AH1094" s="126" t="b">
        <f>INDEX(stable[q_standard],MATCH(questions[[#This Row],[qno]],stable[qno],0))</f>
        <v>0</v>
      </c>
      <c r="AI1094" s="126" t="b">
        <f>INDEX(stable[q_living_income],MATCH(questions[[#This Row],[qno]],stable[qno],0))</f>
        <v>0</v>
      </c>
      <c r="AJ1094" s="126" t="b">
        <f>INDEX(stable[q_carbon],MATCH(questions[[#This Row],[qno]],stable[qno],0))</f>
        <v>0</v>
      </c>
      <c r="AK1094" s="126" t="b">
        <f>INDEX(stable[q_regen_ag],MATCH(questions[[#This Row],[qno]],stable[qno],0))</f>
        <v>1</v>
      </c>
      <c r="AL1094" s="127"/>
      <c r="AM1094" s="179"/>
      <c r="AN1094" s="179"/>
      <c r="AO1094" s="179"/>
      <c r="AP1094" s="98" t="str">
        <f>LEFT(questions[[#This Row],[question]],similarity_range)</f>
        <v>If you use or do not</v>
      </c>
      <c r="AQ1094" s="98" t="str">
        <f>LEFT(INDEX(stable[question],MATCH(questions[[#This Row],[qno]],stable[qno],0)),similarity_range)</f>
        <v>If you use or do not</v>
      </c>
      <c r="AR1094" s="98" t="b">
        <f>questions[[#This Row],[question_first_characters]]=questions[[#This Row],[stability_first_characters]]</f>
        <v>1</v>
      </c>
      <c r="AS1094" s="98" t="b">
        <f>IF(OR(questions[[#This Row],[is_single_select]],questions[[#This Row],[is_multi_select]]),NOT(ISBLANK(questions[[#This Row],[answer_opt_combined]])),TRUE)</f>
        <v>1</v>
      </c>
    </row>
    <row r="1095" spans="1:45" s="77" customFormat="1" ht="15.75" customHeight="1" x14ac:dyDescent="0.25">
      <c r="A1095" s="77" t="str">
        <f>_xlfn.TEXTJOIN("_",TRUE,questions[[#This Row],[origin]:[qno]])</f>
        <v>Vietnam_Robusta_Nestle_Selecta_2025_7300</v>
      </c>
      <c r="B1095" s="77" t="s">
        <v>673</v>
      </c>
      <c r="C1095" s="77" t="s">
        <v>674</v>
      </c>
      <c r="D1095" s="77" t="s">
        <v>904</v>
      </c>
      <c r="E1095" s="77">
        <v>2025</v>
      </c>
      <c r="F1095" s="105" t="s">
        <v>433</v>
      </c>
      <c r="G1095" s="109" t="s">
        <v>434</v>
      </c>
      <c r="H1095" s="33" t="str" cm="1">
        <f t="array" ref="H1095">INDEX(stableR[question],MATCH(VALUE(questions[[#This Row],[qno]]),VALUE(stableR[qno]),0))</f>
        <v>Do you irrigate your coffee crop and if yes, what irrigation system/s do you use? If the answer is NO, you do not need to answer the next question</v>
      </c>
      <c r="I1095" s="33" t="b" cm="1">
        <f t="array" ref="I1095">INDEX(stable[is_fixed],MATCH(VALUE(questions[[#This Row],[qno]]),VALUE(stable[qno]),0))</f>
        <v>1</v>
      </c>
      <c r="J1095" s="33" t="b" cm="1">
        <f t="array" ref="J1095">INDEX(stable[is_localized],MATCH(VALUE(questions[[#This Row],[qno]]),VALUE(stable[qno]),0))</f>
        <v>0</v>
      </c>
      <c r="K1095" s="33" t="b" cm="1">
        <f t="array" ref="K1095">INDEX(stable[is_supply_chain_dependent],MATCH(VALUE(questions[[#This Row],[qno]]),VALUE(stable[qno]),0))</f>
        <v>0</v>
      </c>
      <c r="L1095" s="33" t="b" cm="1">
        <f t="array" ref="L1095">INDEX(stable[is_mandatory],MATCH(VALUE(questions[[#This Row],[qno]]),VALUE(stable[qno]),0))</f>
        <v>1</v>
      </c>
      <c r="M1095" s="33" t="b" cm="1">
        <f t="array" ref="M1095">INDEX(stable[is_automated],MATCH(VALUE(questions[[#This Row],[qno]]),VALUE(stable[qno]),0))</f>
        <v>0</v>
      </c>
      <c r="N1095" s="33" t="b" cm="1">
        <f t="array" ref="N1095">INDEX(stable[is_free_text],MATCH(VALUE(questions[[#This Row],[qno]]),VALUE(stable[qno]),0))</f>
        <v>0</v>
      </c>
      <c r="O1095" s="33" t="b" cm="1">
        <f t="array" ref="O1095">INDEX(stable[is_numerical],MATCH(VALUE(questions[[#This Row],[qno]]),VALUE(stable[qno]),0))</f>
        <v>0</v>
      </c>
      <c r="P1095" s="77" t="b" cm="1">
        <f t="array" ref="P1095">INDEX(stable[is_single_select],MATCH(VALUE(questions[[#This Row],[qno]]),VALUE(stable[qno]),0))</f>
        <v>1</v>
      </c>
      <c r="Q1095" s="77" t="b" cm="1">
        <f t="array" ref="Q1095">INDEX(stable[is_multi_select],MATCH(VALUE(questions[[#This Row],[qno]]),VALUE(stable[qno]),0))</f>
        <v>0</v>
      </c>
      <c r="R1095" s="77" t="b" cm="1">
        <f t="array" ref="R1095">INDEX(stable[is_skip_logic],MATCH(VALUE(questions[[#This Row],[qno]]),VALUE(stable[qno]),0))</f>
        <v>0</v>
      </c>
      <c r="S1095" s="77" t="str">
        <f>_xlfn.TEXTJOIN(", ",TRUE,questions[[#This Row],[ans_opt_1]:[ans_opt_14]])</f>
        <v>No, Yes / drip irrigation, Yes / minisprinkler irrigation, Yes / overhead irrigation (sprinklers, pivot, rain gun), Yes / flood-furrow-hose pipe irrigation</v>
      </c>
      <c r="T1095" s="77" t="s">
        <v>119</v>
      </c>
      <c r="U1095" s="77" t="s">
        <v>435</v>
      </c>
      <c r="V1095" s="77" t="s">
        <v>436</v>
      </c>
      <c r="W1095" s="77" t="s">
        <v>437</v>
      </c>
      <c r="X1095" s="77" t="s">
        <v>438</v>
      </c>
      <c r="AA1095" s="110"/>
      <c r="AB1095" s="110"/>
      <c r="AC1095" s="110"/>
      <c r="AD1095" s="110"/>
      <c r="AE1095" s="91"/>
      <c r="AF1095" s="91"/>
      <c r="AG1095" s="91"/>
      <c r="AH1095" s="126" t="b">
        <f>INDEX(stable[q_standard],MATCH(questions[[#This Row],[qno]],stable[qno],0))</f>
        <v>0</v>
      </c>
      <c r="AI1095" s="126" t="b">
        <f>INDEX(stable[q_living_income],MATCH(questions[[#This Row],[qno]],stable[qno],0))</f>
        <v>0</v>
      </c>
      <c r="AJ1095" s="126" t="b">
        <f>INDEX(stable[q_carbon],MATCH(questions[[#This Row],[qno]],stable[qno],0))</f>
        <v>0</v>
      </c>
      <c r="AK1095" s="126" t="b">
        <f>INDEX(stable[q_regen_ag],MATCH(questions[[#This Row],[qno]],stable[qno],0))</f>
        <v>1</v>
      </c>
      <c r="AL1095" s="183"/>
      <c r="AM1095" s="179"/>
      <c r="AN1095" s="179"/>
      <c r="AO1095" s="179"/>
      <c r="AP1095" s="98" t="str">
        <f>LEFT(questions[[#This Row],[question]],similarity_range)</f>
        <v>Do you irrigate your</v>
      </c>
      <c r="AQ1095" s="98" t="str">
        <f>LEFT(INDEX(stable[question],MATCH(questions[[#This Row],[qno]],stable[qno],0)),similarity_range)</f>
        <v>Do you irrigate your</v>
      </c>
      <c r="AR1095" s="98" t="b">
        <f>questions[[#This Row],[question_first_characters]]=questions[[#This Row],[stability_first_characters]]</f>
        <v>1</v>
      </c>
      <c r="AS1095" s="98" t="b">
        <f>IF(OR(questions[[#This Row],[is_single_select]],questions[[#This Row],[is_multi_select]]),NOT(ISBLANK(questions[[#This Row],[answer_opt_combined]])),TRUE)</f>
        <v>1</v>
      </c>
    </row>
    <row r="1096" spans="1:45" s="77" customFormat="1" ht="15.75" customHeight="1" x14ac:dyDescent="0.25">
      <c r="A1096" s="77" t="str">
        <f>_xlfn.TEXTJOIN("_",TRUE,questions[[#This Row],[origin]:[qno]])</f>
        <v>Vietnam_Robusta_Nestle_Selecta_2025_7301</v>
      </c>
      <c r="B1096" s="77" t="s">
        <v>673</v>
      </c>
      <c r="C1096" s="77" t="s">
        <v>674</v>
      </c>
      <c r="D1096" s="77" t="s">
        <v>904</v>
      </c>
      <c r="E1096" s="77">
        <v>2025</v>
      </c>
      <c r="F1096" s="105" t="s">
        <v>439</v>
      </c>
      <c r="G1096" s="109" t="s">
        <v>440</v>
      </c>
      <c r="H1096" s="33" t="str" cm="1">
        <f t="array" ref="H1096">INDEX(stableR[question],MATCH(VALUE(questions[[#This Row],[qno]]),VALUE(stableR[qno]),0))</f>
        <v>Do you have a systems to know when and how much to irrigate and according to the irrigation system (balance sheet with rainfall and evapotranspiration, sensors, irrigation app-software, weather stations...)?</v>
      </c>
      <c r="I1096" s="33" t="b" cm="1">
        <f t="array" ref="I1096">INDEX(stable[is_fixed],MATCH(VALUE(questions[[#This Row],[qno]]),VALUE(stable[qno]),0))</f>
        <v>1</v>
      </c>
      <c r="J1096" s="33" t="b" cm="1">
        <f t="array" ref="J1096">INDEX(stable[is_localized],MATCH(VALUE(questions[[#This Row],[qno]]),VALUE(stable[qno]),0))</f>
        <v>0</v>
      </c>
      <c r="K1096" s="33" t="b" cm="1">
        <f t="array" ref="K1096">INDEX(stable[is_supply_chain_dependent],MATCH(VALUE(questions[[#This Row],[qno]]),VALUE(stable[qno]),0))</f>
        <v>0</v>
      </c>
      <c r="L1096" s="33" t="b" cm="1">
        <f t="array" ref="L1096">INDEX(stable[is_mandatory],MATCH(VALUE(questions[[#This Row],[qno]]),VALUE(stable[qno]),0))</f>
        <v>0</v>
      </c>
      <c r="M1096" s="33" t="b" cm="1">
        <f t="array" ref="M1096">INDEX(stable[is_automated],MATCH(VALUE(questions[[#This Row],[qno]]),VALUE(stable[qno]),0))</f>
        <v>0</v>
      </c>
      <c r="N1096" s="33" t="b" cm="1">
        <f t="array" ref="N1096">INDEX(stable[is_free_text],MATCH(VALUE(questions[[#This Row],[qno]]),VALUE(stable[qno]),0))</f>
        <v>0</v>
      </c>
      <c r="O1096" s="33" t="b" cm="1">
        <f t="array" ref="O1096">INDEX(stable[is_numerical],MATCH(VALUE(questions[[#This Row],[qno]]),VALUE(stable[qno]),0))</f>
        <v>0</v>
      </c>
      <c r="P1096" s="77" t="b" cm="1">
        <f t="array" ref="P1096">INDEX(stable[is_single_select],MATCH(VALUE(questions[[#This Row],[qno]]),VALUE(stable[qno]),0))</f>
        <v>1</v>
      </c>
      <c r="Q1096" s="77" t="b" cm="1">
        <f t="array" ref="Q1096">INDEX(stable[is_multi_select],MATCH(VALUE(questions[[#This Row],[qno]]),VALUE(stable[qno]),0))</f>
        <v>0</v>
      </c>
      <c r="R1096" s="77" t="b" cm="1">
        <f t="array" ref="R1096">INDEX(stable[is_skip_logic],MATCH(VALUE(questions[[#This Row],[qno]]),VALUE(stable[qno]),0))</f>
        <v>0</v>
      </c>
      <c r="S1096" s="77" t="str">
        <f>_xlfn.TEXTJOIN(", ",TRUE,questions[[#This Row],[ans_opt_1]:[ans_opt_14]])</f>
        <v>Yes, No</v>
      </c>
      <c r="T1096" s="110" t="s">
        <v>149</v>
      </c>
      <c r="U1096" s="110" t="s">
        <v>119</v>
      </c>
      <c r="V1096" s="110"/>
      <c r="W1096" s="110"/>
      <c r="X1096" s="110"/>
      <c r="Y1096" s="110"/>
      <c r="Z1096" s="110"/>
      <c r="AA1096" s="110"/>
      <c r="AB1096" s="110"/>
      <c r="AC1096" s="110"/>
      <c r="AD1096" s="110"/>
      <c r="AE1096" s="91"/>
      <c r="AF1096" s="91"/>
      <c r="AG1096" s="91"/>
      <c r="AH1096" s="126" t="b">
        <f>INDEX(stable[q_standard],MATCH(questions[[#This Row],[qno]],stable[qno],0))</f>
        <v>0</v>
      </c>
      <c r="AI1096" s="126" t="b">
        <f>INDEX(stable[q_living_income],MATCH(questions[[#This Row],[qno]],stable[qno],0))</f>
        <v>0</v>
      </c>
      <c r="AJ1096" s="126" t="b">
        <f>INDEX(stable[q_carbon],MATCH(questions[[#This Row],[qno]],stable[qno],0))</f>
        <v>0</v>
      </c>
      <c r="AK1096" s="126" t="b">
        <f>INDEX(stable[q_regen_ag],MATCH(questions[[#This Row],[qno]],stable[qno],0))</f>
        <v>1</v>
      </c>
      <c r="AL1096" s="183"/>
      <c r="AM1096" s="179"/>
      <c r="AN1096" s="179"/>
      <c r="AO1096" s="179"/>
      <c r="AP1096" s="98" t="str">
        <f>LEFT(questions[[#This Row],[question]],similarity_range)</f>
        <v>Do you have a system</v>
      </c>
      <c r="AQ1096" s="98" t="str">
        <f>LEFT(INDEX(stable[question],MATCH(questions[[#This Row],[qno]],stable[qno],0)),similarity_range)</f>
        <v>Do you have a system</v>
      </c>
      <c r="AR1096" s="98" t="b">
        <f>questions[[#This Row],[question_first_characters]]=questions[[#This Row],[stability_first_characters]]</f>
        <v>1</v>
      </c>
      <c r="AS1096" s="98" t="b">
        <f>IF(OR(questions[[#This Row],[is_single_select]],questions[[#This Row],[is_multi_select]]),NOT(ISBLANK(questions[[#This Row],[answer_opt_combined]])),TRUE)</f>
        <v>1</v>
      </c>
    </row>
    <row r="1097" spans="1:45" s="77" customFormat="1" ht="15.75" customHeight="1" x14ac:dyDescent="0.25">
      <c r="A1097" s="77" t="str">
        <f>_xlfn.TEXTJOIN("_",TRUE,questions[[#This Row],[origin]:[qno]])</f>
        <v>Vietnam_Robusta_Nestle_Selecta_2025_7400</v>
      </c>
      <c r="B1097" s="77" t="s">
        <v>673</v>
      </c>
      <c r="C1097" s="77" t="s">
        <v>674</v>
      </c>
      <c r="D1097" s="77" t="s">
        <v>904</v>
      </c>
      <c r="E1097" s="77">
        <v>2025</v>
      </c>
      <c r="F1097" s="105" t="s">
        <v>441</v>
      </c>
      <c r="G1097" s="109" t="s">
        <v>442</v>
      </c>
      <c r="H1097" s="33" t="str" cm="1">
        <f t="array" ref="H1097">INDEX(stableR[question],MATCH(VALUE(questions[[#This Row],[qno]]),VALUE(stableR[qno]),0))</f>
        <v>Are you implementing a plan to renovate/rehabilitate the coffee trees of your coffee plots? e.g. stumping, partial stumping, capping, side pruning, uprooting and replanting, uprooting and planting new trees, or a mix of systems. If the answer is NO, you do not need to answer the next 2 questions</v>
      </c>
      <c r="I1097" s="33" t="b" cm="1">
        <f t="array" ref="I1097">INDEX(stable[is_fixed],MATCH(VALUE(questions[[#This Row],[qno]]),VALUE(stable[qno]),0))</f>
        <v>1</v>
      </c>
      <c r="J1097" s="33" t="b" cm="1">
        <f t="array" ref="J1097">INDEX(stable[is_localized],MATCH(VALUE(questions[[#This Row],[qno]]),VALUE(stable[qno]),0))</f>
        <v>0</v>
      </c>
      <c r="K1097" s="33" t="b" cm="1">
        <f t="array" ref="K1097">INDEX(stable[is_supply_chain_dependent],MATCH(VALUE(questions[[#This Row],[qno]]),VALUE(stable[qno]),0))</f>
        <v>0</v>
      </c>
      <c r="L1097" s="33" t="b" cm="1">
        <f t="array" ref="L1097">INDEX(stable[is_mandatory],MATCH(VALUE(questions[[#This Row],[qno]]),VALUE(stable[qno]),0))</f>
        <v>1</v>
      </c>
      <c r="M1097" s="33" t="b" cm="1">
        <f t="array" ref="M1097">INDEX(stable[is_automated],MATCH(VALUE(questions[[#This Row],[qno]]),VALUE(stable[qno]),0))</f>
        <v>0</v>
      </c>
      <c r="N1097" s="33" t="b" cm="1">
        <f t="array" ref="N1097">INDEX(stable[is_free_text],MATCH(VALUE(questions[[#This Row],[qno]]),VALUE(stable[qno]),0))</f>
        <v>0</v>
      </c>
      <c r="O1097" s="33" t="b" cm="1">
        <f t="array" ref="O1097">INDEX(stable[is_numerical],MATCH(VALUE(questions[[#This Row],[qno]]),VALUE(stable[qno]),0))</f>
        <v>0</v>
      </c>
      <c r="P1097" s="77" t="b" cm="1">
        <f t="array" ref="P1097">INDEX(stable[is_single_select],MATCH(VALUE(questions[[#This Row],[qno]]),VALUE(stable[qno]),0))</f>
        <v>1</v>
      </c>
      <c r="Q1097" s="77" t="b" cm="1">
        <f t="array" ref="Q1097">INDEX(stable[is_multi_select],MATCH(VALUE(questions[[#This Row],[qno]]),VALUE(stable[qno]),0))</f>
        <v>0</v>
      </c>
      <c r="R1097" s="77" t="b" cm="1">
        <f t="array" ref="R1097">INDEX(stable[is_skip_logic],MATCH(VALUE(questions[[#This Row],[qno]]),VALUE(stable[qno]),0))</f>
        <v>1</v>
      </c>
      <c r="S1097" s="77" t="str">
        <f>_xlfn.TEXTJOIN(", ",TRUE,questions[[#This Row],[ans_opt_1]:[ans_opt_14]])</f>
        <v>Yes, No</v>
      </c>
      <c r="T1097" s="110" t="s">
        <v>149</v>
      </c>
      <c r="U1097" s="110" t="s">
        <v>119</v>
      </c>
      <c r="V1097" s="110"/>
      <c r="W1097" s="110"/>
      <c r="X1097" s="110"/>
      <c r="Y1097" s="110"/>
      <c r="Z1097" s="110"/>
      <c r="AA1097" s="110"/>
      <c r="AB1097" s="110"/>
      <c r="AC1097" s="110"/>
      <c r="AD1097" s="110"/>
      <c r="AE1097" s="91"/>
      <c r="AF1097" s="91"/>
      <c r="AG1097" s="91"/>
      <c r="AH1097" s="126" t="b">
        <f>INDEX(stable[q_standard],MATCH(questions[[#This Row],[qno]],stable[qno],0))</f>
        <v>0</v>
      </c>
      <c r="AI1097" s="126" t="b">
        <f>INDEX(stable[q_living_income],MATCH(questions[[#This Row],[qno]],stable[qno],0))</f>
        <v>0</v>
      </c>
      <c r="AJ1097" s="126" t="b">
        <f>INDEX(stable[q_carbon],MATCH(questions[[#This Row],[qno]],stable[qno],0))</f>
        <v>0</v>
      </c>
      <c r="AK1097" s="126" t="b">
        <f>INDEX(stable[q_regen_ag],MATCH(questions[[#This Row],[qno]],stable[qno],0))</f>
        <v>1</v>
      </c>
      <c r="AL1097" s="184"/>
      <c r="AM1097" s="179"/>
      <c r="AN1097" s="179"/>
      <c r="AO1097" s="179"/>
      <c r="AP1097" s="98" t="str">
        <f>LEFT(questions[[#This Row],[question]],similarity_range)</f>
        <v>Are you implementing</v>
      </c>
      <c r="AQ1097" s="98" t="str">
        <f>LEFT(INDEX(stable[question],MATCH(questions[[#This Row],[qno]],stable[qno],0)),similarity_range)</f>
        <v>Are you implementing</v>
      </c>
      <c r="AR1097" s="98" t="b">
        <f>questions[[#This Row],[question_first_characters]]=questions[[#This Row],[stability_first_characters]]</f>
        <v>1</v>
      </c>
      <c r="AS1097" s="98" t="b">
        <f>IF(OR(questions[[#This Row],[is_single_select]],questions[[#This Row],[is_multi_select]]),NOT(ISBLANK(questions[[#This Row],[answer_opt_combined]])),TRUE)</f>
        <v>1</v>
      </c>
    </row>
    <row r="1098" spans="1:45" s="77" customFormat="1" ht="15.75" customHeight="1" x14ac:dyDescent="0.25">
      <c r="A1098" s="77" t="str">
        <f>_xlfn.TEXTJOIN("_",TRUE,questions[[#This Row],[origin]:[qno]])</f>
        <v>Vietnam_Robusta_Nestle_Selecta_2025_7401</v>
      </c>
      <c r="B1098" s="77" t="s">
        <v>673</v>
      </c>
      <c r="C1098" s="77" t="s">
        <v>674</v>
      </c>
      <c r="D1098" s="77" t="s">
        <v>904</v>
      </c>
      <c r="E1098" s="77">
        <v>2025</v>
      </c>
      <c r="F1098" s="105" t="s">
        <v>443</v>
      </c>
      <c r="G1098" s="109" t="s">
        <v>444</v>
      </c>
      <c r="H1098" s="33" t="str" cm="1">
        <f t="array" ref="H1098">INDEX(stableR[question],MATCH(VALUE(questions[[#This Row],[qno]]),VALUE(stableR[qno]),0))</f>
        <v>What % or proportion of trees have you renovated/rehabilitated in last 3 years?</v>
      </c>
      <c r="I1098" s="33" t="b" cm="1">
        <f t="array" ref="I1098">INDEX(stable[is_fixed],MATCH(VALUE(questions[[#This Row],[qno]]),VALUE(stable[qno]),0))</f>
        <v>1</v>
      </c>
      <c r="J1098" s="33" t="b" cm="1">
        <f t="array" ref="J1098">INDEX(stable[is_localized],MATCH(VALUE(questions[[#This Row],[qno]]),VALUE(stable[qno]),0))</f>
        <v>0</v>
      </c>
      <c r="K1098" s="33" t="b" cm="1">
        <f t="array" ref="K1098">INDEX(stable[is_supply_chain_dependent],MATCH(VALUE(questions[[#This Row],[qno]]),VALUE(stable[qno]),0))</f>
        <v>0</v>
      </c>
      <c r="L1098" s="33" t="b" cm="1">
        <f t="array" ref="L1098">INDEX(stable[is_mandatory],MATCH(VALUE(questions[[#This Row],[qno]]),VALUE(stable[qno]),0))</f>
        <v>0</v>
      </c>
      <c r="M1098" s="33" t="b" cm="1">
        <f t="array" ref="M1098">INDEX(stable[is_automated],MATCH(VALUE(questions[[#This Row],[qno]]),VALUE(stable[qno]),0))</f>
        <v>0</v>
      </c>
      <c r="N1098" s="33" t="b" cm="1">
        <f t="array" ref="N1098">INDEX(stable[is_free_text],MATCH(VALUE(questions[[#This Row],[qno]]),VALUE(stable[qno]),0))</f>
        <v>0</v>
      </c>
      <c r="O1098" s="33" t="b" cm="1">
        <f t="array" ref="O1098">INDEX(stable[is_numerical],MATCH(VALUE(questions[[#This Row],[qno]]),VALUE(stable[qno]),0))</f>
        <v>0</v>
      </c>
      <c r="P1098" s="77" t="b" cm="1">
        <f t="array" ref="P1098">INDEX(stable[is_single_select],MATCH(VALUE(questions[[#This Row],[qno]]),VALUE(stable[qno]),0))</f>
        <v>1</v>
      </c>
      <c r="Q1098" s="77" t="b" cm="1">
        <f t="array" ref="Q1098">INDEX(stable[is_multi_select],MATCH(VALUE(questions[[#This Row],[qno]]),VALUE(stable[qno]),0))</f>
        <v>0</v>
      </c>
      <c r="R1098" s="77" t="b" cm="1">
        <f t="array" ref="R1098">INDEX(stable[is_skip_logic],MATCH(VALUE(questions[[#This Row],[qno]]),VALUE(stable[qno]),0))</f>
        <v>1</v>
      </c>
      <c r="S1098" s="77" t="str">
        <f>_xlfn.TEXTJOIN(", ",TRUE,questions[[#This Row],[ans_opt_1]:[ans_opt_14]])</f>
        <v>1% to 10% - very little, 11% to 20% - little, 21% to 50% - less than half, 51% to 75% - more than half, 76% to 100% - almost all</v>
      </c>
      <c r="T1098" s="77" t="s">
        <v>421</v>
      </c>
      <c r="U1098" s="77" t="s">
        <v>422</v>
      </c>
      <c r="V1098" s="77" t="s">
        <v>423</v>
      </c>
      <c r="W1098" s="77" t="s">
        <v>340</v>
      </c>
      <c r="X1098" s="77" t="s">
        <v>341</v>
      </c>
      <c r="Z1098" s="110"/>
      <c r="AA1098" s="110"/>
      <c r="AB1098" s="110"/>
      <c r="AC1098" s="110"/>
      <c r="AD1098" s="110"/>
      <c r="AE1098" s="91"/>
      <c r="AF1098" s="91"/>
      <c r="AG1098" s="91"/>
      <c r="AH1098" s="126" t="b">
        <f>INDEX(stable[q_standard],MATCH(questions[[#This Row],[qno]],stable[qno],0))</f>
        <v>0</v>
      </c>
      <c r="AI1098" s="126" t="b">
        <f>INDEX(stable[q_living_income],MATCH(questions[[#This Row],[qno]],stable[qno],0))</f>
        <v>0</v>
      </c>
      <c r="AJ1098" s="126" t="b">
        <f>INDEX(stable[q_carbon],MATCH(questions[[#This Row],[qno]],stable[qno],0))</f>
        <v>0</v>
      </c>
      <c r="AK1098" s="126" t="b">
        <f>INDEX(stable[q_regen_ag],MATCH(questions[[#This Row],[qno]],stable[qno],0))</f>
        <v>1</v>
      </c>
      <c r="AL1098" s="184"/>
      <c r="AM1098" s="179"/>
      <c r="AN1098" s="179"/>
      <c r="AO1098" s="179"/>
      <c r="AP1098" s="98" t="str">
        <f>LEFT(questions[[#This Row],[question]],similarity_range)</f>
        <v>What % or proportion</v>
      </c>
      <c r="AQ1098" s="98" t="str">
        <f>LEFT(INDEX(stable[question],MATCH(questions[[#This Row],[qno]],stable[qno],0)),similarity_range)</f>
        <v>What % or proportion</v>
      </c>
      <c r="AR1098" s="98" t="b">
        <f>questions[[#This Row],[question_first_characters]]=questions[[#This Row],[stability_first_characters]]</f>
        <v>1</v>
      </c>
      <c r="AS1098" s="98" t="b">
        <f>IF(OR(questions[[#This Row],[is_single_select]],questions[[#This Row],[is_multi_select]]),NOT(ISBLANK(questions[[#This Row],[answer_opt_combined]])),TRUE)</f>
        <v>1</v>
      </c>
    </row>
    <row r="1099" spans="1:45" s="77" customFormat="1" ht="15.75" customHeight="1" x14ac:dyDescent="0.25">
      <c r="A1099" s="77" t="str">
        <f>_xlfn.TEXTJOIN("_",TRUE,questions[[#This Row],[origin]:[qno]])</f>
        <v>Vietnam_Robusta_Nestle_Selecta_2025_7402</v>
      </c>
      <c r="B1099" s="77" t="s">
        <v>673</v>
      </c>
      <c r="C1099" s="77" t="s">
        <v>674</v>
      </c>
      <c r="D1099" s="77" t="s">
        <v>904</v>
      </c>
      <c r="E1099" s="77">
        <v>2025</v>
      </c>
      <c r="F1099" s="105" t="s">
        <v>445</v>
      </c>
      <c r="G1099" s="109" t="s">
        <v>446</v>
      </c>
      <c r="H1099" s="33" t="str" cm="1">
        <f t="array" ref="H1099">INDEX(stableR[question],MATCH(VALUE(questions[[#This Row],[qno]]),VALUE(stableR[qno]),0))</f>
        <v>What is the main renovation-rehabilitation systems do you use to renovate/rehabilitate (e.g. full stumping, partial stumping, capping, side pruning, uprooting and planting new trees)?</v>
      </c>
      <c r="I1099" s="33" t="b" cm="1">
        <f t="array" ref="I1099">INDEX(stable[is_fixed],MATCH(VALUE(questions[[#This Row],[qno]]),VALUE(stable[qno]),0))</f>
        <v>1</v>
      </c>
      <c r="J1099" s="33" t="b" cm="1">
        <f t="array" ref="J1099">INDEX(stable[is_localized],MATCH(VALUE(questions[[#This Row],[qno]]),VALUE(stable[qno]),0))</f>
        <v>0</v>
      </c>
      <c r="K1099" s="33" t="b" cm="1">
        <f t="array" ref="K1099">INDEX(stable[is_supply_chain_dependent],MATCH(VALUE(questions[[#This Row],[qno]]),VALUE(stable[qno]),0))</f>
        <v>0</v>
      </c>
      <c r="L1099" s="33" t="b" cm="1">
        <f t="array" ref="L1099">INDEX(stable[is_mandatory],MATCH(VALUE(questions[[#This Row],[qno]]),VALUE(stable[qno]),0))</f>
        <v>0</v>
      </c>
      <c r="M1099" s="33" t="b" cm="1">
        <f t="array" ref="M1099">INDEX(stable[is_automated],MATCH(VALUE(questions[[#This Row],[qno]]),VALUE(stable[qno]),0))</f>
        <v>0</v>
      </c>
      <c r="N1099" s="33" t="b" cm="1">
        <f t="array" ref="N1099">INDEX(stable[is_free_text],MATCH(VALUE(questions[[#This Row],[qno]]),VALUE(stable[qno]),0))</f>
        <v>0</v>
      </c>
      <c r="O1099" s="33" t="b" cm="1">
        <f t="array" ref="O1099">INDEX(stable[is_numerical],MATCH(VALUE(questions[[#This Row],[qno]]),VALUE(stable[qno]),0))</f>
        <v>0</v>
      </c>
      <c r="P1099" s="77" t="b" cm="1">
        <f t="array" ref="P1099">INDEX(stable[is_single_select],MATCH(VALUE(questions[[#This Row],[qno]]),VALUE(stable[qno]),0))</f>
        <v>1</v>
      </c>
      <c r="Q1099" s="77" t="b" cm="1">
        <f t="array" ref="Q1099">INDEX(stable[is_multi_select],MATCH(VALUE(questions[[#This Row],[qno]]),VALUE(stable[qno]),0))</f>
        <v>0</v>
      </c>
      <c r="R1099" s="77" t="b" cm="1">
        <f t="array" ref="R1099">INDEX(stable[is_skip_logic],MATCH(VALUE(questions[[#This Row],[qno]]),VALUE(stable[qno]),0))</f>
        <v>1</v>
      </c>
      <c r="S1099" s="77" t="str">
        <f>_xlfn.TEXTJOIN(", ",TRUE,questions[[#This Row],[ans_opt_1]:[ans_opt_14]])</f>
        <v>full stumping, partial stumping, capping, side pruning, capping and side prunning, uprooting and planting new trees</v>
      </c>
      <c r="T1099" s="91" t="s">
        <v>447</v>
      </c>
      <c r="U1099" s="91" t="s">
        <v>448</v>
      </c>
      <c r="V1099" s="91" t="s">
        <v>449</v>
      </c>
      <c r="W1099" s="77" t="s">
        <v>450</v>
      </c>
      <c r="X1099" s="91" t="s">
        <v>451</v>
      </c>
      <c r="Y1099" s="91" t="s">
        <v>452</v>
      </c>
      <c r="Z1099" s="110"/>
      <c r="AA1099" s="110"/>
      <c r="AB1099" s="110"/>
      <c r="AC1099" s="110"/>
      <c r="AD1099" s="110"/>
      <c r="AE1099" s="91"/>
      <c r="AF1099" s="91"/>
      <c r="AG1099" s="91"/>
      <c r="AH1099" s="126" t="b">
        <f>INDEX(stable[q_standard],MATCH(questions[[#This Row],[qno]],stable[qno],0))</f>
        <v>0</v>
      </c>
      <c r="AI1099" s="126" t="b">
        <f>INDEX(stable[q_living_income],MATCH(questions[[#This Row],[qno]],stable[qno],0))</f>
        <v>0</v>
      </c>
      <c r="AJ1099" s="126" t="b">
        <f>INDEX(stable[q_carbon],MATCH(questions[[#This Row],[qno]],stable[qno],0))</f>
        <v>0</v>
      </c>
      <c r="AK1099" s="126" t="b">
        <f>INDEX(stable[q_regen_ag],MATCH(questions[[#This Row],[qno]],stable[qno],0))</f>
        <v>1</v>
      </c>
      <c r="AL1099" s="184"/>
      <c r="AM1099" s="179"/>
      <c r="AN1099" s="179"/>
      <c r="AO1099" s="179"/>
      <c r="AP1099" s="98" t="str">
        <f>LEFT(questions[[#This Row],[question]],similarity_range)</f>
        <v>What is the main ren</v>
      </c>
      <c r="AQ1099" s="98" t="str">
        <f>LEFT(INDEX(stable[question],MATCH(questions[[#This Row],[qno]],stable[qno],0)),similarity_range)</f>
        <v>What is the main ren</v>
      </c>
      <c r="AR1099" s="98" t="b">
        <f>questions[[#This Row],[question_first_characters]]=questions[[#This Row],[stability_first_characters]]</f>
        <v>1</v>
      </c>
      <c r="AS1099" s="98" t="b">
        <f>IF(OR(questions[[#This Row],[is_single_select]],questions[[#This Row],[is_multi_select]]),NOT(ISBLANK(questions[[#This Row],[answer_opt_combined]])),TRUE)</f>
        <v>1</v>
      </c>
    </row>
    <row r="1100" spans="1:45" s="77" customFormat="1" ht="15.75" customHeight="1" x14ac:dyDescent="0.25">
      <c r="A1100" s="77" t="str">
        <f>_xlfn.TEXTJOIN("_",TRUE,questions[[#This Row],[origin]:[qno]])</f>
        <v>Vietnam_Robusta_Nestle_Selecta_2025_7410</v>
      </c>
      <c r="B1100" s="77" t="s">
        <v>673</v>
      </c>
      <c r="C1100" s="77" t="s">
        <v>674</v>
      </c>
      <c r="D1100" s="77" t="s">
        <v>904</v>
      </c>
      <c r="E1100" s="77">
        <v>2025</v>
      </c>
      <c r="F1100" s="105" t="s">
        <v>453</v>
      </c>
      <c r="G1100" s="109" t="s">
        <v>454</v>
      </c>
      <c r="H1100" s="33" t="str" cm="1">
        <f t="array" ref="H1100">INDEX(stableR[question],MATCH(VALUE(questions[[#This Row],[qno]]),VALUE(stableR[qno]),0))</f>
        <v>How many coffee varieties do you grow in your coffee plots?</v>
      </c>
      <c r="I1100" s="33" t="b" cm="1">
        <f t="array" ref="I1100">INDEX(stable[is_fixed],MATCH(VALUE(questions[[#This Row],[qno]]),VALUE(stable[qno]),0))</f>
        <v>1</v>
      </c>
      <c r="J1100" s="33" t="b" cm="1">
        <f t="array" ref="J1100">INDEX(stable[is_localized],MATCH(VALUE(questions[[#This Row],[qno]]),VALUE(stable[qno]),0))</f>
        <v>0</v>
      </c>
      <c r="K1100" s="33" t="b" cm="1">
        <f t="array" ref="K1100">INDEX(stable[is_supply_chain_dependent],MATCH(VALUE(questions[[#This Row],[qno]]),VALUE(stable[qno]),0))</f>
        <v>0</v>
      </c>
      <c r="L1100" s="33" t="b" cm="1">
        <f t="array" ref="L1100">INDEX(stable[is_mandatory],MATCH(VALUE(questions[[#This Row],[qno]]),VALUE(stable[qno]),0))</f>
        <v>1</v>
      </c>
      <c r="M1100" s="33" t="b" cm="1">
        <f t="array" ref="M1100">INDEX(stable[is_automated],MATCH(VALUE(questions[[#This Row],[qno]]),VALUE(stable[qno]),0))</f>
        <v>0</v>
      </c>
      <c r="N1100" s="33" t="b" cm="1">
        <f t="array" ref="N1100">INDEX(stable[is_free_text],MATCH(VALUE(questions[[#This Row],[qno]]),VALUE(stable[qno]),0))</f>
        <v>0</v>
      </c>
      <c r="O1100" s="33" t="b" cm="1">
        <f t="array" ref="O1100">INDEX(stable[is_numerical],MATCH(VALUE(questions[[#This Row],[qno]]),VALUE(stable[qno]),0))</f>
        <v>0</v>
      </c>
      <c r="P1100" s="77" t="b" cm="1">
        <f t="array" ref="P1100">INDEX(stable[is_single_select],MATCH(VALUE(questions[[#This Row],[qno]]),VALUE(stable[qno]),0))</f>
        <v>1</v>
      </c>
      <c r="Q1100" s="77" t="b" cm="1">
        <f t="array" ref="Q1100">INDEX(stable[is_multi_select],MATCH(VALUE(questions[[#This Row],[qno]]),VALUE(stable[qno]),0))</f>
        <v>0</v>
      </c>
      <c r="R1100" s="77" t="b" cm="1">
        <f t="array" ref="R1100">INDEX(stable[is_skip_logic],MATCH(VALUE(questions[[#This Row],[qno]]),VALUE(stable[qno]),0))</f>
        <v>1</v>
      </c>
      <c r="S1100" s="77" t="str">
        <f>_xlfn.TEXTJOIN(", ",TRUE,questions[[#This Row],[ans_opt_1]:[ans_opt_14]])</f>
        <v>1, 2, 3, 4, 5, &gt;5</v>
      </c>
      <c r="T1100" s="77">
        <v>1</v>
      </c>
      <c r="U1100" s="77">
        <v>2</v>
      </c>
      <c r="V1100" s="77">
        <v>3</v>
      </c>
      <c r="W1100" s="77">
        <v>4</v>
      </c>
      <c r="X1100" s="77">
        <v>5</v>
      </c>
      <c r="Y1100" s="77" t="s">
        <v>404</v>
      </c>
      <c r="Z1100" s="110"/>
      <c r="AA1100" s="110"/>
      <c r="AB1100" s="110"/>
      <c r="AC1100" s="110"/>
      <c r="AD1100" s="110"/>
      <c r="AE1100" s="91"/>
      <c r="AF1100" s="91"/>
      <c r="AG1100" s="91"/>
      <c r="AH1100" s="126" t="b">
        <f>INDEX(stable[q_standard],MATCH(questions[[#This Row],[qno]],stable[qno],0))</f>
        <v>0</v>
      </c>
      <c r="AI1100" s="126" t="b">
        <f>INDEX(stable[q_living_income],MATCH(questions[[#This Row],[qno]],stable[qno],0))</f>
        <v>0</v>
      </c>
      <c r="AJ1100" s="126" t="b">
        <f>INDEX(stable[q_carbon],MATCH(questions[[#This Row],[qno]],stable[qno],0))</f>
        <v>0</v>
      </c>
      <c r="AK1100" s="126" t="b">
        <f>INDEX(stable[q_regen_ag],MATCH(questions[[#This Row],[qno]],stable[qno],0))</f>
        <v>1</v>
      </c>
      <c r="AL1100" s="185"/>
      <c r="AM1100" s="179"/>
      <c r="AN1100" s="179"/>
      <c r="AO1100" s="179"/>
      <c r="AP1100" s="98" t="str">
        <f>LEFT(questions[[#This Row],[question]],similarity_range)</f>
        <v>How many coffee vari</v>
      </c>
      <c r="AQ1100" s="98" t="str">
        <f>LEFT(INDEX(stable[question],MATCH(questions[[#This Row],[qno]],stable[qno],0)),similarity_range)</f>
        <v>How many coffee vari</v>
      </c>
      <c r="AR1100" s="98" t="b">
        <f>questions[[#This Row],[question_first_characters]]=questions[[#This Row],[stability_first_characters]]</f>
        <v>1</v>
      </c>
      <c r="AS1100" s="98" t="b">
        <f>IF(OR(questions[[#This Row],[is_single_select]],questions[[#This Row],[is_multi_select]]),NOT(ISBLANK(questions[[#This Row],[answer_opt_combined]])),TRUE)</f>
        <v>1</v>
      </c>
    </row>
    <row r="1101" spans="1:45" s="77" customFormat="1" ht="15.75" customHeight="1" x14ac:dyDescent="0.25">
      <c r="A1101" s="77" t="str">
        <f>_xlfn.TEXTJOIN("_",TRUE,questions[[#This Row],[origin]:[qno]])</f>
        <v>Vietnam_Robusta_Nestle_Selecta_2025_7411</v>
      </c>
      <c r="B1101" s="77" t="s">
        <v>673</v>
      </c>
      <c r="C1101" s="77" t="s">
        <v>674</v>
      </c>
      <c r="D1101" s="77" t="s">
        <v>904</v>
      </c>
      <c r="E1101" s="77">
        <v>2025</v>
      </c>
      <c r="F1101" s="105" t="s">
        <v>455</v>
      </c>
      <c r="G1101" s="109" t="s">
        <v>456</v>
      </c>
      <c r="H1101" s="33" t="str" cm="1">
        <f t="array" ref="H1101">INDEX(stableR[question],MATCH(VALUE(questions[[#This Row],[qno]]),VALUE(stableR[qno]),0))</f>
        <v>What % or proportion over the total number of trees of the cultivated area is planted with the main variety?</v>
      </c>
      <c r="I1101" s="33" t="b" cm="1">
        <f t="array" ref="I1101">INDEX(stable[is_fixed],MATCH(VALUE(questions[[#This Row],[qno]]),VALUE(stable[qno]),0))</f>
        <v>1</v>
      </c>
      <c r="J1101" s="33" t="b" cm="1">
        <f t="array" ref="J1101">INDEX(stable[is_localized],MATCH(VALUE(questions[[#This Row],[qno]]),VALUE(stable[qno]),0))</f>
        <v>0</v>
      </c>
      <c r="K1101" s="33" t="b" cm="1">
        <f t="array" ref="K1101">INDEX(stable[is_supply_chain_dependent],MATCH(VALUE(questions[[#This Row],[qno]]),VALUE(stable[qno]),0))</f>
        <v>0</v>
      </c>
      <c r="L1101" s="33" t="b" cm="1">
        <f t="array" ref="L1101">INDEX(stable[is_mandatory],MATCH(VALUE(questions[[#This Row],[qno]]),VALUE(stable[qno]),0))</f>
        <v>1</v>
      </c>
      <c r="M1101" s="33" t="b" cm="1">
        <f t="array" ref="M1101">INDEX(stable[is_automated],MATCH(VALUE(questions[[#This Row],[qno]]),VALUE(stable[qno]),0))</f>
        <v>0</v>
      </c>
      <c r="N1101" s="33" t="b" cm="1">
        <f t="array" ref="N1101">INDEX(stable[is_free_text],MATCH(VALUE(questions[[#This Row],[qno]]),VALUE(stable[qno]),0))</f>
        <v>0</v>
      </c>
      <c r="O1101" s="33" t="b" cm="1">
        <f t="array" ref="O1101">INDEX(stable[is_numerical],MATCH(VALUE(questions[[#This Row],[qno]]),VALUE(stable[qno]),0))</f>
        <v>0</v>
      </c>
      <c r="P1101" s="77" t="b" cm="1">
        <f t="array" ref="P1101">INDEX(stable[is_single_select],MATCH(VALUE(questions[[#This Row],[qno]]),VALUE(stable[qno]),0))</f>
        <v>1</v>
      </c>
      <c r="Q1101" s="77" t="b" cm="1">
        <f t="array" ref="Q1101">INDEX(stable[is_multi_select],MATCH(VALUE(questions[[#This Row],[qno]]),VALUE(stable[qno]),0))</f>
        <v>0</v>
      </c>
      <c r="R1101" s="77" t="b" cm="1">
        <f t="array" ref="R1101">INDEX(stable[is_skip_logic],MATCH(VALUE(questions[[#This Row],[qno]]),VALUE(stable[qno]),0))</f>
        <v>1</v>
      </c>
      <c r="S1101" s="77" t="str">
        <f>_xlfn.TEXTJOIN(", ",TRUE,questions[[#This Row],[ans_opt_1]:[ans_opt_14]])</f>
        <v>1% to 25% - little to a quarter, 26% to 50% - less than half, 51% to 75% - more than half, 76% to 100% - almost all</v>
      </c>
      <c r="T1101" s="77" t="s">
        <v>338</v>
      </c>
      <c r="U1101" s="77" t="s">
        <v>339</v>
      </c>
      <c r="V1101" s="77" t="s">
        <v>340</v>
      </c>
      <c r="W1101" s="77" t="s">
        <v>341</v>
      </c>
      <c r="X1101" s="110"/>
      <c r="Y1101" s="110"/>
      <c r="Z1101" s="110"/>
      <c r="AA1101" s="110"/>
      <c r="AB1101" s="110"/>
      <c r="AC1101" s="110"/>
      <c r="AD1101" s="110"/>
      <c r="AE1101" s="91"/>
      <c r="AF1101" s="91"/>
      <c r="AG1101" s="91"/>
      <c r="AH1101" s="126" t="b">
        <f>INDEX(stable[q_standard],MATCH(questions[[#This Row],[qno]],stable[qno],0))</f>
        <v>0</v>
      </c>
      <c r="AI1101" s="126" t="b">
        <f>INDEX(stable[q_living_income],MATCH(questions[[#This Row],[qno]],stable[qno],0))</f>
        <v>0</v>
      </c>
      <c r="AJ1101" s="126" t="b">
        <f>INDEX(stable[q_carbon],MATCH(questions[[#This Row],[qno]],stable[qno],0))</f>
        <v>0</v>
      </c>
      <c r="AK1101" s="126" t="b">
        <f>INDEX(stable[q_regen_ag],MATCH(questions[[#This Row],[qno]],stable[qno],0))</f>
        <v>1</v>
      </c>
      <c r="AL1101" s="185"/>
      <c r="AM1101" s="179"/>
      <c r="AN1101" s="179"/>
      <c r="AO1101" s="179"/>
      <c r="AP1101" s="98" t="str">
        <f>LEFT(questions[[#This Row],[question]],similarity_range)</f>
        <v>What % or proportion</v>
      </c>
      <c r="AQ1101" s="98" t="str">
        <f>LEFT(INDEX(stable[question],MATCH(questions[[#This Row],[qno]],stable[qno],0)),similarity_range)</f>
        <v>What % or proportion</v>
      </c>
      <c r="AR1101" s="98" t="b">
        <f>questions[[#This Row],[question_first_characters]]=questions[[#This Row],[stability_first_characters]]</f>
        <v>1</v>
      </c>
      <c r="AS1101" s="98" t="b">
        <f>IF(OR(questions[[#This Row],[is_single_select]],questions[[#This Row],[is_multi_select]]),NOT(ISBLANK(questions[[#This Row],[answer_opt_combined]])),TRUE)</f>
        <v>1</v>
      </c>
    </row>
    <row r="1102" spans="1:45" s="77" customFormat="1" ht="15.75" customHeight="1" x14ac:dyDescent="0.25">
      <c r="A1102" s="77" t="str">
        <f>_xlfn.TEXTJOIN("_",TRUE,questions[[#This Row],[origin]:[qno]])</f>
        <v>Vietnam_Robusta_Nestle_Selecta_2025_7412</v>
      </c>
      <c r="B1102" s="77" t="s">
        <v>673</v>
      </c>
      <c r="C1102" s="77" t="s">
        <v>674</v>
      </c>
      <c r="D1102" s="77" t="s">
        <v>904</v>
      </c>
      <c r="E1102" s="77">
        <v>2025</v>
      </c>
      <c r="F1102" s="105" t="s">
        <v>457</v>
      </c>
      <c r="G1102" s="109" t="s">
        <v>458</v>
      </c>
      <c r="H1102" s="33" t="str" cm="1">
        <f t="array" ref="H1102">INDEX(stableR[question],MATCH(VALUE(questions[[#This Row],[qno]]),VALUE(stableR[qno]),0))</f>
        <v>If you grow only one variety, how many years ago was this variety planted?</v>
      </c>
      <c r="I1102" s="33" t="b" cm="1">
        <f t="array" ref="I1102">INDEX(stable[is_fixed],MATCH(VALUE(questions[[#This Row],[qno]]),VALUE(stable[qno]),0))</f>
        <v>1</v>
      </c>
      <c r="J1102" s="33" t="b" cm="1">
        <f t="array" ref="J1102">INDEX(stable[is_localized],MATCH(VALUE(questions[[#This Row],[qno]]),VALUE(stable[qno]),0))</f>
        <v>0</v>
      </c>
      <c r="K1102" s="33" t="b" cm="1">
        <f t="array" ref="K1102">INDEX(stable[is_supply_chain_dependent],MATCH(VALUE(questions[[#This Row],[qno]]),VALUE(stable[qno]),0))</f>
        <v>0</v>
      </c>
      <c r="L1102" s="33" t="b" cm="1">
        <f t="array" ref="L1102">INDEX(stable[is_mandatory],MATCH(VALUE(questions[[#This Row],[qno]]),VALUE(stable[qno]),0))</f>
        <v>0</v>
      </c>
      <c r="M1102" s="33" t="b" cm="1">
        <f t="array" ref="M1102">INDEX(stable[is_automated],MATCH(VALUE(questions[[#This Row],[qno]]),VALUE(stable[qno]),0))</f>
        <v>0</v>
      </c>
      <c r="N1102" s="33" t="b" cm="1">
        <f t="array" ref="N1102">INDEX(stable[is_free_text],MATCH(VALUE(questions[[#This Row],[qno]]),VALUE(stable[qno]),0))</f>
        <v>0</v>
      </c>
      <c r="O1102" s="33" t="b" cm="1">
        <f t="array" ref="O1102">INDEX(stable[is_numerical],MATCH(VALUE(questions[[#This Row],[qno]]),VALUE(stable[qno]),0))</f>
        <v>0</v>
      </c>
      <c r="P1102" s="77" t="b" cm="1">
        <f t="array" ref="P1102">INDEX(stable[is_single_select],MATCH(VALUE(questions[[#This Row],[qno]]),VALUE(stable[qno]),0))</f>
        <v>1</v>
      </c>
      <c r="Q1102" s="77" t="b" cm="1">
        <f t="array" ref="Q1102">INDEX(stable[is_multi_select],MATCH(VALUE(questions[[#This Row],[qno]]),VALUE(stable[qno]),0))</f>
        <v>0</v>
      </c>
      <c r="R1102" s="77" t="b" cm="1">
        <f t="array" ref="R1102">INDEX(stable[is_skip_logic],MATCH(VALUE(questions[[#This Row],[qno]]),VALUE(stable[qno]),0))</f>
        <v>1</v>
      </c>
      <c r="S1102" s="77" t="str">
        <f>_xlfn.TEXTJOIN(", ",TRUE,questions[[#This Row],[ans_opt_1]:[ans_opt_14]])</f>
        <v>1-5 years, 6-10 years, 11-15 years, 15-20 years, 20-30 years, &gt;30 years</v>
      </c>
      <c r="T1102" s="110" t="s">
        <v>459</v>
      </c>
      <c r="U1102" s="110" t="s">
        <v>460</v>
      </c>
      <c r="V1102" s="110" t="s">
        <v>461</v>
      </c>
      <c r="W1102" s="110" t="s">
        <v>462</v>
      </c>
      <c r="X1102" s="110" t="s">
        <v>463</v>
      </c>
      <c r="Y1102" s="110" t="s">
        <v>464</v>
      </c>
      <c r="Z1102" s="110"/>
      <c r="AA1102" s="110"/>
      <c r="AB1102" s="110"/>
      <c r="AC1102" s="110"/>
      <c r="AD1102" s="110"/>
      <c r="AE1102" s="91"/>
      <c r="AF1102" s="91"/>
      <c r="AG1102" s="91"/>
      <c r="AH1102" s="126" t="b">
        <f>INDEX(stable[q_standard],MATCH(questions[[#This Row],[qno]],stable[qno],0))</f>
        <v>0</v>
      </c>
      <c r="AI1102" s="126" t="b">
        <f>INDEX(stable[q_living_income],MATCH(questions[[#This Row],[qno]],stable[qno],0))</f>
        <v>0</v>
      </c>
      <c r="AJ1102" s="126" t="b">
        <f>INDEX(stable[q_carbon],MATCH(questions[[#This Row],[qno]],stable[qno],0))</f>
        <v>0</v>
      </c>
      <c r="AK1102" s="126" t="b">
        <f>INDEX(stable[q_regen_ag],MATCH(questions[[#This Row],[qno]],stable[qno],0))</f>
        <v>1</v>
      </c>
      <c r="AL1102" s="185"/>
      <c r="AM1102" s="179"/>
      <c r="AN1102" s="179"/>
      <c r="AO1102" s="179"/>
      <c r="AP1102" s="98" t="str">
        <f>LEFT(questions[[#This Row],[question]],similarity_range)</f>
        <v>If you grow only one</v>
      </c>
      <c r="AQ1102" s="98" t="str">
        <f>LEFT(INDEX(stable[question],MATCH(questions[[#This Row],[qno]],stable[qno],0)),similarity_range)</f>
        <v>If you grow only one</v>
      </c>
      <c r="AR1102" s="98" t="b">
        <f>questions[[#This Row],[question_first_characters]]=questions[[#This Row],[stability_first_characters]]</f>
        <v>1</v>
      </c>
      <c r="AS1102" s="98" t="b">
        <f>IF(OR(questions[[#This Row],[is_single_select]],questions[[#This Row],[is_multi_select]]),NOT(ISBLANK(questions[[#This Row],[answer_opt_combined]])),TRUE)</f>
        <v>1</v>
      </c>
    </row>
    <row r="1103" spans="1:45" s="133" customFormat="1" ht="15.75" customHeight="1" x14ac:dyDescent="0.25">
      <c r="A1103" s="133" t="str">
        <f>_xlfn.TEXTJOIN("_",TRUE,questions[[#This Row],[origin]:[qno]])</f>
        <v>Vietnam_Robusta_Nestle_Selecta_2025_7500</v>
      </c>
      <c r="B1103" s="133" t="s">
        <v>673</v>
      </c>
      <c r="C1103" s="133" t="s">
        <v>674</v>
      </c>
      <c r="D1103" s="133" t="s">
        <v>904</v>
      </c>
      <c r="E1103" s="133">
        <v>2025</v>
      </c>
      <c r="F1103" s="134" t="s">
        <v>465</v>
      </c>
      <c r="G1103" s="224" t="s">
        <v>613</v>
      </c>
      <c r="H1103" s="54" t="str" cm="1">
        <f t="array" ref="H1103">INDEX(stableR[question],MATCH(VALUE(questions[[#This Row],[qno]]),VALUE(stableR[qno]),0))</f>
        <v>Do you plant shade trees and/or fruit trees in your coffee plots?</v>
      </c>
      <c r="I1103" s="54" t="b" cm="1">
        <f t="array" ref="I1103">INDEX(stable[is_fixed],MATCH(VALUE(questions[[#This Row],[qno]]),VALUE(stable[qno]),0))</f>
        <v>0</v>
      </c>
      <c r="J1103" s="54" t="b" cm="1">
        <f t="array" ref="J1103">INDEX(stable[is_localized],MATCH(VALUE(questions[[#This Row],[qno]]),VALUE(stable[qno]),0))</f>
        <v>1</v>
      </c>
      <c r="K1103" s="54" t="b" cm="1">
        <f t="array" ref="K1103">INDEX(stable[is_supply_chain_dependent],MATCH(VALUE(questions[[#This Row],[qno]]),VALUE(stable[qno]),0))</f>
        <v>0</v>
      </c>
      <c r="L1103" s="54" t="b" cm="1">
        <f t="array" ref="L1103">INDEX(stable[is_mandatory],MATCH(VALUE(questions[[#This Row],[qno]]),VALUE(stable[qno]),0))</f>
        <v>1</v>
      </c>
      <c r="M1103" s="54" t="b" cm="1">
        <f t="array" ref="M1103">INDEX(stable[is_automated],MATCH(VALUE(questions[[#This Row],[qno]]),VALUE(stable[qno]),0))</f>
        <v>0</v>
      </c>
      <c r="N1103" s="54" t="b" cm="1">
        <f t="array" ref="N1103">INDEX(stable[is_free_text],MATCH(VALUE(questions[[#This Row],[qno]]),VALUE(stable[qno]),0))</f>
        <v>0</v>
      </c>
      <c r="O1103" s="54" t="b" cm="1">
        <f t="array" ref="O1103">INDEX(stable[is_numerical],MATCH(VALUE(questions[[#This Row],[qno]]),VALUE(stable[qno]),0))</f>
        <v>0</v>
      </c>
      <c r="P1103" s="133" t="b" cm="1">
        <f t="array" ref="P1103">INDEX(stable[is_single_select],MATCH(VALUE(questions[[#This Row],[qno]]),VALUE(stable[qno]),0))</f>
        <v>1</v>
      </c>
      <c r="Q1103" s="133" t="b" cm="1">
        <f t="array" ref="Q1103">INDEX(stable[is_multi_select],MATCH(VALUE(questions[[#This Row],[qno]]),VALUE(stable[qno]),0))</f>
        <v>0</v>
      </c>
      <c r="R1103" s="133" t="b" cm="1">
        <f t="array" ref="R1103">INDEX(stable[is_skip_logic],MATCH(VALUE(questions[[#This Row],[qno]]),VALUE(stable[qno]),0))</f>
        <v>1</v>
      </c>
      <c r="S1103" s="133" t="str">
        <f>_xlfn.TEXTJOIN(", ",TRUE,questions[[#This Row],[ans_opt_1]:[ans_opt_14]])</f>
        <v>No, Yes - forest shade trees, Yes - fruit trees, Yes - mix of forest shade trees and fruit trees</v>
      </c>
      <c r="T1103" s="77" t="s">
        <v>119</v>
      </c>
      <c r="U1103" s="77" t="s">
        <v>467</v>
      </c>
      <c r="V1103" s="77" t="s">
        <v>468</v>
      </c>
      <c r="W1103" s="77" t="s">
        <v>469</v>
      </c>
      <c r="X1103" s="77"/>
      <c r="Y1103" s="135"/>
      <c r="Z1103" s="135"/>
      <c r="AA1103" s="135"/>
      <c r="AB1103" s="135"/>
      <c r="AC1103" s="135"/>
      <c r="AD1103" s="135"/>
      <c r="AE1103" s="136"/>
      <c r="AF1103" s="136"/>
      <c r="AG1103" s="136"/>
      <c r="AH1103" s="186" t="b">
        <f>INDEX(stable[q_standard],MATCH(questions[[#This Row],[qno]],stable[qno],0))</f>
        <v>0</v>
      </c>
      <c r="AI1103" s="186" t="b">
        <f>INDEX(stable[q_living_income],MATCH(questions[[#This Row],[qno]],stable[qno],0))</f>
        <v>0</v>
      </c>
      <c r="AJ1103" s="186" t="b">
        <f>INDEX(stable[q_carbon],MATCH(questions[[#This Row],[qno]],stable[qno],0))</f>
        <v>0</v>
      </c>
      <c r="AK1103" s="186" t="b">
        <f>INDEX(stable[q_regen_ag],MATCH(questions[[#This Row],[qno]],stable[qno],0))</f>
        <v>1</v>
      </c>
      <c r="AL1103" s="181"/>
      <c r="AM1103" s="186"/>
      <c r="AN1103" s="186"/>
      <c r="AO1103" s="186"/>
      <c r="AP1103" s="187" t="str">
        <f>LEFT(questions[[#This Row],[question]],similarity_range)</f>
        <v>Do you plant shade t</v>
      </c>
      <c r="AQ1103" s="187" t="str">
        <f>LEFT(INDEX(stable[question],MATCH(questions[[#This Row],[qno]],stable[qno],0)),similarity_range)</f>
        <v>Do you plant shade t</v>
      </c>
      <c r="AR1103" s="187" t="b">
        <f>questions[[#This Row],[question_first_characters]]=questions[[#This Row],[stability_first_characters]]</f>
        <v>1</v>
      </c>
      <c r="AS1103" s="187" t="b">
        <f>IF(OR(questions[[#This Row],[is_single_select]],questions[[#This Row],[is_multi_select]]),NOT(ISBLANK(questions[[#This Row],[answer_opt_combined]])),TRUE)</f>
        <v>1</v>
      </c>
    </row>
    <row r="1104" spans="1:45" s="133" customFormat="1" ht="15.75" customHeight="1" x14ac:dyDescent="0.25">
      <c r="A1104" s="133" t="str">
        <f>_xlfn.TEXTJOIN("_",TRUE,questions[[#This Row],[origin]:[qno]])</f>
        <v>Vietnam_Robusta_Nestle_Selecta_2025_7501</v>
      </c>
      <c r="B1104" s="133" t="s">
        <v>673</v>
      </c>
      <c r="C1104" s="133" t="s">
        <v>674</v>
      </c>
      <c r="D1104" s="133" t="s">
        <v>904</v>
      </c>
      <c r="E1104" s="133">
        <v>2025</v>
      </c>
      <c r="F1104" s="134" t="s">
        <v>470</v>
      </c>
      <c r="G1104" s="225" t="s">
        <v>471</v>
      </c>
      <c r="H1104" s="54" t="str" cm="1">
        <f t="array" ref="H1104">INDEX(stableR[question],MATCH(VALUE(questions[[#This Row],[qno]]),VALUE(stableR[qno]),0))</f>
        <v>If so, on what % or proportion of your coffee plots do you have shade and/or fruit trees? e.g. if all agro-forestry trees are only distributed in a quarter of the coffee plot, and the rest of the plot does not have agro-forestry trees, then it is 25%</v>
      </c>
      <c r="I1104" s="54" t="b" cm="1">
        <f t="array" ref="I1104">INDEX(stable[is_fixed],MATCH(VALUE(questions[[#This Row],[qno]]),VALUE(stable[qno]),0))</f>
        <v>1</v>
      </c>
      <c r="J1104" s="54" t="b" cm="1">
        <f t="array" ref="J1104">INDEX(stable[is_localized],MATCH(VALUE(questions[[#This Row],[qno]]),VALUE(stable[qno]),0))</f>
        <v>0</v>
      </c>
      <c r="K1104" s="54" t="b" cm="1">
        <f t="array" ref="K1104">INDEX(stable[is_supply_chain_dependent],MATCH(VALUE(questions[[#This Row],[qno]]),VALUE(stable[qno]),0))</f>
        <v>0</v>
      </c>
      <c r="L1104" s="54" t="b" cm="1">
        <f t="array" ref="L1104">INDEX(stable[is_mandatory],MATCH(VALUE(questions[[#This Row],[qno]]),VALUE(stable[qno]),0))</f>
        <v>0</v>
      </c>
      <c r="M1104" s="54" t="b" cm="1">
        <f t="array" ref="M1104">INDEX(stable[is_automated],MATCH(VALUE(questions[[#This Row],[qno]]),VALUE(stable[qno]),0))</f>
        <v>0</v>
      </c>
      <c r="N1104" s="54" t="b" cm="1">
        <f t="array" ref="N1104">INDEX(stable[is_free_text],MATCH(VALUE(questions[[#This Row],[qno]]),VALUE(stable[qno]),0))</f>
        <v>0</v>
      </c>
      <c r="O1104" s="54" t="b" cm="1">
        <f t="array" ref="O1104">INDEX(stable[is_numerical],MATCH(VALUE(questions[[#This Row],[qno]]),VALUE(stable[qno]),0))</f>
        <v>0</v>
      </c>
      <c r="P1104" s="133" t="b" cm="1">
        <f t="array" ref="P1104">INDEX(stable[is_single_select],MATCH(VALUE(questions[[#This Row],[qno]]),VALUE(stable[qno]),0))</f>
        <v>1</v>
      </c>
      <c r="Q1104" s="133" t="b" cm="1">
        <f t="array" ref="Q1104">INDEX(stable[is_multi_select],MATCH(VALUE(questions[[#This Row],[qno]]),VALUE(stable[qno]),0))</f>
        <v>0</v>
      </c>
      <c r="R1104" s="133" t="b" cm="1">
        <f t="array" ref="R1104">INDEX(stable[is_skip_logic],MATCH(VALUE(questions[[#This Row],[qno]]),VALUE(stable[qno]),0))</f>
        <v>1</v>
      </c>
      <c r="S1104" s="133" t="str">
        <f>_xlfn.TEXTJOIN(", ",TRUE,questions[[#This Row],[ans_opt_1]:[ans_opt_14]])</f>
        <v>1% to 25% - little to a quarter, 26% to 50% - less than half, 51% to 75% - more than half, 76% to 100% - almost all</v>
      </c>
      <c r="T1104" s="77" t="s">
        <v>338</v>
      </c>
      <c r="U1104" s="77" t="s">
        <v>339</v>
      </c>
      <c r="V1104" s="77" t="s">
        <v>340</v>
      </c>
      <c r="W1104" s="77" t="s">
        <v>341</v>
      </c>
      <c r="X1104" s="135"/>
      <c r="Y1104" s="135"/>
      <c r="Z1104" s="135"/>
      <c r="AA1104" s="135"/>
      <c r="AB1104" s="135"/>
      <c r="AC1104" s="135"/>
      <c r="AD1104" s="135"/>
      <c r="AE1104" s="136"/>
      <c r="AF1104" s="136"/>
      <c r="AG1104" s="136"/>
      <c r="AH1104" s="186" t="b">
        <f>INDEX(stable[q_standard],MATCH(questions[[#This Row],[qno]],stable[qno],0))</f>
        <v>0</v>
      </c>
      <c r="AI1104" s="186" t="b">
        <f>INDEX(stable[q_living_income],MATCH(questions[[#This Row],[qno]],stable[qno],0))</f>
        <v>0</v>
      </c>
      <c r="AJ1104" s="186" t="b">
        <f>INDEX(stable[q_carbon],MATCH(questions[[#This Row],[qno]],stable[qno],0))</f>
        <v>0</v>
      </c>
      <c r="AK1104" s="186" t="b">
        <f>INDEX(stable[q_regen_ag],MATCH(questions[[#This Row],[qno]],stable[qno],0))</f>
        <v>1</v>
      </c>
      <c r="AL1104" s="181"/>
      <c r="AM1104" s="186"/>
      <c r="AN1104" s="186"/>
      <c r="AO1104" s="186"/>
      <c r="AP1104" s="187" t="str">
        <f>LEFT(questions[[#This Row],[question]],similarity_range)</f>
        <v xml:space="preserve">If so, on what % or </v>
      </c>
      <c r="AQ1104" s="187" t="str">
        <f>LEFT(INDEX(stable[question],MATCH(questions[[#This Row],[qno]],stable[qno],0)),similarity_range)</f>
        <v xml:space="preserve">If so, on what % or </v>
      </c>
      <c r="AR1104" s="187" t="b">
        <f>questions[[#This Row],[question_first_characters]]=questions[[#This Row],[stability_first_characters]]</f>
        <v>1</v>
      </c>
      <c r="AS1104" s="187" t="b">
        <f>IF(OR(questions[[#This Row],[is_single_select]],questions[[#This Row],[is_multi_select]]),NOT(ISBLANK(questions[[#This Row],[answer_opt_combined]])),TRUE)</f>
        <v>1</v>
      </c>
    </row>
    <row r="1105" spans="1:45" s="58" customFormat="1" ht="15.75" customHeight="1" x14ac:dyDescent="0.25">
      <c r="A1105" s="54" t="str">
        <f>_xlfn.TEXTJOIN("_",TRUE,questions[[#This Row],[origin]:[qno]])</f>
        <v>Vietnam_Robusta_Nestle_Selecta_2025_7502</v>
      </c>
      <c r="B1105" s="54" t="s">
        <v>673</v>
      </c>
      <c r="C1105" s="54" t="s">
        <v>674</v>
      </c>
      <c r="D1105" s="54" t="s">
        <v>904</v>
      </c>
      <c r="E1105" s="54">
        <v>2025</v>
      </c>
      <c r="F1105" s="55" t="s">
        <v>472</v>
      </c>
      <c r="G1105" s="226" t="s">
        <v>473</v>
      </c>
      <c r="H1105" s="54" t="str" cm="1">
        <f t="array" ref="H1105">INDEX(stableR[question],MATCH(VALUE(questions[[#This Row],[qno]]),VALUE(stableR[qno]),0))</f>
        <v>How many different species of shade and/or fruit trees do you have in your coffee plots?</v>
      </c>
      <c r="I1105" s="54" t="b" cm="1">
        <f t="array" ref="I1105">INDEX(stable[is_fixed],MATCH(VALUE(questions[[#This Row],[qno]]),VALUE(stable[qno]),0))</f>
        <v>1</v>
      </c>
      <c r="J1105" s="54" t="b" cm="1">
        <f t="array" ref="J1105">INDEX(stable[is_localized],MATCH(VALUE(questions[[#This Row],[qno]]),VALUE(stable[qno]),0))</f>
        <v>0</v>
      </c>
      <c r="K1105" s="54" t="b" cm="1">
        <f t="array" ref="K1105">INDEX(stable[is_supply_chain_dependent],MATCH(VALUE(questions[[#This Row],[qno]]),VALUE(stable[qno]),0))</f>
        <v>0</v>
      </c>
      <c r="L1105" s="54" t="b" cm="1">
        <f t="array" ref="L1105">INDEX(stable[is_mandatory],MATCH(VALUE(questions[[#This Row],[qno]]),VALUE(stable[qno]),0))</f>
        <v>0</v>
      </c>
      <c r="M1105" s="54" t="b" cm="1">
        <f t="array" ref="M1105">INDEX(stable[is_automated],MATCH(VALUE(questions[[#This Row],[qno]]),VALUE(stable[qno]),0))</f>
        <v>0</v>
      </c>
      <c r="N1105" s="54" t="b" cm="1">
        <f t="array" ref="N1105">INDEX(stable[is_free_text],MATCH(VALUE(questions[[#This Row],[qno]]),VALUE(stable[qno]),0))</f>
        <v>0</v>
      </c>
      <c r="O1105" s="54" t="b" cm="1">
        <f t="array" ref="O1105">INDEX(stable[is_numerical],MATCH(VALUE(questions[[#This Row],[qno]]),VALUE(stable[qno]),0))</f>
        <v>1</v>
      </c>
      <c r="P1105" s="54" t="b" cm="1">
        <f t="array" ref="P1105">INDEX(stable[is_single_select],MATCH(VALUE(questions[[#This Row],[qno]]),VALUE(stable[qno]),0))</f>
        <v>0</v>
      </c>
      <c r="Q1105" s="54" t="b" cm="1">
        <f t="array" ref="Q1105">INDEX(stable[is_multi_select],MATCH(VALUE(questions[[#This Row],[qno]]),VALUE(stable[qno]),0))</f>
        <v>0</v>
      </c>
      <c r="R1105" s="54" t="b" cm="1">
        <f t="array" ref="R1105">INDEX(stable[is_skip_logic],MATCH(VALUE(questions[[#This Row],[qno]]),VALUE(stable[qno]),0))</f>
        <v>0</v>
      </c>
      <c r="S1105" s="54" t="str">
        <f>_xlfn.TEXTJOIN(", ",TRUE,questions[[#This Row],[ans_opt_1]:[ans_opt_14]])</f>
        <v/>
      </c>
      <c r="T1105" s="59"/>
      <c r="U1105" s="56"/>
      <c r="V1105" s="56"/>
      <c r="W1105" s="56"/>
      <c r="X1105" s="57"/>
      <c r="Y1105" s="57"/>
      <c r="Z1105" s="57"/>
      <c r="AA1105" s="57"/>
      <c r="AB1105" s="57"/>
      <c r="AC1105" s="57"/>
      <c r="AD1105" s="57"/>
      <c r="AE1105" s="56"/>
      <c r="AF1105" s="56"/>
      <c r="AG1105" s="56"/>
      <c r="AH1105" s="188" t="b">
        <f>INDEX(stable[q_standard],MATCH(questions[[#This Row],[qno]],stable[qno],0))</f>
        <v>0</v>
      </c>
      <c r="AI1105" s="188" t="b">
        <f>INDEX(stable[q_living_income],MATCH(questions[[#This Row],[qno]],stable[qno],0))</f>
        <v>0</v>
      </c>
      <c r="AJ1105" s="188" t="b">
        <f>INDEX(stable[q_carbon],MATCH(questions[[#This Row],[qno]],stable[qno],0))</f>
        <v>0</v>
      </c>
      <c r="AK1105" s="188" t="b">
        <f>INDEX(stable[q_regen_ag],MATCH(questions[[#This Row],[qno]],stable[qno],0))</f>
        <v>1</v>
      </c>
      <c r="AL1105" s="189"/>
      <c r="AM1105" s="190"/>
      <c r="AN1105" s="190"/>
      <c r="AO1105" s="190"/>
      <c r="AP1105" s="191" t="str">
        <f>LEFT(questions[[#This Row],[question]],similarity_range)</f>
        <v>How many different s</v>
      </c>
      <c r="AQ1105" s="191" t="str">
        <f>LEFT(INDEX(stable[question],MATCH(questions[[#This Row],[qno]],stable[qno],0)),similarity_range)</f>
        <v>How many different s</v>
      </c>
      <c r="AR1105" s="191" t="b">
        <f>questions[[#This Row],[question_first_characters]]=questions[[#This Row],[stability_first_characters]]</f>
        <v>1</v>
      </c>
      <c r="AS1105" s="191" t="b">
        <f>IF(OR(questions[[#This Row],[is_single_select]],questions[[#This Row],[is_multi_select]]),NOT(ISBLANK(questions[[#This Row],[answer_opt_combined]])),TRUE)</f>
        <v>1</v>
      </c>
    </row>
    <row r="1106" spans="1:45" s="58" customFormat="1" ht="15.75" customHeight="1" x14ac:dyDescent="0.25">
      <c r="A1106" s="54" t="str">
        <f>_xlfn.TEXTJOIN("_",TRUE,questions[[#This Row],[origin]:[qno]])</f>
        <v>Vietnam_Robusta_Nestle_Selecta_2025_7503</v>
      </c>
      <c r="B1106" s="54" t="s">
        <v>673</v>
      </c>
      <c r="C1106" s="54" t="s">
        <v>674</v>
      </c>
      <c r="D1106" s="54" t="s">
        <v>904</v>
      </c>
      <c r="E1106" s="54">
        <v>2025</v>
      </c>
      <c r="F1106" s="55" t="s">
        <v>474</v>
      </c>
      <c r="G1106" s="226" t="s">
        <v>475</v>
      </c>
      <c r="H1106" s="54" t="str" cm="1">
        <f t="array" ref="H1106">INDEX(stableR[question],MATCH(VALUE(questions[[#This Row],[qno]]),VALUE(stableR[qno]),0))</f>
        <v>Can you estimate how many shade trees (including fruit and other trees) you have in your coffee plots, in total (inside and boundary trees)?</v>
      </c>
      <c r="I1106" s="54" t="b" cm="1">
        <f t="array" ref="I1106">INDEX(stable[is_fixed],MATCH(VALUE(questions[[#This Row],[qno]]),VALUE(stable[qno]),0))</f>
        <v>1</v>
      </c>
      <c r="J1106" s="54" t="b" cm="1">
        <f t="array" ref="J1106">INDEX(stable[is_localized],MATCH(VALUE(questions[[#This Row],[qno]]),VALUE(stable[qno]),0))</f>
        <v>0</v>
      </c>
      <c r="K1106" s="54" t="b" cm="1">
        <f t="array" ref="K1106">INDEX(stable[is_supply_chain_dependent],MATCH(VALUE(questions[[#This Row],[qno]]),VALUE(stable[qno]),0))</f>
        <v>0</v>
      </c>
      <c r="L1106" s="54" t="b" cm="1">
        <f t="array" ref="L1106">INDEX(stable[is_mandatory],MATCH(VALUE(questions[[#This Row],[qno]]),VALUE(stable[qno]),0))</f>
        <v>0</v>
      </c>
      <c r="M1106" s="54" t="b" cm="1">
        <f t="array" ref="M1106">INDEX(stable[is_automated],MATCH(VALUE(questions[[#This Row],[qno]]),VALUE(stable[qno]),0))</f>
        <v>0</v>
      </c>
      <c r="N1106" s="54" t="b" cm="1">
        <f t="array" ref="N1106">INDEX(stable[is_free_text],MATCH(VALUE(questions[[#This Row],[qno]]),VALUE(stable[qno]),0))</f>
        <v>0</v>
      </c>
      <c r="O1106" s="54" t="b" cm="1">
        <f t="array" ref="O1106">INDEX(stable[is_numerical],MATCH(VALUE(questions[[#This Row],[qno]]),VALUE(stable[qno]),0))</f>
        <v>1</v>
      </c>
      <c r="P1106" s="54" t="b" cm="1">
        <f t="array" ref="P1106">INDEX(stable[is_single_select],MATCH(VALUE(questions[[#This Row],[qno]]),VALUE(stable[qno]),0))</f>
        <v>0</v>
      </c>
      <c r="Q1106" s="54" t="b" cm="1">
        <f t="array" ref="Q1106">INDEX(stable[is_multi_select],MATCH(VALUE(questions[[#This Row],[qno]]),VALUE(stable[qno]),0))</f>
        <v>0</v>
      </c>
      <c r="R1106" s="54" t="b" cm="1">
        <f t="array" ref="R1106">INDEX(stable[is_skip_logic],MATCH(VALUE(questions[[#This Row],[qno]]),VALUE(stable[qno]),0))</f>
        <v>0</v>
      </c>
      <c r="S1106" s="54" t="str">
        <f>_xlfn.TEXTJOIN(", ",TRUE,questions[[#This Row],[ans_opt_1]:[ans_opt_14]])</f>
        <v/>
      </c>
      <c r="T1106" s="57"/>
      <c r="U1106" s="57"/>
      <c r="V1106" s="57"/>
      <c r="W1106" s="57"/>
      <c r="X1106" s="57"/>
      <c r="Y1106" s="57"/>
      <c r="Z1106" s="57"/>
      <c r="AA1106" s="57"/>
      <c r="AB1106" s="57"/>
      <c r="AC1106" s="57"/>
      <c r="AD1106" s="57"/>
      <c r="AE1106" s="56"/>
      <c r="AF1106" s="56"/>
      <c r="AG1106" s="56"/>
      <c r="AH1106" s="188" t="b">
        <f>INDEX(stable[q_standard],MATCH(questions[[#This Row],[qno]],stable[qno],0))</f>
        <v>0</v>
      </c>
      <c r="AI1106" s="188" t="b">
        <f>INDEX(stable[q_living_income],MATCH(questions[[#This Row],[qno]],stable[qno],0))</f>
        <v>0</v>
      </c>
      <c r="AJ1106" s="188" t="b">
        <f>INDEX(stable[q_carbon],MATCH(questions[[#This Row],[qno]],stable[qno],0))</f>
        <v>0</v>
      </c>
      <c r="AK1106" s="188" t="b">
        <f>INDEX(stable[q_regen_ag],MATCH(questions[[#This Row],[qno]],stable[qno],0))</f>
        <v>1</v>
      </c>
      <c r="AL1106" s="189"/>
      <c r="AM1106" s="190"/>
      <c r="AN1106" s="190"/>
      <c r="AO1106" s="190"/>
      <c r="AP1106" s="191" t="str">
        <f>LEFT(questions[[#This Row],[question]],similarity_range)</f>
        <v>Can you estimate how</v>
      </c>
      <c r="AQ1106" s="191" t="str">
        <f>LEFT(INDEX(stable[question],MATCH(questions[[#This Row],[qno]],stable[qno],0)),similarity_range)</f>
        <v>Can you estimate how</v>
      </c>
      <c r="AR1106" s="191" t="b">
        <f>questions[[#This Row],[question_first_characters]]=questions[[#This Row],[stability_first_characters]]</f>
        <v>1</v>
      </c>
      <c r="AS1106" s="191" t="b">
        <f>IF(OR(questions[[#This Row],[is_single_select]],questions[[#This Row],[is_multi_select]]),NOT(ISBLANK(questions[[#This Row],[answer_opt_combined]])),TRUE)</f>
        <v>1</v>
      </c>
    </row>
    <row r="1107" spans="1:45" s="133" customFormat="1" ht="15.75" customHeight="1" x14ac:dyDescent="0.25">
      <c r="A1107" s="133" t="str">
        <f>_xlfn.TEXTJOIN("_",TRUE,questions[[#This Row],[origin]:[qno]])</f>
        <v>Vietnam_Robusta_Nestle_Selecta_2025_7504</v>
      </c>
      <c r="B1107" s="133" t="s">
        <v>673</v>
      </c>
      <c r="C1107" s="133" t="s">
        <v>674</v>
      </c>
      <c r="D1107" s="133" t="s">
        <v>904</v>
      </c>
      <c r="E1107" s="133">
        <v>2025</v>
      </c>
      <c r="F1107" s="134" t="s">
        <v>476</v>
      </c>
      <c r="G1107" s="225" t="s">
        <v>477</v>
      </c>
      <c r="H1107" s="54" t="str" cm="1">
        <f t="array" ref="H1107">INDEX(stableR[question],MATCH(VALUE(questions[[#This Row],[qno]]),VALUE(stableR[qno]),0))</f>
        <v>What describes best the size of these shade trees?</v>
      </c>
      <c r="I1107" s="54" t="b" cm="1">
        <f t="array" ref="I1107">INDEX(stable[is_fixed],MATCH(VALUE(questions[[#This Row],[qno]]),VALUE(stable[qno]),0))</f>
        <v>1</v>
      </c>
      <c r="J1107" s="54" t="b" cm="1">
        <f t="array" ref="J1107">INDEX(stable[is_localized],MATCH(VALUE(questions[[#This Row],[qno]]),VALUE(stable[qno]),0))</f>
        <v>0</v>
      </c>
      <c r="K1107" s="54" t="b" cm="1">
        <f t="array" ref="K1107">INDEX(stable[is_supply_chain_dependent],MATCH(VALUE(questions[[#This Row],[qno]]),VALUE(stable[qno]),0))</f>
        <v>0</v>
      </c>
      <c r="L1107" s="54" t="b" cm="1">
        <f t="array" ref="L1107">INDEX(stable[is_mandatory],MATCH(VALUE(questions[[#This Row],[qno]]),VALUE(stable[qno]),0))</f>
        <v>0</v>
      </c>
      <c r="M1107" s="54" t="b" cm="1">
        <f t="array" ref="M1107">INDEX(stable[is_automated],MATCH(VALUE(questions[[#This Row],[qno]]),VALUE(stable[qno]),0))</f>
        <v>0</v>
      </c>
      <c r="N1107" s="54" t="b" cm="1">
        <f t="array" ref="N1107">INDEX(stable[is_free_text],MATCH(VALUE(questions[[#This Row],[qno]]),VALUE(stable[qno]),0))</f>
        <v>0</v>
      </c>
      <c r="O1107" s="54" t="b" cm="1">
        <f t="array" ref="O1107">INDEX(stable[is_numerical],MATCH(VALUE(questions[[#This Row],[qno]]),VALUE(stable[qno]),0))</f>
        <v>0</v>
      </c>
      <c r="P1107" s="133" t="b" cm="1">
        <f t="array" ref="P1107">INDEX(stable[is_single_select],MATCH(VALUE(questions[[#This Row],[qno]]),VALUE(stable[qno]),0))</f>
        <v>1</v>
      </c>
      <c r="Q1107" s="133" t="b" cm="1">
        <f t="array" ref="Q1107">INDEX(stable[is_multi_select],MATCH(VALUE(questions[[#This Row],[qno]]),VALUE(stable[qno]),0))</f>
        <v>0</v>
      </c>
      <c r="R1107" s="133" t="b" cm="1">
        <f t="array" ref="R1107">INDEX(stable[is_skip_logic],MATCH(VALUE(questions[[#This Row],[qno]]),VALUE(stable[qno]),0))</f>
        <v>0</v>
      </c>
      <c r="S1107" s="133" t="str">
        <f>_xlfn.TEXTJOIN(", ",TRUE,questions[[#This Row],[ans_opt_1]:[ans_opt_14]])</f>
        <v>Big sized, full grown, shade trees, Medium sized shade trees, including fruit trees, Multipurpose mix of trees (different types and sizes)</v>
      </c>
      <c r="T1107" s="136" t="s">
        <v>478</v>
      </c>
      <c r="U1107" s="136" t="s">
        <v>812</v>
      </c>
      <c r="V1107" s="136" t="s">
        <v>813</v>
      </c>
      <c r="W1107" s="135"/>
      <c r="X1107" s="135"/>
      <c r="Y1107" s="135"/>
      <c r="Z1107" s="135"/>
      <c r="AA1107" s="135"/>
      <c r="AB1107" s="135"/>
      <c r="AC1107" s="135"/>
      <c r="AD1107" s="135"/>
      <c r="AE1107" s="136"/>
      <c r="AF1107" s="136"/>
      <c r="AG1107" s="136"/>
      <c r="AH1107" s="186" t="b">
        <f>INDEX(stable[q_standard],MATCH(questions[[#This Row],[qno]],stable[qno],0))</f>
        <v>0</v>
      </c>
      <c r="AI1107" s="186" t="b">
        <f>INDEX(stable[q_living_income],MATCH(questions[[#This Row],[qno]],stable[qno],0))</f>
        <v>0</v>
      </c>
      <c r="AJ1107" s="186" t="b">
        <f>INDEX(stable[q_carbon],MATCH(questions[[#This Row],[qno]],stable[qno],0))</f>
        <v>0</v>
      </c>
      <c r="AK1107" s="186" t="b">
        <f>INDEX(stable[q_regen_ag],MATCH(questions[[#This Row],[qno]],stable[qno],0))</f>
        <v>1</v>
      </c>
      <c r="AL1107" s="181"/>
      <c r="AM1107" s="186"/>
      <c r="AN1107" s="186"/>
      <c r="AO1107" s="186"/>
      <c r="AP1107" s="187" t="str">
        <f>LEFT(questions[[#This Row],[question]],similarity_range)</f>
        <v xml:space="preserve">What describes best </v>
      </c>
      <c r="AQ1107" s="187" t="str">
        <f>LEFT(INDEX(stable[question],MATCH(questions[[#This Row],[qno]],stable[qno],0)),similarity_range)</f>
        <v xml:space="preserve">What describes best </v>
      </c>
      <c r="AR1107" s="187" t="b">
        <f>questions[[#This Row],[question_first_characters]]=questions[[#This Row],[stability_first_characters]]</f>
        <v>1</v>
      </c>
      <c r="AS1107" s="187" t="b">
        <f>IF(OR(questions[[#This Row],[is_single_select]],questions[[#This Row],[is_multi_select]]),NOT(ISBLANK(questions[[#This Row],[answer_opt_combined]])),TRUE)</f>
        <v>1</v>
      </c>
    </row>
    <row r="1108" spans="1:45" s="133" customFormat="1" ht="15.75" customHeight="1" x14ac:dyDescent="0.25">
      <c r="A1108" s="133" t="str">
        <f>_xlfn.TEXTJOIN("_",TRUE,questions[[#This Row],[origin]:[qno]])</f>
        <v>Vietnam_Robusta_Nestle_Selecta_2025_7600</v>
      </c>
      <c r="B1108" s="133" t="s">
        <v>673</v>
      </c>
      <c r="C1108" s="133" t="s">
        <v>674</v>
      </c>
      <c r="D1108" s="133" t="s">
        <v>904</v>
      </c>
      <c r="E1108" s="133">
        <v>2025</v>
      </c>
      <c r="F1108" s="134" t="s">
        <v>481</v>
      </c>
      <c r="G1108" s="225" t="s">
        <v>482</v>
      </c>
      <c r="H1108" s="54" t="str" cm="1">
        <f t="array" ref="H1108">INDEX(stableR[question],MATCH(VALUE(questions[[#This Row],[qno]]),VALUE(stableR[qno]),0))</f>
        <v>Do you keep bee hives in your farm (own bee hives or termporary during flowering season)?</v>
      </c>
      <c r="I1108" s="54" t="b" cm="1">
        <f t="array" ref="I1108">INDEX(stable[is_fixed],MATCH(VALUE(questions[[#This Row],[qno]]),VALUE(stable[qno]),0))</f>
        <v>1</v>
      </c>
      <c r="J1108" s="54" t="b" cm="1">
        <f t="array" ref="J1108">INDEX(stable[is_localized],MATCH(VALUE(questions[[#This Row],[qno]]),VALUE(stable[qno]),0))</f>
        <v>0</v>
      </c>
      <c r="K1108" s="54" t="b" cm="1">
        <f t="array" ref="K1108">INDEX(stable[is_supply_chain_dependent],MATCH(VALUE(questions[[#This Row],[qno]]),VALUE(stable[qno]),0))</f>
        <v>0</v>
      </c>
      <c r="L1108" s="54" t="b" cm="1">
        <f t="array" ref="L1108">INDEX(stable[is_mandatory],MATCH(VALUE(questions[[#This Row],[qno]]),VALUE(stable[qno]),0))</f>
        <v>1</v>
      </c>
      <c r="M1108" s="54" t="b" cm="1">
        <f t="array" ref="M1108">INDEX(stable[is_automated],MATCH(VALUE(questions[[#This Row],[qno]]),VALUE(stable[qno]),0))</f>
        <v>0</v>
      </c>
      <c r="N1108" s="54" t="b" cm="1">
        <f t="array" ref="N1108">INDEX(stable[is_free_text],MATCH(VALUE(questions[[#This Row],[qno]]),VALUE(stable[qno]),0))</f>
        <v>0</v>
      </c>
      <c r="O1108" s="54" t="b" cm="1">
        <f t="array" ref="O1108">INDEX(stable[is_numerical],MATCH(VALUE(questions[[#This Row],[qno]]),VALUE(stable[qno]),0))</f>
        <v>0</v>
      </c>
      <c r="P1108" s="133" t="b" cm="1">
        <f t="array" ref="P1108">INDEX(stable[is_single_select],MATCH(VALUE(questions[[#This Row],[qno]]),VALUE(stable[qno]),0))</f>
        <v>1</v>
      </c>
      <c r="Q1108" s="133" t="b" cm="1">
        <f t="array" ref="Q1108">INDEX(stable[is_multi_select],MATCH(VALUE(questions[[#This Row],[qno]]),VALUE(stable[qno]),0))</f>
        <v>0</v>
      </c>
      <c r="R1108" s="133" t="b" cm="1">
        <f t="array" ref="R1108">INDEX(stable[is_skip_logic],MATCH(VALUE(questions[[#This Row],[qno]]),VALUE(stable[qno]),0))</f>
        <v>0</v>
      </c>
      <c r="S1108" s="133" t="str">
        <f>_xlfn.TEXTJOIN(", ",TRUE,questions[[#This Row],[ans_opt_1]:[ans_opt_14]])</f>
        <v>Yes, No</v>
      </c>
      <c r="T1108" s="135" t="s">
        <v>149</v>
      </c>
      <c r="U1108" s="135" t="s">
        <v>119</v>
      </c>
      <c r="V1108" s="135"/>
      <c r="W1108" s="135"/>
      <c r="X1108" s="135"/>
      <c r="Y1108" s="135"/>
      <c r="Z1108" s="135"/>
      <c r="AA1108" s="135"/>
      <c r="AB1108" s="135"/>
      <c r="AC1108" s="135"/>
      <c r="AD1108" s="135"/>
      <c r="AE1108" s="136"/>
      <c r="AF1108" s="136"/>
      <c r="AG1108" s="136"/>
      <c r="AH1108" s="186" t="b">
        <f>INDEX(stable[q_standard],MATCH(questions[[#This Row],[qno]],stable[qno],0))</f>
        <v>0</v>
      </c>
      <c r="AI1108" s="186" t="b">
        <f>INDEX(stable[q_living_income],MATCH(questions[[#This Row],[qno]],stable[qno],0))</f>
        <v>0</v>
      </c>
      <c r="AJ1108" s="186" t="b">
        <f>INDEX(stable[q_carbon],MATCH(questions[[#This Row],[qno]],stable[qno],0))</f>
        <v>0</v>
      </c>
      <c r="AK1108" s="186" t="b">
        <f>INDEX(stable[q_regen_ag],MATCH(questions[[#This Row],[qno]],stable[qno],0))</f>
        <v>1</v>
      </c>
      <c r="AL1108" s="181"/>
      <c r="AM1108" s="186"/>
      <c r="AN1108" s="186"/>
      <c r="AO1108" s="186"/>
      <c r="AP1108" s="187" t="str">
        <f>LEFT(questions[[#This Row],[question]],similarity_range)</f>
        <v>Do you keep bee hive</v>
      </c>
      <c r="AQ1108" s="187" t="str">
        <f>LEFT(INDEX(stable[question],MATCH(questions[[#This Row],[qno]],stable[qno],0)),similarity_range)</f>
        <v>Do you keep bee hive</v>
      </c>
      <c r="AR1108" s="187" t="b">
        <f>questions[[#This Row],[question_first_characters]]=questions[[#This Row],[stability_first_characters]]</f>
        <v>1</v>
      </c>
      <c r="AS1108" s="187" t="b">
        <f>IF(OR(questions[[#This Row],[is_single_select]],questions[[#This Row],[is_multi_select]]),NOT(ISBLANK(questions[[#This Row],[answer_opt_combined]])),TRUE)</f>
        <v>1</v>
      </c>
    </row>
    <row r="1109" spans="1:45" s="77" customFormat="1" ht="15.75" customHeight="1" x14ac:dyDescent="0.25">
      <c r="A1109" s="77" t="str">
        <f>_xlfn.TEXTJOIN("_",TRUE,questions[[#This Row],[origin]:[qno]])</f>
        <v>Vietnam_Robusta_Nestle_Selecta_2025_7700</v>
      </c>
      <c r="B1109" s="77" t="s">
        <v>673</v>
      </c>
      <c r="C1109" s="77" t="s">
        <v>674</v>
      </c>
      <c r="D1109" s="77" t="s">
        <v>904</v>
      </c>
      <c r="E1109" s="77">
        <v>2025</v>
      </c>
      <c r="F1109" s="105" t="s">
        <v>483</v>
      </c>
      <c r="G1109" s="109" t="s">
        <v>484</v>
      </c>
      <c r="H1109" s="33" t="str" cm="1">
        <f t="array" ref="H1109">INDEX(stableR[question],MATCH(VALUE(questions[[#This Row],[qno]]),VALUE(stableR[qno]),0))</f>
        <v>Do you have riparian areas (a buffer area or strip of vegetation along the bank of a stream or river that spatially separates agricultural land from the water) in your coffee plots and/or its boundaries and how many?  If the answer is NO, you do not need to answer the next question.</v>
      </c>
      <c r="I1109" s="33" t="b" cm="1">
        <f t="array" ref="I1109">INDEX(stable[is_fixed],MATCH(VALUE(questions[[#This Row],[qno]]),VALUE(stable[qno]),0))</f>
        <v>1</v>
      </c>
      <c r="J1109" s="33" t="b" cm="1">
        <f t="array" ref="J1109">INDEX(stable[is_localized],MATCH(VALUE(questions[[#This Row],[qno]]),VALUE(stable[qno]),0))</f>
        <v>0</v>
      </c>
      <c r="K1109" s="33" t="b" cm="1">
        <f t="array" ref="K1109">INDEX(stable[is_supply_chain_dependent],MATCH(VALUE(questions[[#This Row],[qno]]),VALUE(stable[qno]),0))</f>
        <v>0</v>
      </c>
      <c r="L1109" s="33" t="b" cm="1">
        <f t="array" ref="L1109">INDEX(stable[is_mandatory],MATCH(VALUE(questions[[#This Row],[qno]]),VALUE(stable[qno]),0))</f>
        <v>1</v>
      </c>
      <c r="M1109" s="33" t="b" cm="1">
        <f t="array" ref="M1109">INDEX(stable[is_automated],MATCH(VALUE(questions[[#This Row],[qno]]),VALUE(stable[qno]),0))</f>
        <v>0</v>
      </c>
      <c r="N1109" s="33" t="b" cm="1">
        <f t="array" ref="N1109">INDEX(stable[is_free_text],MATCH(VALUE(questions[[#This Row],[qno]]),VALUE(stable[qno]),0))</f>
        <v>0</v>
      </c>
      <c r="O1109" s="33" t="b" cm="1">
        <f t="array" ref="O1109">INDEX(stable[is_numerical],MATCH(VALUE(questions[[#This Row],[qno]]),VALUE(stable[qno]),0))</f>
        <v>0</v>
      </c>
      <c r="P1109" s="77" t="b" cm="1">
        <f t="array" ref="P1109">INDEX(stable[is_single_select],MATCH(VALUE(questions[[#This Row],[qno]]),VALUE(stable[qno]),0))</f>
        <v>1</v>
      </c>
      <c r="Q1109" s="77" t="b" cm="1">
        <f t="array" ref="Q1109">INDEX(stable[is_multi_select],MATCH(VALUE(questions[[#This Row],[qno]]),VALUE(stable[qno]),0))</f>
        <v>0</v>
      </c>
      <c r="R1109" s="77" t="b" cm="1">
        <f t="array" ref="R1109">INDEX(stable[is_skip_logic],MATCH(VALUE(questions[[#This Row],[qno]]),VALUE(stable[qno]),0))</f>
        <v>0</v>
      </c>
      <c r="S1109" s="77" t="str">
        <f>_xlfn.TEXTJOIN(", ",TRUE,questions[[#This Row],[ans_opt_1]:[ans_opt_14]])</f>
        <v>No, Yes -1 stream/river, Yes -2 streams/rivers, Yes -3 streams/rivers, Yes -4 streams/rivers, Yes -5 streams/rivers</v>
      </c>
      <c r="T1109" s="91" t="s">
        <v>119</v>
      </c>
      <c r="U1109" s="77" t="s">
        <v>485</v>
      </c>
      <c r="V1109" s="77" t="s">
        <v>486</v>
      </c>
      <c r="W1109" s="77" t="s">
        <v>487</v>
      </c>
      <c r="X1109" s="77" t="s">
        <v>488</v>
      </c>
      <c r="Y1109" s="77" t="s">
        <v>489</v>
      </c>
      <c r="Z1109" s="110"/>
      <c r="AA1109" s="110"/>
      <c r="AB1109" s="110"/>
      <c r="AC1109" s="110"/>
      <c r="AD1109" s="110"/>
      <c r="AE1109" s="91"/>
      <c r="AF1109" s="91"/>
      <c r="AG1109" s="91"/>
      <c r="AH1109" s="126" t="b">
        <f>INDEX(stable[q_standard],MATCH(questions[[#This Row],[qno]],stable[qno],0))</f>
        <v>0</v>
      </c>
      <c r="AI1109" s="126" t="b">
        <f>INDEX(stable[q_living_income],MATCH(questions[[#This Row],[qno]],stable[qno],0))</f>
        <v>0</v>
      </c>
      <c r="AJ1109" s="126" t="b">
        <f>INDEX(stable[q_carbon],MATCH(questions[[#This Row],[qno]],stable[qno],0))</f>
        <v>0</v>
      </c>
      <c r="AK1109" s="126" t="b">
        <f>INDEX(stable[q_regen_ag],MATCH(questions[[#This Row],[qno]],stable[qno],0))</f>
        <v>1</v>
      </c>
      <c r="AL1109" s="185"/>
      <c r="AM1109" s="179"/>
      <c r="AN1109" s="179"/>
      <c r="AO1109" s="179"/>
      <c r="AP1109" s="98" t="str">
        <f>LEFT(questions[[#This Row],[question]],similarity_range)</f>
        <v>Do you have riparian</v>
      </c>
      <c r="AQ1109" s="98" t="str">
        <f>LEFT(INDEX(stable[question],MATCH(questions[[#This Row],[qno]],stable[qno],0)),similarity_range)</f>
        <v>Do you have riparian</v>
      </c>
      <c r="AR1109" s="98" t="b">
        <f>questions[[#This Row],[question_first_characters]]=questions[[#This Row],[stability_first_characters]]</f>
        <v>1</v>
      </c>
      <c r="AS1109" s="98" t="b">
        <f>IF(OR(questions[[#This Row],[is_single_select]],questions[[#This Row],[is_multi_select]]),NOT(ISBLANK(questions[[#This Row],[answer_opt_combined]])),TRUE)</f>
        <v>1</v>
      </c>
    </row>
    <row r="1110" spans="1:45" s="77" customFormat="1" ht="15.75" customHeight="1" x14ac:dyDescent="0.25">
      <c r="A1110" s="77" t="str">
        <f>_xlfn.TEXTJOIN("_",TRUE,questions[[#This Row],[origin]:[qno]])</f>
        <v>Vietnam_Robusta_Nestle_Selecta_2025_7701</v>
      </c>
      <c r="B1110" s="77" t="s">
        <v>673</v>
      </c>
      <c r="C1110" s="77" t="s">
        <v>674</v>
      </c>
      <c r="D1110" s="77" t="s">
        <v>904</v>
      </c>
      <c r="E1110" s="77">
        <v>2025</v>
      </c>
      <c r="F1110" s="105" t="s">
        <v>490</v>
      </c>
      <c r="G1110" s="109" t="s">
        <v>491</v>
      </c>
      <c r="H1110" s="33" t="str" cm="1">
        <f t="array" ref="H1110">INDEX(stableR[question],MATCH(VALUE(questions[[#This Row],[qno]]),VALUE(stableR[qno]),0))</f>
        <v>How many of the riparian areas in your coffee plots are covered/protected with natural vegetation</v>
      </c>
      <c r="I1110" s="33" t="b" cm="1">
        <f t="array" ref="I1110">INDEX(stable[is_fixed],MATCH(VALUE(questions[[#This Row],[qno]]),VALUE(stable[qno]),0))</f>
        <v>1</v>
      </c>
      <c r="J1110" s="33" t="b" cm="1">
        <f t="array" ref="J1110">INDEX(stable[is_localized],MATCH(VALUE(questions[[#This Row],[qno]]),VALUE(stable[qno]),0))</f>
        <v>0</v>
      </c>
      <c r="K1110" s="33" t="b" cm="1">
        <f t="array" ref="K1110">INDEX(stable[is_supply_chain_dependent],MATCH(VALUE(questions[[#This Row],[qno]]),VALUE(stable[qno]),0))</f>
        <v>0</v>
      </c>
      <c r="L1110" s="33" t="b" cm="1">
        <f t="array" ref="L1110">INDEX(stable[is_mandatory],MATCH(VALUE(questions[[#This Row],[qno]]),VALUE(stable[qno]),0))</f>
        <v>0</v>
      </c>
      <c r="M1110" s="33" t="b" cm="1">
        <f t="array" ref="M1110">INDEX(stable[is_automated],MATCH(VALUE(questions[[#This Row],[qno]]),VALUE(stable[qno]),0))</f>
        <v>0</v>
      </c>
      <c r="N1110" s="33" t="b" cm="1">
        <f t="array" ref="N1110">INDEX(stable[is_free_text],MATCH(VALUE(questions[[#This Row],[qno]]),VALUE(stable[qno]),0))</f>
        <v>0</v>
      </c>
      <c r="O1110" s="33" t="b" cm="1">
        <f t="array" ref="O1110">INDEX(stable[is_numerical],MATCH(VALUE(questions[[#This Row],[qno]]),VALUE(stable[qno]),0))</f>
        <v>0</v>
      </c>
      <c r="P1110" s="77" t="b" cm="1">
        <f t="array" ref="P1110">INDEX(stable[is_single_select],MATCH(VALUE(questions[[#This Row],[qno]]),VALUE(stable[qno]),0))</f>
        <v>1</v>
      </c>
      <c r="Q1110" s="77" t="b" cm="1">
        <f t="array" ref="Q1110">INDEX(stable[is_multi_select],MATCH(VALUE(questions[[#This Row],[qno]]),VALUE(stable[qno]),0))</f>
        <v>0</v>
      </c>
      <c r="R1110" s="77" t="b" cm="1">
        <f t="array" ref="R1110">INDEX(stable[is_skip_logic],MATCH(VALUE(questions[[#This Row],[qno]]),VALUE(stable[qno]),0))</f>
        <v>0</v>
      </c>
      <c r="S1110" s="77" t="str">
        <f>_xlfn.TEXTJOIN(", ",TRUE,questions[[#This Row],[ans_opt_1]:[ans_opt_14]])</f>
        <v>All, Some</v>
      </c>
      <c r="T1110" s="91" t="s">
        <v>492</v>
      </c>
      <c r="U1110" s="91" t="s">
        <v>493</v>
      </c>
      <c r="V1110" s="110"/>
      <c r="W1110" s="110"/>
      <c r="X1110" s="110"/>
      <c r="Y1110" s="110"/>
      <c r="Z1110" s="110"/>
      <c r="AA1110" s="110"/>
      <c r="AB1110" s="110"/>
      <c r="AC1110" s="110"/>
      <c r="AD1110" s="110"/>
      <c r="AE1110" s="91"/>
      <c r="AF1110" s="91"/>
      <c r="AG1110" s="91"/>
      <c r="AH1110" s="126" t="b">
        <f>INDEX(stable[q_standard],MATCH(questions[[#This Row],[qno]],stable[qno],0))</f>
        <v>0</v>
      </c>
      <c r="AI1110" s="126" t="b">
        <f>INDEX(stable[q_living_income],MATCH(questions[[#This Row],[qno]],stable[qno],0))</f>
        <v>0</v>
      </c>
      <c r="AJ1110" s="126" t="b">
        <f>INDEX(stable[q_carbon],MATCH(questions[[#This Row],[qno]],stable[qno],0))</f>
        <v>0</v>
      </c>
      <c r="AK1110" s="126" t="b">
        <f>INDEX(stable[q_regen_ag],MATCH(questions[[#This Row],[qno]],stable[qno],0))</f>
        <v>1</v>
      </c>
      <c r="AL1110" s="185"/>
      <c r="AM1110" s="179"/>
      <c r="AN1110" s="179"/>
      <c r="AO1110" s="179"/>
      <c r="AP1110" s="98" t="str">
        <f>LEFT(questions[[#This Row],[question]],similarity_range)</f>
        <v>How many of the ripa</v>
      </c>
      <c r="AQ1110" s="98" t="str">
        <f>LEFT(INDEX(stable[question],MATCH(questions[[#This Row],[qno]],stable[qno],0)),similarity_range)</f>
        <v>How many of the ripa</v>
      </c>
      <c r="AR1110" s="98" t="b">
        <f>questions[[#This Row],[question_first_characters]]=questions[[#This Row],[stability_first_characters]]</f>
        <v>1</v>
      </c>
      <c r="AS1110" s="98" t="b">
        <f>IF(OR(questions[[#This Row],[is_single_select]],questions[[#This Row],[is_multi_select]]),NOT(ISBLANK(questions[[#This Row],[answer_opt_combined]])),TRUE)</f>
        <v>1</v>
      </c>
    </row>
    <row r="1111" spans="1:45" s="77" customFormat="1" ht="15.75" customHeight="1" x14ac:dyDescent="0.25">
      <c r="A1111" s="77" t="str">
        <f>_xlfn.TEXTJOIN("_",TRUE,questions[[#This Row],[origin]:[qno]])</f>
        <v>Vietnam_Robusta_Nestle_Selecta_2025_8000</v>
      </c>
      <c r="B1111" s="77" t="s">
        <v>673</v>
      </c>
      <c r="C1111" s="77" t="s">
        <v>674</v>
      </c>
      <c r="D1111" s="77" t="s">
        <v>904</v>
      </c>
      <c r="E1111" s="77">
        <v>2025</v>
      </c>
      <c r="F1111" s="108" t="s">
        <v>494</v>
      </c>
      <c r="G1111" s="115" t="s">
        <v>495</v>
      </c>
      <c r="H1111" s="33" t="str" cm="1">
        <f t="array" ref="H1111">INDEX(stableR[question],MATCH(VALUE(questions[[#This Row],[qno]]),VALUE(stableR[qno]),0))</f>
        <v>What describes the soil type best in the coffee plot of the farmer (please observe your self)</v>
      </c>
      <c r="I1111" s="33" t="b" cm="1">
        <f t="array" ref="I1111">INDEX(stable[is_fixed],MATCH(VALUE(questions[[#This Row],[qno]]),VALUE(stable[qno]),0))</f>
        <v>1</v>
      </c>
      <c r="J1111" s="33" t="b" cm="1">
        <f t="array" ref="J1111">INDEX(stable[is_localized],MATCH(VALUE(questions[[#This Row],[qno]]),VALUE(stable[qno]),0))</f>
        <v>0</v>
      </c>
      <c r="K1111" s="33" t="b" cm="1">
        <f t="array" ref="K1111">INDEX(stable[is_supply_chain_dependent],MATCH(VALUE(questions[[#This Row],[qno]]),VALUE(stable[qno]),0))</f>
        <v>0</v>
      </c>
      <c r="L1111" s="33" t="b" cm="1">
        <f t="array" ref="L1111">INDEX(stable[is_mandatory],MATCH(VALUE(questions[[#This Row],[qno]]),VALUE(stable[qno]),0))</f>
        <v>1</v>
      </c>
      <c r="M1111" s="33" t="b" cm="1">
        <f t="array" ref="M1111">INDEX(stable[is_automated],MATCH(VALUE(questions[[#This Row],[qno]]),VALUE(stable[qno]),0))</f>
        <v>0</v>
      </c>
      <c r="N1111" s="33" t="b" cm="1">
        <f t="array" ref="N1111">INDEX(stable[is_free_text],MATCH(VALUE(questions[[#This Row],[qno]]),VALUE(stable[qno]),0))</f>
        <v>0</v>
      </c>
      <c r="O1111" s="33" t="b" cm="1">
        <f t="array" ref="O1111">INDEX(stable[is_numerical],MATCH(VALUE(questions[[#This Row],[qno]]),VALUE(stable[qno]),0))</f>
        <v>0</v>
      </c>
      <c r="P1111" s="77" t="b" cm="1">
        <f t="array" ref="P1111">INDEX(stable[is_single_select],MATCH(VALUE(questions[[#This Row],[qno]]),VALUE(stable[qno]),0))</f>
        <v>1</v>
      </c>
      <c r="Q1111" s="77" t="b" cm="1">
        <f t="array" ref="Q1111">INDEX(stable[is_multi_select],MATCH(VALUE(questions[[#This Row],[qno]]),VALUE(stable[qno]),0))</f>
        <v>0</v>
      </c>
      <c r="R1111" s="77" t="b" cm="1">
        <f t="array" ref="R1111">INDEX(stable[is_skip_logic],MATCH(VALUE(questions[[#This Row],[qno]]),VALUE(stable[qno]),0))</f>
        <v>0</v>
      </c>
      <c r="S1111" s="77" t="str">
        <f>_xlfn.TEXTJOIN(", ",TRUE,questions[[#This Row],[ans_opt_1]:[ans_opt_14]])</f>
        <v>High activity clay soils , Low activity clay soils, Sandy soils, Loamy soils, Volcanic soils, Wetland soils, Organic soils</v>
      </c>
      <c r="T1111" s="77" t="s">
        <v>817</v>
      </c>
      <c r="U1111" s="77" t="s">
        <v>497</v>
      </c>
      <c r="V1111" s="77" t="s">
        <v>498</v>
      </c>
      <c r="W1111" s="91" t="s">
        <v>499</v>
      </c>
      <c r="X1111" s="77" t="s">
        <v>500</v>
      </c>
      <c r="Y1111" s="77" t="s">
        <v>501</v>
      </c>
      <c r="Z1111" s="77" t="s">
        <v>502</v>
      </c>
      <c r="AE1111" s="91"/>
      <c r="AF1111" s="91"/>
      <c r="AG1111" s="91"/>
      <c r="AH1111" s="126" t="b">
        <f>INDEX(stable[q_standard],MATCH(questions[[#This Row],[qno]],stable[qno],0))</f>
        <v>0</v>
      </c>
      <c r="AI1111" s="126" t="b">
        <f>INDEX(stable[q_living_income],MATCH(questions[[#This Row],[qno]],stable[qno],0))</f>
        <v>0</v>
      </c>
      <c r="AJ1111" s="126" t="b">
        <f>INDEX(stable[q_carbon],MATCH(questions[[#This Row],[qno]],stable[qno],0))</f>
        <v>0</v>
      </c>
      <c r="AK1111" s="126" t="b">
        <f>INDEX(stable[q_regen_ag],MATCH(questions[[#This Row],[qno]],stable[qno],0))</f>
        <v>1</v>
      </c>
      <c r="AL1111" s="177"/>
      <c r="AM1111" s="177"/>
      <c r="AN1111" s="177"/>
      <c r="AO1111" s="177"/>
      <c r="AP1111" s="98" t="str">
        <f>LEFT(questions[[#This Row],[question]],similarity_range)</f>
        <v>What describes the s</v>
      </c>
      <c r="AQ1111" s="98" t="str">
        <f>LEFT(INDEX(stable[question],MATCH(questions[[#This Row],[qno]],stable[qno],0)),similarity_range)</f>
        <v>What describes the s</v>
      </c>
      <c r="AR1111" s="98" t="b">
        <f>questions[[#This Row],[question_first_characters]]=questions[[#This Row],[stability_first_characters]]</f>
        <v>1</v>
      </c>
      <c r="AS1111" s="98" t="b">
        <f>IF(OR(questions[[#This Row],[is_single_select]],questions[[#This Row],[is_multi_select]]),NOT(ISBLANK(questions[[#This Row],[answer_opt_combined]])),TRUE)</f>
        <v>1</v>
      </c>
    </row>
    <row r="1112" spans="1:45" s="77" customFormat="1" ht="15.75" customHeight="1" x14ac:dyDescent="0.25">
      <c r="A1112" s="77" t="str">
        <f>_xlfn.TEXTJOIN("_",TRUE,questions[[#This Row],[origin]:[qno]])</f>
        <v>Vietnam_Robusta_Nestle_Selecta_2025_8010</v>
      </c>
      <c r="B1112" s="77" t="s">
        <v>673</v>
      </c>
      <c r="C1112" s="77" t="s">
        <v>674</v>
      </c>
      <c r="D1112" s="77" t="s">
        <v>904</v>
      </c>
      <c r="E1112" s="77">
        <v>2025</v>
      </c>
      <c r="F1112" s="108" t="s">
        <v>503</v>
      </c>
      <c r="G1112" s="115" t="s">
        <v>504</v>
      </c>
      <c r="H1112" s="33" t="str" cm="1">
        <f t="array" ref="H1112">INDEX(stableR[question],MATCH(VALUE(questions[[#This Row],[qno]]),VALUE(stableR[qno]),0))</f>
        <v>What type of tillage/ploughing do you use in your coffee plots mostly (full tillages=fully turning the soil; reduced tillages is only losening the soil; No till is no tillage or ploughing of the soil at all)?</v>
      </c>
      <c r="I1112" s="33" t="b" cm="1">
        <f t="array" ref="I1112">INDEX(stable[is_fixed],MATCH(VALUE(questions[[#This Row],[qno]]),VALUE(stable[qno]),0))</f>
        <v>1</v>
      </c>
      <c r="J1112" s="33" t="b" cm="1">
        <f t="array" ref="J1112">INDEX(stable[is_localized],MATCH(VALUE(questions[[#This Row],[qno]]),VALUE(stable[qno]),0))</f>
        <v>0</v>
      </c>
      <c r="K1112" s="33" t="b" cm="1">
        <f t="array" ref="K1112">INDEX(stable[is_supply_chain_dependent],MATCH(VALUE(questions[[#This Row],[qno]]),VALUE(stable[qno]),0))</f>
        <v>0</v>
      </c>
      <c r="L1112" s="33" t="b" cm="1">
        <f t="array" ref="L1112">INDEX(stable[is_mandatory],MATCH(VALUE(questions[[#This Row],[qno]]),VALUE(stable[qno]),0))</f>
        <v>1</v>
      </c>
      <c r="M1112" s="33" t="b" cm="1">
        <f t="array" ref="M1112">INDEX(stable[is_automated],MATCH(VALUE(questions[[#This Row],[qno]]),VALUE(stable[qno]),0))</f>
        <v>0</v>
      </c>
      <c r="N1112" s="33" t="b" cm="1">
        <f t="array" ref="N1112">INDEX(stable[is_free_text],MATCH(VALUE(questions[[#This Row],[qno]]),VALUE(stable[qno]),0))</f>
        <v>0</v>
      </c>
      <c r="O1112" s="33" t="b" cm="1">
        <f t="array" ref="O1112">INDEX(stable[is_numerical],MATCH(VALUE(questions[[#This Row],[qno]]),VALUE(stable[qno]),0))</f>
        <v>0</v>
      </c>
      <c r="P1112" s="77" t="b" cm="1">
        <f t="array" ref="P1112">INDEX(stable[is_single_select],MATCH(VALUE(questions[[#This Row],[qno]]),VALUE(stable[qno]),0))</f>
        <v>1</v>
      </c>
      <c r="Q1112" s="77" t="b" cm="1">
        <f t="array" ref="Q1112">INDEX(stable[is_multi_select],MATCH(VALUE(questions[[#This Row],[qno]]),VALUE(stable[qno]),0))</f>
        <v>0</v>
      </c>
      <c r="R1112" s="77" t="b" cm="1">
        <f t="array" ref="R1112">INDEX(stable[is_skip_logic],MATCH(VALUE(questions[[#This Row],[qno]]),VALUE(stable[qno]),0))</f>
        <v>0</v>
      </c>
      <c r="S1112" s="77" t="str">
        <f>_xlfn.TEXTJOIN(", ",TRUE,questions[[#This Row],[ans_opt_1]:[ans_opt_14]])</f>
        <v>Full-tillage, Reduced tillage, No till</v>
      </c>
      <c r="T1112" s="113" t="s">
        <v>505</v>
      </c>
      <c r="U1112" s="113" t="s">
        <v>506</v>
      </c>
      <c r="V1112" s="113" t="s">
        <v>507</v>
      </c>
      <c r="W1112" s="91"/>
      <c r="X1112" s="91"/>
      <c r="Y1112" s="91"/>
      <c r="Z1112" s="91"/>
      <c r="AA1112" s="91"/>
      <c r="AB1112" s="91"/>
      <c r="AC1112" s="91"/>
      <c r="AD1112" s="91"/>
      <c r="AE1112" s="91"/>
      <c r="AF1112" s="91"/>
      <c r="AG1112" s="91"/>
      <c r="AH1112" s="126" t="b">
        <f>INDEX(stable[q_standard],MATCH(questions[[#This Row],[qno]],stable[qno],0))</f>
        <v>0</v>
      </c>
      <c r="AI1112" s="126" t="b">
        <f>INDEX(stable[q_living_income],MATCH(questions[[#This Row],[qno]],stable[qno],0))</f>
        <v>0</v>
      </c>
      <c r="AJ1112" s="126" t="b">
        <f>INDEX(stable[q_carbon],MATCH(questions[[#This Row],[qno]],stable[qno],0))</f>
        <v>0</v>
      </c>
      <c r="AK1112" s="126" t="b">
        <f>INDEX(stable[q_regen_ag],MATCH(questions[[#This Row],[qno]],stable[qno],0))</f>
        <v>1</v>
      </c>
      <c r="AL1112" s="177"/>
      <c r="AM1112" s="177"/>
      <c r="AN1112" s="177"/>
      <c r="AO1112" s="177"/>
      <c r="AP1112" s="98" t="str">
        <f>LEFT(questions[[#This Row],[question]],similarity_range)</f>
        <v>What type of tillage</v>
      </c>
      <c r="AQ1112" s="98" t="str">
        <f>LEFT(INDEX(stable[question],MATCH(questions[[#This Row],[qno]],stable[qno],0)),similarity_range)</f>
        <v>What type of tillage</v>
      </c>
      <c r="AR1112" s="98" t="b">
        <f>questions[[#This Row],[question_first_characters]]=questions[[#This Row],[stability_first_characters]]</f>
        <v>1</v>
      </c>
      <c r="AS1112" s="98" t="b">
        <f>IF(OR(questions[[#This Row],[is_single_select]],questions[[#This Row],[is_multi_select]]),NOT(ISBLANK(questions[[#This Row],[answer_opt_combined]])),TRUE)</f>
        <v>1</v>
      </c>
    </row>
    <row r="1113" spans="1:45" s="138" customFormat="1" ht="15.75" customHeight="1" x14ac:dyDescent="0.25">
      <c r="A1113" s="138" t="str">
        <f>_xlfn.TEXTJOIN("_",TRUE,questions[[#This Row],[origin]:[qno]])</f>
        <v>Vietnam_Robusta_Nestle_Selecta_2025_8100</v>
      </c>
      <c r="B1113" s="138" t="s">
        <v>673</v>
      </c>
      <c r="C1113" s="138" t="s">
        <v>674</v>
      </c>
      <c r="D1113" s="77" t="s">
        <v>904</v>
      </c>
      <c r="E1113" s="77">
        <v>2025</v>
      </c>
      <c r="F1113" s="139" t="s">
        <v>616</v>
      </c>
      <c r="G1113" s="140" t="s">
        <v>715</v>
      </c>
      <c r="H1113" s="49" t="str" cm="1">
        <f t="array" ref="H1113">INDEX(stableR[question],MATCH(VALUE(questions[[#This Row],[qno]]),VALUE(stableR[qno]),0))</f>
        <v>After hulling the dried coffee cherries, what did you do with the husks, last year?</v>
      </c>
      <c r="I1113" s="49" t="b" cm="1">
        <f t="array" ref="I1113">INDEX(stable[is_fixed],MATCH(VALUE(questions[[#This Row],[qno]]),VALUE(stable[qno]),0))</f>
        <v>0</v>
      </c>
      <c r="J1113" s="49" t="b" cm="1">
        <f t="array" ref="J1113">INDEX(stable[is_localized],MATCH(VALUE(questions[[#This Row],[qno]]),VALUE(stable[qno]),0))</f>
        <v>1</v>
      </c>
      <c r="K1113" s="49" t="b" cm="1">
        <f t="array" ref="K1113">INDEX(stable[is_supply_chain_dependent],MATCH(VALUE(questions[[#This Row],[qno]]),VALUE(stable[qno]),0))</f>
        <v>1</v>
      </c>
      <c r="L1113" s="49" t="b" cm="1">
        <f t="array" ref="L1113">INDEX(stable[is_mandatory],MATCH(VALUE(questions[[#This Row],[qno]]),VALUE(stable[qno]),0))</f>
        <v>1</v>
      </c>
      <c r="M1113" s="49" t="b" cm="1">
        <f t="array" ref="M1113">INDEX(stable[is_automated],MATCH(VALUE(questions[[#This Row],[qno]]),VALUE(stable[qno]),0))</f>
        <v>0</v>
      </c>
      <c r="N1113" s="49" t="b" cm="1">
        <f t="array" ref="N1113">INDEX(stable[is_free_text],MATCH(VALUE(questions[[#This Row],[qno]]),VALUE(stable[qno]),0))</f>
        <v>0</v>
      </c>
      <c r="O1113" s="49" t="b" cm="1">
        <f t="array" ref="O1113">INDEX(stable[is_numerical],MATCH(VALUE(questions[[#This Row],[qno]]),VALUE(stable[qno]),0))</f>
        <v>0</v>
      </c>
      <c r="P1113" s="138" t="b" cm="1">
        <f t="array" ref="P1113">INDEX(stable[is_single_select],MATCH(VALUE(questions[[#This Row],[qno]]),VALUE(stable[qno]),0))</f>
        <v>1</v>
      </c>
      <c r="Q1113" s="138" t="b" cm="1">
        <f t="array" ref="Q1113">INDEX(stable[is_multi_select],MATCH(VALUE(questions[[#This Row],[qno]]),VALUE(stable[qno]),0))</f>
        <v>0</v>
      </c>
      <c r="R1113" s="138" t="b" cm="1">
        <f t="array" ref="R1113">INDEX(stable[is_skip_logic],MATCH(VALUE(questions[[#This Row],[qno]]),VALUE(stable[qno]),0))</f>
        <v>0</v>
      </c>
      <c r="S1113" s="138" t="str">
        <f>_xlfn.TEXTJOIN(", ",TRUE,questions[[#This Row],[ans_opt_1]:[ans_opt_14]])</f>
        <v>Apply to coffee farms within the supply chain, right after processing (e.g. after de-pulping in wet processing and after de-husking in dry processing) without composting, Apply to other crops without composting, Compost and add to coffee farms within the supply chain, Compost and add to other farms outside the supply chain, Temporarily left untreated in a heap/pit (max. 6 months), after which it is applied to the coffee farms within the supply chain, Temporarily left untreated in a heap/pit (max. 6 months), after which it sold or given away (outside the supply chain), Leave them in a pile untreated (min. 6 months or longer) and then applied to the coffee farms within the supply chain, Leave them in a pile untreated (min. 6 months or longer), no other management, Burn on farm, Sell to a buyer or given away (outside the supply chain)</v>
      </c>
      <c r="T1113" s="137" t="s">
        <v>618</v>
      </c>
      <c r="U1113" s="137" t="s">
        <v>619</v>
      </c>
      <c r="V1113" s="137" t="s">
        <v>620</v>
      </c>
      <c r="W1113" s="137" t="s">
        <v>621</v>
      </c>
      <c r="X1113" s="137" t="s">
        <v>622</v>
      </c>
      <c r="Y1113" s="137" t="s">
        <v>623</v>
      </c>
      <c r="Z1113" s="137" t="s">
        <v>624</v>
      </c>
      <c r="AA1113" s="137" t="s">
        <v>625</v>
      </c>
      <c r="AB1113" s="137" t="s">
        <v>626</v>
      </c>
      <c r="AC1113" s="137" t="s">
        <v>627</v>
      </c>
      <c r="AD1113" s="141"/>
      <c r="AE1113" s="141"/>
      <c r="AF1113" s="141"/>
      <c r="AG1113" s="141"/>
      <c r="AH1113" s="192" t="b">
        <f>INDEX(stable[q_standard],MATCH(questions[[#This Row],[qno]],stable[qno],0))</f>
        <v>0</v>
      </c>
      <c r="AI1113" s="192" t="b">
        <f>INDEX(stable[q_living_income],MATCH(questions[[#This Row],[qno]],stable[qno],0))</f>
        <v>0</v>
      </c>
      <c r="AJ1113" s="192" t="b">
        <f>INDEX(stable[q_carbon],MATCH(questions[[#This Row],[qno]],stable[qno],0))</f>
        <v>1</v>
      </c>
      <c r="AK1113" s="192" t="b">
        <f>INDEX(stable[q_regen_ag],MATCH(questions[[#This Row],[qno]],stable[qno],0))</f>
        <v>0</v>
      </c>
      <c r="AL1113" s="174"/>
      <c r="AM1113" s="174"/>
      <c r="AN1113" s="174"/>
      <c r="AO1113" s="174"/>
      <c r="AP1113" s="98" t="str">
        <f>LEFT(questions[[#This Row],[question]],similarity_range)</f>
        <v>After hulling the dr</v>
      </c>
      <c r="AQ1113" s="98" t="str">
        <f>LEFT(INDEX(stable[question],MATCH(questions[[#This Row],[qno]],stable[qno],0)),similarity_range)</f>
        <v>After hulling the dr</v>
      </c>
      <c r="AR1113" s="98" t="b">
        <f>questions[[#This Row],[question_first_characters]]=questions[[#This Row],[stability_first_characters]]</f>
        <v>1</v>
      </c>
      <c r="AS1113" s="98" t="b">
        <f>IF(OR(questions[[#This Row],[is_single_select]],questions[[#This Row],[is_multi_select]]),NOT(ISBLANK(questions[[#This Row],[answer_opt_combined]])),TRUE)</f>
        <v>1</v>
      </c>
    </row>
    <row r="1114" spans="1:45" ht="15.75" customHeight="1" x14ac:dyDescent="0.25">
      <c r="A1114" s="33" t="str">
        <f>_xlfn.TEXTJOIN("_",TRUE,questions[[#This Row],[origin]:[qno]])</f>
        <v>Vietnam_Robusta_Nestle_Selecta_2025_8101</v>
      </c>
      <c r="B1114" s="33" t="s">
        <v>673</v>
      </c>
      <c r="C1114" s="33" t="s">
        <v>674</v>
      </c>
      <c r="D1114" s="33" t="s">
        <v>904</v>
      </c>
      <c r="E1114" s="33">
        <v>2025</v>
      </c>
      <c r="F1114" s="42" t="s">
        <v>716</v>
      </c>
      <c r="G1114" s="218" t="s">
        <v>717</v>
      </c>
      <c r="H1114" s="33" t="str" cm="1">
        <f t="array" ref="H1114">INDEX(stableR[question],MATCH(VALUE(questions[[#This Row],[qno]]),VALUE(stableR[qno]),0))</f>
        <v>Can you estimate the amount of husks that remained after hulling of your coffee processed last year? (Kg)</v>
      </c>
      <c r="I1114" s="33" t="b" cm="1">
        <f t="array" ref="I1114">INDEX(stable[is_fixed],MATCH(VALUE(questions[[#This Row],[qno]]),VALUE(stable[qno]),0))</f>
        <v>0</v>
      </c>
      <c r="J1114" s="33" t="b" cm="1">
        <f t="array" ref="J1114">INDEX(stable[is_localized],MATCH(VALUE(questions[[#This Row],[qno]]),VALUE(stable[qno]),0))</f>
        <v>1</v>
      </c>
      <c r="K1114" s="33" t="b" cm="1">
        <f t="array" ref="K1114">INDEX(stable[is_supply_chain_dependent],MATCH(VALUE(questions[[#This Row],[qno]]),VALUE(stable[qno]),0))</f>
        <v>1</v>
      </c>
      <c r="L1114" s="33" t="b" cm="1">
        <f t="array" ref="L1114">INDEX(stable[is_mandatory],MATCH(VALUE(questions[[#This Row],[qno]]),VALUE(stable[qno]),0))</f>
        <v>1</v>
      </c>
      <c r="M1114" s="33" t="b" cm="1">
        <f t="array" ref="M1114">INDEX(stable[is_automated],MATCH(VALUE(questions[[#This Row],[qno]]),VALUE(stable[qno]),0))</f>
        <v>0</v>
      </c>
      <c r="N1114" s="33" t="b" cm="1">
        <f t="array" ref="N1114">INDEX(stable[is_free_text],MATCH(VALUE(questions[[#This Row],[qno]]),VALUE(stable[qno]),0))</f>
        <v>0</v>
      </c>
      <c r="O1114" s="33" t="b" cm="1">
        <f t="array" ref="O1114">INDEX(stable[is_numerical],MATCH(VALUE(questions[[#This Row],[qno]]),VALUE(stable[qno]),0))</f>
        <v>1</v>
      </c>
      <c r="P1114" s="33" t="b" cm="1">
        <f t="array" ref="P1114">INDEX(stable[is_single_select],MATCH(VALUE(questions[[#This Row],[qno]]),VALUE(stable[qno]),0))</f>
        <v>0</v>
      </c>
      <c r="Q1114" s="33" t="b" cm="1">
        <f t="array" ref="Q1114">INDEX(stable[is_multi_select],MATCH(VALUE(questions[[#This Row],[qno]]),VALUE(stable[qno]),0))</f>
        <v>0</v>
      </c>
      <c r="R1114" s="33" t="b" cm="1">
        <f t="array" ref="R1114">INDEX(stable[is_skip_logic],MATCH(VALUE(questions[[#This Row],[qno]]),VALUE(stable[qno]),0))</f>
        <v>0</v>
      </c>
      <c r="S1114" s="33" t="str">
        <f>_xlfn.TEXTJOIN(", ",TRUE,questions[[#This Row],[ans_opt_1]:[ans_opt_14]])</f>
        <v/>
      </c>
      <c r="T1114" s="44"/>
      <c r="U1114" s="44"/>
      <c r="V1114" s="44"/>
      <c r="W1114" s="44"/>
      <c r="X1114" s="44"/>
      <c r="Y1114" s="44"/>
      <c r="Z1114" s="44"/>
      <c r="AA1114" s="44"/>
      <c r="AB1114" s="44"/>
      <c r="AC1114" s="44"/>
      <c r="AD1114" s="44"/>
      <c r="AE1114" s="44"/>
      <c r="AF1114" s="44"/>
      <c r="AG1114" s="44"/>
      <c r="AH1114" s="124" t="b">
        <f>INDEX(stable[q_standard],MATCH(questions[[#This Row],[qno]],stable[qno],0))</f>
        <v>0</v>
      </c>
      <c r="AI1114" s="124" t="b">
        <f>INDEX(stable[q_living_income],MATCH(questions[[#This Row],[qno]],stable[qno],0))</f>
        <v>0</v>
      </c>
      <c r="AJ1114" s="124" t="b">
        <f>INDEX(stable[q_carbon],MATCH(questions[[#This Row],[qno]],stable[qno],0))</f>
        <v>1</v>
      </c>
      <c r="AK1114" s="124" t="b">
        <f>INDEX(stable[q_regen_ag],MATCH(questions[[#This Row],[qno]],stable[qno],0))</f>
        <v>0</v>
      </c>
      <c r="AL1114" s="174"/>
      <c r="AM1114" s="174"/>
      <c r="AN1114" s="174"/>
      <c r="AO1114" s="174"/>
      <c r="AP1114" s="16" t="str">
        <f>LEFT(questions[[#This Row],[question]],similarity_range)</f>
        <v>Can you estimate the</v>
      </c>
      <c r="AQ1114" s="16" t="str">
        <f>LEFT(INDEX(stable[question],MATCH(questions[[#This Row],[qno]],stable[qno],0)),similarity_range)</f>
        <v>Can you estimate the</v>
      </c>
      <c r="AR1114" s="16" t="b">
        <f>questions[[#This Row],[question_first_characters]]=questions[[#This Row],[stability_first_characters]]</f>
        <v>1</v>
      </c>
      <c r="AS1114" s="16" t="b">
        <f>IF(OR(questions[[#This Row],[is_single_select]],questions[[#This Row],[is_multi_select]]),NOT(ISBLANK(questions[[#This Row],[answer_opt_combined]])),TRUE)</f>
        <v>1</v>
      </c>
    </row>
    <row r="1115" spans="1:45" s="77" customFormat="1" ht="15.75" customHeight="1" x14ac:dyDescent="0.25">
      <c r="A1115" s="77" t="str">
        <f>_xlfn.TEXTJOIN("_",TRUE,questions[[#This Row],[origin]:[qno]])</f>
        <v>Vietnam_Robusta_Nestle_Selecta_2025_8200</v>
      </c>
      <c r="B1115" s="77" t="s">
        <v>673</v>
      </c>
      <c r="C1115" s="77" t="s">
        <v>674</v>
      </c>
      <c r="D1115" s="77" t="s">
        <v>904</v>
      </c>
      <c r="E1115" s="77">
        <v>2025</v>
      </c>
      <c r="F1115" s="108" t="s">
        <v>628</v>
      </c>
      <c r="G1115" s="109" t="s">
        <v>629</v>
      </c>
      <c r="H1115" s="33" t="str" cm="1">
        <f t="array" ref="H1115">INDEX(stableR[question],MATCH(VALUE(questions[[#This Row],[qno]]),VALUE(stableR[qno]),0))</f>
        <v>Did you use water for pulping/processing your coffee last year?</v>
      </c>
      <c r="I1115" s="33" t="b" cm="1">
        <f t="array" ref="I1115">INDEX(stable[is_fixed],MATCH(VALUE(questions[[#This Row],[qno]]),VALUE(stable[qno]),0))</f>
        <v>0</v>
      </c>
      <c r="J1115" s="33" t="b" cm="1">
        <f t="array" ref="J1115">INDEX(stable[is_localized],MATCH(VALUE(questions[[#This Row],[qno]]),VALUE(stable[qno]),0))</f>
        <v>0</v>
      </c>
      <c r="K1115" s="33" t="b" cm="1">
        <f t="array" ref="K1115">INDEX(stable[is_supply_chain_dependent],MATCH(VALUE(questions[[#This Row],[qno]]),VALUE(stable[qno]),0))</f>
        <v>1</v>
      </c>
      <c r="L1115" s="33" t="b" cm="1">
        <f t="array" ref="L1115">INDEX(stable[is_mandatory],MATCH(VALUE(questions[[#This Row],[qno]]),VALUE(stable[qno]),0))</f>
        <v>1</v>
      </c>
      <c r="M1115" s="33" t="b" cm="1">
        <f t="array" ref="M1115">INDEX(stable[is_automated],MATCH(VALUE(questions[[#This Row],[qno]]),VALUE(stable[qno]),0))</f>
        <v>0</v>
      </c>
      <c r="N1115" s="33" t="b" cm="1">
        <f t="array" ref="N1115">INDEX(stable[is_free_text],MATCH(VALUE(questions[[#This Row],[qno]]),VALUE(stable[qno]),0))</f>
        <v>0</v>
      </c>
      <c r="O1115" s="33" t="b" cm="1">
        <f t="array" ref="O1115">INDEX(stable[is_numerical],MATCH(VALUE(questions[[#This Row],[qno]]),VALUE(stable[qno]),0))</f>
        <v>0</v>
      </c>
      <c r="P1115" s="77" t="b" cm="1">
        <f t="array" ref="P1115">INDEX(stable[is_single_select],MATCH(VALUE(questions[[#This Row],[qno]]),VALUE(stable[qno]),0))</f>
        <v>1</v>
      </c>
      <c r="Q1115" s="77" t="b" cm="1">
        <f t="array" ref="Q1115">INDEX(stable[is_multi_select],MATCH(VALUE(questions[[#This Row],[qno]]),VALUE(stable[qno]),0))</f>
        <v>0</v>
      </c>
      <c r="R1115" s="77" t="b" cm="1">
        <f t="array" ref="R1115">INDEX(stable[is_skip_logic],MATCH(VALUE(questions[[#This Row],[qno]]),VALUE(stable[qno]),0))</f>
        <v>1</v>
      </c>
      <c r="S1115" s="77" t="str">
        <f>_xlfn.TEXTJOIN(", ",TRUE,questions[[#This Row],[ans_opt_1]:[ans_opt_14]])</f>
        <v>Yes, No</v>
      </c>
      <c r="T1115" s="113" t="s">
        <v>149</v>
      </c>
      <c r="U1115" s="113" t="s">
        <v>119</v>
      </c>
      <c r="V1115" s="113"/>
      <c r="W1115" s="113"/>
      <c r="X1115" s="113"/>
      <c r="Y1115" s="113"/>
      <c r="Z1115" s="91"/>
      <c r="AA1115" s="91"/>
      <c r="AB1115" s="91"/>
      <c r="AC1115" s="91"/>
      <c r="AD1115" s="91"/>
      <c r="AE1115" s="91"/>
      <c r="AF1115" s="91"/>
      <c r="AG1115" s="91"/>
      <c r="AH1115" s="126" t="b">
        <f>INDEX(stable[q_standard],MATCH(questions[[#This Row],[qno]],stable[qno],0))</f>
        <v>0</v>
      </c>
      <c r="AI1115" s="126" t="b">
        <f>INDEX(stable[q_living_income],MATCH(questions[[#This Row],[qno]],stable[qno],0))</f>
        <v>0</v>
      </c>
      <c r="AJ1115" s="126" t="b">
        <f>INDEX(stable[q_carbon],MATCH(questions[[#This Row],[qno]],stable[qno],0))</f>
        <v>1</v>
      </c>
      <c r="AK1115" s="126" t="b">
        <f>INDEX(stable[q_regen_ag],MATCH(questions[[#This Row],[qno]],stable[qno],0))</f>
        <v>0</v>
      </c>
      <c r="AL1115" s="165"/>
      <c r="AM1115" s="165"/>
      <c r="AN1115" s="165"/>
      <c r="AO1115" s="165"/>
      <c r="AP1115" s="98" t="str">
        <f>LEFT(questions[[#This Row],[question]],similarity_range)</f>
        <v>Did you use water fo</v>
      </c>
      <c r="AQ1115" s="98" t="str">
        <f>LEFT(INDEX(stable[question],MATCH(questions[[#This Row],[qno]],stable[qno],0)),similarity_range)</f>
        <v>Did you use water fo</v>
      </c>
      <c r="AR1115" s="98" t="b">
        <f>questions[[#This Row],[question_first_characters]]=questions[[#This Row],[stability_first_characters]]</f>
        <v>1</v>
      </c>
      <c r="AS1115" s="98" t="b">
        <f>IF(OR(questions[[#This Row],[is_single_select]],questions[[#This Row],[is_multi_select]]),NOT(ISBLANK(questions[[#This Row],[answer_opt_combined]])),TRUE)</f>
        <v>1</v>
      </c>
    </row>
    <row r="1116" spans="1:45" s="77" customFormat="1" ht="15.75" customHeight="1" x14ac:dyDescent="0.25">
      <c r="A1116" s="77" t="str">
        <f>_xlfn.TEXTJOIN("_",TRUE,questions[[#This Row],[origin]:[qno]])</f>
        <v>Vietnam_Robusta_Nestle_Selecta_2025_8201</v>
      </c>
      <c r="B1116" s="77" t="s">
        <v>673</v>
      </c>
      <c r="C1116" s="77" t="s">
        <v>674</v>
      </c>
      <c r="D1116" s="77" t="s">
        <v>904</v>
      </c>
      <c r="E1116" s="77">
        <v>2025</v>
      </c>
      <c r="F1116" s="108" t="s">
        <v>630</v>
      </c>
      <c r="G1116" s="109" t="s">
        <v>631</v>
      </c>
      <c r="H1116" s="33" t="str" cm="1">
        <f t="array" ref="H1116">INDEX(stableR[question],MATCH(VALUE(questions[[#This Row],[qno]]),VALUE(stableR[qno]),0))</f>
        <v>If yes, what was the source of this water?</v>
      </c>
      <c r="I1116" s="33" t="b" cm="1">
        <f t="array" ref="I1116">INDEX(stable[is_fixed],MATCH(VALUE(questions[[#This Row],[qno]]),VALUE(stable[qno]),0))</f>
        <v>0</v>
      </c>
      <c r="J1116" s="33" t="b" cm="1">
        <f t="array" ref="J1116">INDEX(stable[is_localized],MATCH(VALUE(questions[[#This Row],[qno]]),VALUE(stable[qno]),0))</f>
        <v>0</v>
      </c>
      <c r="K1116" s="33" t="b" cm="1">
        <f t="array" ref="K1116">INDEX(stable[is_supply_chain_dependent],MATCH(VALUE(questions[[#This Row],[qno]]),VALUE(stable[qno]),0))</f>
        <v>1</v>
      </c>
      <c r="L1116" s="33" t="b" cm="1">
        <f t="array" ref="L1116">INDEX(stable[is_mandatory],MATCH(VALUE(questions[[#This Row],[qno]]),VALUE(stable[qno]),0))</f>
        <v>0</v>
      </c>
      <c r="M1116" s="33" t="b" cm="1">
        <f t="array" ref="M1116">INDEX(stable[is_automated],MATCH(VALUE(questions[[#This Row],[qno]]),VALUE(stable[qno]),0))</f>
        <v>0</v>
      </c>
      <c r="N1116" s="33" t="b" cm="1">
        <f t="array" ref="N1116">INDEX(stable[is_free_text],MATCH(VALUE(questions[[#This Row],[qno]]),VALUE(stable[qno]),0))</f>
        <v>0</v>
      </c>
      <c r="O1116" s="33" t="b" cm="1">
        <f t="array" ref="O1116">INDEX(stable[is_numerical],MATCH(VALUE(questions[[#This Row],[qno]]),VALUE(stable[qno]),0))</f>
        <v>0</v>
      </c>
      <c r="P1116" s="77" t="b" cm="1">
        <f t="array" ref="P1116">INDEX(stable[is_single_select],MATCH(VALUE(questions[[#This Row],[qno]]),VALUE(stable[qno]),0))</f>
        <v>1</v>
      </c>
      <c r="Q1116" s="77" t="b" cm="1">
        <f t="array" ref="Q1116">INDEX(stable[is_multi_select],MATCH(VALUE(questions[[#This Row],[qno]]),VALUE(stable[qno]),0))</f>
        <v>0</v>
      </c>
      <c r="R1116" s="77" t="b" cm="1">
        <f t="array" ref="R1116">INDEX(stable[is_skip_logic],MATCH(VALUE(questions[[#This Row],[qno]]),VALUE(stable[qno]),0))</f>
        <v>1</v>
      </c>
      <c r="S1116" s="77" t="str">
        <f>_xlfn.TEXTJOIN(", ",TRUE,questions[[#This Row],[ans_opt_1]:[ans_opt_14]])</f>
        <v>Tap water, Natural stream, Rain water, Ground water, Other</v>
      </c>
      <c r="T1116" s="113" t="s">
        <v>632</v>
      </c>
      <c r="U1116" s="77" t="s">
        <v>633</v>
      </c>
      <c r="V1116" s="77" t="s">
        <v>634</v>
      </c>
      <c r="W1116" s="77" t="s">
        <v>635</v>
      </c>
      <c r="AG1116" s="77" t="s">
        <v>112</v>
      </c>
      <c r="AH1116" s="126" t="b">
        <f>INDEX(stable[q_standard],MATCH(questions[[#This Row],[qno]],stable[qno],0))</f>
        <v>0</v>
      </c>
      <c r="AI1116" s="126" t="b">
        <f>INDEX(stable[q_living_income],MATCH(questions[[#This Row],[qno]],stable[qno],0))</f>
        <v>0</v>
      </c>
      <c r="AJ1116" s="126" t="b">
        <f>INDEX(stable[q_carbon],MATCH(questions[[#This Row],[qno]],stable[qno],0))</f>
        <v>1</v>
      </c>
      <c r="AK1116" s="126" t="b">
        <f>INDEX(stable[q_regen_ag],MATCH(questions[[#This Row],[qno]],stable[qno],0))</f>
        <v>0</v>
      </c>
      <c r="AL1116" s="165"/>
      <c r="AM1116" s="165"/>
      <c r="AN1116" s="165"/>
      <c r="AO1116" s="165"/>
      <c r="AP1116" s="98" t="str">
        <f>LEFT(questions[[#This Row],[question]],similarity_range)</f>
        <v>If yes, what was the</v>
      </c>
      <c r="AQ1116" s="98" t="str">
        <f>LEFT(INDEX(stable[question],MATCH(questions[[#This Row],[qno]],stable[qno],0)),similarity_range)</f>
        <v>If yes, what was the</v>
      </c>
      <c r="AR1116" s="98" t="b">
        <f>questions[[#This Row],[question_first_characters]]=questions[[#This Row],[stability_first_characters]]</f>
        <v>1</v>
      </c>
      <c r="AS1116" s="98" t="b">
        <f>IF(OR(questions[[#This Row],[is_single_select]],questions[[#This Row],[is_multi_select]]),NOT(ISBLANK(questions[[#This Row],[answer_opt_combined]])),TRUE)</f>
        <v>1</v>
      </c>
    </row>
    <row r="1117" spans="1:45" ht="15.75" customHeight="1" x14ac:dyDescent="0.25">
      <c r="A1117" s="33" t="str">
        <f>_xlfn.TEXTJOIN("_",TRUE,questions[[#This Row],[origin]:[qno]])</f>
        <v>Vietnam_Robusta_Nestle_Selecta_2025_8202</v>
      </c>
      <c r="B1117" s="33" t="s">
        <v>673</v>
      </c>
      <c r="C1117" s="33" t="s">
        <v>674</v>
      </c>
      <c r="D1117" s="33" t="s">
        <v>904</v>
      </c>
      <c r="E1117" s="33">
        <v>2025</v>
      </c>
      <c r="F1117" s="42" t="s">
        <v>636</v>
      </c>
      <c r="G1117" s="218" t="s">
        <v>637</v>
      </c>
      <c r="H1117" s="33" t="str" cm="1">
        <f t="array" ref="H1117">INDEX(stableR[question],MATCH(VALUE(questions[[#This Row],[qno]]),VALUE(stableR[qno]),0))</f>
        <v>If yes, can you estimate how many liters did you use per day?</v>
      </c>
      <c r="I1117" s="33" t="b" cm="1">
        <f t="array" ref="I1117">INDEX(stable[is_fixed],MATCH(VALUE(questions[[#This Row],[qno]]),VALUE(stable[qno]),0))</f>
        <v>0</v>
      </c>
      <c r="J1117" s="33" t="b" cm="1">
        <f t="array" ref="J1117">INDEX(stable[is_localized],MATCH(VALUE(questions[[#This Row],[qno]]),VALUE(stable[qno]),0))</f>
        <v>0</v>
      </c>
      <c r="K1117" s="33" t="b" cm="1">
        <f t="array" ref="K1117">INDEX(stable[is_supply_chain_dependent],MATCH(VALUE(questions[[#This Row],[qno]]),VALUE(stable[qno]),0))</f>
        <v>1</v>
      </c>
      <c r="L1117" s="33" t="b" cm="1">
        <f t="array" ref="L1117">INDEX(stable[is_mandatory],MATCH(VALUE(questions[[#This Row],[qno]]),VALUE(stable[qno]),0))</f>
        <v>0</v>
      </c>
      <c r="M1117" s="33" t="b" cm="1">
        <f t="array" ref="M1117">INDEX(stable[is_automated],MATCH(VALUE(questions[[#This Row],[qno]]),VALUE(stable[qno]),0))</f>
        <v>0</v>
      </c>
      <c r="N1117" s="33" t="b" cm="1">
        <f t="array" ref="N1117">INDEX(stable[is_free_text],MATCH(VALUE(questions[[#This Row],[qno]]),VALUE(stable[qno]),0))</f>
        <v>0</v>
      </c>
      <c r="O1117" s="33" t="b" cm="1">
        <f t="array" ref="O1117">INDEX(stable[is_numerical],MATCH(VALUE(questions[[#This Row],[qno]]),VALUE(stable[qno]),0))</f>
        <v>1</v>
      </c>
      <c r="P1117" s="33" t="b" cm="1">
        <f t="array" ref="P1117">INDEX(stable[is_single_select],MATCH(VALUE(questions[[#This Row],[qno]]),VALUE(stable[qno]),0))</f>
        <v>0</v>
      </c>
      <c r="Q1117" s="33" t="b" cm="1">
        <f t="array" ref="Q1117">INDEX(stable[is_multi_select],MATCH(VALUE(questions[[#This Row],[qno]]),VALUE(stable[qno]),0))</f>
        <v>0</v>
      </c>
      <c r="R1117" s="33" t="b" cm="1">
        <f t="array" ref="R1117">INDEX(stable[is_skip_logic],MATCH(VALUE(questions[[#This Row],[qno]]),VALUE(stable[qno]),0))</f>
        <v>1</v>
      </c>
      <c r="S1117" s="33" t="str">
        <f>_xlfn.TEXTJOIN(", ",TRUE,questions[[#This Row],[ans_opt_1]:[ans_opt_14]])</f>
        <v/>
      </c>
      <c r="T1117" s="47"/>
      <c r="U1117" s="47"/>
      <c r="V1117" s="47"/>
      <c r="W1117" s="47"/>
      <c r="X1117" s="47"/>
      <c r="Y1117" s="47"/>
      <c r="Z1117" s="44"/>
      <c r="AA1117" s="44"/>
      <c r="AB1117" s="44"/>
      <c r="AC1117" s="44"/>
      <c r="AD1117" s="44"/>
      <c r="AE1117" s="44"/>
      <c r="AF1117" s="44"/>
      <c r="AG1117" s="44"/>
      <c r="AH1117" s="124" t="b">
        <f>INDEX(stable[q_standard],MATCH(questions[[#This Row],[qno]],stable[qno],0))</f>
        <v>0</v>
      </c>
      <c r="AI1117" s="124" t="b">
        <f>INDEX(stable[q_living_income],MATCH(questions[[#This Row],[qno]],stable[qno],0))</f>
        <v>0</v>
      </c>
      <c r="AJ1117" s="124" t="b">
        <f>INDEX(stable[q_carbon],MATCH(questions[[#This Row],[qno]],stable[qno],0))</f>
        <v>1</v>
      </c>
      <c r="AK1117" s="124" t="b">
        <f>INDEX(stable[q_regen_ag],MATCH(questions[[#This Row],[qno]],stable[qno],0))</f>
        <v>0</v>
      </c>
      <c r="AL1117" s="166"/>
      <c r="AM1117" s="166"/>
      <c r="AN1117" s="166"/>
      <c r="AO1117" s="166"/>
      <c r="AP1117" s="16" t="str">
        <f>LEFT(questions[[#This Row],[question]],similarity_range)</f>
        <v>If yes, can you esti</v>
      </c>
      <c r="AQ1117" s="16" t="str">
        <f>LEFT(INDEX(stable[question],MATCH(questions[[#This Row],[qno]],stable[qno],0)),similarity_range)</f>
        <v>If yes, can you esti</v>
      </c>
      <c r="AR1117" s="16" t="b">
        <f>questions[[#This Row],[question_first_characters]]=questions[[#This Row],[stability_first_characters]]</f>
        <v>1</v>
      </c>
      <c r="AS1117" s="16" t="b">
        <f>IF(OR(questions[[#This Row],[is_single_select]],questions[[#This Row],[is_multi_select]]),NOT(ISBLANK(questions[[#This Row],[answer_opt_combined]])),TRUE)</f>
        <v>1</v>
      </c>
    </row>
    <row r="1118" spans="1:45" ht="15.75" customHeight="1" x14ac:dyDescent="0.25">
      <c r="A1118" s="33" t="str">
        <f>_xlfn.TEXTJOIN("_",TRUE,questions[[#This Row],[origin]:[qno]])</f>
        <v>Vietnam_Robusta_Nestle_Selecta_2025_8203</v>
      </c>
      <c r="B1118" s="33" t="s">
        <v>673</v>
      </c>
      <c r="C1118" s="33" t="s">
        <v>674</v>
      </c>
      <c r="D1118" s="33" t="s">
        <v>904</v>
      </c>
      <c r="E1118" s="33">
        <v>2025</v>
      </c>
      <c r="F1118" s="42" t="s">
        <v>638</v>
      </c>
      <c r="G1118" s="218" t="s">
        <v>639</v>
      </c>
      <c r="H1118" s="33" t="str" cm="1">
        <f t="array" ref="H1118">INDEX(stableR[question],MATCH(VALUE(questions[[#This Row],[qno]]),VALUE(stableR[qno]),0))</f>
        <v>If yes, how many days did you use water last year?</v>
      </c>
      <c r="I1118" s="33" t="b" cm="1">
        <f t="array" ref="I1118">INDEX(stable[is_fixed],MATCH(VALUE(questions[[#This Row],[qno]]),VALUE(stable[qno]),0))</f>
        <v>0</v>
      </c>
      <c r="J1118" s="33" t="b" cm="1">
        <f t="array" ref="J1118">INDEX(stable[is_localized],MATCH(VALUE(questions[[#This Row],[qno]]),VALUE(stable[qno]),0))</f>
        <v>0</v>
      </c>
      <c r="K1118" s="33" t="b" cm="1">
        <f t="array" ref="K1118">INDEX(stable[is_supply_chain_dependent],MATCH(VALUE(questions[[#This Row],[qno]]),VALUE(stable[qno]),0))</f>
        <v>1</v>
      </c>
      <c r="L1118" s="33" t="b" cm="1">
        <f t="array" ref="L1118">INDEX(stable[is_mandatory],MATCH(VALUE(questions[[#This Row],[qno]]),VALUE(stable[qno]),0))</f>
        <v>0</v>
      </c>
      <c r="M1118" s="33" t="b" cm="1">
        <f t="array" ref="M1118">INDEX(stable[is_automated],MATCH(VALUE(questions[[#This Row],[qno]]),VALUE(stable[qno]),0))</f>
        <v>0</v>
      </c>
      <c r="N1118" s="33" t="b" cm="1">
        <f t="array" ref="N1118">INDEX(stable[is_free_text],MATCH(VALUE(questions[[#This Row],[qno]]),VALUE(stable[qno]),0))</f>
        <v>0</v>
      </c>
      <c r="O1118" s="33" t="b" cm="1">
        <f t="array" ref="O1118">INDEX(stable[is_numerical],MATCH(VALUE(questions[[#This Row],[qno]]),VALUE(stable[qno]),0))</f>
        <v>1</v>
      </c>
      <c r="P1118" s="33" t="b" cm="1">
        <f t="array" ref="P1118">INDEX(stable[is_single_select],MATCH(VALUE(questions[[#This Row],[qno]]),VALUE(stable[qno]),0))</f>
        <v>0</v>
      </c>
      <c r="Q1118" s="33" t="b" cm="1">
        <f t="array" ref="Q1118">INDEX(stable[is_multi_select],MATCH(VALUE(questions[[#This Row],[qno]]),VALUE(stable[qno]),0))</f>
        <v>0</v>
      </c>
      <c r="R1118" s="33" t="b" cm="1">
        <f t="array" ref="R1118">INDEX(stable[is_skip_logic],MATCH(VALUE(questions[[#This Row],[qno]]),VALUE(stable[qno]),0))</f>
        <v>1</v>
      </c>
      <c r="S1118" s="33" t="str">
        <f>_xlfn.TEXTJOIN(", ",TRUE,questions[[#This Row],[ans_opt_1]:[ans_opt_14]])</f>
        <v/>
      </c>
      <c r="T1118" s="47"/>
      <c r="U1118" s="47"/>
      <c r="V1118" s="47"/>
      <c r="W1118" s="47"/>
      <c r="X1118" s="47"/>
      <c r="Y1118" s="47"/>
      <c r="Z1118" s="44"/>
      <c r="AA1118" s="44"/>
      <c r="AB1118" s="44"/>
      <c r="AC1118" s="44"/>
      <c r="AD1118" s="44"/>
      <c r="AE1118" s="44"/>
      <c r="AF1118" s="44"/>
      <c r="AG1118" s="44"/>
      <c r="AH1118" s="124" t="b">
        <f>INDEX(stable[q_standard],MATCH(questions[[#This Row],[qno]],stable[qno],0))</f>
        <v>0</v>
      </c>
      <c r="AI1118" s="124" t="b">
        <f>INDEX(stable[q_living_income],MATCH(questions[[#This Row],[qno]],stable[qno],0))</f>
        <v>0</v>
      </c>
      <c r="AJ1118" s="124" t="b">
        <f>INDEX(stable[q_carbon],MATCH(questions[[#This Row],[qno]],stable[qno],0))</f>
        <v>1</v>
      </c>
      <c r="AK1118" s="124" t="b">
        <f>INDEX(stable[q_regen_ag],MATCH(questions[[#This Row],[qno]],stable[qno],0))</f>
        <v>0</v>
      </c>
      <c r="AL1118" s="166"/>
      <c r="AM1118" s="166"/>
      <c r="AN1118" s="166"/>
      <c r="AO1118" s="166"/>
      <c r="AP1118" s="16" t="str">
        <f>LEFT(questions[[#This Row],[question]],similarity_range)</f>
        <v>If yes, how many day</v>
      </c>
      <c r="AQ1118" s="16" t="str">
        <f>LEFT(INDEX(stable[question],MATCH(questions[[#This Row],[qno]],stable[qno],0)),similarity_range)</f>
        <v>If yes, how many day</v>
      </c>
      <c r="AR1118" s="16" t="b">
        <f>questions[[#This Row],[question_first_characters]]=questions[[#This Row],[stability_first_characters]]</f>
        <v>1</v>
      </c>
      <c r="AS1118" s="16" t="b">
        <f>IF(OR(questions[[#This Row],[is_single_select]],questions[[#This Row],[is_multi_select]]),NOT(ISBLANK(questions[[#This Row],[answer_opt_combined]])),TRUE)</f>
        <v>1</v>
      </c>
    </row>
    <row r="1119" spans="1:45" ht="15.75" customHeight="1" x14ac:dyDescent="0.25">
      <c r="A1119" s="33" t="str">
        <f>_xlfn.TEXTJOIN("_",TRUE,questions[[#This Row],[origin]:[qno]])</f>
        <v>Vietnam_Robusta_Nestle_Selecta_2025_8204</v>
      </c>
      <c r="B1119" s="33" t="s">
        <v>673</v>
      </c>
      <c r="C1119" s="33" t="s">
        <v>674</v>
      </c>
      <c r="D1119" s="33" t="s">
        <v>904</v>
      </c>
      <c r="E1119" s="33">
        <v>2025</v>
      </c>
      <c r="F1119" s="42" t="s">
        <v>640</v>
      </c>
      <c r="G1119" s="218" t="s">
        <v>641</v>
      </c>
      <c r="H1119" s="33" t="str" cm="1">
        <f t="array" ref="H1119">INDEX(stableR[question],MATCH(VALUE(questions[[#This Row],[qno]]),VALUE(stableR[qno]),0))</f>
        <v>If yes, what did you do with the waste water? Please describe as precisely as possible? Was it directly put back in natural streams, put in a soaking pit, stored in a shallow lagoon (&lt;2 m deep), stored in a deep lagoon (&gt;2 m deep), put through a treatment system, if so describe this system</v>
      </c>
      <c r="I1119" s="33" t="b" cm="1">
        <f t="array" ref="I1119">INDEX(stable[is_fixed],MATCH(VALUE(questions[[#This Row],[qno]]),VALUE(stable[qno]),0))</f>
        <v>0</v>
      </c>
      <c r="J1119" s="33" t="b" cm="1">
        <f t="array" ref="J1119">INDEX(stable[is_localized],MATCH(VALUE(questions[[#This Row],[qno]]),VALUE(stable[qno]),0))</f>
        <v>0</v>
      </c>
      <c r="K1119" s="33" t="b" cm="1">
        <f t="array" ref="K1119">INDEX(stable[is_supply_chain_dependent],MATCH(VALUE(questions[[#This Row],[qno]]),VALUE(stable[qno]),0))</f>
        <v>1</v>
      </c>
      <c r="L1119" s="33" t="b" cm="1">
        <f t="array" ref="L1119">INDEX(stable[is_mandatory],MATCH(VALUE(questions[[#This Row],[qno]]),VALUE(stable[qno]),0))</f>
        <v>0</v>
      </c>
      <c r="M1119" s="33" t="b" cm="1">
        <f t="array" ref="M1119">INDEX(stable[is_automated],MATCH(VALUE(questions[[#This Row],[qno]]),VALUE(stable[qno]),0))</f>
        <v>0</v>
      </c>
      <c r="N1119" s="33" t="b" cm="1">
        <f t="array" ref="N1119">INDEX(stable[is_free_text],MATCH(VALUE(questions[[#This Row],[qno]]),VALUE(stable[qno]),0))</f>
        <v>1</v>
      </c>
      <c r="O1119" s="33" t="b" cm="1">
        <f t="array" ref="O1119">INDEX(stable[is_numerical],MATCH(VALUE(questions[[#This Row],[qno]]),VALUE(stable[qno]),0))</f>
        <v>0</v>
      </c>
      <c r="P1119" s="33" t="b" cm="1">
        <f t="array" ref="P1119">INDEX(stable[is_single_select],MATCH(VALUE(questions[[#This Row],[qno]]),VALUE(stable[qno]),0))</f>
        <v>0</v>
      </c>
      <c r="Q1119" s="33" t="b" cm="1">
        <f t="array" ref="Q1119">INDEX(stable[is_multi_select],MATCH(VALUE(questions[[#This Row],[qno]]),VALUE(stable[qno]),0))</f>
        <v>0</v>
      </c>
      <c r="R1119" s="33" t="b" cm="1">
        <f t="array" ref="R1119">INDEX(stable[is_skip_logic],MATCH(VALUE(questions[[#This Row],[qno]]),VALUE(stable[qno]),0))</f>
        <v>1</v>
      </c>
      <c r="S1119" s="33" t="str">
        <f>_xlfn.TEXTJOIN(", ",TRUE,questions[[#This Row],[ans_opt_1]:[ans_opt_14]])</f>
        <v/>
      </c>
      <c r="T1119" s="47"/>
      <c r="U1119" s="47"/>
      <c r="V1119" s="47"/>
      <c r="W1119" s="47"/>
      <c r="X1119" s="47"/>
      <c r="Y1119" s="47"/>
      <c r="Z1119" s="44"/>
      <c r="AA1119" s="44"/>
      <c r="AB1119" s="44"/>
      <c r="AC1119" s="44"/>
      <c r="AD1119" s="44"/>
      <c r="AE1119" s="44"/>
      <c r="AF1119" s="44"/>
      <c r="AG1119" s="44"/>
      <c r="AH1119" s="124" t="b">
        <f>INDEX(stable[q_standard],MATCH(questions[[#This Row],[qno]],stable[qno],0))</f>
        <v>0</v>
      </c>
      <c r="AI1119" s="124" t="b">
        <f>INDEX(stable[q_living_income],MATCH(questions[[#This Row],[qno]],stable[qno],0))</f>
        <v>0</v>
      </c>
      <c r="AJ1119" s="124" t="b">
        <f>INDEX(stable[q_carbon],MATCH(questions[[#This Row],[qno]],stable[qno],0))</f>
        <v>1</v>
      </c>
      <c r="AK1119" s="124" t="b">
        <f>INDEX(stable[q_regen_ag],MATCH(questions[[#This Row],[qno]],stable[qno],0))</f>
        <v>0</v>
      </c>
      <c r="AL1119" s="166"/>
      <c r="AM1119" s="166"/>
      <c r="AN1119" s="166"/>
      <c r="AO1119" s="166"/>
      <c r="AP1119" s="16" t="str">
        <f>LEFT(questions[[#This Row],[question]],similarity_range)</f>
        <v>If yes, what did you</v>
      </c>
      <c r="AQ1119" s="16" t="str">
        <f>LEFT(INDEX(stable[question],MATCH(questions[[#This Row],[qno]],stable[qno],0)),similarity_range)</f>
        <v>If yes, what did you</v>
      </c>
      <c r="AR1119" s="16" t="b">
        <f>questions[[#This Row],[question_first_characters]]=questions[[#This Row],[stability_first_characters]]</f>
        <v>1</v>
      </c>
      <c r="AS1119" s="16" t="b">
        <f>IF(OR(questions[[#This Row],[is_single_select]],questions[[#This Row],[is_multi_select]]),NOT(ISBLANK(questions[[#This Row],[answer_opt_combined]])),TRUE)</f>
        <v>1</v>
      </c>
    </row>
    <row r="1120" spans="1:45" s="77" customFormat="1" ht="15.75" customHeight="1" x14ac:dyDescent="0.25">
      <c r="A1120" s="77" t="str">
        <f>_xlfn.TEXTJOIN("_",TRUE,questions[[#This Row],[origin]:[qno]])</f>
        <v>Vietnam_Robusta_Nestle_Selecta_2025_8300</v>
      </c>
      <c r="B1120" s="77" t="s">
        <v>673</v>
      </c>
      <c r="C1120" s="77" t="s">
        <v>674</v>
      </c>
      <c r="D1120" s="77" t="s">
        <v>904</v>
      </c>
      <c r="E1120" s="77">
        <v>2025</v>
      </c>
      <c r="F1120" s="108" t="s">
        <v>642</v>
      </c>
      <c r="G1120" s="109" t="s">
        <v>643</v>
      </c>
      <c r="H1120" s="33" t="str" cm="1">
        <f t="array" ref="H1120">INDEX(stableR[question],MATCH(VALUE(questions[[#This Row],[qno]]),VALUE(stableR[qno]),0))</f>
        <v>Did you use diesel in any process in your coffee farming last year?</v>
      </c>
      <c r="I1120" s="33" t="b" cm="1">
        <f t="array" ref="I1120">INDEX(stable[is_fixed],MATCH(VALUE(questions[[#This Row],[qno]]),VALUE(stable[qno]),0))</f>
        <v>0</v>
      </c>
      <c r="J1120" s="33" t="b" cm="1">
        <f t="array" ref="J1120">INDEX(stable[is_localized],MATCH(VALUE(questions[[#This Row],[qno]]),VALUE(stable[qno]),0))</f>
        <v>0</v>
      </c>
      <c r="K1120" s="33" t="b" cm="1">
        <f t="array" ref="K1120">INDEX(stable[is_supply_chain_dependent],MATCH(VALUE(questions[[#This Row],[qno]]),VALUE(stable[qno]),0))</f>
        <v>1</v>
      </c>
      <c r="L1120" s="33" t="b" cm="1">
        <f t="array" ref="L1120">INDEX(stable[is_mandatory],MATCH(VALUE(questions[[#This Row],[qno]]),VALUE(stable[qno]),0))</f>
        <v>1</v>
      </c>
      <c r="M1120" s="33" t="b" cm="1">
        <f t="array" ref="M1120">INDEX(stable[is_automated],MATCH(VALUE(questions[[#This Row],[qno]]),VALUE(stable[qno]),0))</f>
        <v>0</v>
      </c>
      <c r="N1120" s="33" t="b" cm="1">
        <f t="array" ref="N1120">INDEX(stable[is_free_text],MATCH(VALUE(questions[[#This Row],[qno]]),VALUE(stable[qno]),0))</f>
        <v>0</v>
      </c>
      <c r="O1120" s="33" t="b" cm="1">
        <f t="array" ref="O1120">INDEX(stable[is_numerical],MATCH(VALUE(questions[[#This Row],[qno]]),VALUE(stable[qno]),0))</f>
        <v>0</v>
      </c>
      <c r="P1120" s="77" t="b" cm="1">
        <f t="array" ref="P1120">INDEX(stable[is_single_select],MATCH(VALUE(questions[[#This Row],[qno]]),VALUE(stable[qno]),0))</f>
        <v>1</v>
      </c>
      <c r="Q1120" s="77" t="b" cm="1">
        <f t="array" ref="Q1120">INDEX(stable[is_multi_select],MATCH(VALUE(questions[[#This Row],[qno]]),VALUE(stable[qno]),0))</f>
        <v>0</v>
      </c>
      <c r="R1120" s="77" t="b" cm="1">
        <f t="array" ref="R1120">INDEX(stable[is_skip_logic],MATCH(VALUE(questions[[#This Row],[qno]]),VALUE(stable[qno]),0))</f>
        <v>1</v>
      </c>
      <c r="S1120" s="77" t="str">
        <f>_xlfn.TEXTJOIN(", ",TRUE,questions[[#This Row],[ans_opt_1]:[ans_opt_14]])</f>
        <v>Yes, No</v>
      </c>
      <c r="T1120" s="113" t="s">
        <v>149</v>
      </c>
      <c r="U1120" s="113" t="s">
        <v>119</v>
      </c>
      <c r="V1120" s="113"/>
      <c r="W1120" s="113"/>
      <c r="X1120" s="113"/>
      <c r="Y1120" s="113"/>
      <c r="Z1120" s="91"/>
      <c r="AA1120" s="91"/>
      <c r="AB1120" s="91"/>
      <c r="AC1120" s="91"/>
      <c r="AD1120" s="91"/>
      <c r="AE1120" s="91"/>
      <c r="AF1120" s="91"/>
      <c r="AG1120" s="91"/>
      <c r="AH1120" s="126" t="b">
        <f>INDEX(stable[q_standard],MATCH(questions[[#This Row],[qno]],stable[qno],0))</f>
        <v>0</v>
      </c>
      <c r="AI1120" s="126" t="b">
        <f>INDEX(stable[q_living_income],MATCH(questions[[#This Row],[qno]],stable[qno],0))</f>
        <v>0</v>
      </c>
      <c r="AJ1120" s="126" t="b">
        <f>INDEX(stable[q_carbon],MATCH(questions[[#This Row],[qno]],stable[qno],0))</f>
        <v>1</v>
      </c>
      <c r="AK1120" s="126" t="b">
        <f>INDEX(stable[q_regen_ag],MATCH(questions[[#This Row],[qno]],stable[qno],0))</f>
        <v>0</v>
      </c>
      <c r="AL1120" s="162"/>
      <c r="AM1120" s="162"/>
      <c r="AN1120" s="162"/>
      <c r="AO1120" s="162"/>
      <c r="AP1120" s="98" t="str">
        <f>LEFT(questions[[#This Row],[question]],similarity_range)</f>
        <v>Did you use diesel i</v>
      </c>
      <c r="AQ1120" s="98" t="str">
        <f>LEFT(INDEX(stable[question],MATCH(questions[[#This Row],[qno]],stable[qno],0)),similarity_range)</f>
        <v>Did you use diesel i</v>
      </c>
      <c r="AR1120" s="98" t="b">
        <f>questions[[#This Row],[question_first_characters]]=questions[[#This Row],[stability_first_characters]]</f>
        <v>1</v>
      </c>
      <c r="AS1120" s="98" t="b">
        <f>IF(OR(questions[[#This Row],[is_single_select]],questions[[#This Row],[is_multi_select]]),NOT(ISBLANK(questions[[#This Row],[answer_opt_combined]])),TRUE)</f>
        <v>1</v>
      </c>
    </row>
    <row r="1121" spans="1:45" s="77" customFormat="1" ht="15.75" customHeight="1" x14ac:dyDescent="0.25">
      <c r="A1121" s="77" t="str">
        <f>_xlfn.TEXTJOIN("_",TRUE,questions[[#This Row],[origin]:[qno]])</f>
        <v>Vietnam_Robusta_Nestle_Selecta_2025_8301</v>
      </c>
      <c r="B1121" s="77" t="s">
        <v>673</v>
      </c>
      <c r="C1121" s="77" t="s">
        <v>674</v>
      </c>
      <c r="D1121" s="77" t="s">
        <v>904</v>
      </c>
      <c r="E1121" s="77">
        <v>2025</v>
      </c>
      <c r="F1121" s="108" t="s">
        <v>644</v>
      </c>
      <c r="G1121" s="109" t="s">
        <v>645</v>
      </c>
      <c r="H1121" s="33" t="str" cm="1">
        <f t="array" ref="H1121">INDEX(stableR[question],MATCH(VALUE(questions[[#This Row],[qno]]),VALUE(stableR[qno]),0))</f>
        <v>If yes, for what?</v>
      </c>
      <c r="I1121" s="33" t="b" cm="1">
        <f t="array" ref="I1121">INDEX(stable[is_fixed],MATCH(VALUE(questions[[#This Row],[qno]]),VALUE(stable[qno]),0))</f>
        <v>0</v>
      </c>
      <c r="J1121" s="33" t="b" cm="1">
        <f t="array" ref="J1121">INDEX(stable[is_localized],MATCH(VALUE(questions[[#This Row],[qno]]),VALUE(stable[qno]),0))</f>
        <v>0</v>
      </c>
      <c r="K1121" s="33" t="b" cm="1">
        <f t="array" ref="K1121">INDEX(stable[is_supply_chain_dependent],MATCH(VALUE(questions[[#This Row],[qno]]),VALUE(stable[qno]),0))</f>
        <v>1</v>
      </c>
      <c r="L1121" s="33" t="b" cm="1">
        <f t="array" ref="L1121">INDEX(stable[is_mandatory],MATCH(VALUE(questions[[#This Row],[qno]]),VALUE(stable[qno]),0))</f>
        <v>1</v>
      </c>
      <c r="M1121" s="33" t="b" cm="1">
        <f t="array" ref="M1121">INDEX(stable[is_automated],MATCH(VALUE(questions[[#This Row],[qno]]),VALUE(stable[qno]),0))</f>
        <v>0</v>
      </c>
      <c r="N1121" s="33" t="b" cm="1">
        <f t="array" ref="N1121">INDEX(stable[is_free_text],MATCH(VALUE(questions[[#This Row],[qno]]),VALUE(stable[qno]),0))</f>
        <v>0</v>
      </c>
      <c r="O1121" s="33" t="b" cm="1">
        <f t="array" ref="O1121">INDEX(stable[is_numerical],MATCH(VALUE(questions[[#This Row],[qno]]),VALUE(stable[qno]),0))</f>
        <v>0</v>
      </c>
      <c r="P1121" s="77" t="b" cm="1">
        <f t="array" ref="P1121">INDEX(stable[is_single_select],MATCH(VALUE(questions[[#This Row],[qno]]),VALUE(stable[qno]),0))</f>
        <v>0</v>
      </c>
      <c r="Q1121" s="77" t="b" cm="1">
        <f t="array" ref="Q1121">INDEX(stable[is_multi_select],MATCH(VALUE(questions[[#This Row],[qno]]),VALUE(stable[qno]),0))</f>
        <v>1</v>
      </c>
      <c r="R1121" s="77" t="b" cm="1">
        <f t="array" ref="R1121">INDEX(stable[is_skip_logic],MATCH(VALUE(questions[[#This Row],[qno]]),VALUE(stable[qno]),0))</f>
        <v>1</v>
      </c>
      <c r="S1121" s="77" t="str">
        <f>_xlfn.TEXTJOIN(", ",TRUE,questions[[#This Row],[ans_opt_1]:[ans_opt_14]])</f>
        <v>Processing, Transport, Power Generator, Irrigation, Other</v>
      </c>
      <c r="T1121" s="77" t="s">
        <v>646</v>
      </c>
      <c r="U1121" s="91" t="s">
        <v>647</v>
      </c>
      <c r="V1121" s="91" t="s">
        <v>648</v>
      </c>
      <c r="W1121" s="91" t="s">
        <v>649</v>
      </c>
      <c r="X1121" s="91"/>
      <c r="Y1121" s="91"/>
      <c r="Z1121" s="91"/>
      <c r="AA1121" s="91"/>
      <c r="AB1121" s="91"/>
      <c r="AC1121" s="91"/>
      <c r="AD1121" s="91"/>
      <c r="AE1121" s="91"/>
      <c r="AF1121" s="91"/>
      <c r="AG1121" s="91" t="s">
        <v>112</v>
      </c>
      <c r="AH1121" s="126" t="b">
        <f>INDEX(stable[q_standard],MATCH(questions[[#This Row],[qno]],stable[qno],0))</f>
        <v>0</v>
      </c>
      <c r="AI1121" s="126" t="b">
        <f>INDEX(stable[q_living_income],MATCH(questions[[#This Row],[qno]],stable[qno],0))</f>
        <v>0</v>
      </c>
      <c r="AJ1121" s="126" t="b">
        <f>INDEX(stable[q_carbon],MATCH(questions[[#This Row],[qno]],stable[qno],0))</f>
        <v>1</v>
      </c>
      <c r="AK1121" s="126" t="b">
        <f>INDEX(stable[q_regen_ag],MATCH(questions[[#This Row],[qno]],stable[qno],0))</f>
        <v>0</v>
      </c>
      <c r="AL1121" s="162"/>
      <c r="AM1121" s="162"/>
      <c r="AN1121" s="162"/>
      <c r="AO1121" s="162"/>
      <c r="AP1121" s="98" t="str">
        <f>LEFT(questions[[#This Row],[question]],similarity_range)</f>
        <v>If yes, for what</v>
      </c>
      <c r="AQ1121" s="98" t="str">
        <f>LEFT(INDEX(stable[question],MATCH(questions[[#This Row],[qno]],stable[qno],0)),similarity_range)</f>
        <v>If yes, for what</v>
      </c>
      <c r="AR1121" s="98" t="b">
        <f>questions[[#This Row],[question_first_characters]]=questions[[#This Row],[stability_first_characters]]</f>
        <v>1</v>
      </c>
      <c r="AS1121" s="98" t="b">
        <f>IF(OR(questions[[#This Row],[is_single_select]],questions[[#This Row],[is_multi_select]]),NOT(ISBLANK(questions[[#This Row],[answer_opt_combined]])),TRUE)</f>
        <v>1</v>
      </c>
    </row>
    <row r="1122" spans="1:45" ht="15.75" customHeight="1" x14ac:dyDescent="0.25">
      <c r="A1122" s="33" t="str">
        <f>_xlfn.TEXTJOIN("_",TRUE,questions[[#This Row],[origin]:[qno]])</f>
        <v>Vietnam_Robusta_Nestle_Selecta_2025_8302</v>
      </c>
      <c r="B1122" s="33" t="s">
        <v>673</v>
      </c>
      <c r="C1122" s="33" t="s">
        <v>674</v>
      </c>
      <c r="D1122" s="33" t="s">
        <v>904</v>
      </c>
      <c r="E1122" s="33">
        <v>2025</v>
      </c>
      <c r="F1122" s="42" t="s">
        <v>650</v>
      </c>
      <c r="G1122" s="218" t="s">
        <v>651</v>
      </c>
      <c r="H1122" s="33" t="str" cm="1">
        <f t="array" ref="H1122">INDEX(stableR[question],MATCH(VALUE(questions[[#This Row],[qno]]),VALUE(stableR[qno]),0))</f>
        <v>How many liters per day?</v>
      </c>
      <c r="I1122" s="33" t="b" cm="1">
        <f t="array" ref="I1122">INDEX(stable[is_fixed],MATCH(VALUE(questions[[#This Row],[qno]]),VALUE(stable[qno]),0))</f>
        <v>0</v>
      </c>
      <c r="J1122" s="33" t="b" cm="1">
        <f t="array" ref="J1122">INDEX(stable[is_localized],MATCH(VALUE(questions[[#This Row],[qno]]),VALUE(stable[qno]),0))</f>
        <v>0</v>
      </c>
      <c r="K1122" s="33" t="b" cm="1">
        <f t="array" ref="K1122">INDEX(stable[is_supply_chain_dependent],MATCH(VALUE(questions[[#This Row],[qno]]),VALUE(stable[qno]),0))</f>
        <v>1</v>
      </c>
      <c r="L1122" s="33" t="b" cm="1">
        <f t="array" ref="L1122">INDEX(stable[is_mandatory],MATCH(VALUE(questions[[#This Row],[qno]]),VALUE(stable[qno]),0))</f>
        <v>1</v>
      </c>
      <c r="M1122" s="33" t="b" cm="1">
        <f t="array" ref="M1122">INDEX(stable[is_automated],MATCH(VALUE(questions[[#This Row],[qno]]),VALUE(stable[qno]),0))</f>
        <v>0</v>
      </c>
      <c r="N1122" s="33" t="b" cm="1">
        <f t="array" ref="N1122">INDEX(stable[is_free_text],MATCH(VALUE(questions[[#This Row],[qno]]),VALUE(stable[qno]),0))</f>
        <v>0</v>
      </c>
      <c r="O1122" s="33" t="b" cm="1">
        <f t="array" ref="O1122">INDEX(stable[is_numerical],MATCH(VALUE(questions[[#This Row],[qno]]),VALUE(stable[qno]),0))</f>
        <v>1</v>
      </c>
      <c r="P1122" s="33" t="b" cm="1">
        <f t="array" ref="P1122">INDEX(stable[is_single_select],MATCH(VALUE(questions[[#This Row],[qno]]),VALUE(stable[qno]),0))</f>
        <v>0</v>
      </c>
      <c r="Q1122" s="33" t="b" cm="1">
        <f t="array" ref="Q1122">INDEX(stable[is_multi_select],MATCH(VALUE(questions[[#This Row],[qno]]),VALUE(stable[qno]),0))</f>
        <v>0</v>
      </c>
      <c r="R1122" s="33" t="b" cm="1">
        <f t="array" ref="R1122">INDEX(stable[is_skip_logic],MATCH(VALUE(questions[[#This Row],[qno]]),VALUE(stable[qno]),0))</f>
        <v>1</v>
      </c>
      <c r="S1122" s="33" t="str">
        <f>_xlfn.TEXTJOIN(", ",TRUE,questions[[#This Row],[ans_opt_1]:[ans_opt_14]])</f>
        <v/>
      </c>
      <c r="T1122" s="47"/>
      <c r="U1122" s="47"/>
      <c r="V1122" s="47"/>
      <c r="W1122" s="47"/>
      <c r="X1122" s="47"/>
      <c r="Y1122" s="44"/>
      <c r="Z1122" s="44"/>
      <c r="AA1122" s="44"/>
      <c r="AB1122" s="44"/>
      <c r="AC1122" s="44"/>
      <c r="AD1122" s="44"/>
      <c r="AE1122" s="44"/>
      <c r="AF1122" s="44"/>
      <c r="AG1122" s="44"/>
      <c r="AH1122" s="124" t="b">
        <f>INDEX(stable[q_standard],MATCH(questions[[#This Row],[qno]],stable[qno],0))</f>
        <v>0</v>
      </c>
      <c r="AI1122" s="124" t="b">
        <f>INDEX(stable[q_living_income],MATCH(questions[[#This Row],[qno]],stable[qno],0))</f>
        <v>0</v>
      </c>
      <c r="AJ1122" s="124" t="b">
        <f>INDEX(stable[q_carbon],MATCH(questions[[#This Row],[qno]],stable[qno],0))</f>
        <v>1</v>
      </c>
      <c r="AK1122" s="124" t="b">
        <f>INDEX(stable[q_regen_ag],MATCH(questions[[#This Row],[qno]],stable[qno],0))</f>
        <v>0</v>
      </c>
      <c r="AL1122" s="193"/>
      <c r="AM1122" s="193"/>
      <c r="AN1122" s="193"/>
      <c r="AO1122" s="193"/>
      <c r="AP1122" s="16" t="str">
        <f>LEFT(questions[[#This Row],[question]],similarity_range)</f>
        <v xml:space="preserve">How many liters per </v>
      </c>
      <c r="AQ1122" s="16" t="str">
        <f>LEFT(INDEX(stable[question],MATCH(questions[[#This Row],[qno]],stable[qno],0)),similarity_range)</f>
        <v xml:space="preserve">How many liters per </v>
      </c>
      <c r="AR1122" s="16" t="b">
        <f>questions[[#This Row],[question_first_characters]]=questions[[#This Row],[stability_first_characters]]</f>
        <v>1</v>
      </c>
      <c r="AS1122" s="16" t="b">
        <f>IF(OR(questions[[#This Row],[is_single_select]],questions[[#This Row],[is_multi_select]]),NOT(ISBLANK(questions[[#This Row],[answer_opt_combined]])),TRUE)</f>
        <v>1</v>
      </c>
    </row>
    <row r="1123" spans="1:45" ht="15.75" customHeight="1" x14ac:dyDescent="0.25">
      <c r="A1123" s="33" t="str">
        <f>_xlfn.TEXTJOIN("_",TRUE,questions[[#This Row],[origin]:[qno]])</f>
        <v>Vietnam_Robusta_Nestle_Selecta_2025_8303</v>
      </c>
      <c r="B1123" s="33" t="s">
        <v>673</v>
      </c>
      <c r="C1123" s="33" t="s">
        <v>674</v>
      </c>
      <c r="D1123" s="33" t="s">
        <v>904</v>
      </c>
      <c r="E1123" s="33">
        <v>2025</v>
      </c>
      <c r="F1123" s="42" t="s">
        <v>652</v>
      </c>
      <c r="G1123" s="218" t="s">
        <v>653</v>
      </c>
      <c r="H1123" s="33" t="str" cm="1">
        <f t="array" ref="H1123">INDEX(stableR[question],MATCH(VALUE(questions[[#This Row],[qno]]),VALUE(stableR[qno]),0))</f>
        <v>How many days per year</v>
      </c>
      <c r="I1123" s="33" t="b" cm="1">
        <f t="array" ref="I1123">INDEX(stable[is_fixed],MATCH(VALUE(questions[[#This Row],[qno]]),VALUE(stable[qno]),0))</f>
        <v>0</v>
      </c>
      <c r="J1123" s="33" t="b" cm="1">
        <f t="array" ref="J1123">INDEX(stable[is_localized],MATCH(VALUE(questions[[#This Row],[qno]]),VALUE(stable[qno]),0))</f>
        <v>0</v>
      </c>
      <c r="K1123" s="33" t="b" cm="1">
        <f t="array" ref="K1123">INDEX(stable[is_supply_chain_dependent],MATCH(VALUE(questions[[#This Row],[qno]]),VALUE(stable[qno]),0))</f>
        <v>1</v>
      </c>
      <c r="L1123" s="33" t="b" cm="1">
        <f t="array" ref="L1123">INDEX(stable[is_mandatory],MATCH(VALUE(questions[[#This Row],[qno]]),VALUE(stable[qno]),0))</f>
        <v>1</v>
      </c>
      <c r="M1123" s="33" t="b" cm="1">
        <f t="array" ref="M1123">INDEX(stable[is_automated],MATCH(VALUE(questions[[#This Row],[qno]]),VALUE(stable[qno]),0))</f>
        <v>0</v>
      </c>
      <c r="N1123" s="33" t="b" cm="1">
        <f t="array" ref="N1123">INDEX(stable[is_free_text],MATCH(VALUE(questions[[#This Row],[qno]]),VALUE(stable[qno]),0))</f>
        <v>0</v>
      </c>
      <c r="O1123" s="33" t="b" cm="1">
        <f t="array" ref="O1123">INDEX(stable[is_numerical],MATCH(VALUE(questions[[#This Row],[qno]]),VALUE(stable[qno]),0))</f>
        <v>1</v>
      </c>
      <c r="P1123" s="33" t="b" cm="1">
        <f t="array" ref="P1123">INDEX(stable[is_single_select],MATCH(VALUE(questions[[#This Row],[qno]]),VALUE(stable[qno]),0))</f>
        <v>0</v>
      </c>
      <c r="Q1123" s="33" t="b" cm="1">
        <f t="array" ref="Q1123">INDEX(stable[is_multi_select],MATCH(VALUE(questions[[#This Row],[qno]]),VALUE(stable[qno]),0))</f>
        <v>0</v>
      </c>
      <c r="R1123" s="33" t="b" cm="1">
        <f t="array" ref="R1123">INDEX(stable[is_skip_logic],MATCH(VALUE(questions[[#This Row],[qno]]),VALUE(stable[qno]),0))</f>
        <v>1</v>
      </c>
      <c r="S1123" s="33" t="str">
        <f>_xlfn.TEXTJOIN(", ",TRUE,questions[[#This Row],[ans_opt_1]:[ans_opt_14]])</f>
        <v/>
      </c>
      <c r="T1123" s="47"/>
      <c r="U1123" s="47"/>
      <c r="V1123" s="47"/>
      <c r="W1123" s="47"/>
      <c r="X1123" s="47"/>
      <c r="Y1123" s="44"/>
      <c r="Z1123" s="44"/>
      <c r="AA1123" s="44"/>
      <c r="AB1123" s="44"/>
      <c r="AC1123" s="44"/>
      <c r="AD1123" s="44"/>
      <c r="AE1123" s="44"/>
      <c r="AF1123" s="44"/>
      <c r="AG1123" s="44"/>
      <c r="AH1123" s="124" t="b">
        <f>INDEX(stable[q_standard],MATCH(questions[[#This Row],[qno]],stable[qno],0))</f>
        <v>0</v>
      </c>
      <c r="AI1123" s="124" t="b">
        <f>INDEX(stable[q_living_income],MATCH(questions[[#This Row],[qno]],stable[qno],0))</f>
        <v>0</v>
      </c>
      <c r="AJ1123" s="124" t="b">
        <f>INDEX(stable[q_carbon],MATCH(questions[[#This Row],[qno]],stable[qno],0))</f>
        <v>1</v>
      </c>
      <c r="AK1123" s="124" t="b">
        <f>INDEX(stable[q_regen_ag],MATCH(questions[[#This Row],[qno]],stable[qno],0))</f>
        <v>0</v>
      </c>
      <c r="AL1123" s="193"/>
      <c r="AM1123" s="193"/>
      <c r="AN1123" s="193"/>
      <c r="AO1123" s="193"/>
      <c r="AP1123" s="16" t="str">
        <f>LEFT(questions[[#This Row],[question]],similarity_range)</f>
        <v>How many days per ye</v>
      </c>
      <c r="AQ1123" s="16" t="str">
        <f>LEFT(INDEX(stable[question],MATCH(questions[[#This Row],[qno]],stable[qno],0)),similarity_range)</f>
        <v>How many days per ye</v>
      </c>
      <c r="AR1123" s="16" t="b">
        <f>questions[[#This Row],[question_first_characters]]=questions[[#This Row],[stability_first_characters]]</f>
        <v>1</v>
      </c>
      <c r="AS1123" s="16" t="b">
        <f>IF(OR(questions[[#This Row],[is_single_select]],questions[[#This Row],[is_multi_select]]),NOT(ISBLANK(questions[[#This Row],[answer_opt_combined]])),TRUE)</f>
        <v>1</v>
      </c>
    </row>
    <row r="1124" spans="1:45" s="77" customFormat="1" ht="15.75" customHeight="1" x14ac:dyDescent="0.25">
      <c r="A1124" s="77" t="str">
        <f>_xlfn.TEXTJOIN("_",TRUE,questions[[#This Row],[origin]:[qno]])</f>
        <v>Vietnam_Robusta_Nestle_Selecta_2025_8400</v>
      </c>
      <c r="B1124" s="77" t="s">
        <v>673</v>
      </c>
      <c r="C1124" s="77" t="s">
        <v>674</v>
      </c>
      <c r="D1124" s="77" t="s">
        <v>904</v>
      </c>
      <c r="E1124" s="77">
        <v>2025</v>
      </c>
      <c r="F1124" s="108" t="s">
        <v>654</v>
      </c>
      <c r="G1124" s="109" t="s">
        <v>655</v>
      </c>
      <c r="H1124" s="33" t="str" cm="1">
        <f t="array" ref="H1124">INDEX(stableR[question],MATCH(VALUE(questions[[#This Row],[qno]]),VALUE(stableR[qno]),0))</f>
        <v>Did you use petrol in any process in your coffee farming last year?</v>
      </c>
      <c r="I1124" s="33" t="b" cm="1">
        <f t="array" ref="I1124">INDEX(stable[is_fixed],MATCH(VALUE(questions[[#This Row],[qno]]),VALUE(stable[qno]),0))</f>
        <v>0</v>
      </c>
      <c r="J1124" s="33" t="b" cm="1">
        <f t="array" ref="J1124">INDEX(stable[is_localized],MATCH(VALUE(questions[[#This Row],[qno]]),VALUE(stable[qno]),0))</f>
        <v>0</v>
      </c>
      <c r="K1124" s="33" t="b" cm="1">
        <f t="array" ref="K1124">INDEX(stable[is_supply_chain_dependent],MATCH(VALUE(questions[[#This Row],[qno]]),VALUE(stable[qno]),0))</f>
        <v>1</v>
      </c>
      <c r="L1124" s="33" t="b" cm="1">
        <f t="array" ref="L1124">INDEX(stable[is_mandatory],MATCH(VALUE(questions[[#This Row],[qno]]),VALUE(stable[qno]),0))</f>
        <v>1</v>
      </c>
      <c r="M1124" s="33" t="b" cm="1">
        <f t="array" ref="M1124">INDEX(stable[is_automated],MATCH(VALUE(questions[[#This Row],[qno]]),VALUE(stable[qno]),0))</f>
        <v>0</v>
      </c>
      <c r="N1124" s="33" t="b" cm="1">
        <f t="array" ref="N1124">INDEX(stable[is_free_text],MATCH(VALUE(questions[[#This Row],[qno]]),VALUE(stable[qno]),0))</f>
        <v>0</v>
      </c>
      <c r="O1124" s="33" t="b" cm="1">
        <f t="array" ref="O1124">INDEX(stable[is_numerical],MATCH(VALUE(questions[[#This Row],[qno]]),VALUE(stable[qno]),0))</f>
        <v>0</v>
      </c>
      <c r="P1124" s="77" t="b" cm="1">
        <f t="array" ref="P1124">INDEX(stable[is_single_select],MATCH(VALUE(questions[[#This Row],[qno]]),VALUE(stable[qno]),0))</f>
        <v>1</v>
      </c>
      <c r="Q1124" s="77" t="b" cm="1">
        <f t="array" ref="Q1124">INDEX(stable[is_multi_select],MATCH(VALUE(questions[[#This Row],[qno]]),VALUE(stable[qno]),0))</f>
        <v>0</v>
      </c>
      <c r="R1124" s="77" t="b" cm="1">
        <f t="array" ref="R1124">INDEX(stable[is_skip_logic],MATCH(VALUE(questions[[#This Row],[qno]]),VALUE(stable[qno]),0))</f>
        <v>1</v>
      </c>
      <c r="S1124" s="77" t="str">
        <f>_xlfn.TEXTJOIN(", ",TRUE,questions[[#This Row],[ans_opt_1]:[ans_opt_14]])</f>
        <v>Yes, No</v>
      </c>
      <c r="T1124" s="113" t="s">
        <v>149</v>
      </c>
      <c r="U1124" s="113" t="s">
        <v>119</v>
      </c>
      <c r="V1124" s="113"/>
      <c r="W1124" s="113"/>
      <c r="X1124" s="113"/>
      <c r="Y1124" s="91"/>
      <c r="Z1124" s="91"/>
      <c r="AA1124" s="91"/>
      <c r="AB1124" s="91"/>
      <c r="AC1124" s="91"/>
      <c r="AD1124" s="91"/>
      <c r="AE1124" s="91"/>
      <c r="AF1124" s="91"/>
      <c r="AG1124" s="91"/>
      <c r="AH1124" s="126" t="b">
        <f>INDEX(stable[q_standard],MATCH(questions[[#This Row],[qno]],stable[qno],0))</f>
        <v>0</v>
      </c>
      <c r="AI1124" s="126" t="b">
        <f>INDEX(stable[q_living_income],MATCH(questions[[#This Row],[qno]],stable[qno],0))</f>
        <v>0</v>
      </c>
      <c r="AJ1124" s="126" t="b">
        <f>INDEX(stable[q_carbon],MATCH(questions[[#This Row],[qno]],stable[qno],0))</f>
        <v>1</v>
      </c>
      <c r="AK1124" s="126" t="b">
        <f>INDEX(stable[q_regen_ag],MATCH(questions[[#This Row],[qno]],stable[qno],0))</f>
        <v>0</v>
      </c>
      <c r="AL1124" s="169"/>
      <c r="AM1124" s="169"/>
      <c r="AN1124" s="169"/>
      <c r="AO1124" s="169"/>
      <c r="AP1124" s="98" t="str">
        <f>LEFT(questions[[#This Row],[question]],similarity_range)</f>
        <v>Did you use petrol i</v>
      </c>
      <c r="AQ1124" s="98" t="str">
        <f>LEFT(INDEX(stable[question],MATCH(questions[[#This Row],[qno]],stable[qno],0)),similarity_range)</f>
        <v>Did you use petrol i</v>
      </c>
      <c r="AR1124" s="98" t="b">
        <f>questions[[#This Row],[question_first_characters]]=questions[[#This Row],[stability_first_characters]]</f>
        <v>1</v>
      </c>
      <c r="AS1124" s="98" t="b">
        <f>IF(OR(questions[[#This Row],[is_single_select]],questions[[#This Row],[is_multi_select]]),NOT(ISBLANK(questions[[#This Row],[answer_opt_combined]])),TRUE)</f>
        <v>1</v>
      </c>
    </row>
    <row r="1125" spans="1:45" s="77" customFormat="1" ht="15.75" customHeight="1" x14ac:dyDescent="0.25">
      <c r="A1125" s="77" t="str">
        <f>_xlfn.TEXTJOIN("_",TRUE,questions[[#This Row],[origin]:[qno]])</f>
        <v>Vietnam_Robusta_Nestle_Selecta_2025_8401</v>
      </c>
      <c r="B1125" s="77" t="s">
        <v>673</v>
      </c>
      <c r="C1125" s="77" t="s">
        <v>674</v>
      </c>
      <c r="D1125" s="77" t="s">
        <v>904</v>
      </c>
      <c r="E1125" s="77">
        <v>2025</v>
      </c>
      <c r="F1125" s="108" t="s">
        <v>656</v>
      </c>
      <c r="G1125" s="109" t="s">
        <v>657</v>
      </c>
      <c r="H1125" s="33" t="str" cm="1">
        <f t="array" ref="H1125">INDEX(stableR[question],MATCH(VALUE(questions[[#This Row],[qno]]),VALUE(stableR[qno]),0))</f>
        <v>If yes, where do you use it for?</v>
      </c>
      <c r="I1125" s="33" t="b" cm="1">
        <f t="array" ref="I1125">INDEX(stable[is_fixed],MATCH(VALUE(questions[[#This Row],[qno]]),VALUE(stable[qno]),0))</f>
        <v>0</v>
      </c>
      <c r="J1125" s="33" t="b" cm="1">
        <f t="array" ref="J1125">INDEX(stable[is_localized],MATCH(VALUE(questions[[#This Row],[qno]]),VALUE(stable[qno]),0))</f>
        <v>0</v>
      </c>
      <c r="K1125" s="33" t="b" cm="1">
        <f t="array" ref="K1125">INDEX(stable[is_supply_chain_dependent],MATCH(VALUE(questions[[#This Row],[qno]]),VALUE(stable[qno]),0))</f>
        <v>1</v>
      </c>
      <c r="L1125" s="33" t="b" cm="1">
        <f t="array" ref="L1125">INDEX(stable[is_mandatory],MATCH(VALUE(questions[[#This Row],[qno]]),VALUE(stable[qno]),0))</f>
        <v>1</v>
      </c>
      <c r="M1125" s="33" t="b" cm="1">
        <f t="array" ref="M1125">INDEX(stable[is_automated],MATCH(VALUE(questions[[#This Row],[qno]]),VALUE(stable[qno]),0))</f>
        <v>0</v>
      </c>
      <c r="N1125" s="33" t="b" cm="1">
        <f t="array" ref="N1125">INDEX(stable[is_free_text],MATCH(VALUE(questions[[#This Row],[qno]]),VALUE(stable[qno]),0))</f>
        <v>0</v>
      </c>
      <c r="O1125" s="33" t="b" cm="1">
        <f t="array" ref="O1125">INDEX(stable[is_numerical],MATCH(VALUE(questions[[#This Row],[qno]]),VALUE(stable[qno]),0))</f>
        <v>0</v>
      </c>
      <c r="P1125" s="77" t="b" cm="1">
        <f t="array" ref="P1125">INDEX(stable[is_single_select],MATCH(VALUE(questions[[#This Row],[qno]]),VALUE(stable[qno]),0))</f>
        <v>0</v>
      </c>
      <c r="Q1125" s="77" t="b" cm="1">
        <f t="array" ref="Q1125">INDEX(stable[is_multi_select],MATCH(VALUE(questions[[#This Row],[qno]]),VALUE(stable[qno]),0))</f>
        <v>1</v>
      </c>
      <c r="R1125" s="77" t="b" cm="1">
        <f t="array" ref="R1125">INDEX(stable[is_skip_logic],MATCH(VALUE(questions[[#This Row],[qno]]),VALUE(stable[qno]),0))</f>
        <v>1</v>
      </c>
      <c r="S1125" s="77" t="str">
        <f>_xlfn.TEXTJOIN(", ",TRUE,questions[[#This Row],[ans_opt_1]:[ans_opt_14]])</f>
        <v>Processing, Transport, Power Generator, Irrigation, Weed cutter, Other</v>
      </c>
      <c r="T1125" s="77" t="s">
        <v>646</v>
      </c>
      <c r="U1125" s="77" t="s">
        <v>647</v>
      </c>
      <c r="V1125" s="77" t="s">
        <v>648</v>
      </c>
      <c r="W1125" s="77" t="s">
        <v>649</v>
      </c>
      <c r="X1125" s="77" t="s">
        <v>658</v>
      </c>
      <c r="AG1125" s="77" t="s">
        <v>112</v>
      </c>
      <c r="AH1125" s="126" t="b">
        <f>INDEX(stable[q_standard],MATCH(questions[[#This Row],[qno]],stable[qno],0))</f>
        <v>0</v>
      </c>
      <c r="AI1125" s="126" t="b">
        <f>INDEX(stable[q_living_income],MATCH(questions[[#This Row],[qno]],stable[qno],0))</f>
        <v>0</v>
      </c>
      <c r="AJ1125" s="126" t="b">
        <f>INDEX(stable[q_carbon],MATCH(questions[[#This Row],[qno]],stable[qno],0))</f>
        <v>1</v>
      </c>
      <c r="AK1125" s="126" t="b">
        <f>INDEX(stable[q_regen_ag],MATCH(questions[[#This Row],[qno]],stable[qno],0))</f>
        <v>0</v>
      </c>
      <c r="AL1125" s="169"/>
      <c r="AM1125" s="169"/>
      <c r="AN1125" s="169"/>
      <c r="AO1125" s="169"/>
      <c r="AP1125" s="98" t="str">
        <f>LEFT(questions[[#This Row],[question]],similarity_range)</f>
        <v>If yes, where do you</v>
      </c>
      <c r="AQ1125" s="98" t="str">
        <f>LEFT(INDEX(stable[question],MATCH(questions[[#This Row],[qno]],stable[qno],0)),similarity_range)</f>
        <v>If yes, where do you</v>
      </c>
      <c r="AR1125" s="98" t="b">
        <f>questions[[#This Row],[question_first_characters]]=questions[[#This Row],[stability_first_characters]]</f>
        <v>1</v>
      </c>
      <c r="AS1125" s="98" t="b">
        <f>IF(OR(questions[[#This Row],[is_single_select]],questions[[#This Row],[is_multi_select]]),NOT(ISBLANK(questions[[#This Row],[answer_opt_combined]])),TRUE)</f>
        <v>1</v>
      </c>
    </row>
    <row r="1126" spans="1:45" ht="15.75" customHeight="1" x14ac:dyDescent="0.25">
      <c r="A1126" s="33" t="str">
        <f>_xlfn.TEXTJOIN("_",TRUE,questions[[#This Row],[origin]:[qno]])</f>
        <v>Vietnam_Robusta_Nestle_Selecta_2025_8402</v>
      </c>
      <c r="B1126" s="33" t="s">
        <v>673</v>
      </c>
      <c r="C1126" s="33" t="s">
        <v>674</v>
      </c>
      <c r="D1126" s="33" t="s">
        <v>904</v>
      </c>
      <c r="E1126" s="33">
        <v>2025</v>
      </c>
      <c r="F1126" s="42" t="s">
        <v>659</v>
      </c>
      <c r="G1126" s="218" t="s">
        <v>651</v>
      </c>
      <c r="H1126" s="33" t="str" cm="1">
        <f t="array" ref="H1126">INDEX(stableR[question],MATCH(VALUE(questions[[#This Row],[qno]]),VALUE(stableR[qno]),0))</f>
        <v>How many liters per day?</v>
      </c>
      <c r="I1126" s="33" t="b" cm="1">
        <f t="array" ref="I1126">INDEX(stable[is_fixed],MATCH(VALUE(questions[[#This Row],[qno]]),VALUE(stable[qno]),0))</f>
        <v>0</v>
      </c>
      <c r="J1126" s="33" t="b" cm="1">
        <f t="array" ref="J1126">INDEX(stable[is_localized],MATCH(VALUE(questions[[#This Row],[qno]]),VALUE(stable[qno]),0))</f>
        <v>0</v>
      </c>
      <c r="K1126" s="33" t="b" cm="1">
        <f t="array" ref="K1126">INDEX(stable[is_supply_chain_dependent],MATCH(VALUE(questions[[#This Row],[qno]]),VALUE(stable[qno]),0))</f>
        <v>1</v>
      </c>
      <c r="L1126" s="33" t="b" cm="1">
        <f t="array" ref="L1126">INDEX(stable[is_mandatory],MATCH(VALUE(questions[[#This Row],[qno]]),VALUE(stable[qno]),0))</f>
        <v>1</v>
      </c>
      <c r="M1126" s="33" t="b" cm="1">
        <f t="array" ref="M1126">INDEX(stable[is_automated],MATCH(VALUE(questions[[#This Row],[qno]]),VALUE(stable[qno]),0))</f>
        <v>0</v>
      </c>
      <c r="N1126" s="33" t="b" cm="1">
        <f t="array" ref="N1126">INDEX(stable[is_free_text],MATCH(VALUE(questions[[#This Row],[qno]]),VALUE(stable[qno]),0))</f>
        <v>0</v>
      </c>
      <c r="O1126" s="33" t="b" cm="1">
        <f t="array" ref="O1126">INDEX(stable[is_numerical],MATCH(VALUE(questions[[#This Row],[qno]]),VALUE(stable[qno]),0))</f>
        <v>1</v>
      </c>
      <c r="P1126" s="33" t="b" cm="1">
        <f t="array" ref="P1126">INDEX(stable[is_single_select],MATCH(VALUE(questions[[#This Row],[qno]]),VALUE(stable[qno]),0))</f>
        <v>0</v>
      </c>
      <c r="Q1126" s="33" t="b" cm="1">
        <f t="array" ref="Q1126">INDEX(stable[is_multi_select],MATCH(VALUE(questions[[#This Row],[qno]]),VALUE(stable[qno]),0))</f>
        <v>0</v>
      </c>
      <c r="R1126" s="33" t="b" cm="1">
        <f t="array" ref="R1126">INDEX(stable[is_skip_logic],MATCH(VALUE(questions[[#This Row],[qno]]),VALUE(stable[qno]),0))</f>
        <v>1</v>
      </c>
      <c r="S1126" s="33" t="str">
        <f>_xlfn.TEXTJOIN(", ",TRUE,questions[[#This Row],[ans_opt_1]:[ans_opt_14]])</f>
        <v/>
      </c>
      <c r="T1126" s="47"/>
      <c r="U1126" s="47"/>
      <c r="V1126" s="47"/>
      <c r="W1126" s="47"/>
      <c r="X1126" s="47"/>
      <c r="Y1126" s="47"/>
      <c r="Z1126" s="44"/>
      <c r="AA1126" s="44"/>
      <c r="AB1126" s="44"/>
      <c r="AC1126" s="44"/>
      <c r="AD1126" s="44"/>
      <c r="AE1126" s="44"/>
      <c r="AF1126" s="44"/>
      <c r="AG1126" s="44"/>
      <c r="AH1126" s="124" t="b">
        <f>INDEX(stable[q_standard],MATCH(questions[[#This Row],[qno]],stable[qno],0))</f>
        <v>0</v>
      </c>
      <c r="AI1126" s="124" t="b">
        <f>INDEX(stable[q_living_income],MATCH(questions[[#This Row],[qno]],stable[qno],0))</f>
        <v>0</v>
      </c>
      <c r="AJ1126" s="124" t="b">
        <f>INDEX(stable[q_carbon],MATCH(questions[[#This Row],[qno]],stable[qno],0))</f>
        <v>1</v>
      </c>
      <c r="AK1126" s="124" t="b">
        <f>INDEX(stable[q_regen_ag],MATCH(questions[[#This Row],[qno]],stable[qno],0))</f>
        <v>0</v>
      </c>
      <c r="AL1126" s="170"/>
      <c r="AM1126" s="170"/>
      <c r="AN1126" s="170"/>
      <c r="AO1126" s="170"/>
      <c r="AP1126" s="16" t="str">
        <f>LEFT(questions[[#This Row],[question]],similarity_range)</f>
        <v xml:space="preserve">How many liters per </v>
      </c>
      <c r="AQ1126" s="16" t="str">
        <f>LEFT(INDEX(stable[question],MATCH(questions[[#This Row],[qno]],stable[qno],0)),similarity_range)</f>
        <v xml:space="preserve">How many liters per </v>
      </c>
      <c r="AR1126" s="16" t="b">
        <f>questions[[#This Row],[question_first_characters]]=questions[[#This Row],[stability_first_characters]]</f>
        <v>1</v>
      </c>
      <c r="AS1126" s="16" t="b">
        <f>IF(OR(questions[[#This Row],[is_single_select]],questions[[#This Row],[is_multi_select]]),NOT(ISBLANK(questions[[#This Row],[answer_opt_combined]])),TRUE)</f>
        <v>1</v>
      </c>
    </row>
    <row r="1127" spans="1:45" ht="15.75" customHeight="1" x14ac:dyDescent="0.25">
      <c r="A1127" s="33" t="str">
        <f>_xlfn.TEXTJOIN("_",TRUE,questions[[#This Row],[origin]:[qno]])</f>
        <v>Vietnam_Robusta_Nestle_Selecta_2025_8403</v>
      </c>
      <c r="B1127" s="33" t="s">
        <v>673</v>
      </c>
      <c r="C1127" s="33" t="s">
        <v>674</v>
      </c>
      <c r="D1127" s="33" t="s">
        <v>904</v>
      </c>
      <c r="E1127" s="33">
        <v>2025</v>
      </c>
      <c r="F1127" s="42" t="s">
        <v>660</v>
      </c>
      <c r="G1127" s="218" t="s">
        <v>653</v>
      </c>
      <c r="H1127" s="33" t="str" cm="1">
        <f t="array" ref="H1127">INDEX(stableR[question],MATCH(VALUE(questions[[#This Row],[qno]]),VALUE(stableR[qno]),0))</f>
        <v>How many days per year?</v>
      </c>
      <c r="I1127" s="33" t="b" cm="1">
        <f t="array" ref="I1127">INDEX(stable[is_fixed],MATCH(VALUE(questions[[#This Row],[qno]]),VALUE(stable[qno]),0))</f>
        <v>0</v>
      </c>
      <c r="J1127" s="33" t="b" cm="1">
        <f t="array" ref="J1127">INDEX(stable[is_localized],MATCH(VALUE(questions[[#This Row],[qno]]),VALUE(stable[qno]),0))</f>
        <v>0</v>
      </c>
      <c r="K1127" s="33" t="b" cm="1">
        <f t="array" ref="K1127">INDEX(stable[is_supply_chain_dependent],MATCH(VALUE(questions[[#This Row],[qno]]),VALUE(stable[qno]),0))</f>
        <v>1</v>
      </c>
      <c r="L1127" s="33" t="b" cm="1">
        <f t="array" ref="L1127">INDEX(stable[is_mandatory],MATCH(VALUE(questions[[#This Row],[qno]]),VALUE(stable[qno]),0))</f>
        <v>1</v>
      </c>
      <c r="M1127" s="33" t="b" cm="1">
        <f t="array" ref="M1127">INDEX(stable[is_automated],MATCH(VALUE(questions[[#This Row],[qno]]),VALUE(stable[qno]),0))</f>
        <v>0</v>
      </c>
      <c r="N1127" s="33" t="b" cm="1">
        <f t="array" ref="N1127">INDEX(stable[is_free_text],MATCH(VALUE(questions[[#This Row],[qno]]),VALUE(stable[qno]),0))</f>
        <v>0</v>
      </c>
      <c r="O1127" s="33" t="b" cm="1">
        <f t="array" ref="O1127">INDEX(stable[is_numerical],MATCH(VALUE(questions[[#This Row],[qno]]),VALUE(stable[qno]),0))</f>
        <v>1</v>
      </c>
      <c r="P1127" s="33" t="b" cm="1">
        <f t="array" ref="P1127">INDEX(stable[is_single_select],MATCH(VALUE(questions[[#This Row],[qno]]),VALUE(stable[qno]),0))</f>
        <v>0</v>
      </c>
      <c r="Q1127" s="33" t="b" cm="1">
        <f t="array" ref="Q1127">INDEX(stable[is_multi_select],MATCH(VALUE(questions[[#This Row],[qno]]),VALUE(stable[qno]),0))</f>
        <v>0</v>
      </c>
      <c r="R1127" s="33" t="b" cm="1">
        <f t="array" ref="R1127">INDEX(stable[is_skip_logic],MATCH(VALUE(questions[[#This Row],[qno]]),VALUE(stable[qno]),0))</f>
        <v>1</v>
      </c>
      <c r="S1127" s="33" t="str">
        <f>_xlfn.TEXTJOIN(", ",TRUE,questions[[#This Row],[ans_opt_1]:[ans_opt_14]])</f>
        <v/>
      </c>
      <c r="T1127" s="47"/>
      <c r="U1127" s="47"/>
      <c r="V1127" s="47"/>
      <c r="W1127" s="47"/>
      <c r="X1127" s="47"/>
      <c r="Y1127" s="47"/>
      <c r="Z1127" s="44"/>
      <c r="AA1127" s="44"/>
      <c r="AB1127" s="44"/>
      <c r="AC1127" s="44"/>
      <c r="AD1127" s="44"/>
      <c r="AE1127" s="44"/>
      <c r="AF1127" s="44"/>
      <c r="AG1127" s="44"/>
      <c r="AH1127" s="124" t="b">
        <f>INDEX(stable[q_standard],MATCH(questions[[#This Row],[qno]],stable[qno],0))</f>
        <v>0</v>
      </c>
      <c r="AI1127" s="124" t="b">
        <f>INDEX(stable[q_living_income],MATCH(questions[[#This Row],[qno]],stable[qno],0))</f>
        <v>0</v>
      </c>
      <c r="AJ1127" s="124" t="b">
        <f>INDEX(stable[q_carbon],MATCH(questions[[#This Row],[qno]],stable[qno],0))</f>
        <v>1</v>
      </c>
      <c r="AK1127" s="124" t="b">
        <f>INDEX(stable[q_regen_ag],MATCH(questions[[#This Row],[qno]],stable[qno],0))</f>
        <v>0</v>
      </c>
      <c r="AL1127" s="170"/>
      <c r="AM1127" s="170"/>
      <c r="AN1127" s="170"/>
      <c r="AO1127" s="170"/>
      <c r="AP1127" s="16" t="str">
        <f>LEFT(questions[[#This Row],[question]],similarity_range)</f>
        <v>How many days per ye</v>
      </c>
      <c r="AQ1127" s="16" t="str">
        <f>LEFT(INDEX(stable[question],MATCH(questions[[#This Row],[qno]],stable[qno],0)),similarity_range)</f>
        <v>How many days per ye</v>
      </c>
      <c r="AR1127" s="16" t="b">
        <f>questions[[#This Row],[question_first_characters]]=questions[[#This Row],[stability_first_characters]]</f>
        <v>1</v>
      </c>
      <c r="AS1127" s="16" t="b">
        <f>IF(OR(questions[[#This Row],[is_single_select]],questions[[#This Row],[is_multi_select]]),NOT(ISBLANK(questions[[#This Row],[answer_opt_combined]])),TRUE)</f>
        <v>1</v>
      </c>
    </row>
    <row r="1128" spans="1:45" s="77" customFormat="1" ht="15.75" customHeight="1" x14ac:dyDescent="0.25">
      <c r="A1128" s="77" t="str">
        <f>_xlfn.TEXTJOIN("_",TRUE,questions[[#This Row],[origin]:[qno]])</f>
        <v>Vietnam_Robusta_Nestle_Selecta_2025_8500</v>
      </c>
      <c r="B1128" s="77" t="s">
        <v>673</v>
      </c>
      <c r="C1128" s="77" t="s">
        <v>674</v>
      </c>
      <c r="D1128" s="77" t="s">
        <v>904</v>
      </c>
      <c r="E1128" s="77">
        <v>2025</v>
      </c>
      <c r="F1128" s="108" t="s">
        <v>661</v>
      </c>
      <c r="G1128" s="109" t="s">
        <v>945</v>
      </c>
      <c r="H1128" s="33" t="str" cm="1">
        <f t="array" ref="H1128">INDEX(stableR[question],MATCH(VALUE(questions[[#This Row],[qno]]),VALUE(stableR[qno]),0))</f>
        <v>Did you use electricity in any process in your coffee farming last year?</v>
      </c>
      <c r="I1128" s="33" t="b" cm="1">
        <f t="array" ref="I1128">INDEX(stable[is_fixed],MATCH(VALUE(questions[[#This Row],[qno]]),VALUE(stable[qno]),0))</f>
        <v>0</v>
      </c>
      <c r="J1128" s="33" t="b" cm="1">
        <f t="array" ref="J1128">INDEX(stable[is_localized],MATCH(VALUE(questions[[#This Row],[qno]]),VALUE(stable[qno]),0))</f>
        <v>0</v>
      </c>
      <c r="K1128" s="33" t="b" cm="1">
        <f t="array" ref="K1128">INDEX(stable[is_supply_chain_dependent],MATCH(VALUE(questions[[#This Row],[qno]]),VALUE(stable[qno]),0))</f>
        <v>1</v>
      </c>
      <c r="L1128" s="33" t="b" cm="1">
        <f t="array" ref="L1128">INDEX(stable[is_mandatory],MATCH(VALUE(questions[[#This Row],[qno]]),VALUE(stable[qno]),0))</f>
        <v>1</v>
      </c>
      <c r="M1128" s="33" t="b" cm="1">
        <f t="array" ref="M1128">INDEX(stable[is_automated],MATCH(VALUE(questions[[#This Row],[qno]]),VALUE(stable[qno]),0))</f>
        <v>0</v>
      </c>
      <c r="N1128" s="33" t="b" cm="1">
        <f t="array" ref="N1128">INDEX(stable[is_free_text],MATCH(VALUE(questions[[#This Row],[qno]]),VALUE(stable[qno]),0))</f>
        <v>0</v>
      </c>
      <c r="O1128" s="33" t="b" cm="1">
        <f t="array" ref="O1128">INDEX(stable[is_numerical],MATCH(VALUE(questions[[#This Row],[qno]]),VALUE(stable[qno]),0))</f>
        <v>0</v>
      </c>
      <c r="P1128" s="77" t="b" cm="1">
        <f t="array" ref="P1128">INDEX(stable[is_single_select],MATCH(VALUE(questions[[#This Row],[qno]]),VALUE(stable[qno]),0))</f>
        <v>1</v>
      </c>
      <c r="Q1128" s="77" t="b" cm="1">
        <f t="array" ref="Q1128">INDEX(stable[is_multi_select],MATCH(VALUE(questions[[#This Row],[qno]]),VALUE(stable[qno]),0))</f>
        <v>0</v>
      </c>
      <c r="R1128" s="77" t="b" cm="1">
        <f t="array" ref="R1128">INDEX(stable[is_skip_logic],MATCH(VALUE(questions[[#This Row],[qno]]),VALUE(stable[qno]),0))</f>
        <v>1</v>
      </c>
      <c r="S1128" s="77" t="str">
        <f>_xlfn.TEXTJOIN(", ",TRUE,questions[[#This Row],[ans_opt_1]:[ans_opt_14]])</f>
        <v>No, Yes</v>
      </c>
      <c r="T1128" s="113" t="s">
        <v>119</v>
      </c>
      <c r="U1128" s="113" t="s">
        <v>149</v>
      </c>
      <c r="V1128" s="113"/>
      <c r="W1128" s="113"/>
      <c r="X1128" s="113"/>
      <c r="Y1128" s="113"/>
      <c r="Z1128" s="91"/>
      <c r="AA1128" s="91"/>
      <c r="AB1128" s="91"/>
      <c r="AC1128" s="91"/>
      <c r="AD1128" s="91"/>
      <c r="AE1128" s="91"/>
      <c r="AF1128" s="91"/>
      <c r="AG1128" s="91"/>
      <c r="AH1128" s="126" t="b">
        <f>INDEX(stable[q_standard],MATCH(questions[[#This Row],[qno]],stable[qno],0))</f>
        <v>0</v>
      </c>
      <c r="AI1128" s="126" t="b">
        <f>INDEX(stable[q_living_income],MATCH(questions[[#This Row],[qno]],stable[qno],0))</f>
        <v>0</v>
      </c>
      <c r="AJ1128" s="126" t="b">
        <f>INDEX(stable[q_carbon],MATCH(questions[[#This Row],[qno]],stable[qno],0))</f>
        <v>1</v>
      </c>
      <c r="AK1128" s="126" t="b">
        <f>INDEX(stable[q_regen_ag],MATCH(questions[[#This Row],[qno]],stable[qno],0))</f>
        <v>0</v>
      </c>
      <c r="AL1128" s="194"/>
      <c r="AM1128" s="194"/>
      <c r="AN1128" s="194"/>
      <c r="AO1128" s="194"/>
      <c r="AP1128" s="98" t="str">
        <f>LEFT(questions[[#This Row],[question]],similarity_range)</f>
        <v>Did you use electric</v>
      </c>
      <c r="AQ1128" s="98" t="str">
        <f>LEFT(INDEX(stable[question],MATCH(questions[[#This Row],[qno]],stable[qno],0)),similarity_range)</f>
        <v>Did you use electric</v>
      </c>
      <c r="AR1128" s="98" t="b">
        <f>questions[[#This Row],[question_first_characters]]=questions[[#This Row],[stability_first_characters]]</f>
        <v>1</v>
      </c>
      <c r="AS1128" s="98" t="b">
        <f>IF(OR(questions[[#This Row],[is_single_select]],questions[[#This Row],[is_multi_select]]),NOT(ISBLANK(questions[[#This Row],[answer_opt_combined]])),TRUE)</f>
        <v>1</v>
      </c>
    </row>
    <row r="1129" spans="1:45" s="77" customFormat="1" ht="15.75" customHeight="1" x14ac:dyDescent="0.25">
      <c r="A1129" s="77" t="str">
        <f>_xlfn.TEXTJOIN("_",TRUE,questions[[#This Row],[origin]:[qno]])</f>
        <v>Vietnam_Robusta_Nestle_Selecta_2025_8501</v>
      </c>
      <c r="B1129" s="77" t="s">
        <v>673</v>
      </c>
      <c r="C1129" s="77" t="s">
        <v>674</v>
      </c>
      <c r="D1129" s="77" t="s">
        <v>904</v>
      </c>
      <c r="E1129" s="77">
        <v>2025</v>
      </c>
      <c r="F1129" s="108" t="s">
        <v>663</v>
      </c>
      <c r="G1129" s="109" t="s">
        <v>946</v>
      </c>
      <c r="H1129" s="33" t="str" cm="1">
        <f t="array" ref="H1129">INDEX(stableR[question],MATCH(VALUE(questions[[#This Row],[qno]]),VALUE(stableR[qno]),0))</f>
        <v>If yes, what is the source of this electricity?</v>
      </c>
      <c r="I1129" s="33" t="b" cm="1">
        <f t="array" ref="I1129">INDEX(stable[is_fixed],MATCH(VALUE(questions[[#This Row],[qno]]),VALUE(stable[qno]),0))</f>
        <v>0</v>
      </c>
      <c r="J1129" s="33" t="b" cm="1">
        <f t="array" ref="J1129">INDEX(stable[is_localized],MATCH(VALUE(questions[[#This Row],[qno]]),VALUE(stable[qno]),0))</f>
        <v>0</v>
      </c>
      <c r="K1129" s="33" t="b" cm="1">
        <f t="array" ref="K1129">INDEX(stable[is_supply_chain_dependent],MATCH(VALUE(questions[[#This Row],[qno]]),VALUE(stable[qno]),0))</f>
        <v>1</v>
      </c>
      <c r="L1129" s="33" t="b" cm="1">
        <f t="array" ref="L1129">INDEX(stable[is_mandatory],MATCH(VALUE(questions[[#This Row],[qno]]),VALUE(stable[qno]),0))</f>
        <v>1</v>
      </c>
      <c r="M1129" s="33" t="b" cm="1">
        <f t="array" ref="M1129">INDEX(stable[is_automated],MATCH(VALUE(questions[[#This Row],[qno]]),VALUE(stable[qno]),0))</f>
        <v>0</v>
      </c>
      <c r="N1129" s="33" t="b" cm="1">
        <f t="array" ref="N1129">INDEX(stable[is_free_text],MATCH(VALUE(questions[[#This Row],[qno]]),VALUE(stable[qno]),0))</f>
        <v>0</v>
      </c>
      <c r="O1129" s="33" t="b" cm="1">
        <f t="array" ref="O1129">INDEX(stable[is_numerical],MATCH(VALUE(questions[[#This Row],[qno]]),VALUE(stable[qno]),0))</f>
        <v>0</v>
      </c>
      <c r="P1129" s="77" t="b" cm="1">
        <f t="array" ref="P1129">INDEX(stable[is_single_select],MATCH(VALUE(questions[[#This Row],[qno]]),VALUE(stable[qno]),0))</f>
        <v>0</v>
      </c>
      <c r="Q1129" s="77" t="b" cm="1">
        <f t="array" ref="Q1129">INDEX(stable[is_multi_select],MATCH(VALUE(questions[[#This Row],[qno]]),VALUE(stable[qno]),0))</f>
        <v>1</v>
      </c>
      <c r="R1129" s="77" t="b" cm="1">
        <f t="array" ref="R1129">INDEX(stable[is_skip_logic],MATCH(VALUE(questions[[#This Row],[qno]]),VALUE(stable[qno]),0))</f>
        <v>1</v>
      </c>
      <c r="S1129" s="77" t="str">
        <f>_xlfn.TEXTJOIN(", ",TRUE,questions[[#This Row],[ans_opt_1]:[ans_opt_14]])</f>
        <v>Local grid, Solar power, Generator petrol, Generator diesel</v>
      </c>
      <c r="T1129" s="113" t="s">
        <v>665</v>
      </c>
      <c r="U1129" s="113" t="s">
        <v>666</v>
      </c>
      <c r="V1129" s="91" t="s">
        <v>667</v>
      </c>
      <c r="W1129" s="113" t="s">
        <v>668</v>
      </c>
      <c r="X1129" s="113"/>
      <c r="Y1129" s="113"/>
      <c r="Z1129" s="91"/>
      <c r="AA1129" s="91"/>
      <c r="AB1129" s="91"/>
      <c r="AC1129" s="91"/>
      <c r="AD1129" s="91"/>
      <c r="AE1129" s="91"/>
      <c r="AF1129" s="91"/>
      <c r="AG1129" s="91"/>
      <c r="AH1129" s="126" t="b">
        <f>INDEX(stable[q_standard],MATCH(questions[[#This Row],[qno]],stable[qno],0))</f>
        <v>0</v>
      </c>
      <c r="AI1129" s="126" t="b">
        <f>INDEX(stable[q_living_income],MATCH(questions[[#This Row],[qno]],stable[qno],0))</f>
        <v>0</v>
      </c>
      <c r="AJ1129" s="126" t="b">
        <f>INDEX(stable[q_carbon],MATCH(questions[[#This Row],[qno]],stable[qno],0))</f>
        <v>1</v>
      </c>
      <c r="AK1129" s="126" t="b">
        <f>INDEX(stable[q_regen_ag],MATCH(questions[[#This Row],[qno]],stable[qno],0))</f>
        <v>0</v>
      </c>
      <c r="AL1129" s="194"/>
      <c r="AM1129" s="194"/>
      <c r="AN1129" s="194"/>
      <c r="AO1129" s="194"/>
      <c r="AP1129" s="98" t="str">
        <f>LEFT(questions[[#This Row],[question]],similarity_range)</f>
        <v xml:space="preserve">If yes, what is the </v>
      </c>
      <c r="AQ1129" s="98" t="str">
        <f>LEFT(INDEX(stable[question],MATCH(questions[[#This Row],[qno]],stable[qno],0)),similarity_range)</f>
        <v xml:space="preserve">If yes, what is the </v>
      </c>
      <c r="AR1129" s="98" t="b">
        <f>questions[[#This Row],[question_first_characters]]=questions[[#This Row],[stability_first_characters]]</f>
        <v>1</v>
      </c>
      <c r="AS1129" s="98" t="b">
        <f>IF(OR(questions[[#This Row],[is_single_select]],questions[[#This Row],[is_multi_select]]),NOT(ISBLANK(questions[[#This Row],[answer_opt_combined]])),TRUE)</f>
        <v>1</v>
      </c>
    </row>
    <row r="1130" spans="1:45" ht="15.75" customHeight="1" x14ac:dyDescent="0.25">
      <c r="A1130" s="33" t="str">
        <f>_xlfn.TEXTJOIN("_",TRUE,questions[[#This Row],[origin]:[qno]])</f>
        <v>Vietnam_Robusta_Nestle_Selecta_2025_8502</v>
      </c>
      <c r="B1130" s="33" t="s">
        <v>673</v>
      </c>
      <c r="C1130" s="33" t="s">
        <v>674</v>
      </c>
      <c r="D1130" s="33" t="s">
        <v>904</v>
      </c>
      <c r="E1130" s="33">
        <v>2025</v>
      </c>
      <c r="F1130" s="42" t="s">
        <v>669</v>
      </c>
      <c r="G1130" s="218" t="s">
        <v>718</v>
      </c>
      <c r="H1130" s="33" t="str" cm="1">
        <f t="array" ref="H1130">INDEX(stableR[question],MATCH(VALUE(questions[[#This Row],[qno]]),VALUE(stableR[qno]),0))</f>
        <v>If local grid or sollar power, how much was your average monthly electricity bill last year? (in local currency)</v>
      </c>
      <c r="I1130" s="33" t="b" cm="1">
        <f t="array" ref="I1130">INDEX(stable[is_fixed],MATCH(VALUE(questions[[#This Row],[qno]]),VALUE(stable[qno]),0))</f>
        <v>0</v>
      </c>
      <c r="J1130" s="33" t="b" cm="1">
        <f t="array" ref="J1130">INDEX(stable[is_localized],MATCH(VALUE(questions[[#This Row],[qno]]),VALUE(stable[qno]),0))</f>
        <v>0</v>
      </c>
      <c r="K1130" s="33" t="b" cm="1">
        <f t="array" ref="K1130">INDEX(stable[is_supply_chain_dependent],MATCH(VALUE(questions[[#This Row],[qno]]),VALUE(stable[qno]),0))</f>
        <v>1</v>
      </c>
      <c r="L1130" s="33" t="b" cm="1">
        <f t="array" ref="L1130">INDEX(stable[is_mandatory],MATCH(VALUE(questions[[#This Row],[qno]]),VALUE(stable[qno]),0))</f>
        <v>1</v>
      </c>
      <c r="M1130" s="33" t="b" cm="1">
        <f t="array" ref="M1130">INDEX(stable[is_automated],MATCH(VALUE(questions[[#This Row],[qno]]),VALUE(stable[qno]),0))</f>
        <v>0</v>
      </c>
      <c r="N1130" s="33" t="b" cm="1">
        <f t="array" ref="N1130">INDEX(stable[is_free_text],MATCH(VALUE(questions[[#This Row],[qno]]),VALUE(stable[qno]),0))</f>
        <v>0</v>
      </c>
      <c r="O1130" s="33" t="b" cm="1">
        <f t="array" ref="O1130">INDEX(stable[is_numerical],MATCH(VALUE(questions[[#This Row],[qno]]),VALUE(stable[qno]),0))</f>
        <v>1</v>
      </c>
      <c r="P1130" s="33" t="b" cm="1">
        <f t="array" ref="P1130">INDEX(stable[is_single_select],MATCH(VALUE(questions[[#This Row],[qno]]),VALUE(stable[qno]),0))</f>
        <v>0</v>
      </c>
      <c r="Q1130" s="33" t="b" cm="1">
        <f t="array" ref="Q1130">INDEX(stable[is_multi_select],MATCH(VALUE(questions[[#This Row],[qno]]),VALUE(stable[qno]),0))</f>
        <v>0</v>
      </c>
      <c r="R1130" s="33" t="b" cm="1">
        <f t="array" ref="R1130">INDEX(stable[is_skip_logic],MATCH(VALUE(questions[[#This Row],[qno]]),VALUE(stable[qno]),0))</f>
        <v>1</v>
      </c>
      <c r="S1130" s="33" t="str">
        <f>_xlfn.TEXTJOIN(", ",TRUE,questions[[#This Row],[ans_opt_1]:[ans_opt_14]])</f>
        <v/>
      </c>
      <c r="T1130" s="47"/>
      <c r="U1130" s="47"/>
      <c r="V1130" s="47"/>
      <c r="W1130" s="47"/>
      <c r="X1130" s="47"/>
      <c r="Y1130" s="47"/>
      <c r="Z1130" s="44"/>
      <c r="AA1130" s="44"/>
      <c r="AB1130" s="44"/>
      <c r="AC1130" s="44"/>
      <c r="AD1130" s="44"/>
      <c r="AE1130" s="44"/>
      <c r="AF1130" s="44"/>
      <c r="AG1130" s="44"/>
      <c r="AH1130" s="124" t="b">
        <f>INDEX(stable[q_standard],MATCH(questions[[#This Row],[qno]],stable[qno],0))</f>
        <v>0</v>
      </c>
      <c r="AI1130" s="124" t="b">
        <f>INDEX(stable[q_living_income],MATCH(questions[[#This Row],[qno]],stable[qno],0))</f>
        <v>0</v>
      </c>
      <c r="AJ1130" s="124" t="b">
        <f>INDEX(stable[q_carbon],MATCH(questions[[#This Row],[qno]],stable[qno],0))</f>
        <v>1</v>
      </c>
      <c r="AK1130" s="124" t="b">
        <f>INDEX(stable[q_regen_ag],MATCH(questions[[#This Row],[qno]],stable[qno],0))</f>
        <v>0</v>
      </c>
      <c r="AL1130" s="195"/>
      <c r="AM1130" s="195"/>
      <c r="AN1130" s="195"/>
      <c r="AO1130" s="195"/>
      <c r="AP1130" s="16" t="str">
        <f>LEFT(questions[[#This Row],[question]],similarity_range)</f>
        <v>If local grid or sol</v>
      </c>
      <c r="AQ1130" s="16" t="str">
        <f>LEFT(INDEX(stable[question],MATCH(questions[[#This Row],[qno]],stable[qno],0)),similarity_range)</f>
        <v>If local grid or sol</v>
      </c>
      <c r="AR1130" s="16" t="b">
        <f>questions[[#This Row],[question_first_characters]]=questions[[#This Row],[stability_first_characters]]</f>
        <v>1</v>
      </c>
      <c r="AS1130" s="16" t="b">
        <f>IF(OR(questions[[#This Row],[is_single_select]],questions[[#This Row],[is_multi_select]]),NOT(ISBLANK(questions[[#This Row],[answer_opt_combined]])),TRUE)</f>
        <v>1</v>
      </c>
    </row>
    <row r="1131" spans="1:45" s="77" customFormat="1" ht="15.75" customHeight="1" x14ac:dyDescent="0.25">
      <c r="A1131" s="77" t="str">
        <f>_xlfn.TEXTJOIN("_",TRUE,questions[[#This Row],[origin]:[qno]])</f>
        <v>Vietnam_Robusta_Nestle_Selecta_2025_8503</v>
      </c>
      <c r="B1131" s="77" t="s">
        <v>673</v>
      </c>
      <c r="C1131" s="77" t="s">
        <v>674</v>
      </c>
      <c r="D1131" s="77" t="s">
        <v>904</v>
      </c>
      <c r="E1131" s="77">
        <v>2025</v>
      </c>
      <c r="F1131" s="108" t="s">
        <v>671</v>
      </c>
      <c r="G1131" s="109" t="s">
        <v>947</v>
      </c>
      <c r="H1131" s="33" t="str" cm="1">
        <f t="array" ref="H1131">INDEX(stableR[question],MATCH(VALUE(questions[[#This Row],[qno]]),VALUE(stableR[qno]),0))</f>
        <v>Was all of this electricity used for coffee processing, or also part for other usage? Can you estimate what proportion of this electricity bill was used for coffee processing?</v>
      </c>
      <c r="I1131" s="33" t="b" cm="1">
        <f t="array" ref="I1131">INDEX(stable[is_fixed],MATCH(VALUE(questions[[#This Row],[qno]]),VALUE(stable[qno]),0))</f>
        <v>0</v>
      </c>
      <c r="J1131" s="33" t="b" cm="1">
        <f t="array" ref="J1131">INDEX(stable[is_localized],MATCH(VALUE(questions[[#This Row],[qno]]),VALUE(stable[qno]),0))</f>
        <v>0</v>
      </c>
      <c r="K1131" s="33" t="b" cm="1">
        <f t="array" ref="K1131">INDEX(stable[is_supply_chain_dependent],MATCH(VALUE(questions[[#This Row],[qno]]),VALUE(stable[qno]),0))</f>
        <v>1</v>
      </c>
      <c r="L1131" s="33" t="b" cm="1">
        <f t="array" ref="L1131">INDEX(stable[is_mandatory],MATCH(VALUE(questions[[#This Row],[qno]]),VALUE(stable[qno]),0))</f>
        <v>1</v>
      </c>
      <c r="M1131" s="33" t="b" cm="1">
        <f t="array" ref="M1131">INDEX(stable[is_automated],MATCH(VALUE(questions[[#This Row],[qno]]),VALUE(stable[qno]),0))</f>
        <v>0</v>
      </c>
      <c r="N1131" s="33" t="b" cm="1">
        <f t="array" ref="N1131">INDEX(stable[is_free_text],MATCH(VALUE(questions[[#This Row],[qno]]),VALUE(stable[qno]),0))</f>
        <v>0</v>
      </c>
      <c r="O1131" s="33" t="b" cm="1">
        <f t="array" ref="O1131">INDEX(stable[is_numerical],MATCH(VALUE(questions[[#This Row],[qno]]),VALUE(stable[qno]),0))</f>
        <v>0</v>
      </c>
      <c r="P1131" s="77" t="b" cm="1">
        <f t="array" ref="P1131">INDEX(stable[is_single_select],MATCH(VALUE(questions[[#This Row],[qno]]),VALUE(stable[qno]),0))</f>
        <v>1</v>
      </c>
      <c r="Q1131" s="77" t="b" cm="1">
        <f t="array" ref="Q1131">INDEX(stable[is_multi_select],MATCH(VALUE(questions[[#This Row],[qno]]),VALUE(stable[qno]),0))</f>
        <v>0</v>
      </c>
      <c r="R1131" s="77" t="b" cm="1">
        <f t="array" ref="R1131">INDEX(stable[is_skip_logic],MATCH(VALUE(questions[[#This Row],[qno]]),VALUE(stable[qno]),0))</f>
        <v>1</v>
      </c>
      <c r="S1131" s="77" t="str">
        <f>_xlfn.TEXTJOIN(", ",TRUE,questions[[#This Row],[ans_opt_1]:[ans_opt_14]])</f>
        <v>All or nearly all - 80-100%, More than half of it  - 60-80%, About half of it - 40-60%, Less than half of it - 20-40%, A small amount - 0-20%</v>
      </c>
      <c r="T1131" s="77" t="s">
        <v>305</v>
      </c>
      <c r="U1131" s="77" t="s">
        <v>306</v>
      </c>
      <c r="V1131" s="77" t="s">
        <v>307</v>
      </c>
      <c r="W1131" s="77" t="s">
        <v>308</v>
      </c>
      <c r="X1131" s="77" t="s">
        <v>309</v>
      </c>
      <c r="Z1131" s="91"/>
      <c r="AA1131" s="91"/>
      <c r="AB1131" s="91"/>
      <c r="AC1131" s="91"/>
      <c r="AD1131" s="91"/>
      <c r="AE1131" s="91"/>
      <c r="AF1131" s="91"/>
      <c r="AG1131" s="91"/>
      <c r="AH1131" s="126" t="b">
        <f>INDEX(stable[q_standard],MATCH(questions[[#This Row],[qno]],stable[qno],0))</f>
        <v>0</v>
      </c>
      <c r="AI1131" s="126" t="b">
        <f>INDEX(stable[q_living_income],MATCH(questions[[#This Row],[qno]],stable[qno],0))</f>
        <v>0</v>
      </c>
      <c r="AJ1131" s="126" t="b">
        <f>INDEX(stable[q_carbon],MATCH(questions[[#This Row],[qno]],stable[qno],0))</f>
        <v>1</v>
      </c>
      <c r="AK1131" s="126" t="b">
        <f>INDEX(stable[q_regen_ag],MATCH(questions[[#This Row],[qno]],stable[qno],0))</f>
        <v>0</v>
      </c>
      <c r="AL1131" s="194"/>
      <c r="AM1131" s="194"/>
      <c r="AN1131" s="194"/>
      <c r="AO1131" s="194"/>
      <c r="AP1131" s="98" t="str">
        <f>LEFT(questions[[#This Row],[question]],similarity_range)</f>
        <v>Was all of this elec</v>
      </c>
      <c r="AQ1131" s="98" t="str">
        <f>LEFT(INDEX(stable[question],MATCH(questions[[#This Row],[qno]],stable[qno],0)),similarity_range)</f>
        <v>Was all of this elec</v>
      </c>
      <c r="AR1131" s="98" t="b">
        <f>questions[[#This Row],[question_first_characters]]=questions[[#This Row],[stability_first_characters]]</f>
        <v>1</v>
      </c>
      <c r="AS1131" s="98" t="b">
        <f>IF(OR(questions[[#This Row],[is_single_select]],questions[[#This Row],[is_multi_select]]),NOT(ISBLANK(questions[[#This Row],[answer_opt_combined]])),TRUE)</f>
        <v>1</v>
      </c>
    </row>
    <row r="1132" spans="1:45" s="77" customFormat="1" ht="15.75" customHeight="1" x14ac:dyDescent="0.25">
      <c r="A1132" s="77" t="str">
        <f>_xlfn.TEXTJOIN("_",TRUE,questions[[#This Row],[origin]:[qno]])</f>
        <v>Vietnam_Robusta_Nestle_Selecta_2025_9000</v>
      </c>
      <c r="B1132" s="77" t="s">
        <v>673</v>
      </c>
      <c r="C1132" s="77" t="s">
        <v>674</v>
      </c>
      <c r="D1132" s="77" t="s">
        <v>904</v>
      </c>
      <c r="E1132" s="77">
        <v>2025</v>
      </c>
      <c r="F1132" s="105" t="s">
        <v>508</v>
      </c>
      <c r="G1132" s="109" t="s">
        <v>509</v>
      </c>
      <c r="H1132" s="33" t="str" cm="1">
        <f t="array" ref="H1132">INDEX(stableR[question],MATCH(VALUE(questions[[#This Row],[qno]]),VALUE(stableR[qno]),0))</f>
        <v>Final check: did you measure/polygon map all the plots of the farmer?</v>
      </c>
      <c r="I1132" s="33" t="b" cm="1">
        <f t="array" ref="I1132">INDEX(stable[is_fixed],MATCH(VALUE(questions[[#This Row],[qno]]),VALUE(stable[qno]),0))</f>
        <v>1</v>
      </c>
      <c r="J1132" s="33" t="b" cm="1">
        <f t="array" ref="J1132">INDEX(stable[is_localized],MATCH(VALUE(questions[[#This Row],[qno]]),VALUE(stable[qno]),0))</f>
        <v>0</v>
      </c>
      <c r="K1132" s="33" t="b" cm="1">
        <f t="array" ref="K1132">INDEX(stable[is_supply_chain_dependent],MATCH(VALUE(questions[[#This Row],[qno]]),VALUE(stable[qno]),0))</f>
        <v>0</v>
      </c>
      <c r="L1132" s="33" t="b" cm="1">
        <f t="array" ref="L1132">INDEX(stable[is_mandatory],MATCH(VALUE(questions[[#This Row],[qno]]),VALUE(stable[qno]),0))</f>
        <v>1</v>
      </c>
      <c r="M1132" s="33" t="b" cm="1">
        <f t="array" ref="M1132">INDEX(stable[is_automated],MATCH(VALUE(questions[[#This Row],[qno]]),VALUE(stable[qno]),0))</f>
        <v>0</v>
      </c>
      <c r="N1132" s="33" t="b" cm="1">
        <f t="array" ref="N1132">INDEX(stable[is_free_text],MATCH(VALUE(questions[[#This Row],[qno]]),VALUE(stable[qno]),0))</f>
        <v>0</v>
      </c>
      <c r="O1132" s="33" t="b" cm="1">
        <f t="array" ref="O1132">INDEX(stable[is_numerical],MATCH(VALUE(questions[[#This Row],[qno]]),VALUE(stable[qno]),0))</f>
        <v>0</v>
      </c>
      <c r="P1132" s="77" t="b" cm="1">
        <f t="array" ref="P1132">INDEX(stable[is_single_select],MATCH(VALUE(questions[[#This Row],[qno]]),VALUE(stable[qno]),0))</f>
        <v>1</v>
      </c>
      <c r="Q1132" s="77" t="b" cm="1">
        <f t="array" ref="Q1132">INDEX(stable[is_multi_select],MATCH(VALUE(questions[[#This Row],[qno]]),VALUE(stable[qno]),0))</f>
        <v>0</v>
      </c>
      <c r="R1132" s="77" t="b" cm="1">
        <f t="array" ref="R1132">INDEX(stable[is_skip_logic],MATCH(VALUE(questions[[#This Row],[qno]]),VALUE(stable[qno]),0))</f>
        <v>0</v>
      </c>
      <c r="S1132" s="77" t="str">
        <f>_xlfn.TEXTJOIN(", ",TRUE,questions[[#This Row],[ans_opt_1]:[ans_opt_14]])</f>
        <v>No, Yes, Not possible</v>
      </c>
      <c r="T1132" s="77" t="s">
        <v>119</v>
      </c>
      <c r="U1132" s="77" t="s">
        <v>149</v>
      </c>
      <c r="V1132" s="77" t="s">
        <v>510</v>
      </c>
      <c r="W1132" s="91"/>
      <c r="X1132" s="91"/>
      <c r="Y1132" s="91"/>
      <c r="Z1132" s="91"/>
      <c r="AA1132" s="91"/>
      <c r="AB1132" s="91"/>
      <c r="AC1132" s="91"/>
      <c r="AD1132" s="91"/>
      <c r="AE1132" s="91"/>
      <c r="AF1132" s="91"/>
      <c r="AG1132" s="91"/>
      <c r="AH1132" s="126" t="b">
        <f>INDEX(stable[q_standard],MATCH(questions[[#This Row],[qno]],stable[qno],0))</f>
        <v>0</v>
      </c>
      <c r="AI1132" s="126" t="b">
        <f>INDEX(stable[q_living_income],MATCH(questions[[#This Row],[qno]],stable[qno],0))</f>
        <v>0</v>
      </c>
      <c r="AJ1132" s="126" t="b">
        <f>INDEX(stable[q_carbon],MATCH(questions[[#This Row],[qno]],stable[qno],0))</f>
        <v>0</v>
      </c>
      <c r="AK1132" s="126" t="b">
        <f>INDEX(stable[q_regen_ag],MATCH(questions[[#This Row],[qno]],stable[qno],0))</f>
        <v>1</v>
      </c>
      <c r="AL1132" s="147"/>
      <c r="AM1132" s="147"/>
      <c r="AN1132" s="147"/>
      <c r="AO1132" s="147"/>
      <c r="AP1132" s="98" t="str">
        <f>LEFT(questions[[#This Row],[question]],similarity_range)</f>
        <v>Final check: did you</v>
      </c>
      <c r="AQ1132" s="98" t="str">
        <f>LEFT(INDEX(stable[question],MATCH(questions[[#This Row],[qno]],stable[qno],0)),similarity_range)</f>
        <v>Final check: did you</v>
      </c>
      <c r="AR1132" s="98" t="b">
        <f>questions[[#This Row],[question_first_characters]]=questions[[#This Row],[stability_first_characters]]</f>
        <v>1</v>
      </c>
      <c r="AS1132" s="98" t="b">
        <f>IF(OR(questions[[#This Row],[is_single_select]],questions[[#This Row],[is_multi_select]]),NOT(ISBLANK(questions[[#This Row],[answer_opt_combined]])),TRUE)</f>
        <v>1</v>
      </c>
    </row>
    <row r="1133" spans="1:45" ht="15.75" customHeight="1" x14ac:dyDescent="0.25">
      <c r="A1133" s="9" t="str">
        <f>_xlfn.TEXTJOIN("_",TRUE,questions[[#This Row],[origin]:[qno]])</f>
        <v>Kenya_Arabica_Nestle_2025_1000</v>
      </c>
      <c r="B1133" s="33" t="s">
        <v>818</v>
      </c>
      <c r="C1133" s="33" t="s">
        <v>59</v>
      </c>
      <c r="D1133" s="33" t="s">
        <v>819</v>
      </c>
      <c r="E1133" s="33">
        <v>2025</v>
      </c>
      <c r="F1133" s="34" t="s">
        <v>61</v>
      </c>
      <c r="G1133" s="18" t="s">
        <v>62</v>
      </c>
      <c r="H1133" s="9" t="str" cm="1">
        <f t="array" ref="H1133">INDEX(stableR[question],MATCH(VALUE(questions[[#This Row],[qno]]),VALUE(stableR[qno]),0))</f>
        <v>Origin</v>
      </c>
      <c r="I1133" s="9" t="b" cm="1">
        <f t="array" ref="I1133">INDEX(stable[is_fixed],MATCH(VALUE(questions[[#This Row],[qno]]),VALUE(stable[qno]),0))</f>
        <v>1</v>
      </c>
      <c r="J1133" s="9" t="b" cm="1">
        <f t="array" ref="J1133">INDEX(stable[is_localized],MATCH(VALUE(questions[[#This Row],[qno]]),VALUE(stable[qno]),0))</f>
        <v>0</v>
      </c>
      <c r="K1133" s="9" t="b" cm="1">
        <f t="array" ref="K1133">INDEX(stable[is_supply_chain_dependent],MATCH(VALUE(questions[[#This Row],[qno]]),VALUE(stable[qno]),0))</f>
        <v>0</v>
      </c>
      <c r="L1133" s="9" t="b" cm="1">
        <f t="array" ref="L1133">INDEX(stable[is_mandatory],MATCH(VALUE(questions[[#This Row],[qno]]),VALUE(stable[qno]),0))</f>
        <v>1</v>
      </c>
      <c r="M1133" s="9" t="b" cm="1">
        <f t="array" ref="M1133">INDEX(stable[is_automated],MATCH(VALUE(questions[[#This Row],[qno]]),VALUE(stable[qno]),0))</f>
        <v>1</v>
      </c>
      <c r="N1133" s="9" t="b" cm="1">
        <f t="array" ref="N1133">INDEX(stable[is_free_text],MATCH(VALUE(questions[[#This Row],[qno]]),VALUE(stable[qno]),0))</f>
        <v>0</v>
      </c>
      <c r="O1133" s="9" t="b" cm="1">
        <f t="array" ref="O1133">INDEX(stable[is_numerical],MATCH(VALUE(questions[[#This Row],[qno]]),VALUE(stable[qno]),0))</f>
        <v>0</v>
      </c>
      <c r="P1133" s="9" t="b" cm="1">
        <f t="array" ref="P1133">INDEX(stable[is_single_select],MATCH(VALUE(questions[[#This Row],[qno]]),VALUE(stable[qno]),0))</f>
        <v>0</v>
      </c>
      <c r="Q1133" s="9" t="b" cm="1">
        <f t="array" ref="Q1133">INDEX(stable[is_multi_select],MATCH(VALUE(questions[[#This Row],[qno]]),VALUE(stable[qno]),0))</f>
        <v>0</v>
      </c>
      <c r="R1133" s="9" t="b" cm="1">
        <f t="array" ref="R1133">INDEX(stable[is_skip_logic],MATCH(VALUE(questions[[#This Row],[qno]]),VALUE(stable[qno]),0))</f>
        <v>0</v>
      </c>
      <c r="S1133" s="9" t="str">
        <f>_xlfn.TEXTJOIN(", ",TRUE,questions[[#This Row],[ans_opt_1]:[ans_opt_14]])</f>
        <v/>
      </c>
      <c r="AH1133" s="16" t="b">
        <f>INDEX(stable[q_standard],MATCH(questions[[#This Row],[qno]],stable[qno],0))</f>
        <v>1</v>
      </c>
      <c r="AI1133" s="16" t="b">
        <f>INDEX(stable[q_living_income],MATCH(questions[[#This Row],[qno]],stable[qno],0))</f>
        <v>0</v>
      </c>
      <c r="AJ1133" s="16" t="b">
        <f>INDEX(stable[q_carbon],MATCH(questions[[#This Row],[qno]],stable[qno],0))</f>
        <v>0</v>
      </c>
      <c r="AK1133" s="16" t="b">
        <f>INDEX(stable[q_regen_ag],MATCH(questions[[#This Row],[qno]],stable[qno],0))</f>
        <v>0</v>
      </c>
      <c r="AL1133" s="16" t="b">
        <f>COUNTIFS(stable[qno],questions[[#This Row],[qno]])=1</f>
        <v>1</v>
      </c>
      <c r="AM1133" s="16" t="b">
        <f>OR(questions[[#This Row],[is_fixed]],questions[[#This Row],[is_localized]],questions[[#This Row],[is_supply_chain_dependent]])</f>
        <v>1</v>
      </c>
      <c r="AN1133" s="16" t="b">
        <f>COUNTIFS(questions[[#This Row],[is_automated]:[is_multi_select]],TRUE)=1</f>
        <v>1</v>
      </c>
      <c r="AO1133" s="16" t="b">
        <f>IF(questions[[#This Row],[is_fixed]],questions[[#This Row],[question]]=INDEX(stable[question],MATCH(questions[[#This Row],[qno]],stable[qno],0)),TRUE)</f>
        <v>1</v>
      </c>
      <c r="AP1133" s="16" t="str">
        <f>LEFT(questions[[#This Row],[question]],similarity_range)</f>
        <v>Origin</v>
      </c>
      <c r="AQ1133" s="16" t="str">
        <f>LEFT(INDEX(stable[question],MATCH(questions[[#This Row],[qno]],stable[qno],0)),similarity_range)</f>
        <v>Origin</v>
      </c>
      <c r="AR1133" s="16" t="b">
        <f>questions[[#This Row],[question_first_characters]]=questions[[#This Row],[stability_first_characters]]</f>
        <v>1</v>
      </c>
      <c r="AS1133" s="16" t="b">
        <f>IF(OR(questions[[#This Row],[is_single_select]],questions[[#This Row],[is_multi_select]]),NOT(ISBLANK(questions[[#This Row],[answer_opt_combined]])),TRUE)</f>
        <v>1</v>
      </c>
    </row>
    <row r="1134" spans="1:45" ht="15.75" customHeight="1" x14ac:dyDescent="0.25">
      <c r="A1134" s="9" t="str">
        <f>_xlfn.TEXTJOIN("_",TRUE,questions[[#This Row],[origin]:[qno]])</f>
        <v>Kenya_Arabica_Nestle_2025_1001</v>
      </c>
      <c r="B1134" s="33" t="s">
        <v>818</v>
      </c>
      <c r="C1134" s="33" t="s">
        <v>59</v>
      </c>
      <c r="D1134" s="33" t="s">
        <v>819</v>
      </c>
      <c r="E1134" s="33">
        <v>2025</v>
      </c>
      <c r="F1134" s="34" t="s">
        <v>63</v>
      </c>
      <c r="G1134" s="18" t="s">
        <v>64</v>
      </c>
      <c r="H1134" s="9" t="str" cm="1">
        <f t="array" ref="H1134">INDEX(stableR[question],MATCH(VALUE(questions[[#This Row],[qno]]),VALUE(stableR[qno]),0))</f>
        <v>Type</v>
      </c>
      <c r="I1134" s="9" t="b" cm="1">
        <f t="array" ref="I1134">INDEX(stable[is_fixed],MATCH(VALUE(questions[[#This Row],[qno]]),VALUE(stable[qno]),0))</f>
        <v>1</v>
      </c>
      <c r="J1134" s="9" t="b" cm="1">
        <f t="array" ref="J1134">INDEX(stable[is_localized],MATCH(VALUE(questions[[#This Row],[qno]]),VALUE(stable[qno]),0))</f>
        <v>0</v>
      </c>
      <c r="K1134" s="9" t="b" cm="1">
        <f t="array" ref="K1134">INDEX(stable[is_supply_chain_dependent],MATCH(VALUE(questions[[#This Row],[qno]]),VALUE(stable[qno]),0))</f>
        <v>0</v>
      </c>
      <c r="L1134" s="9" t="b" cm="1">
        <f t="array" ref="L1134">INDEX(stable[is_mandatory],MATCH(VALUE(questions[[#This Row],[qno]]),VALUE(stable[qno]),0))</f>
        <v>1</v>
      </c>
      <c r="M1134" s="9" t="b" cm="1">
        <f t="array" ref="M1134">INDEX(stable[is_automated],MATCH(VALUE(questions[[#This Row],[qno]]),VALUE(stable[qno]),0))</f>
        <v>1</v>
      </c>
      <c r="N1134" s="9" t="b" cm="1">
        <f t="array" ref="N1134">INDEX(stable[is_free_text],MATCH(VALUE(questions[[#This Row],[qno]]),VALUE(stable[qno]),0))</f>
        <v>0</v>
      </c>
      <c r="O1134" s="9" t="b" cm="1">
        <f t="array" ref="O1134">INDEX(stable[is_numerical],MATCH(VALUE(questions[[#This Row],[qno]]),VALUE(stable[qno]),0))</f>
        <v>0</v>
      </c>
      <c r="P1134" s="9" t="b" cm="1">
        <f t="array" ref="P1134">INDEX(stable[is_single_select],MATCH(VALUE(questions[[#This Row],[qno]]),VALUE(stable[qno]),0))</f>
        <v>0</v>
      </c>
      <c r="Q1134" s="9" t="b" cm="1">
        <f t="array" ref="Q1134">INDEX(stable[is_multi_select],MATCH(VALUE(questions[[#This Row],[qno]]),VALUE(stable[qno]),0))</f>
        <v>0</v>
      </c>
      <c r="R1134" s="9" t="b" cm="1">
        <f t="array" ref="R1134">INDEX(stable[is_skip_logic],MATCH(VALUE(questions[[#This Row],[qno]]),VALUE(stable[qno]),0))</f>
        <v>0</v>
      </c>
      <c r="S1134" s="9" t="str">
        <f>_xlfn.TEXTJOIN(", ",TRUE,questions[[#This Row],[ans_opt_1]:[ans_opt_14]])</f>
        <v/>
      </c>
      <c r="AH1134" s="16" t="b">
        <f>INDEX(stable[q_standard],MATCH(questions[[#This Row],[qno]],stable[qno],0))</f>
        <v>1</v>
      </c>
      <c r="AI1134" s="16" t="b">
        <f>INDEX(stable[q_living_income],MATCH(questions[[#This Row],[qno]],stable[qno],0))</f>
        <v>0</v>
      </c>
      <c r="AJ1134" s="16" t="b">
        <f>INDEX(stable[q_carbon],MATCH(questions[[#This Row],[qno]],stable[qno],0))</f>
        <v>0</v>
      </c>
      <c r="AK1134" s="16" t="b">
        <f>INDEX(stable[q_regen_ag],MATCH(questions[[#This Row],[qno]],stable[qno],0))</f>
        <v>0</v>
      </c>
      <c r="AL1134" s="16" t="b">
        <f>COUNTIFS(stable[qno],questions[[#This Row],[qno]])=1</f>
        <v>1</v>
      </c>
      <c r="AM1134" s="16" t="b">
        <f>OR(questions[[#This Row],[is_fixed]],questions[[#This Row],[is_localized]],questions[[#This Row],[is_supply_chain_dependent]])</f>
        <v>1</v>
      </c>
      <c r="AN1134" s="16" t="b">
        <f>COUNTIFS(questions[[#This Row],[is_automated]:[is_multi_select]],TRUE)=1</f>
        <v>1</v>
      </c>
      <c r="AO1134" s="16" t="b">
        <f>IF(questions[[#This Row],[is_fixed]],questions[[#This Row],[question]]=INDEX(stable[question],MATCH(questions[[#This Row],[qno]],stable[qno],0)),TRUE)</f>
        <v>1</v>
      </c>
      <c r="AP1134" s="16" t="str">
        <f>LEFT(questions[[#This Row],[question]],similarity_range)</f>
        <v>Type</v>
      </c>
      <c r="AQ1134" s="16" t="str">
        <f>LEFT(INDEX(stable[question],MATCH(questions[[#This Row],[qno]],stable[qno],0)),similarity_range)</f>
        <v>Type</v>
      </c>
      <c r="AR1134" s="16" t="b">
        <f>questions[[#This Row],[question_first_characters]]=questions[[#This Row],[stability_first_characters]]</f>
        <v>1</v>
      </c>
      <c r="AS1134" s="16" t="b">
        <f>IF(OR(questions[[#This Row],[is_single_select]],questions[[#This Row],[is_multi_select]]),NOT(ISBLANK(questions[[#This Row],[answer_opt_combined]])),TRUE)</f>
        <v>1</v>
      </c>
    </row>
    <row r="1135" spans="1:45" ht="15.75" customHeight="1" x14ac:dyDescent="0.25">
      <c r="A1135" s="9" t="str">
        <f>_xlfn.TEXTJOIN("_",TRUE,questions[[#This Row],[origin]:[qno]])</f>
        <v>Kenya_Arabica_Nestle_2025_1002</v>
      </c>
      <c r="B1135" s="33" t="s">
        <v>818</v>
      </c>
      <c r="C1135" s="33" t="s">
        <v>59</v>
      </c>
      <c r="D1135" s="33" t="s">
        <v>819</v>
      </c>
      <c r="E1135" s="33">
        <v>2025</v>
      </c>
      <c r="F1135" s="34" t="s">
        <v>65</v>
      </c>
      <c r="G1135" s="18" t="s">
        <v>66</v>
      </c>
      <c r="H1135" s="9" t="str" cm="1">
        <f t="array" ref="H1135">INDEX(stableR[question],MATCH(VALUE(questions[[#This Row],[qno]]),VALUE(stableR[qno]),0))</f>
        <v>Supply chain</v>
      </c>
      <c r="I1135" s="9" t="b" cm="1">
        <f t="array" ref="I1135">INDEX(stable[is_fixed],MATCH(VALUE(questions[[#This Row],[qno]]),VALUE(stable[qno]),0))</f>
        <v>1</v>
      </c>
      <c r="J1135" s="9" t="b" cm="1">
        <f t="array" ref="J1135">INDEX(stable[is_localized],MATCH(VALUE(questions[[#This Row],[qno]]),VALUE(stable[qno]),0))</f>
        <v>0</v>
      </c>
      <c r="K1135" s="9" t="b" cm="1">
        <f t="array" ref="K1135">INDEX(stable[is_supply_chain_dependent],MATCH(VALUE(questions[[#This Row],[qno]]),VALUE(stable[qno]),0))</f>
        <v>0</v>
      </c>
      <c r="L1135" s="9" t="b" cm="1">
        <f t="array" ref="L1135">INDEX(stable[is_mandatory],MATCH(VALUE(questions[[#This Row],[qno]]),VALUE(stable[qno]),0))</f>
        <v>1</v>
      </c>
      <c r="M1135" s="9" t="b" cm="1">
        <f t="array" ref="M1135">INDEX(stable[is_automated],MATCH(VALUE(questions[[#This Row],[qno]]),VALUE(stable[qno]),0))</f>
        <v>1</v>
      </c>
      <c r="N1135" s="9" t="b" cm="1">
        <f t="array" ref="N1135">INDEX(stable[is_free_text],MATCH(VALUE(questions[[#This Row],[qno]]),VALUE(stable[qno]),0))</f>
        <v>0</v>
      </c>
      <c r="O1135" s="9" t="b" cm="1">
        <f t="array" ref="O1135">INDEX(stable[is_numerical],MATCH(VALUE(questions[[#This Row],[qno]]),VALUE(stable[qno]),0))</f>
        <v>0</v>
      </c>
      <c r="P1135" s="9" t="b" cm="1">
        <f t="array" ref="P1135">INDEX(stable[is_single_select],MATCH(VALUE(questions[[#This Row],[qno]]),VALUE(stable[qno]),0))</f>
        <v>0</v>
      </c>
      <c r="Q1135" s="9" t="b" cm="1">
        <f t="array" ref="Q1135">INDEX(stable[is_multi_select],MATCH(VALUE(questions[[#This Row],[qno]]),VALUE(stable[qno]),0))</f>
        <v>0</v>
      </c>
      <c r="R1135" s="9" t="b" cm="1">
        <f t="array" ref="R1135">INDEX(stable[is_skip_logic],MATCH(VALUE(questions[[#This Row],[qno]]),VALUE(stable[qno]),0))</f>
        <v>0</v>
      </c>
      <c r="S1135" s="9" t="str">
        <f>_xlfn.TEXTJOIN(", ",TRUE,questions[[#This Row],[ans_opt_1]:[ans_opt_14]])</f>
        <v/>
      </c>
      <c r="AH1135" s="16" t="b">
        <f>INDEX(stable[q_standard],MATCH(questions[[#This Row],[qno]],stable[qno],0))</f>
        <v>1</v>
      </c>
      <c r="AI1135" s="16" t="b">
        <f>INDEX(stable[q_living_income],MATCH(questions[[#This Row],[qno]],stable[qno],0))</f>
        <v>0</v>
      </c>
      <c r="AJ1135" s="16" t="b">
        <f>INDEX(stable[q_carbon],MATCH(questions[[#This Row],[qno]],stable[qno],0))</f>
        <v>0</v>
      </c>
      <c r="AK1135" s="16" t="b">
        <f>INDEX(stable[q_regen_ag],MATCH(questions[[#This Row],[qno]],stable[qno],0))</f>
        <v>0</v>
      </c>
      <c r="AL1135" s="16" t="b">
        <f>COUNTIFS(stable[qno],questions[[#This Row],[qno]])=1</f>
        <v>1</v>
      </c>
      <c r="AM1135" s="16" t="b">
        <f>OR(questions[[#This Row],[is_fixed]],questions[[#This Row],[is_localized]],questions[[#This Row],[is_supply_chain_dependent]])</f>
        <v>1</v>
      </c>
      <c r="AN1135" s="16" t="b">
        <f>COUNTIFS(questions[[#This Row],[is_automated]:[is_multi_select]],TRUE)=1</f>
        <v>1</v>
      </c>
      <c r="AO1135" s="16" t="b">
        <f>IF(questions[[#This Row],[is_fixed]],questions[[#This Row],[question]]=INDEX(stable[question],MATCH(questions[[#This Row],[qno]],stable[qno],0)),TRUE)</f>
        <v>1</v>
      </c>
      <c r="AP1135" s="16" t="str">
        <f>LEFT(questions[[#This Row],[question]],similarity_range)</f>
        <v>Supply chain</v>
      </c>
      <c r="AQ1135" s="16" t="str">
        <f>LEFT(INDEX(stable[question],MATCH(questions[[#This Row],[qno]],stable[qno],0)),similarity_range)</f>
        <v>Supply chain</v>
      </c>
      <c r="AR1135" s="16" t="b">
        <f>questions[[#This Row],[question_first_characters]]=questions[[#This Row],[stability_first_characters]]</f>
        <v>1</v>
      </c>
      <c r="AS1135" s="16" t="b">
        <f>IF(OR(questions[[#This Row],[is_single_select]],questions[[#This Row],[is_multi_select]]),NOT(ISBLANK(questions[[#This Row],[answer_opt_combined]])),TRUE)</f>
        <v>1</v>
      </c>
    </row>
    <row r="1136" spans="1:45" ht="15.75" customHeight="1" x14ac:dyDescent="0.25">
      <c r="A1136" s="9" t="str">
        <f>_xlfn.TEXTJOIN("_",TRUE,questions[[#This Row],[origin]:[qno]])</f>
        <v>Kenya_Arabica_Nestle_2025_1003</v>
      </c>
      <c r="B1136" s="33" t="s">
        <v>818</v>
      </c>
      <c r="C1136" s="33" t="s">
        <v>59</v>
      </c>
      <c r="D1136" s="33" t="s">
        <v>819</v>
      </c>
      <c r="E1136" s="33">
        <v>2025</v>
      </c>
      <c r="F1136" s="34" t="s">
        <v>67</v>
      </c>
      <c r="G1136" s="18" t="s">
        <v>68</v>
      </c>
      <c r="H1136" s="9" t="str" cm="1">
        <f t="array" ref="H1136">INDEX(stableR[question],MATCH(VALUE(questions[[#This Row],[qno]]),VALUE(stableR[qno]),0))</f>
        <v>Year</v>
      </c>
      <c r="I1136" s="9" t="b" cm="1">
        <f t="array" ref="I1136">INDEX(stable[is_fixed],MATCH(VALUE(questions[[#This Row],[qno]]),VALUE(stable[qno]),0))</f>
        <v>1</v>
      </c>
      <c r="J1136" s="9" t="b" cm="1">
        <f t="array" ref="J1136">INDEX(stable[is_localized],MATCH(VALUE(questions[[#This Row],[qno]]),VALUE(stable[qno]),0))</f>
        <v>0</v>
      </c>
      <c r="K1136" s="9" t="b" cm="1">
        <f t="array" ref="K1136">INDEX(stable[is_supply_chain_dependent],MATCH(VALUE(questions[[#This Row],[qno]]),VALUE(stable[qno]),0))</f>
        <v>0</v>
      </c>
      <c r="L1136" s="9" t="b" cm="1">
        <f t="array" ref="L1136">INDEX(stable[is_mandatory],MATCH(VALUE(questions[[#This Row],[qno]]),VALUE(stable[qno]),0))</f>
        <v>1</v>
      </c>
      <c r="M1136" s="9" t="b" cm="1">
        <f t="array" ref="M1136">INDEX(stable[is_automated],MATCH(VALUE(questions[[#This Row],[qno]]),VALUE(stable[qno]),0))</f>
        <v>1</v>
      </c>
      <c r="N1136" s="9" t="b" cm="1">
        <f t="array" ref="N1136">INDEX(stable[is_free_text],MATCH(VALUE(questions[[#This Row],[qno]]),VALUE(stable[qno]),0))</f>
        <v>0</v>
      </c>
      <c r="O1136" s="9" t="b" cm="1">
        <f t="array" ref="O1136">INDEX(stable[is_numerical],MATCH(VALUE(questions[[#This Row],[qno]]),VALUE(stable[qno]),0))</f>
        <v>0</v>
      </c>
      <c r="P1136" s="9" t="b" cm="1">
        <f t="array" ref="P1136">INDEX(stable[is_single_select],MATCH(VALUE(questions[[#This Row],[qno]]),VALUE(stable[qno]),0))</f>
        <v>0</v>
      </c>
      <c r="Q1136" s="9" t="b" cm="1">
        <f t="array" ref="Q1136">INDEX(stable[is_multi_select],MATCH(VALUE(questions[[#This Row],[qno]]),VALUE(stable[qno]),0))</f>
        <v>0</v>
      </c>
      <c r="R1136" s="9" t="b" cm="1">
        <f t="array" ref="R1136">INDEX(stable[is_skip_logic],MATCH(VALUE(questions[[#This Row],[qno]]),VALUE(stable[qno]),0))</f>
        <v>0</v>
      </c>
      <c r="S1136" s="9" t="str">
        <f>_xlfn.TEXTJOIN(", ",TRUE,questions[[#This Row],[ans_opt_1]:[ans_opt_14]])</f>
        <v/>
      </c>
      <c r="AH1136" s="16" t="b">
        <f>INDEX(stable[q_standard],MATCH(questions[[#This Row],[qno]],stable[qno],0))</f>
        <v>1</v>
      </c>
      <c r="AI1136" s="16" t="b">
        <f>INDEX(stable[q_living_income],MATCH(questions[[#This Row],[qno]],stable[qno],0))</f>
        <v>0</v>
      </c>
      <c r="AJ1136" s="16" t="b">
        <f>INDEX(stable[q_carbon],MATCH(questions[[#This Row],[qno]],stable[qno],0))</f>
        <v>0</v>
      </c>
      <c r="AK1136" s="16" t="b">
        <f>INDEX(stable[q_regen_ag],MATCH(questions[[#This Row],[qno]],stable[qno],0))</f>
        <v>0</v>
      </c>
      <c r="AL1136" s="16" t="b">
        <f>COUNTIFS(stable[qno],questions[[#This Row],[qno]])=1</f>
        <v>1</v>
      </c>
      <c r="AM1136" s="16" t="b">
        <f>OR(questions[[#This Row],[is_fixed]],questions[[#This Row],[is_localized]],questions[[#This Row],[is_supply_chain_dependent]])</f>
        <v>1</v>
      </c>
      <c r="AN1136" s="16" t="b">
        <f>COUNTIFS(questions[[#This Row],[is_automated]:[is_multi_select]],TRUE)=1</f>
        <v>1</v>
      </c>
      <c r="AO1136" s="16" t="b">
        <f>IF(questions[[#This Row],[is_fixed]],questions[[#This Row],[question]]=INDEX(stable[question],MATCH(questions[[#This Row],[qno]],stable[qno],0)),TRUE)</f>
        <v>1</v>
      </c>
      <c r="AP1136" s="16" t="str">
        <f>LEFT(questions[[#This Row],[question]],similarity_range)</f>
        <v>Year</v>
      </c>
      <c r="AQ1136" s="16" t="str">
        <f>LEFT(INDEX(stable[question],MATCH(questions[[#This Row],[qno]],stable[qno],0)),similarity_range)</f>
        <v>Year</v>
      </c>
      <c r="AR1136" s="16" t="b">
        <f>questions[[#This Row],[question_first_characters]]=questions[[#This Row],[stability_first_characters]]</f>
        <v>1</v>
      </c>
      <c r="AS1136" s="16" t="b">
        <f>IF(OR(questions[[#This Row],[is_single_select]],questions[[#This Row],[is_multi_select]]),NOT(ISBLANK(questions[[#This Row],[answer_opt_combined]])),TRUE)</f>
        <v>1</v>
      </c>
    </row>
    <row r="1137" spans="1:45" ht="15.75" customHeight="1" x14ac:dyDescent="0.25">
      <c r="A1137" s="9" t="str">
        <f>_xlfn.TEXTJOIN("_",TRUE,questions[[#This Row],[origin]:[qno]])</f>
        <v>Kenya_Arabica_Nestle_2025_1104</v>
      </c>
      <c r="B1137" s="33" t="s">
        <v>818</v>
      </c>
      <c r="C1137" s="33" t="s">
        <v>59</v>
      </c>
      <c r="D1137" s="33" t="s">
        <v>819</v>
      </c>
      <c r="E1137" s="33">
        <v>2025</v>
      </c>
      <c r="F1137" s="34" t="s">
        <v>69</v>
      </c>
      <c r="G1137" s="18" t="s">
        <v>70</v>
      </c>
      <c r="H1137" s="9" t="str" cm="1">
        <f t="array" ref="H1137">INDEX(stableR[question],MATCH(VALUE(questions[[#This Row],[qno]]),VALUE(stableR[qno]),0))</f>
        <v>Managed by</v>
      </c>
      <c r="I1137" s="9" t="b" cm="1">
        <f t="array" ref="I1137">INDEX(stable[is_fixed],MATCH(VALUE(questions[[#This Row],[qno]]),VALUE(stable[qno]),0))</f>
        <v>1</v>
      </c>
      <c r="J1137" s="9" t="b" cm="1">
        <f t="array" ref="J1137">INDEX(stable[is_localized],MATCH(VALUE(questions[[#This Row],[qno]]),VALUE(stable[qno]),0))</f>
        <v>0</v>
      </c>
      <c r="K1137" s="9" t="b" cm="1">
        <f t="array" ref="K1137">INDEX(stable[is_supply_chain_dependent],MATCH(VALUE(questions[[#This Row],[qno]]),VALUE(stable[qno]),0))</f>
        <v>0</v>
      </c>
      <c r="L1137" s="9" t="b" cm="1">
        <f t="array" ref="L1137">INDEX(stable[is_mandatory],MATCH(VALUE(questions[[#This Row],[qno]]),VALUE(stable[qno]),0))</f>
        <v>1</v>
      </c>
      <c r="M1137" s="9" t="b" cm="1">
        <f t="array" ref="M1137">INDEX(stable[is_automated],MATCH(VALUE(questions[[#This Row],[qno]]),VALUE(stable[qno]),0))</f>
        <v>1</v>
      </c>
      <c r="N1137" s="9" t="b" cm="1">
        <f t="array" ref="N1137">INDEX(stable[is_free_text],MATCH(VALUE(questions[[#This Row],[qno]]),VALUE(stable[qno]),0))</f>
        <v>0</v>
      </c>
      <c r="O1137" s="9" t="b" cm="1">
        <f t="array" ref="O1137">INDEX(stable[is_numerical],MATCH(VALUE(questions[[#This Row],[qno]]),VALUE(stable[qno]),0))</f>
        <v>0</v>
      </c>
      <c r="P1137" s="9" t="b" cm="1">
        <f t="array" ref="P1137">INDEX(stable[is_single_select],MATCH(VALUE(questions[[#This Row],[qno]]),VALUE(stable[qno]),0))</f>
        <v>0</v>
      </c>
      <c r="Q1137" s="9" t="b" cm="1">
        <f t="array" ref="Q1137">INDEX(stable[is_multi_select],MATCH(VALUE(questions[[#This Row],[qno]]),VALUE(stable[qno]),0))</f>
        <v>0</v>
      </c>
      <c r="R1137" s="9" t="b" cm="1">
        <f t="array" ref="R1137">INDEX(stable[is_skip_logic],MATCH(VALUE(questions[[#This Row],[qno]]),VALUE(stable[qno]),0))</f>
        <v>0</v>
      </c>
      <c r="S1137" s="9" t="str">
        <f>_xlfn.TEXTJOIN(", ",TRUE,questions[[#This Row],[ans_opt_1]:[ans_opt_14]])</f>
        <v/>
      </c>
      <c r="AH1137" s="16" t="b">
        <f>INDEX(stable[q_standard],MATCH(questions[[#This Row],[qno]],stable[qno],0))</f>
        <v>1</v>
      </c>
      <c r="AI1137" s="16" t="b">
        <f>INDEX(stable[q_living_income],MATCH(questions[[#This Row],[qno]],stable[qno],0))</f>
        <v>0</v>
      </c>
      <c r="AJ1137" s="16" t="b">
        <f>INDEX(stable[q_carbon],MATCH(questions[[#This Row],[qno]],stable[qno],0))</f>
        <v>0</v>
      </c>
      <c r="AK1137" s="16" t="b">
        <f>INDEX(stable[q_regen_ag],MATCH(questions[[#This Row],[qno]],stable[qno],0))</f>
        <v>0</v>
      </c>
      <c r="AL1137" s="16" t="b">
        <f>COUNTIFS(stable[qno],questions[[#This Row],[qno]])=1</f>
        <v>1</v>
      </c>
      <c r="AM1137" s="16" t="b">
        <f>OR(questions[[#This Row],[is_fixed]],questions[[#This Row],[is_localized]],questions[[#This Row],[is_supply_chain_dependent]])</f>
        <v>1</v>
      </c>
      <c r="AN1137" s="16" t="b">
        <f>COUNTIFS(questions[[#This Row],[is_automated]:[is_multi_select]],TRUE)=1</f>
        <v>1</v>
      </c>
      <c r="AO1137" s="16" t="b">
        <f>IF(questions[[#This Row],[is_fixed]],questions[[#This Row],[question]]=INDEX(stable[question],MATCH(questions[[#This Row],[qno]],stable[qno],0)),TRUE)</f>
        <v>1</v>
      </c>
      <c r="AP1137" s="16" t="str">
        <f>LEFT(questions[[#This Row],[question]],similarity_range)</f>
        <v>Managed by</v>
      </c>
      <c r="AQ1137" s="16" t="str">
        <f>LEFT(INDEX(stable[question],MATCH(questions[[#This Row],[qno]],stable[qno],0)),similarity_range)</f>
        <v>Managed by</v>
      </c>
      <c r="AR1137" s="16" t="b">
        <f>questions[[#This Row],[question_first_characters]]=questions[[#This Row],[stability_first_characters]]</f>
        <v>1</v>
      </c>
      <c r="AS1137" s="16" t="b">
        <f>IF(OR(questions[[#This Row],[is_single_select]],questions[[#This Row],[is_multi_select]]),NOT(ISBLANK(questions[[#This Row],[answer_opt_combined]])),TRUE)</f>
        <v>1</v>
      </c>
    </row>
    <row r="1138" spans="1:45" ht="15.75" customHeight="1" x14ac:dyDescent="0.25">
      <c r="A1138" s="9" t="str">
        <f>_xlfn.TEXTJOIN("_",TRUE,questions[[#This Row],[origin]:[qno]])</f>
        <v>Kenya_Arabica_Nestle_2025_1105</v>
      </c>
      <c r="B1138" s="33" t="s">
        <v>818</v>
      </c>
      <c r="C1138" s="33" t="s">
        <v>59</v>
      </c>
      <c r="D1138" s="33" t="s">
        <v>819</v>
      </c>
      <c r="E1138" s="33">
        <v>2025</v>
      </c>
      <c r="F1138" s="34" t="s">
        <v>71</v>
      </c>
      <c r="G1138" s="18" t="s">
        <v>72</v>
      </c>
      <c r="H1138" s="9" t="str" cm="1">
        <f t="array" ref="H1138">INDEX(stableR[question],MATCH(VALUE(questions[[#This Row],[qno]]),VALUE(stableR[qno]),0))</f>
        <v>Field staff(s)</v>
      </c>
      <c r="I1138" s="9" t="b" cm="1">
        <f t="array" ref="I1138">INDEX(stable[is_fixed],MATCH(VALUE(questions[[#This Row],[qno]]),VALUE(stable[qno]),0))</f>
        <v>1</v>
      </c>
      <c r="J1138" s="9" t="b" cm="1">
        <f t="array" ref="J1138">INDEX(stable[is_localized],MATCH(VALUE(questions[[#This Row],[qno]]),VALUE(stable[qno]),0))</f>
        <v>0</v>
      </c>
      <c r="K1138" s="9" t="b" cm="1">
        <f t="array" ref="K1138">INDEX(stable[is_supply_chain_dependent],MATCH(VALUE(questions[[#This Row],[qno]]),VALUE(stable[qno]),0))</f>
        <v>0</v>
      </c>
      <c r="L1138" s="9" t="b" cm="1">
        <f t="array" ref="L1138">INDEX(stable[is_mandatory],MATCH(VALUE(questions[[#This Row],[qno]]),VALUE(stable[qno]),0))</f>
        <v>1</v>
      </c>
      <c r="M1138" s="9" t="b" cm="1">
        <f t="array" ref="M1138">INDEX(stable[is_automated],MATCH(VALUE(questions[[#This Row],[qno]]),VALUE(stable[qno]),0))</f>
        <v>1</v>
      </c>
      <c r="N1138" s="9" t="b" cm="1">
        <f t="array" ref="N1138">INDEX(stable[is_free_text],MATCH(VALUE(questions[[#This Row],[qno]]),VALUE(stable[qno]),0))</f>
        <v>0</v>
      </c>
      <c r="O1138" s="9" t="b" cm="1">
        <f t="array" ref="O1138">INDEX(stable[is_numerical],MATCH(VALUE(questions[[#This Row],[qno]]),VALUE(stable[qno]),0))</f>
        <v>0</v>
      </c>
      <c r="P1138" s="9" t="b" cm="1">
        <f t="array" ref="P1138">INDEX(stable[is_single_select],MATCH(VALUE(questions[[#This Row],[qno]]),VALUE(stable[qno]),0))</f>
        <v>0</v>
      </c>
      <c r="Q1138" s="9" t="b" cm="1">
        <f t="array" ref="Q1138">INDEX(stable[is_multi_select],MATCH(VALUE(questions[[#This Row],[qno]]),VALUE(stable[qno]),0))</f>
        <v>0</v>
      </c>
      <c r="R1138" s="9" t="b" cm="1">
        <f t="array" ref="R1138">INDEX(stable[is_skip_logic],MATCH(VALUE(questions[[#This Row],[qno]]),VALUE(stable[qno]),0))</f>
        <v>0</v>
      </c>
      <c r="S1138" s="9" t="str">
        <f>_xlfn.TEXTJOIN(", ",TRUE,questions[[#This Row],[ans_opt_1]:[ans_opt_14]])</f>
        <v/>
      </c>
      <c r="AH1138" s="16" t="b">
        <f>INDEX(stable[q_standard],MATCH(questions[[#This Row],[qno]],stable[qno],0))</f>
        <v>1</v>
      </c>
      <c r="AI1138" s="16" t="b">
        <f>INDEX(stable[q_living_income],MATCH(questions[[#This Row],[qno]],stable[qno],0))</f>
        <v>0</v>
      </c>
      <c r="AJ1138" s="16" t="b">
        <f>INDEX(stable[q_carbon],MATCH(questions[[#This Row],[qno]],stable[qno],0))</f>
        <v>0</v>
      </c>
      <c r="AK1138" s="16" t="b">
        <f>INDEX(stable[q_regen_ag],MATCH(questions[[#This Row],[qno]],stable[qno],0))</f>
        <v>0</v>
      </c>
      <c r="AL1138" s="16" t="b">
        <f>COUNTIFS(stable[qno],questions[[#This Row],[qno]])=1</f>
        <v>1</v>
      </c>
      <c r="AM1138" s="16" t="b">
        <f>OR(questions[[#This Row],[is_fixed]],questions[[#This Row],[is_localized]],questions[[#This Row],[is_supply_chain_dependent]])</f>
        <v>1</v>
      </c>
      <c r="AN1138" s="16" t="b">
        <f>COUNTIFS(questions[[#This Row],[is_automated]:[is_multi_select]],TRUE)=1</f>
        <v>1</v>
      </c>
      <c r="AO1138" s="16" t="b">
        <f>IF(questions[[#This Row],[is_fixed]],questions[[#This Row],[question]]=INDEX(stable[question],MATCH(questions[[#This Row],[qno]],stable[qno],0)),TRUE)</f>
        <v>1</v>
      </c>
      <c r="AP1138" s="16" t="str">
        <f>LEFT(questions[[#This Row],[question]],similarity_range)</f>
        <v>Field staff(s)</v>
      </c>
      <c r="AQ1138" s="16" t="str">
        <f>LEFT(INDEX(stable[question],MATCH(questions[[#This Row],[qno]],stable[qno],0)),similarity_range)</f>
        <v>Field staff(s)</v>
      </c>
      <c r="AR1138" s="16" t="b">
        <f>questions[[#This Row],[question_first_characters]]=questions[[#This Row],[stability_first_characters]]</f>
        <v>1</v>
      </c>
      <c r="AS1138" s="16" t="b">
        <f>IF(OR(questions[[#This Row],[is_single_select]],questions[[#This Row],[is_multi_select]]),NOT(ISBLANK(questions[[#This Row],[answer_opt_combined]])),TRUE)</f>
        <v>1</v>
      </c>
    </row>
    <row r="1139" spans="1:45" ht="15.75" customHeight="1" x14ac:dyDescent="0.25">
      <c r="A1139" s="9" t="str">
        <f>_xlfn.TEXTJOIN("_",TRUE,questions[[#This Row],[origin]:[qno]])</f>
        <v>Kenya_Arabica_Nestle_2025_1106</v>
      </c>
      <c r="B1139" s="33" t="s">
        <v>818</v>
      </c>
      <c r="C1139" s="33" t="s">
        <v>59</v>
      </c>
      <c r="D1139" s="33" t="s">
        <v>819</v>
      </c>
      <c r="E1139" s="33">
        <v>2025</v>
      </c>
      <c r="F1139" s="34" t="s">
        <v>73</v>
      </c>
      <c r="G1139" s="18" t="s">
        <v>74</v>
      </c>
      <c r="H1139" s="9" t="str" cm="1">
        <f t="array" ref="H1139">INDEX(stableR[question],MATCH(VALUE(questions[[#This Row],[qno]]),VALUE(stableR[qno]),0))</f>
        <v>Completion Date</v>
      </c>
      <c r="I1139" s="9" t="b" cm="1">
        <f t="array" ref="I1139">INDEX(stable[is_fixed],MATCH(VALUE(questions[[#This Row],[qno]]),VALUE(stable[qno]),0))</f>
        <v>1</v>
      </c>
      <c r="J1139" s="9" t="b" cm="1">
        <f t="array" ref="J1139">INDEX(stable[is_localized],MATCH(VALUE(questions[[#This Row],[qno]]),VALUE(stable[qno]),0))</f>
        <v>0</v>
      </c>
      <c r="K1139" s="9" t="b" cm="1">
        <f t="array" ref="K1139">INDEX(stable[is_supply_chain_dependent],MATCH(VALUE(questions[[#This Row],[qno]]),VALUE(stable[qno]),0))</f>
        <v>0</v>
      </c>
      <c r="L1139" s="9" t="b" cm="1">
        <f t="array" ref="L1139">INDEX(stable[is_mandatory],MATCH(VALUE(questions[[#This Row],[qno]]),VALUE(stable[qno]),0))</f>
        <v>1</v>
      </c>
      <c r="M1139" s="9" t="b" cm="1">
        <f t="array" ref="M1139">INDEX(stable[is_automated],MATCH(VALUE(questions[[#This Row],[qno]]),VALUE(stable[qno]),0))</f>
        <v>1</v>
      </c>
      <c r="N1139" s="9" t="b" cm="1">
        <f t="array" ref="N1139">INDEX(stable[is_free_text],MATCH(VALUE(questions[[#This Row],[qno]]),VALUE(stable[qno]),0))</f>
        <v>0</v>
      </c>
      <c r="O1139" s="9" t="b" cm="1">
        <f t="array" ref="O1139">INDEX(stable[is_numerical],MATCH(VALUE(questions[[#This Row],[qno]]),VALUE(stable[qno]),0))</f>
        <v>0</v>
      </c>
      <c r="P1139" s="9" t="b" cm="1">
        <f t="array" ref="P1139">INDEX(stable[is_single_select],MATCH(VALUE(questions[[#This Row],[qno]]),VALUE(stable[qno]),0))</f>
        <v>0</v>
      </c>
      <c r="Q1139" s="9" t="b" cm="1">
        <f t="array" ref="Q1139">INDEX(stable[is_multi_select],MATCH(VALUE(questions[[#This Row],[qno]]),VALUE(stable[qno]),0))</f>
        <v>0</v>
      </c>
      <c r="R1139" s="9" t="b" cm="1">
        <f t="array" ref="R1139">INDEX(stable[is_skip_logic],MATCH(VALUE(questions[[#This Row],[qno]]),VALUE(stable[qno]),0))</f>
        <v>0</v>
      </c>
      <c r="S1139" s="9" t="str">
        <f>_xlfn.TEXTJOIN(", ",TRUE,questions[[#This Row],[ans_opt_1]:[ans_opt_14]])</f>
        <v/>
      </c>
      <c r="AH1139" s="16" t="b">
        <f>INDEX(stable[q_standard],MATCH(questions[[#This Row],[qno]],stable[qno],0))</f>
        <v>1</v>
      </c>
      <c r="AI1139" s="16" t="b">
        <f>INDEX(stable[q_living_income],MATCH(questions[[#This Row],[qno]],stable[qno],0))</f>
        <v>0</v>
      </c>
      <c r="AJ1139" s="16" t="b">
        <f>INDEX(stable[q_carbon],MATCH(questions[[#This Row],[qno]],stable[qno],0))</f>
        <v>0</v>
      </c>
      <c r="AK1139" s="16" t="b">
        <f>INDEX(stable[q_regen_ag],MATCH(questions[[#This Row],[qno]],stable[qno],0))</f>
        <v>0</v>
      </c>
      <c r="AL1139" s="16" t="b">
        <f>COUNTIFS(stable[qno],questions[[#This Row],[qno]])=1</f>
        <v>1</v>
      </c>
      <c r="AM1139" s="16" t="b">
        <f>OR(questions[[#This Row],[is_fixed]],questions[[#This Row],[is_localized]],questions[[#This Row],[is_supply_chain_dependent]])</f>
        <v>1</v>
      </c>
      <c r="AN1139" s="16" t="b">
        <f>COUNTIFS(questions[[#This Row],[is_automated]:[is_multi_select]],TRUE)=1</f>
        <v>1</v>
      </c>
      <c r="AO1139" s="16" t="b">
        <f>IF(questions[[#This Row],[is_fixed]],questions[[#This Row],[question]]=INDEX(stable[question],MATCH(questions[[#This Row],[qno]],stable[qno],0)),TRUE)</f>
        <v>1</v>
      </c>
      <c r="AP1139" s="16" t="str">
        <f>LEFT(questions[[#This Row],[question]],similarity_range)</f>
        <v>Completion Date</v>
      </c>
      <c r="AQ1139" s="16" t="str">
        <f>LEFT(INDEX(stable[question],MATCH(questions[[#This Row],[qno]],stable[qno],0)),similarity_range)</f>
        <v>Completion Date</v>
      </c>
      <c r="AR1139" s="16" t="b">
        <f>questions[[#This Row],[question_first_characters]]=questions[[#This Row],[stability_first_characters]]</f>
        <v>1</v>
      </c>
      <c r="AS1139" s="16" t="b">
        <f>IF(OR(questions[[#This Row],[is_single_select]],questions[[#This Row],[is_multi_select]]),NOT(ISBLANK(questions[[#This Row],[answer_opt_combined]])),TRUE)</f>
        <v>1</v>
      </c>
    </row>
    <row r="1140" spans="1:45" ht="15.75" customHeight="1" x14ac:dyDescent="0.25">
      <c r="A1140" s="9" t="str">
        <f>_xlfn.TEXTJOIN("_",TRUE,questions[[#This Row],[origin]:[qno]])</f>
        <v>Kenya_Arabica_Nestle_2025_1110</v>
      </c>
      <c r="B1140" s="33" t="s">
        <v>818</v>
      </c>
      <c r="C1140" s="33" t="s">
        <v>59</v>
      </c>
      <c r="D1140" s="33" t="s">
        <v>819</v>
      </c>
      <c r="E1140" s="33">
        <v>2025</v>
      </c>
      <c r="F1140" s="34" t="s">
        <v>75</v>
      </c>
      <c r="G1140" s="18" t="s">
        <v>76</v>
      </c>
      <c r="H1140" s="9" t="str" cm="1">
        <f t="array" ref="H1140">INDEX(stableR[question],MATCH(VALUE(questions[[#This Row],[qno]]),VALUE(stableR[qno]),0))</f>
        <v>Approved / Rejected By</v>
      </c>
      <c r="I1140" s="9" t="b" cm="1">
        <f t="array" ref="I1140">INDEX(stable[is_fixed],MATCH(VALUE(questions[[#This Row],[qno]]),VALUE(stable[qno]),0))</f>
        <v>1</v>
      </c>
      <c r="J1140" s="9" t="b" cm="1">
        <f t="array" ref="J1140">INDEX(stable[is_localized],MATCH(VALUE(questions[[#This Row],[qno]]),VALUE(stable[qno]),0))</f>
        <v>0</v>
      </c>
      <c r="K1140" s="9" t="b" cm="1">
        <f t="array" ref="K1140">INDEX(stable[is_supply_chain_dependent],MATCH(VALUE(questions[[#This Row],[qno]]),VALUE(stable[qno]),0))</f>
        <v>0</v>
      </c>
      <c r="L1140" s="9" t="b" cm="1">
        <f t="array" ref="L1140">INDEX(stable[is_mandatory],MATCH(VALUE(questions[[#This Row],[qno]]),VALUE(stable[qno]),0))</f>
        <v>1</v>
      </c>
      <c r="M1140" s="9" t="b" cm="1">
        <f t="array" ref="M1140">INDEX(stable[is_automated],MATCH(VALUE(questions[[#This Row],[qno]]),VALUE(stable[qno]),0))</f>
        <v>1</v>
      </c>
      <c r="N1140" s="9" t="b" cm="1">
        <f t="array" ref="N1140">INDEX(stable[is_free_text],MATCH(VALUE(questions[[#This Row],[qno]]),VALUE(stable[qno]),0))</f>
        <v>0</v>
      </c>
      <c r="O1140" s="9" t="b" cm="1">
        <f t="array" ref="O1140">INDEX(stable[is_numerical],MATCH(VALUE(questions[[#This Row],[qno]]),VALUE(stable[qno]),0))</f>
        <v>0</v>
      </c>
      <c r="P1140" s="9" t="b" cm="1">
        <f t="array" ref="P1140">INDEX(stable[is_single_select],MATCH(VALUE(questions[[#This Row],[qno]]),VALUE(stable[qno]),0))</f>
        <v>0</v>
      </c>
      <c r="Q1140" s="9" t="b" cm="1">
        <f t="array" ref="Q1140">INDEX(stable[is_multi_select],MATCH(VALUE(questions[[#This Row],[qno]]),VALUE(stable[qno]),0))</f>
        <v>0</v>
      </c>
      <c r="R1140" s="9" t="b" cm="1">
        <f t="array" ref="R1140">INDEX(stable[is_skip_logic],MATCH(VALUE(questions[[#This Row],[qno]]),VALUE(stable[qno]),0))</f>
        <v>0</v>
      </c>
      <c r="S1140" s="9" t="str">
        <f>_xlfn.TEXTJOIN(", ",TRUE,questions[[#This Row],[ans_opt_1]:[ans_opt_14]])</f>
        <v/>
      </c>
      <c r="AH1140" s="16" t="b">
        <f>INDEX(stable[q_standard],MATCH(questions[[#This Row],[qno]],stable[qno],0))</f>
        <v>1</v>
      </c>
      <c r="AI1140" s="16" t="b">
        <f>INDEX(stable[q_living_income],MATCH(questions[[#This Row],[qno]],stable[qno],0))</f>
        <v>0</v>
      </c>
      <c r="AJ1140" s="16" t="b">
        <f>INDEX(stable[q_carbon],MATCH(questions[[#This Row],[qno]],stable[qno],0))</f>
        <v>0</v>
      </c>
      <c r="AK1140" s="16" t="b">
        <f>INDEX(stable[q_regen_ag],MATCH(questions[[#This Row],[qno]],stable[qno],0))</f>
        <v>0</v>
      </c>
      <c r="AL1140" s="16" t="b">
        <f>COUNTIFS(stable[qno],questions[[#This Row],[qno]])=1</f>
        <v>1</v>
      </c>
      <c r="AM1140" s="16" t="b">
        <f>OR(questions[[#This Row],[is_fixed]],questions[[#This Row],[is_localized]],questions[[#This Row],[is_supply_chain_dependent]])</f>
        <v>1</v>
      </c>
      <c r="AN1140" s="16" t="b">
        <f>COUNTIFS(questions[[#This Row],[is_automated]:[is_multi_select]],TRUE)=1</f>
        <v>1</v>
      </c>
      <c r="AO1140" s="16" t="b">
        <f>IF(questions[[#This Row],[is_fixed]],questions[[#This Row],[question]]=INDEX(stable[question],MATCH(questions[[#This Row],[qno]],stable[qno],0)),TRUE)</f>
        <v>1</v>
      </c>
      <c r="AP1140" s="16" t="str">
        <f>LEFT(questions[[#This Row],[question]],similarity_range)</f>
        <v xml:space="preserve">Approved / Rejected </v>
      </c>
      <c r="AQ1140" s="16" t="str">
        <f>LEFT(INDEX(stable[question],MATCH(questions[[#This Row],[qno]],stable[qno],0)),similarity_range)</f>
        <v xml:space="preserve">Approved / Rejected </v>
      </c>
      <c r="AR1140" s="16" t="b">
        <f>questions[[#This Row],[question_first_characters]]=questions[[#This Row],[stability_first_characters]]</f>
        <v>1</v>
      </c>
      <c r="AS1140" s="16" t="b">
        <f>IF(OR(questions[[#This Row],[is_single_select]],questions[[#This Row],[is_multi_select]]),NOT(ISBLANK(questions[[#This Row],[answer_opt_combined]])),TRUE)</f>
        <v>1</v>
      </c>
    </row>
    <row r="1141" spans="1:45" ht="15.75" customHeight="1" x14ac:dyDescent="0.25">
      <c r="A1141" s="9" t="str">
        <f>_xlfn.TEXTJOIN("_",TRUE,questions[[#This Row],[origin]:[qno]])</f>
        <v>Kenya_Arabica_Nestle_2025_1111</v>
      </c>
      <c r="B1141" s="33" t="s">
        <v>818</v>
      </c>
      <c r="C1141" s="33" t="s">
        <v>59</v>
      </c>
      <c r="D1141" s="33" t="s">
        <v>819</v>
      </c>
      <c r="E1141" s="33">
        <v>2025</v>
      </c>
      <c r="F1141" s="34" t="s">
        <v>77</v>
      </c>
      <c r="G1141" s="18" t="s">
        <v>78</v>
      </c>
      <c r="H1141" s="9" t="str" cm="1">
        <f t="array" ref="H1141">INDEX(stableR[question],MATCH(VALUE(questions[[#This Row],[qno]]),VALUE(stableR[qno]),0))</f>
        <v>Approved / Rejected Date</v>
      </c>
      <c r="I1141" s="9" t="b" cm="1">
        <f t="array" ref="I1141">INDEX(stable[is_fixed],MATCH(VALUE(questions[[#This Row],[qno]]),VALUE(stable[qno]),0))</f>
        <v>1</v>
      </c>
      <c r="J1141" s="9" t="b" cm="1">
        <f t="array" ref="J1141">INDEX(stable[is_localized],MATCH(VALUE(questions[[#This Row],[qno]]),VALUE(stable[qno]),0))</f>
        <v>0</v>
      </c>
      <c r="K1141" s="9" t="b" cm="1">
        <f t="array" ref="K1141">INDEX(stable[is_supply_chain_dependent],MATCH(VALUE(questions[[#This Row],[qno]]),VALUE(stable[qno]),0))</f>
        <v>0</v>
      </c>
      <c r="L1141" s="9" t="b" cm="1">
        <f t="array" ref="L1141">INDEX(stable[is_mandatory],MATCH(VALUE(questions[[#This Row],[qno]]),VALUE(stable[qno]),0))</f>
        <v>1</v>
      </c>
      <c r="M1141" s="9" t="b" cm="1">
        <f t="array" ref="M1141">INDEX(stable[is_automated],MATCH(VALUE(questions[[#This Row],[qno]]),VALUE(stable[qno]),0))</f>
        <v>1</v>
      </c>
      <c r="N1141" s="9" t="b" cm="1">
        <f t="array" ref="N1141">INDEX(stable[is_free_text],MATCH(VALUE(questions[[#This Row],[qno]]),VALUE(stable[qno]),0))</f>
        <v>0</v>
      </c>
      <c r="O1141" s="9" t="b" cm="1">
        <f t="array" ref="O1141">INDEX(stable[is_numerical],MATCH(VALUE(questions[[#This Row],[qno]]),VALUE(stable[qno]),0))</f>
        <v>0</v>
      </c>
      <c r="P1141" s="9" t="b" cm="1">
        <f t="array" ref="P1141">INDEX(stable[is_single_select],MATCH(VALUE(questions[[#This Row],[qno]]),VALUE(stable[qno]),0))</f>
        <v>0</v>
      </c>
      <c r="Q1141" s="9" t="b" cm="1">
        <f t="array" ref="Q1141">INDEX(stable[is_multi_select],MATCH(VALUE(questions[[#This Row],[qno]]),VALUE(stable[qno]),0))</f>
        <v>0</v>
      </c>
      <c r="R1141" s="9" t="b" cm="1">
        <f t="array" ref="R1141">INDEX(stable[is_skip_logic],MATCH(VALUE(questions[[#This Row],[qno]]),VALUE(stable[qno]),0))</f>
        <v>0</v>
      </c>
      <c r="S1141" s="9" t="str">
        <f>_xlfn.TEXTJOIN(", ",TRUE,questions[[#This Row],[ans_opt_1]:[ans_opt_14]])</f>
        <v/>
      </c>
      <c r="AH1141" s="16" t="b">
        <f>INDEX(stable[q_standard],MATCH(questions[[#This Row],[qno]],stable[qno],0))</f>
        <v>1</v>
      </c>
      <c r="AI1141" s="16" t="b">
        <f>INDEX(stable[q_living_income],MATCH(questions[[#This Row],[qno]],stable[qno],0))</f>
        <v>0</v>
      </c>
      <c r="AJ1141" s="16" t="b">
        <f>INDEX(stable[q_carbon],MATCH(questions[[#This Row],[qno]],stable[qno],0))</f>
        <v>0</v>
      </c>
      <c r="AK1141" s="16" t="b">
        <f>INDEX(stable[q_regen_ag],MATCH(questions[[#This Row],[qno]],stable[qno],0))</f>
        <v>0</v>
      </c>
      <c r="AL1141" s="16" t="b">
        <f>COUNTIFS(stable[qno],questions[[#This Row],[qno]])=1</f>
        <v>1</v>
      </c>
      <c r="AM1141" s="16" t="b">
        <f>OR(questions[[#This Row],[is_fixed]],questions[[#This Row],[is_localized]],questions[[#This Row],[is_supply_chain_dependent]])</f>
        <v>1</v>
      </c>
      <c r="AN1141" s="16" t="b">
        <f>COUNTIFS(questions[[#This Row],[is_automated]:[is_multi_select]],TRUE)=1</f>
        <v>1</v>
      </c>
      <c r="AO1141" s="16" t="b">
        <f>IF(questions[[#This Row],[is_fixed]],questions[[#This Row],[question]]=INDEX(stable[question],MATCH(questions[[#This Row],[qno]],stable[qno],0)),TRUE)</f>
        <v>1</v>
      </c>
      <c r="AP1141" s="16" t="str">
        <f>LEFT(questions[[#This Row],[question]],similarity_range)</f>
        <v xml:space="preserve">Approved / Rejected </v>
      </c>
      <c r="AQ1141" s="16" t="str">
        <f>LEFT(INDEX(stable[question],MATCH(questions[[#This Row],[qno]],stable[qno],0)),similarity_range)</f>
        <v xml:space="preserve">Approved / Rejected </v>
      </c>
      <c r="AR1141" s="16" t="b">
        <f>questions[[#This Row],[question_first_characters]]=questions[[#This Row],[stability_first_characters]]</f>
        <v>1</v>
      </c>
      <c r="AS1141" s="16" t="b">
        <f>IF(OR(questions[[#This Row],[is_single_select]],questions[[#This Row],[is_multi_select]]),NOT(ISBLANK(questions[[#This Row],[answer_opt_combined]])),TRUE)</f>
        <v>1</v>
      </c>
    </row>
    <row r="1142" spans="1:45" ht="15.75" customHeight="1" x14ac:dyDescent="0.25">
      <c r="A1142" s="9" t="str">
        <f>_xlfn.TEXTJOIN("_",TRUE,questions[[#This Row],[origin]:[qno]])</f>
        <v>Kenya_Arabica_Nestle_2025_1112</v>
      </c>
      <c r="B1142" s="33" t="s">
        <v>818</v>
      </c>
      <c r="C1142" s="33" t="s">
        <v>59</v>
      </c>
      <c r="D1142" s="33" t="s">
        <v>819</v>
      </c>
      <c r="E1142" s="33">
        <v>2025</v>
      </c>
      <c r="F1142" s="34" t="s">
        <v>79</v>
      </c>
      <c r="G1142" s="18" t="s">
        <v>80</v>
      </c>
      <c r="H1142" s="9" t="str" cm="1">
        <f t="array" ref="H1142">INDEX(stableR[question],MATCH(VALUE(questions[[#This Row],[qno]]),VALUE(stableR[qno]),0))</f>
        <v>Approval / Rejection Reason</v>
      </c>
      <c r="I1142" s="9" t="b" cm="1">
        <f t="array" ref="I1142">INDEX(stable[is_fixed],MATCH(VALUE(questions[[#This Row],[qno]]),VALUE(stable[qno]),0))</f>
        <v>1</v>
      </c>
      <c r="J1142" s="9" t="b" cm="1">
        <f t="array" ref="J1142">INDEX(stable[is_localized],MATCH(VALUE(questions[[#This Row],[qno]]),VALUE(stable[qno]),0))</f>
        <v>0</v>
      </c>
      <c r="K1142" s="9" t="b" cm="1">
        <f t="array" ref="K1142">INDEX(stable[is_supply_chain_dependent],MATCH(VALUE(questions[[#This Row],[qno]]),VALUE(stable[qno]),0))</f>
        <v>0</v>
      </c>
      <c r="L1142" s="9" t="b" cm="1">
        <f t="array" ref="L1142">INDEX(stable[is_mandatory],MATCH(VALUE(questions[[#This Row],[qno]]),VALUE(stable[qno]),0))</f>
        <v>1</v>
      </c>
      <c r="M1142" s="9" t="b" cm="1">
        <f t="array" ref="M1142">INDEX(stable[is_automated],MATCH(VALUE(questions[[#This Row],[qno]]),VALUE(stable[qno]),0))</f>
        <v>1</v>
      </c>
      <c r="N1142" s="9" t="b" cm="1">
        <f t="array" ref="N1142">INDEX(stable[is_free_text],MATCH(VALUE(questions[[#This Row],[qno]]),VALUE(stable[qno]),0))</f>
        <v>0</v>
      </c>
      <c r="O1142" s="9" t="b" cm="1">
        <f t="array" ref="O1142">INDEX(stable[is_numerical],MATCH(VALUE(questions[[#This Row],[qno]]),VALUE(stable[qno]),0))</f>
        <v>0</v>
      </c>
      <c r="P1142" s="9" t="b" cm="1">
        <f t="array" ref="P1142">INDEX(stable[is_single_select],MATCH(VALUE(questions[[#This Row],[qno]]),VALUE(stable[qno]),0))</f>
        <v>0</v>
      </c>
      <c r="Q1142" s="9" t="b" cm="1">
        <f t="array" ref="Q1142">INDEX(stable[is_multi_select],MATCH(VALUE(questions[[#This Row],[qno]]),VALUE(stable[qno]),0))</f>
        <v>0</v>
      </c>
      <c r="R1142" s="9" t="b" cm="1">
        <f t="array" ref="R1142">INDEX(stable[is_skip_logic],MATCH(VALUE(questions[[#This Row],[qno]]),VALUE(stable[qno]),0))</f>
        <v>0</v>
      </c>
      <c r="S1142" s="9" t="str">
        <f>_xlfn.TEXTJOIN(", ",TRUE,questions[[#This Row],[ans_opt_1]:[ans_opt_14]])</f>
        <v/>
      </c>
      <c r="AH1142" s="16" t="b">
        <f>INDEX(stable[q_standard],MATCH(questions[[#This Row],[qno]],stable[qno],0))</f>
        <v>1</v>
      </c>
      <c r="AI1142" s="16" t="b">
        <f>INDEX(stable[q_living_income],MATCH(questions[[#This Row],[qno]],stable[qno],0))</f>
        <v>0</v>
      </c>
      <c r="AJ1142" s="16" t="b">
        <f>INDEX(stable[q_carbon],MATCH(questions[[#This Row],[qno]],stable[qno],0))</f>
        <v>0</v>
      </c>
      <c r="AK1142" s="16" t="b">
        <f>INDEX(stable[q_regen_ag],MATCH(questions[[#This Row],[qno]],stable[qno],0))</f>
        <v>0</v>
      </c>
      <c r="AL1142" s="16" t="b">
        <f>COUNTIFS(stable[qno],questions[[#This Row],[qno]])=1</f>
        <v>1</v>
      </c>
      <c r="AM1142" s="16" t="b">
        <f>OR(questions[[#This Row],[is_fixed]],questions[[#This Row],[is_localized]],questions[[#This Row],[is_supply_chain_dependent]])</f>
        <v>1</v>
      </c>
      <c r="AN1142" s="16" t="b">
        <f>COUNTIFS(questions[[#This Row],[is_automated]:[is_multi_select]],TRUE)=1</f>
        <v>1</v>
      </c>
      <c r="AO1142" s="16" t="b">
        <f>IF(questions[[#This Row],[is_fixed]],questions[[#This Row],[question]]=INDEX(stable[question],MATCH(questions[[#This Row],[qno]],stable[qno],0)),TRUE)</f>
        <v>1</v>
      </c>
      <c r="AP1142" s="16" t="str">
        <f>LEFT(questions[[#This Row],[question]],similarity_range)</f>
        <v>Approval / Rejection</v>
      </c>
      <c r="AQ1142" s="16" t="str">
        <f>LEFT(INDEX(stable[question],MATCH(questions[[#This Row],[qno]],stable[qno],0)),similarity_range)</f>
        <v>Approval / Rejection</v>
      </c>
      <c r="AR1142" s="16" t="b">
        <f>questions[[#This Row],[question_first_characters]]=questions[[#This Row],[stability_first_characters]]</f>
        <v>1</v>
      </c>
      <c r="AS1142" s="16" t="b">
        <f>IF(OR(questions[[#This Row],[is_single_select]],questions[[#This Row],[is_multi_select]]),NOT(ISBLANK(questions[[#This Row],[answer_opt_combined]])),TRUE)</f>
        <v>1</v>
      </c>
    </row>
    <row r="1143" spans="1:45" ht="15.75" customHeight="1" x14ac:dyDescent="0.25">
      <c r="A1143" s="9" t="str">
        <f>_xlfn.TEXTJOIN("_",TRUE,questions[[#This Row],[origin]:[qno]])</f>
        <v>Kenya_Arabica_Nestle_2025_1200</v>
      </c>
      <c r="B1143" s="33" t="s">
        <v>818</v>
      </c>
      <c r="C1143" s="33" t="s">
        <v>59</v>
      </c>
      <c r="D1143" s="33" t="s">
        <v>819</v>
      </c>
      <c r="E1143" s="33">
        <v>2025</v>
      </c>
      <c r="F1143" s="34" t="s">
        <v>81</v>
      </c>
      <c r="G1143" s="18" t="s">
        <v>82</v>
      </c>
      <c r="H1143" s="9" t="str" cm="1">
        <f t="array" ref="H1143">INDEX(stableR[question],MATCH(VALUE(questions[[#This Row],[qno]]),VALUE(stableR[qno]),0))</f>
        <v>Farmer code</v>
      </c>
      <c r="I1143" s="9" t="b" cm="1">
        <f t="array" ref="I1143">INDEX(stable[is_fixed],MATCH(VALUE(questions[[#This Row],[qno]]),VALUE(stable[qno]),0))</f>
        <v>1</v>
      </c>
      <c r="J1143" s="9" t="b" cm="1">
        <f t="array" ref="J1143">INDEX(stable[is_localized],MATCH(VALUE(questions[[#This Row],[qno]]),VALUE(stable[qno]),0))</f>
        <v>0</v>
      </c>
      <c r="K1143" s="9" t="b" cm="1">
        <f t="array" ref="K1143">INDEX(stable[is_supply_chain_dependent],MATCH(VALUE(questions[[#This Row],[qno]]),VALUE(stable[qno]),0))</f>
        <v>0</v>
      </c>
      <c r="L1143" s="9" t="b" cm="1">
        <f t="array" ref="L1143">INDEX(stable[is_mandatory],MATCH(VALUE(questions[[#This Row],[qno]]),VALUE(stable[qno]),0))</f>
        <v>1</v>
      </c>
      <c r="M1143" s="9" t="b" cm="1">
        <f t="array" ref="M1143">INDEX(stable[is_automated],MATCH(VALUE(questions[[#This Row],[qno]]),VALUE(stable[qno]),0))</f>
        <v>1</v>
      </c>
      <c r="N1143" s="9" t="b" cm="1">
        <f t="array" ref="N1143">INDEX(stable[is_free_text],MATCH(VALUE(questions[[#This Row],[qno]]),VALUE(stable[qno]),0))</f>
        <v>0</v>
      </c>
      <c r="O1143" s="9" t="b" cm="1">
        <f t="array" ref="O1143">INDEX(stable[is_numerical],MATCH(VALUE(questions[[#This Row],[qno]]),VALUE(stable[qno]),0))</f>
        <v>0</v>
      </c>
      <c r="P1143" s="9" t="b" cm="1">
        <f t="array" ref="P1143">INDEX(stable[is_single_select],MATCH(VALUE(questions[[#This Row],[qno]]),VALUE(stable[qno]),0))</f>
        <v>0</v>
      </c>
      <c r="Q1143" s="9" t="b" cm="1">
        <f t="array" ref="Q1143">INDEX(stable[is_multi_select],MATCH(VALUE(questions[[#This Row],[qno]]),VALUE(stable[qno]),0))</f>
        <v>0</v>
      </c>
      <c r="R1143" s="9" t="b" cm="1">
        <f t="array" ref="R1143">INDEX(stable[is_skip_logic],MATCH(VALUE(questions[[#This Row],[qno]]),VALUE(stable[qno]),0))</f>
        <v>0</v>
      </c>
      <c r="S1143" s="9" t="str">
        <f>_xlfn.TEXTJOIN(", ",TRUE,questions[[#This Row],[ans_opt_1]:[ans_opt_14]])</f>
        <v/>
      </c>
      <c r="AH1143" s="16" t="b">
        <f>INDEX(stable[q_standard],MATCH(questions[[#This Row],[qno]],stable[qno],0))</f>
        <v>1</v>
      </c>
      <c r="AI1143" s="16" t="b">
        <f>INDEX(stable[q_living_income],MATCH(questions[[#This Row],[qno]],stable[qno],0))</f>
        <v>0</v>
      </c>
      <c r="AJ1143" s="16" t="b">
        <f>INDEX(stable[q_carbon],MATCH(questions[[#This Row],[qno]],stable[qno],0))</f>
        <v>0</v>
      </c>
      <c r="AK1143" s="16" t="b">
        <f>INDEX(stable[q_regen_ag],MATCH(questions[[#This Row],[qno]],stable[qno],0))</f>
        <v>0</v>
      </c>
      <c r="AL1143" s="16" t="b">
        <f>COUNTIFS(stable[qno],questions[[#This Row],[qno]])=1</f>
        <v>1</v>
      </c>
      <c r="AM1143" s="16" t="b">
        <f>OR(questions[[#This Row],[is_fixed]],questions[[#This Row],[is_localized]],questions[[#This Row],[is_supply_chain_dependent]])</f>
        <v>1</v>
      </c>
      <c r="AN1143" s="16" t="b">
        <f>COUNTIFS(questions[[#This Row],[is_automated]:[is_multi_select]],TRUE)=1</f>
        <v>1</v>
      </c>
      <c r="AO1143" s="16" t="b">
        <f>IF(questions[[#This Row],[is_fixed]],questions[[#This Row],[question]]=INDEX(stable[question],MATCH(questions[[#This Row],[qno]],stable[qno],0)),TRUE)</f>
        <v>1</v>
      </c>
      <c r="AP1143" s="16" t="str">
        <f>LEFT(questions[[#This Row],[question]],similarity_range)</f>
        <v>Farmer code</v>
      </c>
      <c r="AQ1143" s="16" t="str">
        <f>LEFT(INDEX(stable[question],MATCH(questions[[#This Row],[qno]],stable[qno],0)),similarity_range)</f>
        <v>Farmer code</v>
      </c>
      <c r="AR1143" s="16" t="b">
        <f>questions[[#This Row],[question_first_characters]]=questions[[#This Row],[stability_first_characters]]</f>
        <v>1</v>
      </c>
      <c r="AS1143" s="16" t="b">
        <f>IF(OR(questions[[#This Row],[is_single_select]],questions[[#This Row],[is_multi_select]]),NOT(ISBLANK(questions[[#This Row],[answer_opt_combined]])),TRUE)</f>
        <v>1</v>
      </c>
    </row>
    <row r="1144" spans="1:45" ht="15.75" customHeight="1" x14ac:dyDescent="0.25">
      <c r="A1144" s="9" t="str">
        <f>_xlfn.TEXTJOIN("_",TRUE,questions[[#This Row],[origin]:[qno]])</f>
        <v>Kenya_Arabica_Nestle_2025_1201</v>
      </c>
      <c r="B1144" s="33" t="s">
        <v>818</v>
      </c>
      <c r="C1144" s="33" t="s">
        <v>59</v>
      </c>
      <c r="D1144" s="33" t="s">
        <v>819</v>
      </c>
      <c r="E1144" s="33">
        <v>2025</v>
      </c>
      <c r="F1144" s="34" t="s">
        <v>83</v>
      </c>
      <c r="G1144" s="18" t="s">
        <v>84</v>
      </c>
      <c r="H1144" s="9" t="str" cm="1">
        <f t="array" ref="H1144">INDEX(stableR[question],MATCH(VALUE(questions[[#This Row],[qno]]),VALUE(stableR[qno]),0))</f>
        <v>Farmer name</v>
      </c>
      <c r="I1144" s="9" t="b" cm="1">
        <f t="array" ref="I1144">INDEX(stable[is_fixed],MATCH(VALUE(questions[[#This Row],[qno]]),VALUE(stable[qno]),0))</f>
        <v>1</v>
      </c>
      <c r="J1144" s="9" t="b" cm="1">
        <f t="array" ref="J1144">INDEX(stable[is_localized],MATCH(VALUE(questions[[#This Row],[qno]]),VALUE(stable[qno]),0))</f>
        <v>0</v>
      </c>
      <c r="K1144" s="9" t="b" cm="1">
        <f t="array" ref="K1144">INDEX(stable[is_supply_chain_dependent],MATCH(VALUE(questions[[#This Row],[qno]]),VALUE(stable[qno]),0))</f>
        <v>0</v>
      </c>
      <c r="L1144" s="9" t="b" cm="1">
        <f t="array" ref="L1144">INDEX(stable[is_mandatory],MATCH(VALUE(questions[[#This Row],[qno]]),VALUE(stable[qno]),0))</f>
        <v>1</v>
      </c>
      <c r="M1144" s="9" t="b" cm="1">
        <f t="array" ref="M1144">INDEX(stable[is_automated],MATCH(VALUE(questions[[#This Row],[qno]]),VALUE(stable[qno]),0))</f>
        <v>1</v>
      </c>
      <c r="N1144" s="9" t="b" cm="1">
        <f t="array" ref="N1144">INDEX(stable[is_free_text],MATCH(VALUE(questions[[#This Row],[qno]]),VALUE(stable[qno]),0))</f>
        <v>0</v>
      </c>
      <c r="O1144" s="9" t="b" cm="1">
        <f t="array" ref="O1144">INDEX(stable[is_numerical],MATCH(VALUE(questions[[#This Row],[qno]]),VALUE(stable[qno]),0))</f>
        <v>0</v>
      </c>
      <c r="P1144" s="9" t="b" cm="1">
        <f t="array" ref="P1144">INDEX(stable[is_single_select],MATCH(VALUE(questions[[#This Row],[qno]]),VALUE(stable[qno]),0))</f>
        <v>0</v>
      </c>
      <c r="Q1144" s="9" t="b" cm="1">
        <f t="array" ref="Q1144">INDEX(stable[is_multi_select],MATCH(VALUE(questions[[#This Row],[qno]]),VALUE(stable[qno]),0))</f>
        <v>0</v>
      </c>
      <c r="R1144" s="9" t="b" cm="1">
        <f t="array" ref="R1144">INDEX(stable[is_skip_logic],MATCH(VALUE(questions[[#This Row],[qno]]),VALUE(stable[qno]),0))</f>
        <v>0</v>
      </c>
      <c r="S1144" s="9" t="str">
        <f>_xlfn.TEXTJOIN(", ",TRUE,questions[[#This Row],[ans_opt_1]:[ans_opt_14]])</f>
        <v/>
      </c>
      <c r="AH1144" s="16" t="b">
        <f>INDEX(stable[q_standard],MATCH(questions[[#This Row],[qno]],stable[qno],0))</f>
        <v>1</v>
      </c>
      <c r="AI1144" s="16" t="b">
        <f>INDEX(stable[q_living_income],MATCH(questions[[#This Row],[qno]],stable[qno],0))</f>
        <v>0</v>
      </c>
      <c r="AJ1144" s="16" t="b">
        <f>INDEX(stable[q_carbon],MATCH(questions[[#This Row],[qno]],stable[qno],0))</f>
        <v>0</v>
      </c>
      <c r="AK1144" s="16" t="b">
        <f>INDEX(stable[q_regen_ag],MATCH(questions[[#This Row],[qno]],stable[qno],0))</f>
        <v>0</v>
      </c>
      <c r="AL1144" s="16" t="b">
        <f>COUNTIFS(stable[qno],questions[[#This Row],[qno]])=1</f>
        <v>1</v>
      </c>
      <c r="AM1144" s="16" t="b">
        <f>OR(questions[[#This Row],[is_fixed]],questions[[#This Row],[is_localized]],questions[[#This Row],[is_supply_chain_dependent]])</f>
        <v>1</v>
      </c>
      <c r="AN1144" s="16" t="b">
        <f>COUNTIFS(questions[[#This Row],[is_automated]:[is_multi_select]],TRUE)=1</f>
        <v>1</v>
      </c>
      <c r="AO1144" s="16" t="b">
        <f>IF(questions[[#This Row],[is_fixed]],questions[[#This Row],[question]]=INDEX(stable[question],MATCH(questions[[#This Row],[qno]],stable[qno],0)),TRUE)</f>
        <v>1</v>
      </c>
      <c r="AP1144" s="16" t="str">
        <f>LEFT(questions[[#This Row],[question]],similarity_range)</f>
        <v>Farmer name</v>
      </c>
      <c r="AQ1144" s="16" t="str">
        <f>LEFT(INDEX(stable[question],MATCH(questions[[#This Row],[qno]],stable[qno],0)),similarity_range)</f>
        <v>Farmer name</v>
      </c>
      <c r="AR1144" s="16" t="b">
        <f>questions[[#This Row],[question_first_characters]]=questions[[#This Row],[stability_first_characters]]</f>
        <v>1</v>
      </c>
      <c r="AS1144" s="16" t="b">
        <f>IF(OR(questions[[#This Row],[is_single_select]],questions[[#This Row],[is_multi_select]]),NOT(ISBLANK(questions[[#This Row],[answer_opt_combined]])),TRUE)</f>
        <v>1</v>
      </c>
    </row>
    <row r="1145" spans="1:45" ht="15.75" customHeight="1" x14ac:dyDescent="0.25">
      <c r="A1145" s="9" t="str">
        <f>_xlfn.TEXTJOIN("_",TRUE,questions[[#This Row],[origin]:[qno]])</f>
        <v>Kenya_Arabica_Nestle_2025_1202</v>
      </c>
      <c r="B1145" s="33" t="s">
        <v>818</v>
      </c>
      <c r="C1145" s="33" t="s">
        <v>59</v>
      </c>
      <c r="D1145" s="33" t="s">
        <v>819</v>
      </c>
      <c r="E1145" s="33">
        <v>2025</v>
      </c>
      <c r="F1145" s="34" t="s">
        <v>85</v>
      </c>
      <c r="G1145" s="18" t="s">
        <v>86</v>
      </c>
      <c r="H1145" s="9" t="str" cm="1">
        <f t="array" ref="H1145">INDEX(stableR[question],MATCH(VALUE(questions[[#This Row],[qno]]),VALUE(stableR[qno]),0))</f>
        <v>Farmer tags</v>
      </c>
      <c r="I1145" s="9" t="b" cm="1">
        <f t="array" ref="I1145">INDEX(stable[is_fixed],MATCH(VALUE(questions[[#This Row],[qno]]),VALUE(stable[qno]),0))</f>
        <v>1</v>
      </c>
      <c r="J1145" s="9" t="b" cm="1">
        <f t="array" ref="J1145">INDEX(stable[is_localized],MATCH(VALUE(questions[[#This Row],[qno]]),VALUE(stable[qno]),0))</f>
        <v>0</v>
      </c>
      <c r="K1145" s="9" t="b" cm="1">
        <f t="array" ref="K1145">INDEX(stable[is_supply_chain_dependent],MATCH(VALUE(questions[[#This Row],[qno]]),VALUE(stable[qno]),0))</f>
        <v>0</v>
      </c>
      <c r="L1145" s="9" t="b" cm="1">
        <f t="array" ref="L1145">INDEX(stable[is_mandatory],MATCH(VALUE(questions[[#This Row],[qno]]),VALUE(stable[qno]),0))</f>
        <v>1</v>
      </c>
      <c r="M1145" s="9" t="b" cm="1">
        <f t="array" ref="M1145">INDEX(stable[is_automated],MATCH(VALUE(questions[[#This Row],[qno]]),VALUE(stable[qno]),0))</f>
        <v>1</v>
      </c>
      <c r="N1145" s="9" t="b" cm="1">
        <f t="array" ref="N1145">INDEX(stable[is_free_text],MATCH(VALUE(questions[[#This Row],[qno]]),VALUE(stable[qno]),0))</f>
        <v>0</v>
      </c>
      <c r="O1145" s="9" t="b" cm="1">
        <f t="array" ref="O1145">INDEX(stable[is_numerical],MATCH(VALUE(questions[[#This Row],[qno]]),VALUE(stable[qno]),0))</f>
        <v>0</v>
      </c>
      <c r="P1145" s="9" t="b" cm="1">
        <f t="array" ref="P1145">INDEX(stable[is_single_select],MATCH(VALUE(questions[[#This Row],[qno]]),VALUE(stable[qno]),0))</f>
        <v>0</v>
      </c>
      <c r="Q1145" s="9" t="b" cm="1">
        <f t="array" ref="Q1145">INDEX(stable[is_multi_select],MATCH(VALUE(questions[[#This Row],[qno]]),VALUE(stable[qno]),0))</f>
        <v>0</v>
      </c>
      <c r="R1145" s="9" t="b" cm="1">
        <f t="array" ref="R1145">INDEX(stable[is_skip_logic],MATCH(VALUE(questions[[#This Row],[qno]]),VALUE(stable[qno]),0))</f>
        <v>0</v>
      </c>
      <c r="S1145" s="9" t="str">
        <f>_xlfn.TEXTJOIN(", ",TRUE,questions[[#This Row],[ans_opt_1]:[ans_opt_14]])</f>
        <v/>
      </c>
      <c r="AH1145" s="16" t="b">
        <f>INDEX(stable[q_standard],MATCH(questions[[#This Row],[qno]],stable[qno],0))</f>
        <v>1</v>
      </c>
      <c r="AI1145" s="16" t="b">
        <f>INDEX(stable[q_living_income],MATCH(questions[[#This Row],[qno]],stable[qno],0))</f>
        <v>0</v>
      </c>
      <c r="AJ1145" s="16" t="b">
        <f>INDEX(stable[q_carbon],MATCH(questions[[#This Row],[qno]],stable[qno],0))</f>
        <v>0</v>
      </c>
      <c r="AK1145" s="16" t="b">
        <f>INDEX(stable[q_regen_ag],MATCH(questions[[#This Row],[qno]],stable[qno],0))</f>
        <v>0</v>
      </c>
      <c r="AL1145" s="16" t="b">
        <f>COUNTIFS(stable[qno],questions[[#This Row],[qno]])=1</f>
        <v>1</v>
      </c>
      <c r="AM1145" s="16" t="b">
        <f>OR(questions[[#This Row],[is_fixed]],questions[[#This Row],[is_localized]],questions[[#This Row],[is_supply_chain_dependent]])</f>
        <v>1</v>
      </c>
      <c r="AN1145" s="16" t="b">
        <f>COUNTIFS(questions[[#This Row],[is_automated]:[is_multi_select]],TRUE)=1</f>
        <v>1</v>
      </c>
      <c r="AO1145" s="16" t="b">
        <f>IF(questions[[#This Row],[is_fixed]],questions[[#This Row],[question]]=INDEX(stable[question],MATCH(questions[[#This Row],[qno]],stable[qno],0)),TRUE)</f>
        <v>1</v>
      </c>
      <c r="AP1145" s="16" t="str">
        <f>LEFT(questions[[#This Row],[question]],similarity_range)</f>
        <v>Farmer tags</v>
      </c>
      <c r="AQ1145" s="16" t="str">
        <f>LEFT(INDEX(stable[question],MATCH(questions[[#This Row],[qno]],stable[qno],0)),similarity_range)</f>
        <v>Farmer tags</v>
      </c>
      <c r="AR1145" s="16" t="b">
        <f>questions[[#This Row],[question_first_characters]]=questions[[#This Row],[stability_first_characters]]</f>
        <v>1</v>
      </c>
      <c r="AS1145" s="16" t="b">
        <f>IF(OR(questions[[#This Row],[is_single_select]],questions[[#This Row],[is_multi_select]]),NOT(ISBLANK(questions[[#This Row],[answer_opt_combined]])),TRUE)</f>
        <v>1</v>
      </c>
    </row>
    <row r="1146" spans="1:45" ht="15.75" customHeight="1" x14ac:dyDescent="0.25">
      <c r="A1146" s="9" t="str">
        <f>_xlfn.TEXTJOIN("_",TRUE,questions[[#This Row],[origin]:[qno]])</f>
        <v>Kenya_Arabica_Nestle_2025_1203</v>
      </c>
      <c r="B1146" s="33" t="s">
        <v>818</v>
      </c>
      <c r="C1146" s="33" t="s">
        <v>59</v>
      </c>
      <c r="D1146" s="33" t="s">
        <v>819</v>
      </c>
      <c r="E1146" s="33">
        <v>2025</v>
      </c>
      <c r="F1146" s="34" t="s">
        <v>87</v>
      </c>
      <c r="G1146" s="18" t="s">
        <v>88</v>
      </c>
      <c r="H1146" s="9" t="str" cm="1">
        <f t="array" ref="H1146">INDEX(stableR[question],MATCH(VALUE(questions[[#This Row],[qno]]),VALUE(stableR[qno]),0))</f>
        <v>Address</v>
      </c>
      <c r="I1146" s="9" t="b" cm="1">
        <f t="array" ref="I1146">INDEX(stable[is_fixed],MATCH(VALUE(questions[[#This Row],[qno]]),VALUE(stable[qno]),0))</f>
        <v>1</v>
      </c>
      <c r="J1146" s="9" t="b" cm="1">
        <f t="array" ref="J1146">INDEX(stable[is_localized],MATCH(VALUE(questions[[#This Row],[qno]]),VALUE(stable[qno]),0))</f>
        <v>0</v>
      </c>
      <c r="K1146" s="9" t="b" cm="1">
        <f t="array" ref="K1146">INDEX(stable[is_supply_chain_dependent],MATCH(VALUE(questions[[#This Row],[qno]]),VALUE(stable[qno]),0))</f>
        <v>0</v>
      </c>
      <c r="L1146" s="9" t="b" cm="1">
        <f t="array" ref="L1146">INDEX(stable[is_mandatory],MATCH(VALUE(questions[[#This Row],[qno]]),VALUE(stable[qno]),0))</f>
        <v>1</v>
      </c>
      <c r="M1146" s="9" t="b" cm="1">
        <f t="array" ref="M1146">INDEX(stable[is_automated],MATCH(VALUE(questions[[#This Row],[qno]]),VALUE(stable[qno]),0))</f>
        <v>1</v>
      </c>
      <c r="N1146" s="9" t="b" cm="1">
        <f t="array" ref="N1146">INDEX(stable[is_free_text],MATCH(VALUE(questions[[#This Row],[qno]]),VALUE(stable[qno]),0))</f>
        <v>0</v>
      </c>
      <c r="O1146" s="9" t="b" cm="1">
        <f t="array" ref="O1146">INDEX(stable[is_numerical],MATCH(VALUE(questions[[#This Row],[qno]]),VALUE(stable[qno]),0))</f>
        <v>0</v>
      </c>
      <c r="P1146" s="9" t="b" cm="1">
        <f t="array" ref="P1146">INDEX(stable[is_single_select],MATCH(VALUE(questions[[#This Row],[qno]]),VALUE(stable[qno]),0))</f>
        <v>0</v>
      </c>
      <c r="Q1146" s="9" t="b" cm="1">
        <f t="array" ref="Q1146">INDEX(stable[is_multi_select],MATCH(VALUE(questions[[#This Row],[qno]]),VALUE(stable[qno]),0))</f>
        <v>0</v>
      </c>
      <c r="R1146" s="9" t="b" cm="1">
        <f t="array" ref="R1146">INDEX(stable[is_skip_logic],MATCH(VALUE(questions[[#This Row],[qno]]),VALUE(stable[qno]),0))</f>
        <v>0</v>
      </c>
      <c r="S1146" s="9" t="str">
        <f>_xlfn.TEXTJOIN(", ",TRUE,questions[[#This Row],[ans_opt_1]:[ans_opt_14]])</f>
        <v/>
      </c>
      <c r="AH1146" s="16" t="b">
        <f>INDEX(stable[q_standard],MATCH(questions[[#This Row],[qno]],stable[qno],0))</f>
        <v>1</v>
      </c>
      <c r="AI1146" s="16" t="b">
        <f>INDEX(stable[q_living_income],MATCH(questions[[#This Row],[qno]],stable[qno],0))</f>
        <v>0</v>
      </c>
      <c r="AJ1146" s="16" t="b">
        <f>INDEX(stable[q_carbon],MATCH(questions[[#This Row],[qno]],stable[qno],0))</f>
        <v>0</v>
      </c>
      <c r="AK1146" s="16" t="b">
        <f>INDEX(stable[q_regen_ag],MATCH(questions[[#This Row],[qno]],stable[qno],0))</f>
        <v>0</v>
      </c>
      <c r="AL1146" s="16" t="b">
        <f>COUNTIFS(stable[qno],questions[[#This Row],[qno]])=1</f>
        <v>1</v>
      </c>
      <c r="AM1146" s="16" t="b">
        <f>OR(questions[[#This Row],[is_fixed]],questions[[#This Row],[is_localized]],questions[[#This Row],[is_supply_chain_dependent]])</f>
        <v>1</v>
      </c>
      <c r="AN1146" s="16" t="b">
        <f>COUNTIFS(questions[[#This Row],[is_automated]:[is_multi_select]],TRUE)=1</f>
        <v>1</v>
      </c>
      <c r="AO1146" s="16" t="b">
        <f>IF(questions[[#This Row],[is_fixed]],questions[[#This Row],[question]]=INDEX(stable[question],MATCH(questions[[#This Row],[qno]],stable[qno],0)),TRUE)</f>
        <v>1</v>
      </c>
      <c r="AP1146" s="16" t="str">
        <f>LEFT(questions[[#This Row],[question]],similarity_range)</f>
        <v>Address</v>
      </c>
      <c r="AQ1146" s="16" t="str">
        <f>LEFT(INDEX(stable[question],MATCH(questions[[#This Row],[qno]],stable[qno],0)),similarity_range)</f>
        <v>Address</v>
      </c>
      <c r="AR1146" s="16" t="b">
        <f>questions[[#This Row],[question_first_characters]]=questions[[#This Row],[stability_first_characters]]</f>
        <v>1</v>
      </c>
      <c r="AS1146" s="16" t="b">
        <f>IF(OR(questions[[#This Row],[is_single_select]],questions[[#This Row],[is_multi_select]]),NOT(ISBLANK(questions[[#This Row],[answer_opt_combined]])),TRUE)</f>
        <v>1</v>
      </c>
    </row>
    <row r="1147" spans="1:45" ht="15.75" customHeight="1" x14ac:dyDescent="0.25">
      <c r="A1147" s="9" t="str">
        <f>_xlfn.TEXTJOIN("_",TRUE,questions[[#This Row],[origin]:[qno]])</f>
        <v>Kenya_Arabica_Nestle_2025_1210</v>
      </c>
      <c r="B1147" s="33" t="s">
        <v>818</v>
      </c>
      <c r="C1147" s="33" t="s">
        <v>59</v>
      </c>
      <c r="D1147" s="33" t="s">
        <v>819</v>
      </c>
      <c r="E1147" s="33">
        <v>2025</v>
      </c>
      <c r="F1147" s="34" t="s">
        <v>89</v>
      </c>
      <c r="G1147" s="18" t="s">
        <v>90</v>
      </c>
      <c r="H1147" s="9" t="str" cm="1">
        <f t="array" ref="H1147">INDEX(stableR[question],MATCH(VALUE(questions[[#This Row],[qno]]),VALUE(stableR[qno]),0))</f>
        <v>Plot name</v>
      </c>
      <c r="I1147" s="9" t="b" cm="1">
        <f t="array" ref="I1147">INDEX(stable[is_fixed],MATCH(VALUE(questions[[#This Row],[qno]]),VALUE(stable[qno]),0))</f>
        <v>1</v>
      </c>
      <c r="J1147" s="9" t="b" cm="1">
        <f t="array" ref="J1147">INDEX(stable[is_localized],MATCH(VALUE(questions[[#This Row],[qno]]),VALUE(stable[qno]),0))</f>
        <v>0</v>
      </c>
      <c r="K1147" s="9" t="b" cm="1">
        <f t="array" ref="K1147">INDEX(stable[is_supply_chain_dependent],MATCH(VALUE(questions[[#This Row],[qno]]),VALUE(stable[qno]),0))</f>
        <v>0</v>
      </c>
      <c r="L1147" s="9" t="b" cm="1">
        <f t="array" ref="L1147">INDEX(stable[is_mandatory],MATCH(VALUE(questions[[#This Row],[qno]]),VALUE(stable[qno]),0))</f>
        <v>1</v>
      </c>
      <c r="M1147" s="9" t="b" cm="1">
        <f t="array" ref="M1147">INDEX(stable[is_automated],MATCH(VALUE(questions[[#This Row],[qno]]),VALUE(stable[qno]),0))</f>
        <v>1</v>
      </c>
      <c r="N1147" s="9" t="b" cm="1">
        <f t="array" ref="N1147">INDEX(stable[is_free_text],MATCH(VALUE(questions[[#This Row],[qno]]),VALUE(stable[qno]),0))</f>
        <v>0</v>
      </c>
      <c r="O1147" s="9" t="b" cm="1">
        <f t="array" ref="O1147">INDEX(stable[is_numerical],MATCH(VALUE(questions[[#This Row],[qno]]),VALUE(stable[qno]),0))</f>
        <v>0</v>
      </c>
      <c r="P1147" s="9" t="b" cm="1">
        <f t="array" ref="P1147">INDEX(stable[is_single_select],MATCH(VALUE(questions[[#This Row],[qno]]),VALUE(stable[qno]),0))</f>
        <v>0</v>
      </c>
      <c r="Q1147" s="9" t="b" cm="1">
        <f t="array" ref="Q1147">INDEX(stable[is_multi_select],MATCH(VALUE(questions[[#This Row],[qno]]),VALUE(stable[qno]),0))</f>
        <v>0</v>
      </c>
      <c r="R1147" s="9" t="b" cm="1">
        <f t="array" ref="R1147">INDEX(stable[is_skip_logic],MATCH(VALUE(questions[[#This Row],[qno]]),VALUE(stable[qno]),0))</f>
        <v>0</v>
      </c>
      <c r="S1147" s="9" t="str">
        <f>_xlfn.TEXTJOIN(", ",TRUE,questions[[#This Row],[ans_opt_1]:[ans_opt_14]])</f>
        <v/>
      </c>
      <c r="AH1147" s="16" t="b">
        <f>INDEX(stable[q_standard],MATCH(questions[[#This Row],[qno]],stable[qno],0))</f>
        <v>1</v>
      </c>
      <c r="AI1147" s="16" t="b">
        <f>INDEX(stable[q_living_income],MATCH(questions[[#This Row],[qno]],stable[qno],0))</f>
        <v>0</v>
      </c>
      <c r="AJ1147" s="16" t="b">
        <f>INDEX(stable[q_carbon],MATCH(questions[[#This Row],[qno]],stable[qno],0))</f>
        <v>0</v>
      </c>
      <c r="AK1147" s="16" t="b">
        <f>INDEX(stable[q_regen_ag],MATCH(questions[[#This Row],[qno]],stable[qno],0))</f>
        <v>0</v>
      </c>
      <c r="AL1147" s="16" t="b">
        <f>COUNTIFS(stable[qno],questions[[#This Row],[qno]])=1</f>
        <v>1</v>
      </c>
      <c r="AM1147" s="16" t="b">
        <f>OR(questions[[#This Row],[is_fixed]],questions[[#This Row],[is_localized]],questions[[#This Row],[is_supply_chain_dependent]])</f>
        <v>1</v>
      </c>
      <c r="AN1147" s="16" t="b">
        <f>COUNTIFS(questions[[#This Row],[is_automated]:[is_multi_select]],TRUE)=1</f>
        <v>1</v>
      </c>
      <c r="AO1147" s="16" t="b">
        <f>IF(questions[[#This Row],[is_fixed]],questions[[#This Row],[question]]=INDEX(stable[question],MATCH(questions[[#This Row],[qno]],stable[qno],0)),TRUE)</f>
        <v>1</v>
      </c>
      <c r="AP1147" s="16" t="str">
        <f>LEFT(questions[[#This Row],[question]],similarity_range)</f>
        <v>Plot name</v>
      </c>
      <c r="AQ1147" s="16" t="str">
        <f>LEFT(INDEX(stable[question],MATCH(questions[[#This Row],[qno]],stable[qno],0)),similarity_range)</f>
        <v>Plot name</v>
      </c>
      <c r="AR1147" s="16" t="b">
        <f>questions[[#This Row],[question_first_characters]]=questions[[#This Row],[stability_first_characters]]</f>
        <v>1</v>
      </c>
      <c r="AS1147" s="16" t="b">
        <f>IF(OR(questions[[#This Row],[is_single_select]],questions[[#This Row],[is_multi_select]]),NOT(ISBLANK(questions[[#This Row],[answer_opt_combined]])),TRUE)</f>
        <v>1</v>
      </c>
    </row>
    <row r="1148" spans="1:45" ht="15.75" customHeight="1" x14ac:dyDescent="0.25">
      <c r="A1148" s="9" t="str">
        <f>_xlfn.TEXTJOIN("_",TRUE,questions[[#This Row],[origin]:[qno]])</f>
        <v>Kenya_Arabica_Nestle_2025_1211</v>
      </c>
      <c r="B1148" s="33" t="s">
        <v>818</v>
      </c>
      <c r="C1148" s="33" t="s">
        <v>59</v>
      </c>
      <c r="D1148" s="33" t="s">
        <v>819</v>
      </c>
      <c r="E1148" s="33">
        <v>2025</v>
      </c>
      <c r="F1148" s="34" t="s">
        <v>91</v>
      </c>
      <c r="G1148" s="18" t="s">
        <v>92</v>
      </c>
      <c r="H1148" s="9" t="str" cm="1">
        <f t="array" ref="H1148">INDEX(stableR[question],MATCH(VALUE(questions[[#This Row],[qno]]),VALUE(stableR[qno]),0))</f>
        <v>Plot tags</v>
      </c>
      <c r="I1148" s="9" t="b" cm="1">
        <f t="array" ref="I1148">INDEX(stable[is_fixed],MATCH(VALUE(questions[[#This Row],[qno]]),VALUE(stable[qno]),0))</f>
        <v>1</v>
      </c>
      <c r="J1148" s="9" t="b" cm="1">
        <f t="array" ref="J1148">INDEX(stable[is_localized],MATCH(VALUE(questions[[#This Row],[qno]]),VALUE(stable[qno]),0))</f>
        <v>0</v>
      </c>
      <c r="K1148" s="9" t="b" cm="1">
        <f t="array" ref="K1148">INDEX(stable[is_supply_chain_dependent],MATCH(VALUE(questions[[#This Row],[qno]]),VALUE(stable[qno]),0))</f>
        <v>0</v>
      </c>
      <c r="L1148" s="9" t="b" cm="1">
        <f t="array" ref="L1148">INDEX(stable[is_mandatory],MATCH(VALUE(questions[[#This Row],[qno]]),VALUE(stable[qno]),0))</f>
        <v>1</v>
      </c>
      <c r="M1148" s="9" t="b" cm="1">
        <f t="array" ref="M1148">INDEX(stable[is_automated],MATCH(VALUE(questions[[#This Row],[qno]]),VALUE(stable[qno]),0))</f>
        <v>1</v>
      </c>
      <c r="N1148" s="9" t="b" cm="1">
        <f t="array" ref="N1148">INDEX(stable[is_free_text],MATCH(VALUE(questions[[#This Row],[qno]]),VALUE(stable[qno]),0))</f>
        <v>0</v>
      </c>
      <c r="O1148" s="9" t="b" cm="1">
        <f t="array" ref="O1148">INDEX(stable[is_numerical],MATCH(VALUE(questions[[#This Row],[qno]]),VALUE(stable[qno]),0))</f>
        <v>0</v>
      </c>
      <c r="P1148" s="9" t="b" cm="1">
        <f t="array" ref="P1148">INDEX(stable[is_single_select],MATCH(VALUE(questions[[#This Row],[qno]]),VALUE(stable[qno]),0))</f>
        <v>0</v>
      </c>
      <c r="Q1148" s="9" t="b" cm="1">
        <f t="array" ref="Q1148">INDEX(stable[is_multi_select],MATCH(VALUE(questions[[#This Row],[qno]]),VALUE(stable[qno]),0))</f>
        <v>0</v>
      </c>
      <c r="R1148" s="9" t="b" cm="1">
        <f t="array" ref="R1148">INDEX(stable[is_skip_logic],MATCH(VALUE(questions[[#This Row],[qno]]),VALUE(stable[qno]),0))</f>
        <v>0</v>
      </c>
      <c r="S1148" s="9" t="str">
        <f>_xlfn.TEXTJOIN(", ",TRUE,questions[[#This Row],[ans_opt_1]:[ans_opt_14]])</f>
        <v/>
      </c>
      <c r="AH1148" s="16" t="b">
        <f>INDEX(stable[q_standard],MATCH(questions[[#This Row],[qno]],stable[qno],0))</f>
        <v>1</v>
      </c>
      <c r="AI1148" s="16" t="b">
        <f>INDEX(stable[q_living_income],MATCH(questions[[#This Row],[qno]],stable[qno],0))</f>
        <v>0</v>
      </c>
      <c r="AJ1148" s="16" t="b">
        <f>INDEX(stable[q_carbon],MATCH(questions[[#This Row],[qno]],stable[qno],0))</f>
        <v>0</v>
      </c>
      <c r="AK1148" s="16" t="b">
        <f>INDEX(stable[q_regen_ag],MATCH(questions[[#This Row],[qno]],stable[qno],0))</f>
        <v>0</v>
      </c>
      <c r="AL1148" s="16" t="b">
        <f>COUNTIFS(stable[qno],questions[[#This Row],[qno]])=1</f>
        <v>1</v>
      </c>
      <c r="AM1148" s="16" t="b">
        <f>OR(questions[[#This Row],[is_fixed]],questions[[#This Row],[is_localized]],questions[[#This Row],[is_supply_chain_dependent]])</f>
        <v>1</v>
      </c>
      <c r="AN1148" s="16" t="b">
        <f>COUNTIFS(questions[[#This Row],[is_automated]:[is_multi_select]],TRUE)=1</f>
        <v>1</v>
      </c>
      <c r="AO1148" s="16" t="b">
        <f>IF(questions[[#This Row],[is_fixed]],questions[[#This Row],[question]]=INDEX(stable[question],MATCH(questions[[#This Row],[qno]],stable[qno],0)),TRUE)</f>
        <v>1</v>
      </c>
      <c r="AP1148" s="16" t="str">
        <f>LEFT(questions[[#This Row],[question]],similarity_range)</f>
        <v>Plot tags</v>
      </c>
      <c r="AQ1148" s="16" t="str">
        <f>LEFT(INDEX(stable[question],MATCH(questions[[#This Row],[qno]],stable[qno],0)),similarity_range)</f>
        <v>Plot tags</v>
      </c>
      <c r="AR1148" s="16" t="b">
        <f>questions[[#This Row],[question_first_characters]]=questions[[#This Row],[stability_first_characters]]</f>
        <v>1</v>
      </c>
      <c r="AS1148" s="16" t="b">
        <f>IF(OR(questions[[#This Row],[is_single_select]],questions[[#This Row],[is_multi_select]]),NOT(ISBLANK(questions[[#This Row],[answer_opt_combined]])),TRUE)</f>
        <v>1</v>
      </c>
    </row>
    <row r="1149" spans="1:45" ht="15.75" customHeight="1" x14ac:dyDescent="0.25">
      <c r="A1149" s="9" t="str">
        <f>_xlfn.TEXTJOIN("_",TRUE,questions[[#This Row],[origin]:[qno]])</f>
        <v>Kenya_Arabica_Nestle_2025_1212</v>
      </c>
      <c r="B1149" s="33" t="s">
        <v>818</v>
      </c>
      <c r="C1149" s="33" t="s">
        <v>59</v>
      </c>
      <c r="D1149" s="33" t="s">
        <v>819</v>
      </c>
      <c r="E1149" s="33">
        <v>2025</v>
      </c>
      <c r="F1149" s="34" t="s">
        <v>93</v>
      </c>
      <c r="G1149" s="18" t="s">
        <v>94</v>
      </c>
      <c r="H1149" s="9" t="str" cm="1">
        <f t="array" ref="H1149">INDEX(stableR[question],MATCH(VALUE(questions[[#This Row],[qno]]),VALUE(stableR[qno]),0))</f>
        <v>Declared area (acre)</v>
      </c>
      <c r="I1149" s="9" t="b" cm="1">
        <f t="array" ref="I1149">INDEX(stable[is_fixed],MATCH(VALUE(questions[[#This Row],[qno]]),VALUE(stable[qno]),0))</f>
        <v>1</v>
      </c>
      <c r="J1149" s="9" t="b" cm="1">
        <f t="array" ref="J1149">INDEX(stable[is_localized],MATCH(VALUE(questions[[#This Row],[qno]]),VALUE(stable[qno]),0))</f>
        <v>0</v>
      </c>
      <c r="K1149" s="9" t="b" cm="1">
        <f t="array" ref="K1149">INDEX(stable[is_supply_chain_dependent],MATCH(VALUE(questions[[#This Row],[qno]]),VALUE(stable[qno]),0))</f>
        <v>0</v>
      </c>
      <c r="L1149" s="9" t="b" cm="1">
        <f t="array" ref="L1149">INDEX(stable[is_mandatory],MATCH(VALUE(questions[[#This Row],[qno]]),VALUE(stable[qno]),0))</f>
        <v>1</v>
      </c>
      <c r="M1149" s="9" t="b" cm="1">
        <f t="array" ref="M1149">INDEX(stable[is_automated],MATCH(VALUE(questions[[#This Row],[qno]]),VALUE(stable[qno]),0))</f>
        <v>1</v>
      </c>
      <c r="N1149" s="9" t="b" cm="1">
        <f t="array" ref="N1149">INDEX(stable[is_free_text],MATCH(VALUE(questions[[#This Row],[qno]]),VALUE(stable[qno]),0))</f>
        <v>0</v>
      </c>
      <c r="O1149" s="9" t="b" cm="1">
        <f t="array" ref="O1149">INDEX(stable[is_numerical],MATCH(VALUE(questions[[#This Row],[qno]]),VALUE(stable[qno]),0))</f>
        <v>1</v>
      </c>
      <c r="P1149" s="9" t="b" cm="1">
        <f t="array" ref="P1149">INDEX(stable[is_single_select],MATCH(VALUE(questions[[#This Row],[qno]]),VALUE(stable[qno]),0))</f>
        <v>0</v>
      </c>
      <c r="Q1149" s="9" t="b" cm="1">
        <f t="array" ref="Q1149">INDEX(stable[is_multi_select],MATCH(VALUE(questions[[#This Row],[qno]]),VALUE(stable[qno]),0))</f>
        <v>0</v>
      </c>
      <c r="R1149" s="9" t="b" cm="1">
        <f t="array" ref="R1149">INDEX(stable[is_skip_logic],MATCH(VALUE(questions[[#This Row],[qno]]),VALUE(stable[qno]),0))</f>
        <v>0</v>
      </c>
      <c r="S1149" s="9" t="str">
        <f>_xlfn.TEXTJOIN(", ",TRUE,questions[[#This Row],[ans_opt_1]:[ans_opt_14]])</f>
        <v/>
      </c>
      <c r="AH1149" s="16" t="b">
        <f>INDEX(stable[q_standard],MATCH(questions[[#This Row],[qno]],stable[qno],0))</f>
        <v>1</v>
      </c>
      <c r="AI1149" s="16" t="b">
        <f>INDEX(stable[q_living_income],MATCH(questions[[#This Row],[qno]],stable[qno],0))</f>
        <v>0</v>
      </c>
      <c r="AJ1149" s="16" t="b">
        <f>INDEX(stable[q_carbon],MATCH(questions[[#This Row],[qno]],stable[qno],0))</f>
        <v>0</v>
      </c>
      <c r="AK1149" s="16" t="b">
        <f>INDEX(stable[q_regen_ag],MATCH(questions[[#This Row],[qno]],stable[qno],0))</f>
        <v>0</v>
      </c>
      <c r="AL1149" s="16" t="b">
        <f>COUNTIFS(stable[qno],questions[[#This Row],[qno]])=1</f>
        <v>1</v>
      </c>
      <c r="AM1149" s="16" t="b">
        <f>OR(questions[[#This Row],[is_fixed]],questions[[#This Row],[is_localized]],questions[[#This Row],[is_supply_chain_dependent]])</f>
        <v>1</v>
      </c>
      <c r="AN1149" s="16" t="b">
        <f>COUNTIFS(questions[[#This Row],[is_automated]:[is_multi_select]],TRUE)=1</f>
        <v>0</v>
      </c>
      <c r="AO1149" s="16" t="b">
        <f>IF(questions[[#This Row],[is_fixed]],questions[[#This Row],[question]]=INDEX(stable[question],MATCH(questions[[#This Row],[qno]],stable[qno],0)),TRUE)</f>
        <v>1</v>
      </c>
      <c r="AP1149" s="16" t="str">
        <f>LEFT(questions[[#This Row],[question]],similarity_range)</f>
        <v>Declared area (acre)</v>
      </c>
      <c r="AQ1149" s="16" t="str">
        <f>LEFT(INDEX(stable[question],MATCH(questions[[#This Row],[qno]],stable[qno],0)),similarity_range)</f>
        <v>Declared area (acre)</v>
      </c>
      <c r="AR1149" s="16" t="b">
        <f>questions[[#This Row],[question_first_characters]]=questions[[#This Row],[stability_first_characters]]</f>
        <v>1</v>
      </c>
      <c r="AS1149" s="16" t="b">
        <f>IF(OR(questions[[#This Row],[is_single_select]],questions[[#This Row],[is_multi_select]]),NOT(ISBLANK(questions[[#This Row],[answer_opt_combined]])),TRUE)</f>
        <v>1</v>
      </c>
    </row>
    <row r="1150" spans="1:45" ht="15.75" customHeight="1" x14ac:dyDescent="0.25">
      <c r="A1150" s="9" t="str">
        <f>_xlfn.TEXTJOIN("_",TRUE,questions[[#This Row],[origin]:[qno]])</f>
        <v>Kenya_Arabica_Nestle_2025_1213</v>
      </c>
      <c r="B1150" s="33" t="s">
        <v>818</v>
      </c>
      <c r="C1150" s="33" t="s">
        <v>59</v>
      </c>
      <c r="D1150" s="33" t="s">
        <v>819</v>
      </c>
      <c r="E1150" s="33">
        <v>2025</v>
      </c>
      <c r="F1150" s="34" t="s">
        <v>95</v>
      </c>
      <c r="G1150" s="18" t="s">
        <v>96</v>
      </c>
      <c r="H1150" s="9" t="str" cm="1">
        <f t="array" ref="H1150">INDEX(stableR[question],MATCH(VALUE(questions[[#This Row],[qno]]),VALUE(stableR[qno]),0))</f>
        <v>Audited area (acre)</v>
      </c>
      <c r="I1150" s="9" t="b" cm="1">
        <f t="array" ref="I1150">INDEX(stable[is_fixed],MATCH(VALUE(questions[[#This Row],[qno]]),VALUE(stable[qno]),0))</f>
        <v>1</v>
      </c>
      <c r="J1150" s="9" t="b" cm="1">
        <f t="array" ref="J1150">INDEX(stable[is_localized],MATCH(VALUE(questions[[#This Row],[qno]]),VALUE(stable[qno]),0))</f>
        <v>0</v>
      </c>
      <c r="K1150" s="9" t="b" cm="1">
        <f t="array" ref="K1150">INDEX(stable[is_supply_chain_dependent],MATCH(VALUE(questions[[#This Row],[qno]]),VALUE(stable[qno]),0))</f>
        <v>0</v>
      </c>
      <c r="L1150" s="9" t="b" cm="1">
        <f t="array" ref="L1150">INDEX(stable[is_mandatory],MATCH(VALUE(questions[[#This Row],[qno]]),VALUE(stable[qno]),0))</f>
        <v>1</v>
      </c>
      <c r="M1150" s="9" t="b" cm="1">
        <f t="array" ref="M1150">INDEX(stable[is_automated],MATCH(VALUE(questions[[#This Row],[qno]]),VALUE(stable[qno]),0))</f>
        <v>1</v>
      </c>
      <c r="N1150" s="9" t="b" cm="1">
        <f t="array" ref="N1150">INDEX(stable[is_free_text],MATCH(VALUE(questions[[#This Row],[qno]]),VALUE(stable[qno]),0))</f>
        <v>0</v>
      </c>
      <c r="O1150" s="9" t="b" cm="1">
        <f t="array" ref="O1150">INDEX(stable[is_numerical],MATCH(VALUE(questions[[#This Row],[qno]]),VALUE(stable[qno]),0))</f>
        <v>1</v>
      </c>
      <c r="P1150" s="9" t="b" cm="1">
        <f t="array" ref="P1150">INDEX(stable[is_single_select],MATCH(VALUE(questions[[#This Row],[qno]]),VALUE(stable[qno]),0))</f>
        <v>0</v>
      </c>
      <c r="Q1150" s="9" t="b" cm="1">
        <f t="array" ref="Q1150">INDEX(stable[is_multi_select],MATCH(VALUE(questions[[#This Row],[qno]]),VALUE(stable[qno]),0))</f>
        <v>0</v>
      </c>
      <c r="R1150" s="9" t="b" cm="1">
        <f t="array" ref="R1150">INDEX(stable[is_skip_logic],MATCH(VALUE(questions[[#This Row],[qno]]),VALUE(stable[qno]),0))</f>
        <v>0</v>
      </c>
      <c r="S1150" s="9" t="str">
        <f>_xlfn.TEXTJOIN(", ",TRUE,questions[[#This Row],[ans_opt_1]:[ans_opt_14]])</f>
        <v/>
      </c>
      <c r="AH1150" s="16" t="b">
        <f>INDEX(stable[q_standard],MATCH(questions[[#This Row],[qno]],stable[qno],0))</f>
        <v>1</v>
      </c>
      <c r="AI1150" s="16" t="b">
        <f>INDEX(stable[q_living_income],MATCH(questions[[#This Row],[qno]],stable[qno],0))</f>
        <v>0</v>
      </c>
      <c r="AJ1150" s="16" t="b">
        <f>INDEX(stable[q_carbon],MATCH(questions[[#This Row],[qno]],stable[qno],0))</f>
        <v>0</v>
      </c>
      <c r="AK1150" s="16" t="b">
        <f>INDEX(stable[q_regen_ag],MATCH(questions[[#This Row],[qno]],stable[qno],0))</f>
        <v>0</v>
      </c>
      <c r="AL1150" s="16" t="b">
        <f>COUNTIFS(stable[qno],questions[[#This Row],[qno]])=1</f>
        <v>1</v>
      </c>
      <c r="AM1150" s="16" t="b">
        <f>OR(questions[[#This Row],[is_fixed]],questions[[#This Row],[is_localized]],questions[[#This Row],[is_supply_chain_dependent]])</f>
        <v>1</v>
      </c>
      <c r="AN1150" s="16" t="b">
        <f>COUNTIFS(questions[[#This Row],[is_automated]:[is_multi_select]],TRUE)=1</f>
        <v>0</v>
      </c>
      <c r="AO1150" s="16" t="b">
        <f>IF(questions[[#This Row],[is_fixed]],questions[[#This Row],[question]]=INDEX(stable[question],MATCH(questions[[#This Row],[qno]],stable[qno],0)),TRUE)</f>
        <v>1</v>
      </c>
      <c r="AP1150" s="16" t="str">
        <f>LEFT(questions[[#This Row],[question]],similarity_range)</f>
        <v>Audited area (acre)</v>
      </c>
      <c r="AQ1150" s="16" t="str">
        <f>LEFT(INDEX(stable[question],MATCH(questions[[#This Row],[qno]],stable[qno],0)),similarity_range)</f>
        <v>Audited area (acre)</v>
      </c>
      <c r="AR1150" s="16" t="b">
        <f>questions[[#This Row],[question_first_characters]]=questions[[#This Row],[stability_first_characters]]</f>
        <v>1</v>
      </c>
      <c r="AS1150" s="16" t="b">
        <f>IF(OR(questions[[#This Row],[is_single_select]],questions[[#This Row],[is_multi_select]]),NOT(ISBLANK(questions[[#This Row],[answer_opt_combined]])),TRUE)</f>
        <v>1</v>
      </c>
    </row>
    <row r="1151" spans="1:45" ht="15.75" customHeight="1" x14ac:dyDescent="0.25">
      <c r="A1151" s="9" t="str">
        <f>_xlfn.TEXTJOIN("_",TRUE,questions[[#This Row],[origin]:[qno]])</f>
        <v>Kenya_Arabica_Nestle_2025_1216</v>
      </c>
      <c r="B1151" s="33" t="s">
        <v>818</v>
      </c>
      <c r="C1151" s="33" t="s">
        <v>59</v>
      </c>
      <c r="D1151" s="33" t="s">
        <v>819</v>
      </c>
      <c r="E1151" s="33">
        <v>2025</v>
      </c>
      <c r="F1151" s="34" t="s">
        <v>97</v>
      </c>
      <c r="G1151" s="18" t="s">
        <v>98</v>
      </c>
      <c r="H1151" s="9" t="str" cm="1">
        <f t="array" ref="H1151">INDEX(stableR[question],MATCH(VALUE(questions[[#This Row],[qno]]),VALUE(stableR[qno]),0))</f>
        <v>Coordinates</v>
      </c>
      <c r="I1151" s="9" t="b" cm="1">
        <f t="array" ref="I1151">INDEX(stable[is_fixed],MATCH(VALUE(questions[[#This Row],[qno]]),VALUE(stable[qno]),0))</f>
        <v>1</v>
      </c>
      <c r="J1151" s="9" t="b" cm="1">
        <f t="array" ref="J1151">INDEX(stable[is_localized],MATCH(VALUE(questions[[#This Row],[qno]]),VALUE(stable[qno]),0))</f>
        <v>0</v>
      </c>
      <c r="K1151" s="9" t="b" cm="1">
        <f t="array" ref="K1151">INDEX(stable[is_supply_chain_dependent],MATCH(VALUE(questions[[#This Row],[qno]]),VALUE(stable[qno]),0))</f>
        <v>0</v>
      </c>
      <c r="L1151" s="9" t="b" cm="1">
        <f t="array" ref="L1151">INDEX(stable[is_mandatory],MATCH(VALUE(questions[[#This Row],[qno]]),VALUE(stable[qno]),0))</f>
        <v>1</v>
      </c>
      <c r="M1151" s="9" t="b" cm="1">
        <f t="array" ref="M1151">INDEX(stable[is_automated],MATCH(VALUE(questions[[#This Row],[qno]]),VALUE(stable[qno]),0))</f>
        <v>1</v>
      </c>
      <c r="N1151" s="9" t="b" cm="1">
        <f t="array" ref="N1151">INDEX(stable[is_free_text],MATCH(VALUE(questions[[#This Row],[qno]]),VALUE(stable[qno]),0))</f>
        <v>0</v>
      </c>
      <c r="O1151" s="9" t="b" cm="1">
        <f t="array" ref="O1151">INDEX(stable[is_numerical],MATCH(VALUE(questions[[#This Row],[qno]]),VALUE(stable[qno]),0))</f>
        <v>0</v>
      </c>
      <c r="P1151" s="9" t="b" cm="1">
        <f t="array" ref="P1151">INDEX(stable[is_single_select],MATCH(VALUE(questions[[#This Row],[qno]]),VALUE(stable[qno]),0))</f>
        <v>0</v>
      </c>
      <c r="Q1151" s="9" t="b" cm="1">
        <f t="array" ref="Q1151">INDEX(stable[is_multi_select],MATCH(VALUE(questions[[#This Row],[qno]]),VALUE(stable[qno]),0))</f>
        <v>0</v>
      </c>
      <c r="R1151" s="9" t="b" cm="1">
        <f t="array" ref="R1151">INDEX(stable[is_skip_logic],MATCH(VALUE(questions[[#This Row],[qno]]),VALUE(stable[qno]),0))</f>
        <v>0</v>
      </c>
      <c r="S1151" s="9" t="str">
        <f>_xlfn.TEXTJOIN(", ",TRUE,questions[[#This Row],[ans_opt_1]:[ans_opt_14]])</f>
        <v/>
      </c>
      <c r="AH1151" s="16" t="b">
        <f>INDEX(stable[q_standard],MATCH(questions[[#This Row],[qno]],stable[qno],0))</f>
        <v>1</v>
      </c>
      <c r="AI1151" s="16" t="b">
        <f>INDEX(stable[q_living_income],MATCH(questions[[#This Row],[qno]],stable[qno],0))</f>
        <v>0</v>
      </c>
      <c r="AJ1151" s="16" t="b">
        <f>INDEX(stable[q_carbon],MATCH(questions[[#This Row],[qno]],stable[qno],0))</f>
        <v>0</v>
      </c>
      <c r="AK1151" s="16" t="b">
        <f>INDEX(stable[q_regen_ag],MATCH(questions[[#This Row],[qno]],stable[qno],0))</f>
        <v>0</v>
      </c>
      <c r="AL1151" s="16" t="b">
        <f>COUNTIFS(stable[qno],questions[[#This Row],[qno]])=1</f>
        <v>1</v>
      </c>
      <c r="AM1151" s="16" t="b">
        <f>OR(questions[[#This Row],[is_fixed]],questions[[#This Row],[is_localized]],questions[[#This Row],[is_supply_chain_dependent]])</f>
        <v>1</v>
      </c>
      <c r="AN1151" s="16" t="b">
        <f>COUNTIFS(questions[[#This Row],[is_automated]:[is_multi_select]],TRUE)=1</f>
        <v>1</v>
      </c>
      <c r="AO1151" s="16" t="b">
        <f>IF(questions[[#This Row],[is_fixed]],questions[[#This Row],[question]]=INDEX(stable[question],MATCH(questions[[#This Row],[qno]],stable[qno],0)),TRUE)</f>
        <v>1</v>
      </c>
      <c r="AP1151" s="16" t="str">
        <f>LEFT(questions[[#This Row],[question]],similarity_range)</f>
        <v>Coordinates</v>
      </c>
      <c r="AQ1151" s="16" t="str">
        <f>LEFT(INDEX(stable[question],MATCH(questions[[#This Row],[qno]],stable[qno],0)),similarity_range)</f>
        <v>Coordinates</v>
      </c>
      <c r="AR1151" s="16" t="b">
        <f>questions[[#This Row],[question_first_characters]]=questions[[#This Row],[stability_first_characters]]</f>
        <v>1</v>
      </c>
      <c r="AS1151" s="16" t="b">
        <f>IF(OR(questions[[#This Row],[is_single_select]],questions[[#This Row],[is_multi_select]]),NOT(ISBLANK(questions[[#This Row],[answer_opt_combined]])),TRUE)</f>
        <v>1</v>
      </c>
    </row>
    <row r="1152" spans="1:45" s="77" customFormat="1" ht="15.75" customHeight="1" x14ac:dyDescent="0.25">
      <c r="A1152" s="77" t="str">
        <f>_xlfn.TEXTJOIN("_",TRUE,questions[[#This Row],[origin]:[qno]])</f>
        <v>Kenya_Arabica_Nestle_2025_2000</v>
      </c>
      <c r="B1152" s="77" t="s">
        <v>818</v>
      </c>
      <c r="C1152" s="77" t="s">
        <v>59</v>
      </c>
      <c r="D1152" s="77" t="s">
        <v>819</v>
      </c>
      <c r="E1152" s="77">
        <v>2025</v>
      </c>
      <c r="F1152" s="105" t="s">
        <v>99</v>
      </c>
      <c r="G1152" s="78" t="s">
        <v>100</v>
      </c>
      <c r="H1152" s="9" t="str" cm="1">
        <f t="array" ref="H1152">INDEX(stableR[question],MATCH(VALUE(questions[[#This Row],[qno]]),VALUE(stableR[qno]),0))</f>
        <v>Who was present and answering the questions for the interview?</v>
      </c>
      <c r="I1152" s="9" t="b" cm="1">
        <f t="array" ref="I1152">INDEX(stable[is_fixed],MATCH(VALUE(questions[[#This Row],[qno]]),VALUE(stable[qno]),0))</f>
        <v>1</v>
      </c>
      <c r="J1152" s="9" t="b" cm="1">
        <f t="array" ref="J1152">INDEX(stable[is_localized],MATCH(VALUE(questions[[#This Row],[qno]]),VALUE(stable[qno]),0))</f>
        <v>0</v>
      </c>
      <c r="K1152" s="9" t="b" cm="1">
        <f t="array" ref="K1152">INDEX(stable[is_supply_chain_dependent],MATCH(VALUE(questions[[#This Row],[qno]]),VALUE(stable[qno]),0))</f>
        <v>0</v>
      </c>
      <c r="L1152" s="9" t="b" cm="1">
        <f t="array" ref="L1152">INDEX(stable[is_mandatory],MATCH(VALUE(questions[[#This Row],[qno]]),VALUE(stable[qno]),0))</f>
        <v>1</v>
      </c>
      <c r="M1152" s="9" t="b" cm="1">
        <f t="array" ref="M1152">INDEX(stable[is_automated],MATCH(VALUE(questions[[#This Row],[qno]]),VALUE(stable[qno]),0))</f>
        <v>0</v>
      </c>
      <c r="N1152" s="9" t="b" cm="1">
        <f t="array" ref="N1152">INDEX(stable[is_free_text],MATCH(VALUE(questions[[#This Row],[qno]]),VALUE(stable[qno]),0))</f>
        <v>0</v>
      </c>
      <c r="O1152" s="9" t="b" cm="1">
        <f t="array" ref="O1152">INDEX(stable[is_numerical],MATCH(VALUE(questions[[#This Row],[qno]]),VALUE(stable[qno]),0))</f>
        <v>0</v>
      </c>
      <c r="P1152" s="77" t="b" cm="1">
        <f t="array" ref="P1152">INDEX(stable[is_single_select],MATCH(VALUE(questions[[#This Row],[qno]]),VALUE(stable[qno]),0))</f>
        <v>0</v>
      </c>
      <c r="Q1152" s="77" t="b" cm="1">
        <f t="array" ref="Q1152">INDEX(stable[is_multi_select],MATCH(VALUE(questions[[#This Row],[qno]]),VALUE(stable[qno]),0))</f>
        <v>1</v>
      </c>
      <c r="R1152" s="77" t="b" cm="1">
        <f t="array" ref="R1152">INDEX(stable[is_skip_logic],MATCH(VALUE(questions[[#This Row],[qno]]),VALUE(stable[qno]),0))</f>
        <v>0</v>
      </c>
      <c r="S1152" s="77" t="str">
        <f>_xlfn.TEXTJOIN(", ",TRUE,questions[[#This Row],[ans_opt_1]:[ans_opt_14]])</f>
        <v>Wife, Husband, Other important household member</v>
      </c>
      <c r="T1152" s="77" t="s">
        <v>101</v>
      </c>
      <c r="U1152" s="77" t="s">
        <v>102</v>
      </c>
      <c r="V1152" s="77" t="s">
        <v>103</v>
      </c>
      <c r="AH1152" s="98" t="b">
        <f>INDEX(stable[q_standard],MATCH(questions[[#This Row],[qno]],stable[qno],0))</f>
        <v>1</v>
      </c>
      <c r="AI1152" s="98" t="b">
        <f>INDEX(stable[q_living_income],MATCH(questions[[#This Row],[qno]],stable[qno],0))</f>
        <v>0</v>
      </c>
      <c r="AJ1152" s="98" t="b">
        <f>INDEX(stable[q_carbon],MATCH(questions[[#This Row],[qno]],stable[qno],0))</f>
        <v>0</v>
      </c>
      <c r="AK1152" s="98" t="b">
        <f>INDEX(stable[q_regen_ag],MATCH(questions[[#This Row],[qno]],stable[qno],0))</f>
        <v>0</v>
      </c>
      <c r="AL1152" s="98" t="b">
        <f>COUNTIFS(stable[qno],questions[[#This Row],[qno]])=1</f>
        <v>1</v>
      </c>
      <c r="AM1152" s="98" t="b">
        <f>OR(questions[[#This Row],[is_fixed]],questions[[#This Row],[is_localized]],questions[[#This Row],[is_supply_chain_dependent]])</f>
        <v>1</v>
      </c>
      <c r="AN1152" s="98" t="b">
        <f>COUNTIFS(questions[[#This Row],[is_automated]:[is_multi_select]],TRUE)=1</f>
        <v>1</v>
      </c>
      <c r="AO1152" s="98" t="b">
        <f>IF(questions[[#This Row],[is_fixed]],questions[[#This Row],[question]]=INDEX(stable[question],MATCH(questions[[#This Row],[qno]],stable[qno],0)),TRUE)</f>
        <v>1</v>
      </c>
      <c r="AP1152" s="98" t="str">
        <f>LEFT(questions[[#This Row],[question]],similarity_range)</f>
        <v xml:space="preserve">Who was present and </v>
      </c>
      <c r="AQ1152" s="98" t="str">
        <f>LEFT(INDEX(stable[question],MATCH(questions[[#This Row],[qno]],stable[qno],0)),similarity_range)</f>
        <v xml:space="preserve">Who was present and </v>
      </c>
      <c r="AR1152" s="98" t="b">
        <f>questions[[#This Row],[question_first_characters]]=questions[[#This Row],[stability_first_characters]]</f>
        <v>1</v>
      </c>
      <c r="AS1152" s="98" t="b">
        <f>IF(OR(questions[[#This Row],[is_single_select]],questions[[#This Row],[is_multi_select]]),NOT(ISBLANK(questions[[#This Row],[answer_opt_combined]])),TRUE)</f>
        <v>1</v>
      </c>
    </row>
    <row r="1153" spans="1:45" s="77" customFormat="1" ht="15.75" customHeight="1" x14ac:dyDescent="0.25">
      <c r="A1153" s="77" t="str">
        <f>_xlfn.TEXTJOIN("_",TRUE,questions[[#This Row],[origin]:[qno]])</f>
        <v>Kenya_Arabica_Nestle_2025_2001</v>
      </c>
      <c r="B1153" s="77" t="s">
        <v>818</v>
      </c>
      <c r="C1153" s="77" t="s">
        <v>59</v>
      </c>
      <c r="D1153" s="77" t="s">
        <v>819</v>
      </c>
      <c r="E1153" s="77">
        <v>2025</v>
      </c>
      <c r="F1153" s="105" t="s">
        <v>104</v>
      </c>
      <c r="G1153" s="78" t="s">
        <v>105</v>
      </c>
      <c r="H1153" s="9" t="str" cm="1">
        <f t="array" ref="H1153">INDEX(stableR[question],MATCH(VALUE(questions[[#This Row],[qno]]),VALUE(stableR[qno]),0))</f>
        <v>What is the gender of the lead farmer in the household? (The person that is selling the coffee)</v>
      </c>
      <c r="I1153" s="9" t="b" cm="1">
        <f t="array" ref="I1153">INDEX(stable[is_fixed],MATCH(VALUE(questions[[#This Row],[qno]]),VALUE(stable[qno]),0))</f>
        <v>1</v>
      </c>
      <c r="J1153" s="9" t="b" cm="1">
        <f t="array" ref="J1153">INDEX(stable[is_localized],MATCH(VALUE(questions[[#This Row],[qno]]),VALUE(stable[qno]),0))</f>
        <v>0</v>
      </c>
      <c r="K1153" s="9" t="b" cm="1">
        <f t="array" ref="K1153">INDEX(stable[is_supply_chain_dependent],MATCH(VALUE(questions[[#This Row],[qno]]),VALUE(stable[qno]),0))</f>
        <v>0</v>
      </c>
      <c r="L1153" s="9" t="b" cm="1">
        <f t="array" ref="L1153">INDEX(stable[is_mandatory],MATCH(VALUE(questions[[#This Row],[qno]]),VALUE(stable[qno]),0))</f>
        <v>1</v>
      </c>
      <c r="M1153" s="9" t="b" cm="1">
        <f t="array" ref="M1153">INDEX(stable[is_automated],MATCH(VALUE(questions[[#This Row],[qno]]),VALUE(stable[qno]),0))</f>
        <v>0</v>
      </c>
      <c r="N1153" s="9" t="b" cm="1">
        <f t="array" ref="N1153">INDEX(stable[is_free_text],MATCH(VALUE(questions[[#This Row],[qno]]),VALUE(stable[qno]),0))</f>
        <v>0</v>
      </c>
      <c r="O1153" s="9" t="b" cm="1">
        <f t="array" ref="O1153">INDEX(stable[is_numerical],MATCH(VALUE(questions[[#This Row],[qno]]),VALUE(stable[qno]),0))</f>
        <v>0</v>
      </c>
      <c r="P1153" s="77" t="b" cm="1">
        <f t="array" ref="P1153">INDEX(stable[is_single_select],MATCH(VALUE(questions[[#This Row],[qno]]),VALUE(stable[qno]),0))</f>
        <v>1</v>
      </c>
      <c r="Q1153" s="77" t="b" cm="1">
        <f t="array" ref="Q1153">INDEX(stable[is_multi_select],MATCH(VALUE(questions[[#This Row],[qno]]),VALUE(stable[qno]),0))</f>
        <v>0</v>
      </c>
      <c r="R1153" s="77" t="b" cm="1">
        <f t="array" ref="R1153">INDEX(stable[is_skip_logic],MATCH(VALUE(questions[[#This Row],[qno]]),VALUE(stable[qno]),0))</f>
        <v>0</v>
      </c>
      <c r="S1153" s="77" t="str">
        <f>_xlfn.TEXTJOIN(", ",TRUE,questions[[#This Row],[ans_opt_1]:[ans_opt_14]])</f>
        <v>Female, Male</v>
      </c>
      <c r="T1153" s="77" t="s">
        <v>106</v>
      </c>
      <c r="U1153" s="77" t="s">
        <v>107</v>
      </c>
      <c r="AH1153" s="98" t="b">
        <f>INDEX(stable[q_standard],MATCH(questions[[#This Row],[qno]],stable[qno],0))</f>
        <v>1</v>
      </c>
      <c r="AI1153" s="98" t="b">
        <f>INDEX(stable[q_living_income],MATCH(questions[[#This Row],[qno]],stable[qno],0))</f>
        <v>0</v>
      </c>
      <c r="AJ1153" s="98" t="b">
        <f>INDEX(stable[q_carbon],MATCH(questions[[#This Row],[qno]],stable[qno],0))</f>
        <v>0</v>
      </c>
      <c r="AK1153" s="98" t="b">
        <f>INDEX(stable[q_regen_ag],MATCH(questions[[#This Row],[qno]],stable[qno],0))</f>
        <v>0</v>
      </c>
      <c r="AL1153" s="98" t="b">
        <f>COUNTIFS(stable[qno],questions[[#This Row],[qno]])=1</f>
        <v>1</v>
      </c>
      <c r="AM1153" s="98" t="b">
        <f>OR(questions[[#This Row],[is_fixed]],questions[[#This Row],[is_localized]],questions[[#This Row],[is_supply_chain_dependent]])</f>
        <v>1</v>
      </c>
      <c r="AN1153" s="98" t="b">
        <f>COUNTIFS(questions[[#This Row],[is_automated]:[is_multi_select]],TRUE)=1</f>
        <v>1</v>
      </c>
      <c r="AO1153" s="98" t="b">
        <f>IF(questions[[#This Row],[is_fixed]],questions[[#This Row],[question]]=INDEX(stable[question],MATCH(questions[[#This Row],[qno]],stable[qno],0)),TRUE)</f>
        <v>1</v>
      </c>
      <c r="AP1153" s="98" t="str">
        <f>LEFT(questions[[#This Row],[question]],similarity_range)</f>
        <v>What is the gender o</v>
      </c>
      <c r="AQ1153" s="98" t="str">
        <f>LEFT(INDEX(stable[question],MATCH(questions[[#This Row],[qno]],stable[qno],0)),similarity_range)</f>
        <v>What is the gender o</v>
      </c>
      <c r="AR1153" s="98" t="b">
        <f>questions[[#This Row],[question_first_characters]]=questions[[#This Row],[stability_first_characters]]</f>
        <v>1</v>
      </c>
      <c r="AS1153" s="98" t="b">
        <f>IF(OR(questions[[#This Row],[is_single_select]],questions[[#This Row],[is_multi_select]]),NOT(ISBLANK(questions[[#This Row],[answer_opt_combined]])),TRUE)</f>
        <v>1</v>
      </c>
    </row>
    <row r="1154" spans="1:45" s="77" customFormat="1" ht="15.75" customHeight="1" x14ac:dyDescent="0.25">
      <c r="A1154" s="77" t="str">
        <f>_xlfn.TEXTJOIN("_",TRUE,questions[[#This Row],[origin]:[qno]])</f>
        <v>Kenya_Arabica_Nestle_2025_2002</v>
      </c>
      <c r="B1154" s="77" t="s">
        <v>818</v>
      </c>
      <c r="C1154" s="77" t="s">
        <v>59</v>
      </c>
      <c r="D1154" s="77" t="s">
        <v>819</v>
      </c>
      <c r="E1154" s="77">
        <v>2025</v>
      </c>
      <c r="F1154" s="108" t="s">
        <v>108</v>
      </c>
      <c r="G1154" s="78" t="s">
        <v>109</v>
      </c>
      <c r="H1154" s="9" t="str" cm="1">
        <f t="array" ref="H1154">INDEX(stableR[question],MATCH(VALUE(questions[[#This Row],[qno]]),VALUE(stableR[qno]),0))</f>
        <v>What type of household is this?</v>
      </c>
      <c r="I1154" s="9" t="b" cm="1">
        <f t="array" ref="I1154">INDEX(stable[is_fixed],MATCH(VALUE(questions[[#This Row],[qno]]),VALUE(stable[qno]),0))</f>
        <v>1</v>
      </c>
      <c r="J1154" s="9" t="b" cm="1">
        <f t="array" ref="J1154">INDEX(stable[is_localized],MATCH(VALUE(questions[[#This Row],[qno]]),VALUE(stable[qno]),0))</f>
        <v>0</v>
      </c>
      <c r="K1154" s="9" t="b" cm="1">
        <f t="array" ref="K1154">INDEX(stable[is_supply_chain_dependent],MATCH(VALUE(questions[[#This Row],[qno]]),VALUE(stable[qno]),0))</f>
        <v>0</v>
      </c>
      <c r="L1154" s="9" t="b" cm="1">
        <f t="array" ref="L1154">INDEX(stable[is_mandatory],MATCH(VALUE(questions[[#This Row],[qno]]),VALUE(stable[qno]),0))</f>
        <v>1</v>
      </c>
      <c r="M1154" s="9" t="b" cm="1">
        <f t="array" ref="M1154">INDEX(stable[is_automated],MATCH(VALUE(questions[[#This Row],[qno]]),VALUE(stable[qno]),0))</f>
        <v>0</v>
      </c>
      <c r="N1154" s="9" t="b" cm="1">
        <f t="array" ref="N1154">INDEX(stable[is_free_text],MATCH(VALUE(questions[[#This Row],[qno]]),VALUE(stable[qno]),0))</f>
        <v>0</v>
      </c>
      <c r="O1154" s="9" t="b" cm="1">
        <f t="array" ref="O1154">INDEX(stable[is_numerical],MATCH(VALUE(questions[[#This Row],[qno]]),VALUE(stable[qno]),0))</f>
        <v>0</v>
      </c>
      <c r="P1154" s="77" t="b" cm="1">
        <f t="array" ref="P1154">INDEX(stable[is_single_select],MATCH(VALUE(questions[[#This Row],[qno]]),VALUE(stable[qno]),0))</f>
        <v>1</v>
      </c>
      <c r="Q1154" s="77" t="b" cm="1">
        <f t="array" ref="Q1154">INDEX(stable[is_multi_select],MATCH(VALUE(questions[[#This Row],[qno]]),VALUE(stable[qno]),0))</f>
        <v>0</v>
      </c>
      <c r="R1154" s="77" t="b" cm="1">
        <f t="array" ref="R1154">INDEX(stable[is_skip_logic],MATCH(VALUE(questions[[#This Row],[qno]]),VALUE(stable[qno]),0))</f>
        <v>0</v>
      </c>
      <c r="S1154" s="77" t="str">
        <f>_xlfn.TEXTJOIN(", ",TRUE,questions[[#This Row],[ans_opt_1]:[ans_opt_14]])</f>
        <v>Male headed, Female headed, Other</v>
      </c>
      <c r="T1154" s="77" t="s">
        <v>110</v>
      </c>
      <c r="U1154" s="77" t="s">
        <v>111</v>
      </c>
      <c r="V1154" s="77" t="s">
        <v>112</v>
      </c>
      <c r="AH1154" s="98" t="b">
        <f>INDEX(stable[q_standard],MATCH(questions[[#This Row],[qno]],stable[qno],0))</f>
        <v>1</v>
      </c>
      <c r="AI1154" s="98" t="b">
        <f>INDEX(stable[q_living_income],MATCH(questions[[#This Row],[qno]],stable[qno],0))</f>
        <v>0</v>
      </c>
      <c r="AJ1154" s="98" t="b">
        <f>INDEX(stable[q_carbon],MATCH(questions[[#This Row],[qno]],stable[qno],0))</f>
        <v>0</v>
      </c>
      <c r="AK1154" s="98" t="b">
        <f>INDEX(stable[q_regen_ag],MATCH(questions[[#This Row],[qno]],stable[qno],0))</f>
        <v>0</v>
      </c>
      <c r="AL1154" s="98" t="b">
        <f>COUNTIFS(stable[qno],questions[[#This Row],[qno]])=1</f>
        <v>1</v>
      </c>
      <c r="AM1154" s="98" t="b">
        <f>OR(questions[[#This Row],[is_fixed]],questions[[#This Row],[is_localized]],questions[[#This Row],[is_supply_chain_dependent]])</f>
        <v>1</v>
      </c>
      <c r="AN1154" s="98" t="b">
        <f>COUNTIFS(questions[[#This Row],[is_automated]:[is_multi_select]],TRUE)=1</f>
        <v>1</v>
      </c>
      <c r="AO1154" s="98" t="b">
        <f>IF(questions[[#This Row],[is_fixed]],questions[[#This Row],[question]]=INDEX(stable[question],MATCH(questions[[#This Row],[qno]],stable[qno],0)),TRUE)</f>
        <v>1</v>
      </c>
      <c r="AP1154" s="98" t="str">
        <f>LEFT(questions[[#This Row],[question]],similarity_range)</f>
        <v>What type of househo</v>
      </c>
      <c r="AQ1154" s="98" t="str">
        <f>LEFT(INDEX(stable[question],MATCH(questions[[#This Row],[qno]],stable[qno],0)),similarity_range)</f>
        <v>What type of househo</v>
      </c>
      <c r="AR1154" s="98" t="b">
        <f>questions[[#This Row],[question_first_characters]]=questions[[#This Row],[stability_first_characters]]</f>
        <v>1</v>
      </c>
      <c r="AS1154" s="98" t="b">
        <f>IF(OR(questions[[#This Row],[is_single_select]],questions[[#This Row],[is_multi_select]]),NOT(ISBLANK(questions[[#This Row],[answer_opt_combined]])),TRUE)</f>
        <v>1</v>
      </c>
    </row>
    <row r="1155" spans="1:45" ht="15.75" customHeight="1" x14ac:dyDescent="0.25">
      <c r="A1155" s="9" t="str">
        <f>_xlfn.TEXTJOIN("_",TRUE,questions[[#This Row],[origin]:[qno]])</f>
        <v>Kenya_Arabica_Nestle_2025_2003</v>
      </c>
      <c r="B1155" s="33" t="s">
        <v>818</v>
      </c>
      <c r="C1155" s="33" t="s">
        <v>59</v>
      </c>
      <c r="D1155" s="33" t="s">
        <v>819</v>
      </c>
      <c r="E1155" s="33">
        <v>2025</v>
      </c>
      <c r="F1155" s="41" t="s">
        <v>113</v>
      </c>
      <c r="G1155" s="18" t="s">
        <v>948</v>
      </c>
      <c r="H1155" s="9" t="str" cm="1">
        <f t="array" ref="H1155">INDEX(stableR[question],MATCH(VALUE(questions[[#This Row],[qno]]),VALUE(stableR[qno]),0))</f>
        <v>How many adults live in your household, that are above 18 years (including the respondent)? (Household members are those that stay more than three months per year within the same household and that 'eat from the same pot'.)</v>
      </c>
      <c r="I1155" s="9" t="b" cm="1">
        <f t="array" ref="I1155">INDEX(stable[is_fixed],MATCH(VALUE(questions[[#This Row],[qno]]),VALUE(stable[qno]),0))</f>
        <v>1</v>
      </c>
      <c r="J1155" s="9" t="b" cm="1">
        <f t="array" ref="J1155">INDEX(stable[is_localized],MATCH(VALUE(questions[[#This Row],[qno]]),VALUE(stable[qno]),0))</f>
        <v>0</v>
      </c>
      <c r="K1155" s="9" t="b" cm="1">
        <f t="array" ref="K1155">INDEX(stable[is_supply_chain_dependent],MATCH(VALUE(questions[[#This Row],[qno]]),VALUE(stable[qno]),0))</f>
        <v>0</v>
      </c>
      <c r="L1155" s="9" t="b" cm="1">
        <f t="array" ref="L1155">INDEX(stable[is_mandatory],MATCH(VALUE(questions[[#This Row],[qno]]),VALUE(stable[qno]),0))</f>
        <v>1</v>
      </c>
      <c r="M1155" s="9" t="b" cm="1">
        <f t="array" ref="M1155">INDEX(stable[is_automated],MATCH(VALUE(questions[[#This Row],[qno]]),VALUE(stable[qno]),0))</f>
        <v>0</v>
      </c>
      <c r="N1155" s="9" t="b" cm="1">
        <f t="array" ref="N1155">INDEX(stable[is_free_text],MATCH(VALUE(questions[[#This Row],[qno]]),VALUE(stable[qno]),0))</f>
        <v>0</v>
      </c>
      <c r="O1155" s="9" t="b" cm="1">
        <f t="array" ref="O1155">INDEX(stable[is_numerical],MATCH(VALUE(questions[[#This Row],[qno]]),VALUE(stable[qno]),0))</f>
        <v>1</v>
      </c>
      <c r="P1155" s="9" t="b" cm="1">
        <f t="array" ref="P1155">INDEX(stable[is_single_select],MATCH(VALUE(questions[[#This Row],[qno]]),VALUE(stable[qno]),0))</f>
        <v>0</v>
      </c>
      <c r="Q1155" s="9" t="b" cm="1">
        <f t="array" ref="Q1155">INDEX(stable[is_multi_select],MATCH(VALUE(questions[[#This Row],[qno]]),VALUE(stable[qno]),0))</f>
        <v>0</v>
      </c>
      <c r="R1155" s="9" t="b" cm="1">
        <f t="array" ref="R1155">INDEX(stable[is_skip_logic],MATCH(VALUE(questions[[#This Row],[qno]]),VALUE(stable[qno]),0))</f>
        <v>0</v>
      </c>
      <c r="S1155" s="9" t="str">
        <f>_xlfn.TEXTJOIN(", ",TRUE,questions[[#This Row],[ans_opt_1]:[ans_opt_14]])</f>
        <v/>
      </c>
      <c r="T1155" s="33"/>
      <c r="U1155" s="33"/>
      <c r="V1155" s="33"/>
      <c r="W1155" s="33"/>
      <c r="X1155" s="33"/>
      <c r="Y1155" s="33"/>
      <c r="Z1155" s="33"/>
      <c r="AA1155" s="33"/>
      <c r="AB1155" s="33"/>
      <c r="AC1155" s="33"/>
      <c r="AD1155" s="33"/>
      <c r="AE1155" s="33"/>
      <c r="AF1155" s="33"/>
      <c r="AG1155" s="33"/>
      <c r="AH1155" s="99" t="b">
        <f>INDEX(stable[q_standard],MATCH(questions[[#This Row],[qno]],stable[qno],0))</f>
        <v>1</v>
      </c>
      <c r="AI1155" s="99" t="b">
        <f>INDEX(stable[q_living_income],MATCH(questions[[#This Row],[qno]],stable[qno],0))</f>
        <v>0</v>
      </c>
      <c r="AJ1155" s="99" t="b">
        <f>INDEX(stable[q_carbon],MATCH(questions[[#This Row],[qno]],stable[qno],0))</f>
        <v>0</v>
      </c>
      <c r="AK1155" s="99" t="b">
        <f>INDEX(stable[q_regen_ag],MATCH(questions[[#This Row],[qno]],stable[qno],0))</f>
        <v>0</v>
      </c>
      <c r="AL1155" s="16" t="b">
        <f>COUNTIFS(stable[qno],questions[[#This Row],[qno]])=1</f>
        <v>1</v>
      </c>
      <c r="AM1155" s="16" t="b">
        <f>OR(questions[[#This Row],[is_fixed]],questions[[#This Row],[is_localized]],questions[[#This Row],[is_supply_chain_dependent]])</f>
        <v>1</v>
      </c>
      <c r="AN1155" s="16" t="b">
        <f>COUNTIFS(questions[[#This Row],[is_automated]:[is_multi_select]],TRUE)=1</f>
        <v>1</v>
      </c>
      <c r="AO1155" s="16" t="b">
        <f>IF(questions[[#This Row],[is_fixed]],questions[[#This Row],[question]]=INDEX(stable[question],MATCH(questions[[#This Row],[qno]],stable[qno],0)),TRUE)</f>
        <v>1</v>
      </c>
      <c r="AP1155" s="16" t="str">
        <f>LEFT(questions[[#This Row],[question]],similarity_range)</f>
        <v>How many adults live</v>
      </c>
      <c r="AQ1155" s="16" t="str">
        <f>LEFT(INDEX(stable[question],MATCH(questions[[#This Row],[qno]],stable[qno],0)),similarity_range)</f>
        <v>How many adults live</v>
      </c>
      <c r="AR1155" s="16" t="b">
        <f>questions[[#This Row],[question_first_characters]]=questions[[#This Row],[stability_first_characters]]</f>
        <v>1</v>
      </c>
      <c r="AS1155" s="16" t="b">
        <f>IF(OR(questions[[#This Row],[is_single_select]],questions[[#This Row],[is_multi_select]]),NOT(ISBLANK(questions[[#This Row],[answer_opt_combined]])),TRUE)</f>
        <v>1</v>
      </c>
    </row>
    <row r="1156" spans="1:45" ht="15.75" customHeight="1" x14ac:dyDescent="0.25">
      <c r="A1156" s="9" t="str">
        <f>_xlfn.TEXTJOIN("_",TRUE,questions[[#This Row],[origin]:[qno]])</f>
        <v>Kenya_Arabica_Nestle_2025_2004</v>
      </c>
      <c r="B1156" s="33" t="s">
        <v>818</v>
      </c>
      <c r="C1156" s="33" t="s">
        <v>59</v>
      </c>
      <c r="D1156" s="33" t="s">
        <v>819</v>
      </c>
      <c r="E1156" s="33">
        <v>2025</v>
      </c>
      <c r="F1156" s="41" t="s">
        <v>115</v>
      </c>
      <c r="G1156" s="18" t="s">
        <v>116</v>
      </c>
      <c r="H1156" s="9" t="str" cm="1">
        <f t="array" ref="H1156">INDEX(stableR[question],MATCH(VALUE(questions[[#This Row],[qno]]),VALUE(stableR[qno]),0))</f>
        <v>How many children living in your household, are below 18 years? (Household members are those that stay more than three months per year within the same household and that 'eat from the same pot.')</v>
      </c>
      <c r="I1156" s="9" t="b" cm="1">
        <f t="array" ref="I1156">INDEX(stable[is_fixed],MATCH(VALUE(questions[[#This Row],[qno]]),VALUE(stable[qno]),0))</f>
        <v>1</v>
      </c>
      <c r="J1156" s="9" t="b" cm="1">
        <f t="array" ref="J1156">INDEX(stable[is_localized],MATCH(VALUE(questions[[#This Row],[qno]]),VALUE(stable[qno]),0))</f>
        <v>0</v>
      </c>
      <c r="K1156" s="9" t="b" cm="1">
        <f t="array" ref="K1156">INDEX(stable[is_supply_chain_dependent],MATCH(VALUE(questions[[#This Row],[qno]]),VALUE(stable[qno]),0))</f>
        <v>0</v>
      </c>
      <c r="L1156" s="9" t="b" cm="1">
        <f t="array" ref="L1156">INDEX(stable[is_mandatory],MATCH(VALUE(questions[[#This Row],[qno]]),VALUE(stable[qno]),0))</f>
        <v>1</v>
      </c>
      <c r="M1156" s="9" t="b" cm="1">
        <f t="array" ref="M1156">INDEX(stable[is_automated],MATCH(VALUE(questions[[#This Row],[qno]]),VALUE(stable[qno]),0))</f>
        <v>0</v>
      </c>
      <c r="N1156" s="9" t="b" cm="1">
        <f t="array" ref="N1156">INDEX(stable[is_free_text],MATCH(VALUE(questions[[#This Row],[qno]]),VALUE(stable[qno]),0))</f>
        <v>0</v>
      </c>
      <c r="O1156" s="9" t="b" cm="1">
        <f t="array" ref="O1156">INDEX(stable[is_numerical],MATCH(VALUE(questions[[#This Row],[qno]]),VALUE(stable[qno]),0))</f>
        <v>1</v>
      </c>
      <c r="P1156" s="9" t="b" cm="1">
        <f t="array" ref="P1156">INDEX(stable[is_single_select],MATCH(VALUE(questions[[#This Row],[qno]]),VALUE(stable[qno]),0))</f>
        <v>0</v>
      </c>
      <c r="Q1156" s="9" t="b" cm="1">
        <f t="array" ref="Q1156">INDEX(stable[is_multi_select],MATCH(VALUE(questions[[#This Row],[qno]]),VALUE(stable[qno]),0))</f>
        <v>0</v>
      </c>
      <c r="R1156" s="9" t="b" cm="1">
        <f t="array" ref="R1156">INDEX(stable[is_skip_logic],MATCH(VALUE(questions[[#This Row],[qno]]),VALUE(stable[qno]),0))</f>
        <v>0</v>
      </c>
      <c r="S1156" s="9" t="str">
        <f>_xlfn.TEXTJOIN(", ",TRUE,questions[[#This Row],[ans_opt_1]:[ans_opt_14]])</f>
        <v/>
      </c>
      <c r="T1156" s="33"/>
      <c r="U1156" s="33"/>
      <c r="V1156" s="33"/>
      <c r="W1156" s="33"/>
      <c r="X1156" s="33"/>
      <c r="Y1156" s="33"/>
      <c r="Z1156" s="33"/>
      <c r="AA1156" s="33"/>
      <c r="AB1156" s="33"/>
      <c r="AC1156" s="33"/>
      <c r="AD1156" s="33"/>
      <c r="AE1156" s="33"/>
      <c r="AF1156" s="33"/>
      <c r="AG1156" s="33"/>
      <c r="AH1156" s="99" t="b">
        <f>INDEX(stable[q_standard],MATCH(questions[[#This Row],[qno]],stable[qno],0))</f>
        <v>1</v>
      </c>
      <c r="AI1156" s="99" t="b">
        <f>INDEX(stable[q_living_income],MATCH(questions[[#This Row],[qno]],stable[qno],0))</f>
        <v>0</v>
      </c>
      <c r="AJ1156" s="99" t="b">
        <f>INDEX(stable[q_carbon],MATCH(questions[[#This Row],[qno]],stable[qno],0))</f>
        <v>0</v>
      </c>
      <c r="AK1156" s="99" t="b">
        <f>INDEX(stable[q_regen_ag],MATCH(questions[[#This Row],[qno]],stable[qno],0))</f>
        <v>0</v>
      </c>
      <c r="AL1156" s="16" t="b">
        <f>COUNTIFS(stable[qno],questions[[#This Row],[qno]])=1</f>
        <v>1</v>
      </c>
      <c r="AM1156" s="16" t="b">
        <f>OR(questions[[#This Row],[is_fixed]],questions[[#This Row],[is_localized]],questions[[#This Row],[is_supply_chain_dependent]])</f>
        <v>1</v>
      </c>
      <c r="AN1156" s="16" t="b">
        <f>COUNTIFS(questions[[#This Row],[is_automated]:[is_multi_select]],TRUE)=1</f>
        <v>1</v>
      </c>
      <c r="AO1156" s="16" t="b">
        <f>IF(questions[[#This Row],[is_fixed]],questions[[#This Row],[question]]=INDEX(stable[question],MATCH(questions[[#This Row],[qno]],stable[qno],0)),TRUE)</f>
        <v>1</v>
      </c>
      <c r="AP1156" s="16" t="str">
        <f>LEFT(questions[[#This Row],[question]],similarity_range)</f>
        <v>How many children li</v>
      </c>
      <c r="AQ1156" s="16" t="str">
        <f>LEFT(INDEX(stable[question],MATCH(questions[[#This Row],[qno]],stable[qno],0)),similarity_range)</f>
        <v>How many children li</v>
      </c>
      <c r="AR1156" s="16" t="b">
        <f>questions[[#This Row],[question_first_characters]]=questions[[#This Row],[stability_first_characters]]</f>
        <v>1</v>
      </c>
      <c r="AS1156" s="16" t="b">
        <f>IF(OR(questions[[#This Row],[is_single_select]],questions[[#This Row],[is_multi_select]]),NOT(ISBLANK(questions[[#This Row],[answer_opt_combined]])),TRUE)</f>
        <v>1</v>
      </c>
    </row>
    <row r="1157" spans="1:45" s="77" customFormat="1" ht="15.75" customHeight="1" x14ac:dyDescent="0.25">
      <c r="A1157" s="77" t="str">
        <f>_xlfn.TEXTJOIN("_",TRUE,questions[[#This Row],[origin]:[qno]])</f>
        <v>Kenya_Arabica_Nestle_2025_2100</v>
      </c>
      <c r="B1157" s="77" t="s">
        <v>818</v>
      </c>
      <c r="C1157" s="77" t="s">
        <v>59</v>
      </c>
      <c r="D1157" s="77" t="s">
        <v>819</v>
      </c>
      <c r="E1157" s="77">
        <v>2025</v>
      </c>
      <c r="F1157" s="105" t="s">
        <v>117</v>
      </c>
      <c r="G1157" s="78" t="s">
        <v>118</v>
      </c>
      <c r="H1157" s="9" t="str" cm="1">
        <f t="array" ref="H1157">INDEX(stableR[question],MATCH(VALUE(questions[[#This Row],[qno]]),VALUE(stableR[qno]),0))</f>
        <v>If your farm is certified, under which certification scheme(s) is it certified?</v>
      </c>
      <c r="I1157" s="9" t="b" cm="1">
        <f t="array" ref="I1157">INDEX(stable[is_fixed],MATCH(VALUE(questions[[#This Row],[qno]]),VALUE(stable[qno]),0))</f>
        <v>1</v>
      </c>
      <c r="J1157" s="9" t="b" cm="1">
        <f t="array" ref="J1157">INDEX(stable[is_localized],MATCH(VALUE(questions[[#This Row],[qno]]),VALUE(stable[qno]),0))</f>
        <v>0</v>
      </c>
      <c r="K1157" s="9" t="b" cm="1">
        <f t="array" ref="K1157">INDEX(stable[is_supply_chain_dependent],MATCH(VALUE(questions[[#This Row],[qno]]),VALUE(stable[qno]),0))</f>
        <v>0</v>
      </c>
      <c r="L1157" s="9" t="b" cm="1">
        <f t="array" ref="L1157">INDEX(stable[is_mandatory],MATCH(VALUE(questions[[#This Row],[qno]]),VALUE(stable[qno]),0))</f>
        <v>1</v>
      </c>
      <c r="M1157" s="9" t="b" cm="1">
        <f t="array" ref="M1157">INDEX(stable[is_automated],MATCH(VALUE(questions[[#This Row],[qno]]),VALUE(stable[qno]),0))</f>
        <v>0</v>
      </c>
      <c r="N1157" s="9" t="b" cm="1">
        <f t="array" ref="N1157">INDEX(stable[is_free_text],MATCH(VALUE(questions[[#This Row],[qno]]),VALUE(stable[qno]),0))</f>
        <v>0</v>
      </c>
      <c r="O1157" s="9" t="b" cm="1">
        <f t="array" ref="O1157">INDEX(stable[is_numerical],MATCH(VALUE(questions[[#This Row],[qno]]),VALUE(stable[qno]),0))</f>
        <v>0</v>
      </c>
      <c r="P1157" s="77" t="b" cm="1">
        <f t="array" ref="P1157">INDEX(stable[is_single_select],MATCH(VALUE(questions[[#This Row],[qno]]),VALUE(stable[qno]),0))</f>
        <v>0</v>
      </c>
      <c r="Q1157" s="77" t="b" cm="1">
        <f t="array" ref="Q1157">INDEX(stable[is_multi_select],MATCH(VALUE(questions[[#This Row],[qno]]),VALUE(stable[qno]),0))</f>
        <v>1</v>
      </c>
      <c r="R1157" s="77" t="b" cm="1">
        <f t="array" ref="R1157">INDEX(stable[is_skip_logic],MATCH(VALUE(questions[[#This Row],[qno]]),VALUE(stable[qno]),0))</f>
        <v>1</v>
      </c>
      <c r="S1157" s="77" t="str">
        <f>_xlfn.TEXTJOIN(", ",TRUE,questions[[#This Row],[ans_opt_1]:[ans_opt_14]])</f>
        <v>No, IMPACT, 4C, Rainforest alliance, Organic, CAFÉ practices, RegenAgri, Fair trade, Other</v>
      </c>
      <c r="T1157" s="77" t="s">
        <v>119</v>
      </c>
      <c r="U1157" s="77" t="s">
        <v>120</v>
      </c>
      <c r="V1157" s="77" t="s">
        <v>121</v>
      </c>
      <c r="W1157" s="77" t="s">
        <v>721</v>
      </c>
      <c r="X1157" s="77" t="s">
        <v>124</v>
      </c>
      <c r="Y1157" s="77" t="s">
        <v>125</v>
      </c>
      <c r="Z1157" s="77" t="s">
        <v>126</v>
      </c>
      <c r="AA1157" s="77" t="s">
        <v>722</v>
      </c>
      <c r="AB1157" s="112" t="s">
        <v>112</v>
      </c>
      <c r="AH1157" s="98" t="b">
        <f>INDEX(stable[q_standard],MATCH(questions[[#This Row],[qno]],stable[qno],0))</f>
        <v>0</v>
      </c>
      <c r="AI1157" s="98" t="b">
        <f>INDEX(stable[q_living_income],MATCH(questions[[#This Row],[qno]],stable[qno],0))</f>
        <v>0</v>
      </c>
      <c r="AJ1157" s="98" t="b">
        <f>INDEX(stable[q_carbon],MATCH(questions[[#This Row],[qno]],stable[qno],0))</f>
        <v>0</v>
      </c>
      <c r="AK1157" s="98" t="b">
        <f>INDEX(stable[q_regen_ag],MATCH(questions[[#This Row],[qno]],stable[qno],0))</f>
        <v>1</v>
      </c>
      <c r="AL1157" s="98" t="b">
        <f>COUNTIFS(stable[qno],questions[[#This Row],[qno]])=1</f>
        <v>1</v>
      </c>
      <c r="AM1157" s="98" t="b">
        <f>OR(questions[[#This Row],[is_fixed]],questions[[#This Row],[is_localized]],questions[[#This Row],[is_supply_chain_dependent]])</f>
        <v>1</v>
      </c>
      <c r="AN1157" s="98" t="b">
        <f>COUNTIFS(questions[[#This Row],[is_automated]:[is_multi_select]],TRUE)=1</f>
        <v>1</v>
      </c>
      <c r="AO1157" s="98" t="b">
        <f>IF(questions[[#This Row],[is_fixed]],questions[[#This Row],[question]]=INDEX(stable[question],MATCH(questions[[#This Row],[qno]],stable[qno],0)),TRUE)</f>
        <v>1</v>
      </c>
      <c r="AP1157" s="98" t="str">
        <f>LEFT(questions[[#This Row],[question]],similarity_range)</f>
        <v>Is your farm certifi</v>
      </c>
      <c r="AQ1157" s="98" t="str">
        <f>LEFT(INDEX(stable[question],MATCH(questions[[#This Row],[qno]],stable[qno],0)),similarity_range)</f>
        <v>Is your farm certifi</v>
      </c>
      <c r="AR1157" s="98" t="b">
        <f>questions[[#This Row],[question_first_characters]]=questions[[#This Row],[stability_first_characters]]</f>
        <v>1</v>
      </c>
      <c r="AS1157" s="98" t="b">
        <f>IF(OR(questions[[#This Row],[is_single_select]],questions[[#This Row],[is_multi_select]]),NOT(ISBLANK(questions[[#This Row],[answer_opt_combined]])),TRUE)</f>
        <v>1</v>
      </c>
    </row>
    <row r="1158" spans="1:45" s="77" customFormat="1" ht="15.75" customHeight="1" x14ac:dyDescent="0.25">
      <c r="A1158" s="77" t="str">
        <f>_xlfn.TEXTJOIN("_",TRUE,questions[[#This Row],[origin]:[qno]])</f>
        <v>Kenya_Arabica_Nestle_2025_2101</v>
      </c>
      <c r="B1158" s="77" t="s">
        <v>818</v>
      </c>
      <c r="C1158" s="77" t="s">
        <v>59</v>
      </c>
      <c r="D1158" s="77" t="s">
        <v>819</v>
      </c>
      <c r="E1158" s="77">
        <v>2025</v>
      </c>
      <c r="F1158" s="108" t="s">
        <v>127</v>
      </c>
      <c r="G1158" s="78" t="s">
        <v>820</v>
      </c>
      <c r="H1158" s="9" t="str" cm="1">
        <f t="array" ref="H1158">INDEX(stableR[question],MATCH(VALUE(questions[[#This Row],[qno]]),VALUE(stableR[qno]),0))</f>
        <v>If yes, since when have you been certified? (In case you are part of multiple certification schemes, consider the one that you are in longest.)</v>
      </c>
      <c r="I1158" s="9" t="b" cm="1">
        <f t="array" ref="I1158">INDEX(stable[is_fixed],MATCH(VALUE(questions[[#This Row],[qno]]),VALUE(stable[qno]),0))</f>
        <v>1</v>
      </c>
      <c r="J1158" s="9" t="b" cm="1">
        <f t="array" ref="J1158">INDEX(stable[is_localized],MATCH(VALUE(questions[[#This Row],[qno]]),VALUE(stable[qno]),0))</f>
        <v>0</v>
      </c>
      <c r="K1158" s="9" t="b" cm="1">
        <f t="array" ref="K1158">INDEX(stable[is_supply_chain_dependent],MATCH(VALUE(questions[[#This Row],[qno]]),VALUE(stable[qno]),0))</f>
        <v>0</v>
      </c>
      <c r="L1158" s="9" t="b" cm="1">
        <f t="array" ref="L1158">INDEX(stable[is_mandatory],MATCH(VALUE(questions[[#This Row],[qno]]),VALUE(stable[qno]),0))</f>
        <v>0</v>
      </c>
      <c r="M1158" s="9" t="b" cm="1">
        <f t="array" ref="M1158">INDEX(stable[is_automated],MATCH(VALUE(questions[[#This Row],[qno]]),VALUE(stable[qno]),0))</f>
        <v>0</v>
      </c>
      <c r="N1158" s="9" t="b" cm="1">
        <f t="array" ref="N1158">INDEX(stable[is_free_text],MATCH(VALUE(questions[[#This Row],[qno]]),VALUE(stable[qno]),0))</f>
        <v>0</v>
      </c>
      <c r="O1158" s="9" t="b" cm="1">
        <f t="array" ref="O1158">INDEX(stable[is_numerical],MATCH(VALUE(questions[[#This Row],[qno]]),VALUE(stable[qno]),0))</f>
        <v>0</v>
      </c>
      <c r="P1158" s="77" t="b" cm="1">
        <f t="array" ref="P1158">INDEX(stable[is_single_select],MATCH(VALUE(questions[[#This Row],[qno]]),VALUE(stable[qno]),0))</f>
        <v>1</v>
      </c>
      <c r="Q1158" s="77" t="b" cm="1">
        <f t="array" ref="Q1158">INDEX(stable[is_multi_select],MATCH(VALUE(questions[[#This Row],[qno]]),VALUE(stable[qno]),0))</f>
        <v>0</v>
      </c>
      <c r="R1158" s="77" t="b" cm="1">
        <f t="array" ref="R1158">INDEX(stable[is_skip_logic],MATCH(VALUE(questions[[#This Row],[qno]]),VALUE(stable[qno]),0))</f>
        <v>1</v>
      </c>
      <c r="S1158" s="77" t="str">
        <f>_xlfn.TEXTJOIN(", ",TRUE,questions[[#This Row],[ans_opt_1]:[ans_opt_14]])</f>
        <v>1-2 years, 3-4 years, &gt;=5 years</v>
      </c>
      <c r="T1158" s="77" t="s">
        <v>129</v>
      </c>
      <c r="U1158" s="77" t="s">
        <v>130</v>
      </c>
      <c r="V1158" s="77" t="s">
        <v>131</v>
      </c>
      <c r="AH1158" s="98" t="b">
        <f>INDEX(stable[q_standard],MATCH(questions[[#This Row],[qno]],stable[qno],0))</f>
        <v>0</v>
      </c>
      <c r="AI1158" s="98" t="b">
        <f>INDEX(stable[q_living_income],MATCH(questions[[#This Row],[qno]],stable[qno],0))</f>
        <v>0</v>
      </c>
      <c r="AJ1158" s="98" t="b">
        <f>INDEX(stable[q_carbon],MATCH(questions[[#This Row],[qno]],stable[qno],0))</f>
        <v>0</v>
      </c>
      <c r="AK1158" s="98" t="b">
        <f>INDEX(stable[q_regen_ag],MATCH(questions[[#This Row],[qno]],stable[qno],0))</f>
        <v>1</v>
      </c>
      <c r="AL1158" s="98" t="b">
        <f>COUNTIFS(stable[qno],questions[[#This Row],[qno]])=1</f>
        <v>1</v>
      </c>
      <c r="AM1158" s="98" t="b">
        <f>OR(questions[[#This Row],[is_fixed]],questions[[#This Row],[is_localized]],questions[[#This Row],[is_supply_chain_dependent]])</f>
        <v>1</v>
      </c>
      <c r="AN1158" s="98" t="b">
        <f>COUNTIFS(questions[[#This Row],[is_automated]:[is_multi_select]],TRUE)=1</f>
        <v>1</v>
      </c>
      <c r="AO1158" s="98" t="b">
        <f>IF(questions[[#This Row],[is_fixed]],questions[[#This Row],[question]]=INDEX(stable[question],MATCH(questions[[#This Row],[qno]],stable[qno],0)),TRUE)</f>
        <v>0</v>
      </c>
      <c r="AP1158" s="98" t="str">
        <f>LEFT(questions[[#This Row],[question]],similarity_range)</f>
        <v>If yes, since when h</v>
      </c>
      <c r="AQ1158" s="98" t="str">
        <f>LEFT(INDEX(stable[question],MATCH(questions[[#This Row],[qno]],stable[qno],0)),similarity_range)</f>
        <v>If yes, since when h</v>
      </c>
      <c r="AR1158" s="98" t="b">
        <f>questions[[#This Row],[question_first_characters]]=questions[[#This Row],[stability_first_characters]]</f>
        <v>1</v>
      </c>
      <c r="AS1158" s="98" t="b">
        <f>IF(OR(questions[[#This Row],[is_single_select]],questions[[#This Row],[is_multi_select]]),NOT(ISBLANK(questions[[#This Row],[answer_opt_combined]])),TRUE)</f>
        <v>1</v>
      </c>
    </row>
    <row r="1159" spans="1:45" s="77" customFormat="1" ht="15.75" customHeight="1" x14ac:dyDescent="0.25">
      <c r="A1159" s="77" t="str">
        <f>_xlfn.TEXTJOIN("_",TRUE,questions[[#This Row],[origin]:[qno]])</f>
        <v>Kenya_Arabica_Nestle_2025_2200</v>
      </c>
      <c r="B1159" s="77" t="s">
        <v>818</v>
      </c>
      <c r="C1159" s="77" t="s">
        <v>59</v>
      </c>
      <c r="D1159" s="77" t="s">
        <v>819</v>
      </c>
      <c r="E1159" s="77">
        <v>2025</v>
      </c>
      <c r="F1159" s="105" t="s">
        <v>132</v>
      </c>
      <c r="G1159" s="78" t="s">
        <v>821</v>
      </c>
      <c r="H1159" s="9" t="str" cm="1">
        <f t="array" ref="H1159">INDEX(stableR[question],MATCH(VALUE(questions[[#This Row],[qno]]),VALUE(stableR[qno]),0))</f>
        <v>What is the name of the Sucafina coffee collection point you delivered your coffee to (e.g. name of  washing station/hulling station/cooperative/ intermediary), or which one is closest to you?</v>
      </c>
      <c r="I1159" s="9" t="b" cm="1">
        <f t="array" ref="I1159">INDEX(stable[is_fixed],MATCH(VALUE(questions[[#This Row],[qno]]),VALUE(stable[qno]),0))</f>
        <v>0</v>
      </c>
      <c r="J1159" s="9" t="b" cm="1">
        <f t="array" ref="J1159">INDEX(stable[is_localized],MATCH(VALUE(questions[[#This Row],[qno]]),VALUE(stable[qno]),0))</f>
        <v>1</v>
      </c>
      <c r="K1159" s="9" t="b" cm="1">
        <f t="array" ref="K1159">INDEX(stable[is_supply_chain_dependent],MATCH(VALUE(questions[[#This Row],[qno]]),VALUE(stable[qno]),0))</f>
        <v>0</v>
      </c>
      <c r="L1159" s="9" t="b" cm="1">
        <f t="array" ref="L1159">INDEX(stable[is_mandatory],MATCH(VALUE(questions[[#This Row],[qno]]),VALUE(stable[qno]),0))</f>
        <v>1</v>
      </c>
      <c r="M1159" s="9" t="b" cm="1">
        <f t="array" ref="M1159">INDEX(stable[is_automated],MATCH(VALUE(questions[[#This Row],[qno]]),VALUE(stable[qno]),0))</f>
        <v>0</v>
      </c>
      <c r="N1159" s="9" t="b" cm="1">
        <f t="array" ref="N1159">INDEX(stable[is_free_text],MATCH(VALUE(questions[[#This Row],[qno]]),VALUE(stable[qno]),0))</f>
        <v>0</v>
      </c>
      <c r="O1159" s="9" t="b" cm="1">
        <f t="array" ref="O1159">INDEX(stable[is_numerical],MATCH(VALUE(questions[[#This Row],[qno]]),VALUE(stable[qno]),0))</f>
        <v>0</v>
      </c>
      <c r="P1159" s="77" t="b" cm="1">
        <f t="array" ref="P1159">INDEX(stable[is_single_select],MATCH(VALUE(questions[[#This Row],[qno]]),VALUE(stable[qno]),0))</f>
        <v>1</v>
      </c>
      <c r="Q1159" s="77" t="b" cm="1">
        <f t="array" ref="Q1159">INDEX(stable[is_multi_select],MATCH(VALUE(questions[[#This Row],[qno]]),VALUE(stable[qno]),0))</f>
        <v>0</v>
      </c>
      <c r="R1159" s="77" t="b" cm="1">
        <f t="array" ref="R1159">INDEX(stable[is_skip_logic],MATCH(VALUE(questions[[#This Row],[qno]]),VALUE(stable[qno]),0))</f>
        <v>0</v>
      </c>
      <c r="S1159" s="77" t="str">
        <f>_xlfn.TEXTJOIN(", ",TRUE,questions[[#This Row],[ans_opt_1]:[ans_opt_14]])</f>
        <v>Thikagiki, Chepnorio, Kikai, Kichawir, Gathugu &amp; Gatina , Gitareini</v>
      </c>
      <c r="T1159" s="77" t="s">
        <v>822</v>
      </c>
      <c r="U1159" s="77" t="s">
        <v>823</v>
      </c>
      <c r="V1159" s="77" t="s">
        <v>824</v>
      </c>
      <c r="W1159" s="77" t="s">
        <v>825</v>
      </c>
      <c r="X1159" s="77" t="s">
        <v>826</v>
      </c>
      <c r="Y1159" s="77" t="s">
        <v>827</v>
      </c>
      <c r="AH1159" s="98" t="b">
        <f>INDEX(stable[q_standard],MATCH(questions[[#This Row],[qno]],stable[qno],0))</f>
        <v>1</v>
      </c>
      <c r="AI1159" s="98" t="b">
        <f>INDEX(stable[q_living_income],MATCH(questions[[#This Row],[qno]],stable[qno],0))</f>
        <v>0</v>
      </c>
      <c r="AJ1159" s="98" t="b">
        <f>INDEX(stable[q_carbon],MATCH(questions[[#This Row],[qno]],stable[qno],0))</f>
        <v>0</v>
      </c>
      <c r="AK1159" s="98" t="b">
        <f>INDEX(stable[q_regen_ag],MATCH(questions[[#This Row],[qno]],stable[qno],0))</f>
        <v>0</v>
      </c>
      <c r="AL1159" s="98" t="b">
        <f>COUNTIFS(stable[qno],questions[[#This Row],[qno]])=1</f>
        <v>1</v>
      </c>
      <c r="AM1159" s="98" t="b">
        <f>OR(questions[[#This Row],[is_fixed]],questions[[#This Row],[is_localized]],questions[[#This Row],[is_supply_chain_dependent]])</f>
        <v>1</v>
      </c>
      <c r="AN1159" s="98" t="b">
        <f>COUNTIFS(questions[[#This Row],[is_automated]:[is_multi_select]],TRUE)=1</f>
        <v>1</v>
      </c>
      <c r="AO1159" s="98" t="b">
        <f>IF(questions[[#This Row],[is_fixed]],questions[[#This Row],[question]]=INDEX(stable[question],MATCH(questions[[#This Row],[qno]],stable[qno],0)),TRUE)</f>
        <v>1</v>
      </c>
      <c r="AP1159" s="98" t="str">
        <f>LEFT(questions[[#This Row],[question]],similarity_range)</f>
        <v>To which cooperative</v>
      </c>
      <c r="AQ1159" s="98" t="str">
        <f>LEFT(INDEX(stable[question],MATCH(questions[[#This Row],[qno]],stable[qno],0)),similarity_range)</f>
        <v>To which Sucafina wa</v>
      </c>
      <c r="AR1159" s="98" t="b">
        <f>questions[[#This Row],[question_first_characters]]=questions[[#This Row],[stability_first_characters]]</f>
        <v>0</v>
      </c>
      <c r="AS1159" s="98" t="b">
        <f>IF(OR(questions[[#This Row],[is_single_select]],questions[[#This Row],[is_multi_select]]),NOT(ISBLANK(questions[[#This Row],[answer_opt_combined]])),TRUE)</f>
        <v>1</v>
      </c>
    </row>
    <row r="1160" spans="1:45" s="77" customFormat="1" ht="15.75" customHeight="1" x14ac:dyDescent="0.25">
      <c r="A1160" s="77" t="str">
        <f>_xlfn.TEXTJOIN("_",TRUE,questions[[#This Row],[origin]:[qno]])</f>
        <v>Kenya_Arabica_Nestle_2025_3000</v>
      </c>
      <c r="B1160" s="77" t="s">
        <v>818</v>
      </c>
      <c r="C1160" s="77" t="s">
        <v>59</v>
      </c>
      <c r="D1160" s="77" t="s">
        <v>819</v>
      </c>
      <c r="E1160" s="77">
        <v>2025</v>
      </c>
      <c r="F1160" s="108" t="s">
        <v>520</v>
      </c>
      <c r="G1160" s="78" t="s">
        <v>521</v>
      </c>
      <c r="H1160" s="9" t="str" cm="1">
        <f t="array" ref="H1160">INDEX(stableR[question],MATCH(VALUE(questions[[#This Row],[qno]]),VALUE(stableR[qno]),0))</f>
        <v>What were the types of coffee that you sold last year?</v>
      </c>
      <c r="I1160" s="9" t="b" cm="1">
        <f t="array" ref="I1160">INDEX(stable[is_fixed],MATCH(VALUE(questions[[#This Row],[qno]]),VALUE(stable[qno]),0))</f>
        <v>0</v>
      </c>
      <c r="J1160" s="9" t="b" cm="1">
        <f t="array" ref="J1160">INDEX(stable[is_localized],MATCH(VALUE(questions[[#This Row],[qno]]),VALUE(stable[qno]),0))</f>
        <v>1</v>
      </c>
      <c r="K1160" s="9" t="b" cm="1">
        <f t="array" ref="K1160">INDEX(stable[is_supply_chain_dependent],MATCH(VALUE(questions[[#This Row],[qno]]),VALUE(stable[qno]),0))</f>
        <v>0</v>
      </c>
      <c r="L1160" s="9" t="b" cm="1">
        <f t="array" ref="L1160">INDEX(stable[is_mandatory],MATCH(VALUE(questions[[#This Row],[qno]]),VALUE(stable[qno]),0))</f>
        <v>0</v>
      </c>
      <c r="M1160" s="9" t="b" cm="1">
        <f t="array" ref="M1160">INDEX(stable[is_automated],MATCH(VALUE(questions[[#This Row],[qno]]),VALUE(stable[qno]),0))</f>
        <v>0</v>
      </c>
      <c r="N1160" s="9" t="b" cm="1">
        <f t="array" ref="N1160">INDEX(stable[is_free_text],MATCH(VALUE(questions[[#This Row],[qno]]),VALUE(stable[qno]),0))</f>
        <v>0</v>
      </c>
      <c r="O1160" s="9" t="b" cm="1">
        <f t="array" ref="O1160">INDEX(stable[is_numerical],MATCH(VALUE(questions[[#This Row],[qno]]),VALUE(stable[qno]),0))</f>
        <v>0</v>
      </c>
      <c r="P1160" s="77" t="b" cm="1">
        <f t="array" ref="P1160">INDEX(stable[is_single_select],MATCH(VALUE(questions[[#This Row],[qno]]),VALUE(stable[qno]),0))</f>
        <v>0</v>
      </c>
      <c r="Q1160" s="77" t="b" cm="1">
        <f t="array" ref="Q1160">INDEX(stable[is_multi_select],MATCH(VALUE(questions[[#This Row],[qno]]),VALUE(stable[qno]),0))</f>
        <v>1</v>
      </c>
      <c r="R1160" s="77" t="b" cm="1">
        <f t="array" ref="R1160">INDEX(stable[is_skip_logic],MATCH(VALUE(questions[[#This Row],[qno]]),VALUE(stable[qno]),0))</f>
        <v>0</v>
      </c>
      <c r="S1160" s="77" t="str">
        <f>_xlfn.TEXTJOIN(", ",TRUE,questions[[#This Row],[ans_opt_1]:[ans_opt_14]])</f>
        <v>Fresh cherries, Dried cherries, Fresh cherries, Hulled beans, Green beans</v>
      </c>
      <c r="T1160" s="77" t="s">
        <v>522</v>
      </c>
      <c r="U1160" s="77" t="s">
        <v>523</v>
      </c>
      <c r="V1160" s="77" t="s">
        <v>522</v>
      </c>
      <c r="W1160" s="77" t="s">
        <v>524</v>
      </c>
      <c r="X1160" s="77" t="s">
        <v>525</v>
      </c>
      <c r="AH1160" s="98" t="b">
        <f>INDEX(stable[q_standard],MATCH(questions[[#This Row],[qno]],stable[qno],0))</f>
        <v>0</v>
      </c>
      <c r="AI1160" s="98" t="b">
        <f>INDEX(stable[q_living_income],MATCH(questions[[#This Row],[qno]],stable[qno],0))</f>
        <v>1</v>
      </c>
      <c r="AJ1160" s="98" t="b">
        <f>INDEX(stable[q_carbon],MATCH(questions[[#This Row],[qno]],stable[qno],0))</f>
        <v>1</v>
      </c>
      <c r="AK1160" s="98" t="b">
        <f>INDEX(stable[q_regen_ag],MATCH(questions[[#This Row],[qno]],stable[qno],0))</f>
        <v>1</v>
      </c>
      <c r="AL1160" s="98" t="b">
        <f>COUNTIFS(stable[qno],questions[[#This Row],[qno]])=1</f>
        <v>1</v>
      </c>
      <c r="AM1160" s="98" t="b">
        <f>OR(questions[[#This Row],[is_fixed]],questions[[#This Row],[is_localized]],questions[[#This Row],[is_supply_chain_dependent]])</f>
        <v>1</v>
      </c>
      <c r="AN1160" s="98" t="b">
        <f>COUNTIFS(questions[[#This Row],[is_automated]:[is_multi_select]],TRUE)=1</f>
        <v>1</v>
      </c>
      <c r="AO1160" s="98" t="b">
        <f>IF(questions[[#This Row],[is_fixed]],questions[[#This Row],[question]]=INDEX(stable[question],MATCH(questions[[#This Row],[qno]],stable[qno],0)),TRUE)</f>
        <v>1</v>
      </c>
      <c r="AP1160" s="98" t="str">
        <f>LEFT(questions[[#This Row],[question]],similarity_range)</f>
        <v xml:space="preserve">What were the types </v>
      </c>
      <c r="AQ1160" s="98" t="str">
        <f>LEFT(INDEX(stable[question],MATCH(questions[[#This Row],[qno]],stable[qno],0)),similarity_range)</f>
        <v xml:space="preserve">What were the types </v>
      </c>
      <c r="AR1160" s="98" t="b">
        <f>questions[[#This Row],[question_first_characters]]=questions[[#This Row],[stability_first_characters]]</f>
        <v>1</v>
      </c>
      <c r="AS1160" s="98" t="b">
        <f>IF(OR(questions[[#This Row],[is_single_select]],questions[[#This Row],[is_multi_select]]),NOT(ISBLANK(questions[[#This Row],[answer_opt_combined]])),TRUE)</f>
        <v>1</v>
      </c>
    </row>
    <row r="1161" spans="1:45" ht="15.75" customHeight="1" x14ac:dyDescent="0.25">
      <c r="A1161" s="9" t="str">
        <f>_xlfn.TEXTJOIN("_",TRUE,questions[[#This Row],[origin]:[qno]])</f>
        <v>Kenya_Arabica_Nestle_2025_3100</v>
      </c>
      <c r="B1161" s="33" t="s">
        <v>818</v>
      </c>
      <c r="C1161" s="33" t="s">
        <v>59</v>
      </c>
      <c r="D1161" s="33" t="s">
        <v>819</v>
      </c>
      <c r="E1161" s="33">
        <v>2025</v>
      </c>
      <c r="F1161" s="41" t="s">
        <v>526</v>
      </c>
      <c r="G1161" s="18" t="s">
        <v>828</v>
      </c>
      <c r="H1161" s="9" t="str" cm="1">
        <f t="array" ref="H1161">INDEX(stableR[question],MATCH(VALUE(questions[[#This Row],[qno]]),VALUE(stableR[qno]),0))</f>
        <v>How many kilograms of fresh cherries did you sell during the fly season?</v>
      </c>
      <c r="I1161" s="9" t="b" cm="1">
        <f t="array" ref="I1161">INDEX(stable[is_fixed],MATCH(VALUE(questions[[#This Row],[qno]]),VALUE(stable[qno]),0))</f>
        <v>0</v>
      </c>
      <c r="J1161" s="9" t="b" cm="1">
        <f t="array" ref="J1161">INDEX(stable[is_localized],MATCH(VALUE(questions[[#This Row],[qno]]),VALUE(stable[qno]),0))</f>
        <v>1</v>
      </c>
      <c r="K1161" s="9" t="b" cm="1">
        <f t="array" ref="K1161">INDEX(stable[is_supply_chain_dependent],MATCH(VALUE(questions[[#This Row],[qno]]),VALUE(stable[qno]),0))</f>
        <v>0</v>
      </c>
      <c r="L1161" s="9" t="b" cm="1">
        <f t="array" ref="L1161">INDEX(stable[is_mandatory],MATCH(VALUE(questions[[#This Row],[qno]]),VALUE(stable[qno]),0))</f>
        <v>0</v>
      </c>
      <c r="M1161" s="9" t="b" cm="1">
        <f t="array" ref="M1161">INDEX(stable[is_automated],MATCH(VALUE(questions[[#This Row],[qno]]),VALUE(stable[qno]),0))</f>
        <v>0</v>
      </c>
      <c r="N1161" s="9" t="b" cm="1">
        <f t="array" ref="N1161">INDEX(stable[is_free_text],MATCH(VALUE(questions[[#This Row],[qno]]),VALUE(stable[qno]),0))</f>
        <v>0</v>
      </c>
      <c r="O1161" s="9" t="b" cm="1">
        <f t="array" ref="O1161">INDEX(stable[is_numerical],MATCH(VALUE(questions[[#This Row],[qno]]),VALUE(stable[qno]),0))</f>
        <v>1</v>
      </c>
      <c r="P1161" s="9" t="b" cm="1">
        <f t="array" ref="P1161">INDEX(stable[is_single_select],MATCH(VALUE(questions[[#This Row],[qno]]),VALUE(stable[qno]),0))</f>
        <v>0</v>
      </c>
      <c r="Q1161" s="9" t="b" cm="1">
        <f t="array" ref="Q1161">INDEX(stable[is_multi_select],MATCH(VALUE(questions[[#This Row],[qno]]),VALUE(stable[qno]),0))</f>
        <v>0</v>
      </c>
      <c r="R1161" s="9" t="b" cm="1">
        <f t="array" ref="R1161">INDEX(stable[is_skip_logic],MATCH(VALUE(questions[[#This Row],[qno]]),VALUE(stable[qno]),0))</f>
        <v>0</v>
      </c>
      <c r="S1161" s="9" t="str">
        <f>_xlfn.TEXTJOIN(", ",TRUE,questions[[#This Row],[ans_opt_1]:[ans_opt_14]])</f>
        <v/>
      </c>
      <c r="T1161" s="33"/>
      <c r="U1161" s="33"/>
      <c r="V1161" s="33"/>
      <c r="W1161" s="33"/>
      <c r="X1161" s="33"/>
      <c r="Y1161" s="33"/>
      <c r="Z1161" s="33"/>
      <c r="AA1161" s="33"/>
      <c r="AB1161" s="33"/>
      <c r="AC1161" s="33"/>
      <c r="AD1161" s="33"/>
      <c r="AE1161" s="33"/>
      <c r="AF1161" s="33"/>
      <c r="AG1161" s="33"/>
      <c r="AH1161" s="99" t="b">
        <f>INDEX(stable[q_standard],MATCH(questions[[#This Row],[qno]],stable[qno],0))</f>
        <v>0</v>
      </c>
      <c r="AI1161" s="99" t="b">
        <f>INDEX(stable[q_living_income],MATCH(questions[[#This Row],[qno]],stable[qno],0))</f>
        <v>1</v>
      </c>
      <c r="AJ1161" s="99" t="b">
        <f>INDEX(stable[q_carbon],MATCH(questions[[#This Row],[qno]],stable[qno],0))</f>
        <v>1</v>
      </c>
      <c r="AK1161" s="99" t="b">
        <f>INDEX(stable[q_regen_ag],MATCH(questions[[#This Row],[qno]],stable[qno],0))</f>
        <v>1</v>
      </c>
      <c r="AL1161" s="16" t="b">
        <f>COUNTIFS(stable[qno],questions[[#This Row],[qno]])=1</f>
        <v>1</v>
      </c>
      <c r="AM1161" s="16" t="b">
        <f>OR(questions[[#This Row],[is_fixed]],questions[[#This Row],[is_localized]],questions[[#This Row],[is_supply_chain_dependent]])</f>
        <v>1</v>
      </c>
      <c r="AN1161" s="16" t="b">
        <f>COUNTIFS(questions[[#This Row],[is_automated]:[is_multi_select]],TRUE)=1</f>
        <v>1</v>
      </c>
      <c r="AO1161" s="16" t="b">
        <f>IF(questions[[#This Row],[is_fixed]],questions[[#This Row],[question]]=INDEX(stable[question],MATCH(questions[[#This Row],[qno]],stable[qno],0)),TRUE)</f>
        <v>1</v>
      </c>
      <c r="AP1161" s="16" t="str">
        <f>LEFT(questions[[#This Row],[question]],similarity_range)</f>
        <v>How many kilograms o</v>
      </c>
      <c r="AQ1161" s="16" t="str">
        <f>LEFT(INDEX(stable[question],MATCH(questions[[#This Row],[qno]],stable[qno],0)),similarity_range)</f>
        <v>How many kilograms o</v>
      </c>
      <c r="AR1161" s="16" t="b">
        <f>questions[[#This Row],[question_first_characters]]=questions[[#This Row],[stability_first_characters]]</f>
        <v>1</v>
      </c>
      <c r="AS1161" s="16" t="b">
        <f>IF(OR(questions[[#This Row],[is_single_select]],questions[[#This Row],[is_multi_select]]),NOT(ISBLANK(questions[[#This Row],[answer_opt_combined]])),TRUE)</f>
        <v>1</v>
      </c>
    </row>
    <row r="1162" spans="1:45" ht="15.75" customHeight="1" x14ac:dyDescent="0.25">
      <c r="A1162" s="9" t="str">
        <f>_xlfn.TEXTJOIN("_",TRUE,questions[[#This Row],[origin]:[qno]])</f>
        <v>Kenya_Arabica_Nestle_2025_3101</v>
      </c>
      <c r="B1162" s="33" t="s">
        <v>818</v>
      </c>
      <c r="C1162" s="33" t="s">
        <v>59</v>
      </c>
      <c r="D1162" s="33" t="s">
        <v>819</v>
      </c>
      <c r="E1162" s="33">
        <v>2025</v>
      </c>
      <c r="F1162" s="41" t="s">
        <v>528</v>
      </c>
      <c r="G1162" s="18" t="s">
        <v>949</v>
      </c>
      <c r="H1162" s="9" t="str" cm="1">
        <f t="array" ref="H1162">INDEX(stableR[question],MATCH(VALUE(questions[[#This Row],[qno]]),VALUE(stableR[qno]),0))</f>
        <v>What was the most common price per kilogram that you received for the fresh cherries harvested in the fly season? (in local currency)</v>
      </c>
      <c r="I1162" s="9" t="b" cm="1">
        <f t="array" ref="I1162">INDEX(stable[is_fixed],MATCH(VALUE(questions[[#This Row],[qno]]),VALUE(stable[qno]),0))</f>
        <v>0</v>
      </c>
      <c r="J1162" s="9" t="b" cm="1">
        <f t="array" ref="J1162">INDEX(stable[is_localized],MATCH(VALUE(questions[[#This Row],[qno]]),VALUE(stable[qno]),0))</f>
        <v>1</v>
      </c>
      <c r="K1162" s="9" t="b" cm="1">
        <f t="array" ref="K1162">INDEX(stable[is_supply_chain_dependent],MATCH(VALUE(questions[[#This Row],[qno]]),VALUE(stable[qno]),0))</f>
        <v>0</v>
      </c>
      <c r="L1162" s="9" t="b" cm="1">
        <f t="array" ref="L1162">INDEX(stable[is_mandatory],MATCH(VALUE(questions[[#This Row],[qno]]),VALUE(stable[qno]),0))</f>
        <v>0</v>
      </c>
      <c r="M1162" s="9" t="b" cm="1">
        <f t="array" ref="M1162">INDEX(stable[is_automated],MATCH(VALUE(questions[[#This Row],[qno]]),VALUE(stable[qno]),0))</f>
        <v>0</v>
      </c>
      <c r="N1162" s="9" t="b" cm="1">
        <f t="array" ref="N1162">INDEX(stable[is_free_text],MATCH(VALUE(questions[[#This Row],[qno]]),VALUE(stable[qno]),0))</f>
        <v>0</v>
      </c>
      <c r="O1162" s="9" t="b" cm="1">
        <f t="array" ref="O1162">INDEX(stable[is_numerical],MATCH(VALUE(questions[[#This Row],[qno]]),VALUE(stable[qno]),0))</f>
        <v>1</v>
      </c>
      <c r="P1162" s="9" t="b" cm="1">
        <f t="array" ref="P1162">INDEX(stable[is_single_select],MATCH(VALUE(questions[[#This Row],[qno]]),VALUE(stable[qno]),0))</f>
        <v>0</v>
      </c>
      <c r="Q1162" s="9" t="b" cm="1">
        <f t="array" ref="Q1162">INDEX(stable[is_multi_select],MATCH(VALUE(questions[[#This Row],[qno]]),VALUE(stable[qno]),0))</f>
        <v>0</v>
      </c>
      <c r="R1162" s="9" t="b" cm="1">
        <f t="array" ref="R1162">INDEX(stable[is_skip_logic],MATCH(VALUE(questions[[#This Row],[qno]]),VALUE(stable[qno]),0))</f>
        <v>0</v>
      </c>
      <c r="S1162" s="9" t="str">
        <f>_xlfn.TEXTJOIN(", ",TRUE,questions[[#This Row],[ans_opt_1]:[ans_opt_14]])</f>
        <v/>
      </c>
      <c r="T1162" s="33"/>
      <c r="U1162" s="33"/>
      <c r="V1162" s="33"/>
      <c r="W1162" s="33"/>
      <c r="X1162" s="33"/>
      <c r="Y1162" s="33"/>
      <c r="Z1162" s="33"/>
      <c r="AA1162" s="33"/>
      <c r="AB1162" s="33"/>
      <c r="AC1162" s="33"/>
      <c r="AD1162" s="33"/>
      <c r="AE1162" s="33"/>
      <c r="AF1162" s="33"/>
      <c r="AG1162" s="33"/>
      <c r="AH1162" s="99" t="b">
        <f>INDEX(stable[q_standard],MATCH(questions[[#This Row],[qno]],stable[qno],0))</f>
        <v>0</v>
      </c>
      <c r="AI1162" s="99" t="b">
        <f>INDEX(stable[q_living_income],MATCH(questions[[#This Row],[qno]],stable[qno],0))</f>
        <v>1</v>
      </c>
      <c r="AJ1162" s="99" t="b">
        <f>INDEX(stable[q_carbon],MATCH(questions[[#This Row],[qno]],stable[qno],0))</f>
        <v>0</v>
      </c>
      <c r="AK1162" s="99" t="b">
        <f>INDEX(stable[q_regen_ag],MATCH(questions[[#This Row],[qno]],stable[qno],0))</f>
        <v>0</v>
      </c>
      <c r="AL1162" s="16" t="b">
        <f>COUNTIFS(stable[qno],questions[[#This Row],[qno]])=1</f>
        <v>1</v>
      </c>
      <c r="AM1162" s="16" t="b">
        <f>OR(questions[[#This Row],[is_fixed]],questions[[#This Row],[is_localized]],questions[[#This Row],[is_supply_chain_dependent]])</f>
        <v>1</v>
      </c>
      <c r="AN1162" s="16" t="b">
        <f>COUNTIFS(questions[[#This Row],[is_automated]:[is_multi_select]],TRUE)=1</f>
        <v>1</v>
      </c>
      <c r="AO1162" s="16" t="b">
        <f>IF(questions[[#This Row],[is_fixed]],questions[[#This Row],[question]]=INDEX(stable[question],MATCH(questions[[#This Row],[qno]],stable[qno],0)),TRUE)</f>
        <v>1</v>
      </c>
      <c r="AP1162" s="16" t="str">
        <f>LEFT(questions[[#This Row],[question]],similarity_range)</f>
        <v>What was the most co</v>
      </c>
      <c r="AQ1162" s="16" t="str">
        <f>LEFT(INDEX(stable[question],MATCH(questions[[#This Row],[qno]],stable[qno],0)),similarity_range)</f>
        <v>What was the most co</v>
      </c>
      <c r="AR1162" s="16" t="b">
        <f>questions[[#This Row],[question_first_characters]]=questions[[#This Row],[stability_first_characters]]</f>
        <v>1</v>
      </c>
      <c r="AS1162" s="16" t="b">
        <f>IF(OR(questions[[#This Row],[is_single_select]],questions[[#This Row],[is_multi_select]]),NOT(ISBLANK(questions[[#This Row],[answer_opt_combined]])),TRUE)</f>
        <v>1</v>
      </c>
    </row>
    <row r="1163" spans="1:45" ht="15.75" customHeight="1" x14ac:dyDescent="0.25">
      <c r="A1163" s="9" t="str">
        <f>_xlfn.TEXTJOIN("_",TRUE,questions[[#This Row],[origin]:[qno]])</f>
        <v>Kenya_Arabica_Nestle_2025_3120</v>
      </c>
      <c r="B1163" s="33" t="s">
        <v>818</v>
      </c>
      <c r="C1163" s="33" t="s">
        <v>59</v>
      </c>
      <c r="D1163" s="33" t="s">
        <v>819</v>
      </c>
      <c r="E1163" s="33">
        <v>2025</v>
      </c>
      <c r="F1163" s="41" t="s">
        <v>534</v>
      </c>
      <c r="G1163" s="18" t="s">
        <v>830</v>
      </c>
      <c r="H1163" s="9" t="str" cm="1">
        <f t="array" ref="H1163">INDEX(stableR[question],MATCH(VALUE(questions[[#This Row],[qno]]),VALUE(stableR[qno]),0))</f>
        <v>How many kilograms of dried cherries did you sell during the fly season?</v>
      </c>
      <c r="I1163" s="9" t="b" cm="1">
        <f t="array" ref="I1163">INDEX(stable[is_fixed],MATCH(VALUE(questions[[#This Row],[qno]]),VALUE(stable[qno]),0))</f>
        <v>0</v>
      </c>
      <c r="J1163" s="9" t="b" cm="1">
        <f t="array" ref="J1163">INDEX(stable[is_localized],MATCH(VALUE(questions[[#This Row],[qno]]),VALUE(stable[qno]),0))</f>
        <v>0</v>
      </c>
      <c r="K1163" s="9" t="b" cm="1">
        <f t="array" ref="K1163">INDEX(stable[is_supply_chain_dependent],MATCH(VALUE(questions[[#This Row],[qno]]),VALUE(stable[qno]),0))</f>
        <v>1</v>
      </c>
      <c r="L1163" s="9" t="b" cm="1">
        <f t="array" ref="L1163">INDEX(stable[is_mandatory],MATCH(VALUE(questions[[#This Row],[qno]]),VALUE(stable[qno]),0))</f>
        <v>0</v>
      </c>
      <c r="M1163" s="9" t="b" cm="1">
        <f t="array" ref="M1163">INDEX(stable[is_automated],MATCH(VALUE(questions[[#This Row],[qno]]),VALUE(stable[qno]),0))</f>
        <v>0</v>
      </c>
      <c r="N1163" s="9" t="b" cm="1">
        <f t="array" ref="N1163">INDEX(stable[is_free_text],MATCH(VALUE(questions[[#This Row],[qno]]),VALUE(stable[qno]),0))</f>
        <v>0</v>
      </c>
      <c r="O1163" s="9" t="b" cm="1">
        <f t="array" ref="O1163">INDEX(stable[is_numerical],MATCH(VALUE(questions[[#This Row],[qno]]),VALUE(stable[qno]),0))</f>
        <v>1</v>
      </c>
      <c r="P1163" s="9" t="b" cm="1">
        <f t="array" ref="P1163">INDEX(stable[is_single_select],MATCH(VALUE(questions[[#This Row],[qno]]),VALUE(stable[qno]),0))</f>
        <v>0</v>
      </c>
      <c r="Q1163" s="9" t="b" cm="1">
        <f t="array" ref="Q1163">INDEX(stable[is_multi_select],MATCH(VALUE(questions[[#This Row],[qno]]),VALUE(stable[qno]),0))</f>
        <v>0</v>
      </c>
      <c r="R1163" s="9" t="b" cm="1">
        <f t="array" ref="R1163">INDEX(stable[is_skip_logic],MATCH(VALUE(questions[[#This Row],[qno]]),VALUE(stable[qno]),0))</f>
        <v>0</v>
      </c>
      <c r="S1163" s="9" t="str">
        <f>_xlfn.TEXTJOIN(", ",TRUE,questions[[#This Row],[ans_opt_1]:[ans_opt_14]])</f>
        <v/>
      </c>
      <c r="T1163" s="33"/>
      <c r="U1163" s="33"/>
      <c r="V1163" s="33"/>
      <c r="W1163" s="33"/>
      <c r="X1163" s="33"/>
      <c r="Y1163" s="33"/>
      <c r="Z1163" s="33"/>
      <c r="AA1163" s="33"/>
      <c r="AB1163" s="33"/>
      <c r="AC1163" s="33"/>
      <c r="AD1163" s="33"/>
      <c r="AE1163" s="33"/>
      <c r="AF1163" s="33"/>
      <c r="AG1163" s="33"/>
      <c r="AH1163" s="99" t="b">
        <f>INDEX(stable[q_standard],MATCH(questions[[#This Row],[qno]],stable[qno],0))</f>
        <v>0</v>
      </c>
      <c r="AI1163" s="99" t="b">
        <f>INDEX(stable[q_living_income],MATCH(questions[[#This Row],[qno]],stable[qno],0))</f>
        <v>1</v>
      </c>
      <c r="AJ1163" s="99" t="b">
        <f>INDEX(stable[q_carbon],MATCH(questions[[#This Row],[qno]],stable[qno],0))</f>
        <v>1</v>
      </c>
      <c r="AK1163" s="99" t="b">
        <f>INDEX(stable[q_regen_ag],MATCH(questions[[#This Row],[qno]],stable[qno],0))</f>
        <v>1</v>
      </c>
      <c r="AL1163" s="16" t="b">
        <f>COUNTIFS(stable[qno],questions[[#This Row],[qno]])=1</f>
        <v>1</v>
      </c>
      <c r="AM1163" s="16" t="b">
        <f>OR(questions[[#This Row],[is_fixed]],questions[[#This Row],[is_localized]],questions[[#This Row],[is_supply_chain_dependent]])</f>
        <v>1</v>
      </c>
      <c r="AN1163" s="16" t="b">
        <f>COUNTIFS(questions[[#This Row],[is_automated]:[is_multi_select]],TRUE)=1</f>
        <v>1</v>
      </c>
      <c r="AO1163" s="16" t="b">
        <f>IF(questions[[#This Row],[is_fixed]],questions[[#This Row],[question]]=INDEX(stable[question],MATCH(questions[[#This Row],[qno]],stable[qno],0)),TRUE)</f>
        <v>1</v>
      </c>
      <c r="AP1163" s="16" t="str">
        <f>LEFT(questions[[#This Row],[question]],similarity_range)</f>
        <v>How many kilograms o</v>
      </c>
      <c r="AQ1163" s="16" t="str">
        <f>LEFT(INDEX(stable[question],MATCH(questions[[#This Row],[qno]],stable[qno],0)),similarity_range)</f>
        <v>How many kilograms o</v>
      </c>
      <c r="AR1163" s="16" t="b">
        <f>questions[[#This Row],[question_first_characters]]=questions[[#This Row],[stability_first_characters]]</f>
        <v>1</v>
      </c>
      <c r="AS1163" s="16" t="b">
        <f>IF(OR(questions[[#This Row],[is_single_select]],questions[[#This Row],[is_multi_select]]),NOT(ISBLANK(questions[[#This Row],[answer_opt_combined]])),TRUE)</f>
        <v>1</v>
      </c>
    </row>
    <row r="1164" spans="1:45" ht="15.75" customHeight="1" x14ac:dyDescent="0.25">
      <c r="A1164" s="9" t="str">
        <f>_xlfn.TEXTJOIN("_",TRUE,questions[[#This Row],[origin]:[qno]])</f>
        <v>Kenya_Arabica_Nestle_2025_3121</v>
      </c>
      <c r="B1164" s="33" t="s">
        <v>818</v>
      </c>
      <c r="C1164" s="33" t="s">
        <v>59</v>
      </c>
      <c r="D1164" s="33" t="s">
        <v>819</v>
      </c>
      <c r="E1164" s="33">
        <v>2025</v>
      </c>
      <c r="F1164" s="41" t="s">
        <v>536</v>
      </c>
      <c r="G1164" s="18" t="s">
        <v>950</v>
      </c>
      <c r="H1164" s="9" t="str" cm="1">
        <f t="array" ref="H1164">INDEX(stableR[question],MATCH(VALUE(questions[[#This Row],[qno]]),VALUE(stableR[qno]),0))</f>
        <v>What was the most common price per kilogram that you received for dried cherries harvested in the fly season? (in local currency)</v>
      </c>
      <c r="I1164" s="9" t="b" cm="1">
        <f t="array" ref="I1164">INDEX(stable[is_fixed],MATCH(VALUE(questions[[#This Row],[qno]]),VALUE(stable[qno]),0))</f>
        <v>0</v>
      </c>
      <c r="J1164" s="9" t="b" cm="1">
        <f t="array" ref="J1164">INDEX(stable[is_localized],MATCH(VALUE(questions[[#This Row],[qno]]),VALUE(stable[qno]),0))</f>
        <v>0</v>
      </c>
      <c r="K1164" s="9" t="b" cm="1">
        <f t="array" ref="K1164">INDEX(stable[is_supply_chain_dependent],MATCH(VALUE(questions[[#This Row],[qno]]),VALUE(stable[qno]),0))</f>
        <v>1</v>
      </c>
      <c r="L1164" s="9" t="b" cm="1">
        <f t="array" ref="L1164">INDEX(stable[is_mandatory],MATCH(VALUE(questions[[#This Row],[qno]]),VALUE(stable[qno]),0))</f>
        <v>0</v>
      </c>
      <c r="M1164" s="9" t="b" cm="1">
        <f t="array" ref="M1164">INDEX(stable[is_automated],MATCH(VALUE(questions[[#This Row],[qno]]),VALUE(stable[qno]),0))</f>
        <v>0</v>
      </c>
      <c r="N1164" s="9" t="b" cm="1">
        <f t="array" ref="N1164">INDEX(stable[is_free_text],MATCH(VALUE(questions[[#This Row],[qno]]),VALUE(stable[qno]),0))</f>
        <v>0</v>
      </c>
      <c r="O1164" s="9" t="b" cm="1">
        <f t="array" ref="O1164">INDEX(stable[is_numerical],MATCH(VALUE(questions[[#This Row],[qno]]),VALUE(stable[qno]),0))</f>
        <v>1</v>
      </c>
      <c r="P1164" s="9" t="b" cm="1">
        <f t="array" ref="P1164">INDEX(stable[is_single_select],MATCH(VALUE(questions[[#This Row],[qno]]),VALUE(stable[qno]),0))</f>
        <v>0</v>
      </c>
      <c r="Q1164" s="9" t="b" cm="1">
        <f t="array" ref="Q1164">INDEX(stable[is_multi_select],MATCH(VALUE(questions[[#This Row],[qno]]),VALUE(stable[qno]),0))</f>
        <v>0</v>
      </c>
      <c r="R1164" s="9" t="b" cm="1">
        <f t="array" ref="R1164">INDEX(stable[is_skip_logic],MATCH(VALUE(questions[[#This Row],[qno]]),VALUE(stable[qno]),0))</f>
        <v>0</v>
      </c>
      <c r="S1164" s="9" t="str">
        <f>_xlfn.TEXTJOIN(", ",TRUE,questions[[#This Row],[ans_opt_1]:[ans_opt_14]])</f>
        <v/>
      </c>
      <c r="T1164" s="33"/>
      <c r="U1164" s="33"/>
      <c r="V1164" s="33"/>
      <c r="W1164" s="33"/>
      <c r="X1164" s="33"/>
      <c r="Y1164" s="33"/>
      <c r="Z1164" s="33"/>
      <c r="AA1164" s="33"/>
      <c r="AB1164" s="33"/>
      <c r="AC1164" s="33"/>
      <c r="AD1164" s="33"/>
      <c r="AE1164" s="33"/>
      <c r="AF1164" s="33"/>
      <c r="AG1164" s="33"/>
      <c r="AH1164" s="99" t="b">
        <f>INDEX(stable[q_standard],MATCH(questions[[#This Row],[qno]],stable[qno],0))</f>
        <v>0</v>
      </c>
      <c r="AI1164" s="99" t="b">
        <f>INDEX(stable[q_living_income],MATCH(questions[[#This Row],[qno]],stable[qno],0))</f>
        <v>1</v>
      </c>
      <c r="AJ1164" s="99" t="b">
        <f>INDEX(stable[q_carbon],MATCH(questions[[#This Row],[qno]],stable[qno],0))</f>
        <v>0</v>
      </c>
      <c r="AK1164" s="99" t="b">
        <f>INDEX(stable[q_regen_ag],MATCH(questions[[#This Row],[qno]],stable[qno],0))</f>
        <v>0</v>
      </c>
      <c r="AL1164" s="16" t="b">
        <f>COUNTIFS(stable[qno],questions[[#This Row],[qno]])=1</f>
        <v>1</v>
      </c>
      <c r="AM1164" s="16" t="b">
        <f>OR(questions[[#This Row],[is_fixed]],questions[[#This Row],[is_localized]],questions[[#This Row],[is_supply_chain_dependent]])</f>
        <v>1</v>
      </c>
      <c r="AN1164" s="16" t="b">
        <f>COUNTIFS(questions[[#This Row],[is_automated]:[is_multi_select]],TRUE)=1</f>
        <v>1</v>
      </c>
      <c r="AO1164" s="16" t="b">
        <f>IF(questions[[#This Row],[is_fixed]],questions[[#This Row],[question]]=INDEX(stable[question],MATCH(questions[[#This Row],[qno]],stable[qno],0)),TRUE)</f>
        <v>1</v>
      </c>
      <c r="AP1164" s="16" t="str">
        <f>LEFT(questions[[#This Row],[question]],similarity_range)</f>
        <v>What was the most co</v>
      </c>
      <c r="AQ1164" s="16" t="str">
        <f>LEFT(INDEX(stable[question],MATCH(questions[[#This Row],[qno]],stable[qno],0)),similarity_range)</f>
        <v>What was the most co</v>
      </c>
      <c r="AR1164" s="16" t="b">
        <f>questions[[#This Row],[question_first_characters]]=questions[[#This Row],[stability_first_characters]]</f>
        <v>1</v>
      </c>
      <c r="AS1164" s="16" t="b">
        <f>IF(OR(questions[[#This Row],[is_single_select]],questions[[#This Row],[is_multi_select]]),NOT(ISBLANK(questions[[#This Row],[answer_opt_combined]])),TRUE)</f>
        <v>1</v>
      </c>
    </row>
    <row r="1165" spans="1:45" ht="15.75" customHeight="1" x14ac:dyDescent="0.25">
      <c r="A1165" s="9" t="str">
        <f>_xlfn.TEXTJOIN("_",TRUE,questions[[#This Row],[origin]:[qno]])</f>
        <v>Kenya_Arabica_Nestle_2025_3200</v>
      </c>
      <c r="B1165" s="33" t="s">
        <v>818</v>
      </c>
      <c r="C1165" s="33" t="s">
        <v>59</v>
      </c>
      <c r="D1165" s="33" t="s">
        <v>819</v>
      </c>
      <c r="E1165" s="33">
        <v>2025</v>
      </c>
      <c r="F1165" s="41" t="s">
        <v>542</v>
      </c>
      <c r="G1165" s="18" t="s">
        <v>832</v>
      </c>
      <c r="H1165" s="9" t="str" cm="1">
        <f t="array" ref="H1165">INDEX(stableR[question],MATCH(VALUE(questions[[#This Row],[qno]]),VALUE(stableR[qno]),0))</f>
        <v>How many kilograms of fresh cherries did you sell during the main season?</v>
      </c>
      <c r="I1165" s="9" t="b" cm="1">
        <f t="array" ref="I1165">INDEX(stable[is_fixed],MATCH(VALUE(questions[[#This Row],[qno]]),VALUE(stable[qno]),0))</f>
        <v>0</v>
      </c>
      <c r="J1165" s="9" t="b" cm="1">
        <f t="array" ref="J1165">INDEX(stable[is_localized],MATCH(VALUE(questions[[#This Row],[qno]]),VALUE(stable[qno]),0))</f>
        <v>1</v>
      </c>
      <c r="K1165" s="9" t="b" cm="1">
        <f t="array" ref="K1165">INDEX(stable[is_supply_chain_dependent],MATCH(VALUE(questions[[#This Row],[qno]]),VALUE(stable[qno]),0))</f>
        <v>0</v>
      </c>
      <c r="L1165" s="9" t="b" cm="1">
        <f t="array" ref="L1165">INDEX(stable[is_mandatory],MATCH(VALUE(questions[[#This Row],[qno]]),VALUE(stable[qno]),0))</f>
        <v>0</v>
      </c>
      <c r="M1165" s="9" t="b" cm="1">
        <f t="array" ref="M1165">INDEX(stable[is_automated],MATCH(VALUE(questions[[#This Row],[qno]]),VALUE(stable[qno]),0))</f>
        <v>0</v>
      </c>
      <c r="N1165" s="9" t="b" cm="1">
        <f t="array" ref="N1165">INDEX(stable[is_free_text],MATCH(VALUE(questions[[#This Row],[qno]]),VALUE(stable[qno]),0))</f>
        <v>0</v>
      </c>
      <c r="O1165" s="9" t="b" cm="1">
        <f t="array" ref="O1165">INDEX(stable[is_numerical],MATCH(VALUE(questions[[#This Row],[qno]]),VALUE(stable[qno]),0))</f>
        <v>1</v>
      </c>
      <c r="P1165" s="9" t="b" cm="1">
        <f t="array" ref="P1165">INDEX(stable[is_single_select],MATCH(VALUE(questions[[#This Row],[qno]]),VALUE(stable[qno]),0))</f>
        <v>0</v>
      </c>
      <c r="Q1165" s="9" t="b" cm="1">
        <f t="array" ref="Q1165">INDEX(stable[is_multi_select],MATCH(VALUE(questions[[#This Row],[qno]]),VALUE(stable[qno]),0))</f>
        <v>0</v>
      </c>
      <c r="R1165" s="9" t="b" cm="1">
        <f t="array" ref="R1165">INDEX(stable[is_skip_logic],MATCH(VALUE(questions[[#This Row],[qno]]),VALUE(stable[qno]),0))</f>
        <v>0</v>
      </c>
      <c r="S1165" s="9" t="str">
        <f>_xlfn.TEXTJOIN(", ",TRUE,questions[[#This Row],[ans_opt_1]:[ans_opt_14]])</f>
        <v/>
      </c>
      <c r="T1165" s="33"/>
      <c r="U1165" s="33"/>
      <c r="V1165" s="33"/>
      <c r="W1165" s="33"/>
      <c r="X1165" s="33"/>
      <c r="Y1165" s="33"/>
      <c r="Z1165" s="33"/>
      <c r="AA1165" s="33"/>
      <c r="AB1165" s="33"/>
      <c r="AC1165" s="33"/>
      <c r="AD1165" s="33"/>
      <c r="AE1165" s="33"/>
      <c r="AF1165" s="33"/>
      <c r="AG1165" s="33"/>
      <c r="AH1165" s="99" t="b">
        <f>INDEX(stable[q_standard],MATCH(questions[[#This Row],[qno]],stable[qno],0))</f>
        <v>0</v>
      </c>
      <c r="AI1165" s="99" t="b">
        <f>INDEX(stable[q_living_income],MATCH(questions[[#This Row],[qno]],stable[qno],0))</f>
        <v>1</v>
      </c>
      <c r="AJ1165" s="99" t="b">
        <f>INDEX(stable[q_carbon],MATCH(questions[[#This Row],[qno]],stable[qno],0))</f>
        <v>1</v>
      </c>
      <c r="AK1165" s="99" t="b">
        <f>INDEX(stable[q_regen_ag],MATCH(questions[[#This Row],[qno]],stable[qno],0))</f>
        <v>1</v>
      </c>
      <c r="AL1165" s="16" t="b">
        <f>COUNTIFS(stable[qno],questions[[#This Row],[qno]])=1</f>
        <v>1</v>
      </c>
      <c r="AM1165" s="16" t="b">
        <f>OR(questions[[#This Row],[is_fixed]],questions[[#This Row],[is_localized]],questions[[#This Row],[is_supply_chain_dependent]])</f>
        <v>1</v>
      </c>
      <c r="AN1165" s="16" t="b">
        <f>COUNTIFS(questions[[#This Row],[is_automated]:[is_multi_select]],TRUE)=1</f>
        <v>1</v>
      </c>
      <c r="AO1165" s="16" t="b">
        <f>IF(questions[[#This Row],[is_fixed]],questions[[#This Row],[question]]=INDEX(stable[question],MATCH(questions[[#This Row],[qno]],stable[qno],0)),TRUE)</f>
        <v>1</v>
      </c>
      <c r="AP1165" s="16" t="str">
        <f>LEFT(questions[[#This Row],[question]],similarity_range)</f>
        <v>How many kilograms o</v>
      </c>
      <c r="AQ1165" s="16" t="str">
        <f>LEFT(INDEX(stable[question],MATCH(questions[[#This Row],[qno]],stable[qno],0)),similarity_range)</f>
        <v>How many kilograms o</v>
      </c>
      <c r="AR1165" s="16" t="b">
        <f>questions[[#This Row],[question_first_characters]]=questions[[#This Row],[stability_first_characters]]</f>
        <v>1</v>
      </c>
      <c r="AS1165" s="16" t="b">
        <f>IF(OR(questions[[#This Row],[is_single_select]],questions[[#This Row],[is_multi_select]]),NOT(ISBLANK(questions[[#This Row],[answer_opt_combined]])),TRUE)</f>
        <v>1</v>
      </c>
    </row>
    <row r="1166" spans="1:45" ht="15.75" customHeight="1" x14ac:dyDescent="0.25">
      <c r="A1166" s="9" t="str">
        <f>_xlfn.TEXTJOIN("_",TRUE,questions[[#This Row],[origin]:[qno]])</f>
        <v>Kenya_Arabica_Nestle_2025_3201</v>
      </c>
      <c r="B1166" s="33" t="s">
        <v>818</v>
      </c>
      <c r="C1166" s="33" t="s">
        <v>59</v>
      </c>
      <c r="D1166" s="33" t="s">
        <v>819</v>
      </c>
      <c r="E1166" s="33">
        <v>2025</v>
      </c>
      <c r="F1166" s="41" t="s">
        <v>544</v>
      </c>
      <c r="G1166" s="18" t="s">
        <v>951</v>
      </c>
      <c r="H1166" s="9" t="str" cm="1">
        <f t="array" ref="H1166">INDEX(stableR[question],MATCH(VALUE(questions[[#This Row],[qno]]),VALUE(stableR[qno]),0))</f>
        <v>What was the most common price per kilogram that you received for fresh cherries harvested in the main season? (in local currency)</v>
      </c>
      <c r="I1166" s="9" t="b" cm="1">
        <f t="array" ref="I1166">INDEX(stable[is_fixed],MATCH(VALUE(questions[[#This Row],[qno]]),VALUE(stable[qno]),0))</f>
        <v>0</v>
      </c>
      <c r="J1166" s="9" t="b" cm="1">
        <f t="array" ref="J1166">INDEX(stable[is_localized],MATCH(VALUE(questions[[#This Row],[qno]]),VALUE(stable[qno]),0))</f>
        <v>1</v>
      </c>
      <c r="K1166" s="9" t="b" cm="1">
        <f t="array" ref="K1166">INDEX(stable[is_supply_chain_dependent],MATCH(VALUE(questions[[#This Row],[qno]]),VALUE(stable[qno]),0))</f>
        <v>0</v>
      </c>
      <c r="L1166" s="9" t="b" cm="1">
        <f t="array" ref="L1166">INDEX(stable[is_mandatory],MATCH(VALUE(questions[[#This Row],[qno]]),VALUE(stable[qno]),0))</f>
        <v>0</v>
      </c>
      <c r="M1166" s="9" t="b" cm="1">
        <f t="array" ref="M1166">INDEX(stable[is_automated],MATCH(VALUE(questions[[#This Row],[qno]]),VALUE(stable[qno]),0))</f>
        <v>0</v>
      </c>
      <c r="N1166" s="9" t="b" cm="1">
        <f t="array" ref="N1166">INDEX(stable[is_free_text],MATCH(VALUE(questions[[#This Row],[qno]]),VALUE(stable[qno]),0))</f>
        <v>0</v>
      </c>
      <c r="O1166" s="9" t="b" cm="1">
        <f t="array" ref="O1166">INDEX(stable[is_numerical],MATCH(VALUE(questions[[#This Row],[qno]]),VALUE(stable[qno]),0))</f>
        <v>1</v>
      </c>
      <c r="P1166" s="9" t="b" cm="1">
        <f t="array" ref="P1166">INDEX(stable[is_single_select],MATCH(VALUE(questions[[#This Row],[qno]]),VALUE(stable[qno]),0))</f>
        <v>0</v>
      </c>
      <c r="Q1166" s="9" t="b" cm="1">
        <f t="array" ref="Q1166">INDEX(stable[is_multi_select],MATCH(VALUE(questions[[#This Row],[qno]]),VALUE(stable[qno]),0))</f>
        <v>0</v>
      </c>
      <c r="R1166" s="9" t="b" cm="1">
        <f t="array" ref="R1166">INDEX(stable[is_skip_logic],MATCH(VALUE(questions[[#This Row],[qno]]),VALUE(stable[qno]),0))</f>
        <v>0</v>
      </c>
      <c r="S1166" s="9" t="str">
        <f>_xlfn.TEXTJOIN(", ",TRUE,questions[[#This Row],[ans_opt_1]:[ans_opt_14]])</f>
        <v/>
      </c>
      <c r="T1166" s="33"/>
      <c r="U1166" s="33"/>
      <c r="V1166" s="33"/>
      <c r="W1166" s="33"/>
      <c r="X1166" s="33"/>
      <c r="Y1166" s="33"/>
      <c r="Z1166" s="33"/>
      <c r="AA1166" s="33"/>
      <c r="AB1166" s="33"/>
      <c r="AC1166" s="33"/>
      <c r="AD1166" s="33"/>
      <c r="AE1166" s="33"/>
      <c r="AF1166" s="33"/>
      <c r="AG1166" s="33"/>
      <c r="AH1166" s="99" t="b">
        <f>INDEX(stable[q_standard],MATCH(questions[[#This Row],[qno]],stable[qno],0))</f>
        <v>0</v>
      </c>
      <c r="AI1166" s="99" t="b">
        <f>INDEX(stable[q_living_income],MATCH(questions[[#This Row],[qno]],stable[qno],0))</f>
        <v>1</v>
      </c>
      <c r="AJ1166" s="99" t="b">
        <f>INDEX(stable[q_carbon],MATCH(questions[[#This Row],[qno]],stable[qno],0))</f>
        <v>0</v>
      </c>
      <c r="AK1166" s="99" t="b">
        <f>INDEX(stable[q_regen_ag],MATCH(questions[[#This Row],[qno]],stable[qno],0))</f>
        <v>0</v>
      </c>
      <c r="AL1166" s="16" t="b">
        <f>COUNTIFS(stable[qno],questions[[#This Row],[qno]])=1</f>
        <v>1</v>
      </c>
      <c r="AM1166" s="16" t="b">
        <f>OR(questions[[#This Row],[is_fixed]],questions[[#This Row],[is_localized]],questions[[#This Row],[is_supply_chain_dependent]])</f>
        <v>1</v>
      </c>
      <c r="AN1166" s="16" t="b">
        <f>COUNTIFS(questions[[#This Row],[is_automated]:[is_multi_select]],TRUE)=1</f>
        <v>1</v>
      </c>
      <c r="AO1166" s="16" t="b">
        <f>IF(questions[[#This Row],[is_fixed]],questions[[#This Row],[question]]=INDEX(stable[question],MATCH(questions[[#This Row],[qno]],stable[qno],0)),TRUE)</f>
        <v>1</v>
      </c>
      <c r="AP1166" s="16" t="str">
        <f>LEFT(questions[[#This Row],[question]],similarity_range)</f>
        <v>What was the most co</v>
      </c>
      <c r="AQ1166" s="16" t="str">
        <f>LEFT(INDEX(stable[question],MATCH(questions[[#This Row],[qno]],stable[qno],0)),similarity_range)</f>
        <v>What was the most co</v>
      </c>
      <c r="AR1166" s="16" t="b">
        <f>questions[[#This Row],[question_first_characters]]=questions[[#This Row],[stability_first_characters]]</f>
        <v>1</v>
      </c>
      <c r="AS1166" s="16" t="b">
        <f>IF(OR(questions[[#This Row],[is_single_select]],questions[[#This Row],[is_multi_select]]),NOT(ISBLANK(questions[[#This Row],[answer_opt_combined]])),TRUE)</f>
        <v>1</v>
      </c>
    </row>
    <row r="1167" spans="1:45" ht="15.75" customHeight="1" x14ac:dyDescent="0.25">
      <c r="A1167" s="9" t="str">
        <f>_xlfn.TEXTJOIN("_",TRUE,questions[[#This Row],[origin]:[qno]])</f>
        <v>Kenya_Arabica_Nestle_2025_3220</v>
      </c>
      <c r="B1167" s="33" t="s">
        <v>818</v>
      </c>
      <c r="C1167" s="33" t="s">
        <v>59</v>
      </c>
      <c r="D1167" s="33" t="s">
        <v>819</v>
      </c>
      <c r="E1167" s="33">
        <v>2025</v>
      </c>
      <c r="F1167" s="41" t="s">
        <v>550</v>
      </c>
      <c r="G1167" s="18" t="s">
        <v>834</v>
      </c>
      <c r="H1167" s="9" t="str" cm="1">
        <f t="array" ref="H1167">INDEX(stableR[question],MATCH(VALUE(questions[[#This Row],[qno]]),VALUE(stableR[qno]),0))</f>
        <v>How many kilograms of dried cherries did you sell during the main season?</v>
      </c>
      <c r="I1167" s="9" t="b" cm="1">
        <f t="array" ref="I1167">INDEX(stable[is_fixed],MATCH(VALUE(questions[[#This Row],[qno]]),VALUE(stable[qno]),0))</f>
        <v>0</v>
      </c>
      <c r="J1167" s="9" t="b" cm="1">
        <f t="array" ref="J1167">INDEX(stable[is_localized],MATCH(VALUE(questions[[#This Row],[qno]]),VALUE(stable[qno]),0))</f>
        <v>0</v>
      </c>
      <c r="K1167" s="9" t="b" cm="1">
        <f t="array" ref="K1167">INDEX(stable[is_supply_chain_dependent],MATCH(VALUE(questions[[#This Row],[qno]]),VALUE(stable[qno]),0))</f>
        <v>1</v>
      </c>
      <c r="L1167" s="9" t="b" cm="1">
        <f t="array" ref="L1167">INDEX(stable[is_mandatory],MATCH(VALUE(questions[[#This Row],[qno]]),VALUE(stable[qno]),0))</f>
        <v>0</v>
      </c>
      <c r="M1167" s="9" t="b" cm="1">
        <f t="array" ref="M1167">INDEX(stable[is_automated],MATCH(VALUE(questions[[#This Row],[qno]]),VALUE(stable[qno]),0))</f>
        <v>0</v>
      </c>
      <c r="N1167" s="9" t="b" cm="1">
        <f t="array" ref="N1167">INDEX(stable[is_free_text],MATCH(VALUE(questions[[#This Row],[qno]]),VALUE(stable[qno]),0))</f>
        <v>0</v>
      </c>
      <c r="O1167" s="9" t="b" cm="1">
        <f t="array" ref="O1167">INDEX(stable[is_numerical],MATCH(VALUE(questions[[#This Row],[qno]]),VALUE(stable[qno]),0))</f>
        <v>1</v>
      </c>
      <c r="P1167" s="9" t="b" cm="1">
        <f t="array" ref="P1167">INDEX(stable[is_single_select],MATCH(VALUE(questions[[#This Row],[qno]]),VALUE(stable[qno]),0))</f>
        <v>0</v>
      </c>
      <c r="Q1167" s="9" t="b" cm="1">
        <f t="array" ref="Q1167">INDEX(stable[is_multi_select],MATCH(VALUE(questions[[#This Row],[qno]]),VALUE(stable[qno]),0))</f>
        <v>0</v>
      </c>
      <c r="R1167" s="9" t="b" cm="1">
        <f t="array" ref="R1167">INDEX(stable[is_skip_logic],MATCH(VALUE(questions[[#This Row],[qno]]),VALUE(stable[qno]),0))</f>
        <v>0</v>
      </c>
      <c r="S1167" s="9" t="str">
        <f>_xlfn.TEXTJOIN(", ",TRUE,questions[[#This Row],[ans_opt_1]:[ans_opt_14]])</f>
        <v/>
      </c>
      <c r="T1167" s="33"/>
      <c r="U1167" s="33"/>
      <c r="V1167" s="33"/>
      <c r="W1167" s="33"/>
      <c r="X1167" s="33"/>
      <c r="Y1167" s="33"/>
      <c r="Z1167" s="33"/>
      <c r="AA1167" s="33"/>
      <c r="AB1167" s="33"/>
      <c r="AC1167" s="33"/>
      <c r="AD1167" s="33"/>
      <c r="AE1167" s="33"/>
      <c r="AF1167" s="33"/>
      <c r="AG1167" s="33"/>
      <c r="AH1167" s="99" t="b">
        <f>INDEX(stable[q_standard],MATCH(questions[[#This Row],[qno]],stable[qno],0))</f>
        <v>0</v>
      </c>
      <c r="AI1167" s="99" t="b">
        <f>INDEX(stable[q_living_income],MATCH(questions[[#This Row],[qno]],stable[qno],0))</f>
        <v>1</v>
      </c>
      <c r="AJ1167" s="99" t="b">
        <f>INDEX(stable[q_carbon],MATCH(questions[[#This Row],[qno]],stable[qno],0))</f>
        <v>1</v>
      </c>
      <c r="AK1167" s="99" t="b">
        <f>INDEX(stable[q_regen_ag],MATCH(questions[[#This Row],[qno]],stable[qno],0))</f>
        <v>1</v>
      </c>
      <c r="AL1167" s="16" t="b">
        <f>COUNTIFS(stable[qno],questions[[#This Row],[qno]])=1</f>
        <v>1</v>
      </c>
      <c r="AM1167" s="16" t="b">
        <f>OR(questions[[#This Row],[is_fixed]],questions[[#This Row],[is_localized]],questions[[#This Row],[is_supply_chain_dependent]])</f>
        <v>1</v>
      </c>
      <c r="AN1167" s="16" t="b">
        <f>COUNTIFS(questions[[#This Row],[is_automated]:[is_multi_select]],TRUE)=1</f>
        <v>1</v>
      </c>
      <c r="AO1167" s="16" t="b">
        <f>IF(questions[[#This Row],[is_fixed]],questions[[#This Row],[question]]=INDEX(stable[question],MATCH(questions[[#This Row],[qno]],stable[qno],0)),TRUE)</f>
        <v>1</v>
      </c>
      <c r="AP1167" s="16" t="str">
        <f>LEFT(questions[[#This Row],[question]],similarity_range)</f>
        <v>How many kilograms o</v>
      </c>
      <c r="AQ1167" s="16" t="str">
        <f>LEFT(INDEX(stable[question],MATCH(questions[[#This Row],[qno]],stable[qno],0)),similarity_range)</f>
        <v>How many kilograms o</v>
      </c>
      <c r="AR1167" s="16" t="b">
        <f>questions[[#This Row],[question_first_characters]]=questions[[#This Row],[stability_first_characters]]</f>
        <v>1</v>
      </c>
      <c r="AS1167" s="16" t="b">
        <f>IF(OR(questions[[#This Row],[is_single_select]],questions[[#This Row],[is_multi_select]]),NOT(ISBLANK(questions[[#This Row],[answer_opt_combined]])),TRUE)</f>
        <v>1</v>
      </c>
    </row>
    <row r="1168" spans="1:45" ht="15.75" customHeight="1" x14ac:dyDescent="0.25">
      <c r="A1168" s="9" t="str">
        <f>_xlfn.TEXTJOIN("_",TRUE,questions[[#This Row],[origin]:[qno]])</f>
        <v>Kenya_Arabica_Nestle_2025_3221</v>
      </c>
      <c r="B1168" s="33" t="s">
        <v>818</v>
      </c>
      <c r="C1168" s="33" t="s">
        <v>59</v>
      </c>
      <c r="D1168" s="33" t="s">
        <v>819</v>
      </c>
      <c r="E1168" s="33">
        <v>2025</v>
      </c>
      <c r="F1168" s="41" t="s">
        <v>552</v>
      </c>
      <c r="G1168" s="18" t="s">
        <v>952</v>
      </c>
      <c r="H1168" s="9" t="str" cm="1">
        <f t="array" ref="H1168">INDEX(stableR[question],MATCH(VALUE(questions[[#This Row],[qno]]),VALUE(stableR[qno]),0))</f>
        <v>What was the most common price per kilogram that you received for dried cherries harvested in the main season? (in local currency)</v>
      </c>
      <c r="I1168" s="9" t="b" cm="1">
        <f t="array" ref="I1168">INDEX(stable[is_fixed],MATCH(VALUE(questions[[#This Row],[qno]]),VALUE(stable[qno]),0))</f>
        <v>0</v>
      </c>
      <c r="J1168" s="9" t="b" cm="1">
        <f t="array" ref="J1168">INDEX(stable[is_localized],MATCH(VALUE(questions[[#This Row],[qno]]),VALUE(stable[qno]),0))</f>
        <v>0</v>
      </c>
      <c r="K1168" s="9" t="b" cm="1">
        <f t="array" ref="K1168">INDEX(stable[is_supply_chain_dependent],MATCH(VALUE(questions[[#This Row],[qno]]),VALUE(stable[qno]),0))</f>
        <v>1</v>
      </c>
      <c r="L1168" s="9" t="b" cm="1">
        <f t="array" ref="L1168">INDEX(stable[is_mandatory],MATCH(VALUE(questions[[#This Row],[qno]]),VALUE(stable[qno]),0))</f>
        <v>0</v>
      </c>
      <c r="M1168" s="9" t="b" cm="1">
        <f t="array" ref="M1168">INDEX(stable[is_automated],MATCH(VALUE(questions[[#This Row],[qno]]),VALUE(stable[qno]),0))</f>
        <v>0</v>
      </c>
      <c r="N1168" s="9" t="b" cm="1">
        <f t="array" ref="N1168">INDEX(stable[is_free_text],MATCH(VALUE(questions[[#This Row],[qno]]),VALUE(stable[qno]),0))</f>
        <v>0</v>
      </c>
      <c r="O1168" s="9" t="b" cm="1">
        <f t="array" ref="O1168">INDEX(stable[is_numerical],MATCH(VALUE(questions[[#This Row],[qno]]),VALUE(stable[qno]),0))</f>
        <v>1</v>
      </c>
      <c r="P1168" s="9" t="b" cm="1">
        <f t="array" ref="P1168">INDEX(stable[is_single_select],MATCH(VALUE(questions[[#This Row],[qno]]),VALUE(stable[qno]),0))</f>
        <v>0</v>
      </c>
      <c r="Q1168" s="9" t="b" cm="1">
        <f t="array" ref="Q1168">INDEX(stable[is_multi_select],MATCH(VALUE(questions[[#This Row],[qno]]),VALUE(stable[qno]),0))</f>
        <v>0</v>
      </c>
      <c r="R1168" s="9" t="b" cm="1">
        <f t="array" ref="R1168">INDEX(stable[is_skip_logic],MATCH(VALUE(questions[[#This Row],[qno]]),VALUE(stable[qno]),0))</f>
        <v>0</v>
      </c>
      <c r="S1168" s="9" t="str">
        <f>_xlfn.TEXTJOIN(", ",TRUE,questions[[#This Row],[ans_opt_1]:[ans_opt_14]])</f>
        <v/>
      </c>
      <c r="T1168" s="33"/>
      <c r="U1168" s="33"/>
      <c r="V1168" s="33"/>
      <c r="W1168" s="33"/>
      <c r="X1168" s="33"/>
      <c r="Y1168" s="33"/>
      <c r="Z1168" s="33"/>
      <c r="AA1168" s="33"/>
      <c r="AB1168" s="33"/>
      <c r="AC1168" s="33"/>
      <c r="AD1168" s="33"/>
      <c r="AE1168" s="33"/>
      <c r="AF1168" s="33"/>
      <c r="AG1168" s="33"/>
      <c r="AH1168" s="99" t="b">
        <f>INDEX(stable[q_standard],MATCH(questions[[#This Row],[qno]],stable[qno],0))</f>
        <v>0</v>
      </c>
      <c r="AI1168" s="99" t="b">
        <f>INDEX(stable[q_living_income],MATCH(questions[[#This Row],[qno]],stable[qno],0))</f>
        <v>1</v>
      </c>
      <c r="AJ1168" s="99" t="b">
        <f>INDEX(stable[q_carbon],MATCH(questions[[#This Row],[qno]],stable[qno],0))</f>
        <v>0</v>
      </c>
      <c r="AK1168" s="99" t="b">
        <f>INDEX(stable[q_regen_ag],MATCH(questions[[#This Row],[qno]],stable[qno],0))</f>
        <v>0</v>
      </c>
      <c r="AL1168" s="16" t="b">
        <f>COUNTIFS(stable[qno],questions[[#This Row],[qno]])=1</f>
        <v>1</v>
      </c>
      <c r="AM1168" s="16" t="b">
        <f>OR(questions[[#This Row],[is_fixed]],questions[[#This Row],[is_localized]],questions[[#This Row],[is_supply_chain_dependent]])</f>
        <v>1</v>
      </c>
      <c r="AN1168" s="16" t="b">
        <f>COUNTIFS(questions[[#This Row],[is_automated]:[is_multi_select]],TRUE)=1</f>
        <v>1</v>
      </c>
      <c r="AO1168" s="16" t="b">
        <f>IF(questions[[#This Row],[is_fixed]],questions[[#This Row],[question]]=INDEX(stable[question],MATCH(questions[[#This Row],[qno]],stable[qno],0)),TRUE)</f>
        <v>1</v>
      </c>
      <c r="AP1168" s="16" t="str">
        <f>LEFT(questions[[#This Row],[question]],similarity_range)</f>
        <v>What was the most co</v>
      </c>
      <c r="AQ1168" s="16" t="str">
        <f>LEFT(INDEX(stable[question],MATCH(questions[[#This Row],[qno]],stable[qno],0)),similarity_range)</f>
        <v>What was the most co</v>
      </c>
      <c r="AR1168" s="16" t="b">
        <f>questions[[#This Row],[question_first_characters]]=questions[[#This Row],[stability_first_characters]]</f>
        <v>1</v>
      </c>
      <c r="AS1168" s="16" t="b">
        <f>IF(OR(questions[[#This Row],[is_single_select]],questions[[#This Row],[is_multi_select]]),NOT(ISBLANK(questions[[#This Row],[answer_opt_combined]])),TRUE)</f>
        <v>1</v>
      </c>
    </row>
    <row r="1169" spans="1:45" ht="15.75" customHeight="1" x14ac:dyDescent="0.25">
      <c r="A1169" s="9" t="str">
        <f>_xlfn.TEXTJOIN("_",TRUE,questions[[#This Row],[origin]:[qno]])</f>
        <v>Kenya_Arabica_Nestle_2025_4000</v>
      </c>
      <c r="B1169" s="33" t="s">
        <v>818</v>
      </c>
      <c r="C1169" s="33" t="s">
        <v>59</v>
      </c>
      <c r="D1169" s="33" t="s">
        <v>819</v>
      </c>
      <c r="E1169" s="33">
        <v>2025</v>
      </c>
      <c r="F1169" s="41" t="s">
        <v>143</v>
      </c>
      <c r="G1169" s="18" t="s">
        <v>144</v>
      </c>
      <c r="H1169" s="9" t="str" cm="1">
        <f t="array" ref="H1169">INDEX(stableR[question],MATCH(VALUE(questions[[#This Row],[qno]]),VALUE(stableR[qno]),0))</f>
        <v>About how many coffee trees do you have across all your coffee plots combined?</v>
      </c>
      <c r="I1169" s="9" t="b" cm="1">
        <f t="array" ref="I1169">INDEX(stable[is_fixed],MATCH(VALUE(questions[[#This Row],[qno]]),VALUE(stable[qno]),0))</f>
        <v>1</v>
      </c>
      <c r="J1169" s="9" t="b" cm="1">
        <f t="array" ref="J1169">INDEX(stable[is_localized],MATCH(VALUE(questions[[#This Row],[qno]]),VALUE(stable[qno]),0))</f>
        <v>0</v>
      </c>
      <c r="K1169" s="9" t="b" cm="1">
        <f t="array" ref="K1169">INDEX(stable[is_supply_chain_dependent],MATCH(VALUE(questions[[#This Row],[qno]]),VALUE(stable[qno]),0))</f>
        <v>0</v>
      </c>
      <c r="L1169" s="9" t="b" cm="1">
        <f t="array" ref="L1169">INDEX(stable[is_mandatory],MATCH(VALUE(questions[[#This Row],[qno]]),VALUE(stable[qno]),0))</f>
        <v>1</v>
      </c>
      <c r="M1169" s="9" t="b" cm="1">
        <f t="array" ref="M1169">INDEX(stable[is_automated],MATCH(VALUE(questions[[#This Row],[qno]]),VALUE(stable[qno]),0))</f>
        <v>0</v>
      </c>
      <c r="N1169" s="9" t="b" cm="1">
        <f t="array" ref="N1169">INDEX(stable[is_free_text],MATCH(VALUE(questions[[#This Row],[qno]]),VALUE(stable[qno]),0))</f>
        <v>0</v>
      </c>
      <c r="O1169" s="9" t="b" cm="1">
        <f t="array" ref="O1169">INDEX(stable[is_numerical],MATCH(VALUE(questions[[#This Row],[qno]]),VALUE(stable[qno]),0))</f>
        <v>1</v>
      </c>
      <c r="P1169" s="9" t="b" cm="1">
        <f t="array" ref="P1169">INDEX(stable[is_single_select],MATCH(VALUE(questions[[#This Row],[qno]]),VALUE(stable[qno]),0))</f>
        <v>0</v>
      </c>
      <c r="Q1169" s="9" t="b" cm="1">
        <f t="array" ref="Q1169">INDEX(stable[is_multi_select],MATCH(VALUE(questions[[#This Row],[qno]]),VALUE(stable[qno]),0))</f>
        <v>0</v>
      </c>
      <c r="R1169" s="9" t="b" cm="1">
        <f t="array" ref="R1169">INDEX(stable[is_skip_logic],MATCH(VALUE(questions[[#This Row],[qno]]),VALUE(stable[qno]),0))</f>
        <v>0</v>
      </c>
      <c r="S1169" s="9" t="str">
        <f>_xlfn.TEXTJOIN(", ",TRUE,questions[[#This Row],[ans_opt_1]:[ans_opt_14]])</f>
        <v/>
      </c>
      <c r="T1169" s="33"/>
      <c r="U1169" s="33"/>
      <c r="V1169" s="33"/>
      <c r="W1169" s="33"/>
      <c r="X1169" s="33"/>
      <c r="Y1169" s="33"/>
      <c r="Z1169" s="33"/>
      <c r="AA1169" s="33"/>
      <c r="AB1169" s="33"/>
      <c r="AC1169" s="33"/>
      <c r="AD1169" s="33"/>
      <c r="AE1169" s="33"/>
      <c r="AF1169" s="33"/>
      <c r="AG1169" s="33"/>
      <c r="AH1169" s="99" t="b">
        <f>INDEX(stable[q_standard],MATCH(questions[[#This Row],[qno]],stable[qno],0))</f>
        <v>0</v>
      </c>
      <c r="AI1169" s="99" t="b">
        <f>INDEX(stable[q_living_income],MATCH(questions[[#This Row],[qno]],stable[qno],0))</f>
        <v>1</v>
      </c>
      <c r="AJ1169" s="99" t="b">
        <f>INDEX(stable[q_carbon],MATCH(questions[[#This Row],[qno]],stable[qno],0))</f>
        <v>1</v>
      </c>
      <c r="AK1169" s="99" t="b">
        <f>INDEX(stable[q_regen_ag],MATCH(questions[[#This Row],[qno]],stable[qno],0))</f>
        <v>1</v>
      </c>
      <c r="AL1169" s="16" t="b">
        <f>COUNTIFS(stable[qno],questions[[#This Row],[qno]])=1</f>
        <v>1</v>
      </c>
      <c r="AM1169" s="16" t="b">
        <f>OR(questions[[#This Row],[is_fixed]],questions[[#This Row],[is_localized]],questions[[#This Row],[is_supply_chain_dependent]])</f>
        <v>1</v>
      </c>
      <c r="AN1169" s="16" t="b">
        <f>COUNTIFS(questions[[#This Row],[is_automated]:[is_multi_select]],TRUE)=1</f>
        <v>1</v>
      </c>
      <c r="AO1169" s="16" t="b">
        <f>IF(questions[[#This Row],[is_fixed]],questions[[#This Row],[question]]=INDEX(stable[question],MATCH(questions[[#This Row],[qno]],stable[qno],0)),TRUE)</f>
        <v>1</v>
      </c>
      <c r="AP1169" s="16" t="str">
        <f>LEFT(questions[[#This Row],[question]],similarity_range)</f>
        <v>Can you estimate how</v>
      </c>
      <c r="AQ1169" s="16" t="str">
        <f>LEFT(INDEX(stable[question],MATCH(questions[[#This Row],[qno]],stable[qno],0)),similarity_range)</f>
        <v>Can you estimate how</v>
      </c>
      <c r="AR1169" s="16" t="b">
        <f>questions[[#This Row],[question_first_characters]]=questions[[#This Row],[stability_first_characters]]</f>
        <v>1</v>
      </c>
      <c r="AS1169" s="16" t="b">
        <f>IF(OR(questions[[#This Row],[is_single_select]],questions[[#This Row],[is_multi_select]]),NOT(ISBLANK(questions[[#This Row],[answer_opt_combined]])),TRUE)</f>
        <v>1</v>
      </c>
    </row>
    <row r="1170" spans="1:45" ht="15.75" customHeight="1" x14ac:dyDescent="0.25">
      <c r="A1170" s="9" t="str">
        <f>_xlfn.TEXTJOIN("_",TRUE,questions[[#This Row],[origin]:[qno]])</f>
        <v>Kenya_Arabica_Nestle_2025_4100</v>
      </c>
      <c r="B1170" s="33" t="s">
        <v>818</v>
      </c>
      <c r="C1170" s="33" t="s">
        <v>59</v>
      </c>
      <c r="D1170" s="33" t="s">
        <v>819</v>
      </c>
      <c r="E1170" s="33">
        <v>2025</v>
      </c>
      <c r="F1170" s="41" t="s">
        <v>145</v>
      </c>
      <c r="G1170" s="18" t="s">
        <v>146</v>
      </c>
      <c r="H1170" s="9" t="str" cm="1">
        <f t="array" ref="H1170">INDEX(stableR[question],MATCH(VALUE(questions[[#This Row],[qno]]),VALUE(stableR[qno]),0))</f>
        <v>In total, how many plots with coffee do you have?</v>
      </c>
      <c r="I1170" s="9" t="b" cm="1">
        <f t="array" ref="I1170">INDEX(stable[is_fixed],MATCH(VALUE(questions[[#This Row],[qno]]),VALUE(stable[qno]),0))</f>
        <v>1</v>
      </c>
      <c r="J1170" s="9" t="b" cm="1">
        <f t="array" ref="J1170">INDEX(stable[is_localized],MATCH(VALUE(questions[[#This Row],[qno]]),VALUE(stable[qno]),0))</f>
        <v>0</v>
      </c>
      <c r="K1170" s="9" t="b" cm="1">
        <f t="array" ref="K1170">INDEX(stable[is_supply_chain_dependent],MATCH(VALUE(questions[[#This Row],[qno]]),VALUE(stable[qno]),0))</f>
        <v>0</v>
      </c>
      <c r="L1170" s="9" t="b" cm="1">
        <f t="array" ref="L1170">INDEX(stable[is_mandatory],MATCH(VALUE(questions[[#This Row],[qno]]),VALUE(stable[qno]),0))</f>
        <v>1</v>
      </c>
      <c r="M1170" s="9" t="b" cm="1">
        <f t="array" ref="M1170">INDEX(stable[is_automated],MATCH(VALUE(questions[[#This Row],[qno]]),VALUE(stable[qno]),0))</f>
        <v>0</v>
      </c>
      <c r="N1170" s="9" t="b" cm="1">
        <f t="array" ref="N1170">INDEX(stable[is_free_text],MATCH(VALUE(questions[[#This Row],[qno]]),VALUE(stable[qno]),0))</f>
        <v>0</v>
      </c>
      <c r="O1170" s="9" t="b" cm="1">
        <f t="array" ref="O1170">INDEX(stable[is_numerical],MATCH(VALUE(questions[[#This Row],[qno]]),VALUE(stable[qno]),0))</f>
        <v>1</v>
      </c>
      <c r="P1170" s="9" t="b" cm="1">
        <f t="array" ref="P1170">INDEX(stable[is_single_select],MATCH(VALUE(questions[[#This Row],[qno]]),VALUE(stable[qno]),0))</f>
        <v>0</v>
      </c>
      <c r="Q1170" s="9" t="b" cm="1">
        <f t="array" ref="Q1170">INDEX(stable[is_multi_select],MATCH(VALUE(questions[[#This Row],[qno]]),VALUE(stable[qno]),0))</f>
        <v>0</v>
      </c>
      <c r="R1170" s="9" t="b" cm="1">
        <f t="array" ref="R1170">INDEX(stable[is_skip_logic],MATCH(VALUE(questions[[#This Row],[qno]]),VALUE(stable[qno]),0))</f>
        <v>0</v>
      </c>
      <c r="S1170" s="9" t="str">
        <f>_xlfn.TEXTJOIN(", ",TRUE,questions[[#This Row],[ans_opt_1]:[ans_opt_14]])</f>
        <v/>
      </c>
      <c r="T1170" s="33"/>
      <c r="U1170" s="33"/>
      <c r="V1170" s="33"/>
      <c r="W1170" s="33"/>
      <c r="X1170" s="33"/>
      <c r="Y1170" s="33"/>
      <c r="Z1170" s="33"/>
      <c r="AA1170" s="33"/>
      <c r="AB1170" s="33"/>
      <c r="AC1170" s="33"/>
      <c r="AD1170" s="33"/>
      <c r="AE1170" s="33"/>
      <c r="AF1170" s="33"/>
      <c r="AG1170" s="33"/>
      <c r="AH1170" s="99" t="b">
        <f>INDEX(stable[q_standard],MATCH(questions[[#This Row],[qno]],stable[qno],0))</f>
        <v>0</v>
      </c>
      <c r="AI1170" s="99" t="b">
        <f>INDEX(stable[q_living_income],MATCH(questions[[#This Row],[qno]],stable[qno],0))</f>
        <v>1</v>
      </c>
      <c r="AJ1170" s="99" t="b">
        <f>INDEX(stable[q_carbon],MATCH(questions[[#This Row],[qno]],stable[qno],0))</f>
        <v>1</v>
      </c>
      <c r="AK1170" s="99" t="b">
        <f>INDEX(stable[q_regen_ag],MATCH(questions[[#This Row],[qno]],stable[qno],0))</f>
        <v>1</v>
      </c>
      <c r="AL1170" s="16" t="b">
        <f>COUNTIFS(stable[qno],questions[[#This Row],[qno]])=1</f>
        <v>1</v>
      </c>
      <c r="AM1170" s="16" t="b">
        <f>OR(questions[[#This Row],[is_fixed]],questions[[#This Row],[is_localized]],questions[[#This Row],[is_supply_chain_dependent]])</f>
        <v>1</v>
      </c>
      <c r="AN1170" s="16" t="b">
        <f>COUNTIFS(questions[[#This Row],[is_automated]:[is_multi_select]],TRUE)=1</f>
        <v>1</v>
      </c>
      <c r="AO1170" s="16" t="b">
        <f>IF(questions[[#This Row],[is_fixed]],questions[[#This Row],[question]]=INDEX(stable[question],MATCH(questions[[#This Row],[qno]],stable[qno],0)),TRUE)</f>
        <v>1</v>
      </c>
      <c r="AP1170" s="16" t="str">
        <f>LEFT(questions[[#This Row],[question]],similarity_range)</f>
        <v>In total, how many p</v>
      </c>
      <c r="AQ1170" s="16" t="str">
        <f>LEFT(INDEX(stable[question],MATCH(questions[[#This Row],[qno]],stable[qno],0)),similarity_range)</f>
        <v>In total, how many p</v>
      </c>
      <c r="AR1170" s="16" t="b">
        <f>questions[[#This Row],[question_first_characters]]=questions[[#This Row],[stability_first_characters]]</f>
        <v>1</v>
      </c>
      <c r="AS1170" s="16" t="b">
        <f>IF(OR(questions[[#This Row],[is_single_select]],questions[[#This Row],[is_multi_select]]),NOT(ISBLANK(questions[[#This Row],[answer_opt_combined]])),TRUE)</f>
        <v>1</v>
      </c>
    </row>
    <row r="1171" spans="1:45" s="77" customFormat="1" ht="15.75" customHeight="1" x14ac:dyDescent="0.25">
      <c r="A1171" s="77" t="str">
        <f>_xlfn.TEXTJOIN("_",TRUE,questions[[#This Row],[origin]:[qno]])</f>
        <v>Kenya_Arabica_Nestle_2025_4101</v>
      </c>
      <c r="B1171" s="77" t="s">
        <v>818</v>
      </c>
      <c r="C1171" s="77" t="s">
        <v>59</v>
      </c>
      <c r="D1171" s="77" t="s">
        <v>819</v>
      </c>
      <c r="E1171" s="77">
        <v>2025</v>
      </c>
      <c r="F1171" s="105" t="s">
        <v>147</v>
      </c>
      <c r="G1171" s="78" t="s">
        <v>734</v>
      </c>
      <c r="H1171" s="9" t="str" cm="1">
        <f t="array" ref="H1171">INDEX(stableR[question],MATCH(VALUE(questions[[#This Row],[qno]]),VALUE(stableR[qno]),0))</f>
        <v>Can we go to measure/polygon map (area audit) each of these plots?</v>
      </c>
      <c r="I1171" s="9" t="b" cm="1">
        <f t="array" ref="I1171">INDEX(stable[is_fixed],MATCH(VALUE(questions[[#This Row],[qno]]),VALUE(stable[qno]),0))</f>
        <v>1</v>
      </c>
      <c r="J1171" s="9" t="b" cm="1">
        <f t="array" ref="J1171">INDEX(stable[is_localized],MATCH(VALUE(questions[[#This Row],[qno]]),VALUE(stable[qno]),0))</f>
        <v>0</v>
      </c>
      <c r="K1171" s="9" t="b" cm="1">
        <f t="array" ref="K1171">INDEX(stable[is_supply_chain_dependent],MATCH(VALUE(questions[[#This Row],[qno]]),VALUE(stable[qno]),0))</f>
        <v>0</v>
      </c>
      <c r="L1171" s="9" t="b" cm="1">
        <f t="array" ref="L1171">INDEX(stable[is_mandatory],MATCH(VALUE(questions[[#This Row],[qno]]),VALUE(stable[qno]),0))</f>
        <v>1</v>
      </c>
      <c r="M1171" s="9" t="b" cm="1">
        <f t="array" ref="M1171">INDEX(stable[is_automated],MATCH(VALUE(questions[[#This Row],[qno]]),VALUE(stable[qno]),0))</f>
        <v>0</v>
      </c>
      <c r="N1171" s="9" t="b" cm="1">
        <f t="array" ref="N1171">INDEX(stable[is_free_text],MATCH(VALUE(questions[[#This Row],[qno]]),VALUE(stable[qno]),0))</f>
        <v>0</v>
      </c>
      <c r="O1171" s="9" t="b" cm="1">
        <f t="array" ref="O1171">INDEX(stable[is_numerical],MATCH(VALUE(questions[[#This Row],[qno]]),VALUE(stable[qno]),0))</f>
        <v>0</v>
      </c>
      <c r="P1171" s="77" t="b" cm="1">
        <f t="array" ref="P1171">INDEX(stable[is_single_select],MATCH(VALUE(questions[[#This Row],[qno]]),VALUE(stable[qno]),0))</f>
        <v>1</v>
      </c>
      <c r="Q1171" s="77" t="b" cm="1">
        <f t="array" ref="Q1171">INDEX(stable[is_multi_select],MATCH(VALUE(questions[[#This Row],[qno]]),VALUE(stable[qno]),0))</f>
        <v>0</v>
      </c>
      <c r="R1171" s="77" t="b" cm="1">
        <f t="array" ref="R1171">INDEX(stable[is_skip_logic],MATCH(VALUE(questions[[#This Row],[qno]]),VALUE(stable[qno]),0))</f>
        <v>1</v>
      </c>
      <c r="S1171" s="77" t="str">
        <f>_xlfn.TEXTJOIN(", ",TRUE,questions[[#This Row],[ans_opt_1]:[ans_opt_14]])</f>
        <v>Yes, No</v>
      </c>
      <c r="T1171" s="77" t="s">
        <v>149</v>
      </c>
      <c r="U1171" s="77" t="s">
        <v>119</v>
      </c>
      <c r="AH1171" s="98" t="b">
        <f>INDEX(stable[q_standard],MATCH(questions[[#This Row],[qno]],stable[qno],0))</f>
        <v>0</v>
      </c>
      <c r="AI1171" s="98" t="b">
        <f>INDEX(stable[q_living_income],MATCH(questions[[#This Row],[qno]],stable[qno],0))</f>
        <v>1</v>
      </c>
      <c r="AJ1171" s="98" t="b">
        <f>INDEX(stable[q_carbon],MATCH(questions[[#This Row],[qno]],stable[qno],0))</f>
        <v>1</v>
      </c>
      <c r="AK1171" s="98" t="b">
        <f>INDEX(stable[q_regen_ag],MATCH(questions[[#This Row],[qno]],stable[qno],0))</f>
        <v>1</v>
      </c>
      <c r="AL1171" s="98" t="b">
        <f>COUNTIFS(stable[qno],questions[[#This Row],[qno]])=1</f>
        <v>1</v>
      </c>
      <c r="AM1171" s="98" t="b">
        <f>OR(questions[[#This Row],[is_fixed]],questions[[#This Row],[is_localized]],questions[[#This Row],[is_supply_chain_dependent]])</f>
        <v>1</v>
      </c>
      <c r="AN1171" s="98" t="b">
        <f>COUNTIFS(questions[[#This Row],[is_automated]:[is_multi_select]],TRUE)=1</f>
        <v>1</v>
      </c>
      <c r="AO1171" s="98" t="b">
        <f>IF(questions[[#This Row],[is_fixed]],questions[[#This Row],[question]]=INDEX(stable[question],MATCH(questions[[#This Row],[qno]],stable[qno],0)),TRUE)</f>
        <v>0</v>
      </c>
      <c r="AP1171" s="98" t="str">
        <f>LEFT(questions[[#This Row],[question]],similarity_range)</f>
        <v>Can we go to measure</v>
      </c>
      <c r="AQ1171" s="98" t="str">
        <f>LEFT(INDEX(stable[question],MATCH(questions[[#This Row],[qno]],stable[qno],0)),similarity_range)</f>
        <v>Can we go to measure</v>
      </c>
      <c r="AR1171" s="98" t="b">
        <f>questions[[#This Row],[question_first_characters]]=questions[[#This Row],[stability_first_characters]]</f>
        <v>1</v>
      </c>
      <c r="AS1171" s="98" t="b">
        <f>IF(OR(questions[[#This Row],[is_single_select]],questions[[#This Row],[is_multi_select]]),NOT(ISBLANK(questions[[#This Row],[answer_opt_combined]])),TRUE)</f>
        <v>1</v>
      </c>
    </row>
    <row r="1172" spans="1:45" s="77" customFormat="1" ht="15.75" customHeight="1" x14ac:dyDescent="0.25">
      <c r="A1172" s="77" t="str">
        <f>_xlfn.TEXTJOIN("_",TRUE,questions[[#This Row],[origin]:[qno]])</f>
        <v>Kenya_Arabica_Nestle_2025_4102</v>
      </c>
      <c r="B1172" s="77" t="s">
        <v>818</v>
      </c>
      <c r="C1172" s="77" t="s">
        <v>59</v>
      </c>
      <c r="D1172" s="77" t="s">
        <v>819</v>
      </c>
      <c r="E1172" s="77">
        <v>2025</v>
      </c>
      <c r="F1172" s="105" t="s">
        <v>150</v>
      </c>
      <c r="G1172" s="78" t="s">
        <v>151</v>
      </c>
      <c r="H1172" s="9" t="str" cm="1">
        <f t="array" ref="H1172">INDEX(stableR[question],MATCH(VALUE(questions[[#This Row],[qno]]),VALUE(stableR[qno]),0))</f>
        <v>If No, what is the reason why we cannot visit this/these plot (s) to measure/polygon map it/them?</v>
      </c>
      <c r="I1172" s="9" t="b" cm="1">
        <f t="array" ref="I1172">INDEX(stable[is_fixed],MATCH(VALUE(questions[[#This Row],[qno]]),VALUE(stable[qno]),0))</f>
        <v>1</v>
      </c>
      <c r="J1172" s="9" t="b" cm="1">
        <f t="array" ref="J1172">INDEX(stable[is_localized],MATCH(VALUE(questions[[#This Row],[qno]]),VALUE(stable[qno]),0))</f>
        <v>0</v>
      </c>
      <c r="K1172" s="9" t="b" cm="1">
        <f t="array" ref="K1172">INDEX(stable[is_supply_chain_dependent],MATCH(VALUE(questions[[#This Row],[qno]]),VALUE(stable[qno]),0))</f>
        <v>0</v>
      </c>
      <c r="L1172" s="9" t="b" cm="1">
        <f t="array" ref="L1172">INDEX(stable[is_mandatory],MATCH(VALUE(questions[[#This Row],[qno]]),VALUE(stable[qno]),0))</f>
        <v>0</v>
      </c>
      <c r="M1172" s="9" t="b" cm="1">
        <f t="array" ref="M1172">INDEX(stable[is_automated],MATCH(VALUE(questions[[#This Row],[qno]]),VALUE(stable[qno]),0))</f>
        <v>0</v>
      </c>
      <c r="N1172" s="9" t="b" cm="1">
        <f t="array" ref="N1172">INDEX(stable[is_free_text],MATCH(VALUE(questions[[#This Row],[qno]]),VALUE(stable[qno]),0))</f>
        <v>0</v>
      </c>
      <c r="O1172" s="9" t="b" cm="1">
        <f t="array" ref="O1172">INDEX(stable[is_numerical],MATCH(VALUE(questions[[#This Row],[qno]]),VALUE(stable[qno]),0))</f>
        <v>0</v>
      </c>
      <c r="P1172" s="77" t="b" cm="1">
        <f t="array" ref="P1172">INDEX(stable[is_single_select],MATCH(VALUE(questions[[#This Row],[qno]]),VALUE(stable[qno]),0))</f>
        <v>1</v>
      </c>
      <c r="Q1172" s="77" t="b" cm="1">
        <f t="array" ref="Q1172">INDEX(stable[is_multi_select],MATCH(VALUE(questions[[#This Row],[qno]]),VALUE(stable[qno]),0))</f>
        <v>0</v>
      </c>
      <c r="R1172" s="77" t="b" cm="1">
        <f t="array" ref="R1172">INDEX(stable[is_skip_logic],MATCH(VALUE(questions[[#This Row],[qno]]),VALUE(stable[qno]),0))</f>
        <v>1</v>
      </c>
      <c r="S1172" s="100" t="str">
        <f>_xlfn.TEXTJOIN(", ",TRUE,questions[[#This Row],[ans_opt_1]:[ans_opt_14]])</f>
        <v>Too far, Farmer not willing, Other reason, NA</v>
      </c>
      <c r="T1172" s="100" t="s">
        <v>152</v>
      </c>
      <c r="U1172" s="100" t="s">
        <v>153</v>
      </c>
      <c r="V1172" s="112" t="s">
        <v>154</v>
      </c>
      <c r="W1172" s="100" t="s">
        <v>251</v>
      </c>
      <c r="AH1172" s="98" t="b">
        <f>INDEX(stable[q_standard],MATCH(questions[[#This Row],[qno]],stable[qno],0))</f>
        <v>0</v>
      </c>
      <c r="AI1172" s="98" t="b">
        <f>INDEX(stable[q_living_income],MATCH(questions[[#This Row],[qno]],stable[qno],0))</f>
        <v>1</v>
      </c>
      <c r="AJ1172" s="98" t="b">
        <f>INDEX(stable[q_carbon],MATCH(questions[[#This Row],[qno]],stable[qno],0))</f>
        <v>1</v>
      </c>
      <c r="AK1172" s="98" t="b">
        <f>INDEX(stable[q_regen_ag],MATCH(questions[[#This Row],[qno]],stable[qno],0))</f>
        <v>1</v>
      </c>
      <c r="AL1172" s="98" t="b">
        <f>COUNTIFS(stable[qno],questions[[#This Row],[qno]])=1</f>
        <v>1</v>
      </c>
      <c r="AM1172" s="98" t="b">
        <f>OR(questions[[#This Row],[is_fixed]],questions[[#This Row],[is_localized]],questions[[#This Row],[is_supply_chain_dependent]])</f>
        <v>1</v>
      </c>
      <c r="AN1172" s="98" t="b">
        <f>COUNTIFS(questions[[#This Row],[is_automated]:[is_multi_select]],TRUE)=1</f>
        <v>1</v>
      </c>
      <c r="AO1172" s="98" t="b">
        <f>IF(questions[[#This Row],[is_fixed]],questions[[#This Row],[question]]=INDEX(stable[question],MATCH(questions[[#This Row],[qno]],stable[qno],0)),TRUE)</f>
        <v>1</v>
      </c>
      <c r="AP1172" s="98" t="str">
        <f>LEFT(questions[[#This Row],[question]],similarity_range)</f>
        <v>If no, what is the r</v>
      </c>
      <c r="AQ1172" s="98" t="str">
        <f>LEFT(INDEX(stable[question],MATCH(questions[[#This Row],[qno]],stable[qno],0)),similarity_range)</f>
        <v>If no, what is the r</v>
      </c>
      <c r="AR1172" s="98" t="b">
        <f>questions[[#This Row],[question_first_characters]]=questions[[#This Row],[stability_first_characters]]</f>
        <v>1</v>
      </c>
      <c r="AS1172" s="98" t="b">
        <f>IF(OR(questions[[#This Row],[is_single_select]],questions[[#This Row],[is_multi_select]]),NOT(ISBLANK(questions[[#This Row],[answer_opt_combined]])),TRUE)</f>
        <v>1</v>
      </c>
    </row>
    <row r="1173" spans="1:45" ht="15.75" customHeight="1" x14ac:dyDescent="0.25">
      <c r="A1173" s="9" t="str">
        <f>_xlfn.TEXTJOIN("_",TRUE,questions[[#This Row],[origin]:[qno]])</f>
        <v>Kenya_Arabica_Nestle_2025_4103</v>
      </c>
      <c r="B1173" s="33" t="s">
        <v>818</v>
      </c>
      <c r="C1173" s="33" t="s">
        <v>59</v>
      </c>
      <c r="D1173" s="33" t="s">
        <v>819</v>
      </c>
      <c r="E1173" s="33">
        <v>2025</v>
      </c>
      <c r="F1173" s="41" t="s">
        <v>155</v>
      </c>
      <c r="G1173" s="18" t="str">
        <f>INDEX(stable[question],MATCH(questions[[#This Row],[qno]],stable[qno],0))</f>
        <v>How many coffee plots are there that we can not visit, of the total coffee plots that you have?</v>
      </c>
      <c r="H1173" s="9" t="str" cm="1">
        <f t="array" ref="H1173">INDEX(stableR[question],MATCH(VALUE(questions[[#This Row],[qno]]),VALUE(stableR[qno]),0))</f>
        <v>Of your total coffee plots, how many cannot be visited during the survey?</v>
      </c>
      <c r="I1173" s="9" t="b" cm="1">
        <f t="array" ref="I1173">INDEX(stable[is_fixed],MATCH(VALUE(questions[[#This Row],[qno]]),VALUE(stable[qno]),0))</f>
        <v>1</v>
      </c>
      <c r="J1173" s="9" t="b" cm="1">
        <f t="array" ref="J1173">INDEX(stable[is_localized],MATCH(VALUE(questions[[#This Row],[qno]]),VALUE(stable[qno]),0))</f>
        <v>0</v>
      </c>
      <c r="K1173" s="9" t="b" cm="1">
        <f t="array" ref="K1173">INDEX(stable[is_supply_chain_dependent],MATCH(VALUE(questions[[#This Row],[qno]]),VALUE(stable[qno]),0))</f>
        <v>0</v>
      </c>
      <c r="L1173" s="9" t="b" cm="1">
        <f t="array" ref="L1173">INDEX(stable[is_mandatory],MATCH(VALUE(questions[[#This Row],[qno]]),VALUE(stable[qno]),0))</f>
        <v>0</v>
      </c>
      <c r="M1173" s="9" t="b" cm="1">
        <f t="array" ref="M1173">INDEX(stable[is_automated],MATCH(VALUE(questions[[#This Row],[qno]]),VALUE(stable[qno]),0))</f>
        <v>0</v>
      </c>
      <c r="N1173" s="9" t="b" cm="1">
        <f t="array" ref="N1173">INDEX(stable[is_free_text],MATCH(VALUE(questions[[#This Row],[qno]]),VALUE(stable[qno]),0))</f>
        <v>0</v>
      </c>
      <c r="O1173" s="9" t="b" cm="1">
        <f t="array" ref="O1173">INDEX(stable[is_numerical],MATCH(VALUE(questions[[#This Row],[qno]]),VALUE(stable[qno]),0))</f>
        <v>1</v>
      </c>
      <c r="P1173" s="9" t="b" cm="1">
        <f t="array" ref="P1173">INDEX(stable[is_single_select],MATCH(VALUE(questions[[#This Row],[qno]]),VALUE(stable[qno]),0))</f>
        <v>0</v>
      </c>
      <c r="Q1173" s="9" t="b" cm="1">
        <f t="array" ref="Q1173">INDEX(stable[is_multi_select],MATCH(VALUE(questions[[#This Row],[qno]]),VALUE(stable[qno]),0))</f>
        <v>0</v>
      </c>
      <c r="R1173" s="9" t="b" cm="1">
        <f t="array" ref="R1173">INDEX(stable[is_skip_logic],MATCH(VALUE(questions[[#This Row],[qno]]),VALUE(stable[qno]),0))</f>
        <v>0</v>
      </c>
      <c r="S1173" s="9" t="str">
        <f>_xlfn.TEXTJOIN(", ",TRUE,questions[[#This Row],[ans_opt_1]:[ans_opt_14]])</f>
        <v/>
      </c>
      <c r="T1173" s="33"/>
      <c r="U1173" s="33"/>
      <c r="V1173" s="33"/>
      <c r="W1173" s="33"/>
      <c r="X1173" s="33"/>
      <c r="Y1173" s="33"/>
      <c r="Z1173" s="33"/>
      <c r="AA1173" s="33"/>
      <c r="AB1173" s="33"/>
      <c r="AC1173" s="33"/>
      <c r="AD1173" s="33"/>
      <c r="AE1173" s="33"/>
      <c r="AF1173" s="33"/>
      <c r="AG1173" s="33"/>
      <c r="AH1173" s="99" t="b">
        <f>INDEX(stable[q_standard],MATCH(questions[[#This Row],[qno]],stable[qno],0))</f>
        <v>0</v>
      </c>
      <c r="AI1173" s="99" t="b">
        <f>INDEX(stable[q_living_income],MATCH(questions[[#This Row],[qno]],stable[qno],0))</f>
        <v>1</v>
      </c>
      <c r="AJ1173" s="99" t="b">
        <f>INDEX(stable[q_carbon],MATCH(questions[[#This Row],[qno]],stable[qno],0))</f>
        <v>1</v>
      </c>
      <c r="AK1173" s="99" t="b">
        <f>INDEX(stable[q_regen_ag],MATCH(questions[[#This Row],[qno]],stable[qno],0))</f>
        <v>1</v>
      </c>
      <c r="AL1173" s="16" t="b">
        <f>COUNTIFS(stable[qno],questions[[#This Row],[qno]])=1</f>
        <v>1</v>
      </c>
      <c r="AM1173" s="16" t="b">
        <f>OR(questions[[#This Row],[is_fixed]],questions[[#This Row],[is_localized]],questions[[#This Row],[is_supply_chain_dependent]])</f>
        <v>1</v>
      </c>
      <c r="AN1173" s="16" t="b">
        <f>COUNTIFS(questions[[#This Row],[is_automated]:[is_multi_select]],TRUE)=1</f>
        <v>1</v>
      </c>
      <c r="AO1173" s="16" t="b">
        <f>IF(questions[[#This Row],[is_fixed]],questions[[#This Row],[question]]=INDEX(stable[question],MATCH(questions[[#This Row],[qno]],stable[qno],0)),TRUE)</f>
        <v>1</v>
      </c>
      <c r="AP1173" s="16" t="str">
        <f>LEFT(questions[[#This Row],[question]],similarity_range)</f>
        <v>How many coffee plot</v>
      </c>
      <c r="AQ1173" s="16" t="str">
        <f>LEFT(INDEX(stable[question],MATCH(questions[[#This Row],[qno]],stable[qno],0)),similarity_range)</f>
        <v>How many coffee plot</v>
      </c>
      <c r="AR1173" s="16" t="b">
        <f>questions[[#This Row],[question_first_characters]]=questions[[#This Row],[stability_first_characters]]</f>
        <v>1</v>
      </c>
      <c r="AS1173" s="16" t="b">
        <f>IF(OR(questions[[#This Row],[is_single_select]],questions[[#This Row],[is_multi_select]]),NOT(ISBLANK(questions[[#This Row],[answer_opt_combined]])),TRUE)</f>
        <v>1</v>
      </c>
    </row>
    <row r="1174" spans="1:45" ht="15.75" customHeight="1" x14ac:dyDescent="0.25">
      <c r="A1174" s="9" t="str">
        <f>_xlfn.TEXTJOIN("_",TRUE,questions[[#This Row],[origin]:[qno]])</f>
        <v>Kenya_Arabica_Nestle_2025_4104</v>
      </c>
      <c r="B1174" s="33" t="s">
        <v>818</v>
      </c>
      <c r="C1174" s="33" t="s">
        <v>59</v>
      </c>
      <c r="D1174" s="33" t="s">
        <v>819</v>
      </c>
      <c r="E1174" s="33">
        <v>2025</v>
      </c>
      <c r="F1174" s="41" t="s">
        <v>157</v>
      </c>
      <c r="G1174" s="18" t="s">
        <v>158</v>
      </c>
      <c r="H1174" s="9" t="str" cm="1">
        <f t="array" ref="H1174">INDEX(stableR[question],MATCH(VALUE(questions[[#This Row],[qno]]),VALUE(stableR[qno]),0))</f>
        <v>Of the coffee plots that cannot be visited, what is the total area of these plots? (in acres)</v>
      </c>
      <c r="I1174" s="9" t="b" cm="1">
        <f t="array" ref="I1174">INDEX(stable[is_fixed],MATCH(VALUE(questions[[#This Row],[qno]]),VALUE(stable[qno]),0))</f>
        <v>1</v>
      </c>
      <c r="J1174" s="9" t="b" cm="1">
        <f t="array" ref="J1174">INDEX(stable[is_localized],MATCH(VALUE(questions[[#This Row],[qno]]),VALUE(stable[qno]),0))</f>
        <v>0</v>
      </c>
      <c r="K1174" s="9" t="b" cm="1">
        <f t="array" ref="K1174">INDEX(stable[is_supply_chain_dependent],MATCH(VALUE(questions[[#This Row],[qno]]),VALUE(stable[qno]),0))</f>
        <v>0</v>
      </c>
      <c r="L1174" s="9" t="b" cm="1">
        <f t="array" ref="L1174">INDEX(stable[is_mandatory],MATCH(VALUE(questions[[#This Row],[qno]]),VALUE(stable[qno]),0))</f>
        <v>0</v>
      </c>
      <c r="M1174" s="9" t="b" cm="1">
        <f t="array" ref="M1174">INDEX(stable[is_automated],MATCH(VALUE(questions[[#This Row],[qno]]),VALUE(stable[qno]),0))</f>
        <v>0</v>
      </c>
      <c r="N1174" s="9" t="b" cm="1">
        <f t="array" ref="N1174">INDEX(stable[is_free_text],MATCH(VALUE(questions[[#This Row],[qno]]),VALUE(stable[qno]),0))</f>
        <v>0</v>
      </c>
      <c r="O1174" s="9" t="b" cm="1">
        <f t="array" ref="O1174">INDEX(stable[is_numerical],MATCH(VALUE(questions[[#This Row],[qno]]),VALUE(stable[qno]),0))</f>
        <v>1</v>
      </c>
      <c r="P1174" s="9" t="b" cm="1">
        <f t="array" ref="P1174">INDEX(stable[is_single_select],MATCH(VALUE(questions[[#This Row],[qno]]),VALUE(stable[qno]),0))</f>
        <v>0</v>
      </c>
      <c r="Q1174" s="9" t="b" cm="1">
        <f t="array" ref="Q1174">INDEX(stable[is_multi_select],MATCH(VALUE(questions[[#This Row],[qno]]),VALUE(stable[qno]),0))</f>
        <v>0</v>
      </c>
      <c r="R1174" s="9" t="b" cm="1">
        <f t="array" ref="R1174">INDEX(stable[is_skip_logic],MATCH(VALUE(questions[[#This Row],[qno]]),VALUE(stable[qno]),0))</f>
        <v>0</v>
      </c>
      <c r="S1174" s="9" t="str">
        <f>_xlfn.TEXTJOIN(", ",TRUE,questions[[#This Row],[ans_opt_1]:[ans_opt_14]])</f>
        <v/>
      </c>
      <c r="T1174" s="33"/>
      <c r="U1174" s="33"/>
      <c r="V1174" s="33"/>
      <c r="AB1174" s="33"/>
      <c r="AC1174" s="33"/>
      <c r="AD1174" s="33"/>
      <c r="AE1174" s="33"/>
      <c r="AF1174" s="33"/>
      <c r="AG1174" s="33"/>
      <c r="AH1174" s="99" t="b">
        <f>INDEX(stable[q_standard],MATCH(questions[[#This Row],[qno]],stable[qno],0))</f>
        <v>0</v>
      </c>
      <c r="AI1174" s="99" t="b">
        <f>INDEX(stable[q_living_income],MATCH(questions[[#This Row],[qno]],stable[qno],0))</f>
        <v>1</v>
      </c>
      <c r="AJ1174" s="99" t="b">
        <f>INDEX(stable[q_carbon],MATCH(questions[[#This Row],[qno]],stable[qno],0))</f>
        <v>1</v>
      </c>
      <c r="AK1174" s="99" t="b">
        <f>INDEX(stable[q_regen_ag],MATCH(questions[[#This Row],[qno]],stable[qno],0))</f>
        <v>1</v>
      </c>
      <c r="AL1174" s="16" t="b">
        <f>COUNTIFS(stable[qno],questions[[#This Row],[qno]])=1</f>
        <v>1</v>
      </c>
      <c r="AM1174" s="16" t="b">
        <f>OR(questions[[#This Row],[is_fixed]],questions[[#This Row],[is_localized]],questions[[#This Row],[is_supply_chain_dependent]])</f>
        <v>1</v>
      </c>
      <c r="AN1174" s="16" t="b">
        <f>COUNTIFS(questions[[#This Row],[is_automated]:[is_multi_select]],TRUE)=1</f>
        <v>1</v>
      </c>
      <c r="AO1174" s="16" t="b">
        <f>IF(questions[[#This Row],[is_fixed]],questions[[#This Row],[question]]=INDEX(stable[question],MATCH(questions[[#This Row],[qno]],stable[qno],0)),TRUE)</f>
        <v>1</v>
      </c>
      <c r="AP1174" s="16" t="str">
        <f>LEFT(questions[[#This Row],[question]],similarity_range)</f>
        <v>What is the total ar</v>
      </c>
      <c r="AQ1174" s="16" t="str">
        <f>LEFT(INDEX(stable[question],MATCH(questions[[#This Row],[qno]],stable[qno],0)),similarity_range)</f>
        <v>What is the total ar</v>
      </c>
      <c r="AR1174" s="16" t="b">
        <f>questions[[#This Row],[question_first_characters]]=questions[[#This Row],[stability_first_characters]]</f>
        <v>1</v>
      </c>
      <c r="AS1174" s="16" t="b">
        <f>IF(OR(questions[[#This Row],[is_single_select]],questions[[#This Row],[is_multi_select]]),NOT(ISBLANK(questions[[#This Row],[answer_opt_combined]])),TRUE)</f>
        <v>1</v>
      </c>
    </row>
    <row r="1175" spans="1:45" s="77" customFormat="1" ht="15.75" customHeight="1" x14ac:dyDescent="0.25">
      <c r="A1175" s="77" t="str">
        <f>_xlfn.TEXTJOIN("_",TRUE,questions[[#This Row],[origin]:[qno]])</f>
        <v>Kenya_Arabica_Nestle_2025_5000</v>
      </c>
      <c r="B1175" s="77" t="s">
        <v>818</v>
      </c>
      <c r="C1175" s="77" t="s">
        <v>59</v>
      </c>
      <c r="D1175" s="77" t="s">
        <v>819</v>
      </c>
      <c r="E1175" s="77">
        <v>2025</v>
      </c>
      <c r="F1175" s="105" t="s">
        <v>159</v>
      </c>
      <c r="G1175" s="78" t="s">
        <v>739</v>
      </c>
      <c r="H1175" s="9" t="str" cm="1">
        <f t="array" ref="H1175">INDEX(stableR[question],MATCH(VALUE(questions[[#This Row],[qno]]),VALUE(stableR[qno]),0))</f>
        <v>Did you use synthetic fertilizers for your coffee last year?</v>
      </c>
      <c r="I1175" s="9" t="b" cm="1">
        <f t="array" ref="I1175">INDEX(stable[is_fixed],MATCH(VALUE(questions[[#This Row],[qno]]),VALUE(stable[qno]),0))</f>
        <v>1</v>
      </c>
      <c r="J1175" s="9" t="b" cm="1">
        <f t="array" ref="J1175">INDEX(stable[is_localized],MATCH(VALUE(questions[[#This Row],[qno]]),VALUE(stable[qno]),0))</f>
        <v>0</v>
      </c>
      <c r="K1175" s="9" t="b" cm="1">
        <f t="array" ref="K1175">INDEX(stable[is_supply_chain_dependent],MATCH(VALUE(questions[[#This Row],[qno]]),VALUE(stable[qno]),0))</f>
        <v>0</v>
      </c>
      <c r="L1175" s="9" t="b" cm="1">
        <f t="array" ref="L1175">INDEX(stable[is_mandatory],MATCH(VALUE(questions[[#This Row],[qno]]),VALUE(stable[qno]),0))</f>
        <v>1</v>
      </c>
      <c r="M1175" s="9" t="b" cm="1">
        <f t="array" ref="M1175">INDEX(stable[is_automated],MATCH(VALUE(questions[[#This Row],[qno]]),VALUE(stable[qno]),0))</f>
        <v>0</v>
      </c>
      <c r="N1175" s="9" t="b" cm="1">
        <f t="array" ref="N1175">INDEX(stable[is_free_text],MATCH(VALUE(questions[[#This Row],[qno]]),VALUE(stable[qno]),0))</f>
        <v>0</v>
      </c>
      <c r="O1175" s="9" t="b" cm="1">
        <f t="array" ref="O1175">INDEX(stable[is_numerical],MATCH(VALUE(questions[[#This Row],[qno]]),VALUE(stable[qno]),0))</f>
        <v>0</v>
      </c>
      <c r="P1175" s="77" t="b" cm="1">
        <f t="array" ref="P1175">INDEX(stable[is_single_select],MATCH(VALUE(questions[[#This Row],[qno]]),VALUE(stable[qno]),0))</f>
        <v>1</v>
      </c>
      <c r="Q1175" s="77" t="b" cm="1">
        <f t="array" ref="Q1175">INDEX(stable[is_multi_select],MATCH(VALUE(questions[[#This Row],[qno]]),VALUE(stable[qno]),0))</f>
        <v>0</v>
      </c>
      <c r="R1175" s="77" t="b" cm="1">
        <f t="array" ref="R1175">INDEX(stable[is_skip_logic],MATCH(VALUE(questions[[#This Row],[qno]]),VALUE(stable[qno]),0))</f>
        <v>1</v>
      </c>
      <c r="S1175" s="77" t="str">
        <f>_xlfn.TEXTJOIN(", ",TRUE,questions[[#This Row],[ans_opt_1]:[ans_opt_14]])</f>
        <v>Yes, No</v>
      </c>
      <c r="T1175" s="77" t="s">
        <v>149</v>
      </c>
      <c r="U1175" s="77" t="s">
        <v>119</v>
      </c>
      <c r="AH1175" s="98" t="b">
        <f>INDEX(stable[q_standard],MATCH(questions[[#This Row],[qno]],stable[qno],0))</f>
        <v>0</v>
      </c>
      <c r="AI1175" s="98" t="b">
        <f>INDEX(stable[q_living_income],MATCH(questions[[#This Row],[qno]],stable[qno],0))</f>
        <v>1</v>
      </c>
      <c r="AJ1175" s="98" t="b">
        <f>INDEX(stable[q_carbon],MATCH(questions[[#This Row],[qno]],stable[qno],0))</f>
        <v>1</v>
      </c>
      <c r="AK1175" s="98" t="b">
        <f>INDEX(stable[q_regen_ag],MATCH(questions[[#This Row],[qno]],stable[qno],0))</f>
        <v>0</v>
      </c>
      <c r="AL1175" s="98" t="b">
        <f>COUNTIFS(stable[qno],questions[[#This Row],[qno]])=1</f>
        <v>1</v>
      </c>
      <c r="AM1175" s="98" t="b">
        <f>OR(questions[[#This Row],[is_fixed]],questions[[#This Row],[is_localized]],questions[[#This Row],[is_supply_chain_dependent]])</f>
        <v>1</v>
      </c>
      <c r="AN1175" s="98" t="b">
        <f>COUNTIFS(questions[[#This Row],[is_automated]:[is_multi_select]],TRUE)=1</f>
        <v>1</v>
      </c>
      <c r="AO1175" s="98" t="b">
        <f>IF(questions[[#This Row],[is_fixed]],questions[[#This Row],[question]]=INDEX(stable[question],MATCH(questions[[#This Row],[qno]],stable[qno],0)),TRUE)</f>
        <v>1</v>
      </c>
      <c r="AP1175" s="98" t="str">
        <f>LEFT(questions[[#This Row],[question]],similarity_range)</f>
        <v>Did you use syntheti</v>
      </c>
      <c r="AQ1175" s="98" t="str">
        <f>LEFT(INDEX(stable[question],MATCH(questions[[#This Row],[qno]],stable[qno],0)),similarity_range)</f>
        <v>Did you use syntheti</v>
      </c>
      <c r="AR1175" s="98" t="b">
        <f>questions[[#This Row],[question_first_characters]]=questions[[#This Row],[stability_first_characters]]</f>
        <v>1</v>
      </c>
      <c r="AS1175" s="98" t="b">
        <f>IF(OR(questions[[#This Row],[is_single_select]],questions[[#This Row],[is_multi_select]]),NOT(ISBLANK(questions[[#This Row],[answer_opt_combined]])),TRUE)</f>
        <v>1</v>
      </c>
    </row>
    <row r="1176" spans="1:45" ht="15.75" customHeight="1" x14ac:dyDescent="0.25">
      <c r="A1176" s="9" t="str">
        <f>_xlfn.TEXTJOIN("_",TRUE,questions[[#This Row],[origin]:[qno]])</f>
        <v>Kenya_Arabica_Nestle_2025_5001</v>
      </c>
      <c r="B1176" s="33" t="s">
        <v>818</v>
      </c>
      <c r="C1176" s="33" t="s">
        <v>59</v>
      </c>
      <c r="D1176" s="33" t="s">
        <v>819</v>
      </c>
      <c r="E1176" s="33">
        <v>2025</v>
      </c>
      <c r="F1176" s="41" t="s">
        <v>161</v>
      </c>
      <c r="G1176" s="18" t="s">
        <v>162</v>
      </c>
      <c r="H1176" s="9" t="str" cm="1">
        <f t="array" ref="H1176">INDEX(stableR[question],MATCH(VALUE(questions[[#This Row],[qno]]),VALUE(stableR[qno]),0))</f>
        <v>If yes, how many types of synthetic fertilizer did you use last year?</v>
      </c>
      <c r="I1176" s="9" t="b" cm="1">
        <f t="array" ref="I1176">INDEX(stable[is_fixed],MATCH(VALUE(questions[[#This Row],[qno]]),VALUE(stable[qno]),0))</f>
        <v>1</v>
      </c>
      <c r="J1176" s="9" t="b" cm="1">
        <f t="array" ref="J1176">INDEX(stable[is_localized],MATCH(VALUE(questions[[#This Row],[qno]]),VALUE(stable[qno]),0))</f>
        <v>0</v>
      </c>
      <c r="K1176" s="9" t="b" cm="1">
        <f t="array" ref="K1176">INDEX(stable[is_supply_chain_dependent],MATCH(VALUE(questions[[#This Row],[qno]]),VALUE(stable[qno]),0))</f>
        <v>0</v>
      </c>
      <c r="L1176" s="9" t="b" cm="1">
        <f t="array" ref="L1176">INDEX(stable[is_mandatory],MATCH(VALUE(questions[[#This Row],[qno]]),VALUE(stable[qno]),0))</f>
        <v>0</v>
      </c>
      <c r="M1176" s="9" t="b" cm="1">
        <f t="array" ref="M1176">INDEX(stable[is_automated],MATCH(VALUE(questions[[#This Row],[qno]]),VALUE(stable[qno]),0))</f>
        <v>0</v>
      </c>
      <c r="N1176" s="9" t="b" cm="1">
        <f t="array" ref="N1176">INDEX(stable[is_free_text],MATCH(VALUE(questions[[#This Row],[qno]]),VALUE(stable[qno]),0))</f>
        <v>0</v>
      </c>
      <c r="O1176" s="9" t="b" cm="1">
        <f t="array" ref="O1176">INDEX(stable[is_numerical],MATCH(VALUE(questions[[#This Row],[qno]]),VALUE(stable[qno]),0))</f>
        <v>1</v>
      </c>
      <c r="P1176" s="9" t="b" cm="1">
        <f t="array" ref="P1176">INDEX(stable[is_single_select],MATCH(VALUE(questions[[#This Row],[qno]]),VALUE(stable[qno]),0))</f>
        <v>0</v>
      </c>
      <c r="Q1176" s="9" t="b" cm="1">
        <f t="array" ref="Q1176">INDEX(stable[is_multi_select],MATCH(VALUE(questions[[#This Row],[qno]]),VALUE(stable[qno]),0))</f>
        <v>0</v>
      </c>
      <c r="R1176" s="9" t="b" cm="1">
        <f t="array" ref="R1176">INDEX(stable[is_skip_logic],MATCH(VALUE(questions[[#This Row],[qno]]),VALUE(stable[qno]),0))</f>
        <v>1</v>
      </c>
      <c r="S1176" s="9" t="str">
        <f>_xlfn.TEXTJOIN(", ",TRUE,questions[[#This Row],[ans_opt_1]:[ans_opt_14]])</f>
        <v/>
      </c>
      <c r="T1176" s="33"/>
      <c r="U1176" s="33"/>
      <c r="V1176" s="33"/>
      <c r="W1176" s="33"/>
      <c r="X1176" s="33"/>
      <c r="Y1176" s="33"/>
      <c r="Z1176" s="33"/>
      <c r="AA1176" s="33"/>
      <c r="AB1176" s="33"/>
      <c r="AC1176" s="33"/>
      <c r="AD1176" s="33"/>
      <c r="AE1176" s="33"/>
      <c r="AF1176" s="33"/>
      <c r="AG1176" s="33"/>
      <c r="AH1176" s="99" t="b">
        <f>INDEX(stable[q_standard],MATCH(questions[[#This Row],[qno]],stable[qno],0))</f>
        <v>0</v>
      </c>
      <c r="AI1176" s="99" t="b">
        <f>INDEX(stable[q_living_income],MATCH(questions[[#This Row],[qno]],stable[qno],0))</f>
        <v>1</v>
      </c>
      <c r="AJ1176" s="99" t="b">
        <f>INDEX(stable[q_carbon],MATCH(questions[[#This Row],[qno]],stable[qno],0))</f>
        <v>1</v>
      </c>
      <c r="AK1176" s="99" t="b">
        <f>INDEX(stable[q_regen_ag],MATCH(questions[[#This Row],[qno]],stable[qno],0))</f>
        <v>0</v>
      </c>
      <c r="AL1176" s="16" t="b">
        <f>COUNTIFS(stable[qno],questions[[#This Row],[qno]])=1</f>
        <v>1</v>
      </c>
      <c r="AM1176" s="16" t="b">
        <f>OR(questions[[#This Row],[is_fixed]],questions[[#This Row],[is_localized]],questions[[#This Row],[is_supply_chain_dependent]])</f>
        <v>1</v>
      </c>
      <c r="AN1176" s="16" t="b">
        <f>COUNTIFS(questions[[#This Row],[is_automated]:[is_multi_select]],TRUE)=1</f>
        <v>1</v>
      </c>
      <c r="AO1176" s="16" t="b">
        <f>IF(questions[[#This Row],[is_fixed]],questions[[#This Row],[question]]=INDEX(stable[question],MATCH(questions[[#This Row],[qno]],stable[qno],0)),TRUE)</f>
        <v>1</v>
      </c>
      <c r="AP1176" s="16" t="str">
        <f>LEFT(questions[[#This Row],[question]],similarity_range)</f>
        <v>If yes, how many typ</v>
      </c>
      <c r="AQ1176" s="16" t="str">
        <f>LEFT(INDEX(stable[question],MATCH(questions[[#This Row],[qno]],stable[qno],0)),similarity_range)</f>
        <v>If yes, how many typ</v>
      </c>
      <c r="AR1176" s="16" t="b">
        <f>questions[[#This Row],[question_first_characters]]=questions[[#This Row],[stability_first_characters]]</f>
        <v>1</v>
      </c>
      <c r="AS1176" s="16" t="b">
        <f>IF(OR(questions[[#This Row],[is_single_select]],questions[[#This Row],[is_multi_select]]),NOT(ISBLANK(questions[[#This Row],[answer_opt_combined]])),TRUE)</f>
        <v>1</v>
      </c>
    </row>
    <row r="1177" spans="1:45" ht="15.75" customHeight="1" x14ac:dyDescent="0.25">
      <c r="A1177" s="9" t="str">
        <f>_xlfn.TEXTJOIN("_",TRUE,questions[[#This Row],[origin]:[qno]])</f>
        <v>Kenya_Arabica_Nestle_2025_5100</v>
      </c>
      <c r="B1177" s="33" t="s">
        <v>818</v>
      </c>
      <c r="C1177" s="33" t="s">
        <v>59</v>
      </c>
      <c r="D1177" s="33" t="s">
        <v>819</v>
      </c>
      <c r="E1177" s="33">
        <v>2025</v>
      </c>
      <c r="F1177" s="61" t="s">
        <v>163</v>
      </c>
      <c r="G1177" s="18" t="s">
        <v>953</v>
      </c>
      <c r="H1177" s="9" t="str" cm="1">
        <f t="array" ref="H1177">INDEX(stableR[question],MATCH(VALUE(questions[[#This Row],[qno]]),VALUE(stableR[qno]),0))</f>
        <v>What was the name of the synthetic fertilizer that you used most, last year?</v>
      </c>
      <c r="I1177" s="9" t="b" cm="1">
        <f t="array" ref="I1177">INDEX(stable[is_fixed],MATCH(VALUE(questions[[#This Row],[qno]]),VALUE(stable[qno]),0))</f>
        <v>0</v>
      </c>
      <c r="J1177" s="9" t="b" cm="1">
        <f t="array" ref="J1177">INDEX(stable[is_localized],MATCH(VALUE(questions[[#This Row],[qno]]),VALUE(stable[qno]),0))</f>
        <v>1</v>
      </c>
      <c r="K1177" s="9" t="b" cm="1">
        <f t="array" ref="K1177">INDEX(stable[is_supply_chain_dependent],MATCH(VALUE(questions[[#This Row],[qno]]),VALUE(stable[qno]),0))</f>
        <v>0</v>
      </c>
      <c r="L1177" s="9" t="b" cm="1">
        <f t="array" ref="L1177">INDEX(stable[is_mandatory],MATCH(VALUE(questions[[#This Row],[qno]]),VALUE(stable[qno]),0))</f>
        <v>0</v>
      </c>
      <c r="M1177" s="9" t="b" cm="1">
        <f t="array" ref="M1177">INDEX(stable[is_automated],MATCH(VALUE(questions[[#This Row],[qno]]),VALUE(stable[qno]),0))</f>
        <v>0</v>
      </c>
      <c r="N1177" s="9" t="b" cm="1">
        <f t="array" ref="N1177">INDEX(stable[is_free_text],MATCH(VALUE(questions[[#This Row],[qno]]),VALUE(stable[qno]),0))</f>
        <v>0</v>
      </c>
      <c r="O1177" s="9" t="b" cm="1">
        <f t="array" ref="O1177">INDEX(stable[is_numerical],MATCH(VALUE(questions[[#This Row],[qno]]),VALUE(stable[qno]),0))</f>
        <v>0</v>
      </c>
      <c r="P1177" s="9" t="b" cm="1">
        <f t="array" ref="P1177">INDEX(stable[is_single_select],MATCH(VALUE(questions[[#This Row],[qno]]),VALUE(stable[qno]),0))</f>
        <v>1</v>
      </c>
      <c r="Q1177" s="9" t="b" cm="1">
        <f t="array" ref="Q1177">INDEX(stable[is_multi_select],MATCH(VALUE(questions[[#This Row],[qno]]),VALUE(stable[qno]),0))</f>
        <v>0</v>
      </c>
      <c r="R1177" s="9" t="b" cm="1">
        <f t="array" ref="R1177">INDEX(stable[is_skip_logic],MATCH(VALUE(questions[[#This Row],[qno]]),VALUE(stable[qno]),0))</f>
        <v>1</v>
      </c>
      <c r="S1177" s="9" t="str">
        <f>_xlfn.TEXTJOIN(", ",TRUE,questions[[#This Row],[ans_opt_1]:[ans_opt_14]])</f>
        <v>NPK 26-6-12 - "special", Lavender NPK 24:24:18, NPK 22:22:12, NPK 12:18:14, NPK 20:20:10+Te, NPK 14:13:18+Te, NPK 17-17-17, CAN (calcium ammonium nitrate, 27% N), Urea (46% N), Ammonium sulphate (21% N), DAP (di-ammonium phosphate, 18% N), Zinc Boron, OMEX, Other</v>
      </c>
      <c r="T1177" s="62" t="s">
        <v>954</v>
      </c>
      <c r="U1177" s="9" t="s">
        <v>955</v>
      </c>
      <c r="V1177" s="33" t="s">
        <v>956</v>
      </c>
      <c r="W1177" s="63" t="s">
        <v>957</v>
      </c>
      <c r="X1177" s="63" t="s">
        <v>958</v>
      </c>
      <c r="Y1177" s="9" t="s">
        <v>959</v>
      </c>
      <c r="Z1177" s="33" t="s">
        <v>742</v>
      </c>
      <c r="AA1177" s="33" t="s">
        <v>837</v>
      </c>
      <c r="AB1177" s="33" t="s">
        <v>743</v>
      </c>
      <c r="AC1177" s="33" t="s">
        <v>838</v>
      </c>
      <c r="AD1177" s="33" t="s">
        <v>744</v>
      </c>
      <c r="AE1177" s="9" t="s">
        <v>960</v>
      </c>
      <c r="AF1177" s="9" t="s">
        <v>961</v>
      </c>
      <c r="AG1177" s="60" t="s">
        <v>112</v>
      </c>
      <c r="AH1177" s="196" t="b">
        <f>INDEX(stable[q_standard],MATCH(questions[[#This Row],[qno]],stable[qno],0))</f>
        <v>0</v>
      </c>
      <c r="AI1177" s="196" t="b">
        <f>INDEX(stable[q_living_income],MATCH(questions[[#This Row],[qno]],stable[qno],0))</f>
        <v>1</v>
      </c>
      <c r="AJ1177" s="196" t="b">
        <f>INDEX(stable[q_carbon],MATCH(questions[[#This Row],[qno]],stable[qno],0))</f>
        <v>1</v>
      </c>
      <c r="AK1177" s="196" t="b">
        <f>INDEX(stable[q_regen_ag],MATCH(questions[[#This Row],[qno]],stable[qno],0))</f>
        <v>0</v>
      </c>
      <c r="AL1177" s="16" t="b">
        <f>COUNTIFS(stable[qno],questions[[#This Row],[qno]])=1</f>
        <v>1</v>
      </c>
      <c r="AM1177" s="16" t="b">
        <f>OR(questions[[#This Row],[is_fixed]],questions[[#This Row],[is_localized]],questions[[#This Row],[is_supply_chain_dependent]])</f>
        <v>1</v>
      </c>
      <c r="AN1177" s="16" t="b">
        <f>COUNTIFS(questions[[#This Row],[is_automated]:[is_multi_select]],TRUE)=1</f>
        <v>1</v>
      </c>
      <c r="AO1177" s="16" t="b">
        <f>IF(questions[[#This Row],[is_fixed]],questions[[#This Row],[question]]=INDEX(stable[question],MATCH(questions[[#This Row],[qno]],stable[qno],0)),TRUE)</f>
        <v>1</v>
      </c>
      <c r="AP1177" s="16" t="str">
        <f>LEFT(questions[[#This Row],[question]],similarity_range)</f>
        <v xml:space="preserve">What is the name of </v>
      </c>
      <c r="AQ1177" s="16" t="str">
        <f>LEFT(INDEX(stable[question],MATCH(questions[[#This Row],[qno]],stable[qno],0)),similarity_range)</f>
        <v xml:space="preserve">What is the name of </v>
      </c>
      <c r="AR1177" s="16" t="b">
        <f>questions[[#This Row],[question_first_characters]]=questions[[#This Row],[stability_first_characters]]</f>
        <v>1</v>
      </c>
      <c r="AS1177" s="16" t="b">
        <f>IF(OR(questions[[#This Row],[is_single_select]],questions[[#This Row],[is_multi_select]]),NOT(ISBLANK(questions[[#This Row],[answer_opt_combined]])),TRUE)</f>
        <v>1</v>
      </c>
    </row>
    <row r="1178" spans="1:45" ht="15.75" customHeight="1" x14ac:dyDescent="0.25">
      <c r="A1178" s="9" t="str">
        <f>_xlfn.TEXTJOIN("_",TRUE,questions[[#This Row],[origin]:[qno]])</f>
        <v>Kenya_Arabica_Nestle_2025_5101</v>
      </c>
      <c r="B1178" s="33" t="s">
        <v>818</v>
      </c>
      <c r="C1178" s="33" t="s">
        <v>59</v>
      </c>
      <c r="D1178" s="33" t="s">
        <v>819</v>
      </c>
      <c r="E1178" s="33">
        <v>2025</v>
      </c>
      <c r="F1178" s="41" t="s">
        <v>165</v>
      </c>
      <c r="G1178" s="18" t="s">
        <v>745</v>
      </c>
      <c r="H1178" s="9" t="str" cm="1">
        <f t="array" ref="H1178">INDEX(stableR[question],MATCH(VALUE(questions[[#This Row],[qno]]),VALUE(stableR[qno]),0))</f>
        <v>What was the total quantity of the synthetic fertilizer that you used most, last year? (Kg)</v>
      </c>
      <c r="I1178" s="9" t="b" cm="1">
        <f t="array" ref="I1178">INDEX(stable[is_fixed],MATCH(VALUE(questions[[#This Row],[qno]]),VALUE(stable[qno]),0))</f>
        <v>0</v>
      </c>
      <c r="J1178" s="9" t="b" cm="1">
        <f t="array" ref="J1178">INDEX(stable[is_localized],MATCH(VALUE(questions[[#This Row],[qno]]),VALUE(stable[qno]),0))</f>
        <v>1</v>
      </c>
      <c r="K1178" s="9" t="b" cm="1">
        <f t="array" ref="K1178">INDEX(stable[is_supply_chain_dependent],MATCH(VALUE(questions[[#This Row],[qno]]),VALUE(stable[qno]),0))</f>
        <v>0</v>
      </c>
      <c r="L1178" s="9" t="b" cm="1">
        <f t="array" ref="L1178">INDEX(stable[is_mandatory],MATCH(VALUE(questions[[#This Row],[qno]]),VALUE(stable[qno]),0))</f>
        <v>0</v>
      </c>
      <c r="M1178" s="9" t="b" cm="1">
        <f t="array" ref="M1178">INDEX(stable[is_automated],MATCH(VALUE(questions[[#This Row],[qno]]),VALUE(stable[qno]),0))</f>
        <v>0</v>
      </c>
      <c r="N1178" s="9" t="b" cm="1">
        <f t="array" ref="N1178">INDEX(stable[is_free_text],MATCH(VALUE(questions[[#This Row],[qno]]),VALUE(stable[qno]),0))</f>
        <v>0</v>
      </c>
      <c r="O1178" s="9" t="b" cm="1">
        <f t="array" ref="O1178">INDEX(stable[is_numerical],MATCH(VALUE(questions[[#This Row],[qno]]),VALUE(stable[qno]),0))</f>
        <v>1</v>
      </c>
      <c r="P1178" s="9" t="b" cm="1">
        <f t="array" ref="P1178">INDEX(stable[is_single_select],MATCH(VALUE(questions[[#This Row],[qno]]),VALUE(stable[qno]),0))</f>
        <v>0</v>
      </c>
      <c r="Q1178" s="9" t="b" cm="1">
        <f t="array" ref="Q1178">INDEX(stable[is_multi_select],MATCH(VALUE(questions[[#This Row],[qno]]),VALUE(stable[qno]),0))</f>
        <v>0</v>
      </c>
      <c r="R1178" s="9" t="b" cm="1">
        <f t="array" ref="R1178">INDEX(stable[is_skip_logic],MATCH(VALUE(questions[[#This Row],[qno]]),VALUE(stable[qno]),0))</f>
        <v>1</v>
      </c>
      <c r="S1178" s="9" t="str">
        <f>_xlfn.TEXTJOIN(", ",TRUE,questions[[#This Row],[ans_opt_1]:[ans_opt_14]])</f>
        <v/>
      </c>
      <c r="T1178" s="33"/>
      <c r="U1178" s="33"/>
      <c r="V1178" s="33"/>
      <c r="W1178" s="33"/>
      <c r="X1178" s="33"/>
      <c r="Y1178" s="33"/>
      <c r="Z1178" s="33"/>
      <c r="AA1178" s="33"/>
      <c r="AB1178" s="33"/>
      <c r="AC1178" s="33"/>
      <c r="AD1178" s="33"/>
      <c r="AE1178" s="33"/>
      <c r="AF1178" s="33"/>
      <c r="AG1178" s="33"/>
      <c r="AH1178" s="99" t="b">
        <f>INDEX(stable[q_standard],MATCH(questions[[#This Row],[qno]],stable[qno],0))</f>
        <v>0</v>
      </c>
      <c r="AI1178" s="99" t="b">
        <f>INDEX(stable[q_living_income],MATCH(questions[[#This Row],[qno]],stable[qno],0))</f>
        <v>1</v>
      </c>
      <c r="AJ1178" s="99" t="b">
        <f>INDEX(stable[q_carbon],MATCH(questions[[#This Row],[qno]],stable[qno],0))</f>
        <v>1</v>
      </c>
      <c r="AK1178" s="99" t="b">
        <f>INDEX(stable[q_regen_ag],MATCH(questions[[#This Row],[qno]],stable[qno],0))</f>
        <v>0</v>
      </c>
      <c r="AL1178" s="16" t="b">
        <f>COUNTIFS(stable[qno],questions[[#This Row],[qno]])=1</f>
        <v>1</v>
      </c>
      <c r="AM1178" s="16" t="b">
        <f>OR(questions[[#This Row],[is_fixed]],questions[[#This Row],[is_localized]],questions[[#This Row],[is_supply_chain_dependent]])</f>
        <v>1</v>
      </c>
      <c r="AN1178" s="16" t="b">
        <f>COUNTIFS(questions[[#This Row],[is_automated]:[is_multi_select]],TRUE)=1</f>
        <v>1</v>
      </c>
      <c r="AO1178" s="16" t="b">
        <f>IF(questions[[#This Row],[is_fixed]],questions[[#This Row],[question]]=INDEX(stable[question],MATCH(questions[[#This Row],[qno]],stable[qno],0)),TRUE)</f>
        <v>1</v>
      </c>
      <c r="AP1178" s="16" t="str">
        <f>LEFT(questions[[#This Row],[question]],similarity_range)</f>
        <v>What was the total q</v>
      </c>
      <c r="AQ1178" s="16" t="str">
        <f>LEFT(INDEX(stable[question],MATCH(questions[[#This Row],[qno]],stable[qno],0)),similarity_range)</f>
        <v>What was the total q</v>
      </c>
      <c r="AR1178" s="16" t="b">
        <f>questions[[#This Row],[question_first_characters]]=questions[[#This Row],[stability_first_characters]]</f>
        <v>1</v>
      </c>
      <c r="AS1178" s="16" t="b">
        <f>IF(OR(questions[[#This Row],[is_single_select]],questions[[#This Row],[is_multi_select]]),NOT(ISBLANK(questions[[#This Row],[answer_opt_combined]])),TRUE)</f>
        <v>1</v>
      </c>
    </row>
    <row r="1179" spans="1:45" ht="15.75" customHeight="1" x14ac:dyDescent="0.25">
      <c r="A1179" s="9" t="str">
        <f>_xlfn.TEXTJOIN("_",TRUE,questions[[#This Row],[origin]:[qno]])</f>
        <v>Kenya_Arabica_Nestle_2025_5102</v>
      </c>
      <c r="B1179" s="33" t="s">
        <v>818</v>
      </c>
      <c r="C1179" s="33" t="s">
        <v>59</v>
      </c>
      <c r="D1179" s="33" t="s">
        <v>819</v>
      </c>
      <c r="E1179" s="33">
        <v>2025</v>
      </c>
      <c r="F1179" s="41" t="s">
        <v>560</v>
      </c>
      <c r="G1179" s="64" t="s">
        <v>746</v>
      </c>
      <c r="H1179" s="9" t="str" cm="1">
        <f t="array" ref="H1179">INDEX(stableR[question],MATCH(VALUE(questions[[#This Row],[qno]]),VALUE(stableR[qno]),0))</f>
        <v>What was the unit of the synthetic fertilizer type that you used most? (bags, kg)</v>
      </c>
      <c r="I1179" s="9" t="b" cm="1">
        <f t="array" ref="I1179">INDEX(stable[is_fixed],MATCH(VALUE(questions[[#This Row],[qno]]),VALUE(stable[qno]),0))</f>
        <v>0</v>
      </c>
      <c r="J1179" s="9" t="b" cm="1">
        <f t="array" ref="J1179">INDEX(stable[is_localized],MATCH(VALUE(questions[[#This Row],[qno]]),VALUE(stable[qno]),0))</f>
        <v>1</v>
      </c>
      <c r="K1179" s="9" t="b" cm="1">
        <f t="array" ref="K1179">INDEX(stable[is_supply_chain_dependent],MATCH(VALUE(questions[[#This Row],[qno]]),VALUE(stable[qno]),0))</f>
        <v>0</v>
      </c>
      <c r="L1179" s="9" t="b" cm="1">
        <f t="array" ref="L1179">INDEX(stable[is_mandatory],MATCH(VALUE(questions[[#This Row],[qno]]),VALUE(stable[qno]),0))</f>
        <v>0</v>
      </c>
      <c r="M1179" s="9" t="b" cm="1">
        <f t="array" ref="M1179">INDEX(stable[is_automated],MATCH(VALUE(questions[[#This Row],[qno]]),VALUE(stable[qno]),0))</f>
        <v>0</v>
      </c>
      <c r="N1179" s="9" t="b" cm="1">
        <f t="array" ref="N1179">INDEX(stable[is_free_text],MATCH(VALUE(questions[[#This Row],[qno]]),VALUE(stable[qno]),0))</f>
        <v>0</v>
      </c>
      <c r="O1179" s="9" t="b" cm="1">
        <f t="array" ref="O1179">INDEX(stable[is_numerical],MATCH(VALUE(questions[[#This Row],[qno]]),VALUE(stable[qno]),0))</f>
        <v>0</v>
      </c>
      <c r="P1179" s="9" t="b" cm="1">
        <f t="array" ref="P1179">INDEX(stable[is_single_select],MATCH(VALUE(questions[[#This Row],[qno]]),VALUE(stable[qno]),0))</f>
        <v>1</v>
      </c>
      <c r="Q1179" s="9" t="b" cm="1">
        <f t="array" ref="Q1179">INDEX(stable[is_multi_select],MATCH(VALUE(questions[[#This Row],[qno]]),VALUE(stable[qno]),0))</f>
        <v>0</v>
      </c>
      <c r="R1179" s="9" t="b" cm="1">
        <f t="array" ref="R1179">INDEX(stable[is_skip_logic],MATCH(VALUE(questions[[#This Row],[qno]]),VALUE(stable[qno]),0))</f>
        <v>1</v>
      </c>
      <c r="S1179" s="9" t="str">
        <f>_xlfn.TEXTJOIN(", ",TRUE,questions[[#This Row],[ans_opt_1]:[ans_opt_14]])</f>
        <v>kg</v>
      </c>
      <c r="T1179" s="33" t="s">
        <v>562</v>
      </c>
      <c r="U1179" s="33"/>
      <c r="V1179" s="33"/>
      <c r="W1179" s="33"/>
      <c r="X1179" s="33"/>
      <c r="Y1179" s="33"/>
      <c r="Z1179" s="33"/>
      <c r="AA1179" s="33"/>
      <c r="AB1179" s="33"/>
      <c r="AC1179" s="33"/>
      <c r="AD1179" s="33"/>
      <c r="AE1179" s="33"/>
      <c r="AF1179" s="33"/>
      <c r="AG1179" s="33"/>
      <c r="AH1179" s="99" t="b">
        <f>INDEX(stable[q_standard],MATCH(questions[[#This Row],[qno]],stable[qno],0))</f>
        <v>0</v>
      </c>
      <c r="AI1179" s="99" t="b">
        <f>INDEX(stable[q_living_income],MATCH(questions[[#This Row],[qno]],stable[qno],0))</f>
        <v>1</v>
      </c>
      <c r="AJ1179" s="99" t="b">
        <f>INDEX(stable[q_carbon],MATCH(questions[[#This Row],[qno]],stable[qno],0))</f>
        <v>1</v>
      </c>
      <c r="AK1179" s="99" t="b">
        <f>INDEX(stable[q_regen_ag],MATCH(questions[[#This Row],[qno]],stable[qno],0))</f>
        <v>0</v>
      </c>
      <c r="AL1179" s="16" t="b">
        <f>COUNTIFS(stable[qno],questions[[#This Row],[qno]])=1</f>
        <v>1</v>
      </c>
      <c r="AM1179" s="16" t="b">
        <f>OR(questions[[#This Row],[is_fixed]],questions[[#This Row],[is_localized]],questions[[#This Row],[is_supply_chain_dependent]])</f>
        <v>1</v>
      </c>
      <c r="AN1179" s="16" t="b">
        <f>COUNTIFS(questions[[#This Row],[is_automated]:[is_multi_select]],TRUE)=1</f>
        <v>1</v>
      </c>
      <c r="AO1179" s="16" t="b">
        <f>IF(questions[[#This Row],[is_fixed]],questions[[#This Row],[question]]=INDEX(stable[question],MATCH(questions[[#This Row],[qno]],stable[qno],0)),TRUE)</f>
        <v>1</v>
      </c>
      <c r="AP1179" s="16" t="str">
        <f>LEFT(questions[[#This Row],[question]],similarity_range)</f>
        <v>Please ensure that t</v>
      </c>
      <c r="AQ1179" s="16" t="str">
        <f>LEFT(INDEX(stable[question],MATCH(questions[[#This Row],[qno]],stable[qno],0)),similarity_range)</f>
        <v>What was the unit of</v>
      </c>
      <c r="AR1179" s="16" t="b">
        <f>questions[[#This Row],[question_first_characters]]=questions[[#This Row],[stability_first_characters]]</f>
        <v>0</v>
      </c>
      <c r="AS1179" s="16" t="b">
        <f>IF(OR(questions[[#This Row],[is_single_select]],questions[[#This Row],[is_multi_select]]),NOT(ISBLANK(questions[[#This Row],[answer_opt_combined]])),TRUE)</f>
        <v>1</v>
      </c>
    </row>
    <row r="1180" spans="1:45" ht="15.75" customHeight="1" x14ac:dyDescent="0.25">
      <c r="A1180" s="9" t="str">
        <f>_xlfn.TEXTJOIN("_",TRUE,questions[[#This Row],[origin]:[qno]])</f>
        <v>Kenya_Arabica_Nestle_2025_5110</v>
      </c>
      <c r="B1180" s="33" t="s">
        <v>818</v>
      </c>
      <c r="C1180" s="33" t="s">
        <v>59</v>
      </c>
      <c r="D1180" s="33" t="s">
        <v>819</v>
      </c>
      <c r="E1180" s="33">
        <v>2025</v>
      </c>
      <c r="F1180" s="61" t="s">
        <v>167</v>
      </c>
      <c r="G1180" s="18" t="s">
        <v>962</v>
      </c>
      <c r="H1180" s="9" t="str" cm="1">
        <f t="array" ref="H1180">INDEX(stableR[question],MATCH(VALUE(questions[[#This Row],[qno]]),VALUE(stableR[qno]),0))</f>
        <v>What was the name of the synthetic fertilizer that you used second most, last year?</v>
      </c>
      <c r="I1180" s="9" t="b" cm="1">
        <f t="array" ref="I1180">INDEX(stable[is_fixed],MATCH(VALUE(questions[[#This Row],[qno]]),VALUE(stable[qno]),0))</f>
        <v>0</v>
      </c>
      <c r="J1180" s="9" t="b" cm="1">
        <f t="array" ref="J1180">INDEX(stable[is_localized],MATCH(VALUE(questions[[#This Row],[qno]]),VALUE(stable[qno]),0))</f>
        <v>1</v>
      </c>
      <c r="K1180" s="9" t="b" cm="1">
        <f t="array" ref="K1180">INDEX(stable[is_supply_chain_dependent],MATCH(VALUE(questions[[#This Row],[qno]]),VALUE(stable[qno]),0))</f>
        <v>0</v>
      </c>
      <c r="L1180" s="9" t="b" cm="1">
        <f t="array" ref="L1180">INDEX(stable[is_mandatory],MATCH(VALUE(questions[[#This Row],[qno]]),VALUE(stable[qno]),0))</f>
        <v>0</v>
      </c>
      <c r="M1180" s="9" t="b" cm="1">
        <f t="array" ref="M1180">INDEX(stable[is_automated],MATCH(VALUE(questions[[#This Row],[qno]]),VALUE(stable[qno]),0))</f>
        <v>0</v>
      </c>
      <c r="N1180" s="9" t="b" cm="1">
        <f t="array" ref="N1180">INDEX(stable[is_free_text],MATCH(VALUE(questions[[#This Row],[qno]]),VALUE(stable[qno]),0))</f>
        <v>0</v>
      </c>
      <c r="O1180" s="9" t="b" cm="1">
        <f t="array" ref="O1180">INDEX(stable[is_numerical],MATCH(VALUE(questions[[#This Row],[qno]]),VALUE(stable[qno]),0))</f>
        <v>0</v>
      </c>
      <c r="P1180" s="9" t="b" cm="1">
        <f t="array" ref="P1180">INDEX(stable[is_single_select],MATCH(VALUE(questions[[#This Row],[qno]]),VALUE(stable[qno]),0))</f>
        <v>1</v>
      </c>
      <c r="Q1180" s="9" t="b" cm="1">
        <f t="array" ref="Q1180">INDEX(stable[is_multi_select],MATCH(VALUE(questions[[#This Row],[qno]]),VALUE(stable[qno]),0))</f>
        <v>0</v>
      </c>
      <c r="R1180" s="9" t="b" cm="1">
        <f t="array" ref="R1180">INDEX(stable[is_skip_logic],MATCH(VALUE(questions[[#This Row],[qno]]),VALUE(stable[qno]),0))</f>
        <v>1</v>
      </c>
      <c r="S1180" s="9" t="str">
        <f>_xlfn.TEXTJOIN(", ",TRUE,questions[[#This Row],[ans_opt_1]:[ans_opt_14]])</f>
        <v>NPK 26-6-12 - "special", Lavender NPK 24:24:18, NPK 22:22:12, NPK 12:18:14, NPK 20:20:10+Te, NPK 14:13:18+Te, NPK 17-17-17, CAN (calcium ammonium nitrate, 27% N), Urea (46% N), Ammonium sulphate (21% N), DAP (di-ammonium phosphate, 18% N), Zinc Boron, OMEX, Other</v>
      </c>
      <c r="T1180" s="62" t="s">
        <v>954</v>
      </c>
      <c r="U1180" s="9" t="s">
        <v>955</v>
      </c>
      <c r="V1180" s="33" t="s">
        <v>956</v>
      </c>
      <c r="W1180" s="63" t="s">
        <v>957</v>
      </c>
      <c r="X1180" s="63" t="s">
        <v>958</v>
      </c>
      <c r="Y1180" s="9" t="s">
        <v>959</v>
      </c>
      <c r="Z1180" s="33" t="s">
        <v>742</v>
      </c>
      <c r="AA1180" s="33" t="s">
        <v>837</v>
      </c>
      <c r="AB1180" s="33" t="s">
        <v>743</v>
      </c>
      <c r="AC1180" s="33" t="s">
        <v>838</v>
      </c>
      <c r="AD1180" s="33" t="s">
        <v>744</v>
      </c>
      <c r="AE1180" s="9" t="s">
        <v>960</v>
      </c>
      <c r="AF1180" s="9" t="s">
        <v>961</v>
      </c>
      <c r="AG1180" s="60" t="s">
        <v>112</v>
      </c>
      <c r="AH1180" s="196" t="b">
        <f>INDEX(stable[q_standard],MATCH(questions[[#This Row],[qno]],stable[qno],0))</f>
        <v>0</v>
      </c>
      <c r="AI1180" s="196" t="b">
        <f>INDEX(stable[q_living_income],MATCH(questions[[#This Row],[qno]],stable[qno],0))</f>
        <v>1</v>
      </c>
      <c r="AJ1180" s="196" t="b">
        <f>INDEX(stable[q_carbon],MATCH(questions[[#This Row],[qno]],stable[qno],0))</f>
        <v>1</v>
      </c>
      <c r="AK1180" s="196" t="b">
        <f>INDEX(stable[q_regen_ag],MATCH(questions[[#This Row],[qno]],stable[qno],0))</f>
        <v>0</v>
      </c>
      <c r="AL1180" s="16" t="b">
        <f>COUNTIFS(stable[qno],questions[[#This Row],[qno]])=1</f>
        <v>1</v>
      </c>
      <c r="AM1180" s="16" t="b">
        <f>OR(questions[[#This Row],[is_fixed]],questions[[#This Row],[is_localized]],questions[[#This Row],[is_supply_chain_dependent]])</f>
        <v>1</v>
      </c>
      <c r="AN1180" s="16" t="b">
        <f>COUNTIFS(questions[[#This Row],[is_automated]:[is_multi_select]],TRUE)=1</f>
        <v>1</v>
      </c>
      <c r="AO1180" s="16" t="b">
        <f>IF(questions[[#This Row],[is_fixed]],questions[[#This Row],[question]]=INDEX(stable[question],MATCH(questions[[#This Row],[qno]],stable[qno],0)),TRUE)</f>
        <v>1</v>
      </c>
      <c r="AP1180" s="16" t="str">
        <f>LEFT(questions[[#This Row],[question]],similarity_range)</f>
        <v xml:space="preserve">What is the name of </v>
      </c>
      <c r="AQ1180" s="16" t="str">
        <f>LEFT(INDEX(stable[question],MATCH(questions[[#This Row],[qno]],stable[qno],0)),similarity_range)</f>
        <v xml:space="preserve">What is the name of </v>
      </c>
      <c r="AR1180" s="16" t="b">
        <f>questions[[#This Row],[question_first_characters]]=questions[[#This Row],[stability_first_characters]]</f>
        <v>1</v>
      </c>
      <c r="AS1180" s="16" t="b">
        <f>IF(OR(questions[[#This Row],[is_single_select]],questions[[#This Row],[is_multi_select]]),NOT(ISBLANK(questions[[#This Row],[answer_opt_combined]])),TRUE)</f>
        <v>1</v>
      </c>
    </row>
    <row r="1181" spans="1:45" ht="15.75" customHeight="1" x14ac:dyDescent="0.25">
      <c r="A1181" s="9" t="str">
        <f>_xlfn.TEXTJOIN("_",TRUE,questions[[#This Row],[origin]:[qno]])</f>
        <v>Kenya_Arabica_Nestle_2025_5111</v>
      </c>
      <c r="B1181" s="33" t="s">
        <v>818</v>
      </c>
      <c r="C1181" s="33" t="s">
        <v>59</v>
      </c>
      <c r="D1181" s="33" t="s">
        <v>819</v>
      </c>
      <c r="E1181" s="33">
        <v>2025</v>
      </c>
      <c r="F1181" s="41" t="s">
        <v>169</v>
      </c>
      <c r="G1181" s="18" t="s">
        <v>748</v>
      </c>
      <c r="H1181" s="9" t="str" cm="1">
        <f t="array" ref="H1181">INDEX(stableR[question],MATCH(VALUE(questions[[#This Row],[qno]]),VALUE(stableR[qno]),0))</f>
        <v>What was the total quantity of the synthetic fertilizer that you used second most, last year? (Kg)</v>
      </c>
      <c r="I1181" s="9" t="b" cm="1">
        <f t="array" ref="I1181">INDEX(stable[is_fixed],MATCH(VALUE(questions[[#This Row],[qno]]),VALUE(stable[qno]),0))</f>
        <v>0</v>
      </c>
      <c r="J1181" s="9" t="b" cm="1">
        <f t="array" ref="J1181">INDEX(stable[is_localized],MATCH(VALUE(questions[[#This Row],[qno]]),VALUE(stable[qno]),0))</f>
        <v>1</v>
      </c>
      <c r="K1181" s="9" t="b" cm="1">
        <f t="array" ref="K1181">INDEX(stable[is_supply_chain_dependent],MATCH(VALUE(questions[[#This Row],[qno]]),VALUE(stable[qno]),0))</f>
        <v>0</v>
      </c>
      <c r="L1181" s="9" t="b" cm="1">
        <f t="array" ref="L1181">INDEX(stable[is_mandatory],MATCH(VALUE(questions[[#This Row],[qno]]),VALUE(stable[qno]),0))</f>
        <v>0</v>
      </c>
      <c r="M1181" s="9" t="b" cm="1">
        <f t="array" ref="M1181">INDEX(stable[is_automated],MATCH(VALUE(questions[[#This Row],[qno]]),VALUE(stable[qno]),0))</f>
        <v>0</v>
      </c>
      <c r="N1181" s="9" t="b" cm="1">
        <f t="array" ref="N1181">INDEX(stable[is_free_text],MATCH(VALUE(questions[[#This Row],[qno]]),VALUE(stable[qno]),0))</f>
        <v>0</v>
      </c>
      <c r="O1181" s="9" t="b" cm="1">
        <f t="array" ref="O1181">INDEX(stable[is_numerical],MATCH(VALUE(questions[[#This Row],[qno]]),VALUE(stable[qno]),0))</f>
        <v>1</v>
      </c>
      <c r="P1181" s="9" t="b" cm="1">
        <f t="array" ref="P1181">INDEX(stable[is_single_select],MATCH(VALUE(questions[[#This Row],[qno]]),VALUE(stable[qno]),0))</f>
        <v>0</v>
      </c>
      <c r="Q1181" s="9" t="b" cm="1">
        <f t="array" ref="Q1181">INDEX(stable[is_multi_select],MATCH(VALUE(questions[[#This Row],[qno]]),VALUE(stable[qno]),0))</f>
        <v>0</v>
      </c>
      <c r="R1181" s="9" t="b" cm="1">
        <f t="array" ref="R1181">INDEX(stable[is_skip_logic],MATCH(VALUE(questions[[#This Row],[qno]]),VALUE(stable[qno]),0))</f>
        <v>1</v>
      </c>
      <c r="S1181" s="9" t="str">
        <f>_xlfn.TEXTJOIN(", ",TRUE,questions[[#This Row],[ans_opt_1]:[ans_opt_14]])</f>
        <v/>
      </c>
      <c r="T1181" s="33"/>
      <c r="U1181" s="33"/>
      <c r="V1181" s="33"/>
      <c r="W1181" s="33"/>
      <c r="X1181" s="33"/>
      <c r="Y1181" s="33"/>
      <c r="Z1181" s="33"/>
      <c r="AA1181" s="33"/>
      <c r="AB1181" s="33"/>
      <c r="AC1181" s="33"/>
      <c r="AD1181" s="33"/>
      <c r="AE1181" s="33"/>
      <c r="AF1181" s="33"/>
      <c r="AG1181" s="33"/>
      <c r="AH1181" s="99" t="b">
        <f>INDEX(stable[q_standard],MATCH(questions[[#This Row],[qno]],stable[qno],0))</f>
        <v>0</v>
      </c>
      <c r="AI1181" s="99" t="b">
        <f>INDEX(stable[q_living_income],MATCH(questions[[#This Row],[qno]],stable[qno],0))</f>
        <v>1</v>
      </c>
      <c r="AJ1181" s="99" t="b">
        <f>INDEX(stable[q_carbon],MATCH(questions[[#This Row],[qno]],stable[qno],0))</f>
        <v>1</v>
      </c>
      <c r="AK1181" s="99" t="b">
        <f>INDEX(stable[q_regen_ag],MATCH(questions[[#This Row],[qno]],stable[qno],0))</f>
        <v>0</v>
      </c>
      <c r="AL1181" s="16" t="b">
        <f>COUNTIFS(stable[qno],questions[[#This Row],[qno]])=1</f>
        <v>1</v>
      </c>
      <c r="AM1181" s="16" t="b">
        <f>OR(questions[[#This Row],[is_fixed]],questions[[#This Row],[is_localized]],questions[[#This Row],[is_supply_chain_dependent]])</f>
        <v>1</v>
      </c>
      <c r="AN1181" s="16" t="b">
        <f>COUNTIFS(questions[[#This Row],[is_automated]:[is_multi_select]],TRUE)=1</f>
        <v>1</v>
      </c>
      <c r="AO1181" s="16" t="b">
        <f>IF(questions[[#This Row],[is_fixed]],questions[[#This Row],[question]]=INDEX(stable[question],MATCH(questions[[#This Row],[qno]],stable[qno],0)),TRUE)</f>
        <v>1</v>
      </c>
      <c r="AP1181" s="16" t="str">
        <f>LEFT(questions[[#This Row],[question]],similarity_range)</f>
        <v>What was the total q</v>
      </c>
      <c r="AQ1181" s="16" t="str">
        <f>LEFT(INDEX(stable[question],MATCH(questions[[#This Row],[qno]],stable[qno],0)),similarity_range)</f>
        <v>What was the total q</v>
      </c>
      <c r="AR1181" s="16" t="b">
        <f>questions[[#This Row],[question_first_characters]]=questions[[#This Row],[stability_first_characters]]</f>
        <v>1</v>
      </c>
      <c r="AS1181" s="16" t="b">
        <f>IF(OR(questions[[#This Row],[is_single_select]],questions[[#This Row],[is_multi_select]]),NOT(ISBLANK(questions[[#This Row],[answer_opt_combined]])),TRUE)</f>
        <v>1</v>
      </c>
    </row>
    <row r="1182" spans="1:45" ht="15.75" customHeight="1" x14ac:dyDescent="0.25">
      <c r="A1182" s="9" t="str">
        <f>_xlfn.TEXTJOIN("_",TRUE,questions[[#This Row],[origin]:[qno]])</f>
        <v>Kenya_Arabica_Nestle_2025_5112</v>
      </c>
      <c r="B1182" s="33" t="s">
        <v>818</v>
      </c>
      <c r="C1182" s="33" t="s">
        <v>59</v>
      </c>
      <c r="D1182" s="33" t="s">
        <v>819</v>
      </c>
      <c r="E1182" s="33">
        <v>2025</v>
      </c>
      <c r="F1182" s="41" t="s">
        <v>567</v>
      </c>
      <c r="G1182" s="64" t="s">
        <v>749</v>
      </c>
      <c r="H1182" s="9" t="str" cm="1">
        <f t="array" ref="H1182">INDEX(stableR[question],MATCH(VALUE(questions[[#This Row],[qno]]),VALUE(stableR[qno]),0))</f>
        <v>What was the unit of the synthetic fertilizer type that you used second most ? (bags, kg)</v>
      </c>
      <c r="I1182" s="9" t="b" cm="1">
        <f t="array" ref="I1182">INDEX(stable[is_fixed],MATCH(VALUE(questions[[#This Row],[qno]]),VALUE(stable[qno]),0))</f>
        <v>0</v>
      </c>
      <c r="J1182" s="9" t="b" cm="1">
        <f t="array" ref="J1182">INDEX(stable[is_localized],MATCH(VALUE(questions[[#This Row],[qno]]),VALUE(stable[qno]),0))</f>
        <v>1</v>
      </c>
      <c r="K1182" s="9" t="b" cm="1">
        <f t="array" ref="K1182">INDEX(stable[is_supply_chain_dependent],MATCH(VALUE(questions[[#This Row],[qno]]),VALUE(stable[qno]),0))</f>
        <v>0</v>
      </c>
      <c r="L1182" s="9" t="b" cm="1">
        <f t="array" ref="L1182">INDEX(stable[is_mandatory],MATCH(VALUE(questions[[#This Row],[qno]]),VALUE(stable[qno]),0))</f>
        <v>0</v>
      </c>
      <c r="M1182" s="9" t="b" cm="1">
        <f t="array" ref="M1182">INDEX(stable[is_automated],MATCH(VALUE(questions[[#This Row],[qno]]),VALUE(stable[qno]),0))</f>
        <v>0</v>
      </c>
      <c r="N1182" s="9" t="b" cm="1">
        <f t="array" ref="N1182">INDEX(stable[is_free_text],MATCH(VALUE(questions[[#This Row],[qno]]),VALUE(stable[qno]),0))</f>
        <v>0</v>
      </c>
      <c r="O1182" s="9" t="b" cm="1">
        <f t="array" ref="O1182">INDEX(stable[is_numerical],MATCH(VALUE(questions[[#This Row],[qno]]),VALUE(stable[qno]),0))</f>
        <v>0</v>
      </c>
      <c r="P1182" s="9" t="b" cm="1">
        <f t="array" ref="P1182">INDEX(stable[is_single_select],MATCH(VALUE(questions[[#This Row],[qno]]),VALUE(stable[qno]),0))</f>
        <v>1</v>
      </c>
      <c r="Q1182" s="9" t="b" cm="1">
        <f t="array" ref="Q1182">INDEX(stable[is_multi_select],MATCH(VALUE(questions[[#This Row],[qno]]),VALUE(stable[qno]),0))</f>
        <v>0</v>
      </c>
      <c r="R1182" s="9" t="b" cm="1">
        <f t="array" ref="R1182">INDEX(stable[is_skip_logic],MATCH(VALUE(questions[[#This Row],[qno]]),VALUE(stable[qno]),0))</f>
        <v>1</v>
      </c>
      <c r="S1182" s="9" t="str">
        <f>_xlfn.TEXTJOIN(", ",TRUE,questions[[#This Row],[ans_opt_1]:[ans_opt_14]])</f>
        <v>kg</v>
      </c>
      <c r="T1182" s="33" t="s">
        <v>562</v>
      </c>
      <c r="U1182" s="33"/>
      <c r="V1182" s="33"/>
      <c r="W1182" s="33"/>
      <c r="X1182" s="33"/>
      <c r="Y1182" s="33"/>
      <c r="Z1182" s="33"/>
      <c r="AA1182" s="33"/>
      <c r="AB1182" s="33"/>
      <c r="AC1182" s="33"/>
      <c r="AD1182" s="33"/>
      <c r="AE1182" s="33"/>
      <c r="AF1182" s="33"/>
      <c r="AG1182" s="33"/>
      <c r="AH1182" s="99" t="b">
        <f>INDEX(stable[q_standard],MATCH(questions[[#This Row],[qno]],stable[qno],0))</f>
        <v>0</v>
      </c>
      <c r="AI1182" s="99" t="b">
        <f>INDEX(stable[q_living_income],MATCH(questions[[#This Row],[qno]],stable[qno],0))</f>
        <v>1</v>
      </c>
      <c r="AJ1182" s="99" t="b">
        <f>INDEX(stable[q_carbon],MATCH(questions[[#This Row],[qno]],stable[qno],0))</f>
        <v>1</v>
      </c>
      <c r="AK1182" s="99" t="b">
        <f>INDEX(stable[q_regen_ag],MATCH(questions[[#This Row],[qno]],stable[qno],0))</f>
        <v>0</v>
      </c>
      <c r="AL1182" s="16" t="b">
        <f>COUNTIFS(stable[qno],questions[[#This Row],[qno]])=1</f>
        <v>1</v>
      </c>
      <c r="AM1182" s="16" t="b">
        <f>OR(questions[[#This Row],[is_fixed]],questions[[#This Row],[is_localized]],questions[[#This Row],[is_supply_chain_dependent]])</f>
        <v>1</v>
      </c>
      <c r="AN1182" s="16" t="b">
        <f>COUNTIFS(questions[[#This Row],[is_automated]:[is_multi_select]],TRUE)=1</f>
        <v>1</v>
      </c>
      <c r="AO1182" s="16" t="b">
        <f>IF(questions[[#This Row],[is_fixed]],questions[[#This Row],[question]]=INDEX(stable[question],MATCH(questions[[#This Row],[qno]],stable[qno],0)),TRUE)</f>
        <v>1</v>
      </c>
      <c r="AP1182" s="16" t="str">
        <f>LEFT(questions[[#This Row],[question]],similarity_range)</f>
        <v>Please ensure that t</v>
      </c>
      <c r="AQ1182" s="16" t="str">
        <f>LEFT(INDEX(stable[question],MATCH(questions[[#This Row],[qno]],stable[qno],0)),similarity_range)</f>
        <v>What was the unit of</v>
      </c>
      <c r="AR1182" s="16" t="b">
        <f>questions[[#This Row],[question_first_characters]]=questions[[#This Row],[stability_first_characters]]</f>
        <v>0</v>
      </c>
      <c r="AS1182" s="16" t="b">
        <f>IF(OR(questions[[#This Row],[is_single_select]],questions[[#This Row],[is_multi_select]]),NOT(ISBLANK(questions[[#This Row],[answer_opt_combined]])),TRUE)</f>
        <v>1</v>
      </c>
    </row>
    <row r="1183" spans="1:45" ht="15.75" customHeight="1" x14ac:dyDescent="0.25">
      <c r="A1183" s="9" t="str">
        <f>_xlfn.TEXTJOIN("_",TRUE,questions[[#This Row],[origin]:[qno]])</f>
        <v>Kenya_Arabica_Nestle_2025_5120</v>
      </c>
      <c r="B1183" s="33" t="s">
        <v>818</v>
      </c>
      <c r="C1183" s="33" t="s">
        <v>59</v>
      </c>
      <c r="D1183" s="33" t="s">
        <v>819</v>
      </c>
      <c r="E1183" s="33">
        <v>2025</v>
      </c>
      <c r="F1183" s="65" t="s">
        <v>683</v>
      </c>
      <c r="G1183" s="18" t="s">
        <v>963</v>
      </c>
      <c r="H1183" s="9" t="str" cm="1">
        <f t="array" ref="H1183">INDEX(stableR[question],MATCH(VALUE(questions[[#This Row],[qno]]),VALUE(stableR[qno]),0))</f>
        <v>What was the name of the synthetic fertilizer that you used third most, last year?</v>
      </c>
      <c r="I1183" s="9" t="b" cm="1">
        <f t="array" ref="I1183">INDEX(stable[is_fixed],MATCH(VALUE(questions[[#This Row],[qno]]),VALUE(stable[qno]),0))</f>
        <v>0</v>
      </c>
      <c r="J1183" s="9" t="b" cm="1">
        <f t="array" ref="J1183">INDEX(stable[is_localized],MATCH(VALUE(questions[[#This Row],[qno]]),VALUE(stable[qno]),0))</f>
        <v>1</v>
      </c>
      <c r="K1183" s="9" t="b" cm="1">
        <f t="array" ref="K1183">INDEX(stable[is_supply_chain_dependent],MATCH(VALUE(questions[[#This Row],[qno]]),VALUE(stable[qno]),0))</f>
        <v>1</v>
      </c>
      <c r="L1183" s="9" t="b" cm="1">
        <f t="array" ref="L1183">INDEX(stable[is_mandatory],MATCH(VALUE(questions[[#This Row],[qno]]),VALUE(stable[qno]),0))</f>
        <v>0</v>
      </c>
      <c r="M1183" s="9" t="b" cm="1">
        <f t="array" ref="M1183">INDEX(stable[is_automated],MATCH(VALUE(questions[[#This Row],[qno]]),VALUE(stable[qno]),0))</f>
        <v>0</v>
      </c>
      <c r="N1183" s="9" t="b" cm="1">
        <f t="array" ref="N1183">INDEX(stable[is_free_text],MATCH(VALUE(questions[[#This Row],[qno]]),VALUE(stable[qno]),0))</f>
        <v>1</v>
      </c>
      <c r="O1183" s="9" t="b" cm="1">
        <f t="array" ref="O1183">INDEX(stable[is_numerical],MATCH(VALUE(questions[[#This Row],[qno]]),VALUE(stable[qno]),0))</f>
        <v>0</v>
      </c>
      <c r="P1183" s="9" t="b" cm="1">
        <f t="array" ref="P1183">INDEX(stable[is_single_select],MATCH(VALUE(questions[[#This Row],[qno]]),VALUE(stable[qno]),0))</f>
        <v>0</v>
      </c>
      <c r="Q1183" s="9" t="b" cm="1">
        <f t="array" ref="Q1183">INDEX(stable[is_multi_select],MATCH(VALUE(questions[[#This Row],[qno]]),VALUE(stable[qno]),0))</f>
        <v>0</v>
      </c>
      <c r="R1183" s="9" t="b" cm="1">
        <f t="array" ref="R1183">INDEX(stable[is_skip_logic],MATCH(VALUE(questions[[#This Row],[qno]]),VALUE(stable[qno]),0))</f>
        <v>1</v>
      </c>
      <c r="S1183" s="9" t="str">
        <f>_xlfn.TEXTJOIN(", ",TRUE,questions[[#This Row],[ans_opt_1]:[ans_opt_14]])</f>
        <v/>
      </c>
      <c r="T1183" s="33"/>
      <c r="U1183" s="33"/>
      <c r="V1183" s="33"/>
      <c r="W1183" s="33"/>
      <c r="X1183" s="33"/>
      <c r="Y1183" s="33"/>
      <c r="Z1183" s="33"/>
      <c r="AA1183" s="33"/>
      <c r="AB1183" s="33"/>
      <c r="AC1183" s="33"/>
      <c r="AD1183" s="33"/>
      <c r="AE1183" s="33"/>
      <c r="AF1183" s="33"/>
      <c r="AG1183" s="33"/>
      <c r="AH1183" s="99" t="b">
        <f>INDEX(stable[q_standard],MATCH(questions[[#This Row],[qno]],stable[qno],0))</f>
        <v>0</v>
      </c>
      <c r="AI1183" s="99" t="b">
        <f>INDEX(stable[q_living_income],MATCH(questions[[#This Row],[qno]],stable[qno],0))</f>
        <v>1</v>
      </c>
      <c r="AJ1183" s="99" t="b">
        <f>INDEX(stable[q_carbon],MATCH(questions[[#This Row],[qno]],stable[qno],0))</f>
        <v>1</v>
      </c>
      <c r="AK1183" s="99" t="b">
        <f>INDEX(stable[q_regen_ag],MATCH(questions[[#This Row],[qno]],stable[qno],0))</f>
        <v>0</v>
      </c>
      <c r="AL1183" s="16" t="b">
        <f>COUNTIFS(stable[qno],questions[[#This Row],[qno]])=1</f>
        <v>1</v>
      </c>
      <c r="AM1183" s="16" t="b">
        <f>OR(questions[[#This Row],[is_fixed]],questions[[#This Row],[is_localized]],questions[[#This Row],[is_supply_chain_dependent]])</f>
        <v>1</v>
      </c>
      <c r="AN1183" s="16" t="b">
        <f>COUNTIFS(questions[[#This Row],[is_automated]:[is_multi_select]],TRUE)=1</f>
        <v>1</v>
      </c>
      <c r="AO1183" s="16" t="b">
        <f>IF(questions[[#This Row],[is_fixed]],questions[[#This Row],[question]]=INDEX(stable[question],MATCH(questions[[#This Row],[qno]],stable[qno],0)),TRUE)</f>
        <v>1</v>
      </c>
      <c r="AP1183" s="16" t="str">
        <f>LEFT(questions[[#This Row],[question]],similarity_range)</f>
        <v xml:space="preserve">What is the name of </v>
      </c>
      <c r="AQ1183" s="16" t="str">
        <f>LEFT(INDEX(stable[question],MATCH(questions[[#This Row],[qno]],stable[qno],0)),similarity_range)</f>
        <v xml:space="preserve">What is the name of </v>
      </c>
      <c r="AR1183" s="16" t="b">
        <f>questions[[#This Row],[question_first_characters]]=questions[[#This Row],[stability_first_characters]]</f>
        <v>1</v>
      </c>
      <c r="AS1183" s="16" t="b">
        <f>IF(OR(questions[[#This Row],[is_single_select]],questions[[#This Row],[is_multi_select]]),NOT(ISBLANK(questions[[#This Row],[answer_opt_combined]])),TRUE)</f>
        <v>1</v>
      </c>
    </row>
    <row r="1184" spans="1:45" ht="15.75" customHeight="1" x14ac:dyDescent="0.25">
      <c r="A1184" s="9" t="str">
        <f>_xlfn.TEXTJOIN("_",TRUE,questions[[#This Row],[origin]:[qno]])</f>
        <v>Kenya_Arabica_Nestle_2025_5121</v>
      </c>
      <c r="B1184" s="33" t="s">
        <v>818</v>
      </c>
      <c r="C1184" s="33" t="s">
        <v>59</v>
      </c>
      <c r="D1184" s="33" t="s">
        <v>819</v>
      </c>
      <c r="E1184" s="33">
        <v>2025</v>
      </c>
      <c r="F1184" s="65" t="s">
        <v>173</v>
      </c>
      <c r="G1184" s="15" t="s">
        <v>964</v>
      </c>
      <c r="H1184" s="9" t="str" cm="1">
        <f t="array" ref="H1184">INDEX(stableR[question],MATCH(VALUE(questions[[#This Row],[qno]]),VALUE(stableR[qno]),0))</f>
        <v>What was the total quantity of the synthetic fertilizer that you used third most, last year? (Kg)</v>
      </c>
      <c r="I1184" s="9" t="b" cm="1">
        <f t="array" ref="I1184">INDEX(stable[is_fixed],MATCH(VALUE(questions[[#This Row],[qno]]),VALUE(stable[qno]),0))</f>
        <v>0</v>
      </c>
      <c r="J1184" s="9" t="b" cm="1">
        <f t="array" ref="J1184">INDEX(stable[is_localized],MATCH(VALUE(questions[[#This Row],[qno]]),VALUE(stable[qno]),0))</f>
        <v>1</v>
      </c>
      <c r="K1184" s="9" t="b" cm="1">
        <f t="array" ref="K1184">INDEX(stable[is_supply_chain_dependent],MATCH(VALUE(questions[[#This Row],[qno]]),VALUE(stable[qno]),0))</f>
        <v>1</v>
      </c>
      <c r="L1184" s="9" t="b" cm="1">
        <f t="array" ref="L1184">INDEX(stable[is_mandatory],MATCH(VALUE(questions[[#This Row],[qno]]),VALUE(stable[qno]),0))</f>
        <v>0</v>
      </c>
      <c r="M1184" s="9" t="b" cm="1">
        <f t="array" ref="M1184">INDEX(stable[is_automated],MATCH(VALUE(questions[[#This Row],[qno]]),VALUE(stable[qno]),0))</f>
        <v>0</v>
      </c>
      <c r="N1184" s="9" t="b" cm="1">
        <f t="array" ref="N1184">INDEX(stable[is_free_text],MATCH(VALUE(questions[[#This Row],[qno]]),VALUE(stable[qno]),0))</f>
        <v>0</v>
      </c>
      <c r="O1184" s="9" t="b" cm="1">
        <f t="array" ref="O1184">INDEX(stable[is_numerical],MATCH(VALUE(questions[[#This Row],[qno]]),VALUE(stable[qno]),0))</f>
        <v>1</v>
      </c>
      <c r="P1184" s="9" t="b" cm="1">
        <f t="array" ref="P1184">INDEX(stable[is_single_select],MATCH(VALUE(questions[[#This Row],[qno]]),VALUE(stable[qno]),0))</f>
        <v>0</v>
      </c>
      <c r="Q1184" s="9" t="b" cm="1">
        <f t="array" ref="Q1184">INDEX(stable[is_multi_select],MATCH(VALUE(questions[[#This Row],[qno]]),VALUE(stable[qno]),0))</f>
        <v>0</v>
      </c>
      <c r="R1184" s="9" t="b" cm="1">
        <f t="array" ref="R1184">INDEX(stable[is_skip_logic],MATCH(VALUE(questions[[#This Row],[qno]]),VALUE(stable[qno]),0))</f>
        <v>1</v>
      </c>
      <c r="S1184" s="9" t="str">
        <f>_xlfn.TEXTJOIN(", ",TRUE,questions[[#This Row],[ans_opt_1]:[ans_opt_14]])</f>
        <v/>
      </c>
      <c r="T1184" s="33"/>
      <c r="U1184" s="33"/>
      <c r="V1184" s="33"/>
      <c r="W1184" s="33"/>
      <c r="X1184" s="33"/>
      <c r="Y1184" s="33"/>
      <c r="Z1184" s="33"/>
      <c r="AA1184" s="33"/>
      <c r="AB1184" s="33"/>
      <c r="AC1184" s="33"/>
      <c r="AD1184" s="33"/>
      <c r="AE1184" s="33"/>
      <c r="AF1184" s="33"/>
      <c r="AG1184" s="33"/>
      <c r="AH1184" s="99" t="b">
        <f>INDEX(stable[q_standard],MATCH(questions[[#This Row],[qno]],stable[qno],0))</f>
        <v>0</v>
      </c>
      <c r="AI1184" s="99" t="b">
        <f>INDEX(stable[q_living_income],MATCH(questions[[#This Row],[qno]],stable[qno],0))</f>
        <v>1</v>
      </c>
      <c r="AJ1184" s="99" t="b">
        <f>INDEX(stable[q_carbon],MATCH(questions[[#This Row],[qno]],stable[qno],0))</f>
        <v>1</v>
      </c>
      <c r="AK1184" s="99" t="b">
        <f>INDEX(stable[q_regen_ag],MATCH(questions[[#This Row],[qno]],stable[qno],0))</f>
        <v>0</v>
      </c>
      <c r="AL1184" s="16" t="b">
        <f>COUNTIFS(stable[qno],questions[[#This Row],[qno]])=1</f>
        <v>1</v>
      </c>
      <c r="AM1184" s="16" t="b">
        <f>OR(questions[[#This Row],[is_fixed]],questions[[#This Row],[is_localized]],questions[[#This Row],[is_supply_chain_dependent]])</f>
        <v>1</v>
      </c>
      <c r="AN1184" s="16" t="b">
        <f>COUNTIFS(questions[[#This Row],[is_automated]:[is_multi_select]],TRUE)=1</f>
        <v>1</v>
      </c>
      <c r="AO1184" s="16" t="b">
        <f>IF(questions[[#This Row],[is_fixed]],questions[[#This Row],[question]]=INDEX(stable[question],MATCH(questions[[#This Row],[qno]],stable[qno],0)),TRUE)</f>
        <v>1</v>
      </c>
      <c r="AP1184" s="16" t="str">
        <f>LEFT(questions[[#This Row],[question]],similarity_range)</f>
        <v>What was the total q</v>
      </c>
      <c r="AQ1184" s="16" t="str">
        <f>LEFT(INDEX(stable[question],MATCH(questions[[#This Row],[qno]],stable[qno],0)),similarity_range)</f>
        <v>What was the total q</v>
      </c>
      <c r="AR1184" s="16" t="b">
        <f>questions[[#This Row],[question_first_characters]]=questions[[#This Row],[stability_first_characters]]</f>
        <v>1</v>
      </c>
      <c r="AS1184" s="16" t="b">
        <f>IF(OR(questions[[#This Row],[is_single_select]],questions[[#This Row],[is_multi_select]]),NOT(ISBLANK(questions[[#This Row],[answer_opt_combined]])),TRUE)</f>
        <v>1</v>
      </c>
    </row>
    <row r="1185" spans="1:45" ht="15.75" customHeight="1" x14ac:dyDescent="0.25">
      <c r="A1185" s="9" t="str">
        <f>_xlfn.TEXTJOIN("_",TRUE,questions[[#This Row],[origin]:[qno]])</f>
        <v>Kenya_Arabica_Nestle_2025_5122</v>
      </c>
      <c r="B1185" s="33" t="s">
        <v>818</v>
      </c>
      <c r="C1185" s="33" t="s">
        <v>59</v>
      </c>
      <c r="D1185" s="33" t="s">
        <v>819</v>
      </c>
      <c r="E1185" s="33">
        <v>2025</v>
      </c>
      <c r="F1185" s="65" t="s">
        <v>570</v>
      </c>
      <c r="G1185" s="64" t="s">
        <v>965</v>
      </c>
      <c r="H1185" s="9" t="str" cm="1">
        <f t="array" ref="H1185">INDEX(stableR[question],MATCH(VALUE(questions[[#This Row],[qno]]),VALUE(stableR[qno]),0))</f>
        <v>What was the unit of the synthetic fertilizer type that you used third most ? (bags, kg)</v>
      </c>
      <c r="I1185" s="9" t="b" cm="1">
        <f t="array" ref="I1185">INDEX(stable[is_fixed],MATCH(VALUE(questions[[#This Row],[qno]]),VALUE(stable[qno]),0))</f>
        <v>0</v>
      </c>
      <c r="J1185" s="9" t="b" cm="1">
        <f t="array" ref="J1185">INDEX(stable[is_localized],MATCH(VALUE(questions[[#This Row],[qno]]),VALUE(stable[qno]),0))</f>
        <v>1</v>
      </c>
      <c r="K1185" s="9" t="b" cm="1">
        <f t="array" ref="K1185">INDEX(stable[is_supply_chain_dependent],MATCH(VALUE(questions[[#This Row],[qno]]),VALUE(stable[qno]),0))</f>
        <v>1</v>
      </c>
      <c r="L1185" s="9" t="b" cm="1">
        <f t="array" ref="L1185">INDEX(stable[is_mandatory],MATCH(VALUE(questions[[#This Row],[qno]]),VALUE(stable[qno]),0))</f>
        <v>0</v>
      </c>
      <c r="M1185" s="9" t="b" cm="1">
        <f t="array" ref="M1185">INDEX(stable[is_automated],MATCH(VALUE(questions[[#This Row],[qno]]),VALUE(stable[qno]),0))</f>
        <v>0</v>
      </c>
      <c r="N1185" s="9" t="b" cm="1">
        <f t="array" ref="N1185">INDEX(stable[is_free_text],MATCH(VALUE(questions[[#This Row],[qno]]),VALUE(stable[qno]),0))</f>
        <v>0</v>
      </c>
      <c r="O1185" s="9" t="b" cm="1">
        <f t="array" ref="O1185">INDEX(stable[is_numerical],MATCH(VALUE(questions[[#This Row],[qno]]),VALUE(stable[qno]),0))</f>
        <v>0</v>
      </c>
      <c r="P1185" s="9" t="b" cm="1">
        <f t="array" ref="P1185">INDEX(stable[is_single_select],MATCH(VALUE(questions[[#This Row],[qno]]),VALUE(stable[qno]),0))</f>
        <v>1</v>
      </c>
      <c r="Q1185" s="9" t="b" cm="1">
        <f t="array" ref="Q1185">INDEX(stable[is_multi_select],MATCH(VALUE(questions[[#This Row],[qno]]),VALUE(stable[qno]),0))</f>
        <v>0</v>
      </c>
      <c r="R1185" s="9" t="b" cm="1">
        <f t="array" ref="R1185">INDEX(stable[is_skip_logic],MATCH(VALUE(questions[[#This Row],[qno]]),VALUE(stable[qno]),0))</f>
        <v>1</v>
      </c>
      <c r="S1185" s="9" t="str">
        <f>_xlfn.TEXTJOIN(", ",TRUE,questions[[#This Row],[ans_opt_1]:[ans_opt_14]])</f>
        <v>kg</v>
      </c>
      <c r="T1185" s="33" t="s">
        <v>562</v>
      </c>
      <c r="U1185" s="33"/>
      <c r="V1185" s="33"/>
      <c r="W1185" s="33"/>
      <c r="X1185" s="33"/>
      <c r="Y1185" s="33"/>
      <c r="Z1185" s="33"/>
      <c r="AA1185" s="33"/>
      <c r="AB1185" s="33"/>
      <c r="AC1185" s="33"/>
      <c r="AD1185" s="33"/>
      <c r="AE1185" s="33"/>
      <c r="AF1185" s="33"/>
      <c r="AG1185" s="33"/>
      <c r="AH1185" s="99" t="b">
        <f>INDEX(stable[q_standard],MATCH(questions[[#This Row],[qno]],stable[qno],0))</f>
        <v>0</v>
      </c>
      <c r="AI1185" s="99" t="b">
        <f>INDEX(stable[q_living_income],MATCH(questions[[#This Row],[qno]],stable[qno],0))</f>
        <v>1</v>
      </c>
      <c r="AJ1185" s="99" t="b">
        <f>INDEX(stable[q_carbon],MATCH(questions[[#This Row],[qno]],stable[qno],0))</f>
        <v>1</v>
      </c>
      <c r="AK1185" s="99" t="b">
        <f>INDEX(stable[q_regen_ag],MATCH(questions[[#This Row],[qno]],stable[qno],0))</f>
        <v>0</v>
      </c>
      <c r="AL1185" s="16" t="b">
        <f>COUNTIFS(stable[qno],questions[[#This Row],[qno]])=1</f>
        <v>1</v>
      </c>
      <c r="AM1185" s="16" t="b">
        <f>OR(questions[[#This Row],[is_fixed]],questions[[#This Row],[is_localized]],questions[[#This Row],[is_supply_chain_dependent]])</f>
        <v>1</v>
      </c>
      <c r="AN1185" s="16" t="b">
        <f>COUNTIFS(questions[[#This Row],[is_automated]:[is_multi_select]],TRUE)=1</f>
        <v>1</v>
      </c>
      <c r="AO1185" s="16" t="b">
        <f>IF(questions[[#This Row],[is_fixed]],questions[[#This Row],[question]]=INDEX(stable[question],MATCH(questions[[#This Row],[qno]],stable[qno],0)),TRUE)</f>
        <v>1</v>
      </c>
      <c r="AP1185" s="16" t="str">
        <f>LEFT(questions[[#This Row],[question]],similarity_range)</f>
        <v>Please ensure that t</v>
      </c>
      <c r="AQ1185" s="16" t="str">
        <f>LEFT(INDEX(stable[question],MATCH(questions[[#This Row],[qno]],stable[qno],0)),similarity_range)</f>
        <v>What was the unit of</v>
      </c>
      <c r="AR1185" s="16" t="b">
        <f>questions[[#This Row],[question_first_characters]]=questions[[#This Row],[stability_first_characters]]</f>
        <v>0</v>
      </c>
      <c r="AS1185" s="16" t="b">
        <f>IF(OR(questions[[#This Row],[is_single_select]],questions[[#This Row],[is_multi_select]]),NOT(ISBLANK(questions[[#This Row],[answer_opt_combined]])),TRUE)</f>
        <v>1</v>
      </c>
    </row>
    <row r="1186" spans="1:45" s="77" customFormat="1" ht="15.75" customHeight="1" x14ac:dyDescent="0.25">
      <c r="A1186" s="77" t="str">
        <f>_xlfn.TEXTJOIN("_",TRUE,questions[[#This Row],[origin]:[qno]])</f>
        <v>Kenya_Arabica_Nestle_2025_5140</v>
      </c>
      <c r="B1186" s="77" t="s">
        <v>818</v>
      </c>
      <c r="C1186" s="77" t="s">
        <v>59</v>
      </c>
      <c r="D1186" s="77" t="s">
        <v>819</v>
      </c>
      <c r="E1186" s="77">
        <v>2025</v>
      </c>
      <c r="F1186" s="78" t="s">
        <v>171</v>
      </c>
      <c r="G1186" s="78" t="s">
        <v>966</v>
      </c>
      <c r="H1186" s="9" t="str" cm="1">
        <f t="array" ref="H1186">INDEX(stableR[question],MATCH(VALUE(questions[[#This Row],[qno]]),VALUE(stableR[qno]),0))</f>
        <v>Did you use Limestone or Dolomitic Limestone (Dolomite) last year?</v>
      </c>
      <c r="I1186" s="9" t="b" cm="1">
        <f t="array" ref="I1186">INDEX(stable[is_fixed],MATCH(VALUE(questions[[#This Row],[qno]]),VALUE(stable[qno]),0))</f>
        <v>1</v>
      </c>
      <c r="J1186" s="9" t="b" cm="1">
        <f t="array" ref="J1186">INDEX(stable[is_localized],MATCH(VALUE(questions[[#This Row],[qno]]),VALUE(stable[qno]),0))</f>
        <v>1</v>
      </c>
      <c r="K1186" s="9" t="b" cm="1">
        <f t="array" ref="K1186">INDEX(stable[is_supply_chain_dependent],MATCH(VALUE(questions[[#This Row],[qno]]),VALUE(stable[qno]),0))</f>
        <v>0</v>
      </c>
      <c r="L1186" s="9" t="b" cm="1">
        <f t="array" ref="L1186">INDEX(stable[is_mandatory],MATCH(VALUE(questions[[#This Row],[qno]]),VALUE(stable[qno]),0))</f>
        <v>1</v>
      </c>
      <c r="M1186" s="9" t="b" cm="1">
        <f t="array" ref="M1186">INDEX(stable[is_automated],MATCH(VALUE(questions[[#This Row],[qno]]),VALUE(stable[qno]),0))</f>
        <v>0</v>
      </c>
      <c r="N1186" s="9" t="b" cm="1">
        <f t="array" ref="N1186">INDEX(stable[is_free_text],MATCH(VALUE(questions[[#This Row],[qno]]),VALUE(stable[qno]),0))</f>
        <v>0</v>
      </c>
      <c r="O1186" s="9" t="b" cm="1">
        <f t="array" ref="O1186">INDEX(stable[is_numerical],MATCH(VALUE(questions[[#This Row],[qno]]),VALUE(stable[qno]),0))</f>
        <v>0</v>
      </c>
      <c r="P1186" s="77" t="b" cm="1">
        <f t="array" ref="P1186">INDEX(stable[is_single_select],MATCH(VALUE(questions[[#This Row],[qno]]),VALUE(stable[qno]),0))</f>
        <v>1</v>
      </c>
      <c r="Q1186" s="77" t="b" cm="1">
        <f t="array" ref="Q1186">INDEX(stable[is_multi_select],MATCH(VALUE(questions[[#This Row],[qno]]),VALUE(stable[qno]),0))</f>
        <v>0</v>
      </c>
      <c r="R1186" s="77" t="b" cm="1">
        <f t="array" ref="R1186">INDEX(stable[is_skip_logic],MATCH(VALUE(questions[[#This Row],[qno]]),VALUE(stable[qno]),0))</f>
        <v>1</v>
      </c>
      <c r="S1186" s="77" t="str">
        <f>_xlfn.TEXTJOIN(", ",TRUE,questions[[#This Row],[ans_opt_1]:[ans_opt_14]])</f>
        <v>No, Limestone, Dolomitic Limestone (Dolomite)</v>
      </c>
      <c r="T1186" s="77" t="s">
        <v>119</v>
      </c>
      <c r="U1186" s="131" t="s">
        <v>967</v>
      </c>
      <c r="V1186" s="142" t="s">
        <v>968</v>
      </c>
      <c r="AH1186" s="98" t="b">
        <f>INDEX(stable[q_standard],MATCH(questions[[#This Row],[qno]],stable[qno],0))</f>
        <v>0</v>
      </c>
      <c r="AI1186" s="98" t="b">
        <f>INDEX(stable[q_living_income],MATCH(questions[[#This Row],[qno]],stable[qno],0))</f>
        <v>1</v>
      </c>
      <c r="AJ1186" s="98" t="b">
        <f>INDEX(stable[q_carbon],MATCH(questions[[#This Row],[qno]],stable[qno],0))</f>
        <v>1</v>
      </c>
      <c r="AK1186" s="98" t="b">
        <f>INDEX(stable[q_regen_ag],MATCH(questions[[#This Row],[qno]],stable[qno],0))</f>
        <v>0</v>
      </c>
      <c r="AL1186" s="98" t="b">
        <f>COUNTIFS(stable[qno],questions[[#This Row],[qno]])=1</f>
        <v>1</v>
      </c>
      <c r="AM1186" s="98" t="b">
        <f>OR(questions[[#This Row],[is_fixed]],questions[[#This Row],[is_localized]],questions[[#This Row],[is_supply_chain_dependent]])</f>
        <v>1</v>
      </c>
      <c r="AN1186" s="98" t="b">
        <f>COUNTIFS(questions[[#This Row],[is_automated]:[is_multi_select]],TRUE)=1</f>
        <v>1</v>
      </c>
      <c r="AO1186" s="98" t="b">
        <f>IF(questions[[#This Row],[is_fixed]],questions[[#This Row],[question]]=INDEX(stable[question],MATCH(questions[[#This Row],[qno]],stable[qno],0)),TRUE)</f>
        <v>0</v>
      </c>
      <c r="AP1186" s="98" t="str">
        <f>LEFT(questions[[#This Row],[question]],similarity_range)</f>
        <v>Did you use Limeston</v>
      </c>
      <c r="AQ1186" s="98" t="str">
        <f>LEFT(INDEX(stable[question],MATCH(questions[[#This Row],[qno]],stable[qno],0)),similarity_range)</f>
        <v>Did you use Limeston</v>
      </c>
      <c r="AR1186" s="98" t="b">
        <f>questions[[#This Row],[question_first_characters]]=questions[[#This Row],[stability_first_characters]]</f>
        <v>1</v>
      </c>
      <c r="AS1186" s="98" t="b">
        <f>IF(OR(questions[[#This Row],[is_single_select]],questions[[#This Row],[is_multi_select]]),NOT(ISBLANK(questions[[#This Row],[answer_opt_combined]])),TRUE)</f>
        <v>1</v>
      </c>
    </row>
    <row r="1187" spans="1:45" ht="15.75" customHeight="1" x14ac:dyDescent="0.25">
      <c r="A1187" s="9" t="str">
        <f>_xlfn.TEXTJOIN("_",TRUE,questions[[#This Row],[origin]:[qno]])</f>
        <v>Kenya_Arabica_Nestle_2025_5141</v>
      </c>
      <c r="B1187" s="33" t="s">
        <v>818</v>
      </c>
      <c r="C1187" s="33" t="s">
        <v>59</v>
      </c>
      <c r="D1187" s="33" t="s">
        <v>819</v>
      </c>
      <c r="E1187" s="33">
        <v>2025</v>
      </c>
      <c r="F1187" s="68" t="s">
        <v>750</v>
      </c>
      <c r="G1187" s="18" t="s">
        <v>969</v>
      </c>
      <c r="H1187" s="9" t="str" cm="1">
        <f t="array" ref="H1187">INDEX(stableR[question],MATCH(VALUE(questions[[#This Row],[qno]]),VALUE(stableR[qno]),0))</f>
        <v>What was the total quantity of the Limestone or Dolomitic Limestone (Dolomite) that you used last year? (Kg)</v>
      </c>
      <c r="I1187" s="9" t="b" cm="1">
        <f t="array" ref="I1187">INDEX(stable[is_fixed],MATCH(VALUE(questions[[#This Row],[qno]]),VALUE(stable[qno]),0))</f>
        <v>0</v>
      </c>
      <c r="J1187" s="9" t="b" cm="1">
        <f t="array" ref="J1187">INDEX(stable[is_localized],MATCH(VALUE(questions[[#This Row],[qno]]),VALUE(stable[qno]),0))</f>
        <v>1</v>
      </c>
      <c r="K1187" s="9" t="b" cm="1">
        <f t="array" ref="K1187">INDEX(stable[is_supply_chain_dependent],MATCH(VALUE(questions[[#This Row],[qno]]),VALUE(stable[qno]),0))</f>
        <v>0</v>
      </c>
      <c r="L1187" s="9" t="b" cm="1">
        <f t="array" ref="L1187">INDEX(stable[is_mandatory],MATCH(VALUE(questions[[#This Row],[qno]]),VALUE(stable[qno]),0))</f>
        <v>0</v>
      </c>
      <c r="M1187" s="9" t="b" cm="1">
        <f t="array" ref="M1187">INDEX(stable[is_automated],MATCH(VALUE(questions[[#This Row],[qno]]),VALUE(stable[qno]),0))</f>
        <v>0</v>
      </c>
      <c r="N1187" s="9" t="b" cm="1">
        <f t="array" ref="N1187">INDEX(stable[is_free_text],MATCH(VALUE(questions[[#This Row],[qno]]),VALUE(stable[qno]),0))</f>
        <v>0</v>
      </c>
      <c r="O1187" s="9" t="b" cm="1">
        <f t="array" ref="O1187">INDEX(stable[is_numerical],MATCH(VALUE(questions[[#This Row],[qno]]),VALUE(stable[qno]),0))</f>
        <v>1</v>
      </c>
      <c r="P1187" s="9" t="b" cm="1">
        <f t="array" ref="P1187">INDEX(stable[is_single_select],MATCH(VALUE(questions[[#This Row],[qno]]),VALUE(stable[qno]),0))</f>
        <v>0</v>
      </c>
      <c r="Q1187" s="9" t="b" cm="1">
        <f t="array" ref="Q1187">INDEX(stable[is_multi_select],MATCH(VALUE(questions[[#This Row],[qno]]),VALUE(stable[qno]),0))</f>
        <v>0</v>
      </c>
      <c r="R1187" s="9" t="b" cm="1">
        <f t="array" ref="R1187">INDEX(stable[is_skip_logic],MATCH(VALUE(questions[[#This Row],[qno]]),VALUE(stable[qno]),0))</f>
        <v>1</v>
      </c>
      <c r="S1187" s="9" t="str">
        <f>_xlfn.TEXTJOIN(", ",TRUE,questions[[#This Row],[ans_opt_1]:[ans_opt_14]])</f>
        <v/>
      </c>
      <c r="T1187" s="66"/>
      <c r="U1187" s="66"/>
      <c r="V1187" s="67"/>
      <c r="W1187" s="33"/>
      <c r="X1187" s="33"/>
      <c r="Y1187" s="33"/>
      <c r="Z1187" s="33"/>
      <c r="AA1187" s="33"/>
      <c r="AB1187" s="33"/>
      <c r="AC1187" s="33"/>
      <c r="AD1187" s="33"/>
      <c r="AE1187" s="33"/>
      <c r="AF1187" s="33"/>
      <c r="AG1187" s="33"/>
      <c r="AH1187" s="99" t="b">
        <f>INDEX(stable[q_standard],MATCH(questions[[#This Row],[qno]],stable[qno],0))</f>
        <v>0</v>
      </c>
      <c r="AI1187" s="99" t="b">
        <f>INDEX(stable[q_living_income],MATCH(questions[[#This Row],[qno]],stable[qno],0))</f>
        <v>1</v>
      </c>
      <c r="AJ1187" s="99" t="b">
        <f>INDEX(stable[q_carbon],MATCH(questions[[#This Row],[qno]],stable[qno],0))</f>
        <v>1</v>
      </c>
      <c r="AK1187" s="99" t="b">
        <f>INDEX(stable[q_regen_ag],MATCH(questions[[#This Row],[qno]],stable[qno],0))</f>
        <v>0</v>
      </c>
      <c r="AL1187" s="16" t="b">
        <f>COUNTIFS(stable[qno],questions[[#This Row],[qno]])=1</f>
        <v>1</v>
      </c>
      <c r="AM1187" s="16" t="b">
        <f>OR(questions[[#This Row],[is_fixed]],questions[[#This Row],[is_localized]],questions[[#This Row],[is_supply_chain_dependent]])</f>
        <v>1</v>
      </c>
      <c r="AN1187" s="16" t="b">
        <f>COUNTIFS(questions[[#This Row],[is_automated]:[is_multi_select]],TRUE)=1</f>
        <v>1</v>
      </c>
      <c r="AO1187" s="16" t="b">
        <f>IF(questions[[#This Row],[is_fixed]],questions[[#This Row],[question]]=INDEX(stable[question],MATCH(questions[[#This Row],[qno]],stable[qno],0)),TRUE)</f>
        <v>1</v>
      </c>
      <c r="AP1187" s="16" t="str">
        <f>LEFT(questions[[#This Row],[question]],similarity_range)</f>
        <v>What was the total q</v>
      </c>
      <c r="AQ1187" s="16" t="str">
        <f>LEFT(INDEX(stable[question],MATCH(questions[[#This Row],[qno]],stable[qno],0)),similarity_range)</f>
        <v>What was the total q</v>
      </c>
      <c r="AR1187" s="16" t="b">
        <f>questions[[#This Row],[question_first_characters]]=questions[[#This Row],[stability_first_characters]]</f>
        <v>1</v>
      </c>
      <c r="AS1187" s="16" t="b">
        <f>IF(OR(questions[[#This Row],[is_single_select]],questions[[#This Row],[is_multi_select]]),NOT(ISBLANK(questions[[#This Row],[answer_opt_combined]])),TRUE)</f>
        <v>1</v>
      </c>
    </row>
    <row r="1188" spans="1:45" ht="15.75" customHeight="1" x14ac:dyDescent="0.25">
      <c r="A1188" s="9" t="str">
        <f>_xlfn.TEXTJOIN("_",TRUE,questions[[#This Row],[origin]:[qno]])</f>
        <v>Kenya_Arabica_Nestle_2025_5142</v>
      </c>
      <c r="B1188" s="33" t="s">
        <v>818</v>
      </c>
      <c r="C1188" s="33" t="s">
        <v>59</v>
      </c>
      <c r="D1188" s="33" t="s">
        <v>819</v>
      </c>
      <c r="E1188" s="33">
        <v>2025</v>
      </c>
      <c r="F1188" s="68" t="s">
        <v>692</v>
      </c>
      <c r="G1188" s="64" t="s">
        <v>752</v>
      </c>
      <c r="H1188" s="9" t="str" cm="1">
        <f t="array" ref="H1188">INDEX(stableR[question],MATCH(VALUE(questions[[#This Row],[qno]]),VALUE(stableR[qno]),0))</f>
        <v>What was the unit of the Limestone or Dolomitic Limestone (Dolomite)? (bags, kg)</v>
      </c>
      <c r="I1188" s="9" t="b" cm="1">
        <f t="array" ref="I1188">INDEX(stable[is_fixed],MATCH(VALUE(questions[[#This Row],[qno]]),VALUE(stable[qno]),0))</f>
        <v>0</v>
      </c>
      <c r="J1188" s="9" t="b" cm="1">
        <f t="array" ref="J1188">INDEX(stable[is_localized],MATCH(VALUE(questions[[#This Row],[qno]]),VALUE(stable[qno]),0))</f>
        <v>1</v>
      </c>
      <c r="K1188" s="9" t="b" cm="1">
        <f t="array" ref="K1188">INDEX(stable[is_supply_chain_dependent],MATCH(VALUE(questions[[#This Row],[qno]]),VALUE(stable[qno]),0))</f>
        <v>0</v>
      </c>
      <c r="L1188" s="9" t="b" cm="1">
        <f t="array" ref="L1188">INDEX(stable[is_mandatory],MATCH(VALUE(questions[[#This Row],[qno]]),VALUE(stable[qno]),0))</f>
        <v>0</v>
      </c>
      <c r="M1188" s="9" t="b" cm="1">
        <f t="array" ref="M1188">INDEX(stable[is_automated],MATCH(VALUE(questions[[#This Row],[qno]]),VALUE(stable[qno]),0))</f>
        <v>0</v>
      </c>
      <c r="N1188" s="9" t="b" cm="1">
        <f t="array" ref="N1188">INDEX(stable[is_free_text],MATCH(VALUE(questions[[#This Row],[qno]]),VALUE(stable[qno]),0))</f>
        <v>0</v>
      </c>
      <c r="O1188" s="9" t="b" cm="1">
        <f t="array" ref="O1188">INDEX(stable[is_numerical],MATCH(VALUE(questions[[#This Row],[qno]]),VALUE(stable[qno]),0))</f>
        <v>0</v>
      </c>
      <c r="P1188" s="9" t="b" cm="1">
        <f t="array" ref="P1188">INDEX(stable[is_single_select],MATCH(VALUE(questions[[#This Row],[qno]]),VALUE(stable[qno]),0))</f>
        <v>1</v>
      </c>
      <c r="Q1188" s="9" t="b" cm="1">
        <f t="array" ref="Q1188">INDEX(stable[is_multi_select],MATCH(VALUE(questions[[#This Row],[qno]]),VALUE(stable[qno]),0))</f>
        <v>0</v>
      </c>
      <c r="R1188" s="9" t="b" cm="1">
        <f t="array" ref="R1188">INDEX(stable[is_skip_logic],MATCH(VALUE(questions[[#This Row],[qno]]),VALUE(stable[qno]),0))</f>
        <v>1</v>
      </c>
      <c r="S1188" s="9" t="str">
        <f>_xlfn.TEXTJOIN(", ",TRUE,questions[[#This Row],[ans_opt_1]:[ans_opt_14]])</f>
        <v>kg</v>
      </c>
      <c r="T1188" s="66" t="s">
        <v>562</v>
      </c>
      <c r="U1188" s="66"/>
      <c r="V1188" s="67"/>
      <c r="W1188" s="33"/>
      <c r="X1188" s="33"/>
      <c r="Y1188" s="33"/>
      <c r="Z1188" s="33"/>
      <c r="AA1188" s="33"/>
      <c r="AB1188" s="33"/>
      <c r="AC1188" s="33"/>
      <c r="AD1188" s="33"/>
      <c r="AE1188" s="33"/>
      <c r="AF1188" s="33"/>
      <c r="AG1188" s="33"/>
      <c r="AH1188" s="99" t="b">
        <f>INDEX(stable[q_standard],MATCH(questions[[#This Row],[qno]],stable[qno],0))</f>
        <v>0</v>
      </c>
      <c r="AI1188" s="99" t="b">
        <f>INDEX(stable[q_living_income],MATCH(questions[[#This Row],[qno]],stable[qno],0))</f>
        <v>1</v>
      </c>
      <c r="AJ1188" s="99" t="b">
        <f>INDEX(stable[q_carbon],MATCH(questions[[#This Row],[qno]],stable[qno],0))</f>
        <v>1</v>
      </c>
      <c r="AK1188" s="99" t="b">
        <f>INDEX(stable[q_regen_ag],MATCH(questions[[#This Row],[qno]],stable[qno],0))</f>
        <v>0</v>
      </c>
      <c r="AL1188" s="16" t="b">
        <f>COUNTIFS(stable[qno],questions[[#This Row],[qno]])=1</f>
        <v>1</v>
      </c>
      <c r="AM1188" s="16" t="b">
        <f>OR(questions[[#This Row],[is_fixed]],questions[[#This Row],[is_localized]],questions[[#This Row],[is_supply_chain_dependent]])</f>
        <v>1</v>
      </c>
      <c r="AN1188" s="16" t="b">
        <f>COUNTIFS(questions[[#This Row],[is_automated]:[is_multi_select]],TRUE)=1</f>
        <v>1</v>
      </c>
      <c r="AO1188" s="16" t="b">
        <f>IF(questions[[#This Row],[is_fixed]],questions[[#This Row],[question]]=INDEX(stable[question],MATCH(questions[[#This Row],[qno]],stable[qno],0)),TRUE)</f>
        <v>1</v>
      </c>
      <c r="AP1188" s="16" t="str">
        <f>LEFT(questions[[#This Row],[question]],similarity_range)</f>
        <v>Please ensure that t</v>
      </c>
      <c r="AQ1188" s="16" t="str">
        <f>LEFT(INDEX(stable[question],MATCH(questions[[#This Row],[qno]],stable[qno],0)),similarity_range)</f>
        <v>What was the unit of</v>
      </c>
      <c r="AR1188" s="16" t="b">
        <f>questions[[#This Row],[question_first_characters]]=questions[[#This Row],[stability_first_characters]]</f>
        <v>0</v>
      </c>
      <c r="AS1188" s="16" t="b">
        <f>IF(OR(questions[[#This Row],[is_single_select]],questions[[#This Row],[is_multi_select]]),NOT(ISBLANK(questions[[#This Row],[answer_opt_combined]])),TRUE)</f>
        <v>1</v>
      </c>
    </row>
    <row r="1189" spans="1:45" s="77" customFormat="1" ht="15.75" customHeight="1" x14ac:dyDescent="0.25">
      <c r="A1189" s="77" t="str">
        <f>_xlfn.TEXTJOIN("_",TRUE,questions[[#This Row],[origin]:[qno]])</f>
        <v>Kenya_Arabica_Nestle_2025_5400</v>
      </c>
      <c r="B1189" s="77" t="s">
        <v>818</v>
      </c>
      <c r="C1189" s="77" t="s">
        <v>59</v>
      </c>
      <c r="D1189" s="77" t="s">
        <v>819</v>
      </c>
      <c r="E1189" s="77">
        <v>2025</v>
      </c>
      <c r="F1189" s="105" t="s">
        <v>175</v>
      </c>
      <c r="G1189" s="78" t="s">
        <v>176</v>
      </c>
      <c r="H1189" s="9" t="str" cm="1">
        <f t="array" ref="H1189">INDEX(stableR[question],MATCH(VALUE(questions[[#This Row],[qno]]),VALUE(stableR[qno]),0))</f>
        <v>Did you use any type of animal manure, compost, or organic fertilizers for your coffee last year?</v>
      </c>
      <c r="I1189" s="9" t="b" cm="1">
        <f t="array" ref="I1189">INDEX(stable[is_fixed],MATCH(VALUE(questions[[#This Row],[qno]]),VALUE(stable[qno]),0))</f>
        <v>1</v>
      </c>
      <c r="J1189" s="9" t="b" cm="1">
        <f t="array" ref="J1189">INDEX(stable[is_localized],MATCH(VALUE(questions[[#This Row],[qno]]),VALUE(stable[qno]),0))</f>
        <v>0</v>
      </c>
      <c r="K1189" s="9" t="b" cm="1">
        <f t="array" ref="K1189">INDEX(stable[is_supply_chain_dependent],MATCH(VALUE(questions[[#This Row],[qno]]),VALUE(stable[qno]),0))</f>
        <v>0</v>
      </c>
      <c r="L1189" s="9" t="b" cm="1">
        <f t="array" ref="L1189">INDEX(stable[is_mandatory],MATCH(VALUE(questions[[#This Row],[qno]]),VALUE(stable[qno]),0))</f>
        <v>1</v>
      </c>
      <c r="M1189" s="9" t="b" cm="1">
        <f t="array" ref="M1189">INDEX(stable[is_automated],MATCH(VALUE(questions[[#This Row],[qno]]),VALUE(stable[qno]),0))</f>
        <v>0</v>
      </c>
      <c r="N1189" s="9" t="b" cm="1">
        <f t="array" ref="N1189">INDEX(stable[is_free_text],MATCH(VALUE(questions[[#This Row],[qno]]),VALUE(stable[qno]),0))</f>
        <v>0</v>
      </c>
      <c r="O1189" s="9" t="b" cm="1">
        <f t="array" ref="O1189">INDEX(stable[is_numerical],MATCH(VALUE(questions[[#This Row],[qno]]),VALUE(stable[qno]),0))</f>
        <v>0</v>
      </c>
      <c r="P1189" s="77" t="b" cm="1">
        <f t="array" ref="P1189">INDEX(stable[is_single_select],MATCH(VALUE(questions[[#This Row],[qno]]),VALUE(stable[qno]),0))</f>
        <v>1</v>
      </c>
      <c r="Q1189" s="77" t="b" cm="1">
        <f t="array" ref="Q1189">INDEX(stable[is_multi_select],MATCH(VALUE(questions[[#This Row],[qno]]),VALUE(stable[qno]),0))</f>
        <v>0</v>
      </c>
      <c r="R1189" s="77" t="b" cm="1">
        <f t="array" ref="R1189">INDEX(stable[is_skip_logic],MATCH(VALUE(questions[[#This Row],[qno]]),VALUE(stable[qno]),0))</f>
        <v>1</v>
      </c>
      <c r="S1189" s="77" t="str">
        <f>_xlfn.TEXTJOIN(", ",TRUE,questions[[#This Row],[ans_opt_1]:[ans_opt_14]])</f>
        <v>Yes, No</v>
      </c>
      <c r="T1189" s="77" t="s">
        <v>149</v>
      </c>
      <c r="U1189" s="77" t="s">
        <v>119</v>
      </c>
      <c r="AH1189" s="98" t="b">
        <f>INDEX(stable[q_standard],MATCH(questions[[#This Row],[qno]],stable[qno],0))</f>
        <v>0</v>
      </c>
      <c r="AI1189" s="98" t="b">
        <f>INDEX(stable[q_living_income],MATCH(questions[[#This Row],[qno]],stable[qno],0))</f>
        <v>1</v>
      </c>
      <c r="AJ1189" s="98" t="b">
        <f>INDEX(stable[q_carbon],MATCH(questions[[#This Row],[qno]],stable[qno],0))</f>
        <v>1</v>
      </c>
      <c r="AK1189" s="98" t="b">
        <f>INDEX(stable[q_regen_ag],MATCH(questions[[#This Row],[qno]],stable[qno],0))</f>
        <v>0</v>
      </c>
      <c r="AL1189" s="98" t="b">
        <f>COUNTIFS(stable[qno],questions[[#This Row],[qno]])=1</f>
        <v>1</v>
      </c>
      <c r="AM1189" s="98" t="b">
        <f>OR(questions[[#This Row],[is_fixed]],questions[[#This Row],[is_localized]],questions[[#This Row],[is_supply_chain_dependent]])</f>
        <v>1</v>
      </c>
      <c r="AN1189" s="98" t="b">
        <f>COUNTIFS(questions[[#This Row],[is_automated]:[is_multi_select]],TRUE)=1</f>
        <v>1</v>
      </c>
      <c r="AO1189" s="98" t="b">
        <f>IF(questions[[#This Row],[is_fixed]],questions[[#This Row],[question]]=INDEX(stable[question],MATCH(questions[[#This Row],[qno]],stable[qno],0)),TRUE)</f>
        <v>1</v>
      </c>
      <c r="AP1189" s="98" t="str">
        <f>LEFT(questions[[#This Row],[question]],similarity_range)</f>
        <v>Did you use any type</v>
      </c>
      <c r="AQ1189" s="98" t="str">
        <f>LEFT(INDEX(stable[question],MATCH(questions[[#This Row],[qno]],stable[qno],0)),similarity_range)</f>
        <v>Did you use any type</v>
      </c>
      <c r="AR1189" s="98" t="b">
        <f>questions[[#This Row],[question_first_characters]]=questions[[#This Row],[stability_first_characters]]</f>
        <v>1</v>
      </c>
      <c r="AS1189" s="98" t="b">
        <f>IF(OR(questions[[#This Row],[is_single_select]],questions[[#This Row],[is_multi_select]]),NOT(ISBLANK(questions[[#This Row],[answer_opt_combined]])),TRUE)</f>
        <v>1</v>
      </c>
    </row>
    <row r="1190" spans="1:45" s="77" customFormat="1" ht="18.75" customHeight="1" x14ac:dyDescent="0.25">
      <c r="A1190" s="77" t="str">
        <f>_xlfn.TEXTJOIN("_",TRUE,questions[[#This Row],[origin]:[qno]])</f>
        <v>Kenya_Arabica_Nestle_2025_5401</v>
      </c>
      <c r="B1190" s="77" t="s">
        <v>818</v>
      </c>
      <c r="C1190" s="77" t="s">
        <v>59</v>
      </c>
      <c r="D1190" s="77" t="s">
        <v>819</v>
      </c>
      <c r="E1190" s="77">
        <v>2025</v>
      </c>
      <c r="F1190" s="78" t="s">
        <v>177</v>
      </c>
      <c r="G1190" s="227" t="s">
        <v>970</v>
      </c>
      <c r="H1190" s="9" t="str" cm="1">
        <f t="array" ref="H1190">INDEX(stableR[question],MATCH(VALUE(questions[[#This Row],[qno]]),VALUE(stableR[qno]),0))</f>
        <v>What was the type of animal manure, compost, or organic fertilizer that you used most last year?</v>
      </c>
      <c r="I1190" s="9" t="b" cm="1">
        <f t="array" ref="I1190">INDEX(stable[is_fixed],MATCH(VALUE(questions[[#This Row],[qno]]),VALUE(stable[qno]),0))</f>
        <v>1</v>
      </c>
      <c r="J1190" s="9" t="b" cm="1">
        <f t="array" ref="J1190">INDEX(stable[is_localized],MATCH(VALUE(questions[[#This Row],[qno]]),VALUE(stable[qno]),0))</f>
        <v>0</v>
      </c>
      <c r="K1190" s="9" t="b" cm="1">
        <f t="array" ref="K1190">INDEX(stable[is_supply_chain_dependent],MATCH(VALUE(questions[[#This Row],[qno]]),VALUE(stable[qno]),0))</f>
        <v>0</v>
      </c>
      <c r="L1190" s="9" t="b" cm="1">
        <f t="array" ref="L1190">INDEX(stable[is_mandatory],MATCH(VALUE(questions[[#This Row],[qno]]),VALUE(stable[qno]),0))</f>
        <v>0</v>
      </c>
      <c r="M1190" s="9" t="b" cm="1">
        <f t="array" ref="M1190">INDEX(stable[is_automated],MATCH(VALUE(questions[[#This Row],[qno]]),VALUE(stable[qno]),0))</f>
        <v>0</v>
      </c>
      <c r="N1190" s="9" t="b" cm="1">
        <f t="array" ref="N1190">INDEX(stable[is_free_text],MATCH(VALUE(questions[[#This Row],[qno]]),VALUE(stable[qno]),0))</f>
        <v>1</v>
      </c>
      <c r="O1190" s="9" t="b" cm="1">
        <f t="array" ref="O1190">INDEX(stable[is_numerical],MATCH(VALUE(questions[[#This Row],[qno]]),VALUE(stable[qno]),0))</f>
        <v>0</v>
      </c>
      <c r="P1190" s="100" t="b" cm="1">
        <f t="array" ref="P1190">INDEX(stable[is_single_select],MATCH(VALUE(questions[[#This Row],[qno]]),VALUE(stable[qno]),0))</f>
        <v>1</v>
      </c>
      <c r="Q1190" s="77" t="b" cm="1">
        <f t="array" ref="Q1190">INDEX(stable[is_multi_select],MATCH(VALUE(questions[[#This Row],[qno]]),VALUE(stable[qno]),0))</f>
        <v>0</v>
      </c>
      <c r="R1190" s="77" t="b" cm="1">
        <f t="array" ref="R1190">INDEX(stable[is_skip_logic],MATCH(VALUE(questions[[#This Row],[qno]]),VALUE(stable[qno]),0))</f>
        <v>1</v>
      </c>
      <c r="S1190" s="77" t="str">
        <f>_xlfn.TEXTJOIN(", ",TRUE,questions[[#This Row],[ans_opt_1]:[ans_opt_14]])</f>
        <v>"Coffee-related organic fertilizer" received from CWSs/Mills , Commercial organic fertilizer, Organic manure sheep, Organic manure poultry, Organic manure horse, Organic manure swine, Goat manure mixed with grass, Composted from rubbish, Organic manure cattle</v>
      </c>
      <c r="T1190" s="69" t="s">
        <v>971</v>
      </c>
      <c r="U1190" s="69" t="s">
        <v>972</v>
      </c>
      <c r="V1190" s="69" t="s">
        <v>973</v>
      </c>
      <c r="W1190" s="69" t="s">
        <v>974</v>
      </c>
      <c r="X1190" s="69" t="s">
        <v>975</v>
      </c>
      <c r="Y1190" s="69" t="s">
        <v>976</v>
      </c>
      <c r="Z1190" s="69" t="s">
        <v>977</v>
      </c>
      <c r="AA1190" s="69" t="s">
        <v>978</v>
      </c>
      <c r="AB1190" s="69" t="s">
        <v>979</v>
      </c>
      <c r="AH1190" s="98" t="b">
        <f>INDEX(stable[q_standard],MATCH(questions[[#This Row],[qno]],stable[qno],0))</f>
        <v>0</v>
      </c>
      <c r="AI1190" s="98" t="b">
        <f>INDEX(stable[q_living_income],MATCH(questions[[#This Row],[qno]],stable[qno],0))</f>
        <v>1</v>
      </c>
      <c r="AJ1190" s="98" t="b">
        <f>INDEX(stable[q_carbon],MATCH(questions[[#This Row],[qno]],stable[qno],0))</f>
        <v>1</v>
      </c>
      <c r="AK1190" s="98" t="b">
        <f>INDEX(stable[q_regen_ag],MATCH(questions[[#This Row],[qno]],stable[qno],0))</f>
        <v>0</v>
      </c>
      <c r="AL1190" s="98" t="b">
        <f>COUNTIFS(stable[qno],questions[[#This Row],[qno]])=1</f>
        <v>1</v>
      </c>
      <c r="AM1190" s="98" t="b">
        <f>OR(questions[[#This Row],[is_fixed]],questions[[#This Row],[is_localized]],questions[[#This Row],[is_supply_chain_dependent]])</f>
        <v>1</v>
      </c>
      <c r="AN1190" s="98" t="b">
        <f>COUNTIFS(questions[[#This Row],[is_automated]:[is_multi_select]],TRUE)=1</f>
        <v>0</v>
      </c>
      <c r="AO1190" s="98" t="b">
        <f>IF(questions[[#This Row],[is_fixed]],questions[[#This Row],[question]]=INDEX(stable[question],MATCH(questions[[#This Row],[qno]],stable[qno],0)),TRUE)</f>
        <v>0</v>
      </c>
      <c r="AP1190" s="98" t="str">
        <f>LEFT(questions[[#This Row],[question]],similarity_range)</f>
        <v>If yes, what was the</v>
      </c>
      <c r="AQ1190" s="98" t="str">
        <f>LEFT(INDEX(stable[question],MATCH(questions[[#This Row],[qno]],stable[qno],0)),similarity_range)</f>
        <v>If yes, what was the</v>
      </c>
      <c r="AR1190" s="98" t="b">
        <f>questions[[#This Row],[question_first_characters]]=questions[[#This Row],[stability_first_characters]]</f>
        <v>1</v>
      </c>
      <c r="AS1190" s="98" t="b">
        <f>IF(OR(questions[[#This Row],[is_single_select]],questions[[#This Row],[is_multi_select]]),NOT(ISBLANK(questions[[#This Row],[answer_opt_combined]])),TRUE)</f>
        <v>1</v>
      </c>
    </row>
    <row r="1191" spans="1:45" ht="15.75" customHeight="1" x14ac:dyDescent="0.25">
      <c r="A1191" s="9" t="str">
        <f>_xlfn.TEXTJOIN("_",TRUE,questions[[#This Row],[origin]:[qno]])</f>
        <v>Kenya_Arabica_Nestle_2025_5402</v>
      </c>
      <c r="B1191" s="33" t="s">
        <v>818</v>
      </c>
      <c r="C1191" s="33" t="s">
        <v>59</v>
      </c>
      <c r="D1191" s="33" t="s">
        <v>819</v>
      </c>
      <c r="E1191" s="33">
        <v>2025</v>
      </c>
      <c r="F1191" s="41" t="s">
        <v>179</v>
      </c>
      <c r="G1191" s="18" t="s">
        <v>980</v>
      </c>
      <c r="H1191" s="9" t="str" cm="1">
        <f t="array" ref="H1191">INDEX(stableR[question],MATCH(VALUE(questions[[#This Row],[qno]]),VALUE(stableR[qno]),0))</f>
        <v>What was the total quantity of this type of animal manure/compost/organic fertilizer that you used most (Kg)?</v>
      </c>
      <c r="I1191" s="9" t="b" cm="1">
        <f t="array" ref="I1191">INDEX(stable[is_fixed],MATCH(VALUE(questions[[#This Row],[qno]]),VALUE(stable[qno]),0))</f>
        <v>1</v>
      </c>
      <c r="J1191" s="9" t="b" cm="1">
        <f t="array" ref="J1191">INDEX(stable[is_localized],MATCH(VALUE(questions[[#This Row],[qno]]),VALUE(stable[qno]),0))</f>
        <v>0</v>
      </c>
      <c r="K1191" s="9" t="b" cm="1">
        <f t="array" ref="K1191">INDEX(stable[is_supply_chain_dependent],MATCH(VALUE(questions[[#This Row],[qno]]),VALUE(stable[qno]),0))</f>
        <v>0</v>
      </c>
      <c r="L1191" s="9" t="b" cm="1">
        <f t="array" ref="L1191">INDEX(stable[is_mandatory],MATCH(VALUE(questions[[#This Row],[qno]]),VALUE(stable[qno]),0))</f>
        <v>0</v>
      </c>
      <c r="M1191" s="9" t="b" cm="1">
        <f t="array" ref="M1191">INDEX(stable[is_automated],MATCH(VALUE(questions[[#This Row],[qno]]),VALUE(stable[qno]),0))</f>
        <v>0</v>
      </c>
      <c r="N1191" s="9" t="b" cm="1">
        <f t="array" ref="N1191">INDEX(stable[is_free_text],MATCH(VALUE(questions[[#This Row],[qno]]),VALUE(stable[qno]),0))</f>
        <v>0</v>
      </c>
      <c r="O1191" s="9" t="b" cm="1">
        <f t="array" ref="O1191">INDEX(stable[is_numerical],MATCH(VALUE(questions[[#This Row],[qno]]),VALUE(stable[qno]),0))</f>
        <v>1</v>
      </c>
      <c r="P1191" s="9" t="b" cm="1">
        <f t="array" ref="P1191">INDEX(stable[is_single_select],MATCH(VALUE(questions[[#This Row],[qno]]),VALUE(stable[qno]),0))</f>
        <v>0</v>
      </c>
      <c r="Q1191" s="9" t="b" cm="1">
        <f t="array" ref="Q1191">INDEX(stable[is_multi_select],MATCH(VALUE(questions[[#This Row],[qno]]),VALUE(stable[qno]),0))</f>
        <v>0</v>
      </c>
      <c r="R1191" s="9" t="b" cm="1">
        <f t="array" ref="R1191">INDEX(stable[is_skip_logic],MATCH(VALUE(questions[[#This Row],[qno]]),VALUE(stable[qno]),0))</f>
        <v>1</v>
      </c>
      <c r="S1191" s="9" t="str">
        <f>_xlfn.TEXTJOIN(", ",TRUE,questions[[#This Row],[ans_opt_1]:[ans_opt_14]])</f>
        <v/>
      </c>
      <c r="T1191" s="33"/>
      <c r="U1191" s="33"/>
      <c r="V1191" s="33"/>
      <c r="W1191" s="33"/>
      <c r="X1191" s="33"/>
      <c r="Y1191" s="33"/>
      <c r="Z1191" s="33"/>
      <c r="AA1191" s="33"/>
      <c r="AB1191" s="33"/>
      <c r="AC1191" s="33"/>
      <c r="AD1191" s="33"/>
      <c r="AE1191" s="33"/>
      <c r="AF1191" s="33"/>
      <c r="AG1191" s="33"/>
      <c r="AH1191" s="99" t="b">
        <f>INDEX(stable[q_standard],MATCH(questions[[#This Row],[qno]],stable[qno],0))</f>
        <v>0</v>
      </c>
      <c r="AI1191" s="99" t="b">
        <f>INDEX(stable[q_living_income],MATCH(questions[[#This Row],[qno]],stable[qno],0))</f>
        <v>1</v>
      </c>
      <c r="AJ1191" s="99" t="b">
        <f>INDEX(stable[q_carbon],MATCH(questions[[#This Row],[qno]],stable[qno],0))</f>
        <v>1</v>
      </c>
      <c r="AK1191" s="99" t="b">
        <f>INDEX(stable[q_regen_ag],MATCH(questions[[#This Row],[qno]],stable[qno],0))</f>
        <v>0</v>
      </c>
      <c r="AL1191" s="16" t="b">
        <f>COUNTIFS(stable[qno],questions[[#This Row],[qno]])=1</f>
        <v>1</v>
      </c>
      <c r="AM1191" s="16" t="b">
        <f>OR(questions[[#This Row],[is_fixed]],questions[[#This Row],[is_localized]],questions[[#This Row],[is_supply_chain_dependent]])</f>
        <v>1</v>
      </c>
      <c r="AN1191" s="16" t="b">
        <f>COUNTIFS(questions[[#This Row],[is_automated]:[is_multi_select]],TRUE)=1</f>
        <v>1</v>
      </c>
      <c r="AO1191" s="16" t="b">
        <f>IF(questions[[#This Row],[is_fixed]],questions[[#This Row],[question]]=INDEX(stable[question],MATCH(questions[[#This Row],[qno]],stable[qno],0)),TRUE)</f>
        <v>0</v>
      </c>
      <c r="AP1191" s="16" t="str">
        <f>LEFT(questions[[#This Row],[question]],similarity_range)</f>
        <v>What was the total q</v>
      </c>
      <c r="AQ1191" s="16" t="str">
        <f>LEFT(INDEX(stable[question],MATCH(questions[[#This Row],[qno]],stable[qno],0)),similarity_range)</f>
        <v>What was the total q</v>
      </c>
      <c r="AR1191" s="16" t="b">
        <f>questions[[#This Row],[question_first_characters]]=questions[[#This Row],[stability_first_characters]]</f>
        <v>1</v>
      </c>
      <c r="AS1191" s="16" t="b">
        <f>IF(OR(questions[[#This Row],[is_single_select]],questions[[#This Row],[is_multi_select]]),NOT(ISBLANK(questions[[#This Row],[answer_opt_combined]])),TRUE)</f>
        <v>1</v>
      </c>
    </row>
    <row r="1192" spans="1:45" ht="15.75" customHeight="1" x14ac:dyDescent="0.25">
      <c r="A1192" s="9" t="str">
        <f>_xlfn.TEXTJOIN("_",TRUE,questions[[#This Row],[origin]:[qno]])</f>
        <v>Kenya_Arabica_Nestle_2025_5403</v>
      </c>
      <c r="B1192" s="33" t="s">
        <v>818</v>
      </c>
      <c r="C1192" s="33" t="s">
        <v>59</v>
      </c>
      <c r="D1192" s="33" t="s">
        <v>819</v>
      </c>
      <c r="E1192" s="33">
        <v>2025</v>
      </c>
      <c r="F1192" s="41" t="s">
        <v>181</v>
      </c>
      <c r="G1192" s="64" t="s">
        <v>981</v>
      </c>
      <c r="H1192" s="9" t="str" cm="1">
        <f t="array" ref="H1192">INDEX(stableR[question],MATCH(VALUE(questions[[#This Row],[qno]]),VALUE(stableR[qno]),0))</f>
        <v>What was the unit of this type of animal manure/compost/organic fertilizer that you used most (kg, basins, 50 kg bags, wheel barrows, small truck/tipper, large truck)?</v>
      </c>
      <c r="I1192" s="9" t="b" cm="1">
        <f t="array" ref="I1192">INDEX(stable[is_fixed],MATCH(VALUE(questions[[#This Row],[qno]]),VALUE(stable[qno]),0))</f>
        <v>1</v>
      </c>
      <c r="J1192" s="9" t="b" cm="1">
        <f t="array" ref="J1192">INDEX(stable[is_localized],MATCH(VALUE(questions[[#This Row],[qno]]),VALUE(stable[qno]),0))</f>
        <v>0</v>
      </c>
      <c r="K1192" s="9" t="b" cm="1">
        <f t="array" ref="K1192">INDEX(stable[is_supply_chain_dependent],MATCH(VALUE(questions[[#This Row],[qno]]),VALUE(stable[qno]),0))</f>
        <v>0</v>
      </c>
      <c r="L1192" s="9" t="b" cm="1">
        <f t="array" ref="L1192">INDEX(stable[is_mandatory],MATCH(VALUE(questions[[#This Row],[qno]]),VALUE(stable[qno]),0))</f>
        <v>0</v>
      </c>
      <c r="M1192" s="9" t="b" cm="1">
        <f t="array" ref="M1192">INDEX(stable[is_automated],MATCH(VALUE(questions[[#This Row],[qno]]),VALUE(stable[qno]),0))</f>
        <v>0</v>
      </c>
      <c r="N1192" s="9" t="b" cm="1">
        <f t="array" ref="N1192">INDEX(stable[is_free_text],MATCH(VALUE(questions[[#This Row],[qno]]),VALUE(stable[qno]),0))</f>
        <v>1</v>
      </c>
      <c r="O1192" s="9" t="b" cm="1">
        <f t="array" ref="O1192">INDEX(stable[is_numerical],MATCH(VALUE(questions[[#This Row],[qno]]),VALUE(stable[qno]),0))</f>
        <v>0</v>
      </c>
      <c r="P1192" s="9" t="b" cm="1">
        <f t="array" ref="P1192">INDEX(stable[is_single_select],MATCH(VALUE(questions[[#This Row],[qno]]),VALUE(stable[qno]),0))</f>
        <v>0</v>
      </c>
      <c r="Q1192" s="9" t="b" cm="1">
        <f t="array" ref="Q1192">INDEX(stable[is_multi_select],MATCH(VALUE(questions[[#This Row],[qno]]),VALUE(stable[qno]),0))</f>
        <v>0</v>
      </c>
      <c r="R1192" s="9" t="b" cm="1">
        <f t="array" ref="R1192">INDEX(stable[is_skip_logic],MATCH(VALUE(questions[[#This Row],[qno]]),VALUE(stable[qno]),0))</f>
        <v>1</v>
      </c>
      <c r="S1192" s="9" t="str">
        <f>_xlfn.TEXTJOIN(", ",TRUE,questions[[#This Row],[ans_opt_1]:[ans_opt_14]])</f>
        <v>kg</v>
      </c>
      <c r="T1192" s="33" t="s">
        <v>562</v>
      </c>
      <c r="U1192" s="33"/>
      <c r="V1192" s="33"/>
      <c r="W1192" s="33"/>
      <c r="X1192" s="33"/>
      <c r="Y1192" s="33"/>
      <c r="Z1192" s="33"/>
      <c r="AA1192" s="33"/>
      <c r="AB1192" s="33"/>
      <c r="AC1192" s="33"/>
      <c r="AD1192" s="33"/>
      <c r="AE1192" s="33"/>
      <c r="AF1192" s="33"/>
      <c r="AG1192" s="33"/>
      <c r="AH1192" s="99" t="b">
        <f>INDEX(stable[q_standard],MATCH(questions[[#This Row],[qno]],stable[qno],0))</f>
        <v>0</v>
      </c>
      <c r="AI1192" s="99" t="b">
        <f>INDEX(stable[q_living_income],MATCH(questions[[#This Row],[qno]],stable[qno],0))</f>
        <v>1</v>
      </c>
      <c r="AJ1192" s="99" t="b">
        <f>INDEX(stable[q_carbon],MATCH(questions[[#This Row],[qno]],stable[qno],0))</f>
        <v>1</v>
      </c>
      <c r="AK1192" s="99" t="b">
        <f>INDEX(stable[q_regen_ag],MATCH(questions[[#This Row],[qno]],stable[qno],0))</f>
        <v>0</v>
      </c>
      <c r="AL1192" s="16" t="b">
        <f>COUNTIFS(stable[qno],questions[[#This Row],[qno]])=1</f>
        <v>1</v>
      </c>
      <c r="AM1192" s="16" t="b">
        <f>OR(questions[[#This Row],[is_fixed]],questions[[#This Row],[is_localized]],questions[[#This Row],[is_supply_chain_dependent]])</f>
        <v>1</v>
      </c>
      <c r="AN1192" s="16" t="b">
        <f>COUNTIFS(questions[[#This Row],[is_automated]:[is_multi_select]],TRUE)=1</f>
        <v>1</v>
      </c>
      <c r="AO1192" s="16" t="b">
        <f>IF(questions[[#This Row],[is_fixed]],questions[[#This Row],[question]]=INDEX(stable[question],MATCH(questions[[#This Row],[qno]],stable[qno],0)),TRUE)</f>
        <v>0</v>
      </c>
      <c r="AP1192" s="16" t="str">
        <f>LEFT(questions[[#This Row],[question]],similarity_range)</f>
        <v>Please ensure that t</v>
      </c>
      <c r="AQ1192" s="16" t="str">
        <f>LEFT(INDEX(stable[question],MATCH(questions[[#This Row],[qno]],stable[qno],0)),similarity_range)</f>
        <v>What was the unit of</v>
      </c>
      <c r="AR1192" s="16" t="b">
        <f>questions[[#This Row],[question_first_characters]]=questions[[#This Row],[stability_first_characters]]</f>
        <v>0</v>
      </c>
      <c r="AS1192" s="16" t="b">
        <f>IF(OR(questions[[#This Row],[is_single_select]],questions[[#This Row],[is_multi_select]]),NOT(ISBLANK(questions[[#This Row],[answer_opt_combined]])),TRUE)</f>
        <v>1</v>
      </c>
    </row>
    <row r="1193" spans="1:45" s="77" customFormat="1" ht="15.75" customHeight="1" x14ac:dyDescent="0.25">
      <c r="A1193" s="77" t="str">
        <f>_xlfn.TEXTJOIN("_",TRUE,questions[[#This Row],[origin]:[qno]])</f>
        <v>Kenya_Arabica_Nestle_2025_5404</v>
      </c>
      <c r="B1193" s="77" t="s">
        <v>818</v>
      </c>
      <c r="C1193" s="77" t="s">
        <v>59</v>
      </c>
      <c r="D1193" s="77" t="s">
        <v>819</v>
      </c>
      <c r="E1193" s="77">
        <v>2025</v>
      </c>
      <c r="F1193" s="105" t="s">
        <v>183</v>
      </c>
      <c r="G1193" s="108" t="s">
        <v>842</v>
      </c>
      <c r="H1193" s="9" t="str" cm="1">
        <f t="array" ref="H1193">INDEX(stableR[question],MATCH(VALUE(questions[[#This Row],[qno]]),VALUE(stableR[qno]),0))</f>
        <v>How did you get this manure/compost/organic fertilizer that you used most?</v>
      </c>
      <c r="I1193" s="9" t="b" cm="1">
        <f t="array" ref="I1193">INDEX(stable[is_fixed],MATCH(VALUE(questions[[#This Row],[qno]]),VALUE(stable[qno]),0))</f>
        <v>1</v>
      </c>
      <c r="J1193" s="9" t="b" cm="1">
        <f t="array" ref="J1193">INDEX(stable[is_localized],MATCH(VALUE(questions[[#This Row],[qno]]),VALUE(stable[qno]),0))</f>
        <v>0</v>
      </c>
      <c r="K1193" s="9" t="b" cm="1">
        <f t="array" ref="K1193">INDEX(stable[is_supply_chain_dependent],MATCH(VALUE(questions[[#This Row],[qno]]),VALUE(stable[qno]),0))</f>
        <v>0</v>
      </c>
      <c r="L1193" s="9" t="b" cm="1">
        <f t="array" ref="L1193">INDEX(stable[is_mandatory],MATCH(VALUE(questions[[#This Row],[qno]]),VALUE(stable[qno]),0))</f>
        <v>0</v>
      </c>
      <c r="M1193" s="9" t="b" cm="1">
        <f t="array" ref="M1193">INDEX(stable[is_automated],MATCH(VALUE(questions[[#This Row],[qno]]),VALUE(stable[qno]),0))</f>
        <v>0</v>
      </c>
      <c r="N1193" s="9" t="b" cm="1">
        <f t="array" ref="N1193">INDEX(stable[is_free_text],MATCH(VALUE(questions[[#This Row],[qno]]),VALUE(stable[qno]),0))</f>
        <v>0</v>
      </c>
      <c r="O1193" s="9" t="b" cm="1">
        <f t="array" ref="O1193">INDEX(stable[is_numerical],MATCH(VALUE(questions[[#This Row],[qno]]),VALUE(stable[qno]),0))</f>
        <v>0</v>
      </c>
      <c r="P1193" s="77" t="b" cm="1">
        <f t="array" ref="P1193">INDEX(stable[is_single_select],MATCH(VALUE(questions[[#This Row],[qno]]),VALUE(stable[qno]),0))</f>
        <v>1</v>
      </c>
      <c r="Q1193" s="77" t="b" cm="1">
        <f t="array" ref="Q1193">INDEX(stable[is_multi_select],MATCH(VALUE(questions[[#This Row],[qno]]),VALUE(stable[qno]),0))</f>
        <v>0</v>
      </c>
      <c r="R1193" s="77" t="b" cm="1">
        <f t="array" ref="R1193">INDEX(stable[is_skip_logic],MATCH(VALUE(questions[[#This Row],[qno]]),VALUE(stable[qno]),0))</f>
        <v>1</v>
      </c>
      <c r="S1193" s="77" t="str">
        <f>_xlfn.TEXTJOIN(", ",TRUE,questions[[#This Row],[ans_opt_1]:[ans_opt_14]])</f>
        <v>Bought, From own farm, Received for free, Both from own farm &amp; bought/received from outside the farm</v>
      </c>
      <c r="T1193" s="77" t="s">
        <v>185</v>
      </c>
      <c r="U1193" s="77" t="s">
        <v>186</v>
      </c>
      <c r="V1193" s="77" t="s">
        <v>187</v>
      </c>
      <c r="W1193" s="77" t="s">
        <v>188</v>
      </c>
      <c r="AH1193" s="98" t="b">
        <f>INDEX(stable[q_standard],MATCH(questions[[#This Row],[qno]],stable[qno],0))</f>
        <v>0</v>
      </c>
      <c r="AI1193" s="98" t="b">
        <f>INDEX(stable[q_living_income],MATCH(questions[[#This Row],[qno]],stable[qno],0))</f>
        <v>1</v>
      </c>
      <c r="AJ1193" s="98" t="b">
        <f>INDEX(stable[q_carbon],MATCH(questions[[#This Row],[qno]],stable[qno],0))</f>
        <v>1</v>
      </c>
      <c r="AK1193" s="98" t="b">
        <f>INDEX(stable[q_regen_ag],MATCH(questions[[#This Row],[qno]],stable[qno],0))</f>
        <v>0</v>
      </c>
      <c r="AL1193" s="98" t="b">
        <f>COUNTIFS(stable[qno],questions[[#This Row],[qno]])=1</f>
        <v>1</v>
      </c>
      <c r="AM1193" s="98" t="b">
        <f>OR(questions[[#This Row],[is_fixed]],questions[[#This Row],[is_localized]],questions[[#This Row],[is_supply_chain_dependent]])</f>
        <v>1</v>
      </c>
      <c r="AN1193" s="98" t="b">
        <f>COUNTIFS(questions[[#This Row],[is_automated]:[is_multi_select]],TRUE)=1</f>
        <v>1</v>
      </c>
      <c r="AO1193" s="98" t="b">
        <f>IF(questions[[#This Row],[is_fixed]],questions[[#This Row],[question]]=INDEX(stable[question],MATCH(questions[[#This Row],[qno]],stable[qno],0)),TRUE)</f>
        <v>0</v>
      </c>
      <c r="AP1193" s="98" t="str">
        <f>LEFT(questions[[#This Row],[question]],similarity_range)</f>
        <v>How did you get this</v>
      </c>
      <c r="AQ1193" s="98" t="str">
        <f>LEFT(INDEX(stable[question],MATCH(questions[[#This Row],[qno]],stable[qno],0)),similarity_range)</f>
        <v>How did you get this</v>
      </c>
      <c r="AR1193" s="98" t="b">
        <f>questions[[#This Row],[question_first_characters]]=questions[[#This Row],[stability_first_characters]]</f>
        <v>1</v>
      </c>
      <c r="AS1193" s="98" t="b">
        <f>IF(OR(questions[[#This Row],[is_single_select]],questions[[#This Row],[is_multi_select]]),NOT(ISBLANK(questions[[#This Row],[answer_opt_combined]])),TRUE)</f>
        <v>1</v>
      </c>
    </row>
    <row r="1194" spans="1:45" s="77" customFormat="1" ht="15.75" customHeight="1" x14ac:dyDescent="0.25">
      <c r="A1194" s="77" t="str">
        <f>_xlfn.TEXTJOIN("_",TRUE,questions[[#This Row],[origin]:[qno]])</f>
        <v>Kenya_Arabica_Nestle_2025_5410</v>
      </c>
      <c r="B1194" s="77" t="s">
        <v>818</v>
      </c>
      <c r="C1194" s="77" t="s">
        <v>59</v>
      </c>
      <c r="D1194" s="77" t="s">
        <v>819</v>
      </c>
      <c r="E1194" s="77">
        <v>2025</v>
      </c>
      <c r="F1194" s="114" t="s">
        <v>189</v>
      </c>
      <c r="G1194" s="227" t="s">
        <v>982</v>
      </c>
      <c r="H1194" s="9" t="str" cm="1">
        <f t="array" ref="H1194">INDEX(stableR[question],MATCH(VALUE(questions[[#This Row],[qno]]),VALUE(stableR[qno]),0))</f>
        <v>What was the type of animal manure, compost, or organic fertilizer that you used second most last year?</v>
      </c>
      <c r="I1194" s="9" t="b" cm="1">
        <f t="array" ref="I1194">INDEX(stable[is_fixed],MATCH(VALUE(questions[[#This Row],[qno]]),VALUE(stable[qno]),0))</f>
        <v>1</v>
      </c>
      <c r="J1194" s="9" t="b" cm="1">
        <f t="array" ref="J1194">INDEX(stable[is_localized],MATCH(VALUE(questions[[#This Row],[qno]]),VALUE(stable[qno]),0))</f>
        <v>0</v>
      </c>
      <c r="K1194" s="9" t="b" cm="1">
        <f t="array" ref="K1194">INDEX(stable[is_supply_chain_dependent],MATCH(VALUE(questions[[#This Row],[qno]]),VALUE(stable[qno]),0))</f>
        <v>0</v>
      </c>
      <c r="L1194" s="9" t="b" cm="1">
        <f t="array" ref="L1194">INDEX(stable[is_mandatory],MATCH(VALUE(questions[[#This Row],[qno]]),VALUE(stable[qno]),0))</f>
        <v>0</v>
      </c>
      <c r="M1194" s="9" t="b" cm="1">
        <f t="array" ref="M1194">INDEX(stable[is_automated],MATCH(VALUE(questions[[#This Row],[qno]]),VALUE(stable[qno]),0))</f>
        <v>0</v>
      </c>
      <c r="N1194" s="9" t="b" cm="1">
        <f t="array" ref="N1194">INDEX(stable[is_free_text],MATCH(VALUE(questions[[#This Row],[qno]]),VALUE(stable[qno]),0))</f>
        <v>1</v>
      </c>
      <c r="O1194" s="9" t="b" cm="1">
        <f t="array" ref="O1194">INDEX(stable[is_numerical],MATCH(VALUE(questions[[#This Row],[qno]]),VALUE(stable[qno]),0))</f>
        <v>0</v>
      </c>
      <c r="P1194" s="100" t="b" cm="1">
        <f t="array" ref="P1194">INDEX(stable[is_single_select],MATCH(VALUE(questions[[#This Row],[qno]]),VALUE(stable[qno]),0))</f>
        <v>1</v>
      </c>
      <c r="Q1194" s="77" t="b" cm="1">
        <f t="array" ref="Q1194">INDEX(stable[is_multi_select],MATCH(VALUE(questions[[#This Row],[qno]]),VALUE(stable[qno]),0))</f>
        <v>0</v>
      </c>
      <c r="R1194" s="77" t="b" cm="1">
        <f t="array" ref="R1194">INDEX(stable[is_skip_logic],MATCH(VALUE(questions[[#This Row],[qno]]),VALUE(stable[qno]),0))</f>
        <v>1</v>
      </c>
      <c r="S1194" s="77" t="str">
        <f>_xlfn.TEXTJOIN(", ",TRUE,questions[[#This Row],[ans_opt_1]:[ans_opt_14]])</f>
        <v>"Coffee-related organic fertilizer" received from CWSs/Mills , Commercial organic fertilizer, Organic manure sheep, Organic manure poultry, Organic manure horse, Organic manure swine, Goat manure mixed with grass, Composted from rubbish, Organic manure cattle</v>
      </c>
      <c r="T1194" s="69" t="s">
        <v>971</v>
      </c>
      <c r="U1194" s="69" t="s">
        <v>972</v>
      </c>
      <c r="V1194" s="69" t="s">
        <v>973</v>
      </c>
      <c r="W1194" s="69" t="s">
        <v>974</v>
      </c>
      <c r="X1194" s="69" t="s">
        <v>975</v>
      </c>
      <c r="Y1194" s="69" t="s">
        <v>976</v>
      </c>
      <c r="Z1194" s="69" t="s">
        <v>977</v>
      </c>
      <c r="AA1194" s="69" t="s">
        <v>978</v>
      </c>
      <c r="AB1194" s="69" t="s">
        <v>979</v>
      </c>
      <c r="AH1194" s="98" t="b">
        <f>INDEX(stable[q_standard],MATCH(questions[[#This Row],[qno]],stable[qno],0))</f>
        <v>0</v>
      </c>
      <c r="AI1194" s="98" t="b">
        <f>INDEX(stable[q_living_income],MATCH(questions[[#This Row],[qno]],stable[qno],0))</f>
        <v>1</v>
      </c>
      <c r="AJ1194" s="98" t="b">
        <f>INDEX(stable[q_carbon],MATCH(questions[[#This Row],[qno]],stable[qno],0))</f>
        <v>1</v>
      </c>
      <c r="AK1194" s="98" t="b">
        <f>INDEX(stable[q_regen_ag],MATCH(questions[[#This Row],[qno]],stable[qno],0))</f>
        <v>0</v>
      </c>
      <c r="AL1194" s="98" t="b">
        <f>COUNTIFS(stable[qno],questions[[#This Row],[qno]])=1</f>
        <v>1</v>
      </c>
      <c r="AM1194" s="98" t="b">
        <f>OR(questions[[#This Row],[is_fixed]],questions[[#This Row],[is_localized]],questions[[#This Row],[is_supply_chain_dependent]])</f>
        <v>1</v>
      </c>
      <c r="AN1194" s="98" t="b">
        <f>COUNTIFS(questions[[#This Row],[is_automated]:[is_multi_select]],TRUE)=1</f>
        <v>0</v>
      </c>
      <c r="AO1194" s="98" t="b">
        <f>IF(questions[[#This Row],[is_fixed]],questions[[#This Row],[question]]=INDEX(stable[question],MATCH(questions[[#This Row],[qno]],stable[qno],0)),TRUE)</f>
        <v>0</v>
      </c>
      <c r="AP1194" s="98" t="str">
        <f>LEFT(questions[[#This Row],[question]],similarity_range)</f>
        <v>Was there a second t</v>
      </c>
      <c r="AQ1194" s="98" t="str">
        <f>LEFT(INDEX(stable[question],MATCH(questions[[#This Row],[qno]],stable[qno],0)),similarity_range)</f>
        <v>Was there a second t</v>
      </c>
      <c r="AR1194" s="98" t="b">
        <f>questions[[#This Row],[question_first_characters]]=questions[[#This Row],[stability_first_characters]]</f>
        <v>1</v>
      </c>
      <c r="AS1194" s="98" t="b">
        <f>IF(OR(questions[[#This Row],[is_single_select]],questions[[#This Row],[is_multi_select]]),NOT(ISBLANK(questions[[#This Row],[answer_opt_combined]])),TRUE)</f>
        <v>1</v>
      </c>
    </row>
    <row r="1195" spans="1:45" ht="15.75" customHeight="1" x14ac:dyDescent="0.25">
      <c r="A1195" s="9" t="str">
        <f>_xlfn.TEXTJOIN("_",TRUE,questions[[#This Row],[origin]:[qno]])</f>
        <v>Kenya_Arabica_Nestle_2025_5411</v>
      </c>
      <c r="B1195" s="33" t="s">
        <v>818</v>
      </c>
      <c r="C1195" s="33" t="s">
        <v>59</v>
      </c>
      <c r="D1195" s="33" t="s">
        <v>819</v>
      </c>
      <c r="E1195" s="33">
        <v>2025</v>
      </c>
      <c r="F1195" s="43" t="s">
        <v>191</v>
      </c>
      <c r="G1195" s="18" t="s">
        <v>983</v>
      </c>
      <c r="H1195" s="9" t="str" cm="1">
        <f t="array" ref="H1195">INDEX(stableR[question],MATCH(VALUE(questions[[#This Row],[qno]]),VALUE(stableR[qno]),0))</f>
        <v>What was the total quantity of this type of animal manure/compost/organic fertilizer that you used second most? (Kg)</v>
      </c>
      <c r="I1195" s="9" t="b" cm="1">
        <f t="array" ref="I1195">INDEX(stable[is_fixed],MATCH(VALUE(questions[[#This Row],[qno]]),VALUE(stable[qno]),0))</f>
        <v>1</v>
      </c>
      <c r="J1195" s="9" t="b" cm="1">
        <f t="array" ref="J1195">INDEX(stable[is_localized],MATCH(VALUE(questions[[#This Row],[qno]]),VALUE(stable[qno]),0))</f>
        <v>0</v>
      </c>
      <c r="K1195" s="9" t="b" cm="1">
        <f t="array" ref="K1195">INDEX(stable[is_supply_chain_dependent],MATCH(VALUE(questions[[#This Row],[qno]]),VALUE(stable[qno]),0))</f>
        <v>0</v>
      </c>
      <c r="L1195" s="9" t="b" cm="1">
        <f t="array" ref="L1195">INDEX(stable[is_mandatory],MATCH(VALUE(questions[[#This Row],[qno]]),VALUE(stable[qno]),0))</f>
        <v>0</v>
      </c>
      <c r="M1195" s="9" t="b" cm="1">
        <f t="array" ref="M1195">INDEX(stable[is_automated],MATCH(VALUE(questions[[#This Row],[qno]]),VALUE(stable[qno]),0))</f>
        <v>0</v>
      </c>
      <c r="N1195" s="9" t="b" cm="1">
        <f t="array" ref="N1195">INDEX(stable[is_free_text],MATCH(VALUE(questions[[#This Row],[qno]]),VALUE(stable[qno]),0))</f>
        <v>0</v>
      </c>
      <c r="O1195" s="9" t="b" cm="1">
        <f t="array" ref="O1195">INDEX(stable[is_numerical],MATCH(VALUE(questions[[#This Row],[qno]]),VALUE(stable[qno]),0))</f>
        <v>1</v>
      </c>
      <c r="P1195" s="9" t="b" cm="1">
        <f t="array" ref="P1195">INDEX(stable[is_single_select],MATCH(VALUE(questions[[#This Row],[qno]]),VALUE(stable[qno]),0))</f>
        <v>0</v>
      </c>
      <c r="Q1195" s="9" t="b" cm="1">
        <f t="array" ref="Q1195">INDEX(stable[is_multi_select],MATCH(VALUE(questions[[#This Row],[qno]]),VALUE(stable[qno]),0))</f>
        <v>0</v>
      </c>
      <c r="R1195" s="9" t="b" cm="1">
        <f t="array" ref="R1195">INDEX(stable[is_skip_logic],MATCH(VALUE(questions[[#This Row],[qno]]),VALUE(stable[qno]),0))</f>
        <v>1</v>
      </c>
      <c r="S1195" s="9" t="str">
        <f>_xlfn.TEXTJOIN(", ",TRUE,questions[[#This Row],[ans_opt_1]:[ans_opt_14]])</f>
        <v/>
      </c>
      <c r="T1195" s="33"/>
      <c r="U1195" s="33"/>
      <c r="V1195" s="33"/>
      <c r="W1195" s="33"/>
      <c r="X1195" s="33"/>
      <c r="Y1195" s="33"/>
      <c r="Z1195" s="33"/>
      <c r="AA1195" s="33"/>
      <c r="AB1195" s="33"/>
      <c r="AC1195" s="33"/>
      <c r="AD1195" s="33"/>
      <c r="AE1195" s="33"/>
      <c r="AF1195" s="33"/>
      <c r="AG1195" s="33"/>
      <c r="AH1195" s="99" t="b">
        <f>INDEX(stable[q_standard],MATCH(questions[[#This Row],[qno]],stable[qno],0))</f>
        <v>0</v>
      </c>
      <c r="AI1195" s="99" t="b">
        <f>INDEX(stable[q_living_income],MATCH(questions[[#This Row],[qno]],stable[qno],0))</f>
        <v>1</v>
      </c>
      <c r="AJ1195" s="99" t="b">
        <f>INDEX(stable[q_carbon],MATCH(questions[[#This Row],[qno]],stable[qno],0))</f>
        <v>1</v>
      </c>
      <c r="AK1195" s="99" t="b">
        <f>INDEX(stable[q_regen_ag],MATCH(questions[[#This Row],[qno]],stable[qno],0))</f>
        <v>0</v>
      </c>
      <c r="AL1195" s="16" t="b">
        <f>COUNTIFS(stable[qno],questions[[#This Row],[qno]])=1</f>
        <v>1</v>
      </c>
      <c r="AM1195" s="16" t="b">
        <f>OR(questions[[#This Row],[is_fixed]],questions[[#This Row],[is_localized]],questions[[#This Row],[is_supply_chain_dependent]])</f>
        <v>1</v>
      </c>
      <c r="AN1195" s="16" t="b">
        <f>COUNTIFS(questions[[#This Row],[is_automated]:[is_multi_select]],TRUE)=1</f>
        <v>1</v>
      </c>
      <c r="AO1195" s="16" t="b">
        <f>IF(questions[[#This Row],[is_fixed]],questions[[#This Row],[question]]=INDEX(stable[question],MATCH(questions[[#This Row],[qno]],stable[qno],0)),TRUE)</f>
        <v>0</v>
      </c>
      <c r="AP1195" s="16" t="str">
        <f>LEFT(questions[[#This Row],[question]],similarity_range)</f>
        <v>What was the total q</v>
      </c>
      <c r="AQ1195" s="16" t="str">
        <f>LEFT(INDEX(stable[question],MATCH(questions[[#This Row],[qno]],stable[qno],0)),similarity_range)</f>
        <v>What was the total q</v>
      </c>
      <c r="AR1195" s="16" t="b">
        <f>questions[[#This Row],[question_first_characters]]=questions[[#This Row],[stability_first_characters]]</f>
        <v>1</v>
      </c>
      <c r="AS1195" s="16" t="b">
        <f>IF(OR(questions[[#This Row],[is_single_select]],questions[[#This Row],[is_multi_select]]),NOT(ISBLANK(questions[[#This Row],[answer_opt_combined]])),TRUE)</f>
        <v>1</v>
      </c>
    </row>
    <row r="1196" spans="1:45" ht="15.75" customHeight="1" x14ac:dyDescent="0.25">
      <c r="A1196" s="9" t="str">
        <f>_xlfn.TEXTJOIN("_",TRUE,questions[[#This Row],[origin]:[qno]])</f>
        <v>Kenya_Arabica_Nestle_2025_5412</v>
      </c>
      <c r="B1196" s="33" t="s">
        <v>818</v>
      </c>
      <c r="C1196" s="33" t="s">
        <v>59</v>
      </c>
      <c r="D1196" s="33" t="s">
        <v>819</v>
      </c>
      <c r="E1196" s="33">
        <v>2025</v>
      </c>
      <c r="F1196" s="41" t="s">
        <v>193</v>
      </c>
      <c r="G1196" s="64" t="s">
        <v>984</v>
      </c>
      <c r="H1196" s="9" t="str" cm="1">
        <f t="array" ref="H1196">INDEX(stableR[question],MATCH(VALUE(questions[[#This Row],[qno]]),VALUE(stableR[qno]),0))</f>
        <v>What was the unit of this type of animal manure/compost/organic fertilizer that you used second most (kg, basins, 50 kg bags, wheel barrows, small truck/tipper, large truck)?</v>
      </c>
      <c r="I1196" s="9" t="b" cm="1">
        <f t="array" ref="I1196">INDEX(stable[is_fixed],MATCH(VALUE(questions[[#This Row],[qno]]),VALUE(stable[qno]),0))</f>
        <v>1</v>
      </c>
      <c r="J1196" s="9" t="b" cm="1">
        <f t="array" ref="J1196">INDEX(stable[is_localized],MATCH(VALUE(questions[[#This Row],[qno]]),VALUE(stable[qno]),0))</f>
        <v>0</v>
      </c>
      <c r="K1196" s="9" t="b" cm="1">
        <f t="array" ref="K1196">INDEX(stable[is_supply_chain_dependent],MATCH(VALUE(questions[[#This Row],[qno]]),VALUE(stable[qno]),0))</f>
        <v>0</v>
      </c>
      <c r="L1196" s="9" t="b" cm="1">
        <f t="array" ref="L1196">INDEX(stable[is_mandatory],MATCH(VALUE(questions[[#This Row],[qno]]),VALUE(stable[qno]),0))</f>
        <v>0</v>
      </c>
      <c r="M1196" s="9" t="b" cm="1">
        <f t="array" ref="M1196">INDEX(stable[is_automated],MATCH(VALUE(questions[[#This Row],[qno]]),VALUE(stable[qno]),0))</f>
        <v>0</v>
      </c>
      <c r="N1196" s="9" t="b" cm="1">
        <f t="array" ref="N1196">INDEX(stable[is_free_text],MATCH(VALUE(questions[[#This Row],[qno]]),VALUE(stable[qno]),0))</f>
        <v>1</v>
      </c>
      <c r="O1196" s="9" t="b" cm="1">
        <f t="array" ref="O1196">INDEX(stable[is_numerical],MATCH(VALUE(questions[[#This Row],[qno]]),VALUE(stable[qno]),0))</f>
        <v>0</v>
      </c>
      <c r="P1196" s="9" t="b" cm="1">
        <f t="array" ref="P1196">INDEX(stable[is_single_select],MATCH(VALUE(questions[[#This Row],[qno]]),VALUE(stable[qno]),0))</f>
        <v>0</v>
      </c>
      <c r="Q1196" s="9" t="b" cm="1">
        <f t="array" ref="Q1196">INDEX(stable[is_multi_select],MATCH(VALUE(questions[[#This Row],[qno]]),VALUE(stable[qno]),0))</f>
        <v>0</v>
      </c>
      <c r="R1196" s="9" t="b" cm="1">
        <f t="array" ref="R1196">INDEX(stable[is_skip_logic],MATCH(VALUE(questions[[#This Row],[qno]]),VALUE(stable[qno]),0))</f>
        <v>1</v>
      </c>
      <c r="S1196" s="9" t="str">
        <f>_xlfn.TEXTJOIN(", ",TRUE,questions[[#This Row],[ans_opt_1]:[ans_opt_14]])</f>
        <v>kg</v>
      </c>
      <c r="T1196" s="33" t="s">
        <v>562</v>
      </c>
      <c r="U1196" s="33"/>
      <c r="V1196" s="33"/>
      <c r="W1196" s="33"/>
      <c r="X1196" s="33"/>
      <c r="Y1196" s="33"/>
      <c r="Z1196" s="33"/>
      <c r="AA1196" s="33"/>
      <c r="AB1196" s="33"/>
      <c r="AC1196" s="33"/>
      <c r="AD1196" s="33"/>
      <c r="AE1196" s="33"/>
      <c r="AF1196" s="33"/>
      <c r="AG1196" s="33"/>
      <c r="AH1196" s="99" t="b">
        <f>INDEX(stable[q_standard],MATCH(questions[[#This Row],[qno]],stable[qno],0))</f>
        <v>0</v>
      </c>
      <c r="AI1196" s="99" t="b">
        <f>INDEX(stable[q_living_income],MATCH(questions[[#This Row],[qno]],stable[qno],0))</f>
        <v>1</v>
      </c>
      <c r="AJ1196" s="99" t="b">
        <f>INDEX(stable[q_carbon],MATCH(questions[[#This Row],[qno]],stable[qno],0))</f>
        <v>1</v>
      </c>
      <c r="AK1196" s="99" t="b">
        <f>INDEX(stable[q_regen_ag],MATCH(questions[[#This Row],[qno]],stable[qno],0))</f>
        <v>0</v>
      </c>
      <c r="AL1196" s="16" t="b">
        <f>COUNTIFS(stable[qno],questions[[#This Row],[qno]])=1</f>
        <v>1</v>
      </c>
      <c r="AM1196" s="16" t="b">
        <f>OR(questions[[#This Row],[is_fixed]],questions[[#This Row],[is_localized]],questions[[#This Row],[is_supply_chain_dependent]])</f>
        <v>1</v>
      </c>
      <c r="AN1196" s="16" t="b">
        <f>COUNTIFS(questions[[#This Row],[is_automated]:[is_multi_select]],TRUE)=1</f>
        <v>1</v>
      </c>
      <c r="AO1196" s="16" t="b">
        <f>IF(questions[[#This Row],[is_fixed]],questions[[#This Row],[question]]=INDEX(stable[question],MATCH(questions[[#This Row],[qno]],stable[qno],0)),TRUE)</f>
        <v>0</v>
      </c>
      <c r="AP1196" s="16" t="str">
        <f>LEFT(questions[[#This Row],[question]],similarity_range)</f>
        <v>Please ensure that t</v>
      </c>
      <c r="AQ1196" s="16" t="str">
        <f>LEFT(INDEX(stable[question],MATCH(questions[[#This Row],[qno]],stable[qno],0)),similarity_range)</f>
        <v>What was the unit of</v>
      </c>
      <c r="AR1196" s="16" t="b">
        <f>questions[[#This Row],[question_first_characters]]=questions[[#This Row],[stability_first_characters]]</f>
        <v>0</v>
      </c>
      <c r="AS1196" s="16" t="b">
        <f>IF(OR(questions[[#This Row],[is_single_select]],questions[[#This Row],[is_multi_select]]),NOT(ISBLANK(questions[[#This Row],[answer_opt_combined]])),TRUE)</f>
        <v>1</v>
      </c>
    </row>
    <row r="1197" spans="1:45" s="77" customFormat="1" ht="15.75" customHeight="1" x14ac:dyDescent="0.25">
      <c r="A1197" s="77" t="str">
        <f>_xlfn.TEXTJOIN("_",TRUE,questions[[#This Row],[origin]:[qno]])</f>
        <v>Kenya_Arabica_Nestle_2025_5413</v>
      </c>
      <c r="B1197" s="77" t="s">
        <v>818</v>
      </c>
      <c r="C1197" s="77" t="s">
        <v>59</v>
      </c>
      <c r="D1197" s="77" t="s">
        <v>819</v>
      </c>
      <c r="E1197" s="77">
        <v>2025</v>
      </c>
      <c r="F1197" s="105" t="s">
        <v>195</v>
      </c>
      <c r="G1197" s="108" t="s">
        <v>761</v>
      </c>
      <c r="H1197" s="9" t="str" cm="1">
        <f t="array" ref="H1197">INDEX(stableR[question],MATCH(VALUE(questions[[#This Row],[qno]]),VALUE(stableR[qno]),0))</f>
        <v>How did you get this manure/compost/organic fertilizer that you used second most?</v>
      </c>
      <c r="I1197" s="9" t="b" cm="1">
        <f t="array" ref="I1197">INDEX(stable[is_fixed],MATCH(VALUE(questions[[#This Row],[qno]]),VALUE(stable[qno]),0))</f>
        <v>1</v>
      </c>
      <c r="J1197" s="9" t="b" cm="1">
        <f t="array" ref="J1197">INDEX(stable[is_localized],MATCH(VALUE(questions[[#This Row],[qno]]),VALUE(stable[qno]),0))</f>
        <v>0</v>
      </c>
      <c r="K1197" s="9" t="b" cm="1">
        <f t="array" ref="K1197">INDEX(stable[is_supply_chain_dependent],MATCH(VALUE(questions[[#This Row],[qno]]),VALUE(stable[qno]),0))</f>
        <v>0</v>
      </c>
      <c r="L1197" s="9" t="b" cm="1">
        <f t="array" ref="L1197">INDEX(stable[is_mandatory],MATCH(VALUE(questions[[#This Row],[qno]]),VALUE(stable[qno]),0))</f>
        <v>0</v>
      </c>
      <c r="M1197" s="9" t="b" cm="1">
        <f t="array" ref="M1197">INDEX(stable[is_automated],MATCH(VALUE(questions[[#This Row],[qno]]),VALUE(stable[qno]),0))</f>
        <v>0</v>
      </c>
      <c r="N1197" s="9" t="b" cm="1">
        <f t="array" ref="N1197">INDEX(stable[is_free_text],MATCH(VALUE(questions[[#This Row],[qno]]),VALUE(stable[qno]),0))</f>
        <v>0</v>
      </c>
      <c r="O1197" s="9" t="b" cm="1">
        <f t="array" ref="O1197">INDEX(stable[is_numerical],MATCH(VALUE(questions[[#This Row],[qno]]),VALUE(stable[qno]),0))</f>
        <v>0</v>
      </c>
      <c r="P1197" s="77" t="b" cm="1">
        <f t="array" ref="P1197">INDEX(stable[is_single_select],MATCH(VALUE(questions[[#This Row],[qno]]),VALUE(stable[qno]),0))</f>
        <v>1</v>
      </c>
      <c r="Q1197" s="77" t="b" cm="1">
        <f t="array" ref="Q1197">INDEX(stable[is_multi_select],MATCH(VALUE(questions[[#This Row],[qno]]),VALUE(stable[qno]),0))</f>
        <v>0</v>
      </c>
      <c r="R1197" s="77" t="b" cm="1">
        <f t="array" ref="R1197">INDEX(stable[is_skip_logic],MATCH(VALUE(questions[[#This Row],[qno]]),VALUE(stable[qno]),0))</f>
        <v>1</v>
      </c>
      <c r="S1197" s="77" t="str">
        <f>_xlfn.TEXTJOIN(", ",TRUE,questions[[#This Row],[ans_opt_1]:[ans_opt_14]])</f>
        <v>Bought, From own farm, Received for free, Both from own farm &amp; bought/received from outside the farm</v>
      </c>
      <c r="T1197" s="77" t="s">
        <v>185</v>
      </c>
      <c r="U1197" s="77" t="s">
        <v>186</v>
      </c>
      <c r="V1197" s="77" t="s">
        <v>187</v>
      </c>
      <c r="W1197" s="77" t="s">
        <v>188</v>
      </c>
      <c r="AH1197" s="98" t="b">
        <f>INDEX(stable[q_standard],MATCH(questions[[#This Row],[qno]],stable[qno],0))</f>
        <v>0</v>
      </c>
      <c r="AI1197" s="98" t="b">
        <f>INDEX(stable[q_living_income],MATCH(questions[[#This Row],[qno]],stable[qno],0))</f>
        <v>1</v>
      </c>
      <c r="AJ1197" s="98" t="b">
        <f>INDEX(stable[q_carbon],MATCH(questions[[#This Row],[qno]],stable[qno],0))</f>
        <v>1</v>
      </c>
      <c r="AK1197" s="98" t="b">
        <f>INDEX(stable[q_regen_ag],MATCH(questions[[#This Row],[qno]],stable[qno],0))</f>
        <v>0</v>
      </c>
      <c r="AL1197" s="98" t="b">
        <f>COUNTIFS(stable[qno],questions[[#This Row],[qno]])=1</f>
        <v>1</v>
      </c>
      <c r="AM1197" s="98" t="b">
        <f>OR(questions[[#This Row],[is_fixed]],questions[[#This Row],[is_localized]],questions[[#This Row],[is_supply_chain_dependent]])</f>
        <v>1</v>
      </c>
      <c r="AN1197" s="98" t="b">
        <f>COUNTIFS(questions[[#This Row],[is_automated]:[is_multi_select]],TRUE)=1</f>
        <v>1</v>
      </c>
      <c r="AO1197" s="98" t="b">
        <f>IF(questions[[#This Row],[is_fixed]],questions[[#This Row],[question]]=INDEX(stable[question],MATCH(questions[[#This Row],[qno]],stable[qno],0)),TRUE)</f>
        <v>0</v>
      </c>
      <c r="AP1197" s="98" t="str">
        <f>LEFT(questions[[#This Row],[question]],similarity_range)</f>
        <v>How did you get this</v>
      </c>
      <c r="AQ1197" s="98" t="str">
        <f>LEFT(INDEX(stable[question],MATCH(questions[[#This Row],[qno]],stable[qno],0)),similarity_range)</f>
        <v>How did you get this</v>
      </c>
      <c r="AR1197" s="98" t="b">
        <f>questions[[#This Row],[question_first_characters]]=questions[[#This Row],[stability_first_characters]]</f>
        <v>1</v>
      </c>
      <c r="AS1197" s="98" t="b">
        <f>IF(OR(questions[[#This Row],[is_single_select]],questions[[#This Row],[is_multi_select]]),NOT(ISBLANK(questions[[#This Row],[answer_opt_combined]])),TRUE)</f>
        <v>1</v>
      </c>
    </row>
    <row r="1198" spans="1:45" s="77" customFormat="1" ht="15.75" customHeight="1" x14ac:dyDescent="0.25">
      <c r="A1198" s="77" t="str">
        <f>_xlfn.TEXTJOIN("_",TRUE,questions[[#This Row],[origin]:[qno]])</f>
        <v>Kenya_Arabica_Nestle_2025_5500</v>
      </c>
      <c r="B1198" s="77" t="s">
        <v>818</v>
      </c>
      <c r="C1198" s="77" t="s">
        <v>59</v>
      </c>
      <c r="D1198" s="77" t="s">
        <v>819</v>
      </c>
      <c r="E1198" s="77">
        <v>2025</v>
      </c>
      <c r="F1198" s="105" t="s">
        <v>197</v>
      </c>
      <c r="G1198" s="78" t="s">
        <v>985</v>
      </c>
      <c r="H1198" s="9" t="str" cm="1">
        <f t="array" ref="H1198">INDEX(stableR[question],MATCH(VALUE(questions[[#This Row],[qno]]),VALUE(stableR[qno]),0))</f>
        <v>Did you apply any type of mulch on your coffee last year?</v>
      </c>
      <c r="I1198" s="9" t="b" cm="1">
        <f t="array" ref="I1198">INDEX(stable[is_fixed],MATCH(VALUE(questions[[#This Row],[qno]]),VALUE(stable[qno]),0))</f>
        <v>1</v>
      </c>
      <c r="J1198" s="9" t="b" cm="1">
        <f t="array" ref="J1198">INDEX(stable[is_localized],MATCH(VALUE(questions[[#This Row],[qno]]),VALUE(stable[qno]),0))</f>
        <v>0</v>
      </c>
      <c r="K1198" s="9" t="b" cm="1">
        <f t="array" ref="K1198">INDEX(stable[is_supply_chain_dependent],MATCH(VALUE(questions[[#This Row],[qno]]),VALUE(stable[qno]),0))</f>
        <v>0</v>
      </c>
      <c r="L1198" s="9" t="b" cm="1">
        <f t="array" ref="L1198">INDEX(stable[is_mandatory],MATCH(VALUE(questions[[#This Row],[qno]]),VALUE(stable[qno]),0))</f>
        <v>1</v>
      </c>
      <c r="M1198" s="9" t="b" cm="1">
        <f t="array" ref="M1198">INDEX(stable[is_automated],MATCH(VALUE(questions[[#This Row],[qno]]),VALUE(stable[qno]),0))</f>
        <v>0</v>
      </c>
      <c r="N1198" s="9" t="b" cm="1">
        <f t="array" ref="N1198">INDEX(stable[is_free_text],MATCH(VALUE(questions[[#This Row],[qno]]),VALUE(stable[qno]),0))</f>
        <v>0</v>
      </c>
      <c r="O1198" s="9" t="b" cm="1">
        <f t="array" ref="O1198">INDEX(stable[is_numerical],MATCH(VALUE(questions[[#This Row],[qno]]),VALUE(stable[qno]),0))</f>
        <v>0</v>
      </c>
      <c r="P1198" s="77" t="b" cm="1">
        <f t="array" ref="P1198">INDEX(stable[is_single_select],MATCH(VALUE(questions[[#This Row],[qno]]),VALUE(stable[qno]),0))</f>
        <v>1</v>
      </c>
      <c r="Q1198" s="77" t="b" cm="1">
        <f t="array" ref="Q1198">INDEX(stable[is_multi_select],MATCH(VALUE(questions[[#This Row],[qno]]),VALUE(stable[qno]),0))</f>
        <v>0</v>
      </c>
      <c r="R1198" s="77" t="b" cm="1">
        <f t="array" ref="R1198">INDEX(stable[is_skip_logic],MATCH(VALUE(questions[[#This Row],[qno]]),VALUE(stable[qno]),0))</f>
        <v>1</v>
      </c>
      <c r="S1198" s="77" t="str">
        <f>_xlfn.TEXTJOIN(", ",TRUE,questions[[#This Row],[ans_opt_1]:[ans_opt_14]])</f>
        <v>Yes, No</v>
      </c>
      <c r="T1198" s="77" t="s">
        <v>149</v>
      </c>
      <c r="U1198" s="77" t="s">
        <v>119</v>
      </c>
      <c r="AH1198" s="98" t="b">
        <f>INDEX(stable[q_standard],MATCH(questions[[#This Row],[qno]],stable[qno],0))</f>
        <v>0</v>
      </c>
      <c r="AI1198" s="98" t="b">
        <f>INDEX(stable[q_living_income],MATCH(questions[[#This Row],[qno]],stable[qno],0))</f>
        <v>1</v>
      </c>
      <c r="AJ1198" s="98" t="b">
        <f>INDEX(stable[q_carbon],MATCH(questions[[#This Row],[qno]],stable[qno],0))</f>
        <v>1</v>
      </c>
      <c r="AK1198" s="98" t="b">
        <f>INDEX(stable[q_regen_ag],MATCH(questions[[#This Row],[qno]],stable[qno],0))</f>
        <v>0</v>
      </c>
      <c r="AL1198" s="98" t="b">
        <f>COUNTIFS(stable[qno],questions[[#This Row],[qno]])=1</f>
        <v>1</v>
      </c>
      <c r="AM1198" s="98" t="b">
        <f>OR(questions[[#This Row],[is_fixed]],questions[[#This Row],[is_localized]],questions[[#This Row],[is_supply_chain_dependent]])</f>
        <v>1</v>
      </c>
      <c r="AN1198" s="98" t="b">
        <f>COUNTIFS(questions[[#This Row],[is_automated]:[is_multi_select]],TRUE)=1</f>
        <v>1</v>
      </c>
      <c r="AO1198" s="98" t="b">
        <f>IF(questions[[#This Row],[is_fixed]],questions[[#This Row],[question]]=INDEX(stable[question],MATCH(questions[[#This Row],[qno]],stable[qno],0)),TRUE)</f>
        <v>1</v>
      </c>
      <c r="AP1198" s="98" t="str">
        <f>LEFT(questions[[#This Row],[question]],similarity_range)</f>
        <v>Did you apply any ty</v>
      </c>
      <c r="AQ1198" s="98" t="str">
        <f>LEFT(INDEX(stable[question],MATCH(questions[[#This Row],[qno]],stable[qno],0)),similarity_range)</f>
        <v>Did you apply any ty</v>
      </c>
      <c r="AR1198" s="98" t="b">
        <f>questions[[#This Row],[question_first_characters]]=questions[[#This Row],[stability_first_characters]]</f>
        <v>1</v>
      </c>
      <c r="AS1198" s="98" t="b">
        <f>IF(OR(questions[[#This Row],[is_single_select]],questions[[#This Row],[is_multi_select]]),NOT(ISBLANK(questions[[#This Row],[answer_opt_combined]])),TRUE)</f>
        <v>1</v>
      </c>
    </row>
    <row r="1199" spans="1:45" s="77" customFormat="1" ht="15.75" customHeight="1" x14ac:dyDescent="0.25">
      <c r="A1199" s="77" t="str">
        <f>_xlfn.TEXTJOIN("_",TRUE,questions[[#This Row],[origin]:[qno]])</f>
        <v>Kenya_Arabica_Nestle_2025_5501</v>
      </c>
      <c r="B1199" s="77" t="s">
        <v>818</v>
      </c>
      <c r="C1199" s="77" t="s">
        <v>59</v>
      </c>
      <c r="D1199" s="77" t="s">
        <v>819</v>
      </c>
      <c r="E1199" s="77">
        <v>2025</v>
      </c>
      <c r="F1199" s="105" t="s">
        <v>199</v>
      </c>
      <c r="G1199" s="78" t="s">
        <v>200</v>
      </c>
      <c r="H1199" s="9" t="str" cm="1">
        <f t="array" ref="H1199">INDEX(stableR[question],MATCH(VALUE(questions[[#This Row],[qno]]),VALUE(stableR[qno]),0))</f>
        <v>What type of mulch?</v>
      </c>
      <c r="I1199" s="9" t="b" cm="1">
        <f t="array" ref="I1199">INDEX(stable[is_fixed],MATCH(VALUE(questions[[#This Row],[qno]]),VALUE(stable[qno]),0))</f>
        <v>1</v>
      </c>
      <c r="J1199" s="9" t="b" cm="1">
        <f t="array" ref="J1199">INDEX(stable[is_localized],MATCH(VALUE(questions[[#This Row],[qno]]),VALUE(stable[qno]),0))</f>
        <v>0</v>
      </c>
      <c r="K1199" s="9" t="b" cm="1">
        <f t="array" ref="K1199">INDEX(stable[is_supply_chain_dependent],MATCH(VALUE(questions[[#This Row],[qno]]),VALUE(stable[qno]),0))</f>
        <v>0</v>
      </c>
      <c r="L1199" s="9" t="b" cm="1">
        <f t="array" ref="L1199">INDEX(stable[is_mandatory],MATCH(VALUE(questions[[#This Row],[qno]]),VALUE(stable[qno]),0))</f>
        <v>0</v>
      </c>
      <c r="M1199" s="9" t="b" cm="1">
        <f t="array" ref="M1199">INDEX(stable[is_automated],MATCH(VALUE(questions[[#This Row],[qno]]),VALUE(stable[qno]),0))</f>
        <v>0</v>
      </c>
      <c r="N1199" s="9" t="b" cm="1">
        <f t="array" ref="N1199">INDEX(stable[is_free_text],MATCH(VALUE(questions[[#This Row],[qno]]),VALUE(stable[qno]),0))</f>
        <v>0</v>
      </c>
      <c r="O1199" s="9" t="b" cm="1">
        <f t="array" ref="O1199">INDEX(stable[is_numerical],MATCH(VALUE(questions[[#This Row],[qno]]),VALUE(stable[qno]),0))</f>
        <v>0</v>
      </c>
      <c r="P1199" s="77" t="b" cm="1">
        <f t="array" ref="P1199">INDEX(stable[is_single_select],MATCH(VALUE(questions[[#This Row],[qno]]),VALUE(stable[qno]),0))</f>
        <v>0</v>
      </c>
      <c r="Q1199" s="77" t="b" cm="1">
        <f t="array" ref="Q1199">INDEX(stable[is_multi_select],MATCH(VALUE(questions[[#This Row],[qno]]),VALUE(stable[qno]),0))</f>
        <v>1</v>
      </c>
      <c r="R1199" s="77" t="b" cm="1">
        <f t="array" ref="R1199">INDEX(stable[is_skip_logic],MATCH(VALUE(questions[[#This Row],[qno]]),VALUE(stable[qno]),0))</f>
        <v>1</v>
      </c>
      <c r="S1199" s="77" t="str">
        <f>_xlfn.TEXTJOIN(", ",TRUE,questions[[#This Row],[ans_opt_1]:[ans_opt_14]])</f>
        <v>Crop residues (e.g., maize stalks, bean husks), Tree leaves and branches (e.g., pruned branches, dry leaves, twigs), Grasses (e.g., Napier grass, lawn clippings)</v>
      </c>
      <c r="T1199" s="77" t="s">
        <v>986</v>
      </c>
      <c r="U1199" s="77" t="s">
        <v>987</v>
      </c>
      <c r="V1199" s="77" t="s">
        <v>988</v>
      </c>
      <c r="AH1199" s="98" t="b">
        <f>INDEX(stable[q_standard],MATCH(questions[[#This Row],[qno]],stable[qno],0))</f>
        <v>0</v>
      </c>
      <c r="AI1199" s="98" t="b">
        <f>INDEX(stable[q_living_income],MATCH(questions[[#This Row],[qno]],stable[qno],0))</f>
        <v>1</v>
      </c>
      <c r="AJ1199" s="98" t="b">
        <f>INDEX(stable[q_carbon],MATCH(questions[[#This Row],[qno]],stable[qno],0))</f>
        <v>1</v>
      </c>
      <c r="AK1199" s="98" t="b">
        <f>INDEX(stable[q_regen_ag],MATCH(questions[[#This Row],[qno]],stable[qno],0))</f>
        <v>0</v>
      </c>
      <c r="AL1199" s="98" t="b">
        <f>COUNTIFS(stable[qno],questions[[#This Row],[qno]])=1</f>
        <v>1</v>
      </c>
      <c r="AM1199" s="98" t="b">
        <f>OR(questions[[#This Row],[is_fixed]],questions[[#This Row],[is_localized]],questions[[#This Row],[is_supply_chain_dependent]])</f>
        <v>1</v>
      </c>
      <c r="AN1199" s="98" t="b">
        <f>COUNTIFS(questions[[#This Row],[is_automated]:[is_multi_select]],TRUE)=1</f>
        <v>1</v>
      </c>
      <c r="AO1199" s="98" t="b">
        <f>IF(questions[[#This Row],[is_fixed]],questions[[#This Row],[question]]=INDEX(stable[question],MATCH(questions[[#This Row],[qno]],stable[qno],0)),TRUE)</f>
        <v>1</v>
      </c>
      <c r="AP1199" s="98" t="str">
        <f>LEFT(questions[[#This Row],[question]],similarity_range)</f>
        <v xml:space="preserve">What type of mulch? </v>
      </c>
      <c r="AQ1199" s="98" t="str">
        <f>LEFT(INDEX(stable[question],MATCH(questions[[#This Row],[qno]],stable[qno],0)),similarity_range)</f>
        <v xml:space="preserve">What type of mulch? </v>
      </c>
      <c r="AR1199" s="98" t="b">
        <f>questions[[#This Row],[question_first_characters]]=questions[[#This Row],[stability_first_characters]]</f>
        <v>1</v>
      </c>
      <c r="AS1199" s="98" t="b">
        <f>IF(OR(questions[[#This Row],[is_single_select]],questions[[#This Row],[is_multi_select]]),NOT(ISBLANK(questions[[#This Row],[answer_opt_combined]])),TRUE)</f>
        <v>1</v>
      </c>
    </row>
    <row r="1200" spans="1:45" ht="15.75" customHeight="1" x14ac:dyDescent="0.25">
      <c r="A1200" s="9" t="str">
        <f>_xlfn.TEXTJOIN("_",TRUE,questions[[#This Row],[origin]:[qno]])</f>
        <v>Kenya_Arabica_Nestle_2025_5502</v>
      </c>
      <c r="B1200" s="33" t="s">
        <v>818</v>
      </c>
      <c r="C1200" s="33" t="s">
        <v>59</v>
      </c>
      <c r="D1200" s="33" t="s">
        <v>819</v>
      </c>
      <c r="E1200" s="33">
        <v>2025</v>
      </c>
      <c r="F1200" s="41" t="s">
        <v>201</v>
      </c>
      <c r="G1200" s="18" t="s">
        <v>929</v>
      </c>
      <c r="H1200" s="9" t="str" cm="1">
        <f t="array" ref="H1200">INDEX(stableR[question],MATCH(VALUE(questions[[#This Row],[qno]]),VALUE(stableR[qno]),0))</f>
        <v>What was the total quantity of mulch that you used? (Kg)</v>
      </c>
      <c r="I1200" s="9" t="b" cm="1">
        <f t="array" ref="I1200">INDEX(stable[is_fixed],MATCH(VALUE(questions[[#This Row],[qno]]),VALUE(stable[qno]),0))</f>
        <v>1</v>
      </c>
      <c r="J1200" s="9" t="b" cm="1">
        <f t="array" ref="J1200">INDEX(stable[is_localized],MATCH(VALUE(questions[[#This Row],[qno]]),VALUE(stable[qno]),0))</f>
        <v>0</v>
      </c>
      <c r="K1200" s="9" t="b" cm="1">
        <f t="array" ref="K1200">INDEX(stable[is_supply_chain_dependent],MATCH(VALUE(questions[[#This Row],[qno]]),VALUE(stable[qno]),0))</f>
        <v>0</v>
      </c>
      <c r="L1200" s="9" t="b" cm="1">
        <f t="array" ref="L1200">INDEX(stable[is_mandatory],MATCH(VALUE(questions[[#This Row],[qno]]),VALUE(stable[qno]),0))</f>
        <v>0</v>
      </c>
      <c r="M1200" s="9" t="b" cm="1">
        <f t="array" ref="M1200">INDEX(stable[is_automated],MATCH(VALUE(questions[[#This Row],[qno]]),VALUE(stable[qno]),0))</f>
        <v>0</v>
      </c>
      <c r="N1200" s="9" t="b" cm="1">
        <f t="array" ref="N1200">INDEX(stable[is_free_text],MATCH(VALUE(questions[[#This Row],[qno]]),VALUE(stable[qno]),0))</f>
        <v>0</v>
      </c>
      <c r="O1200" s="9" t="b" cm="1">
        <f t="array" ref="O1200">INDEX(stable[is_numerical],MATCH(VALUE(questions[[#This Row],[qno]]),VALUE(stable[qno]),0))</f>
        <v>1</v>
      </c>
      <c r="P1200" s="9" t="b" cm="1">
        <f t="array" ref="P1200">INDEX(stable[is_single_select],MATCH(VALUE(questions[[#This Row],[qno]]),VALUE(stable[qno]),0))</f>
        <v>0</v>
      </c>
      <c r="Q1200" s="9" t="b" cm="1">
        <f t="array" ref="Q1200">INDEX(stable[is_multi_select],MATCH(VALUE(questions[[#This Row],[qno]]),VALUE(stable[qno]),0))</f>
        <v>0</v>
      </c>
      <c r="R1200" s="9" t="b" cm="1">
        <f t="array" ref="R1200">INDEX(stable[is_skip_logic],MATCH(VALUE(questions[[#This Row],[qno]]),VALUE(stable[qno]),0))</f>
        <v>1</v>
      </c>
      <c r="S1200" s="9" t="str">
        <f>_xlfn.TEXTJOIN(", ",TRUE,questions[[#This Row],[ans_opt_1]:[ans_opt_14]])</f>
        <v/>
      </c>
      <c r="T1200" s="33"/>
      <c r="U1200" s="33"/>
      <c r="V1200" s="33"/>
      <c r="W1200" s="33"/>
      <c r="X1200" s="33"/>
      <c r="Y1200" s="33"/>
      <c r="Z1200" s="33"/>
      <c r="AA1200" s="33"/>
      <c r="AB1200" s="33"/>
      <c r="AC1200" s="33"/>
      <c r="AD1200" s="33"/>
      <c r="AE1200" s="33"/>
      <c r="AF1200" s="33"/>
      <c r="AG1200" s="33"/>
      <c r="AH1200" s="99" t="b">
        <f>INDEX(stable[q_standard],MATCH(questions[[#This Row],[qno]],stable[qno],0))</f>
        <v>0</v>
      </c>
      <c r="AI1200" s="99" t="b">
        <f>INDEX(stable[q_living_income],MATCH(questions[[#This Row],[qno]],stable[qno],0))</f>
        <v>1</v>
      </c>
      <c r="AJ1200" s="99" t="b">
        <f>INDEX(stable[q_carbon],MATCH(questions[[#This Row],[qno]],stable[qno],0))</f>
        <v>1</v>
      </c>
      <c r="AK1200" s="99" t="b">
        <f>INDEX(stable[q_regen_ag],MATCH(questions[[#This Row],[qno]],stable[qno],0))</f>
        <v>0</v>
      </c>
      <c r="AL1200" s="16" t="b">
        <f>COUNTIFS(stable[qno],questions[[#This Row],[qno]])=1</f>
        <v>1</v>
      </c>
      <c r="AM1200" s="16" t="b">
        <f>OR(questions[[#This Row],[is_fixed]],questions[[#This Row],[is_localized]],questions[[#This Row],[is_supply_chain_dependent]])</f>
        <v>1</v>
      </c>
      <c r="AN1200" s="16" t="b">
        <f>COUNTIFS(questions[[#This Row],[is_automated]:[is_multi_select]],TRUE)=1</f>
        <v>1</v>
      </c>
      <c r="AO1200" s="16" t="b">
        <f>IF(questions[[#This Row],[is_fixed]],questions[[#This Row],[question]]=INDEX(stable[question],MATCH(questions[[#This Row],[qno]],stable[qno],0)),TRUE)</f>
        <v>1</v>
      </c>
      <c r="AP1200" s="16" t="str">
        <f>LEFT(questions[[#This Row],[question]],similarity_range)</f>
        <v>What was the total q</v>
      </c>
      <c r="AQ1200" s="16" t="str">
        <f>LEFT(INDEX(stable[question],MATCH(questions[[#This Row],[qno]],stable[qno],0)),similarity_range)</f>
        <v>What was the total q</v>
      </c>
      <c r="AR1200" s="16" t="b">
        <f>questions[[#This Row],[question_first_characters]]=questions[[#This Row],[stability_first_characters]]</f>
        <v>1</v>
      </c>
      <c r="AS1200" s="16" t="b">
        <f>IF(OR(questions[[#This Row],[is_single_select]],questions[[#This Row],[is_multi_select]]),NOT(ISBLANK(questions[[#This Row],[answer_opt_combined]])),TRUE)</f>
        <v>1</v>
      </c>
    </row>
    <row r="1201" spans="1:45" ht="15.75" customHeight="1" x14ac:dyDescent="0.25">
      <c r="A1201" s="9" t="str">
        <f>_xlfn.TEXTJOIN("_",TRUE,questions[[#This Row],[origin]:[qno]])</f>
        <v>Kenya_Arabica_Nestle_2025_5503</v>
      </c>
      <c r="B1201" s="33" t="s">
        <v>818</v>
      </c>
      <c r="C1201" s="33" t="s">
        <v>59</v>
      </c>
      <c r="D1201" s="33" t="s">
        <v>819</v>
      </c>
      <c r="E1201" s="33">
        <v>2025</v>
      </c>
      <c r="F1201" s="70" t="s">
        <v>203</v>
      </c>
      <c r="G1201" s="64" t="s">
        <v>989</v>
      </c>
      <c r="H1201" s="9" t="str" cm="1">
        <f t="array" ref="H1201">INDEX(stableR[question],MATCH(VALUE(questions[[#This Row],[qno]]),VALUE(stableR[qno]),0))</f>
        <v>What was the unit, for the mulch used (kg, basins, bags, wheel barrows, small truck/tipper, large truck)</v>
      </c>
      <c r="I1201" s="9" t="b" cm="1">
        <f t="array" ref="I1201">INDEX(stable[is_fixed],MATCH(VALUE(questions[[#This Row],[qno]]),VALUE(stable[qno]),0))</f>
        <v>1</v>
      </c>
      <c r="J1201" s="9" t="b" cm="1">
        <f t="array" ref="J1201">INDEX(stable[is_localized],MATCH(VALUE(questions[[#This Row],[qno]]),VALUE(stable[qno]),0))</f>
        <v>0</v>
      </c>
      <c r="K1201" s="9" t="b" cm="1">
        <f t="array" ref="K1201">INDEX(stable[is_supply_chain_dependent],MATCH(VALUE(questions[[#This Row],[qno]]),VALUE(stable[qno]),0))</f>
        <v>0</v>
      </c>
      <c r="L1201" s="9" t="b" cm="1">
        <f t="array" ref="L1201">INDEX(stable[is_mandatory],MATCH(VALUE(questions[[#This Row],[qno]]),VALUE(stable[qno]),0))</f>
        <v>0</v>
      </c>
      <c r="M1201" s="9" t="b" cm="1">
        <f t="array" ref="M1201">INDEX(stable[is_automated],MATCH(VALUE(questions[[#This Row],[qno]]),VALUE(stable[qno]),0))</f>
        <v>0</v>
      </c>
      <c r="N1201" s="9" t="b" cm="1">
        <f t="array" ref="N1201">INDEX(stable[is_free_text],MATCH(VALUE(questions[[#This Row],[qno]]),VALUE(stable[qno]),0))</f>
        <v>1</v>
      </c>
      <c r="O1201" s="9" t="b" cm="1">
        <f t="array" ref="O1201">INDEX(stable[is_numerical],MATCH(VALUE(questions[[#This Row],[qno]]),VALUE(stable[qno]),0))</f>
        <v>0</v>
      </c>
      <c r="P1201" s="9" t="b" cm="1">
        <f t="array" ref="P1201">INDEX(stable[is_single_select],MATCH(VALUE(questions[[#This Row],[qno]]),VALUE(stable[qno]),0))</f>
        <v>0</v>
      </c>
      <c r="Q1201" s="9" t="b" cm="1">
        <f t="array" ref="Q1201">INDEX(stable[is_multi_select],MATCH(VALUE(questions[[#This Row],[qno]]),VALUE(stable[qno]),0))</f>
        <v>0</v>
      </c>
      <c r="R1201" s="9" t="b" cm="1">
        <f t="array" ref="R1201">INDEX(stable[is_skip_logic],MATCH(VALUE(questions[[#This Row],[qno]]),VALUE(stable[qno]),0))</f>
        <v>1</v>
      </c>
      <c r="S1201" s="9" t="str">
        <f>_xlfn.TEXTJOIN(", ",TRUE,questions[[#This Row],[ans_opt_1]:[ans_opt_14]])</f>
        <v>90kg bag</v>
      </c>
      <c r="T1201" s="33" t="s">
        <v>990</v>
      </c>
      <c r="U1201" s="33"/>
      <c r="V1201" s="33"/>
      <c r="W1201" s="33"/>
      <c r="X1201" s="33"/>
      <c r="Y1201" s="33"/>
      <c r="Z1201" s="33"/>
      <c r="AA1201" s="33"/>
      <c r="AB1201" s="33"/>
      <c r="AC1201" s="33"/>
      <c r="AD1201" s="33"/>
      <c r="AE1201" s="33"/>
      <c r="AF1201" s="33"/>
      <c r="AG1201" s="33"/>
      <c r="AH1201" s="99" t="b">
        <f>INDEX(stable[q_standard],MATCH(questions[[#This Row],[qno]],stable[qno],0))</f>
        <v>0</v>
      </c>
      <c r="AI1201" s="99" t="b">
        <f>INDEX(stable[q_living_income],MATCH(questions[[#This Row],[qno]],stable[qno],0))</f>
        <v>1</v>
      </c>
      <c r="AJ1201" s="99" t="b">
        <f>INDEX(stable[q_carbon],MATCH(questions[[#This Row],[qno]],stable[qno],0))</f>
        <v>1</v>
      </c>
      <c r="AK1201" s="99" t="b">
        <f>INDEX(stable[q_regen_ag],MATCH(questions[[#This Row],[qno]],stable[qno],0))</f>
        <v>0</v>
      </c>
      <c r="AL1201" s="16" t="b">
        <f>COUNTIFS(stable[qno],questions[[#This Row],[qno]])=1</f>
        <v>1</v>
      </c>
      <c r="AM1201" s="16" t="b">
        <f>OR(questions[[#This Row],[is_fixed]],questions[[#This Row],[is_localized]],questions[[#This Row],[is_supply_chain_dependent]])</f>
        <v>1</v>
      </c>
      <c r="AN1201" s="16" t="b">
        <f>COUNTIFS(questions[[#This Row],[is_automated]:[is_multi_select]],TRUE)=1</f>
        <v>1</v>
      </c>
      <c r="AO1201" s="16" t="b">
        <f>IF(questions[[#This Row],[is_fixed]],questions[[#This Row],[question]]=INDEX(stable[question],MATCH(questions[[#This Row],[qno]],stable[qno],0)),TRUE)</f>
        <v>0</v>
      </c>
      <c r="AP1201" s="16" t="str">
        <f>LEFT(questions[[#This Row],[question]],similarity_range)</f>
        <v>Please ensure that t</v>
      </c>
      <c r="AQ1201" s="16" t="str">
        <f>LEFT(INDEX(stable[question],MATCH(questions[[#This Row],[qno]],stable[qno],0)),similarity_range)</f>
        <v>What was the unit, f</v>
      </c>
      <c r="AR1201" s="16" t="b">
        <f>questions[[#This Row],[question_first_characters]]=questions[[#This Row],[stability_first_characters]]</f>
        <v>0</v>
      </c>
      <c r="AS1201" s="16" t="b">
        <f>IF(OR(questions[[#This Row],[is_single_select]],questions[[#This Row],[is_multi_select]]),NOT(ISBLANK(questions[[#This Row],[answer_opt_combined]])),TRUE)</f>
        <v>1</v>
      </c>
    </row>
    <row r="1202" spans="1:45" s="77" customFormat="1" ht="15.75" customHeight="1" x14ac:dyDescent="0.25">
      <c r="A1202" s="77" t="str">
        <f>_xlfn.TEXTJOIN("_",TRUE,questions[[#This Row],[origin]:[qno]])</f>
        <v>Kenya_Arabica_Nestle_2025_5504</v>
      </c>
      <c r="B1202" s="77" t="s">
        <v>818</v>
      </c>
      <c r="C1202" s="77" t="s">
        <v>59</v>
      </c>
      <c r="D1202" s="77" t="s">
        <v>819</v>
      </c>
      <c r="E1202" s="77">
        <v>2025</v>
      </c>
      <c r="F1202" s="105" t="s">
        <v>205</v>
      </c>
      <c r="G1202" s="116" t="s">
        <v>768</v>
      </c>
      <c r="H1202" s="9" t="str" cm="1">
        <f t="array" ref="H1202">INDEX(stableR[question],MATCH(VALUE(questions[[#This Row],[qno]]),VALUE(stableR[qno]),0))</f>
        <v>From where was this mulch sourced?</v>
      </c>
      <c r="I1202" s="9" t="b" cm="1">
        <f t="array" ref="I1202">INDEX(stable[is_fixed],MATCH(VALUE(questions[[#This Row],[qno]]),VALUE(stable[qno]),0))</f>
        <v>1</v>
      </c>
      <c r="J1202" s="9" t="b" cm="1">
        <f t="array" ref="J1202">INDEX(stable[is_localized],MATCH(VALUE(questions[[#This Row],[qno]]),VALUE(stable[qno]),0))</f>
        <v>0</v>
      </c>
      <c r="K1202" s="9" t="b" cm="1">
        <f t="array" ref="K1202">INDEX(stable[is_supply_chain_dependent],MATCH(VALUE(questions[[#This Row],[qno]]),VALUE(stable[qno]),0))</f>
        <v>0</v>
      </c>
      <c r="L1202" s="9" t="b" cm="1">
        <f t="array" ref="L1202">INDEX(stable[is_mandatory],MATCH(VALUE(questions[[#This Row],[qno]]),VALUE(stable[qno]),0))</f>
        <v>0</v>
      </c>
      <c r="M1202" s="9" t="b" cm="1">
        <f t="array" ref="M1202">INDEX(stable[is_automated],MATCH(VALUE(questions[[#This Row],[qno]]),VALUE(stable[qno]),0))</f>
        <v>0</v>
      </c>
      <c r="N1202" s="9" t="b" cm="1">
        <f t="array" ref="N1202">INDEX(stable[is_free_text],MATCH(VALUE(questions[[#This Row],[qno]]),VALUE(stable[qno]),0))</f>
        <v>0</v>
      </c>
      <c r="O1202" s="9" t="b" cm="1">
        <f t="array" ref="O1202">INDEX(stable[is_numerical],MATCH(VALUE(questions[[#This Row],[qno]]),VALUE(stable[qno]),0))</f>
        <v>0</v>
      </c>
      <c r="P1202" s="77" t="b" cm="1">
        <f t="array" ref="P1202">INDEX(stable[is_single_select],MATCH(VALUE(questions[[#This Row],[qno]]),VALUE(stable[qno]),0))</f>
        <v>1</v>
      </c>
      <c r="Q1202" s="77" t="b" cm="1">
        <f t="array" ref="Q1202">INDEX(stable[is_multi_select],MATCH(VALUE(questions[[#This Row],[qno]]),VALUE(stable[qno]),0))</f>
        <v>0</v>
      </c>
      <c r="R1202" s="77" t="b" cm="1">
        <f t="array" ref="R1202">INDEX(stable[is_skip_logic],MATCH(VALUE(questions[[#This Row],[qno]]),VALUE(stable[qno]),0))</f>
        <v>1</v>
      </c>
      <c r="S1202" s="77" t="str">
        <f>_xlfn.TEXTJOIN(", ",TRUE,questions[[#This Row],[ans_opt_1]:[ans_opt_14]])</f>
        <v>Outside the coffee plot, Inside the coffee plot, Both from inside and outside the coffee plot</v>
      </c>
      <c r="T1202" s="77" t="s">
        <v>207</v>
      </c>
      <c r="U1202" s="77" t="s">
        <v>208</v>
      </c>
      <c r="V1202" s="77" t="s">
        <v>209</v>
      </c>
      <c r="AH1202" s="98" t="b">
        <f>INDEX(stable[q_standard],MATCH(questions[[#This Row],[qno]],stable[qno],0))</f>
        <v>0</v>
      </c>
      <c r="AI1202" s="98" t="b">
        <f>INDEX(stable[q_living_income],MATCH(questions[[#This Row],[qno]],stable[qno],0))</f>
        <v>1</v>
      </c>
      <c r="AJ1202" s="98" t="b">
        <f>INDEX(stable[q_carbon],MATCH(questions[[#This Row],[qno]],stable[qno],0))</f>
        <v>1</v>
      </c>
      <c r="AK1202" s="98" t="b">
        <f>INDEX(stable[q_regen_ag],MATCH(questions[[#This Row],[qno]],stable[qno],0))</f>
        <v>0</v>
      </c>
      <c r="AL1202" s="98" t="b">
        <f>COUNTIFS(stable[qno],questions[[#This Row],[qno]])=1</f>
        <v>1</v>
      </c>
      <c r="AM1202" s="98" t="b">
        <f>OR(questions[[#This Row],[is_fixed]],questions[[#This Row],[is_localized]],questions[[#This Row],[is_supply_chain_dependent]])</f>
        <v>1</v>
      </c>
      <c r="AN1202" s="98" t="b">
        <f>COUNTIFS(questions[[#This Row],[is_automated]:[is_multi_select]],TRUE)=1</f>
        <v>1</v>
      </c>
      <c r="AO1202" s="98" t="b">
        <f>IF(questions[[#This Row],[is_fixed]],questions[[#This Row],[question]]=INDEX(stable[question],MATCH(questions[[#This Row],[qno]],stable[qno],0)),TRUE)</f>
        <v>1</v>
      </c>
      <c r="AP1202" s="98" t="str">
        <f>LEFT(questions[[#This Row],[question]],similarity_range)</f>
        <v xml:space="preserve">From where was this </v>
      </c>
      <c r="AQ1202" s="98" t="str">
        <f>LEFT(INDEX(stable[question],MATCH(questions[[#This Row],[qno]],stable[qno],0)),similarity_range)</f>
        <v xml:space="preserve">From where was this </v>
      </c>
      <c r="AR1202" s="98" t="b">
        <f>questions[[#This Row],[question_first_characters]]=questions[[#This Row],[stability_first_characters]]</f>
        <v>1</v>
      </c>
      <c r="AS1202" s="98" t="b">
        <f>IF(OR(questions[[#This Row],[is_single_select]],questions[[#This Row],[is_multi_select]]),NOT(ISBLANK(questions[[#This Row],[answer_opt_combined]])),TRUE)</f>
        <v>1</v>
      </c>
    </row>
    <row r="1203" spans="1:45" s="77" customFormat="1" ht="15.75" customHeight="1" x14ac:dyDescent="0.25">
      <c r="A1203" s="77" t="str">
        <f>_xlfn.TEXTJOIN("_",TRUE,questions[[#This Row],[origin]:[qno]])</f>
        <v>Kenya_Arabica_Nestle_2025_5505</v>
      </c>
      <c r="B1203" s="77" t="s">
        <v>818</v>
      </c>
      <c r="C1203" s="77" t="s">
        <v>59</v>
      </c>
      <c r="D1203" s="77" t="s">
        <v>819</v>
      </c>
      <c r="E1203" s="77">
        <v>2025</v>
      </c>
      <c r="F1203" s="105" t="s">
        <v>210</v>
      </c>
      <c r="G1203" s="116" t="s">
        <v>769</v>
      </c>
      <c r="H1203" s="9" t="str" cm="1">
        <f t="array" ref="H1203">INDEX(stableR[question],MATCH(VALUE(questions[[#This Row],[qno]]),VALUE(stableR[qno]),0))</f>
        <v>If it was from outside the coffee plot, did you buy this mulch, or did it come from your own farm?</v>
      </c>
      <c r="I1203" s="9" t="b" cm="1">
        <f t="array" ref="I1203">INDEX(stable[is_fixed],MATCH(VALUE(questions[[#This Row],[qno]]),VALUE(stable[qno]),0))</f>
        <v>1</v>
      </c>
      <c r="J1203" s="9" t="b" cm="1">
        <f t="array" ref="J1203">INDEX(stable[is_localized],MATCH(VALUE(questions[[#This Row],[qno]]),VALUE(stable[qno]),0))</f>
        <v>0</v>
      </c>
      <c r="K1203" s="9" t="b" cm="1">
        <f t="array" ref="K1203">INDEX(stable[is_supply_chain_dependent],MATCH(VALUE(questions[[#This Row],[qno]]),VALUE(stable[qno]),0))</f>
        <v>0</v>
      </c>
      <c r="L1203" s="9" t="b" cm="1">
        <f t="array" ref="L1203">INDEX(stable[is_mandatory],MATCH(VALUE(questions[[#This Row],[qno]]),VALUE(stable[qno]),0))</f>
        <v>0</v>
      </c>
      <c r="M1203" s="9" t="b" cm="1">
        <f t="array" ref="M1203">INDEX(stable[is_automated],MATCH(VALUE(questions[[#This Row],[qno]]),VALUE(stable[qno]),0))</f>
        <v>0</v>
      </c>
      <c r="N1203" s="9" t="b" cm="1">
        <f t="array" ref="N1203">INDEX(stable[is_free_text],MATCH(VALUE(questions[[#This Row],[qno]]),VALUE(stable[qno]),0))</f>
        <v>0</v>
      </c>
      <c r="O1203" s="9" t="b" cm="1">
        <f t="array" ref="O1203">INDEX(stable[is_numerical],MATCH(VALUE(questions[[#This Row],[qno]]),VALUE(stable[qno]),0))</f>
        <v>0</v>
      </c>
      <c r="P1203" s="77" t="b" cm="1">
        <f t="array" ref="P1203">INDEX(stable[is_single_select],MATCH(VALUE(questions[[#This Row],[qno]]),VALUE(stable[qno]),0))</f>
        <v>1</v>
      </c>
      <c r="Q1203" s="77" t="b" cm="1">
        <f t="array" ref="Q1203">INDEX(stable[is_multi_select],MATCH(VALUE(questions[[#This Row],[qno]]),VALUE(stable[qno]),0))</f>
        <v>0</v>
      </c>
      <c r="R1203" s="77" t="b" cm="1">
        <f t="array" ref="R1203">INDEX(stable[is_skip_logic],MATCH(VALUE(questions[[#This Row],[qno]]),VALUE(stable[qno]),0))</f>
        <v>1</v>
      </c>
      <c r="S1203" s="77" t="str">
        <f>_xlfn.TEXTJOIN(", ",TRUE,questions[[#This Row],[ans_opt_1]:[ans_opt_14]])</f>
        <v>Bought, From own farm</v>
      </c>
      <c r="T1203" s="77" t="s">
        <v>185</v>
      </c>
      <c r="U1203" s="77" t="s">
        <v>186</v>
      </c>
      <c r="AH1203" s="98" t="b">
        <f>INDEX(stable[q_standard],MATCH(questions[[#This Row],[qno]],stable[qno],0))</f>
        <v>0</v>
      </c>
      <c r="AI1203" s="98" t="b">
        <f>INDEX(stable[q_living_income],MATCH(questions[[#This Row],[qno]],stable[qno],0))</f>
        <v>1</v>
      </c>
      <c r="AJ1203" s="98" t="b">
        <f>INDEX(stable[q_carbon],MATCH(questions[[#This Row],[qno]],stable[qno],0))</f>
        <v>1</v>
      </c>
      <c r="AK1203" s="98" t="b">
        <f>INDEX(stable[q_regen_ag],MATCH(questions[[#This Row],[qno]],stable[qno],0))</f>
        <v>0</v>
      </c>
      <c r="AL1203" s="98" t="b">
        <f>COUNTIFS(stable[qno],questions[[#This Row],[qno]])=1</f>
        <v>1</v>
      </c>
      <c r="AM1203" s="98" t="b">
        <f>OR(questions[[#This Row],[is_fixed]],questions[[#This Row],[is_localized]],questions[[#This Row],[is_supply_chain_dependent]])</f>
        <v>1</v>
      </c>
      <c r="AN1203" s="98" t="b">
        <f>COUNTIFS(questions[[#This Row],[is_automated]:[is_multi_select]],TRUE)=1</f>
        <v>1</v>
      </c>
      <c r="AO1203" s="98" t="b">
        <f>IF(questions[[#This Row],[is_fixed]],questions[[#This Row],[question]]=INDEX(stable[question],MATCH(questions[[#This Row],[qno]],stable[qno],0)),TRUE)</f>
        <v>1</v>
      </c>
      <c r="AP1203" s="98" t="str">
        <f>LEFT(questions[[#This Row],[question]],similarity_range)</f>
        <v>If it was from outsi</v>
      </c>
      <c r="AQ1203" s="98" t="str">
        <f>LEFT(INDEX(stable[question],MATCH(questions[[#This Row],[qno]],stable[qno],0)),similarity_range)</f>
        <v>If it was from outsi</v>
      </c>
      <c r="AR1203" s="98" t="b">
        <f>questions[[#This Row],[question_first_characters]]=questions[[#This Row],[stability_first_characters]]</f>
        <v>1</v>
      </c>
      <c r="AS1203" s="98" t="b">
        <f>IF(OR(questions[[#This Row],[is_single_select]],questions[[#This Row],[is_multi_select]]),NOT(ISBLANK(questions[[#This Row],[answer_opt_combined]])),TRUE)</f>
        <v>1</v>
      </c>
    </row>
    <row r="1204" spans="1:45" s="77" customFormat="1" ht="15.75" customHeight="1" x14ac:dyDescent="0.25">
      <c r="A1204" s="77" t="str">
        <f>_xlfn.TEXTJOIN("_",TRUE,questions[[#This Row],[origin]:[qno]])</f>
        <v>Kenya_Arabica_Nestle_2025_5600</v>
      </c>
      <c r="B1204" s="77" t="s">
        <v>818</v>
      </c>
      <c r="C1204" s="77" t="s">
        <v>59</v>
      </c>
      <c r="D1204" s="77" t="s">
        <v>819</v>
      </c>
      <c r="E1204" s="77">
        <v>2025</v>
      </c>
      <c r="F1204" s="105" t="s">
        <v>212</v>
      </c>
      <c r="G1204" s="116" t="s">
        <v>991</v>
      </c>
      <c r="H1204" s="9" t="str" cm="1">
        <f t="array" ref="H1204">INDEX(stableR[question],MATCH(VALUE(questions[[#This Row],[qno]]),VALUE(stableR[qno]),0))</f>
        <v xml:space="preserve">Did you use pesticides, fungicides or herbicides for your coffee last year? </v>
      </c>
      <c r="I1204" s="9" t="b" cm="1">
        <f t="array" ref="I1204">INDEX(stable[is_fixed],MATCH(VALUE(questions[[#This Row],[qno]]),VALUE(stable[qno]),0))</f>
        <v>1</v>
      </c>
      <c r="J1204" s="9" t="b" cm="1">
        <f t="array" ref="J1204">INDEX(stable[is_localized],MATCH(VALUE(questions[[#This Row],[qno]]),VALUE(stable[qno]),0))</f>
        <v>0</v>
      </c>
      <c r="K1204" s="9" t="b" cm="1">
        <f t="array" ref="K1204">INDEX(stable[is_supply_chain_dependent],MATCH(VALUE(questions[[#This Row],[qno]]),VALUE(stable[qno]),0))</f>
        <v>0</v>
      </c>
      <c r="L1204" s="9" t="b" cm="1">
        <f t="array" ref="L1204">INDEX(stable[is_mandatory],MATCH(VALUE(questions[[#This Row],[qno]]),VALUE(stable[qno]),0))</f>
        <v>1</v>
      </c>
      <c r="M1204" s="9" t="b" cm="1">
        <f t="array" ref="M1204">INDEX(stable[is_automated],MATCH(VALUE(questions[[#This Row],[qno]]),VALUE(stable[qno]),0))</f>
        <v>0</v>
      </c>
      <c r="N1204" s="9" t="b" cm="1">
        <f t="array" ref="N1204">INDEX(stable[is_free_text],MATCH(VALUE(questions[[#This Row],[qno]]),VALUE(stable[qno]),0))</f>
        <v>0</v>
      </c>
      <c r="O1204" s="9" t="b" cm="1">
        <f t="array" ref="O1204">INDEX(stable[is_numerical],MATCH(VALUE(questions[[#This Row],[qno]]),VALUE(stable[qno]),0))</f>
        <v>0</v>
      </c>
      <c r="P1204" s="77" t="b" cm="1">
        <f t="array" ref="P1204">INDEX(stable[is_single_select],MATCH(VALUE(questions[[#This Row],[qno]]),VALUE(stable[qno]),0))</f>
        <v>1</v>
      </c>
      <c r="Q1204" s="77" t="b" cm="1">
        <f t="array" ref="Q1204">INDEX(stable[is_multi_select],MATCH(VALUE(questions[[#This Row],[qno]]),VALUE(stable[qno]),0))</f>
        <v>0</v>
      </c>
      <c r="R1204" s="77" t="b" cm="1">
        <f t="array" ref="R1204">INDEX(stable[is_skip_logic],MATCH(VALUE(questions[[#This Row],[qno]]),VALUE(stable[qno]),0))</f>
        <v>1</v>
      </c>
      <c r="S1204" s="77" t="str">
        <f>_xlfn.TEXTJOIN(", ",TRUE,questions[[#This Row],[ans_opt_1]:[ans_opt_14]])</f>
        <v>Yes, No</v>
      </c>
      <c r="T1204" s="77" t="s">
        <v>149</v>
      </c>
      <c r="U1204" s="77" t="s">
        <v>119</v>
      </c>
      <c r="AH1204" s="98" t="b">
        <f>INDEX(stable[q_standard],MATCH(questions[[#This Row],[qno]],stable[qno],0))</f>
        <v>0</v>
      </c>
      <c r="AI1204" s="98" t="b">
        <f>INDEX(stable[q_living_income],MATCH(questions[[#This Row],[qno]],stable[qno],0))</f>
        <v>1</v>
      </c>
      <c r="AJ1204" s="98" t="b">
        <f>INDEX(stable[q_carbon],MATCH(questions[[#This Row],[qno]],stable[qno],0))</f>
        <v>1</v>
      </c>
      <c r="AK1204" s="98" t="b">
        <f>INDEX(stable[q_regen_ag],MATCH(questions[[#This Row],[qno]],stable[qno],0))</f>
        <v>0</v>
      </c>
      <c r="AL1204" s="98" t="b">
        <f>COUNTIFS(stable[qno],questions[[#This Row],[qno]])=1</f>
        <v>1</v>
      </c>
      <c r="AM1204" s="98" t="b">
        <f>OR(questions[[#This Row],[is_fixed]],questions[[#This Row],[is_localized]],questions[[#This Row],[is_supply_chain_dependent]])</f>
        <v>1</v>
      </c>
      <c r="AN1204" s="98" t="b">
        <f>COUNTIFS(questions[[#This Row],[is_automated]:[is_multi_select]],TRUE)=1</f>
        <v>1</v>
      </c>
      <c r="AO1204" s="98" t="b">
        <f>IF(questions[[#This Row],[is_fixed]],questions[[#This Row],[question]]=INDEX(stable[question],MATCH(questions[[#This Row],[qno]],stable[qno],0)),TRUE)</f>
        <v>0</v>
      </c>
      <c r="AP1204" s="98" t="str">
        <f>LEFT(questions[[#This Row],[question]],similarity_range)</f>
        <v>Did you use pesticid</v>
      </c>
      <c r="AQ1204" s="98" t="str">
        <f>LEFT(INDEX(stable[question],MATCH(questions[[#This Row],[qno]],stable[qno],0)),similarity_range)</f>
        <v>Did you use pesticid</v>
      </c>
      <c r="AR1204" s="98" t="b">
        <f>questions[[#This Row],[question_first_characters]]=questions[[#This Row],[stability_first_characters]]</f>
        <v>1</v>
      </c>
      <c r="AS1204" s="98" t="b">
        <f>IF(OR(questions[[#This Row],[is_single_select]],questions[[#This Row],[is_multi_select]]),NOT(ISBLANK(questions[[#This Row],[answer_opt_combined]])),TRUE)</f>
        <v>1</v>
      </c>
    </row>
    <row r="1205" spans="1:45" ht="15.75" customHeight="1" x14ac:dyDescent="0.25">
      <c r="A1205" s="9" t="str">
        <f>_xlfn.TEXTJOIN("_",TRUE,questions[[#This Row],[origin]:[qno]])</f>
        <v>Kenya_Arabica_Nestle_2025_5601</v>
      </c>
      <c r="B1205" s="33" t="s">
        <v>818</v>
      </c>
      <c r="C1205" s="33" t="s">
        <v>59</v>
      </c>
      <c r="D1205" s="33" t="s">
        <v>819</v>
      </c>
      <c r="E1205" s="33">
        <v>2025</v>
      </c>
      <c r="F1205" s="41" t="s">
        <v>214</v>
      </c>
      <c r="G1205" s="18" t="s">
        <v>215</v>
      </c>
      <c r="H1205" s="9" t="str" cm="1">
        <f t="array" ref="H1205">INDEX(stableR[question],MATCH(VALUE(questions[[#This Row],[qno]]),VALUE(stableR[qno]),0))</f>
        <v xml:space="preserve">If yes, how many types of pesticides, fungicides and/or herbicides did you use last year for your coffee, in total? </v>
      </c>
      <c r="I1205" s="9" t="b" cm="1">
        <f t="array" ref="I1205">INDEX(stable[is_fixed],MATCH(VALUE(questions[[#This Row],[qno]]),VALUE(stable[qno]),0))</f>
        <v>1</v>
      </c>
      <c r="J1205" s="9" t="b" cm="1">
        <f t="array" ref="J1205">INDEX(stable[is_localized],MATCH(VALUE(questions[[#This Row],[qno]]),VALUE(stable[qno]),0))</f>
        <v>0</v>
      </c>
      <c r="K1205" s="9" t="b" cm="1">
        <f t="array" ref="K1205">INDEX(stable[is_supply_chain_dependent],MATCH(VALUE(questions[[#This Row],[qno]]),VALUE(stable[qno]),0))</f>
        <v>0</v>
      </c>
      <c r="L1205" s="9" t="b" cm="1">
        <f t="array" ref="L1205">INDEX(stable[is_mandatory],MATCH(VALUE(questions[[#This Row],[qno]]),VALUE(stable[qno]),0))</f>
        <v>0</v>
      </c>
      <c r="M1205" s="9" t="b" cm="1">
        <f t="array" ref="M1205">INDEX(stable[is_automated],MATCH(VALUE(questions[[#This Row],[qno]]),VALUE(stable[qno]),0))</f>
        <v>0</v>
      </c>
      <c r="N1205" s="9" t="b" cm="1">
        <f t="array" ref="N1205">INDEX(stable[is_free_text],MATCH(VALUE(questions[[#This Row],[qno]]),VALUE(stable[qno]),0))</f>
        <v>0</v>
      </c>
      <c r="O1205" s="9" t="b" cm="1">
        <f t="array" ref="O1205">INDEX(stable[is_numerical],MATCH(VALUE(questions[[#This Row],[qno]]),VALUE(stable[qno]),0))</f>
        <v>1</v>
      </c>
      <c r="P1205" s="9" t="b" cm="1">
        <f t="array" ref="P1205">INDEX(stable[is_single_select],MATCH(VALUE(questions[[#This Row],[qno]]),VALUE(stable[qno]),0))</f>
        <v>0</v>
      </c>
      <c r="Q1205" s="9" t="b" cm="1">
        <f t="array" ref="Q1205">INDEX(stable[is_multi_select],MATCH(VALUE(questions[[#This Row],[qno]]),VALUE(stable[qno]),0))</f>
        <v>0</v>
      </c>
      <c r="R1205" s="9" t="b" cm="1">
        <f t="array" ref="R1205">INDEX(stable[is_skip_logic],MATCH(VALUE(questions[[#This Row],[qno]]),VALUE(stable[qno]),0))</f>
        <v>1</v>
      </c>
      <c r="S1205" s="9" t="str">
        <f>_xlfn.TEXTJOIN(", ",TRUE,questions[[#This Row],[ans_opt_1]:[ans_opt_14]])</f>
        <v/>
      </c>
      <c r="T1205" s="33"/>
      <c r="U1205" s="33"/>
      <c r="V1205" s="33"/>
      <c r="W1205" s="33"/>
      <c r="X1205" s="33"/>
      <c r="Y1205" s="33"/>
      <c r="Z1205" s="33"/>
      <c r="AA1205" s="33"/>
      <c r="AB1205" s="33"/>
      <c r="AC1205" s="33"/>
      <c r="AD1205" s="33"/>
      <c r="AE1205" s="33"/>
      <c r="AF1205" s="33"/>
      <c r="AG1205" s="33"/>
      <c r="AH1205" s="99" t="b">
        <f>INDEX(stable[q_standard],MATCH(questions[[#This Row],[qno]],stable[qno],0))</f>
        <v>0</v>
      </c>
      <c r="AI1205" s="99" t="b">
        <f>INDEX(stable[q_living_income],MATCH(questions[[#This Row],[qno]],stable[qno],0))</f>
        <v>1</v>
      </c>
      <c r="AJ1205" s="99" t="b">
        <f>INDEX(stable[q_carbon],MATCH(questions[[#This Row],[qno]],stable[qno],0))</f>
        <v>1</v>
      </c>
      <c r="AK1205" s="99" t="b">
        <f>INDEX(stable[q_regen_ag],MATCH(questions[[#This Row],[qno]],stable[qno],0))</f>
        <v>0</v>
      </c>
      <c r="AL1205" s="16" t="b">
        <f>COUNTIFS(stable[qno],questions[[#This Row],[qno]])=1</f>
        <v>1</v>
      </c>
      <c r="AM1205" s="16" t="b">
        <f>OR(questions[[#This Row],[is_fixed]],questions[[#This Row],[is_localized]],questions[[#This Row],[is_supply_chain_dependent]])</f>
        <v>1</v>
      </c>
      <c r="AN1205" s="16" t="b">
        <f>COUNTIFS(questions[[#This Row],[is_automated]:[is_multi_select]],TRUE)=1</f>
        <v>1</v>
      </c>
      <c r="AO1205" s="16" t="b">
        <f>IF(questions[[#This Row],[is_fixed]],questions[[#This Row],[question]]=INDEX(stable[question],MATCH(questions[[#This Row],[qno]],stable[qno],0)),TRUE)</f>
        <v>0</v>
      </c>
      <c r="AP1205" s="16" t="str">
        <f>LEFT(questions[[#This Row],[question]],similarity_range)</f>
        <v>If yes, how many typ</v>
      </c>
      <c r="AQ1205" s="16" t="str">
        <f>LEFT(INDEX(stable[question],MATCH(questions[[#This Row],[qno]],stable[qno],0)),similarity_range)</f>
        <v>If yes, how many typ</v>
      </c>
      <c r="AR1205" s="16" t="b">
        <f>questions[[#This Row],[question_first_characters]]=questions[[#This Row],[stability_first_characters]]</f>
        <v>1</v>
      </c>
      <c r="AS1205" s="16" t="b">
        <f>IF(OR(questions[[#This Row],[is_single_select]],questions[[#This Row],[is_multi_select]]),NOT(ISBLANK(questions[[#This Row],[answer_opt_combined]])),TRUE)</f>
        <v>1</v>
      </c>
    </row>
    <row r="1206" spans="1:45" ht="15.75" customHeight="1" x14ac:dyDescent="0.25">
      <c r="A1206" s="9" t="str">
        <f>_xlfn.TEXTJOIN("_",TRUE,questions[[#This Row],[origin]:[qno]])</f>
        <v>Kenya_Arabica_Nestle_2025_5610</v>
      </c>
      <c r="B1206" s="33" t="s">
        <v>818</v>
      </c>
      <c r="C1206" s="33" t="s">
        <v>59</v>
      </c>
      <c r="D1206" s="33" t="s">
        <v>819</v>
      </c>
      <c r="E1206" s="33">
        <v>2025</v>
      </c>
      <c r="F1206" s="41" t="s">
        <v>216</v>
      </c>
      <c r="G1206" s="18" t="s">
        <v>992</v>
      </c>
      <c r="H1206" s="9" t="str" cm="1">
        <f t="array" ref="H1206">INDEX(stableR[question],MATCH(VALUE(questions[[#This Row],[qno]]),VALUE(stableR[qno]),0))</f>
        <v>What was the name of the pesticide/fungicide or herbicide that you used most, last year?</v>
      </c>
      <c r="I1206" s="9" t="b" cm="1">
        <f t="array" ref="I1206">INDEX(stable[is_fixed],MATCH(VALUE(questions[[#This Row],[qno]]),VALUE(stable[qno]),0))</f>
        <v>1</v>
      </c>
      <c r="J1206" s="9" t="b" cm="1">
        <f t="array" ref="J1206">INDEX(stable[is_localized],MATCH(VALUE(questions[[#This Row],[qno]]),VALUE(stable[qno]),0))</f>
        <v>0</v>
      </c>
      <c r="K1206" s="9" t="b" cm="1">
        <f t="array" ref="K1206">INDEX(stable[is_supply_chain_dependent],MATCH(VALUE(questions[[#This Row],[qno]]),VALUE(stable[qno]),0))</f>
        <v>0</v>
      </c>
      <c r="L1206" s="9" t="b" cm="1">
        <f t="array" ref="L1206">INDEX(stable[is_mandatory],MATCH(VALUE(questions[[#This Row],[qno]]),VALUE(stable[qno]),0))</f>
        <v>0</v>
      </c>
      <c r="M1206" s="9" t="b" cm="1">
        <f t="array" ref="M1206">INDEX(stable[is_automated],MATCH(VALUE(questions[[#This Row],[qno]]),VALUE(stable[qno]),0))</f>
        <v>0</v>
      </c>
      <c r="N1206" s="9" t="b" cm="1">
        <f t="array" ref="N1206">INDEX(stable[is_free_text],MATCH(VALUE(questions[[#This Row],[qno]]),VALUE(stable[qno]),0))</f>
        <v>1</v>
      </c>
      <c r="O1206" s="9" t="b" cm="1">
        <f t="array" ref="O1206">INDEX(stable[is_numerical],MATCH(VALUE(questions[[#This Row],[qno]]),VALUE(stable[qno]),0))</f>
        <v>0</v>
      </c>
      <c r="P1206" s="9" t="b" cm="1">
        <f t="array" ref="P1206">INDEX(stable[is_single_select],MATCH(VALUE(questions[[#This Row],[qno]]),VALUE(stable[qno]),0))</f>
        <v>0</v>
      </c>
      <c r="Q1206" s="9" t="b" cm="1">
        <f t="array" ref="Q1206">INDEX(stable[is_multi_select],MATCH(VALUE(questions[[#This Row],[qno]]),VALUE(stable[qno]),0))</f>
        <v>0</v>
      </c>
      <c r="R1206" s="9" t="b" cm="1">
        <f t="array" ref="R1206">INDEX(stable[is_skip_logic],MATCH(VALUE(questions[[#This Row],[qno]]),VALUE(stable[qno]),0))</f>
        <v>1</v>
      </c>
      <c r="S1206" s="9" t="str">
        <f>_xlfn.TEXTJOIN(", ",TRUE,questions[[#This Row],[ans_opt_1]:[ans_opt_14]])</f>
        <v/>
      </c>
      <c r="T1206" s="33"/>
      <c r="U1206" s="33"/>
      <c r="V1206" s="33"/>
      <c r="W1206" s="33"/>
      <c r="X1206" s="33"/>
      <c r="Y1206" s="33"/>
      <c r="Z1206" s="33"/>
      <c r="AA1206" s="33"/>
      <c r="AB1206" s="33"/>
      <c r="AC1206" s="33"/>
      <c r="AD1206" s="33"/>
      <c r="AE1206" s="33"/>
      <c r="AF1206" s="33"/>
      <c r="AG1206" s="33"/>
      <c r="AH1206" s="99" t="b">
        <f>INDEX(stable[q_standard],MATCH(questions[[#This Row],[qno]],stable[qno],0))</f>
        <v>0</v>
      </c>
      <c r="AI1206" s="99" t="b">
        <f>INDEX(stable[q_living_income],MATCH(questions[[#This Row],[qno]],stable[qno],0))</f>
        <v>1</v>
      </c>
      <c r="AJ1206" s="99" t="b">
        <f>INDEX(stable[q_carbon],MATCH(questions[[#This Row],[qno]],stable[qno],0))</f>
        <v>1</v>
      </c>
      <c r="AK1206" s="99" t="b">
        <f>INDEX(stable[q_regen_ag],MATCH(questions[[#This Row],[qno]],stable[qno],0))</f>
        <v>0</v>
      </c>
      <c r="AL1206" s="16" t="b">
        <f>COUNTIFS(stable[qno],questions[[#This Row],[qno]])=1</f>
        <v>1</v>
      </c>
      <c r="AM1206" s="16" t="b">
        <f>OR(questions[[#This Row],[is_fixed]],questions[[#This Row],[is_localized]],questions[[#This Row],[is_supply_chain_dependent]])</f>
        <v>1</v>
      </c>
      <c r="AN1206" s="16" t="b">
        <f>COUNTIFS(questions[[#This Row],[is_automated]:[is_multi_select]],TRUE)=1</f>
        <v>1</v>
      </c>
      <c r="AO1206" s="16" t="b">
        <f>IF(questions[[#This Row],[is_fixed]],questions[[#This Row],[question]]=INDEX(stable[question],MATCH(questions[[#This Row],[qno]],stable[qno],0)),TRUE)</f>
        <v>0</v>
      </c>
      <c r="AP1206" s="16" t="str">
        <f>LEFT(questions[[#This Row],[question]],similarity_range)</f>
        <v>If yes, what was the</v>
      </c>
      <c r="AQ1206" s="16" t="str">
        <f>LEFT(INDEX(stable[question],MATCH(questions[[#This Row],[qno]],stable[qno],0)),similarity_range)</f>
        <v>If yes, what was the</v>
      </c>
      <c r="AR1206" s="16" t="b">
        <f>questions[[#This Row],[question_first_characters]]=questions[[#This Row],[stability_first_characters]]</f>
        <v>1</v>
      </c>
      <c r="AS1206" s="16" t="b">
        <f>IF(OR(questions[[#This Row],[is_single_select]],questions[[#This Row],[is_multi_select]]),NOT(ISBLANK(questions[[#This Row],[answer_opt_combined]])),TRUE)</f>
        <v>1</v>
      </c>
    </row>
    <row r="1207" spans="1:45" ht="15.75" customHeight="1" x14ac:dyDescent="0.25">
      <c r="A1207" s="9" t="str">
        <f>_xlfn.TEXTJOIN("_",TRUE,questions[[#This Row],[origin]:[qno]])</f>
        <v>Kenya_Arabica_Nestle_2025_5611</v>
      </c>
      <c r="B1207" s="33" t="s">
        <v>818</v>
      </c>
      <c r="C1207" s="33" t="s">
        <v>59</v>
      </c>
      <c r="D1207" s="33" t="s">
        <v>819</v>
      </c>
      <c r="E1207" s="33">
        <v>2025</v>
      </c>
      <c r="F1207" s="41" t="s">
        <v>218</v>
      </c>
      <c r="G1207" s="18" t="s">
        <v>219</v>
      </c>
      <c r="H1207" s="9" t="str" cm="1">
        <f t="array" ref="H1207">INDEX(stableR[question],MATCH(VALUE(questions[[#This Row],[qno]]),VALUE(stableR[qno]),0))</f>
        <v>What was the quantity used of this most used pesticide/fungicide/herbicide last year?</v>
      </c>
      <c r="I1207" s="9" t="b" cm="1">
        <f t="array" ref="I1207">INDEX(stable[is_fixed],MATCH(VALUE(questions[[#This Row],[qno]]),VALUE(stable[qno]),0))</f>
        <v>1</v>
      </c>
      <c r="J1207" s="9" t="b" cm="1">
        <f t="array" ref="J1207">INDEX(stable[is_localized],MATCH(VALUE(questions[[#This Row],[qno]]),VALUE(stable[qno]),0))</f>
        <v>0</v>
      </c>
      <c r="K1207" s="9" t="b" cm="1">
        <f t="array" ref="K1207">INDEX(stable[is_supply_chain_dependent],MATCH(VALUE(questions[[#This Row],[qno]]),VALUE(stable[qno]),0))</f>
        <v>0</v>
      </c>
      <c r="L1207" s="9" t="b" cm="1">
        <f t="array" ref="L1207">INDEX(stable[is_mandatory],MATCH(VALUE(questions[[#This Row],[qno]]),VALUE(stable[qno]),0))</f>
        <v>0</v>
      </c>
      <c r="M1207" s="9" t="b" cm="1">
        <f t="array" ref="M1207">INDEX(stable[is_automated],MATCH(VALUE(questions[[#This Row],[qno]]),VALUE(stable[qno]),0))</f>
        <v>0</v>
      </c>
      <c r="N1207" s="9" t="b" cm="1">
        <f t="array" ref="N1207">INDEX(stable[is_free_text],MATCH(VALUE(questions[[#This Row],[qno]]),VALUE(stable[qno]),0))</f>
        <v>0</v>
      </c>
      <c r="O1207" s="9" t="b" cm="1">
        <f t="array" ref="O1207">INDEX(stable[is_numerical],MATCH(VALUE(questions[[#This Row],[qno]]),VALUE(stable[qno]),0))</f>
        <v>1</v>
      </c>
      <c r="P1207" s="9" t="b" cm="1">
        <f t="array" ref="P1207">INDEX(stable[is_single_select],MATCH(VALUE(questions[[#This Row],[qno]]),VALUE(stable[qno]),0))</f>
        <v>0</v>
      </c>
      <c r="Q1207" s="9" t="b" cm="1">
        <f t="array" ref="Q1207">INDEX(stable[is_multi_select],MATCH(VALUE(questions[[#This Row],[qno]]),VALUE(stable[qno]),0))</f>
        <v>0</v>
      </c>
      <c r="R1207" s="9" t="b" cm="1">
        <f t="array" ref="R1207">INDEX(stable[is_skip_logic],MATCH(VALUE(questions[[#This Row],[qno]]),VALUE(stable[qno]),0))</f>
        <v>1</v>
      </c>
      <c r="S1207" s="9" t="str">
        <f>_xlfn.TEXTJOIN(", ",TRUE,questions[[#This Row],[ans_opt_1]:[ans_opt_14]])</f>
        <v/>
      </c>
      <c r="T1207" s="33"/>
      <c r="U1207" s="33"/>
      <c r="V1207" s="33"/>
      <c r="W1207" s="33"/>
      <c r="X1207" s="33"/>
      <c r="Y1207" s="33"/>
      <c r="Z1207" s="33"/>
      <c r="AA1207" s="33"/>
      <c r="AB1207" s="33"/>
      <c r="AC1207" s="33"/>
      <c r="AD1207" s="33"/>
      <c r="AE1207" s="33"/>
      <c r="AF1207" s="33"/>
      <c r="AG1207" s="33"/>
      <c r="AH1207" s="99" t="b">
        <f>INDEX(stable[q_standard],MATCH(questions[[#This Row],[qno]],stable[qno],0))</f>
        <v>0</v>
      </c>
      <c r="AI1207" s="99" t="b">
        <f>INDEX(stable[q_living_income],MATCH(questions[[#This Row],[qno]],stable[qno],0))</f>
        <v>1</v>
      </c>
      <c r="AJ1207" s="99" t="b">
        <f>INDEX(stable[q_carbon],MATCH(questions[[#This Row],[qno]],stable[qno],0))</f>
        <v>1</v>
      </c>
      <c r="AK1207" s="99" t="b">
        <f>INDEX(stable[q_regen_ag],MATCH(questions[[#This Row],[qno]],stable[qno],0))</f>
        <v>0</v>
      </c>
      <c r="AL1207" s="16" t="b">
        <f>COUNTIFS(stable[qno],questions[[#This Row],[qno]])=1</f>
        <v>1</v>
      </c>
      <c r="AM1207" s="16" t="b">
        <f>OR(questions[[#This Row],[is_fixed]],questions[[#This Row],[is_localized]],questions[[#This Row],[is_supply_chain_dependent]])</f>
        <v>1</v>
      </c>
      <c r="AN1207" s="16" t="b">
        <f>COUNTIFS(questions[[#This Row],[is_automated]:[is_multi_select]],TRUE)=1</f>
        <v>1</v>
      </c>
      <c r="AO1207" s="16" t="b">
        <f>IF(questions[[#This Row],[is_fixed]],questions[[#This Row],[question]]=INDEX(stable[question],MATCH(questions[[#This Row],[qno]],stable[qno],0)),TRUE)</f>
        <v>1</v>
      </c>
      <c r="AP1207" s="16" t="str">
        <f>LEFT(questions[[#This Row],[question]],similarity_range)</f>
        <v>What was the quantit</v>
      </c>
      <c r="AQ1207" s="16" t="str">
        <f>LEFT(INDEX(stable[question],MATCH(questions[[#This Row],[qno]],stable[qno],0)),similarity_range)</f>
        <v>What was the quantit</v>
      </c>
      <c r="AR1207" s="16" t="b">
        <f>questions[[#This Row],[question_first_characters]]=questions[[#This Row],[stability_first_characters]]</f>
        <v>1</v>
      </c>
      <c r="AS1207" s="16" t="b">
        <f>IF(OR(questions[[#This Row],[is_single_select]],questions[[#This Row],[is_multi_select]]),NOT(ISBLANK(questions[[#This Row],[answer_opt_combined]])),TRUE)</f>
        <v>1</v>
      </c>
    </row>
    <row r="1208" spans="1:45" s="77" customFormat="1" ht="15.75" customHeight="1" x14ac:dyDescent="0.25">
      <c r="A1208" s="77" t="str">
        <f>_xlfn.TEXTJOIN("_",TRUE,questions[[#This Row],[origin]:[qno]])</f>
        <v>Kenya_Arabica_Nestle_2025_5612</v>
      </c>
      <c r="B1208" s="77" t="s">
        <v>818</v>
      </c>
      <c r="C1208" s="77" t="s">
        <v>59</v>
      </c>
      <c r="D1208" s="77" t="s">
        <v>819</v>
      </c>
      <c r="E1208" s="77">
        <v>2025</v>
      </c>
      <c r="F1208" s="105" t="s">
        <v>220</v>
      </c>
      <c r="G1208" s="78" t="s">
        <v>772</v>
      </c>
      <c r="H1208" s="9" t="str" cm="1">
        <f t="array" ref="H1208">INDEX(stableR[question],MATCH(VALUE(questions[[#This Row],[qno]]),VALUE(stableR[qno]),0))</f>
        <v>What was the unit of this most used pesticide/fungicide/herbicide?</v>
      </c>
      <c r="I1208" s="9" t="b" cm="1">
        <f t="array" ref="I1208">INDEX(stable[is_fixed],MATCH(VALUE(questions[[#This Row],[qno]]),VALUE(stable[qno]),0))</f>
        <v>1</v>
      </c>
      <c r="J1208" s="9" t="b" cm="1">
        <f t="array" ref="J1208">INDEX(stable[is_localized],MATCH(VALUE(questions[[#This Row],[qno]]),VALUE(stable[qno]),0))</f>
        <v>0</v>
      </c>
      <c r="K1208" s="9" t="b" cm="1">
        <f t="array" ref="K1208">INDEX(stable[is_supply_chain_dependent],MATCH(VALUE(questions[[#This Row],[qno]]),VALUE(stable[qno]),0))</f>
        <v>0</v>
      </c>
      <c r="L1208" s="9" t="b" cm="1">
        <f t="array" ref="L1208">INDEX(stable[is_mandatory],MATCH(VALUE(questions[[#This Row],[qno]]),VALUE(stable[qno]),0))</f>
        <v>0</v>
      </c>
      <c r="M1208" s="9" t="b" cm="1">
        <f t="array" ref="M1208">INDEX(stable[is_automated],MATCH(VALUE(questions[[#This Row],[qno]]),VALUE(stable[qno]),0))</f>
        <v>0</v>
      </c>
      <c r="N1208" s="9" t="b" cm="1">
        <f t="array" ref="N1208">INDEX(stable[is_free_text],MATCH(VALUE(questions[[#This Row],[qno]]),VALUE(stable[qno]),0))</f>
        <v>0</v>
      </c>
      <c r="O1208" s="9" t="b" cm="1">
        <f t="array" ref="O1208">INDEX(stable[is_numerical],MATCH(VALUE(questions[[#This Row],[qno]]),VALUE(stable[qno]),0))</f>
        <v>0</v>
      </c>
      <c r="P1208" s="77" t="b" cm="1">
        <f t="array" ref="P1208">INDEX(stable[is_single_select],MATCH(VALUE(questions[[#This Row],[qno]]),VALUE(stable[qno]),0))</f>
        <v>1</v>
      </c>
      <c r="Q1208" s="77" t="b" cm="1">
        <f t="array" ref="Q1208">INDEX(stable[is_multi_select],MATCH(VALUE(questions[[#This Row],[qno]]),VALUE(stable[qno]),0))</f>
        <v>0</v>
      </c>
      <c r="R1208" s="77" t="b" cm="1">
        <f t="array" ref="R1208">INDEX(stable[is_skip_logic],MATCH(VALUE(questions[[#This Row],[qno]]),VALUE(stable[qno]),0))</f>
        <v>1</v>
      </c>
      <c r="S1208" s="77" t="str">
        <f>_xlfn.TEXTJOIN(", ",TRUE,questions[[#This Row],[ans_opt_1]:[ans_opt_14]])</f>
        <v>Kgs, Grams, Liters, Mililiters</v>
      </c>
      <c r="T1208" s="77" t="s">
        <v>222</v>
      </c>
      <c r="U1208" s="77" t="s">
        <v>223</v>
      </c>
      <c r="V1208" s="77" t="s">
        <v>224</v>
      </c>
      <c r="W1208" s="77" t="s">
        <v>225</v>
      </c>
      <c r="AH1208" s="98" t="b">
        <f>INDEX(stable[q_standard],MATCH(questions[[#This Row],[qno]],stable[qno],0))</f>
        <v>0</v>
      </c>
      <c r="AI1208" s="98" t="b">
        <f>INDEX(stable[q_living_income],MATCH(questions[[#This Row],[qno]],stable[qno],0))</f>
        <v>1</v>
      </c>
      <c r="AJ1208" s="98" t="b">
        <f>INDEX(stable[q_carbon],MATCH(questions[[#This Row],[qno]],stable[qno],0))</f>
        <v>1</v>
      </c>
      <c r="AK1208" s="98" t="b">
        <f>INDEX(stable[q_regen_ag],MATCH(questions[[#This Row],[qno]],stable[qno],0))</f>
        <v>0</v>
      </c>
      <c r="AL1208" s="98" t="b">
        <f>COUNTIFS(stable[qno],questions[[#This Row],[qno]])=1</f>
        <v>1</v>
      </c>
      <c r="AM1208" s="98" t="b">
        <f>OR(questions[[#This Row],[is_fixed]],questions[[#This Row],[is_localized]],questions[[#This Row],[is_supply_chain_dependent]])</f>
        <v>1</v>
      </c>
      <c r="AN1208" s="98" t="b">
        <f>COUNTIFS(questions[[#This Row],[is_automated]:[is_multi_select]],TRUE)=1</f>
        <v>1</v>
      </c>
      <c r="AO1208" s="98" t="b">
        <f>IF(questions[[#This Row],[is_fixed]],questions[[#This Row],[question]]=INDEX(stable[question],MATCH(questions[[#This Row],[qno]],stable[qno],0)),TRUE)</f>
        <v>0</v>
      </c>
      <c r="AP1208" s="98" t="str">
        <f>LEFT(questions[[#This Row],[question]],similarity_range)</f>
        <v>What was the unit of</v>
      </c>
      <c r="AQ1208" s="98" t="str">
        <f>LEFT(INDEX(stable[question],MATCH(questions[[#This Row],[qno]],stable[qno],0)),similarity_range)</f>
        <v>What was the unit of</v>
      </c>
      <c r="AR1208" s="98" t="b">
        <f>questions[[#This Row],[question_first_characters]]=questions[[#This Row],[stability_first_characters]]</f>
        <v>1</v>
      </c>
      <c r="AS1208" s="98" t="b">
        <f>IF(OR(questions[[#This Row],[is_single_select]],questions[[#This Row],[is_multi_select]]),NOT(ISBLANK(questions[[#This Row],[answer_opt_combined]])),TRUE)</f>
        <v>1</v>
      </c>
    </row>
    <row r="1209" spans="1:45" ht="15.75" customHeight="1" x14ac:dyDescent="0.25">
      <c r="A1209" s="9" t="str">
        <f>_xlfn.TEXTJOIN("_",TRUE,questions[[#This Row],[origin]:[qno]])</f>
        <v>Kenya_Arabica_Nestle_2025_5620</v>
      </c>
      <c r="B1209" s="33" t="s">
        <v>818</v>
      </c>
      <c r="C1209" s="33" t="s">
        <v>59</v>
      </c>
      <c r="D1209" s="33" t="s">
        <v>819</v>
      </c>
      <c r="E1209" s="33">
        <v>2025</v>
      </c>
      <c r="F1209" s="41" t="s">
        <v>226</v>
      </c>
      <c r="G1209" s="18" t="s">
        <v>993</v>
      </c>
      <c r="H1209" s="9" t="str" cm="1">
        <f t="array" ref="H1209">INDEX(stableR[question],MATCH(VALUE(questions[[#This Row],[qno]]),VALUE(stableR[qno]),0))</f>
        <v>What was the name of the pesticide/fungicide or herbicide that you used second most, last year?</v>
      </c>
      <c r="I1209" s="9" t="b" cm="1">
        <f t="array" ref="I1209">INDEX(stable[is_fixed],MATCH(VALUE(questions[[#This Row],[qno]]),VALUE(stable[qno]),0))</f>
        <v>1</v>
      </c>
      <c r="J1209" s="9" t="b" cm="1">
        <f t="array" ref="J1209">INDEX(stable[is_localized],MATCH(VALUE(questions[[#This Row],[qno]]),VALUE(stable[qno]),0))</f>
        <v>0</v>
      </c>
      <c r="K1209" s="9" t="b" cm="1">
        <f t="array" ref="K1209">INDEX(stable[is_supply_chain_dependent],MATCH(VALUE(questions[[#This Row],[qno]]),VALUE(stable[qno]),0))</f>
        <v>0</v>
      </c>
      <c r="L1209" s="9" t="b" cm="1">
        <f t="array" ref="L1209">INDEX(stable[is_mandatory],MATCH(VALUE(questions[[#This Row],[qno]]),VALUE(stable[qno]),0))</f>
        <v>0</v>
      </c>
      <c r="M1209" s="9" t="b" cm="1">
        <f t="array" ref="M1209">INDEX(stable[is_automated],MATCH(VALUE(questions[[#This Row],[qno]]),VALUE(stable[qno]),0))</f>
        <v>0</v>
      </c>
      <c r="N1209" s="9" t="b" cm="1">
        <f t="array" ref="N1209">INDEX(stable[is_free_text],MATCH(VALUE(questions[[#This Row],[qno]]),VALUE(stable[qno]),0))</f>
        <v>1</v>
      </c>
      <c r="O1209" s="9" t="b" cm="1">
        <f t="array" ref="O1209">INDEX(stable[is_numerical],MATCH(VALUE(questions[[#This Row],[qno]]),VALUE(stable[qno]),0))</f>
        <v>0</v>
      </c>
      <c r="P1209" s="9" t="b" cm="1">
        <f t="array" ref="P1209">INDEX(stable[is_single_select],MATCH(VALUE(questions[[#This Row],[qno]]),VALUE(stable[qno]),0))</f>
        <v>0</v>
      </c>
      <c r="Q1209" s="9" t="b" cm="1">
        <f t="array" ref="Q1209">INDEX(stable[is_multi_select],MATCH(VALUE(questions[[#This Row],[qno]]),VALUE(stable[qno]),0))</f>
        <v>0</v>
      </c>
      <c r="R1209" s="9" t="b" cm="1">
        <f t="array" ref="R1209">INDEX(stable[is_skip_logic],MATCH(VALUE(questions[[#This Row],[qno]]),VALUE(stable[qno]),0))</f>
        <v>1</v>
      </c>
      <c r="S1209" s="9" t="str">
        <f>_xlfn.TEXTJOIN(", ",TRUE,questions[[#This Row],[ans_opt_1]:[ans_opt_14]])</f>
        <v/>
      </c>
      <c r="T1209" s="33"/>
      <c r="U1209" s="33"/>
      <c r="V1209" s="33"/>
      <c r="W1209" s="33"/>
      <c r="X1209" s="33"/>
      <c r="Y1209" s="33"/>
      <c r="Z1209" s="33"/>
      <c r="AA1209" s="33"/>
      <c r="AB1209" s="33"/>
      <c r="AC1209" s="33"/>
      <c r="AD1209" s="33"/>
      <c r="AE1209" s="33"/>
      <c r="AF1209" s="33"/>
      <c r="AG1209" s="33"/>
      <c r="AH1209" s="99" t="b">
        <f>INDEX(stable[q_standard],MATCH(questions[[#This Row],[qno]],stable[qno],0))</f>
        <v>0</v>
      </c>
      <c r="AI1209" s="99" t="b">
        <f>INDEX(stable[q_living_income],MATCH(questions[[#This Row],[qno]],stable[qno],0))</f>
        <v>1</v>
      </c>
      <c r="AJ1209" s="99" t="b">
        <f>INDEX(stable[q_carbon],MATCH(questions[[#This Row],[qno]],stable[qno],0))</f>
        <v>1</v>
      </c>
      <c r="AK1209" s="99" t="b">
        <f>INDEX(stable[q_regen_ag],MATCH(questions[[#This Row],[qno]],stable[qno],0))</f>
        <v>0</v>
      </c>
      <c r="AL1209" s="16" t="b">
        <f>COUNTIFS(stable[qno],questions[[#This Row],[qno]])=1</f>
        <v>1</v>
      </c>
      <c r="AM1209" s="16" t="b">
        <f>OR(questions[[#This Row],[is_fixed]],questions[[#This Row],[is_localized]],questions[[#This Row],[is_supply_chain_dependent]])</f>
        <v>1</v>
      </c>
      <c r="AN1209" s="16" t="b">
        <f>COUNTIFS(questions[[#This Row],[is_automated]:[is_multi_select]],TRUE)=1</f>
        <v>1</v>
      </c>
      <c r="AO1209" s="16" t="b">
        <f>IF(questions[[#This Row],[is_fixed]],questions[[#This Row],[question]]=INDEX(stable[question],MATCH(questions[[#This Row],[qno]],stable[qno],0)),TRUE)</f>
        <v>0</v>
      </c>
      <c r="AP1209" s="16" t="str">
        <f>LEFT(questions[[#This Row],[question]],similarity_range)</f>
        <v>If yes, what was the</v>
      </c>
      <c r="AQ1209" s="16" t="str">
        <f>LEFT(INDEX(stable[question],MATCH(questions[[#This Row],[qno]],stable[qno],0)),similarity_range)</f>
        <v>If yes, what was the</v>
      </c>
      <c r="AR1209" s="16" t="b">
        <f>questions[[#This Row],[question_first_characters]]=questions[[#This Row],[stability_first_characters]]</f>
        <v>1</v>
      </c>
      <c r="AS1209" s="16" t="b">
        <f>IF(OR(questions[[#This Row],[is_single_select]],questions[[#This Row],[is_multi_select]]),NOT(ISBLANK(questions[[#This Row],[answer_opt_combined]])),TRUE)</f>
        <v>1</v>
      </c>
    </row>
    <row r="1210" spans="1:45" ht="15.75" customHeight="1" x14ac:dyDescent="0.25">
      <c r="A1210" s="9" t="str">
        <f>_xlfn.TEXTJOIN("_",TRUE,questions[[#This Row],[origin]:[qno]])</f>
        <v>Kenya_Arabica_Nestle_2025_5621</v>
      </c>
      <c r="B1210" s="33" t="s">
        <v>818</v>
      </c>
      <c r="C1210" s="33" t="s">
        <v>59</v>
      </c>
      <c r="D1210" s="33" t="s">
        <v>819</v>
      </c>
      <c r="E1210" s="33">
        <v>2025</v>
      </c>
      <c r="F1210" s="41" t="s">
        <v>228</v>
      </c>
      <c r="G1210" s="18" t="s">
        <v>229</v>
      </c>
      <c r="H1210" s="9" t="str" cm="1">
        <f t="array" ref="H1210">INDEX(stableR[question],MATCH(VALUE(questions[[#This Row],[qno]]),VALUE(stableR[qno]),0))</f>
        <v>What was the quantity used of this second most used pesticide/fungicide/herbicide last year?</v>
      </c>
      <c r="I1210" s="9" t="b" cm="1">
        <f t="array" ref="I1210">INDEX(stable[is_fixed],MATCH(VALUE(questions[[#This Row],[qno]]),VALUE(stable[qno]),0))</f>
        <v>1</v>
      </c>
      <c r="J1210" s="9" t="b" cm="1">
        <f t="array" ref="J1210">INDEX(stable[is_localized],MATCH(VALUE(questions[[#This Row],[qno]]),VALUE(stable[qno]),0))</f>
        <v>0</v>
      </c>
      <c r="K1210" s="9" t="b" cm="1">
        <f t="array" ref="K1210">INDEX(stable[is_supply_chain_dependent],MATCH(VALUE(questions[[#This Row],[qno]]),VALUE(stable[qno]),0))</f>
        <v>0</v>
      </c>
      <c r="L1210" s="9" t="b" cm="1">
        <f t="array" ref="L1210">INDEX(stable[is_mandatory],MATCH(VALUE(questions[[#This Row],[qno]]),VALUE(stable[qno]),0))</f>
        <v>0</v>
      </c>
      <c r="M1210" s="9" t="b" cm="1">
        <f t="array" ref="M1210">INDEX(stable[is_automated],MATCH(VALUE(questions[[#This Row],[qno]]),VALUE(stable[qno]),0))</f>
        <v>0</v>
      </c>
      <c r="N1210" s="9" t="b" cm="1">
        <f t="array" ref="N1210">INDEX(stable[is_free_text],MATCH(VALUE(questions[[#This Row],[qno]]),VALUE(stable[qno]),0))</f>
        <v>0</v>
      </c>
      <c r="O1210" s="9" t="b" cm="1">
        <f t="array" ref="O1210">INDEX(stable[is_numerical],MATCH(VALUE(questions[[#This Row],[qno]]),VALUE(stable[qno]),0))</f>
        <v>1</v>
      </c>
      <c r="P1210" s="9" t="b" cm="1">
        <f t="array" ref="P1210">INDEX(stable[is_single_select],MATCH(VALUE(questions[[#This Row],[qno]]),VALUE(stable[qno]),0))</f>
        <v>0</v>
      </c>
      <c r="Q1210" s="9" t="b" cm="1">
        <f t="array" ref="Q1210">INDEX(stable[is_multi_select],MATCH(VALUE(questions[[#This Row],[qno]]),VALUE(stable[qno]),0))</f>
        <v>0</v>
      </c>
      <c r="R1210" s="9" t="b" cm="1">
        <f t="array" ref="R1210">INDEX(stable[is_skip_logic],MATCH(VALUE(questions[[#This Row],[qno]]),VALUE(stable[qno]),0))</f>
        <v>1</v>
      </c>
      <c r="S1210" s="9" t="str">
        <f>_xlfn.TEXTJOIN(", ",TRUE,questions[[#This Row],[ans_opt_1]:[ans_opt_14]])</f>
        <v/>
      </c>
      <c r="T1210" s="33"/>
      <c r="U1210" s="33"/>
      <c r="V1210" s="33"/>
      <c r="W1210" s="33"/>
      <c r="X1210" s="33"/>
      <c r="Y1210" s="33"/>
      <c r="Z1210" s="33"/>
      <c r="AA1210" s="33"/>
      <c r="AB1210" s="33"/>
      <c r="AC1210" s="33"/>
      <c r="AD1210" s="33"/>
      <c r="AE1210" s="33"/>
      <c r="AF1210" s="33"/>
      <c r="AG1210" s="33"/>
      <c r="AH1210" s="99" t="b">
        <f>INDEX(stable[q_standard],MATCH(questions[[#This Row],[qno]],stable[qno],0))</f>
        <v>0</v>
      </c>
      <c r="AI1210" s="99" t="b">
        <f>INDEX(stable[q_living_income],MATCH(questions[[#This Row],[qno]],stable[qno],0))</f>
        <v>1</v>
      </c>
      <c r="AJ1210" s="99" t="b">
        <f>INDEX(stable[q_carbon],MATCH(questions[[#This Row],[qno]],stable[qno],0))</f>
        <v>1</v>
      </c>
      <c r="AK1210" s="99" t="b">
        <f>INDEX(stable[q_regen_ag],MATCH(questions[[#This Row],[qno]],stable[qno],0))</f>
        <v>0</v>
      </c>
      <c r="AL1210" s="16" t="b">
        <f>COUNTIFS(stable[qno],questions[[#This Row],[qno]])=1</f>
        <v>1</v>
      </c>
      <c r="AM1210" s="16" t="b">
        <f>OR(questions[[#This Row],[is_fixed]],questions[[#This Row],[is_localized]],questions[[#This Row],[is_supply_chain_dependent]])</f>
        <v>1</v>
      </c>
      <c r="AN1210" s="16" t="b">
        <f>COUNTIFS(questions[[#This Row],[is_automated]:[is_multi_select]],TRUE)=1</f>
        <v>1</v>
      </c>
      <c r="AO1210" s="16" t="b">
        <f>IF(questions[[#This Row],[is_fixed]],questions[[#This Row],[question]]=INDEX(stable[question],MATCH(questions[[#This Row],[qno]],stable[qno],0)),TRUE)</f>
        <v>1</v>
      </c>
      <c r="AP1210" s="16" t="str">
        <f>LEFT(questions[[#This Row],[question]],similarity_range)</f>
        <v>What was the quantit</v>
      </c>
      <c r="AQ1210" s="16" t="str">
        <f>LEFT(INDEX(stable[question],MATCH(questions[[#This Row],[qno]],stable[qno],0)),similarity_range)</f>
        <v>What was the quantit</v>
      </c>
      <c r="AR1210" s="16" t="b">
        <f>questions[[#This Row],[question_first_characters]]=questions[[#This Row],[stability_first_characters]]</f>
        <v>1</v>
      </c>
      <c r="AS1210" s="16" t="b">
        <f>IF(OR(questions[[#This Row],[is_single_select]],questions[[#This Row],[is_multi_select]]),NOT(ISBLANK(questions[[#This Row],[answer_opt_combined]])),TRUE)</f>
        <v>1</v>
      </c>
    </row>
    <row r="1211" spans="1:45" s="77" customFormat="1" ht="15.75" customHeight="1" x14ac:dyDescent="0.25">
      <c r="A1211" s="77" t="str">
        <f>_xlfn.TEXTJOIN("_",TRUE,questions[[#This Row],[origin]:[qno]])</f>
        <v>Kenya_Arabica_Nestle_2025_5622</v>
      </c>
      <c r="B1211" s="77" t="s">
        <v>818</v>
      </c>
      <c r="C1211" s="77" t="s">
        <v>59</v>
      </c>
      <c r="D1211" s="77" t="s">
        <v>819</v>
      </c>
      <c r="E1211" s="77">
        <v>2025</v>
      </c>
      <c r="F1211" s="105" t="s">
        <v>230</v>
      </c>
      <c r="G1211" s="78" t="s">
        <v>774</v>
      </c>
      <c r="H1211" s="9" t="str" cm="1">
        <f t="array" ref="H1211">INDEX(stableR[question],MATCH(VALUE(questions[[#This Row],[qno]]),VALUE(stableR[qno]),0))</f>
        <v>What was the unit of this second most used pesticide/fungicide/herbicide?</v>
      </c>
      <c r="I1211" s="9" t="b" cm="1">
        <f t="array" ref="I1211">INDEX(stable[is_fixed],MATCH(VALUE(questions[[#This Row],[qno]]),VALUE(stable[qno]),0))</f>
        <v>1</v>
      </c>
      <c r="J1211" s="9" t="b" cm="1">
        <f t="array" ref="J1211">INDEX(stable[is_localized],MATCH(VALUE(questions[[#This Row],[qno]]),VALUE(stable[qno]),0))</f>
        <v>0</v>
      </c>
      <c r="K1211" s="9" t="b" cm="1">
        <f t="array" ref="K1211">INDEX(stable[is_supply_chain_dependent],MATCH(VALUE(questions[[#This Row],[qno]]),VALUE(stable[qno]),0))</f>
        <v>0</v>
      </c>
      <c r="L1211" s="9" t="b" cm="1">
        <f t="array" ref="L1211">INDEX(stable[is_mandatory],MATCH(VALUE(questions[[#This Row],[qno]]),VALUE(stable[qno]),0))</f>
        <v>0</v>
      </c>
      <c r="M1211" s="9" t="b" cm="1">
        <f t="array" ref="M1211">INDEX(stable[is_automated],MATCH(VALUE(questions[[#This Row],[qno]]),VALUE(stable[qno]),0))</f>
        <v>0</v>
      </c>
      <c r="N1211" s="9" t="b" cm="1">
        <f t="array" ref="N1211">INDEX(stable[is_free_text],MATCH(VALUE(questions[[#This Row],[qno]]),VALUE(stable[qno]),0))</f>
        <v>0</v>
      </c>
      <c r="O1211" s="9" t="b" cm="1">
        <f t="array" ref="O1211">INDEX(stable[is_numerical],MATCH(VALUE(questions[[#This Row],[qno]]),VALUE(stable[qno]),0))</f>
        <v>0</v>
      </c>
      <c r="P1211" s="77" t="b" cm="1">
        <f t="array" ref="P1211">INDEX(stable[is_single_select],MATCH(VALUE(questions[[#This Row],[qno]]),VALUE(stable[qno]),0))</f>
        <v>1</v>
      </c>
      <c r="Q1211" s="77" t="b" cm="1">
        <f t="array" ref="Q1211">INDEX(stable[is_multi_select],MATCH(VALUE(questions[[#This Row],[qno]]),VALUE(stable[qno]),0))</f>
        <v>0</v>
      </c>
      <c r="R1211" s="77" t="b" cm="1">
        <f t="array" ref="R1211">INDEX(stable[is_skip_logic],MATCH(VALUE(questions[[#This Row],[qno]]),VALUE(stable[qno]),0))</f>
        <v>1</v>
      </c>
      <c r="S1211" s="77" t="str">
        <f>_xlfn.TEXTJOIN(", ",TRUE,questions[[#This Row],[ans_opt_1]:[ans_opt_14]])</f>
        <v>Kgs, Grams, Liters, Mililiters</v>
      </c>
      <c r="T1211" s="77" t="s">
        <v>222</v>
      </c>
      <c r="U1211" s="77" t="s">
        <v>223</v>
      </c>
      <c r="V1211" s="77" t="s">
        <v>224</v>
      </c>
      <c r="W1211" s="77" t="s">
        <v>225</v>
      </c>
      <c r="AH1211" s="98" t="b">
        <f>INDEX(stable[q_standard],MATCH(questions[[#This Row],[qno]],stable[qno],0))</f>
        <v>0</v>
      </c>
      <c r="AI1211" s="98" t="b">
        <f>INDEX(stable[q_living_income],MATCH(questions[[#This Row],[qno]],stable[qno],0))</f>
        <v>1</v>
      </c>
      <c r="AJ1211" s="98" t="b">
        <f>INDEX(stable[q_carbon],MATCH(questions[[#This Row],[qno]],stable[qno],0))</f>
        <v>1</v>
      </c>
      <c r="AK1211" s="98" t="b">
        <f>INDEX(stable[q_regen_ag],MATCH(questions[[#This Row],[qno]],stable[qno],0))</f>
        <v>0</v>
      </c>
      <c r="AL1211" s="98" t="b">
        <f>COUNTIFS(stable[qno],questions[[#This Row],[qno]])=1</f>
        <v>1</v>
      </c>
      <c r="AM1211" s="98" t="b">
        <f>OR(questions[[#This Row],[is_fixed]],questions[[#This Row],[is_localized]],questions[[#This Row],[is_supply_chain_dependent]])</f>
        <v>1</v>
      </c>
      <c r="AN1211" s="98" t="b">
        <f>COUNTIFS(questions[[#This Row],[is_automated]:[is_multi_select]],TRUE)=1</f>
        <v>1</v>
      </c>
      <c r="AO1211" s="98" t="b">
        <f>IF(questions[[#This Row],[is_fixed]],questions[[#This Row],[question]]=INDEX(stable[question],MATCH(questions[[#This Row],[qno]],stable[qno],0)),TRUE)</f>
        <v>0</v>
      </c>
      <c r="AP1211" s="98" t="str">
        <f>LEFT(questions[[#This Row],[question]],similarity_range)</f>
        <v>What was the unit of</v>
      </c>
      <c r="AQ1211" s="98" t="str">
        <f>LEFT(INDEX(stable[question],MATCH(questions[[#This Row],[qno]],stable[qno],0)),similarity_range)</f>
        <v>What was the unit of</v>
      </c>
      <c r="AR1211" s="98" t="b">
        <f>questions[[#This Row],[question_first_characters]]=questions[[#This Row],[stability_first_characters]]</f>
        <v>1</v>
      </c>
      <c r="AS1211" s="98" t="b">
        <f>IF(OR(questions[[#This Row],[is_single_select]],questions[[#This Row],[is_multi_select]]),NOT(ISBLANK(questions[[#This Row],[answer_opt_combined]])),TRUE)</f>
        <v>1</v>
      </c>
    </row>
    <row r="1212" spans="1:45" ht="15.75" customHeight="1" x14ac:dyDescent="0.25">
      <c r="A1212" s="9" t="str">
        <f>_xlfn.TEXTJOIN("_",TRUE,questions[[#This Row],[origin]:[qno]])</f>
        <v>Kenya_Arabica_Nestle_2025_5630</v>
      </c>
      <c r="B1212" s="33" t="s">
        <v>818</v>
      </c>
      <c r="C1212" s="33" t="s">
        <v>59</v>
      </c>
      <c r="D1212" s="33" t="s">
        <v>819</v>
      </c>
      <c r="E1212" s="33">
        <v>2025</v>
      </c>
      <c r="F1212" s="41" t="s">
        <v>232</v>
      </c>
      <c r="G1212" s="18" t="s">
        <v>994</v>
      </c>
      <c r="H1212" s="9" t="str" cm="1">
        <f t="array" ref="H1212">INDEX(stableR[question],MATCH(VALUE(questions[[#This Row],[qno]]),VALUE(stableR[qno]),0))</f>
        <v>What was the name of the pesticide/fungicide or herbicide that you used third most, last year?</v>
      </c>
      <c r="I1212" s="9" t="b" cm="1">
        <f t="array" ref="I1212">INDEX(stable[is_fixed],MATCH(VALUE(questions[[#This Row],[qno]]),VALUE(stable[qno]),0))</f>
        <v>1</v>
      </c>
      <c r="J1212" s="9" t="b" cm="1">
        <f t="array" ref="J1212">INDEX(stable[is_localized],MATCH(VALUE(questions[[#This Row],[qno]]),VALUE(stable[qno]),0))</f>
        <v>0</v>
      </c>
      <c r="K1212" s="9" t="b" cm="1">
        <f t="array" ref="K1212">INDEX(stable[is_supply_chain_dependent],MATCH(VALUE(questions[[#This Row],[qno]]),VALUE(stable[qno]),0))</f>
        <v>0</v>
      </c>
      <c r="L1212" s="9" t="b" cm="1">
        <f t="array" ref="L1212">INDEX(stable[is_mandatory],MATCH(VALUE(questions[[#This Row],[qno]]),VALUE(stable[qno]),0))</f>
        <v>0</v>
      </c>
      <c r="M1212" s="9" t="b" cm="1">
        <f t="array" ref="M1212">INDEX(stable[is_automated],MATCH(VALUE(questions[[#This Row],[qno]]),VALUE(stable[qno]),0))</f>
        <v>0</v>
      </c>
      <c r="N1212" s="9" t="b" cm="1">
        <f t="array" ref="N1212">INDEX(stable[is_free_text],MATCH(VALUE(questions[[#This Row],[qno]]),VALUE(stable[qno]),0))</f>
        <v>1</v>
      </c>
      <c r="O1212" s="9" t="b" cm="1">
        <f t="array" ref="O1212">INDEX(stable[is_numerical],MATCH(VALUE(questions[[#This Row],[qno]]),VALUE(stable[qno]),0))</f>
        <v>0</v>
      </c>
      <c r="P1212" s="9" t="b" cm="1">
        <f t="array" ref="P1212">INDEX(stable[is_single_select],MATCH(VALUE(questions[[#This Row],[qno]]),VALUE(stable[qno]),0))</f>
        <v>0</v>
      </c>
      <c r="Q1212" s="9" t="b" cm="1">
        <f t="array" ref="Q1212">INDEX(stable[is_multi_select],MATCH(VALUE(questions[[#This Row],[qno]]),VALUE(stable[qno]),0))</f>
        <v>0</v>
      </c>
      <c r="R1212" s="9" t="b" cm="1">
        <f t="array" ref="R1212">INDEX(stable[is_skip_logic],MATCH(VALUE(questions[[#This Row],[qno]]),VALUE(stable[qno]),0))</f>
        <v>1</v>
      </c>
      <c r="S1212" s="9" t="str">
        <f>_xlfn.TEXTJOIN(", ",TRUE,questions[[#This Row],[ans_opt_1]:[ans_opt_14]])</f>
        <v/>
      </c>
      <c r="T1212" s="33"/>
      <c r="U1212" s="33"/>
      <c r="V1212" s="33"/>
      <c r="W1212" s="33"/>
      <c r="X1212" s="33"/>
      <c r="Y1212" s="33"/>
      <c r="Z1212" s="33"/>
      <c r="AA1212" s="33"/>
      <c r="AB1212" s="33"/>
      <c r="AC1212" s="33"/>
      <c r="AD1212" s="33"/>
      <c r="AE1212" s="33"/>
      <c r="AF1212" s="33"/>
      <c r="AG1212" s="33"/>
      <c r="AH1212" s="99" t="b">
        <f>INDEX(stable[q_standard],MATCH(questions[[#This Row],[qno]],stable[qno],0))</f>
        <v>0</v>
      </c>
      <c r="AI1212" s="99" t="b">
        <f>INDEX(stable[q_living_income],MATCH(questions[[#This Row],[qno]],stable[qno],0))</f>
        <v>1</v>
      </c>
      <c r="AJ1212" s="99" t="b">
        <f>INDEX(stable[q_carbon],MATCH(questions[[#This Row],[qno]],stable[qno],0))</f>
        <v>1</v>
      </c>
      <c r="AK1212" s="99" t="b">
        <f>INDEX(stable[q_regen_ag],MATCH(questions[[#This Row],[qno]],stable[qno],0))</f>
        <v>0</v>
      </c>
      <c r="AL1212" s="16" t="b">
        <f>COUNTIFS(stable[qno],questions[[#This Row],[qno]])=1</f>
        <v>1</v>
      </c>
      <c r="AM1212" s="16" t="b">
        <f>OR(questions[[#This Row],[is_fixed]],questions[[#This Row],[is_localized]],questions[[#This Row],[is_supply_chain_dependent]])</f>
        <v>1</v>
      </c>
      <c r="AN1212" s="16" t="b">
        <f>COUNTIFS(questions[[#This Row],[is_automated]:[is_multi_select]],TRUE)=1</f>
        <v>1</v>
      </c>
      <c r="AO1212" s="16" t="b">
        <f>IF(questions[[#This Row],[is_fixed]],questions[[#This Row],[question]]=INDEX(stable[question],MATCH(questions[[#This Row],[qno]],stable[qno],0)),TRUE)</f>
        <v>0</v>
      </c>
      <c r="AP1212" s="16" t="str">
        <f>LEFT(questions[[#This Row],[question]],similarity_range)</f>
        <v>If yes, what was the</v>
      </c>
      <c r="AQ1212" s="16" t="str">
        <f>LEFT(INDEX(stable[question],MATCH(questions[[#This Row],[qno]],stable[qno],0)),similarity_range)</f>
        <v>If yes, what was the</v>
      </c>
      <c r="AR1212" s="16" t="b">
        <f>questions[[#This Row],[question_first_characters]]=questions[[#This Row],[stability_first_characters]]</f>
        <v>1</v>
      </c>
      <c r="AS1212" s="16" t="b">
        <f>IF(OR(questions[[#This Row],[is_single_select]],questions[[#This Row],[is_multi_select]]),NOT(ISBLANK(questions[[#This Row],[answer_opt_combined]])),TRUE)</f>
        <v>1</v>
      </c>
    </row>
    <row r="1213" spans="1:45" ht="15.75" customHeight="1" x14ac:dyDescent="0.25">
      <c r="A1213" s="9" t="str">
        <f>_xlfn.TEXTJOIN("_",TRUE,questions[[#This Row],[origin]:[qno]])</f>
        <v>Kenya_Arabica_Nestle_2025_5631</v>
      </c>
      <c r="B1213" s="33" t="s">
        <v>818</v>
      </c>
      <c r="C1213" s="33" t="s">
        <v>59</v>
      </c>
      <c r="D1213" s="33" t="s">
        <v>819</v>
      </c>
      <c r="E1213" s="33">
        <v>2025</v>
      </c>
      <c r="F1213" s="41" t="s">
        <v>234</v>
      </c>
      <c r="G1213" s="18" t="s">
        <v>235</v>
      </c>
      <c r="H1213" s="9" t="str" cm="1">
        <f t="array" ref="H1213">INDEX(stableR[question],MATCH(VALUE(questions[[#This Row],[qno]]),VALUE(stableR[qno]),0))</f>
        <v>What was the quantity used of this third most used pesticide/fungicide/herbicide last year?</v>
      </c>
      <c r="I1213" s="9" t="b" cm="1">
        <f t="array" ref="I1213">INDEX(stable[is_fixed],MATCH(VALUE(questions[[#This Row],[qno]]),VALUE(stable[qno]),0))</f>
        <v>1</v>
      </c>
      <c r="J1213" s="9" t="b" cm="1">
        <f t="array" ref="J1213">INDEX(stable[is_localized],MATCH(VALUE(questions[[#This Row],[qno]]),VALUE(stable[qno]),0))</f>
        <v>0</v>
      </c>
      <c r="K1213" s="9" t="b" cm="1">
        <f t="array" ref="K1213">INDEX(stable[is_supply_chain_dependent],MATCH(VALUE(questions[[#This Row],[qno]]),VALUE(stable[qno]),0))</f>
        <v>0</v>
      </c>
      <c r="L1213" s="9" t="b" cm="1">
        <f t="array" ref="L1213">INDEX(stable[is_mandatory],MATCH(VALUE(questions[[#This Row],[qno]]),VALUE(stable[qno]),0))</f>
        <v>0</v>
      </c>
      <c r="M1213" s="9" t="b" cm="1">
        <f t="array" ref="M1213">INDEX(stable[is_automated],MATCH(VALUE(questions[[#This Row],[qno]]),VALUE(stable[qno]),0))</f>
        <v>0</v>
      </c>
      <c r="N1213" s="9" t="b" cm="1">
        <f t="array" ref="N1213">INDEX(stable[is_free_text],MATCH(VALUE(questions[[#This Row],[qno]]),VALUE(stable[qno]),0))</f>
        <v>0</v>
      </c>
      <c r="O1213" s="9" t="b" cm="1">
        <f t="array" ref="O1213">INDEX(stable[is_numerical],MATCH(VALUE(questions[[#This Row],[qno]]),VALUE(stable[qno]),0))</f>
        <v>1</v>
      </c>
      <c r="P1213" s="9" t="b" cm="1">
        <f t="array" ref="P1213">INDEX(stable[is_single_select],MATCH(VALUE(questions[[#This Row],[qno]]),VALUE(stable[qno]),0))</f>
        <v>0</v>
      </c>
      <c r="Q1213" s="9" t="b" cm="1">
        <f t="array" ref="Q1213">INDEX(stable[is_multi_select],MATCH(VALUE(questions[[#This Row],[qno]]),VALUE(stable[qno]),0))</f>
        <v>0</v>
      </c>
      <c r="R1213" s="9" t="b" cm="1">
        <f t="array" ref="R1213">INDEX(stable[is_skip_logic],MATCH(VALUE(questions[[#This Row],[qno]]),VALUE(stable[qno]),0))</f>
        <v>1</v>
      </c>
      <c r="S1213" s="9" t="str">
        <f>_xlfn.TEXTJOIN(", ",TRUE,questions[[#This Row],[ans_opt_1]:[ans_opt_14]])</f>
        <v/>
      </c>
      <c r="T1213" s="33"/>
      <c r="U1213" s="33"/>
      <c r="V1213" s="33"/>
      <c r="W1213" s="33"/>
      <c r="X1213" s="33"/>
      <c r="Y1213" s="33"/>
      <c r="Z1213" s="33"/>
      <c r="AA1213" s="33"/>
      <c r="AB1213" s="33"/>
      <c r="AC1213" s="33"/>
      <c r="AD1213" s="33"/>
      <c r="AE1213" s="33"/>
      <c r="AF1213" s="33"/>
      <c r="AG1213" s="33"/>
      <c r="AH1213" s="99" t="b">
        <f>INDEX(stable[q_standard],MATCH(questions[[#This Row],[qno]],stable[qno],0))</f>
        <v>0</v>
      </c>
      <c r="AI1213" s="99" t="b">
        <f>INDEX(stable[q_living_income],MATCH(questions[[#This Row],[qno]],stable[qno],0))</f>
        <v>1</v>
      </c>
      <c r="AJ1213" s="99" t="b">
        <f>INDEX(stable[q_carbon],MATCH(questions[[#This Row],[qno]],stable[qno],0))</f>
        <v>1</v>
      </c>
      <c r="AK1213" s="99" t="b">
        <f>INDEX(stable[q_regen_ag],MATCH(questions[[#This Row],[qno]],stable[qno],0))</f>
        <v>0</v>
      </c>
      <c r="AL1213" s="16" t="b">
        <f>COUNTIFS(stable[qno],questions[[#This Row],[qno]])=1</f>
        <v>1</v>
      </c>
      <c r="AM1213" s="16" t="b">
        <f>OR(questions[[#This Row],[is_fixed]],questions[[#This Row],[is_localized]],questions[[#This Row],[is_supply_chain_dependent]])</f>
        <v>1</v>
      </c>
      <c r="AN1213" s="16" t="b">
        <f>COUNTIFS(questions[[#This Row],[is_automated]:[is_multi_select]],TRUE)=1</f>
        <v>1</v>
      </c>
      <c r="AO1213" s="16" t="b">
        <f>IF(questions[[#This Row],[is_fixed]],questions[[#This Row],[question]]=INDEX(stable[question],MATCH(questions[[#This Row],[qno]],stable[qno],0)),TRUE)</f>
        <v>1</v>
      </c>
      <c r="AP1213" s="16" t="str">
        <f>LEFT(questions[[#This Row],[question]],similarity_range)</f>
        <v>What was the quantit</v>
      </c>
      <c r="AQ1213" s="16" t="str">
        <f>LEFT(INDEX(stable[question],MATCH(questions[[#This Row],[qno]],stable[qno],0)),similarity_range)</f>
        <v>What was the quantit</v>
      </c>
      <c r="AR1213" s="16" t="b">
        <f>questions[[#This Row],[question_first_characters]]=questions[[#This Row],[stability_first_characters]]</f>
        <v>1</v>
      </c>
      <c r="AS1213" s="16" t="b">
        <f>IF(OR(questions[[#This Row],[is_single_select]],questions[[#This Row],[is_multi_select]]),NOT(ISBLANK(questions[[#This Row],[answer_opt_combined]])),TRUE)</f>
        <v>1</v>
      </c>
    </row>
    <row r="1214" spans="1:45" s="77" customFormat="1" ht="15.75" customHeight="1" x14ac:dyDescent="0.25">
      <c r="A1214" s="77" t="str">
        <f>_xlfn.TEXTJOIN("_",TRUE,questions[[#This Row],[origin]:[qno]])</f>
        <v>Kenya_Arabica_Nestle_2025_5632</v>
      </c>
      <c r="B1214" s="77" t="s">
        <v>818</v>
      </c>
      <c r="C1214" s="77" t="s">
        <v>59</v>
      </c>
      <c r="D1214" s="77" t="s">
        <v>819</v>
      </c>
      <c r="E1214" s="77">
        <v>2025</v>
      </c>
      <c r="F1214" s="105" t="s">
        <v>236</v>
      </c>
      <c r="G1214" s="78" t="s">
        <v>776</v>
      </c>
      <c r="H1214" s="9" t="str" cm="1">
        <f t="array" ref="H1214">INDEX(stableR[question],MATCH(VALUE(questions[[#This Row],[qno]]),VALUE(stableR[qno]),0))</f>
        <v>What was the unit of this third most used pesticide/fungicide/herbicide</v>
      </c>
      <c r="I1214" s="9" t="b" cm="1">
        <f t="array" ref="I1214">INDEX(stable[is_fixed],MATCH(VALUE(questions[[#This Row],[qno]]),VALUE(stable[qno]),0))</f>
        <v>1</v>
      </c>
      <c r="J1214" s="9" t="b" cm="1">
        <f t="array" ref="J1214">INDEX(stable[is_localized],MATCH(VALUE(questions[[#This Row],[qno]]),VALUE(stable[qno]),0))</f>
        <v>0</v>
      </c>
      <c r="K1214" s="9" t="b" cm="1">
        <f t="array" ref="K1214">INDEX(stable[is_supply_chain_dependent],MATCH(VALUE(questions[[#This Row],[qno]]),VALUE(stable[qno]),0))</f>
        <v>0</v>
      </c>
      <c r="L1214" s="9" t="b" cm="1">
        <f t="array" ref="L1214">INDEX(stable[is_mandatory],MATCH(VALUE(questions[[#This Row],[qno]]),VALUE(stable[qno]),0))</f>
        <v>0</v>
      </c>
      <c r="M1214" s="9" t="b" cm="1">
        <f t="array" ref="M1214">INDEX(stable[is_automated],MATCH(VALUE(questions[[#This Row],[qno]]),VALUE(stable[qno]),0))</f>
        <v>0</v>
      </c>
      <c r="N1214" s="9" t="b" cm="1">
        <f t="array" ref="N1214">INDEX(stable[is_free_text],MATCH(VALUE(questions[[#This Row],[qno]]),VALUE(stable[qno]),0))</f>
        <v>0</v>
      </c>
      <c r="O1214" s="9" t="b" cm="1">
        <f t="array" ref="O1214">INDEX(stable[is_numerical],MATCH(VALUE(questions[[#This Row],[qno]]),VALUE(stable[qno]),0))</f>
        <v>0</v>
      </c>
      <c r="P1214" s="77" t="b" cm="1">
        <f t="array" ref="P1214">INDEX(stable[is_single_select],MATCH(VALUE(questions[[#This Row],[qno]]),VALUE(stable[qno]),0))</f>
        <v>1</v>
      </c>
      <c r="Q1214" s="77" t="b" cm="1">
        <f t="array" ref="Q1214">INDEX(stable[is_multi_select],MATCH(VALUE(questions[[#This Row],[qno]]),VALUE(stable[qno]),0))</f>
        <v>0</v>
      </c>
      <c r="R1214" s="77" t="b" cm="1">
        <f t="array" ref="R1214">INDEX(stable[is_skip_logic],MATCH(VALUE(questions[[#This Row],[qno]]),VALUE(stable[qno]),0))</f>
        <v>1</v>
      </c>
      <c r="S1214" s="77" t="str">
        <f>_xlfn.TEXTJOIN(", ",TRUE,questions[[#This Row],[ans_opt_1]:[ans_opt_14]])</f>
        <v>Kgs, Grams, Liters, Mililiters</v>
      </c>
      <c r="T1214" s="77" t="s">
        <v>222</v>
      </c>
      <c r="U1214" s="77" t="s">
        <v>223</v>
      </c>
      <c r="V1214" s="77" t="s">
        <v>224</v>
      </c>
      <c r="W1214" s="77" t="s">
        <v>225</v>
      </c>
      <c r="AH1214" s="98" t="b">
        <f>INDEX(stable[q_standard],MATCH(questions[[#This Row],[qno]],stable[qno],0))</f>
        <v>0</v>
      </c>
      <c r="AI1214" s="98" t="b">
        <f>INDEX(stable[q_living_income],MATCH(questions[[#This Row],[qno]],stable[qno],0))</f>
        <v>1</v>
      </c>
      <c r="AJ1214" s="98" t="b">
        <f>INDEX(stable[q_carbon],MATCH(questions[[#This Row],[qno]],stable[qno],0))</f>
        <v>1</v>
      </c>
      <c r="AK1214" s="98" t="b">
        <f>INDEX(stable[q_regen_ag],MATCH(questions[[#This Row],[qno]],stable[qno],0))</f>
        <v>0</v>
      </c>
      <c r="AL1214" s="98" t="b">
        <f>COUNTIFS(stable[qno],questions[[#This Row],[qno]])=1</f>
        <v>1</v>
      </c>
      <c r="AM1214" s="98" t="b">
        <f>OR(questions[[#This Row],[is_fixed]],questions[[#This Row],[is_localized]],questions[[#This Row],[is_supply_chain_dependent]])</f>
        <v>1</v>
      </c>
      <c r="AN1214" s="98" t="b">
        <f>COUNTIFS(questions[[#This Row],[is_automated]:[is_multi_select]],TRUE)=1</f>
        <v>1</v>
      </c>
      <c r="AO1214" s="98" t="b">
        <f>IF(questions[[#This Row],[is_fixed]],questions[[#This Row],[question]]=INDEX(stable[question],MATCH(questions[[#This Row],[qno]],stable[qno],0)),TRUE)</f>
        <v>0</v>
      </c>
      <c r="AP1214" s="98" t="str">
        <f>LEFT(questions[[#This Row],[question]],similarity_range)</f>
        <v>What was the unit of</v>
      </c>
      <c r="AQ1214" s="98" t="str">
        <f>LEFT(INDEX(stable[question],MATCH(questions[[#This Row],[qno]],stable[qno],0)),similarity_range)</f>
        <v>What was the unit of</v>
      </c>
      <c r="AR1214" s="98" t="b">
        <f>questions[[#This Row],[question_first_characters]]=questions[[#This Row],[stability_first_characters]]</f>
        <v>1</v>
      </c>
      <c r="AS1214" s="98" t="b">
        <f>IF(OR(questions[[#This Row],[is_single_select]],questions[[#This Row],[is_multi_select]]),NOT(ISBLANK(questions[[#This Row],[answer_opt_combined]])),TRUE)</f>
        <v>1</v>
      </c>
    </row>
    <row r="1215" spans="1:45" s="77" customFormat="1" ht="15.75" customHeight="1" x14ac:dyDescent="0.25">
      <c r="A1215" s="77" t="str">
        <f>_xlfn.TEXTJOIN("_",TRUE,questions[[#This Row],[origin]:[qno]])</f>
        <v>Kenya_Arabica_Nestle_2025_6000</v>
      </c>
      <c r="B1215" s="77" t="s">
        <v>818</v>
      </c>
      <c r="C1215" s="77" t="s">
        <v>59</v>
      </c>
      <c r="D1215" s="77" t="s">
        <v>819</v>
      </c>
      <c r="E1215" s="77">
        <v>2025</v>
      </c>
      <c r="F1215" s="105" t="s">
        <v>238</v>
      </c>
      <c r="G1215" s="78" t="s">
        <v>239</v>
      </c>
      <c r="H1215" s="9" t="str" cm="1">
        <f t="array" ref="H1215">INDEX(stableR[question],MATCH(VALUE(questions[[#This Row],[qno]]),VALUE(stableR[qno]),0))</f>
        <v>Did you hire any permanent laborer's, for your coffee plots, last year?</v>
      </c>
      <c r="I1215" s="9" t="b" cm="1">
        <f t="array" ref="I1215">INDEX(stable[is_fixed],MATCH(VALUE(questions[[#This Row],[qno]]),VALUE(stable[qno]),0))</f>
        <v>1</v>
      </c>
      <c r="J1215" s="9" t="b" cm="1">
        <f t="array" ref="J1215">INDEX(stable[is_localized],MATCH(VALUE(questions[[#This Row],[qno]]),VALUE(stable[qno]),0))</f>
        <v>0</v>
      </c>
      <c r="K1215" s="9" t="b" cm="1">
        <f t="array" ref="K1215">INDEX(stable[is_supply_chain_dependent],MATCH(VALUE(questions[[#This Row],[qno]]),VALUE(stable[qno]),0))</f>
        <v>0</v>
      </c>
      <c r="L1215" s="9" t="b" cm="1">
        <f t="array" ref="L1215">INDEX(stable[is_mandatory],MATCH(VALUE(questions[[#This Row],[qno]]),VALUE(stable[qno]),0))</f>
        <v>1</v>
      </c>
      <c r="M1215" s="9" t="b" cm="1">
        <f t="array" ref="M1215">INDEX(stable[is_automated],MATCH(VALUE(questions[[#This Row],[qno]]),VALUE(stable[qno]),0))</f>
        <v>0</v>
      </c>
      <c r="N1215" s="9" t="b" cm="1">
        <f t="array" ref="N1215">INDEX(stable[is_free_text],MATCH(VALUE(questions[[#This Row],[qno]]),VALUE(stable[qno]),0))</f>
        <v>0</v>
      </c>
      <c r="O1215" s="9" t="b" cm="1">
        <f t="array" ref="O1215">INDEX(stable[is_numerical],MATCH(VALUE(questions[[#This Row],[qno]]),VALUE(stable[qno]),0))</f>
        <v>0</v>
      </c>
      <c r="P1215" s="77" t="b" cm="1">
        <f t="array" ref="P1215">INDEX(stable[is_single_select],MATCH(VALUE(questions[[#This Row],[qno]]),VALUE(stable[qno]),0))</f>
        <v>1</v>
      </c>
      <c r="Q1215" s="77" t="b" cm="1">
        <f t="array" ref="Q1215">INDEX(stable[is_multi_select],MATCH(VALUE(questions[[#This Row],[qno]]),VALUE(stable[qno]),0))</f>
        <v>0</v>
      </c>
      <c r="R1215" s="77" t="b" cm="1">
        <f t="array" ref="R1215">INDEX(stable[is_skip_logic],MATCH(VALUE(questions[[#This Row],[qno]]),VALUE(stable[qno]),0))</f>
        <v>1</v>
      </c>
      <c r="S1215" s="77" t="str">
        <f>_xlfn.TEXTJOIN(", ",TRUE,questions[[#This Row],[ans_opt_1]:[ans_opt_14]])</f>
        <v>Yes, No</v>
      </c>
      <c r="T1215" s="77" t="s">
        <v>149</v>
      </c>
      <c r="U1215" s="77" t="s">
        <v>119</v>
      </c>
      <c r="AH1215" s="98" t="b">
        <f>INDEX(stable[q_standard],MATCH(questions[[#This Row],[qno]],stable[qno],0))</f>
        <v>0</v>
      </c>
      <c r="AI1215" s="98" t="b">
        <f>INDEX(stable[q_living_income],MATCH(questions[[#This Row],[qno]],stable[qno],0))</f>
        <v>1</v>
      </c>
      <c r="AJ1215" s="98" t="b">
        <f>INDEX(stable[q_carbon],MATCH(questions[[#This Row],[qno]],stable[qno],0))</f>
        <v>0</v>
      </c>
      <c r="AK1215" s="98" t="b">
        <f>INDEX(stable[q_regen_ag],MATCH(questions[[#This Row],[qno]],stable[qno],0))</f>
        <v>0</v>
      </c>
      <c r="AL1215" s="98" t="b">
        <f>COUNTIFS(stable[qno],questions[[#This Row],[qno]])=1</f>
        <v>1</v>
      </c>
      <c r="AM1215" s="98" t="b">
        <f>OR(questions[[#This Row],[is_fixed]],questions[[#This Row],[is_localized]],questions[[#This Row],[is_supply_chain_dependent]])</f>
        <v>1</v>
      </c>
      <c r="AN1215" s="98" t="b">
        <f>COUNTIFS(questions[[#This Row],[is_automated]:[is_multi_select]],TRUE)=1</f>
        <v>1</v>
      </c>
      <c r="AO1215" s="98" t="b">
        <f>IF(questions[[#This Row],[is_fixed]],questions[[#This Row],[question]]=INDEX(stable[question],MATCH(questions[[#This Row],[qno]],stable[qno],0)),TRUE)</f>
        <v>1</v>
      </c>
      <c r="AP1215" s="98" t="str">
        <f>LEFT(questions[[#This Row],[question]],similarity_range)</f>
        <v>Did you hire any per</v>
      </c>
      <c r="AQ1215" s="98" t="str">
        <f>LEFT(INDEX(stable[question],MATCH(questions[[#This Row],[qno]],stable[qno],0)),similarity_range)</f>
        <v>Did you hire any per</v>
      </c>
      <c r="AR1215" s="98" t="b">
        <f>questions[[#This Row],[question_first_characters]]=questions[[#This Row],[stability_first_characters]]</f>
        <v>1</v>
      </c>
      <c r="AS1215" s="98" t="b">
        <f>IF(OR(questions[[#This Row],[is_single_select]],questions[[#This Row],[is_multi_select]]),NOT(ISBLANK(questions[[#This Row],[answer_opt_combined]])),TRUE)</f>
        <v>1</v>
      </c>
    </row>
    <row r="1216" spans="1:45" ht="15.75" customHeight="1" x14ac:dyDescent="0.25">
      <c r="A1216" s="9" t="str">
        <f>_xlfn.TEXTJOIN("_",TRUE,questions[[#This Row],[origin]:[qno]])</f>
        <v>Kenya_Arabica_Nestle_2025_6001</v>
      </c>
      <c r="B1216" s="33" t="s">
        <v>818</v>
      </c>
      <c r="C1216" s="33" t="s">
        <v>59</v>
      </c>
      <c r="D1216" s="33" t="s">
        <v>819</v>
      </c>
      <c r="E1216" s="33">
        <v>2025</v>
      </c>
      <c r="F1216" s="41" t="s">
        <v>240</v>
      </c>
      <c r="G1216" s="18" t="s">
        <v>241</v>
      </c>
      <c r="H1216" s="9" t="str" cm="1">
        <f t="array" ref="H1216">INDEX(stableR[question],MATCH(VALUE(questions[[#This Row],[qno]]),VALUE(stableR[qno]),0))</f>
        <v>How many people did you hire, permanently for your coffee plots, last year?</v>
      </c>
      <c r="I1216" s="9" t="b" cm="1">
        <f t="array" ref="I1216">INDEX(stable[is_fixed],MATCH(VALUE(questions[[#This Row],[qno]]),VALUE(stable[qno]),0))</f>
        <v>1</v>
      </c>
      <c r="J1216" s="9" t="b" cm="1">
        <f t="array" ref="J1216">INDEX(stable[is_localized],MATCH(VALUE(questions[[#This Row],[qno]]),VALUE(stable[qno]),0))</f>
        <v>0</v>
      </c>
      <c r="K1216" s="9" t="b" cm="1">
        <f t="array" ref="K1216">INDEX(stable[is_supply_chain_dependent],MATCH(VALUE(questions[[#This Row],[qno]]),VALUE(stable[qno]),0))</f>
        <v>0</v>
      </c>
      <c r="L1216" s="9" t="b" cm="1">
        <f t="array" ref="L1216">INDEX(stable[is_mandatory],MATCH(VALUE(questions[[#This Row],[qno]]),VALUE(stable[qno]),0))</f>
        <v>0</v>
      </c>
      <c r="M1216" s="9" t="b" cm="1">
        <f t="array" ref="M1216">INDEX(stable[is_automated],MATCH(VALUE(questions[[#This Row],[qno]]),VALUE(stable[qno]),0))</f>
        <v>0</v>
      </c>
      <c r="N1216" s="9" t="b" cm="1">
        <f t="array" ref="N1216">INDEX(stable[is_free_text],MATCH(VALUE(questions[[#This Row],[qno]]),VALUE(stable[qno]),0))</f>
        <v>0</v>
      </c>
      <c r="O1216" s="9" t="b" cm="1">
        <f t="array" ref="O1216">INDEX(stable[is_numerical],MATCH(VALUE(questions[[#This Row],[qno]]),VALUE(stable[qno]),0))</f>
        <v>1</v>
      </c>
      <c r="P1216" s="9" t="b" cm="1">
        <f t="array" ref="P1216">INDEX(stable[is_single_select],MATCH(VALUE(questions[[#This Row],[qno]]),VALUE(stable[qno]),0))</f>
        <v>0</v>
      </c>
      <c r="Q1216" s="9" t="b" cm="1">
        <f t="array" ref="Q1216">INDEX(stable[is_multi_select],MATCH(VALUE(questions[[#This Row],[qno]]),VALUE(stable[qno]),0))</f>
        <v>0</v>
      </c>
      <c r="R1216" s="9" t="b" cm="1">
        <f t="array" ref="R1216">INDEX(stable[is_skip_logic],MATCH(VALUE(questions[[#This Row],[qno]]),VALUE(stable[qno]),0))</f>
        <v>1</v>
      </c>
      <c r="S1216" s="9" t="str">
        <f>_xlfn.TEXTJOIN(", ",TRUE,questions[[#This Row],[ans_opt_1]:[ans_opt_14]])</f>
        <v/>
      </c>
      <c r="T1216" s="33"/>
      <c r="U1216" s="33"/>
      <c r="V1216" s="33"/>
      <c r="W1216" s="33"/>
      <c r="X1216" s="33"/>
      <c r="Y1216" s="33"/>
      <c r="Z1216" s="33"/>
      <c r="AA1216" s="33"/>
      <c r="AB1216" s="33"/>
      <c r="AC1216" s="33"/>
      <c r="AD1216" s="33"/>
      <c r="AE1216" s="33"/>
      <c r="AF1216" s="33"/>
      <c r="AG1216" s="33"/>
      <c r="AH1216" s="99" t="b">
        <f>INDEX(stable[q_standard],MATCH(questions[[#This Row],[qno]],stable[qno],0))</f>
        <v>0</v>
      </c>
      <c r="AI1216" s="99" t="b">
        <f>INDEX(stable[q_living_income],MATCH(questions[[#This Row],[qno]],stable[qno],0))</f>
        <v>1</v>
      </c>
      <c r="AJ1216" s="99" t="b">
        <f>INDEX(stable[q_carbon],MATCH(questions[[#This Row],[qno]],stable[qno],0))</f>
        <v>0</v>
      </c>
      <c r="AK1216" s="99" t="b">
        <f>INDEX(stable[q_regen_ag],MATCH(questions[[#This Row],[qno]],stable[qno],0))</f>
        <v>0</v>
      </c>
      <c r="AL1216" s="16" t="b">
        <f>COUNTIFS(stable[qno],questions[[#This Row],[qno]])=1</f>
        <v>1</v>
      </c>
      <c r="AM1216" s="16" t="b">
        <f>OR(questions[[#This Row],[is_fixed]],questions[[#This Row],[is_localized]],questions[[#This Row],[is_supply_chain_dependent]])</f>
        <v>1</v>
      </c>
      <c r="AN1216" s="16" t="b">
        <f>COUNTIFS(questions[[#This Row],[is_automated]:[is_multi_select]],TRUE)=1</f>
        <v>1</v>
      </c>
      <c r="AO1216" s="16" t="b">
        <f>IF(questions[[#This Row],[is_fixed]],questions[[#This Row],[question]]=INDEX(stable[question],MATCH(questions[[#This Row],[qno]],stable[qno],0)),TRUE)</f>
        <v>1</v>
      </c>
      <c r="AP1216" s="16" t="str">
        <f>LEFT(questions[[#This Row],[question]],similarity_range)</f>
        <v>If yes, how many peo</v>
      </c>
      <c r="AQ1216" s="16" t="str">
        <f>LEFT(INDEX(stable[question],MATCH(questions[[#This Row],[qno]],stable[qno],0)),similarity_range)</f>
        <v>If yes, how many peo</v>
      </c>
      <c r="AR1216" s="16" t="b">
        <f>questions[[#This Row],[question_first_characters]]=questions[[#This Row],[stability_first_characters]]</f>
        <v>1</v>
      </c>
      <c r="AS1216" s="16" t="b">
        <f>IF(OR(questions[[#This Row],[is_single_select]],questions[[#This Row],[is_multi_select]]),NOT(ISBLANK(questions[[#This Row],[answer_opt_combined]])),TRUE)</f>
        <v>1</v>
      </c>
    </row>
    <row r="1217" spans="1:45" s="77" customFormat="1" ht="15.75" customHeight="1" x14ac:dyDescent="0.25">
      <c r="A1217" s="77" t="str">
        <f>_xlfn.TEXTJOIN("_",TRUE,questions[[#This Row],[origin]:[qno]])</f>
        <v>Kenya_Arabica_Nestle_2025_6010</v>
      </c>
      <c r="B1217" s="77" t="s">
        <v>818</v>
      </c>
      <c r="C1217" s="77" t="s">
        <v>59</v>
      </c>
      <c r="D1217" s="77" t="s">
        <v>819</v>
      </c>
      <c r="E1217" s="77">
        <v>2025</v>
      </c>
      <c r="F1217" s="119" t="s">
        <v>572</v>
      </c>
      <c r="G1217" s="78" t="s">
        <v>850</v>
      </c>
      <c r="H1217" s="9" t="str" cm="1">
        <f t="array" ref="H1217">INDEX(stableR[question],MATCH(VALUE(questions[[#This Row],[qno]]),VALUE(stableR[qno]),0))</f>
        <v>Did you hire any people to work on your coffee plots for seasonal activities during the fly season, last year?</v>
      </c>
      <c r="I1217" s="9" t="b" cm="1">
        <f t="array" ref="I1217">INDEX(stable[is_fixed],MATCH(VALUE(questions[[#This Row],[qno]]),VALUE(stable[qno]),0))</f>
        <v>0</v>
      </c>
      <c r="J1217" s="9" t="b" cm="1">
        <f t="array" ref="J1217">INDEX(stable[is_localized],MATCH(VALUE(questions[[#This Row],[qno]]),VALUE(stable[qno]),0))</f>
        <v>1</v>
      </c>
      <c r="K1217" s="9" t="b" cm="1">
        <f t="array" ref="K1217">INDEX(stable[is_supply_chain_dependent],MATCH(VALUE(questions[[#This Row],[qno]]),VALUE(stable[qno]),0))</f>
        <v>0</v>
      </c>
      <c r="L1217" s="9" t="b" cm="1">
        <f t="array" ref="L1217">INDEX(stable[is_mandatory],MATCH(VALUE(questions[[#This Row],[qno]]),VALUE(stable[qno]),0))</f>
        <v>1</v>
      </c>
      <c r="M1217" s="9" t="b" cm="1">
        <f t="array" ref="M1217">INDEX(stable[is_automated],MATCH(VALUE(questions[[#This Row],[qno]]),VALUE(stable[qno]),0))</f>
        <v>0</v>
      </c>
      <c r="N1217" s="9" t="b" cm="1">
        <f t="array" ref="N1217">INDEX(stable[is_free_text],MATCH(VALUE(questions[[#This Row],[qno]]),VALUE(stable[qno]),0))</f>
        <v>0</v>
      </c>
      <c r="O1217" s="9" t="b" cm="1">
        <f t="array" ref="O1217">INDEX(stable[is_numerical],MATCH(VALUE(questions[[#This Row],[qno]]),VALUE(stable[qno]),0))</f>
        <v>0</v>
      </c>
      <c r="P1217" s="77" t="b" cm="1">
        <f t="array" ref="P1217">INDEX(stable[is_single_select],MATCH(VALUE(questions[[#This Row],[qno]]),VALUE(stable[qno]),0))</f>
        <v>1</v>
      </c>
      <c r="Q1217" s="77" t="b" cm="1">
        <f t="array" ref="Q1217">INDEX(stable[is_multi_select],MATCH(VALUE(questions[[#This Row],[qno]]),VALUE(stable[qno]),0))</f>
        <v>0</v>
      </c>
      <c r="R1217" s="77" t="b" cm="1">
        <f t="array" ref="R1217">INDEX(stable[is_skip_logic],MATCH(VALUE(questions[[#This Row],[qno]]),VALUE(stable[qno]),0))</f>
        <v>1</v>
      </c>
      <c r="S1217" s="77" t="str">
        <f>_xlfn.TEXTJOIN(", ",TRUE,questions[[#This Row],[ans_opt_1]:[ans_opt_14]])</f>
        <v>Yes, No</v>
      </c>
      <c r="T1217" s="77" t="s">
        <v>149</v>
      </c>
      <c r="U1217" s="77" t="s">
        <v>119</v>
      </c>
      <c r="AH1217" s="98" t="b">
        <f>INDEX(stable[q_standard],MATCH(questions[[#This Row],[qno]],stable[qno],0))</f>
        <v>0</v>
      </c>
      <c r="AI1217" s="98" t="b">
        <f>INDEX(stable[q_living_income],MATCH(questions[[#This Row],[qno]],stable[qno],0))</f>
        <v>1</v>
      </c>
      <c r="AJ1217" s="98" t="b">
        <f>INDEX(stable[q_carbon],MATCH(questions[[#This Row],[qno]],stable[qno],0))</f>
        <v>0</v>
      </c>
      <c r="AK1217" s="98" t="b">
        <f>INDEX(stable[q_regen_ag],MATCH(questions[[#This Row],[qno]],stable[qno],0))</f>
        <v>0</v>
      </c>
      <c r="AL1217" s="98" t="b">
        <f>COUNTIFS(stable[qno],questions[[#This Row],[qno]])=1</f>
        <v>1</v>
      </c>
      <c r="AM1217" s="98" t="b">
        <f>OR(questions[[#This Row],[is_fixed]],questions[[#This Row],[is_localized]],questions[[#This Row],[is_supply_chain_dependent]])</f>
        <v>1</v>
      </c>
      <c r="AN1217" s="98" t="b">
        <f>COUNTIFS(questions[[#This Row],[is_automated]:[is_multi_select]],TRUE)=1</f>
        <v>1</v>
      </c>
      <c r="AO1217" s="98" t="b">
        <f>IF(questions[[#This Row],[is_fixed]],questions[[#This Row],[question]]=INDEX(stable[question],MATCH(questions[[#This Row],[qno]],stable[qno],0)),TRUE)</f>
        <v>1</v>
      </c>
      <c r="AP1217" s="98" t="str">
        <f>LEFT(questions[[#This Row],[question]],similarity_range)</f>
        <v>Did you hire any peo</v>
      </c>
      <c r="AQ1217" s="98" t="str">
        <f>LEFT(INDEX(stable[question],MATCH(questions[[#This Row],[qno]],stable[qno],0)),similarity_range)</f>
        <v>Did you hire any peo</v>
      </c>
      <c r="AR1217" s="98" t="b">
        <f>questions[[#This Row],[question_first_characters]]=questions[[#This Row],[stability_first_characters]]</f>
        <v>1</v>
      </c>
      <c r="AS1217" s="98" t="b">
        <f>IF(OR(questions[[#This Row],[is_single_select]],questions[[#This Row],[is_multi_select]]),NOT(ISBLANK(questions[[#This Row],[answer_opt_combined]])),TRUE)</f>
        <v>1</v>
      </c>
    </row>
    <row r="1218" spans="1:45" s="77" customFormat="1" ht="15.75" customHeight="1" x14ac:dyDescent="0.25">
      <c r="A1218" s="77" t="str">
        <f>_xlfn.TEXTJOIN("_",TRUE,questions[[#This Row],[origin]:[qno]])</f>
        <v>Kenya_Arabica_Nestle_2025_6011</v>
      </c>
      <c r="B1218" s="77" t="s">
        <v>818</v>
      </c>
      <c r="C1218" s="77" t="s">
        <v>59</v>
      </c>
      <c r="D1218" s="77" t="s">
        <v>819</v>
      </c>
      <c r="E1218" s="77">
        <v>2025</v>
      </c>
      <c r="F1218" s="119" t="s">
        <v>574</v>
      </c>
      <c r="G1218" s="120" t="s">
        <v>995</v>
      </c>
      <c r="H1218" s="9" t="str" cm="1">
        <f t="array" ref="H1218">INDEX(stableR[question],MATCH(VALUE(questions[[#This Row],[qno]]),VALUE(stableR[qno]),0))</f>
        <v>What were the activities that you hired people for, during the fly season?</v>
      </c>
      <c r="I1218" s="9" t="b" cm="1">
        <f t="array" ref="I1218">INDEX(stable[is_fixed],MATCH(VALUE(questions[[#This Row],[qno]]),VALUE(stable[qno]),0))</f>
        <v>0</v>
      </c>
      <c r="J1218" s="9" t="b" cm="1">
        <f t="array" ref="J1218">INDEX(stable[is_localized],MATCH(VALUE(questions[[#This Row],[qno]]),VALUE(stable[qno]),0))</f>
        <v>1</v>
      </c>
      <c r="K1218" s="9" t="b" cm="1">
        <f t="array" ref="K1218">INDEX(stable[is_supply_chain_dependent],MATCH(VALUE(questions[[#This Row],[qno]]),VALUE(stable[qno]),0))</f>
        <v>0</v>
      </c>
      <c r="L1218" s="9" t="b" cm="1">
        <f t="array" ref="L1218">INDEX(stable[is_mandatory],MATCH(VALUE(questions[[#This Row],[qno]]),VALUE(stable[qno]),0))</f>
        <v>0</v>
      </c>
      <c r="M1218" s="9" t="b" cm="1">
        <f t="array" ref="M1218">INDEX(stable[is_automated],MATCH(VALUE(questions[[#This Row],[qno]]),VALUE(stable[qno]),0))</f>
        <v>0</v>
      </c>
      <c r="N1218" s="9" t="b" cm="1">
        <f t="array" ref="N1218">INDEX(stable[is_free_text],MATCH(VALUE(questions[[#This Row],[qno]]),VALUE(stable[qno]),0))</f>
        <v>0</v>
      </c>
      <c r="O1218" s="9" t="b" cm="1">
        <f t="array" ref="O1218">INDEX(stable[is_numerical],MATCH(VALUE(questions[[#This Row],[qno]]),VALUE(stable[qno]),0))</f>
        <v>0</v>
      </c>
      <c r="P1218" s="77" t="b" cm="1">
        <f t="array" ref="P1218">INDEX(stable[is_single_select],MATCH(VALUE(questions[[#This Row],[qno]]),VALUE(stable[qno]),0))</f>
        <v>0</v>
      </c>
      <c r="Q1218" s="77" t="b" cm="1">
        <f t="array" ref="Q1218">INDEX(stable[is_multi_select],MATCH(VALUE(questions[[#This Row],[qno]]),VALUE(stable[qno]),0))</f>
        <v>1</v>
      </c>
      <c r="R1218" s="77" t="b" cm="1">
        <f t="array" ref="R1218">INDEX(stable[is_skip_logic],MATCH(VALUE(questions[[#This Row],[qno]]),VALUE(stable[qno]),0))</f>
        <v>1</v>
      </c>
      <c r="S1218" s="77" t="str">
        <f>_xlfn.TEXTJOIN(", ",TRUE,questions[[#This Row],[ans_opt_1]:[ans_opt_14]])</f>
        <v>Harvesting, Pruning, Weeding, Spraying, Planting new trees, Other, NA</v>
      </c>
      <c r="T1218" s="77" t="s">
        <v>246</v>
      </c>
      <c r="U1218" s="77" t="s">
        <v>247</v>
      </c>
      <c r="V1218" s="77" t="s">
        <v>248</v>
      </c>
      <c r="W1218" s="77" t="s">
        <v>249</v>
      </c>
      <c r="X1218" s="77" t="s">
        <v>250</v>
      </c>
      <c r="Y1218" s="112" t="s">
        <v>112</v>
      </c>
      <c r="Z1218" s="77" t="s">
        <v>251</v>
      </c>
      <c r="AH1218" s="98" t="b">
        <f>INDEX(stable[q_standard],MATCH(questions[[#This Row],[qno]],stable[qno],0))</f>
        <v>0</v>
      </c>
      <c r="AI1218" s="98" t="b">
        <f>INDEX(stable[q_living_income],MATCH(questions[[#This Row],[qno]],stable[qno],0))</f>
        <v>1</v>
      </c>
      <c r="AJ1218" s="98" t="b">
        <f>INDEX(stable[q_carbon],MATCH(questions[[#This Row],[qno]],stable[qno],0))</f>
        <v>0</v>
      </c>
      <c r="AK1218" s="98" t="b">
        <f>INDEX(stable[q_regen_ag],MATCH(questions[[#This Row],[qno]],stable[qno],0))</f>
        <v>0</v>
      </c>
      <c r="AL1218" s="98" t="b">
        <f>COUNTIFS(stable[qno],questions[[#This Row],[qno]])=1</f>
        <v>1</v>
      </c>
      <c r="AM1218" s="98" t="b">
        <f>OR(questions[[#This Row],[is_fixed]],questions[[#This Row],[is_localized]],questions[[#This Row],[is_supply_chain_dependent]])</f>
        <v>1</v>
      </c>
      <c r="AN1218" s="98" t="b">
        <f>COUNTIFS(questions[[#This Row],[is_automated]:[is_multi_select]],TRUE)=1</f>
        <v>1</v>
      </c>
      <c r="AO1218" s="98" t="b">
        <f>IF(questions[[#This Row],[is_fixed]],questions[[#This Row],[question]]=INDEX(stable[question],MATCH(questions[[#This Row],[qno]],stable[qno],0)),TRUE)</f>
        <v>1</v>
      </c>
      <c r="AP1218" s="98" t="str">
        <f>LEFT(questions[[#This Row],[question]],similarity_range)</f>
        <v>If yes, what were th</v>
      </c>
      <c r="AQ1218" s="98" t="str">
        <f>LEFT(INDEX(stable[question],MATCH(questions[[#This Row],[qno]],stable[qno],0)),similarity_range)</f>
        <v>If yes, what were th</v>
      </c>
      <c r="AR1218" s="98" t="b">
        <f>questions[[#This Row],[question_first_characters]]=questions[[#This Row],[stability_first_characters]]</f>
        <v>1</v>
      </c>
      <c r="AS1218" s="98" t="b">
        <f>IF(OR(questions[[#This Row],[is_single_select]],questions[[#This Row],[is_multi_select]]),NOT(ISBLANK(questions[[#This Row],[answer_opt_combined]])),TRUE)</f>
        <v>1</v>
      </c>
    </row>
    <row r="1219" spans="1:45" ht="15.75" customHeight="1" x14ac:dyDescent="0.25">
      <c r="A1219" s="9" t="str">
        <f>_xlfn.TEXTJOIN("_",TRUE,questions[[#This Row],[origin]:[qno]])</f>
        <v>Kenya_Arabica_Nestle_2025_6012</v>
      </c>
      <c r="B1219" s="33" t="s">
        <v>818</v>
      </c>
      <c r="C1219" s="33" t="s">
        <v>59</v>
      </c>
      <c r="D1219" s="33" t="s">
        <v>819</v>
      </c>
      <c r="E1219" s="33">
        <v>2025</v>
      </c>
      <c r="F1219" s="72" t="s">
        <v>576</v>
      </c>
      <c r="G1219" s="20" t="s">
        <v>996</v>
      </c>
      <c r="H1219" s="9" t="str" cm="1">
        <f t="array" ref="H1219">INDEX(stableR[question],MATCH(VALUE(questions[[#This Row],[qno]]),VALUE(stableR[qno]),0))</f>
        <v>How many days in total did you hire people for this main activity, during the fly season? (Number of days)</v>
      </c>
      <c r="I1219" s="9" t="b" cm="1">
        <f t="array" ref="I1219">INDEX(stable[is_fixed],MATCH(VALUE(questions[[#This Row],[qno]]),VALUE(stable[qno]),0))</f>
        <v>0</v>
      </c>
      <c r="J1219" s="9" t="b" cm="1">
        <f t="array" ref="J1219">INDEX(stable[is_localized],MATCH(VALUE(questions[[#This Row],[qno]]),VALUE(stable[qno]),0))</f>
        <v>1</v>
      </c>
      <c r="K1219" s="9" t="b" cm="1">
        <f t="array" ref="K1219">INDEX(stable[is_supply_chain_dependent],MATCH(VALUE(questions[[#This Row],[qno]]),VALUE(stable[qno]),0))</f>
        <v>0</v>
      </c>
      <c r="L1219" s="9" t="b" cm="1">
        <f t="array" ref="L1219">INDEX(stable[is_mandatory],MATCH(VALUE(questions[[#This Row],[qno]]),VALUE(stable[qno]),0))</f>
        <v>0</v>
      </c>
      <c r="M1219" s="9" t="b" cm="1">
        <f t="array" ref="M1219">INDEX(stable[is_automated],MATCH(VALUE(questions[[#This Row],[qno]]),VALUE(stable[qno]),0))</f>
        <v>0</v>
      </c>
      <c r="N1219" s="9" t="b" cm="1">
        <f t="array" ref="N1219">INDEX(stable[is_free_text],MATCH(VALUE(questions[[#This Row],[qno]]),VALUE(stable[qno]),0))</f>
        <v>0</v>
      </c>
      <c r="O1219" s="9" t="b" cm="1">
        <f t="array" ref="O1219">INDEX(stable[is_numerical],MATCH(VALUE(questions[[#This Row],[qno]]),VALUE(stable[qno]),0))</f>
        <v>1</v>
      </c>
      <c r="P1219" s="9" t="b" cm="1">
        <f t="array" ref="P1219">INDEX(stable[is_single_select],MATCH(VALUE(questions[[#This Row],[qno]]),VALUE(stable[qno]),0))</f>
        <v>0</v>
      </c>
      <c r="Q1219" s="9" t="b" cm="1">
        <f t="array" ref="Q1219">INDEX(stable[is_multi_select],MATCH(VALUE(questions[[#This Row],[qno]]),VALUE(stable[qno]),0))</f>
        <v>0</v>
      </c>
      <c r="R1219" s="9" t="b" cm="1">
        <f t="array" ref="R1219">INDEX(stable[is_skip_logic],MATCH(VALUE(questions[[#This Row],[qno]]),VALUE(stable[qno]),0))</f>
        <v>1</v>
      </c>
      <c r="S1219" s="9" t="str">
        <f>_xlfn.TEXTJOIN(", ",TRUE,questions[[#This Row],[ans_opt_1]:[ans_opt_14]])</f>
        <v/>
      </c>
      <c r="T1219" s="33"/>
      <c r="U1219" s="33"/>
      <c r="V1219" s="33"/>
      <c r="W1219" s="33"/>
      <c r="X1219" s="33"/>
      <c r="Y1219" s="33"/>
      <c r="Z1219" s="33"/>
      <c r="AA1219" s="33"/>
      <c r="AB1219" s="33"/>
      <c r="AC1219" s="33"/>
      <c r="AD1219" s="33"/>
      <c r="AE1219" s="33"/>
      <c r="AF1219" s="33"/>
      <c r="AG1219" s="33"/>
      <c r="AH1219" s="99" t="b">
        <f>INDEX(stable[q_standard],MATCH(questions[[#This Row],[qno]],stable[qno],0))</f>
        <v>0</v>
      </c>
      <c r="AI1219" s="99" t="b">
        <f>INDEX(stable[q_living_income],MATCH(questions[[#This Row],[qno]],stable[qno],0))</f>
        <v>1</v>
      </c>
      <c r="AJ1219" s="99" t="b">
        <f>INDEX(stable[q_carbon],MATCH(questions[[#This Row],[qno]],stable[qno],0))</f>
        <v>0</v>
      </c>
      <c r="AK1219" s="99" t="b">
        <f>INDEX(stable[q_regen_ag],MATCH(questions[[#This Row],[qno]],stable[qno],0))</f>
        <v>0</v>
      </c>
      <c r="AL1219" s="16" t="b">
        <f>COUNTIFS(stable[qno],questions[[#This Row],[qno]])=1</f>
        <v>1</v>
      </c>
      <c r="AM1219" s="16" t="b">
        <f>OR(questions[[#This Row],[is_fixed]],questions[[#This Row],[is_localized]],questions[[#This Row],[is_supply_chain_dependent]])</f>
        <v>1</v>
      </c>
      <c r="AN1219" s="16" t="b">
        <f>COUNTIFS(questions[[#This Row],[is_automated]:[is_multi_select]],TRUE)=1</f>
        <v>1</v>
      </c>
      <c r="AO1219" s="16" t="b">
        <f>IF(questions[[#This Row],[is_fixed]],questions[[#This Row],[question]]=INDEX(stable[question],MATCH(questions[[#This Row],[qno]],stable[qno],0)),TRUE)</f>
        <v>1</v>
      </c>
      <c r="AP1219" s="16" t="str">
        <f>LEFT(questions[[#This Row],[question]],similarity_range)</f>
        <v>If yes, how many day</v>
      </c>
      <c r="AQ1219" s="16" t="str">
        <f>LEFT(INDEX(stable[question],MATCH(questions[[#This Row],[qno]],stable[qno],0)),similarity_range)</f>
        <v>If yes, how many day</v>
      </c>
      <c r="AR1219" s="16" t="b">
        <f>questions[[#This Row],[question_first_characters]]=questions[[#This Row],[stability_first_characters]]</f>
        <v>1</v>
      </c>
      <c r="AS1219" s="16" t="b">
        <f>IF(OR(questions[[#This Row],[is_single_select]],questions[[#This Row],[is_multi_select]]),NOT(ISBLANK(questions[[#This Row],[answer_opt_combined]])),TRUE)</f>
        <v>1</v>
      </c>
    </row>
    <row r="1220" spans="1:45" ht="15.75" customHeight="1" x14ac:dyDescent="0.25">
      <c r="A1220" s="9" t="str">
        <f>_xlfn.TEXTJOIN("_",TRUE,questions[[#This Row],[origin]:[qno]])</f>
        <v>Kenya_Arabica_Nestle_2025_6013</v>
      </c>
      <c r="B1220" s="33" t="s">
        <v>818</v>
      </c>
      <c r="C1220" s="33" t="s">
        <v>59</v>
      </c>
      <c r="D1220" s="33" t="s">
        <v>819</v>
      </c>
      <c r="E1220" s="33">
        <v>2025</v>
      </c>
      <c r="F1220" s="72" t="s">
        <v>578</v>
      </c>
      <c r="G1220" s="20" t="s">
        <v>997</v>
      </c>
      <c r="H1220" s="9" t="str" cm="1">
        <f t="array" ref="H1220">INDEX(stableR[question],MATCH(VALUE(questions[[#This Row],[qno]]),VALUE(stableR[qno]),0))</f>
        <v>How many people did you typically hire per day for this main activity during fly season?</v>
      </c>
      <c r="I1220" s="9" t="b" cm="1">
        <f t="array" ref="I1220">INDEX(stable[is_fixed],MATCH(VALUE(questions[[#This Row],[qno]]),VALUE(stable[qno]),0))</f>
        <v>0</v>
      </c>
      <c r="J1220" s="9" t="b" cm="1">
        <f t="array" ref="J1220">INDEX(stable[is_localized],MATCH(VALUE(questions[[#This Row],[qno]]),VALUE(stable[qno]),0))</f>
        <v>1</v>
      </c>
      <c r="K1220" s="9" t="b" cm="1">
        <f t="array" ref="K1220">INDEX(stable[is_supply_chain_dependent],MATCH(VALUE(questions[[#This Row],[qno]]),VALUE(stable[qno]),0))</f>
        <v>0</v>
      </c>
      <c r="L1220" s="9" t="b" cm="1">
        <f t="array" ref="L1220">INDEX(stable[is_mandatory],MATCH(VALUE(questions[[#This Row],[qno]]),VALUE(stable[qno]),0))</f>
        <v>0</v>
      </c>
      <c r="M1220" s="9" t="b" cm="1">
        <f t="array" ref="M1220">INDEX(stable[is_automated],MATCH(VALUE(questions[[#This Row],[qno]]),VALUE(stable[qno]),0))</f>
        <v>0</v>
      </c>
      <c r="N1220" s="9" t="b" cm="1">
        <f t="array" ref="N1220">INDEX(stable[is_free_text],MATCH(VALUE(questions[[#This Row],[qno]]),VALUE(stable[qno]),0))</f>
        <v>0</v>
      </c>
      <c r="O1220" s="9" t="b" cm="1">
        <f t="array" ref="O1220">INDEX(stable[is_numerical],MATCH(VALUE(questions[[#This Row],[qno]]),VALUE(stable[qno]),0))</f>
        <v>1</v>
      </c>
      <c r="P1220" s="9" t="b" cm="1">
        <f t="array" ref="P1220">INDEX(stable[is_single_select],MATCH(VALUE(questions[[#This Row],[qno]]),VALUE(stable[qno]),0))</f>
        <v>0</v>
      </c>
      <c r="Q1220" s="9" t="b" cm="1">
        <f t="array" ref="Q1220">INDEX(stable[is_multi_select],MATCH(VALUE(questions[[#This Row],[qno]]),VALUE(stable[qno]),0))</f>
        <v>0</v>
      </c>
      <c r="R1220" s="9" t="b" cm="1">
        <f t="array" ref="R1220">INDEX(stable[is_skip_logic],MATCH(VALUE(questions[[#This Row],[qno]]),VALUE(stable[qno]),0))</f>
        <v>1</v>
      </c>
      <c r="S1220" s="9" t="str">
        <f>_xlfn.TEXTJOIN(", ",TRUE,questions[[#This Row],[ans_opt_1]:[ans_opt_14]])</f>
        <v/>
      </c>
      <c r="T1220" s="33"/>
      <c r="U1220" s="33"/>
      <c r="V1220" s="33"/>
      <c r="W1220" s="33"/>
      <c r="X1220" s="33"/>
      <c r="Y1220" s="33"/>
      <c r="Z1220" s="33"/>
      <c r="AA1220" s="33"/>
      <c r="AB1220" s="33"/>
      <c r="AC1220" s="33"/>
      <c r="AD1220" s="33"/>
      <c r="AE1220" s="33"/>
      <c r="AF1220" s="33"/>
      <c r="AG1220" s="33"/>
      <c r="AH1220" s="99" t="b">
        <f>INDEX(stable[q_standard],MATCH(questions[[#This Row],[qno]],stable[qno],0))</f>
        <v>0</v>
      </c>
      <c r="AI1220" s="99" t="b">
        <f>INDEX(stable[q_living_income],MATCH(questions[[#This Row],[qno]],stable[qno],0))</f>
        <v>1</v>
      </c>
      <c r="AJ1220" s="99" t="b">
        <f>INDEX(stable[q_carbon],MATCH(questions[[#This Row],[qno]],stable[qno],0))</f>
        <v>0</v>
      </c>
      <c r="AK1220" s="99" t="b">
        <f>INDEX(stable[q_regen_ag],MATCH(questions[[#This Row],[qno]],stable[qno],0))</f>
        <v>0</v>
      </c>
      <c r="AL1220" s="16" t="b">
        <f>COUNTIFS(stable[qno],questions[[#This Row],[qno]])=1</f>
        <v>1</v>
      </c>
      <c r="AM1220" s="16" t="b">
        <f>OR(questions[[#This Row],[is_fixed]],questions[[#This Row],[is_localized]],questions[[#This Row],[is_supply_chain_dependent]])</f>
        <v>1</v>
      </c>
      <c r="AN1220" s="16" t="b">
        <f>COUNTIFS(questions[[#This Row],[is_automated]:[is_multi_select]],TRUE)=1</f>
        <v>1</v>
      </c>
      <c r="AO1220" s="16" t="b">
        <f>IF(questions[[#This Row],[is_fixed]],questions[[#This Row],[question]]=INDEX(stable[question],MATCH(questions[[#This Row],[qno]],stable[qno],0)),TRUE)</f>
        <v>1</v>
      </c>
      <c r="AP1220" s="16" t="str">
        <f>LEFT(questions[[#This Row],[question]],similarity_range)</f>
        <v>If yes, how many peo</v>
      </c>
      <c r="AQ1220" s="16" t="str">
        <f>LEFT(INDEX(stable[question],MATCH(questions[[#This Row],[qno]],stable[qno],0)),similarity_range)</f>
        <v>If yes, how many peo</v>
      </c>
      <c r="AR1220" s="16" t="b">
        <f>questions[[#This Row],[question_first_characters]]=questions[[#This Row],[stability_first_characters]]</f>
        <v>1</v>
      </c>
      <c r="AS1220" s="16" t="b">
        <f>IF(OR(questions[[#This Row],[is_single_select]],questions[[#This Row],[is_multi_select]]),NOT(ISBLANK(questions[[#This Row],[answer_opt_combined]])),TRUE)</f>
        <v>1</v>
      </c>
    </row>
    <row r="1221" spans="1:45" s="77" customFormat="1" ht="15.75" customHeight="1" x14ac:dyDescent="0.25">
      <c r="A1221" s="77" t="str">
        <f>_xlfn.TEXTJOIN("_",TRUE,questions[[#This Row],[origin]:[qno]])</f>
        <v>Kenya_Arabica_Nestle_2025_6020</v>
      </c>
      <c r="B1221" s="77" t="s">
        <v>818</v>
      </c>
      <c r="C1221" s="77" t="s">
        <v>59</v>
      </c>
      <c r="D1221" s="77" t="s">
        <v>819</v>
      </c>
      <c r="E1221" s="77">
        <v>2025</v>
      </c>
      <c r="F1221" s="119" t="s">
        <v>580</v>
      </c>
      <c r="G1221" s="78" t="s">
        <v>851</v>
      </c>
      <c r="H1221" s="9" t="str" cm="1">
        <f t="array" ref="H1221">INDEX(stableR[question],MATCH(VALUE(questions[[#This Row],[qno]]),VALUE(stableR[qno]),0))</f>
        <v>Did you hire any people to work on your coffee plots for seasonal activities during the main season, last year?</v>
      </c>
      <c r="I1221" s="9" t="b" cm="1">
        <f t="array" ref="I1221">INDEX(stable[is_fixed],MATCH(VALUE(questions[[#This Row],[qno]]),VALUE(stable[qno]),0))</f>
        <v>0</v>
      </c>
      <c r="J1221" s="9" t="b" cm="1">
        <f t="array" ref="J1221">INDEX(stable[is_localized],MATCH(VALUE(questions[[#This Row],[qno]]),VALUE(stable[qno]),0))</f>
        <v>0</v>
      </c>
      <c r="K1221" s="9" t="b" cm="1">
        <f t="array" ref="K1221">INDEX(stable[is_supply_chain_dependent],MATCH(VALUE(questions[[#This Row],[qno]]),VALUE(stable[qno]),0))</f>
        <v>1</v>
      </c>
      <c r="L1221" s="9" t="b" cm="1">
        <f t="array" ref="L1221">INDEX(stable[is_mandatory],MATCH(VALUE(questions[[#This Row],[qno]]),VALUE(stable[qno]),0))</f>
        <v>1</v>
      </c>
      <c r="M1221" s="9" t="b" cm="1">
        <f t="array" ref="M1221">INDEX(stable[is_automated],MATCH(VALUE(questions[[#This Row],[qno]]),VALUE(stable[qno]),0))</f>
        <v>0</v>
      </c>
      <c r="N1221" s="9" t="b" cm="1">
        <f t="array" ref="N1221">INDEX(stable[is_free_text],MATCH(VALUE(questions[[#This Row],[qno]]),VALUE(stable[qno]),0))</f>
        <v>0</v>
      </c>
      <c r="O1221" s="9" t="b" cm="1">
        <f t="array" ref="O1221">INDEX(stable[is_numerical],MATCH(VALUE(questions[[#This Row],[qno]]),VALUE(stable[qno]),0))</f>
        <v>0</v>
      </c>
      <c r="P1221" s="77" t="b" cm="1">
        <f t="array" ref="P1221">INDEX(stable[is_single_select],MATCH(VALUE(questions[[#This Row],[qno]]),VALUE(stable[qno]),0))</f>
        <v>1</v>
      </c>
      <c r="Q1221" s="77" t="b" cm="1">
        <f t="array" ref="Q1221">INDEX(stable[is_multi_select],MATCH(VALUE(questions[[#This Row],[qno]]),VALUE(stable[qno]),0))</f>
        <v>0</v>
      </c>
      <c r="R1221" s="77" t="b" cm="1">
        <f t="array" ref="R1221">INDEX(stable[is_skip_logic],MATCH(VALUE(questions[[#This Row],[qno]]),VALUE(stable[qno]),0))</f>
        <v>1</v>
      </c>
      <c r="S1221" s="77" t="str">
        <f>_xlfn.TEXTJOIN(", ",TRUE,questions[[#This Row],[ans_opt_1]:[ans_opt_14]])</f>
        <v>Yes, No</v>
      </c>
      <c r="T1221" s="77" t="s">
        <v>149</v>
      </c>
      <c r="U1221" s="77" t="s">
        <v>119</v>
      </c>
      <c r="AH1221" s="98" t="b">
        <f>INDEX(stable[q_standard],MATCH(questions[[#This Row],[qno]],stable[qno],0))</f>
        <v>0</v>
      </c>
      <c r="AI1221" s="98" t="b">
        <f>INDEX(stable[q_living_income],MATCH(questions[[#This Row],[qno]],stable[qno],0))</f>
        <v>1</v>
      </c>
      <c r="AJ1221" s="98" t="b">
        <f>INDEX(stable[q_carbon],MATCH(questions[[#This Row],[qno]],stable[qno],0))</f>
        <v>0</v>
      </c>
      <c r="AK1221" s="98" t="b">
        <f>INDEX(stable[q_regen_ag],MATCH(questions[[#This Row],[qno]],stable[qno],0))</f>
        <v>0</v>
      </c>
      <c r="AL1221" s="98" t="b">
        <f>COUNTIFS(stable[qno],questions[[#This Row],[qno]])=1</f>
        <v>1</v>
      </c>
      <c r="AM1221" s="98" t="b">
        <f>OR(questions[[#This Row],[is_fixed]],questions[[#This Row],[is_localized]],questions[[#This Row],[is_supply_chain_dependent]])</f>
        <v>1</v>
      </c>
      <c r="AN1221" s="98" t="b">
        <f>COUNTIFS(questions[[#This Row],[is_automated]:[is_multi_select]],TRUE)=1</f>
        <v>1</v>
      </c>
      <c r="AO1221" s="98" t="b">
        <f>IF(questions[[#This Row],[is_fixed]],questions[[#This Row],[question]]=INDEX(stable[question],MATCH(questions[[#This Row],[qno]],stable[qno],0)),TRUE)</f>
        <v>1</v>
      </c>
      <c r="AP1221" s="98" t="str">
        <f>LEFT(questions[[#This Row],[question]],similarity_range)</f>
        <v>Did you hire any peo</v>
      </c>
      <c r="AQ1221" s="98" t="str">
        <f>LEFT(INDEX(stable[question],MATCH(questions[[#This Row],[qno]],stable[qno],0)),similarity_range)</f>
        <v>Did you hire any peo</v>
      </c>
      <c r="AR1221" s="98" t="b">
        <f>questions[[#This Row],[question_first_characters]]=questions[[#This Row],[stability_first_characters]]</f>
        <v>1</v>
      </c>
      <c r="AS1221" s="98" t="b">
        <f>IF(OR(questions[[#This Row],[is_single_select]],questions[[#This Row],[is_multi_select]]),NOT(ISBLANK(questions[[#This Row],[answer_opt_combined]])),TRUE)</f>
        <v>1</v>
      </c>
    </row>
    <row r="1222" spans="1:45" s="77" customFormat="1" ht="15.75" customHeight="1" x14ac:dyDescent="0.25">
      <c r="A1222" s="77" t="str">
        <f>_xlfn.TEXTJOIN("_",TRUE,questions[[#This Row],[origin]:[qno]])</f>
        <v>Kenya_Arabica_Nestle_2025_6021</v>
      </c>
      <c r="B1222" s="77" t="s">
        <v>818</v>
      </c>
      <c r="C1222" s="77" t="s">
        <v>59</v>
      </c>
      <c r="D1222" s="77" t="s">
        <v>819</v>
      </c>
      <c r="E1222" s="77">
        <v>2025</v>
      </c>
      <c r="F1222" s="119" t="s">
        <v>582</v>
      </c>
      <c r="G1222" s="120" t="s">
        <v>998</v>
      </c>
      <c r="H1222" s="9" t="str" cm="1">
        <f t="array" ref="H1222">INDEX(stableR[question],MATCH(VALUE(questions[[#This Row],[qno]]),VALUE(stableR[qno]),0))</f>
        <v>What were the activities that you hired people for, during the main season?</v>
      </c>
      <c r="I1222" s="9" t="b" cm="1">
        <f t="array" ref="I1222">INDEX(stable[is_fixed],MATCH(VALUE(questions[[#This Row],[qno]]),VALUE(stable[qno]),0))</f>
        <v>0</v>
      </c>
      <c r="J1222" s="9" t="b" cm="1">
        <f t="array" ref="J1222">INDEX(stable[is_localized],MATCH(VALUE(questions[[#This Row],[qno]]),VALUE(stable[qno]),0))</f>
        <v>0</v>
      </c>
      <c r="K1222" s="9" t="b" cm="1">
        <f t="array" ref="K1222">INDEX(stable[is_supply_chain_dependent],MATCH(VALUE(questions[[#This Row],[qno]]),VALUE(stable[qno]),0))</f>
        <v>1</v>
      </c>
      <c r="L1222" s="9" t="b" cm="1">
        <f t="array" ref="L1222">INDEX(stable[is_mandatory],MATCH(VALUE(questions[[#This Row],[qno]]),VALUE(stable[qno]),0))</f>
        <v>0</v>
      </c>
      <c r="M1222" s="9" t="b" cm="1">
        <f t="array" ref="M1222">INDEX(stable[is_automated],MATCH(VALUE(questions[[#This Row],[qno]]),VALUE(stable[qno]),0))</f>
        <v>0</v>
      </c>
      <c r="N1222" s="9" t="b" cm="1">
        <f t="array" ref="N1222">INDEX(stable[is_free_text],MATCH(VALUE(questions[[#This Row],[qno]]),VALUE(stable[qno]),0))</f>
        <v>0</v>
      </c>
      <c r="O1222" s="9" t="b" cm="1">
        <f t="array" ref="O1222">INDEX(stable[is_numerical],MATCH(VALUE(questions[[#This Row],[qno]]),VALUE(stable[qno]),0))</f>
        <v>0</v>
      </c>
      <c r="P1222" s="77" t="b" cm="1">
        <f t="array" ref="P1222">INDEX(stable[is_single_select],MATCH(VALUE(questions[[#This Row],[qno]]),VALUE(stable[qno]),0))</f>
        <v>0</v>
      </c>
      <c r="Q1222" s="77" t="b" cm="1">
        <f t="array" ref="Q1222">INDEX(stable[is_multi_select],MATCH(VALUE(questions[[#This Row],[qno]]),VALUE(stable[qno]),0))</f>
        <v>1</v>
      </c>
      <c r="R1222" s="77" t="b" cm="1">
        <f t="array" ref="R1222">INDEX(stable[is_skip_logic],MATCH(VALUE(questions[[#This Row],[qno]]),VALUE(stable[qno]),0))</f>
        <v>1</v>
      </c>
      <c r="S1222" s="77" t="str">
        <f>_xlfn.TEXTJOIN(", ",TRUE,questions[[#This Row],[ans_opt_1]:[ans_opt_14]])</f>
        <v>Harvesting, Pruning, Weeding, Spraying, Planting new trees, Other, NA</v>
      </c>
      <c r="T1222" s="77" t="s">
        <v>246</v>
      </c>
      <c r="U1222" s="77" t="s">
        <v>247</v>
      </c>
      <c r="V1222" s="77" t="s">
        <v>248</v>
      </c>
      <c r="W1222" s="77" t="s">
        <v>249</v>
      </c>
      <c r="X1222" s="77" t="s">
        <v>250</v>
      </c>
      <c r="Y1222" s="112" t="s">
        <v>112</v>
      </c>
      <c r="Z1222" s="77" t="s">
        <v>251</v>
      </c>
      <c r="AH1222" s="98" t="b">
        <f>INDEX(stable[q_standard],MATCH(questions[[#This Row],[qno]],stable[qno],0))</f>
        <v>0</v>
      </c>
      <c r="AI1222" s="98" t="b">
        <f>INDEX(stable[q_living_income],MATCH(questions[[#This Row],[qno]],stable[qno],0))</f>
        <v>1</v>
      </c>
      <c r="AJ1222" s="98" t="b">
        <f>INDEX(stable[q_carbon],MATCH(questions[[#This Row],[qno]],stable[qno],0))</f>
        <v>0</v>
      </c>
      <c r="AK1222" s="98" t="b">
        <f>INDEX(stable[q_regen_ag],MATCH(questions[[#This Row],[qno]],stable[qno],0))</f>
        <v>0</v>
      </c>
      <c r="AL1222" s="98" t="b">
        <f>COUNTIFS(stable[qno],questions[[#This Row],[qno]])=1</f>
        <v>1</v>
      </c>
      <c r="AM1222" s="98" t="b">
        <f>OR(questions[[#This Row],[is_fixed]],questions[[#This Row],[is_localized]],questions[[#This Row],[is_supply_chain_dependent]])</f>
        <v>1</v>
      </c>
      <c r="AN1222" s="98" t="b">
        <f>COUNTIFS(questions[[#This Row],[is_automated]:[is_multi_select]],TRUE)=1</f>
        <v>1</v>
      </c>
      <c r="AO1222" s="98" t="b">
        <f>IF(questions[[#This Row],[is_fixed]],questions[[#This Row],[question]]=INDEX(stable[question],MATCH(questions[[#This Row],[qno]],stable[qno],0)),TRUE)</f>
        <v>1</v>
      </c>
      <c r="AP1222" s="98" t="str">
        <f>LEFT(questions[[#This Row],[question]],similarity_range)</f>
        <v>If yes, what were th</v>
      </c>
      <c r="AQ1222" s="98" t="str">
        <f>LEFT(INDEX(stable[question],MATCH(questions[[#This Row],[qno]],stable[qno],0)),similarity_range)</f>
        <v>If yes, what were th</v>
      </c>
      <c r="AR1222" s="98" t="b">
        <f>questions[[#This Row],[question_first_characters]]=questions[[#This Row],[stability_first_characters]]</f>
        <v>1</v>
      </c>
      <c r="AS1222" s="98" t="b">
        <f>IF(OR(questions[[#This Row],[is_single_select]],questions[[#This Row],[is_multi_select]]),NOT(ISBLANK(questions[[#This Row],[answer_opt_combined]])),TRUE)</f>
        <v>1</v>
      </c>
    </row>
    <row r="1223" spans="1:45" ht="15.75" customHeight="1" x14ac:dyDescent="0.25">
      <c r="A1223" s="9" t="str">
        <f>_xlfn.TEXTJOIN("_",TRUE,questions[[#This Row],[origin]:[qno]])</f>
        <v>Kenya_Arabica_Nestle_2025_6022</v>
      </c>
      <c r="B1223" s="33" t="s">
        <v>818</v>
      </c>
      <c r="C1223" s="33" t="s">
        <v>59</v>
      </c>
      <c r="D1223" s="33" t="s">
        <v>819</v>
      </c>
      <c r="E1223" s="33">
        <v>2025</v>
      </c>
      <c r="F1223" s="72" t="s">
        <v>584</v>
      </c>
      <c r="G1223" s="18" t="s">
        <v>999</v>
      </c>
      <c r="H1223" s="9" t="str" cm="1">
        <f t="array" ref="H1223">INDEX(stableR[question],MATCH(VALUE(questions[[#This Row],[qno]]),VALUE(stableR[qno]),0))</f>
        <v>How many days in total did you hire people for this main activity, during the main season? (Number of days)</v>
      </c>
      <c r="I1223" s="9" t="b" cm="1">
        <f t="array" ref="I1223">INDEX(stable[is_fixed],MATCH(VALUE(questions[[#This Row],[qno]]),VALUE(stable[qno]),0))</f>
        <v>0</v>
      </c>
      <c r="J1223" s="9" t="b" cm="1">
        <f t="array" ref="J1223">INDEX(stable[is_localized],MATCH(VALUE(questions[[#This Row],[qno]]),VALUE(stable[qno]),0))</f>
        <v>0</v>
      </c>
      <c r="K1223" s="9" t="b" cm="1">
        <f t="array" ref="K1223">INDEX(stable[is_supply_chain_dependent],MATCH(VALUE(questions[[#This Row],[qno]]),VALUE(stable[qno]),0))</f>
        <v>1</v>
      </c>
      <c r="L1223" s="9" t="b" cm="1">
        <f t="array" ref="L1223">INDEX(stable[is_mandatory],MATCH(VALUE(questions[[#This Row],[qno]]),VALUE(stable[qno]),0))</f>
        <v>0</v>
      </c>
      <c r="M1223" s="9" t="b" cm="1">
        <f t="array" ref="M1223">INDEX(stable[is_automated],MATCH(VALUE(questions[[#This Row],[qno]]),VALUE(stable[qno]),0))</f>
        <v>0</v>
      </c>
      <c r="N1223" s="9" t="b" cm="1">
        <f t="array" ref="N1223">INDEX(stable[is_free_text],MATCH(VALUE(questions[[#This Row],[qno]]),VALUE(stable[qno]),0))</f>
        <v>0</v>
      </c>
      <c r="O1223" s="9" t="b" cm="1">
        <f t="array" ref="O1223">INDEX(stable[is_numerical],MATCH(VALUE(questions[[#This Row],[qno]]),VALUE(stable[qno]),0))</f>
        <v>1</v>
      </c>
      <c r="P1223" s="9" t="b" cm="1">
        <f t="array" ref="P1223">INDEX(stable[is_single_select],MATCH(VALUE(questions[[#This Row],[qno]]),VALUE(stable[qno]),0))</f>
        <v>0</v>
      </c>
      <c r="Q1223" s="9" t="b" cm="1">
        <f t="array" ref="Q1223">INDEX(stable[is_multi_select],MATCH(VALUE(questions[[#This Row],[qno]]),VALUE(stable[qno]),0))</f>
        <v>0</v>
      </c>
      <c r="R1223" s="9" t="b" cm="1">
        <f t="array" ref="R1223">INDEX(stable[is_skip_logic],MATCH(VALUE(questions[[#This Row],[qno]]),VALUE(stable[qno]),0))</f>
        <v>1</v>
      </c>
      <c r="S1223" s="9" t="str">
        <f>_xlfn.TEXTJOIN(", ",TRUE,questions[[#This Row],[ans_opt_1]:[ans_opt_14]])</f>
        <v/>
      </c>
      <c r="T1223" s="33"/>
      <c r="U1223" s="33"/>
      <c r="V1223" s="33"/>
      <c r="W1223" s="33"/>
      <c r="X1223" s="33"/>
      <c r="Y1223" s="33"/>
      <c r="Z1223" s="33"/>
      <c r="AA1223" s="33"/>
      <c r="AB1223" s="33"/>
      <c r="AC1223" s="33"/>
      <c r="AD1223" s="33"/>
      <c r="AE1223" s="33"/>
      <c r="AF1223" s="33"/>
      <c r="AG1223" s="33"/>
      <c r="AH1223" s="99" t="b">
        <f>INDEX(stable[q_standard],MATCH(questions[[#This Row],[qno]],stable[qno],0))</f>
        <v>0</v>
      </c>
      <c r="AI1223" s="99" t="b">
        <f>INDEX(stable[q_living_income],MATCH(questions[[#This Row],[qno]],stable[qno],0))</f>
        <v>1</v>
      </c>
      <c r="AJ1223" s="99" t="b">
        <f>INDEX(stable[q_carbon],MATCH(questions[[#This Row],[qno]],stable[qno],0))</f>
        <v>0</v>
      </c>
      <c r="AK1223" s="99" t="b">
        <f>INDEX(stable[q_regen_ag],MATCH(questions[[#This Row],[qno]],stable[qno],0))</f>
        <v>0</v>
      </c>
      <c r="AL1223" s="16" t="b">
        <f>COUNTIFS(stable[qno],questions[[#This Row],[qno]])=1</f>
        <v>1</v>
      </c>
      <c r="AM1223" s="16" t="b">
        <f>OR(questions[[#This Row],[is_fixed]],questions[[#This Row],[is_localized]],questions[[#This Row],[is_supply_chain_dependent]])</f>
        <v>1</v>
      </c>
      <c r="AN1223" s="16" t="b">
        <f>COUNTIFS(questions[[#This Row],[is_automated]:[is_multi_select]],TRUE)=1</f>
        <v>1</v>
      </c>
      <c r="AO1223" s="16" t="b">
        <f>IF(questions[[#This Row],[is_fixed]],questions[[#This Row],[question]]=INDEX(stable[question],MATCH(questions[[#This Row],[qno]],stable[qno],0)),TRUE)</f>
        <v>1</v>
      </c>
      <c r="AP1223" s="16" t="str">
        <f>LEFT(questions[[#This Row],[question]],similarity_range)</f>
        <v>If yes, how many day</v>
      </c>
      <c r="AQ1223" s="16" t="str">
        <f>LEFT(INDEX(stable[question],MATCH(questions[[#This Row],[qno]],stable[qno],0)),similarity_range)</f>
        <v>If yes, how many day</v>
      </c>
      <c r="AR1223" s="16" t="b">
        <f>questions[[#This Row],[question_first_characters]]=questions[[#This Row],[stability_first_characters]]</f>
        <v>1</v>
      </c>
      <c r="AS1223" s="16" t="b">
        <f>IF(OR(questions[[#This Row],[is_single_select]],questions[[#This Row],[is_multi_select]]),NOT(ISBLANK(questions[[#This Row],[answer_opt_combined]])),TRUE)</f>
        <v>1</v>
      </c>
    </row>
    <row r="1224" spans="1:45" ht="15.75" customHeight="1" x14ac:dyDescent="0.25">
      <c r="A1224" s="9" t="str">
        <f>_xlfn.TEXTJOIN("_",TRUE,questions[[#This Row],[origin]:[qno]])</f>
        <v>Kenya_Arabica_Nestle_2025_6023</v>
      </c>
      <c r="B1224" s="33" t="s">
        <v>818</v>
      </c>
      <c r="C1224" s="33" t="s">
        <v>59</v>
      </c>
      <c r="D1224" s="33" t="s">
        <v>819</v>
      </c>
      <c r="E1224" s="33">
        <v>2025</v>
      </c>
      <c r="F1224" s="72" t="s">
        <v>586</v>
      </c>
      <c r="G1224" s="20" t="s">
        <v>1000</v>
      </c>
      <c r="H1224" s="9" t="str" cm="1">
        <f t="array" ref="H1224">INDEX(stableR[question],MATCH(VALUE(questions[[#This Row],[qno]]),VALUE(stableR[qno]),0))</f>
        <v>How many people did you typically hire per day for this main activity during main season?</v>
      </c>
      <c r="I1224" s="9" t="b" cm="1">
        <f t="array" ref="I1224">INDEX(stable[is_fixed],MATCH(VALUE(questions[[#This Row],[qno]]),VALUE(stable[qno]),0))</f>
        <v>0</v>
      </c>
      <c r="J1224" s="9" t="b" cm="1">
        <f t="array" ref="J1224">INDEX(stable[is_localized],MATCH(VALUE(questions[[#This Row],[qno]]),VALUE(stable[qno]),0))</f>
        <v>0</v>
      </c>
      <c r="K1224" s="9" t="b" cm="1">
        <f t="array" ref="K1224">INDEX(stable[is_supply_chain_dependent],MATCH(VALUE(questions[[#This Row],[qno]]),VALUE(stable[qno]),0))</f>
        <v>1</v>
      </c>
      <c r="L1224" s="9" t="b" cm="1">
        <f t="array" ref="L1224">INDEX(stable[is_mandatory],MATCH(VALUE(questions[[#This Row],[qno]]),VALUE(stable[qno]),0))</f>
        <v>0</v>
      </c>
      <c r="M1224" s="9" t="b" cm="1">
        <f t="array" ref="M1224">INDEX(stable[is_automated],MATCH(VALUE(questions[[#This Row],[qno]]),VALUE(stable[qno]),0))</f>
        <v>0</v>
      </c>
      <c r="N1224" s="9" t="b" cm="1">
        <f t="array" ref="N1224">INDEX(stable[is_free_text],MATCH(VALUE(questions[[#This Row],[qno]]),VALUE(stable[qno]),0))</f>
        <v>0</v>
      </c>
      <c r="O1224" s="9" t="b" cm="1">
        <f t="array" ref="O1224">INDEX(stable[is_numerical],MATCH(VALUE(questions[[#This Row],[qno]]),VALUE(stable[qno]),0))</f>
        <v>1</v>
      </c>
      <c r="P1224" s="9" t="b" cm="1">
        <f t="array" ref="P1224">INDEX(stable[is_single_select],MATCH(VALUE(questions[[#This Row],[qno]]),VALUE(stable[qno]),0))</f>
        <v>0</v>
      </c>
      <c r="Q1224" s="9" t="b" cm="1">
        <f t="array" ref="Q1224">INDEX(stable[is_multi_select],MATCH(VALUE(questions[[#This Row],[qno]]),VALUE(stable[qno]),0))</f>
        <v>0</v>
      </c>
      <c r="R1224" s="9" t="b" cm="1">
        <f t="array" ref="R1224">INDEX(stable[is_skip_logic],MATCH(VALUE(questions[[#This Row],[qno]]),VALUE(stable[qno]),0))</f>
        <v>1</v>
      </c>
      <c r="S1224" s="9" t="str">
        <f>_xlfn.TEXTJOIN(", ",TRUE,questions[[#This Row],[ans_opt_1]:[ans_opt_14]])</f>
        <v/>
      </c>
      <c r="T1224" s="33"/>
      <c r="U1224" s="33"/>
      <c r="V1224" s="33"/>
      <c r="W1224" s="33"/>
      <c r="X1224" s="33"/>
      <c r="Y1224" s="33"/>
      <c r="Z1224" s="33"/>
      <c r="AA1224" s="33"/>
      <c r="AB1224" s="33"/>
      <c r="AC1224" s="33"/>
      <c r="AD1224" s="33"/>
      <c r="AE1224" s="33"/>
      <c r="AF1224" s="33"/>
      <c r="AG1224" s="33"/>
      <c r="AH1224" s="99" t="b">
        <f>INDEX(stable[q_standard],MATCH(questions[[#This Row],[qno]],stable[qno],0))</f>
        <v>0</v>
      </c>
      <c r="AI1224" s="99" t="b">
        <f>INDEX(stable[q_living_income],MATCH(questions[[#This Row],[qno]],stable[qno],0))</f>
        <v>1</v>
      </c>
      <c r="AJ1224" s="99" t="b">
        <f>INDEX(stable[q_carbon],MATCH(questions[[#This Row],[qno]],stable[qno],0))</f>
        <v>0</v>
      </c>
      <c r="AK1224" s="99" t="b">
        <f>INDEX(stable[q_regen_ag],MATCH(questions[[#This Row],[qno]],stable[qno],0))</f>
        <v>0</v>
      </c>
      <c r="AL1224" s="16" t="b">
        <f>COUNTIFS(stable[qno],questions[[#This Row],[qno]])=1</f>
        <v>1</v>
      </c>
      <c r="AM1224" s="16" t="b">
        <f>OR(questions[[#This Row],[is_fixed]],questions[[#This Row],[is_localized]],questions[[#This Row],[is_supply_chain_dependent]])</f>
        <v>1</v>
      </c>
      <c r="AN1224" s="16" t="b">
        <f>COUNTIFS(questions[[#This Row],[is_automated]:[is_multi_select]],TRUE)=1</f>
        <v>1</v>
      </c>
      <c r="AO1224" s="16" t="b">
        <f>IF(questions[[#This Row],[is_fixed]],questions[[#This Row],[question]]=INDEX(stable[question],MATCH(questions[[#This Row],[qno]],stable[qno],0)),TRUE)</f>
        <v>1</v>
      </c>
      <c r="AP1224" s="16" t="str">
        <f>LEFT(questions[[#This Row],[question]],similarity_range)</f>
        <v>If yes, how many peo</v>
      </c>
      <c r="AQ1224" s="16" t="str">
        <f>LEFT(INDEX(stable[question],MATCH(questions[[#This Row],[qno]],stable[qno],0)),similarity_range)</f>
        <v>If yes, how many peo</v>
      </c>
      <c r="AR1224" s="16" t="b">
        <f>questions[[#This Row],[question_first_characters]]=questions[[#This Row],[stability_first_characters]]</f>
        <v>1</v>
      </c>
      <c r="AS1224" s="16" t="b">
        <f>IF(OR(questions[[#This Row],[is_single_select]],questions[[#This Row],[is_multi_select]]),NOT(ISBLANK(questions[[#This Row],[answer_opt_combined]])),TRUE)</f>
        <v>1</v>
      </c>
    </row>
    <row r="1225" spans="1:45" s="77" customFormat="1" ht="15.75" customHeight="1" x14ac:dyDescent="0.25">
      <c r="A1225" s="77" t="str">
        <f>_xlfn.TEXTJOIN("_",TRUE,questions[[#This Row],[origin]:[qno]])</f>
        <v>Kenya_Arabica_Nestle_2025_6100</v>
      </c>
      <c r="B1225" s="77" t="s">
        <v>818</v>
      </c>
      <c r="C1225" s="77" t="s">
        <v>59</v>
      </c>
      <c r="D1225" s="77" t="s">
        <v>819</v>
      </c>
      <c r="E1225" s="77">
        <v>2025</v>
      </c>
      <c r="F1225" s="105" t="s">
        <v>256</v>
      </c>
      <c r="G1225" s="120" t="s">
        <v>1001</v>
      </c>
      <c r="H1225" s="9" t="str" cm="1">
        <f t="array" ref="H1225">INDEX(stableR[question],MATCH(VALUE(questions[[#This Row],[qno]]),VALUE(stableR[qno]),0))</f>
        <v>Did you use any monetary loan for coffee activities last year?</v>
      </c>
      <c r="I1225" s="9" t="b" cm="1">
        <f t="array" ref="I1225">INDEX(stable[is_fixed],MATCH(VALUE(questions[[#This Row],[qno]]),VALUE(stable[qno]),0))</f>
        <v>1</v>
      </c>
      <c r="J1225" s="9" t="b" cm="1">
        <f t="array" ref="J1225">INDEX(stable[is_localized],MATCH(VALUE(questions[[#This Row],[qno]]),VALUE(stable[qno]),0))</f>
        <v>0</v>
      </c>
      <c r="K1225" s="9" t="b" cm="1">
        <f t="array" ref="K1225">INDEX(stable[is_supply_chain_dependent],MATCH(VALUE(questions[[#This Row],[qno]]),VALUE(stable[qno]),0))</f>
        <v>0</v>
      </c>
      <c r="L1225" s="9" t="b" cm="1">
        <f t="array" ref="L1225">INDEX(stable[is_mandatory],MATCH(VALUE(questions[[#This Row],[qno]]),VALUE(stable[qno]),0))</f>
        <v>1</v>
      </c>
      <c r="M1225" s="9" t="b" cm="1">
        <f t="array" ref="M1225">INDEX(stable[is_automated],MATCH(VALUE(questions[[#This Row],[qno]]),VALUE(stable[qno]),0))</f>
        <v>0</v>
      </c>
      <c r="N1225" s="9" t="b" cm="1">
        <f t="array" ref="N1225">INDEX(stable[is_free_text],MATCH(VALUE(questions[[#This Row],[qno]]),VALUE(stable[qno]),0))</f>
        <v>0</v>
      </c>
      <c r="O1225" s="9" t="b" cm="1">
        <f t="array" ref="O1225">INDEX(stable[is_numerical],MATCH(VALUE(questions[[#This Row],[qno]]),VALUE(stable[qno]),0))</f>
        <v>0</v>
      </c>
      <c r="P1225" s="77" t="b" cm="1">
        <f t="array" ref="P1225">INDEX(stable[is_single_select],MATCH(VALUE(questions[[#This Row],[qno]]),VALUE(stable[qno]),0))</f>
        <v>1</v>
      </c>
      <c r="Q1225" s="77" t="b" cm="1">
        <f t="array" ref="Q1225">INDEX(stable[is_multi_select],MATCH(VALUE(questions[[#This Row],[qno]]),VALUE(stable[qno]),0))</f>
        <v>0</v>
      </c>
      <c r="R1225" s="77" t="b" cm="1">
        <f t="array" ref="R1225">INDEX(stable[is_skip_logic],MATCH(VALUE(questions[[#This Row],[qno]]),VALUE(stable[qno]),0))</f>
        <v>1</v>
      </c>
      <c r="S1225" s="77" t="str">
        <f>_xlfn.TEXTJOIN(", ",TRUE,questions[[#This Row],[ans_opt_1]:[ans_opt_14]])</f>
        <v>Yes, No</v>
      </c>
      <c r="T1225" s="77" t="s">
        <v>149</v>
      </c>
      <c r="U1225" s="77" t="s">
        <v>119</v>
      </c>
      <c r="AH1225" s="98" t="b">
        <f>INDEX(stable[q_standard],MATCH(questions[[#This Row],[qno]],stable[qno],0))</f>
        <v>0</v>
      </c>
      <c r="AI1225" s="98" t="b">
        <f>INDEX(stable[q_living_income],MATCH(questions[[#This Row],[qno]],stable[qno],0))</f>
        <v>1</v>
      </c>
      <c r="AJ1225" s="98" t="b">
        <f>INDEX(stable[q_carbon],MATCH(questions[[#This Row],[qno]],stable[qno],0))</f>
        <v>0</v>
      </c>
      <c r="AK1225" s="98" t="b">
        <f>INDEX(stable[q_regen_ag],MATCH(questions[[#This Row],[qno]],stable[qno],0))</f>
        <v>0</v>
      </c>
      <c r="AL1225" s="98" t="b">
        <f>COUNTIFS(stable[qno],questions[[#This Row],[qno]])=1</f>
        <v>1</v>
      </c>
      <c r="AM1225" s="98" t="b">
        <f>OR(questions[[#This Row],[is_fixed]],questions[[#This Row],[is_localized]],questions[[#This Row],[is_supply_chain_dependent]])</f>
        <v>1</v>
      </c>
      <c r="AN1225" s="98" t="b">
        <f>COUNTIFS(questions[[#This Row],[is_automated]:[is_multi_select]],TRUE)=1</f>
        <v>1</v>
      </c>
      <c r="AO1225" s="98" t="b">
        <f>IF(questions[[#This Row],[is_fixed]],questions[[#This Row],[question]]=INDEX(stable[question],MATCH(questions[[#This Row],[qno]],stable[qno],0)),TRUE)</f>
        <v>1</v>
      </c>
      <c r="AP1225" s="98" t="str">
        <f>LEFT(questions[[#This Row],[question]],similarity_range)</f>
        <v>Did you use any mone</v>
      </c>
      <c r="AQ1225" s="98" t="str">
        <f>LEFT(INDEX(stable[question],MATCH(questions[[#This Row],[qno]],stable[qno],0)),similarity_range)</f>
        <v>Did you use any mone</v>
      </c>
      <c r="AR1225" s="98" t="b">
        <f>questions[[#This Row],[question_first_characters]]=questions[[#This Row],[stability_first_characters]]</f>
        <v>1</v>
      </c>
      <c r="AS1225" s="98" t="b">
        <f>IF(OR(questions[[#This Row],[is_single_select]],questions[[#This Row],[is_multi_select]]),NOT(ISBLANK(questions[[#This Row],[answer_opt_combined]])),TRUE)</f>
        <v>1</v>
      </c>
    </row>
    <row r="1226" spans="1:45" s="77" customFormat="1" ht="15.75" customHeight="1" x14ac:dyDescent="0.25">
      <c r="A1226" s="77" t="str">
        <f>_xlfn.TEXTJOIN("_",TRUE,questions[[#This Row],[origin]:[qno]])</f>
        <v>Kenya_Arabica_Nestle_2025_6101</v>
      </c>
      <c r="B1226" s="77" t="s">
        <v>818</v>
      </c>
      <c r="C1226" s="77" t="s">
        <v>59</v>
      </c>
      <c r="D1226" s="77" t="s">
        <v>819</v>
      </c>
      <c r="E1226" s="77">
        <v>2025</v>
      </c>
      <c r="F1226" s="105" t="s">
        <v>258</v>
      </c>
      <c r="G1226" s="78" t="s">
        <v>259</v>
      </c>
      <c r="H1226" s="9" t="str" cm="1">
        <f t="array" ref="H1226">INDEX(stableR[question],MATCH(VALUE(questions[[#This Row],[qno]]),VALUE(stableR[qno]),0))</f>
        <v>What was the total amount of loans you borrowed last year (in your local currency)?</v>
      </c>
      <c r="I1226" s="9" t="b" cm="1">
        <f t="array" ref="I1226">INDEX(stable[is_fixed],MATCH(VALUE(questions[[#This Row],[qno]]),VALUE(stable[qno]),0))</f>
        <v>1</v>
      </c>
      <c r="J1226" s="9" t="b" cm="1">
        <f t="array" ref="J1226">INDEX(stable[is_localized],MATCH(VALUE(questions[[#This Row],[qno]]),VALUE(stable[qno]),0))</f>
        <v>0</v>
      </c>
      <c r="K1226" s="9" t="b" cm="1">
        <f t="array" ref="K1226">INDEX(stable[is_supply_chain_dependent],MATCH(VALUE(questions[[#This Row],[qno]]),VALUE(stable[qno]),0))</f>
        <v>0</v>
      </c>
      <c r="L1226" s="9" t="b" cm="1">
        <f t="array" ref="L1226">INDEX(stable[is_mandatory],MATCH(VALUE(questions[[#This Row],[qno]]),VALUE(stable[qno]),0))</f>
        <v>0</v>
      </c>
      <c r="M1226" s="9" t="b" cm="1">
        <f t="array" ref="M1226">INDEX(stable[is_automated],MATCH(VALUE(questions[[#This Row],[qno]]),VALUE(stable[qno]),0))</f>
        <v>0</v>
      </c>
      <c r="N1226" s="9" t="b" cm="1">
        <f t="array" ref="N1226">INDEX(stable[is_free_text],MATCH(VALUE(questions[[#This Row],[qno]]),VALUE(stable[qno]),0))</f>
        <v>0</v>
      </c>
      <c r="O1226" s="9" t="b" cm="1">
        <f t="array" ref="O1226">INDEX(stable[is_numerical],MATCH(VALUE(questions[[#This Row],[qno]]),VALUE(stable[qno]),0))</f>
        <v>0</v>
      </c>
      <c r="P1226" s="77" t="b" cm="1">
        <f t="array" ref="P1226">INDEX(stable[is_single_select],MATCH(VALUE(questions[[#This Row],[qno]]),VALUE(stable[qno]),0))</f>
        <v>0</v>
      </c>
      <c r="Q1226" s="100" t="b" cm="1">
        <f t="array" ref="Q1226">INDEX(stable[is_multi_select],MATCH(VALUE(questions[[#This Row],[qno]]),VALUE(stable[qno]),0))</f>
        <v>1</v>
      </c>
      <c r="R1226" s="100" t="b" cm="1">
        <f t="array" ref="R1226">INDEX(stable[is_skip_logic],MATCH(VALUE(questions[[#This Row],[qno]]),VALUE(stable[qno]),0))</f>
        <v>1</v>
      </c>
      <c r="S1226" s="77" t="str">
        <f>_xlfn.TEXTJOIN(", ",TRUE,questions[[#This Row],[ans_opt_1]:[ans_opt_14]])</f>
        <v>Cash, Cherries, Other</v>
      </c>
      <c r="T1226" s="100" t="s">
        <v>1002</v>
      </c>
      <c r="U1226" s="100" t="s">
        <v>1003</v>
      </c>
      <c r="V1226" s="112" t="s">
        <v>112</v>
      </c>
      <c r="AH1226" s="98" t="b">
        <f>INDEX(stable[q_standard],MATCH(questions[[#This Row],[qno]],stable[qno],0))</f>
        <v>0</v>
      </c>
      <c r="AI1226" s="98" t="b">
        <f>INDEX(stable[q_living_income],MATCH(questions[[#This Row],[qno]],stable[qno],0))</f>
        <v>1</v>
      </c>
      <c r="AJ1226" s="98" t="b">
        <f>INDEX(stable[q_carbon],MATCH(questions[[#This Row],[qno]],stable[qno],0))</f>
        <v>0</v>
      </c>
      <c r="AK1226" s="98" t="b">
        <f>INDEX(stable[q_regen_ag],MATCH(questions[[#This Row],[qno]],stable[qno],0))</f>
        <v>0</v>
      </c>
      <c r="AL1226" s="98" t="b">
        <f>COUNTIFS(stable[qno],questions[[#This Row],[qno]])=1</f>
        <v>1</v>
      </c>
      <c r="AM1226" s="98" t="b">
        <f>OR(questions[[#This Row],[is_fixed]],questions[[#This Row],[is_localized]],questions[[#This Row],[is_supply_chain_dependent]])</f>
        <v>1</v>
      </c>
      <c r="AN1226" s="98" t="b">
        <f>COUNTIFS(questions[[#This Row],[is_automated]:[is_multi_select]],TRUE)=1</f>
        <v>1</v>
      </c>
      <c r="AO1226" s="98" t="b">
        <f>IF(questions[[#This Row],[is_fixed]],questions[[#This Row],[question]]=INDEX(stable[question],MATCH(questions[[#This Row],[qno]],stable[qno],0)),TRUE)</f>
        <v>1</v>
      </c>
      <c r="AP1226" s="98" t="str">
        <f>LEFT(questions[[#This Row],[question]],similarity_range)</f>
        <v xml:space="preserve">If yes, how did you </v>
      </c>
      <c r="AQ1226" s="98" t="str">
        <f>LEFT(INDEX(stable[question],MATCH(questions[[#This Row],[qno]],stable[qno],0)),similarity_range)</f>
        <v xml:space="preserve">If yes, how did you </v>
      </c>
      <c r="AR1226" s="98" t="b">
        <f>questions[[#This Row],[question_first_characters]]=questions[[#This Row],[stability_first_characters]]</f>
        <v>1</v>
      </c>
      <c r="AS1226" s="98" t="b">
        <f>IF(OR(questions[[#This Row],[is_single_select]],questions[[#This Row],[is_multi_select]]),NOT(ISBLANK(questions[[#This Row],[answer_opt_combined]])),TRUE)</f>
        <v>1</v>
      </c>
    </row>
    <row r="1227" spans="1:45" ht="15.75" customHeight="1" x14ac:dyDescent="0.25">
      <c r="A1227" s="9" t="str">
        <f>_xlfn.TEXTJOIN("_",TRUE,questions[[#This Row],[origin]:[qno]])</f>
        <v>Kenya_Arabica_Nestle_2025_6102</v>
      </c>
      <c r="B1227" s="33" t="s">
        <v>818</v>
      </c>
      <c r="C1227" s="33" t="s">
        <v>59</v>
      </c>
      <c r="D1227" s="33" t="s">
        <v>819</v>
      </c>
      <c r="E1227" s="33">
        <v>2025</v>
      </c>
      <c r="F1227" s="41" t="s">
        <v>260</v>
      </c>
      <c r="G1227" s="18" t="s">
        <v>1004</v>
      </c>
      <c r="H1227" s="9" t="str" cm="1">
        <f t="array" ref="H1227">INDEX(stableR[question],MATCH(VALUE(questions[[#This Row],[qno]]),VALUE(stableR[qno]),0))</f>
        <v>How did you have to pay for this? (in cash or in cherries? Please explain)</v>
      </c>
      <c r="I1227" s="9" t="b" cm="1">
        <f t="array" ref="I1227">INDEX(stable[is_fixed],MATCH(VALUE(questions[[#This Row],[qno]]),VALUE(stable[qno]),0))</f>
        <v>0</v>
      </c>
      <c r="J1227" s="9" t="b" cm="1">
        <f t="array" ref="J1227">INDEX(stable[is_localized],MATCH(VALUE(questions[[#This Row],[qno]]),VALUE(stable[qno]),0))</f>
        <v>1</v>
      </c>
      <c r="K1227" s="9" t="b" cm="1">
        <f t="array" ref="K1227">INDEX(stable[is_supply_chain_dependent],MATCH(VALUE(questions[[#This Row],[qno]]),VALUE(stable[qno]),0))</f>
        <v>0</v>
      </c>
      <c r="L1227" s="9" t="b" cm="1">
        <f t="array" ref="L1227">INDEX(stable[is_mandatory],MATCH(VALUE(questions[[#This Row],[qno]]),VALUE(stable[qno]),0))</f>
        <v>0</v>
      </c>
      <c r="M1227" s="9" t="b" cm="1">
        <f t="array" ref="M1227">INDEX(stable[is_automated],MATCH(VALUE(questions[[#This Row],[qno]]),VALUE(stable[qno]),0))</f>
        <v>0</v>
      </c>
      <c r="N1227" s="9" t="b" cm="1">
        <f t="array" ref="N1227">INDEX(stable[is_free_text],MATCH(VALUE(questions[[#This Row],[qno]]),VALUE(stable[qno]),0))</f>
        <v>0</v>
      </c>
      <c r="O1227" s="9" t="b" cm="1">
        <f t="array" ref="O1227">INDEX(stable[is_numerical],MATCH(VALUE(questions[[#This Row],[qno]]),VALUE(stable[qno]),0))</f>
        <v>1</v>
      </c>
      <c r="P1227" s="9" t="b" cm="1">
        <f t="array" ref="P1227">INDEX(stable[is_single_select],MATCH(VALUE(questions[[#This Row],[qno]]),VALUE(stable[qno]),0))</f>
        <v>0</v>
      </c>
      <c r="Q1227" s="9" t="b" cm="1">
        <f t="array" ref="Q1227">INDEX(stable[is_multi_select],MATCH(VALUE(questions[[#This Row],[qno]]),VALUE(stable[qno]),0))</f>
        <v>0</v>
      </c>
      <c r="R1227" s="9" t="b" cm="1">
        <f t="array" ref="R1227">INDEX(stable[is_skip_logic],MATCH(VALUE(questions[[#This Row],[qno]]),VALUE(stable[qno]),0))</f>
        <v>1</v>
      </c>
      <c r="S1227" s="9" t="str">
        <f>_xlfn.TEXTJOIN(", ",TRUE,questions[[#This Row],[ans_opt_1]:[ans_opt_14]])</f>
        <v/>
      </c>
      <c r="T1227" s="33"/>
      <c r="U1227" s="33"/>
      <c r="V1227" s="33"/>
      <c r="W1227" s="33"/>
      <c r="X1227" s="33"/>
      <c r="Y1227" s="33"/>
      <c r="Z1227" s="33"/>
      <c r="AA1227" s="33"/>
      <c r="AB1227" s="33"/>
      <c r="AC1227" s="33"/>
      <c r="AD1227" s="33"/>
      <c r="AE1227" s="33"/>
      <c r="AF1227" s="33"/>
      <c r="AG1227" s="33"/>
      <c r="AH1227" s="99" t="b">
        <f>INDEX(stable[q_standard],MATCH(questions[[#This Row],[qno]],stable[qno],0))</f>
        <v>0</v>
      </c>
      <c r="AI1227" s="99" t="b">
        <f>INDEX(stable[q_living_income],MATCH(questions[[#This Row],[qno]],stable[qno],0))</f>
        <v>1</v>
      </c>
      <c r="AJ1227" s="99" t="b">
        <f>INDEX(stable[q_carbon],MATCH(questions[[#This Row],[qno]],stable[qno],0))</f>
        <v>0</v>
      </c>
      <c r="AK1227" s="99" t="b">
        <f>INDEX(stable[q_regen_ag],MATCH(questions[[#This Row],[qno]],stable[qno],0))</f>
        <v>0</v>
      </c>
      <c r="AL1227" s="16" t="b">
        <f>COUNTIFS(stable[qno],questions[[#This Row],[qno]])=1</f>
        <v>1</v>
      </c>
      <c r="AM1227" s="16" t="b">
        <f>OR(questions[[#This Row],[is_fixed]],questions[[#This Row],[is_localized]],questions[[#This Row],[is_supply_chain_dependent]])</f>
        <v>1</v>
      </c>
      <c r="AN1227" s="16" t="b">
        <f>COUNTIFS(questions[[#This Row],[is_automated]:[is_multi_select]],TRUE)=1</f>
        <v>1</v>
      </c>
      <c r="AO1227" s="16" t="b">
        <f>IF(questions[[#This Row],[is_fixed]],questions[[#This Row],[question]]=INDEX(stable[question],MATCH(questions[[#This Row],[qno]],stable[qno],0)),TRUE)</f>
        <v>1</v>
      </c>
      <c r="AP1227" s="16" t="str">
        <f>LEFT(questions[[#This Row],[question]],similarity_range)</f>
        <v>If yes, can you esti</v>
      </c>
      <c r="AQ1227" s="16" t="str">
        <f>LEFT(INDEX(stable[question],MATCH(questions[[#This Row],[qno]],stable[qno],0)),similarity_range)</f>
        <v>If yes, can you esti</v>
      </c>
      <c r="AR1227" s="16" t="b">
        <f>questions[[#This Row],[question_first_characters]]=questions[[#This Row],[stability_first_characters]]</f>
        <v>1</v>
      </c>
      <c r="AS1227" s="16" t="b">
        <f>IF(OR(questions[[#This Row],[is_single_select]],questions[[#This Row],[is_multi_select]]),NOT(ISBLANK(questions[[#This Row],[answer_opt_combined]])),TRUE)</f>
        <v>1</v>
      </c>
    </row>
    <row r="1228" spans="1:45" ht="15.75" customHeight="1" x14ac:dyDescent="0.25">
      <c r="A1228" s="9" t="str">
        <f>_xlfn.TEXTJOIN("_",TRUE,questions[[#This Row],[origin]:[qno]])</f>
        <v>Kenya_Arabica_Nestle_2025_6103</v>
      </c>
      <c r="B1228" s="33" t="s">
        <v>818</v>
      </c>
      <c r="C1228" s="33" t="s">
        <v>59</v>
      </c>
      <c r="D1228" s="33" t="s">
        <v>819</v>
      </c>
      <c r="E1228" s="33">
        <v>2025</v>
      </c>
      <c r="F1228" s="41" t="s">
        <v>262</v>
      </c>
      <c r="G1228" s="18" t="s">
        <v>1005</v>
      </c>
      <c r="H1228" s="9" t="str" cm="1">
        <f t="array" ref="H1228">INDEX(stableR[question],MATCH(VALUE(questions[[#This Row],[qno]]),VALUE(stableR[qno]),0))</f>
        <v>Can you estimate how much you had to repay, in total, for the loan last year, including interest (in local currency)</v>
      </c>
      <c r="I1228" s="9" t="b" cm="1">
        <f t="array" ref="I1228">INDEX(stable[is_fixed],MATCH(VALUE(questions[[#This Row],[qno]]),VALUE(stable[qno]),0))</f>
        <v>0</v>
      </c>
      <c r="J1228" s="9" t="b" cm="1">
        <f t="array" ref="J1228">INDEX(stable[is_localized],MATCH(VALUE(questions[[#This Row],[qno]]),VALUE(stable[qno]),0))</f>
        <v>1</v>
      </c>
      <c r="K1228" s="9" t="b" cm="1">
        <f t="array" ref="K1228">INDEX(stable[is_supply_chain_dependent],MATCH(VALUE(questions[[#This Row],[qno]]),VALUE(stable[qno]),0))</f>
        <v>0</v>
      </c>
      <c r="L1228" s="9" t="b" cm="1">
        <f t="array" ref="L1228">INDEX(stable[is_mandatory],MATCH(VALUE(questions[[#This Row],[qno]]),VALUE(stable[qno]),0))</f>
        <v>0</v>
      </c>
      <c r="M1228" s="9" t="b" cm="1">
        <f t="array" ref="M1228">INDEX(stable[is_automated],MATCH(VALUE(questions[[#This Row],[qno]]),VALUE(stable[qno]),0))</f>
        <v>0</v>
      </c>
      <c r="N1228" s="9" t="b" cm="1">
        <f t="array" ref="N1228">INDEX(stable[is_free_text],MATCH(VALUE(questions[[#This Row],[qno]]),VALUE(stable[qno]),0))</f>
        <v>0</v>
      </c>
      <c r="O1228" s="9" t="b" cm="1">
        <f t="array" ref="O1228">INDEX(stable[is_numerical],MATCH(VALUE(questions[[#This Row],[qno]]),VALUE(stable[qno]),0))</f>
        <v>1</v>
      </c>
      <c r="P1228" s="9" t="b" cm="1">
        <f t="array" ref="P1228">INDEX(stable[is_single_select],MATCH(VALUE(questions[[#This Row],[qno]]),VALUE(stable[qno]),0))</f>
        <v>0</v>
      </c>
      <c r="Q1228" s="9" t="b" cm="1">
        <f t="array" ref="Q1228">INDEX(stable[is_multi_select],MATCH(VALUE(questions[[#This Row],[qno]]),VALUE(stable[qno]),0))</f>
        <v>0</v>
      </c>
      <c r="R1228" s="9" t="b" cm="1">
        <f t="array" ref="R1228">INDEX(stable[is_skip_logic],MATCH(VALUE(questions[[#This Row],[qno]]),VALUE(stable[qno]),0))</f>
        <v>1</v>
      </c>
      <c r="S1228" s="9" t="str">
        <f>_xlfn.TEXTJOIN(", ",TRUE,questions[[#This Row],[ans_opt_1]:[ans_opt_14]])</f>
        <v/>
      </c>
      <c r="T1228" s="33"/>
      <c r="U1228" s="33"/>
      <c r="V1228" s="33"/>
      <c r="W1228" s="33"/>
      <c r="X1228" s="33"/>
      <c r="Y1228" s="33"/>
      <c r="Z1228" s="33"/>
      <c r="AA1228" s="33"/>
      <c r="AB1228" s="33"/>
      <c r="AC1228" s="33"/>
      <c r="AD1228" s="33"/>
      <c r="AE1228" s="33"/>
      <c r="AF1228" s="33"/>
      <c r="AG1228" s="33"/>
      <c r="AH1228" s="99" t="b">
        <f>INDEX(stable[q_standard],MATCH(questions[[#This Row],[qno]],stable[qno],0))</f>
        <v>0</v>
      </c>
      <c r="AI1228" s="99" t="b">
        <f>INDEX(stable[q_living_income],MATCH(questions[[#This Row],[qno]],stable[qno],0))</f>
        <v>1</v>
      </c>
      <c r="AJ1228" s="99" t="b">
        <f>INDEX(stable[q_carbon],MATCH(questions[[#This Row],[qno]],stable[qno],0))</f>
        <v>0</v>
      </c>
      <c r="AK1228" s="99" t="b">
        <f>INDEX(stable[q_regen_ag],MATCH(questions[[#This Row],[qno]],stable[qno],0))</f>
        <v>0</v>
      </c>
      <c r="AL1228" s="16" t="b">
        <f>COUNTIFS(stable[qno],questions[[#This Row],[qno]])=1</f>
        <v>1</v>
      </c>
      <c r="AM1228" s="16" t="b">
        <f>OR(questions[[#This Row],[is_fixed]],questions[[#This Row],[is_localized]],questions[[#This Row],[is_supply_chain_dependent]])</f>
        <v>1</v>
      </c>
      <c r="AN1228" s="16" t="b">
        <f>COUNTIFS(questions[[#This Row],[is_automated]:[is_multi_select]],TRUE)=1</f>
        <v>1</v>
      </c>
      <c r="AO1228" s="16" t="b">
        <f>IF(questions[[#This Row],[is_fixed]],questions[[#This Row],[question]]=INDEX(stable[question],MATCH(questions[[#This Row],[qno]],stable[qno],0)),TRUE)</f>
        <v>1</v>
      </c>
      <c r="AP1228" s="16" t="str">
        <f>LEFT(questions[[#This Row],[question]],similarity_range)</f>
        <v>If yes, can you esti</v>
      </c>
      <c r="AQ1228" s="16" t="str">
        <f>LEFT(INDEX(stable[question],MATCH(questions[[#This Row],[qno]],stable[qno],0)),similarity_range)</f>
        <v>If yes, can you esti</v>
      </c>
      <c r="AR1228" s="16" t="b">
        <f>questions[[#This Row],[question_first_characters]]=questions[[#This Row],[stability_first_characters]]</f>
        <v>1</v>
      </c>
      <c r="AS1228" s="16" t="b">
        <f>IF(OR(questions[[#This Row],[is_single_select]],questions[[#This Row],[is_multi_select]]),NOT(ISBLANK(questions[[#This Row],[answer_opt_combined]])),TRUE)</f>
        <v>1</v>
      </c>
    </row>
    <row r="1229" spans="1:45" s="77" customFormat="1" ht="15.75" customHeight="1" x14ac:dyDescent="0.25">
      <c r="A1229" s="77" t="str">
        <f>_xlfn.TEXTJOIN("_",TRUE,questions[[#This Row],[origin]:[qno]])</f>
        <v>Kenya_Arabica_Nestle_2025_6300</v>
      </c>
      <c r="B1229" s="77" t="s">
        <v>818</v>
      </c>
      <c r="C1229" s="77" t="s">
        <v>59</v>
      </c>
      <c r="D1229" s="77" t="s">
        <v>819</v>
      </c>
      <c r="E1229" s="77">
        <v>2025</v>
      </c>
      <c r="F1229" s="105" t="s">
        <v>268</v>
      </c>
      <c r="G1229" s="78" t="s">
        <v>1006</v>
      </c>
      <c r="H1229" s="9" t="str" cm="1">
        <f t="array" ref="H1229">INDEX(stableR[question],MATCH(VALUE(questions[[#This Row],[qno]]),VALUE(stableR[qno]),0))</f>
        <v>Did you buy coffee seedlings last year?</v>
      </c>
      <c r="I1229" s="9" t="b" cm="1">
        <f t="array" ref="I1229">INDEX(stable[is_fixed],MATCH(VALUE(questions[[#This Row],[qno]]),VALUE(stable[qno]),0))</f>
        <v>1</v>
      </c>
      <c r="J1229" s="9" t="b" cm="1">
        <f t="array" ref="J1229">INDEX(stable[is_localized],MATCH(VALUE(questions[[#This Row],[qno]]),VALUE(stable[qno]),0))</f>
        <v>0</v>
      </c>
      <c r="K1229" s="9" t="b" cm="1">
        <f t="array" ref="K1229">INDEX(stable[is_supply_chain_dependent],MATCH(VALUE(questions[[#This Row],[qno]]),VALUE(stable[qno]),0))</f>
        <v>0</v>
      </c>
      <c r="L1229" s="9" t="b" cm="1">
        <f t="array" ref="L1229">INDEX(stable[is_mandatory],MATCH(VALUE(questions[[#This Row],[qno]]),VALUE(stable[qno]),0))</f>
        <v>1</v>
      </c>
      <c r="M1229" s="9" t="b" cm="1">
        <f t="array" ref="M1229">INDEX(stable[is_automated],MATCH(VALUE(questions[[#This Row],[qno]]),VALUE(stable[qno]),0))</f>
        <v>0</v>
      </c>
      <c r="N1229" s="9" t="b" cm="1">
        <f t="array" ref="N1229">INDEX(stable[is_free_text],MATCH(VALUE(questions[[#This Row],[qno]]),VALUE(stable[qno]),0))</f>
        <v>0</v>
      </c>
      <c r="O1229" s="9" t="b" cm="1">
        <f t="array" ref="O1229">INDEX(stable[is_numerical],MATCH(VALUE(questions[[#This Row],[qno]]),VALUE(stable[qno]),0))</f>
        <v>0</v>
      </c>
      <c r="P1229" s="77" t="b" cm="1">
        <f t="array" ref="P1229">INDEX(stable[is_single_select],MATCH(VALUE(questions[[#This Row],[qno]]),VALUE(stable[qno]),0))</f>
        <v>1</v>
      </c>
      <c r="Q1229" s="77" t="b" cm="1">
        <f t="array" ref="Q1229">INDEX(stable[is_multi_select],MATCH(VALUE(questions[[#This Row],[qno]]),VALUE(stable[qno]),0))</f>
        <v>0</v>
      </c>
      <c r="R1229" s="77" t="b" cm="1">
        <f t="array" ref="R1229">INDEX(stable[is_skip_logic],MATCH(VALUE(questions[[#This Row],[qno]]),VALUE(stable[qno]),0))</f>
        <v>1</v>
      </c>
      <c r="S1229" s="77" t="str">
        <f>_xlfn.TEXTJOIN(", ",TRUE,questions[[#This Row],[ans_opt_1]:[ans_opt_14]])</f>
        <v>Yes, No-mainly received for free, No-Mainly produced on farm</v>
      </c>
      <c r="T1229" s="77" t="s">
        <v>149</v>
      </c>
      <c r="U1229" s="77" t="s">
        <v>1007</v>
      </c>
      <c r="V1229" s="77" t="s">
        <v>1008</v>
      </c>
      <c r="AH1229" s="98" t="b">
        <f>INDEX(stable[q_standard],MATCH(questions[[#This Row],[qno]],stable[qno],0))</f>
        <v>0</v>
      </c>
      <c r="AI1229" s="98" t="b">
        <f>INDEX(stable[q_living_income],MATCH(questions[[#This Row],[qno]],stable[qno],0))</f>
        <v>1</v>
      </c>
      <c r="AJ1229" s="98" t="b">
        <f>INDEX(stable[q_carbon],MATCH(questions[[#This Row],[qno]],stable[qno],0))</f>
        <v>0</v>
      </c>
      <c r="AK1229" s="98" t="b">
        <f>INDEX(stable[q_regen_ag],MATCH(questions[[#This Row],[qno]],stable[qno],0))</f>
        <v>0</v>
      </c>
      <c r="AL1229" s="98" t="b">
        <f>COUNTIFS(stable[qno],questions[[#This Row],[qno]])=1</f>
        <v>1</v>
      </c>
      <c r="AM1229" s="98" t="b">
        <f>OR(questions[[#This Row],[is_fixed]],questions[[#This Row],[is_localized]],questions[[#This Row],[is_supply_chain_dependent]])</f>
        <v>1</v>
      </c>
      <c r="AN1229" s="98" t="b">
        <f>COUNTIFS(questions[[#This Row],[is_automated]:[is_multi_select]],TRUE)=1</f>
        <v>1</v>
      </c>
      <c r="AO1229" s="98" t="b">
        <f>IF(questions[[#This Row],[is_fixed]],questions[[#This Row],[question]]=INDEX(stable[question],MATCH(questions[[#This Row],[qno]],stable[qno],0)),TRUE)</f>
        <v>1</v>
      </c>
      <c r="AP1229" s="98" t="str">
        <f>LEFT(questions[[#This Row],[question]],similarity_range)</f>
        <v>Did you buy coffee s</v>
      </c>
      <c r="AQ1229" s="98" t="str">
        <f>LEFT(INDEX(stable[question],MATCH(questions[[#This Row],[qno]],stable[qno],0)),similarity_range)</f>
        <v>Did you buy coffee s</v>
      </c>
      <c r="AR1229" s="98" t="b">
        <f>questions[[#This Row],[question_first_characters]]=questions[[#This Row],[stability_first_characters]]</f>
        <v>1</v>
      </c>
      <c r="AS1229" s="98" t="b">
        <f>IF(OR(questions[[#This Row],[is_single_select]],questions[[#This Row],[is_multi_select]]),NOT(ISBLANK(questions[[#This Row],[answer_opt_combined]])),TRUE)</f>
        <v>1</v>
      </c>
    </row>
    <row r="1230" spans="1:45" s="77" customFormat="1" ht="15.75" customHeight="1" x14ac:dyDescent="0.25">
      <c r="A1230" s="77" t="str">
        <f>_xlfn.TEXTJOIN("_",TRUE,questions[[#This Row],[origin]:[qno]])</f>
        <v>Kenya_Arabica_Nestle_2025_6301</v>
      </c>
      <c r="B1230" s="77" t="s">
        <v>818</v>
      </c>
      <c r="C1230" s="77" t="s">
        <v>59</v>
      </c>
      <c r="D1230" s="77" t="s">
        <v>819</v>
      </c>
      <c r="E1230" s="77">
        <v>2025</v>
      </c>
      <c r="F1230" s="105" t="s">
        <v>270</v>
      </c>
      <c r="G1230" s="78" t="s">
        <v>853</v>
      </c>
      <c r="H1230" s="9" t="str" cm="1">
        <f t="array" ref="H1230">INDEX(stableR[question],MATCH(VALUE(questions[[#This Row],[qno]]),VALUE(stableR[qno]),0))</f>
        <v>What was the main type seedlings bought?</v>
      </c>
      <c r="I1230" s="9" t="b" cm="1">
        <f t="array" ref="I1230">INDEX(stable[is_fixed],MATCH(VALUE(questions[[#This Row],[qno]]),VALUE(stable[qno]),0))</f>
        <v>1</v>
      </c>
      <c r="J1230" s="9" t="b" cm="1">
        <f t="array" ref="J1230">INDEX(stable[is_localized],MATCH(VALUE(questions[[#This Row],[qno]]),VALUE(stable[qno]),0))</f>
        <v>0</v>
      </c>
      <c r="K1230" s="9" t="b" cm="1">
        <f t="array" ref="K1230">INDEX(stable[is_supply_chain_dependent],MATCH(VALUE(questions[[#This Row],[qno]]),VALUE(stable[qno]),0))</f>
        <v>0</v>
      </c>
      <c r="L1230" s="9" t="b" cm="1">
        <f t="array" ref="L1230">INDEX(stable[is_mandatory],MATCH(VALUE(questions[[#This Row],[qno]]),VALUE(stable[qno]),0))</f>
        <v>0</v>
      </c>
      <c r="M1230" s="9" t="b" cm="1">
        <f t="array" ref="M1230">INDEX(stable[is_automated],MATCH(VALUE(questions[[#This Row],[qno]]),VALUE(stable[qno]),0))</f>
        <v>0</v>
      </c>
      <c r="N1230" s="9" t="b" cm="1">
        <f t="array" ref="N1230">INDEX(stable[is_free_text],MATCH(VALUE(questions[[#This Row],[qno]]),VALUE(stable[qno]),0))</f>
        <v>0</v>
      </c>
      <c r="O1230" s="9" t="b" cm="1">
        <f t="array" ref="O1230">INDEX(stable[is_numerical],MATCH(VALUE(questions[[#This Row],[qno]]),VALUE(stable[qno]),0))</f>
        <v>0</v>
      </c>
      <c r="P1230" s="77" t="b" cm="1">
        <f t="array" ref="P1230">INDEX(stable[is_single_select],MATCH(VALUE(questions[[#This Row],[qno]]),VALUE(stable[qno]),0))</f>
        <v>1</v>
      </c>
      <c r="Q1230" s="77" t="b" cm="1">
        <f t="array" ref="Q1230">INDEX(stable[is_multi_select],MATCH(VALUE(questions[[#This Row],[qno]]),VALUE(stable[qno]),0))</f>
        <v>0</v>
      </c>
      <c r="R1230" s="77" t="b" cm="1">
        <f t="array" ref="R1230">INDEX(stable[is_skip_logic],MATCH(VALUE(questions[[#This Row],[qno]]),VALUE(stable[qno]),0))</f>
        <v>1</v>
      </c>
      <c r="S1230" s="77" t="str">
        <f>_xlfn.TEXTJOIN(", ",TRUE,questions[[#This Row],[ans_opt_1]:[ans_opt_14]])</f>
        <v>SL28, SL34, K7, Ruiru 11, Batain, Other, NA</v>
      </c>
      <c r="T1230" s="77" t="s">
        <v>603</v>
      </c>
      <c r="U1230" s="77" t="s">
        <v>854</v>
      </c>
      <c r="V1230" s="77" t="s">
        <v>855</v>
      </c>
      <c r="W1230" s="77" t="s">
        <v>856</v>
      </c>
      <c r="X1230" s="77" t="s">
        <v>857</v>
      </c>
      <c r="Y1230" s="112" t="s">
        <v>112</v>
      </c>
      <c r="Z1230" s="77" t="s">
        <v>251</v>
      </c>
      <c r="AH1230" s="98" t="b">
        <f>INDEX(stable[q_standard],MATCH(questions[[#This Row],[qno]],stable[qno],0))</f>
        <v>0</v>
      </c>
      <c r="AI1230" s="98" t="b">
        <f>INDEX(stable[q_living_income],MATCH(questions[[#This Row],[qno]],stable[qno],0))</f>
        <v>1</v>
      </c>
      <c r="AJ1230" s="98" t="b">
        <f>INDEX(stable[q_carbon],MATCH(questions[[#This Row],[qno]],stable[qno],0))</f>
        <v>0</v>
      </c>
      <c r="AK1230" s="98" t="b">
        <f>INDEX(stable[q_regen_ag],MATCH(questions[[#This Row],[qno]],stable[qno],0))</f>
        <v>0</v>
      </c>
      <c r="AL1230" s="98" t="b">
        <f>COUNTIFS(stable[qno],questions[[#This Row],[qno]])=1</f>
        <v>1</v>
      </c>
      <c r="AM1230" s="98" t="b">
        <f>OR(questions[[#This Row],[is_fixed]],questions[[#This Row],[is_localized]],questions[[#This Row],[is_supply_chain_dependent]])</f>
        <v>1</v>
      </c>
      <c r="AN1230" s="98" t="b">
        <f>COUNTIFS(questions[[#This Row],[is_automated]:[is_multi_select]],TRUE)=1</f>
        <v>1</v>
      </c>
      <c r="AO1230" s="98" t="b">
        <f>IF(questions[[#This Row],[is_fixed]],questions[[#This Row],[question]]=INDEX(stable[question],MATCH(questions[[#This Row],[qno]],stable[qno],0)),TRUE)</f>
        <v>0</v>
      </c>
      <c r="AP1230" s="98" t="str">
        <f>LEFT(questions[[#This Row],[question]],similarity_range)</f>
        <v xml:space="preserve">If yes what was the </v>
      </c>
      <c r="AQ1230" s="98" t="str">
        <f>LEFT(INDEX(stable[question],MATCH(questions[[#This Row],[qno]],stable[qno],0)),similarity_range)</f>
        <v xml:space="preserve">If yes what was the </v>
      </c>
      <c r="AR1230" s="98" t="b">
        <f>questions[[#This Row],[question_first_characters]]=questions[[#This Row],[stability_first_characters]]</f>
        <v>1</v>
      </c>
      <c r="AS1230" s="98" t="b">
        <f>IF(OR(questions[[#This Row],[is_single_select]],questions[[#This Row],[is_multi_select]]),NOT(ISBLANK(questions[[#This Row],[answer_opt_combined]])),TRUE)</f>
        <v>1</v>
      </c>
    </row>
    <row r="1231" spans="1:45" ht="15.75" customHeight="1" x14ac:dyDescent="0.25">
      <c r="A1231" s="9" t="str">
        <f>_xlfn.TEXTJOIN("_",TRUE,questions[[#This Row],[origin]:[qno]])</f>
        <v>Kenya_Arabica_Nestle_2025_6302</v>
      </c>
      <c r="B1231" s="33" t="s">
        <v>818</v>
      </c>
      <c r="C1231" s="33" t="s">
        <v>59</v>
      </c>
      <c r="D1231" s="33" t="s">
        <v>819</v>
      </c>
      <c r="E1231" s="33">
        <v>2025</v>
      </c>
      <c r="F1231" s="41" t="s">
        <v>282</v>
      </c>
      <c r="G1231" s="18" t="s">
        <v>283</v>
      </c>
      <c r="H1231" s="9" t="str" cm="1">
        <f t="array" ref="H1231">INDEX(stableR[question],MATCH(VALUE(questions[[#This Row],[qno]]),VALUE(stableR[qno]),0))</f>
        <v>How many seedlings did you buy last year?</v>
      </c>
      <c r="I1231" s="9" t="b" cm="1">
        <f t="array" ref="I1231">INDEX(stable[is_fixed],MATCH(VALUE(questions[[#This Row],[qno]]),VALUE(stable[qno]),0))</f>
        <v>1</v>
      </c>
      <c r="J1231" s="9" t="b" cm="1">
        <f t="array" ref="J1231">INDEX(stable[is_localized],MATCH(VALUE(questions[[#This Row],[qno]]),VALUE(stable[qno]),0))</f>
        <v>0</v>
      </c>
      <c r="K1231" s="9" t="b" cm="1">
        <f t="array" ref="K1231">INDEX(stable[is_supply_chain_dependent],MATCH(VALUE(questions[[#This Row],[qno]]),VALUE(stable[qno]),0))</f>
        <v>0</v>
      </c>
      <c r="L1231" s="9" t="b" cm="1">
        <f t="array" ref="L1231">INDEX(stable[is_mandatory],MATCH(VALUE(questions[[#This Row],[qno]]),VALUE(stable[qno]),0))</f>
        <v>0</v>
      </c>
      <c r="M1231" s="9" t="b" cm="1">
        <f t="array" ref="M1231">INDEX(stable[is_automated],MATCH(VALUE(questions[[#This Row],[qno]]),VALUE(stable[qno]),0))</f>
        <v>0</v>
      </c>
      <c r="N1231" s="9" t="b" cm="1">
        <f t="array" ref="N1231">INDEX(stable[is_free_text],MATCH(VALUE(questions[[#This Row],[qno]]),VALUE(stable[qno]),0))</f>
        <v>0</v>
      </c>
      <c r="O1231" s="9" t="b" cm="1">
        <f t="array" ref="O1231">INDEX(stable[is_numerical],MATCH(VALUE(questions[[#This Row],[qno]]),VALUE(stable[qno]),0))</f>
        <v>1</v>
      </c>
      <c r="P1231" s="9" t="b" cm="1">
        <f t="array" ref="P1231">INDEX(stable[is_single_select],MATCH(VALUE(questions[[#This Row],[qno]]),VALUE(stable[qno]),0))</f>
        <v>0</v>
      </c>
      <c r="Q1231" s="9" t="b" cm="1">
        <f t="array" ref="Q1231">INDEX(stable[is_multi_select],MATCH(VALUE(questions[[#This Row],[qno]]),VALUE(stable[qno]),0))</f>
        <v>0</v>
      </c>
      <c r="R1231" s="9" t="b" cm="1">
        <f t="array" ref="R1231">INDEX(stable[is_skip_logic],MATCH(VALUE(questions[[#This Row],[qno]]),VALUE(stable[qno]),0))</f>
        <v>1</v>
      </c>
      <c r="S1231" s="9" t="str">
        <f>_xlfn.TEXTJOIN(", ",TRUE,questions[[#This Row],[ans_opt_1]:[ans_opt_14]])</f>
        <v/>
      </c>
      <c r="T1231" s="33"/>
      <c r="U1231" s="33"/>
      <c r="V1231" s="33"/>
      <c r="W1231" s="33"/>
      <c r="X1231" s="33"/>
      <c r="Y1231" s="33"/>
      <c r="Z1231" s="33"/>
      <c r="AA1231" s="33"/>
      <c r="AB1231" s="33"/>
      <c r="AC1231" s="33"/>
      <c r="AD1231" s="33"/>
      <c r="AE1231" s="33"/>
      <c r="AF1231" s="33"/>
      <c r="AG1231" s="33"/>
      <c r="AH1231" s="99" t="b">
        <f>INDEX(stable[q_standard],MATCH(questions[[#This Row],[qno]],stable[qno],0))</f>
        <v>0</v>
      </c>
      <c r="AI1231" s="99" t="b">
        <f>INDEX(stable[q_living_income],MATCH(questions[[#This Row],[qno]],stable[qno],0))</f>
        <v>1</v>
      </c>
      <c r="AJ1231" s="99" t="b">
        <f>INDEX(stable[q_carbon],MATCH(questions[[#This Row],[qno]],stable[qno],0))</f>
        <v>0</v>
      </c>
      <c r="AK1231" s="99" t="b">
        <f>INDEX(stable[q_regen_ag],MATCH(questions[[#This Row],[qno]],stable[qno],0))</f>
        <v>0</v>
      </c>
      <c r="AL1231" s="16" t="b">
        <f>COUNTIFS(stable[qno],questions[[#This Row],[qno]])=1</f>
        <v>1</v>
      </c>
      <c r="AM1231" s="16" t="b">
        <f>OR(questions[[#This Row],[is_fixed]],questions[[#This Row],[is_localized]],questions[[#This Row],[is_supply_chain_dependent]])</f>
        <v>1</v>
      </c>
      <c r="AN1231" s="16" t="b">
        <f>COUNTIFS(questions[[#This Row],[is_automated]:[is_multi_select]],TRUE)=1</f>
        <v>1</v>
      </c>
      <c r="AO1231" s="16" t="b">
        <f>IF(questions[[#This Row],[is_fixed]],questions[[#This Row],[question]]=INDEX(stable[question],MATCH(questions[[#This Row],[qno]],stable[qno],0)),TRUE)</f>
        <v>1</v>
      </c>
      <c r="AP1231" s="16" t="str">
        <f>LEFT(questions[[#This Row],[question]],similarity_range)</f>
        <v>How many seedlings d</v>
      </c>
      <c r="AQ1231" s="16" t="str">
        <f>LEFT(INDEX(stable[question],MATCH(questions[[#This Row],[qno]],stable[qno],0)),similarity_range)</f>
        <v>How many seedlings d</v>
      </c>
      <c r="AR1231" s="16" t="b">
        <f>questions[[#This Row],[question_first_characters]]=questions[[#This Row],[stability_first_characters]]</f>
        <v>1</v>
      </c>
      <c r="AS1231" s="16" t="b">
        <f>IF(OR(questions[[#This Row],[is_single_select]],questions[[#This Row],[is_multi_select]]),NOT(ISBLANK(questions[[#This Row],[answer_opt_combined]])),TRUE)</f>
        <v>1</v>
      </c>
    </row>
    <row r="1232" spans="1:45" s="77" customFormat="1" ht="15.75" customHeight="1" x14ac:dyDescent="0.25">
      <c r="A1232" s="77" t="str">
        <f>_xlfn.TEXTJOIN("_",TRUE,questions[[#This Row],[origin]:[qno]])</f>
        <v>Kenya_Arabica_Nestle_2025_6400</v>
      </c>
      <c r="B1232" s="77" t="s">
        <v>818</v>
      </c>
      <c r="C1232" s="77" t="s">
        <v>59</v>
      </c>
      <c r="D1232" s="77" t="s">
        <v>819</v>
      </c>
      <c r="E1232" s="77">
        <v>2025</v>
      </c>
      <c r="F1232" s="105" t="s">
        <v>284</v>
      </c>
      <c r="G1232" s="78" t="s">
        <v>858</v>
      </c>
      <c r="H1232" s="9" t="str" cm="1">
        <f t="array" ref="H1232">INDEX(stableR[question],MATCH(VALUE(questions[[#This Row],[qno]]),VALUE(stableR[qno]),0))</f>
        <v>Did you organize your own transport to the Sucafina coffee collection point where you delivered your coffee last year?</v>
      </c>
      <c r="I1232" s="9" t="b" cm="1">
        <f t="array" ref="I1232">INDEX(stable[is_fixed],MATCH(VALUE(questions[[#This Row],[qno]]),VALUE(stable[qno]),0))</f>
        <v>1</v>
      </c>
      <c r="J1232" s="9" t="b" cm="1">
        <f t="array" ref="J1232">INDEX(stable[is_localized],MATCH(VALUE(questions[[#This Row],[qno]]),VALUE(stable[qno]),0))</f>
        <v>0</v>
      </c>
      <c r="K1232" s="9" t="b" cm="1">
        <f t="array" ref="K1232">INDEX(stable[is_supply_chain_dependent],MATCH(VALUE(questions[[#This Row],[qno]]),VALUE(stable[qno]),0))</f>
        <v>0</v>
      </c>
      <c r="L1232" s="9" t="b" cm="1">
        <f t="array" ref="L1232">INDEX(stable[is_mandatory],MATCH(VALUE(questions[[#This Row],[qno]]),VALUE(stable[qno]),0))</f>
        <v>1</v>
      </c>
      <c r="M1232" s="9" t="b" cm="1">
        <f t="array" ref="M1232">INDEX(stable[is_automated],MATCH(VALUE(questions[[#This Row],[qno]]),VALUE(stable[qno]),0))</f>
        <v>0</v>
      </c>
      <c r="N1232" s="9" t="b" cm="1">
        <f t="array" ref="N1232">INDEX(stable[is_free_text],MATCH(VALUE(questions[[#This Row],[qno]]),VALUE(stable[qno]),0))</f>
        <v>0</v>
      </c>
      <c r="O1232" s="9" t="b" cm="1">
        <f t="array" ref="O1232">INDEX(stable[is_numerical],MATCH(VALUE(questions[[#This Row],[qno]]),VALUE(stable[qno]),0))</f>
        <v>0</v>
      </c>
      <c r="P1232" s="77" t="b" cm="1">
        <f t="array" ref="P1232">INDEX(stable[is_single_select],MATCH(VALUE(questions[[#This Row],[qno]]),VALUE(stable[qno]),0))</f>
        <v>1</v>
      </c>
      <c r="Q1232" s="77" t="b" cm="1">
        <f t="array" ref="Q1232">INDEX(stable[is_multi_select],MATCH(VALUE(questions[[#This Row],[qno]]),VALUE(stable[qno]),0))</f>
        <v>0</v>
      </c>
      <c r="R1232" s="77" t="b" cm="1">
        <f t="array" ref="R1232">INDEX(stable[is_skip_logic],MATCH(VALUE(questions[[#This Row],[qno]]),VALUE(stable[qno]),0))</f>
        <v>1</v>
      </c>
      <c r="S1232" s="77" t="str">
        <f>_xlfn.TEXTJOIN(", ",TRUE,questions[[#This Row],[ans_opt_1]:[ans_opt_14]])</f>
        <v>Yes, No</v>
      </c>
      <c r="T1232" s="77" t="s">
        <v>149</v>
      </c>
      <c r="U1232" s="77" t="s">
        <v>119</v>
      </c>
      <c r="AH1232" s="98" t="b">
        <f>INDEX(stable[q_standard],MATCH(questions[[#This Row],[qno]],stable[qno],0))</f>
        <v>0</v>
      </c>
      <c r="AI1232" s="98" t="b">
        <f>INDEX(stable[q_living_income],MATCH(questions[[#This Row],[qno]],stable[qno],0))</f>
        <v>1</v>
      </c>
      <c r="AJ1232" s="98" t="b">
        <f>INDEX(stable[q_carbon],MATCH(questions[[#This Row],[qno]],stable[qno],0))</f>
        <v>0</v>
      </c>
      <c r="AK1232" s="98" t="b">
        <f>INDEX(stable[q_regen_ag],MATCH(questions[[#This Row],[qno]],stable[qno],0))</f>
        <v>0</v>
      </c>
      <c r="AL1232" s="98" t="b">
        <f>COUNTIFS(stable[qno],questions[[#This Row],[qno]])=1</f>
        <v>1</v>
      </c>
      <c r="AM1232" s="98" t="b">
        <f>OR(questions[[#This Row],[is_fixed]],questions[[#This Row],[is_localized]],questions[[#This Row],[is_supply_chain_dependent]])</f>
        <v>1</v>
      </c>
      <c r="AN1232" s="98" t="b">
        <f>COUNTIFS(questions[[#This Row],[is_automated]:[is_multi_select]],TRUE)=1</f>
        <v>1</v>
      </c>
      <c r="AO1232" s="98" t="b">
        <f>IF(questions[[#This Row],[is_fixed]],questions[[#This Row],[question]]=INDEX(stable[question],MATCH(questions[[#This Row],[qno]],stable[qno],0)),TRUE)</f>
        <v>0</v>
      </c>
      <c r="AP1232" s="98" t="str">
        <f>LEFT(questions[[#This Row],[question]],similarity_range)</f>
        <v>Did you organize the</v>
      </c>
      <c r="AQ1232" s="98" t="str">
        <f>LEFT(INDEX(stable[question],MATCH(questions[[#This Row],[qno]],stable[qno],0)),similarity_range)</f>
        <v>Did you organize the</v>
      </c>
      <c r="AR1232" s="98" t="b">
        <f>questions[[#This Row],[question_first_characters]]=questions[[#This Row],[stability_first_characters]]</f>
        <v>1</v>
      </c>
      <c r="AS1232" s="98" t="b">
        <f>IF(OR(questions[[#This Row],[is_single_select]],questions[[#This Row],[is_multi_select]]),NOT(ISBLANK(questions[[#This Row],[answer_opt_combined]])),TRUE)</f>
        <v>1</v>
      </c>
    </row>
    <row r="1233" spans="1:45" ht="15.75" customHeight="1" x14ac:dyDescent="0.25">
      <c r="A1233" s="9" t="str">
        <f>_xlfn.TEXTJOIN("_",TRUE,questions[[#This Row],[origin]:[qno]])</f>
        <v>Kenya_Arabica_Nestle_2025_6401</v>
      </c>
      <c r="B1233" s="33" t="s">
        <v>818</v>
      </c>
      <c r="C1233" s="33" t="s">
        <v>59</v>
      </c>
      <c r="D1233" s="33" t="s">
        <v>819</v>
      </c>
      <c r="E1233" s="33">
        <v>2025</v>
      </c>
      <c r="F1233" s="41" t="s">
        <v>286</v>
      </c>
      <c r="G1233" s="18" t="s">
        <v>859</v>
      </c>
      <c r="H1233" s="9" t="str" cm="1">
        <f t="array" ref="H1233">INDEX(stableR[question],MATCH(VALUE(questions[[#This Row],[qno]]),VALUE(stableR[qno]),0))</f>
        <v>How many trips did you need to make last year?</v>
      </c>
      <c r="I1233" s="9" t="b" cm="1">
        <f t="array" ref="I1233">INDEX(stable[is_fixed],MATCH(VALUE(questions[[#This Row],[qno]]),VALUE(stable[qno]),0))</f>
        <v>1</v>
      </c>
      <c r="J1233" s="9" t="b" cm="1">
        <f t="array" ref="J1233">INDEX(stable[is_localized],MATCH(VALUE(questions[[#This Row],[qno]]),VALUE(stable[qno]),0))</f>
        <v>0</v>
      </c>
      <c r="K1233" s="9" t="b" cm="1">
        <f t="array" ref="K1233">INDEX(stable[is_supply_chain_dependent],MATCH(VALUE(questions[[#This Row],[qno]]),VALUE(stable[qno]),0))</f>
        <v>0</v>
      </c>
      <c r="L1233" s="9" t="b" cm="1">
        <f t="array" ref="L1233">INDEX(stable[is_mandatory],MATCH(VALUE(questions[[#This Row],[qno]]),VALUE(stable[qno]),0))</f>
        <v>0</v>
      </c>
      <c r="M1233" s="9" t="b" cm="1">
        <f t="array" ref="M1233">INDEX(stable[is_automated],MATCH(VALUE(questions[[#This Row],[qno]]),VALUE(stable[qno]),0))</f>
        <v>0</v>
      </c>
      <c r="N1233" s="9" t="b" cm="1">
        <f t="array" ref="N1233">INDEX(stable[is_free_text],MATCH(VALUE(questions[[#This Row],[qno]]),VALUE(stable[qno]),0))</f>
        <v>0</v>
      </c>
      <c r="O1233" s="9" t="b" cm="1">
        <f t="array" ref="O1233">INDEX(stable[is_numerical],MATCH(VALUE(questions[[#This Row],[qno]]),VALUE(stable[qno]),0))</f>
        <v>1</v>
      </c>
      <c r="P1233" s="9" t="b" cm="1">
        <f t="array" ref="P1233">INDEX(stable[is_single_select],MATCH(VALUE(questions[[#This Row],[qno]]),VALUE(stable[qno]),0))</f>
        <v>0</v>
      </c>
      <c r="Q1233" s="9" t="b" cm="1">
        <f t="array" ref="Q1233">INDEX(stable[is_multi_select],MATCH(VALUE(questions[[#This Row],[qno]]),VALUE(stable[qno]),0))</f>
        <v>0</v>
      </c>
      <c r="R1233" s="9" t="b" cm="1">
        <f t="array" ref="R1233">INDEX(stable[is_skip_logic],MATCH(VALUE(questions[[#This Row],[qno]]),VALUE(stable[qno]),0))</f>
        <v>1</v>
      </c>
      <c r="S1233" s="9" t="str">
        <f>_xlfn.TEXTJOIN(", ",TRUE,questions[[#This Row],[ans_opt_1]:[ans_opt_14]])</f>
        <v/>
      </c>
      <c r="T1233" s="33"/>
      <c r="U1233" s="33"/>
      <c r="V1233" s="33"/>
      <c r="W1233" s="33"/>
      <c r="X1233" s="33"/>
      <c r="Y1233" s="33"/>
      <c r="Z1233" s="33"/>
      <c r="AA1233" s="33"/>
      <c r="AB1233" s="33"/>
      <c r="AC1233" s="33"/>
      <c r="AD1233" s="33"/>
      <c r="AE1233" s="33"/>
      <c r="AF1233" s="33"/>
      <c r="AG1233" s="33"/>
      <c r="AH1233" s="99" t="b">
        <f>INDEX(stable[q_standard],MATCH(questions[[#This Row],[qno]],stable[qno],0))</f>
        <v>0</v>
      </c>
      <c r="AI1233" s="99" t="b">
        <f>INDEX(stable[q_living_income],MATCH(questions[[#This Row],[qno]],stable[qno],0))</f>
        <v>1</v>
      </c>
      <c r="AJ1233" s="99" t="b">
        <f>INDEX(stable[q_carbon],MATCH(questions[[#This Row],[qno]],stable[qno],0))</f>
        <v>0</v>
      </c>
      <c r="AK1233" s="99" t="b">
        <f>INDEX(stable[q_regen_ag],MATCH(questions[[#This Row],[qno]],stable[qno],0))</f>
        <v>0</v>
      </c>
      <c r="AL1233" s="16" t="b">
        <f>COUNTIFS(stable[qno],questions[[#This Row],[qno]])=1</f>
        <v>1</v>
      </c>
      <c r="AM1233" s="16" t="b">
        <f>OR(questions[[#This Row],[is_fixed]],questions[[#This Row],[is_localized]],questions[[#This Row],[is_supply_chain_dependent]])</f>
        <v>1</v>
      </c>
      <c r="AN1233" s="16" t="b">
        <f>COUNTIFS(questions[[#This Row],[is_automated]:[is_multi_select]],TRUE)=1</f>
        <v>1</v>
      </c>
      <c r="AO1233" s="16" t="b">
        <f>IF(questions[[#This Row],[is_fixed]],questions[[#This Row],[question]]=INDEX(stable[question],MATCH(questions[[#This Row],[qno]],stable[qno],0)),TRUE)</f>
        <v>1</v>
      </c>
      <c r="AP1233" s="16" t="str">
        <f>LEFT(questions[[#This Row],[question]],similarity_range)</f>
        <v>If yes, how many tri</v>
      </c>
      <c r="AQ1233" s="16" t="str">
        <f>LEFT(INDEX(stable[question],MATCH(questions[[#This Row],[qno]],stable[qno],0)),similarity_range)</f>
        <v>If yes, how many tri</v>
      </c>
      <c r="AR1233" s="16" t="b">
        <f>questions[[#This Row],[question_first_characters]]=questions[[#This Row],[stability_first_characters]]</f>
        <v>1</v>
      </c>
      <c r="AS1233" s="16" t="b">
        <f>IF(OR(questions[[#This Row],[is_single_select]],questions[[#This Row],[is_multi_select]]),NOT(ISBLANK(questions[[#This Row],[answer_opt_combined]])),TRUE)</f>
        <v>1</v>
      </c>
    </row>
    <row r="1234" spans="1:45" ht="15.75" customHeight="1" x14ac:dyDescent="0.25">
      <c r="A1234" s="9" t="str">
        <f>_xlfn.TEXTJOIN("_",TRUE,questions[[#This Row],[origin]:[qno]])</f>
        <v>Kenya_Arabica_Nestle_2025_6402</v>
      </c>
      <c r="B1234" s="33" t="s">
        <v>818</v>
      </c>
      <c r="C1234" s="33" t="s">
        <v>59</v>
      </c>
      <c r="D1234" s="33" t="s">
        <v>819</v>
      </c>
      <c r="E1234" s="33">
        <v>2025</v>
      </c>
      <c r="F1234" s="41" t="s">
        <v>288</v>
      </c>
      <c r="G1234" s="18" t="s">
        <v>1009</v>
      </c>
      <c r="H1234" s="9" t="str" cm="1">
        <f t="array" ref="H1234">INDEX(stableR[question],MATCH(VALUE(questions[[#This Row],[qno]]),VALUE(stableR[qno]),0))</f>
        <v>What were the costs per trip (the costs you make your self, or what you pay to someone to do the transport for you)? (in local currency)</v>
      </c>
      <c r="I1234" s="9" t="b" cm="1">
        <f t="array" ref="I1234">INDEX(stable[is_fixed],MATCH(VALUE(questions[[#This Row],[qno]]),VALUE(stable[qno]),0))</f>
        <v>0</v>
      </c>
      <c r="J1234" s="9" t="b" cm="1">
        <f t="array" ref="J1234">INDEX(stable[is_localized],MATCH(VALUE(questions[[#This Row],[qno]]),VALUE(stable[qno]),0))</f>
        <v>1</v>
      </c>
      <c r="K1234" s="9" t="b" cm="1">
        <f t="array" ref="K1234">INDEX(stable[is_supply_chain_dependent],MATCH(VALUE(questions[[#This Row],[qno]]),VALUE(stable[qno]),0))</f>
        <v>0</v>
      </c>
      <c r="L1234" s="9" t="b" cm="1">
        <f t="array" ref="L1234">INDEX(stable[is_mandatory],MATCH(VALUE(questions[[#This Row],[qno]]),VALUE(stable[qno]),0))</f>
        <v>0</v>
      </c>
      <c r="M1234" s="9" t="b" cm="1">
        <f t="array" ref="M1234">INDEX(stable[is_automated],MATCH(VALUE(questions[[#This Row],[qno]]),VALUE(stable[qno]),0))</f>
        <v>0</v>
      </c>
      <c r="N1234" s="9" t="b" cm="1">
        <f t="array" ref="N1234">INDEX(stable[is_free_text],MATCH(VALUE(questions[[#This Row],[qno]]),VALUE(stable[qno]),0))</f>
        <v>0</v>
      </c>
      <c r="O1234" s="9" t="b" cm="1">
        <f t="array" ref="O1234">INDEX(stable[is_numerical],MATCH(VALUE(questions[[#This Row],[qno]]),VALUE(stable[qno]),0))</f>
        <v>1</v>
      </c>
      <c r="P1234" s="9" t="b" cm="1">
        <f t="array" ref="P1234">INDEX(stable[is_single_select],MATCH(VALUE(questions[[#This Row],[qno]]),VALUE(stable[qno]),0))</f>
        <v>0</v>
      </c>
      <c r="Q1234" s="9" t="b" cm="1">
        <f t="array" ref="Q1234">INDEX(stable[is_multi_select],MATCH(VALUE(questions[[#This Row],[qno]]),VALUE(stable[qno]),0))</f>
        <v>0</v>
      </c>
      <c r="R1234" s="9" t="b" cm="1">
        <f t="array" ref="R1234">INDEX(stable[is_skip_logic],MATCH(VALUE(questions[[#This Row],[qno]]),VALUE(stable[qno]),0))</f>
        <v>1</v>
      </c>
      <c r="S1234" s="9" t="str">
        <f>_xlfn.TEXTJOIN(", ",TRUE,questions[[#This Row],[ans_opt_1]:[ans_opt_14]])</f>
        <v/>
      </c>
      <c r="T1234" s="33"/>
      <c r="U1234" s="33"/>
      <c r="V1234" s="33"/>
      <c r="W1234" s="33"/>
      <c r="X1234" s="33"/>
      <c r="Y1234" s="33"/>
      <c r="Z1234" s="33"/>
      <c r="AA1234" s="33"/>
      <c r="AB1234" s="33"/>
      <c r="AC1234" s="33"/>
      <c r="AD1234" s="33"/>
      <c r="AE1234" s="33"/>
      <c r="AF1234" s="33"/>
      <c r="AG1234" s="33"/>
      <c r="AH1234" s="99" t="b">
        <f>INDEX(stable[q_standard],MATCH(questions[[#This Row],[qno]],stable[qno],0))</f>
        <v>0</v>
      </c>
      <c r="AI1234" s="99" t="b">
        <f>INDEX(stable[q_living_income],MATCH(questions[[#This Row],[qno]],stable[qno],0))</f>
        <v>1</v>
      </c>
      <c r="AJ1234" s="99" t="b">
        <f>INDEX(stable[q_carbon],MATCH(questions[[#This Row],[qno]],stable[qno],0))</f>
        <v>0</v>
      </c>
      <c r="AK1234" s="99" t="b">
        <f>INDEX(stable[q_regen_ag],MATCH(questions[[#This Row],[qno]],stable[qno],0))</f>
        <v>0</v>
      </c>
      <c r="AL1234" s="16" t="b">
        <f>COUNTIFS(stable[qno],questions[[#This Row],[qno]])=1</f>
        <v>1</v>
      </c>
      <c r="AM1234" s="16" t="b">
        <f>OR(questions[[#This Row],[is_fixed]],questions[[#This Row],[is_localized]],questions[[#This Row],[is_supply_chain_dependent]])</f>
        <v>1</v>
      </c>
      <c r="AN1234" s="16" t="b">
        <f>COUNTIFS(questions[[#This Row],[is_automated]:[is_multi_select]],TRUE)=1</f>
        <v>1</v>
      </c>
      <c r="AO1234" s="16" t="b">
        <f>IF(questions[[#This Row],[is_fixed]],questions[[#This Row],[question]]=INDEX(stable[question],MATCH(questions[[#This Row],[qno]],stable[qno],0)),TRUE)</f>
        <v>1</v>
      </c>
      <c r="AP1234" s="16" t="str">
        <f>LEFT(questions[[#This Row],[question]],similarity_range)</f>
        <v>If yes, in general w</v>
      </c>
      <c r="AQ1234" s="16" t="str">
        <f>LEFT(INDEX(stable[question],MATCH(questions[[#This Row],[qno]],stable[qno],0)),similarity_range)</f>
        <v>If yes, in general w</v>
      </c>
      <c r="AR1234" s="16" t="b">
        <f>questions[[#This Row],[question_first_characters]]=questions[[#This Row],[stability_first_characters]]</f>
        <v>1</v>
      </c>
      <c r="AS1234" s="16" t="b">
        <f>IF(OR(questions[[#This Row],[is_single_select]],questions[[#This Row],[is_multi_select]]),NOT(ISBLANK(questions[[#This Row],[answer_opt_combined]])),TRUE)</f>
        <v>1</v>
      </c>
    </row>
    <row r="1235" spans="1:45" s="77" customFormat="1" ht="15.75" customHeight="1" x14ac:dyDescent="0.25">
      <c r="A1235" s="77" t="str">
        <f>_xlfn.TEXTJOIN("_",TRUE,questions[[#This Row],[origin]:[qno]])</f>
        <v>Kenya_Arabica_Nestle_2025_6500</v>
      </c>
      <c r="B1235" s="77" t="s">
        <v>818</v>
      </c>
      <c r="C1235" s="77" t="s">
        <v>59</v>
      </c>
      <c r="D1235" s="77" t="s">
        <v>819</v>
      </c>
      <c r="E1235" s="77">
        <v>2025</v>
      </c>
      <c r="F1235" s="105" t="s">
        <v>290</v>
      </c>
      <c r="G1235" s="78" t="s">
        <v>291</v>
      </c>
      <c r="H1235" s="9" t="str" cm="1">
        <f t="array" ref="H1235">INDEX(stableR[question],MATCH(VALUE(questions[[#This Row],[qno]]),VALUE(stableR[qno]),0))</f>
        <v>What are your sources of income for the total household, from the farm and off-farm?</v>
      </c>
      <c r="I1235" s="9" t="b" cm="1">
        <f t="array" ref="I1235">INDEX(stable[is_fixed],MATCH(VALUE(questions[[#This Row],[qno]]),VALUE(stable[qno]),0))</f>
        <v>1</v>
      </c>
      <c r="J1235" s="9" t="b" cm="1">
        <f t="array" ref="J1235">INDEX(stable[is_localized],MATCH(VALUE(questions[[#This Row],[qno]]),VALUE(stable[qno]),0))</f>
        <v>0</v>
      </c>
      <c r="K1235" s="9" t="b" cm="1">
        <f t="array" ref="K1235">INDEX(stable[is_supply_chain_dependent],MATCH(VALUE(questions[[#This Row],[qno]]),VALUE(stable[qno]),0))</f>
        <v>0</v>
      </c>
      <c r="L1235" s="9" t="b" cm="1">
        <f t="array" ref="L1235">INDEX(stable[is_mandatory],MATCH(VALUE(questions[[#This Row],[qno]]),VALUE(stable[qno]),0))</f>
        <v>1</v>
      </c>
      <c r="M1235" s="9" t="b" cm="1">
        <f t="array" ref="M1235">INDEX(stable[is_automated],MATCH(VALUE(questions[[#This Row],[qno]]),VALUE(stable[qno]),0))</f>
        <v>0</v>
      </c>
      <c r="N1235" s="9" t="b" cm="1">
        <f t="array" ref="N1235">INDEX(stable[is_free_text],MATCH(VALUE(questions[[#This Row],[qno]]),VALUE(stable[qno]),0))</f>
        <v>0</v>
      </c>
      <c r="O1235" s="9" t="b" cm="1">
        <f t="array" ref="O1235">INDEX(stable[is_numerical],MATCH(VALUE(questions[[#This Row],[qno]]),VALUE(stable[qno]),0))</f>
        <v>0</v>
      </c>
      <c r="P1235" s="77" t="b" cm="1">
        <f t="array" ref="P1235">INDEX(stable[is_single_select],MATCH(VALUE(questions[[#This Row],[qno]]),VALUE(stable[qno]),0))</f>
        <v>0</v>
      </c>
      <c r="Q1235" s="77" t="b" cm="1">
        <f t="array" ref="Q1235">INDEX(stable[is_multi_select],MATCH(VALUE(questions[[#This Row],[qno]]),VALUE(stable[qno]),0))</f>
        <v>1</v>
      </c>
      <c r="R1235" s="77" t="b" cm="1">
        <f t="array" ref="R1235">INDEX(stable[is_skip_logic],MATCH(VALUE(questions[[#This Row],[qno]]),VALUE(stable[qno]),0))</f>
        <v>1</v>
      </c>
      <c r="S1235" s="77" t="str">
        <f>_xlfn.TEXTJOIN(", ",TRUE,questions[[#This Row],[ans_opt_1]:[ans_opt_14]])</f>
        <v>Coffee, Cropping, Livestock, Casual labor in agriculture, Casual labor off-farm, Other business, Salaried job, Pension, Remittances</v>
      </c>
      <c r="T1235" s="77" t="s">
        <v>292</v>
      </c>
      <c r="U1235" s="77" t="s">
        <v>293</v>
      </c>
      <c r="V1235" s="77" t="s">
        <v>294</v>
      </c>
      <c r="W1235" s="77" t="s">
        <v>295</v>
      </c>
      <c r="X1235" s="77" t="s">
        <v>296</v>
      </c>
      <c r="Y1235" s="77" t="s">
        <v>297</v>
      </c>
      <c r="Z1235" s="77" t="s">
        <v>298</v>
      </c>
      <c r="AA1235" s="77" t="s">
        <v>299</v>
      </c>
      <c r="AB1235" s="77" t="s">
        <v>300</v>
      </c>
      <c r="AH1235" s="98" t="b">
        <f>INDEX(stable[q_standard],MATCH(questions[[#This Row],[qno]],stable[qno],0))</f>
        <v>0</v>
      </c>
      <c r="AI1235" s="98" t="b">
        <f>INDEX(stable[q_living_income],MATCH(questions[[#This Row],[qno]],stable[qno],0))</f>
        <v>1</v>
      </c>
      <c r="AJ1235" s="98" t="b">
        <f>INDEX(stable[q_carbon],MATCH(questions[[#This Row],[qno]],stable[qno],0))</f>
        <v>0</v>
      </c>
      <c r="AK1235" s="98" t="b">
        <f>INDEX(stable[q_regen_ag],MATCH(questions[[#This Row],[qno]],stable[qno],0))</f>
        <v>0</v>
      </c>
      <c r="AL1235" s="98" t="b">
        <f>COUNTIFS(stable[qno],questions[[#This Row],[qno]])=1</f>
        <v>1</v>
      </c>
      <c r="AM1235" s="98" t="b">
        <f>OR(questions[[#This Row],[is_fixed]],questions[[#This Row],[is_localized]],questions[[#This Row],[is_supply_chain_dependent]])</f>
        <v>1</v>
      </c>
      <c r="AN1235" s="98" t="b">
        <f>COUNTIFS(questions[[#This Row],[is_automated]:[is_multi_select]],TRUE)=1</f>
        <v>1</v>
      </c>
      <c r="AO1235" s="98" t="b">
        <f>IF(questions[[#This Row],[is_fixed]],questions[[#This Row],[question]]=INDEX(stable[question],MATCH(questions[[#This Row],[qno]],stable[qno],0)),TRUE)</f>
        <v>1</v>
      </c>
      <c r="AP1235" s="98" t="str">
        <f>LEFT(questions[[#This Row],[question]],similarity_range)</f>
        <v>What are your source</v>
      </c>
      <c r="AQ1235" s="98" t="str">
        <f>LEFT(INDEX(stable[question],MATCH(questions[[#This Row],[qno]],stable[qno],0)),similarity_range)</f>
        <v>What are your source</v>
      </c>
      <c r="AR1235" s="98" t="b">
        <f>questions[[#This Row],[question_first_characters]]=questions[[#This Row],[stability_first_characters]]</f>
        <v>1</v>
      </c>
      <c r="AS1235" s="98" t="b">
        <f>IF(OR(questions[[#This Row],[is_single_select]],questions[[#This Row],[is_multi_select]]),NOT(ISBLANK(questions[[#This Row],[answer_opt_combined]])),TRUE)</f>
        <v>1</v>
      </c>
    </row>
    <row r="1236" spans="1:45" ht="15.75" customHeight="1" x14ac:dyDescent="0.25">
      <c r="A1236" s="9" t="str">
        <f>_xlfn.TEXTJOIN("_",TRUE,questions[[#This Row],[origin]:[qno]])</f>
        <v>Kenya_Arabica_Nestle_2025_6501</v>
      </c>
      <c r="B1236" s="33" t="s">
        <v>818</v>
      </c>
      <c r="C1236" s="33" t="s">
        <v>59</v>
      </c>
      <c r="D1236" s="33" t="s">
        <v>819</v>
      </c>
      <c r="E1236" s="33">
        <v>2025</v>
      </c>
      <c r="F1236" s="41" t="s">
        <v>301</v>
      </c>
      <c r="G1236" s="64" t="s">
        <v>1010</v>
      </c>
      <c r="H1236" s="9" t="str" cm="1">
        <f t="array" ref="H1236">INDEX(stableR[question],MATCH(VALUE(questions[[#This Row],[qno]]),VALUE(stableR[qno]),0))</f>
        <v>For each of the sources of income that you have, please estimate the importance in terms of income for last year, as compared to the total household income! (next questions)</v>
      </c>
      <c r="I1236" s="9" t="b" cm="1">
        <f t="array" ref="I1236">INDEX(stable[is_fixed],MATCH(VALUE(questions[[#This Row],[qno]]),VALUE(stable[qno]),0))</f>
        <v>1</v>
      </c>
      <c r="J1236" s="9" t="b" cm="1">
        <f t="array" ref="J1236">INDEX(stable[is_localized],MATCH(VALUE(questions[[#This Row],[qno]]),VALUE(stable[qno]),0))</f>
        <v>0</v>
      </c>
      <c r="K1236" s="9" t="b" cm="1">
        <f t="array" ref="K1236">INDEX(stable[is_supply_chain_dependent],MATCH(VALUE(questions[[#This Row],[qno]]),VALUE(stable[qno]),0))</f>
        <v>0</v>
      </c>
      <c r="L1236" s="9" t="b" cm="1">
        <f t="array" ref="L1236">INDEX(stable[is_mandatory],MATCH(VALUE(questions[[#This Row],[qno]]),VALUE(stable[qno]),0))</f>
        <v>1</v>
      </c>
      <c r="M1236" s="9" t="b" cm="1">
        <f t="array" ref="M1236">INDEX(stable[is_automated],MATCH(VALUE(questions[[#This Row],[qno]]),VALUE(stable[qno]),0))</f>
        <v>1</v>
      </c>
      <c r="N1236" s="9" t="b" cm="1">
        <f t="array" ref="N1236">INDEX(stable[is_free_text],MATCH(VALUE(questions[[#This Row],[qno]]),VALUE(stable[qno]),0))</f>
        <v>0</v>
      </c>
      <c r="O1236" s="9" t="b" cm="1">
        <f t="array" ref="O1236">INDEX(stable[is_numerical],MATCH(VALUE(questions[[#This Row],[qno]]),VALUE(stable[qno]),0))</f>
        <v>0</v>
      </c>
      <c r="P1236" s="9" t="b" cm="1">
        <f t="array" ref="P1236">INDEX(stable[is_single_select],MATCH(VALUE(questions[[#This Row],[qno]]),VALUE(stable[qno]),0))</f>
        <v>0</v>
      </c>
      <c r="Q1236" s="9" t="b" cm="1">
        <f t="array" ref="Q1236">INDEX(stable[is_multi_select],MATCH(VALUE(questions[[#This Row],[qno]]),VALUE(stable[qno]),0))</f>
        <v>0</v>
      </c>
      <c r="R1236" s="9" t="b" cm="1">
        <f t="array" ref="R1236">INDEX(stable[is_skip_logic],MATCH(VALUE(questions[[#This Row],[qno]]),VALUE(stable[qno]),0))</f>
        <v>0</v>
      </c>
      <c r="S1236" s="9" t="str">
        <f>_xlfn.TEXTJOIN(", ",TRUE,questions[[#This Row],[ans_opt_1]:[ans_opt_14]])</f>
        <v/>
      </c>
      <c r="T1236" s="33"/>
      <c r="U1236" s="33"/>
      <c r="V1236" s="33"/>
      <c r="W1236" s="33"/>
      <c r="X1236" s="33"/>
      <c r="Y1236" s="33"/>
      <c r="Z1236" s="33"/>
      <c r="AA1236" s="33"/>
      <c r="AB1236" s="33"/>
      <c r="AC1236" s="33"/>
      <c r="AD1236" s="33"/>
      <c r="AE1236" s="33"/>
      <c r="AF1236" s="33"/>
      <c r="AG1236" s="33"/>
      <c r="AH1236" s="99" t="b">
        <f>INDEX(stable[q_standard],MATCH(questions[[#This Row],[qno]],stable[qno],0))</f>
        <v>0</v>
      </c>
      <c r="AI1236" s="99" t="b">
        <f>INDEX(stable[q_living_income],MATCH(questions[[#This Row],[qno]],stable[qno],0))</f>
        <v>1</v>
      </c>
      <c r="AJ1236" s="99" t="b">
        <f>INDEX(stable[q_carbon],MATCH(questions[[#This Row],[qno]],stable[qno],0))</f>
        <v>0</v>
      </c>
      <c r="AK1236" s="99" t="b">
        <f>INDEX(stable[q_regen_ag],MATCH(questions[[#This Row],[qno]],stable[qno],0))</f>
        <v>0</v>
      </c>
      <c r="AL1236" s="16" t="b">
        <f>COUNTIFS(stable[qno],questions[[#This Row],[qno]])=1</f>
        <v>1</v>
      </c>
      <c r="AM1236" s="16" t="b">
        <f>OR(questions[[#This Row],[is_fixed]],questions[[#This Row],[is_localized]],questions[[#This Row],[is_supply_chain_dependent]])</f>
        <v>1</v>
      </c>
      <c r="AN1236" s="16" t="b">
        <f>COUNTIFS(questions[[#This Row],[is_automated]:[is_multi_select]],TRUE)=1</f>
        <v>1</v>
      </c>
      <c r="AO1236" s="16" t="b">
        <f>IF(questions[[#This Row],[is_fixed]],questions[[#This Row],[question]]=INDEX(stable[question],MATCH(questions[[#This Row],[qno]],stable[qno],0)),TRUE)</f>
        <v>1</v>
      </c>
      <c r="AP1236" s="16" t="str">
        <f>LEFT(questions[[#This Row],[question]],similarity_range)</f>
        <v>For each of the sour</v>
      </c>
      <c r="AQ1236" s="16" t="str">
        <f>LEFT(INDEX(stable[question],MATCH(questions[[#This Row],[qno]],stable[qno],0)),similarity_range)</f>
        <v>For each of the sour</v>
      </c>
      <c r="AR1236" s="16" t="b">
        <f>questions[[#This Row],[question_first_characters]]=questions[[#This Row],[stability_first_characters]]</f>
        <v>1</v>
      </c>
      <c r="AS1236" s="16" t="b">
        <f>IF(OR(questions[[#This Row],[is_single_select]],questions[[#This Row],[is_multi_select]]),NOT(ISBLANK(questions[[#This Row],[answer_opt_combined]])),TRUE)</f>
        <v>1</v>
      </c>
    </row>
    <row r="1237" spans="1:45" s="77" customFormat="1" ht="15.75" customHeight="1" x14ac:dyDescent="0.25">
      <c r="A1237" s="77" t="str">
        <f>_xlfn.TEXTJOIN("_",TRUE,questions[[#This Row],[origin]:[qno]])</f>
        <v>Kenya_Arabica_Nestle_2025_6510</v>
      </c>
      <c r="B1237" s="77" t="s">
        <v>818</v>
      </c>
      <c r="C1237" s="77" t="s">
        <v>59</v>
      </c>
      <c r="D1237" s="77" t="s">
        <v>819</v>
      </c>
      <c r="E1237" s="77">
        <v>2025</v>
      </c>
      <c r="F1237" s="105" t="s">
        <v>303</v>
      </c>
      <c r="G1237" s="120" t="s">
        <v>304</v>
      </c>
      <c r="H1237" s="9" t="str" cm="1">
        <f t="array" ref="H1237">INDEX(stableR[question],MATCH(VALUE(questions[[#This Row],[qno]]),VALUE(stableR[qno]),0))</f>
        <v>Coffee, what was the estimated importance?</v>
      </c>
      <c r="I1237" s="9" t="b" cm="1">
        <f t="array" ref="I1237">INDEX(stable[is_fixed],MATCH(VALUE(questions[[#This Row],[qno]]),VALUE(stable[qno]),0))</f>
        <v>1</v>
      </c>
      <c r="J1237" s="9" t="b" cm="1">
        <f t="array" ref="J1237">INDEX(stable[is_localized],MATCH(VALUE(questions[[#This Row],[qno]]),VALUE(stable[qno]),0))</f>
        <v>0</v>
      </c>
      <c r="K1237" s="9" t="b" cm="1">
        <f t="array" ref="K1237">INDEX(stable[is_supply_chain_dependent],MATCH(VALUE(questions[[#This Row],[qno]]),VALUE(stable[qno]),0))</f>
        <v>0</v>
      </c>
      <c r="L1237" s="9" t="b" cm="1">
        <f t="array" ref="L1237">INDEX(stable[is_mandatory],MATCH(VALUE(questions[[#This Row],[qno]]),VALUE(stable[qno]),0))</f>
        <v>0</v>
      </c>
      <c r="M1237" s="9" t="b" cm="1">
        <f t="array" ref="M1237">INDEX(stable[is_automated],MATCH(VALUE(questions[[#This Row],[qno]]),VALUE(stable[qno]),0))</f>
        <v>0</v>
      </c>
      <c r="N1237" s="9" t="b" cm="1">
        <f t="array" ref="N1237">INDEX(stable[is_free_text],MATCH(VALUE(questions[[#This Row],[qno]]),VALUE(stable[qno]),0))</f>
        <v>0</v>
      </c>
      <c r="O1237" s="9" t="b" cm="1">
        <f t="array" ref="O1237">INDEX(stable[is_numerical],MATCH(VALUE(questions[[#This Row],[qno]]),VALUE(stable[qno]),0))</f>
        <v>0</v>
      </c>
      <c r="P1237" s="77" t="b" cm="1">
        <f t="array" ref="P1237">INDEX(stable[is_single_select],MATCH(VALUE(questions[[#This Row],[qno]]),VALUE(stable[qno]),0))</f>
        <v>1</v>
      </c>
      <c r="Q1237" s="77" t="b" cm="1">
        <f t="array" ref="Q1237">INDEX(stable[is_multi_select],MATCH(VALUE(questions[[#This Row],[qno]]),VALUE(stable[qno]),0))</f>
        <v>0</v>
      </c>
      <c r="R1237" s="77" t="b" cm="1">
        <f t="array" ref="R1237">INDEX(stable[is_skip_logic],MATCH(VALUE(questions[[#This Row],[qno]]),VALUE(stable[qno]),0))</f>
        <v>0</v>
      </c>
      <c r="S1237" s="77" t="str">
        <f>_xlfn.TEXTJOIN(", ",TRUE,questions[[#This Row],[ans_opt_1]:[ans_opt_14]])</f>
        <v>All or nearly all - 80-100%, More than half of it  - 60-80%, About half of it - 40-60%, Less than half of it - 20-40%, A small amount - 0-20%</v>
      </c>
      <c r="T1237" s="77" t="s">
        <v>305</v>
      </c>
      <c r="U1237" s="77" t="s">
        <v>306</v>
      </c>
      <c r="V1237" s="77" t="s">
        <v>307</v>
      </c>
      <c r="W1237" s="77" t="s">
        <v>308</v>
      </c>
      <c r="X1237" s="77" t="s">
        <v>309</v>
      </c>
      <c r="AH1237" s="98" t="b">
        <f>INDEX(stable[q_standard],MATCH(questions[[#This Row],[qno]],stable[qno],0))</f>
        <v>0</v>
      </c>
      <c r="AI1237" s="98" t="b">
        <f>INDEX(stable[q_living_income],MATCH(questions[[#This Row],[qno]],stable[qno],0))</f>
        <v>1</v>
      </c>
      <c r="AJ1237" s="98" t="b">
        <f>INDEX(stable[q_carbon],MATCH(questions[[#This Row],[qno]],stable[qno],0))</f>
        <v>0</v>
      </c>
      <c r="AK1237" s="98" t="b">
        <f>INDEX(stable[q_regen_ag],MATCH(questions[[#This Row],[qno]],stable[qno],0))</f>
        <v>0</v>
      </c>
      <c r="AL1237" s="98" t="b">
        <f>COUNTIFS(stable[qno],questions[[#This Row],[qno]])=1</f>
        <v>1</v>
      </c>
      <c r="AM1237" s="98" t="b">
        <f>OR(questions[[#This Row],[is_fixed]],questions[[#This Row],[is_localized]],questions[[#This Row],[is_supply_chain_dependent]])</f>
        <v>1</v>
      </c>
      <c r="AN1237" s="98" t="b">
        <f>COUNTIFS(questions[[#This Row],[is_automated]:[is_multi_select]],TRUE)=1</f>
        <v>1</v>
      </c>
      <c r="AO1237" s="98" t="b">
        <f>IF(questions[[#This Row],[is_fixed]],questions[[#This Row],[question]]=INDEX(stable[question],MATCH(questions[[#This Row],[qno]],stable[qno],0)),TRUE)</f>
        <v>1</v>
      </c>
      <c r="AP1237" s="98" t="str">
        <f>LEFT(questions[[#This Row],[question]],similarity_range)</f>
        <v>Coffee, what was the</v>
      </c>
      <c r="AQ1237" s="98" t="str">
        <f>LEFT(INDEX(stable[question],MATCH(questions[[#This Row],[qno]],stable[qno],0)),similarity_range)</f>
        <v>Coffee, what was the</v>
      </c>
      <c r="AR1237" s="98" t="b">
        <f>questions[[#This Row],[question_first_characters]]=questions[[#This Row],[stability_first_characters]]</f>
        <v>1</v>
      </c>
      <c r="AS1237" s="98" t="b">
        <f>IF(OR(questions[[#This Row],[is_single_select]],questions[[#This Row],[is_multi_select]]),NOT(ISBLANK(questions[[#This Row],[answer_opt_combined]])),TRUE)</f>
        <v>1</v>
      </c>
    </row>
    <row r="1238" spans="1:45" s="77" customFormat="1" ht="15.75" customHeight="1" x14ac:dyDescent="0.25">
      <c r="A1238" s="77" t="str">
        <f>_xlfn.TEXTJOIN("_",TRUE,questions[[#This Row],[origin]:[qno]])</f>
        <v>Kenya_Arabica_Nestle_2025_6511</v>
      </c>
      <c r="B1238" s="77" t="s">
        <v>818</v>
      </c>
      <c r="C1238" s="77" t="s">
        <v>59</v>
      </c>
      <c r="D1238" s="77" t="s">
        <v>819</v>
      </c>
      <c r="E1238" s="77">
        <v>2025</v>
      </c>
      <c r="F1238" s="105" t="s">
        <v>310</v>
      </c>
      <c r="G1238" s="78" t="s">
        <v>311</v>
      </c>
      <c r="H1238" s="9" t="str" cm="1">
        <f t="array" ref="H1238">INDEX(stableR[question],MATCH(VALUE(questions[[#This Row],[qno]]),VALUE(stableR[qno]),0))</f>
        <v>Cropping other than coffee, what was the estimated importance?</v>
      </c>
      <c r="I1238" s="9" t="b" cm="1">
        <f t="array" ref="I1238">INDEX(stable[is_fixed],MATCH(VALUE(questions[[#This Row],[qno]]),VALUE(stable[qno]),0))</f>
        <v>1</v>
      </c>
      <c r="J1238" s="9" t="b" cm="1">
        <f t="array" ref="J1238">INDEX(stable[is_localized],MATCH(VALUE(questions[[#This Row],[qno]]),VALUE(stable[qno]),0))</f>
        <v>0</v>
      </c>
      <c r="K1238" s="9" t="b" cm="1">
        <f t="array" ref="K1238">INDEX(stable[is_supply_chain_dependent],MATCH(VALUE(questions[[#This Row],[qno]]),VALUE(stable[qno]),0))</f>
        <v>0</v>
      </c>
      <c r="L1238" s="9" t="b" cm="1">
        <f t="array" ref="L1238">INDEX(stable[is_mandatory],MATCH(VALUE(questions[[#This Row],[qno]]),VALUE(stable[qno]),0))</f>
        <v>0</v>
      </c>
      <c r="M1238" s="9" t="b" cm="1">
        <f t="array" ref="M1238">INDEX(stable[is_automated],MATCH(VALUE(questions[[#This Row],[qno]]),VALUE(stable[qno]),0))</f>
        <v>0</v>
      </c>
      <c r="N1238" s="9" t="b" cm="1">
        <f t="array" ref="N1238">INDEX(stable[is_free_text],MATCH(VALUE(questions[[#This Row],[qno]]),VALUE(stable[qno]),0))</f>
        <v>0</v>
      </c>
      <c r="O1238" s="9" t="b" cm="1">
        <f t="array" ref="O1238">INDEX(stable[is_numerical],MATCH(VALUE(questions[[#This Row],[qno]]),VALUE(stable[qno]),0))</f>
        <v>0</v>
      </c>
      <c r="P1238" s="77" t="b" cm="1">
        <f t="array" ref="P1238">INDEX(stable[is_single_select],MATCH(VALUE(questions[[#This Row],[qno]]),VALUE(stable[qno]),0))</f>
        <v>1</v>
      </c>
      <c r="Q1238" s="77" t="b" cm="1">
        <f t="array" ref="Q1238">INDEX(stable[is_multi_select],MATCH(VALUE(questions[[#This Row],[qno]]),VALUE(stable[qno]),0))</f>
        <v>0</v>
      </c>
      <c r="R1238" s="77" t="b" cm="1">
        <f t="array" ref="R1238">INDEX(stable[is_skip_logic],MATCH(VALUE(questions[[#This Row],[qno]]),VALUE(stable[qno]),0))</f>
        <v>0</v>
      </c>
      <c r="S1238" s="77" t="str">
        <f>_xlfn.TEXTJOIN(", ",TRUE,questions[[#This Row],[ans_opt_1]:[ans_opt_14]])</f>
        <v>All or nearly all - 80-100%, More than half of it  - 60-80%, About half of it - 40-60%, Less than half of it - 20-40%, A small amount - 0-20%</v>
      </c>
      <c r="T1238" s="77" t="s">
        <v>305</v>
      </c>
      <c r="U1238" s="77" t="s">
        <v>306</v>
      </c>
      <c r="V1238" s="77" t="s">
        <v>307</v>
      </c>
      <c r="W1238" s="77" t="s">
        <v>308</v>
      </c>
      <c r="X1238" s="77" t="s">
        <v>309</v>
      </c>
      <c r="AH1238" s="98" t="b">
        <f>INDEX(stable[q_standard],MATCH(questions[[#This Row],[qno]],stable[qno],0))</f>
        <v>0</v>
      </c>
      <c r="AI1238" s="98" t="b">
        <f>INDEX(stable[q_living_income],MATCH(questions[[#This Row],[qno]],stable[qno],0))</f>
        <v>1</v>
      </c>
      <c r="AJ1238" s="98" t="b">
        <f>INDEX(stable[q_carbon],MATCH(questions[[#This Row],[qno]],stable[qno],0))</f>
        <v>0</v>
      </c>
      <c r="AK1238" s="98" t="b">
        <f>INDEX(stable[q_regen_ag],MATCH(questions[[#This Row],[qno]],stable[qno],0))</f>
        <v>0</v>
      </c>
      <c r="AL1238" s="98" t="b">
        <f>COUNTIFS(stable[qno],questions[[#This Row],[qno]])=1</f>
        <v>1</v>
      </c>
      <c r="AM1238" s="98" t="b">
        <f>OR(questions[[#This Row],[is_fixed]],questions[[#This Row],[is_localized]],questions[[#This Row],[is_supply_chain_dependent]])</f>
        <v>1</v>
      </c>
      <c r="AN1238" s="98" t="b">
        <f>COUNTIFS(questions[[#This Row],[is_automated]:[is_multi_select]],TRUE)=1</f>
        <v>1</v>
      </c>
      <c r="AO1238" s="98" t="b">
        <f>IF(questions[[#This Row],[is_fixed]],questions[[#This Row],[question]]=INDEX(stable[question],MATCH(questions[[#This Row],[qno]],stable[qno],0)),TRUE)</f>
        <v>1</v>
      </c>
      <c r="AP1238" s="98" t="str">
        <f>LEFT(questions[[#This Row],[question]],similarity_range)</f>
        <v xml:space="preserve">Cropping other than </v>
      </c>
      <c r="AQ1238" s="98" t="str">
        <f>LEFT(INDEX(stable[question],MATCH(questions[[#This Row],[qno]],stable[qno],0)),similarity_range)</f>
        <v xml:space="preserve">Cropping other than </v>
      </c>
      <c r="AR1238" s="98" t="b">
        <f>questions[[#This Row],[question_first_characters]]=questions[[#This Row],[stability_first_characters]]</f>
        <v>1</v>
      </c>
      <c r="AS1238" s="98" t="b">
        <f>IF(OR(questions[[#This Row],[is_single_select]],questions[[#This Row],[is_multi_select]]),NOT(ISBLANK(questions[[#This Row],[answer_opt_combined]])),TRUE)</f>
        <v>1</v>
      </c>
    </row>
    <row r="1239" spans="1:45" s="77" customFormat="1" ht="15.75" customHeight="1" x14ac:dyDescent="0.25">
      <c r="A1239" s="77" t="str">
        <f>_xlfn.TEXTJOIN("_",TRUE,questions[[#This Row],[origin]:[qno]])</f>
        <v>Kenya_Arabica_Nestle_2025_6512</v>
      </c>
      <c r="B1239" s="77" t="s">
        <v>818</v>
      </c>
      <c r="C1239" s="77" t="s">
        <v>59</v>
      </c>
      <c r="D1239" s="77" t="s">
        <v>819</v>
      </c>
      <c r="E1239" s="77">
        <v>2025</v>
      </c>
      <c r="F1239" s="105" t="s">
        <v>312</v>
      </c>
      <c r="G1239" s="78" t="s">
        <v>313</v>
      </c>
      <c r="H1239" s="9" t="str" cm="1">
        <f t="array" ref="H1239">INDEX(stableR[question],MATCH(VALUE(questions[[#This Row],[qno]]),VALUE(stableR[qno]),0))</f>
        <v>Livestock, what was the estimated importance?</v>
      </c>
      <c r="I1239" s="9" t="b" cm="1">
        <f t="array" ref="I1239">INDEX(stable[is_fixed],MATCH(VALUE(questions[[#This Row],[qno]]),VALUE(stable[qno]),0))</f>
        <v>1</v>
      </c>
      <c r="J1239" s="9" t="b" cm="1">
        <f t="array" ref="J1239">INDEX(stable[is_localized],MATCH(VALUE(questions[[#This Row],[qno]]),VALUE(stable[qno]),0))</f>
        <v>0</v>
      </c>
      <c r="K1239" s="9" t="b" cm="1">
        <f t="array" ref="K1239">INDEX(stable[is_supply_chain_dependent],MATCH(VALUE(questions[[#This Row],[qno]]),VALUE(stable[qno]),0))</f>
        <v>0</v>
      </c>
      <c r="L1239" s="9" t="b" cm="1">
        <f t="array" ref="L1239">INDEX(stable[is_mandatory],MATCH(VALUE(questions[[#This Row],[qno]]),VALUE(stable[qno]),0))</f>
        <v>0</v>
      </c>
      <c r="M1239" s="9" t="b" cm="1">
        <f t="array" ref="M1239">INDEX(stable[is_automated],MATCH(VALUE(questions[[#This Row],[qno]]),VALUE(stable[qno]),0))</f>
        <v>0</v>
      </c>
      <c r="N1239" s="9" t="b" cm="1">
        <f t="array" ref="N1239">INDEX(stable[is_free_text],MATCH(VALUE(questions[[#This Row],[qno]]),VALUE(stable[qno]),0))</f>
        <v>0</v>
      </c>
      <c r="O1239" s="9" t="b" cm="1">
        <f t="array" ref="O1239">INDEX(stable[is_numerical],MATCH(VALUE(questions[[#This Row],[qno]]),VALUE(stable[qno]),0))</f>
        <v>0</v>
      </c>
      <c r="P1239" s="77" t="b" cm="1">
        <f t="array" ref="P1239">INDEX(stable[is_single_select],MATCH(VALUE(questions[[#This Row],[qno]]),VALUE(stable[qno]),0))</f>
        <v>1</v>
      </c>
      <c r="Q1239" s="77" t="b" cm="1">
        <f t="array" ref="Q1239">INDEX(stable[is_multi_select],MATCH(VALUE(questions[[#This Row],[qno]]),VALUE(stable[qno]),0))</f>
        <v>0</v>
      </c>
      <c r="R1239" s="77" t="b" cm="1">
        <f t="array" ref="R1239">INDEX(stable[is_skip_logic],MATCH(VALUE(questions[[#This Row],[qno]]),VALUE(stable[qno]),0))</f>
        <v>0</v>
      </c>
      <c r="S1239" s="77" t="str">
        <f>_xlfn.TEXTJOIN(", ",TRUE,questions[[#This Row],[ans_opt_1]:[ans_opt_14]])</f>
        <v>All or nearly all - 80-100%, More than half of it  - 60-80%, About half of it - 40-60%, Less than half of it - 20-40%, A small amount - 0-20%</v>
      </c>
      <c r="T1239" s="77" t="s">
        <v>305</v>
      </c>
      <c r="U1239" s="77" t="s">
        <v>306</v>
      </c>
      <c r="V1239" s="77" t="s">
        <v>307</v>
      </c>
      <c r="W1239" s="77" t="s">
        <v>308</v>
      </c>
      <c r="X1239" s="77" t="s">
        <v>309</v>
      </c>
      <c r="AH1239" s="98" t="b">
        <f>INDEX(stable[q_standard],MATCH(questions[[#This Row],[qno]],stable[qno],0))</f>
        <v>0</v>
      </c>
      <c r="AI1239" s="98" t="b">
        <f>INDEX(stable[q_living_income],MATCH(questions[[#This Row],[qno]],stable[qno],0))</f>
        <v>1</v>
      </c>
      <c r="AJ1239" s="98" t="b">
        <f>INDEX(stable[q_carbon],MATCH(questions[[#This Row],[qno]],stable[qno],0))</f>
        <v>0</v>
      </c>
      <c r="AK1239" s="98" t="b">
        <f>INDEX(stable[q_regen_ag],MATCH(questions[[#This Row],[qno]],stable[qno],0))</f>
        <v>0</v>
      </c>
      <c r="AL1239" s="98" t="b">
        <f>COUNTIFS(stable[qno],questions[[#This Row],[qno]])=1</f>
        <v>1</v>
      </c>
      <c r="AM1239" s="98" t="b">
        <f>OR(questions[[#This Row],[is_fixed]],questions[[#This Row],[is_localized]],questions[[#This Row],[is_supply_chain_dependent]])</f>
        <v>1</v>
      </c>
      <c r="AN1239" s="98" t="b">
        <f>COUNTIFS(questions[[#This Row],[is_automated]:[is_multi_select]],TRUE)=1</f>
        <v>1</v>
      </c>
      <c r="AO1239" s="98" t="b">
        <f>IF(questions[[#This Row],[is_fixed]],questions[[#This Row],[question]]=INDEX(stable[question],MATCH(questions[[#This Row],[qno]],stable[qno],0)),TRUE)</f>
        <v>1</v>
      </c>
      <c r="AP1239" s="98" t="str">
        <f>LEFT(questions[[#This Row],[question]],similarity_range)</f>
        <v xml:space="preserve">Livestock, what was </v>
      </c>
      <c r="AQ1239" s="98" t="str">
        <f>LEFT(INDEX(stable[question],MATCH(questions[[#This Row],[qno]],stable[qno],0)),similarity_range)</f>
        <v xml:space="preserve">Livestock, what was </v>
      </c>
      <c r="AR1239" s="98" t="b">
        <f>questions[[#This Row],[question_first_characters]]=questions[[#This Row],[stability_first_characters]]</f>
        <v>1</v>
      </c>
      <c r="AS1239" s="98" t="b">
        <f>IF(OR(questions[[#This Row],[is_single_select]],questions[[#This Row],[is_multi_select]]),NOT(ISBLANK(questions[[#This Row],[answer_opt_combined]])),TRUE)</f>
        <v>1</v>
      </c>
    </row>
    <row r="1240" spans="1:45" s="77" customFormat="1" ht="15.75" customHeight="1" x14ac:dyDescent="0.25">
      <c r="A1240" s="77" t="str">
        <f>_xlfn.TEXTJOIN("_",TRUE,questions[[#This Row],[origin]:[qno]])</f>
        <v>Kenya_Arabica_Nestle_2025_6513</v>
      </c>
      <c r="B1240" s="77" t="s">
        <v>818</v>
      </c>
      <c r="C1240" s="77" t="s">
        <v>59</v>
      </c>
      <c r="D1240" s="77" t="s">
        <v>819</v>
      </c>
      <c r="E1240" s="77">
        <v>2025</v>
      </c>
      <c r="F1240" s="105" t="s">
        <v>314</v>
      </c>
      <c r="G1240" s="78" t="s">
        <v>315</v>
      </c>
      <c r="H1240" s="9" t="str" cm="1">
        <f t="array" ref="H1240">INDEX(stableR[question],MATCH(VALUE(questions[[#This Row],[qno]]),VALUE(stableR[qno]),0))</f>
        <v>Casual labor on other peoples farm, what was the estimated importance?</v>
      </c>
      <c r="I1240" s="9" t="b" cm="1">
        <f t="array" ref="I1240">INDEX(stable[is_fixed],MATCH(VALUE(questions[[#This Row],[qno]]),VALUE(stable[qno]),0))</f>
        <v>1</v>
      </c>
      <c r="J1240" s="9" t="b" cm="1">
        <f t="array" ref="J1240">INDEX(stable[is_localized],MATCH(VALUE(questions[[#This Row],[qno]]),VALUE(stable[qno]),0))</f>
        <v>0</v>
      </c>
      <c r="K1240" s="9" t="b" cm="1">
        <f t="array" ref="K1240">INDEX(stable[is_supply_chain_dependent],MATCH(VALUE(questions[[#This Row],[qno]]),VALUE(stable[qno]),0))</f>
        <v>0</v>
      </c>
      <c r="L1240" s="9" t="b" cm="1">
        <f t="array" ref="L1240">INDEX(stable[is_mandatory],MATCH(VALUE(questions[[#This Row],[qno]]),VALUE(stable[qno]),0))</f>
        <v>0</v>
      </c>
      <c r="M1240" s="9" t="b" cm="1">
        <f t="array" ref="M1240">INDEX(stable[is_automated],MATCH(VALUE(questions[[#This Row],[qno]]),VALUE(stable[qno]),0))</f>
        <v>0</v>
      </c>
      <c r="N1240" s="9" t="b" cm="1">
        <f t="array" ref="N1240">INDEX(stable[is_free_text],MATCH(VALUE(questions[[#This Row],[qno]]),VALUE(stable[qno]),0))</f>
        <v>0</v>
      </c>
      <c r="O1240" s="9" t="b" cm="1">
        <f t="array" ref="O1240">INDEX(stable[is_numerical],MATCH(VALUE(questions[[#This Row],[qno]]),VALUE(stable[qno]),0))</f>
        <v>0</v>
      </c>
      <c r="P1240" s="77" t="b" cm="1">
        <f t="array" ref="P1240">INDEX(stable[is_single_select],MATCH(VALUE(questions[[#This Row],[qno]]),VALUE(stable[qno]),0))</f>
        <v>1</v>
      </c>
      <c r="Q1240" s="77" t="b" cm="1">
        <f t="array" ref="Q1240">INDEX(stable[is_multi_select],MATCH(VALUE(questions[[#This Row],[qno]]),VALUE(stable[qno]),0))</f>
        <v>0</v>
      </c>
      <c r="R1240" s="77" t="b" cm="1">
        <f t="array" ref="R1240">INDEX(stable[is_skip_logic],MATCH(VALUE(questions[[#This Row],[qno]]),VALUE(stable[qno]),0))</f>
        <v>0</v>
      </c>
      <c r="S1240" s="77" t="str">
        <f>_xlfn.TEXTJOIN(", ",TRUE,questions[[#This Row],[ans_opt_1]:[ans_opt_14]])</f>
        <v>All or nearly all - 80-100%, More than half of it  - 60-80%, About half of it - 40-60%, Less than half of it - 20-40%, A small amount - 0-20%</v>
      </c>
      <c r="T1240" s="77" t="s">
        <v>305</v>
      </c>
      <c r="U1240" s="77" t="s">
        <v>306</v>
      </c>
      <c r="V1240" s="77" t="s">
        <v>307</v>
      </c>
      <c r="W1240" s="77" t="s">
        <v>308</v>
      </c>
      <c r="X1240" s="77" t="s">
        <v>309</v>
      </c>
      <c r="AH1240" s="98" t="b">
        <f>INDEX(stable[q_standard],MATCH(questions[[#This Row],[qno]],stable[qno],0))</f>
        <v>0</v>
      </c>
      <c r="AI1240" s="98" t="b">
        <f>INDEX(stable[q_living_income],MATCH(questions[[#This Row],[qno]],stable[qno],0))</f>
        <v>1</v>
      </c>
      <c r="AJ1240" s="98" t="b">
        <f>INDEX(stable[q_carbon],MATCH(questions[[#This Row],[qno]],stable[qno],0))</f>
        <v>0</v>
      </c>
      <c r="AK1240" s="98" t="b">
        <f>INDEX(stable[q_regen_ag],MATCH(questions[[#This Row],[qno]],stable[qno],0))</f>
        <v>0</v>
      </c>
      <c r="AL1240" s="98" t="b">
        <f>COUNTIFS(stable[qno],questions[[#This Row],[qno]])=1</f>
        <v>1</v>
      </c>
      <c r="AM1240" s="98" t="b">
        <f>OR(questions[[#This Row],[is_fixed]],questions[[#This Row],[is_localized]],questions[[#This Row],[is_supply_chain_dependent]])</f>
        <v>1</v>
      </c>
      <c r="AN1240" s="98" t="b">
        <f>COUNTIFS(questions[[#This Row],[is_automated]:[is_multi_select]],TRUE)=1</f>
        <v>1</v>
      </c>
      <c r="AO1240" s="98" t="b">
        <f>IF(questions[[#This Row],[is_fixed]],questions[[#This Row],[question]]=INDEX(stable[question],MATCH(questions[[#This Row],[qno]],stable[qno],0)),TRUE)</f>
        <v>1</v>
      </c>
      <c r="AP1240" s="98" t="str">
        <f>LEFT(questions[[#This Row],[question]],similarity_range)</f>
        <v>Casual labor on othe</v>
      </c>
      <c r="AQ1240" s="98" t="str">
        <f>LEFT(INDEX(stable[question],MATCH(questions[[#This Row],[qno]],stable[qno],0)),similarity_range)</f>
        <v>Casual labor on othe</v>
      </c>
      <c r="AR1240" s="98" t="b">
        <f>questions[[#This Row],[question_first_characters]]=questions[[#This Row],[stability_first_characters]]</f>
        <v>1</v>
      </c>
      <c r="AS1240" s="98" t="b">
        <f>IF(OR(questions[[#This Row],[is_single_select]],questions[[#This Row],[is_multi_select]]),NOT(ISBLANK(questions[[#This Row],[answer_opt_combined]])),TRUE)</f>
        <v>1</v>
      </c>
    </row>
    <row r="1241" spans="1:45" s="77" customFormat="1" ht="15.75" customHeight="1" x14ac:dyDescent="0.25">
      <c r="A1241" s="77" t="str">
        <f>_xlfn.TEXTJOIN("_",TRUE,questions[[#This Row],[origin]:[qno]])</f>
        <v>Kenya_Arabica_Nestle_2025_6514</v>
      </c>
      <c r="B1241" s="77" t="s">
        <v>818</v>
      </c>
      <c r="C1241" s="77" t="s">
        <v>59</v>
      </c>
      <c r="D1241" s="77" t="s">
        <v>819</v>
      </c>
      <c r="E1241" s="77">
        <v>2025</v>
      </c>
      <c r="F1241" s="105" t="s">
        <v>316</v>
      </c>
      <c r="G1241" s="78" t="s">
        <v>317</v>
      </c>
      <c r="H1241" s="9" t="str" cm="1">
        <f t="array" ref="H1241">INDEX(stableR[question],MATCH(VALUE(questions[[#This Row],[qno]]),VALUE(stableR[qno]),0))</f>
        <v>Casual labor off-farm, what was the estimated importance?</v>
      </c>
      <c r="I1241" s="9" t="b" cm="1">
        <f t="array" ref="I1241">INDEX(stable[is_fixed],MATCH(VALUE(questions[[#This Row],[qno]]),VALUE(stable[qno]),0))</f>
        <v>1</v>
      </c>
      <c r="J1241" s="9" t="b" cm="1">
        <f t="array" ref="J1241">INDEX(stable[is_localized],MATCH(VALUE(questions[[#This Row],[qno]]),VALUE(stable[qno]),0))</f>
        <v>0</v>
      </c>
      <c r="K1241" s="9" t="b" cm="1">
        <f t="array" ref="K1241">INDEX(stable[is_supply_chain_dependent],MATCH(VALUE(questions[[#This Row],[qno]]),VALUE(stable[qno]),0))</f>
        <v>0</v>
      </c>
      <c r="L1241" s="9" t="b" cm="1">
        <f t="array" ref="L1241">INDEX(stable[is_mandatory],MATCH(VALUE(questions[[#This Row],[qno]]),VALUE(stable[qno]),0))</f>
        <v>0</v>
      </c>
      <c r="M1241" s="9" t="b" cm="1">
        <f t="array" ref="M1241">INDEX(stable[is_automated],MATCH(VALUE(questions[[#This Row],[qno]]),VALUE(stable[qno]),0))</f>
        <v>0</v>
      </c>
      <c r="N1241" s="9" t="b" cm="1">
        <f t="array" ref="N1241">INDEX(stable[is_free_text],MATCH(VALUE(questions[[#This Row],[qno]]),VALUE(stable[qno]),0))</f>
        <v>0</v>
      </c>
      <c r="O1241" s="9" t="b" cm="1">
        <f t="array" ref="O1241">INDEX(stable[is_numerical],MATCH(VALUE(questions[[#This Row],[qno]]),VALUE(stable[qno]),0))</f>
        <v>0</v>
      </c>
      <c r="P1241" s="77" t="b" cm="1">
        <f t="array" ref="P1241">INDEX(stable[is_single_select],MATCH(VALUE(questions[[#This Row],[qno]]),VALUE(stable[qno]),0))</f>
        <v>1</v>
      </c>
      <c r="Q1241" s="77" t="b" cm="1">
        <f t="array" ref="Q1241">INDEX(stable[is_multi_select],MATCH(VALUE(questions[[#This Row],[qno]]),VALUE(stable[qno]),0))</f>
        <v>0</v>
      </c>
      <c r="R1241" s="77" t="b" cm="1">
        <f t="array" ref="R1241">INDEX(stable[is_skip_logic],MATCH(VALUE(questions[[#This Row],[qno]]),VALUE(stable[qno]),0))</f>
        <v>0</v>
      </c>
      <c r="S1241" s="77" t="str">
        <f>_xlfn.TEXTJOIN(", ",TRUE,questions[[#This Row],[ans_opt_1]:[ans_opt_14]])</f>
        <v>All or nearly all - 80-100%, More than half of it  - 60-80%, About half of it - 40-60%, Less than half of it - 20-40%, A small amount - 0-20%</v>
      </c>
      <c r="T1241" s="77" t="s">
        <v>305</v>
      </c>
      <c r="U1241" s="77" t="s">
        <v>306</v>
      </c>
      <c r="V1241" s="77" t="s">
        <v>307</v>
      </c>
      <c r="W1241" s="77" t="s">
        <v>308</v>
      </c>
      <c r="X1241" s="77" t="s">
        <v>309</v>
      </c>
      <c r="AH1241" s="98" t="b">
        <f>INDEX(stable[q_standard],MATCH(questions[[#This Row],[qno]],stable[qno],0))</f>
        <v>0</v>
      </c>
      <c r="AI1241" s="98" t="b">
        <f>INDEX(stable[q_living_income],MATCH(questions[[#This Row],[qno]],stable[qno],0))</f>
        <v>1</v>
      </c>
      <c r="AJ1241" s="98" t="b">
        <f>INDEX(stable[q_carbon],MATCH(questions[[#This Row],[qno]],stable[qno],0))</f>
        <v>0</v>
      </c>
      <c r="AK1241" s="98" t="b">
        <f>INDEX(stable[q_regen_ag],MATCH(questions[[#This Row],[qno]],stable[qno],0))</f>
        <v>0</v>
      </c>
      <c r="AL1241" s="98" t="b">
        <f>COUNTIFS(stable[qno],questions[[#This Row],[qno]])=1</f>
        <v>1</v>
      </c>
      <c r="AM1241" s="98" t="b">
        <f>OR(questions[[#This Row],[is_fixed]],questions[[#This Row],[is_localized]],questions[[#This Row],[is_supply_chain_dependent]])</f>
        <v>1</v>
      </c>
      <c r="AN1241" s="98" t="b">
        <f>COUNTIFS(questions[[#This Row],[is_automated]:[is_multi_select]],TRUE)=1</f>
        <v>1</v>
      </c>
      <c r="AO1241" s="98" t="b">
        <f>IF(questions[[#This Row],[is_fixed]],questions[[#This Row],[question]]=INDEX(stable[question],MATCH(questions[[#This Row],[qno]],stable[qno],0)),TRUE)</f>
        <v>1</v>
      </c>
      <c r="AP1241" s="98" t="str">
        <f>LEFT(questions[[#This Row],[question]],similarity_range)</f>
        <v>Casual labor off-far</v>
      </c>
      <c r="AQ1241" s="98" t="str">
        <f>LEFT(INDEX(stable[question],MATCH(questions[[#This Row],[qno]],stable[qno],0)),similarity_range)</f>
        <v>Casual labor off-far</v>
      </c>
      <c r="AR1241" s="98" t="b">
        <f>questions[[#This Row],[question_first_characters]]=questions[[#This Row],[stability_first_characters]]</f>
        <v>1</v>
      </c>
      <c r="AS1241" s="98" t="b">
        <f>IF(OR(questions[[#This Row],[is_single_select]],questions[[#This Row],[is_multi_select]]),NOT(ISBLANK(questions[[#This Row],[answer_opt_combined]])),TRUE)</f>
        <v>1</v>
      </c>
    </row>
    <row r="1242" spans="1:45" s="77" customFormat="1" ht="15.75" customHeight="1" x14ac:dyDescent="0.25">
      <c r="A1242" s="77" t="str">
        <f>_xlfn.TEXTJOIN("_",TRUE,questions[[#This Row],[origin]:[qno]])</f>
        <v>Kenya_Arabica_Nestle_2025_6515</v>
      </c>
      <c r="B1242" s="77" t="s">
        <v>818</v>
      </c>
      <c r="C1242" s="77" t="s">
        <v>59</v>
      </c>
      <c r="D1242" s="77" t="s">
        <v>819</v>
      </c>
      <c r="E1242" s="77">
        <v>2025</v>
      </c>
      <c r="F1242" s="105" t="s">
        <v>318</v>
      </c>
      <c r="G1242" s="78" t="s">
        <v>319</v>
      </c>
      <c r="H1242" s="9" t="str" cm="1">
        <f t="array" ref="H1242">INDEX(stableR[question],MATCH(VALUE(questions[[#This Row],[qno]]),VALUE(stableR[qno]),0))</f>
        <v>Other business, what was the estimated importance?</v>
      </c>
      <c r="I1242" s="9" t="b" cm="1">
        <f t="array" ref="I1242">INDEX(stable[is_fixed],MATCH(VALUE(questions[[#This Row],[qno]]),VALUE(stable[qno]),0))</f>
        <v>1</v>
      </c>
      <c r="J1242" s="9" t="b" cm="1">
        <f t="array" ref="J1242">INDEX(stable[is_localized],MATCH(VALUE(questions[[#This Row],[qno]]),VALUE(stable[qno]),0))</f>
        <v>0</v>
      </c>
      <c r="K1242" s="9" t="b" cm="1">
        <f t="array" ref="K1242">INDEX(stable[is_supply_chain_dependent],MATCH(VALUE(questions[[#This Row],[qno]]),VALUE(stable[qno]),0))</f>
        <v>0</v>
      </c>
      <c r="L1242" s="9" t="b" cm="1">
        <f t="array" ref="L1242">INDEX(stable[is_mandatory],MATCH(VALUE(questions[[#This Row],[qno]]),VALUE(stable[qno]),0))</f>
        <v>0</v>
      </c>
      <c r="M1242" s="9" t="b" cm="1">
        <f t="array" ref="M1242">INDEX(stable[is_automated],MATCH(VALUE(questions[[#This Row],[qno]]),VALUE(stable[qno]),0))</f>
        <v>0</v>
      </c>
      <c r="N1242" s="9" t="b" cm="1">
        <f t="array" ref="N1242">INDEX(stable[is_free_text],MATCH(VALUE(questions[[#This Row],[qno]]),VALUE(stable[qno]),0))</f>
        <v>0</v>
      </c>
      <c r="O1242" s="9" t="b" cm="1">
        <f t="array" ref="O1242">INDEX(stable[is_numerical],MATCH(VALUE(questions[[#This Row],[qno]]),VALUE(stable[qno]),0))</f>
        <v>0</v>
      </c>
      <c r="P1242" s="77" t="b" cm="1">
        <f t="array" ref="P1242">INDEX(stable[is_single_select],MATCH(VALUE(questions[[#This Row],[qno]]),VALUE(stable[qno]),0))</f>
        <v>1</v>
      </c>
      <c r="Q1242" s="77" t="b" cm="1">
        <f t="array" ref="Q1242">INDEX(stable[is_multi_select],MATCH(VALUE(questions[[#This Row],[qno]]),VALUE(stable[qno]),0))</f>
        <v>0</v>
      </c>
      <c r="R1242" s="77" t="b" cm="1">
        <f t="array" ref="R1242">INDEX(stable[is_skip_logic],MATCH(VALUE(questions[[#This Row],[qno]]),VALUE(stable[qno]),0))</f>
        <v>0</v>
      </c>
      <c r="S1242" s="77" t="str">
        <f>_xlfn.TEXTJOIN(", ",TRUE,questions[[#This Row],[ans_opt_1]:[ans_opt_14]])</f>
        <v>All or nearly all - 80-100%, More than half of it  - 60-80%, About half of it - 40-60%, Less than half of it - 20-40%, A small amount - 0-20%</v>
      </c>
      <c r="T1242" s="77" t="s">
        <v>305</v>
      </c>
      <c r="U1242" s="77" t="s">
        <v>306</v>
      </c>
      <c r="V1242" s="77" t="s">
        <v>307</v>
      </c>
      <c r="W1242" s="77" t="s">
        <v>308</v>
      </c>
      <c r="X1242" s="77" t="s">
        <v>309</v>
      </c>
      <c r="AH1242" s="98" t="b">
        <f>INDEX(stable[q_standard],MATCH(questions[[#This Row],[qno]],stable[qno],0))</f>
        <v>0</v>
      </c>
      <c r="AI1242" s="98" t="b">
        <f>INDEX(stable[q_living_income],MATCH(questions[[#This Row],[qno]],stable[qno],0))</f>
        <v>1</v>
      </c>
      <c r="AJ1242" s="98" t="b">
        <f>INDEX(stable[q_carbon],MATCH(questions[[#This Row],[qno]],stable[qno],0))</f>
        <v>0</v>
      </c>
      <c r="AK1242" s="98" t="b">
        <f>INDEX(stable[q_regen_ag],MATCH(questions[[#This Row],[qno]],stable[qno],0))</f>
        <v>0</v>
      </c>
      <c r="AL1242" s="98" t="b">
        <f>COUNTIFS(stable[qno],questions[[#This Row],[qno]])=1</f>
        <v>1</v>
      </c>
      <c r="AM1242" s="98" t="b">
        <f>OR(questions[[#This Row],[is_fixed]],questions[[#This Row],[is_localized]],questions[[#This Row],[is_supply_chain_dependent]])</f>
        <v>1</v>
      </c>
      <c r="AN1242" s="98" t="b">
        <f>COUNTIFS(questions[[#This Row],[is_automated]:[is_multi_select]],TRUE)=1</f>
        <v>1</v>
      </c>
      <c r="AO1242" s="98" t="b">
        <f>IF(questions[[#This Row],[is_fixed]],questions[[#This Row],[question]]=INDEX(stable[question],MATCH(questions[[#This Row],[qno]],stable[qno],0)),TRUE)</f>
        <v>1</v>
      </c>
      <c r="AP1242" s="98" t="str">
        <f>LEFT(questions[[#This Row],[question]],similarity_range)</f>
        <v>Other business, what</v>
      </c>
      <c r="AQ1242" s="98" t="str">
        <f>LEFT(INDEX(stable[question],MATCH(questions[[#This Row],[qno]],stable[qno],0)),similarity_range)</f>
        <v>Other business, what</v>
      </c>
      <c r="AR1242" s="98" t="b">
        <f>questions[[#This Row],[question_first_characters]]=questions[[#This Row],[stability_first_characters]]</f>
        <v>1</v>
      </c>
      <c r="AS1242" s="98" t="b">
        <f>IF(OR(questions[[#This Row],[is_single_select]],questions[[#This Row],[is_multi_select]]),NOT(ISBLANK(questions[[#This Row],[answer_opt_combined]])),TRUE)</f>
        <v>1</v>
      </c>
    </row>
    <row r="1243" spans="1:45" s="77" customFormat="1" ht="15.75" customHeight="1" x14ac:dyDescent="0.25">
      <c r="A1243" s="77" t="str">
        <f>_xlfn.TEXTJOIN("_",TRUE,questions[[#This Row],[origin]:[qno]])</f>
        <v>Kenya_Arabica_Nestle_2025_6516</v>
      </c>
      <c r="B1243" s="77" t="s">
        <v>818</v>
      </c>
      <c r="C1243" s="77" t="s">
        <v>59</v>
      </c>
      <c r="D1243" s="77" t="s">
        <v>819</v>
      </c>
      <c r="E1243" s="77">
        <v>2025</v>
      </c>
      <c r="F1243" s="105" t="s">
        <v>320</v>
      </c>
      <c r="G1243" s="78" t="s">
        <v>321</v>
      </c>
      <c r="H1243" s="9" t="str" cm="1">
        <f t="array" ref="H1243">INDEX(stableR[question],MATCH(VALUE(questions[[#This Row],[qno]]),VALUE(stableR[qno]),0))</f>
        <v>Salaried job, what was the estimated importance?</v>
      </c>
      <c r="I1243" s="9" t="b" cm="1">
        <f t="array" ref="I1243">INDEX(stable[is_fixed],MATCH(VALUE(questions[[#This Row],[qno]]),VALUE(stable[qno]),0))</f>
        <v>1</v>
      </c>
      <c r="J1243" s="9" t="b" cm="1">
        <f t="array" ref="J1243">INDEX(stable[is_localized],MATCH(VALUE(questions[[#This Row],[qno]]),VALUE(stable[qno]),0))</f>
        <v>0</v>
      </c>
      <c r="K1243" s="9" t="b" cm="1">
        <f t="array" ref="K1243">INDEX(stable[is_supply_chain_dependent],MATCH(VALUE(questions[[#This Row],[qno]]),VALUE(stable[qno]),0))</f>
        <v>0</v>
      </c>
      <c r="L1243" s="9" t="b" cm="1">
        <f t="array" ref="L1243">INDEX(stable[is_mandatory],MATCH(VALUE(questions[[#This Row],[qno]]),VALUE(stable[qno]),0))</f>
        <v>0</v>
      </c>
      <c r="M1243" s="9" t="b" cm="1">
        <f t="array" ref="M1243">INDEX(stable[is_automated],MATCH(VALUE(questions[[#This Row],[qno]]),VALUE(stable[qno]),0))</f>
        <v>0</v>
      </c>
      <c r="N1243" s="9" t="b" cm="1">
        <f t="array" ref="N1243">INDEX(stable[is_free_text],MATCH(VALUE(questions[[#This Row],[qno]]),VALUE(stable[qno]),0))</f>
        <v>0</v>
      </c>
      <c r="O1243" s="9" t="b" cm="1">
        <f t="array" ref="O1243">INDEX(stable[is_numerical],MATCH(VALUE(questions[[#This Row],[qno]]),VALUE(stable[qno]),0))</f>
        <v>0</v>
      </c>
      <c r="P1243" s="77" t="b" cm="1">
        <f t="array" ref="P1243">INDEX(stable[is_single_select],MATCH(VALUE(questions[[#This Row],[qno]]),VALUE(stable[qno]),0))</f>
        <v>1</v>
      </c>
      <c r="Q1243" s="77" t="b" cm="1">
        <f t="array" ref="Q1243">INDEX(stable[is_multi_select],MATCH(VALUE(questions[[#This Row],[qno]]),VALUE(stable[qno]),0))</f>
        <v>0</v>
      </c>
      <c r="R1243" s="77" t="b" cm="1">
        <f t="array" ref="R1243">INDEX(stable[is_skip_logic],MATCH(VALUE(questions[[#This Row],[qno]]),VALUE(stable[qno]),0))</f>
        <v>0</v>
      </c>
      <c r="S1243" s="77" t="str">
        <f>_xlfn.TEXTJOIN(", ",TRUE,questions[[#This Row],[ans_opt_1]:[ans_opt_14]])</f>
        <v>All or nearly all - 80-100%, More than half of it  - 60-80%, About half of it - 40-60%, Less than half of it - 20-40%, A small amount - 0-20%</v>
      </c>
      <c r="T1243" s="77" t="s">
        <v>305</v>
      </c>
      <c r="U1243" s="77" t="s">
        <v>306</v>
      </c>
      <c r="V1243" s="77" t="s">
        <v>307</v>
      </c>
      <c r="W1243" s="77" t="s">
        <v>308</v>
      </c>
      <c r="X1243" s="77" t="s">
        <v>309</v>
      </c>
      <c r="AH1243" s="98" t="b">
        <f>INDEX(stable[q_standard],MATCH(questions[[#This Row],[qno]],stable[qno],0))</f>
        <v>0</v>
      </c>
      <c r="AI1243" s="98" t="b">
        <f>INDEX(stable[q_living_income],MATCH(questions[[#This Row],[qno]],stable[qno],0))</f>
        <v>1</v>
      </c>
      <c r="AJ1243" s="98" t="b">
        <f>INDEX(stable[q_carbon],MATCH(questions[[#This Row],[qno]],stable[qno],0))</f>
        <v>0</v>
      </c>
      <c r="AK1243" s="98" t="b">
        <f>INDEX(stable[q_regen_ag],MATCH(questions[[#This Row],[qno]],stable[qno],0))</f>
        <v>0</v>
      </c>
      <c r="AL1243" s="98" t="b">
        <f>COUNTIFS(stable[qno],questions[[#This Row],[qno]])=1</f>
        <v>1</v>
      </c>
      <c r="AM1243" s="98" t="b">
        <f>OR(questions[[#This Row],[is_fixed]],questions[[#This Row],[is_localized]],questions[[#This Row],[is_supply_chain_dependent]])</f>
        <v>1</v>
      </c>
      <c r="AN1243" s="98" t="b">
        <f>COUNTIFS(questions[[#This Row],[is_automated]:[is_multi_select]],TRUE)=1</f>
        <v>1</v>
      </c>
      <c r="AO1243" s="98" t="b">
        <f>IF(questions[[#This Row],[is_fixed]],questions[[#This Row],[question]]=INDEX(stable[question],MATCH(questions[[#This Row],[qno]],stable[qno],0)),TRUE)</f>
        <v>1</v>
      </c>
      <c r="AP1243" s="98" t="str">
        <f>LEFT(questions[[#This Row],[question]],similarity_range)</f>
        <v>Salaried job, what w</v>
      </c>
      <c r="AQ1243" s="98" t="str">
        <f>LEFT(INDEX(stable[question],MATCH(questions[[#This Row],[qno]],stable[qno],0)),similarity_range)</f>
        <v>Salaried job, what w</v>
      </c>
      <c r="AR1243" s="98" t="b">
        <f>questions[[#This Row],[question_first_characters]]=questions[[#This Row],[stability_first_characters]]</f>
        <v>1</v>
      </c>
      <c r="AS1243" s="98" t="b">
        <f>IF(OR(questions[[#This Row],[is_single_select]],questions[[#This Row],[is_multi_select]]),NOT(ISBLANK(questions[[#This Row],[answer_opt_combined]])),TRUE)</f>
        <v>1</v>
      </c>
    </row>
    <row r="1244" spans="1:45" s="77" customFormat="1" ht="15.75" customHeight="1" x14ac:dyDescent="0.25">
      <c r="A1244" s="77" t="str">
        <f>_xlfn.TEXTJOIN("_",TRUE,questions[[#This Row],[origin]:[qno]])</f>
        <v>Kenya_Arabica_Nestle_2025_6517</v>
      </c>
      <c r="B1244" s="77" t="s">
        <v>818</v>
      </c>
      <c r="C1244" s="77" t="s">
        <v>59</v>
      </c>
      <c r="D1244" s="77" t="s">
        <v>819</v>
      </c>
      <c r="E1244" s="77">
        <v>2025</v>
      </c>
      <c r="F1244" s="105" t="s">
        <v>322</v>
      </c>
      <c r="G1244" s="78" t="s">
        <v>323</v>
      </c>
      <c r="H1244" s="9" t="str" cm="1">
        <f t="array" ref="H1244">INDEX(stableR[question],MATCH(VALUE(questions[[#This Row],[qno]]),VALUE(stableR[qno]),0))</f>
        <v>Pension, what was the estimated importance?</v>
      </c>
      <c r="I1244" s="9" t="b" cm="1">
        <f t="array" ref="I1244">INDEX(stable[is_fixed],MATCH(VALUE(questions[[#This Row],[qno]]),VALUE(stable[qno]),0))</f>
        <v>1</v>
      </c>
      <c r="J1244" s="9" t="b" cm="1">
        <f t="array" ref="J1244">INDEX(stable[is_localized],MATCH(VALUE(questions[[#This Row],[qno]]),VALUE(stable[qno]),0))</f>
        <v>0</v>
      </c>
      <c r="K1244" s="9" t="b" cm="1">
        <f t="array" ref="K1244">INDEX(stable[is_supply_chain_dependent],MATCH(VALUE(questions[[#This Row],[qno]]),VALUE(stable[qno]),0))</f>
        <v>0</v>
      </c>
      <c r="L1244" s="9" t="b" cm="1">
        <f t="array" ref="L1244">INDEX(stable[is_mandatory],MATCH(VALUE(questions[[#This Row],[qno]]),VALUE(stable[qno]),0))</f>
        <v>0</v>
      </c>
      <c r="M1244" s="9" t="b" cm="1">
        <f t="array" ref="M1244">INDEX(stable[is_automated],MATCH(VALUE(questions[[#This Row],[qno]]),VALUE(stable[qno]),0))</f>
        <v>0</v>
      </c>
      <c r="N1244" s="9" t="b" cm="1">
        <f t="array" ref="N1244">INDEX(stable[is_free_text],MATCH(VALUE(questions[[#This Row],[qno]]),VALUE(stable[qno]),0))</f>
        <v>0</v>
      </c>
      <c r="O1244" s="9" t="b" cm="1">
        <f t="array" ref="O1244">INDEX(stable[is_numerical],MATCH(VALUE(questions[[#This Row],[qno]]),VALUE(stable[qno]),0))</f>
        <v>0</v>
      </c>
      <c r="P1244" s="77" t="b" cm="1">
        <f t="array" ref="P1244">INDEX(stable[is_single_select],MATCH(VALUE(questions[[#This Row],[qno]]),VALUE(stable[qno]),0))</f>
        <v>1</v>
      </c>
      <c r="Q1244" s="77" t="b" cm="1">
        <f t="array" ref="Q1244">INDEX(stable[is_multi_select],MATCH(VALUE(questions[[#This Row],[qno]]),VALUE(stable[qno]),0))</f>
        <v>0</v>
      </c>
      <c r="R1244" s="77" t="b" cm="1">
        <f t="array" ref="R1244">INDEX(stable[is_skip_logic],MATCH(VALUE(questions[[#This Row],[qno]]),VALUE(stable[qno]),0))</f>
        <v>0</v>
      </c>
      <c r="S1244" s="77" t="str">
        <f>_xlfn.TEXTJOIN(", ",TRUE,questions[[#This Row],[ans_opt_1]:[ans_opt_14]])</f>
        <v>All or nearly all - 80-100%, More than half of it  - 60-80%, About half of it - 40-60%, Less than half of it - 20-40%, A small amount - 0-20%</v>
      </c>
      <c r="T1244" s="77" t="s">
        <v>305</v>
      </c>
      <c r="U1244" s="77" t="s">
        <v>306</v>
      </c>
      <c r="V1244" s="77" t="s">
        <v>307</v>
      </c>
      <c r="W1244" s="77" t="s">
        <v>308</v>
      </c>
      <c r="X1244" s="77" t="s">
        <v>309</v>
      </c>
      <c r="AH1244" s="98" t="b">
        <f>INDEX(stable[q_standard],MATCH(questions[[#This Row],[qno]],stable[qno],0))</f>
        <v>0</v>
      </c>
      <c r="AI1244" s="98" t="b">
        <f>INDEX(stable[q_living_income],MATCH(questions[[#This Row],[qno]],stable[qno],0))</f>
        <v>1</v>
      </c>
      <c r="AJ1244" s="98" t="b">
        <f>INDEX(stable[q_carbon],MATCH(questions[[#This Row],[qno]],stable[qno],0))</f>
        <v>0</v>
      </c>
      <c r="AK1244" s="98" t="b">
        <f>INDEX(stable[q_regen_ag],MATCH(questions[[#This Row],[qno]],stable[qno],0))</f>
        <v>0</v>
      </c>
      <c r="AL1244" s="98" t="b">
        <f>COUNTIFS(stable[qno],questions[[#This Row],[qno]])=1</f>
        <v>1</v>
      </c>
      <c r="AM1244" s="98" t="b">
        <f>OR(questions[[#This Row],[is_fixed]],questions[[#This Row],[is_localized]],questions[[#This Row],[is_supply_chain_dependent]])</f>
        <v>1</v>
      </c>
      <c r="AN1244" s="98" t="b">
        <f>COUNTIFS(questions[[#This Row],[is_automated]:[is_multi_select]],TRUE)=1</f>
        <v>1</v>
      </c>
      <c r="AO1244" s="98" t="b">
        <f>IF(questions[[#This Row],[is_fixed]],questions[[#This Row],[question]]=INDEX(stable[question],MATCH(questions[[#This Row],[qno]],stable[qno],0)),TRUE)</f>
        <v>1</v>
      </c>
      <c r="AP1244" s="98" t="str">
        <f>LEFT(questions[[#This Row],[question]],similarity_range)</f>
        <v>Pension, what was th</v>
      </c>
      <c r="AQ1244" s="98" t="str">
        <f>LEFT(INDEX(stable[question],MATCH(questions[[#This Row],[qno]],stable[qno],0)),similarity_range)</f>
        <v>Pension, what was th</v>
      </c>
      <c r="AR1244" s="98" t="b">
        <f>questions[[#This Row],[question_first_characters]]=questions[[#This Row],[stability_first_characters]]</f>
        <v>1</v>
      </c>
      <c r="AS1244" s="98" t="b">
        <f>IF(OR(questions[[#This Row],[is_single_select]],questions[[#This Row],[is_multi_select]]),NOT(ISBLANK(questions[[#This Row],[answer_opt_combined]])),TRUE)</f>
        <v>1</v>
      </c>
    </row>
    <row r="1245" spans="1:45" s="77" customFormat="1" ht="15.75" customHeight="1" x14ac:dyDescent="0.25">
      <c r="A1245" s="77" t="str">
        <f>_xlfn.TEXTJOIN("_",TRUE,questions[[#This Row],[origin]:[qno]])</f>
        <v>Kenya_Arabica_Nestle_2025_6518</v>
      </c>
      <c r="B1245" s="77" t="s">
        <v>818</v>
      </c>
      <c r="C1245" s="77" t="s">
        <v>59</v>
      </c>
      <c r="D1245" s="77" t="s">
        <v>819</v>
      </c>
      <c r="E1245" s="77">
        <v>2025</v>
      </c>
      <c r="F1245" s="105" t="s">
        <v>324</v>
      </c>
      <c r="G1245" s="78" t="s">
        <v>325</v>
      </c>
      <c r="H1245" s="9" t="str" cm="1">
        <f t="array" ref="H1245">INDEX(stableR[question],MATCH(VALUE(questions[[#This Row],[qno]]),VALUE(stableR[qno]),0))</f>
        <v>Remittances, what was the estimated importance?</v>
      </c>
      <c r="I1245" s="9" t="b" cm="1">
        <f t="array" ref="I1245">INDEX(stable[is_fixed],MATCH(VALUE(questions[[#This Row],[qno]]),VALUE(stable[qno]),0))</f>
        <v>1</v>
      </c>
      <c r="J1245" s="9" t="b" cm="1">
        <f t="array" ref="J1245">INDEX(stable[is_localized],MATCH(VALUE(questions[[#This Row],[qno]]),VALUE(stable[qno]),0))</f>
        <v>0</v>
      </c>
      <c r="K1245" s="9" t="b" cm="1">
        <f t="array" ref="K1245">INDEX(stable[is_supply_chain_dependent],MATCH(VALUE(questions[[#This Row],[qno]]),VALUE(stable[qno]),0))</f>
        <v>0</v>
      </c>
      <c r="L1245" s="9" t="b" cm="1">
        <f t="array" ref="L1245">INDEX(stable[is_mandatory],MATCH(VALUE(questions[[#This Row],[qno]]),VALUE(stable[qno]),0))</f>
        <v>0</v>
      </c>
      <c r="M1245" s="9" t="b" cm="1">
        <f t="array" ref="M1245">INDEX(stable[is_automated],MATCH(VALUE(questions[[#This Row],[qno]]),VALUE(stable[qno]),0))</f>
        <v>0</v>
      </c>
      <c r="N1245" s="9" t="b" cm="1">
        <f t="array" ref="N1245">INDEX(stable[is_free_text],MATCH(VALUE(questions[[#This Row],[qno]]),VALUE(stable[qno]),0))</f>
        <v>0</v>
      </c>
      <c r="O1245" s="9" t="b" cm="1">
        <f t="array" ref="O1245">INDEX(stable[is_numerical],MATCH(VALUE(questions[[#This Row],[qno]]),VALUE(stable[qno]),0))</f>
        <v>0</v>
      </c>
      <c r="P1245" s="77" t="b" cm="1">
        <f t="array" ref="P1245">INDEX(stable[is_single_select],MATCH(VALUE(questions[[#This Row],[qno]]),VALUE(stable[qno]),0))</f>
        <v>1</v>
      </c>
      <c r="Q1245" s="77" t="b" cm="1">
        <f t="array" ref="Q1245">INDEX(stable[is_multi_select],MATCH(VALUE(questions[[#This Row],[qno]]),VALUE(stable[qno]),0))</f>
        <v>0</v>
      </c>
      <c r="R1245" s="77" t="b" cm="1">
        <f t="array" ref="R1245">INDEX(stable[is_skip_logic],MATCH(VALUE(questions[[#This Row],[qno]]),VALUE(stable[qno]),0))</f>
        <v>0</v>
      </c>
      <c r="S1245" s="77" t="str">
        <f>_xlfn.TEXTJOIN(", ",TRUE,questions[[#This Row],[ans_opt_1]:[ans_opt_14]])</f>
        <v>All or nearly all - 80-100%, More than half of it  - 60-80%, About half of it - 40-60%, Less than half of it - 20-40%, A small amount - 0-20%</v>
      </c>
      <c r="T1245" s="77" t="s">
        <v>305</v>
      </c>
      <c r="U1245" s="77" t="s">
        <v>306</v>
      </c>
      <c r="V1245" s="77" t="s">
        <v>307</v>
      </c>
      <c r="W1245" s="77" t="s">
        <v>308</v>
      </c>
      <c r="X1245" s="77" t="s">
        <v>309</v>
      </c>
      <c r="AH1245" s="98" t="b">
        <f>INDEX(stable[q_standard],MATCH(questions[[#This Row],[qno]],stable[qno],0))</f>
        <v>0</v>
      </c>
      <c r="AI1245" s="98" t="b">
        <f>INDEX(stable[q_living_income],MATCH(questions[[#This Row],[qno]],stable[qno],0))</f>
        <v>1</v>
      </c>
      <c r="AJ1245" s="98" t="b">
        <f>INDEX(stable[q_carbon],MATCH(questions[[#This Row],[qno]],stable[qno],0))</f>
        <v>0</v>
      </c>
      <c r="AK1245" s="98" t="b">
        <f>INDEX(stable[q_regen_ag],MATCH(questions[[#This Row],[qno]],stable[qno],0))</f>
        <v>0</v>
      </c>
      <c r="AL1245" s="98" t="b">
        <f>COUNTIFS(stable[qno],questions[[#This Row],[qno]])=1</f>
        <v>1</v>
      </c>
      <c r="AM1245" s="98" t="b">
        <f>OR(questions[[#This Row],[is_fixed]],questions[[#This Row],[is_localized]],questions[[#This Row],[is_supply_chain_dependent]])</f>
        <v>1</v>
      </c>
      <c r="AN1245" s="98" t="b">
        <f>COUNTIFS(questions[[#This Row],[is_automated]:[is_multi_select]],TRUE)=1</f>
        <v>1</v>
      </c>
      <c r="AO1245" s="98" t="b">
        <f>IF(questions[[#This Row],[is_fixed]],questions[[#This Row],[question]]=INDEX(stable[question],MATCH(questions[[#This Row],[qno]],stable[qno],0)),TRUE)</f>
        <v>1</v>
      </c>
      <c r="AP1245" s="98" t="str">
        <f>LEFT(questions[[#This Row],[question]],similarity_range)</f>
        <v>Remittances, what wa</v>
      </c>
      <c r="AQ1245" s="98" t="str">
        <f>LEFT(INDEX(stable[question],MATCH(questions[[#This Row],[qno]],stable[qno],0)),similarity_range)</f>
        <v>Remittances, what wa</v>
      </c>
      <c r="AR1245" s="98" t="b">
        <f>questions[[#This Row],[question_first_characters]]=questions[[#This Row],[stability_first_characters]]</f>
        <v>1</v>
      </c>
      <c r="AS1245" s="98" t="b">
        <f>IF(OR(questions[[#This Row],[is_single_select]],questions[[#This Row],[is_multi_select]]),NOT(ISBLANK(questions[[#This Row],[answer_opt_combined]])),TRUE)</f>
        <v>1</v>
      </c>
    </row>
    <row r="1246" spans="1:45" s="77" customFormat="1" ht="15.75" customHeight="1" x14ac:dyDescent="0.25">
      <c r="A1246" s="77" t="str">
        <f>_xlfn.TEXTJOIN("_",TRUE,questions[[#This Row],[origin]:[qno]])</f>
        <v>Kenya_Arabica_Nestle_2025_7000</v>
      </c>
      <c r="B1246" s="77" t="s">
        <v>818</v>
      </c>
      <c r="C1246" s="77" t="s">
        <v>59</v>
      </c>
      <c r="D1246" s="77" t="s">
        <v>819</v>
      </c>
      <c r="E1246" s="77">
        <v>2025</v>
      </c>
      <c r="F1246" s="105" t="s">
        <v>326</v>
      </c>
      <c r="G1246" s="78" t="s">
        <v>792</v>
      </c>
      <c r="H1246" s="9" t="str" cm="1">
        <f t="array" ref="H1246">INDEX(stableR[question],MATCH(VALUE(questions[[#This Row],[qno]]),VALUE(stableR[qno]),0))</f>
        <v>Have you received any training on Regenartive Agriculture principles and practices in last 1-2 years? For instance on mulching, cover crops, manure or fertiliser application, stumping, integrated pest management, etc.</v>
      </c>
      <c r="I1246" s="9" t="b" cm="1">
        <f t="array" ref="I1246">INDEX(stable[is_fixed],MATCH(VALUE(questions[[#This Row],[qno]]),VALUE(stable[qno]),0))</f>
        <v>1</v>
      </c>
      <c r="J1246" s="9" t="b" cm="1">
        <f t="array" ref="J1246">INDEX(stable[is_localized],MATCH(VALUE(questions[[#This Row],[qno]]),VALUE(stable[qno]),0))</f>
        <v>0</v>
      </c>
      <c r="K1246" s="9" t="b" cm="1">
        <f t="array" ref="K1246">INDEX(stable[is_supply_chain_dependent],MATCH(VALUE(questions[[#This Row],[qno]]),VALUE(stable[qno]),0))</f>
        <v>0</v>
      </c>
      <c r="L1246" s="9" t="b" cm="1">
        <f t="array" ref="L1246">INDEX(stable[is_mandatory],MATCH(VALUE(questions[[#This Row],[qno]]),VALUE(stable[qno]),0))</f>
        <v>1</v>
      </c>
      <c r="M1246" s="9" t="b" cm="1">
        <f t="array" ref="M1246">INDEX(stable[is_automated],MATCH(VALUE(questions[[#This Row],[qno]]),VALUE(stable[qno]),0))</f>
        <v>0</v>
      </c>
      <c r="N1246" s="9" t="b" cm="1">
        <f t="array" ref="N1246">INDEX(stable[is_free_text],MATCH(VALUE(questions[[#This Row],[qno]]),VALUE(stable[qno]),0))</f>
        <v>0</v>
      </c>
      <c r="O1246" s="9" t="b" cm="1">
        <f t="array" ref="O1246">INDEX(stable[is_numerical],MATCH(VALUE(questions[[#This Row],[qno]]),VALUE(stable[qno]),0))</f>
        <v>0</v>
      </c>
      <c r="P1246" s="77" t="b" cm="1">
        <f t="array" ref="P1246">INDEX(stable[is_single_select],MATCH(VALUE(questions[[#This Row],[qno]]),VALUE(stable[qno]),0))</f>
        <v>1</v>
      </c>
      <c r="Q1246" s="77" t="b" cm="1">
        <f t="array" ref="Q1246">INDEX(stable[is_multi_select],MATCH(VALUE(questions[[#This Row],[qno]]),VALUE(stable[qno]),0))</f>
        <v>0</v>
      </c>
      <c r="R1246" s="77" t="b" cm="1">
        <f t="array" ref="R1246">INDEX(stable[is_skip_logic],MATCH(VALUE(questions[[#This Row],[qno]]),VALUE(stable[qno]),0))</f>
        <v>1</v>
      </c>
      <c r="S1246" s="77" t="str">
        <f>_xlfn.TEXTJOIN(", ",TRUE,questions[[#This Row],[ans_opt_1]:[ans_opt_14]])</f>
        <v>Yes, No</v>
      </c>
      <c r="T1246" s="77" t="s">
        <v>149</v>
      </c>
      <c r="U1246" s="77" t="s">
        <v>119</v>
      </c>
      <c r="AH1246" s="98" t="b">
        <f>INDEX(stable[q_standard],MATCH(questions[[#This Row],[qno]],stable[qno],0))</f>
        <v>0</v>
      </c>
      <c r="AI1246" s="98" t="b">
        <f>INDEX(stable[q_living_income],MATCH(questions[[#This Row],[qno]],stable[qno],0))</f>
        <v>0</v>
      </c>
      <c r="AJ1246" s="98" t="b">
        <f>INDEX(stable[q_carbon],MATCH(questions[[#This Row],[qno]],stable[qno],0))</f>
        <v>0</v>
      </c>
      <c r="AK1246" s="98" t="b">
        <f>INDEX(stable[q_regen_ag],MATCH(questions[[#This Row],[qno]],stable[qno],0))</f>
        <v>1</v>
      </c>
      <c r="AL1246" s="98" t="b">
        <f>COUNTIFS(stable[qno],questions[[#This Row],[qno]])=1</f>
        <v>1</v>
      </c>
      <c r="AM1246" s="98" t="b">
        <f>OR(questions[[#This Row],[is_fixed]],questions[[#This Row],[is_localized]],questions[[#This Row],[is_supply_chain_dependent]])</f>
        <v>1</v>
      </c>
      <c r="AN1246" s="98" t="b">
        <f>COUNTIFS(questions[[#This Row],[is_automated]:[is_multi_select]],TRUE)=1</f>
        <v>1</v>
      </c>
      <c r="AO1246" s="98" t="b">
        <f>IF(questions[[#This Row],[is_fixed]],questions[[#This Row],[question]]=INDEX(stable[question],MATCH(questions[[#This Row],[qno]],stable[qno],0)),TRUE)</f>
        <v>0</v>
      </c>
      <c r="AP1246" s="98" t="str">
        <f>LEFT(questions[[#This Row],[question]],similarity_range)</f>
        <v>Have you received an</v>
      </c>
      <c r="AQ1246" s="98" t="str">
        <f>LEFT(INDEX(stable[question],MATCH(questions[[#This Row],[qno]],stable[qno],0)),similarity_range)</f>
        <v>Have you received an</v>
      </c>
      <c r="AR1246" s="98" t="b">
        <f>questions[[#This Row],[question_first_characters]]=questions[[#This Row],[stability_first_characters]]</f>
        <v>1</v>
      </c>
      <c r="AS1246" s="98" t="b">
        <f>IF(OR(questions[[#This Row],[is_single_select]],questions[[#This Row],[is_multi_select]]),NOT(ISBLANK(questions[[#This Row],[answer_opt_combined]])),TRUE)</f>
        <v>1</v>
      </c>
    </row>
    <row r="1247" spans="1:45" s="77" customFormat="1" ht="15.75" customHeight="1" x14ac:dyDescent="0.25">
      <c r="A1247" s="77" t="str">
        <f>_xlfn.TEXTJOIN("_",TRUE,questions[[#This Row],[origin]:[qno]])</f>
        <v>Kenya_Arabica_Nestle_2025_7001</v>
      </c>
      <c r="B1247" s="77" t="s">
        <v>818</v>
      </c>
      <c r="C1247" s="77" t="s">
        <v>59</v>
      </c>
      <c r="D1247" s="77" t="s">
        <v>819</v>
      </c>
      <c r="E1247" s="77">
        <v>2025</v>
      </c>
      <c r="F1247" s="105" t="s">
        <v>328</v>
      </c>
      <c r="G1247" s="78" t="s">
        <v>329</v>
      </c>
      <c r="H1247" s="9" t="str" cm="1">
        <f t="array" ref="H1247">INDEX(stableR[question],MATCH(VALUE(questions[[#This Row],[qno]]),VALUE(stableR[qno]),0))</f>
        <v>If NO formal training received, are you aware of Regen Ag. and can explain its basics principles and main practices?</v>
      </c>
      <c r="I1247" s="9" t="b" cm="1">
        <f t="array" ref="I1247">INDEX(stable[is_fixed],MATCH(VALUE(questions[[#This Row],[qno]]),VALUE(stable[qno]),0))</f>
        <v>1</v>
      </c>
      <c r="J1247" s="9" t="b" cm="1">
        <f t="array" ref="J1247">INDEX(stable[is_localized],MATCH(VALUE(questions[[#This Row],[qno]]),VALUE(stable[qno]),0))</f>
        <v>0</v>
      </c>
      <c r="K1247" s="9" t="b" cm="1">
        <f t="array" ref="K1247">INDEX(stable[is_supply_chain_dependent],MATCH(VALUE(questions[[#This Row],[qno]]),VALUE(stable[qno]),0))</f>
        <v>0</v>
      </c>
      <c r="L1247" s="9" t="b" cm="1">
        <f t="array" ref="L1247">INDEX(stable[is_mandatory],MATCH(VALUE(questions[[#This Row],[qno]]),VALUE(stable[qno]),0))</f>
        <v>0</v>
      </c>
      <c r="M1247" s="9" t="b" cm="1">
        <f t="array" ref="M1247">INDEX(stable[is_automated],MATCH(VALUE(questions[[#This Row],[qno]]),VALUE(stable[qno]),0))</f>
        <v>0</v>
      </c>
      <c r="N1247" s="9" t="b" cm="1">
        <f t="array" ref="N1247">INDEX(stable[is_free_text],MATCH(VALUE(questions[[#This Row],[qno]]),VALUE(stable[qno]),0))</f>
        <v>0</v>
      </c>
      <c r="O1247" s="9" t="b" cm="1">
        <f t="array" ref="O1247">INDEX(stable[is_numerical],MATCH(VALUE(questions[[#This Row],[qno]]),VALUE(stable[qno]),0))</f>
        <v>0</v>
      </c>
      <c r="P1247" s="77" t="b" cm="1">
        <f t="array" ref="P1247">INDEX(stable[is_single_select],MATCH(VALUE(questions[[#This Row],[qno]]),VALUE(stable[qno]),0))</f>
        <v>1</v>
      </c>
      <c r="Q1247" s="77" t="b" cm="1">
        <f t="array" ref="Q1247">INDEX(stable[is_multi_select],MATCH(VALUE(questions[[#This Row],[qno]]),VALUE(stable[qno]),0))</f>
        <v>0</v>
      </c>
      <c r="R1247" s="77" t="b" cm="1">
        <f t="array" ref="R1247">INDEX(stable[is_skip_logic],MATCH(VALUE(questions[[#This Row],[qno]]),VALUE(stable[qno]),0))</f>
        <v>1</v>
      </c>
      <c r="S1247" s="77" t="str">
        <f>_xlfn.TEXTJOIN(", ",TRUE,questions[[#This Row],[ans_opt_1]:[ans_opt_14]])</f>
        <v>Yes, No</v>
      </c>
      <c r="T1247" s="77" t="s">
        <v>149</v>
      </c>
      <c r="U1247" s="77" t="s">
        <v>119</v>
      </c>
      <c r="AH1247" s="98" t="b">
        <f>INDEX(stable[q_standard],MATCH(questions[[#This Row],[qno]],stable[qno],0))</f>
        <v>0</v>
      </c>
      <c r="AI1247" s="98" t="b">
        <f>INDEX(stable[q_living_income],MATCH(questions[[#This Row],[qno]],stable[qno],0))</f>
        <v>0</v>
      </c>
      <c r="AJ1247" s="98" t="b">
        <f>INDEX(stable[q_carbon],MATCH(questions[[#This Row],[qno]],stable[qno],0))</f>
        <v>0</v>
      </c>
      <c r="AK1247" s="98" t="b">
        <f>INDEX(stable[q_regen_ag],MATCH(questions[[#This Row],[qno]],stable[qno],0))</f>
        <v>1</v>
      </c>
      <c r="AL1247" s="98" t="b">
        <f>COUNTIFS(stable[qno],questions[[#This Row],[qno]])=1</f>
        <v>1</v>
      </c>
      <c r="AM1247" s="98" t="b">
        <f>OR(questions[[#This Row],[is_fixed]],questions[[#This Row],[is_localized]],questions[[#This Row],[is_supply_chain_dependent]])</f>
        <v>1</v>
      </c>
      <c r="AN1247" s="98" t="b">
        <f>COUNTIFS(questions[[#This Row],[is_automated]:[is_multi_select]],TRUE)=1</f>
        <v>1</v>
      </c>
      <c r="AO1247" s="98" t="b">
        <f>IF(questions[[#This Row],[is_fixed]],questions[[#This Row],[question]]=INDEX(stable[question],MATCH(questions[[#This Row],[qno]],stable[qno],0)),TRUE)</f>
        <v>1</v>
      </c>
      <c r="AP1247" s="98" t="str">
        <f>LEFT(questions[[#This Row],[question]],similarity_range)</f>
        <v>If NO formal trainin</v>
      </c>
      <c r="AQ1247" s="98" t="str">
        <f>LEFT(INDEX(stable[question],MATCH(questions[[#This Row],[qno]],stable[qno],0)),similarity_range)</f>
        <v>If NO formal trainin</v>
      </c>
      <c r="AR1247" s="98" t="b">
        <f>questions[[#This Row],[question_first_characters]]=questions[[#This Row],[stability_first_characters]]</f>
        <v>1</v>
      </c>
      <c r="AS1247" s="98" t="b">
        <f>IF(OR(questions[[#This Row],[is_single_select]],questions[[#This Row],[is_multi_select]]),NOT(ISBLANK(questions[[#This Row],[answer_opt_combined]])),TRUE)</f>
        <v>1</v>
      </c>
    </row>
    <row r="1248" spans="1:45" s="77" customFormat="1" ht="15.75" customHeight="1" x14ac:dyDescent="0.25">
      <c r="A1248" s="77" t="str">
        <f>_xlfn.TEXTJOIN("_",TRUE,questions[[#This Row],[origin]:[qno]])</f>
        <v>Kenya_Arabica_Nestle_2025_7100</v>
      </c>
      <c r="B1248" s="77" t="s">
        <v>818</v>
      </c>
      <c r="C1248" s="77" t="s">
        <v>59</v>
      </c>
      <c r="D1248" s="77" t="s">
        <v>819</v>
      </c>
      <c r="E1248" s="77">
        <v>2025</v>
      </c>
      <c r="F1248" s="105" t="s">
        <v>330</v>
      </c>
      <c r="G1248" s="78" t="s">
        <v>331</v>
      </c>
      <c r="H1248" s="9" t="str" cm="1">
        <f t="array" ref="H1248">INDEX(stableR[question],MATCH(VALUE(questions[[#This Row],[qno]]),VALUE(stableR[qno]),0))</f>
        <v>Do you implement mulching and/or cover crops-plants (e.g. beans, peanuts/groundnuts, brachiaria, desmodium…) in your coffee plots? If the answer is NO, you do not need to answer the next 2 questions</v>
      </c>
      <c r="I1248" s="9" t="b" cm="1">
        <f t="array" ref="I1248">INDEX(stable[is_fixed],MATCH(VALUE(questions[[#This Row],[qno]]),VALUE(stable[qno]),0))</f>
        <v>1</v>
      </c>
      <c r="J1248" s="9" t="b" cm="1">
        <f t="array" ref="J1248">INDEX(stable[is_localized],MATCH(VALUE(questions[[#This Row],[qno]]),VALUE(stable[qno]),0))</f>
        <v>0</v>
      </c>
      <c r="K1248" s="9" t="b" cm="1">
        <f t="array" ref="K1248">INDEX(stable[is_supply_chain_dependent],MATCH(VALUE(questions[[#This Row],[qno]]),VALUE(stable[qno]),0))</f>
        <v>0</v>
      </c>
      <c r="L1248" s="9" t="b" cm="1">
        <f t="array" ref="L1248">INDEX(stable[is_mandatory],MATCH(VALUE(questions[[#This Row],[qno]]),VALUE(stable[qno]),0))</f>
        <v>1</v>
      </c>
      <c r="M1248" s="9" t="b" cm="1">
        <f t="array" ref="M1248">INDEX(stable[is_automated],MATCH(VALUE(questions[[#This Row],[qno]]),VALUE(stable[qno]),0))</f>
        <v>0</v>
      </c>
      <c r="N1248" s="9" t="b" cm="1">
        <f t="array" ref="N1248">INDEX(stable[is_free_text],MATCH(VALUE(questions[[#This Row],[qno]]),VALUE(stable[qno]),0))</f>
        <v>0</v>
      </c>
      <c r="O1248" s="9" t="b" cm="1">
        <f t="array" ref="O1248">INDEX(stable[is_numerical],MATCH(VALUE(questions[[#This Row],[qno]]),VALUE(stable[qno]),0))</f>
        <v>0</v>
      </c>
      <c r="P1248" s="77" t="b" cm="1">
        <f t="array" ref="P1248">INDEX(stable[is_single_select],MATCH(VALUE(questions[[#This Row],[qno]]),VALUE(stable[qno]),0))</f>
        <v>1</v>
      </c>
      <c r="Q1248" s="77" t="b" cm="1">
        <f t="array" ref="Q1248">INDEX(stable[is_multi_select],MATCH(VALUE(questions[[#This Row],[qno]]),VALUE(stable[qno]),0))</f>
        <v>0</v>
      </c>
      <c r="R1248" s="77" t="b" cm="1">
        <f t="array" ref="R1248">INDEX(stable[is_skip_logic],MATCH(VALUE(questions[[#This Row],[qno]]),VALUE(stable[qno]),0))</f>
        <v>1</v>
      </c>
      <c r="S1248" s="77" t="str">
        <f>_xlfn.TEXTJOIN(", ",TRUE,questions[[#This Row],[ans_opt_1]:[ans_opt_14]])</f>
        <v>No, Yes-Crop residues mulching, Yes-Other mulching, Yes-Cover crops, Yes-Cover crops &amp; Mulching</v>
      </c>
      <c r="T1248" s="77" t="s">
        <v>119</v>
      </c>
      <c r="U1248" s="77" t="s">
        <v>332</v>
      </c>
      <c r="V1248" s="77" t="s">
        <v>333</v>
      </c>
      <c r="W1248" s="77" t="s">
        <v>334</v>
      </c>
      <c r="X1248" s="77" t="s">
        <v>335</v>
      </c>
      <c r="AH1248" s="98" t="b">
        <f>INDEX(stable[q_standard],MATCH(questions[[#This Row],[qno]],stable[qno],0))</f>
        <v>0</v>
      </c>
      <c r="AI1248" s="98" t="b">
        <f>INDEX(stable[q_living_income],MATCH(questions[[#This Row],[qno]],stable[qno],0))</f>
        <v>0</v>
      </c>
      <c r="AJ1248" s="98" t="b">
        <f>INDEX(stable[q_carbon],MATCH(questions[[#This Row],[qno]],stable[qno],0))</f>
        <v>0</v>
      </c>
      <c r="AK1248" s="98" t="b">
        <f>INDEX(stable[q_regen_ag],MATCH(questions[[#This Row],[qno]],stable[qno],0))</f>
        <v>1</v>
      </c>
      <c r="AL1248" s="98" t="b">
        <f>COUNTIFS(stable[qno],questions[[#This Row],[qno]])=1</f>
        <v>1</v>
      </c>
      <c r="AM1248" s="98" t="b">
        <f>OR(questions[[#This Row],[is_fixed]],questions[[#This Row],[is_localized]],questions[[#This Row],[is_supply_chain_dependent]])</f>
        <v>1</v>
      </c>
      <c r="AN1248" s="98" t="b">
        <f>COUNTIFS(questions[[#This Row],[is_automated]:[is_multi_select]],TRUE)=1</f>
        <v>1</v>
      </c>
      <c r="AO1248" s="98" t="b">
        <f>IF(questions[[#This Row],[is_fixed]],questions[[#This Row],[question]]=INDEX(stable[question],MATCH(questions[[#This Row],[qno]],stable[qno],0)),TRUE)</f>
        <v>1</v>
      </c>
      <c r="AP1248" s="98" t="str">
        <f>LEFT(questions[[#This Row],[question]],similarity_range)</f>
        <v>Do you implement mul</v>
      </c>
      <c r="AQ1248" s="98" t="str">
        <f>LEFT(INDEX(stable[question],MATCH(questions[[#This Row],[qno]],stable[qno],0)),similarity_range)</f>
        <v>Do you implement mul</v>
      </c>
      <c r="AR1248" s="98" t="b">
        <f>questions[[#This Row],[question_first_characters]]=questions[[#This Row],[stability_first_characters]]</f>
        <v>1</v>
      </c>
      <c r="AS1248" s="98" t="b">
        <f>IF(OR(questions[[#This Row],[is_single_select]],questions[[#This Row],[is_multi_select]]),NOT(ISBLANK(questions[[#This Row],[answer_opt_combined]])),TRUE)</f>
        <v>1</v>
      </c>
    </row>
    <row r="1249" spans="1:45" s="77" customFormat="1" ht="15.75" customHeight="1" x14ac:dyDescent="0.25">
      <c r="A1249" s="77" t="str">
        <f>_xlfn.TEXTJOIN("_",TRUE,questions[[#This Row],[origin]:[qno]])</f>
        <v>Kenya_Arabica_Nestle_2025_7101</v>
      </c>
      <c r="B1249" s="77" t="s">
        <v>818</v>
      </c>
      <c r="C1249" s="77" t="s">
        <v>59</v>
      </c>
      <c r="D1249" s="77" t="s">
        <v>819</v>
      </c>
      <c r="E1249" s="77">
        <v>2025</v>
      </c>
      <c r="F1249" s="105" t="s">
        <v>336</v>
      </c>
      <c r="G1249" s="78" t="s">
        <v>337</v>
      </c>
      <c r="H1249" s="9" t="str" cm="1">
        <f t="array" ref="H1249">INDEX(stableR[question],MATCH(VALUE(questions[[#This Row],[qno]]),VALUE(stableR[qno]),0))</f>
        <v>If so, what is the % or proportion of your coffee plots using mulching and/or cover crops?</v>
      </c>
      <c r="I1249" s="9" t="b" cm="1">
        <f t="array" ref="I1249">INDEX(stable[is_fixed],MATCH(VALUE(questions[[#This Row],[qno]]),VALUE(stable[qno]),0))</f>
        <v>1</v>
      </c>
      <c r="J1249" s="9" t="b" cm="1">
        <f t="array" ref="J1249">INDEX(stable[is_localized],MATCH(VALUE(questions[[#This Row],[qno]]),VALUE(stable[qno]),0))</f>
        <v>0</v>
      </c>
      <c r="K1249" s="9" t="b" cm="1">
        <f t="array" ref="K1249">INDEX(stable[is_supply_chain_dependent],MATCH(VALUE(questions[[#This Row],[qno]]),VALUE(stable[qno]),0))</f>
        <v>0</v>
      </c>
      <c r="L1249" s="9" t="b" cm="1">
        <f t="array" ref="L1249">INDEX(stable[is_mandatory],MATCH(VALUE(questions[[#This Row],[qno]]),VALUE(stable[qno]),0))</f>
        <v>0</v>
      </c>
      <c r="M1249" s="9" t="b" cm="1">
        <f t="array" ref="M1249">INDEX(stable[is_automated],MATCH(VALUE(questions[[#This Row],[qno]]),VALUE(stable[qno]),0))</f>
        <v>0</v>
      </c>
      <c r="N1249" s="9" t="b" cm="1">
        <f t="array" ref="N1249">INDEX(stable[is_free_text],MATCH(VALUE(questions[[#This Row],[qno]]),VALUE(stable[qno]),0))</f>
        <v>0</v>
      </c>
      <c r="O1249" s="9" t="b" cm="1">
        <f t="array" ref="O1249">INDEX(stable[is_numerical],MATCH(VALUE(questions[[#This Row],[qno]]),VALUE(stable[qno]),0))</f>
        <v>0</v>
      </c>
      <c r="P1249" s="77" t="b" cm="1">
        <f t="array" ref="P1249">INDEX(stable[is_single_select],MATCH(VALUE(questions[[#This Row],[qno]]),VALUE(stable[qno]),0))</f>
        <v>1</v>
      </c>
      <c r="Q1249" s="77" t="b" cm="1">
        <f t="array" ref="Q1249">INDEX(stable[is_multi_select],MATCH(VALUE(questions[[#This Row],[qno]]),VALUE(stable[qno]),0))</f>
        <v>0</v>
      </c>
      <c r="R1249" s="77" t="b" cm="1">
        <f t="array" ref="R1249">INDEX(stable[is_skip_logic],MATCH(VALUE(questions[[#This Row],[qno]]),VALUE(stable[qno]),0))</f>
        <v>1</v>
      </c>
      <c r="S1249" s="77" t="str">
        <f>_xlfn.TEXTJOIN(", ",TRUE,questions[[#This Row],[ans_opt_1]:[ans_opt_14]])</f>
        <v>1% to 25% - little to a quarter, 26% to 50% - less than half, 51% to 75% - more than half, 76% to 100% - almost all</v>
      </c>
      <c r="T1249" s="77" t="s">
        <v>338</v>
      </c>
      <c r="U1249" s="77" t="s">
        <v>339</v>
      </c>
      <c r="V1249" s="77" t="s">
        <v>340</v>
      </c>
      <c r="W1249" s="77" t="s">
        <v>341</v>
      </c>
      <c r="AH1249" s="98" t="b">
        <f>INDEX(stable[q_standard],MATCH(questions[[#This Row],[qno]],stable[qno],0))</f>
        <v>0</v>
      </c>
      <c r="AI1249" s="98" t="b">
        <f>INDEX(stable[q_living_income],MATCH(questions[[#This Row],[qno]],stable[qno],0))</f>
        <v>0</v>
      </c>
      <c r="AJ1249" s="98" t="b">
        <f>INDEX(stable[q_carbon],MATCH(questions[[#This Row],[qno]],stable[qno],0))</f>
        <v>0</v>
      </c>
      <c r="AK1249" s="98" t="b">
        <f>INDEX(stable[q_regen_ag],MATCH(questions[[#This Row],[qno]],stable[qno],0))</f>
        <v>1</v>
      </c>
      <c r="AL1249" s="98" t="b">
        <f>COUNTIFS(stable[qno],questions[[#This Row],[qno]])=1</f>
        <v>1</v>
      </c>
      <c r="AM1249" s="98" t="b">
        <f>OR(questions[[#This Row],[is_fixed]],questions[[#This Row],[is_localized]],questions[[#This Row],[is_supply_chain_dependent]])</f>
        <v>1</v>
      </c>
      <c r="AN1249" s="98" t="b">
        <f>COUNTIFS(questions[[#This Row],[is_automated]:[is_multi_select]],TRUE)=1</f>
        <v>1</v>
      </c>
      <c r="AO1249" s="98" t="b">
        <f>IF(questions[[#This Row],[is_fixed]],questions[[#This Row],[question]]=INDEX(stable[question],MATCH(questions[[#This Row],[qno]],stable[qno],0)),TRUE)</f>
        <v>1</v>
      </c>
      <c r="AP1249" s="98" t="str">
        <f>LEFT(questions[[#This Row],[question]],similarity_range)</f>
        <v>If so, what is the %</v>
      </c>
      <c r="AQ1249" s="98" t="str">
        <f>LEFT(INDEX(stable[question],MATCH(questions[[#This Row],[qno]],stable[qno],0)),similarity_range)</f>
        <v>If so, what is the %</v>
      </c>
      <c r="AR1249" s="98" t="b">
        <f>questions[[#This Row],[question_first_characters]]=questions[[#This Row],[stability_first_characters]]</f>
        <v>1</v>
      </c>
      <c r="AS1249" s="98" t="b">
        <f>IF(OR(questions[[#This Row],[is_single_select]],questions[[#This Row],[is_multi_select]]),NOT(ISBLANK(questions[[#This Row],[answer_opt_combined]])),TRUE)</f>
        <v>1</v>
      </c>
    </row>
    <row r="1250" spans="1:45" s="77" customFormat="1" ht="15.75" customHeight="1" x14ac:dyDescent="0.25">
      <c r="A1250" s="77" t="str">
        <f>_xlfn.TEXTJOIN("_",TRUE,questions[[#This Row],[origin]:[qno]])</f>
        <v>Kenya_Arabica_Nestle_2025_7102</v>
      </c>
      <c r="B1250" s="77" t="s">
        <v>818</v>
      </c>
      <c r="C1250" s="77" t="s">
        <v>59</v>
      </c>
      <c r="D1250" s="77" t="s">
        <v>819</v>
      </c>
      <c r="E1250" s="77">
        <v>2025</v>
      </c>
      <c r="F1250" s="105" t="s">
        <v>342</v>
      </c>
      <c r="G1250" s="78" t="s">
        <v>861</v>
      </c>
      <c r="H1250" s="9" t="str" cm="1">
        <f t="array" ref="H1250">INDEX(stableR[question],MATCH(VALUE(questions[[#This Row],[qno]]),VALUE(stableR[qno]),0))</f>
        <v>And for how many months per year?</v>
      </c>
      <c r="I1250" s="9" t="b" cm="1">
        <f t="array" ref="I1250">INDEX(stable[is_fixed],MATCH(VALUE(questions[[#This Row],[qno]]),VALUE(stable[qno]),0))</f>
        <v>1</v>
      </c>
      <c r="J1250" s="9" t="b" cm="1">
        <f t="array" ref="J1250">INDEX(stable[is_localized],MATCH(VALUE(questions[[#This Row],[qno]]),VALUE(stable[qno]),0))</f>
        <v>0</v>
      </c>
      <c r="K1250" s="9" t="b" cm="1">
        <f t="array" ref="K1250">INDEX(stable[is_supply_chain_dependent],MATCH(VALUE(questions[[#This Row],[qno]]),VALUE(stable[qno]),0))</f>
        <v>0</v>
      </c>
      <c r="L1250" s="9" t="b" cm="1">
        <f t="array" ref="L1250">INDEX(stable[is_mandatory],MATCH(VALUE(questions[[#This Row],[qno]]),VALUE(stable[qno]),0))</f>
        <v>0</v>
      </c>
      <c r="M1250" s="9" t="b" cm="1">
        <f t="array" ref="M1250">INDEX(stable[is_automated],MATCH(VALUE(questions[[#This Row],[qno]]),VALUE(stable[qno]),0))</f>
        <v>0</v>
      </c>
      <c r="N1250" s="9" t="b" cm="1">
        <f t="array" ref="N1250">INDEX(stable[is_free_text],MATCH(VALUE(questions[[#This Row],[qno]]),VALUE(stable[qno]),0))</f>
        <v>0</v>
      </c>
      <c r="O1250" s="9" t="b" cm="1">
        <f t="array" ref="O1250">INDEX(stable[is_numerical],MATCH(VALUE(questions[[#This Row],[qno]]),VALUE(stable[qno]),0))</f>
        <v>0</v>
      </c>
      <c r="P1250" s="77" t="b" cm="1">
        <f t="array" ref="P1250">INDEX(stable[is_single_select],MATCH(VALUE(questions[[#This Row],[qno]]),VALUE(stable[qno]),0))</f>
        <v>1</v>
      </c>
      <c r="Q1250" s="77" t="b" cm="1">
        <f t="array" ref="Q1250">INDEX(stable[is_multi_select],MATCH(VALUE(questions[[#This Row],[qno]]),VALUE(stable[qno]),0))</f>
        <v>0</v>
      </c>
      <c r="R1250" s="77" t="b" cm="1">
        <f t="array" ref="R1250">INDEX(stable[is_skip_logic],MATCH(VALUE(questions[[#This Row],[qno]]),VALUE(stable[qno]),0))</f>
        <v>1</v>
      </c>
      <c r="S1250" s="77" t="str">
        <f>_xlfn.TEXTJOIN(", ",TRUE,questions[[#This Row],[ans_opt_1]:[ans_opt_14]])</f>
        <v>&lt;6 months, 6-8 months, &gt;8 months</v>
      </c>
      <c r="T1250" s="77" t="s">
        <v>344</v>
      </c>
      <c r="U1250" s="77" t="s">
        <v>345</v>
      </c>
      <c r="V1250" s="77" t="s">
        <v>346</v>
      </c>
      <c r="AH1250" s="98" t="b">
        <f>INDEX(stable[q_standard],MATCH(questions[[#This Row],[qno]],stable[qno],0))</f>
        <v>0</v>
      </c>
      <c r="AI1250" s="98" t="b">
        <f>INDEX(stable[q_living_income],MATCH(questions[[#This Row],[qno]],stable[qno],0))</f>
        <v>0</v>
      </c>
      <c r="AJ1250" s="98" t="b">
        <f>INDEX(stable[q_carbon],MATCH(questions[[#This Row],[qno]],stable[qno],0))</f>
        <v>0</v>
      </c>
      <c r="AK1250" s="98" t="b">
        <f>INDEX(stable[q_regen_ag],MATCH(questions[[#This Row],[qno]],stable[qno],0))</f>
        <v>1</v>
      </c>
      <c r="AL1250" s="98" t="b">
        <f>COUNTIFS(stable[qno],questions[[#This Row],[qno]])=1</f>
        <v>1</v>
      </c>
      <c r="AM1250" s="98" t="b">
        <f>OR(questions[[#This Row],[is_fixed]],questions[[#This Row],[is_localized]],questions[[#This Row],[is_supply_chain_dependent]])</f>
        <v>1</v>
      </c>
      <c r="AN1250" s="98" t="b">
        <f>COUNTIFS(questions[[#This Row],[is_automated]:[is_multi_select]],TRUE)=1</f>
        <v>1</v>
      </c>
      <c r="AO1250" s="98" t="b">
        <f>IF(questions[[#This Row],[is_fixed]],questions[[#This Row],[question]]=INDEX(stable[question],MATCH(questions[[#This Row],[qno]],stable[qno],0)),TRUE)</f>
        <v>1</v>
      </c>
      <c r="AP1250" s="98" t="str">
        <f>LEFT(questions[[#This Row],[question]],similarity_range)</f>
        <v>And for how many mon</v>
      </c>
      <c r="AQ1250" s="98" t="str">
        <f>LEFT(INDEX(stable[question],MATCH(questions[[#This Row],[qno]],stable[qno],0)),similarity_range)</f>
        <v>And for how many mon</v>
      </c>
      <c r="AR1250" s="98" t="b">
        <f>questions[[#This Row],[question_first_characters]]=questions[[#This Row],[stability_first_characters]]</f>
        <v>1</v>
      </c>
      <c r="AS1250" s="98" t="b">
        <f>IF(OR(questions[[#This Row],[is_single_select]],questions[[#This Row],[is_multi_select]]),NOT(ISBLANK(questions[[#This Row],[answer_opt_combined]])),TRUE)</f>
        <v>1</v>
      </c>
    </row>
    <row r="1251" spans="1:45" s="77" customFormat="1" ht="15.75" customHeight="1" x14ac:dyDescent="0.25">
      <c r="A1251" s="77" t="str">
        <f>_xlfn.TEXTJOIN("_",TRUE,questions[[#This Row],[origin]:[qno]])</f>
        <v>Kenya_Arabica_Nestle_2025_7113</v>
      </c>
      <c r="B1251" s="77" t="s">
        <v>818</v>
      </c>
      <c r="C1251" s="77" t="s">
        <v>59</v>
      </c>
      <c r="D1251" s="77" t="s">
        <v>819</v>
      </c>
      <c r="E1251" s="77">
        <v>2025</v>
      </c>
      <c r="F1251" s="105" t="s">
        <v>347</v>
      </c>
      <c r="G1251" s="78" t="s">
        <v>793</v>
      </c>
      <c r="H1251" s="9" t="str" cm="1">
        <f t="array" ref="H1251">INDEX(stableR[question],MATCH(VALUE(questions[[#This Row],[qno]]),VALUE(stableR[qno]),0))</f>
        <v>Does any area of your coffee plots have significative risk of water and/or wind erosion due to heavy rain or irrigation, terrain slope, strong winds during dry periods…? If the answer is NO, you do not need to answer the next 2 questions</v>
      </c>
      <c r="I1251" s="9" t="b" cm="1">
        <f t="array" ref="I1251">INDEX(stable[is_fixed],MATCH(VALUE(questions[[#This Row],[qno]]),VALUE(stable[qno]),0))</f>
        <v>1</v>
      </c>
      <c r="J1251" s="9" t="b" cm="1">
        <f t="array" ref="J1251">INDEX(stable[is_localized],MATCH(VALUE(questions[[#This Row],[qno]]),VALUE(stable[qno]),0))</f>
        <v>0</v>
      </c>
      <c r="K1251" s="9" t="b" cm="1">
        <f t="array" ref="K1251">INDEX(stable[is_supply_chain_dependent],MATCH(VALUE(questions[[#This Row],[qno]]),VALUE(stable[qno]),0))</f>
        <v>0</v>
      </c>
      <c r="L1251" s="9" t="b" cm="1">
        <f t="array" ref="L1251">INDEX(stable[is_mandatory],MATCH(VALUE(questions[[#This Row],[qno]]),VALUE(stable[qno]),0))</f>
        <v>1</v>
      </c>
      <c r="M1251" s="9" t="b" cm="1">
        <f t="array" ref="M1251">INDEX(stable[is_automated],MATCH(VALUE(questions[[#This Row],[qno]]),VALUE(stable[qno]),0))</f>
        <v>0</v>
      </c>
      <c r="N1251" s="9" t="b" cm="1">
        <f t="array" ref="N1251">INDEX(stable[is_free_text],MATCH(VALUE(questions[[#This Row],[qno]]),VALUE(stable[qno]),0))</f>
        <v>0</v>
      </c>
      <c r="O1251" s="9" t="b" cm="1">
        <f t="array" ref="O1251">INDEX(stable[is_numerical],MATCH(VALUE(questions[[#This Row],[qno]]),VALUE(stable[qno]),0))</f>
        <v>0</v>
      </c>
      <c r="P1251" s="77" t="b" cm="1">
        <f t="array" ref="P1251">INDEX(stable[is_single_select],MATCH(VALUE(questions[[#This Row],[qno]]),VALUE(stable[qno]),0))</f>
        <v>1</v>
      </c>
      <c r="Q1251" s="77" t="b" cm="1">
        <f t="array" ref="Q1251">INDEX(stable[is_multi_select],MATCH(VALUE(questions[[#This Row],[qno]]),VALUE(stable[qno]),0))</f>
        <v>0</v>
      </c>
      <c r="R1251" s="77" t="b" cm="1">
        <f t="array" ref="R1251">INDEX(stable[is_skip_logic],MATCH(VALUE(questions[[#This Row],[qno]]),VALUE(stable[qno]),0))</f>
        <v>1</v>
      </c>
      <c r="S1251" s="77" t="str">
        <f>_xlfn.TEXTJOIN(", ",TRUE,questions[[#This Row],[ans_opt_1]:[ans_opt_14]])</f>
        <v>Yes, No</v>
      </c>
      <c r="T1251" s="77" t="s">
        <v>149</v>
      </c>
      <c r="U1251" s="77" t="s">
        <v>119</v>
      </c>
      <c r="AH1251" s="98" t="b">
        <f>INDEX(stable[q_standard],MATCH(questions[[#This Row],[qno]],stable[qno],0))</f>
        <v>0</v>
      </c>
      <c r="AI1251" s="98" t="b">
        <f>INDEX(stable[q_living_income],MATCH(questions[[#This Row],[qno]],stable[qno],0))</f>
        <v>0</v>
      </c>
      <c r="AJ1251" s="98" t="b">
        <f>INDEX(stable[q_carbon],MATCH(questions[[#This Row],[qno]],stable[qno],0))</f>
        <v>0</v>
      </c>
      <c r="AK1251" s="98" t="b">
        <f>INDEX(stable[q_regen_ag],MATCH(questions[[#This Row],[qno]],stable[qno],0))</f>
        <v>1</v>
      </c>
      <c r="AL1251" s="98" t="b">
        <f>COUNTIFS(stable[qno],questions[[#This Row],[qno]])=1</f>
        <v>1</v>
      </c>
      <c r="AM1251" s="98" t="b">
        <f>OR(questions[[#This Row],[is_fixed]],questions[[#This Row],[is_localized]],questions[[#This Row],[is_supply_chain_dependent]])</f>
        <v>1</v>
      </c>
      <c r="AN1251" s="98" t="b">
        <f>COUNTIFS(questions[[#This Row],[is_automated]:[is_multi_select]],TRUE)=1</f>
        <v>1</v>
      </c>
      <c r="AO1251" s="98" t="b">
        <f>IF(questions[[#This Row],[is_fixed]],questions[[#This Row],[question]]=INDEX(stable[question],MATCH(questions[[#This Row],[qno]],stable[qno],0)),TRUE)</f>
        <v>0</v>
      </c>
      <c r="AP1251" s="98" t="str">
        <f>LEFT(questions[[#This Row],[question]],similarity_range)</f>
        <v>Does any area of you</v>
      </c>
      <c r="AQ1251" s="98" t="str">
        <f>LEFT(INDEX(stable[question],MATCH(questions[[#This Row],[qno]],stable[qno],0)),similarity_range)</f>
        <v>Does any area of you</v>
      </c>
      <c r="AR1251" s="98" t="b">
        <f>questions[[#This Row],[question_first_characters]]=questions[[#This Row],[stability_first_characters]]</f>
        <v>1</v>
      </c>
      <c r="AS1251" s="98" t="b">
        <f>IF(OR(questions[[#This Row],[is_single_select]],questions[[#This Row],[is_multi_select]]),NOT(ISBLANK(questions[[#This Row],[answer_opt_combined]])),TRUE)</f>
        <v>1</v>
      </c>
    </row>
    <row r="1252" spans="1:45" s="77" customFormat="1" ht="15.75" customHeight="1" x14ac:dyDescent="0.25">
      <c r="A1252" s="77" t="str">
        <f>_xlfn.TEXTJOIN("_",TRUE,questions[[#This Row],[origin]:[qno]])</f>
        <v>Kenya_Arabica_Nestle_2025_7114</v>
      </c>
      <c r="B1252" s="77" t="s">
        <v>818</v>
      </c>
      <c r="C1252" s="77" t="s">
        <v>59</v>
      </c>
      <c r="D1252" s="77" t="s">
        <v>819</v>
      </c>
      <c r="E1252" s="77">
        <v>2025</v>
      </c>
      <c r="F1252" s="105" t="s">
        <v>349</v>
      </c>
      <c r="G1252" s="78" t="s">
        <v>794</v>
      </c>
      <c r="H1252" s="9" t="str" cm="1">
        <f t="array" ref="H1252">INDEX(stableR[question],MATCH(VALUE(questions[[#This Row],[qno]]),VALUE(stableR[qno]),0))</f>
        <v xml:space="preserve">If there is erosion risk, do you implement anti-erosion measures/control (e.g. trenches, terracing, windbreaks, soil coverage/mulching, bunds, contour planting…)? </v>
      </c>
      <c r="I1252" s="9" t="b" cm="1">
        <f t="array" ref="I1252">INDEX(stable[is_fixed],MATCH(VALUE(questions[[#This Row],[qno]]),VALUE(stable[qno]),0))</f>
        <v>1</v>
      </c>
      <c r="J1252" s="9" t="b" cm="1">
        <f t="array" ref="J1252">INDEX(stable[is_localized],MATCH(VALUE(questions[[#This Row],[qno]]),VALUE(stable[qno]),0))</f>
        <v>0</v>
      </c>
      <c r="K1252" s="9" t="b" cm="1">
        <f t="array" ref="K1252">INDEX(stable[is_supply_chain_dependent],MATCH(VALUE(questions[[#This Row],[qno]]),VALUE(stable[qno]),0))</f>
        <v>0</v>
      </c>
      <c r="L1252" s="9" t="b" cm="1">
        <f t="array" ref="L1252">INDEX(stable[is_mandatory],MATCH(VALUE(questions[[#This Row],[qno]]),VALUE(stable[qno]),0))</f>
        <v>0</v>
      </c>
      <c r="M1252" s="9" t="b" cm="1">
        <f t="array" ref="M1252">INDEX(stable[is_automated],MATCH(VALUE(questions[[#This Row],[qno]]),VALUE(stable[qno]),0))</f>
        <v>0</v>
      </c>
      <c r="N1252" s="9" t="b" cm="1">
        <f t="array" ref="N1252">INDEX(stable[is_free_text],MATCH(VALUE(questions[[#This Row],[qno]]),VALUE(stable[qno]),0))</f>
        <v>0</v>
      </c>
      <c r="O1252" s="9" t="b" cm="1">
        <f t="array" ref="O1252">INDEX(stable[is_numerical],MATCH(VALUE(questions[[#This Row],[qno]]),VALUE(stable[qno]),0))</f>
        <v>0</v>
      </c>
      <c r="P1252" s="77" t="b" cm="1">
        <f t="array" ref="P1252">INDEX(stable[is_single_select],MATCH(VALUE(questions[[#This Row],[qno]]),VALUE(stable[qno]),0))</f>
        <v>1</v>
      </c>
      <c r="Q1252" s="77" t="b" cm="1">
        <f t="array" ref="Q1252">INDEX(stable[is_multi_select],MATCH(VALUE(questions[[#This Row],[qno]]),VALUE(stable[qno]),0))</f>
        <v>0</v>
      </c>
      <c r="R1252" s="77" t="b" cm="1">
        <f t="array" ref="R1252">INDEX(stable[is_skip_logic],MATCH(VALUE(questions[[#This Row],[qno]]),VALUE(stable[qno]),0))</f>
        <v>1</v>
      </c>
      <c r="S1252" s="77" t="str">
        <f>_xlfn.TEXTJOIN(", ",TRUE,questions[[#This Row],[ans_opt_1]:[ans_opt_14]])</f>
        <v>No, Yes-Terracing, Yes-Trenches, Yes-Windbreaks, Yes-Mulching, Yes-Cover Crops, Yes-Water dykes, Yes-Contour Planting, Yes-A combination of previous practices, Yes-Other practices</v>
      </c>
      <c r="T1252" s="77" t="s">
        <v>119</v>
      </c>
      <c r="U1252" s="77" t="s">
        <v>351</v>
      </c>
      <c r="V1252" s="77" t="s">
        <v>352</v>
      </c>
      <c r="W1252" s="77" t="s">
        <v>353</v>
      </c>
      <c r="X1252" s="77" t="s">
        <v>354</v>
      </c>
      <c r="Y1252" s="77" t="s">
        <v>355</v>
      </c>
      <c r="Z1252" s="77" t="s">
        <v>356</v>
      </c>
      <c r="AA1252" s="77" t="s">
        <v>357</v>
      </c>
      <c r="AB1252" s="77" t="s">
        <v>358</v>
      </c>
      <c r="AC1252" s="77" t="s">
        <v>359</v>
      </c>
      <c r="AH1252" s="98" t="b">
        <f>INDEX(stable[q_standard],MATCH(questions[[#This Row],[qno]],stable[qno],0))</f>
        <v>0</v>
      </c>
      <c r="AI1252" s="98" t="b">
        <f>INDEX(stable[q_living_income],MATCH(questions[[#This Row],[qno]],stable[qno],0))</f>
        <v>0</v>
      </c>
      <c r="AJ1252" s="98" t="b">
        <f>INDEX(stable[q_carbon],MATCH(questions[[#This Row],[qno]],stable[qno],0))</f>
        <v>0</v>
      </c>
      <c r="AK1252" s="98" t="b">
        <f>INDEX(stable[q_regen_ag],MATCH(questions[[#This Row],[qno]],stable[qno],0))</f>
        <v>1</v>
      </c>
      <c r="AL1252" s="98" t="b">
        <f>COUNTIFS(stable[qno],questions[[#This Row],[qno]])=1</f>
        <v>1</v>
      </c>
      <c r="AM1252" s="98" t="b">
        <f>OR(questions[[#This Row],[is_fixed]],questions[[#This Row],[is_localized]],questions[[#This Row],[is_supply_chain_dependent]])</f>
        <v>1</v>
      </c>
      <c r="AN1252" s="98" t="b">
        <f>COUNTIFS(questions[[#This Row],[is_automated]:[is_multi_select]],TRUE)=1</f>
        <v>1</v>
      </c>
      <c r="AO1252" s="98" t="b">
        <f>IF(questions[[#This Row],[is_fixed]],questions[[#This Row],[question]]=INDEX(stable[question],MATCH(questions[[#This Row],[qno]],stable[qno],0)),TRUE)</f>
        <v>0</v>
      </c>
      <c r="AP1252" s="98" t="str">
        <f>LEFT(questions[[#This Row],[question]],similarity_range)</f>
        <v xml:space="preserve">If there is erosion </v>
      </c>
      <c r="AQ1252" s="98" t="str">
        <f>LEFT(INDEX(stable[question],MATCH(questions[[#This Row],[qno]],stable[qno],0)),similarity_range)</f>
        <v xml:space="preserve">If there is erosion </v>
      </c>
      <c r="AR1252" s="98" t="b">
        <f>questions[[#This Row],[question_first_characters]]=questions[[#This Row],[stability_first_characters]]</f>
        <v>1</v>
      </c>
      <c r="AS1252" s="98" t="b">
        <f>IF(OR(questions[[#This Row],[is_single_select]],questions[[#This Row],[is_multi_select]]),NOT(ISBLANK(questions[[#This Row],[answer_opt_combined]])),TRUE)</f>
        <v>1</v>
      </c>
    </row>
    <row r="1253" spans="1:45" s="77" customFormat="1" ht="15.75" customHeight="1" x14ac:dyDescent="0.25">
      <c r="A1253" s="77" t="str">
        <f>_xlfn.TEXTJOIN("_",TRUE,questions[[#This Row],[origin]:[qno]])</f>
        <v>Kenya_Arabica_Nestle_2025_7115</v>
      </c>
      <c r="B1253" s="77" t="s">
        <v>818</v>
      </c>
      <c r="C1253" s="77" t="s">
        <v>59</v>
      </c>
      <c r="D1253" s="77" t="s">
        <v>819</v>
      </c>
      <c r="E1253" s="77">
        <v>2025</v>
      </c>
      <c r="F1253" s="105" t="s">
        <v>360</v>
      </c>
      <c r="G1253" s="78" t="s">
        <v>361</v>
      </c>
      <c r="H1253" s="9" t="str" cm="1">
        <f t="array" ref="H1253">INDEX(stableR[question],MATCH(VALUE(questions[[#This Row],[qno]]),VALUE(stableR[qno]),0))</f>
        <v>Of the area of your coffee plots with risk of erosion, can you estimate the % or proportion of that area to which you apply anti-erosion measures/control?</v>
      </c>
      <c r="I1253" s="9" t="b" cm="1">
        <f t="array" ref="I1253">INDEX(stable[is_fixed],MATCH(VALUE(questions[[#This Row],[qno]]),VALUE(stable[qno]),0))</f>
        <v>1</v>
      </c>
      <c r="J1253" s="9" t="b" cm="1">
        <f t="array" ref="J1253">INDEX(stable[is_localized],MATCH(VALUE(questions[[#This Row],[qno]]),VALUE(stable[qno]),0))</f>
        <v>0</v>
      </c>
      <c r="K1253" s="9" t="b" cm="1">
        <f t="array" ref="K1253">INDEX(stable[is_supply_chain_dependent],MATCH(VALUE(questions[[#This Row],[qno]]),VALUE(stable[qno]),0))</f>
        <v>0</v>
      </c>
      <c r="L1253" s="9" t="b" cm="1">
        <f t="array" ref="L1253">INDEX(stable[is_mandatory],MATCH(VALUE(questions[[#This Row],[qno]]),VALUE(stable[qno]),0))</f>
        <v>0</v>
      </c>
      <c r="M1253" s="9" t="b" cm="1">
        <f t="array" ref="M1253">INDEX(stable[is_automated],MATCH(VALUE(questions[[#This Row],[qno]]),VALUE(stable[qno]),0))</f>
        <v>0</v>
      </c>
      <c r="N1253" s="9" t="b" cm="1">
        <f t="array" ref="N1253">INDEX(stable[is_free_text],MATCH(VALUE(questions[[#This Row],[qno]]),VALUE(stable[qno]),0))</f>
        <v>0</v>
      </c>
      <c r="O1253" s="9" t="b" cm="1">
        <f t="array" ref="O1253">INDEX(stable[is_numerical],MATCH(VALUE(questions[[#This Row],[qno]]),VALUE(stable[qno]),0))</f>
        <v>0</v>
      </c>
      <c r="P1253" s="77" t="b" cm="1">
        <f t="array" ref="P1253">INDEX(stable[is_single_select],MATCH(VALUE(questions[[#This Row],[qno]]),VALUE(stable[qno]),0))</f>
        <v>1</v>
      </c>
      <c r="Q1253" s="77" t="b" cm="1">
        <f t="array" ref="Q1253">INDEX(stable[is_multi_select],MATCH(VALUE(questions[[#This Row],[qno]]),VALUE(stable[qno]),0))</f>
        <v>0</v>
      </c>
      <c r="R1253" s="77" t="b" cm="1">
        <f t="array" ref="R1253">INDEX(stable[is_skip_logic],MATCH(VALUE(questions[[#This Row],[qno]]),VALUE(stable[qno]),0))</f>
        <v>1</v>
      </c>
      <c r="S1253" s="77" t="str">
        <f>_xlfn.TEXTJOIN(", ",TRUE,questions[[#This Row],[ans_opt_1]:[ans_opt_14]])</f>
        <v>0% - none, 1% to 25% - little to a quarter, 26% to 50% - less than half, 51% to 75% - more than half, 76% to 100% - almost all</v>
      </c>
      <c r="T1253" s="77" t="s">
        <v>362</v>
      </c>
      <c r="U1253" s="77" t="s">
        <v>338</v>
      </c>
      <c r="V1253" s="77" t="s">
        <v>339</v>
      </c>
      <c r="W1253" s="77" t="s">
        <v>340</v>
      </c>
      <c r="X1253" s="77" t="s">
        <v>341</v>
      </c>
      <c r="AH1253" s="98" t="b">
        <f>INDEX(stable[q_standard],MATCH(questions[[#This Row],[qno]],stable[qno],0))</f>
        <v>0</v>
      </c>
      <c r="AI1253" s="98" t="b">
        <f>INDEX(stable[q_living_income],MATCH(questions[[#This Row],[qno]],stable[qno],0))</f>
        <v>0</v>
      </c>
      <c r="AJ1253" s="98" t="b">
        <f>INDEX(stable[q_carbon],MATCH(questions[[#This Row],[qno]],stable[qno],0))</f>
        <v>0</v>
      </c>
      <c r="AK1253" s="98" t="b">
        <f>INDEX(stable[q_regen_ag],MATCH(questions[[#This Row],[qno]],stable[qno],0))</f>
        <v>1</v>
      </c>
      <c r="AL1253" s="98" t="b">
        <f>COUNTIFS(stable[qno],questions[[#This Row],[qno]])=1</f>
        <v>1</v>
      </c>
      <c r="AM1253" s="98" t="b">
        <f>OR(questions[[#This Row],[is_fixed]],questions[[#This Row],[is_localized]],questions[[#This Row],[is_supply_chain_dependent]])</f>
        <v>1</v>
      </c>
      <c r="AN1253" s="98" t="b">
        <f>COUNTIFS(questions[[#This Row],[is_automated]:[is_multi_select]],TRUE)=1</f>
        <v>1</v>
      </c>
      <c r="AO1253" s="98" t="b">
        <f>IF(questions[[#This Row],[is_fixed]],questions[[#This Row],[question]]=INDEX(stable[question],MATCH(questions[[#This Row],[qno]],stable[qno],0)),TRUE)</f>
        <v>1</v>
      </c>
      <c r="AP1253" s="98" t="str">
        <f>LEFT(questions[[#This Row],[question]],similarity_range)</f>
        <v xml:space="preserve">Of the area of your </v>
      </c>
      <c r="AQ1253" s="98" t="str">
        <f>LEFT(INDEX(stable[question],MATCH(questions[[#This Row],[qno]],stable[qno],0)),similarity_range)</f>
        <v xml:space="preserve">Of the area of your </v>
      </c>
      <c r="AR1253" s="98" t="b">
        <f>questions[[#This Row],[question_first_characters]]=questions[[#This Row],[stability_first_characters]]</f>
        <v>1</v>
      </c>
      <c r="AS1253" s="98" t="b">
        <f>IF(OR(questions[[#This Row],[is_single_select]],questions[[#This Row],[is_multi_select]]),NOT(ISBLANK(questions[[#This Row],[answer_opt_combined]])),TRUE)</f>
        <v>1</v>
      </c>
    </row>
    <row r="1254" spans="1:45" s="77" customFormat="1" ht="15.75" customHeight="1" x14ac:dyDescent="0.25">
      <c r="A1254" s="77" t="str">
        <f>_xlfn.TEXTJOIN("_",TRUE,questions[[#This Row],[origin]:[qno]])</f>
        <v>Kenya_Arabica_Nestle_2025_7126</v>
      </c>
      <c r="B1254" s="77" t="s">
        <v>818</v>
      </c>
      <c r="C1254" s="77" t="s">
        <v>59</v>
      </c>
      <c r="D1254" s="77" t="s">
        <v>819</v>
      </c>
      <c r="E1254" s="77">
        <v>2025</v>
      </c>
      <c r="F1254" s="105" t="s">
        <v>363</v>
      </c>
      <c r="G1254" s="78" t="s">
        <v>364</v>
      </c>
      <c r="H1254" s="9" t="str" cm="1">
        <f t="array" ref="H1254">INDEX(stableR[question],MATCH(VALUE(questions[[#This Row],[qno]]),VALUE(stableR[qno]),0))</f>
        <v>Do you take soil samples and carry out soil analysis of your coffee plots and how often?</v>
      </c>
      <c r="I1254" s="9" t="b" cm="1">
        <f t="array" ref="I1254">INDEX(stable[is_fixed],MATCH(VALUE(questions[[#This Row],[qno]]),VALUE(stable[qno]),0))</f>
        <v>1</v>
      </c>
      <c r="J1254" s="9" t="b" cm="1">
        <f t="array" ref="J1254">INDEX(stable[is_localized],MATCH(VALUE(questions[[#This Row],[qno]]),VALUE(stable[qno]),0))</f>
        <v>0</v>
      </c>
      <c r="K1254" s="9" t="b" cm="1">
        <f t="array" ref="K1254">INDEX(stable[is_supply_chain_dependent],MATCH(VALUE(questions[[#This Row],[qno]]),VALUE(stable[qno]),0))</f>
        <v>0</v>
      </c>
      <c r="L1254" s="9" t="b" cm="1">
        <f t="array" ref="L1254">INDEX(stable[is_mandatory],MATCH(VALUE(questions[[#This Row],[qno]]),VALUE(stable[qno]),0))</f>
        <v>1</v>
      </c>
      <c r="M1254" s="9" t="b" cm="1">
        <f t="array" ref="M1254">INDEX(stable[is_automated],MATCH(VALUE(questions[[#This Row],[qno]]),VALUE(stable[qno]),0))</f>
        <v>0</v>
      </c>
      <c r="N1254" s="9" t="b" cm="1">
        <f t="array" ref="N1254">INDEX(stable[is_free_text],MATCH(VALUE(questions[[#This Row],[qno]]),VALUE(stable[qno]),0))</f>
        <v>0</v>
      </c>
      <c r="O1254" s="9" t="b" cm="1">
        <f t="array" ref="O1254">INDEX(stable[is_numerical],MATCH(VALUE(questions[[#This Row],[qno]]),VALUE(stable[qno]),0))</f>
        <v>0</v>
      </c>
      <c r="P1254" s="77" t="b" cm="1">
        <f t="array" ref="P1254">INDEX(stable[is_single_select],MATCH(VALUE(questions[[#This Row],[qno]]),VALUE(stable[qno]),0))</f>
        <v>1</v>
      </c>
      <c r="Q1254" s="77" t="b" cm="1">
        <f t="array" ref="Q1254">INDEX(stable[is_multi_select],MATCH(VALUE(questions[[#This Row],[qno]]),VALUE(stable[qno]),0))</f>
        <v>0</v>
      </c>
      <c r="R1254" s="77" t="b" cm="1">
        <f t="array" ref="R1254">INDEX(stable[is_skip_logic],MATCH(VALUE(questions[[#This Row],[qno]]),VALUE(stable[qno]),0))</f>
        <v>1</v>
      </c>
      <c r="S1254" s="77" t="str">
        <f>_xlfn.TEXTJOIN(", ",TRUE,questions[[#This Row],[ans_opt_1]:[ans_opt_14]])</f>
        <v>No, Yes-every year, Yes-every 2 years, Yes-every 3 years, Yes-every &gt; 3 years</v>
      </c>
      <c r="T1254" s="77" t="s">
        <v>119</v>
      </c>
      <c r="U1254" s="77" t="s">
        <v>365</v>
      </c>
      <c r="V1254" s="77" t="s">
        <v>366</v>
      </c>
      <c r="W1254" s="77" t="s">
        <v>367</v>
      </c>
      <c r="X1254" s="77" t="s">
        <v>368</v>
      </c>
      <c r="AH1254" s="98" t="b">
        <f>INDEX(stable[q_standard],MATCH(questions[[#This Row],[qno]],stable[qno],0))</f>
        <v>0</v>
      </c>
      <c r="AI1254" s="98" t="b">
        <f>INDEX(stable[q_living_income],MATCH(questions[[#This Row],[qno]],stable[qno],0))</f>
        <v>0</v>
      </c>
      <c r="AJ1254" s="98" t="b">
        <f>INDEX(stable[q_carbon],MATCH(questions[[#This Row],[qno]],stable[qno],0))</f>
        <v>0</v>
      </c>
      <c r="AK1254" s="98" t="b">
        <f>INDEX(stable[q_regen_ag],MATCH(questions[[#This Row],[qno]],stable[qno],0))</f>
        <v>1</v>
      </c>
      <c r="AL1254" s="98" t="b">
        <f>COUNTIFS(stable[qno],questions[[#This Row],[qno]])=1</f>
        <v>1</v>
      </c>
      <c r="AM1254" s="98" t="b">
        <f>OR(questions[[#This Row],[is_fixed]],questions[[#This Row],[is_localized]],questions[[#This Row],[is_supply_chain_dependent]])</f>
        <v>1</v>
      </c>
      <c r="AN1254" s="98" t="b">
        <f>COUNTIFS(questions[[#This Row],[is_automated]:[is_multi_select]],TRUE)=1</f>
        <v>1</v>
      </c>
      <c r="AO1254" s="98" t="b">
        <f>IF(questions[[#This Row],[is_fixed]],questions[[#This Row],[question]]=INDEX(stable[question],MATCH(questions[[#This Row],[qno]],stable[qno],0)),TRUE)</f>
        <v>1</v>
      </c>
      <c r="AP1254" s="98" t="str">
        <f>LEFT(questions[[#This Row],[question]],similarity_range)</f>
        <v>Do you take soil sam</v>
      </c>
      <c r="AQ1254" s="98" t="str">
        <f>LEFT(INDEX(stable[question],MATCH(questions[[#This Row],[qno]],stable[qno],0)),similarity_range)</f>
        <v>Do you take soil sam</v>
      </c>
      <c r="AR1254" s="98" t="b">
        <f>questions[[#This Row],[question_first_characters]]=questions[[#This Row],[stability_first_characters]]</f>
        <v>1</v>
      </c>
      <c r="AS1254" s="98" t="b">
        <f>IF(OR(questions[[#This Row],[is_single_select]],questions[[#This Row],[is_multi_select]]),NOT(ISBLANK(questions[[#This Row],[answer_opt_combined]])),TRUE)</f>
        <v>1</v>
      </c>
    </row>
    <row r="1255" spans="1:45" s="77" customFormat="1" ht="15.75" customHeight="1" x14ac:dyDescent="0.25">
      <c r="A1255" s="77" t="str">
        <f>_xlfn.TEXTJOIN("_",TRUE,questions[[#This Row],[origin]:[qno]])</f>
        <v>Kenya_Arabica_Nestle_2025_7127</v>
      </c>
      <c r="B1255" s="77" t="s">
        <v>818</v>
      </c>
      <c r="C1255" s="77" t="s">
        <v>59</v>
      </c>
      <c r="D1255" s="77" t="s">
        <v>819</v>
      </c>
      <c r="E1255" s="77">
        <v>2025</v>
      </c>
      <c r="F1255" s="105" t="s">
        <v>369</v>
      </c>
      <c r="G1255" s="78" t="s">
        <v>370</v>
      </c>
      <c r="H1255" s="9" t="str" cm="1">
        <f t="array" ref="H1255">INDEX(stableR[question],MATCH(VALUE(questions[[#This Row],[qno]]),VALUE(stableR[qno]),0))</f>
        <v>If you don´t or last analysis is older than 3 years ago, do you know the basic characteristics of the soil of your coffee plots (e.g. pH-acidity, texture-light/medium/heavy, organic matter-high/good/poor, general fertility-good/average/poor...)?</v>
      </c>
      <c r="I1255" s="9" t="b" cm="1">
        <f t="array" ref="I1255">INDEX(stable[is_fixed],MATCH(VALUE(questions[[#This Row],[qno]]),VALUE(stable[qno]),0))</f>
        <v>1</v>
      </c>
      <c r="J1255" s="9" t="b" cm="1">
        <f t="array" ref="J1255">INDEX(stable[is_localized],MATCH(VALUE(questions[[#This Row],[qno]]),VALUE(stable[qno]),0))</f>
        <v>0</v>
      </c>
      <c r="K1255" s="9" t="b" cm="1">
        <f t="array" ref="K1255">INDEX(stable[is_supply_chain_dependent],MATCH(VALUE(questions[[#This Row],[qno]]),VALUE(stable[qno]),0))</f>
        <v>0</v>
      </c>
      <c r="L1255" s="9" t="b" cm="1">
        <f t="array" ref="L1255">INDEX(stable[is_mandatory],MATCH(VALUE(questions[[#This Row],[qno]]),VALUE(stable[qno]),0))</f>
        <v>0</v>
      </c>
      <c r="M1255" s="9" t="b" cm="1">
        <f t="array" ref="M1255">INDEX(stable[is_automated],MATCH(VALUE(questions[[#This Row],[qno]]),VALUE(stable[qno]),0))</f>
        <v>0</v>
      </c>
      <c r="N1255" s="9" t="b" cm="1">
        <f t="array" ref="N1255">INDEX(stable[is_free_text],MATCH(VALUE(questions[[#This Row],[qno]]),VALUE(stable[qno]),0))</f>
        <v>0</v>
      </c>
      <c r="O1255" s="9" t="b" cm="1">
        <f t="array" ref="O1255">INDEX(stable[is_numerical],MATCH(VALUE(questions[[#This Row],[qno]]),VALUE(stable[qno]),0))</f>
        <v>0</v>
      </c>
      <c r="P1255" s="77" t="b" cm="1">
        <f t="array" ref="P1255">INDEX(stable[is_single_select],MATCH(VALUE(questions[[#This Row],[qno]]),VALUE(stable[qno]),0))</f>
        <v>1</v>
      </c>
      <c r="Q1255" s="77" t="b" cm="1">
        <f t="array" ref="Q1255">INDEX(stable[is_multi_select],MATCH(VALUE(questions[[#This Row],[qno]]),VALUE(stable[qno]),0))</f>
        <v>0</v>
      </c>
      <c r="R1255" s="77" t="b" cm="1">
        <f t="array" ref="R1255">INDEX(stable[is_skip_logic],MATCH(VALUE(questions[[#This Row],[qno]]),VALUE(stable[qno]),0))</f>
        <v>1</v>
      </c>
      <c r="S1255" s="77" t="str">
        <f>_xlfn.TEXTJOIN(", ",TRUE,questions[[#This Row],[ans_opt_1]:[ans_opt_14]])</f>
        <v>Yes, No</v>
      </c>
      <c r="T1255" s="77" t="s">
        <v>149</v>
      </c>
      <c r="U1255" s="77" t="s">
        <v>119</v>
      </c>
      <c r="AH1255" s="98" t="b">
        <f>INDEX(stable[q_standard],MATCH(questions[[#This Row],[qno]],stable[qno],0))</f>
        <v>0</v>
      </c>
      <c r="AI1255" s="98" t="b">
        <f>INDEX(stable[q_living_income],MATCH(questions[[#This Row],[qno]],stable[qno],0))</f>
        <v>0</v>
      </c>
      <c r="AJ1255" s="98" t="b">
        <f>INDEX(stable[q_carbon],MATCH(questions[[#This Row],[qno]],stable[qno],0))</f>
        <v>0</v>
      </c>
      <c r="AK1255" s="98" t="b">
        <f>INDEX(stable[q_regen_ag],MATCH(questions[[#This Row],[qno]],stable[qno],0))</f>
        <v>1</v>
      </c>
      <c r="AL1255" s="98" t="b">
        <f>COUNTIFS(stable[qno],questions[[#This Row],[qno]])=1</f>
        <v>1</v>
      </c>
      <c r="AM1255" s="98" t="b">
        <f>OR(questions[[#This Row],[is_fixed]],questions[[#This Row],[is_localized]],questions[[#This Row],[is_supply_chain_dependent]])</f>
        <v>1</v>
      </c>
      <c r="AN1255" s="98" t="b">
        <f>COUNTIFS(questions[[#This Row],[is_automated]:[is_multi_select]],TRUE)=1</f>
        <v>1</v>
      </c>
      <c r="AO1255" s="98" t="b">
        <f>IF(questions[[#This Row],[is_fixed]],questions[[#This Row],[question]]=INDEX(stable[question],MATCH(questions[[#This Row],[qno]],stable[qno],0)),TRUE)</f>
        <v>1</v>
      </c>
      <c r="AP1255" s="98" t="str">
        <f>LEFT(questions[[#This Row],[question]],similarity_range)</f>
        <v>If you don´t or last</v>
      </c>
      <c r="AQ1255" s="98" t="str">
        <f>LEFT(INDEX(stable[question],MATCH(questions[[#This Row],[qno]],stable[qno],0)),similarity_range)</f>
        <v>If you don´t or last</v>
      </c>
      <c r="AR1255" s="98" t="b">
        <f>questions[[#This Row],[question_first_characters]]=questions[[#This Row],[stability_first_characters]]</f>
        <v>1</v>
      </c>
      <c r="AS1255" s="98" t="b">
        <f>IF(OR(questions[[#This Row],[is_single_select]],questions[[#This Row],[is_multi_select]]),NOT(ISBLANK(questions[[#This Row],[answer_opt_combined]])),TRUE)</f>
        <v>1</v>
      </c>
    </row>
    <row r="1256" spans="1:45" s="77" customFormat="1" ht="15.75" customHeight="1" x14ac:dyDescent="0.25">
      <c r="A1256" s="77" t="str">
        <f>_xlfn.TEXTJOIN("_",TRUE,questions[[#This Row],[origin]:[qno]])</f>
        <v>Kenya_Arabica_Nestle_2025_7128</v>
      </c>
      <c r="B1256" s="77" t="s">
        <v>818</v>
      </c>
      <c r="C1256" s="77" t="s">
        <v>59</v>
      </c>
      <c r="D1256" s="77" t="s">
        <v>819</v>
      </c>
      <c r="E1256" s="77">
        <v>2025</v>
      </c>
      <c r="F1256" s="105" t="s">
        <v>371</v>
      </c>
      <c r="G1256" s="78" t="s">
        <v>372</v>
      </c>
      <c r="H1256" s="9" t="str" cm="1">
        <f t="array" ref="H1256">INDEX(stableR[question],MATCH(VALUE(questions[[#This Row],[qno]]),VALUE(stableR[qno]),0))</f>
        <v>What is the most common system to determine the amount and/or the type of organic and synthetic fertilizers that you use in your coffee crop?</v>
      </c>
      <c r="I1256" s="9" t="b" cm="1">
        <f t="array" ref="I1256">INDEX(stable[is_fixed],MATCH(VALUE(questions[[#This Row],[qno]]),VALUE(stable[qno]),0))</f>
        <v>1</v>
      </c>
      <c r="J1256" s="9" t="b" cm="1">
        <f t="array" ref="J1256">INDEX(stable[is_localized],MATCH(VALUE(questions[[#This Row],[qno]]),VALUE(stable[qno]),0))</f>
        <v>0</v>
      </c>
      <c r="K1256" s="9" t="b" cm="1">
        <f t="array" ref="K1256">INDEX(stable[is_supply_chain_dependent],MATCH(VALUE(questions[[#This Row],[qno]]),VALUE(stable[qno]),0))</f>
        <v>0</v>
      </c>
      <c r="L1256" s="9" t="b" cm="1">
        <f t="array" ref="L1256">INDEX(stable[is_mandatory],MATCH(VALUE(questions[[#This Row],[qno]]),VALUE(stable[qno]),0))</f>
        <v>1</v>
      </c>
      <c r="M1256" s="9" t="b" cm="1">
        <f t="array" ref="M1256">INDEX(stable[is_automated],MATCH(VALUE(questions[[#This Row],[qno]]),VALUE(stable[qno]),0))</f>
        <v>0</v>
      </c>
      <c r="N1256" s="9" t="b" cm="1">
        <f t="array" ref="N1256">INDEX(stable[is_free_text],MATCH(VALUE(questions[[#This Row],[qno]]),VALUE(stable[qno]),0))</f>
        <v>0</v>
      </c>
      <c r="O1256" s="9" t="b" cm="1">
        <f t="array" ref="O1256">INDEX(stable[is_numerical],MATCH(VALUE(questions[[#This Row],[qno]]),VALUE(stable[qno]),0))</f>
        <v>0</v>
      </c>
      <c r="P1256" s="77" t="b" cm="1">
        <f t="array" ref="P1256">INDEX(stable[is_single_select],MATCH(VALUE(questions[[#This Row],[qno]]),VALUE(stable[qno]),0))</f>
        <v>1</v>
      </c>
      <c r="Q1256" s="77" t="b" cm="1">
        <f t="array" ref="Q1256">INDEX(stable[is_multi_select],MATCH(VALUE(questions[[#This Row],[qno]]),VALUE(stable[qno]),0))</f>
        <v>0</v>
      </c>
      <c r="R1256" s="77" t="b" cm="1">
        <f t="array" ref="R1256">INDEX(stable[is_skip_logic],MATCH(VALUE(questions[[#This Row],[qno]]),VALUE(stable[qno]),0))</f>
        <v>0</v>
      </c>
      <c r="S1256" s="77" t="str">
        <f>_xlfn.TEXTJOIN(", ",TRUE,questions[[#This Row],[ans_opt_1]:[ans_opt_14]])</f>
        <v>Based on my own judgment-experience, Based on what I can afford, I always use the same fertilization, Based on soil analysis or soil knowledge, Based on soil analysis or soil knowledge and the expected yield of the crop, Based on recommendations from experts (agronomists, field officers, extension services...) , Based on recommendations from input suppliers, I don't use organic or synthetic fertilizers, based on other reasons then the above options</v>
      </c>
      <c r="T1256" s="77" t="s">
        <v>373</v>
      </c>
      <c r="U1256" s="77" t="s">
        <v>374</v>
      </c>
      <c r="V1256" s="77" t="s">
        <v>375</v>
      </c>
      <c r="W1256" s="77" t="s">
        <v>376</v>
      </c>
      <c r="X1256" s="77" t="s">
        <v>377</v>
      </c>
      <c r="Y1256" s="77" t="s">
        <v>796</v>
      </c>
      <c r="Z1256" s="77" t="s">
        <v>379</v>
      </c>
      <c r="AA1256" s="77" t="s">
        <v>380</v>
      </c>
      <c r="AH1256" s="98" t="b">
        <f>INDEX(stable[q_standard],MATCH(questions[[#This Row],[qno]],stable[qno],0))</f>
        <v>0</v>
      </c>
      <c r="AI1256" s="98" t="b">
        <f>INDEX(stable[q_living_income],MATCH(questions[[#This Row],[qno]],stable[qno],0))</f>
        <v>0</v>
      </c>
      <c r="AJ1256" s="98" t="b">
        <f>INDEX(stable[q_carbon],MATCH(questions[[#This Row],[qno]],stable[qno],0))</f>
        <v>0</v>
      </c>
      <c r="AK1256" s="98" t="b">
        <f>INDEX(stable[q_regen_ag],MATCH(questions[[#This Row],[qno]],stable[qno],0))</f>
        <v>1</v>
      </c>
      <c r="AL1256" s="98" t="b">
        <f>COUNTIFS(stable[qno],questions[[#This Row],[qno]])=1</f>
        <v>1</v>
      </c>
      <c r="AM1256" s="98" t="b">
        <f>OR(questions[[#This Row],[is_fixed]],questions[[#This Row],[is_localized]],questions[[#This Row],[is_supply_chain_dependent]])</f>
        <v>1</v>
      </c>
      <c r="AN1256" s="98" t="b">
        <f>COUNTIFS(questions[[#This Row],[is_automated]:[is_multi_select]],TRUE)=1</f>
        <v>1</v>
      </c>
      <c r="AO1256" s="98" t="b">
        <f>IF(questions[[#This Row],[is_fixed]],questions[[#This Row],[question]]=INDEX(stable[question],MATCH(questions[[#This Row],[qno]],stable[qno],0)),TRUE)</f>
        <v>1</v>
      </c>
      <c r="AP1256" s="98" t="str">
        <f>LEFT(questions[[#This Row],[question]],similarity_range)</f>
        <v>What is the most com</v>
      </c>
      <c r="AQ1256" s="98" t="str">
        <f>LEFT(INDEX(stable[question],MATCH(questions[[#This Row],[qno]],stable[qno],0)),similarity_range)</f>
        <v>What is the most com</v>
      </c>
      <c r="AR1256" s="98" t="b">
        <f>questions[[#This Row],[question_first_characters]]=questions[[#This Row],[stability_first_characters]]</f>
        <v>1</v>
      </c>
      <c r="AS1256" s="98" t="b">
        <f>IF(OR(questions[[#This Row],[is_single_select]],questions[[#This Row],[is_multi_select]]),NOT(ISBLANK(questions[[#This Row],[answer_opt_combined]])),TRUE)</f>
        <v>1</v>
      </c>
    </row>
    <row r="1257" spans="1:45" s="77" customFormat="1" ht="15.75" customHeight="1" x14ac:dyDescent="0.25">
      <c r="A1257" s="77" t="str">
        <f>_xlfn.TEXTJOIN("_",TRUE,questions[[#This Row],[origin]:[qno]])</f>
        <v>Kenya_Arabica_Nestle_2025_7131</v>
      </c>
      <c r="B1257" s="77" t="s">
        <v>818</v>
      </c>
      <c r="C1257" s="77" t="s">
        <v>59</v>
      </c>
      <c r="D1257" s="77" t="s">
        <v>819</v>
      </c>
      <c r="E1257" s="77">
        <v>2025</v>
      </c>
      <c r="F1257" s="105" t="s">
        <v>381</v>
      </c>
      <c r="G1257" s="78" t="s">
        <v>382</v>
      </c>
      <c r="H1257" s="9" t="str" cm="1">
        <f t="array" ref="H1257">INDEX(stableR[question],MATCH(VALUE(questions[[#This Row],[qno]]),VALUE(stableR[qno]),0))</f>
        <v>How often do you apply synthetic fertilizer per season in your coffee crop?</v>
      </c>
      <c r="I1257" s="9" t="b" cm="1">
        <f t="array" ref="I1257">INDEX(stable[is_fixed],MATCH(VALUE(questions[[#This Row],[qno]]),VALUE(stable[qno]),0))</f>
        <v>1</v>
      </c>
      <c r="J1257" s="9" t="b" cm="1">
        <f t="array" ref="J1257">INDEX(stable[is_localized],MATCH(VALUE(questions[[#This Row],[qno]]),VALUE(stable[qno]),0))</f>
        <v>0</v>
      </c>
      <c r="K1257" s="9" t="b" cm="1">
        <f t="array" ref="K1257">INDEX(stable[is_supply_chain_dependent],MATCH(VALUE(questions[[#This Row],[qno]]),VALUE(stable[qno]),0))</f>
        <v>0</v>
      </c>
      <c r="L1257" s="9" t="b" cm="1">
        <f t="array" ref="L1257">INDEX(stable[is_mandatory],MATCH(VALUE(questions[[#This Row],[qno]]),VALUE(stable[qno]),0))</f>
        <v>1</v>
      </c>
      <c r="M1257" s="9" t="b" cm="1">
        <f t="array" ref="M1257">INDEX(stable[is_automated],MATCH(VALUE(questions[[#This Row],[qno]]),VALUE(stable[qno]),0))</f>
        <v>0</v>
      </c>
      <c r="N1257" s="9" t="b" cm="1">
        <f t="array" ref="N1257">INDEX(stable[is_free_text],MATCH(VALUE(questions[[#This Row],[qno]]),VALUE(stable[qno]),0))</f>
        <v>0</v>
      </c>
      <c r="O1257" s="9" t="b" cm="1">
        <f t="array" ref="O1257">INDEX(stable[is_numerical],MATCH(VALUE(questions[[#This Row],[qno]]),VALUE(stable[qno]),0))</f>
        <v>0</v>
      </c>
      <c r="P1257" s="77" t="b" cm="1">
        <f t="array" ref="P1257">INDEX(stable[is_single_select],MATCH(VALUE(questions[[#This Row],[qno]]),VALUE(stable[qno]),0))</f>
        <v>1</v>
      </c>
      <c r="Q1257" s="77" t="b" cm="1">
        <f t="array" ref="Q1257">INDEX(stable[is_multi_select],MATCH(VALUE(questions[[#This Row],[qno]]),VALUE(stable[qno]),0))</f>
        <v>0</v>
      </c>
      <c r="R1257" s="77" t="b" cm="1">
        <f t="array" ref="R1257">INDEX(stable[is_skip_logic],MATCH(VALUE(questions[[#This Row],[qno]]),VALUE(stable[qno]),0))</f>
        <v>0</v>
      </c>
      <c r="S1257" s="77" t="str">
        <f>_xlfn.TEXTJOIN(", ",TRUE,questions[[#This Row],[ans_opt_1]:[ans_opt_14]])</f>
        <v>I don't apply, I apply once per season, I apply multiple times throughout the season</v>
      </c>
      <c r="T1257" s="77" t="s">
        <v>383</v>
      </c>
      <c r="U1257" s="77" t="s">
        <v>384</v>
      </c>
      <c r="V1257" s="77" t="s">
        <v>385</v>
      </c>
      <c r="AH1257" s="98" t="b">
        <f>INDEX(stable[q_standard],MATCH(questions[[#This Row],[qno]],stable[qno],0))</f>
        <v>0</v>
      </c>
      <c r="AI1257" s="98" t="b">
        <f>INDEX(stable[q_living_income],MATCH(questions[[#This Row],[qno]],stable[qno],0))</f>
        <v>0</v>
      </c>
      <c r="AJ1257" s="98" t="b">
        <f>INDEX(stable[q_carbon],MATCH(questions[[#This Row],[qno]],stable[qno],0))</f>
        <v>0</v>
      </c>
      <c r="AK1257" s="98" t="b">
        <f>INDEX(stable[q_regen_ag],MATCH(questions[[#This Row],[qno]],stable[qno],0))</f>
        <v>1</v>
      </c>
      <c r="AL1257" s="98" t="b">
        <f>COUNTIFS(stable[qno],questions[[#This Row],[qno]])=1</f>
        <v>1</v>
      </c>
      <c r="AM1257" s="98" t="b">
        <f>OR(questions[[#This Row],[is_fixed]],questions[[#This Row],[is_localized]],questions[[#This Row],[is_supply_chain_dependent]])</f>
        <v>1</v>
      </c>
      <c r="AN1257" s="98" t="b">
        <f>COUNTIFS(questions[[#This Row],[is_automated]:[is_multi_select]],TRUE)=1</f>
        <v>1</v>
      </c>
      <c r="AO1257" s="98" t="b">
        <f>IF(questions[[#This Row],[is_fixed]],questions[[#This Row],[question]]=INDEX(stable[question],MATCH(questions[[#This Row],[qno]],stable[qno],0)),TRUE)</f>
        <v>1</v>
      </c>
      <c r="AP1257" s="98" t="str">
        <f>LEFT(questions[[#This Row],[question]],similarity_range)</f>
        <v>How often do you app</v>
      </c>
      <c r="AQ1257" s="98" t="str">
        <f>LEFT(INDEX(stable[question],MATCH(questions[[#This Row],[qno]],stable[qno],0)),similarity_range)</f>
        <v>How often do you app</v>
      </c>
      <c r="AR1257" s="98" t="b">
        <f>questions[[#This Row],[question_first_characters]]=questions[[#This Row],[stability_first_characters]]</f>
        <v>1</v>
      </c>
      <c r="AS1257" s="98" t="b">
        <f>IF(OR(questions[[#This Row],[is_single_select]],questions[[#This Row],[is_multi_select]]),NOT(ISBLANK(questions[[#This Row],[answer_opt_combined]])),TRUE)</f>
        <v>1</v>
      </c>
    </row>
    <row r="1258" spans="1:45" s="77" customFormat="1" ht="15.75" customHeight="1" x14ac:dyDescent="0.25">
      <c r="A1258" s="77" t="str">
        <f>_xlfn.TEXTJOIN("_",TRUE,questions[[#This Row],[origin]:[qno]])</f>
        <v>Kenya_Arabica_Nestle_2025_7132</v>
      </c>
      <c r="B1258" s="77" t="s">
        <v>818</v>
      </c>
      <c r="C1258" s="77" t="s">
        <v>59</v>
      </c>
      <c r="D1258" s="77" t="s">
        <v>819</v>
      </c>
      <c r="E1258" s="77">
        <v>2025</v>
      </c>
      <c r="F1258" s="105" t="s">
        <v>386</v>
      </c>
      <c r="G1258" s="78" t="s">
        <v>387</v>
      </c>
      <c r="H1258" s="9" t="str" cm="1">
        <f t="array" ref="H1258">INDEX(stableR[question],MATCH(VALUE(questions[[#This Row],[qno]]),VALUE(stableR[qno]),0))</f>
        <v>How do you apply the organic and synthetic fertilizers to the coffee trees in the coffee plots?</v>
      </c>
      <c r="I1258" s="9" t="b" cm="1">
        <f t="array" ref="I1258">INDEX(stable[is_fixed],MATCH(VALUE(questions[[#This Row],[qno]]),VALUE(stable[qno]),0))</f>
        <v>1</v>
      </c>
      <c r="J1258" s="9" t="b" cm="1">
        <f t="array" ref="J1258">INDEX(stable[is_localized],MATCH(VALUE(questions[[#This Row],[qno]]),VALUE(stable[qno]),0))</f>
        <v>0</v>
      </c>
      <c r="K1258" s="9" t="b" cm="1">
        <f t="array" ref="K1258">INDEX(stable[is_supply_chain_dependent],MATCH(VALUE(questions[[#This Row],[qno]]),VALUE(stable[qno]),0))</f>
        <v>0</v>
      </c>
      <c r="L1258" s="9" t="b" cm="1">
        <f t="array" ref="L1258">INDEX(stable[is_mandatory],MATCH(VALUE(questions[[#This Row],[qno]]),VALUE(stable[qno]),0))</f>
        <v>0</v>
      </c>
      <c r="M1258" s="9" t="b" cm="1">
        <f t="array" ref="M1258">INDEX(stable[is_automated],MATCH(VALUE(questions[[#This Row],[qno]]),VALUE(stable[qno]),0))</f>
        <v>0</v>
      </c>
      <c r="N1258" s="9" t="b" cm="1">
        <f t="array" ref="N1258">INDEX(stable[is_free_text],MATCH(VALUE(questions[[#This Row],[qno]]),VALUE(stable[qno]),0))</f>
        <v>0</v>
      </c>
      <c r="O1258" s="9" t="b" cm="1">
        <f t="array" ref="O1258">INDEX(stable[is_numerical],MATCH(VALUE(questions[[#This Row],[qno]]),VALUE(stable[qno]),0))</f>
        <v>0</v>
      </c>
      <c r="P1258" s="77" t="b" cm="1">
        <f t="array" ref="P1258">INDEX(stable[is_single_select],MATCH(VALUE(questions[[#This Row],[qno]]),VALUE(stable[qno]),0))</f>
        <v>1</v>
      </c>
      <c r="Q1258" s="77" t="b" cm="1">
        <f t="array" ref="Q1258">INDEX(stable[is_multi_select],MATCH(VALUE(questions[[#This Row],[qno]]),VALUE(stable[qno]),0))</f>
        <v>0</v>
      </c>
      <c r="R1258" s="77" t="b" cm="1">
        <f t="array" ref="R1258">INDEX(stable[is_skip_logic],MATCH(VALUE(questions[[#This Row],[qno]]),VALUE(stable[qno]),0))</f>
        <v>0</v>
      </c>
      <c r="S1258" s="77" t="str">
        <f>_xlfn.TEXTJOIN(", ",TRUE,questions[[#This Row],[ans_opt_1]:[ans_opt_14]])</f>
        <v>Around the tree , In bands close to the trees, Broadcasted in all the field, Through the irrigation system (e.g. drip)</v>
      </c>
      <c r="T1258" s="77" t="s">
        <v>797</v>
      </c>
      <c r="U1258" s="77" t="s">
        <v>389</v>
      </c>
      <c r="V1258" s="77" t="s">
        <v>390</v>
      </c>
      <c r="W1258" s="77" t="s">
        <v>391</v>
      </c>
      <c r="AH1258" s="98" t="b">
        <f>INDEX(stable[q_standard],MATCH(questions[[#This Row],[qno]],stable[qno],0))</f>
        <v>0</v>
      </c>
      <c r="AI1258" s="98" t="b">
        <f>INDEX(stable[q_living_income],MATCH(questions[[#This Row],[qno]],stable[qno],0))</f>
        <v>0</v>
      </c>
      <c r="AJ1258" s="98" t="b">
        <f>INDEX(stable[q_carbon],MATCH(questions[[#This Row],[qno]],stable[qno],0))</f>
        <v>0</v>
      </c>
      <c r="AK1258" s="98" t="b">
        <f>INDEX(stable[q_regen_ag],MATCH(questions[[#This Row],[qno]],stable[qno],0))</f>
        <v>1</v>
      </c>
      <c r="AL1258" s="98" t="b">
        <f>COUNTIFS(stable[qno],questions[[#This Row],[qno]])=1</f>
        <v>1</v>
      </c>
      <c r="AM1258" s="98" t="b">
        <f>OR(questions[[#This Row],[is_fixed]],questions[[#This Row],[is_localized]],questions[[#This Row],[is_supply_chain_dependent]])</f>
        <v>1</v>
      </c>
      <c r="AN1258" s="98" t="b">
        <f>COUNTIFS(questions[[#This Row],[is_automated]:[is_multi_select]],TRUE)=1</f>
        <v>1</v>
      </c>
      <c r="AO1258" s="98" t="b">
        <f>IF(questions[[#This Row],[is_fixed]],questions[[#This Row],[question]]=INDEX(stable[question],MATCH(questions[[#This Row],[qno]],stable[qno],0)),TRUE)</f>
        <v>1</v>
      </c>
      <c r="AP1258" s="98" t="str">
        <f>LEFT(questions[[#This Row],[question]],similarity_range)</f>
        <v>How do you apply the</v>
      </c>
      <c r="AQ1258" s="98" t="str">
        <f>LEFT(INDEX(stable[question],MATCH(questions[[#This Row],[qno]],stable[qno],0)),similarity_range)</f>
        <v>How do you apply the</v>
      </c>
      <c r="AR1258" s="98" t="b">
        <f>questions[[#This Row],[question_first_characters]]=questions[[#This Row],[stability_first_characters]]</f>
        <v>1</v>
      </c>
      <c r="AS1258" s="98" t="b">
        <f>IF(OR(questions[[#This Row],[is_single_select]],questions[[#This Row],[is_multi_select]]),NOT(ISBLANK(questions[[#This Row],[answer_opt_combined]])),TRUE)</f>
        <v>1</v>
      </c>
    </row>
    <row r="1259" spans="1:45" s="77" customFormat="1" ht="15.75" customHeight="1" x14ac:dyDescent="0.25">
      <c r="A1259" s="77" t="str">
        <f>_xlfn.TEXTJOIN("_",TRUE,questions[[#This Row],[origin]:[qno]])</f>
        <v>Kenya_Arabica_Nestle_2025_7133</v>
      </c>
      <c r="B1259" s="77" t="s">
        <v>818</v>
      </c>
      <c r="C1259" s="77" t="s">
        <v>59</v>
      </c>
      <c r="D1259" s="77" t="s">
        <v>819</v>
      </c>
      <c r="E1259" s="77">
        <v>2025</v>
      </c>
      <c r="F1259" s="105" t="s">
        <v>392</v>
      </c>
      <c r="G1259" s="78" t="s">
        <v>798</v>
      </c>
      <c r="H1259" s="9" t="str" cm="1">
        <f t="array" ref="H1259">INDEX(stableR[question],MATCH(VALUE(questions[[#This Row],[qno]]),VALUE(stableR[qno]),0))</f>
        <v>Do you know the 4R principles of using organic and synthetic fertilizers in crops (Right Amount, Right Product, Right Time, Right Place)?</v>
      </c>
      <c r="I1259" s="9" t="b" cm="1">
        <f t="array" ref="I1259">INDEX(stable[is_fixed],MATCH(VALUE(questions[[#This Row],[qno]]),VALUE(stable[qno]),0))</f>
        <v>1</v>
      </c>
      <c r="J1259" s="9" t="b" cm="1">
        <f t="array" ref="J1259">INDEX(stable[is_localized],MATCH(VALUE(questions[[#This Row],[qno]]),VALUE(stable[qno]),0))</f>
        <v>0</v>
      </c>
      <c r="K1259" s="9" t="b" cm="1">
        <f t="array" ref="K1259">INDEX(stable[is_supply_chain_dependent],MATCH(VALUE(questions[[#This Row],[qno]]),VALUE(stable[qno]),0))</f>
        <v>0</v>
      </c>
      <c r="L1259" s="9" t="b" cm="1">
        <f t="array" ref="L1259">INDEX(stable[is_mandatory],MATCH(VALUE(questions[[#This Row],[qno]]),VALUE(stable[qno]),0))</f>
        <v>1</v>
      </c>
      <c r="M1259" s="9" t="b" cm="1">
        <f t="array" ref="M1259">INDEX(stable[is_automated],MATCH(VALUE(questions[[#This Row],[qno]]),VALUE(stable[qno]),0))</f>
        <v>0</v>
      </c>
      <c r="N1259" s="9" t="b" cm="1">
        <f t="array" ref="N1259">INDEX(stable[is_free_text],MATCH(VALUE(questions[[#This Row],[qno]]),VALUE(stable[qno]),0))</f>
        <v>0</v>
      </c>
      <c r="O1259" s="9" t="b" cm="1">
        <f t="array" ref="O1259">INDEX(stable[is_numerical],MATCH(VALUE(questions[[#This Row],[qno]]),VALUE(stable[qno]),0))</f>
        <v>0</v>
      </c>
      <c r="P1259" s="77" t="b" cm="1">
        <f t="array" ref="P1259">INDEX(stable[is_single_select],MATCH(VALUE(questions[[#This Row],[qno]]),VALUE(stable[qno]),0))</f>
        <v>1</v>
      </c>
      <c r="Q1259" s="77" t="b" cm="1">
        <f t="array" ref="Q1259">INDEX(stable[is_multi_select],MATCH(VALUE(questions[[#This Row],[qno]]),VALUE(stable[qno]),0))</f>
        <v>0</v>
      </c>
      <c r="R1259" s="77" t="b" cm="1">
        <f t="array" ref="R1259">INDEX(stable[is_skip_logic],MATCH(VALUE(questions[[#This Row],[qno]]),VALUE(stable[qno]),0))</f>
        <v>0</v>
      </c>
      <c r="S1259" s="77" t="str">
        <f>_xlfn.TEXTJOIN(", ",TRUE,questions[[#This Row],[ans_opt_1]:[ans_opt_14]])</f>
        <v>Yes, No</v>
      </c>
      <c r="T1259" s="77" t="s">
        <v>149</v>
      </c>
      <c r="U1259" s="77" t="s">
        <v>119</v>
      </c>
      <c r="AH1259" s="98" t="b">
        <f>INDEX(stable[q_standard],MATCH(questions[[#This Row],[qno]],stable[qno],0))</f>
        <v>0</v>
      </c>
      <c r="AI1259" s="98" t="b">
        <f>INDEX(stable[q_living_income],MATCH(questions[[#This Row],[qno]],stable[qno],0))</f>
        <v>0</v>
      </c>
      <c r="AJ1259" s="98" t="b">
        <f>INDEX(stable[q_carbon],MATCH(questions[[#This Row],[qno]],stable[qno],0))</f>
        <v>0</v>
      </c>
      <c r="AK1259" s="98" t="b">
        <f>INDEX(stable[q_regen_ag],MATCH(questions[[#This Row],[qno]],stable[qno],0))</f>
        <v>1</v>
      </c>
      <c r="AL1259" s="98" t="b">
        <f>COUNTIFS(stable[qno],questions[[#This Row],[qno]])=1</f>
        <v>1</v>
      </c>
      <c r="AM1259" s="98" t="b">
        <f>OR(questions[[#This Row],[is_fixed]],questions[[#This Row],[is_localized]],questions[[#This Row],[is_supply_chain_dependent]])</f>
        <v>1</v>
      </c>
      <c r="AN1259" s="98" t="b">
        <f>COUNTIFS(questions[[#This Row],[is_automated]:[is_multi_select]],TRUE)=1</f>
        <v>1</v>
      </c>
      <c r="AO1259" s="98" t="b">
        <f>IF(questions[[#This Row],[is_fixed]],questions[[#This Row],[question]]=INDEX(stable[question],MATCH(questions[[#This Row],[qno]],stable[qno],0)),TRUE)</f>
        <v>0</v>
      </c>
      <c r="AP1259" s="98" t="str">
        <f>LEFT(questions[[#This Row],[question]],similarity_range)</f>
        <v>Do you know the 4R p</v>
      </c>
      <c r="AQ1259" s="98" t="str">
        <f>LEFT(INDEX(stable[question],MATCH(questions[[#This Row],[qno]],stable[qno],0)),similarity_range)</f>
        <v>Do you know the 4R p</v>
      </c>
      <c r="AR1259" s="98" t="b">
        <f>questions[[#This Row],[question_first_characters]]=questions[[#This Row],[stability_first_characters]]</f>
        <v>1</v>
      </c>
      <c r="AS1259" s="98" t="b">
        <f>IF(OR(questions[[#This Row],[is_single_select]],questions[[#This Row],[is_multi_select]]),NOT(ISBLANK(questions[[#This Row],[answer_opt_combined]])),TRUE)</f>
        <v>1</v>
      </c>
    </row>
    <row r="1260" spans="1:45" s="77" customFormat="1" ht="15.75" customHeight="1" x14ac:dyDescent="0.25">
      <c r="A1260" s="77" t="str">
        <f>_xlfn.TEXTJOIN("_",TRUE,questions[[#This Row],[origin]:[qno]])</f>
        <v>Kenya_Arabica_Nestle_2025_7240</v>
      </c>
      <c r="B1260" s="77" t="s">
        <v>818</v>
      </c>
      <c r="C1260" s="77" t="s">
        <v>59</v>
      </c>
      <c r="D1260" s="77" t="s">
        <v>819</v>
      </c>
      <c r="E1260" s="77">
        <v>2025</v>
      </c>
      <c r="F1260" s="105" t="s">
        <v>394</v>
      </c>
      <c r="G1260" s="78" t="s">
        <v>799</v>
      </c>
      <c r="H1260" s="9" t="str" cm="1">
        <f t="array" ref="H1260">INDEX(stableR[question],MATCH(VALUE(questions[[#This Row],[qno]]),VALUE(stableR[qno]),0))</f>
        <v>Do you apply chemical PPPs (plant protection products) like pesticides/fungicides/nematicides in your coffee crop, and how many different active ingredients per crop season?</v>
      </c>
      <c r="I1260" s="9" t="b" cm="1">
        <f t="array" ref="I1260">INDEX(stable[is_fixed],MATCH(VALUE(questions[[#This Row],[qno]]),VALUE(stable[qno]),0))</f>
        <v>1</v>
      </c>
      <c r="J1260" s="9" t="b" cm="1">
        <f t="array" ref="J1260">INDEX(stable[is_localized],MATCH(VALUE(questions[[#This Row],[qno]]),VALUE(stable[qno]),0))</f>
        <v>0</v>
      </c>
      <c r="K1260" s="9" t="b" cm="1">
        <f t="array" ref="K1260">INDEX(stable[is_supply_chain_dependent],MATCH(VALUE(questions[[#This Row],[qno]]),VALUE(stable[qno]),0))</f>
        <v>0</v>
      </c>
      <c r="L1260" s="9" t="b" cm="1">
        <f t="array" ref="L1260">INDEX(stable[is_mandatory],MATCH(VALUE(questions[[#This Row],[qno]]),VALUE(stable[qno]),0))</f>
        <v>1</v>
      </c>
      <c r="M1260" s="9" t="b" cm="1">
        <f t="array" ref="M1260">INDEX(stable[is_automated],MATCH(VALUE(questions[[#This Row],[qno]]),VALUE(stable[qno]),0))</f>
        <v>0</v>
      </c>
      <c r="N1260" s="9" t="b" cm="1">
        <f t="array" ref="N1260">INDEX(stable[is_free_text],MATCH(VALUE(questions[[#This Row],[qno]]),VALUE(stable[qno]),0))</f>
        <v>0</v>
      </c>
      <c r="O1260" s="9" t="b" cm="1">
        <f t="array" ref="O1260">INDEX(stable[is_numerical],MATCH(VALUE(questions[[#This Row],[qno]]),VALUE(stable[qno]),0))</f>
        <v>0</v>
      </c>
      <c r="P1260" s="77" t="b" cm="1">
        <f t="array" ref="P1260">INDEX(stable[is_single_select],MATCH(VALUE(questions[[#This Row],[qno]]),VALUE(stable[qno]),0))</f>
        <v>1</v>
      </c>
      <c r="Q1260" s="77" t="b" cm="1">
        <f t="array" ref="Q1260">INDEX(stable[is_multi_select],MATCH(VALUE(questions[[#This Row],[qno]]),VALUE(stable[qno]),0))</f>
        <v>0</v>
      </c>
      <c r="R1260" s="77" t="b" cm="1">
        <f t="array" ref="R1260">INDEX(stable[is_skip_logic],MATCH(VALUE(questions[[#This Row],[qno]]),VALUE(stable[qno]),0))</f>
        <v>1</v>
      </c>
      <c r="S1260" s="77" t="str">
        <f>_xlfn.TEXTJOIN(", ",TRUE,questions[[#This Row],[ans_opt_1]:[ans_opt_14]])</f>
        <v>Yes, No</v>
      </c>
      <c r="T1260" s="77" t="s">
        <v>149</v>
      </c>
      <c r="U1260" s="77" t="s">
        <v>119</v>
      </c>
      <c r="AH1260" s="98" t="b">
        <f>INDEX(stable[q_standard],MATCH(questions[[#This Row],[qno]],stable[qno],0))</f>
        <v>0</v>
      </c>
      <c r="AI1260" s="98" t="b">
        <f>INDEX(stable[q_living_income],MATCH(questions[[#This Row],[qno]],stable[qno],0))</f>
        <v>0</v>
      </c>
      <c r="AJ1260" s="98" t="b">
        <f>INDEX(stable[q_carbon],MATCH(questions[[#This Row],[qno]],stable[qno],0))</f>
        <v>0</v>
      </c>
      <c r="AK1260" s="98" t="b">
        <f>INDEX(stable[q_regen_ag],MATCH(questions[[#This Row],[qno]],stable[qno],0))</f>
        <v>1</v>
      </c>
      <c r="AL1260" s="98" t="b">
        <f>COUNTIFS(stable[qno],questions[[#This Row],[qno]])=1</f>
        <v>1</v>
      </c>
      <c r="AM1260" s="98" t="b">
        <f>OR(questions[[#This Row],[is_fixed]],questions[[#This Row],[is_localized]],questions[[#This Row],[is_supply_chain_dependent]])</f>
        <v>1</v>
      </c>
      <c r="AN1260" s="98" t="b">
        <f>COUNTIFS(questions[[#This Row],[is_automated]:[is_multi_select]],TRUE)=1</f>
        <v>1</v>
      </c>
      <c r="AO1260" s="98" t="b">
        <f>IF(questions[[#This Row],[is_fixed]],questions[[#This Row],[question]]=INDEX(stable[question],MATCH(questions[[#This Row],[qno]],stable[qno],0)),TRUE)</f>
        <v>0</v>
      </c>
      <c r="AP1260" s="98" t="str">
        <f>LEFT(questions[[#This Row],[question]],similarity_range)</f>
        <v>Did you use chemical</v>
      </c>
      <c r="AQ1260" s="98" t="str">
        <f>LEFT(INDEX(stable[question],MATCH(questions[[#This Row],[qno]],stable[qno],0)),similarity_range)</f>
        <v>Did you use chemical</v>
      </c>
      <c r="AR1260" s="98" t="b">
        <f>questions[[#This Row],[question_first_characters]]=questions[[#This Row],[stability_first_characters]]</f>
        <v>1</v>
      </c>
      <c r="AS1260" s="98" t="b">
        <f>IF(OR(questions[[#This Row],[is_single_select]],questions[[#This Row],[is_multi_select]]),NOT(ISBLANK(questions[[#This Row],[answer_opt_combined]])),TRUE)</f>
        <v>1</v>
      </c>
    </row>
    <row r="1261" spans="1:45" s="77" customFormat="1" ht="15.75" customHeight="1" x14ac:dyDescent="0.25">
      <c r="A1261" s="77" t="str">
        <f>_xlfn.TEXTJOIN("_",TRUE,questions[[#This Row],[origin]:[qno]])</f>
        <v>Kenya_Arabica_Nestle_2025_7241</v>
      </c>
      <c r="B1261" s="77" t="s">
        <v>818</v>
      </c>
      <c r="C1261" s="77" t="s">
        <v>59</v>
      </c>
      <c r="D1261" s="77" t="s">
        <v>819</v>
      </c>
      <c r="E1261" s="77">
        <v>2025</v>
      </c>
      <c r="F1261" s="105" t="s">
        <v>396</v>
      </c>
      <c r="G1261" s="78" t="s">
        <v>800</v>
      </c>
      <c r="H1261" s="9" t="str" cm="1">
        <f t="array" ref="H1261">INDEX(stableR[question],MATCH(VALUE(questions[[#This Row],[qno]]),VALUE(stableR[qno]),0))</f>
        <v>If yes, list the names of all the pesticides and/or fungicides that you used, last year.</v>
      </c>
      <c r="I1261" s="9" t="b" cm="1">
        <f t="array" ref="I1261">INDEX(stable[is_fixed],MATCH(VALUE(questions[[#This Row],[qno]]),VALUE(stable[qno]),0))</f>
        <v>1</v>
      </c>
      <c r="J1261" s="9" t="b" cm="1">
        <f t="array" ref="J1261">INDEX(stable[is_localized],MATCH(VALUE(questions[[#This Row],[qno]]),VALUE(stable[qno]),0))</f>
        <v>0</v>
      </c>
      <c r="K1261" s="9" t="b" cm="1">
        <f t="array" ref="K1261">INDEX(stable[is_supply_chain_dependent],MATCH(VALUE(questions[[#This Row],[qno]]),VALUE(stable[qno]),0))</f>
        <v>0</v>
      </c>
      <c r="L1261" s="9" t="b" cm="1">
        <f t="array" ref="L1261">INDEX(stable[is_mandatory],MATCH(VALUE(questions[[#This Row],[qno]]),VALUE(stable[qno]),0))</f>
        <v>0</v>
      </c>
      <c r="M1261" s="9" t="b" cm="1">
        <f t="array" ref="M1261">INDEX(stable[is_automated],MATCH(VALUE(questions[[#This Row],[qno]]),VALUE(stable[qno]),0))</f>
        <v>0</v>
      </c>
      <c r="N1261" s="9" t="b" cm="1">
        <f t="array" ref="N1261">INDEX(stable[is_free_text],MATCH(VALUE(questions[[#This Row],[qno]]),VALUE(stable[qno]),0))</f>
        <v>0</v>
      </c>
      <c r="O1261" s="9" t="b" cm="1">
        <f t="array" ref="O1261">INDEX(stable[is_numerical],MATCH(VALUE(questions[[#This Row],[qno]]),VALUE(stable[qno]),0))</f>
        <v>0</v>
      </c>
      <c r="P1261" s="77" t="b" cm="1">
        <f t="array" ref="P1261">INDEX(stable[is_single_select],MATCH(VALUE(questions[[#This Row],[qno]]),VALUE(stable[qno]),0))</f>
        <v>1</v>
      </c>
      <c r="Q1261" s="77" t="b" cm="1">
        <f t="array" ref="Q1261">INDEX(stable[is_multi_select],MATCH(VALUE(questions[[#This Row],[qno]]),VALUE(stable[qno]),0))</f>
        <v>0</v>
      </c>
      <c r="R1261" s="77" t="b" cm="1">
        <f t="array" ref="R1261">INDEX(stable[is_skip_logic],MATCH(VALUE(questions[[#This Row],[qno]]),VALUE(stable[qno]),0))</f>
        <v>1</v>
      </c>
      <c r="S1261" s="77" t="str">
        <f>_xlfn.TEXTJOIN(", ",TRUE,questions[[#This Row],[ans_opt_1]:[ans_opt_14]])</f>
        <v>Yes, No</v>
      </c>
      <c r="T1261" s="77" t="s">
        <v>149</v>
      </c>
      <c r="U1261" s="77" t="s">
        <v>119</v>
      </c>
      <c r="AH1261" s="98" t="b">
        <f>INDEX(stable[q_standard],MATCH(questions[[#This Row],[qno]],stable[qno],0))</f>
        <v>0</v>
      </c>
      <c r="AI1261" s="98" t="b">
        <f>INDEX(stable[q_living_income],MATCH(questions[[#This Row],[qno]],stable[qno],0))</f>
        <v>0</v>
      </c>
      <c r="AJ1261" s="98" t="b">
        <f>INDEX(stable[q_carbon],MATCH(questions[[#This Row],[qno]],stable[qno],0))</f>
        <v>0</v>
      </c>
      <c r="AK1261" s="98" t="b">
        <f>INDEX(stable[q_regen_ag],MATCH(questions[[#This Row],[qno]],stable[qno],0))</f>
        <v>1</v>
      </c>
      <c r="AL1261" s="98" t="b">
        <f>COUNTIFS(stable[qno],questions[[#This Row],[qno]])=1</f>
        <v>1</v>
      </c>
      <c r="AM1261" s="98" t="b">
        <f>OR(questions[[#This Row],[is_fixed]],questions[[#This Row],[is_localized]],questions[[#This Row],[is_supply_chain_dependent]])</f>
        <v>1</v>
      </c>
      <c r="AN1261" s="98" t="b">
        <f>COUNTIFS(questions[[#This Row],[is_automated]:[is_multi_select]],TRUE)=1</f>
        <v>1</v>
      </c>
      <c r="AO1261" s="98" t="b">
        <f>IF(questions[[#This Row],[is_fixed]],questions[[#This Row],[question]]=INDEX(stable[question],MATCH(questions[[#This Row],[qno]],stable[qno],0)),TRUE)</f>
        <v>0</v>
      </c>
      <c r="AP1261" s="98" t="str">
        <f>LEFT(questions[[#This Row],[question]],similarity_range)</f>
        <v>If you apply chemica</v>
      </c>
      <c r="AQ1261" s="98" t="str">
        <f>LEFT(INDEX(stable[question],MATCH(questions[[#This Row],[qno]],stable[qno],0)),similarity_range)</f>
        <v>If you apply chemica</v>
      </c>
      <c r="AR1261" s="98" t="b">
        <f>questions[[#This Row],[question_first_characters]]=questions[[#This Row],[stability_first_characters]]</f>
        <v>1</v>
      </c>
      <c r="AS1261" s="98" t="b">
        <f>IF(OR(questions[[#This Row],[is_single_select]],questions[[#This Row],[is_multi_select]]),NOT(ISBLANK(questions[[#This Row],[answer_opt_combined]])),TRUE)</f>
        <v>1</v>
      </c>
    </row>
    <row r="1262" spans="1:45" s="77" customFormat="1" ht="15.75" customHeight="1" x14ac:dyDescent="0.25">
      <c r="A1262" s="77" t="str">
        <f>_xlfn.TEXTJOIN("_",TRUE,questions[[#This Row],[origin]:[qno]])</f>
        <v>Kenya_Arabica_Nestle_2025_7242</v>
      </c>
      <c r="B1262" s="77" t="s">
        <v>818</v>
      </c>
      <c r="C1262" s="77" t="s">
        <v>59</v>
      </c>
      <c r="D1262" s="77" t="s">
        <v>819</v>
      </c>
      <c r="E1262" s="77">
        <v>2025</v>
      </c>
      <c r="F1262" s="105" t="s">
        <v>398</v>
      </c>
      <c r="G1262" s="78" t="s">
        <v>801</v>
      </c>
      <c r="H1262" s="9" t="str" cm="1">
        <f t="array" ref="H1262">INDEX(stableR[question],MATCH(VALUE(questions[[#This Row],[qno]]),VALUE(stableR[qno]),0))</f>
        <v>If you apply chemical PPPs, are you aware of the IPM-Integrated Pest Management concept and practices (e.g. pest-disease identification and monitoring, right moment for control, use of a combination of biological, cultural, physical/mechanical and chemical tools to prevent and control)?</v>
      </c>
      <c r="I1262" s="9" t="b" cm="1">
        <f t="array" ref="I1262">INDEX(stable[is_fixed],MATCH(VALUE(questions[[#This Row],[qno]]),VALUE(stable[qno]),0))</f>
        <v>1</v>
      </c>
      <c r="J1262" s="9" t="b" cm="1">
        <f t="array" ref="J1262">INDEX(stable[is_localized],MATCH(VALUE(questions[[#This Row],[qno]]),VALUE(stable[qno]),0))</f>
        <v>0</v>
      </c>
      <c r="K1262" s="9" t="b" cm="1">
        <f t="array" ref="K1262">INDEX(stable[is_supply_chain_dependent],MATCH(VALUE(questions[[#This Row],[qno]]),VALUE(stable[qno]),0))</f>
        <v>0</v>
      </c>
      <c r="L1262" s="9" t="b" cm="1">
        <f t="array" ref="L1262">INDEX(stable[is_mandatory],MATCH(VALUE(questions[[#This Row],[qno]]),VALUE(stable[qno]),0))</f>
        <v>0</v>
      </c>
      <c r="M1262" s="9" t="b" cm="1">
        <f t="array" ref="M1262">INDEX(stable[is_automated],MATCH(VALUE(questions[[#This Row],[qno]]),VALUE(stable[qno]),0))</f>
        <v>0</v>
      </c>
      <c r="N1262" s="9" t="b" cm="1">
        <f t="array" ref="N1262">INDEX(stable[is_free_text],MATCH(VALUE(questions[[#This Row],[qno]]),VALUE(stable[qno]),0))</f>
        <v>0</v>
      </c>
      <c r="O1262" s="9" t="b" cm="1">
        <f t="array" ref="O1262">INDEX(stable[is_numerical],MATCH(VALUE(questions[[#This Row],[qno]]),VALUE(stable[qno]),0))</f>
        <v>0</v>
      </c>
      <c r="P1262" s="77" t="b" cm="1">
        <f t="array" ref="P1262">INDEX(stable[is_single_select],MATCH(VALUE(questions[[#This Row],[qno]]),VALUE(stable[qno]),0))</f>
        <v>1</v>
      </c>
      <c r="Q1262" s="77" t="b" cm="1">
        <f t="array" ref="Q1262">INDEX(stable[is_multi_select],MATCH(VALUE(questions[[#This Row],[qno]]),VALUE(stable[qno]),0))</f>
        <v>0</v>
      </c>
      <c r="R1262" s="77" t="b" cm="1">
        <f t="array" ref="R1262">INDEX(stable[is_skip_logic],MATCH(VALUE(questions[[#This Row],[qno]]),VALUE(stable[qno]),0))</f>
        <v>1</v>
      </c>
      <c r="S1262" s="77" t="str">
        <f>_xlfn.TEXTJOIN(", ",TRUE,questions[[#This Row],[ans_opt_1]:[ans_opt_14]])</f>
        <v>Yes, No</v>
      </c>
      <c r="T1262" s="77" t="s">
        <v>149</v>
      </c>
      <c r="U1262" s="77" t="s">
        <v>119</v>
      </c>
      <c r="AH1262" s="98" t="b">
        <f>INDEX(stable[q_standard],MATCH(questions[[#This Row],[qno]],stable[qno],0))</f>
        <v>0</v>
      </c>
      <c r="AI1262" s="98" t="b">
        <f>INDEX(stable[q_living_income],MATCH(questions[[#This Row],[qno]],stable[qno],0))</f>
        <v>0</v>
      </c>
      <c r="AJ1262" s="98" t="b">
        <f>INDEX(stable[q_carbon],MATCH(questions[[#This Row],[qno]],stable[qno],0))</f>
        <v>0</v>
      </c>
      <c r="AK1262" s="98" t="b">
        <f>INDEX(stable[q_regen_ag],MATCH(questions[[#This Row],[qno]],stable[qno],0))</f>
        <v>1</v>
      </c>
      <c r="AL1262" s="98" t="b">
        <f>COUNTIFS(stable[qno],questions[[#This Row],[qno]])=1</f>
        <v>1</v>
      </c>
      <c r="AM1262" s="98" t="b">
        <f>OR(questions[[#This Row],[is_fixed]],questions[[#This Row],[is_localized]],questions[[#This Row],[is_supply_chain_dependent]])</f>
        <v>1</v>
      </c>
      <c r="AN1262" s="98" t="b">
        <f>COUNTIFS(questions[[#This Row],[is_automated]:[is_multi_select]],TRUE)=1</f>
        <v>1</v>
      </c>
      <c r="AO1262" s="98" t="b">
        <f>IF(questions[[#This Row],[is_fixed]],questions[[#This Row],[question]]=INDEX(stable[question],MATCH(questions[[#This Row],[qno]],stable[qno],0)),TRUE)</f>
        <v>0</v>
      </c>
      <c r="AP1262" s="98" t="str">
        <f>LEFT(questions[[#This Row],[question]],similarity_range)</f>
        <v>If you apply chemica</v>
      </c>
      <c r="AQ1262" s="98" t="str">
        <f>LEFT(INDEX(stable[question],MATCH(questions[[#This Row],[qno]],stable[qno],0)),similarity_range)</f>
        <v>If you apply chemica</v>
      </c>
      <c r="AR1262" s="98" t="b">
        <f>questions[[#This Row],[question_first_characters]]=questions[[#This Row],[stability_first_characters]]</f>
        <v>1</v>
      </c>
      <c r="AS1262" s="98" t="b">
        <f>IF(OR(questions[[#This Row],[is_single_select]],questions[[#This Row],[is_multi_select]]),NOT(ISBLANK(questions[[#This Row],[answer_opt_combined]])),TRUE)</f>
        <v>1</v>
      </c>
    </row>
    <row r="1263" spans="1:45" s="77" customFormat="1" ht="15.75" customHeight="1" x14ac:dyDescent="0.25">
      <c r="A1263" s="77" t="str">
        <f>_xlfn.TEXTJOIN("_",TRUE,questions[[#This Row],[origin]:[qno]])</f>
        <v>Kenya_Arabica_Nestle_2025_7243</v>
      </c>
      <c r="B1263" s="77" t="s">
        <v>818</v>
      </c>
      <c r="C1263" s="77" t="s">
        <v>59</v>
      </c>
      <c r="D1263" s="77" t="s">
        <v>819</v>
      </c>
      <c r="E1263" s="77">
        <v>2025</v>
      </c>
      <c r="F1263" s="105" t="s">
        <v>400</v>
      </c>
      <c r="G1263" s="78" t="s">
        <v>802</v>
      </c>
      <c r="H1263" s="9" t="str" cm="1">
        <f t="array" ref="H1263">INDEX(stableR[question],MATCH(VALUE(questions[[#This Row],[qno]]),VALUE(stableR[qno]),0))</f>
        <v>If you apply chemical PPPs, do you apply IPM principles and practices to prevent and control pest &amp; diseases and reduce the use of chemical PPPs?</v>
      </c>
      <c r="I1263" s="9" t="b" cm="1">
        <f t="array" ref="I1263">INDEX(stable[is_fixed],MATCH(VALUE(questions[[#This Row],[qno]]),VALUE(stable[qno]),0))</f>
        <v>1</v>
      </c>
      <c r="J1263" s="9" t="b" cm="1">
        <f t="array" ref="J1263">INDEX(stable[is_localized],MATCH(VALUE(questions[[#This Row],[qno]]),VALUE(stable[qno]),0))</f>
        <v>0</v>
      </c>
      <c r="K1263" s="9" t="b" cm="1">
        <f t="array" ref="K1263">INDEX(stable[is_supply_chain_dependent],MATCH(VALUE(questions[[#This Row],[qno]]),VALUE(stable[qno]),0))</f>
        <v>0</v>
      </c>
      <c r="L1263" s="9" t="b" cm="1">
        <f t="array" ref="L1263">INDEX(stable[is_mandatory],MATCH(VALUE(questions[[#This Row],[qno]]),VALUE(stable[qno]),0))</f>
        <v>0</v>
      </c>
      <c r="M1263" s="9" t="b" cm="1">
        <f t="array" ref="M1263">INDEX(stable[is_automated],MATCH(VALUE(questions[[#This Row],[qno]]),VALUE(stable[qno]),0))</f>
        <v>0</v>
      </c>
      <c r="N1263" s="9" t="b" cm="1">
        <f t="array" ref="N1263">INDEX(stable[is_free_text],MATCH(VALUE(questions[[#This Row],[qno]]),VALUE(stable[qno]),0))</f>
        <v>0</v>
      </c>
      <c r="O1263" s="9" t="b" cm="1">
        <f t="array" ref="O1263">INDEX(stable[is_numerical],MATCH(VALUE(questions[[#This Row],[qno]]),VALUE(stable[qno]),0))</f>
        <v>0</v>
      </c>
      <c r="P1263" s="77" t="b" cm="1">
        <f t="array" ref="P1263">INDEX(stable[is_single_select],MATCH(VALUE(questions[[#This Row],[qno]]),VALUE(stable[qno]),0))</f>
        <v>1</v>
      </c>
      <c r="Q1263" s="77" t="b" cm="1">
        <f t="array" ref="Q1263">INDEX(stable[is_multi_select],MATCH(VALUE(questions[[#This Row],[qno]]),VALUE(stable[qno]),0))</f>
        <v>0</v>
      </c>
      <c r="R1263" s="77" t="b" cm="1">
        <f t="array" ref="R1263">INDEX(stable[is_skip_logic],MATCH(VALUE(questions[[#This Row],[qno]]),VALUE(stable[qno]),0))</f>
        <v>1</v>
      </c>
      <c r="S1263" s="77" t="str">
        <f>_xlfn.TEXTJOIN(", ",TRUE,questions[[#This Row],[ans_opt_1]:[ans_opt_14]])</f>
        <v>Yes, No</v>
      </c>
      <c r="T1263" s="77" t="s">
        <v>149</v>
      </c>
      <c r="U1263" s="77" t="s">
        <v>119</v>
      </c>
      <c r="AH1263" s="98" t="b">
        <f>INDEX(stable[q_standard],MATCH(questions[[#This Row],[qno]],stable[qno],0))</f>
        <v>0</v>
      </c>
      <c r="AI1263" s="98" t="b">
        <f>INDEX(stable[q_living_income],MATCH(questions[[#This Row],[qno]],stable[qno],0))</f>
        <v>0</v>
      </c>
      <c r="AJ1263" s="98" t="b">
        <f>INDEX(stable[q_carbon],MATCH(questions[[#This Row],[qno]],stable[qno],0))</f>
        <v>0</v>
      </c>
      <c r="AK1263" s="98" t="b">
        <f>INDEX(stable[q_regen_ag],MATCH(questions[[#This Row],[qno]],stable[qno],0))</f>
        <v>1</v>
      </c>
      <c r="AL1263" s="98" t="b">
        <f>COUNTIFS(stable[qno],questions[[#This Row],[qno]])=1</f>
        <v>1</v>
      </c>
      <c r="AM1263" s="98" t="b">
        <f>OR(questions[[#This Row],[is_fixed]],questions[[#This Row],[is_localized]],questions[[#This Row],[is_supply_chain_dependent]])</f>
        <v>1</v>
      </c>
      <c r="AN1263" s="98" t="b">
        <f>COUNTIFS(questions[[#This Row],[is_automated]:[is_multi_select]],TRUE)=1</f>
        <v>1</v>
      </c>
      <c r="AO1263" s="98" t="b">
        <f>IF(questions[[#This Row],[is_fixed]],questions[[#This Row],[question]]=INDEX(stable[question],MATCH(questions[[#This Row],[qno]],stable[qno],0)),TRUE)</f>
        <v>0</v>
      </c>
      <c r="AP1263" s="98" t="str">
        <f>LEFT(questions[[#This Row],[question]],similarity_range)</f>
        <v>If you apply chemica</v>
      </c>
      <c r="AQ1263" s="98" t="str">
        <f>LEFT(INDEX(stable[question],MATCH(questions[[#This Row],[qno]],stable[qno],0)),similarity_range)</f>
        <v>If you apply chemica</v>
      </c>
      <c r="AR1263" s="98" t="b">
        <f>questions[[#This Row],[question_first_characters]]=questions[[#This Row],[stability_first_characters]]</f>
        <v>1</v>
      </c>
      <c r="AS1263" s="98" t="b">
        <f>IF(OR(questions[[#This Row],[is_single_select]],questions[[#This Row],[is_multi_select]]),NOT(ISBLANK(questions[[#This Row],[answer_opt_combined]])),TRUE)</f>
        <v>1</v>
      </c>
    </row>
    <row r="1264" spans="1:45" s="77" customFormat="1" ht="15.75" customHeight="1" x14ac:dyDescent="0.25">
      <c r="A1264" s="77" t="str">
        <f>_xlfn.TEXTJOIN("_",TRUE,questions[[#This Row],[origin]:[qno]])</f>
        <v>Kenya_Arabica_Nestle_2025_7244</v>
      </c>
      <c r="B1264" s="77" t="s">
        <v>818</v>
      </c>
      <c r="C1264" s="77" t="s">
        <v>59</v>
      </c>
      <c r="D1264" s="77" t="s">
        <v>819</v>
      </c>
      <c r="E1264" s="77">
        <v>2025</v>
      </c>
      <c r="F1264" s="105" t="s">
        <v>402</v>
      </c>
      <c r="G1264" s="78" t="s">
        <v>862</v>
      </c>
      <c r="H1264" s="9" t="str" cm="1">
        <f t="array" ref="H1264">INDEX(stableR[question],MATCH(VALUE(questions[[#This Row],[qno]]),VALUE(stableR[qno]),0))</f>
        <v>If you apply chemical PPPs, can you prove/show that all are locally authorized for coffee (e.g. coffee is in the product label), and that you respect the recommended dose and post-harvest intervals of the label of the product?</v>
      </c>
      <c r="I1264" s="9" t="b" cm="1">
        <f t="array" ref="I1264">INDEX(stable[is_fixed],MATCH(VALUE(questions[[#This Row],[qno]]),VALUE(stable[qno]),0))</f>
        <v>1</v>
      </c>
      <c r="J1264" s="9" t="b" cm="1">
        <f t="array" ref="J1264">INDEX(stable[is_localized],MATCH(VALUE(questions[[#This Row],[qno]]),VALUE(stable[qno]),0))</f>
        <v>0</v>
      </c>
      <c r="K1264" s="9" t="b" cm="1">
        <f t="array" ref="K1264">INDEX(stable[is_supply_chain_dependent],MATCH(VALUE(questions[[#This Row],[qno]]),VALUE(stable[qno]),0))</f>
        <v>0</v>
      </c>
      <c r="L1264" s="9" t="b" cm="1">
        <f t="array" ref="L1264">INDEX(stable[is_mandatory],MATCH(VALUE(questions[[#This Row],[qno]]),VALUE(stable[qno]),0))</f>
        <v>0</v>
      </c>
      <c r="M1264" s="9" t="b" cm="1">
        <f t="array" ref="M1264">INDEX(stable[is_automated],MATCH(VALUE(questions[[#This Row],[qno]]),VALUE(stable[qno]),0))</f>
        <v>0</v>
      </c>
      <c r="N1264" s="9" t="b" cm="1">
        <f t="array" ref="N1264">INDEX(stable[is_free_text],MATCH(VALUE(questions[[#This Row],[qno]]),VALUE(stable[qno]),0))</f>
        <v>0</v>
      </c>
      <c r="O1264" s="9" t="b" cm="1">
        <f t="array" ref="O1264">INDEX(stable[is_numerical],MATCH(VALUE(questions[[#This Row],[qno]]),VALUE(stable[qno]),0))</f>
        <v>0</v>
      </c>
      <c r="P1264" s="77" t="b" cm="1">
        <f t="array" ref="P1264">INDEX(stable[is_single_select],MATCH(VALUE(questions[[#This Row],[qno]]),VALUE(stable[qno]),0))</f>
        <v>1</v>
      </c>
      <c r="Q1264" s="77" t="b" cm="1">
        <f t="array" ref="Q1264">INDEX(stable[is_multi_select],MATCH(VALUE(questions[[#This Row],[qno]]),VALUE(stable[qno]),0))</f>
        <v>0</v>
      </c>
      <c r="R1264" s="77" t="b" cm="1">
        <f t="array" ref="R1264">INDEX(stable[is_skip_logic],MATCH(VALUE(questions[[#This Row],[qno]]),VALUE(stable[qno]),0))</f>
        <v>1</v>
      </c>
      <c r="S1264" s="77" t="str">
        <f>_xlfn.TEXTJOIN(", ",TRUE,questions[[#This Row],[ans_opt_1]:[ans_opt_14]])</f>
        <v>1, 2, 3, 4, 5, &gt;5</v>
      </c>
      <c r="T1264" s="77">
        <v>1</v>
      </c>
      <c r="U1264" s="77">
        <v>2</v>
      </c>
      <c r="V1264" s="77">
        <v>3</v>
      </c>
      <c r="W1264" s="77">
        <v>4</v>
      </c>
      <c r="X1264" s="77">
        <v>5</v>
      </c>
      <c r="Y1264" s="77" t="s">
        <v>404</v>
      </c>
      <c r="AH1264" s="98" t="b">
        <f>INDEX(stable[q_standard],MATCH(questions[[#This Row],[qno]],stable[qno],0))</f>
        <v>0</v>
      </c>
      <c r="AI1264" s="98" t="b">
        <f>INDEX(stable[q_living_income],MATCH(questions[[#This Row],[qno]],stable[qno],0))</f>
        <v>0</v>
      </c>
      <c r="AJ1264" s="98" t="b">
        <f>INDEX(stable[q_carbon],MATCH(questions[[#This Row],[qno]],stable[qno],0))</f>
        <v>0</v>
      </c>
      <c r="AK1264" s="98" t="b">
        <f>INDEX(stable[q_regen_ag],MATCH(questions[[#This Row],[qno]],stable[qno],0))</f>
        <v>1</v>
      </c>
      <c r="AL1264" s="98" t="b">
        <f>COUNTIFS(stable[qno],questions[[#This Row],[qno]])=1</f>
        <v>1</v>
      </c>
      <c r="AM1264" s="98" t="b">
        <f>OR(questions[[#This Row],[is_fixed]],questions[[#This Row],[is_localized]],questions[[#This Row],[is_supply_chain_dependent]])</f>
        <v>1</v>
      </c>
      <c r="AN1264" s="98" t="b">
        <f>COUNTIFS(questions[[#This Row],[is_automated]:[is_multi_select]],TRUE)=1</f>
        <v>1</v>
      </c>
      <c r="AO1264" s="98" t="b">
        <f>IF(questions[[#This Row],[is_fixed]],questions[[#This Row],[question]]=INDEX(stable[question],MATCH(questions[[#This Row],[qno]],stable[qno],0)),TRUE)</f>
        <v>0</v>
      </c>
      <c r="AP1264" s="98" t="str">
        <f>LEFT(questions[[#This Row],[question]],similarity_range)</f>
        <v>If you apply chemica</v>
      </c>
      <c r="AQ1264" s="98" t="str">
        <f>LEFT(INDEX(stable[question],MATCH(questions[[#This Row],[qno]],stable[qno],0)),similarity_range)</f>
        <v>If you apply chemica</v>
      </c>
      <c r="AR1264" s="98" t="b">
        <f>questions[[#This Row],[question_first_characters]]=questions[[#This Row],[stability_first_characters]]</f>
        <v>1</v>
      </c>
      <c r="AS1264" s="98" t="b">
        <f>IF(OR(questions[[#This Row],[is_single_select]],questions[[#This Row],[is_multi_select]]),NOT(ISBLANK(questions[[#This Row],[answer_opt_combined]])),TRUE)</f>
        <v>1</v>
      </c>
    </row>
    <row r="1265" spans="1:45" s="77" customFormat="1" ht="15.75" customHeight="1" x14ac:dyDescent="0.25">
      <c r="A1265" s="77" t="str">
        <f>_xlfn.TEXTJOIN("_",TRUE,questions[[#This Row],[origin]:[qno]])</f>
        <v>Kenya_Arabica_Nestle_2025_7245</v>
      </c>
      <c r="B1265" s="77" t="s">
        <v>818</v>
      </c>
      <c r="C1265" s="77" t="s">
        <v>59</v>
      </c>
      <c r="D1265" s="77" t="s">
        <v>819</v>
      </c>
      <c r="E1265" s="77">
        <v>2025</v>
      </c>
      <c r="F1265" s="105" t="s">
        <v>405</v>
      </c>
      <c r="G1265" s="78" t="s">
        <v>804</v>
      </c>
      <c r="H1265" s="9" t="str" cm="1">
        <f t="array" ref="H1265">INDEX(stableR[question],MATCH(VALUE(questions[[#This Row],[qno]]),VALUE(stableR[qno]),0))</f>
        <v>If you apply chemical PPPs to control pests and diseases in your farm, how many applications do you apply on average per year?</v>
      </c>
      <c r="I1265" s="9" t="b" cm="1">
        <f t="array" ref="I1265">INDEX(stable[is_fixed],MATCH(VALUE(questions[[#This Row],[qno]]),VALUE(stable[qno]),0))</f>
        <v>1</v>
      </c>
      <c r="J1265" s="9" t="b" cm="1">
        <f t="array" ref="J1265">INDEX(stable[is_localized],MATCH(VALUE(questions[[#This Row],[qno]]),VALUE(stable[qno]),0))</f>
        <v>0</v>
      </c>
      <c r="K1265" s="9" t="b" cm="1">
        <f t="array" ref="K1265">INDEX(stable[is_supply_chain_dependent],MATCH(VALUE(questions[[#This Row],[qno]]),VALUE(stable[qno]),0))</f>
        <v>0</v>
      </c>
      <c r="L1265" s="9" t="b" cm="1">
        <f t="array" ref="L1265">INDEX(stable[is_mandatory],MATCH(VALUE(questions[[#This Row],[qno]]),VALUE(stable[qno]),0))</f>
        <v>0</v>
      </c>
      <c r="M1265" s="9" t="b" cm="1">
        <f t="array" ref="M1265">INDEX(stable[is_automated],MATCH(VALUE(questions[[#This Row],[qno]]),VALUE(stable[qno]),0))</f>
        <v>0</v>
      </c>
      <c r="N1265" s="9" t="b" cm="1">
        <f t="array" ref="N1265">INDEX(stable[is_free_text],MATCH(VALUE(questions[[#This Row],[qno]]),VALUE(stable[qno]),0))</f>
        <v>0</v>
      </c>
      <c r="O1265" s="9" t="b" cm="1">
        <f t="array" ref="O1265">INDEX(stable[is_numerical],MATCH(VALUE(questions[[#This Row],[qno]]),VALUE(stable[qno]),0))</f>
        <v>0</v>
      </c>
      <c r="P1265" s="77" t="b" cm="1">
        <f t="array" ref="P1265">INDEX(stable[is_single_select],MATCH(VALUE(questions[[#This Row],[qno]]),VALUE(stable[qno]),0))</f>
        <v>1</v>
      </c>
      <c r="Q1265" s="77" t="b" cm="1">
        <f t="array" ref="Q1265">INDEX(stable[is_multi_select],MATCH(VALUE(questions[[#This Row],[qno]]),VALUE(stable[qno]),0))</f>
        <v>0</v>
      </c>
      <c r="R1265" s="77" t="b" cm="1">
        <f t="array" ref="R1265">INDEX(stable[is_skip_logic],MATCH(VALUE(questions[[#This Row],[qno]]),VALUE(stable[qno]),0))</f>
        <v>1</v>
      </c>
      <c r="S1265" s="77" t="str">
        <f>_xlfn.TEXTJOIN(", ",TRUE,questions[[#This Row],[ans_opt_1]:[ans_opt_14]])</f>
        <v>Increased - pest/disease pressure, Increased - weather conditions, Increased - pest/disease resistance, Decreased - pest/disease pressure, Decreased - adverse weather conditions, Decreased - increased cost, Decreased - replaced by regenerative agriculture</v>
      </c>
      <c r="T1265" s="77" t="s">
        <v>407</v>
      </c>
      <c r="U1265" s="77" t="s">
        <v>408</v>
      </c>
      <c r="V1265" s="77" t="s">
        <v>409</v>
      </c>
      <c r="W1265" s="77" t="s">
        <v>410</v>
      </c>
      <c r="X1265" s="77" t="s">
        <v>411</v>
      </c>
      <c r="Y1265" s="77" t="s">
        <v>412</v>
      </c>
      <c r="Z1265" s="77" t="s">
        <v>413</v>
      </c>
      <c r="AH1265" s="98" t="b">
        <f>INDEX(stable[q_standard],MATCH(questions[[#This Row],[qno]],stable[qno],0))</f>
        <v>0</v>
      </c>
      <c r="AI1265" s="98" t="b">
        <f>INDEX(stable[q_living_income],MATCH(questions[[#This Row],[qno]],stable[qno],0))</f>
        <v>0</v>
      </c>
      <c r="AJ1265" s="98" t="b">
        <f>INDEX(stable[q_carbon],MATCH(questions[[#This Row],[qno]],stable[qno],0))</f>
        <v>0</v>
      </c>
      <c r="AK1265" s="98" t="b">
        <f>INDEX(stable[q_regen_ag],MATCH(questions[[#This Row],[qno]],stable[qno],0))</f>
        <v>1</v>
      </c>
      <c r="AL1265" s="98" t="b">
        <f>COUNTIFS(stable[qno],questions[[#This Row],[qno]])=1</f>
        <v>1</v>
      </c>
      <c r="AM1265" s="98" t="b">
        <f>OR(questions[[#This Row],[is_fixed]],questions[[#This Row],[is_localized]],questions[[#This Row],[is_supply_chain_dependent]])</f>
        <v>1</v>
      </c>
      <c r="AN1265" s="98" t="b">
        <f>COUNTIFS(questions[[#This Row],[is_automated]:[is_multi_select]],TRUE)=1</f>
        <v>1</v>
      </c>
      <c r="AO1265" s="98" t="b">
        <f>IF(questions[[#This Row],[is_fixed]],questions[[#This Row],[question]]=INDEX(stable[question],MATCH(questions[[#This Row],[qno]],stable[qno],0)),TRUE)</f>
        <v>0</v>
      </c>
      <c r="AP1265" s="98" t="str">
        <f>LEFT(questions[[#This Row],[question]],similarity_range)</f>
        <v>Have you decreased o</v>
      </c>
      <c r="AQ1265" s="98" t="str">
        <f>LEFT(INDEX(stable[question],MATCH(questions[[#This Row],[qno]],stable[qno],0)),similarity_range)</f>
        <v>Have you decreased o</v>
      </c>
      <c r="AR1265" s="98" t="b">
        <f>questions[[#This Row],[question_first_characters]]=questions[[#This Row],[stability_first_characters]]</f>
        <v>1</v>
      </c>
      <c r="AS1265" s="98" t="b">
        <f>IF(OR(questions[[#This Row],[is_single_select]],questions[[#This Row],[is_multi_select]]),NOT(ISBLANK(questions[[#This Row],[answer_opt_combined]])),TRUE)</f>
        <v>1</v>
      </c>
    </row>
    <row r="1266" spans="1:45" s="77" customFormat="1" ht="15.75" customHeight="1" x14ac:dyDescent="0.25">
      <c r="A1266" s="77" t="str">
        <f>_xlfn.TEXTJOIN("_",TRUE,questions[[#This Row],[origin]:[qno]])</f>
        <v>Kenya_Arabica_Nestle_2025_7250</v>
      </c>
      <c r="B1266" s="77" t="s">
        <v>818</v>
      </c>
      <c r="C1266" s="77" t="s">
        <v>59</v>
      </c>
      <c r="D1266" s="77" t="s">
        <v>819</v>
      </c>
      <c r="E1266" s="77">
        <v>2025</v>
      </c>
      <c r="F1266" s="105" t="s">
        <v>414</v>
      </c>
      <c r="G1266" s="78" t="s">
        <v>805</v>
      </c>
      <c r="H1266" s="9" t="str" cm="1">
        <f t="array" ref="H1266">INDEX(stableR[question],MATCH(VALUE(questions[[#This Row],[qno]]),VALUE(stableR[qno]),0))</f>
        <v>Do you apply chemical herbicides to your coffee crop and how many (different active ingredients) per crop season?</v>
      </c>
      <c r="I1266" s="9" t="b" cm="1">
        <f t="array" ref="I1266">INDEX(stable[is_fixed],MATCH(VALUE(questions[[#This Row],[qno]]),VALUE(stable[qno]),0))</f>
        <v>1</v>
      </c>
      <c r="J1266" s="9" t="b" cm="1">
        <f t="array" ref="J1266">INDEX(stable[is_localized],MATCH(VALUE(questions[[#This Row],[qno]]),VALUE(stable[qno]),0))</f>
        <v>0</v>
      </c>
      <c r="K1266" s="9" t="b" cm="1">
        <f t="array" ref="K1266">INDEX(stable[is_supply_chain_dependent],MATCH(VALUE(questions[[#This Row],[qno]]),VALUE(stable[qno]),0))</f>
        <v>0</v>
      </c>
      <c r="L1266" s="9" t="b" cm="1">
        <f t="array" ref="L1266">INDEX(stable[is_mandatory],MATCH(VALUE(questions[[#This Row],[qno]]),VALUE(stable[qno]),0))</f>
        <v>1</v>
      </c>
      <c r="M1266" s="9" t="b" cm="1">
        <f t="array" ref="M1266">INDEX(stable[is_automated],MATCH(VALUE(questions[[#This Row],[qno]]),VALUE(stable[qno]),0))</f>
        <v>0</v>
      </c>
      <c r="N1266" s="9" t="b" cm="1">
        <f t="array" ref="N1266">INDEX(stable[is_free_text],MATCH(VALUE(questions[[#This Row],[qno]]),VALUE(stable[qno]),0))</f>
        <v>0</v>
      </c>
      <c r="O1266" s="9" t="b" cm="1">
        <f t="array" ref="O1266">INDEX(stable[is_numerical],MATCH(VALUE(questions[[#This Row],[qno]]),VALUE(stable[qno]),0))</f>
        <v>0</v>
      </c>
      <c r="P1266" s="77" t="b" cm="1">
        <f t="array" ref="P1266">INDEX(stable[is_single_select],MATCH(VALUE(questions[[#This Row],[qno]]),VALUE(stable[qno]),0))</f>
        <v>1</v>
      </c>
      <c r="Q1266" s="77" t="b" cm="1">
        <f t="array" ref="Q1266">INDEX(stable[is_multi_select],MATCH(VALUE(questions[[#This Row],[qno]]),VALUE(stable[qno]),0))</f>
        <v>0</v>
      </c>
      <c r="R1266" s="77" t="b" cm="1">
        <f t="array" ref="R1266">INDEX(stable[is_skip_logic],MATCH(VALUE(questions[[#This Row],[qno]]),VALUE(stable[qno]),0))</f>
        <v>1</v>
      </c>
      <c r="S1266" s="77" t="str">
        <f>_xlfn.TEXTJOIN(", ",TRUE,questions[[#This Row],[ans_opt_1]:[ans_opt_14]])</f>
        <v>No, Yes / 1-2 herbicides (active ingredients), Yes / 3-4 herbicides (active ingredients), Yes / &gt;=5 herbicides (active ingredients)</v>
      </c>
      <c r="T1266" s="77" t="s">
        <v>119</v>
      </c>
      <c r="U1266" s="77" t="s">
        <v>416</v>
      </c>
      <c r="V1266" s="77" t="s">
        <v>417</v>
      </c>
      <c r="W1266" s="77" t="s">
        <v>418</v>
      </c>
      <c r="AH1266" s="98" t="b">
        <f>INDEX(stable[q_standard],MATCH(questions[[#This Row],[qno]],stable[qno],0))</f>
        <v>0</v>
      </c>
      <c r="AI1266" s="98" t="b">
        <f>INDEX(stable[q_living_income],MATCH(questions[[#This Row],[qno]],stable[qno],0))</f>
        <v>0</v>
      </c>
      <c r="AJ1266" s="98" t="b">
        <f>INDEX(stable[q_carbon],MATCH(questions[[#This Row],[qno]],stable[qno],0))</f>
        <v>0</v>
      </c>
      <c r="AK1266" s="98" t="b">
        <f>INDEX(stable[q_regen_ag],MATCH(questions[[#This Row],[qno]],stable[qno],0))</f>
        <v>1</v>
      </c>
      <c r="AL1266" s="98" t="b">
        <f>COUNTIFS(stable[qno],questions[[#This Row],[qno]])=1</f>
        <v>1</v>
      </c>
      <c r="AM1266" s="98" t="b">
        <f>OR(questions[[#This Row],[is_fixed]],questions[[#This Row],[is_localized]],questions[[#This Row],[is_supply_chain_dependent]])</f>
        <v>1</v>
      </c>
      <c r="AN1266" s="98" t="b">
        <f>COUNTIFS(questions[[#This Row],[is_automated]:[is_multi_select]],TRUE)=1</f>
        <v>1</v>
      </c>
      <c r="AO1266" s="98" t="b">
        <f>IF(questions[[#This Row],[is_fixed]],questions[[#This Row],[question]]=INDEX(stable[question],MATCH(questions[[#This Row],[qno]],stable[qno],0)),TRUE)</f>
        <v>0</v>
      </c>
      <c r="AP1266" s="98" t="str">
        <f>LEFT(questions[[#This Row],[question]],similarity_range)</f>
        <v>Did you use herbicid</v>
      </c>
      <c r="AQ1266" s="98" t="str">
        <f>LEFT(INDEX(stable[question],MATCH(questions[[#This Row],[qno]],stable[qno],0)),similarity_range)</f>
        <v>Did you use herbicid</v>
      </c>
      <c r="AR1266" s="98" t="b">
        <f>questions[[#This Row],[question_first_characters]]=questions[[#This Row],[stability_first_characters]]</f>
        <v>1</v>
      </c>
      <c r="AS1266" s="98" t="b">
        <f>IF(OR(questions[[#This Row],[is_single_select]],questions[[#This Row],[is_multi_select]]),NOT(ISBLANK(questions[[#This Row],[answer_opt_combined]])),TRUE)</f>
        <v>1</v>
      </c>
    </row>
    <row r="1267" spans="1:45" s="77" customFormat="1" ht="15.75" customHeight="1" x14ac:dyDescent="0.25">
      <c r="A1267" s="77" t="str">
        <f>_xlfn.TEXTJOIN("_",TRUE,questions[[#This Row],[origin]:[qno]])</f>
        <v>Kenya_Arabica_Nestle_2025_7251</v>
      </c>
      <c r="B1267" s="77" t="s">
        <v>818</v>
      </c>
      <c r="C1267" s="77" t="s">
        <v>59</v>
      </c>
      <c r="D1267" s="77" t="s">
        <v>819</v>
      </c>
      <c r="E1267" s="77">
        <v>2025</v>
      </c>
      <c r="F1267" s="108" t="s">
        <v>419</v>
      </c>
      <c r="G1267" s="78" t="s">
        <v>420</v>
      </c>
      <c r="H1267" s="9" t="str" cm="1">
        <f t="array" ref="H1267">INDEX(stableR[question],MATCH(VALUE(questions[[#This Row],[qno]]),VALUE(stableR[qno]),0))</f>
        <v>If yes, list the names of all the herbicides that you used, last year.</v>
      </c>
      <c r="I1267" s="9" t="b" cm="1">
        <f t="array" ref="I1267">INDEX(stable[is_fixed],MATCH(VALUE(questions[[#This Row],[qno]]),VALUE(stable[qno]),0))</f>
        <v>1</v>
      </c>
      <c r="J1267" s="9" t="b" cm="1">
        <f t="array" ref="J1267">INDEX(stable[is_localized],MATCH(VALUE(questions[[#This Row],[qno]]),VALUE(stable[qno]),0))</f>
        <v>0</v>
      </c>
      <c r="K1267" s="9" t="b" cm="1">
        <f t="array" ref="K1267">INDEX(stable[is_supply_chain_dependent],MATCH(VALUE(questions[[#This Row],[qno]]),VALUE(stable[qno]),0))</f>
        <v>0</v>
      </c>
      <c r="L1267" s="9" t="b" cm="1">
        <f t="array" ref="L1267">INDEX(stable[is_mandatory],MATCH(VALUE(questions[[#This Row],[qno]]),VALUE(stable[qno]),0))</f>
        <v>0</v>
      </c>
      <c r="M1267" s="9" t="b" cm="1">
        <f t="array" ref="M1267">INDEX(stable[is_automated],MATCH(VALUE(questions[[#This Row],[qno]]),VALUE(stable[qno]),0))</f>
        <v>0</v>
      </c>
      <c r="N1267" s="9" t="b" cm="1">
        <f t="array" ref="N1267">INDEX(stable[is_free_text],MATCH(VALUE(questions[[#This Row],[qno]]),VALUE(stable[qno]),0))</f>
        <v>0</v>
      </c>
      <c r="O1267" s="9" t="b" cm="1">
        <f t="array" ref="O1267">INDEX(stable[is_numerical],MATCH(VALUE(questions[[#This Row],[qno]]),VALUE(stable[qno]),0))</f>
        <v>0</v>
      </c>
      <c r="P1267" s="77" t="b" cm="1">
        <f t="array" ref="P1267">INDEX(stable[is_single_select],MATCH(VALUE(questions[[#This Row],[qno]]),VALUE(stable[qno]),0))</f>
        <v>1</v>
      </c>
      <c r="Q1267" s="77" t="b" cm="1">
        <f t="array" ref="Q1267">INDEX(stable[is_multi_select],MATCH(VALUE(questions[[#This Row],[qno]]),VALUE(stable[qno]),0))</f>
        <v>0</v>
      </c>
      <c r="R1267" s="77" t="b" cm="1">
        <f t="array" ref="R1267">INDEX(stable[is_skip_logic],MATCH(VALUE(questions[[#This Row],[qno]]),VALUE(stable[qno]),0))</f>
        <v>1</v>
      </c>
      <c r="S1267" s="77" t="str">
        <f>_xlfn.TEXTJOIN(", ",TRUE,questions[[#This Row],[ans_opt_1]:[ans_opt_14]])</f>
        <v>1% to 10% - very little, 11% to 20% - little, 21% to 50% - less than half, 51% to 75% - more than half, 76% to 100% - almost all</v>
      </c>
      <c r="T1267" s="77" t="s">
        <v>421</v>
      </c>
      <c r="U1267" s="77" t="s">
        <v>422</v>
      </c>
      <c r="V1267" s="77" t="s">
        <v>423</v>
      </c>
      <c r="W1267" s="77" t="s">
        <v>340</v>
      </c>
      <c r="X1267" s="77" t="s">
        <v>341</v>
      </c>
      <c r="AH1267" s="98" t="b">
        <f>INDEX(stable[q_standard],MATCH(questions[[#This Row],[qno]],stable[qno],0))</f>
        <v>0</v>
      </c>
      <c r="AI1267" s="98" t="b">
        <f>INDEX(stable[q_living_income],MATCH(questions[[#This Row],[qno]],stable[qno],0))</f>
        <v>0</v>
      </c>
      <c r="AJ1267" s="98" t="b">
        <f>INDEX(stable[q_carbon],MATCH(questions[[#This Row],[qno]],stable[qno],0))</f>
        <v>0</v>
      </c>
      <c r="AK1267" s="98" t="b">
        <f>INDEX(stable[q_regen_ag],MATCH(questions[[#This Row],[qno]],stable[qno],0))</f>
        <v>1</v>
      </c>
      <c r="AL1267" s="98" t="b">
        <f>COUNTIFS(stable[qno],questions[[#This Row],[qno]])=1</f>
        <v>1</v>
      </c>
      <c r="AM1267" s="98" t="b">
        <f>OR(questions[[#This Row],[is_fixed]],questions[[#This Row],[is_localized]],questions[[#This Row],[is_supply_chain_dependent]])</f>
        <v>1</v>
      </c>
      <c r="AN1267" s="98" t="b">
        <f>COUNTIFS(questions[[#This Row],[is_automated]:[is_multi_select]],TRUE)=1</f>
        <v>1</v>
      </c>
      <c r="AO1267" s="98" t="b">
        <f>IF(questions[[#This Row],[is_fixed]],questions[[#This Row],[question]]=INDEX(stable[question],MATCH(questions[[#This Row],[qno]],stable[qno],0)),TRUE)</f>
        <v>0</v>
      </c>
      <c r="AP1267" s="98" t="str">
        <f>LEFT(questions[[#This Row],[question]],similarity_range)</f>
        <v>If you apply chemica</v>
      </c>
      <c r="AQ1267" s="98" t="str">
        <f>LEFT(INDEX(stable[question],MATCH(questions[[#This Row],[qno]],stable[qno],0)),similarity_range)</f>
        <v>If you apply chemica</v>
      </c>
      <c r="AR1267" s="98" t="b">
        <f>questions[[#This Row],[question_first_characters]]=questions[[#This Row],[stability_first_characters]]</f>
        <v>1</v>
      </c>
      <c r="AS1267" s="98" t="b">
        <f>IF(OR(questions[[#This Row],[is_single_select]],questions[[#This Row],[is_multi_select]]),NOT(ISBLANK(questions[[#This Row],[answer_opt_combined]])),TRUE)</f>
        <v>1</v>
      </c>
    </row>
    <row r="1268" spans="1:45" s="77" customFormat="1" ht="15.75" customHeight="1" x14ac:dyDescent="0.25">
      <c r="A1268" s="77" t="str">
        <f>_xlfn.TEXTJOIN("_",TRUE,questions[[#This Row],[origin]:[qno]])</f>
        <v>Kenya_Arabica_Nestle_2025_7252</v>
      </c>
      <c r="B1268" s="77" t="s">
        <v>818</v>
      </c>
      <c r="C1268" s="77" t="s">
        <v>59</v>
      </c>
      <c r="D1268" s="77" t="s">
        <v>819</v>
      </c>
      <c r="E1268" s="77">
        <v>2025</v>
      </c>
      <c r="F1268" s="105" t="s">
        <v>424</v>
      </c>
      <c r="G1268" s="78" t="s">
        <v>425</v>
      </c>
      <c r="H1268" s="9" t="str" cm="1">
        <f t="array" ref="H1268">INDEX(stableR[question],MATCH(VALUE(questions[[#This Row],[qno]]),VALUE(stableR[qno]),0))</f>
        <v>If applying herbicides, to which % of area of the coffee plots? e.g. if the coffee area is 1 hectare and herbicides are sprayed to only 0.5 hectare (where there is high weed pressure), then it is 50%</v>
      </c>
      <c r="I1268" s="9" t="b" cm="1">
        <f t="array" ref="I1268">INDEX(stable[is_fixed],MATCH(VALUE(questions[[#This Row],[qno]]),VALUE(stable[qno]),0))</f>
        <v>1</v>
      </c>
      <c r="J1268" s="9" t="b" cm="1">
        <f t="array" ref="J1268">INDEX(stable[is_localized],MATCH(VALUE(questions[[#This Row],[qno]]),VALUE(stable[qno]),0))</f>
        <v>0</v>
      </c>
      <c r="K1268" s="9" t="b" cm="1">
        <f t="array" ref="K1268">INDEX(stable[is_supply_chain_dependent],MATCH(VALUE(questions[[#This Row],[qno]]),VALUE(stable[qno]),0))</f>
        <v>0</v>
      </c>
      <c r="L1268" s="9" t="b" cm="1">
        <f t="array" ref="L1268">INDEX(stable[is_mandatory],MATCH(VALUE(questions[[#This Row],[qno]]),VALUE(stable[qno]),0))</f>
        <v>0</v>
      </c>
      <c r="M1268" s="9" t="b" cm="1">
        <f t="array" ref="M1268">INDEX(stable[is_automated],MATCH(VALUE(questions[[#This Row],[qno]]),VALUE(stable[qno]),0))</f>
        <v>0</v>
      </c>
      <c r="N1268" s="9" t="b" cm="1">
        <f t="array" ref="N1268">INDEX(stable[is_free_text],MATCH(VALUE(questions[[#This Row],[qno]]),VALUE(stable[qno]),0))</f>
        <v>0</v>
      </c>
      <c r="O1268" s="9" t="b" cm="1">
        <f t="array" ref="O1268">INDEX(stable[is_numerical],MATCH(VALUE(questions[[#This Row],[qno]]),VALUE(stable[qno]),0))</f>
        <v>0</v>
      </c>
      <c r="P1268" s="77" t="b" cm="1">
        <f t="array" ref="P1268">INDEX(stable[is_single_select],MATCH(VALUE(questions[[#This Row],[qno]]),VALUE(stable[qno]),0))</f>
        <v>1</v>
      </c>
      <c r="Q1268" s="77" t="b" cm="1">
        <f t="array" ref="Q1268">INDEX(stable[is_multi_select],MATCH(VALUE(questions[[#This Row],[qno]]),VALUE(stable[qno]),0))</f>
        <v>0</v>
      </c>
      <c r="R1268" s="77" t="b" cm="1">
        <f t="array" ref="R1268">INDEX(stable[is_skip_logic],MATCH(VALUE(questions[[#This Row],[qno]]),VALUE(stable[qno]),0))</f>
        <v>1</v>
      </c>
      <c r="S1268" s="77" t="str">
        <f>_xlfn.TEXTJOIN(", ",TRUE,questions[[#This Row],[ans_opt_1]:[ans_opt_14]])</f>
        <v>Yes, No</v>
      </c>
      <c r="T1268" s="77" t="s">
        <v>149</v>
      </c>
      <c r="U1268" s="77" t="s">
        <v>119</v>
      </c>
      <c r="AH1268" s="98" t="b">
        <f>INDEX(stable[q_standard],MATCH(questions[[#This Row],[qno]],stable[qno],0))</f>
        <v>0</v>
      </c>
      <c r="AI1268" s="98" t="b">
        <f>INDEX(stable[q_living_income],MATCH(questions[[#This Row],[qno]],stable[qno],0))</f>
        <v>0</v>
      </c>
      <c r="AJ1268" s="98" t="b">
        <f>INDEX(stable[q_carbon],MATCH(questions[[#This Row],[qno]],stable[qno],0))</f>
        <v>0</v>
      </c>
      <c r="AK1268" s="98" t="b">
        <f>INDEX(stable[q_regen_ag],MATCH(questions[[#This Row],[qno]],stable[qno],0))</f>
        <v>1</v>
      </c>
      <c r="AL1268" s="98" t="b">
        <f>COUNTIFS(stable[qno],questions[[#This Row],[qno]])=1</f>
        <v>1</v>
      </c>
      <c r="AM1268" s="98" t="b">
        <f>OR(questions[[#This Row],[is_fixed]],questions[[#This Row],[is_localized]],questions[[#This Row],[is_supply_chain_dependent]])</f>
        <v>1</v>
      </c>
      <c r="AN1268" s="98" t="b">
        <f>COUNTIFS(questions[[#This Row],[is_automated]:[is_multi_select]],TRUE)=1</f>
        <v>1</v>
      </c>
      <c r="AO1268" s="98" t="b">
        <f>IF(questions[[#This Row],[is_fixed]],questions[[#This Row],[question]]=INDEX(stable[question],MATCH(questions[[#This Row],[qno]],stable[qno],0)),TRUE)</f>
        <v>0</v>
      </c>
      <c r="AP1268" s="98" t="str">
        <f>LEFT(questions[[#This Row],[question]],similarity_range)</f>
        <v>If applying herbicid</v>
      </c>
      <c r="AQ1268" s="98" t="str">
        <f>LEFT(INDEX(stable[question],MATCH(questions[[#This Row],[qno]],stable[qno],0)),similarity_range)</f>
        <v>If applying herbicid</v>
      </c>
      <c r="AR1268" s="98" t="b">
        <f>questions[[#This Row],[question_first_characters]]=questions[[#This Row],[stability_first_characters]]</f>
        <v>1</v>
      </c>
      <c r="AS1268" s="98" t="b">
        <f>IF(OR(questions[[#This Row],[is_single_select]],questions[[#This Row],[is_multi_select]]),NOT(ISBLANK(questions[[#This Row],[answer_opt_combined]])),TRUE)</f>
        <v>1</v>
      </c>
    </row>
    <row r="1269" spans="1:45" s="77" customFormat="1" ht="15.75" customHeight="1" x14ac:dyDescent="0.25">
      <c r="A1269" s="77" t="str">
        <f>_xlfn.TEXTJOIN("_",TRUE,questions[[#This Row],[origin]:[qno]])</f>
        <v>Kenya_Arabica_Nestle_2025_7253</v>
      </c>
      <c r="B1269" s="77" t="s">
        <v>818</v>
      </c>
      <c r="C1269" s="77" t="s">
        <v>59</v>
      </c>
      <c r="D1269" s="77" t="s">
        <v>819</v>
      </c>
      <c r="E1269" s="77">
        <v>2025</v>
      </c>
      <c r="F1269" s="105" t="s">
        <v>426</v>
      </c>
      <c r="G1269" s="78" t="s">
        <v>427</v>
      </c>
      <c r="H1269" s="9" t="str" cm="1">
        <f t="array" ref="H1269">INDEX(stableR[question],MATCH(VALUE(questions[[#This Row],[qno]]),VALUE(stableR[qno]),0))</f>
        <v>If applying herbicides, can you prove that all are locally authorized for coffee use, and that you respect the doses and post-harvest intervals of the label of the product. If applying herbicides, to which % of area of the coffee plots? e.g. if the coffee area is 1 hectare and herbicides are sprayed to only 0.5 hectare (where there is high weed pressure), then it is 50%</v>
      </c>
      <c r="I1269" s="9" t="b" cm="1">
        <f t="array" ref="I1269">INDEX(stable[is_fixed],MATCH(VALUE(questions[[#This Row],[qno]]),VALUE(stable[qno]),0))</f>
        <v>1</v>
      </c>
      <c r="J1269" s="9" t="b" cm="1">
        <f t="array" ref="J1269">INDEX(stable[is_localized],MATCH(VALUE(questions[[#This Row],[qno]]),VALUE(stable[qno]),0))</f>
        <v>0</v>
      </c>
      <c r="K1269" s="9" t="b" cm="1">
        <f t="array" ref="K1269">INDEX(stable[is_supply_chain_dependent],MATCH(VALUE(questions[[#This Row],[qno]]),VALUE(stable[qno]),0))</f>
        <v>0</v>
      </c>
      <c r="L1269" s="9" t="b" cm="1">
        <f t="array" ref="L1269">INDEX(stable[is_mandatory],MATCH(VALUE(questions[[#This Row],[qno]]),VALUE(stable[qno]),0))</f>
        <v>1</v>
      </c>
      <c r="M1269" s="9" t="b" cm="1">
        <f t="array" ref="M1269">INDEX(stable[is_automated],MATCH(VALUE(questions[[#This Row],[qno]]),VALUE(stable[qno]),0))</f>
        <v>0</v>
      </c>
      <c r="N1269" s="9" t="b" cm="1">
        <f t="array" ref="N1269">INDEX(stable[is_free_text],MATCH(VALUE(questions[[#This Row],[qno]]),VALUE(stable[qno]),0))</f>
        <v>0</v>
      </c>
      <c r="O1269" s="9" t="b" cm="1">
        <f t="array" ref="O1269">INDEX(stable[is_numerical],MATCH(VALUE(questions[[#This Row],[qno]]),VALUE(stable[qno]),0))</f>
        <v>0</v>
      </c>
      <c r="P1269" s="77" t="b" cm="1">
        <f t="array" ref="P1269">INDEX(stable[is_single_select],MATCH(VALUE(questions[[#This Row],[qno]]),VALUE(stable[qno]),0))</f>
        <v>1</v>
      </c>
      <c r="Q1269" s="77" t="b" cm="1">
        <f t="array" ref="Q1269">INDEX(stable[is_multi_select],MATCH(VALUE(questions[[#This Row],[qno]]),VALUE(stable[qno]),0))</f>
        <v>0</v>
      </c>
      <c r="R1269" s="77" t="b" cm="1">
        <f t="array" ref="R1269">INDEX(stable[is_skip_logic],MATCH(VALUE(questions[[#This Row],[qno]]),VALUE(stable[qno]),0))</f>
        <v>1</v>
      </c>
      <c r="S1269" s="77" t="str">
        <f>_xlfn.TEXTJOIN(", ",TRUE,questions[[#This Row],[ans_opt_1]:[ans_opt_14]])</f>
        <v>Manual removal, Mechanical removal, Mulching, Cover crops, Cover crops, Amix of different systems</v>
      </c>
      <c r="T1269" s="77" t="s">
        <v>428</v>
      </c>
      <c r="U1269" s="77" t="s">
        <v>429</v>
      </c>
      <c r="V1269" s="77" t="s">
        <v>430</v>
      </c>
      <c r="W1269" s="77" t="s">
        <v>431</v>
      </c>
      <c r="X1269" s="77" t="s">
        <v>431</v>
      </c>
      <c r="Y1269" s="131" t="s">
        <v>806</v>
      </c>
      <c r="AH1269" s="98" t="b">
        <f>INDEX(stable[q_standard],MATCH(questions[[#This Row],[qno]],stable[qno],0))</f>
        <v>0</v>
      </c>
      <c r="AI1269" s="98" t="b">
        <f>INDEX(stable[q_living_income],MATCH(questions[[#This Row],[qno]],stable[qno],0))</f>
        <v>0</v>
      </c>
      <c r="AJ1269" s="98" t="b">
        <f>INDEX(stable[q_carbon],MATCH(questions[[#This Row],[qno]],stable[qno],0))</f>
        <v>0</v>
      </c>
      <c r="AK1269" s="98" t="b">
        <f>INDEX(stable[q_regen_ag],MATCH(questions[[#This Row],[qno]],stable[qno],0))</f>
        <v>1</v>
      </c>
      <c r="AL1269" s="98" t="b">
        <f>COUNTIFS(stable[qno],questions[[#This Row],[qno]])=1</f>
        <v>1</v>
      </c>
      <c r="AM1269" s="98" t="b">
        <f>OR(questions[[#This Row],[is_fixed]],questions[[#This Row],[is_localized]],questions[[#This Row],[is_supply_chain_dependent]])</f>
        <v>1</v>
      </c>
      <c r="AN1269" s="98" t="b">
        <f>COUNTIFS(questions[[#This Row],[is_automated]:[is_multi_select]],TRUE)=1</f>
        <v>1</v>
      </c>
      <c r="AO1269" s="98" t="b">
        <f>IF(questions[[#This Row],[is_fixed]],questions[[#This Row],[question]]=INDEX(stable[question],MATCH(questions[[#This Row],[qno]],stable[qno],0)),TRUE)</f>
        <v>1</v>
      </c>
      <c r="AP1269" s="98" t="str">
        <f>LEFT(questions[[#This Row],[question]],similarity_range)</f>
        <v>If you use or do not</v>
      </c>
      <c r="AQ1269" s="98" t="str">
        <f>LEFT(INDEX(stable[question],MATCH(questions[[#This Row],[qno]],stable[qno],0)),similarity_range)</f>
        <v>If you use or do not</v>
      </c>
      <c r="AR1269" s="98" t="b">
        <f>questions[[#This Row],[question_first_characters]]=questions[[#This Row],[stability_first_characters]]</f>
        <v>1</v>
      </c>
      <c r="AS1269" s="98" t="b">
        <f>IF(OR(questions[[#This Row],[is_single_select]],questions[[#This Row],[is_multi_select]]),NOT(ISBLANK(questions[[#This Row],[answer_opt_combined]])),TRUE)</f>
        <v>1</v>
      </c>
    </row>
    <row r="1270" spans="1:45" s="77" customFormat="1" ht="15.75" customHeight="1" x14ac:dyDescent="0.25">
      <c r="A1270" s="77" t="str">
        <f>_xlfn.TEXTJOIN("_",TRUE,questions[[#This Row],[origin]:[qno]])</f>
        <v>Kenya_Arabica_Nestle_2025_7300</v>
      </c>
      <c r="B1270" s="77" t="s">
        <v>818</v>
      </c>
      <c r="C1270" s="77" t="s">
        <v>59</v>
      </c>
      <c r="D1270" s="77" t="s">
        <v>819</v>
      </c>
      <c r="E1270" s="77">
        <v>2025</v>
      </c>
      <c r="F1270" s="105" t="s">
        <v>433</v>
      </c>
      <c r="G1270" s="78" t="s">
        <v>1011</v>
      </c>
      <c r="H1270" s="9" t="str" cm="1">
        <f t="array" ref="H1270">INDEX(stableR[question],MATCH(VALUE(questions[[#This Row],[qno]]),VALUE(stableR[qno]),0))</f>
        <v>Do you irrigate your coffee crop and if yes, what irrigation system/s do you use? If the answer is NO, you do not need to answer the next question</v>
      </c>
      <c r="I1270" s="9" t="b" cm="1">
        <f t="array" ref="I1270">INDEX(stable[is_fixed],MATCH(VALUE(questions[[#This Row],[qno]]),VALUE(stable[qno]),0))</f>
        <v>1</v>
      </c>
      <c r="J1270" s="9" t="b" cm="1">
        <f t="array" ref="J1270">INDEX(stable[is_localized],MATCH(VALUE(questions[[#This Row],[qno]]),VALUE(stable[qno]),0))</f>
        <v>0</v>
      </c>
      <c r="K1270" s="9" t="b" cm="1">
        <f t="array" ref="K1270">INDEX(stable[is_supply_chain_dependent],MATCH(VALUE(questions[[#This Row],[qno]]),VALUE(stable[qno]),0))</f>
        <v>0</v>
      </c>
      <c r="L1270" s="9" t="b" cm="1">
        <f t="array" ref="L1270">INDEX(stable[is_mandatory],MATCH(VALUE(questions[[#This Row],[qno]]),VALUE(stable[qno]),0))</f>
        <v>1</v>
      </c>
      <c r="M1270" s="9" t="b" cm="1">
        <f t="array" ref="M1270">INDEX(stable[is_automated],MATCH(VALUE(questions[[#This Row],[qno]]),VALUE(stable[qno]),0))</f>
        <v>0</v>
      </c>
      <c r="N1270" s="9" t="b" cm="1">
        <f t="array" ref="N1270">INDEX(stable[is_free_text],MATCH(VALUE(questions[[#This Row],[qno]]),VALUE(stable[qno]),0))</f>
        <v>0</v>
      </c>
      <c r="O1270" s="9" t="b" cm="1">
        <f t="array" ref="O1270">INDEX(stable[is_numerical],MATCH(VALUE(questions[[#This Row],[qno]]),VALUE(stable[qno]),0))</f>
        <v>0</v>
      </c>
      <c r="P1270" s="77" t="b" cm="1">
        <f t="array" ref="P1270">INDEX(stable[is_single_select],MATCH(VALUE(questions[[#This Row],[qno]]),VALUE(stable[qno]),0))</f>
        <v>1</v>
      </c>
      <c r="Q1270" s="77" t="b" cm="1">
        <f t="array" ref="Q1270">INDEX(stable[is_multi_select],MATCH(VALUE(questions[[#This Row],[qno]]),VALUE(stable[qno]),0))</f>
        <v>0</v>
      </c>
      <c r="R1270" s="77" t="b" cm="1">
        <f t="array" ref="R1270">INDEX(stable[is_skip_logic],MATCH(VALUE(questions[[#This Row],[qno]]),VALUE(stable[qno]),0))</f>
        <v>0</v>
      </c>
      <c r="S1270" s="77" t="str">
        <f>_xlfn.TEXTJOIN(", ",TRUE,questions[[#This Row],[ans_opt_1]:[ans_opt_14]])</f>
        <v>No, Yes / drip irrigation, Yes / minisprinkler irrigation, Yes / overhead irrigation (sprinklers, pivot, rain gun), Yes / flood-furrow-hose pipe irrigation</v>
      </c>
      <c r="T1270" s="77" t="s">
        <v>119</v>
      </c>
      <c r="U1270" s="77" t="s">
        <v>435</v>
      </c>
      <c r="V1270" s="77" t="s">
        <v>436</v>
      </c>
      <c r="W1270" s="77" t="s">
        <v>437</v>
      </c>
      <c r="X1270" s="77" t="s">
        <v>438</v>
      </c>
      <c r="AH1270" s="98" t="b">
        <f>INDEX(stable[q_standard],MATCH(questions[[#This Row],[qno]],stable[qno],0))</f>
        <v>0</v>
      </c>
      <c r="AI1270" s="98" t="b">
        <f>INDEX(stable[q_living_income],MATCH(questions[[#This Row],[qno]],stable[qno],0))</f>
        <v>0</v>
      </c>
      <c r="AJ1270" s="98" t="b">
        <f>INDEX(stable[q_carbon],MATCH(questions[[#This Row],[qno]],stable[qno],0))</f>
        <v>0</v>
      </c>
      <c r="AK1270" s="98" t="b">
        <f>INDEX(stable[q_regen_ag],MATCH(questions[[#This Row],[qno]],stable[qno],0))</f>
        <v>1</v>
      </c>
      <c r="AL1270" s="98" t="b">
        <f>COUNTIFS(stable[qno],questions[[#This Row],[qno]])=1</f>
        <v>1</v>
      </c>
      <c r="AM1270" s="98" t="b">
        <f>OR(questions[[#This Row],[is_fixed]],questions[[#This Row],[is_localized]],questions[[#This Row],[is_supply_chain_dependent]])</f>
        <v>1</v>
      </c>
      <c r="AN1270" s="98" t="b">
        <f>COUNTIFS(questions[[#This Row],[is_automated]:[is_multi_select]],TRUE)=1</f>
        <v>1</v>
      </c>
      <c r="AO1270" s="98" t="b">
        <f>IF(questions[[#This Row],[is_fixed]],questions[[#This Row],[question]]=INDEX(stable[question],MATCH(questions[[#This Row],[qno]],stable[qno],0)),TRUE)</f>
        <v>1</v>
      </c>
      <c r="AP1270" s="98" t="str">
        <f>LEFT(questions[[#This Row],[question]],similarity_range)</f>
        <v>Do you irrigate your</v>
      </c>
      <c r="AQ1270" s="98" t="str">
        <f>LEFT(INDEX(stable[question],MATCH(questions[[#This Row],[qno]],stable[qno],0)),similarity_range)</f>
        <v>Do you irrigate your</v>
      </c>
      <c r="AR1270" s="98" t="b">
        <f>questions[[#This Row],[question_first_characters]]=questions[[#This Row],[stability_first_characters]]</f>
        <v>1</v>
      </c>
      <c r="AS1270" s="98" t="b">
        <f>IF(OR(questions[[#This Row],[is_single_select]],questions[[#This Row],[is_multi_select]]),NOT(ISBLANK(questions[[#This Row],[answer_opt_combined]])),TRUE)</f>
        <v>1</v>
      </c>
    </row>
    <row r="1271" spans="1:45" s="77" customFormat="1" ht="15.75" customHeight="1" x14ac:dyDescent="0.25">
      <c r="A1271" s="77" t="str">
        <f>_xlfn.TEXTJOIN("_",TRUE,questions[[#This Row],[origin]:[qno]])</f>
        <v>Kenya_Arabica_Nestle_2025_7301</v>
      </c>
      <c r="B1271" s="77" t="s">
        <v>818</v>
      </c>
      <c r="C1271" s="77" t="s">
        <v>59</v>
      </c>
      <c r="D1271" s="77" t="s">
        <v>819</v>
      </c>
      <c r="E1271" s="77">
        <v>2025</v>
      </c>
      <c r="F1271" s="105" t="s">
        <v>439</v>
      </c>
      <c r="G1271" s="78" t="s">
        <v>440</v>
      </c>
      <c r="H1271" s="9" t="str" cm="1">
        <f t="array" ref="H1271">INDEX(stableR[question],MATCH(VALUE(questions[[#This Row],[qno]]),VALUE(stableR[qno]),0))</f>
        <v>Do you have a systems to know when and how much to irrigate and according to the irrigation system (balance sheet with rainfall and evapotranspiration, sensors, irrigation app-software, weather stations...)?</v>
      </c>
      <c r="I1271" s="9" t="b" cm="1">
        <f t="array" ref="I1271">INDEX(stable[is_fixed],MATCH(VALUE(questions[[#This Row],[qno]]),VALUE(stable[qno]),0))</f>
        <v>1</v>
      </c>
      <c r="J1271" s="9" t="b" cm="1">
        <f t="array" ref="J1271">INDEX(stable[is_localized],MATCH(VALUE(questions[[#This Row],[qno]]),VALUE(stable[qno]),0))</f>
        <v>0</v>
      </c>
      <c r="K1271" s="9" t="b" cm="1">
        <f t="array" ref="K1271">INDEX(stable[is_supply_chain_dependent],MATCH(VALUE(questions[[#This Row],[qno]]),VALUE(stable[qno]),0))</f>
        <v>0</v>
      </c>
      <c r="L1271" s="9" t="b" cm="1">
        <f t="array" ref="L1271">INDEX(stable[is_mandatory],MATCH(VALUE(questions[[#This Row],[qno]]),VALUE(stable[qno]),0))</f>
        <v>0</v>
      </c>
      <c r="M1271" s="9" t="b" cm="1">
        <f t="array" ref="M1271">INDEX(stable[is_automated],MATCH(VALUE(questions[[#This Row],[qno]]),VALUE(stable[qno]),0))</f>
        <v>0</v>
      </c>
      <c r="N1271" s="9" t="b" cm="1">
        <f t="array" ref="N1271">INDEX(stable[is_free_text],MATCH(VALUE(questions[[#This Row],[qno]]),VALUE(stable[qno]),0))</f>
        <v>0</v>
      </c>
      <c r="O1271" s="9" t="b" cm="1">
        <f t="array" ref="O1271">INDEX(stable[is_numerical],MATCH(VALUE(questions[[#This Row],[qno]]),VALUE(stable[qno]),0))</f>
        <v>0</v>
      </c>
      <c r="P1271" s="77" t="b" cm="1">
        <f t="array" ref="P1271">INDEX(stable[is_single_select],MATCH(VALUE(questions[[#This Row],[qno]]),VALUE(stable[qno]),0))</f>
        <v>1</v>
      </c>
      <c r="Q1271" s="77" t="b" cm="1">
        <f t="array" ref="Q1271">INDEX(stable[is_multi_select],MATCH(VALUE(questions[[#This Row],[qno]]),VALUE(stable[qno]),0))</f>
        <v>0</v>
      </c>
      <c r="R1271" s="77" t="b" cm="1">
        <f t="array" ref="R1271">INDEX(stable[is_skip_logic],MATCH(VALUE(questions[[#This Row],[qno]]),VALUE(stable[qno]),0))</f>
        <v>0</v>
      </c>
      <c r="S1271" s="77" t="str">
        <f>_xlfn.TEXTJOIN(", ",TRUE,questions[[#This Row],[ans_opt_1]:[ans_opt_14]])</f>
        <v>Yes, No</v>
      </c>
      <c r="T1271" s="77" t="s">
        <v>149</v>
      </c>
      <c r="U1271" s="77" t="s">
        <v>119</v>
      </c>
      <c r="AH1271" s="98" t="b">
        <f>INDEX(stable[q_standard],MATCH(questions[[#This Row],[qno]],stable[qno],0))</f>
        <v>0</v>
      </c>
      <c r="AI1271" s="98" t="b">
        <f>INDEX(stable[q_living_income],MATCH(questions[[#This Row],[qno]],stable[qno],0))</f>
        <v>0</v>
      </c>
      <c r="AJ1271" s="98" t="b">
        <f>INDEX(stable[q_carbon],MATCH(questions[[#This Row],[qno]],stable[qno],0))</f>
        <v>0</v>
      </c>
      <c r="AK1271" s="98" t="b">
        <f>INDEX(stable[q_regen_ag],MATCH(questions[[#This Row],[qno]],stable[qno],0))</f>
        <v>1</v>
      </c>
      <c r="AL1271" s="98" t="b">
        <f>COUNTIFS(stable[qno],questions[[#This Row],[qno]])=1</f>
        <v>1</v>
      </c>
      <c r="AM1271" s="98" t="b">
        <f>OR(questions[[#This Row],[is_fixed]],questions[[#This Row],[is_localized]],questions[[#This Row],[is_supply_chain_dependent]])</f>
        <v>1</v>
      </c>
      <c r="AN1271" s="98" t="b">
        <f>COUNTIFS(questions[[#This Row],[is_automated]:[is_multi_select]],TRUE)=1</f>
        <v>1</v>
      </c>
      <c r="AO1271" s="98" t="b">
        <f>IF(questions[[#This Row],[is_fixed]],questions[[#This Row],[question]]=INDEX(stable[question],MATCH(questions[[#This Row],[qno]],stable[qno],0)),TRUE)</f>
        <v>1</v>
      </c>
      <c r="AP1271" s="98" t="str">
        <f>LEFT(questions[[#This Row],[question]],similarity_range)</f>
        <v>Do you have a system</v>
      </c>
      <c r="AQ1271" s="98" t="str">
        <f>LEFT(INDEX(stable[question],MATCH(questions[[#This Row],[qno]],stable[qno],0)),similarity_range)</f>
        <v>Do you have a system</v>
      </c>
      <c r="AR1271" s="98" t="b">
        <f>questions[[#This Row],[question_first_characters]]=questions[[#This Row],[stability_first_characters]]</f>
        <v>1</v>
      </c>
      <c r="AS1271" s="98" t="b">
        <f>IF(OR(questions[[#This Row],[is_single_select]],questions[[#This Row],[is_multi_select]]),NOT(ISBLANK(questions[[#This Row],[answer_opt_combined]])),TRUE)</f>
        <v>1</v>
      </c>
    </row>
    <row r="1272" spans="1:45" s="77" customFormat="1" ht="15.75" customHeight="1" x14ac:dyDescent="0.25">
      <c r="A1272" s="77" t="str">
        <f>_xlfn.TEXTJOIN("_",TRUE,questions[[#This Row],[origin]:[qno]])</f>
        <v>Kenya_Arabica_Nestle_2025_7400</v>
      </c>
      <c r="B1272" s="77" t="s">
        <v>818</v>
      </c>
      <c r="C1272" s="77" t="s">
        <v>59</v>
      </c>
      <c r="D1272" s="77" t="s">
        <v>819</v>
      </c>
      <c r="E1272" s="77">
        <v>2025</v>
      </c>
      <c r="F1272" s="105" t="s">
        <v>441</v>
      </c>
      <c r="G1272" s="78" t="s">
        <v>1012</v>
      </c>
      <c r="H1272" s="9" t="str" cm="1">
        <f t="array" ref="H1272">INDEX(stableR[question],MATCH(VALUE(questions[[#This Row],[qno]]),VALUE(stableR[qno]),0))</f>
        <v>Are you implementing a plan to renovate/rehabilitate the coffee trees of your coffee plots? e.g. stumping, partial stumping, capping, side pruning, uprooting and replanting, uprooting and planting new trees, or a mix of systems. If the answer is NO, you do not need to answer the next 2 questions</v>
      </c>
      <c r="I1272" s="9" t="b" cm="1">
        <f t="array" ref="I1272">INDEX(stable[is_fixed],MATCH(VALUE(questions[[#This Row],[qno]]),VALUE(stable[qno]),0))</f>
        <v>1</v>
      </c>
      <c r="J1272" s="9" t="b" cm="1">
        <f t="array" ref="J1272">INDEX(stable[is_localized],MATCH(VALUE(questions[[#This Row],[qno]]),VALUE(stable[qno]),0))</f>
        <v>0</v>
      </c>
      <c r="K1272" s="9" t="b" cm="1">
        <f t="array" ref="K1272">INDEX(stable[is_supply_chain_dependent],MATCH(VALUE(questions[[#This Row],[qno]]),VALUE(stable[qno]),0))</f>
        <v>0</v>
      </c>
      <c r="L1272" s="9" t="b" cm="1">
        <f t="array" ref="L1272">INDEX(stable[is_mandatory],MATCH(VALUE(questions[[#This Row],[qno]]),VALUE(stable[qno]),0))</f>
        <v>1</v>
      </c>
      <c r="M1272" s="9" t="b" cm="1">
        <f t="array" ref="M1272">INDEX(stable[is_automated],MATCH(VALUE(questions[[#This Row],[qno]]),VALUE(stable[qno]),0))</f>
        <v>0</v>
      </c>
      <c r="N1272" s="9" t="b" cm="1">
        <f t="array" ref="N1272">INDEX(stable[is_free_text],MATCH(VALUE(questions[[#This Row],[qno]]),VALUE(stable[qno]),0))</f>
        <v>0</v>
      </c>
      <c r="O1272" s="9" t="b" cm="1">
        <f t="array" ref="O1272">INDEX(stable[is_numerical],MATCH(VALUE(questions[[#This Row],[qno]]),VALUE(stable[qno]),0))</f>
        <v>0</v>
      </c>
      <c r="P1272" s="77" t="b" cm="1">
        <f t="array" ref="P1272">INDEX(stable[is_single_select],MATCH(VALUE(questions[[#This Row],[qno]]),VALUE(stable[qno]),0))</f>
        <v>1</v>
      </c>
      <c r="Q1272" s="77" t="b" cm="1">
        <f t="array" ref="Q1272">INDEX(stable[is_multi_select],MATCH(VALUE(questions[[#This Row],[qno]]),VALUE(stable[qno]),0))</f>
        <v>0</v>
      </c>
      <c r="R1272" s="77" t="b" cm="1">
        <f t="array" ref="R1272">INDEX(stable[is_skip_logic],MATCH(VALUE(questions[[#This Row],[qno]]),VALUE(stable[qno]),0))</f>
        <v>1</v>
      </c>
      <c r="S1272" s="77" t="str">
        <f>_xlfn.TEXTJOIN(", ",TRUE,questions[[#This Row],[ans_opt_1]:[ans_opt_14]])</f>
        <v>Yes, No</v>
      </c>
      <c r="T1272" s="77" t="s">
        <v>149</v>
      </c>
      <c r="U1272" s="77" t="s">
        <v>119</v>
      </c>
      <c r="AH1272" s="98" t="b">
        <f>INDEX(stable[q_standard],MATCH(questions[[#This Row],[qno]],stable[qno],0))</f>
        <v>0</v>
      </c>
      <c r="AI1272" s="98" t="b">
        <f>INDEX(stable[q_living_income],MATCH(questions[[#This Row],[qno]],stable[qno],0))</f>
        <v>0</v>
      </c>
      <c r="AJ1272" s="98" t="b">
        <f>INDEX(stable[q_carbon],MATCH(questions[[#This Row],[qno]],stable[qno],0))</f>
        <v>0</v>
      </c>
      <c r="AK1272" s="98" t="b">
        <f>INDEX(stable[q_regen_ag],MATCH(questions[[#This Row],[qno]],stable[qno],0))</f>
        <v>1</v>
      </c>
      <c r="AL1272" s="98" t="b">
        <f>COUNTIFS(stable[qno],questions[[#This Row],[qno]])=1</f>
        <v>1</v>
      </c>
      <c r="AM1272" s="98" t="b">
        <f>OR(questions[[#This Row],[is_fixed]],questions[[#This Row],[is_localized]],questions[[#This Row],[is_supply_chain_dependent]])</f>
        <v>1</v>
      </c>
      <c r="AN1272" s="98" t="b">
        <f>COUNTIFS(questions[[#This Row],[is_automated]:[is_multi_select]],TRUE)=1</f>
        <v>1</v>
      </c>
      <c r="AO1272" s="98" t="b">
        <f>IF(questions[[#This Row],[is_fixed]],questions[[#This Row],[question]]=INDEX(stable[question],MATCH(questions[[#This Row],[qno]],stable[qno],0)),TRUE)</f>
        <v>1</v>
      </c>
      <c r="AP1272" s="98" t="str">
        <f>LEFT(questions[[#This Row],[question]],similarity_range)</f>
        <v>Are you implementing</v>
      </c>
      <c r="AQ1272" s="98" t="str">
        <f>LEFT(INDEX(stable[question],MATCH(questions[[#This Row],[qno]],stable[qno],0)),similarity_range)</f>
        <v>Are you implementing</v>
      </c>
      <c r="AR1272" s="98" t="b">
        <f>questions[[#This Row],[question_first_characters]]=questions[[#This Row],[stability_first_characters]]</f>
        <v>1</v>
      </c>
      <c r="AS1272" s="98" t="b">
        <f>IF(OR(questions[[#This Row],[is_single_select]],questions[[#This Row],[is_multi_select]]),NOT(ISBLANK(questions[[#This Row],[answer_opt_combined]])),TRUE)</f>
        <v>1</v>
      </c>
    </row>
    <row r="1273" spans="1:45" s="77" customFormat="1" ht="15.75" customHeight="1" x14ac:dyDescent="0.25">
      <c r="A1273" s="77" t="str">
        <f>_xlfn.TEXTJOIN("_",TRUE,questions[[#This Row],[origin]:[qno]])</f>
        <v>Kenya_Arabica_Nestle_2025_7401</v>
      </c>
      <c r="B1273" s="77" t="s">
        <v>818</v>
      </c>
      <c r="C1273" s="77" t="s">
        <v>59</v>
      </c>
      <c r="D1273" s="77" t="s">
        <v>819</v>
      </c>
      <c r="E1273" s="77">
        <v>2025</v>
      </c>
      <c r="F1273" s="105" t="s">
        <v>443</v>
      </c>
      <c r="G1273" s="78" t="s">
        <v>807</v>
      </c>
      <c r="H1273" s="9" t="str" cm="1">
        <f t="array" ref="H1273">INDEX(stableR[question],MATCH(VALUE(questions[[#This Row],[qno]]),VALUE(stableR[qno]),0))</f>
        <v>What % or proportion of trees have you renovated/rehabilitated in last 3 years?</v>
      </c>
      <c r="I1273" s="9" t="b" cm="1">
        <f t="array" ref="I1273">INDEX(stable[is_fixed],MATCH(VALUE(questions[[#This Row],[qno]]),VALUE(stable[qno]),0))</f>
        <v>1</v>
      </c>
      <c r="J1273" s="9" t="b" cm="1">
        <f t="array" ref="J1273">INDEX(stable[is_localized],MATCH(VALUE(questions[[#This Row],[qno]]),VALUE(stable[qno]),0))</f>
        <v>0</v>
      </c>
      <c r="K1273" s="9" t="b" cm="1">
        <f t="array" ref="K1273">INDEX(stable[is_supply_chain_dependent],MATCH(VALUE(questions[[#This Row],[qno]]),VALUE(stable[qno]),0))</f>
        <v>0</v>
      </c>
      <c r="L1273" s="9" t="b" cm="1">
        <f t="array" ref="L1273">INDEX(stable[is_mandatory],MATCH(VALUE(questions[[#This Row],[qno]]),VALUE(stable[qno]),0))</f>
        <v>0</v>
      </c>
      <c r="M1273" s="9" t="b" cm="1">
        <f t="array" ref="M1273">INDEX(stable[is_automated],MATCH(VALUE(questions[[#This Row],[qno]]),VALUE(stable[qno]),0))</f>
        <v>0</v>
      </c>
      <c r="N1273" s="9" t="b" cm="1">
        <f t="array" ref="N1273">INDEX(stable[is_free_text],MATCH(VALUE(questions[[#This Row],[qno]]),VALUE(stable[qno]),0))</f>
        <v>0</v>
      </c>
      <c r="O1273" s="9" t="b" cm="1">
        <f t="array" ref="O1273">INDEX(stable[is_numerical],MATCH(VALUE(questions[[#This Row],[qno]]),VALUE(stable[qno]),0))</f>
        <v>0</v>
      </c>
      <c r="P1273" s="77" t="b" cm="1">
        <f t="array" ref="P1273">INDEX(stable[is_single_select],MATCH(VALUE(questions[[#This Row],[qno]]),VALUE(stable[qno]),0))</f>
        <v>1</v>
      </c>
      <c r="Q1273" s="77" t="b" cm="1">
        <f t="array" ref="Q1273">INDEX(stable[is_multi_select],MATCH(VALUE(questions[[#This Row],[qno]]),VALUE(stable[qno]),0))</f>
        <v>0</v>
      </c>
      <c r="R1273" s="77" t="b" cm="1">
        <f t="array" ref="R1273">INDEX(stable[is_skip_logic],MATCH(VALUE(questions[[#This Row],[qno]]),VALUE(stable[qno]),0))</f>
        <v>1</v>
      </c>
      <c r="S1273" s="77" t="str">
        <f>_xlfn.TEXTJOIN(", ",TRUE,questions[[#This Row],[ans_opt_1]:[ans_opt_14]])</f>
        <v>1% to 10% - very little, 11% to 20% - little, 21% to 50% - less than half, 51% to 75% - more than half, 76% to 100% - almost all</v>
      </c>
      <c r="T1273" s="77" t="s">
        <v>421</v>
      </c>
      <c r="U1273" s="77" t="s">
        <v>422</v>
      </c>
      <c r="V1273" s="77" t="s">
        <v>423</v>
      </c>
      <c r="W1273" s="77" t="s">
        <v>340</v>
      </c>
      <c r="X1273" s="77" t="s">
        <v>341</v>
      </c>
      <c r="AH1273" s="98" t="b">
        <f>INDEX(stable[q_standard],MATCH(questions[[#This Row],[qno]],stable[qno],0))</f>
        <v>0</v>
      </c>
      <c r="AI1273" s="98" t="b">
        <f>INDEX(stable[q_living_income],MATCH(questions[[#This Row],[qno]],stable[qno],0))</f>
        <v>0</v>
      </c>
      <c r="AJ1273" s="98" t="b">
        <f>INDEX(stable[q_carbon],MATCH(questions[[#This Row],[qno]],stable[qno],0))</f>
        <v>0</v>
      </c>
      <c r="AK1273" s="98" t="b">
        <f>INDEX(stable[q_regen_ag],MATCH(questions[[#This Row],[qno]],stable[qno],0))</f>
        <v>1</v>
      </c>
      <c r="AL1273" s="98" t="b">
        <f>COUNTIFS(stable[qno],questions[[#This Row],[qno]])=1</f>
        <v>1</v>
      </c>
      <c r="AM1273" s="98" t="b">
        <f>OR(questions[[#This Row],[is_fixed]],questions[[#This Row],[is_localized]],questions[[#This Row],[is_supply_chain_dependent]])</f>
        <v>1</v>
      </c>
      <c r="AN1273" s="98" t="b">
        <f>COUNTIFS(questions[[#This Row],[is_automated]:[is_multi_select]],TRUE)=1</f>
        <v>1</v>
      </c>
      <c r="AO1273" s="98" t="b">
        <f>IF(questions[[#This Row],[is_fixed]],questions[[#This Row],[question]]=INDEX(stable[question],MATCH(questions[[#This Row],[qno]],stable[qno],0)),TRUE)</f>
        <v>0</v>
      </c>
      <c r="AP1273" s="98" t="str">
        <f>LEFT(questions[[#This Row],[question]],similarity_range)</f>
        <v>What % or proportion</v>
      </c>
      <c r="AQ1273" s="98" t="str">
        <f>LEFT(INDEX(stable[question],MATCH(questions[[#This Row],[qno]],stable[qno],0)),similarity_range)</f>
        <v>What % or proportion</v>
      </c>
      <c r="AR1273" s="98" t="b">
        <f>questions[[#This Row],[question_first_characters]]=questions[[#This Row],[stability_first_characters]]</f>
        <v>1</v>
      </c>
      <c r="AS1273" s="98" t="b">
        <f>IF(OR(questions[[#This Row],[is_single_select]],questions[[#This Row],[is_multi_select]]),NOT(ISBLANK(questions[[#This Row],[answer_opt_combined]])),TRUE)</f>
        <v>1</v>
      </c>
    </row>
    <row r="1274" spans="1:45" s="77" customFormat="1" ht="15.75" customHeight="1" x14ac:dyDescent="0.25">
      <c r="A1274" s="77" t="str">
        <f>_xlfn.TEXTJOIN("_",TRUE,questions[[#This Row],[origin]:[qno]])</f>
        <v>Kenya_Arabica_Nestle_2025_7402</v>
      </c>
      <c r="B1274" s="77" t="s">
        <v>818</v>
      </c>
      <c r="C1274" s="77" t="s">
        <v>59</v>
      </c>
      <c r="D1274" s="77" t="s">
        <v>819</v>
      </c>
      <c r="E1274" s="77">
        <v>2025</v>
      </c>
      <c r="F1274" s="105" t="s">
        <v>445</v>
      </c>
      <c r="G1274" s="78" t="s">
        <v>808</v>
      </c>
      <c r="H1274" s="9" t="str" cm="1">
        <f t="array" ref="H1274">INDEX(stableR[question],MATCH(VALUE(questions[[#This Row],[qno]]),VALUE(stableR[qno]),0))</f>
        <v>What is the main renovation-rehabilitation systems do you use to renovate/rehabilitate (e.g. full stumping, partial stumping, capping, side pruning, uprooting and planting new trees)?</v>
      </c>
      <c r="I1274" s="9" t="b" cm="1">
        <f t="array" ref="I1274">INDEX(stable[is_fixed],MATCH(VALUE(questions[[#This Row],[qno]]),VALUE(stable[qno]),0))</f>
        <v>1</v>
      </c>
      <c r="J1274" s="9" t="b" cm="1">
        <f t="array" ref="J1274">INDEX(stable[is_localized],MATCH(VALUE(questions[[#This Row],[qno]]),VALUE(stable[qno]),0))</f>
        <v>0</v>
      </c>
      <c r="K1274" s="9" t="b" cm="1">
        <f t="array" ref="K1274">INDEX(stable[is_supply_chain_dependent],MATCH(VALUE(questions[[#This Row],[qno]]),VALUE(stable[qno]),0))</f>
        <v>0</v>
      </c>
      <c r="L1274" s="9" t="b" cm="1">
        <f t="array" ref="L1274">INDEX(stable[is_mandatory],MATCH(VALUE(questions[[#This Row],[qno]]),VALUE(stable[qno]),0))</f>
        <v>0</v>
      </c>
      <c r="M1274" s="9" t="b" cm="1">
        <f t="array" ref="M1274">INDEX(stable[is_automated],MATCH(VALUE(questions[[#This Row],[qno]]),VALUE(stable[qno]),0))</f>
        <v>0</v>
      </c>
      <c r="N1274" s="9" t="b" cm="1">
        <f t="array" ref="N1274">INDEX(stable[is_free_text],MATCH(VALUE(questions[[#This Row],[qno]]),VALUE(stable[qno]),0))</f>
        <v>0</v>
      </c>
      <c r="O1274" s="9" t="b" cm="1">
        <f t="array" ref="O1274">INDEX(stable[is_numerical],MATCH(VALUE(questions[[#This Row],[qno]]),VALUE(stable[qno]),0))</f>
        <v>0</v>
      </c>
      <c r="P1274" s="77" t="b" cm="1">
        <f t="array" ref="P1274">INDEX(stable[is_single_select],MATCH(VALUE(questions[[#This Row],[qno]]),VALUE(stable[qno]),0))</f>
        <v>1</v>
      </c>
      <c r="Q1274" s="77" t="b" cm="1">
        <f t="array" ref="Q1274">INDEX(stable[is_multi_select],MATCH(VALUE(questions[[#This Row],[qno]]),VALUE(stable[qno]),0))</f>
        <v>0</v>
      </c>
      <c r="R1274" s="77" t="b" cm="1">
        <f t="array" ref="R1274">INDEX(stable[is_skip_logic],MATCH(VALUE(questions[[#This Row],[qno]]),VALUE(stable[qno]),0))</f>
        <v>1</v>
      </c>
      <c r="S1274" s="77" t="str">
        <f>_xlfn.TEXTJOIN(", ",TRUE,questions[[#This Row],[ans_opt_1]:[ans_opt_14]])</f>
        <v>full stumping, partial stumping, capping, side pruning, capping and side prunning, uprooting and planting new trees</v>
      </c>
      <c r="T1274" s="77" t="s">
        <v>447</v>
      </c>
      <c r="U1274" s="77" t="s">
        <v>448</v>
      </c>
      <c r="V1274" s="77" t="s">
        <v>449</v>
      </c>
      <c r="W1274" s="77" t="s">
        <v>450</v>
      </c>
      <c r="X1274" s="77" t="s">
        <v>451</v>
      </c>
      <c r="Y1274" s="77" t="s">
        <v>452</v>
      </c>
      <c r="AH1274" s="98" t="b">
        <f>INDEX(stable[q_standard],MATCH(questions[[#This Row],[qno]],stable[qno],0))</f>
        <v>0</v>
      </c>
      <c r="AI1274" s="98" t="b">
        <f>INDEX(stable[q_living_income],MATCH(questions[[#This Row],[qno]],stable[qno],0))</f>
        <v>0</v>
      </c>
      <c r="AJ1274" s="98" t="b">
        <f>INDEX(stable[q_carbon],MATCH(questions[[#This Row],[qno]],stable[qno],0))</f>
        <v>0</v>
      </c>
      <c r="AK1274" s="98" t="b">
        <f>INDEX(stable[q_regen_ag],MATCH(questions[[#This Row],[qno]],stable[qno],0))</f>
        <v>1</v>
      </c>
      <c r="AL1274" s="98" t="b">
        <f>COUNTIFS(stable[qno],questions[[#This Row],[qno]])=1</f>
        <v>1</v>
      </c>
      <c r="AM1274" s="98" t="b">
        <f>OR(questions[[#This Row],[is_fixed]],questions[[#This Row],[is_localized]],questions[[#This Row],[is_supply_chain_dependent]])</f>
        <v>1</v>
      </c>
      <c r="AN1274" s="98" t="b">
        <f>COUNTIFS(questions[[#This Row],[is_automated]:[is_multi_select]],TRUE)=1</f>
        <v>1</v>
      </c>
      <c r="AO1274" s="98" t="b">
        <f>IF(questions[[#This Row],[is_fixed]],questions[[#This Row],[question]]=INDEX(stable[question],MATCH(questions[[#This Row],[qno]],stable[qno],0)),TRUE)</f>
        <v>0</v>
      </c>
      <c r="AP1274" s="98" t="str">
        <f>LEFT(questions[[#This Row],[question]],similarity_range)</f>
        <v>What is the main ren</v>
      </c>
      <c r="AQ1274" s="98" t="str">
        <f>LEFT(INDEX(stable[question],MATCH(questions[[#This Row],[qno]],stable[qno],0)),similarity_range)</f>
        <v>What is the main ren</v>
      </c>
      <c r="AR1274" s="98" t="b">
        <f>questions[[#This Row],[question_first_characters]]=questions[[#This Row],[stability_first_characters]]</f>
        <v>1</v>
      </c>
      <c r="AS1274" s="98" t="b">
        <f>IF(OR(questions[[#This Row],[is_single_select]],questions[[#This Row],[is_multi_select]]),NOT(ISBLANK(questions[[#This Row],[answer_opt_combined]])),TRUE)</f>
        <v>1</v>
      </c>
    </row>
    <row r="1275" spans="1:45" s="77" customFormat="1" ht="15.75" customHeight="1" x14ac:dyDescent="0.25">
      <c r="A1275" s="77" t="str">
        <f>_xlfn.TEXTJOIN("_",TRUE,questions[[#This Row],[origin]:[qno]])</f>
        <v>Kenya_Arabica_Nestle_2025_7410</v>
      </c>
      <c r="B1275" s="77" t="s">
        <v>818</v>
      </c>
      <c r="C1275" s="77" t="s">
        <v>59</v>
      </c>
      <c r="D1275" s="77" t="s">
        <v>819</v>
      </c>
      <c r="E1275" s="77">
        <v>2025</v>
      </c>
      <c r="F1275" s="105" t="s">
        <v>453</v>
      </c>
      <c r="G1275" s="78" t="s">
        <v>454</v>
      </c>
      <c r="H1275" s="9" t="str" cm="1">
        <f t="array" ref="H1275">INDEX(stableR[question],MATCH(VALUE(questions[[#This Row],[qno]]),VALUE(stableR[qno]),0))</f>
        <v>How many coffee varieties do you grow in your coffee plots?</v>
      </c>
      <c r="I1275" s="9" t="b" cm="1">
        <f t="array" ref="I1275">INDEX(stable[is_fixed],MATCH(VALUE(questions[[#This Row],[qno]]),VALUE(stable[qno]),0))</f>
        <v>1</v>
      </c>
      <c r="J1275" s="9" t="b" cm="1">
        <f t="array" ref="J1275">INDEX(stable[is_localized],MATCH(VALUE(questions[[#This Row],[qno]]),VALUE(stable[qno]),0))</f>
        <v>0</v>
      </c>
      <c r="K1275" s="9" t="b" cm="1">
        <f t="array" ref="K1275">INDEX(stable[is_supply_chain_dependent],MATCH(VALUE(questions[[#This Row],[qno]]),VALUE(stable[qno]),0))</f>
        <v>0</v>
      </c>
      <c r="L1275" s="9" t="b" cm="1">
        <f t="array" ref="L1275">INDEX(stable[is_mandatory],MATCH(VALUE(questions[[#This Row],[qno]]),VALUE(stable[qno]),0))</f>
        <v>1</v>
      </c>
      <c r="M1275" s="9" t="b" cm="1">
        <f t="array" ref="M1275">INDEX(stable[is_automated],MATCH(VALUE(questions[[#This Row],[qno]]),VALUE(stable[qno]),0))</f>
        <v>0</v>
      </c>
      <c r="N1275" s="9" t="b" cm="1">
        <f t="array" ref="N1275">INDEX(stable[is_free_text],MATCH(VALUE(questions[[#This Row],[qno]]),VALUE(stable[qno]),0))</f>
        <v>0</v>
      </c>
      <c r="O1275" s="9" t="b" cm="1">
        <f t="array" ref="O1275">INDEX(stable[is_numerical],MATCH(VALUE(questions[[#This Row],[qno]]),VALUE(stable[qno]),0))</f>
        <v>0</v>
      </c>
      <c r="P1275" s="77" t="b" cm="1">
        <f t="array" ref="P1275">INDEX(stable[is_single_select],MATCH(VALUE(questions[[#This Row],[qno]]),VALUE(stable[qno]),0))</f>
        <v>1</v>
      </c>
      <c r="Q1275" s="77" t="b" cm="1">
        <f t="array" ref="Q1275">INDEX(stable[is_multi_select],MATCH(VALUE(questions[[#This Row],[qno]]),VALUE(stable[qno]),0))</f>
        <v>0</v>
      </c>
      <c r="R1275" s="77" t="b" cm="1">
        <f t="array" ref="R1275">INDEX(stable[is_skip_logic],MATCH(VALUE(questions[[#This Row],[qno]]),VALUE(stable[qno]),0))</f>
        <v>1</v>
      </c>
      <c r="S1275" s="77" t="str">
        <f>_xlfn.TEXTJOIN(", ",TRUE,questions[[#This Row],[ans_opt_1]:[ans_opt_14]])</f>
        <v>1, 2, 3, 4, 5, &gt;5</v>
      </c>
      <c r="T1275" s="77">
        <v>1</v>
      </c>
      <c r="U1275" s="77">
        <v>2</v>
      </c>
      <c r="V1275" s="77">
        <v>3</v>
      </c>
      <c r="W1275" s="77">
        <v>4</v>
      </c>
      <c r="X1275" s="77">
        <v>5</v>
      </c>
      <c r="Y1275" s="77" t="s">
        <v>404</v>
      </c>
      <c r="AH1275" s="98" t="b">
        <f>INDEX(stable[q_standard],MATCH(questions[[#This Row],[qno]],stable[qno],0))</f>
        <v>0</v>
      </c>
      <c r="AI1275" s="98" t="b">
        <f>INDEX(stable[q_living_income],MATCH(questions[[#This Row],[qno]],stable[qno],0))</f>
        <v>0</v>
      </c>
      <c r="AJ1275" s="98" t="b">
        <f>INDEX(stable[q_carbon],MATCH(questions[[#This Row],[qno]],stable[qno],0))</f>
        <v>0</v>
      </c>
      <c r="AK1275" s="98" t="b">
        <f>INDEX(stable[q_regen_ag],MATCH(questions[[#This Row],[qno]],stable[qno],0))</f>
        <v>1</v>
      </c>
      <c r="AL1275" s="98" t="b">
        <f>COUNTIFS(stable[qno],questions[[#This Row],[qno]])=1</f>
        <v>1</v>
      </c>
      <c r="AM1275" s="98" t="b">
        <f>OR(questions[[#This Row],[is_fixed]],questions[[#This Row],[is_localized]],questions[[#This Row],[is_supply_chain_dependent]])</f>
        <v>1</v>
      </c>
      <c r="AN1275" s="98" t="b">
        <f>COUNTIFS(questions[[#This Row],[is_automated]:[is_multi_select]],TRUE)=1</f>
        <v>1</v>
      </c>
      <c r="AO1275" s="98" t="b">
        <f>IF(questions[[#This Row],[is_fixed]],questions[[#This Row],[question]]=INDEX(stable[question],MATCH(questions[[#This Row],[qno]],stable[qno],0)),TRUE)</f>
        <v>1</v>
      </c>
      <c r="AP1275" s="98" t="str">
        <f>LEFT(questions[[#This Row],[question]],similarity_range)</f>
        <v>How many coffee vari</v>
      </c>
      <c r="AQ1275" s="98" t="str">
        <f>LEFT(INDEX(stable[question],MATCH(questions[[#This Row],[qno]],stable[qno],0)),similarity_range)</f>
        <v>How many coffee vari</v>
      </c>
      <c r="AR1275" s="98" t="b">
        <f>questions[[#This Row],[question_first_characters]]=questions[[#This Row],[stability_first_characters]]</f>
        <v>1</v>
      </c>
      <c r="AS1275" s="98" t="b">
        <f>IF(OR(questions[[#This Row],[is_single_select]],questions[[#This Row],[is_multi_select]]),NOT(ISBLANK(questions[[#This Row],[answer_opt_combined]])),TRUE)</f>
        <v>1</v>
      </c>
    </row>
    <row r="1276" spans="1:45" s="77" customFormat="1" ht="15.75" customHeight="1" x14ac:dyDescent="0.25">
      <c r="A1276" s="77" t="str">
        <f>_xlfn.TEXTJOIN("_",TRUE,questions[[#This Row],[origin]:[qno]])</f>
        <v>Kenya_Arabica_Nestle_2025_7411</v>
      </c>
      <c r="B1276" s="77" t="s">
        <v>818</v>
      </c>
      <c r="C1276" s="77" t="s">
        <v>59</v>
      </c>
      <c r="D1276" s="77" t="s">
        <v>819</v>
      </c>
      <c r="E1276" s="77">
        <v>2025</v>
      </c>
      <c r="F1276" s="105" t="s">
        <v>455</v>
      </c>
      <c r="G1276" s="78" t="s">
        <v>1013</v>
      </c>
      <c r="H1276" s="9" t="str" cm="1">
        <f t="array" ref="H1276">INDEX(stableR[question],MATCH(VALUE(questions[[#This Row],[qno]]),VALUE(stableR[qno]),0))</f>
        <v>What % or proportion over the total number of trees of the cultivated area is planted with the main variety?</v>
      </c>
      <c r="I1276" s="9" t="b" cm="1">
        <f t="array" ref="I1276">INDEX(stable[is_fixed],MATCH(VALUE(questions[[#This Row],[qno]]),VALUE(stable[qno]),0))</f>
        <v>1</v>
      </c>
      <c r="J1276" s="9" t="b" cm="1">
        <f t="array" ref="J1276">INDEX(stable[is_localized],MATCH(VALUE(questions[[#This Row],[qno]]),VALUE(stable[qno]),0))</f>
        <v>0</v>
      </c>
      <c r="K1276" s="9" t="b" cm="1">
        <f t="array" ref="K1276">INDEX(stable[is_supply_chain_dependent],MATCH(VALUE(questions[[#This Row],[qno]]),VALUE(stable[qno]),0))</f>
        <v>0</v>
      </c>
      <c r="L1276" s="9" t="b" cm="1">
        <f t="array" ref="L1276">INDEX(stable[is_mandatory],MATCH(VALUE(questions[[#This Row],[qno]]),VALUE(stable[qno]),0))</f>
        <v>1</v>
      </c>
      <c r="M1276" s="9" t="b" cm="1">
        <f t="array" ref="M1276">INDEX(stable[is_automated],MATCH(VALUE(questions[[#This Row],[qno]]),VALUE(stable[qno]),0))</f>
        <v>0</v>
      </c>
      <c r="N1276" s="9" t="b" cm="1">
        <f t="array" ref="N1276">INDEX(stable[is_free_text],MATCH(VALUE(questions[[#This Row],[qno]]),VALUE(stable[qno]),0))</f>
        <v>0</v>
      </c>
      <c r="O1276" s="9" t="b" cm="1">
        <f t="array" ref="O1276">INDEX(stable[is_numerical],MATCH(VALUE(questions[[#This Row],[qno]]),VALUE(stable[qno]),0))</f>
        <v>0</v>
      </c>
      <c r="P1276" s="77" t="b" cm="1">
        <f t="array" ref="P1276">INDEX(stable[is_single_select],MATCH(VALUE(questions[[#This Row],[qno]]),VALUE(stable[qno]),0))</f>
        <v>1</v>
      </c>
      <c r="Q1276" s="77" t="b" cm="1">
        <f t="array" ref="Q1276">INDEX(stable[is_multi_select],MATCH(VALUE(questions[[#This Row],[qno]]),VALUE(stable[qno]),0))</f>
        <v>0</v>
      </c>
      <c r="R1276" s="77" t="b" cm="1">
        <f t="array" ref="R1276">INDEX(stable[is_skip_logic],MATCH(VALUE(questions[[#This Row],[qno]]),VALUE(stable[qno]),0))</f>
        <v>1</v>
      </c>
      <c r="S1276" s="77" t="str">
        <f>_xlfn.TEXTJOIN(", ",TRUE,questions[[#This Row],[ans_opt_1]:[ans_opt_14]])</f>
        <v>1% to 25% - little to a quarter, 26% to 50% - less than half, 51% to 75% - more than half, 76% to 100% - almost all</v>
      </c>
      <c r="T1276" s="77" t="s">
        <v>338</v>
      </c>
      <c r="U1276" s="77" t="s">
        <v>339</v>
      </c>
      <c r="V1276" s="77" t="s">
        <v>340</v>
      </c>
      <c r="W1276" s="77" t="s">
        <v>341</v>
      </c>
      <c r="AH1276" s="98" t="b">
        <f>INDEX(stable[q_standard],MATCH(questions[[#This Row],[qno]],stable[qno],0))</f>
        <v>0</v>
      </c>
      <c r="AI1276" s="98" t="b">
        <f>INDEX(stable[q_living_income],MATCH(questions[[#This Row],[qno]],stable[qno],0))</f>
        <v>0</v>
      </c>
      <c r="AJ1276" s="98" t="b">
        <f>INDEX(stable[q_carbon],MATCH(questions[[#This Row],[qno]],stable[qno],0))</f>
        <v>0</v>
      </c>
      <c r="AK1276" s="98" t="b">
        <f>INDEX(stable[q_regen_ag],MATCH(questions[[#This Row],[qno]],stable[qno],0))</f>
        <v>1</v>
      </c>
      <c r="AL1276" s="98" t="b">
        <f>COUNTIFS(stable[qno],questions[[#This Row],[qno]])=1</f>
        <v>1</v>
      </c>
      <c r="AM1276" s="98" t="b">
        <f>OR(questions[[#This Row],[is_fixed]],questions[[#This Row],[is_localized]],questions[[#This Row],[is_supply_chain_dependent]])</f>
        <v>1</v>
      </c>
      <c r="AN1276" s="98" t="b">
        <f>COUNTIFS(questions[[#This Row],[is_automated]:[is_multi_select]],TRUE)=1</f>
        <v>1</v>
      </c>
      <c r="AO1276" s="98" t="b">
        <f>IF(questions[[#This Row],[is_fixed]],questions[[#This Row],[question]]=INDEX(stable[question],MATCH(questions[[#This Row],[qno]],stable[qno],0)),TRUE)</f>
        <v>0</v>
      </c>
      <c r="AP1276" s="98" t="str">
        <f>LEFT(questions[[#This Row],[question]],similarity_range)</f>
        <v>What % or proportion</v>
      </c>
      <c r="AQ1276" s="98" t="str">
        <f>LEFT(INDEX(stable[question],MATCH(questions[[#This Row],[qno]],stable[qno],0)),similarity_range)</f>
        <v>What % or proportion</v>
      </c>
      <c r="AR1276" s="98" t="b">
        <f>questions[[#This Row],[question_first_characters]]=questions[[#This Row],[stability_first_characters]]</f>
        <v>1</v>
      </c>
      <c r="AS1276" s="98" t="b">
        <f>IF(OR(questions[[#This Row],[is_single_select]],questions[[#This Row],[is_multi_select]]),NOT(ISBLANK(questions[[#This Row],[answer_opt_combined]])),TRUE)</f>
        <v>1</v>
      </c>
    </row>
    <row r="1277" spans="1:45" s="77" customFormat="1" ht="15.75" customHeight="1" x14ac:dyDescent="0.25">
      <c r="A1277" s="77" t="str">
        <f>_xlfn.TEXTJOIN("_",TRUE,questions[[#This Row],[origin]:[qno]])</f>
        <v>Kenya_Arabica_Nestle_2025_7412</v>
      </c>
      <c r="B1277" s="77" t="s">
        <v>818</v>
      </c>
      <c r="C1277" s="77" t="s">
        <v>59</v>
      </c>
      <c r="D1277" s="77" t="s">
        <v>819</v>
      </c>
      <c r="E1277" s="77">
        <v>2025</v>
      </c>
      <c r="F1277" s="105" t="s">
        <v>457</v>
      </c>
      <c r="G1277" s="78" t="s">
        <v>458</v>
      </c>
      <c r="H1277" s="9" t="str" cm="1">
        <f t="array" ref="H1277">INDEX(stableR[question],MATCH(VALUE(questions[[#This Row],[qno]]),VALUE(stableR[qno]),0))</f>
        <v>If you grow only one variety, how many years ago was this variety planted?</v>
      </c>
      <c r="I1277" s="9" t="b" cm="1">
        <f t="array" ref="I1277">INDEX(stable[is_fixed],MATCH(VALUE(questions[[#This Row],[qno]]),VALUE(stable[qno]),0))</f>
        <v>1</v>
      </c>
      <c r="J1277" s="9" t="b" cm="1">
        <f t="array" ref="J1277">INDEX(stable[is_localized],MATCH(VALUE(questions[[#This Row],[qno]]),VALUE(stable[qno]),0))</f>
        <v>0</v>
      </c>
      <c r="K1277" s="9" t="b" cm="1">
        <f t="array" ref="K1277">INDEX(stable[is_supply_chain_dependent],MATCH(VALUE(questions[[#This Row],[qno]]),VALUE(stable[qno]),0))</f>
        <v>0</v>
      </c>
      <c r="L1277" s="9" t="b" cm="1">
        <f t="array" ref="L1277">INDEX(stable[is_mandatory],MATCH(VALUE(questions[[#This Row],[qno]]),VALUE(stable[qno]),0))</f>
        <v>0</v>
      </c>
      <c r="M1277" s="9" t="b" cm="1">
        <f t="array" ref="M1277">INDEX(stable[is_automated],MATCH(VALUE(questions[[#This Row],[qno]]),VALUE(stable[qno]),0))</f>
        <v>0</v>
      </c>
      <c r="N1277" s="9" t="b" cm="1">
        <f t="array" ref="N1277">INDEX(stable[is_free_text],MATCH(VALUE(questions[[#This Row],[qno]]),VALUE(stable[qno]),0))</f>
        <v>0</v>
      </c>
      <c r="O1277" s="9" t="b" cm="1">
        <f t="array" ref="O1277">INDEX(stable[is_numerical],MATCH(VALUE(questions[[#This Row],[qno]]),VALUE(stable[qno]),0))</f>
        <v>0</v>
      </c>
      <c r="P1277" s="77" t="b" cm="1">
        <f t="array" ref="P1277">INDEX(stable[is_single_select],MATCH(VALUE(questions[[#This Row],[qno]]),VALUE(stable[qno]),0))</f>
        <v>1</v>
      </c>
      <c r="Q1277" s="77" t="b" cm="1">
        <f t="array" ref="Q1277">INDEX(stable[is_multi_select],MATCH(VALUE(questions[[#This Row],[qno]]),VALUE(stable[qno]),0))</f>
        <v>0</v>
      </c>
      <c r="R1277" s="77" t="b" cm="1">
        <f t="array" ref="R1277">INDEX(stable[is_skip_logic],MATCH(VALUE(questions[[#This Row],[qno]]),VALUE(stable[qno]),0))</f>
        <v>1</v>
      </c>
      <c r="S1277" s="77" t="str">
        <f>_xlfn.TEXTJOIN(", ",TRUE,questions[[#This Row],[ans_opt_1]:[ans_opt_14]])</f>
        <v>1-5 years, 6-10 years, 11-15 years, 15-20 years, 20-30 years, &gt;30 years</v>
      </c>
      <c r="T1277" s="77" t="s">
        <v>459</v>
      </c>
      <c r="U1277" s="77" t="s">
        <v>460</v>
      </c>
      <c r="V1277" s="77" t="s">
        <v>461</v>
      </c>
      <c r="W1277" s="77" t="s">
        <v>462</v>
      </c>
      <c r="X1277" s="77" t="s">
        <v>463</v>
      </c>
      <c r="Y1277" s="77" t="s">
        <v>464</v>
      </c>
      <c r="AH1277" s="98" t="b">
        <f>INDEX(stable[q_standard],MATCH(questions[[#This Row],[qno]],stable[qno],0))</f>
        <v>0</v>
      </c>
      <c r="AI1277" s="98" t="b">
        <f>INDEX(stable[q_living_income],MATCH(questions[[#This Row],[qno]],stable[qno],0))</f>
        <v>0</v>
      </c>
      <c r="AJ1277" s="98" t="b">
        <f>INDEX(stable[q_carbon],MATCH(questions[[#This Row],[qno]],stable[qno],0))</f>
        <v>0</v>
      </c>
      <c r="AK1277" s="98" t="b">
        <f>INDEX(stable[q_regen_ag],MATCH(questions[[#This Row],[qno]],stable[qno],0))</f>
        <v>1</v>
      </c>
      <c r="AL1277" s="98" t="b">
        <f>COUNTIFS(stable[qno],questions[[#This Row],[qno]])=1</f>
        <v>1</v>
      </c>
      <c r="AM1277" s="98" t="b">
        <f>OR(questions[[#This Row],[is_fixed]],questions[[#This Row],[is_localized]],questions[[#This Row],[is_supply_chain_dependent]])</f>
        <v>1</v>
      </c>
      <c r="AN1277" s="98" t="b">
        <f>COUNTIFS(questions[[#This Row],[is_automated]:[is_multi_select]],TRUE)=1</f>
        <v>1</v>
      </c>
      <c r="AO1277" s="98" t="b">
        <f>IF(questions[[#This Row],[is_fixed]],questions[[#This Row],[question]]=INDEX(stable[question],MATCH(questions[[#This Row],[qno]],stable[qno],0)),TRUE)</f>
        <v>1</v>
      </c>
      <c r="AP1277" s="98" t="str">
        <f>LEFT(questions[[#This Row],[question]],similarity_range)</f>
        <v>If you grow only one</v>
      </c>
      <c r="AQ1277" s="98" t="str">
        <f>LEFT(INDEX(stable[question],MATCH(questions[[#This Row],[qno]],stable[qno],0)),similarity_range)</f>
        <v>If you grow only one</v>
      </c>
      <c r="AR1277" s="98" t="b">
        <f>questions[[#This Row],[question_first_characters]]=questions[[#This Row],[stability_first_characters]]</f>
        <v>1</v>
      </c>
      <c r="AS1277" s="98" t="b">
        <f>IF(OR(questions[[#This Row],[is_single_select]],questions[[#This Row],[is_multi_select]]),NOT(ISBLANK(questions[[#This Row],[answer_opt_combined]])),TRUE)</f>
        <v>1</v>
      </c>
    </row>
    <row r="1278" spans="1:45" s="77" customFormat="1" ht="15.75" customHeight="1" x14ac:dyDescent="0.25">
      <c r="A1278" s="77" t="str">
        <f>_xlfn.TEXTJOIN("_",TRUE,questions[[#This Row],[origin]:[qno]])</f>
        <v>Kenya_Arabica_Nestle_2025_7500</v>
      </c>
      <c r="B1278" s="77" t="s">
        <v>818</v>
      </c>
      <c r="C1278" s="77" t="s">
        <v>59</v>
      </c>
      <c r="D1278" s="77" t="s">
        <v>819</v>
      </c>
      <c r="E1278" s="77">
        <v>2025</v>
      </c>
      <c r="F1278" s="105" t="s">
        <v>465</v>
      </c>
      <c r="G1278" s="78" t="s">
        <v>863</v>
      </c>
      <c r="H1278" s="9" t="str" cm="1">
        <f t="array" ref="H1278">INDEX(stableR[question],MATCH(VALUE(questions[[#This Row],[qno]]),VALUE(stableR[qno]),0))</f>
        <v>Do you plant shade trees and/or fruit trees in your coffee plots?</v>
      </c>
      <c r="I1278" s="9" t="b" cm="1">
        <f t="array" ref="I1278">INDEX(stable[is_fixed],MATCH(VALUE(questions[[#This Row],[qno]]),VALUE(stable[qno]),0))</f>
        <v>0</v>
      </c>
      <c r="J1278" s="9" t="b" cm="1">
        <f t="array" ref="J1278">INDEX(stable[is_localized],MATCH(VALUE(questions[[#This Row],[qno]]),VALUE(stable[qno]),0))</f>
        <v>1</v>
      </c>
      <c r="K1278" s="9" t="b" cm="1">
        <f t="array" ref="K1278">INDEX(stable[is_supply_chain_dependent],MATCH(VALUE(questions[[#This Row],[qno]]),VALUE(stable[qno]),0))</f>
        <v>0</v>
      </c>
      <c r="L1278" s="9" t="b" cm="1">
        <f t="array" ref="L1278">INDEX(stable[is_mandatory],MATCH(VALUE(questions[[#This Row],[qno]]),VALUE(stable[qno]),0))</f>
        <v>1</v>
      </c>
      <c r="M1278" s="9" t="b" cm="1">
        <f t="array" ref="M1278">INDEX(stable[is_automated],MATCH(VALUE(questions[[#This Row],[qno]]),VALUE(stable[qno]),0))</f>
        <v>0</v>
      </c>
      <c r="N1278" s="9" t="b" cm="1">
        <f t="array" ref="N1278">INDEX(stable[is_free_text],MATCH(VALUE(questions[[#This Row],[qno]]),VALUE(stable[qno]),0))</f>
        <v>0</v>
      </c>
      <c r="O1278" s="9" t="b" cm="1">
        <f t="array" ref="O1278">INDEX(stable[is_numerical],MATCH(VALUE(questions[[#This Row],[qno]]),VALUE(stable[qno]),0))</f>
        <v>0</v>
      </c>
      <c r="P1278" s="77" t="b" cm="1">
        <f t="array" ref="P1278">INDEX(stable[is_single_select],MATCH(VALUE(questions[[#This Row],[qno]]),VALUE(stable[qno]),0))</f>
        <v>1</v>
      </c>
      <c r="Q1278" s="77" t="b" cm="1">
        <f t="array" ref="Q1278">INDEX(stable[is_multi_select],MATCH(VALUE(questions[[#This Row],[qno]]),VALUE(stable[qno]),0))</f>
        <v>0</v>
      </c>
      <c r="R1278" s="77" t="b" cm="1">
        <f t="array" ref="R1278">INDEX(stable[is_skip_logic],MATCH(VALUE(questions[[#This Row],[qno]]),VALUE(stable[qno]),0))</f>
        <v>1</v>
      </c>
      <c r="S1278" s="77" t="str">
        <f>_xlfn.TEXTJOIN(", ",TRUE,questions[[#This Row],[ans_opt_1]:[ans_opt_14]])</f>
        <v>No, Yes - forest shade trees, Yes - fruit trees, Yes - mix of forest shade trees and fruit trees</v>
      </c>
      <c r="T1278" s="77" t="s">
        <v>119</v>
      </c>
      <c r="U1278" s="77" t="s">
        <v>467</v>
      </c>
      <c r="V1278" s="77" t="s">
        <v>468</v>
      </c>
      <c r="W1278" s="77" t="s">
        <v>469</v>
      </c>
      <c r="AH1278" s="98" t="b">
        <f>INDEX(stable[q_standard],MATCH(questions[[#This Row],[qno]],stable[qno],0))</f>
        <v>0</v>
      </c>
      <c r="AI1278" s="98" t="b">
        <f>INDEX(stable[q_living_income],MATCH(questions[[#This Row],[qno]],stable[qno],0))</f>
        <v>0</v>
      </c>
      <c r="AJ1278" s="98" t="b">
        <f>INDEX(stable[q_carbon],MATCH(questions[[#This Row],[qno]],stable[qno],0))</f>
        <v>0</v>
      </c>
      <c r="AK1278" s="98" t="b">
        <f>INDEX(stable[q_regen_ag],MATCH(questions[[#This Row],[qno]],stable[qno],0))</f>
        <v>1</v>
      </c>
      <c r="AL1278" s="98" t="b">
        <f>COUNTIFS(stable[qno],questions[[#This Row],[qno]])=1</f>
        <v>1</v>
      </c>
      <c r="AM1278" s="98" t="b">
        <f>OR(questions[[#This Row],[is_fixed]],questions[[#This Row],[is_localized]],questions[[#This Row],[is_supply_chain_dependent]])</f>
        <v>1</v>
      </c>
      <c r="AN1278" s="98" t="b">
        <f>COUNTIFS(questions[[#This Row],[is_automated]:[is_multi_select]],TRUE)=1</f>
        <v>1</v>
      </c>
      <c r="AO1278" s="98" t="b">
        <f>IF(questions[[#This Row],[is_fixed]],questions[[#This Row],[question]]=INDEX(stable[question],MATCH(questions[[#This Row],[qno]],stable[qno],0)),TRUE)</f>
        <v>1</v>
      </c>
      <c r="AP1278" s="98" t="str">
        <f>LEFT(questions[[#This Row],[question]],similarity_range)</f>
        <v>Do you plant shade t</v>
      </c>
      <c r="AQ1278" s="98" t="str">
        <f>LEFT(INDEX(stable[question],MATCH(questions[[#This Row],[qno]],stable[qno],0)),similarity_range)</f>
        <v>Do you plant shade t</v>
      </c>
      <c r="AR1278" s="98" t="b">
        <f>questions[[#This Row],[question_first_characters]]=questions[[#This Row],[stability_first_characters]]</f>
        <v>1</v>
      </c>
      <c r="AS1278" s="98" t="b">
        <f>IF(OR(questions[[#This Row],[is_single_select]],questions[[#This Row],[is_multi_select]]),NOT(ISBLANK(questions[[#This Row],[answer_opt_combined]])),TRUE)</f>
        <v>1</v>
      </c>
    </row>
    <row r="1279" spans="1:45" s="77" customFormat="1" ht="15.75" customHeight="1" x14ac:dyDescent="0.25">
      <c r="A1279" s="77" t="str">
        <f>_xlfn.TEXTJOIN("_",TRUE,questions[[#This Row],[origin]:[qno]])</f>
        <v>Kenya_Arabica_Nestle_2025_7501</v>
      </c>
      <c r="B1279" s="77" t="s">
        <v>818</v>
      </c>
      <c r="C1279" s="77" t="s">
        <v>59</v>
      </c>
      <c r="D1279" s="77" t="s">
        <v>819</v>
      </c>
      <c r="E1279" s="77">
        <v>2025</v>
      </c>
      <c r="F1279" s="105" t="s">
        <v>470</v>
      </c>
      <c r="G1279" s="78" t="s">
        <v>811</v>
      </c>
      <c r="H1279" s="9" t="str" cm="1">
        <f t="array" ref="H1279">INDEX(stableR[question],MATCH(VALUE(questions[[#This Row],[qno]]),VALUE(stableR[qno]),0))</f>
        <v>If so, on what % or proportion of your coffee plots do you have shade and/or fruit trees? e.g. if all agro-forestry trees are only distributed in a quarter of the coffee plot, and the rest of the plot does not have agro-forestry trees, then it is 25%</v>
      </c>
      <c r="I1279" s="9" t="b" cm="1">
        <f t="array" ref="I1279">INDEX(stable[is_fixed],MATCH(VALUE(questions[[#This Row],[qno]]),VALUE(stable[qno]),0))</f>
        <v>1</v>
      </c>
      <c r="J1279" s="9" t="b" cm="1">
        <f t="array" ref="J1279">INDEX(stable[is_localized],MATCH(VALUE(questions[[#This Row],[qno]]),VALUE(stable[qno]),0))</f>
        <v>0</v>
      </c>
      <c r="K1279" s="9" t="b" cm="1">
        <f t="array" ref="K1279">INDEX(stable[is_supply_chain_dependent],MATCH(VALUE(questions[[#This Row],[qno]]),VALUE(stable[qno]),0))</f>
        <v>0</v>
      </c>
      <c r="L1279" s="9" t="b" cm="1">
        <f t="array" ref="L1279">INDEX(stable[is_mandatory],MATCH(VALUE(questions[[#This Row],[qno]]),VALUE(stable[qno]),0))</f>
        <v>0</v>
      </c>
      <c r="M1279" s="9" t="b" cm="1">
        <f t="array" ref="M1279">INDEX(stable[is_automated],MATCH(VALUE(questions[[#This Row],[qno]]),VALUE(stable[qno]),0))</f>
        <v>0</v>
      </c>
      <c r="N1279" s="9" t="b" cm="1">
        <f t="array" ref="N1279">INDEX(stable[is_free_text],MATCH(VALUE(questions[[#This Row],[qno]]),VALUE(stable[qno]),0))</f>
        <v>0</v>
      </c>
      <c r="O1279" s="9" t="b" cm="1">
        <f t="array" ref="O1279">INDEX(stable[is_numerical],MATCH(VALUE(questions[[#This Row],[qno]]),VALUE(stable[qno]),0))</f>
        <v>0</v>
      </c>
      <c r="P1279" s="77" t="b" cm="1">
        <f t="array" ref="P1279">INDEX(stable[is_single_select],MATCH(VALUE(questions[[#This Row],[qno]]),VALUE(stable[qno]),0))</f>
        <v>1</v>
      </c>
      <c r="Q1279" s="77" t="b" cm="1">
        <f t="array" ref="Q1279">INDEX(stable[is_multi_select],MATCH(VALUE(questions[[#This Row],[qno]]),VALUE(stable[qno]),0))</f>
        <v>0</v>
      </c>
      <c r="R1279" s="77" t="b" cm="1">
        <f t="array" ref="R1279">INDEX(stable[is_skip_logic],MATCH(VALUE(questions[[#This Row],[qno]]),VALUE(stable[qno]),0))</f>
        <v>1</v>
      </c>
      <c r="S1279" s="77" t="str">
        <f>_xlfn.TEXTJOIN(", ",TRUE,questions[[#This Row],[ans_opt_1]:[ans_opt_14]])</f>
        <v>1% to 25% - little to a quarter, 26% to 50% - less than half, 51% to 75% - more than half, 76% to 100% - almost all</v>
      </c>
      <c r="T1279" s="77" t="s">
        <v>338</v>
      </c>
      <c r="U1279" s="77" t="s">
        <v>339</v>
      </c>
      <c r="V1279" s="77" t="s">
        <v>340</v>
      </c>
      <c r="W1279" s="77" t="s">
        <v>341</v>
      </c>
      <c r="AH1279" s="98" t="b">
        <f>INDEX(stable[q_standard],MATCH(questions[[#This Row],[qno]],stable[qno],0))</f>
        <v>0</v>
      </c>
      <c r="AI1279" s="98" t="b">
        <f>INDEX(stable[q_living_income],MATCH(questions[[#This Row],[qno]],stable[qno],0))</f>
        <v>0</v>
      </c>
      <c r="AJ1279" s="98" t="b">
        <f>INDEX(stable[q_carbon],MATCH(questions[[#This Row],[qno]],stable[qno],0))</f>
        <v>0</v>
      </c>
      <c r="AK1279" s="98" t="b">
        <f>INDEX(stable[q_regen_ag],MATCH(questions[[#This Row],[qno]],stable[qno],0))</f>
        <v>1</v>
      </c>
      <c r="AL1279" s="98" t="b">
        <f>COUNTIFS(stable[qno],questions[[#This Row],[qno]])=1</f>
        <v>1</v>
      </c>
      <c r="AM1279" s="98" t="b">
        <f>OR(questions[[#This Row],[is_fixed]],questions[[#This Row],[is_localized]],questions[[#This Row],[is_supply_chain_dependent]])</f>
        <v>1</v>
      </c>
      <c r="AN1279" s="98" t="b">
        <f>COUNTIFS(questions[[#This Row],[is_automated]:[is_multi_select]],TRUE)=1</f>
        <v>1</v>
      </c>
      <c r="AO1279" s="98" t="b">
        <f>IF(questions[[#This Row],[is_fixed]],questions[[#This Row],[question]]=INDEX(stable[question],MATCH(questions[[#This Row],[qno]],stable[qno],0)),TRUE)</f>
        <v>0</v>
      </c>
      <c r="AP1279" s="98" t="str">
        <f>LEFT(questions[[#This Row],[question]],similarity_range)</f>
        <v xml:space="preserve">If so, on what % or </v>
      </c>
      <c r="AQ1279" s="98" t="str">
        <f>LEFT(INDEX(stable[question],MATCH(questions[[#This Row],[qno]],stable[qno],0)),similarity_range)</f>
        <v xml:space="preserve">If so, on what % or </v>
      </c>
      <c r="AR1279" s="98" t="b">
        <f>questions[[#This Row],[question_first_characters]]=questions[[#This Row],[stability_first_characters]]</f>
        <v>1</v>
      </c>
      <c r="AS1279" s="98" t="b">
        <f>IF(OR(questions[[#This Row],[is_single_select]],questions[[#This Row],[is_multi_select]]),NOT(ISBLANK(questions[[#This Row],[answer_opt_combined]])),TRUE)</f>
        <v>1</v>
      </c>
    </row>
    <row r="1280" spans="1:45" ht="15.75" customHeight="1" x14ac:dyDescent="0.25">
      <c r="A1280" s="9" t="str">
        <f>_xlfn.TEXTJOIN("_",TRUE,questions[[#This Row],[origin]:[qno]])</f>
        <v>Kenya_Arabica_Nestle_2025_7502</v>
      </c>
      <c r="B1280" s="33" t="s">
        <v>818</v>
      </c>
      <c r="C1280" s="33" t="s">
        <v>59</v>
      </c>
      <c r="D1280" s="33" t="s">
        <v>819</v>
      </c>
      <c r="E1280" s="33">
        <v>2025</v>
      </c>
      <c r="F1280" s="41" t="s">
        <v>472</v>
      </c>
      <c r="G1280" s="18" t="s">
        <v>473</v>
      </c>
      <c r="H1280" s="9" t="str" cm="1">
        <f t="array" ref="H1280">INDEX(stableR[question],MATCH(VALUE(questions[[#This Row],[qno]]),VALUE(stableR[qno]),0))</f>
        <v>How many different species of shade and/or fruit trees do you have in your coffee plots?</v>
      </c>
      <c r="I1280" s="9" t="b" cm="1">
        <f t="array" ref="I1280">INDEX(stable[is_fixed],MATCH(VALUE(questions[[#This Row],[qno]]),VALUE(stable[qno]),0))</f>
        <v>1</v>
      </c>
      <c r="J1280" s="9" t="b" cm="1">
        <f t="array" ref="J1280">INDEX(stable[is_localized],MATCH(VALUE(questions[[#This Row],[qno]]),VALUE(stable[qno]),0))</f>
        <v>0</v>
      </c>
      <c r="K1280" s="9" t="b" cm="1">
        <f t="array" ref="K1280">INDEX(stable[is_supply_chain_dependent],MATCH(VALUE(questions[[#This Row],[qno]]),VALUE(stable[qno]),0))</f>
        <v>0</v>
      </c>
      <c r="L1280" s="9" t="b" cm="1">
        <f t="array" ref="L1280">INDEX(stable[is_mandatory],MATCH(VALUE(questions[[#This Row],[qno]]),VALUE(stable[qno]),0))</f>
        <v>0</v>
      </c>
      <c r="M1280" s="9" t="b" cm="1">
        <f t="array" ref="M1280">INDEX(stable[is_automated],MATCH(VALUE(questions[[#This Row],[qno]]),VALUE(stable[qno]),0))</f>
        <v>0</v>
      </c>
      <c r="N1280" s="9" t="b" cm="1">
        <f t="array" ref="N1280">INDEX(stable[is_free_text],MATCH(VALUE(questions[[#This Row],[qno]]),VALUE(stable[qno]),0))</f>
        <v>0</v>
      </c>
      <c r="O1280" s="9" t="b" cm="1">
        <f t="array" ref="O1280">INDEX(stable[is_numerical],MATCH(VALUE(questions[[#This Row],[qno]]),VALUE(stable[qno]),0))</f>
        <v>1</v>
      </c>
      <c r="P1280" s="9" t="b" cm="1">
        <f t="array" ref="P1280">INDEX(stable[is_single_select],MATCH(VALUE(questions[[#This Row],[qno]]),VALUE(stable[qno]),0))</f>
        <v>0</v>
      </c>
      <c r="Q1280" s="9" t="b" cm="1">
        <f t="array" ref="Q1280">INDEX(stable[is_multi_select],MATCH(VALUE(questions[[#This Row],[qno]]),VALUE(stable[qno]),0))</f>
        <v>0</v>
      </c>
      <c r="R1280" s="9" t="b" cm="1">
        <f t="array" ref="R1280">INDEX(stable[is_skip_logic],MATCH(VALUE(questions[[#This Row],[qno]]),VALUE(stable[qno]),0))</f>
        <v>0</v>
      </c>
      <c r="S1280" s="9" t="str">
        <f>_xlfn.TEXTJOIN(", ",TRUE,questions[[#This Row],[ans_opt_1]:[ans_opt_14]])</f>
        <v/>
      </c>
      <c r="T1280" s="33"/>
      <c r="U1280" s="33"/>
      <c r="V1280" s="33"/>
      <c r="W1280" s="33"/>
      <c r="X1280" s="33"/>
      <c r="Y1280" s="33"/>
      <c r="Z1280" s="33"/>
      <c r="AA1280" s="33"/>
      <c r="AB1280" s="33"/>
      <c r="AC1280" s="33"/>
      <c r="AD1280" s="33"/>
      <c r="AE1280" s="33"/>
      <c r="AF1280" s="33"/>
      <c r="AG1280" s="33"/>
      <c r="AH1280" s="99" t="b">
        <f>INDEX(stable[q_standard],MATCH(questions[[#This Row],[qno]],stable[qno],0))</f>
        <v>0</v>
      </c>
      <c r="AI1280" s="99" t="b">
        <f>INDEX(stable[q_living_income],MATCH(questions[[#This Row],[qno]],stable[qno],0))</f>
        <v>0</v>
      </c>
      <c r="AJ1280" s="99" t="b">
        <f>INDEX(stable[q_carbon],MATCH(questions[[#This Row],[qno]],stable[qno],0))</f>
        <v>0</v>
      </c>
      <c r="AK1280" s="99" t="b">
        <f>INDEX(stable[q_regen_ag],MATCH(questions[[#This Row],[qno]],stable[qno],0))</f>
        <v>1</v>
      </c>
      <c r="AL1280" s="16" t="b">
        <f>COUNTIFS(stable[qno],questions[[#This Row],[qno]])=1</f>
        <v>1</v>
      </c>
      <c r="AM1280" s="16" t="b">
        <f>OR(questions[[#This Row],[is_fixed]],questions[[#This Row],[is_localized]],questions[[#This Row],[is_supply_chain_dependent]])</f>
        <v>1</v>
      </c>
      <c r="AN1280" s="16" t="b">
        <f>COUNTIFS(questions[[#This Row],[is_automated]:[is_multi_select]],TRUE)=1</f>
        <v>1</v>
      </c>
      <c r="AO1280" s="16" t="b">
        <f>IF(questions[[#This Row],[is_fixed]],questions[[#This Row],[question]]=INDEX(stable[question],MATCH(questions[[#This Row],[qno]],stable[qno],0)),TRUE)</f>
        <v>1</v>
      </c>
      <c r="AP1280" s="16" t="str">
        <f>LEFT(questions[[#This Row],[question]],similarity_range)</f>
        <v>How many different s</v>
      </c>
      <c r="AQ1280" s="16" t="str">
        <f>LEFT(INDEX(stable[question],MATCH(questions[[#This Row],[qno]],stable[qno],0)),similarity_range)</f>
        <v>How many different s</v>
      </c>
      <c r="AR1280" s="16" t="b">
        <f>questions[[#This Row],[question_first_characters]]=questions[[#This Row],[stability_first_characters]]</f>
        <v>1</v>
      </c>
      <c r="AS1280" s="16" t="b">
        <f>IF(OR(questions[[#This Row],[is_single_select]],questions[[#This Row],[is_multi_select]]),NOT(ISBLANK(questions[[#This Row],[answer_opt_combined]])),TRUE)</f>
        <v>1</v>
      </c>
    </row>
    <row r="1281" spans="1:45" ht="15.75" customHeight="1" x14ac:dyDescent="0.25">
      <c r="A1281" s="9" t="str">
        <f>_xlfn.TEXTJOIN("_",TRUE,questions[[#This Row],[origin]:[qno]])</f>
        <v>Kenya_Arabica_Nestle_2025_7503</v>
      </c>
      <c r="B1281" s="33" t="s">
        <v>818</v>
      </c>
      <c r="C1281" s="33" t="s">
        <v>59</v>
      </c>
      <c r="D1281" s="33" t="s">
        <v>819</v>
      </c>
      <c r="E1281" s="33">
        <v>2025</v>
      </c>
      <c r="F1281" s="41" t="s">
        <v>474</v>
      </c>
      <c r="G1281" s="18" t="s">
        <v>475</v>
      </c>
      <c r="H1281" s="9" t="str" cm="1">
        <f t="array" ref="H1281">INDEX(stableR[question],MATCH(VALUE(questions[[#This Row],[qno]]),VALUE(stableR[qno]),0))</f>
        <v>Can you estimate how many shade trees (including fruit and other trees) you have in your coffee plots, in total (inside and boundary trees)?</v>
      </c>
      <c r="I1281" s="9" t="b" cm="1">
        <f t="array" ref="I1281">INDEX(stable[is_fixed],MATCH(VALUE(questions[[#This Row],[qno]]),VALUE(stable[qno]),0))</f>
        <v>1</v>
      </c>
      <c r="J1281" s="9" t="b" cm="1">
        <f t="array" ref="J1281">INDEX(stable[is_localized],MATCH(VALUE(questions[[#This Row],[qno]]),VALUE(stable[qno]),0))</f>
        <v>0</v>
      </c>
      <c r="K1281" s="9" t="b" cm="1">
        <f t="array" ref="K1281">INDEX(stable[is_supply_chain_dependent],MATCH(VALUE(questions[[#This Row],[qno]]),VALUE(stable[qno]),0))</f>
        <v>0</v>
      </c>
      <c r="L1281" s="9" t="b" cm="1">
        <f t="array" ref="L1281">INDEX(stable[is_mandatory],MATCH(VALUE(questions[[#This Row],[qno]]),VALUE(stable[qno]),0))</f>
        <v>0</v>
      </c>
      <c r="M1281" s="9" t="b" cm="1">
        <f t="array" ref="M1281">INDEX(stable[is_automated],MATCH(VALUE(questions[[#This Row],[qno]]),VALUE(stable[qno]),0))</f>
        <v>0</v>
      </c>
      <c r="N1281" s="9" t="b" cm="1">
        <f t="array" ref="N1281">INDEX(stable[is_free_text],MATCH(VALUE(questions[[#This Row],[qno]]),VALUE(stable[qno]),0))</f>
        <v>0</v>
      </c>
      <c r="O1281" s="9" t="b" cm="1">
        <f t="array" ref="O1281">INDEX(stable[is_numerical],MATCH(VALUE(questions[[#This Row],[qno]]),VALUE(stable[qno]),0))</f>
        <v>1</v>
      </c>
      <c r="P1281" s="9" t="b" cm="1">
        <f t="array" ref="P1281">INDEX(stable[is_single_select],MATCH(VALUE(questions[[#This Row],[qno]]),VALUE(stable[qno]),0))</f>
        <v>0</v>
      </c>
      <c r="Q1281" s="9" t="b" cm="1">
        <f t="array" ref="Q1281">INDEX(stable[is_multi_select],MATCH(VALUE(questions[[#This Row],[qno]]),VALUE(stable[qno]),0))</f>
        <v>0</v>
      </c>
      <c r="R1281" s="9" t="b" cm="1">
        <f t="array" ref="R1281">INDEX(stable[is_skip_logic],MATCH(VALUE(questions[[#This Row],[qno]]),VALUE(stable[qno]),0))</f>
        <v>0</v>
      </c>
      <c r="S1281" s="9" t="str">
        <f>_xlfn.TEXTJOIN(", ",TRUE,questions[[#This Row],[ans_opt_1]:[ans_opt_14]])</f>
        <v/>
      </c>
      <c r="T1281" s="33"/>
      <c r="U1281" s="33"/>
      <c r="V1281" s="33"/>
      <c r="W1281" s="33"/>
      <c r="X1281" s="33"/>
      <c r="Y1281" s="33"/>
      <c r="Z1281" s="33"/>
      <c r="AA1281" s="33"/>
      <c r="AB1281" s="33"/>
      <c r="AC1281" s="33"/>
      <c r="AD1281" s="33"/>
      <c r="AE1281" s="33"/>
      <c r="AF1281" s="33"/>
      <c r="AG1281" s="33"/>
      <c r="AH1281" s="99" t="b">
        <f>INDEX(stable[q_standard],MATCH(questions[[#This Row],[qno]],stable[qno],0))</f>
        <v>0</v>
      </c>
      <c r="AI1281" s="99" t="b">
        <f>INDEX(stable[q_living_income],MATCH(questions[[#This Row],[qno]],stable[qno],0))</f>
        <v>0</v>
      </c>
      <c r="AJ1281" s="99" t="b">
        <f>INDEX(stable[q_carbon],MATCH(questions[[#This Row],[qno]],stable[qno],0))</f>
        <v>0</v>
      </c>
      <c r="AK1281" s="99" t="b">
        <f>INDEX(stable[q_regen_ag],MATCH(questions[[#This Row],[qno]],stable[qno],0))</f>
        <v>1</v>
      </c>
      <c r="AL1281" s="16" t="b">
        <f>COUNTIFS(stable[qno],questions[[#This Row],[qno]])=1</f>
        <v>1</v>
      </c>
      <c r="AM1281" s="16" t="b">
        <f>OR(questions[[#This Row],[is_fixed]],questions[[#This Row],[is_localized]],questions[[#This Row],[is_supply_chain_dependent]])</f>
        <v>1</v>
      </c>
      <c r="AN1281" s="16" t="b">
        <f>COUNTIFS(questions[[#This Row],[is_automated]:[is_multi_select]],TRUE)=1</f>
        <v>1</v>
      </c>
      <c r="AO1281" s="16" t="b">
        <f>IF(questions[[#This Row],[is_fixed]],questions[[#This Row],[question]]=INDEX(stable[question],MATCH(questions[[#This Row],[qno]],stable[qno],0)),TRUE)</f>
        <v>1</v>
      </c>
      <c r="AP1281" s="16" t="str">
        <f>LEFT(questions[[#This Row],[question]],similarity_range)</f>
        <v>Can you estimate how</v>
      </c>
      <c r="AQ1281" s="16" t="str">
        <f>LEFT(INDEX(stable[question],MATCH(questions[[#This Row],[qno]],stable[qno],0)),similarity_range)</f>
        <v>Can you estimate how</v>
      </c>
      <c r="AR1281" s="16" t="b">
        <f>questions[[#This Row],[question_first_characters]]=questions[[#This Row],[stability_first_characters]]</f>
        <v>1</v>
      </c>
      <c r="AS1281" s="16" t="b">
        <f>IF(OR(questions[[#This Row],[is_single_select]],questions[[#This Row],[is_multi_select]]),NOT(ISBLANK(questions[[#This Row],[answer_opt_combined]])),TRUE)</f>
        <v>1</v>
      </c>
    </row>
    <row r="1282" spans="1:45" s="77" customFormat="1" ht="15.75" customHeight="1" x14ac:dyDescent="0.25">
      <c r="A1282" s="77" t="str">
        <f>_xlfn.TEXTJOIN("_",TRUE,questions[[#This Row],[origin]:[qno]])</f>
        <v>Kenya_Arabica_Nestle_2025_7504</v>
      </c>
      <c r="B1282" s="77" t="s">
        <v>818</v>
      </c>
      <c r="C1282" s="77" t="s">
        <v>59</v>
      </c>
      <c r="D1282" s="77" t="s">
        <v>819</v>
      </c>
      <c r="E1282" s="77">
        <v>2025</v>
      </c>
      <c r="F1282" s="105" t="s">
        <v>476</v>
      </c>
      <c r="G1282" s="78" t="s">
        <v>477</v>
      </c>
      <c r="H1282" s="9" t="str" cm="1">
        <f t="array" ref="H1282">INDEX(stableR[question],MATCH(VALUE(questions[[#This Row],[qno]]),VALUE(stableR[qno]),0))</f>
        <v>What describes best the size of these shade trees?</v>
      </c>
      <c r="I1282" s="9" t="b" cm="1">
        <f t="array" ref="I1282">INDEX(stable[is_fixed],MATCH(VALUE(questions[[#This Row],[qno]]),VALUE(stable[qno]),0))</f>
        <v>1</v>
      </c>
      <c r="J1282" s="9" t="b" cm="1">
        <f t="array" ref="J1282">INDEX(stable[is_localized],MATCH(VALUE(questions[[#This Row],[qno]]),VALUE(stable[qno]),0))</f>
        <v>0</v>
      </c>
      <c r="K1282" s="9" t="b" cm="1">
        <f t="array" ref="K1282">INDEX(stable[is_supply_chain_dependent],MATCH(VALUE(questions[[#This Row],[qno]]),VALUE(stable[qno]),0))</f>
        <v>0</v>
      </c>
      <c r="L1282" s="9" t="b" cm="1">
        <f t="array" ref="L1282">INDEX(stable[is_mandatory],MATCH(VALUE(questions[[#This Row],[qno]]),VALUE(stable[qno]),0))</f>
        <v>0</v>
      </c>
      <c r="M1282" s="9" t="b" cm="1">
        <f t="array" ref="M1282">INDEX(stable[is_automated],MATCH(VALUE(questions[[#This Row],[qno]]),VALUE(stable[qno]),0))</f>
        <v>0</v>
      </c>
      <c r="N1282" s="9" t="b" cm="1">
        <f t="array" ref="N1282">INDEX(stable[is_free_text],MATCH(VALUE(questions[[#This Row],[qno]]),VALUE(stable[qno]),0))</f>
        <v>0</v>
      </c>
      <c r="O1282" s="9" t="b" cm="1">
        <f t="array" ref="O1282">INDEX(stable[is_numerical],MATCH(VALUE(questions[[#This Row],[qno]]),VALUE(stable[qno]),0))</f>
        <v>0</v>
      </c>
      <c r="P1282" s="77" t="b" cm="1">
        <f t="array" ref="P1282">INDEX(stable[is_single_select],MATCH(VALUE(questions[[#This Row],[qno]]),VALUE(stable[qno]),0))</f>
        <v>1</v>
      </c>
      <c r="Q1282" s="77" t="b" cm="1">
        <f t="array" ref="Q1282">INDEX(stable[is_multi_select],MATCH(VALUE(questions[[#This Row],[qno]]),VALUE(stable[qno]),0))</f>
        <v>0</v>
      </c>
      <c r="R1282" s="77" t="b" cm="1">
        <f t="array" ref="R1282">INDEX(stable[is_skip_logic],MATCH(VALUE(questions[[#This Row],[qno]]),VALUE(stable[qno]),0))</f>
        <v>0</v>
      </c>
      <c r="S1282" s="77" t="str">
        <f>_xlfn.TEXTJOIN(", ",TRUE,questions[[#This Row],[ans_opt_1]:[ans_opt_14]])</f>
        <v>Big sized, full grown, shade trees, Medium sized shade trees, including fruit trees, Multipurpose mix of trees (different types and sizes)</v>
      </c>
      <c r="T1282" s="77" t="s">
        <v>478</v>
      </c>
      <c r="U1282" s="77" t="s">
        <v>812</v>
      </c>
      <c r="V1282" s="77" t="s">
        <v>813</v>
      </c>
      <c r="AH1282" s="98" t="b">
        <f>INDEX(stable[q_standard],MATCH(questions[[#This Row],[qno]],stable[qno],0))</f>
        <v>0</v>
      </c>
      <c r="AI1282" s="98" t="b">
        <f>INDEX(stable[q_living_income],MATCH(questions[[#This Row],[qno]],stable[qno],0))</f>
        <v>0</v>
      </c>
      <c r="AJ1282" s="98" t="b">
        <f>INDEX(stable[q_carbon],MATCH(questions[[#This Row],[qno]],stable[qno],0))</f>
        <v>0</v>
      </c>
      <c r="AK1282" s="98" t="b">
        <f>INDEX(stable[q_regen_ag],MATCH(questions[[#This Row],[qno]],stable[qno],0))</f>
        <v>1</v>
      </c>
      <c r="AL1282" s="98" t="b">
        <f>COUNTIFS(stable[qno],questions[[#This Row],[qno]])=1</f>
        <v>1</v>
      </c>
      <c r="AM1282" s="98" t="b">
        <f>OR(questions[[#This Row],[is_fixed]],questions[[#This Row],[is_localized]],questions[[#This Row],[is_supply_chain_dependent]])</f>
        <v>1</v>
      </c>
      <c r="AN1282" s="98" t="b">
        <f>COUNTIFS(questions[[#This Row],[is_automated]:[is_multi_select]],TRUE)=1</f>
        <v>1</v>
      </c>
      <c r="AO1282" s="98" t="b">
        <f>IF(questions[[#This Row],[is_fixed]],questions[[#This Row],[question]]=INDEX(stable[question],MATCH(questions[[#This Row],[qno]],stable[qno],0)),TRUE)</f>
        <v>1</v>
      </c>
      <c r="AP1282" s="98" t="str">
        <f>LEFT(questions[[#This Row],[question]],similarity_range)</f>
        <v xml:space="preserve">What describes best </v>
      </c>
      <c r="AQ1282" s="98" t="str">
        <f>LEFT(INDEX(stable[question],MATCH(questions[[#This Row],[qno]],stable[qno],0)),similarity_range)</f>
        <v xml:space="preserve">What describes best </v>
      </c>
      <c r="AR1282" s="98" t="b">
        <f>questions[[#This Row],[question_first_characters]]=questions[[#This Row],[stability_first_characters]]</f>
        <v>1</v>
      </c>
      <c r="AS1282" s="98" t="b">
        <f>IF(OR(questions[[#This Row],[is_single_select]],questions[[#This Row],[is_multi_select]]),NOT(ISBLANK(questions[[#This Row],[answer_opt_combined]])),TRUE)</f>
        <v>1</v>
      </c>
    </row>
    <row r="1283" spans="1:45" s="77" customFormat="1" ht="15.75" customHeight="1" x14ac:dyDescent="0.25">
      <c r="A1283" s="77" t="str">
        <f>_xlfn.TEXTJOIN("_",TRUE,questions[[#This Row],[origin]:[qno]])</f>
        <v>Kenya_Arabica_Nestle_2025_7600</v>
      </c>
      <c r="B1283" s="77" t="s">
        <v>818</v>
      </c>
      <c r="C1283" s="77" t="s">
        <v>59</v>
      </c>
      <c r="D1283" s="77" t="s">
        <v>819</v>
      </c>
      <c r="E1283" s="77">
        <v>2025</v>
      </c>
      <c r="F1283" s="105" t="s">
        <v>481</v>
      </c>
      <c r="G1283" s="78" t="s">
        <v>482</v>
      </c>
      <c r="H1283" s="9" t="str" cm="1">
        <f t="array" ref="H1283">INDEX(stableR[question],MATCH(VALUE(questions[[#This Row],[qno]]),VALUE(stableR[qno]),0))</f>
        <v>Do you keep bee hives in your farm (own bee hives or termporary during flowering season)?</v>
      </c>
      <c r="I1283" s="9" t="b" cm="1">
        <f t="array" ref="I1283">INDEX(stable[is_fixed],MATCH(VALUE(questions[[#This Row],[qno]]),VALUE(stable[qno]),0))</f>
        <v>1</v>
      </c>
      <c r="J1283" s="9" t="b" cm="1">
        <f t="array" ref="J1283">INDEX(stable[is_localized],MATCH(VALUE(questions[[#This Row],[qno]]),VALUE(stable[qno]),0))</f>
        <v>0</v>
      </c>
      <c r="K1283" s="9" t="b" cm="1">
        <f t="array" ref="K1283">INDEX(stable[is_supply_chain_dependent],MATCH(VALUE(questions[[#This Row],[qno]]),VALUE(stable[qno]),0))</f>
        <v>0</v>
      </c>
      <c r="L1283" s="9" t="b" cm="1">
        <f t="array" ref="L1283">INDEX(stable[is_mandatory],MATCH(VALUE(questions[[#This Row],[qno]]),VALUE(stable[qno]),0))</f>
        <v>1</v>
      </c>
      <c r="M1283" s="9" t="b" cm="1">
        <f t="array" ref="M1283">INDEX(stable[is_automated],MATCH(VALUE(questions[[#This Row],[qno]]),VALUE(stable[qno]),0))</f>
        <v>0</v>
      </c>
      <c r="N1283" s="9" t="b" cm="1">
        <f t="array" ref="N1283">INDEX(stable[is_free_text],MATCH(VALUE(questions[[#This Row],[qno]]),VALUE(stable[qno]),0))</f>
        <v>0</v>
      </c>
      <c r="O1283" s="9" t="b" cm="1">
        <f t="array" ref="O1283">INDEX(stable[is_numerical],MATCH(VALUE(questions[[#This Row],[qno]]),VALUE(stable[qno]),0))</f>
        <v>0</v>
      </c>
      <c r="P1283" s="77" t="b" cm="1">
        <f t="array" ref="P1283">INDEX(stable[is_single_select],MATCH(VALUE(questions[[#This Row],[qno]]),VALUE(stable[qno]),0))</f>
        <v>1</v>
      </c>
      <c r="Q1283" s="77" t="b" cm="1">
        <f t="array" ref="Q1283">INDEX(stable[is_multi_select],MATCH(VALUE(questions[[#This Row],[qno]]),VALUE(stable[qno]),0))</f>
        <v>0</v>
      </c>
      <c r="R1283" s="77" t="b" cm="1">
        <f t="array" ref="R1283">INDEX(stable[is_skip_logic],MATCH(VALUE(questions[[#This Row],[qno]]),VALUE(stable[qno]),0))</f>
        <v>0</v>
      </c>
      <c r="S1283" s="77" t="str">
        <f>_xlfn.TEXTJOIN(", ",TRUE,questions[[#This Row],[ans_opt_1]:[ans_opt_14]])</f>
        <v>Yes, No</v>
      </c>
      <c r="T1283" s="77" t="s">
        <v>149</v>
      </c>
      <c r="U1283" s="77" t="s">
        <v>119</v>
      </c>
      <c r="AH1283" s="98" t="b">
        <f>INDEX(stable[q_standard],MATCH(questions[[#This Row],[qno]],stable[qno],0))</f>
        <v>0</v>
      </c>
      <c r="AI1283" s="98" t="b">
        <f>INDEX(stable[q_living_income],MATCH(questions[[#This Row],[qno]],stable[qno],0))</f>
        <v>0</v>
      </c>
      <c r="AJ1283" s="98" t="b">
        <f>INDEX(stable[q_carbon],MATCH(questions[[#This Row],[qno]],stable[qno],0))</f>
        <v>0</v>
      </c>
      <c r="AK1283" s="98" t="b">
        <f>INDEX(stable[q_regen_ag],MATCH(questions[[#This Row],[qno]],stable[qno],0))</f>
        <v>1</v>
      </c>
      <c r="AL1283" s="98" t="b">
        <f>COUNTIFS(stable[qno],questions[[#This Row],[qno]])=1</f>
        <v>1</v>
      </c>
      <c r="AM1283" s="98" t="b">
        <f>OR(questions[[#This Row],[is_fixed]],questions[[#This Row],[is_localized]],questions[[#This Row],[is_supply_chain_dependent]])</f>
        <v>1</v>
      </c>
      <c r="AN1283" s="98" t="b">
        <f>COUNTIFS(questions[[#This Row],[is_automated]:[is_multi_select]],TRUE)=1</f>
        <v>1</v>
      </c>
      <c r="AO1283" s="98" t="b">
        <f>IF(questions[[#This Row],[is_fixed]],questions[[#This Row],[question]]=INDEX(stable[question],MATCH(questions[[#This Row],[qno]],stable[qno],0)),TRUE)</f>
        <v>1</v>
      </c>
      <c r="AP1283" s="98" t="str">
        <f>LEFT(questions[[#This Row],[question]],similarity_range)</f>
        <v>Do you keep bee hive</v>
      </c>
      <c r="AQ1283" s="98" t="str">
        <f>LEFT(INDEX(stable[question],MATCH(questions[[#This Row],[qno]],stable[qno],0)),similarity_range)</f>
        <v>Do you keep bee hive</v>
      </c>
      <c r="AR1283" s="98" t="b">
        <f>questions[[#This Row],[question_first_characters]]=questions[[#This Row],[stability_first_characters]]</f>
        <v>1</v>
      </c>
      <c r="AS1283" s="98" t="b">
        <f>IF(OR(questions[[#This Row],[is_single_select]],questions[[#This Row],[is_multi_select]]),NOT(ISBLANK(questions[[#This Row],[answer_opt_combined]])),TRUE)</f>
        <v>1</v>
      </c>
    </row>
    <row r="1284" spans="1:45" s="77" customFormat="1" ht="15.75" customHeight="1" x14ac:dyDescent="0.25">
      <c r="A1284" s="77" t="str">
        <f>_xlfn.TEXTJOIN("_",TRUE,questions[[#This Row],[origin]:[qno]])</f>
        <v>Kenya_Arabica_Nestle_2025_7700</v>
      </c>
      <c r="B1284" s="77" t="s">
        <v>818</v>
      </c>
      <c r="C1284" s="77" t="s">
        <v>59</v>
      </c>
      <c r="D1284" s="77" t="s">
        <v>819</v>
      </c>
      <c r="E1284" s="77">
        <v>2025</v>
      </c>
      <c r="F1284" s="105" t="s">
        <v>483</v>
      </c>
      <c r="G1284" s="78" t="s">
        <v>814</v>
      </c>
      <c r="H1284" s="9" t="str" cm="1">
        <f t="array" ref="H1284">INDEX(stableR[question],MATCH(VALUE(questions[[#This Row],[qno]]),VALUE(stableR[qno]),0))</f>
        <v>Do you have riparian areas (a buffer area or strip of vegetation along the bank of a stream or river that spatially separates agricultural land from the water) in your coffee plots and/or its boundaries and how many?  If the answer is NO, you do not need to answer the next question.</v>
      </c>
      <c r="I1284" s="9" t="b" cm="1">
        <f t="array" ref="I1284">INDEX(stable[is_fixed],MATCH(VALUE(questions[[#This Row],[qno]]),VALUE(stable[qno]),0))</f>
        <v>1</v>
      </c>
      <c r="J1284" s="9" t="b" cm="1">
        <f t="array" ref="J1284">INDEX(stable[is_localized],MATCH(VALUE(questions[[#This Row],[qno]]),VALUE(stable[qno]),0))</f>
        <v>0</v>
      </c>
      <c r="K1284" s="9" t="b" cm="1">
        <f t="array" ref="K1284">INDEX(stable[is_supply_chain_dependent],MATCH(VALUE(questions[[#This Row],[qno]]),VALUE(stable[qno]),0))</f>
        <v>0</v>
      </c>
      <c r="L1284" s="9" t="b" cm="1">
        <f t="array" ref="L1284">INDEX(stable[is_mandatory],MATCH(VALUE(questions[[#This Row],[qno]]),VALUE(stable[qno]),0))</f>
        <v>1</v>
      </c>
      <c r="M1284" s="9" t="b" cm="1">
        <f t="array" ref="M1284">INDEX(stable[is_automated],MATCH(VALUE(questions[[#This Row],[qno]]),VALUE(stable[qno]),0))</f>
        <v>0</v>
      </c>
      <c r="N1284" s="9" t="b" cm="1">
        <f t="array" ref="N1284">INDEX(stable[is_free_text],MATCH(VALUE(questions[[#This Row],[qno]]),VALUE(stable[qno]),0))</f>
        <v>0</v>
      </c>
      <c r="O1284" s="9" t="b" cm="1">
        <f t="array" ref="O1284">INDEX(stable[is_numerical],MATCH(VALUE(questions[[#This Row],[qno]]),VALUE(stable[qno]),0))</f>
        <v>0</v>
      </c>
      <c r="P1284" s="77" t="b" cm="1">
        <f t="array" ref="P1284">INDEX(stable[is_single_select],MATCH(VALUE(questions[[#This Row],[qno]]),VALUE(stable[qno]),0))</f>
        <v>1</v>
      </c>
      <c r="Q1284" s="77" t="b" cm="1">
        <f t="array" ref="Q1284">INDEX(stable[is_multi_select],MATCH(VALUE(questions[[#This Row],[qno]]),VALUE(stable[qno]),0))</f>
        <v>0</v>
      </c>
      <c r="R1284" s="77" t="b" cm="1">
        <f t="array" ref="R1284">INDEX(stable[is_skip_logic],MATCH(VALUE(questions[[#This Row],[qno]]),VALUE(stable[qno]),0))</f>
        <v>0</v>
      </c>
      <c r="S1284" s="77" t="str">
        <f>_xlfn.TEXTJOIN(", ",TRUE,questions[[#This Row],[ans_opt_1]:[ans_opt_14]])</f>
        <v>No, Yes -1 stream/river, Yes -2 streams/rivers, Yes -3 streams/rivers, Yes -4 streams/rivers, Yes -5 streams/rivers</v>
      </c>
      <c r="T1284" s="77" t="s">
        <v>119</v>
      </c>
      <c r="U1284" s="77" t="s">
        <v>485</v>
      </c>
      <c r="V1284" s="77" t="s">
        <v>486</v>
      </c>
      <c r="W1284" s="77" t="s">
        <v>487</v>
      </c>
      <c r="X1284" s="77" t="s">
        <v>488</v>
      </c>
      <c r="Y1284" s="77" t="s">
        <v>489</v>
      </c>
      <c r="Z1284" s="77" t="str">
        <f>MID(Y1285,7,6)</f>
        <v/>
      </c>
      <c r="AA1284" s="77" t="str">
        <f>MID(Z1285,7,6)</f>
        <v/>
      </c>
      <c r="AH1284" s="98" t="b">
        <f>INDEX(stable[q_standard],MATCH(questions[[#This Row],[qno]],stable[qno],0))</f>
        <v>0</v>
      </c>
      <c r="AI1284" s="98" t="b">
        <f>INDEX(stable[q_living_income],MATCH(questions[[#This Row],[qno]],stable[qno],0))</f>
        <v>0</v>
      </c>
      <c r="AJ1284" s="98" t="b">
        <f>INDEX(stable[q_carbon],MATCH(questions[[#This Row],[qno]],stable[qno],0))</f>
        <v>0</v>
      </c>
      <c r="AK1284" s="98" t="b">
        <f>INDEX(stable[q_regen_ag],MATCH(questions[[#This Row],[qno]],stable[qno],0))</f>
        <v>1</v>
      </c>
      <c r="AL1284" s="98" t="b">
        <f>COUNTIFS(stable[qno],questions[[#This Row],[qno]])=1</f>
        <v>1</v>
      </c>
      <c r="AM1284" s="98" t="b">
        <f>OR(questions[[#This Row],[is_fixed]],questions[[#This Row],[is_localized]],questions[[#This Row],[is_supply_chain_dependent]])</f>
        <v>1</v>
      </c>
      <c r="AN1284" s="98" t="b">
        <f>COUNTIFS(questions[[#This Row],[is_automated]:[is_multi_select]],TRUE)=1</f>
        <v>1</v>
      </c>
      <c r="AO1284" s="98" t="b">
        <f>IF(questions[[#This Row],[is_fixed]],questions[[#This Row],[question]]=INDEX(stable[question],MATCH(questions[[#This Row],[qno]],stable[qno],0)),TRUE)</f>
        <v>0</v>
      </c>
      <c r="AP1284" s="98" t="str">
        <f>LEFT(questions[[#This Row],[question]],similarity_range)</f>
        <v>Is there a stream or</v>
      </c>
      <c r="AQ1284" s="98" t="str">
        <f>LEFT(INDEX(stable[question],MATCH(questions[[#This Row],[qno]],stable[qno],0)),similarity_range)</f>
        <v>Do you have riparian</v>
      </c>
      <c r="AR1284" s="98" t="b">
        <f>questions[[#This Row],[question_first_characters]]=questions[[#This Row],[stability_first_characters]]</f>
        <v>0</v>
      </c>
      <c r="AS1284" s="98" t="b">
        <f>IF(OR(questions[[#This Row],[is_single_select]],questions[[#This Row],[is_multi_select]]),NOT(ISBLANK(questions[[#This Row],[answer_opt_combined]])),TRUE)</f>
        <v>1</v>
      </c>
    </row>
    <row r="1285" spans="1:45" s="77" customFormat="1" ht="15.75" customHeight="1" x14ac:dyDescent="0.25">
      <c r="A1285" s="77" t="str">
        <f>_xlfn.TEXTJOIN("_",TRUE,questions[[#This Row],[origin]:[qno]])</f>
        <v>Kenya_Arabica_Nestle_2025_7701</v>
      </c>
      <c r="B1285" s="77" t="s">
        <v>818</v>
      </c>
      <c r="C1285" s="77" t="s">
        <v>59</v>
      </c>
      <c r="D1285" s="77" t="s">
        <v>819</v>
      </c>
      <c r="E1285" s="77">
        <v>2025</v>
      </c>
      <c r="F1285" s="105" t="s">
        <v>490</v>
      </c>
      <c r="G1285" s="78" t="s">
        <v>815</v>
      </c>
      <c r="H1285" s="9" t="str" cm="1">
        <f t="array" ref="H1285">INDEX(stableR[question],MATCH(VALUE(questions[[#This Row],[qno]]),VALUE(stableR[qno]),0))</f>
        <v>How many of the riparian areas in your coffee plots are covered/protected with natural vegetation</v>
      </c>
      <c r="I1285" s="9" t="b" cm="1">
        <f t="array" ref="I1285">INDEX(stable[is_fixed],MATCH(VALUE(questions[[#This Row],[qno]]),VALUE(stable[qno]),0))</f>
        <v>1</v>
      </c>
      <c r="J1285" s="9" t="b" cm="1">
        <f t="array" ref="J1285">INDEX(stable[is_localized],MATCH(VALUE(questions[[#This Row],[qno]]),VALUE(stable[qno]),0))</f>
        <v>0</v>
      </c>
      <c r="K1285" s="9" t="b" cm="1">
        <f t="array" ref="K1285">INDEX(stable[is_supply_chain_dependent],MATCH(VALUE(questions[[#This Row],[qno]]),VALUE(stable[qno]),0))</f>
        <v>0</v>
      </c>
      <c r="L1285" s="9" t="b" cm="1">
        <f t="array" ref="L1285">INDEX(stable[is_mandatory],MATCH(VALUE(questions[[#This Row],[qno]]),VALUE(stable[qno]),0))</f>
        <v>0</v>
      </c>
      <c r="M1285" s="9" t="b" cm="1">
        <f t="array" ref="M1285">INDEX(stable[is_automated],MATCH(VALUE(questions[[#This Row],[qno]]),VALUE(stable[qno]),0))</f>
        <v>0</v>
      </c>
      <c r="N1285" s="9" t="b" cm="1">
        <f t="array" ref="N1285">INDEX(stable[is_free_text],MATCH(VALUE(questions[[#This Row],[qno]]),VALUE(stable[qno]),0))</f>
        <v>0</v>
      </c>
      <c r="O1285" s="9" t="b" cm="1">
        <f t="array" ref="O1285">INDEX(stable[is_numerical],MATCH(VALUE(questions[[#This Row],[qno]]),VALUE(stable[qno]),0))</f>
        <v>0</v>
      </c>
      <c r="P1285" s="77" t="b" cm="1">
        <f t="array" ref="P1285">INDEX(stable[is_single_select],MATCH(VALUE(questions[[#This Row],[qno]]),VALUE(stable[qno]),0))</f>
        <v>1</v>
      </c>
      <c r="Q1285" s="77" t="b" cm="1">
        <f t="array" ref="Q1285">INDEX(stable[is_multi_select],MATCH(VALUE(questions[[#This Row],[qno]]),VALUE(stable[qno]),0))</f>
        <v>0</v>
      </c>
      <c r="R1285" s="77" t="b" cm="1">
        <f t="array" ref="R1285">INDEX(stable[is_skip_logic],MATCH(VALUE(questions[[#This Row],[qno]]),VALUE(stable[qno]),0))</f>
        <v>0</v>
      </c>
      <c r="S1285" s="77" t="str">
        <f>_xlfn.TEXTJOIN(", ",TRUE,questions[[#This Row],[ans_opt_1]:[ans_opt_14]])</f>
        <v>All, Some</v>
      </c>
      <c r="T1285" s="77" t="s">
        <v>492</v>
      </c>
      <c r="U1285" s="77" t="s">
        <v>493</v>
      </c>
      <c r="AH1285" s="98" t="b">
        <f>INDEX(stable[q_standard],MATCH(questions[[#This Row],[qno]],stable[qno],0))</f>
        <v>0</v>
      </c>
      <c r="AI1285" s="98" t="b">
        <f>INDEX(stable[q_living_income],MATCH(questions[[#This Row],[qno]],stable[qno],0))</f>
        <v>0</v>
      </c>
      <c r="AJ1285" s="98" t="b">
        <f>INDEX(stable[q_carbon],MATCH(questions[[#This Row],[qno]],stable[qno],0))</f>
        <v>0</v>
      </c>
      <c r="AK1285" s="98" t="b">
        <f>INDEX(stable[q_regen_ag],MATCH(questions[[#This Row],[qno]],stable[qno],0))</f>
        <v>1</v>
      </c>
      <c r="AL1285" s="98" t="b">
        <f>COUNTIFS(stable[qno],questions[[#This Row],[qno]])=1</f>
        <v>1</v>
      </c>
      <c r="AM1285" s="98" t="b">
        <f>OR(questions[[#This Row],[is_fixed]],questions[[#This Row],[is_localized]],questions[[#This Row],[is_supply_chain_dependent]])</f>
        <v>1</v>
      </c>
      <c r="AN1285" s="98" t="b">
        <f>COUNTIFS(questions[[#This Row],[is_automated]:[is_multi_select]],TRUE)=1</f>
        <v>1</v>
      </c>
      <c r="AO1285" s="98" t="b">
        <f>IF(questions[[#This Row],[is_fixed]],questions[[#This Row],[question]]=INDEX(stable[question],MATCH(questions[[#This Row],[qno]],stable[qno],0)),TRUE)</f>
        <v>0</v>
      </c>
      <c r="AP1285" s="98" t="str">
        <f>LEFT(questions[[#This Row],[question]],similarity_range)</f>
        <v xml:space="preserve">If yes, how many of </v>
      </c>
      <c r="AQ1285" s="98" t="str">
        <f>LEFT(INDEX(stable[question],MATCH(questions[[#This Row],[qno]],stable[qno],0)),similarity_range)</f>
        <v>How many of the ripa</v>
      </c>
      <c r="AR1285" s="98" t="b">
        <f>questions[[#This Row],[question_first_characters]]=questions[[#This Row],[stability_first_characters]]</f>
        <v>0</v>
      </c>
      <c r="AS1285" s="98" t="b">
        <f>IF(OR(questions[[#This Row],[is_single_select]],questions[[#This Row],[is_multi_select]]),NOT(ISBLANK(questions[[#This Row],[answer_opt_combined]])),TRUE)</f>
        <v>1</v>
      </c>
    </row>
    <row r="1286" spans="1:45" s="77" customFormat="1" ht="15.75" customHeight="1" x14ac:dyDescent="0.25">
      <c r="A1286" s="77" t="str">
        <f>_xlfn.TEXTJOIN("_",TRUE,questions[[#This Row],[origin]:[qno]])</f>
        <v>Kenya_Arabica_Nestle_2025_8000</v>
      </c>
      <c r="B1286" s="77" t="s">
        <v>818</v>
      </c>
      <c r="C1286" s="77" t="s">
        <v>59</v>
      </c>
      <c r="D1286" s="77" t="s">
        <v>819</v>
      </c>
      <c r="E1286" s="77">
        <v>2025</v>
      </c>
      <c r="F1286" s="108" t="s">
        <v>494</v>
      </c>
      <c r="G1286" s="78" t="s">
        <v>816</v>
      </c>
      <c r="H1286" s="9" t="str" cm="1">
        <f t="array" ref="H1286">INDEX(stableR[question],MATCH(VALUE(questions[[#This Row],[qno]]),VALUE(stableR[qno]),0))</f>
        <v>What describes the soil type best in the coffee plot of the farmer (please observe your self)</v>
      </c>
      <c r="I1286" s="9" t="b" cm="1">
        <f t="array" ref="I1286">INDEX(stable[is_fixed],MATCH(VALUE(questions[[#This Row],[qno]]),VALUE(stable[qno]),0))</f>
        <v>1</v>
      </c>
      <c r="J1286" s="9" t="b" cm="1">
        <f t="array" ref="J1286">INDEX(stable[is_localized],MATCH(VALUE(questions[[#This Row],[qno]]),VALUE(stable[qno]),0))</f>
        <v>0</v>
      </c>
      <c r="K1286" s="9" t="b" cm="1">
        <f t="array" ref="K1286">INDEX(stable[is_supply_chain_dependent],MATCH(VALUE(questions[[#This Row],[qno]]),VALUE(stable[qno]),0))</f>
        <v>0</v>
      </c>
      <c r="L1286" s="9" t="b" cm="1">
        <f t="array" ref="L1286">INDEX(stable[is_mandatory],MATCH(VALUE(questions[[#This Row],[qno]]),VALUE(stable[qno]),0))</f>
        <v>1</v>
      </c>
      <c r="M1286" s="9" t="b" cm="1">
        <f t="array" ref="M1286">INDEX(stable[is_automated],MATCH(VALUE(questions[[#This Row],[qno]]),VALUE(stable[qno]),0))</f>
        <v>0</v>
      </c>
      <c r="N1286" s="9" t="b" cm="1">
        <f t="array" ref="N1286">INDEX(stable[is_free_text],MATCH(VALUE(questions[[#This Row],[qno]]),VALUE(stable[qno]),0))</f>
        <v>0</v>
      </c>
      <c r="O1286" s="9" t="b" cm="1">
        <f t="array" ref="O1286">INDEX(stable[is_numerical],MATCH(VALUE(questions[[#This Row],[qno]]),VALUE(stable[qno]),0))</f>
        <v>0</v>
      </c>
      <c r="P1286" s="77" t="b" cm="1">
        <f t="array" ref="P1286">INDEX(stable[is_single_select],MATCH(VALUE(questions[[#This Row],[qno]]),VALUE(stable[qno]),0))</f>
        <v>1</v>
      </c>
      <c r="Q1286" s="77" t="b" cm="1">
        <f t="array" ref="Q1286">INDEX(stable[is_multi_select],MATCH(VALUE(questions[[#This Row],[qno]]),VALUE(stable[qno]),0))</f>
        <v>0</v>
      </c>
      <c r="R1286" s="77" t="b" cm="1">
        <f t="array" ref="R1286">INDEX(stable[is_skip_logic],MATCH(VALUE(questions[[#This Row],[qno]]),VALUE(stable[qno]),0))</f>
        <v>0</v>
      </c>
      <c r="S1286" s="77" t="str">
        <f>_xlfn.TEXTJOIN(", ",TRUE,questions[[#This Row],[ans_opt_1]:[ans_opt_14]])</f>
        <v>High activity clay soils , Low activity clay soils, Sandy soils, Loamy soils, Volcanic soils, Wetland soils, Organic soils</v>
      </c>
      <c r="T1286" s="77" t="s">
        <v>817</v>
      </c>
      <c r="U1286" s="77" t="s">
        <v>497</v>
      </c>
      <c r="V1286" s="77" t="s">
        <v>498</v>
      </c>
      <c r="W1286" s="91" t="s">
        <v>499</v>
      </c>
      <c r="X1286" s="77" t="s">
        <v>500</v>
      </c>
      <c r="Y1286" s="77" t="s">
        <v>501</v>
      </c>
      <c r="Z1286" s="77" t="s">
        <v>502</v>
      </c>
      <c r="AH1286" s="98" t="b">
        <f>INDEX(stable[q_standard],MATCH(questions[[#This Row],[qno]],stable[qno],0))</f>
        <v>0</v>
      </c>
      <c r="AI1286" s="98" t="b">
        <f>INDEX(stable[q_living_income],MATCH(questions[[#This Row],[qno]],stable[qno],0))</f>
        <v>0</v>
      </c>
      <c r="AJ1286" s="98" t="b">
        <f>INDEX(stable[q_carbon],MATCH(questions[[#This Row],[qno]],stable[qno],0))</f>
        <v>0</v>
      </c>
      <c r="AK1286" s="98" t="b">
        <f>INDEX(stable[q_regen_ag],MATCH(questions[[#This Row],[qno]],stable[qno],0))</f>
        <v>1</v>
      </c>
      <c r="AL1286" s="98" t="b">
        <f>COUNTIFS(stable[qno],questions[[#This Row],[qno]])=1</f>
        <v>1</v>
      </c>
      <c r="AM1286" s="98" t="b">
        <f>OR(questions[[#This Row],[is_fixed]],questions[[#This Row],[is_localized]],questions[[#This Row],[is_supply_chain_dependent]])</f>
        <v>1</v>
      </c>
      <c r="AN1286" s="98" t="b">
        <f>COUNTIFS(questions[[#This Row],[is_automated]:[is_multi_select]],TRUE)=1</f>
        <v>1</v>
      </c>
      <c r="AO1286" s="98" t="b">
        <f>IF(questions[[#This Row],[is_fixed]],questions[[#This Row],[question]]=INDEX(stable[question],MATCH(questions[[#This Row],[qno]],stable[qno],0)),TRUE)</f>
        <v>0</v>
      </c>
      <c r="AP1286" s="98" t="str">
        <f>LEFT(questions[[#This Row],[question]],similarity_range)</f>
        <v>What the describes t</v>
      </c>
      <c r="AQ1286" s="98" t="str">
        <f>LEFT(INDEX(stable[question],MATCH(questions[[#This Row],[qno]],stable[qno],0)),similarity_range)</f>
        <v>What describes the s</v>
      </c>
      <c r="AR1286" s="98" t="b">
        <f>questions[[#This Row],[question_first_characters]]=questions[[#This Row],[stability_first_characters]]</f>
        <v>0</v>
      </c>
      <c r="AS1286" s="98" t="b">
        <f>IF(OR(questions[[#This Row],[is_single_select]],questions[[#This Row],[is_multi_select]]),NOT(ISBLANK(questions[[#This Row],[answer_opt_combined]])),TRUE)</f>
        <v>1</v>
      </c>
    </row>
    <row r="1287" spans="1:45" s="77" customFormat="1" ht="15.75" customHeight="1" x14ac:dyDescent="0.25">
      <c r="A1287" s="77" t="str">
        <f>_xlfn.TEXTJOIN("_",TRUE,questions[[#This Row],[origin]:[qno]])</f>
        <v>Kenya_Arabica_Nestle_2025_8010</v>
      </c>
      <c r="B1287" s="77" t="s">
        <v>818</v>
      </c>
      <c r="C1287" s="77" t="s">
        <v>59</v>
      </c>
      <c r="D1287" s="77" t="s">
        <v>819</v>
      </c>
      <c r="E1287" s="77">
        <v>2025</v>
      </c>
      <c r="F1287" s="105" t="s">
        <v>503</v>
      </c>
      <c r="G1287" s="78" t="s">
        <v>504</v>
      </c>
      <c r="H1287" s="9" t="str" cm="1">
        <f t="array" ref="H1287">INDEX(stableR[question],MATCH(VALUE(questions[[#This Row],[qno]]),VALUE(stableR[qno]),0))</f>
        <v>What type of tillage/ploughing do you use in your coffee plots mostly (full tillages=fully turning the soil; reduced tillages is only losening the soil; No till is no tillage or ploughing of the soil at all)?</v>
      </c>
      <c r="I1287" s="9" t="b" cm="1">
        <f t="array" ref="I1287">INDEX(stable[is_fixed],MATCH(VALUE(questions[[#This Row],[qno]]),VALUE(stable[qno]),0))</f>
        <v>1</v>
      </c>
      <c r="J1287" s="9" t="b" cm="1">
        <f t="array" ref="J1287">INDEX(stable[is_localized],MATCH(VALUE(questions[[#This Row],[qno]]),VALUE(stable[qno]),0))</f>
        <v>0</v>
      </c>
      <c r="K1287" s="9" t="b" cm="1">
        <f t="array" ref="K1287">INDEX(stable[is_supply_chain_dependent],MATCH(VALUE(questions[[#This Row],[qno]]),VALUE(stable[qno]),0))</f>
        <v>0</v>
      </c>
      <c r="L1287" s="9" t="b" cm="1">
        <f t="array" ref="L1287">INDEX(stable[is_mandatory],MATCH(VALUE(questions[[#This Row],[qno]]),VALUE(stable[qno]),0))</f>
        <v>1</v>
      </c>
      <c r="M1287" s="9" t="b" cm="1">
        <f t="array" ref="M1287">INDEX(stable[is_automated],MATCH(VALUE(questions[[#This Row],[qno]]),VALUE(stable[qno]),0))</f>
        <v>0</v>
      </c>
      <c r="N1287" s="9" t="b" cm="1">
        <f t="array" ref="N1287">INDEX(stable[is_free_text],MATCH(VALUE(questions[[#This Row],[qno]]),VALUE(stable[qno]),0))</f>
        <v>0</v>
      </c>
      <c r="O1287" s="9" t="b" cm="1">
        <f t="array" ref="O1287">INDEX(stable[is_numerical],MATCH(VALUE(questions[[#This Row],[qno]]),VALUE(stable[qno]),0))</f>
        <v>0</v>
      </c>
      <c r="P1287" s="77" t="b" cm="1">
        <f t="array" ref="P1287">INDEX(stable[is_single_select],MATCH(VALUE(questions[[#This Row],[qno]]),VALUE(stable[qno]),0))</f>
        <v>1</v>
      </c>
      <c r="Q1287" s="77" t="b" cm="1">
        <f t="array" ref="Q1287">INDEX(stable[is_multi_select],MATCH(VALUE(questions[[#This Row],[qno]]),VALUE(stable[qno]),0))</f>
        <v>0</v>
      </c>
      <c r="R1287" s="77" t="b" cm="1">
        <f t="array" ref="R1287">INDEX(stable[is_skip_logic],MATCH(VALUE(questions[[#This Row],[qno]]),VALUE(stable[qno]),0))</f>
        <v>0</v>
      </c>
      <c r="S1287" s="77" t="str">
        <f>_xlfn.TEXTJOIN(", ",TRUE,questions[[#This Row],[ans_opt_1]:[ans_opt_14]])</f>
        <v>Full-tillage, Reduced tillage, No till</v>
      </c>
      <c r="T1287" s="77" t="s">
        <v>505</v>
      </c>
      <c r="U1287" s="77" t="s">
        <v>506</v>
      </c>
      <c r="V1287" s="77" t="s">
        <v>507</v>
      </c>
      <c r="AH1287" s="98" t="b">
        <f>INDEX(stable[q_standard],MATCH(questions[[#This Row],[qno]],stable[qno],0))</f>
        <v>0</v>
      </c>
      <c r="AI1287" s="98" t="b">
        <f>INDEX(stable[q_living_income],MATCH(questions[[#This Row],[qno]],stable[qno],0))</f>
        <v>0</v>
      </c>
      <c r="AJ1287" s="98" t="b">
        <f>INDEX(stable[q_carbon],MATCH(questions[[#This Row],[qno]],stable[qno],0))</f>
        <v>0</v>
      </c>
      <c r="AK1287" s="98" t="b">
        <f>INDEX(stable[q_regen_ag],MATCH(questions[[#This Row],[qno]],stable[qno],0))</f>
        <v>1</v>
      </c>
      <c r="AL1287" s="98" t="b">
        <f>COUNTIFS(stable[qno],questions[[#This Row],[qno]])=1</f>
        <v>1</v>
      </c>
      <c r="AM1287" s="98" t="b">
        <f>OR(questions[[#This Row],[is_fixed]],questions[[#This Row],[is_localized]],questions[[#This Row],[is_supply_chain_dependent]])</f>
        <v>1</v>
      </c>
      <c r="AN1287" s="98" t="b">
        <f>COUNTIFS(questions[[#This Row],[is_automated]:[is_multi_select]],TRUE)=1</f>
        <v>1</v>
      </c>
      <c r="AO1287" s="98" t="b">
        <f>IF(questions[[#This Row],[is_fixed]],questions[[#This Row],[question]]=INDEX(stable[question],MATCH(questions[[#This Row],[qno]],stable[qno],0)),TRUE)</f>
        <v>1</v>
      </c>
      <c r="AP1287" s="98" t="str">
        <f>LEFT(questions[[#This Row],[question]],similarity_range)</f>
        <v>What type of tillage</v>
      </c>
      <c r="AQ1287" s="98" t="str">
        <f>LEFT(INDEX(stable[question],MATCH(questions[[#This Row],[qno]],stable[qno],0)),similarity_range)</f>
        <v>What type of tillage</v>
      </c>
      <c r="AR1287" s="98" t="b">
        <f>questions[[#This Row],[question_first_characters]]=questions[[#This Row],[stability_first_characters]]</f>
        <v>1</v>
      </c>
      <c r="AS1287" s="98" t="b">
        <f>IF(OR(questions[[#This Row],[is_single_select]],questions[[#This Row],[is_multi_select]]),NOT(ISBLANK(questions[[#This Row],[answer_opt_combined]])),TRUE)</f>
        <v>1</v>
      </c>
    </row>
    <row r="1288" spans="1:45" s="77" customFormat="1" ht="15.75" customHeight="1" x14ac:dyDescent="0.25">
      <c r="A1288" s="77" t="str">
        <f>_xlfn.TEXTJOIN("_",TRUE,questions[[#This Row],[origin]:[qno]])</f>
        <v>Kenya_Arabica_Nestle_2025_9000</v>
      </c>
      <c r="B1288" s="77" t="s">
        <v>818</v>
      </c>
      <c r="C1288" s="77" t="s">
        <v>59</v>
      </c>
      <c r="D1288" s="77" t="s">
        <v>819</v>
      </c>
      <c r="E1288" s="77">
        <v>2025</v>
      </c>
      <c r="F1288" s="105" t="s">
        <v>508</v>
      </c>
      <c r="G1288" s="78" t="s">
        <v>509</v>
      </c>
      <c r="H1288" s="9" t="str" cm="1">
        <f t="array" ref="H1288">INDEX(stableR[question],MATCH(VALUE(questions[[#This Row],[qno]]),VALUE(stableR[qno]),0))</f>
        <v>Final check: did you measure/polygon map all the plots of the farmer?</v>
      </c>
      <c r="I1288" s="9" t="b" cm="1">
        <f t="array" ref="I1288">INDEX(stable[is_fixed],MATCH(VALUE(questions[[#This Row],[qno]]),VALUE(stable[qno]),0))</f>
        <v>1</v>
      </c>
      <c r="J1288" s="9" t="b" cm="1">
        <f t="array" ref="J1288">INDEX(stable[is_localized],MATCH(VALUE(questions[[#This Row],[qno]]),VALUE(stable[qno]),0))</f>
        <v>0</v>
      </c>
      <c r="K1288" s="9" t="b" cm="1">
        <f t="array" ref="K1288">INDEX(stable[is_supply_chain_dependent],MATCH(VALUE(questions[[#This Row],[qno]]),VALUE(stable[qno]),0))</f>
        <v>0</v>
      </c>
      <c r="L1288" s="9" t="b" cm="1">
        <f t="array" ref="L1288">INDEX(stable[is_mandatory],MATCH(VALUE(questions[[#This Row],[qno]]),VALUE(stable[qno]),0))</f>
        <v>1</v>
      </c>
      <c r="M1288" s="9" t="b" cm="1">
        <f t="array" ref="M1288">INDEX(stable[is_automated],MATCH(VALUE(questions[[#This Row],[qno]]),VALUE(stable[qno]),0))</f>
        <v>0</v>
      </c>
      <c r="N1288" s="9" t="b" cm="1">
        <f t="array" ref="N1288">INDEX(stable[is_free_text],MATCH(VALUE(questions[[#This Row],[qno]]),VALUE(stable[qno]),0))</f>
        <v>0</v>
      </c>
      <c r="O1288" s="9" t="b" cm="1">
        <f t="array" ref="O1288">INDEX(stable[is_numerical],MATCH(VALUE(questions[[#This Row],[qno]]),VALUE(stable[qno]),0))</f>
        <v>0</v>
      </c>
      <c r="P1288" s="77" t="b" cm="1">
        <f t="array" ref="P1288">INDEX(stable[is_single_select],MATCH(VALUE(questions[[#This Row],[qno]]),VALUE(stable[qno]),0))</f>
        <v>1</v>
      </c>
      <c r="Q1288" s="77" t="b" cm="1">
        <f t="array" ref="Q1288">INDEX(stable[is_multi_select],MATCH(VALUE(questions[[#This Row],[qno]]),VALUE(stable[qno]),0))</f>
        <v>0</v>
      </c>
      <c r="R1288" s="77" t="b" cm="1">
        <f t="array" ref="R1288">INDEX(stable[is_skip_logic],MATCH(VALUE(questions[[#This Row],[qno]]),VALUE(stable[qno]),0))</f>
        <v>0</v>
      </c>
      <c r="S1288" s="77" t="str">
        <f>_xlfn.TEXTJOIN(", ",TRUE,questions[[#This Row],[ans_opt_1]:[ans_opt_14]])</f>
        <v>No, Yes, Not possible</v>
      </c>
      <c r="T1288" s="77" t="s">
        <v>119</v>
      </c>
      <c r="U1288" s="77" t="s">
        <v>149</v>
      </c>
      <c r="V1288" s="77" t="s">
        <v>510</v>
      </c>
      <c r="AH1288" s="98" t="b">
        <f>INDEX(stable[q_standard],MATCH(questions[[#This Row],[qno]],stable[qno],0))</f>
        <v>0</v>
      </c>
      <c r="AI1288" s="98" t="b">
        <f>INDEX(stable[q_living_income],MATCH(questions[[#This Row],[qno]],stable[qno],0))</f>
        <v>0</v>
      </c>
      <c r="AJ1288" s="98" t="b">
        <f>INDEX(stable[q_carbon],MATCH(questions[[#This Row],[qno]],stable[qno],0))</f>
        <v>0</v>
      </c>
      <c r="AK1288" s="98" t="b">
        <f>INDEX(stable[q_regen_ag],MATCH(questions[[#This Row],[qno]],stable[qno],0))</f>
        <v>1</v>
      </c>
      <c r="AL1288" s="98" t="b">
        <f>COUNTIFS(stable[qno],questions[[#This Row],[qno]])=1</f>
        <v>1</v>
      </c>
      <c r="AM1288" s="98" t="b">
        <f>OR(questions[[#This Row],[is_fixed]],questions[[#This Row],[is_localized]],questions[[#This Row],[is_supply_chain_dependent]])</f>
        <v>1</v>
      </c>
      <c r="AN1288" s="98" t="b">
        <f>COUNTIFS(questions[[#This Row],[is_automated]:[is_multi_select]],TRUE)=1</f>
        <v>1</v>
      </c>
      <c r="AO1288" s="98" t="b">
        <f>IF(questions[[#This Row],[is_fixed]],questions[[#This Row],[question]]=INDEX(stable[question],MATCH(questions[[#This Row],[qno]],stable[qno],0)),TRUE)</f>
        <v>1</v>
      </c>
      <c r="AP1288" s="98" t="str">
        <f>LEFT(questions[[#This Row],[question]],similarity_range)</f>
        <v>Final check: did you</v>
      </c>
      <c r="AQ1288" s="98" t="str">
        <f>LEFT(INDEX(stable[question],MATCH(questions[[#This Row],[qno]],stable[qno],0)),similarity_range)</f>
        <v>Final check: did you</v>
      </c>
      <c r="AR1288" s="98" t="b">
        <f>questions[[#This Row],[question_first_characters]]=questions[[#This Row],[stability_first_characters]]</f>
        <v>1</v>
      </c>
      <c r="AS1288" s="98" t="b">
        <f>IF(OR(questions[[#This Row],[is_single_select]],questions[[#This Row],[is_multi_select]]),NOT(ISBLANK(questions[[#This Row],[answer_opt_combined]])),TRUE)</f>
        <v>1</v>
      </c>
    </row>
    <row r="1289" spans="1:45" ht="15.75" customHeight="1" x14ac:dyDescent="0.25">
      <c r="A1289" s="9" t="str">
        <f>_xlfn.TEXTJOIN("_",TRUE,questions[[#This Row],[origin]:[qno]])</f>
        <v>Rwanda_Arabica_Nestle_Illy_IMPACT_2025_1000</v>
      </c>
      <c r="B1289" s="9" t="s">
        <v>719</v>
      </c>
      <c r="C1289" s="9" t="s">
        <v>59</v>
      </c>
      <c r="D1289" s="9" t="s">
        <v>720</v>
      </c>
      <c r="E1289" s="33">
        <v>2025</v>
      </c>
      <c r="F1289" s="24" t="s">
        <v>61</v>
      </c>
      <c r="G1289" s="15" t="s">
        <v>62</v>
      </c>
      <c r="H1289" s="9" t="str" cm="1">
        <f t="array" ref="H1289">INDEX(stableR[question],MATCH(VALUE(questions[[#This Row],[qno]]),VALUE(stableR[qno]),0))</f>
        <v>Origin</v>
      </c>
      <c r="I1289" s="9" t="b" cm="1">
        <f t="array" ref="I1289">INDEX(stable[is_fixed],MATCH(VALUE(questions[[#This Row],[qno]]),VALUE(stable[qno]),0))</f>
        <v>1</v>
      </c>
      <c r="J1289" s="9" t="b" cm="1">
        <f t="array" ref="J1289">INDEX(stable[is_localized],MATCH(VALUE(questions[[#This Row],[qno]]),VALUE(stable[qno]),0))</f>
        <v>0</v>
      </c>
      <c r="K1289" s="9" t="b" cm="1">
        <f t="array" ref="K1289">INDEX(stable[is_supply_chain_dependent],MATCH(VALUE(questions[[#This Row],[qno]]),VALUE(stable[qno]),0))</f>
        <v>0</v>
      </c>
      <c r="L1289" s="9" t="b" cm="1">
        <f t="array" ref="L1289">INDEX(stable[is_mandatory],MATCH(VALUE(questions[[#This Row],[qno]]),VALUE(stable[qno]),0))</f>
        <v>1</v>
      </c>
      <c r="M1289" s="9" t="b" cm="1">
        <f t="array" ref="M1289">INDEX(stable[is_automated],MATCH(VALUE(questions[[#This Row],[qno]]),VALUE(stable[qno]),0))</f>
        <v>1</v>
      </c>
      <c r="N1289" s="9" t="b" cm="1">
        <f t="array" ref="N1289">INDEX(stable[is_free_text],MATCH(VALUE(questions[[#This Row],[qno]]),VALUE(stable[qno]),0))</f>
        <v>0</v>
      </c>
      <c r="O1289" s="9" t="b" cm="1">
        <f t="array" ref="O1289">INDEX(stable[is_numerical],MATCH(VALUE(questions[[#This Row],[qno]]),VALUE(stable[qno]),0))</f>
        <v>0</v>
      </c>
      <c r="P1289" s="9" t="b" cm="1">
        <f t="array" ref="P1289">INDEX(stable[is_single_select],MATCH(VALUE(questions[[#This Row],[qno]]),VALUE(stable[qno]),0))</f>
        <v>0</v>
      </c>
      <c r="Q1289" s="9" t="b" cm="1">
        <f t="array" ref="Q1289">INDEX(stable[is_multi_select],MATCH(VALUE(questions[[#This Row],[qno]]),VALUE(stable[qno]),0))</f>
        <v>0</v>
      </c>
      <c r="R1289" s="9" t="b" cm="1">
        <f t="array" ref="R1289">INDEX(stable[is_skip_logic],MATCH(VALUE(questions[[#This Row],[qno]]),VALUE(stable[qno]),0))</f>
        <v>0</v>
      </c>
      <c r="S1289" s="9" t="str">
        <f>_xlfn.TEXTJOIN(", ",TRUE,questions[[#This Row],[ans_opt_1]:[ans_opt_14]])</f>
        <v/>
      </c>
      <c r="AH1289" s="16" t="b">
        <f>INDEX(stable[q_standard],MATCH(questions[[#This Row],[qno]],stable[qno],0))</f>
        <v>1</v>
      </c>
      <c r="AI1289" s="16" t="b">
        <f>INDEX(stable[q_living_income],MATCH(questions[[#This Row],[qno]],stable[qno],0))</f>
        <v>0</v>
      </c>
      <c r="AJ1289" s="16" t="b">
        <f>INDEX(stable[q_carbon],MATCH(questions[[#This Row],[qno]],stable[qno],0))</f>
        <v>0</v>
      </c>
      <c r="AK1289" s="16" t="b">
        <f>INDEX(stable[q_regen_ag],MATCH(questions[[#This Row],[qno]],stable[qno],0))</f>
        <v>0</v>
      </c>
      <c r="AL1289" s="16" t="b">
        <f>COUNTIFS(stable[qno],questions[[#This Row],[qno]])=1</f>
        <v>1</v>
      </c>
      <c r="AM1289" s="16" t="b">
        <f>OR(questions[[#This Row],[is_fixed]],questions[[#This Row],[is_localized]],questions[[#This Row],[is_supply_chain_dependent]])</f>
        <v>1</v>
      </c>
      <c r="AN1289" s="16" t="b">
        <f>COUNTIFS(questions[[#This Row],[is_automated]:[is_multi_select]],TRUE)=1</f>
        <v>1</v>
      </c>
      <c r="AO1289" s="16" t="b">
        <f>IF(questions[[#This Row],[is_fixed]],questions[[#This Row],[question]]=INDEX(stable[question],MATCH(questions[[#This Row],[qno]],stable[qno],0)),TRUE)</f>
        <v>1</v>
      </c>
      <c r="AP1289" s="16" t="str">
        <f>LEFT(questions[[#This Row],[question]],similarity_range)</f>
        <v>Origin</v>
      </c>
      <c r="AQ1289" s="16" t="str">
        <f>LEFT(INDEX(stable[question],MATCH(questions[[#This Row],[qno]],stable[qno],0)),similarity_range)</f>
        <v>Origin</v>
      </c>
      <c r="AR1289" s="16" t="b">
        <f>questions[[#This Row],[question_first_characters]]=questions[[#This Row],[stability_first_characters]]</f>
        <v>1</v>
      </c>
      <c r="AS1289" s="16" t="b">
        <f>IF(OR(questions[[#This Row],[is_single_select]],questions[[#This Row],[is_multi_select]]),NOT(ISBLANK(questions[[#This Row],[answer_opt_combined]])),TRUE)</f>
        <v>1</v>
      </c>
    </row>
    <row r="1290" spans="1:45" ht="15.75" customHeight="1" x14ac:dyDescent="0.25">
      <c r="A1290" s="9" t="str">
        <f>_xlfn.TEXTJOIN("_",TRUE,questions[[#This Row],[origin]:[qno]])</f>
        <v>Rwanda_Arabica_Nestle_Illy_IMPACT_2025_1001</v>
      </c>
      <c r="B1290" s="9" t="s">
        <v>719</v>
      </c>
      <c r="C1290" s="9" t="s">
        <v>59</v>
      </c>
      <c r="D1290" s="9" t="s">
        <v>720</v>
      </c>
      <c r="E1290" s="33">
        <v>2025</v>
      </c>
      <c r="F1290" s="24" t="s">
        <v>63</v>
      </c>
      <c r="G1290" s="15" t="s">
        <v>64</v>
      </c>
      <c r="H1290" s="9" t="str" cm="1">
        <f t="array" ref="H1290">INDEX(stableR[question],MATCH(VALUE(questions[[#This Row],[qno]]),VALUE(stableR[qno]),0))</f>
        <v>Type</v>
      </c>
      <c r="I1290" s="9" t="b" cm="1">
        <f t="array" ref="I1290">INDEX(stable[is_fixed],MATCH(VALUE(questions[[#This Row],[qno]]),VALUE(stable[qno]),0))</f>
        <v>1</v>
      </c>
      <c r="J1290" s="9" t="b" cm="1">
        <f t="array" ref="J1290">INDEX(stable[is_localized],MATCH(VALUE(questions[[#This Row],[qno]]),VALUE(stable[qno]),0))</f>
        <v>0</v>
      </c>
      <c r="K1290" s="9" t="b" cm="1">
        <f t="array" ref="K1290">INDEX(stable[is_supply_chain_dependent],MATCH(VALUE(questions[[#This Row],[qno]]),VALUE(stable[qno]),0))</f>
        <v>0</v>
      </c>
      <c r="L1290" s="9" t="b" cm="1">
        <f t="array" ref="L1290">INDEX(stable[is_mandatory],MATCH(VALUE(questions[[#This Row],[qno]]),VALUE(stable[qno]),0))</f>
        <v>1</v>
      </c>
      <c r="M1290" s="9" t="b" cm="1">
        <f t="array" ref="M1290">INDEX(stable[is_automated],MATCH(VALUE(questions[[#This Row],[qno]]),VALUE(stable[qno]),0))</f>
        <v>1</v>
      </c>
      <c r="N1290" s="9" t="b" cm="1">
        <f t="array" ref="N1290">INDEX(stable[is_free_text],MATCH(VALUE(questions[[#This Row],[qno]]),VALUE(stable[qno]),0))</f>
        <v>0</v>
      </c>
      <c r="O1290" s="9" t="b" cm="1">
        <f t="array" ref="O1290">INDEX(stable[is_numerical],MATCH(VALUE(questions[[#This Row],[qno]]),VALUE(stable[qno]),0))</f>
        <v>0</v>
      </c>
      <c r="P1290" s="9" t="b" cm="1">
        <f t="array" ref="P1290">INDEX(stable[is_single_select],MATCH(VALUE(questions[[#This Row],[qno]]),VALUE(stable[qno]),0))</f>
        <v>0</v>
      </c>
      <c r="Q1290" s="9" t="b" cm="1">
        <f t="array" ref="Q1290">INDEX(stable[is_multi_select],MATCH(VALUE(questions[[#This Row],[qno]]),VALUE(stable[qno]),0))</f>
        <v>0</v>
      </c>
      <c r="R1290" s="9" t="b" cm="1">
        <f t="array" ref="R1290">INDEX(stable[is_skip_logic],MATCH(VALUE(questions[[#This Row],[qno]]),VALUE(stable[qno]),0))</f>
        <v>0</v>
      </c>
      <c r="S1290" s="9" t="str">
        <f>_xlfn.TEXTJOIN(", ",TRUE,questions[[#This Row],[ans_opt_1]:[ans_opt_14]])</f>
        <v/>
      </c>
      <c r="AH1290" s="16" t="b">
        <f>INDEX(stable[q_standard],MATCH(questions[[#This Row],[qno]],stable[qno],0))</f>
        <v>1</v>
      </c>
      <c r="AI1290" s="16" t="b">
        <f>INDEX(stable[q_living_income],MATCH(questions[[#This Row],[qno]],stable[qno],0))</f>
        <v>0</v>
      </c>
      <c r="AJ1290" s="16" t="b">
        <f>INDEX(stable[q_carbon],MATCH(questions[[#This Row],[qno]],stable[qno],0))</f>
        <v>0</v>
      </c>
      <c r="AK1290" s="16" t="b">
        <f>INDEX(stable[q_regen_ag],MATCH(questions[[#This Row],[qno]],stable[qno],0))</f>
        <v>0</v>
      </c>
      <c r="AL1290" s="16" t="b">
        <f>COUNTIFS(stable[qno],questions[[#This Row],[qno]])=1</f>
        <v>1</v>
      </c>
      <c r="AM1290" s="16" t="b">
        <f>OR(questions[[#This Row],[is_fixed]],questions[[#This Row],[is_localized]],questions[[#This Row],[is_supply_chain_dependent]])</f>
        <v>1</v>
      </c>
      <c r="AN1290" s="16" t="b">
        <f>COUNTIFS(questions[[#This Row],[is_automated]:[is_multi_select]],TRUE)=1</f>
        <v>1</v>
      </c>
      <c r="AO1290" s="16" t="b">
        <f>IF(questions[[#This Row],[is_fixed]],questions[[#This Row],[question]]=INDEX(stable[question],MATCH(questions[[#This Row],[qno]],stable[qno],0)),TRUE)</f>
        <v>1</v>
      </c>
      <c r="AP1290" s="16" t="str">
        <f>LEFT(questions[[#This Row],[question]],similarity_range)</f>
        <v>Type</v>
      </c>
      <c r="AQ1290" s="16" t="str">
        <f>LEFT(INDEX(stable[question],MATCH(questions[[#This Row],[qno]],stable[qno],0)),similarity_range)</f>
        <v>Type</v>
      </c>
      <c r="AR1290" s="16" t="b">
        <f>questions[[#This Row],[question_first_characters]]=questions[[#This Row],[stability_first_characters]]</f>
        <v>1</v>
      </c>
      <c r="AS1290" s="16" t="b">
        <f>IF(OR(questions[[#This Row],[is_single_select]],questions[[#This Row],[is_multi_select]]),NOT(ISBLANK(questions[[#This Row],[answer_opt_combined]])),TRUE)</f>
        <v>1</v>
      </c>
    </row>
    <row r="1291" spans="1:45" ht="15.75" customHeight="1" x14ac:dyDescent="0.25">
      <c r="A1291" s="9" t="str">
        <f>_xlfn.TEXTJOIN("_",TRUE,questions[[#This Row],[origin]:[qno]])</f>
        <v>Rwanda_Arabica_Nestle_Illy_IMPACT_2025_1002</v>
      </c>
      <c r="B1291" s="9" t="s">
        <v>719</v>
      </c>
      <c r="C1291" s="9" t="s">
        <v>59</v>
      </c>
      <c r="D1291" s="9" t="s">
        <v>720</v>
      </c>
      <c r="E1291" s="33">
        <v>2025</v>
      </c>
      <c r="F1291" s="24" t="s">
        <v>65</v>
      </c>
      <c r="G1291" s="15" t="s">
        <v>66</v>
      </c>
      <c r="H1291" s="9" t="str" cm="1">
        <f t="array" ref="H1291">INDEX(stableR[question],MATCH(VALUE(questions[[#This Row],[qno]]),VALUE(stableR[qno]),0))</f>
        <v>Supply chain</v>
      </c>
      <c r="I1291" s="9" t="b" cm="1">
        <f t="array" ref="I1291">INDEX(stable[is_fixed],MATCH(VALUE(questions[[#This Row],[qno]]),VALUE(stable[qno]),0))</f>
        <v>1</v>
      </c>
      <c r="J1291" s="9" t="b" cm="1">
        <f t="array" ref="J1291">INDEX(stable[is_localized],MATCH(VALUE(questions[[#This Row],[qno]]),VALUE(stable[qno]),0))</f>
        <v>0</v>
      </c>
      <c r="K1291" s="9" t="b" cm="1">
        <f t="array" ref="K1291">INDEX(stable[is_supply_chain_dependent],MATCH(VALUE(questions[[#This Row],[qno]]),VALUE(stable[qno]),0))</f>
        <v>0</v>
      </c>
      <c r="L1291" s="9" t="b" cm="1">
        <f t="array" ref="L1291">INDEX(stable[is_mandatory],MATCH(VALUE(questions[[#This Row],[qno]]),VALUE(stable[qno]),0))</f>
        <v>1</v>
      </c>
      <c r="M1291" s="9" t="b" cm="1">
        <f t="array" ref="M1291">INDEX(stable[is_automated],MATCH(VALUE(questions[[#This Row],[qno]]),VALUE(stable[qno]),0))</f>
        <v>1</v>
      </c>
      <c r="N1291" s="9" t="b" cm="1">
        <f t="array" ref="N1291">INDEX(stable[is_free_text],MATCH(VALUE(questions[[#This Row],[qno]]),VALUE(stable[qno]),0))</f>
        <v>0</v>
      </c>
      <c r="O1291" s="9" t="b" cm="1">
        <f t="array" ref="O1291">INDEX(stable[is_numerical],MATCH(VALUE(questions[[#This Row],[qno]]),VALUE(stable[qno]),0))</f>
        <v>0</v>
      </c>
      <c r="P1291" s="9" t="b" cm="1">
        <f t="array" ref="P1291">INDEX(stable[is_single_select],MATCH(VALUE(questions[[#This Row],[qno]]),VALUE(stable[qno]),0))</f>
        <v>0</v>
      </c>
      <c r="Q1291" s="9" t="b" cm="1">
        <f t="array" ref="Q1291">INDEX(stable[is_multi_select],MATCH(VALUE(questions[[#This Row],[qno]]),VALUE(stable[qno]),0))</f>
        <v>0</v>
      </c>
      <c r="R1291" s="9" t="b" cm="1">
        <f t="array" ref="R1291">INDEX(stable[is_skip_logic],MATCH(VALUE(questions[[#This Row],[qno]]),VALUE(stable[qno]),0))</f>
        <v>0</v>
      </c>
      <c r="S1291" s="9" t="str">
        <f>_xlfn.TEXTJOIN(", ",TRUE,questions[[#This Row],[ans_opt_1]:[ans_opt_14]])</f>
        <v/>
      </c>
      <c r="AH1291" s="16" t="b">
        <f>INDEX(stable[q_standard],MATCH(questions[[#This Row],[qno]],stable[qno],0))</f>
        <v>1</v>
      </c>
      <c r="AI1291" s="16" t="b">
        <f>INDEX(stable[q_living_income],MATCH(questions[[#This Row],[qno]],stable[qno],0))</f>
        <v>0</v>
      </c>
      <c r="AJ1291" s="16" t="b">
        <f>INDEX(stable[q_carbon],MATCH(questions[[#This Row],[qno]],stable[qno],0))</f>
        <v>0</v>
      </c>
      <c r="AK1291" s="16" t="b">
        <f>INDEX(stable[q_regen_ag],MATCH(questions[[#This Row],[qno]],stable[qno],0))</f>
        <v>0</v>
      </c>
      <c r="AL1291" s="16" t="b">
        <f>COUNTIFS(stable[qno],questions[[#This Row],[qno]])=1</f>
        <v>1</v>
      </c>
      <c r="AM1291" s="16" t="b">
        <f>OR(questions[[#This Row],[is_fixed]],questions[[#This Row],[is_localized]],questions[[#This Row],[is_supply_chain_dependent]])</f>
        <v>1</v>
      </c>
      <c r="AN1291" s="16" t="b">
        <f>COUNTIFS(questions[[#This Row],[is_automated]:[is_multi_select]],TRUE)=1</f>
        <v>1</v>
      </c>
      <c r="AO1291" s="16" t="b">
        <f>IF(questions[[#This Row],[is_fixed]],questions[[#This Row],[question]]=INDEX(stable[question],MATCH(questions[[#This Row],[qno]],stable[qno],0)),TRUE)</f>
        <v>1</v>
      </c>
      <c r="AP1291" s="16" t="str">
        <f>LEFT(questions[[#This Row],[question]],similarity_range)</f>
        <v>Supply chain</v>
      </c>
      <c r="AQ1291" s="16" t="str">
        <f>LEFT(INDEX(stable[question],MATCH(questions[[#This Row],[qno]],stable[qno],0)),similarity_range)</f>
        <v>Supply chain</v>
      </c>
      <c r="AR1291" s="16" t="b">
        <f>questions[[#This Row],[question_first_characters]]=questions[[#This Row],[stability_first_characters]]</f>
        <v>1</v>
      </c>
      <c r="AS1291" s="16" t="b">
        <f>IF(OR(questions[[#This Row],[is_single_select]],questions[[#This Row],[is_multi_select]]),NOT(ISBLANK(questions[[#This Row],[answer_opt_combined]])),TRUE)</f>
        <v>1</v>
      </c>
    </row>
    <row r="1292" spans="1:45" ht="15.75" customHeight="1" x14ac:dyDescent="0.25">
      <c r="A1292" s="9" t="str">
        <f>_xlfn.TEXTJOIN("_",TRUE,questions[[#This Row],[origin]:[qno]])</f>
        <v>Rwanda_Arabica_Nestle_Illy_IMPACT_2025_1003</v>
      </c>
      <c r="B1292" s="9" t="s">
        <v>719</v>
      </c>
      <c r="C1292" s="9" t="s">
        <v>59</v>
      </c>
      <c r="D1292" s="9" t="s">
        <v>720</v>
      </c>
      <c r="E1292" s="33">
        <v>2025</v>
      </c>
      <c r="F1292" s="24" t="s">
        <v>67</v>
      </c>
      <c r="G1292" s="15" t="s">
        <v>68</v>
      </c>
      <c r="H1292" s="9" t="str" cm="1">
        <f t="array" ref="H1292">INDEX(stableR[question],MATCH(VALUE(questions[[#This Row],[qno]]),VALUE(stableR[qno]),0))</f>
        <v>Year</v>
      </c>
      <c r="I1292" s="9" t="b" cm="1">
        <f t="array" ref="I1292">INDEX(stable[is_fixed],MATCH(VALUE(questions[[#This Row],[qno]]),VALUE(stable[qno]),0))</f>
        <v>1</v>
      </c>
      <c r="J1292" s="9" t="b" cm="1">
        <f t="array" ref="J1292">INDEX(stable[is_localized],MATCH(VALUE(questions[[#This Row],[qno]]),VALUE(stable[qno]),0))</f>
        <v>0</v>
      </c>
      <c r="K1292" s="9" t="b" cm="1">
        <f t="array" ref="K1292">INDEX(stable[is_supply_chain_dependent],MATCH(VALUE(questions[[#This Row],[qno]]),VALUE(stable[qno]),0))</f>
        <v>0</v>
      </c>
      <c r="L1292" s="9" t="b" cm="1">
        <f t="array" ref="L1292">INDEX(stable[is_mandatory],MATCH(VALUE(questions[[#This Row],[qno]]),VALUE(stable[qno]),0))</f>
        <v>1</v>
      </c>
      <c r="M1292" s="9" t="b" cm="1">
        <f t="array" ref="M1292">INDEX(stable[is_automated],MATCH(VALUE(questions[[#This Row],[qno]]),VALUE(stable[qno]),0))</f>
        <v>1</v>
      </c>
      <c r="N1292" s="9" t="b" cm="1">
        <f t="array" ref="N1292">INDEX(stable[is_free_text],MATCH(VALUE(questions[[#This Row],[qno]]),VALUE(stable[qno]),0))</f>
        <v>0</v>
      </c>
      <c r="O1292" s="9" t="b" cm="1">
        <f t="array" ref="O1292">INDEX(stable[is_numerical],MATCH(VALUE(questions[[#This Row],[qno]]),VALUE(stable[qno]),0))</f>
        <v>0</v>
      </c>
      <c r="P1292" s="9" t="b" cm="1">
        <f t="array" ref="P1292">INDEX(stable[is_single_select],MATCH(VALUE(questions[[#This Row],[qno]]),VALUE(stable[qno]),0))</f>
        <v>0</v>
      </c>
      <c r="Q1292" s="9" t="b" cm="1">
        <f t="array" ref="Q1292">INDEX(stable[is_multi_select],MATCH(VALUE(questions[[#This Row],[qno]]),VALUE(stable[qno]),0))</f>
        <v>0</v>
      </c>
      <c r="R1292" s="9" t="b" cm="1">
        <f t="array" ref="R1292">INDEX(stable[is_skip_logic],MATCH(VALUE(questions[[#This Row],[qno]]),VALUE(stable[qno]),0))</f>
        <v>0</v>
      </c>
      <c r="S1292" s="9" t="str">
        <f>_xlfn.TEXTJOIN(", ",TRUE,questions[[#This Row],[ans_opt_1]:[ans_opt_14]])</f>
        <v/>
      </c>
      <c r="AH1292" s="16" t="b">
        <f>INDEX(stable[q_standard],MATCH(questions[[#This Row],[qno]],stable[qno],0))</f>
        <v>1</v>
      </c>
      <c r="AI1292" s="16" t="b">
        <f>INDEX(stable[q_living_income],MATCH(questions[[#This Row],[qno]],stable[qno],0))</f>
        <v>0</v>
      </c>
      <c r="AJ1292" s="16" t="b">
        <f>INDEX(stable[q_carbon],MATCH(questions[[#This Row],[qno]],stable[qno],0))</f>
        <v>0</v>
      </c>
      <c r="AK1292" s="16" t="b">
        <f>INDEX(stable[q_regen_ag],MATCH(questions[[#This Row],[qno]],stable[qno],0))</f>
        <v>0</v>
      </c>
      <c r="AL1292" s="16" t="b">
        <f>COUNTIFS(stable[qno],questions[[#This Row],[qno]])=1</f>
        <v>1</v>
      </c>
      <c r="AM1292" s="16" t="b">
        <f>OR(questions[[#This Row],[is_fixed]],questions[[#This Row],[is_localized]],questions[[#This Row],[is_supply_chain_dependent]])</f>
        <v>1</v>
      </c>
      <c r="AN1292" s="16" t="b">
        <f>COUNTIFS(questions[[#This Row],[is_automated]:[is_multi_select]],TRUE)=1</f>
        <v>1</v>
      </c>
      <c r="AO1292" s="16" t="b">
        <f>IF(questions[[#This Row],[is_fixed]],questions[[#This Row],[question]]=INDEX(stable[question],MATCH(questions[[#This Row],[qno]],stable[qno],0)),TRUE)</f>
        <v>1</v>
      </c>
      <c r="AP1292" s="16" t="str">
        <f>LEFT(questions[[#This Row],[question]],similarity_range)</f>
        <v>Year</v>
      </c>
      <c r="AQ1292" s="16" t="str">
        <f>LEFT(INDEX(stable[question],MATCH(questions[[#This Row],[qno]],stable[qno],0)),similarity_range)</f>
        <v>Year</v>
      </c>
      <c r="AR1292" s="16" t="b">
        <f>questions[[#This Row],[question_first_characters]]=questions[[#This Row],[stability_first_characters]]</f>
        <v>1</v>
      </c>
      <c r="AS1292" s="16" t="b">
        <f>IF(OR(questions[[#This Row],[is_single_select]],questions[[#This Row],[is_multi_select]]),NOT(ISBLANK(questions[[#This Row],[answer_opt_combined]])),TRUE)</f>
        <v>1</v>
      </c>
    </row>
    <row r="1293" spans="1:45" ht="15.75" customHeight="1" x14ac:dyDescent="0.25">
      <c r="A1293" s="9" t="str">
        <f>_xlfn.TEXTJOIN("_",TRUE,questions[[#This Row],[origin]:[qno]])</f>
        <v>Rwanda_Arabica_Nestle_Illy_IMPACT_2025_1104</v>
      </c>
      <c r="B1293" s="9" t="s">
        <v>719</v>
      </c>
      <c r="C1293" s="9" t="s">
        <v>59</v>
      </c>
      <c r="D1293" s="9" t="s">
        <v>720</v>
      </c>
      <c r="E1293" s="33">
        <v>2025</v>
      </c>
      <c r="F1293" s="24" t="s">
        <v>69</v>
      </c>
      <c r="G1293" s="15" t="s">
        <v>70</v>
      </c>
      <c r="H1293" s="9" t="str" cm="1">
        <f t="array" ref="H1293">INDEX(stableR[question],MATCH(VALUE(questions[[#This Row],[qno]]),VALUE(stableR[qno]),0))</f>
        <v>Managed by</v>
      </c>
      <c r="I1293" s="9" t="b" cm="1">
        <f t="array" ref="I1293">INDEX(stable[is_fixed],MATCH(VALUE(questions[[#This Row],[qno]]),VALUE(stable[qno]),0))</f>
        <v>1</v>
      </c>
      <c r="J1293" s="9" t="b" cm="1">
        <f t="array" ref="J1293">INDEX(stable[is_localized],MATCH(VALUE(questions[[#This Row],[qno]]),VALUE(stable[qno]),0))</f>
        <v>0</v>
      </c>
      <c r="K1293" s="9" t="b" cm="1">
        <f t="array" ref="K1293">INDEX(stable[is_supply_chain_dependent],MATCH(VALUE(questions[[#This Row],[qno]]),VALUE(stable[qno]),0))</f>
        <v>0</v>
      </c>
      <c r="L1293" s="9" t="b" cm="1">
        <f t="array" ref="L1293">INDEX(stable[is_mandatory],MATCH(VALUE(questions[[#This Row],[qno]]),VALUE(stable[qno]),0))</f>
        <v>1</v>
      </c>
      <c r="M1293" s="9" t="b" cm="1">
        <f t="array" ref="M1293">INDEX(stable[is_automated],MATCH(VALUE(questions[[#This Row],[qno]]),VALUE(stable[qno]),0))</f>
        <v>1</v>
      </c>
      <c r="N1293" s="9" t="b" cm="1">
        <f t="array" ref="N1293">INDEX(stable[is_free_text],MATCH(VALUE(questions[[#This Row],[qno]]),VALUE(stable[qno]),0))</f>
        <v>0</v>
      </c>
      <c r="O1293" s="9" t="b" cm="1">
        <f t="array" ref="O1293">INDEX(stable[is_numerical],MATCH(VALUE(questions[[#This Row],[qno]]),VALUE(stable[qno]),0))</f>
        <v>0</v>
      </c>
      <c r="P1293" s="9" t="b" cm="1">
        <f t="array" ref="P1293">INDEX(stable[is_single_select],MATCH(VALUE(questions[[#This Row],[qno]]),VALUE(stable[qno]),0))</f>
        <v>0</v>
      </c>
      <c r="Q1293" s="9" t="b" cm="1">
        <f t="array" ref="Q1293">INDEX(stable[is_multi_select],MATCH(VALUE(questions[[#This Row],[qno]]),VALUE(stable[qno]),0))</f>
        <v>0</v>
      </c>
      <c r="R1293" s="9" t="b" cm="1">
        <f t="array" ref="R1293">INDEX(stable[is_skip_logic],MATCH(VALUE(questions[[#This Row],[qno]]),VALUE(stable[qno]),0))</f>
        <v>0</v>
      </c>
      <c r="S1293" s="9" t="str">
        <f>_xlfn.TEXTJOIN(", ",TRUE,questions[[#This Row],[ans_opt_1]:[ans_opt_14]])</f>
        <v/>
      </c>
      <c r="AH1293" s="16" t="b">
        <f>INDEX(stable[q_standard],MATCH(questions[[#This Row],[qno]],stable[qno],0))</f>
        <v>1</v>
      </c>
      <c r="AI1293" s="16" t="b">
        <f>INDEX(stable[q_living_income],MATCH(questions[[#This Row],[qno]],stable[qno],0))</f>
        <v>0</v>
      </c>
      <c r="AJ1293" s="16" t="b">
        <f>INDEX(stable[q_carbon],MATCH(questions[[#This Row],[qno]],stable[qno],0))</f>
        <v>0</v>
      </c>
      <c r="AK1293" s="16" t="b">
        <f>INDEX(stable[q_regen_ag],MATCH(questions[[#This Row],[qno]],stable[qno],0))</f>
        <v>0</v>
      </c>
      <c r="AL1293" s="16" t="b">
        <f>COUNTIFS(stable[qno],questions[[#This Row],[qno]])=1</f>
        <v>1</v>
      </c>
      <c r="AM1293" s="16" t="b">
        <f>OR(questions[[#This Row],[is_fixed]],questions[[#This Row],[is_localized]],questions[[#This Row],[is_supply_chain_dependent]])</f>
        <v>1</v>
      </c>
      <c r="AN1293" s="16" t="b">
        <f>COUNTIFS(questions[[#This Row],[is_automated]:[is_multi_select]],TRUE)=1</f>
        <v>1</v>
      </c>
      <c r="AO1293" s="16" t="b">
        <f>IF(questions[[#This Row],[is_fixed]],questions[[#This Row],[question]]=INDEX(stable[question],MATCH(questions[[#This Row],[qno]],stable[qno],0)),TRUE)</f>
        <v>1</v>
      </c>
      <c r="AP1293" s="16" t="str">
        <f>LEFT(questions[[#This Row],[question]],similarity_range)</f>
        <v>Managed by</v>
      </c>
      <c r="AQ1293" s="16" t="str">
        <f>LEFT(INDEX(stable[question],MATCH(questions[[#This Row],[qno]],stable[qno],0)),similarity_range)</f>
        <v>Managed by</v>
      </c>
      <c r="AR1293" s="16" t="b">
        <f>questions[[#This Row],[question_first_characters]]=questions[[#This Row],[stability_first_characters]]</f>
        <v>1</v>
      </c>
      <c r="AS1293" s="16" t="b">
        <f>IF(OR(questions[[#This Row],[is_single_select]],questions[[#This Row],[is_multi_select]]),NOT(ISBLANK(questions[[#This Row],[answer_opt_combined]])),TRUE)</f>
        <v>1</v>
      </c>
    </row>
    <row r="1294" spans="1:45" ht="15.75" customHeight="1" x14ac:dyDescent="0.25">
      <c r="A1294" s="9" t="str">
        <f>_xlfn.TEXTJOIN("_",TRUE,questions[[#This Row],[origin]:[qno]])</f>
        <v>Rwanda_Arabica_Nestle_Illy_IMPACT_2025_1105</v>
      </c>
      <c r="B1294" s="9" t="s">
        <v>719</v>
      </c>
      <c r="C1294" s="9" t="s">
        <v>59</v>
      </c>
      <c r="D1294" s="9" t="s">
        <v>720</v>
      </c>
      <c r="E1294" s="33">
        <v>2025</v>
      </c>
      <c r="F1294" s="24" t="s">
        <v>71</v>
      </c>
      <c r="G1294" s="15" t="s">
        <v>72</v>
      </c>
      <c r="H1294" s="9" t="str" cm="1">
        <f t="array" ref="H1294">INDEX(stableR[question],MATCH(VALUE(questions[[#This Row],[qno]]),VALUE(stableR[qno]),0))</f>
        <v>Field staff(s)</v>
      </c>
      <c r="I1294" s="9" t="b" cm="1">
        <f t="array" ref="I1294">INDEX(stable[is_fixed],MATCH(VALUE(questions[[#This Row],[qno]]),VALUE(stable[qno]),0))</f>
        <v>1</v>
      </c>
      <c r="J1294" s="9" t="b" cm="1">
        <f t="array" ref="J1294">INDEX(stable[is_localized],MATCH(VALUE(questions[[#This Row],[qno]]),VALUE(stable[qno]),0))</f>
        <v>0</v>
      </c>
      <c r="K1294" s="9" t="b" cm="1">
        <f t="array" ref="K1294">INDEX(stable[is_supply_chain_dependent],MATCH(VALUE(questions[[#This Row],[qno]]),VALUE(stable[qno]),0))</f>
        <v>0</v>
      </c>
      <c r="L1294" s="9" t="b" cm="1">
        <f t="array" ref="L1294">INDEX(stable[is_mandatory],MATCH(VALUE(questions[[#This Row],[qno]]),VALUE(stable[qno]),0))</f>
        <v>1</v>
      </c>
      <c r="M1294" s="9" t="b" cm="1">
        <f t="array" ref="M1294">INDEX(stable[is_automated],MATCH(VALUE(questions[[#This Row],[qno]]),VALUE(stable[qno]),0))</f>
        <v>1</v>
      </c>
      <c r="N1294" s="9" t="b" cm="1">
        <f t="array" ref="N1294">INDEX(stable[is_free_text],MATCH(VALUE(questions[[#This Row],[qno]]),VALUE(stable[qno]),0))</f>
        <v>0</v>
      </c>
      <c r="O1294" s="9" t="b" cm="1">
        <f t="array" ref="O1294">INDEX(stable[is_numerical],MATCH(VALUE(questions[[#This Row],[qno]]),VALUE(stable[qno]),0))</f>
        <v>0</v>
      </c>
      <c r="P1294" s="9" t="b" cm="1">
        <f t="array" ref="P1294">INDEX(stable[is_single_select],MATCH(VALUE(questions[[#This Row],[qno]]),VALUE(stable[qno]),0))</f>
        <v>0</v>
      </c>
      <c r="Q1294" s="9" t="b" cm="1">
        <f t="array" ref="Q1294">INDEX(stable[is_multi_select],MATCH(VALUE(questions[[#This Row],[qno]]),VALUE(stable[qno]),0))</f>
        <v>0</v>
      </c>
      <c r="R1294" s="9" t="b" cm="1">
        <f t="array" ref="R1294">INDEX(stable[is_skip_logic],MATCH(VALUE(questions[[#This Row],[qno]]),VALUE(stable[qno]),0))</f>
        <v>0</v>
      </c>
      <c r="S1294" s="9" t="str">
        <f>_xlfn.TEXTJOIN(", ",TRUE,questions[[#This Row],[ans_opt_1]:[ans_opt_14]])</f>
        <v/>
      </c>
      <c r="AH1294" s="16" t="b">
        <f>INDEX(stable[q_standard],MATCH(questions[[#This Row],[qno]],stable[qno],0))</f>
        <v>1</v>
      </c>
      <c r="AI1294" s="16" t="b">
        <f>INDEX(stable[q_living_income],MATCH(questions[[#This Row],[qno]],stable[qno],0))</f>
        <v>0</v>
      </c>
      <c r="AJ1294" s="16" t="b">
        <f>INDEX(stable[q_carbon],MATCH(questions[[#This Row],[qno]],stable[qno],0))</f>
        <v>0</v>
      </c>
      <c r="AK1294" s="16" t="b">
        <f>INDEX(stable[q_regen_ag],MATCH(questions[[#This Row],[qno]],stable[qno],0))</f>
        <v>0</v>
      </c>
      <c r="AL1294" s="16" t="b">
        <f>COUNTIFS(stable[qno],questions[[#This Row],[qno]])=1</f>
        <v>1</v>
      </c>
      <c r="AM1294" s="16" t="b">
        <f>OR(questions[[#This Row],[is_fixed]],questions[[#This Row],[is_localized]],questions[[#This Row],[is_supply_chain_dependent]])</f>
        <v>1</v>
      </c>
      <c r="AN1294" s="16" t="b">
        <f>COUNTIFS(questions[[#This Row],[is_automated]:[is_multi_select]],TRUE)=1</f>
        <v>1</v>
      </c>
      <c r="AO1294" s="16" t="b">
        <f>IF(questions[[#This Row],[is_fixed]],questions[[#This Row],[question]]=INDEX(stable[question],MATCH(questions[[#This Row],[qno]],stable[qno],0)),TRUE)</f>
        <v>1</v>
      </c>
      <c r="AP1294" s="16" t="str">
        <f>LEFT(questions[[#This Row],[question]],similarity_range)</f>
        <v>Field staff(s)</v>
      </c>
      <c r="AQ1294" s="16" t="str">
        <f>LEFT(INDEX(stable[question],MATCH(questions[[#This Row],[qno]],stable[qno],0)),similarity_range)</f>
        <v>Field staff(s)</v>
      </c>
      <c r="AR1294" s="16" t="b">
        <f>questions[[#This Row],[question_first_characters]]=questions[[#This Row],[stability_first_characters]]</f>
        <v>1</v>
      </c>
      <c r="AS1294" s="16" t="b">
        <f>IF(OR(questions[[#This Row],[is_single_select]],questions[[#This Row],[is_multi_select]]),NOT(ISBLANK(questions[[#This Row],[answer_opt_combined]])),TRUE)</f>
        <v>1</v>
      </c>
    </row>
    <row r="1295" spans="1:45" ht="15.75" customHeight="1" x14ac:dyDescent="0.25">
      <c r="A1295" s="9" t="str">
        <f>_xlfn.TEXTJOIN("_",TRUE,questions[[#This Row],[origin]:[qno]])</f>
        <v>Rwanda_Arabica_Nestle_Illy_IMPACT_2025_1106</v>
      </c>
      <c r="B1295" s="9" t="s">
        <v>719</v>
      </c>
      <c r="C1295" s="9" t="s">
        <v>59</v>
      </c>
      <c r="D1295" s="9" t="s">
        <v>720</v>
      </c>
      <c r="E1295" s="33">
        <v>2025</v>
      </c>
      <c r="F1295" s="24" t="s">
        <v>73</v>
      </c>
      <c r="G1295" s="15" t="s">
        <v>74</v>
      </c>
      <c r="H1295" s="9" t="str" cm="1">
        <f t="array" ref="H1295">INDEX(stableR[question],MATCH(VALUE(questions[[#This Row],[qno]]),VALUE(stableR[qno]),0))</f>
        <v>Completion Date</v>
      </c>
      <c r="I1295" s="9" t="b" cm="1">
        <f t="array" ref="I1295">INDEX(stable[is_fixed],MATCH(VALUE(questions[[#This Row],[qno]]),VALUE(stable[qno]),0))</f>
        <v>1</v>
      </c>
      <c r="J1295" s="9" t="b" cm="1">
        <f t="array" ref="J1295">INDEX(stable[is_localized],MATCH(VALUE(questions[[#This Row],[qno]]),VALUE(stable[qno]),0))</f>
        <v>0</v>
      </c>
      <c r="K1295" s="9" t="b" cm="1">
        <f t="array" ref="K1295">INDEX(stable[is_supply_chain_dependent],MATCH(VALUE(questions[[#This Row],[qno]]),VALUE(stable[qno]),0))</f>
        <v>0</v>
      </c>
      <c r="L1295" s="9" t="b" cm="1">
        <f t="array" ref="L1295">INDEX(stable[is_mandatory],MATCH(VALUE(questions[[#This Row],[qno]]),VALUE(stable[qno]),0))</f>
        <v>1</v>
      </c>
      <c r="M1295" s="9" t="b" cm="1">
        <f t="array" ref="M1295">INDEX(stable[is_automated],MATCH(VALUE(questions[[#This Row],[qno]]),VALUE(stable[qno]),0))</f>
        <v>1</v>
      </c>
      <c r="N1295" s="9" t="b" cm="1">
        <f t="array" ref="N1295">INDEX(stable[is_free_text],MATCH(VALUE(questions[[#This Row],[qno]]),VALUE(stable[qno]),0))</f>
        <v>0</v>
      </c>
      <c r="O1295" s="9" t="b" cm="1">
        <f t="array" ref="O1295">INDEX(stable[is_numerical],MATCH(VALUE(questions[[#This Row],[qno]]),VALUE(stable[qno]),0))</f>
        <v>0</v>
      </c>
      <c r="P1295" s="9" t="b" cm="1">
        <f t="array" ref="P1295">INDEX(stable[is_single_select],MATCH(VALUE(questions[[#This Row],[qno]]),VALUE(stable[qno]),0))</f>
        <v>0</v>
      </c>
      <c r="Q1295" s="9" t="b" cm="1">
        <f t="array" ref="Q1295">INDEX(stable[is_multi_select],MATCH(VALUE(questions[[#This Row],[qno]]),VALUE(stable[qno]),0))</f>
        <v>0</v>
      </c>
      <c r="R1295" s="9" t="b" cm="1">
        <f t="array" ref="R1295">INDEX(stable[is_skip_logic],MATCH(VALUE(questions[[#This Row],[qno]]),VALUE(stable[qno]),0))</f>
        <v>0</v>
      </c>
      <c r="S1295" s="9" t="str">
        <f>_xlfn.TEXTJOIN(", ",TRUE,questions[[#This Row],[ans_opt_1]:[ans_opt_14]])</f>
        <v/>
      </c>
      <c r="AH1295" s="16" t="b">
        <f>INDEX(stable[q_standard],MATCH(questions[[#This Row],[qno]],stable[qno],0))</f>
        <v>1</v>
      </c>
      <c r="AI1295" s="16" t="b">
        <f>INDEX(stable[q_living_income],MATCH(questions[[#This Row],[qno]],stable[qno],0))</f>
        <v>0</v>
      </c>
      <c r="AJ1295" s="16" t="b">
        <f>INDEX(stable[q_carbon],MATCH(questions[[#This Row],[qno]],stable[qno],0))</f>
        <v>0</v>
      </c>
      <c r="AK1295" s="16" t="b">
        <f>INDEX(stable[q_regen_ag],MATCH(questions[[#This Row],[qno]],stable[qno],0))</f>
        <v>0</v>
      </c>
      <c r="AL1295" s="16" t="b">
        <f>COUNTIFS(stable[qno],questions[[#This Row],[qno]])=1</f>
        <v>1</v>
      </c>
      <c r="AM1295" s="16" t="b">
        <f>OR(questions[[#This Row],[is_fixed]],questions[[#This Row],[is_localized]],questions[[#This Row],[is_supply_chain_dependent]])</f>
        <v>1</v>
      </c>
      <c r="AN1295" s="16" t="b">
        <f>COUNTIFS(questions[[#This Row],[is_automated]:[is_multi_select]],TRUE)=1</f>
        <v>1</v>
      </c>
      <c r="AO1295" s="16" t="b">
        <f>IF(questions[[#This Row],[is_fixed]],questions[[#This Row],[question]]=INDEX(stable[question],MATCH(questions[[#This Row],[qno]],stable[qno],0)),TRUE)</f>
        <v>1</v>
      </c>
      <c r="AP1295" s="16" t="str">
        <f>LEFT(questions[[#This Row],[question]],similarity_range)</f>
        <v>Completion Date</v>
      </c>
      <c r="AQ1295" s="16" t="str">
        <f>LEFT(INDEX(stable[question],MATCH(questions[[#This Row],[qno]],stable[qno],0)),similarity_range)</f>
        <v>Completion Date</v>
      </c>
      <c r="AR1295" s="16" t="b">
        <f>questions[[#This Row],[question_first_characters]]=questions[[#This Row],[stability_first_characters]]</f>
        <v>1</v>
      </c>
      <c r="AS1295" s="16" t="b">
        <f>IF(OR(questions[[#This Row],[is_single_select]],questions[[#This Row],[is_multi_select]]),NOT(ISBLANK(questions[[#This Row],[answer_opt_combined]])),TRUE)</f>
        <v>1</v>
      </c>
    </row>
    <row r="1296" spans="1:45" ht="15.75" customHeight="1" x14ac:dyDescent="0.25">
      <c r="A1296" s="9" t="str">
        <f>_xlfn.TEXTJOIN("_",TRUE,questions[[#This Row],[origin]:[qno]])</f>
        <v>Rwanda_Arabica_Nestle_Illy_IMPACT_2025_1110</v>
      </c>
      <c r="B1296" s="9" t="s">
        <v>719</v>
      </c>
      <c r="C1296" s="9" t="s">
        <v>59</v>
      </c>
      <c r="D1296" s="9" t="s">
        <v>720</v>
      </c>
      <c r="E1296" s="33">
        <v>2025</v>
      </c>
      <c r="F1296" s="24" t="s">
        <v>75</v>
      </c>
      <c r="G1296" s="15" t="s">
        <v>76</v>
      </c>
      <c r="H1296" s="9" t="str" cm="1">
        <f t="array" ref="H1296">INDEX(stableR[question],MATCH(VALUE(questions[[#This Row],[qno]]),VALUE(stableR[qno]),0))</f>
        <v>Approved / Rejected By</v>
      </c>
      <c r="I1296" s="9" t="b" cm="1">
        <f t="array" ref="I1296">INDEX(stable[is_fixed],MATCH(VALUE(questions[[#This Row],[qno]]),VALUE(stable[qno]),0))</f>
        <v>1</v>
      </c>
      <c r="J1296" s="9" t="b" cm="1">
        <f t="array" ref="J1296">INDEX(stable[is_localized],MATCH(VALUE(questions[[#This Row],[qno]]),VALUE(stable[qno]),0))</f>
        <v>0</v>
      </c>
      <c r="K1296" s="9" t="b" cm="1">
        <f t="array" ref="K1296">INDEX(stable[is_supply_chain_dependent],MATCH(VALUE(questions[[#This Row],[qno]]),VALUE(stable[qno]),0))</f>
        <v>0</v>
      </c>
      <c r="L1296" s="9" t="b" cm="1">
        <f t="array" ref="L1296">INDEX(stable[is_mandatory],MATCH(VALUE(questions[[#This Row],[qno]]),VALUE(stable[qno]),0))</f>
        <v>1</v>
      </c>
      <c r="M1296" s="9" t="b" cm="1">
        <f t="array" ref="M1296">INDEX(stable[is_automated],MATCH(VALUE(questions[[#This Row],[qno]]),VALUE(stable[qno]),0))</f>
        <v>1</v>
      </c>
      <c r="N1296" s="9" t="b" cm="1">
        <f t="array" ref="N1296">INDEX(stable[is_free_text],MATCH(VALUE(questions[[#This Row],[qno]]),VALUE(stable[qno]),0))</f>
        <v>0</v>
      </c>
      <c r="O1296" s="9" t="b" cm="1">
        <f t="array" ref="O1296">INDEX(stable[is_numerical],MATCH(VALUE(questions[[#This Row],[qno]]),VALUE(stable[qno]),0))</f>
        <v>0</v>
      </c>
      <c r="P1296" s="9" t="b" cm="1">
        <f t="array" ref="P1296">INDEX(stable[is_single_select],MATCH(VALUE(questions[[#This Row],[qno]]),VALUE(stable[qno]),0))</f>
        <v>0</v>
      </c>
      <c r="Q1296" s="9" t="b" cm="1">
        <f t="array" ref="Q1296">INDEX(stable[is_multi_select],MATCH(VALUE(questions[[#This Row],[qno]]),VALUE(stable[qno]),0))</f>
        <v>0</v>
      </c>
      <c r="R1296" s="9" t="b" cm="1">
        <f t="array" ref="R1296">INDEX(stable[is_skip_logic],MATCH(VALUE(questions[[#This Row],[qno]]),VALUE(stable[qno]),0))</f>
        <v>0</v>
      </c>
      <c r="S1296" s="9" t="str">
        <f>_xlfn.TEXTJOIN(", ",TRUE,questions[[#This Row],[ans_opt_1]:[ans_opt_14]])</f>
        <v/>
      </c>
      <c r="AH1296" s="16" t="b">
        <f>INDEX(stable[q_standard],MATCH(questions[[#This Row],[qno]],stable[qno],0))</f>
        <v>1</v>
      </c>
      <c r="AI1296" s="16" t="b">
        <f>INDEX(stable[q_living_income],MATCH(questions[[#This Row],[qno]],stable[qno],0))</f>
        <v>0</v>
      </c>
      <c r="AJ1296" s="16" t="b">
        <f>INDEX(stable[q_carbon],MATCH(questions[[#This Row],[qno]],stable[qno],0))</f>
        <v>0</v>
      </c>
      <c r="AK1296" s="16" t="b">
        <f>INDEX(stable[q_regen_ag],MATCH(questions[[#This Row],[qno]],stable[qno],0))</f>
        <v>0</v>
      </c>
      <c r="AL1296" s="16" t="b">
        <f>COUNTIFS(stable[qno],questions[[#This Row],[qno]])=1</f>
        <v>1</v>
      </c>
      <c r="AM1296" s="16" t="b">
        <f>OR(questions[[#This Row],[is_fixed]],questions[[#This Row],[is_localized]],questions[[#This Row],[is_supply_chain_dependent]])</f>
        <v>1</v>
      </c>
      <c r="AN1296" s="16" t="b">
        <f>COUNTIFS(questions[[#This Row],[is_automated]:[is_multi_select]],TRUE)=1</f>
        <v>1</v>
      </c>
      <c r="AO1296" s="16" t="b">
        <f>IF(questions[[#This Row],[is_fixed]],questions[[#This Row],[question]]=INDEX(stable[question],MATCH(questions[[#This Row],[qno]],stable[qno],0)),TRUE)</f>
        <v>1</v>
      </c>
      <c r="AP1296" s="16" t="str">
        <f>LEFT(questions[[#This Row],[question]],similarity_range)</f>
        <v xml:space="preserve">Approved / Rejected </v>
      </c>
      <c r="AQ1296" s="16" t="str">
        <f>LEFT(INDEX(stable[question],MATCH(questions[[#This Row],[qno]],stable[qno],0)),similarity_range)</f>
        <v xml:space="preserve">Approved / Rejected </v>
      </c>
      <c r="AR1296" s="16" t="b">
        <f>questions[[#This Row],[question_first_characters]]=questions[[#This Row],[stability_first_characters]]</f>
        <v>1</v>
      </c>
      <c r="AS1296" s="16" t="b">
        <f>IF(OR(questions[[#This Row],[is_single_select]],questions[[#This Row],[is_multi_select]]),NOT(ISBLANK(questions[[#This Row],[answer_opt_combined]])),TRUE)</f>
        <v>1</v>
      </c>
    </row>
    <row r="1297" spans="1:45" ht="15.75" customHeight="1" x14ac:dyDescent="0.25">
      <c r="A1297" s="9" t="str">
        <f>_xlfn.TEXTJOIN("_",TRUE,questions[[#This Row],[origin]:[qno]])</f>
        <v>Rwanda_Arabica_Nestle_Illy_IMPACT_2025_1111</v>
      </c>
      <c r="B1297" s="9" t="s">
        <v>719</v>
      </c>
      <c r="C1297" s="9" t="s">
        <v>59</v>
      </c>
      <c r="D1297" s="9" t="s">
        <v>720</v>
      </c>
      <c r="E1297" s="33">
        <v>2025</v>
      </c>
      <c r="F1297" s="24" t="s">
        <v>77</v>
      </c>
      <c r="G1297" s="15" t="s">
        <v>78</v>
      </c>
      <c r="H1297" s="9" t="str" cm="1">
        <f t="array" ref="H1297">INDEX(stableR[question],MATCH(VALUE(questions[[#This Row],[qno]]),VALUE(stableR[qno]),0))</f>
        <v>Approved / Rejected Date</v>
      </c>
      <c r="I1297" s="9" t="b" cm="1">
        <f t="array" ref="I1297">INDEX(stable[is_fixed],MATCH(VALUE(questions[[#This Row],[qno]]),VALUE(stable[qno]),0))</f>
        <v>1</v>
      </c>
      <c r="J1297" s="9" t="b" cm="1">
        <f t="array" ref="J1297">INDEX(stable[is_localized],MATCH(VALUE(questions[[#This Row],[qno]]),VALUE(stable[qno]),0))</f>
        <v>0</v>
      </c>
      <c r="K1297" s="9" t="b" cm="1">
        <f t="array" ref="K1297">INDEX(stable[is_supply_chain_dependent],MATCH(VALUE(questions[[#This Row],[qno]]),VALUE(stable[qno]),0))</f>
        <v>0</v>
      </c>
      <c r="L1297" s="9" t="b" cm="1">
        <f t="array" ref="L1297">INDEX(stable[is_mandatory],MATCH(VALUE(questions[[#This Row],[qno]]),VALUE(stable[qno]),0))</f>
        <v>1</v>
      </c>
      <c r="M1297" s="9" t="b" cm="1">
        <f t="array" ref="M1297">INDEX(stable[is_automated],MATCH(VALUE(questions[[#This Row],[qno]]),VALUE(stable[qno]),0))</f>
        <v>1</v>
      </c>
      <c r="N1297" s="9" t="b" cm="1">
        <f t="array" ref="N1297">INDEX(stable[is_free_text],MATCH(VALUE(questions[[#This Row],[qno]]),VALUE(stable[qno]),0))</f>
        <v>0</v>
      </c>
      <c r="O1297" s="9" t="b" cm="1">
        <f t="array" ref="O1297">INDEX(stable[is_numerical],MATCH(VALUE(questions[[#This Row],[qno]]),VALUE(stable[qno]),0))</f>
        <v>0</v>
      </c>
      <c r="P1297" s="9" t="b" cm="1">
        <f t="array" ref="P1297">INDEX(stable[is_single_select],MATCH(VALUE(questions[[#This Row],[qno]]),VALUE(stable[qno]),0))</f>
        <v>0</v>
      </c>
      <c r="Q1297" s="9" t="b" cm="1">
        <f t="array" ref="Q1297">INDEX(stable[is_multi_select],MATCH(VALUE(questions[[#This Row],[qno]]),VALUE(stable[qno]),0))</f>
        <v>0</v>
      </c>
      <c r="R1297" s="9" t="b" cm="1">
        <f t="array" ref="R1297">INDEX(stable[is_skip_logic],MATCH(VALUE(questions[[#This Row],[qno]]),VALUE(stable[qno]),0))</f>
        <v>0</v>
      </c>
      <c r="S1297" s="9" t="str">
        <f>_xlfn.TEXTJOIN(", ",TRUE,questions[[#This Row],[ans_opt_1]:[ans_opt_14]])</f>
        <v/>
      </c>
      <c r="AH1297" s="16" t="b">
        <f>INDEX(stable[q_standard],MATCH(questions[[#This Row],[qno]],stable[qno],0))</f>
        <v>1</v>
      </c>
      <c r="AI1297" s="16" t="b">
        <f>INDEX(stable[q_living_income],MATCH(questions[[#This Row],[qno]],stable[qno],0))</f>
        <v>0</v>
      </c>
      <c r="AJ1297" s="16" t="b">
        <f>INDEX(stable[q_carbon],MATCH(questions[[#This Row],[qno]],stable[qno],0))</f>
        <v>0</v>
      </c>
      <c r="AK1297" s="16" t="b">
        <f>INDEX(stable[q_regen_ag],MATCH(questions[[#This Row],[qno]],stable[qno],0))</f>
        <v>0</v>
      </c>
      <c r="AL1297" s="16" t="b">
        <f>COUNTIFS(stable[qno],questions[[#This Row],[qno]])=1</f>
        <v>1</v>
      </c>
      <c r="AM1297" s="16" t="b">
        <f>OR(questions[[#This Row],[is_fixed]],questions[[#This Row],[is_localized]],questions[[#This Row],[is_supply_chain_dependent]])</f>
        <v>1</v>
      </c>
      <c r="AN1297" s="16" t="b">
        <f>COUNTIFS(questions[[#This Row],[is_automated]:[is_multi_select]],TRUE)=1</f>
        <v>1</v>
      </c>
      <c r="AO1297" s="16" t="b">
        <f>IF(questions[[#This Row],[is_fixed]],questions[[#This Row],[question]]=INDEX(stable[question],MATCH(questions[[#This Row],[qno]],stable[qno],0)),TRUE)</f>
        <v>1</v>
      </c>
      <c r="AP1297" s="16" t="str">
        <f>LEFT(questions[[#This Row],[question]],similarity_range)</f>
        <v xml:space="preserve">Approved / Rejected </v>
      </c>
      <c r="AQ1297" s="16" t="str">
        <f>LEFT(INDEX(stable[question],MATCH(questions[[#This Row],[qno]],stable[qno],0)),similarity_range)</f>
        <v xml:space="preserve">Approved / Rejected </v>
      </c>
      <c r="AR1297" s="16" t="b">
        <f>questions[[#This Row],[question_first_characters]]=questions[[#This Row],[stability_first_characters]]</f>
        <v>1</v>
      </c>
      <c r="AS1297" s="16" t="b">
        <f>IF(OR(questions[[#This Row],[is_single_select]],questions[[#This Row],[is_multi_select]]),NOT(ISBLANK(questions[[#This Row],[answer_opt_combined]])),TRUE)</f>
        <v>1</v>
      </c>
    </row>
    <row r="1298" spans="1:45" ht="15.75" customHeight="1" x14ac:dyDescent="0.25">
      <c r="A1298" s="9" t="str">
        <f>_xlfn.TEXTJOIN("_",TRUE,questions[[#This Row],[origin]:[qno]])</f>
        <v>Rwanda_Arabica_Nestle_Illy_IMPACT_2025_1112</v>
      </c>
      <c r="B1298" s="9" t="s">
        <v>719</v>
      </c>
      <c r="C1298" s="9" t="s">
        <v>59</v>
      </c>
      <c r="D1298" s="9" t="s">
        <v>720</v>
      </c>
      <c r="E1298" s="33">
        <v>2025</v>
      </c>
      <c r="F1298" s="24" t="s">
        <v>79</v>
      </c>
      <c r="G1298" s="15" t="s">
        <v>80</v>
      </c>
      <c r="H1298" s="9" t="str" cm="1">
        <f t="array" ref="H1298">INDEX(stableR[question],MATCH(VALUE(questions[[#This Row],[qno]]),VALUE(stableR[qno]),0))</f>
        <v>Approval / Rejection Reason</v>
      </c>
      <c r="I1298" s="9" t="b" cm="1">
        <f t="array" ref="I1298">INDEX(stable[is_fixed],MATCH(VALUE(questions[[#This Row],[qno]]),VALUE(stable[qno]),0))</f>
        <v>1</v>
      </c>
      <c r="J1298" s="9" t="b" cm="1">
        <f t="array" ref="J1298">INDEX(stable[is_localized],MATCH(VALUE(questions[[#This Row],[qno]]),VALUE(stable[qno]),0))</f>
        <v>0</v>
      </c>
      <c r="K1298" s="9" t="b" cm="1">
        <f t="array" ref="K1298">INDEX(stable[is_supply_chain_dependent],MATCH(VALUE(questions[[#This Row],[qno]]),VALUE(stable[qno]),0))</f>
        <v>0</v>
      </c>
      <c r="L1298" s="9" t="b" cm="1">
        <f t="array" ref="L1298">INDEX(stable[is_mandatory],MATCH(VALUE(questions[[#This Row],[qno]]),VALUE(stable[qno]),0))</f>
        <v>1</v>
      </c>
      <c r="M1298" s="9" t="b" cm="1">
        <f t="array" ref="M1298">INDEX(stable[is_automated],MATCH(VALUE(questions[[#This Row],[qno]]),VALUE(stable[qno]),0))</f>
        <v>1</v>
      </c>
      <c r="N1298" s="9" t="b" cm="1">
        <f t="array" ref="N1298">INDEX(stable[is_free_text],MATCH(VALUE(questions[[#This Row],[qno]]),VALUE(stable[qno]),0))</f>
        <v>0</v>
      </c>
      <c r="O1298" s="9" t="b" cm="1">
        <f t="array" ref="O1298">INDEX(stable[is_numerical],MATCH(VALUE(questions[[#This Row],[qno]]),VALUE(stable[qno]),0))</f>
        <v>0</v>
      </c>
      <c r="P1298" s="9" t="b" cm="1">
        <f t="array" ref="P1298">INDEX(stable[is_single_select],MATCH(VALUE(questions[[#This Row],[qno]]),VALUE(stable[qno]),0))</f>
        <v>0</v>
      </c>
      <c r="Q1298" s="9" t="b" cm="1">
        <f t="array" ref="Q1298">INDEX(stable[is_multi_select],MATCH(VALUE(questions[[#This Row],[qno]]),VALUE(stable[qno]),0))</f>
        <v>0</v>
      </c>
      <c r="R1298" s="9" t="b" cm="1">
        <f t="array" ref="R1298">INDEX(stable[is_skip_logic],MATCH(VALUE(questions[[#This Row],[qno]]),VALUE(stable[qno]),0))</f>
        <v>0</v>
      </c>
      <c r="S1298" s="9" t="str">
        <f>_xlfn.TEXTJOIN(", ",TRUE,questions[[#This Row],[ans_opt_1]:[ans_opt_14]])</f>
        <v/>
      </c>
      <c r="AH1298" s="16" t="b">
        <f>INDEX(stable[q_standard],MATCH(questions[[#This Row],[qno]],stable[qno],0))</f>
        <v>1</v>
      </c>
      <c r="AI1298" s="16" t="b">
        <f>INDEX(stable[q_living_income],MATCH(questions[[#This Row],[qno]],stable[qno],0))</f>
        <v>0</v>
      </c>
      <c r="AJ1298" s="16" t="b">
        <f>INDEX(stable[q_carbon],MATCH(questions[[#This Row],[qno]],stable[qno],0))</f>
        <v>0</v>
      </c>
      <c r="AK1298" s="16" t="b">
        <f>INDEX(stable[q_regen_ag],MATCH(questions[[#This Row],[qno]],stable[qno],0))</f>
        <v>0</v>
      </c>
      <c r="AL1298" s="16" t="b">
        <f>COUNTIFS(stable[qno],questions[[#This Row],[qno]])=1</f>
        <v>1</v>
      </c>
      <c r="AM1298" s="16" t="b">
        <f>OR(questions[[#This Row],[is_fixed]],questions[[#This Row],[is_localized]],questions[[#This Row],[is_supply_chain_dependent]])</f>
        <v>1</v>
      </c>
      <c r="AN1298" s="16" t="b">
        <f>COUNTIFS(questions[[#This Row],[is_automated]:[is_multi_select]],TRUE)=1</f>
        <v>1</v>
      </c>
      <c r="AO1298" s="16" t="b">
        <f>IF(questions[[#This Row],[is_fixed]],questions[[#This Row],[question]]=INDEX(stable[question],MATCH(questions[[#This Row],[qno]],stable[qno],0)),TRUE)</f>
        <v>1</v>
      </c>
      <c r="AP1298" s="16" t="str">
        <f>LEFT(questions[[#This Row],[question]],similarity_range)</f>
        <v>Approval / Rejection</v>
      </c>
      <c r="AQ1298" s="16" t="str">
        <f>LEFT(INDEX(stable[question],MATCH(questions[[#This Row],[qno]],stable[qno],0)),similarity_range)</f>
        <v>Approval / Rejection</v>
      </c>
      <c r="AR1298" s="16" t="b">
        <f>questions[[#This Row],[question_first_characters]]=questions[[#This Row],[stability_first_characters]]</f>
        <v>1</v>
      </c>
      <c r="AS1298" s="16" t="b">
        <f>IF(OR(questions[[#This Row],[is_single_select]],questions[[#This Row],[is_multi_select]]),NOT(ISBLANK(questions[[#This Row],[answer_opt_combined]])),TRUE)</f>
        <v>1</v>
      </c>
    </row>
    <row r="1299" spans="1:45" ht="15.75" customHeight="1" x14ac:dyDescent="0.25">
      <c r="A1299" s="9" t="str">
        <f>_xlfn.TEXTJOIN("_",TRUE,questions[[#This Row],[origin]:[qno]])</f>
        <v>Rwanda_Arabica_Nestle_Illy_IMPACT_2025_1200</v>
      </c>
      <c r="B1299" s="9" t="s">
        <v>719</v>
      </c>
      <c r="C1299" s="9" t="s">
        <v>59</v>
      </c>
      <c r="D1299" s="9" t="s">
        <v>720</v>
      </c>
      <c r="E1299" s="33">
        <v>2025</v>
      </c>
      <c r="F1299" s="24" t="s">
        <v>81</v>
      </c>
      <c r="G1299" s="15" t="s">
        <v>82</v>
      </c>
      <c r="H1299" s="9" t="str" cm="1">
        <f t="array" ref="H1299">INDEX(stableR[question],MATCH(VALUE(questions[[#This Row],[qno]]),VALUE(stableR[qno]),0))</f>
        <v>Farmer code</v>
      </c>
      <c r="I1299" s="9" t="b" cm="1">
        <f t="array" ref="I1299">INDEX(stable[is_fixed],MATCH(VALUE(questions[[#This Row],[qno]]),VALUE(stable[qno]),0))</f>
        <v>1</v>
      </c>
      <c r="J1299" s="9" t="b" cm="1">
        <f t="array" ref="J1299">INDEX(stable[is_localized],MATCH(VALUE(questions[[#This Row],[qno]]),VALUE(stable[qno]),0))</f>
        <v>0</v>
      </c>
      <c r="K1299" s="9" t="b" cm="1">
        <f t="array" ref="K1299">INDEX(stable[is_supply_chain_dependent],MATCH(VALUE(questions[[#This Row],[qno]]),VALUE(stable[qno]),0))</f>
        <v>0</v>
      </c>
      <c r="L1299" s="9" t="b" cm="1">
        <f t="array" ref="L1299">INDEX(stable[is_mandatory],MATCH(VALUE(questions[[#This Row],[qno]]),VALUE(stable[qno]),0))</f>
        <v>1</v>
      </c>
      <c r="M1299" s="9" t="b" cm="1">
        <f t="array" ref="M1299">INDEX(stable[is_automated],MATCH(VALUE(questions[[#This Row],[qno]]),VALUE(stable[qno]),0))</f>
        <v>1</v>
      </c>
      <c r="N1299" s="9" t="b" cm="1">
        <f t="array" ref="N1299">INDEX(stable[is_free_text],MATCH(VALUE(questions[[#This Row],[qno]]),VALUE(stable[qno]),0))</f>
        <v>0</v>
      </c>
      <c r="O1299" s="9" t="b" cm="1">
        <f t="array" ref="O1299">INDEX(stable[is_numerical],MATCH(VALUE(questions[[#This Row],[qno]]),VALUE(stable[qno]),0))</f>
        <v>0</v>
      </c>
      <c r="P1299" s="9" t="b" cm="1">
        <f t="array" ref="P1299">INDEX(stable[is_single_select],MATCH(VALUE(questions[[#This Row],[qno]]),VALUE(stable[qno]),0))</f>
        <v>0</v>
      </c>
      <c r="Q1299" s="9" t="b" cm="1">
        <f t="array" ref="Q1299">INDEX(stable[is_multi_select],MATCH(VALUE(questions[[#This Row],[qno]]),VALUE(stable[qno]),0))</f>
        <v>0</v>
      </c>
      <c r="R1299" s="9" t="b" cm="1">
        <f t="array" ref="R1299">INDEX(stable[is_skip_logic],MATCH(VALUE(questions[[#This Row],[qno]]),VALUE(stable[qno]),0))</f>
        <v>0</v>
      </c>
      <c r="S1299" s="9" t="str">
        <f>_xlfn.TEXTJOIN(", ",TRUE,questions[[#This Row],[ans_opt_1]:[ans_opt_14]])</f>
        <v/>
      </c>
      <c r="AH1299" s="16" t="b">
        <f>INDEX(stable[q_standard],MATCH(questions[[#This Row],[qno]],stable[qno],0))</f>
        <v>1</v>
      </c>
      <c r="AI1299" s="16" t="b">
        <f>INDEX(stable[q_living_income],MATCH(questions[[#This Row],[qno]],stable[qno],0))</f>
        <v>0</v>
      </c>
      <c r="AJ1299" s="16" t="b">
        <f>INDEX(stable[q_carbon],MATCH(questions[[#This Row],[qno]],stable[qno],0))</f>
        <v>0</v>
      </c>
      <c r="AK1299" s="16" t="b">
        <f>INDEX(stable[q_regen_ag],MATCH(questions[[#This Row],[qno]],stable[qno],0))</f>
        <v>0</v>
      </c>
      <c r="AL1299" s="16" t="b">
        <f>COUNTIFS(stable[qno],questions[[#This Row],[qno]])=1</f>
        <v>1</v>
      </c>
      <c r="AM1299" s="16" t="b">
        <f>OR(questions[[#This Row],[is_fixed]],questions[[#This Row],[is_localized]],questions[[#This Row],[is_supply_chain_dependent]])</f>
        <v>1</v>
      </c>
      <c r="AN1299" s="16" t="b">
        <f>COUNTIFS(questions[[#This Row],[is_automated]:[is_multi_select]],TRUE)=1</f>
        <v>1</v>
      </c>
      <c r="AO1299" s="16" t="b">
        <f>IF(questions[[#This Row],[is_fixed]],questions[[#This Row],[question]]=INDEX(stable[question],MATCH(questions[[#This Row],[qno]],stable[qno],0)),TRUE)</f>
        <v>1</v>
      </c>
      <c r="AP1299" s="16" t="str">
        <f>LEFT(questions[[#This Row],[question]],similarity_range)</f>
        <v>Farmer code</v>
      </c>
      <c r="AQ1299" s="16" t="str">
        <f>LEFT(INDEX(stable[question],MATCH(questions[[#This Row],[qno]],stable[qno],0)),similarity_range)</f>
        <v>Farmer code</v>
      </c>
      <c r="AR1299" s="16" t="b">
        <f>questions[[#This Row],[question_first_characters]]=questions[[#This Row],[stability_first_characters]]</f>
        <v>1</v>
      </c>
      <c r="AS1299" s="16" t="b">
        <f>IF(OR(questions[[#This Row],[is_single_select]],questions[[#This Row],[is_multi_select]]),NOT(ISBLANK(questions[[#This Row],[answer_opt_combined]])),TRUE)</f>
        <v>1</v>
      </c>
    </row>
    <row r="1300" spans="1:45" ht="15.75" customHeight="1" x14ac:dyDescent="0.25">
      <c r="A1300" s="9" t="str">
        <f>_xlfn.TEXTJOIN("_",TRUE,questions[[#This Row],[origin]:[qno]])</f>
        <v>Rwanda_Arabica_Nestle_Illy_IMPACT_2025_1201</v>
      </c>
      <c r="B1300" s="9" t="s">
        <v>719</v>
      </c>
      <c r="C1300" s="9" t="s">
        <v>59</v>
      </c>
      <c r="D1300" s="9" t="s">
        <v>720</v>
      </c>
      <c r="E1300" s="33">
        <v>2025</v>
      </c>
      <c r="F1300" s="24" t="s">
        <v>83</v>
      </c>
      <c r="G1300" s="15" t="s">
        <v>84</v>
      </c>
      <c r="H1300" s="9" t="str" cm="1">
        <f t="array" ref="H1300">INDEX(stableR[question],MATCH(VALUE(questions[[#This Row],[qno]]),VALUE(stableR[qno]),0))</f>
        <v>Farmer name</v>
      </c>
      <c r="I1300" s="9" t="b" cm="1">
        <f t="array" ref="I1300">INDEX(stable[is_fixed],MATCH(VALUE(questions[[#This Row],[qno]]),VALUE(stable[qno]),0))</f>
        <v>1</v>
      </c>
      <c r="J1300" s="9" t="b" cm="1">
        <f t="array" ref="J1300">INDEX(stable[is_localized],MATCH(VALUE(questions[[#This Row],[qno]]),VALUE(stable[qno]),0))</f>
        <v>0</v>
      </c>
      <c r="K1300" s="9" t="b" cm="1">
        <f t="array" ref="K1300">INDEX(stable[is_supply_chain_dependent],MATCH(VALUE(questions[[#This Row],[qno]]),VALUE(stable[qno]),0))</f>
        <v>0</v>
      </c>
      <c r="L1300" s="9" t="b" cm="1">
        <f t="array" ref="L1300">INDEX(stable[is_mandatory],MATCH(VALUE(questions[[#This Row],[qno]]),VALUE(stable[qno]),0))</f>
        <v>1</v>
      </c>
      <c r="M1300" s="9" t="b" cm="1">
        <f t="array" ref="M1300">INDEX(stable[is_automated],MATCH(VALUE(questions[[#This Row],[qno]]),VALUE(stable[qno]),0))</f>
        <v>1</v>
      </c>
      <c r="N1300" s="9" t="b" cm="1">
        <f t="array" ref="N1300">INDEX(stable[is_free_text],MATCH(VALUE(questions[[#This Row],[qno]]),VALUE(stable[qno]),0))</f>
        <v>0</v>
      </c>
      <c r="O1300" s="9" t="b" cm="1">
        <f t="array" ref="O1300">INDEX(stable[is_numerical],MATCH(VALUE(questions[[#This Row],[qno]]),VALUE(stable[qno]),0))</f>
        <v>0</v>
      </c>
      <c r="P1300" s="9" t="b" cm="1">
        <f t="array" ref="P1300">INDEX(stable[is_single_select],MATCH(VALUE(questions[[#This Row],[qno]]),VALUE(stable[qno]),0))</f>
        <v>0</v>
      </c>
      <c r="Q1300" s="9" t="b" cm="1">
        <f t="array" ref="Q1300">INDEX(stable[is_multi_select],MATCH(VALUE(questions[[#This Row],[qno]]),VALUE(stable[qno]),0))</f>
        <v>0</v>
      </c>
      <c r="R1300" s="9" t="b" cm="1">
        <f t="array" ref="R1300">INDEX(stable[is_skip_logic],MATCH(VALUE(questions[[#This Row],[qno]]),VALUE(stable[qno]),0))</f>
        <v>0</v>
      </c>
      <c r="S1300" s="9" t="str">
        <f>_xlfn.TEXTJOIN(", ",TRUE,questions[[#This Row],[ans_opt_1]:[ans_opt_14]])</f>
        <v/>
      </c>
      <c r="AH1300" s="16" t="b">
        <f>INDEX(stable[q_standard],MATCH(questions[[#This Row],[qno]],stable[qno],0))</f>
        <v>1</v>
      </c>
      <c r="AI1300" s="16" t="b">
        <f>INDEX(stable[q_living_income],MATCH(questions[[#This Row],[qno]],stable[qno],0))</f>
        <v>0</v>
      </c>
      <c r="AJ1300" s="16" t="b">
        <f>INDEX(stable[q_carbon],MATCH(questions[[#This Row],[qno]],stable[qno],0))</f>
        <v>0</v>
      </c>
      <c r="AK1300" s="16" t="b">
        <f>INDEX(stable[q_regen_ag],MATCH(questions[[#This Row],[qno]],stable[qno],0))</f>
        <v>0</v>
      </c>
      <c r="AL1300" s="16" t="b">
        <f>COUNTIFS(stable[qno],questions[[#This Row],[qno]])=1</f>
        <v>1</v>
      </c>
      <c r="AM1300" s="16" t="b">
        <f>OR(questions[[#This Row],[is_fixed]],questions[[#This Row],[is_localized]],questions[[#This Row],[is_supply_chain_dependent]])</f>
        <v>1</v>
      </c>
      <c r="AN1300" s="16" t="b">
        <f>COUNTIFS(questions[[#This Row],[is_automated]:[is_multi_select]],TRUE)=1</f>
        <v>1</v>
      </c>
      <c r="AO1300" s="16" t="b">
        <f>IF(questions[[#This Row],[is_fixed]],questions[[#This Row],[question]]=INDEX(stable[question],MATCH(questions[[#This Row],[qno]],stable[qno],0)),TRUE)</f>
        <v>1</v>
      </c>
      <c r="AP1300" s="16" t="str">
        <f>LEFT(questions[[#This Row],[question]],similarity_range)</f>
        <v>Farmer name</v>
      </c>
      <c r="AQ1300" s="16" t="str">
        <f>LEFT(INDEX(stable[question],MATCH(questions[[#This Row],[qno]],stable[qno],0)),similarity_range)</f>
        <v>Farmer name</v>
      </c>
      <c r="AR1300" s="16" t="b">
        <f>questions[[#This Row],[question_first_characters]]=questions[[#This Row],[stability_first_characters]]</f>
        <v>1</v>
      </c>
      <c r="AS1300" s="16" t="b">
        <f>IF(OR(questions[[#This Row],[is_single_select]],questions[[#This Row],[is_multi_select]]),NOT(ISBLANK(questions[[#This Row],[answer_opt_combined]])),TRUE)</f>
        <v>1</v>
      </c>
    </row>
    <row r="1301" spans="1:45" ht="15.75" customHeight="1" x14ac:dyDescent="0.25">
      <c r="A1301" s="9" t="str">
        <f>_xlfn.TEXTJOIN("_",TRUE,questions[[#This Row],[origin]:[qno]])</f>
        <v>Rwanda_Arabica_Nestle_Illy_IMPACT_2025_1202</v>
      </c>
      <c r="B1301" s="9" t="s">
        <v>719</v>
      </c>
      <c r="C1301" s="9" t="s">
        <v>59</v>
      </c>
      <c r="D1301" s="9" t="s">
        <v>720</v>
      </c>
      <c r="E1301" s="33">
        <v>2025</v>
      </c>
      <c r="F1301" s="24" t="s">
        <v>85</v>
      </c>
      <c r="G1301" s="15" t="s">
        <v>86</v>
      </c>
      <c r="H1301" s="9" t="str" cm="1">
        <f t="array" ref="H1301">INDEX(stableR[question],MATCH(VALUE(questions[[#This Row],[qno]]),VALUE(stableR[qno]),0))</f>
        <v>Farmer tags</v>
      </c>
      <c r="I1301" s="9" t="b" cm="1">
        <f t="array" ref="I1301">INDEX(stable[is_fixed],MATCH(VALUE(questions[[#This Row],[qno]]),VALUE(stable[qno]),0))</f>
        <v>1</v>
      </c>
      <c r="J1301" s="9" t="b" cm="1">
        <f t="array" ref="J1301">INDEX(stable[is_localized],MATCH(VALUE(questions[[#This Row],[qno]]),VALUE(stable[qno]),0))</f>
        <v>0</v>
      </c>
      <c r="K1301" s="9" t="b" cm="1">
        <f t="array" ref="K1301">INDEX(stable[is_supply_chain_dependent],MATCH(VALUE(questions[[#This Row],[qno]]),VALUE(stable[qno]),0))</f>
        <v>0</v>
      </c>
      <c r="L1301" s="9" t="b" cm="1">
        <f t="array" ref="L1301">INDEX(stable[is_mandatory],MATCH(VALUE(questions[[#This Row],[qno]]),VALUE(stable[qno]),0))</f>
        <v>1</v>
      </c>
      <c r="M1301" s="9" t="b" cm="1">
        <f t="array" ref="M1301">INDEX(stable[is_automated],MATCH(VALUE(questions[[#This Row],[qno]]),VALUE(stable[qno]),0))</f>
        <v>1</v>
      </c>
      <c r="N1301" s="9" t="b" cm="1">
        <f t="array" ref="N1301">INDEX(stable[is_free_text],MATCH(VALUE(questions[[#This Row],[qno]]),VALUE(stable[qno]),0))</f>
        <v>0</v>
      </c>
      <c r="O1301" s="9" t="b" cm="1">
        <f t="array" ref="O1301">INDEX(stable[is_numerical],MATCH(VALUE(questions[[#This Row],[qno]]),VALUE(stable[qno]),0))</f>
        <v>0</v>
      </c>
      <c r="P1301" s="9" t="b" cm="1">
        <f t="array" ref="P1301">INDEX(stable[is_single_select],MATCH(VALUE(questions[[#This Row],[qno]]),VALUE(stable[qno]),0))</f>
        <v>0</v>
      </c>
      <c r="Q1301" s="9" t="b" cm="1">
        <f t="array" ref="Q1301">INDEX(stable[is_multi_select],MATCH(VALUE(questions[[#This Row],[qno]]),VALUE(stable[qno]),0))</f>
        <v>0</v>
      </c>
      <c r="R1301" s="9" t="b" cm="1">
        <f t="array" ref="R1301">INDEX(stable[is_skip_logic],MATCH(VALUE(questions[[#This Row],[qno]]),VALUE(stable[qno]),0))</f>
        <v>0</v>
      </c>
      <c r="S1301" s="9" t="str">
        <f>_xlfn.TEXTJOIN(", ",TRUE,questions[[#This Row],[ans_opt_1]:[ans_opt_14]])</f>
        <v/>
      </c>
      <c r="AH1301" s="16" t="b">
        <f>INDEX(stable[q_standard],MATCH(questions[[#This Row],[qno]],stable[qno],0))</f>
        <v>1</v>
      </c>
      <c r="AI1301" s="16" t="b">
        <f>INDEX(stable[q_living_income],MATCH(questions[[#This Row],[qno]],stable[qno],0))</f>
        <v>0</v>
      </c>
      <c r="AJ1301" s="16" t="b">
        <f>INDEX(stable[q_carbon],MATCH(questions[[#This Row],[qno]],stable[qno],0))</f>
        <v>0</v>
      </c>
      <c r="AK1301" s="16" t="b">
        <f>INDEX(stable[q_regen_ag],MATCH(questions[[#This Row],[qno]],stable[qno],0))</f>
        <v>0</v>
      </c>
      <c r="AL1301" s="16" t="b">
        <f>COUNTIFS(stable[qno],questions[[#This Row],[qno]])=1</f>
        <v>1</v>
      </c>
      <c r="AM1301" s="16" t="b">
        <f>OR(questions[[#This Row],[is_fixed]],questions[[#This Row],[is_localized]],questions[[#This Row],[is_supply_chain_dependent]])</f>
        <v>1</v>
      </c>
      <c r="AN1301" s="16" t="b">
        <f>COUNTIFS(questions[[#This Row],[is_automated]:[is_multi_select]],TRUE)=1</f>
        <v>1</v>
      </c>
      <c r="AO1301" s="16" t="b">
        <f>IF(questions[[#This Row],[is_fixed]],questions[[#This Row],[question]]=INDEX(stable[question],MATCH(questions[[#This Row],[qno]],stable[qno],0)),TRUE)</f>
        <v>1</v>
      </c>
      <c r="AP1301" s="16" t="str">
        <f>LEFT(questions[[#This Row],[question]],similarity_range)</f>
        <v>Farmer tags</v>
      </c>
      <c r="AQ1301" s="16" t="str">
        <f>LEFT(INDEX(stable[question],MATCH(questions[[#This Row],[qno]],stable[qno],0)),similarity_range)</f>
        <v>Farmer tags</v>
      </c>
      <c r="AR1301" s="16" t="b">
        <f>questions[[#This Row],[question_first_characters]]=questions[[#This Row],[stability_first_characters]]</f>
        <v>1</v>
      </c>
      <c r="AS1301" s="16" t="b">
        <f>IF(OR(questions[[#This Row],[is_single_select]],questions[[#This Row],[is_multi_select]]),NOT(ISBLANK(questions[[#This Row],[answer_opt_combined]])),TRUE)</f>
        <v>1</v>
      </c>
    </row>
    <row r="1302" spans="1:45" ht="15.75" customHeight="1" x14ac:dyDescent="0.25">
      <c r="A1302" s="9" t="str">
        <f>_xlfn.TEXTJOIN("_",TRUE,questions[[#This Row],[origin]:[qno]])</f>
        <v>Rwanda_Arabica_Nestle_Illy_IMPACT_2025_1203</v>
      </c>
      <c r="B1302" s="9" t="s">
        <v>719</v>
      </c>
      <c r="C1302" s="9" t="s">
        <v>59</v>
      </c>
      <c r="D1302" s="9" t="s">
        <v>720</v>
      </c>
      <c r="E1302" s="33">
        <v>2025</v>
      </c>
      <c r="F1302" s="24" t="s">
        <v>87</v>
      </c>
      <c r="G1302" s="15" t="s">
        <v>88</v>
      </c>
      <c r="H1302" s="9" t="str" cm="1">
        <f t="array" ref="H1302">INDEX(stableR[question],MATCH(VALUE(questions[[#This Row],[qno]]),VALUE(stableR[qno]),0))</f>
        <v>Address</v>
      </c>
      <c r="I1302" s="9" t="b" cm="1">
        <f t="array" ref="I1302">INDEX(stable[is_fixed],MATCH(VALUE(questions[[#This Row],[qno]]),VALUE(stable[qno]),0))</f>
        <v>1</v>
      </c>
      <c r="J1302" s="9" t="b" cm="1">
        <f t="array" ref="J1302">INDEX(stable[is_localized],MATCH(VALUE(questions[[#This Row],[qno]]),VALUE(stable[qno]),0))</f>
        <v>0</v>
      </c>
      <c r="K1302" s="9" t="b" cm="1">
        <f t="array" ref="K1302">INDEX(stable[is_supply_chain_dependent],MATCH(VALUE(questions[[#This Row],[qno]]),VALUE(stable[qno]),0))</f>
        <v>0</v>
      </c>
      <c r="L1302" s="9" t="b" cm="1">
        <f t="array" ref="L1302">INDEX(stable[is_mandatory],MATCH(VALUE(questions[[#This Row],[qno]]),VALUE(stable[qno]),0))</f>
        <v>1</v>
      </c>
      <c r="M1302" s="9" t="b" cm="1">
        <f t="array" ref="M1302">INDEX(stable[is_automated],MATCH(VALUE(questions[[#This Row],[qno]]),VALUE(stable[qno]),0))</f>
        <v>1</v>
      </c>
      <c r="N1302" s="9" t="b" cm="1">
        <f t="array" ref="N1302">INDEX(stable[is_free_text],MATCH(VALUE(questions[[#This Row],[qno]]),VALUE(stable[qno]),0))</f>
        <v>0</v>
      </c>
      <c r="O1302" s="9" t="b" cm="1">
        <f t="array" ref="O1302">INDEX(stable[is_numerical],MATCH(VALUE(questions[[#This Row],[qno]]),VALUE(stable[qno]),0))</f>
        <v>0</v>
      </c>
      <c r="P1302" s="9" t="b" cm="1">
        <f t="array" ref="P1302">INDEX(stable[is_single_select],MATCH(VALUE(questions[[#This Row],[qno]]),VALUE(stable[qno]),0))</f>
        <v>0</v>
      </c>
      <c r="Q1302" s="9" t="b" cm="1">
        <f t="array" ref="Q1302">INDEX(stable[is_multi_select],MATCH(VALUE(questions[[#This Row],[qno]]),VALUE(stable[qno]),0))</f>
        <v>0</v>
      </c>
      <c r="R1302" s="9" t="b" cm="1">
        <f t="array" ref="R1302">INDEX(stable[is_skip_logic],MATCH(VALUE(questions[[#This Row],[qno]]),VALUE(stable[qno]),0))</f>
        <v>0</v>
      </c>
      <c r="S1302" s="9" t="str">
        <f>_xlfn.TEXTJOIN(", ",TRUE,questions[[#This Row],[ans_opt_1]:[ans_opt_14]])</f>
        <v/>
      </c>
      <c r="AH1302" s="16" t="b">
        <f>INDEX(stable[q_standard],MATCH(questions[[#This Row],[qno]],stable[qno],0))</f>
        <v>1</v>
      </c>
      <c r="AI1302" s="16" t="b">
        <f>INDEX(stable[q_living_income],MATCH(questions[[#This Row],[qno]],stable[qno],0))</f>
        <v>0</v>
      </c>
      <c r="AJ1302" s="16" t="b">
        <f>INDEX(stable[q_carbon],MATCH(questions[[#This Row],[qno]],stable[qno],0))</f>
        <v>0</v>
      </c>
      <c r="AK1302" s="16" t="b">
        <f>INDEX(stable[q_regen_ag],MATCH(questions[[#This Row],[qno]],stable[qno],0))</f>
        <v>0</v>
      </c>
      <c r="AL1302" s="16" t="b">
        <f>COUNTIFS(stable[qno],questions[[#This Row],[qno]])=1</f>
        <v>1</v>
      </c>
      <c r="AM1302" s="16" t="b">
        <f>OR(questions[[#This Row],[is_fixed]],questions[[#This Row],[is_localized]],questions[[#This Row],[is_supply_chain_dependent]])</f>
        <v>1</v>
      </c>
      <c r="AN1302" s="16" t="b">
        <f>COUNTIFS(questions[[#This Row],[is_automated]:[is_multi_select]],TRUE)=1</f>
        <v>1</v>
      </c>
      <c r="AO1302" s="16" t="b">
        <f>IF(questions[[#This Row],[is_fixed]],questions[[#This Row],[question]]=INDEX(stable[question],MATCH(questions[[#This Row],[qno]],stable[qno],0)),TRUE)</f>
        <v>1</v>
      </c>
      <c r="AP1302" s="16" t="str">
        <f>LEFT(questions[[#This Row],[question]],similarity_range)</f>
        <v>Address</v>
      </c>
      <c r="AQ1302" s="16" t="str">
        <f>LEFT(INDEX(stable[question],MATCH(questions[[#This Row],[qno]],stable[qno],0)),similarity_range)</f>
        <v>Address</v>
      </c>
      <c r="AR1302" s="16" t="b">
        <f>questions[[#This Row],[question_first_characters]]=questions[[#This Row],[stability_first_characters]]</f>
        <v>1</v>
      </c>
      <c r="AS1302" s="16" t="b">
        <f>IF(OR(questions[[#This Row],[is_single_select]],questions[[#This Row],[is_multi_select]]),NOT(ISBLANK(questions[[#This Row],[answer_opt_combined]])),TRUE)</f>
        <v>1</v>
      </c>
    </row>
    <row r="1303" spans="1:45" ht="15.75" customHeight="1" x14ac:dyDescent="0.25">
      <c r="A1303" s="9" t="str">
        <f>_xlfn.TEXTJOIN("_",TRUE,questions[[#This Row],[origin]:[qno]])</f>
        <v>Rwanda_Arabica_Nestle_Illy_IMPACT_2025_1210</v>
      </c>
      <c r="B1303" s="9" t="s">
        <v>719</v>
      </c>
      <c r="C1303" s="9" t="s">
        <v>59</v>
      </c>
      <c r="D1303" s="9" t="s">
        <v>720</v>
      </c>
      <c r="E1303" s="33">
        <v>2025</v>
      </c>
      <c r="F1303" s="24" t="s">
        <v>89</v>
      </c>
      <c r="G1303" s="15" t="s">
        <v>90</v>
      </c>
      <c r="H1303" s="9" t="str" cm="1">
        <f t="array" ref="H1303">INDEX(stableR[question],MATCH(VALUE(questions[[#This Row],[qno]]),VALUE(stableR[qno]),0))</f>
        <v>Plot name</v>
      </c>
      <c r="I1303" s="9" t="b" cm="1">
        <f t="array" ref="I1303">INDEX(stable[is_fixed],MATCH(VALUE(questions[[#This Row],[qno]]),VALUE(stable[qno]),0))</f>
        <v>1</v>
      </c>
      <c r="J1303" s="9" t="b" cm="1">
        <f t="array" ref="J1303">INDEX(stable[is_localized],MATCH(VALUE(questions[[#This Row],[qno]]),VALUE(stable[qno]),0))</f>
        <v>0</v>
      </c>
      <c r="K1303" s="9" t="b" cm="1">
        <f t="array" ref="K1303">INDEX(stable[is_supply_chain_dependent],MATCH(VALUE(questions[[#This Row],[qno]]),VALUE(stable[qno]),0))</f>
        <v>0</v>
      </c>
      <c r="L1303" s="9" t="b" cm="1">
        <f t="array" ref="L1303">INDEX(stable[is_mandatory],MATCH(VALUE(questions[[#This Row],[qno]]),VALUE(stable[qno]),0))</f>
        <v>1</v>
      </c>
      <c r="M1303" s="9" t="b" cm="1">
        <f t="array" ref="M1303">INDEX(stable[is_automated],MATCH(VALUE(questions[[#This Row],[qno]]),VALUE(stable[qno]),0))</f>
        <v>1</v>
      </c>
      <c r="N1303" s="9" t="b" cm="1">
        <f t="array" ref="N1303">INDEX(stable[is_free_text],MATCH(VALUE(questions[[#This Row],[qno]]),VALUE(stable[qno]),0))</f>
        <v>0</v>
      </c>
      <c r="O1303" s="9" t="b" cm="1">
        <f t="array" ref="O1303">INDEX(stable[is_numerical],MATCH(VALUE(questions[[#This Row],[qno]]),VALUE(stable[qno]),0))</f>
        <v>0</v>
      </c>
      <c r="P1303" s="9" t="b" cm="1">
        <f t="array" ref="P1303">INDEX(stable[is_single_select],MATCH(VALUE(questions[[#This Row],[qno]]),VALUE(stable[qno]),0))</f>
        <v>0</v>
      </c>
      <c r="Q1303" s="9" t="b" cm="1">
        <f t="array" ref="Q1303">INDEX(stable[is_multi_select],MATCH(VALUE(questions[[#This Row],[qno]]),VALUE(stable[qno]),0))</f>
        <v>0</v>
      </c>
      <c r="R1303" s="9" t="b" cm="1">
        <f t="array" ref="R1303">INDEX(stable[is_skip_logic],MATCH(VALUE(questions[[#This Row],[qno]]),VALUE(stable[qno]),0))</f>
        <v>0</v>
      </c>
      <c r="S1303" s="9" t="str">
        <f>_xlfn.TEXTJOIN(", ",TRUE,questions[[#This Row],[ans_opt_1]:[ans_opt_14]])</f>
        <v/>
      </c>
      <c r="AH1303" s="16" t="b">
        <f>INDEX(stable[q_standard],MATCH(questions[[#This Row],[qno]],stable[qno],0))</f>
        <v>1</v>
      </c>
      <c r="AI1303" s="16" t="b">
        <f>INDEX(stable[q_living_income],MATCH(questions[[#This Row],[qno]],stable[qno],0))</f>
        <v>0</v>
      </c>
      <c r="AJ1303" s="16" t="b">
        <f>INDEX(stable[q_carbon],MATCH(questions[[#This Row],[qno]],stable[qno],0))</f>
        <v>0</v>
      </c>
      <c r="AK1303" s="16" t="b">
        <f>INDEX(stable[q_regen_ag],MATCH(questions[[#This Row],[qno]],stable[qno],0))</f>
        <v>0</v>
      </c>
      <c r="AL1303" s="16" t="b">
        <f>COUNTIFS(stable[qno],questions[[#This Row],[qno]])=1</f>
        <v>1</v>
      </c>
      <c r="AM1303" s="16" t="b">
        <f>OR(questions[[#This Row],[is_fixed]],questions[[#This Row],[is_localized]],questions[[#This Row],[is_supply_chain_dependent]])</f>
        <v>1</v>
      </c>
      <c r="AN1303" s="16" t="b">
        <f>COUNTIFS(questions[[#This Row],[is_automated]:[is_multi_select]],TRUE)=1</f>
        <v>1</v>
      </c>
      <c r="AO1303" s="16" t="b">
        <f>IF(questions[[#This Row],[is_fixed]],questions[[#This Row],[question]]=INDEX(stable[question],MATCH(questions[[#This Row],[qno]],stable[qno],0)),TRUE)</f>
        <v>1</v>
      </c>
      <c r="AP1303" s="16" t="str">
        <f>LEFT(questions[[#This Row],[question]],similarity_range)</f>
        <v>Plot name</v>
      </c>
      <c r="AQ1303" s="16" t="str">
        <f>LEFT(INDEX(stable[question],MATCH(questions[[#This Row],[qno]],stable[qno],0)),similarity_range)</f>
        <v>Plot name</v>
      </c>
      <c r="AR1303" s="16" t="b">
        <f>questions[[#This Row],[question_first_characters]]=questions[[#This Row],[stability_first_characters]]</f>
        <v>1</v>
      </c>
      <c r="AS1303" s="16" t="b">
        <f>IF(OR(questions[[#This Row],[is_single_select]],questions[[#This Row],[is_multi_select]]),NOT(ISBLANK(questions[[#This Row],[answer_opt_combined]])),TRUE)</f>
        <v>1</v>
      </c>
    </row>
    <row r="1304" spans="1:45" ht="15.75" customHeight="1" x14ac:dyDescent="0.25">
      <c r="A1304" s="9" t="str">
        <f>_xlfn.TEXTJOIN("_",TRUE,questions[[#This Row],[origin]:[qno]])</f>
        <v>Rwanda_Arabica_Nestle_Illy_IMPACT_2025_1211</v>
      </c>
      <c r="B1304" s="9" t="s">
        <v>719</v>
      </c>
      <c r="C1304" s="9" t="s">
        <v>59</v>
      </c>
      <c r="D1304" s="9" t="s">
        <v>720</v>
      </c>
      <c r="E1304" s="33">
        <v>2025</v>
      </c>
      <c r="F1304" s="24" t="s">
        <v>91</v>
      </c>
      <c r="G1304" s="15" t="s">
        <v>92</v>
      </c>
      <c r="H1304" s="9" t="str" cm="1">
        <f t="array" ref="H1304">INDEX(stableR[question],MATCH(VALUE(questions[[#This Row],[qno]]),VALUE(stableR[qno]),0))</f>
        <v>Plot tags</v>
      </c>
      <c r="I1304" s="9" t="b" cm="1">
        <f t="array" ref="I1304">INDEX(stable[is_fixed],MATCH(VALUE(questions[[#This Row],[qno]]),VALUE(stable[qno]),0))</f>
        <v>1</v>
      </c>
      <c r="J1304" s="9" t="b" cm="1">
        <f t="array" ref="J1304">INDEX(stable[is_localized],MATCH(VALUE(questions[[#This Row],[qno]]),VALUE(stable[qno]),0))</f>
        <v>0</v>
      </c>
      <c r="K1304" s="9" t="b" cm="1">
        <f t="array" ref="K1304">INDEX(stable[is_supply_chain_dependent],MATCH(VALUE(questions[[#This Row],[qno]]),VALUE(stable[qno]),0))</f>
        <v>0</v>
      </c>
      <c r="L1304" s="9" t="b" cm="1">
        <f t="array" ref="L1304">INDEX(stable[is_mandatory],MATCH(VALUE(questions[[#This Row],[qno]]),VALUE(stable[qno]),0))</f>
        <v>1</v>
      </c>
      <c r="M1304" s="9" t="b" cm="1">
        <f t="array" ref="M1304">INDEX(stable[is_automated],MATCH(VALUE(questions[[#This Row],[qno]]),VALUE(stable[qno]),0))</f>
        <v>1</v>
      </c>
      <c r="N1304" s="9" t="b" cm="1">
        <f t="array" ref="N1304">INDEX(stable[is_free_text],MATCH(VALUE(questions[[#This Row],[qno]]),VALUE(stable[qno]),0))</f>
        <v>0</v>
      </c>
      <c r="O1304" s="9" t="b" cm="1">
        <f t="array" ref="O1304">INDEX(stable[is_numerical],MATCH(VALUE(questions[[#This Row],[qno]]),VALUE(stable[qno]),0))</f>
        <v>0</v>
      </c>
      <c r="P1304" s="9" t="b" cm="1">
        <f t="array" ref="P1304">INDEX(stable[is_single_select],MATCH(VALUE(questions[[#This Row],[qno]]),VALUE(stable[qno]),0))</f>
        <v>0</v>
      </c>
      <c r="Q1304" s="9" t="b" cm="1">
        <f t="array" ref="Q1304">INDEX(stable[is_multi_select],MATCH(VALUE(questions[[#This Row],[qno]]),VALUE(stable[qno]),0))</f>
        <v>0</v>
      </c>
      <c r="R1304" s="9" t="b" cm="1">
        <f t="array" ref="R1304">INDEX(stable[is_skip_logic],MATCH(VALUE(questions[[#This Row],[qno]]),VALUE(stable[qno]),0))</f>
        <v>0</v>
      </c>
      <c r="S1304" s="9" t="str">
        <f>_xlfn.TEXTJOIN(", ",TRUE,questions[[#This Row],[ans_opt_1]:[ans_opt_14]])</f>
        <v/>
      </c>
      <c r="AH1304" s="16" t="b">
        <f>INDEX(stable[q_standard],MATCH(questions[[#This Row],[qno]],stable[qno],0))</f>
        <v>1</v>
      </c>
      <c r="AI1304" s="16" t="b">
        <f>INDEX(stable[q_living_income],MATCH(questions[[#This Row],[qno]],stable[qno],0))</f>
        <v>0</v>
      </c>
      <c r="AJ1304" s="16" t="b">
        <f>INDEX(stable[q_carbon],MATCH(questions[[#This Row],[qno]],stable[qno],0))</f>
        <v>0</v>
      </c>
      <c r="AK1304" s="16" t="b">
        <f>INDEX(stable[q_regen_ag],MATCH(questions[[#This Row],[qno]],stable[qno],0))</f>
        <v>0</v>
      </c>
      <c r="AL1304" s="16" t="b">
        <f>COUNTIFS(stable[qno],questions[[#This Row],[qno]])=1</f>
        <v>1</v>
      </c>
      <c r="AM1304" s="16" t="b">
        <f>OR(questions[[#This Row],[is_fixed]],questions[[#This Row],[is_localized]],questions[[#This Row],[is_supply_chain_dependent]])</f>
        <v>1</v>
      </c>
      <c r="AN1304" s="16" t="b">
        <f>COUNTIFS(questions[[#This Row],[is_automated]:[is_multi_select]],TRUE)=1</f>
        <v>1</v>
      </c>
      <c r="AO1304" s="16" t="b">
        <f>IF(questions[[#This Row],[is_fixed]],questions[[#This Row],[question]]=INDEX(stable[question],MATCH(questions[[#This Row],[qno]],stable[qno],0)),TRUE)</f>
        <v>1</v>
      </c>
      <c r="AP1304" s="16" t="str">
        <f>LEFT(questions[[#This Row],[question]],similarity_range)</f>
        <v>Plot tags</v>
      </c>
      <c r="AQ1304" s="16" t="str">
        <f>LEFT(INDEX(stable[question],MATCH(questions[[#This Row],[qno]],stable[qno],0)),similarity_range)</f>
        <v>Plot tags</v>
      </c>
      <c r="AR1304" s="16" t="b">
        <f>questions[[#This Row],[question_first_characters]]=questions[[#This Row],[stability_first_characters]]</f>
        <v>1</v>
      </c>
      <c r="AS1304" s="16" t="b">
        <f>IF(OR(questions[[#This Row],[is_single_select]],questions[[#This Row],[is_multi_select]]),NOT(ISBLANK(questions[[#This Row],[answer_opt_combined]])),TRUE)</f>
        <v>1</v>
      </c>
    </row>
    <row r="1305" spans="1:45" ht="15.75" customHeight="1" x14ac:dyDescent="0.25">
      <c r="A1305" s="9" t="str">
        <f>_xlfn.TEXTJOIN("_",TRUE,questions[[#This Row],[origin]:[qno]])</f>
        <v>Rwanda_Arabica_Nestle_Illy_IMPACT_2025_1212</v>
      </c>
      <c r="B1305" s="9" t="s">
        <v>719</v>
      </c>
      <c r="C1305" s="9" t="s">
        <v>59</v>
      </c>
      <c r="D1305" s="9" t="s">
        <v>720</v>
      </c>
      <c r="E1305" s="33">
        <v>2025</v>
      </c>
      <c r="F1305" s="24" t="s">
        <v>93</v>
      </c>
      <c r="G1305" s="15" t="s">
        <v>94</v>
      </c>
      <c r="H1305" s="9" t="str" cm="1">
        <f t="array" ref="H1305">INDEX(stableR[question],MATCH(VALUE(questions[[#This Row],[qno]]),VALUE(stableR[qno]),0))</f>
        <v>Declared area (acre)</v>
      </c>
      <c r="I1305" s="9" t="b" cm="1">
        <f t="array" ref="I1305">INDEX(stable[is_fixed],MATCH(VALUE(questions[[#This Row],[qno]]),VALUE(stable[qno]),0))</f>
        <v>1</v>
      </c>
      <c r="J1305" s="9" t="b" cm="1">
        <f t="array" ref="J1305">INDEX(stable[is_localized],MATCH(VALUE(questions[[#This Row],[qno]]),VALUE(stable[qno]),0))</f>
        <v>0</v>
      </c>
      <c r="K1305" s="9" t="b" cm="1">
        <f t="array" ref="K1305">INDEX(stable[is_supply_chain_dependent],MATCH(VALUE(questions[[#This Row],[qno]]),VALUE(stable[qno]),0))</f>
        <v>0</v>
      </c>
      <c r="L1305" s="9" t="b" cm="1">
        <f t="array" ref="L1305">INDEX(stable[is_mandatory],MATCH(VALUE(questions[[#This Row],[qno]]),VALUE(stable[qno]),0))</f>
        <v>1</v>
      </c>
      <c r="M1305" s="9" t="b" cm="1">
        <f t="array" ref="M1305">INDEX(stable[is_automated],MATCH(VALUE(questions[[#This Row],[qno]]),VALUE(stable[qno]),0))</f>
        <v>1</v>
      </c>
      <c r="N1305" s="9" t="b" cm="1">
        <f t="array" ref="N1305">INDEX(stable[is_free_text],MATCH(VALUE(questions[[#This Row],[qno]]),VALUE(stable[qno]),0))</f>
        <v>0</v>
      </c>
      <c r="O1305" s="9" t="b" cm="1">
        <f t="array" ref="O1305">INDEX(stable[is_numerical],MATCH(VALUE(questions[[#This Row],[qno]]),VALUE(stable[qno]),0))</f>
        <v>1</v>
      </c>
      <c r="P1305" s="9" t="b" cm="1">
        <f t="array" ref="P1305">INDEX(stable[is_single_select],MATCH(VALUE(questions[[#This Row],[qno]]),VALUE(stable[qno]),0))</f>
        <v>0</v>
      </c>
      <c r="Q1305" s="9" t="b" cm="1">
        <f t="array" ref="Q1305">INDEX(stable[is_multi_select],MATCH(VALUE(questions[[#This Row],[qno]]),VALUE(stable[qno]),0))</f>
        <v>0</v>
      </c>
      <c r="R1305" s="9" t="b" cm="1">
        <f t="array" ref="R1305">INDEX(stable[is_skip_logic],MATCH(VALUE(questions[[#This Row],[qno]]),VALUE(stable[qno]),0))</f>
        <v>0</v>
      </c>
      <c r="S1305" s="9" t="str">
        <f>_xlfn.TEXTJOIN(", ",TRUE,questions[[#This Row],[ans_opt_1]:[ans_opt_14]])</f>
        <v/>
      </c>
      <c r="AH1305" s="16" t="b">
        <f>INDEX(stable[q_standard],MATCH(questions[[#This Row],[qno]],stable[qno],0))</f>
        <v>1</v>
      </c>
      <c r="AI1305" s="16" t="b">
        <f>INDEX(stable[q_living_income],MATCH(questions[[#This Row],[qno]],stable[qno],0))</f>
        <v>0</v>
      </c>
      <c r="AJ1305" s="16" t="b">
        <f>INDEX(stable[q_carbon],MATCH(questions[[#This Row],[qno]],stable[qno],0))</f>
        <v>0</v>
      </c>
      <c r="AK1305" s="16" t="b">
        <f>INDEX(stable[q_regen_ag],MATCH(questions[[#This Row],[qno]],stable[qno],0))</f>
        <v>0</v>
      </c>
      <c r="AL1305" s="16" t="b">
        <f>COUNTIFS(stable[qno],questions[[#This Row],[qno]])=1</f>
        <v>1</v>
      </c>
      <c r="AM1305" s="16" t="b">
        <f>OR(questions[[#This Row],[is_fixed]],questions[[#This Row],[is_localized]],questions[[#This Row],[is_supply_chain_dependent]])</f>
        <v>1</v>
      </c>
      <c r="AN1305" s="16" t="b">
        <f>COUNTIFS(questions[[#This Row],[is_automated]:[is_multi_select]],TRUE)=1</f>
        <v>0</v>
      </c>
      <c r="AO1305" s="16" t="b">
        <f>IF(questions[[#This Row],[is_fixed]],questions[[#This Row],[question]]=INDEX(stable[question],MATCH(questions[[#This Row],[qno]],stable[qno],0)),TRUE)</f>
        <v>1</v>
      </c>
      <c r="AP1305" s="16" t="str">
        <f>LEFT(questions[[#This Row],[question]],similarity_range)</f>
        <v>Declared area (acre)</v>
      </c>
      <c r="AQ1305" s="16" t="str">
        <f>LEFT(INDEX(stable[question],MATCH(questions[[#This Row],[qno]],stable[qno],0)),similarity_range)</f>
        <v>Declared area (acre)</v>
      </c>
      <c r="AR1305" s="16" t="b">
        <f>questions[[#This Row],[question_first_characters]]=questions[[#This Row],[stability_first_characters]]</f>
        <v>1</v>
      </c>
      <c r="AS1305" s="16" t="b">
        <f>IF(OR(questions[[#This Row],[is_single_select]],questions[[#This Row],[is_multi_select]]),NOT(ISBLANK(questions[[#This Row],[answer_opt_combined]])),TRUE)</f>
        <v>1</v>
      </c>
    </row>
    <row r="1306" spans="1:45" ht="15.75" customHeight="1" x14ac:dyDescent="0.25">
      <c r="A1306" s="9" t="str">
        <f>_xlfn.TEXTJOIN("_",TRUE,questions[[#This Row],[origin]:[qno]])</f>
        <v>Rwanda_Arabica_Nestle_Illy_IMPACT_2025_1213</v>
      </c>
      <c r="B1306" s="9" t="s">
        <v>719</v>
      </c>
      <c r="C1306" s="9" t="s">
        <v>59</v>
      </c>
      <c r="D1306" s="9" t="s">
        <v>720</v>
      </c>
      <c r="E1306" s="33">
        <v>2025</v>
      </c>
      <c r="F1306" s="24" t="s">
        <v>95</v>
      </c>
      <c r="G1306" s="15" t="s">
        <v>96</v>
      </c>
      <c r="H1306" s="9" t="str" cm="1">
        <f t="array" ref="H1306">INDEX(stableR[question],MATCH(VALUE(questions[[#This Row],[qno]]),VALUE(stableR[qno]),0))</f>
        <v>Audited area (acre)</v>
      </c>
      <c r="I1306" s="9" t="b" cm="1">
        <f t="array" ref="I1306">INDEX(stable[is_fixed],MATCH(VALUE(questions[[#This Row],[qno]]),VALUE(stable[qno]),0))</f>
        <v>1</v>
      </c>
      <c r="J1306" s="9" t="b" cm="1">
        <f t="array" ref="J1306">INDEX(stable[is_localized],MATCH(VALUE(questions[[#This Row],[qno]]),VALUE(stable[qno]),0))</f>
        <v>0</v>
      </c>
      <c r="K1306" s="9" t="b" cm="1">
        <f t="array" ref="K1306">INDEX(stable[is_supply_chain_dependent],MATCH(VALUE(questions[[#This Row],[qno]]),VALUE(stable[qno]),0))</f>
        <v>0</v>
      </c>
      <c r="L1306" s="9" t="b" cm="1">
        <f t="array" ref="L1306">INDEX(stable[is_mandatory],MATCH(VALUE(questions[[#This Row],[qno]]),VALUE(stable[qno]),0))</f>
        <v>1</v>
      </c>
      <c r="M1306" s="9" t="b" cm="1">
        <f t="array" ref="M1306">INDEX(stable[is_automated],MATCH(VALUE(questions[[#This Row],[qno]]),VALUE(stable[qno]),0))</f>
        <v>1</v>
      </c>
      <c r="N1306" s="9" t="b" cm="1">
        <f t="array" ref="N1306">INDEX(stable[is_free_text],MATCH(VALUE(questions[[#This Row],[qno]]),VALUE(stable[qno]),0))</f>
        <v>0</v>
      </c>
      <c r="O1306" s="9" t="b" cm="1">
        <f t="array" ref="O1306">INDEX(stable[is_numerical],MATCH(VALUE(questions[[#This Row],[qno]]),VALUE(stable[qno]),0))</f>
        <v>1</v>
      </c>
      <c r="P1306" s="9" t="b" cm="1">
        <f t="array" ref="P1306">INDEX(stable[is_single_select],MATCH(VALUE(questions[[#This Row],[qno]]),VALUE(stable[qno]),0))</f>
        <v>0</v>
      </c>
      <c r="Q1306" s="9" t="b" cm="1">
        <f t="array" ref="Q1306">INDEX(stable[is_multi_select],MATCH(VALUE(questions[[#This Row],[qno]]),VALUE(stable[qno]),0))</f>
        <v>0</v>
      </c>
      <c r="R1306" s="9" t="b" cm="1">
        <f t="array" ref="R1306">INDEX(stable[is_skip_logic],MATCH(VALUE(questions[[#This Row],[qno]]),VALUE(stable[qno]),0))</f>
        <v>0</v>
      </c>
      <c r="S1306" s="9" t="str">
        <f>_xlfn.TEXTJOIN(", ",TRUE,questions[[#This Row],[ans_opt_1]:[ans_opt_14]])</f>
        <v/>
      </c>
      <c r="AH1306" s="16" t="b">
        <f>INDEX(stable[q_standard],MATCH(questions[[#This Row],[qno]],stable[qno],0))</f>
        <v>1</v>
      </c>
      <c r="AI1306" s="16" t="b">
        <f>INDEX(stable[q_living_income],MATCH(questions[[#This Row],[qno]],stable[qno],0))</f>
        <v>0</v>
      </c>
      <c r="AJ1306" s="16" t="b">
        <f>INDEX(stable[q_carbon],MATCH(questions[[#This Row],[qno]],stable[qno],0))</f>
        <v>0</v>
      </c>
      <c r="AK1306" s="16" t="b">
        <f>INDEX(stable[q_regen_ag],MATCH(questions[[#This Row],[qno]],stable[qno],0))</f>
        <v>0</v>
      </c>
      <c r="AL1306" s="16" t="b">
        <f>COUNTIFS(stable[qno],questions[[#This Row],[qno]])=1</f>
        <v>1</v>
      </c>
      <c r="AM1306" s="16" t="b">
        <f>OR(questions[[#This Row],[is_fixed]],questions[[#This Row],[is_localized]],questions[[#This Row],[is_supply_chain_dependent]])</f>
        <v>1</v>
      </c>
      <c r="AN1306" s="16" t="b">
        <f>COUNTIFS(questions[[#This Row],[is_automated]:[is_multi_select]],TRUE)=1</f>
        <v>0</v>
      </c>
      <c r="AO1306" s="16" t="b">
        <f>IF(questions[[#This Row],[is_fixed]],questions[[#This Row],[question]]=INDEX(stable[question],MATCH(questions[[#This Row],[qno]],stable[qno],0)),TRUE)</f>
        <v>1</v>
      </c>
      <c r="AP1306" s="16" t="str">
        <f>LEFT(questions[[#This Row],[question]],similarity_range)</f>
        <v>Audited area (acre)</v>
      </c>
      <c r="AQ1306" s="16" t="str">
        <f>LEFT(INDEX(stable[question],MATCH(questions[[#This Row],[qno]],stable[qno],0)),similarity_range)</f>
        <v>Audited area (acre)</v>
      </c>
      <c r="AR1306" s="16" t="b">
        <f>questions[[#This Row],[question_first_characters]]=questions[[#This Row],[stability_first_characters]]</f>
        <v>1</v>
      </c>
      <c r="AS1306" s="16" t="b">
        <f>IF(OR(questions[[#This Row],[is_single_select]],questions[[#This Row],[is_multi_select]]),NOT(ISBLANK(questions[[#This Row],[answer_opt_combined]])),TRUE)</f>
        <v>1</v>
      </c>
    </row>
    <row r="1307" spans="1:45" ht="15.75" customHeight="1" x14ac:dyDescent="0.25">
      <c r="A1307" s="9" t="str">
        <f>_xlfn.TEXTJOIN("_",TRUE,questions[[#This Row],[origin]:[qno]])</f>
        <v>Rwanda_Arabica_Nestle_Illy_IMPACT_2025_1216</v>
      </c>
      <c r="B1307" s="9" t="s">
        <v>719</v>
      </c>
      <c r="C1307" s="9" t="s">
        <v>59</v>
      </c>
      <c r="D1307" s="9" t="s">
        <v>720</v>
      </c>
      <c r="E1307" s="33">
        <v>2025</v>
      </c>
      <c r="F1307" s="24" t="s">
        <v>97</v>
      </c>
      <c r="G1307" s="15" t="s">
        <v>98</v>
      </c>
      <c r="H1307" s="9" t="str" cm="1">
        <f t="array" ref="H1307">INDEX(stableR[question],MATCH(VALUE(questions[[#This Row],[qno]]),VALUE(stableR[qno]),0))</f>
        <v>Coordinates</v>
      </c>
      <c r="I1307" s="9" t="b" cm="1">
        <f t="array" ref="I1307">INDEX(stable[is_fixed],MATCH(VALUE(questions[[#This Row],[qno]]),VALUE(stable[qno]),0))</f>
        <v>1</v>
      </c>
      <c r="J1307" s="9" t="b" cm="1">
        <f t="array" ref="J1307">INDEX(stable[is_localized],MATCH(VALUE(questions[[#This Row],[qno]]),VALUE(stable[qno]),0))</f>
        <v>0</v>
      </c>
      <c r="K1307" s="9" t="b" cm="1">
        <f t="array" ref="K1307">INDEX(stable[is_supply_chain_dependent],MATCH(VALUE(questions[[#This Row],[qno]]),VALUE(stable[qno]),0))</f>
        <v>0</v>
      </c>
      <c r="L1307" s="9" t="b" cm="1">
        <f t="array" ref="L1307">INDEX(stable[is_mandatory],MATCH(VALUE(questions[[#This Row],[qno]]),VALUE(stable[qno]),0))</f>
        <v>1</v>
      </c>
      <c r="M1307" s="9" t="b" cm="1">
        <f t="array" ref="M1307">INDEX(stable[is_automated],MATCH(VALUE(questions[[#This Row],[qno]]),VALUE(stable[qno]),0))</f>
        <v>1</v>
      </c>
      <c r="N1307" s="9" t="b" cm="1">
        <f t="array" ref="N1307">INDEX(stable[is_free_text],MATCH(VALUE(questions[[#This Row],[qno]]),VALUE(stable[qno]),0))</f>
        <v>0</v>
      </c>
      <c r="O1307" s="9" t="b" cm="1">
        <f t="array" ref="O1307">INDEX(stable[is_numerical],MATCH(VALUE(questions[[#This Row],[qno]]),VALUE(stable[qno]),0))</f>
        <v>0</v>
      </c>
      <c r="P1307" s="9" t="b" cm="1">
        <f t="array" ref="P1307">INDEX(stable[is_single_select],MATCH(VALUE(questions[[#This Row],[qno]]),VALUE(stable[qno]),0))</f>
        <v>0</v>
      </c>
      <c r="Q1307" s="9" t="b" cm="1">
        <f t="array" ref="Q1307">INDEX(stable[is_multi_select],MATCH(VALUE(questions[[#This Row],[qno]]),VALUE(stable[qno]),0))</f>
        <v>0</v>
      </c>
      <c r="R1307" s="9" t="b" cm="1">
        <f t="array" ref="R1307">INDEX(stable[is_skip_logic],MATCH(VALUE(questions[[#This Row],[qno]]),VALUE(stable[qno]),0))</f>
        <v>0</v>
      </c>
      <c r="S1307" s="9" t="str">
        <f>_xlfn.TEXTJOIN(", ",TRUE,questions[[#This Row],[ans_opt_1]:[ans_opt_14]])</f>
        <v/>
      </c>
      <c r="AH1307" s="16" t="b">
        <f>INDEX(stable[q_standard],MATCH(questions[[#This Row],[qno]],stable[qno],0))</f>
        <v>1</v>
      </c>
      <c r="AI1307" s="16" t="b">
        <f>INDEX(stable[q_living_income],MATCH(questions[[#This Row],[qno]],stable[qno],0))</f>
        <v>0</v>
      </c>
      <c r="AJ1307" s="16" t="b">
        <f>INDEX(stable[q_carbon],MATCH(questions[[#This Row],[qno]],stable[qno],0))</f>
        <v>0</v>
      </c>
      <c r="AK1307" s="16" t="b">
        <f>INDEX(stable[q_regen_ag],MATCH(questions[[#This Row],[qno]],stable[qno],0))</f>
        <v>0</v>
      </c>
      <c r="AL1307" s="16" t="b">
        <f>COUNTIFS(stable[qno],questions[[#This Row],[qno]])=1</f>
        <v>1</v>
      </c>
      <c r="AM1307" s="16" t="b">
        <f>OR(questions[[#This Row],[is_fixed]],questions[[#This Row],[is_localized]],questions[[#This Row],[is_supply_chain_dependent]])</f>
        <v>1</v>
      </c>
      <c r="AN1307" s="16" t="b">
        <f>COUNTIFS(questions[[#This Row],[is_automated]:[is_multi_select]],TRUE)=1</f>
        <v>1</v>
      </c>
      <c r="AO1307" s="16" t="b">
        <f>IF(questions[[#This Row],[is_fixed]],questions[[#This Row],[question]]=INDEX(stable[question],MATCH(questions[[#This Row],[qno]],stable[qno],0)),TRUE)</f>
        <v>1</v>
      </c>
      <c r="AP1307" s="16" t="str">
        <f>LEFT(questions[[#This Row],[question]],similarity_range)</f>
        <v>Coordinates</v>
      </c>
      <c r="AQ1307" s="16" t="str">
        <f>LEFT(INDEX(stable[question],MATCH(questions[[#This Row],[qno]],stable[qno],0)),similarity_range)</f>
        <v>Coordinates</v>
      </c>
      <c r="AR1307" s="16" t="b">
        <f>questions[[#This Row],[question_first_characters]]=questions[[#This Row],[stability_first_characters]]</f>
        <v>1</v>
      </c>
      <c r="AS1307" s="16" t="b">
        <f>IF(OR(questions[[#This Row],[is_single_select]],questions[[#This Row],[is_multi_select]]),NOT(ISBLANK(questions[[#This Row],[answer_opt_combined]])),TRUE)</f>
        <v>1</v>
      </c>
    </row>
    <row r="1308" spans="1:45" s="77" customFormat="1" ht="15.75" customHeight="1" x14ac:dyDescent="0.25">
      <c r="A1308" s="77" t="str">
        <f>_xlfn.TEXTJOIN("_",TRUE,questions[[#This Row],[origin]:[qno]])</f>
        <v>Rwanda_Arabica_Nestle_Illy_IMPACT_2025_2000</v>
      </c>
      <c r="B1308" s="77" t="s">
        <v>719</v>
      </c>
      <c r="C1308" s="77" t="s">
        <v>59</v>
      </c>
      <c r="D1308" s="77" t="s">
        <v>720</v>
      </c>
      <c r="E1308" s="77">
        <v>2025</v>
      </c>
      <c r="F1308" s="105" t="s">
        <v>99</v>
      </c>
      <c r="G1308" s="78" t="s">
        <v>100</v>
      </c>
      <c r="H1308" s="9" t="str" cm="1">
        <f t="array" ref="H1308">INDEX(stableR[question],MATCH(VALUE(questions[[#This Row],[qno]]),VALUE(stableR[qno]),0))</f>
        <v>Who was present and answering the questions for the interview?</v>
      </c>
      <c r="I1308" s="9" t="b" cm="1">
        <f t="array" ref="I1308">INDEX(stable[is_fixed],MATCH(VALUE(questions[[#This Row],[qno]]),VALUE(stable[qno]),0))</f>
        <v>1</v>
      </c>
      <c r="J1308" s="9" t="b" cm="1">
        <f t="array" ref="J1308">INDEX(stable[is_localized],MATCH(VALUE(questions[[#This Row],[qno]]),VALUE(stable[qno]),0))</f>
        <v>0</v>
      </c>
      <c r="K1308" s="9" t="b" cm="1">
        <f t="array" ref="K1308">INDEX(stable[is_supply_chain_dependent],MATCH(VALUE(questions[[#This Row],[qno]]),VALUE(stable[qno]),0))</f>
        <v>0</v>
      </c>
      <c r="L1308" s="9" t="b" cm="1">
        <f t="array" ref="L1308">INDEX(stable[is_mandatory],MATCH(VALUE(questions[[#This Row],[qno]]),VALUE(stable[qno]),0))</f>
        <v>1</v>
      </c>
      <c r="M1308" s="9" t="b" cm="1">
        <f t="array" ref="M1308">INDEX(stable[is_automated],MATCH(VALUE(questions[[#This Row],[qno]]),VALUE(stable[qno]),0))</f>
        <v>0</v>
      </c>
      <c r="N1308" s="32" t="b" cm="1">
        <f t="array" ref="N1308">INDEX(stable[is_free_text],MATCH(VALUE(questions[[#This Row],[qno]]),VALUE(stable[qno]),0))</f>
        <v>0</v>
      </c>
      <c r="O1308" s="9" t="b" cm="1">
        <f t="array" ref="O1308">INDEX(stable[is_numerical],MATCH(VALUE(questions[[#This Row],[qno]]),VALUE(stable[qno]),0))</f>
        <v>0</v>
      </c>
      <c r="P1308" s="77" t="b" cm="1">
        <f t="array" ref="P1308">INDEX(stable[is_single_select],MATCH(VALUE(questions[[#This Row],[qno]]),VALUE(stable[qno]),0))</f>
        <v>0</v>
      </c>
      <c r="Q1308" s="77" t="b" cm="1">
        <f t="array" ref="Q1308">INDEX(stable[is_multi_select],MATCH(VALUE(questions[[#This Row],[qno]]),VALUE(stable[qno]),0))</f>
        <v>1</v>
      </c>
      <c r="R1308" s="77" t="b" cm="1">
        <f t="array" ref="R1308">INDEX(stable[is_skip_logic],MATCH(VALUE(questions[[#This Row],[qno]]),VALUE(stable[qno]),0))</f>
        <v>0</v>
      </c>
      <c r="S1308" s="77" t="str">
        <f>_xlfn.TEXTJOIN(", ",TRUE,questions[[#This Row],[ans_opt_1]:[ans_opt_14]])</f>
        <v>Wife, Husband, Other important household member</v>
      </c>
      <c r="T1308" s="77" t="s">
        <v>101</v>
      </c>
      <c r="U1308" s="77" t="s">
        <v>102</v>
      </c>
      <c r="V1308" s="77" t="s">
        <v>103</v>
      </c>
      <c r="AH1308" s="98" t="b">
        <f>INDEX(stable[q_standard],MATCH(questions[[#This Row],[qno]],stable[qno],0))</f>
        <v>1</v>
      </c>
      <c r="AI1308" s="98" t="b">
        <f>INDEX(stable[q_living_income],MATCH(questions[[#This Row],[qno]],stable[qno],0))</f>
        <v>0</v>
      </c>
      <c r="AJ1308" s="98" t="b">
        <f>INDEX(stable[q_carbon],MATCH(questions[[#This Row],[qno]],stable[qno],0))</f>
        <v>0</v>
      </c>
      <c r="AK1308" s="98" t="b">
        <f>INDEX(stable[q_regen_ag],MATCH(questions[[#This Row],[qno]],stable[qno],0))</f>
        <v>0</v>
      </c>
      <c r="AL1308" s="98" t="b">
        <f>COUNTIFS(stable[qno],questions[[#This Row],[qno]])=1</f>
        <v>1</v>
      </c>
      <c r="AM1308" s="98" t="b">
        <f>OR(questions[[#This Row],[is_fixed]],questions[[#This Row],[is_localized]],questions[[#This Row],[is_supply_chain_dependent]])</f>
        <v>1</v>
      </c>
      <c r="AN1308" s="98" t="b">
        <f>COUNTIFS(questions[[#This Row],[is_automated]:[is_multi_select]],TRUE)=1</f>
        <v>1</v>
      </c>
      <c r="AO1308" s="98" t="b">
        <f>IF(questions[[#This Row],[is_fixed]],questions[[#This Row],[question]]=INDEX(stable[question],MATCH(questions[[#This Row],[qno]],stable[qno],0)),TRUE)</f>
        <v>1</v>
      </c>
      <c r="AP1308" s="98" t="str">
        <f>LEFT(questions[[#This Row],[question]],similarity_range)</f>
        <v xml:space="preserve">Who was present and </v>
      </c>
      <c r="AQ1308" s="98" t="str">
        <f>LEFT(INDEX(stable[question],MATCH(questions[[#This Row],[qno]],stable[qno],0)),similarity_range)</f>
        <v xml:space="preserve">Who was present and </v>
      </c>
      <c r="AR1308" s="98" t="b">
        <f>questions[[#This Row],[question_first_characters]]=questions[[#This Row],[stability_first_characters]]</f>
        <v>1</v>
      </c>
      <c r="AS1308" s="98" t="b">
        <f>IF(OR(questions[[#This Row],[is_single_select]],questions[[#This Row],[is_multi_select]]),NOT(ISBLANK(questions[[#This Row],[answer_opt_combined]])),TRUE)</f>
        <v>1</v>
      </c>
    </row>
    <row r="1309" spans="1:45" s="77" customFormat="1" ht="15.75" customHeight="1" x14ac:dyDescent="0.25">
      <c r="A1309" s="77" t="str">
        <f>_xlfn.TEXTJOIN("_",TRUE,questions[[#This Row],[origin]:[qno]])</f>
        <v>Rwanda_Arabica_Nestle_Illy_IMPACT_2025_2001</v>
      </c>
      <c r="B1309" s="77" t="s">
        <v>719</v>
      </c>
      <c r="C1309" s="77" t="s">
        <v>59</v>
      </c>
      <c r="D1309" s="77" t="s">
        <v>720</v>
      </c>
      <c r="E1309" s="77">
        <v>2025</v>
      </c>
      <c r="F1309" s="105" t="s">
        <v>104</v>
      </c>
      <c r="G1309" s="78" t="s">
        <v>105</v>
      </c>
      <c r="H1309" s="9" t="str" cm="1">
        <f t="array" ref="H1309">INDEX(stableR[question],MATCH(VALUE(questions[[#This Row],[qno]]),VALUE(stableR[qno]),0))</f>
        <v>What is the gender of the lead farmer in the household? (The person that is selling the coffee)</v>
      </c>
      <c r="I1309" s="9" t="b" cm="1">
        <f t="array" ref="I1309">INDEX(stable[is_fixed],MATCH(VALUE(questions[[#This Row],[qno]]),VALUE(stable[qno]),0))</f>
        <v>1</v>
      </c>
      <c r="J1309" s="9" t="b" cm="1">
        <f t="array" ref="J1309">INDEX(stable[is_localized],MATCH(VALUE(questions[[#This Row],[qno]]),VALUE(stable[qno]),0))</f>
        <v>0</v>
      </c>
      <c r="K1309" s="9" t="b" cm="1">
        <f t="array" ref="K1309">INDEX(stable[is_supply_chain_dependent],MATCH(VALUE(questions[[#This Row],[qno]]),VALUE(stable[qno]),0))</f>
        <v>0</v>
      </c>
      <c r="L1309" s="9" t="b" cm="1">
        <f t="array" ref="L1309">INDEX(stable[is_mandatory],MATCH(VALUE(questions[[#This Row],[qno]]),VALUE(stable[qno]),0))</f>
        <v>1</v>
      </c>
      <c r="M1309" s="9" t="b" cm="1">
        <f t="array" ref="M1309">INDEX(stable[is_automated],MATCH(VALUE(questions[[#This Row],[qno]]),VALUE(stable[qno]),0))</f>
        <v>0</v>
      </c>
      <c r="N1309" s="32" t="b" cm="1">
        <f t="array" ref="N1309">INDEX(stable[is_free_text],MATCH(VALUE(questions[[#This Row],[qno]]),VALUE(stable[qno]),0))</f>
        <v>0</v>
      </c>
      <c r="O1309" s="9" t="b" cm="1">
        <f t="array" ref="O1309">INDEX(stable[is_numerical],MATCH(VALUE(questions[[#This Row],[qno]]),VALUE(stable[qno]),0))</f>
        <v>0</v>
      </c>
      <c r="P1309" s="77" t="b" cm="1">
        <f t="array" ref="P1309">INDEX(stable[is_single_select],MATCH(VALUE(questions[[#This Row],[qno]]),VALUE(stable[qno]),0))</f>
        <v>1</v>
      </c>
      <c r="Q1309" s="77" t="b" cm="1">
        <f t="array" ref="Q1309">INDEX(stable[is_multi_select],MATCH(VALUE(questions[[#This Row],[qno]]),VALUE(stable[qno]),0))</f>
        <v>0</v>
      </c>
      <c r="R1309" s="77" t="b" cm="1">
        <f t="array" ref="R1309">INDEX(stable[is_skip_logic],MATCH(VALUE(questions[[#This Row],[qno]]),VALUE(stable[qno]),0))</f>
        <v>0</v>
      </c>
      <c r="S1309" s="77" t="str">
        <f>_xlfn.TEXTJOIN(", ",TRUE,questions[[#This Row],[ans_opt_1]:[ans_opt_14]])</f>
        <v>Female, Male</v>
      </c>
      <c r="T1309" s="77" t="s">
        <v>106</v>
      </c>
      <c r="U1309" s="77" t="s">
        <v>107</v>
      </c>
      <c r="AH1309" s="98" t="b">
        <f>INDEX(stable[q_standard],MATCH(questions[[#This Row],[qno]],stable[qno],0))</f>
        <v>1</v>
      </c>
      <c r="AI1309" s="98" t="b">
        <f>INDEX(stable[q_living_income],MATCH(questions[[#This Row],[qno]],stable[qno],0))</f>
        <v>0</v>
      </c>
      <c r="AJ1309" s="98" t="b">
        <f>INDEX(stable[q_carbon],MATCH(questions[[#This Row],[qno]],stable[qno],0))</f>
        <v>0</v>
      </c>
      <c r="AK1309" s="98" t="b">
        <f>INDEX(stable[q_regen_ag],MATCH(questions[[#This Row],[qno]],stable[qno],0))</f>
        <v>0</v>
      </c>
      <c r="AL1309" s="98" t="b">
        <f>COUNTIFS(stable[qno],questions[[#This Row],[qno]])=1</f>
        <v>1</v>
      </c>
      <c r="AM1309" s="98" t="b">
        <f>OR(questions[[#This Row],[is_fixed]],questions[[#This Row],[is_localized]],questions[[#This Row],[is_supply_chain_dependent]])</f>
        <v>1</v>
      </c>
      <c r="AN1309" s="98" t="b">
        <f>COUNTIFS(questions[[#This Row],[is_automated]:[is_multi_select]],TRUE)=1</f>
        <v>1</v>
      </c>
      <c r="AO1309" s="98" t="b">
        <f>IF(questions[[#This Row],[is_fixed]],questions[[#This Row],[question]]=INDEX(stable[question],MATCH(questions[[#This Row],[qno]],stable[qno],0)),TRUE)</f>
        <v>1</v>
      </c>
      <c r="AP1309" s="98" t="str">
        <f>LEFT(questions[[#This Row],[question]],similarity_range)</f>
        <v>What is the gender o</v>
      </c>
      <c r="AQ1309" s="98" t="str">
        <f>LEFT(INDEX(stable[question],MATCH(questions[[#This Row],[qno]],stable[qno],0)),similarity_range)</f>
        <v>What is the gender o</v>
      </c>
      <c r="AR1309" s="98" t="b">
        <f>questions[[#This Row],[question_first_characters]]=questions[[#This Row],[stability_first_characters]]</f>
        <v>1</v>
      </c>
      <c r="AS1309" s="98" t="b">
        <f>IF(OR(questions[[#This Row],[is_single_select]],questions[[#This Row],[is_multi_select]]),NOT(ISBLANK(questions[[#This Row],[answer_opt_combined]])),TRUE)</f>
        <v>1</v>
      </c>
    </row>
    <row r="1310" spans="1:45" s="77" customFormat="1" ht="15.75" customHeight="1" x14ac:dyDescent="0.25">
      <c r="A1310" s="77" t="str">
        <f>_xlfn.TEXTJOIN("_",TRUE,questions[[#This Row],[origin]:[qno]])</f>
        <v>Rwanda_Arabica_Nestle_Illy_IMPACT_2025_2002</v>
      </c>
      <c r="B1310" s="77" t="s">
        <v>719</v>
      </c>
      <c r="C1310" s="77" t="s">
        <v>59</v>
      </c>
      <c r="D1310" s="77" t="s">
        <v>720</v>
      </c>
      <c r="E1310" s="77">
        <v>2025</v>
      </c>
      <c r="F1310" s="108" t="s">
        <v>108</v>
      </c>
      <c r="G1310" s="78" t="s">
        <v>109</v>
      </c>
      <c r="H1310" s="9" t="str" cm="1">
        <f t="array" ref="H1310">INDEX(stableR[question],MATCH(VALUE(questions[[#This Row],[qno]]),VALUE(stableR[qno]),0))</f>
        <v>What type of household is this?</v>
      </c>
      <c r="I1310" s="9" t="b" cm="1">
        <f t="array" ref="I1310">INDEX(stable[is_fixed],MATCH(VALUE(questions[[#This Row],[qno]]),VALUE(stable[qno]),0))</f>
        <v>1</v>
      </c>
      <c r="J1310" s="9" t="b" cm="1">
        <f t="array" ref="J1310">INDEX(stable[is_localized],MATCH(VALUE(questions[[#This Row],[qno]]),VALUE(stable[qno]),0))</f>
        <v>0</v>
      </c>
      <c r="K1310" s="9" t="b" cm="1">
        <f t="array" ref="K1310">INDEX(stable[is_supply_chain_dependent],MATCH(VALUE(questions[[#This Row],[qno]]),VALUE(stable[qno]),0))</f>
        <v>0</v>
      </c>
      <c r="L1310" s="9" t="b" cm="1">
        <f t="array" ref="L1310">INDEX(stable[is_mandatory],MATCH(VALUE(questions[[#This Row],[qno]]),VALUE(stable[qno]),0))</f>
        <v>1</v>
      </c>
      <c r="M1310" s="9" t="b" cm="1">
        <f t="array" ref="M1310">INDEX(stable[is_automated],MATCH(VALUE(questions[[#This Row],[qno]]),VALUE(stable[qno]),0))</f>
        <v>0</v>
      </c>
      <c r="N1310" s="32" t="b" cm="1">
        <f t="array" ref="N1310">INDEX(stable[is_free_text],MATCH(VALUE(questions[[#This Row],[qno]]),VALUE(stable[qno]),0))</f>
        <v>0</v>
      </c>
      <c r="O1310" s="9" t="b" cm="1">
        <f t="array" ref="O1310">INDEX(stable[is_numerical],MATCH(VALUE(questions[[#This Row],[qno]]),VALUE(stable[qno]),0))</f>
        <v>0</v>
      </c>
      <c r="P1310" s="77" t="b" cm="1">
        <f t="array" ref="P1310">INDEX(stable[is_single_select],MATCH(VALUE(questions[[#This Row],[qno]]),VALUE(stable[qno]),0))</f>
        <v>1</v>
      </c>
      <c r="Q1310" s="77" t="b" cm="1">
        <f t="array" ref="Q1310">INDEX(stable[is_multi_select],MATCH(VALUE(questions[[#This Row],[qno]]),VALUE(stable[qno]),0))</f>
        <v>0</v>
      </c>
      <c r="R1310" s="77" t="b" cm="1">
        <f t="array" ref="R1310">INDEX(stable[is_skip_logic],MATCH(VALUE(questions[[#This Row],[qno]]),VALUE(stable[qno]),0))</f>
        <v>0</v>
      </c>
      <c r="S1310" s="77" t="str">
        <f>_xlfn.TEXTJOIN(", ",TRUE,questions[[#This Row],[ans_opt_1]:[ans_opt_14]])</f>
        <v>Male headed, Female headed, Other</v>
      </c>
      <c r="T1310" s="77" t="s">
        <v>110</v>
      </c>
      <c r="U1310" s="77" t="s">
        <v>111</v>
      </c>
      <c r="V1310" s="77" t="s">
        <v>112</v>
      </c>
      <c r="AH1310" s="98" t="b">
        <f>INDEX(stable[q_standard],MATCH(questions[[#This Row],[qno]],stable[qno],0))</f>
        <v>1</v>
      </c>
      <c r="AI1310" s="98" t="b">
        <f>INDEX(stable[q_living_income],MATCH(questions[[#This Row],[qno]],stable[qno],0))</f>
        <v>0</v>
      </c>
      <c r="AJ1310" s="98" t="b">
        <f>INDEX(stable[q_carbon],MATCH(questions[[#This Row],[qno]],stable[qno],0))</f>
        <v>0</v>
      </c>
      <c r="AK1310" s="98" t="b">
        <f>INDEX(stable[q_regen_ag],MATCH(questions[[#This Row],[qno]],stable[qno],0))</f>
        <v>0</v>
      </c>
      <c r="AL1310" s="98" t="b">
        <f>COUNTIFS(stable[qno],questions[[#This Row],[qno]])=1</f>
        <v>1</v>
      </c>
      <c r="AM1310" s="98" t="b">
        <f>OR(questions[[#This Row],[is_fixed]],questions[[#This Row],[is_localized]],questions[[#This Row],[is_supply_chain_dependent]])</f>
        <v>1</v>
      </c>
      <c r="AN1310" s="98" t="b">
        <f>COUNTIFS(questions[[#This Row],[is_automated]:[is_multi_select]],TRUE)=1</f>
        <v>1</v>
      </c>
      <c r="AO1310" s="98" t="b">
        <f>IF(questions[[#This Row],[is_fixed]],questions[[#This Row],[question]]=INDEX(stable[question],MATCH(questions[[#This Row],[qno]],stable[qno],0)),TRUE)</f>
        <v>1</v>
      </c>
      <c r="AP1310" s="98" t="str">
        <f>LEFT(questions[[#This Row],[question]],similarity_range)</f>
        <v>What type of househo</v>
      </c>
      <c r="AQ1310" s="98" t="str">
        <f>LEFT(INDEX(stable[question],MATCH(questions[[#This Row],[qno]],stable[qno],0)),similarity_range)</f>
        <v>What type of househo</v>
      </c>
      <c r="AR1310" s="98" t="b">
        <f>questions[[#This Row],[question_first_characters]]=questions[[#This Row],[stability_first_characters]]</f>
        <v>1</v>
      </c>
      <c r="AS1310" s="98" t="b">
        <f>IF(OR(questions[[#This Row],[is_single_select]],questions[[#This Row],[is_multi_select]]),NOT(ISBLANK(questions[[#This Row],[answer_opt_combined]])),TRUE)</f>
        <v>1</v>
      </c>
    </row>
    <row r="1311" spans="1:45" ht="15.75" customHeight="1" x14ac:dyDescent="0.25">
      <c r="A1311" s="9" t="str">
        <f>_xlfn.TEXTJOIN("_",TRUE,questions[[#This Row],[origin]:[qno]])</f>
        <v>Rwanda_Arabica_Nestle_Illy_IMPACT_2025_2003</v>
      </c>
      <c r="B1311" s="9" t="s">
        <v>719</v>
      </c>
      <c r="C1311" s="9" t="s">
        <v>59</v>
      </c>
      <c r="D1311" s="9" t="s">
        <v>720</v>
      </c>
      <c r="E1311" s="33">
        <v>2025</v>
      </c>
      <c r="F1311" s="36" t="s">
        <v>113</v>
      </c>
      <c r="G1311" s="15" t="s">
        <v>114</v>
      </c>
      <c r="H1311" s="9" t="str" cm="1">
        <f t="array" ref="H1311">INDEX(stableR[question],MATCH(VALUE(questions[[#This Row],[qno]]),VALUE(stableR[qno]),0))</f>
        <v>How many adults live in your household, that are above 18 years (including the respondent)? (Household members are those that stay more than three months per year within the same household and that 'eat from the same pot'.)</v>
      </c>
      <c r="I1311" s="9" t="b" cm="1">
        <f t="array" ref="I1311">INDEX(stable[is_fixed],MATCH(VALUE(questions[[#This Row],[qno]]),VALUE(stable[qno]),0))</f>
        <v>1</v>
      </c>
      <c r="J1311" s="9" t="b" cm="1">
        <f t="array" ref="J1311">INDEX(stable[is_localized],MATCH(VALUE(questions[[#This Row],[qno]]),VALUE(stable[qno]),0))</f>
        <v>0</v>
      </c>
      <c r="K1311" s="9" t="b" cm="1">
        <f t="array" ref="K1311">INDEX(stable[is_supply_chain_dependent],MATCH(VALUE(questions[[#This Row],[qno]]),VALUE(stable[qno]),0))</f>
        <v>0</v>
      </c>
      <c r="L1311" s="9" t="b" cm="1">
        <f t="array" ref="L1311">INDEX(stable[is_mandatory],MATCH(VALUE(questions[[#This Row],[qno]]),VALUE(stable[qno]),0))</f>
        <v>1</v>
      </c>
      <c r="M1311" s="9" t="b" cm="1">
        <f t="array" ref="M1311">INDEX(stable[is_automated],MATCH(VALUE(questions[[#This Row],[qno]]),VALUE(stable[qno]),0))</f>
        <v>0</v>
      </c>
      <c r="N1311" s="32" t="b" cm="1">
        <f t="array" ref="N1311">INDEX(stable[is_free_text],MATCH(VALUE(questions[[#This Row],[qno]]),VALUE(stable[qno]),0))</f>
        <v>0</v>
      </c>
      <c r="O1311" s="9" t="b" cm="1">
        <f t="array" ref="O1311">INDEX(stable[is_numerical],MATCH(VALUE(questions[[#This Row],[qno]]),VALUE(stable[qno]),0))</f>
        <v>1</v>
      </c>
      <c r="P1311" s="9" t="b" cm="1">
        <f t="array" ref="P1311">INDEX(stable[is_single_select],MATCH(VALUE(questions[[#This Row],[qno]]),VALUE(stable[qno]),0))</f>
        <v>0</v>
      </c>
      <c r="Q1311" s="9" t="b" cm="1">
        <f t="array" ref="Q1311">INDEX(stable[is_multi_select],MATCH(VALUE(questions[[#This Row],[qno]]),VALUE(stable[qno]),0))</f>
        <v>0</v>
      </c>
      <c r="R1311" s="9" t="b" cm="1">
        <f t="array" ref="R1311">INDEX(stable[is_skip_logic],MATCH(VALUE(questions[[#This Row],[qno]]),VALUE(stable[qno]),0))</f>
        <v>0</v>
      </c>
      <c r="S1311" s="9" t="str">
        <f>_xlfn.TEXTJOIN(", ",TRUE,questions[[#This Row],[ans_opt_1]:[ans_opt_14]])</f>
        <v/>
      </c>
      <c r="AH1311" s="16" t="b">
        <f>INDEX(stable[q_standard],MATCH(questions[[#This Row],[qno]],stable[qno],0))</f>
        <v>1</v>
      </c>
      <c r="AI1311" s="16" t="b">
        <f>INDEX(stable[q_living_income],MATCH(questions[[#This Row],[qno]],stable[qno],0))</f>
        <v>0</v>
      </c>
      <c r="AJ1311" s="16" t="b">
        <f>INDEX(stable[q_carbon],MATCH(questions[[#This Row],[qno]],stable[qno],0))</f>
        <v>0</v>
      </c>
      <c r="AK1311" s="16" t="b">
        <f>INDEX(stable[q_regen_ag],MATCH(questions[[#This Row],[qno]],stable[qno],0))</f>
        <v>0</v>
      </c>
      <c r="AL1311" s="16" t="b">
        <f>COUNTIFS(stable[qno],questions[[#This Row],[qno]])=1</f>
        <v>1</v>
      </c>
      <c r="AM1311" s="16" t="b">
        <f>OR(questions[[#This Row],[is_fixed]],questions[[#This Row],[is_localized]],questions[[#This Row],[is_supply_chain_dependent]])</f>
        <v>1</v>
      </c>
      <c r="AN1311" s="16" t="b">
        <f>COUNTIFS(questions[[#This Row],[is_automated]:[is_multi_select]],TRUE)=1</f>
        <v>1</v>
      </c>
      <c r="AO1311" s="16" t="b">
        <f>IF(questions[[#This Row],[is_fixed]],questions[[#This Row],[question]]=INDEX(stable[question],MATCH(questions[[#This Row],[qno]],stable[qno],0)),TRUE)</f>
        <v>0</v>
      </c>
      <c r="AP1311" s="16" t="str">
        <f>LEFT(questions[[#This Row],[question]],similarity_range)</f>
        <v>How many adults live</v>
      </c>
      <c r="AQ1311" s="16" t="str">
        <f>LEFT(INDEX(stable[question],MATCH(questions[[#This Row],[qno]],stable[qno],0)),similarity_range)</f>
        <v>How many adults live</v>
      </c>
      <c r="AR1311" s="16" t="b">
        <f>questions[[#This Row],[question_first_characters]]=questions[[#This Row],[stability_first_characters]]</f>
        <v>1</v>
      </c>
      <c r="AS1311" s="16" t="b">
        <f>IF(OR(questions[[#This Row],[is_single_select]],questions[[#This Row],[is_multi_select]]),NOT(ISBLANK(questions[[#This Row],[answer_opt_combined]])),TRUE)</f>
        <v>1</v>
      </c>
    </row>
    <row r="1312" spans="1:45" ht="15.75" customHeight="1" x14ac:dyDescent="0.25">
      <c r="A1312" s="9" t="str">
        <f>_xlfn.TEXTJOIN("_",TRUE,questions[[#This Row],[origin]:[qno]])</f>
        <v>Rwanda_Arabica_Nestle_Illy_IMPACT_2025_2004</v>
      </c>
      <c r="B1312" s="9" t="s">
        <v>719</v>
      </c>
      <c r="C1312" s="9" t="s">
        <v>59</v>
      </c>
      <c r="D1312" s="9" t="s">
        <v>720</v>
      </c>
      <c r="E1312" s="33">
        <v>2025</v>
      </c>
      <c r="F1312" s="36" t="s">
        <v>115</v>
      </c>
      <c r="G1312" s="15" t="s">
        <v>116</v>
      </c>
      <c r="H1312" s="9" t="str" cm="1">
        <f t="array" ref="H1312">INDEX(stableR[question],MATCH(VALUE(questions[[#This Row],[qno]]),VALUE(stableR[qno]),0))</f>
        <v>How many children living in your household, are below 18 years? (Household members are those that stay more than three months per year within the same household and that 'eat from the same pot.')</v>
      </c>
      <c r="I1312" s="9" t="b" cm="1">
        <f t="array" ref="I1312">INDEX(stable[is_fixed],MATCH(VALUE(questions[[#This Row],[qno]]),VALUE(stable[qno]),0))</f>
        <v>1</v>
      </c>
      <c r="J1312" s="9" t="b" cm="1">
        <f t="array" ref="J1312">INDEX(stable[is_localized],MATCH(VALUE(questions[[#This Row],[qno]]),VALUE(stable[qno]),0))</f>
        <v>0</v>
      </c>
      <c r="K1312" s="9" t="b" cm="1">
        <f t="array" ref="K1312">INDEX(stable[is_supply_chain_dependent],MATCH(VALUE(questions[[#This Row],[qno]]),VALUE(stable[qno]),0))</f>
        <v>0</v>
      </c>
      <c r="L1312" s="9" t="b" cm="1">
        <f t="array" ref="L1312">INDEX(stable[is_mandatory],MATCH(VALUE(questions[[#This Row],[qno]]),VALUE(stable[qno]),0))</f>
        <v>1</v>
      </c>
      <c r="M1312" s="9" t="b" cm="1">
        <f t="array" ref="M1312">INDEX(stable[is_automated],MATCH(VALUE(questions[[#This Row],[qno]]),VALUE(stable[qno]),0))</f>
        <v>0</v>
      </c>
      <c r="N1312" s="32" t="b" cm="1">
        <f t="array" ref="N1312">INDEX(stable[is_free_text],MATCH(VALUE(questions[[#This Row],[qno]]),VALUE(stable[qno]),0))</f>
        <v>0</v>
      </c>
      <c r="O1312" s="9" t="b" cm="1">
        <f t="array" ref="O1312">INDEX(stable[is_numerical],MATCH(VALUE(questions[[#This Row],[qno]]),VALUE(stable[qno]),0))</f>
        <v>1</v>
      </c>
      <c r="P1312" s="9" t="b" cm="1">
        <f t="array" ref="P1312">INDEX(stable[is_single_select],MATCH(VALUE(questions[[#This Row],[qno]]),VALUE(stable[qno]),0))</f>
        <v>0</v>
      </c>
      <c r="Q1312" s="9" t="b" cm="1">
        <f t="array" ref="Q1312">INDEX(stable[is_multi_select],MATCH(VALUE(questions[[#This Row],[qno]]),VALUE(stable[qno]),0))</f>
        <v>0</v>
      </c>
      <c r="R1312" s="9" t="b" cm="1">
        <f t="array" ref="R1312">INDEX(stable[is_skip_logic],MATCH(VALUE(questions[[#This Row],[qno]]),VALUE(stable[qno]),0))</f>
        <v>0</v>
      </c>
      <c r="S1312" s="9" t="str">
        <f>_xlfn.TEXTJOIN(", ",TRUE,questions[[#This Row],[ans_opt_1]:[ans_opt_14]])</f>
        <v/>
      </c>
      <c r="AH1312" s="16" t="b">
        <f>INDEX(stable[q_standard],MATCH(questions[[#This Row],[qno]],stable[qno],0))</f>
        <v>1</v>
      </c>
      <c r="AI1312" s="16" t="b">
        <f>INDEX(stable[q_living_income],MATCH(questions[[#This Row],[qno]],stable[qno],0))</f>
        <v>0</v>
      </c>
      <c r="AJ1312" s="16" t="b">
        <f>INDEX(stable[q_carbon],MATCH(questions[[#This Row],[qno]],stable[qno],0))</f>
        <v>0</v>
      </c>
      <c r="AK1312" s="16" t="b">
        <f>INDEX(stable[q_regen_ag],MATCH(questions[[#This Row],[qno]],stable[qno],0))</f>
        <v>0</v>
      </c>
      <c r="AL1312" s="16" t="b">
        <f>COUNTIFS(stable[qno],questions[[#This Row],[qno]])=1</f>
        <v>1</v>
      </c>
      <c r="AM1312" s="16" t="b">
        <f>OR(questions[[#This Row],[is_fixed]],questions[[#This Row],[is_localized]],questions[[#This Row],[is_supply_chain_dependent]])</f>
        <v>1</v>
      </c>
      <c r="AN1312" s="16" t="b">
        <f>COUNTIFS(questions[[#This Row],[is_automated]:[is_multi_select]],TRUE)=1</f>
        <v>1</v>
      </c>
      <c r="AO1312" s="16" t="b">
        <f>IF(questions[[#This Row],[is_fixed]],questions[[#This Row],[question]]=INDEX(stable[question],MATCH(questions[[#This Row],[qno]],stable[qno],0)),TRUE)</f>
        <v>1</v>
      </c>
      <c r="AP1312" s="16" t="str">
        <f>LEFT(questions[[#This Row],[question]],similarity_range)</f>
        <v>How many children li</v>
      </c>
      <c r="AQ1312" s="16" t="str">
        <f>LEFT(INDEX(stable[question],MATCH(questions[[#This Row],[qno]],stable[qno],0)),similarity_range)</f>
        <v>How many children li</v>
      </c>
      <c r="AR1312" s="16" t="b">
        <f>questions[[#This Row],[question_first_characters]]=questions[[#This Row],[stability_first_characters]]</f>
        <v>1</v>
      </c>
      <c r="AS1312" s="16" t="b">
        <f>IF(OR(questions[[#This Row],[is_single_select]],questions[[#This Row],[is_multi_select]]),NOT(ISBLANK(questions[[#This Row],[answer_opt_combined]])),TRUE)</f>
        <v>1</v>
      </c>
    </row>
    <row r="1313" spans="1:45" s="77" customFormat="1" ht="15.75" customHeight="1" x14ac:dyDescent="0.25">
      <c r="A1313" s="77" t="str">
        <f>_xlfn.TEXTJOIN("_",TRUE,questions[[#This Row],[origin]:[qno]])</f>
        <v>Rwanda_Arabica_Nestle_Illy_IMPACT_2025_2100</v>
      </c>
      <c r="B1313" s="77" t="s">
        <v>719</v>
      </c>
      <c r="C1313" s="77" t="s">
        <v>59</v>
      </c>
      <c r="D1313" s="77" t="s">
        <v>720</v>
      </c>
      <c r="E1313" s="77">
        <v>2025</v>
      </c>
      <c r="F1313" s="105" t="s">
        <v>117</v>
      </c>
      <c r="G1313" s="78" t="s">
        <v>118</v>
      </c>
      <c r="H1313" s="9" t="str" cm="1">
        <f t="array" ref="H1313">INDEX(stableR[question],MATCH(VALUE(questions[[#This Row],[qno]]),VALUE(stableR[qno]),0))</f>
        <v>If your farm is certified, under which certification scheme(s) is it certified?</v>
      </c>
      <c r="I1313" s="9" t="b" cm="1">
        <f t="array" ref="I1313">INDEX(stable[is_fixed],MATCH(VALUE(questions[[#This Row],[qno]]),VALUE(stable[qno]),0))</f>
        <v>1</v>
      </c>
      <c r="J1313" s="9" t="b" cm="1">
        <f t="array" ref="J1313">INDEX(stable[is_localized],MATCH(VALUE(questions[[#This Row],[qno]]),VALUE(stable[qno]),0))</f>
        <v>0</v>
      </c>
      <c r="K1313" s="9" t="b" cm="1">
        <f t="array" ref="K1313">INDEX(stable[is_supply_chain_dependent],MATCH(VALUE(questions[[#This Row],[qno]]),VALUE(stable[qno]),0))</f>
        <v>0</v>
      </c>
      <c r="L1313" s="9" t="b" cm="1">
        <f t="array" ref="L1313">INDEX(stable[is_mandatory],MATCH(VALUE(questions[[#This Row],[qno]]),VALUE(stable[qno]),0))</f>
        <v>1</v>
      </c>
      <c r="M1313" s="9" t="b" cm="1">
        <f t="array" ref="M1313">INDEX(stable[is_automated],MATCH(VALUE(questions[[#This Row],[qno]]),VALUE(stable[qno]),0))</f>
        <v>0</v>
      </c>
      <c r="N1313" s="32" t="b" cm="1">
        <f t="array" ref="N1313">INDEX(stable[is_free_text],MATCH(VALUE(questions[[#This Row],[qno]]),VALUE(stable[qno]),0))</f>
        <v>0</v>
      </c>
      <c r="O1313" s="9" t="b" cm="1">
        <f t="array" ref="O1313">INDEX(stable[is_numerical],MATCH(VALUE(questions[[#This Row],[qno]]),VALUE(stable[qno]),0))</f>
        <v>0</v>
      </c>
      <c r="P1313" s="77" t="b" cm="1">
        <f t="array" ref="P1313">INDEX(stable[is_single_select],MATCH(VALUE(questions[[#This Row],[qno]]),VALUE(stable[qno]),0))</f>
        <v>0</v>
      </c>
      <c r="Q1313" s="77" t="b" cm="1">
        <f t="array" ref="Q1313">INDEX(stable[is_multi_select],MATCH(VALUE(questions[[#This Row],[qno]]),VALUE(stable[qno]),0))</f>
        <v>1</v>
      </c>
      <c r="R1313" s="77" t="b" cm="1">
        <f t="array" ref="R1313">INDEX(stable[is_skip_logic],MATCH(VALUE(questions[[#This Row],[qno]]),VALUE(stable[qno]),0))</f>
        <v>1</v>
      </c>
      <c r="S1313" s="77" t="str">
        <f>_xlfn.TEXTJOIN(", ",TRUE,questions[[#This Row],[ans_opt_1]:[ans_opt_14]])</f>
        <v>No, IMPACT, 4C, Rainforest alliance, Organic, CAFÉ practices, RegenAgri, Fair trade, Other</v>
      </c>
      <c r="T1313" s="77" t="s">
        <v>119</v>
      </c>
      <c r="U1313" s="77" t="s">
        <v>120</v>
      </c>
      <c r="V1313" s="77" t="s">
        <v>121</v>
      </c>
      <c r="W1313" s="77" t="s">
        <v>721</v>
      </c>
      <c r="X1313" s="77" t="s">
        <v>124</v>
      </c>
      <c r="Y1313" s="77" t="s">
        <v>125</v>
      </c>
      <c r="Z1313" s="77" t="s">
        <v>126</v>
      </c>
      <c r="AA1313" s="77" t="s">
        <v>722</v>
      </c>
      <c r="AB1313" s="112" t="s">
        <v>112</v>
      </c>
      <c r="AH1313" s="98" t="b">
        <f>INDEX(stable[q_standard],MATCH(questions[[#This Row],[qno]],stable[qno],0))</f>
        <v>0</v>
      </c>
      <c r="AI1313" s="98" t="b">
        <f>INDEX(stable[q_living_income],MATCH(questions[[#This Row],[qno]],stable[qno],0))</f>
        <v>0</v>
      </c>
      <c r="AJ1313" s="98" t="b">
        <f>INDEX(stable[q_carbon],MATCH(questions[[#This Row],[qno]],stable[qno],0))</f>
        <v>0</v>
      </c>
      <c r="AK1313" s="98" t="b">
        <f>INDEX(stable[q_regen_ag],MATCH(questions[[#This Row],[qno]],stable[qno],0))</f>
        <v>1</v>
      </c>
      <c r="AL1313" s="98" t="b">
        <f>COUNTIFS(stable[qno],questions[[#This Row],[qno]])=1</f>
        <v>1</v>
      </c>
      <c r="AM1313" s="98" t="b">
        <f>OR(questions[[#This Row],[is_fixed]],questions[[#This Row],[is_localized]],questions[[#This Row],[is_supply_chain_dependent]])</f>
        <v>1</v>
      </c>
      <c r="AN1313" s="98" t="b">
        <f>COUNTIFS(questions[[#This Row],[is_automated]:[is_multi_select]],TRUE)=1</f>
        <v>1</v>
      </c>
      <c r="AO1313" s="98" t="b">
        <f>IF(questions[[#This Row],[is_fixed]],questions[[#This Row],[question]]=INDEX(stable[question],MATCH(questions[[#This Row],[qno]],stable[qno],0)),TRUE)</f>
        <v>1</v>
      </c>
      <c r="AP1313" s="98" t="str">
        <f>LEFT(questions[[#This Row],[question]],similarity_range)</f>
        <v>Is your farm certifi</v>
      </c>
      <c r="AQ1313" s="98" t="str">
        <f>LEFT(INDEX(stable[question],MATCH(questions[[#This Row],[qno]],stable[qno],0)),similarity_range)</f>
        <v>Is your farm certifi</v>
      </c>
      <c r="AR1313" s="98" t="b">
        <f>questions[[#This Row],[question_first_characters]]=questions[[#This Row],[stability_first_characters]]</f>
        <v>1</v>
      </c>
      <c r="AS1313" s="98" t="b">
        <f>IF(OR(questions[[#This Row],[is_single_select]],questions[[#This Row],[is_multi_select]]),NOT(ISBLANK(questions[[#This Row],[answer_opt_combined]])),TRUE)</f>
        <v>1</v>
      </c>
    </row>
    <row r="1314" spans="1:45" s="77" customFormat="1" ht="15.75" customHeight="1" x14ac:dyDescent="0.25">
      <c r="A1314" s="77" t="str">
        <f>_xlfn.TEXTJOIN("_",TRUE,questions[[#This Row],[origin]:[qno]])</f>
        <v>Rwanda_Arabica_Nestle_Illy_IMPACT_2025_2101</v>
      </c>
      <c r="B1314" s="77" t="s">
        <v>719</v>
      </c>
      <c r="C1314" s="77" t="s">
        <v>59</v>
      </c>
      <c r="D1314" s="77" t="s">
        <v>720</v>
      </c>
      <c r="E1314" s="77">
        <v>2025</v>
      </c>
      <c r="F1314" s="108" t="s">
        <v>127</v>
      </c>
      <c r="G1314" s="78" t="s">
        <v>723</v>
      </c>
      <c r="H1314" s="9" t="str" cm="1">
        <f t="array" ref="H1314">INDEX(stableR[question],MATCH(VALUE(questions[[#This Row],[qno]]),VALUE(stableR[qno]),0))</f>
        <v>If yes, since when have you been certified? (In case you are part of multiple certification schemes, consider the one that you are in longest.)</v>
      </c>
      <c r="I1314" s="9" t="b" cm="1">
        <f t="array" ref="I1314">INDEX(stable[is_fixed],MATCH(VALUE(questions[[#This Row],[qno]]),VALUE(stable[qno]),0))</f>
        <v>1</v>
      </c>
      <c r="J1314" s="9" t="b" cm="1">
        <f t="array" ref="J1314">INDEX(stable[is_localized],MATCH(VALUE(questions[[#This Row],[qno]]),VALUE(stable[qno]),0))</f>
        <v>0</v>
      </c>
      <c r="K1314" s="9" t="b" cm="1">
        <f t="array" ref="K1314">INDEX(stable[is_supply_chain_dependent],MATCH(VALUE(questions[[#This Row],[qno]]),VALUE(stable[qno]),0))</f>
        <v>0</v>
      </c>
      <c r="L1314" s="9" t="b" cm="1">
        <f t="array" ref="L1314">INDEX(stable[is_mandatory],MATCH(VALUE(questions[[#This Row],[qno]]),VALUE(stable[qno]),0))</f>
        <v>0</v>
      </c>
      <c r="M1314" s="9" t="b" cm="1">
        <f t="array" ref="M1314">INDEX(stable[is_automated],MATCH(VALUE(questions[[#This Row],[qno]]),VALUE(stable[qno]),0))</f>
        <v>0</v>
      </c>
      <c r="N1314" s="32" t="b" cm="1">
        <f t="array" ref="N1314">INDEX(stable[is_free_text],MATCH(VALUE(questions[[#This Row],[qno]]),VALUE(stable[qno]),0))</f>
        <v>0</v>
      </c>
      <c r="O1314" s="9" t="b" cm="1">
        <f t="array" ref="O1314">INDEX(stable[is_numerical],MATCH(VALUE(questions[[#This Row],[qno]]),VALUE(stable[qno]),0))</f>
        <v>0</v>
      </c>
      <c r="P1314" s="77" t="b" cm="1">
        <f t="array" ref="P1314">INDEX(stable[is_single_select],MATCH(VALUE(questions[[#This Row],[qno]]),VALUE(stable[qno]),0))</f>
        <v>1</v>
      </c>
      <c r="Q1314" s="77" t="b" cm="1">
        <f t="array" ref="Q1314">INDEX(stable[is_multi_select],MATCH(VALUE(questions[[#This Row],[qno]]),VALUE(stable[qno]),0))</f>
        <v>0</v>
      </c>
      <c r="R1314" s="77" t="b" cm="1">
        <f t="array" ref="R1314">INDEX(stable[is_skip_logic],MATCH(VALUE(questions[[#This Row],[qno]]),VALUE(stable[qno]),0))</f>
        <v>1</v>
      </c>
      <c r="S1314" s="77" t="str">
        <f>_xlfn.TEXTJOIN(", ",TRUE,questions[[#This Row],[ans_opt_1]:[ans_opt_14]])</f>
        <v>1-2 years, 3-4 years, &gt;=5 years</v>
      </c>
      <c r="T1314" s="77" t="s">
        <v>129</v>
      </c>
      <c r="U1314" s="77" t="s">
        <v>130</v>
      </c>
      <c r="V1314" s="77" t="s">
        <v>131</v>
      </c>
      <c r="AH1314" s="98" t="b">
        <f>INDEX(stable[q_standard],MATCH(questions[[#This Row],[qno]],stable[qno],0))</f>
        <v>0</v>
      </c>
      <c r="AI1314" s="98" t="b">
        <f>INDEX(stable[q_living_income],MATCH(questions[[#This Row],[qno]],stable[qno],0))</f>
        <v>0</v>
      </c>
      <c r="AJ1314" s="98" t="b">
        <f>INDEX(stable[q_carbon],MATCH(questions[[#This Row],[qno]],stable[qno],0))</f>
        <v>0</v>
      </c>
      <c r="AK1314" s="98" t="b">
        <f>INDEX(stable[q_regen_ag],MATCH(questions[[#This Row],[qno]],stable[qno],0))</f>
        <v>1</v>
      </c>
      <c r="AL1314" s="98" t="b">
        <f>COUNTIFS(stable[qno],questions[[#This Row],[qno]])=1</f>
        <v>1</v>
      </c>
      <c r="AM1314" s="98" t="b">
        <f>OR(questions[[#This Row],[is_fixed]],questions[[#This Row],[is_localized]],questions[[#This Row],[is_supply_chain_dependent]])</f>
        <v>1</v>
      </c>
      <c r="AN1314" s="98" t="b">
        <f>COUNTIFS(questions[[#This Row],[is_automated]:[is_multi_select]],TRUE)=1</f>
        <v>1</v>
      </c>
      <c r="AO1314" s="98" t="b">
        <f>IF(questions[[#This Row],[is_fixed]],questions[[#This Row],[question]]=INDEX(stable[question],MATCH(questions[[#This Row],[qno]],stable[qno],0)),TRUE)</f>
        <v>1</v>
      </c>
      <c r="AP1314" s="98" t="str">
        <f>LEFT(questions[[#This Row],[question]],similarity_range)</f>
        <v>If yes, since when h</v>
      </c>
      <c r="AQ1314" s="98" t="str">
        <f>LEFT(INDEX(stable[question],MATCH(questions[[#This Row],[qno]],stable[qno],0)),similarity_range)</f>
        <v>If yes, since when h</v>
      </c>
      <c r="AR1314" s="98" t="b">
        <f>questions[[#This Row],[question_first_characters]]=questions[[#This Row],[stability_first_characters]]</f>
        <v>1</v>
      </c>
      <c r="AS1314" s="98" t="b">
        <f>IF(OR(questions[[#This Row],[is_single_select]],questions[[#This Row],[is_multi_select]]),NOT(ISBLANK(questions[[#This Row],[answer_opt_combined]])),TRUE)</f>
        <v>1</v>
      </c>
    </row>
    <row r="1315" spans="1:45" s="77" customFormat="1" ht="15.75" customHeight="1" x14ac:dyDescent="0.25">
      <c r="A1315" s="77" t="str">
        <f>_xlfn.TEXTJOIN("_",TRUE,questions[[#This Row],[origin]:[qno]])</f>
        <v>Rwanda_Arabica_Nestle_Illy_IMPACT_2025_2200</v>
      </c>
      <c r="B1315" s="77" t="s">
        <v>719</v>
      </c>
      <c r="C1315" s="77" t="s">
        <v>59</v>
      </c>
      <c r="D1315" s="77" t="s">
        <v>720</v>
      </c>
      <c r="E1315" s="77">
        <v>2025</v>
      </c>
      <c r="F1315" s="105" t="s">
        <v>132</v>
      </c>
      <c r="G1315" s="78" t="s">
        <v>724</v>
      </c>
      <c r="H1315" s="9" t="str" cm="1">
        <f t="array" ref="H1315">INDEX(stableR[question],MATCH(VALUE(questions[[#This Row],[qno]]),VALUE(stableR[qno]),0))</f>
        <v>What is the name of the Sucafina coffee collection point you delivered your coffee to (e.g. name of  washing station/hulling station/cooperative/ intermediary), or which one is closest to you?</v>
      </c>
      <c r="I1315" s="9" t="b" cm="1">
        <f t="array" ref="I1315">INDEX(stable[is_fixed],MATCH(VALUE(questions[[#This Row],[qno]]),VALUE(stable[qno]),0))</f>
        <v>0</v>
      </c>
      <c r="J1315" s="9" t="b" cm="1">
        <f t="array" ref="J1315">INDEX(stable[is_localized],MATCH(VALUE(questions[[#This Row],[qno]]),VALUE(stable[qno]),0))</f>
        <v>1</v>
      </c>
      <c r="K1315" s="9" t="b" cm="1">
        <f t="array" ref="K1315">INDEX(stable[is_supply_chain_dependent],MATCH(VALUE(questions[[#This Row],[qno]]),VALUE(stable[qno]),0))</f>
        <v>0</v>
      </c>
      <c r="L1315" s="9" t="b" cm="1">
        <f t="array" ref="L1315">INDEX(stable[is_mandatory],MATCH(VALUE(questions[[#This Row],[qno]]),VALUE(stable[qno]),0))</f>
        <v>1</v>
      </c>
      <c r="M1315" s="9" t="b" cm="1">
        <f t="array" ref="M1315">INDEX(stable[is_automated],MATCH(VALUE(questions[[#This Row],[qno]]),VALUE(stable[qno]),0))</f>
        <v>0</v>
      </c>
      <c r="N1315" s="32" t="b" cm="1">
        <f t="array" ref="N1315">INDEX(stable[is_free_text],MATCH(VALUE(questions[[#This Row],[qno]]),VALUE(stable[qno]),0))</f>
        <v>0</v>
      </c>
      <c r="O1315" s="9" t="b" cm="1">
        <f t="array" ref="O1315">INDEX(stable[is_numerical],MATCH(VALUE(questions[[#This Row],[qno]]),VALUE(stable[qno]),0))</f>
        <v>0</v>
      </c>
      <c r="P1315" s="77" t="b" cm="1">
        <f t="array" ref="P1315">INDEX(stable[is_single_select],MATCH(VALUE(questions[[#This Row],[qno]]),VALUE(stable[qno]),0))</f>
        <v>1</v>
      </c>
      <c r="Q1315" s="77" t="b" cm="1">
        <f t="array" ref="Q1315">INDEX(stable[is_multi_select],MATCH(VALUE(questions[[#This Row],[qno]]),VALUE(stable[qno]),0))</f>
        <v>0</v>
      </c>
      <c r="R1315" s="77" t="b" cm="1">
        <f t="array" ref="R1315">INDEX(stable[is_skip_logic],MATCH(VALUE(questions[[#This Row],[qno]]),VALUE(stable[qno]),0))</f>
        <v>0</v>
      </c>
      <c r="S1315" s="77" t="str">
        <f>_xlfn.TEXTJOIN(", ",TRUE,questions[[#This Row],[ans_opt_1]:[ans_opt_14]])</f>
        <v>Karenge, Kayumbu, Mubuga, Nyamyumba, Musasa, Muhura, Karambi, Rwinyoni</v>
      </c>
      <c r="T1315" s="77" t="s">
        <v>725</v>
      </c>
      <c r="U1315" s="77" t="s">
        <v>726</v>
      </c>
      <c r="V1315" s="77" t="s">
        <v>727</v>
      </c>
      <c r="W1315" s="77" t="s">
        <v>728</v>
      </c>
      <c r="X1315" s="77" t="s">
        <v>729</v>
      </c>
      <c r="Y1315" s="77" t="s">
        <v>730</v>
      </c>
      <c r="Z1315" s="77" t="s">
        <v>1014</v>
      </c>
      <c r="AA1315" s="77" t="s">
        <v>1015</v>
      </c>
      <c r="AH1315" s="98" t="b">
        <f>INDEX(stable[q_standard],MATCH(questions[[#This Row],[qno]],stable[qno],0))</f>
        <v>1</v>
      </c>
      <c r="AI1315" s="98" t="b">
        <f>INDEX(stable[q_living_income],MATCH(questions[[#This Row],[qno]],stable[qno],0))</f>
        <v>0</v>
      </c>
      <c r="AJ1315" s="98" t="b">
        <f>INDEX(stable[q_carbon],MATCH(questions[[#This Row],[qno]],stable[qno],0))</f>
        <v>0</v>
      </c>
      <c r="AK1315" s="98" t="b">
        <f>INDEX(stable[q_regen_ag],MATCH(questions[[#This Row],[qno]],stable[qno],0))</f>
        <v>0</v>
      </c>
      <c r="AL1315" s="98" t="b">
        <f>COUNTIFS(stable[qno],questions[[#This Row],[qno]])=1</f>
        <v>1</v>
      </c>
      <c r="AM1315" s="98" t="b">
        <f>OR(questions[[#This Row],[is_fixed]],questions[[#This Row],[is_localized]],questions[[#This Row],[is_supply_chain_dependent]])</f>
        <v>1</v>
      </c>
      <c r="AN1315" s="98" t="b">
        <f>COUNTIFS(questions[[#This Row],[is_automated]:[is_multi_select]],TRUE)=1</f>
        <v>1</v>
      </c>
      <c r="AO1315" s="98" t="b">
        <f>IF(questions[[#This Row],[is_fixed]],questions[[#This Row],[question]]=INDEX(stable[question],MATCH(questions[[#This Row],[qno]],stable[qno],0)),TRUE)</f>
        <v>1</v>
      </c>
      <c r="AP1315" s="98" t="str">
        <f>LEFT(questions[[#This Row],[question]],similarity_range)</f>
        <v>To which Rwacof wash</v>
      </c>
      <c r="AQ1315" s="98" t="str">
        <f>LEFT(INDEX(stable[question],MATCH(questions[[#This Row],[qno]],stable[qno],0)),similarity_range)</f>
        <v>To which Sucafina wa</v>
      </c>
      <c r="AR1315" s="98" t="b">
        <f>questions[[#This Row],[question_first_characters]]=questions[[#This Row],[stability_first_characters]]</f>
        <v>0</v>
      </c>
      <c r="AS1315" s="98" t="b">
        <f>IF(OR(questions[[#This Row],[is_single_select]],questions[[#This Row],[is_multi_select]]),NOT(ISBLANK(questions[[#This Row],[answer_opt_combined]])),TRUE)</f>
        <v>1</v>
      </c>
    </row>
    <row r="1316" spans="1:45" ht="15.75" customHeight="1" x14ac:dyDescent="0.25">
      <c r="A1316" s="9" t="str">
        <f>_xlfn.TEXTJOIN("_",TRUE,questions[[#This Row],[origin]:[qno]])</f>
        <v>Rwanda_Arabica_Nestle_Illy_IMPACT_2025_3300</v>
      </c>
      <c r="B1316" s="9" t="s">
        <v>719</v>
      </c>
      <c r="C1316" s="9" t="s">
        <v>59</v>
      </c>
      <c r="D1316" s="9" t="s">
        <v>720</v>
      </c>
      <c r="E1316" s="33">
        <v>2025</v>
      </c>
      <c r="F1316" s="36" t="s">
        <v>137</v>
      </c>
      <c r="G1316" s="15" t="s">
        <v>731</v>
      </c>
      <c r="H1316" s="9" t="str" cm="1">
        <f t="array" ref="H1316">INDEX(stableR[question],MATCH(VALUE(questions[[#This Row],[qno]]),VALUE(stableR[qno]),0))</f>
        <v>How many kilograms of fresh cherries did you sell last season(s) (previous 12 months)?</v>
      </c>
      <c r="I1316" s="9" t="b" cm="1">
        <f t="array" ref="I1316">INDEX(stable[is_fixed],MATCH(VALUE(questions[[#This Row],[qno]]),VALUE(stable[qno]),0))</f>
        <v>0</v>
      </c>
      <c r="J1316" s="9" t="b" cm="1">
        <f t="array" ref="J1316">INDEX(stable[is_localized],MATCH(VALUE(questions[[#This Row],[qno]]),VALUE(stable[qno]),0))</f>
        <v>1</v>
      </c>
      <c r="K1316" s="9" t="b" cm="1">
        <f t="array" ref="K1316">INDEX(stable[is_supply_chain_dependent],MATCH(VALUE(questions[[#This Row],[qno]]),VALUE(stable[qno]),0))</f>
        <v>0</v>
      </c>
      <c r="L1316" s="9" t="b" cm="1">
        <f t="array" ref="L1316">INDEX(stable[is_mandatory],MATCH(VALUE(questions[[#This Row],[qno]]),VALUE(stable[qno]),0))</f>
        <v>0</v>
      </c>
      <c r="M1316" s="9" t="b" cm="1">
        <f t="array" ref="M1316">INDEX(stable[is_automated],MATCH(VALUE(questions[[#This Row],[qno]]),VALUE(stable[qno]),0))</f>
        <v>0</v>
      </c>
      <c r="N1316" s="32" t="b" cm="1">
        <f t="array" ref="N1316">INDEX(stable[is_free_text],MATCH(VALUE(questions[[#This Row],[qno]]),VALUE(stable[qno]),0))</f>
        <v>0</v>
      </c>
      <c r="O1316" s="9" t="b" cm="1">
        <f t="array" ref="O1316">INDEX(stable[is_numerical],MATCH(VALUE(questions[[#This Row],[qno]]),VALUE(stable[qno]),0))</f>
        <v>1</v>
      </c>
      <c r="P1316" s="9" t="b" cm="1">
        <f t="array" ref="P1316">INDEX(stable[is_single_select],MATCH(VALUE(questions[[#This Row],[qno]]),VALUE(stable[qno]),0))</f>
        <v>0</v>
      </c>
      <c r="Q1316" s="9" t="b" cm="1">
        <f t="array" ref="Q1316">INDEX(stable[is_multi_select],MATCH(VALUE(questions[[#This Row],[qno]]),VALUE(stable[qno]),0))</f>
        <v>0</v>
      </c>
      <c r="R1316" s="9" t="b" cm="1">
        <f t="array" ref="R1316">INDEX(stable[is_skip_logic],MATCH(VALUE(questions[[#This Row],[qno]]),VALUE(stable[qno]),0))</f>
        <v>0</v>
      </c>
      <c r="S1316" s="9" t="str">
        <f>_xlfn.TEXTJOIN(", ",TRUE,questions[[#This Row],[ans_opt_1]:[ans_opt_14]])</f>
        <v/>
      </c>
      <c r="AH1316" s="16" t="b">
        <f>INDEX(stable[q_standard],MATCH(questions[[#This Row],[qno]],stable[qno],0))</f>
        <v>0</v>
      </c>
      <c r="AI1316" s="16" t="b">
        <f>INDEX(stable[q_living_income],MATCH(questions[[#This Row],[qno]],stable[qno],0))</f>
        <v>1</v>
      </c>
      <c r="AJ1316" s="16" t="b">
        <f>INDEX(stable[q_carbon],MATCH(questions[[#This Row],[qno]],stable[qno],0))</f>
        <v>1</v>
      </c>
      <c r="AK1316" s="16" t="b">
        <f>INDEX(stable[q_regen_ag],MATCH(questions[[#This Row],[qno]],stable[qno],0))</f>
        <v>1</v>
      </c>
      <c r="AL1316" s="16" t="b">
        <f>COUNTIFS(stable[qno],questions[[#This Row],[qno]])=1</f>
        <v>1</v>
      </c>
      <c r="AM1316" s="16" t="b">
        <f>OR(questions[[#This Row],[is_fixed]],questions[[#This Row],[is_localized]],questions[[#This Row],[is_supply_chain_dependent]])</f>
        <v>1</v>
      </c>
      <c r="AN1316" s="16" t="b">
        <f>COUNTIFS(questions[[#This Row],[is_automated]:[is_multi_select]],TRUE)=1</f>
        <v>1</v>
      </c>
      <c r="AO1316" s="16" t="b">
        <f>IF(questions[[#This Row],[is_fixed]],questions[[#This Row],[question]]=INDEX(stable[question],MATCH(questions[[#This Row],[qno]],stable[qno],0)),TRUE)</f>
        <v>1</v>
      </c>
      <c r="AP1316" s="16" t="str">
        <f>LEFT(questions[[#This Row],[question]],similarity_range)</f>
        <v>How many kilograms o</v>
      </c>
      <c r="AQ1316" s="16" t="str">
        <f>LEFT(INDEX(stable[question],MATCH(questions[[#This Row],[qno]],stable[qno],0)),similarity_range)</f>
        <v>How many kilograms o</v>
      </c>
      <c r="AR1316" s="16" t="b">
        <f>questions[[#This Row],[question_first_characters]]=questions[[#This Row],[stability_first_characters]]</f>
        <v>1</v>
      </c>
      <c r="AS1316" s="16" t="b">
        <f>IF(OR(questions[[#This Row],[is_single_select]],questions[[#This Row],[is_multi_select]]),NOT(ISBLANK(questions[[#This Row],[answer_opt_combined]])),TRUE)</f>
        <v>1</v>
      </c>
    </row>
    <row r="1317" spans="1:45" ht="15.75" customHeight="1" x14ac:dyDescent="0.25">
      <c r="A1317" s="9" t="str">
        <f>_xlfn.TEXTJOIN("_",TRUE,questions[[#This Row],[origin]:[qno]])</f>
        <v>Rwanda_Arabica_Nestle_Illy_IMPACT_2025_3301</v>
      </c>
      <c r="B1317" s="9" t="s">
        <v>719</v>
      </c>
      <c r="C1317" s="9" t="s">
        <v>59</v>
      </c>
      <c r="D1317" s="9" t="s">
        <v>720</v>
      </c>
      <c r="E1317" s="33">
        <v>2025</v>
      </c>
      <c r="F1317" s="36" t="s">
        <v>139</v>
      </c>
      <c r="G1317" s="15" t="s">
        <v>732</v>
      </c>
      <c r="H1317" s="9" t="str" cm="1">
        <f t="array" ref="H1317">INDEX(stableR[question],MATCH(VALUE(questions[[#This Row],[qno]]),VALUE(stableR[qno]),0))</f>
        <v>What was the most common price per kilogram that you received for the fresh cherries harvested in the last season? (in local currency)</v>
      </c>
      <c r="I1317" s="9" t="b" cm="1">
        <f t="array" ref="I1317">INDEX(stable[is_fixed],MATCH(VALUE(questions[[#This Row],[qno]]),VALUE(stable[qno]),0))</f>
        <v>0</v>
      </c>
      <c r="J1317" s="9" t="b" cm="1">
        <f t="array" ref="J1317">INDEX(stable[is_localized],MATCH(VALUE(questions[[#This Row],[qno]]),VALUE(stable[qno]),0))</f>
        <v>1</v>
      </c>
      <c r="K1317" s="9" t="b" cm="1">
        <f t="array" ref="K1317">INDEX(stable[is_supply_chain_dependent],MATCH(VALUE(questions[[#This Row],[qno]]),VALUE(stable[qno]),0))</f>
        <v>0</v>
      </c>
      <c r="L1317" s="9" t="b" cm="1">
        <f t="array" ref="L1317">INDEX(stable[is_mandatory],MATCH(VALUE(questions[[#This Row],[qno]]),VALUE(stable[qno]),0))</f>
        <v>0</v>
      </c>
      <c r="M1317" s="9" t="b" cm="1">
        <f t="array" ref="M1317">INDEX(stable[is_automated],MATCH(VALUE(questions[[#This Row],[qno]]),VALUE(stable[qno]),0))</f>
        <v>0</v>
      </c>
      <c r="N1317" s="32" t="b" cm="1">
        <f t="array" ref="N1317">INDEX(stable[is_free_text],MATCH(VALUE(questions[[#This Row],[qno]]),VALUE(stable[qno]),0))</f>
        <v>0</v>
      </c>
      <c r="O1317" s="9" t="b" cm="1">
        <f t="array" ref="O1317">INDEX(stable[is_numerical],MATCH(VALUE(questions[[#This Row],[qno]]),VALUE(stable[qno]),0))</f>
        <v>1</v>
      </c>
      <c r="P1317" s="9" t="b" cm="1">
        <f t="array" ref="P1317">INDEX(stable[is_single_select],MATCH(VALUE(questions[[#This Row],[qno]]),VALUE(stable[qno]),0))</f>
        <v>0</v>
      </c>
      <c r="Q1317" s="9" t="b" cm="1">
        <f t="array" ref="Q1317">INDEX(stable[is_multi_select],MATCH(VALUE(questions[[#This Row],[qno]]),VALUE(stable[qno]),0))</f>
        <v>0</v>
      </c>
      <c r="R1317" s="9" t="b" cm="1">
        <f t="array" ref="R1317">INDEX(stable[is_skip_logic],MATCH(VALUE(questions[[#This Row],[qno]]),VALUE(stable[qno]),0))</f>
        <v>0</v>
      </c>
      <c r="S1317" s="9" t="str">
        <f>_xlfn.TEXTJOIN(", ",TRUE,questions[[#This Row],[ans_opt_1]:[ans_opt_14]])</f>
        <v/>
      </c>
      <c r="AH1317" s="16" t="b">
        <f>INDEX(stable[q_standard],MATCH(questions[[#This Row],[qno]],stable[qno],0))</f>
        <v>0</v>
      </c>
      <c r="AI1317" s="16" t="b">
        <f>INDEX(stable[q_living_income],MATCH(questions[[#This Row],[qno]],stable[qno],0))</f>
        <v>1</v>
      </c>
      <c r="AJ1317" s="16" t="b">
        <f>INDEX(stable[q_carbon],MATCH(questions[[#This Row],[qno]],stable[qno],0))</f>
        <v>0</v>
      </c>
      <c r="AK1317" s="16" t="b">
        <f>INDEX(stable[q_regen_ag],MATCH(questions[[#This Row],[qno]],stable[qno],0))</f>
        <v>0</v>
      </c>
      <c r="AL1317" s="16" t="b">
        <f>COUNTIFS(stable[qno],questions[[#This Row],[qno]])=1</f>
        <v>1</v>
      </c>
      <c r="AM1317" s="16" t="b">
        <f>OR(questions[[#This Row],[is_fixed]],questions[[#This Row],[is_localized]],questions[[#This Row],[is_supply_chain_dependent]])</f>
        <v>1</v>
      </c>
      <c r="AN1317" s="16" t="b">
        <f>COUNTIFS(questions[[#This Row],[is_automated]:[is_multi_select]],TRUE)=1</f>
        <v>1</v>
      </c>
      <c r="AO1317" s="16" t="b">
        <f>IF(questions[[#This Row],[is_fixed]],questions[[#This Row],[question]]=INDEX(stable[question],MATCH(questions[[#This Row],[qno]],stable[qno],0)),TRUE)</f>
        <v>1</v>
      </c>
      <c r="AP1317" s="16" t="str">
        <f>LEFT(questions[[#This Row],[question]],similarity_range)</f>
        <v>What was the most co</v>
      </c>
      <c r="AQ1317" s="16" t="str">
        <f>LEFT(INDEX(stable[question],MATCH(questions[[#This Row],[qno]],stable[qno],0)),similarity_range)</f>
        <v>What was the most co</v>
      </c>
      <c r="AR1317" s="16" t="b">
        <f>questions[[#This Row],[question_first_characters]]=questions[[#This Row],[stability_first_characters]]</f>
        <v>1</v>
      </c>
      <c r="AS1317" s="16" t="b">
        <f>IF(OR(questions[[#This Row],[is_single_select]],questions[[#This Row],[is_multi_select]]),NOT(ISBLANK(questions[[#This Row],[answer_opt_combined]])),TRUE)</f>
        <v>1</v>
      </c>
    </row>
    <row r="1318" spans="1:45" ht="15.75" customHeight="1" x14ac:dyDescent="0.25">
      <c r="A1318" s="9" t="str">
        <f>_xlfn.TEXTJOIN("_",TRUE,questions[[#This Row],[origin]:[qno]])</f>
        <v>Rwanda_Arabica_Nestle_Illy_IMPACT_2025_4000</v>
      </c>
      <c r="B1318" s="9" t="s">
        <v>719</v>
      </c>
      <c r="C1318" s="9" t="s">
        <v>59</v>
      </c>
      <c r="D1318" s="9" t="s">
        <v>720</v>
      </c>
      <c r="E1318" s="33">
        <v>2025</v>
      </c>
      <c r="F1318" s="36" t="s">
        <v>143</v>
      </c>
      <c r="G1318" s="15" t="s">
        <v>733</v>
      </c>
      <c r="H1318" s="9" t="str" cm="1">
        <f t="array" ref="H1318">INDEX(stableR[question],MATCH(VALUE(questions[[#This Row],[qno]]),VALUE(stableR[qno]),0))</f>
        <v>About how many coffee trees do you have across all your coffee plots combined?</v>
      </c>
      <c r="I1318" s="9" t="b" cm="1">
        <f t="array" ref="I1318">INDEX(stable[is_fixed],MATCH(VALUE(questions[[#This Row],[qno]]),VALUE(stable[qno]),0))</f>
        <v>1</v>
      </c>
      <c r="J1318" s="9" t="b" cm="1">
        <f t="array" ref="J1318">INDEX(stable[is_localized],MATCH(VALUE(questions[[#This Row],[qno]]),VALUE(stable[qno]),0))</f>
        <v>0</v>
      </c>
      <c r="K1318" s="9" t="b" cm="1">
        <f t="array" ref="K1318">INDEX(stable[is_supply_chain_dependent],MATCH(VALUE(questions[[#This Row],[qno]]),VALUE(stable[qno]),0))</f>
        <v>0</v>
      </c>
      <c r="L1318" s="9" t="b" cm="1">
        <f t="array" ref="L1318">INDEX(stable[is_mandatory],MATCH(VALUE(questions[[#This Row],[qno]]),VALUE(stable[qno]),0))</f>
        <v>1</v>
      </c>
      <c r="M1318" s="9" t="b" cm="1">
        <f t="array" ref="M1318">INDEX(stable[is_automated],MATCH(VALUE(questions[[#This Row],[qno]]),VALUE(stable[qno]),0))</f>
        <v>0</v>
      </c>
      <c r="N1318" s="32" t="b" cm="1">
        <f t="array" ref="N1318">INDEX(stable[is_free_text],MATCH(VALUE(questions[[#This Row],[qno]]),VALUE(stable[qno]),0))</f>
        <v>0</v>
      </c>
      <c r="O1318" s="9" t="b" cm="1">
        <f t="array" ref="O1318">INDEX(stable[is_numerical],MATCH(VALUE(questions[[#This Row],[qno]]),VALUE(stable[qno]),0))</f>
        <v>1</v>
      </c>
      <c r="P1318" s="9" t="b" cm="1">
        <f t="array" ref="P1318">INDEX(stable[is_single_select],MATCH(VALUE(questions[[#This Row],[qno]]),VALUE(stable[qno]),0))</f>
        <v>0</v>
      </c>
      <c r="Q1318" s="9" t="b" cm="1">
        <f t="array" ref="Q1318">INDEX(stable[is_multi_select],MATCH(VALUE(questions[[#This Row],[qno]]),VALUE(stable[qno]),0))</f>
        <v>0</v>
      </c>
      <c r="R1318" s="9" t="b" cm="1">
        <f t="array" ref="R1318">INDEX(stable[is_skip_logic],MATCH(VALUE(questions[[#This Row],[qno]]),VALUE(stable[qno]),0))</f>
        <v>0</v>
      </c>
      <c r="S1318" s="9" t="str">
        <f>_xlfn.TEXTJOIN(", ",TRUE,questions[[#This Row],[ans_opt_1]:[ans_opt_14]])</f>
        <v/>
      </c>
      <c r="AH1318" s="16" t="b">
        <f>INDEX(stable[q_standard],MATCH(questions[[#This Row],[qno]],stable[qno],0))</f>
        <v>0</v>
      </c>
      <c r="AI1318" s="16" t="b">
        <f>INDEX(stable[q_living_income],MATCH(questions[[#This Row],[qno]],stable[qno],0))</f>
        <v>1</v>
      </c>
      <c r="AJ1318" s="16" t="b">
        <f>INDEX(stable[q_carbon],MATCH(questions[[#This Row],[qno]],stable[qno],0))</f>
        <v>1</v>
      </c>
      <c r="AK1318" s="16" t="b">
        <f>INDEX(stable[q_regen_ag],MATCH(questions[[#This Row],[qno]],stable[qno],0))</f>
        <v>1</v>
      </c>
      <c r="AL1318" s="16" t="b">
        <f>COUNTIFS(stable[qno],questions[[#This Row],[qno]])=1</f>
        <v>1</v>
      </c>
      <c r="AM1318" s="16" t="b">
        <f>OR(questions[[#This Row],[is_fixed]],questions[[#This Row],[is_localized]],questions[[#This Row],[is_supply_chain_dependent]])</f>
        <v>1</v>
      </c>
      <c r="AN1318" s="16" t="b">
        <f>COUNTIFS(questions[[#This Row],[is_automated]:[is_multi_select]],TRUE)=1</f>
        <v>1</v>
      </c>
      <c r="AO1318" s="16" t="b">
        <f>IF(questions[[#This Row],[is_fixed]],questions[[#This Row],[question]]=INDEX(stable[question],MATCH(questions[[#This Row],[qno]],stable[qno],0)),TRUE)</f>
        <v>0</v>
      </c>
      <c r="AP1318" s="16" t="str">
        <f>LEFT(questions[[#This Row],[question]],similarity_range)</f>
        <v>What was the total n</v>
      </c>
      <c r="AQ1318" s="16" t="str">
        <f>LEFT(INDEX(stable[question],MATCH(questions[[#This Row],[qno]],stable[qno],0)),similarity_range)</f>
        <v>Can you estimate how</v>
      </c>
      <c r="AR1318" s="16" t="b">
        <f>questions[[#This Row],[question_first_characters]]=questions[[#This Row],[stability_first_characters]]</f>
        <v>0</v>
      </c>
      <c r="AS1318" s="16" t="b">
        <f>IF(OR(questions[[#This Row],[is_single_select]],questions[[#This Row],[is_multi_select]]),NOT(ISBLANK(questions[[#This Row],[answer_opt_combined]])),TRUE)</f>
        <v>1</v>
      </c>
    </row>
    <row r="1319" spans="1:45" ht="15.75" customHeight="1" x14ac:dyDescent="0.25">
      <c r="A1319" s="9" t="str">
        <f>_xlfn.TEXTJOIN("_",TRUE,questions[[#This Row],[origin]:[qno]])</f>
        <v>Rwanda_Arabica_Nestle_Illy_IMPACT_2025_4100</v>
      </c>
      <c r="B1319" s="9" t="s">
        <v>719</v>
      </c>
      <c r="C1319" s="9" t="s">
        <v>59</v>
      </c>
      <c r="D1319" s="9" t="s">
        <v>720</v>
      </c>
      <c r="E1319" s="33">
        <v>2025</v>
      </c>
      <c r="F1319" s="36" t="s">
        <v>145</v>
      </c>
      <c r="G1319" s="15" t="s">
        <v>146</v>
      </c>
      <c r="H1319" s="9" t="str" cm="1">
        <f t="array" ref="H1319">INDEX(stableR[question],MATCH(VALUE(questions[[#This Row],[qno]]),VALUE(stableR[qno]),0))</f>
        <v>In total, how many plots with coffee do you have?</v>
      </c>
      <c r="I1319" s="9" t="b" cm="1">
        <f t="array" ref="I1319">INDEX(stable[is_fixed],MATCH(VALUE(questions[[#This Row],[qno]]),VALUE(stable[qno]),0))</f>
        <v>1</v>
      </c>
      <c r="J1319" s="9" t="b" cm="1">
        <f t="array" ref="J1319">INDEX(stable[is_localized],MATCH(VALUE(questions[[#This Row],[qno]]),VALUE(stable[qno]),0))</f>
        <v>0</v>
      </c>
      <c r="K1319" s="9" t="b" cm="1">
        <f t="array" ref="K1319">INDEX(stable[is_supply_chain_dependent],MATCH(VALUE(questions[[#This Row],[qno]]),VALUE(stable[qno]),0))</f>
        <v>0</v>
      </c>
      <c r="L1319" s="9" t="b" cm="1">
        <f t="array" ref="L1319">INDEX(stable[is_mandatory],MATCH(VALUE(questions[[#This Row],[qno]]),VALUE(stable[qno]),0))</f>
        <v>1</v>
      </c>
      <c r="M1319" s="9" t="b" cm="1">
        <f t="array" ref="M1319">INDEX(stable[is_automated],MATCH(VALUE(questions[[#This Row],[qno]]),VALUE(stable[qno]),0))</f>
        <v>0</v>
      </c>
      <c r="N1319" s="32" t="b" cm="1">
        <f t="array" ref="N1319">INDEX(stable[is_free_text],MATCH(VALUE(questions[[#This Row],[qno]]),VALUE(stable[qno]),0))</f>
        <v>0</v>
      </c>
      <c r="O1319" s="9" t="b" cm="1">
        <f t="array" ref="O1319">INDEX(stable[is_numerical],MATCH(VALUE(questions[[#This Row],[qno]]),VALUE(stable[qno]),0))</f>
        <v>1</v>
      </c>
      <c r="P1319" s="9" t="b" cm="1">
        <f t="array" ref="P1319">INDEX(stable[is_single_select],MATCH(VALUE(questions[[#This Row],[qno]]),VALUE(stable[qno]),0))</f>
        <v>0</v>
      </c>
      <c r="Q1319" s="9" t="b" cm="1">
        <f t="array" ref="Q1319">INDEX(stable[is_multi_select],MATCH(VALUE(questions[[#This Row],[qno]]),VALUE(stable[qno]),0))</f>
        <v>0</v>
      </c>
      <c r="R1319" s="9" t="b" cm="1">
        <f t="array" ref="R1319">INDEX(stable[is_skip_logic],MATCH(VALUE(questions[[#This Row],[qno]]),VALUE(stable[qno]),0))</f>
        <v>0</v>
      </c>
      <c r="S1319" s="9" t="str">
        <f>_xlfn.TEXTJOIN(", ",TRUE,questions[[#This Row],[ans_opt_1]:[ans_opt_14]])</f>
        <v/>
      </c>
      <c r="AH1319" s="16" t="b">
        <f>INDEX(stable[q_standard],MATCH(questions[[#This Row],[qno]],stable[qno],0))</f>
        <v>0</v>
      </c>
      <c r="AI1319" s="16" t="b">
        <f>INDEX(stable[q_living_income],MATCH(questions[[#This Row],[qno]],stable[qno],0))</f>
        <v>1</v>
      </c>
      <c r="AJ1319" s="16" t="b">
        <f>INDEX(stable[q_carbon],MATCH(questions[[#This Row],[qno]],stable[qno],0))</f>
        <v>1</v>
      </c>
      <c r="AK1319" s="16" t="b">
        <f>INDEX(stable[q_regen_ag],MATCH(questions[[#This Row],[qno]],stable[qno],0))</f>
        <v>1</v>
      </c>
      <c r="AL1319" s="16" t="b">
        <f>COUNTIFS(stable[qno],questions[[#This Row],[qno]])=1</f>
        <v>1</v>
      </c>
      <c r="AM1319" s="16" t="b">
        <f>OR(questions[[#This Row],[is_fixed]],questions[[#This Row],[is_localized]],questions[[#This Row],[is_supply_chain_dependent]])</f>
        <v>1</v>
      </c>
      <c r="AN1319" s="16" t="b">
        <f>COUNTIFS(questions[[#This Row],[is_automated]:[is_multi_select]],TRUE)=1</f>
        <v>1</v>
      </c>
      <c r="AO1319" s="16" t="b">
        <f>IF(questions[[#This Row],[is_fixed]],questions[[#This Row],[question]]=INDEX(stable[question],MATCH(questions[[#This Row],[qno]],stable[qno],0)),TRUE)</f>
        <v>1</v>
      </c>
      <c r="AP1319" s="16" t="str">
        <f>LEFT(questions[[#This Row],[question]],similarity_range)</f>
        <v>In total, how many p</v>
      </c>
      <c r="AQ1319" s="16" t="str">
        <f>LEFT(INDEX(stable[question],MATCH(questions[[#This Row],[qno]],stable[qno],0)),similarity_range)</f>
        <v>In total, how many p</v>
      </c>
      <c r="AR1319" s="16" t="b">
        <f>questions[[#This Row],[question_first_characters]]=questions[[#This Row],[stability_first_characters]]</f>
        <v>1</v>
      </c>
      <c r="AS1319" s="16" t="b">
        <f>IF(OR(questions[[#This Row],[is_single_select]],questions[[#This Row],[is_multi_select]]),NOT(ISBLANK(questions[[#This Row],[answer_opt_combined]])),TRUE)</f>
        <v>1</v>
      </c>
    </row>
    <row r="1320" spans="1:45" s="77" customFormat="1" ht="15.75" customHeight="1" x14ac:dyDescent="0.25">
      <c r="A1320" s="77" t="str">
        <f>_xlfn.TEXTJOIN("_",TRUE,questions[[#This Row],[origin]:[qno]])</f>
        <v>Rwanda_Arabica_Nestle_Illy_IMPACT_2025_4101</v>
      </c>
      <c r="B1320" s="77" t="s">
        <v>719</v>
      </c>
      <c r="C1320" s="77" t="s">
        <v>59</v>
      </c>
      <c r="D1320" s="77" t="s">
        <v>720</v>
      </c>
      <c r="E1320" s="77">
        <v>2025</v>
      </c>
      <c r="F1320" s="105" t="s">
        <v>147</v>
      </c>
      <c r="G1320" s="78" t="s">
        <v>734</v>
      </c>
      <c r="H1320" s="9" t="str" cm="1">
        <f t="array" ref="H1320">INDEX(stableR[question],MATCH(VALUE(questions[[#This Row],[qno]]),VALUE(stableR[qno]),0))</f>
        <v>Can we go to measure/polygon map (area audit) each of these plots?</v>
      </c>
      <c r="I1320" s="9" t="b" cm="1">
        <f t="array" ref="I1320">INDEX(stable[is_fixed],MATCH(VALUE(questions[[#This Row],[qno]]),VALUE(stable[qno]),0))</f>
        <v>1</v>
      </c>
      <c r="J1320" s="9" t="b" cm="1">
        <f t="array" ref="J1320">INDEX(stable[is_localized],MATCH(VALUE(questions[[#This Row],[qno]]),VALUE(stable[qno]),0))</f>
        <v>0</v>
      </c>
      <c r="K1320" s="9" t="b" cm="1">
        <f t="array" ref="K1320">INDEX(stable[is_supply_chain_dependent],MATCH(VALUE(questions[[#This Row],[qno]]),VALUE(stable[qno]),0))</f>
        <v>0</v>
      </c>
      <c r="L1320" s="9" t="b" cm="1">
        <f t="array" ref="L1320">INDEX(stable[is_mandatory],MATCH(VALUE(questions[[#This Row],[qno]]),VALUE(stable[qno]),0))</f>
        <v>1</v>
      </c>
      <c r="M1320" s="9" t="b" cm="1">
        <f t="array" ref="M1320">INDEX(stable[is_automated],MATCH(VALUE(questions[[#This Row],[qno]]),VALUE(stable[qno]),0))</f>
        <v>0</v>
      </c>
      <c r="N1320" s="32" t="b" cm="1">
        <f t="array" ref="N1320">INDEX(stable[is_free_text],MATCH(VALUE(questions[[#This Row],[qno]]),VALUE(stable[qno]),0))</f>
        <v>0</v>
      </c>
      <c r="O1320" s="9" t="b" cm="1">
        <f t="array" ref="O1320">INDEX(stable[is_numerical],MATCH(VALUE(questions[[#This Row],[qno]]),VALUE(stable[qno]),0))</f>
        <v>0</v>
      </c>
      <c r="P1320" s="77" t="b" cm="1">
        <f t="array" ref="P1320">INDEX(stable[is_single_select],MATCH(VALUE(questions[[#This Row],[qno]]),VALUE(stable[qno]),0))</f>
        <v>1</v>
      </c>
      <c r="Q1320" s="77" t="b" cm="1">
        <f t="array" ref="Q1320">INDEX(stable[is_multi_select],MATCH(VALUE(questions[[#This Row],[qno]]),VALUE(stable[qno]),0))</f>
        <v>0</v>
      </c>
      <c r="R1320" s="77" t="b" cm="1">
        <f t="array" ref="R1320">INDEX(stable[is_skip_logic],MATCH(VALUE(questions[[#This Row],[qno]]),VALUE(stable[qno]),0))</f>
        <v>1</v>
      </c>
      <c r="S1320" s="77" t="str">
        <f>_xlfn.TEXTJOIN(", ",TRUE,questions[[#This Row],[ans_opt_1]:[ans_opt_14]])</f>
        <v>Yes, No</v>
      </c>
      <c r="T1320" s="77" t="s">
        <v>149</v>
      </c>
      <c r="U1320" s="77" t="s">
        <v>119</v>
      </c>
      <c r="AH1320" s="98" t="b">
        <f>INDEX(stable[q_standard],MATCH(questions[[#This Row],[qno]],stable[qno],0))</f>
        <v>0</v>
      </c>
      <c r="AI1320" s="98" t="b">
        <f>INDEX(stable[q_living_income],MATCH(questions[[#This Row],[qno]],stable[qno],0))</f>
        <v>1</v>
      </c>
      <c r="AJ1320" s="98" t="b">
        <f>INDEX(stable[q_carbon],MATCH(questions[[#This Row],[qno]],stable[qno],0))</f>
        <v>1</v>
      </c>
      <c r="AK1320" s="98" t="b">
        <f>INDEX(stable[q_regen_ag],MATCH(questions[[#This Row],[qno]],stable[qno],0))</f>
        <v>1</v>
      </c>
      <c r="AL1320" s="98" t="b">
        <f>COUNTIFS(stable[qno],questions[[#This Row],[qno]])=1</f>
        <v>1</v>
      </c>
      <c r="AM1320" s="98" t="b">
        <f>OR(questions[[#This Row],[is_fixed]],questions[[#This Row],[is_localized]],questions[[#This Row],[is_supply_chain_dependent]])</f>
        <v>1</v>
      </c>
      <c r="AN1320" s="98" t="b">
        <f>COUNTIFS(questions[[#This Row],[is_automated]:[is_multi_select]],TRUE)=1</f>
        <v>1</v>
      </c>
      <c r="AO1320" s="98" t="b">
        <f>IF(questions[[#This Row],[is_fixed]],questions[[#This Row],[question]]=INDEX(stable[question],MATCH(questions[[#This Row],[qno]],stable[qno],0)),TRUE)</f>
        <v>0</v>
      </c>
      <c r="AP1320" s="98" t="str">
        <f>LEFT(questions[[#This Row],[question]],similarity_range)</f>
        <v>Can we go to measure</v>
      </c>
      <c r="AQ1320" s="98" t="str">
        <f>LEFT(INDEX(stable[question],MATCH(questions[[#This Row],[qno]],stable[qno],0)),similarity_range)</f>
        <v>Can we go to measure</v>
      </c>
      <c r="AR1320" s="98" t="b">
        <f>questions[[#This Row],[question_first_characters]]=questions[[#This Row],[stability_first_characters]]</f>
        <v>1</v>
      </c>
      <c r="AS1320" s="98" t="b">
        <f>IF(OR(questions[[#This Row],[is_single_select]],questions[[#This Row],[is_multi_select]]),NOT(ISBLANK(questions[[#This Row],[answer_opt_combined]])),TRUE)</f>
        <v>1</v>
      </c>
    </row>
    <row r="1321" spans="1:45" s="77" customFormat="1" ht="15.75" customHeight="1" x14ac:dyDescent="0.25">
      <c r="A1321" s="77" t="str">
        <f>_xlfn.TEXTJOIN("_",TRUE,questions[[#This Row],[origin]:[qno]])</f>
        <v>Rwanda_Arabica_Nestle_Illy_IMPACT_2025_4102</v>
      </c>
      <c r="B1321" s="77" t="s">
        <v>719</v>
      </c>
      <c r="C1321" s="77" t="s">
        <v>59</v>
      </c>
      <c r="D1321" s="77" t="s">
        <v>720</v>
      </c>
      <c r="E1321" s="77">
        <v>2025</v>
      </c>
      <c r="F1321" s="105" t="s">
        <v>150</v>
      </c>
      <c r="G1321" s="78" t="s">
        <v>151</v>
      </c>
      <c r="H1321" s="9" t="str" cm="1">
        <f t="array" ref="H1321">INDEX(stableR[question],MATCH(VALUE(questions[[#This Row],[qno]]),VALUE(stableR[qno]),0))</f>
        <v>If No, what is the reason why we cannot visit this/these plot (s) to measure/polygon map it/them?</v>
      </c>
      <c r="I1321" s="9" t="b" cm="1">
        <f t="array" ref="I1321">INDEX(stable[is_fixed],MATCH(VALUE(questions[[#This Row],[qno]]),VALUE(stable[qno]),0))</f>
        <v>1</v>
      </c>
      <c r="J1321" s="9" t="b" cm="1">
        <f t="array" ref="J1321">INDEX(stable[is_localized],MATCH(VALUE(questions[[#This Row],[qno]]),VALUE(stable[qno]),0))</f>
        <v>0</v>
      </c>
      <c r="K1321" s="9" t="b" cm="1">
        <f t="array" ref="K1321">INDEX(stable[is_supply_chain_dependent],MATCH(VALUE(questions[[#This Row],[qno]]),VALUE(stable[qno]),0))</f>
        <v>0</v>
      </c>
      <c r="L1321" s="9" t="b" cm="1">
        <f t="array" ref="L1321">INDEX(stable[is_mandatory],MATCH(VALUE(questions[[#This Row],[qno]]),VALUE(stable[qno]),0))</f>
        <v>0</v>
      </c>
      <c r="M1321" s="9" t="b" cm="1">
        <f t="array" ref="M1321">INDEX(stable[is_automated],MATCH(VALUE(questions[[#This Row],[qno]]),VALUE(stable[qno]),0))</f>
        <v>0</v>
      </c>
      <c r="N1321" s="32" t="b" cm="1">
        <f t="array" ref="N1321">INDEX(stable[is_free_text],MATCH(VALUE(questions[[#This Row],[qno]]),VALUE(stable[qno]),0))</f>
        <v>0</v>
      </c>
      <c r="O1321" s="9" t="b" cm="1">
        <f t="array" ref="O1321">INDEX(stable[is_numerical],MATCH(VALUE(questions[[#This Row],[qno]]),VALUE(stable[qno]),0))</f>
        <v>0</v>
      </c>
      <c r="P1321" s="77" t="b" cm="1">
        <f t="array" ref="P1321">INDEX(stable[is_single_select],MATCH(VALUE(questions[[#This Row],[qno]]),VALUE(stable[qno]),0))</f>
        <v>1</v>
      </c>
      <c r="Q1321" s="77" t="b" cm="1">
        <f t="array" ref="Q1321">INDEX(stable[is_multi_select],MATCH(VALUE(questions[[#This Row],[qno]]),VALUE(stable[qno]),0))</f>
        <v>0</v>
      </c>
      <c r="R1321" s="77" t="b" cm="1">
        <f t="array" ref="R1321">INDEX(stable[is_skip_logic],MATCH(VALUE(questions[[#This Row],[qno]]),VALUE(stable[qno]),0))</f>
        <v>1</v>
      </c>
      <c r="S1321" s="77" t="str">
        <f>_xlfn.TEXTJOIN(", ",TRUE,questions[[#This Row],[ans_opt_1]:[ans_opt_14]])</f>
        <v>Too far, Farmer not willing, Other reason, NA</v>
      </c>
      <c r="T1321" s="100" t="s">
        <v>152</v>
      </c>
      <c r="U1321" s="100" t="s">
        <v>153</v>
      </c>
      <c r="V1321" s="112" t="s">
        <v>154</v>
      </c>
      <c r="W1321" s="100" t="s">
        <v>251</v>
      </c>
      <c r="AH1321" s="98" t="b">
        <f>INDEX(stable[q_standard],MATCH(questions[[#This Row],[qno]],stable[qno],0))</f>
        <v>0</v>
      </c>
      <c r="AI1321" s="98" t="b">
        <f>INDEX(stable[q_living_income],MATCH(questions[[#This Row],[qno]],stable[qno],0))</f>
        <v>1</v>
      </c>
      <c r="AJ1321" s="98" t="b">
        <f>INDEX(stable[q_carbon],MATCH(questions[[#This Row],[qno]],stable[qno],0))</f>
        <v>1</v>
      </c>
      <c r="AK1321" s="98" t="b">
        <f>INDEX(stable[q_regen_ag],MATCH(questions[[#This Row],[qno]],stable[qno],0))</f>
        <v>1</v>
      </c>
      <c r="AL1321" s="98" t="b">
        <f>COUNTIFS(stable[qno],questions[[#This Row],[qno]])=1</f>
        <v>1</v>
      </c>
      <c r="AM1321" s="98" t="b">
        <f>OR(questions[[#This Row],[is_fixed]],questions[[#This Row],[is_localized]],questions[[#This Row],[is_supply_chain_dependent]])</f>
        <v>1</v>
      </c>
      <c r="AN1321" s="98" t="b">
        <f>COUNTIFS(questions[[#This Row],[is_automated]:[is_multi_select]],TRUE)=1</f>
        <v>1</v>
      </c>
      <c r="AO1321" s="98" t="b">
        <f>IF(questions[[#This Row],[is_fixed]],questions[[#This Row],[question]]=INDEX(stable[question],MATCH(questions[[#This Row],[qno]],stable[qno],0)),TRUE)</f>
        <v>1</v>
      </c>
      <c r="AP1321" s="98" t="str">
        <f>LEFT(questions[[#This Row],[question]],similarity_range)</f>
        <v>If no, what is the r</v>
      </c>
      <c r="AQ1321" s="98" t="str">
        <f>LEFT(INDEX(stable[question],MATCH(questions[[#This Row],[qno]],stable[qno],0)),similarity_range)</f>
        <v>If no, what is the r</v>
      </c>
      <c r="AR1321" s="98" t="b">
        <f>questions[[#This Row],[question_first_characters]]=questions[[#This Row],[stability_first_characters]]</f>
        <v>1</v>
      </c>
      <c r="AS1321" s="98" t="b">
        <f>IF(OR(questions[[#This Row],[is_single_select]],questions[[#This Row],[is_multi_select]]),NOT(ISBLANK(questions[[#This Row],[answer_opt_combined]])),TRUE)</f>
        <v>1</v>
      </c>
    </row>
    <row r="1322" spans="1:45" ht="15.75" customHeight="1" x14ac:dyDescent="0.25">
      <c r="A1322" s="9" t="str">
        <f>_xlfn.TEXTJOIN("_",TRUE,questions[[#This Row],[origin]:[qno]])</f>
        <v>Rwanda_Arabica_Nestle_Illy_IMPACT_2025_4103</v>
      </c>
      <c r="B1322" s="9" t="s">
        <v>719</v>
      </c>
      <c r="C1322" s="9" t="s">
        <v>59</v>
      </c>
      <c r="D1322" s="9" t="s">
        <v>720</v>
      </c>
      <c r="E1322" s="33">
        <v>2025</v>
      </c>
      <c r="F1322" s="36" t="s">
        <v>155</v>
      </c>
      <c r="G1322" s="15" t="str">
        <f>INDEX(stable[question],MATCH(questions[[#This Row],[qno]],stable[qno],0))</f>
        <v>How many coffee plots are there that we can not visit, of the total coffee plots that you have?</v>
      </c>
      <c r="H1322" s="9" t="str" cm="1">
        <f t="array" ref="H1322">INDEX(stableR[question],MATCH(VALUE(questions[[#This Row],[qno]]),VALUE(stableR[qno]),0))</f>
        <v>Of your total coffee plots, how many cannot be visited during the survey?</v>
      </c>
      <c r="I1322" s="9" t="b" cm="1">
        <f t="array" ref="I1322">INDEX(stable[is_fixed],MATCH(VALUE(questions[[#This Row],[qno]]),VALUE(stable[qno]),0))</f>
        <v>1</v>
      </c>
      <c r="J1322" s="9" t="b" cm="1">
        <f t="array" ref="J1322">INDEX(stable[is_localized],MATCH(VALUE(questions[[#This Row],[qno]]),VALUE(stable[qno]),0))</f>
        <v>0</v>
      </c>
      <c r="K1322" s="9" t="b" cm="1">
        <f t="array" ref="K1322">INDEX(stable[is_supply_chain_dependent],MATCH(VALUE(questions[[#This Row],[qno]]),VALUE(stable[qno]),0))</f>
        <v>0</v>
      </c>
      <c r="L1322" s="9" t="b" cm="1">
        <f t="array" ref="L1322">INDEX(stable[is_mandatory],MATCH(VALUE(questions[[#This Row],[qno]]),VALUE(stable[qno]),0))</f>
        <v>0</v>
      </c>
      <c r="M1322" s="9" t="b" cm="1">
        <f t="array" ref="M1322">INDEX(stable[is_automated],MATCH(VALUE(questions[[#This Row],[qno]]),VALUE(stable[qno]),0))</f>
        <v>0</v>
      </c>
      <c r="N1322" s="32" t="b" cm="1">
        <f t="array" ref="N1322">INDEX(stable[is_free_text],MATCH(VALUE(questions[[#This Row],[qno]]),VALUE(stable[qno]),0))</f>
        <v>0</v>
      </c>
      <c r="O1322" s="9" t="b" cm="1">
        <f t="array" ref="O1322">INDEX(stable[is_numerical],MATCH(VALUE(questions[[#This Row],[qno]]),VALUE(stable[qno]),0))</f>
        <v>1</v>
      </c>
      <c r="P1322" s="9" t="b" cm="1">
        <f t="array" ref="P1322">INDEX(stable[is_single_select],MATCH(VALUE(questions[[#This Row],[qno]]),VALUE(stable[qno]),0))</f>
        <v>0</v>
      </c>
      <c r="Q1322" s="9" t="b" cm="1">
        <f t="array" ref="Q1322">INDEX(stable[is_multi_select],MATCH(VALUE(questions[[#This Row],[qno]]),VALUE(stable[qno]),0))</f>
        <v>0</v>
      </c>
      <c r="R1322" s="9" t="b" cm="1">
        <f t="array" ref="R1322">INDEX(stable[is_skip_logic],MATCH(VALUE(questions[[#This Row],[qno]]),VALUE(stable[qno]),0))</f>
        <v>0</v>
      </c>
      <c r="S1322" s="9" t="str">
        <f>_xlfn.TEXTJOIN(", ",TRUE,questions[[#This Row],[ans_opt_1]:[ans_opt_14]])</f>
        <v/>
      </c>
      <c r="AH1322" s="16" t="b">
        <f>INDEX(stable[q_standard],MATCH(questions[[#This Row],[qno]],stable[qno],0))</f>
        <v>0</v>
      </c>
      <c r="AI1322" s="16" t="b">
        <f>INDEX(stable[q_living_income],MATCH(questions[[#This Row],[qno]],stable[qno],0))</f>
        <v>1</v>
      </c>
      <c r="AJ1322" s="16" t="b">
        <f>INDEX(stable[q_carbon],MATCH(questions[[#This Row],[qno]],stable[qno],0))</f>
        <v>1</v>
      </c>
      <c r="AK1322" s="16" t="b">
        <f>INDEX(stable[q_regen_ag],MATCH(questions[[#This Row],[qno]],stable[qno],0))</f>
        <v>1</v>
      </c>
      <c r="AL1322" s="16" t="b">
        <f>COUNTIFS(stable[qno],questions[[#This Row],[qno]])=1</f>
        <v>1</v>
      </c>
      <c r="AM1322" s="16" t="b">
        <f>OR(questions[[#This Row],[is_fixed]],questions[[#This Row],[is_localized]],questions[[#This Row],[is_supply_chain_dependent]])</f>
        <v>1</v>
      </c>
      <c r="AN1322" s="16" t="b">
        <f>COUNTIFS(questions[[#This Row],[is_automated]:[is_multi_select]],TRUE)=1</f>
        <v>1</v>
      </c>
      <c r="AO1322" s="16" t="b">
        <f>IF(questions[[#This Row],[is_fixed]],questions[[#This Row],[question]]=INDEX(stable[question],MATCH(questions[[#This Row],[qno]],stable[qno],0)),TRUE)</f>
        <v>1</v>
      </c>
      <c r="AP1322" s="16" t="str">
        <f>LEFT(questions[[#This Row],[question]],similarity_range)</f>
        <v>How many coffee plot</v>
      </c>
      <c r="AQ1322" s="16" t="str">
        <f>LEFT(INDEX(stable[question],MATCH(questions[[#This Row],[qno]],stable[qno],0)),similarity_range)</f>
        <v>How many coffee plot</v>
      </c>
      <c r="AR1322" s="16" t="b">
        <f>questions[[#This Row],[question_first_characters]]=questions[[#This Row],[stability_first_characters]]</f>
        <v>1</v>
      </c>
      <c r="AS1322" s="16" t="b">
        <f>IF(OR(questions[[#This Row],[is_single_select]],questions[[#This Row],[is_multi_select]]),NOT(ISBLANK(questions[[#This Row],[answer_opt_combined]])),TRUE)</f>
        <v>1</v>
      </c>
    </row>
    <row r="1323" spans="1:45" ht="15.75" customHeight="1" x14ac:dyDescent="0.25">
      <c r="A1323" s="9" t="str">
        <f>_xlfn.TEXTJOIN("_",TRUE,questions[[#This Row],[origin]:[qno]])</f>
        <v>Rwanda_Arabica_Nestle_Illy_IMPACT_2025_4104</v>
      </c>
      <c r="B1323" s="9" t="s">
        <v>719</v>
      </c>
      <c r="C1323" s="9" t="s">
        <v>59</v>
      </c>
      <c r="D1323" s="9" t="s">
        <v>720</v>
      </c>
      <c r="E1323" s="33">
        <v>2025</v>
      </c>
      <c r="F1323" s="36" t="s">
        <v>157</v>
      </c>
      <c r="G1323" s="15" t="s">
        <v>738</v>
      </c>
      <c r="H1323" s="9" t="str" cm="1">
        <f t="array" ref="H1323">INDEX(stableR[question],MATCH(VALUE(questions[[#This Row],[qno]]),VALUE(stableR[qno]),0))</f>
        <v>Of the coffee plots that cannot be visited, what is the total area of these plots? (in acres)</v>
      </c>
      <c r="I1323" s="9" t="b" cm="1">
        <f t="array" ref="I1323">INDEX(stable[is_fixed],MATCH(VALUE(questions[[#This Row],[qno]]),VALUE(stable[qno]),0))</f>
        <v>1</v>
      </c>
      <c r="J1323" s="9" t="b" cm="1">
        <f t="array" ref="J1323">INDEX(stable[is_localized],MATCH(VALUE(questions[[#This Row],[qno]]),VALUE(stable[qno]),0))</f>
        <v>0</v>
      </c>
      <c r="K1323" s="9" t="b" cm="1">
        <f t="array" ref="K1323">INDEX(stable[is_supply_chain_dependent],MATCH(VALUE(questions[[#This Row],[qno]]),VALUE(stable[qno]),0))</f>
        <v>0</v>
      </c>
      <c r="L1323" s="9" t="b" cm="1">
        <f t="array" ref="L1323">INDEX(stable[is_mandatory],MATCH(VALUE(questions[[#This Row],[qno]]),VALUE(stable[qno]),0))</f>
        <v>0</v>
      </c>
      <c r="M1323" s="9" t="b" cm="1">
        <f t="array" ref="M1323">INDEX(stable[is_automated],MATCH(VALUE(questions[[#This Row],[qno]]),VALUE(stable[qno]),0))</f>
        <v>0</v>
      </c>
      <c r="N1323" s="32" t="b" cm="1">
        <f t="array" ref="N1323">INDEX(stable[is_free_text],MATCH(VALUE(questions[[#This Row],[qno]]),VALUE(stable[qno]),0))</f>
        <v>0</v>
      </c>
      <c r="O1323" s="9" t="b" cm="1">
        <f t="array" ref="O1323">INDEX(stable[is_numerical],MATCH(VALUE(questions[[#This Row],[qno]]),VALUE(stable[qno]),0))</f>
        <v>1</v>
      </c>
      <c r="P1323" s="9" t="b" cm="1">
        <f t="array" ref="P1323">INDEX(stable[is_single_select],MATCH(VALUE(questions[[#This Row],[qno]]),VALUE(stable[qno]),0))</f>
        <v>0</v>
      </c>
      <c r="Q1323" s="9" t="b" cm="1">
        <f t="array" ref="Q1323">INDEX(stable[is_multi_select],MATCH(VALUE(questions[[#This Row],[qno]]),VALUE(stable[qno]),0))</f>
        <v>0</v>
      </c>
      <c r="R1323" s="9" t="b" cm="1">
        <f t="array" ref="R1323">INDEX(stable[is_skip_logic],MATCH(VALUE(questions[[#This Row],[qno]]),VALUE(stable[qno]),0))</f>
        <v>0</v>
      </c>
      <c r="S1323" s="9" t="str">
        <f>_xlfn.TEXTJOIN(", ",TRUE,questions[[#This Row],[ans_opt_1]:[ans_opt_14]])</f>
        <v/>
      </c>
      <c r="AH1323" s="16" t="b">
        <f>INDEX(stable[q_standard],MATCH(questions[[#This Row],[qno]],stable[qno],0))</f>
        <v>0</v>
      </c>
      <c r="AI1323" s="16" t="b">
        <f>INDEX(stable[q_living_income],MATCH(questions[[#This Row],[qno]],stable[qno],0))</f>
        <v>1</v>
      </c>
      <c r="AJ1323" s="16" t="b">
        <f>INDEX(stable[q_carbon],MATCH(questions[[#This Row],[qno]],stable[qno],0))</f>
        <v>1</v>
      </c>
      <c r="AK1323" s="16" t="b">
        <f>INDEX(stable[q_regen_ag],MATCH(questions[[#This Row],[qno]],stable[qno],0))</f>
        <v>1</v>
      </c>
      <c r="AL1323" s="16" t="b">
        <f>COUNTIFS(stable[qno],questions[[#This Row],[qno]])=1</f>
        <v>1</v>
      </c>
      <c r="AM1323" s="16" t="b">
        <f>OR(questions[[#This Row],[is_fixed]],questions[[#This Row],[is_localized]],questions[[#This Row],[is_supply_chain_dependent]])</f>
        <v>1</v>
      </c>
      <c r="AN1323" s="16" t="b">
        <f>COUNTIFS(questions[[#This Row],[is_automated]:[is_multi_select]],TRUE)=1</f>
        <v>1</v>
      </c>
      <c r="AO1323" s="16" t="b">
        <f>IF(questions[[#This Row],[is_fixed]],questions[[#This Row],[question]]=INDEX(stable[question],MATCH(questions[[#This Row],[qno]],stable[qno],0)),TRUE)</f>
        <v>0</v>
      </c>
      <c r="AP1323" s="16" t="str">
        <f>LEFT(questions[[#This Row],[question]],similarity_range)</f>
        <v>What is the total ar</v>
      </c>
      <c r="AQ1323" s="16" t="str">
        <f>LEFT(INDEX(stable[question],MATCH(questions[[#This Row],[qno]],stable[qno],0)),similarity_range)</f>
        <v>What is the total ar</v>
      </c>
      <c r="AR1323" s="16" t="b">
        <f>questions[[#This Row],[question_first_characters]]=questions[[#This Row],[stability_first_characters]]</f>
        <v>1</v>
      </c>
      <c r="AS1323" s="16" t="b">
        <f>IF(OR(questions[[#This Row],[is_single_select]],questions[[#This Row],[is_multi_select]]),NOT(ISBLANK(questions[[#This Row],[answer_opt_combined]])),TRUE)</f>
        <v>1</v>
      </c>
    </row>
    <row r="1324" spans="1:45" s="77" customFormat="1" ht="15.75" customHeight="1" x14ac:dyDescent="0.25">
      <c r="A1324" s="77" t="str">
        <f>_xlfn.TEXTJOIN("_",TRUE,questions[[#This Row],[origin]:[qno]])</f>
        <v>Rwanda_Arabica_Nestle_Illy_IMPACT_2025_5000</v>
      </c>
      <c r="B1324" s="77" t="s">
        <v>719</v>
      </c>
      <c r="C1324" s="77" t="s">
        <v>59</v>
      </c>
      <c r="D1324" s="77" t="s">
        <v>720</v>
      </c>
      <c r="E1324" s="77">
        <v>2025</v>
      </c>
      <c r="F1324" s="105" t="s">
        <v>159</v>
      </c>
      <c r="G1324" s="78" t="s">
        <v>739</v>
      </c>
      <c r="H1324" s="9" t="str" cm="1">
        <f t="array" ref="H1324">INDEX(stableR[question],MATCH(VALUE(questions[[#This Row],[qno]]),VALUE(stableR[qno]),0))</f>
        <v>Did you use synthetic fertilizers for your coffee last year?</v>
      </c>
      <c r="I1324" s="9" t="b" cm="1">
        <f t="array" ref="I1324">INDEX(stable[is_fixed],MATCH(VALUE(questions[[#This Row],[qno]]),VALUE(stable[qno]),0))</f>
        <v>1</v>
      </c>
      <c r="J1324" s="9" t="b" cm="1">
        <f t="array" ref="J1324">INDEX(stable[is_localized],MATCH(VALUE(questions[[#This Row],[qno]]),VALUE(stable[qno]),0))</f>
        <v>0</v>
      </c>
      <c r="K1324" s="9" t="b" cm="1">
        <f t="array" ref="K1324">INDEX(stable[is_supply_chain_dependent],MATCH(VALUE(questions[[#This Row],[qno]]),VALUE(stable[qno]),0))</f>
        <v>0</v>
      </c>
      <c r="L1324" s="9" t="b" cm="1">
        <f t="array" ref="L1324">INDEX(stable[is_mandatory],MATCH(VALUE(questions[[#This Row],[qno]]),VALUE(stable[qno]),0))</f>
        <v>1</v>
      </c>
      <c r="M1324" s="9" t="b" cm="1">
        <f t="array" ref="M1324">INDEX(stable[is_automated],MATCH(VALUE(questions[[#This Row],[qno]]),VALUE(stable[qno]),0))</f>
        <v>0</v>
      </c>
      <c r="N1324" s="32" t="b" cm="1">
        <f t="array" ref="N1324">INDEX(stable[is_free_text],MATCH(VALUE(questions[[#This Row],[qno]]),VALUE(stable[qno]),0))</f>
        <v>0</v>
      </c>
      <c r="O1324" s="9" t="b" cm="1">
        <f t="array" ref="O1324">INDEX(stable[is_numerical],MATCH(VALUE(questions[[#This Row],[qno]]),VALUE(stable[qno]),0))</f>
        <v>0</v>
      </c>
      <c r="P1324" s="77" t="b" cm="1">
        <f t="array" ref="P1324">INDEX(stable[is_single_select],MATCH(VALUE(questions[[#This Row],[qno]]),VALUE(stable[qno]),0))</f>
        <v>1</v>
      </c>
      <c r="Q1324" s="77" t="b" cm="1">
        <f t="array" ref="Q1324">INDEX(stable[is_multi_select],MATCH(VALUE(questions[[#This Row],[qno]]),VALUE(stable[qno]),0))</f>
        <v>0</v>
      </c>
      <c r="R1324" s="77" t="b" cm="1">
        <f t="array" ref="R1324">INDEX(stable[is_skip_logic],MATCH(VALUE(questions[[#This Row],[qno]]),VALUE(stable[qno]),0))</f>
        <v>1</v>
      </c>
      <c r="S1324" s="77" t="str">
        <f>_xlfn.TEXTJOIN(", ",TRUE,questions[[#This Row],[ans_opt_1]:[ans_opt_14]])</f>
        <v>Yes, No</v>
      </c>
      <c r="T1324" s="77" t="s">
        <v>149</v>
      </c>
      <c r="U1324" s="77" t="s">
        <v>119</v>
      </c>
      <c r="AH1324" s="98" t="b">
        <f>INDEX(stable[q_standard],MATCH(questions[[#This Row],[qno]],stable[qno],0))</f>
        <v>0</v>
      </c>
      <c r="AI1324" s="98" t="b">
        <f>INDEX(stable[q_living_income],MATCH(questions[[#This Row],[qno]],stable[qno],0))</f>
        <v>1</v>
      </c>
      <c r="AJ1324" s="98" t="b">
        <f>INDEX(stable[q_carbon],MATCH(questions[[#This Row],[qno]],stable[qno],0))</f>
        <v>1</v>
      </c>
      <c r="AK1324" s="98" t="b">
        <f>INDEX(stable[q_regen_ag],MATCH(questions[[#This Row],[qno]],stable[qno],0))</f>
        <v>0</v>
      </c>
      <c r="AL1324" s="98" t="b">
        <f>COUNTIFS(stable[qno],questions[[#This Row],[qno]])=1</f>
        <v>1</v>
      </c>
      <c r="AM1324" s="98" t="b">
        <f>OR(questions[[#This Row],[is_fixed]],questions[[#This Row],[is_localized]],questions[[#This Row],[is_supply_chain_dependent]])</f>
        <v>1</v>
      </c>
      <c r="AN1324" s="98" t="b">
        <f>COUNTIFS(questions[[#This Row],[is_automated]:[is_multi_select]],TRUE)=1</f>
        <v>1</v>
      </c>
      <c r="AO1324" s="98" t="b">
        <f>IF(questions[[#This Row],[is_fixed]],questions[[#This Row],[question]]=INDEX(stable[question],MATCH(questions[[#This Row],[qno]],stable[qno],0)),TRUE)</f>
        <v>1</v>
      </c>
      <c r="AP1324" s="98" t="str">
        <f>LEFT(questions[[#This Row],[question]],similarity_range)</f>
        <v>Did you use syntheti</v>
      </c>
      <c r="AQ1324" s="98" t="str">
        <f>LEFT(INDEX(stable[question],MATCH(questions[[#This Row],[qno]],stable[qno],0)),similarity_range)</f>
        <v>Did you use syntheti</v>
      </c>
      <c r="AR1324" s="98" t="b">
        <f>questions[[#This Row],[question_first_characters]]=questions[[#This Row],[stability_first_characters]]</f>
        <v>1</v>
      </c>
      <c r="AS1324" s="98" t="b">
        <f>IF(OR(questions[[#This Row],[is_single_select]],questions[[#This Row],[is_multi_select]]),NOT(ISBLANK(questions[[#This Row],[answer_opt_combined]])),TRUE)</f>
        <v>1</v>
      </c>
    </row>
    <row r="1325" spans="1:45" ht="15.75" customHeight="1" x14ac:dyDescent="0.25">
      <c r="A1325" s="9" t="str">
        <f>_xlfn.TEXTJOIN("_",TRUE,questions[[#This Row],[origin]:[qno]])</f>
        <v>Rwanda_Arabica_Nestle_Illy_IMPACT_2025_5001</v>
      </c>
      <c r="B1325" s="9" t="s">
        <v>719</v>
      </c>
      <c r="C1325" s="9" t="s">
        <v>59</v>
      </c>
      <c r="D1325" s="9" t="s">
        <v>720</v>
      </c>
      <c r="E1325" s="33">
        <v>2025</v>
      </c>
      <c r="F1325" s="36" t="s">
        <v>161</v>
      </c>
      <c r="G1325" s="15" t="s">
        <v>162</v>
      </c>
      <c r="H1325" s="9" t="str" cm="1">
        <f t="array" ref="H1325">INDEX(stableR[question],MATCH(VALUE(questions[[#This Row],[qno]]),VALUE(stableR[qno]),0))</f>
        <v>If yes, how many types of synthetic fertilizer did you use last year?</v>
      </c>
      <c r="I1325" s="9" t="b" cm="1">
        <f t="array" ref="I1325">INDEX(stable[is_fixed],MATCH(VALUE(questions[[#This Row],[qno]]),VALUE(stable[qno]),0))</f>
        <v>1</v>
      </c>
      <c r="J1325" s="9" t="b" cm="1">
        <f t="array" ref="J1325">INDEX(stable[is_localized],MATCH(VALUE(questions[[#This Row],[qno]]),VALUE(stable[qno]),0))</f>
        <v>0</v>
      </c>
      <c r="K1325" s="9" t="b" cm="1">
        <f t="array" ref="K1325">INDEX(stable[is_supply_chain_dependent],MATCH(VALUE(questions[[#This Row],[qno]]),VALUE(stable[qno]),0))</f>
        <v>0</v>
      </c>
      <c r="L1325" s="9" t="b" cm="1">
        <f t="array" ref="L1325">INDEX(stable[is_mandatory],MATCH(VALUE(questions[[#This Row],[qno]]),VALUE(stable[qno]),0))</f>
        <v>0</v>
      </c>
      <c r="M1325" s="9" t="b" cm="1">
        <f t="array" ref="M1325">INDEX(stable[is_automated],MATCH(VALUE(questions[[#This Row],[qno]]),VALUE(stable[qno]),0))</f>
        <v>0</v>
      </c>
      <c r="N1325" s="32" t="b" cm="1">
        <f t="array" ref="N1325">INDEX(stable[is_free_text],MATCH(VALUE(questions[[#This Row],[qno]]),VALUE(stable[qno]),0))</f>
        <v>0</v>
      </c>
      <c r="O1325" s="9" t="b" cm="1">
        <f t="array" ref="O1325">INDEX(stable[is_numerical],MATCH(VALUE(questions[[#This Row],[qno]]),VALUE(stable[qno]),0))</f>
        <v>1</v>
      </c>
      <c r="P1325" s="9" t="b" cm="1">
        <f t="array" ref="P1325">INDEX(stable[is_single_select],MATCH(VALUE(questions[[#This Row],[qno]]),VALUE(stable[qno]),0))</f>
        <v>0</v>
      </c>
      <c r="Q1325" s="9" t="b" cm="1">
        <f t="array" ref="Q1325">INDEX(stable[is_multi_select],MATCH(VALUE(questions[[#This Row],[qno]]),VALUE(stable[qno]),0))</f>
        <v>0</v>
      </c>
      <c r="R1325" s="9" t="b" cm="1">
        <f t="array" ref="R1325">INDEX(stable[is_skip_logic],MATCH(VALUE(questions[[#This Row],[qno]]),VALUE(stable[qno]),0))</f>
        <v>1</v>
      </c>
      <c r="S1325" s="9" t="str">
        <f>_xlfn.TEXTJOIN(", ",TRUE,questions[[#This Row],[ans_opt_1]:[ans_opt_14]])</f>
        <v/>
      </c>
      <c r="AH1325" s="16" t="b">
        <f>INDEX(stable[q_standard],MATCH(questions[[#This Row],[qno]],stable[qno],0))</f>
        <v>0</v>
      </c>
      <c r="AI1325" s="16" t="b">
        <f>INDEX(stable[q_living_income],MATCH(questions[[#This Row],[qno]],stable[qno],0))</f>
        <v>1</v>
      </c>
      <c r="AJ1325" s="16" t="b">
        <f>INDEX(stable[q_carbon],MATCH(questions[[#This Row],[qno]],stable[qno],0))</f>
        <v>1</v>
      </c>
      <c r="AK1325" s="16" t="b">
        <f>INDEX(stable[q_regen_ag],MATCH(questions[[#This Row],[qno]],stable[qno],0))</f>
        <v>0</v>
      </c>
      <c r="AL1325" s="16" t="b">
        <f>COUNTIFS(stable[qno],questions[[#This Row],[qno]])=1</f>
        <v>1</v>
      </c>
      <c r="AM1325" s="16" t="b">
        <f>OR(questions[[#This Row],[is_fixed]],questions[[#This Row],[is_localized]],questions[[#This Row],[is_supply_chain_dependent]])</f>
        <v>1</v>
      </c>
      <c r="AN1325" s="16" t="b">
        <f>COUNTIFS(questions[[#This Row],[is_automated]:[is_multi_select]],TRUE)=1</f>
        <v>1</v>
      </c>
      <c r="AO1325" s="16" t="b">
        <f>IF(questions[[#This Row],[is_fixed]],questions[[#This Row],[question]]=INDEX(stable[question],MATCH(questions[[#This Row],[qno]],stable[qno],0)),TRUE)</f>
        <v>1</v>
      </c>
      <c r="AP1325" s="16" t="str">
        <f>LEFT(questions[[#This Row],[question]],similarity_range)</f>
        <v>If yes, how many typ</v>
      </c>
      <c r="AQ1325" s="16" t="str">
        <f>LEFT(INDEX(stable[question],MATCH(questions[[#This Row],[qno]],stable[qno],0)),similarity_range)</f>
        <v>If yes, how many typ</v>
      </c>
      <c r="AR1325" s="16" t="b">
        <f>questions[[#This Row],[question_first_characters]]=questions[[#This Row],[stability_first_characters]]</f>
        <v>1</v>
      </c>
      <c r="AS1325" s="16" t="b">
        <f>IF(OR(questions[[#This Row],[is_single_select]],questions[[#This Row],[is_multi_select]]),NOT(ISBLANK(questions[[#This Row],[answer_opt_combined]])),TRUE)</f>
        <v>1</v>
      </c>
    </row>
    <row r="1326" spans="1:45" ht="15.75" customHeight="1" x14ac:dyDescent="0.25">
      <c r="A1326" s="9" t="str">
        <f>_xlfn.TEXTJOIN("_",TRUE,questions[[#This Row],[origin]:[qno]])</f>
        <v>Rwanda_Arabica_Nestle_Illy_IMPACT_2025_5100</v>
      </c>
      <c r="B1326" s="9" t="s">
        <v>719</v>
      </c>
      <c r="C1326" s="9" t="s">
        <v>59</v>
      </c>
      <c r="D1326" s="9" t="s">
        <v>720</v>
      </c>
      <c r="E1326" s="33">
        <v>2025</v>
      </c>
      <c r="F1326" s="36" t="s">
        <v>163</v>
      </c>
      <c r="G1326" s="15" t="s">
        <v>1016</v>
      </c>
      <c r="H1326" s="9" t="str" cm="1">
        <f t="array" ref="H1326">INDEX(stableR[question],MATCH(VALUE(questions[[#This Row],[qno]]),VALUE(stableR[qno]),0))</f>
        <v>What was the name of the synthetic fertilizer that you used most, last year?</v>
      </c>
      <c r="I1326" s="9" t="b" cm="1">
        <f t="array" ref="I1326">INDEX(stable[is_fixed],MATCH(VALUE(questions[[#This Row],[qno]]),VALUE(stable[qno]),0))</f>
        <v>0</v>
      </c>
      <c r="J1326" s="9" t="b" cm="1">
        <f t="array" ref="J1326">INDEX(stable[is_localized],MATCH(VALUE(questions[[#This Row],[qno]]),VALUE(stable[qno]),0))</f>
        <v>1</v>
      </c>
      <c r="K1326" s="9" t="b" cm="1">
        <f t="array" ref="K1326">INDEX(stable[is_supply_chain_dependent],MATCH(VALUE(questions[[#This Row],[qno]]),VALUE(stable[qno]),0))</f>
        <v>0</v>
      </c>
      <c r="L1326" s="9" t="b" cm="1">
        <f t="array" ref="L1326">INDEX(stable[is_mandatory],MATCH(VALUE(questions[[#This Row],[qno]]),VALUE(stable[qno]),0))</f>
        <v>0</v>
      </c>
      <c r="M1326" s="9" t="b" cm="1">
        <f t="array" ref="M1326">INDEX(stable[is_automated],MATCH(VALUE(questions[[#This Row],[qno]]),VALUE(stable[qno]),0))</f>
        <v>0</v>
      </c>
      <c r="N1326" s="22" t="b" cm="1">
        <f t="array" ref="N1326">INDEX(stable[is_free_text],MATCH(VALUE(questions[[#This Row],[qno]]),VALUE(stable[qno]),0))</f>
        <v>0</v>
      </c>
      <c r="O1326" s="9" t="b" cm="1">
        <f t="array" ref="O1326">INDEX(stable[is_numerical],MATCH(VALUE(questions[[#This Row],[qno]]),VALUE(stable[qno]),0))</f>
        <v>0</v>
      </c>
      <c r="P1326" s="22" t="b" cm="1">
        <f t="array" ref="P1326">INDEX(stable[is_single_select],MATCH(VALUE(questions[[#This Row],[qno]]),VALUE(stable[qno]),0))</f>
        <v>1</v>
      </c>
      <c r="Q1326" s="9" t="b" cm="1">
        <f t="array" ref="Q1326">INDEX(stable[is_multi_select],MATCH(VALUE(questions[[#This Row],[qno]]),VALUE(stable[qno]),0))</f>
        <v>0</v>
      </c>
      <c r="R1326" s="9" t="b" cm="1">
        <f t="array" ref="R1326">INDEX(stable[is_skip_logic],MATCH(VALUE(questions[[#This Row],[qno]]),VALUE(stable[qno]),0))</f>
        <v>1</v>
      </c>
      <c r="S1326" s="9" t="str">
        <f>_xlfn.TEXTJOIN(", ",TRUE,questions[[#This Row],[ans_opt_1]:[ans_opt_14]])</f>
        <v>NPK 26-6-12 - "special", Lavender NPK 24:24:18, NPK 22:22:12, NPK 12:18:14, NPK 20:20:10+Te, NPK 14:13:18+Te, NPK 17-17-17, Yara Mila Java (NPK 22:6:12), CAN (calcium ammonium nitrate, 27% N), Urea (46% N), Ammonium sulphate (21% N), DAP (di-ammonium phosphate, 18% N), Zinc Boron, Other</v>
      </c>
      <c r="T1326" s="62" t="s">
        <v>954</v>
      </c>
      <c r="U1326" s="9" t="s">
        <v>955</v>
      </c>
      <c r="V1326" s="33" t="s">
        <v>956</v>
      </c>
      <c r="W1326" s="63" t="s">
        <v>957</v>
      </c>
      <c r="X1326" s="63" t="s">
        <v>958</v>
      </c>
      <c r="Y1326" s="9" t="s">
        <v>959</v>
      </c>
      <c r="Z1326" s="33" t="s">
        <v>742</v>
      </c>
      <c r="AA1326" s="33" t="s">
        <v>1017</v>
      </c>
      <c r="AB1326" s="33" t="s">
        <v>837</v>
      </c>
      <c r="AC1326" s="33" t="s">
        <v>743</v>
      </c>
      <c r="AD1326" s="33" t="s">
        <v>838</v>
      </c>
      <c r="AE1326" s="33" t="s">
        <v>744</v>
      </c>
      <c r="AF1326" s="9" t="s">
        <v>960</v>
      </c>
      <c r="AG1326" s="60" t="s">
        <v>112</v>
      </c>
      <c r="AH1326" s="196" t="b">
        <f>INDEX(stable[q_standard],MATCH(questions[[#This Row],[qno]],stable[qno],0))</f>
        <v>0</v>
      </c>
      <c r="AI1326" s="196" t="b">
        <f>INDEX(stable[q_living_income],MATCH(questions[[#This Row],[qno]],stable[qno],0))</f>
        <v>1</v>
      </c>
      <c r="AJ1326" s="196" t="b">
        <f>INDEX(stable[q_carbon],MATCH(questions[[#This Row],[qno]],stable[qno],0))</f>
        <v>1</v>
      </c>
      <c r="AK1326" s="196" t="b">
        <f>INDEX(stable[q_regen_ag],MATCH(questions[[#This Row],[qno]],stable[qno],0))</f>
        <v>0</v>
      </c>
      <c r="AL1326" s="16" t="b">
        <f>COUNTIFS(stable[qno],questions[[#This Row],[qno]])=1</f>
        <v>1</v>
      </c>
      <c r="AM1326" s="16" t="b">
        <f>OR(questions[[#This Row],[is_fixed]],questions[[#This Row],[is_localized]],questions[[#This Row],[is_supply_chain_dependent]])</f>
        <v>1</v>
      </c>
      <c r="AN1326" s="16" t="b">
        <f>COUNTIFS(questions[[#This Row],[is_automated]:[is_multi_select]],TRUE)=1</f>
        <v>1</v>
      </c>
      <c r="AO1326" s="16" t="b">
        <f>IF(questions[[#This Row],[is_fixed]],questions[[#This Row],[question]]=INDEX(stable[question],MATCH(questions[[#This Row],[qno]],stable[qno],0)),TRUE)</f>
        <v>1</v>
      </c>
      <c r="AP1326" s="16" t="str">
        <f>LEFT(questions[[#This Row],[question]],similarity_range)</f>
        <v xml:space="preserve">What is the name of </v>
      </c>
      <c r="AQ1326" s="16" t="str">
        <f>LEFT(INDEX(stable[question],MATCH(questions[[#This Row],[qno]],stable[qno],0)),similarity_range)</f>
        <v xml:space="preserve">What is the name of </v>
      </c>
      <c r="AR1326" s="16" t="b">
        <f>questions[[#This Row],[question_first_characters]]=questions[[#This Row],[stability_first_characters]]</f>
        <v>1</v>
      </c>
      <c r="AS1326" s="16" t="b">
        <f>IF(OR(questions[[#This Row],[is_single_select]],questions[[#This Row],[is_multi_select]]),NOT(ISBLANK(questions[[#This Row],[answer_opt_combined]])),TRUE)</f>
        <v>1</v>
      </c>
    </row>
    <row r="1327" spans="1:45" ht="15.75" customHeight="1" x14ac:dyDescent="0.25">
      <c r="A1327" s="9" t="str">
        <f>_xlfn.TEXTJOIN("_",TRUE,questions[[#This Row],[origin]:[qno]])</f>
        <v>Rwanda_Arabica_Nestle_Illy_IMPACT_2025_5101</v>
      </c>
      <c r="B1327" s="9" t="s">
        <v>719</v>
      </c>
      <c r="C1327" s="9" t="s">
        <v>59</v>
      </c>
      <c r="D1327" s="9" t="s">
        <v>720</v>
      </c>
      <c r="E1327" s="33">
        <v>2025</v>
      </c>
      <c r="F1327" s="36" t="s">
        <v>165</v>
      </c>
      <c r="G1327" s="37" t="s">
        <v>745</v>
      </c>
      <c r="H1327" s="9" t="str" cm="1">
        <f t="array" ref="H1327">INDEX(stableR[question],MATCH(VALUE(questions[[#This Row],[qno]]),VALUE(stableR[qno]),0))</f>
        <v>What was the total quantity of the synthetic fertilizer that you used most, last year? (Kg)</v>
      </c>
      <c r="I1327" s="9" t="b" cm="1">
        <f t="array" ref="I1327">INDEX(stable[is_fixed],MATCH(VALUE(questions[[#This Row],[qno]]),VALUE(stable[qno]),0))</f>
        <v>0</v>
      </c>
      <c r="J1327" s="9" t="b" cm="1">
        <f t="array" ref="J1327">INDEX(stable[is_localized],MATCH(VALUE(questions[[#This Row],[qno]]),VALUE(stable[qno]),0))</f>
        <v>1</v>
      </c>
      <c r="K1327" s="9" t="b" cm="1">
        <f t="array" ref="K1327">INDEX(stable[is_supply_chain_dependent],MATCH(VALUE(questions[[#This Row],[qno]]),VALUE(stable[qno]),0))</f>
        <v>0</v>
      </c>
      <c r="L1327" s="9" t="b" cm="1">
        <f t="array" ref="L1327">INDEX(stable[is_mandatory],MATCH(VALUE(questions[[#This Row],[qno]]),VALUE(stable[qno]),0))</f>
        <v>0</v>
      </c>
      <c r="M1327" s="9" t="b" cm="1">
        <f t="array" ref="M1327">INDEX(stable[is_automated],MATCH(VALUE(questions[[#This Row],[qno]]),VALUE(stable[qno]),0))</f>
        <v>0</v>
      </c>
      <c r="N1327" s="9" t="b" cm="1">
        <f t="array" ref="N1327">INDEX(stable[is_free_text],MATCH(VALUE(questions[[#This Row],[qno]]),VALUE(stable[qno]),0))</f>
        <v>0</v>
      </c>
      <c r="O1327" s="9" t="b" cm="1">
        <f t="array" ref="O1327">INDEX(stable[is_numerical],MATCH(VALUE(questions[[#This Row],[qno]]),VALUE(stable[qno]),0))</f>
        <v>1</v>
      </c>
      <c r="P1327" s="9" t="b" cm="1">
        <f t="array" ref="P1327">INDEX(stable[is_single_select],MATCH(VALUE(questions[[#This Row],[qno]]),VALUE(stable[qno]),0))</f>
        <v>0</v>
      </c>
      <c r="Q1327" s="9" t="b" cm="1">
        <f t="array" ref="Q1327">INDEX(stable[is_multi_select],MATCH(VALUE(questions[[#This Row],[qno]]),VALUE(stable[qno]),0))</f>
        <v>0</v>
      </c>
      <c r="R1327" s="9" t="b" cm="1">
        <f t="array" ref="R1327">INDEX(stable[is_skip_logic],MATCH(VALUE(questions[[#This Row],[qno]]),VALUE(stable[qno]),0))</f>
        <v>1</v>
      </c>
      <c r="S1327" s="9" t="str">
        <f>_xlfn.TEXTJOIN(", ",TRUE,questions[[#This Row],[ans_opt_1]:[ans_opt_14]])</f>
        <v/>
      </c>
      <c r="AH1327" s="16" t="b">
        <f>INDEX(stable[q_standard],MATCH(questions[[#This Row],[qno]],stable[qno],0))</f>
        <v>0</v>
      </c>
      <c r="AI1327" s="16" t="b">
        <f>INDEX(stable[q_living_income],MATCH(questions[[#This Row],[qno]],stable[qno],0))</f>
        <v>1</v>
      </c>
      <c r="AJ1327" s="16" t="b">
        <f>INDEX(stable[q_carbon],MATCH(questions[[#This Row],[qno]],stable[qno],0))</f>
        <v>1</v>
      </c>
      <c r="AK1327" s="16" t="b">
        <f>INDEX(stable[q_regen_ag],MATCH(questions[[#This Row],[qno]],stable[qno],0))</f>
        <v>0</v>
      </c>
      <c r="AL1327" s="16" t="b">
        <f>COUNTIFS(stable[qno],questions[[#This Row],[qno]])=1</f>
        <v>1</v>
      </c>
      <c r="AM1327" s="16" t="b">
        <f>OR(questions[[#This Row],[is_fixed]],questions[[#This Row],[is_localized]],questions[[#This Row],[is_supply_chain_dependent]])</f>
        <v>1</v>
      </c>
      <c r="AN1327" s="16" t="b">
        <f>COUNTIFS(questions[[#This Row],[is_automated]:[is_multi_select]],TRUE)=1</f>
        <v>1</v>
      </c>
      <c r="AO1327" s="16" t="b">
        <f>IF(questions[[#This Row],[is_fixed]],questions[[#This Row],[question]]=INDEX(stable[question],MATCH(questions[[#This Row],[qno]],stable[qno],0)),TRUE)</f>
        <v>1</v>
      </c>
      <c r="AP1327" s="16" t="str">
        <f>LEFT(questions[[#This Row],[question]],similarity_range)</f>
        <v>What was the total q</v>
      </c>
      <c r="AQ1327" s="16" t="str">
        <f>LEFT(INDEX(stable[question],MATCH(questions[[#This Row],[qno]],stable[qno],0)),similarity_range)</f>
        <v>What was the total q</v>
      </c>
      <c r="AR1327" s="16" t="b">
        <f>questions[[#This Row],[question_first_characters]]=questions[[#This Row],[stability_first_characters]]</f>
        <v>1</v>
      </c>
      <c r="AS1327" s="16" t="b">
        <f>IF(OR(questions[[#This Row],[is_single_select]],questions[[#This Row],[is_multi_select]]),NOT(ISBLANK(questions[[#This Row],[answer_opt_combined]])),TRUE)</f>
        <v>1</v>
      </c>
    </row>
    <row r="1328" spans="1:45" ht="15.75" customHeight="1" x14ac:dyDescent="0.25">
      <c r="A1328" s="9" t="str">
        <f>_xlfn.TEXTJOIN("_",TRUE,questions[[#This Row],[origin]:[qno]])</f>
        <v>Rwanda_Arabica_Nestle_Illy_IMPACT_2025_5102</v>
      </c>
      <c r="B1328" s="9" t="s">
        <v>719</v>
      </c>
      <c r="C1328" s="9" t="s">
        <v>59</v>
      </c>
      <c r="D1328" s="9" t="s">
        <v>720</v>
      </c>
      <c r="E1328" s="33">
        <v>2025</v>
      </c>
      <c r="F1328" s="36" t="s">
        <v>560</v>
      </c>
      <c r="G1328" s="73" t="s">
        <v>746</v>
      </c>
      <c r="H1328" s="9" t="str" cm="1">
        <f t="array" ref="H1328">INDEX(stableR[question],MATCH(VALUE(questions[[#This Row],[qno]]),VALUE(stableR[qno]),0))</f>
        <v>What was the unit of the synthetic fertilizer type that you used most? (bags, kg)</v>
      </c>
      <c r="I1328" s="9" t="b" cm="1">
        <f t="array" ref="I1328">INDEX(stable[is_fixed],MATCH(VALUE(questions[[#This Row],[qno]]),VALUE(stable[qno]),0))</f>
        <v>0</v>
      </c>
      <c r="J1328" s="9" t="b" cm="1">
        <f t="array" ref="J1328">INDEX(stable[is_localized],MATCH(VALUE(questions[[#This Row],[qno]]),VALUE(stable[qno]),0))</f>
        <v>1</v>
      </c>
      <c r="K1328" s="9" t="b" cm="1">
        <f t="array" ref="K1328">INDEX(stable[is_supply_chain_dependent],MATCH(VALUE(questions[[#This Row],[qno]]),VALUE(stable[qno]),0))</f>
        <v>0</v>
      </c>
      <c r="L1328" s="9" t="b" cm="1">
        <f t="array" ref="L1328">INDEX(stable[is_mandatory],MATCH(VALUE(questions[[#This Row],[qno]]),VALUE(stable[qno]),0))</f>
        <v>0</v>
      </c>
      <c r="M1328" s="9" t="b" cm="1">
        <f t="array" ref="M1328">INDEX(stable[is_automated],MATCH(VALUE(questions[[#This Row],[qno]]),VALUE(stable[qno]),0))</f>
        <v>0</v>
      </c>
      <c r="N1328" s="9" t="b" cm="1">
        <f t="array" ref="N1328">INDEX(stable[is_free_text],MATCH(VALUE(questions[[#This Row],[qno]]),VALUE(stable[qno]),0))</f>
        <v>0</v>
      </c>
      <c r="O1328" s="9" t="b" cm="1">
        <f t="array" ref="O1328">INDEX(stable[is_numerical],MATCH(VALUE(questions[[#This Row],[qno]]),VALUE(stable[qno]),0))</f>
        <v>0</v>
      </c>
      <c r="P1328" s="9" t="b" cm="1">
        <f t="array" ref="P1328">INDEX(stable[is_single_select],MATCH(VALUE(questions[[#This Row],[qno]]),VALUE(stable[qno]),0))</f>
        <v>1</v>
      </c>
      <c r="Q1328" s="9" t="b" cm="1">
        <f t="array" ref="Q1328">INDEX(stable[is_multi_select],MATCH(VALUE(questions[[#This Row],[qno]]),VALUE(stable[qno]),0))</f>
        <v>0</v>
      </c>
      <c r="R1328" s="9" t="b" cm="1">
        <f t="array" ref="R1328">INDEX(stable[is_skip_logic],MATCH(VALUE(questions[[#This Row],[qno]]),VALUE(stable[qno]),0))</f>
        <v>1</v>
      </c>
      <c r="S1328" s="9" t="str">
        <f>_xlfn.TEXTJOIN(", ",TRUE,questions[[#This Row],[ans_opt_1]:[ans_opt_14]])</f>
        <v>Kg</v>
      </c>
      <c r="T1328" s="9" t="s">
        <v>1018</v>
      </c>
      <c r="AH1328" s="16" t="b">
        <f>INDEX(stable[q_standard],MATCH(questions[[#This Row],[qno]],stable[qno],0))</f>
        <v>0</v>
      </c>
      <c r="AI1328" s="16" t="b">
        <f>INDEX(stable[q_living_income],MATCH(questions[[#This Row],[qno]],stable[qno],0))</f>
        <v>1</v>
      </c>
      <c r="AJ1328" s="16" t="b">
        <f>INDEX(stable[q_carbon],MATCH(questions[[#This Row],[qno]],stable[qno],0))</f>
        <v>1</v>
      </c>
      <c r="AK1328" s="16" t="b">
        <f>INDEX(stable[q_regen_ag],MATCH(questions[[#This Row],[qno]],stable[qno],0))</f>
        <v>0</v>
      </c>
      <c r="AL1328" s="16" t="b">
        <f>COUNTIFS(stable[qno],questions[[#This Row],[qno]])=1</f>
        <v>1</v>
      </c>
      <c r="AM1328" s="16" t="b">
        <f>OR(questions[[#This Row],[is_fixed]],questions[[#This Row],[is_localized]],questions[[#This Row],[is_supply_chain_dependent]])</f>
        <v>1</v>
      </c>
      <c r="AN1328" s="16" t="b">
        <f>COUNTIFS(questions[[#This Row],[is_automated]:[is_multi_select]],TRUE)=1</f>
        <v>1</v>
      </c>
      <c r="AO1328" s="16" t="b">
        <f>IF(questions[[#This Row],[is_fixed]],questions[[#This Row],[question]]=INDEX(stable[question],MATCH(questions[[#This Row],[qno]],stable[qno],0)),TRUE)</f>
        <v>1</v>
      </c>
      <c r="AP1328" s="16" t="str">
        <f>LEFT(questions[[#This Row],[question]],similarity_range)</f>
        <v>Please ensure that t</v>
      </c>
      <c r="AQ1328" s="16" t="str">
        <f>LEFT(INDEX(stable[question],MATCH(questions[[#This Row],[qno]],stable[qno],0)),similarity_range)</f>
        <v>What was the unit of</v>
      </c>
      <c r="AR1328" s="16" t="b">
        <f>questions[[#This Row],[question_first_characters]]=questions[[#This Row],[stability_first_characters]]</f>
        <v>0</v>
      </c>
      <c r="AS1328" s="16" t="b">
        <f>IF(OR(questions[[#This Row],[is_single_select]],questions[[#This Row],[is_multi_select]]),NOT(ISBLANK(questions[[#This Row],[answer_opt_combined]])),TRUE)</f>
        <v>1</v>
      </c>
    </row>
    <row r="1329" spans="1:45" ht="15.75" customHeight="1" x14ac:dyDescent="0.25">
      <c r="A1329" s="9" t="str">
        <f>_xlfn.TEXTJOIN("_",TRUE,questions[[#This Row],[origin]:[qno]])</f>
        <v>Rwanda_Arabica_Nestle_Illy_IMPACT_2025_5110</v>
      </c>
      <c r="B1329" s="9" t="s">
        <v>719</v>
      </c>
      <c r="C1329" s="9" t="s">
        <v>59</v>
      </c>
      <c r="D1329" s="9" t="s">
        <v>720</v>
      </c>
      <c r="E1329" s="33">
        <v>2025</v>
      </c>
      <c r="F1329" s="36" t="s">
        <v>167</v>
      </c>
      <c r="G1329" s="15" t="s">
        <v>1019</v>
      </c>
      <c r="H1329" s="9" t="str" cm="1">
        <f t="array" ref="H1329">INDEX(stableR[question],MATCH(VALUE(questions[[#This Row],[qno]]),VALUE(stableR[qno]),0))</f>
        <v>What was the name of the synthetic fertilizer that you used second most, last year?</v>
      </c>
      <c r="I1329" s="9" t="b" cm="1">
        <f t="array" ref="I1329">INDEX(stable[is_fixed],MATCH(VALUE(questions[[#This Row],[qno]]),VALUE(stable[qno]),0))</f>
        <v>0</v>
      </c>
      <c r="J1329" s="9" t="b" cm="1">
        <f t="array" ref="J1329">INDEX(stable[is_localized],MATCH(VALUE(questions[[#This Row],[qno]]),VALUE(stable[qno]),0))</f>
        <v>1</v>
      </c>
      <c r="K1329" s="9" t="b" cm="1">
        <f t="array" ref="K1329">INDEX(stable[is_supply_chain_dependent],MATCH(VALUE(questions[[#This Row],[qno]]),VALUE(stable[qno]),0))</f>
        <v>0</v>
      </c>
      <c r="L1329" s="9" t="b" cm="1">
        <f t="array" ref="L1329">INDEX(stable[is_mandatory],MATCH(VALUE(questions[[#This Row],[qno]]),VALUE(stable[qno]),0))</f>
        <v>0</v>
      </c>
      <c r="M1329" s="9" t="b" cm="1">
        <f t="array" ref="M1329">INDEX(stable[is_automated],MATCH(VALUE(questions[[#This Row],[qno]]),VALUE(stable[qno]),0))</f>
        <v>0</v>
      </c>
      <c r="N1329" s="22" t="b" cm="1">
        <f t="array" ref="N1329">INDEX(stable[is_free_text],MATCH(VALUE(questions[[#This Row],[qno]]),VALUE(stable[qno]),0))</f>
        <v>0</v>
      </c>
      <c r="O1329" s="9" t="b" cm="1">
        <f t="array" ref="O1329">INDEX(stable[is_numerical],MATCH(VALUE(questions[[#This Row],[qno]]),VALUE(stable[qno]),0))</f>
        <v>0</v>
      </c>
      <c r="P1329" s="22" t="b" cm="1">
        <f t="array" ref="P1329">INDEX(stable[is_single_select],MATCH(VALUE(questions[[#This Row],[qno]]),VALUE(stable[qno]),0))</f>
        <v>1</v>
      </c>
      <c r="Q1329" s="9" t="b" cm="1">
        <f t="array" ref="Q1329">INDEX(stable[is_multi_select],MATCH(VALUE(questions[[#This Row],[qno]]),VALUE(stable[qno]),0))</f>
        <v>0</v>
      </c>
      <c r="R1329" s="9" t="b" cm="1">
        <f t="array" ref="R1329">INDEX(stable[is_skip_logic],MATCH(VALUE(questions[[#This Row],[qno]]),VALUE(stable[qno]),0))</f>
        <v>1</v>
      </c>
      <c r="S1329" s="9" t="str">
        <f>_xlfn.TEXTJOIN(", ",TRUE,questions[[#This Row],[ans_opt_1]:[ans_opt_14]])</f>
        <v>NPK 26-6-12 - "special", Lavender NPK 24:24:18, NPK 22:22:12, NPK 12:18:14, NPK 20:20:10+Te, NPK 14:13:18+Te, NPK 17-17-17, Yara Mila Java (NPK 22:6:12), CAN (calcium ammonium nitrate, 27% N), Urea (46% N), Ammonium sulphate (21% N), DAP (di-ammonium phosphate, 18% N), Zinc Boron, Other</v>
      </c>
      <c r="T1329" s="62" t="s">
        <v>954</v>
      </c>
      <c r="U1329" s="9" t="s">
        <v>955</v>
      </c>
      <c r="V1329" s="33" t="s">
        <v>956</v>
      </c>
      <c r="W1329" s="63" t="s">
        <v>957</v>
      </c>
      <c r="X1329" s="63" t="s">
        <v>958</v>
      </c>
      <c r="Y1329" s="9" t="s">
        <v>959</v>
      </c>
      <c r="Z1329" s="33" t="s">
        <v>742</v>
      </c>
      <c r="AA1329" s="33" t="s">
        <v>1017</v>
      </c>
      <c r="AB1329" s="33" t="s">
        <v>837</v>
      </c>
      <c r="AC1329" s="33" t="s">
        <v>743</v>
      </c>
      <c r="AD1329" s="33" t="s">
        <v>838</v>
      </c>
      <c r="AE1329" s="33" t="s">
        <v>744</v>
      </c>
      <c r="AF1329" s="9" t="s">
        <v>960</v>
      </c>
      <c r="AG1329" s="60" t="s">
        <v>112</v>
      </c>
      <c r="AH1329" s="196" t="b">
        <f>INDEX(stable[q_standard],MATCH(questions[[#This Row],[qno]],stable[qno],0))</f>
        <v>0</v>
      </c>
      <c r="AI1329" s="196" t="b">
        <f>INDEX(stable[q_living_income],MATCH(questions[[#This Row],[qno]],stable[qno],0))</f>
        <v>1</v>
      </c>
      <c r="AJ1329" s="196" t="b">
        <f>INDEX(stable[q_carbon],MATCH(questions[[#This Row],[qno]],stable[qno],0))</f>
        <v>1</v>
      </c>
      <c r="AK1329" s="196" t="b">
        <f>INDEX(stable[q_regen_ag],MATCH(questions[[#This Row],[qno]],stable[qno],0))</f>
        <v>0</v>
      </c>
      <c r="AL1329" s="16" t="b">
        <f>COUNTIFS(stable[qno],questions[[#This Row],[qno]])=1</f>
        <v>1</v>
      </c>
      <c r="AM1329" s="16" t="b">
        <f>OR(questions[[#This Row],[is_fixed]],questions[[#This Row],[is_localized]],questions[[#This Row],[is_supply_chain_dependent]])</f>
        <v>1</v>
      </c>
      <c r="AN1329" s="16" t="b">
        <f>COUNTIFS(questions[[#This Row],[is_automated]:[is_multi_select]],TRUE)=1</f>
        <v>1</v>
      </c>
      <c r="AO1329" s="16" t="b">
        <f>IF(questions[[#This Row],[is_fixed]],questions[[#This Row],[question]]=INDEX(stable[question],MATCH(questions[[#This Row],[qno]],stable[qno],0)),TRUE)</f>
        <v>1</v>
      </c>
      <c r="AP1329" s="16" t="str">
        <f>LEFT(questions[[#This Row],[question]],similarity_range)</f>
        <v xml:space="preserve">What is the name of </v>
      </c>
      <c r="AQ1329" s="16" t="str">
        <f>LEFT(INDEX(stable[question],MATCH(questions[[#This Row],[qno]],stable[qno],0)),similarity_range)</f>
        <v xml:space="preserve">What is the name of </v>
      </c>
      <c r="AR1329" s="16" t="b">
        <f>questions[[#This Row],[question_first_characters]]=questions[[#This Row],[stability_first_characters]]</f>
        <v>1</v>
      </c>
      <c r="AS1329" s="16" t="b">
        <f>IF(OR(questions[[#This Row],[is_single_select]],questions[[#This Row],[is_multi_select]]),NOT(ISBLANK(questions[[#This Row],[answer_opt_combined]])),TRUE)</f>
        <v>1</v>
      </c>
    </row>
    <row r="1330" spans="1:45" ht="15.75" customHeight="1" x14ac:dyDescent="0.25">
      <c r="A1330" s="9" t="str">
        <f>_xlfn.TEXTJOIN("_",TRUE,questions[[#This Row],[origin]:[qno]])</f>
        <v>Rwanda_Arabica_Nestle_Illy_IMPACT_2025_5111</v>
      </c>
      <c r="B1330" s="9" t="s">
        <v>719</v>
      </c>
      <c r="C1330" s="9" t="s">
        <v>59</v>
      </c>
      <c r="D1330" s="9" t="s">
        <v>720</v>
      </c>
      <c r="E1330" s="33">
        <v>2025</v>
      </c>
      <c r="F1330" s="36" t="s">
        <v>169</v>
      </c>
      <c r="G1330" s="37" t="s">
        <v>748</v>
      </c>
      <c r="H1330" s="9" t="str" cm="1">
        <f t="array" ref="H1330">INDEX(stableR[question],MATCH(VALUE(questions[[#This Row],[qno]]),VALUE(stableR[qno]),0))</f>
        <v>What was the total quantity of the synthetic fertilizer that you used second most, last year? (Kg)</v>
      </c>
      <c r="I1330" s="9" t="b" cm="1">
        <f t="array" ref="I1330">INDEX(stable[is_fixed],MATCH(VALUE(questions[[#This Row],[qno]]),VALUE(stable[qno]),0))</f>
        <v>0</v>
      </c>
      <c r="J1330" s="9" t="b" cm="1">
        <f t="array" ref="J1330">INDEX(stable[is_localized],MATCH(VALUE(questions[[#This Row],[qno]]),VALUE(stable[qno]),0))</f>
        <v>1</v>
      </c>
      <c r="K1330" s="9" t="b" cm="1">
        <f t="array" ref="K1330">INDEX(stable[is_supply_chain_dependent],MATCH(VALUE(questions[[#This Row],[qno]]),VALUE(stable[qno]),0))</f>
        <v>0</v>
      </c>
      <c r="L1330" s="9" t="b" cm="1">
        <f t="array" ref="L1330">INDEX(stable[is_mandatory],MATCH(VALUE(questions[[#This Row],[qno]]),VALUE(stable[qno]),0))</f>
        <v>0</v>
      </c>
      <c r="M1330" s="9" t="b" cm="1">
        <f t="array" ref="M1330">INDEX(stable[is_automated],MATCH(VALUE(questions[[#This Row],[qno]]),VALUE(stable[qno]),0))</f>
        <v>0</v>
      </c>
      <c r="N1330" s="9" t="b" cm="1">
        <f t="array" ref="N1330">INDEX(stable[is_free_text],MATCH(VALUE(questions[[#This Row],[qno]]),VALUE(stable[qno]),0))</f>
        <v>0</v>
      </c>
      <c r="O1330" s="9" t="b" cm="1">
        <f t="array" ref="O1330">INDEX(stable[is_numerical],MATCH(VALUE(questions[[#This Row],[qno]]),VALUE(stable[qno]),0))</f>
        <v>1</v>
      </c>
      <c r="P1330" s="9" t="b" cm="1">
        <f t="array" ref="P1330">INDEX(stable[is_single_select],MATCH(VALUE(questions[[#This Row],[qno]]),VALUE(stable[qno]),0))</f>
        <v>0</v>
      </c>
      <c r="Q1330" s="9" t="b" cm="1">
        <f t="array" ref="Q1330">INDEX(stable[is_multi_select],MATCH(VALUE(questions[[#This Row],[qno]]),VALUE(stable[qno]),0))</f>
        <v>0</v>
      </c>
      <c r="R1330" s="9" t="b" cm="1">
        <f t="array" ref="R1330">INDEX(stable[is_skip_logic],MATCH(VALUE(questions[[#This Row],[qno]]),VALUE(stable[qno]),0))</f>
        <v>1</v>
      </c>
      <c r="S1330" s="9" t="str">
        <f>_xlfn.TEXTJOIN(", ",TRUE,questions[[#This Row],[ans_opt_1]:[ans_opt_14]])</f>
        <v/>
      </c>
      <c r="AH1330" s="16" t="b">
        <f>INDEX(stable[q_standard],MATCH(questions[[#This Row],[qno]],stable[qno],0))</f>
        <v>0</v>
      </c>
      <c r="AI1330" s="16" t="b">
        <f>INDEX(stable[q_living_income],MATCH(questions[[#This Row],[qno]],stable[qno],0))</f>
        <v>1</v>
      </c>
      <c r="AJ1330" s="16" t="b">
        <f>INDEX(stable[q_carbon],MATCH(questions[[#This Row],[qno]],stable[qno],0))</f>
        <v>1</v>
      </c>
      <c r="AK1330" s="16" t="b">
        <f>INDEX(stable[q_regen_ag],MATCH(questions[[#This Row],[qno]],stable[qno],0))</f>
        <v>0</v>
      </c>
      <c r="AL1330" s="16" t="b">
        <f>COUNTIFS(stable[qno],questions[[#This Row],[qno]])=1</f>
        <v>1</v>
      </c>
      <c r="AM1330" s="16" t="b">
        <f>OR(questions[[#This Row],[is_fixed]],questions[[#This Row],[is_localized]],questions[[#This Row],[is_supply_chain_dependent]])</f>
        <v>1</v>
      </c>
      <c r="AN1330" s="16" t="b">
        <f>COUNTIFS(questions[[#This Row],[is_automated]:[is_multi_select]],TRUE)=1</f>
        <v>1</v>
      </c>
      <c r="AO1330" s="16" t="b">
        <f>IF(questions[[#This Row],[is_fixed]],questions[[#This Row],[question]]=INDEX(stable[question],MATCH(questions[[#This Row],[qno]],stable[qno],0)),TRUE)</f>
        <v>1</v>
      </c>
      <c r="AP1330" s="16" t="str">
        <f>LEFT(questions[[#This Row],[question]],similarity_range)</f>
        <v>What was the total q</v>
      </c>
      <c r="AQ1330" s="16" t="str">
        <f>LEFT(INDEX(stable[question],MATCH(questions[[#This Row],[qno]],stable[qno],0)),similarity_range)</f>
        <v>What was the total q</v>
      </c>
      <c r="AR1330" s="16" t="b">
        <f>questions[[#This Row],[question_first_characters]]=questions[[#This Row],[stability_first_characters]]</f>
        <v>1</v>
      </c>
      <c r="AS1330" s="16" t="b">
        <f>IF(OR(questions[[#This Row],[is_single_select]],questions[[#This Row],[is_multi_select]]),NOT(ISBLANK(questions[[#This Row],[answer_opt_combined]])),TRUE)</f>
        <v>1</v>
      </c>
    </row>
    <row r="1331" spans="1:45" ht="15.75" customHeight="1" x14ac:dyDescent="0.25">
      <c r="A1331" s="9" t="str">
        <f>_xlfn.TEXTJOIN("_",TRUE,questions[[#This Row],[origin]:[qno]])</f>
        <v>Rwanda_Arabica_Nestle_Illy_IMPACT_2025_5112</v>
      </c>
      <c r="B1331" s="9" t="s">
        <v>719</v>
      </c>
      <c r="C1331" s="9" t="s">
        <v>59</v>
      </c>
      <c r="D1331" s="9" t="s">
        <v>720</v>
      </c>
      <c r="E1331" s="33">
        <v>2025</v>
      </c>
      <c r="F1331" s="36" t="s">
        <v>567</v>
      </c>
      <c r="G1331" s="73" t="s">
        <v>749</v>
      </c>
      <c r="H1331" s="9" t="str" cm="1">
        <f t="array" ref="H1331">INDEX(stableR[question],MATCH(VALUE(questions[[#This Row],[qno]]),VALUE(stableR[qno]),0))</f>
        <v>What was the unit of the synthetic fertilizer type that you used second most ? (bags, kg)</v>
      </c>
      <c r="I1331" s="9" t="b" cm="1">
        <f t="array" ref="I1331">INDEX(stable[is_fixed],MATCH(VALUE(questions[[#This Row],[qno]]),VALUE(stable[qno]),0))</f>
        <v>0</v>
      </c>
      <c r="J1331" s="9" t="b" cm="1">
        <f t="array" ref="J1331">INDEX(stable[is_localized],MATCH(VALUE(questions[[#This Row],[qno]]),VALUE(stable[qno]),0))</f>
        <v>1</v>
      </c>
      <c r="K1331" s="9" t="b" cm="1">
        <f t="array" ref="K1331">INDEX(stable[is_supply_chain_dependent],MATCH(VALUE(questions[[#This Row],[qno]]),VALUE(stable[qno]),0))</f>
        <v>0</v>
      </c>
      <c r="L1331" s="9" t="b" cm="1">
        <f t="array" ref="L1331">INDEX(stable[is_mandatory],MATCH(VALUE(questions[[#This Row],[qno]]),VALUE(stable[qno]),0))</f>
        <v>0</v>
      </c>
      <c r="M1331" s="9" t="b" cm="1">
        <f t="array" ref="M1331">INDEX(stable[is_automated],MATCH(VALUE(questions[[#This Row],[qno]]),VALUE(stable[qno]),0))</f>
        <v>0</v>
      </c>
      <c r="N1331" s="9" t="b" cm="1">
        <f t="array" ref="N1331">INDEX(stable[is_free_text],MATCH(VALUE(questions[[#This Row],[qno]]),VALUE(stable[qno]),0))</f>
        <v>0</v>
      </c>
      <c r="O1331" s="9" t="b" cm="1">
        <f t="array" ref="O1331">INDEX(stable[is_numerical],MATCH(VALUE(questions[[#This Row],[qno]]),VALUE(stable[qno]),0))</f>
        <v>0</v>
      </c>
      <c r="P1331" s="9" t="b" cm="1">
        <f t="array" ref="P1331">INDEX(stable[is_single_select],MATCH(VALUE(questions[[#This Row],[qno]]),VALUE(stable[qno]),0))</f>
        <v>1</v>
      </c>
      <c r="Q1331" s="9" t="b" cm="1">
        <f t="array" ref="Q1331">INDEX(stable[is_multi_select],MATCH(VALUE(questions[[#This Row],[qno]]),VALUE(stable[qno]),0))</f>
        <v>0</v>
      </c>
      <c r="R1331" s="9" t="b" cm="1">
        <f t="array" ref="R1331">INDEX(stable[is_skip_logic],MATCH(VALUE(questions[[#This Row],[qno]]),VALUE(stable[qno]),0))</f>
        <v>1</v>
      </c>
      <c r="S1331" s="9" t="str">
        <f>_xlfn.TEXTJOIN(", ",TRUE,questions[[#This Row],[ans_opt_1]:[ans_opt_14]])</f>
        <v>Kg</v>
      </c>
      <c r="T1331" s="9" t="s">
        <v>1018</v>
      </c>
      <c r="AH1331" s="16" t="b">
        <f>INDEX(stable[q_standard],MATCH(questions[[#This Row],[qno]],stable[qno],0))</f>
        <v>0</v>
      </c>
      <c r="AI1331" s="16" t="b">
        <f>INDEX(stable[q_living_income],MATCH(questions[[#This Row],[qno]],stable[qno],0))</f>
        <v>1</v>
      </c>
      <c r="AJ1331" s="16" t="b">
        <f>INDEX(stable[q_carbon],MATCH(questions[[#This Row],[qno]],stable[qno],0))</f>
        <v>1</v>
      </c>
      <c r="AK1331" s="16" t="b">
        <f>INDEX(stable[q_regen_ag],MATCH(questions[[#This Row],[qno]],stable[qno],0))</f>
        <v>0</v>
      </c>
      <c r="AL1331" s="16" t="b">
        <f>COUNTIFS(stable[qno],questions[[#This Row],[qno]])=1</f>
        <v>1</v>
      </c>
      <c r="AM1331" s="16" t="b">
        <f>OR(questions[[#This Row],[is_fixed]],questions[[#This Row],[is_localized]],questions[[#This Row],[is_supply_chain_dependent]])</f>
        <v>1</v>
      </c>
      <c r="AN1331" s="16" t="b">
        <f>COUNTIFS(questions[[#This Row],[is_automated]:[is_multi_select]],TRUE)=1</f>
        <v>1</v>
      </c>
      <c r="AO1331" s="16" t="b">
        <f>IF(questions[[#This Row],[is_fixed]],questions[[#This Row],[question]]=INDEX(stable[question],MATCH(questions[[#This Row],[qno]],stable[qno],0)),TRUE)</f>
        <v>1</v>
      </c>
      <c r="AP1331" s="16" t="str">
        <f>LEFT(questions[[#This Row],[question]],similarity_range)</f>
        <v>Please ensure that t</v>
      </c>
      <c r="AQ1331" s="16" t="str">
        <f>LEFT(INDEX(stable[question],MATCH(questions[[#This Row],[qno]],stable[qno],0)),similarity_range)</f>
        <v>What was the unit of</v>
      </c>
      <c r="AR1331" s="16" t="b">
        <f>questions[[#This Row],[question_first_characters]]=questions[[#This Row],[stability_first_characters]]</f>
        <v>0</v>
      </c>
      <c r="AS1331" s="16" t="b">
        <f>IF(OR(questions[[#This Row],[is_single_select]],questions[[#This Row],[is_multi_select]]),NOT(ISBLANK(questions[[#This Row],[answer_opt_combined]])),TRUE)</f>
        <v>1</v>
      </c>
    </row>
    <row r="1332" spans="1:45" ht="15.75" customHeight="1" x14ac:dyDescent="0.25">
      <c r="A1332" s="9" t="str">
        <f>_xlfn.TEXTJOIN("_",TRUE,questions[[#This Row],[origin]:[qno]])</f>
        <v>Rwanda_Arabica_Nestle_Illy_IMPACT_2025_5120</v>
      </c>
      <c r="B1332" s="9" t="s">
        <v>719</v>
      </c>
      <c r="C1332" s="9" t="s">
        <v>59</v>
      </c>
      <c r="D1332" s="9" t="s">
        <v>720</v>
      </c>
      <c r="E1332" s="33">
        <v>2025</v>
      </c>
      <c r="F1332" s="65" t="s">
        <v>683</v>
      </c>
      <c r="G1332" s="18" t="s">
        <v>963</v>
      </c>
      <c r="H1332" s="9" t="str" cm="1">
        <f t="array" ref="H1332">INDEX(stableR[question],MATCH(VALUE(questions[[#This Row],[qno]]),VALUE(stableR[qno]),0))</f>
        <v>What was the name of the synthetic fertilizer that you used third most, last year?</v>
      </c>
      <c r="I1332" s="9" t="b" cm="1">
        <f t="array" ref="I1332">INDEX(stable[is_fixed],MATCH(VALUE(questions[[#This Row],[qno]]),VALUE(stable[qno]),0))</f>
        <v>0</v>
      </c>
      <c r="J1332" s="9" t="b" cm="1">
        <f t="array" ref="J1332">INDEX(stable[is_localized],MATCH(VALUE(questions[[#This Row],[qno]]),VALUE(stable[qno]),0))</f>
        <v>1</v>
      </c>
      <c r="K1332" s="9" t="b" cm="1">
        <f t="array" ref="K1332">INDEX(stable[is_supply_chain_dependent],MATCH(VALUE(questions[[#This Row],[qno]]),VALUE(stable[qno]),0))</f>
        <v>1</v>
      </c>
      <c r="L1332" s="9" t="b" cm="1">
        <f t="array" ref="L1332">INDEX(stable[is_mandatory],MATCH(VALUE(questions[[#This Row],[qno]]),VALUE(stable[qno]),0))</f>
        <v>0</v>
      </c>
      <c r="M1332" s="9" t="b" cm="1">
        <f t="array" ref="M1332">INDEX(stable[is_automated],MATCH(VALUE(questions[[#This Row],[qno]]),VALUE(stable[qno]),0))</f>
        <v>0</v>
      </c>
      <c r="N1332" s="9" t="b" cm="1">
        <f t="array" ref="N1332">INDEX(stable[is_free_text],MATCH(VALUE(questions[[#This Row],[qno]]),VALUE(stable[qno]),0))</f>
        <v>1</v>
      </c>
      <c r="O1332" s="9" t="b" cm="1">
        <f t="array" ref="O1332">INDEX(stable[is_numerical],MATCH(VALUE(questions[[#This Row],[qno]]),VALUE(stable[qno]),0))</f>
        <v>0</v>
      </c>
      <c r="P1332" s="9" t="b" cm="1">
        <f t="array" ref="P1332">INDEX(stable[is_single_select],MATCH(VALUE(questions[[#This Row],[qno]]),VALUE(stable[qno]),0))</f>
        <v>0</v>
      </c>
      <c r="Q1332" s="9" t="b" cm="1">
        <f t="array" ref="Q1332">INDEX(stable[is_multi_select],MATCH(VALUE(questions[[#This Row],[qno]]),VALUE(stable[qno]),0))</f>
        <v>0</v>
      </c>
      <c r="R1332" s="9" t="b" cm="1">
        <f t="array" ref="R1332">INDEX(stable[is_skip_logic],MATCH(VALUE(questions[[#This Row],[qno]]),VALUE(stable[qno]),0))</f>
        <v>1</v>
      </c>
      <c r="S1332" s="9" t="str">
        <f>_xlfn.TEXTJOIN(", ",TRUE,questions[[#This Row],[ans_opt_1]:[ans_opt_14]])</f>
        <v/>
      </c>
      <c r="T1332" s="33"/>
      <c r="U1332" s="33"/>
      <c r="V1332" s="33"/>
      <c r="W1332" s="33"/>
      <c r="X1332" s="33"/>
      <c r="Y1332" s="33"/>
      <c r="Z1332" s="33"/>
      <c r="AA1332" s="33"/>
      <c r="AB1332" s="33"/>
      <c r="AC1332" s="33"/>
      <c r="AD1332" s="33"/>
      <c r="AE1332" s="33"/>
      <c r="AF1332" s="33"/>
      <c r="AG1332" s="33"/>
      <c r="AH1332" s="99" t="b">
        <f>INDEX(stable[q_standard],MATCH(questions[[#This Row],[qno]],stable[qno],0))</f>
        <v>0</v>
      </c>
      <c r="AI1332" s="99" t="b">
        <f>INDEX(stable[q_living_income],MATCH(questions[[#This Row],[qno]],stable[qno],0))</f>
        <v>1</v>
      </c>
      <c r="AJ1332" s="99" t="b">
        <f>INDEX(stable[q_carbon],MATCH(questions[[#This Row],[qno]],stable[qno],0))</f>
        <v>1</v>
      </c>
      <c r="AK1332" s="99" t="b">
        <f>INDEX(stable[q_regen_ag],MATCH(questions[[#This Row],[qno]],stable[qno],0))</f>
        <v>0</v>
      </c>
      <c r="AL1332" s="16" t="b">
        <f>COUNTIFS(stable[qno],questions[[#This Row],[qno]])=1</f>
        <v>1</v>
      </c>
      <c r="AM1332" s="16" t="b">
        <f>OR(questions[[#This Row],[is_fixed]],questions[[#This Row],[is_localized]],questions[[#This Row],[is_supply_chain_dependent]])</f>
        <v>1</v>
      </c>
      <c r="AN1332" s="16" t="b">
        <f>COUNTIFS(questions[[#This Row],[is_automated]:[is_multi_select]],TRUE)=1</f>
        <v>1</v>
      </c>
      <c r="AO1332" s="16" t="b">
        <f>IF(questions[[#This Row],[is_fixed]],questions[[#This Row],[question]]=INDEX(stable[question],MATCH(questions[[#This Row],[qno]],stable[qno],0)),TRUE)</f>
        <v>1</v>
      </c>
      <c r="AP1332" s="16" t="str">
        <f>LEFT(questions[[#This Row],[question]],similarity_range)</f>
        <v xml:space="preserve">What is the name of </v>
      </c>
      <c r="AQ1332" s="16" t="str">
        <f>LEFT(INDEX(stable[question],MATCH(questions[[#This Row],[qno]],stable[qno],0)),similarity_range)</f>
        <v xml:space="preserve">What is the name of </v>
      </c>
      <c r="AR1332" s="16" t="b">
        <f>questions[[#This Row],[question_first_characters]]=questions[[#This Row],[stability_first_characters]]</f>
        <v>1</v>
      </c>
      <c r="AS1332" s="16" t="b">
        <f>IF(OR(questions[[#This Row],[is_single_select]],questions[[#This Row],[is_multi_select]]),NOT(ISBLANK(questions[[#This Row],[answer_opt_combined]])),TRUE)</f>
        <v>1</v>
      </c>
    </row>
    <row r="1333" spans="1:45" ht="15.75" customHeight="1" x14ac:dyDescent="0.25">
      <c r="A1333" s="9" t="str">
        <f>_xlfn.TEXTJOIN("_",TRUE,questions[[#This Row],[origin]:[qno]])</f>
        <v>Rwanda_Arabica_Nestle_Illy_IMPACT_2025_5121</v>
      </c>
      <c r="B1333" s="9" t="s">
        <v>719</v>
      </c>
      <c r="C1333" s="9" t="s">
        <v>59</v>
      </c>
      <c r="D1333" s="9" t="s">
        <v>720</v>
      </c>
      <c r="E1333" s="33">
        <v>2025</v>
      </c>
      <c r="F1333" s="65" t="s">
        <v>173</v>
      </c>
      <c r="G1333" s="15" t="s">
        <v>964</v>
      </c>
      <c r="H1333" s="9" t="str" cm="1">
        <f t="array" ref="H1333">INDEX(stableR[question],MATCH(VALUE(questions[[#This Row],[qno]]),VALUE(stableR[qno]),0))</f>
        <v>What was the total quantity of the synthetic fertilizer that you used third most, last year? (Kg)</v>
      </c>
      <c r="I1333" s="9" t="b" cm="1">
        <f t="array" ref="I1333">INDEX(stable[is_fixed],MATCH(VALUE(questions[[#This Row],[qno]]),VALUE(stable[qno]),0))</f>
        <v>0</v>
      </c>
      <c r="J1333" s="9" t="b" cm="1">
        <f t="array" ref="J1333">INDEX(stable[is_localized],MATCH(VALUE(questions[[#This Row],[qno]]),VALUE(stable[qno]),0))</f>
        <v>1</v>
      </c>
      <c r="K1333" s="9" t="b" cm="1">
        <f t="array" ref="K1333">INDEX(stable[is_supply_chain_dependent],MATCH(VALUE(questions[[#This Row],[qno]]),VALUE(stable[qno]),0))</f>
        <v>1</v>
      </c>
      <c r="L1333" s="9" t="b" cm="1">
        <f t="array" ref="L1333">INDEX(stable[is_mandatory],MATCH(VALUE(questions[[#This Row],[qno]]),VALUE(stable[qno]),0))</f>
        <v>0</v>
      </c>
      <c r="M1333" s="9" t="b" cm="1">
        <f t="array" ref="M1333">INDEX(stable[is_automated],MATCH(VALUE(questions[[#This Row],[qno]]),VALUE(stable[qno]),0))</f>
        <v>0</v>
      </c>
      <c r="N1333" s="9" t="b" cm="1">
        <f t="array" ref="N1333">INDEX(stable[is_free_text],MATCH(VALUE(questions[[#This Row],[qno]]),VALUE(stable[qno]),0))</f>
        <v>0</v>
      </c>
      <c r="O1333" s="9" t="b" cm="1">
        <f t="array" ref="O1333">INDEX(stable[is_numerical],MATCH(VALUE(questions[[#This Row],[qno]]),VALUE(stable[qno]),0))</f>
        <v>1</v>
      </c>
      <c r="P1333" s="9" t="b" cm="1">
        <f t="array" ref="P1333">INDEX(stable[is_single_select],MATCH(VALUE(questions[[#This Row],[qno]]),VALUE(stable[qno]),0))</f>
        <v>0</v>
      </c>
      <c r="Q1333" s="9" t="b" cm="1">
        <f t="array" ref="Q1333">INDEX(stable[is_multi_select],MATCH(VALUE(questions[[#This Row],[qno]]),VALUE(stable[qno]),0))</f>
        <v>0</v>
      </c>
      <c r="R1333" s="9" t="b" cm="1">
        <f t="array" ref="R1333">INDEX(stable[is_skip_logic],MATCH(VALUE(questions[[#This Row],[qno]]),VALUE(stable[qno]),0))</f>
        <v>1</v>
      </c>
      <c r="S1333" s="9" t="str">
        <f>_xlfn.TEXTJOIN(", ",TRUE,questions[[#This Row],[ans_opt_1]:[ans_opt_14]])</f>
        <v/>
      </c>
      <c r="T1333" s="33"/>
      <c r="U1333" s="33"/>
      <c r="V1333" s="33"/>
      <c r="W1333" s="33"/>
      <c r="X1333" s="33"/>
      <c r="Y1333" s="33"/>
      <c r="Z1333" s="33"/>
      <c r="AA1333" s="33"/>
      <c r="AB1333" s="33"/>
      <c r="AC1333" s="33"/>
      <c r="AD1333" s="33"/>
      <c r="AE1333" s="33"/>
      <c r="AF1333" s="33"/>
      <c r="AG1333" s="33"/>
      <c r="AH1333" s="99" t="b">
        <f>INDEX(stable[q_standard],MATCH(questions[[#This Row],[qno]],stable[qno],0))</f>
        <v>0</v>
      </c>
      <c r="AI1333" s="99" t="b">
        <f>INDEX(stable[q_living_income],MATCH(questions[[#This Row],[qno]],stable[qno],0))</f>
        <v>1</v>
      </c>
      <c r="AJ1333" s="99" t="b">
        <f>INDEX(stable[q_carbon],MATCH(questions[[#This Row],[qno]],stable[qno],0))</f>
        <v>1</v>
      </c>
      <c r="AK1333" s="99" t="b">
        <f>INDEX(stable[q_regen_ag],MATCH(questions[[#This Row],[qno]],stable[qno],0))</f>
        <v>0</v>
      </c>
      <c r="AL1333" s="16" t="b">
        <f>COUNTIFS(stable[qno],questions[[#This Row],[qno]])=1</f>
        <v>1</v>
      </c>
      <c r="AM1333" s="16" t="b">
        <f>OR(questions[[#This Row],[is_fixed]],questions[[#This Row],[is_localized]],questions[[#This Row],[is_supply_chain_dependent]])</f>
        <v>1</v>
      </c>
      <c r="AN1333" s="16" t="b">
        <f>COUNTIFS(questions[[#This Row],[is_automated]:[is_multi_select]],TRUE)=1</f>
        <v>1</v>
      </c>
      <c r="AO1333" s="16" t="b">
        <f>IF(questions[[#This Row],[is_fixed]],questions[[#This Row],[question]]=INDEX(stable[question],MATCH(questions[[#This Row],[qno]],stable[qno],0)),TRUE)</f>
        <v>1</v>
      </c>
      <c r="AP1333" s="16" t="str">
        <f>LEFT(questions[[#This Row],[question]],similarity_range)</f>
        <v>What was the total q</v>
      </c>
      <c r="AQ1333" s="16" t="str">
        <f>LEFT(INDEX(stable[question],MATCH(questions[[#This Row],[qno]],stable[qno],0)),similarity_range)</f>
        <v>What was the total q</v>
      </c>
      <c r="AR1333" s="16" t="b">
        <f>questions[[#This Row],[question_first_characters]]=questions[[#This Row],[stability_first_characters]]</f>
        <v>1</v>
      </c>
      <c r="AS1333" s="16" t="b">
        <f>IF(OR(questions[[#This Row],[is_single_select]],questions[[#This Row],[is_multi_select]]),NOT(ISBLANK(questions[[#This Row],[answer_opt_combined]])),TRUE)</f>
        <v>1</v>
      </c>
    </row>
    <row r="1334" spans="1:45" ht="15.75" customHeight="1" x14ac:dyDescent="0.25">
      <c r="A1334" s="9" t="str">
        <f>_xlfn.TEXTJOIN("_",TRUE,questions[[#This Row],[origin]:[qno]])</f>
        <v>Rwanda_Arabica_Nestle_Illy_IMPACT_2025_5122</v>
      </c>
      <c r="B1334" s="9" t="s">
        <v>719</v>
      </c>
      <c r="C1334" s="9" t="s">
        <v>59</v>
      </c>
      <c r="D1334" s="9" t="s">
        <v>720</v>
      </c>
      <c r="E1334" s="33">
        <v>2025</v>
      </c>
      <c r="F1334" s="65" t="s">
        <v>570</v>
      </c>
      <c r="G1334" s="64" t="s">
        <v>965</v>
      </c>
      <c r="H1334" s="9" t="str" cm="1">
        <f t="array" ref="H1334">INDEX(stableR[question],MATCH(VALUE(questions[[#This Row],[qno]]),VALUE(stableR[qno]),0))</f>
        <v>What was the unit of the synthetic fertilizer type that you used third most ? (bags, kg)</v>
      </c>
      <c r="I1334" s="9" t="b" cm="1">
        <f t="array" ref="I1334">INDEX(stable[is_fixed],MATCH(VALUE(questions[[#This Row],[qno]]),VALUE(stable[qno]),0))</f>
        <v>0</v>
      </c>
      <c r="J1334" s="9" t="b" cm="1">
        <f t="array" ref="J1334">INDEX(stable[is_localized],MATCH(VALUE(questions[[#This Row],[qno]]),VALUE(stable[qno]),0))</f>
        <v>1</v>
      </c>
      <c r="K1334" s="9" t="b" cm="1">
        <f t="array" ref="K1334">INDEX(stable[is_supply_chain_dependent],MATCH(VALUE(questions[[#This Row],[qno]]),VALUE(stable[qno]),0))</f>
        <v>1</v>
      </c>
      <c r="L1334" s="9" t="b" cm="1">
        <f t="array" ref="L1334">INDEX(stable[is_mandatory],MATCH(VALUE(questions[[#This Row],[qno]]),VALUE(stable[qno]),0))</f>
        <v>0</v>
      </c>
      <c r="M1334" s="9" t="b" cm="1">
        <f t="array" ref="M1334">INDEX(stable[is_automated],MATCH(VALUE(questions[[#This Row],[qno]]),VALUE(stable[qno]),0))</f>
        <v>0</v>
      </c>
      <c r="N1334" s="9" t="b" cm="1">
        <f t="array" ref="N1334">INDEX(stable[is_free_text],MATCH(VALUE(questions[[#This Row],[qno]]),VALUE(stable[qno]),0))</f>
        <v>0</v>
      </c>
      <c r="O1334" s="9" t="b" cm="1">
        <f t="array" ref="O1334">INDEX(stable[is_numerical],MATCH(VALUE(questions[[#This Row],[qno]]),VALUE(stable[qno]),0))</f>
        <v>0</v>
      </c>
      <c r="P1334" s="9" t="b" cm="1">
        <f t="array" ref="P1334">INDEX(stable[is_single_select],MATCH(VALUE(questions[[#This Row],[qno]]),VALUE(stable[qno]),0))</f>
        <v>1</v>
      </c>
      <c r="Q1334" s="9" t="b" cm="1">
        <f t="array" ref="Q1334">INDEX(stable[is_multi_select],MATCH(VALUE(questions[[#This Row],[qno]]),VALUE(stable[qno]),0))</f>
        <v>0</v>
      </c>
      <c r="R1334" s="9" t="b" cm="1">
        <f t="array" ref="R1334">INDEX(stable[is_skip_logic],MATCH(VALUE(questions[[#This Row],[qno]]),VALUE(stable[qno]),0))</f>
        <v>1</v>
      </c>
      <c r="S1334" s="9" t="str">
        <f>_xlfn.TEXTJOIN(", ",TRUE,questions[[#This Row],[ans_opt_1]:[ans_opt_14]])</f>
        <v>kg</v>
      </c>
      <c r="T1334" s="33" t="s">
        <v>562</v>
      </c>
      <c r="U1334" s="33"/>
      <c r="V1334" s="33"/>
      <c r="W1334" s="33"/>
      <c r="X1334" s="33"/>
      <c r="Y1334" s="33"/>
      <c r="Z1334" s="33"/>
      <c r="AA1334" s="33"/>
      <c r="AB1334" s="33"/>
      <c r="AC1334" s="33"/>
      <c r="AD1334" s="33"/>
      <c r="AE1334" s="33"/>
      <c r="AF1334" s="33"/>
      <c r="AG1334" s="33"/>
      <c r="AH1334" s="99" t="b">
        <f>INDEX(stable[q_standard],MATCH(questions[[#This Row],[qno]],stable[qno],0))</f>
        <v>0</v>
      </c>
      <c r="AI1334" s="99" t="b">
        <f>INDEX(stable[q_living_income],MATCH(questions[[#This Row],[qno]],stable[qno],0))</f>
        <v>1</v>
      </c>
      <c r="AJ1334" s="99" t="b">
        <f>INDEX(stable[q_carbon],MATCH(questions[[#This Row],[qno]],stable[qno],0))</f>
        <v>1</v>
      </c>
      <c r="AK1334" s="99" t="b">
        <f>INDEX(stable[q_regen_ag],MATCH(questions[[#This Row],[qno]],stable[qno],0))</f>
        <v>0</v>
      </c>
      <c r="AL1334" s="16" t="b">
        <f>COUNTIFS(stable[qno],questions[[#This Row],[qno]])=1</f>
        <v>1</v>
      </c>
      <c r="AM1334" s="16" t="b">
        <f>OR(questions[[#This Row],[is_fixed]],questions[[#This Row],[is_localized]],questions[[#This Row],[is_supply_chain_dependent]])</f>
        <v>1</v>
      </c>
      <c r="AN1334" s="16" t="b">
        <f>COUNTIFS(questions[[#This Row],[is_automated]:[is_multi_select]],TRUE)=1</f>
        <v>1</v>
      </c>
      <c r="AO1334" s="16" t="b">
        <f>IF(questions[[#This Row],[is_fixed]],questions[[#This Row],[question]]=INDEX(stable[question],MATCH(questions[[#This Row],[qno]],stable[qno],0)),TRUE)</f>
        <v>1</v>
      </c>
      <c r="AP1334" s="16" t="str">
        <f>LEFT(questions[[#This Row],[question]],similarity_range)</f>
        <v>Please ensure that t</v>
      </c>
      <c r="AQ1334" s="16" t="str">
        <f>LEFT(INDEX(stable[question],MATCH(questions[[#This Row],[qno]],stable[qno],0)),similarity_range)</f>
        <v>What was the unit of</v>
      </c>
      <c r="AR1334" s="16" t="b">
        <f>questions[[#This Row],[question_first_characters]]=questions[[#This Row],[stability_first_characters]]</f>
        <v>0</v>
      </c>
      <c r="AS1334" s="16" t="b">
        <f>IF(OR(questions[[#This Row],[is_single_select]],questions[[#This Row],[is_multi_select]]),NOT(ISBLANK(questions[[#This Row],[answer_opt_combined]])),TRUE)</f>
        <v>1</v>
      </c>
    </row>
    <row r="1335" spans="1:45" s="77" customFormat="1" ht="15.75" customHeight="1" x14ac:dyDescent="0.25">
      <c r="A1335" s="77" t="str">
        <f>_xlfn.TEXTJOIN("_",TRUE,questions[[#This Row],[origin]:[qno]])</f>
        <v>Rwanda_Arabica_Nestle_Illy_IMPACT_2025_5140</v>
      </c>
      <c r="B1335" s="77" t="s">
        <v>719</v>
      </c>
      <c r="C1335" s="77" t="s">
        <v>59</v>
      </c>
      <c r="D1335" s="77" t="s">
        <v>720</v>
      </c>
      <c r="E1335" s="77">
        <v>2025</v>
      </c>
      <c r="F1335" s="105" t="s">
        <v>171</v>
      </c>
      <c r="G1335" s="78" t="s">
        <v>966</v>
      </c>
      <c r="H1335" s="9" t="str" cm="1">
        <f t="array" ref="H1335">INDEX(stableR[question],MATCH(VALUE(questions[[#This Row],[qno]]),VALUE(stableR[qno]),0))</f>
        <v>Did you use Limestone or Dolomitic Limestone (Dolomite) last year?</v>
      </c>
      <c r="I1335" s="9" t="b" cm="1">
        <f t="array" ref="I1335">INDEX(stable[is_fixed],MATCH(VALUE(questions[[#This Row],[qno]]),VALUE(stable[qno]),0))</f>
        <v>1</v>
      </c>
      <c r="J1335" s="9" t="b" cm="1">
        <f t="array" ref="J1335">INDEX(stable[is_localized],MATCH(VALUE(questions[[#This Row],[qno]]),VALUE(stable[qno]),0))</f>
        <v>1</v>
      </c>
      <c r="K1335" s="9" t="b" cm="1">
        <f t="array" ref="K1335">INDEX(stable[is_supply_chain_dependent],MATCH(VALUE(questions[[#This Row],[qno]]),VALUE(stable[qno]),0))</f>
        <v>0</v>
      </c>
      <c r="L1335" s="9" t="b" cm="1">
        <f t="array" ref="L1335">INDEX(stable[is_mandatory],MATCH(VALUE(questions[[#This Row],[qno]]),VALUE(stable[qno]),0))</f>
        <v>1</v>
      </c>
      <c r="M1335" s="9" t="b" cm="1">
        <f t="array" ref="M1335">INDEX(stable[is_automated],MATCH(VALUE(questions[[#This Row],[qno]]),VALUE(stable[qno]),0))</f>
        <v>0</v>
      </c>
      <c r="N1335" s="9" t="b" cm="1">
        <f t="array" ref="N1335">INDEX(stable[is_free_text],MATCH(VALUE(questions[[#This Row],[qno]]),VALUE(stable[qno]),0))</f>
        <v>0</v>
      </c>
      <c r="O1335" s="9" t="b" cm="1">
        <f t="array" ref="O1335">INDEX(stable[is_numerical],MATCH(VALUE(questions[[#This Row],[qno]]),VALUE(stable[qno]),0))</f>
        <v>0</v>
      </c>
      <c r="P1335" s="77" t="b" cm="1">
        <f t="array" ref="P1335">INDEX(stable[is_single_select],MATCH(VALUE(questions[[#This Row],[qno]]),VALUE(stable[qno]),0))</f>
        <v>1</v>
      </c>
      <c r="Q1335" s="77" t="b" cm="1">
        <f t="array" ref="Q1335">INDEX(stable[is_multi_select],MATCH(VALUE(questions[[#This Row],[qno]]),VALUE(stable[qno]),0))</f>
        <v>0</v>
      </c>
      <c r="R1335" s="77" t="b" cm="1">
        <f t="array" ref="R1335">INDEX(stable[is_skip_logic],MATCH(VALUE(questions[[#This Row],[qno]]),VALUE(stable[qno]),0))</f>
        <v>1</v>
      </c>
      <c r="S1335" s="77" t="str">
        <f>_xlfn.TEXTJOIN(", ",TRUE,questions[[#This Row],[ans_opt_1]:[ans_opt_14]])</f>
        <v>No, Limestone, Dolomitic Limestone (Dolomite)</v>
      </c>
      <c r="T1335" s="77" t="s">
        <v>119</v>
      </c>
      <c r="U1335" s="131" t="s">
        <v>967</v>
      </c>
      <c r="V1335" s="142" t="s">
        <v>968</v>
      </c>
      <c r="AH1335" s="98" t="b">
        <f>INDEX(stable[q_standard],MATCH(questions[[#This Row],[qno]],stable[qno],0))</f>
        <v>0</v>
      </c>
      <c r="AI1335" s="98" t="b">
        <f>INDEX(stable[q_living_income],MATCH(questions[[#This Row],[qno]],stable[qno],0))</f>
        <v>1</v>
      </c>
      <c r="AJ1335" s="98" t="b">
        <f>INDEX(stable[q_carbon],MATCH(questions[[#This Row],[qno]],stable[qno],0))</f>
        <v>1</v>
      </c>
      <c r="AK1335" s="98" t="b">
        <f>INDEX(stable[q_regen_ag],MATCH(questions[[#This Row],[qno]],stable[qno],0))</f>
        <v>0</v>
      </c>
      <c r="AL1335" s="98" t="b">
        <f>COUNTIFS(stable[qno],questions[[#This Row],[qno]])=1</f>
        <v>1</v>
      </c>
      <c r="AM1335" s="98" t="b">
        <f>OR(questions[[#This Row],[is_fixed]],questions[[#This Row],[is_localized]],questions[[#This Row],[is_supply_chain_dependent]])</f>
        <v>1</v>
      </c>
      <c r="AN1335" s="98" t="b">
        <f>COUNTIFS(questions[[#This Row],[is_automated]:[is_multi_select]],TRUE)=1</f>
        <v>1</v>
      </c>
      <c r="AO1335" s="98" t="b">
        <f>IF(questions[[#This Row],[is_fixed]],questions[[#This Row],[question]]=INDEX(stable[question],MATCH(questions[[#This Row],[qno]],stable[qno],0)),TRUE)</f>
        <v>0</v>
      </c>
      <c r="AP1335" s="98" t="str">
        <f>LEFT(questions[[#This Row],[question]],similarity_range)</f>
        <v>Did you use Limeston</v>
      </c>
      <c r="AQ1335" s="98" t="str">
        <f>LEFT(INDEX(stable[question],MATCH(questions[[#This Row],[qno]],stable[qno],0)),similarity_range)</f>
        <v>Did you use Limeston</v>
      </c>
      <c r="AR1335" s="98" t="b">
        <f>questions[[#This Row],[question_first_characters]]=questions[[#This Row],[stability_first_characters]]</f>
        <v>1</v>
      </c>
      <c r="AS1335" s="98" t="b">
        <f>IF(OR(questions[[#This Row],[is_single_select]],questions[[#This Row],[is_multi_select]]),NOT(ISBLANK(questions[[#This Row],[answer_opt_combined]])),TRUE)</f>
        <v>1</v>
      </c>
    </row>
    <row r="1336" spans="1:45" ht="15.75" customHeight="1" x14ac:dyDescent="0.25">
      <c r="A1336" s="9" t="str">
        <f>_xlfn.TEXTJOIN("_",TRUE,questions[[#This Row],[origin]:[qno]])</f>
        <v>Rwanda_Arabica_Nestle_Illy_IMPACT_2025_5141</v>
      </c>
      <c r="B1336" s="9" t="s">
        <v>719</v>
      </c>
      <c r="C1336" s="9" t="s">
        <v>59</v>
      </c>
      <c r="D1336" s="9" t="s">
        <v>720</v>
      </c>
      <c r="E1336" s="33">
        <v>2025</v>
      </c>
      <c r="F1336" s="36" t="s">
        <v>750</v>
      </c>
      <c r="G1336" s="37" t="s">
        <v>969</v>
      </c>
      <c r="H1336" s="9" t="str" cm="1">
        <f t="array" ref="H1336">INDEX(stableR[question],MATCH(VALUE(questions[[#This Row],[qno]]),VALUE(stableR[qno]),0))</f>
        <v>What was the total quantity of the Limestone or Dolomitic Limestone (Dolomite) that you used last year? (Kg)</v>
      </c>
      <c r="I1336" s="9" t="b" cm="1">
        <f t="array" ref="I1336">INDEX(stable[is_fixed],MATCH(VALUE(questions[[#This Row],[qno]]),VALUE(stable[qno]),0))</f>
        <v>0</v>
      </c>
      <c r="J1336" s="9" t="b" cm="1">
        <f t="array" ref="J1336">INDEX(stable[is_localized],MATCH(VALUE(questions[[#This Row],[qno]]),VALUE(stable[qno]),0))</f>
        <v>1</v>
      </c>
      <c r="K1336" s="9" t="b" cm="1">
        <f t="array" ref="K1336">INDEX(stable[is_supply_chain_dependent],MATCH(VALUE(questions[[#This Row],[qno]]),VALUE(stable[qno]),0))</f>
        <v>0</v>
      </c>
      <c r="L1336" s="9" t="b" cm="1">
        <f t="array" ref="L1336">INDEX(stable[is_mandatory],MATCH(VALUE(questions[[#This Row],[qno]]),VALUE(stable[qno]),0))</f>
        <v>0</v>
      </c>
      <c r="M1336" s="9" t="b" cm="1">
        <f t="array" ref="M1336">INDEX(stable[is_automated],MATCH(VALUE(questions[[#This Row],[qno]]),VALUE(stable[qno]),0))</f>
        <v>0</v>
      </c>
      <c r="N1336" s="9" t="b" cm="1">
        <f t="array" ref="N1336">INDEX(stable[is_free_text],MATCH(VALUE(questions[[#This Row],[qno]]),VALUE(stable[qno]),0))</f>
        <v>0</v>
      </c>
      <c r="O1336" s="9" t="b" cm="1">
        <f t="array" ref="O1336">INDEX(stable[is_numerical],MATCH(VALUE(questions[[#This Row],[qno]]),VALUE(stable[qno]),0))</f>
        <v>1</v>
      </c>
      <c r="P1336" s="9" t="b" cm="1">
        <f t="array" ref="P1336">INDEX(stable[is_single_select],MATCH(VALUE(questions[[#This Row],[qno]]),VALUE(stable[qno]),0))</f>
        <v>0</v>
      </c>
      <c r="Q1336" s="9" t="b" cm="1">
        <f t="array" ref="Q1336">INDEX(stable[is_multi_select],MATCH(VALUE(questions[[#This Row],[qno]]),VALUE(stable[qno]),0))</f>
        <v>0</v>
      </c>
      <c r="R1336" s="9" t="b" cm="1">
        <f t="array" ref="R1336">INDEX(stable[is_skip_logic],MATCH(VALUE(questions[[#This Row],[qno]]),VALUE(stable[qno]),0))</f>
        <v>1</v>
      </c>
      <c r="S1336" s="9" t="str">
        <f>_xlfn.TEXTJOIN(", ",TRUE,questions[[#This Row],[ans_opt_1]:[ans_opt_14]])</f>
        <v/>
      </c>
      <c r="T1336" s="66"/>
      <c r="U1336" s="66"/>
      <c r="V1336" s="67"/>
      <c r="W1336" s="33"/>
      <c r="X1336" s="33"/>
      <c r="AH1336" s="16" t="b">
        <f>INDEX(stable[q_standard],MATCH(questions[[#This Row],[qno]],stable[qno],0))</f>
        <v>0</v>
      </c>
      <c r="AI1336" s="16" t="b">
        <f>INDEX(stable[q_living_income],MATCH(questions[[#This Row],[qno]],stable[qno],0))</f>
        <v>1</v>
      </c>
      <c r="AJ1336" s="16" t="b">
        <f>INDEX(stable[q_carbon],MATCH(questions[[#This Row],[qno]],stable[qno],0))</f>
        <v>1</v>
      </c>
      <c r="AK1336" s="16" t="b">
        <f>INDEX(stable[q_regen_ag],MATCH(questions[[#This Row],[qno]],stable[qno],0))</f>
        <v>0</v>
      </c>
      <c r="AL1336" s="16" t="b">
        <f>COUNTIFS(stable[qno],questions[[#This Row],[qno]])=1</f>
        <v>1</v>
      </c>
      <c r="AM1336" s="16" t="b">
        <f>OR(questions[[#This Row],[is_fixed]],questions[[#This Row],[is_localized]],questions[[#This Row],[is_supply_chain_dependent]])</f>
        <v>1</v>
      </c>
      <c r="AN1336" s="16" t="b">
        <f>COUNTIFS(questions[[#This Row],[is_automated]:[is_multi_select]],TRUE)=1</f>
        <v>1</v>
      </c>
      <c r="AO1336" s="16" t="b">
        <f>IF(questions[[#This Row],[is_fixed]],questions[[#This Row],[question]]=INDEX(stable[question],MATCH(questions[[#This Row],[qno]],stable[qno],0)),TRUE)</f>
        <v>1</v>
      </c>
      <c r="AP1336" s="16" t="str">
        <f>LEFT(questions[[#This Row],[question]],similarity_range)</f>
        <v>What was the total q</v>
      </c>
      <c r="AQ1336" s="16" t="str">
        <f>LEFT(INDEX(stable[question],MATCH(questions[[#This Row],[qno]],stable[qno],0)),similarity_range)</f>
        <v>What was the total q</v>
      </c>
      <c r="AR1336" s="16" t="b">
        <f>questions[[#This Row],[question_first_characters]]=questions[[#This Row],[stability_first_characters]]</f>
        <v>1</v>
      </c>
      <c r="AS1336" s="16" t="b">
        <f>IF(OR(questions[[#This Row],[is_single_select]],questions[[#This Row],[is_multi_select]]),NOT(ISBLANK(questions[[#This Row],[answer_opt_combined]])),TRUE)</f>
        <v>1</v>
      </c>
    </row>
    <row r="1337" spans="1:45" ht="15.75" customHeight="1" x14ac:dyDescent="0.25">
      <c r="A1337" s="9" t="str">
        <f>_xlfn.TEXTJOIN("_",TRUE,questions[[#This Row],[origin]:[qno]])</f>
        <v>Rwanda_Arabica_Nestle_Illy_IMPACT_2025_5142</v>
      </c>
      <c r="B1337" s="9" t="s">
        <v>719</v>
      </c>
      <c r="C1337" s="9" t="s">
        <v>59</v>
      </c>
      <c r="D1337" s="9" t="s">
        <v>720</v>
      </c>
      <c r="E1337" s="33">
        <v>2025</v>
      </c>
      <c r="F1337" s="36" t="s">
        <v>692</v>
      </c>
      <c r="G1337" s="73" t="s">
        <v>752</v>
      </c>
      <c r="H1337" s="9" t="str" cm="1">
        <f t="array" ref="H1337">INDEX(stableR[question],MATCH(VALUE(questions[[#This Row],[qno]]),VALUE(stableR[qno]),0))</f>
        <v>What was the unit of the Limestone or Dolomitic Limestone (Dolomite)? (bags, kg)</v>
      </c>
      <c r="I1337" s="9" t="b" cm="1">
        <f t="array" ref="I1337">INDEX(stable[is_fixed],MATCH(VALUE(questions[[#This Row],[qno]]),VALUE(stable[qno]),0))</f>
        <v>0</v>
      </c>
      <c r="J1337" s="9" t="b" cm="1">
        <f t="array" ref="J1337">INDEX(stable[is_localized],MATCH(VALUE(questions[[#This Row],[qno]]),VALUE(stable[qno]),0))</f>
        <v>1</v>
      </c>
      <c r="K1337" s="9" t="b" cm="1">
        <f t="array" ref="K1337">INDEX(stable[is_supply_chain_dependent],MATCH(VALUE(questions[[#This Row],[qno]]),VALUE(stable[qno]),0))</f>
        <v>0</v>
      </c>
      <c r="L1337" s="9" t="b" cm="1">
        <f t="array" ref="L1337">INDEX(stable[is_mandatory],MATCH(VALUE(questions[[#This Row],[qno]]),VALUE(stable[qno]),0))</f>
        <v>0</v>
      </c>
      <c r="M1337" s="9" t="b" cm="1">
        <f t="array" ref="M1337">INDEX(stable[is_automated],MATCH(VALUE(questions[[#This Row],[qno]]),VALUE(stable[qno]),0))</f>
        <v>0</v>
      </c>
      <c r="N1337" s="9" t="b" cm="1">
        <f t="array" ref="N1337">INDEX(stable[is_free_text],MATCH(VALUE(questions[[#This Row],[qno]]),VALUE(stable[qno]),0))</f>
        <v>0</v>
      </c>
      <c r="O1337" s="9" t="b" cm="1">
        <f t="array" ref="O1337">INDEX(stable[is_numerical],MATCH(VALUE(questions[[#This Row],[qno]]),VALUE(stable[qno]),0))</f>
        <v>0</v>
      </c>
      <c r="P1337" s="9" t="b" cm="1">
        <f t="array" ref="P1337">INDEX(stable[is_single_select],MATCH(VALUE(questions[[#This Row],[qno]]),VALUE(stable[qno]),0))</f>
        <v>1</v>
      </c>
      <c r="Q1337" s="9" t="b" cm="1">
        <f t="array" ref="Q1337">INDEX(stable[is_multi_select],MATCH(VALUE(questions[[#This Row],[qno]]),VALUE(stable[qno]),0))</f>
        <v>0</v>
      </c>
      <c r="R1337" s="9" t="b" cm="1">
        <f t="array" ref="R1337">INDEX(stable[is_skip_logic],MATCH(VALUE(questions[[#This Row],[qno]]),VALUE(stable[qno]),0))</f>
        <v>1</v>
      </c>
      <c r="S1337" s="9" t="str">
        <f>_xlfn.TEXTJOIN(", ",TRUE,questions[[#This Row],[ans_opt_1]:[ans_opt_14]])</f>
        <v>kg</v>
      </c>
      <c r="T1337" s="66" t="s">
        <v>562</v>
      </c>
      <c r="U1337" s="66"/>
      <c r="V1337" s="67"/>
      <c r="W1337" s="33"/>
      <c r="X1337" s="33"/>
      <c r="AH1337" s="16" t="b">
        <f>INDEX(stable[q_standard],MATCH(questions[[#This Row],[qno]],stable[qno],0))</f>
        <v>0</v>
      </c>
      <c r="AI1337" s="16" t="b">
        <f>INDEX(stable[q_living_income],MATCH(questions[[#This Row],[qno]],stable[qno],0))</f>
        <v>1</v>
      </c>
      <c r="AJ1337" s="16" t="b">
        <f>INDEX(stable[q_carbon],MATCH(questions[[#This Row],[qno]],stable[qno],0))</f>
        <v>1</v>
      </c>
      <c r="AK1337" s="16" t="b">
        <f>INDEX(stable[q_regen_ag],MATCH(questions[[#This Row],[qno]],stable[qno],0))</f>
        <v>0</v>
      </c>
      <c r="AL1337" s="16" t="b">
        <f>COUNTIFS(stable[qno],questions[[#This Row],[qno]])=1</f>
        <v>1</v>
      </c>
      <c r="AM1337" s="16" t="b">
        <f>OR(questions[[#This Row],[is_fixed]],questions[[#This Row],[is_localized]],questions[[#This Row],[is_supply_chain_dependent]])</f>
        <v>1</v>
      </c>
      <c r="AN1337" s="16" t="b">
        <f>COUNTIFS(questions[[#This Row],[is_automated]:[is_multi_select]],TRUE)=1</f>
        <v>1</v>
      </c>
      <c r="AO1337" s="16" t="b">
        <f>IF(questions[[#This Row],[is_fixed]],questions[[#This Row],[question]]=INDEX(stable[question],MATCH(questions[[#This Row],[qno]],stable[qno],0)),TRUE)</f>
        <v>1</v>
      </c>
      <c r="AP1337" s="16" t="str">
        <f>LEFT(questions[[#This Row],[question]],similarity_range)</f>
        <v>Please ensure that t</v>
      </c>
      <c r="AQ1337" s="16" t="str">
        <f>LEFT(INDEX(stable[question],MATCH(questions[[#This Row],[qno]],stable[qno],0)),similarity_range)</f>
        <v>What was the unit of</v>
      </c>
      <c r="AR1337" s="16" t="b">
        <f>questions[[#This Row],[question_first_characters]]=questions[[#This Row],[stability_first_characters]]</f>
        <v>0</v>
      </c>
      <c r="AS1337" s="16" t="b">
        <f>IF(OR(questions[[#This Row],[is_single_select]],questions[[#This Row],[is_multi_select]]),NOT(ISBLANK(questions[[#This Row],[answer_opt_combined]])),TRUE)</f>
        <v>1</v>
      </c>
    </row>
    <row r="1338" spans="1:45" s="77" customFormat="1" ht="15.75" customHeight="1" x14ac:dyDescent="0.25">
      <c r="A1338" s="77" t="str">
        <f>_xlfn.TEXTJOIN("_",TRUE,questions[[#This Row],[origin]:[qno]])</f>
        <v>Rwanda_Arabica_Nestle_Illy_IMPACT_2025_5400</v>
      </c>
      <c r="B1338" s="77" t="s">
        <v>719</v>
      </c>
      <c r="C1338" s="77" t="s">
        <v>59</v>
      </c>
      <c r="D1338" s="77" t="s">
        <v>720</v>
      </c>
      <c r="E1338" s="77">
        <v>2025</v>
      </c>
      <c r="F1338" s="105" t="s">
        <v>175</v>
      </c>
      <c r="G1338" s="78" t="s">
        <v>176</v>
      </c>
      <c r="H1338" s="9" t="str" cm="1">
        <f t="array" ref="H1338">INDEX(stableR[question],MATCH(VALUE(questions[[#This Row],[qno]]),VALUE(stableR[qno]),0))</f>
        <v>Did you use any type of animal manure, compost, or organic fertilizers for your coffee last year?</v>
      </c>
      <c r="I1338" s="9" t="b" cm="1">
        <f t="array" ref="I1338">INDEX(stable[is_fixed],MATCH(VALUE(questions[[#This Row],[qno]]),VALUE(stable[qno]),0))</f>
        <v>1</v>
      </c>
      <c r="J1338" s="9" t="b" cm="1">
        <f t="array" ref="J1338">INDEX(stable[is_localized],MATCH(VALUE(questions[[#This Row],[qno]]),VALUE(stable[qno]),0))</f>
        <v>0</v>
      </c>
      <c r="K1338" s="9" t="b" cm="1">
        <f t="array" ref="K1338">INDEX(stable[is_supply_chain_dependent],MATCH(VALUE(questions[[#This Row],[qno]]),VALUE(stable[qno]),0))</f>
        <v>0</v>
      </c>
      <c r="L1338" s="9" t="b" cm="1">
        <f t="array" ref="L1338">INDEX(stable[is_mandatory],MATCH(VALUE(questions[[#This Row],[qno]]),VALUE(stable[qno]),0))</f>
        <v>1</v>
      </c>
      <c r="M1338" s="9" t="b" cm="1">
        <f t="array" ref="M1338">INDEX(stable[is_automated],MATCH(VALUE(questions[[#This Row],[qno]]),VALUE(stable[qno]),0))</f>
        <v>0</v>
      </c>
      <c r="N1338" s="9" t="b" cm="1">
        <f t="array" ref="N1338">INDEX(stable[is_free_text],MATCH(VALUE(questions[[#This Row],[qno]]),VALUE(stable[qno]),0))</f>
        <v>0</v>
      </c>
      <c r="O1338" s="9" t="b" cm="1">
        <f t="array" ref="O1338">INDEX(stable[is_numerical],MATCH(VALUE(questions[[#This Row],[qno]]),VALUE(stable[qno]),0))</f>
        <v>0</v>
      </c>
      <c r="P1338" s="77" t="b" cm="1">
        <f t="array" ref="P1338">INDEX(stable[is_single_select],MATCH(VALUE(questions[[#This Row],[qno]]),VALUE(stable[qno]),0))</f>
        <v>1</v>
      </c>
      <c r="Q1338" s="77" t="b" cm="1">
        <f t="array" ref="Q1338">INDEX(stable[is_multi_select],MATCH(VALUE(questions[[#This Row],[qno]]),VALUE(stable[qno]),0))</f>
        <v>0</v>
      </c>
      <c r="R1338" s="77" t="b" cm="1">
        <f t="array" ref="R1338">INDEX(stable[is_skip_logic],MATCH(VALUE(questions[[#This Row],[qno]]),VALUE(stable[qno]),0))</f>
        <v>1</v>
      </c>
      <c r="S1338" s="77" t="str">
        <f>_xlfn.TEXTJOIN(", ",TRUE,questions[[#This Row],[ans_opt_1]:[ans_opt_14]])</f>
        <v>Yes, No</v>
      </c>
      <c r="T1338" s="77" t="s">
        <v>149</v>
      </c>
      <c r="U1338" s="77" t="s">
        <v>119</v>
      </c>
      <c r="AH1338" s="98" t="b">
        <f>INDEX(stable[q_standard],MATCH(questions[[#This Row],[qno]],stable[qno],0))</f>
        <v>0</v>
      </c>
      <c r="AI1338" s="98" t="b">
        <f>INDEX(stable[q_living_income],MATCH(questions[[#This Row],[qno]],stable[qno],0))</f>
        <v>1</v>
      </c>
      <c r="AJ1338" s="98" t="b">
        <f>INDEX(stable[q_carbon],MATCH(questions[[#This Row],[qno]],stable[qno],0))</f>
        <v>1</v>
      </c>
      <c r="AK1338" s="98" t="b">
        <f>INDEX(stable[q_regen_ag],MATCH(questions[[#This Row],[qno]],stable[qno],0))</f>
        <v>0</v>
      </c>
      <c r="AL1338" s="98" t="b">
        <f>COUNTIFS(stable[qno],questions[[#This Row],[qno]])=1</f>
        <v>1</v>
      </c>
      <c r="AM1338" s="98" t="b">
        <f>OR(questions[[#This Row],[is_fixed]],questions[[#This Row],[is_localized]],questions[[#This Row],[is_supply_chain_dependent]])</f>
        <v>1</v>
      </c>
      <c r="AN1338" s="98" t="b">
        <f>COUNTIFS(questions[[#This Row],[is_automated]:[is_multi_select]],TRUE)=1</f>
        <v>1</v>
      </c>
      <c r="AO1338" s="98" t="b">
        <f>IF(questions[[#This Row],[is_fixed]],questions[[#This Row],[question]]=INDEX(stable[question],MATCH(questions[[#This Row],[qno]],stable[qno],0)),TRUE)</f>
        <v>1</v>
      </c>
      <c r="AP1338" s="98" t="str">
        <f>LEFT(questions[[#This Row],[question]],similarity_range)</f>
        <v>Did you use any type</v>
      </c>
      <c r="AQ1338" s="98" t="str">
        <f>LEFT(INDEX(stable[question],MATCH(questions[[#This Row],[qno]],stable[qno],0)),similarity_range)</f>
        <v>Did you use any type</v>
      </c>
      <c r="AR1338" s="98" t="b">
        <f>questions[[#This Row],[question_first_characters]]=questions[[#This Row],[stability_first_characters]]</f>
        <v>1</v>
      </c>
      <c r="AS1338" s="98" t="b">
        <f>IF(OR(questions[[#This Row],[is_single_select]],questions[[#This Row],[is_multi_select]]),NOT(ISBLANK(questions[[#This Row],[answer_opt_combined]])),TRUE)</f>
        <v>1</v>
      </c>
    </row>
    <row r="1339" spans="1:45" s="77" customFormat="1" ht="15.75" customHeight="1" x14ac:dyDescent="0.25">
      <c r="A1339" s="77" t="str">
        <f>_xlfn.TEXTJOIN("_",TRUE,questions[[#This Row],[origin]:[qno]])</f>
        <v>Rwanda_Arabica_Nestle_Illy_IMPACT_2025_5401</v>
      </c>
      <c r="B1339" s="77" t="s">
        <v>719</v>
      </c>
      <c r="C1339" s="77" t="s">
        <v>59</v>
      </c>
      <c r="D1339" s="77" t="s">
        <v>720</v>
      </c>
      <c r="E1339" s="77">
        <v>2025</v>
      </c>
      <c r="F1339" s="105" t="s">
        <v>177</v>
      </c>
      <c r="G1339" s="120" t="s">
        <v>1020</v>
      </c>
      <c r="H1339" s="9" t="str" cm="1">
        <f t="array" ref="H1339">INDEX(stableR[question],MATCH(VALUE(questions[[#This Row],[qno]]),VALUE(stableR[qno]),0))</f>
        <v>What was the type of animal manure, compost, or organic fertilizer that you used most last year?</v>
      </c>
      <c r="I1339" s="9" t="b" cm="1">
        <f t="array" ref="I1339">INDEX(stable[is_fixed],MATCH(VALUE(questions[[#This Row],[qno]]),VALUE(stable[qno]),0))</f>
        <v>1</v>
      </c>
      <c r="J1339" s="9" t="b" cm="1">
        <f t="array" ref="J1339">INDEX(stable[is_localized],MATCH(VALUE(questions[[#This Row],[qno]]),VALUE(stable[qno]),0))</f>
        <v>0</v>
      </c>
      <c r="K1339" s="9" t="b" cm="1">
        <f t="array" ref="K1339">INDEX(stable[is_supply_chain_dependent],MATCH(VALUE(questions[[#This Row],[qno]]),VALUE(stable[qno]),0))</f>
        <v>0</v>
      </c>
      <c r="L1339" s="9" t="b" cm="1">
        <f t="array" ref="L1339">INDEX(stable[is_mandatory],MATCH(VALUE(questions[[#This Row],[qno]]),VALUE(stable[qno]),0))</f>
        <v>0</v>
      </c>
      <c r="M1339" s="9" t="b" cm="1">
        <f t="array" ref="M1339">INDEX(stable[is_automated],MATCH(VALUE(questions[[#This Row],[qno]]),VALUE(stable[qno]),0))</f>
        <v>0</v>
      </c>
      <c r="N1339" s="9" t="b" cm="1">
        <f t="array" ref="N1339">INDEX(stable[is_free_text],MATCH(VALUE(questions[[#This Row],[qno]]),VALUE(stable[qno]),0))</f>
        <v>1</v>
      </c>
      <c r="O1339" s="9" t="b" cm="1">
        <f t="array" ref="O1339">INDEX(stable[is_numerical],MATCH(VALUE(questions[[#This Row],[qno]]),VALUE(stable[qno]),0))</f>
        <v>0</v>
      </c>
      <c r="P1339" s="138" t="b" cm="1">
        <f t="array" ref="P1339">INDEX(stable[is_single_select],MATCH(VALUE(questions[[#This Row],[qno]]),VALUE(stable[qno]),0))</f>
        <v>1</v>
      </c>
      <c r="Q1339" s="77" t="b" cm="1">
        <f t="array" ref="Q1339">INDEX(stable[is_multi_select],MATCH(VALUE(questions[[#This Row],[qno]]),VALUE(stable[qno]),0))</f>
        <v>0</v>
      </c>
      <c r="R1339" s="77" t="b" cm="1">
        <f t="array" ref="R1339">INDEX(stable[is_skip_logic],MATCH(VALUE(questions[[#This Row],[qno]]),VALUE(stable[qno]),0))</f>
        <v>1</v>
      </c>
      <c r="S1339" s="77" t="str">
        <f>_xlfn.TEXTJOIN(", ",TRUE,questions[[#This Row],[ans_opt_1]:[ans_opt_14]])</f>
        <v>"Coffee-related organic fertilizer" received from CWSs/Mills , Commercial organic fertilizer, Organic manure sheep, Organic manure poultry, Organic manure horse, Organic manure swine, Goat manure mixed with grass, Composted from rubbish, Organic manure cattle</v>
      </c>
      <c r="T1339" s="69" t="s">
        <v>971</v>
      </c>
      <c r="U1339" s="69" t="s">
        <v>972</v>
      </c>
      <c r="V1339" s="69" t="s">
        <v>973</v>
      </c>
      <c r="W1339" s="69" t="s">
        <v>974</v>
      </c>
      <c r="X1339" s="69" t="s">
        <v>975</v>
      </c>
      <c r="Y1339" s="69" t="s">
        <v>976</v>
      </c>
      <c r="Z1339" s="69" t="s">
        <v>977</v>
      </c>
      <c r="AA1339" s="69" t="s">
        <v>978</v>
      </c>
      <c r="AB1339" s="69" t="s">
        <v>979</v>
      </c>
      <c r="AH1339" s="98" t="b">
        <f>INDEX(stable[q_standard],MATCH(questions[[#This Row],[qno]],stable[qno],0))</f>
        <v>0</v>
      </c>
      <c r="AI1339" s="98" t="b">
        <f>INDEX(stable[q_living_income],MATCH(questions[[#This Row],[qno]],stable[qno],0))</f>
        <v>1</v>
      </c>
      <c r="AJ1339" s="98" t="b">
        <f>INDEX(stable[q_carbon],MATCH(questions[[#This Row],[qno]],stable[qno],0))</f>
        <v>1</v>
      </c>
      <c r="AK1339" s="98" t="b">
        <f>INDEX(stable[q_regen_ag],MATCH(questions[[#This Row],[qno]],stable[qno],0))</f>
        <v>0</v>
      </c>
      <c r="AL1339" s="98" t="b">
        <f>COUNTIFS(stable[qno],questions[[#This Row],[qno]])=1</f>
        <v>1</v>
      </c>
      <c r="AM1339" s="98" t="b">
        <f>OR(questions[[#This Row],[is_fixed]],questions[[#This Row],[is_localized]],questions[[#This Row],[is_supply_chain_dependent]])</f>
        <v>1</v>
      </c>
      <c r="AN1339" s="98" t="b">
        <f>COUNTIFS(questions[[#This Row],[is_automated]:[is_multi_select]],TRUE)=1</f>
        <v>0</v>
      </c>
      <c r="AO1339" s="98" t="b">
        <f>IF(questions[[#This Row],[is_fixed]],questions[[#This Row],[question]]=INDEX(stable[question],MATCH(questions[[#This Row],[qno]],stable[qno],0)),TRUE)</f>
        <v>0</v>
      </c>
      <c r="AP1339" s="98" t="str">
        <f>LEFT(questions[[#This Row],[question]],similarity_range)</f>
        <v>If yes, what was the</v>
      </c>
      <c r="AQ1339" s="98" t="str">
        <f>LEFT(INDEX(stable[question],MATCH(questions[[#This Row],[qno]],stable[qno],0)),similarity_range)</f>
        <v>If yes, what was the</v>
      </c>
      <c r="AR1339" s="98" t="b">
        <f>questions[[#This Row],[question_first_characters]]=questions[[#This Row],[stability_first_characters]]</f>
        <v>1</v>
      </c>
      <c r="AS1339" s="98" t="b">
        <f>IF(OR(questions[[#This Row],[is_single_select]],questions[[#This Row],[is_multi_select]]),NOT(ISBLANK(questions[[#This Row],[answer_opt_combined]])),TRUE)</f>
        <v>1</v>
      </c>
    </row>
    <row r="1340" spans="1:45" ht="15.75" customHeight="1" x14ac:dyDescent="0.25">
      <c r="A1340" s="9" t="str">
        <f>_xlfn.TEXTJOIN("_",TRUE,questions[[#This Row],[origin]:[qno]])</f>
        <v>Rwanda_Arabica_Nestle_Illy_IMPACT_2025_5402</v>
      </c>
      <c r="B1340" s="9" t="s">
        <v>719</v>
      </c>
      <c r="C1340" s="9" t="s">
        <v>59</v>
      </c>
      <c r="D1340" s="9" t="s">
        <v>720</v>
      </c>
      <c r="E1340" s="33">
        <v>2025</v>
      </c>
      <c r="F1340" s="36" t="s">
        <v>179</v>
      </c>
      <c r="G1340" s="18" t="s">
        <v>980</v>
      </c>
      <c r="H1340" s="9" t="str" cm="1">
        <f t="array" ref="H1340">INDEX(stableR[question],MATCH(VALUE(questions[[#This Row],[qno]]),VALUE(stableR[qno]),0))</f>
        <v>What was the total quantity of this type of animal manure/compost/organic fertilizer that you used most (Kg)?</v>
      </c>
      <c r="I1340" s="9" t="b" cm="1">
        <f t="array" ref="I1340">INDEX(stable[is_fixed],MATCH(VALUE(questions[[#This Row],[qno]]),VALUE(stable[qno]),0))</f>
        <v>1</v>
      </c>
      <c r="J1340" s="9" t="b" cm="1">
        <f t="array" ref="J1340">INDEX(stable[is_localized],MATCH(VALUE(questions[[#This Row],[qno]]),VALUE(stable[qno]),0))</f>
        <v>0</v>
      </c>
      <c r="K1340" s="9" t="b" cm="1">
        <f t="array" ref="K1340">INDEX(stable[is_supply_chain_dependent],MATCH(VALUE(questions[[#This Row],[qno]]),VALUE(stable[qno]),0))</f>
        <v>0</v>
      </c>
      <c r="L1340" s="9" t="b" cm="1">
        <f t="array" ref="L1340">INDEX(stable[is_mandatory],MATCH(VALUE(questions[[#This Row],[qno]]),VALUE(stable[qno]),0))</f>
        <v>0</v>
      </c>
      <c r="M1340" s="9" t="b" cm="1">
        <f t="array" ref="M1340">INDEX(stable[is_automated],MATCH(VALUE(questions[[#This Row],[qno]]),VALUE(stable[qno]),0))</f>
        <v>0</v>
      </c>
      <c r="N1340" s="9" t="b" cm="1">
        <f t="array" ref="N1340">INDEX(stable[is_free_text],MATCH(VALUE(questions[[#This Row],[qno]]),VALUE(stable[qno]),0))</f>
        <v>0</v>
      </c>
      <c r="O1340" s="9" t="b" cm="1">
        <f t="array" ref="O1340">INDEX(stable[is_numerical],MATCH(VALUE(questions[[#This Row],[qno]]),VALUE(stable[qno]),0))</f>
        <v>1</v>
      </c>
      <c r="P1340" s="9" t="b" cm="1">
        <f t="array" ref="P1340">INDEX(stable[is_single_select],MATCH(VALUE(questions[[#This Row],[qno]]),VALUE(stable[qno]),0))</f>
        <v>0</v>
      </c>
      <c r="Q1340" s="9" t="b" cm="1">
        <f t="array" ref="Q1340">INDEX(stable[is_multi_select],MATCH(VALUE(questions[[#This Row],[qno]]),VALUE(stable[qno]),0))</f>
        <v>0</v>
      </c>
      <c r="R1340" s="9" t="b" cm="1">
        <f t="array" ref="R1340">INDEX(stable[is_skip_logic],MATCH(VALUE(questions[[#This Row],[qno]]),VALUE(stable[qno]),0))</f>
        <v>1</v>
      </c>
      <c r="S1340" s="9" t="str">
        <f>_xlfn.TEXTJOIN(", ",TRUE,questions[[#This Row],[ans_opt_1]:[ans_opt_14]])</f>
        <v/>
      </c>
      <c r="AH1340" s="16" t="b">
        <f>INDEX(stable[q_standard],MATCH(questions[[#This Row],[qno]],stable[qno],0))</f>
        <v>0</v>
      </c>
      <c r="AI1340" s="16" t="b">
        <f>INDEX(stable[q_living_income],MATCH(questions[[#This Row],[qno]],stable[qno],0))</f>
        <v>1</v>
      </c>
      <c r="AJ1340" s="16" t="b">
        <f>INDEX(stable[q_carbon],MATCH(questions[[#This Row],[qno]],stable[qno],0))</f>
        <v>1</v>
      </c>
      <c r="AK1340" s="16" t="b">
        <f>INDEX(stable[q_regen_ag],MATCH(questions[[#This Row],[qno]],stable[qno],0))</f>
        <v>0</v>
      </c>
      <c r="AL1340" s="16" t="b">
        <f>COUNTIFS(stable[qno],questions[[#This Row],[qno]])=1</f>
        <v>1</v>
      </c>
      <c r="AM1340" s="16" t="b">
        <f>OR(questions[[#This Row],[is_fixed]],questions[[#This Row],[is_localized]],questions[[#This Row],[is_supply_chain_dependent]])</f>
        <v>1</v>
      </c>
      <c r="AN1340" s="16" t="b">
        <f>COUNTIFS(questions[[#This Row],[is_automated]:[is_multi_select]],TRUE)=1</f>
        <v>1</v>
      </c>
      <c r="AO1340" s="16" t="b">
        <f>IF(questions[[#This Row],[is_fixed]],questions[[#This Row],[question]]=INDEX(stable[question],MATCH(questions[[#This Row],[qno]],stable[qno],0)),TRUE)</f>
        <v>0</v>
      </c>
      <c r="AP1340" s="16" t="str">
        <f>LEFT(questions[[#This Row],[question]],similarity_range)</f>
        <v>What was the total q</v>
      </c>
      <c r="AQ1340" s="16" t="str">
        <f>LEFT(INDEX(stable[question],MATCH(questions[[#This Row],[qno]],stable[qno],0)),similarity_range)</f>
        <v>What was the total q</v>
      </c>
      <c r="AR1340" s="16" t="b">
        <f>questions[[#This Row],[question_first_characters]]=questions[[#This Row],[stability_first_characters]]</f>
        <v>1</v>
      </c>
      <c r="AS1340" s="16" t="b">
        <f>IF(OR(questions[[#This Row],[is_single_select]],questions[[#This Row],[is_multi_select]]),NOT(ISBLANK(questions[[#This Row],[answer_opt_combined]])),TRUE)</f>
        <v>1</v>
      </c>
    </row>
    <row r="1341" spans="1:45" ht="15.75" customHeight="1" x14ac:dyDescent="0.25">
      <c r="A1341" s="9" t="str">
        <f>_xlfn.TEXTJOIN("_",TRUE,questions[[#This Row],[origin]:[qno]])</f>
        <v>Rwanda_Arabica_Nestle_Illy_IMPACT_2025_5403</v>
      </c>
      <c r="B1341" s="9" t="s">
        <v>719</v>
      </c>
      <c r="C1341" s="9" t="s">
        <v>59</v>
      </c>
      <c r="D1341" s="9" t="s">
        <v>720</v>
      </c>
      <c r="E1341" s="33">
        <v>2025</v>
      </c>
      <c r="F1341" s="36" t="s">
        <v>181</v>
      </c>
      <c r="G1341" s="64" t="s">
        <v>981</v>
      </c>
      <c r="H1341" s="9" t="str" cm="1">
        <f t="array" ref="H1341">INDEX(stableR[question],MATCH(VALUE(questions[[#This Row],[qno]]),VALUE(stableR[qno]),0))</f>
        <v>What was the unit of this type of animal manure/compost/organic fertilizer that you used most (kg, basins, 50 kg bags, wheel barrows, small truck/tipper, large truck)?</v>
      </c>
      <c r="I1341" s="9" t="b" cm="1">
        <f t="array" ref="I1341">INDEX(stable[is_fixed],MATCH(VALUE(questions[[#This Row],[qno]]),VALUE(stable[qno]),0))</f>
        <v>1</v>
      </c>
      <c r="J1341" s="9" t="b" cm="1">
        <f t="array" ref="J1341">INDEX(stable[is_localized],MATCH(VALUE(questions[[#This Row],[qno]]),VALUE(stable[qno]),0))</f>
        <v>0</v>
      </c>
      <c r="K1341" s="9" t="b" cm="1">
        <f t="array" ref="K1341">INDEX(stable[is_supply_chain_dependent],MATCH(VALUE(questions[[#This Row],[qno]]),VALUE(stable[qno]),0))</f>
        <v>0</v>
      </c>
      <c r="L1341" s="9" t="b" cm="1">
        <f t="array" ref="L1341">INDEX(stable[is_mandatory],MATCH(VALUE(questions[[#This Row],[qno]]),VALUE(stable[qno]),0))</f>
        <v>0</v>
      </c>
      <c r="M1341" s="9" t="b" cm="1">
        <f t="array" ref="M1341">INDEX(stable[is_automated],MATCH(VALUE(questions[[#This Row],[qno]]),VALUE(stable[qno]),0))</f>
        <v>0</v>
      </c>
      <c r="N1341" s="9" t="b" cm="1">
        <f t="array" ref="N1341">INDEX(stable[is_free_text],MATCH(VALUE(questions[[#This Row],[qno]]),VALUE(stable[qno]),0))</f>
        <v>1</v>
      </c>
      <c r="O1341" s="9" t="b" cm="1">
        <f t="array" ref="O1341">INDEX(stable[is_numerical],MATCH(VALUE(questions[[#This Row],[qno]]),VALUE(stable[qno]),0))</f>
        <v>0</v>
      </c>
      <c r="P1341" s="9" t="b" cm="1">
        <f t="array" ref="P1341">INDEX(stable[is_single_select],MATCH(VALUE(questions[[#This Row],[qno]]),VALUE(stable[qno]),0))</f>
        <v>0</v>
      </c>
      <c r="Q1341" s="9" t="b" cm="1">
        <f t="array" ref="Q1341">INDEX(stable[is_multi_select],MATCH(VALUE(questions[[#This Row],[qno]]),VALUE(stable[qno]),0))</f>
        <v>0</v>
      </c>
      <c r="R1341" s="9" t="b" cm="1">
        <f t="array" ref="R1341">INDEX(stable[is_skip_logic],MATCH(VALUE(questions[[#This Row],[qno]]),VALUE(stable[qno]),0))</f>
        <v>1</v>
      </c>
      <c r="S1341" s="9" t="str">
        <f>_xlfn.TEXTJOIN(", ",TRUE,questions[[#This Row],[ans_opt_1]:[ans_opt_14]])</f>
        <v>Kg</v>
      </c>
      <c r="T1341" s="9" t="s">
        <v>1018</v>
      </c>
      <c r="AH1341" s="16" t="b">
        <f>INDEX(stable[q_standard],MATCH(questions[[#This Row],[qno]],stable[qno],0))</f>
        <v>0</v>
      </c>
      <c r="AI1341" s="16" t="b">
        <f>INDEX(stable[q_living_income],MATCH(questions[[#This Row],[qno]],stable[qno],0))</f>
        <v>1</v>
      </c>
      <c r="AJ1341" s="16" t="b">
        <f>INDEX(stable[q_carbon],MATCH(questions[[#This Row],[qno]],stable[qno],0))</f>
        <v>1</v>
      </c>
      <c r="AK1341" s="16" t="b">
        <f>INDEX(stable[q_regen_ag],MATCH(questions[[#This Row],[qno]],stable[qno],0))</f>
        <v>0</v>
      </c>
      <c r="AL1341" s="16" t="b">
        <f>COUNTIFS(stable[qno],questions[[#This Row],[qno]])=1</f>
        <v>1</v>
      </c>
      <c r="AM1341" s="16" t="b">
        <f>OR(questions[[#This Row],[is_fixed]],questions[[#This Row],[is_localized]],questions[[#This Row],[is_supply_chain_dependent]])</f>
        <v>1</v>
      </c>
      <c r="AN1341" s="16" t="b">
        <f>COUNTIFS(questions[[#This Row],[is_automated]:[is_multi_select]],TRUE)=1</f>
        <v>1</v>
      </c>
      <c r="AO1341" s="16" t="b">
        <f>IF(questions[[#This Row],[is_fixed]],questions[[#This Row],[question]]=INDEX(stable[question],MATCH(questions[[#This Row],[qno]],stable[qno],0)),TRUE)</f>
        <v>0</v>
      </c>
      <c r="AP1341" s="16" t="str">
        <f>LEFT(questions[[#This Row],[question]],similarity_range)</f>
        <v>Please ensure that t</v>
      </c>
      <c r="AQ1341" s="16" t="str">
        <f>LEFT(INDEX(stable[question],MATCH(questions[[#This Row],[qno]],stable[qno],0)),similarity_range)</f>
        <v>What was the unit of</v>
      </c>
      <c r="AR1341" s="16" t="b">
        <f>questions[[#This Row],[question_first_characters]]=questions[[#This Row],[stability_first_characters]]</f>
        <v>0</v>
      </c>
      <c r="AS1341" s="16" t="b">
        <f>IF(OR(questions[[#This Row],[is_single_select]],questions[[#This Row],[is_multi_select]]),NOT(ISBLANK(questions[[#This Row],[answer_opt_combined]])),TRUE)</f>
        <v>1</v>
      </c>
    </row>
    <row r="1342" spans="1:45" s="77" customFormat="1" ht="15.75" customHeight="1" x14ac:dyDescent="0.25">
      <c r="A1342" s="77" t="str">
        <f>_xlfn.TEXTJOIN("_",TRUE,questions[[#This Row],[origin]:[qno]])</f>
        <v>Rwanda_Arabica_Nestle_Illy_IMPACT_2025_5404</v>
      </c>
      <c r="B1342" s="77" t="s">
        <v>719</v>
      </c>
      <c r="C1342" s="77" t="s">
        <v>59</v>
      </c>
      <c r="D1342" s="77" t="s">
        <v>720</v>
      </c>
      <c r="E1342" s="77">
        <v>2025</v>
      </c>
      <c r="F1342" s="105" t="s">
        <v>183</v>
      </c>
      <c r="G1342" s="78" t="s">
        <v>760</v>
      </c>
      <c r="H1342" s="9" t="str" cm="1">
        <f t="array" ref="H1342">INDEX(stableR[question],MATCH(VALUE(questions[[#This Row],[qno]]),VALUE(stableR[qno]),0))</f>
        <v>How did you get this manure/compost/organic fertilizer that you used most?</v>
      </c>
      <c r="I1342" s="9" t="b" cm="1">
        <f t="array" ref="I1342">INDEX(stable[is_fixed],MATCH(VALUE(questions[[#This Row],[qno]]),VALUE(stable[qno]),0))</f>
        <v>1</v>
      </c>
      <c r="J1342" s="9" t="b" cm="1">
        <f t="array" ref="J1342">INDEX(stable[is_localized],MATCH(VALUE(questions[[#This Row],[qno]]),VALUE(stable[qno]),0))</f>
        <v>0</v>
      </c>
      <c r="K1342" s="9" t="b" cm="1">
        <f t="array" ref="K1342">INDEX(stable[is_supply_chain_dependent],MATCH(VALUE(questions[[#This Row],[qno]]),VALUE(stable[qno]),0))</f>
        <v>0</v>
      </c>
      <c r="L1342" s="9" t="b" cm="1">
        <f t="array" ref="L1342">INDEX(stable[is_mandatory],MATCH(VALUE(questions[[#This Row],[qno]]),VALUE(stable[qno]),0))</f>
        <v>0</v>
      </c>
      <c r="M1342" s="9" t="b" cm="1">
        <f t="array" ref="M1342">INDEX(stable[is_automated],MATCH(VALUE(questions[[#This Row],[qno]]),VALUE(stable[qno]),0))</f>
        <v>0</v>
      </c>
      <c r="N1342" s="9" t="b" cm="1">
        <f t="array" ref="N1342">INDEX(stable[is_free_text],MATCH(VALUE(questions[[#This Row],[qno]]),VALUE(stable[qno]),0))</f>
        <v>0</v>
      </c>
      <c r="O1342" s="9" t="b" cm="1">
        <f t="array" ref="O1342">INDEX(stable[is_numerical],MATCH(VALUE(questions[[#This Row],[qno]]),VALUE(stable[qno]),0))</f>
        <v>0</v>
      </c>
      <c r="P1342" s="77" t="b" cm="1">
        <f t="array" ref="P1342">INDEX(stable[is_single_select],MATCH(VALUE(questions[[#This Row],[qno]]),VALUE(stable[qno]),0))</f>
        <v>1</v>
      </c>
      <c r="Q1342" s="77" t="b" cm="1">
        <f t="array" ref="Q1342">INDEX(stable[is_multi_select],MATCH(VALUE(questions[[#This Row],[qno]]),VALUE(stable[qno]),0))</f>
        <v>0</v>
      </c>
      <c r="R1342" s="77" t="b" cm="1">
        <f t="array" ref="R1342">INDEX(stable[is_skip_logic],MATCH(VALUE(questions[[#This Row],[qno]]),VALUE(stable[qno]),0))</f>
        <v>1</v>
      </c>
      <c r="S1342" s="77" t="str">
        <f>_xlfn.TEXTJOIN(", ",TRUE,questions[[#This Row],[ans_opt_1]:[ans_opt_14]])</f>
        <v>Bought, From own farm, Received for free</v>
      </c>
      <c r="T1342" s="77" t="s">
        <v>185</v>
      </c>
      <c r="U1342" s="77" t="s">
        <v>186</v>
      </c>
      <c r="V1342" s="77" t="s">
        <v>187</v>
      </c>
      <c r="AH1342" s="98" t="b">
        <f>INDEX(stable[q_standard],MATCH(questions[[#This Row],[qno]],stable[qno],0))</f>
        <v>0</v>
      </c>
      <c r="AI1342" s="98" t="b">
        <f>INDEX(stable[q_living_income],MATCH(questions[[#This Row],[qno]],stable[qno],0))</f>
        <v>1</v>
      </c>
      <c r="AJ1342" s="98" t="b">
        <f>INDEX(stable[q_carbon],MATCH(questions[[#This Row],[qno]],stable[qno],0))</f>
        <v>1</v>
      </c>
      <c r="AK1342" s="98" t="b">
        <f>INDEX(stable[q_regen_ag],MATCH(questions[[#This Row],[qno]],stable[qno],0))</f>
        <v>0</v>
      </c>
      <c r="AL1342" s="98" t="b">
        <f>COUNTIFS(stable[qno],questions[[#This Row],[qno]])=1</f>
        <v>1</v>
      </c>
      <c r="AM1342" s="98" t="b">
        <f>OR(questions[[#This Row],[is_fixed]],questions[[#This Row],[is_localized]],questions[[#This Row],[is_supply_chain_dependent]])</f>
        <v>1</v>
      </c>
      <c r="AN1342" s="98" t="b">
        <f>COUNTIFS(questions[[#This Row],[is_automated]:[is_multi_select]],TRUE)=1</f>
        <v>1</v>
      </c>
      <c r="AO1342" s="98" t="b">
        <f>IF(questions[[#This Row],[is_fixed]],questions[[#This Row],[question]]=INDEX(stable[question],MATCH(questions[[#This Row],[qno]],stable[qno],0)),TRUE)</f>
        <v>0</v>
      </c>
      <c r="AP1342" s="98" t="str">
        <f>LEFT(questions[[#This Row],[question]],similarity_range)</f>
        <v>How did you get this</v>
      </c>
      <c r="AQ1342" s="98" t="str">
        <f>LEFT(INDEX(stable[question],MATCH(questions[[#This Row],[qno]],stable[qno],0)),similarity_range)</f>
        <v>How did you get this</v>
      </c>
      <c r="AR1342" s="98" t="b">
        <f>questions[[#This Row],[question_first_characters]]=questions[[#This Row],[stability_first_characters]]</f>
        <v>1</v>
      </c>
      <c r="AS1342" s="98" t="b">
        <f>IF(OR(questions[[#This Row],[is_single_select]],questions[[#This Row],[is_multi_select]]),NOT(ISBLANK(questions[[#This Row],[answer_opt_combined]])),TRUE)</f>
        <v>1</v>
      </c>
    </row>
    <row r="1343" spans="1:45" s="77" customFormat="1" ht="15.75" customHeight="1" x14ac:dyDescent="0.25">
      <c r="A1343" s="77" t="str">
        <f>_xlfn.TEXTJOIN("_",TRUE,questions[[#This Row],[origin]:[qno]])</f>
        <v>Rwanda_Arabica_Nestle_Illy_IMPACT_2025_5410</v>
      </c>
      <c r="B1343" s="77" t="s">
        <v>719</v>
      </c>
      <c r="C1343" s="77" t="s">
        <v>59</v>
      </c>
      <c r="D1343" s="77" t="s">
        <v>720</v>
      </c>
      <c r="E1343" s="77">
        <v>2025</v>
      </c>
      <c r="F1343" s="143" t="s">
        <v>189</v>
      </c>
      <c r="G1343" s="120" t="str">
        <f>INDEX(stable[question],MATCH(questions[[#This Row],[qno]],stable[qno],0))</f>
        <v>Was there a second type of animal manure, compost, or organic fertilizer and if yes, what was the type of this second most used manure/compost/organic fertilizer last year? Please give the name of the type used. For instance cow manure or the brand name and type of organic fertilizer.</v>
      </c>
      <c r="H1343" s="9" t="str" cm="1">
        <f t="array" ref="H1343">INDEX(stableR[question],MATCH(VALUE(questions[[#This Row],[qno]]),VALUE(stableR[qno]),0))</f>
        <v>What was the type of animal manure, compost, or organic fertilizer that you used second most last year?</v>
      </c>
      <c r="I1343" s="9" t="b" cm="1">
        <f t="array" ref="I1343">INDEX(stable[is_fixed],MATCH(VALUE(questions[[#This Row],[qno]]),VALUE(stable[qno]),0))</f>
        <v>1</v>
      </c>
      <c r="J1343" s="9" t="b" cm="1">
        <f t="array" ref="J1343">INDEX(stable[is_localized],MATCH(VALUE(questions[[#This Row],[qno]]),VALUE(stable[qno]),0))</f>
        <v>0</v>
      </c>
      <c r="K1343" s="9" t="b" cm="1">
        <f t="array" ref="K1343">INDEX(stable[is_supply_chain_dependent],MATCH(VALUE(questions[[#This Row],[qno]]),VALUE(stable[qno]),0))</f>
        <v>0</v>
      </c>
      <c r="L1343" s="9" t="b" cm="1">
        <f t="array" ref="L1343">INDEX(stable[is_mandatory],MATCH(VALUE(questions[[#This Row],[qno]]),VALUE(stable[qno]),0))</f>
        <v>0</v>
      </c>
      <c r="M1343" s="9" t="b" cm="1">
        <f t="array" ref="M1343">INDEX(stable[is_automated],MATCH(VALUE(questions[[#This Row],[qno]]),VALUE(stable[qno]),0))</f>
        <v>0</v>
      </c>
      <c r="N1343" s="9" t="b" cm="1">
        <f t="array" ref="N1343">INDEX(stable[is_free_text],MATCH(VALUE(questions[[#This Row],[qno]]),VALUE(stable[qno]),0))</f>
        <v>1</v>
      </c>
      <c r="O1343" s="9" t="b" cm="1">
        <f t="array" ref="O1343">INDEX(stable[is_numerical],MATCH(VALUE(questions[[#This Row],[qno]]),VALUE(stable[qno]),0))</f>
        <v>0</v>
      </c>
      <c r="P1343" s="77" t="b" cm="1">
        <f t="array" ref="P1343">INDEX(stable[is_single_select],MATCH(VALUE(questions[[#This Row],[qno]]),VALUE(stable[qno]),0))</f>
        <v>1</v>
      </c>
      <c r="Q1343" s="77" t="b" cm="1">
        <f t="array" ref="Q1343">INDEX(stable[is_multi_select],MATCH(VALUE(questions[[#This Row],[qno]]),VALUE(stable[qno]),0))</f>
        <v>0</v>
      </c>
      <c r="R1343" s="77" t="b" cm="1">
        <f t="array" ref="R1343">INDEX(stable[is_skip_logic],MATCH(VALUE(questions[[#This Row],[qno]]),VALUE(stable[qno]),0))</f>
        <v>1</v>
      </c>
      <c r="S1343" s="77" t="str">
        <f>_xlfn.TEXTJOIN(", ",TRUE,questions[[#This Row],[ans_opt_1]:[ans_opt_14]])</f>
        <v>"Coffee-related organic fertilizer" received from CWSs/Mills , Commercial organic fertilizer, Organic manure sheep, Organic manure poultry, Organic manure horse, Organic manure swine, Goat manure mixed with grass, Composted from rubbish, Organic manure cattle</v>
      </c>
      <c r="T1343" s="69" t="s">
        <v>971</v>
      </c>
      <c r="U1343" s="69" t="s">
        <v>972</v>
      </c>
      <c r="V1343" s="69" t="s">
        <v>973</v>
      </c>
      <c r="W1343" s="69" t="s">
        <v>974</v>
      </c>
      <c r="X1343" s="69" t="s">
        <v>975</v>
      </c>
      <c r="Y1343" s="69" t="s">
        <v>976</v>
      </c>
      <c r="Z1343" s="69" t="s">
        <v>977</v>
      </c>
      <c r="AA1343" s="69" t="s">
        <v>978</v>
      </c>
      <c r="AB1343" s="69" t="s">
        <v>979</v>
      </c>
      <c r="AH1343" s="98" t="b">
        <f>INDEX(stable[q_standard],MATCH(questions[[#This Row],[qno]],stable[qno],0))</f>
        <v>0</v>
      </c>
      <c r="AI1343" s="98" t="b">
        <f>INDEX(stable[q_living_income],MATCH(questions[[#This Row],[qno]],stable[qno],0))</f>
        <v>1</v>
      </c>
      <c r="AJ1343" s="98" t="b">
        <f>INDEX(stable[q_carbon],MATCH(questions[[#This Row],[qno]],stable[qno],0))</f>
        <v>1</v>
      </c>
      <c r="AK1343" s="98" t="b">
        <f>INDEX(stable[q_regen_ag],MATCH(questions[[#This Row],[qno]],stable[qno],0))</f>
        <v>0</v>
      </c>
      <c r="AL1343" s="98" t="b">
        <f>COUNTIFS(stable[qno],questions[[#This Row],[qno]])=1</f>
        <v>1</v>
      </c>
      <c r="AM1343" s="98" t="b">
        <f>OR(questions[[#This Row],[is_fixed]],questions[[#This Row],[is_localized]],questions[[#This Row],[is_supply_chain_dependent]])</f>
        <v>1</v>
      </c>
      <c r="AN1343" s="98" t="b">
        <f>COUNTIFS(questions[[#This Row],[is_automated]:[is_multi_select]],TRUE)=1</f>
        <v>0</v>
      </c>
      <c r="AO1343" s="98" t="b">
        <f>IF(questions[[#This Row],[is_fixed]],questions[[#This Row],[question]]=INDEX(stable[question],MATCH(questions[[#This Row],[qno]],stable[qno],0)),TRUE)</f>
        <v>1</v>
      </c>
      <c r="AP1343" s="98" t="str">
        <f>LEFT(questions[[#This Row],[question]],similarity_range)</f>
        <v>Was there a second t</v>
      </c>
      <c r="AQ1343" s="98" t="str">
        <f>LEFT(INDEX(stable[question],MATCH(questions[[#This Row],[qno]],stable[qno],0)),similarity_range)</f>
        <v>Was there a second t</v>
      </c>
      <c r="AR1343" s="98" t="b">
        <f>questions[[#This Row],[question_first_characters]]=questions[[#This Row],[stability_first_characters]]</f>
        <v>1</v>
      </c>
      <c r="AS1343" s="98" t="b">
        <f>IF(OR(questions[[#This Row],[is_single_select]],questions[[#This Row],[is_multi_select]]),NOT(ISBLANK(questions[[#This Row],[answer_opt_combined]])),TRUE)</f>
        <v>1</v>
      </c>
    </row>
    <row r="1344" spans="1:45" ht="15.75" customHeight="1" x14ac:dyDescent="0.25">
      <c r="A1344" s="9" t="str">
        <f>_xlfn.TEXTJOIN("_",TRUE,questions[[#This Row],[origin]:[qno]])</f>
        <v>Rwanda_Arabica_Nestle_Illy_IMPACT_2025_5411</v>
      </c>
      <c r="B1344" s="9" t="s">
        <v>719</v>
      </c>
      <c r="C1344" s="9" t="s">
        <v>59</v>
      </c>
      <c r="D1344" s="9" t="s">
        <v>720</v>
      </c>
      <c r="E1344" s="33">
        <v>2025</v>
      </c>
      <c r="F1344" s="39" t="s">
        <v>191</v>
      </c>
      <c r="G1344" s="15" t="s">
        <v>192</v>
      </c>
      <c r="H1344" s="9" t="str" cm="1">
        <f t="array" ref="H1344">INDEX(stableR[question],MATCH(VALUE(questions[[#This Row],[qno]]),VALUE(stableR[qno]),0))</f>
        <v>What was the total quantity of this type of animal manure/compost/organic fertilizer that you used second most? (Kg)</v>
      </c>
      <c r="I1344" s="9" t="b" cm="1">
        <f t="array" ref="I1344">INDEX(stable[is_fixed],MATCH(VALUE(questions[[#This Row],[qno]]),VALUE(stable[qno]),0))</f>
        <v>1</v>
      </c>
      <c r="J1344" s="9" t="b" cm="1">
        <f t="array" ref="J1344">INDEX(stable[is_localized],MATCH(VALUE(questions[[#This Row],[qno]]),VALUE(stable[qno]),0))</f>
        <v>0</v>
      </c>
      <c r="K1344" s="9" t="b" cm="1">
        <f t="array" ref="K1344">INDEX(stable[is_supply_chain_dependent],MATCH(VALUE(questions[[#This Row],[qno]]),VALUE(stable[qno]),0))</f>
        <v>0</v>
      </c>
      <c r="L1344" s="9" t="b" cm="1">
        <f t="array" ref="L1344">INDEX(stable[is_mandatory],MATCH(VALUE(questions[[#This Row],[qno]]),VALUE(stable[qno]),0))</f>
        <v>0</v>
      </c>
      <c r="M1344" s="9" t="b" cm="1">
        <f t="array" ref="M1344">INDEX(stable[is_automated],MATCH(VALUE(questions[[#This Row],[qno]]),VALUE(stable[qno]),0))</f>
        <v>0</v>
      </c>
      <c r="N1344" s="9" t="b" cm="1">
        <f t="array" ref="N1344">INDEX(stable[is_free_text],MATCH(VALUE(questions[[#This Row],[qno]]),VALUE(stable[qno]),0))</f>
        <v>0</v>
      </c>
      <c r="O1344" s="9" t="b" cm="1">
        <f t="array" ref="O1344">INDEX(stable[is_numerical],MATCH(VALUE(questions[[#This Row],[qno]]),VALUE(stable[qno]),0))</f>
        <v>1</v>
      </c>
      <c r="P1344" s="9" t="b" cm="1">
        <f t="array" ref="P1344">INDEX(stable[is_single_select],MATCH(VALUE(questions[[#This Row],[qno]]),VALUE(stable[qno]),0))</f>
        <v>0</v>
      </c>
      <c r="Q1344" s="9" t="b" cm="1">
        <f t="array" ref="Q1344">INDEX(stable[is_multi_select],MATCH(VALUE(questions[[#This Row],[qno]]),VALUE(stable[qno]),0))</f>
        <v>0</v>
      </c>
      <c r="R1344" s="9" t="b" cm="1">
        <f t="array" ref="R1344">INDEX(stable[is_skip_logic],MATCH(VALUE(questions[[#This Row],[qno]]),VALUE(stable[qno]),0))</f>
        <v>1</v>
      </c>
      <c r="S1344" s="9" t="str">
        <f>_xlfn.TEXTJOIN(", ",TRUE,questions[[#This Row],[ans_opt_1]:[ans_opt_14]])</f>
        <v/>
      </c>
      <c r="AH1344" s="16" t="b">
        <f>INDEX(stable[q_standard],MATCH(questions[[#This Row],[qno]],stable[qno],0))</f>
        <v>0</v>
      </c>
      <c r="AI1344" s="16" t="b">
        <f>INDEX(stable[q_living_income],MATCH(questions[[#This Row],[qno]],stable[qno],0))</f>
        <v>1</v>
      </c>
      <c r="AJ1344" s="16" t="b">
        <f>INDEX(stable[q_carbon],MATCH(questions[[#This Row],[qno]],stable[qno],0))</f>
        <v>1</v>
      </c>
      <c r="AK1344" s="16" t="b">
        <f>INDEX(stable[q_regen_ag],MATCH(questions[[#This Row],[qno]],stable[qno],0))</f>
        <v>0</v>
      </c>
      <c r="AL1344" s="16" t="b">
        <f>COUNTIFS(stable[qno],questions[[#This Row],[qno]])=1</f>
        <v>1</v>
      </c>
      <c r="AM1344" s="16" t="b">
        <f>OR(questions[[#This Row],[is_fixed]],questions[[#This Row],[is_localized]],questions[[#This Row],[is_supply_chain_dependent]])</f>
        <v>1</v>
      </c>
      <c r="AN1344" s="16" t="b">
        <f>COUNTIFS(questions[[#This Row],[is_automated]:[is_multi_select]],TRUE)=1</f>
        <v>1</v>
      </c>
      <c r="AO1344" s="16" t="b">
        <f>IF(questions[[#This Row],[is_fixed]],questions[[#This Row],[question]]=INDEX(stable[question],MATCH(questions[[#This Row],[qno]],stable[qno],0)),TRUE)</f>
        <v>1</v>
      </c>
      <c r="AP1344" s="16" t="str">
        <f>LEFT(questions[[#This Row],[question]],similarity_range)</f>
        <v>What was the total q</v>
      </c>
      <c r="AQ1344" s="16" t="str">
        <f>LEFT(INDEX(stable[question],MATCH(questions[[#This Row],[qno]],stable[qno],0)),similarity_range)</f>
        <v>What was the total q</v>
      </c>
      <c r="AR1344" s="16" t="b">
        <f>questions[[#This Row],[question_first_characters]]=questions[[#This Row],[stability_first_characters]]</f>
        <v>1</v>
      </c>
      <c r="AS1344" s="16" t="b">
        <f>IF(OR(questions[[#This Row],[is_single_select]],questions[[#This Row],[is_multi_select]]),NOT(ISBLANK(questions[[#This Row],[answer_opt_combined]])),TRUE)</f>
        <v>1</v>
      </c>
    </row>
    <row r="1345" spans="1:45" ht="15.75" customHeight="1" x14ac:dyDescent="0.25">
      <c r="A1345" s="9" t="str">
        <f>_xlfn.TEXTJOIN("_",TRUE,questions[[#This Row],[origin]:[qno]])</f>
        <v>Rwanda_Arabica_Nestle_Illy_IMPACT_2025_5412</v>
      </c>
      <c r="B1345" s="9" t="s">
        <v>719</v>
      </c>
      <c r="C1345" s="9" t="s">
        <v>59</v>
      </c>
      <c r="D1345" s="9" t="s">
        <v>720</v>
      </c>
      <c r="E1345" s="33">
        <v>2025</v>
      </c>
      <c r="F1345" s="39" t="s">
        <v>193</v>
      </c>
      <c r="G1345" s="64" t="s">
        <v>984</v>
      </c>
      <c r="H1345" s="9" t="str" cm="1">
        <f t="array" ref="H1345">INDEX(stableR[question],MATCH(VALUE(questions[[#This Row],[qno]]),VALUE(stableR[qno]),0))</f>
        <v>What was the unit of this type of animal manure/compost/organic fertilizer that you used second most (kg, basins, 50 kg bags, wheel barrows, small truck/tipper, large truck)?</v>
      </c>
      <c r="I1345" s="9" t="b" cm="1">
        <f t="array" ref="I1345">INDEX(stable[is_fixed],MATCH(VALUE(questions[[#This Row],[qno]]),VALUE(stable[qno]),0))</f>
        <v>1</v>
      </c>
      <c r="J1345" s="9" t="b" cm="1">
        <f t="array" ref="J1345">INDEX(stable[is_localized],MATCH(VALUE(questions[[#This Row],[qno]]),VALUE(stable[qno]),0))</f>
        <v>0</v>
      </c>
      <c r="K1345" s="9" t="b" cm="1">
        <f t="array" ref="K1345">INDEX(stable[is_supply_chain_dependent],MATCH(VALUE(questions[[#This Row],[qno]]),VALUE(stable[qno]),0))</f>
        <v>0</v>
      </c>
      <c r="L1345" s="9" t="b" cm="1">
        <f t="array" ref="L1345">INDEX(stable[is_mandatory],MATCH(VALUE(questions[[#This Row],[qno]]),VALUE(stable[qno]),0))</f>
        <v>0</v>
      </c>
      <c r="M1345" s="9" t="b" cm="1">
        <f t="array" ref="M1345">INDEX(stable[is_automated],MATCH(VALUE(questions[[#This Row],[qno]]),VALUE(stable[qno]),0))</f>
        <v>0</v>
      </c>
      <c r="N1345" s="9" t="b" cm="1">
        <f t="array" ref="N1345">INDEX(stable[is_free_text],MATCH(VALUE(questions[[#This Row],[qno]]),VALUE(stable[qno]),0))</f>
        <v>1</v>
      </c>
      <c r="O1345" s="9" t="b" cm="1">
        <f t="array" ref="O1345">INDEX(stable[is_numerical],MATCH(VALUE(questions[[#This Row],[qno]]),VALUE(stable[qno]),0))</f>
        <v>0</v>
      </c>
      <c r="P1345" s="9" t="b" cm="1">
        <f t="array" ref="P1345">INDEX(stable[is_single_select],MATCH(VALUE(questions[[#This Row],[qno]]),VALUE(stable[qno]),0))</f>
        <v>0</v>
      </c>
      <c r="Q1345" s="9" t="b" cm="1">
        <f t="array" ref="Q1345">INDEX(stable[is_multi_select],MATCH(VALUE(questions[[#This Row],[qno]]),VALUE(stable[qno]),0))</f>
        <v>0</v>
      </c>
      <c r="R1345" s="9" t="b" cm="1">
        <f t="array" ref="R1345">INDEX(stable[is_skip_logic],MATCH(VALUE(questions[[#This Row],[qno]]),VALUE(stable[qno]),0))</f>
        <v>1</v>
      </c>
      <c r="S1345" s="9" t="str">
        <f>_xlfn.TEXTJOIN(", ",TRUE,questions[[#This Row],[ans_opt_1]:[ans_opt_14]])</f>
        <v>Kg</v>
      </c>
      <c r="T1345" s="9" t="s">
        <v>1018</v>
      </c>
      <c r="AH1345" s="16" t="b">
        <f>INDEX(stable[q_standard],MATCH(questions[[#This Row],[qno]],stable[qno],0))</f>
        <v>0</v>
      </c>
      <c r="AI1345" s="16" t="b">
        <f>INDEX(stable[q_living_income],MATCH(questions[[#This Row],[qno]],stable[qno],0))</f>
        <v>1</v>
      </c>
      <c r="AJ1345" s="16" t="b">
        <f>INDEX(stable[q_carbon],MATCH(questions[[#This Row],[qno]],stable[qno],0))</f>
        <v>1</v>
      </c>
      <c r="AK1345" s="16" t="b">
        <f>INDEX(stable[q_regen_ag],MATCH(questions[[#This Row],[qno]],stable[qno],0))</f>
        <v>0</v>
      </c>
      <c r="AL1345" s="16" t="b">
        <f>COUNTIFS(stable[qno],questions[[#This Row],[qno]])=1</f>
        <v>1</v>
      </c>
      <c r="AM1345" s="16" t="b">
        <f>OR(questions[[#This Row],[is_fixed]],questions[[#This Row],[is_localized]],questions[[#This Row],[is_supply_chain_dependent]])</f>
        <v>1</v>
      </c>
      <c r="AN1345" s="16" t="b">
        <f>COUNTIFS(questions[[#This Row],[is_automated]:[is_multi_select]],TRUE)=1</f>
        <v>1</v>
      </c>
      <c r="AO1345" s="16" t="b">
        <f>IF(questions[[#This Row],[is_fixed]],questions[[#This Row],[question]]=INDEX(stable[question],MATCH(questions[[#This Row],[qno]],stable[qno],0)),TRUE)</f>
        <v>0</v>
      </c>
      <c r="AP1345" s="16" t="str">
        <f>LEFT(questions[[#This Row],[question]],similarity_range)</f>
        <v>Please ensure that t</v>
      </c>
      <c r="AQ1345" s="16" t="str">
        <f>LEFT(INDEX(stable[question],MATCH(questions[[#This Row],[qno]],stable[qno],0)),similarity_range)</f>
        <v>What was the unit of</v>
      </c>
      <c r="AR1345" s="16" t="b">
        <f>questions[[#This Row],[question_first_characters]]=questions[[#This Row],[stability_first_characters]]</f>
        <v>0</v>
      </c>
      <c r="AS1345" s="16" t="b">
        <f>IF(OR(questions[[#This Row],[is_single_select]],questions[[#This Row],[is_multi_select]]),NOT(ISBLANK(questions[[#This Row],[answer_opt_combined]])),TRUE)</f>
        <v>1</v>
      </c>
    </row>
    <row r="1346" spans="1:45" s="77" customFormat="1" ht="15.75" customHeight="1" x14ac:dyDescent="0.25">
      <c r="A1346" s="77" t="str">
        <f>_xlfn.TEXTJOIN("_",TRUE,questions[[#This Row],[origin]:[qno]])</f>
        <v>Rwanda_Arabica_Nestle_Illy_IMPACT_2025_5413</v>
      </c>
      <c r="B1346" s="77" t="s">
        <v>719</v>
      </c>
      <c r="C1346" s="77" t="s">
        <v>59</v>
      </c>
      <c r="D1346" s="77" t="s">
        <v>720</v>
      </c>
      <c r="E1346" s="77">
        <v>2025</v>
      </c>
      <c r="F1346" s="114" t="s">
        <v>195</v>
      </c>
      <c r="G1346" s="78" t="s">
        <v>761</v>
      </c>
      <c r="H1346" s="9" t="str" cm="1">
        <f t="array" ref="H1346">INDEX(stableR[question],MATCH(VALUE(questions[[#This Row],[qno]]),VALUE(stableR[qno]),0))</f>
        <v>How did you get this manure/compost/organic fertilizer that you used second most?</v>
      </c>
      <c r="I1346" s="9" t="b" cm="1">
        <f t="array" ref="I1346">INDEX(stable[is_fixed],MATCH(VALUE(questions[[#This Row],[qno]]),VALUE(stable[qno]),0))</f>
        <v>1</v>
      </c>
      <c r="J1346" s="9" t="b" cm="1">
        <f t="array" ref="J1346">INDEX(stable[is_localized],MATCH(VALUE(questions[[#This Row],[qno]]),VALUE(stable[qno]),0))</f>
        <v>0</v>
      </c>
      <c r="K1346" s="9" t="b" cm="1">
        <f t="array" ref="K1346">INDEX(stable[is_supply_chain_dependent],MATCH(VALUE(questions[[#This Row],[qno]]),VALUE(stable[qno]),0))</f>
        <v>0</v>
      </c>
      <c r="L1346" s="9" t="b" cm="1">
        <f t="array" ref="L1346">INDEX(stable[is_mandatory],MATCH(VALUE(questions[[#This Row],[qno]]),VALUE(stable[qno]),0))</f>
        <v>0</v>
      </c>
      <c r="M1346" s="9" t="b" cm="1">
        <f t="array" ref="M1346">INDEX(stable[is_automated],MATCH(VALUE(questions[[#This Row],[qno]]),VALUE(stable[qno]),0))</f>
        <v>0</v>
      </c>
      <c r="N1346" s="9" t="b" cm="1">
        <f t="array" ref="N1346">INDEX(stable[is_free_text],MATCH(VALUE(questions[[#This Row],[qno]]),VALUE(stable[qno]),0))</f>
        <v>0</v>
      </c>
      <c r="O1346" s="9" t="b" cm="1">
        <f t="array" ref="O1346">INDEX(stable[is_numerical],MATCH(VALUE(questions[[#This Row],[qno]]),VALUE(stable[qno]),0))</f>
        <v>0</v>
      </c>
      <c r="P1346" s="77" t="b" cm="1">
        <f t="array" ref="P1346">INDEX(stable[is_single_select],MATCH(VALUE(questions[[#This Row],[qno]]),VALUE(stable[qno]),0))</f>
        <v>1</v>
      </c>
      <c r="Q1346" s="77" t="b" cm="1">
        <f t="array" ref="Q1346">INDEX(stable[is_multi_select],MATCH(VALUE(questions[[#This Row],[qno]]),VALUE(stable[qno]),0))</f>
        <v>0</v>
      </c>
      <c r="R1346" s="77" t="b" cm="1">
        <f t="array" ref="R1346">INDEX(stable[is_skip_logic],MATCH(VALUE(questions[[#This Row],[qno]]),VALUE(stable[qno]),0))</f>
        <v>1</v>
      </c>
      <c r="S1346" s="77" t="str">
        <f>_xlfn.TEXTJOIN(", ",TRUE,questions[[#This Row],[ans_opt_1]:[ans_opt_14]])</f>
        <v>Bought, From own farm, Received for free</v>
      </c>
      <c r="T1346" s="77" t="s">
        <v>185</v>
      </c>
      <c r="U1346" s="77" t="s">
        <v>186</v>
      </c>
      <c r="V1346" s="77" t="s">
        <v>187</v>
      </c>
      <c r="AH1346" s="98" t="b">
        <f>INDEX(stable[q_standard],MATCH(questions[[#This Row],[qno]],stable[qno],0))</f>
        <v>0</v>
      </c>
      <c r="AI1346" s="98" t="b">
        <f>INDEX(stable[q_living_income],MATCH(questions[[#This Row],[qno]],stable[qno],0))</f>
        <v>1</v>
      </c>
      <c r="AJ1346" s="98" t="b">
        <f>INDEX(stable[q_carbon],MATCH(questions[[#This Row],[qno]],stable[qno],0))</f>
        <v>1</v>
      </c>
      <c r="AK1346" s="98" t="b">
        <f>INDEX(stable[q_regen_ag],MATCH(questions[[#This Row],[qno]],stable[qno],0))</f>
        <v>0</v>
      </c>
      <c r="AL1346" s="98" t="b">
        <f>COUNTIFS(stable[qno],questions[[#This Row],[qno]])=1</f>
        <v>1</v>
      </c>
      <c r="AM1346" s="98" t="b">
        <f>OR(questions[[#This Row],[is_fixed]],questions[[#This Row],[is_localized]],questions[[#This Row],[is_supply_chain_dependent]])</f>
        <v>1</v>
      </c>
      <c r="AN1346" s="98" t="b">
        <f>COUNTIFS(questions[[#This Row],[is_automated]:[is_multi_select]],TRUE)=1</f>
        <v>1</v>
      </c>
      <c r="AO1346" s="98" t="b">
        <f>IF(questions[[#This Row],[is_fixed]],questions[[#This Row],[question]]=INDEX(stable[question],MATCH(questions[[#This Row],[qno]],stable[qno],0)),TRUE)</f>
        <v>0</v>
      </c>
      <c r="AP1346" s="98" t="str">
        <f>LEFT(questions[[#This Row],[question]],similarity_range)</f>
        <v>How did you get this</v>
      </c>
      <c r="AQ1346" s="98" t="str">
        <f>LEFT(INDEX(stable[question],MATCH(questions[[#This Row],[qno]],stable[qno],0)),similarity_range)</f>
        <v>How did you get this</v>
      </c>
      <c r="AR1346" s="98" t="b">
        <f>questions[[#This Row],[question_first_characters]]=questions[[#This Row],[stability_first_characters]]</f>
        <v>1</v>
      </c>
      <c r="AS1346" s="98" t="b">
        <f>IF(OR(questions[[#This Row],[is_single_select]],questions[[#This Row],[is_multi_select]]),NOT(ISBLANK(questions[[#This Row],[answer_opt_combined]])),TRUE)</f>
        <v>1</v>
      </c>
    </row>
    <row r="1347" spans="1:45" s="77" customFormat="1" ht="15.75" customHeight="1" x14ac:dyDescent="0.25">
      <c r="A1347" s="77" t="str">
        <f>_xlfn.TEXTJOIN("_",TRUE,questions[[#This Row],[origin]:[qno]])</f>
        <v>Rwanda_Arabica_Nestle_Illy_IMPACT_2025_5500</v>
      </c>
      <c r="B1347" s="77" t="s">
        <v>719</v>
      </c>
      <c r="C1347" s="77" t="s">
        <v>59</v>
      </c>
      <c r="D1347" s="77" t="s">
        <v>720</v>
      </c>
      <c r="E1347" s="77">
        <v>2025</v>
      </c>
      <c r="F1347" s="105" t="s">
        <v>197</v>
      </c>
      <c r="G1347" s="78" t="s">
        <v>198</v>
      </c>
      <c r="H1347" s="9" t="str" cm="1">
        <f t="array" ref="H1347">INDEX(stableR[question],MATCH(VALUE(questions[[#This Row],[qno]]),VALUE(stableR[qno]),0))</f>
        <v>Did you apply any type of mulch on your coffee last year?</v>
      </c>
      <c r="I1347" s="9" t="b" cm="1">
        <f t="array" ref="I1347">INDEX(stable[is_fixed],MATCH(VALUE(questions[[#This Row],[qno]]),VALUE(stable[qno]),0))</f>
        <v>1</v>
      </c>
      <c r="J1347" s="9" t="b" cm="1">
        <f t="array" ref="J1347">INDEX(stable[is_localized],MATCH(VALUE(questions[[#This Row],[qno]]),VALUE(stable[qno]),0))</f>
        <v>0</v>
      </c>
      <c r="K1347" s="9" t="b" cm="1">
        <f t="array" ref="K1347">INDEX(stable[is_supply_chain_dependent],MATCH(VALUE(questions[[#This Row],[qno]]),VALUE(stable[qno]),0))</f>
        <v>0</v>
      </c>
      <c r="L1347" s="9" t="b" cm="1">
        <f t="array" ref="L1347">INDEX(stable[is_mandatory],MATCH(VALUE(questions[[#This Row],[qno]]),VALUE(stable[qno]),0))</f>
        <v>1</v>
      </c>
      <c r="M1347" s="9" t="b" cm="1">
        <f t="array" ref="M1347">INDEX(stable[is_automated],MATCH(VALUE(questions[[#This Row],[qno]]),VALUE(stable[qno]),0))</f>
        <v>0</v>
      </c>
      <c r="N1347" s="9" t="b" cm="1">
        <f t="array" ref="N1347">INDEX(stable[is_free_text],MATCH(VALUE(questions[[#This Row],[qno]]),VALUE(stable[qno]),0))</f>
        <v>0</v>
      </c>
      <c r="O1347" s="9" t="b" cm="1">
        <f t="array" ref="O1347">INDEX(stable[is_numerical],MATCH(VALUE(questions[[#This Row],[qno]]),VALUE(stable[qno]),0))</f>
        <v>0</v>
      </c>
      <c r="P1347" s="77" t="b" cm="1">
        <f t="array" ref="P1347">INDEX(stable[is_single_select],MATCH(VALUE(questions[[#This Row],[qno]]),VALUE(stable[qno]),0))</f>
        <v>1</v>
      </c>
      <c r="Q1347" s="77" t="b" cm="1">
        <f t="array" ref="Q1347">INDEX(stable[is_multi_select],MATCH(VALUE(questions[[#This Row],[qno]]),VALUE(stable[qno]),0))</f>
        <v>0</v>
      </c>
      <c r="R1347" s="77" t="b" cm="1">
        <f t="array" ref="R1347">INDEX(stable[is_skip_logic],MATCH(VALUE(questions[[#This Row],[qno]]),VALUE(stable[qno]),0))</f>
        <v>1</v>
      </c>
      <c r="S1347" s="77" t="str">
        <f>_xlfn.TEXTJOIN(", ",TRUE,questions[[#This Row],[ans_opt_1]:[ans_opt_14]])</f>
        <v>Yes, No</v>
      </c>
      <c r="T1347" s="77" t="s">
        <v>149</v>
      </c>
      <c r="U1347" s="77" t="s">
        <v>119</v>
      </c>
      <c r="AH1347" s="98" t="b">
        <f>INDEX(stable[q_standard],MATCH(questions[[#This Row],[qno]],stable[qno],0))</f>
        <v>0</v>
      </c>
      <c r="AI1347" s="98" t="b">
        <f>INDEX(stable[q_living_income],MATCH(questions[[#This Row],[qno]],stable[qno],0))</f>
        <v>1</v>
      </c>
      <c r="AJ1347" s="98" t="b">
        <f>INDEX(stable[q_carbon],MATCH(questions[[#This Row],[qno]],stable[qno],0))</f>
        <v>1</v>
      </c>
      <c r="AK1347" s="98" t="b">
        <f>INDEX(stable[q_regen_ag],MATCH(questions[[#This Row],[qno]],stable[qno],0))</f>
        <v>0</v>
      </c>
      <c r="AL1347" s="98" t="b">
        <f>COUNTIFS(stable[qno],questions[[#This Row],[qno]])=1</f>
        <v>1</v>
      </c>
      <c r="AM1347" s="98" t="b">
        <f>OR(questions[[#This Row],[is_fixed]],questions[[#This Row],[is_localized]],questions[[#This Row],[is_supply_chain_dependent]])</f>
        <v>1</v>
      </c>
      <c r="AN1347" s="98" t="b">
        <f>COUNTIFS(questions[[#This Row],[is_automated]:[is_multi_select]],TRUE)=1</f>
        <v>1</v>
      </c>
      <c r="AO1347" s="98" t="b">
        <f>IF(questions[[#This Row],[is_fixed]],questions[[#This Row],[question]]=INDEX(stable[question],MATCH(questions[[#This Row],[qno]],stable[qno],0)),TRUE)</f>
        <v>1</v>
      </c>
      <c r="AP1347" s="98" t="str">
        <f>LEFT(questions[[#This Row],[question]],similarity_range)</f>
        <v>Did you apply any ty</v>
      </c>
      <c r="AQ1347" s="98" t="str">
        <f>LEFT(INDEX(stable[question],MATCH(questions[[#This Row],[qno]],stable[qno],0)),similarity_range)</f>
        <v>Did you apply any ty</v>
      </c>
      <c r="AR1347" s="98" t="b">
        <f>questions[[#This Row],[question_first_characters]]=questions[[#This Row],[stability_first_characters]]</f>
        <v>1</v>
      </c>
      <c r="AS1347" s="98" t="b">
        <f>IF(OR(questions[[#This Row],[is_single_select]],questions[[#This Row],[is_multi_select]]),NOT(ISBLANK(questions[[#This Row],[answer_opt_combined]])),TRUE)</f>
        <v>1</v>
      </c>
    </row>
    <row r="1348" spans="1:45" s="77" customFormat="1" ht="15.75" customHeight="1" x14ac:dyDescent="0.25">
      <c r="A1348" s="77" t="str">
        <f>_xlfn.TEXTJOIN("_",TRUE,questions[[#This Row],[origin]:[qno]])</f>
        <v>Rwanda_Arabica_Nestle_Illy_IMPACT_2025_5501</v>
      </c>
      <c r="B1348" s="77" t="s">
        <v>719</v>
      </c>
      <c r="C1348" s="77" t="s">
        <v>59</v>
      </c>
      <c r="D1348" s="77" t="s">
        <v>720</v>
      </c>
      <c r="E1348" s="77">
        <v>2025</v>
      </c>
      <c r="F1348" s="105" t="s">
        <v>199</v>
      </c>
      <c r="G1348" s="78" t="s">
        <v>200</v>
      </c>
      <c r="H1348" s="9" t="str" cm="1">
        <f t="array" ref="H1348">INDEX(stableR[question],MATCH(VALUE(questions[[#This Row],[qno]]),VALUE(stableR[qno]),0))</f>
        <v>What type of mulch?</v>
      </c>
      <c r="I1348" s="9" t="b" cm="1">
        <f t="array" ref="I1348">INDEX(stable[is_fixed],MATCH(VALUE(questions[[#This Row],[qno]]),VALUE(stable[qno]),0))</f>
        <v>1</v>
      </c>
      <c r="J1348" s="9" t="b" cm="1">
        <f t="array" ref="J1348">INDEX(stable[is_localized],MATCH(VALUE(questions[[#This Row],[qno]]),VALUE(stable[qno]),0))</f>
        <v>0</v>
      </c>
      <c r="K1348" s="9" t="b" cm="1">
        <f t="array" ref="K1348">INDEX(stable[is_supply_chain_dependent],MATCH(VALUE(questions[[#This Row],[qno]]),VALUE(stable[qno]),0))</f>
        <v>0</v>
      </c>
      <c r="L1348" s="9" t="b" cm="1">
        <f t="array" ref="L1348">INDEX(stable[is_mandatory],MATCH(VALUE(questions[[#This Row],[qno]]),VALUE(stable[qno]),0))</f>
        <v>0</v>
      </c>
      <c r="M1348" s="9" t="b" cm="1">
        <f t="array" ref="M1348">INDEX(stable[is_automated],MATCH(VALUE(questions[[#This Row],[qno]]),VALUE(stable[qno]),0))</f>
        <v>0</v>
      </c>
      <c r="N1348" s="9" t="b" cm="1">
        <f t="array" ref="N1348">INDEX(stable[is_free_text],MATCH(VALUE(questions[[#This Row],[qno]]),VALUE(stable[qno]),0))</f>
        <v>0</v>
      </c>
      <c r="O1348" s="9" t="b" cm="1">
        <f t="array" ref="O1348">INDEX(stable[is_numerical],MATCH(VALUE(questions[[#This Row],[qno]]),VALUE(stable[qno]),0))</f>
        <v>0</v>
      </c>
      <c r="P1348" s="77" t="b" cm="1">
        <f t="array" ref="P1348">INDEX(stable[is_single_select],MATCH(VALUE(questions[[#This Row],[qno]]),VALUE(stable[qno]),0))</f>
        <v>0</v>
      </c>
      <c r="Q1348" s="77" t="b" cm="1">
        <f t="array" ref="Q1348">INDEX(stable[is_multi_select],MATCH(VALUE(questions[[#This Row],[qno]]),VALUE(stable[qno]),0))</f>
        <v>1</v>
      </c>
      <c r="R1348" s="77" t="b" cm="1">
        <f t="array" ref="R1348">INDEX(stable[is_skip_logic],MATCH(VALUE(questions[[#This Row],[qno]]),VALUE(stable[qno]),0))</f>
        <v>1</v>
      </c>
      <c r="S1348" s="77" t="str">
        <f>_xlfn.TEXTJOIN(", ",TRUE,questions[[#This Row],[ans_opt_1]:[ans_opt_14]])</f>
        <v>Crop residues (e.g., maize stalks, bean husks), Tree leaves and branches (e.g., pruned branches, dry leaves, twigs), Grasses (e.g., Napier grass, lawn clippings)</v>
      </c>
      <c r="T1348" s="77" t="s">
        <v>986</v>
      </c>
      <c r="U1348" s="77" t="s">
        <v>987</v>
      </c>
      <c r="V1348" s="77" t="s">
        <v>988</v>
      </c>
      <c r="AH1348" s="98" t="b">
        <f>INDEX(stable[q_standard],MATCH(questions[[#This Row],[qno]],stable[qno],0))</f>
        <v>0</v>
      </c>
      <c r="AI1348" s="98" t="b">
        <f>INDEX(stable[q_living_income],MATCH(questions[[#This Row],[qno]],stable[qno],0))</f>
        <v>1</v>
      </c>
      <c r="AJ1348" s="98" t="b">
        <f>INDEX(stable[q_carbon],MATCH(questions[[#This Row],[qno]],stable[qno],0))</f>
        <v>1</v>
      </c>
      <c r="AK1348" s="98" t="b">
        <f>INDEX(stable[q_regen_ag],MATCH(questions[[#This Row],[qno]],stable[qno],0))</f>
        <v>0</v>
      </c>
      <c r="AL1348" s="98" t="b">
        <f>COUNTIFS(stable[qno],questions[[#This Row],[qno]])=1</f>
        <v>1</v>
      </c>
      <c r="AM1348" s="98" t="b">
        <f>OR(questions[[#This Row],[is_fixed]],questions[[#This Row],[is_localized]],questions[[#This Row],[is_supply_chain_dependent]])</f>
        <v>1</v>
      </c>
      <c r="AN1348" s="98" t="b">
        <f>COUNTIFS(questions[[#This Row],[is_automated]:[is_multi_select]],TRUE)=1</f>
        <v>1</v>
      </c>
      <c r="AO1348" s="98" t="b">
        <f>IF(questions[[#This Row],[is_fixed]],questions[[#This Row],[question]]=INDEX(stable[question],MATCH(questions[[#This Row],[qno]],stable[qno],0)),TRUE)</f>
        <v>1</v>
      </c>
      <c r="AP1348" s="98" t="str">
        <f>LEFT(questions[[#This Row],[question]],similarity_range)</f>
        <v xml:space="preserve">What type of mulch? </v>
      </c>
      <c r="AQ1348" s="98" t="str">
        <f>LEFT(INDEX(stable[question],MATCH(questions[[#This Row],[qno]],stable[qno],0)),similarity_range)</f>
        <v xml:space="preserve">What type of mulch? </v>
      </c>
      <c r="AR1348" s="98" t="b">
        <f>questions[[#This Row],[question_first_characters]]=questions[[#This Row],[stability_first_characters]]</f>
        <v>1</v>
      </c>
      <c r="AS1348" s="98" t="b">
        <f>IF(OR(questions[[#This Row],[is_single_select]],questions[[#This Row],[is_multi_select]]),NOT(ISBLANK(questions[[#This Row],[answer_opt_combined]])),TRUE)</f>
        <v>1</v>
      </c>
    </row>
    <row r="1349" spans="1:45" ht="15.75" customHeight="1" x14ac:dyDescent="0.25">
      <c r="A1349" s="9" t="str">
        <f>_xlfn.TEXTJOIN("_",TRUE,questions[[#This Row],[origin]:[qno]])</f>
        <v>Rwanda_Arabica_Nestle_Illy_IMPACT_2025_5502</v>
      </c>
      <c r="B1349" s="9" t="s">
        <v>719</v>
      </c>
      <c r="C1349" s="9" t="s">
        <v>59</v>
      </c>
      <c r="D1349" s="9" t="s">
        <v>720</v>
      </c>
      <c r="E1349" s="33">
        <v>2025</v>
      </c>
      <c r="F1349" s="36" t="s">
        <v>201</v>
      </c>
      <c r="G1349" s="15" t="s">
        <v>929</v>
      </c>
      <c r="H1349" s="9" t="str" cm="1">
        <f t="array" ref="H1349">INDEX(stableR[question],MATCH(VALUE(questions[[#This Row],[qno]]),VALUE(stableR[qno]),0))</f>
        <v>What was the total quantity of mulch that you used? (Kg)</v>
      </c>
      <c r="I1349" s="9" t="b" cm="1">
        <f t="array" ref="I1349">INDEX(stable[is_fixed],MATCH(VALUE(questions[[#This Row],[qno]]),VALUE(stable[qno]),0))</f>
        <v>1</v>
      </c>
      <c r="J1349" s="9" t="b" cm="1">
        <f t="array" ref="J1349">INDEX(stable[is_localized],MATCH(VALUE(questions[[#This Row],[qno]]),VALUE(stable[qno]),0))</f>
        <v>0</v>
      </c>
      <c r="K1349" s="9" t="b" cm="1">
        <f t="array" ref="K1349">INDEX(stable[is_supply_chain_dependent],MATCH(VALUE(questions[[#This Row],[qno]]),VALUE(stable[qno]),0))</f>
        <v>0</v>
      </c>
      <c r="L1349" s="9" t="b" cm="1">
        <f t="array" ref="L1349">INDEX(stable[is_mandatory],MATCH(VALUE(questions[[#This Row],[qno]]),VALUE(stable[qno]),0))</f>
        <v>0</v>
      </c>
      <c r="M1349" s="9" t="b" cm="1">
        <f t="array" ref="M1349">INDEX(stable[is_automated],MATCH(VALUE(questions[[#This Row],[qno]]),VALUE(stable[qno]),0))</f>
        <v>0</v>
      </c>
      <c r="N1349" s="9" t="b" cm="1">
        <f t="array" ref="N1349">INDEX(stable[is_free_text],MATCH(VALUE(questions[[#This Row],[qno]]),VALUE(stable[qno]),0))</f>
        <v>0</v>
      </c>
      <c r="O1349" s="9" t="b" cm="1">
        <f t="array" ref="O1349">INDEX(stable[is_numerical],MATCH(VALUE(questions[[#This Row],[qno]]),VALUE(stable[qno]),0))</f>
        <v>1</v>
      </c>
      <c r="P1349" s="9" t="b" cm="1">
        <f t="array" ref="P1349">INDEX(stable[is_single_select],MATCH(VALUE(questions[[#This Row],[qno]]),VALUE(stable[qno]),0))</f>
        <v>0</v>
      </c>
      <c r="Q1349" s="9" t="b" cm="1">
        <f t="array" ref="Q1349">INDEX(stable[is_multi_select],MATCH(VALUE(questions[[#This Row],[qno]]),VALUE(stable[qno]),0))</f>
        <v>0</v>
      </c>
      <c r="R1349" s="9" t="b" cm="1">
        <f t="array" ref="R1349">INDEX(stable[is_skip_logic],MATCH(VALUE(questions[[#This Row],[qno]]),VALUE(stable[qno]),0))</f>
        <v>1</v>
      </c>
      <c r="S1349" s="9" t="str">
        <f>_xlfn.TEXTJOIN(", ",TRUE,questions[[#This Row],[ans_opt_1]:[ans_opt_14]])</f>
        <v/>
      </c>
      <c r="AH1349" s="16" t="b">
        <f>INDEX(stable[q_standard],MATCH(questions[[#This Row],[qno]],stable[qno],0))</f>
        <v>0</v>
      </c>
      <c r="AI1349" s="16" t="b">
        <f>INDEX(stable[q_living_income],MATCH(questions[[#This Row],[qno]],stable[qno],0))</f>
        <v>1</v>
      </c>
      <c r="AJ1349" s="16" t="b">
        <f>INDEX(stable[q_carbon],MATCH(questions[[#This Row],[qno]],stable[qno],0))</f>
        <v>1</v>
      </c>
      <c r="AK1349" s="16" t="b">
        <f>INDEX(stable[q_regen_ag],MATCH(questions[[#This Row],[qno]],stable[qno],0))</f>
        <v>0</v>
      </c>
      <c r="AL1349" s="16" t="b">
        <f>COUNTIFS(stable[qno],questions[[#This Row],[qno]])=1</f>
        <v>1</v>
      </c>
      <c r="AM1349" s="16" t="b">
        <f>OR(questions[[#This Row],[is_fixed]],questions[[#This Row],[is_localized]],questions[[#This Row],[is_supply_chain_dependent]])</f>
        <v>1</v>
      </c>
      <c r="AN1349" s="16" t="b">
        <f>COUNTIFS(questions[[#This Row],[is_automated]:[is_multi_select]],TRUE)=1</f>
        <v>1</v>
      </c>
      <c r="AO1349" s="16" t="b">
        <f>IF(questions[[#This Row],[is_fixed]],questions[[#This Row],[question]]=INDEX(stable[question],MATCH(questions[[#This Row],[qno]],stable[qno],0)),TRUE)</f>
        <v>1</v>
      </c>
      <c r="AP1349" s="16" t="str">
        <f>LEFT(questions[[#This Row],[question]],similarity_range)</f>
        <v>What was the total q</v>
      </c>
      <c r="AQ1349" s="16" t="str">
        <f>LEFT(INDEX(stable[question],MATCH(questions[[#This Row],[qno]],stable[qno],0)),similarity_range)</f>
        <v>What was the total q</v>
      </c>
      <c r="AR1349" s="16" t="b">
        <f>questions[[#This Row],[question_first_characters]]=questions[[#This Row],[stability_first_characters]]</f>
        <v>1</v>
      </c>
      <c r="AS1349" s="16" t="b">
        <f>IF(OR(questions[[#This Row],[is_single_select]],questions[[#This Row],[is_multi_select]]),NOT(ISBLANK(questions[[#This Row],[answer_opt_combined]])),TRUE)</f>
        <v>1</v>
      </c>
    </row>
    <row r="1350" spans="1:45" ht="15.75" customHeight="1" x14ac:dyDescent="0.25">
      <c r="A1350" s="9" t="str">
        <f>_xlfn.TEXTJOIN("_",TRUE,questions[[#This Row],[origin]:[qno]])</f>
        <v>Rwanda_Arabica_Nestle_Illy_IMPACT_2025_5503</v>
      </c>
      <c r="B1350" s="9" t="s">
        <v>719</v>
      </c>
      <c r="C1350" s="9" t="s">
        <v>59</v>
      </c>
      <c r="D1350" s="9" t="s">
        <v>720</v>
      </c>
      <c r="E1350" s="33">
        <v>2025</v>
      </c>
      <c r="F1350" s="74" t="s">
        <v>203</v>
      </c>
      <c r="G1350" s="64" t="s">
        <v>989</v>
      </c>
      <c r="H1350" s="9" t="str" cm="1">
        <f t="array" ref="H1350">INDEX(stableR[question],MATCH(VALUE(questions[[#This Row],[qno]]),VALUE(stableR[qno]),0))</f>
        <v>What was the unit, for the mulch used (kg, basins, bags, wheel barrows, small truck/tipper, large truck)</v>
      </c>
      <c r="I1350" s="9" t="b" cm="1">
        <f t="array" ref="I1350">INDEX(stable[is_fixed],MATCH(VALUE(questions[[#This Row],[qno]]),VALUE(stable[qno]),0))</f>
        <v>1</v>
      </c>
      <c r="J1350" s="9" t="b" cm="1">
        <f t="array" ref="J1350">INDEX(stable[is_localized],MATCH(VALUE(questions[[#This Row],[qno]]),VALUE(stable[qno]),0))</f>
        <v>0</v>
      </c>
      <c r="K1350" s="9" t="b" cm="1">
        <f t="array" ref="K1350">INDEX(stable[is_supply_chain_dependent],MATCH(VALUE(questions[[#This Row],[qno]]),VALUE(stable[qno]),0))</f>
        <v>0</v>
      </c>
      <c r="L1350" s="9" t="b" cm="1">
        <f t="array" ref="L1350">INDEX(stable[is_mandatory],MATCH(VALUE(questions[[#This Row],[qno]]),VALUE(stable[qno]),0))</f>
        <v>0</v>
      </c>
      <c r="M1350" s="9" t="b" cm="1">
        <f t="array" ref="M1350">INDEX(stable[is_automated],MATCH(VALUE(questions[[#This Row],[qno]]),VALUE(stable[qno]),0))</f>
        <v>0</v>
      </c>
      <c r="N1350" s="9" t="b" cm="1">
        <f t="array" ref="N1350">INDEX(stable[is_free_text],MATCH(VALUE(questions[[#This Row],[qno]]),VALUE(stable[qno]),0))</f>
        <v>1</v>
      </c>
      <c r="O1350" s="9" t="b" cm="1">
        <f t="array" ref="O1350">INDEX(stable[is_numerical],MATCH(VALUE(questions[[#This Row],[qno]]),VALUE(stable[qno]),0))</f>
        <v>0</v>
      </c>
      <c r="P1350" s="9" t="b" cm="1">
        <f t="array" ref="P1350">INDEX(stable[is_single_select],MATCH(VALUE(questions[[#This Row],[qno]]),VALUE(stable[qno]),0))</f>
        <v>0</v>
      </c>
      <c r="Q1350" s="9" t="b" cm="1">
        <f t="array" ref="Q1350">INDEX(stable[is_multi_select],MATCH(VALUE(questions[[#This Row],[qno]]),VALUE(stable[qno]),0))</f>
        <v>0</v>
      </c>
      <c r="R1350" s="9" t="b" cm="1">
        <f t="array" ref="R1350">INDEX(stable[is_skip_logic],MATCH(VALUE(questions[[#This Row],[qno]]),VALUE(stable[qno]),0))</f>
        <v>1</v>
      </c>
      <c r="S1350" s="9" t="str">
        <f>_xlfn.TEXTJOIN(", ",TRUE,questions[[#This Row],[ans_opt_1]:[ans_opt_14]])</f>
        <v>Kg</v>
      </c>
      <c r="T1350" s="9" t="s">
        <v>1018</v>
      </c>
      <c r="AH1350" s="16" t="b">
        <f>INDEX(stable[q_standard],MATCH(questions[[#This Row],[qno]],stable[qno],0))</f>
        <v>0</v>
      </c>
      <c r="AI1350" s="16" t="b">
        <f>INDEX(stable[q_living_income],MATCH(questions[[#This Row],[qno]],stable[qno],0))</f>
        <v>1</v>
      </c>
      <c r="AJ1350" s="16" t="b">
        <f>INDEX(stable[q_carbon],MATCH(questions[[#This Row],[qno]],stable[qno],0))</f>
        <v>1</v>
      </c>
      <c r="AK1350" s="16" t="b">
        <f>INDEX(stable[q_regen_ag],MATCH(questions[[#This Row],[qno]],stable[qno],0))</f>
        <v>0</v>
      </c>
      <c r="AL1350" s="16" t="b">
        <f>COUNTIFS(stable[qno],questions[[#This Row],[qno]])=1</f>
        <v>1</v>
      </c>
      <c r="AM1350" s="16" t="b">
        <f>OR(questions[[#This Row],[is_fixed]],questions[[#This Row],[is_localized]],questions[[#This Row],[is_supply_chain_dependent]])</f>
        <v>1</v>
      </c>
      <c r="AN1350" s="16" t="b">
        <f>COUNTIFS(questions[[#This Row],[is_automated]:[is_multi_select]],TRUE)=1</f>
        <v>1</v>
      </c>
      <c r="AO1350" s="16" t="b">
        <f>IF(questions[[#This Row],[is_fixed]],questions[[#This Row],[question]]=INDEX(stable[question],MATCH(questions[[#This Row],[qno]],stable[qno],0)),TRUE)</f>
        <v>0</v>
      </c>
      <c r="AP1350" s="16" t="str">
        <f>LEFT(questions[[#This Row],[question]],similarity_range)</f>
        <v>Please ensure that t</v>
      </c>
      <c r="AQ1350" s="16" t="str">
        <f>LEFT(INDEX(stable[question],MATCH(questions[[#This Row],[qno]],stable[qno],0)),similarity_range)</f>
        <v>What was the unit, f</v>
      </c>
      <c r="AR1350" s="16" t="b">
        <f>questions[[#This Row],[question_first_characters]]=questions[[#This Row],[stability_first_characters]]</f>
        <v>0</v>
      </c>
      <c r="AS1350" s="16" t="b">
        <f>IF(OR(questions[[#This Row],[is_single_select]],questions[[#This Row],[is_multi_select]]),NOT(ISBLANK(questions[[#This Row],[answer_opt_combined]])),TRUE)</f>
        <v>1</v>
      </c>
    </row>
    <row r="1351" spans="1:45" s="77" customFormat="1" ht="15.75" customHeight="1" x14ac:dyDescent="0.25">
      <c r="A1351" s="77" t="str">
        <f>_xlfn.TEXTJOIN("_",TRUE,questions[[#This Row],[origin]:[qno]])</f>
        <v>Rwanda_Arabica_Nestle_Illy_IMPACT_2025_5504</v>
      </c>
      <c r="B1351" s="77" t="s">
        <v>719</v>
      </c>
      <c r="C1351" s="77" t="s">
        <v>59</v>
      </c>
      <c r="D1351" s="77" t="s">
        <v>720</v>
      </c>
      <c r="E1351" s="77">
        <v>2025</v>
      </c>
      <c r="F1351" s="105" t="s">
        <v>205</v>
      </c>
      <c r="G1351" s="116" t="s">
        <v>768</v>
      </c>
      <c r="H1351" s="9" t="str" cm="1">
        <f t="array" ref="H1351">INDEX(stableR[question],MATCH(VALUE(questions[[#This Row],[qno]]),VALUE(stableR[qno]),0))</f>
        <v>From where was this mulch sourced?</v>
      </c>
      <c r="I1351" s="9" t="b" cm="1">
        <f t="array" ref="I1351">INDEX(stable[is_fixed],MATCH(VALUE(questions[[#This Row],[qno]]),VALUE(stable[qno]),0))</f>
        <v>1</v>
      </c>
      <c r="J1351" s="9" t="b" cm="1">
        <f t="array" ref="J1351">INDEX(stable[is_localized],MATCH(VALUE(questions[[#This Row],[qno]]),VALUE(stable[qno]),0))</f>
        <v>0</v>
      </c>
      <c r="K1351" s="9" t="b" cm="1">
        <f t="array" ref="K1351">INDEX(stable[is_supply_chain_dependent],MATCH(VALUE(questions[[#This Row],[qno]]),VALUE(stable[qno]),0))</f>
        <v>0</v>
      </c>
      <c r="L1351" s="9" t="b" cm="1">
        <f t="array" ref="L1351">INDEX(stable[is_mandatory],MATCH(VALUE(questions[[#This Row],[qno]]),VALUE(stable[qno]),0))</f>
        <v>0</v>
      </c>
      <c r="M1351" s="9" t="b" cm="1">
        <f t="array" ref="M1351">INDEX(stable[is_automated],MATCH(VALUE(questions[[#This Row],[qno]]),VALUE(stable[qno]),0))</f>
        <v>0</v>
      </c>
      <c r="N1351" s="9" t="b" cm="1">
        <f t="array" ref="N1351">INDEX(stable[is_free_text],MATCH(VALUE(questions[[#This Row],[qno]]),VALUE(stable[qno]),0))</f>
        <v>0</v>
      </c>
      <c r="O1351" s="9" t="b" cm="1">
        <f t="array" ref="O1351">INDEX(stable[is_numerical],MATCH(VALUE(questions[[#This Row],[qno]]),VALUE(stable[qno]),0))</f>
        <v>0</v>
      </c>
      <c r="P1351" s="77" t="b" cm="1">
        <f t="array" ref="P1351">INDEX(stable[is_single_select],MATCH(VALUE(questions[[#This Row],[qno]]),VALUE(stable[qno]),0))</f>
        <v>1</v>
      </c>
      <c r="Q1351" s="77" t="b" cm="1">
        <f t="array" ref="Q1351">INDEX(stable[is_multi_select],MATCH(VALUE(questions[[#This Row],[qno]]),VALUE(stable[qno]),0))</f>
        <v>0</v>
      </c>
      <c r="R1351" s="77" t="b" cm="1">
        <f t="array" ref="R1351">INDEX(stable[is_skip_logic],MATCH(VALUE(questions[[#This Row],[qno]]),VALUE(stable[qno]),0))</f>
        <v>1</v>
      </c>
      <c r="S1351" s="77" t="str">
        <f>_xlfn.TEXTJOIN(", ",TRUE,questions[[#This Row],[ans_opt_1]:[ans_opt_14]])</f>
        <v>Outside the coffee plot, Inside the coffee plot, Both from inside and outside the coffee plot</v>
      </c>
      <c r="T1351" s="77" t="s">
        <v>207</v>
      </c>
      <c r="U1351" s="77" t="s">
        <v>208</v>
      </c>
      <c r="V1351" s="77" t="s">
        <v>209</v>
      </c>
      <c r="AH1351" s="98" t="b">
        <f>INDEX(stable[q_standard],MATCH(questions[[#This Row],[qno]],stable[qno],0))</f>
        <v>0</v>
      </c>
      <c r="AI1351" s="98" t="b">
        <f>INDEX(stable[q_living_income],MATCH(questions[[#This Row],[qno]],stable[qno],0))</f>
        <v>1</v>
      </c>
      <c r="AJ1351" s="98" t="b">
        <f>INDEX(stable[q_carbon],MATCH(questions[[#This Row],[qno]],stable[qno],0))</f>
        <v>1</v>
      </c>
      <c r="AK1351" s="98" t="b">
        <f>INDEX(stable[q_regen_ag],MATCH(questions[[#This Row],[qno]],stable[qno],0))</f>
        <v>0</v>
      </c>
      <c r="AL1351" s="98" t="b">
        <f>COUNTIFS(stable[qno],questions[[#This Row],[qno]])=1</f>
        <v>1</v>
      </c>
      <c r="AM1351" s="98" t="b">
        <f>OR(questions[[#This Row],[is_fixed]],questions[[#This Row],[is_localized]],questions[[#This Row],[is_supply_chain_dependent]])</f>
        <v>1</v>
      </c>
      <c r="AN1351" s="98" t="b">
        <f>COUNTIFS(questions[[#This Row],[is_automated]:[is_multi_select]],TRUE)=1</f>
        <v>1</v>
      </c>
      <c r="AO1351" s="98" t="b">
        <f>IF(questions[[#This Row],[is_fixed]],questions[[#This Row],[question]]=INDEX(stable[question],MATCH(questions[[#This Row],[qno]],stable[qno],0)),TRUE)</f>
        <v>1</v>
      </c>
      <c r="AP1351" s="98" t="str">
        <f>LEFT(questions[[#This Row],[question]],similarity_range)</f>
        <v xml:space="preserve">From where was this </v>
      </c>
      <c r="AQ1351" s="98" t="str">
        <f>LEFT(INDEX(stable[question],MATCH(questions[[#This Row],[qno]],stable[qno],0)),similarity_range)</f>
        <v xml:space="preserve">From where was this </v>
      </c>
      <c r="AR1351" s="98" t="b">
        <f>questions[[#This Row],[question_first_characters]]=questions[[#This Row],[stability_first_characters]]</f>
        <v>1</v>
      </c>
      <c r="AS1351" s="98" t="b">
        <f>IF(OR(questions[[#This Row],[is_single_select]],questions[[#This Row],[is_multi_select]]),NOT(ISBLANK(questions[[#This Row],[answer_opt_combined]])),TRUE)</f>
        <v>1</v>
      </c>
    </row>
    <row r="1352" spans="1:45" s="77" customFormat="1" ht="15.75" customHeight="1" x14ac:dyDescent="0.25">
      <c r="A1352" s="77" t="str">
        <f>_xlfn.TEXTJOIN("_",TRUE,questions[[#This Row],[origin]:[qno]])</f>
        <v>Rwanda_Arabica_Nestle_Illy_IMPACT_2025_5505</v>
      </c>
      <c r="B1352" s="77" t="s">
        <v>719</v>
      </c>
      <c r="C1352" s="77" t="s">
        <v>59</v>
      </c>
      <c r="D1352" s="77" t="s">
        <v>720</v>
      </c>
      <c r="E1352" s="77">
        <v>2025</v>
      </c>
      <c r="F1352" s="105" t="s">
        <v>210</v>
      </c>
      <c r="G1352" s="115" t="s">
        <v>769</v>
      </c>
      <c r="H1352" s="9" t="str" cm="1">
        <f t="array" ref="H1352">INDEX(stableR[question],MATCH(VALUE(questions[[#This Row],[qno]]),VALUE(stableR[qno]),0))</f>
        <v>If it was from outside the coffee plot, did you buy this mulch, or did it come from your own farm?</v>
      </c>
      <c r="I1352" s="9" t="b" cm="1">
        <f t="array" ref="I1352">INDEX(stable[is_fixed],MATCH(VALUE(questions[[#This Row],[qno]]),VALUE(stable[qno]),0))</f>
        <v>1</v>
      </c>
      <c r="J1352" s="9" t="b" cm="1">
        <f t="array" ref="J1352">INDEX(stable[is_localized],MATCH(VALUE(questions[[#This Row],[qno]]),VALUE(stable[qno]),0))</f>
        <v>0</v>
      </c>
      <c r="K1352" s="9" t="b" cm="1">
        <f t="array" ref="K1352">INDEX(stable[is_supply_chain_dependent],MATCH(VALUE(questions[[#This Row],[qno]]),VALUE(stable[qno]),0))</f>
        <v>0</v>
      </c>
      <c r="L1352" s="9" t="b" cm="1">
        <f t="array" ref="L1352">INDEX(stable[is_mandatory],MATCH(VALUE(questions[[#This Row],[qno]]),VALUE(stable[qno]),0))</f>
        <v>0</v>
      </c>
      <c r="M1352" s="9" t="b" cm="1">
        <f t="array" ref="M1352">INDEX(stable[is_automated],MATCH(VALUE(questions[[#This Row],[qno]]),VALUE(stable[qno]),0))</f>
        <v>0</v>
      </c>
      <c r="N1352" s="9" t="b" cm="1">
        <f t="array" ref="N1352">INDEX(stable[is_free_text],MATCH(VALUE(questions[[#This Row],[qno]]),VALUE(stable[qno]),0))</f>
        <v>0</v>
      </c>
      <c r="O1352" s="9" t="b" cm="1">
        <f t="array" ref="O1352">INDEX(stable[is_numerical],MATCH(VALUE(questions[[#This Row],[qno]]),VALUE(stable[qno]),0))</f>
        <v>0</v>
      </c>
      <c r="P1352" s="77" t="b" cm="1">
        <f t="array" ref="P1352">INDEX(stable[is_single_select],MATCH(VALUE(questions[[#This Row],[qno]]),VALUE(stable[qno]),0))</f>
        <v>1</v>
      </c>
      <c r="Q1352" s="77" t="b" cm="1">
        <f t="array" ref="Q1352">INDEX(stable[is_multi_select],MATCH(VALUE(questions[[#This Row],[qno]]),VALUE(stable[qno]),0))</f>
        <v>0</v>
      </c>
      <c r="R1352" s="77" t="b" cm="1">
        <f t="array" ref="R1352">INDEX(stable[is_skip_logic],MATCH(VALUE(questions[[#This Row],[qno]]),VALUE(stable[qno]),0))</f>
        <v>1</v>
      </c>
      <c r="S1352" s="77" t="str">
        <f>_xlfn.TEXTJOIN(", ",TRUE,questions[[#This Row],[ans_opt_1]:[ans_opt_14]])</f>
        <v>Bought, From own farm</v>
      </c>
      <c r="T1352" s="77" t="s">
        <v>185</v>
      </c>
      <c r="U1352" s="77" t="s">
        <v>186</v>
      </c>
      <c r="AH1352" s="98" t="b">
        <f>INDEX(stable[q_standard],MATCH(questions[[#This Row],[qno]],stable[qno],0))</f>
        <v>0</v>
      </c>
      <c r="AI1352" s="98" t="b">
        <f>INDEX(stable[q_living_income],MATCH(questions[[#This Row],[qno]],stable[qno],0))</f>
        <v>1</v>
      </c>
      <c r="AJ1352" s="98" t="b">
        <f>INDEX(stable[q_carbon],MATCH(questions[[#This Row],[qno]],stable[qno],0))</f>
        <v>1</v>
      </c>
      <c r="AK1352" s="98" t="b">
        <f>INDEX(stable[q_regen_ag],MATCH(questions[[#This Row],[qno]],stable[qno],0))</f>
        <v>0</v>
      </c>
      <c r="AL1352" s="98" t="b">
        <f>COUNTIFS(stable[qno],questions[[#This Row],[qno]])=1</f>
        <v>1</v>
      </c>
      <c r="AM1352" s="98" t="b">
        <f>OR(questions[[#This Row],[is_fixed]],questions[[#This Row],[is_localized]],questions[[#This Row],[is_supply_chain_dependent]])</f>
        <v>1</v>
      </c>
      <c r="AN1352" s="98" t="b">
        <f>COUNTIFS(questions[[#This Row],[is_automated]:[is_multi_select]],TRUE)=1</f>
        <v>1</v>
      </c>
      <c r="AO1352" s="98" t="b">
        <f>IF(questions[[#This Row],[is_fixed]],questions[[#This Row],[question]]=INDEX(stable[question],MATCH(questions[[#This Row],[qno]],stable[qno],0)),TRUE)</f>
        <v>1</v>
      </c>
      <c r="AP1352" s="98" t="str">
        <f>LEFT(questions[[#This Row],[question]],similarity_range)</f>
        <v>If it was from outsi</v>
      </c>
      <c r="AQ1352" s="98" t="str">
        <f>LEFT(INDEX(stable[question],MATCH(questions[[#This Row],[qno]],stable[qno],0)),similarity_range)</f>
        <v>If it was from outsi</v>
      </c>
      <c r="AR1352" s="98" t="b">
        <f>questions[[#This Row],[question_first_characters]]=questions[[#This Row],[stability_first_characters]]</f>
        <v>1</v>
      </c>
      <c r="AS1352" s="98" t="b">
        <f>IF(OR(questions[[#This Row],[is_single_select]],questions[[#This Row],[is_multi_select]]),NOT(ISBLANK(questions[[#This Row],[answer_opt_combined]])),TRUE)</f>
        <v>1</v>
      </c>
    </row>
    <row r="1353" spans="1:45" s="77" customFormat="1" ht="15.75" customHeight="1" x14ac:dyDescent="0.25">
      <c r="A1353" s="77" t="str">
        <f>_xlfn.TEXTJOIN("_",TRUE,questions[[#This Row],[origin]:[qno]])</f>
        <v>Rwanda_Arabica_Nestle_Illy_IMPACT_2025_5600</v>
      </c>
      <c r="B1353" s="77" t="s">
        <v>719</v>
      </c>
      <c r="C1353" s="77" t="s">
        <v>59</v>
      </c>
      <c r="D1353" s="77" t="s">
        <v>720</v>
      </c>
      <c r="E1353" s="77">
        <v>2025</v>
      </c>
      <c r="F1353" s="105" t="s">
        <v>212</v>
      </c>
      <c r="G1353" s="78" t="s">
        <v>770</v>
      </c>
      <c r="H1353" s="9" t="str" cm="1">
        <f t="array" ref="H1353">INDEX(stableR[question],MATCH(VALUE(questions[[#This Row],[qno]]),VALUE(stableR[qno]),0))</f>
        <v xml:space="preserve">Did you use pesticides, fungicides or herbicides for your coffee last year? </v>
      </c>
      <c r="I1353" s="9" t="b" cm="1">
        <f t="array" ref="I1353">INDEX(stable[is_fixed],MATCH(VALUE(questions[[#This Row],[qno]]),VALUE(stable[qno]),0))</f>
        <v>1</v>
      </c>
      <c r="J1353" s="9" t="b" cm="1">
        <f t="array" ref="J1353">INDEX(stable[is_localized],MATCH(VALUE(questions[[#This Row],[qno]]),VALUE(stable[qno]),0))</f>
        <v>0</v>
      </c>
      <c r="K1353" s="9" t="b" cm="1">
        <f t="array" ref="K1353">INDEX(stable[is_supply_chain_dependent],MATCH(VALUE(questions[[#This Row],[qno]]),VALUE(stable[qno]),0))</f>
        <v>0</v>
      </c>
      <c r="L1353" s="9" t="b" cm="1">
        <f t="array" ref="L1353">INDEX(stable[is_mandatory],MATCH(VALUE(questions[[#This Row],[qno]]),VALUE(stable[qno]),0))</f>
        <v>1</v>
      </c>
      <c r="M1353" s="9" t="b" cm="1">
        <f t="array" ref="M1353">INDEX(stable[is_automated],MATCH(VALUE(questions[[#This Row],[qno]]),VALUE(stable[qno]),0))</f>
        <v>0</v>
      </c>
      <c r="N1353" s="9" t="b" cm="1">
        <f t="array" ref="N1353">INDEX(stable[is_free_text],MATCH(VALUE(questions[[#This Row],[qno]]),VALUE(stable[qno]),0))</f>
        <v>0</v>
      </c>
      <c r="O1353" s="9" t="b" cm="1">
        <f t="array" ref="O1353">INDEX(stable[is_numerical],MATCH(VALUE(questions[[#This Row],[qno]]),VALUE(stable[qno]),0))</f>
        <v>0</v>
      </c>
      <c r="P1353" s="77" t="b" cm="1">
        <f t="array" ref="P1353">INDEX(stable[is_single_select],MATCH(VALUE(questions[[#This Row],[qno]]),VALUE(stable[qno]),0))</f>
        <v>1</v>
      </c>
      <c r="Q1353" s="77" t="b" cm="1">
        <f t="array" ref="Q1353">INDEX(stable[is_multi_select],MATCH(VALUE(questions[[#This Row],[qno]]),VALUE(stable[qno]),0))</f>
        <v>0</v>
      </c>
      <c r="R1353" s="77" t="b" cm="1">
        <f t="array" ref="R1353">INDEX(stable[is_skip_logic],MATCH(VALUE(questions[[#This Row],[qno]]),VALUE(stable[qno]),0))</f>
        <v>1</v>
      </c>
      <c r="S1353" s="77" t="str">
        <f>_xlfn.TEXTJOIN(", ",TRUE,questions[[#This Row],[ans_opt_1]:[ans_opt_14]])</f>
        <v>Yes, No</v>
      </c>
      <c r="T1353" s="77" t="s">
        <v>149</v>
      </c>
      <c r="U1353" s="77" t="s">
        <v>119</v>
      </c>
      <c r="AH1353" s="98" t="b">
        <f>INDEX(stable[q_standard],MATCH(questions[[#This Row],[qno]],stable[qno],0))</f>
        <v>0</v>
      </c>
      <c r="AI1353" s="98" t="b">
        <f>INDEX(stable[q_living_income],MATCH(questions[[#This Row],[qno]],stable[qno],0))</f>
        <v>1</v>
      </c>
      <c r="AJ1353" s="98" t="b">
        <f>INDEX(stable[q_carbon],MATCH(questions[[#This Row],[qno]],stable[qno],0))</f>
        <v>1</v>
      </c>
      <c r="AK1353" s="98" t="b">
        <f>INDEX(stable[q_regen_ag],MATCH(questions[[#This Row],[qno]],stable[qno],0))</f>
        <v>0</v>
      </c>
      <c r="AL1353" s="98" t="b">
        <f>COUNTIFS(stable[qno],questions[[#This Row],[qno]])=1</f>
        <v>1</v>
      </c>
      <c r="AM1353" s="98" t="b">
        <f>OR(questions[[#This Row],[is_fixed]],questions[[#This Row],[is_localized]],questions[[#This Row],[is_supply_chain_dependent]])</f>
        <v>1</v>
      </c>
      <c r="AN1353" s="98" t="b">
        <f>COUNTIFS(questions[[#This Row],[is_automated]:[is_multi_select]],TRUE)=1</f>
        <v>1</v>
      </c>
      <c r="AO1353" s="98" t="b">
        <f>IF(questions[[#This Row],[is_fixed]],questions[[#This Row],[question]]=INDEX(stable[question],MATCH(questions[[#This Row],[qno]],stable[qno],0)),TRUE)</f>
        <v>0</v>
      </c>
      <c r="AP1353" s="98" t="str">
        <f>LEFT(questions[[#This Row],[question]],similarity_range)</f>
        <v>Did you use pesticid</v>
      </c>
      <c r="AQ1353" s="98" t="str">
        <f>LEFT(INDEX(stable[question],MATCH(questions[[#This Row],[qno]],stable[qno],0)),similarity_range)</f>
        <v>Did you use pesticid</v>
      </c>
      <c r="AR1353" s="98" t="b">
        <f>questions[[#This Row],[question_first_characters]]=questions[[#This Row],[stability_first_characters]]</f>
        <v>1</v>
      </c>
      <c r="AS1353" s="98" t="b">
        <f>IF(OR(questions[[#This Row],[is_single_select]],questions[[#This Row],[is_multi_select]]),NOT(ISBLANK(questions[[#This Row],[answer_opt_combined]])),TRUE)</f>
        <v>1</v>
      </c>
    </row>
    <row r="1354" spans="1:45" ht="15.75" customHeight="1" x14ac:dyDescent="0.25">
      <c r="A1354" s="9" t="str">
        <f>_xlfn.TEXTJOIN("_",TRUE,questions[[#This Row],[origin]:[qno]])</f>
        <v>Rwanda_Arabica_Nestle_Illy_IMPACT_2025_5601</v>
      </c>
      <c r="B1354" s="9" t="s">
        <v>719</v>
      </c>
      <c r="C1354" s="9" t="s">
        <v>59</v>
      </c>
      <c r="D1354" s="9" t="s">
        <v>720</v>
      </c>
      <c r="E1354" s="33">
        <v>2025</v>
      </c>
      <c r="F1354" s="36" t="s">
        <v>214</v>
      </c>
      <c r="G1354" s="15" t="s">
        <v>215</v>
      </c>
      <c r="H1354" s="9" t="str" cm="1">
        <f t="array" ref="H1354">INDEX(stableR[question],MATCH(VALUE(questions[[#This Row],[qno]]),VALUE(stableR[qno]),0))</f>
        <v xml:space="preserve">If yes, how many types of pesticides, fungicides and/or herbicides did you use last year for your coffee, in total? </v>
      </c>
      <c r="I1354" s="9" t="b" cm="1">
        <f t="array" ref="I1354">INDEX(stable[is_fixed],MATCH(VALUE(questions[[#This Row],[qno]]),VALUE(stable[qno]),0))</f>
        <v>1</v>
      </c>
      <c r="J1354" s="9" t="b" cm="1">
        <f t="array" ref="J1354">INDEX(stable[is_localized],MATCH(VALUE(questions[[#This Row],[qno]]),VALUE(stable[qno]),0))</f>
        <v>0</v>
      </c>
      <c r="K1354" s="9" t="b" cm="1">
        <f t="array" ref="K1354">INDEX(stable[is_supply_chain_dependent],MATCH(VALUE(questions[[#This Row],[qno]]),VALUE(stable[qno]),0))</f>
        <v>0</v>
      </c>
      <c r="L1354" s="9" t="b" cm="1">
        <f t="array" ref="L1354">INDEX(stable[is_mandatory],MATCH(VALUE(questions[[#This Row],[qno]]),VALUE(stable[qno]),0))</f>
        <v>0</v>
      </c>
      <c r="M1354" s="9" t="b" cm="1">
        <f t="array" ref="M1354">INDEX(stable[is_automated],MATCH(VALUE(questions[[#This Row],[qno]]),VALUE(stable[qno]),0))</f>
        <v>0</v>
      </c>
      <c r="N1354" s="9" t="b" cm="1">
        <f t="array" ref="N1354">INDEX(stable[is_free_text],MATCH(VALUE(questions[[#This Row],[qno]]),VALUE(stable[qno]),0))</f>
        <v>0</v>
      </c>
      <c r="O1354" s="9" t="b" cm="1">
        <f t="array" ref="O1354">INDEX(stable[is_numerical],MATCH(VALUE(questions[[#This Row],[qno]]),VALUE(stable[qno]),0))</f>
        <v>1</v>
      </c>
      <c r="P1354" s="9" t="b" cm="1">
        <f t="array" ref="P1354">INDEX(stable[is_single_select],MATCH(VALUE(questions[[#This Row],[qno]]),VALUE(stable[qno]),0))</f>
        <v>0</v>
      </c>
      <c r="Q1354" s="9" t="b" cm="1">
        <f t="array" ref="Q1354">INDEX(stable[is_multi_select],MATCH(VALUE(questions[[#This Row],[qno]]),VALUE(stable[qno]),0))</f>
        <v>0</v>
      </c>
      <c r="R1354" s="9" t="b" cm="1">
        <f t="array" ref="R1354">INDEX(stable[is_skip_logic],MATCH(VALUE(questions[[#This Row],[qno]]),VALUE(stable[qno]),0))</f>
        <v>1</v>
      </c>
      <c r="S1354" s="9" t="str">
        <f>_xlfn.TEXTJOIN(", ",TRUE,questions[[#This Row],[ans_opt_1]:[ans_opt_14]])</f>
        <v/>
      </c>
      <c r="AH1354" s="16" t="b">
        <f>INDEX(stable[q_standard],MATCH(questions[[#This Row],[qno]],stable[qno],0))</f>
        <v>0</v>
      </c>
      <c r="AI1354" s="16" t="b">
        <f>INDEX(stable[q_living_income],MATCH(questions[[#This Row],[qno]],stable[qno],0))</f>
        <v>1</v>
      </c>
      <c r="AJ1354" s="16" t="b">
        <f>INDEX(stable[q_carbon],MATCH(questions[[#This Row],[qno]],stable[qno],0))</f>
        <v>1</v>
      </c>
      <c r="AK1354" s="16" t="b">
        <f>INDEX(stable[q_regen_ag],MATCH(questions[[#This Row],[qno]],stable[qno],0))</f>
        <v>0</v>
      </c>
      <c r="AL1354" s="16" t="b">
        <f>COUNTIFS(stable[qno],questions[[#This Row],[qno]])=1</f>
        <v>1</v>
      </c>
      <c r="AM1354" s="16" t="b">
        <f>OR(questions[[#This Row],[is_fixed]],questions[[#This Row],[is_localized]],questions[[#This Row],[is_supply_chain_dependent]])</f>
        <v>1</v>
      </c>
      <c r="AN1354" s="16" t="b">
        <f>COUNTIFS(questions[[#This Row],[is_automated]:[is_multi_select]],TRUE)=1</f>
        <v>1</v>
      </c>
      <c r="AO1354" s="16" t="b">
        <f>IF(questions[[#This Row],[is_fixed]],questions[[#This Row],[question]]=INDEX(stable[question],MATCH(questions[[#This Row],[qno]],stable[qno],0)),TRUE)</f>
        <v>0</v>
      </c>
      <c r="AP1354" s="16" t="str">
        <f>LEFT(questions[[#This Row],[question]],similarity_range)</f>
        <v>If yes, how many typ</v>
      </c>
      <c r="AQ1354" s="16" t="str">
        <f>LEFT(INDEX(stable[question],MATCH(questions[[#This Row],[qno]],stable[qno],0)),similarity_range)</f>
        <v>If yes, how many typ</v>
      </c>
      <c r="AR1354" s="16" t="b">
        <f>questions[[#This Row],[question_first_characters]]=questions[[#This Row],[stability_first_characters]]</f>
        <v>1</v>
      </c>
      <c r="AS1354" s="16" t="b">
        <f>IF(OR(questions[[#This Row],[is_single_select]],questions[[#This Row],[is_multi_select]]),NOT(ISBLANK(questions[[#This Row],[answer_opt_combined]])),TRUE)</f>
        <v>1</v>
      </c>
    </row>
    <row r="1355" spans="1:45" ht="15.75" customHeight="1" x14ac:dyDescent="0.25">
      <c r="A1355" s="9" t="str">
        <f>_xlfn.TEXTJOIN("_",TRUE,questions[[#This Row],[origin]:[qno]])</f>
        <v>Rwanda_Arabica_Nestle_Illy_IMPACT_2025_5610</v>
      </c>
      <c r="B1355" s="9" t="s">
        <v>719</v>
      </c>
      <c r="C1355" s="9" t="s">
        <v>59</v>
      </c>
      <c r="D1355" s="9" t="s">
        <v>720</v>
      </c>
      <c r="E1355" s="33">
        <v>2025</v>
      </c>
      <c r="F1355" s="36" t="s">
        <v>216</v>
      </c>
      <c r="G1355" s="15" t="s">
        <v>771</v>
      </c>
      <c r="H1355" s="9" t="str" cm="1">
        <f t="array" ref="H1355">INDEX(stableR[question],MATCH(VALUE(questions[[#This Row],[qno]]),VALUE(stableR[qno]),0))</f>
        <v>What was the name of the pesticide/fungicide or herbicide that you used most, last year?</v>
      </c>
      <c r="I1355" s="9" t="b" cm="1">
        <f t="array" ref="I1355">INDEX(stable[is_fixed],MATCH(VALUE(questions[[#This Row],[qno]]),VALUE(stable[qno]),0))</f>
        <v>1</v>
      </c>
      <c r="J1355" s="9" t="b" cm="1">
        <f t="array" ref="J1355">INDEX(stable[is_localized],MATCH(VALUE(questions[[#This Row],[qno]]),VALUE(stable[qno]),0))</f>
        <v>0</v>
      </c>
      <c r="K1355" s="9" t="b" cm="1">
        <f t="array" ref="K1355">INDEX(stable[is_supply_chain_dependent],MATCH(VALUE(questions[[#This Row],[qno]]),VALUE(stable[qno]),0))</f>
        <v>0</v>
      </c>
      <c r="L1355" s="9" t="b" cm="1">
        <f t="array" ref="L1355">INDEX(stable[is_mandatory],MATCH(VALUE(questions[[#This Row],[qno]]),VALUE(stable[qno]),0))</f>
        <v>0</v>
      </c>
      <c r="M1355" s="9" t="b" cm="1">
        <f t="array" ref="M1355">INDEX(stable[is_automated],MATCH(VALUE(questions[[#This Row],[qno]]),VALUE(stable[qno]),0))</f>
        <v>0</v>
      </c>
      <c r="N1355" s="9" t="b" cm="1">
        <f t="array" ref="N1355">INDEX(stable[is_free_text],MATCH(VALUE(questions[[#This Row],[qno]]),VALUE(stable[qno]),0))</f>
        <v>1</v>
      </c>
      <c r="O1355" s="9" t="b" cm="1">
        <f t="array" ref="O1355">INDEX(stable[is_numerical],MATCH(VALUE(questions[[#This Row],[qno]]),VALUE(stable[qno]),0))</f>
        <v>0</v>
      </c>
      <c r="P1355" s="9" t="b" cm="1">
        <f t="array" ref="P1355">INDEX(stable[is_single_select],MATCH(VALUE(questions[[#This Row],[qno]]),VALUE(stable[qno]),0))</f>
        <v>0</v>
      </c>
      <c r="Q1355" s="9" t="b" cm="1">
        <f t="array" ref="Q1355">INDEX(stable[is_multi_select],MATCH(VALUE(questions[[#This Row],[qno]]),VALUE(stable[qno]),0))</f>
        <v>0</v>
      </c>
      <c r="R1355" s="9" t="b" cm="1">
        <f t="array" ref="R1355">INDEX(stable[is_skip_logic],MATCH(VALUE(questions[[#This Row],[qno]]),VALUE(stable[qno]),0))</f>
        <v>1</v>
      </c>
      <c r="S1355" s="9" t="str">
        <f>_xlfn.TEXTJOIN(", ",TRUE,questions[[#This Row],[ans_opt_1]:[ans_opt_14]])</f>
        <v/>
      </c>
      <c r="AH1355" s="16" t="b">
        <f>INDEX(stable[q_standard],MATCH(questions[[#This Row],[qno]],stable[qno],0))</f>
        <v>0</v>
      </c>
      <c r="AI1355" s="16" t="b">
        <f>INDEX(stable[q_living_income],MATCH(questions[[#This Row],[qno]],stable[qno],0))</f>
        <v>1</v>
      </c>
      <c r="AJ1355" s="16" t="b">
        <f>INDEX(stable[q_carbon],MATCH(questions[[#This Row],[qno]],stable[qno],0))</f>
        <v>1</v>
      </c>
      <c r="AK1355" s="16" t="b">
        <f>INDEX(stable[q_regen_ag],MATCH(questions[[#This Row],[qno]],stable[qno],0))</f>
        <v>0</v>
      </c>
      <c r="AL1355" s="16" t="b">
        <f>COUNTIFS(stable[qno],questions[[#This Row],[qno]])=1</f>
        <v>1</v>
      </c>
      <c r="AM1355" s="16" t="b">
        <f>OR(questions[[#This Row],[is_fixed]],questions[[#This Row],[is_localized]],questions[[#This Row],[is_supply_chain_dependent]])</f>
        <v>1</v>
      </c>
      <c r="AN1355" s="16" t="b">
        <f>COUNTIFS(questions[[#This Row],[is_automated]:[is_multi_select]],TRUE)=1</f>
        <v>1</v>
      </c>
      <c r="AO1355" s="16" t="b">
        <f>IF(questions[[#This Row],[is_fixed]],questions[[#This Row],[question]]=INDEX(stable[question],MATCH(questions[[#This Row],[qno]],stable[qno],0)),TRUE)</f>
        <v>0</v>
      </c>
      <c r="AP1355" s="16" t="str">
        <f>LEFT(questions[[#This Row],[question]],similarity_range)</f>
        <v>If yes, what was the</v>
      </c>
      <c r="AQ1355" s="16" t="str">
        <f>LEFT(INDEX(stable[question],MATCH(questions[[#This Row],[qno]],stable[qno],0)),similarity_range)</f>
        <v>If yes, what was the</v>
      </c>
      <c r="AR1355" s="16" t="b">
        <f>questions[[#This Row],[question_first_characters]]=questions[[#This Row],[stability_first_characters]]</f>
        <v>1</v>
      </c>
      <c r="AS1355" s="16" t="b">
        <f>IF(OR(questions[[#This Row],[is_single_select]],questions[[#This Row],[is_multi_select]]),NOT(ISBLANK(questions[[#This Row],[answer_opt_combined]])),TRUE)</f>
        <v>1</v>
      </c>
    </row>
    <row r="1356" spans="1:45" ht="15.75" customHeight="1" x14ac:dyDescent="0.25">
      <c r="A1356" s="9" t="str">
        <f>_xlfn.TEXTJOIN("_",TRUE,questions[[#This Row],[origin]:[qno]])</f>
        <v>Rwanda_Arabica_Nestle_Illy_IMPACT_2025_5611</v>
      </c>
      <c r="B1356" s="9" t="s">
        <v>719</v>
      </c>
      <c r="C1356" s="9" t="s">
        <v>59</v>
      </c>
      <c r="D1356" s="9" t="s">
        <v>720</v>
      </c>
      <c r="E1356" s="33">
        <v>2025</v>
      </c>
      <c r="F1356" s="36" t="s">
        <v>218</v>
      </c>
      <c r="G1356" s="15" t="s">
        <v>219</v>
      </c>
      <c r="H1356" s="9" t="str" cm="1">
        <f t="array" ref="H1356">INDEX(stableR[question],MATCH(VALUE(questions[[#This Row],[qno]]),VALUE(stableR[qno]),0))</f>
        <v>What was the quantity used of this most used pesticide/fungicide/herbicide last year?</v>
      </c>
      <c r="I1356" s="9" t="b" cm="1">
        <f t="array" ref="I1356">INDEX(stable[is_fixed],MATCH(VALUE(questions[[#This Row],[qno]]),VALUE(stable[qno]),0))</f>
        <v>1</v>
      </c>
      <c r="J1356" s="9" t="b" cm="1">
        <f t="array" ref="J1356">INDEX(stable[is_localized],MATCH(VALUE(questions[[#This Row],[qno]]),VALUE(stable[qno]),0))</f>
        <v>0</v>
      </c>
      <c r="K1356" s="9" t="b" cm="1">
        <f t="array" ref="K1356">INDEX(stable[is_supply_chain_dependent],MATCH(VALUE(questions[[#This Row],[qno]]),VALUE(stable[qno]),0))</f>
        <v>0</v>
      </c>
      <c r="L1356" s="9" t="b" cm="1">
        <f t="array" ref="L1356">INDEX(stable[is_mandatory],MATCH(VALUE(questions[[#This Row],[qno]]),VALUE(stable[qno]),0))</f>
        <v>0</v>
      </c>
      <c r="M1356" s="9" t="b" cm="1">
        <f t="array" ref="M1356">INDEX(stable[is_automated],MATCH(VALUE(questions[[#This Row],[qno]]),VALUE(stable[qno]),0))</f>
        <v>0</v>
      </c>
      <c r="N1356" s="9" t="b" cm="1">
        <f t="array" ref="N1356">INDEX(stable[is_free_text],MATCH(VALUE(questions[[#This Row],[qno]]),VALUE(stable[qno]),0))</f>
        <v>0</v>
      </c>
      <c r="O1356" s="9" t="b" cm="1">
        <f t="array" ref="O1356">INDEX(stable[is_numerical],MATCH(VALUE(questions[[#This Row],[qno]]),VALUE(stable[qno]),0))</f>
        <v>1</v>
      </c>
      <c r="P1356" s="9" t="b" cm="1">
        <f t="array" ref="P1356">INDEX(stable[is_single_select],MATCH(VALUE(questions[[#This Row],[qno]]),VALUE(stable[qno]),0))</f>
        <v>0</v>
      </c>
      <c r="Q1356" s="9" t="b" cm="1">
        <f t="array" ref="Q1356">INDEX(stable[is_multi_select],MATCH(VALUE(questions[[#This Row],[qno]]),VALUE(stable[qno]),0))</f>
        <v>0</v>
      </c>
      <c r="R1356" s="9" t="b" cm="1">
        <f t="array" ref="R1356">INDEX(stable[is_skip_logic],MATCH(VALUE(questions[[#This Row],[qno]]),VALUE(stable[qno]),0))</f>
        <v>1</v>
      </c>
      <c r="S1356" s="9" t="str">
        <f>_xlfn.TEXTJOIN(", ",TRUE,questions[[#This Row],[ans_opt_1]:[ans_opt_14]])</f>
        <v/>
      </c>
      <c r="AH1356" s="16" t="b">
        <f>INDEX(stable[q_standard],MATCH(questions[[#This Row],[qno]],stable[qno],0))</f>
        <v>0</v>
      </c>
      <c r="AI1356" s="16" t="b">
        <f>INDEX(stable[q_living_income],MATCH(questions[[#This Row],[qno]],stable[qno],0))</f>
        <v>1</v>
      </c>
      <c r="AJ1356" s="16" t="b">
        <f>INDEX(stable[q_carbon],MATCH(questions[[#This Row],[qno]],stable[qno],0))</f>
        <v>1</v>
      </c>
      <c r="AK1356" s="16" t="b">
        <f>INDEX(stable[q_regen_ag],MATCH(questions[[#This Row],[qno]],stable[qno],0))</f>
        <v>0</v>
      </c>
      <c r="AL1356" s="16" t="b">
        <f>COUNTIFS(stable[qno],questions[[#This Row],[qno]])=1</f>
        <v>1</v>
      </c>
      <c r="AM1356" s="16" t="b">
        <f>OR(questions[[#This Row],[is_fixed]],questions[[#This Row],[is_localized]],questions[[#This Row],[is_supply_chain_dependent]])</f>
        <v>1</v>
      </c>
      <c r="AN1356" s="16" t="b">
        <f>COUNTIFS(questions[[#This Row],[is_automated]:[is_multi_select]],TRUE)=1</f>
        <v>1</v>
      </c>
      <c r="AO1356" s="16" t="b">
        <f>IF(questions[[#This Row],[is_fixed]],questions[[#This Row],[question]]=INDEX(stable[question],MATCH(questions[[#This Row],[qno]],stable[qno],0)),TRUE)</f>
        <v>1</v>
      </c>
      <c r="AP1356" s="16" t="str">
        <f>LEFT(questions[[#This Row],[question]],similarity_range)</f>
        <v>What was the quantit</v>
      </c>
      <c r="AQ1356" s="16" t="str">
        <f>LEFT(INDEX(stable[question],MATCH(questions[[#This Row],[qno]],stable[qno],0)),similarity_range)</f>
        <v>What was the quantit</v>
      </c>
      <c r="AR1356" s="16" t="b">
        <f>questions[[#This Row],[question_first_characters]]=questions[[#This Row],[stability_first_characters]]</f>
        <v>1</v>
      </c>
      <c r="AS1356" s="16" t="b">
        <f>IF(OR(questions[[#This Row],[is_single_select]],questions[[#This Row],[is_multi_select]]),NOT(ISBLANK(questions[[#This Row],[answer_opt_combined]])),TRUE)</f>
        <v>1</v>
      </c>
    </row>
    <row r="1357" spans="1:45" s="77" customFormat="1" ht="15.75" customHeight="1" x14ac:dyDescent="0.25">
      <c r="A1357" s="77" t="str">
        <f>_xlfn.TEXTJOIN("_",TRUE,questions[[#This Row],[origin]:[qno]])</f>
        <v>Rwanda_Arabica_Nestle_Illy_IMPACT_2025_5612</v>
      </c>
      <c r="B1357" s="77" t="s">
        <v>719</v>
      </c>
      <c r="C1357" s="77" t="s">
        <v>59</v>
      </c>
      <c r="D1357" s="77" t="s">
        <v>720</v>
      </c>
      <c r="E1357" s="77">
        <v>2025</v>
      </c>
      <c r="F1357" s="105" t="s">
        <v>220</v>
      </c>
      <c r="G1357" s="78" t="s">
        <v>772</v>
      </c>
      <c r="H1357" s="9" t="str" cm="1">
        <f t="array" ref="H1357">INDEX(stableR[question],MATCH(VALUE(questions[[#This Row],[qno]]),VALUE(stableR[qno]),0))</f>
        <v>What was the unit of this most used pesticide/fungicide/herbicide?</v>
      </c>
      <c r="I1357" s="9" t="b" cm="1">
        <f t="array" ref="I1357">INDEX(stable[is_fixed],MATCH(VALUE(questions[[#This Row],[qno]]),VALUE(stable[qno]),0))</f>
        <v>1</v>
      </c>
      <c r="J1357" s="9" t="b" cm="1">
        <f t="array" ref="J1357">INDEX(stable[is_localized],MATCH(VALUE(questions[[#This Row],[qno]]),VALUE(stable[qno]),0))</f>
        <v>0</v>
      </c>
      <c r="K1357" s="9" t="b" cm="1">
        <f t="array" ref="K1357">INDEX(stable[is_supply_chain_dependent],MATCH(VALUE(questions[[#This Row],[qno]]),VALUE(stable[qno]),0))</f>
        <v>0</v>
      </c>
      <c r="L1357" s="9" t="b" cm="1">
        <f t="array" ref="L1357">INDEX(stable[is_mandatory],MATCH(VALUE(questions[[#This Row],[qno]]),VALUE(stable[qno]),0))</f>
        <v>0</v>
      </c>
      <c r="M1357" s="9" t="b" cm="1">
        <f t="array" ref="M1357">INDEX(stable[is_automated],MATCH(VALUE(questions[[#This Row],[qno]]),VALUE(stable[qno]),0))</f>
        <v>0</v>
      </c>
      <c r="N1357" s="9" t="b" cm="1">
        <f t="array" ref="N1357">INDEX(stable[is_free_text],MATCH(VALUE(questions[[#This Row],[qno]]),VALUE(stable[qno]),0))</f>
        <v>0</v>
      </c>
      <c r="O1357" s="9" t="b" cm="1">
        <f t="array" ref="O1357">INDEX(stable[is_numerical],MATCH(VALUE(questions[[#This Row],[qno]]),VALUE(stable[qno]),0))</f>
        <v>0</v>
      </c>
      <c r="P1357" s="77" t="b" cm="1">
        <f t="array" ref="P1357">INDEX(stable[is_single_select],MATCH(VALUE(questions[[#This Row],[qno]]),VALUE(stable[qno]),0))</f>
        <v>1</v>
      </c>
      <c r="Q1357" s="77" t="b" cm="1">
        <f t="array" ref="Q1357">INDEX(stable[is_multi_select],MATCH(VALUE(questions[[#This Row],[qno]]),VALUE(stable[qno]),0))</f>
        <v>0</v>
      </c>
      <c r="R1357" s="77" t="b" cm="1">
        <f t="array" ref="R1357">INDEX(stable[is_skip_logic],MATCH(VALUE(questions[[#This Row],[qno]]),VALUE(stable[qno]),0))</f>
        <v>1</v>
      </c>
      <c r="S1357" s="77" t="str">
        <f>_xlfn.TEXTJOIN(", ",TRUE,questions[[#This Row],[ans_opt_1]:[ans_opt_14]])</f>
        <v>Kgs, Grams, Liters, Mililiters</v>
      </c>
      <c r="T1357" s="77" t="s">
        <v>222</v>
      </c>
      <c r="U1357" s="77" t="s">
        <v>223</v>
      </c>
      <c r="V1357" s="77" t="s">
        <v>224</v>
      </c>
      <c r="W1357" s="77" t="s">
        <v>225</v>
      </c>
      <c r="AH1357" s="98" t="b">
        <f>INDEX(stable[q_standard],MATCH(questions[[#This Row],[qno]],stable[qno],0))</f>
        <v>0</v>
      </c>
      <c r="AI1357" s="98" t="b">
        <f>INDEX(stable[q_living_income],MATCH(questions[[#This Row],[qno]],stable[qno],0))</f>
        <v>1</v>
      </c>
      <c r="AJ1357" s="98" t="b">
        <f>INDEX(stable[q_carbon],MATCH(questions[[#This Row],[qno]],stable[qno],0))</f>
        <v>1</v>
      </c>
      <c r="AK1357" s="98" t="b">
        <f>INDEX(stable[q_regen_ag],MATCH(questions[[#This Row],[qno]],stable[qno],0))</f>
        <v>0</v>
      </c>
      <c r="AL1357" s="98" t="b">
        <f>COUNTIFS(stable[qno],questions[[#This Row],[qno]])=1</f>
        <v>1</v>
      </c>
      <c r="AM1357" s="98" t="b">
        <f>OR(questions[[#This Row],[is_fixed]],questions[[#This Row],[is_localized]],questions[[#This Row],[is_supply_chain_dependent]])</f>
        <v>1</v>
      </c>
      <c r="AN1357" s="98" t="b">
        <f>COUNTIFS(questions[[#This Row],[is_automated]:[is_multi_select]],TRUE)=1</f>
        <v>1</v>
      </c>
      <c r="AO1357" s="98" t="b">
        <f>IF(questions[[#This Row],[is_fixed]],questions[[#This Row],[question]]=INDEX(stable[question],MATCH(questions[[#This Row],[qno]],stable[qno],0)),TRUE)</f>
        <v>0</v>
      </c>
      <c r="AP1357" s="98" t="str">
        <f>LEFT(questions[[#This Row],[question]],similarity_range)</f>
        <v>What was the unit of</v>
      </c>
      <c r="AQ1357" s="98" t="str">
        <f>LEFT(INDEX(stable[question],MATCH(questions[[#This Row],[qno]],stable[qno],0)),similarity_range)</f>
        <v>What was the unit of</v>
      </c>
      <c r="AR1357" s="98" t="b">
        <f>questions[[#This Row],[question_first_characters]]=questions[[#This Row],[stability_first_characters]]</f>
        <v>1</v>
      </c>
      <c r="AS1357" s="98" t="b">
        <f>IF(OR(questions[[#This Row],[is_single_select]],questions[[#This Row],[is_multi_select]]),NOT(ISBLANK(questions[[#This Row],[answer_opt_combined]])),TRUE)</f>
        <v>1</v>
      </c>
    </row>
    <row r="1358" spans="1:45" ht="15.75" customHeight="1" x14ac:dyDescent="0.25">
      <c r="A1358" s="9" t="str">
        <f>_xlfn.TEXTJOIN("_",TRUE,questions[[#This Row],[origin]:[qno]])</f>
        <v>Rwanda_Arabica_Nestle_Illy_IMPACT_2025_5620</v>
      </c>
      <c r="B1358" s="9" t="s">
        <v>719</v>
      </c>
      <c r="C1358" s="9" t="s">
        <v>59</v>
      </c>
      <c r="D1358" s="9" t="s">
        <v>720</v>
      </c>
      <c r="E1358" s="33">
        <v>2025</v>
      </c>
      <c r="F1358" s="36" t="s">
        <v>226</v>
      </c>
      <c r="G1358" s="15" t="s">
        <v>773</v>
      </c>
      <c r="H1358" s="9" t="str" cm="1">
        <f t="array" ref="H1358">INDEX(stableR[question],MATCH(VALUE(questions[[#This Row],[qno]]),VALUE(stableR[qno]),0))</f>
        <v>What was the name of the pesticide/fungicide or herbicide that you used second most, last year?</v>
      </c>
      <c r="I1358" s="9" t="b" cm="1">
        <f t="array" ref="I1358">INDEX(stable[is_fixed],MATCH(VALUE(questions[[#This Row],[qno]]),VALUE(stable[qno]),0))</f>
        <v>1</v>
      </c>
      <c r="J1358" s="9" t="b" cm="1">
        <f t="array" ref="J1358">INDEX(stable[is_localized],MATCH(VALUE(questions[[#This Row],[qno]]),VALUE(stable[qno]),0))</f>
        <v>0</v>
      </c>
      <c r="K1358" s="9" t="b" cm="1">
        <f t="array" ref="K1358">INDEX(stable[is_supply_chain_dependent],MATCH(VALUE(questions[[#This Row],[qno]]),VALUE(stable[qno]),0))</f>
        <v>0</v>
      </c>
      <c r="L1358" s="9" t="b" cm="1">
        <f t="array" ref="L1358">INDEX(stable[is_mandatory],MATCH(VALUE(questions[[#This Row],[qno]]),VALUE(stable[qno]),0))</f>
        <v>0</v>
      </c>
      <c r="M1358" s="9" t="b" cm="1">
        <f t="array" ref="M1358">INDEX(stable[is_automated],MATCH(VALUE(questions[[#This Row],[qno]]),VALUE(stable[qno]),0))</f>
        <v>0</v>
      </c>
      <c r="N1358" s="9" t="b" cm="1">
        <f t="array" ref="N1358">INDEX(stable[is_free_text],MATCH(VALUE(questions[[#This Row],[qno]]),VALUE(stable[qno]),0))</f>
        <v>1</v>
      </c>
      <c r="O1358" s="9" t="b" cm="1">
        <f t="array" ref="O1358">INDEX(stable[is_numerical],MATCH(VALUE(questions[[#This Row],[qno]]),VALUE(stable[qno]),0))</f>
        <v>0</v>
      </c>
      <c r="P1358" s="9" t="b" cm="1">
        <f t="array" ref="P1358">INDEX(stable[is_single_select],MATCH(VALUE(questions[[#This Row],[qno]]),VALUE(stable[qno]),0))</f>
        <v>0</v>
      </c>
      <c r="Q1358" s="9" t="b" cm="1">
        <f t="array" ref="Q1358">INDEX(stable[is_multi_select],MATCH(VALUE(questions[[#This Row],[qno]]),VALUE(stable[qno]),0))</f>
        <v>0</v>
      </c>
      <c r="R1358" s="9" t="b" cm="1">
        <f t="array" ref="R1358">INDEX(stable[is_skip_logic],MATCH(VALUE(questions[[#This Row],[qno]]),VALUE(stable[qno]),0))</f>
        <v>1</v>
      </c>
      <c r="S1358" s="9" t="str">
        <f>_xlfn.TEXTJOIN(", ",TRUE,questions[[#This Row],[ans_opt_1]:[ans_opt_14]])</f>
        <v/>
      </c>
      <c r="AH1358" s="16" t="b">
        <f>INDEX(stable[q_standard],MATCH(questions[[#This Row],[qno]],stable[qno],0))</f>
        <v>0</v>
      </c>
      <c r="AI1358" s="16" t="b">
        <f>INDEX(stable[q_living_income],MATCH(questions[[#This Row],[qno]],stable[qno],0))</f>
        <v>1</v>
      </c>
      <c r="AJ1358" s="16" t="b">
        <f>INDEX(stable[q_carbon],MATCH(questions[[#This Row],[qno]],stable[qno],0))</f>
        <v>1</v>
      </c>
      <c r="AK1358" s="16" t="b">
        <f>INDEX(stable[q_regen_ag],MATCH(questions[[#This Row],[qno]],stable[qno],0))</f>
        <v>0</v>
      </c>
      <c r="AL1358" s="16" t="b">
        <f>COUNTIFS(stable[qno],questions[[#This Row],[qno]])=1</f>
        <v>1</v>
      </c>
      <c r="AM1358" s="16" t="b">
        <f>OR(questions[[#This Row],[is_fixed]],questions[[#This Row],[is_localized]],questions[[#This Row],[is_supply_chain_dependent]])</f>
        <v>1</v>
      </c>
      <c r="AN1358" s="16" t="b">
        <f>COUNTIFS(questions[[#This Row],[is_automated]:[is_multi_select]],TRUE)=1</f>
        <v>1</v>
      </c>
      <c r="AO1358" s="16" t="b">
        <f>IF(questions[[#This Row],[is_fixed]],questions[[#This Row],[question]]=INDEX(stable[question],MATCH(questions[[#This Row],[qno]],stable[qno],0)),TRUE)</f>
        <v>0</v>
      </c>
      <c r="AP1358" s="16" t="str">
        <f>LEFT(questions[[#This Row],[question]],similarity_range)</f>
        <v>If yes, what was the</v>
      </c>
      <c r="AQ1358" s="16" t="str">
        <f>LEFT(INDEX(stable[question],MATCH(questions[[#This Row],[qno]],stable[qno],0)),similarity_range)</f>
        <v>If yes, what was the</v>
      </c>
      <c r="AR1358" s="16" t="b">
        <f>questions[[#This Row],[question_first_characters]]=questions[[#This Row],[stability_first_characters]]</f>
        <v>1</v>
      </c>
      <c r="AS1358" s="16" t="b">
        <f>IF(OR(questions[[#This Row],[is_single_select]],questions[[#This Row],[is_multi_select]]),NOT(ISBLANK(questions[[#This Row],[answer_opt_combined]])),TRUE)</f>
        <v>1</v>
      </c>
    </row>
    <row r="1359" spans="1:45" ht="15.75" customHeight="1" x14ac:dyDescent="0.25">
      <c r="A1359" s="9" t="str">
        <f>_xlfn.TEXTJOIN("_",TRUE,questions[[#This Row],[origin]:[qno]])</f>
        <v>Rwanda_Arabica_Nestle_Illy_IMPACT_2025_5621</v>
      </c>
      <c r="B1359" s="9" t="s">
        <v>719</v>
      </c>
      <c r="C1359" s="9" t="s">
        <v>59</v>
      </c>
      <c r="D1359" s="9" t="s">
        <v>720</v>
      </c>
      <c r="E1359" s="33">
        <v>2025</v>
      </c>
      <c r="F1359" s="36" t="s">
        <v>228</v>
      </c>
      <c r="G1359" s="15" t="s">
        <v>229</v>
      </c>
      <c r="H1359" s="9" t="str" cm="1">
        <f t="array" ref="H1359">INDEX(stableR[question],MATCH(VALUE(questions[[#This Row],[qno]]),VALUE(stableR[qno]),0))</f>
        <v>What was the quantity used of this second most used pesticide/fungicide/herbicide last year?</v>
      </c>
      <c r="I1359" s="9" t="b" cm="1">
        <f t="array" ref="I1359">INDEX(stable[is_fixed],MATCH(VALUE(questions[[#This Row],[qno]]),VALUE(stable[qno]),0))</f>
        <v>1</v>
      </c>
      <c r="J1359" s="9" t="b" cm="1">
        <f t="array" ref="J1359">INDEX(stable[is_localized],MATCH(VALUE(questions[[#This Row],[qno]]),VALUE(stable[qno]),0))</f>
        <v>0</v>
      </c>
      <c r="K1359" s="9" t="b" cm="1">
        <f t="array" ref="K1359">INDEX(stable[is_supply_chain_dependent],MATCH(VALUE(questions[[#This Row],[qno]]),VALUE(stable[qno]),0))</f>
        <v>0</v>
      </c>
      <c r="L1359" s="9" t="b" cm="1">
        <f t="array" ref="L1359">INDEX(stable[is_mandatory],MATCH(VALUE(questions[[#This Row],[qno]]),VALUE(stable[qno]),0))</f>
        <v>0</v>
      </c>
      <c r="M1359" s="9" t="b" cm="1">
        <f t="array" ref="M1359">INDEX(stable[is_automated],MATCH(VALUE(questions[[#This Row],[qno]]),VALUE(stable[qno]),0))</f>
        <v>0</v>
      </c>
      <c r="N1359" s="9" t="b" cm="1">
        <f t="array" ref="N1359">INDEX(stable[is_free_text],MATCH(VALUE(questions[[#This Row],[qno]]),VALUE(stable[qno]),0))</f>
        <v>0</v>
      </c>
      <c r="O1359" s="9" t="b" cm="1">
        <f t="array" ref="O1359">INDEX(stable[is_numerical],MATCH(VALUE(questions[[#This Row],[qno]]),VALUE(stable[qno]),0))</f>
        <v>1</v>
      </c>
      <c r="P1359" s="9" t="b" cm="1">
        <f t="array" ref="P1359">INDEX(stable[is_single_select],MATCH(VALUE(questions[[#This Row],[qno]]),VALUE(stable[qno]),0))</f>
        <v>0</v>
      </c>
      <c r="Q1359" s="9" t="b" cm="1">
        <f t="array" ref="Q1359">INDEX(stable[is_multi_select],MATCH(VALUE(questions[[#This Row],[qno]]),VALUE(stable[qno]),0))</f>
        <v>0</v>
      </c>
      <c r="R1359" s="9" t="b" cm="1">
        <f t="array" ref="R1359">INDEX(stable[is_skip_logic],MATCH(VALUE(questions[[#This Row],[qno]]),VALUE(stable[qno]),0))</f>
        <v>1</v>
      </c>
      <c r="S1359" s="9" t="str">
        <f>_xlfn.TEXTJOIN(", ",TRUE,questions[[#This Row],[ans_opt_1]:[ans_opt_14]])</f>
        <v/>
      </c>
      <c r="AH1359" s="16" t="b">
        <f>INDEX(stable[q_standard],MATCH(questions[[#This Row],[qno]],stable[qno],0))</f>
        <v>0</v>
      </c>
      <c r="AI1359" s="16" t="b">
        <f>INDEX(stable[q_living_income],MATCH(questions[[#This Row],[qno]],stable[qno],0))</f>
        <v>1</v>
      </c>
      <c r="AJ1359" s="16" t="b">
        <f>INDEX(stable[q_carbon],MATCH(questions[[#This Row],[qno]],stable[qno],0))</f>
        <v>1</v>
      </c>
      <c r="AK1359" s="16" t="b">
        <f>INDEX(stable[q_regen_ag],MATCH(questions[[#This Row],[qno]],stable[qno],0))</f>
        <v>0</v>
      </c>
      <c r="AL1359" s="16" t="b">
        <f>COUNTIFS(stable[qno],questions[[#This Row],[qno]])=1</f>
        <v>1</v>
      </c>
      <c r="AM1359" s="16" t="b">
        <f>OR(questions[[#This Row],[is_fixed]],questions[[#This Row],[is_localized]],questions[[#This Row],[is_supply_chain_dependent]])</f>
        <v>1</v>
      </c>
      <c r="AN1359" s="16" t="b">
        <f>COUNTIFS(questions[[#This Row],[is_automated]:[is_multi_select]],TRUE)=1</f>
        <v>1</v>
      </c>
      <c r="AO1359" s="16" t="b">
        <f>IF(questions[[#This Row],[is_fixed]],questions[[#This Row],[question]]=INDEX(stable[question],MATCH(questions[[#This Row],[qno]],stable[qno],0)),TRUE)</f>
        <v>1</v>
      </c>
      <c r="AP1359" s="16" t="str">
        <f>LEFT(questions[[#This Row],[question]],similarity_range)</f>
        <v>What was the quantit</v>
      </c>
      <c r="AQ1359" s="16" t="str">
        <f>LEFT(INDEX(stable[question],MATCH(questions[[#This Row],[qno]],stable[qno],0)),similarity_range)</f>
        <v>What was the quantit</v>
      </c>
      <c r="AR1359" s="16" t="b">
        <f>questions[[#This Row],[question_first_characters]]=questions[[#This Row],[stability_first_characters]]</f>
        <v>1</v>
      </c>
      <c r="AS1359" s="16" t="b">
        <f>IF(OR(questions[[#This Row],[is_single_select]],questions[[#This Row],[is_multi_select]]),NOT(ISBLANK(questions[[#This Row],[answer_opt_combined]])),TRUE)</f>
        <v>1</v>
      </c>
    </row>
    <row r="1360" spans="1:45" s="77" customFormat="1" ht="15.75" customHeight="1" x14ac:dyDescent="0.25">
      <c r="A1360" s="77" t="str">
        <f>_xlfn.TEXTJOIN("_",TRUE,questions[[#This Row],[origin]:[qno]])</f>
        <v>Rwanda_Arabica_Nestle_Illy_IMPACT_2025_5622</v>
      </c>
      <c r="B1360" s="77" t="s">
        <v>719</v>
      </c>
      <c r="C1360" s="77" t="s">
        <v>59</v>
      </c>
      <c r="D1360" s="77" t="s">
        <v>720</v>
      </c>
      <c r="E1360" s="77">
        <v>2025</v>
      </c>
      <c r="F1360" s="105" t="s">
        <v>230</v>
      </c>
      <c r="G1360" s="78" t="s">
        <v>774</v>
      </c>
      <c r="H1360" s="9" t="str" cm="1">
        <f t="array" ref="H1360">INDEX(stableR[question],MATCH(VALUE(questions[[#This Row],[qno]]),VALUE(stableR[qno]),0))</f>
        <v>What was the unit of this second most used pesticide/fungicide/herbicide?</v>
      </c>
      <c r="I1360" s="9" t="b" cm="1">
        <f t="array" ref="I1360">INDEX(stable[is_fixed],MATCH(VALUE(questions[[#This Row],[qno]]),VALUE(stable[qno]),0))</f>
        <v>1</v>
      </c>
      <c r="J1360" s="9" t="b" cm="1">
        <f t="array" ref="J1360">INDEX(stable[is_localized],MATCH(VALUE(questions[[#This Row],[qno]]),VALUE(stable[qno]),0))</f>
        <v>0</v>
      </c>
      <c r="K1360" s="9" t="b" cm="1">
        <f t="array" ref="K1360">INDEX(stable[is_supply_chain_dependent],MATCH(VALUE(questions[[#This Row],[qno]]),VALUE(stable[qno]),0))</f>
        <v>0</v>
      </c>
      <c r="L1360" s="9" t="b" cm="1">
        <f t="array" ref="L1360">INDEX(stable[is_mandatory],MATCH(VALUE(questions[[#This Row],[qno]]),VALUE(stable[qno]),0))</f>
        <v>0</v>
      </c>
      <c r="M1360" s="9" t="b" cm="1">
        <f t="array" ref="M1360">INDEX(stable[is_automated],MATCH(VALUE(questions[[#This Row],[qno]]),VALUE(stable[qno]),0))</f>
        <v>0</v>
      </c>
      <c r="N1360" s="9" t="b" cm="1">
        <f t="array" ref="N1360">INDEX(stable[is_free_text],MATCH(VALUE(questions[[#This Row],[qno]]),VALUE(stable[qno]),0))</f>
        <v>0</v>
      </c>
      <c r="O1360" s="9" t="b" cm="1">
        <f t="array" ref="O1360">INDEX(stable[is_numerical],MATCH(VALUE(questions[[#This Row],[qno]]),VALUE(stable[qno]),0))</f>
        <v>0</v>
      </c>
      <c r="P1360" s="77" t="b" cm="1">
        <f t="array" ref="P1360">INDEX(stable[is_single_select],MATCH(VALUE(questions[[#This Row],[qno]]),VALUE(stable[qno]),0))</f>
        <v>1</v>
      </c>
      <c r="Q1360" s="77" t="b" cm="1">
        <f t="array" ref="Q1360">INDEX(stable[is_multi_select],MATCH(VALUE(questions[[#This Row],[qno]]),VALUE(stable[qno]),0))</f>
        <v>0</v>
      </c>
      <c r="R1360" s="77" t="b" cm="1">
        <f t="array" ref="R1360">INDEX(stable[is_skip_logic],MATCH(VALUE(questions[[#This Row],[qno]]),VALUE(stable[qno]),0))</f>
        <v>1</v>
      </c>
      <c r="S1360" s="77" t="str">
        <f>_xlfn.TEXTJOIN(", ",TRUE,questions[[#This Row],[ans_opt_1]:[ans_opt_14]])</f>
        <v>Kgs, Grams, Liters, Mililiters</v>
      </c>
      <c r="T1360" s="77" t="s">
        <v>222</v>
      </c>
      <c r="U1360" s="77" t="s">
        <v>223</v>
      </c>
      <c r="V1360" s="77" t="s">
        <v>224</v>
      </c>
      <c r="W1360" s="77" t="s">
        <v>225</v>
      </c>
      <c r="AH1360" s="98" t="b">
        <f>INDEX(stable[q_standard],MATCH(questions[[#This Row],[qno]],stable[qno],0))</f>
        <v>0</v>
      </c>
      <c r="AI1360" s="98" t="b">
        <f>INDEX(stable[q_living_income],MATCH(questions[[#This Row],[qno]],stable[qno],0))</f>
        <v>1</v>
      </c>
      <c r="AJ1360" s="98" t="b">
        <f>INDEX(stable[q_carbon],MATCH(questions[[#This Row],[qno]],stable[qno],0))</f>
        <v>1</v>
      </c>
      <c r="AK1360" s="98" t="b">
        <f>INDEX(stable[q_regen_ag],MATCH(questions[[#This Row],[qno]],stable[qno],0))</f>
        <v>0</v>
      </c>
      <c r="AL1360" s="98" t="b">
        <f>COUNTIFS(stable[qno],questions[[#This Row],[qno]])=1</f>
        <v>1</v>
      </c>
      <c r="AM1360" s="98" t="b">
        <f>OR(questions[[#This Row],[is_fixed]],questions[[#This Row],[is_localized]],questions[[#This Row],[is_supply_chain_dependent]])</f>
        <v>1</v>
      </c>
      <c r="AN1360" s="98" t="b">
        <f>COUNTIFS(questions[[#This Row],[is_automated]:[is_multi_select]],TRUE)=1</f>
        <v>1</v>
      </c>
      <c r="AO1360" s="98" t="b">
        <f>IF(questions[[#This Row],[is_fixed]],questions[[#This Row],[question]]=INDEX(stable[question],MATCH(questions[[#This Row],[qno]],stable[qno],0)),TRUE)</f>
        <v>0</v>
      </c>
      <c r="AP1360" s="98" t="str">
        <f>LEFT(questions[[#This Row],[question]],similarity_range)</f>
        <v>What was the unit of</v>
      </c>
      <c r="AQ1360" s="98" t="str">
        <f>LEFT(INDEX(stable[question],MATCH(questions[[#This Row],[qno]],stable[qno],0)),similarity_range)</f>
        <v>What was the unit of</v>
      </c>
      <c r="AR1360" s="98" t="b">
        <f>questions[[#This Row],[question_first_characters]]=questions[[#This Row],[stability_first_characters]]</f>
        <v>1</v>
      </c>
      <c r="AS1360" s="98" t="b">
        <f>IF(OR(questions[[#This Row],[is_single_select]],questions[[#This Row],[is_multi_select]]),NOT(ISBLANK(questions[[#This Row],[answer_opt_combined]])),TRUE)</f>
        <v>1</v>
      </c>
    </row>
    <row r="1361" spans="1:45" ht="15.75" customHeight="1" x14ac:dyDescent="0.25">
      <c r="A1361" s="9" t="str">
        <f>_xlfn.TEXTJOIN("_",TRUE,questions[[#This Row],[origin]:[qno]])</f>
        <v>Rwanda_Arabica_Nestle_Illy_IMPACT_2025_5630</v>
      </c>
      <c r="B1361" s="9" t="s">
        <v>719</v>
      </c>
      <c r="C1361" s="9" t="s">
        <v>59</v>
      </c>
      <c r="D1361" s="9" t="s">
        <v>720</v>
      </c>
      <c r="E1361" s="33">
        <v>2025</v>
      </c>
      <c r="F1361" s="36" t="s">
        <v>232</v>
      </c>
      <c r="G1361" s="15" t="s">
        <v>775</v>
      </c>
      <c r="H1361" s="9" t="str" cm="1">
        <f t="array" ref="H1361">INDEX(stableR[question],MATCH(VALUE(questions[[#This Row],[qno]]),VALUE(stableR[qno]),0))</f>
        <v>What was the name of the pesticide/fungicide or herbicide that you used third most, last year?</v>
      </c>
      <c r="I1361" s="9" t="b" cm="1">
        <f t="array" ref="I1361">INDEX(stable[is_fixed],MATCH(VALUE(questions[[#This Row],[qno]]),VALUE(stable[qno]),0))</f>
        <v>1</v>
      </c>
      <c r="J1361" s="9" t="b" cm="1">
        <f t="array" ref="J1361">INDEX(stable[is_localized],MATCH(VALUE(questions[[#This Row],[qno]]),VALUE(stable[qno]),0))</f>
        <v>0</v>
      </c>
      <c r="K1361" s="9" t="b" cm="1">
        <f t="array" ref="K1361">INDEX(stable[is_supply_chain_dependent],MATCH(VALUE(questions[[#This Row],[qno]]),VALUE(stable[qno]),0))</f>
        <v>0</v>
      </c>
      <c r="L1361" s="9" t="b" cm="1">
        <f t="array" ref="L1361">INDEX(stable[is_mandatory],MATCH(VALUE(questions[[#This Row],[qno]]),VALUE(stable[qno]),0))</f>
        <v>0</v>
      </c>
      <c r="M1361" s="9" t="b" cm="1">
        <f t="array" ref="M1361">INDEX(stable[is_automated],MATCH(VALUE(questions[[#This Row],[qno]]),VALUE(stable[qno]),0))</f>
        <v>0</v>
      </c>
      <c r="N1361" s="9" t="b" cm="1">
        <f t="array" ref="N1361">INDEX(stable[is_free_text],MATCH(VALUE(questions[[#This Row],[qno]]),VALUE(stable[qno]),0))</f>
        <v>1</v>
      </c>
      <c r="O1361" s="9" t="b" cm="1">
        <f t="array" ref="O1361">INDEX(stable[is_numerical],MATCH(VALUE(questions[[#This Row],[qno]]),VALUE(stable[qno]),0))</f>
        <v>0</v>
      </c>
      <c r="P1361" s="9" t="b" cm="1">
        <f t="array" ref="P1361">INDEX(stable[is_single_select],MATCH(VALUE(questions[[#This Row],[qno]]),VALUE(stable[qno]),0))</f>
        <v>0</v>
      </c>
      <c r="Q1361" s="9" t="b" cm="1">
        <f t="array" ref="Q1361">INDEX(stable[is_multi_select],MATCH(VALUE(questions[[#This Row],[qno]]),VALUE(stable[qno]),0))</f>
        <v>0</v>
      </c>
      <c r="R1361" s="9" t="b" cm="1">
        <f t="array" ref="R1361">INDEX(stable[is_skip_logic],MATCH(VALUE(questions[[#This Row],[qno]]),VALUE(stable[qno]),0))</f>
        <v>1</v>
      </c>
      <c r="S1361" s="9" t="str">
        <f>_xlfn.TEXTJOIN(", ",TRUE,questions[[#This Row],[ans_opt_1]:[ans_opt_14]])</f>
        <v/>
      </c>
      <c r="AH1361" s="16" t="b">
        <f>INDEX(stable[q_standard],MATCH(questions[[#This Row],[qno]],stable[qno],0))</f>
        <v>0</v>
      </c>
      <c r="AI1361" s="16" t="b">
        <f>INDEX(stable[q_living_income],MATCH(questions[[#This Row],[qno]],stable[qno],0))</f>
        <v>1</v>
      </c>
      <c r="AJ1361" s="16" t="b">
        <f>INDEX(stable[q_carbon],MATCH(questions[[#This Row],[qno]],stable[qno],0))</f>
        <v>1</v>
      </c>
      <c r="AK1361" s="16" t="b">
        <f>INDEX(stable[q_regen_ag],MATCH(questions[[#This Row],[qno]],stable[qno],0))</f>
        <v>0</v>
      </c>
      <c r="AL1361" s="16" t="b">
        <f>COUNTIFS(stable[qno],questions[[#This Row],[qno]])=1</f>
        <v>1</v>
      </c>
      <c r="AM1361" s="16" t="b">
        <f>OR(questions[[#This Row],[is_fixed]],questions[[#This Row],[is_localized]],questions[[#This Row],[is_supply_chain_dependent]])</f>
        <v>1</v>
      </c>
      <c r="AN1361" s="16" t="b">
        <f>COUNTIFS(questions[[#This Row],[is_automated]:[is_multi_select]],TRUE)=1</f>
        <v>1</v>
      </c>
      <c r="AO1361" s="16" t="b">
        <f>IF(questions[[#This Row],[is_fixed]],questions[[#This Row],[question]]=INDEX(stable[question],MATCH(questions[[#This Row],[qno]],stable[qno],0)),TRUE)</f>
        <v>0</v>
      </c>
      <c r="AP1361" s="16" t="str">
        <f>LEFT(questions[[#This Row],[question]],similarity_range)</f>
        <v>If yes, what was the</v>
      </c>
      <c r="AQ1361" s="16" t="str">
        <f>LEFT(INDEX(stable[question],MATCH(questions[[#This Row],[qno]],stable[qno],0)),similarity_range)</f>
        <v>If yes, what was the</v>
      </c>
      <c r="AR1361" s="16" t="b">
        <f>questions[[#This Row],[question_first_characters]]=questions[[#This Row],[stability_first_characters]]</f>
        <v>1</v>
      </c>
      <c r="AS1361" s="16" t="b">
        <f>IF(OR(questions[[#This Row],[is_single_select]],questions[[#This Row],[is_multi_select]]),NOT(ISBLANK(questions[[#This Row],[answer_opt_combined]])),TRUE)</f>
        <v>1</v>
      </c>
    </row>
    <row r="1362" spans="1:45" ht="15.75" customHeight="1" x14ac:dyDescent="0.25">
      <c r="A1362" s="9" t="str">
        <f>_xlfn.TEXTJOIN("_",TRUE,questions[[#This Row],[origin]:[qno]])</f>
        <v>Rwanda_Arabica_Nestle_Illy_IMPACT_2025_5631</v>
      </c>
      <c r="B1362" s="9" t="s">
        <v>719</v>
      </c>
      <c r="C1362" s="9" t="s">
        <v>59</v>
      </c>
      <c r="D1362" s="9" t="s">
        <v>720</v>
      </c>
      <c r="E1362" s="33">
        <v>2025</v>
      </c>
      <c r="F1362" s="36" t="s">
        <v>234</v>
      </c>
      <c r="G1362" s="15" t="s">
        <v>235</v>
      </c>
      <c r="H1362" s="9" t="str" cm="1">
        <f t="array" ref="H1362">INDEX(stableR[question],MATCH(VALUE(questions[[#This Row],[qno]]),VALUE(stableR[qno]),0))</f>
        <v>What was the quantity used of this third most used pesticide/fungicide/herbicide last year?</v>
      </c>
      <c r="I1362" s="9" t="b" cm="1">
        <f t="array" ref="I1362">INDEX(stable[is_fixed],MATCH(VALUE(questions[[#This Row],[qno]]),VALUE(stable[qno]),0))</f>
        <v>1</v>
      </c>
      <c r="J1362" s="9" t="b" cm="1">
        <f t="array" ref="J1362">INDEX(stable[is_localized],MATCH(VALUE(questions[[#This Row],[qno]]),VALUE(stable[qno]),0))</f>
        <v>0</v>
      </c>
      <c r="K1362" s="9" t="b" cm="1">
        <f t="array" ref="K1362">INDEX(stable[is_supply_chain_dependent],MATCH(VALUE(questions[[#This Row],[qno]]),VALUE(stable[qno]),0))</f>
        <v>0</v>
      </c>
      <c r="L1362" s="9" t="b" cm="1">
        <f t="array" ref="L1362">INDEX(stable[is_mandatory],MATCH(VALUE(questions[[#This Row],[qno]]),VALUE(stable[qno]),0))</f>
        <v>0</v>
      </c>
      <c r="M1362" s="9" t="b" cm="1">
        <f t="array" ref="M1362">INDEX(stable[is_automated],MATCH(VALUE(questions[[#This Row],[qno]]),VALUE(stable[qno]),0))</f>
        <v>0</v>
      </c>
      <c r="N1362" s="9" t="b" cm="1">
        <f t="array" ref="N1362">INDEX(stable[is_free_text],MATCH(VALUE(questions[[#This Row],[qno]]),VALUE(stable[qno]),0))</f>
        <v>0</v>
      </c>
      <c r="O1362" s="9" t="b" cm="1">
        <f t="array" ref="O1362">INDEX(stable[is_numerical],MATCH(VALUE(questions[[#This Row],[qno]]),VALUE(stable[qno]),0))</f>
        <v>1</v>
      </c>
      <c r="P1362" s="9" t="b" cm="1">
        <f t="array" ref="P1362">INDEX(stable[is_single_select],MATCH(VALUE(questions[[#This Row],[qno]]),VALUE(stable[qno]),0))</f>
        <v>0</v>
      </c>
      <c r="Q1362" s="9" t="b" cm="1">
        <f t="array" ref="Q1362">INDEX(stable[is_multi_select],MATCH(VALUE(questions[[#This Row],[qno]]),VALUE(stable[qno]),0))</f>
        <v>0</v>
      </c>
      <c r="R1362" s="9" t="b" cm="1">
        <f t="array" ref="R1362">INDEX(stable[is_skip_logic],MATCH(VALUE(questions[[#This Row],[qno]]),VALUE(stable[qno]),0))</f>
        <v>1</v>
      </c>
      <c r="S1362" s="9" t="str">
        <f>_xlfn.TEXTJOIN(", ",TRUE,questions[[#This Row],[ans_opt_1]:[ans_opt_14]])</f>
        <v/>
      </c>
      <c r="AH1362" s="16" t="b">
        <f>INDEX(stable[q_standard],MATCH(questions[[#This Row],[qno]],stable[qno],0))</f>
        <v>0</v>
      </c>
      <c r="AI1362" s="16" t="b">
        <f>INDEX(stable[q_living_income],MATCH(questions[[#This Row],[qno]],stable[qno],0))</f>
        <v>1</v>
      </c>
      <c r="AJ1362" s="16" t="b">
        <f>INDEX(stable[q_carbon],MATCH(questions[[#This Row],[qno]],stable[qno],0))</f>
        <v>1</v>
      </c>
      <c r="AK1362" s="16" t="b">
        <f>INDEX(stable[q_regen_ag],MATCH(questions[[#This Row],[qno]],stable[qno],0))</f>
        <v>0</v>
      </c>
      <c r="AL1362" s="16" t="b">
        <f>COUNTIFS(stable[qno],questions[[#This Row],[qno]])=1</f>
        <v>1</v>
      </c>
      <c r="AM1362" s="16" t="b">
        <f>OR(questions[[#This Row],[is_fixed]],questions[[#This Row],[is_localized]],questions[[#This Row],[is_supply_chain_dependent]])</f>
        <v>1</v>
      </c>
      <c r="AN1362" s="16" t="b">
        <f>COUNTIFS(questions[[#This Row],[is_automated]:[is_multi_select]],TRUE)=1</f>
        <v>1</v>
      </c>
      <c r="AO1362" s="16" t="b">
        <f>IF(questions[[#This Row],[is_fixed]],questions[[#This Row],[question]]=INDEX(stable[question],MATCH(questions[[#This Row],[qno]],stable[qno],0)),TRUE)</f>
        <v>1</v>
      </c>
      <c r="AP1362" s="16" t="str">
        <f>LEFT(questions[[#This Row],[question]],similarity_range)</f>
        <v>What was the quantit</v>
      </c>
      <c r="AQ1362" s="16" t="str">
        <f>LEFT(INDEX(stable[question],MATCH(questions[[#This Row],[qno]],stable[qno],0)),similarity_range)</f>
        <v>What was the quantit</v>
      </c>
      <c r="AR1362" s="16" t="b">
        <f>questions[[#This Row],[question_first_characters]]=questions[[#This Row],[stability_first_characters]]</f>
        <v>1</v>
      </c>
      <c r="AS1362" s="16" t="b">
        <f>IF(OR(questions[[#This Row],[is_single_select]],questions[[#This Row],[is_multi_select]]),NOT(ISBLANK(questions[[#This Row],[answer_opt_combined]])),TRUE)</f>
        <v>1</v>
      </c>
    </row>
    <row r="1363" spans="1:45" s="77" customFormat="1" ht="15.75" customHeight="1" x14ac:dyDescent="0.25">
      <c r="A1363" s="77" t="str">
        <f>_xlfn.TEXTJOIN("_",TRUE,questions[[#This Row],[origin]:[qno]])</f>
        <v>Rwanda_Arabica_Nestle_Illy_IMPACT_2025_5632</v>
      </c>
      <c r="B1363" s="77" t="s">
        <v>719</v>
      </c>
      <c r="C1363" s="77" t="s">
        <v>59</v>
      </c>
      <c r="D1363" s="77" t="s">
        <v>720</v>
      </c>
      <c r="E1363" s="77">
        <v>2025</v>
      </c>
      <c r="F1363" s="105" t="s">
        <v>236</v>
      </c>
      <c r="G1363" s="78" t="s">
        <v>776</v>
      </c>
      <c r="H1363" s="9" t="str" cm="1">
        <f t="array" ref="H1363">INDEX(stableR[question],MATCH(VALUE(questions[[#This Row],[qno]]),VALUE(stableR[qno]),0))</f>
        <v>What was the unit of this third most used pesticide/fungicide/herbicide</v>
      </c>
      <c r="I1363" s="9" t="b" cm="1">
        <f t="array" ref="I1363">INDEX(stable[is_fixed],MATCH(VALUE(questions[[#This Row],[qno]]),VALUE(stable[qno]),0))</f>
        <v>1</v>
      </c>
      <c r="J1363" s="9" t="b" cm="1">
        <f t="array" ref="J1363">INDEX(stable[is_localized],MATCH(VALUE(questions[[#This Row],[qno]]),VALUE(stable[qno]),0))</f>
        <v>0</v>
      </c>
      <c r="K1363" s="9" t="b" cm="1">
        <f t="array" ref="K1363">INDEX(stable[is_supply_chain_dependent],MATCH(VALUE(questions[[#This Row],[qno]]),VALUE(stable[qno]),0))</f>
        <v>0</v>
      </c>
      <c r="L1363" s="9" t="b" cm="1">
        <f t="array" ref="L1363">INDEX(stable[is_mandatory],MATCH(VALUE(questions[[#This Row],[qno]]),VALUE(stable[qno]),0))</f>
        <v>0</v>
      </c>
      <c r="M1363" s="9" t="b" cm="1">
        <f t="array" ref="M1363">INDEX(stable[is_automated],MATCH(VALUE(questions[[#This Row],[qno]]),VALUE(stable[qno]),0))</f>
        <v>0</v>
      </c>
      <c r="N1363" s="9" t="b" cm="1">
        <f t="array" ref="N1363">INDEX(stable[is_free_text],MATCH(VALUE(questions[[#This Row],[qno]]),VALUE(stable[qno]),0))</f>
        <v>0</v>
      </c>
      <c r="O1363" s="9" t="b" cm="1">
        <f t="array" ref="O1363">INDEX(stable[is_numerical],MATCH(VALUE(questions[[#This Row],[qno]]),VALUE(stable[qno]),0))</f>
        <v>0</v>
      </c>
      <c r="P1363" s="77" t="b" cm="1">
        <f t="array" ref="P1363">INDEX(stable[is_single_select],MATCH(VALUE(questions[[#This Row],[qno]]),VALUE(stable[qno]),0))</f>
        <v>1</v>
      </c>
      <c r="Q1363" s="77" t="b" cm="1">
        <f t="array" ref="Q1363">INDEX(stable[is_multi_select],MATCH(VALUE(questions[[#This Row],[qno]]),VALUE(stable[qno]),0))</f>
        <v>0</v>
      </c>
      <c r="R1363" s="77" t="b" cm="1">
        <f t="array" ref="R1363">INDEX(stable[is_skip_logic],MATCH(VALUE(questions[[#This Row],[qno]]),VALUE(stable[qno]),0))</f>
        <v>1</v>
      </c>
      <c r="S1363" s="77" t="str">
        <f>_xlfn.TEXTJOIN(", ",TRUE,questions[[#This Row],[ans_opt_1]:[ans_opt_14]])</f>
        <v>Kgs, Grams, Liters, Mililiters</v>
      </c>
      <c r="T1363" s="77" t="s">
        <v>222</v>
      </c>
      <c r="U1363" s="77" t="s">
        <v>223</v>
      </c>
      <c r="V1363" s="77" t="s">
        <v>224</v>
      </c>
      <c r="W1363" s="77" t="s">
        <v>225</v>
      </c>
      <c r="AH1363" s="98" t="b">
        <f>INDEX(stable[q_standard],MATCH(questions[[#This Row],[qno]],stable[qno],0))</f>
        <v>0</v>
      </c>
      <c r="AI1363" s="98" t="b">
        <f>INDEX(stable[q_living_income],MATCH(questions[[#This Row],[qno]],stable[qno],0))</f>
        <v>1</v>
      </c>
      <c r="AJ1363" s="98" t="b">
        <f>INDEX(stable[q_carbon],MATCH(questions[[#This Row],[qno]],stable[qno],0))</f>
        <v>1</v>
      </c>
      <c r="AK1363" s="98" t="b">
        <f>INDEX(stable[q_regen_ag],MATCH(questions[[#This Row],[qno]],stable[qno],0))</f>
        <v>0</v>
      </c>
      <c r="AL1363" s="98" t="b">
        <f>COUNTIFS(stable[qno],questions[[#This Row],[qno]])=1</f>
        <v>1</v>
      </c>
      <c r="AM1363" s="98" t="b">
        <f>OR(questions[[#This Row],[is_fixed]],questions[[#This Row],[is_localized]],questions[[#This Row],[is_supply_chain_dependent]])</f>
        <v>1</v>
      </c>
      <c r="AN1363" s="98" t="b">
        <f>COUNTIFS(questions[[#This Row],[is_automated]:[is_multi_select]],TRUE)=1</f>
        <v>1</v>
      </c>
      <c r="AO1363" s="98" t="b">
        <f>IF(questions[[#This Row],[is_fixed]],questions[[#This Row],[question]]=INDEX(stable[question],MATCH(questions[[#This Row],[qno]],stable[qno],0)),TRUE)</f>
        <v>0</v>
      </c>
      <c r="AP1363" s="98" t="str">
        <f>LEFT(questions[[#This Row],[question]],similarity_range)</f>
        <v>What was the unit of</v>
      </c>
      <c r="AQ1363" s="98" t="str">
        <f>LEFT(INDEX(stable[question],MATCH(questions[[#This Row],[qno]],stable[qno],0)),similarity_range)</f>
        <v>What was the unit of</v>
      </c>
      <c r="AR1363" s="98" t="b">
        <f>questions[[#This Row],[question_first_characters]]=questions[[#This Row],[stability_first_characters]]</f>
        <v>1</v>
      </c>
      <c r="AS1363" s="98" t="b">
        <f>IF(OR(questions[[#This Row],[is_single_select]],questions[[#This Row],[is_multi_select]]),NOT(ISBLANK(questions[[#This Row],[answer_opt_combined]])),TRUE)</f>
        <v>1</v>
      </c>
    </row>
    <row r="1364" spans="1:45" s="77" customFormat="1" ht="15.75" customHeight="1" x14ac:dyDescent="0.25">
      <c r="A1364" s="77" t="str">
        <f>_xlfn.TEXTJOIN("_",TRUE,questions[[#This Row],[origin]:[qno]])</f>
        <v>Rwanda_Arabica_Nestle_Illy_IMPACT_2025_6000</v>
      </c>
      <c r="B1364" s="77" t="s">
        <v>719</v>
      </c>
      <c r="C1364" s="77" t="s">
        <v>59</v>
      </c>
      <c r="D1364" s="77" t="s">
        <v>720</v>
      </c>
      <c r="E1364" s="77">
        <v>2025</v>
      </c>
      <c r="F1364" s="105" t="s">
        <v>238</v>
      </c>
      <c r="G1364" s="78" t="s">
        <v>239</v>
      </c>
      <c r="H1364" s="9" t="str" cm="1">
        <f t="array" ref="H1364">INDEX(stableR[question],MATCH(VALUE(questions[[#This Row],[qno]]),VALUE(stableR[qno]),0))</f>
        <v>Did you hire any permanent laborer's, for your coffee plots, last year?</v>
      </c>
      <c r="I1364" s="9" t="b" cm="1">
        <f t="array" ref="I1364">INDEX(stable[is_fixed],MATCH(VALUE(questions[[#This Row],[qno]]),VALUE(stable[qno]),0))</f>
        <v>1</v>
      </c>
      <c r="J1364" s="9" t="b" cm="1">
        <f t="array" ref="J1364">INDEX(stable[is_localized],MATCH(VALUE(questions[[#This Row],[qno]]),VALUE(stable[qno]),0))</f>
        <v>0</v>
      </c>
      <c r="K1364" s="9" t="b" cm="1">
        <f t="array" ref="K1364">INDEX(stable[is_supply_chain_dependent],MATCH(VALUE(questions[[#This Row],[qno]]),VALUE(stable[qno]),0))</f>
        <v>0</v>
      </c>
      <c r="L1364" s="9" t="b" cm="1">
        <f t="array" ref="L1364">INDEX(stable[is_mandatory],MATCH(VALUE(questions[[#This Row],[qno]]),VALUE(stable[qno]),0))</f>
        <v>1</v>
      </c>
      <c r="M1364" s="9" t="b" cm="1">
        <f t="array" ref="M1364">INDEX(stable[is_automated],MATCH(VALUE(questions[[#This Row],[qno]]),VALUE(stable[qno]),0))</f>
        <v>0</v>
      </c>
      <c r="N1364" s="9" t="b" cm="1">
        <f t="array" ref="N1364">INDEX(stable[is_free_text],MATCH(VALUE(questions[[#This Row],[qno]]),VALUE(stable[qno]),0))</f>
        <v>0</v>
      </c>
      <c r="O1364" s="9" t="b" cm="1">
        <f t="array" ref="O1364">INDEX(stable[is_numerical],MATCH(VALUE(questions[[#This Row],[qno]]),VALUE(stable[qno]),0))</f>
        <v>0</v>
      </c>
      <c r="P1364" s="77" t="b" cm="1">
        <f t="array" ref="P1364">INDEX(stable[is_single_select],MATCH(VALUE(questions[[#This Row],[qno]]),VALUE(stable[qno]),0))</f>
        <v>1</v>
      </c>
      <c r="Q1364" s="77" t="b" cm="1">
        <f t="array" ref="Q1364">INDEX(stable[is_multi_select],MATCH(VALUE(questions[[#This Row],[qno]]),VALUE(stable[qno]),0))</f>
        <v>0</v>
      </c>
      <c r="R1364" s="77" t="b" cm="1">
        <f t="array" ref="R1364">INDEX(stable[is_skip_logic],MATCH(VALUE(questions[[#This Row],[qno]]),VALUE(stable[qno]),0))</f>
        <v>1</v>
      </c>
      <c r="S1364" s="77" t="str">
        <f>_xlfn.TEXTJOIN(", ",TRUE,questions[[#This Row],[ans_opt_1]:[ans_opt_14]])</f>
        <v>Yes, No</v>
      </c>
      <c r="T1364" s="77" t="s">
        <v>149</v>
      </c>
      <c r="U1364" s="77" t="s">
        <v>119</v>
      </c>
      <c r="AH1364" s="98" t="b">
        <f>INDEX(stable[q_standard],MATCH(questions[[#This Row],[qno]],stable[qno],0))</f>
        <v>0</v>
      </c>
      <c r="AI1364" s="98" t="b">
        <f>INDEX(stable[q_living_income],MATCH(questions[[#This Row],[qno]],stable[qno],0))</f>
        <v>1</v>
      </c>
      <c r="AJ1364" s="98" t="b">
        <f>INDEX(stable[q_carbon],MATCH(questions[[#This Row],[qno]],stable[qno],0))</f>
        <v>0</v>
      </c>
      <c r="AK1364" s="98" t="b">
        <f>INDEX(stable[q_regen_ag],MATCH(questions[[#This Row],[qno]],stable[qno],0))</f>
        <v>0</v>
      </c>
      <c r="AL1364" s="98" t="b">
        <f>COUNTIFS(stable[qno],questions[[#This Row],[qno]])=1</f>
        <v>1</v>
      </c>
      <c r="AM1364" s="98" t="b">
        <f>OR(questions[[#This Row],[is_fixed]],questions[[#This Row],[is_localized]],questions[[#This Row],[is_supply_chain_dependent]])</f>
        <v>1</v>
      </c>
      <c r="AN1364" s="98" t="b">
        <f>COUNTIFS(questions[[#This Row],[is_automated]:[is_multi_select]],TRUE)=1</f>
        <v>1</v>
      </c>
      <c r="AO1364" s="98" t="b">
        <f>IF(questions[[#This Row],[is_fixed]],questions[[#This Row],[question]]=INDEX(stable[question],MATCH(questions[[#This Row],[qno]],stable[qno],0)),TRUE)</f>
        <v>1</v>
      </c>
      <c r="AP1364" s="98" t="str">
        <f>LEFT(questions[[#This Row],[question]],similarity_range)</f>
        <v>Did you hire any per</v>
      </c>
      <c r="AQ1364" s="98" t="str">
        <f>LEFT(INDEX(stable[question],MATCH(questions[[#This Row],[qno]],stable[qno],0)),similarity_range)</f>
        <v>Did you hire any per</v>
      </c>
      <c r="AR1364" s="98" t="b">
        <f>questions[[#This Row],[question_first_characters]]=questions[[#This Row],[stability_first_characters]]</f>
        <v>1</v>
      </c>
      <c r="AS1364" s="98" t="b">
        <f>IF(OR(questions[[#This Row],[is_single_select]],questions[[#This Row],[is_multi_select]]),NOT(ISBLANK(questions[[#This Row],[answer_opt_combined]])),TRUE)</f>
        <v>1</v>
      </c>
    </row>
    <row r="1365" spans="1:45" ht="15.75" customHeight="1" x14ac:dyDescent="0.25">
      <c r="A1365" s="9" t="str">
        <f>_xlfn.TEXTJOIN("_",TRUE,questions[[#This Row],[origin]:[qno]])</f>
        <v>Rwanda_Arabica_Nestle_Illy_IMPACT_2025_6001</v>
      </c>
      <c r="B1365" s="9" t="s">
        <v>719</v>
      </c>
      <c r="C1365" s="9" t="s">
        <v>59</v>
      </c>
      <c r="D1365" s="9" t="s">
        <v>720</v>
      </c>
      <c r="E1365" s="33">
        <v>2025</v>
      </c>
      <c r="F1365" s="36" t="s">
        <v>240</v>
      </c>
      <c r="G1365" s="15" t="s">
        <v>241</v>
      </c>
      <c r="H1365" s="9" t="str" cm="1">
        <f t="array" ref="H1365">INDEX(stableR[question],MATCH(VALUE(questions[[#This Row],[qno]]),VALUE(stableR[qno]),0))</f>
        <v>How many people did you hire, permanently for your coffee plots, last year?</v>
      </c>
      <c r="I1365" s="9" t="b" cm="1">
        <f t="array" ref="I1365">INDEX(stable[is_fixed],MATCH(VALUE(questions[[#This Row],[qno]]),VALUE(stable[qno]),0))</f>
        <v>1</v>
      </c>
      <c r="J1365" s="9" t="b" cm="1">
        <f t="array" ref="J1365">INDEX(stable[is_localized],MATCH(VALUE(questions[[#This Row],[qno]]),VALUE(stable[qno]),0))</f>
        <v>0</v>
      </c>
      <c r="K1365" s="9" t="b" cm="1">
        <f t="array" ref="K1365">INDEX(stable[is_supply_chain_dependent],MATCH(VALUE(questions[[#This Row],[qno]]),VALUE(stable[qno]),0))</f>
        <v>0</v>
      </c>
      <c r="L1365" s="9" t="b" cm="1">
        <f t="array" ref="L1365">INDEX(stable[is_mandatory],MATCH(VALUE(questions[[#This Row],[qno]]),VALUE(stable[qno]),0))</f>
        <v>0</v>
      </c>
      <c r="M1365" s="9" t="b" cm="1">
        <f t="array" ref="M1365">INDEX(stable[is_automated],MATCH(VALUE(questions[[#This Row],[qno]]),VALUE(stable[qno]),0))</f>
        <v>0</v>
      </c>
      <c r="N1365" s="9" t="b" cm="1">
        <f t="array" ref="N1365">INDEX(stable[is_free_text],MATCH(VALUE(questions[[#This Row],[qno]]),VALUE(stable[qno]),0))</f>
        <v>0</v>
      </c>
      <c r="O1365" s="9" t="b" cm="1">
        <f t="array" ref="O1365">INDEX(stable[is_numerical],MATCH(VALUE(questions[[#This Row],[qno]]),VALUE(stable[qno]),0))</f>
        <v>1</v>
      </c>
      <c r="P1365" s="9" t="b" cm="1">
        <f t="array" ref="P1365">INDEX(stable[is_single_select],MATCH(VALUE(questions[[#This Row],[qno]]),VALUE(stable[qno]),0))</f>
        <v>0</v>
      </c>
      <c r="Q1365" s="9" t="b" cm="1">
        <f t="array" ref="Q1365">INDEX(stable[is_multi_select],MATCH(VALUE(questions[[#This Row],[qno]]),VALUE(stable[qno]),0))</f>
        <v>0</v>
      </c>
      <c r="R1365" s="9" t="b" cm="1">
        <f t="array" ref="R1365">INDEX(stable[is_skip_logic],MATCH(VALUE(questions[[#This Row],[qno]]),VALUE(stable[qno]),0))</f>
        <v>1</v>
      </c>
      <c r="S1365" s="9" t="str">
        <f>_xlfn.TEXTJOIN(", ",TRUE,questions[[#This Row],[ans_opt_1]:[ans_opt_14]])</f>
        <v/>
      </c>
      <c r="AH1365" s="16" t="b">
        <f>INDEX(stable[q_standard],MATCH(questions[[#This Row],[qno]],stable[qno],0))</f>
        <v>0</v>
      </c>
      <c r="AI1365" s="16" t="b">
        <f>INDEX(stable[q_living_income],MATCH(questions[[#This Row],[qno]],stable[qno],0))</f>
        <v>1</v>
      </c>
      <c r="AJ1365" s="16" t="b">
        <f>INDEX(stable[q_carbon],MATCH(questions[[#This Row],[qno]],stable[qno],0))</f>
        <v>0</v>
      </c>
      <c r="AK1365" s="16" t="b">
        <f>INDEX(stable[q_regen_ag],MATCH(questions[[#This Row],[qno]],stable[qno],0))</f>
        <v>0</v>
      </c>
      <c r="AL1365" s="16" t="b">
        <f>COUNTIFS(stable[qno],questions[[#This Row],[qno]])=1</f>
        <v>1</v>
      </c>
      <c r="AM1365" s="16" t="b">
        <f>OR(questions[[#This Row],[is_fixed]],questions[[#This Row],[is_localized]],questions[[#This Row],[is_supply_chain_dependent]])</f>
        <v>1</v>
      </c>
      <c r="AN1365" s="16" t="b">
        <f>COUNTIFS(questions[[#This Row],[is_automated]:[is_multi_select]],TRUE)=1</f>
        <v>1</v>
      </c>
      <c r="AO1365" s="16" t="b">
        <f>IF(questions[[#This Row],[is_fixed]],questions[[#This Row],[question]]=INDEX(stable[question],MATCH(questions[[#This Row],[qno]],stable[qno],0)),TRUE)</f>
        <v>1</v>
      </c>
      <c r="AP1365" s="16" t="str">
        <f>LEFT(questions[[#This Row],[question]],similarity_range)</f>
        <v>If yes, how many peo</v>
      </c>
      <c r="AQ1365" s="16" t="str">
        <f>LEFT(INDEX(stable[question],MATCH(questions[[#This Row],[qno]],stable[qno],0)),similarity_range)</f>
        <v>If yes, how many peo</v>
      </c>
      <c r="AR1365" s="16" t="b">
        <f>questions[[#This Row],[question_first_characters]]=questions[[#This Row],[stability_first_characters]]</f>
        <v>1</v>
      </c>
      <c r="AS1365" s="16" t="b">
        <f>IF(OR(questions[[#This Row],[is_single_select]],questions[[#This Row],[is_multi_select]]),NOT(ISBLANK(questions[[#This Row],[answer_opt_combined]])),TRUE)</f>
        <v>1</v>
      </c>
    </row>
    <row r="1366" spans="1:45" s="77" customFormat="1" ht="15.75" customHeight="1" x14ac:dyDescent="0.25">
      <c r="A1366" s="77" t="str">
        <f>_xlfn.TEXTJOIN("_",TRUE,questions[[#This Row],[origin]:[qno]])</f>
        <v>Rwanda_Arabica_Nestle_Illy_IMPACT_2025_6030</v>
      </c>
      <c r="B1366" s="77" t="s">
        <v>719</v>
      </c>
      <c r="C1366" s="77" t="s">
        <v>59</v>
      </c>
      <c r="D1366" s="77" t="s">
        <v>720</v>
      </c>
      <c r="E1366" s="77">
        <v>2025</v>
      </c>
      <c r="F1366" s="105" t="s">
        <v>242</v>
      </c>
      <c r="G1366" s="118" t="s">
        <v>777</v>
      </c>
      <c r="H1366" s="9" t="str" cm="1">
        <f t="array" ref="H1366">INDEX(stableR[question],MATCH(VALUE(questions[[#This Row],[qno]]),VALUE(stableR[qno]),0))</f>
        <v>Did you hire any people to work on your coffee plots  for seasonal activities during last year?</v>
      </c>
      <c r="I1366" s="9" t="b" cm="1">
        <f t="array" ref="I1366">INDEX(stable[is_fixed],MATCH(VALUE(questions[[#This Row],[qno]]),VALUE(stable[qno]),0))</f>
        <v>0</v>
      </c>
      <c r="J1366" s="9" t="b" cm="1">
        <f t="array" ref="J1366">INDEX(stable[is_localized],MATCH(VALUE(questions[[#This Row],[qno]]),VALUE(stable[qno]),0))</f>
        <v>1</v>
      </c>
      <c r="K1366" s="9" t="b" cm="1">
        <f t="array" ref="K1366">INDEX(stable[is_supply_chain_dependent],MATCH(VALUE(questions[[#This Row],[qno]]),VALUE(stable[qno]),0))</f>
        <v>0</v>
      </c>
      <c r="L1366" s="9" t="b" cm="1">
        <f t="array" ref="L1366">INDEX(stable[is_mandatory],MATCH(VALUE(questions[[#This Row],[qno]]),VALUE(stable[qno]),0))</f>
        <v>1</v>
      </c>
      <c r="M1366" s="9" t="b" cm="1">
        <f t="array" ref="M1366">INDEX(stable[is_automated],MATCH(VALUE(questions[[#This Row],[qno]]),VALUE(stable[qno]),0))</f>
        <v>0</v>
      </c>
      <c r="N1366" s="9" t="b" cm="1">
        <f t="array" ref="N1366">INDEX(stable[is_free_text],MATCH(VALUE(questions[[#This Row],[qno]]),VALUE(stable[qno]),0))</f>
        <v>0</v>
      </c>
      <c r="O1366" s="9" t="b" cm="1">
        <f t="array" ref="O1366">INDEX(stable[is_numerical],MATCH(VALUE(questions[[#This Row],[qno]]),VALUE(stable[qno]),0))</f>
        <v>0</v>
      </c>
      <c r="P1366" s="77" t="b" cm="1">
        <f t="array" ref="P1366">INDEX(stable[is_single_select],MATCH(VALUE(questions[[#This Row],[qno]]),VALUE(stable[qno]),0))</f>
        <v>1</v>
      </c>
      <c r="Q1366" s="77" t="b" cm="1">
        <f t="array" ref="Q1366">INDEX(stable[is_multi_select],MATCH(VALUE(questions[[#This Row],[qno]]),VALUE(stable[qno]),0))</f>
        <v>0</v>
      </c>
      <c r="R1366" s="77" t="b" cm="1">
        <f t="array" ref="R1366">INDEX(stable[is_skip_logic],MATCH(VALUE(questions[[#This Row],[qno]]),VALUE(stable[qno]),0))</f>
        <v>1</v>
      </c>
      <c r="S1366" s="77" t="str">
        <f>_xlfn.TEXTJOIN(", ",TRUE,questions[[#This Row],[ans_opt_1]:[ans_opt_14]])</f>
        <v>Yes, No</v>
      </c>
      <c r="T1366" s="77" t="s">
        <v>149</v>
      </c>
      <c r="U1366" s="77" t="s">
        <v>119</v>
      </c>
      <c r="AH1366" s="98" t="b">
        <f>INDEX(stable[q_standard],MATCH(questions[[#This Row],[qno]],stable[qno],0))</f>
        <v>0</v>
      </c>
      <c r="AI1366" s="98" t="b">
        <f>INDEX(stable[q_living_income],MATCH(questions[[#This Row],[qno]],stable[qno],0))</f>
        <v>1</v>
      </c>
      <c r="AJ1366" s="98" t="b">
        <f>INDEX(stable[q_carbon],MATCH(questions[[#This Row],[qno]],stable[qno],0))</f>
        <v>0</v>
      </c>
      <c r="AK1366" s="98" t="b">
        <f>INDEX(stable[q_regen_ag],MATCH(questions[[#This Row],[qno]],stable[qno],0))</f>
        <v>0</v>
      </c>
      <c r="AL1366" s="98" t="b">
        <f>COUNTIFS(stable[qno],questions[[#This Row],[qno]])=1</f>
        <v>1</v>
      </c>
      <c r="AM1366" s="98" t="b">
        <f>OR(questions[[#This Row],[is_fixed]],questions[[#This Row],[is_localized]],questions[[#This Row],[is_supply_chain_dependent]])</f>
        <v>1</v>
      </c>
      <c r="AN1366" s="98" t="b">
        <f>COUNTIFS(questions[[#This Row],[is_automated]:[is_multi_select]],TRUE)=1</f>
        <v>1</v>
      </c>
      <c r="AO1366" s="98" t="b">
        <f>IF(questions[[#This Row],[is_fixed]],questions[[#This Row],[question]]=INDEX(stable[question],MATCH(questions[[#This Row],[qno]],stable[qno],0)),TRUE)</f>
        <v>1</v>
      </c>
      <c r="AP1366" s="98" t="str">
        <f>LEFT(questions[[#This Row],[question]],similarity_range)</f>
        <v>Did you hire any cas</v>
      </c>
      <c r="AQ1366" s="98" t="str">
        <f>LEFT(INDEX(stable[question],MATCH(questions[[#This Row],[qno]],stable[qno],0)),similarity_range)</f>
        <v>Did you hire any peo</v>
      </c>
      <c r="AR1366" s="98" t="b">
        <f>questions[[#This Row],[question_first_characters]]=questions[[#This Row],[stability_first_characters]]</f>
        <v>0</v>
      </c>
      <c r="AS1366" s="98" t="b">
        <f>IF(OR(questions[[#This Row],[is_single_select]],questions[[#This Row],[is_multi_select]]),NOT(ISBLANK(questions[[#This Row],[answer_opt_combined]])),TRUE)</f>
        <v>1</v>
      </c>
    </row>
    <row r="1367" spans="1:45" s="77" customFormat="1" ht="15.75" customHeight="1" x14ac:dyDescent="0.25">
      <c r="A1367" s="77" t="str">
        <f>_xlfn.TEXTJOIN("_",TRUE,questions[[#This Row],[origin]:[qno]])</f>
        <v>Rwanda_Arabica_Nestle_Illy_IMPACT_2025_6031</v>
      </c>
      <c r="B1367" s="77" t="s">
        <v>719</v>
      </c>
      <c r="C1367" s="77" t="s">
        <v>59</v>
      </c>
      <c r="D1367" s="77" t="s">
        <v>720</v>
      </c>
      <c r="E1367" s="77">
        <v>2025</v>
      </c>
      <c r="F1367" s="119" t="s">
        <v>244</v>
      </c>
      <c r="G1367" s="120" t="s">
        <v>1021</v>
      </c>
      <c r="H1367" s="9" t="str" cm="1">
        <f t="array" ref="H1367">INDEX(stableR[question],MATCH(VALUE(questions[[#This Row],[qno]]),VALUE(stableR[qno]),0))</f>
        <v>What were the activities that you hired people for during last year?</v>
      </c>
      <c r="I1367" s="9" t="b" cm="1">
        <f t="array" ref="I1367">INDEX(stable[is_fixed],MATCH(VALUE(questions[[#This Row],[qno]]),VALUE(stable[qno]),0))</f>
        <v>0</v>
      </c>
      <c r="J1367" s="9" t="b" cm="1">
        <f t="array" ref="J1367">INDEX(stable[is_localized],MATCH(VALUE(questions[[#This Row],[qno]]),VALUE(stable[qno]),0))</f>
        <v>1</v>
      </c>
      <c r="K1367" s="9" t="b" cm="1">
        <f t="array" ref="K1367">INDEX(stable[is_supply_chain_dependent],MATCH(VALUE(questions[[#This Row],[qno]]),VALUE(stable[qno]),0))</f>
        <v>0</v>
      </c>
      <c r="L1367" s="9" t="b" cm="1">
        <f t="array" ref="L1367">INDEX(stable[is_mandatory],MATCH(VALUE(questions[[#This Row],[qno]]),VALUE(stable[qno]),0))</f>
        <v>0</v>
      </c>
      <c r="M1367" s="9" t="b" cm="1">
        <f t="array" ref="M1367">INDEX(stable[is_automated],MATCH(VALUE(questions[[#This Row],[qno]]),VALUE(stable[qno]),0))</f>
        <v>0</v>
      </c>
      <c r="N1367" s="9" t="b" cm="1">
        <f t="array" ref="N1367">INDEX(stable[is_free_text],MATCH(VALUE(questions[[#This Row],[qno]]),VALUE(stable[qno]),0))</f>
        <v>0</v>
      </c>
      <c r="O1367" s="9" t="b" cm="1">
        <f t="array" ref="O1367">INDEX(stable[is_numerical],MATCH(VALUE(questions[[#This Row],[qno]]),VALUE(stable[qno]),0))</f>
        <v>0</v>
      </c>
      <c r="P1367" s="77" t="b" cm="1">
        <f t="array" ref="P1367">INDEX(stable[is_single_select],MATCH(VALUE(questions[[#This Row],[qno]]),VALUE(stable[qno]),0))</f>
        <v>0</v>
      </c>
      <c r="Q1367" s="77" t="b" cm="1">
        <f t="array" ref="Q1367">INDEX(stable[is_multi_select],MATCH(VALUE(questions[[#This Row],[qno]]),VALUE(stable[qno]),0))</f>
        <v>1</v>
      </c>
      <c r="R1367" s="77" t="b" cm="1">
        <f t="array" ref="R1367">INDEX(stable[is_skip_logic],MATCH(VALUE(questions[[#This Row],[qno]]),VALUE(stable[qno]),0))</f>
        <v>1</v>
      </c>
      <c r="S1367" s="77" t="str">
        <f>_xlfn.TEXTJOIN(", ",TRUE,questions[[#This Row],[ans_opt_1]:[ans_opt_14]])</f>
        <v>Harvesting, Pruning, Weeding, Spraying, Planting new trees, Other, NA</v>
      </c>
      <c r="T1367" s="77" t="s">
        <v>246</v>
      </c>
      <c r="U1367" s="77" t="s">
        <v>247</v>
      </c>
      <c r="V1367" s="77" t="s">
        <v>248</v>
      </c>
      <c r="W1367" s="77" t="s">
        <v>249</v>
      </c>
      <c r="X1367" s="77" t="s">
        <v>250</v>
      </c>
      <c r="Y1367" s="77" t="s">
        <v>112</v>
      </c>
      <c r="Z1367" s="77" t="s">
        <v>251</v>
      </c>
      <c r="AH1367" s="98" t="b">
        <f>INDEX(stable[q_standard],MATCH(questions[[#This Row],[qno]],stable[qno],0))</f>
        <v>0</v>
      </c>
      <c r="AI1367" s="98" t="b">
        <f>INDEX(stable[q_living_income],MATCH(questions[[#This Row],[qno]],stable[qno],0))</f>
        <v>1</v>
      </c>
      <c r="AJ1367" s="98" t="b">
        <f>INDEX(stable[q_carbon],MATCH(questions[[#This Row],[qno]],stable[qno],0))</f>
        <v>0</v>
      </c>
      <c r="AK1367" s="98" t="b">
        <f>INDEX(stable[q_regen_ag],MATCH(questions[[#This Row],[qno]],stable[qno],0))</f>
        <v>0</v>
      </c>
      <c r="AL1367" s="98" t="b">
        <f>COUNTIFS(stable[qno],questions[[#This Row],[qno]])=1</f>
        <v>1</v>
      </c>
      <c r="AM1367" s="98" t="b">
        <f>OR(questions[[#This Row],[is_fixed]],questions[[#This Row],[is_localized]],questions[[#This Row],[is_supply_chain_dependent]])</f>
        <v>1</v>
      </c>
      <c r="AN1367" s="98" t="b">
        <f>COUNTIFS(questions[[#This Row],[is_automated]:[is_multi_select]],TRUE)=1</f>
        <v>1</v>
      </c>
      <c r="AO1367" s="98" t="b">
        <f>IF(questions[[#This Row],[is_fixed]],questions[[#This Row],[question]]=INDEX(stable[question],MATCH(questions[[#This Row],[qno]],stable[qno],0)),TRUE)</f>
        <v>1</v>
      </c>
      <c r="AP1367" s="98" t="str">
        <f>LEFT(questions[[#This Row],[question]],similarity_range)</f>
        <v>If yes, what were th</v>
      </c>
      <c r="AQ1367" s="98" t="str">
        <f>LEFT(INDEX(stable[question],MATCH(questions[[#This Row],[qno]],stable[qno],0)),similarity_range)</f>
        <v>If yes, what were th</v>
      </c>
      <c r="AR1367" s="98" t="b">
        <f>questions[[#This Row],[question_first_characters]]=questions[[#This Row],[stability_first_characters]]</f>
        <v>1</v>
      </c>
      <c r="AS1367" s="98" t="b">
        <f>IF(OR(questions[[#This Row],[is_single_select]],questions[[#This Row],[is_multi_select]]),NOT(ISBLANK(questions[[#This Row],[answer_opt_combined]])),TRUE)</f>
        <v>1</v>
      </c>
    </row>
    <row r="1368" spans="1:45" ht="15.75" customHeight="1" x14ac:dyDescent="0.25">
      <c r="A1368" s="9" t="str">
        <f>_xlfn.TEXTJOIN("_",TRUE,questions[[#This Row],[origin]:[qno]])</f>
        <v>Rwanda_Arabica_Nestle_Illy_IMPACT_2025_6032</v>
      </c>
      <c r="B1368" s="9" t="s">
        <v>719</v>
      </c>
      <c r="C1368" s="9" t="s">
        <v>59</v>
      </c>
      <c r="D1368" s="9" t="s">
        <v>720</v>
      </c>
      <c r="E1368" s="33">
        <v>2025</v>
      </c>
      <c r="F1368" s="75" t="s">
        <v>252</v>
      </c>
      <c r="G1368" s="15" t="s">
        <v>1022</v>
      </c>
      <c r="H1368" s="9" t="str" cm="1">
        <f t="array" ref="H1368">INDEX(stableR[question],MATCH(VALUE(questions[[#This Row],[qno]]),VALUE(stableR[qno]),0))</f>
        <v>How many days in total did you hire people for these activities, during last year?</v>
      </c>
      <c r="I1368" s="9" t="b" cm="1">
        <f t="array" ref="I1368">INDEX(stable[is_fixed],MATCH(VALUE(questions[[#This Row],[qno]]),VALUE(stable[qno]),0))</f>
        <v>0</v>
      </c>
      <c r="J1368" s="9" t="b" cm="1">
        <f t="array" ref="J1368">INDEX(stable[is_localized],MATCH(VALUE(questions[[#This Row],[qno]]),VALUE(stable[qno]),0))</f>
        <v>1</v>
      </c>
      <c r="K1368" s="9" t="b" cm="1">
        <f t="array" ref="K1368">INDEX(stable[is_supply_chain_dependent],MATCH(VALUE(questions[[#This Row],[qno]]),VALUE(stable[qno]),0))</f>
        <v>0</v>
      </c>
      <c r="L1368" s="9" t="b" cm="1">
        <f t="array" ref="L1368">INDEX(stable[is_mandatory],MATCH(VALUE(questions[[#This Row],[qno]]),VALUE(stable[qno]),0))</f>
        <v>0</v>
      </c>
      <c r="M1368" s="9" t="b" cm="1">
        <f t="array" ref="M1368">INDEX(stable[is_automated],MATCH(VALUE(questions[[#This Row],[qno]]),VALUE(stable[qno]),0))</f>
        <v>0</v>
      </c>
      <c r="N1368" s="9" t="b" cm="1">
        <f t="array" ref="N1368">INDEX(stable[is_free_text],MATCH(VALUE(questions[[#This Row],[qno]]),VALUE(stable[qno]),0))</f>
        <v>0</v>
      </c>
      <c r="O1368" s="9" t="b" cm="1">
        <f t="array" ref="O1368">INDEX(stable[is_numerical],MATCH(VALUE(questions[[#This Row],[qno]]),VALUE(stable[qno]),0))</f>
        <v>1</v>
      </c>
      <c r="P1368" s="9" t="b" cm="1">
        <f t="array" ref="P1368">INDEX(stable[is_single_select],MATCH(VALUE(questions[[#This Row],[qno]]),VALUE(stable[qno]),0))</f>
        <v>0</v>
      </c>
      <c r="Q1368" s="9" t="b" cm="1">
        <f t="array" ref="Q1368">INDEX(stable[is_multi_select],MATCH(VALUE(questions[[#This Row],[qno]]),VALUE(stable[qno]),0))</f>
        <v>0</v>
      </c>
      <c r="R1368" s="9" t="b" cm="1">
        <f t="array" ref="R1368">INDEX(stable[is_skip_logic],MATCH(VALUE(questions[[#This Row],[qno]]),VALUE(stable[qno]),0))</f>
        <v>1</v>
      </c>
      <c r="S1368" s="9" t="str">
        <f>_xlfn.TEXTJOIN(", ",TRUE,questions[[#This Row],[ans_opt_1]:[ans_opt_14]])</f>
        <v/>
      </c>
      <c r="AH1368" s="16" t="b">
        <f>INDEX(stable[q_standard],MATCH(questions[[#This Row],[qno]],stable[qno],0))</f>
        <v>0</v>
      </c>
      <c r="AI1368" s="16" t="b">
        <f>INDEX(stable[q_living_income],MATCH(questions[[#This Row],[qno]],stable[qno],0))</f>
        <v>1</v>
      </c>
      <c r="AJ1368" s="16" t="b">
        <f>INDEX(stable[q_carbon],MATCH(questions[[#This Row],[qno]],stable[qno],0))</f>
        <v>0</v>
      </c>
      <c r="AK1368" s="16" t="b">
        <f>INDEX(stable[q_regen_ag],MATCH(questions[[#This Row],[qno]],stable[qno],0))</f>
        <v>0</v>
      </c>
      <c r="AL1368" s="16" t="b">
        <f>COUNTIFS(stable[qno],questions[[#This Row],[qno]])=1</f>
        <v>1</v>
      </c>
      <c r="AM1368" s="16" t="b">
        <f>OR(questions[[#This Row],[is_fixed]],questions[[#This Row],[is_localized]],questions[[#This Row],[is_supply_chain_dependent]])</f>
        <v>1</v>
      </c>
      <c r="AN1368" s="16" t="b">
        <f>COUNTIFS(questions[[#This Row],[is_automated]:[is_multi_select]],TRUE)=1</f>
        <v>1</v>
      </c>
      <c r="AO1368" s="16" t="b">
        <f>IF(questions[[#This Row],[is_fixed]],questions[[#This Row],[question]]=INDEX(stable[question],MATCH(questions[[#This Row],[qno]],stable[qno],0)),TRUE)</f>
        <v>1</v>
      </c>
      <c r="AP1368" s="16" t="str">
        <f>LEFT(questions[[#This Row],[question]],similarity_range)</f>
        <v>If yes, how many day</v>
      </c>
      <c r="AQ1368" s="16" t="str">
        <f>LEFT(INDEX(stable[question],MATCH(questions[[#This Row],[qno]],stable[qno],0)),similarity_range)</f>
        <v>If yes, how many day</v>
      </c>
      <c r="AR1368" s="16" t="b">
        <f>questions[[#This Row],[question_first_characters]]=questions[[#This Row],[stability_first_characters]]</f>
        <v>1</v>
      </c>
      <c r="AS1368" s="16" t="b">
        <f>IF(OR(questions[[#This Row],[is_single_select]],questions[[#This Row],[is_multi_select]]),NOT(ISBLANK(questions[[#This Row],[answer_opt_combined]])),TRUE)</f>
        <v>1</v>
      </c>
    </row>
    <row r="1369" spans="1:45" ht="15.75" customHeight="1" x14ac:dyDescent="0.25">
      <c r="A1369" s="9" t="str">
        <f>_xlfn.TEXTJOIN("_",TRUE,questions[[#This Row],[origin]:[qno]])</f>
        <v>Rwanda_Arabica_Nestle_Illy_IMPACT_2025_6033</v>
      </c>
      <c r="B1369" s="9" t="s">
        <v>719</v>
      </c>
      <c r="C1369" s="9" t="s">
        <v>59</v>
      </c>
      <c r="D1369" s="9" t="s">
        <v>720</v>
      </c>
      <c r="E1369" s="33">
        <v>2025</v>
      </c>
      <c r="F1369" s="75" t="s">
        <v>254</v>
      </c>
      <c r="G1369" s="15" t="s">
        <v>1023</v>
      </c>
      <c r="H1369" s="9" t="str" cm="1">
        <f t="array" ref="H1369">INDEX(stableR[question],MATCH(VALUE(questions[[#This Row],[qno]]),VALUE(stableR[qno]),0))</f>
        <v>How many people did you typically hire per day for these activities during last year?</v>
      </c>
      <c r="I1369" s="9" t="b" cm="1">
        <f t="array" ref="I1369">INDEX(stable[is_fixed],MATCH(VALUE(questions[[#This Row],[qno]]),VALUE(stable[qno]),0))</f>
        <v>0</v>
      </c>
      <c r="J1369" s="9" t="b" cm="1">
        <f t="array" ref="J1369">INDEX(stable[is_localized],MATCH(VALUE(questions[[#This Row],[qno]]),VALUE(stable[qno]),0))</f>
        <v>1</v>
      </c>
      <c r="K1369" s="9" t="b" cm="1">
        <f t="array" ref="K1369">INDEX(stable[is_supply_chain_dependent],MATCH(VALUE(questions[[#This Row],[qno]]),VALUE(stable[qno]),0))</f>
        <v>0</v>
      </c>
      <c r="L1369" s="9" t="b" cm="1">
        <f t="array" ref="L1369">INDEX(stable[is_mandatory],MATCH(VALUE(questions[[#This Row],[qno]]),VALUE(stable[qno]),0))</f>
        <v>0</v>
      </c>
      <c r="M1369" s="9" t="b" cm="1">
        <f t="array" ref="M1369">INDEX(stable[is_automated],MATCH(VALUE(questions[[#This Row],[qno]]),VALUE(stable[qno]),0))</f>
        <v>0</v>
      </c>
      <c r="N1369" s="9" t="b" cm="1">
        <f t="array" ref="N1369">INDEX(stable[is_free_text],MATCH(VALUE(questions[[#This Row],[qno]]),VALUE(stable[qno]),0))</f>
        <v>0</v>
      </c>
      <c r="O1369" s="9" t="b" cm="1">
        <f t="array" ref="O1369">INDEX(stable[is_numerical],MATCH(VALUE(questions[[#This Row],[qno]]),VALUE(stable[qno]),0))</f>
        <v>1</v>
      </c>
      <c r="P1369" s="9" t="b" cm="1">
        <f t="array" ref="P1369">INDEX(stable[is_single_select],MATCH(VALUE(questions[[#This Row],[qno]]),VALUE(stable[qno]),0))</f>
        <v>0</v>
      </c>
      <c r="Q1369" s="9" t="b" cm="1">
        <f t="array" ref="Q1369">INDEX(stable[is_multi_select],MATCH(VALUE(questions[[#This Row],[qno]]),VALUE(stable[qno]),0))</f>
        <v>0</v>
      </c>
      <c r="R1369" s="9" t="b" cm="1">
        <f t="array" ref="R1369">INDEX(stable[is_skip_logic],MATCH(VALUE(questions[[#This Row],[qno]]),VALUE(stable[qno]),0))</f>
        <v>1</v>
      </c>
      <c r="S1369" s="9" t="str">
        <f>_xlfn.TEXTJOIN(", ",TRUE,questions[[#This Row],[ans_opt_1]:[ans_opt_14]])</f>
        <v/>
      </c>
      <c r="AH1369" s="16" t="b">
        <f>INDEX(stable[q_standard],MATCH(questions[[#This Row],[qno]],stable[qno],0))</f>
        <v>0</v>
      </c>
      <c r="AI1369" s="16" t="b">
        <f>INDEX(stable[q_living_income],MATCH(questions[[#This Row],[qno]],stable[qno],0))</f>
        <v>1</v>
      </c>
      <c r="AJ1369" s="16" t="b">
        <f>INDEX(stable[q_carbon],MATCH(questions[[#This Row],[qno]],stable[qno],0))</f>
        <v>0</v>
      </c>
      <c r="AK1369" s="16" t="b">
        <f>INDEX(stable[q_regen_ag],MATCH(questions[[#This Row],[qno]],stable[qno],0))</f>
        <v>0</v>
      </c>
      <c r="AL1369" s="16" t="b">
        <f>COUNTIFS(stable[qno],questions[[#This Row],[qno]])=1</f>
        <v>1</v>
      </c>
      <c r="AM1369" s="16" t="b">
        <f>OR(questions[[#This Row],[is_fixed]],questions[[#This Row],[is_localized]],questions[[#This Row],[is_supply_chain_dependent]])</f>
        <v>1</v>
      </c>
      <c r="AN1369" s="16" t="b">
        <f>COUNTIFS(questions[[#This Row],[is_automated]:[is_multi_select]],TRUE)=1</f>
        <v>1</v>
      </c>
      <c r="AO1369" s="16" t="b">
        <f>IF(questions[[#This Row],[is_fixed]],questions[[#This Row],[question]]=INDEX(stable[question],MATCH(questions[[#This Row],[qno]],stable[qno],0)),TRUE)</f>
        <v>1</v>
      </c>
      <c r="AP1369" s="16" t="str">
        <f>LEFT(questions[[#This Row],[question]],similarity_range)</f>
        <v>If yes, how many peo</v>
      </c>
      <c r="AQ1369" s="16" t="str">
        <f>LEFT(INDEX(stable[question],MATCH(questions[[#This Row],[qno]],stable[qno],0)),similarity_range)</f>
        <v>If yes, how many peo</v>
      </c>
      <c r="AR1369" s="16" t="b">
        <f>questions[[#This Row],[question_first_characters]]=questions[[#This Row],[stability_first_characters]]</f>
        <v>1</v>
      </c>
      <c r="AS1369" s="16" t="b">
        <f>IF(OR(questions[[#This Row],[is_single_select]],questions[[#This Row],[is_multi_select]]),NOT(ISBLANK(questions[[#This Row],[answer_opt_combined]])),TRUE)</f>
        <v>1</v>
      </c>
    </row>
    <row r="1370" spans="1:45" s="77" customFormat="1" ht="15.75" customHeight="1" x14ac:dyDescent="0.25">
      <c r="A1370" s="77" t="str">
        <f>_xlfn.TEXTJOIN("_",TRUE,questions[[#This Row],[origin]:[qno]])</f>
        <v>Rwanda_Arabica_Nestle_Illy_IMPACT_2025_6100</v>
      </c>
      <c r="B1370" s="77" t="s">
        <v>719</v>
      </c>
      <c r="C1370" s="77" t="s">
        <v>59</v>
      </c>
      <c r="D1370" s="77" t="s">
        <v>720</v>
      </c>
      <c r="E1370" s="77">
        <v>2025</v>
      </c>
      <c r="F1370" s="105" t="s">
        <v>256</v>
      </c>
      <c r="G1370" s="120" t="s">
        <v>1001</v>
      </c>
      <c r="H1370" s="9" t="str" cm="1">
        <f t="array" ref="H1370">INDEX(stableR[question],MATCH(VALUE(questions[[#This Row],[qno]]),VALUE(stableR[qno]),0))</f>
        <v>Did you use any monetary loan for coffee activities last year?</v>
      </c>
      <c r="I1370" s="9" t="b" cm="1">
        <f t="array" ref="I1370">INDEX(stable[is_fixed],MATCH(VALUE(questions[[#This Row],[qno]]),VALUE(stable[qno]),0))</f>
        <v>1</v>
      </c>
      <c r="J1370" s="9" t="b" cm="1">
        <f t="array" ref="J1370">INDEX(stable[is_localized],MATCH(VALUE(questions[[#This Row],[qno]]),VALUE(stable[qno]),0))</f>
        <v>0</v>
      </c>
      <c r="K1370" s="9" t="b" cm="1">
        <f t="array" ref="K1370">INDEX(stable[is_supply_chain_dependent],MATCH(VALUE(questions[[#This Row],[qno]]),VALUE(stable[qno]),0))</f>
        <v>0</v>
      </c>
      <c r="L1370" s="9" t="b" cm="1">
        <f t="array" ref="L1370">INDEX(stable[is_mandatory],MATCH(VALUE(questions[[#This Row],[qno]]),VALUE(stable[qno]),0))</f>
        <v>1</v>
      </c>
      <c r="M1370" s="9" t="b" cm="1">
        <f t="array" ref="M1370">INDEX(stable[is_automated],MATCH(VALUE(questions[[#This Row],[qno]]),VALUE(stable[qno]),0))</f>
        <v>0</v>
      </c>
      <c r="N1370" s="9" t="b" cm="1">
        <f t="array" ref="N1370">INDEX(stable[is_free_text],MATCH(VALUE(questions[[#This Row],[qno]]),VALUE(stable[qno]),0))</f>
        <v>0</v>
      </c>
      <c r="O1370" s="9" t="b" cm="1">
        <f t="array" ref="O1370">INDEX(stable[is_numerical],MATCH(VALUE(questions[[#This Row],[qno]]),VALUE(stable[qno]),0))</f>
        <v>0</v>
      </c>
      <c r="P1370" s="77" t="b" cm="1">
        <f t="array" ref="P1370">INDEX(stable[is_single_select],MATCH(VALUE(questions[[#This Row],[qno]]),VALUE(stable[qno]),0))</f>
        <v>1</v>
      </c>
      <c r="Q1370" s="77" t="b" cm="1">
        <f t="array" ref="Q1370">INDEX(stable[is_multi_select],MATCH(VALUE(questions[[#This Row],[qno]]),VALUE(stable[qno]),0))</f>
        <v>0</v>
      </c>
      <c r="R1370" s="77" t="b" cm="1">
        <f t="array" ref="R1370">INDEX(stable[is_skip_logic],MATCH(VALUE(questions[[#This Row],[qno]]),VALUE(stable[qno]),0))</f>
        <v>1</v>
      </c>
      <c r="S1370" s="77" t="str">
        <f>_xlfn.TEXTJOIN(", ",TRUE,questions[[#This Row],[ans_opt_1]:[ans_opt_14]])</f>
        <v>Yes, No</v>
      </c>
      <c r="T1370" s="77" t="s">
        <v>149</v>
      </c>
      <c r="U1370" s="77" t="s">
        <v>119</v>
      </c>
      <c r="AH1370" s="98" t="b">
        <f>INDEX(stable[q_standard],MATCH(questions[[#This Row],[qno]],stable[qno],0))</f>
        <v>0</v>
      </c>
      <c r="AI1370" s="98" t="b">
        <f>INDEX(stable[q_living_income],MATCH(questions[[#This Row],[qno]],stable[qno],0))</f>
        <v>1</v>
      </c>
      <c r="AJ1370" s="98" t="b">
        <f>INDEX(stable[q_carbon],MATCH(questions[[#This Row],[qno]],stable[qno],0))</f>
        <v>0</v>
      </c>
      <c r="AK1370" s="98" t="b">
        <f>INDEX(stable[q_regen_ag],MATCH(questions[[#This Row],[qno]],stable[qno],0))</f>
        <v>0</v>
      </c>
      <c r="AL1370" s="98" t="b">
        <f>COUNTIFS(stable[qno],questions[[#This Row],[qno]])=1</f>
        <v>1</v>
      </c>
      <c r="AM1370" s="98" t="b">
        <f>OR(questions[[#This Row],[is_fixed]],questions[[#This Row],[is_localized]],questions[[#This Row],[is_supply_chain_dependent]])</f>
        <v>1</v>
      </c>
      <c r="AN1370" s="98" t="b">
        <f>COUNTIFS(questions[[#This Row],[is_automated]:[is_multi_select]],TRUE)=1</f>
        <v>1</v>
      </c>
      <c r="AO1370" s="98" t="b">
        <f>IF(questions[[#This Row],[is_fixed]],questions[[#This Row],[question]]=INDEX(stable[question],MATCH(questions[[#This Row],[qno]],stable[qno],0)),TRUE)</f>
        <v>1</v>
      </c>
      <c r="AP1370" s="98" t="str">
        <f>LEFT(questions[[#This Row],[question]],similarity_range)</f>
        <v>Did you use any mone</v>
      </c>
      <c r="AQ1370" s="98" t="str">
        <f>LEFT(INDEX(stable[question],MATCH(questions[[#This Row],[qno]],stable[qno],0)),similarity_range)</f>
        <v>Did you use any mone</v>
      </c>
      <c r="AR1370" s="98" t="b">
        <f>questions[[#This Row],[question_first_characters]]=questions[[#This Row],[stability_first_characters]]</f>
        <v>1</v>
      </c>
      <c r="AS1370" s="98" t="b">
        <f>IF(OR(questions[[#This Row],[is_single_select]],questions[[#This Row],[is_multi_select]]),NOT(ISBLANK(questions[[#This Row],[answer_opt_combined]])),TRUE)</f>
        <v>1</v>
      </c>
    </row>
    <row r="1371" spans="1:45" s="77" customFormat="1" ht="15.75" customHeight="1" x14ac:dyDescent="0.25">
      <c r="A1371" s="77" t="str">
        <f>_xlfn.TEXTJOIN("_",TRUE,questions[[#This Row],[origin]:[qno]])</f>
        <v>Rwanda_Arabica_Nestle_Illy_IMPACT_2025_6101</v>
      </c>
      <c r="B1371" s="77" t="s">
        <v>719</v>
      </c>
      <c r="C1371" s="77" t="s">
        <v>59</v>
      </c>
      <c r="D1371" s="77" t="s">
        <v>720</v>
      </c>
      <c r="E1371" s="77">
        <v>2025</v>
      </c>
      <c r="F1371" s="105" t="s">
        <v>258</v>
      </c>
      <c r="G1371" s="78" t="s">
        <v>259</v>
      </c>
      <c r="H1371" s="9" t="str" cm="1">
        <f t="array" ref="H1371">INDEX(stableR[question],MATCH(VALUE(questions[[#This Row],[qno]]),VALUE(stableR[qno]),0))</f>
        <v>What was the total amount of loans you borrowed last year (in your local currency)?</v>
      </c>
      <c r="I1371" s="9" t="b" cm="1">
        <f t="array" ref="I1371">INDEX(stable[is_fixed],MATCH(VALUE(questions[[#This Row],[qno]]),VALUE(stable[qno]),0))</f>
        <v>1</v>
      </c>
      <c r="J1371" s="9" t="b" cm="1">
        <f t="array" ref="J1371">INDEX(stable[is_localized],MATCH(VALUE(questions[[#This Row],[qno]]),VALUE(stable[qno]),0))</f>
        <v>0</v>
      </c>
      <c r="K1371" s="9" t="b" cm="1">
        <f t="array" ref="K1371">INDEX(stable[is_supply_chain_dependent],MATCH(VALUE(questions[[#This Row],[qno]]),VALUE(stable[qno]),0))</f>
        <v>0</v>
      </c>
      <c r="L1371" s="9" t="b" cm="1">
        <f t="array" ref="L1371">INDEX(stable[is_mandatory],MATCH(VALUE(questions[[#This Row],[qno]]),VALUE(stable[qno]),0))</f>
        <v>0</v>
      </c>
      <c r="M1371" s="9" t="b" cm="1">
        <f t="array" ref="M1371">INDEX(stable[is_automated],MATCH(VALUE(questions[[#This Row],[qno]]),VALUE(stable[qno]),0))</f>
        <v>0</v>
      </c>
      <c r="N1371" s="9" t="b" cm="1">
        <f t="array" ref="N1371">INDEX(stable[is_free_text],MATCH(VALUE(questions[[#This Row],[qno]]),VALUE(stable[qno]),0))</f>
        <v>0</v>
      </c>
      <c r="O1371" s="9" t="b" cm="1">
        <f t="array" ref="O1371">INDEX(stable[is_numerical],MATCH(VALUE(questions[[#This Row],[qno]]),VALUE(stable[qno]),0))</f>
        <v>0</v>
      </c>
      <c r="P1371" s="77" t="b" cm="1">
        <f t="array" ref="P1371">INDEX(stable[is_single_select],MATCH(VALUE(questions[[#This Row],[qno]]),VALUE(stable[qno]),0))</f>
        <v>0</v>
      </c>
      <c r="Q1371" s="77" t="b" cm="1">
        <f t="array" ref="Q1371">INDEX(stable[is_multi_select],MATCH(VALUE(questions[[#This Row],[qno]]),VALUE(stable[qno]),0))</f>
        <v>1</v>
      </c>
      <c r="R1371" s="77" t="b" cm="1">
        <f t="array" ref="R1371">INDEX(stable[is_skip_logic],MATCH(VALUE(questions[[#This Row],[qno]]),VALUE(stable[qno]),0))</f>
        <v>1</v>
      </c>
      <c r="S1371" s="77" t="str">
        <f>_xlfn.TEXTJOIN(", ",TRUE,questions[[#This Row],[ans_opt_1]:[ans_opt_14]])</f>
        <v>Cash, Cherries, Other</v>
      </c>
      <c r="T1371" s="100" t="s">
        <v>1002</v>
      </c>
      <c r="U1371" s="100" t="s">
        <v>1003</v>
      </c>
      <c r="V1371" s="112" t="s">
        <v>112</v>
      </c>
      <c r="AH1371" s="98" t="b">
        <f>INDEX(stable[q_standard],MATCH(questions[[#This Row],[qno]],stable[qno],0))</f>
        <v>0</v>
      </c>
      <c r="AI1371" s="98" t="b">
        <f>INDEX(stable[q_living_income],MATCH(questions[[#This Row],[qno]],stable[qno],0))</f>
        <v>1</v>
      </c>
      <c r="AJ1371" s="98" t="b">
        <f>INDEX(stable[q_carbon],MATCH(questions[[#This Row],[qno]],stable[qno],0))</f>
        <v>0</v>
      </c>
      <c r="AK1371" s="98" t="b">
        <f>INDEX(stable[q_regen_ag],MATCH(questions[[#This Row],[qno]],stable[qno],0))</f>
        <v>0</v>
      </c>
      <c r="AL1371" s="98" t="b">
        <f>COUNTIFS(stable[qno],questions[[#This Row],[qno]])=1</f>
        <v>1</v>
      </c>
      <c r="AM1371" s="98" t="b">
        <f>OR(questions[[#This Row],[is_fixed]],questions[[#This Row],[is_localized]],questions[[#This Row],[is_supply_chain_dependent]])</f>
        <v>1</v>
      </c>
      <c r="AN1371" s="98" t="b">
        <f>COUNTIFS(questions[[#This Row],[is_automated]:[is_multi_select]],TRUE)=1</f>
        <v>1</v>
      </c>
      <c r="AO1371" s="98" t="b">
        <f>IF(questions[[#This Row],[is_fixed]],questions[[#This Row],[question]]=INDEX(stable[question],MATCH(questions[[#This Row],[qno]],stable[qno],0)),TRUE)</f>
        <v>1</v>
      </c>
      <c r="AP1371" s="98" t="str">
        <f>LEFT(questions[[#This Row],[question]],similarity_range)</f>
        <v xml:space="preserve">If yes, how did you </v>
      </c>
      <c r="AQ1371" s="98" t="str">
        <f>LEFT(INDEX(stable[question],MATCH(questions[[#This Row],[qno]],stable[qno],0)),similarity_range)</f>
        <v xml:space="preserve">If yes, how did you </v>
      </c>
      <c r="AR1371" s="98" t="b">
        <f>questions[[#This Row],[question_first_characters]]=questions[[#This Row],[stability_first_characters]]</f>
        <v>1</v>
      </c>
      <c r="AS1371" s="98" t="b">
        <f>IF(OR(questions[[#This Row],[is_single_select]],questions[[#This Row],[is_multi_select]]),NOT(ISBLANK(questions[[#This Row],[answer_opt_combined]])),TRUE)</f>
        <v>1</v>
      </c>
    </row>
    <row r="1372" spans="1:45" ht="15.75" customHeight="1" x14ac:dyDescent="0.25">
      <c r="A1372" s="9" t="str">
        <f>_xlfn.TEXTJOIN("_",TRUE,questions[[#This Row],[origin]:[qno]])</f>
        <v>Rwanda_Arabica_Nestle_Illy_IMPACT_2025_6102</v>
      </c>
      <c r="B1372" s="9" t="s">
        <v>719</v>
      </c>
      <c r="C1372" s="9" t="s">
        <v>59</v>
      </c>
      <c r="D1372" s="9" t="s">
        <v>720</v>
      </c>
      <c r="E1372" s="33">
        <v>2025</v>
      </c>
      <c r="F1372" s="36" t="s">
        <v>260</v>
      </c>
      <c r="G1372" s="15" t="s">
        <v>778</v>
      </c>
      <c r="H1372" s="9" t="str" cm="1">
        <f t="array" ref="H1372">INDEX(stableR[question],MATCH(VALUE(questions[[#This Row],[qno]]),VALUE(stableR[qno]),0))</f>
        <v>How did you have to pay for this? (in cash or in cherries? Please explain)</v>
      </c>
      <c r="I1372" s="9" t="b" cm="1">
        <f t="array" ref="I1372">INDEX(stable[is_fixed],MATCH(VALUE(questions[[#This Row],[qno]]),VALUE(stable[qno]),0))</f>
        <v>0</v>
      </c>
      <c r="J1372" s="9" t="b" cm="1">
        <f t="array" ref="J1372">INDEX(stable[is_localized],MATCH(VALUE(questions[[#This Row],[qno]]),VALUE(stable[qno]),0))</f>
        <v>1</v>
      </c>
      <c r="K1372" s="9" t="b" cm="1">
        <f t="array" ref="K1372">INDEX(stable[is_supply_chain_dependent],MATCH(VALUE(questions[[#This Row],[qno]]),VALUE(stable[qno]),0))</f>
        <v>0</v>
      </c>
      <c r="L1372" s="9" t="b" cm="1">
        <f t="array" ref="L1372">INDEX(stable[is_mandatory],MATCH(VALUE(questions[[#This Row],[qno]]),VALUE(stable[qno]),0))</f>
        <v>0</v>
      </c>
      <c r="M1372" s="9" t="b" cm="1">
        <f t="array" ref="M1372">INDEX(stable[is_automated],MATCH(VALUE(questions[[#This Row],[qno]]),VALUE(stable[qno]),0))</f>
        <v>0</v>
      </c>
      <c r="N1372" s="9" t="b" cm="1">
        <f t="array" ref="N1372">INDEX(stable[is_free_text],MATCH(VALUE(questions[[#This Row],[qno]]),VALUE(stable[qno]),0))</f>
        <v>0</v>
      </c>
      <c r="O1372" s="9" t="b" cm="1">
        <f t="array" ref="O1372">INDEX(stable[is_numerical],MATCH(VALUE(questions[[#This Row],[qno]]),VALUE(stable[qno]),0))</f>
        <v>1</v>
      </c>
      <c r="P1372" s="9" t="b" cm="1">
        <f t="array" ref="P1372">INDEX(stable[is_single_select],MATCH(VALUE(questions[[#This Row],[qno]]),VALUE(stable[qno]),0))</f>
        <v>0</v>
      </c>
      <c r="Q1372" s="9" t="b" cm="1">
        <f t="array" ref="Q1372">INDEX(stable[is_multi_select],MATCH(VALUE(questions[[#This Row],[qno]]),VALUE(stable[qno]),0))</f>
        <v>0</v>
      </c>
      <c r="R1372" s="9" t="b" cm="1">
        <f t="array" ref="R1372">INDEX(stable[is_skip_logic],MATCH(VALUE(questions[[#This Row],[qno]]),VALUE(stable[qno]),0))</f>
        <v>1</v>
      </c>
      <c r="S1372" s="9" t="str">
        <f>_xlfn.TEXTJOIN(", ",TRUE,questions[[#This Row],[ans_opt_1]:[ans_opt_14]])</f>
        <v/>
      </c>
      <c r="AH1372" s="16" t="b">
        <f>INDEX(stable[q_standard],MATCH(questions[[#This Row],[qno]],stable[qno],0))</f>
        <v>0</v>
      </c>
      <c r="AI1372" s="16" t="b">
        <f>INDEX(stable[q_living_income],MATCH(questions[[#This Row],[qno]],stable[qno],0))</f>
        <v>1</v>
      </c>
      <c r="AJ1372" s="16" t="b">
        <f>INDEX(stable[q_carbon],MATCH(questions[[#This Row],[qno]],stable[qno],0))</f>
        <v>0</v>
      </c>
      <c r="AK1372" s="16" t="b">
        <f>INDEX(stable[q_regen_ag],MATCH(questions[[#This Row],[qno]],stable[qno],0))</f>
        <v>0</v>
      </c>
      <c r="AL1372" s="16" t="b">
        <f>COUNTIFS(stable[qno],questions[[#This Row],[qno]])=1</f>
        <v>1</v>
      </c>
      <c r="AM1372" s="16" t="b">
        <f>OR(questions[[#This Row],[is_fixed]],questions[[#This Row],[is_localized]],questions[[#This Row],[is_supply_chain_dependent]])</f>
        <v>1</v>
      </c>
      <c r="AN1372" s="16" t="b">
        <f>COUNTIFS(questions[[#This Row],[is_automated]:[is_multi_select]],TRUE)=1</f>
        <v>1</v>
      </c>
      <c r="AO1372" s="16" t="b">
        <f>IF(questions[[#This Row],[is_fixed]],questions[[#This Row],[question]]=INDEX(stable[question],MATCH(questions[[#This Row],[qno]],stable[qno],0)),TRUE)</f>
        <v>1</v>
      </c>
      <c r="AP1372" s="16" t="str">
        <f>LEFT(questions[[#This Row],[question]],similarity_range)</f>
        <v>If yes, can you esti</v>
      </c>
      <c r="AQ1372" s="16" t="str">
        <f>LEFT(INDEX(stable[question],MATCH(questions[[#This Row],[qno]],stable[qno],0)),similarity_range)</f>
        <v>If yes, can you esti</v>
      </c>
      <c r="AR1372" s="16" t="b">
        <f>questions[[#This Row],[question_first_characters]]=questions[[#This Row],[stability_first_characters]]</f>
        <v>1</v>
      </c>
      <c r="AS1372" s="16" t="b">
        <f>IF(OR(questions[[#This Row],[is_single_select]],questions[[#This Row],[is_multi_select]]),NOT(ISBLANK(questions[[#This Row],[answer_opt_combined]])),TRUE)</f>
        <v>1</v>
      </c>
    </row>
    <row r="1373" spans="1:45" ht="15.75" customHeight="1" x14ac:dyDescent="0.25">
      <c r="A1373" s="9" t="str">
        <f>_xlfn.TEXTJOIN("_",TRUE,questions[[#This Row],[origin]:[qno]])</f>
        <v>Rwanda_Arabica_Nestle_Illy_IMPACT_2025_6103</v>
      </c>
      <c r="B1373" s="9" t="s">
        <v>719</v>
      </c>
      <c r="C1373" s="9" t="s">
        <v>59</v>
      </c>
      <c r="D1373" s="9" t="s">
        <v>720</v>
      </c>
      <c r="E1373" s="33">
        <v>2025</v>
      </c>
      <c r="F1373" s="36" t="s">
        <v>262</v>
      </c>
      <c r="G1373" s="15" t="s">
        <v>779</v>
      </c>
      <c r="H1373" s="9" t="str" cm="1">
        <f t="array" ref="H1373">INDEX(stableR[question],MATCH(VALUE(questions[[#This Row],[qno]]),VALUE(stableR[qno]),0))</f>
        <v>Can you estimate how much you had to repay, in total, for the loan last year, including interest (in local currency)</v>
      </c>
      <c r="I1373" s="9" t="b" cm="1">
        <f t="array" ref="I1373">INDEX(stable[is_fixed],MATCH(VALUE(questions[[#This Row],[qno]]),VALUE(stable[qno]),0))</f>
        <v>0</v>
      </c>
      <c r="J1373" s="9" t="b" cm="1">
        <f t="array" ref="J1373">INDEX(stable[is_localized],MATCH(VALUE(questions[[#This Row],[qno]]),VALUE(stable[qno]),0))</f>
        <v>1</v>
      </c>
      <c r="K1373" s="9" t="b" cm="1">
        <f t="array" ref="K1373">INDEX(stable[is_supply_chain_dependent],MATCH(VALUE(questions[[#This Row],[qno]]),VALUE(stable[qno]),0))</f>
        <v>0</v>
      </c>
      <c r="L1373" s="9" t="b" cm="1">
        <f t="array" ref="L1373">INDEX(stable[is_mandatory],MATCH(VALUE(questions[[#This Row],[qno]]),VALUE(stable[qno]),0))</f>
        <v>0</v>
      </c>
      <c r="M1373" s="9" t="b" cm="1">
        <f t="array" ref="M1373">INDEX(stable[is_automated],MATCH(VALUE(questions[[#This Row],[qno]]),VALUE(stable[qno]),0))</f>
        <v>0</v>
      </c>
      <c r="N1373" s="9" t="b" cm="1">
        <f t="array" ref="N1373">INDEX(stable[is_free_text],MATCH(VALUE(questions[[#This Row],[qno]]),VALUE(stable[qno]),0))</f>
        <v>0</v>
      </c>
      <c r="O1373" s="9" t="b" cm="1">
        <f t="array" ref="O1373">INDEX(stable[is_numerical],MATCH(VALUE(questions[[#This Row],[qno]]),VALUE(stable[qno]),0))</f>
        <v>1</v>
      </c>
      <c r="P1373" s="9" t="b" cm="1">
        <f t="array" ref="P1373">INDEX(stable[is_single_select],MATCH(VALUE(questions[[#This Row],[qno]]),VALUE(stable[qno]),0))</f>
        <v>0</v>
      </c>
      <c r="Q1373" s="9" t="b" cm="1">
        <f t="array" ref="Q1373">INDEX(stable[is_multi_select],MATCH(VALUE(questions[[#This Row],[qno]]),VALUE(stable[qno]),0))</f>
        <v>0</v>
      </c>
      <c r="R1373" s="9" t="b" cm="1">
        <f t="array" ref="R1373">INDEX(stable[is_skip_logic],MATCH(VALUE(questions[[#This Row],[qno]]),VALUE(stable[qno]),0))</f>
        <v>1</v>
      </c>
      <c r="S1373" s="9" t="str">
        <f>_xlfn.TEXTJOIN(", ",TRUE,questions[[#This Row],[ans_opt_1]:[ans_opt_14]])</f>
        <v/>
      </c>
      <c r="AH1373" s="16" t="b">
        <f>INDEX(stable[q_standard],MATCH(questions[[#This Row],[qno]],stable[qno],0))</f>
        <v>0</v>
      </c>
      <c r="AI1373" s="16" t="b">
        <f>INDEX(stable[q_living_income],MATCH(questions[[#This Row],[qno]],stable[qno],0))</f>
        <v>1</v>
      </c>
      <c r="AJ1373" s="16" t="b">
        <f>INDEX(stable[q_carbon],MATCH(questions[[#This Row],[qno]],stable[qno],0))</f>
        <v>0</v>
      </c>
      <c r="AK1373" s="16" t="b">
        <f>INDEX(stable[q_regen_ag],MATCH(questions[[#This Row],[qno]],stable[qno],0))</f>
        <v>0</v>
      </c>
      <c r="AL1373" s="16" t="b">
        <f>COUNTIFS(stable[qno],questions[[#This Row],[qno]])=1</f>
        <v>1</v>
      </c>
      <c r="AM1373" s="16" t="b">
        <f>OR(questions[[#This Row],[is_fixed]],questions[[#This Row],[is_localized]],questions[[#This Row],[is_supply_chain_dependent]])</f>
        <v>1</v>
      </c>
      <c r="AN1373" s="16" t="b">
        <f>COUNTIFS(questions[[#This Row],[is_automated]:[is_multi_select]],TRUE)=1</f>
        <v>1</v>
      </c>
      <c r="AO1373" s="16" t="b">
        <f>IF(questions[[#This Row],[is_fixed]],questions[[#This Row],[question]]=INDEX(stable[question],MATCH(questions[[#This Row],[qno]],stable[qno],0)),TRUE)</f>
        <v>1</v>
      </c>
      <c r="AP1373" s="16" t="str">
        <f>LEFT(questions[[#This Row],[question]],similarity_range)</f>
        <v>If yes, can you esti</v>
      </c>
      <c r="AQ1373" s="16" t="str">
        <f>LEFT(INDEX(stable[question],MATCH(questions[[#This Row],[qno]],stable[qno],0)),similarity_range)</f>
        <v>If yes, can you esti</v>
      </c>
      <c r="AR1373" s="16" t="b">
        <f>questions[[#This Row],[question_first_characters]]=questions[[#This Row],[stability_first_characters]]</f>
        <v>1</v>
      </c>
      <c r="AS1373" s="16" t="b">
        <f>IF(OR(questions[[#This Row],[is_single_select]],questions[[#This Row],[is_multi_select]]),NOT(ISBLANK(questions[[#This Row],[answer_opt_combined]])),TRUE)</f>
        <v>1</v>
      </c>
    </row>
    <row r="1374" spans="1:45" s="77" customFormat="1" ht="15.75" customHeight="1" x14ac:dyDescent="0.25">
      <c r="A1374" s="77" t="str">
        <f>_xlfn.TEXTJOIN("_",TRUE,questions[[#This Row],[origin]:[qno]])</f>
        <v>Rwanda_Arabica_Nestle_Illy_IMPACT_2025_6300</v>
      </c>
      <c r="B1374" s="77" t="s">
        <v>719</v>
      </c>
      <c r="C1374" s="77" t="s">
        <v>59</v>
      </c>
      <c r="D1374" s="77" t="s">
        <v>720</v>
      </c>
      <c r="E1374" s="77">
        <v>2025</v>
      </c>
      <c r="F1374" s="105" t="s">
        <v>268</v>
      </c>
      <c r="G1374" s="78" t="s">
        <v>780</v>
      </c>
      <c r="H1374" s="9" t="str" cm="1">
        <f t="array" ref="H1374">INDEX(stableR[question],MATCH(VALUE(questions[[#This Row],[qno]]),VALUE(stableR[qno]),0))</f>
        <v>Did you buy coffee seedlings last year?</v>
      </c>
      <c r="I1374" s="9" t="b" cm="1">
        <f t="array" ref="I1374">INDEX(stable[is_fixed],MATCH(VALUE(questions[[#This Row],[qno]]),VALUE(stable[qno]),0))</f>
        <v>1</v>
      </c>
      <c r="J1374" s="9" t="b" cm="1">
        <f t="array" ref="J1374">INDEX(stable[is_localized],MATCH(VALUE(questions[[#This Row],[qno]]),VALUE(stable[qno]),0))</f>
        <v>0</v>
      </c>
      <c r="K1374" s="9" t="b" cm="1">
        <f t="array" ref="K1374">INDEX(stable[is_supply_chain_dependent],MATCH(VALUE(questions[[#This Row],[qno]]),VALUE(stable[qno]),0))</f>
        <v>0</v>
      </c>
      <c r="L1374" s="9" t="b" cm="1">
        <f t="array" ref="L1374">INDEX(stable[is_mandatory],MATCH(VALUE(questions[[#This Row],[qno]]),VALUE(stable[qno]),0))</f>
        <v>1</v>
      </c>
      <c r="M1374" s="9" t="b" cm="1">
        <f t="array" ref="M1374">INDEX(stable[is_automated],MATCH(VALUE(questions[[#This Row],[qno]]),VALUE(stable[qno]),0))</f>
        <v>0</v>
      </c>
      <c r="N1374" s="9" t="b" cm="1">
        <f t="array" ref="N1374">INDEX(stable[is_free_text],MATCH(VALUE(questions[[#This Row],[qno]]),VALUE(stable[qno]),0))</f>
        <v>0</v>
      </c>
      <c r="O1374" s="9" t="b" cm="1">
        <f t="array" ref="O1374">INDEX(stable[is_numerical],MATCH(VALUE(questions[[#This Row],[qno]]),VALUE(stable[qno]),0))</f>
        <v>0</v>
      </c>
      <c r="P1374" s="77" t="b" cm="1">
        <f t="array" ref="P1374">INDEX(stable[is_single_select],MATCH(VALUE(questions[[#This Row],[qno]]),VALUE(stable[qno]),0))</f>
        <v>1</v>
      </c>
      <c r="Q1374" s="77" t="b" cm="1">
        <f t="array" ref="Q1374">INDEX(stable[is_multi_select],MATCH(VALUE(questions[[#This Row],[qno]]),VALUE(stable[qno]),0))</f>
        <v>0</v>
      </c>
      <c r="R1374" s="77" t="b" cm="1">
        <f t="array" ref="R1374">INDEX(stable[is_skip_logic],MATCH(VALUE(questions[[#This Row],[qno]]),VALUE(stable[qno]),0))</f>
        <v>1</v>
      </c>
      <c r="S1374" s="77" t="str">
        <f>_xlfn.TEXTJOIN(", ",TRUE,questions[[#This Row],[ans_opt_1]:[ans_opt_14]])</f>
        <v>No, Yes, mainly bought, Yes, mainly received for free</v>
      </c>
      <c r="T1374" s="77" t="s">
        <v>119</v>
      </c>
      <c r="U1374" s="77" t="s">
        <v>781</v>
      </c>
      <c r="V1374" s="77" t="s">
        <v>782</v>
      </c>
      <c r="AH1374" s="98" t="b">
        <f>INDEX(stable[q_standard],MATCH(questions[[#This Row],[qno]],stable[qno],0))</f>
        <v>0</v>
      </c>
      <c r="AI1374" s="98" t="b">
        <f>INDEX(stable[q_living_income],MATCH(questions[[#This Row],[qno]],stable[qno],0))</f>
        <v>1</v>
      </c>
      <c r="AJ1374" s="98" t="b">
        <f>INDEX(stable[q_carbon],MATCH(questions[[#This Row],[qno]],stable[qno],0))</f>
        <v>0</v>
      </c>
      <c r="AK1374" s="98" t="b">
        <f>INDEX(stable[q_regen_ag],MATCH(questions[[#This Row],[qno]],stable[qno],0))</f>
        <v>0</v>
      </c>
      <c r="AL1374" s="98" t="b">
        <f>COUNTIFS(stable[qno],questions[[#This Row],[qno]])=1</f>
        <v>1</v>
      </c>
      <c r="AM1374" s="98" t="b">
        <f>OR(questions[[#This Row],[is_fixed]],questions[[#This Row],[is_localized]],questions[[#This Row],[is_supply_chain_dependent]])</f>
        <v>1</v>
      </c>
      <c r="AN1374" s="98" t="b">
        <f>COUNTIFS(questions[[#This Row],[is_automated]:[is_multi_select]],TRUE)=1</f>
        <v>1</v>
      </c>
      <c r="AO1374" s="98" t="b">
        <f>IF(questions[[#This Row],[is_fixed]],questions[[#This Row],[question]]=INDEX(stable[question],MATCH(questions[[#This Row],[qno]],stable[qno],0)),TRUE)</f>
        <v>0</v>
      </c>
      <c r="AP1374" s="98" t="str">
        <f>LEFT(questions[[#This Row],[question]],similarity_range)</f>
        <v>Did you buy and/or r</v>
      </c>
      <c r="AQ1374" s="98" t="str">
        <f>LEFT(INDEX(stable[question],MATCH(questions[[#This Row],[qno]],stable[qno],0)),similarity_range)</f>
        <v>Did you buy coffee s</v>
      </c>
      <c r="AR1374" s="98" t="b">
        <f>questions[[#This Row],[question_first_characters]]=questions[[#This Row],[stability_first_characters]]</f>
        <v>0</v>
      </c>
      <c r="AS1374" s="98" t="b">
        <f>IF(OR(questions[[#This Row],[is_single_select]],questions[[#This Row],[is_multi_select]]),NOT(ISBLANK(questions[[#This Row],[answer_opt_combined]])),TRUE)</f>
        <v>1</v>
      </c>
    </row>
    <row r="1375" spans="1:45" s="77" customFormat="1" ht="15.75" customHeight="1" x14ac:dyDescent="0.25">
      <c r="A1375" s="77" t="str">
        <f>_xlfn.TEXTJOIN("_",TRUE,questions[[#This Row],[origin]:[qno]])</f>
        <v>Rwanda_Arabica_Nestle_Illy_IMPACT_2025_6301</v>
      </c>
      <c r="B1375" s="77" t="s">
        <v>719</v>
      </c>
      <c r="C1375" s="77" t="s">
        <v>59</v>
      </c>
      <c r="D1375" s="77" t="s">
        <v>720</v>
      </c>
      <c r="E1375" s="77">
        <v>2025</v>
      </c>
      <c r="F1375" s="105" t="s">
        <v>270</v>
      </c>
      <c r="G1375" s="78" t="s">
        <v>783</v>
      </c>
      <c r="H1375" s="9" t="str" cm="1">
        <f t="array" ref="H1375">INDEX(stableR[question],MATCH(VALUE(questions[[#This Row],[qno]]),VALUE(stableR[qno]),0))</f>
        <v>What was the main type seedlings bought?</v>
      </c>
      <c r="I1375" s="9" t="b" cm="1">
        <f t="array" ref="I1375">INDEX(stable[is_fixed],MATCH(VALUE(questions[[#This Row],[qno]]),VALUE(stable[qno]),0))</f>
        <v>1</v>
      </c>
      <c r="J1375" s="9" t="b" cm="1">
        <f t="array" ref="J1375">INDEX(stable[is_localized],MATCH(VALUE(questions[[#This Row],[qno]]),VALUE(stable[qno]),0))</f>
        <v>0</v>
      </c>
      <c r="K1375" s="9" t="b" cm="1">
        <f t="array" ref="K1375">INDEX(stable[is_supply_chain_dependent],MATCH(VALUE(questions[[#This Row],[qno]]),VALUE(stable[qno]),0))</f>
        <v>0</v>
      </c>
      <c r="L1375" s="9" t="b" cm="1">
        <f t="array" ref="L1375">INDEX(stable[is_mandatory],MATCH(VALUE(questions[[#This Row],[qno]]),VALUE(stable[qno]),0))</f>
        <v>0</v>
      </c>
      <c r="M1375" s="9" t="b" cm="1">
        <f t="array" ref="M1375">INDEX(stable[is_automated],MATCH(VALUE(questions[[#This Row],[qno]]),VALUE(stable[qno]),0))</f>
        <v>0</v>
      </c>
      <c r="N1375" s="9" t="b" cm="1">
        <f t="array" ref="N1375">INDEX(stable[is_free_text],MATCH(VALUE(questions[[#This Row],[qno]]),VALUE(stable[qno]),0))</f>
        <v>0</v>
      </c>
      <c r="O1375" s="9" t="b" cm="1">
        <f t="array" ref="O1375">INDEX(stable[is_numerical],MATCH(VALUE(questions[[#This Row],[qno]]),VALUE(stable[qno]),0))</f>
        <v>0</v>
      </c>
      <c r="P1375" s="77" t="b" cm="1">
        <f t="array" ref="P1375">INDEX(stable[is_single_select],MATCH(VALUE(questions[[#This Row],[qno]]),VALUE(stable[qno]),0))</f>
        <v>1</v>
      </c>
      <c r="Q1375" s="77" t="b" cm="1">
        <f t="array" ref="Q1375">INDEX(stable[is_multi_select],MATCH(VALUE(questions[[#This Row],[qno]]),VALUE(stable[qno]),0))</f>
        <v>0</v>
      </c>
      <c r="R1375" s="77" t="b" cm="1">
        <f t="array" ref="R1375">INDEX(stable[is_skip_logic],MATCH(VALUE(questions[[#This Row],[qno]]),VALUE(stable[qno]),0))</f>
        <v>1</v>
      </c>
      <c r="S1375" s="77" t="str">
        <f>_xlfn.TEXTJOIN(", ",TRUE,questions[[#This Row],[ans_opt_1]:[ans_opt_14]])</f>
        <v>RAB C15, Bourbon Mayaguez 139- BM 139, Jackson Jackson, Harar Rwanda, Mibirizi, Pop 3303/21 , Other, NA</v>
      </c>
      <c r="T1375" s="77" t="s">
        <v>784</v>
      </c>
      <c r="U1375" s="77" t="s">
        <v>785</v>
      </c>
      <c r="V1375" s="77" t="s">
        <v>786</v>
      </c>
      <c r="W1375" s="77" t="s">
        <v>787</v>
      </c>
      <c r="X1375" s="77" t="s">
        <v>788</v>
      </c>
      <c r="Y1375" s="77" t="s">
        <v>789</v>
      </c>
      <c r="Z1375" s="77" t="s">
        <v>112</v>
      </c>
      <c r="AA1375" s="77" t="s">
        <v>251</v>
      </c>
      <c r="AH1375" s="98" t="b">
        <f>INDEX(stable[q_standard],MATCH(questions[[#This Row],[qno]],stable[qno],0))</f>
        <v>0</v>
      </c>
      <c r="AI1375" s="98" t="b">
        <f>INDEX(stable[q_living_income],MATCH(questions[[#This Row],[qno]],stable[qno],0))</f>
        <v>1</v>
      </c>
      <c r="AJ1375" s="98" t="b">
        <f>INDEX(stable[q_carbon],MATCH(questions[[#This Row],[qno]],stable[qno],0))</f>
        <v>0</v>
      </c>
      <c r="AK1375" s="98" t="b">
        <f>INDEX(stable[q_regen_ag],MATCH(questions[[#This Row],[qno]],stable[qno],0))</f>
        <v>0</v>
      </c>
      <c r="AL1375" s="98" t="b">
        <f>COUNTIFS(stable[qno],questions[[#This Row],[qno]])=1</f>
        <v>1</v>
      </c>
      <c r="AM1375" s="98" t="b">
        <f>OR(questions[[#This Row],[is_fixed]],questions[[#This Row],[is_localized]],questions[[#This Row],[is_supply_chain_dependent]])</f>
        <v>1</v>
      </c>
      <c r="AN1375" s="98" t="b">
        <f>COUNTIFS(questions[[#This Row],[is_automated]:[is_multi_select]],TRUE)=1</f>
        <v>1</v>
      </c>
      <c r="AO1375" s="98" t="b">
        <f>IF(questions[[#This Row],[is_fixed]],questions[[#This Row],[question]]=INDEX(stable[question],MATCH(questions[[#This Row],[qno]],stable[qno],0)),TRUE)</f>
        <v>0</v>
      </c>
      <c r="AP1375" s="98" t="str">
        <f>LEFT(questions[[#This Row],[question]],similarity_range)</f>
        <v xml:space="preserve">If yes what was the </v>
      </c>
      <c r="AQ1375" s="98" t="str">
        <f>LEFT(INDEX(stable[question],MATCH(questions[[#This Row],[qno]],stable[qno],0)),similarity_range)</f>
        <v xml:space="preserve">If yes what was the </v>
      </c>
      <c r="AR1375" s="98" t="b">
        <f>questions[[#This Row],[question_first_characters]]=questions[[#This Row],[stability_first_characters]]</f>
        <v>1</v>
      </c>
      <c r="AS1375" s="98" t="b">
        <f>IF(OR(questions[[#This Row],[is_single_select]],questions[[#This Row],[is_multi_select]]),NOT(ISBLANK(questions[[#This Row],[answer_opt_combined]])),TRUE)</f>
        <v>1</v>
      </c>
    </row>
    <row r="1376" spans="1:45" ht="15.75" customHeight="1" x14ac:dyDescent="0.25">
      <c r="A1376" s="9" t="str">
        <f>_xlfn.TEXTJOIN("_",TRUE,questions[[#This Row],[origin]:[qno]])</f>
        <v>Rwanda_Arabica_Nestle_Illy_IMPACT_2025_6302</v>
      </c>
      <c r="B1376" s="9" t="s">
        <v>719</v>
      </c>
      <c r="C1376" s="9" t="s">
        <v>59</v>
      </c>
      <c r="D1376" s="9" t="s">
        <v>720</v>
      </c>
      <c r="E1376" s="33">
        <v>2025</v>
      </c>
      <c r="F1376" s="36" t="s">
        <v>282</v>
      </c>
      <c r="G1376" s="15" t="s">
        <v>790</v>
      </c>
      <c r="H1376" s="9" t="str" cm="1">
        <f t="array" ref="H1376">INDEX(stableR[question],MATCH(VALUE(questions[[#This Row],[qno]]),VALUE(stableR[qno]),0))</f>
        <v>How many seedlings did you buy last year?</v>
      </c>
      <c r="I1376" s="9" t="b" cm="1">
        <f t="array" ref="I1376">INDEX(stable[is_fixed],MATCH(VALUE(questions[[#This Row],[qno]]),VALUE(stable[qno]),0))</f>
        <v>1</v>
      </c>
      <c r="J1376" s="9" t="b" cm="1">
        <f t="array" ref="J1376">INDEX(stable[is_localized],MATCH(VALUE(questions[[#This Row],[qno]]),VALUE(stable[qno]),0))</f>
        <v>0</v>
      </c>
      <c r="K1376" s="9" t="b" cm="1">
        <f t="array" ref="K1376">INDEX(stable[is_supply_chain_dependent],MATCH(VALUE(questions[[#This Row],[qno]]),VALUE(stable[qno]),0))</f>
        <v>0</v>
      </c>
      <c r="L1376" s="9" t="b" cm="1">
        <f t="array" ref="L1376">INDEX(stable[is_mandatory],MATCH(VALUE(questions[[#This Row],[qno]]),VALUE(stable[qno]),0))</f>
        <v>0</v>
      </c>
      <c r="M1376" s="9" t="b" cm="1">
        <f t="array" ref="M1376">INDEX(stable[is_automated],MATCH(VALUE(questions[[#This Row],[qno]]),VALUE(stable[qno]),0))</f>
        <v>0</v>
      </c>
      <c r="N1376" s="9" t="b" cm="1">
        <f t="array" ref="N1376">INDEX(stable[is_free_text],MATCH(VALUE(questions[[#This Row],[qno]]),VALUE(stable[qno]),0))</f>
        <v>0</v>
      </c>
      <c r="O1376" s="9" t="b" cm="1">
        <f t="array" ref="O1376">INDEX(stable[is_numerical],MATCH(VALUE(questions[[#This Row],[qno]]),VALUE(stable[qno]),0))</f>
        <v>1</v>
      </c>
      <c r="P1376" s="9" t="b" cm="1">
        <f t="array" ref="P1376">INDEX(stable[is_single_select],MATCH(VALUE(questions[[#This Row],[qno]]),VALUE(stable[qno]),0))</f>
        <v>0</v>
      </c>
      <c r="Q1376" s="9" t="b" cm="1">
        <f t="array" ref="Q1376">INDEX(stable[is_multi_select],MATCH(VALUE(questions[[#This Row],[qno]]),VALUE(stable[qno]),0))</f>
        <v>0</v>
      </c>
      <c r="R1376" s="9" t="b" cm="1">
        <f t="array" ref="R1376">INDEX(stable[is_skip_logic],MATCH(VALUE(questions[[#This Row],[qno]]),VALUE(stable[qno]),0))</f>
        <v>1</v>
      </c>
      <c r="S1376" s="9" t="str">
        <f>_xlfn.TEXTJOIN(", ",TRUE,questions[[#This Row],[ans_opt_1]:[ans_opt_14]])</f>
        <v/>
      </c>
      <c r="AH1376" s="16" t="b">
        <f>INDEX(stable[q_standard],MATCH(questions[[#This Row],[qno]],stable[qno],0))</f>
        <v>0</v>
      </c>
      <c r="AI1376" s="16" t="b">
        <f>INDEX(stable[q_living_income],MATCH(questions[[#This Row],[qno]],stable[qno],0))</f>
        <v>1</v>
      </c>
      <c r="AJ1376" s="16" t="b">
        <f>INDEX(stable[q_carbon],MATCH(questions[[#This Row],[qno]],stable[qno],0))</f>
        <v>0</v>
      </c>
      <c r="AK1376" s="16" t="b">
        <f>INDEX(stable[q_regen_ag],MATCH(questions[[#This Row],[qno]],stable[qno],0))</f>
        <v>0</v>
      </c>
      <c r="AL1376" s="16" t="b">
        <f>COUNTIFS(stable[qno],questions[[#This Row],[qno]])=1</f>
        <v>1</v>
      </c>
      <c r="AM1376" s="16" t="b">
        <f>OR(questions[[#This Row],[is_fixed]],questions[[#This Row],[is_localized]],questions[[#This Row],[is_supply_chain_dependent]])</f>
        <v>1</v>
      </c>
      <c r="AN1376" s="16" t="b">
        <f>COUNTIFS(questions[[#This Row],[is_automated]:[is_multi_select]],TRUE)=1</f>
        <v>1</v>
      </c>
      <c r="AO1376" s="16" t="b">
        <f>IF(questions[[#This Row],[is_fixed]],questions[[#This Row],[question]]=INDEX(stable[question],MATCH(questions[[#This Row],[qno]],stable[qno],0)),TRUE)</f>
        <v>0</v>
      </c>
      <c r="AP1376" s="16" t="str">
        <f>LEFT(questions[[#This Row],[question]],similarity_range)</f>
        <v>How many seedlings d</v>
      </c>
      <c r="AQ1376" s="16" t="str">
        <f>LEFT(INDEX(stable[question],MATCH(questions[[#This Row],[qno]],stable[qno],0)),similarity_range)</f>
        <v>How many seedlings d</v>
      </c>
      <c r="AR1376" s="16" t="b">
        <f>questions[[#This Row],[question_first_characters]]=questions[[#This Row],[stability_first_characters]]</f>
        <v>1</v>
      </c>
      <c r="AS1376" s="16" t="b">
        <f>IF(OR(questions[[#This Row],[is_single_select]],questions[[#This Row],[is_multi_select]]),NOT(ISBLANK(questions[[#This Row],[answer_opt_combined]])),TRUE)</f>
        <v>1</v>
      </c>
    </row>
    <row r="1377" spans="1:45" s="77" customFormat="1" ht="15.75" customHeight="1" x14ac:dyDescent="0.25">
      <c r="A1377" s="77" t="str">
        <f>_xlfn.TEXTJOIN("_",TRUE,questions[[#This Row],[origin]:[qno]])</f>
        <v>Rwanda_Arabica_Nestle_Illy_IMPACT_2025_6500</v>
      </c>
      <c r="B1377" s="77" t="s">
        <v>719</v>
      </c>
      <c r="C1377" s="77" t="s">
        <v>59</v>
      </c>
      <c r="D1377" s="77" t="s">
        <v>720</v>
      </c>
      <c r="E1377" s="77">
        <v>2025</v>
      </c>
      <c r="F1377" s="105" t="s">
        <v>290</v>
      </c>
      <c r="G1377" s="78" t="s">
        <v>291</v>
      </c>
      <c r="H1377" s="9" t="str" cm="1">
        <f t="array" ref="H1377">INDEX(stableR[question],MATCH(VALUE(questions[[#This Row],[qno]]),VALUE(stableR[qno]),0))</f>
        <v>What are your sources of income for the total household, from the farm and off-farm?</v>
      </c>
      <c r="I1377" s="9" t="b" cm="1">
        <f t="array" ref="I1377">INDEX(stable[is_fixed],MATCH(VALUE(questions[[#This Row],[qno]]),VALUE(stable[qno]),0))</f>
        <v>1</v>
      </c>
      <c r="J1377" s="9" t="b" cm="1">
        <f t="array" ref="J1377">INDEX(stable[is_localized],MATCH(VALUE(questions[[#This Row],[qno]]),VALUE(stable[qno]),0))</f>
        <v>0</v>
      </c>
      <c r="K1377" s="9" t="b" cm="1">
        <f t="array" ref="K1377">INDEX(stable[is_supply_chain_dependent],MATCH(VALUE(questions[[#This Row],[qno]]),VALUE(stable[qno]),0))</f>
        <v>0</v>
      </c>
      <c r="L1377" s="9" t="b" cm="1">
        <f t="array" ref="L1377">INDEX(stable[is_mandatory],MATCH(VALUE(questions[[#This Row],[qno]]),VALUE(stable[qno]),0))</f>
        <v>1</v>
      </c>
      <c r="M1377" s="9" t="b" cm="1">
        <f t="array" ref="M1377">INDEX(stable[is_automated],MATCH(VALUE(questions[[#This Row],[qno]]),VALUE(stable[qno]),0))</f>
        <v>0</v>
      </c>
      <c r="N1377" s="9" t="b" cm="1">
        <f t="array" ref="N1377">INDEX(stable[is_free_text],MATCH(VALUE(questions[[#This Row],[qno]]),VALUE(stable[qno]),0))</f>
        <v>0</v>
      </c>
      <c r="O1377" s="9" t="b" cm="1">
        <f t="array" ref="O1377">INDEX(stable[is_numerical],MATCH(VALUE(questions[[#This Row],[qno]]),VALUE(stable[qno]),0))</f>
        <v>0</v>
      </c>
      <c r="P1377" s="77" t="b" cm="1">
        <f t="array" ref="P1377">INDEX(stable[is_single_select],MATCH(VALUE(questions[[#This Row],[qno]]),VALUE(stable[qno]),0))</f>
        <v>0</v>
      </c>
      <c r="Q1377" s="77" t="b" cm="1">
        <f t="array" ref="Q1377">INDEX(stable[is_multi_select],MATCH(VALUE(questions[[#This Row],[qno]]),VALUE(stable[qno]),0))</f>
        <v>1</v>
      </c>
      <c r="R1377" s="77" t="b" cm="1">
        <f t="array" ref="R1377">INDEX(stable[is_skip_logic],MATCH(VALUE(questions[[#This Row],[qno]]),VALUE(stable[qno]),0))</f>
        <v>1</v>
      </c>
      <c r="S1377" s="77" t="str">
        <f>_xlfn.TEXTJOIN(", ",TRUE,questions[[#This Row],[ans_opt_1]:[ans_opt_14]])</f>
        <v>Coffee, Cropping, Livestock, Casual labor in agriculture, Casual labor off-farm, Other business, Salaried job, Pension, Remittances</v>
      </c>
      <c r="T1377" s="77" t="s">
        <v>292</v>
      </c>
      <c r="U1377" s="77" t="s">
        <v>293</v>
      </c>
      <c r="V1377" s="77" t="s">
        <v>294</v>
      </c>
      <c r="W1377" s="77" t="s">
        <v>295</v>
      </c>
      <c r="X1377" s="77" t="s">
        <v>296</v>
      </c>
      <c r="Y1377" s="77" t="s">
        <v>297</v>
      </c>
      <c r="Z1377" s="77" t="s">
        <v>298</v>
      </c>
      <c r="AA1377" s="77" t="s">
        <v>299</v>
      </c>
      <c r="AB1377" s="77" t="s">
        <v>300</v>
      </c>
      <c r="AH1377" s="98" t="b">
        <f>INDEX(stable[q_standard],MATCH(questions[[#This Row],[qno]],stable[qno],0))</f>
        <v>0</v>
      </c>
      <c r="AI1377" s="98" t="b">
        <f>INDEX(stable[q_living_income],MATCH(questions[[#This Row],[qno]],stable[qno],0))</f>
        <v>1</v>
      </c>
      <c r="AJ1377" s="98" t="b">
        <f>INDEX(stable[q_carbon],MATCH(questions[[#This Row],[qno]],stable[qno],0))</f>
        <v>0</v>
      </c>
      <c r="AK1377" s="98" t="b">
        <f>INDEX(stable[q_regen_ag],MATCH(questions[[#This Row],[qno]],stable[qno],0))</f>
        <v>0</v>
      </c>
      <c r="AL1377" s="98" t="b">
        <f>COUNTIFS(stable[qno],questions[[#This Row],[qno]])=1</f>
        <v>1</v>
      </c>
      <c r="AM1377" s="98" t="b">
        <f>OR(questions[[#This Row],[is_fixed]],questions[[#This Row],[is_localized]],questions[[#This Row],[is_supply_chain_dependent]])</f>
        <v>1</v>
      </c>
      <c r="AN1377" s="98" t="b">
        <f>COUNTIFS(questions[[#This Row],[is_automated]:[is_multi_select]],TRUE)=1</f>
        <v>1</v>
      </c>
      <c r="AO1377" s="98" t="b">
        <f>IF(questions[[#This Row],[is_fixed]],questions[[#This Row],[question]]=INDEX(stable[question],MATCH(questions[[#This Row],[qno]],stable[qno],0)),TRUE)</f>
        <v>1</v>
      </c>
      <c r="AP1377" s="98" t="str">
        <f>LEFT(questions[[#This Row],[question]],similarity_range)</f>
        <v>What are your source</v>
      </c>
      <c r="AQ1377" s="98" t="str">
        <f>LEFT(INDEX(stable[question],MATCH(questions[[#This Row],[qno]],stable[qno],0)),similarity_range)</f>
        <v>What are your source</v>
      </c>
      <c r="AR1377" s="98" t="b">
        <f>questions[[#This Row],[question_first_characters]]=questions[[#This Row],[stability_first_characters]]</f>
        <v>1</v>
      </c>
      <c r="AS1377" s="98" t="b">
        <f>IF(OR(questions[[#This Row],[is_single_select]],questions[[#This Row],[is_multi_select]]),NOT(ISBLANK(questions[[#This Row],[answer_opt_combined]])),TRUE)</f>
        <v>1</v>
      </c>
    </row>
    <row r="1378" spans="1:45" ht="15.75" customHeight="1" x14ac:dyDescent="0.25">
      <c r="A1378" s="9" t="str">
        <f>_xlfn.TEXTJOIN("_",TRUE,questions[[#This Row],[origin]:[qno]])</f>
        <v>Rwanda_Arabica_Nestle_Illy_IMPACT_2025_6501</v>
      </c>
      <c r="B1378" s="9" t="s">
        <v>719</v>
      </c>
      <c r="C1378" s="9" t="s">
        <v>59</v>
      </c>
      <c r="D1378" s="9" t="s">
        <v>720</v>
      </c>
      <c r="E1378" s="33">
        <v>2025</v>
      </c>
      <c r="F1378" s="36" t="s">
        <v>301</v>
      </c>
      <c r="G1378" s="64" t="s">
        <v>1010</v>
      </c>
      <c r="H1378" s="9" t="str" cm="1">
        <f t="array" ref="H1378">INDEX(stableR[question],MATCH(VALUE(questions[[#This Row],[qno]]),VALUE(stableR[qno]),0))</f>
        <v>For each of the sources of income that you have, please estimate the importance in terms of income for last year, as compared to the total household income! (next questions)</v>
      </c>
      <c r="I1378" s="9" t="b" cm="1">
        <f t="array" ref="I1378">INDEX(stable[is_fixed],MATCH(VALUE(questions[[#This Row],[qno]]),VALUE(stable[qno]),0))</f>
        <v>1</v>
      </c>
      <c r="J1378" s="9" t="b" cm="1">
        <f t="array" ref="J1378">INDEX(stable[is_localized],MATCH(VALUE(questions[[#This Row],[qno]]),VALUE(stable[qno]),0))</f>
        <v>0</v>
      </c>
      <c r="K1378" s="9" t="b" cm="1">
        <f t="array" ref="K1378">INDEX(stable[is_supply_chain_dependent],MATCH(VALUE(questions[[#This Row],[qno]]),VALUE(stable[qno]),0))</f>
        <v>0</v>
      </c>
      <c r="L1378" s="9" t="b" cm="1">
        <f t="array" ref="L1378">INDEX(stable[is_mandatory],MATCH(VALUE(questions[[#This Row],[qno]]),VALUE(stable[qno]),0))</f>
        <v>1</v>
      </c>
      <c r="M1378" s="9" t="b" cm="1">
        <f t="array" ref="M1378">INDEX(stable[is_automated],MATCH(VALUE(questions[[#This Row],[qno]]),VALUE(stable[qno]),0))</f>
        <v>1</v>
      </c>
      <c r="N1378" s="9" t="b" cm="1">
        <f t="array" ref="N1378">INDEX(stable[is_free_text],MATCH(VALUE(questions[[#This Row],[qno]]),VALUE(stable[qno]),0))</f>
        <v>0</v>
      </c>
      <c r="O1378" s="9" t="b" cm="1">
        <f t="array" ref="O1378">INDEX(stable[is_numerical],MATCH(VALUE(questions[[#This Row],[qno]]),VALUE(stable[qno]),0))</f>
        <v>0</v>
      </c>
      <c r="P1378" s="9" t="b" cm="1">
        <f t="array" ref="P1378">INDEX(stable[is_single_select],MATCH(VALUE(questions[[#This Row],[qno]]),VALUE(stable[qno]),0))</f>
        <v>0</v>
      </c>
      <c r="Q1378" s="9" t="b" cm="1">
        <f t="array" ref="Q1378">INDEX(stable[is_multi_select],MATCH(VALUE(questions[[#This Row],[qno]]),VALUE(stable[qno]),0))</f>
        <v>0</v>
      </c>
      <c r="R1378" s="9" t="b" cm="1">
        <f t="array" ref="R1378">INDEX(stable[is_skip_logic],MATCH(VALUE(questions[[#This Row],[qno]]),VALUE(stable[qno]),0))</f>
        <v>0</v>
      </c>
      <c r="S1378" s="9" t="str">
        <f>_xlfn.TEXTJOIN(", ",TRUE,questions[[#This Row],[ans_opt_1]:[ans_opt_14]])</f>
        <v/>
      </c>
      <c r="AH1378" s="16" t="b">
        <f>INDEX(stable[q_standard],MATCH(questions[[#This Row],[qno]],stable[qno],0))</f>
        <v>0</v>
      </c>
      <c r="AI1378" s="16" t="b">
        <f>INDEX(stable[q_living_income],MATCH(questions[[#This Row],[qno]],stable[qno],0))</f>
        <v>1</v>
      </c>
      <c r="AJ1378" s="16" t="b">
        <f>INDEX(stable[q_carbon],MATCH(questions[[#This Row],[qno]],stable[qno],0))</f>
        <v>0</v>
      </c>
      <c r="AK1378" s="16" t="b">
        <f>INDEX(stable[q_regen_ag],MATCH(questions[[#This Row],[qno]],stable[qno],0))</f>
        <v>0</v>
      </c>
      <c r="AL1378" s="16" t="b">
        <f>COUNTIFS(stable[qno],questions[[#This Row],[qno]])=1</f>
        <v>1</v>
      </c>
      <c r="AM1378" s="16" t="b">
        <f>OR(questions[[#This Row],[is_fixed]],questions[[#This Row],[is_localized]],questions[[#This Row],[is_supply_chain_dependent]])</f>
        <v>1</v>
      </c>
      <c r="AN1378" s="16" t="b">
        <f>COUNTIFS(questions[[#This Row],[is_automated]:[is_multi_select]],TRUE)=1</f>
        <v>1</v>
      </c>
      <c r="AO1378" s="16" t="b">
        <f>IF(questions[[#This Row],[is_fixed]],questions[[#This Row],[question]]=INDEX(stable[question],MATCH(questions[[#This Row],[qno]],stable[qno],0)),TRUE)</f>
        <v>1</v>
      </c>
      <c r="AP1378" s="16" t="str">
        <f>LEFT(questions[[#This Row],[question]],similarity_range)</f>
        <v>For each of the sour</v>
      </c>
      <c r="AQ1378" s="16" t="str">
        <f>LEFT(INDEX(stable[question],MATCH(questions[[#This Row],[qno]],stable[qno],0)),similarity_range)</f>
        <v>For each of the sour</v>
      </c>
      <c r="AR1378" s="16" t="b">
        <f>questions[[#This Row],[question_first_characters]]=questions[[#This Row],[stability_first_characters]]</f>
        <v>1</v>
      </c>
      <c r="AS1378" s="16" t="b">
        <f>IF(OR(questions[[#This Row],[is_single_select]],questions[[#This Row],[is_multi_select]]),NOT(ISBLANK(questions[[#This Row],[answer_opt_combined]])),TRUE)</f>
        <v>1</v>
      </c>
    </row>
    <row r="1379" spans="1:45" s="77" customFormat="1" ht="15.75" customHeight="1" x14ac:dyDescent="0.25">
      <c r="A1379" s="77" t="str">
        <f>_xlfn.TEXTJOIN("_",TRUE,questions[[#This Row],[origin]:[qno]])</f>
        <v>Rwanda_Arabica_Nestle_Illy_IMPACT_2025_6510</v>
      </c>
      <c r="B1379" s="77" t="s">
        <v>719</v>
      </c>
      <c r="C1379" s="77" t="s">
        <v>59</v>
      </c>
      <c r="D1379" s="77" t="s">
        <v>720</v>
      </c>
      <c r="E1379" s="77">
        <v>2025</v>
      </c>
      <c r="F1379" s="105" t="s">
        <v>303</v>
      </c>
      <c r="G1379" s="120" t="s">
        <v>304</v>
      </c>
      <c r="H1379" s="9" t="str" cm="1">
        <f t="array" ref="H1379">INDEX(stableR[question],MATCH(VALUE(questions[[#This Row],[qno]]),VALUE(stableR[qno]),0))</f>
        <v>Coffee, what was the estimated importance?</v>
      </c>
      <c r="I1379" s="9" t="b" cm="1">
        <f t="array" ref="I1379">INDEX(stable[is_fixed],MATCH(VALUE(questions[[#This Row],[qno]]),VALUE(stable[qno]),0))</f>
        <v>1</v>
      </c>
      <c r="J1379" s="9" t="b" cm="1">
        <f t="array" ref="J1379">INDEX(stable[is_localized],MATCH(VALUE(questions[[#This Row],[qno]]),VALUE(stable[qno]),0))</f>
        <v>0</v>
      </c>
      <c r="K1379" s="9" t="b" cm="1">
        <f t="array" ref="K1379">INDEX(stable[is_supply_chain_dependent],MATCH(VALUE(questions[[#This Row],[qno]]),VALUE(stable[qno]),0))</f>
        <v>0</v>
      </c>
      <c r="L1379" s="9" t="b" cm="1">
        <f t="array" ref="L1379">INDEX(stable[is_mandatory],MATCH(VALUE(questions[[#This Row],[qno]]),VALUE(stable[qno]),0))</f>
        <v>0</v>
      </c>
      <c r="M1379" s="9" t="b" cm="1">
        <f t="array" ref="M1379">INDEX(stable[is_automated],MATCH(VALUE(questions[[#This Row],[qno]]),VALUE(stable[qno]),0))</f>
        <v>0</v>
      </c>
      <c r="N1379" s="9" t="b" cm="1">
        <f t="array" ref="N1379">INDEX(stable[is_free_text],MATCH(VALUE(questions[[#This Row],[qno]]),VALUE(stable[qno]),0))</f>
        <v>0</v>
      </c>
      <c r="O1379" s="9" t="b" cm="1">
        <f t="array" ref="O1379">INDEX(stable[is_numerical],MATCH(VALUE(questions[[#This Row],[qno]]),VALUE(stable[qno]),0))</f>
        <v>0</v>
      </c>
      <c r="P1379" s="77" t="b" cm="1">
        <f t="array" ref="P1379">INDEX(stable[is_single_select],MATCH(VALUE(questions[[#This Row],[qno]]),VALUE(stable[qno]),0))</f>
        <v>1</v>
      </c>
      <c r="Q1379" s="77" t="b" cm="1">
        <f t="array" ref="Q1379">INDEX(stable[is_multi_select],MATCH(VALUE(questions[[#This Row],[qno]]),VALUE(stable[qno]),0))</f>
        <v>0</v>
      </c>
      <c r="R1379" s="77" t="b" cm="1">
        <f t="array" ref="R1379">INDEX(stable[is_skip_logic],MATCH(VALUE(questions[[#This Row],[qno]]),VALUE(stable[qno]),0))</f>
        <v>0</v>
      </c>
      <c r="S1379" s="77" t="str">
        <f>_xlfn.TEXTJOIN(", ",TRUE,questions[[#This Row],[ans_opt_1]:[ans_opt_14]])</f>
        <v>All or nearly all - 80-100%, More than half of it  - 60-80%, About half of it - 40-60%, Less than half of it - 20-40%, A small amount - 0-20%</v>
      </c>
      <c r="T1379" s="77" t="s">
        <v>305</v>
      </c>
      <c r="U1379" s="77" t="s">
        <v>306</v>
      </c>
      <c r="V1379" s="77" t="s">
        <v>307</v>
      </c>
      <c r="W1379" s="77" t="s">
        <v>308</v>
      </c>
      <c r="X1379" s="77" t="s">
        <v>309</v>
      </c>
      <c r="AH1379" s="98" t="b">
        <f>INDEX(stable[q_standard],MATCH(questions[[#This Row],[qno]],stable[qno],0))</f>
        <v>0</v>
      </c>
      <c r="AI1379" s="98" t="b">
        <f>INDEX(stable[q_living_income],MATCH(questions[[#This Row],[qno]],stable[qno],0))</f>
        <v>1</v>
      </c>
      <c r="AJ1379" s="98" t="b">
        <f>INDEX(stable[q_carbon],MATCH(questions[[#This Row],[qno]],stable[qno],0))</f>
        <v>0</v>
      </c>
      <c r="AK1379" s="98" t="b">
        <f>INDEX(stable[q_regen_ag],MATCH(questions[[#This Row],[qno]],stable[qno],0))</f>
        <v>0</v>
      </c>
      <c r="AL1379" s="98" t="b">
        <f>COUNTIFS(stable[qno],questions[[#This Row],[qno]])=1</f>
        <v>1</v>
      </c>
      <c r="AM1379" s="98" t="b">
        <f>OR(questions[[#This Row],[is_fixed]],questions[[#This Row],[is_localized]],questions[[#This Row],[is_supply_chain_dependent]])</f>
        <v>1</v>
      </c>
      <c r="AN1379" s="98" t="b">
        <f>COUNTIFS(questions[[#This Row],[is_automated]:[is_multi_select]],TRUE)=1</f>
        <v>1</v>
      </c>
      <c r="AO1379" s="98" t="b">
        <f>IF(questions[[#This Row],[is_fixed]],questions[[#This Row],[question]]=INDEX(stable[question],MATCH(questions[[#This Row],[qno]],stable[qno],0)),TRUE)</f>
        <v>1</v>
      </c>
      <c r="AP1379" s="98" t="str">
        <f>LEFT(questions[[#This Row],[question]],similarity_range)</f>
        <v>Coffee, what was the</v>
      </c>
      <c r="AQ1379" s="98" t="str">
        <f>LEFT(INDEX(stable[question],MATCH(questions[[#This Row],[qno]],stable[qno],0)),similarity_range)</f>
        <v>Coffee, what was the</v>
      </c>
      <c r="AR1379" s="98" t="b">
        <f>questions[[#This Row],[question_first_characters]]=questions[[#This Row],[stability_first_characters]]</f>
        <v>1</v>
      </c>
      <c r="AS1379" s="98" t="b">
        <f>IF(OR(questions[[#This Row],[is_single_select]],questions[[#This Row],[is_multi_select]]),NOT(ISBLANK(questions[[#This Row],[answer_opt_combined]])),TRUE)</f>
        <v>1</v>
      </c>
    </row>
    <row r="1380" spans="1:45" s="77" customFormat="1" ht="15.75" customHeight="1" x14ac:dyDescent="0.25">
      <c r="A1380" s="77" t="str">
        <f>_xlfn.TEXTJOIN("_",TRUE,questions[[#This Row],[origin]:[qno]])</f>
        <v>Rwanda_Arabica_Nestle_Illy_IMPACT_2025_6511</v>
      </c>
      <c r="B1380" s="77" t="s">
        <v>719</v>
      </c>
      <c r="C1380" s="77" t="s">
        <v>59</v>
      </c>
      <c r="D1380" s="77" t="s">
        <v>720</v>
      </c>
      <c r="E1380" s="77">
        <v>2025</v>
      </c>
      <c r="F1380" s="105" t="s">
        <v>310</v>
      </c>
      <c r="G1380" s="78" t="s">
        <v>311</v>
      </c>
      <c r="H1380" s="9" t="str" cm="1">
        <f t="array" ref="H1380">INDEX(stableR[question],MATCH(VALUE(questions[[#This Row],[qno]]),VALUE(stableR[qno]),0))</f>
        <v>Cropping other than coffee, what was the estimated importance?</v>
      </c>
      <c r="I1380" s="9" t="b" cm="1">
        <f t="array" ref="I1380">INDEX(stable[is_fixed],MATCH(VALUE(questions[[#This Row],[qno]]),VALUE(stable[qno]),0))</f>
        <v>1</v>
      </c>
      <c r="J1380" s="9" t="b" cm="1">
        <f t="array" ref="J1380">INDEX(stable[is_localized],MATCH(VALUE(questions[[#This Row],[qno]]),VALUE(stable[qno]),0))</f>
        <v>0</v>
      </c>
      <c r="K1380" s="9" t="b" cm="1">
        <f t="array" ref="K1380">INDEX(stable[is_supply_chain_dependent],MATCH(VALUE(questions[[#This Row],[qno]]),VALUE(stable[qno]),0))</f>
        <v>0</v>
      </c>
      <c r="L1380" s="9" t="b" cm="1">
        <f t="array" ref="L1380">INDEX(stable[is_mandatory],MATCH(VALUE(questions[[#This Row],[qno]]),VALUE(stable[qno]),0))</f>
        <v>0</v>
      </c>
      <c r="M1380" s="9" t="b" cm="1">
        <f t="array" ref="M1380">INDEX(stable[is_automated],MATCH(VALUE(questions[[#This Row],[qno]]),VALUE(stable[qno]),0))</f>
        <v>0</v>
      </c>
      <c r="N1380" s="9" t="b" cm="1">
        <f t="array" ref="N1380">INDEX(stable[is_free_text],MATCH(VALUE(questions[[#This Row],[qno]]),VALUE(stable[qno]),0))</f>
        <v>0</v>
      </c>
      <c r="O1380" s="9" t="b" cm="1">
        <f t="array" ref="O1380">INDEX(stable[is_numerical],MATCH(VALUE(questions[[#This Row],[qno]]),VALUE(stable[qno]),0))</f>
        <v>0</v>
      </c>
      <c r="P1380" s="77" t="b" cm="1">
        <f t="array" ref="P1380">INDEX(stable[is_single_select],MATCH(VALUE(questions[[#This Row],[qno]]),VALUE(stable[qno]),0))</f>
        <v>1</v>
      </c>
      <c r="Q1380" s="77" t="b" cm="1">
        <f t="array" ref="Q1380">INDEX(stable[is_multi_select],MATCH(VALUE(questions[[#This Row],[qno]]),VALUE(stable[qno]),0))</f>
        <v>0</v>
      </c>
      <c r="R1380" s="77" t="b" cm="1">
        <f t="array" ref="R1380">INDEX(stable[is_skip_logic],MATCH(VALUE(questions[[#This Row],[qno]]),VALUE(stable[qno]),0))</f>
        <v>0</v>
      </c>
      <c r="S1380" s="77" t="str">
        <f>_xlfn.TEXTJOIN(", ",TRUE,questions[[#This Row],[ans_opt_1]:[ans_opt_14]])</f>
        <v>All or nearly all - 80-100%, More than half of it  - 60-80%, About half of it - 40-60%, Less than half of it - 20-40%, A small amount - 0-20%</v>
      </c>
      <c r="T1380" s="77" t="s">
        <v>305</v>
      </c>
      <c r="U1380" s="77" t="s">
        <v>306</v>
      </c>
      <c r="V1380" s="77" t="s">
        <v>307</v>
      </c>
      <c r="W1380" s="77" t="s">
        <v>308</v>
      </c>
      <c r="X1380" s="77" t="s">
        <v>309</v>
      </c>
      <c r="AH1380" s="98" t="b">
        <f>INDEX(stable[q_standard],MATCH(questions[[#This Row],[qno]],stable[qno],0))</f>
        <v>0</v>
      </c>
      <c r="AI1380" s="98" t="b">
        <f>INDEX(stable[q_living_income],MATCH(questions[[#This Row],[qno]],stable[qno],0))</f>
        <v>1</v>
      </c>
      <c r="AJ1380" s="98" t="b">
        <f>INDEX(stable[q_carbon],MATCH(questions[[#This Row],[qno]],stable[qno],0))</f>
        <v>0</v>
      </c>
      <c r="AK1380" s="98" t="b">
        <f>INDEX(stable[q_regen_ag],MATCH(questions[[#This Row],[qno]],stable[qno],0))</f>
        <v>0</v>
      </c>
      <c r="AL1380" s="98" t="b">
        <f>COUNTIFS(stable[qno],questions[[#This Row],[qno]])=1</f>
        <v>1</v>
      </c>
      <c r="AM1380" s="98" t="b">
        <f>OR(questions[[#This Row],[is_fixed]],questions[[#This Row],[is_localized]],questions[[#This Row],[is_supply_chain_dependent]])</f>
        <v>1</v>
      </c>
      <c r="AN1380" s="98" t="b">
        <f>COUNTIFS(questions[[#This Row],[is_automated]:[is_multi_select]],TRUE)=1</f>
        <v>1</v>
      </c>
      <c r="AO1380" s="98" t="b">
        <f>IF(questions[[#This Row],[is_fixed]],questions[[#This Row],[question]]=INDEX(stable[question],MATCH(questions[[#This Row],[qno]],stable[qno],0)),TRUE)</f>
        <v>1</v>
      </c>
      <c r="AP1380" s="98" t="str">
        <f>LEFT(questions[[#This Row],[question]],similarity_range)</f>
        <v xml:space="preserve">Cropping other than </v>
      </c>
      <c r="AQ1380" s="98" t="str">
        <f>LEFT(INDEX(stable[question],MATCH(questions[[#This Row],[qno]],stable[qno],0)),similarity_range)</f>
        <v xml:space="preserve">Cropping other than </v>
      </c>
      <c r="AR1380" s="98" t="b">
        <f>questions[[#This Row],[question_first_characters]]=questions[[#This Row],[stability_first_characters]]</f>
        <v>1</v>
      </c>
      <c r="AS1380" s="98" t="b">
        <f>IF(OR(questions[[#This Row],[is_single_select]],questions[[#This Row],[is_multi_select]]),NOT(ISBLANK(questions[[#This Row],[answer_opt_combined]])),TRUE)</f>
        <v>1</v>
      </c>
    </row>
    <row r="1381" spans="1:45" s="77" customFormat="1" ht="15.75" customHeight="1" x14ac:dyDescent="0.25">
      <c r="A1381" s="77" t="str">
        <f>_xlfn.TEXTJOIN("_",TRUE,questions[[#This Row],[origin]:[qno]])</f>
        <v>Rwanda_Arabica_Nestle_Illy_IMPACT_2025_6512</v>
      </c>
      <c r="B1381" s="77" t="s">
        <v>719</v>
      </c>
      <c r="C1381" s="77" t="s">
        <v>59</v>
      </c>
      <c r="D1381" s="77" t="s">
        <v>720</v>
      </c>
      <c r="E1381" s="77">
        <v>2025</v>
      </c>
      <c r="F1381" s="105" t="s">
        <v>312</v>
      </c>
      <c r="G1381" s="78" t="s">
        <v>313</v>
      </c>
      <c r="H1381" s="9" t="str" cm="1">
        <f t="array" ref="H1381">INDEX(stableR[question],MATCH(VALUE(questions[[#This Row],[qno]]),VALUE(stableR[qno]),0))</f>
        <v>Livestock, what was the estimated importance?</v>
      </c>
      <c r="I1381" s="9" t="b" cm="1">
        <f t="array" ref="I1381">INDEX(stable[is_fixed],MATCH(VALUE(questions[[#This Row],[qno]]),VALUE(stable[qno]),0))</f>
        <v>1</v>
      </c>
      <c r="J1381" s="9" t="b" cm="1">
        <f t="array" ref="J1381">INDEX(stable[is_localized],MATCH(VALUE(questions[[#This Row],[qno]]),VALUE(stable[qno]),0))</f>
        <v>0</v>
      </c>
      <c r="K1381" s="9" t="b" cm="1">
        <f t="array" ref="K1381">INDEX(stable[is_supply_chain_dependent],MATCH(VALUE(questions[[#This Row],[qno]]),VALUE(stable[qno]),0))</f>
        <v>0</v>
      </c>
      <c r="L1381" s="9" t="b" cm="1">
        <f t="array" ref="L1381">INDEX(stable[is_mandatory],MATCH(VALUE(questions[[#This Row],[qno]]),VALUE(stable[qno]),0))</f>
        <v>0</v>
      </c>
      <c r="M1381" s="9" t="b" cm="1">
        <f t="array" ref="M1381">INDEX(stable[is_automated],MATCH(VALUE(questions[[#This Row],[qno]]),VALUE(stable[qno]),0))</f>
        <v>0</v>
      </c>
      <c r="N1381" s="9" t="b" cm="1">
        <f t="array" ref="N1381">INDEX(stable[is_free_text],MATCH(VALUE(questions[[#This Row],[qno]]),VALUE(stable[qno]),0))</f>
        <v>0</v>
      </c>
      <c r="O1381" s="9" t="b" cm="1">
        <f t="array" ref="O1381">INDEX(stable[is_numerical],MATCH(VALUE(questions[[#This Row],[qno]]),VALUE(stable[qno]),0))</f>
        <v>0</v>
      </c>
      <c r="P1381" s="77" t="b" cm="1">
        <f t="array" ref="P1381">INDEX(stable[is_single_select],MATCH(VALUE(questions[[#This Row],[qno]]),VALUE(stable[qno]),0))</f>
        <v>1</v>
      </c>
      <c r="Q1381" s="77" t="b" cm="1">
        <f t="array" ref="Q1381">INDEX(stable[is_multi_select],MATCH(VALUE(questions[[#This Row],[qno]]),VALUE(stable[qno]),0))</f>
        <v>0</v>
      </c>
      <c r="R1381" s="77" t="b" cm="1">
        <f t="array" ref="R1381">INDEX(stable[is_skip_logic],MATCH(VALUE(questions[[#This Row],[qno]]),VALUE(stable[qno]),0))</f>
        <v>0</v>
      </c>
      <c r="S1381" s="77" t="str">
        <f>_xlfn.TEXTJOIN(", ",TRUE,questions[[#This Row],[ans_opt_1]:[ans_opt_14]])</f>
        <v>All or nearly all - 80-100%, More than half of it  - 60-80%, About half of it - 40-60%, Less than half of it - 20-40%, A small amount - 0-20%</v>
      </c>
      <c r="T1381" s="77" t="s">
        <v>305</v>
      </c>
      <c r="U1381" s="77" t="s">
        <v>306</v>
      </c>
      <c r="V1381" s="77" t="s">
        <v>307</v>
      </c>
      <c r="W1381" s="77" t="s">
        <v>308</v>
      </c>
      <c r="X1381" s="77" t="s">
        <v>309</v>
      </c>
      <c r="AH1381" s="98" t="b">
        <f>INDEX(stable[q_standard],MATCH(questions[[#This Row],[qno]],stable[qno],0))</f>
        <v>0</v>
      </c>
      <c r="AI1381" s="98" t="b">
        <f>INDEX(stable[q_living_income],MATCH(questions[[#This Row],[qno]],stable[qno],0))</f>
        <v>1</v>
      </c>
      <c r="AJ1381" s="98" t="b">
        <f>INDEX(stable[q_carbon],MATCH(questions[[#This Row],[qno]],stable[qno],0))</f>
        <v>0</v>
      </c>
      <c r="AK1381" s="98" t="b">
        <f>INDEX(stable[q_regen_ag],MATCH(questions[[#This Row],[qno]],stable[qno],0))</f>
        <v>0</v>
      </c>
      <c r="AL1381" s="98" t="b">
        <f>COUNTIFS(stable[qno],questions[[#This Row],[qno]])=1</f>
        <v>1</v>
      </c>
      <c r="AM1381" s="98" t="b">
        <f>OR(questions[[#This Row],[is_fixed]],questions[[#This Row],[is_localized]],questions[[#This Row],[is_supply_chain_dependent]])</f>
        <v>1</v>
      </c>
      <c r="AN1381" s="98" t="b">
        <f>COUNTIFS(questions[[#This Row],[is_automated]:[is_multi_select]],TRUE)=1</f>
        <v>1</v>
      </c>
      <c r="AO1381" s="98" t="b">
        <f>IF(questions[[#This Row],[is_fixed]],questions[[#This Row],[question]]=INDEX(stable[question],MATCH(questions[[#This Row],[qno]],stable[qno],0)),TRUE)</f>
        <v>1</v>
      </c>
      <c r="AP1381" s="98" t="str">
        <f>LEFT(questions[[#This Row],[question]],similarity_range)</f>
        <v xml:space="preserve">Livestock, what was </v>
      </c>
      <c r="AQ1381" s="98" t="str">
        <f>LEFT(INDEX(stable[question],MATCH(questions[[#This Row],[qno]],stable[qno],0)),similarity_range)</f>
        <v xml:space="preserve">Livestock, what was </v>
      </c>
      <c r="AR1381" s="98" t="b">
        <f>questions[[#This Row],[question_first_characters]]=questions[[#This Row],[stability_first_characters]]</f>
        <v>1</v>
      </c>
      <c r="AS1381" s="98" t="b">
        <f>IF(OR(questions[[#This Row],[is_single_select]],questions[[#This Row],[is_multi_select]]),NOT(ISBLANK(questions[[#This Row],[answer_opt_combined]])),TRUE)</f>
        <v>1</v>
      </c>
    </row>
    <row r="1382" spans="1:45" s="77" customFormat="1" ht="15.75" customHeight="1" x14ac:dyDescent="0.25">
      <c r="A1382" s="77" t="str">
        <f>_xlfn.TEXTJOIN("_",TRUE,questions[[#This Row],[origin]:[qno]])</f>
        <v>Rwanda_Arabica_Nestle_Illy_IMPACT_2025_6513</v>
      </c>
      <c r="B1382" s="77" t="s">
        <v>719</v>
      </c>
      <c r="C1382" s="77" t="s">
        <v>59</v>
      </c>
      <c r="D1382" s="77" t="s">
        <v>720</v>
      </c>
      <c r="E1382" s="77">
        <v>2025</v>
      </c>
      <c r="F1382" s="105" t="s">
        <v>314</v>
      </c>
      <c r="G1382" s="78" t="s">
        <v>315</v>
      </c>
      <c r="H1382" s="9" t="str" cm="1">
        <f t="array" ref="H1382">INDEX(stableR[question],MATCH(VALUE(questions[[#This Row],[qno]]),VALUE(stableR[qno]),0))</f>
        <v>Casual labor on other peoples farm, what was the estimated importance?</v>
      </c>
      <c r="I1382" s="9" t="b" cm="1">
        <f t="array" ref="I1382">INDEX(stable[is_fixed],MATCH(VALUE(questions[[#This Row],[qno]]),VALUE(stable[qno]),0))</f>
        <v>1</v>
      </c>
      <c r="J1382" s="9" t="b" cm="1">
        <f t="array" ref="J1382">INDEX(stable[is_localized],MATCH(VALUE(questions[[#This Row],[qno]]),VALUE(stable[qno]),0))</f>
        <v>0</v>
      </c>
      <c r="K1382" s="9" t="b" cm="1">
        <f t="array" ref="K1382">INDEX(stable[is_supply_chain_dependent],MATCH(VALUE(questions[[#This Row],[qno]]),VALUE(stable[qno]),0))</f>
        <v>0</v>
      </c>
      <c r="L1382" s="9" t="b" cm="1">
        <f t="array" ref="L1382">INDEX(stable[is_mandatory],MATCH(VALUE(questions[[#This Row],[qno]]),VALUE(stable[qno]),0))</f>
        <v>0</v>
      </c>
      <c r="M1382" s="9" t="b" cm="1">
        <f t="array" ref="M1382">INDEX(stable[is_automated],MATCH(VALUE(questions[[#This Row],[qno]]),VALUE(stable[qno]),0))</f>
        <v>0</v>
      </c>
      <c r="N1382" s="9" t="b" cm="1">
        <f t="array" ref="N1382">INDEX(stable[is_free_text],MATCH(VALUE(questions[[#This Row],[qno]]),VALUE(stable[qno]),0))</f>
        <v>0</v>
      </c>
      <c r="O1382" s="9" t="b" cm="1">
        <f t="array" ref="O1382">INDEX(stable[is_numerical],MATCH(VALUE(questions[[#This Row],[qno]]),VALUE(stable[qno]),0))</f>
        <v>0</v>
      </c>
      <c r="P1382" s="77" t="b" cm="1">
        <f t="array" ref="P1382">INDEX(stable[is_single_select],MATCH(VALUE(questions[[#This Row],[qno]]),VALUE(stable[qno]),0))</f>
        <v>1</v>
      </c>
      <c r="Q1382" s="77" t="b" cm="1">
        <f t="array" ref="Q1382">INDEX(stable[is_multi_select],MATCH(VALUE(questions[[#This Row],[qno]]),VALUE(stable[qno]),0))</f>
        <v>0</v>
      </c>
      <c r="R1382" s="77" t="b" cm="1">
        <f t="array" ref="R1382">INDEX(stable[is_skip_logic],MATCH(VALUE(questions[[#This Row],[qno]]),VALUE(stable[qno]),0))</f>
        <v>0</v>
      </c>
      <c r="S1382" s="77" t="str">
        <f>_xlfn.TEXTJOIN(", ",TRUE,questions[[#This Row],[ans_opt_1]:[ans_opt_14]])</f>
        <v>All or nearly all - 80-100%, More than half of it  - 60-80%, About half of it - 40-60%, Less than half of it - 20-40%, A small amount - 0-20%</v>
      </c>
      <c r="T1382" s="77" t="s">
        <v>305</v>
      </c>
      <c r="U1382" s="77" t="s">
        <v>306</v>
      </c>
      <c r="V1382" s="77" t="s">
        <v>307</v>
      </c>
      <c r="W1382" s="77" t="s">
        <v>308</v>
      </c>
      <c r="X1382" s="77" t="s">
        <v>309</v>
      </c>
      <c r="AH1382" s="98" t="b">
        <f>INDEX(stable[q_standard],MATCH(questions[[#This Row],[qno]],stable[qno],0))</f>
        <v>0</v>
      </c>
      <c r="AI1382" s="98" t="b">
        <f>INDEX(stable[q_living_income],MATCH(questions[[#This Row],[qno]],stable[qno],0))</f>
        <v>1</v>
      </c>
      <c r="AJ1382" s="98" t="b">
        <f>INDEX(stable[q_carbon],MATCH(questions[[#This Row],[qno]],stable[qno],0))</f>
        <v>0</v>
      </c>
      <c r="AK1382" s="98" t="b">
        <f>INDEX(stable[q_regen_ag],MATCH(questions[[#This Row],[qno]],stable[qno],0))</f>
        <v>0</v>
      </c>
      <c r="AL1382" s="98" t="b">
        <f>COUNTIFS(stable[qno],questions[[#This Row],[qno]])=1</f>
        <v>1</v>
      </c>
      <c r="AM1382" s="98" t="b">
        <f>OR(questions[[#This Row],[is_fixed]],questions[[#This Row],[is_localized]],questions[[#This Row],[is_supply_chain_dependent]])</f>
        <v>1</v>
      </c>
      <c r="AN1382" s="98" t="b">
        <f>COUNTIFS(questions[[#This Row],[is_automated]:[is_multi_select]],TRUE)=1</f>
        <v>1</v>
      </c>
      <c r="AO1382" s="98" t="b">
        <f>IF(questions[[#This Row],[is_fixed]],questions[[#This Row],[question]]=INDEX(stable[question],MATCH(questions[[#This Row],[qno]],stable[qno],0)),TRUE)</f>
        <v>1</v>
      </c>
      <c r="AP1382" s="98" t="str">
        <f>LEFT(questions[[#This Row],[question]],similarity_range)</f>
        <v>Casual labor on othe</v>
      </c>
      <c r="AQ1382" s="98" t="str">
        <f>LEFT(INDEX(stable[question],MATCH(questions[[#This Row],[qno]],stable[qno],0)),similarity_range)</f>
        <v>Casual labor on othe</v>
      </c>
      <c r="AR1382" s="98" t="b">
        <f>questions[[#This Row],[question_first_characters]]=questions[[#This Row],[stability_first_characters]]</f>
        <v>1</v>
      </c>
      <c r="AS1382" s="98" t="b">
        <f>IF(OR(questions[[#This Row],[is_single_select]],questions[[#This Row],[is_multi_select]]),NOT(ISBLANK(questions[[#This Row],[answer_opt_combined]])),TRUE)</f>
        <v>1</v>
      </c>
    </row>
    <row r="1383" spans="1:45" s="77" customFormat="1" ht="15.75" customHeight="1" x14ac:dyDescent="0.25">
      <c r="A1383" s="77" t="str">
        <f>_xlfn.TEXTJOIN("_",TRUE,questions[[#This Row],[origin]:[qno]])</f>
        <v>Rwanda_Arabica_Nestle_Illy_IMPACT_2025_6514</v>
      </c>
      <c r="B1383" s="77" t="s">
        <v>719</v>
      </c>
      <c r="C1383" s="77" t="s">
        <v>59</v>
      </c>
      <c r="D1383" s="77" t="s">
        <v>720</v>
      </c>
      <c r="E1383" s="77">
        <v>2025</v>
      </c>
      <c r="F1383" s="105" t="s">
        <v>316</v>
      </c>
      <c r="G1383" s="78" t="s">
        <v>317</v>
      </c>
      <c r="H1383" s="9" t="str" cm="1">
        <f t="array" ref="H1383">INDEX(stableR[question],MATCH(VALUE(questions[[#This Row],[qno]]),VALUE(stableR[qno]),0))</f>
        <v>Casual labor off-farm, what was the estimated importance?</v>
      </c>
      <c r="I1383" s="9" t="b" cm="1">
        <f t="array" ref="I1383">INDEX(stable[is_fixed],MATCH(VALUE(questions[[#This Row],[qno]]),VALUE(stable[qno]),0))</f>
        <v>1</v>
      </c>
      <c r="J1383" s="9" t="b" cm="1">
        <f t="array" ref="J1383">INDEX(stable[is_localized],MATCH(VALUE(questions[[#This Row],[qno]]),VALUE(stable[qno]),0))</f>
        <v>0</v>
      </c>
      <c r="K1383" s="9" t="b" cm="1">
        <f t="array" ref="K1383">INDEX(stable[is_supply_chain_dependent],MATCH(VALUE(questions[[#This Row],[qno]]),VALUE(stable[qno]),0))</f>
        <v>0</v>
      </c>
      <c r="L1383" s="9" t="b" cm="1">
        <f t="array" ref="L1383">INDEX(stable[is_mandatory],MATCH(VALUE(questions[[#This Row],[qno]]),VALUE(stable[qno]),0))</f>
        <v>0</v>
      </c>
      <c r="M1383" s="9" t="b" cm="1">
        <f t="array" ref="M1383">INDEX(stable[is_automated],MATCH(VALUE(questions[[#This Row],[qno]]),VALUE(stable[qno]),0))</f>
        <v>0</v>
      </c>
      <c r="N1383" s="9" t="b" cm="1">
        <f t="array" ref="N1383">INDEX(stable[is_free_text],MATCH(VALUE(questions[[#This Row],[qno]]),VALUE(stable[qno]),0))</f>
        <v>0</v>
      </c>
      <c r="O1383" s="9" t="b" cm="1">
        <f t="array" ref="O1383">INDEX(stable[is_numerical],MATCH(VALUE(questions[[#This Row],[qno]]),VALUE(stable[qno]),0))</f>
        <v>0</v>
      </c>
      <c r="P1383" s="77" t="b" cm="1">
        <f t="array" ref="P1383">INDEX(stable[is_single_select],MATCH(VALUE(questions[[#This Row],[qno]]),VALUE(stable[qno]),0))</f>
        <v>1</v>
      </c>
      <c r="Q1383" s="77" t="b" cm="1">
        <f t="array" ref="Q1383">INDEX(stable[is_multi_select],MATCH(VALUE(questions[[#This Row],[qno]]),VALUE(stable[qno]),0))</f>
        <v>0</v>
      </c>
      <c r="R1383" s="77" t="b" cm="1">
        <f t="array" ref="R1383">INDEX(stable[is_skip_logic],MATCH(VALUE(questions[[#This Row],[qno]]),VALUE(stable[qno]),0))</f>
        <v>0</v>
      </c>
      <c r="S1383" s="77" t="str">
        <f>_xlfn.TEXTJOIN(", ",TRUE,questions[[#This Row],[ans_opt_1]:[ans_opt_14]])</f>
        <v>All or nearly all - 80-100%, More than half of it  - 60-80%, About half of it - 40-60%, Less than half of it - 20-40%, A small amount - 0-20%</v>
      </c>
      <c r="T1383" s="77" t="s">
        <v>305</v>
      </c>
      <c r="U1383" s="77" t="s">
        <v>306</v>
      </c>
      <c r="V1383" s="77" t="s">
        <v>307</v>
      </c>
      <c r="W1383" s="77" t="s">
        <v>308</v>
      </c>
      <c r="X1383" s="77" t="s">
        <v>309</v>
      </c>
      <c r="AH1383" s="98" t="b">
        <f>INDEX(stable[q_standard],MATCH(questions[[#This Row],[qno]],stable[qno],0))</f>
        <v>0</v>
      </c>
      <c r="AI1383" s="98" t="b">
        <f>INDEX(stable[q_living_income],MATCH(questions[[#This Row],[qno]],stable[qno],0))</f>
        <v>1</v>
      </c>
      <c r="AJ1383" s="98" t="b">
        <f>INDEX(stable[q_carbon],MATCH(questions[[#This Row],[qno]],stable[qno],0))</f>
        <v>0</v>
      </c>
      <c r="AK1383" s="98" t="b">
        <f>INDEX(stable[q_regen_ag],MATCH(questions[[#This Row],[qno]],stable[qno],0))</f>
        <v>0</v>
      </c>
      <c r="AL1383" s="98" t="b">
        <f>COUNTIFS(stable[qno],questions[[#This Row],[qno]])=1</f>
        <v>1</v>
      </c>
      <c r="AM1383" s="98" t="b">
        <f>OR(questions[[#This Row],[is_fixed]],questions[[#This Row],[is_localized]],questions[[#This Row],[is_supply_chain_dependent]])</f>
        <v>1</v>
      </c>
      <c r="AN1383" s="98" t="b">
        <f>COUNTIFS(questions[[#This Row],[is_automated]:[is_multi_select]],TRUE)=1</f>
        <v>1</v>
      </c>
      <c r="AO1383" s="98" t="b">
        <f>IF(questions[[#This Row],[is_fixed]],questions[[#This Row],[question]]=INDEX(stable[question],MATCH(questions[[#This Row],[qno]],stable[qno],0)),TRUE)</f>
        <v>1</v>
      </c>
      <c r="AP1383" s="98" t="str">
        <f>LEFT(questions[[#This Row],[question]],similarity_range)</f>
        <v>Casual labor off-far</v>
      </c>
      <c r="AQ1383" s="98" t="str">
        <f>LEFT(INDEX(stable[question],MATCH(questions[[#This Row],[qno]],stable[qno],0)),similarity_range)</f>
        <v>Casual labor off-far</v>
      </c>
      <c r="AR1383" s="98" t="b">
        <f>questions[[#This Row],[question_first_characters]]=questions[[#This Row],[stability_first_characters]]</f>
        <v>1</v>
      </c>
      <c r="AS1383" s="98" t="b">
        <f>IF(OR(questions[[#This Row],[is_single_select]],questions[[#This Row],[is_multi_select]]),NOT(ISBLANK(questions[[#This Row],[answer_opt_combined]])),TRUE)</f>
        <v>1</v>
      </c>
    </row>
    <row r="1384" spans="1:45" s="77" customFormat="1" ht="15.75" customHeight="1" x14ac:dyDescent="0.25">
      <c r="A1384" s="77" t="str">
        <f>_xlfn.TEXTJOIN("_",TRUE,questions[[#This Row],[origin]:[qno]])</f>
        <v>Rwanda_Arabica_Nestle_Illy_IMPACT_2025_6515</v>
      </c>
      <c r="B1384" s="77" t="s">
        <v>719</v>
      </c>
      <c r="C1384" s="77" t="s">
        <v>59</v>
      </c>
      <c r="D1384" s="77" t="s">
        <v>720</v>
      </c>
      <c r="E1384" s="77">
        <v>2025</v>
      </c>
      <c r="F1384" s="105" t="s">
        <v>318</v>
      </c>
      <c r="G1384" s="78" t="s">
        <v>319</v>
      </c>
      <c r="H1384" s="9" t="str" cm="1">
        <f t="array" ref="H1384">INDEX(stableR[question],MATCH(VALUE(questions[[#This Row],[qno]]),VALUE(stableR[qno]),0))</f>
        <v>Other business, what was the estimated importance?</v>
      </c>
      <c r="I1384" s="9" t="b" cm="1">
        <f t="array" ref="I1384">INDEX(stable[is_fixed],MATCH(VALUE(questions[[#This Row],[qno]]),VALUE(stable[qno]),0))</f>
        <v>1</v>
      </c>
      <c r="J1384" s="9" t="b" cm="1">
        <f t="array" ref="J1384">INDEX(stable[is_localized],MATCH(VALUE(questions[[#This Row],[qno]]),VALUE(stable[qno]),0))</f>
        <v>0</v>
      </c>
      <c r="K1384" s="9" t="b" cm="1">
        <f t="array" ref="K1384">INDEX(stable[is_supply_chain_dependent],MATCH(VALUE(questions[[#This Row],[qno]]),VALUE(stable[qno]),0))</f>
        <v>0</v>
      </c>
      <c r="L1384" s="9" t="b" cm="1">
        <f t="array" ref="L1384">INDEX(stable[is_mandatory],MATCH(VALUE(questions[[#This Row],[qno]]),VALUE(stable[qno]),0))</f>
        <v>0</v>
      </c>
      <c r="M1384" s="9" t="b" cm="1">
        <f t="array" ref="M1384">INDEX(stable[is_automated],MATCH(VALUE(questions[[#This Row],[qno]]),VALUE(stable[qno]),0))</f>
        <v>0</v>
      </c>
      <c r="N1384" s="9" t="b" cm="1">
        <f t="array" ref="N1384">INDEX(stable[is_free_text],MATCH(VALUE(questions[[#This Row],[qno]]),VALUE(stable[qno]),0))</f>
        <v>0</v>
      </c>
      <c r="O1384" s="9" t="b" cm="1">
        <f t="array" ref="O1384">INDEX(stable[is_numerical],MATCH(VALUE(questions[[#This Row],[qno]]),VALUE(stable[qno]),0))</f>
        <v>0</v>
      </c>
      <c r="P1384" s="77" t="b" cm="1">
        <f t="array" ref="P1384">INDEX(stable[is_single_select],MATCH(VALUE(questions[[#This Row],[qno]]),VALUE(stable[qno]),0))</f>
        <v>1</v>
      </c>
      <c r="Q1384" s="77" t="b" cm="1">
        <f t="array" ref="Q1384">INDEX(stable[is_multi_select],MATCH(VALUE(questions[[#This Row],[qno]]),VALUE(stable[qno]),0))</f>
        <v>0</v>
      </c>
      <c r="R1384" s="77" t="b" cm="1">
        <f t="array" ref="R1384">INDEX(stable[is_skip_logic],MATCH(VALUE(questions[[#This Row],[qno]]),VALUE(stable[qno]),0))</f>
        <v>0</v>
      </c>
      <c r="S1384" s="77" t="str">
        <f>_xlfn.TEXTJOIN(", ",TRUE,questions[[#This Row],[ans_opt_1]:[ans_opt_14]])</f>
        <v>All or nearly all - 80-100%, More than half of it  - 60-80%, About half of it - 40-60%, Less than half of it - 20-40%, A small amount - 0-20%</v>
      </c>
      <c r="T1384" s="77" t="s">
        <v>305</v>
      </c>
      <c r="U1384" s="77" t="s">
        <v>306</v>
      </c>
      <c r="V1384" s="77" t="s">
        <v>307</v>
      </c>
      <c r="W1384" s="77" t="s">
        <v>308</v>
      </c>
      <c r="X1384" s="77" t="s">
        <v>309</v>
      </c>
      <c r="AH1384" s="98" t="b">
        <f>INDEX(stable[q_standard],MATCH(questions[[#This Row],[qno]],stable[qno],0))</f>
        <v>0</v>
      </c>
      <c r="AI1384" s="98" t="b">
        <f>INDEX(stable[q_living_income],MATCH(questions[[#This Row],[qno]],stable[qno],0))</f>
        <v>1</v>
      </c>
      <c r="AJ1384" s="98" t="b">
        <f>INDEX(stable[q_carbon],MATCH(questions[[#This Row],[qno]],stable[qno],0))</f>
        <v>0</v>
      </c>
      <c r="AK1384" s="98" t="b">
        <f>INDEX(stable[q_regen_ag],MATCH(questions[[#This Row],[qno]],stable[qno],0))</f>
        <v>0</v>
      </c>
      <c r="AL1384" s="98" t="b">
        <f>COUNTIFS(stable[qno],questions[[#This Row],[qno]])=1</f>
        <v>1</v>
      </c>
      <c r="AM1384" s="98" t="b">
        <f>OR(questions[[#This Row],[is_fixed]],questions[[#This Row],[is_localized]],questions[[#This Row],[is_supply_chain_dependent]])</f>
        <v>1</v>
      </c>
      <c r="AN1384" s="98" t="b">
        <f>COUNTIFS(questions[[#This Row],[is_automated]:[is_multi_select]],TRUE)=1</f>
        <v>1</v>
      </c>
      <c r="AO1384" s="98" t="b">
        <f>IF(questions[[#This Row],[is_fixed]],questions[[#This Row],[question]]=INDEX(stable[question],MATCH(questions[[#This Row],[qno]],stable[qno],0)),TRUE)</f>
        <v>1</v>
      </c>
      <c r="AP1384" s="98" t="str">
        <f>LEFT(questions[[#This Row],[question]],similarity_range)</f>
        <v>Other business, what</v>
      </c>
      <c r="AQ1384" s="98" t="str">
        <f>LEFT(INDEX(stable[question],MATCH(questions[[#This Row],[qno]],stable[qno],0)),similarity_range)</f>
        <v>Other business, what</v>
      </c>
      <c r="AR1384" s="98" t="b">
        <f>questions[[#This Row],[question_first_characters]]=questions[[#This Row],[stability_first_characters]]</f>
        <v>1</v>
      </c>
      <c r="AS1384" s="98" t="b">
        <f>IF(OR(questions[[#This Row],[is_single_select]],questions[[#This Row],[is_multi_select]]),NOT(ISBLANK(questions[[#This Row],[answer_opt_combined]])),TRUE)</f>
        <v>1</v>
      </c>
    </row>
    <row r="1385" spans="1:45" s="77" customFormat="1" ht="15.75" customHeight="1" x14ac:dyDescent="0.25">
      <c r="A1385" s="77" t="str">
        <f>_xlfn.TEXTJOIN("_",TRUE,questions[[#This Row],[origin]:[qno]])</f>
        <v>Rwanda_Arabica_Nestle_Illy_IMPACT_2025_6516</v>
      </c>
      <c r="B1385" s="77" t="s">
        <v>719</v>
      </c>
      <c r="C1385" s="77" t="s">
        <v>59</v>
      </c>
      <c r="D1385" s="77" t="s">
        <v>720</v>
      </c>
      <c r="E1385" s="77">
        <v>2025</v>
      </c>
      <c r="F1385" s="105" t="s">
        <v>320</v>
      </c>
      <c r="G1385" s="78" t="s">
        <v>321</v>
      </c>
      <c r="H1385" s="9" t="str" cm="1">
        <f t="array" ref="H1385">INDEX(stableR[question],MATCH(VALUE(questions[[#This Row],[qno]]),VALUE(stableR[qno]),0))</f>
        <v>Salaried job, what was the estimated importance?</v>
      </c>
      <c r="I1385" s="9" t="b" cm="1">
        <f t="array" ref="I1385">INDEX(stable[is_fixed],MATCH(VALUE(questions[[#This Row],[qno]]),VALUE(stable[qno]),0))</f>
        <v>1</v>
      </c>
      <c r="J1385" s="9" t="b" cm="1">
        <f t="array" ref="J1385">INDEX(stable[is_localized],MATCH(VALUE(questions[[#This Row],[qno]]),VALUE(stable[qno]),0))</f>
        <v>0</v>
      </c>
      <c r="K1385" s="9" t="b" cm="1">
        <f t="array" ref="K1385">INDEX(stable[is_supply_chain_dependent],MATCH(VALUE(questions[[#This Row],[qno]]),VALUE(stable[qno]),0))</f>
        <v>0</v>
      </c>
      <c r="L1385" s="9" t="b" cm="1">
        <f t="array" ref="L1385">INDEX(stable[is_mandatory],MATCH(VALUE(questions[[#This Row],[qno]]),VALUE(stable[qno]),0))</f>
        <v>0</v>
      </c>
      <c r="M1385" s="9" t="b" cm="1">
        <f t="array" ref="M1385">INDEX(stable[is_automated],MATCH(VALUE(questions[[#This Row],[qno]]),VALUE(stable[qno]),0))</f>
        <v>0</v>
      </c>
      <c r="N1385" s="9" t="b" cm="1">
        <f t="array" ref="N1385">INDEX(stable[is_free_text],MATCH(VALUE(questions[[#This Row],[qno]]),VALUE(stable[qno]),0))</f>
        <v>0</v>
      </c>
      <c r="O1385" s="9" t="b" cm="1">
        <f t="array" ref="O1385">INDEX(stable[is_numerical],MATCH(VALUE(questions[[#This Row],[qno]]),VALUE(stable[qno]),0))</f>
        <v>0</v>
      </c>
      <c r="P1385" s="77" t="b" cm="1">
        <f t="array" ref="P1385">INDEX(stable[is_single_select],MATCH(VALUE(questions[[#This Row],[qno]]),VALUE(stable[qno]),0))</f>
        <v>1</v>
      </c>
      <c r="Q1385" s="77" t="b" cm="1">
        <f t="array" ref="Q1385">INDEX(stable[is_multi_select],MATCH(VALUE(questions[[#This Row],[qno]]),VALUE(stable[qno]),0))</f>
        <v>0</v>
      </c>
      <c r="R1385" s="77" t="b" cm="1">
        <f t="array" ref="R1385">INDEX(stable[is_skip_logic],MATCH(VALUE(questions[[#This Row],[qno]]),VALUE(stable[qno]),0))</f>
        <v>0</v>
      </c>
      <c r="S1385" s="77" t="str">
        <f>_xlfn.TEXTJOIN(", ",TRUE,questions[[#This Row],[ans_opt_1]:[ans_opt_14]])</f>
        <v>All or nearly all - 80-100%, More than half of it  - 60-80%, About half of it - 40-60%, Less than half of it - 20-40%, A small amount - 0-20%</v>
      </c>
      <c r="T1385" s="77" t="s">
        <v>305</v>
      </c>
      <c r="U1385" s="77" t="s">
        <v>306</v>
      </c>
      <c r="V1385" s="77" t="s">
        <v>307</v>
      </c>
      <c r="W1385" s="77" t="s">
        <v>308</v>
      </c>
      <c r="X1385" s="77" t="s">
        <v>309</v>
      </c>
      <c r="AH1385" s="98" t="b">
        <f>INDEX(stable[q_standard],MATCH(questions[[#This Row],[qno]],stable[qno],0))</f>
        <v>0</v>
      </c>
      <c r="AI1385" s="98" t="b">
        <f>INDEX(stable[q_living_income],MATCH(questions[[#This Row],[qno]],stable[qno],0))</f>
        <v>1</v>
      </c>
      <c r="AJ1385" s="98" t="b">
        <f>INDEX(stable[q_carbon],MATCH(questions[[#This Row],[qno]],stable[qno],0))</f>
        <v>0</v>
      </c>
      <c r="AK1385" s="98" t="b">
        <f>INDEX(stable[q_regen_ag],MATCH(questions[[#This Row],[qno]],stable[qno],0))</f>
        <v>0</v>
      </c>
      <c r="AL1385" s="98" t="b">
        <f>COUNTIFS(stable[qno],questions[[#This Row],[qno]])=1</f>
        <v>1</v>
      </c>
      <c r="AM1385" s="98" t="b">
        <f>OR(questions[[#This Row],[is_fixed]],questions[[#This Row],[is_localized]],questions[[#This Row],[is_supply_chain_dependent]])</f>
        <v>1</v>
      </c>
      <c r="AN1385" s="98" t="b">
        <f>COUNTIFS(questions[[#This Row],[is_automated]:[is_multi_select]],TRUE)=1</f>
        <v>1</v>
      </c>
      <c r="AO1385" s="98" t="b">
        <f>IF(questions[[#This Row],[is_fixed]],questions[[#This Row],[question]]=INDEX(stable[question],MATCH(questions[[#This Row],[qno]],stable[qno],0)),TRUE)</f>
        <v>1</v>
      </c>
      <c r="AP1385" s="98" t="str">
        <f>LEFT(questions[[#This Row],[question]],similarity_range)</f>
        <v>Salaried job, what w</v>
      </c>
      <c r="AQ1385" s="98" t="str">
        <f>LEFT(INDEX(stable[question],MATCH(questions[[#This Row],[qno]],stable[qno],0)),similarity_range)</f>
        <v>Salaried job, what w</v>
      </c>
      <c r="AR1385" s="98" t="b">
        <f>questions[[#This Row],[question_first_characters]]=questions[[#This Row],[stability_first_characters]]</f>
        <v>1</v>
      </c>
      <c r="AS1385" s="98" t="b">
        <f>IF(OR(questions[[#This Row],[is_single_select]],questions[[#This Row],[is_multi_select]]),NOT(ISBLANK(questions[[#This Row],[answer_opt_combined]])),TRUE)</f>
        <v>1</v>
      </c>
    </row>
    <row r="1386" spans="1:45" s="77" customFormat="1" ht="15.75" customHeight="1" x14ac:dyDescent="0.25">
      <c r="A1386" s="77" t="str">
        <f>_xlfn.TEXTJOIN("_",TRUE,questions[[#This Row],[origin]:[qno]])</f>
        <v>Rwanda_Arabica_Nestle_Illy_IMPACT_2025_6517</v>
      </c>
      <c r="B1386" s="77" t="s">
        <v>719</v>
      </c>
      <c r="C1386" s="77" t="s">
        <v>59</v>
      </c>
      <c r="D1386" s="77" t="s">
        <v>720</v>
      </c>
      <c r="E1386" s="77">
        <v>2025</v>
      </c>
      <c r="F1386" s="105" t="s">
        <v>322</v>
      </c>
      <c r="G1386" s="78" t="s">
        <v>323</v>
      </c>
      <c r="H1386" s="9" t="str" cm="1">
        <f t="array" ref="H1386">INDEX(stableR[question],MATCH(VALUE(questions[[#This Row],[qno]]),VALUE(stableR[qno]),0))</f>
        <v>Pension, what was the estimated importance?</v>
      </c>
      <c r="I1386" s="9" t="b" cm="1">
        <f t="array" ref="I1386">INDEX(stable[is_fixed],MATCH(VALUE(questions[[#This Row],[qno]]),VALUE(stable[qno]),0))</f>
        <v>1</v>
      </c>
      <c r="J1386" s="9" t="b" cm="1">
        <f t="array" ref="J1386">INDEX(stable[is_localized],MATCH(VALUE(questions[[#This Row],[qno]]),VALUE(stable[qno]),0))</f>
        <v>0</v>
      </c>
      <c r="K1386" s="9" t="b" cm="1">
        <f t="array" ref="K1386">INDEX(stable[is_supply_chain_dependent],MATCH(VALUE(questions[[#This Row],[qno]]),VALUE(stable[qno]),0))</f>
        <v>0</v>
      </c>
      <c r="L1386" s="9" t="b" cm="1">
        <f t="array" ref="L1386">INDEX(stable[is_mandatory],MATCH(VALUE(questions[[#This Row],[qno]]),VALUE(stable[qno]),0))</f>
        <v>0</v>
      </c>
      <c r="M1386" s="9" t="b" cm="1">
        <f t="array" ref="M1386">INDEX(stable[is_automated],MATCH(VALUE(questions[[#This Row],[qno]]),VALUE(stable[qno]),0))</f>
        <v>0</v>
      </c>
      <c r="N1386" s="9" t="b" cm="1">
        <f t="array" ref="N1386">INDEX(stable[is_free_text],MATCH(VALUE(questions[[#This Row],[qno]]),VALUE(stable[qno]),0))</f>
        <v>0</v>
      </c>
      <c r="O1386" s="9" t="b" cm="1">
        <f t="array" ref="O1386">INDEX(stable[is_numerical],MATCH(VALUE(questions[[#This Row],[qno]]),VALUE(stable[qno]),0))</f>
        <v>0</v>
      </c>
      <c r="P1386" s="77" t="b" cm="1">
        <f t="array" ref="P1386">INDEX(stable[is_single_select],MATCH(VALUE(questions[[#This Row],[qno]]),VALUE(stable[qno]),0))</f>
        <v>1</v>
      </c>
      <c r="Q1386" s="77" t="b" cm="1">
        <f t="array" ref="Q1386">INDEX(stable[is_multi_select],MATCH(VALUE(questions[[#This Row],[qno]]),VALUE(stable[qno]),0))</f>
        <v>0</v>
      </c>
      <c r="R1386" s="77" t="b" cm="1">
        <f t="array" ref="R1386">INDEX(stable[is_skip_logic],MATCH(VALUE(questions[[#This Row],[qno]]),VALUE(stable[qno]),0))</f>
        <v>0</v>
      </c>
      <c r="S1386" s="77" t="str">
        <f>_xlfn.TEXTJOIN(", ",TRUE,questions[[#This Row],[ans_opt_1]:[ans_opt_14]])</f>
        <v>All or nearly all - 80-100%, More than half of it  - 60-80%, About half of it - 40-60%, Less than half of it - 20-40%, A small amount - 0-20%</v>
      </c>
      <c r="T1386" s="77" t="s">
        <v>305</v>
      </c>
      <c r="U1386" s="77" t="s">
        <v>306</v>
      </c>
      <c r="V1386" s="77" t="s">
        <v>307</v>
      </c>
      <c r="W1386" s="77" t="s">
        <v>308</v>
      </c>
      <c r="X1386" s="77" t="s">
        <v>309</v>
      </c>
      <c r="AH1386" s="98" t="b">
        <f>INDEX(stable[q_standard],MATCH(questions[[#This Row],[qno]],stable[qno],0))</f>
        <v>0</v>
      </c>
      <c r="AI1386" s="98" t="b">
        <f>INDEX(stable[q_living_income],MATCH(questions[[#This Row],[qno]],stable[qno],0))</f>
        <v>1</v>
      </c>
      <c r="AJ1386" s="98" t="b">
        <f>INDEX(stable[q_carbon],MATCH(questions[[#This Row],[qno]],stable[qno],0))</f>
        <v>0</v>
      </c>
      <c r="AK1386" s="98" t="b">
        <f>INDEX(stable[q_regen_ag],MATCH(questions[[#This Row],[qno]],stable[qno],0))</f>
        <v>0</v>
      </c>
      <c r="AL1386" s="98" t="b">
        <f>COUNTIFS(stable[qno],questions[[#This Row],[qno]])=1</f>
        <v>1</v>
      </c>
      <c r="AM1386" s="98" t="b">
        <f>OR(questions[[#This Row],[is_fixed]],questions[[#This Row],[is_localized]],questions[[#This Row],[is_supply_chain_dependent]])</f>
        <v>1</v>
      </c>
      <c r="AN1386" s="98" t="b">
        <f>COUNTIFS(questions[[#This Row],[is_automated]:[is_multi_select]],TRUE)=1</f>
        <v>1</v>
      </c>
      <c r="AO1386" s="98" t="b">
        <f>IF(questions[[#This Row],[is_fixed]],questions[[#This Row],[question]]=INDEX(stable[question],MATCH(questions[[#This Row],[qno]],stable[qno],0)),TRUE)</f>
        <v>1</v>
      </c>
      <c r="AP1386" s="98" t="str">
        <f>LEFT(questions[[#This Row],[question]],similarity_range)</f>
        <v>Pension, what was th</v>
      </c>
      <c r="AQ1386" s="98" t="str">
        <f>LEFT(INDEX(stable[question],MATCH(questions[[#This Row],[qno]],stable[qno],0)),similarity_range)</f>
        <v>Pension, what was th</v>
      </c>
      <c r="AR1386" s="98" t="b">
        <f>questions[[#This Row],[question_first_characters]]=questions[[#This Row],[stability_first_characters]]</f>
        <v>1</v>
      </c>
      <c r="AS1386" s="98" t="b">
        <f>IF(OR(questions[[#This Row],[is_single_select]],questions[[#This Row],[is_multi_select]]),NOT(ISBLANK(questions[[#This Row],[answer_opt_combined]])),TRUE)</f>
        <v>1</v>
      </c>
    </row>
    <row r="1387" spans="1:45" s="77" customFormat="1" ht="15.75" customHeight="1" x14ac:dyDescent="0.25">
      <c r="A1387" s="77" t="str">
        <f>_xlfn.TEXTJOIN("_",TRUE,questions[[#This Row],[origin]:[qno]])</f>
        <v>Rwanda_Arabica_Nestle_Illy_IMPACT_2025_6518</v>
      </c>
      <c r="B1387" s="77" t="s">
        <v>719</v>
      </c>
      <c r="C1387" s="77" t="s">
        <v>59</v>
      </c>
      <c r="D1387" s="77" t="s">
        <v>720</v>
      </c>
      <c r="E1387" s="77">
        <v>2025</v>
      </c>
      <c r="F1387" s="105" t="s">
        <v>324</v>
      </c>
      <c r="G1387" s="78" t="s">
        <v>325</v>
      </c>
      <c r="H1387" s="9" t="str" cm="1">
        <f t="array" ref="H1387">INDEX(stableR[question],MATCH(VALUE(questions[[#This Row],[qno]]),VALUE(stableR[qno]),0))</f>
        <v>Remittances, what was the estimated importance?</v>
      </c>
      <c r="I1387" s="9" t="b" cm="1">
        <f t="array" ref="I1387">INDEX(stable[is_fixed],MATCH(VALUE(questions[[#This Row],[qno]]),VALUE(stable[qno]),0))</f>
        <v>1</v>
      </c>
      <c r="J1387" s="9" t="b" cm="1">
        <f t="array" ref="J1387">INDEX(stable[is_localized],MATCH(VALUE(questions[[#This Row],[qno]]),VALUE(stable[qno]),0))</f>
        <v>0</v>
      </c>
      <c r="K1387" s="9" t="b" cm="1">
        <f t="array" ref="K1387">INDEX(stable[is_supply_chain_dependent],MATCH(VALUE(questions[[#This Row],[qno]]),VALUE(stable[qno]),0))</f>
        <v>0</v>
      </c>
      <c r="L1387" s="9" t="b" cm="1">
        <f t="array" ref="L1387">INDEX(stable[is_mandatory],MATCH(VALUE(questions[[#This Row],[qno]]),VALUE(stable[qno]),0))</f>
        <v>0</v>
      </c>
      <c r="M1387" s="9" t="b" cm="1">
        <f t="array" ref="M1387">INDEX(stable[is_automated],MATCH(VALUE(questions[[#This Row],[qno]]),VALUE(stable[qno]),0))</f>
        <v>0</v>
      </c>
      <c r="N1387" s="9" t="b" cm="1">
        <f t="array" ref="N1387">INDEX(stable[is_free_text],MATCH(VALUE(questions[[#This Row],[qno]]),VALUE(stable[qno]),0))</f>
        <v>0</v>
      </c>
      <c r="O1387" s="9" t="b" cm="1">
        <f t="array" ref="O1387">INDEX(stable[is_numerical],MATCH(VALUE(questions[[#This Row],[qno]]),VALUE(stable[qno]),0))</f>
        <v>0</v>
      </c>
      <c r="P1387" s="77" t="b" cm="1">
        <f t="array" ref="P1387">INDEX(stable[is_single_select],MATCH(VALUE(questions[[#This Row],[qno]]),VALUE(stable[qno]),0))</f>
        <v>1</v>
      </c>
      <c r="Q1387" s="77" t="b" cm="1">
        <f t="array" ref="Q1387">INDEX(stable[is_multi_select],MATCH(VALUE(questions[[#This Row],[qno]]),VALUE(stable[qno]),0))</f>
        <v>0</v>
      </c>
      <c r="R1387" s="77" t="b" cm="1">
        <f t="array" ref="R1387">INDEX(stable[is_skip_logic],MATCH(VALUE(questions[[#This Row],[qno]]),VALUE(stable[qno]),0))</f>
        <v>0</v>
      </c>
      <c r="S1387" s="77" t="str">
        <f>_xlfn.TEXTJOIN(", ",TRUE,questions[[#This Row],[ans_opt_1]:[ans_opt_14]])</f>
        <v>All or nearly all - 80-100%, More than half of it  - 60-80%, About half of it - 40-60%, Less than half of it - 20-40%, A small amount - 0-20%</v>
      </c>
      <c r="T1387" s="77" t="s">
        <v>305</v>
      </c>
      <c r="U1387" s="77" t="s">
        <v>306</v>
      </c>
      <c r="V1387" s="77" t="s">
        <v>307</v>
      </c>
      <c r="W1387" s="77" t="s">
        <v>308</v>
      </c>
      <c r="X1387" s="77" t="s">
        <v>309</v>
      </c>
      <c r="AH1387" s="98" t="b">
        <f>INDEX(stable[q_standard],MATCH(questions[[#This Row],[qno]],stable[qno],0))</f>
        <v>0</v>
      </c>
      <c r="AI1387" s="98" t="b">
        <f>INDEX(stable[q_living_income],MATCH(questions[[#This Row],[qno]],stable[qno],0))</f>
        <v>1</v>
      </c>
      <c r="AJ1387" s="98" t="b">
        <f>INDEX(stable[q_carbon],MATCH(questions[[#This Row],[qno]],stable[qno],0))</f>
        <v>0</v>
      </c>
      <c r="AK1387" s="98" t="b">
        <f>INDEX(stable[q_regen_ag],MATCH(questions[[#This Row],[qno]],stable[qno],0))</f>
        <v>0</v>
      </c>
      <c r="AL1387" s="98" t="b">
        <f>COUNTIFS(stable[qno],questions[[#This Row],[qno]])=1</f>
        <v>1</v>
      </c>
      <c r="AM1387" s="98" t="b">
        <f>OR(questions[[#This Row],[is_fixed]],questions[[#This Row],[is_localized]],questions[[#This Row],[is_supply_chain_dependent]])</f>
        <v>1</v>
      </c>
      <c r="AN1387" s="98" t="b">
        <f>COUNTIFS(questions[[#This Row],[is_automated]:[is_multi_select]],TRUE)=1</f>
        <v>1</v>
      </c>
      <c r="AO1387" s="98" t="b">
        <f>IF(questions[[#This Row],[is_fixed]],questions[[#This Row],[question]]=INDEX(stable[question],MATCH(questions[[#This Row],[qno]],stable[qno],0)),TRUE)</f>
        <v>1</v>
      </c>
      <c r="AP1387" s="98" t="str">
        <f>LEFT(questions[[#This Row],[question]],similarity_range)</f>
        <v>Remittances, what wa</v>
      </c>
      <c r="AQ1387" s="98" t="str">
        <f>LEFT(INDEX(stable[question],MATCH(questions[[#This Row],[qno]],stable[qno],0)),similarity_range)</f>
        <v>Remittances, what wa</v>
      </c>
      <c r="AR1387" s="98" t="b">
        <f>questions[[#This Row],[question_first_characters]]=questions[[#This Row],[stability_first_characters]]</f>
        <v>1</v>
      </c>
      <c r="AS1387" s="98" t="b">
        <f>IF(OR(questions[[#This Row],[is_single_select]],questions[[#This Row],[is_multi_select]]),NOT(ISBLANK(questions[[#This Row],[answer_opt_combined]])),TRUE)</f>
        <v>1</v>
      </c>
    </row>
    <row r="1388" spans="1:45" s="77" customFormat="1" ht="15.75" customHeight="1" x14ac:dyDescent="0.25">
      <c r="A1388" s="77" t="str">
        <f>_xlfn.TEXTJOIN("_",TRUE,questions[[#This Row],[origin]:[qno]])</f>
        <v>Rwanda_Arabica_Nestle_Illy_IMPACT_2025_7000</v>
      </c>
      <c r="B1388" s="77" t="s">
        <v>719</v>
      </c>
      <c r="C1388" s="77" t="s">
        <v>59</v>
      </c>
      <c r="D1388" s="77" t="s">
        <v>720</v>
      </c>
      <c r="E1388" s="77">
        <v>2025</v>
      </c>
      <c r="F1388" s="105" t="s">
        <v>326</v>
      </c>
      <c r="G1388" s="78" t="s">
        <v>792</v>
      </c>
      <c r="H1388" s="9" t="str" cm="1">
        <f t="array" ref="H1388">INDEX(stableR[question],MATCH(VALUE(questions[[#This Row],[qno]]),VALUE(stableR[qno]),0))</f>
        <v>Have you received any training on Regenartive Agriculture principles and practices in last 1-2 years? For instance on mulching, cover crops, manure or fertiliser application, stumping, integrated pest management, etc.</v>
      </c>
      <c r="I1388" s="9" t="b" cm="1">
        <f t="array" ref="I1388">INDEX(stable[is_fixed],MATCH(VALUE(questions[[#This Row],[qno]]),VALUE(stable[qno]),0))</f>
        <v>1</v>
      </c>
      <c r="J1388" s="9" t="b" cm="1">
        <f t="array" ref="J1388">INDEX(stable[is_localized],MATCH(VALUE(questions[[#This Row],[qno]]),VALUE(stable[qno]),0))</f>
        <v>0</v>
      </c>
      <c r="K1388" s="9" t="b" cm="1">
        <f t="array" ref="K1388">INDEX(stable[is_supply_chain_dependent],MATCH(VALUE(questions[[#This Row],[qno]]),VALUE(stable[qno]),0))</f>
        <v>0</v>
      </c>
      <c r="L1388" s="9" t="b" cm="1">
        <f t="array" ref="L1388">INDEX(stable[is_mandatory],MATCH(VALUE(questions[[#This Row],[qno]]),VALUE(stable[qno]),0))</f>
        <v>1</v>
      </c>
      <c r="M1388" s="9" t="b" cm="1">
        <f t="array" ref="M1388">INDEX(stable[is_automated],MATCH(VALUE(questions[[#This Row],[qno]]),VALUE(stable[qno]),0))</f>
        <v>0</v>
      </c>
      <c r="N1388" s="9" t="b" cm="1">
        <f t="array" ref="N1388">INDEX(stable[is_free_text],MATCH(VALUE(questions[[#This Row],[qno]]),VALUE(stable[qno]),0))</f>
        <v>0</v>
      </c>
      <c r="O1388" s="9" t="b" cm="1">
        <f t="array" ref="O1388">INDEX(stable[is_numerical],MATCH(VALUE(questions[[#This Row],[qno]]),VALUE(stable[qno]),0))</f>
        <v>0</v>
      </c>
      <c r="P1388" s="77" t="b" cm="1">
        <f t="array" ref="P1388">INDEX(stable[is_single_select],MATCH(VALUE(questions[[#This Row],[qno]]),VALUE(stable[qno]),0))</f>
        <v>1</v>
      </c>
      <c r="Q1388" s="77" t="b" cm="1">
        <f t="array" ref="Q1388">INDEX(stable[is_multi_select],MATCH(VALUE(questions[[#This Row],[qno]]),VALUE(stable[qno]),0))</f>
        <v>0</v>
      </c>
      <c r="R1388" s="77" t="b" cm="1">
        <f t="array" ref="R1388">INDEX(stable[is_skip_logic],MATCH(VALUE(questions[[#This Row],[qno]]),VALUE(stable[qno]),0))</f>
        <v>1</v>
      </c>
      <c r="S1388" s="77" t="str">
        <f>_xlfn.TEXTJOIN(", ",TRUE,questions[[#This Row],[ans_opt_1]:[ans_opt_14]])</f>
        <v>Yes, No</v>
      </c>
      <c r="T1388" s="77" t="s">
        <v>149</v>
      </c>
      <c r="U1388" s="77" t="s">
        <v>119</v>
      </c>
      <c r="AH1388" s="98" t="b">
        <f>INDEX(stable[q_standard],MATCH(questions[[#This Row],[qno]],stable[qno],0))</f>
        <v>0</v>
      </c>
      <c r="AI1388" s="98" t="b">
        <f>INDEX(stable[q_living_income],MATCH(questions[[#This Row],[qno]],stable[qno],0))</f>
        <v>0</v>
      </c>
      <c r="AJ1388" s="98" t="b">
        <f>INDEX(stable[q_carbon],MATCH(questions[[#This Row],[qno]],stable[qno],0))</f>
        <v>0</v>
      </c>
      <c r="AK1388" s="98" t="b">
        <f>INDEX(stable[q_regen_ag],MATCH(questions[[#This Row],[qno]],stable[qno],0))</f>
        <v>1</v>
      </c>
      <c r="AL1388" s="98" t="b">
        <f>COUNTIFS(stable[qno],questions[[#This Row],[qno]])=1</f>
        <v>1</v>
      </c>
      <c r="AM1388" s="98" t="b">
        <f>OR(questions[[#This Row],[is_fixed]],questions[[#This Row],[is_localized]],questions[[#This Row],[is_supply_chain_dependent]])</f>
        <v>1</v>
      </c>
      <c r="AN1388" s="98" t="b">
        <f>COUNTIFS(questions[[#This Row],[is_automated]:[is_multi_select]],TRUE)=1</f>
        <v>1</v>
      </c>
      <c r="AO1388" s="98" t="b">
        <f>IF(questions[[#This Row],[is_fixed]],questions[[#This Row],[question]]=INDEX(stable[question],MATCH(questions[[#This Row],[qno]],stable[qno],0)),TRUE)</f>
        <v>0</v>
      </c>
      <c r="AP1388" s="98" t="str">
        <f>LEFT(questions[[#This Row],[question]],similarity_range)</f>
        <v>Have you received an</v>
      </c>
      <c r="AQ1388" s="98" t="str">
        <f>LEFT(INDEX(stable[question],MATCH(questions[[#This Row],[qno]],stable[qno],0)),similarity_range)</f>
        <v>Have you received an</v>
      </c>
      <c r="AR1388" s="98" t="b">
        <f>questions[[#This Row],[question_first_characters]]=questions[[#This Row],[stability_first_characters]]</f>
        <v>1</v>
      </c>
      <c r="AS1388" s="98" t="b">
        <f>IF(OR(questions[[#This Row],[is_single_select]],questions[[#This Row],[is_multi_select]]),NOT(ISBLANK(questions[[#This Row],[answer_opt_combined]])),TRUE)</f>
        <v>1</v>
      </c>
    </row>
    <row r="1389" spans="1:45" s="77" customFormat="1" ht="15.75" customHeight="1" x14ac:dyDescent="0.25">
      <c r="A1389" s="77" t="str">
        <f>_xlfn.TEXTJOIN("_",TRUE,questions[[#This Row],[origin]:[qno]])</f>
        <v>Rwanda_Arabica_Nestle_Illy_IMPACT_2025_7001</v>
      </c>
      <c r="B1389" s="77" t="s">
        <v>719</v>
      </c>
      <c r="C1389" s="77" t="s">
        <v>59</v>
      </c>
      <c r="D1389" s="77" t="s">
        <v>720</v>
      </c>
      <c r="E1389" s="77">
        <v>2025</v>
      </c>
      <c r="F1389" s="105" t="s">
        <v>328</v>
      </c>
      <c r="G1389" s="78" t="s">
        <v>329</v>
      </c>
      <c r="H1389" s="9" t="str" cm="1">
        <f t="array" ref="H1389">INDEX(stableR[question],MATCH(VALUE(questions[[#This Row],[qno]]),VALUE(stableR[qno]),0))</f>
        <v>If NO formal training received, are you aware of Regen Ag. and can explain its basics principles and main practices?</v>
      </c>
      <c r="I1389" s="9" t="b" cm="1">
        <f t="array" ref="I1389">INDEX(stable[is_fixed],MATCH(VALUE(questions[[#This Row],[qno]]),VALUE(stable[qno]),0))</f>
        <v>1</v>
      </c>
      <c r="J1389" s="9" t="b" cm="1">
        <f t="array" ref="J1389">INDEX(stable[is_localized],MATCH(VALUE(questions[[#This Row],[qno]]),VALUE(stable[qno]),0))</f>
        <v>0</v>
      </c>
      <c r="K1389" s="9" t="b" cm="1">
        <f t="array" ref="K1389">INDEX(stable[is_supply_chain_dependent],MATCH(VALUE(questions[[#This Row],[qno]]),VALUE(stable[qno]),0))</f>
        <v>0</v>
      </c>
      <c r="L1389" s="9" t="b" cm="1">
        <f t="array" ref="L1389">INDEX(stable[is_mandatory],MATCH(VALUE(questions[[#This Row],[qno]]),VALUE(stable[qno]),0))</f>
        <v>0</v>
      </c>
      <c r="M1389" s="9" t="b" cm="1">
        <f t="array" ref="M1389">INDEX(stable[is_automated],MATCH(VALUE(questions[[#This Row],[qno]]),VALUE(stable[qno]),0))</f>
        <v>0</v>
      </c>
      <c r="N1389" s="9" t="b" cm="1">
        <f t="array" ref="N1389">INDEX(stable[is_free_text],MATCH(VALUE(questions[[#This Row],[qno]]),VALUE(stable[qno]),0))</f>
        <v>0</v>
      </c>
      <c r="O1389" s="9" t="b" cm="1">
        <f t="array" ref="O1389">INDEX(stable[is_numerical],MATCH(VALUE(questions[[#This Row],[qno]]),VALUE(stable[qno]),0))</f>
        <v>0</v>
      </c>
      <c r="P1389" s="77" t="b" cm="1">
        <f t="array" ref="P1389">INDEX(stable[is_single_select],MATCH(VALUE(questions[[#This Row],[qno]]),VALUE(stable[qno]),0))</f>
        <v>1</v>
      </c>
      <c r="Q1389" s="77" t="b" cm="1">
        <f t="array" ref="Q1389">INDEX(stable[is_multi_select],MATCH(VALUE(questions[[#This Row],[qno]]),VALUE(stable[qno]),0))</f>
        <v>0</v>
      </c>
      <c r="R1389" s="77" t="b" cm="1">
        <f t="array" ref="R1389">INDEX(stable[is_skip_logic],MATCH(VALUE(questions[[#This Row],[qno]]),VALUE(stable[qno]),0))</f>
        <v>1</v>
      </c>
      <c r="S1389" s="77" t="str">
        <f>_xlfn.TEXTJOIN(", ",TRUE,questions[[#This Row],[ans_opt_1]:[ans_opt_14]])</f>
        <v>Yes, No</v>
      </c>
      <c r="T1389" s="77" t="s">
        <v>149</v>
      </c>
      <c r="U1389" s="77" t="s">
        <v>119</v>
      </c>
      <c r="AH1389" s="98" t="b">
        <f>INDEX(stable[q_standard],MATCH(questions[[#This Row],[qno]],stable[qno],0))</f>
        <v>0</v>
      </c>
      <c r="AI1389" s="98" t="b">
        <f>INDEX(stable[q_living_income],MATCH(questions[[#This Row],[qno]],stable[qno],0))</f>
        <v>0</v>
      </c>
      <c r="AJ1389" s="98" t="b">
        <f>INDEX(stable[q_carbon],MATCH(questions[[#This Row],[qno]],stable[qno],0))</f>
        <v>0</v>
      </c>
      <c r="AK1389" s="98" t="b">
        <f>INDEX(stable[q_regen_ag],MATCH(questions[[#This Row],[qno]],stable[qno],0))</f>
        <v>1</v>
      </c>
      <c r="AL1389" s="98" t="b">
        <f>COUNTIFS(stable[qno],questions[[#This Row],[qno]])=1</f>
        <v>1</v>
      </c>
      <c r="AM1389" s="98" t="b">
        <f>OR(questions[[#This Row],[is_fixed]],questions[[#This Row],[is_localized]],questions[[#This Row],[is_supply_chain_dependent]])</f>
        <v>1</v>
      </c>
      <c r="AN1389" s="98" t="b">
        <f>COUNTIFS(questions[[#This Row],[is_automated]:[is_multi_select]],TRUE)=1</f>
        <v>1</v>
      </c>
      <c r="AO1389" s="98" t="b">
        <f>IF(questions[[#This Row],[is_fixed]],questions[[#This Row],[question]]=INDEX(stable[question],MATCH(questions[[#This Row],[qno]],stable[qno],0)),TRUE)</f>
        <v>1</v>
      </c>
      <c r="AP1389" s="98" t="str">
        <f>LEFT(questions[[#This Row],[question]],similarity_range)</f>
        <v>If NO formal trainin</v>
      </c>
      <c r="AQ1389" s="98" t="str">
        <f>LEFT(INDEX(stable[question],MATCH(questions[[#This Row],[qno]],stable[qno],0)),similarity_range)</f>
        <v>If NO formal trainin</v>
      </c>
      <c r="AR1389" s="98" t="b">
        <f>questions[[#This Row],[question_first_characters]]=questions[[#This Row],[stability_first_characters]]</f>
        <v>1</v>
      </c>
      <c r="AS1389" s="98" t="b">
        <f>IF(OR(questions[[#This Row],[is_single_select]],questions[[#This Row],[is_multi_select]]),NOT(ISBLANK(questions[[#This Row],[answer_opt_combined]])),TRUE)</f>
        <v>1</v>
      </c>
    </row>
    <row r="1390" spans="1:45" s="77" customFormat="1" ht="15.75" customHeight="1" x14ac:dyDescent="0.25">
      <c r="A1390" s="77" t="str">
        <f>_xlfn.TEXTJOIN("_",TRUE,questions[[#This Row],[origin]:[qno]])</f>
        <v>Rwanda_Arabica_Nestle_Illy_IMPACT_2025_7100</v>
      </c>
      <c r="B1390" s="77" t="s">
        <v>719</v>
      </c>
      <c r="C1390" s="77" t="s">
        <v>59</v>
      </c>
      <c r="D1390" s="77" t="s">
        <v>720</v>
      </c>
      <c r="E1390" s="77">
        <v>2025</v>
      </c>
      <c r="F1390" s="105" t="s">
        <v>330</v>
      </c>
      <c r="G1390" s="78" t="s">
        <v>331</v>
      </c>
      <c r="H1390" s="9" t="str" cm="1">
        <f t="array" ref="H1390">INDEX(stableR[question],MATCH(VALUE(questions[[#This Row],[qno]]),VALUE(stableR[qno]),0))</f>
        <v>Do you implement mulching and/or cover crops-plants (e.g. beans, peanuts/groundnuts, brachiaria, desmodium…) in your coffee plots? If the answer is NO, you do not need to answer the next 2 questions</v>
      </c>
      <c r="I1390" s="9" t="b" cm="1">
        <f t="array" ref="I1390">INDEX(stable[is_fixed],MATCH(VALUE(questions[[#This Row],[qno]]),VALUE(stable[qno]),0))</f>
        <v>1</v>
      </c>
      <c r="J1390" s="9" t="b" cm="1">
        <f t="array" ref="J1390">INDEX(stable[is_localized],MATCH(VALUE(questions[[#This Row],[qno]]),VALUE(stable[qno]),0))</f>
        <v>0</v>
      </c>
      <c r="K1390" s="9" t="b" cm="1">
        <f t="array" ref="K1390">INDEX(stable[is_supply_chain_dependent],MATCH(VALUE(questions[[#This Row],[qno]]),VALUE(stable[qno]),0))</f>
        <v>0</v>
      </c>
      <c r="L1390" s="9" t="b" cm="1">
        <f t="array" ref="L1390">INDEX(stable[is_mandatory],MATCH(VALUE(questions[[#This Row],[qno]]),VALUE(stable[qno]),0))</f>
        <v>1</v>
      </c>
      <c r="M1390" s="9" t="b" cm="1">
        <f t="array" ref="M1390">INDEX(stable[is_automated],MATCH(VALUE(questions[[#This Row],[qno]]),VALUE(stable[qno]),0))</f>
        <v>0</v>
      </c>
      <c r="N1390" s="9" t="b" cm="1">
        <f t="array" ref="N1390">INDEX(stable[is_free_text],MATCH(VALUE(questions[[#This Row],[qno]]),VALUE(stable[qno]),0))</f>
        <v>0</v>
      </c>
      <c r="O1390" s="9" t="b" cm="1">
        <f t="array" ref="O1390">INDEX(stable[is_numerical],MATCH(VALUE(questions[[#This Row],[qno]]),VALUE(stable[qno]),0))</f>
        <v>0</v>
      </c>
      <c r="P1390" s="77" t="b" cm="1">
        <f t="array" ref="P1390">INDEX(stable[is_single_select],MATCH(VALUE(questions[[#This Row],[qno]]),VALUE(stable[qno]),0))</f>
        <v>1</v>
      </c>
      <c r="Q1390" s="77" t="b" cm="1">
        <f t="array" ref="Q1390">INDEX(stable[is_multi_select],MATCH(VALUE(questions[[#This Row],[qno]]),VALUE(stable[qno]),0))</f>
        <v>0</v>
      </c>
      <c r="R1390" s="77" t="b" cm="1">
        <f t="array" ref="R1390">INDEX(stable[is_skip_logic],MATCH(VALUE(questions[[#This Row],[qno]]),VALUE(stable[qno]),0))</f>
        <v>1</v>
      </c>
      <c r="S1390" s="77" t="str">
        <f>_xlfn.TEXTJOIN(", ",TRUE,questions[[#This Row],[ans_opt_1]:[ans_opt_14]])</f>
        <v>No, Yes-Crop residues mulching, Yes-Other mulching, Yes-Cover crops, Yes-Cover crops &amp; Mulching</v>
      </c>
      <c r="T1390" s="77" t="s">
        <v>119</v>
      </c>
      <c r="U1390" s="77" t="s">
        <v>332</v>
      </c>
      <c r="V1390" s="77" t="s">
        <v>333</v>
      </c>
      <c r="W1390" s="77" t="s">
        <v>334</v>
      </c>
      <c r="X1390" s="77" t="s">
        <v>335</v>
      </c>
      <c r="AH1390" s="98" t="b">
        <f>INDEX(stable[q_standard],MATCH(questions[[#This Row],[qno]],stable[qno],0))</f>
        <v>0</v>
      </c>
      <c r="AI1390" s="98" t="b">
        <f>INDEX(stable[q_living_income],MATCH(questions[[#This Row],[qno]],stable[qno],0))</f>
        <v>0</v>
      </c>
      <c r="AJ1390" s="98" t="b">
        <f>INDEX(stable[q_carbon],MATCH(questions[[#This Row],[qno]],stable[qno],0))</f>
        <v>0</v>
      </c>
      <c r="AK1390" s="98" t="b">
        <f>INDEX(stable[q_regen_ag],MATCH(questions[[#This Row],[qno]],stable[qno],0))</f>
        <v>1</v>
      </c>
      <c r="AL1390" s="98" t="b">
        <f>COUNTIFS(stable[qno],questions[[#This Row],[qno]])=1</f>
        <v>1</v>
      </c>
      <c r="AM1390" s="98" t="b">
        <f>OR(questions[[#This Row],[is_fixed]],questions[[#This Row],[is_localized]],questions[[#This Row],[is_supply_chain_dependent]])</f>
        <v>1</v>
      </c>
      <c r="AN1390" s="98" t="b">
        <f>COUNTIFS(questions[[#This Row],[is_automated]:[is_multi_select]],TRUE)=1</f>
        <v>1</v>
      </c>
      <c r="AO1390" s="98" t="b">
        <f>IF(questions[[#This Row],[is_fixed]],questions[[#This Row],[question]]=INDEX(stable[question],MATCH(questions[[#This Row],[qno]],stable[qno],0)),TRUE)</f>
        <v>1</v>
      </c>
      <c r="AP1390" s="98" t="str">
        <f>LEFT(questions[[#This Row],[question]],similarity_range)</f>
        <v>Do you implement mul</v>
      </c>
      <c r="AQ1390" s="98" t="str">
        <f>LEFT(INDEX(stable[question],MATCH(questions[[#This Row],[qno]],stable[qno],0)),similarity_range)</f>
        <v>Do you implement mul</v>
      </c>
      <c r="AR1390" s="98" t="b">
        <f>questions[[#This Row],[question_first_characters]]=questions[[#This Row],[stability_first_characters]]</f>
        <v>1</v>
      </c>
      <c r="AS1390" s="98" t="b">
        <f>IF(OR(questions[[#This Row],[is_single_select]],questions[[#This Row],[is_multi_select]]),NOT(ISBLANK(questions[[#This Row],[answer_opt_combined]])),TRUE)</f>
        <v>1</v>
      </c>
    </row>
    <row r="1391" spans="1:45" s="77" customFormat="1" ht="15.75" customHeight="1" x14ac:dyDescent="0.25">
      <c r="A1391" s="77" t="str">
        <f>_xlfn.TEXTJOIN("_",TRUE,questions[[#This Row],[origin]:[qno]])</f>
        <v>Rwanda_Arabica_Nestle_Illy_IMPACT_2025_7101</v>
      </c>
      <c r="B1391" s="77" t="s">
        <v>719</v>
      </c>
      <c r="C1391" s="77" t="s">
        <v>59</v>
      </c>
      <c r="D1391" s="77" t="s">
        <v>720</v>
      </c>
      <c r="E1391" s="77">
        <v>2025</v>
      </c>
      <c r="F1391" s="105" t="s">
        <v>336</v>
      </c>
      <c r="G1391" s="78" t="s">
        <v>337</v>
      </c>
      <c r="H1391" s="9" t="str" cm="1">
        <f t="array" ref="H1391">INDEX(stableR[question],MATCH(VALUE(questions[[#This Row],[qno]]),VALUE(stableR[qno]),0))</f>
        <v>If so, what is the % or proportion of your coffee plots using mulching and/or cover crops?</v>
      </c>
      <c r="I1391" s="9" t="b" cm="1">
        <f t="array" ref="I1391">INDEX(stable[is_fixed],MATCH(VALUE(questions[[#This Row],[qno]]),VALUE(stable[qno]),0))</f>
        <v>1</v>
      </c>
      <c r="J1391" s="9" t="b" cm="1">
        <f t="array" ref="J1391">INDEX(stable[is_localized],MATCH(VALUE(questions[[#This Row],[qno]]),VALUE(stable[qno]),0))</f>
        <v>0</v>
      </c>
      <c r="K1391" s="9" t="b" cm="1">
        <f t="array" ref="K1391">INDEX(stable[is_supply_chain_dependent],MATCH(VALUE(questions[[#This Row],[qno]]),VALUE(stable[qno]),0))</f>
        <v>0</v>
      </c>
      <c r="L1391" s="9" t="b" cm="1">
        <f t="array" ref="L1391">INDEX(stable[is_mandatory],MATCH(VALUE(questions[[#This Row],[qno]]),VALUE(stable[qno]),0))</f>
        <v>0</v>
      </c>
      <c r="M1391" s="9" t="b" cm="1">
        <f t="array" ref="M1391">INDEX(stable[is_automated],MATCH(VALUE(questions[[#This Row],[qno]]),VALUE(stable[qno]),0))</f>
        <v>0</v>
      </c>
      <c r="N1391" s="9" t="b" cm="1">
        <f t="array" ref="N1391">INDEX(stable[is_free_text],MATCH(VALUE(questions[[#This Row],[qno]]),VALUE(stable[qno]),0))</f>
        <v>0</v>
      </c>
      <c r="O1391" s="9" t="b" cm="1">
        <f t="array" ref="O1391">INDEX(stable[is_numerical],MATCH(VALUE(questions[[#This Row],[qno]]),VALUE(stable[qno]),0))</f>
        <v>0</v>
      </c>
      <c r="P1391" s="77" t="b" cm="1">
        <f t="array" ref="P1391">INDEX(stable[is_single_select],MATCH(VALUE(questions[[#This Row],[qno]]),VALUE(stable[qno]),0))</f>
        <v>1</v>
      </c>
      <c r="Q1391" s="77" t="b" cm="1">
        <f t="array" ref="Q1391">INDEX(stable[is_multi_select],MATCH(VALUE(questions[[#This Row],[qno]]),VALUE(stable[qno]),0))</f>
        <v>0</v>
      </c>
      <c r="R1391" s="77" t="b" cm="1">
        <f t="array" ref="R1391">INDEX(stable[is_skip_logic],MATCH(VALUE(questions[[#This Row],[qno]]),VALUE(stable[qno]),0))</f>
        <v>1</v>
      </c>
      <c r="S1391" s="77" t="str">
        <f>_xlfn.TEXTJOIN(", ",TRUE,questions[[#This Row],[ans_opt_1]:[ans_opt_14]])</f>
        <v>1% to 25% - little to a quarter, 26% to 50% - less than half, 51% to 75% - more than half, 76% to 100% - almost all</v>
      </c>
      <c r="T1391" s="77" t="s">
        <v>338</v>
      </c>
      <c r="U1391" s="77" t="s">
        <v>339</v>
      </c>
      <c r="V1391" s="77" t="s">
        <v>340</v>
      </c>
      <c r="W1391" s="77" t="s">
        <v>341</v>
      </c>
      <c r="AH1391" s="98" t="b">
        <f>INDEX(stable[q_standard],MATCH(questions[[#This Row],[qno]],stable[qno],0))</f>
        <v>0</v>
      </c>
      <c r="AI1391" s="98" t="b">
        <f>INDEX(stable[q_living_income],MATCH(questions[[#This Row],[qno]],stable[qno],0))</f>
        <v>0</v>
      </c>
      <c r="AJ1391" s="98" t="b">
        <f>INDEX(stable[q_carbon],MATCH(questions[[#This Row],[qno]],stable[qno],0))</f>
        <v>0</v>
      </c>
      <c r="AK1391" s="98" t="b">
        <f>INDEX(stable[q_regen_ag],MATCH(questions[[#This Row],[qno]],stable[qno],0))</f>
        <v>1</v>
      </c>
      <c r="AL1391" s="98" t="b">
        <f>COUNTIFS(stable[qno],questions[[#This Row],[qno]])=1</f>
        <v>1</v>
      </c>
      <c r="AM1391" s="98" t="b">
        <f>OR(questions[[#This Row],[is_fixed]],questions[[#This Row],[is_localized]],questions[[#This Row],[is_supply_chain_dependent]])</f>
        <v>1</v>
      </c>
      <c r="AN1391" s="98" t="b">
        <f>COUNTIFS(questions[[#This Row],[is_automated]:[is_multi_select]],TRUE)=1</f>
        <v>1</v>
      </c>
      <c r="AO1391" s="98" t="b">
        <f>IF(questions[[#This Row],[is_fixed]],questions[[#This Row],[question]]=INDEX(stable[question],MATCH(questions[[#This Row],[qno]],stable[qno],0)),TRUE)</f>
        <v>1</v>
      </c>
      <c r="AP1391" s="98" t="str">
        <f>LEFT(questions[[#This Row],[question]],similarity_range)</f>
        <v>If so, what is the %</v>
      </c>
      <c r="AQ1391" s="98" t="str">
        <f>LEFT(INDEX(stable[question],MATCH(questions[[#This Row],[qno]],stable[qno],0)),similarity_range)</f>
        <v>If so, what is the %</v>
      </c>
      <c r="AR1391" s="98" t="b">
        <f>questions[[#This Row],[question_first_characters]]=questions[[#This Row],[stability_first_characters]]</f>
        <v>1</v>
      </c>
      <c r="AS1391" s="98" t="b">
        <f>IF(OR(questions[[#This Row],[is_single_select]],questions[[#This Row],[is_multi_select]]),NOT(ISBLANK(questions[[#This Row],[answer_opt_combined]])),TRUE)</f>
        <v>1</v>
      </c>
    </row>
    <row r="1392" spans="1:45" s="77" customFormat="1" ht="15.75" customHeight="1" x14ac:dyDescent="0.25">
      <c r="A1392" s="77" t="str">
        <f>_xlfn.TEXTJOIN("_",TRUE,questions[[#This Row],[origin]:[qno]])</f>
        <v>Rwanda_Arabica_Nestle_Illy_IMPACT_2025_7102</v>
      </c>
      <c r="B1392" s="77" t="s">
        <v>719</v>
      </c>
      <c r="C1392" s="77" t="s">
        <v>59</v>
      </c>
      <c r="D1392" s="77" t="s">
        <v>720</v>
      </c>
      <c r="E1392" s="77">
        <v>2025</v>
      </c>
      <c r="F1392" s="105" t="s">
        <v>342</v>
      </c>
      <c r="G1392" s="78" t="s">
        <v>343</v>
      </c>
      <c r="H1392" s="9" t="str" cm="1">
        <f t="array" ref="H1392">INDEX(stableR[question],MATCH(VALUE(questions[[#This Row],[qno]]),VALUE(stableR[qno]),0))</f>
        <v>And for how many months per year?</v>
      </c>
      <c r="I1392" s="9" t="b" cm="1">
        <f t="array" ref="I1392">INDEX(stable[is_fixed],MATCH(VALUE(questions[[#This Row],[qno]]),VALUE(stable[qno]),0))</f>
        <v>1</v>
      </c>
      <c r="J1392" s="9" t="b" cm="1">
        <f t="array" ref="J1392">INDEX(stable[is_localized],MATCH(VALUE(questions[[#This Row],[qno]]),VALUE(stable[qno]),0))</f>
        <v>0</v>
      </c>
      <c r="K1392" s="9" t="b" cm="1">
        <f t="array" ref="K1392">INDEX(stable[is_supply_chain_dependent],MATCH(VALUE(questions[[#This Row],[qno]]),VALUE(stable[qno]),0))</f>
        <v>0</v>
      </c>
      <c r="L1392" s="9" t="b" cm="1">
        <f t="array" ref="L1392">INDEX(stable[is_mandatory],MATCH(VALUE(questions[[#This Row],[qno]]),VALUE(stable[qno]),0))</f>
        <v>0</v>
      </c>
      <c r="M1392" s="9" t="b" cm="1">
        <f t="array" ref="M1392">INDEX(stable[is_automated],MATCH(VALUE(questions[[#This Row],[qno]]),VALUE(stable[qno]),0))</f>
        <v>0</v>
      </c>
      <c r="N1392" s="9" t="b" cm="1">
        <f t="array" ref="N1392">INDEX(stable[is_free_text],MATCH(VALUE(questions[[#This Row],[qno]]),VALUE(stable[qno]),0))</f>
        <v>0</v>
      </c>
      <c r="O1392" s="9" t="b" cm="1">
        <f t="array" ref="O1392">INDEX(stable[is_numerical],MATCH(VALUE(questions[[#This Row],[qno]]),VALUE(stable[qno]),0))</f>
        <v>0</v>
      </c>
      <c r="P1392" s="77" t="b" cm="1">
        <f t="array" ref="P1392">INDEX(stable[is_single_select],MATCH(VALUE(questions[[#This Row],[qno]]),VALUE(stable[qno]),0))</f>
        <v>1</v>
      </c>
      <c r="Q1392" s="77" t="b" cm="1">
        <f t="array" ref="Q1392">INDEX(stable[is_multi_select],MATCH(VALUE(questions[[#This Row],[qno]]),VALUE(stable[qno]),0))</f>
        <v>0</v>
      </c>
      <c r="R1392" s="77" t="b" cm="1">
        <f t="array" ref="R1392">INDEX(stable[is_skip_logic],MATCH(VALUE(questions[[#This Row],[qno]]),VALUE(stable[qno]),0))</f>
        <v>1</v>
      </c>
      <c r="S1392" s="77" t="str">
        <f>_xlfn.TEXTJOIN(", ",TRUE,questions[[#This Row],[ans_opt_1]:[ans_opt_14]])</f>
        <v>&lt;6 months, 6-8 months, &gt;8 months</v>
      </c>
      <c r="T1392" s="77" t="s">
        <v>344</v>
      </c>
      <c r="U1392" s="77" t="s">
        <v>345</v>
      </c>
      <c r="V1392" s="77" t="s">
        <v>346</v>
      </c>
      <c r="AH1392" s="98" t="b">
        <f>INDEX(stable[q_standard],MATCH(questions[[#This Row],[qno]],stable[qno],0))</f>
        <v>0</v>
      </c>
      <c r="AI1392" s="98" t="b">
        <f>INDEX(stable[q_living_income],MATCH(questions[[#This Row],[qno]],stable[qno],0))</f>
        <v>0</v>
      </c>
      <c r="AJ1392" s="98" t="b">
        <f>INDEX(stable[q_carbon],MATCH(questions[[#This Row],[qno]],stable[qno],0))</f>
        <v>0</v>
      </c>
      <c r="AK1392" s="98" t="b">
        <f>INDEX(stable[q_regen_ag],MATCH(questions[[#This Row],[qno]],stable[qno],0))</f>
        <v>1</v>
      </c>
      <c r="AL1392" s="98" t="b">
        <f>COUNTIFS(stable[qno],questions[[#This Row],[qno]])=1</f>
        <v>1</v>
      </c>
      <c r="AM1392" s="98" t="b">
        <f>OR(questions[[#This Row],[is_fixed]],questions[[#This Row],[is_localized]],questions[[#This Row],[is_supply_chain_dependent]])</f>
        <v>1</v>
      </c>
      <c r="AN1392" s="98" t="b">
        <f>COUNTIFS(questions[[#This Row],[is_automated]:[is_multi_select]],TRUE)=1</f>
        <v>1</v>
      </c>
      <c r="AO1392" s="98" t="b">
        <f>IF(questions[[#This Row],[is_fixed]],questions[[#This Row],[question]]=INDEX(stable[question],MATCH(questions[[#This Row],[qno]],stable[qno],0)),TRUE)</f>
        <v>0</v>
      </c>
      <c r="AP1392" s="98" t="str">
        <f>LEFT(questions[[#This Row],[question]],similarity_range)</f>
        <v>And for how many mon</v>
      </c>
      <c r="AQ1392" s="98" t="str">
        <f>LEFT(INDEX(stable[question],MATCH(questions[[#This Row],[qno]],stable[qno],0)),similarity_range)</f>
        <v>And for how many mon</v>
      </c>
      <c r="AR1392" s="98" t="b">
        <f>questions[[#This Row],[question_first_characters]]=questions[[#This Row],[stability_first_characters]]</f>
        <v>1</v>
      </c>
      <c r="AS1392" s="98" t="b">
        <f>IF(OR(questions[[#This Row],[is_single_select]],questions[[#This Row],[is_multi_select]]),NOT(ISBLANK(questions[[#This Row],[answer_opt_combined]])),TRUE)</f>
        <v>1</v>
      </c>
    </row>
    <row r="1393" spans="1:45" s="77" customFormat="1" ht="15.75" customHeight="1" x14ac:dyDescent="0.25">
      <c r="A1393" s="77" t="str">
        <f>_xlfn.TEXTJOIN("_",TRUE,questions[[#This Row],[origin]:[qno]])</f>
        <v>Rwanda_Arabica_Nestle_Illy_IMPACT_2025_7113</v>
      </c>
      <c r="B1393" s="77" t="s">
        <v>719</v>
      </c>
      <c r="C1393" s="77" t="s">
        <v>59</v>
      </c>
      <c r="D1393" s="77" t="s">
        <v>720</v>
      </c>
      <c r="E1393" s="77">
        <v>2025</v>
      </c>
      <c r="F1393" s="105" t="s">
        <v>347</v>
      </c>
      <c r="G1393" s="78" t="s">
        <v>793</v>
      </c>
      <c r="H1393" s="9" t="str" cm="1">
        <f t="array" ref="H1393">INDEX(stableR[question],MATCH(VALUE(questions[[#This Row],[qno]]),VALUE(stableR[qno]),0))</f>
        <v>Does any area of your coffee plots have significative risk of water and/or wind erosion due to heavy rain or irrigation, terrain slope, strong winds during dry periods…? If the answer is NO, you do not need to answer the next 2 questions</v>
      </c>
      <c r="I1393" s="9" t="b" cm="1">
        <f t="array" ref="I1393">INDEX(stable[is_fixed],MATCH(VALUE(questions[[#This Row],[qno]]),VALUE(stable[qno]),0))</f>
        <v>1</v>
      </c>
      <c r="J1393" s="9" t="b" cm="1">
        <f t="array" ref="J1393">INDEX(stable[is_localized],MATCH(VALUE(questions[[#This Row],[qno]]),VALUE(stable[qno]),0))</f>
        <v>0</v>
      </c>
      <c r="K1393" s="9" t="b" cm="1">
        <f t="array" ref="K1393">INDEX(stable[is_supply_chain_dependent],MATCH(VALUE(questions[[#This Row],[qno]]),VALUE(stable[qno]),0))</f>
        <v>0</v>
      </c>
      <c r="L1393" s="9" t="b" cm="1">
        <f t="array" ref="L1393">INDEX(stable[is_mandatory],MATCH(VALUE(questions[[#This Row],[qno]]),VALUE(stable[qno]),0))</f>
        <v>1</v>
      </c>
      <c r="M1393" s="9" t="b" cm="1">
        <f t="array" ref="M1393">INDEX(stable[is_automated],MATCH(VALUE(questions[[#This Row],[qno]]),VALUE(stable[qno]),0))</f>
        <v>0</v>
      </c>
      <c r="N1393" s="9" t="b" cm="1">
        <f t="array" ref="N1393">INDEX(stable[is_free_text],MATCH(VALUE(questions[[#This Row],[qno]]),VALUE(stable[qno]),0))</f>
        <v>0</v>
      </c>
      <c r="O1393" s="9" t="b" cm="1">
        <f t="array" ref="O1393">INDEX(stable[is_numerical],MATCH(VALUE(questions[[#This Row],[qno]]),VALUE(stable[qno]),0))</f>
        <v>0</v>
      </c>
      <c r="P1393" s="77" t="b" cm="1">
        <f t="array" ref="P1393">INDEX(stable[is_single_select],MATCH(VALUE(questions[[#This Row],[qno]]),VALUE(stable[qno]),0))</f>
        <v>1</v>
      </c>
      <c r="Q1393" s="77" t="b" cm="1">
        <f t="array" ref="Q1393">INDEX(stable[is_multi_select],MATCH(VALUE(questions[[#This Row],[qno]]),VALUE(stable[qno]),0))</f>
        <v>0</v>
      </c>
      <c r="R1393" s="77" t="b" cm="1">
        <f t="array" ref="R1393">INDEX(stable[is_skip_logic],MATCH(VALUE(questions[[#This Row],[qno]]),VALUE(stable[qno]),0))</f>
        <v>1</v>
      </c>
      <c r="S1393" s="77" t="str">
        <f>_xlfn.TEXTJOIN(", ",TRUE,questions[[#This Row],[ans_opt_1]:[ans_opt_14]])</f>
        <v>Yes, No</v>
      </c>
      <c r="T1393" s="77" t="s">
        <v>149</v>
      </c>
      <c r="U1393" s="77" t="s">
        <v>119</v>
      </c>
      <c r="AH1393" s="98" t="b">
        <f>INDEX(stable[q_standard],MATCH(questions[[#This Row],[qno]],stable[qno],0))</f>
        <v>0</v>
      </c>
      <c r="AI1393" s="98" t="b">
        <f>INDEX(stable[q_living_income],MATCH(questions[[#This Row],[qno]],stable[qno],0))</f>
        <v>0</v>
      </c>
      <c r="AJ1393" s="98" t="b">
        <f>INDEX(stable[q_carbon],MATCH(questions[[#This Row],[qno]],stable[qno],0))</f>
        <v>0</v>
      </c>
      <c r="AK1393" s="98" t="b">
        <f>INDEX(stable[q_regen_ag],MATCH(questions[[#This Row],[qno]],stable[qno],0))</f>
        <v>1</v>
      </c>
      <c r="AL1393" s="98" t="b">
        <f>COUNTIFS(stable[qno],questions[[#This Row],[qno]])=1</f>
        <v>1</v>
      </c>
      <c r="AM1393" s="98" t="b">
        <f>OR(questions[[#This Row],[is_fixed]],questions[[#This Row],[is_localized]],questions[[#This Row],[is_supply_chain_dependent]])</f>
        <v>1</v>
      </c>
      <c r="AN1393" s="98" t="b">
        <f>COUNTIFS(questions[[#This Row],[is_automated]:[is_multi_select]],TRUE)=1</f>
        <v>1</v>
      </c>
      <c r="AO1393" s="98" t="b">
        <f>IF(questions[[#This Row],[is_fixed]],questions[[#This Row],[question]]=INDEX(stable[question],MATCH(questions[[#This Row],[qno]],stable[qno],0)),TRUE)</f>
        <v>0</v>
      </c>
      <c r="AP1393" s="98" t="str">
        <f>LEFT(questions[[#This Row],[question]],similarity_range)</f>
        <v>Does any area of you</v>
      </c>
      <c r="AQ1393" s="98" t="str">
        <f>LEFT(INDEX(stable[question],MATCH(questions[[#This Row],[qno]],stable[qno],0)),similarity_range)</f>
        <v>Does any area of you</v>
      </c>
      <c r="AR1393" s="98" t="b">
        <f>questions[[#This Row],[question_first_characters]]=questions[[#This Row],[stability_first_characters]]</f>
        <v>1</v>
      </c>
      <c r="AS1393" s="98" t="b">
        <f>IF(OR(questions[[#This Row],[is_single_select]],questions[[#This Row],[is_multi_select]]),NOT(ISBLANK(questions[[#This Row],[answer_opt_combined]])),TRUE)</f>
        <v>1</v>
      </c>
    </row>
    <row r="1394" spans="1:45" s="77" customFormat="1" ht="15.75" customHeight="1" x14ac:dyDescent="0.25">
      <c r="A1394" s="77" t="str">
        <f>_xlfn.TEXTJOIN("_",TRUE,questions[[#This Row],[origin]:[qno]])</f>
        <v>Rwanda_Arabica_Nestle_Illy_IMPACT_2025_7114</v>
      </c>
      <c r="B1394" s="77" t="s">
        <v>719</v>
      </c>
      <c r="C1394" s="77" t="s">
        <v>59</v>
      </c>
      <c r="D1394" s="77" t="s">
        <v>720</v>
      </c>
      <c r="E1394" s="77">
        <v>2025</v>
      </c>
      <c r="F1394" s="105" t="s">
        <v>349</v>
      </c>
      <c r="G1394" s="78" t="s">
        <v>794</v>
      </c>
      <c r="H1394" s="9" t="str" cm="1">
        <f t="array" ref="H1394">INDEX(stableR[question],MATCH(VALUE(questions[[#This Row],[qno]]),VALUE(stableR[qno]),0))</f>
        <v xml:space="preserve">If there is erosion risk, do you implement anti-erosion measures/control (e.g. trenches, terracing, windbreaks, soil coverage/mulching, bunds, contour planting…)? </v>
      </c>
      <c r="I1394" s="9" t="b" cm="1">
        <f t="array" ref="I1394">INDEX(stable[is_fixed],MATCH(VALUE(questions[[#This Row],[qno]]),VALUE(stable[qno]),0))</f>
        <v>1</v>
      </c>
      <c r="J1394" s="9" t="b" cm="1">
        <f t="array" ref="J1394">INDEX(stable[is_localized],MATCH(VALUE(questions[[#This Row],[qno]]),VALUE(stable[qno]),0))</f>
        <v>0</v>
      </c>
      <c r="K1394" s="9" t="b" cm="1">
        <f t="array" ref="K1394">INDEX(stable[is_supply_chain_dependent],MATCH(VALUE(questions[[#This Row],[qno]]),VALUE(stable[qno]),0))</f>
        <v>0</v>
      </c>
      <c r="L1394" s="9" t="b" cm="1">
        <f t="array" ref="L1394">INDEX(stable[is_mandatory],MATCH(VALUE(questions[[#This Row],[qno]]),VALUE(stable[qno]),0))</f>
        <v>0</v>
      </c>
      <c r="M1394" s="9" t="b" cm="1">
        <f t="array" ref="M1394">INDEX(stable[is_automated],MATCH(VALUE(questions[[#This Row],[qno]]),VALUE(stable[qno]),0))</f>
        <v>0</v>
      </c>
      <c r="N1394" s="9" t="b" cm="1">
        <f t="array" ref="N1394">INDEX(stable[is_free_text],MATCH(VALUE(questions[[#This Row],[qno]]),VALUE(stable[qno]),0))</f>
        <v>0</v>
      </c>
      <c r="O1394" s="9" t="b" cm="1">
        <f t="array" ref="O1394">INDEX(stable[is_numerical],MATCH(VALUE(questions[[#This Row],[qno]]),VALUE(stable[qno]),0))</f>
        <v>0</v>
      </c>
      <c r="P1394" s="77" t="b" cm="1">
        <f t="array" ref="P1394">INDEX(stable[is_single_select],MATCH(VALUE(questions[[#This Row],[qno]]),VALUE(stable[qno]),0))</f>
        <v>1</v>
      </c>
      <c r="Q1394" s="77" t="b" cm="1">
        <f t="array" ref="Q1394">INDEX(stable[is_multi_select],MATCH(VALUE(questions[[#This Row],[qno]]),VALUE(stable[qno]),0))</f>
        <v>0</v>
      </c>
      <c r="R1394" s="77" t="b" cm="1">
        <f t="array" ref="R1394">INDEX(stable[is_skip_logic],MATCH(VALUE(questions[[#This Row],[qno]]),VALUE(stable[qno]),0))</f>
        <v>1</v>
      </c>
      <c r="S1394" s="77" t="str">
        <f>_xlfn.TEXTJOIN(", ",TRUE,questions[[#This Row],[ans_opt_1]:[ans_opt_14]])</f>
        <v>No, Yes-Terracing, Yes-Trenches, Yes-Windbreaks, Yes-Mulching, Yes-Cover Crops, Yes-Water dykes, Yes-Contour Planting, Yes-A combination of previous practices, Yes-Other practices</v>
      </c>
      <c r="T1394" s="77" t="s">
        <v>119</v>
      </c>
      <c r="U1394" s="77" t="s">
        <v>351</v>
      </c>
      <c r="V1394" s="77" t="s">
        <v>352</v>
      </c>
      <c r="W1394" s="77" t="s">
        <v>353</v>
      </c>
      <c r="X1394" s="77" t="s">
        <v>354</v>
      </c>
      <c r="Y1394" s="77" t="s">
        <v>355</v>
      </c>
      <c r="Z1394" s="77" t="s">
        <v>356</v>
      </c>
      <c r="AA1394" s="77" t="s">
        <v>357</v>
      </c>
      <c r="AB1394" s="77" t="s">
        <v>358</v>
      </c>
      <c r="AC1394" s="77" t="s">
        <v>359</v>
      </c>
      <c r="AH1394" s="98" t="b">
        <f>INDEX(stable[q_standard],MATCH(questions[[#This Row],[qno]],stable[qno],0))</f>
        <v>0</v>
      </c>
      <c r="AI1394" s="98" t="b">
        <f>INDEX(stable[q_living_income],MATCH(questions[[#This Row],[qno]],stable[qno],0))</f>
        <v>0</v>
      </c>
      <c r="AJ1394" s="98" t="b">
        <f>INDEX(stable[q_carbon],MATCH(questions[[#This Row],[qno]],stable[qno],0))</f>
        <v>0</v>
      </c>
      <c r="AK1394" s="98" t="b">
        <f>INDEX(stable[q_regen_ag],MATCH(questions[[#This Row],[qno]],stable[qno],0))</f>
        <v>1</v>
      </c>
      <c r="AL1394" s="98" t="b">
        <f>COUNTIFS(stable[qno],questions[[#This Row],[qno]])=1</f>
        <v>1</v>
      </c>
      <c r="AM1394" s="98" t="b">
        <f>OR(questions[[#This Row],[is_fixed]],questions[[#This Row],[is_localized]],questions[[#This Row],[is_supply_chain_dependent]])</f>
        <v>1</v>
      </c>
      <c r="AN1394" s="98" t="b">
        <f>COUNTIFS(questions[[#This Row],[is_automated]:[is_multi_select]],TRUE)=1</f>
        <v>1</v>
      </c>
      <c r="AO1394" s="98" t="b">
        <f>IF(questions[[#This Row],[is_fixed]],questions[[#This Row],[question]]=INDEX(stable[question],MATCH(questions[[#This Row],[qno]],stable[qno],0)),TRUE)</f>
        <v>0</v>
      </c>
      <c r="AP1394" s="98" t="str">
        <f>LEFT(questions[[#This Row],[question]],similarity_range)</f>
        <v xml:space="preserve">If there is erosion </v>
      </c>
      <c r="AQ1394" s="98" t="str">
        <f>LEFT(INDEX(stable[question],MATCH(questions[[#This Row],[qno]],stable[qno],0)),similarity_range)</f>
        <v xml:space="preserve">If there is erosion </v>
      </c>
      <c r="AR1394" s="98" t="b">
        <f>questions[[#This Row],[question_first_characters]]=questions[[#This Row],[stability_first_characters]]</f>
        <v>1</v>
      </c>
      <c r="AS1394" s="98" t="b">
        <f>IF(OR(questions[[#This Row],[is_single_select]],questions[[#This Row],[is_multi_select]]),NOT(ISBLANK(questions[[#This Row],[answer_opt_combined]])),TRUE)</f>
        <v>1</v>
      </c>
    </row>
    <row r="1395" spans="1:45" s="77" customFormat="1" ht="15.75" customHeight="1" x14ac:dyDescent="0.25">
      <c r="A1395" s="77" t="str">
        <f>_xlfn.TEXTJOIN("_",TRUE,questions[[#This Row],[origin]:[qno]])</f>
        <v>Rwanda_Arabica_Nestle_Illy_IMPACT_2025_7115</v>
      </c>
      <c r="B1395" s="77" t="s">
        <v>719</v>
      </c>
      <c r="C1395" s="77" t="s">
        <v>59</v>
      </c>
      <c r="D1395" s="77" t="s">
        <v>720</v>
      </c>
      <c r="E1395" s="77">
        <v>2025</v>
      </c>
      <c r="F1395" s="105" t="s">
        <v>360</v>
      </c>
      <c r="G1395" s="78" t="s">
        <v>361</v>
      </c>
      <c r="H1395" s="9" t="str" cm="1">
        <f t="array" ref="H1395">INDEX(stableR[question],MATCH(VALUE(questions[[#This Row],[qno]]),VALUE(stableR[qno]),0))</f>
        <v>Of the area of your coffee plots with risk of erosion, can you estimate the % or proportion of that area to which you apply anti-erosion measures/control?</v>
      </c>
      <c r="I1395" s="9" t="b" cm="1">
        <f t="array" ref="I1395">INDEX(stable[is_fixed],MATCH(VALUE(questions[[#This Row],[qno]]),VALUE(stable[qno]),0))</f>
        <v>1</v>
      </c>
      <c r="J1395" s="9" t="b" cm="1">
        <f t="array" ref="J1395">INDEX(stable[is_localized],MATCH(VALUE(questions[[#This Row],[qno]]),VALUE(stable[qno]),0))</f>
        <v>0</v>
      </c>
      <c r="K1395" s="9" t="b" cm="1">
        <f t="array" ref="K1395">INDEX(stable[is_supply_chain_dependent],MATCH(VALUE(questions[[#This Row],[qno]]),VALUE(stable[qno]),0))</f>
        <v>0</v>
      </c>
      <c r="L1395" s="9" t="b" cm="1">
        <f t="array" ref="L1395">INDEX(stable[is_mandatory],MATCH(VALUE(questions[[#This Row],[qno]]),VALUE(stable[qno]),0))</f>
        <v>0</v>
      </c>
      <c r="M1395" s="9" t="b" cm="1">
        <f t="array" ref="M1395">INDEX(stable[is_automated],MATCH(VALUE(questions[[#This Row],[qno]]),VALUE(stable[qno]),0))</f>
        <v>0</v>
      </c>
      <c r="N1395" s="9" t="b" cm="1">
        <f t="array" ref="N1395">INDEX(stable[is_free_text],MATCH(VALUE(questions[[#This Row],[qno]]),VALUE(stable[qno]),0))</f>
        <v>0</v>
      </c>
      <c r="O1395" s="9" t="b" cm="1">
        <f t="array" ref="O1395">INDEX(stable[is_numerical],MATCH(VALUE(questions[[#This Row],[qno]]),VALUE(stable[qno]),0))</f>
        <v>0</v>
      </c>
      <c r="P1395" s="77" t="b" cm="1">
        <f t="array" ref="P1395">INDEX(stable[is_single_select],MATCH(VALUE(questions[[#This Row],[qno]]),VALUE(stable[qno]),0))</f>
        <v>1</v>
      </c>
      <c r="Q1395" s="77" t="b" cm="1">
        <f t="array" ref="Q1395">INDEX(stable[is_multi_select],MATCH(VALUE(questions[[#This Row],[qno]]),VALUE(stable[qno]),0))</f>
        <v>0</v>
      </c>
      <c r="R1395" s="77" t="b" cm="1">
        <f t="array" ref="R1395">INDEX(stable[is_skip_logic],MATCH(VALUE(questions[[#This Row],[qno]]),VALUE(stable[qno]),0))</f>
        <v>1</v>
      </c>
      <c r="S1395" s="77" t="str">
        <f>_xlfn.TEXTJOIN(", ",TRUE,questions[[#This Row],[ans_opt_1]:[ans_opt_14]])</f>
        <v>0% - none, 1% to 25% - little to a quarter, 26% to 50% - less than half, 51% to 75% - more than half, 76% to 100% - almost all</v>
      </c>
      <c r="T1395" s="77" t="s">
        <v>362</v>
      </c>
      <c r="U1395" s="77" t="s">
        <v>338</v>
      </c>
      <c r="V1395" s="77" t="s">
        <v>339</v>
      </c>
      <c r="W1395" s="77" t="s">
        <v>340</v>
      </c>
      <c r="X1395" s="77" t="s">
        <v>341</v>
      </c>
      <c r="AH1395" s="98" t="b">
        <f>INDEX(stable[q_standard],MATCH(questions[[#This Row],[qno]],stable[qno],0))</f>
        <v>0</v>
      </c>
      <c r="AI1395" s="98" t="b">
        <f>INDEX(stable[q_living_income],MATCH(questions[[#This Row],[qno]],stable[qno],0))</f>
        <v>0</v>
      </c>
      <c r="AJ1395" s="98" t="b">
        <f>INDEX(stable[q_carbon],MATCH(questions[[#This Row],[qno]],stable[qno],0))</f>
        <v>0</v>
      </c>
      <c r="AK1395" s="98" t="b">
        <f>INDEX(stable[q_regen_ag],MATCH(questions[[#This Row],[qno]],stable[qno],0))</f>
        <v>1</v>
      </c>
      <c r="AL1395" s="98" t="b">
        <f>COUNTIFS(stable[qno],questions[[#This Row],[qno]])=1</f>
        <v>1</v>
      </c>
      <c r="AM1395" s="98" t="b">
        <f>OR(questions[[#This Row],[is_fixed]],questions[[#This Row],[is_localized]],questions[[#This Row],[is_supply_chain_dependent]])</f>
        <v>1</v>
      </c>
      <c r="AN1395" s="98" t="b">
        <f>COUNTIFS(questions[[#This Row],[is_automated]:[is_multi_select]],TRUE)=1</f>
        <v>1</v>
      </c>
      <c r="AO1395" s="98" t="b">
        <f>IF(questions[[#This Row],[is_fixed]],questions[[#This Row],[question]]=INDEX(stable[question],MATCH(questions[[#This Row],[qno]],stable[qno],0)),TRUE)</f>
        <v>1</v>
      </c>
      <c r="AP1395" s="98" t="str">
        <f>LEFT(questions[[#This Row],[question]],similarity_range)</f>
        <v xml:space="preserve">Of the area of your </v>
      </c>
      <c r="AQ1395" s="98" t="str">
        <f>LEFT(INDEX(stable[question],MATCH(questions[[#This Row],[qno]],stable[qno],0)),similarity_range)</f>
        <v xml:space="preserve">Of the area of your </v>
      </c>
      <c r="AR1395" s="98" t="b">
        <f>questions[[#This Row],[question_first_characters]]=questions[[#This Row],[stability_first_characters]]</f>
        <v>1</v>
      </c>
      <c r="AS1395" s="98" t="b">
        <f>IF(OR(questions[[#This Row],[is_single_select]],questions[[#This Row],[is_multi_select]]),NOT(ISBLANK(questions[[#This Row],[answer_opt_combined]])),TRUE)</f>
        <v>1</v>
      </c>
    </row>
    <row r="1396" spans="1:45" s="77" customFormat="1" ht="15.75" customHeight="1" x14ac:dyDescent="0.25">
      <c r="A1396" s="77" t="str">
        <f>_xlfn.TEXTJOIN("_",TRUE,questions[[#This Row],[origin]:[qno]])</f>
        <v>Rwanda_Arabica_Nestle_Illy_IMPACT_2025_7126</v>
      </c>
      <c r="B1396" s="77" t="s">
        <v>719</v>
      </c>
      <c r="C1396" s="77" t="s">
        <v>59</v>
      </c>
      <c r="D1396" s="77" t="s">
        <v>720</v>
      </c>
      <c r="E1396" s="77">
        <v>2025</v>
      </c>
      <c r="F1396" s="105" t="s">
        <v>363</v>
      </c>
      <c r="G1396" s="78" t="s">
        <v>795</v>
      </c>
      <c r="H1396" s="9" t="str" cm="1">
        <f t="array" ref="H1396">INDEX(stableR[question],MATCH(VALUE(questions[[#This Row],[qno]]),VALUE(stableR[qno]),0))</f>
        <v>Do you take soil samples and carry out soil analysis of your coffee plots and how often?</v>
      </c>
      <c r="I1396" s="9" t="b" cm="1">
        <f t="array" ref="I1396">INDEX(stable[is_fixed],MATCH(VALUE(questions[[#This Row],[qno]]),VALUE(stable[qno]),0))</f>
        <v>1</v>
      </c>
      <c r="J1396" s="9" t="b" cm="1">
        <f t="array" ref="J1396">INDEX(stable[is_localized],MATCH(VALUE(questions[[#This Row],[qno]]),VALUE(stable[qno]),0))</f>
        <v>0</v>
      </c>
      <c r="K1396" s="9" t="b" cm="1">
        <f t="array" ref="K1396">INDEX(stable[is_supply_chain_dependent],MATCH(VALUE(questions[[#This Row],[qno]]),VALUE(stable[qno]),0))</f>
        <v>0</v>
      </c>
      <c r="L1396" s="9" t="b" cm="1">
        <f t="array" ref="L1396">INDEX(stable[is_mandatory],MATCH(VALUE(questions[[#This Row],[qno]]),VALUE(stable[qno]),0))</f>
        <v>1</v>
      </c>
      <c r="M1396" s="9" t="b" cm="1">
        <f t="array" ref="M1396">INDEX(stable[is_automated],MATCH(VALUE(questions[[#This Row],[qno]]),VALUE(stable[qno]),0))</f>
        <v>0</v>
      </c>
      <c r="N1396" s="9" t="b" cm="1">
        <f t="array" ref="N1396">INDEX(stable[is_free_text],MATCH(VALUE(questions[[#This Row],[qno]]),VALUE(stable[qno]),0))</f>
        <v>0</v>
      </c>
      <c r="O1396" s="9" t="b" cm="1">
        <f t="array" ref="O1396">INDEX(stable[is_numerical],MATCH(VALUE(questions[[#This Row],[qno]]),VALUE(stable[qno]),0))</f>
        <v>0</v>
      </c>
      <c r="P1396" s="77" t="b" cm="1">
        <f t="array" ref="P1396">INDEX(stable[is_single_select],MATCH(VALUE(questions[[#This Row],[qno]]),VALUE(stable[qno]),0))</f>
        <v>1</v>
      </c>
      <c r="Q1396" s="77" t="b" cm="1">
        <f t="array" ref="Q1396">INDEX(stable[is_multi_select],MATCH(VALUE(questions[[#This Row],[qno]]),VALUE(stable[qno]),0))</f>
        <v>0</v>
      </c>
      <c r="R1396" s="77" t="b" cm="1">
        <f t="array" ref="R1396">INDEX(stable[is_skip_logic],MATCH(VALUE(questions[[#This Row],[qno]]),VALUE(stable[qno]),0))</f>
        <v>1</v>
      </c>
      <c r="S1396" s="77" t="str">
        <f>_xlfn.TEXTJOIN(", ",TRUE,questions[[#This Row],[ans_opt_1]:[ans_opt_14]])</f>
        <v>No, Yes-every year, Yes-every 2 years, Yes-every 3 years, Yes-every &gt; 3 years</v>
      </c>
      <c r="T1396" s="77" t="s">
        <v>119</v>
      </c>
      <c r="U1396" s="77" t="s">
        <v>365</v>
      </c>
      <c r="V1396" s="77" t="s">
        <v>366</v>
      </c>
      <c r="W1396" s="77" t="s">
        <v>367</v>
      </c>
      <c r="X1396" s="77" t="s">
        <v>368</v>
      </c>
      <c r="AH1396" s="98" t="b">
        <f>INDEX(stable[q_standard],MATCH(questions[[#This Row],[qno]],stable[qno],0))</f>
        <v>0</v>
      </c>
      <c r="AI1396" s="98" t="b">
        <f>INDEX(stable[q_living_income],MATCH(questions[[#This Row],[qno]],stable[qno],0))</f>
        <v>0</v>
      </c>
      <c r="AJ1396" s="98" t="b">
        <f>INDEX(stable[q_carbon],MATCH(questions[[#This Row],[qno]],stable[qno],0))</f>
        <v>0</v>
      </c>
      <c r="AK1396" s="98" t="b">
        <f>INDEX(stable[q_regen_ag],MATCH(questions[[#This Row],[qno]],stable[qno],0))</f>
        <v>1</v>
      </c>
      <c r="AL1396" s="98" t="b">
        <f>COUNTIFS(stable[qno],questions[[#This Row],[qno]])=1</f>
        <v>1</v>
      </c>
      <c r="AM1396" s="98" t="b">
        <f>OR(questions[[#This Row],[is_fixed]],questions[[#This Row],[is_localized]],questions[[#This Row],[is_supply_chain_dependent]])</f>
        <v>1</v>
      </c>
      <c r="AN1396" s="98" t="b">
        <f>COUNTIFS(questions[[#This Row],[is_automated]:[is_multi_select]],TRUE)=1</f>
        <v>1</v>
      </c>
      <c r="AO1396" s="98" t="b">
        <f>IF(questions[[#This Row],[is_fixed]],questions[[#This Row],[question]]=INDEX(stable[question],MATCH(questions[[#This Row],[qno]],stable[qno],0)),TRUE)</f>
        <v>0</v>
      </c>
      <c r="AP1396" s="98" t="str">
        <f>LEFT(questions[[#This Row],[question]],similarity_range)</f>
        <v>Do you or someone el</v>
      </c>
      <c r="AQ1396" s="98" t="str">
        <f>LEFT(INDEX(stable[question],MATCH(questions[[#This Row],[qno]],stable[qno],0)),similarity_range)</f>
        <v>Do you take soil sam</v>
      </c>
      <c r="AR1396" s="98" t="b">
        <f>questions[[#This Row],[question_first_characters]]=questions[[#This Row],[stability_first_characters]]</f>
        <v>0</v>
      </c>
      <c r="AS1396" s="98" t="b">
        <f>IF(OR(questions[[#This Row],[is_single_select]],questions[[#This Row],[is_multi_select]]),NOT(ISBLANK(questions[[#This Row],[answer_opt_combined]])),TRUE)</f>
        <v>1</v>
      </c>
    </row>
    <row r="1397" spans="1:45" s="77" customFormat="1" ht="15.75" customHeight="1" x14ac:dyDescent="0.25">
      <c r="A1397" s="77" t="str">
        <f>_xlfn.TEXTJOIN("_",TRUE,questions[[#This Row],[origin]:[qno]])</f>
        <v>Rwanda_Arabica_Nestle_Illy_IMPACT_2025_7127</v>
      </c>
      <c r="B1397" s="77" t="s">
        <v>719</v>
      </c>
      <c r="C1397" s="77" t="s">
        <v>59</v>
      </c>
      <c r="D1397" s="77" t="s">
        <v>720</v>
      </c>
      <c r="E1397" s="77">
        <v>2025</v>
      </c>
      <c r="F1397" s="105" t="s">
        <v>369</v>
      </c>
      <c r="G1397" s="78" t="s">
        <v>370</v>
      </c>
      <c r="H1397" s="9" t="str" cm="1">
        <f t="array" ref="H1397">INDEX(stableR[question],MATCH(VALUE(questions[[#This Row],[qno]]),VALUE(stableR[qno]),0))</f>
        <v>If you don´t or last analysis is older than 3 years ago, do you know the basic characteristics of the soil of your coffee plots (e.g. pH-acidity, texture-light/medium/heavy, organic matter-high/good/poor, general fertility-good/average/poor...)?</v>
      </c>
      <c r="I1397" s="9" t="b" cm="1">
        <f t="array" ref="I1397">INDEX(stable[is_fixed],MATCH(VALUE(questions[[#This Row],[qno]]),VALUE(stable[qno]),0))</f>
        <v>1</v>
      </c>
      <c r="J1397" s="9" t="b" cm="1">
        <f t="array" ref="J1397">INDEX(stable[is_localized],MATCH(VALUE(questions[[#This Row],[qno]]),VALUE(stable[qno]),0))</f>
        <v>0</v>
      </c>
      <c r="K1397" s="9" t="b" cm="1">
        <f t="array" ref="K1397">INDEX(stable[is_supply_chain_dependent],MATCH(VALUE(questions[[#This Row],[qno]]),VALUE(stable[qno]),0))</f>
        <v>0</v>
      </c>
      <c r="L1397" s="9" t="b" cm="1">
        <f t="array" ref="L1397">INDEX(stable[is_mandatory],MATCH(VALUE(questions[[#This Row],[qno]]),VALUE(stable[qno]),0))</f>
        <v>0</v>
      </c>
      <c r="M1397" s="9" t="b" cm="1">
        <f t="array" ref="M1397">INDEX(stable[is_automated],MATCH(VALUE(questions[[#This Row],[qno]]),VALUE(stable[qno]),0))</f>
        <v>0</v>
      </c>
      <c r="N1397" s="9" t="b" cm="1">
        <f t="array" ref="N1397">INDEX(stable[is_free_text],MATCH(VALUE(questions[[#This Row],[qno]]),VALUE(stable[qno]),0))</f>
        <v>0</v>
      </c>
      <c r="O1397" s="9" t="b" cm="1">
        <f t="array" ref="O1397">INDEX(stable[is_numerical],MATCH(VALUE(questions[[#This Row],[qno]]),VALUE(stable[qno]),0))</f>
        <v>0</v>
      </c>
      <c r="P1397" s="77" t="b" cm="1">
        <f t="array" ref="P1397">INDEX(stable[is_single_select],MATCH(VALUE(questions[[#This Row],[qno]]),VALUE(stable[qno]),0))</f>
        <v>1</v>
      </c>
      <c r="Q1397" s="77" t="b" cm="1">
        <f t="array" ref="Q1397">INDEX(stable[is_multi_select],MATCH(VALUE(questions[[#This Row],[qno]]),VALUE(stable[qno]),0))</f>
        <v>0</v>
      </c>
      <c r="R1397" s="77" t="b" cm="1">
        <f t="array" ref="R1397">INDEX(stable[is_skip_logic],MATCH(VALUE(questions[[#This Row],[qno]]),VALUE(stable[qno]),0))</f>
        <v>1</v>
      </c>
      <c r="S1397" s="77" t="str">
        <f>_xlfn.TEXTJOIN(", ",TRUE,questions[[#This Row],[ans_opt_1]:[ans_opt_14]])</f>
        <v>Yes, No</v>
      </c>
      <c r="T1397" s="77" t="s">
        <v>149</v>
      </c>
      <c r="U1397" s="77" t="s">
        <v>119</v>
      </c>
      <c r="AH1397" s="98" t="b">
        <f>INDEX(stable[q_standard],MATCH(questions[[#This Row],[qno]],stable[qno],0))</f>
        <v>0</v>
      </c>
      <c r="AI1397" s="98" t="b">
        <f>INDEX(stable[q_living_income],MATCH(questions[[#This Row],[qno]],stable[qno],0))</f>
        <v>0</v>
      </c>
      <c r="AJ1397" s="98" t="b">
        <f>INDEX(stable[q_carbon],MATCH(questions[[#This Row],[qno]],stable[qno],0))</f>
        <v>0</v>
      </c>
      <c r="AK1397" s="98" t="b">
        <f>INDEX(stable[q_regen_ag],MATCH(questions[[#This Row],[qno]],stable[qno],0))</f>
        <v>1</v>
      </c>
      <c r="AL1397" s="98" t="b">
        <f>COUNTIFS(stable[qno],questions[[#This Row],[qno]])=1</f>
        <v>1</v>
      </c>
      <c r="AM1397" s="98" t="b">
        <f>OR(questions[[#This Row],[is_fixed]],questions[[#This Row],[is_localized]],questions[[#This Row],[is_supply_chain_dependent]])</f>
        <v>1</v>
      </c>
      <c r="AN1397" s="98" t="b">
        <f>COUNTIFS(questions[[#This Row],[is_automated]:[is_multi_select]],TRUE)=1</f>
        <v>1</v>
      </c>
      <c r="AO1397" s="98" t="b">
        <f>IF(questions[[#This Row],[is_fixed]],questions[[#This Row],[question]]=INDEX(stable[question],MATCH(questions[[#This Row],[qno]],stable[qno],0)),TRUE)</f>
        <v>1</v>
      </c>
      <c r="AP1397" s="98" t="str">
        <f>LEFT(questions[[#This Row],[question]],similarity_range)</f>
        <v>If you don´t or last</v>
      </c>
      <c r="AQ1397" s="98" t="str">
        <f>LEFT(INDEX(stable[question],MATCH(questions[[#This Row],[qno]],stable[qno],0)),similarity_range)</f>
        <v>If you don´t or last</v>
      </c>
      <c r="AR1397" s="98" t="b">
        <f>questions[[#This Row],[question_first_characters]]=questions[[#This Row],[stability_first_characters]]</f>
        <v>1</v>
      </c>
      <c r="AS1397" s="98" t="b">
        <f>IF(OR(questions[[#This Row],[is_single_select]],questions[[#This Row],[is_multi_select]]),NOT(ISBLANK(questions[[#This Row],[answer_opt_combined]])),TRUE)</f>
        <v>1</v>
      </c>
    </row>
    <row r="1398" spans="1:45" s="77" customFormat="1" ht="15.75" customHeight="1" x14ac:dyDescent="0.25">
      <c r="A1398" s="77" t="str">
        <f>_xlfn.TEXTJOIN("_",TRUE,questions[[#This Row],[origin]:[qno]])</f>
        <v>Rwanda_Arabica_Nestle_Illy_IMPACT_2025_7128</v>
      </c>
      <c r="B1398" s="77" t="s">
        <v>719</v>
      </c>
      <c r="C1398" s="77" t="s">
        <v>59</v>
      </c>
      <c r="D1398" s="77" t="s">
        <v>720</v>
      </c>
      <c r="E1398" s="77">
        <v>2025</v>
      </c>
      <c r="F1398" s="105" t="s">
        <v>371</v>
      </c>
      <c r="G1398" s="78" t="s">
        <v>372</v>
      </c>
      <c r="H1398" s="9" t="str" cm="1">
        <f t="array" ref="H1398">INDEX(stableR[question],MATCH(VALUE(questions[[#This Row],[qno]]),VALUE(stableR[qno]),0))</f>
        <v>What is the most common system to determine the amount and/or the type of organic and synthetic fertilizers that you use in your coffee crop?</v>
      </c>
      <c r="I1398" s="9" t="b" cm="1">
        <f t="array" ref="I1398">INDEX(stable[is_fixed],MATCH(VALUE(questions[[#This Row],[qno]]),VALUE(stable[qno]),0))</f>
        <v>1</v>
      </c>
      <c r="J1398" s="9" t="b" cm="1">
        <f t="array" ref="J1398">INDEX(stable[is_localized],MATCH(VALUE(questions[[#This Row],[qno]]),VALUE(stable[qno]),0))</f>
        <v>0</v>
      </c>
      <c r="K1398" s="9" t="b" cm="1">
        <f t="array" ref="K1398">INDEX(stable[is_supply_chain_dependent],MATCH(VALUE(questions[[#This Row],[qno]]),VALUE(stable[qno]),0))</f>
        <v>0</v>
      </c>
      <c r="L1398" s="9" t="b" cm="1">
        <f t="array" ref="L1398">INDEX(stable[is_mandatory],MATCH(VALUE(questions[[#This Row],[qno]]),VALUE(stable[qno]),0))</f>
        <v>1</v>
      </c>
      <c r="M1398" s="9" t="b" cm="1">
        <f t="array" ref="M1398">INDEX(stable[is_automated],MATCH(VALUE(questions[[#This Row],[qno]]),VALUE(stable[qno]),0))</f>
        <v>0</v>
      </c>
      <c r="N1398" s="9" t="b" cm="1">
        <f t="array" ref="N1398">INDEX(stable[is_free_text],MATCH(VALUE(questions[[#This Row],[qno]]),VALUE(stable[qno]),0))</f>
        <v>0</v>
      </c>
      <c r="O1398" s="9" t="b" cm="1">
        <f t="array" ref="O1398">INDEX(stable[is_numerical],MATCH(VALUE(questions[[#This Row],[qno]]),VALUE(stable[qno]),0))</f>
        <v>0</v>
      </c>
      <c r="P1398" s="77" t="b" cm="1">
        <f t="array" ref="P1398">INDEX(stable[is_single_select],MATCH(VALUE(questions[[#This Row],[qno]]),VALUE(stable[qno]),0))</f>
        <v>1</v>
      </c>
      <c r="Q1398" s="77" t="b" cm="1">
        <f t="array" ref="Q1398">INDEX(stable[is_multi_select],MATCH(VALUE(questions[[#This Row],[qno]]),VALUE(stable[qno]),0))</f>
        <v>0</v>
      </c>
      <c r="R1398" s="77" t="b" cm="1">
        <f t="array" ref="R1398">INDEX(stable[is_skip_logic],MATCH(VALUE(questions[[#This Row],[qno]]),VALUE(stable[qno]),0))</f>
        <v>0</v>
      </c>
      <c r="S1398" s="77" t="str">
        <f>_xlfn.TEXTJOIN(", ",TRUE,questions[[#This Row],[ans_opt_1]:[ans_opt_14]])</f>
        <v>Based on my own judgment-experience, Based on what I can afford, I always use the same fertilization, Based on soil analysis or soil knowledge, Based on soil analysis or soil knowledge and the expected yield of the crop, Based on recommendations from experts (agronomists, field officers, extension services...) , Based on recommendations from input suppliers, I don't use organic or synthetic fertilizers, based on other reasons then the above options</v>
      </c>
      <c r="T1398" s="77" t="s">
        <v>373</v>
      </c>
      <c r="U1398" s="77" t="s">
        <v>374</v>
      </c>
      <c r="V1398" s="77" t="s">
        <v>375</v>
      </c>
      <c r="W1398" s="77" t="s">
        <v>376</v>
      </c>
      <c r="X1398" s="77" t="s">
        <v>377</v>
      </c>
      <c r="Y1398" s="77" t="s">
        <v>796</v>
      </c>
      <c r="Z1398" s="77" t="s">
        <v>379</v>
      </c>
      <c r="AA1398" s="77" t="s">
        <v>380</v>
      </c>
      <c r="AH1398" s="98" t="b">
        <f>INDEX(stable[q_standard],MATCH(questions[[#This Row],[qno]],stable[qno],0))</f>
        <v>0</v>
      </c>
      <c r="AI1398" s="98" t="b">
        <f>INDEX(stable[q_living_income],MATCH(questions[[#This Row],[qno]],stable[qno],0))</f>
        <v>0</v>
      </c>
      <c r="AJ1398" s="98" t="b">
        <f>INDEX(stable[q_carbon],MATCH(questions[[#This Row],[qno]],stable[qno],0))</f>
        <v>0</v>
      </c>
      <c r="AK1398" s="98" t="b">
        <f>INDEX(stable[q_regen_ag],MATCH(questions[[#This Row],[qno]],stable[qno],0))</f>
        <v>1</v>
      </c>
      <c r="AL1398" s="98" t="b">
        <f>COUNTIFS(stable[qno],questions[[#This Row],[qno]])=1</f>
        <v>1</v>
      </c>
      <c r="AM1398" s="98" t="b">
        <f>OR(questions[[#This Row],[is_fixed]],questions[[#This Row],[is_localized]],questions[[#This Row],[is_supply_chain_dependent]])</f>
        <v>1</v>
      </c>
      <c r="AN1398" s="98" t="b">
        <f>COUNTIFS(questions[[#This Row],[is_automated]:[is_multi_select]],TRUE)=1</f>
        <v>1</v>
      </c>
      <c r="AO1398" s="98" t="b">
        <f>IF(questions[[#This Row],[is_fixed]],questions[[#This Row],[question]]=INDEX(stable[question],MATCH(questions[[#This Row],[qno]],stable[qno],0)),TRUE)</f>
        <v>1</v>
      </c>
      <c r="AP1398" s="98" t="str">
        <f>LEFT(questions[[#This Row],[question]],similarity_range)</f>
        <v>What is the most com</v>
      </c>
      <c r="AQ1398" s="98" t="str">
        <f>LEFT(INDEX(stable[question],MATCH(questions[[#This Row],[qno]],stable[qno],0)),similarity_range)</f>
        <v>What is the most com</v>
      </c>
      <c r="AR1398" s="98" t="b">
        <f>questions[[#This Row],[question_first_characters]]=questions[[#This Row],[stability_first_characters]]</f>
        <v>1</v>
      </c>
      <c r="AS1398" s="98" t="b">
        <f>IF(OR(questions[[#This Row],[is_single_select]],questions[[#This Row],[is_multi_select]]),NOT(ISBLANK(questions[[#This Row],[answer_opt_combined]])),TRUE)</f>
        <v>1</v>
      </c>
    </row>
    <row r="1399" spans="1:45" s="77" customFormat="1" ht="15.75" customHeight="1" x14ac:dyDescent="0.25">
      <c r="A1399" s="77" t="str">
        <f>_xlfn.TEXTJOIN("_",TRUE,questions[[#This Row],[origin]:[qno]])</f>
        <v>Rwanda_Arabica_Nestle_Illy_IMPACT_2025_7131</v>
      </c>
      <c r="B1399" s="77" t="s">
        <v>719</v>
      </c>
      <c r="C1399" s="77" t="s">
        <v>59</v>
      </c>
      <c r="D1399" s="77" t="s">
        <v>720</v>
      </c>
      <c r="E1399" s="77">
        <v>2025</v>
      </c>
      <c r="F1399" s="105" t="s">
        <v>381</v>
      </c>
      <c r="G1399" s="78" t="s">
        <v>382</v>
      </c>
      <c r="H1399" s="9" t="str" cm="1">
        <f t="array" ref="H1399">INDEX(stableR[question],MATCH(VALUE(questions[[#This Row],[qno]]),VALUE(stableR[qno]),0))</f>
        <v>How often do you apply synthetic fertilizer per season in your coffee crop?</v>
      </c>
      <c r="I1399" s="9" t="b" cm="1">
        <f t="array" ref="I1399">INDEX(stable[is_fixed],MATCH(VALUE(questions[[#This Row],[qno]]),VALUE(stable[qno]),0))</f>
        <v>1</v>
      </c>
      <c r="J1399" s="9" t="b" cm="1">
        <f t="array" ref="J1399">INDEX(stable[is_localized],MATCH(VALUE(questions[[#This Row],[qno]]),VALUE(stable[qno]),0))</f>
        <v>0</v>
      </c>
      <c r="K1399" s="9" t="b" cm="1">
        <f t="array" ref="K1399">INDEX(stable[is_supply_chain_dependent],MATCH(VALUE(questions[[#This Row],[qno]]),VALUE(stable[qno]),0))</f>
        <v>0</v>
      </c>
      <c r="L1399" s="9" t="b" cm="1">
        <f t="array" ref="L1399">INDEX(stable[is_mandatory],MATCH(VALUE(questions[[#This Row],[qno]]),VALUE(stable[qno]),0))</f>
        <v>1</v>
      </c>
      <c r="M1399" s="9" t="b" cm="1">
        <f t="array" ref="M1399">INDEX(stable[is_automated],MATCH(VALUE(questions[[#This Row],[qno]]),VALUE(stable[qno]),0))</f>
        <v>0</v>
      </c>
      <c r="N1399" s="9" t="b" cm="1">
        <f t="array" ref="N1399">INDEX(stable[is_free_text],MATCH(VALUE(questions[[#This Row],[qno]]),VALUE(stable[qno]),0))</f>
        <v>0</v>
      </c>
      <c r="O1399" s="9" t="b" cm="1">
        <f t="array" ref="O1399">INDEX(stable[is_numerical],MATCH(VALUE(questions[[#This Row],[qno]]),VALUE(stable[qno]),0))</f>
        <v>0</v>
      </c>
      <c r="P1399" s="77" t="b" cm="1">
        <f t="array" ref="P1399">INDEX(stable[is_single_select],MATCH(VALUE(questions[[#This Row],[qno]]),VALUE(stable[qno]),0))</f>
        <v>1</v>
      </c>
      <c r="Q1399" s="77" t="b" cm="1">
        <f t="array" ref="Q1399">INDEX(stable[is_multi_select],MATCH(VALUE(questions[[#This Row],[qno]]),VALUE(stable[qno]),0))</f>
        <v>0</v>
      </c>
      <c r="R1399" s="77" t="b" cm="1">
        <f t="array" ref="R1399">INDEX(stable[is_skip_logic],MATCH(VALUE(questions[[#This Row],[qno]]),VALUE(stable[qno]),0))</f>
        <v>0</v>
      </c>
      <c r="S1399" s="77" t="str">
        <f>_xlfn.TEXTJOIN(", ",TRUE,questions[[#This Row],[ans_opt_1]:[ans_opt_14]])</f>
        <v>I don't apply, I apply once per season, I apply multiple times throughout the season</v>
      </c>
      <c r="T1399" s="77" t="s">
        <v>383</v>
      </c>
      <c r="U1399" s="77" t="s">
        <v>384</v>
      </c>
      <c r="V1399" s="77" t="s">
        <v>385</v>
      </c>
      <c r="AH1399" s="98" t="b">
        <f>INDEX(stable[q_standard],MATCH(questions[[#This Row],[qno]],stable[qno],0))</f>
        <v>0</v>
      </c>
      <c r="AI1399" s="98" t="b">
        <f>INDEX(stable[q_living_income],MATCH(questions[[#This Row],[qno]],stable[qno],0))</f>
        <v>0</v>
      </c>
      <c r="AJ1399" s="98" t="b">
        <f>INDEX(stable[q_carbon],MATCH(questions[[#This Row],[qno]],stable[qno],0))</f>
        <v>0</v>
      </c>
      <c r="AK1399" s="98" t="b">
        <f>INDEX(stable[q_regen_ag],MATCH(questions[[#This Row],[qno]],stable[qno],0))</f>
        <v>1</v>
      </c>
      <c r="AL1399" s="98" t="b">
        <f>COUNTIFS(stable[qno],questions[[#This Row],[qno]])=1</f>
        <v>1</v>
      </c>
      <c r="AM1399" s="98" t="b">
        <f>OR(questions[[#This Row],[is_fixed]],questions[[#This Row],[is_localized]],questions[[#This Row],[is_supply_chain_dependent]])</f>
        <v>1</v>
      </c>
      <c r="AN1399" s="98" t="b">
        <f>COUNTIFS(questions[[#This Row],[is_automated]:[is_multi_select]],TRUE)=1</f>
        <v>1</v>
      </c>
      <c r="AO1399" s="98" t="b">
        <f>IF(questions[[#This Row],[is_fixed]],questions[[#This Row],[question]]=INDEX(stable[question],MATCH(questions[[#This Row],[qno]],stable[qno],0)),TRUE)</f>
        <v>1</v>
      </c>
      <c r="AP1399" s="98" t="str">
        <f>LEFT(questions[[#This Row],[question]],similarity_range)</f>
        <v>How often do you app</v>
      </c>
      <c r="AQ1399" s="98" t="str">
        <f>LEFT(INDEX(stable[question],MATCH(questions[[#This Row],[qno]],stable[qno],0)),similarity_range)</f>
        <v>How often do you app</v>
      </c>
      <c r="AR1399" s="98" t="b">
        <f>questions[[#This Row],[question_first_characters]]=questions[[#This Row],[stability_first_characters]]</f>
        <v>1</v>
      </c>
      <c r="AS1399" s="98" t="b">
        <f>IF(OR(questions[[#This Row],[is_single_select]],questions[[#This Row],[is_multi_select]]),NOT(ISBLANK(questions[[#This Row],[answer_opt_combined]])),TRUE)</f>
        <v>1</v>
      </c>
    </row>
    <row r="1400" spans="1:45" s="77" customFormat="1" ht="15.75" customHeight="1" x14ac:dyDescent="0.25">
      <c r="A1400" s="77" t="str">
        <f>_xlfn.TEXTJOIN("_",TRUE,questions[[#This Row],[origin]:[qno]])</f>
        <v>Rwanda_Arabica_Nestle_Illy_IMPACT_2025_7132</v>
      </c>
      <c r="B1400" s="77" t="s">
        <v>719</v>
      </c>
      <c r="C1400" s="77" t="s">
        <v>59</v>
      </c>
      <c r="D1400" s="77" t="s">
        <v>720</v>
      </c>
      <c r="E1400" s="77">
        <v>2025</v>
      </c>
      <c r="F1400" s="105" t="s">
        <v>386</v>
      </c>
      <c r="G1400" s="78" t="s">
        <v>387</v>
      </c>
      <c r="H1400" s="9" t="str" cm="1">
        <f t="array" ref="H1400">INDEX(stableR[question],MATCH(VALUE(questions[[#This Row],[qno]]),VALUE(stableR[qno]),0))</f>
        <v>How do you apply the organic and synthetic fertilizers to the coffee trees in the coffee plots?</v>
      </c>
      <c r="I1400" s="9" t="b" cm="1">
        <f t="array" ref="I1400">INDEX(stable[is_fixed],MATCH(VALUE(questions[[#This Row],[qno]]),VALUE(stable[qno]),0))</f>
        <v>1</v>
      </c>
      <c r="J1400" s="9" t="b" cm="1">
        <f t="array" ref="J1400">INDEX(stable[is_localized],MATCH(VALUE(questions[[#This Row],[qno]]),VALUE(stable[qno]),0))</f>
        <v>0</v>
      </c>
      <c r="K1400" s="9" t="b" cm="1">
        <f t="array" ref="K1400">INDEX(stable[is_supply_chain_dependent],MATCH(VALUE(questions[[#This Row],[qno]]),VALUE(stable[qno]),0))</f>
        <v>0</v>
      </c>
      <c r="L1400" s="9" t="b" cm="1">
        <f t="array" ref="L1400">INDEX(stable[is_mandatory],MATCH(VALUE(questions[[#This Row],[qno]]),VALUE(stable[qno]),0))</f>
        <v>0</v>
      </c>
      <c r="M1400" s="9" t="b" cm="1">
        <f t="array" ref="M1400">INDEX(stable[is_automated],MATCH(VALUE(questions[[#This Row],[qno]]),VALUE(stable[qno]),0))</f>
        <v>0</v>
      </c>
      <c r="N1400" s="9" t="b" cm="1">
        <f t="array" ref="N1400">INDEX(stable[is_free_text],MATCH(VALUE(questions[[#This Row],[qno]]),VALUE(stable[qno]),0))</f>
        <v>0</v>
      </c>
      <c r="O1400" s="9" t="b" cm="1">
        <f t="array" ref="O1400">INDEX(stable[is_numerical],MATCH(VALUE(questions[[#This Row],[qno]]),VALUE(stable[qno]),0))</f>
        <v>0</v>
      </c>
      <c r="P1400" s="77" t="b" cm="1">
        <f t="array" ref="P1400">INDEX(stable[is_single_select],MATCH(VALUE(questions[[#This Row],[qno]]),VALUE(stable[qno]),0))</f>
        <v>1</v>
      </c>
      <c r="Q1400" s="77" t="b" cm="1">
        <f t="array" ref="Q1400">INDEX(stable[is_multi_select],MATCH(VALUE(questions[[#This Row],[qno]]),VALUE(stable[qno]),0))</f>
        <v>0</v>
      </c>
      <c r="R1400" s="77" t="b" cm="1">
        <f t="array" ref="R1400">INDEX(stable[is_skip_logic],MATCH(VALUE(questions[[#This Row],[qno]]),VALUE(stable[qno]),0))</f>
        <v>0</v>
      </c>
      <c r="S1400" s="77" t="str">
        <f>_xlfn.TEXTJOIN(", ",TRUE,questions[[#This Row],[ans_opt_1]:[ans_opt_14]])</f>
        <v>Around the tree , In bands close to the trees, Broadcasted in all the field, Through the irrigation system (e.g. drip)</v>
      </c>
      <c r="T1400" s="77" t="s">
        <v>797</v>
      </c>
      <c r="U1400" s="77" t="s">
        <v>389</v>
      </c>
      <c r="V1400" s="77" t="s">
        <v>390</v>
      </c>
      <c r="W1400" s="77" t="s">
        <v>391</v>
      </c>
      <c r="AH1400" s="98" t="b">
        <f>INDEX(stable[q_standard],MATCH(questions[[#This Row],[qno]],stable[qno],0))</f>
        <v>0</v>
      </c>
      <c r="AI1400" s="98" t="b">
        <f>INDEX(stable[q_living_income],MATCH(questions[[#This Row],[qno]],stable[qno],0))</f>
        <v>0</v>
      </c>
      <c r="AJ1400" s="98" t="b">
        <f>INDEX(stable[q_carbon],MATCH(questions[[#This Row],[qno]],stable[qno],0))</f>
        <v>0</v>
      </c>
      <c r="AK1400" s="98" t="b">
        <f>INDEX(stable[q_regen_ag],MATCH(questions[[#This Row],[qno]],stable[qno],0))</f>
        <v>1</v>
      </c>
      <c r="AL1400" s="98" t="b">
        <f>COUNTIFS(stable[qno],questions[[#This Row],[qno]])=1</f>
        <v>1</v>
      </c>
      <c r="AM1400" s="98" t="b">
        <f>OR(questions[[#This Row],[is_fixed]],questions[[#This Row],[is_localized]],questions[[#This Row],[is_supply_chain_dependent]])</f>
        <v>1</v>
      </c>
      <c r="AN1400" s="98" t="b">
        <f>COUNTIFS(questions[[#This Row],[is_automated]:[is_multi_select]],TRUE)=1</f>
        <v>1</v>
      </c>
      <c r="AO1400" s="98" t="b">
        <f>IF(questions[[#This Row],[is_fixed]],questions[[#This Row],[question]]=INDEX(stable[question],MATCH(questions[[#This Row],[qno]],stable[qno],0)),TRUE)</f>
        <v>1</v>
      </c>
      <c r="AP1400" s="98" t="str">
        <f>LEFT(questions[[#This Row],[question]],similarity_range)</f>
        <v>How do you apply the</v>
      </c>
      <c r="AQ1400" s="98" t="str">
        <f>LEFT(INDEX(stable[question],MATCH(questions[[#This Row],[qno]],stable[qno],0)),similarity_range)</f>
        <v>How do you apply the</v>
      </c>
      <c r="AR1400" s="98" t="b">
        <f>questions[[#This Row],[question_first_characters]]=questions[[#This Row],[stability_first_characters]]</f>
        <v>1</v>
      </c>
      <c r="AS1400" s="98" t="b">
        <f>IF(OR(questions[[#This Row],[is_single_select]],questions[[#This Row],[is_multi_select]]),NOT(ISBLANK(questions[[#This Row],[answer_opt_combined]])),TRUE)</f>
        <v>1</v>
      </c>
    </row>
    <row r="1401" spans="1:45" s="77" customFormat="1" ht="15.75" customHeight="1" x14ac:dyDescent="0.25">
      <c r="A1401" s="77" t="str">
        <f>_xlfn.TEXTJOIN("_",TRUE,questions[[#This Row],[origin]:[qno]])</f>
        <v>Rwanda_Arabica_Nestle_Illy_IMPACT_2025_7133</v>
      </c>
      <c r="B1401" s="77" t="s">
        <v>719</v>
      </c>
      <c r="C1401" s="77" t="s">
        <v>59</v>
      </c>
      <c r="D1401" s="77" t="s">
        <v>720</v>
      </c>
      <c r="E1401" s="77">
        <v>2025</v>
      </c>
      <c r="F1401" s="105" t="s">
        <v>392</v>
      </c>
      <c r="G1401" s="78" t="s">
        <v>798</v>
      </c>
      <c r="H1401" s="9" t="str" cm="1">
        <f t="array" ref="H1401">INDEX(stableR[question],MATCH(VALUE(questions[[#This Row],[qno]]),VALUE(stableR[qno]),0))</f>
        <v>Do you know the 4R principles of using organic and synthetic fertilizers in crops (Right Amount, Right Product, Right Time, Right Place)?</v>
      </c>
      <c r="I1401" s="9" t="b" cm="1">
        <f t="array" ref="I1401">INDEX(stable[is_fixed],MATCH(VALUE(questions[[#This Row],[qno]]),VALUE(stable[qno]),0))</f>
        <v>1</v>
      </c>
      <c r="J1401" s="9" t="b" cm="1">
        <f t="array" ref="J1401">INDEX(stable[is_localized],MATCH(VALUE(questions[[#This Row],[qno]]),VALUE(stable[qno]),0))</f>
        <v>0</v>
      </c>
      <c r="K1401" s="9" t="b" cm="1">
        <f t="array" ref="K1401">INDEX(stable[is_supply_chain_dependent],MATCH(VALUE(questions[[#This Row],[qno]]),VALUE(stable[qno]),0))</f>
        <v>0</v>
      </c>
      <c r="L1401" s="9" t="b" cm="1">
        <f t="array" ref="L1401">INDEX(stable[is_mandatory],MATCH(VALUE(questions[[#This Row],[qno]]),VALUE(stable[qno]),0))</f>
        <v>1</v>
      </c>
      <c r="M1401" s="9" t="b" cm="1">
        <f t="array" ref="M1401">INDEX(stable[is_automated],MATCH(VALUE(questions[[#This Row],[qno]]),VALUE(stable[qno]),0))</f>
        <v>0</v>
      </c>
      <c r="N1401" s="9" t="b" cm="1">
        <f t="array" ref="N1401">INDEX(stable[is_free_text],MATCH(VALUE(questions[[#This Row],[qno]]),VALUE(stable[qno]),0))</f>
        <v>0</v>
      </c>
      <c r="O1401" s="9" t="b" cm="1">
        <f t="array" ref="O1401">INDEX(stable[is_numerical],MATCH(VALUE(questions[[#This Row],[qno]]),VALUE(stable[qno]),0))</f>
        <v>0</v>
      </c>
      <c r="P1401" s="77" t="b" cm="1">
        <f t="array" ref="P1401">INDEX(stable[is_single_select],MATCH(VALUE(questions[[#This Row],[qno]]),VALUE(stable[qno]),0))</f>
        <v>1</v>
      </c>
      <c r="Q1401" s="77" t="b" cm="1">
        <f t="array" ref="Q1401">INDEX(stable[is_multi_select],MATCH(VALUE(questions[[#This Row],[qno]]),VALUE(stable[qno]),0))</f>
        <v>0</v>
      </c>
      <c r="R1401" s="77" t="b" cm="1">
        <f t="array" ref="R1401">INDEX(stable[is_skip_logic],MATCH(VALUE(questions[[#This Row],[qno]]),VALUE(stable[qno]),0))</f>
        <v>0</v>
      </c>
      <c r="S1401" s="77" t="str">
        <f>_xlfn.TEXTJOIN(", ",TRUE,questions[[#This Row],[ans_opt_1]:[ans_opt_14]])</f>
        <v>Yes, No</v>
      </c>
      <c r="T1401" s="77" t="s">
        <v>149</v>
      </c>
      <c r="U1401" s="77" t="s">
        <v>119</v>
      </c>
      <c r="AH1401" s="98" t="b">
        <f>INDEX(stable[q_standard],MATCH(questions[[#This Row],[qno]],stable[qno],0))</f>
        <v>0</v>
      </c>
      <c r="AI1401" s="98" t="b">
        <f>INDEX(stable[q_living_income],MATCH(questions[[#This Row],[qno]],stable[qno],0))</f>
        <v>0</v>
      </c>
      <c r="AJ1401" s="98" t="b">
        <f>INDEX(stable[q_carbon],MATCH(questions[[#This Row],[qno]],stable[qno],0))</f>
        <v>0</v>
      </c>
      <c r="AK1401" s="98" t="b">
        <f>INDEX(stable[q_regen_ag],MATCH(questions[[#This Row],[qno]],stable[qno],0))</f>
        <v>1</v>
      </c>
      <c r="AL1401" s="98" t="b">
        <f>COUNTIFS(stable[qno],questions[[#This Row],[qno]])=1</f>
        <v>1</v>
      </c>
      <c r="AM1401" s="98" t="b">
        <f>OR(questions[[#This Row],[is_fixed]],questions[[#This Row],[is_localized]],questions[[#This Row],[is_supply_chain_dependent]])</f>
        <v>1</v>
      </c>
      <c r="AN1401" s="98" t="b">
        <f>COUNTIFS(questions[[#This Row],[is_automated]:[is_multi_select]],TRUE)=1</f>
        <v>1</v>
      </c>
      <c r="AO1401" s="98" t="b">
        <f>IF(questions[[#This Row],[is_fixed]],questions[[#This Row],[question]]=INDEX(stable[question],MATCH(questions[[#This Row],[qno]],stable[qno],0)),TRUE)</f>
        <v>0</v>
      </c>
      <c r="AP1401" s="98" t="str">
        <f>LEFT(questions[[#This Row],[question]],similarity_range)</f>
        <v>Do you know the 4R p</v>
      </c>
      <c r="AQ1401" s="98" t="str">
        <f>LEFT(INDEX(stable[question],MATCH(questions[[#This Row],[qno]],stable[qno],0)),similarity_range)</f>
        <v>Do you know the 4R p</v>
      </c>
      <c r="AR1401" s="98" t="b">
        <f>questions[[#This Row],[question_first_characters]]=questions[[#This Row],[stability_first_characters]]</f>
        <v>1</v>
      </c>
      <c r="AS1401" s="98" t="b">
        <f>IF(OR(questions[[#This Row],[is_single_select]],questions[[#This Row],[is_multi_select]]),NOT(ISBLANK(questions[[#This Row],[answer_opt_combined]])),TRUE)</f>
        <v>1</v>
      </c>
    </row>
    <row r="1402" spans="1:45" s="77" customFormat="1" ht="15.75" customHeight="1" x14ac:dyDescent="0.25">
      <c r="A1402" s="77" t="str">
        <f>_xlfn.TEXTJOIN("_",TRUE,questions[[#This Row],[origin]:[qno]])</f>
        <v>Rwanda_Arabica_Nestle_Illy_IMPACT_2025_7240</v>
      </c>
      <c r="B1402" s="77" t="s">
        <v>719</v>
      </c>
      <c r="C1402" s="77" t="s">
        <v>59</v>
      </c>
      <c r="D1402" s="77" t="s">
        <v>720</v>
      </c>
      <c r="E1402" s="77">
        <v>2025</v>
      </c>
      <c r="F1402" s="105" t="s">
        <v>394</v>
      </c>
      <c r="G1402" s="78" t="s">
        <v>799</v>
      </c>
      <c r="H1402" s="9" t="str" cm="1">
        <f t="array" ref="H1402">INDEX(stableR[question],MATCH(VALUE(questions[[#This Row],[qno]]),VALUE(stableR[qno]),0))</f>
        <v>Do you apply chemical PPPs (plant protection products) like pesticides/fungicides/nematicides in your coffee crop, and how many different active ingredients per crop season?</v>
      </c>
      <c r="I1402" s="9" t="b" cm="1">
        <f t="array" ref="I1402">INDEX(stable[is_fixed],MATCH(VALUE(questions[[#This Row],[qno]]),VALUE(stable[qno]),0))</f>
        <v>1</v>
      </c>
      <c r="J1402" s="9" t="b" cm="1">
        <f t="array" ref="J1402">INDEX(stable[is_localized],MATCH(VALUE(questions[[#This Row],[qno]]),VALUE(stable[qno]),0))</f>
        <v>0</v>
      </c>
      <c r="K1402" s="9" t="b" cm="1">
        <f t="array" ref="K1402">INDEX(stable[is_supply_chain_dependent],MATCH(VALUE(questions[[#This Row],[qno]]),VALUE(stable[qno]),0))</f>
        <v>0</v>
      </c>
      <c r="L1402" s="9" t="b" cm="1">
        <f t="array" ref="L1402">INDEX(stable[is_mandatory],MATCH(VALUE(questions[[#This Row],[qno]]),VALUE(stable[qno]),0))</f>
        <v>1</v>
      </c>
      <c r="M1402" s="9" t="b" cm="1">
        <f t="array" ref="M1402">INDEX(stable[is_automated],MATCH(VALUE(questions[[#This Row],[qno]]),VALUE(stable[qno]),0))</f>
        <v>0</v>
      </c>
      <c r="N1402" s="9" t="b" cm="1">
        <f t="array" ref="N1402">INDEX(stable[is_free_text],MATCH(VALUE(questions[[#This Row],[qno]]),VALUE(stable[qno]),0))</f>
        <v>0</v>
      </c>
      <c r="O1402" s="9" t="b" cm="1">
        <f t="array" ref="O1402">INDEX(stable[is_numerical],MATCH(VALUE(questions[[#This Row],[qno]]),VALUE(stable[qno]),0))</f>
        <v>0</v>
      </c>
      <c r="P1402" s="77" t="b" cm="1">
        <f t="array" ref="P1402">INDEX(stable[is_single_select],MATCH(VALUE(questions[[#This Row],[qno]]),VALUE(stable[qno]),0))</f>
        <v>1</v>
      </c>
      <c r="Q1402" s="77" t="b" cm="1">
        <f t="array" ref="Q1402">INDEX(stable[is_multi_select],MATCH(VALUE(questions[[#This Row],[qno]]),VALUE(stable[qno]),0))</f>
        <v>0</v>
      </c>
      <c r="R1402" s="77" t="b" cm="1">
        <f t="array" ref="R1402">INDEX(stable[is_skip_logic],MATCH(VALUE(questions[[#This Row],[qno]]),VALUE(stable[qno]),0))</f>
        <v>1</v>
      </c>
      <c r="S1402" s="77" t="str">
        <f>_xlfn.TEXTJOIN(", ",TRUE,questions[[#This Row],[ans_opt_1]:[ans_opt_14]])</f>
        <v>Yes, No</v>
      </c>
      <c r="T1402" s="77" t="s">
        <v>149</v>
      </c>
      <c r="U1402" s="77" t="s">
        <v>119</v>
      </c>
      <c r="AH1402" s="98" t="b">
        <f>INDEX(stable[q_standard],MATCH(questions[[#This Row],[qno]],stable[qno],0))</f>
        <v>0</v>
      </c>
      <c r="AI1402" s="98" t="b">
        <f>INDEX(stable[q_living_income],MATCH(questions[[#This Row],[qno]],stable[qno],0))</f>
        <v>0</v>
      </c>
      <c r="AJ1402" s="98" t="b">
        <f>INDEX(stable[q_carbon],MATCH(questions[[#This Row],[qno]],stable[qno],0))</f>
        <v>0</v>
      </c>
      <c r="AK1402" s="98" t="b">
        <f>INDEX(stable[q_regen_ag],MATCH(questions[[#This Row],[qno]],stable[qno],0))</f>
        <v>1</v>
      </c>
      <c r="AL1402" s="98" t="b">
        <f>COUNTIFS(stable[qno],questions[[#This Row],[qno]])=1</f>
        <v>1</v>
      </c>
      <c r="AM1402" s="98" t="b">
        <f>OR(questions[[#This Row],[is_fixed]],questions[[#This Row],[is_localized]],questions[[#This Row],[is_supply_chain_dependent]])</f>
        <v>1</v>
      </c>
      <c r="AN1402" s="98" t="b">
        <f>COUNTIFS(questions[[#This Row],[is_automated]:[is_multi_select]],TRUE)=1</f>
        <v>1</v>
      </c>
      <c r="AO1402" s="98" t="b">
        <f>IF(questions[[#This Row],[is_fixed]],questions[[#This Row],[question]]=INDEX(stable[question],MATCH(questions[[#This Row],[qno]],stable[qno],0)),TRUE)</f>
        <v>0</v>
      </c>
      <c r="AP1402" s="98" t="str">
        <f>LEFT(questions[[#This Row],[question]],similarity_range)</f>
        <v>Did you use chemical</v>
      </c>
      <c r="AQ1402" s="98" t="str">
        <f>LEFT(INDEX(stable[question],MATCH(questions[[#This Row],[qno]],stable[qno],0)),similarity_range)</f>
        <v>Did you use chemical</v>
      </c>
      <c r="AR1402" s="98" t="b">
        <f>questions[[#This Row],[question_first_characters]]=questions[[#This Row],[stability_first_characters]]</f>
        <v>1</v>
      </c>
      <c r="AS1402" s="98" t="b">
        <f>IF(OR(questions[[#This Row],[is_single_select]],questions[[#This Row],[is_multi_select]]),NOT(ISBLANK(questions[[#This Row],[answer_opt_combined]])),TRUE)</f>
        <v>1</v>
      </c>
    </row>
    <row r="1403" spans="1:45" s="77" customFormat="1" ht="15.75" customHeight="1" x14ac:dyDescent="0.25">
      <c r="A1403" s="77" t="str">
        <f>_xlfn.TEXTJOIN("_",TRUE,questions[[#This Row],[origin]:[qno]])</f>
        <v>Rwanda_Arabica_Nestle_Illy_IMPACT_2025_7241</v>
      </c>
      <c r="B1403" s="77" t="s">
        <v>719</v>
      </c>
      <c r="C1403" s="77" t="s">
        <v>59</v>
      </c>
      <c r="D1403" s="77" t="s">
        <v>720</v>
      </c>
      <c r="E1403" s="77">
        <v>2025</v>
      </c>
      <c r="F1403" s="105" t="s">
        <v>396</v>
      </c>
      <c r="G1403" s="78" t="s">
        <v>800</v>
      </c>
      <c r="H1403" s="9" t="str" cm="1">
        <f t="array" ref="H1403">INDEX(stableR[question],MATCH(VALUE(questions[[#This Row],[qno]]),VALUE(stableR[qno]),0))</f>
        <v>If yes, list the names of all the pesticides and/or fungicides that you used, last year.</v>
      </c>
      <c r="I1403" s="9" t="b" cm="1">
        <f t="array" ref="I1403">INDEX(stable[is_fixed],MATCH(VALUE(questions[[#This Row],[qno]]),VALUE(stable[qno]),0))</f>
        <v>1</v>
      </c>
      <c r="J1403" s="9" t="b" cm="1">
        <f t="array" ref="J1403">INDEX(stable[is_localized],MATCH(VALUE(questions[[#This Row],[qno]]),VALUE(stable[qno]),0))</f>
        <v>0</v>
      </c>
      <c r="K1403" s="9" t="b" cm="1">
        <f t="array" ref="K1403">INDEX(stable[is_supply_chain_dependent],MATCH(VALUE(questions[[#This Row],[qno]]),VALUE(stable[qno]),0))</f>
        <v>0</v>
      </c>
      <c r="L1403" s="9" t="b" cm="1">
        <f t="array" ref="L1403">INDEX(stable[is_mandatory],MATCH(VALUE(questions[[#This Row],[qno]]),VALUE(stable[qno]),0))</f>
        <v>0</v>
      </c>
      <c r="M1403" s="9" t="b" cm="1">
        <f t="array" ref="M1403">INDEX(stable[is_automated],MATCH(VALUE(questions[[#This Row],[qno]]),VALUE(stable[qno]),0))</f>
        <v>0</v>
      </c>
      <c r="N1403" s="9" t="b" cm="1">
        <f t="array" ref="N1403">INDEX(stable[is_free_text],MATCH(VALUE(questions[[#This Row],[qno]]),VALUE(stable[qno]),0))</f>
        <v>0</v>
      </c>
      <c r="O1403" s="9" t="b" cm="1">
        <f t="array" ref="O1403">INDEX(stable[is_numerical],MATCH(VALUE(questions[[#This Row],[qno]]),VALUE(stable[qno]),0))</f>
        <v>0</v>
      </c>
      <c r="P1403" s="77" t="b" cm="1">
        <f t="array" ref="P1403">INDEX(stable[is_single_select],MATCH(VALUE(questions[[#This Row],[qno]]),VALUE(stable[qno]),0))</f>
        <v>1</v>
      </c>
      <c r="Q1403" s="77" t="b" cm="1">
        <f t="array" ref="Q1403">INDEX(stable[is_multi_select],MATCH(VALUE(questions[[#This Row],[qno]]),VALUE(stable[qno]),0))</f>
        <v>0</v>
      </c>
      <c r="R1403" s="77" t="b" cm="1">
        <f t="array" ref="R1403">INDEX(stable[is_skip_logic],MATCH(VALUE(questions[[#This Row],[qno]]),VALUE(stable[qno]),0))</f>
        <v>1</v>
      </c>
      <c r="S1403" s="77" t="str">
        <f>_xlfn.TEXTJOIN(", ",TRUE,questions[[#This Row],[ans_opt_1]:[ans_opt_14]])</f>
        <v>Yes, No</v>
      </c>
      <c r="T1403" s="77" t="s">
        <v>149</v>
      </c>
      <c r="U1403" s="77" t="s">
        <v>119</v>
      </c>
      <c r="AH1403" s="98" t="b">
        <f>INDEX(stable[q_standard],MATCH(questions[[#This Row],[qno]],stable[qno],0))</f>
        <v>0</v>
      </c>
      <c r="AI1403" s="98" t="b">
        <f>INDEX(stable[q_living_income],MATCH(questions[[#This Row],[qno]],stable[qno],0))</f>
        <v>0</v>
      </c>
      <c r="AJ1403" s="98" t="b">
        <f>INDEX(stable[q_carbon],MATCH(questions[[#This Row],[qno]],stable[qno],0))</f>
        <v>0</v>
      </c>
      <c r="AK1403" s="98" t="b">
        <f>INDEX(stable[q_regen_ag],MATCH(questions[[#This Row],[qno]],stable[qno],0))</f>
        <v>1</v>
      </c>
      <c r="AL1403" s="98" t="b">
        <f>COUNTIFS(stable[qno],questions[[#This Row],[qno]])=1</f>
        <v>1</v>
      </c>
      <c r="AM1403" s="98" t="b">
        <f>OR(questions[[#This Row],[is_fixed]],questions[[#This Row],[is_localized]],questions[[#This Row],[is_supply_chain_dependent]])</f>
        <v>1</v>
      </c>
      <c r="AN1403" s="98" t="b">
        <f>COUNTIFS(questions[[#This Row],[is_automated]:[is_multi_select]],TRUE)=1</f>
        <v>1</v>
      </c>
      <c r="AO1403" s="98" t="b">
        <f>IF(questions[[#This Row],[is_fixed]],questions[[#This Row],[question]]=INDEX(stable[question],MATCH(questions[[#This Row],[qno]],stable[qno],0)),TRUE)</f>
        <v>0</v>
      </c>
      <c r="AP1403" s="98" t="str">
        <f>LEFT(questions[[#This Row],[question]],similarity_range)</f>
        <v>If you apply chemica</v>
      </c>
      <c r="AQ1403" s="98" t="str">
        <f>LEFT(INDEX(stable[question],MATCH(questions[[#This Row],[qno]],stable[qno],0)),similarity_range)</f>
        <v>If you apply chemica</v>
      </c>
      <c r="AR1403" s="98" t="b">
        <f>questions[[#This Row],[question_first_characters]]=questions[[#This Row],[stability_first_characters]]</f>
        <v>1</v>
      </c>
      <c r="AS1403" s="98" t="b">
        <f>IF(OR(questions[[#This Row],[is_single_select]],questions[[#This Row],[is_multi_select]]),NOT(ISBLANK(questions[[#This Row],[answer_opt_combined]])),TRUE)</f>
        <v>1</v>
      </c>
    </row>
    <row r="1404" spans="1:45" s="77" customFormat="1" ht="15.75" customHeight="1" x14ac:dyDescent="0.25">
      <c r="A1404" s="77" t="str">
        <f>_xlfn.TEXTJOIN("_",TRUE,questions[[#This Row],[origin]:[qno]])</f>
        <v>Rwanda_Arabica_Nestle_Illy_IMPACT_2025_7242</v>
      </c>
      <c r="B1404" s="77" t="s">
        <v>719</v>
      </c>
      <c r="C1404" s="77" t="s">
        <v>59</v>
      </c>
      <c r="D1404" s="77" t="s">
        <v>720</v>
      </c>
      <c r="E1404" s="77">
        <v>2025</v>
      </c>
      <c r="F1404" s="105" t="s">
        <v>398</v>
      </c>
      <c r="G1404" s="78" t="s">
        <v>801</v>
      </c>
      <c r="H1404" s="9" t="str" cm="1">
        <f t="array" ref="H1404">INDEX(stableR[question],MATCH(VALUE(questions[[#This Row],[qno]]),VALUE(stableR[qno]),0))</f>
        <v>If you apply chemical PPPs, are you aware of the IPM-Integrated Pest Management concept and practices (e.g. pest-disease identification and monitoring, right moment for control, use of a combination of biological, cultural, physical/mechanical and chemical tools to prevent and control)?</v>
      </c>
      <c r="I1404" s="9" t="b" cm="1">
        <f t="array" ref="I1404">INDEX(stable[is_fixed],MATCH(VALUE(questions[[#This Row],[qno]]),VALUE(stable[qno]),0))</f>
        <v>1</v>
      </c>
      <c r="J1404" s="9" t="b" cm="1">
        <f t="array" ref="J1404">INDEX(stable[is_localized],MATCH(VALUE(questions[[#This Row],[qno]]),VALUE(stable[qno]),0))</f>
        <v>0</v>
      </c>
      <c r="K1404" s="9" t="b" cm="1">
        <f t="array" ref="K1404">INDEX(stable[is_supply_chain_dependent],MATCH(VALUE(questions[[#This Row],[qno]]),VALUE(stable[qno]),0))</f>
        <v>0</v>
      </c>
      <c r="L1404" s="9" t="b" cm="1">
        <f t="array" ref="L1404">INDEX(stable[is_mandatory],MATCH(VALUE(questions[[#This Row],[qno]]),VALUE(stable[qno]),0))</f>
        <v>0</v>
      </c>
      <c r="M1404" s="9" t="b" cm="1">
        <f t="array" ref="M1404">INDEX(stable[is_automated],MATCH(VALUE(questions[[#This Row],[qno]]),VALUE(stable[qno]),0))</f>
        <v>0</v>
      </c>
      <c r="N1404" s="9" t="b" cm="1">
        <f t="array" ref="N1404">INDEX(stable[is_free_text],MATCH(VALUE(questions[[#This Row],[qno]]),VALUE(stable[qno]),0))</f>
        <v>0</v>
      </c>
      <c r="O1404" s="9" t="b" cm="1">
        <f t="array" ref="O1404">INDEX(stable[is_numerical],MATCH(VALUE(questions[[#This Row],[qno]]),VALUE(stable[qno]),0))</f>
        <v>0</v>
      </c>
      <c r="P1404" s="77" t="b" cm="1">
        <f t="array" ref="P1404">INDEX(stable[is_single_select],MATCH(VALUE(questions[[#This Row],[qno]]),VALUE(stable[qno]),0))</f>
        <v>1</v>
      </c>
      <c r="Q1404" s="77" t="b" cm="1">
        <f t="array" ref="Q1404">INDEX(stable[is_multi_select],MATCH(VALUE(questions[[#This Row],[qno]]),VALUE(stable[qno]),0))</f>
        <v>0</v>
      </c>
      <c r="R1404" s="77" t="b" cm="1">
        <f t="array" ref="R1404">INDEX(stable[is_skip_logic],MATCH(VALUE(questions[[#This Row],[qno]]),VALUE(stable[qno]),0))</f>
        <v>1</v>
      </c>
      <c r="S1404" s="77" t="str">
        <f>_xlfn.TEXTJOIN(", ",TRUE,questions[[#This Row],[ans_opt_1]:[ans_opt_14]])</f>
        <v>Yes, No</v>
      </c>
      <c r="T1404" s="77" t="s">
        <v>149</v>
      </c>
      <c r="U1404" s="77" t="s">
        <v>119</v>
      </c>
      <c r="AH1404" s="98" t="b">
        <f>INDEX(stable[q_standard],MATCH(questions[[#This Row],[qno]],stable[qno],0))</f>
        <v>0</v>
      </c>
      <c r="AI1404" s="98" t="b">
        <f>INDEX(stable[q_living_income],MATCH(questions[[#This Row],[qno]],stable[qno],0))</f>
        <v>0</v>
      </c>
      <c r="AJ1404" s="98" t="b">
        <f>INDEX(stable[q_carbon],MATCH(questions[[#This Row],[qno]],stable[qno],0))</f>
        <v>0</v>
      </c>
      <c r="AK1404" s="98" t="b">
        <f>INDEX(stable[q_regen_ag],MATCH(questions[[#This Row],[qno]],stable[qno],0))</f>
        <v>1</v>
      </c>
      <c r="AL1404" s="98" t="b">
        <f>COUNTIFS(stable[qno],questions[[#This Row],[qno]])=1</f>
        <v>1</v>
      </c>
      <c r="AM1404" s="98" t="b">
        <f>OR(questions[[#This Row],[is_fixed]],questions[[#This Row],[is_localized]],questions[[#This Row],[is_supply_chain_dependent]])</f>
        <v>1</v>
      </c>
      <c r="AN1404" s="98" t="b">
        <f>COUNTIFS(questions[[#This Row],[is_automated]:[is_multi_select]],TRUE)=1</f>
        <v>1</v>
      </c>
      <c r="AO1404" s="98" t="b">
        <f>IF(questions[[#This Row],[is_fixed]],questions[[#This Row],[question]]=INDEX(stable[question],MATCH(questions[[#This Row],[qno]],stable[qno],0)),TRUE)</f>
        <v>0</v>
      </c>
      <c r="AP1404" s="98" t="str">
        <f>LEFT(questions[[#This Row],[question]],similarity_range)</f>
        <v>If you apply chemica</v>
      </c>
      <c r="AQ1404" s="98" t="str">
        <f>LEFT(INDEX(stable[question],MATCH(questions[[#This Row],[qno]],stable[qno],0)),similarity_range)</f>
        <v>If you apply chemica</v>
      </c>
      <c r="AR1404" s="98" t="b">
        <f>questions[[#This Row],[question_first_characters]]=questions[[#This Row],[stability_first_characters]]</f>
        <v>1</v>
      </c>
      <c r="AS1404" s="98" t="b">
        <f>IF(OR(questions[[#This Row],[is_single_select]],questions[[#This Row],[is_multi_select]]),NOT(ISBLANK(questions[[#This Row],[answer_opt_combined]])),TRUE)</f>
        <v>1</v>
      </c>
    </row>
    <row r="1405" spans="1:45" s="77" customFormat="1" ht="15.75" customHeight="1" x14ac:dyDescent="0.25">
      <c r="A1405" s="77" t="str">
        <f>_xlfn.TEXTJOIN("_",TRUE,questions[[#This Row],[origin]:[qno]])</f>
        <v>Rwanda_Arabica_Nestle_Illy_IMPACT_2025_7243</v>
      </c>
      <c r="B1405" s="77" t="s">
        <v>719</v>
      </c>
      <c r="C1405" s="77" t="s">
        <v>59</v>
      </c>
      <c r="D1405" s="77" t="s">
        <v>720</v>
      </c>
      <c r="E1405" s="77">
        <v>2025</v>
      </c>
      <c r="F1405" s="105" t="s">
        <v>400</v>
      </c>
      <c r="G1405" s="78" t="s">
        <v>802</v>
      </c>
      <c r="H1405" s="9" t="str" cm="1">
        <f t="array" ref="H1405">INDEX(stableR[question],MATCH(VALUE(questions[[#This Row],[qno]]),VALUE(stableR[qno]),0))</f>
        <v>If you apply chemical PPPs, do you apply IPM principles and practices to prevent and control pest &amp; diseases and reduce the use of chemical PPPs?</v>
      </c>
      <c r="I1405" s="9" t="b" cm="1">
        <f t="array" ref="I1405">INDEX(stable[is_fixed],MATCH(VALUE(questions[[#This Row],[qno]]),VALUE(stable[qno]),0))</f>
        <v>1</v>
      </c>
      <c r="J1405" s="9" t="b" cm="1">
        <f t="array" ref="J1405">INDEX(stable[is_localized],MATCH(VALUE(questions[[#This Row],[qno]]),VALUE(stable[qno]),0))</f>
        <v>0</v>
      </c>
      <c r="K1405" s="9" t="b" cm="1">
        <f t="array" ref="K1405">INDEX(stable[is_supply_chain_dependent],MATCH(VALUE(questions[[#This Row],[qno]]),VALUE(stable[qno]),0))</f>
        <v>0</v>
      </c>
      <c r="L1405" s="9" t="b" cm="1">
        <f t="array" ref="L1405">INDEX(stable[is_mandatory],MATCH(VALUE(questions[[#This Row],[qno]]),VALUE(stable[qno]),0))</f>
        <v>0</v>
      </c>
      <c r="M1405" s="9" t="b" cm="1">
        <f t="array" ref="M1405">INDEX(stable[is_automated],MATCH(VALUE(questions[[#This Row],[qno]]),VALUE(stable[qno]),0))</f>
        <v>0</v>
      </c>
      <c r="N1405" s="9" t="b" cm="1">
        <f t="array" ref="N1405">INDEX(stable[is_free_text],MATCH(VALUE(questions[[#This Row],[qno]]),VALUE(stable[qno]),0))</f>
        <v>0</v>
      </c>
      <c r="O1405" s="9" t="b" cm="1">
        <f t="array" ref="O1405">INDEX(stable[is_numerical],MATCH(VALUE(questions[[#This Row],[qno]]),VALUE(stable[qno]),0))</f>
        <v>0</v>
      </c>
      <c r="P1405" s="77" t="b" cm="1">
        <f t="array" ref="P1405">INDEX(stable[is_single_select],MATCH(VALUE(questions[[#This Row],[qno]]),VALUE(stable[qno]),0))</f>
        <v>1</v>
      </c>
      <c r="Q1405" s="77" t="b" cm="1">
        <f t="array" ref="Q1405">INDEX(stable[is_multi_select],MATCH(VALUE(questions[[#This Row],[qno]]),VALUE(stable[qno]),0))</f>
        <v>0</v>
      </c>
      <c r="R1405" s="77" t="b" cm="1">
        <f t="array" ref="R1405">INDEX(stable[is_skip_logic],MATCH(VALUE(questions[[#This Row],[qno]]),VALUE(stable[qno]),0))</f>
        <v>1</v>
      </c>
      <c r="S1405" s="77" t="str">
        <f>_xlfn.TEXTJOIN(", ",TRUE,questions[[#This Row],[ans_opt_1]:[ans_opt_14]])</f>
        <v>Yes, No</v>
      </c>
      <c r="T1405" s="77" t="s">
        <v>149</v>
      </c>
      <c r="U1405" s="77" t="s">
        <v>119</v>
      </c>
      <c r="AH1405" s="98" t="b">
        <f>INDEX(stable[q_standard],MATCH(questions[[#This Row],[qno]],stable[qno],0))</f>
        <v>0</v>
      </c>
      <c r="AI1405" s="98" t="b">
        <f>INDEX(stable[q_living_income],MATCH(questions[[#This Row],[qno]],stable[qno],0))</f>
        <v>0</v>
      </c>
      <c r="AJ1405" s="98" t="b">
        <f>INDEX(stable[q_carbon],MATCH(questions[[#This Row],[qno]],stable[qno],0))</f>
        <v>0</v>
      </c>
      <c r="AK1405" s="98" t="b">
        <f>INDEX(stable[q_regen_ag],MATCH(questions[[#This Row],[qno]],stable[qno],0))</f>
        <v>1</v>
      </c>
      <c r="AL1405" s="98" t="b">
        <f>COUNTIFS(stable[qno],questions[[#This Row],[qno]])=1</f>
        <v>1</v>
      </c>
      <c r="AM1405" s="98" t="b">
        <f>OR(questions[[#This Row],[is_fixed]],questions[[#This Row],[is_localized]],questions[[#This Row],[is_supply_chain_dependent]])</f>
        <v>1</v>
      </c>
      <c r="AN1405" s="98" t="b">
        <f>COUNTIFS(questions[[#This Row],[is_automated]:[is_multi_select]],TRUE)=1</f>
        <v>1</v>
      </c>
      <c r="AO1405" s="98" t="b">
        <f>IF(questions[[#This Row],[is_fixed]],questions[[#This Row],[question]]=INDEX(stable[question],MATCH(questions[[#This Row],[qno]],stable[qno],0)),TRUE)</f>
        <v>0</v>
      </c>
      <c r="AP1405" s="98" t="str">
        <f>LEFT(questions[[#This Row],[question]],similarity_range)</f>
        <v>If you apply chemica</v>
      </c>
      <c r="AQ1405" s="98" t="str">
        <f>LEFT(INDEX(stable[question],MATCH(questions[[#This Row],[qno]],stable[qno],0)),similarity_range)</f>
        <v>If you apply chemica</v>
      </c>
      <c r="AR1405" s="98" t="b">
        <f>questions[[#This Row],[question_first_characters]]=questions[[#This Row],[stability_first_characters]]</f>
        <v>1</v>
      </c>
      <c r="AS1405" s="98" t="b">
        <f>IF(OR(questions[[#This Row],[is_single_select]],questions[[#This Row],[is_multi_select]]),NOT(ISBLANK(questions[[#This Row],[answer_opt_combined]])),TRUE)</f>
        <v>1</v>
      </c>
    </row>
    <row r="1406" spans="1:45" s="77" customFormat="1" ht="15.75" customHeight="1" x14ac:dyDescent="0.25">
      <c r="A1406" s="77" t="str">
        <f>_xlfn.TEXTJOIN("_",TRUE,questions[[#This Row],[origin]:[qno]])</f>
        <v>Rwanda_Arabica_Nestle_Illy_IMPACT_2025_7244</v>
      </c>
      <c r="B1406" s="77" t="s">
        <v>719</v>
      </c>
      <c r="C1406" s="77" t="s">
        <v>59</v>
      </c>
      <c r="D1406" s="77" t="s">
        <v>720</v>
      </c>
      <c r="E1406" s="77">
        <v>2025</v>
      </c>
      <c r="F1406" s="105" t="s">
        <v>402</v>
      </c>
      <c r="G1406" s="78" t="s">
        <v>803</v>
      </c>
      <c r="H1406" s="9" t="str" cm="1">
        <f t="array" ref="H1406">INDEX(stableR[question],MATCH(VALUE(questions[[#This Row],[qno]]),VALUE(stableR[qno]),0))</f>
        <v>If you apply chemical PPPs, can you prove/show that all are locally authorized for coffee (e.g. coffee is in the product label), and that you respect the recommended dose and post-harvest intervals of the label of the product?</v>
      </c>
      <c r="I1406" s="9" t="b" cm="1">
        <f t="array" ref="I1406">INDEX(stable[is_fixed],MATCH(VALUE(questions[[#This Row],[qno]]),VALUE(stable[qno]),0))</f>
        <v>1</v>
      </c>
      <c r="J1406" s="9" t="b" cm="1">
        <f t="array" ref="J1406">INDEX(stable[is_localized],MATCH(VALUE(questions[[#This Row],[qno]]),VALUE(stable[qno]),0))</f>
        <v>0</v>
      </c>
      <c r="K1406" s="9" t="b" cm="1">
        <f t="array" ref="K1406">INDEX(stable[is_supply_chain_dependent],MATCH(VALUE(questions[[#This Row],[qno]]),VALUE(stable[qno]),0))</f>
        <v>0</v>
      </c>
      <c r="L1406" s="9" t="b" cm="1">
        <f t="array" ref="L1406">INDEX(stable[is_mandatory],MATCH(VALUE(questions[[#This Row],[qno]]),VALUE(stable[qno]),0))</f>
        <v>0</v>
      </c>
      <c r="M1406" s="9" t="b" cm="1">
        <f t="array" ref="M1406">INDEX(stable[is_automated],MATCH(VALUE(questions[[#This Row],[qno]]),VALUE(stable[qno]),0))</f>
        <v>0</v>
      </c>
      <c r="N1406" s="9" t="b" cm="1">
        <f t="array" ref="N1406">INDEX(stable[is_free_text],MATCH(VALUE(questions[[#This Row],[qno]]),VALUE(stable[qno]),0))</f>
        <v>0</v>
      </c>
      <c r="O1406" s="9" t="b" cm="1">
        <f t="array" ref="O1406">INDEX(stable[is_numerical],MATCH(VALUE(questions[[#This Row],[qno]]),VALUE(stable[qno]),0))</f>
        <v>0</v>
      </c>
      <c r="P1406" s="77" t="b" cm="1">
        <f t="array" ref="P1406">INDEX(stable[is_single_select],MATCH(VALUE(questions[[#This Row],[qno]]),VALUE(stable[qno]),0))</f>
        <v>1</v>
      </c>
      <c r="Q1406" s="77" t="b" cm="1">
        <f t="array" ref="Q1406">INDEX(stable[is_multi_select],MATCH(VALUE(questions[[#This Row],[qno]]),VALUE(stable[qno]),0))</f>
        <v>0</v>
      </c>
      <c r="R1406" s="77" t="b" cm="1">
        <f t="array" ref="R1406">INDEX(stable[is_skip_logic],MATCH(VALUE(questions[[#This Row],[qno]]),VALUE(stable[qno]),0))</f>
        <v>1</v>
      </c>
      <c r="S1406" s="77" t="str">
        <f>_xlfn.TEXTJOIN(", ",TRUE,questions[[#This Row],[ans_opt_1]:[ans_opt_14]])</f>
        <v>1, 2, 3, 4, 5, &gt;5</v>
      </c>
      <c r="T1406" s="77">
        <v>1</v>
      </c>
      <c r="U1406" s="77">
        <v>2</v>
      </c>
      <c r="V1406" s="77">
        <v>3</v>
      </c>
      <c r="W1406" s="77">
        <v>4</v>
      </c>
      <c r="X1406" s="77">
        <v>5</v>
      </c>
      <c r="Y1406" s="77" t="s">
        <v>404</v>
      </c>
      <c r="AH1406" s="98" t="b">
        <f>INDEX(stable[q_standard],MATCH(questions[[#This Row],[qno]],stable[qno],0))</f>
        <v>0</v>
      </c>
      <c r="AI1406" s="98" t="b">
        <f>INDEX(stable[q_living_income],MATCH(questions[[#This Row],[qno]],stable[qno],0))</f>
        <v>0</v>
      </c>
      <c r="AJ1406" s="98" t="b">
        <f>INDEX(stable[q_carbon],MATCH(questions[[#This Row],[qno]],stable[qno],0))</f>
        <v>0</v>
      </c>
      <c r="AK1406" s="98" t="b">
        <f>INDEX(stable[q_regen_ag],MATCH(questions[[#This Row],[qno]],stable[qno],0))</f>
        <v>1</v>
      </c>
      <c r="AL1406" s="98" t="b">
        <f>COUNTIFS(stable[qno],questions[[#This Row],[qno]])=1</f>
        <v>1</v>
      </c>
      <c r="AM1406" s="98" t="b">
        <f>OR(questions[[#This Row],[is_fixed]],questions[[#This Row],[is_localized]],questions[[#This Row],[is_supply_chain_dependent]])</f>
        <v>1</v>
      </c>
      <c r="AN1406" s="98" t="b">
        <f>COUNTIFS(questions[[#This Row],[is_automated]:[is_multi_select]],TRUE)=1</f>
        <v>1</v>
      </c>
      <c r="AO1406" s="98" t="b">
        <f>IF(questions[[#This Row],[is_fixed]],questions[[#This Row],[question]]=INDEX(stable[question],MATCH(questions[[#This Row],[qno]],stable[qno],0)),TRUE)</f>
        <v>0</v>
      </c>
      <c r="AP1406" s="98" t="str">
        <f>LEFT(questions[[#This Row],[question]],similarity_range)</f>
        <v>If you apply chemica</v>
      </c>
      <c r="AQ1406" s="98" t="str">
        <f>LEFT(INDEX(stable[question],MATCH(questions[[#This Row],[qno]],stable[qno],0)),similarity_range)</f>
        <v>If you apply chemica</v>
      </c>
      <c r="AR1406" s="98" t="b">
        <f>questions[[#This Row],[question_first_characters]]=questions[[#This Row],[stability_first_characters]]</f>
        <v>1</v>
      </c>
      <c r="AS1406" s="98" t="b">
        <f>IF(OR(questions[[#This Row],[is_single_select]],questions[[#This Row],[is_multi_select]]),NOT(ISBLANK(questions[[#This Row],[answer_opt_combined]])),TRUE)</f>
        <v>1</v>
      </c>
    </row>
    <row r="1407" spans="1:45" s="77" customFormat="1" ht="15.75" customHeight="1" x14ac:dyDescent="0.25">
      <c r="A1407" s="77" t="str">
        <f>_xlfn.TEXTJOIN("_",TRUE,questions[[#This Row],[origin]:[qno]])</f>
        <v>Rwanda_Arabica_Nestle_Illy_IMPACT_2025_7245</v>
      </c>
      <c r="B1407" s="77" t="s">
        <v>719</v>
      </c>
      <c r="C1407" s="77" t="s">
        <v>59</v>
      </c>
      <c r="D1407" s="77" t="s">
        <v>720</v>
      </c>
      <c r="E1407" s="77">
        <v>2025</v>
      </c>
      <c r="F1407" s="105" t="s">
        <v>405</v>
      </c>
      <c r="G1407" s="78" t="s">
        <v>804</v>
      </c>
      <c r="H1407" s="9" t="str" cm="1">
        <f t="array" ref="H1407">INDEX(stableR[question],MATCH(VALUE(questions[[#This Row],[qno]]),VALUE(stableR[qno]),0))</f>
        <v>If you apply chemical PPPs to control pests and diseases in your farm, how many applications do you apply on average per year?</v>
      </c>
      <c r="I1407" s="9" t="b" cm="1">
        <f t="array" ref="I1407">INDEX(stable[is_fixed],MATCH(VALUE(questions[[#This Row],[qno]]),VALUE(stable[qno]),0))</f>
        <v>1</v>
      </c>
      <c r="J1407" s="9" t="b" cm="1">
        <f t="array" ref="J1407">INDEX(stable[is_localized],MATCH(VALUE(questions[[#This Row],[qno]]),VALUE(stable[qno]),0))</f>
        <v>0</v>
      </c>
      <c r="K1407" s="9" t="b" cm="1">
        <f t="array" ref="K1407">INDEX(stable[is_supply_chain_dependent],MATCH(VALUE(questions[[#This Row],[qno]]),VALUE(stable[qno]),0))</f>
        <v>0</v>
      </c>
      <c r="L1407" s="9" t="b" cm="1">
        <f t="array" ref="L1407">INDEX(stable[is_mandatory],MATCH(VALUE(questions[[#This Row],[qno]]),VALUE(stable[qno]),0))</f>
        <v>0</v>
      </c>
      <c r="M1407" s="9" t="b" cm="1">
        <f t="array" ref="M1407">INDEX(stable[is_automated],MATCH(VALUE(questions[[#This Row],[qno]]),VALUE(stable[qno]),0))</f>
        <v>0</v>
      </c>
      <c r="N1407" s="9" t="b" cm="1">
        <f t="array" ref="N1407">INDEX(stable[is_free_text],MATCH(VALUE(questions[[#This Row],[qno]]),VALUE(stable[qno]),0))</f>
        <v>0</v>
      </c>
      <c r="O1407" s="9" t="b" cm="1">
        <f t="array" ref="O1407">INDEX(stable[is_numerical],MATCH(VALUE(questions[[#This Row],[qno]]),VALUE(stable[qno]),0))</f>
        <v>0</v>
      </c>
      <c r="P1407" s="77" t="b" cm="1">
        <f t="array" ref="P1407">INDEX(stable[is_single_select],MATCH(VALUE(questions[[#This Row],[qno]]),VALUE(stable[qno]),0))</f>
        <v>1</v>
      </c>
      <c r="Q1407" s="77" t="b" cm="1">
        <f t="array" ref="Q1407">INDEX(stable[is_multi_select],MATCH(VALUE(questions[[#This Row],[qno]]),VALUE(stable[qno]),0))</f>
        <v>0</v>
      </c>
      <c r="R1407" s="77" t="b" cm="1">
        <f t="array" ref="R1407">INDEX(stable[is_skip_logic],MATCH(VALUE(questions[[#This Row],[qno]]),VALUE(stable[qno]),0))</f>
        <v>1</v>
      </c>
      <c r="S1407" s="77" t="str">
        <f>_xlfn.TEXTJOIN(", ",TRUE,questions[[#This Row],[ans_opt_1]:[ans_opt_14]])</f>
        <v>Increased - pest/disease pressure, Increased - weather conditions, Increased - pest/disease resistance, Decreased - pest/disease pressure, Decreased - adverse weather conditions, Decreased - increased cost, Decreased - replaced by regenerative agriculture</v>
      </c>
      <c r="T1407" s="77" t="s">
        <v>407</v>
      </c>
      <c r="U1407" s="77" t="s">
        <v>408</v>
      </c>
      <c r="V1407" s="77" t="s">
        <v>409</v>
      </c>
      <c r="W1407" s="77" t="s">
        <v>410</v>
      </c>
      <c r="X1407" s="77" t="s">
        <v>411</v>
      </c>
      <c r="Y1407" s="77" t="s">
        <v>412</v>
      </c>
      <c r="Z1407" s="77" t="s">
        <v>413</v>
      </c>
      <c r="AH1407" s="98" t="b">
        <f>INDEX(stable[q_standard],MATCH(questions[[#This Row],[qno]],stable[qno],0))</f>
        <v>0</v>
      </c>
      <c r="AI1407" s="98" t="b">
        <f>INDEX(stable[q_living_income],MATCH(questions[[#This Row],[qno]],stable[qno],0))</f>
        <v>0</v>
      </c>
      <c r="AJ1407" s="98" t="b">
        <f>INDEX(stable[q_carbon],MATCH(questions[[#This Row],[qno]],stable[qno],0))</f>
        <v>0</v>
      </c>
      <c r="AK1407" s="98" t="b">
        <f>INDEX(stable[q_regen_ag],MATCH(questions[[#This Row],[qno]],stable[qno],0))</f>
        <v>1</v>
      </c>
      <c r="AL1407" s="98" t="b">
        <f>COUNTIFS(stable[qno],questions[[#This Row],[qno]])=1</f>
        <v>1</v>
      </c>
      <c r="AM1407" s="98" t="b">
        <f>OR(questions[[#This Row],[is_fixed]],questions[[#This Row],[is_localized]],questions[[#This Row],[is_supply_chain_dependent]])</f>
        <v>1</v>
      </c>
      <c r="AN1407" s="98" t="b">
        <f>COUNTIFS(questions[[#This Row],[is_automated]:[is_multi_select]],TRUE)=1</f>
        <v>1</v>
      </c>
      <c r="AO1407" s="98" t="b">
        <f>IF(questions[[#This Row],[is_fixed]],questions[[#This Row],[question]]=INDEX(stable[question],MATCH(questions[[#This Row],[qno]],stable[qno],0)),TRUE)</f>
        <v>0</v>
      </c>
      <c r="AP1407" s="98" t="str">
        <f>LEFT(questions[[#This Row],[question]],similarity_range)</f>
        <v>Have you decreased o</v>
      </c>
      <c r="AQ1407" s="98" t="str">
        <f>LEFT(INDEX(stable[question],MATCH(questions[[#This Row],[qno]],stable[qno],0)),similarity_range)</f>
        <v>Have you decreased o</v>
      </c>
      <c r="AR1407" s="98" t="b">
        <f>questions[[#This Row],[question_first_characters]]=questions[[#This Row],[stability_first_characters]]</f>
        <v>1</v>
      </c>
      <c r="AS1407" s="98" t="b">
        <f>IF(OR(questions[[#This Row],[is_single_select]],questions[[#This Row],[is_multi_select]]),NOT(ISBLANK(questions[[#This Row],[answer_opt_combined]])),TRUE)</f>
        <v>1</v>
      </c>
    </row>
    <row r="1408" spans="1:45" s="77" customFormat="1" ht="15.75" customHeight="1" x14ac:dyDescent="0.25">
      <c r="A1408" s="77" t="str">
        <f>_xlfn.TEXTJOIN("_",TRUE,questions[[#This Row],[origin]:[qno]])</f>
        <v>Rwanda_Arabica_Nestle_Illy_IMPACT_2025_7250</v>
      </c>
      <c r="B1408" s="77" t="s">
        <v>719</v>
      </c>
      <c r="C1408" s="77" t="s">
        <v>59</v>
      </c>
      <c r="D1408" s="77" t="s">
        <v>720</v>
      </c>
      <c r="E1408" s="77">
        <v>2025</v>
      </c>
      <c r="F1408" s="105" t="s">
        <v>414</v>
      </c>
      <c r="G1408" s="78" t="s">
        <v>805</v>
      </c>
      <c r="H1408" s="9" t="str" cm="1">
        <f t="array" ref="H1408">INDEX(stableR[question],MATCH(VALUE(questions[[#This Row],[qno]]),VALUE(stableR[qno]),0))</f>
        <v>Do you apply chemical herbicides to your coffee crop and how many (different active ingredients) per crop season?</v>
      </c>
      <c r="I1408" s="9" t="b" cm="1">
        <f t="array" ref="I1408">INDEX(stable[is_fixed],MATCH(VALUE(questions[[#This Row],[qno]]),VALUE(stable[qno]),0))</f>
        <v>1</v>
      </c>
      <c r="J1408" s="9" t="b" cm="1">
        <f t="array" ref="J1408">INDEX(stable[is_localized],MATCH(VALUE(questions[[#This Row],[qno]]),VALUE(stable[qno]),0))</f>
        <v>0</v>
      </c>
      <c r="K1408" s="9" t="b" cm="1">
        <f t="array" ref="K1408">INDEX(stable[is_supply_chain_dependent],MATCH(VALUE(questions[[#This Row],[qno]]),VALUE(stable[qno]),0))</f>
        <v>0</v>
      </c>
      <c r="L1408" s="9" t="b" cm="1">
        <f t="array" ref="L1408">INDEX(stable[is_mandatory],MATCH(VALUE(questions[[#This Row],[qno]]),VALUE(stable[qno]),0))</f>
        <v>1</v>
      </c>
      <c r="M1408" s="9" t="b" cm="1">
        <f t="array" ref="M1408">INDEX(stable[is_automated],MATCH(VALUE(questions[[#This Row],[qno]]),VALUE(stable[qno]),0))</f>
        <v>0</v>
      </c>
      <c r="N1408" s="9" t="b" cm="1">
        <f t="array" ref="N1408">INDEX(stable[is_free_text],MATCH(VALUE(questions[[#This Row],[qno]]),VALUE(stable[qno]),0))</f>
        <v>0</v>
      </c>
      <c r="O1408" s="9" t="b" cm="1">
        <f t="array" ref="O1408">INDEX(stable[is_numerical],MATCH(VALUE(questions[[#This Row],[qno]]),VALUE(stable[qno]),0))</f>
        <v>0</v>
      </c>
      <c r="P1408" s="77" t="b" cm="1">
        <f t="array" ref="P1408">INDEX(stable[is_single_select],MATCH(VALUE(questions[[#This Row],[qno]]),VALUE(stable[qno]),0))</f>
        <v>1</v>
      </c>
      <c r="Q1408" s="77" t="b" cm="1">
        <f t="array" ref="Q1408">INDEX(stable[is_multi_select],MATCH(VALUE(questions[[#This Row],[qno]]),VALUE(stable[qno]),0))</f>
        <v>0</v>
      </c>
      <c r="R1408" s="77" t="b" cm="1">
        <f t="array" ref="R1408">INDEX(stable[is_skip_logic],MATCH(VALUE(questions[[#This Row],[qno]]),VALUE(stable[qno]),0))</f>
        <v>1</v>
      </c>
      <c r="S1408" s="77" t="str">
        <f>_xlfn.TEXTJOIN(", ",TRUE,questions[[#This Row],[ans_opt_1]:[ans_opt_14]])</f>
        <v>No, Yes / 1-2 herbicides (active ingredients), Yes / 3-4 herbicides (active ingredients), Yes / &gt;=5 herbicides (active ingredients), Yes / &gt;=5 herbicides (active ingredients)</v>
      </c>
      <c r="T1408" s="77" t="s">
        <v>119</v>
      </c>
      <c r="U1408" s="77" t="s">
        <v>416</v>
      </c>
      <c r="V1408" s="77" t="s">
        <v>417</v>
      </c>
      <c r="W1408" s="77" t="s">
        <v>418</v>
      </c>
      <c r="X1408" s="77" t="s">
        <v>418</v>
      </c>
      <c r="AH1408" s="98" t="b">
        <f>INDEX(stable[q_standard],MATCH(questions[[#This Row],[qno]],stable[qno],0))</f>
        <v>0</v>
      </c>
      <c r="AI1408" s="98" t="b">
        <f>INDEX(stable[q_living_income],MATCH(questions[[#This Row],[qno]],stable[qno],0))</f>
        <v>0</v>
      </c>
      <c r="AJ1408" s="98" t="b">
        <f>INDEX(stable[q_carbon],MATCH(questions[[#This Row],[qno]],stable[qno],0))</f>
        <v>0</v>
      </c>
      <c r="AK1408" s="98" t="b">
        <f>INDEX(stable[q_regen_ag],MATCH(questions[[#This Row],[qno]],stable[qno],0))</f>
        <v>1</v>
      </c>
      <c r="AL1408" s="98" t="b">
        <f>COUNTIFS(stable[qno],questions[[#This Row],[qno]])=1</f>
        <v>1</v>
      </c>
      <c r="AM1408" s="98" t="b">
        <f>OR(questions[[#This Row],[is_fixed]],questions[[#This Row],[is_localized]],questions[[#This Row],[is_supply_chain_dependent]])</f>
        <v>1</v>
      </c>
      <c r="AN1408" s="98" t="b">
        <f>COUNTIFS(questions[[#This Row],[is_automated]:[is_multi_select]],TRUE)=1</f>
        <v>1</v>
      </c>
      <c r="AO1408" s="98" t="b">
        <f>IF(questions[[#This Row],[is_fixed]],questions[[#This Row],[question]]=INDEX(stable[question],MATCH(questions[[#This Row],[qno]],stable[qno],0)),TRUE)</f>
        <v>0</v>
      </c>
      <c r="AP1408" s="98" t="str">
        <f>LEFT(questions[[#This Row],[question]],similarity_range)</f>
        <v>Did you use herbicid</v>
      </c>
      <c r="AQ1408" s="98" t="str">
        <f>LEFT(INDEX(stable[question],MATCH(questions[[#This Row],[qno]],stable[qno],0)),similarity_range)</f>
        <v>Did you use herbicid</v>
      </c>
      <c r="AR1408" s="98" t="b">
        <f>questions[[#This Row],[question_first_characters]]=questions[[#This Row],[stability_first_characters]]</f>
        <v>1</v>
      </c>
      <c r="AS1408" s="98" t="b">
        <f>IF(OR(questions[[#This Row],[is_single_select]],questions[[#This Row],[is_multi_select]]),NOT(ISBLANK(questions[[#This Row],[answer_opt_combined]])),TRUE)</f>
        <v>1</v>
      </c>
    </row>
    <row r="1409" spans="1:45" s="77" customFormat="1" ht="15.75" customHeight="1" x14ac:dyDescent="0.25">
      <c r="A1409" s="77" t="str">
        <f>_xlfn.TEXTJOIN("_",TRUE,questions[[#This Row],[origin]:[qno]])</f>
        <v>Rwanda_Arabica_Nestle_Illy_IMPACT_2025_7251</v>
      </c>
      <c r="B1409" s="77" t="s">
        <v>719</v>
      </c>
      <c r="C1409" s="77" t="s">
        <v>59</v>
      </c>
      <c r="D1409" s="77" t="s">
        <v>720</v>
      </c>
      <c r="E1409" s="77">
        <v>2025</v>
      </c>
      <c r="F1409" s="108" t="s">
        <v>419</v>
      </c>
      <c r="G1409" s="78" t="s">
        <v>420</v>
      </c>
      <c r="H1409" s="9" t="str" cm="1">
        <f t="array" ref="H1409">INDEX(stableR[question],MATCH(VALUE(questions[[#This Row],[qno]]),VALUE(stableR[qno]),0))</f>
        <v>If yes, list the names of all the herbicides that you used, last year.</v>
      </c>
      <c r="I1409" s="9" t="b" cm="1">
        <f t="array" ref="I1409">INDEX(stable[is_fixed],MATCH(VALUE(questions[[#This Row],[qno]]),VALUE(stable[qno]),0))</f>
        <v>1</v>
      </c>
      <c r="J1409" s="9" t="b" cm="1">
        <f t="array" ref="J1409">INDEX(stable[is_localized],MATCH(VALUE(questions[[#This Row],[qno]]),VALUE(stable[qno]),0))</f>
        <v>0</v>
      </c>
      <c r="K1409" s="9" t="b" cm="1">
        <f t="array" ref="K1409">INDEX(stable[is_supply_chain_dependent],MATCH(VALUE(questions[[#This Row],[qno]]),VALUE(stable[qno]),0))</f>
        <v>0</v>
      </c>
      <c r="L1409" s="9" t="b" cm="1">
        <f t="array" ref="L1409">INDEX(stable[is_mandatory],MATCH(VALUE(questions[[#This Row],[qno]]),VALUE(stable[qno]),0))</f>
        <v>0</v>
      </c>
      <c r="M1409" s="9" t="b" cm="1">
        <f t="array" ref="M1409">INDEX(stable[is_automated],MATCH(VALUE(questions[[#This Row],[qno]]),VALUE(stable[qno]),0))</f>
        <v>0</v>
      </c>
      <c r="N1409" s="9" t="b" cm="1">
        <f t="array" ref="N1409">INDEX(stable[is_free_text],MATCH(VALUE(questions[[#This Row],[qno]]),VALUE(stable[qno]),0))</f>
        <v>0</v>
      </c>
      <c r="O1409" s="9" t="b" cm="1">
        <f t="array" ref="O1409">INDEX(stable[is_numerical],MATCH(VALUE(questions[[#This Row],[qno]]),VALUE(stable[qno]),0))</f>
        <v>0</v>
      </c>
      <c r="P1409" s="77" t="b" cm="1">
        <f t="array" ref="P1409">INDEX(stable[is_single_select],MATCH(VALUE(questions[[#This Row],[qno]]),VALUE(stable[qno]),0))</f>
        <v>1</v>
      </c>
      <c r="Q1409" s="77" t="b" cm="1">
        <f t="array" ref="Q1409">INDEX(stable[is_multi_select],MATCH(VALUE(questions[[#This Row],[qno]]),VALUE(stable[qno]),0))</f>
        <v>0</v>
      </c>
      <c r="R1409" s="77" t="b" cm="1">
        <f t="array" ref="R1409">INDEX(stable[is_skip_logic],MATCH(VALUE(questions[[#This Row],[qno]]),VALUE(stable[qno]),0))</f>
        <v>1</v>
      </c>
      <c r="S1409" s="77" t="str">
        <f>_xlfn.TEXTJOIN(", ",TRUE,questions[[#This Row],[ans_opt_1]:[ans_opt_14]])</f>
        <v>1% to 10% - very little, 11% to 20% - little, 21% to 50% - less than half, 51% to 75% - more than half, 76% to 100% - almost all</v>
      </c>
      <c r="T1409" s="77" t="s">
        <v>421</v>
      </c>
      <c r="U1409" s="77" t="s">
        <v>422</v>
      </c>
      <c r="V1409" s="77" t="s">
        <v>423</v>
      </c>
      <c r="W1409" s="77" t="s">
        <v>340</v>
      </c>
      <c r="X1409" s="77" t="s">
        <v>341</v>
      </c>
      <c r="AH1409" s="98" t="b">
        <f>INDEX(stable[q_standard],MATCH(questions[[#This Row],[qno]],stable[qno],0))</f>
        <v>0</v>
      </c>
      <c r="AI1409" s="98" t="b">
        <f>INDEX(stable[q_living_income],MATCH(questions[[#This Row],[qno]],stable[qno],0))</f>
        <v>0</v>
      </c>
      <c r="AJ1409" s="98" t="b">
        <f>INDEX(stable[q_carbon],MATCH(questions[[#This Row],[qno]],stable[qno],0))</f>
        <v>0</v>
      </c>
      <c r="AK1409" s="98" t="b">
        <f>INDEX(stable[q_regen_ag],MATCH(questions[[#This Row],[qno]],stable[qno],0))</f>
        <v>1</v>
      </c>
      <c r="AL1409" s="98" t="b">
        <f>COUNTIFS(stable[qno],questions[[#This Row],[qno]])=1</f>
        <v>1</v>
      </c>
      <c r="AM1409" s="98" t="b">
        <f>OR(questions[[#This Row],[is_fixed]],questions[[#This Row],[is_localized]],questions[[#This Row],[is_supply_chain_dependent]])</f>
        <v>1</v>
      </c>
      <c r="AN1409" s="98" t="b">
        <f>COUNTIFS(questions[[#This Row],[is_automated]:[is_multi_select]],TRUE)=1</f>
        <v>1</v>
      </c>
      <c r="AO1409" s="98" t="b">
        <f>IF(questions[[#This Row],[is_fixed]],questions[[#This Row],[question]]=INDEX(stable[question],MATCH(questions[[#This Row],[qno]],stable[qno],0)),TRUE)</f>
        <v>0</v>
      </c>
      <c r="AP1409" s="98" t="str">
        <f>LEFT(questions[[#This Row],[question]],similarity_range)</f>
        <v>If you apply chemica</v>
      </c>
      <c r="AQ1409" s="98" t="str">
        <f>LEFT(INDEX(stable[question],MATCH(questions[[#This Row],[qno]],stable[qno],0)),similarity_range)</f>
        <v>If you apply chemica</v>
      </c>
      <c r="AR1409" s="98" t="b">
        <f>questions[[#This Row],[question_first_characters]]=questions[[#This Row],[stability_first_characters]]</f>
        <v>1</v>
      </c>
      <c r="AS1409" s="98" t="b">
        <f>IF(OR(questions[[#This Row],[is_single_select]],questions[[#This Row],[is_multi_select]]),NOT(ISBLANK(questions[[#This Row],[answer_opt_combined]])),TRUE)</f>
        <v>1</v>
      </c>
    </row>
    <row r="1410" spans="1:45" s="77" customFormat="1" ht="15.75" customHeight="1" x14ac:dyDescent="0.25">
      <c r="A1410" s="77" t="str">
        <f>_xlfn.TEXTJOIN("_",TRUE,questions[[#This Row],[origin]:[qno]])</f>
        <v>Rwanda_Arabica_Nestle_Illy_IMPACT_2025_7252</v>
      </c>
      <c r="B1410" s="77" t="s">
        <v>719</v>
      </c>
      <c r="C1410" s="77" t="s">
        <v>59</v>
      </c>
      <c r="D1410" s="77" t="s">
        <v>720</v>
      </c>
      <c r="E1410" s="77">
        <v>2025</v>
      </c>
      <c r="F1410" s="105" t="s">
        <v>424</v>
      </c>
      <c r="G1410" s="78" t="s">
        <v>425</v>
      </c>
      <c r="H1410" s="9" t="str" cm="1">
        <f t="array" ref="H1410">INDEX(stableR[question],MATCH(VALUE(questions[[#This Row],[qno]]),VALUE(stableR[qno]),0))</f>
        <v>If applying herbicides, to which % of area of the coffee plots? e.g. if the coffee area is 1 hectare and herbicides are sprayed to only 0.5 hectare (where there is high weed pressure), then it is 50%</v>
      </c>
      <c r="I1410" s="9" t="b" cm="1">
        <f t="array" ref="I1410">INDEX(stable[is_fixed],MATCH(VALUE(questions[[#This Row],[qno]]),VALUE(stable[qno]),0))</f>
        <v>1</v>
      </c>
      <c r="J1410" s="9" t="b" cm="1">
        <f t="array" ref="J1410">INDEX(stable[is_localized],MATCH(VALUE(questions[[#This Row],[qno]]),VALUE(stable[qno]),0))</f>
        <v>0</v>
      </c>
      <c r="K1410" s="9" t="b" cm="1">
        <f t="array" ref="K1410">INDEX(stable[is_supply_chain_dependent],MATCH(VALUE(questions[[#This Row],[qno]]),VALUE(stable[qno]),0))</f>
        <v>0</v>
      </c>
      <c r="L1410" s="9" t="b" cm="1">
        <f t="array" ref="L1410">INDEX(stable[is_mandatory],MATCH(VALUE(questions[[#This Row],[qno]]),VALUE(stable[qno]),0))</f>
        <v>0</v>
      </c>
      <c r="M1410" s="9" t="b" cm="1">
        <f t="array" ref="M1410">INDEX(stable[is_automated],MATCH(VALUE(questions[[#This Row],[qno]]),VALUE(stable[qno]),0))</f>
        <v>0</v>
      </c>
      <c r="N1410" s="9" t="b" cm="1">
        <f t="array" ref="N1410">INDEX(stable[is_free_text],MATCH(VALUE(questions[[#This Row],[qno]]),VALUE(stable[qno]),0))</f>
        <v>0</v>
      </c>
      <c r="O1410" s="9" t="b" cm="1">
        <f t="array" ref="O1410">INDEX(stable[is_numerical],MATCH(VALUE(questions[[#This Row],[qno]]),VALUE(stable[qno]),0))</f>
        <v>0</v>
      </c>
      <c r="P1410" s="77" t="b" cm="1">
        <f t="array" ref="P1410">INDEX(stable[is_single_select],MATCH(VALUE(questions[[#This Row],[qno]]),VALUE(stable[qno]),0))</f>
        <v>1</v>
      </c>
      <c r="Q1410" s="77" t="b" cm="1">
        <f t="array" ref="Q1410">INDEX(stable[is_multi_select],MATCH(VALUE(questions[[#This Row],[qno]]),VALUE(stable[qno]),0))</f>
        <v>0</v>
      </c>
      <c r="R1410" s="77" t="b" cm="1">
        <f t="array" ref="R1410">INDEX(stable[is_skip_logic],MATCH(VALUE(questions[[#This Row],[qno]]),VALUE(stable[qno]),0))</f>
        <v>1</v>
      </c>
      <c r="S1410" s="77" t="str">
        <f>_xlfn.TEXTJOIN(", ",TRUE,questions[[#This Row],[ans_opt_1]:[ans_opt_14]])</f>
        <v>Yes, No</v>
      </c>
      <c r="T1410" s="77" t="s">
        <v>149</v>
      </c>
      <c r="U1410" s="77" t="s">
        <v>119</v>
      </c>
      <c r="AH1410" s="98" t="b">
        <f>INDEX(stable[q_standard],MATCH(questions[[#This Row],[qno]],stable[qno],0))</f>
        <v>0</v>
      </c>
      <c r="AI1410" s="98" t="b">
        <f>INDEX(stable[q_living_income],MATCH(questions[[#This Row],[qno]],stable[qno],0))</f>
        <v>0</v>
      </c>
      <c r="AJ1410" s="98" t="b">
        <f>INDEX(stable[q_carbon],MATCH(questions[[#This Row],[qno]],stable[qno],0))</f>
        <v>0</v>
      </c>
      <c r="AK1410" s="98" t="b">
        <f>INDEX(stable[q_regen_ag],MATCH(questions[[#This Row],[qno]],stable[qno],0))</f>
        <v>1</v>
      </c>
      <c r="AL1410" s="98" t="b">
        <f>COUNTIFS(stable[qno],questions[[#This Row],[qno]])=1</f>
        <v>1</v>
      </c>
      <c r="AM1410" s="98" t="b">
        <f>OR(questions[[#This Row],[is_fixed]],questions[[#This Row],[is_localized]],questions[[#This Row],[is_supply_chain_dependent]])</f>
        <v>1</v>
      </c>
      <c r="AN1410" s="98" t="b">
        <f>COUNTIFS(questions[[#This Row],[is_automated]:[is_multi_select]],TRUE)=1</f>
        <v>1</v>
      </c>
      <c r="AO1410" s="98" t="b">
        <f>IF(questions[[#This Row],[is_fixed]],questions[[#This Row],[question]]=INDEX(stable[question],MATCH(questions[[#This Row],[qno]],stable[qno],0)),TRUE)</f>
        <v>0</v>
      </c>
      <c r="AP1410" s="98" t="str">
        <f>LEFT(questions[[#This Row],[question]],similarity_range)</f>
        <v>If applying herbicid</v>
      </c>
      <c r="AQ1410" s="98" t="str">
        <f>LEFT(INDEX(stable[question],MATCH(questions[[#This Row],[qno]],stable[qno],0)),similarity_range)</f>
        <v>If applying herbicid</v>
      </c>
      <c r="AR1410" s="98" t="b">
        <f>questions[[#This Row],[question_first_characters]]=questions[[#This Row],[stability_first_characters]]</f>
        <v>1</v>
      </c>
      <c r="AS1410" s="98" t="b">
        <f>IF(OR(questions[[#This Row],[is_single_select]],questions[[#This Row],[is_multi_select]]),NOT(ISBLANK(questions[[#This Row],[answer_opt_combined]])),TRUE)</f>
        <v>1</v>
      </c>
    </row>
    <row r="1411" spans="1:45" s="77" customFormat="1" ht="15.75" customHeight="1" x14ac:dyDescent="0.25">
      <c r="A1411" s="77" t="str">
        <f>_xlfn.TEXTJOIN("_",TRUE,questions[[#This Row],[origin]:[qno]])</f>
        <v>Rwanda_Arabica_Nestle_Illy_IMPACT_2025_7253</v>
      </c>
      <c r="B1411" s="77" t="s">
        <v>719</v>
      </c>
      <c r="C1411" s="77" t="s">
        <v>59</v>
      </c>
      <c r="D1411" s="77" t="s">
        <v>720</v>
      </c>
      <c r="E1411" s="77">
        <v>2025</v>
      </c>
      <c r="F1411" s="105" t="s">
        <v>426</v>
      </c>
      <c r="G1411" s="78" t="s">
        <v>427</v>
      </c>
      <c r="H1411" s="9" t="str" cm="1">
        <f t="array" ref="H1411">INDEX(stableR[question],MATCH(VALUE(questions[[#This Row],[qno]]),VALUE(stableR[qno]),0))</f>
        <v>If applying herbicides, can you prove that all are locally authorized for coffee use, and that you respect the doses and post-harvest intervals of the label of the product. If applying herbicides, to which % of area of the coffee plots? e.g. if the coffee area is 1 hectare and herbicides are sprayed to only 0.5 hectare (where there is high weed pressure), then it is 50%</v>
      </c>
      <c r="I1411" s="9" t="b" cm="1">
        <f t="array" ref="I1411">INDEX(stable[is_fixed],MATCH(VALUE(questions[[#This Row],[qno]]),VALUE(stable[qno]),0))</f>
        <v>1</v>
      </c>
      <c r="J1411" s="9" t="b" cm="1">
        <f t="array" ref="J1411">INDEX(stable[is_localized],MATCH(VALUE(questions[[#This Row],[qno]]),VALUE(stable[qno]),0))</f>
        <v>0</v>
      </c>
      <c r="K1411" s="9" t="b" cm="1">
        <f t="array" ref="K1411">INDEX(stable[is_supply_chain_dependent],MATCH(VALUE(questions[[#This Row],[qno]]),VALUE(stable[qno]),0))</f>
        <v>0</v>
      </c>
      <c r="L1411" s="9" t="b" cm="1">
        <f t="array" ref="L1411">INDEX(stable[is_mandatory],MATCH(VALUE(questions[[#This Row],[qno]]),VALUE(stable[qno]),0))</f>
        <v>1</v>
      </c>
      <c r="M1411" s="9" t="b" cm="1">
        <f t="array" ref="M1411">INDEX(stable[is_automated],MATCH(VALUE(questions[[#This Row],[qno]]),VALUE(stable[qno]),0))</f>
        <v>0</v>
      </c>
      <c r="N1411" s="9" t="b" cm="1">
        <f t="array" ref="N1411">INDEX(stable[is_free_text],MATCH(VALUE(questions[[#This Row],[qno]]),VALUE(stable[qno]),0))</f>
        <v>0</v>
      </c>
      <c r="O1411" s="9" t="b" cm="1">
        <f t="array" ref="O1411">INDEX(stable[is_numerical],MATCH(VALUE(questions[[#This Row],[qno]]),VALUE(stable[qno]),0))</f>
        <v>0</v>
      </c>
      <c r="P1411" s="77" t="b" cm="1">
        <f t="array" ref="P1411">INDEX(stable[is_single_select],MATCH(VALUE(questions[[#This Row],[qno]]),VALUE(stable[qno]),0))</f>
        <v>1</v>
      </c>
      <c r="Q1411" s="77" t="b" cm="1">
        <f t="array" ref="Q1411">INDEX(stable[is_multi_select],MATCH(VALUE(questions[[#This Row],[qno]]),VALUE(stable[qno]),0))</f>
        <v>0</v>
      </c>
      <c r="R1411" s="77" t="b" cm="1">
        <f t="array" ref="R1411">INDEX(stable[is_skip_logic],MATCH(VALUE(questions[[#This Row],[qno]]),VALUE(stable[qno]),0))</f>
        <v>1</v>
      </c>
      <c r="S1411" s="77" t="str">
        <f>_xlfn.TEXTJOIN(", ",TRUE,questions[[#This Row],[ans_opt_1]:[ans_opt_14]])</f>
        <v>Manual removal, Mechanical removal, Mulching, Cover crops, Cover crops, Amix of different systems</v>
      </c>
      <c r="T1411" s="77" t="s">
        <v>428</v>
      </c>
      <c r="U1411" s="77" t="s">
        <v>429</v>
      </c>
      <c r="V1411" s="77" t="s">
        <v>430</v>
      </c>
      <c r="W1411" s="77" t="s">
        <v>431</v>
      </c>
      <c r="X1411" s="77" t="s">
        <v>431</v>
      </c>
      <c r="Y1411" s="131" t="s">
        <v>806</v>
      </c>
      <c r="AH1411" s="98" t="b">
        <f>INDEX(stable[q_standard],MATCH(questions[[#This Row],[qno]],stable[qno],0))</f>
        <v>0</v>
      </c>
      <c r="AI1411" s="98" t="b">
        <f>INDEX(stable[q_living_income],MATCH(questions[[#This Row],[qno]],stable[qno],0))</f>
        <v>0</v>
      </c>
      <c r="AJ1411" s="98" t="b">
        <f>INDEX(stable[q_carbon],MATCH(questions[[#This Row],[qno]],stable[qno],0))</f>
        <v>0</v>
      </c>
      <c r="AK1411" s="98" t="b">
        <f>INDEX(stable[q_regen_ag],MATCH(questions[[#This Row],[qno]],stable[qno],0))</f>
        <v>1</v>
      </c>
      <c r="AL1411" s="98" t="b">
        <f>COUNTIFS(stable[qno],questions[[#This Row],[qno]])=1</f>
        <v>1</v>
      </c>
      <c r="AM1411" s="98" t="b">
        <f>OR(questions[[#This Row],[is_fixed]],questions[[#This Row],[is_localized]],questions[[#This Row],[is_supply_chain_dependent]])</f>
        <v>1</v>
      </c>
      <c r="AN1411" s="98" t="b">
        <f>COUNTIFS(questions[[#This Row],[is_automated]:[is_multi_select]],TRUE)=1</f>
        <v>1</v>
      </c>
      <c r="AO1411" s="98" t="b">
        <f>IF(questions[[#This Row],[is_fixed]],questions[[#This Row],[question]]=INDEX(stable[question],MATCH(questions[[#This Row],[qno]],stable[qno],0)),TRUE)</f>
        <v>1</v>
      </c>
      <c r="AP1411" s="98" t="str">
        <f>LEFT(questions[[#This Row],[question]],similarity_range)</f>
        <v>If you use or do not</v>
      </c>
      <c r="AQ1411" s="98" t="str">
        <f>LEFT(INDEX(stable[question],MATCH(questions[[#This Row],[qno]],stable[qno],0)),similarity_range)</f>
        <v>If you use or do not</v>
      </c>
      <c r="AR1411" s="98" t="b">
        <f>questions[[#This Row],[question_first_characters]]=questions[[#This Row],[stability_first_characters]]</f>
        <v>1</v>
      </c>
      <c r="AS1411" s="98" t="b">
        <f>IF(OR(questions[[#This Row],[is_single_select]],questions[[#This Row],[is_multi_select]]),NOT(ISBLANK(questions[[#This Row],[answer_opt_combined]])),TRUE)</f>
        <v>1</v>
      </c>
    </row>
    <row r="1412" spans="1:45" s="77" customFormat="1" ht="15.75" customHeight="1" x14ac:dyDescent="0.25">
      <c r="A1412" s="77" t="str">
        <f>_xlfn.TEXTJOIN("_",TRUE,questions[[#This Row],[origin]:[qno]])</f>
        <v>Rwanda_Arabica_Nestle_Illy_IMPACT_2025_7300</v>
      </c>
      <c r="B1412" s="77" t="s">
        <v>719</v>
      </c>
      <c r="C1412" s="77" t="s">
        <v>59</v>
      </c>
      <c r="D1412" s="77" t="s">
        <v>720</v>
      </c>
      <c r="E1412" s="77">
        <v>2025</v>
      </c>
      <c r="F1412" s="105" t="s">
        <v>433</v>
      </c>
      <c r="G1412" s="78" t="s">
        <v>1011</v>
      </c>
      <c r="H1412" s="9" t="str" cm="1">
        <f t="array" ref="H1412">INDEX(stableR[question],MATCH(VALUE(questions[[#This Row],[qno]]),VALUE(stableR[qno]),0))</f>
        <v>Do you irrigate your coffee crop and if yes, what irrigation system/s do you use? If the answer is NO, you do not need to answer the next question</v>
      </c>
      <c r="I1412" s="9" t="b" cm="1">
        <f t="array" ref="I1412">INDEX(stable[is_fixed],MATCH(VALUE(questions[[#This Row],[qno]]),VALUE(stable[qno]),0))</f>
        <v>1</v>
      </c>
      <c r="J1412" s="9" t="b" cm="1">
        <f t="array" ref="J1412">INDEX(stable[is_localized],MATCH(VALUE(questions[[#This Row],[qno]]),VALUE(stable[qno]),0))</f>
        <v>0</v>
      </c>
      <c r="K1412" s="9" t="b" cm="1">
        <f t="array" ref="K1412">INDEX(stable[is_supply_chain_dependent],MATCH(VALUE(questions[[#This Row],[qno]]),VALUE(stable[qno]),0))</f>
        <v>0</v>
      </c>
      <c r="L1412" s="9" t="b" cm="1">
        <f t="array" ref="L1412">INDEX(stable[is_mandatory],MATCH(VALUE(questions[[#This Row],[qno]]),VALUE(stable[qno]),0))</f>
        <v>1</v>
      </c>
      <c r="M1412" s="9" t="b" cm="1">
        <f t="array" ref="M1412">INDEX(stable[is_automated],MATCH(VALUE(questions[[#This Row],[qno]]),VALUE(stable[qno]),0))</f>
        <v>0</v>
      </c>
      <c r="N1412" s="9" t="b" cm="1">
        <f t="array" ref="N1412">INDEX(stable[is_free_text],MATCH(VALUE(questions[[#This Row],[qno]]),VALUE(stable[qno]),0))</f>
        <v>0</v>
      </c>
      <c r="O1412" s="9" t="b" cm="1">
        <f t="array" ref="O1412">INDEX(stable[is_numerical],MATCH(VALUE(questions[[#This Row],[qno]]),VALUE(stable[qno]),0))</f>
        <v>0</v>
      </c>
      <c r="P1412" s="77" t="b" cm="1">
        <f t="array" ref="P1412">INDEX(stable[is_single_select],MATCH(VALUE(questions[[#This Row],[qno]]),VALUE(stable[qno]),0))</f>
        <v>1</v>
      </c>
      <c r="Q1412" s="77" t="b" cm="1">
        <f t="array" ref="Q1412">INDEX(stable[is_multi_select],MATCH(VALUE(questions[[#This Row],[qno]]),VALUE(stable[qno]),0))</f>
        <v>0</v>
      </c>
      <c r="R1412" s="77" t="b" cm="1">
        <f t="array" ref="R1412">INDEX(stable[is_skip_logic],MATCH(VALUE(questions[[#This Row],[qno]]),VALUE(stable[qno]),0))</f>
        <v>0</v>
      </c>
      <c r="S1412" s="77" t="str">
        <f>_xlfn.TEXTJOIN(", ",TRUE,questions[[#This Row],[ans_opt_1]:[ans_opt_14]])</f>
        <v>No, Yes / drip irrigation, Yes / minisprinkler irrigation, Yes / overhead irrigation (sprinklers, pivot, rain gun), Yes / flood-furrow-hose pipe irrigation</v>
      </c>
      <c r="T1412" s="77" t="s">
        <v>119</v>
      </c>
      <c r="U1412" s="77" t="s">
        <v>435</v>
      </c>
      <c r="V1412" s="77" t="s">
        <v>436</v>
      </c>
      <c r="W1412" s="77" t="s">
        <v>437</v>
      </c>
      <c r="X1412" s="77" t="s">
        <v>438</v>
      </c>
      <c r="AH1412" s="98" t="b">
        <f>INDEX(stable[q_standard],MATCH(questions[[#This Row],[qno]],stable[qno],0))</f>
        <v>0</v>
      </c>
      <c r="AI1412" s="98" t="b">
        <f>INDEX(stable[q_living_income],MATCH(questions[[#This Row],[qno]],stable[qno],0))</f>
        <v>0</v>
      </c>
      <c r="AJ1412" s="98" t="b">
        <f>INDEX(stable[q_carbon],MATCH(questions[[#This Row],[qno]],stable[qno],0))</f>
        <v>0</v>
      </c>
      <c r="AK1412" s="98" t="b">
        <f>INDEX(stable[q_regen_ag],MATCH(questions[[#This Row],[qno]],stable[qno],0))</f>
        <v>1</v>
      </c>
      <c r="AL1412" s="98" t="b">
        <f>COUNTIFS(stable[qno],questions[[#This Row],[qno]])=1</f>
        <v>1</v>
      </c>
      <c r="AM1412" s="98" t="b">
        <f>OR(questions[[#This Row],[is_fixed]],questions[[#This Row],[is_localized]],questions[[#This Row],[is_supply_chain_dependent]])</f>
        <v>1</v>
      </c>
      <c r="AN1412" s="98" t="b">
        <f>COUNTIFS(questions[[#This Row],[is_automated]:[is_multi_select]],TRUE)=1</f>
        <v>1</v>
      </c>
      <c r="AO1412" s="98" t="b">
        <f>IF(questions[[#This Row],[is_fixed]],questions[[#This Row],[question]]=INDEX(stable[question],MATCH(questions[[#This Row],[qno]],stable[qno],0)),TRUE)</f>
        <v>1</v>
      </c>
      <c r="AP1412" s="98" t="str">
        <f>LEFT(questions[[#This Row],[question]],similarity_range)</f>
        <v>Do you irrigate your</v>
      </c>
      <c r="AQ1412" s="98" t="str">
        <f>LEFT(INDEX(stable[question],MATCH(questions[[#This Row],[qno]],stable[qno],0)),similarity_range)</f>
        <v>Do you irrigate your</v>
      </c>
      <c r="AR1412" s="98" t="b">
        <f>questions[[#This Row],[question_first_characters]]=questions[[#This Row],[stability_first_characters]]</f>
        <v>1</v>
      </c>
      <c r="AS1412" s="98" t="b">
        <f>IF(OR(questions[[#This Row],[is_single_select]],questions[[#This Row],[is_multi_select]]),NOT(ISBLANK(questions[[#This Row],[answer_opt_combined]])),TRUE)</f>
        <v>1</v>
      </c>
    </row>
    <row r="1413" spans="1:45" s="77" customFormat="1" ht="15.75" customHeight="1" x14ac:dyDescent="0.25">
      <c r="A1413" s="77" t="str">
        <f>_xlfn.TEXTJOIN("_",TRUE,questions[[#This Row],[origin]:[qno]])</f>
        <v>Rwanda_Arabica_Nestle_Illy_IMPACT_2025_7301</v>
      </c>
      <c r="B1413" s="77" t="s">
        <v>719</v>
      </c>
      <c r="C1413" s="77" t="s">
        <v>59</v>
      </c>
      <c r="D1413" s="77" t="s">
        <v>720</v>
      </c>
      <c r="E1413" s="77">
        <v>2025</v>
      </c>
      <c r="F1413" s="105" t="s">
        <v>439</v>
      </c>
      <c r="G1413" s="78" t="s">
        <v>440</v>
      </c>
      <c r="H1413" s="9" t="str" cm="1">
        <f t="array" ref="H1413">INDEX(stableR[question],MATCH(VALUE(questions[[#This Row],[qno]]),VALUE(stableR[qno]),0))</f>
        <v>Do you have a systems to know when and how much to irrigate and according to the irrigation system (balance sheet with rainfall and evapotranspiration, sensors, irrigation app-software, weather stations...)?</v>
      </c>
      <c r="I1413" s="9" t="b" cm="1">
        <f t="array" ref="I1413">INDEX(stable[is_fixed],MATCH(VALUE(questions[[#This Row],[qno]]),VALUE(stable[qno]),0))</f>
        <v>1</v>
      </c>
      <c r="J1413" s="9" t="b" cm="1">
        <f t="array" ref="J1413">INDEX(stable[is_localized],MATCH(VALUE(questions[[#This Row],[qno]]),VALUE(stable[qno]),0))</f>
        <v>0</v>
      </c>
      <c r="K1413" s="9" t="b" cm="1">
        <f t="array" ref="K1413">INDEX(stable[is_supply_chain_dependent],MATCH(VALUE(questions[[#This Row],[qno]]),VALUE(stable[qno]),0))</f>
        <v>0</v>
      </c>
      <c r="L1413" s="9" t="b" cm="1">
        <f t="array" ref="L1413">INDEX(stable[is_mandatory],MATCH(VALUE(questions[[#This Row],[qno]]),VALUE(stable[qno]),0))</f>
        <v>0</v>
      </c>
      <c r="M1413" s="9" t="b" cm="1">
        <f t="array" ref="M1413">INDEX(stable[is_automated],MATCH(VALUE(questions[[#This Row],[qno]]),VALUE(stable[qno]),0))</f>
        <v>0</v>
      </c>
      <c r="N1413" s="9" t="b" cm="1">
        <f t="array" ref="N1413">INDEX(stable[is_free_text],MATCH(VALUE(questions[[#This Row],[qno]]),VALUE(stable[qno]),0))</f>
        <v>0</v>
      </c>
      <c r="O1413" s="9" t="b" cm="1">
        <f t="array" ref="O1413">INDEX(stable[is_numerical],MATCH(VALUE(questions[[#This Row],[qno]]),VALUE(stable[qno]),0))</f>
        <v>0</v>
      </c>
      <c r="P1413" s="77" t="b" cm="1">
        <f t="array" ref="P1413">INDEX(stable[is_single_select],MATCH(VALUE(questions[[#This Row],[qno]]),VALUE(stable[qno]),0))</f>
        <v>1</v>
      </c>
      <c r="Q1413" s="77" t="b" cm="1">
        <f t="array" ref="Q1413">INDEX(stable[is_multi_select],MATCH(VALUE(questions[[#This Row],[qno]]),VALUE(stable[qno]),0))</f>
        <v>0</v>
      </c>
      <c r="R1413" s="77" t="b" cm="1">
        <f t="array" ref="R1413">INDEX(stable[is_skip_logic],MATCH(VALUE(questions[[#This Row],[qno]]),VALUE(stable[qno]),0))</f>
        <v>0</v>
      </c>
      <c r="S1413" s="77" t="str">
        <f>_xlfn.TEXTJOIN(", ",TRUE,questions[[#This Row],[ans_opt_1]:[ans_opt_14]])</f>
        <v>Yes, No</v>
      </c>
      <c r="T1413" s="77" t="s">
        <v>149</v>
      </c>
      <c r="U1413" s="77" t="s">
        <v>119</v>
      </c>
      <c r="AH1413" s="98" t="b">
        <f>INDEX(stable[q_standard],MATCH(questions[[#This Row],[qno]],stable[qno],0))</f>
        <v>0</v>
      </c>
      <c r="AI1413" s="98" t="b">
        <f>INDEX(stable[q_living_income],MATCH(questions[[#This Row],[qno]],stable[qno],0))</f>
        <v>0</v>
      </c>
      <c r="AJ1413" s="98" t="b">
        <f>INDEX(stable[q_carbon],MATCH(questions[[#This Row],[qno]],stable[qno],0))</f>
        <v>0</v>
      </c>
      <c r="AK1413" s="98" t="b">
        <f>INDEX(stable[q_regen_ag],MATCH(questions[[#This Row],[qno]],stable[qno],0))</f>
        <v>1</v>
      </c>
      <c r="AL1413" s="98" t="b">
        <f>COUNTIFS(stable[qno],questions[[#This Row],[qno]])=1</f>
        <v>1</v>
      </c>
      <c r="AM1413" s="98" t="b">
        <f>OR(questions[[#This Row],[is_fixed]],questions[[#This Row],[is_localized]],questions[[#This Row],[is_supply_chain_dependent]])</f>
        <v>1</v>
      </c>
      <c r="AN1413" s="98" t="b">
        <f>COUNTIFS(questions[[#This Row],[is_automated]:[is_multi_select]],TRUE)=1</f>
        <v>1</v>
      </c>
      <c r="AO1413" s="98" t="b">
        <f>IF(questions[[#This Row],[is_fixed]],questions[[#This Row],[question]]=INDEX(stable[question],MATCH(questions[[#This Row],[qno]],stable[qno],0)),TRUE)</f>
        <v>1</v>
      </c>
      <c r="AP1413" s="98" t="str">
        <f>LEFT(questions[[#This Row],[question]],similarity_range)</f>
        <v>Do you have a system</v>
      </c>
      <c r="AQ1413" s="98" t="str">
        <f>LEFT(INDEX(stable[question],MATCH(questions[[#This Row],[qno]],stable[qno],0)),similarity_range)</f>
        <v>Do you have a system</v>
      </c>
      <c r="AR1413" s="98" t="b">
        <f>questions[[#This Row],[question_first_characters]]=questions[[#This Row],[stability_first_characters]]</f>
        <v>1</v>
      </c>
      <c r="AS1413" s="98" t="b">
        <f>IF(OR(questions[[#This Row],[is_single_select]],questions[[#This Row],[is_multi_select]]),NOT(ISBLANK(questions[[#This Row],[answer_opt_combined]])),TRUE)</f>
        <v>1</v>
      </c>
    </row>
    <row r="1414" spans="1:45" s="77" customFormat="1" ht="15.75" customHeight="1" x14ac:dyDescent="0.25">
      <c r="A1414" s="77" t="str">
        <f>_xlfn.TEXTJOIN("_",TRUE,questions[[#This Row],[origin]:[qno]])</f>
        <v>Rwanda_Arabica_Nestle_Illy_IMPACT_2025_7400</v>
      </c>
      <c r="B1414" s="77" t="s">
        <v>719</v>
      </c>
      <c r="C1414" s="77" t="s">
        <v>59</v>
      </c>
      <c r="D1414" s="77" t="s">
        <v>720</v>
      </c>
      <c r="E1414" s="77">
        <v>2025</v>
      </c>
      <c r="F1414" s="105" t="s">
        <v>441</v>
      </c>
      <c r="G1414" s="78" t="s">
        <v>1012</v>
      </c>
      <c r="H1414" s="9" t="str" cm="1">
        <f t="array" ref="H1414">INDEX(stableR[question],MATCH(VALUE(questions[[#This Row],[qno]]),VALUE(stableR[qno]),0))</f>
        <v>Are you implementing a plan to renovate/rehabilitate the coffee trees of your coffee plots? e.g. stumping, partial stumping, capping, side pruning, uprooting and replanting, uprooting and planting new trees, or a mix of systems. If the answer is NO, you do not need to answer the next 2 questions</v>
      </c>
      <c r="I1414" s="9" t="b" cm="1">
        <f t="array" ref="I1414">INDEX(stable[is_fixed],MATCH(VALUE(questions[[#This Row],[qno]]),VALUE(stable[qno]),0))</f>
        <v>1</v>
      </c>
      <c r="J1414" s="9" t="b" cm="1">
        <f t="array" ref="J1414">INDEX(stable[is_localized],MATCH(VALUE(questions[[#This Row],[qno]]),VALUE(stable[qno]),0))</f>
        <v>0</v>
      </c>
      <c r="K1414" s="9" t="b" cm="1">
        <f t="array" ref="K1414">INDEX(stable[is_supply_chain_dependent],MATCH(VALUE(questions[[#This Row],[qno]]),VALUE(stable[qno]),0))</f>
        <v>0</v>
      </c>
      <c r="L1414" s="9" t="b" cm="1">
        <f t="array" ref="L1414">INDEX(stable[is_mandatory],MATCH(VALUE(questions[[#This Row],[qno]]),VALUE(stable[qno]),0))</f>
        <v>1</v>
      </c>
      <c r="M1414" s="9" t="b" cm="1">
        <f t="array" ref="M1414">INDEX(stable[is_automated],MATCH(VALUE(questions[[#This Row],[qno]]),VALUE(stable[qno]),0))</f>
        <v>0</v>
      </c>
      <c r="N1414" s="9" t="b" cm="1">
        <f t="array" ref="N1414">INDEX(stable[is_free_text],MATCH(VALUE(questions[[#This Row],[qno]]),VALUE(stable[qno]),0))</f>
        <v>0</v>
      </c>
      <c r="O1414" s="9" t="b" cm="1">
        <f t="array" ref="O1414">INDEX(stable[is_numerical],MATCH(VALUE(questions[[#This Row],[qno]]),VALUE(stable[qno]),0))</f>
        <v>0</v>
      </c>
      <c r="P1414" s="77" t="b" cm="1">
        <f t="array" ref="P1414">INDEX(stable[is_single_select],MATCH(VALUE(questions[[#This Row],[qno]]),VALUE(stable[qno]),0))</f>
        <v>1</v>
      </c>
      <c r="Q1414" s="77" t="b" cm="1">
        <f t="array" ref="Q1414">INDEX(stable[is_multi_select],MATCH(VALUE(questions[[#This Row],[qno]]),VALUE(stable[qno]),0))</f>
        <v>0</v>
      </c>
      <c r="R1414" s="77" t="b" cm="1">
        <f t="array" ref="R1414">INDEX(stable[is_skip_logic],MATCH(VALUE(questions[[#This Row],[qno]]),VALUE(stable[qno]),0))</f>
        <v>1</v>
      </c>
      <c r="S1414" s="77" t="str">
        <f>_xlfn.TEXTJOIN(", ",TRUE,questions[[#This Row],[ans_opt_1]:[ans_opt_14]])</f>
        <v>Yes, No</v>
      </c>
      <c r="T1414" s="77" t="s">
        <v>149</v>
      </c>
      <c r="U1414" s="77" t="s">
        <v>119</v>
      </c>
      <c r="AH1414" s="98" t="b">
        <f>INDEX(stable[q_standard],MATCH(questions[[#This Row],[qno]],stable[qno],0))</f>
        <v>0</v>
      </c>
      <c r="AI1414" s="98" t="b">
        <f>INDEX(stable[q_living_income],MATCH(questions[[#This Row],[qno]],stable[qno],0))</f>
        <v>0</v>
      </c>
      <c r="AJ1414" s="98" t="b">
        <f>INDEX(stable[q_carbon],MATCH(questions[[#This Row],[qno]],stable[qno],0))</f>
        <v>0</v>
      </c>
      <c r="AK1414" s="98" t="b">
        <f>INDEX(stable[q_regen_ag],MATCH(questions[[#This Row],[qno]],stable[qno],0))</f>
        <v>1</v>
      </c>
      <c r="AL1414" s="98" t="b">
        <f>COUNTIFS(stable[qno],questions[[#This Row],[qno]])=1</f>
        <v>1</v>
      </c>
      <c r="AM1414" s="98" t="b">
        <f>OR(questions[[#This Row],[is_fixed]],questions[[#This Row],[is_localized]],questions[[#This Row],[is_supply_chain_dependent]])</f>
        <v>1</v>
      </c>
      <c r="AN1414" s="98" t="b">
        <f>COUNTIFS(questions[[#This Row],[is_automated]:[is_multi_select]],TRUE)=1</f>
        <v>1</v>
      </c>
      <c r="AO1414" s="98" t="b">
        <f>IF(questions[[#This Row],[is_fixed]],questions[[#This Row],[question]]=INDEX(stable[question],MATCH(questions[[#This Row],[qno]],stable[qno],0)),TRUE)</f>
        <v>1</v>
      </c>
      <c r="AP1414" s="98" t="str">
        <f>LEFT(questions[[#This Row],[question]],similarity_range)</f>
        <v>Are you implementing</v>
      </c>
      <c r="AQ1414" s="98" t="str">
        <f>LEFT(INDEX(stable[question],MATCH(questions[[#This Row],[qno]],stable[qno],0)),similarity_range)</f>
        <v>Are you implementing</v>
      </c>
      <c r="AR1414" s="98" t="b">
        <f>questions[[#This Row],[question_first_characters]]=questions[[#This Row],[stability_first_characters]]</f>
        <v>1</v>
      </c>
      <c r="AS1414" s="98" t="b">
        <f>IF(OR(questions[[#This Row],[is_single_select]],questions[[#This Row],[is_multi_select]]),NOT(ISBLANK(questions[[#This Row],[answer_opt_combined]])),TRUE)</f>
        <v>1</v>
      </c>
    </row>
    <row r="1415" spans="1:45" s="77" customFormat="1" ht="15.75" customHeight="1" x14ac:dyDescent="0.25">
      <c r="A1415" s="77" t="str">
        <f>_xlfn.TEXTJOIN("_",TRUE,questions[[#This Row],[origin]:[qno]])</f>
        <v>Rwanda_Arabica_Nestle_Illy_IMPACT_2025_7401</v>
      </c>
      <c r="B1415" s="77" t="s">
        <v>719</v>
      </c>
      <c r="C1415" s="77" t="s">
        <v>59</v>
      </c>
      <c r="D1415" s="77" t="s">
        <v>720</v>
      </c>
      <c r="E1415" s="77">
        <v>2025</v>
      </c>
      <c r="F1415" s="105" t="s">
        <v>443</v>
      </c>
      <c r="G1415" s="78" t="s">
        <v>807</v>
      </c>
      <c r="H1415" s="9" t="str" cm="1">
        <f t="array" ref="H1415">INDEX(stableR[question],MATCH(VALUE(questions[[#This Row],[qno]]),VALUE(stableR[qno]),0))</f>
        <v>What % or proportion of trees have you renovated/rehabilitated in last 3 years?</v>
      </c>
      <c r="I1415" s="9" t="b" cm="1">
        <f t="array" ref="I1415">INDEX(stable[is_fixed],MATCH(VALUE(questions[[#This Row],[qno]]),VALUE(stable[qno]),0))</f>
        <v>1</v>
      </c>
      <c r="J1415" s="9" t="b" cm="1">
        <f t="array" ref="J1415">INDEX(stable[is_localized],MATCH(VALUE(questions[[#This Row],[qno]]),VALUE(stable[qno]),0))</f>
        <v>0</v>
      </c>
      <c r="K1415" s="9" t="b" cm="1">
        <f t="array" ref="K1415">INDEX(stable[is_supply_chain_dependent],MATCH(VALUE(questions[[#This Row],[qno]]),VALUE(stable[qno]),0))</f>
        <v>0</v>
      </c>
      <c r="L1415" s="9" t="b" cm="1">
        <f t="array" ref="L1415">INDEX(stable[is_mandatory],MATCH(VALUE(questions[[#This Row],[qno]]),VALUE(stable[qno]),0))</f>
        <v>0</v>
      </c>
      <c r="M1415" s="9" t="b" cm="1">
        <f t="array" ref="M1415">INDEX(stable[is_automated],MATCH(VALUE(questions[[#This Row],[qno]]),VALUE(stable[qno]),0))</f>
        <v>0</v>
      </c>
      <c r="N1415" s="9" t="b" cm="1">
        <f t="array" ref="N1415">INDEX(stable[is_free_text],MATCH(VALUE(questions[[#This Row],[qno]]),VALUE(stable[qno]),0))</f>
        <v>0</v>
      </c>
      <c r="O1415" s="9" t="b" cm="1">
        <f t="array" ref="O1415">INDEX(stable[is_numerical],MATCH(VALUE(questions[[#This Row],[qno]]),VALUE(stable[qno]),0))</f>
        <v>0</v>
      </c>
      <c r="P1415" s="77" t="b" cm="1">
        <f t="array" ref="P1415">INDEX(stable[is_single_select],MATCH(VALUE(questions[[#This Row],[qno]]),VALUE(stable[qno]),0))</f>
        <v>1</v>
      </c>
      <c r="Q1415" s="77" t="b" cm="1">
        <f t="array" ref="Q1415">INDEX(stable[is_multi_select],MATCH(VALUE(questions[[#This Row],[qno]]),VALUE(stable[qno]),0))</f>
        <v>0</v>
      </c>
      <c r="R1415" s="77" t="b" cm="1">
        <f t="array" ref="R1415">INDEX(stable[is_skip_logic],MATCH(VALUE(questions[[#This Row],[qno]]),VALUE(stable[qno]),0))</f>
        <v>1</v>
      </c>
      <c r="S1415" s="77" t="str">
        <f>_xlfn.TEXTJOIN(", ",TRUE,questions[[#This Row],[ans_opt_1]:[ans_opt_14]])</f>
        <v>1% to 10% - very little, 11% to 20% - little, 21% to 50% - less than half, 51% to 75% - more than half, 76% to 100% - almost all</v>
      </c>
      <c r="T1415" s="77" t="s">
        <v>421</v>
      </c>
      <c r="U1415" s="77" t="s">
        <v>422</v>
      </c>
      <c r="V1415" s="77" t="s">
        <v>423</v>
      </c>
      <c r="W1415" s="77" t="s">
        <v>340</v>
      </c>
      <c r="X1415" s="77" t="s">
        <v>341</v>
      </c>
      <c r="AH1415" s="98" t="b">
        <f>INDEX(stable[q_standard],MATCH(questions[[#This Row],[qno]],stable[qno],0))</f>
        <v>0</v>
      </c>
      <c r="AI1415" s="98" t="b">
        <f>INDEX(stable[q_living_income],MATCH(questions[[#This Row],[qno]],stable[qno],0))</f>
        <v>0</v>
      </c>
      <c r="AJ1415" s="98" t="b">
        <f>INDEX(stable[q_carbon],MATCH(questions[[#This Row],[qno]],stable[qno],0))</f>
        <v>0</v>
      </c>
      <c r="AK1415" s="98" t="b">
        <f>INDEX(stable[q_regen_ag],MATCH(questions[[#This Row],[qno]],stable[qno],0))</f>
        <v>1</v>
      </c>
      <c r="AL1415" s="98" t="b">
        <f>COUNTIFS(stable[qno],questions[[#This Row],[qno]])=1</f>
        <v>1</v>
      </c>
      <c r="AM1415" s="98" t="b">
        <f>OR(questions[[#This Row],[is_fixed]],questions[[#This Row],[is_localized]],questions[[#This Row],[is_supply_chain_dependent]])</f>
        <v>1</v>
      </c>
      <c r="AN1415" s="98" t="b">
        <f>COUNTIFS(questions[[#This Row],[is_automated]:[is_multi_select]],TRUE)=1</f>
        <v>1</v>
      </c>
      <c r="AO1415" s="98" t="b">
        <f>IF(questions[[#This Row],[is_fixed]],questions[[#This Row],[question]]=INDEX(stable[question],MATCH(questions[[#This Row],[qno]],stable[qno],0)),TRUE)</f>
        <v>0</v>
      </c>
      <c r="AP1415" s="98" t="str">
        <f>LEFT(questions[[#This Row],[question]],similarity_range)</f>
        <v>What % or proportion</v>
      </c>
      <c r="AQ1415" s="98" t="str">
        <f>LEFT(INDEX(stable[question],MATCH(questions[[#This Row],[qno]],stable[qno],0)),similarity_range)</f>
        <v>What % or proportion</v>
      </c>
      <c r="AR1415" s="98" t="b">
        <f>questions[[#This Row],[question_first_characters]]=questions[[#This Row],[stability_first_characters]]</f>
        <v>1</v>
      </c>
      <c r="AS1415" s="98" t="b">
        <f>IF(OR(questions[[#This Row],[is_single_select]],questions[[#This Row],[is_multi_select]]),NOT(ISBLANK(questions[[#This Row],[answer_opt_combined]])),TRUE)</f>
        <v>1</v>
      </c>
    </row>
    <row r="1416" spans="1:45" s="77" customFormat="1" ht="15.75" customHeight="1" x14ac:dyDescent="0.25">
      <c r="A1416" s="77" t="str">
        <f>_xlfn.TEXTJOIN("_",TRUE,questions[[#This Row],[origin]:[qno]])</f>
        <v>Rwanda_Arabica_Nestle_Illy_IMPACT_2025_7402</v>
      </c>
      <c r="B1416" s="77" t="s">
        <v>719</v>
      </c>
      <c r="C1416" s="77" t="s">
        <v>59</v>
      </c>
      <c r="D1416" s="77" t="s">
        <v>720</v>
      </c>
      <c r="E1416" s="77">
        <v>2025</v>
      </c>
      <c r="F1416" s="105" t="s">
        <v>445</v>
      </c>
      <c r="G1416" s="78" t="s">
        <v>808</v>
      </c>
      <c r="H1416" s="9" t="str" cm="1">
        <f t="array" ref="H1416">INDEX(stableR[question],MATCH(VALUE(questions[[#This Row],[qno]]),VALUE(stableR[qno]),0))</f>
        <v>What is the main renovation-rehabilitation systems do you use to renovate/rehabilitate (e.g. full stumping, partial stumping, capping, side pruning, uprooting and planting new trees)?</v>
      </c>
      <c r="I1416" s="9" t="b" cm="1">
        <f t="array" ref="I1416">INDEX(stable[is_fixed],MATCH(VALUE(questions[[#This Row],[qno]]),VALUE(stable[qno]),0))</f>
        <v>1</v>
      </c>
      <c r="J1416" s="9" t="b" cm="1">
        <f t="array" ref="J1416">INDEX(stable[is_localized],MATCH(VALUE(questions[[#This Row],[qno]]),VALUE(stable[qno]),0))</f>
        <v>0</v>
      </c>
      <c r="K1416" s="9" t="b" cm="1">
        <f t="array" ref="K1416">INDEX(stable[is_supply_chain_dependent],MATCH(VALUE(questions[[#This Row],[qno]]),VALUE(stable[qno]),0))</f>
        <v>0</v>
      </c>
      <c r="L1416" s="9" t="b" cm="1">
        <f t="array" ref="L1416">INDEX(stable[is_mandatory],MATCH(VALUE(questions[[#This Row],[qno]]),VALUE(stable[qno]),0))</f>
        <v>0</v>
      </c>
      <c r="M1416" s="9" t="b" cm="1">
        <f t="array" ref="M1416">INDEX(stable[is_automated],MATCH(VALUE(questions[[#This Row],[qno]]),VALUE(stable[qno]),0))</f>
        <v>0</v>
      </c>
      <c r="N1416" s="9" t="b" cm="1">
        <f t="array" ref="N1416">INDEX(stable[is_free_text],MATCH(VALUE(questions[[#This Row],[qno]]),VALUE(stable[qno]),0))</f>
        <v>0</v>
      </c>
      <c r="O1416" s="9" t="b" cm="1">
        <f t="array" ref="O1416">INDEX(stable[is_numerical],MATCH(VALUE(questions[[#This Row],[qno]]),VALUE(stable[qno]),0))</f>
        <v>0</v>
      </c>
      <c r="P1416" s="77" t="b" cm="1">
        <f t="array" ref="P1416">INDEX(stable[is_single_select],MATCH(VALUE(questions[[#This Row],[qno]]),VALUE(stable[qno]),0))</f>
        <v>1</v>
      </c>
      <c r="Q1416" s="77" t="b" cm="1">
        <f t="array" ref="Q1416">INDEX(stable[is_multi_select],MATCH(VALUE(questions[[#This Row],[qno]]),VALUE(stable[qno]),0))</f>
        <v>0</v>
      </c>
      <c r="R1416" s="77" t="b" cm="1">
        <f t="array" ref="R1416">INDEX(stable[is_skip_logic],MATCH(VALUE(questions[[#This Row],[qno]]),VALUE(stable[qno]),0))</f>
        <v>1</v>
      </c>
      <c r="S1416" s="77" t="str">
        <f>_xlfn.TEXTJOIN(", ",TRUE,questions[[#This Row],[ans_opt_1]:[ans_opt_14]])</f>
        <v>full stumping, partial stumping, capping, side pruning, capping and side prunning, uprooting and planting new trees</v>
      </c>
      <c r="T1416" s="77" t="s">
        <v>447</v>
      </c>
      <c r="U1416" s="77" t="s">
        <v>448</v>
      </c>
      <c r="V1416" s="77" t="s">
        <v>449</v>
      </c>
      <c r="W1416" s="77" t="s">
        <v>450</v>
      </c>
      <c r="X1416" s="77" t="s">
        <v>451</v>
      </c>
      <c r="Y1416" s="77" t="s">
        <v>452</v>
      </c>
      <c r="AH1416" s="98" t="b">
        <f>INDEX(stable[q_standard],MATCH(questions[[#This Row],[qno]],stable[qno],0))</f>
        <v>0</v>
      </c>
      <c r="AI1416" s="98" t="b">
        <f>INDEX(stable[q_living_income],MATCH(questions[[#This Row],[qno]],stable[qno],0))</f>
        <v>0</v>
      </c>
      <c r="AJ1416" s="98" t="b">
        <f>INDEX(stable[q_carbon],MATCH(questions[[#This Row],[qno]],stable[qno],0))</f>
        <v>0</v>
      </c>
      <c r="AK1416" s="98" t="b">
        <f>INDEX(stable[q_regen_ag],MATCH(questions[[#This Row],[qno]],stable[qno],0))</f>
        <v>1</v>
      </c>
      <c r="AL1416" s="98" t="b">
        <f>COUNTIFS(stable[qno],questions[[#This Row],[qno]])=1</f>
        <v>1</v>
      </c>
      <c r="AM1416" s="98" t="b">
        <f>OR(questions[[#This Row],[is_fixed]],questions[[#This Row],[is_localized]],questions[[#This Row],[is_supply_chain_dependent]])</f>
        <v>1</v>
      </c>
      <c r="AN1416" s="98" t="b">
        <f>COUNTIFS(questions[[#This Row],[is_automated]:[is_multi_select]],TRUE)=1</f>
        <v>1</v>
      </c>
      <c r="AO1416" s="98" t="b">
        <f>IF(questions[[#This Row],[is_fixed]],questions[[#This Row],[question]]=INDEX(stable[question],MATCH(questions[[#This Row],[qno]],stable[qno],0)),TRUE)</f>
        <v>0</v>
      </c>
      <c r="AP1416" s="98" t="str">
        <f>LEFT(questions[[#This Row],[question]],similarity_range)</f>
        <v>What is the main ren</v>
      </c>
      <c r="AQ1416" s="98" t="str">
        <f>LEFT(INDEX(stable[question],MATCH(questions[[#This Row],[qno]],stable[qno],0)),similarity_range)</f>
        <v>What is the main ren</v>
      </c>
      <c r="AR1416" s="98" t="b">
        <f>questions[[#This Row],[question_first_characters]]=questions[[#This Row],[stability_first_characters]]</f>
        <v>1</v>
      </c>
      <c r="AS1416" s="98" t="b">
        <f>IF(OR(questions[[#This Row],[is_single_select]],questions[[#This Row],[is_multi_select]]),NOT(ISBLANK(questions[[#This Row],[answer_opt_combined]])),TRUE)</f>
        <v>1</v>
      </c>
    </row>
    <row r="1417" spans="1:45" s="77" customFormat="1" ht="15.75" customHeight="1" x14ac:dyDescent="0.25">
      <c r="A1417" s="77" t="str">
        <f>_xlfn.TEXTJOIN("_",TRUE,questions[[#This Row],[origin]:[qno]])</f>
        <v>Rwanda_Arabica_Nestle_Illy_IMPACT_2025_7410</v>
      </c>
      <c r="B1417" s="77" t="s">
        <v>719</v>
      </c>
      <c r="C1417" s="77" t="s">
        <v>59</v>
      </c>
      <c r="D1417" s="77" t="s">
        <v>720</v>
      </c>
      <c r="E1417" s="77">
        <v>2025</v>
      </c>
      <c r="F1417" s="105" t="s">
        <v>453</v>
      </c>
      <c r="G1417" s="78" t="s">
        <v>454</v>
      </c>
      <c r="H1417" s="9" t="str" cm="1">
        <f t="array" ref="H1417">INDEX(stableR[question],MATCH(VALUE(questions[[#This Row],[qno]]),VALUE(stableR[qno]),0))</f>
        <v>How many coffee varieties do you grow in your coffee plots?</v>
      </c>
      <c r="I1417" s="9" t="b" cm="1">
        <f t="array" ref="I1417">INDEX(stable[is_fixed],MATCH(VALUE(questions[[#This Row],[qno]]),VALUE(stable[qno]),0))</f>
        <v>1</v>
      </c>
      <c r="J1417" s="9" t="b" cm="1">
        <f t="array" ref="J1417">INDEX(stable[is_localized],MATCH(VALUE(questions[[#This Row],[qno]]),VALUE(stable[qno]),0))</f>
        <v>0</v>
      </c>
      <c r="K1417" s="9" t="b" cm="1">
        <f t="array" ref="K1417">INDEX(stable[is_supply_chain_dependent],MATCH(VALUE(questions[[#This Row],[qno]]),VALUE(stable[qno]),0))</f>
        <v>0</v>
      </c>
      <c r="L1417" s="9" t="b" cm="1">
        <f t="array" ref="L1417">INDEX(stable[is_mandatory],MATCH(VALUE(questions[[#This Row],[qno]]),VALUE(stable[qno]),0))</f>
        <v>1</v>
      </c>
      <c r="M1417" s="9" t="b" cm="1">
        <f t="array" ref="M1417">INDEX(stable[is_automated],MATCH(VALUE(questions[[#This Row],[qno]]),VALUE(stable[qno]),0))</f>
        <v>0</v>
      </c>
      <c r="N1417" s="9" t="b" cm="1">
        <f t="array" ref="N1417">INDEX(stable[is_free_text],MATCH(VALUE(questions[[#This Row],[qno]]),VALUE(stable[qno]),0))</f>
        <v>0</v>
      </c>
      <c r="O1417" s="9" t="b" cm="1">
        <f t="array" ref="O1417">INDEX(stable[is_numerical],MATCH(VALUE(questions[[#This Row],[qno]]),VALUE(stable[qno]),0))</f>
        <v>0</v>
      </c>
      <c r="P1417" s="77" t="b" cm="1">
        <f t="array" ref="P1417">INDEX(stable[is_single_select],MATCH(VALUE(questions[[#This Row],[qno]]),VALUE(stable[qno]),0))</f>
        <v>1</v>
      </c>
      <c r="Q1417" s="77" t="b" cm="1">
        <f t="array" ref="Q1417">INDEX(stable[is_multi_select],MATCH(VALUE(questions[[#This Row],[qno]]),VALUE(stable[qno]),0))</f>
        <v>0</v>
      </c>
      <c r="R1417" s="77" t="b" cm="1">
        <f t="array" ref="R1417">INDEX(stable[is_skip_logic],MATCH(VALUE(questions[[#This Row],[qno]]),VALUE(stable[qno]),0))</f>
        <v>1</v>
      </c>
      <c r="S1417" s="77" t="str">
        <f>_xlfn.TEXTJOIN(", ",TRUE,questions[[#This Row],[ans_opt_1]:[ans_opt_14]])</f>
        <v>1, 2, 3, 4, 5, &gt;5</v>
      </c>
      <c r="T1417" s="77">
        <v>1</v>
      </c>
      <c r="U1417" s="77">
        <v>2</v>
      </c>
      <c r="V1417" s="77">
        <v>3</v>
      </c>
      <c r="W1417" s="77">
        <v>4</v>
      </c>
      <c r="X1417" s="77">
        <v>5</v>
      </c>
      <c r="Y1417" s="77" t="s">
        <v>404</v>
      </c>
      <c r="AH1417" s="98" t="b">
        <f>INDEX(stable[q_standard],MATCH(questions[[#This Row],[qno]],stable[qno],0))</f>
        <v>0</v>
      </c>
      <c r="AI1417" s="98" t="b">
        <f>INDEX(stable[q_living_income],MATCH(questions[[#This Row],[qno]],stable[qno],0))</f>
        <v>0</v>
      </c>
      <c r="AJ1417" s="98" t="b">
        <f>INDEX(stable[q_carbon],MATCH(questions[[#This Row],[qno]],stable[qno],0))</f>
        <v>0</v>
      </c>
      <c r="AK1417" s="98" t="b">
        <f>INDEX(stable[q_regen_ag],MATCH(questions[[#This Row],[qno]],stable[qno],0))</f>
        <v>1</v>
      </c>
      <c r="AL1417" s="98" t="b">
        <f>COUNTIFS(stable[qno],questions[[#This Row],[qno]])=1</f>
        <v>1</v>
      </c>
      <c r="AM1417" s="98" t="b">
        <f>OR(questions[[#This Row],[is_fixed]],questions[[#This Row],[is_localized]],questions[[#This Row],[is_supply_chain_dependent]])</f>
        <v>1</v>
      </c>
      <c r="AN1417" s="98" t="b">
        <f>COUNTIFS(questions[[#This Row],[is_automated]:[is_multi_select]],TRUE)=1</f>
        <v>1</v>
      </c>
      <c r="AO1417" s="98" t="b">
        <f>IF(questions[[#This Row],[is_fixed]],questions[[#This Row],[question]]=INDEX(stable[question],MATCH(questions[[#This Row],[qno]],stable[qno],0)),TRUE)</f>
        <v>1</v>
      </c>
      <c r="AP1417" s="98" t="str">
        <f>LEFT(questions[[#This Row],[question]],similarity_range)</f>
        <v>How many coffee vari</v>
      </c>
      <c r="AQ1417" s="98" t="str">
        <f>LEFT(INDEX(stable[question],MATCH(questions[[#This Row],[qno]],stable[qno],0)),similarity_range)</f>
        <v>How many coffee vari</v>
      </c>
      <c r="AR1417" s="98" t="b">
        <f>questions[[#This Row],[question_first_characters]]=questions[[#This Row],[stability_first_characters]]</f>
        <v>1</v>
      </c>
      <c r="AS1417" s="98" t="b">
        <f>IF(OR(questions[[#This Row],[is_single_select]],questions[[#This Row],[is_multi_select]]),NOT(ISBLANK(questions[[#This Row],[answer_opt_combined]])),TRUE)</f>
        <v>1</v>
      </c>
    </row>
    <row r="1418" spans="1:45" s="77" customFormat="1" ht="15.75" customHeight="1" x14ac:dyDescent="0.25">
      <c r="A1418" s="77" t="str">
        <f>_xlfn.TEXTJOIN("_",TRUE,questions[[#This Row],[origin]:[qno]])</f>
        <v>Rwanda_Arabica_Nestle_Illy_IMPACT_2025_7411</v>
      </c>
      <c r="B1418" s="77" t="s">
        <v>719</v>
      </c>
      <c r="C1418" s="77" t="s">
        <v>59</v>
      </c>
      <c r="D1418" s="77" t="s">
        <v>720</v>
      </c>
      <c r="E1418" s="77">
        <v>2025</v>
      </c>
      <c r="F1418" s="132" t="s">
        <v>455</v>
      </c>
      <c r="G1418" s="78" t="s">
        <v>1024</v>
      </c>
      <c r="H1418" s="9" t="str" cm="1">
        <f t="array" ref="H1418">INDEX(stableR[question],MATCH(VALUE(questions[[#This Row],[qno]]),VALUE(stableR[qno]),0))</f>
        <v>What % or proportion over the total number of trees of the cultivated area is planted with the main variety?</v>
      </c>
      <c r="I1418" s="9" t="b" cm="1">
        <f t="array" ref="I1418">INDEX(stable[is_fixed],MATCH(VALUE(questions[[#This Row],[qno]]),VALUE(stable[qno]),0))</f>
        <v>1</v>
      </c>
      <c r="J1418" s="9" t="b" cm="1">
        <f t="array" ref="J1418">INDEX(stable[is_localized],MATCH(VALUE(questions[[#This Row],[qno]]),VALUE(stable[qno]),0))</f>
        <v>0</v>
      </c>
      <c r="K1418" s="9" t="b" cm="1">
        <f t="array" ref="K1418">INDEX(stable[is_supply_chain_dependent],MATCH(VALUE(questions[[#This Row],[qno]]),VALUE(stable[qno]),0))</f>
        <v>0</v>
      </c>
      <c r="L1418" s="9" t="b" cm="1">
        <f t="array" ref="L1418">INDEX(stable[is_mandatory],MATCH(VALUE(questions[[#This Row],[qno]]),VALUE(stable[qno]),0))</f>
        <v>1</v>
      </c>
      <c r="M1418" s="9" t="b" cm="1">
        <f t="array" ref="M1418">INDEX(stable[is_automated],MATCH(VALUE(questions[[#This Row],[qno]]),VALUE(stable[qno]),0))</f>
        <v>0</v>
      </c>
      <c r="N1418" s="9" t="b" cm="1">
        <f t="array" ref="N1418">INDEX(stable[is_free_text],MATCH(VALUE(questions[[#This Row],[qno]]),VALUE(stable[qno]),0))</f>
        <v>0</v>
      </c>
      <c r="O1418" s="9" t="b" cm="1">
        <f t="array" ref="O1418">INDEX(stable[is_numerical],MATCH(VALUE(questions[[#This Row],[qno]]),VALUE(stable[qno]),0))</f>
        <v>0</v>
      </c>
      <c r="P1418" s="77" t="b" cm="1">
        <f t="array" ref="P1418">INDEX(stable[is_single_select],MATCH(VALUE(questions[[#This Row],[qno]]),VALUE(stable[qno]),0))</f>
        <v>1</v>
      </c>
      <c r="Q1418" s="77" t="b" cm="1">
        <f t="array" ref="Q1418">INDEX(stable[is_multi_select],MATCH(VALUE(questions[[#This Row],[qno]]),VALUE(stable[qno]),0))</f>
        <v>0</v>
      </c>
      <c r="R1418" s="77" t="b" cm="1">
        <f t="array" ref="R1418">INDEX(stable[is_skip_logic],MATCH(VALUE(questions[[#This Row],[qno]]),VALUE(stable[qno]),0))</f>
        <v>1</v>
      </c>
      <c r="S1418" s="77" t="str">
        <f>_xlfn.TEXTJOIN(", ",TRUE,questions[[#This Row],[ans_opt_1]:[ans_opt_14]])</f>
        <v>1% to 25% - little to a quarter, 26% to 50% - less than half, 51% to 75% - more than half, 76% to 100% - almost all</v>
      </c>
      <c r="T1418" s="77" t="s">
        <v>338</v>
      </c>
      <c r="U1418" s="77" t="s">
        <v>339</v>
      </c>
      <c r="V1418" s="77" t="s">
        <v>340</v>
      </c>
      <c r="W1418" s="77" t="s">
        <v>341</v>
      </c>
      <c r="AH1418" s="98" t="b">
        <f>INDEX(stable[q_standard],MATCH(questions[[#This Row],[qno]],stable[qno],0))</f>
        <v>0</v>
      </c>
      <c r="AI1418" s="98" t="b">
        <f>INDEX(stable[q_living_income],MATCH(questions[[#This Row],[qno]],stable[qno],0))</f>
        <v>0</v>
      </c>
      <c r="AJ1418" s="98" t="b">
        <f>INDEX(stable[q_carbon],MATCH(questions[[#This Row],[qno]],stable[qno],0))</f>
        <v>0</v>
      </c>
      <c r="AK1418" s="98" t="b">
        <f>INDEX(stable[q_regen_ag],MATCH(questions[[#This Row],[qno]],stable[qno],0))</f>
        <v>1</v>
      </c>
      <c r="AL1418" s="98" t="b">
        <f>COUNTIFS(stable[qno],questions[[#This Row],[qno]])=1</f>
        <v>1</v>
      </c>
      <c r="AM1418" s="98" t="b">
        <f>OR(questions[[#This Row],[is_fixed]],questions[[#This Row],[is_localized]],questions[[#This Row],[is_supply_chain_dependent]])</f>
        <v>1</v>
      </c>
      <c r="AN1418" s="98" t="b">
        <f>COUNTIFS(questions[[#This Row],[is_automated]:[is_multi_select]],TRUE)=1</f>
        <v>1</v>
      </c>
      <c r="AO1418" s="98" t="b">
        <f>IF(questions[[#This Row],[is_fixed]],questions[[#This Row],[question]]=INDEX(stable[question],MATCH(questions[[#This Row],[qno]],stable[qno],0)),TRUE)</f>
        <v>1</v>
      </c>
      <c r="AP1418" s="98" t="str">
        <f>LEFT(questions[[#This Row],[question]],similarity_range)</f>
        <v>What % or proportion</v>
      </c>
      <c r="AQ1418" s="98" t="str">
        <f>LEFT(INDEX(stable[question],MATCH(questions[[#This Row],[qno]],stable[qno],0)),similarity_range)</f>
        <v>What % or proportion</v>
      </c>
      <c r="AR1418" s="98" t="b">
        <f>questions[[#This Row],[question_first_characters]]=questions[[#This Row],[stability_first_characters]]</f>
        <v>1</v>
      </c>
      <c r="AS1418" s="98" t="b">
        <f>IF(OR(questions[[#This Row],[is_single_select]],questions[[#This Row],[is_multi_select]]),NOT(ISBLANK(questions[[#This Row],[answer_opt_combined]])),TRUE)</f>
        <v>1</v>
      </c>
    </row>
    <row r="1419" spans="1:45" s="77" customFormat="1" ht="15.75" customHeight="1" x14ac:dyDescent="0.25">
      <c r="A1419" s="77" t="str">
        <f>_xlfn.TEXTJOIN("_",TRUE,questions[[#This Row],[origin]:[qno]])</f>
        <v>Rwanda_Arabica_Nestle_Illy_IMPACT_2025_7412</v>
      </c>
      <c r="B1419" s="77" t="s">
        <v>719</v>
      </c>
      <c r="C1419" s="77" t="s">
        <v>59</v>
      </c>
      <c r="D1419" s="77" t="s">
        <v>720</v>
      </c>
      <c r="E1419" s="77">
        <v>2025</v>
      </c>
      <c r="F1419" s="105" t="s">
        <v>457</v>
      </c>
      <c r="G1419" s="78" t="s">
        <v>458</v>
      </c>
      <c r="H1419" s="9" t="str" cm="1">
        <f t="array" ref="H1419">INDEX(stableR[question],MATCH(VALUE(questions[[#This Row],[qno]]),VALUE(stableR[qno]),0))</f>
        <v>If you grow only one variety, how many years ago was this variety planted?</v>
      </c>
      <c r="I1419" s="9" t="b" cm="1">
        <f t="array" ref="I1419">INDEX(stable[is_fixed],MATCH(VALUE(questions[[#This Row],[qno]]),VALUE(stable[qno]),0))</f>
        <v>1</v>
      </c>
      <c r="J1419" s="9" t="b" cm="1">
        <f t="array" ref="J1419">INDEX(stable[is_localized],MATCH(VALUE(questions[[#This Row],[qno]]),VALUE(stable[qno]),0))</f>
        <v>0</v>
      </c>
      <c r="K1419" s="9" t="b" cm="1">
        <f t="array" ref="K1419">INDEX(stable[is_supply_chain_dependent],MATCH(VALUE(questions[[#This Row],[qno]]),VALUE(stable[qno]),0))</f>
        <v>0</v>
      </c>
      <c r="L1419" s="9" t="b" cm="1">
        <f t="array" ref="L1419">INDEX(stable[is_mandatory],MATCH(VALUE(questions[[#This Row],[qno]]),VALUE(stable[qno]),0))</f>
        <v>0</v>
      </c>
      <c r="M1419" s="9" t="b" cm="1">
        <f t="array" ref="M1419">INDEX(stable[is_automated],MATCH(VALUE(questions[[#This Row],[qno]]),VALUE(stable[qno]),0))</f>
        <v>0</v>
      </c>
      <c r="N1419" s="9" t="b" cm="1">
        <f t="array" ref="N1419">INDEX(stable[is_free_text],MATCH(VALUE(questions[[#This Row],[qno]]),VALUE(stable[qno]),0))</f>
        <v>0</v>
      </c>
      <c r="O1419" s="9" t="b" cm="1">
        <f t="array" ref="O1419">INDEX(stable[is_numerical],MATCH(VALUE(questions[[#This Row],[qno]]),VALUE(stable[qno]),0))</f>
        <v>0</v>
      </c>
      <c r="P1419" s="77" t="b" cm="1">
        <f t="array" ref="P1419">INDEX(stable[is_single_select],MATCH(VALUE(questions[[#This Row],[qno]]),VALUE(stable[qno]),0))</f>
        <v>1</v>
      </c>
      <c r="Q1419" s="77" t="b" cm="1">
        <f t="array" ref="Q1419">INDEX(stable[is_multi_select],MATCH(VALUE(questions[[#This Row],[qno]]),VALUE(stable[qno]),0))</f>
        <v>0</v>
      </c>
      <c r="R1419" s="77" t="b" cm="1">
        <f t="array" ref="R1419">INDEX(stable[is_skip_logic],MATCH(VALUE(questions[[#This Row],[qno]]),VALUE(stable[qno]),0))</f>
        <v>1</v>
      </c>
      <c r="S1419" s="77" t="str">
        <f>_xlfn.TEXTJOIN(", ",TRUE,questions[[#This Row],[ans_opt_1]:[ans_opt_14]])</f>
        <v>1-5 years, 6-10 years, 11-15 years, 15-20 years, 20-30 years, &gt;30 years</v>
      </c>
      <c r="T1419" s="77" t="s">
        <v>459</v>
      </c>
      <c r="U1419" s="77" t="s">
        <v>460</v>
      </c>
      <c r="V1419" s="77" t="s">
        <v>461</v>
      </c>
      <c r="W1419" s="77" t="s">
        <v>462</v>
      </c>
      <c r="X1419" s="77" t="s">
        <v>463</v>
      </c>
      <c r="Y1419" s="77" t="s">
        <v>464</v>
      </c>
      <c r="AH1419" s="98" t="b">
        <f>INDEX(stable[q_standard],MATCH(questions[[#This Row],[qno]],stable[qno],0))</f>
        <v>0</v>
      </c>
      <c r="AI1419" s="98" t="b">
        <f>INDEX(stable[q_living_income],MATCH(questions[[#This Row],[qno]],stable[qno],0))</f>
        <v>0</v>
      </c>
      <c r="AJ1419" s="98" t="b">
        <f>INDEX(stable[q_carbon],MATCH(questions[[#This Row],[qno]],stable[qno],0))</f>
        <v>0</v>
      </c>
      <c r="AK1419" s="98" t="b">
        <f>INDEX(stable[q_regen_ag],MATCH(questions[[#This Row],[qno]],stable[qno],0))</f>
        <v>1</v>
      </c>
      <c r="AL1419" s="98" t="b">
        <f>COUNTIFS(stable[qno],questions[[#This Row],[qno]])=1</f>
        <v>1</v>
      </c>
      <c r="AM1419" s="98" t="b">
        <f>OR(questions[[#This Row],[is_fixed]],questions[[#This Row],[is_localized]],questions[[#This Row],[is_supply_chain_dependent]])</f>
        <v>1</v>
      </c>
      <c r="AN1419" s="98" t="b">
        <f>COUNTIFS(questions[[#This Row],[is_automated]:[is_multi_select]],TRUE)=1</f>
        <v>1</v>
      </c>
      <c r="AO1419" s="98" t="b">
        <f>IF(questions[[#This Row],[is_fixed]],questions[[#This Row],[question]]=INDEX(stable[question],MATCH(questions[[#This Row],[qno]],stable[qno],0)),TRUE)</f>
        <v>1</v>
      </c>
      <c r="AP1419" s="98" t="str">
        <f>LEFT(questions[[#This Row],[question]],similarity_range)</f>
        <v>If you grow only one</v>
      </c>
      <c r="AQ1419" s="98" t="str">
        <f>LEFT(INDEX(stable[question],MATCH(questions[[#This Row],[qno]],stable[qno],0)),similarity_range)</f>
        <v>If you grow only one</v>
      </c>
      <c r="AR1419" s="98" t="b">
        <f>questions[[#This Row],[question_first_characters]]=questions[[#This Row],[stability_first_characters]]</f>
        <v>1</v>
      </c>
      <c r="AS1419" s="98" t="b">
        <f>IF(OR(questions[[#This Row],[is_single_select]],questions[[#This Row],[is_multi_select]]),NOT(ISBLANK(questions[[#This Row],[answer_opt_combined]])),TRUE)</f>
        <v>1</v>
      </c>
    </row>
    <row r="1420" spans="1:45" s="77" customFormat="1" ht="15.75" customHeight="1" x14ac:dyDescent="0.25">
      <c r="A1420" s="77" t="str">
        <f>_xlfn.TEXTJOIN("_",TRUE,questions[[#This Row],[origin]:[qno]])</f>
        <v>Rwanda_Arabica_Nestle_Illy_IMPACT_2025_7500</v>
      </c>
      <c r="B1420" s="77" t="s">
        <v>719</v>
      </c>
      <c r="C1420" s="77" t="s">
        <v>59</v>
      </c>
      <c r="D1420" s="77" t="s">
        <v>720</v>
      </c>
      <c r="E1420" s="77">
        <v>2025</v>
      </c>
      <c r="F1420" s="105" t="s">
        <v>465</v>
      </c>
      <c r="G1420" s="78" t="s">
        <v>810</v>
      </c>
      <c r="H1420" s="9" t="str" cm="1">
        <f t="array" ref="H1420">INDEX(stableR[question],MATCH(VALUE(questions[[#This Row],[qno]]),VALUE(stableR[qno]),0))</f>
        <v>Do you plant shade trees and/or fruit trees in your coffee plots?</v>
      </c>
      <c r="I1420" s="9" t="b" cm="1">
        <f t="array" ref="I1420">INDEX(stable[is_fixed],MATCH(VALUE(questions[[#This Row],[qno]]),VALUE(stable[qno]),0))</f>
        <v>0</v>
      </c>
      <c r="J1420" s="9" t="b" cm="1">
        <f t="array" ref="J1420">INDEX(stable[is_localized],MATCH(VALUE(questions[[#This Row],[qno]]),VALUE(stable[qno]),0))</f>
        <v>1</v>
      </c>
      <c r="K1420" s="9" t="b" cm="1">
        <f t="array" ref="K1420">INDEX(stable[is_supply_chain_dependent],MATCH(VALUE(questions[[#This Row],[qno]]),VALUE(stable[qno]),0))</f>
        <v>0</v>
      </c>
      <c r="L1420" s="9" t="b" cm="1">
        <f t="array" ref="L1420">INDEX(stable[is_mandatory],MATCH(VALUE(questions[[#This Row],[qno]]),VALUE(stable[qno]),0))</f>
        <v>1</v>
      </c>
      <c r="M1420" s="9" t="b" cm="1">
        <f t="array" ref="M1420">INDEX(stable[is_automated],MATCH(VALUE(questions[[#This Row],[qno]]),VALUE(stable[qno]),0))</f>
        <v>0</v>
      </c>
      <c r="N1420" s="9" t="b" cm="1">
        <f t="array" ref="N1420">INDEX(stable[is_free_text],MATCH(VALUE(questions[[#This Row],[qno]]),VALUE(stable[qno]),0))</f>
        <v>0</v>
      </c>
      <c r="O1420" s="9" t="b" cm="1">
        <f t="array" ref="O1420">INDEX(stable[is_numerical],MATCH(VALUE(questions[[#This Row],[qno]]),VALUE(stable[qno]),0))</f>
        <v>0</v>
      </c>
      <c r="P1420" s="77" t="b" cm="1">
        <f t="array" ref="P1420">INDEX(stable[is_single_select],MATCH(VALUE(questions[[#This Row],[qno]]),VALUE(stable[qno]),0))</f>
        <v>1</v>
      </c>
      <c r="Q1420" s="77" t="b" cm="1">
        <f t="array" ref="Q1420">INDEX(stable[is_multi_select],MATCH(VALUE(questions[[#This Row],[qno]]),VALUE(stable[qno]),0))</f>
        <v>0</v>
      </c>
      <c r="R1420" s="77" t="b" cm="1">
        <f t="array" ref="R1420">INDEX(stable[is_skip_logic],MATCH(VALUE(questions[[#This Row],[qno]]),VALUE(stable[qno]),0))</f>
        <v>1</v>
      </c>
      <c r="S1420" s="77" t="str">
        <f>_xlfn.TEXTJOIN(", ",TRUE,questions[[#This Row],[ans_opt_1]:[ans_opt_14]])</f>
        <v>No, Yes - forest shade trees, Yes - fruit trees, Yes - mix of forest shade trees and fruit trees</v>
      </c>
      <c r="T1420" s="77" t="s">
        <v>119</v>
      </c>
      <c r="U1420" s="77" t="s">
        <v>467</v>
      </c>
      <c r="V1420" s="77" t="s">
        <v>468</v>
      </c>
      <c r="W1420" s="77" t="s">
        <v>469</v>
      </c>
      <c r="AH1420" s="98" t="b">
        <f>INDEX(stable[q_standard],MATCH(questions[[#This Row],[qno]],stable[qno],0))</f>
        <v>0</v>
      </c>
      <c r="AI1420" s="98" t="b">
        <f>INDEX(stable[q_living_income],MATCH(questions[[#This Row],[qno]],stable[qno],0))</f>
        <v>0</v>
      </c>
      <c r="AJ1420" s="98" t="b">
        <f>INDEX(stable[q_carbon],MATCH(questions[[#This Row],[qno]],stable[qno],0))</f>
        <v>0</v>
      </c>
      <c r="AK1420" s="98" t="b">
        <f>INDEX(stable[q_regen_ag],MATCH(questions[[#This Row],[qno]],stable[qno],0))</f>
        <v>1</v>
      </c>
      <c r="AL1420" s="98" t="b">
        <f>COUNTIFS(stable[qno],questions[[#This Row],[qno]])=1</f>
        <v>1</v>
      </c>
      <c r="AM1420" s="98" t="b">
        <f>OR(questions[[#This Row],[is_fixed]],questions[[#This Row],[is_localized]],questions[[#This Row],[is_supply_chain_dependent]])</f>
        <v>1</v>
      </c>
      <c r="AN1420" s="98" t="b">
        <f>COUNTIFS(questions[[#This Row],[is_automated]:[is_multi_select]],TRUE)=1</f>
        <v>1</v>
      </c>
      <c r="AO1420" s="98" t="b">
        <f>IF(questions[[#This Row],[is_fixed]],questions[[#This Row],[question]]=INDEX(stable[question],MATCH(questions[[#This Row],[qno]],stable[qno],0)),TRUE)</f>
        <v>1</v>
      </c>
      <c r="AP1420" s="98" t="str">
        <f>LEFT(questions[[#This Row],[question]],similarity_range)</f>
        <v>Do you plant shade t</v>
      </c>
      <c r="AQ1420" s="98" t="str">
        <f>LEFT(INDEX(stable[question],MATCH(questions[[#This Row],[qno]],stable[qno],0)),similarity_range)</f>
        <v>Do you plant shade t</v>
      </c>
      <c r="AR1420" s="98" t="b">
        <f>questions[[#This Row],[question_first_characters]]=questions[[#This Row],[stability_first_characters]]</f>
        <v>1</v>
      </c>
      <c r="AS1420" s="98" t="b">
        <f>IF(OR(questions[[#This Row],[is_single_select]],questions[[#This Row],[is_multi_select]]),NOT(ISBLANK(questions[[#This Row],[answer_opt_combined]])),TRUE)</f>
        <v>1</v>
      </c>
    </row>
    <row r="1421" spans="1:45" s="77" customFormat="1" ht="15.75" customHeight="1" x14ac:dyDescent="0.25">
      <c r="A1421" s="77" t="str">
        <f>_xlfn.TEXTJOIN("_",TRUE,questions[[#This Row],[origin]:[qno]])</f>
        <v>Rwanda_Arabica_Nestle_Illy_IMPACT_2025_7501</v>
      </c>
      <c r="B1421" s="77" t="s">
        <v>719</v>
      </c>
      <c r="C1421" s="77" t="s">
        <v>59</v>
      </c>
      <c r="D1421" s="77" t="s">
        <v>720</v>
      </c>
      <c r="E1421" s="77">
        <v>2025</v>
      </c>
      <c r="F1421" s="132" t="s">
        <v>470</v>
      </c>
      <c r="G1421" s="78" t="s">
        <v>811</v>
      </c>
      <c r="H1421" s="9" t="str" cm="1">
        <f t="array" ref="H1421">INDEX(stableR[question],MATCH(VALUE(questions[[#This Row],[qno]]),VALUE(stableR[qno]),0))</f>
        <v>If so, on what % or proportion of your coffee plots do you have shade and/or fruit trees? e.g. if all agro-forestry trees are only distributed in a quarter of the coffee plot, and the rest of the plot does not have agro-forestry trees, then it is 25%</v>
      </c>
      <c r="I1421" s="9" t="b" cm="1">
        <f t="array" ref="I1421">INDEX(stable[is_fixed],MATCH(VALUE(questions[[#This Row],[qno]]),VALUE(stable[qno]),0))</f>
        <v>1</v>
      </c>
      <c r="J1421" s="9" t="b" cm="1">
        <f t="array" ref="J1421">INDEX(stable[is_localized],MATCH(VALUE(questions[[#This Row],[qno]]),VALUE(stable[qno]),0))</f>
        <v>0</v>
      </c>
      <c r="K1421" s="9" t="b" cm="1">
        <f t="array" ref="K1421">INDEX(stable[is_supply_chain_dependent],MATCH(VALUE(questions[[#This Row],[qno]]),VALUE(stable[qno]),0))</f>
        <v>0</v>
      </c>
      <c r="L1421" s="9" t="b" cm="1">
        <f t="array" ref="L1421">INDEX(stable[is_mandatory],MATCH(VALUE(questions[[#This Row],[qno]]),VALUE(stable[qno]),0))</f>
        <v>0</v>
      </c>
      <c r="M1421" s="9" t="b" cm="1">
        <f t="array" ref="M1421">INDEX(stable[is_automated],MATCH(VALUE(questions[[#This Row],[qno]]),VALUE(stable[qno]),0))</f>
        <v>0</v>
      </c>
      <c r="N1421" s="9" t="b" cm="1">
        <f t="array" ref="N1421">INDEX(stable[is_free_text],MATCH(VALUE(questions[[#This Row],[qno]]),VALUE(stable[qno]),0))</f>
        <v>0</v>
      </c>
      <c r="O1421" s="9" t="b" cm="1">
        <f t="array" ref="O1421">INDEX(stable[is_numerical],MATCH(VALUE(questions[[#This Row],[qno]]),VALUE(stable[qno]),0))</f>
        <v>0</v>
      </c>
      <c r="P1421" s="77" t="b" cm="1">
        <f t="array" ref="P1421">INDEX(stable[is_single_select],MATCH(VALUE(questions[[#This Row],[qno]]),VALUE(stable[qno]),0))</f>
        <v>1</v>
      </c>
      <c r="Q1421" s="77" t="b" cm="1">
        <f t="array" ref="Q1421">INDEX(stable[is_multi_select],MATCH(VALUE(questions[[#This Row],[qno]]),VALUE(stable[qno]),0))</f>
        <v>0</v>
      </c>
      <c r="R1421" s="77" t="b" cm="1">
        <f t="array" ref="R1421">INDEX(stable[is_skip_logic],MATCH(VALUE(questions[[#This Row],[qno]]),VALUE(stable[qno]),0))</f>
        <v>1</v>
      </c>
      <c r="S1421" s="77" t="str">
        <f>_xlfn.TEXTJOIN(", ",TRUE,questions[[#This Row],[ans_opt_1]:[ans_opt_14]])</f>
        <v>1% to 25% - little to a quarter, 26% to 50% - less than half, 51% to 75% - more than half, 76% to 100% - almost all</v>
      </c>
      <c r="T1421" s="77" t="s">
        <v>338</v>
      </c>
      <c r="U1421" s="77" t="s">
        <v>339</v>
      </c>
      <c r="V1421" s="77" t="s">
        <v>340</v>
      </c>
      <c r="W1421" s="77" t="s">
        <v>341</v>
      </c>
      <c r="AH1421" s="98" t="b">
        <f>INDEX(stable[q_standard],MATCH(questions[[#This Row],[qno]],stable[qno],0))</f>
        <v>0</v>
      </c>
      <c r="AI1421" s="98" t="b">
        <f>INDEX(stable[q_living_income],MATCH(questions[[#This Row],[qno]],stable[qno],0))</f>
        <v>0</v>
      </c>
      <c r="AJ1421" s="98" t="b">
        <f>INDEX(stable[q_carbon],MATCH(questions[[#This Row],[qno]],stable[qno],0))</f>
        <v>0</v>
      </c>
      <c r="AK1421" s="98" t="b">
        <f>INDEX(stable[q_regen_ag],MATCH(questions[[#This Row],[qno]],stable[qno],0))</f>
        <v>1</v>
      </c>
      <c r="AL1421" s="98" t="b">
        <f>COUNTIFS(stable[qno],questions[[#This Row],[qno]])=1</f>
        <v>1</v>
      </c>
      <c r="AM1421" s="98" t="b">
        <f>OR(questions[[#This Row],[is_fixed]],questions[[#This Row],[is_localized]],questions[[#This Row],[is_supply_chain_dependent]])</f>
        <v>1</v>
      </c>
      <c r="AN1421" s="98" t="b">
        <f>COUNTIFS(questions[[#This Row],[is_automated]:[is_multi_select]],TRUE)=1</f>
        <v>1</v>
      </c>
      <c r="AO1421" s="98" t="b">
        <f>IF(questions[[#This Row],[is_fixed]],questions[[#This Row],[question]]=INDEX(stable[question],MATCH(questions[[#This Row],[qno]],stable[qno],0)),TRUE)</f>
        <v>0</v>
      </c>
      <c r="AP1421" s="98" t="str">
        <f>LEFT(questions[[#This Row],[question]],similarity_range)</f>
        <v xml:space="preserve">If so, on what % or </v>
      </c>
      <c r="AQ1421" s="98" t="str">
        <f>LEFT(INDEX(stable[question],MATCH(questions[[#This Row],[qno]],stable[qno],0)),similarity_range)</f>
        <v xml:space="preserve">If so, on what % or </v>
      </c>
      <c r="AR1421" s="98" t="b">
        <f>questions[[#This Row],[question_first_characters]]=questions[[#This Row],[stability_first_characters]]</f>
        <v>1</v>
      </c>
      <c r="AS1421" s="98" t="b">
        <f>IF(OR(questions[[#This Row],[is_single_select]],questions[[#This Row],[is_multi_select]]),NOT(ISBLANK(questions[[#This Row],[answer_opt_combined]])),TRUE)</f>
        <v>1</v>
      </c>
    </row>
    <row r="1422" spans="1:45" ht="15.75" customHeight="1" x14ac:dyDescent="0.25">
      <c r="A1422" s="9" t="str">
        <f>_xlfn.TEXTJOIN("_",TRUE,questions[[#This Row],[origin]:[qno]])</f>
        <v>Rwanda_Arabica_Nestle_Illy_IMPACT_2025_7502</v>
      </c>
      <c r="B1422" s="9" t="s">
        <v>719</v>
      </c>
      <c r="C1422" s="9" t="s">
        <v>59</v>
      </c>
      <c r="D1422" s="9" t="s">
        <v>720</v>
      </c>
      <c r="E1422" s="33">
        <v>2025</v>
      </c>
      <c r="F1422" s="36" t="s">
        <v>472</v>
      </c>
      <c r="G1422" s="15" t="s">
        <v>473</v>
      </c>
      <c r="H1422" s="9" t="str" cm="1">
        <f t="array" ref="H1422">INDEX(stableR[question],MATCH(VALUE(questions[[#This Row],[qno]]),VALUE(stableR[qno]),0))</f>
        <v>How many different species of shade and/or fruit trees do you have in your coffee plots?</v>
      </c>
      <c r="I1422" s="9" t="b" cm="1">
        <f t="array" ref="I1422">INDEX(stable[is_fixed],MATCH(VALUE(questions[[#This Row],[qno]]),VALUE(stable[qno]),0))</f>
        <v>1</v>
      </c>
      <c r="J1422" s="9" t="b" cm="1">
        <f t="array" ref="J1422">INDEX(stable[is_localized],MATCH(VALUE(questions[[#This Row],[qno]]),VALUE(stable[qno]),0))</f>
        <v>0</v>
      </c>
      <c r="K1422" s="9" t="b" cm="1">
        <f t="array" ref="K1422">INDEX(stable[is_supply_chain_dependent],MATCH(VALUE(questions[[#This Row],[qno]]),VALUE(stable[qno]),0))</f>
        <v>0</v>
      </c>
      <c r="L1422" s="9" t="b" cm="1">
        <f t="array" ref="L1422">INDEX(stable[is_mandatory],MATCH(VALUE(questions[[#This Row],[qno]]),VALUE(stable[qno]),0))</f>
        <v>0</v>
      </c>
      <c r="M1422" s="9" t="b" cm="1">
        <f t="array" ref="M1422">INDEX(stable[is_automated],MATCH(VALUE(questions[[#This Row],[qno]]),VALUE(stable[qno]),0))</f>
        <v>0</v>
      </c>
      <c r="N1422" s="9" t="b" cm="1">
        <f t="array" ref="N1422">INDEX(stable[is_free_text],MATCH(VALUE(questions[[#This Row],[qno]]),VALUE(stable[qno]),0))</f>
        <v>0</v>
      </c>
      <c r="O1422" s="9" t="b" cm="1">
        <f t="array" ref="O1422">INDEX(stable[is_numerical],MATCH(VALUE(questions[[#This Row],[qno]]),VALUE(stable[qno]),0))</f>
        <v>1</v>
      </c>
      <c r="P1422" s="9" t="b" cm="1">
        <f t="array" ref="P1422">INDEX(stable[is_single_select],MATCH(VALUE(questions[[#This Row],[qno]]),VALUE(stable[qno]),0))</f>
        <v>0</v>
      </c>
      <c r="Q1422" s="9" t="b" cm="1">
        <f t="array" ref="Q1422">INDEX(stable[is_multi_select],MATCH(VALUE(questions[[#This Row],[qno]]),VALUE(stable[qno]),0))</f>
        <v>0</v>
      </c>
      <c r="R1422" s="9" t="b" cm="1">
        <f t="array" ref="R1422">INDEX(stable[is_skip_logic],MATCH(VALUE(questions[[#This Row],[qno]]),VALUE(stable[qno]),0))</f>
        <v>0</v>
      </c>
      <c r="S1422" s="9" t="str">
        <f>_xlfn.TEXTJOIN(", ",TRUE,questions[[#This Row],[ans_opt_1]:[ans_opt_14]])</f>
        <v/>
      </c>
      <c r="AH1422" s="16" t="b">
        <f>INDEX(stable[q_standard],MATCH(questions[[#This Row],[qno]],stable[qno],0))</f>
        <v>0</v>
      </c>
      <c r="AI1422" s="16" t="b">
        <f>INDEX(stable[q_living_income],MATCH(questions[[#This Row],[qno]],stable[qno],0))</f>
        <v>0</v>
      </c>
      <c r="AJ1422" s="16" t="b">
        <f>INDEX(stable[q_carbon],MATCH(questions[[#This Row],[qno]],stable[qno],0))</f>
        <v>0</v>
      </c>
      <c r="AK1422" s="16" t="b">
        <f>INDEX(stable[q_regen_ag],MATCH(questions[[#This Row],[qno]],stable[qno],0))</f>
        <v>1</v>
      </c>
      <c r="AL1422" s="16" t="b">
        <f>COUNTIFS(stable[qno],questions[[#This Row],[qno]])=1</f>
        <v>1</v>
      </c>
      <c r="AM1422" s="16" t="b">
        <f>OR(questions[[#This Row],[is_fixed]],questions[[#This Row],[is_localized]],questions[[#This Row],[is_supply_chain_dependent]])</f>
        <v>1</v>
      </c>
      <c r="AN1422" s="16" t="b">
        <f>COUNTIFS(questions[[#This Row],[is_automated]:[is_multi_select]],TRUE)=1</f>
        <v>1</v>
      </c>
      <c r="AO1422" s="16" t="b">
        <f>IF(questions[[#This Row],[is_fixed]],questions[[#This Row],[question]]=INDEX(stable[question],MATCH(questions[[#This Row],[qno]],stable[qno],0)),TRUE)</f>
        <v>1</v>
      </c>
      <c r="AP1422" s="16" t="str">
        <f>LEFT(questions[[#This Row],[question]],similarity_range)</f>
        <v>How many different s</v>
      </c>
      <c r="AQ1422" s="16" t="str">
        <f>LEFT(INDEX(stable[question],MATCH(questions[[#This Row],[qno]],stable[qno],0)),similarity_range)</f>
        <v>How many different s</v>
      </c>
      <c r="AR1422" s="16" t="b">
        <f>questions[[#This Row],[question_first_characters]]=questions[[#This Row],[stability_first_characters]]</f>
        <v>1</v>
      </c>
      <c r="AS1422" s="16" t="b">
        <f>IF(OR(questions[[#This Row],[is_single_select]],questions[[#This Row],[is_multi_select]]),NOT(ISBLANK(questions[[#This Row],[answer_opt_combined]])),TRUE)</f>
        <v>1</v>
      </c>
    </row>
    <row r="1423" spans="1:45" ht="15.75" customHeight="1" x14ac:dyDescent="0.25">
      <c r="A1423" s="9" t="str">
        <f>_xlfn.TEXTJOIN("_",TRUE,questions[[#This Row],[origin]:[qno]])</f>
        <v>Rwanda_Arabica_Nestle_Illy_IMPACT_2025_7503</v>
      </c>
      <c r="B1423" s="9" t="s">
        <v>719</v>
      </c>
      <c r="C1423" s="9" t="s">
        <v>59</v>
      </c>
      <c r="D1423" s="9" t="s">
        <v>720</v>
      </c>
      <c r="E1423" s="33">
        <v>2025</v>
      </c>
      <c r="F1423" s="36" t="s">
        <v>474</v>
      </c>
      <c r="G1423" s="15" t="s">
        <v>475</v>
      </c>
      <c r="H1423" s="9" t="str" cm="1">
        <f t="array" ref="H1423">INDEX(stableR[question],MATCH(VALUE(questions[[#This Row],[qno]]),VALUE(stableR[qno]),0))</f>
        <v>Can you estimate how many shade trees (including fruit and other trees) you have in your coffee plots, in total (inside and boundary trees)?</v>
      </c>
      <c r="I1423" s="9" t="b" cm="1">
        <f t="array" ref="I1423">INDEX(stable[is_fixed],MATCH(VALUE(questions[[#This Row],[qno]]),VALUE(stable[qno]),0))</f>
        <v>1</v>
      </c>
      <c r="J1423" s="9" t="b" cm="1">
        <f t="array" ref="J1423">INDEX(stable[is_localized],MATCH(VALUE(questions[[#This Row],[qno]]),VALUE(stable[qno]),0))</f>
        <v>0</v>
      </c>
      <c r="K1423" s="9" t="b" cm="1">
        <f t="array" ref="K1423">INDEX(stable[is_supply_chain_dependent],MATCH(VALUE(questions[[#This Row],[qno]]),VALUE(stable[qno]),0))</f>
        <v>0</v>
      </c>
      <c r="L1423" s="9" t="b" cm="1">
        <f t="array" ref="L1423">INDEX(stable[is_mandatory],MATCH(VALUE(questions[[#This Row],[qno]]),VALUE(stable[qno]),0))</f>
        <v>0</v>
      </c>
      <c r="M1423" s="9" t="b" cm="1">
        <f t="array" ref="M1423">INDEX(stable[is_automated],MATCH(VALUE(questions[[#This Row],[qno]]),VALUE(stable[qno]),0))</f>
        <v>0</v>
      </c>
      <c r="N1423" s="9" t="b" cm="1">
        <f t="array" ref="N1423">INDEX(stable[is_free_text],MATCH(VALUE(questions[[#This Row],[qno]]),VALUE(stable[qno]),0))</f>
        <v>0</v>
      </c>
      <c r="O1423" s="9" t="b" cm="1">
        <f t="array" ref="O1423">INDEX(stable[is_numerical],MATCH(VALUE(questions[[#This Row],[qno]]),VALUE(stable[qno]),0))</f>
        <v>1</v>
      </c>
      <c r="P1423" s="9" t="b" cm="1">
        <f t="array" ref="P1423">INDEX(stable[is_single_select],MATCH(VALUE(questions[[#This Row],[qno]]),VALUE(stable[qno]),0))</f>
        <v>0</v>
      </c>
      <c r="Q1423" s="9" t="b" cm="1">
        <f t="array" ref="Q1423">INDEX(stable[is_multi_select],MATCH(VALUE(questions[[#This Row],[qno]]),VALUE(stable[qno]),0))</f>
        <v>0</v>
      </c>
      <c r="R1423" s="9" t="b" cm="1">
        <f t="array" ref="R1423">INDEX(stable[is_skip_logic],MATCH(VALUE(questions[[#This Row],[qno]]),VALUE(stable[qno]),0))</f>
        <v>0</v>
      </c>
      <c r="S1423" s="9" t="str">
        <f>_xlfn.TEXTJOIN(", ",TRUE,questions[[#This Row],[ans_opt_1]:[ans_opt_14]])</f>
        <v/>
      </c>
      <c r="AH1423" s="16" t="b">
        <f>INDEX(stable[q_standard],MATCH(questions[[#This Row],[qno]],stable[qno],0))</f>
        <v>0</v>
      </c>
      <c r="AI1423" s="16" t="b">
        <f>INDEX(stable[q_living_income],MATCH(questions[[#This Row],[qno]],stable[qno],0))</f>
        <v>0</v>
      </c>
      <c r="AJ1423" s="16" t="b">
        <f>INDEX(stable[q_carbon],MATCH(questions[[#This Row],[qno]],stable[qno],0))</f>
        <v>0</v>
      </c>
      <c r="AK1423" s="16" t="b">
        <f>INDEX(stable[q_regen_ag],MATCH(questions[[#This Row],[qno]],stable[qno],0))</f>
        <v>1</v>
      </c>
      <c r="AL1423" s="16" t="b">
        <f>COUNTIFS(stable[qno],questions[[#This Row],[qno]])=1</f>
        <v>1</v>
      </c>
      <c r="AM1423" s="16" t="b">
        <f>OR(questions[[#This Row],[is_fixed]],questions[[#This Row],[is_localized]],questions[[#This Row],[is_supply_chain_dependent]])</f>
        <v>1</v>
      </c>
      <c r="AN1423" s="16" t="b">
        <f>COUNTIFS(questions[[#This Row],[is_automated]:[is_multi_select]],TRUE)=1</f>
        <v>1</v>
      </c>
      <c r="AO1423" s="16" t="b">
        <f>IF(questions[[#This Row],[is_fixed]],questions[[#This Row],[question]]=INDEX(stable[question],MATCH(questions[[#This Row],[qno]],stable[qno],0)),TRUE)</f>
        <v>1</v>
      </c>
      <c r="AP1423" s="16" t="str">
        <f>LEFT(questions[[#This Row],[question]],similarity_range)</f>
        <v>Can you estimate how</v>
      </c>
      <c r="AQ1423" s="16" t="str">
        <f>LEFT(INDEX(stable[question],MATCH(questions[[#This Row],[qno]],stable[qno],0)),similarity_range)</f>
        <v>Can you estimate how</v>
      </c>
      <c r="AR1423" s="16" t="b">
        <f>questions[[#This Row],[question_first_characters]]=questions[[#This Row],[stability_first_characters]]</f>
        <v>1</v>
      </c>
      <c r="AS1423" s="16" t="b">
        <f>IF(OR(questions[[#This Row],[is_single_select]],questions[[#This Row],[is_multi_select]]),NOT(ISBLANK(questions[[#This Row],[answer_opt_combined]])),TRUE)</f>
        <v>1</v>
      </c>
    </row>
    <row r="1424" spans="1:45" s="77" customFormat="1" ht="15.75" customHeight="1" x14ac:dyDescent="0.25">
      <c r="A1424" s="77" t="str">
        <f>_xlfn.TEXTJOIN("_",TRUE,questions[[#This Row],[origin]:[qno]])</f>
        <v>Rwanda_Arabica_Nestle_Illy_IMPACT_2025_7504</v>
      </c>
      <c r="B1424" s="77" t="s">
        <v>719</v>
      </c>
      <c r="C1424" s="77" t="s">
        <v>59</v>
      </c>
      <c r="D1424" s="77" t="s">
        <v>720</v>
      </c>
      <c r="E1424" s="77">
        <v>2025</v>
      </c>
      <c r="F1424" s="105" t="s">
        <v>476</v>
      </c>
      <c r="G1424" s="78" t="s">
        <v>477</v>
      </c>
      <c r="H1424" s="9" t="str" cm="1">
        <f t="array" ref="H1424">INDEX(stableR[question],MATCH(VALUE(questions[[#This Row],[qno]]),VALUE(stableR[qno]),0))</f>
        <v>What describes best the size of these shade trees?</v>
      </c>
      <c r="I1424" s="9" t="b" cm="1">
        <f t="array" ref="I1424">INDEX(stable[is_fixed],MATCH(VALUE(questions[[#This Row],[qno]]),VALUE(stable[qno]),0))</f>
        <v>1</v>
      </c>
      <c r="J1424" s="9" t="b" cm="1">
        <f t="array" ref="J1424">INDEX(stable[is_localized],MATCH(VALUE(questions[[#This Row],[qno]]),VALUE(stable[qno]),0))</f>
        <v>0</v>
      </c>
      <c r="K1424" s="9" t="b" cm="1">
        <f t="array" ref="K1424">INDEX(stable[is_supply_chain_dependent],MATCH(VALUE(questions[[#This Row],[qno]]),VALUE(stable[qno]),0))</f>
        <v>0</v>
      </c>
      <c r="L1424" s="9" t="b" cm="1">
        <f t="array" ref="L1424">INDEX(stable[is_mandatory],MATCH(VALUE(questions[[#This Row],[qno]]),VALUE(stable[qno]),0))</f>
        <v>0</v>
      </c>
      <c r="M1424" s="9" t="b" cm="1">
        <f t="array" ref="M1424">INDEX(stable[is_automated],MATCH(VALUE(questions[[#This Row],[qno]]),VALUE(stable[qno]),0))</f>
        <v>0</v>
      </c>
      <c r="N1424" s="9" t="b" cm="1">
        <f t="array" ref="N1424">INDEX(stable[is_free_text],MATCH(VALUE(questions[[#This Row],[qno]]),VALUE(stable[qno]),0))</f>
        <v>0</v>
      </c>
      <c r="O1424" s="9" t="b" cm="1">
        <f t="array" ref="O1424">INDEX(stable[is_numerical],MATCH(VALUE(questions[[#This Row],[qno]]),VALUE(stable[qno]),0))</f>
        <v>0</v>
      </c>
      <c r="P1424" s="77" t="b" cm="1">
        <f t="array" ref="P1424">INDEX(stable[is_single_select],MATCH(VALUE(questions[[#This Row],[qno]]),VALUE(stable[qno]),0))</f>
        <v>1</v>
      </c>
      <c r="Q1424" s="77" t="b" cm="1">
        <f t="array" ref="Q1424">INDEX(stable[is_multi_select],MATCH(VALUE(questions[[#This Row],[qno]]),VALUE(stable[qno]),0))</f>
        <v>0</v>
      </c>
      <c r="R1424" s="77" t="b" cm="1">
        <f t="array" ref="R1424">INDEX(stable[is_skip_logic],MATCH(VALUE(questions[[#This Row],[qno]]),VALUE(stable[qno]),0))</f>
        <v>0</v>
      </c>
      <c r="S1424" s="77" t="str">
        <f>_xlfn.TEXTJOIN(", ",TRUE,questions[[#This Row],[ans_opt_1]:[ans_opt_14]])</f>
        <v>Big sized, full grown, shade trees, Medium sized shade trees, including fruit trees, Multipurpose mix of trees (different types and sizes)</v>
      </c>
      <c r="T1424" s="77" t="s">
        <v>478</v>
      </c>
      <c r="U1424" s="77" t="s">
        <v>812</v>
      </c>
      <c r="V1424" s="77" t="s">
        <v>813</v>
      </c>
      <c r="AH1424" s="98" t="b">
        <f>INDEX(stable[q_standard],MATCH(questions[[#This Row],[qno]],stable[qno],0))</f>
        <v>0</v>
      </c>
      <c r="AI1424" s="98" t="b">
        <f>INDEX(stable[q_living_income],MATCH(questions[[#This Row],[qno]],stable[qno],0))</f>
        <v>0</v>
      </c>
      <c r="AJ1424" s="98" t="b">
        <f>INDEX(stable[q_carbon],MATCH(questions[[#This Row],[qno]],stable[qno],0))</f>
        <v>0</v>
      </c>
      <c r="AK1424" s="98" t="b">
        <f>INDEX(stable[q_regen_ag],MATCH(questions[[#This Row],[qno]],stable[qno],0))</f>
        <v>1</v>
      </c>
      <c r="AL1424" s="98" t="b">
        <f>COUNTIFS(stable[qno],questions[[#This Row],[qno]])=1</f>
        <v>1</v>
      </c>
      <c r="AM1424" s="98" t="b">
        <f>OR(questions[[#This Row],[is_fixed]],questions[[#This Row],[is_localized]],questions[[#This Row],[is_supply_chain_dependent]])</f>
        <v>1</v>
      </c>
      <c r="AN1424" s="98" t="b">
        <f>COUNTIFS(questions[[#This Row],[is_automated]:[is_multi_select]],TRUE)=1</f>
        <v>1</v>
      </c>
      <c r="AO1424" s="98" t="b">
        <f>IF(questions[[#This Row],[is_fixed]],questions[[#This Row],[question]]=INDEX(stable[question],MATCH(questions[[#This Row],[qno]],stable[qno],0)),TRUE)</f>
        <v>1</v>
      </c>
      <c r="AP1424" s="98" t="str">
        <f>LEFT(questions[[#This Row],[question]],similarity_range)</f>
        <v xml:space="preserve">What describes best </v>
      </c>
      <c r="AQ1424" s="98" t="str">
        <f>LEFT(INDEX(stable[question],MATCH(questions[[#This Row],[qno]],stable[qno],0)),similarity_range)</f>
        <v xml:space="preserve">What describes best </v>
      </c>
      <c r="AR1424" s="98" t="b">
        <f>questions[[#This Row],[question_first_characters]]=questions[[#This Row],[stability_first_characters]]</f>
        <v>1</v>
      </c>
      <c r="AS1424" s="98" t="b">
        <f>IF(OR(questions[[#This Row],[is_single_select]],questions[[#This Row],[is_multi_select]]),NOT(ISBLANK(questions[[#This Row],[answer_opt_combined]])),TRUE)</f>
        <v>1</v>
      </c>
    </row>
    <row r="1425" spans="1:45" s="77" customFormat="1" ht="15.75" customHeight="1" x14ac:dyDescent="0.25">
      <c r="A1425" s="77" t="str">
        <f>_xlfn.TEXTJOIN("_",TRUE,questions[[#This Row],[origin]:[qno]])</f>
        <v>Rwanda_Arabica_Nestle_Illy_IMPACT_2025_7600</v>
      </c>
      <c r="B1425" s="77" t="s">
        <v>719</v>
      </c>
      <c r="C1425" s="77" t="s">
        <v>59</v>
      </c>
      <c r="D1425" s="77" t="s">
        <v>720</v>
      </c>
      <c r="E1425" s="77">
        <v>2025</v>
      </c>
      <c r="F1425" s="105" t="s">
        <v>481</v>
      </c>
      <c r="G1425" s="78" t="s">
        <v>482</v>
      </c>
      <c r="H1425" s="9" t="str" cm="1">
        <f t="array" ref="H1425">INDEX(stableR[question],MATCH(VALUE(questions[[#This Row],[qno]]),VALUE(stableR[qno]),0))</f>
        <v>Do you keep bee hives in your farm (own bee hives or termporary during flowering season)?</v>
      </c>
      <c r="I1425" s="9" t="b" cm="1">
        <f t="array" ref="I1425">INDEX(stable[is_fixed],MATCH(VALUE(questions[[#This Row],[qno]]),VALUE(stable[qno]),0))</f>
        <v>1</v>
      </c>
      <c r="J1425" s="9" t="b" cm="1">
        <f t="array" ref="J1425">INDEX(stable[is_localized],MATCH(VALUE(questions[[#This Row],[qno]]),VALUE(stable[qno]),0))</f>
        <v>0</v>
      </c>
      <c r="K1425" s="9" t="b" cm="1">
        <f t="array" ref="K1425">INDEX(stable[is_supply_chain_dependent],MATCH(VALUE(questions[[#This Row],[qno]]),VALUE(stable[qno]),0))</f>
        <v>0</v>
      </c>
      <c r="L1425" s="9" t="b" cm="1">
        <f t="array" ref="L1425">INDEX(stable[is_mandatory],MATCH(VALUE(questions[[#This Row],[qno]]),VALUE(stable[qno]),0))</f>
        <v>1</v>
      </c>
      <c r="M1425" s="9" t="b" cm="1">
        <f t="array" ref="M1425">INDEX(stable[is_automated],MATCH(VALUE(questions[[#This Row],[qno]]),VALUE(stable[qno]),0))</f>
        <v>0</v>
      </c>
      <c r="N1425" s="9" t="b" cm="1">
        <f t="array" ref="N1425">INDEX(stable[is_free_text],MATCH(VALUE(questions[[#This Row],[qno]]),VALUE(stable[qno]),0))</f>
        <v>0</v>
      </c>
      <c r="O1425" s="9" t="b" cm="1">
        <f t="array" ref="O1425">INDEX(stable[is_numerical],MATCH(VALUE(questions[[#This Row],[qno]]),VALUE(stable[qno]),0))</f>
        <v>0</v>
      </c>
      <c r="P1425" s="77" t="b" cm="1">
        <f t="array" ref="P1425">INDEX(stable[is_single_select],MATCH(VALUE(questions[[#This Row],[qno]]),VALUE(stable[qno]),0))</f>
        <v>1</v>
      </c>
      <c r="Q1425" s="77" t="b" cm="1">
        <f t="array" ref="Q1425">INDEX(stable[is_multi_select],MATCH(VALUE(questions[[#This Row],[qno]]),VALUE(stable[qno]),0))</f>
        <v>0</v>
      </c>
      <c r="R1425" s="77" t="b" cm="1">
        <f t="array" ref="R1425">INDEX(stable[is_skip_logic],MATCH(VALUE(questions[[#This Row],[qno]]),VALUE(stable[qno]),0))</f>
        <v>0</v>
      </c>
      <c r="S1425" s="77" t="str">
        <f>_xlfn.TEXTJOIN(", ",TRUE,questions[[#This Row],[ans_opt_1]:[ans_opt_14]])</f>
        <v>Yes, No</v>
      </c>
      <c r="T1425" s="77" t="s">
        <v>149</v>
      </c>
      <c r="U1425" s="77" t="s">
        <v>119</v>
      </c>
      <c r="AH1425" s="98" t="b">
        <f>INDEX(stable[q_standard],MATCH(questions[[#This Row],[qno]],stable[qno],0))</f>
        <v>0</v>
      </c>
      <c r="AI1425" s="98" t="b">
        <f>INDEX(stable[q_living_income],MATCH(questions[[#This Row],[qno]],stable[qno],0))</f>
        <v>0</v>
      </c>
      <c r="AJ1425" s="98" t="b">
        <f>INDEX(stable[q_carbon],MATCH(questions[[#This Row],[qno]],stable[qno],0))</f>
        <v>0</v>
      </c>
      <c r="AK1425" s="98" t="b">
        <f>INDEX(stable[q_regen_ag],MATCH(questions[[#This Row],[qno]],stable[qno],0))</f>
        <v>1</v>
      </c>
      <c r="AL1425" s="98" t="b">
        <f>COUNTIFS(stable[qno],questions[[#This Row],[qno]])=1</f>
        <v>1</v>
      </c>
      <c r="AM1425" s="98" t="b">
        <f>OR(questions[[#This Row],[is_fixed]],questions[[#This Row],[is_localized]],questions[[#This Row],[is_supply_chain_dependent]])</f>
        <v>1</v>
      </c>
      <c r="AN1425" s="98" t="b">
        <f>COUNTIFS(questions[[#This Row],[is_automated]:[is_multi_select]],TRUE)=1</f>
        <v>1</v>
      </c>
      <c r="AO1425" s="98" t="b">
        <f>IF(questions[[#This Row],[is_fixed]],questions[[#This Row],[question]]=INDEX(stable[question],MATCH(questions[[#This Row],[qno]],stable[qno],0)),TRUE)</f>
        <v>1</v>
      </c>
      <c r="AP1425" s="98" t="str">
        <f>LEFT(questions[[#This Row],[question]],similarity_range)</f>
        <v>Do you keep bee hive</v>
      </c>
      <c r="AQ1425" s="98" t="str">
        <f>LEFT(INDEX(stable[question],MATCH(questions[[#This Row],[qno]],stable[qno],0)),similarity_range)</f>
        <v>Do you keep bee hive</v>
      </c>
      <c r="AR1425" s="98" t="b">
        <f>questions[[#This Row],[question_first_characters]]=questions[[#This Row],[stability_first_characters]]</f>
        <v>1</v>
      </c>
      <c r="AS1425" s="98" t="b">
        <f>IF(OR(questions[[#This Row],[is_single_select]],questions[[#This Row],[is_multi_select]]),NOT(ISBLANK(questions[[#This Row],[answer_opt_combined]])),TRUE)</f>
        <v>1</v>
      </c>
    </row>
    <row r="1426" spans="1:45" s="77" customFormat="1" ht="15.75" customHeight="1" x14ac:dyDescent="0.25">
      <c r="A1426" s="77" t="str">
        <f>_xlfn.TEXTJOIN("_",TRUE,questions[[#This Row],[origin]:[qno]])</f>
        <v>Rwanda_Arabica_Nestle_Illy_IMPACT_2025_7700</v>
      </c>
      <c r="B1426" s="77" t="s">
        <v>719</v>
      </c>
      <c r="C1426" s="77" t="s">
        <v>59</v>
      </c>
      <c r="D1426" s="77" t="s">
        <v>720</v>
      </c>
      <c r="E1426" s="77">
        <v>2025</v>
      </c>
      <c r="F1426" s="105" t="s">
        <v>483</v>
      </c>
      <c r="G1426" s="78" t="s">
        <v>814</v>
      </c>
      <c r="H1426" s="9" t="str" cm="1">
        <f t="array" ref="H1426">INDEX(stableR[question],MATCH(VALUE(questions[[#This Row],[qno]]),VALUE(stableR[qno]),0))</f>
        <v>Do you have riparian areas (a buffer area or strip of vegetation along the bank of a stream or river that spatially separates agricultural land from the water) in your coffee plots and/or its boundaries and how many?  If the answer is NO, you do not need to answer the next question.</v>
      </c>
      <c r="I1426" s="9" t="b" cm="1">
        <f t="array" ref="I1426">INDEX(stable[is_fixed],MATCH(VALUE(questions[[#This Row],[qno]]),VALUE(stable[qno]),0))</f>
        <v>1</v>
      </c>
      <c r="J1426" s="9" t="b" cm="1">
        <f t="array" ref="J1426">INDEX(stable[is_localized],MATCH(VALUE(questions[[#This Row],[qno]]),VALUE(stable[qno]),0))</f>
        <v>0</v>
      </c>
      <c r="K1426" s="9" t="b" cm="1">
        <f t="array" ref="K1426">INDEX(stable[is_supply_chain_dependent],MATCH(VALUE(questions[[#This Row],[qno]]),VALUE(stable[qno]),0))</f>
        <v>0</v>
      </c>
      <c r="L1426" s="9" t="b" cm="1">
        <f t="array" ref="L1426">INDEX(stable[is_mandatory],MATCH(VALUE(questions[[#This Row],[qno]]),VALUE(stable[qno]),0))</f>
        <v>1</v>
      </c>
      <c r="M1426" s="9" t="b" cm="1">
        <f t="array" ref="M1426">INDEX(stable[is_automated],MATCH(VALUE(questions[[#This Row],[qno]]),VALUE(stable[qno]),0))</f>
        <v>0</v>
      </c>
      <c r="N1426" s="9" t="b" cm="1">
        <f t="array" ref="N1426">INDEX(stable[is_free_text],MATCH(VALUE(questions[[#This Row],[qno]]),VALUE(stable[qno]),0))</f>
        <v>0</v>
      </c>
      <c r="O1426" s="9" t="b" cm="1">
        <f t="array" ref="O1426">INDEX(stable[is_numerical],MATCH(VALUE(questions[[#This Row],[qno]]),VALUE(stable[qno]),0))</f>
        <v>0</v>
      </c>
      <c r="P1426" s="77" t="b" cm="1">
        <f t="array" ref="P1426">INDEX(stable[is_single_select],MATCH(VALUE(questions[[#This Row],[qno]]),VALUE(stable[qno]),0))</f>
        <v>1</v>
      </c>
      <c r="Q1426" s="77" t="b" cm="1">
        <f t="array" ref="Q1426">INDEX(stable[is_multi_select],MATCH(VALUE(questions[[#This Row],[qno]]),VALUE(stable[qno]),0))</f>
        <v>0</v>
      </c>
      <c r="R1426" s="77" t="b" cm="1">
        <f t="array" ref="R1426">INDEX(stable[is_skip_logic],MATCH(VALUE(questions[[#This Row],[qno]]),VALUE(stable[qno]),0))</f>
        <v>0</v>
      </c>
      <c r="S1426" s="77" t="str">
        <f>_xlfn.TEXTJOIN(", ",TRUE,questions[[#This Row],[ans_opt_1]:[ans_opt_14]])</f>
        <v>No, Yes -1 stream/river, Yes -2 streams/rivers, Yes -3 streams/rivers, Yes -4 streams/rivers, Yes -5 streams/rivers</v>
      </c>
      <c r="T1426" s="77" t="s">
        <v>119</v>
      </c>
      <c r="U1426" s="77" t="s">
        <v>485</v>
      </c>
      <c r="V1426" s="77" t="s">
        <v>486</v>
      </c>
      <c r="W1426" s="77" t="s">
        <v>487</v>
      </c>
      <c r="X1426" s="77" t="s">
        <v>488</v>
      </c>
      <c r="Y1426" s="77" t="s">
        <v>489</v>
      </c>
      <c r="Z1426" s="77" t="str">
        <f>MID(Y1427,7,6)</f>
        <v/>
      </c>
      <c r="AA1426" s="77" t="str">
        <f>MID(Z1427,7,6)</f>
        <v/>
      </c>
      <c r="AH1426" s="98" t="b">
        <f>INDEX(stable[q_standard],MATCH(questions[[#This Row],[qno]],stable[qno],0))</f>
        <v>0</v>
      </c>
      <c r="AI1426" s="98" t="b">
        <f>INDEX(stable[q_living_income],MATCH(questions[[#This Row],[qno]],stable[qno],0))</f>
        <v>0</v>
      </c>
      <c r="AJ1426" s="98" t="b">
        <f>INDEX(stable[q_carbon],MATCH(questions[[#This Row],[qno]],stable[qno],0))</f>
        <v>0</v>
      </c>
      <c r="AK1426" s="98" t="b">
        <f>INDEX(stable[q_regen_ag],MATCH(questions[[#This Row],[qno]],stable[qno],0))</f>
        <v>1</v>
      </c>
      <c r="AL1426" s="98" t="b">
        <f>COUNTIFS(stable[qno],questions[[#This Row],[qno]])=1</f>
        <v>1</v>
      </c>
      <c r="AM1426" s="98" t="b">
        <f>OR(questions[[#This Row],[is_fixed]],questions[[#This Row],[is_localized]],questions[[#This Row],[is_supply_chain_dependent]])</f>
        <v>1</v>
      </c>
      <c r="AN1426" s="98" t="b">
        <f>COUNTIFS(questions[[#This Row],[is_automated]:[is_multi_select]],TRUE)=1</f>
        <v>1</v>
      </c>
      <c r="AO1426" s="98" t="b">
        <f>IF(questions[[#This Row],[is_fixed]],questions[[#This Row],[question]]=INDEX(stable[question],MATCH(questions[[#This Row],[qno]],stable[qno],0)),TRUE)</f>
        <v>0</v>
      </c>
      <c r="AP1426" s="98" t="str">
        <f>LEFT(questions[[#This Row],[question]],similarity_range)</f>
        <v>Is there a stream or</v>
      </c>
      <c r="AQ1426" s="98" t="str">
        <f>LEFT(INDEX(stable[question],MATCH(questions[[#This Row],[qno]],stable[qno],0)),similarity_range)</f>
        <v>Do you have riparian</v>
      </c>
      <c r="AR1426" s="98" t="b">
        <f>questions[[#This Row],[question_first_characters]]=questions[[#This Row],[stability_first_characters]]</f>
        <v>0</v>
      </c>
      <c r="AS1426" s="98" t="b">
        <f>IF(OR(questions[[#This Row],[is_single_select]],questions[[#This Row],[is_multi_select]]),NOT(ISBLANK(questions[[#This Row],[answer_opt_combined]])),TRUE)</f>
        <v>1</v>
      </c>
    </row>
    <row r="1427" spans="1:45" s="77" customFormat="1" ht="15.75" customHeight="1" x14ac:dyDescent="0.25">
      <c r="A1427" s="77" t="str">
        <f>_xlfn.TEXTJOIN("_",TRUE,questions[[#This Row],[origin]:[qno]])</f>
        <v>Rwanda_Arabica_Nestle_Illy_IMPACT_2025_7701</v>
      </c>
      <c r="B1427" s="77" t="s">
        <v>719</v>
      </c>
      <c r="C1427" s="77" t="s">
        <v>59</v>
      </c>
      <c r="D1427" s="77" t="s">
        <v>720</v>
      </c>
      <c r="E1427" s="77">
        <v>2025</v>
      </c>
      <c r="F1427" s="105" t="s">
        <v>490</v>
      </c>
      <c r="G1427" s="78" t="s">
        <v>815</v>
      </c>
      <c r="H1427" s="9" t="str" cm="1">
        <f t="array" ref="H1427">INDEX(stableR[question],MATCH(VALUE(questions[[#This Row],[qno]]),VALUE(stableR[qno]),0))</f>
        <v>How many of the riparian areas in your coffee plots are covered/protected with natural vegetation</v>
      </c>
      <c r="I1427" s="9" t="b" cm="1">
        <f t="array" ref="I1427">INDEX(stable[is_fixed],MATCH(VALUE(questions[[#This Row],[qno]]),VALUE(stable[qno]),0))</f>
        <v>1</v>
      </c>
      <c r="J1427" s="9" t="b" cm="1">
        <f t="array" ref="J1427">INDEX(stable[is_localized],MATCH(VALUE(questions[[#This Row],[qno]]),VALUE(stable[qno]),0))</f>
        <v>0</v>
      </c>
      <c r="K1427" s="9" t="b" cm="1">
        <f t="array" ref="K1427">INDEX(stable[is_supply_chain_dependent],MATCH(VALUE(questions[[#This Row],[qno]]),VALUE(stable[qno]),0))</f>
        <v>0</v>
      </c>
      <c r="L1427" s="9" t="b" cm="1">
        <f t="array" ref="L1427">INDEX(stable[is_mandatory],MATCH(VALUE(questions[[#This Row],[qno]]),VALUE(stable[qno]),0))</f>
        <v>0</v>
      </c>
      <c r="M1427" s="9" t="b" cm="1">
        <f t="array" ref="M1427">INDEX(stable[is_automated],MATCH(VALUE(questions[[#This Row],[qno]]),VALUE(stable[qno]),0))</f>
        <v>0</v>
      </c>
      <c r="N1427" s="9" t="b" cm="1">
        <f t="array" ref="N1427">INDEX(stable[is_free_text],MATCH(VALUE(questions[[#This Row],[qno]]),VALUE(stable[qno]),0))</f>
        <v>0</v>
      </c>
      <c r="O1427" s="9" t="b" cm="1">
        <f t="array" ref="O1427">INDEX(stable[is_numerical],MATCH(VALUE(questions[[#This Row],[qno]]),VALUE(stable[qno]),0))</f>
        <v>0</v>
      </c>
      <c r="P1427" s="77" t="b" cm="1">
        <f t="array" ref="P1427">INDEX(stable[is_single_select],MATCH(VALUE(questions[[#This Row],[qno]]),VALUE(stable[qno]),0))</f>
        <v>1</v>
      </c>
      <c r="Q1427" s="77" t="b" cm="1">
        <f t="array" ref="Q1427">INDEX(stable[is_multi_select],MATCH(VALUE(questions[[#This Row],[qno]]),VALUE(stable[qno]),0))</f>
        <v>0</v>
      </c>
      <c r="R1427" s="77" t="b" cm="1">
        <f t="array" ref="R1427">INDEX(stable[is_skip_logic],MATCH(VALUE(questions[[#This Row],[qno]]),VALUE(stable[qno]),0))</f>
        <v>0</v>
      </c>
      <c r="S1427" s="77" t="str">
        <f>_xlfn.TEXTJOIN(", ",TRUE,questions[[#This Row],[ans_opt_1]:[ans_opt_14]])</f>
        <v>All, Some</v>
      </c>
      <c r="T1427" s="77" t="s">
        <v>492</v>
      </c>
      <c r="U1427" s="77" t="s">
        <v>493</v>
      </c>
      <c r="AH1427" s="98" t="b">
        <f>INDEX(stable[q_standard],MATCH(questions[[#This Row],[qno]],stable[qno],0))</f>
        <v>0</v>
      </c>
      <c r="AI1427" s="98" t="b">
        <f>INDEX(stable[q_living_income],MATCH(questions[[#This Row],[qno]],stable[qno],0))</f>
        <v>0</v>
      </c>
      <c r="AJ1427" s="98" t="b">
        <f>INDEX(stable[q_carbon],MATCH(questions[[#This Row],[qno]],stable[qno],0))</f>
        <v>0</v>
      </c>
      <c r="AK1427" s="98" t="b">
        <f>INDEX(stable[q_regen_ag],MATCH(questions[[#This Row],[qno]],stable[qno],0))</f>
        <v>1</v>
      </c>
      <c r="AL1427" s="98" t="b">
        <f>COUNTIFS(stable[qno],questions[[#This Row],[qno]])=1</f>
        <v>1</v>
      </c>
      <c r="AM1427" s="98" t="b">
        <f>OR(questions[[#This Row],[is_fixed]],questions[[#This Row],[is_localized]],questions[[#This Row],[is_supply_chain_dependent]])</f>
        <v>1</v>
      </c>
      <c r="AN1427" s="98" t="b">
        <f>COUNTIFS(questions[[#This Row],[is_automated]:[is_multi_select]],TRUE)=1</f>
        <v>1</v>
      </c>
      <c r="AO1427" s="98" t="b">
        <f>IF(questions[[#This Row],[is_fixed]],questions[[#This Row],[question]]=INDEX(stable[question],MATCH(questions[[#This Row],[qno]],stable[qno],0)),TRUE)</f>
        <v>0</v>
      </c>
      <c r="AP1427" s="98" t="str">
        <f>LEFT(questions[[#This Row],[question]],similarity_range)</f>
        <v xml:space="preserve">If yes, how many of </v>
      </c>
      <c r="AQ1427" s="98" t="str">
        <f>LEFT(INDEX(stable[question],MATCH(questions[[#This Row],[qno]],stable[qno],0)),similarity_range)</f>
        <v>How many of the ripa</v>
      </c>
      <c r="AR1427" s="98" t="b">
        <f>questions[[#This Row],[question_first_characters]]=questions[[#This Row],[stability_first_characters]]</f>
        <v>0</v>
      </c>
      <c r="AS1427" s="98" t="b">
        <f>IF(OR(questions[[#This Row],[is_single_select]],questions[[#This Row],[is_multi_select]]),NOT(ISBLANK(questions[[#This Row],[answer_opt_combined]])),TRUE)</f>
        <v>1</v>
      </c>
    </row>
    <row r="1428" spans="1:45" s="77" customFormat="1" ht="15.75" customHeight="1" x14ac:dyDescent="0.25">
      <c r="A1428" s="77" t="str">
        <f>_xlfn.TEXTJOIN("_",TRUE,questions[[#This Row],[origin]:[qno]])</f>
        <v>Rwanda_Arabica_Nestle_Illy_IMPACT_2025_8000</v>
      </c>
      <c r="B1428" s="77" t="s">
        <v>719</v>
      </c>
      <c r="C1428" s="77" t="s">
        <v>59</v>
      </c>
      <c r="D1428" s="77" t="s">
        <v>720</v>
      </c>
      <c r="E1428" s="77">
        <v>2025</v>
      </c>
      <c r="F1428" s="108" t="s">
        <v>494</v>
      </c>
      <c r="G1428" s="78" t="s">
        <v>816</v>
      </c>
      <c r="H1428" s="9" t="str" cm="1">
        <f t="array" ref="H1428">INDEX(stableR[question],MATCH(VALUE(questions[[#This Row],[qno]]),VALUE(stableR[qno]),0))</f>
        <v>What describes the soil type best in the coffee plot of the farmer (please observe your self)</v>
      </c>
      <c r="I1428" s="9" t="b" cm="1">
        <f t="array" ref="I1428">INDEX(stable[is_fixed],MATCH(VALUE(questions[[#This Row],[qno]]),VALUE(stable[qno]),0))</f>
        <v>1</v>
      </c>
      <c r="J1428" s="9" t="b" cm="1">
        <f t="array" ref="J1428">INDEX(stable[is_localized],MATCH(VALUE(questions[[#This Row],[qno]]),VALUE(stable[qno]),0))</f>
        <v>0</v>
      </c>
      <c r="K1428" s="9" t="b" cm="1">
        <f t="array" ref="K1428">INDEX(stable[is_supply_chain_dependent],MATCH(VALUE(questions[[#This Row],[qno]]),VALUE(stable[qno]),0))</f>
        <v>0</v>
      </c>
      <c r="L1428" s="9" t="b" cm="1">
        <f t="array" ref="L1428">INDEX(stable[is_mandatory],MATCH(VALUE(questions[[#This Row],[qno]]),VALUE(stable[qno]),0))</f>
        <v>1</v>
      </c>
      <c r="M1428" s="9" t="b" cm="1">
        <f t="array" ref="M1428">INDEX(stable[is_automated],MATCH(VALUE(questions[[#This Row],[qno]]),VALUE(stable[qno]),0))</f>
        <v>0</v>
      </c>
      <c r="N1428" s="9" t="b" cm="1">
        <f t="array" ref="N1428">INDEX(stable[is_free_text],MATCH(VALUE(questions[[#This Row],[qno]]),VALUE(stable[qno]),0))</f>
        <v>0</v>
      </c>
      <c r="O1428" s="9" t="b" cm="1">
        <f t="array" ref="O1428">INDEX(stable[is_numerical],MATCH(VALUE(questions[[#This Row],[qno]]),VALUE(stable[qno]),0))</f>
        <v>0</v>
      </c>
      <c r="P1428" s="77" t="b" cm="1">
        <f t="array" ref="P1428">INDEX(stable[is_single_select],MATCH(VALUE(questions[[#This Row],[qno]]),VALUE(stable[qno]),0))</f>
        <v>1</v>
      </c>
      <c r="Q1428" s="77" t="b" cm="1">
        <f t="array" ref="Q1428">INDEX(stable[is_multi_select],MATCH(VALUE(questions[[#This Row],[qno]]),VALUE(stable[qno]),0))</f>
        <v>0</v>
      </c>
      <c r="R1428" s="77" t="b" cm="1">
        <f t="array" ref="R1428">INDEX(stable[is_skip_logic],MATCH(VALUE(questions[[#This Row],[qno]]),VALUE(stable[qno]),0))</f>
        <v>0</v>
      </c>
      <c r="S1428" s="77" t="str">
        <f>_xlfn.TEXTJOIN(", ",TRUE,questions[[#This Row],[ans_opt_1]:[ans_opt_14]])</f>
        <v>High activity clay soils , Low activity clay soils, Sandy soils, Loamy soils, Volcanic soils, Wetland soils, Organic soils</v>
      </c>
      <c r="T1428" s="77" t="s">
        <v>817</v>
      </c>
      <c r="U1428" s="77" t="s">
        <v>497</v>
      </c>
      <c r="V1428" s="77" t="s">
        <v>498</v>
      </c>
      <c r="W1428" s="77" t="s">
        <v>499</v>
      </c>
      <c r="X1428" s="77" t="s">
        <v>500</v>
      </c>
      <c r="Y1428" s="77" t="s">
        <v>501</v>
      </c>
      <c r="Z1428" s="77" t="s">
        <v>502</v>
      </c>
      <c r="AH1428" s="98" t="b">
        <f>INDEX(stable[q_standard],MATCH(questions[[#This Row],[qno]],stable[qno],0))</f>
        <v>0</v>
      </c>
      <c r="AI1428" s="98" t="b">
        <f>INDEX(stable[q_living_income],MATCH(questions[[#This Row],[qno]],stable[qno],0))</f>
        <v>0</v>
      </c>
      <c r="AJ1428" s="98" t="b">
        <f>INDEX(stable[q_carbon],MATCH(questions[[#This Row],[qno]],stable[qno],0))</f>
        <v>0</v>
      </c>
      <c r="AK1428" s="98" t="b">
        <f>INDEX(stable[q_regen_ag],MATCH(questions[[#This Row],[qno]],stable[qno],0))</f>
        <v>1</v>
      </c>
      <c r="AL1428" s="98" t="b">
        <f>COUNTIFS(stable[qno],questions[[#This Row],[qno]])=1</f>
        <v>1</v>
      </c>
      <c r="AM1428" s="98" t="b">
        <f>OR(questions[[#This Row],[is_fixed]],questions[[#This Row],[is_localized]],questions[[#This Row],[is_supply_chain_dependent]])</f>
        <v>1</v>
      </c>
      <c r="AN1428" s="98" t="b">
        <f>COUNTIFS(questions[[#This Row],[is_automated]:[is_multi_select]],TRUE)=1</f>
        <v>1</v>
      </c>
      <c r="AO1428" s="98" t="b">
        <f>IF(questions[[#This Row],[is_fixed]],questions[[#This Row],[question]]=INDEX(stable[question],MATCH(questions[[#This Row],[qno]],stable[qno],0)),TRUE)</f>
        <v>0</v>
      </c>
      <c r="AP1428" s="98" t="str">
        <f>LEFT(questions[[#This Row],[question]],similarity_range)</f>
        <v>What the describes t</v>
      </c>
      <c r="AQ1428" s="98" t="str">
        <f>LEFT(INDEX(stable[question],MATCH(questions[[#This Row],[qno]],stable[qno],0)),similarity_range)</f>
        <v>What describes the s</v>
      </c>
      <c r="AR1428" s="98" t="b">
        <f>questions[[#This Row],[question_first_characters]]=questions[[#This Row],[stability_first_characters]]</f>
        <v>0</v>
      </c>
      <c r="AS1428" s="98" t="b">
        <f>IF(OR(questions[[#This Row],[is_single_select]],questions[[#This Row],[is_multi_select]]),NOT(ISBLANK(questions[[#This Row],[answer_opt_combined]])),TRUE)</f>
        <v>1</v>
      </c>
    </row>
    <row r="1429" spans="1:45" s="77" customFormat="1" ht="15.75" customHeight="1" x14ac:dyDescent="0.25">
      <c r="A1429" s="77" t="str">
        <f>_xlfn.TEXTJOIN("_",TRUE,questions[[#This Row],[origin]:[qno]])</f>
        <v>Rwanda_Arabica_Nestle_Illy_IMPACT_2025_8010</v>
      </c>
      <c r="B1429" s="77" t="s">
        <v>719</v>
      </c>
      <c r="C1429" s="77" t="s">
        <v>59</v>
      </c>
      <c r="D1429" s="77" t="s">
        <v>720</v>
      </c>
      <c r="E1429" s="77">
        <v>2025</v>
      </c>
      <c r="F1429" s="108" t="s">
        <v>503</v>
      </c>
      <c r="G1429" s="78" t="s">
        <v>504</v>
      </c>
      <c r="H1429" s="9" t="str" cm="1">
        <f t="array" ref="H1429">INDEX(stableR[question],MATCH(VALUE(questions[[#This Row],[qno]]),VALUE(stableR[qno]),0))</f>
        <v>What type of tillage/ploughing do you use in your coffee plots mostly (full tillages=fully turning the soil; reduced tillages is only losening the soil; No till is no tillage or ploughing of the soil at all)?</v>
      </c>
      <c r="I1429" s="9" t="b" cm="1">
        <f t="array" ref="I1429">INDEX(stable[is_fixed],MATCH(VALUE(questions[[#This Row],[qno]]),VALUE(stable[qno]),0))</f>
        <v>1</v>
      </c>
      <c r="J1429" s="9" t="b" cm="1">
        <f t="array" ref="J1429">INDEX(stable[is_localized],MATCH(VALUE(questions[[#This Row],[qno]]),VALUE(stable[qno]),0))</f>
        <v>0</v>
      </c>
      <c r="K1429" s="9" t="b" cm="1">
        <f t="array" ref="K1429">INDEX(stable[is_supply_chain_dependent],MATCH(VALUE(questions[[#This Row],[qno]]),VALUE(stable[qno]),0))</f>
        <v>0</v>
      </c>
      <c r="L1429" s="9" t="b" cm="1">
        <f t="array" ref="L1429">INDEX(stable[is_mandatory],MATCH(VALUE(questions[[#This Row],[qno]]),VALUE(stable[qno]),0))</f>
        <v>1</v>
      </c>
      <c r="M1429" s="9" t="b" cm="1">
        <f t="array" ref="M1429">INDEX(stable[is_automated],MATCH(VALUE(questions[[#This Row],[qno]]),VALUE(stable[qno]),0))</f>
        <v>0</v>
      </c>
      <c r="N1429" s="9" t="b" cm="1">
        <f t="array" ref="N1429">INDEX(stable[is_free_text],MATCH(VALUE(questions[[#This Row],[qno]]),VALUE(stable[qno]),0))</f>
        <v>0</v>
      </c>
      <c r="O1429" s="9" t="b" cm="1">
        <f t="array" ref="O1429">INDEX(stable[is_numerical],MATCH(VALUE(questions[[#This Row],[qno]]),VALUE(stable[qno]),0))</f>
        <v>0</v>
      </c>
      <c r="P1429" s="77" t="b" cm="1">
        <f t="array" ref="P1429">INDEX(stable[is_single_select],MATCH(VALUE(questions[[#This Row],[qno]]),VALUE(stable[qno]),0))</f>
        <v>1</v>
      </c>
      <c r="Q1429" s="77" t="b" cm="1">
        <f t="array" ref="Q1429">INDEX(stable[is_multi_select],MATCH(VALUE(questions[[#This Row],[qno]]),VALUE(stable[qno]),0))</f>
        <v>0</v>
      </c>
      <c r="R1429" s="77" t="b" cm="1">
        <f t="array" ref="R1429">INDEX(stable[is_skip_logic],MATCH(VALUE(questions[[#This Row],[qno]]),VALUE(stable[qno]),0))</f>
        <v>0</v>
      </c>
      <c r="S1429" s="77" t="str">
        <f>_xlfn.TEXTJOIN(", ",TRUE,questions[[#This Row],[ans_opt_1]:[ans_opt_14]])</f>
        <v>Full-tillage, Reduced tillage, No till</v>
      </c>
      <c r="T1429" s="77" t="s">
        <v>505</v>
      </c>
      <c r="U1429" s="77" t="s">
        <v>506</v>
      </c>
      <c r="V1429" s="77" t="s">
        <v>507</v>
      </c>
      <c r="AH1429" s="98" t="b">
        <f>INDEX(stable[q_standard],MATCH(questions[[#This Row],[qno]],stable[qno],0))</f>
        <v>0</v>
      </c>
      <c r="AI1429" s="98" t="b">
        <f>INDEX(stable[q_living_income],MATCH(questions[[#This Row],[qno]],stable[qno],0))</f>
        <v>0</v>
      </c>
      <c r="AJ1429" s="98" t="b">
        <f>INDEX(stable[q_carbon],MATCH(questions[[#This Row],[qno]],stable[qno],0))</f>
        <v>0</v>
      </c>
      <c r="AK1429" s="98" t="b">
        <f>INDEX(stable[q_regen_ag],MATCH(questions[[#This Row],[qno]],stable[qno],0))</f>
        <v>1</v>
      </c>
      <c r="AL1429" s="98" t="b">
        <f>COUNTIFS(stable[qno],questions[[#This Row],[qno]])=1</f>
        <v>1</v>
      </c>
      <c r="AM1429" s="98" t="b">
        <f>OR(questions[[#This Row],[is_fixed]],questions[[#This Row],[is_localized]],questions[[#This Row],[is_supply_chain_dependent]])</f>
        <v>1</v>
      </c>
      <c r="AN1429" s="98" t="b">
        <f>COUNTIFS(questions[[#This Row],[is_automated]:[is_multi_select]],TRUE)=1</f>
        <v>1</v>
      </c>
      <c r="AO1429" s="98" t="b">
        <f>IF(questions[[#This Row],[is_fixed]],questions[[#This Row],[question]]=INDEX(stable[question],MATCH(questions[[#This Row],[qno]],stable[qno],0)),TRUE)</f>
        <v>1</v>
      </c>
      <c r="AP1429" s="98" t="str">
        <f>LEFT(questions[[#This Row],[question]],similarity_range)</f>
        <v>What type of tillage</v>
      </c>
      <c r="AQ1429" s="98" t="str">
        <f>LEFT(INDEX(stable[question],MATCH(questions[[#This Row],[qno]],stable[qno],0)),similarity_range)</f>
        <v>What type of tillage</v>
      </c>
      <c r="AR1429" s="98" t="b">
        <f>questions[[#This Row],[question_first_characters]]=questions[[#This Row],[stability_first_characters]]</f>
        <v>1</v>
      </c>
      <c r="AS1429" s="98" t="b">
        <f>IF(OR(questions[[#This Row],[is_single_select]],questions[[#This Row],[is_multi_select]]),NOT(ISBLANK(questions[[#This Row],[answer_opt_combined]])),TRUE)</f>
        <v>1</v>
      </c>
    </row>
    <row r="1430" spans="1:45" s="77" customFormat="1" ht="15.75" customHeight="1" x14ac:dyDescent="0.25">
      <c r="A1430" s="77" t="str">
        <f>_xlfn.TEXTJOIN("_",TRUE,questions[[#This Row],[origin]:[qno]])</f>
        <v>Rwanda_Arabica_Nestle_Illy_IMPACT_2025_9000</v>
      </c>
      <c r="B1430" s="77" t="s">
        <v>719</v>
      </c>
      <c r="C1430" s="77" t="s">
        <v>59</v>
      </c>
      <c r="D1430" s="77" t="s">
        <v>720</v>
      </c>
      <c r="E1430" s="77">
        <v>2025</v>
      </c>
      <c r="F1430" s="105" t="s">
        <v>508</v>
      </c>
      <c r="G1430" s="78" t="s">
        <v>509</v>
      </c>
      <c r="H1430" s="9" t="str" cm="1">
        <f t="array" ref="H1430">INDEX(stableR[question],MATCH(VALUE(questions[[#This Row],[qno]]),VALUE(stableR[qno]),0))</f>
        <v>Final check: did you measure/polygon map all the plots of the farmer?</v>
      </c>
      <c r="I1430" s="9" t="b" cm="1">
        <f t="array" ref="I1430">INDEX(stable[is_fixed],MATCH(VALUE(questions[[#This Row],[qno]]),VALUE(stable[qno]),0))</f>
        <v>1</v>
      </c>
      <c r="J1430" s="9" t="b" cm="1">
        <f t="array" ref="J1430">INDEX(stable[is_localized],MATCH(VALUE(questions[[#This Row],[qno]]),VALUE(stable[qno]),0))</f>
        <v>0</v>
      </c>
      <c r="K1430" s="9" t="b" cm="1">
        <f t="array" ref="K1430">INDEX(stable[is_supply_chain_dependent],MATCH(VALUE(questions[[#This Row],[qno]]),VALUE(stable[qno]),0))</f>
        <v>0</v>
      </c>
      <c r="L1430" s="9" t="b" cm="1">
        <f t="array" ref="L1430">INDEX(stable[is_mandatory],MATCH(VALUE(questions[[#This Row],[qno]]),VALUE(stable[qno]),0))</f>
        <v>1</v>
      </c>
      <c r="M1430" s="9" t="b" cm="1">
        <f t="array" ref="M1430">INDEX(stable[is_automated],MATCH(VALUE(questions[[#This Row],[qno]]),VALUE(stable[qno]),0))</f>
        <v>0</v>
      </c>
      <c r="N1430" s="9" t="b" cm="1">
        <f t="array" ref="N1430">INDEX(stable[is_free_text],MATCH(VALUE(questions[[#This Row],[qno]]),VALUE(stable[qno]),0))</f>
        <v>0</v>
      </c>
      <c r="O1430" s="9" t="b" cm="1">
        <f t="array" ref="O1430">INDEX(stable[is_numerical],MATCH(VALUE(questions[[#This Row],[qno]]),VALUE(stable[qno]),0))</f>
        <v>0</v>
      </c>
      <c r="P1430" s="77" t="b" cm="1">
        <f t="array" ref="P1430">INDEX(stable[is_single_select],MATCH(VALUE(questions[[#This Row],[qno]]),VALUE(stable[qno]),0))</f>
        <v>1</v>
      </c>
      <c r="Q1430" s="77" t="b" cm="1">
        <f t="array" ref="Q1430">INDEX(stable[is_multi_select],MATCH(VALUE(questions[[#This Row],[qno]]),VALUE(stable[qno]),0))</f>
        <v>0</v>
      </c>
      <c r="R1430" s="77" t="b" cm="1">
        <f t="array" ref="R1430">INDEX(stable[is_skip_logic],MATCH(VALUE(questions[[#This Row],[qno]]),VALUE(stable[qno]),0))</f>
        <v>0</v>
      </c>
      <c r="S1430" s="77" t="str">
        <f>_xlfn.TEXTJOIN(", ",TRUE,questions[[#This Row],[ans_opt_1]:[ans_opt_14]])</f>
        <v>No, Yes, Not possible</v>
      </c>
      <c r="T1430" s="77" t="s">
        <v>119</v>
      </c>
      <c r="U1430" s="77" t="s">
        <v>149</v>
      </c>
      <c r="V1430" s="77" t="s">
        <v>510</v>
      </c>
      <c r="AH1430" s="98" t="b">
        <f>INDEX(stable[q_standard],MATCH(questions[[#This Row],[qno]],stable[qno],0))</f>
        <v>0</v>
      </c>
      <c r="AI1430" s="98" t="b">
        <f>INDEX(stable[q_living_income],MATCH(questions[[#This Row],[qno]],stable[qno],0))</f>
        <v>0</v>
      </c>
      <c r="AJ1430" s="98" t="b">
        <f>INDEX(stable[q_carbon],MATCH(questions[[#This Row],[qno]],stable[qno],0))</f>
        <v>0</v>
      </c>
      <c r="AK1430" s="98" t="b">
        <f>INDEX(stable[q_regen_ag],MATCH(questions[[#This Row],[qno]],stable[qno],0))</f>
        <v>1</v>
      </c>
      <c r="AL1430" s="98" t="b">
        <f>COUNTIFS(stable[qno],questions[[#This Row],[qno]])=1</f>
        <v>1</v>
      </c>
      <c r="AM1430" s="98" t="b">
        <f>OR(questions[[#This Row],[is_fixed]],questions[[#This Row],[is_localized]],questions[[#This Row],[is_supply_chain_dependent]])</f>
        <v>1</v>
      </c>
      <c r="AN1430" s="98" t="b">
        <f>COUNTIFS(questions[[#This Row],[is_automated]:[is_multi_select]],TRUE)=1</f>
        <v>1</v>
      </c>
      <c r="AO1430" s="98" t="b">
        <f>IF(questions[[#This Row],[is_fixed]],questions[[#This Row],[question]]=INDEX(stable[question],MATCH(questions[[#This Row],[qno]],stable[qno],0)),TRUE)</f>
        <v>1</v>
      </c>
      <c r="AP1430" s="98" t="str">
        <f>LEFT(questions[[#This Row],[question]],similarity_range)</f>
        <v>Final check: did you</v>
      </c>
      <c r="AQ1430" s="98" t="str">
        <f>LEFT(INDEX(stable[question],MATCH(questions[[#This Row],[qno]],stable[qno],0)),similarity_range)</f>
        <v>Final check: did you</v>
      </c>
      <c r="AR1430" s="98" t="b">
        <f>questions[[#This Row],[question_first_characters]]=questions[[#This Row],[stability_first_characters]]</f>
        <v>1</v>
      </c>
      <c r="AS1430" s="98" t="b">
        <f>IF(OR(questions[[#This Row],[is_single_select]],questions[[#This Row],[is_multi_select]]),NOT(ISBLANK(questions[[#This Row],[answer_opt_combined]])),TRUE)</f>
        <v>1</v>
      </c>
    </row>
    <row r="1431" spans="1:45" ht="15.75" customHeight="1" x14ac:dyDescent="0.25">
      <c r="A1431" s="9" t="str">
        <f>_xlfn.TEXTJOIN("_",TRUE,questions[[#This Row],[origin]:[qno]])</f>
        <v>Brazil_Arabica_2025_1000</v>
      </c>
      <c r="B1431" s="9" t="s">
        <v>1025</v>
      </c>
      <c r="C1431" s="9" t="s">
        <v>59</v>
      </c>
      <c r="E1431" s="33">
        <v>2025</v>
      </c>
      <c r="F1431" s="19" t="s">
        <v>61</v>
      </c>
      <c r="G1431" s="15" t="s">
        <v>62</v>
      </c>
      <c r="H1431" s="9" t="str" cm="1">
        <f t="array" ref="H1431">INDEX(stableR[question],MATCH(VALUE(questions[[#This Row],[qno]]),VALUE(stableR[qno]),0))</f>
        <v>Origin</v>
      </c>
      <c r="I1431" s="9" t="b" cm="1">
        <f t="array" ref="I1431">INDEX(stable[is_fixed],MATCH(VALUE(questions[[#This Row],[qno]]),VALUE(stable[qno]),0))</f>
        <v>1</v>
      </c>
      <c r="J1431" s="9" t="b" cm="1">
        <f t="array" ref="J1431">INDEX(stable[is_localized],MATCH(VALUE(questions[[#This Row],[qno]]),VALUE(stable[qno]),0))</f>
        <v>0</v>
      </c>
      <c r="K1431" s="9" t="b" cm="1">
        <f t="array" ref="K1431">INDEX(stable[is_supply_chain_dependent],MATCH(VALUE(questions[[#This Row],[qno]]),VALUE(stable[qno]),0))</f>
        <v>0</v>
      </c>
      <c r="L1431" s="9" t="b" cm="1">
        <f t="array" ref="L1431">INDEX(stable[is_mandatory],MATCH(VALUE(questions[[#This Row],[qno]]),VALUE(stable[qno]),0))</f>
        <v>1</v>
      </c>
      <c r="M1431" s="9" t="b" cm="1">
        <f t="array" ref="M1431">INDEX(stable[is_automated],MATCH(VALUE(questions[[#This Row],[qno]]),VALUE(stable[qno]),0))</f>
        <v>1</v>
      </c>
      <c r="N1431" s="9" t="b" cm="1">
        <f t="array" ref="N1431">INDEX(stable[is_free_text],MATCH(VALUE(questions[[#This Row],[qno]]),VALUE(stable[qno]),0))</f>
        <v>0</v>
      </c>
      <c r="O1431" s="9" t="b" cm="1">
        <f t="array" ref="O1431">INDEX(stable[is_numerical],MATCH(VALUE(questions[[#This Row],[qno]]),VALUE(stable[qno]),0))</f>
        <v>0</v>
      </c>
      <c r="P1431" s="9" t="b" cm="1">
        <f t="array" ref="P1431">INDEX(stable[is_single_select],MATCH(VALUE(questions[[#This Row],[qno]]),VALUE(stable[qno]),0))</f>
        <v>0</v>
      </c>
      <c r="Q1431" s="9" t="b" cm="1">
        <f t="array" ref="Q1431">INDEX(stable[is_multi_select],MATCH(VALUE(questions[[#This Row],[qno]]),VALUE(stable[qno]),0))</f>
        <v>0</v>
      </c>
      <c r="R1431" s="9" t="b" cm="1">
        <f t="array" ref="R1431">INDEX(stable[is_skip_logic],MATCH(VALUE(questions[[#This Row],[qno]]),VALUE(stable[qno]),0))</f>
        <v>0</v>
      </c>
      <c r="S1431" s="9" t="str">
        <f>_xlfn.TEXTJOIN(", ",TRUE,questions[[#This Row],[ans_opt_1]:[ans_opt_14]])</f>
        <v/>
      </c>
      <c r="AH1431" s="16" t="b">
        <f>INDEX(stable[q_standard],MATCH(questions[[#This Row],[qno]],stable[qno],0))</f>
        <v>1</v>
      </c>
      <c r="AI1431" s="16" t="b">
        <f>INDEX(stable[q_living_income],MATCH(questions[[#This Row],[qno]],stable[qno],0))</f>
        <v>0</v>
      </c>
      <c r="AJ1431" s="16" t="b">
        <f>INDEX(stable[q_carbon],MATCH(questions[[#This Row],[qno]],stable[qno],0))</f>
        <v>0</v>
      </c>
      <c r="AK1431" s="16" t="b">
        <f>INDEX(stable[q_regen_ag],MATCH(questions[[#This Row],[qno]],stable[qno],0))</f>
        <v>0</v>
      </c>
      <c r="AL1431" s="16" t="b">
        <f>COUNTIFS(stable[qno],questions[[#This Row],[qno]])=1</f>
        <v>1</v>
      </c>
      <c r="AM1431" s="16" t="b">
        <f>OR(questions[[#This Row],[is_fixed]],questions[[#This Row],[is_localized]],questions[[#This Row],[is_supply_chain_dependent]])</f>
        <v>1</v>
      </c>
      <c r="AN1431" s="16" t="b">
        <f>COUNTIFS(questions[[#This Row],[is_automated]:[is_multi_select]],TRUE)=1</f>
        <v>1</v>
      </c>
      <c r="AO1431" s="16" t="b">
        <f>IF(questions[[#This Row],[is_fixed]],questions[[#This Row],[question]]=INDEX(stable[question],MATCH(questions[[#This Row],[qno]],stable[qno],0)),TRUE)</f>
        <v>1</v>
      </c>
      <c r="AP1431" s="16" t="str">
        <f>LEFT(questions[[#This Row],[question]],similarity_range)</f>
        <v>Origin</v>
      </c>
      <c r="AQ1431" s="16" t="str">
        <f>LEFT(INDEX(stable[question],MATCH(questions[[#This Row],[qno]],stable[qno],0)),similarity_range)</f>
        <v>Origin</v>
      </c>
      <c r="AR1431" s="16" t="b">
        <f>questions[[#This Row],[question_first_characters]]=questions[[#This Row],[stability_first_characters]]</f>
        <v>1</v>
      </c>
      <c r="AS1431" s="16" t="b">
        <f>IF(OR(questions[[#This Row],[is_single_select]],questions[[#This Row],[is_multi_select]]),NOT(ISBLANK(questions[[#This Row],[answer_opt_combined]])),TRUE)</f>
        <v>1</v>
      </c>
    </row>
    <row r="1432" spans="1:45" ht="15.75" customHeight="1" x14ac:dyDescent="0.25">
      <c r="A1432" s="9" t="str">
        <f>_xlfn.TEXTJOIN("_",TRUE,questions[[#This Row],[origin]:[qno]])</f>
        <v>Brazil_Arabica_2025_1001</v>
      </c>
      <c r="B1432" s="9" t="s">
        <v>1025</v>
      </c>
      <c r="C1432" s="9" t="s">
        <v>59</v>
      </c>
      <c r="E1432" s="33">
        <v>2025</v>
      </c>
      <c r="F1432" s="19" t="s">
        <v>63</v>
      </c>
      <c r="G1432" s="15" t="s">
        <v>64</v>
      </c>
      <c r="H1432" s="9" t="str" cm="1">
        <f t="array" ref="H1432">INDEX(stableR[question],MATCH(VALUE(questions[[#This Row],[qno]]),VALUE(stableR[qno]),0))</f>
        <v>Type</v>
      </c>
      <c r="I1432" s="9" t="b" cm="1">
        <f t="array" ref="I1432">INDEX(stable[is_fixed],MATCH(VALUE(questions[[#This Row],[qno]]),VALUE(stable[qno]),0))</f>
        <v>1</v>
      </c>
      <c r="J1432" s="9" t="b" cm="1">
        <f t="array" ref="J1432">INDEX(stable[is_localized],MATCH(VALUE(questions[[#This Row],[qno]]),VALUE(stable[qno]),0))</f>
        <v>0</v>
      </c>
      <c r="K1432" s="9" t="b" cm="1">
        <f t="array" ref="K1432">INDEX(stable[is_supply_chain_dependent],MATCH(VALUE(questions[[#This Row],[qno]]),VALUE(stable[qno]),0))</f>
        <v>0</v>
      </c>
      <c r="L1432" s="9" t="b" cm="1">
        <f t="array" ref="L1432">INDEX(stable[is_mandatory],MATCH(VALUE(questions[[#This Row],[qno]]),VALUE(stable[qno]),0))</f>
        <v>1</v>
      </c>
      <c r="M1432" s="9" t="b" cm="1">
        <f t="array" ref="M1432">INDEX(stable[is_automated],MATCH(VALUE(questions[[#This Row],[qno]]),VALUE(stable[qno]),0))</f>
        <v>1</v>
      </c>
      <c r="N1432" s="9" t="b" cm="1">
        <f t="array" ref="N1432">INDEX(stable[is_free_text],MATCH(VALUE(questions[[#This Row],[qno]]),VALUE(stable[qno]),0))</f>
        <v>0</v>
      </c>
      <c r="O1432" s="9" t="b" cm="1">
        <f t="array" ref="O1432">INDEX(stable[is_numerical],MATCH(VALUE(questions[[#This Row],[qno]]),VALUE(stable[qno]),0))</f>
        <v>0</v>
      </c>
      <c r="P1432" s="9" t="b" cm="1">
        <f t="array" ref="P1432">INDEX(stable[is_single_select],MATCH(VALUE(questions[[#This Row],[qno]]),VALUE(stable[qno]),0))</f>
        <v>0</v>
      </c>
      <c r="Q1432" s="9" t="b" cm="1">
        <f t="array" ref="Q1432">INDEX(stable[is_multi_select],MATCH(VALUE(questions[[#This Row],[qno]]),VALUE(stable[qno]),0))</f>
        <v>0</v>
      </c>
      <c r="R1432" s="9" t="b" cm="1">
        <f t="array" ref="R1432">INDEX(stable[is_skip_logic],MATCH(VALUE(questions[[#This Row],[qno]]),VALUE(stable[qno]),0))</f>
        <v>0</v>
      </c>
      <c r="S1432" s="9" t="str">
        <f>_xlfn.TEXTJOIN(", ",TRUE,questions[[#This Row],[ans_opt_1]:[ans_opt_14]])</f>
        <v/>
      </c>
      <c r="AH1432" s="16" t="b">
        <f>INDEX(stable[q_standard],MATCH(questions[[#This Row],[qno]],stable[qno],0))</f>
        <v>1</v>
      </c>
      <c r="AI1432" s="16" t="b">
        <f>INDEX(stable[q_living_income],MATCH(questions[[#This Row],[qno]],stable[qno],0))</f>
        <v>0</v>
      </c>
      <c r="AJ1432" s="16" t="b">
        <f>INDEX(stable[q_carbon],MATCH(questions[[#This Row],[qno]],stable[qno],0))</f>
        <v>0</v>
      </c>
      <c r="AK1432" s="16" t="b">
        <f>INDEX(stable[q_regen_ag],MATCH(questions[[#This Row],[qno]],stable[qno],0))</f>
        <v>0</v>
      </c>
      <c r="AL1432" s="16" t="b">
        <f>COUNTIFS(stable[qno],questions[[#This Row],[qno]])=1</f>
        <v>1</v>
      </c>
      <c r="AM1432" s="16" t="b">
        <f>OR(questions[[#This Row],[is_fixed]],questions[[#This Row],[is_localized]],questions[[#This Row],[is_supply_chain_dependent]])</f>
        <v>1</v>
      </c>
      <c r="AN1432" s="16" t="b">
        <f>COUNTIFS(questions[[#This Row],[is_automated]:[is_multi_select]],TRUE)=1</f>
        <v>1</v>
      </c>
      <c r="AO1432" s="16" t="b">
        <f>IF(questions[[#This Row],[is_fixed]],questions[[#This Row],[question]]=INDEX(stable[question],MATCH(questions[[#This Row],[qno]],stable[qno],0)),TRUE)</f>
        <v>1</v>
      </c>
      <c r="AP1432" s="16" t="str">
        <f>LEFT(questions[[#This Row],[question]],similarity_range)</f>
        <v>Type</v>
      </c>
      <c r="AQ1432" s="16" t="str">
        <f>LEFT(INDEX(stable[question],MATCH(questions[[#This Row],[qno]],stable[qno],0)),similarity_range)</f>
        <v>Type</v>
      </c>
      <c r="AR1432" s="16" t="b">
        <f>questions[[#This Row],[question_first_characters]]=questions[[#This Row],[stability_first_characters]]</f>
        <v>1</v>
      </c>
      <c r="AS1432" s="16" t="b">
        <f>IF(OR(questions[[#This Row],[is_single_select]],questions[[#This Row],[is_multi_select]]),NOT(ISBLANK(questions[[#This Row],[answer_opt_combined]])),TRUE)</f>
        <v>1</v>
      </c>
    </row>
    <row r="1433" spans="1:45" ht="15.75" customHeight="1" x14ac:dyDescent="0.25">
      <c r="A1433" s="9" t="str">
        <f>_xlfn.TEXTJOIN("_",TRUE,questions[[#This Row],[origin]:[qno]])</f>
        <v>Brazil_Arabica_2025_1002</v>
      </c>
      <c r="B1433" s="9" t="s">
        <v>1025</v>
      </c>
      <c r="C1433" s="9" t="s">
        <v>59</v>
      </c>
      <c r="E1433" s="33">
        <v>2025</v>
      </c>
      <c r="F1433" s="19" t="s">
        <v>65</v>
      </c>
      <c r="G1433" s="15" t="s">
        <v>66</v>
      </c>
      <c r="H1433" s="9" t="str" cm="1">
        <f t="array" ref="H1433">INDEX(stableR[question],MATCH(VALUE(questions[[#This Row],[qno]]),VALUE(stableR[qno]),0))</f>
        <v>Supply chain</v>
      </c>
      <c r="I1433" s="9" t="b" cm="1">
        <f t="array" ref="I1433">INDEX(stable[is_fixed],MATCH(VALUE(questions[[#This Row],[qno]]),VALUE(stable[qno]),0))</f>
        <v>1</v>
      </c>
      <c r="J1433" s="9" t="b" cm="1">
        <f t="array" ref="J1433">INDEX(stable[is_localized],MATCH(VALUE(questions[[#This Row],[qno]]),VALUE(stable[qno]),0))</f>
        <v>0</v>
      </c>
      <c r="K1433" s="9" t="b" cm="1">
        <f t="array" ref="K1433">INDEX(stable[is_supply_chain_dependent],MATCH(VALUE(questions[[#This Row],[qno]]),VALUE(stable[qno]),0))</f>
        <v>0</v>
      </c>
      <c r="L1433" s="9" t="b" cm="1">
        <f t="array" ref="L1433">INDEX(stable[is_mandatory],MATCH(VALUE(questions[[#This Row],[qno]]),VALUE(stable[qno]),0))</f>
        <v>1</v>
      </c>
      <c r="M1433" s="9" t="b" cm="1">
        <f t="array" ref="M1433">INDEX(stable[is_automated],MATCH(VALUE(questions[[#This Row],[qno]]),VALUE(stable[qno]),0))</f>
        <v>1</v>
      </c>
      <c r="N1433" s="9" t="b" cm="1">
        <f t="array" ref="N1433">INDEX(stable[is_free_text],MATCH(VALUE(questions[[#This Row],[qno]]),VALUE(stable[qno]),0))</f>
        <v>0</v>
      </c>
      <c r="O1433" s="9" t="b" cm="1">
        <f t="array" ref="O1433">INDEX(stable[is_numerical],MATCH(VALUE(questions[[#This Row],[qno]]),VALUE(stable[qno]),0))</f>
        <v>0</v>
      </c>
      <c r="P1433" s="9" t="b" cm="1">
        <f t="array" ref="P1433">INDEX(stable[is_single_select],MATCH(VALUE(questions[[#This Row],[qno]]),VALUE(stable[qno]),0))</f>
        <v>0</v>
      </c>
      <c r="Q1433" s="9" t="b" cm="1">
        <f t="array" ref="Q1433">INDEX(stable[is_multi_select],MATCH(VALUE(questions[[#This Row],[qno]]),VALUE(stable[qno]),0))</f>
        <v>0</v>
      </c>
      <c r="R1433" s="9" t="b" cm="1">
        <f t="array" ref="R1433">INDEX(stable[is_skip_logic],MATCH(VALUE(questions[[#This Row],[qno]]),VALUE(stable[qno]),0))</f>
        <v>0</v>
      </c>
      <c r="S1433" s="9" t="str">
        <f>_xlfn.TEXTJOIN(", ",TRUE,questions[[#This Row],[ans_opt_1]:[ans_opt_14]])</f>
        <v/>
      </c>
      <c r="AH1433" s="16" t="b">
        <f>INDEX(stable[q_standard],MATCH(questions[[#This Row],[qno]],stable[qno],0))</f>
        <v>1</v>
      </c>
      <c r="AI1433" s="16" t="b">
        <f>INDEX(stable[q_living_income],MATCH(questions[[#This Row],[qno]],stable[qno],0))</f>
        <v>0</v>
      </c>
      <c r="AJ1433" s="16" t="b">
        <f>INDEX(stable[q_carbon],MATCH(questions[[#This Row],[qno]],stable[qno],0))</f>
        <v>0</v>
      </c>
      <c r="AK1433" s="16" t="b">
        <f>INDEX(stable[q_regen_ag],MATCH(questions[[#This Row],[qno]],stable[qno],0))</f>
        <v>0</v>
      </c>
      <c r="AL1433" s="16" t="b">
        <f>COUNTIFS(stable[qno],questions[[#This Row],[qno]])=1</f>
        <v>1</v>
      </c>
      <c r="AM1433" s="16" t="b">
        <f>OR(questions[[#This Row],[is_fixed]],questions[[#This Row],[is_localized]],questions[[#This Row],[is_supply_chain_dependent]])</f>
        <v>1</v>
      </c>
      <c r="AN1433" s="16" t="b">
        <f>COUNTIFS(questions[[#This Row],[is_automated]:[is_multi_select]],TRUE)=1</f>
        <v>1</v>
      </c>
      <c r="AO1433" s="16" t="b">
        <f>IF(questions[[#This Row],[is_fixed]],questions[[#This Row],[question]]=INDEX(stable[question],MATCH(questions[[#This Row],[qno]],stable[qno],0)),TRUE)</f>
        <v>1</v>
      </c>
      <c r="AP1433" s="16" t="str">
        <f>LEFT(questions[[#This Row],[question]],similarity_range)</f>
        <v>Supply chain</v>
      </c>
      <c r="AQ1433" s="16" t="str">
        <f>LEFT(INDEX(stable[question],MATCH(questions[[#This Row],[qno]],stable[qno],0)),similarity_range)</f>
        <v>Supply chain</v>
      </c>
      <c r="AR1433" s="16" t="b">
        <f>questions[[#This Row],[question_first_characters]]=questions[[#This Row],[stability_first_characters]]</f>
        <v>1</v>
      </c>
      <c r="AS1433" s="16" t="b">
        <f>IF(OR(questions[[#This Row],[is_single_select]],questions[[#This Row],[is_multi_select]]),NOT(ISBLANK(questions[[#This Row],[answer_opt_combined]])),TRUE)</f>
        <v>1</v>
      </c>
    </row>
    <row r="1434" spans="1:45" ht="15.75" customHeight="1" x14ac:dyDescent="0.25">
      <c r="A1434" s="9" t="str">
        <f>_xlfn.TEXTJOIN("_",TRUE,questions[[#This Row],[origin]:[qno]])</f>
        <v>Brazil_Arabica_2025_1003</v>
      </c>
      <c r="B1434" s="9" t="s">
        <v>1025</v>
      </c>
      <c r="C1434" s="9" t="s">
        <v>59</v>
      </c>
      <c r="E1434" s="33">
        <v>2025</v>
      </c>
      <c r="F1434" s="19" t="s">
        <v>67</v>
      </c>
      <c r="G1434" s="15" t="s">
        <v>68</v>
      </c>
      <c r="H1434" s="9" t="str" cm="1">
        <f t="array" ref="H1434">INDEX(stableR[question],MATCH(VALUE(questions[[#This Row],[qno]]),VALUE(stableR[qno]),0))</f>
        <v>Year</v>
      </c>
      <c r="I1434" s="9" t="b" cm="1">
        <f t="array" ref="I1434">INDEX(stable[is_fixed],MATCH(VALUE(questions[[#This Row],[qno]]),VALUE(stable[qno]),0))</f>
        <v>1</v>
      </c>
      <c r="J1434" s="9" t="b" cm="1">
        <f t="array" ref="J1434">INDEX(stable[is_localized],MATCH(VALUE(questions[[#This Row],[qno]]),VALUE(stable[qno]),0))</f>
        <v>0</v>
      </c>
      <c r="K1434" s="9" t="b" cm="1">
        <f t="array" ref="K1434">INDEX(stable[is_supply_chain_dependent],MATCH(VALUE(questions[[#This Row],[qno]]),VALUE(stable[qno]),0))</f>
        <v>0</v>
      </c>
      <c r="L1434" s="9" t="b" cm="1">
        <f t="array" ref="L1434">INDEX(stable[is_mandatory],MATCH(VALUE(questions[[#This Row],[qno]]),VALUE(stable[qno]),0))</f>
        <v>1</v>
      </c>
      <c r="M1434" s="9" t="b" cm="1">
        <f t="array" ref="M1434">INDEX(stable[is_automated],MATCH(VALUE(questions[[#This Row],[qno]]),VALUE(stable[qno]),0))</f>
        <v>1</v>
      </c>
      <c r="N1434" s="9" t="b" cm="1">
        <f t="array" ref="N1434">INDEX(stable[is_free_text],MATCH(VALUE(questions[[#This Row],[qno]]),VALUE(stable[qno]),0))</f>
        <v>0</v>
      </c>
      <c r="O1434" s="9" t="b" cm="1">
        <f t="array" ref="O1434">INDEX(stable[is_numerical],MATCH(VALUE(questions[[#This Row],[qno]]),VALUE(stable[qno]),0))</f>
        <v>0</v>
      </c>
      <c r="P1434" s="9" t="b" cm="1">
        <f t="array" ref="P1434">INDEX(stable[is_single_select],MATCH(VALUE(questions[[#This Row],[qno]]),VALUE(stable[qno]),0))</f>
        <v>0</v>
      </c>
      <c r="Q1434" s="9" t="b" cm="1">
        <f t="array" ref="Q1434">INDEX(stable[is_multi_select],MATCH(VALUE(questions[[#This Row],[qno]]),VALUE(stable[qno]),0))</f>
        <v>0</v>
      </c>
      <c r="R1434" s="9" t="b" cm="1">
        <f t="array" ref="R1434">INDEX(stable[is_skip_logic],MATCH(VALUE(questions[[#This Row],[qno]]),VALUE(stable[qno]),0))</f>
        <v>0</v>
      </c>
      <c r="S1434" s="9" t="str">
        <f>_xlfn.TEXTJOIN(", ",TRUE,questions[[#This Row],[ans_opt_1]:[ans_opt_14]])</f>
        <v/>
      </c>
      <c r="AH1434" s="16" t="b">
        <f>INDEX(stable[q_standard],MATCH(questions[[#This Row],[qno]],stable[qno],0))</f>
        <v>1</v>
      </c>
      <c r="AI1434" s="16" t="b">
        <f>INDEX(stable[q_living_income],MATCH(questions[[#This Row],[qno]],stable[qno],0))</f>
        <v>0</v>
      </c>
      <c r="AJ1434" s="16" t="b">
        <f>INDEX(stable[q_carbon],MATCH(questions[[#This Row],[qno]],stable[qno],0))</f>
        <v>0</v>
      </c>
      <c r="AK1434" s="16" t="b">
        <f>INDEX(stable[q_regen_ag],MATCH(questions[[#This Row],[qno]],stable[qno],0))</f>
        <v>0</v>
      </c>
      <c r="AL1434" s="16" t="b">
        <f>COUNTIFS(stable[qno],questions[[#This Row],[qno]])=1</f>
        <v>1</v>
      </c>
      <c r="AM1434" s="16" t="b">
        <f>OR(questions[[#This Row],[is_fixed]],questions[[#This Row],[is_localized]],questions[[#This Row],[is_supply_chain_dependent]])</f>
        <v>1</v>
      </c>
      <c r="AN1434" s="16" t="b">
        <f>COUNTIFS(questions[[#This Row],[is_automated]:[is_multi_select]],TRUE)=1</f>
        <v>1</v>
      </c>
      <c r="AO1434" s="16" t="b">
        <f>IF(questions[[#This Row],[is_fixed]],questions[[#This Row],[question]]=INDEX(stable[question],MATCH(questions[[#This Row],[qno]],stable[qno],0)),TRUE)</f>
        <v>1</v>
      </c>
      <c r="AP1434" s="16" t="str">
        <f>LEFT(questions[[#This Row],[question]],similarity_range)</f>
        <v>Year</v>
      </c>
      <c r="AQ1434" s="16" t="str">
        <f>LEFT(INDEX(stable[question],MATCH(questions[[#This Row],[qno]],stable[qno],0)),similarity_range)</f>
        <v>Year</v>
      </c>
      <c r="AR1434" s="16" t="b">
        <f>questions[[#This Row],[question_first_characters]]=questions[[#This Row],[stability_first_characters]]</f>
        <v>1</v>
      </c>
      <c r="AS1434" s="16" t="b">
        <f>IF(OR(questions[[#This Row],[is_single_select]],questions[[#This Row],[is_multi_select]]),NOT(ISBLANK(questions[[#This Row],[answer_opt_combined]])),TRUE)</f>
        <v>1</v>
      </c>
    </row>
    <row r="1435" spans="1:45" ht="15.75" customHeight="1" x14ac:dyDescent="0.25">
      <c r="A1435" s="9" t="str">
        <f>_xlfn.TEXTJOIN("_",TRUE,questions[[#This Row],[origin]:[qno]])</f>
        <v>Brazil_Arabica_2025_1104</v>
      </c>
      <c r="B1435" s="9" t="s">
        <v>1025</v>
      </c>
      <c r="C1435" s="9" t="s">
        <v>59</v>
      </c>
      <c r="E1435" s="33">
        <v>2025</v>
      </c>
      <c r="F1435" s="19" t="s">
        <v>69</v>
      </c>
      <c r="G1435" s="15" t="s">
        <v>70</v>
      </c>
      <c r="H1435" s="9" t="str" cm="1">
        <f t="array" ref="H1435">INDEX(stableR[question],MATCH(VALUE(questions[[#This Row],[qno]]),VALUE(stableR[qno]),0))</f>
        <v>Managed by</v>
      </c>
      <c r="I1435" s="9" t="b" cm="1">
        <f t="array" ref="I1435">INDEX(stable[is_fixed],MATCH(VALUE(questions[[#This Row],[qno]]),VALUE(stable[qno]),0))</f>
        <v>1</v>
      </c>
      <c r="J1435" s="9" t="b" cm="1">
        <f t="array" ref="J1435">INDEX(stable[is_localized],MATCH(VALUE(questions[[#This Row],[qno]]),VALUE(stable[qno]),0))</f>
        <v>0</v>
      </c>
      <c r="K1435" s="9" t="b" cm="1">
        <f t="array" ref="K1435">INDEX(stable[is_supply_chain_dependent],MATCH(VALUE(questions[[#This Row],[qno]]),VALUE(stable[qno]),0))</f>
        <v>0</v>
      </c>
      <c r="L1435" s="9" t="b" cm="1">
        <f t="array" ref="L1435">INDEX(stable[is_mandatory],MATCH(VALUE(questions[[#This Row],[qno]]),VALUE(stable[qno]),0))</f>
        <v>1</v>
      </c>
      <c r="M1435" s="9" t="b" cm="1">
        <f t="array" ref="M1435">INDEX(stable[is_automated],MATCH(VALUE(questions[[#This Row],[qno]]),VALUE(stable[qno]),0))</f>
        <v>1</v>
      </c>
      <c r="N1435" s="9" t="b" cm="1">
        <f t="array" ref="N1435">INDEX(stable[is_free_text],MATCH(VALUE(questions[[#This Row],[qno]]),VALUE(stable[qno]),0))</f>
        <v>0</v>
      </c>
      <c r="O1435" s="9" t="b" cm="1">
        <f t="array" ref="O1435">INDEX(stable[is_numerical],MATCH(VALUE(questions[[#This Row],[qno]]),VALUE(stable[qno]),0))</f>
        <v>0</v>
      </c>
      <c r="P1435" s="9" t="b" cm="1">
        <f t="array" ref="P1435">INDEX(stable[is_single_select],MATCH(VALUE(questions[[#This Row],[qno]]),VALUE(stable[qno]),0))</f>
        <v>0</v>
      </c>
      <c r="Q1435" s="9" t="b" cm="1">
        <f t="array" ref="Q1435">INDEX(stable[is_multi_select],MATCH(VALUE(questions[[#This Row],[qno]]),VALUE(stable[qno]),0))</f>
        <v>0</v>
      </c>
      <c r="R1435" s="9" t="b" cm="1">
        <f t="array" ref="R1435">INDEX(stable[is_skip_logic],MATCH(VALUE(questions[[#This Row],[qno]]),VALUE(stable[qno]),0))</f>
        <v>0</v>
      </c>
      <c r="S1435" s="9" t="str">
        <f>_xlfn.TEXTJOIN(", ",TRUE,questions[[#This Row],[ans_opt_1]:[ans_opt_14]])</f>
        <v/>
      </c>
      <c r="AH1435" s="16" t="b">
        <f>INDEX(stable[q_standard],MATCH(questions[[#This Row],[qno]],stable[qno],0))</f>
        <v>1</v>
      </c>
      <c r="AI1435" s="16" t="b">
        <f>INDEX(stable[q_living_income],MATCH(questions[[#This Row],[qno]],stable[qno],0))</f>
        <v>0</v>
      </c>
      <c r="AJ1435" s="16" t="b">
        <f>INDEX(stable[q_carbon],MATCH(questions[[#This Row],[qno]],stable[qno],0))</f>
        <v>0</v>
      </c>
      <c r="AK1435" s="16" t="b">
        <f>INDEX(stable[q_regen_ag],MATCH(questions[[#This Row],[qno]],stable[qno],0))</f>
        <v>0</v>
      </c>
      <c r="AL1435" s="16" t="b">
        <f>COUNTIFS(stable[qno],questions[[#This Row],[qno]])=1</f>
        <v>1</v>
      </c>
      <c r="AM1435" s="16" t="b">
        <f>OR(questions[[#This Row],[is_fixed]],questions[[#This Row],[is_localized]],questions[[#This Row],[is_supply_chain_dependent]])</f>
        <v>1</v>
      </c>
      <c r="AN1435" s="16" t="b">
        <f>COUNTIFS(questions[[#This Row],[is_automated]:[is_multi_select]],TRUE)=1</f>
        <v>1</v>
      </c>
      <c r="AO1435" s="16" t="b">
        <f>IF(questions[[#This Row],[is_fixed]],questions[[#This Row],[question]]=INDEX(stable[question],MATCH(questions[[#This Row],[qno]],stable[qno],0)),TRUE)</f>
        <v>1</v>
      </c>
      <c r="AP1435" s="16" t="str">
        <f>LEFT(questions[[#This Row],[question]],similarity_range)</f>
        <v>Managed by</v>
      </c>
      <c r="AQ1435" s="16" t="str">
        <f>LEFT(INDEX(stable[question],MATCH(questions[[#This Row],[qno]],stable[qno],0)),similarity_range)</f>
        <v>Managed by</v>
      </c>
      <c r="AR1435" s="16" t="b">
        <f>questions[[#This Row],[question_first_characters]]=questions[[#This Row],[stability_first_characters]]</f>
        <v>1</v>
      </c>
      <c r="AS1435" s="16" t="b">
        <f>IF(OR(questions[[#This Row],[is_single_select]],questions[[#This Row],[is_multi_select]]),NOT(ISBLANK(questions[[#This Row],[answer_opt_combined]])),TRUE)</f>
        <v>1</v>
      </c>
    </row>
    <row r="1436" spans="1:45" ht="15.75" customHeight="1" x14ac:dyDescent="0.25">
      <c r="A1436" s="9" t="str">
        <f>_xlfn.TEXTJOIN("_",TRUE,questions[[#This Row],[origin]:[qno]])</f>
        <v>Brazil_Arabica_2025_1105</v>
      </c>
      <c r="B1436" s="9" t="s">
        <v>1025</v>
      </c>
      <c r="C1436" s="9" t="s">
        <v>59</v>
      </c>
      <c r="E1436" s="33">
        <v>2025</v>
      </c>
      <c r="F1436" s="19" t="s">
        <v>71</v>
      </c>
      <c r="G1436" s="15" t="s">
        <v>72</v>
      </c>
      <c r="H1436" s="9" t="str" cm="1">
        <f t="array" ref="H1436">INDEX(stableR[question],MATCH(VALUE(questions[[#This Row],[qno]]),VALUE(stableR[qno]),0))</f>
        <v>Field staff(s)</v>
      </c>
      <c r="I1436" s="9" t="b" cm="1">
        <f t="array" ref="I1436">INDEX(stable[is_fixed],MATCH(VALUE(questions[[#This Row],[qno]]),VALUE(stable[qno]),0))</f>
        <v>1</v>
      </c>
      <c r="J1436" s="9" t="b" cm="1">
        <f t="array" ref="J1436">INDEX(stable[is_localized],MATCH(VALUE(questions[[#This Row],[qno]]),VALUE(stable[qno]),0))</f>
        <v>0</v>
      </c>
      <c r="K1436" s="9" t="b" cm="1">
        <f t="array" ref="K1436">INDEX(stable[is_supply_chain_dependent],MATCH(VALUE(questions[[#This Row],[qno]]),VALUE(stable[qno]),0))</f>
        <v>0</v>
      </c>
      <c r="L1436" s="9" t="b" cm="1">
        <f t="array" ref="L1436">INDEX(stable[is_mandatory],MATCH(VALUE(questions[[#This Row],[qno]]),VALUE(stable[qno]),0))</f>
        <v>1</v>
      </c>
      <c r="M1436" s="9" t="b" cm="1">
        <f t="array" ref="M1436">INDEX(stable[is_automated],MATCH(VALUE(questions[[#This Row],[qno]]),VALUE(stable[qno]),0))</f>
        <v>1</v>
      </c>
      <c r="N1436" s="9" t="b" cm="1">
        <f t="array" ref="N1436">INDEX(stable[is_free_text],MATCH(VALUE(questions[[#This Row],[qno]]),VALUE(stable[qno]),0))</f>
        <v>0</v>
      </c>
      <c r="O1436" s="9" t="b" cm="1">
        <f t="array" ref="O1436">INDEX(stable[is_numerical],MATCH(VALUE(questions[[#This Row],[qno]]),VALUE(stable[qno]),0))</f>
        <v>0</v>
      </c>
      <c r="P1436" s="9" t="b" cm="1">
        <f t="array" ref="P1436">INDEX(stable[is_single_select],MATCH(VALUE(questions[[#This Row],[qno]]),VALUE(stable[qno]),0))</f>
        <v>0</v>
      </c>
      <c r="Q1436" s="9" t="b" cm="1">
        <f t="array" ref="Q1436">INDEX(stable[is_multi_select],MATCH(VALUE(questions[[#This Row],[qno]]),VALUE(stable[qno]),0))</f>
        <v>0</v>
      </c>
      <c r="R1436" s="9" t="b" cm="1">
        <f t="array" ref="R1436">INDEX(stable[is_skip_logic],MATCH(VALUE(questions[[#This Row],[qno]]),VALUE(stable[qno]),0))</f>
        <v>0</v>
      </c>
      <c r="S1436" s="9" t="str">
        <f>_xlfn.TEXTJOIN(", ",TRUE,questions[[#This Row],[ans_opt_1]:[ans_opt_14]])</f>
        <v/>
      </c>
      <c r="AH1436" s="16" t="b">
        <f>INDEX(stable[q_standard],MATCH(questions[[#This Row],[qno]],stable[qno],0))</f>
        <v>1</v>
      </c>
      <c r="AI1436" s="16" t="b">
        <f>INDEX(stable[q_living_income],MATCH(questions[[#This Row],[qno]],stable[qno],0))</f>
        <v>0</v>
      </c>
      <c r="AJ1436" s="16" t="b">
        <f>INDEX(stable[q_carbon],MATCH(questions[[#This Row],[qno]],stable[qno],0))</f>
        <v>0</v>
      </c>
      <c r="AK1436" s="16" t="b">
        <f>INDEX(stable[q_regen_ag],MATCH(questions[[#This Row],[qno]],stable[qno],0))</f>
        <v>0</v>
      </c>
      <c r="AL1436" s="16" t="b">
        <f>COUNTIFS(stable[qno],questions[[#This Row],[qno]])=1</f>
        <v>1</v>
      </c>
      <c r="AM1436" s="16" t="b">
        <f>OR(questions[[#This Row],[is_fixed]],questions[[#This Row],[is_localized]],questions[[#This Row],[is_supply_chain_dependent]])</f>
        <v>1</v>
      </c>
      <c r="AN1436" s="16" t="b">
        <f>COUNTIFS(questions[[#This Row],[is_automated]:[is_multi_select]],TRUE)=1</f>
        <v>1</v>
      </c>
      <c r="AO1436" s="16" t="b">
        <f>IF(questions[[#This Row],[is_fixed]],questions[[#This Row],[question]]=INDEX(stable[question],MATCH(questions[[#This Row],[qno]],stable[qno],0)),TRUE)</f>
        <v>1</v>
      </c>
      <c r="AP1436" s="16" t="str">
        <f>LEFT(questions[[#This Row],[question]],similarity_range)</f>
        <v>Field staff(s)</v>
      </c>
      <c r="AQ1436" s="16" t="str">
        <f>LEFT(INDEX(stable[question],MATCH(questions[[#This Row],[qno]],stable[qno],0)),similarity_range)</f>
        <v>Field staff(s)</v>
      </c>
      <c r="AR1436" s="16" t="b">
        <f>questions[[#This Row],[question_first_characters]]=questions[[#This Row],[stability_first_characters]]</f>
        <v>1</v>
      </c>
      <c r="AS1436" s="16" t="b">
        <f>IF(OR(questions[[#This Row],[is_single_select]],questions[[#This Row],[is_multi_select]]),NOT(ISBLANK(questions[[#This Row],[answer_opt_combined]])),TRUE)</f>
        <v>1</v>
      </c>
    </row>
    <row r="1437" spans="1:45" ht="15.75" customHeight="1" x14ac:dyDescent="0.25">
      <c r="A1437" s="9" t="str">
        <f>_xlfn.TEXTJOIN("_",TRUE,questions[[#This Row],[origin]:[qno]])</f>
        <v>Brazil_Arabica_2025_1106</v>
      </c>
      <c r="B1437" s="9" t="s">
        <v>1025</v>
      </c>
      <c r="C1437" s="9" t="s">
        <v>59</v>
      </c>
      <c r="E1437" s="33">
        <v>2025</v>
      </c>
      <c r="F1437" s="19" t="s">
        <v>73</v>
      </c>
      <c r="G1437" s="15" t="s">
        <v>74</v>
      </c>
      <c r="H1437" s="9" t="str" cm="1">
        <f t="array" ref="H1437">INDEX(stableR[question],MATCH(VALUE(questions[[#This Row],[qno]]),VALUE(stableR[qno]),0))</f>
        <v>Completion Date</v>
      </c>
      <c r="I1437" s="9" t="b" cm="1">
        <f t="array" ref="I1437">INDEX(stable[is_fixed],MATCH(VALUE(questions[[#This Row],[qno]]),VALUE(stable[qno]),0))</f>
        <v>1</v>
      </c>
      <c r="J1437" s="9" t="b" cm="1">
        <f t="array" ref="J1437">INDEX(stable[is_localized],MATCH(VALUE(questions[[#This Row],[qno]]),VALUE(stable[qno]),0))</f>
        <v>0</v>
      </c>
      <c r="K1437" s="9" t="b" cm="1">
        <f t="array" ref="K1437">INDEX(stable[is_supply_chain_dependent],MATCH(VALUE(questions[[#This Row],[qno]]),VALUE(stable[qno]),0))</f>
        <v>0</v>
      </c>
      <c r="L1437" s="9" t="b" cm="1">
        <f t="array" ref="L1437">INDEX(stable[is_mandatory],MATCH(VALUE(questions[[#This Row],[qno]]),VALUE(stable[qno]),0))</f>
        <v>1</v>
      </c>
      <c r="M1437" s="9" t="b" cm="1">
        <f t="array" ref="M1437">INDEX(stable[is_automated],MATCH(VALUE(questions[[#This Row],[qno]]),VALUE(stable[qno]),0))</f>
        <v>1</v>
      </c>
      <c r="N1437" s="9" t="b" cm="1">
        <f t="array" ref="N1437">INDEX(stable[is_free_text],MATCH(VALUE(questions[[#This Row],[qno]]),VALUE(stable[qno]),0))</f>
        <v>0</v>
      </c>
      <c r="O1437" s="9" t="b" cm="1">
        <f t="array" ref="O1437">INDEX(stable[is_numerical],MATCH(VALUE(questions[[#This Row],[qno]]),VALUE(stable[qno]),0))</f>
        <v>0</v>
      </c>
      <c r="P1437" s="9" t="b" cm="1">
        <f t="array" ref="P1437">INDEX(stable[is_single_select],MATCH(VALUE(questions[[#This Row],[qno]]),VALUE(stable[qno]),0))</f>
        <v>0</v>
      </c>
      <c r="Q1437" s="9" t="b" cm="1">
        <f t="array" ref="Q1437">INDEX(stable[is_multi_select],MATCH(VALUE(questions[[#This Row],[qno]]),VALUE(stable[qno]),0))</f>
        <v>0</v>
      </c>
      <c r="R1437" s="9" t="b" cm="1">
        <f t="array" ref="R1437">INDEX(stable[is_skip_logic],MATCH(VALUE(questions[[#This Row],[qno]]),VALUE(stable[qno]),0))</f>
        <v>0</v>
      </c>
      <c r="S1437" s="9" t="str">
        <f>_xlfn.TEXTJOIN(", ",TRUE,questions[[#This Row],[ans_opt_1]:[ans_opt_14]])</f>
        <v/>
      </c>
      <c r="AH1437" s="16" t="b">
        <f>INDEX(stable[q_standard],MATCH(questions[[#This Row],[qno]],stable[qno],0))</f>
        <v>1</v>
      </c>
      <c r="AI1437" s="16" t="b">
        <f>INDEX(stable[q_living_income],MATCH(questions[[#This Row],[qno]],stable[qno],0))</f>
        <v>0</v>
      </c>
      <c r="AJ1437" s="16" t="b">
        <f>INDEX(stable[q_carbon],MATCH(questions[[#This Row],[qno]],stable[qno],0))</f>
        <v>0</v>
      </c>
      <c r="AK1437" s="16" t="b">
        <f>INDEX(stable[q_regen_ag],MATCH(questions[[#This Row],[qno]],stable[qno],0))</f>
        <v>0</v>
      </c>
      <c r="AL1437" s="16" t="b">
        <f>COUNTIFS(stable[qno],questions[[#This Row],[qno]])=1</f>
        <v>1</v>
      </c>
      <c r="AM1437" s="16" t="b">
        <f>OR(questions[[#This Row],[is_fixed]],questions[[#This Row],[is_localized]],questions[[#This Row],[is_supply_chain_dependent]])</f>
        <v>1</v>
      </c>
      <c r="AN1437" s="16" t="b">
        <f>COUNTIFS(questions[[#This Row],[is_automated]:[is_multi_select]],TRUE)=1</f>
        <v>1</v>
      </c>
      <c r="AO1437" s="16" t="b">
        <f>IF(questions[[#This Row],[is_fixed]],questions[[#This Row],[question]]=INDEX(stable[question],MATCH(questions[[#This Row],[qno]],stable[qno],0)),TRUE)</f>
        <v>1</v>
      </c>
      <c r="AP1437" s="16" t="str">
        <f>LEFT(questions[[#This Row],[question]],similarity_range)</f>
        <v>Completion Date</v>
      </c>
      <c r="AQ1437" s="16" t="str">
        <f>LEFT(INDEX(stable[question],MATCH(questions[[#This Row],[qno]],stable[qno],0)),similarity_range)</f>
        <v>Completion Date</v>
      </c>
      <c r="AR1437" s="16" t="b">
        <f>questions[[#This Row],[question_first_characters]]=questions[[#This Row],[stability_first_characters]]</f>
        <v>1</v>
      </c>
      <c r="AS1437" s="16" t="b">
        <f>IF(OR(questions[[#This Row],[is_single_select]],questions[[#This Row],[is_multi_select]]),NOT(ISBLANK(questions[[#This Row],[answer_opt_combined]])),TRUE)</f>
        <v>1</v>
      </c>
    </row>
    <row r="1438" spans="1:45" ht="15.75" customHeight="1" x14ac:dyDescent="0.25">
      <c r="A1438" s="9" t="str">
        <f>_xlfn.TEXTJOIN("_",TRUE,questions[[#This Row],[origin]:[qno]])</f>
        <v>Brazil_Arabica_2025_1110</v>
      </c>
      <c r="B1438" s="9" t="s">
        <v>1025</v>
      </c>
      <c r="C1438" s="9" t="s">
        <v>59</v>
      </c>
      <c r="E1438" s="33">
        <v>2025</v>
      </c>
      <c r="F1438" s="19" t="s">
        <v>75</v>
      </c>
      <c r="G1438" s="15" t="s">
        <v>76</v>
      </c>
      <c r="H1438" s="9" t="str" cm="1">
        <f t="array" ref="H1438">INDEX(stableR[question],MATCH(VALUE(questions[[#This Row],[qno]]),VALUE(stableR[qno]),0))</f>
        <v>Approved / Rejected By</v>
      </c>
      <c r="I1438" s="9" t="b" cm="1">
        <f t="array" ref="I1438">INDEX(stable[is_fixed],MATCH(VALUE(questions[[#This Row],[qno]]),VALUE(stable[qno]),0))</f>
        <v>1</v>
      </c>
      <c r="J1438" s="9" t="b" cm="1">
        <f t="array" ref="J1438">INDEX(stable[is_localized],MATCH(VALUE(questions[[#This Row],[qno]]),VALUE(stable[qno]),0))</f>
        <v>0</v>
      </c>
      <c r="K1438" s="9" t="b" cm="1">
        <f t="array" ref="K1438">INDEX(stable[is_supply_chain_dependent],MATCH(VALUE(questions[[#This Row],[qno]]),VALUE(stable[qno]),0))</f>
        <v>0</v>
      </c>
      <c r="L1438" s="9" t="b" cm="1">
        <f t="array" ref="L1438">INDEX(stable[is_mandatory],MATCH(VALUE(questions[[#This Row],[qno]]),VALUE(stable[qno]),0))</f>
        <v>1</v>
      </c>
      <c r="M1438" s="9" t="b" cm="1">
        <f t="array" ref="M1438">INDEX(stable[is_automated],MATCH(VALUE(questions[[#This Row],[qno]]),VALUE(stable[qno]),0))</f>
        <v>1</v>
      </c>
      <c r="N1438" s="9" t="b" cm="1">
        <f t="array" ref="N1438">INDEX(stable[is_free_text],MATCH(VALUE(questions[[#This Row],[qno]]),VALUE(stable[qno]),0))</f>
        <v>0</v>
      </c>
      <c r="O1438" s="9" t="b" cm="1">
        <f t="array" ref="O1438">INDEX(stable[is_numerical],MATCH(VALUE(questions[[#This Row],[qno]]),VALUE(stable[qno]),0))</f>
        <v>0</v>
      </c>
      <c r="P1438" s="9" t="b" cm="1">
        <f t="array" ref="P1438">INDEX(stable[is_single_select],MATCH(VALUE(questions[[#This Row],[qno]]),VALUE(stable[qno]),0))</f>
        <v>0</v>
      </c>
      <c r="Q1438" s="9" t="b" cm="1">
        <f t="array" ref="Q1438">INDEX(stable[is_multi_select],MATCH(VALUE(questions[[#This Row],[qno]]),VALUE(stable[qno]),0))</f>
        <v>0</v>
      </c>
      <c r="R1438" s="9" t="b" cm="1">
        <f t="array" ref="R1438">INDEX(stable[is_skip_logic],MATCH(VALUE(questions[[#This Row],[qno]]),VALUE(stable[qno]),0))</f>
        <v>0</v>
      </c>
      <c r="S1438" s="9" t="str">
        <f>_xlfn.TEXTJOIN(", ",TRUE,questions[[#This Row],[ans_opt_1]:[ans_opt_14]])</f>
        <v/>
      </c>
      <c r="AH1438" s="16" t="b">
        <f>INDEX(stable[q_standard],MATCH(questions[[#This Row],[qno]],stable[qno],0))</f>
        <v>1</v>
      </c>
      <c r="AI1438" s="16" t="b">
        <f>INDEX(stable[q_living_income],MATCH(questions[[#This Row],[qno]],stable[qno],0))</f>
        <v>0</v>
      </c>
      <c r="AJ1438" s="16" t="b">
        <f>INDEX(stable[q_carbon],MATCH(questions[[#This Row],[qno]],stable[qno],0))</f>
        <v>0</v>
      </c>
      <c r="AK1438" s="16" t="b">
        <f>INDEX(stable[q_regen_ag],MATCH(questions[[#This Row],[qno]],stable[qno],0))</f>
        <v>0</v>
      </c>
      <c r="AL1438" s="16" t="b">
        <f>COUNTIFS(stable[qno],questions[[#This Row],[qno]])=1</f>
        <v>1</v>
      </c>
      <c r="AM1438" s="16" t="b">
        <f>OR(questions[[#This Row],[is_fixed]],questions[[#This Row],[is_localized]],questions[[#This Row],[is_supply_chain_dependent]])</f>
        <v>1</v>
      </c>
      <c r="AN1438" s="16" t="b">
        <f>COUNTIFS(questions[[#This Row],[is_automated]:[is_multi_select]],TRUE)=1</f>
        <v>1</v>
      </c>
      <c r="AO1438" s="16" t="b">
        <f>IF(questions[[#This Row],[is_fixed]],questions[[#This Row],[question]]=INDEX(stable[question],MATCH(questions[[#This Row],[qno]],stable[qno],0)),TRUE)</f>
        <v>1</v>
      </c>
      <c r="AP1438" s="16" t="str">
        <f>LEFT(questions[[#This Row],[question]],similarity_range)</f>
        <v xml:space="preserve">Approved / Rejected </v>
      </c>
      <c r="AQ1438" s="16" t="str">
        <f>LEFT(INDEX(stable[question],MATCH(questions[[#This Row],[qno]],stable[qno],0)),similarity_range)</f>
        <v xml:space="preserve">Approved / Rejected </v>
      </c>
      <c r="AR1438" s="16" t="b">
        <f>questions[[#This Row],[question_first_characters]]=questions[[#This Row],[stability_first_characters]]</f>
        <v>1</v>
      </c>
      <c r="AS1438" s="16" t="b">
        <f>IF(OR(questions[[#This Row],[is_single_select]],questions[[#This Row],[is_multi_select]]),NOT(ISBLANK(questions[[#This Row],[answer_opt_combined]])),TRUE)</f>
        <v>1</v>
      </c>
    </row>
    <row r="1439" spans="1:45" ht="15.75" customHeight="1" x14ac:dyDescent="0.25">
      <c r="A1439" s="9" t="str">
        <f>_xlfn.TEXTJOIN("_",TRUE,questions[[#This Row],[origin]:[qno]])</f>
        <v>Brazil_Arabica_2025_1111</v>
      </c>
      <c r="B1439" s="9" t="s">
        <v>1025</v>
      </c>
      <c r="C1439" s="9" t="s">
        <v>59</v>
      </c>
      <c r="E1439" s="33">
        <v>2025</v>
      </c>
      <c r="F1439" s="19" t="s">
        <v>77</v>
      </c>
      <c r="G1439" s="15" t="s">
        <v>78</v>
      </c>
      <c r="H1439" s="9" t="str" cm="1">
        <f t="array" ref="H1439">INDEX(stableR[question],MATCH(VALUE(questions[[#This Row],[qno]]),VALUE(stableR[qno]),0))</f>
        <v>Approved / Rejected Date</v>
      </c>
      <c r="I1439" s="9" t="b" cm="1">
        <f t="array" ref="I1439">INDEX(stable[is_fixed],MATCH(VALUE(questions[[#This Row],[qno]]),VALUE(stable[qno]),0))</f>
        <v>1</v>
      </c>
      <c r="J1439" s="9" t="b" cm="1">
        <f t="array" ref="J1439">INDEX(stable[is_localized],MATCH(VALUE(questions[[#This Row],[qno]]),VALUE(stable[qno]),0))</f>
        <v>0</v>
      </c>
      <c r="K1439" s="9" t="b" cm="1">
        <f t="array" ref="K1439">INDEX(stable[is_supply_chain_dependent],MATCH(VALUE(questions[[#This Row],[qno]]),VALUE(stable[qno]),0))</f>
        <v>0</v>
      </c>
      <c r="L1439" s="9" t="b" cm="1">
        <f t="array" ref="L1439">INDEX(stable[is_mandatory],MATCH(VALUE(questions[[#This Row],[qno]]),VALUE(stable[qno]),0))</f>
        <v>1</v>
      </c>
      <c r="M1439" s="9" t="b" cm="1">
        <f t="array" ref="M1439">INDEX(stable[is_automated],MATCH(VALUE(questions[[#This Row],[qno]]),VALUE(stable[qno]),0))</f>
        <v>1</v>
      </c>
      <c r="N1439" s="9" t="b" cm="1">
        <f t="array" ref="N1439">INDEX(stable[is_free_text],MATCH(VALUE(questions[[#This Row],[qno]]),VALUE(stable[qno]),0))</f>
        <v>0</v>
      </c>
      <c r="O1439" s="9" t="b" cm="1">
        <f t="array" ref="O1439">INDEX(stable[is_numerical],MATCH(VALUE(questions[[#This Row],[qno]]),VALUE(stable[qno]),0))</f>
        <v>0</v>
      </c>
      <c r="P1439" s="9" t="b" cm="1">
        <f t="array" ref="P1439">INDEX(stable[is_single_select],MATCH(VALUE(questions[[#This Row],[qno]]),VALUE(stable[qno]),0))</f>
        <v>0</v>
      </c>
      <c r="Q1439" s="9" t="b" cm="1">
        <f t="array" ref="Q1439">INDEX(stable[is_multi_select],MATCH(VALUE(questions[[#This Row],[qno]]),VALUE(stable[qno]),0))</f>
        <v>0</v>
      </c>
      <c r="R1439" s="9" t="b" cm="1">
        <f t="array" ref="R1439">INDEX(stable[is_skip_logic],MATCH(VALUE(questions[[#This Row],[qno]]),VALUE(stable[qno]),0))</f>
        <v>0</v>
      </c>
      <c r="S1439" s="9" t="str">
        <f>_xlfn.TEXTJOIN(", ",TRUE,questions[[#This Row],[ans_opt_1]:[ans_opt_14]])</f>
        <v/>
      </c>
      <c r="AH1439" s="16" t="b">
        <f>INDEX(stable[q_standard],MATCH(questions[[#This Row],[qno]],stable[qno],0))</f>
        <v>1</v>
      </c>
      <c r="AI1439" s="16" t="b">
        <f>INDEX(stable[q_living_income],MATCH(questions[[#This Row],[qno]],stable[qno],0))</f>
        <v>0</v>
      </c>
      <c r="AJ1439" s="16" t="b">
        <f>INDEX(stable[q_carbon],MATCH(questions[[#This Row],[qno]],stable[qno],0))</f>
        <v>0</v>
      </c>
      <c r="AK1439" s="16" t="b">
        <f>INDEX(stable[q_regen_ag],MATCH(questions[[#This Row],[qno]],stable[qno],0))</f>
        <v>0</v>
      </c>
      <c r="AL1439" s="16" t="b">
        <f>COUNTIFS(stable[qno],questions[[#This Row],[qno]])=1</f>
        <v>1</v>
      </c>
      <c r="AM1439" s="16" t="b">
        <f>OR(questions[[#This Row],[is_fixed]],questions[[#This Row],[is_localized]],questions[[#This Row],[is_supply_chain_dependent]])</f>
        <v>1</v>
      </c>
      <c r="AN1439" s="16" t="b">
        <f>COUNTIFS(questions[[#This Row],[is_automated]:[is_multi_select]],TRUE)=1</f>
        <v>1</v>
      </c>
      <c r="AO1439" s="16" t="b">
        <f>IF(questions[[#This Row],[is_fixed]],questions[[#This Row],[question]]=INDEX(stable[question],MATCH(questions[[#This Row],[qno]],stable[qno],0)),TRUE)</f>
        <v>1</v>
      </c>
      <c r="AP1439" s="16" t="str">
        <f>LEFT(questions[[#This Row],[question]],similarity_range)</f>
        <v xml:space="preserve">Approved / Rejected </v>
      </c>
      <c r="AQ1439" s="16" t="str">
        <f>LEFT(INDEX(stable[question],MATCH(questions[[#This Row],[qno]],stable[qno],0)),similarity_range)</f>
        <v xml:space="preserve">Approved / Rejected </v>
      </c>
      <c r="AR1439" s="16" t="b">
        <f>questions[[#This Row],[question_first_characters]]=questions[[#This Row],[stability_first_characters]]</f>
        <v>1</v>
      </c>
      <c r="AS1439" s="16" t="b">
        <f>IF(OR(questions[[#This Row],[is_single_select]],questions[[#This Row],[is_multi_select]]),NOT(ISBLANK(questions[[#This Row],[answer_opt_combined]])),TRUE)</f>
        <v>1</v>
      </c>
    </row>
    <row r="1440" spans="1:45" ht="15.75" customHeight="1" x14ac:dyDescent="0.25">
      <c r="A1440" s="9" t="str">
        <f>_xlfn.TEXTJOIN("_",TRUE,questions[[#This Row],[origin]:[qno]])</f>
        <v>Brazil_Arabica_2025_1112</v>
      </c>
      <c r="B1440" s="9" t="s">
        <v>1025</v>
      </c>
      <c r="C1440" s="9" t="s">
        <v>59</v>
      </c>
      <c r="E1440" s="33">
        <v>2025</v>
      </c>
      <c r="F1440" s="19" t="s">
        <v>79</v>
      </c>
      <c r="G1440" s="15" t="s">
        <v>80</v>
      </c>
      <c r="H1440" s="9" t="str" cm="1">
        <f t="array" ref="H1440">INDEX(stableR[question],MATCH(VALUE(questions[[#This Row],[qno]]),VALUE(stableR[qno]),0))</f>
        <v>Approval / Rejection Reason</v>
      </c>
      <c r="I1440" s="9" t="b" cm="1">
        <f t="array" ref="I1440">INDEX(stable[is_fixed],MATCH(VALUE(questions[[#This Row],[qno]]),VALUE(stable[qno]),0))</f>
        <v>1</v>
      </c>
      <c r="J1440" s="9" t="b" cm="1">
        <f t="array" ref="J1440">INDEX(stable[is_localized],MATCH(VALUE(questions[[#This Row],[qno]]),VALUE(stable[qno]),0))</f>
        <v>0</v>
      </c>
      <c r="K1440" s="9" t="b" cm="1">
        <f t="array" ref="K1440">INDEX(stable[is_supply_chain_dependent],MATCH(VALUE(questions[[#This Row],[qno]]),VALUE(stable[qno]),0))</f>
        <v>0</v>
      </c>
      <c r="L1440" s="9" t="b" cm="1">
        <f t="array" ref="L1440">INDEX(stable[is_mandatory],MATCH(VALUE(questions[[#This Row],[qno]]),VALUE(stable[qno]),0))</f>
        <v>1</v>
      </c>
      <c r="M1440" s="9" t="b" cm="1">
        <f t="array" ref="M1440">INDEX(stable[is_automated],MATCH(VALUE(questions[[#This Row],[qno]]),VALUE(stable[qno]),0))</f>
        <v>1</v>
      </c>
      <c r="N1440" s="9" t="b" cm="1">
        <f t="array" ref="N1440">INDEX(stable[is_free_text],MATCH(VALUE(questions[[#This Row],[qno]]),VALUE(stable[qno]),0))</f>
        <v>0</v>
      </c>
      <c r="O1440" s="9" t="b" cm="1">
        <f t="array" ref="O1440">INDEX(stable[is_numerical],MATCH(VALUE(questions[[#This Row],[qno]]),VALUE(stable[qno]),0))</f>
        <v>0</v>
      </c>
      <c r="P1440" s="9" t="b" cm="1">
        <f t="array" ref="P1440">INDEX(stable[is_single_select],MATCH(VALUE(questions[[#This Row],[qno]]),VALUE(stable[qno]),0))</f>
        <v>0</v>
      </c>
      <c r="Q1440" s="9" t="b" cm="1">
        <f t="array" ref="Q1440">INDEX(stable[is_multi_select],MATCH(VALUE(questions[[#This Row],[qno]]),VALUE(stable[qno]),0))</f>
        <v>0</v>
      </c>
      <c r="R1440" s="9" t="b" cm="1">
        <f t="array" ref="R1440">INDEX(stable[is_skip_logic],MATCH(VALUE(questions[[#This Row],[qno]]),VALUE(stable[qno]),0))</f>
        <v>0</v>
      </c>
      <c r="S1440" s="9" t="str">
        <f>_xlfn.TEXTJOIN(", ",TRUE,questions[[#This Row],[ans_opt_1]:[ans_opt_14]])</f>
        <v/>
      </c>
      <c r="AH1440" s="16" t="b">
        <f>INDEX(stable[q_standard],MATCH(questions[[#This Row],[qno]],stable[qno],0))</f>
        <v>1</v>
      </c>
      <c r="AI1440" s="16" t="b">
        <f>INDEX(stable[q_living_income],MATCH(questions[[#This Row],[qno]],stable[qno],0))</f>
        <v>0</v>
      </c>
      <c r="AJ1440" s="16" t="b">
        <f>INDEX(stable[q_carbon],MATCH(questions[[#This Row],[qno]],stable[qno],0))</f>
        <v>0</v>
      </c>
      <c r="AK1440" s="16" t="b">
        <f>INDEX(stable[q_regen_ag],MATCH(questions[[#This Row],[qno]],stable[qno],0))</f>
        <v>0</v>
      </c>
      <c r="AL1440" s="16" t="b">
        <f>COUNTIFS(stable[qno],questions[[#This Row],[qno]])=1</f>
        <v>1</v>
      </c>
      <c r="AM1440" s="16" t="b">
        <f>OR(questions[[#This Row],[is_fixed]],questions[[#This Row],[is_localized]],questions[[#This Row],[is_supply_chain_dependent]])</f>
        <v>1</v>
      </c>
      <c r="AN1440" s="16" t="b">
        <f>COUNTIFS(questions[[#This Row],[is_automated]:[is_multi_select]],TRUE)=1</f>
        <v>1</v>
      </c>
      <c r="AO1440" s="16" t="b">
        <f>IF(questions[[#This Row],[is_fixed]],questions[[#This Row],[question]]=INDEX(stable[question],MATCH(questions[[#This Row],[qno]],stable[qno],0)),TRUE)</f>
        <v>1</v>
      </c>
      <c r="AP1440" s="16" t="str">
        <f>LEFT(questions[[#This Row],[question]],similarity_range)</f>
        <v>Approval / Rejection</v>
      </c>
      <c r="AQ1440" s="16" t="str">
        <f>LEFT(INDEX(stable[question],MATCH(questions[[#This Row],[qno]],stable[qno],0)),similarity_range)</f>
        <v>Approval / Rejection</v>
      </c>
      <c r="AR1440" s="16" t="b">
        <f>questions[[#This Row],[question_first_characters]]=questions[[#This Row],[stability_first_characters]]</f>
        <v>1</v>
      </c>
      <c r="AS1440" s="16" t="b">
        <f>IF(OR(questions[[#This Row],[is_single_select]],questions[[#This Row],[is_multi_select]]),NOT(ISBLANK(questions[[#This Row],[answer_opt_combined]])),TRUE)</f>
        <v>1</v>
      </c>
    </row>
    <row r="1441" spans="1:45" ht="15.75" customHeight="1" x14ac:dyDescent="0.25">
      <c r="A1441" s="9" t="str">
        <f>_xlfn.TEXTJOIN("_",TRUE,questions[[#This Row],[origin]:[qno]])</f>
        <v>Brazil_Arabica_2025_1200</v>
      </c>
      <c r="B1441" s="9" t="s">
        <v>1025</v>
      </c>
      <c r="C1441" s="9" t="s">
        <v>59</v>
      </c>
      <c r="E1441" s="33">
        <v>2025</v>
      </c>
      <c r="F1441" s="19" t="s">
        <v>81</v>
      </c>
      <c r="G1441" s="15" t="s">
        <v>82</v>
      </c>
      <c r="H1441" s="9" t="str" cm="1">
        <f t="array" ref="H1441">INDEX(stableR[question],MATCH(VALUE(questions[[#This Row],[qno]]),VALUE(stableR[qno]),0))</f>
        <v>Farmer code</v>
      </c>
      <c r="I1441" s="9" t="b" cm="1">
        <f t="array" ref="I1441">INDEX(stable[is_fixed],MATCH(VALUE(questions[[#This Row],[qno]]),VALUE(stable[qno]),0))</f>
        <v>1</v>
      </c>
      <c r="J1441" s="9" t="b" cm="1">
        <f t="array" ref="J1441">INDEX(stable[is_localized],MATCH(VALUE(questions[[#This Row],[qno]]),VALUE(stable[qno]),0))</f>
        <v>0</v>
      </c>
      <c r="K1441" s="9" t="b" cm="1">
        <f t="array" ref="K1441">INDEX(stable[is_supply_chain_dependent],MATCH(VALUE(questions[[#This Row],[qno]]),VALUE(stable[qno]),0))</f>
        <v>0</v>
      </c>
      <c r="L1441" s="9" t="b" cm="1">
        <f t="array" ref="L1441">INDEX(stable[is_mandatory],MATCH(VALUE(questions[[#This Row],[qno]]),VALUE(stable[qno]),0))</f>
        <v>1</v>
      </c>
      <c r="M1441" s="9" t="b" cm="1">
        <f t="array" ref="M1441">INDEX(stable[is_automated],MATCH(VALUE(questions[[#This Row],[qno]]),VALUE(stable[qno]),0))</f>
        <v>1</v>
      </c>
      <c r="N1441" s="9" t="b" cm="1">
        <f t="array" ref="N1441">INDEX(stable[is_free_text],MATCH(VALUE(questions[[#This Row],[qno]]),VALUE(stable[qno]),0))</f>
        <v>0</v>
      </c>
      <c r="O1441" s="9" t="b" cm="1">
        <f t="array" ref="O1441">INDEX(stable[is_numerical],MATCH(VALUE(questions[[#This Row],[qno]]),VALUE(stable[qno]),0))</f>
        <v>0</v>
      </c>
      <c r="P1441" s="9" t="b" cm="1">
        <f t="array" ref="P1441">INDEX(stable[is_single_select],MATCH(VALUE(questions[[#This Row],[qno]]),VALUE(stable[qno]),0))</f>
        <v>0</v>
      </c>
      <c r="Q1441" s="9" t="b" cm="1">
        <f t="array" ref="Q1441">INDEX(stable[is_multi_select],MATCH(VALUE(questions[[#This Row],[qno]]),VALUE(stable[qno]),0))</f>
        <v>0</v>
      </c>
      <c r="R1441" s="9" t="b" cm="1">
        <f t="array" ref="R1441">INDEX(stable[is_skip_logic],MATCH(VALUE(questions[[#This Row],[qno]]),VALUE(stable[qno]),0))</f>
        <v>0</v>
      </c>
      <c r="S1441" s="9" t="str">
        <f>_xlfn.TEXTJOIN(", ",TRUE,questions[[#This Row],[ans_opt_1]:[ans_opt_14]])</f>
        <v/>
      </c>
      <c r="AH1441" s="16" t="b">
        <f>INDEX(stable[q_standard],MATCH(questions[[#This Row],[qno]],stable[qno],0))</f>
        <v>1</v>
      </c>
      <c r="AI1441" s="16" t="b">
        <f>INDEX(stable[q_living_income],MATCH(questions[[#This Row],[qno]],stable[qno],0))</f>
        <v>0</v>
      </c>
      <c r="AJ1441" s="16" t="b">
        <f>INDEX(stable[q_carbon],MATCH(questions[[#This Row],[qno]],stable[qno],0))</f>
        <v>0</v>
      </c>
      <c r="AK1441" s="16" t="b">
        <f>INDEX(stable[q_regen_ag],MATCH(questions[[#This Row],[qno]],stable[qno],0))</f>
        <v>0</v>
      </c>
      <c r="AL1441" s="16" t="b">
        <f>COUNTIFS(stable[qno],questions[[#This Row],[qno]])=1</f>
        <v>1</v>
      </c>
      <c r="AM1441" s="16" t="b">
        <f>OR(questions[[#This Row],[is_fixed]],questions[[#This Row],[is_localized]],questions[[#This Row],[is_supply_chain_dependent]])</f>
        <v>1</v>
      </c>
      <c r="AN1441" s="16" t="b">
        <f>COUNTIFS(questions[[#This Row],[is_automated]:[is_multi_select]],TRUE)=1</f>
        <v>1</v>
      </c>
      <c r="AO1441" s="16" t="b">
        <f>IF(questions[[#This Row],[is_fixed]],questions[[#This Row],[question]]=INDEX(stable[question],MATCH(questions[[#This Row],[qno]],stable[qno],0)),TRUE)</f>
        <v>1</v>
      </c>
      <c r="AP1441" s="16" t="str">
        <f>LEFT(questions[[#This Row],[question]],similarity_range)</f>
        <v>Farmer code</v>
      </c>
      <c r="AQ1441" s="16" t="str">
        <f>LEFT(INDEX(stable[question],MATCH(questions[[#This Row],[qno]],stable[qno],0)),similarity_range)</f>
        <v>Farmer code</v>
      </c>
      <c r="AR1441" s="16" t="b">
        <f>questions[[#This Row],[question_first_characters]]=questions[[#This Row],[stability_first_characters]]</f>
        <v>1</v>
      </c>
      <c r="AS1441" s="16" t="b">
        <f>IF(OR(questions[[#This Row],[is_single_select]],questions[[#This Row],[is_multi_select]]),NOT(ISBLANK(questions[[#This Row],[answer_opt_combined]])),TRUE)</f>
        <v>1</v>
      </c>
    </row>
    <row r="1442" spans="1:45" ht="15.75" customHeight="1" x14ac:dyDescent="0.25">
      <c r="A1442" s="9" t="str">
        <f>_xlfn.TEXTJOIN("_",TRUE,questions[[#This Row],[origin]:[qno]])</f>
        <v>Brazil_Arabica_2025_1201</v>
      </c>
      <c r="B1442" s="9" t="s">
        <v>1025</v>
      </c>
      <c r="C1442" s="9" t="s">
        <v>59</v>
      </c>
      <c r="E1442" s="33">
        <v>2025</v>
      </c>
      <c r="F1442" s="19" t="s">
        <v>83</v>
      </c>
      <c r="G1442" s="15" t="s">
        <v>84</v>
      </c>
      <c r="H1442" s="9" t="str" cm="1">
        <f t="array" ref="H1442">INDEX(stableR[question],MATCH(VALUE(questions[[#This Row],[qno]]),VALUE(stableR[qno]),0))</f>
        <v>Farmer name</v>
      </c>
      <c r="I1442" s="9" t="b" cm="1">
        <f t="array" ref="I1442">INDEX(stable[is_fixed],MATCH(VALUE(questions[[#This Row],[qno]]),VALUE(stable[qno]),0))</f>
        <v>1</v>
      </c>
      <c r="J1442" s="9" t="b" cm="1">
        <f t="array" ref="J1442">INDEX(stable[is_localized],MATCH(VALUE(questions[[#This Row],[qno]]),VALUE(stable[qno]),0))</f>
        <v>0</v>
      </c>
      <c r="K1442" s="9" t="b" cm="1">
        <f t="array" ref="K1442">INDEX(stable[is_supply_chain_dependent],MATCH(VALUE(questions[[#This Row],[qno]]),VALUE(stable[qno]),0))</f>
        <v>0</v>
      </c>
      <c r="L1442" s="9" t="b" cm="1">
        <f t="array" ref="L1442">INDEX(stable[is_mandatory],MATCH(VALUE(questions[[#This Row],[qno]]),VALUE(stable[qno]),0))</f>
        <v>1</v>
      </c>
      <c r="M1442" s="9" t="b" cm="1">
        <f t="array" ref="M1442">INDEX(stable[is_automated],MATCH(VALUE(questions[[#This Row],[qno]]),VALUE(stable[qno]),0))</f>
        <v>1</v>
      </c>
      <c r="N1442" s="9" t="b" cm="1">
        <f t="array" ref="N1442">INDEX(stable[is_free_text],MATCH(VALUE(questions[[#This Row],[qno]]),VALUE(stable[qno]),0))</f>
        <v>0</v>
      </c>
      <c r="O1442" s="9" t="b" cm="1">
        <f t="array" ref="O1442">INDEX(stable[is_numerical],MATCH(VALUE(questions[[#This Row],[qno]]),VALUE(stable[qno]),0))</f>
        <v>0</v>
      </c>
      <c r="P1442" s="9" t="b" cm="1">
        <f t="array" ref="P1442">INDEX(stable[is_single_select],MATCH(VALUE(questions[[#This Row],[qno]]),VALUE(stable[qno]),0))</f>
        <v>0</v>
      </c>
      <c r="Q1442" s="9" t="b" cm="1">
        <f t="array" ref="Q1442">INDEX(stable[is_multi_select],MATCH(VALUE(questions[[#This Row],[qno]]),VALUE(stable[qno]),0))</f>
        <v>0</v>
      </c>
      <c r="R1442" s="9" t="b" cm="1">
        <f t="array" ref="R1442">INDEX(stable[is_skip_logic],MATCH(VALUE(questions[[#This Row],[qno]]),VALUE(stable[qno]),0))</f>
        <v>0</v>
      </c>
      <c r="S1442" s="9" t="str">
        <f>_xlfn.TEXTJOIN(", ",TRUE,questions[[#This Row],[ans_opt_1]:[ans_opt_14]])</f>
        <v/>
      </c>
      <c r="AH1442" s="16" t="b">
        <f>INDEX(stable[q_standard],MATCH(questions[[#This Row],[qno]],stable[qno],0))</f>
        <v>1</v>
      </c>
      <c r="AI1442" s="16" t="b">
        <f>INDEX(stable[q_living_income],MATCH(questions[[#This Row],[qno]],stable[qno],0))</f>
        <v>0</v>
      </c>
      <c r="AJ1442" s="16" t="b">
        <f>INDEX(stable[q_carbon],MATCH(questions[[#This Row],[qno]],stable[qno],0))</f>
        <v>0</v>
      </c>
      <c r="AK1442" s="16" t="b">
        <f>INDEX(stable[q_regen_ag],MATCH(questions[[#This Row],[qno]],stable[qno],0))</f>
        <v>0</v>
      </c>
      <c r="AL1442" s="16" t="b">
        <f>COUNTIFS(stable[qno],questions[[#This Row],[qno]])=1</f>
        <v>1</v>
      </c>
      <c r="AM1442" s="16" t="b">
        <f>OR(questions[[#This Row],[is_fixed]],questions[[#This Row],[is_localized]],questions[[#This Row],[is_supply_chain_dependent]])</f>
        <v>1</v>
      </c>
      <c r="AN1442" s="16" t="b">
        <f>COUNTIFS(questions[[#This Row],[is_automated]:[is_multi_select]],TRUE)=1</f>
        <v>1</v>
      </c>
      <c r="AO1442" s="16" t="b">
        <f>IF(questions[[#This Row],[is_fixed]],questions[[#This Row],[question]]=INDEX(stable[question],MATCH(questions[[#This Row],[qno]],stable[qno],0)),TRUE)</f>
        <v>1</v>
      </c>
      <c r="AP1442" s="16" t="str">
        <f>LEFT(questions[[#This Row],[question]],similarity_range)</f>
        <v>Farmer name</v>
      </c>
      <c r="AQ1442" s="16" t="str">
        <f>LEFT(INDEX(stable[question],MATCH(questions[[#This Row],[qno]],stable[qno],0)),similarity_range)</f>
        <v>Farmer name</v>
      </c>
      <c r="AR1442" s="16" t="b">
        <f>questions[[#This Row],[question_first_characters]]=questions[[#This Row],[stability_first_characters]]</f>
        <v>1</v>
      </c>
      <c r="AS1442" s="16" t="b">
        <f>IF(OR(questions[[#This Row],[is_single_select]],questions[[#This Row],[is_multi_select]]),NOT(ISBLANK(questions[[#This Row],[answer_opt_combined]])),TRUE)</f>
        <v>1</v>
      </c>
    </row>
    <row r="1443" spans="1:45" ht="15.75" customHeight="1" x14ac:dyDescent="0.25">
      <c r="A1443" s="9" t="str">
        <f>_xlfn.TEXTJOIN("_",TRUE,questions[[#This Row],[origin]:[qno]])</f>
        <v>Brazil_Arabica_2025_1210</v>
      </c>
      <c r="B1443" s="9" t="s">
        <v>1025</v>
      </c>
      <c r="C1443" s="9" t="s">
        <v>59</v>
      </c>
      <c r="E1443" s="33">
        <v>2025</v>
      </c>
      <c r="F1443" s="19" t="s">
        <v>89</v>
      </c>
      <c r="G1443" s="15" t="s">
        <v>90</v>
      </c>
      <c r="H1443" s="9" t="str" cm="1">
        <f t="array" ref="H1443">INDEX(stableR[question],MATCH(VALUE(questions[[#This Row],[qno]]),VALUE(stableR[qno]),0))</f>
        <v>Plot name</v>
      </c>
      <c r="I1443" s="9" t="b" cm="1">
        <f t="array" ref="I1443">INDEX(stable[is_fixed],MATCH(VALUE(questions[[#This Row],[qno]]),VALUE(stable[qno]),0))</f>
        <v>1</v>
      </c>
      <c r="J1443" s="9" t="b" cm="1">
        <f t="array" ref="J1443">INDEX(stable[is_localized],MATCH(VALUE(questions[[#This Row],[qno]]),VALUE(stable[qno]),0))</f>
        <v>0</v>
      </c>
      <c r="K1443" s="9" t="b" cm="1">
        <f t="array" ref="K1443">INDEX(stable[is_supply_chain_dependent],MATCH(VALUE(questions[[#This Row],[qno]]),VALUE(stable[qno]),0))</f>
        <v>0</v>
      </c>
      <c r="L1443" s="9" t="b" cm="1">
        <f t="array" ref="L1443">INDEX(stable[is_mandatory],MATCH(VALUE(questions[[#This Row],[qno]]),VALUE(stable[qno]),0))</f>
        <v>1</v>
      </c>
      <c r="M1443" s="9" t="b" cm="1">
        <f t="array" ref="M1443">INDEX(stable[is_automated],MATCH(VALUE(questions[[#This Row],[qno]]),VALUE(stable[qno]),0))</f>
        <v>1</v>
      </c>
      <c r="N1443" s="9" t="b" cm="1">
        <f t="array" ref="N1443">INDEX(stable[is_free_text],MATCH(VALUE(questions[[#This Row],[qno]]),VALUE(stable[qno]),0))</f>
        <v>0</v>
      </c>
      <c r="O1443" s="9" t="b" cm="1">
        <f t="array" ref="O1443">INDEX(stable[is_numerical],MATCH(VALUE(questions[[#This Row],[qno]]),VALUE(stable[qno]),0))</f>
        <v>0</v>
      </c>
      <c r="P1443" s="9" t="b" cm="1">
        <f t="array" ref="P1443">INDEX(stable[is_single_select],MATCH(VALUE(questions[[#This Row],[qno]]),VALUE(stable[qno]),0))</f>
        <v>0</v>
      </c>
      <c r="Q1443" s="9" t="b" cm="1">
        <f t="array" ref="Q1443">INDEX(stable[is_multi_select],MATCH(VALUE(questions[[#This Row],[qno]]),VALUE(stable[qno]),0))</f>
        <v>0</v>
      </c>
      <c r="R1443" s="9" t="b" cm="1">
        <f t="array" ref="R1443">INDEX(stable[is_skip_logic],MATCH(VALUE(questions[[#This Row],[qno]]),VALUE(stable[qno]),0))</f>
        <v>0</v>
      </c>
      <c r="S1443" s="9" t="str">
        <f>_xlfn.TEXTJOIN(", ",TRUE,questions[[#This Row],[ans_opt_1]:[ans_opt_14]])</f>
        <v/>
      </c>
      <c r="AH1443" s="16" t="b">
        <f>INDEX(stable[q_standard],MATCH(questions[[#This Row],[qno]],stable[qno],0))</f>
        <v>1</v>
      </c>
      <c r="AI1443" s="16" t="b">
        <f>INDEX(stable[q_living_income],MATCH(questions[[#This Row],[qno]],stable[qno],0))</f>
        <v>0</v>
      </c>
      <c r="AJ1443" s="16" t="b">
        <f>INDEX(stable[q_carbon],MATCH(questions[[#This Row],[qno]],stable[qno],0))</f>
        <v>0</v>
      </c>
      <c r="AK1443" s="16" t="b">
        <f>INDEX(stable[q_regen_ag],MATCH(questions[[#This Row],[qno]],stable[qno],0))</f>
        <v>0</v>
      </c>
      <c r="AL1443" s="16" t="b">
        <f>COUNTIFS(stable[qno],questions[[#This Row],[qno]])=1</f>
        <v>1</v>
      </c>
      <c r="AM1443" s="16" t="b">
        <f>OR(questions[[#This Row],[is_fixed]],questions[[#This Row],[is_localized]],questions[[#This Row],[is_supply_chain_dependent]])</f>
        <v>1</v>
      </c>
      <c r="AN1443" s="16" t="b">
        <f>COUNTIFS(questions[[#This Row],[is_automated]:[is_multi_select]],TRUE)=1</f>
        <v>1</v>
      </c>
      <c r="AO1443" s="16" t="b">
        <f>IF(questions[[#This Row],[is_fixed]],questions[[#This Row],[question]]=INDEX(stable[question],MATCH(questions[[#This Row],[qno]],stable[qno],0)),TRUE)</f>
        <v>1</v>
      </c>
      <c r="AP1443" s="16" t="str">
        <f>LEFT(questions[[#This Row],[question]],similarity_range)</f>
        <v>Plot name</v>
      </c>
      <c r="AQ1443" s="16" t="str">
        <f>LEFT(INDEX(stable[question],MATCH(questions[[#This Row],[qno]],stable[qno],0)),similarity_range)</f>
        <v>Plot name</v>
      </c>
      <c r="AR1443" s="16" t="b">
        <f>questions[[#This Row],[question_first_characters]]=questions[[#This Row],[stability_first_characters]]</f>
        <v>1</v>
      </c>
      <c r="AS1443" s="16" t="b">
        <f>IF(OR(questions[[#This Row],[is_single_select]],questions[[#This Row],[is_multi_select]]),NOT(ISBLANK(questions[[#This Row],[answer_opt_combined]])),TRUE)</f>
        <v>1</v>
      </c>
    </row>
    <row r="1444" spans="1:45" ht="15.75" customHeight="1" x14ac:dyDescent="0.25">
      <c r="A1444" s="9" t="str">
        <f>_xlfn.TEXTJOIN("_",TRUE,questions[[#This Row],[origin]:[qno]])</f>
        <v>Brazil_Arabica_2025_1214</v>
      </c>
      <c r="B1444" s="9" t="s">
        <v>1025</v>
      </c>
      <c r="C1444" s="9" t="s">
        <v>59</v>
      </c>
      <c r="E1444" s="33">
        <v>2025</v>
      </c>
      <c r="F1444" s="19" t="s">
        <v>1026</v>
      </c>
      <c r="G1444" s="15" t="s">
        <v>1027</v>
      </c>
      <c r="H1444" s="9" t="str" cm="1">
        <f t="array" ref="H1444">INDEX(stableR[question],MATCH(VALUE(questions[[#This Row],[qno]]),VALUE(stableR[qno]),0))</f>
        <v>Declared area (ha)</v>
      </c>
      <c r="I1444" s="9" t="b" cm="1">
        <f t="array" ref="I1444">INDEX(stable[is_fixed],MATCH(VALUE(questions[[#This Row],[qno]]),VALUE(stable[qno]),0))</f>
        <v>1</v>
      </c>
      <c r="J1444" s="9" t="b" cm="1">
        <f t="array" ref="J1444">INDEX(stable[is_localized],MATCH(VALUE(questions[[#This Row],[qno]]),VALUE(stable[qno]),0))</f>
        <v>0</v>
      </c>
      <c r="K1444" s="9" t="b" cm="1">
        <f t="array" ref="K1444">INDEX(stable[is_supply_chain_dependent],MATCH(VALUE(questions[[#This Row],[qno]]),VALUE(stable[qno]),0))</f>
        <v>0</v>
      </c>
      <c r="L1444" s="9" t="b" cm="1">
        <f t="array" ref="L1444">INDEX(stable[is_mandatory],MATCH(VALUE(questions[[#This Row],[qno]]),VALUE(stable[qno]),0))</f>
        <v>1</v>
      </c>
      <c r="M1444" s="9" t="b" cm="1">
        <f t="array" ref="M1444">INDEX(stable[is_automated],MATCH(VALUE(questions[[#This Row],[qno]]),VALUE(stable[qno]),0))</f>
        <v>1</v>
      </c>
      <c r="N1444" s="9" t="b" cm="1">
        <f t="array" ref="N1444">INDEX(stable[is_free_text],MATCH(VALUE(questions[[#This Row],[qno]]),VALUE(stable[qno]),0))</f>
        <v>0</v>
      </c>
      <c r="O1444" s="9" t="b" cm="1">
        <f t="array" ref="O1444">INDEX(stable[is_numerical],MATCH(VALUE(questions[[#This Row],[qno]]),VALUE(stable[qno]),0))</f>
        <v>1</v>
      </c>
      <c r="P1444" s="9" t="b" cm="1">
        <f t="array" ref="P1444">INDEX(stable[is_single_select],MATCH(VALUE(questions[[#This Row],[qno]]),VALUE(stable[qno]),0))</f>
        <v>0</v>
      </c>
      <c r="Q1444" s="9" t="b" cm="1">
        <f t="array" ref="Q1444">INDEX(stable[is_multi_select],MATCH(VALUE(questions[[#This Row],[qno]]),VALUE(stable[qno]),0))</f>
        <v>0</v>
      </c>
      <c r="R1444" s="9" t="b" cm="1">
        <f t="array" ref="R1444">INDEX(stable[is_skip_logic],MATCH(VALUE(questions[[#This Row],[qno]]),VALUE(stable[qno]),0))</f>
        <v>0</v>
      </c>
      <c r="S1444" s="9" t="str">
        <f>_xlfn.TEXTJOIN(", ",TRUE,questions[[#This Row],[ans_opt_1]:[ans_opt_14]])</f>
        <v/>
      </c>
      <c r="AH1444" s="16" t="b">
        <f>INDEX(stable[q_standard],MATCH(questions[[#This Row],[qno]],stable[qno],0))</f>
        <v>1</v>
      </c>
      <c r="AI1444" s="16" t="b">
        <f>INDEX(stable[q_living_income],MATCH(questions[[#This Row],[qno]],stable[qno],0))</f>
        <v>0</v>
      </c>
      <c r="AJ1444" s="16" t="b">
        <f>INDEX(stable[q_carbon],MATCH(questions[[#This Row],[qno]],stable[qno],0))</f>
        <v>0</v>
      </c>
      <c r="AK1444" s="16" t="b">
        <f>INDEX(stable[q_regen_ag],MATCH(questions[[#This Row],[qno]],stable[qno],0))</f>
        <v>0</v>
      </c>
      <c r="AL1444" s="16" t="b">
        <f>COUNTIFS(stable[qno],questions[[#This Row],[qno]])=1</f>
        <v>1</v>
      </c>
      <c r="AM1444" s="16" t="b">
        <f>OR(questions[[#This Row],[is_fixed]],questions[[#This Row],[is_localized]],questions[[#This Row],[is_supply_chain_dependent]])</f>
        <v>1</v>
      </c>
      <c r="AN1444" s="16" t="b">
        <f>COUNTIFS(questions[[#This Row],[is_automated]:[is_multi_select]],TRUE)=1</f>
        <v>0</v>
      </c>
      <c r="AO1444" s="16" t="b">
        <f>IF(questions[[#This Row],[is_fixed]],questions[[#This Row],[question]]=INDEX(stable[question],MATCH(questions[[#This Row],[qno]],stable[qno],0)),TRUE)</f>
        <v>1</v>
      </c>
      <c r="AP1444" s="16" t="str">
        <f>LEFT(questions[[#This Row],[question]],similarity_range)</f>
        <v>Declared area (ha)</v>
      </c>
      <c r="AQ1444" s="16" t="str">
        <f>LEFT(INDEX(stable[question],MATCH(questions[[#This Row],[qno]],stable[qno],0)),similarity_range)</f>
        <v>Declared area (ha)</v>
      </c>
      <c r="AR1444" s="16" t="b">
        <f>questions[[#This Row],[question_first_characters]]=questions[[#This Row],[stability_first_characters]]</f>
        <v>1</v>
      </c>
      <c r="AS1444" s="16" t="b">
        <f>IF(OR(questions[[#This Row],[is_single_select]],questions[[#This Row],[is_multi_select]]),NOT(ISBLANK(questions[[#This Row],[answer_opt_combined]])),TRUE)</f>
        <v>1</v>
      </c>
    </row>
    <row r="1445" spans="1:45" ht="15.75" customHeight="1" x14ac:dyDescent="0.25">
      <c r="A1445" s="9" t="str">
        <f>_xlfn.TEXTJOIN("_",TRUE,questions[[#This Row],[origin]:[qno]])</f>
        <v>Brazil_Arabica_2025_1216</v>
      </c>
      <c r="B1445" s="9" t="s">
        <v>1025</v>
      </c>
      <c r="C1445" s="9" t="s">
        <v>59</v>
      </c>
      <c r="E1445" s="33">
        <v>2025</v>
      </c>
      <c r="F1445" s="19" t="s">
        <v>97</v>
      </c>
      <c r="G1445" s="15" t="s">
        <v>98</v>
      </c>
      <c r="H1445" s="9" t="str" cm="1">
        <f t="array" ref="H1445">INDEX(stableR[question],MATCH(VALUE(questions[[#This Row],[qno]]),VALUE(stableR[qno]),0))</f>
        <v>Coordinates</v>
      </c>
      <c r="I1445" s="9" t="b" cm="1">
        <f t="array" ref="I1445">INDEX(stable[is_fixed],MATCH(VALUE(questions[[#This Row],[qno]]),VALUE(stable[qno]),0))</f>
        <v>1</v>
      </c>
      <c r="J1445" s="9" t="b" cm="1">
        <f t="array" ref="J1445">INDEX(stable[is_localized],MATCH(VALUE(questions[[#This Row],[qno]]),VALUE(stable[qno]),0))</f>
        <v>0</v>
      </c>
      <c r="K1445" s="9" t="b" cm="1">
        <f t="array" ref="K1445">INDEX(stable[is_supply_chain_dependent],MATCH(VALUE(questions[[#This Row],[qno]]),VALUE(stable[qno]),0))</f>
        <v>0</v>
      </c>
      <c r="L1445" s="9" t="b" cm="1">
        <f t="array" ref="L1445">INDEX(stable[is_mandatory],MATCH(VALUE(questions[[#This Row],[qno]]),VALUE(stable[qno]),0))</f>
        <v>1</v>
      </c>
      <c r="M1445" s="9" t="b" cm="1">
        <f t="array" ref="M1445">INDEX(stable[is_automated],MATCH(VALUE(questions[[#This Row],[qno]]),VALUE(stable[qno]),0))</f>
        <v>1</v>
      </c>
      <c r="N1445" s="9" t="b" cm="1">
        <f t="array" ref="N1445">INDEX(stable[is_free_text],MATCH(VALUE(questions[[#This Row],[qno]]),VALUE(stable[qno]),0))</f>
        <v>0</v>
      </c>
      <c r="O1445" s="9" t="b" cm="1">
        <f t="array" ref="O1445">INDEX(stable[is_numerical],MATCH(VALUE(questions[[#This Row],[qno]]),VALUE(stable[qno]),0))</f>
        <v>0</v>
      </c>
      <c r="P1445" s="9" t="b" cm="1">
        <f t="array" ref="P1445">INDEX(stable[is_single_select],MATCH(VALUE(questions[[#This Row],[qno]]),VALUE(stable[qno]),0))</f>
        <v>0</v>
      </c>
      <c r="Q1445" s="9" t="b" cm="1">
        <f t="array" ref="Q1445">INDEX(stable[is_multi_select],MATCH(VALUE(questions[[#This Row],[qno]]),VALUE(stable[qno]),0))</f>
        <v>0</v>
      </c>
      <c r="R1445" s="9" t="b" cm="1">
        <f t="array" ref="R1445">INDEX(stable[is_skip_logic],MATCH(VALUE(questions[[#This Row],[qno]]),VALUE(stable[qno]),0))</f>
        <v>0</v>
      </c>
      <c r="S1445" s="9" t="str">
        <f>_xlfn.TEXTJOIN(", ",TRUE,questions[[#This Row],[ans_opt_1]:[ans_opt_14]])</f>
        <v/>
      </c>
      <c r="AH1445" s="16" t="b">
        <f>INDEX(stable[q_standard],MATCH(questions[[#This Row],[qno]],stable[qno],0))</f>
        <v>1</v>
      </c>
      <c r="AI1445" s="16" t="b">
        <f>INDEX(stable[q_living_income],MATCH(questions[[#This Row],[qno]],stable[qno],0))</f>
        <v>0</v>
      </c>
      <c r="AJ1445" s="16" t="b">
        <f>INDEX(stable[q_carbon],MATCH(questions[[#This Row],[qno]],stable[qno],0))</f>
        <v>0</v>
      </c>
      <c r="AK1445" s="16" t="b">
        <f>INDEX(stable[q_regen_ag],MATCH(questions[[#This Row],[qno]],stable[qno],0))</f>
        <v>0</v>
      </c>
      <c r="AL1445" s="16" t="b">
        <f>COUNTIFS(stable[qno],questions[[#This Row],[qno]])=1</f>
        <v>1</v>
      </c>
      <c r="AM1445" s="16" t="b">
        <f>OR(questions[[#This Row],[is_fixed]],questions[[#This Row],[is_localized]],questions[[#This Row],[is_supply_chain_dependent]])</f>
        <v>1</v>
      </c>
      <c r="AN1445" s="16" t="b">
        <f>COUNTIFS(questions[[#This Row],[is_automated]:[is_multi_select]],TRUE)=1</f>
        <v>1</v>
      </c>
      <c r="AO1445" s="16" t="b">
        <f>IF(questions[[#This Row],[is_fixed]],questions[[#This Row],[question]]=INDEX(stable[question],MATCH(questions[[#This Row],[qno]],stable[qno],0)),TRUE)</f>
        <v>1</v>
      </c>
      <c r="AP1445" s="16" t="str">
        <f>LEFT(questions[[#This Row],[question]],similarity_range)</f>
        <v>Coordinates</v>
      </c>
      <c r="AQ1445" s="16" t="str">
        <f>LEFT(INDEX(stable[question],MATCH(questions[[#This Row],[qno]],stable[qno],0)),similarity_range)</f>
        <v>Coordinates</v>
      </c>
      <c r="AR1445" s="16" t="b">
        <f>questions[[#This Row],[question_first_characters]]=questions[[#This Row],[stability_first_characters]]</f>
        <v>1</v>
      </c>
      <c r="AS1445" s="16" t="b">
        <f>IF(OR(questions[[#This Row],[is_single_select]],questions[[#This Row],[is_multi_select]]),NOT(ISBLANK(questions[[#This Row],[answer_opt_combined]])),TRUE)</f>
        <v>1</v>
      </c>
    </row>
    <row r="1446" spans="1:45" s="77" customFormat="1" ht="15.75" customHeight="1" x14ac:dyDescent="0.25">
      <c r="A1446" s="77" t="str">
        <f>_xlfn.TEXTJOIN("_",TRUE,questions[[#This Row],[origin]:[qno]])</f>
        <v>Brazil_Arabica_2025_2000</v>
      </c>
      <c r="B1446" s="77" t="s">
        <v>1025</v>
      </c>
      <c r="C1446" s="77" t="s">
        <v>59</v>
      </c>
      <c r="E1446" s="77">
        <v>2025</v>
      </c>
      <c r="F1446" s="107" t="s">
        <v>99</v>
      </c>
      <c r="G1446" s="78" t="s">
        <v>100</v>
      </c>
      <c r="H1446" s="9" t="str" cm="1">
        <f t="array" ref="H1446">INDEX(stableR[question],MATCH(VALUE(questions[[#This Row],[qno]]),VALUE(stableR[qno]),0))</f>
        <v>Who was present and answering the questions for the interview?</v>
      </c>
      <c r="I1446" s="9" t="b" cm="1">
        <f t="array" ref="I1446">INDEX(stable[is_fixed],MATCH(VALUE(questions[[#This Row],[qno]]),VALUE(stable[qno]),0))</f>
        <v>1</v>
      </c>
      <c r="J1446" s="9" t="b" cm="1">
        <f t="array" ref="J1446">INDEX(stable[is_localized],MATCH(VALUE(questions[[#This Row],[qno]]),VALUE(stable[qno]),0))</f>
        <v>0</v>
      </c>
      <c r="K1446" s="9" t="b" cm="1">
        <f t="array" ref="K1446">INDEX(stable[is_supply_chain_dependent],MATCH(VALUE(questions[[#This Row],[qno]]),VALUE(stable[qno]),0))</f>
        <v>0</v>
      </c>
      <c r="L1446" s="9" t="b" cm="1">
        <f t="array" ref="L1446">INDEX(stable[is_mandatory],MATCH(VALUE(questions[[#This Row],[qno]]),VALUE(stable[qno]),0))</f>
        <v>1</v>
      </c>
      <c r="M1446" s="9" t="b" cm="1">
        <f t="array" ref="M1446">INDEX(stable[is_automated],MATCH(VALUE(questions[[#This Row],[qno]]),VALUE(stable[qno]),0))</f>
        <v>0</v>
      </c>
      <c r="N1446" s="9" t="b" cm="1">
        <f t="array" ref="N1446">INDEX(stable[is_free_text],MATCH(VALUE(questions[[#This Row],[qno]]),VALUE(stable[qno]),0))</f>
        <v>0</v>
      </c>
      <c r="O1446" s="9" t="b" cm="1">
        <f t="array" ref="O1446">INDEX(stable[is_numerical],MATCH(VALUE(questions[[#This Row],[qno]]),VALUE(stable[qno]),0))</f>
        <v>0</v>
      </c>
      <c r="P1446" s="77" t="b" cm="1">
        <f t="array" ref="P1446">INDEX(stable[is_single_select],MATCH(VALUE(questions[[#This Row],[qno]]),VALUE(stable[qno]),0))</f>
        <v>0</v>
      </c>
      <c r="Q1446" s="77" t="b" cm="1">
        <f t="array" ref="Q1446">INDEX(stable[is_multi_select],MATCH(VALUE(questions[[#This Row],[qno]]),VALUE(stable[qno]),0))</f>
        <v>1</v>
      </c>
      <c r="R1446" s="77" t="b" cm="1">
        <f t="array" ref="R1446">INDEX(stable[is_skip_logic],MATCH(VALUE(questions[[#This Row],[qno]]),VALUE(stable[qno]),0))</f>
        <v>0</v>
      </c>
      <c r="S1446" s="77" t="str">
        <f>_xlfn.TEXTJOIN(", ",TRUE,questions[[#This Row],[ans_opt_1]:[ans_opt_14]])</f>
        <v>Wife, Husband, Other important household member</v>
      </c>
      <c r="T1446" s="77" t="s">
        <v>101</v>
      </c>
      <c r="U1446" s="77" t="s">
        <v>102</v>
      </c>
      <c r="V1446" s="77" t="s">
        <v>103</v>
      </c>
      <c r="AH1446" s="98" t="b">
        <f>INDEX(stable[q_standard],MATCH(questions[[#This Row],[qno]],stable[qno],0))</f>
        <v>1</v>
      </c>
      <c r="AI1446" s="98" t="b">
        <f>INDEX(stable[q_living_income],MATCH(questions[[#This Row],[qno]],stable[qno],0))</f>
        <v>0</v>
      </c>
      <c r="AJ1446" s="98" t="b">
        <f>INDEX(stable[q_carbon],MATCH(questions[[#This Row],[qno]],stable[qno],0))</f>
        <v>0</v>
      </c>
      <c r="AK1446" s="98" t="b">
        <f>INDEX(stable[q_regen_ag],MATCH(questions[[#This Row],[qno]],stable[qno],0))</f>
        <v>0</v>
      </c>
      <c r="AL1446" s="98" t="b">
        <f>COUNTIFS(stable[qno],questions[[#This Row],[qno]])=1</f>
        <v>1</v>
      </c>
      <c r="AM1446" s="98" t="b">
        <f>OR(questions[[#This Row],[is_fixed]],questions[[#This Row],[is_localized]],questions[[#This Row],[is_supply_chain_dependent]])</f>
        <v>1</v>
      </c>
      <c r="AN1446" s="98" t="b">
        <f>COUNTIFS(questions[[#This Row],[is_automated]:[is_multi_select]],TRUE)=1</f>
        <v>1</v>
      </c>
      <c r="AO1446" s="98" t="b">
        <f>IF(questions[[#This Row],[is_fixed]],questions[[#This Row],[question]]=INDEX(stable[question],MATCH(questions[[#This Row],[qno]],stable[qno],0)),TRUE)</f>
        <v>1</v>
      </c>
      <c r="AP1446" s="98" t="str">
        <f>LEFT(questions[[#This Row],[question]],similarity_range)</f>
        <v xml:space="preserve">Who was present and </v>
      </c>
      <c r="AQ1446" s="98" t="str">
        <f>LEFT(INDEX(stable[question],MATCH(questions[[#This Row],[qno]],stable[qno],0)),similarity_range)</f>
        <v xml:space="preserve">Who was present and </v>
      </c>
      <c r="AR1446" s="98" t="b">
        <f>questions[[#This Row],[question_first_characters]]=questions[[#This Row],[stability_first_characters]]</f>
        <v>1</v>
      </c>
      <c r="AS1446" s="98" t="b">
        <f>IF(OR(questions[[#This Row],[is_single_select]],questions[[#This Row],[is_multi_select]]),NOT(ISBLANK(questions[[#This Row],[answer_opt_combined]])),TRUE)</f>
        <v>1</v>
      </c>
    </row>
    <row r="1447" spans="1:45" s="77" customFormat="1" ht="15.75" customHeight="1" x14ac:dyDescent="0.25">
      <c r="A1447" s="77" t="str">
        <f>_xlfn.TEXTJOIN("_",TRUE,questions[[#This Row],[origin]:[qno]])</f>
        <v>Brazil_Arabica_2025_2001</v>
      </c>
      <c r="B1447" s="77" t="s">
        <v>1025</v>
      </c>
      <c r="C1447" s="77" t="s">
        <v>59</v>
      </c>
      <c r="E1447" s="77">
        <v>2025</v>
      </c>
      <c r="F1447" s="107" t="s">
        <v>104</v>
      </c>
      <c r="G1447" s="78" t="s">
        <v>105</v>
      </c>
      <c r="H1447" s="9" t="str" cm="1">
        <f t="array" ref="H1447">INDEX(stableR[question],MATCH(VALUE(questions[[#This Row],[qno]]),VALUE(stableR[qno]),0))</f>
        <v>What is the gender of the lead farmer in the household? (The person that is selling the coffee)</v>
      </c>
      <c r="I1447" s="9" t="b" cm="1">
        <f t="array" ref="I1447">INDEX(stable[is_fixed],MATCH(VALUE(questions[[#This Row],[qno]]),VALUE(stable[qno]),0))</f>
        <v>1</v>
      </c>
      <c r="J1447" s="9" t="b" cm="1">
        <f t="array" ref="J1447">INDEX(stable[is_localized],MATCH(VALUE(questions[[#This Row],[qno]]),VALUE(stable[qno]),0))</f>
        <v>0</v>
      </c>
      <c r="K1447" s="9" t="b" cm="1">
        <f t="array" ref="K1447">INDEX(stable[is_supply_chain_dependent],MATCH(VALUE(questions[[#This Row],[qno]]),VALUE(stable[qno]),0))</f>
        <v>0</v>
      </c>
      <c r="L1447" s="9" t="b" cm="1">
        <f t="array" ref="L1447">INDEX(stable[is_mandatory],MATCH(VALUE(questions[[#This Row],[qno]]),VALUE(stable[qno]),0))</f>
        <v>1</v>
      </c>
      <c r="M1447" s="9" t="b" cm="1">
        <f t="array" ref="M1447">INDEX(stable[is_automated],MATCH(VALUE(questions[[#This Row],[qno]]),VALUE(stable[qno]),0))</f>
        <v>0</v>
      </c>
      <c r="N1447" s="9" t="b" cm="1">
        <f t="array" ref="N1447">INDEX(stable[is_free_text],MATCH(VALUE(questions[[#This Row],[qno]]),VALUE(stable[qno]),0))</f>
        <v>0</v>
      </c>
      <c r="O1447" s="9" t="b" cm="1">
        <f t="array" ref="O1447">INDEX(stable[is_numerical],MATCH(VALUE(questions[[#This Row],[qno]]),VALUE(stable[qno]),0))</f>
        <v>0</v>
      </c>
      <c r="P1447" s="77" t="b" cm="1">
        <f t="array" ref="P1447">INDEX(stable[is_single_select],MATCH(VALUE(questions[[#This Row],[qno]]),VALUE(stable[qno]),0))</f>
        <v>1</v>
      </c>
      <c r="Q1447" s="77" t="b" cm="1">
        <f t="array" ref="Q1447">INDEX(stable[is_multi_select],MATCH(VALUE(questions[[#This Row],[qno]]),VALUE(stable[qno]),0))</f>
        <v>0</v>
      </c>
      <c r="R1447" s="77" t="b" cm="1">
        <f t="array" ref="R1447">INDEX(stable[is_skip_logic],MATCH(VALUE(questions[[#This Row],[qno]]),VALUE(stable[qno]),0))</f>
        <v>0</v>
      </c>
      <c r="S1447" s="77" t="str">
        <f>_xlfn.TEXTJOIN(", ",TRUE,questions[[#This Row],[ans_opt_1]:[ans_opt_14]])</f>
        <v>Female, Male</v>
      </c>
      <c r="T1447" s="77" t="s">
        <v>106</v>
      </c>
      <c r="U1447" s="77" t="s">
        <v>107</v>
      </c>
      <c r="AH1447" s="98" t="b">
        <f>INDEX(stable[q_standard],MATCH(questions[[#This Row],[qno]],stable[qno],0))</f>
        <v>1</v>
      </c>
      <c r="AI1447" s="98" t="b">
        <f>INDEX(stable[q_living_income],MATCH(questions[[#This Row],[qno]],stable[qno],0))</f>
        <v>0</v>
      </c>
      <c r="AJ1447" s="98" t="b">
        <f>INDEX(stable[q_carbon],MATCH(questions[[#This Row],[qno]],stable[qno],0))</f>
        <v>0</v>
      </c>
      <c r="AK1447" s="98" t="b">
        <f>INDEX(stable[q_regen_ag],MATCH(questions[[#This Row],[qno]],stable[qno],0))</f>
        <v>0</v>
      </c>
      <c r="AL1447" s="98" t="b">
        <f>COUNTIFS(stable[qno],questions[[#This Row],[qno]])=1</f>
        <v>1</v>
      </c>
      <c r="AM1447" s="98" t="b">
        <f>OR(questions[[#This Row],[is_fixed]],questions[[#This Row],[is_localized]],questions[[#This Row],[is_supply_chain_dependent]])</f>
        <v>1</v>
      </c>
      <c r="AN1447" s="98" t="b">
        <f>COUNTIFS(questions[[#This Row],[is_automated]:[is_multi_select]],TRUE)=1</f>
        <v>1</v>
      </c>
      <c r="AO1447" s="98" t="b">
        <f>IF(questions[[#This Row],[is_fixed]],questions[[#This Row],[question]]=INDEX(stable[question],MATCH(questions[[#This Row],[qno]],stable[qno],0)),TRUE)</f>
        <v>1</v>
      </c>
      <c r="AP1447" s="98" t="str">
        <f>LEFT(questions[[#This Row],[question]],similarity_range)</f>
        <v>What is the gender o</v>
      </c>
      <c r="AQ1447" s="98" t="str">
        <f>LEFT(INDEX(stable[question],MATCH(questions[[#This Row],[qno]],stable[qno],0)),similarity_range)</f>
        <v>What is the gender o</v>
      </c>
      <c r="AR1447" s="98" t="b">
        <f>questions[[#This Row],[question_first_characters]]=questions[[#This Row],[stability_first_characters]]</f>
        <v>1</v>
      </c>
      <c r="AS1447" s="98" t="b">
        <f>IF(OR(questions[[#This Row],[is_single_select]],questions[[#This Row],[is_multi_select]]),NOT(ISBLANK(questions[[#This Row],[answer_opt_combined]])),TRUE)</f>
        <v>1</v>
      </c>
    </row>
    <row r="1448" spans="1:45" s="77" customFormat="1" ht="15.75" customHeight="1" x14ac:dyDescent="0.25">
      <c r="A1448" s="77" t="str">
        <f>_xlfn.TEXTJOIN("_",TRUE,questions[[#This Row],[origin]:[qno]])</f>
        <v>Brazil_Arabica_2025_2100</v>
      </c>
      <c r="B1448" s="77" t="s">
        <v>1025</v>
      </c>
      <c r="C1448" s="77" t="s">
        <v>59</v>
      </c>
      <c r="E1448" s="77">
        <v>2025</v>
      </c>
      <c r="F1448" s="107" t="s">
        <v>117</v>
      </c>
      <c r="G1448" s="78" t="s">
        <v>118</v>
      </c>
      <c r="H1448" s="9" t="str" cm="1">
        <f t="array" ref="H1448">INDEX(stableR[question],MATCH(VALUE(questions[[#This Row],[qno]]),VALUE(stableR[qno]),0))</f>
        <v>If your farm is certified, under which certification scheme(s) is it certified?</v>
      </c>
      <c r="I1448" s="9" t="b" cm="1">
        <f t="array" ref="I1448">INDEX(stable[is_fixed],MATCH(VALUE(questions[[#This Row],[qno]]),VALUE(stable[qno]),0))</f>
        <v>1</v>
      </c>
      <c r="J1448" s="9" t="b" cm="1">
        <f t="array" ref="J1448">INDEX(stable[is_localized],MATCH(VALUE(questions[[#This Row],[qno]]),VALUE(stable[qno]),0))</f>
        <v>0</v>
      </c>
      <c r="K1448" s="9" t="b" cm="1">
        <f t="array" ref="K1448">INDEX(stable[is_supply_chain_dependent],MATCH(VALUE(questions[[#This Row],[qno]]),VALUE(stable[qno]),0))</f>
        <v>0</v>
      </c>
      <c r="L1448" s="9" t="b" cm="1">
        <f t="array" ref="L1448">INDEX(stable[is_mandatory],MATCH(VALUE(questions[[#This Row],[qno]]),VALUE(stable[qno]),0))</f>
        <v>1</v>
      </c>
      <c r="M1448" s="9" t="b" cm="1">
        <f t="array" ref="M1448">INDEX(stable[is_automated],MATCH(VALUE(questions[[#This Row],[qno]]),VALUE(stable[qno]),0))</f>
        <v>0</v>
      </c>
      <c r="N1448" s="9" t="b" cm="1">
        <f t="array" ref="N1448">INDEX(stable[is_free_text],MATCH(VALUE(questions[[#This Row],[qno]]),VALUE(stable[qno]),0))</f>
        <v>0</v>
      </c>
      <c r="O1448" s="9" t="b" cm="1">
        <f t="array" ref="O1448">INDEX(stable[is_numerical],MATCH(VALUE(questions[[#This Row],[qno]]),VALUE(stable[qno]),0))</f>
        <v>0</v>
      </c>
      <c r="P1448" s="77" t="b" cm="1">
        <f t="array" ref="P1448">INDEX(stable[is_single_select],MATCH(VALUE(questions[[#This Row],[qno]]),VALUE(stable[qno]),0))</f>
        <v>0</v>
      </c>
      <c r="Q1448" s="77" t="b" cm="1">
        <f t="array" ref="Q1448">INDEX(stable[is_multi_select],MATCH(VALUE(questions[[#This Row],[qno]]),VALUE(stable[qno]),0))</f>
        <v>1</v>
      </c>
      <c r="R1448" s="77" t="b" cm="1">
        <f t="array" ref="R1448">INDEX(stable[is_skip_logic],MATCH(VALUE(questions[[#This Row],[qno]]),VALUE(stable[qno]),0))</f>
        <v>1</v>
      </c>
      <c r="S1448" s="77" t="str">
        <f>_xlfn.TEXTJOIN(", ",TRUE,questions[[#This Row],[ans_opt_1]:[ans_opt_14]])</f>
        <v>No, IMPACT, 4C, Rainforest alliance, Organic, CAFÉ practices, RegenAgri, Fair trade, Other</v>
      </c>
      <c r="T1448" s="77" t="s">
        <v>119</v>
      </c>
      <c r="U1448" s="77" t="s">
        <v>120</v>
      </c>
      <c r="V1448" s="77" t="s">
        <v>121</v>
      </c>
      <c r="W1448" s="77" t="s">
        <v>721</v>
      </c>
      <c r="X1448" s="77" t="s">
        <v>124</v>
      </c>
      <c r="Y1448" s="77" t="s">
        <v>125</v>
      </c>
      <c r="Z1448" s="77" t="s">
        <v>126</v>
      </c>
      <c r="AA1448" s="77" t="s">
        <v>722</v>
      </c>
      <c r="AB1448" s="112" t="s">
        <v>112</v>
      </c>
      <c r="AH1448" s="98" t="b">
        <f>INDEX(stable[q_standard],MATCH(questions[[#This Row],[qno]],stable[qno],0))</f>
        <v>0</v>
      </c>
      <c r="AI1448" s="98" t="b">
        <f>INDEX(stable[q_living_income],MATCH(questions[[#This Row],[qno]],stable[qno],0))</f>
        <v>0</v>
      </c>
      <c r="AJ1448" s="98" t="b">
        <f>INDEX(stable[q_carbon],MATCH(questions[[#This Row],[qno]],stable[qno],0))</f>
        <v>0</v>
      </c>
      <c r="AK1448" s="98" t="b">
        <f>INDEX(stable[q_regen_ag],MATCH(questions[[#This Row],[qno]],stable[qno],0))</f>
        <v>1</v>
      </c>
      <c r="AL1448" s="98" t="b">
        <f>COUNTIFS(stable[qno],questions[[#This Row],[qno]])=1</f>
        <v>1</v>
      </c>
      <c r="AM1448" s="98" t="b">
        <f>OR(questions[[#This Row],[is_fixed]],questions[[#This Row],[is_localized]],questions[[#This Row],[is_supply_chain_dependent]])</f>
        <v>1</v>
      </c>
      <c r="AN1448" s="98" t="b">
        <f>COUNTIFS(questions[[#This Row],[is_automated]:[is_multi_select]],TRUE)=1</f>
        <v>1</v>
      </c>
      <c r="AO1448" s="98" t="b">
        <f>IF(questions[[#This Row],[is_fixed]],questions[[#This Row],[question]]=INDEX(stable[question],MATCH(questions[[#This Row],[qno]],stable[qno],0)),TRUE)</f>
        <v>1</v>
      </c>
      <c r="AP1448" s="98" t="str">
        <f>LEFT(questions[[#This Row],[question]],similarity_range)</f>
        <v>Is your farm certifi</v>
      </c>
      <c r="AQ1448" s="98" t="str">
        <f>LEFT(INDEX(stable[question],MATCH(questions[[#This Row],[qno]],stable[qno],0)),similarity_range)</f>
        <v>Is your farm certifi</v>
      </c>
      <c r="AR1448" s="98" t="b">
        <f>questions[[#This Row],[question_first_characters]]=questions[[#This Row],[stability_first_characters]]</f>
        <v>1</v>
      </c>
      <c r="AS1448" s="98" t="b">
        <f>IF(OR(questions[[#This Row],[is_single_select]],questions[[#This Row],[is_multi_select]]),NOT(ISBLANK(questions[[#This Row],[answer_opt_combined]])),TRUE)</f>
        <v>1</v>
      </c>
    </row>
    <row r="1449" spans="1:45" s="77" customFormat="1" ht="15.75" customHeight="1" x14ac:dyDescent="0.25">
      <c r="A1449" s="77" t="str">
        <f>_xlfn.TEXTJOIN("_",TRUE,questions[[#This Row],[origin]:[qno]])</f>
        <v>Brazil_Arabica_2025_2101</v>
      </c>
      <c r="B1449" s="77" t="s">
        <v>1025</v>
      </c>
      <c r="C1449" s="77" t="s">
        <v>59</v>
      </c>
      <c r="E1449" s="77">
        <v>2025</v>
      </c>
      <c r="F1449" s="107" t="s">
        <v>127</v>
      </c>
      <c r="G1449" s="78" t="s">
        <v>723</v>
      </c>
      <c r="H1449" s="9" t="str" cm="1">
        <f t="array" ref="H1449">INDEX(stableR[question],MATCH(VALUE(questions[[#This Row],[qno]]),VALUE(stableR[qno]),0))</f>
        <v>If yes, since when have you been certified? (In case you are part of multiple certification schemes, consider the one that you are in longest.)</v>
      </c>
      <c r="I1449" s="9" t="b" cm="1">
        <f t="array" ref="I1449">INDEX(stable[is_fixed],MATCH(VALUE(questions[[#This Row],[qno]]),VALUE(stable[qno]),0))</f>
        <v>1</v>
      </c>
      <c r="J1449" s="9" t="b" cm="1">
        <f t="array" ref="J1449">INDEX(stable[is_localized],MATCH(VALUE(questions[[#This Row],[qno]]),VALUE(stable[qno]),0))</f>
        <v>0</v>
      </c>
      <c r="K1449" s="9" t="b" cm="1">
        <f t="array" ref="K1449">INDEX(stable[is_supply_chain_dependent],MATCH(VALUE(questions[[#This Row],[qno]]),VALUE(stable[qno]),0))</f>
        <v>0</v>
      </c>
      <c r="L1449" s="9" t="b" cm="1">
        <f t="array" ref="L1449">INDEX(stable[is_mandatory],MATCH(VALUE(questions[[#This Row],[qno]]),VALUE(stable[qno]),0))</f>
        <v>0</v>
      </c>
      <c r="M1449" s="9" t="b" cm="1">
        <f t="array" ref="M1449">INDEX(stable[is_automated],MATCH(VALUE(questions[[#This Row],[qno]]),VALUE(stable[qno]),0))</f>
        <v>0</v>
      </c>
      <c r="N1449" s="9" t="b" cm="1">
        <f t="array" ref="N1449">INDEX(stable[is_free_text],MATCH(VALUE(questions[[#This Row],[qno]]),VALUE(stable[qno]),0))</f>
        <v>0</v>
      </c>
      <c r="O1449" s="9" t="b" cm="1">
        <f t="array" ref="O1449">INDEX(stable[is_numerical],MATCH(VALUE(questions[[#This Row],[qno]]),VALUE(stable[qno]),0))</f>
        <v>0</v>
      </c>
      <c r="P1449" s="77" t="b" cm="1">
        <f t="array" ref="P1449">INDEX(stable[is_single_select],MATCH(VALUE(questions[[#This Row],[qno]]),VALUE(stable[qno]),0))</f>
        <v>1</v>
      </c>
      <c r="Q1449" s="77" t="b" cm="1">
        <f t="array" ref="Q1449">INDEX(stable[is_multi_select],MATCH(VALUE(questions[[#This Row],[qno]]),VALUE(stable[qno]),0))</f>
        <v>0</v>
      </c>
      <c r="R1449" s="77" t="b" cm="1">
        <f t="array" ref="R1449">INDEX(stable[is_skip_logic],MATCH(VALUE(questions[[#This Row],[qno]]),VALUE(stable[qno]),0))</f>
        <v>1</v>
      </c>
      <c r="S1449" s="77" t="str">
        <f>_xlfn.TEXTJOIN(", ",TRUE,questions[[#This Row],[ans_opt_1]:[ans_opt_14]])</f>
        <v>1-2 years, 3-4 years, &gt;=5 years</v>
      </c>
      <c r="T1449" s="77" t="s">
        <v>129</v>
      </c>
      <c r="U1449" s="77" t="s">
        <v>130</v>
      </c>
      <c r="V1449" s="77" t="s">
        <v>131</v>
      </c>
      <c r="AH1449" s="98" t="b">
        <f>INDEX(stable[q_standard],MATCH(questions[[#This Row],[qno]],stable[qno],0))</f>
        <v>0</v>
      </c>
      <c r="AI1449" s="98" t="b">
        <f>INDEX(stable[q_living_income],MATCH(questions[[#This Row],[qno]],stable[qno],0))</f>
        <v>0</v>
      </c>
      <c r="AJ1449" s="98" t="b">
        <f>INDEX(stable[q_carbon],MATCH(questions[[#This Row],[qno]],stable[qno],0))</f>
        <v>0</v>
      </c>
      <c r="AK1449" s="98" t="b">
        <f>INDEX(stable[q_regen_ag],MATCH(questions[[#This Row],[qno]],stable[qno],0))</f>
        <v>1</v>
      </c>
      <c r="AL1449" s="98" t="b">
        <f>COUNTIFS(stable[qno],questions[[#This Row],[qno]])=1</f>
        <v>1</v>
      </c>
      <c r="AM1449" s="98" t="b">
        <f>OR(questions[[#This Row],[is_fixed]],questions[[#This Row],[is_localized]],questions[[#This Row],[is_supply_chain_dependent]])</f>
        <v>1</v>
      </c>
      <c r="AN1449" s="98" t="b">
        <f>COUNTIFS(questions[[#This Row],[is_automated]:[is_multi_select]],TRUE)=1</f>
        <v>1</v>
      </c>
      <c r="AO1449" s="98" t="b">
        <f>IF(questions[[#This Row],[is_fixed]],questions[[#This Row],[question]]=INDEX(stable[question],MATCH(questions[[#This Row],[qno]],stable[qno],0)),TRUE)</f>
        <v>1</v>
      </c>
      <c r="AP1449" s="98" t="str">
        <f>LEFT(questions[[#This Row],[question]],similarity_range)</f>
        <v>If yes, since when h</v>
      </c>
      <c r="AQ1449" s="98" t="str">
        <f>LEFT(INDEX(stable[question],MATCH(questions[[#This Row],[qno]],stable[qno],0)),similarity_range)</f>
        <v>If yes, since when h</v>
      </c>
      <c r="AR1449" s="98" t="b">
        <f>questions[[#This Row],[question_first_characters]]=questions[[#This Row],[stability_first_characters]]</f>
        <v>1</v>
      </c>
      <c r="AS1449" s="98" t="b">
        <f>IF(OR(questions[[#This Row],[is_single_select]],questions[[#This Row],[is_multi_select]]),NOT(ISBLANK(questions[[#This Row],[answer_opt_combined]])),TRUE)</f>
        <v>1</v>
      </c>
    </row>
    <row r="1450" spans="1:45" ht="15.75" customHeight="1" x14ac:dyDescent="0.25">
      <c r="A1450" s="9" t="str">
        <f>_xlfn.TEXTJOIN("_",TRUE,questions[[#This Row],[origin]:[qno]])</f>
        <v>Brazil_Arabica_2025_3310</v>
      </c>
      <c r="B1450" s="9" t="s">
        <v>1025</v>
      </c>
      <c r="C1450" s="9" t="s">
        <v>59</v>
      </c>
      <c r="E1450" s="33">
        <v>2025</v>
      </c>
      <c r="F1450" s="19" t="s">
        <v>676</v>
      </c>
      <c r="G1450" s="15" t="s">
        <v>1028</v>
      </c>
      <c r="H1450" s="9" t="str" cm="1">
        <f t="array" ref="H1450">INDEX(stableR[question],MATCH(VALUE(questions[[#This Row],[qno]]),VALUE(stableR[qno]),0))</f>
        <v>How many kilograms of green beans did you sell last season (previous 12 months)?</v>
      </c>
      <c r="I1450" s="9" t="b" cm="1">
        <f t="array" ref="I1450">INDEX(stable[is_fixed],MATCH(VALUE(questions[[#This Row],[qno]]),VALUE(stable[qno]),0))</f>
        <v>0</v>
      </c>
      <c r="J1450" s="9" t="b" cm="1">
        <f t="array" ref="J1450">INDEX(stable[is_localized],MATCH(VALUE(questions[[#This Row],[qno]]),VALUE(stable[qno]),0))</f>
        <v>1</v>
      </c>
      <c r="K1450" s="9" t="b" cm="1">
        <f t="array" ref="K1450">INDEX(stable[is_supply_chain_dependent],MATCH(VALUE(questions[[#This Row],[qno]]),VALUE(stable[qno]),0))</f>
        <v>0</v>
      </c>
      <c r="L1450" s="9" t="b" cm="1">
        <f t="array" ref="L1450">INDEX(stable[is_mandatory],MATCH(VALUE(questions[[#This Row],[qno]]),VALUE(stable[qno]),0))</f>
        <v>0</v>
      </c>
      <c r="M1450" s="9" t="b" cm="1">
        <f t="array" ref="M1450">INDEX(stable[is_automated],MATCH(VALUE(questions[[#This Row],[qno]]),VALUE(stable[qno]),0))</f>
        <v>0</v>
      </c>
      <c r="N1450" s="9" t="b" cm="1">
        <f t="array" ref="N1450">INDEX(stable[is_free_text],MATCH(VALUE(questions[[#This Row],[qno]]),VALUE(stable[qno]),0))</f>
        <v>0</v>
      </c>
      <c r="O1450" s="9" t="b" cm="1">
        <f t="array" ref="O1450">INDEX(stable[is_numerical],MATCH(VALUE(questions[[#This Row],[qno]]),VALUE(stable[qno]),0))</f>
        <v>1</v>
      </c>
      <c r="P1450" s="9" t="b" cm="1">
        <f t="array" ref="P1450">INDEX(stable[is_single_select],MATCH(VALUE(questions[[#This Row],[qno]]),VALUE(stable[qno]),0))</f>
        <v>0</v>
      </c>
      <c r="Q1450" s="9" t="b" cm="1">
        <f t="array" ref="Q1450">INDEX(stable[is_multi_select],MATCH(VALUE(questions[[#This Row],[qno]]),VALUE(stable[qno]),0))</f>
        <v>0</v>
      </c>
      <c r="R1450" s="9" t="b" cm="1">
        <f t="array" ref="R1450">INDEX(stable[is_skip_logic],MATCH(VALUE(questions[[#This Row],[qno]]),VALUE(stable[qno]),0))</f>
        <v>0</v>
      </c>
      <c r="S1450" s="9" t="str">
        <f>_xlfn.TEXTJOIN(", ",TRUE,questions[[#This Row],[ans_opt_1]:[ans_opt_14]])</f>
        <v/>
      </c>
      <c r="AH1450" s="16" t="b">
        <f>INDEX(stable[q_standard],MATCH(questions[[#This Row],[qno]],stable[qno],0))</f>
        <v>0</v>
      </c>
      <c r="AI1450" s="16" t="b">
        <f>INDEX(stable[q_living_income],MATCH(questions[[#This Row],[qno]],stable[qno],0))</f>
        <v>1</v>
      </c>
      <c r="AJ1450" s="16" t="b">
        <f>INDEX(stable[q_carbon],MATCH(questions[[#This Row],[qno]],stable[qno],0))</f>
        <v>1</v>
      </c>
      <c r="AK1450" s="16" t="b">
        <f>INDEX(stable[q_regen_ag],MATCH(questions[[#This Row],[qno]],stable[qno],0))</f>
        <v>1</v>
      </c>
      <c r="AL1450" s="16" t="b">
        <f>COUNTIFS(stable[qno],questions[[#This Row],[qno]])=1</f>
        <v>1</v>
      </c>
      <c r="AM1450" s="16" t="b">
        <f>OR(questions[[#This Row],[is_fixed]],questions[[#This Row],[is_localized]],questions[[#This Row],[is_supply_chain_dependent]])</f>
        <v>1</v>
      </c>
      <c r="AN1450" s="16" t="b">
        <f>COUNTIFS(questions[[#This Row],[is_automated]:[is_multi_select]],TRUE)=1</f>
        <v>1</v>
      </c>
      <c r="AO1450" s="16" t="b">
        <f>IF(questions[[#This Row],[is_fixed]],questions[[#This Row],[question]]=INDEX(stable[question],MATCH(questions[[#This Row],[qno]],stable[qno],0)),TRUE)</f>
        <v>1</v>
      </c>
      <c r="AP1450" s="16" t="str">
        <f>LEFT(questions[[#This Row],[question]],similarity_range)</f>
        <v>How many kilograms o</v>
      </c>
      <c r="AQ1450" s="16" t="str">
        <f>LEFT(INDEX(stable[question],MATCH(questions[[#This Row],[qno]],stable[qno],0)),similarity_range)</f>
        <v>How many kilograms o</v>
      </c>
      <c r="AR1450" s="16" t="b">
        <f>questions[[#This Row],[question_first_characters]]=questions[[#This Row],[stability_first_characters]]</f>
        <v>1</v>
      </c>
      <c r="AS1450" s="16" t="b">
        <f>IF(OR(questions[[#This Row],[is_single_select]],questions[[#This Row],[is_multi_select]]),NOT(ISBLANK(questions[[#This Row],[answer_opt_combined]])),TRUE)</f>
        <v>1</v>
      </c>
    </row>
    <row r="1451" spans="1:45" ht="15.75" customHeight="1" x14ac:dyDescent="0.25">
      <c r="A1451" s="9" t="str">
        <f>_xlfn.TEXTJOIN("_",TRUE,questions[[#This Row],[origin]:[qno]])</f>
        <v>Brazil_Arabica_2025_4000</v>
      </c>
      <c r="B1451" s="9" t="s">
        <v>1025</v>
      </c>
      <c r="C1451" s="9" t="s">
        <v>59</v>
      </c>
      <c r="E1451" s="33">
        <v>2025</v>
      </c>
      <c r="F1451" s="19" t="s">
        <v>143</v>
      </c>
      <c r="G1451" s="15" t="s">
        <v>144</v>
      </c>
      <c r="H1451" s="9" t="str" cm="1">
        <f t="array" ref="H1451">INDEX(stableR[question],MATCH(VALUE(questions[[#This Row],[qno]]),VALUE(stableR[qno]),0))</f>
        <v>About how many coffee trees do you have across all your coffee plots combined?</v>
      </c>
      <c r="I1451" s="9" t="b" cm="1">
        <f t="array" ref="I1451">INDEX(stable[is_fixed],MATCH(VALUE(questions[[#This Row],[qno]]),VALUE(stable[qno]),0))</f>
        <v>1</v>
      </c>
      <c r="J1451" s="9" t="b" cm="1">
        <f t="array" ref="J1451">INDEX(stable[is_localized],MATCH(VALUE(questions[[#This Row],[qno]]),VALUE(stable[qno]),0))</f>
        <v>0</v>
      </c>
      <c r="K1451" s="9" t="b" cm="1">
        <f t="array" ref="K1451">INDEX(stable[is_supply_chain_dependent],MATCH(VALUE(questions[[#This Row],[qno]]),VALUE(stable[qno]),0))</f>
        <v>0</v>
      </c>
      <c r="L1451" s="9" t="b" cm="1">
        <f t="array" ref="L1451">INDEX(stable[is_mandatory],MATCH(VALUE(questions[[#This Row],[qno]]),VALUE(stable[qno]),0))</f>
        <v>1</v>
      </c>
      <c r="M1451" s="9" t="b" cm="1">
        <f t="array" ref="M1451">INDEX(stable[is_automated],MATCH(VALUE(questions[[#This Row],[qno]]),VALUE(stable[qno]),0))</f>
        <v>0</v>
      </c>
      <c r="N1451" s="9" t="b" cm="1">
        <f t="array" ref="N1451">INDEX(stable[is_free_text],MATCH(VALUE(questions[[#This Row],[qno]]),VALUE(stable[qno]),0))</f>
        <v>0</v>
      </c>
      <c r="O1451" s="9" t="b" cm="1">
        <f t="array" ref="O1451">INDEX(stable[is_numerical],MATCH(VALUE(questions[[#This Row],[qno]]),VALUE(stable[qno]),0))</f>
        <v>1</v>
      </c>
      <c r="P1451" s="9" t="b" cm="1">
        <f t="array" ref="P1451">INDEX(stable[is_single_select],MATCH(VALUE(questions[[#This Row],[qno]]),VALUE(stable[qno]),0))</f>
        <v>0</v>
      </c>
      <c r="Q1451" s="9" t="b" cm="1">
        <f t="array" ref="Q1451">INDEX(stable[is_multi_select],MATCH(VALUE(questions[[#This Row],[qno]]),VALUE(stable[qno]),0))</f>
        <v>0</v>
      </c>
      <c r="R1451" s="9" t="b" cm="1">
        <f t="array" ref="R1451">INDEX(stable[is_skip_logic],MATCH(VALUE(questions[[#This Row],[qno]]),VALUE(stable[qno]),0))</f>
        <v>0</v>
      </c>
      <c r="S1451" s="9" t="str">
        <f>_xlfn.TEXTJOIN(", ",TRUE,questions[[#This Row],[ans_opt_1]:[ans_opt_14]])</f>
        <v/>
      </c>
      <c r="AH1451" s="16" t="b">
        <f>INDEX(stable[q_standard],MATCH(questions[[#This Row],[qno]],stable[qno],0))</f>
        <v>0</v>
      </c>
      <c r="AI1451" s="16" t="b">
        <f>INDEX(stable[q_living_income],MATCH(questions[[#This Row],[qno]],stable[qno],0))</f>
        <v>1</v>
      </c>
      <c r="AJ1451" s="16" t="b">
        <f>INDEX(stable[q_carbon],MATCH(questions[[#This Row],[qno]],stable[qno],0))</f>
        <v>1</v>
      </c>
      <c r="AK1451" s="16" t="b">
        <f>INDEX(stable[q_regen_ag],MATCH(questions[[#This Row],[qno]],stable[qno],0))</f>
        <v>1</v>
      </c>
      <c r="AL1451" s="16" t="b">
        <f>COUNTIFS(stable[qno],questions[[#This Row],[qno]])=1</f>
        <v>1</v>
      </c>
      <c r="AM1451" s="16" t="b">
        <f>OR(questions[[#This Row],[is_fixed]],questions[[#This Row],[is_localized]],questions[[#This Row],[is_supply_chain_dependent]])</f>
        <v>1</v>
      </c>
      <c r="AN1451" s="16" t="b">
        <f>COUNTIFS(questions[[#This Row],[is_automated]:[is_multi_select]],TRUE)=1</f>
        <v>1</v>
      </c>
      <c r="AO1451" s="16" t="b">
        <f>IF(questions[[#This Row],[is_fixed]],questions[[#This Row],[question]]=INDEX(stable[question],MATCH(questions[[#This Row],[qno]],stable[qno],0)),TRUE)</f>
        <v>1</v>
      </c>
      <c r="AP1451" s="16" t="str">
        <f>LEFT(questions[[#This Row],[question]],similarity_range)</f>
        <v>Can you estimate how</v>
      </c>
      <c r="AQ1451" s="16" t="str">
        <f>LEFT(INDEX(stable[question],MATCH(questions[[#This Row],[qno]],stable[qno],0)),similarity_range)</f>
        <v>Can you estimate how</v>
      </c>
      <c r="AR1451" s="16" t="b">
        <f>questions[[#This Row],[question_first_characters]]=questions[[#This Row],[stability_first_characters]]</f>
        <v>1</v>
      </c>
      <c r="AS1451" s="16" t="b">
        <f>IF(OR(questions[[#This Row],[is_single_select]],questions[[#This Row],[is_multi_select]]),NOT(ISBLANK(questions[[#This Row],[answer_opt_combined]])),TRUE)</f>
        <v>1</v>
      </c>
    </row>
    <row r="1452" spans="1:45" s="77" customFormat="1" ht="15.75" customHeight="1" x14ac:dyDescent="0.25">
      <c r="A1452" s="77" t="str">
        <f>_xlfn.TEXTJOIN("_",TRUE,questions[[#This Row],[origin]:[qno]])</f>
        <v>Brazil_Arabica_2025_4101</v>
      </c>
      <c r="B1452" s="77" t="s">
        <v>1025</v>
      </c>
      <c r="C1452" s="77" t="s">
        <v>59</v>
      </c>
      <c r="E1452" s="77">
        <v>2025</v>
      </c>
      <c r="F1452" s="107" t="s">
        <v>147</v>
      </c>
      <c r="G1452" s="78" t="s">
        <v>148</v>
      </c>
      <c r="H1452" s="9" t="str" cm="1">
        <f t="array" ref="H1452">INDEX(stableR[question],MATCH(VALUE(questions[[#This Row],[qno]]),VALUE(stableR[qno]),0))</f>
        <v>Can we go to measure/polygon map (area audit) each of these plots?</v>
      </c>
      <c r="I1452" s="9" t="b" cm="1">
        <f t="array" ref="I1452">INDEX(stable[is_fixed],MATCH(VALUE(questions[[#This Row],[qno]]),VALUE(stable[qno]),0))</f>
        <v>1</v>
      </c>
      <c r="J1452" s="9" t="b" cm="1">
        <f t="array" ref="J1452">INDEX(stable[is_localized],MATCH(VALUE(questions[[#This Row],[qno]]),VALUE(stable[qno]),0))</f>
        <v>0</v>
      </c>
      <c r="K1452" s="9" t="b" cm="1">
        <f t="array" ref="K1452">INDEX(stable[is_supply_chain_dependent],MATCH(VALUE(questions[[#This Row],[qno]]),VALUE(stable[qno]),0))</f>
        <v>0</v>
      </c>
      <c r="L1452" s="9" t="b" cm="1">
        <f t="array" ref="L1452">INDEX(stable[is_mandatory],MATCH(VALUE(questions[[#This Row],[qno]]),VALUE(stable[qno]),0))</f>
        <v>1</v>
      </c>
      <c r="M1452" s="9" t="b" cm="1">
        <f t="array" ref="M1452">INDEX(stable[is_automated],MATCH(VALUE(questions[[#This Row],[qno]]),VALUE(stable[qno]),0))</f>
        <v>0</v>
      </c>
      <c r="N1452" s="9" t="b" cm="1">
        <f t="array" ref="N1452">INDEX(stable[is_free_text],MATCH(VALUE(questions[[#This Row],[qno]]),VALUE(stable[qno]),0))</f>
        <v>0</v>
      </c>
      <c r="O1452" s="9" t="b" cm="1">
        <f t="array" ref="O1452">INDEX(stable[is_numerical],MATCH(VALUE(questions[[#This Row],[qno]]),VALUE(stable[qno]),0))</f>
        <v>0</v>
      </c>
      <c r="P1452" s="77" t="b" cm="1">
        <f t="array" ref="P1452">INDEX(stable[is_single_select],MATCH(VALUE(questions[[#This Row],[qno]]),VALUE(stable[qno]),0))</f>
        <v>1</v>
      </c>
      <c r="Q1452" s="77" t="b" cm="1">
        <f t="array" ref="Q1452">INDEX(stable[is_multi_select],MATCH(VALUE(questions[[#This Row],[qno]]),VALUE(stable[qno]),0))</f>
        <v>0</v>
      </c>
      <c r="R1452" s="77" t="b" cm="1">
        <f t="array" ref="R1452">INDEX(stable[is_skip_logic],MATCH(VALUE(questions[[#This Row],[qno]]),VALUE(stable[qno]),0))</f>
        <v>1</v>
      </c>
      <c r="S1452" s="77" t="str">
        <f>_xlfn.TEXTJOIN(", ",TRUE,questions[[#This Row],[ans_opt_1]:[ans_opt_14]])</f>
        <v>Yes, No</v>
      </c>
      <c r="T1452" s="77" t="s">
        <v>149</v>
      </c>
      <c r="U1452" s="77" t="s">
        <v>119</v>
      </c>
      <c r="AH1452" s="98" t="b">
        <f>INDEX(stable[q_standard],MATCH(questions[[#This Row],[qno]],stable[qno],0))</f>
        <v>0</v>
      </c>
      <c r="AI1452" s="98" t="b">
        <f>INDEX(stable[q_living_income],MATCH(questions[[#This Row],[qno]],stable[qno],0))</f>
        <v>1</v>
      </c>
      <c r="AJ1452" s="98" t="b">
        <f>INDEX(stable[q_carbon],MATCH(questions[[#This Row],[qno]],stable[qno],0))</f>
        <v>1</v>
      </c>
      <c r="AK1452" s="98" t="b">
        <f>INDEX(stable[q_regen_ag],MATCH(questions[[#This Row],[qno]],stable[qno],0))</f>
        <v>1</v>
      </c>
      <c r="AL1452" s="98" t="b">
        <f>COUNTIFS(stable[qno],questions[[#This Row],[qno]])=1</f>
        <v>1</v>
      </c>
      <c r="AM1452" s="98" t="b">
        <f>OR(questions[[#This Row],[is_fixed]],questions[[#This Row],[is_localized]],questions[[#This Row],[is_supply_chain_dependent]])</f>
        <v>1</v>
      </c>
      <c r="AN1452" s="98" t="b">
        <f>COUNTIFS(questions[[#This Row],[is_automated]:[is_multi_select]],TRUE)=1</f>
        <v>1</v>
      </c>
      <c r="AO1452" s="98" t="b">
        <f>IF(questions[[#This Row],[is_fixed]],questions[[#This Row],[question]]=INDEX(stable[question],MATCH(questions[[#This Row],[qno]],stable[qno],0)),TRUE)</f>
        <v>1</v>
      </c>
      <c r="AP1452" s="98" t="str">
        <f>LEFT(questions[[#This Row],[question]],similarity_range)</f>
        <v>Can we go to measure</v>
      </c>
      <c r="AQ1452" s="98" t="str">
        <f>LEFT(INDEX(stable[question],MATCH(questions[[#This Row],[qno]],stable[qno],0)),similarity_range)</f>
        <v>Can we go to measure</v>
      </c>
      <c r="AR1452" s="98" t="b">
        <f>questions[[#This Row],[question_first_characters]]=questions[[#This Row],[stability_first_characters]]</f>
        <v>1</v>
      </c>
      <c r="AS1452" s="98" t="b">
        <f>IF(OR(questions[[#This Row],[is_single_select]],questions[[#This Row],[is_multi_select]]),NOT(ISBLANK(questions[[#This Row],[answer_opt_combined]])),TRUE)</f>
        <v>1</v>
      </c>
    </row>
    <row r="1453" spans="1:45" s="77" customFormat="1" ht="15.75" customHeight="1" x14ac:dyDescent="0.25">
      <c r="A1453" s="77" t="str">
        <f>_xlfn.TEXTJOIN("_",TRUE,questions[[#This Row],[origin]:[qno]])</f>
        <v>Brazil_Arabica_2025_4102</v>
      </c>
      <c r="B1453" s="77" t="s">
        <v>1025</v>
      </c>
      <c r="C1453" s="77" t="s">
        <v>59</v>
      </c>
      <c r="E1453" s="77">
        <v>2025</v>
      </c>
      <c r="F1453" s="107" t="s">
        <v>150</v>
      </c>
      <c r="G1453" s="78" t="s">
        <v>151</v>
      </c>
      <c r="H1453" s="9" t="str" cm="1">
        <f t="array" ref="H1453">INDEX(stableR[question],MATCH(VALUE(questions[[#This Row],[qno]]),VALUE(stableR[qno]),0))</f>
        <v>If No, what is the reason why we cannot visit this/these plot (s) to measure/polygon map it/them?</v>
      </c>
      <c r="I1453" s="9" t="b" cm="1">
        <f t="array" ref="I1453">INDEX(stable[is_fixed],MATCH(VALUE(questions[[#This Row],[qno]]),VALUE(stable[qno]),0))</f>
        <v>1</v>
      </c>
      <c r="J1453" s="9" t="b" cm="1">
        <f t="array" ref="J1453">INDEX(stable[is_localized],MATCH(VALUE(questions[[#This Row],[qno]]),VALUE(stable[qno]),0))</f>
        <v>0</v>
      </c>
      <c r="K1453" s="9" t="b" cm="1">
        <f t="array" ref="K1453">INDEX(stable[is_supply_chain_dependent],MATCH(VALUE(questions[[#This Row],[qno]]),VALUE(stable[qno]),0))</f>
        <v>0</v>
      </c>
      <c r="L1453" s="9" t="b" cm="1">
        <f t="array" ref="L1453">INDEX(stable[is_mandatory],MATCH(VALUE(questions[[#This Row],[qno]]),VALUE(stable[qno]),0))</f>
        <v>0</v>
      </c>
      <c r="M1453" s="9" t="b" cm="1">
        <f t="array" ref="M1453">INDEX(stable[is_automated],MATCH(VALUE(questions[[#This Row],[qno]]),VALUE(stable[qno]),0))</f>
        <v>0</v>
      </c>
      <c r="N1453" s="9" t="b" cm="1">
        <f t="array" ref="N1453">INDEX(stable[is_free_text],MATCH(VALUE(questions[[#This Row],[qno]]),VALUE(stable[qno]),0))</f>
        <v>0</v>
      </c>
      <c r="O1453" s="9" t="b" cm="1">
        <f t="array" ref="O1453">INDEX(stable[is_numerical],MATCH(VALUE(questions[[#This Row],[qno]]),VALUE(stable[qno]),0))</f>
        <v>0</v>
      </c>
      <c r="P1453" s="77" t="b" cm="1">
        <f t="array" ref="P1453">INDEX(stable[is_single_select],MATCH(VALUE(questions[[#This Row],[qno]]),VALUE(stable[qno]),0))</f>
        <v>1</v>
      </c>
      <c r="Q1453" s="77" t="b" cm="1">
        <f t="array" ref="Q1453">INDEX(stable[is_multi_select],MATCH(VALUE(questions[[#This Row],[qno]]),VALUE(stable[qno]),0))</f>
        <v>0</v>
      </c>
      <c r="R1453" s="77" t="b" cm="1">
        <f t="array" ref="R1453">INDEX(stable[is_skip_logic],MATCH(VALUE(questions[[#This Row],[qno]]),VALUE(stable[qno]),0))</f>
        <v>1</v>
      </c>
      <c r="S1453" s="77" t="str">
        <f>_xlfn.TEXTJOIN(", ",TRUE,questions[[#This Row],[ans_opt_1]:[ans_opt_14]])</f>
        <v>Farmer not willing, Other reason</v>
      </c>
      <c r="T1453" s="77" t="s">
        <v>153</v>
      </c>
      <c r="U1453" s="77" t="s">
        <v>154</v>
      </c>
      <c r="AH1453" s="98" t="b">
        <f>INDEX(stable[q_standard],MATCH(questions[[#This Row],[qno]],stable[qno],0))</f>
        <v>0</v>
      </c>
      <c r="AI1453" s="98" t="b">
        <f>INDEX(stable[q_living_income],MATCH(questions[[#This Row],[qno]],stable[qno],0))</f>
        <v>1</v>
      </c>
      <c r="AJ1453" s="98" t="b">
        <f>INDEX(stable[q_carbon],MATCH(questions[[#This Row],[qno]],stable[qno],0))</f>
        <v>1</v>
      </c>
      <c r="AK1453" s="98" t="b">
        <f>INDEX(stable[q_regen_ag],MATCH(questions[[#This Row],[qno]],stable[qno],0))</f>
        <v>1</v>
      </c>
      <c r="AL1453" s="98" t="b">
        <f>COUNTIFS(stable[qno],questions[[#This Row],[qno]])=1</f>
        <v>1</v>
      </c>
      <c r="AM1453" s="98" t="b">
        <f>OR(questions[[#This Row],[is_fixed]],questions[[#This Row],[is_localized]],questions[[#This Row],[is_supply_chain_dependent]])</f>
        <v>1</v>
      </c>
      <c r="AN1453" s="98" t="b">
        <f>COUNTIFS(questions[[#This Row],[is_automated]:[is_multi_select]],TRUE)=1</f>
        <v>1</v>
      </c>
      <c r="AO1453" s="98" t="b">
        <f>IF(questions[[#This Row],[is_fixed]],questions[[#This Row],[question]]=INDEX(stable[question],MATCH(questions[[#This Row],[qno]],stable[qno],0)),TRUE)</f>
        <v>1</v>
      </c>
      <c r="AP1453" s="98" t="str">
        <f>LEFT(questions[[#This Row],[question]],similarity_range)</f>
        <v>If no, what is the r</v>
      </c>
      <c r="AQ1453" s="98" t="str">
        <f>LEFT(INDEX(stable[question],MATCH(questions[[#This Row],[qno]],stable[qno],0)),similarity_range)</f>
        <v>If no, what is the r</v>
      </c>
      <c r="AR1453" s="98" t="b">
        <f>questions[[#This Row],[question_first_characters]]=questions[[#This Row],[stability_first_characters]]</f>
        <v>1</v>
      </c>
      <c r="AS1453" s="98" t="b">
        <f>IF(OR(questions[[#This Row],[is_single_select]],questions[[#This Row],[is_multi_select]]),NOT(ISBLANK(questions[[#This Row],[answer_opt_combined]])),TRUE)</f>
        <v>1</v>
      </c>
    </row>
    <row r="1454" spans="1:45" ht="15.75" customHeight="1" x14ac:dyDescent="0.25">
      <c r="A1454" s="9" t="str">
        <f>_xlfn.TEXTJOIN("_",TRUE,questions[[#This Row],[origin]:[qno]])</f>
        <v>Brazil_Arabica_2025_4103</v>
      </c>
      <c r="B1454" s="9" t="s">
        <v>1025</v>
      </c>
      <c r="C1454" s="9" t="s">
        <v>59</v>
      </c>
      <c r="E1454" s="33">
        <v>2025</v>
      </c>
      <c r="F1454" s="19" t="s">
        <v>155</v>
      </c>
      <c r="G1454" s="15" t="s">
        <v>156</v>
      </c>
      <c r="H1454" s="9" t="str" cm="1">
        <f t="array" ref="H1454">INDEX(stableR[question],MATCH(VALUE(questions[[#This Row],[qno]]),VALUE(stableR[qno]),0))</f>
        <v>Of your total coffee plots, how many cannot be visited during the survey?</v>
      </c>
      <c r="I1454" s="9" t="b" cm="1">
        <f t="array" ref="I1454">INDEX(stable[is_fixed],MATCH(VALUE(questions[[#This Row],[qno]]),VALUE(stable[qno]),0))</f>
        <v>1</v>
      </c>
      <c r="J1454" s="9" t="b" cm="1">
        <f t="array" ref="J1454">INDEX(stable[is_localized],MATCH(VALUE(questions[[#This Row],[qno]]),VALUE(stable[qno]),0))</f>
        <v>0</v>
      </c>
      <c r="K1454" s="9" t="b" cm="1">
        <f t="array" ref="K1454">INDEX(stable[is_supply_chain_dependent],MATCH(VALUE(questions[[#This Row],[qno]]),VALUE(stable[qno]),0))</f>
        <v>0</v>
      </c>
      <c r="L1454" s="9" t="b" cm="1">
        <f t="array" ref="L1454">INDEX(stable[is_mandatory],MATCH(VALUE(questions[[#This Row],[qno]]),VALUE(stable[qno]),0))</f>
        <v>0</v>
      </c>
      <c r="M1454" s="9" t="b" cm="1">
        <f t="array" ref="M1454">INDEX(stable[is_automated],MATCH(VALUE(questions[[#This Row],[qno]]),VALUE(stable[qno]),0))</f>
        <v>0</v>
      </c>
      <c r="N1454" s="9" t="b" cm="1">
        <f t="array" ref="N1454">INDEX(stable[is_free_text],MATCH(VALUE(questions[[#This Row],[qno]]),VALUE(stable[qno]),0))</f>
        <v>0</v>
      </c>
      <c r="O1454" s="9" t="b" cm="1">
        <f t="array" ref="O1454">INDEX(stable[is_numerical],MATCH(VALUE(questions[[#This Row],[qno]]),VALUE(stable[qno]),0))</f>
        <v>1</v>
      </c>
      <c r="P1454" s="9" t="b" cm="1">
        <f t="array" ref="P1454">INDEX(stable[is_single_select],MATCH(VALUE(questions[[#This Row],[qno]]),VALUE(stable[qno]),0))</f>
        <v>0</v>
      </c>
      <c r="Q1454" s="9" t="b" cm="1">
        <f t="array" ref="Q1454">INDEX(stable[is_multi_select],MATCH(VALUE(questions[[#This Row],[qno]]),VALUE(stable[qno]),0))</f>
        <v>0</v>
      </c>
      <c r="R1454" s="9" t="b" cm="1">
        <f t="array" ref="R1454">INDEX(stable[is_skip_logic],MATCH(VALUE(questions[[#This Row],[qno]]),VALUE(stable[qno]),0))</f>
        <v>0</v>
      </c>
      <c r="S1454" s="9" t="str">
        <f>_xlfn.TEXTJOIN(", ",TRUE,questions[[#This Row],[ans_opt_1]:[ans_opt_14]])</f>
        <v/>
      </c>
      <c r="AH1454" s="16" t="b">
        <f>INDEX(stable[q_standard],MATCH(questions[[#This Row],[qno]],stable[qno],0))</f>
        <v>0</v>
      </c>
      <c r="AI1454" s="16" t="b">
        <f>INDEX(stable[q_living_income],MATCH(questions[[#This Row],[qno]],stable[qno],0))</f>
        <v>1</v>
      </c>
      <c r="AJ1454" s="16" t="b">
        <f>INDEX(stable[q_carbon],MATCH(questions[[#This Row],[qno]],stable[qno],0))</f>
        <v>1</v>
      </c>
      <c r="AK1454" s="16" t="b">
        <f>INDEX(stable[q_regen_ag],MATCH(questions[[#This Row],[qno]],stable[qno],0))</f>
        <v>1</v>
      </c>
      <c r="AL1454" s="16" t="b">
        <f>COUNTIFS(stable[qno],questions[[#This Row],[qno]])=1</f>
        <v>1</v>
      </c>
      <c r="AM1454" s="16" t="b">
        <f>OR(questions[[#This Row],[is_fixed]],questions[[#This Row],[is_localized]],questions[[#This Row],[is_supply_chain_dependent]])</f>
        <v>1</v>
      </c>
      <c r="AN1454" s="16" t="b">
        <f>COUNTIFS(questions[[#This Row],[is_automated]:[is_multi_select]],TRUE)=1</f>
        <v>1</v>
      </c>
      <c r="AO1454" s="16" t="b">
        <f>IF(questions[[#This Row],[is_fixed]],questions[[#This Row],[question]]=INDEX(stable[question],MATCH(questions[[#This Row],[qno]],stable[qno],0)),TRUE)</f>
        <v>1</v>
      </c>
      <c r="AP1454" s="16" t="str">
        <f>LEFT(questions[[#This Row],[question]],similarity_range)</f>
        <v>How many coffee plot</v>
      </c>
      <c r="AQ1454" s="16" t="str">
        <f>LEFT(INDEX(stable[question],MATCH(questions[[#This Row],[qno]],stable[qno],0)),similarity_range)</f>
        <v>How many coffee plot</v>
      </c>
      <c r="AR1454" s="16" t="b">
        <f>questions[[#This Row],[question_first_characters]]=questions[[#This Row],[stability_first_characters]]</f>
        <v>1</v>
      </c>
      <c r="AS1454" s="16" t="b">
        <f>IF(OR(questions[[#This Row],[is_single_select]],questions[[#This Row],[is_multi_select]]),NOT(ISBLANK(questions[[#This Row],[answer_opt_combined]])),TRUE)</f>
        <v>1</v>
      </c>
    </row>
    <row r="1455" spans="1:45" ht="15.75" customHeight="1" x14ac:dyDescent="0.25">
      <c r="A1455" s="9" t="str">
        <f>_xlfn.TEXTJOIN("_",TRUE,questions[[#This Row],[origin]:[qno]])</f>
        <v>Brazil_Arabica_2025_4105</v>
      </c>
      <c r="B1455" s="9" t="s">
        <v>1025</v>
      </c>
      <c r="C1455" s="9" t="s">
        <v>59</v>
      </c>
      <c r="E1455" s="33">
        <v>2025</v>
      </c>
      <c r="F1455" s="19" t="s">
        <v>1029</v>
      </c>
      <c r="G1455" s="15" t="s">
        <v>1030</v>
      </c>
      <c r="H1455" s="9" t="str" cm="1">
        <f t="array" ref="H1455">INDEX(stableR[question],MATCH(VALUE(questions[[#This Row],[qno]]),VALUE(stableR[qno]),0))</f>
        <v>Of the coffee plots that cannot be visited, what is the total area of these plots? (in hectares)</v>
      </c>
      <c r="I1455" s="9" t="b" cm="1">
        <f t="array" ref="I1455">INDEX(stable[is_fixed],MATCH(VALUE(questions[[#This Row],[qno]]),VALUE(stable[qno]),0))</f>
        <v>1</v>
      </c>
      <c r="J1455" s="9" t="b" cm="1">
        <f t="array" ref="J1455">INDEX(stable[is_localized],MATCH(VALUE(questions[[#This Row],[qno]]),VALUE(stable[qno]),0))</f>
        <v>0</v>
      </c>
      <c r="K1455" s="9" t="b" cm="1">
        <f t="array" ref="K1455">INDEX(stable[is_supply_chain_dependent],MATCH(VALUE(questions[[#This Row],[qno]]),VALUE(stable[qno]),0))</f>
        <v>0</v>
      </c>
      <c r="L1455" s="9" t="b" cm="1">
        <f t="array" ref="L1455">INDEX(stable[is_mandatory],MATCH(VALUE(questions[[#This Row],[qno]]),VALUE(stable[qno]),0))</f>
        <v>0</v>
      </c>
      <c r="M1455" s="9" t="b" cm="1">
        <f t="array" ref="M1455">INDEX(stable[is_automated],MATCH(VALUE(questions[[#This Row],[qno]]),VALUE(stable[qno]),0))</f>
        <v>0</v>
      </c>
      <c r="N1455" s="9" t="b" cm="1">
        <f t="array" ref="N1455">INDEX(stable[is_free_text],MATCH(VALUE(questions[[#This Row],[qno]]),VALUE(stable[qno]),0))</f>
        <v>0</v>
      </c>
      <c r="O1455" s="9" t="b" cm="1">
        <f t="array" ref="O1455">INDEX(stable[is_numerical],MATCH(VALUE(questions[[#This Row],[qno]]),VALUE(stable[qno]),0))</f>
        <v>1</v>
      </c>
      <c r="P1455" s="9" t="b" cm="1">
        <f t="array" ref="P1455">INDEX(stable[is_single_select],MATCH(VALUE(questions[[#This Row],[qno]]),VALUE(stable[qno]),0))</f>
        <v>0</v>
      </c>
      <c r="Q1455" s="9" t="b" cm="1">
        <f t="array" ref="Q1455">INDEX(stable[is_multi_select],MATCH(VALUE(questions[[#This Row],[qno]]),VALUE(stable[qno]),0))</f>
        <v>0</v>
      </c>
      <c r="R1455" s="9" t="b" cm="1">
        <f t="array" ref="R1455">INDEX(stable[is_skip_logic],MATCH(VALUE(questions[[#This Row],[qno]]),VALUE(stable[qno]),0))</f>
        <v>0</v>
      </c>
      <c r="S1455" s="9" t="str">
        <f>_xlfn.TEXTJOIN(", ",TRUE,questions[[#This Row],[ans_opt_1]:[ans_opt_14]])</f>
        <v/>
      </c>
      <c r="AH1455" s="16" t="b">
        <f>INDEX(stable[q_standard],MATCH(questions[[#This Row],[qno]],stable[qno],0))</f>
        <v>0</v>
      </c>
      <c r="AI1455" s="16" t="b">
        <f>INDEX(stable[q_living_income],MATCH(questions[[#This Row],[qno]],stable[qno],0))</f>
        <v>1</v>
      </c>
      <c r="AJ1455" s="16" t="b">
        <f>INDEX(stable[q_carbon],MATCH(questions[[#This Row],[qno]],stable[qno],0))</f>
        <v>1</v>
      </c>
      <c r="AK1455" s="16" t="b">
        <f>INDEX(stable[q_regen_ag],MATCH(questions[[#This Row],[qno]],stable[qno],0))</f>
        <v>1</v>
      </c>
      <c r="AL1455" s="16" t="b">
        <f>COUNTIFS(stable[qno],questions[[#This Row],[qno]])=1</f>
        <v>1</v>
      </c>
      <c r="AM1455" s="16" t="b">
        <f>OR(questions[[#This Row],[is_fixed]],questions[[#This Row],[is_localized]],questions[[#This Row],[is_supply_chain_dependent]])</f>
        <v>1</v>
      </c>
      <c r="AN1455" s="16" t="b">
        <f>COUNTIFS(questions[[#This Row],[is_automated]:[is_multi_select]],TRUE)=1</f>
        <v>1</v>
      </c>
      <c r="AO1455" s="16" t="b">
        <f>IF(questions[[#This Row],[is_fixed]],questions[[#This Row],[question]]=INDEX(stable[question],MATCH(questions[[#This Row],[qno]],stable[qno],0)),TRUE)</f>
        <v>1</v>
      </c>
      <c r="AP1455" s="16" t="str">
        <f>LEFT(questions[[#This Row],[question]],similarity_range)</f>
        <v>What is the total ar</v>
      </c>
      <c r="AQ1455" s="16" t="str">
        <f>LEFT(INDEX(stable[question],MATCH(questions[[#This Row],[qno]],stable[qno],0)),similarity_range)</f>
        <v>What is the total ar</v>
      </c>
      <c r="AR1455" s="16" t="b">
        <f>questions[[#This Row],[question_first_characters]]=questions[[#This Row],[stability_first_characters]]</f>
        <v>1</v>
      </c>
      <c r="AS1455" s="16" t="b">
        <f>IF(OR(questions[[#This Row],[is_single_select]],questions[[#This Row],[is_multi_select]]),NOT(ISBLANK(questions[[#This Row],[answer_opt_combined]])),TRUE)</f>
        <v>1</v>
      </c>
    </row>
    <row r="1456" spans="1:45" s="77" customFormat="1" ht="15.75" customHeight="1" x14ac:dyDescent="0.25">
      <c r="A1456" s="77" t="str">
        <f>_xlfn.TEXTJOIN("_",TRUE,questions[[#This Row],[origin]:[qno]])</f>
        <v>Brazil_Arabica_2025_5000</v>
      </c>
      <c r="B1456" s="77" t="s">
        <v>1025</v>
      </c>
      <c r="C1456" s="77" t="s">
        <v>59</v>
      </c>
      <c r="E1456" s="77">
        <v>2025</v>
      </c>
      <c r="F1456" s="107" t="s">
        <v>159</v>
      </c>
      <c r="G1456" s="78" t="s">
        <v>160</v>
      </c>
      <c r="H1456" s="9" t="str" cm="1">
        <f t="array" ref="H1456">INDEX(stableR[question],MATCH(VALUE(questions[[#This Row],[qno]]),VALUE(stableR[qno]),0))</f>
        <v>Did you use synthetic fertilizers for your coffee last year?</v>
      </c>
      <c r="I1456" s="9" t="b" cm="1">
        <f t="array" ref="I1456">INDEX(stable[is_fixed],MATCH(VALUE(questions[[#This Row],[qno]]),VALUE(stable[qno]),0))</f>
        <v>1</v>
      </c>
      <c r="J1456" s="9" t="b" cm="1">
        <f t="array" ref="J1456">INDEX(stable[is_localized],MATCH(VALUE(questions[[#This Row],[qno]]),VALUE(stable[qno]),0))</f>
        <v>0</v>
      </c>
      <c r="K1456" s="9" t="b" cm="1">
        <f t="array" ref="K1456">INDEX(stable[is_supply_chain_dependent],MATCH(VALUE(questions[[#This Row],[qno]]),VALUE(stable[qno]),0))</f>
        <v>0</v>
      </c>
      <c r="L1456" s="9" t="b" cm="1">
        <f t="array" ref="L1456">INDEX(stable[is_mandatory],MATCH(VALUE(questions[[#This Row],[qno]]),VALUE(stable[qno]),0))</f>
        <v>1</v>
      </c>
      <c r="M1456" s="9" t="b" cm="1">
        <f t="array" ref="M1456">INDEX(stable[is_automated],MATCH(VALUE(questions[[#This Row],[qno]]),VALUE(stable[qno]),0))</f>
        <v>0</v>
      </c>
      <c r="N1456" s="9" t="b" cm="1">
        <f t="array" ref="N1456">INDEX(stable[is_free_text],MATCH(VALUE(questions[[#This Row],[qno]]),VALUE(stable[qno]),0))</f>
        <v>0</v>
      </c>
      <c r="O1456" s="9" t="b" cm="1">
        <f t="array" ref="O1456">INDEX(stable[is_numerical],MATCH(VALUE(questions[[#This Row],[qno]]),VALUE(stable[qno]),0))</f>
        <v>0</v>
      </c>
      <c r="P1456" s="77" t="b" cm="1">
        <f t="array" ref="P1456">INDEX(stable[is_single_select],MATCH(VALUE(questions[[#This Row],[qno]]),VALUE(stable[qno]),0))</f>
        <v>1</v>
      </c>
      <c r="Q1456" s="77" t="b" cm="1">
        <f t="array" ref="Q1456">INDEX(stable[is_multi_select],MATCH(VALUE(questions[[#This Row],[qno]]),VALUE(stable[qno]),0))</f>
        <v>0</v>
      </c>
      <c r="R1456" s="77" t="b" cm="1">
        <f t="array" ref="R1456">INDEX(stable[is_skip_logic],MATCH(VALUE(questions[[#This Row],[qno]]),VALUE(stable[qno]),0))</f>
        <v>1</v>
      </c>
      <c r="S1456" s="77" t="str">
        <f>_xlfn.TEXTJOIN(", ",TRUE,questions[[#This Row],[ans_opt_1]:[ans_opt_14]])</f>
        <v>Yes, No</v>
      </c>
      <c r="T1456" s="77" t="s">
        <v>149</v>
      </c>
      <c r="U1456" s="77" t="s">
        <v>119</v>
      </c>
      <c r="AH1456" s="98" t="b">
        <f>INDEX(stable[q_standard],MATCH(questions[[#This Row],[qno]],stable[qno],0))</f>
        <v>0</v>
      </c>
      <c r="AI1456" s="98" t="b">
        <f>INDEX(stable[q_living_income],MATCH(questions[[#This Row],[qno]],stable[qno],0))</f>
        <v>1</v>
      </c>
      <c r="AJ1456" s="98" t="b">
        <f>INDEX(stable[q_carbon],MATCH(questions[[#This Row],[qno]],stable[qno],0))</f>
        <v>1</v>
      </c>
      <c r="AK1456" s="98" t="b">
        <f>INDEX(stable[q_regen_ag],MATCH(questions[[#This Row],[qno]],stable[qno],0))</f>
        <v>0</v>
      </c>
      <c r="AL1456" s="98" t="b">
        <f>COUNTIFS(stable[qno],questions[[#This Row],[qno]])=1</f>
        <v>1</v>
      </c>
      <c r="AM1456" s="98" t="b">
        <f>OR(questions[[#This Row],[is_fixed]],questions[[#This Row],[is_localized]],questions[[#This Row],[is_supply_chain_dependent]])</f>
        <v>1</v>
      </c>
      <c r="AN1456" s="98" t="b">
        <f>COUNTIFS(questions[[#This Row],[is_automated]:[is_multi_select]],TRUE)=1</f>
        <v>1</v>
      </c>
      <c r="AO1456" s="98" t="b">
        <f>IF(questions[[#This Row],[is_fixed]],questions[[#This Row],[question]]=INDEX(stable[question],MATCH(questions[[#This Row],[qno]],stable[qno],0)),TRUE)</f>
        <v>1</v>
      </c>
      <c r="AP1456" s="98" t="str">
        <f>LEFT(questions[[#This Row],[question]],similarity_range)</f>
        <v>Did you use syntheti</v>
      </c>
      <c r="AQ1456" s="98" t="str">
        <f>LEFT(INDEX(stable[question],MATCH(questions[[#This Row],[qno]],stable[qno],0)),similarity_range)</f>
        <v>Did you use syntheti</v>
      </c>
      <c r="AR1456" s="98" t="b">
        <f>questions[[#This Row],[question_first_characters]]=questions[[#This Row],[stability_first_characters]]</f>
        <v>1</v>
      </c>
      <c r="AS1456" s="98" t="b">
        <f>IF(OR(questions[[#This Row],[is_single_select]],questions[[#This Row],[is_multi_select]]),NOT(ISBLANK(questions[[#This Row],[answer_opt_combined]])),TRUE)</f>
        <v>1</v>
      </c>
    </row>
    <row r="1457" spans="1:45" ht="15.75" customHeight="1" x14ac:dyDescent="0.25">
      <c r="A1457" s="9" t="str">
        <f>_xlfn.TEXTJOIN("_",TRUE,questions[[#This Row],[origin]:[qno]])</f>
        <v>Brazil_Arabica_2025_5001</v>
      </c>
      <c r="B1457" s="9" t="s">
        <v>1025</v>
      </c>
      <c r="C1457" s="9" t="s">
        <v>59</v>
      </c>
      <c r="E1457" s="33">
        <v>2025</v>
      </c>
      <c r="F1457" s="19" t="s">
        <v>161</v>
      </c>
      <c r="G1457" s="15" t="s">
        <v>162</v>
      </c>
      <c r="H1457" s="9" t="str" cm="1">
        <f t="array" ref="H1457">INDEX(stableR[question],MATCH(VALUE(questions[[#This Row],[qno]]),VALUE(stableR[qno]),0))</f>
        <v>If yes, how many types of synthetic fertilizer did you use last year?</v>
      </c>
      <c r="I1457" s="9" t="b" cm="1">
        <f t="array" ref="I1457">INDEX(stable[is_fixed],MATCH(VALUE(questions[[#This Row],[qno]]),VALUE(stable[qno]),0))</f>
        <v>1</v>
      </c>
      <c r="J1457" s="9" t="b" cm="1">
        <f t="array" ref="J1457">INDEX(stable[is_localized],MATCH(VALUE(questions[[#This Row],[qno]]),VALUE(stable[qno]),0))</f>
        <v>0</v>
      </c>
      <c r="K1457" s="9" t="b" cm="1">
        <f t="array" ref="K1457">INDEX(stable[is_supply_chain_dependent],MATCH(VALUE(questions[[#This Row],[qno]]),VALUE(stable[qno]),0))</f>
        <v>0</v>
      </c>
      <c r="L1457" s="9" t="b" cm="1">
        <f t="array" ref="L1457">INDEX(stable[is_mandatory],MATCH(VALUE(questions[[#This Row],[qno]]),VALUE(stable[qno]),0))</f>
        <v>0</v>
      </c>
      <c r="M1457" s="9" t="b" cm="1">
        <f t="array" ref="M1457">INDEX(stable[is_automated],MATCH(VALUE(questions[[#This Row],[qno]]),VALUE(stable[qno]),0))</f>
        <v>0</v>
      </c>
      <c r="N1457" s="9" t="b" cm="1">
        <f t="array" ref="N1457">INDEX(stable[is_free_text],MATCH(VALUE(questions[[#This Row],[qno]]),VALUE(stable[qno]),0))</f>
        <v>0</v>
      </c>
      <c r="O1457" s="9" t="b" cm="1">
        <f t="array" ref="O1457">INDEX(stable[is_numerical],MATCH(VALUE(questions[[#This Row],[qno]]),VALUE(stable[qno]),0))</f>
        <v>1</v>
      </c>
      <c r="P1457" s="9" t="b" cm="1">
        <f t="array" ref="P1457">INDEX(stable[is_single_select],MATCH(VALUE(questions[[#This Row],[qno]]),VALUE(stable[qno]),0))</f>
        <v>0</v>
      </c>
      <c r="Q1457" s="9" t="b" cm="1">
        <f t="array" ref="Q1457">INDEX(stable[is_multi_select],MATCH(VALUE(questions[[#This Row],[qno]]),VALUE(stable[qno]),0))</f>
        <v>0</v>
      </c>
      <c r="R1457" s="9" t="b" cm="1">
        <f t="array" ref="R1457">INDEX(stable[is_skip_logic],MATCH(VALUE(questions[[#This Row],[qno]]),VALUE(stable[qno]),0))</f>
        <v>1</v>
      </c>
      <c r="S1457" s="9" t="str">
        <f>_xlfn.TEXTJOIN(", ",TRUE,questions[[#This Row],[ans_opt_1]:[ans_opt_14]])</f>
        <v/>
      </c>
      <c r="AH1457" s="16" t="b">
        <f>INDEX(stable[q_standard],MATCH(questions[[#This Row],[qno]],stable[qno],0))</f>
        <v>0</v>
      </c>
      <c r="AI1457" s="16" t="b">
        <f>INDEX(stable[q_living_income],MATCH(questions[[#This Row],[qno]],stable[qno],0))</f>
        <v>1</v>
      </c>
      <c r="AJ1457" s="16" t="b">
        <f>INDEX(stable[q_carbon],MATCH(questions[[#This Row],[qno]],stable[qno],0))</f>
        <v>1</v>
      </c>
      <c r="AK1457" s="16" t="b">
        <f>INDEX(stable[q_regen_ag],MATCH(questions[[#This Row],[qno]],stable[qno],0))</f>
        <v>0</v>
      </c>
      <c r="AL1457" s="16" t="b">
        <f>COUNTIFS(stable[qno],questions[[#This Row],[qno]])=1</f>
        <v>1</v>
      </c>
      <c r="AM1457" s="16" t="b">
        <f>OR(questions[[#This Row],[is_fixed]],questions[[#This Row],[is_localized]],questions[[#This Row],[is_supply_chain_dependent]])</f>
        <v>1</v>
      </c>
      <c r="AN1457" s="16" t="b">
        <f>COUNTIFS(questions[[#This Row],[is_automated]:[is_multi_select]],TRUE)=1</f>
        <v>1</v>
      </c>
      <c r="AO1457" s="16" t="b">
        <f>IF(questions[[#This Row],[is_fixed]],questions[[#This Row],[question]]=INDEX(stable[question],MATCH(questions[[#This Row],[qno]],stable[qno],0)),TRUE)</f>
        <v>1</v>
      </c>
      <c r="AP1457" s="16" t="str">
        <f>LEFT(questions[[#This Row],[question]],similarity_range)</f>
        <v>If yes, how many typ</v>
      </c>
      <c r="AQ1457" s="16" t="str">
        <f>LEFT(INDEX(stable[question],MATCH(questions[[#This Row],[qno]],stable[qno],0)),similarity_range)</f>
        <v>If yes, how many typ</v>
      </c>
      <c r="AR1457" s="16" t="b">
        <f>questions[[#This Row],[question_first_characters]]=questions[[#This Row],[stability_first_characters]]</f>
        <v>1</v>
      </c>
      <c r="AS1457" s="16" t="b">
        <f>IF(OR(questions[[#This Row],[is_single_select]],questions[[#This Row],[is_multi_select]]),NOT(ISBLANK(questions[[#This Row],[answer_opt_combined]])),TRUE)</f>
        <v>1</v>
      </c>
    </row>
    <row r="1458" spans="1:45" ht="15.75" customHeight="1" x14ac:dyDescent="0.25">
      <c r="A1458" s="9" t="str">
        <f>_xlfn.TEXTJOIN("_",TRUE,questions[[#This Row],[origin]:[qno]])</f>
        <v>Brazil_Arabica_2025_5100</v>
      </c>
      <c r="B1458" s="9" t="s">
        <v>1025</v>
      </c>
      <c r="C1458" s="9" t="s">
        <v>59</v>
      </c>
      <c r="E1458" s="33">
        <v>2025</v>
      </c>
      <c r="F1458" s="19" t="s">
        <v>163</v>
      </c>
      <c r="G1458" s="15" t="s">
        <v>1031</v>
      </c>
      <c r="H1458" s="9" t="str" cm="1">
        <f t="array" ref="H1458">INDEX(stableR[question],MATCH(VALUE(questions[[#This Row],[qno]]),VALUE(stableR[qno]),0))</f>
        <v>What was the name of the synthetic fertilizer that you used most, last year?</v>
      </c>
      <c r="I1458" s="9" t="b" cm="1">
        <f t="array" ref="I1458">INDEX(stable[is_fixed],MATCH(VALUE(questions[[#This Row],[qno]]),VALUE(stable[qno]),0))</f>
        <v>0</v>
      </c>
      <c r="J1458" s="9" t="b" cm="1">
        <f t="array" ref="J1458">INDEX(stable[is_localized],MATCH(VALUE(questions[[#This Row],[qno]]),VALUE(stable[qno]),0))</f>
        <v>1</v>
      </c>
      <c r="K1458" s="9" t="b" cm="1">
        <f t="array" ref="K1458">INDEX(stable[is_supply_chain_dependent],MATCH(VALUE(questions[[#This Row],[qno]]),VALUE(stable[qno]),0))</f>
        <v>0</v>
      </c>
      <c r="L1458" s="9" t="b" cm="1">
        <f t="array" ref="L1458">INDEX(stable[is_mandatory],MATCH(VALUE(questions[[#This Row],[qno]]),VALUE(stable[qno]),0))</f>
        <v>0</v>
      </c>
      <c r="M1458" s="9" t="b" cm="1">
        <f t="array" ref="M1458">INDEX(stable[is_automated],MATCH(VALUE(questions[[#This Row],[qno]]),VALUE(stable[qno]),0))</f>
        <v>0</v>
      </c>
      <c r="N1458" s="9" t="b" cm="1">
        <f t="array" ref="N1458">INDEX(stable[is_free_text],MATCH(VALUE(questions[[#This Row],[qno]]),VALUE(stable[qno]),0))</f>
        <v>0</v>
      </c>
      <c r="O1458" s="9" t="b" cm="1">
        <f t="array" ref="O1458">INDEX(stable[is_numerical],MATCH(VALUE(questions[[#This Row],[qno]]),VALUE(stable[qno]),0))</f>
        <v>0</v>
      </c>
      <c r="P1458" s="9" t="b" cm="1">
        <f t="array" ref="P1458">INDEX(stable[is_single_select],MATCH(VALUE(questions[[#This Row],[qno]]),VALUE(stable[qno]),0))</f>
        <v>1</v>
      </c>
      <c r="Q1458" s="9" t="b" cm="1">
        <f t="array" ref="Q1458">INDEX(stable[is_multi_select],MATCH(VALUE(questions[[#This Row],[qno]]),VALUE(stable[qno]),0))</f>
        <v>0</v>
      </c>
      <c r="R1458" s="9" t="b" cm="1">
        <f t="array" ref="R1458">INDEX(stable[is_skip_logic],MATCH(VALUE(questions[[#This Row],[qno]]),VALUE(stable[qno]),0))</f>
        <v>1</v>
      </c>
      <c r="S1458" s="9" t="str">
        <f>_xlfn.TEXTJOIN(", ",TRUE,questions[[#This Row],[ans_opt_1]:[ans_opt_14]])</f>
        <v/>
      </c>
      <c r="AH1458" s="16" t="b">
        <f>INDEX(stable[q_standard],MATCH(questions[[#This Row],[qno]],stable[qno],0))</f>
        <v>0</v>
      </c>
      <c r="AI1458" s="16" t="b">
        <f>INDEX(stable[q_living_income],MATCH(questions[[#This Row],[qno]],stable[qno],0))</f>
        <v>1</v>
      </c>
      <c r="AJ1458" s="16" t="b">
        <f>INDEX(stable[q_carbon],MATCH(questions[[#This Row],[qno]],stable[qno],0))</f>
        <v>1</v>
      </c>
      <c r="AK1458" s="16" t="b">
        <f>INDEX(stable[q_regen_ag],MATCH(questions[[#This Row],[qno]],stable[qno],0))</f>
        <v>0</v>
      </c>
      <c r="AL1458" s="16" t="b">
        <f>COUNTIFS(stable[qno],questions[[#This Row],[qno]])=1</f>
        <v>1</v>
      </c>
      <c r="AM1458" s="16" t="b">
        <f>OR(questions[[#This Row],[is_fixed]],questions[[#This Row],[is_localized]],questions[[#This Row],[is_supply_chain_dependent]])</f>
        <v>1</v>
      </c>
      <c r="AN1458" s="16" t="b">
        <f>COUNTIFS(questions[[#This Row],[is_automated]:[is_multi_select]],TRUE)=1</f>
        <v>1</v>
      </c>
      <c r="AO1458" s="16" t="b">
        <f>IF(questions[[#This Row],[is_fixed]],questions[[#This Row],[question]]=INDEX(stable[question],MATCH(questions[[#This Row],[qno]],stable[qno],0)),TRUE)</f>
        <v>1</v>
      </c>
      <c r="AP1458" s="16" t="str">
        <f>LEFT(questions[[#This Row],[question]],similarity_range)</f>
        <v xml:space="preserve">What is the name of </v>
      </c>
      <c r="AQ1458" s="16" t="str">
        <f>LEFT(INDEX(stable[question],MATCH(questions[[#This Row],[qno]],stable[qno],0)),similarity_range)</f>
        <v xml:space="preserve">What is the name of </v>
      </c>
      <c r="AR1458" s="16" t="b">
        <f>questions[[#This Row],[question_first_characters]]=questions[[#This Row],[stability_first_characters]]</f>
        <v>1</v>
      </c>
      <c r="AS1458" s="16" t="b">
        <f>IF(OR(questions[[#This Row],[is_single_select]],questions[[#This Row],[is_multi_select]]),NOT(ISBLANK(questions[[#This Row],[answer_opt_combined]])),TRUE)</f>
        <v>1</v>
      </c>
    </row>
    <row r="1459" spans="1:45" ht="15.75" customHeight="1" x14ac:dyDescent="0.25">
      <c r="A1459" s="9" t="str">
        <f>_xlfn.TEXTJOIN("_",TRUE,questions[[#This Row],[origin]:[qno]])</f>
        <v>Brazil_Arabica_2025_5101</v>
      </c>
      <c r="B1459" s="9" t="s">
        <v>1025</v>
      </c>
      <c r="C1459" s="9" t="s">
        <v>59</v>
      </c>
      <c r="E1459" s="33">
        <v>2025</v>
      </c>
      <c r="F1459" s="19" t="s">
        <v>165</v>
      </c>
      <c r="G1459" s="15" t="s">
        <v>745</v>
      </c>
      <c r="H1459" s="9" t="str" cm="1">
        <f t="array" ref="H1459">INDEX(stableR[question],MATCH(VALUE(questions[[#This Row],[qno]]),VALUE(stableR[qno]),0))</f>
        <v>What was the total quantity of the synthetic fertilizer that you used most, last year? (Kg)</v>
      </c>
      <c r="I1459" s="9" t="b" cm="1">
        <f t="array" ref="I1459">INDEX(stable[is_fixed],MATCH(VALUE(questions[[#This Row],[qno]]),VALUE(stable[qno]),0))</f>
        <v>0</v>
      </c>
      <c r="J1459" s="9" t="b" cm="1">
        <f t="array" ref="J1459">INDEX(stable[is_localized],MATCH(VALUE(questions[[#This Row],[qno]]),VALUE(stable[qno]),0))</f>
        <v>1</v>
      </c>
      <c r="K1459" s="9" t="b" cm="1">
        <f t="array" ref="K1459">INDEX(stable[is_supply_chain_dependent],MATCH(VALUE(questions[[#This Row],[qno]]),VALUE(stable[qno]),0))</f>
        <v>0</v>
      </c>
      <c r="L1459" s="9" t="b" cm="1">
        <f t="array" ref="L1459">INDEX(stable[is_mandatory],MATCH(VALUE(questions[[#This Row],[qno]]),VALUE(stable[qno]),0))</f>
        <v>0</v>
      </c>
      <c r="M1459" s="9" t="b" cm="1">
        <f t="array" ref="M1459">INDEX(stable[is_automated],MATCH(VALUE(questions[[#This Row],[qno]]),VALUE(stable[qno]),0))</f>
        <v>0</v>
      </c>
      <c r="N1459" s="9" t="b" cm="1">
        <f t="array" ref="N1459">INDEX(stable[is_free_text],MATCH(VALUE(questions[[#This Row],[qno]]),VALUE(stable[qno]),0))</f>
        <v>0</v>
      </c>
      <c r="O1459" s="9" t="b" cm="1">
        <f t="array" ref="O1459">INDEX(stable[is_numerical],MATCH(VALUE(questions[[#This Row],[qno]]),VALUE(stable[qno]),0))</f>
        <v>1</v>
      </c>
      <c r="P1459" s="9" t="b" cm="1">
        <f t="array" ref="P1459">INDEX(stable[is_single_select],MATCH(VALUE(questions[[#This Row],[qno]]),VALUE(stable[qno]),0))</f>
        <v>0</v>
      </c>
      <c r="Q1459" s="9" t="b" cm="1">
        <f t="array" ref="Q1459">INDEX(stable[is_multi_select],MATCH(VALUE(questions[[#This Row],[qno]]),VALUE(stable[qno]),0))</f>
        <v>0</v>
      </c>
      <c r="R1459" s="9" t="b" cm="1">
        <f t="array" ref="R1459">INDEX(stable[is_skip_logic],MATCH(VALUE(questions[[#This Row],[qno]]),VALUE(stable[qno]),0))</f>
        <v>1</v>
      </c>
      <c r="S1459" s="9" t="str">
        <f>_xlfn.TEXTJOIN(", ",TRUE,questions[[#This Row],[ans_opt_1]:[ans_opt_14]])</f>
        <v/>
      </c>
      <c r="AH1459" s="16" t="b">
        <f>INDEX(stable[q_standard],MATCH(questions[[#This Row],[qno]],stable[qno],0))</f>
        <v>0</v>
      </c>
      <c r="AI1459" s="16" t="b">
        <f>INDEX(stable[q_living_income],MATCH(questions[[#This Row],[qno]],stable[qno],0))</f>
        <v>1</v>
      </c>
      <c r="AJ1459" s="16" t="b">
        <f>INDEX(stable[q_carbon],MATCH(questions[[#This Row],[qno]],stable[qno],0))</f>
        <v>1</v>
      </c>
      <c r="AK1459" s="16" t="b">
        <f>INDEX(stable[q_regen_ag],MATCH(questions[[#This Row],[qno]],stable[qno],0))</f>
        <v>0</v>
      </c>
      <c r="AL1459" s="16" t="b">
        <f>COUNTIFS(stable[qno],questions[[#This Row],[qno]])=1</f>
        <v>1</v>
      </c>
      <c r="AM1459" s="16" t="b">
        <f>OR(questions[[#This Row],[is_fixed]],questions[[#This Row],[is_localized]],questions[[#This Row],[is_supply_chain_dependent]])</f>
        <v>1</v>
      </c>
      <c r="AN1459" s="16" t="b">
        <f>COUNTIFS(questions[[#This Row],[is_automated]:[is_multi_select]],TRUE)=1</f>
        <v>1</v>
      </c>
      <c r="AO1459" s="16" t="b">
        <f>IF(questions[[#This Row],[is_fixed]],questions[[#This Row],[question]]=INDEX(stable[question],MATCH(questions[[#This Row],[qno]],stable[qno],0)),TRUE)</f>
        <v>1</v>
      </c>
      <c r="AP1459" s="16" t="str">
        <f>LEFT(questions[[#This Row],[question]],similarity_range)</f>
        <v>What was the total q</v>
      </c>
      <c r="AQ1459" s="16" t="str">
        <f>LEFT(INDEX(stable[question],MATCH(questions[[#This Row],[qno]],stable[qno],0)),similarity_range)</f>
        <v>What was the total q</v>
      </c>
      <c r="AR1459" s="16" t="b">
        <f>questions[[#This Row],[question_first_characters]]=questions[[#This Row],[stability_first_characters]]</f>
        <v>1</v>
      </c>
      <c r="AS1459" s="16" t="b">
        <f>IF(OR(questions[[#This Row],[is_single_select]],questions[[#This Row],[is_multi_select]]),NOT(ISBLANK(questions[[#This Row],[answer_opt_combined]])),TRUE)</f>
        <v>1</v>
      </c>
    </row>
    <row r="1460" spans="1:45" ht="15.75" customHeight="1" x14ac:dyDescent="0.25">
      <c r="A1460" s="9" t="str">
        <f>_xlfn.TEXTJOIN("_",TRUE,questions[[#This Row],[origin]:[qno]])</f>
        <v>Brazil_Arabica_2025_5110</v>
      </c>
      <c r="B1460" s="9" t="s">
        <v>1025</v>
      </c>
      <c r="C1460" s="9" t="s">
        <v>59</v>
      </c>
      <c r="E1460" s="33">
        <v>2025</v>
      </c>
      <c r="F1460" s="19" t="s">
        <v>167</v>
      </c>
      <c r="G1460" s="15" t="s">
        <v>1019</v>
      </c>
      <c r="H1460" s="9" t="str" cm="1">
        <f t="array" ref="H1460">INDEX(stableR[question],MATCH(VALUE(questions[[#This Row],[qno]]),VALUE(stableR[qno]),0))</f>
        <v>What was the name of the synthetic fertilizer that you used second most, last year?</v>
      </c>
      <c r="I1460" s="9" t="b" cm="1">
        <f t="array" ref="I1460">INDEX(stable[is_fixed],MATCH(VALUE(questions[[#This Row],[qno]]),VALUE(stable[qno]),0))</f>
        <v>0</v>
      </c>
      <c r="J1460" s="9" t="b" cm="1">
        <f t="array" ref="J1460">INDEX(stable[is_localized],MATCH(VALUE(questions[[#This Row],[qno]]),VALUE(stable[qno]),0))</f>
        <v>1</v>
      </c>
      <c r="K1460" s="9" t="b" cm="1">
        <f t="array" ref="K1460">INDEX(stable[is_supply_chain_dependent],MATCH(VALUE(questions[[#This Row],[qno]]),VALUE(stable[qno]),0))</f>
        <v>0</v>
      </c>
      <c r="L1460" s="9" t="b" cm="1">
        <f t="array" ref="L1460">INDEX(stable[is_mandatory],MATCH(VALUE(questions[[#This Row],[qno]]),VALUE(stable[qno]),0))</f>
        <v>0</v>
      </c>
      <c r="M1460" s="9" t="b" cm="1">
        <f t="array" ref="M1460">INDEX(stable[is_automated],MATCH(VALUE(questions[[#This Row],[qno]]),VALUE(stable[qno]),0))</f>
        <v>0</v>
      </c>
      <c r="N1460" s="9" t="b" cm="1">
        <f t="array" ref="N1460">INDEX(stable[is_free_text],MATCH(VALUE(questions[[#This Row],[qno]]),VALUE(stable[qno]),0))</f>
        <v>0</v>
      </c>
      <c r="O1460" s="9" t="b" cm="1">
        <f t="array" ref="O1460">INDEX(stable[is_numerical],MATCH(VALUE(questions[[#This Row],[qno]]),VALUE(stable[qno]),0))</f>
        <v>0</v>
      </c>
      <c r="P1460" s="9" t="b" cm="1">
        <f t="array" ref="P1460">INDEX(stable[is_single_select],MATCH(VALUE(questions[[#This Row],[qno]]),VALUE(stable[qno]),0))</f>
        <v>1</v>
      </c>
      <c r="Q1460" s="9" t="b" cm="1">
        <f t="array" ref="Q1460">INDEX(stable[is_multi_select],MATCH(VALUE(questions[[#This Row],[qno]]),VALUE(stable[qno]),0))</f>
        <v>0</v>
      </c>
      <c r="R1460" s="9" t="b" cm="1">
        <f t="array" ref="R1460">INDEX(stable[is_skip_logic],MATCH(VALUE(questions[[#This Row],[qno]]),VALUE(stable[qno]),0))</f>
        <v>1</v>
      </c>
      <c r="S1460" s="9" t="str">
        <f>_xlfn.TEXTJOIN(", ",TRUE,questions[[#This Row],[ans_opt_1]:[ans_opt_14]])</f>
        <v/>
      </c>
      <c r="AH1460" s="16" t="b">
        <f>INDEX(stable[q_standard],MATCH(questions[[#This Row],[qno]],stable[qno],0))</f>
        <v>0</v>
      </c>
      <c r="AI1460" s="16" t="b">
        <f>INDEX(stable[q_living_income],MATCH(questions[[#This Row],[qno]],stable[qno],0))</f>
        <v>1</v>
      </c>
      <c r="AJ1460" s="16" t="b">
        <f>INDEX(stable[q_carbon],MATCH(questions[[#This Row],[qno]],stable[qno],0))</f>
        <v>1</v>
      </c>
      <c r="AK1460" s="16" t="b">
        <f>INDEX(stable[q_regen_ag],MATCH(questions[[#This Row],[qno]],stable[qno],0))</f>
        <v>0</v>
      </c>
      <c r="AL1460" s="16" t="b">
        <f>COUNTIFS(stable[qno],questions[[#This Row],[qno]])=1</f>
        <v>1</v>
      </c>
      <c r="AM1460" s="16" t="b">
        <f>OR(questions[[#This Row],[is_fixed]],questions[[#This Row],[is_localized]],questions[[#This Row],[is_supply_chain_dependent]])</f>
        <v>1</v>
      </c>
      <c r="AN1460" s="16" t="b">
        <f>COUNTIFS(questions[[#This Row],[is_automated]:[is_multi_select]],TRUE)=1</f>
        <v>1</v>
      </c>
      <c r="AO1460" s="16" t="b">
        <f>IF(questions[[#This Row],[is_fixed]],questions[[#This Row],[question]]=INDEX(stable[question],MATCH(questions[[#This Row],[qno]],stable[qno],0)),TRUE)</f>
        <v>1</v>
      </c>
      <c r="AP1460" s="16" t="str">
        <f>LEFT(questions[[#This Row],[question]],similarity_range)</f>
        <v xml:space="preserve">What is the name of </v>
      </c>
      <c r="AQ1460" s="16" t="str">
        <f>LEFT(INDEX(stable[question],MATCH(questions[[#This Row],[qno]],stable[qno],0)),similarity_range)</f>
        <v xml:space="preserve">What is the name of </v>
      </c>
      <c r="AR1460" s="16" t="b">
        <f>questions[[#This Row],[question_first_characters]]=questions[[#This Row],[stability_first_characters]]</f>
        <v>1</v>
      </c>
      <c r="AS1460" s="16" t="b">
        <f>IF(OR(questions[[#This Row],[is_single_select]],questions[[#This Row],[is_multi_select]]),NOT(ISBLANK(questions[[#This Row],[answer_opt_combined]])),TRUE)</f>
        <v>1</v>
      </c>
    </row>
    <row r="1461" spans="1:45" ht="15.75" customHeight="1" x14ac:dyDescent="0.25">
      <c r="A1461" s="9" t="str">
        <f>_xlfn.TEXTJOIN("_",TRUE,questions[[#This Row],[origin]:[qno]])</f>
        <v>Brazil_Arabica_2025_5111</v>
      </c>
      <c r="B1461" s="9" t="s">
        <v>1025</v>
      </c>
      <c r="C1461" s="9" t="s">
        <v>59</v>
      </c>
      <c r="E1461" s="33">
        <v>2025</v>
      </c>
      <c r="F1461" s="19" t="s">
        <v>169</v>
      </c>
      <c r="G1461" s="15" t="s">
        <v>748</v>
      </c>
      <c r="H1461" s="9" t="str" cm="1">
        <f t="array" ref="H1461">INDEX(stableR[question],MATCH(VALUE(questions[[#This Row],[qno]]),VALUE(stableR[qno]),0))</f>
        <v>What was the total quantity of the synthetic fertilizer that you used second most, last year? (Kg)</v>
      </c>
      <c r="I1461" s="9" t="b" cm="1">
        <f t="array" ref="I1461">INDEX(stable[is_fixed],MATCH(VALUE(questions[[#This Row],[qno]]),VALUE(stable[qno]),0))</f>
        <v>0</v>
      </c>
      <c r="J1461" s="9" t="b" cm="1">
        <f t="array" ref="J1461">INDEX(stable[is_localized],MATCH(VALUE(questions[[#This Row],[qno]]),VALUE(stable[qno]),0))</f>
        <v>1</v>
      </c>
      <c r="K1461" s="9" t="b" cm="1">
        <f t="array" ref="K1461">INDEX(stable[is_supply_chain_dependent],MATCH(VALUE(questions[[#This Row],[qno]]),VALUE(stable[qno]),0))</f>
        <v>0</v>
      </c>
      <c r="L1461" s="9" t="b" cm="1">
        <f t="array" ref="L1461">INDEX(stable[is_mandatory],MATCH(VALUE(questions[[#This Row],[qno]]),VALUE(stable[qno]),0))</f>
        <v>0</v>
      </c>
      <c r="M1461" s="9" t="b" cm="1">
        <f t="array" ref="M1461">INDEX(stable[is_automated],MATCH(VALUE(questions[[#This Row],[qno]]),VALUE(stable[qno]),0))</f>
        <v>0</v>
      </c>
      <c r="N1461" s="9" t="b" cm="1">
        <f t="array" ref="N1461">INDEX(stable[is_free_text],MATCH(VALUE(questions[[#This Row],[qno]]),VALUE(stable[qno]),0))</f>
        <v>0</v>
      </c>
      <c r="O1461" s="9" t="b" cm="1">
        <f t="array" ref="O1461">INDEX(stable[is_numerical],MATCH(VALUE(questions[[#This Row],[qno]]),VALUE(stable[qno]),0))</f>
        <v>1</v>
      </c>
      <c r="P1461" s="9" t="b" cm="1">
        <f t="array" ref="P1461">INDEX(stable[is_single_select],MATCH(VALUE(questions[[#This Row],[qno]]),VALUE(stable[qno]),0))</f>
        <v>0</v>
      </c>
      <c r="Q1461" s="9" t="b" cm="1">
        <f t="array" ref="Q1461">INDEX(stable[is_multi_select],MATCH(VALUE(questions[[#This Row],[qno]]),VALUE(stable[qno]),0))</f>
        <v>0</v>
      </c>
      <c r="R1461" s="9" t="b" cm="1">
        <f t="array" ref="R1461">INDEX(stable[is_skip_logic],MATCH(VALUE(questions[[#This Row],[qno]]),VALUE(stable[qno]),0))</f>
        <v>1</v>
      </c>
      <c r="S1461" s="9" t="str">
        <f>_xlfn.TEXTJOIN(", ",TRUE,questions[[#This Row],[ans_opt_1]:[ans_opt_14]])</f>
        <v/>
      </c>
      <c r="AH1461" s="16" t="b">
        <f>INDEX(stable[q_standard],MATCH(questions[[#This Row],[qno]],stable[qno],0))</f>
        <v>0</v>
      </c>
      <c r="AI1461" s="16" t="b">
        <f>INDEX(stable[q_living_income],MATCH(questions[[#This Row],[qno]],stable[qno],0))</f>
        <v>1</v>
      </c>
      <c r="AJ1461" s="16" t="b">
        <f>INDEX(stable[q_carbon],MATCH(questions[[#This Row],[qno]],stable[qno],0))</f>
        <v>1</v>
      </c>
      <c r="AK1461" s="16" t="b">
        <f>INDEX(stable[q_regen_ag],MATCH(questions[[#This Row],[qno]],stable[qno],0))</f>
        <v>0</v>
      </c>
      <c r="AL1461" s="16" t="b">
        <f>COUNTIFS(stable[qno],questions[[#This Row],[qno]])=1</f>
        <v>1</v>
      </c>
      <c r="AM1461" s="16" t="b">
        <f>OR(questions[[#This Row],[is_fixed]],questions[[#This Row],[is_localized]],questions[[#This Row],[is_supply_chain_dependent]])</f>
        <v>1</v>
      </c>
      <c r="AN1461" s="16" t="b">
        <f>COUNTIFS(questions[[#This Row],[is_automated]:[is_multi_select]],TRUE)=1</f>
        <v>1</v>
      </c>
      <c r="AO1461" s="16" t="b">
        <f>IF(questions[[#This Row],[is_fixed]],questions[[#This Row],[question]]=INDEX(stable[question],MATCH(questions[[#This Row],[qno]],stable[qno],0)),TRUE)</f>
        <v>1</v>
      </c>
      <c r="AP1461" s="16" t="str">
        <f>LEFT(questions[[#This Row],[question]],similarity_range)</f>
        <v>What was the total q</v>
      </c>
      <c r="AQ1461" s="16" t="str">
        <f>LEFT(INDEX(stable[question],MATCH(questions[[#This Row],[qno]],stable[qno],0)),similarity_range)</f>
        <v>What was the total q</v>
      </c>
      <c r="AR1461" s="16" t="b">
        <f>questions[[#This Row],[question_first_characters]]=questions[[#This Row],[stability_first_characters]]</f>
        <v>1</v>
      </c>
      <c r="AS1461" s="16" t="b">
        <f>IF(OR(questions[[#This Row],[is_single_select]],questions[[#This Row],[is_multi_select]]),NOT(ISBLANK(questions[[#This Row],[answer_opt_combined]])),TRUE)</f>
        <v>1</v>
      </c>
    </row>
    <row r="1462" spans="1:45" ht="15.75" customHeight="1" x14ac:dyDescent="0.25">
      <c r="A1462" s="9" t="str">
        <f>_xlfn.TEXTJOIN("_",TRUE,questions[[#This Row],[origin]:[qno]])</f>
        <v>Brazil_Arabica_2025_5120</v>
      </c>
      <c r="B1462" s="9" t="s">
        <v>1025</v>
      </c>
      <c r="C1462" s="9" t="s">
        <v>59</v>
      </c>
      <c r="E1462" s="33">
        <v>2025</v>
      </c>
      <c r="F1462" s="19" t="s">
        <v>683</v>
      </c>
      <c r="G1462" s="15" t="s">
        <v>1032</v>
      </c>
      <c r="H1462" s="9" t="str" cm="1">
        <f t="array" ref="H1462">INDEX(stableR[question],MATCH(VALUE(questions[[#This Row],[qno]]),VALUE(stableR[qno]),0))</f>
        <v>What was the name of the synthetic fertilizer that you used third most, last year?</v>
      </c>
      <c r="I1462" s="9" t="b" cm="1">
        <f t="array" ref="I1462">INDEX(stable[is_fixed],MATCH(VALUE(questions[[#This Row],[qno]]),VALUE(stable[qno]),0))</f>
        <v>0</v>
      </c>
      <c r="J1462" s="9" t="b" cm="1">
        <f t="array" ref="J1462">INDEX(stable[is_localized],MATCH(VALUE(questions[[#This Row],[qno]]),VALUE(stable[qno]),0))</f>
        <v>1</v>
      </c>
      <c r="K1462" s="9" t="b" cm="1">
        <f t="array" ref="K1462">INDEX(stable[is_supply_chain_dependent],MATCH(VALUE(questions[[#This Row],[qno]]),VALUE(stable[qno]),0))</f>
        <v>1</v>
      </c>
      <c r="L1462" s="9" t="b" cm="1">
        <f t="array" ref="L1462">INDEX(stable[is_mandatory],MATCH(VALUE(questions[[#This Row],[qno]]),VALUE(stable[qno]),0))</f>
        <v>0</v>
      </c>
      <c r="M1462" s="9" t="b" cm="1">
        <f t="array" ref="M1462">INDEX(stable[is_automated],MATCH(VALUE(questions[[#This Row],[qno]]),VALUE(stable[qno]),0))</f>
        <v>0</v>
      </c>
      <c r="N1462" s="9" t="b" cm="1">
        <f t="array" ref="N1462">INDEX(stable[is_free_text],MATCH(VALUE(questions[[#This Row],[qno]]),VALUE(stable[qno]),0))</f>
        <v>1</v>
      </c>
      <c r="O1462" s="9" t="b" cm="1">
        <f t="array" ref="O1462">INDEX(stable[is_numerical],MATCH(VALUE(questions[[#This Row],[qno]]),VALUE(stable[qno]),0))</f>
        <v>0</v>
      </c>
      <c r="P1462" s="9" t="b" cm="1">
        <f t="array" ref="P1462">INDEX(stable[is_single_select],MATCH(VALUE(questions[[#This Row],[qno]]),VALUE(stable[qno]),0))</f>
        <v>0</v>
      </c>
      <c r="Q1462" s="9" t="b" cm="1">
        <f t="array" ref="Q1462">INDEX(stable[is_multi_select],MATCH(VALUE(questions[[#This Row],[qno]]),VALUE(stable[qno]),0))</f>
        <v>0</v>
      </c>
      <c r="R1462" s="9" t="b" cm="1">
        <f t="array" ref="R1462">INDEX(stable[is_skip_logic],MATCH(VALUE(questions[[#This Row],[qno]]),VALUE(stable[qno]),0))</f>
        <v>1</v>
      </c>
      <c r="S1462" s="9" t="str">
        <f>_xlfn.TEXTJOIN(", ",TRUE,questions[[#This Row],[ans_opt_1]:[ans_opt_14]])</f>
        <v/>
      </c>
      <c r="AH1462" s="16" t="b">
        <f>INDEX(stable[q_standard],MATCH(questions[[#This Row],[qno]],stable[qno],0))</f>
        <v>0</v>
      </c>
      <c r="AI1462" s="16" t="b">
        <f>INDEX(stable[q_living_income],MATCH(questions[[#This Row],[qno]],stable[qno],0))</f>
        <v>1</v>
      </c>
      <c r="AJ1462" s="16" t="b">
        <f>INDEX(stable[q_carbon],MATCH(questions[[#This Row],[qno]],stable[qno],0))</f>
        <v>1</v>
      </c>
      <c r="AK1462" s="16" t="b">
        <f>INDEX(stable[q_regen_ag],MATCH(questions[[#This Row],[qno]],stable[qno],0))</f>
        <v>0</v>
      </c>
      <c r="AL1462" s="16" t="b">
        <f>COUNTIFS(stable[qno],questions[[#This Row],[qno]])=1</f>
        <v>1</v>
      </c>
      <c r="AM1462" s="16" t="b">
        <f>OR(questions[[#This Row],[is_fixed]],questions[[#This Row],[is_localized]],questions[[#This Row],[is_supply_chain_dependent]])</f>
        <v>1</v>
      </c>
      <c r="AN1462" s="16" t="b">
        <f>COUNTIFS(questions[[#This Row],[is_automated]:[is_multi_select]],TRUE)=1</f>
        <v>1</v>
      </c>
      <c r="AO1462" s="16" t="b">
        <f>IF(questions[[#This Row],[is_fixed]],questions[[#This Row],[question]]=INDEX(stable[question],MATCH(questions[[#This Row],[qno]],stable[qno],0)),TRUE)</f>
        <v>1</v>
      </c>
      <c r="AP1462" s="16" t="str">
        <f>LEFT(questions[[#This Row],[question]],similarity_range)</f>
        <v xml:space="preserve">What is the name of </v>
      </c>
      <c r="AQ1462" s="16" t="str">
        <f>LEFT(INDEX(stable[question],MATCH(questions[[#This Row],[qno]],stable[qno],0)),similarity_range)</f>
        <v xml:space="preserve">What is the name of </v>
      </c>
      <c r="AR1462" s="16" t="b">
        <f>questions[[#This Row],[question_first_characters]]=questions[[#This Row],[stability_first_characters]]</f>
        <v>1</v>
      </c>
      <c r="AS1462" s="16" t="b">
        <f>IF(OR(questions[[#This Row],[is_single_select]],questions[[#This Row],[is_multi_select]]),NOT(ISBLANK(questions[[#This Row],[answer_opt_combined]])),TRUE)</f>
        <v>1</v>
      </c>
    </row>
    <row r="1463" spans="1:45" ht="15.75" customHeight="1" x14ac:dyDescent="0.25">
      <c r="A1463" s="9" t="str">
        <f>_xlfn.TEXTJOIN("_",TRUE,questions[[#This Row],[origin]:[qno]])</f>
        <v>Brazil_Arabica_2025_5121</v>
      </c>
      <c r="B1463" s="9" t="s">
        <v>1025</v>
      </c>
      <c r="C1463" s="9" t="s">
        <v>59</v>
      </c>
      <c r="E1463" s="33">
        <v>2025</v>
      </c>
      <c r="F1463" s="19" t="s">
        <v>173</v>
      </c>
      <c r="G1463" s="15" t="s">
        <v>964</v>
      </c>
      <c r="H1463" s="9" t="str" cm="1">
        <f t="array" ref="H1463">INDEX(stableR[question],MATCH(VALUE(questions[[#This Row],[qno]]),VALUE(stableR[qno]),0))</f>
        <v>What was the total quantity of the synthetic fertilizer that you used third most, last year? (Kg)</v>
      </c>
      <c r="I1463" s="9" t="b" cm="1">
        <f t="array" ref="I1463">INDEX(stable[is_fixed],MATCH(VALUE(questions[[#This Row],[qno]]),VALUE(stable[qno]),0))</f>
        <v>0</v>
      </c>
      <c r="J1463" s="9" t="b" cm="1">
        <f t="array" ref="J1463">INDEX(stable[is_localized],MATCH(VALUE(questions[[#This Row],[qno]]),VALUE(stable[qno]),0))</f>
        <v>1</v>
      </c>
      <c r="K1463" s="9" t="b" cm="1">
        <f t="array" ref="K1463">INDEX(stable[is_supply_chain_dependent],MATCH(VALUE(questions[[#This Row],[qno]]),VALUE(stable[qno]),0))</f>
        <v>1</v>
      </c>
      <c r="L1463" s="9" t="b" cm="1">
        <f t="array" ref="L1463">INDEX(stable[is_mandatory],MATCH(VALUE(questions[[#This Row],[qno]]),VALUE(stable[qno]),0))</f>
        <v>0</v>
      </c>
      <c r="M1463" s="9" t="b" cm="1">
        <f t="array" ref="M1463">INDEX(stable[is_automated],MATCH(VALUE(questions[[#This Row],[qno]]),VALUE(stable[qno]),0))</f>
        <v>0</v>
      </c>
      <c r="N1463" s="9" t="b" cm="1">
        <f t="array" ref="N1463">INDEX(stable[is_free_text],MATCH(VALUE(questions[[#This Row],[qno]]),VALUE(stable[qno]),0))</f>
        <v>0</v>
      </c>
      <c r="O1463" s="9" t="b" cm="1">
        <f t="array" ref="O1463">INDEX(stable[is_numerical],MATCH(VALUE(questions[[#This Row],[qno]]),VALUE(stable[qno]),0))</f>
        <v>1</v>
      </c>
      <c r="P1463" s="9" t="b" cm="1">
        <f t="array" ref="P1463">INDEX(stable[is_single_select],MATCH(VALUE(questions[[#This Row],[qno]]),VALUE(stable[qno]),0))</f>
        <v>0</v>
      </c>
      <c r="Q1463" s="9" t="b" cm="1">
        <f t="array" ref="Q1463">INDEX(stable[is_multi_select],MATCH(VALUE(questions[[#This Row],[qno]]),VALUE(stable[qno]),0))</f>
        <v>0</v>
      </c>
      <c r="R1463" s="9" t="b" cm="1">
        <f t="array" ref="R1463">INDEX(stable[is_skip_logic],MATCH(VALUE(questions[[#This Row],[qno]]),VALUE(stable[qno]),0))</f>
        <v>1</v>
      </c>
      <c r="S1463" s="9" t="str">
        <f>_xlfn.TEXTJOIN(", ",TRUE,questions[[#This Row],[ans_opt_1]:[ans_opt_14]])</f>
        <v/>
      </c>
      <c r="AH1463" s="16" t="b">
        <f>INDEX(stable[q_standard],MATCH(questions[[#This Row],[qno]],stable[qno],0))</f>
        <v>0</v>
      </c>
      <c r="AI1463" s="16" t="b">
        <f>INDEX(stable[q_living_income],MATCH(questions[[#This Row],[qno]],stable[qno],0))</f>
        <v>1</v>
      </c>
      <c r="AJ1463" s="16" t="b">
        <f>INDEX(stable[q_carbon],MATCH(questions[[#This Row],[qno]],stable[qno],0))</f>
        <v>1</v>
      </c>
      <c r="AK1463" s="16" t="b">
        <f>INDEX(stable[q_regen_ag],MATCH(questions[[#This Row],[qno]],stable[qno],0))</f>
        <v>0</v>
      </c>
      <c r="AL1463" s="16" t="b">
        <f>COUNTIFS(stable[qno],questions[[#This Row],[qno]])=1</f>
        <v>1</v>
      </c>
      <c r="AM1463" s="16" t="b">
        <f>OR(questions[[#This Row],[is_fixed]],questions[[#This Row],[is_localized]],questions[[#This Row],[is_supply_chain_dependent]])</f>
        <v>1</v>
      </c>
      <c r="AN1463" s="16" t="b">
        <f>COUNTIFS(questions[[#This Row],[is_automated]:[is_multi_select]],TRUE)=1</f>
        <v>1</v>
      </c>
      <c r="AO1463" s="16" t="b">
        <f>IF(questions[[#This Row],[is_fixed]],questions[[#This Row],[question]]=INDEX(stable[question],MATCH(questions[[#This Row],[qno]],stable[qno],0)),TRUE)</f>
        <v>1</v>
      </c>
      <c r="AP1463" s="16" t="str">
        <f>LEFT(questions[[#This Row],[question]],similarity_range)</f>
        <v>What was the total q</v>
      </c>
      <c r="AQ1463" s="16" t="str">
        <f>LEFT(INDEX(stable[question],MATCH(questions[[#This Row],[qno]],stable[qno],0)),similarity_range)</f>
        <v>What was the total q</v>
      </c>
      <c r="AR1463" s="16" t="b">
        <f>questions[[#This Row],[question_first_characters]]=questions[[#This Row],[stability_first_characters]]</f>
        <v>1</v>
      </c>
      <c r="AS1463" s="16" t="b">
        <f>IF(OR(questions[[#This Row],[is_single_select]],questions[[#This Row],[is_multi_select]]),NOT(ISBLANK(questions[[#This Row],[answer_opt_combined]])),TRUE)</f>
        <v>1</v>
      </c>
    </row>
    <row r="1464" spans="1:45" ht="15.75" customHeight="1" x14ac:dyDescent="0.25">
      <c r="A1464" s="9" t="str">
        <f>_xlfn.TEXTJOIN("_",TRUE,questions[[#This Row],[origin]:[qno]])</f>
        <v>Brazil_Arabica_2025_5130</v>
      </c>
      <c r="B1464" s="9" t="s">
        <v>1025</v>
      </c>
      <c r="C1464" s="9" t="s">
        <v>59</v>
      </c>
      <c r="E1464" s="33">
        <v>2025</v>
      </c>
      <c r="F1464" s="19" t="s">
        <v>688</v>
      </c>
      <c r="G1464" s="15" t="s">
        <v>1033</v>
      </c>
      <c r="H1464" s="9" t="str" cm="1">
        <f t="array" ref="H1464">INDEX(stableR[question],MATCH(VALUE(questions[[#This Row],[qno]]),VALUE(stableR[qno]),0))</f>
        <v>What was the name of the synthetic fertilizer that you used fourth most, last year?</v>
      </c>
      <c r="I1464" s="9" t="b" cm="1">
        <f t="array" ref="I1464">INDEX(stable[is_fixed],MATCH(VALUE(questions[[#This Row],[qno]]),VALUE(stable[qno]),0))</f>
        <v>0</v>
      </c>
      <c r="J1464" s="9" t="b" cm="1">
        <f t="array" ref="J1464">INDEX(stable[is_localized],MATCH(VALUE(questions[[#This Row],[qno]]),VALUE(stable[qno]),0))</f>
        <v>1</v>
      </c>
      <c r="K1464" s="9" t="b" cm="1">
        <f t="array" ref="K1464">INDEX(stable[is_supply_chain_dependent],MATCH(VALUE(questions[[#This Row],[qno]]),VALUE(stable[qno]),0))</f>
        <v>0</v>
      </c>
      <c r="L1464" s="9" t="b" cm="1">
        <f t="array" ref="L1464">INDEX(stable[is_mandatory],MATCH(VALUE(questions[[#This Row],[qno]]),VALUE(stable[qno]),0))</f>
        <v>0</v>
      </c>
      <c r="M1464" s="9" t="b" cm="1">
        <f t="array" ref="M1464">INDEX(stable[is_automated],MATCH(VALUE(questions[[#This Row],[qno]]),VALUE(stable[qno]),0))</f>
        <v>0</v>
      </c>
      <c r="N1464" s="9" t="b" cm="1">
        <f t="array" ref="N1464">INDEX(stable[is_free_text],MATCH(VALUE(questions[[#This Row],[qno]]),VALUE(stable[qno]),0))</f>
        <v>1</v>
      </c>
      <c r="O1464" s="9" t="b" cm="1">
        <f t="array" ref="O1464">INDEX(stable[is_numerical],MATCH(VALUE(questions[[#This Row],[qno]]),VALUE(stable[qno]),0))</f>
        <v>0</v>
      </c>
      <c r="P1464" s="9" t="b" cm="1">
        <f t="array" ref="P1464">INDEX(stable[is_single_select],MATCH(VALUE(questions[[#This Row],[qno]]),VALUE(stable[qno]),0))</f>
        <v>0</v>
      </c>
      <c r="Q1464" s="9" t="b" cm="1">
        <f t="array" ref="Q1464">INDEX(stable[is_multi_select],MATCH(VALUE(questions[[#This Row],[qno]]),VALUE(stable[qno]),0))</f>
        <v>0</v>
      </c>
      <c r="R1464" s="9" t="b" cm="1">
        <f t="array" ref="R1464">INDEX(stable[is_skip_logic],MATCH(VALUE(questions[[#This Row],[qno]]),VALUE(stable[qno]),0))</f>
        <v>1</v>
      </c>
      <c r="S1464" s="9" t="str">
        <f>_xlfn.TEXTJOIN(", ",TRUE,questions[[#This Row],[ans_opt_1]:[ans_opt_14]])</f>
        <v/>
      </c>
      <c r="AH1464" s="16" t="b">
        <f>INDEX(stable[q_standard],MATCH(questions[[#This Row],[qno]],stable[qno],0))</f>
        <v>0</v>
      </c>
      <c r="AI1464" s="16" t="b">
        <f>INDEX(stable[q_living_income],MATCH(questions[[#This Row],[qno]],stable[qno],0))</f>
        <v>1</v>
      </c>
      <c r="AJ1464" s="16" t="b">
        <f>INDEX(stable[q_carbon],MATCH(questions[[#This Row],[qno]],stable[qno],0))</f>
        <v>1</v>
      </c>
      <c r="AK1464" s="16" t="b">
        <f>INDEX(stable[q_regen_ag],MATCH(questions[[#This Row],[qno]],stable[qno],0))</f>
        <v>0</v>
      </c>
      <c r="AL1464" s="16" t="b">
        <f>COUNTIFS(stable[qno],questions[[#This Row],[qno]])=1</f>
        <v>1</v>
      </c>
      <c r="AM1464" s="16" t="b">
        <f>OR(questions[[#This Row],[is_fixed]],questions[[#This Row],[is_localized]],questions[[#This Row],[is_supply_chain_dependent]])</f>
        <v>1</v>
      </c>
      <c r="AN1464" s="16" t="b">
        <f>COUNTIFS(questions[[#This Row],[is_automated]:[is_multi_select]],TRUE)=1</f>
        <v>1</v>
      </c>
      <c r="AO1464" s="16" t="b">
        <f>IF(questions[[#This Row],[is_fixed]],questions[[#This Row],[question]]=INDEX(stable[question],MATCH(questions[[#This Row],[qno]],stable[qno],0)),TRUE)</f>
        <v>1</v>
      </c>
      <c r="AP1464" s="16" t="str">
        <f>LEFT(questions[[#This Row],[question]],similarity_range)</f>
        <v xml:space="preserve">What is the name of </v>
      </c>
      <c r="AQ1464" s="16" t="str">
        <f>LEFT(INDEX(stable[question],MATCH(questions[[#This Row],[qno]],stable[qno],0)),similarity_range)</f>
        <v xml:space="preserve">What is the name of </v>
      </c>
      <c r="AR1464" s="16" t="b">
        <f>questions[[#This Row],[question_first_characters]]=questions[[#This Row],[stability_first_characters]]</f>
        <v>1</v>
      </c>
      <c r="AS1464" s="16" t="b">
        <f>IF(OR(questions[[#This Row],[is_single_select]],questions[[#This Row],[is_multi_select]]),NOT(ISBLANK(questions[[#This Row],[answer_opt_combined]])),TRUE)</f>
        <v>1</v>
      </c>
    </row>
    <row r="1465" spans="1:45" ht="15.75" customHeight="1" x14ac:dyDescent="0.25">
      <c r="A1465" s="9" t="str">
        <f>_xlfn.TEXTJOIN("_",TRUE,questions[[#This Row],[origin]:[qno]])</f>
        <v>Brazil_Arabica_2025_5131</v>
      </c>
      <c r="B1465" s="9" t="s">
        <v>1025</v>
      </c>
      <c r="C1465" s="9" t="s">
        <v>59</v>
      </c>
      <c r="E1465" s="33">
        <v>2025</v>
      </c>
      <c r="F1465" s="19" t="s">
        <v>690</v>
      </c>
      <c r="G1465" s="15" t="s">
        <v>1034</v>
      </c>
      <c r="H1465" s="9" t="str" cm="1">
        <f t="array" ref="H1465">INDEX(stableR[question],MATCH(VALUE(questions[[#This Row],[qno]]),VALUE(stableR[qno]),0))</f>
        <v>What was the total quantity of the synthetic fertilizer that you used fourth most, last year? (Kg)</v>
      </c>
      <c r="I1465" s="9" t="b" cm="1">
        <f t="array" ref="I1465">INDEX(stable[is_fixed],MATCH(VALUE(questions[[#This Row],[qno]]),VALUE(stable[qno]),0))</f>
        <v>0</v>
      </c>
      <c r="J1465" s="9" t="b" cm="1">
        <f t="array" ref="J1465">INDEX(stable[is_localized],MATCH(VALUE(questions[[#This Row],[qno]]),VALUE(stable[qno]),0))</f>
        <v>1</v>
      </c>
      <c r="K1465" s="9" t="b" cm="1">
        <f t="array" ref="K1465">INDEX(stable[is_supply_chain_dependent],MATCH(VALUE(questions[[#This Row],[qno]]),VALUE(stable[qno]),0))</f>
        <v>0</v>
      </c>
      <c r="L1465" s="9" t="b" cm="1">
        <f t="array" ref="L1465">INDEX(stable[is_mandatory],MATCH(VALUE(questions[[#This Row],[qno]]),VALUE(stable[qno]),0))</f>
        <v>0</v>
      </c>
      <c r="M1465" s="9" t="b" cm="1">
        <f t="array" ref="M1465">INDEX(stable[is_automated],MATCH(VALUE(questions[[#This Row],[qno]]),VALUE(stable[qno]),0))</f>
        <v>0</v>
      </c>
      <c r="N1465" s="9" t="b" cm="1">
        <f t="array" ref="N1465">INDEX(stable[is_free_text],MATCH(VALUE(questions[[#This Row],[qno]]),VALUE(stable[qno]),0))</f>
        <v>0</v>
      </c>
      <c r="O1465" s="9" t="b" cm="1">
        <f t="array" ref="O1465">INDEX(stable[is_numerical],MATCH(VALUE(questions[[#This Row],[qno]]),VALUE(stable[qno]),0))</f>
        <v>1</v>
      </c>
      <c r="P1465" s="9" t="b" cm="1">
        <f t="array" ref="P1465">INDEX(stable[is_single_select],MATCH(VALUE(questions[[#This Row],[qno]]),VALUE(stable[qno]),0))</f>
        <v>0</v>
      </c>
      <c r="Q1465" s="9" t="b" cm="1">
        <f t="array" ref="Q1465">INDEX(stable[is_multi_select],MATCH(VALUE(questions[[#This Row],[qno]]),VALUE(stable[qno]),0))</f>
        <v>0</v>
      </c>
      <c r="R1465" s="9" t="b" cm="1">
        <f t="array" ref="R1465">INDEX(stable[is_skip_logic],MATCH(VALUE(questions[[#This Row],[qno]]),VALUE(stable[qno]),0))</f>
        <v>1</v>
      </c>
      <c r="S1465" s="9" t="str">
        <f>_xlfn.TEXTJOIN(", ",TRUE,questions[[#This Row],[ans_opt_1]:[ans_opt_14]])</f>
        <v/>
      </c>
      <c r="AH1465" s="16" t="b">
        <f>INDEX(stable[q_standard],MATCH(questions[[#This Row],[qno]],stable[qno],0))</f>
        <v>0</v>
      </c>
      <c r="AI1465" s="16" t="b">
        <f>INDEX(stable[q_living_income],MATCH(questions[[#This Row],[qno]],stable[qno],0))</f>
        <v>1</v>
      </c>
      <c r="AJ1465" s="16" t="b">
        <f>INDEX(stable[q_carbon],MATCH(questions[[#This Row],[qno]],stable[qno],0))</f>
        <v>1</v>
      </c>
      <c r="AK1465" s="16" t="b">
        <f>INDEX(stable[q_regen_ag],MATCH(questions[[#This Row],[qno]],stable[qno],0))</f>
        <v>0</v>
      </c>
      <c r="AL1465" s="16" t="b">
        <f>COUNTIFS(stable[qno],questions[[#This Row],[qno]])=1</f>
        <v>1</v>
      </c>
      <c r="AM1465" s="16" t="b">
        <f>OR(questions[[#This Row],[is_fixed]],questions[[#This Row],[is_localized]],questions[[#This Row],[is_supply_chain_dependent]])</f>
        <v>1</v>
      </c>
      <c r="AN1465" s="16" t="b">
        <f>COUNTIFS(questions[[#This Row],[is_automated]:[is_multi_select]],TRUE)=1</f>
        <v>1</v>
      </c>
      <c r="AO1465" s="16" t="b">
        <f>IF(questions[[#This Row],[is_fixed]],questions[[#This Row],[question]]=INDEX(stable[question],MATCH(questions[[#This Row],[qno]],stable[qno],0)),TRUE)</f>
        <v>1</v>
      </c>
      <c r="AP1465" s="16" t="str">
        <f>LEFT(questions[[#This Row],[question]],similarity_range)</f>
        <v>What was the total q</v>
      </c>
      <c r="AQ1465" s="16" t="str">
        <f>LEFT(INDEX(stable[question],MATCH(questions[[#This Row],[qno]],stable[qno],0)),similarity_range)</f>
        <v>What was the total q</v>
      </c>
      <c r="AR1465" s="16" t="b">
        <f>questions[[#This Row],[question_first_characters]]=questions[[#This Row],[stability_first_characters]]</f>
        <v>1</v>
      </c>
      <c r="AS1465" s="16" t="b">
        <f>IF(OR(questions[[#This Row],[is_single_select]],questions[[#This Row],[is_multi_select]]),NOT(ISBLANK(questions[[#This Row],[answer_opt_combined]])),TRUE)</f>
        <v>1</v>
      </c>
    </row>
    <row r="1466" spans="1:45" ht="15.75" customHeight="1" x14ac:dyDescent="0.25">
      <c r="A1466" s="9" t="str">
        <f>_xlfn.TEXTJOIN("_",TRUE,questions[[#This Row],[origin]:[qno]])</f>
        <v>Brazil_Arabica_2025_5140</v>
      </c>
      <c r="B1466" s="9" t="s">
        <v>1025</v>
      </c>
      <c r="C1466" s="9" t="s">
        <v>59</v>
      </c>
      <c r="E1466" s="33">
        <v>2025</v>
      </c>
      <c r="F1466" s="19" t="s">
        <v>171</v>
      </c>
      <c r="G1466" s="15" t="s">
        <v>966</v>
      </c>
      <c r="H1466" s="9" t="str" cm="1">
        <f t="array" ref="H1466">INDEX(stableR[question],MATCH(VALUE(questions[[#This Row],[qno]]),VALUE(stableR[qno]),0))</f>
        <v>Did you use Limestone or Dolomitic Limestone (Dolomite) last year?</v>
      </c>
      <c r="I1466" s="9" t="b" cm="1">
        <f t="array" ref="I1466">INDEX(stable[is_fixed],MATCH(VALUE(questions[[#This Row],[qno]]),VALUE(stable[qno]),0))</f>
        <v>1</v>
      </c>
      <c r="J1466" s="9" t="b" cm="1">
        <f t="array" ref="J1466">INDEX(stable[is_localized],MATCH(VALUE(questions[[#This Row],[qno]]),VALUE(stable[qno]),0))</f>
        <v>1</v>
      </c>
      <c r="K1466" s="9" t="b" cm="1">
        <f t="array" ref="K1466">INDEX(stable[is_supply_chain_dependent],MATCH(VALUE(questions[[#This Row],[qno]]),VALUE(stable[qno]),0))</f>
        <v>0</v>
      </c>
      <c r="L1466" s="9" t="b" cm="1">
        <f t="array" ref="L1466">INDEX(stable[is_mandatory],MATCH(VALUE(questions[[#This Row],[qno]]),VALUE(stable[qno]),0))</f>
        <v>1</v>
      </c>
      <c r="M1466" s="9" t="b" cm="1">
        <f t="array" ref="M1466">INDEX(stable[is_automated],MATCH(VALUE(questions[[#This Row],[qno]]),VALUE(stable[qno]),0))</f>
        <v>0</v>
      </c>
      <c r="N1466" s="9" t="b" cm="1">
        <f t="array" ref="N1466">INDEX(stable[is_free_text],MATCH(VALUE(questions[[#This Row],[qno]]),VALUE(stable[qno]),0))</f>
        <v>0</v>
      </c>
      <c r="O1466" s="9" t="b" cm="1">
        <f t="array" ref="O1466">INDEX(stable[is_numerical],MATCH(VALUE(questions[[#This Row],[qno]]),VALUE(stable[qno]),0))</f>
        <v>0</v>
      </c>
      <c r="P1466" s="9" t="b" cm="1">
        <f t="array" ref="P1466">INDEX(stable[is_single_select],MATCH(VALUE(questions[[#This Row],[qno]]),VALUE(stable[qno]),0))</f>
        <v>1</v>
      </c>
      <c r="Q1466" s="9" t="b" cm="1">
        <f t="array" ref="Q1466">INDEX(stable[is_multi_select],MATCH(VALUE(questions[[#This Row],[qno]]),VALUE(stable[qno]),0))</f>
        <v>0</v>
      </c>
      <c r="R1466" s="9" t="b" cm="1">
        <f t="array" ref="R1466">INDEX(stable[is_skip_logic],MATCH(VALUE(questions[[#This Row],[qno]]),VALUE(stable[qno]),0))</f>
        <v>1</v>
      </c>
      <c r="S1466" s="9" t="str">
        <f>_xlfn.TEXTJOIN(", ",TRUE,questions[[#This Row],[ans_opt_1]:[ans_opt_14]])</f>
        <v/>
      </c>
      <c r="AH1466" s="16" t="b">
        <f>INDEX(stable[q_standard],MATCH(questions[[#This Row],[qno]],stable[qno],0))</f>
        <v>0</v>
      </c>
      <c r="AI1466" s="16" t="b">
        <f>INDEX(stable[q_living_income],MATCH(questions[[#This Row],[qno]],stable[qno],0))</f>
        <v>1</v>
      </c>
      <c r="AJ1466" s="16" t="b">
        <f>INDEX(stable[q_carbon],MATCH(questions[[#This Row],[qno]],stable[qno],0))</f>
        <v>1</v>
      </c>
      <c r="AK1466" s="16" t="b">
        <f>INDEX(stable[q_regen_ag],MATCH(questions[[#This Row],[qno]],stable[qno],0))</f>
        <v>0</v>
      </c>
      <c r="AL1466" s="16" t="b">
        <f>COUNTIFS(stable[qno],questions[[#This Row],[qno]])=1</f>
        <v>1</v>
      </c>
      <c r="AM1466" s="16" t="b">
        <f>OR(questions[[#This Row],[is_fixed]],questions[[#This Row],[is_localized]],questions[[#This Row],[is_supply_chain_dependent]])</f>
        <v>1</v>
      </c>
      <c r="AN1466" s="16" t="b">
        <f>COUNTIFS(questions[[#This Row],[is_automated]:[is_multi_select]],TRUE)=1</f>
        <v>1</v>
      </c>
      <c r="AO1466" s="16" t="b">
        <f>IF(questions[[#This Row],[is_fixed]],questions[[#This Row],[question]]=INDEX(stable[question],MATCH(questions[[#This Row],[qno]],stable[qno],0)),TRUE)</f>
        <v>0</v>
      </c>
      <c r="AP1466" s="16" t="str">
        <f>LEFT(questions[[#This Row],[question]],similarity_range)</f>
        <v>Did you use Limeston</v>
      </c>
      <c r="AQ1466" s="16" t="str">
        <f>LEFT(INDEX(stable[question],MATCH(questions[[#This Row],[qno]],stable[qno],0)),similarity_range)</f>
        <v>Did you use Limeston</v>
      </c>
      <c r="AR1466" s="16" t="b">
        <f>questions[[#This Row],[question_first_characters]]=questions[[#This Row],[stability_first_characters]]</f>
        <v>1</v>
      </c>
      <c r="AS1466" s="16" t="b">
        <f>IF(OR(questions[[#This Row],[is_single_select]],questions[[#This Row],[is_multi_select]]),NOT(ISBLANK(questions[[#This Row],[answer_opt_combined]])),TRUE)</f>
        <v>1</v>
      </c>
    </row>
    <row r="1467" spans="1:45" ht="15.75" customHeight="1" x14ac:dyDescent="0.25">
      <c r="A1467" s="9" t="str">
        <f>_xlfn.TEXTJOIN("_",TRUE,questions[[#This Row],[origin]:[qno]])</f>
        <v>Brazil_Arabica_2025_5141</v>
      </c>
      <c r="B1467" s="9" t="s">
        <v>1025</v>
      </c>
      <c r="C1467" s="9" t="s">
        <v>59</v>
      </c>
      <c r="E1467" s="33">
        <v>2025</v>
      </c>
      <c r="F1467" s="19" t="s">
        <v>750</v>
      </c>
      <c r="G1467" s="15" t="s">
        <v>1035</v>
      </c>
      <c r="H1467" s="9" t="str" cm="1">
        <f t="array" ref="H1467">INDEX(stableR[question],MATCH(VALUE(questions[[#This Row],[qno]]),VALUE(stableR[qno]),0))</f>
        <v>What was the total quantity of the Limestone or Dolomitic Limestone (Dolomite) that you used last year? (Kg)</v>
      </c>
      <c r="I1467" s="9" t="b" cm="1">
        <f t="array" ref="I1467">INDEX(stable[is_fixed],MATCH(VALUE(questions[[#This Row],[qno]]),VALUE(stable[qno]),0))</f>
        <v>0</v>
      </c>
      <c r="J1467" s="9" t="b" cm="1">
        <f t="array" ref="J1467">INDEX(stable[is_localized],MATCH(VALUE(questions[[#This Row],[qno]]),VALUE(stable[qno]),0))</f>
        <v>1</v>
      </c>
      <c r="K1467" s="9" t="b" cm="1">
        <f t="array" ref="K1467">INDEX(stable[is_supply_chain_dependent],MATCH(VALUE(questions[[#This Row],[qno]]),VALUE(stable[qno]),0))</f>
        <v>0</v>
      </c>
      <c r="L1467" s="9" t="b" cm="1">
        <f t="array" ref="L1467">INDEX(stable[is_mandatory],MATCH(VALUE(questions[[#This Row],[qno]]),VALUE(stable[qno]),0))</f>
        <v>0</v>
      </c>
      <c r="M1467" s="9" t="b" cm="1">
        <f t="array" ref="M1467">INDEX(stable[is_automated],MATCH(VALUE(questions[[#This Row],[qno]]),VALUE(stable[qno]),0))</f>
        <v>0</v>
      </c>
      <c r="N1467" s="9" t="b" cm="1">
        <f t="array" ref="N1467">INDEX(stable[is_free_text],MATCH(VALUE(questions[[#This Row],[qno]]),VALUE(stable[qno]),0))</f>
        <v>0</v>
      </c>
      <c r="O1467" s="9" t="b" cm="1">
        <f t="array" ref="O1467">INDEX(stable[is_numerical],MATCH(VALUE(questions[[#This Row],[qno]]),VALUE(stable[qno]),0))</f>
        <v>1</v>
      </c>
      <c r="P1467" s="9" t="b" cm="1">
        <f t="array" ref="P1467">INDEX(stable[is_single_select],MATCH(VALUE(questions[[#This Row],[qno]]),VALUE(stable[qno]),0))</f>
        <v>0</v>
      </c>
      <c r="Q1467" s="9" t="b" cm="1">
        <f t="array" ref="Q1467">INDEX(stable[is_multi_select],MATCH(VALUE(questions[[#This Row],[qno]]),VALUE(stable[qno]),0))</f>
        <v>0</v>
      </c>
      <c r="R1467" s="9" t="b" cm="1">
        <f t="array" ref="R1467">INDEX(stable[is_skip_logic],MATCH(VALUE(questions[[#This Row],[qno]]),VALUE(stable[qno]),0))</f>
        <v>1</v>
      </c>
      <c r="S1467" s="9" t="str">
        <f>_xlfn.TEXTJOIN(", ",TRUE,questions[[#This Row],[ans_opt_1]:[ans_opt_14]])</f>
        <v/>
      </c>
      <c r="AH1467" s="16" t="b">
        <f>INDEX(stable[q_standard],MATCH(questions[[#This Row],[qno]],stable[qno],0))</f>
        <v>0</v>
      </c>
      <c r="AI1467" s="16" t="b">
        <f>INDEX(stable[q_living_income],MATCH(questions[[#This Row],[qno]],stable[qno],0))</f>
        <v>1</v>
      </c>
      <c r="AJ1467" s="16" t="b">
        <f>INDEX(stable[q_carbon],MATCH(questions[[#This Row],[qno]],stable[qno],0))</f>
        <v>1</v>
      </c>
      <c r="AK1467" s="16" t="b">
        <f>INDEX(stable[q_regen_ag],MATCH(questions[[#This Row],[qno]],stable[qno],0))</f>
        <v>0</v>
      </c>
      <c r="AL1467" s="16" t="b">
        <f>COUNTIFS(stable[qno],questions[[#This Row],[qno]])=1</f>
        <v>1</v>
      </c>
      <c r="AM1467" s="16" t="b">
        <f>OR(questions[[#This Row],[is_fixed]],questions[[#This Row],[is_localized]],questions[[#This Row],[is_supply_chain_dependent]])</f>
        <v>1</v>
      </c>
      <c r="AN1467" s="16" t="b">
        <f>COUNTIFS(questions[[#This Row],[is_automated]:[is_multi_select]],TRUE)=1</f>
        <v>1</v>
      </c>
      <c r="AO1467" s="16" t="b">
        <f>IF(questions[[#This Row],[is_fixed]],questions[[#This Row],[question]]=INDEX(stable[question],MATCH(questions[[#This Row],[qno]],stable[qno],0)),TRUE)</f>
        <v>1</v>
      </c>
      <c r="AP1467" s="16" t="str">
        <f>LEFT(questions[[#This Row],[question]],similarity_range)</f>
        <v>What was the total q</v>
      </c>
      <c r="AQ1467" s="16" t="str">
        <f>LEFT(INDEX(stable[question],MATCH(questions[[#This Row],[qno]],stable[qno],0)),similarity_range)</f>
        <v>What was the total q</v>
      </c>
      <c r="AR1467" s="16" t="b">
        <f>questions[[#This Row],[question_first_characters]]=questions[[#This Row],[stability_first_characters]]</f>
        <v>1</v>
      </c>
      <c r="AS1467" s="16" t="b">
        <f>IF(OR(questions[[#This Row],[is_single_select]],questions[[#This Row],[is_multi_select]]),NOT(ISBLANK(questions[[#This Row],[answer_opt_combined]])),TRUE)</f>
        <v>1</v>
      </c>
    </row>
    <row r="1468" spans="1:45" s="77" customFormat="1" ht="15.75" customHeight="1" x14ac:dyDescent="0.25">
      <c r="A1468" s="77" t="str">
        <f>_xlfn.TEXTJOIN("_",TRUE,questions[[#This Row],[origin]:[qno]])</f>
        <v>Brazil_Arabica_2025_5400</v>
      </c>
      <c r="B1468" s="77" t="s">
        <v>1025</v>
      </c>
      <c r="C1468" s="77" t="s">
        <v>59</v>
      </c>
      <c r="E1468" s="77">
        <v>2025</v>
      </c>
      <c r="F1468" s="107" t="s">
        <v>175</v>
      </c>
      <c r="G1468" s="78" t="s">
        <v>176</v>
      </c>
      <c r="H1468" s="9" t="str" cm="1">
        <f t="array" ref="H1468">INDEX(stableR[question],MATCH(VALUE(questions[[#This Row],[qno]]),VALUE(stableR[qno]),0))</f>
        <v>Did you use any type of animal manure, compost, or organic fertilizers for your coffee last year?</v>
      </c>
      <c r="I1468" s="9" t="b" cm="1">
        <f t="array" ref="I1468">INDEX(stable[is_fixed],MATCH(VALUE(questions[[#This Row],[qno]]),VALUE(stable[qno]),0))</f>
        <v>1</v>
      </c>
      <c r="J1468" s="9" t="b" cm="1">
        <f t="array" ref="J1468">INDEX(stable[is_localized],MATCH(VALUE(questions[[#This Row],[qno]]),VALUE(stable[qno]),0))</f>
        <v>0</v>
      </c>
      <c r="K1468" s="9" t="b" cm="1">
        <f t="array" ref="K1468">INDEX(stable[is_supply_chain_dependent],MATCH(VALUE(questions[[#This Row],[qno]]),VALUE(stable[qno]),0))</f>
        <v>0</v>
      </c>
      <c r="L1468" s="9" t="b" cm="1">
        <f t="array" ref="L1468">INDEX(stable[is_mandatory],MATCH(VALUE(questions[[#This Row],[qno]]),VALUE(stable[qno]),0))</f>
        <v>1</v>
      </c>
      <c r="M1468" s="9" t="b" cm="1">
        <f t="array" ref="M1468">INDEX(stable[is_automated],MATCH(VALUE(questions[[#This Row],[qno]]),VALUE(stable[qno]),0))</f>
        <v>0</v>
      </c>
      <c r="N1468" s="9" t="b" cm="1">
        <f t="array" ref="N1468">INDEX(stable[is_free_text],MATCH(VALUE(questions[[#This Row],[qno]]),VALUE(stable[qno]),0))</f>
        <v>0</v>
      </c>
      <c r="O1468" s="9" t="b" cm="1">
        <f t="array" ref="O1468">INDEX(stable[is_numerical],MATCH(VALUE(questions[[#This Row],[qno]]),VALUE(stable[qno]),0))</f>
        <v>0</v>
      </c>
      <c r="P1468" s="77" t="b" cm="1">
        <f t="array" ref="P1468">INDEX(stable[is_single_select],MATCH(VALUE(questions[[#This Row],[qno]]),VALUE(stable[qno]),0))</f>
        <v>1</v>
      </c>
      <c r="Q1468" s="77" t="b" cm="1">
        <f t="array" ref="Q1468">INDEX(stable[is_multi_select],MATCH(VALUE(questions[[#This Row],[qno]]),VALUE(stable[qno]),0))</f>
        <v>0</v>
      </c>
      <c r="R1468" s="77" t="b" cm="1">
        <f t="array" ref="R1468">INDEX(stable[is_skip_logic],MATCH(VALUE(questions[[#This Row],[qno]]),VALUE(stable[qno]),0))</f>
        <v>1</v>
      </c>
      <c r="S1468" s="77" t="str">
        <f>_xlfn.TEXTJOIN(", ",TRUE,questions[[#This Row],[ans_opt_1]:[ans_opt_14]])</f>
        <v>Yes, No</v>
      </c>
      <c r="T1468" s="77" t="s">
        <v>149</v>
      </c>
      <c r="U1468" s="77" t="s">
        <v>119</v>
      </c>
      <c r="AH1468" s="98" t="b">
        <f>INDEX(stable[q_standard],MATCH(questions[[#This Row],[qno]],stable[qno],0))</f>
        <v>0</v>
      </c>
      <c r="AI1468" s="98" t="b">
        <f>INDEX(stable[q_living_income],MATCH(questions[[#This Row],[qno]],stable[qno],0))</f>
        <v>1</v>
      </c>
      <c r="AJ1468" s="98" t="b">
        <f>INDEX(stable[q_carbon],MATCH(questions[[#This Row],[qno]],stable[qno],0))</f>
        <v>1</v>
      </c>
      <c r="AK1468" s="98" t="b">
        <f>INDEX(stable[q_regen_ag],MATCH(questions[[#This Row],[qno]],stable[qno],0))</f>
        <v>0</v>
      </c>
      <c r="AL1468" s="98" t="b">
        <f>COUNTIFS(stable[qno],questions[[#This Row],[qno]])=1</f>
        <v>1</v>
      </c>
      <c r="AM1468" s="98" t="b">
        <f>OR(questions[[#This Row],[is_fixed]],questions[[#This Row],[is_localized]],questions[[#This Row],[is_supply_chain_dependent]])</f>
        <v>1</v>
      </c>
      <c r="AN1468" s="98" t="b">
        <f>COUNTIFS(questions[[#This Row],[is_automated]:[is_multi_select]],TRUE)=1</f>
        <v>1</v>
      </c>
      <c r="AO1468" s="98" t="b">
        <f>IF(questions[[#This Row],[is_fixed]],questions[[#This Row],[question]]=INDEX(stable[question],MATCH(questions[[#This Row],[qno]],stable[qno],0)),TRUE)</f>
        <v>1</v>
      </c>
      <c r="AP1468" s="98" t="str">
        <f>LEFT(questions[[#This Row],[question]],similarity_range)</f>
        <v>Did you use any type</v>
      </c>
      <c r="AQ1468" s="98" t="str">
        <f>LEFT(INDEX(stable[question],MATCH(questions[[#This Row],[qno]],stable[qno],0)),similarity_range)</f>
        <v>Did you use any type</v>
      </c>
      <c r="AR1468" s="98" t="b">
        <f>questions[[#This Row],[question_first_characters]]=questions[[#This Row],[stability_first_characters]]</f>
        <v>1</v>
      </c>
      <c r="AS1468" s="98" t="b">
        <f>IF(OR(questions[[#This Row],[is_single_select]],questions[[#This Row],[is_multi_select]]),NOT(ISBLANK(questions[[#This Row],[answer_opt_combined]])),TRUE)</f>
        <v>1</v>
      </c>
    </row>
    <row r="1469" spans="1:45" s="77" customFormat="1" ht="15.75" customHeight="1" x14ac:dyDescent="0.25">
      <c r="A1469" s="77" t="str">
        <f>_xlfn.TEXTJOIN("_",TRUE,questions[[#This Row],[origin]:[qno]])</f>
        <v>Brazil_Arabica_2025_5401</v>
      </c>
      <c r="B1469" s="77" t="s">
        <v>1025</v>
      </c>
      <c r="C1469" s="77" t="s">
        <v>59</v>
      </c>
      <c r="E1469" s="77">
        <v>2025</v>
      </c>
      <c r="F1469" s="107" t="s">
        <v>177</v>
      </c>
      <c r="G1469" s="78" t="s">
        <v>1036</v>
      </c>
      <c r="H1469" s="9" t="str" cm="1">
        <f t="array" ref="H1469">INDEX(stableR[question],MATCH(VALUE(questions[[#This Row],[qno]]),VALUE(stableR[qno]),0))</f>
        <v>What was the type of animal manure, compost, or organic fertilizer that you used most last year?</v>
      </c>
      <c r="I1469" s="9" t="b" cm="1">
        <f t="array" ref="I1469">INDEX(stable[is_fixed],MATCH(VALUE(questions[[#This Row],[qno]]),VALUE(stable[qno]),0))</f>
        <v>1</v>
      </c>
      <c r="J1469" s="9" t="b" cm="1">
        <f t="array" ref="J1469">INDEX(stable[is_localized],MATCH(VALUE(questions[[#This Row],[qno]]),VALUE(stable[qno]),0))</f>
        <v>0</v>
      </c>
      <c r="K1469" s="9" t="b" cm="1">
        <f t="array" ref="K1469">INDEX(stable[is_supply_chain_dependent],MATCH(VALUE(questions[[#This Row],[qno]]),VALUE(stable[qno]),0))</f>
        <v>0</v>
      </c>
      <c r="L1469" s="9" t="b" cm="1">
        <f t="array" ref="L1469">INDEX(stable[is_mandatory],MATCH(VALUE(questions[[#This Row],[qno]]),VALUE(stable[qno]),0))</f>
        <v>0</v>
      </c>
      <c r="M1469" s="9" t="b" cm="1">
        <f t="array" ref="M1469">INDEX(stable[is_automated],MATCH(VALUE(questions[[#This Row],[qno]]),VALUE(stable[qno]),0))</f>
        <v>0</v>
      </c>
      <c r="N1469" s="9" t="b" cm="1">
        <f t="array" ref="N1469">INDEX(stable[is_free_text],MATCH(VALUE(questions[[#This Row],[qno]]),VALUE(stable[qno]),0))</f>
        <v>1</v>
      </c>
      <c r="O1469" s="9" t="b" cm="1">
        <f t="array" ref="O1469">INDEX(stable[is_numerical],MATCH(VALUE(questions[[#This Row],[qno]]),VALUE(stable[qno]),0))</f>
        <v>0</v>
      </c>
      <c r="P1469" s="77" t="b" cm="1">
        <f t="array" ref="P1469">INDEX(stable[is_single_select],MATCH(VALUE(questions[[#This Row],[qno]]),VALUE(stable[qno]),0))</f>
        <v>1</v>
      </c>
      <c r="Q1469" s="77" t="b" cm="1">
        <f t="array" ref="Q1469">INDEX(stable[is_multi_select],MATCH(VALUE(questions[[#This Row],[qno]]),VALUE(stable[qno]),0))</f>
        <v>0</v>
      </c>
      <c r="R1469" s="77" t="b" cm="1">
        <f t="array" ref="R1469">INDEX(stable[is_skip_logic],MATCH(VALUE(questions[[#This Row],[qno]]),VALUE(stable[qno]),0))</f>
        <v>1</v>
      </c>
      <c r="S1469" s="77" t="str">
        <f>_xlfn.TEXTJOIN(", ",TRUE,questions[[#This Row],[ans_opt_1]:[ans_opt_14]])</f>
        <v>Coffee-related organic fertilizer, Commercial organic fertilizer, Organic manure sheep, Organic manure poultry, Organic manure horse, Organic manure swine, Goat manure mixed with grass, Composted from rubbish, Organic manure cattle</v>
      </c>
      <c r="T1469" s="77" t="s">
        <v>1037</v>
      </c>
      <c r="U1469" s="77" t="s">
        <v>972</v>
      </c>
      <c r="V1469" s="77" t="s">
        <v>973</v>
      </c>
      <c r="W1469" s="77" t="s">
        <v>974</v>
      </c>
      <c r="X1469" s="77" t="s">
        <v>975</v>
      </c>
      <c r="Y1469" s="77" t="s">
        <v>976</v>
      </c>
      <c r="Z1469" s="77" t="s">
        <v>977</v>
      </c>
      <c r="AA1469" s="77" t="s">
        <v>978</v>
      </c>
      <c r="AB1469" s="77" t="s">
        <v>979</v>
      </c>
      <c r="AH1469" s="98" t="b">
        <f>INDEX(stable[q_standard],MATCH(questions[[#This Row],[qno]],stable[qno],0))</f>
        <v>0</v>
      </c>
      <c r="AI1469" s="98" t="b">
        <f>INDEX(stable[q_living_income],MATCH(questions[[#This Row],[qno]],stable[qno],0))</f>
        <v>1</v>
      </c>
      <c r="AJ1469" s="98" t="b">
        <f>INDEX(stable[q_carbon],MATCH(questions[[#This Row],[qno]],stable[qno],0))</f>
        <v>1</v>
      </c>
      <c r="AK1469" s="98" t="b">
        <f>INDEX(stable[q_regen_ag],MATCH(questions[[#This Row],[qno]],stable[qno],0))</f>
        <v>0</v>
      </c>
      <c r="AL1469" s="98" t="b">
        <f>COUNTIFS(stable[qno],questions[[#This Row],[qno]])=1</f>
        <v>1</v>
      </c>
      <c r="AM1469" s="98" t="b">
        <f>OR(questions[[#This Row],[is_fixed]],questions[[#This Row],[is_localized]],questions[[#This Row],[is_supply_chain_dependent]])</f>
        <v>1</v>
      </c>
      <c r="AN1469" s="98" t="b">
        <f>COUNTIFS(questions[[#This Row],[is_automated]:[is_multi_select]],TRUE)=1</f>
        <v>0</v>
      </c>
      <c r="AO1469" s="98" t="b">
        <f>IF(questions[[#This Row],[is_fixed]],questions[[#This Row],[question]]=INDEX(stable[question],MATCH(questions[[#This Row],[qno]],stable[qno],0)),TRUE)</f>
        <v>0</v>
      </c>
      <c r="AP1469" s="98" t="str">
        <f>LEFT(questions[[#This Row],[question]],similarity_range)</f>
        <v>If yes, what was the</v>
      </c>
      <c r="AQ1469" s="98" t="str">
        <f>LEFT(INDEX(stable[question],MATCH(questions[[#This Row],[qno]],stable[qno],0)),similarity_range)</f>
        <v>If yes, what was the</v>
      </c>
      <c r="AR1469" s="98" t="b">
        <f>questions[[#This Row],[question_first_characters]]=questions[[#This Row],[stability_first_characters]]</f>
        <v>1</v>
      </c>
      <c r="AS1469" s="98" t="b">
        <f>IF(OR(questions[[#This Row],[is_single_select]],questions[[#This Row],[is_multi_select]]),NOT(ISBLANK(questions[[#This Row],[answer_opt_combined]])),TRUE)</f>
        <v>1</v>
      </c>
    </row>
    <row r="1470" spans="1:45" ht="15.75" customHeight="1" x14ac:dyDescent="0.25">
      <c r="A1470" s="9" t="str">
        <f>_xlfn.TEXTJOIN("_",TRUE,questions[[#This Row],[origin]:[qno]])</f>
        <v>Brazil_Arabica_2025_5402</v>
      </c>
      <c r="B1470" s="9" t="s">
        <v>1025</v>
      </c>
      <c r="C1470" s="9" t="s">
        <v>59</v>
      </c>
      <c r="E1470" s="33">
        <v>2025</v>
      </c>
      <c r="F1470" s="19" t="s">
        <v>179</v>
      </c>
      <c r="G1470" s="15" t="s">
        <v>980</v>
      </c>
      <c r="H1470" s="9" t="str" cm="1">
        <f t="array" ref="H1470">INDEX(stableR[question],MATCH(VALUE(questions[[#This Row],[qno]]),VALUE(stableR[qno]),0))</f>
        <v>What was the total quantity of this type of animal manure/compost/organic fertilizer that you used most (Kg)?</v>
      </c>
      <c r="I1470" s="9" t="b" cm="1">
        <f t="array" ref="I1470">INDEX(stable[is_fixed],MATCH(VALUE(questions[[#This Row],[qno]]),VALUE(stable[qno]),0))</f>
        <v>1</v>
      </c>
      <c r="J1470" s="9" t="b" cm="1">
        <f t="array" ref="J1470">INDEX(stable[is_localized],MATCH(VALUE(questions[[#This Row],[qno]]),VALUE(stable[qno]),0))</f>
        <v>0</v>
      </c>
      <c r="K1470" s="9" t="b" cm="1">
        <f t="array" ref="K1470">INDEX(stable[is_supply_chain_dependent],MATCH(VALUE(questions[[#This Row],[qno]]),VALUE(stable[qno]),0))</f>
        <v>0</v>
      </c>
      <c r="L1470" s="9" t="b" cm="1">
        <f t="array" ref="L1470">INDEX(stable[is_mandatory],MATCH(VALUE(questions[[#This Row],[qno]]),VALUE(stable[qno]),0))</f>
        <v>0</v>
      </c>
      <c r="M1470" s="9" t="b" cm="1">
        <f t="array" ref="M1470">INDEX(stable[is_automated],MATCH(VALUE(questions[[#This Row],[qno]]),VALUE(stable[qno]),0))</f>
        <v>0</v>
      </c>
      <c r="N1470" s="9" t="b" cm="1">
        <f t="array" ref="N1470">INDEX(stable[is_free_text],MATCH(VALUE(questions[[#This Row],[qno]]),VALUE(stable[qno]),0))</f>
        <v>0</v>
      </c>
      <c r="O1470" s="9" t="b" cm="1">
        <f t="array" ref="O1470">INDEX(stable[is_numerical],MATCH(VALUE(questions[[#This Row],[qno]]),VALUE(stable[qno]),0))</f>
        <v>1</v>
      </c>
      <c r="P1470" s="9" t="b" cm="1">
        <f t="array" ref="P1470">INDEX(stable[is_single_select],MATCH(VALUE(questions[[#This Row],[qno]]),VALUE(stable[qno]),0))</f>
        <v>0</v>
      </c>
      <c r="Q1470" s="9" t="b" cm="1">
        <f t="array" ref="Q1470">INDEX(stable[is_multi_select],MATCH(VALUE(questions[[#This Row],[qno]]),VALUE(stable[qno]),0))</f>
        <v>0</v>
      </c>
      <c r="R1470" s="9" t="b" cm="1">
        <f t="array" ref="R1470">INDEX(stable[is_skip_logic],MATCH(VALUE(questions[[#This Row],[qno]]),VALUE(stable[qno]),0))</f>
        <v>1</v>
      </c>
      <c r="S1470" s="9" t="str">
        <f>_xlfn.TEXTJOIN(", ",TRUE,questions[[#This Row],[ans_opt_1]:[ans_opt_14]])</f>
        <v/>
      </c>
      <c r="AH1470" s="16" t="b">
        <f>INDEX(stable[q_standard],MATCH(questions[[#This Row],[qno]],stable[qno],0))</f>
        <v>0</v>
      </c>
      <c r="AI1470" s="16" t="b">
        <f>INDEX(stable[q_living_income],MATCH(questions[[#This Row],[qno]],stable[qno],0))</f>
        <v>1</v>
      </c>
      <c r="AJ1470" s="16" t="b">
        <f>INDEX(stable[q_carbon],MATCH(questions[[#This Row],[qno]],stable[qno],0))</f>
        <v>1</v>
      </c>
      <c r="AK1470" s="16" t="b">
        <f>INDEX(stable[q_regen_ag],MATCH(questions[[#This Row],[qno]],stable[qno],0))</f>
        <v>0</v>
      </c>
      <c r="AL1470" s="16" t="b">
        <f>COUNTIFS(stable[qno],questions[[#This Row],[qno]])=1</f>
        <v>1</v>
      </c>
      <c r="AM1470" s="16" t="b">
        <f>OR(questions[[#This Row],[is_fixed]],questions[[#This Row],[is_localized]],questions[[#This Row],[is_supply_chain_dependent]])</f>
        <v>1</v>
      </c>
      <c r="AN1470" s="16" t="b">
        <f>COUNTIFS(questions[[#This Row],[is_automated]:[is_multi_select]],TRUE)=1</f>
        <v>1</v>
      </c>
      <c r="AO1470" s="16" t="b">
        <f>IF(questions[[#This Row],[is_fixed]],questions[[#This Row],[question]]=INDEX(stable[question],MATCH(questions[[#This Row],[qno]],stable[qno],0)),TRUE)</f>
        <v>0</v>
      </c>
      <c r="AP1470" s="16" t="str">
        <f>LEFT(questions[[#This Row],[question]],similarity_range)</f>
        <v>What was the total q</v>
      </c>
      <c r="AQ1470" s="16" t="str">
        <f>LEFT(INDEX(stable[question],MATCH(questions[[#This Row],[qno]],stable[qno],0)),similarity_range)</f>
        <v>What was the total q</v>
      </c>
      <c r="AR1470" s="16" t="b">
        <f>questions[[#This Row],[question_first_characters]]=questions[[#This Row],[stability_first_characters]]</f>
        <v>1</v>
      </c>
      <c r="AS1470" s="16" t="b">
        <f>IF(OR(questions[[#This Row],[is_single_select]],questions[[#This Row],[is_multi_select]]),NOT(ISBLANK(questions[[#This Row],[answer_opt_combined]])),TRUE)</f>
        <v>1</v>
      </c>
    </row>
    <row r="1471" spans="1:45" s="77" customFormat="1" ht="15.75" customHeight="1" x14ac:dyDescent="0.25">
      <c r="A1471" s="77" t="str">
        <f>_xlfn.TEXTJOIN("_",TRUE,questions[[#This Row],[origin]:[qno]])</f>
        <v>Brazil_Arabica_2025_5404</v>
      </c>
      <c r="B1471" s="77" t="s">
        <v>1025</v>
      </c>
      <c r="C1471" s="77" t="s">
        <v>59</v>
      </c>
      <c r="E1471" s="77">
        <v>2025</v>
      </c>
      <c r="F1471" s="107" t="s">
        <v>183</v>
      </c>
      <c r="G1471" s="78" t="s">
        <v>1038</v>
      </c>
      <c r="H1471" s="9" t="str" cm="1">
        <f t="array" ref="H1471">INDEX(stableR[question],MATCH(VALUE(questions[[#This Row],[qno]]),VALUE(stableR[qno]),0))</f>
        <v>How did you get this manure/compost/organic fertilizer that you used most?</v>
      </c>
      <c r="I1471" s="9" t="b" cm="1">
        <f t="array" ref="I1471">INDEX(stable[is_fixed],MATCH(VALUE(questions[[#This Row],[qno]]),VALUE(stable[qno]),0))</f>
        <v>1</v>
      </c>
      <c r="J1471" s="9" t="b" cm="1">
        <f t="array" ref="J1471">INDEX(stable[is_localized],MATCH(VALUE(questions[[#This Row],[qno]]),VALUE(stable[qno]),0))</f>
        <v>0</v>
      </c>
      <c r="K1471" s="9" t="b" cm="1">
        <f t="array" ref="K1471">INDEX(stable[is_supply_chain_dependent],MATCH(VALUE(questions[[#This Row],[qno]]),VALUE(stable[qno]),0))</f>
        <v>0</v>
      </c>
      <c r="L1471" s="9" t="b" cm="1">
        <f t="array" ref="L1471">INDEX(stable[is_mandatory],MATCH(VALUE(questions[[#This Row],[qno]]),VALUE(stable[qno]),0))</f>
        <v>0</v>
      </c>
      <c r="M1471" s="9" t="b" cm="1">
        <f t="array" ref="M1471">INDEX(stable[is_automated],MATCH(VALUE(questions[[#This Row],[qno]]),VALUE(stable[qno]),0))</f>
        <v>0</v>
      </c>
      <c r="N1471" s="9" t="b" cm="1">
        <f t="array" ref="N1471">INDEX(stable[is_free_text],MATCH(VALUE(questions[[#This Row],[qno]]),VALUE(stable[qno]),0))</f>
        <v>0</v>
      </c>
      <c r="O1471" s="9" t="b" cm="1">
        <f t="array" ref="O1471">INDEX(stable[is_numerical],MATCH(VALUE(questions[[#This Row],[qno]]),VALUE(stable[qno]),0))</f>
        <v>0</v>
      </c>
      <c r="P1471" s="77" t="b" cm="1">
        <f t="array" ref="P1471">INDEX(stable[is_single_select],MATCH(VALUE(questions[[#This Row],[qno]]),VALUE(stable[qno]),0))</f>
        <v>1</v>
      </c>
      <c r="Q1471" s="77" t="b" cm="1">
        <f t="array" ref="Q1471">INDEX(stable[is_multi_select],MATCH(VALUE(questions[[#This Row],[qno]]),VALUE(stable[qno]),0))</f>
        <v>0</v>
      </c>
      <c r="R1471" s="77" t="b" cm="1">
        <f t="array" ref="R1471">INDEX(stable[is_skip_logic],MATCH(VALUE(questions[[#This Row],[qno]]),VALUE(stable[qno]),0))</f>
        <v>1</v>
      </c>
      <c r="S1471" s="77" t="str">
        <f>_xlfn.TEXTJOIN(", ",TRUE,questions[[#This Row],[ans_opt_1]:[ans_opt_14]])</f>
        <v>Bought, From own farm, Received for free, Both from own farm &amp; bought/received from outside the farm</v>
      </c>
      <c r="T1471" s="77" t="s">
        <v>185</v>
      </c>
      <c r="U1471" s="77" t="s">
        <v>186</v>
      </c>
      <c r="V1471" s="77" t="s">
        <v>187</v>
      </c>
      <c r="W1471" s="77" t="s">
        <v>188</v>
      </c>
      <c r="AH1471" s="98" t="b">
        <f>INDEX(stable[q_standard],MATCH(questions[[#This Row],[qno]],stable[qno],0))</f>
        <v>0</v>
      </c>
      <c r="AI1471" s="98" t="b">
        <f>INDEX(stable[q_living_income],MATCH(questions[[#This Row],[qno]],stable[qno],0))</f>
        <v>1</v>
      </c>
      <c r="AJ1471" s="98" t="b">
        <f>INDEX(stable[q_carbon],MATCH(questions[[#This Row],[qno]],stable[qno],0))</f>
        <v>1</v>
      </c>
      <c r="AK1471" s="98" t="b">
        <f>INDEX(stable[q_regen_ag],MATCH(questions[[#This Row],[qno]],stable[qno],0))</f>
        <v>0</v>
      </c>
      <c r="AL1471" s="98" t="b">
        <f>COUNTIFS(stable[qno],questions[[#This Row],[qno]])=1</f>
        <v>1</v>
      </c>
      <c r="AM1471" s="98" t="b">
        <f>OR(questions[[#This Row],[is_fixed]],questions[[#This Row],[is_localized]],questions[[#This Row],[is_supply_chain_dependent]])</f>
        <v>1</v>
      </c>
      <c r="AN1471" s="98" t="b">
        <f>COUNTIFS(questions[[#This Row],[is_automated]:[is_multi_select]],TRUE)=1</f>
        <v>1</v>
      </c>
      <c r="AO1471" s="98" t="b">
        <f>IF(questions[[#This Row],[is_fixed]],questions[[#This Row],[question]]=INDEX(stable[question],MATCH(questions[[#This Row],[qno]],stable[qno],0)),TRUE)</f>
        <v>1</v>
      </c>
      <c r="AP1471" s="98" t="str">
        <f>LEFT(questions[[#This Row],[question]],similarity_range)</f>
        <v>How did you get this</v>
      </c>
      <c r="AQ1471" s="98" t="str">
        <f>LEFT(INDEX(stable[question],MATCH(questions[[#This Row],[qno]],stable[qno],0)),similarity_range)</f>
        <v>How did you get this</v>
      </c>
      <c r="AR1471" s="98" t="b">
        <f>questions[[#This Row],[question_first_characters]]=questions[[#This Row],[stability_first_characters]]</f>
        <v>1</v>
      </c>
      <c r="AS1471" s="98" t="b">
        <f>IF(OR(questions[[#This Row],[is_single_select]],questions[[#This Row],[is_multi_select]]),NOT(ISBLANK(questions[[#This Row],[answer_opt_combined]])),TRUE)</f>
        <v>1</v>
      </c>
    </row>
    <row r="1472" spans="1:45" s="77" customFormat="1" ht="15.75" customHeight="1" x14ac:dyDescent="0.25">
      <c r="A1472" s="77" t="str">
        <f>_xlfn.TEXTJOIN("_",TRUE,questions[[#This Row],[origin]:[qno]])</f>
        <v>Brazil_Arabica_2025_5410</v>
      </c>
      <c r="B1472" s="77" t="s">
        <v>1025</v>
      </c>
      <c r="C1472" s="77" t="s">
        <v>59</v>
      </c>
      <c r="E1472" s="77">
        <v>2025</v>
      </c>
      <c r="F1472" s="107" t="s">
        <v>189</v>
      </c>
      <c r="G1472" s="78" t="s">
        <v>843</v>
      </c>
      <c r="H1472" s="9" t="str" cm="1">
        <f t="array" ref="H1472">INDEX(stableR[question],MATCH(VALUE(questions[[#This Row],[qno]]),VALUE(stableR[qno]),0))</f>
        <v>What was the type of animal manure, compost, or organic fertilizer that you used second most last year?</v>
      </c>
      <c r="I1472" s="9" t="b" cm="1">
        <f t="array" ref="I1472">INDEX(stable[is_fixed],MATCH(VALUE(questions[[#This Row],[qno]]),VALUE(stable[qno]),0))</f>
        <v>1</v>
      </c>
      <c r="J1472" s="9" t="b" cm="1">
        <f t="array" ref="J1472">INDEX(stable[is_localized],MATCH(VALUE(questions[[#This Row],[qno]]),VALUE(stable[qno]),0))</f>
        <v>0</v>
      </c>
      <c r="K1472" s="9" t="b" cm="1">
        <f t="array" ref="K1472">INDEX(stable[is_supply_chain_dependent],MATCH(VALUE(questions[[#This Row],[qno]]),VALUE(stable[qno]),0))</f>
        <v>0</v>
      </c>
      <c r="L1472" s="9" t="b" cm="1">
        <f t="array" ref="L1472">INDEX(stable[is_mandatory],MATCH(VALUE(questions[[#This Row],[qno]]),VALUE(stable[qno]),0))</f>
        <v>0</v>
      </c>
      <c r="M1472" s="9" t="b" cm="1">
        <f t="array" ref="M1472">INDEX(stable[is_automated],MATCH(VALUE(questions[[#This Row],[qno]]),VALUE(stable[qno]),0))</f>
        <v>0</v>
      </c>
      <c r="N1472" s="9" t="b" cm="1">
        <f t="array" ref="N1472">INDEX(stable[is_free_text],MATCH(VALUE(questions[[#This Row],[qno]]),VALUE(stable[qno]),0))</f>
        <v>1</v>
      </c>
      <c r="O1472" s="9" t="b" cm="1">
        <f t="array" ref="O1472">INDEX(stable[is_numerical],MATCH(VALUE(questions[[#This Row],[qno]]),VALUE(stable[qno]),0))</f>
        <v>0</v>
      </c>
      <c r="P1472" s="77" t="b" cm="1">
        <f t="array" ref="P1472">INDEX(stable[is_single_select],MATCH(VALUE(questions[[#This Row],[qno]]),VALUE(stable[qno]),0))</f>
        <v>1</v>
      </c>
      <c r="Q1472" s="77" t="b" cm="1">
        <f t="array" ref="Q1472">INDEX(stable[is_multi_select],MATCH(VALUE(questions[[#This Row],[qno]]),VALUE(stable[qno]),0))</f>
        <v>0</v>
      </c>
      <c r="R1472" s="77" t="b" cm="1">
        <f t="array" ref="R1472">INDEX(stable[is_skip_logic],MATCH(VALUE(questions[[#This Row],[qno]]),VALUE(stable[qno]),0))</f>
        <v>1</v>
      </c>
      <c r="S1472" s="77" t="str">
        <f>_xlfn.TEXTJOIN(", ",TRUE,questions[[#This Row],[ans_opt_1]:[ans_opt_14]])</f>
        <v>Coffee-related organic fertilizer, Commercial organic fertilizer, Organic manure sheep, Organic manure poultry, Organic manure horse, Organic manure swine, Goat manure mixed with grass, Composted from rubbish, Organic manure cattle</v>
      </c>
      <c r="T1472" s="77" t="s">
        <v>1037</v>
      </c>
      <c r="U1472" s="77" t="s">
        <v>972</v>
      </c>
      <c r="V1472" s="77" t="s">
        <v>973</v>
      </c>
      <c r="W1472" s="77" t="s">
        <v>974</v>
      </c>
      <c r="X1472" s="77" t="s">
        <v>975</v>
      </c>
      <c r="Y1472" s="77" t="s">
        <v>976</v>
      </c>
      <c r="Z1472" s="77" t="s">
        <v>977</v>
      </c>
      <c r="AA1472" s="77" t="s">
        <v>978</v>
      </c>
      <c r="AB1472" s="77" t="s">
        <v>979</v>
      </c>
      <c r="AH1472" s="98" t="b">
        <f>INDEX(stable[q_standard],MATCH(questions[[#This Row],[qno]],stable[qno],0))</f>
        <v>0</v>
      </c>
      <c r="AI1472" s="98" t="b">
        <f>INDEX(stable[q_living_income],MATCH(questions[[#This Row],[qno]],stable[qno],0))</f>
        <v>1</v>
      </c>
      <c r="AJ1472" s="98" t="b">
        <f>INDEX(stable[q_carbon],MATCH(questions[[#This Row],[qno]],stable[qno],0))</f>
        <v>1</v>
      </c>
      <c r="AK1472" s="98" t="b">
        <f>INDEX(stable[q_regen_ag],MATCH(questions[[#This Row],[qno]],stable[qno],0))</f>
        <v>0</v>
      </c>
      <c r="AL1472" s="98" t="b">
        <f>COUNTIFS(stable[qno],questions[[#This Row],[qno]])=1</f>
        <v>1</v>
      </c>
      <c r="AM1472" s="98" t="b">
        <f>OR(questions[[#This Row],[is_fixed]],questions[[#This Row],[is_localized]],questions[[#This Row],[is_supply_chain_dependent]])</f>
        <v>1</v>
      </c>
      <c r="AN1472" s="98" t="b">
        <f>COUNTIFS(questions[[#This Row],[is_automated]:[is_multi_select]],TRUE)=1</f>
        <v>0</v>
      </c>
      <c r="AO1472" s="98" t="b">
        <f>IF(questions[[#This Row],[is_fixed]],questions[[#This Row],[question]]=INDEX(stable[question],MATCH(questions[[#This Row],[qno]],stable[qno],0)),TRUE)</f>
        <v>1</v>
      </c>
      <c r="AP1472" s="98" t="str">
        <f>LEFT(questions[[#This Row],[question]],similarity_range)</f>
        <v>Was there a second t</v>
      </c>
      <c r="AQ1472" s="98" t="str">
        <f>LEFT(INDEX(stable[question],MATCH(questions[[#This Row],[qno]],stable[qno],0)),similarity_range)</f>
        <v>Was there a second t</v>
      </c>
      <c r="AR1472" s="98" t="b">
        <f>questions[[#This Row],[question_first_characters]]=questions[[#This Row],[stability_first_characters]]</f>
        <v>1</v>
      </c>
      <c r="AS1472" s="98" t="b">
        <f>IF(OR(questions[[#This Row],[is_single_select]],questions[[#This Row],[is_multi_select]]),NOT(ISBLANK(questions[[#This Row],[answer_opt_combined]])),TRUE)</f>
        <v>1</v>
      </c>
    </row>
    <row r="1473" spans="1:45" ht="15.75" customHeight="1" x14ac:dyDescent="0.25">
      <c r="A1473" s="9" t="str">
        <f>_xlfn.TEXTJOIN("_",TRUE,questions[[#This Row],[origin]:[qno]])</f>
        <v>Brazil_Arabica_2025_5411</v>
      </c>
      <c r="B1473" s="9" t="s">
        <v>1025</v>
      </c>
      <c r="C1473" s="9" t="s">
        <v>59</v>
      </c>
      <c r="E1473" s="33">
        <v>2025</v>
      </c>
      <c r="F1473" s="19" t="s">
        <v>191</v>
      </c>
      <c r="G1473" s="15" t="s">
        <v>983</v>
      </c>
      <c r="H1473" s="9" t="str" cm="1">
        <f t="array" ref="H1473">INDEX(stableR[question],MATCH(VALUE(questions[[#This Row],[qno]]),VALUE(stableR[qno]),0))</f>
        <v>What was the total quantity of this type of animal manure/compost/organic fertilizer that you used second most? (Kg)</v>
      </c>
      <c r="I1473" s="9" t="b" cm="1">
        <f t="array" ref="I1473">INDEX(stable[is_fixed],MATCH(VALUE(questions[[#This Row],[qno]]),VALUE(stable[qno]),0))</f>
        <v>1</v>
      </c>
      <c r="J1473" s="9" t="b" cm="1">
        <f t="array" ref="J1473">INDEX(stable[is_localized],MATCH(VALUE(questions[[#This Row],[qno]]),VALUE(stable[qno]),0))</f>
        <v>0</v>
      </c>
      <c r="K1473" s="9" t="b" cm="1">
        <f t="array" ref="K1473">INDEX(stable[is_supply_chain_dependent],MATCH(VALUE(questions[[#This Row],[qno]]),VALUE(stable[qno]),0))</f>
        <v>0</v>
      </c>
      <c r="L1473" s="9" t="b" cm="1">
        <f t="array" ref="L1473">INDEX(stable[is_mandatory],MATCH(VALUE(questions[[#This Row],[qno]]),VALUE(stable[qno]),0))</f>
        <v>0</v>
      </c>
      <c r="M1473" s="9" t="b" cm="1">
        <f t="array" ref="M1473">INDEX(stable[is_automated],MATCH(VALUE(questions[[#This Row],[qno]]),VALUE(stable[qno]),0))</f>
        <v>0</v>
      </c>
      <c r="N1473" s="9" t="b" cm="1">
        <f t="array" ref="N1473">INDEX(stable[is_free_text],MATCH(VALUE(questions[[#This Row],[qno]]),VALUE(stable[qno]),0))</f>
        <v>0</v>
      </c>
      <c r="O1473" s="9" t="b" cm="1">
        <f t="array" ref="O1473">INDEX(stable[is_numerical],MATCH(VALUE(questions[[#This Row],[qno]]),VALUE(stable[qno]),0))</f>
        <v>1</v>
      </c>
      <c r="P1473" s="9" t="b" cm="1">
        <f t="array" ref="P1473">INDEX(stable[is_single_select],MATCH(VALUE(questions[[#This Row],[qno]]),VALUE(stable[qno]),0))</f>
        <v>0</v>
      </c>
      <c r="Q1473" s="9" t="b" cm="1">
        <f t="array" ref="Q1473">INDEX(stable[is_multi_select],MATCH(VALUE(questions[[#This Row],[qno]]),VALUE(stable[qno]),0))</f>
        <v>0</v>
      </c>
      <c r="R1473" s="9" t="b" cm="1">
        <f t="array" ref="R1473">INDEX(stable[is_skip_logic],MATCH(VALUE(questions[[#This Row],[qno]]),VALUE(stable[qno]),0))</f>
        <v>1</v>
      </c>
      <c r="S1473" s="9" t="str">
        <f>_xlfn.TEXTJOIN(", ",TRUE,questions[[#This Row],[ans_opt_1]:[ans_opt_14]])</f>
        <v/>
      </c>
      <c r="AH1473" s="16" t="b">
        <f>INDEX(stable[q_standard],MATCH(questions[[#This Row],[qno]],stable[qno],0))</f>
        <v>0</v>
      </c>
      <c r="AI1473" s="16" t="b">
        <f>INDEX(stable[q_living_income],MATCH(questions[[#This Row],[qno]],stable[qno],0))</f>
        <v>1</v>
      </c>
      <c r="AJ1473" s="16" t="b">
        <f>INDEX(stable[q_carbon],MATCH(questions[[#This Row],[qno]],stable[qno],0))</f>
        <v>1</v>
      </c>
      <c r="AK1473" s="16" t="b">
        <f>INDEX(stable[q_regen_ag],MATCH(questions[[#This Row],[qno]],stable[qno],0))</f>
        <v>0</v>
      </c>
      <c r="AL1473" s="16" t="b">
        <f>COUNTIFS(stable[qno],questions[[#This Row],[qno]])=1</f>
        <v>1</v>
      </c>
      <c r="AM1473" s="16" t="b">
        <f>OR(questions[[#This Row],[is_fixed]],questions[[#This Row],[is_localized]],questions[[#This Row],[is_supply_chain_dependent]])</f>
        <v>1</v>
      </c>
      <c r="AN1473" s="16" t="b">
        <f>COUNTIFS(questions[[#This Row],[is_automated]:[is_multi_select]],TRUE)=1</f>
        <v>1</v>
      </c>
      <c r="AO1473" s="16" t="b">
        <f>IF(questions[[#This Row],[is_fixed]],questions[[#This Row],[question]]=INDEX(stable[question],MATCH(questions[[#This Row],[qno]],stable[qno],0)),TRUE)</f>
        <v>0</v>
      </c>
      <c r="AP1473" s="16" t="str">
        <f>LEFT(questions[[#This Row],[question]],similarity_range)</f>
        <v>What was the total q</v>
      </c>
      <c r="AQ1473" s="16" t="str">
        <f>LEFT(INDEX(stable[question],MATCH(questions[[#This Row],[qno]],stable[qno],0)),similarity_range)</f>
        <v>What was the total q</v>
      </c>
      <c r="AR1473" s="16" t="b">
        <f>questions[[#This Row],[question_first_characters]]=questions[[#This Row],[stability_first_characters]]</f>
        <v>1</v>
      </c>
      <c r="AS1473" s="16" t="b">
        <f>IF(OR(questions[[#This Row],[is_single_select]],questions[[#This Row],[is_multi_select]]),NOT(ISBLANK(questions[[#This Row],[answer_opt_combined]])),TRUE)</f>
        <v>1</v>
      </c>
    </row>
    <row r="1474" spans="1:45" s="77" customFormat="1" ht="15.75" customHeight="1" x14ac:dyDescent="0.25">
      <c r="A1474" s="77" t="str">
        <f>_xlfn.TEXTJOIN("_",TRUE,questions[[#This Row],[origin]:[qno]])</f>
        <v>Brazil_Arabica_2025_5413</v>
      </c>
      <c r="B1474" s="77" t="s">
        <v>1025</v>
      </c>
      <c r="C1474" s="77" t="s">
        <v>59</v>
      </c>
      <c r="E1474" s="77">
        <v>2025</v>
      </c>
      <c r="F1474" s="107" t="s">
        <v>195</v>
      </c>
      <c r="G1474" s="78" t="s">
        <v>1039</v>
      </c>
      <c r="H1474" s="9" t="str" cm="1">
        <f t="array" ref="H1474">INDEX(stableR[question],MATCH(VALUE(questions[[#This Row],[qno]]),VALUE(stableR[qno]),0))</f>
        <v>How did you get this manure/compost/organic fertilizer that you used second most?</v>
      </c>
      <c r="I1474" s="9" t="b" cm="1">
        <f t="array" ref="I1474">INDEX(stable[is_fixed],MATCH(VALUE(questions[[#This Row],[qno]]),VALUE(stable[qno]),0))</f>
        <v>1</v>
      </c>
      <c r="J1474" s="9" t="b" cm="1">
        <f t="array" ref="J1474">INDEX(stable[is_localized],MATCH(VALUE(questions[[#This Row],[qno]]),VALUE(stable[qno]),0))</f>
        <v>0</v>
      </c>
      <c r="K1474" s="9" t="b" cm="1">
        <f t="array" ref="K1474">INDEX(stable[is_supply_chain_dependent],MATCH(VALUE(questions[[#This Row],[qno]]),VALUE(stable[qno]),0))</f>
        <v>0</v>
      </c>
      <c r="L1474" s="9" t="b" cm="1">
        <f t="array" ref="L1474">INDEX(stable[is_mandatory],MATCH(VALUE(questions[[#This Row],[qno]]),VALUE(stable[qno]),0))</f>
        <v>0</v>
      </c>
      <c r="M1474" s="9" t="b" cm="1">
        <f t="array" ref="M1474">INDEX(stable[is_automated],MATCH(VALUE(questions[[#This Row],[qno]]),VALUE(stable[qno]),0))</f>
        <v>0</v>
      </c>
      <c r="N1474" s="9" t="b" cm="1">
        <f t="array" ref="N1474">INDEX(stable[is_free_text],MATCH(VALUE(questions[[#This Row],[qno]]),VALUE(stable[qno]),0))</f>
        <v>0</v>
      </c>
      <c r="O1474" s="9" t="b" cm="1">
        <f t="array" ref="O1474">INDEX(stable[is_numerical],MATCH(VALUE(questions[[#This Row],[qno]]),VALUE(stable[qno]),0))</f>
        <v>0</v>
      </c>
      <c r="P1474" s="77" t="b" cm="1">
        <f t="array" ref="P1474">INDEX(stable[is_single_select],MATCH(VALUE(questions[[#This Row],[qno]]),VALUE(stable[qno]),0))</f>
        <v>1</v>
      </c>
      <c r="Q1474" s="77" t="b" cm="1">
        <f t="array" ref="Q1474">INDEX(stable[is_multi_select],MATCH(VALUE(questions[[#This Row],[qno]]),VALUE(stable[qno]),0))</f>
        <v>0</v>
      </c>
      <c r="R1474" s="77" t="b" cm="1">
        <f t="array" ref="R1474">INDEX(stable[is_skip_logic],MATCH(VALUE(questions[[#This Row],[qno]]),VALUE(stable[qno]),0))</f>
        <v>1</v>
      </c>
      <c r="S1474" s="77" t="str">
        <f>_xlfn.TEXTJOIN(", ",TRUE,questions[[#This Row],[ans_opt_1]:[ans_opt_14]])</f>
        <v>Bought, From own farm, Received for free, Both from own farm &amp; bought/received from outside the farm</v>
      </c>
      <c r="T1474" s="77" t="s">
        <v>185</v>
      </c>
      <c r="U1474" s="77" t="s">
        <v>186</v>
      </c>
      <c r="V1474" s="77" t="s">
        <v>187</v>
      </c>
      <c r="W1474" s="77" t="s">
        <v>188</v>
      </c>
      <c r="AH1474" s="98" t="b">
        <f>INDEX(stable[q_standard],MATCH(questions[[#This Row],[qno]],stable[qno],0))</f>
        <v>0</v>
      </c>
      <c r="AI1474" s="98" t="b">
        <f>INDEX(stable[q_living_income],MATCH(questions[[#This Row],[qno]],stable[qno],0))</f>
        <v>1</v>
      </c>
      <c r="AJ1474" s="98" t="b">
        <f>INDEX(stable[q_carbon],MATCH(questions[[#This Row],[qno]],stable[qno],0))</f>
        <v>1</v>
      </c>
      <c r="AK1474" s="98" t="b">
        <f>INDEX(stable[q_regen_ag],MATCH(questions[[#This Row],[qno]],stable[qno],0))</f>
        <v>0</v>
      </c>
      <c r="AL1474" s="98" t="b">
        <f>COUNTIFS(stable[qno],questions[[#This Row],[qno]])=1</f>
        <v>1</v>
      </c>
      <c r="AM1474" s="98" t="b">
        <f>OR(questions[[#This Row],[is_fixed]],questions[[#This Row],[is_localized]],questions[[#This Row],[is_supply_chain_dependent]])</f>
        <v>1</v>
      </c>
      <c r="AN1474" s="98" t="b">
        <f>COUNTIFS(questions[[#This Row],[is_automated]:[is_multi_select]],TRUE)=1</f>
        <v>1</v>
      </c>
      <c r="AO1474" s="98" t="b">
        <f>IF(questions[[#This Row],[is_fixed]],questions[[#This Row],[question]]=INDEX(stable[question],MATCH(questions[[#This Row],[qno]],stable[qno],0)),TRUE)</f>
        <v>1</v>
      </c>
      <c r="AP1474" s="98" t="str">
        <f>LEFT(questions[[#This Row],[question]],similarity_range)</f>
        <v>How did you get this</v>
      </c>
      <c r="AQ1474" s="98" t="str">
        <f>LEFT(INDEX(stable[question],MATCH(questions[[#This Row],[qno]],stable[qno],0)),similarity_range)</f>
        <v>How did you get this</v>
      </c>
      <c r="AR1474" s="98" t="b">
        <f>questions[[#This Row],[question_first_characters]]=questions[[#This Row],[stability_first_characters]]</f>
        <v>1</v>
      </c>
      <c r="AS1474" s="98" t="b">
        <f>IF(OR(questions[[#This Row],[is_single_select]],questions[[#This Row],[is_multi_select]]),NOT(ISBLANK(questions[[#This Row],[answer_opt_combined]])),TRUE)</f>
        <v>1</v>
      </c>
    </row>
    <row r="1475" spans="1:45" s="77" customFormat="1" ht="15.75" customHeight="1" x14ac:dyDescent="0.25">
      <c r="A1475" s="77" t="str">
        <f>_xlfn.TEXTJOIN("_",TRUE,questions[[#This Row],[origin]:[qno]])</f>
        <v>Brazil_Arabica_2025_5500</v>
      </c>
      <c r="B1475" s="77" t="s">
        <v>1025</v>
      </c>
      <c r="C1475" s="77" t="s">
        <v>59</v>
      </c>
      <c r="E1475" s="77">
        <v>2025</v>
      </c>
      <c r="F1475" s="107" t="s">
        <v>197</v>
      </c>
      <c r="G1475" s="78" t="s">
        <v>198</v>
      </c>
      <c r="H1475" s="9" t="str" cm="1">
        <f t="array" ref="H1475">INDEX(stableR[question],MATCH(VALUE(questions[[#This Row],[qno]]),VALUE(stableR[qno]),0))</f>
        <v>Did you apply any type of mulch on your coffee last year?</v>
      </c>
      <c r="I1475" s="9" t="b" cm="1">
        <f t="array" ref="I1475">INDEX(stable[is_fixed],MATCH(VALUE(questions[[#This Row],[qno]]),VALUE(stable[qno]),0))</f>
        <v>1</v>
      </c>
      <c r="J1475" s="9" t="b" cm="1">
        <f t="array" ref="J1475">INDEX(stable[is_localized],MATCH(VALUE(questions[[#This Row],[qno]]),VALUE(stable[qno]),0))</f>
        <v>0</v>
      </c>
      <c r="K1475" s="9" t="b" cm="1">
        <f t="array" ref="K1475">INDEX(stable[is_supply_chain_dependent],MATCH(VALUE(questions[[#This Row],[qno]]),VALUE(stable[qno]),0))</f>
        <v>0</v>
      </c>
      <c r="L1475" s="9" t="b" cm="1">
        <f t="array" ref="L1475">INDEX(stable[is_mandatory],MATCH(VALUE(questions[[#This Row],[qno]]),VALUE(stable[qno]),0))</f>
        <v>1</v>
      </c>
      <c r="M1475" s="9" t="b" cm="1">
        <f t="array" ref="M1475">INDEX(stable[is_automated],MATCH(VALUE(questions[[#This Row],[qno]]),VALUE(stable[qno]),0))</f>
        <v>0</v>
      </c>
      <c r="N1475" s="9" t="b" cm="1">
        <f t="array" ref="N1475">INDEX(stable[is_free_text],MATCH(VALUE(questions[[#This Row],[qno]]),VALUE(stable[qno]),0))</f>
        <v>0</v>
      </c>
      <c r="O1475" s="9" t="b" cm="1">
        <f t="array" ref="O1475">INDEX(stable[is_numerical],MATCH(VALUE(questions[[#This Row],[qno]]),VALUE(stable[qno]),0))</f>
        <v>0</v>
      </c>
      <c r="P1475" s="77" t="b" cm="1">
        <f t="array" ref="P1475">INDEX(stable[is_single_select],MATCH(VALUE(questions[[#This Row],[qno]]),VALUE(stable[qno]),0))</f>
        <v>1</v>
      </c>
      <c r="Q1475" s="77" t="b" cm="1">
        <f t="array" ref="Q1475">INDEX(stable[is_multi_select],MATCH(VALUE(questions[[#This Row],[qno]]),VALUE(stable[qno]),0))</f>
        <v>0</v>
      </c>
      <c r="R1475" s="77" t="b" cm="1">
        <f t="array" ref="R1475">INDEX(stable[is_skip_logic],MATCH(VALUE(questions[[#This Row],[qno]]),VALUE(stable[qno]),0))</f>
        <v>1</v>
      </c>
      <c r="S1475" s="77" t="str">
        <f>_xlfn.TEXTJOIN(", ",TRUE,questions[[#This Row],[ans_opt_1]:[ans_opt_14]])</f>
        <v>Yes, No</v>
      </c>
      <c r="T1475" s="77" t="s">
        <v>149</v>
      </c>
      <c r="U1475" s="77" t="s">
        <v>119</v>
      </c>
      <c r="AH1475" s="98" t="b">
        <f>INDEX(stable[q_standard],MATCH(questions[[#This Row],[qno]],stable[qno],0))</f>
        <v>0</v>
      </c>
      <c r="AI1475" s="98" t="b">
        <f>INDEX(stable[q_living_income],MATCH(questions[[#This Row],[qno]],stable[qno],0))</f>
        <v>1</v>
      </c>
      <c r="AJ1475" s="98" t="b">
        <f>INDEX(stable[q_carbon],MATCH(questions[[#This Row],[qno]],stable[qno],0))</f>
        <v>1</v>
      </c>
      <c r="AK1475" s="98" t="b">
        <f>INDEX(stable[q_regen_ag],MATCH(questions[[#This Row],[qno]],stable[qno],0))</f>
        <v>0</v>
      </c>
      <c r="AL1475" s="98" t="b">
        <f>COUNTIFS(stable[qno],questions[[#This Row],[qno]])=1</f>
        <v>1</v>
      </c>
      <c r="AM1475" s="98" t="b">
        <f>OR(questions[[#This Row],[is_fixed]],questions[[#This Row],[is_localized]],questions[[#This Row],[is_supply_chain_dependent]])</f>
        <v>1</v>
      </c>
      <c r="AN1475" s="98" t="b">
        <f>COUNTIFS(questions[[#This Row],[is_automated]:[is_multi_select]],TRUE)=1</f>
        <v>1</v>
      </c>
      <c r="AO1475" s="98" t="b">
        <f>IF(questions[[#This Row],[is_fixed]],questions[[#This Row],[question]]=INDEX(stable[question],MATCH(questions[[#This Row],[qno]],stable[qno],0)),TRUE)</f>
        <v>1</v>
      </c>
      <c r="AP1475" s="98" t="str">
        <f>LEFT(questions[[#This Row],[question]],similarity_range)</f>
        <v>Did you apply any ty</v>
      </c>
      <c r="AQ1475" s="98" t="str">
        <f>LEFT(INDEX(stable[question],MATCH(questions[[#This Row],[qno]],stable[qno],0)),similarity_range)</f>
        <v>Did you apply any ty</v>
      </c>
      <c r="AR1475" s="98" t="b">
        <f>questions[[#This Row],[question_first_characters]]=questions[[#This Row],[stability_first_characters]]</f>
        <v>1</v>
      </c>
      <c r="AS1475" s="98" t="b">
        <f>IF(OR(questions[[#This Row],[is_single_select]],questions[[#This Row],[is_multi_select]]),NOT(ISBLANK(questions[[#This Row],[answer_opt_combined]])),TRUE)</f>
        <v>1</v>
      </c>
    </row>
    <row r="1476" spans="1:45" ht="15.75" customHeight="1" x14ac:dyDescent="0.25">
      <c r="A1476" s="9" t="str">
        <f>_xlfn.TEXTJOIN("_",TRUE,questions[[#This Row],[origin]:[qno]])</f>
        <v>Brazil_Arabica_2025_5501</v>
      </c>
      <c r="B1476" s="9" t="s">
        <v>1025</v>
      </c>
      <c r="C1476" s="9" t="s">
        <v>59</v>
      </c>
      <c r="E1476" s="33">
        <v>2025</v>
      </c>
      <c r="F1476" s="19" t="s">
        <v>199</v>
      </c>
      <c r="G1476" s="15" t="s">
        <v>200</v>
      </c>
      <c r="H1476" s="9" t="str" cm="1">
        <f t="array" ref="H1476">INDEX(stableR[question],MATCH(VALUE(questions[[#This Row],[qno]]),VALUE(stableR[qno]),0))</f>
        <v>What type of mulch?</v>
      </c>
      <c r="I1476" s="9" t="b" cm="1">
        <f t="array" ref="I1476">INDEX(stable[is_fixed],MATCH(VALUE(questions[[#This Row],[qno]]),VALUE(stable[qno]),0))</f>
        <v>1</v>
      </c>
      <c r="J1476" s="9" t="b" cm="1">
        <f t="array" ref="J1476">INDEX(stable[is_localized],MATCH(VALUE(questions[[#This Row],[qno]]),VALUE(stable[qno]),0))</f>
        <v>0</v>
      </c>
      <c r="K1476" s="9" t="b" cm="1">
        <f t="array" ref="K1476">INDEX(stable[is_supply_chain_dependent],MATCH(VALUE(questions[[#This Row],[qno]]),VALUE(stable[qno]),0))</f>
        <v>0</v>
      </c>
      <c r="L1476" s="9" t="b" cm="1">
        <f t="array" ref="L1476">INDEX(stable[is_mandatory],MATCH(VALUE(questions[[#This Row],[qno]]),VALUE(stable[qno]),0))</f>
        <v>0</v>
      </c>
      <c r="M1476" s="9" t="b" cm="1">
        <f t="array" ref="M1476">INDEX(stable[is_automated],MATCH(VALUE(questions[[#This Row],[qno]]),VALUE(stable[qno]),0))</f>
        <v>0</v>
      </c>
      <c r="N1476" s="9" t="b" cm="1">
        <f t="array" ref="N1476">INDEX(stable[is_free_text],MATCH(VALUE(questions[[#This Row],[qno]]),VALUE(stable[qno]),0))</f>
        <v>0</v>
      </c>
      <c r="O1476" s="9" t="b" cm="1">
        <f t="array" ref="O1476">INDEX(stable[is_numerical],MATCH(VALUE(questions[[#This Row],[qno]]),VALUE(stable[qno]),0))</f>
        <v>0</v>
      </c>
      <c r="P1476" s="9" t="b" cm="1">
        <f t="array" ref="P1476">INDEX(stable[is_single_select],MATCH(VALUE(questions[[#This Row],[qno]]),VALUE(stable[qno]),0))</f>
        <v>0</v>
      </c>
      <c r="Q1476" s="9" t="b" cm="1">
        <f t="array" ref="Q1476">INDEX(stable[is_multi_select],MATCH(VALUE(questions[[#This Row],[qno]]),VALUE(stable[qno]),0))</f>
        <v>1</v>
      </c>
      <c r="R1476" s="9" t="b" cm="1">
        <f t="array" ref="R1476">INDEX(stable[is_skip_logic],MATCH(VALUE(questions[[#This Row],[qno]]),VALUE(stable[qno]),0))</f>
        <v>1</v>
      </c>
      <c r="S1476" s="9" t="str">
        <f>_xlfn.TEXTJOIN(", ",TRUE,questions[[#This Row],[ans_opt_1]:[ans_opt_14]])</f>
        <v/>
      </c>
      <c r="AH1476" s="16" t="b">
        <f>INDEX(stable[q_standard],MATCH(questions[[#This Row],[qno]],stable[qno],0))</f>
        <v>0</v>
      </c>
      <c r="AI1476" s="16" t="b">
        <f>INDEX(stable[q_living_income],MATCH(questions[[#This Row],[qno]],stable[qno],0))</f>
        <v>1</v>
      </c>
      <c r="AJ1476" s="16" t="b">
        <f>INDEX(stable[q_carbon],MATCH(questions[[#This Row],[qno]],stable[qno],0))</f>
        <v>1</v>
      </c>
      <c r="AK1476" s="16" t="b">
        <f>INDEX(stable[q_regen_ag],MATCH(questions[[#This Row],[qno]],stable[qno],0))</f>
        <v>0</v>
      </c>
      <c r="AL1476" s="16" t="b">
        <f>COUNTIFS(stable[qno],questions[[#This Row],[qno]])=1</f>
        <v>1</v>
      </c>
      <c r="AM1476" s="16" t="b">
        <f>OR(questions[[#This Row],[is_fixed]],questions[[#This Row],[is_localized]],questions[[#This Row],[is_supply_chain_dependent]])</f>
        <v>1</v>
      </c>
      <c r="AN1476" s="16" t="b">
        <f>COUNTIFS(questions[[#This Row],[is_automated]:[is_multi_select]],TRUE)=1</f>
        <v>1</v>
      </c>
      <c r="AO1476" s="16" t="b">
        <f>IF(questions[[#This Row],[is_fixed]],questions[[#This Row],[question]]=INDEX(stable[question],MATCH(questions[[#This Row],[qno]],stable[qno],0)),TRUE)</f>
        <v>1</v>
      </c>
      <c r="AP1476" s="16" t="str">
        <f>LEFT(questions[[#This Row],[question]],similarity_range)</f>
        <v xml:space="preserve">What type of mulch? </v>
      </c>
      <c r="AQ1476" s="16" t="str">
        <f>LEFT(INDEX(stable[question],MATCH(questions[[#This Row],[qno]],stable[qno],0)),similarity_range)</f>
        <v xml:space="preserve">What type of mulch? </v>
      </c>
      <c r="AR1476" s="16" t="b">
        <f>questions[[#This Row],[question_first_characters]]=questions[[#This Row],[stability_first_characters]]</f>
        <v>1</v>
      </c>
      <c r="AS1476" s="16" t="b">
        <f>IF(OR(questions[[#This Row],[is_single_select]],questions[[#This Row],[is_multi_select]]),NOT(ISBLANK(questions[[#This Row],[answer_opt_combined]])),TRUE)</f>
        <v>1</v>
      </c>
    </row>
    <row r="1477" spans="1:45" ht="15.75" customHeight="1" x14ac:dyDescent="0.25">
      <c r="A1477" s="9" t="str">
        <f>_xlfn.TEXTJOIN("_",TRUE,questions[[#This Row],[origin]:[qno]])</f>
        <v>Brazil_Arabica_2025_5502</v>
      </c>
      <c r="B1477" s="9" t="s">
        <v>1025</v>
      </c>
      <c r="C1477" s="9" t="s">
        <v>59</v>
      </c>
      <c r="E1477" s="33">
        <v>2025</v>
      </c>
      <c r="F1477" s="19" t="s">
        <v>201</v>
      </c>
      <c r="G1477" s="15" t="s">
        <v>1040</v>
      </c>
      <c r="H1477" s="9" t="str" cm="1">
        <f t="array" ref="H1477">INDEX(stableR[question],MATCH(VALUE(questions[[#This Row],[qno]]),VALUE(stableR[qno]),0))</f>
        <v>What was the total quantity of mulch that you used? (Kg)</v>
      </c>
      <c r="I1477" s="9" t="b" cm="1">
        <f t="array" ref="I1477">INDEX(stable[is_fixed],MATCH(VALUE(questions[[#This Row],[qno]]),VALUE(stable[qno]),0))</f>
        <v>1</v>
      </c>
      <c r="J1477" s="9" t="b" cm="1">
        <f t="array" ref="J1477">INDEX(stable[is_localized],MATCH(VALUE(questions[[#This Row],[qno]]),VALUE(stable[qno]),0))</f>
        <v>0</v>
      </c>
      <c r="K1477" s="9" t="b" cm="1">
        <f t="array" ref="K1477">INDEX(stable[is_supply_chain_dependent],MATCH(VALUE(questions[[#This Row],[qno]]),VALUE(stable[qno]),0))</f>
        <v>0</v>
      </c>
      <c r="L1477" s="9" t="b" cm="1">
        <f t="array" ref="L1477">INDEX(stable[is_mandatory],MATCH(VALUE(questions[[#This Row],[qno]]),VALUE(stable[qno]),0))</f>
        <v>0</v>
      </c>
      <c r="M1477" s="9" t="b" cm="1">
        <f t="array" ref="M1477">INDEX(stable[is_automated],MATCH(VALUE(questions[[#This Row],[qno]]),VALUE(stable[qno]),0))</f>
        <v>0</v>
      </c>
      <c r="N1477" s="9" t="b" cm="1">
        <f t="array" ref="N1477">INDEX(stable[is_free_text],MATCH(VALUE(questions[[#This Row],[qno]]),VALUE(stable[qno]),0))</f>
        <v>0</v>
      </c>
      <c r="O1477" s="9" t="b" cm="1">
        <f t="array" ref="O1477">INDEX(stable[is_numerical],MATCH(VALUE(questions[[#This Row],[qno]]),VALUE(stable[qno]),0))</f>
        <v>1</v>
      </c>
      <c r="P1477" s="9" t="b" cm="1">
        <f t="array" ref="P1477">INDEX(stable[is_single_select],MATCH(VALUE(questions[[#This Row],[qno]]),VALUE(stable[qno]),0))</f>
        <v>0</v>
      </c>
      <c r="Q1477" s="9" t="b" cm="1">
        <f t="array" ref="Q1477">INDEX(stable[is_multi_select],MATCH(VALUE(questions[[#This Row],[qno]]),VALUE(stable[qno]),0))</f>
        <v>0</v>
      </c>
      <c r="R1477" s="9" t="b" cm="1">
        <f t="array" ref="R1477">INDEX(stable[is_skip_logic],MATCH(VALUE(questions[[#This Row],[qno]]),VALUE(stable[qno]),0))</f>
        <v>1</v>
      </c>
      <c r="S1477" s="9" t="str">
        <f>_xlfn.TEXTJOIN(", ",TRUE,questions[[#This Row],[ans_opt_1]:[ans_opt_14]])</f>
        <v/>
      </c>
      <c r="AH1477" s="16" t="b">
        <f>INDEX(stable[q_standard],MATCH(questions[[#This Row],[qno]],stable[qno],0))</f>
        <v>0</v>
      </c>
      <c r="AI1477" s="16" t="b">
        <f>INDEX(stable[q_living_income],MATCH(questions[[#This Row],[qno]],stable[qno],0))</f>
        <v>1</v>
      </c>
      <c r="AJ1477" s="16" t="b">
        <f>INDEX(stable[q_carbon],MATCH(questions[[#This Row],[qno]],stable[qno],0))</f>
        <v>1</v>
      </c>
      <c r="AK1477" s="16" t="b">
        <f>INDEX(stable[q_regen_ag],MATCH(questions[[#This Row],[qno]],stable[qno],0))</f>
        <v>0</v>
      </c>
      <c r="AL1477" s="16" t="b">
        <f>COUNTIFS(stable[qno],questions[[#This Row],[qno]])=1</f>
        <v>1</v>
      </c>
      <c r="AM1477" s="16" t="b">
        <f>OR(questions[[#This Row],[is_fixed]],questions[[#This Row],[is_localized]],questions[[#This Row],[is_supply_chain_dependent]])</f>
        <v>1</v>
      </c>
      <c r="AN1477" s="16" t="b">
        <f>COUNTIFS(questions[[#This Row],[is_automated]:[is_multi_select]],TRUE)=1</f>
        <v>1</v>
      </c>
      <c r="AO1477" s="16" t="b">
        <f>IF(questions[[#This Row],[is_fixed]],questions[[#This Row],[question]]=INDEX(stable[question],MATCH(questions[[#This Row],[qno]],stable[qno],0)),TRUE)</f>
        <v>0</v>
      </c>
      <c r="AP1477" s="16" t="str">
        <f>LEFT(questions[[#This Row],[question]],similarity_range)</f>
        <v>What was the total q</v>
      </c>
      <c r="AQ1477" s="16" t="str">
        <f>LEFT(INDEX(stable[question],MATCH(questions[[#This Row],[qno]],stable[qno],0)),similarity_range)</f>
        <v>What was the total q</v>
      </c>
      <c r="AR1477" s="16" t="b">
        <f>questions[[#This Row],[question_first_characters]]=questions[[#This Row],[stability_first_characters]]</f>
        <v>1</v>
      </c>
      <c r="AS1477" s="16" t="b">
        <f>IF(OR(questions[[#This Row],[is_single_select]],questions[[#This Row],[is_multi_select]]),NOT(ISBLANK(questions[[#This Row],[answer_opt_combined]])),TRUE)</f>
        <v>1</v>
      </c>
    </row>
    <row r="1478" spans="1:45" s="77" customFormat="1" ht="15.75" customHeight="1" x14ac:dyDescent="0.25">
      <c r="A1478" s="77" t="str">
        <f>_xlfn.TEXTJOIN("_",TRUE,questions[[#This Row],[origin]:[qno]])</f>
        <v>Brazil_Arabica_2025_5504</v>
      </c>
      <c r="B1478" s="77" t="s">
        <v>1025</v>
      </c>
      <c r="C1478" s="77" t="s">
        <v>59</v>
      </c>
      <c r="E1478" s="77">
        <v>2025</v>
      </c>
      <c r="F1478" s="107" t="s">
        <v>205</v>
      </c>
      <c r="G1478" s="78" t="s">
        <v>768</v>
      </c>
      <c r="H1478" s="9" t="str" cm="1">
        <f t="array" ref="H1478">INDEX(stableR[question],MATCH(VALUE(questions[[#This Row],[qno]]),VALUE(stableR[qno]),0))</f>
        <v>From where was this mulch sourced?</v>
      </c>
      <c r="I1478" s="9" t="b" cm="1">
        <f t="array" ref="I1478">INDEX(stable[is_fixed],MATCH(VALUE(questions[[#This Row],[qno]]),VALUE(stable[qno]),0))</f>
        <v>1</v>
      </c>
      <c r="J1478" s="9" t="b" cm="1">
        <f t="array" ref="J1478">INDEX(stable[is_localized],MATCH(VALUE(questions[[#This Row],[qno]]),VALUE(stable[qno]),0))</f>
        <v>0</v>
      </c>
      <c r="K1478" s="9" t="b" cm="1">
        <f t="array" ref="K1478">INDEX(stable[is_supply_chain_dependent],MATCH(VALUE(questions[[#This Row],[qno]]),VALUE(stable[qno]),0))</f>
        <v>0</v>
      </c>
      <c r="L1478" s="9" t="b" cm="1">
        <f t="array" ref="L1478">INDEX(stable[is_mandatory],MATCH(VALUE(questions[[#This Row],[qno]]),VALUE(stable[qno]),0))</f>
        <v>0</v>
      </c>
      <c r="M1478" s="9" t="b" cm="1">
        <f t="array" ref="M1478">INDEX(stable[is_automated],MATCH(VALUE(questions[[#This Row],[qno]]),VALUE(stable[qno]),0))</f>
        <v>0</v>
      </c>
      <c r="N1478" s="9" t="b" cm="1">
        <f t="array" ref="N1478">INDEX(stable[is_free_text],MATCH(VALUE(questions[[#This Row],[qno]]),VALUE(stable[qno]),0))</f>
        <v>0</v>
      </c>
      <c r="O1478" s="9" t="b" cm="1">
        <f t="array" ref="O1478">INDEX(stable[is_numerical],MATCH(VALUE(questions[[#This Row],[qno]]),VALUE(stable[qno]),0))</f>
        <v>0</v>
      </c>
      <c r="P1478" s="77" t="b" cm="1">
        <f t="array" ref="P1478">INDEX(stable[is_single_select],MATCH(VALUE(questions[[#This Row],[qno]]),VALUE(stable[qno]),0))</f>
        <v>1</v>
      </c>
      <c r="Q1478" s="77" t="b" cm="1">
        <f t="array" ref="Q1478">INDEX(stable[is_multi_select],MATCH(VALUE(questions[[#This Row],[qno]]),VALUE(stable[qno]),0))</f>
        <v>0</v>
      </c>
      <c r="R1478" s="77" t="b" cm="1">
        <f t="array" ref="R1478">INDEX(stable[is_skip_logic],MATCH(VALUE(questions[[#This Row],[qno]]),VALUE(stable[qno]),0))</f>
        <v>1</v>
      </c>
      <c r="S1478" s="77" t="str">
        <f>_xlfn.TEXTJOIN(", ",TRUE,questions[[#This Row],[ans_opt_1]:[ans_opt_14]])</f>
        <v>Outside the coffee plot, Inside the coffee plot, Both from inside and outside the coffee plot</v>
      </c>
      <c r="T1478" s="77" t="s">
        <v>207</v>
      </c>
      <c r="U1478" s="77" t="s">
        <v>208</v>
      </c>
      <c r="V1478" s="77" t="s">
        <v>209</v>
      </c>
      <c r="AH1478" s="98" t="b">
        <f>INDEX(stable[q_standard],MATCH(questions[[#This Row],[qno]],stable[qno],0))</f>
        <v>0</v>
      </c>
      <c r="AI1478" s="98" t="b">
        <f>INDEX(stable[q_living_income],MATCH(questions[[#This Row],[qno]],stable[qno],0))</f>
        <v>1</v>
      </c>
      <c r="AJ1478" s="98" t="b">
        <f>INDEX(stable[q_carbon],MATCH(questions[[#This Row],[qno]],stable[qno],0))</f>
        <v>1</v>
      </c>
      <c r="AK1478" s="98" t="b">
        <f>INDEX(stable[q_regen_ag],MATCH(questions[[#This Row],[qno]],stable[qno],0))</f>
        <v>0</v>
      </c>
      <c r="AL1478" s="98" t="b">
        <f>COUNTIFS(stable[qno],questions[[#This Row],[qno]])=1</f>
        <v>1</v>
      </c>
      <c r="AM1478" s="98" t="b">
        <f>OR(questions[[#This Row],[is_fixed]],questions[[#This Row],[is_localized]],questions[[#This Row],[is_supply_chain_dependent]])</f>
        <v>1</v>
      </c>
      <c r="AN1478" s="98" t="b">
        <f>COUNTIFS(questions[[#This Row],[is_automated]:[is_multi_select]],TRUE)=1</f>
        <v>1</v>
      </c>
      <c r="AO1478" s="98" t="b">
        <f>IF(questions[[#This Row],[is_fixed]],questions[[#This Row],[question]]=INDEX(stable[question],MATCH(questions[[#This Row],[qno]],stable[qno],0)),TRUE)</f>
        <v>1</v>
      </c>
      <c r="AP1478" s="98" t="str">
        <f>LEFT(questions[[#This Row],[question]],similarity_range)</f>
        <v xml:space="preserve">From where was this </v>
      </c>
      <c r="AQ1478" s="98" t="str">
        <f>LEFT(INDEX(stable[question],MATCH(questions[[#This Row],[qno]],stable[qno],0)),similarity_range)</f>
        <v xml:space="preserve">From where was this </v>
      </c>
      <c r="AR1478" s="98" t="b">
        <f>questions[[#This Row],[question_first_characters]]=questions[[#This Row],[stability_first_characters]]</f>
        <v>1</v>
      </c>
      <c r="AS1478" s="98" t="b">
        <f>IF(OR(questions[[#This Row],[is_single_select]],questions[[#This Row],[is_multi_select]]),NOT(ISBLANK(questions[[#This Row],[answer_opt_combined]])),TRUE)</f>
        <v>1</v>
      </c>
    </row>
    <row r="1479" spans="1:45" s="77" customFormat="1" ht="15.75" customHeight="1" x14ac:dyDescent="0.25">
      <c r="A1479" s="77" t="str">
        <f>_xlfn.TEXTJOIN("_",TRUE,questions[[#This Row],[origin]:[qno]])</f>
        <v>Brazil_Arabica_2025_5505</v>
      </c>
      <c r="B1479" s="77" t="s">
        <v>1025</v>
      </c>
      <c r="C1479" s="77" t="s">
        <v>59</v>
      </c>
      <c r="E1479" s="77">
        <v>2025</v>
      </c>
      <c r="F1479" s="107" t="s">
        <v>210</v>
      </c>
      <c r="G1479" s="78" t="s">
        <v>769</v>
      </c>
      <c r="H1479" s="9" t="str" cm="1">
        <f t="array" ref="H1479">INDEX(stableR[question],MATCH(VALUE(questions[[#This Row],[qno]]),VALUE(stableR[qno]),0))</f>
        <v>If it was from outside the coffee plot, did you buy this mulch, or did it come from your own farm?</v>
      </c>
      <c r="I1479" s="9" t="b" cm="1">
        <f t="array" ref="I1479">INDEX(stable[is_fixed],MATCH(VALUE(questions[[#This Row],[qno]]),VALUE(stable[qno]),0))</f>
        <v>1</v>
      </c>
      <c r="J1479" s="9" t="b" cm="1">
        <f t="array" ref="J1479">INDEX(stable[is_localized],MATCH(VALUE(questions[[#This Row],[qno]]),VALUE(stable[qno]),0))</f>
        <v>0</v>
      </c>
      <c r="K1479" s="9" t="b" cm="1">
        <f t="array" ref="K1479">INDEX(stable[is_supply_chain_dependent],MATCH(VALUE(questions[[#This Row],[qno]]),VALUE(stable[qno]),0))</f>
        <v>0</v>
      </c>
      <c r="L1479" s="9" t="b" cm="1">
        <f t="array" ref="L1479">INDEX(stable[is_mandatory],MATCH(VALUE(questions[[#This Row],[qno]]),VALUE(stable[qno]),0))</f>
        <v>0</v>
      </c>
      <c r="M1479" s="9" t="b" cm="1">
        <f t="array" ref="M1479">INDEX(stable[is_automated],MATCH(VALUE(questions[[#This Row],[qno]]),VALUE(stable[qno]),0))</f>
        <v>0</v>
      </c>
      <c r="N1479" s="9" t="b" cm="1">
        <f t="array" ref="N1479">INDEX(stable[is_free_text],MATCH(VALUE(questions[[#This Row],[qno]]),VALUE(stable[qno]),0))</f>
        <v>0</v>
      </c>
      <c r="O1479" s="9" t="b" cm="1">
        <f t="array" ref="O1479">INDEX(stable[is_numerical],MATCH(VALUE(questions[[#This Row],[qno]]),VALUE(stable[qno]),0))</f>
        <v>0</v>
      </c>
      <c r="P1479" s="77" t="b" cm="1">
        <f t="array" ref="P1479">INDEX(stable[is_single_select],MATCH(VALUE(questions[[#This Row],[qno]]),VALUE(stable[qno]),0))</f>
        <v>1</v>
      </c>
      <c r="Q1479" s="77" t="b" cm="1">
        <f t="array" ref="Q1479">INDEX(stable[is_multi_select],MATCH(VALUE(questions[[#This Row],[qno]]),VALUE(stable[qno]),0))</f>
        <v>0</v>
      </c>
      <c r="R1479" s="77" t="b" cm="1">
        <f t="array" ref="R1479">INDEX(stable[is_skip_logic],MATCH(VALUE(questions[[#This Row],[qno]]),VALUE(stable[qno]),0))</f>
        <v>1</v>
      </c>
      <c r="S1479" s="77" t="str">
        <f>_xlfn.TEXTJOIN(", ",TRUE,questions[[#This Row],[ans_opt_1]:[ans_opt_14]])</f>
        <v>Bought, From own farm, Received for free, Both from own farm &amp; bought/received from outside the farm</v>
      </c>
      <c r="T1479" s="77" t="s">
        <v>185</v>
      </c>
      <c r="U1479" s="77" t="s">
        <v>186</v>
      </c>
      <c r="V1479" s="77" t="s">
        <v>187</v>
      </c>
      <c r="W1479" s="77" t="s">
        <v>188</v>
      </c>
      <c r="AH1479" s="98" t="b">
        <f>INDEX(stable[q_standard],MATCH(questions[[#This Row],[qno]],stable[qno],0))</f>
        <v>0</v>
      </c>
      <c r="AI1479" s="98" t="b">
        <f>INDEX(stable[q_living_income],MATCH(questions[[#This Row],[qno]],stable[qno],0))</f>
        <v>1</v>
      </c>
      <c r="AJ1479" s="98" t="b">
        <f>INDEX(stable[q_carbon],MATCH(questions[[#This Row],[qno]],stable[qno],0))</f>
        <v>1</v>
      </c>
      <c r="AK1479" s="98" t="b">
        <f>INDEX(stable[q_regen_ag],MATCH(questions[[#This Row],[qno]],stable[qno],0))</f>
        <v>0</v>
      </c>
      <c r="AL1479" s="98" t="b">
        <f>COUNTIFS(stable[qno],questions[[#This Row],[qno]])=1</f>
        <v>1</v>
      </c>
      <c r="AM1479" s="98" t="b">
        <f>OR(questions[[#This Row],[is_fixed]],questions[[#This Row],[is_localized]],questions[[#This Row],[is_supply_chain_dependent]])</f>
        <v>1</v>
      </c>
      <c r="AN1479" s="98" t="b">
        <f>COUNTIFS(questions[[#This Row],[is_automated]:[is_multi_select]],TRUE)=1</f>
        <v>1</v>
      </c>
      <c r="AO1479" s="98" t="b">
        <f>IF(questions[[#This Row],[is_fixed]],questions[[#This Row],[question]]=INDEX(stable[question],MATCH(questions[[#This Row],[qno]],stable[qno],0)),TRUE)</f>
        <v>1</v>
      </c>
      <c r="AP1479" s="98" t="str">
        <f>LEFT(questions[[#This Row],[question]],similarity_range)</f>
        <v>If it was from outsi</v>
      </c>
      <c r="AQ1479" s="98" t="str">
        <f>LEFT(INDEX(stable[question],MATCH(questions[[#This Row],[qno]],stable[qno],0)),similarity_range)</f>
        <v>If it was from outsi</v>
      </c>
      <c r="AR1479" s="98" t="b">
        <f>questions[[#This Row],[question_first_characters]]=questions[[#This Row],[stability_first_characters]]</f>
        <v>1</v>
      </c>
      <c r="AS1479" s="98" t="b">
        <f>IF(OR(questions[[#This Row],[is_single_select]],questions[[#This Row],[is_multi_select]]),NOT(ISBLANK(questions[[#This Row],[answer_opt_combined]])),TRUE)</f>
        <v>1</v>
      </c>
    </row>
    <row r="1480" spans="1:45" s="77" customFormat="1" ht="15.75" customHeight="1" x14ac:dyDescent="0.25">
      <c r="A1480" s="77" t="str">
        <f>_xlfn.TEXTJOIN("_",TRUE,questions[[#This Row],[origin]:[qno]])</f>
        <v>Brazil_Arabica_2025_5600</v>
      </c>
      <c r="B1480" s="77" t="s">
        <v>1025</v>
      </c>
      <c r="C1480" s="77" t="s">
        <v>59</v>
      </c>
      <c r="E1480" s="77">
        <v>2025</v>
      </c>
      <c r="F1480" s="107" t="s">
        <v>212</v>
      </c>
      <c r="G1480" s="78" t="s">
        <v>213</v>
      </c>
      <c r="H1480" s="9" t="str" cm="1">
        <f t="array" ref="H1480">INDEX(stableR[question],MATCH(VALUE(questions[[#This Row],[qno]]),VALUE(stableR[qno]),0))</f>
        <v xml:space="preserve">Did you use pesticides, fungicides or herbicides for your coffee last year? </v>
      </c>
      <c r="I1480" s="9" t="b" cm="1">
        <f t="array" ref="I1480">INDEX(stable[is_fixed],MATCH(VALUE(questions[[#This Row],[qno]]),VALUE(stable[qno]),0))</f>
        <v>1</v>
      </c>
      <c r="J1480" s="9" t="b" cm="1">
        <f t="array" ref="J1480">INDEX(stable[is_localized],MATCH(VALUE(questions[[#This Row],[qno]]),VALUE(stable[qno]),0))</f>
        <v>0</v>
      </c>
      <c r="K1480" s="9" t="b" cm="1">
        <f t="array" ref="K1480">INDEX(stable[is_supply_chain_dependent],MATCH(VALUE(questions[[#This Row],[qno]]),VALUE(stable[qno]),0))</f>
        <v>0</v>
      </c>
      <c r="L1480" s="9" t="b" cm="1">
        <f t="array" ref="L1480">INDEX(stable[is_mandatory],MATCH(VALUE(questions[[#This Row],[qno]]),VALUE(stable[qno]),0))</f>
        <v>1</v>
      </c>
      <c r="M1480" s="9" t="b" cm="1">
        <f t="array" ref="M1480">INDEX(stable[is_automated],MATCH(VALUE(questions[[#This Row],[qno]]),VALUE(stable[qno]),0))</f>
        <v>0</v>
      </c>
      <c r="N1480" s="9" t="b" cm="1">
        <f t="array" ref="N1480">INDEX(stable[is_free_text],MATCH(VALUE(questions[[#This Row],[qno]]),VALUE(stable[qno]),0))</f>
        <v>0</v>
      </c>
      <c r="O1480" s="9" t="b" cm="1">
        <f t="array" ref="O1480">INDEX(stable[is_numerical],MATCH(VALUE(questions[[#This Row],[qno]]),VALUE(stable[qno]),0))</f>
        <v>0</v>
      </c>
      <c r="P1480" s="77" t="b" cm="1">
        <f t="array" ref="P1480">INDEX(stable[is_single_select],MATCH(VALUE(questions[[#This Row],[qno]]),VALUE(stable[qno]),0))</f>
        <v>1</v>
      </c>
      <c r="Q1480" s="77" t="b" cm="1">
        <f t="array" ref="Q1480">INDEX(stable[is_multi_select],MATCH(VALUE(questions[[#This Row],[qno]]),VALUE(stable[qno]),0))</f>
        <v>0</v>
      </c>
      <c r="R1480" s="77" t="b" cm="1">
        <f t="array" ref="R1480">INDEX(stable[is_skip_logic],MATCH(VALUE(questions[[#This Row],[qno]]),VALUE(stable[qno]),0))</f>
        <v>1</v>
      </c>
      <c r="S1480" s="77" t="str">
        <f>_xlfn.TEXTJOIN(", ",TRUE,questions[[#This Row],[ans_opt_1]:[ans_opt_14]])</f>
        <v>Yes, No</v>
      </c>
      <c r="T1480" s="77" t="s">
        <v>149</v>
      </c>
      <c r="U1480" s="77" t="s">
        <v>119</v>
      </c>
      <c r="AH1480" s="98" t="b">
        <f>INDEX(stable[q_standard],MATCH(questions[[#This Row],[qno]],stable[qno],0))</f>
        <v>0</v>
      </c>
      <c r="AI1480" s="98" t="b">
        <f>INDEX(stable[q_living_income],MATCH(questions[[#This Row],[qno]],stable[qno],0))</f>
        <v>1</v>
      </c>
      <c r="AJ1480" s="98" t="b">
        <f>INDEX(stable[q_carbon],MATCH(questions[[#This Row],[qno]],stable[qno],0))</f>
        <v>1</v>
      </c>
      <c r="AK1480" s="98" t="b">
        <f>INDEX(stable[q_regen_ag],MATCH(questions[[#This Row],[qno]],stable[qno],0))</f>
        <v>0</v>
      </c>
      <c r="AL1480" s="98" t="b">
        <f>COUNTIFS(stable[qno],questions[[#This Row],[qno]])=1</f>
        <v>1</v>
      </c>
      <c r="AM1480" s="98" t="b">
        <f>OR(questions[[#This Row],[is_fixed]],questions[[#This Row],[is_localized]],questions[[#This Row],[is_supply_chain_dependent]])</f>
        <v>1</v>
      </c>
      <c r="AN1480" s="98" t="b">
        <f>COUNTIFS(questions[[#This Row],[is_automated]:[is_multi_select]],TRUE)=1</f>
        <v>1</v>
      </c>
      <c r="AO1480" s="98" t="b">
        <f>IF(questions[[#This Row],[is_fixed]],questions[[#This Row],[question]]=INDEX(stable[question],MATCH(questions[[#This Row],[qno]],stable[qno],0)),TRUE)</f>
        <v>0</v>
      </c>
      <c r="AP1480" s="98" t="str">
        <f>LEFT(questions[[#This Row],[question]],similarity_range)</f>
        <v>Did you use pesticid</v>
      </c>
      <c r="AQ1480" s="98" t="str">
        <f>LEFT(INDEX(stable[question],MATCH(questions[[#This Row],[qno]],stable[qno],0)),similarity_range)</f>
        <v>Did you use pesticid</v>
      </c>
      <c r="AR1480" s="98" t="b">
        <f>questions[[#This Row],[question_first_characters]]=questions[[#This Row],[stability_first_characters]]</f>
        <v>1</v>
      </c>
      <c r="AS1480" s="98" t="b">
        <f>IF(OR(questions[[#This Row],[is_single_select]],questions[[#This Row],[is_multi_select]]),NOT(ISBLANK(questions[[#This Row],[answer_opt_combined]])),TRUE)</f>
        <v>1</v>
      </c>
    </row>
    <row r="1481" spans="1:45" ht="15.75" customHeight="1" x14ac:dyDescent="0.25">
      <c r="A1481" s="9" t="str">
        <f>_xlfn.TEXTJOIN("_",TRUE,questions[[#This Row],[origin]:[qno]])</f>
        <v>Brazil_Arabica_2025_5610</v>
      </c>
      <c r="B1481" s="9" t="s">
        <v>1025</v>
      </c>
      <c r="C1481" s="9" t="s">
        <v>59</v>
      </c>
      <c r="E1481" s="33">
        <v>2025</v>
      </c>
      <c r="F1481" s="19" t="s">
        <v>216</v>
      </c>
      <c r="G1481" s="15" t="s">
        <v>771</v>
      </c>
      <c r="H1481" s="9" t="str" cm="1">
        <f t="array" ref="H1481">INDEX(stableR[question],MATCH(VALUE(questions[[#This Row],[qno]]),VALUE(stableR[qno]),0))</f>
        <v>What was the name of the pesticide/fungicide or herbicide that you used most, last year?</v>
      </c>
      <c r="I1481" s="9" t="b" cm="1">
        <f t="array" ref="I1481">INDEX(stable[is_fixed],MATCH(VALUE(questions[[#This Row],[qno]]),VALUE(stable[qno]),0))</f>
        <v>1</v>
      </c>
      <c r="J1481" s="9" t="b" cm="1">
        <f t="array" ref="J1481">INDEX(stable[is_localized],MATCH(VALUE(questions[[#This Row],[qno]]),VALUE(stable[qno]),0))</f>
        <v>0</v>
      </c>
      <c r="K1481" s="9" t="b" cm="1">
        <f t="array" ref="K1481">INDEX(stable[is_supply_chain_dependent],MATCH(VALUE(questions[[#This Row],[qno]]),VALUE(stable[qno]),0))</f>
        <v>0</v>
      </c>
      <c r="L1481" s="9" t="b" cm="1">
        <f t="array" ref="L1481">INDEX(stable[is_mandatory],MATCH(VALUE(questions[[#This Row],[qno]]),VALUE(stable[qno]),0))</f>
        <v>0</v>
      </c>
      <c r="M1481" s="9" t="b" cm="1">
        <f t="array" ref="M1481">INDEX(stable[is_automated],MATCH(VALUE(questions[[#This Row],[qno]]),VALUE(stable[qno]),0))</f>
        <v>0</v>
      </c>
      <c r="N1481" s="9" t="b" cm="1">
        <f t="array" ref="N1481">INDEX(stable[is_free_text],MATCH(VALUE(questions[[#This Row],[qno]]),VALUE(stable[qno]),0))</f>
        <v>1</v>
      </c>
      <c r="O1481" s="9" t="b" cm="1">
        <f t="array" ref="O1481">INDEX(stable[is_numerical],MATCH(VALUE(questions[[#This Row],[qno]]),VALUE(stable[qno]),0))</f>
        <v>0</v>
      </c>
      <c r="P1481" s="9" t="b" cm="1">
        <f t="array" ref="P1481">INDEX(stable[is_single_select],MATCH(VALUE(questions[[#This Row],[qno]]),VALUE(stable[qno]),0))</f>
        <v>0</v>
      </c>
      <c r="Q1481" s="9" t="b" cm="1">
        <f t="array" ref="Q1481">INDEX(stable[is_multi_select],MATCH(VALUE(questions[[#This Row],[qno]]),VALUE(stable[qno]),0))</f>
        <v>0</v>
      </c>
      <c r="R1481" s="9" t="b" cm="1">
        <f t="array" ref="R1481">INDEX(stable[is_skip_logic],MATCH(VALUE(questions[[#This Row],[qno]]),VALUE(stable[qno]),0))</f>
        <v>1</v>
      </c>
      <c r="S1481" s="9" t="str">
        <f>_xlfn.TEXTJOIN(", ",TRUE,questions[[#This Row],[ans_opt_1]:[ans_opt_14]])</f>
        <v/>
      </c>
      <c r="AH1481" s="16" t="b">
        <f>INDEX(stable[q_standard],MATCH(questions[[#This Row],[qno]],stable[qno],0))</f>
        <v>0</v>
      </c>
      <c r="AI1481" s="16" t="b">
        <f>INDEX(stable[q_living_income],MATCH(questions[[#This Row],[qno]],stable[qno],0))</f>
        <v>1</v>
      </c>
      <c r="AJ1481" s="16" t="b">
        <f>INDEX(stable[q_carbon],MATCH(questions[[#This Row],[qno]],stable[qno],0))</f>
        <v>1</v>
      </c>
      <c r="AK1481" s="16" t="b">
        <f>INDEX(stable[q_regen_ag],MATCH(questions[[#This Row],[qno]],stable[qno],0))</f>
        <v>0</v>
      </c>
      <c r="AL1481" s="16" t="b">
        <f>COUNTIFS(stable[qno],questions[[#This Row],[qno]])=1</f>
        <v>1</v>
      </c>
      <c r="AM1481" s="16" t="b">
        <f>OR(questions[[#This Row],[is_fixed]],questions[[#This Row],[is_localized]],questions[[#This Row],[is_supply_chain_dependent]])</f>
        <v>1</v>
      </c>
      <c r="AN1481" s="16" t="b">
        <f>COUNTIFS(questions[[#This Row],[is_automated]:[is_multi_select]],TRUE)=1</f>
        <v>1</v>
      </c>
      <c r="AO1481" s="16" t="b">
        <f>IF(questions[[#This Row],[is_fixed]],questions[[#This Row],[question]]=INDEX(stable[question],MATCH(questions[[#This Row],[qno]],stable[qno],0)),TRUE)</f>
        <v>0</v>
      </c>
      <c r="AP1481" s="16" t="str">
        <f>LEFT(questions[[#This Row],[question]],similarity_range)</f>
        <v>If yes, what was the</v>
      </c>
      <c r="AQ1481" s="16" t="str">
        <f>LEFT(INDEX(stable[question],MATCH(questions[[#This Row],[qno]],stable[qno],0)),similarity_range)</f>
        <v>If yes, what was the</v>
      </c>
      <c r="AR1481" s="16" t="b">
        <f>questions[[#This Row],[question_first_characters]]=questions[[#This Row],[stability_first_characters]]</f>
        <v>1</v>
      </c>
      <c r="AS1481" s="16" t="b">
        <f>IF(OR(questions[[#This Row],[is_single_select]],questions[[#This Row],[is_multi_select]]),NOT(ISBLANK(questions[[#This Row],[answer_opt_combined]])),TRUE)</f>
        <v>1</v>
      </c>
    </row>
    <row r="1482" spans="1:45" ht="15.75" customHeight="1" x14ac:dyDescent="0.25">
      <c r="A1482" s="9" t="str">
        <f>_xlfn.TEXTJOIN("_",TRUE,questions[[#This Row],[origin]:[qno]])</f>
        <v>Brazil_Arabica_2025_5611</v>
      </c>
      <c r="B1482" s="9" t="s">
        <v>1025</v>
      </c>
      <c r="C1482" s="9" t="s">
        <v>59</v>
      </c>
      <c r="E1482" s="33">
        <v>2025</v>
      </c>
      <c r="F1482" s="19" t="s">
        <v>218</v>
      </c>
      <c r="G1482" s="15" t="s">
        <v>219</v>
      </c>
      <c r="H1482" s="9" t="str" cm="1">
        <f t="array" ref="H1482">INDEX(stableR[question],MATCH(VALUE(questions[[#This Row],[qno]]),VALUE(stableR[qno]),0))</f>
        <v>What was the quantity used of this most used pesticide/fungicide/herbicide last year?</v>
      </c>
      <c r="I1482" s="9" t="b" cm="1">
        <f t="array" ref="I1482">INDEX(stable[is_fixed],MATCH(VALUE(questions[[#This Row],[qno]]),VALUE(stable[qno]),0))</f>
        <v>1</v>
      </c>
      <c r="J1482" s="9" t="b" cm="1">
        <f t="array" ref="J1482">INDEX(stable[is_localized],MATCH(VALUE(questions[[#This Row],[qno]]),VALUE(stable[qno]),0))</f>
        <v>0</v>
      </c>
      <c r="K1482" s="9" t="b" cm="1">
        <f t="array" ref="K1482">INDEX(stable[is_supply_chain_dependent],MATCH(VALUE(questions[[#This Row],[qno]]),VALUE(stable[qno]),0))</f>
        <v>0</v>
      </c>
      <c r="L1482" s="9" t="b" cm="1">
        <f t="array" ref="L1482">INDEX(stable[is_mandatory],MATCH(VALUE(questions[[#This Row],[qno]]),VALUE(stable[qno]),0))</f>
        <v>0</v>
      </c>
      <c r="M1482" s="9" t="b" cm="1">
        <f t="array" ref="M1482">INDEX(stable[is_automated],MATCH(VALUE(questions[[#This Row],[qno]]),VALUE(stable[qno]),0))</f>
        <v>0</v>
      </c>
      <c r="N1482" s="9" t="b" cm="1">
        <f t="array" ref="N1482">INDEX(stable[is_free_text],MATCH(VALUE(questions[[#This Row],[qno]]),VALUE(stable[qno]),0))</f>
        <v>0</v>
      </c>
      <c r="O1482" s="9" t="b" cm="1">
        <f t="array" ref="O1482">INDEX(stable[is_numerical],MATCH(VALUE(questions[[#This Row],[qno]]),VALUE(stable[qno]),0))</f>
        <v>1</v>
      </c>
      <c r="P1482" s="9" t="b" cm="1">
        <f t="array" ref="P1482">INDEX(stable[is_single_select],MATCH(VALUE(questions[[#This Row],[qno]]),VALUE(stable[qno]),0))</f>
        <v>0</v>
      </c>
      <c r="Q1482" s="9" t="b" cm="1">
        <f t="array" ref="Q1482">INDEX(stable[is_multi_select],MATCH(VALUE(questions[[#This Row],[qno]]),VALUE(stable[qno]),0))</f>
        <v>0</v>
      </c>
      <c r="R1482" s="9" t="b" cm="1">
        <f t="array" ref="R1482">INDEX(stable[is_skip_logic],MATCH(VALUE(questions[[#This Row],[qno]]),VALUE(stable[qno]),0))</f>
        <v>1</v>
      </c>
      <c r="S1482" s="9" t="str">
        <f>_xlfn.TEXTJOIN(", ",TRUE,questions[[#This Row],[ans_opt_1]:[ans_opt_14]])</f>
        <v/>
      </c>
      <c r="AH1482" s="16" t="b">
        <f>INDEX(stable[q_standard],MATCH(questions[[#This Row],[qno]],stable[qno],0))</f>
        <v>0</v>
      </c>
      <c r="AI1482" s="16" t="b">
        <f>INDEX(stable[q_living_income],MATCH(questions[[#This Row],[qno]],stable[qno],0))</f>
        <v>1</v>
      </c>
      <c r="AJ1482" s="16" t="b">
        <f>INDEX(stable[q_carbon],MATCH(questions[[#This Row],[qno]],stable[qno],0))</f>
        <v>1</v>
      </c>
      <c r="AK1482" s="16" t="b">
        <f>INDEX(stable[q_regen_ag],MATCH(questions[[#This Row],[qno]],stable[qno],0))</f>
        <v>0</v>
      </c>
      <c r="AL1482" s="16" t="b">
        <f>COUNTIFS(stable[qno],questions[[#This Row],[qno]])=1</f>
        <v>1</v>
      </c>
      <c r="AM1482" s="16" t="b">
        <f>OR(questions[[#This Row],[is_fixed]],questions[[#This Row],[is_localized]],questions[[#This Row],[is_supply_chain_dependent]])</f>
        <v>1</v>
      </c>
      <c r="AN1482" s="16" t="b">
        <f>COUNTIFS(questions[[#This Row],[is_automated]:[is_multi_select]],TRUE)=1</f>
        <v>1</v>
      </c>
      <c r="AO1482" s="16" t="b">
        <f>IF(questions[[#This Row],[is_fixed]],questions[[#This Row],[question]]=INDEX(stable[question],MATCH(questions[[#This Row],[qno]],stable[qno],0)),TRUE)</f>
        <v>1</v>
      </c>
      <c r="AP1482" s="16" t="str">
        <f>LEFT(questions[[#This Row],[question]],similarity_range)</f>
        <v>What was the quantit</v>
      </c>
      <c r="AQ1482" s="16" t="str">
        <f>LEFT(INDEX(stable[question],MATCH(questions[[#This Row],[qno]],stable[qno],0)),similarity_range)</f>
        <v>What was the quantit</v>
      </c>
      <c r="AR1482" s="16" t="b">
        <f>questions[[#This Row],[question_first_characters]]=questions[[#This Row],[stability_first_characters]]</f>
        <v>1</v>
      </c>
      <c r="AS1482" s="16" t="b">
        <f>IF(OR(questions[[#This Row],[is_single_select]],questions[[#This Row],[is_multi_select]]),NOT(ISBLANK(questions[[#This Row],[answer_opt_combined]])),TRUE)</f>
        <v>1</v>
      </c>
    </row>
    <row r="1483" spans="1:45" s="77" customFormat="1" ht="15.75" customHeight="1" x14ac:dyDescent="0.25">
      <c r="A1483" s="77" t="str">
        <f>_xlfn.TEXTJOIN("_",TRUE,questions[[#This Row],[origin]:[qno]])</f>
        <v>Brazil_Arabica_2025_5612</v>
      </c>
      <c r="B1483" s="77" t="s">
        <v>1025</v>
      </c>
      <c r="C1483" s="77" t="s">
        <v>59</v>
      </c>
      <c r="E1483" s="77">
        <v>2025</v>
      </c>
      <c r="F1483" s="107" t="s">
        <v>220</v>
      </c>
      <c r="G1483" s="78" t="s">
        <v>221</v>
      </c>
      <c r="H1483" s="9" t="str" cm="1">
        <f t="array" ref="H1483">INDEX(stableR[question],MATCH(VALUE(questions[[#This Row],[qno]]),VALUE(stableR[qno]),0))</f>
        <v>What was the unit of this most used pesticide/fungicide/herbicide?</v>
      </c>
      <c r="I1483" s="9" t="b" cm="1">
        <f t="array" ref="I1483">INDEX(stable[is_fixed],MATCH(VALUE(questions[[#This Row],[qno]]),VALUE(stable[qno]),0))</f>
        <v>1</v>
      </c>
      <c r="J1483" s="9" t="b" cm="1">
        <f t="array" ref="J1483">INDEX(stable[is_localized],MATCH(VALUE(questions[[#This Row],[qno]]),VALUE(stable[qno]),0))</f>
        <v>0</v>
      </c>
      <c r="K1483" s="9" t="b" cm="1">
        <f t="array" ref="K1483">INDEX(stable[is_supply_chain_dependent],MATCH(VALUE(questions[[#This Row],[qno]]),VALUE(stable[qno]),0))</f>
        <v>0</v>
      </c>
      <c r="L1483" s="9" t="b" cm="1">
        <f t="array" ref="L1483">INDEX(stable[is_mandatory],MATCH(VALUE(questions[[#This Row],[qno]]),VALUE(stable[qno]),0))</f>
        <v>0</v>
      </c>
      <c r="M1483" s="9" t="b" cm="1">
        <f t="array" ref="M1483">INDEX(stable[is_automated],MATCH(VALUE(questions[[#This Row],[qno]]),VALUE(stable[qno]),0))</f>
        <v>0</v>
      </c>
      <c r="N1483" s="9" t="b" cm="1">
        <f t="array" ref="N1483">INDEX(stable[is_free_text],MATCH(VALUE(questions[[#This Row],[qno]]),VALUE(stable[qno]),0))</f>
        <v>0</v>
      </c>
      <c r="O1483" s="9" t="b" cm="1">
        <f t="array" ref="O1483">INDEX(stable[is_numerical],MATCH(VALUE(questions[[#This Row],[qno]]),VALUE(stable[qno]),0))</f>
        <v>0</v>
      </c>
      <c r="P1483" s="77" t="b" cm="1">
        <f t="array" ref="P1483">INDEX(stable[is_single_select],MATCH(VALUE(questions[[#This Row],[qno]]),VALUE(stable[qno]),0))</f>
        <v>1</v>
      </c>
      <c r="Q1483" s="77" t="b" cm="1">
        <f t="array" ref="Q1483">INDEX(stable[is_multi_select],MATCH(VALUE(questions[[#This Row],[qno]]),VALUE(stable[qno]),0))</f>
        <v>0</v>
      </c>
      <c r="R1483" s="77" t="b" cm="1">
        <f t="array" ref="R1483">INDEX(stable[is_skip_logic],MATCH(VALUE(questions[[#This Row],[qno]]),VALUE(stable[qno]),0))</f>
        <v>1</v>
      </c>
      <c r="S1483" s="77" t="str">
        <f>_xlfn.TEXTJOIN(", ",TRUE,questions[[#This Row],[ans_opt_1]:[ans_opt_14]])</f>
        <v>Kgs, Grams, Liters, Mililiters</v>
      </c>
      <c r="T1483" s="77" t="s">
        <v>222</v>
      </c>
      <c r="U1483" s="77" t="s">
        <v>223</v>
      </c>
      <c r="V1483" s="77" t="s">
        <v>224</v>
      </c>
      <c r="W1483" s="77" t="s">
        <v>225</v>
      </c>
      <c r="AH1483" s="98" t="b">
        <f>INDEX(stable[q_standard],MATCH(questions[[#This Row],[qno]],stable[qno],0))</f>
        <v>0</v>
      </c>
      <c r="AI1483" s="98" t="b">
        <f>INDEX(stable[q_living_income],MATCH(questions[[#This Row],[qno]],stable[qno],0))</f>
        <v>1</v>
      </c>
      <c r="AJ1483" s="98" t="b">
        <f>INDEX(stable[q_carbon],MATCH(questions[[#This Row],[qno]],stable[qno],0))</f>
        <v>1</v>
      </c>
      <c r="AK1483" s="98" t="b">
        <f>INDEX(stable[q_regen_ag],MATCH(questions[[#This Row],[qno]],stable[qno],0))</f>
        <v>0</v>
      </c>
      <c r="AL1483" s="98" t="b">
        <f>COUNTIFS(stable[qno],questions[[#This Row],[qno]])=1</f>
        <v>1</v>
      </c>
      <c r="AM1483" s="98" t="b">
        <f>OR(questions[[#This Row],[is_fixed]],questions[[#This Row],[is_localized]],questions[[#This Row],[is_supply_chain_dependent]])</f>
        <v>1</v>
      </c>
      <c r="AN1483" s="98" t="b">
        <f>COUNTIFS(questions[[#This Row],[is_automated]:[is_multi_select]],TRUE)=1</f>
        <v>1</v>
      </c>
      <c r="AO1483" s="98" t="b">
        <f>IF(questions[[#This Row],[is_fixed]],questions[[#This Row],[question]]=INDEX(stable[question],MATCH(questions[[#This Row],[qno]],stable[qno],0)),TRUE)</f>
        <v>1</v>
      </c>
      <c r="AP1483" s="98" t="str">
        <f>LEFT(questions[[#This Row],[question]],similarity_range)</f>
        <v>What was the unit of</v>
      </c>
      <c r="AQ1483" s="98" t="str">
        <f>LEFT(INDEX(stable[question],MATCH(questions[[#This Row],[qno]],stable[qno],0)),similarity_range)</f>
        <v>What was the unit of</v>
      </c>
      <c r="AR1483" s="98" t="b">
        <f>questions[[#This Row],[question_first_characters]]=questions[[#This Row],[stability_first_characters]]</f>
        <v>1</v>
      </c>
      <c r="AS1483" s="98" t="b">
        <f>IF(OR(questions[[#This Row],[is_single_select]],questions[[#This Row],[is_multi_select]]),NOT(ISBLANK(questions[[#This Row],[answer_opt_combined]])),TRUE)</f>
        <v>1</v>
      </c>
    </row>
    <row r="1484" spans="1:45" ht="15.75" customHeight="1" x14ac:dyDescent="0.25">
      <c r="A1484" s="9" t="str">
        <f>_xlfn.TEXTJOIN("_",TRUE,questions[[#This Row],[origin]:[qno]])</f>
        <v>Brazil_Arabica_2025_5620</v>
      </c>
      <c r="B1484" s="9" t="s">
        <v>1025</v>
      </c>
      <c r="C1484" s="9" t="s">
        <v>59</v>
      </c>
      <c r="E1484" s="33">
        <v>2025</v>
      </c>
      <c r="F1484" s="19" t="s">
        <v>226</v>
      </c>
      <c r="G1484" s="15" t="s">
        <v>848</v>
      </c>
      <c r="H1484" s="9" t="str" cm="1">
        <f t="array" ref="H1484">INDEX(stableR[question],MATCH(VALUE(questions[[#This Row],[qno]]),VALUE(stableR[qno]),0))</f>
        <v>What was the name of the pesticide/fungicide or herbicide that you used second most, last year?</v>
      </c>
      <c r="I1484" s="9" t="b" cm="1">
        <f t="array" ref="I1484">INDEX(stable[is_fixed],MATCH(VALUE(questions[[#This Row],[qno]]),VALUE(stable[qno]),0))</f>
        <v>1</v>
      </c>
      <c r="J1484" s="9" t="b" cm="1">
        <f t="array" ref="J1484">INDEX(stable[is_localized],MATCH(VALUE(questions[[#This Row],[qno]]),VALUE(stable[qno]),0))</f>
        <v>0</v>
      </c>
      <c r="K1484" s="9" t="b" cm="1">
        <f t="array" ref="K1484">INDEX(stable[is_supply_chain_dependent],MATCH(VALUE(questions[[#This Row],[qno]]),VALUE(stable[qno]),0))</f>
        <v>0</v>
      </c>
      <c r="L1484" s="9" t="b" cm="1">
        <f t="array" ref="L1484">INDEX(stable[is_mandatory],MATCH(VALUE(questions[[#This Row],[qno]]),VALUE(stable[qno]),0))</f>
        <v>0</v>
      </c>
      <c r="M1484" s="9" t="b" cm="1">
        <f t="array" ref="M1484">INDEX(stable[is_automated],MATCH(VALUE(questions[[#This Row],[qno]]),VALUE(stable[qno]),0))</f>
        <v>0</v>
      </c>
      <c r="N1484" s="9" t="b" cm="1">
        <f t="array" ref="N1484">INDEX(stable[is_free_text],MATCH(VALUE(questions[[#This Row],[qno]]),VALUE(stable[qno]),0))</f>
        <v>1</v>
      </c>
      <c r="O1484" s="9" t="b" cm="1">
        <f t="array" ref="O1484">INDEX(stable[is_numerical],MATCH(VALUE(questions[[#This Row],[qno]]),VALUE(stable[qno]),0))</f>
        <v>0</v>
      </c>
      <c r="P1484" s="9" t="b" cm="1">
        <f t="array" ref="P1484">INDEX(stable[is_single_select],MATCH(VALUE(questions[[#This Row],[qno]]),VALUE(stable[qno]),0))</f>
        <v>0</v>
      </c>
      <c r="Q1484" s="9" t="b" cm="1">
        <f t="array" ref="Q1484">INDEX(stable[is_multi_select],MATCH(VALUE(questions[[#This Row],[qno]]),VALUE(stable[qno]),0))</f>
        <v>0</v>
      </c>
      <c r="R1484" s="9" t="b" cm="1">
        <f t="array" ref="R1484">INDEX(stable[is_skip_logic],MATCH(VALUE(questions[[#This Row],[qno]]),VALUE(stable[qno]),0))</f>
        <v>1</v>
      </c>
      <c r="S1484" s="9" t="str">
        <f>_xlfn.TEXTJOIN(", ",TRUE,questions[[#This Row],[ans_opt_1]:[ans_opt_14]])</f>
        <v/>
      </c>
      <c r="AH1484" s="16" t="b">
        <f>INDEX(stable[q_standard],MATCH(questions[[#This Row],[qno]],stable[qno],0))</f>
        <v>0</v>
      </c>
      <c r="AI1484" s="16" t="b">
        <f>INDEX(stable[q_living_income],MATCH(questions[[#This Row],[qno]],stable[qno],0))</f>
        <v>1</v>
      </c>
      <c r="AJ1484" s="16" t="b">
        <f>INDEX(stable[q_carbon],MATCH(questions[[#This Row],[qno]],stable[qno],0))</f>
        <v>1</v>
      </c>
      <c r="AK1484" s="16" t="b">
        <f>INDEX(stable[q_regen_ag],MATCH(questions[[#This Row],[qno]],stable[qno],0))</f>
        <v>0</v>
      </c>
      <c r="AL1484" s="16" t="b">
        <f>COUNTIFS(stable[qno],questions[[#This Row],[qno]])=1</f>
        <v>1</v>
      </c>
      <c r="AM1484" s="16" t="b">
        <f>OR(questions[[#This Row],[is_fixed]],questions[[#This Row],[is_localized]],questions[[#This Row],[is_supply_chain_dependent]])</f>
        <v>1</v>
      </c>
      <c r="AN1484" s="16" t="b">
        <f>COUNTIFS(questions[[#This Row],[is_automated]:[is_multi_select]],TRUE)=1</f>
        <v>1</v>
      </c>
      <c r="AO1484" s="16" t="b">
        <f>IF(questions[[#This Row],[is_fixed]],questions[[#This Row],[question]]=INDEX(stable[question],MATCH(questions[[#This Row],[qno]],stable[qno],0)),TRUE)</f>
        <v>0</v>
      </c>
      <c r="AP1484" s="16" t="str">
        <f>LEFT(questions[[#This Row],[question]],similarity_range)</f>
        <v>If yes, what was the</v>
      </c>
      <c r="AQ1484" s="16" t="str">
        <f>LEFT(INDEX(stable[question],MATCH(questions[[#This Row],[qno]],stable[qno],0)),similarity_range)</f>
        <v>If yes, what was the</v>
      </c>
      <c r="AR1484" s="16" t="b">
        <f>questions[[#This Row],[question_first_characters]]=questions[[#This Row],[stability_first_characters]]</f>
        <v>1</v>
      </c>
      <c r="AS1484" s="16" t="b">
        <f>IF(OR(questions[[#This Row],[is_single_select]],questions[[#This Row],[is_multi_select]]),NOT(ISBLANK(questions[[#This Row],[answer_opt_combined]])),TRUE)</f>
        <v>1</v>
      </c>
    </row>
    <row r="1485" spans="1:45" ht="15.75" customHeight="1" x14ac:dyDescent="0.25">
      <c r="A1485" s="9" t="str">
        <f>_xlfn.TEXTJOIN("_",TRUE,questions[[#This Row],[origin]:[qno]])</f>
        <v>Brazil_Arabica_2025_5621</v>
      </c>
      <c r="B1485" s="9" t="s">
        <v>1025</v>
      </c>
      <c r="C1485" s="9" t="s">
        <v>59</v>
      </c>
      <c r="E1485" s="33">
        <v>2025</v>
      </c>
      <c r="F1485" s="19" t="s">
        <v>228</v>
      </c>
      <c r="G1485" s="15" t="s">
        <v>229</v>
      </c>
      <c r="H1485" s="9" t="str" cm="1">
        <f t="array" ref="H1485">INDEX(stableR[question],MATCH(VALUE(questions[[#This Row],[qno]]),VALUE(stableR[qno]),0))</f>
        <v>What was the quantity used of this second most used pesticide/fungicide/herbicide last year?</v>
      </c>
      <c r="I1485" s="9" t="b" cm="1">
        <f t="array" ref="I1485">INDEX(stable[is_fixed],MATCH(VALUE(questions[[#This Row],[qno]]),VALUE(stable[qno]),0))</f>
        <v>1</v>
      </c>
      <c r="J1485" s="9" t="b" cm="1">
        <f t="array" ref="J1485">INDEX(stable[is_localized],MATCH(VALUE(questions[[#This Row],[qno]]),VALUE(stable[qno]),0))</f>
        <v>0</v>
      </c>
      <c r="K1485" s="9" t="b" cm="1">
        <f t="array" ref="K1485">INDEX(stable[is_supply_chain_dependent],MATCH(VALUE(questions[[#This Row],[qno]]),VALUE(stable[qno]),0))</f>
        <v>0</v>
      </c>
      <c r="L1485" s="9" t="b" cm="1">
        <f t="array" ref="L1485">INDEX(stable[is_mandatory],MATCH(VALUE(questions[[#This Row],[qno]]),VALUE(stable[qno]),0))</f>
        <v>0</v>
      </c>
      <c r="M1485" s="9" t="b" cm="1">
        <f t="array" ref="M1485">INDEX(stable[is_automated],MATCH(VALUE(questions[[#This Row],[qno]]),VALUE(stable[qno]),0))</f>
        <v>0</v>
      </c>
      <c r="N1485" s="9" t="b" cm="1">
        <f t="array" ref="N1485">INDEX(stable[is_free_text],MATCH(VALUE(questions[[#This Row],[qno]]),VALUE(stable[qno]),0))</f>
        <v>0</v>
      </c>
      <c r="O1485" s="9" t="b" cm="1">
        <f t="array" ref="O1485">INDEX(stable[is_numerical],MATCH(VALUE(questions[[#This Row],[qno]]),VALUE(stable[qno]),0))</f>
        <v>1</v>
      </c>
      <c r="P1485" s="9" t="b" cm="1">
        <f t="array" ref="P1485">INDEX(stable[is_single_select],MATCH(VALUE(questions[[#This Row],[qno]]),VALUE(stable[qno]),0))</f>
        <v>0</v>
      </c>
      <c r="Q1485" s="9" t="b" cm="1">
        <f t="array" ref="Q1485">INDEX(stable[is_multi_select],MATCH(VALUE(questions[[#This Row],[qno]]),VALUE(stable[qno]),0))</f>
        <v>0</v>
      </c>
      <c r="R1485" s="9" t="b" cm="1">
        <f t="array" ref="R1485">INDEX(stable[is_skip_logic],MATCH(VALUE(questions[[#This Row],[qno]]),VALUE(stable[qno]),0))</f>
        <v>1</v>
      </c>
      <c r="S1485" s="9" t="str">
        <f>_xlfn.TEXTJOIN(", ",TRUE,questions[[#This Row],[ans_opt_1]:[ans_opt_14]])</f>
        <v/>
      </c>
      <c r="AH1485" s="16" t="b">
        <f>INDEX(stable[q_standard],MATCH(questions[[#This Row],[qno]],stable[qno],0))</f>
        <v>0</v>
      </c>
      <c r="AI1485" s="16" t="b">
        <f>INDEX(stable[q_living_income],MATCH(questions[[#This Row],[qno]],stable[qno],0))</f>
        <v>1</v>
      </c>
      <c r="AJ1485" s="16" t="b">
        <f>INDEX(stable[q_carbon],MATCH(questions[[#This Row],[qno]],stable[qno],0))</f>
        <v>1</v>
      </c>
      <c r="AK1485" s="16" t="b">
        <f>INDEX(stable[q_regen_ag],MATCH(questions[[#This Row],[qno]],stable[qno],0))</f>
        <v>0</v>
      </c>
      <c r="AL1485" s="16" t="b">
        <f>COUNTIFS(stable[qno],questions[[#This Row],[qno]])=1</f>
        <v>1</v>
      </c>
      <c r="AM1485" s="16" t="b">
        <f>OR(questions[[#This Row],[is_fixed]],questions[[#This Row],[is_localized]],questions[[#This Row],[is_supply_chain_dependent]])</f>
        <v>1</v>
      </c>
      <c r="AN1485" s="16" t="b">
        <f>COUNTIFS(questions[[#This Row],[is_automated]:[is_multi_select]],TRUE)=1</f>
        <v>1</v>
      </c>
      <c r="AO1485" s="16" t="b">
        <f>IF(questions[[#This Row],[is_fixed]],questions[[#This Row],[question]]=INDEX(stable[question],MATCH(questions[[#This Row],[qno]],stable[qno],0)),TRUE)</f>
        <v>1</v>
      </c>
      <c r="AP1485" s="16" t="str">
        <f>LEFT(questions[[#This Row],[question]],similarity_range)</f>
        <v>What was the quantit</v>
      </c>
      <c r="AQ1485" s="16" t="str">
        <f>LEFT(INDEX(stable[question],MATCH(questions[[#This Row],[qno]],stable[qno],0)),similarity_range)</f>
        <v>What was the quantit</v>
      </c>
      <c r="AR1485" s="16" t="b">
        <f>questions[[#This Row],[question_first_characters]]=questions[[#This Row],[stability_first_characters]]</f>
        <v>1</v>
      </c>
      <c r="AS1485" s="16" t="b">
        <f>IF(OR(questions[[#This Row],[is_single_select]],questions[[#This Row],[is_multi_select]]),NOT(ISBLANK(questions[[#This Row],[answer_opt_combined]])),TRUE)</f>
        <v>1</v>
      </c>
    </row>
    <row r="1486" spans="1:45" s="77" customFormat="1" ht="15.75" customHeight="1" x14ac:dyDescent="0.25">
      <c r="A1486" s="77" t="str">
        <f>_xlfn.TEXTJOIN("_",TRUE,questions[[#This Row],[origin]:[qno]])</f>
        <v>Brazil_Arabica_2025_5622</v>
      </c>
      <c r="B1486" s="77" t="s">
        <v>1025</v>
      </c>
      <c r="C1486" s="77" t="s">
        <v>59</v>
      </c>
      <c r="E1486" s="77">
        <v>2025</v>
      </c>
      <c r="F1486" s="107" t="s">
        <v>230</v>
      </c>
      <c r="G1486" s="78" t="s">
        <v>231</v>
      </c>
      <c r="H1486" s="9" t="str" cm="1">
        <f t="array" ref="H1486">INDEX(stableR[question],MATCH(VALUE(questions[[#This Row],[qno]]),VALUE(stableR[qno]),0))</f>
        <v>What was the unit of this second most used pesticide/fungicide/herbicide?</v>
      </c>
      <c r="I1486" s="9" t="b" cm="1">
        <f t="array" ref="I1486">INDEX(stable[is_fixed],MATCH(VALUE(questions[[#This Row],[qno]]),VALUE(stable[qno]),0))</f>
        <v>1</v>
      </c>
      <c r="J1486" s="9" t="b" cm="1">
        <f t="array" ref="J1486">INDEX(stable[is_localized],MATCH(VALUE(questions[[#This Row],[qno]]),VALUE(stable[qno]),0))</f>
        <v>0</v>
      </c>
      <c r="K1486" s="9" t="b" cm="1">
        <f t="array" ref="K1486">INDEX(stable[is_supply_chain_dependent],MATCH(VALUE(questions[[#This Row],[qno]]),VALUE(stable[qno]),0))</f>
        <v>0</v>
      </c>
      <c r="L1486" s="9" t="b" cm="1">
        <f t="array" ref="L1486">INDEX(stable[is_mandatory],MATCH(VALUE(questions[[#This Row],[qno]]),VALUE(stable[qno]),0))</f>
        <v>0</v>
      </c>
      <c r="M1486" s="9" t="b" cm="1">
        <f t="array" ref="M1486">INDEX(stable[is_automated],MATCH(VALUE(questions[[#This Row],[qno]]),VALUE(stable[qno]),0))</f>
        <v>0</v>
      </c>
      <c r="N1486" s="9" t="b" cm="1">
        <f t="array" ref="N1486">INDEX(stable[is_free_text],MATCH(VALUE(questions[[#This Row],[qno]]),VALUE(stable[qno]),0))</f>
        <v>0</v>
      </c>
      <c r="O1486" s="9" t="b" cm="1">
        <f t="array" ref="O1486">INDEX(stable[is_numerical],MATCH(VALUE(questions[[#This Row],[qno]]),VALUE(stable[qno]),0))</f>
        <v>0</v>
      </c>
      <c r="P1486" s="77" t="b" cm="1">
        <f t="array" ref="P1486">INDEX(stable[is_single_select],MATCH(VALUE(questions[[#This Row],[qno]]),VALUE(stable[qno]),0))</f>
        <v>1</v>
      </c>
      <c r="Q1486" s="77" t="b" cm="1">
        <f t="array" ref="Q1486">INDEX(stable[is_multi_select],MATCH(VALUE(questions[[#This Row],[qno]]),VALUE(stable[qno]),0))</f>
        <v>0</v>
      </c>
      <c r="R1486" s="77" t="b" cm="1">
        <f t="array" ref="R1486">INDEX(stable[is_skip_logic],MATCH(VALUE(questions[[#This Row],[qno]]),VALUE(stable[qno]),0))</f>
        <v>1</v>
      </c>
      <c r="S1486" s="77" t="str">
        <f>_xlfn.TEXTJOIN(", ",TRUE,questions[[#This Row],[ans_opt_1]:[ans_opt_14]])</f>
        <v>Kgs, Grams, Liters, Mililiters</v>
      </c>
      <c r="T1486" s="77" t="s">
        <v>222</v>
      </c>
      <c r="U1486" s="77" t="s">
        <v>223</v>
      </c>
      <c r="V1486" s="77" t="s">
        <v>224</v>
      </c>
      <c r="W1486" s="77" t="s">
        <v>225</v>
      </c>
      <c r="AH1486" s="98" t="b">
        <f>INDEX(stable[q_standard],MATCH(questions[[#This Row],[qno]],stable[qno],0))</f>
        <v>0</v>
      </c>
      <c r="AI1486" s="98" t="b">
        <f>INDEX(stable[q_living_income],MATCH(questions[[#This Row],[qno]],stable[qno],0))</f>
        <v>1</v>
      </c>
      <c r="AJ1486" s="98" t="b">
        <f>INDEX(stable[q_carbon],MATCH(questions[[#This Row],[qno]],stable[qno],0))</f>
        <v>1</v>
      </c>
      <c r="AK1486" s="98" t="b">
        <f>INDEX(stable[q_regen_ag],MATCH(questions[[#This Row],[qno]],stable[qno],0))</f>
        <v>0</v>
      </c>
      <c r="AL1486" s="98" t="b">
        <f>COUNTIFS(stable[qno],questions[[#This Row],[qno]])=1</f>
        <v>1</v>
      </c>
      <c r="AM1486" s="98" t="b">
        <f>OR(questions[[#This Row],[is_fixed]],questions[[#This Row],[is_localized]],questions[[#This Row],[is_supply_chain_dependent]])</f>
        <v>1</v>
      </c>
      <c r="AN1486" s="98" t="b">
        <f>COUNTIFS(questions[[#This Row],[is_automated]:[is_multi_select]],TRUE)=1</f>
        <v>1</v>
      </c>
      <c r="AO1486" s="98" t="b">
        <f>IF(questions[[#This Row],[is_fixed]],questions[[#This Row],[question]]=INDEX(stable[question],MATCH(questions[[#This Row],[qno]],stable[qno],0)),TRUE)</f>
        <v>1</v>
      </c>
      <c r="AP1486" s="98" t="str">
        <f>LEFT(questions[[#This Row],[question]],similarity_range)</f>
        <v>What was the unit of</v>
      </c>
      <c r="AQ1486" s="98" t="str">
        <f>LEFT(INDEX(stable[question],MATCH(questions[[#This Row],[qno]],stable[qno],0)),similarity_range)</f>
        <v>What was the unit of</v>
      </c>
      <c r="AR1486" s="98" t="b">
        <f>questions[[#This Row],[question_first_characters]]=questions[[#This Row],[stability_first_characters]]</f>
        <v>1</v>
      </c>
      <c r="AS1486" s="98" t="b">
        <f>IF(OR(questions[[#This Row],[is_single_select]],questions[[#This Row],[is_multi_select]]),NOT(ISBLANK(questions[[#This Row],[answer_opt_combined]])),TRUE)</f>
        <v>1</v>
      </c>
    </row>
    <row r="1487" spans="1:45" ht="15.75" customHeight="1" x14ac:dyDescent="0.25">
      <c r="A1487" s="9" t="str">
        <f>_xlfn.TEXTJOIN("_",TRUE,questions[[#This Row],[origin]:[qno]])</f>
        <v>Brazil_Arabica_2025_5630</v>
      </c>
      <c r="B1487" s="9" t="s">
        <v>1025</v>
      </c>
      <c r="C1487" s="9" t="s">
        <v>59</v>
      </c>
      <c r="E1487" s="33">
        <v>2025</v>
      </c>
      <c r="F1487" s="19" t="s">
        <v>232</v>
      </c>
      <c r="G1487" s="15" t="s">
        <v>849</v>
      </c>
      <c r="H1487" s="9" t="str" cm="1">
        <f t="array" ref="H1487">INDEX(stableR[question],MATCH(VALUE(questions[[#This Row],[qno]]),VALUE(stableR[qno]),0))</f>
        <v>What was the name of the pesticide/fungicide or herbicide that you used third most, last year?</v>
      </c>
      <c r="I1487" s="9" t="b" cm="1">
        <f t="array" ref="I1487">INDEX(stable[is_fixed],MATCH(VALUE(questions[[#This Row],[qno]]),VALUE(stable[qno]),0))</f>
        <v>1</v>
      </c>
      <c r="J1487" s="9" t="b" cm="1">
        <f t="array" ref="J1487">INDEX(stable[is_localized],MATCH(VALUE(questions[[#This Row],[qno]]),VALUE(stable[qno]),0))</f>
        <v>0</v>
      </c>
      <c r="K1487" s="9" t="b" cm="1">
        <f t="array" ref="K1487">INDEX(stable[is_supply_chain_dependent],MATCH(VALUE(questions[[#This Row],[qno]]),VALUE(stable[qno]),0))</f>
        <v>0</v>
      </c>
      <c r="L1487" s="9" t="b" cm="1">
        <f t="array" ref="L1487">INDEX(stable[is_mandatory],MATCH(VALUE(questions[[#This Row],[qno]]),VALUE(stable[qno]),0))</f>
        <v>0</v>
      </c>
      <c r="M1487" s="9" t="b" cm="1">
        <f t="array" ref="M1487">INDEX(stable[is_automated],MATCH(VALUE(questions[[#This Row],[qno]]),VALUE(stable[qno]),0))</f>
        <v>0</v>
      </c>
      <c r="N1487" s="9" t="b" cm="1">
        <f t="array" ref="N1487">INDEX(stable[is_free_text],MATCH(VALUE(questions[[#This Row],[qno]]),VALUE(stable[qno]),0))</f>
        <v>1</v>
      </c>
      <c r="O1487" s="9" t="b" cm="1">
        <f t="array" ref="O1487">INDEX(stable[is_numerical],MATCH(VALUE(questions[[#This Row],[qno]]),VALUE(stable[qno]),0))</f>
        <v>0</v>
      </c>
      <c r="P1487" s="9" t="b" cm="1">
        <f t="array" ref="P1487">INDEX(stable[is_single_select],MATCH(VALUE(questions[[#This Row],[qno]]),VALUE(stable[qno]),0))</f>
        <v>0</v>
      </c>
      <c r="Q1487" s="9" t="b" cm="1">
        <f t="array" ref="Q1487">INDEX(stable[is_multi_select],MATCH(VALUE(questions[[#This Row],[qno]]),VALUE(stable[qno]),0))</f>
        <v>0</v>
      </c>
      <c r="R1487" s="9" t="b" cm="1">
        <f t="array" ref="R1487">INDEX(stable[is_skip_logic],MATCH(VALUE(questions[[#This Row],[qno]]),VALUE(stable[qno]),0))</f>
        <v>1</v>
      </c>
      <c r="S1487" s="9" t="str">
        <f>_xlfn.TEXTJOIN(", ",TRUE,questions[[#This Row],[ans_opt_1]:[ans_opt_14]])</f>
        <v/>
      </c>
      <c r="AH1487" s="16" t="b">
        <f>INDEX(stable[q_standard],MATCH(questions[[#This Row],[qno]],stable[qno],0))</f>
        <v>0</v>
      </c>
      <c r="AI1487" s="16" t="b">
        <f>INDEX(stable[q_living_income],MATCH(questions[[#This Row],[qno]],stable[qno],0))</f>
        <v>1</v>
      </c>
      <c r="AJ1487" s="16" t="b">
        <f>INDEX(stable[q_carbon],MATCH(questions[[#This Row],[qno]],stable[qno],0))</f>
        <v>1</v>
      </c>
      <c r="AK1487" s="16" t="b">
        <f>INDEX(stable[q_regen_ag],MATCH(questions[[#This Row],[qno]],stable[qno],0))</f>
        <v>0</v>
      </c>
      <c r="AL1487" s="16" t="b">
        <f>COUNTIFS(stable[qno],questions[[#This Row],[qno]])=1</f>
        <v>1</v>
      </c>
      <c r="AM1487" s="16" t="b">
        <f>OR(questions[[#This Row],[is_fixed]],questions[[#This Row],[is_localized]],questions[[#This Row],[is_supply_chain_dependent]])</f>
        <v>1</v>
      </c>
      <c r="AN1487" s="16" t="b">
        <f>COUNTIFS(questions[[#This Row],[is_automated]:[is_multi_select]],TRUE)=1</f>
        <v>1</v>
      </c>
      <c r="AO1487" s="16" t="b">
        <f>IF(questions[[#This Row],[is_fixed]],questions[[#This Row],[question]]=INDEX(stable[question],MATCH(questions[[#This Row],[qno]],stable[qno],0)),TRUE)</f>
        <v>0</v>
      </c>
      <c r="AP1487" s="16" t="str">
        <f>LEFT(questions[[#This Row],[question]],similarity_range)</f>
        <v>If yes, what was the</v>
      </c>
      <c r="AQ1487" s="16" t="str">
        <f>LEFT(INDEX(stable[question],MATCH(questions[[#This Row],[qno]],stable[qno],0)),similarity_range)</f>
        <v>If yes, what was the</v>
      </c>
      <c r="AR1487" s="16" t="b">
        <f>questions[[#This Row],[question_first_characters]]=questions[[#This Row],[stability_first_characters]]</f>
        <v>1</v>
      </c>
      <c r="AS1487" s="16" t="b">
        <f>IF(OR(questions[[#This Row],[is_single_select]],questions[[#This Row],[is_multi_select]]),NOT(ISBLANK(questions[[#This Row],[answer_opt_combined]])),TRUE)</f>
        <v>1</v>
      </c>
    </row>
    <row r="1488" spans="1:45" ht="15.75" customHeight="1" x14ac:dyDescent="0.25">
      <c r="A1488" s="9" t="str">
        <f>_xlfn.TEXTJOIN("_",TRUE,questions[[#This Row],[origin]:[qno]])</f>
        <v>Brazil_Arabica_2025_5631</v>
      </c>
      <c r="B1488" s="9" t="s">
        <v>1025</v>
      </c>
      <c r="C1488" s="9" t="s">
        <v>59</v>
      </c>
      <c r="E1488" s="33">
        <v>2025</v>
      </c>
      <c r="F1488" s="19" t="s">
        <v>234</v>
      </c>
      <c r="G1488" s="15" t="s">
        <v>235</v>
      </c>
      <c r="H1488" s="9" t="str" cm="1">
        <f t="array" ref="H1488">INDEX(stableR[question],MATCH(VALUE(questions[[#This Row],[qno]]),VALUE(stableR[qno]),0))</f>
        <v>What was the quantity used of this third most used pesticide/fungicide/herbicide last year?</v>
      </c>
      <c r="I1488" s="9" t="b" cm="1">
        <f t="array" ref="I1488">INDEX(stable[is_fixed],MATCH(VALUE(questions[[#This Row],[qno]]),VALUE(stable[qno]),0))</f>
        <v>1</v>
      </c>
      <c r="J1488" s="9" t="b" cm="1">
        <f t="array" ref="J1488">INDEX(stable[is_localized],MATCH(VALUE(questions[[#This Row],[qno]]),VALUE(stable[qno]),0))</f>
        <v>0</v>
      </c>
      <c r="K1488" s="9" t="b" cm="1">
        <f t="array" ref="K1488">INDEX(stable[is_supply_chain_dependent],MATCH(VALUE(questions[[#This Row],[qno]]),VALUE(stable[qno]),0))</f>
        <v>0</v>
      </c>
      <c r="L1488" s="9" t="b" cm="1">
        <f t="array" ref="L1488">INDEX(stable[is_mandatory],MATCH(VALUE(questions[[#This Row],[qno]]),VALUE(stable[qno]),0))</f>
        <v>0</v>
      </c>
      <c r="M1488" s="9" t="b" cm="1">
        <f t="array" ref="M1488">INDEX(stable[is_automated],MATCH(VALUE(questions[[#This Row],[qno]]),VALUE(stable[qno]),0))</f>
        <v>0</v>
      </c>
      <c r="N1488" s="9" t="b" cm="1">
        <f t="array" ref="N1488">INDEX(stable[is_free_text],MATCH(VALUE(questions[[#This Row],[qno]]),VALUE(stable[qno]),0))</f>
        <v>0</v>
      </c>
      <c r="O1488" s="9" t="b" cm="1">
        <f t="array" ref="O1488">INDEX(stable[is_numerical],MATCH(VALUE(questions[[#This Row],[qno]]),VALUE(stable[qno]),0))</f>
        <v>1</v>
      </c>
      <c r="P1488" s="9" t="b" cm="1">
        <f t="array" ref="P1488">INDEX(stable[is_single_select],MATCH(VALUE(questions[[#This Row],[qno]]),VALUE(stable[qno]),0))</f>
        <v>0</v>
      </c>
      <c r="Q1488" s="9" t="b" cm="1">
        <f t="array" ref="Q1488">INDEX(stable[is_multi_select],MATCH(VALUE(questions[[#This Row],[qno]]),VALUE(stable[qno]),0))</f>
        <v>0</v>
      </c>
      <c r="R1488" s="9" t="b" cm="1">
        <f t="array" ref="R1488">INDEX(stable[is_skip_logic],MATCH(VALUE(questions[[#This Row],[qno]]),VALUE(stable[qno]),0))</f>
        <v>1</v>
      </c>
      <c r="S1488" s="9" t="str">
        <f>_xlfn.TEXTJOIN(", ",TRUE,questions[[#This Row],[ans_opt_1]:[ans_opt_14]])</f>
        <v/>
      </c>
      <c r="AH1488" s="16" t="b">
        <f>INDEX(stable[q_standard],MATCH(questions[[#This Row],[qno]],stable[qno],0))</f>
        <v>0</v>
      </c>
      <c r="AI1488" s="16" t="b">
        <f>INDEX(stable[q_living_income],MATCH(questions[[#This Row],[qno]],stable[qno],0))</f>
        <v>1</v>
      </c>
      <c r="AJ1488" s="16" t="b">
        <f>INDEX(stable[q_carbon],MATCH(questions[[#This Row],[qno]],stable[qno],0))</f>
        <v>1</v>
      </c>
      <c r="AK1488" s="16" t="b">
        <f>INDEX(stable[q_regen_ag],MATCH(questions[[#This Row],[qno]],stable[qno],0))</f>
        <v>0</v>
      </c>
      <c r="AL1488" s="16" t="b">
        <f>COUNTIFS(stable[qno],questions[[#This Row],[qno]])=1</f>
        <v>1</v>
      </c>
      <c r="AM1488" s="16" t="b">
        <f>OR(questions[[#This Row],[is_fixed]],questions[[#This Row],[is_localized]],questions[[#This Row],[is_supply_chain_dependent]])</f>
        <v>1</v>
      </c>
      <c r="AN1488" s="16" t="b">
        <f>COUNTIFS(questions[[#This Row],[is_automated]:[is_multi_select]],TRUE)=1</f>
        <v>1</v>
      </c>
      <c r="AO1488" s="16" t="b">
        <f>IF(questions[[#This Row],[is_fixed]],questions[[#This Row],[question]]=INDEX(stable[question],MATCH(questions[[#This Row],[qno]],stable[qno],0)),TRUE)</f>
        <v>1</v>
      </c>
      <c r="AP1488" s="16" t="str">
        <f>LEFT(questions[[#This Row],[question]],similarity_range)</f>
        <v>What was the quantit</v>
      </c>
      <c r="AQ1488" s="16" t="str">
        <f>LEFT(INDEX(stable[question],MATCH(questions[[#This Row],[qno]],stable[qno],0)),similarity_range)</f>
        <v>What was the quantit</v>
      </c>
      <c r="AR1488" s="16" t="b">
        <f>questions[[#This Row],[question_first_characters]]=questions[[#This Row],[stability_first_characters]]</f>
        <v>1</v>
      </c>
      <c r="AS1488" s="16" t="b">
        <f>IF(OR(questions[[#This Row],[is_single_select]],questions[[#This Row],[is_multi_select]]),NOT(ISBLANK(questions[[#This Row],[answer_opt_combined]])),TRUE)</f>
        <v>1</v>
      </c>
    </row>
    <row r="1489" spans="1:45" s="77" customFormat="1" ht="15.75" customHeight="1" x14ac:dyDescent="0.25">
      <c r="A1489" s="77" t="str">
        <f>_xlfn.TEXTJOIN("_",TRUE,questions[[#This Row],[origin]:[qno]])</f>
        <v>Brazil_Arabica_2025_5632</v>
      </c>
      <c r="B1489" s="77" t="s">
        <v>1025</v>
      </c>
      <c r="C1489" s="77" t="s">
        <v>59</v>
      </c>
      <c r="E1489" s="77">
        <v>2025</v>
      </c>
      <c r="F1489" s="107" t="s">
        <v>236</v>
      </c>
      <c r="G1489" s="78" t="s">
        <v>237</v>
      </c>
      <c r="H1489" s="9" t="str" cm="1">
        <f t="array" ref="H1489">INDEX(stableR[question],MATCH(VALUE(questions[[#This Row],[qno]]),VALUE(stableR[qno]),0))</f>
        <v>What was the unit of this third most used pesticide/fungicide/herbicide</v>
      </c>
      <c r="I1489" s="9" t="b" cm="1">
        <f t="array" ref="I1489">INDEX(stable[is_fixed],MATCH(VALUE(questions[[#This Row],[qno]]),VALUE(stable[qno]),0))</f>
        <v>1</v>
      </c>
      <c r="J1489" s="9" t="b" cm="1">
        <f t="array" ref="J1489">INDEX(stable[is_localized],MATCH(VALUE(questions[[#This Row],[qno]]),VALUE(stable[qno]),0))</f>
        <v>0</v>
      </c>
      <c r="K1489" s="9" t="b" cm="1">
        <f t="array" ref="K1489">INDEX(stable[is_supply_chain_dependent],MATCH(VALUE(questions[[#This Row],[qno]]),VALUE(stable[qno]),0))</f>
        <v>0</v>
      </c>
      <c r="L1489" s="9" t="b" cm="1">
        <f t="array" ref="L1489">INDEX(stable[is_mandatory],MATCH(VALUE(questions[[#This Row],[qno]]),VALUE(stable[qno]),0))</f>
        <v>0</v>
      </c>
      <c r="M1489" s="9" t="b" cm="1">
        <f t="array" ref="M1489">INDEX(stable[is_automated],MATCH(VALUE(questions[[#This Row],[qno]]),VALUE(stable[qno]),0))</f>
        <v>0</v>
      </c>
      <c r="N1489" s="9" t="b" cm="1">
        <f t="array" ref="N1489">INDEX(stable[is_free_text],MATCH(VALUE(questions[[#This Row],[qno]]),VALUE(stable[qno]),0))</f>
        <v>0</v>
      </c>
      <c r="O1489" s="9" t="b" cm="1">
        <f t="array" ref="O1489">INDEX(stable[is_numerical],MATCH(VALUE(questions[[#This Row],[qno]]),VALUE(stable[qno]),0))</f>
        <v>0</v>
      </c>
      <c r="P1489" s="77" t="b" cm="1">
        <f t="array" ref="P1489">INDEX(stable[is_single_select],MATCH(VALUE(questions[[#This Row],[qno]]),VALUE(stable[qno]),0))</f>
        <v>1</v>
      </c>
      <c r="Q1489" s="77" t="b" cm="1">
        <f t="array" ref="Q1489">INDEX(stable[is_multi_select],MATCH(VALUE(questions[[#This Row],[qno]]),VALUE(stable[qno]),0))</f>
        <v>0</v>
      </c>
      <c r="R1489" s="77" t="b" cm="1">
        <f t="array" ref="R1489">INDEX(stable[is_skip_logic],MATCH(VALUE(questions[[#This Row],[qno]]),VALUE(stable[qno]),0))</f>
        <v>1</v>
      </c>
      <c r="S1489" s="77" t="str">
        <f>_xlfn.TEXTJOIN(", ",TRUE,questions[[#This Row],[ans_opt_1]:[ans_opt_14]])</f>
        <v>Kgs, Grams, Liters, Mililiters</v>
      </c>
      <c r="T1489" s="77" t="s">
        <v>222</v>
      </c>
      <c r="U1489" s="77" t="s">
        <v>223</v>
      </c>
      <c r="V1489" s="77" t="s">
        <v>224</v>
      </c>
      <c r="W1489" s="77" t="s">
        <v>225</v>
      </c>
      <c r="AH1489" s="98" t="b">
        <f>INDEX(stable[q_standard],MATCH(questions[[#This Row],[qno]],stable[qno],0))</f>
        <v>0</v>
      </c>
      <c r="AI1489" s="98" t="b">
        <f>INDEX(stable[q_living_income],MATCH(questions[[#This Row],[qno]],stable[qno],0))</f>
        <v>1</v>
      </c>
      <c r="AJ1489" s="98" t="b">
        <f>INDEX(stable[q_carbon],MATCH(questions[[#This Row],[qno]],stable[qno],0))</f>
        <v>1</v>
      </c>
      <c r="AK1489" s="98" t="b">
        <f>INDEX(stable[q_regen_ag],MATCH(questions[[#This Row],[qno]],stable[qno],0))</f>
        <v>0</v>
      </c>
      <c r="AL1489" s="98" t="b">
        <f>COUNTIFS(stable[qno],questions[[#This Row],[qno]])=1</f>
        <v>1</v>
      </c>
      <c r="AM1489" s="98" t="b">
        <f>OR(questions[[#This Row],[is_fixed]],questions[[#This Row],[is_localized]],questions[[#This Row],[is_supply_chain_dependent]])</f>
        <v>1</v>
      </c>
      <c r="AN1489" s="98" t="b">
        <f>COUNTIFS(questions[[#This Row],[is_automated]:[is_multi_select]],TRUE)=1</f>
        <v>1</v>
      </c>
      <c r="AO1489" s="98" t="b">
        <f>IF(questions[[#This Row],[is_fixed]],questions[[#This Row],[question]]=INDEX(stable[question],MATCH(questions[[#This Row],[qno]],stable[qno],0)),TRUE)</f>
        <v>1</v>
      </c>
      <c r="AP1489" s="98" t="str">
        <f>LEFT(questions[[#This Row],[question]],similarity_range)</f>
        <v>What was the unit of</v>
      </c>
      <c r="AQ1489" s="98" t="str">
        <f>LEFT(INDEX(stable[question],MATCH(questions[[#This Row],[qno]],stable[qno],0)),similarity_range)</f>
        <v>What was the unit of</v>
      </c>
      <c r="AR1489" s="98" t="b">
        <f>questions[[#This Row],[question_first_characters]]=questions[[#This Row],[stability_first_characters]]</f>
        <v>1</v>
      </c>
      <c r="AS1489" s="98" t="b">
        <f>IF(OR(questions[[#This Row],[is_single_select]],questions[[#This Row],[is_multi_select]]),NOT(ISBLANK(questions[[#This Row],[answer_opt_combined]])),TRUE)</f>
        <v>1</v>
      </c>
    </row>
    <row r="1490" spans="1:45" s="77" customFormat="1" ht="15.75" customHeight="1" x14ac:dyDescent="0.25">
      <c r="A1490" s="77" t="str">
        <f>_xlfn.TEXTJOIN("_",TRUE,questions[[#This Row],[origin]:[qno]])</f>
        <v>Brazil_Arabica_2025_7000</v>
      </c>
      <c r="B1490" s="77" t="s">
        <v>1025</v>
      </c>
      <c r="C1490" s="77" t="s">
        <v>59</v>
      </c>
      <c r="E1490" s="77">
        <v>2025</v>
      </c>
      <c r="F1490" s="107" t="s">
        <v>326</v>
      </c>
      <c r="G1490" s="78" t="s">
        <v>327</v>
      </c>
      <c r="H1490" s="9" t="str" cm="1">
        <f t="array" ref="H1490">INDEX(stableR[question],MATCH(VALUE(questions[[#This Row],[qno]]),VALUE(stableR[qno]),0))</f>
        <v>Have you received any training on Regenartive Agriculture principles and practices in last 1-2 years? For instance on mulching, cover crops, manure or fertiliser application, stumping, integrated pest management, etc.</v>
      </c>
      <c r="I1490" s="9" t="b" cm="1">
        <f t="array" ref="I1490">INDEX(stable[is_fixed],MATCH(VALUE(questions[[#This Row],[qno]]),VALUE(stable[qno]),0))</f>
        <v>1</v>
      </c>
      <c r="J1490" s="9" t="b" cm="1">
        <f t="array" ref="J1490">INDEX(stable[is_localized],MATCH(VALUE(questions[[#This Row],[qno]]),VALUE(stable[qno]),0))</f>
        <v>0</v>
      </c>
      <c r="K1490" s="9" t="b" cm="1">
        <f t="array" ref="K1490">INDEX(stable[is_supply_chain_dependent],MATCH(VALUE(questions[[#This Row],[qno]]),VALUE(stable[qno]),0))</f>
        <v>0</v>
      </c>
      <c r="L1490" s="9" t="b" cm="1">
        <f t="array" ref="L1490">INDEX(stable[is_mandatory],MATCH(VALUE(questions[[#This Row],[qno]]),VALUE(stable[qno]),0))</f>
        <v>1</v>
      </c>
      <c r="M1490" s="9" t="b" cm="1">
        <f t="array" ref="M1490">INDEX(stable[is_automated],MATCH(VALUE(questions[[#This Row],[qno]]),VALUE(stable[qno]),0))</f>
        <v>0</v>
      </c>
      <c r="N1490" s="9" t="b" cm="1">
        <f t="array" ref="N1490">INDEX(stable[is_free_text],MATCH(VALUE(questions[[#This Row],[qno]]),VALUE(stable[qno]),0))</f>
        <v>0</v>
      </c>
      <c r="O1490" s="9" t="b" cm="1">
        <f t="array" ref="O1490">INDEX(stable[is_numerical],MATCH(VALUE(questions[[#This Row],[qno]]),VALUE(stable[qno]),0))</f>
        <v>0</v>
      </c>
      <c r="P1490" s="77" t="b" cm="1">
        <f t="array" ref="P1490">INDEX(stable[is_single_select],MATCH(VALUE(questions[[#This Row],[qno]]),VALUE(stable[qno]),0))</f>
        <v>1</v>
      </c>
      <c r="Q1490" s="77" t="b" cm="1">
        <f t="array" ref="Q1490">INDEX(stable[is_multi_select],MATCH(VALUE(questions[[#This Row],[qno]]),VALUE(stable[qno]),0))</f>
        <v>0</v>
      </c>
      <c r="R1490" s="77" t="b" cm="1">
        <f t="array" ref="R1490">INDEX(stable[is_skip_logic],MATCH(VALUE(questions[[#This Row],[qno]]),VALUE(stable[qno]),0))</f>
        <v>1</v>
      </c>
      <c r="S1490" s="77" t="str">
        <f>_xlfn.TEXTJOIN(", ",TRUE,questions[[#This Row],[ans_opt_1]:[ans_opt_14]])</f>
        <v>Yes, No</v>
      </c>
      <c r="T1490" s="77" t="s">
        <v>149</v>
      </c>
      <c r="U1490" s="77" t="s">
        <v>119</v>
      </c>
      <c r="AH1490" s="98" t="b">
        <f>INDEX(stable[q_standard],MATCH(questions[[#This Row],[qno]],stable[qno],0))</f>
        <v>0</v>
      </c>
      <c r="AI1490" s="98" t="b">
        <f>INDEX(stable[q_living_income],MATCH(questions[[#This Row],[qno]],stable[qno],0))</f>
        <v>0</v>
      </c>
      <c r="AJ1490" s="98" t="b">
        <f>INDEX(stable[q_carbon],MATCH(questions[[#This Row],[qno]],stable[qno],0))</f>
        <v>0</v>
      </c>
      <c r="AK1490" s="98" t="b">
        <f>INDEX(stable[q_regen_ag],MATCH(questions[[#This Row],[qno]],stable[qno],0))</f>
        <v>1</v>
      </c>
      <c r="AL1490" s="98" t="b">
        <f>COUNTIFS(stable[qno],questions[[#This Row],[qno]])=1</f>
        <v>1</v>
      </c>
      <c r="AM1490" s="98" t="b">
        <f>OR(questions[[#This Row],[is_fixed]],questions[[#This Row],[is_localized]],questions[[#This Row],[is_supply_chain_dependent]])</f>
        <v>1</v>
      </c>
      <c r="AN1490" s="98" t="b">
        <f>COUNTIFS(questions[[#This Row],[is_automated]:[is_multi_select]],TRUE)=1</f>
        <v>1</v>
      </c>
      <c r="AO1490" s="98" t="b">
        <f>IF(questions[[#This Row],[is_fixed]],questions[[#This Row],[question]]=INDEX(stable[question],MATCH(questions[[#This Row],[qno]],stable[qno],0)),TRUE)</f>
        <v>1</v>
      </c>
      <c r="AP1490" s="98" t="str">
        <f>LEFT(questions[[#This Row],[question]],similarity_range)</f>
        <v>Have you received an</v>
      </c>
      <c r="AQ1490" s="98" t="str">
        <f>LEFT(INDEX(stable[question],MATCH(questions[[#This Row],[qno]],stable[qno],0)),similarity_range)</f>
        <v>Have you received an</v>
      </c>
      <c r="AR1490" s="98" t="b">
        <f>questions[[#This Row],[question_first_characters]]=questions[[#This Row],[stability_first_characters]]</f>
        <v>1</v>
      </c>
      <c r="AS1490" s="98" t="b">
        <f>IF(OR(questions[[#This Row],[is_single_select]],questions[[#This Row],[is_multi_select]]),NOT(ISBLANK(questions[[#This Row],[answer_opt_combined]])),TRUE)</f>
        <v>1</v>
      </c>
    </row>
    <row r="1491" spans="1:45" s="77" customFormat="1" ht="15.75" customHeight="1" x14ac:dyDescent="0.25">
      <c r="A1491" s="77" t="str">
        <f>_xlfn.TEXTJOIN("_",TRUE,questions[[#This Row],[origin]:[qno]])</f>
        <v>Brazil_Arabica_2025_7001</v>
      </c>
      <c r="B1491" s="77" t="s">
        <v>1025</v>
      </c>
      <c r="C1491" s="77" t="s">
        <v>59</v>
      </c>
      <c r="E1491" s="77">
        <v>2025</v>
      </c>
      <c r="F1491" s="107" t="s">
        <v>328</v>
      </c>
      <c r="G1491" s="78" t="s">
        <v>329</v>
      </c>
      <c r="H1491" s="9" t="str" cm="1">
        <f t="array" ref="H1491">INDEX(stableR[question],MATCH(VALUE(questions[[#This Row],[qno]]),VALUE(stableR[qno]),0))</f>
        <v>If NO formal training received, are you aware of Regen Ag. and can explain its basics principles and main practices?</v>
      </c>
      <c r="I1491" s="9" t="b" cm="1">
        <f t="array" ref="I1491">INDEX(stable[is_fixed],MATCH(VALUE(questions[[#This Row],[qno]]),VALUE(stable[qno]),0))</f>
        <v>1</v>
      </c>
      <c r="J1491" s="9" t="b" cm="1">
        <f t="array" ref="J1491">INDEX(stable[is_localized],MATCH(VALUE(questions[[#This Row],[qno]]),VALUE(stable[qno]),0))</f>
        <v>0</v>
      </c>
      <c r="K1491" s="9" t="b" cm="1">
        <f t="array" ref="K1491">INDEX(stable[is_supply_chain_dependent],MATCH(VALUE(questions[[#This Row],[qno]]),VALUE(stable[qno]),0))</f>
        <v>0</v>
      </c>
      <c r="L1491" s="9" t="b" cm="1">
        <f t="array" ref="L1491">INDEX(stable[is_mandatory],MATCH(VALUE(questions[[#This Row],[qno]]),VALUE(stable[qno]),0))</f>
        <v>0</v>
      </c>
      <c r="M1491" s="9" t="b" cm="1">
        <f t="array" ref="M1491">INDEX(stable[is_automated],MATCH(VALUE(questions[[#This Row],[qno]]),VALUE(stable[qno]),0))</f>
        <v>0</v>
      </c>
      <c r="N1491" s="9" t="b" cm="1">
        <f t="array" ref="N1491">INDEX(stable[is_free_text],MATCH(VALUE(questions[[#This Row],[qno]]),VALUE(stable[qno]),0))</f>
        <v>0</v>
      </c>
      <c r="O1491" s="9" t="b" cm="1">
        <f t="array" ref="O1491">INDEX(stable[is_numerical],MATCH(VALUE(questions[[#This Row],[qno]]),VALUE(stable[qno]),0))</f>
        <v>0</v>
      </c>
      <c r="P1491" s="77" t="b" cm="1">
        <f t="array" ref="P1491">INDEX(stable[is_single_select],MATCH(VALUE(questions[[#This Row],[qno]]),VALUE(stable[qno]),0))</f>
        <v>1</v>
      </c>
      <c r="Q1491" s="77" t="b" cm="1">
        <f t="array" ref="Q1491">INDEX(stable[is_multi_select],MATCH(VALUE(questions[[#This Row],[qno]]),VALUE(stable[qno]),0))</f>
        <v>0</v>
      </c>
      <c r="R1491" s="77" t="b" cm="1">
        <f t="array" ref="R1491">INDEX(stable[is_skip_logic],MATCH(VALUE(questions[[#This Row],[qno]]),VALUE(stable[qno]),0))</f>
        <v>1</v>
      </c>
      <c r="S1491" s="77" t="str">
        <f>_xlfn.TEXTJOIN(", ",TRUE,questions[[#This Row],[ans_opt_1]:[ans_opt_14]])</f>
        <v>Yes, No</v>
      </c>
      <c r="T1491" s="77" t="s">
        <v>149</v>
      </c>
      <c r="U1491" s="77" t="s">
        <v>119</v>
      </c>
      <c r="AH1491" s="98" t="b">
        <f>INDEX(stable[q_standard],MATCH(questions[[#This Row],[qno]],stable[qno],0))</f>
        <v>0</v>
      </c>
      <c r="AI1491" s="98" t="b">
        <f>INDEX(stable[q_living_income],MATCH(questions[[#This Row],[qno]],stable[qno],0))</f>
        <v>0</v>
      </c>
      <c r="AJ1491" s="98" t="b">
        <f>INDEX(stable[q_carbon],MATCH(questions[[#This Row],[qno]],stable[qno],0))</f>
        <v>0</v>
      </c>
      <c r="AK1491" s="98" t="b">
        <f>INDEX(stable[q_regen_ag],MATCH(questions[[#This Row],[qno]],stable[qno],0))</f>
        <v>1</v>
      </c>
      <c r="AL1491" s="98" t="b">
        <f>COUNTIFS(stable[qno],questions[[#This Row],[qno]])=1</f>
        <v>1</v>
      </c>
      <c r="AM1491" s="98" t="b">
        <f>OR(questions[[#This Row],[is_fixed]],questions[[#This Row],[is_localized]],questions[[#This Row],[is_supply_chain_dependent]])</f>
        <v>1</v>
      </c>
      <c r="AN1491" s="98" t="b">
        <f>COUNTIFS(questions[[#This Row],[is_automated]:[is_multi_select]],TRUE)=1</f>
        <v>1</v>
      </c>
      <c r="AO1491" s="98" t="b">
        <f>IF(questions[[#This Row],[is_fixed]],questions[[#This Row],[question]]=INDEX(stable[question],MATCH(questions[[#This Row],[qno]],stable[qno],0)),TRUE)</f>
        <v>1</v>
      </c>
      <c r="AP1491" s="98" t="str">
        <f>LEFT(questions[[#This Row],[question]],similarity_range)</f>
        <v>If NO formal trainin</v>
      </c>
      <c r="AQ1491" s="98" t="str">
        <f>LEFT(INDEX(stable[question],MATCH(questions[[#This Row],[qno]],stable[qno],0)),similarity_range)</f>
        <v>If NO formal trainin</v>
      </c>
      <c r="AR1491" s="98" t="b">
        <f>questions[[#This Row],[question_first_characters]]=questions[[#This Row],[stability_first_characters]]</f>
        <v>1</v>
      </c>
      <c r="AS1491" s="98" t="b">
        <f>IF(OR(questions[[#This Row],[is_single_select]],questions[[#This Row],[is_multi_select]]),NOT(ISBLANK(questions[[#This Row],[answer_opt_combined]])),TRUE)</f>
        <v>1</v>
      </c>
    </row>
    <row r="1492" spans="1:45" s="77" customFormat="1" ht="15.75" customHeight="1" x14ac:dyDescent="0.25">
      <c r="A1492" s="77" t="str">
        <f>_xlfn.TEXTJOIN("_",TRUE,questions[[#This Row],[origin]:[qno]])</f>
        <v>Brazil_Arabica_2025_7100</v>
      </c>
      <c r="B1492" s="77" t="s">
        <v>1025</v>
      </c>
      <c r="C1492" s="77" t="s">
        <v>59</v>
      </c>
      <c r="E1492" s="77">
        <v>2025</v>
      </c>
      <c r="F1492" s="107" t="s">
        <v>330</v>
      </c>
      <c r="G1492" s="78" t="s">
        <v>331</v>
      </c>
      <c r="H1492" s="9" t="str" cm="1">
        <f t="array" ref="H1492">INDEX(stableR[question],MATCH(VALUE(questions[[#This Row],[qno]]),VALUE(stableR[qno]),0))</f>
        <v>Do you implement mulching and/or cover crops-plants (e.g. beans, peanuts/groundnuts, brachiaria, desmodium…) in your coffee plots? If the answer is NO, you do not need to answer the next 2 questions</v>
      </c>
      <c r="I1492" s="9" t="b" cm="1">
        <f t="array" ref="I1492">INDEX(stable[is_fixed],MATCH(VALUE(questions[[#This Row],[qno]]),VALUE(stable[qno]),0))</f>
        <v>1</v>
      </c>
      <c r="J1492" s="9" t="b" cm="1">
        <f t="array" ref="J1492">INDEX(stable[is_localized],MATCH(VALUE(questions[[#This Row],[qno]]),VALUE(stable[qno]),0))</f>
        <v>0</v>
      </c>
      <c r="K1492" s="9" t="b" cm="1">
        <f t="array" ref="K1492">INDEX(stable[is_supply_chain_dependent],MATCH(VALUE(questions[[#This Row],[qno]]),VALUE(stable[qno]),0))</f>
        <v>0</v>
      </c>
      <c r="L1492" s="9" t="b" cm="1">
        <f t="array" ref="L1492">INDEX(stable[is_mandatory],MATCH(VALUE(questions[[#This Row],[qno]]),VALUE(stable[qno]),0))</f>
        <v>1</v>
      </c>
      <c r="M1492" s="9" t="b" cm="1">
        <f t="array" ref="M1492">INDEX(stable[is_automated],MATCH(VALUE(questions[[#This Row],[qno]]),VALUE(stable[qno]),0))</f>
        <v>0</v>
      </c>
      <c r="N1492" s="9" t="b" cm="1">
        <f t="array" ref="N1492">INDEX(stable[is_free_text],MATCH(VALUE(questions[[#This Row],[qno]]),VALUE(stable[qno]),0))</f>
        <v>0</v>
      </c>
      <c r="O1492" s="9" t="b" cm="1">
        <f t="array" ref="O1492">INDEX(stable[is_numerical],MATCH(VALUE(questions[[#This Row],[qno]]),VALUE(stable[qno]),0))</f>
        <v>0</v>
      </c>
      <c r="P1492" s="77" t="b" cm="1">
        <f t="array" ref="P1492">INDEX(stable[is_single_select],MATCH(VALUE(questions[[#This Row],[qno]]),VALUE(stable[qno]),0))</f>
        <v>1</v>
      </c>
      <c r="Q1492" s="77" t="b" cm="1">
        <f t="array" ref="Q1492">INDEX(stable[is_multi_select],MATCH(VALUE(questions[[#This Row],[qno]]),VALUE(stable[qno]),0))</f>
        <v>0</v>
      </c>
      <c r="R1492" s="77" t="b" cm="1">
        <f t="array" ref="R1492">INDEX(stable[is_skip_logic],MATCH(VALUE(questions[[#This Row],[qno]]),VALUE(stable[qno]),0))</f>
        <v>1</v>
      </c>
      <c r="S1492" s="77" t="str">
        <f>_xlfn.TEXTJOIN(", ",TRUE,questions[[#This Row],[ans_opt_1]:[ans_opt_14]])</f>
        <v>No, Yes-Crop residues mulching, Yes-Other mulching, Yes-Cover crops, Yes-Cover crops &amp; Mulching</v>
      </c>
      <c r="T1492" s="77" t="s">
        <v>119</v>
      </c>
      <c r="U1492" s="77" t="s">
        <v>332</v>
      </c>
      <c r="V1492" s="77" t="s">
        <v>333</v>
      </c>
      <c r="W1492" s="77" t="s">
        <v>334</v>
      </c>
      <c r="X1492" s="77" t="s">
        <v>335</v>
      </c>
      <c r="AH1492" s="98" t="b">
        <f>INDEX(stable[q_standard],MATCH(questions[[#This Row],[qno]],stable[qno],0))</f>
        <v>0</v>
      </c>
      <c r="AI1492" s="98" t="b">
        <f>INDEX(stable[q_living_income],MATCH(questions[[#This Row],[qno]],stable[qno],0))</f>
        <v>0</v>
      </c>
      <c r="AJ1492" s="98" t="b">
        <f>INDEX(stable[q_carbon],MATCH(questions[[#This Row],[qno]],stable[qno],0))</f>
        <v>0</v>
      </c>
      <c r="AK1492" s="98" t="b">
        <f>INDEX(stable[q_regen_ag],MATCH(questions[[#This Row],[qno]],stable[qno],0))</f>
        <v>1</v>
      </c>
      <c r="AL1492" s="98" t="b">
        <f>COUNTIFS(stable[qno],questions[[#This Row],[qno]])=1</f>
        <v>1</v>
      </c>
      <c r="AM1492" s="98" t="b">
        <f>OR(questions[[#This Row],[is_fixed]],questions[[#This Row],[is_localized]],questions[[#This Row],[is_supply_chain_dependent]])</f>
        <v>1</v>
      </c>
      <c r="AN1492" s="98" t="b">
        <f>COUNTIFS(questions[[#This Row],[is_automated]:[is_multi_select]],TRUE)=1</f>
        <v>1</v>
      </c>
      <c r="AO1492" s="98" t="b">
        <f>IF(questions[[#This Row],[is_fixed]],questions[[#This Row],[question]]=INDEX(stable[question],MATCH(questions[[#This Row],[qno]],stable[qno],0)),TRUE)</f>
        <v>1</v>
      </c>
      <c r="AP1492" s="98" t="str">
        <f>LEFT(questions[[#This Row],[question]],similarity_range)</f>
        <v>Do you implement mul</v>
      </c>
      <c r="AQ1492" s="98" t="str">
        <f>LEFT(INDEX(stable[question],MATCH(questions[[#This Row],[qno]],stable[qno],0)),similarity_range)</f>
        <v>Do you implement mul</v>
      </c>
      <c r="AR1492" s="98" t="b">
        <f>questions[[#This Row],[question_first_characters]]=questions[[#This Row],[stability_first_characters]]</f>
        <v>1</v>
      </c>
      <c r="AS1492" s="98" t="b">
        <f>IF(OR(questions[[#This Row],[is_single_select]],questions[[#This Row],[is_multi_select]]),NOT(ISBLANK(questions[[#This Row],[answer_opt_combined]])),TRUE)</f>
        <v>1</v>
      </c>
    </row>
    <row r="1493" spans="1:45" s="77" customFormat="1" ht="15.75" customHeight="1" x14ac:dyDescent="0.25">
      <c r="A1493" s="77" t="str">
        <f>_xlfn.TEXTJOIN("_",TRUE,questions[[#This Row],[origin]:[qno]])</f>
        <v>Brazil_Arabica_2025_7101</v>
      </c>
      <c r="B1493" s="77" t="s">
        <v>1025</v>
      </c>
      <c r="C1493" s="77" t="s">
        <v>59</v>
      </c>
      <c r="E1493" s="77">
        <v>2025</v>
      </c>
      <c r="F1493" s="107" t="s">
        <v>336</v>
      </c>
      <c r="G1493" s="78" t="s">
        <v>337</v>
      </c>
      <c r="H1493" s="9" t="str" cm="1">
        <f t="array" ref="H1493">INDEX(stableR[question],MATCH(VALUE(questions[[#This Row],[qno]]),VALUE(stableR[qno]),0))</f>
        <v>If so, what is the % or proportion of your coffee plots using mulching and/or cover crops?</v>
      </c>
      <c r="I1493" s="9" t="b" cm="1">
        <f t="array" ref="I1493">INDEX(stable[is_fixed],MATCH(VALUE(questions[[#This Row],[qno]]),VALUE(stable[qno]),0))</f>
        <v>1</v>
      </c>
      <c r="J1493" s="9" t="b" cm="1">
        <f t="array" ref="J1493">INDEX(stable[is_localized],MATCH(VALUE(questions[[#This Row],[qno]]),VALUE(stable[qno]),0))</f>
        <v>0</v>
      </c>
      <c r="K1493" s="9" t="b" cm="1">
        <f t="array" ref="K1493">INDEX(stable[is_supply_chain_dependent],MATCH(VALUE(questions[[#This Row],[qno]]),VALUE(stable[qno]),0))</f>
        <v>0</v>
      </c>
      <c r="L1493" s="9" t="b" cm="1">
        <f t="array" ref="L1493">INDEX(stable[is_mandatory],MATCH(VALUE(questions[[#This Row],[qno]]),VALUE(stable[qno]),0))</f>
        <v>0</v>
      </c>
      <c r="M1493" s="9" t="b" cm="1">
        <f t="array" ref="M1493">INDEX(stable[is_automated],MATCH(VALUE(questions[[#This Row],[qno]]),VALUE(stable[qno]),0))</f>
        <v>0</v>
      </c>
      <c r="N1493" s="9" t="b" cm="1">
        <f t="array" ref="N1493">INDEX(stable[is_free_text],MATCH(VALUE(questions[[#This Row],[qno]]),VALUE(stable[qno]),0))</f>
        <v>0</v>
      </c>
      <c r="O1493" s="9" t="b" cm="1">
        <f t="array" ref="O1493">INDEX(stable[is_numerical],MATCH(VALUE(questions[[#This Row],[qno]]),VALUE(stable[qno]),0))</f>
        <v>0</v>
      </c>
      <c r="P1493" s="77" t="b" cm="1">
        <f t="array" ref="P1493">INDEX(stable[is_single_select],MATCH(VALUE(questions[[#This Row],[qno]]),VALUE(stable[qno]),0))</f>
        <v>1</v>
      </c>
      <c r="Q1493" s="77" t="b" cm="1">
        <f t="array" ref="Q1493">INDEX(stable[is_multi_select],MATCH(VALUE(questions[[#This Row],[qno]]),VALUE(stable[qno]),0))</f>
        <v>0</v>
      </c>
      <c r="R1493" s="77" t="b" cm="1">
        <f t="array" ref="R1493">INDEX(stable[is_skip_logic],MATCH(VALUE(questions[[#This Row],[qno]]),VALUE(stable[qno]),0))</f>
        <v>1</v>
      </c>
      <c r="S1493" s="77" t="str">
        <f>_xlfn.TEXTJOIN(", ",TRUE,questions[[#This Row],[ans_opt_1]:[ans_opt_14]])</f>
        <v>1% to 25% - little to a quarter, 26% to 50% - less than half, 51% to 75% - more than half, 76% to 100% - almost all</v>
      </c>
      <c r="T1493" s="77" t="s">
        <v>338</v>
      </c>
      <c r="U1493" s="77" t="s">
        <v>339</v>
      </c>
      <c r="V1493" s="77" t="s">
        <v>340</v>
      </c>
      <c r="W1493" s="77" t="s">
        <v>341</v>
      </c>
      <c r="AH1493" s="98" t="b">
        <f>INDEX(stable[q_standard],MATCH(questions[[#This Row],[qno]],stable[qno],0))</f>
        <v>0</v>
      </c>
      <c r="AI1493" s="98" t="b">
        <f>INDEX(stable[q_living_income],MATCH(questions[[#This Row],[qno]],stable[qno],0))</f>
        <v>0</v>
      </c>
      <c r="AJ1493" s="98" t="b">
        <f>INDEX(stable[q_carbon],MATCH(questions[[#This Row],[qno]],stable[qno],0))</f>
        <v>0</v>
      </c>
      <c r="AK1493" s="98" t="b">
        <f>INDEX(stable[q_regen_ag],MATCH(questions[[#This Row],[qno]],stable[qno],0))</f>
        <v>1</v>
      </c>
      <c r="AL1493" s="98" t="b">
        <f>COUNTIFS(stable[qno],questions[[#This Row],[qno]])=1</f>
        <v>1</v>
      </c>
      <c r="AM1493" s="98" t="b">
        <f>OR(questions[[#This Row],[is_fixed]],questions[[#This Row],[is_localized]],questions[[#This Row],[is_supply_chain_dependent]])</f>
        <v>1</v>
      </c>
      <c r="AN1493" s="98" t="b">
        <f>COUNTIFS(questions[[#This Row],[is_automated]:[is_multi_select]],TRUE)=1</f>
        <v>1</v>
      </c>
      <c r="AO1493" s="98" t="b">
        <f>IF(questions[[#This Row],[is_fixed]],questions[[#This Row],[question]]=INDEX(stable[question],MATCH(questions[[#This Row],[qno]],stable[qno],0)),TRUE)</f>
        <v>1</v>
      </c>
      <c r="AP1493" s="98" t="str">
        <f>LEFT(questions[[#This Row],[question]],similarity_range)</f>
        <v>If so, what is the %</v>
      </c>
      <c r="AQ1493" s="98" t="str">
        <f>LEFT(INDEX(stable[question],MATCH(questions[[#This Row],[qno]],stable[qno],0)),similarity_range)</f>
        <v>If so, what is the %</v>
      </c>
      <c r="AR1493" s="98" t="b">
        <f>questions[[#This Row],[question_first_characters]]=questions[[#This Row],[stability_first_characters]]</f>
        <v>1</v>
      </c>
      <c r="AS1493" s="98" t="b">
        <f>IF(OR(questions[[#This Row],[is_single_select]],questions[[#This Row],[is_multi_select]]),NOT(ISBLANK(questions[[#This Row],[answer_opt_combined]])),TRUE)</f>
        <v>1</v>
      </c>
    </row>
    <row r="1494" spans="1:45" s="77" customFormat="1" ht="15.75" customHeight="1" x14ac:dyDescent="0.25">
      <c r="A1494" s="77" t="str">
        <f>_xlfn.TEXTJOIN("_",TRUE,questions[[#This Row],[origin]:[qno]])</f>
        <v>Brazil_Arabica_2025_7102</v>
      </c>
      <c r="B1494" s="77" t="s">
        <v>1025</v>
      </c>
      <c r="C1494" s="77" t="s">
        <v>59</v>
      </c>
      <c r="E1494" s="77">
        <v>2025</v>
      </c>
      <c r="F1494" s="107" t="s">
        <v>342</v>
      </c>
      <c r="G1494" s="78" t="s">
        <v>861</v>
      </c>
      <c r="H1494" s="9" t="str" cm="1">
        <f t="array" ref="H1494">INDEX(stableR[question],MATCH(VALUE(questions[[#This Row],[qno]]),VALUE(stableR[qno]),0))</f>
        <v>And for how many months per year?</v>
      </c>
      <c r="I1494" s="9" t="b" cm="1">
        <f t="array" ref="I1494">INDEX(stable[is_fixed],MATCH(VALUE(questions[[#This Row],[qno]]),VALUE(stable[qno]),0))</f>
        <v>1</v>
      </c>
      <c r="J1494" s="9" t="b" cm="1">
        <f t="array" ref="J1494">INDEX(stable[is_localized],MATCH(VALUE(questions[[#This Row],[qno]]),VALUE(stable[qno]),0))</f>
        <v>0</v>
      </c>
      <c r="K1494" s="9" t="b" cm="1">
        <f t="array" ref="K1494">INDEX(stable[is_supply_chain_dependent],MATCH(VALUE(questions[[#This Row],[qno]]),VALUE(stable[qno]),0))</f>
        <v>0</v>
      </c>
      <c r="L1494" s="9" t="b" cm="1">
        <f t="array" ref="L1494">INDEX(stable[is_mandatory],MATCH(VALUE(questions[[#This Row],[qno]]),VALUE(stable[qno]),0))</f>
        <v>0</v>
      </c>
      <c r="M1494" s="9" t="b" cm="1">
        <f t="array" ref="M1494">INDEX(stable[is_automated],MATCH(VALUE(questions[[#This Row],[qno]]),VALUE(stable[qno]),0))</f>
        <v>0</v>
      </c>
      <c r="N1494" s="9" t="b" cm="1">
        <f t="array" ref="N1494">INDEX(stable[is_free_text],MATCH(VALUE(questions[[#This Row],[qno]]),VALUE(stable[qno]),0))</f>
        <v>0</v>
      </c>
      <c r="O1494" s="9" t="b" cm="1">
        <f t="array" ref="O1494">INDEX(stable[is_numerical],MATCH(VALUE(questions[[#This Row],[qno]]),VALUE(stable[qno]),0))</f>
        <v>0</v>
      </c>
      <c r="P1494" s="77" t="b" cm="1">
        <f t="array" ref="P1494">INDEX(stable[is_single_select],MATCH(VALUE(questions[[#This Row],[qno]]),VALUE(stable[qno]),0))</f>
        <v>1</v>
      </c>
      <c r="Q1494" s="77" t="b" cm="1">
        <f t="array" ref="Q1494">INDEX(stable[is_multi_select],MATCH(VALUE(questions[[#This Row],[qno]]),VALUE(stable[qno]),0))</f>
        <v>0</v>
      </c>
      <c r="R1494" s="77" t="b" cm="1">
        <f t="array" ref="R1494">INDEX(stable[is_skip_logic],MATCH(VALUE(questions[[#This Row],[qno]]),VALUE(stable[qno]),0))</f>
        <v>1</v>
      </c>
      <c r="S1494" s="77" t="str">
        <f>_xlfn.TEXTJOIN(", ",TRUE,questions[[#This Row],[ans_opt_1]:[ans_opt_14]])</f>
        <v>&lt;6 months, 6-8 months, &gt;8 months</v>
      </c>
      <c r="T1494" s="123" t="s">
        <v>344</v>
      </c>
      <c r="U1494" s="123" t="s">
        <v>345</v>
      </c>
      <c r="V1494" s="123" t="s">
        <v>346</v>
      </c>
      <c r="AH1494" s="98" t="b">
        <f>INDEX(stable[q_standard],MATCH(questions[[#This Row],[qno]],stable[qno],0))</f>
        <v>0</v>
      </c>
      <c r="AI1494" s="98" t="b">
        <f>INDEX(stable[q_living_income],MATCH(questions[[#This Row],[qno]],stable[qno],0))</f>
        <v>0</v>
      </c>
      <c r="AJ1494" s="98" t="b">
        <f>INDEX(stable[q_carbon],MATCH(questions[[#This Row],[qno]],stable[qno],0))</f>
        <v>0</v>
      </c>
      <c r="AK1494" s="98" t="b">
        <f>INDEX(stable[q_regen_ag],MATCH(questions[[#This Row],[qno]],stable[qno],0))</f>
        <v>1</v>
      </c>
      <c r="AL1494" s="98" t="b">
        <f>COUNTIFS(stable[qno],questions[[#This Row],[qno]])=1</f>
        <v>1</v>
      </c>
      <c r="AM1494" s="98" t="b">
        <f>OR(questions[[#This Row],[is_fixed]],questions[[#This Row],[is_localized]],questions[[#This Row],[is_supply_chain_dependent]])</f>
        <v>1</v>
      </c>
      <c r="AN1494" s="98" t="b">
        <f>COUNTIFS(questions[[#This Row],[is_automated]:[is_multi_select]],TRUE)=1</f>
        <v>1</v>
      </c>
      <c r="AO1494" s="98" t="b">
        <f>IF(questions[[#This Row],[is_fixed]],questions[[#This Row],[question]]=INDEX(stable[question],MATCH(questions[[#This Row],[qno]],stable[qno],0)),TRUE)</f>
        <v>1</v>
      </c>
      <c r="AP1494" s="98" t="str">
        <f>LEFT(questions[[#This Row],[question]],similarity_range)</f>
        <v>And for how many mon</v>
      </c>
      <c r="AQ1494" s="98" t="str">
        <f>LEFT(INDEX(stable[question],MATCH(questions[[#This Row],[qno]],stable[qno],0)),similarity_range)</f>
        <v>And for how many mon</v>
      </c>
      <c r="AR1494" s="98" t="b">
        <f>questions[[#This Row],[question_first_characters]]=questions[[#This Row],[stability_first_characters]]</f>
        <v>1</v>
      </c>
      <c r="AS1494" s="98" t="b">
        <f>IF(OR(questions[[#This Row],[is_single_select]],questions[[#This Row],[is_multi_select]]),NOT(ISBLANK(questions[[#This Row],[answer_opt_combined]])),TRUE)</f>
        <v>1</v>
      </c>
    </row>
    <row r="1495" spans="1:45" s="77" customFormat="1" ht="15.75" customHeight="1" x14ac:dyDescent="0.25">
      <c r="A1495" s="77" t="str">
        <f>_xlfn.TEXTJOIN("_",TRUE,questions[[#This Row],[origin]:[qno]])</f>
        <v>Brazil_Arabica_2025_7113</v>
      </c>
      <c r="B1495" s="77" t="s">
        <v>1025</v>
      </c>
      <c r="C1495" s="77" t="s">
        <v>59</v>
      </c>
      <c r="E1495" s="77">
        <v>2025</v>
      </c>
      <c r="F1495" s="107" t="s">
        <v>347</v>
      </c>
      <c r="G1495" s="78" t="s">
        <v>348</v>
      </c>
      <c r="H1495" s="9" t="str" cm="1">
        <f t="array" ref="H1495">INDEX(stableR[question],MATCH(VALUE(questions[[#This Row],[qno]]),VALUE(stableR[qno]),0))</f>
        <v>Does any area of your coffee plots have significative risk of water and/or wind erosion due to heavy rain or irrigation, terrain slope, strong winds during dry periods…? If the answer is NO, you do not need to answer the next 2 questions</v>
      </c>
      <c r="I1495" s="9" t="b" cm="1">
        <f t="array" ref="I1495">INDEX(stable[is_fixed],MATCH(VALUE(questions[[#This Row],[qno]]),VALUE(stable[qno]),0))</f>
        <v>1</v>
      </c>
      <c r="J1495" s="9" t="b" cm="1">
        <f t="array" ref="J1495">INDEX(stable[is_localized],MATCH(VALUE(questions[[#This Row],[qno]]),VALUE(stable[qno]),0))</f>
        <v>0</v>
      </c>
      <c r="K1495" s="9" t="b" cm="1">
        <f t="array" ref="K1495">INDEX(stable[is_supply_chain_dependent],MATCH(VALUE(questions[[#This Row],[qno]]),VALUE(stable[qno]),0))</f>
        <v>0</v>
      </c>
      <c r="L1495" s="9" t="b" cm="1">
        <f t="array" ref="L1495">INDEX(stable[is_mandatory],MATCH(VALUE(questions[[#This Row],[qno]]),VALUE(stable[qno]),0))</f>
        <v>1</v>
      </c>
      <c r="M1495" s="9" t="b" cm="1">
        <f t="array" ref="M1495">INDEX(stable[is_automated],MATCH(VALUE(questions[[#This Row],[qno]]),VALUE(stable[qno]),0))</f>
        <v>0</v>
      </c>
      <c r="N1495" s="9" t="b" cm="1">
        <f t="array" ref="N1495">INDEX(stable[is_free_text],MATCH(VALUE(questions[[#This Row],[qno]]),VALUE(stable[qno]),0))</f>
        <v>0</v>
      </c>
      <c r="O1495" s="9" t="b" cm="1">
        <f t="array" ref="O1495">INDEX(stable[is_numerical],MATCH(VALUE(questions[[#This Row],[qno]]),VALUE(stable[qno]),0))</f>
        <v>0</v>
      </c>
      <c r="P1495" s="77" t="b" cm="1">
        <f t="array" ref="P1495">INDEX(stable[is_single_select],MATCH(VALUE(questions[[#This Row],[qno]]),VALUE(stable[qno]),0))</f>
        <v>1</v>
      </c>
      <c r="Q1495" s="77" t="b" cm="1">
        <f t="array" ref="Q1495">INDEX(stable[is_multi_select],MATCH(VALUE(questions[[#This Row],[qno]]),VALUE(stable[qno]),0))</f>
        <v>0</v>
      </c>
      <c r="R1495" s="77" t="b" cm="1">
        <f t="array" ref="R1495">INDEX(stable[is_skip_logic],MATCH(VALUE(questions[[#This Row],[qno]]),VALUE(stable[qno]),0))</f>
        <v>1</v>
      </c>
      <c r="S1495" s="77" t="str">
        <f>_xlfn.TEXTJOIN(", ",TRUE,questions[[#This Row],[ans_opt_1]:[ans_opt_14]])</f>
        <v>Yes, No</v>
      </c>
      <c r="T1495" s="77" t="s">
        <v>149</v>
      </c>
      <c r="U1495" s="77" t="s">
        <v>119</v>
      </c>
      <c r="AH1495" s="98" t="b">
        <f>INDEX(stable[q_standard],MATCH(questions[[#This Row],[qno]],stable[qno],0))</f>
        <v>0</v>
      </c>
      <c r="AI1495" s="98" t="b">
        <f>INDEX(stable[q_living_income],MATCH(questions[[#This Row],[qno]],stable[qno],0))</f>
        <v>0</v>
      </c>
      <c r="AJ1495" s="98" t="b">
        <f>INDEX(stable[q_carbon],MATCH(questions[[#This Row],[qno]],stable[qno],0))</f>
        <v>0</v>
      </c>
      <c r="AK1495" s="98" t="b">
        <f>INDEX(stable[q_regen_ag],MATCH(questions[[#This Row],[qno]],stable[qno],0))</f>
        <v>1</v>
      </c>
      <c r="AL1495" s="98" t="b">
        <f>COUNTIFS(stable[qno],questions[[#This Row],[qno]])=1</f>
        <v>1</v>
      </c>
      <c r="AM1495" s="98" t="b">
        <f>OR(questions[[#This Row],[is_fixed]],questions[[#This Row],[is_localized]],questions[[#This Row],[is_supply_chain_dependent]])</f>
        <v>1</v>
      </c>
      <c r="AN1495" s="98" t="b">
        <f>COUNTIFS(questions[[#This Row],[is_automated]:[is_multi_select]],TRUE)=1</f>
        <v>1</v>
      </c>
      <c r="AO1495" s="98" t="b">
        <f>IF(questions[[#This Row],[is_fixed]],questions[[#This Row],[question]]=INDEX(stable[question],MATCH(questions[[#This Row],[qno]],stable[qno],0)),TRUE)</f>
        <v>1</v>
      </c>
      <c r="AP1495" s="98" t="str">
        <f>LEFT(questions[[#This Row],[question]],similarity_range)</f>
        <v>Does any area of you</v>
      </c>
      <c r="AQ1495" s="98" t="str">
        <f>LEFT(INDEX(stable[question],MATCH(questions[[#This Row],[qno]],stable[qno],0)),similarity_range)</f>
        <v>Does any area of you</v>
      </c>
      <c r="AR1495" s="98" t="b">
        <f>questions[[#This Row],[question_first_characters]]=questions[[#This Row],[stability_first_characters]]</f>
        <v>1</v>
      </c>
      <c r="AS1495" s="98" t="b">
        <f>IF(OR(questions[[#This Row],[is_single_select]],questions[[#This Row],[is_multi_select]]),NOT(ISBLANK(questions[[#This Row],[answer_opt_combined]])),TRUE)</f>
        <v>1</v>
      </c>
    </row>
    <row r="1496" spans="1:45" s="77" customFormat="1" ht="15.75" customHeight="1" x14ac:dyDescent="0.25">
      <c r="A1496" s="77" t="str">
        <f>_xlfn.TEXTJOIN("_",TRUE,questions[[#This Row],[origin]:[qno]])</f>
        <v>Brazil_Arabica_2025_7114</v>
      </c>
      <c r="B1496" s="77" t="s">
        <v>1025</v>
      </c>
      <c r="C1496" s="77" t="s">
        <v>59</v>
      </c>
      <c r="E1496" s="77">
        <v>2025</v>
      </c>
      <c r="F1496" s="107" t="s">
        <v>349</v>
      </c>
      <c r="G1496" s="78" t="s">
        <v>350</v>
      </c>
      <c r="H1496" s="9" t="str" cm="1">
        <f t="array" ref="H1496">INDEX(stableR[question],MATCH(VALUE(questions[[#This Row],[qno]]),VALUE(stableR[qno]),0))</f>
        <v xml:space="preserve">If there is erosion risk, do you implement anti-erosion measures/control (e.g. trenches, terracing, windbreaks, soil coverage/mulching, bunds, contour planting…)? </v>
      </c>
      <c r="I1496" s="9" t="b" cm="1">
        <f t="array" ref="I1496">INDEX(stable[is_fixed],MATCH(VALUE(questions[[#This Row],[qno]]),VALUE(stable[qno]),0))</f>
        <v>1</v>
      </c>
      <c r="J1496" s="9" t="b" cm="1">
        <f t="array" ref="J1496">INDEX(stable[is_localized],MATCH(VALUE(questions[[#This Row],[qno]]),VALUE(stable[qno]),0))</f>
        <v>0</v>
      </c>
      <c r="K1496" s="9" t="b" cm="1">
        <f t="array" ref="K1496">INDEX(stable[is_supply_chain_dependent],MATCH(VALUE(questions[[#This Row],[qno]]),VALUE(stable[qno]),0))</f>
        <v>0</v>
      </c>
      <c r="L1496" s="9" t="b" cm="1">
        <f t="array" ref="L1496">INDEX(stable[is_mandatory],MATCH(VALUE(questions[[#This Row],[qno]]),VALUE(stable[qno]),0))</f>
        <v>0</v>
      </c>
      <c r="M1496" s="9" t="b" cm="1">
        <f t="array" ref="M1496">INDEX(stable[is_automated],MATCH(VALUE(questions[[#This Row],[qno]]),VALUE(stable[qno]),0))</f>
        <v>0</v>
      </c>
      <c r="N1496" s="9" t="b" cm="1">
        <f t="array" ref="N1496">INDEX(stable[is_free_text],MATCH(VALUE(questions[[#This Row],[qno]]),VALUE(stable[qno]),0))</f>
        <v>0</v>
      </c>
      <c r="O1496" s="9" t="b" cm="1">
        <f t="array" ref="O1496">INDEX(stable[is_numerical],MATCH(VALUE(questions[[#This Row],[qno]]),VALUE(stable[qno]),0))</f>
        <v>0</v>
      </c>
      <c r="P1496" s="77" t="b" cm="1">
        <f t="array" ref="P1496">INDEX(stable[is_single_select],MATCH(VALUE(questions[[#This Row],[qno]]),VALUE(stable[qno]),0))</f>
        <v>1</v>
      </c>
      <c r="Q1496" s="77" t="b" cm="1">
        <f t="array" ref="Q1496">INDEX(stable[is_multi_select],MATCH(VALUE(questions[[#This Row],[qno]]),VALUE(stable[qno]),0))</f>
        <v>0</v>
      </c>
      <c r="R1496" s="77" t="b" cm="1">
        <f t="array" ref="R1496">INDEX(stable[is_skip_logic],MATCH(VALUE(questions[[#This Row],[qno]]),VALUE(stable[qno]),0))</f>
        <v>1</v>
      </c>
      <c r="S1496" s="77" t="str">
        <f>_xlfn.TEXTJOIN(", ",TRUE,questions[[#This Row],[ans_opt_1]:[ans_opt_14]])</f>
        <v>No, Yes-Terracing, Yes-Trenches, Yes-Windbreaks, Yes-Mulching, Yes-Cover Crops, Yes-Water dykes, Yes-Contour Planting, Yes-A combination of previous practices, Yes-Other practices</v>
      </c>
      <c r="T1496" s="77" t="s">
        <v>119</v>
      </c>
      <c r="U1496" s="77" t="s">
        <v>351</v>
      </c>
      <c r="V1496" s="77" t="s">
        <v>352</v>
      </c>
      <c r="W1496" s="77" t="s">
        <v>353</v>
      </c>
      <c r="X1496" s="77" t="s">
        <v>354</v>
      </c>
      <c r="Y1496" s="77" t="s">
        <v>355</v>
      </c>
      <c r="Z1496" s="77" t="s">
        <v>356</v>
      </c>
      <c r="AA1496" s="77" t="s">
        <v>357</v>
      </c>
      <c r="AB1496" s="77" t="s">
        <v>358</v>
      </c>
      <c r="AC1496" s="77" t="s">
        <v>359</v>
      </c>
      <c r="AH1496" s="98" t="b">
        <f>INDEX(stable[q_standard],MATCH(questions[[#This Row],[qno]],stable[qno],0))</f>
        <v>0</v>
      </c>
      <c r="AI1496" s="98" t="b">
        <f>INDEX(stable[q_living_income],MATCH(questions[[#This Row],[qno]],stable[qno],0))</f>
        <v>0</v>
      </c>
      <c r="AJ1496" s="98" t="b">
        <f>INDEX(stable[q_carbon],MATCH(questions[[#This Row],[qno]],stable[qno],0))</f>
        <v>0</v>
      </c>
      <c r="AK1496" s="98" t="b">
        <f>INDEX(stable[q_regen_ag],MATCH(questions[[#This Row],[qno]],stable[qno],0))</f>
        <v>1</v>
      </c>
      <c r="AL1496" s="98" t="b">
        <f>COUNTIFS(stable[qno],questions[[#This Row],[qno]])=1</f>
        <v>1</v>
      </c>
      <c r="AM1496" s="98" t="b">
        <f>OR(questions[[#This Row],[is_fixed]],questions[[#This Row],[is_localized]],questions[[#This Row],[is_supply_chain_dependent]])</f>
        <v>1</v>
      </c>
      <c r="AN1496" s="98" t="b">
        <f>COUNTIFS(questions[[#This Row],[is_automated]:[is_multi_select]],TRUE)=1</f>
        <v>1</v>
      </c>
      <c r="AO1496" s="98" t="b">
        <f>IF(questions[[#This Row],[is_fixed]],questions[[#This Row],[question]]=INDEX(stable[question],MATCH(questions[[#This Row],[qno]],stable[qno],0)),TRUE)</f>
        <v>1</v>
      </c>
      <c r="AP1496" s="98" t="str">
        <f>LEFT(questions[[#This Row],[question]],similarity_range)</f>
        <v xml:space="preserve">If there is erosion </v>
      </c>
      <c r="AQ1496" s="98" t="str">
        <f>LEFT(INDEX(stable[question],MATCH(questions[[#This Row],[qno]],stable[qno],0)),similarity_range)</f>
        <v xml:space="preserve">If there is erosion </v>
      </c>
      <c r="AR1496" s="98" t="b">
        <f>questions[[#This Row],[question_first_characters]]=questions[[#This Row],[stability_first_characters]]</f>
        <v>1</v>
      </c>
      <c r="AS1496" s="98" t="b">
        <f>IF(OR(questions[[#This Row],[is_single_select]],questions[[#This Row],[is_multi_select]]),NOT(ISBLANK(questions[[#This Row],[answer_opt_combined]])),TRUE)</f>
        <v>1</v>
      </c>
    </row>
    <row r="1497" spans="1:45" s="77" customFormat="1" ht="15.75" customHeight="1" x14ac:dyDescent="0.25">
      <c r="A1497" s="77" t="str">
        <f>_xlfn.TEXTJOIN("_",TRUE,questions[[#This Row],[origin]:[qno]])</f>
        <v>Brazil_Arabica_2025_7115</v>
      </c>
      <c r="B1497" s="77" t="s">
        <v>1025</v>
      </c>
      <c r="C1497" s="77" t="s">
        <v>59</v>
      </c>
      <c r="E1497" s="77">
        <v>2025</v>
      </c>
      <c r="F1497" s="107" t="s">
        <v>360</v>
      </c>
      <c r="G1497" s="78" t="s">
        <v>361</v>
      </c>
      <c r="H1497" s="9" t="str" cm="1">
        <f t="array" ref="H1497">INDEX(stableR[question],MATCH(VALUE(questions[[#This Row],[qno]]),VALUE(stableR[qno]),0))</f>
        <v>Of the area of your coffee plots with risk of erosion, can you estimate the % or proportion of that area to which you apply anti-erosion measures/control?</v>
      </c>
      <c r="I1497" s="9" t="b" cm="1">
        <f t="array" ref="I1497">INDEX(stable[is_fixed],MATCH(VALUE(questions[[#This Row],[qno]]),VALUE(stable[qno]),0))</f>
        <v>1</v>
      </c>
      <c r="J1497" s="9" t="b" cm="1">
        <f t="array" ref="J1497">INDEX(stable[is_localized],MATCH(VALUE(questions[[#This Row],[qno]]),VALUE(stable[qno]),0))</f>
        <v>0</v>
      </c>
      <c r="K1497" s="9" t="b" cm="1">
        <f t="array" ref="K1497">INDEX(stable[is_supply_chain_dependent],MATCH(VALUE(questions[[#This Row],[qno]]),VALUE(stable[qno]),0))</f>
        <v>0</v>
      </c>
      <c r="L1497" s="9" t="b" cm="1">
        <f t="array" ref="L1497">INDEX(stable[is_mandatory],MATCH(VALUE(questions[[#This Row],[qno]]),VALUE(stable[qno]),0))</f>
        <v>0</v>
      </c>
      <c r="M1497" s="9" t="b" cm="1">
        <f t="array" ref="M1497">INDEX(stable[is_automated],MATCH(VALUE(questions[[#This Row],[qno]]),VALUE(stable[qno]),0))</f>
        <v>0</v>
      </c>
      <c r="N1497" s="9" t="b" cm="1">
        <f t="array" ref="N1497">INDEX(stable[is_free_text],MATCH(VALUE(questions[[#This Row],[qno]]),VALUE(stable[qno]),0))</f>
        <v>0</v>
      </c>
      <c r="O1497" s="9" t="b" cm="1">
        <f t="array" ref="O1497">INDEX(stable[is_numerical],MATCH(VALUE(questions[[#This Row],[qno]]),VALUE(stable[qno]),0))</f>
        <v>0</v>
      </c>
      <c r="P1497" s="77" t="b" cm="1">
        <f t="array" ref="P1497">INDEX(stable[is_single_select],MATCH(VALUE(questions[[#This Row],[qno]]),VALUE(stable[qno]),0))</f>
        <v>1</v>
      </c>
      <c r="Q1497" s="77" t="b" cm="1">
        <f t="array" ref="Q1497">INDEX(stable[is_multi_select],MATCH(VALUE(questions[[#This Row],[qno]]),VALUE(stable[qno]),0))</f>
        <v>0</v>
      </c>
      <c r="R1497" s="77" t="b" cm="1">
        <f t="array" ref="R1497">INDEX(stable[is_skip_logic],MATCH(VALUE(questions[[#This Row],[qno]]),VALUE(stable[qno]),0))</f>
        <v>1</v>
      </c>
      <c r="S1497" s="77" t="str">
        <f>_xlfn.TEXTJOIN(", ",TRUE,questions[[#This Row],[ans_opt_1]:[ans_opt_14]])</f>
        <v>0% - none, 1% to 25% - little to a quarter, 26% to 50% - less than half, 51% to 75% - more than half, 76% to 100% - almost all</v>
      </c>
      <c r="T1497" s="77" t="s">
        <v>362</v>
      </c>
      <c r="U1497" s="77" t="s">
        <v>338</v>
      </c>
      <c r="V1497" s="77" t="s">
        <v>339</v>
      </c>
      <c r="W1497" s="77" t="s">
        <v>340</v>
      </c>
      <c r="X1497" s="77" t="s">
        <v>341</v>
      </c>
      <c r="AH1497" s="98" t="b">
        <f>INDEX(stable[q_standard],MATCH(questions[[#This Row],[qno]],stable[qno],0))</f>
        <v>0</v>
      </c>
      <c r="AI1497" s="98" t="b">
        <f>INDEX(stable[q_living_income],MATCH(questions[[#This Row],[qno]],stable[qno],0))</f>
        <v>0</v>
      </c>
      <c r="AJ1497" s="98" t="b">
        <f>INDEX(stable[q_carbon],MATCH(questions[[#This Row],[qno]],stable[qno],0))</f>
        <v>0</v>
      </c>
      <c r="AK1497" s="98" t="b">
        <f>INDEX(stable[q_regen_ag],MATCH(questions[[#This Row],[qno]],stable[qno],0))</f>
        <v>1</v>
      </c>
      <c r="AL1497" s="98" t="b">
        <f>COUNTIFS(stable[qno],questions[[#This Row],[qno]])=1</f>
        <v>1</v>
      </c>
      <c r="AM1497" s="98" t="b">
        <f>OR(questions[[#This Row],[is_fixed]],questions[[#This Row],[is_localized]],questions[[#This Row],[is_supply_chain_dependent]])</f>
        <v>1</v>
      </c>
      <c r="AN1497" s="98" t="b">
        <f>COUNTIFS(questions[[#This Row],[is_automated]:[is_multi_select]],TRUE)=1</f>
        <v>1</v>
      </c>
      <c r="AO1497" s="98" t="b">
        <f>IF(questions[[#This Row],[is_fixed]],questions[[#This Row],[question]]=INDEX(stable[question],MATCH(questions[[#This Row],[qno]],stable[qno],0)),TRUE)</f>
        <v>1</v>
      </c>
      <c r="AP1497" s="98" t="str">
        <f>LEFT(questions[[#This Row],[question]],similarity_range)</f>
        <v xml:space="preserve">Of the area of your </v>
      </c>
      <c r="AQ1497" s="98" t="str">
        <f>LEFT(INDEX(stable[question],MATCH(questions[[#This Row],[qno]],stable[qno],0)),similarity_range)</f>
        <v xml:space="preserve">Of the area of your </v>
      </c>
      <c r="AR1497" s="98" t="b">
        <f>questions[[#This Row],[question_first_characters]]=questions[[#This Row],[stability_first_characters]]</f>
        <v>1</v>
      </c>
      <c r="AS1497" s="98" t="b">
        <f>IF(OR(questions[[#This Row],[is_single_select]],questions[[#This Row],[is_multi_select]]),NOT(ISBLANK(questions[[#This Row],[answer_opt_combined]])),TRUE)</f>
        <v>1</v>
      </c>
    </row>
    <row r="1498" spans="1:45" s="77" customFormat="1" ht="15.75" customHeight="1" x14ac:dyDescent="0.25">
      <c r="A1498" s="77" t="str">
        <f>_xlfn.TEXTJOIN("_",TRUE,questions[[#This Row],[origin]:[qno]])</f>
        <v>Brazil_Arabica_2025_7126</v>
      </c>
      <c r="B1498" s="77" t="s">
        <v>1025</v>
      </c>
      <c r="C1498" s="77" t="s">
        <v>59</v>
      </c>
      <c r="E1498" s="77">
        <v>2025</v>
      </c>
      <c r="F1498" s="107" t="s">
        <v>363</v>
      </c>
      <c r="G1498" s="78" t="s">
        <v>364</v>
      </c>
      <c r="H1498" s="9" t="str" cm="1">
        <f t="array" ref="H1498">INDEX(stableR[question],MATCH(VALUE(questions[[#This Row],[qno]]),VALUE(stableR[qno]),0))</f>
        <v>Do you take soil samples and carry out soil analysis of your coffee plots and how often?</v>
      </c>
      <c r="I1498" s="9" t="b" cm="1">
        <f t="array" ref="I1498">INDEX(stable[is_fixed],MATCH(VALUE(questions[[#This Row],[qno]]),VALUE(stable[qno]),0))</f>
        <v>1</v>
      </c>
      <c r="J1498" s="9" t="b" cm="1">
        <f t="array" ref="J1498">INDEX(stable[is_localized],MATCH(VALUE(questions[[#This Row],[qno]]),VALUE(stable[qno]),0))</f>
        <v>0</v>
      </c>
      <c r="K1498" s="9" t="b" cm="1">
        <f t="array" ref="K1498">INDEX(stable[is_supply_chain_dependent],MATCH(VALUE(questions[[#This Row],[qno]]),VALUE(stable[qno]),0))</f>
        <v>0</v>
      </c>
      <c r="L1498" s="9" t="b" cm="1">
        <f t="array" ref="L1498">INDEX(stable[is_mandatory],MATCH(VALUE(questions[[#This Row],[qno]]),VALUE(stable[qno]),0))</f>
        <v>1</v>
      </c>
      <c r="M1498" s="9" t="b" cm="1">
        <f t="array" ref="M1498">INDEX(stable[is_automated],MATCH(VALUE(questions[[#This Row],[qno]]),VALUE(stable[qno]),0))</f>
        <v>0</v>
      </c>
      <c r="N1498" s="9" t="b" cm="1">
        <f t="array" ref="N1498">INDEX(stable[is_free_text],MATCH(VALUE(questions[[#This Row],[qno]]),VALUE(stable[qno]),0))</f>
        <v>0</v>
      </c>
      <c r="O1498" s="9" t="b" cm="1">
        <f t="array" ref="O1498">INDEX(stable[is_numerical],MATCH(VALUE(questions[[#This Row],[qno]]),VALUE(stable[qno]),0))</f>
        <v>0</v>
      </c>
      <c r="P1498" s="77" t="b" cm="1">
        <f t="array" ref="P1498">INDEX(stable[is_single_select],MATCH(VALUE(questions[[#This Row],[qno]]),VALUE(stable[qno]),0))</f>
        <v>1</v>
      </c>
      <c r="Q1498" s="77" t="b" cm="1">
        <f t="array" ref="Q1498">INDEX(stable[is_multi_select],MATCH(VALUE(questions[[#This Row],[qno]]),VALUE(stable[qno]),0))</f>
        <v>0</v>
      </c>
      <c r="R1498" s="77" t="b" cm="1">
        <f t="array" ref="R1498">INDEX(stable[is_skip_logic],MATCH(VALUE(questions[[#This Row],[qno]]),VALUE(stable[qno]),0))</f>
        <v>1</v>
      </c>
      <c r="S1498" s="77" t="str">
        <f>_xlfn.TEXTJOIN(", ",TRUE,questions[[#This Row],[ans_opt_1]:[ans_opt_14]])</f>
        <v>No, Yes-every year, Yes-every 2 years, Yes-every 3 years, Yes-every &gt; 3 years</v>
      </c>
      <c r="T1498" s="77" t="s">
        <v>119</v>
      </c>
      <c r="U1498" s="77" t="s">
        <v>365</v>
      </c>
      <c r="V1498" s="77" t="s">
        <v>366</v>
      </c>
      <c r="W1498" s="77" t="s">
        <v>367</v>
      </c>
      <c r="X1498" s="77" t="s">
        <v>368</v>
      </c>
      <c r="AH1498" s="98" t="b">
        <f>INDEX(stable[q_standard],MATCH(questions[[#This Row],[qno]],stable[qno],0))</f>
        <v>0</v>
      </c>
      <c r="AI1498" s="98" t="b">
        <f>INDEX(stable[q_living_income],MATCH(questions[[#This Row],[qno]],stable[qno],0))</f>
        <v>0</v>
      </c>
      <c r="AJ1498" s="98" t="b">
        <f>INDEX(stable[q_carbon],MATCH(questions[[#This Row],[qno]],stable[qno],0))</f>
        <v>0</v>
      </c>
      <c r="AK1498" s="98" t="b">
        <f>INDEX(stable[q_regen_ag],MATCH(questions[[#This Row],[qno]],stable[qno],0))</f>
        <v>1</v>
      </c>
      <c r="AL1498" s="98" t="b">
        <f>COUNTIFS(stable[qno],questions[[#This Row],[qno]])=1</f>
        <v>1</v>
      </c>
      <c r="AM1498" s="98" t="b">
        <f>OR(questions[[#This Row],[is_fixed]],questions[[#This Row],[is_localized]],questions[[#This Row],[is_supply_chain_dependent]])</f>
        <v>1</v>
      </c>
      <c r="AN1498" s="98" t="b">
        <f>COUNTIFS(questions[[#This Row],[is_automated]:[is_multi_select]],TRUE)=1</f>
        <v>1</v>
      </c>
      <c r="AO1498" s="98" t="b">
        <f>IF(questions[[#This Row],[is_fixed]],questions[[#This Row],[question]]=INDEX(stable[question],MATCH(questions[[#This Row],[qno]],stable[qno],0)),TRUE)</f>
        <v>1</v>
      </c>
      <c r="AP1498" s="98" t="str">
        <f>LEFT(questions[[#This Row],[question]],similarity_range)</f>
        <v>Do you take soil sam</v>
      </c>
      <c r="AQ1498" s="98" t="str">
        <f>LEFT(INDEX(stable[question],MATCH(questions[[#This Row],[qno]],stable[qno],0)),similarity_range)</f>
        <v>Do you take soil sam</v>
      </c>
      <c r="AR1498" s="98" t="b">
        <f>questions[[#This Row],[question_first_characters]]=questions[[#This Row],[stability_first_characters]]</f>
        <v>1</v>
      </c>
      <c r="AS1498" s="98" t="b">
        <f>IF(OR(questions[[#This Row],[is_single_select]],questions[[#This Row],[is_multi_select]]),NOT(ISBLANK(questions[[#This Row],[answer_opt_combined]])),TRUE)</f>
        <v>1</v>
      </c>
    </row>
    <row r="1499" spans="1:45" s="77" customFormat="1" ht="15.75" customHeight="1" x14ac:dyDescent="0.25">
      <c r="A1499" s="77" t="str">
        <f>_xlfn.TEXTJOIN("_",TRUE,questions[[#This Row],[origin]:[qno]])</f>
        <v>Brazil_Arabica_2025_7127</v>
      </c>
      <c r="B1499" s="77" t="s">
        <v>1025</v>
      </c>
      <c r="C1499" s="77" t="s">
        <v>59</v>
      </c>
      <c r="E1499" s="77">
        <v>2025</v>
      </c>
      <c r="F1499" s="107" t="s">
        <v>369</v>
      </c>
      <c r="G1499" s="78" t="s">
        <v>370</v>
      </c>
      <c r="H1499" s="9" t="str" cm="1">
        <f t="array" ref="H1499">INDEX(stableR[question],MATCH(VALUE(questions[[#This Row],[qno]]),VALUE(stableR[qno]),0))</f>
        <v>If you don´t or last analysis is older than 3 years ago, do you know the basic characteristics of the soil of your coffee plots (e.g. pH-acidity, texture-light/medium/heavy, organic matter-high/good/poor, general fertility-good/average/poor...)?</v>
      </c>
      <c r="I1499" s="9" t="b" cm="1">
        <f t="array" ref="I1499">INDEX(stable[is_fixed],MATCH(VALUE(questions[[#This Row],[qno]]),VALUE(stable[qno]),0))</f>
        <v>1</v>
      </c>
      <c r="J1499" s="9" t="b" cm="1">
        <f t="array" ref="J1499">INDEX(stable[is_localized],MATCH(VALUE(questions[[#This Row],[qno]]),VALUE(stable[qno]),0))</f>
        <v>0</v>
      </c>
      <c r="K1499" s="9" t="b" cm="1">
        <f t="array" ref="K1499">INDEX(stable[is_supply_chain_dependent],MATCH(VALUE(questions[[#This Row],[qno]]),VALUE(stable[qno]),0))</f>
        <v>0</v>
      </c>
      <c r="L1499" s="9" t="b" cm="1">
        <f t="array" ref="L1499">INDEX(stable[is_mandatory],MATCH(VALUE(questions[[#This Row],[qno]]),VALUE(stable[qno]),0))</f>
        <v>0</v>
      </c>
      <c r="M1499" s="9" t="b" cm="1">
        <f t="array" ref="M1499">INDEX(stable[is_automated],MATCH(VALUE(questions[[#This Row],[qno]]),VALUE(stable[qno]),0))</f>
        <v>0</v>
      </c>
      <c r="N1499" s="9" t="b" cm="1">
        <f t="array" ref="N1499">INDEX(stable[is_free_text],MATCH(VALUE(questions[[#This Row],[qno]]),VALUE(stable[qno]),0))</f>
        <v>0</v>
      </c>
      <c r="O1499" s="9" t="b" cm="1">
        <f t="array" ref="O1499">INDEX(stable[is_numerical],MATCH(VALUE(questions[[#This Row],[qno]]),VALUE(stable[qno]),0))</f>
        <v>0</v>
      </c>
      <c r="P1499" s="77" t="b" cm="1">
        <f t="array" ref="P1499">INDEX(stable[is_single_select],MATCH(VALUE(questions[[#This Row],[qno]]),VALUE(stable[qno]),0))</f>
        <v>1</v>
      </c>
      <c r="Q1499" s="77" t="b" cm="1">
        <f t="array" ref="Q1499">INDEX(stable[is_multi_select],MATCH(VALUE(questions[[#This Row],[qno]]),VALUE(stable[qno]),0))</f>
        <v>0</v>
      </c>
      <c r="R1499" s="77" t="b" cm="1">
        <f t="array" ref="R1499">INDEX(stable[is_skip_logic],MATCH(VALUE(questions[[#This Row],[qno]]),VALUE(stable[qno]),0))</f>
        <v>1</v>
      </c>
      <c r="S1499" s="77" t="str">
        <f>_xlfn.TEXTJOIN(", ",TRUE,questions[[#This Row],[ans_opt_1]:[ans_opt_14]])</f>
        <v>Yes, No</v>
      </c>
      <c r="T1499" s="77" t="s">
        <v>149</v>
      </c>
      <c r="U1499" s="77" t="s">
        <v>119</v>
      </c>
      <c r="AH1499" s="98" t="b">
        <f>INDEX(stable[q_standard],MATCH(questions[[#This Row],[qno]],stable[qno],0))</f>
        <v>0</v>
      </c>
      <c r="AI1499" s="98" t="b">
        <f>INDEX(stable[q_living_income],MATCH(questions[[#This Row],[qno]],stable[qno],0))</f>
        <v>0</v>
      </c>
      <c r="AJ1499" s="98" t="b">
        <f>INDEX(stable[q_carbon],MATCH(questions[[#This Row],[qno]],stable[qno],0))</f>
        <v>0</v>
      </c>
      <c r="AK1499" s="98" t="b">
        <f>INDEX(stable[q_regen_ag],MATCH(questions[[#This Row],[qno]],stable[qno],0))</f>
        <v>1</v>
      </c>
      <c r="AL1499" s="98" t="b">
        <f>COUNTIFS(stable[qno],questions[[#This Row],[qno]])=1</f>
        <v>1</v>
      </c>
      <c r="AM1499" s="98" t="b">
        <f>OR(questions[[#This Row],[is_fixed]],questions[[#This Row],[is_localized]],questions[[#This Row],[is_supply_chain_dependent]])</f>
        <v>1</v>
      </c>
      <c r="AN1499" s="98" t="b">
        <f>COUNTIFS(questions[[#This Row],[is_automated]:[is_multi_select]],TRUE)=1</f>
        <v>1</v>
      </c>
      <c r="AO1499" s="98" t="b">
        <f>IF(questions[[#This Row],[is_fixed]],questions[[#This Row],[question]]=INDEX(stable[question],MATCH(questions[[#This Row],[qno]],stable[qno],0)),TRUE)</f>
        <v>1</v>
      </c>
      <c r="AP1499" s="98" t="str">
        <f>LEFT(questions[[#This Row],[question]],similarity_range)</f>
        <v>If you don´t or last</v>
      </c>
      <c r="AQ1499" s="98" t="str">
        <f>LEFT(INDEX(stable[question],MATCH(questions[[#This Row],[qno]],stable[qno],0)),similarity_range)</f>
        <v>If you don´t or last</v>
      </c>
      <c r="AR1499" s="98" t="b">
        <f>questions[[#This Row],[question_first_characters]]=questions[[#This Row],[stability_first_characters]]</f>
        <v>1</v>
      </c>
      <c r="AS1499" s="98" t="b">
        <f>IF(OR(questions[[#This Row],[is_single_select]],questions[[#This Row],[is_multi_select]]),NOT(ISBLANK(questions[[#This Row],[answer_opt_combined]])),TRUE)</f>
        <v>1</v>
      </c>
    </row>
    <row r="1500" spans="1:45" s="77" customFormat="1" ht="15.75" customHeight="1" x14ac:dyDescent="0.25">
      <c r="A1500" s="77" t="str">
        <f>_xlfn.TEXTJOIN("_",TRUE,questions[[#This Row],[origin]:[qno]])</f>
        <v>Brazil_Arabica_2025_7128</v>
      </c>
      <c r="B1500" s="77" t="s">
        <v>1025</v>
      </c>
      <c r="C1500" s="77" t="s">
        <v>59</v>
      </c>
      <c r="E1500" s="77">
        <v>2025</v>
      </c>
      <c r="F1500" s="107" t="s">
        <v>371</v>
      </c>
      <c r="G1500" s="78" t="s">
        <v>372</v>
      </c>
      <c r="H1500" s="9" t="str" cm="1">
        <f t="array" ref="H1500">INDEX(stableR[question],MATCH(VALUE(questions[[#This Row],[qno]]),VALUE(stableR[qno]),0))</f>
        <v>What is the most common system to determine the amount and/or the type of organic and synthetic fertilizers that you use in your coffee crop?</v>
      </c>
      <c r="I1500" s="9" t="b" cm="1">
        <f t="array" ref="I1500">INDEX(stable[is_fixed],MATCH(VALUE(questions[[#This Row],[qno]]),VALUE(stable[qno]),0))</f>
        <v>1</v>
      </c>
      <c r="J1500" s="9" t="b" cm="1">
        <f t="array" ref="J1500">INDEX(stable[is_localized],MATCH(VALUE(questions[[#This Row],[qno]]),VALUE(stable[qno]),0))</f>
        <v>0</v>
      </c>
      <c r="K1500" s="9" t="b" cm="1">
        <f t="array" ref="K1500">INDEX(stable[is_supply_chain_dependent],MATCH(VALUE(questions[[#This Row],[qno]]),VALUE(stable[qno]),0))</f>
        <v>0</v>
      </c>
      <c r="L1500" s="9" t="b" cm="1">
        <f t="array" ref="L1500">INDEX(stable[is_mandatory],MATCH(VALUE(questions[[#This Row],[qno]]),VALUE(stable[qno]),0))</f>
        <v>1</v>
      </c>
      <c r="M1500" s="9" t="b" cm="1">
        <f t="array" ref="M1500">INDEX(stable[is_automated],MATCH(VALUE(questions[[#This Row],[qno]]),VALUE(stable[qno]),0))</f>
        <v>0</v>
      </c>
      <c r="N1500" s="9" t="b" cm="1">
        <f t="array" ref="N1500">INDEX(stable[is_free_text],MATCH(VALUE(questions[[#This Row],[qno]]),VALUE(stable[qno]),0))</f>
        <v>0</v>
      </c>
      <c r="O1500" s="9" t="b" cm="1">
        <f t="array" ref="O1500">INDEX(stable[is_numerical],MATCH(VALUE(questions[[#This Row],[qno]]),VALUE(stable[qno]),0))</f>
        <v>0</v>
      </c>
      <c r="P1500" s="77" t="b" cm="1">
        <f t="array" ref="P1500">INDEX(stable[is_single_select],MATCH(VALUE(questions[[#This Row],[qno]]),VALUE(stable[qno]),0))</f>
        <v>1</v>
      </c>
      <c r="Q1500" s="77" t="b" cm="1">
        <f t="array" ref="Q1500">INDEX(stable[is_multi_select],MATCH(VALUE(questions[[#This Row],[qno]]),VALUE(stable[qno]),0))</f>
        <v>0</v>
      </c>
      <c r="R1500" s="77" t="b" cm="1">
        <f t="array" ref="R1500">INDEX(stable[is_skip_logic],MATCH(VALUE(questions[[#This Row],[qno]]),VALUE(stable[qno]),0))</f>
        <v>0</v>
      </c>
      <c r="S1500" s="77" t="str">
        <f>_xlfn.TEXTJOIN(", ",TRUE,questions[[#This Row],[ans_opt_1]:[ans_opt_14]])</f>
        <v>Based on my own judgment-experience, Based on what I can afford, I always use the same fertilization, Based on soil analysis or soil knowledge, Based on soil analysis or soil knowledge and the expected yield of the crop, Based on recommendations from experts (agronomists, field officers, extension services...) , Based on recommendations from input suppliers, I don't use organic or synthetic fertilizers, based on other reasons then the above options</v>
      </c>
      <c r="T1500" s="77" t="s">
        <v>373</v>
      </c>
      <c r="U1500" s="77" t="s">
        <v>374</v>
      </c>
      <c r="V1500" s="77" t="s">
        <v>375</v>
      </c>
      <c r="W1500" s="77" t="s">
        <v>376</v>
      </c>
      <c r="X1500" s="77" t="s">
        <v>377</v>
      </c>
      <c r="Y1500" s="77" t="s">
        <v>796</v>
      </c>
      <c r="Z1500" s="77" t="s">
        <v>379</v>
      </c>
      <c r="AA1500" s="77" t="s">
        <v>380</v>
      </c>
      <c r="AH1500" s="98" t="b">
        <f>INDEX(stable[q_standard],MATCH(questions[[#This Row],[qno]],stable[qno],0))</f>
        <v>0</v>
      </c>
      <c r="AI1500" s="98" t="b">
        <f>INDEX(stable[q_living_income],MATCH(questions[[#This Row],[qno]],stable[qno],0))</f>
        <v>0</v>
      </c>
      <c r="AJ1500" s="98" t="b">
        <f>INDEX(stable[q_carbon],MATCH(questions[[#This Row],[qno]],stable[qno],0))</f>
        <v>0</v>
      </c>
      <c r="AK1500" s="98" t="b">
        <f>INDEX(stable[q_regen_ag],MATCH(questions[[#This Row],[qno]],stable[qno],0))</f>
        <v>1</v>
      </c>
      <c r="AL1500" s="98" t="b">
        <f>COUNTIFS(stable[qno],questions[[#This Row],[qno]])=1</f>
        <v>1</v>
      </c>
      <c r="AM1500" s="98" t="b">
        <f>OR(questions[[#This Row],[is_fixed]],questions[[#This Row],[is_localized]],questions[[#This Row],[is_supply_chain_dependent]])</f>
        <v>1</v>
      </c>
      <c r="AN1500" s="98" t="b">
        <f>COUNTIFS(questions[[#This Row],[is_automated]:[is_multi_select]],TRUE)=1</f>
        <v>1</v>
      </c>
      <c r="AO1500" s="98" t="b">
        <f>IF(questions[[#This Row],[is_fixed]],questions[[#This Row],[question]]=INDEX(stable[question],MATCH(questions[[#This Row],[qno]],stable[qno],0)),TRUE)</f>
        <v>1</v>
      </c>
      <c r="AP1500" s="98" t="str">
        <f>LEFT(questions[[#This Row],[question]],similarity_range)</f>
        <v>What is the most com</v>
      </c>
      <c r="AQ1500" s="98" t="str">
        <f>LEFT(INDEX(stable[question],MATCH(questions[[#This Row],[qno]],stable[qno],0)),similarity_range)</f>
        <v>What is the most com</v>
      </c>
      <c r="AR1500" s="98" t="b">
        <f>questions[[#This Row],[question_first_characters]]=questions[[#This Row],[stability_first_characters]]</f>
        <v>1</v>
      </c>
      <c r="AS1500" s="98" t="b">
        <f>IF(OR(questions[[#This Row],[is_single_select]],questions[[#This Row],[is_multi_select]]),NOT(ISBLANK(questions[[#This Row],[answer_opt_combined]])),TRUE)</f>
        <v>1</v>
      </c>
    </row>
    <row r="1501" spans="1:45" s="77" customFormat="1" ht="15.75" customHeight="1" x14ac:dyDescent="0.25">
      <c r="A1501" s="77" t="str">
        <f>_xlfn.TEXTJOIN("_",TRUE,questions[[#This Row],[origin]:[qno]])</f>
        <v>Brazil_Arabica_2025_7131</v>
      </c>
      <c r="B1501" s="77" t="s">
        <v>1025</v>
      </c>
      <c r="C1501" s="77" t="s">
        <v>59</v>
      </c>
      <c r="E1501" s="77">
        <v>2025</v>
      </c>
      <c r="F1501" s="107" t="s">
        <v>381</v>
      </c>
      <c r="G1501" s="78" t="s">
        <v>382</v>
      </c>
      <c r="H1501" s="9" t="str" cm="1">
        <f t="array" ref="H1501">INDEX(stableR[question],MATCH(VALUE(questions[[#This Row],[qno]]),VALUE(stableR[qno]),0))</f>
        <v>How often do you apply synthetic fertilizer per season in your coffee crop?</v>
      </c>
      <c r="I1501" s="9" t="b" cm="1">
        <f t="array" ref="I1501">INDEX(stable[is_fixed],MATCH(VALUE(questions[[#This Row],[qno]]),VALUE(stable[qno]),0))</f>
        <v>1</v>
      </c>
      <c r="J1501" s="9" t="b" cm="1">
        <f t="array" ref="J1501">INDEX(stable[is_localized],MATCH(VALUE(questions[[#This Row],[qno]]),VALUE(stable[qno]),0))</f>
        <v>0</v>
      </c>
      <c r="K1501" s="9" t="b" cm="1">
        <f t="array" ref="K1501">INDEX(stable[is_supply_chain_dependent],MATCH(VALUE(questions[[#This Row],[qno]]),VALUE(stable[qno]),0))</f>
        <v>0</v>
      </c>
      <c r="L1501" s="9" t="b" cm="1">
        <f t="array" ref="L1501">INDEX(stable[is_mandatory],MATCH(VALUE(questions[[#This Row],[qno]]),VALUE(stable[qno]),0))</f>
        <v>1</v>
      </c>
      <c r="M1501" s="9" t="b" cm="1">
        <f t="array" ref="M1501">INDEX(stable[is_automated],MATCH(VALUE(questions[[#This Row],[qno]]),VALUE(stable[qno]),0))</f>
        <v>0</v>
      </c>
      <c r="N1501" s="9" t="b" cm="1">
        <f t="array" ref="N1501">INDEX(stable[is_free_text],MATCH(VALUE(questions[[#This Row],[qno]]),VALUE(stable[qno]),0))</f>
        <v>0</v>
      </c>
      <c r="O1501" s="9" t="b" cm="1">
        <f t="array" ref="O1501">INDEX(stable[is_numerical],MATCH(VALUE(questions[[#This Row],[qno]]),VALUE(stable[qno]),0))</f>
        <v>0</v>
      </c>
      <c r="P1501" s="77" t="b" cm="1">
        <f t="array" ref="P1501">INDEX(stable[is_single_select],MATCH(VALUE(questions[[#This Row],[qno]]),VALUE(stable[qno]),0))</f>
        <v>1</v>
      </c>
      <c r="Q1501" s="77" t="b" cm="1">
        <f t="array" ref="Q1501">INDEX(stable[is_multi_select],MATCH(VALUE(questions[[#This Row],[qno]]),VALUE(stable[qno]),0))</f>
        <v>0</v>
      </c>
      <c r="R1501" s="77" t="b" cm="1">
        <f t="array" ref="R1501">INDEX(stable[is_skip_logic],MATCH(VALUE(questions[[#This Row],[qno]]),VALUE(stable[qno]),0))</f>
        <v>0</v>
      </c>
      <c r="S1501" s="77" t="str">
        <f>_xlfn.TEXTJOIN(", ",TRUE,questions[[#This Row],[ans_opt_1]:[ans_opt_14]])</f>
        <v>I don't apply, I apply once per season, I apply multiple times throughout the season</v>
      </c>
      <c r="T1501" s="77" t="s">
        <v>383</v>
      </c>
      <c r="U1501" s="77" t="s">
        <v>384</v>
      </c>
      <c r="V1501" s="77" t="s">
        <v>385</v>
      </c>
      <c r="AH1501" s="98" t="b">
        <f>INDEX(stable[q_standard],MATCH(questions[[#This Row],[qno]],stable[qno],0))</f>
        <v>0</v>
      </c>
      <c r="AI1501" s="98" t="b">
        <f>INDEX(stable[q_living_income],MATCH(questions[[#This Row],[qno]],stable[qno],0))</f>
        <v>0</v>
      </c>
      <c r="AJ1501" s="98" t="b">
        <f>INDEX(stable[q_carbon],MATCH(questions[[#This Row],[qno]],stable[qno],0))</f>
        <v>0</v>
      </c>
      <c r="AK1501" s="98" t="b">
        <f>INDEX(stable[q_regen_ag],MATCH(questions[[#This Row],[qno]],stable[qno],0))</f>
        <v>1</v>
      </c>
      <c r="AL1501" s="98" t="b">
        <f>COUNTIFS(stable[qno],questions[[#This Row],[qno]])=1</f>
        <v>1</v>
      </c>
      <c r="AM1501" s="98" t="b">
        <f>OR(questions[[#This Row],[is_fixed]],questions[[#This Row],[is_localized]],questions[[#This Row],[is_supply_chain_dependent]])</f>
        <v>1</v>
      </c>
      <c r="AN1501" s="98" t="b">
        <f>COUNTIFS(questions[[#This Row],[is_automated]:[is_multi_select]],TRUE)=1</f>
        <v>1</v>
      </c>
      <c r="AO1501" s="98" t="b">
        <f>IF(questions[[#This Row],[is_fixed]],questions[[#This Row],[question]]=INDEX(stable[question],MATCH(questions[[#This Row],[qno]],stable[qno],0)),TRUE)</f>
        <v>1</v>
      </c>
      <c r="AP1501" s="98" t="str">
        <f>LEFT(questions[[#This Row],[question]],similarity_range)</f>
        <v>How often do you app</v>
      </c>
      <c r="AQ1501" s="98" t="str">
        <f>LEFT(INDEX(stable[question],MATCH(questions[[#This Row],[qno]],stable[qno],0)),similarity_range)</f>
        <v>How often do you app</v>
      </c>
      <c r="AR1501" s="98" t="b">
        <f>questions[[#This Row],[question_first_characters]]=questions[[#This Row],[stability_first_characters]]</f>
        <v>1</v>
      </c>
      <c r="AS1501" s="98" t="b">
        <f>IF(OR(questions[[#This Row],[is_single_select]],questions[[#This Row],[is_multi_select]]),NOT(ISBLANK(questions[[#This Row],[answer_opt_combined]])),TRUE)</f>
        <v>1</v>
      </c>
    </row>
    <row r="1502" spans="1:45" s="77" customFormat="1" ht="15.75" customHeight="1" x14ac:dyDescent="0.25">
      <c r="A1502" s="77" t="str">
        <f>_xlfn.TEXTJOIN("_",TRUE,questions[[#This Row],[origin]:[qno]])</f>
        <v>Brazil_Arabica_2025_7132</v>
      </c>
      <c r="B1502" s="77" t="s">
        <v>1025</v>
      </c>
      <c r="C1502" s="77" t="s">
        <v>59</v>
      </c>
      <c r="E1502" s="77">
        <v>2025</v>
      </c>
      <c r="F1502" s="107" t="s">
        <v>386</v>
      </c>
      <c r="G1502" s="78" t="s">
        <v>387</v>
      </c>
      <c r="H1502" s="9" t="str" cm="1">
        <f t="array" ref="H1502">INDEX(stableR[question],MATCH(VALUE(questions[[#This Row],[qno]]),VALUE(stableR[qno]),0))</f>
        <v>How do you apply the organic and synthetic fertilizers to the coffee trees in the coffee plots?</v>
      </c>
      <c r="I1502" s="9" t="b" cm="1">
        <f t="array" ref="I1502">INDEX(stable[is_fixed],MATCH(VALUE(questions[[#This Row],[qno]]),VALUE(stable[qno]),0))</f>
        <v>1</v>
      </c>
      <c r="J1502" s="9" t="b" cm="1">
        <f t="array" ref="J1502">INDEX(stable[is_localized],MATCH(VALUE(questions[[#This Row],[qno]]),VALUE(stable[qno]),0))</f>
        <v>0</v>
      </c>
      <c r="K1502" s="9" t="b" cm="1">
        <f t="array" ref="K1502">INDEX(stable[is_supply_chain_dependent],MATCH(VALUE(questions[[#This Row],[qno]]),VALUE(stable[qno]),0))</f>
        <v>0</v>
      </c>
      <c r="L1502" s="9" t="b" cm="1">
        <f t="array" ref="L1502">INDEX(stable[is_mandatory],MATCH(VALUE(questions[[#This Row],[qno]]),VALUE(stable[qno]),0))</f>
        <v>0</v>
      </c>
      <c r="M1502" s="9" t="b" cm="1">
        <f t="array" ref="M1502">INDEX(stable[is_automated],MATCH(VALUE(questions[[#This Row],[qno]]),VALUE(stable[qno]),0))</f>
        <v>0</v>
      </c>
      <c r="N1502" s="9" t="b" cm="1">
        <f t="array" ref="N1502">INDEX(stable[is_free_text],MATCH(VALUE(questions[[#This Row],[qno]]),VALUE(stable[qno]),0))</f>
        <v>0</v>
      </c>
      <c r="O1502" s="9" t="b" cm="1">
        <f t="array" ref="O1502">INDEX(stable[is_numerical],MATCH(VALUE(questions[[#This Row],[qno]]),VALUE(stable[qno]),0))</f>
        <v>0</v>
      </c>
      <c r="P1502" s="77" t="b" cm="1">
        <f t="array" ref="P1502">INDEX(stable[is_single_select],MATCH(VALUE(questions[[#This Row],[qno]]),VALUE(stable[qno]),0))</f>
        <v>1</v>
      </c>
      <c r="Q1502" s="77" t="b" cm="1">
        <f t="array" ref="Q1502">INDEX(stable[is_multi_select],MATCH(VALUE(questions[[#This Row],[qno]]),VALUE(stable[qno]),0))</f>
        <v>0</v>
      </c>
      <c r="R1502" s="77" t="b" cm="1">
        <f t="array" ref="R1502">INDEX(stable[is_skip_logic],MATCH(VALUE(questions[[#This Row],[qno]]),VALUE(stable[qno]),0))</f>
        <v>0</v>
      </c>
      <c r="S1502" s="77" t="str">
        <f>_xlfn.TEXTJOIN(", ",TRUE,questions[[#This Row],[ans_opt_1]:[ans_opt_14]])</f>
        <v>Around the tree , In bands close to the trees, Broadcasted in all the field, Through the irrigation system (e.g. drip)</v>
      </c>
      <c r="T1502" s="77" t="s">
        <v>797</v>
      </c>
      <c r="U1502" s="77" t="s">
        <v>389</v>
      </c>
      <c r="V1502" s="77" t="s">
        <v>390</v>
      </c>
      <c r="W1502" s="77" t="s">
        <v>391</v>
      </c>
      <c r="AH1502" s="98" t="b">
        <f>INDEX(stable[q_standard],MATCH(questions[[#This Row],[qno]],stable[qno],0))</f>
        <v>0</v>
      </c>
      <c r="AI1502" s="98" t="b">
        <f>INDEX(stable[q_living_income],MATCH(questions[[#This Row],[qno]],stable[qno],0))</f>
        <v>0</v>
      </c>
      <c r="AJ1502" s="98" t="b">
        <f>INDEX(stable[q_carbon],MATCH(questions[[#This Row],[qno]],stable[qno],0))</f>
        <v>0</v>
      </c>
      <c r="AK1502" s="98" t="b">
        <f>INDEX(stable[q_regen_ag],MATCH(questions[[#This Row],[qno]],stable[qno],0))</f>
        <v>1</v>
      </c>
      <c r="AL1502" s="98" t="b">
        <f>COUNTIFS(stable[qno],questions[[#This Row],[qno]])=1</f>
        <v>1</v>
      </c>
      <c r="AM1502" s="98" t="b">
        <f>OR(questions[[#This Row],[is_fixed]],questions[[#This Row],[is_localized]],questions[[#This Row],[is_supply_chain_dependent]])</f>
        <v>1</v>
      </c>
      <c r="AN1502" s="98" t="b">
        <f>COUNTIFS(questions[[#This Row],[is_automated]:[is_multi_select]],TRUE)=1</f>
        <v>1</v>
      </c>
      <c r="AO1502" s="98" t="b">
        <f>IF(questions[[#This Row],[is_fixed]],questions[[#This Row],[question]]=INDEX(stable[question],MATCH(questions[[#This Row],[qno]],stable[qno],0)),TRUE)</f>
        <v>1</v>
      </c>
      <c r="AP1502" s="98" t="str">
        <f>LEFT(questions[[#This Row],[question]],similarity_range)</f>
        <v>How do you apply the</v>
      </c>
      <c r="AQ1502" s="98" t="str">
        <f>LEFT(INDEX(stable[question],MATCH(questions[[#This Row],[qno]],stable[qno],0)),similarity_range)</f>
        <v>How do you apply the</v>
      </c>
      <c r="AR1502" s="98" t="b">
        <f>questions[[#This Row],[question_first_characters]]=questions[[#This Row],[stability_first_characters]]</f>
        <v>1</v>
      </c>
      <c r="AS1502" s="98" t="b">
        <f>IF(OR(questions[[#This Row],[is_single_select]],questions[[#This Row],[is_multi_select]]),NOT(ISBLANK(questions[[#This Row],[answer_opt_combined]])),TRUE)</f>
        <v>1</v>
      </c>
    </row>
    <row r="1503" spans="1:45" s="77" customFormat="1" ht="15.75" customHeight="1" x14ac:dyDescent="0.25">
      <c r="A1503" s="77" t="str">
        <f>_xlfn.TEXTJOIN("_",TRUE,questions[[#This Row],[origin]:[qno]])</f>
        <v>Brazil_Arabica_2025_7133</v>
      </c>
      <c r="B1503" s="77" t="s">
        <v>1025</v>
      </c>
      <c r="C1503" s="77" t="s">
        <v>59</v>
      </c>
      <c r="E1503" s="77">
        <v>2025</v>
      </c>
      <c r="F1503" s="107" t="s">
        <v>392</v>
      </c>
      <c r="G1503" s="78" t="s">
        <v>393</v>
      </c>
      <c r="H1503" s="9" t="str" cm="1">
        <f t="array" ref="H1503">INDEX(stableR[question],MATCH(VALUE(questions[[#This Row],[qno]]),VALUE(stableR[qno]),0))</f>
        <v>Do you know the 4R principles of using organic and synthetic fertilizers in crops (Right Amount, Right Product, Right Time, Right Place)?</v>
      </c>
      <c r="I1503" s="9" t="b" cm="1">
        <f t="array" ref="I1503">INDEX(stable[is_fixed],MATCH(VALUE(questions[[#This Row],[qno]]),VALUE(stable[qno]),0))</f>
        <v>1</v>
      </c>
      <c r="J1503" s="9" t="b" cm="1">
        <f t="array" ref="J1503">INDEX(stable[is_localized],MATCH(VALUE(questions[[#This Row],[qno]]),VALUE(stable[qno]),0))</f>
        <v>0</v>
      </c>
      <c r="K1503" s="9" t="b" cm="1">
        <f t="array" ref="K1503">INDEX(stable[is_supply_chain_dependent],MATCH(VALUE(questions[[#This Row],[qno]]),VALUE(stable[qno]),0))</f>
        <v>0</v>
      </c>
      <c r="L1503" s="9" t="b" cm="1">
        <f t="array" ref="L1503">INDEX(stable[is_mandatory],MATCH(VALUE(questions[[#This Row],[qno]]),VALUE(stable[qno]),0))</f>
        <v>1</v>
      </c>
      <c r="M1503" s="9" t="b" cm="1">
        <f t="array" ref="M1503">INDEX(stable[is_automated],MATCH(VALUE(questions[[#This Row],[qno]]),VALUE(stable[qno]),0))</f>
        <v>0</v>
      </c>
      <c r="N1503" s="9" t="b" cm="1">
        <f t="array" ref="N1503">INDEX(stable[is_free_text],MATCH(VALUE(questions[[#This Row],[qno]]),VALUE(stable[qno]),0))</f>
        <v>0</v>
      </c>
      <c r="O1503" s="9" t="b" cm="1">
        <f t="array" ref="O1503">INDEX(stable[is_numerical],MATCH(VALUE(questions[[#This Row],[qno]]),VALUE(stable[qno]),0))</f>
        <v>0</v>
      </c>
      <c r="P1503" s="77" t="b" cm="1">
        <f t="array" ref="P1503">INDEX(stable[is_single_select],MATCH(VALUE(questions[[#This Row],[qno]]),VALUE(stable[qno]),0))</f>
        <v>1</v>
      </c>
      <c r="Q1503" s="77" t="b" cm="1">
        <f t="array" ref="Q1503">INDEX(stable[is_multi_select],MATCH(VALUE(questions[[#This Row],[qno]]),VALUE(stable[qno]),0))</f>
        <v>0</v>
      </c>
      <c r="R1503" s="77" t="b" cm="1">
        <f t="array" ref="R1503">INDEX(stable[is_skip_logic],MATCH(VALUE(questions[[#This Row],[qno]]),VALUE(stable[qno]),0))</f>
        <v>0</v>
      </c>
      <c r="S1503" s="77" t="str">
        <f>_xlfn.TEXTJOIN(", ",TRUE,questions[[#This Row],[ans_opt_1]:[ans_opt_14]])</f>
        <v>Yes, No</v>
      </c>
      <c r="T1503" s="77" t="s">
        <v>149</v>
      </c>
      <c r="U1503" s="77" t="s">
        <v>119</v>
      </c>
      <c r="AH1503" s="98" t="b">
        <f>INDEX(stable[q_standard],MATCH(questions[[#This Row],[qno]],stable[qno],0))</f>
        <v>0</v>
      </c>
      <c r="AI1503" s="98" t="b">
        <f>INDEX(stable[q_living_income],MATCH(questions[[#This Row],[qno]],stable[qno],0))</f>
        <v>0</v>
      </c>
      <c r="AJ1503" s="98" t="b">
        <f>INDEX(stable[q_carbon],MATCH(questions[[#This Row],[qno]],stable[qno],0))</f>
        <v>0</v>
      </c>
      <c r="AK1503" s="98" t="b">
        <f>INDEX(stable[q_regen_ag],MATCH(questions[[#This Row],[qno]],stable[qno],0))</f>
        <v>1</v>
      </c>
      <c r="AL1503" s="98" t="b">
        <f>COUNTIFS(stable[qno],questions[[#This Row],[qno]])=1</f>
        <v>1</v>
      </c>
      <c r="AM1503" s="98" t="b">
        <f>OR(questions[[#This Row],[is_fixed]],questions[[#This Row],[is_localized]],questions[[#This Row],[is_supply_chain_dependent]])</f>
        <v>1</v>
      </c>
      <c r="AN1503" s="98" t="b">
        <f>COUNTIFS(questions[[#This Row],[is_automated]:[is_multi_select]],TRUE)=1</f>
        <v>1</v>
      </c>
      <c r="AO1503" s="98" t="b">
        <f>IF(questions[[#This Row],[is_fixed]],questions[[#This Row],[question]]=INDEX(stable[question],MATCH(questions[[#This Row],[qno]],stable[qno],0)),TRUE)</f>
        <v>1</v>
      </c>
      <c r="AP1503" s="98" t="str">
        <f>LEFT(questions[[#This Row],[question]],similarity_range)</f>
        <v>Do you know the 4R p</v>
      </c>
      <c r="AQ1503" s="98" t="str">
        <f>LEFT(INDEX(stable[question],MATCH(questions[[#This Row],[qno]],stable[qno],0)),similarity_range)</f>
        <v>Do you know the 4R p</v>
      </c>
      <c r="AR1503" s="98" t="b">
        <f>questions[[#This Row],[question_first_characters]]=questions[[#This Row],[stability_first_characters]]</f>
        <v>1</v>
      </c>
      <c r="AS1503" s="98" t="b">
        <f>IF(OR(questions[[#This Row],[is_single_select]],questions[[#This Row],[is_multi_select]]),NOT(ISBLANK(questions[[#This Row],[answer_opt_combined]])),TRUE)</f>
        <v>1</v>
      </c>
    </row>
    <row r="1504" spans="1:45" s="77" customFormat="1" ht="44.25" customHeight="1" x14ac:dyDescent="0.25">
      <c r="A1504" s="77" t="str">
        <f>_xlfn.TEXTJOIN("_",TRUE,questions[[#This Row],[origin]:[qno]])</f>
        <v>Brazil_Arabica_2025_7240</v>
      </c>
      <c r="B1504" s="77" t="s">
        <v>1025</v>
      </c>
      <c r="C1504" s="77" t="s">
        <v>59</v>
      </c>
      <c r="E1504" s="77">
        <v>2025</v>
      </c>
      <c r="F1504" s="107" t="s">
        <v>394</v>
      </c>
      <c r="G1504" s="107" t="s">
        <v>1041</v>
      </c>
      <c r="H1504" s="9" t="str" cm="1">
        <f t="array" ref="H1504">INDEX(stableR[question],MATCH(VALUE(questions[[#This Row],[qno]]),VALUE(stableR[qno]),0))</f>
        <v>Do you apply chemical PPPs (plant protection products) like pesticides/fungicides/nematicides in your coffee crop, and how many different active ingredients per crop season?</v>
      </c>
      <c r="I1504" s="9" t="b" cm="1">
        <f t="array" ref="I1504">INDEX(stable[is_fixed],MATCH(VALUE(questions[[#This Row],[qno]]),VALUE(stable[qno]),0))</f>
        <v>1</v>
      </c>
      <c r="J1504" s="9" t="b" cm="1">
        <f t="array" ref="J1504">INDEX(stable[is_localized],MATCH(VALUE(questions[[#This Row],[qno]]),VALUE(stable[qno]),0))</f>
        <v>0</v>
      </c>
      <c r="K1504" s="9" t="b" cm="1">
        <f t="array" ref="K1504">INDEX(stable[is_supply_chain_dependent],MATCH(VALUE(questions[[#This Row],[qno]]),VALUE(stable[qno]),0))</f>
        <v>0</v>
      </c>
      <c r="L1504" s="9" t="b" cm="1">
        <f t="array" ref="L1504">INDEX(stable[is_mandatory],MATCH(VALUE(questions[[#This Row],[qno]]),VALUE(stable[qno]),0))</f>
        <v>1</v>
      </c>
      <c r="M1504" s="9" t="b" cm="1">
        <f t="array" ref="M1504">INDEX(stable[is_automated],MATCH(VALUE(questions[[#This Row],[qno]]),VALUE(stable[qno]),0))</f>
        <v>0</v>
      </c>
      <c r="N1504" s="9" t="b" cm="1">
        <f t="array" ref="N1504">INDEX(stable[is_free_text],MATCH(VALUE(questions[[#This Row],[qno]]),VALUE(stable[qno]),0))</f>
        <v>0</v>
      </c>
      <c r="O1504" s="9" t="b" cm="1">
        <f t="array" ref="O1504">INDEX(stable[is_numerical],MATCH(VALUE(questions[[#This Row],[qno]]),VALUE(stable[qno]),0))</f>
        <v>0</v>
      </c>
      <c r="P1504" s="77" t="b" cm="1">
        <f t="array" ref="P1504">INDEX(stable[is_single_select],MATCH(VALUE(questions[[#This Row],[qno]]),VALUE(stable[qno]),0))</f>
        <v>1</v>
      </c>
      <c r="Q1504" s="77" t="b" cm="1">
        <f t="array" ref="Q1504">INDEX(stable[is_multi_select],MATCH(VALUE(questions[[#This Row],[qno]]),VALUE(stable[qno]),0))</f>
        <v>0</v>
      </c>
      <c r="R1504" s="77" t="b" cm="1">
        <f t="array" ref="R1504">INDEX(stable[is_skip_logic],MATCH(VALUE(questions[[#This Row],[qno]]),VALUE(stable[qno]),0))</f>
        <v>1</v>
      </c>
      <c r="S1504" s="77" t="str">
        <f>_xlfn.TEXTJOIN(", ",TRUE,questions[[#This Row],[ans_opt_1]:[ans_opt_14]])</f>
        <v>No, Yes / 1-3 active ingredients, Yes / 4-5 active ingredients, Yes / &gt; 5 active ingredients</v>
      </c>
      <c r="T1504" s="77" t="s">
        <v>119</v>
      </c>
      <c r="U1504" s="131" t="s">
        <v>1042</v>
      </c>
      <c r="V1504" s="77" t="s">
        <v>1043</v>
      </c>
      <c r="W1504" s="131" t="s">
        <v>1044</v>
      </c>
      <c r="AH1504" s="98" t="b">
        <f>INDEX(stable[q_standard],MATCH(questions[[#This Row],[qno]],stable[qno],0))</f>
        <v>0</v>
      </c>
      <c r="AI1504" s="98" t="b">
        <f>INDEX(stable[q_living_income],MATCH(questions[[#This Row],[qno]],stable[qno],0))</f>
        <v>0</v>
      </c>
      <c r="AJ1504" s="98" t="b">
        <f>INDEX(stable[q_carbon],MATCH(questions[[#This Row],[qno]],stable[qno],0))</f>
        <v>0</v>
      </c>
      <c r="AK1504" s="98" t="b">
        <f>INDEX(stable[q_regen_ag],MATCH(questions[[#This Row],[qno]],stable[qno],0))</f>
        <v>1</v>
      </c>
      <c r="AL1504" s="98" t="b">
        <f>COUNTIFS(stable[qno],questions[[#This Row],[qno]])=1</f>
        <v>1</v>
      </c>
      <c r="AM1504" s="98" t="b">
        <f>OR(questions[[#This Row],[is_fixed]],questions[[#This Row],[is_localized]],questions[[#This Row],[is_supply_chain_dependent]])</f>
        <v>1</v>
      </c>
      <c r="AN1504" s="98" t="b">
        <f>COUNTIFS(questions[[#This Row],[is_automated]:[is_multi_select]],TRUE)=1</f>
        <v>1</v>
      </c>
      <c r="AO1504" s="98" t="b">
        <f>IF(questions[[#This Row],[is_fixed]],questions[[#This Row],[question]]=INDEX(stable[question],MATCH(questions[[#This Row],[qno]],stable[qno],0)),TRUE)</f>
        <v>0</v>
      </c>
      <c r="AP1504" s="98" t="str">
        <f>LEFT(questions[[#This Row],[question]],similarity_range)</f>
        <v>Do you apply chemica</v>
      </c>
      <c r="AQ1504" s="98" t="str">
        <f>LEFT(INDEX(stable[question],MATCH(questions[[#This Row],[qno]],stable[qno],0)),similarity_range)</f>
        <v>Did you use chemical</v>
      </c>
      <c r="AR1504" s="98" t="b">
        <f>questions[[#This Row],[question_first_characters]]=questions[[#This Row],[stability_first_characters]]</f>
        <v>0</v>
      </c>
      <c r="AS1504" s="98" t="b">
        <f>IF(OR(questions[[#This Row],[is_single_select]],questions[[#This Row],[is_multi_select]]),NOT(ISBLANK(questions[[#This Row],[answer_opt_combined]])),TRUE)</f>
        <v>1</v>
      </c>
    </row>
    <row r="1505" spans="1:45" ht="15.75" customHeight="1" x14ac:dyDescent="0.25">
      <c r="A1505" s="9" t="str">
        <f>_xlfn.TEXTJOIN("_",TRUE,questions[[#This Row],[origin]:[qno]])</f>
        <v>Brazil_Arabica_2025_7246</v>
      </c>
      <c r="B1505" s="9" t="s">
        <v>1025</v>
      </c>
      <c r="C1505" s="9" t="s">
        <v>59</v>
      </c>
      <c r="E1505" s="33">
        <v>2025</v>
      </c>
      <c r="F1505" s="90" t="s">
        <v>1045</v>
      </c>
      <c r="G1505" s="15" t="s">
        <v>1046</v>
      </c>
      <c r="H1505" s="9" t="str" cm="1">
        <f t="array" ref="H1505">INDEX(stableR[question],MATCH(VALUE(questions[[#This Row],[qno]]),VALUE(stableR[qno]),0))</f>
        <v>Have you decreased or increased the number of chemical PPPs in the last 3 years, and what was the main reason for that? e.g. increase due to more pest/disease pressure, resistance to PPPs, adverse weather conditions…</v>
      </c>
      <c r="I1505" s="9" t="b" cm="1">
        <f t="array" ref="I1505">INDEX(stable[is_fixed],MATCH(VALUE(questions[[#This Row],[qno]]),VALUE(stable[qno]),0))</f>
        <v>1</v>
      </c>
      <c r="J1505" s="9" t="b" cm="1">
        <f t="array" ref="J1505">INDEX(stable[is_localized],MATCH(VALUE(questions[[#This Row],[qno]]),VALUE(stable[qno]),0))</f>
        <v>0</v>
      </c>
      <c r="K1505" s="9" t="b" cm="1">
        <f t="array" ref="K1505">INDEX(stable[is_supply_chain_dependent],MATCH(VALUE(questions[[#This Row],[qno]]),VALUE(stable[qno]),0))</f>
        <v>0</v>
      </c>
      <c r="L1505" s="9" t="b" cm="1">
        <f t="array" ref="L1505">INDEX(stable[is_mandatory],MATCH(VALUE(questions[[#This Row],[qno]]),VALUE(stable[qno]),0))</f>
        <v>1</v>
      </c>
      <c r="M1505" s="9" t="b" cm="1">
        <f t="array" ref="M1505">INDEX(stable[is_automated],MATCH(VALUE(questions[[#This Row],[qno]]),VALUE(stable[qno]),0))</f>
        <v>0</v>
      </c>
      <c r="N1505" s="9" t="b" cm="1">
        <f t="array" ref="N1505">INDEX(stable[is_free_text],MATCH(VALUE(questions[[#This Row],[qno]]),VALUE(stable[qno]),0))</f>
        <v>1</v>
      </c>
      <c r="O1505" s="9" t="b" cm="1">
        <f t="array" ref="O1505">INDEX(stable[is_numerical],MATCH(VALUE(questions[[#This Row],[qno]]),VALUE(stable[qno]),0))</f>
        <v>0</v>
      </c>
      <c r="P1505" s="9" t="b" cm="1">
        <f t="array" ref="P1505">INDEX(stable[is_single_select],MATCH(VALUE(questions[[#This Row],[qno]]),VALUE(stable[qno]),0))</f>
        <v>0</v>
      </c>
      <c r="Q1505" s="9" t="b" cm="1">
        <f t="array" ref="Q1505">INDEX(stable[is_multi_select],MATCH(VALUE(questions[[#This Row],[qno]]),VALUE(stable[qno]),0))</f>
        <v>0</v>
      </c>
      <c r="R1505" s="9" t="b" cm="1">
        <f t="array" ref="R1505">INDEX(stable[is_skip_logic],MATCH(VALUE(questions[[#This Row],[qno]]),VALUE(stable[qno]),0))</f>
        <v>1</v>
      </c>
      <c r="S1505" s="9" t="str">
        <f>_xlfn.TEXTJOIN(", ",TRUE,questions[[#This Row],[ans_opt_1]:[ans_opt_14]])</f>
        <v/>
      </c>
      <c r="AH1505" s="16" t="b">
        <f>INDEX(stable[q_standard],MATCH(questions[[#This Row],[qno]],stable[qno],0))</f>
        <v>0</v>
      </c>
      <c r="AI1505" s="16" t="b">
        <f>INDEX(stable[q_living_income],MATCH(questions[[#This Row],[qno]],stable[qno],0))</f>
        <v>0</v>
      </c>
      <c r="AJ1505" s="16" t="b">
        <f>INDEX(stable[q_carbon],MATCH(questions[[#This Row],[qno]],stable[qno],0))</f>
        <v>0</v>
      </c>
      <c r="AK1505" s="16" t="b">
        <f>INDEX(stable[q_regen_ag],MATCH(questions[[#This Row],[qno]],stable[qno],0))</f>
        <v>1</v>
      </c>
      <c r="AL1505" s="16" t="b">
        <f>COUNTIFS(stable[qno],questions[[#This Row],[qno]])=1</f>
        <v>1</v>
      </c>
      <c r="AM1505" s="16" t="b">
        <f>OR(questions[[#This Row],[is_fixed]],questions[[#This Row],[is_localized]],questions[[#This Row],[is_supply_chain_dependent]])</f>
        <v>1</v>
      </c>
      <c r="AN1505" s="16" t="b">
        <f>COUNTIFS(questions[[#This Row],[is_automated]:[is_multi_select]],TRUE)=1</f>
        <v>1</v>
      </c>
      <c r="AO1505" s="16" t="b">
        <f>IF(questions[[#This Row],[is_fixed]],questions[[#This Row],[question]]=INDEX(stable[question],MATCH(questions[[#This Row],[qno]],stable[qno],0)),TRUE)</f>
        <v>1</v>
      </c>
      <c r="AP1505" s="16" t="str">
        <f>LEFT(questions[[#This Row],[question]],similarity_range)</f>
        <v>If yes, list the nam</v>
      </c>
      <c r="AQ1505" s="16" t="str">
        <f>LEFT(INDEX(stable[question],MATCH(questions[[#This Row],[qno]],stable[qno],0)),similarity_range)</f>
        <v>If yes, list the nam</v>
      </c>
      <c r="AR1505" s="16" t="b">
        <f>questions[[#This Row],[question_first_characters]]=questions[[#This Row],[stability_first_characters]]</f>
        <v>1</v>
      </c>
      <c r="AS1505" s="16" t="b">
        <f>IF(OR(questions[[#This Row],[is_single_select]],questions[[#This Row],[is_multi_select]]),NOT(ISBLANK(questions[[#This Row],[answer_opt_combined]])),TRUE)</f>
        <v>1</v>
      </c>
    </row>
    <row r="1506" spans="1:45" s="77" customFormat="1" ht="15.75" customHeight="1" x14ac:dyDescent="0.25">
      <c r="A1506" s="77" t="str">
        <f>_xlfn.TEXTJOIN("_",TRUE,questions[[#This Row],[origin]:[qno]])</f>
        <v>Brazil_Arabica_2025_7241</v>
      </c>
      <c r="B1506" s="77" t="s">
        <v>1025</v>
      </c>
      <c r="C1506" s="77" t="s">
        <v>59</v>
      </c>
      <c r="E1506" s="77">
        <v>2025</v>
      </c>
      <c r="F1506" s="107" t="s">
        <v>396</v>
      </c>
      <c r="G1506" s="78" t="s">
        <v>1047</v>
      </c>
      <c r="H1506" s="9" t="str" cm="1">
        <f t="array" ref="H1506">INDEX(stableR[question],MATCH(VALUE(questions[[#This Row],[qno]]),VALUE(stableR[qno]),0))</f>
        <v>If yes, list the names of all the pesticides and/or fungicides that you used, last year.</v>
      </c>
      <c r="I1506" s="9" t="b" cm="1">
        <f t="array" ref="I1506">INDEX(stable[is_fixed],MATCH(VALUE(questions[[#This Row],[qno]]),VALUE(stable[qno]),0))</f>
        <v>1</v>
      </c>
      <c r="J1506" s="9" t="b" cm="1">
        <f t="array" ref="J1506">INDEX(stable[is_localized],MATCH(VALUE(questions[[#This Row],[qno]]),VALUE(stable[qno]),0))</f>
        <v>0</v>
      </c>
      <c r="K1506" s="9" t="b" cm="1">
        <f t="array" ref="K1506">INDEX(stable[is_supply_chain_dependent],MATCH(VALUE(questions[[#This Row],[qno]]),VALUE(stable[qno]),0))</f>
        <v>0</v>
      </c>
      <c r="L1506" s="9" t="b" cm="1">
        <f t="array" ref="L1506">INDEX(stable[is_mandatory],MATCH(VALUE(questions[[#This Row],[qno]]),VALUE(stable[qno]),0))</f>
        <v>0</v>
      </c>
      <c r="M1506" s="9" t="b" cm="1">
        <f t="array" ref="M1506">INDEX(stable[is_automated],MATCH(VALUE(questions[[#This Row],[qno]]),VALUE(stable[qno]),0))</f>
        <v>0</v>
      </c>
      <c r="N1506" s="9" t="b" cm="1">
        <f t="array" ref="N1506">INDEX(stable[is_free_text],MATCH(VALUE(questions[[#This Row],[qno]]),VALUE(stable[qno]),0))</f>
        <v>0</v>
      </c>
      <c r="O1506" s="9" t="b" cm="1">
        <f t="array" ref="O1506">INDEX(stable[is_numerical],MATCH(VALUE(questions[[#This Row],[qno]]),VALUE(stable[qno]),0))</f>
        <v>0</v>
      </c>
      <c r="P1506" s="77" t="b" cm="1">
        <f t="array" ref="P1506">INDEX(stable[is_single_select],MATCH(VALUE(questions[[#This Row],[qno]]),VALUE(stable[qno]),0))</f>
        <v>1</v>
      </c>
      <c r="Q1506" s="77" t="b" cm="1">
        <f t="array" ref="Q1506">INDEX(stable[is_multi_select],MATCH(VALUE(questions[[#This Row],[qno]]),VALUE(stable[qno]),0))</f>
        <v>0</v>
      </c>
      <c r="R1506" s="77" t="b" cm="1">
        <f t="array" ref="R1506">INDEX(stable[is_skip_logic],MATCH(VALUE(questions[[#This Row],[qno]]),VALUE(stable[qno]),0))</f>
        <v>1</v>
      </c>
      <c r="S1506" s="77" t="str">
        <f>_xlfn.TEXTJOIN(", ",TRUE,questions[[#This Row],[ans_opt_1]:[ans_opt_14]])</f>
        <v>Yes, No</v>
      </c>
      <c r="T1506" s="77" t="s">
        <v>149</v>
      </c>
      <c r="U1506" s="77" t="s">
        <v>119</v>
      </c>
      <c r="AH1506" s="98" t="b">
        <f>INDEX(stable[q_standard],MATCH(questions[[#This Row],[qno]],stable[qno],0))</f>
        <v>0</v>
      </c>
      <c r="AI1506" s="98" t="b">
        <f>INDEX(stable[q_living_income],MATCH(questions[[#This Row],[qno]],stable[qno],0))</f>
        <v>0</v>
      </c>
      <c r="AJ1506" s="98" t="b">
        <f>INDEX(stable[q_carbon],MATCH(questions[[#This Row],[qno]],stable[qno],0))</f>
        <v>0</v>
      </c>
      <c r="AK1506" s="98" t="b">
        <f>INDEX(stable[q_regen_ag],MATCH(questions[[#This Row],[qno]],stable[qno],0))</f>
        <v>1</v>
      </c>
      <c r="AL1506" s="98" t="b">
        <f>COUNTIFS(stable[qno],questions[[#This Row],[qno]])=1</f>
        <v>1</v>
      </c>
      <c r="AM1506" s="98" t="b">
        <f>OR(questions[[#This Row],[is_fixed]],questions[[#This Row],[is_localized]],questions[[#This Row],[is_supply_chain_dependent]])</f>
        <v>1</v>
      </c>
      <c r="AN1506" s="98" t="b">
        <f>COUNTIFS(questions[[#This Row],[is_automated]:[is_multi_select]],TRUE)=1</f>
        <v>1</v>
      </c>
      <c r="AO1506" s="98" t="b">
        <f>IF(questions[[#This Row],[is_fixed]],questions[[#This Row],[question]]=INDEX(stable[question],MATCH(questions[[#This Row],[qno]],stable[qno],0)),TRUE)</f>
        <v>1</v>
      </c>
      <c r="AP1506" s="98" t="str">
        <f>LEFT(questions[[#This Row],[question]],similarity_range)</f>
        <v>If you apply chemica</v>
      </c>
      <c r="AQ1506" s="98" t="str">
        <f>LEFT(INDEX(stable[question],MATCH(questions[[#This Row],[qno]],stable[qno],0)),similarity_range)</f>
        <v>If you apply chemica</v>
      </c>
      <c r="AR1506" s="98" t="b">
        <f>questions[[#This Row],[question_first_characters]]=questions[[#This Row],[stability_first_characters]]</f>
        <v>1</v>
      </c>
      <c r="AS1506" s="98" t="b">
        <f>IF(OR(questions[[#This Row],[is_single_select]],questions[[#This Row],[is_multi_select]]),NOT(ISBLANK(questions[[#This Row],[answer_opt_combined]])),TRUE)</f>
        <v>1</v>
      </c>
    </row>
    <row r="1507" spans="1:45" s="77" customFormat="1" ht="15.75" customHeight="1" x14ac:dyDescent="0.25">
      <c r="A1507" s="77" t="str">
        <f>_xlfn.TEXTJOIN("_",TRUE,questions[[#This Row],[origin]:[qno]])</f>
        <v>Brazil_Arabica_2025_7242</v>
      </c>
      <c r="B1507" s="77" t="s">
        <v>1025</v>
      </c>
      <c r="C1507" s="77" t="s">
        <v>59</v>
      </c>
      <c r="E1507" s="77">
        <v>2025</v>
      </c>
      <c r="F1507" s="107" t="s">
        <v>398</v>
      </c>
      <c r="G1507" s="78" t="s">
        <v>1048</v>
      </c>
      <c r="H1507" s="9" t="str" cm="1">
        <f t="array" ref="H1507">INDEX(stableR[question],MATCH(VALUE(questions[[#This Row],[qno]]),VALUE(stableR[qno]),0))</f>
        <v>If you apply chemical PPPs, are you aware of the IPM-Integrated Pest Management concept and practices (e.g. pest-disease identification and monitoring, right moment for control, use of a combination of biological, cultural, physical/mechanical and chemical tools to prevent and control)?</v>
      </c>
      <c r="I1507" s="9" t="b" cm="1">
        <f t="array" ref="I1507">INDEX(stable[is_fixed],MATCH(VALUE(questions[[#This Row],[qno]]),VALUE(stable[qno]),0))</f>
        <v>1</v>
      </c>
      <c r="J1507" s="9" t="b" cm="1">
        <f t="array" ref="J1507">INDEX(stable[is_localized],MATCH(VALUE(questions[[#This Row],[qno]]),VALUE(stable[qno]),0))</f>
        <v>0</v>
      </c>
      <c r="K1507" s="9" t="b" cm="1">
        <f t="array" ref="K1507">INDEX(stable[is_supply_chain_dependent],MATCH(VALUE(questions[[#This Row],[qno]]),VALUE(stable[qno]),0))</f>
        <v>0</v>
      </c>
      <c r="L1507" s="9" t="b" cm="1">
        <f t="array" ref="L1507">INDEX(stable[is_mandatory],MATCH(VALUE(questions[[#This Row],[qno]]),VALUE(stable[qno]),0))</f>
        <v>0</v>
      </c>
      <c r="M1507" s="9" t="b" cm="1">
        <f t="array" ref="M1507">INDEX(stable[is_automated],MATCH(VALUE(questions[[#This Row],[qno]]),VALUE(stable[qno]),0))</f>
        <v>0</v>
      </c>
      <c r="N1507" s="9" t="b" cm="1">
        <f t="array" ref="N1507">INDEX(stable[is_free_text],MATCH(VALUE(questions[[#This Row],[qno]]),VALUE(stable[qno]),0))</f>
        <v>0</v>
      </c>
      <c r="O1507" s="9" t="b" cm="1">
        <f t="array" ref="O1507">INDEX(stable[is_numerical],MATCH(VALUE(questions[[#This Row],[qno]]),VALUE(stable[qno]),0))</f>
        <v>0</v>
      </c>
      <c r="P1507" s="77" t="b" cm="1">
        <f t="array" ref="P1507">INDEX(stable[is_single_select],MATCH(VALUE(questions[[#This Row],[qno]]),VALUE(stable[qno]),0))</f>
        <v>1</v>
      </c>
      <c r="Q1507" s="77" t="b" cm="1">
        <f t="array" ref="Q1507">INDEX(stable[is_multi_select],MATCH(VALUE(questions[[#This Row],[qno]]),VALUE(stable[qno]),0))</f>
        <v>0</v>
      </c>
      <c r="R1507" s="77" t="b" cm="1">
        <f t="array" ref="R1507">INDEX(stable[is_skip_logic],MATCH(VALUE(questions[[#This Row],[qno]]),VALUE(stable[qno]),0))</f>
        <v>1</v>
      </c>
      <c r="S1507" s="77" t="str">
        <f>_xlfn.TEXTJOIN(", ",TRUE,questions[[#This Row],[ans_opt_1]:[ans_opt_14]])</f>
        <v>Yes, No</v>
      </c>
      <c r="T1507" s="77" t="s">
        <v>149</v>
      </c>
      <c r="U1507" s="77" t="s">
        <v>119</v>
      </c>
      <c r="AH1507" s="98" t="b">
        <f>INDEX(stable[q_standard],MATCH(questions[[#This Row],[qno]],stable[qno],0))</f>
        <v>0</v>
      </c>
      <c r="AI1507" s="98" t="b">
        <f>INDEX(stable[q_living_income],MATCH(questions[[#This Row],[qno]],stable[qno],0))</f>
        <v>0</v>
      </c>
      <c r="AJ1507" s="98" t="b">
        <f>INDEX(stable[q_carbon],MATCH(questions[[#This Row],[qno]],stable[qno],0))</f>
        <v>0</v>
      </c>
      <c r="AK1507" s="98" t="b">
        <f>INDEX(stable[q_regen_ag],MATCH(questions[[#This Row],[qno]],stable[qno],0))</f>
        <v>1</v>
      </c>
      <c r="AL1507" s="98" t="b">
        <f>COUNTIFS(stable[qno],questions[[#This Row],[qno]])=1</f>
        <v>1</v>
      </c>
      <c r="AM1507" s="98" t="b">
        <f>OR(questions[[#This Row],[is_fixed]],questions[[#This Row],[is_localized]],questions[[#This Row],[is_supply_chain_dependent]])</f>
        <v>1</v>
      </c>
      <c r="AN1507" s="98" t="b">
        <f>COUNTIFS(questions[[#This Row],[is_automated]:[is_multi_select]],TRUE)=1</f>
        <v>1</v>
      </c>
      <c r="AO1507" s="98" t="b">
        <f>IF(questions[[#This Row],[is_fixed]],questions[[#This Row],[question]]=INDEX(stable[question],MATCH(questions[[#This Row],[qno]],stable[qno],0)),TRUE)</f>
        <v>1</v>
      </c>
      <c r="AP1507" s="98" t="str">
        <f>LEFT(questions[[#This Row],[question]],similarity_range)</f>
        <v>If you apply chemica</v>
      </c>
      <c r="AQ1507" s="98" t="str">
        <f>LEFT(INDEX(stable[question],MATCH(questions[[#This Row],[qno]],stable[qno],0)),similarity_range)</f>
        <v>If you apply chemica</v>
      </c>
      <c r="AR1507" s="98" t="b">
        <f>questions[[#This Row],[question_first_characters]]=questions[[#This Row],[stability_first_characters]]</f>
        <v>1</v>
      </c>
      <c r="AS1507" s="98" t="b">
        <f>IF(OR(questions[[#This Row],[is_single_select]],questions[[#This Row],[is_multi_select]]),NOT(ISBLANK(questions[[#This Row],[answer_opt_combined]])),TRUE)</f>
        <v>1</v>
      </c>
    </row>
    <row r="1508" spans="1:45" s="77" customFormat="1" ht="15.75" customHeight="1" x14ac:dyDescent="0.25">
      <c r="A1508" s="77" t="str">
        <f>_xlfn.TEXTJOIN("_",TRUE,questions[[#This Row],[origin]:[qno]])</f>
        <v>Brazil_Arabica_2025_7243</v>
      </c>
      <c r="B1508" s="77" t="s">
        <v>1025</v>
      </c>
      <c r="C1508" s="77" t="s">
        <v>59</v>
      </c>
      <c r="E1508" s="77">
        <v>2025</v>
      </c>
      <c r="F1508" s="107" t="s">
        <v>400</v>
      </c>
      <c r="G1508" s="78" t="s">
        <v>1049</v>
      </c>
      <c r="H1508" s="9" t="str" cm="1">
        <f t="array" ref="H1508">INDEX(stableR[question],MATCH(VALUE(questions[[#This Row],[qno]]),VALUE(stableR[qno]),0))</f>
        <v>If you apply chemical PPPs, do you apply IPM principles and practices to prevent and control pest &amp; diseases and reduce the use of chemical PPPs?</v>
      </c>
      <c r="I1508" s="9" t="b" cm="1">
        <f t="array" ref="I1508">INDEX(stable[is_fixed],MATCH(VALUE(questions[[#This Row],[qno]]),VALUE(stable[qno]),0))</f>
        <v>1</v>
      </c>
      <c r="J1508" s="9" t="b" cm="1">
        <f t="array" ref="J1508">INDEX(stable[is_localized],MATCH(VALUE(questions[[#This Row],[qno]]),VALUE(stable[qno]),0))</f>
        <v>0</v>
      </c>
      <c r="K1508" s="9" t="b" cm="1">
        <f t="array" ref="K1508">INDEX(stable[is_supply_chain_dependent],MATCH(VALUE(questions[[#This Row],[qno]]),VALUE(stable[qno]),0))</f>
        <v>0</v>
      </c>
      <c r="L1508" s="9" t="b" cm="1">
        <f t="array" ref="L1508">INDEX(stable[is_mandatory],MATCH(VALUE(questions[[#This Row],[qno]]),VALUE(stable[qno]),0))</f>
        <v>0</v>
      </c>
      <c r="M1508" s="9" t="b" cm="1">
        <f t="array" ref="M1508">INDEX(stable[is_automated],MATCH(VALUE(questions[[#This Row],[qno]]),VALUE(stable[qno]),0))</f>
        <v>0</v>
      </c>
      <c r="N1508" s="9" t="b" cm="1">
        <f t="array" ref="N1508">INDEX(stable[is_free_text],MATCH(VALUE(questions[[#This Row],[qno]]),VALUE(stable[qno]),0))</f>
        <v>0</v>
      </c>
      <c r="O1508" s="9" t="b" cm="1">
        <f t="array" ref="O1508">INDEX(stable[is_numerical],MATCH(VALUE(questions[[#This Row],[qno]]),VALUE(stable[qno]),0))</f>
        <v>0</v>
      </c>
      <c r="P1508" s="77" t="b" cm="1">
        <f t="array" ref="P1508">INDEX(stable[is_single_select],MATCH(VALUE(questions[[#This Row],[qno]]),VALUE(stable[qno]),0))</f>
        <v>1</v>
      </c>
      <c r="Q1508" s="77" t="b" cm="1">
        <f t="array" ref="Q1508">INDEX(stable[is_multi_select],MATCH(VALUE(questions[[#This Row],[qno]]),VALUE(stable[qno]),0))</f>
        <v>0</v>
      </c>
      <c r="R1508" s="77" t="b" cm="1">
        <f t="array" ref="R1508">INDEX(stable[is_skip_logic],MATCH(VALUE(questions[[#This Row],[qno]]),VALUE(stable[qno]),0))</f>
        <v>1</v>
      </c>
      <c r="S1508" s="77" t="str">
        <f>_xlfn.TEXTJOIN(", ",TRUE,questions[[#This Row],[ans_opt_1]:[ans_opt_14]])</f>
        <v>Yes, No</v>
      </c>
      <c r="T1508" s="77" t="s">
        <v>149</v>
      </c>
      <c r="U1508" s="77" t="s">
        <v>119</v>
      </c>
      <c r="AH1508" s="98" t="b">
        <f>INDEX(stable[q_standard],MATCH(questions[[#This Row],[qno]],stable[qno],0))</f>
        <v>0</v>
      </c>
      <c r="AI1508" s="98" t="b">
        <f>INDEX(stable[q_living_income],MATCH(questions[[#This Row],[qno]],stable[qno],0))</f>
        <v>0</v>
      </c>
      <c r="AJ1508" s="98" t="b">
        <f>INDEX(stable[q_carbon],MATCH(questions[[#This Row],[qno]],stable[qno],0))</f>
        <v>0</v>
      </c>
      <c r="AK1508" s="98" t="b">
        <f>INDEX(stable[q_regen_ag],MATCH(questions[[#This Row],[qno]],stable[qno],0))</f>
        <v>1</v>
      </c>
      <c r="AL1508" s="98" t="b">
        <f>COUNTIFS(stable[qno],questions[[#This Row],[qno]])=1</f>
        <v>1</v>
      </c>
      <c r="AM1508" s="98" t="b">
        <f>OR(questions[[#This Row],[is_fixed]],questions[[#This Row],[is_localized]],questions[[#This Row],[is_supply_chain_dependent]])</f>
        <v>1</v>
      </c>
      <c r="AN1508" s="98" t="b">
        <f>COUNTIFS(questions[[#This Row],[is_automated]:[is_multi_select]],TRUE)=1</f>
        <v>1</v>
      </c>
      <c r="AO1508" s="98" t="b">
        <f>IF(questions[[#This Row],[is_fixed]],questions[[#This Row],[question]]=INDEX(stable[question],MATCH(questions[[#This Row],[qno]],stable[qno],0)),TRUE)</f>
        <v>1</v>
      </c>
      <c r="AP1508" s="98" t="str">
        <f>LEFT(questions[[#This Row],[question]],similarity_range)</f>
        <v>If you apply chemica</v>
      </c>
      <c r="AQ1508" s="98" t="str">
        <f>LEFT(INDEX(stable[question],MATCH(questions[[#This Row],[qno]],stable[qno],0)),similarity_range)</f>
        <v>If you apply chemica</v>
      </c>
      <c r="AR1508" s="98" t="b">
        <f>questions[[#This Row],[question_first_characters]]=questions[[#This Row],[stability_first_characters]]</f>
        <v>1</v>
      </c>
      <c r="AS1508" s="98" t="b">
        <f>IF(OR(questions[[#This Row],[is_single_select]],questions[[#This Row],[is_multi_select]]),NOT(ISBLANK(questions[[#This Row],[answer_opt_combined]])),TRUE)</f>
        <v>1</v>
      </c>
    </row>
    <row r="1509" spans="1:45" s="77" customFormat="1" ht="15.75" customHeight="1" x14ac:dyDescent="0.25">
      <c r="A1509" s="77" t="str">
        <f>_xlfn.TEXTJOIN("_",TRUE,questions[[#This Row],[origin]:[qno]])</f>
        <v>Brazil_Arabica_2025_7244</v>
      </c>
      <c r="B1509" s="77" t="s">
        <v>1025</v>
      </c>
      <c r="C1509" s="77" t="s">
        <v>59</v>
      </c>
      <c r="E1509" s="77">
        <v>2025</v>
      </c>
      <c r="F1509" s="107" t="s">
        <v>402</v>
      </c>
      <c r="G1509" s="78" t="s">
        <v>1050</v>
      </c>
      <c r="H1509" s="9" t="str" cm="1">
        <f t="array" ref="H1509">INDEX(stableR[question],MATCH(VALUE(questions[[#This Row],[qno]]),VALUE(stableR[qno]),0))</f>
        <v>If you apply chemical PPPs, can you prove/show that all are locally authorized for coffee (e.g. coffee is in the product label), and that you respect the recommended dose and post-harvest intervals of the label of the product?</v>
      </c>
      <c r="I1509" s="9" t="b" cm="1">
        <f t="array" ref="I1509">INDEX(stable[is_fixed],MATCH(VALUE(questions[[#This Row],[qno]]),VALUE(stable[qno]),0))</f>
        <v>1</v>
      </c>
      <c r="J1509" s="9" t="b" cm="1">
        <f t="array" ref="J1509">INDEX(stable[is_localized],MATCH(VALUE(questions[[#This Row],[qno]]),VALUE(stable[qno]),0))</f>
        <v>0</v>
      </c>
      <c r="K1509" s="9" t="b" cm="1">
        <f t="array" ref="K1509">INDEX(stable[is_supply_chain_dependent],MATCH(VALUE(questions[[#This Row],[qno]]),VALUE(stable[qno]),0))</f>
        <v>0</v>
      </c>
      <c r="L1509" s="9" t="b" cm="1">
        <f t="array" ref="L1509">INDEX(stable[is_mandatory],MATCH(VALUE(questions[[#This Row],[qno]]),VALUE(stable[qno]),0))</f>
        <v>0</v>
      </c>
      <c r="M1509" s="9" t="b" cm="1">
        <f t="array" ref="M1509">INDEX(stable[is_automated],MATCH(VALUE(questions[[#This Row],[qno]]),VALUE(stable[qno]),0))</f>
        <v>0</v>
      </c>
      <c r="N1509" s="9" t="b" cm="1">
        <f t="array" ref="N1509">INDEX(stable[is_free_text],MATCH(VALUE(questions[[#This Row],[qno]]),VALUE(stable[qno]),0))</f>
        <v>0</v>
      </c>
      <c r="O1509" s="9" t="b" cm="1">
        <f t="array" ref="O1509">INDEX(stable[is_numerical],MATCH(VALUE(questions[[#This Row],[qno]]),VALUE(stable[qno]),0))</f>
        <v>0</v>
      </c>
      <c r="P1509" s="77" t="b" cm="1">
        <f t="array" ref="P1509">INDEX(stable[is_single_select],MATCH(VALUE(questions[[#This Row],[qno]]),VALUE(stable[qno]),0))</f>
        <v>1</v>
      </c>
      <c r="Q1509" s="77" t="b" cm="1">
        <f t="array" ref="Q1509">INDEX(stable[is_multi_select],MATCH(VALUE(questions[[#This Row],[qno]]),VALUE(stable[qno]),0))</f>
        <v>0</v>
      </c>
      <c r="R1509" s="77" t="b" cm="1">
        <f t="array" ref="R1509">INDEX(stable[is_skip_logic],MATCH(VALUE(questions[[#This Row],[qno]]),VALUE(stable[qno]),0))</f>
        <v>1</v>
      </c>
      <c r="S1509" s="77" t="str">
        <f>_xlfn.TEXTJOIN(", ",TRUE,questions[[#This Row],[ans_opt_1]:[ans_opt_14]])</f>
        <v>1, 2, 3, 4, 5, &gt;5</v>
      </c>
      <c r="T1509" s="77">
        <v>1</v>
      </c>
      <c r="U1509" s="77">
        <v>2</v>
      </c>
      <c r="V1509" s="77">
        <v>3</v>
      </c>
      <c r="W1509" s="77">
        <v>4</v>
      </c>
      <c r="X1509" s="77">
        <v>5</v>
      </c>
      <c r="Y1509" s="77" t="s">
        <v>404</v>
      </c>
      <c r="AH1509" s="98" t="b">
        <f>INDEX(stable[q_standard],MATCH(questions[[#This Row],[qno]],stable[qno],0))</f>
        <v>0</v>
      </c>
      <c r="AI1509" s="98" t="b">
        <f>INDEX(stable[q_living_income],MATCH(questions[[#This Row],[qno]],stable[qno],0))</f>
        <v>0</v>
      </c>
      <c r="AJ1509" s="98" t="b">
        <f>INDEX(stable[q_carbon],MATCH(questions[[#This Row],[qno]],stable[qno],0))</f>
        <v>0</v>
      </c>
      <c r="AK1509" s="98" t="b">
        <f>INDEX(stable[q_regen_ag],MATCH(questions[[#This Row],[qno]],stable[qno],0))</f>
        <v>1</v>
      </c>
      <c r="AL1509" s="98" t="b">
        <f>COUNTIFS(stable[qno],questions[[#This Row],[qno]])=1</f>
        <v>1</v>
      </c>
      <c r="AM1509" s="98" t="b">
        <f>OR(questions[[#This Row],[is_fixed]],questions[[#This Row],[is_localized]],questions[[#This Row],[is_supply_chain_dependent]])</f>
        <v>1</v>
      </c>
      <c r="AN1509" s="98" t="b">
        <f>COUNTIFS(questions[[#This Row],[is_automated]:[is_multi_select]],TRUE)=1</f>
        <v>1</v>
      </c>
      <c r="AO1509" s="98" t="b">
        <f>IF(questions[[#This Row],[is_fixed]],questions[[#This Row],[question]]=INDEX(stable[question],MATCH(questions[[#This Row],[qno]],stable[qno],0)),TRUE)</f>
        <v>1</v>
      </c>
      <c r="AP1509" s="98" t="str">
        <f>LEFT(questions[[#This Row],[question]],similarity_range)</f>
        <v>If you apply chemica</v>
      </c>
      <c r="AQ1509" s="98" t="str">
        <f>LEFT(INDEX(stable[question],MATCH(questions[[#This Row],[qno]],stable[qno],0)),similarity_range)</f>
        <v>If you apply chemica</v>
      </c>
      <c r="AR1509" s="98" t="b">
        <f>questions[[#This Row],[question_first_characters]]=questions[[#This Row],[stability_first_characters]]</f>
        <v>1</v>
      </c>
      <c r="AS1509" s="98" t="b">
        <f>IF(OR(questions[[#This Row],[is_single_select]],questions[[#This Row],[is_multi_select]]),NOT(ISBLANK(questions[[#This Row],[answer_opt_combined]])),TRUE)</f>
        <v>1</v>
      </c>
    </row>
    <row r="1510" spans="1:45" s="77" customFormat="1" ht="15.75" customHeight="1" x14ac:dyDescent="0.25">
      <c r="A1510" s="77" t="str">
        <f>_xlfn.TEXTJOIN("_",TRUE,questions[[#This Row],[origin]:[qno]])</f>
        <v>Brazil_Arabica_2025_7245</v>
      </c>
      <c r="B1510" s="77" t="s">
        <v>1025</v>
      </c>
      <c r="C1510" s="77" t="s">
        <v>59</v>
      </c>
      <c r="E1510" s="77">
        <v>2025</v>
      </c>
      <c r="F1510" s="107" t="s">
        <v>405</v>
      </c>
      <c r="G1510" s="78" t="s">
        <v>1051</v>
      </c>
      <c r="H1510" s="9" t="str" cm="1">
        <f t="array" ref="H1510">INDEX(stableR[question],MATCH(VALUE(questions[[#This Row],[qno]]),VALUE(stableR[qno]),0))</f>
        <v>If you apply chemical PPPs to control pests and diseases in your farm, how many applications do you apply on average per year?</v>
      </c>
      <c r="I1510" s="9" t="b" cm="1">
        <f t="array" ref="I1510">INDEX(stable[is_fixed],MATCH(VALUE(questions[[#This Row],[qno]]),VALUE(stable[qno]),0))</f>
        <v>1</v>
      </c>
      <c r="J1510" s="9" t="b" cm="1">
        <f t="array" ref="J1510">INDEX(stable[is_localized],MATCH(VALUE(questions[[#This Row],[qno]]),VALUE(stable[qno]),0))</f>
        <v>0</v>
      </c>
      <c r="K1510" s="9" t="b" cm="1">
        <f t="array" ref="K1510">INDEX(stable[is_supply_chain_dependent],MATCH(VALUE(questions[[#This Row],[qno]]),VALUE(stable[qno]),0))</f>
        <v>0</v>
      </c>
      <c r="L1510" s="9" t="b" cm="1">
        <f t="array" ref="L1510">INDEX(stable[is_mandatory],MATCH(VALUE(questions[[#This Row],[qno]]),VALUE(stable[qno]),0))</f>
        <v>0</v>
      </c>
      <c r="M1510" s="9" t="b" cm="1">
        <f t="array" ref="M1510">INDEX(stable[is_automated],MATCH(VALUE(questions[[#This Row],[qno]]),VALUE(stable[qno]),0))</f>
        <v>0</v>
      </c>
      <c r="N1510" s="9" t="b" cm="1">
        <f t="array" ref="N1510">INDEX(stable[is_free_text],MATCH(VALUE(questions[[#This Row],[qno]]),VALUE(stable[qno]),0))</f>
        <v>0</v>
      </c>
      <c r="O1510" s="9" t="b" cm="1">
        <f t="array" ref="O1510">INDEX(stable[is_numerical],MATCH(VALUE(questions[[#This Row],[qno]]),VALUE(stable[qno]),0))</f>
        <v>0</v>
      </c>
      <c r="P1510" s="77" t="b" cm="1">
        <f t="array" ref="P1510">INDEX(stable[is_single_select],MATCH(VALUE(questions[[#This Row],[qno]]),VALUE(stable[qno]),0))</f>
        <v>1</v>
      </c>
      <c r="Q1510" s="77" t="b" cm="1">
        <f t="array" ref="Q1510">INDEX(stable[is_multi_select],MATCH(VALUE(questions[[#This Row],[qno]]),VALUE(stable[qno]),0))</f>
        <v>0</v>
      </c>
      <c r="R1510" s="77" t="b" cm="1">
        <f t="array" ref="R1510">INDEX(stable[is_skip_logic],MATCH(VALUE(questions[[#This Row],[qno]]),VALUE(stable[qno]),0))</f>
        <v>1</v>
      </c>
      <c r="S1510" s="77" t="str">
        <f>_xlfn.TEXTJOIN(", ",TRUE,questions[[#This Row],[ans_opt_1]:[ans_opt_14]])</f>
        <v>Increased - pest/disease pressure, Increased - weather conditions, Increased - pest/disease resistance, Decreased - pest/disease pressure, Decreased - adverse weather conditions, Decreased - increased cost, Decreased - replaced by regenerative agriculture</v>
      </c>
      <c r="T1510" s="77" t="s">
        <v>407</v>
      </c>
      <c r="U1510" s="77" t="s">
        <v>408</v>
      </c>
      <c r="V1510" s="77" t="s">
        <v>409</v>
      </c>
      <c r="W1510" s="77" t="s">
        <v>410</v>
      </c>
      <c r="X1510" s="77" t="s">
        <v>411</v>
      </c>
      <c r="Y1510" s="77" t="s">
        <v>412</v>
      </c>
      <c r="Z1510" s="77" t="s">
        <v>413</v>
      </c>
      <c r="AH1510" s="98" t="b">
        <f>INDEX(stable[q_standard],MATCH(questions[[#This Row],[qno]],stable[qno],0))</f>
        <v>0</v>
      </c>
      <c r="AI1510" s="98" t="b">
        <f>INDEX(stable[q_living_income],MATCH(questions[[#This Row],[qno]],stable[qno],0))</f>
        <v>0</v>
      </c>
      <c r="AJ1510" s="98" t="b">
        <f>INDEX(stable[q_carbon],MATCH(questions[[#This Row],[qno]],stable[qno],0))</f>
        <v>0</v>
      </c>
      <c r="AK1510" s="98" t="b">
        <f>INDEX(stable[q_regen_ag],MATCH(questions[[#This Row],[qno]],stable[qno],0))</f>
        <v>1</v>
      </c>
      <c r="AL1510" s="98" t="b">
        <f>COUNTIFS(stable[qno],questions[[#This Row],[qno]])=1</f>
        <v>1</v>
      </c>
      <c r="AM1510" s="98" t="b">
        <f>OR(questions[[#This Row],[is_fixed]],questions[[#This Row],[is_localized]],questions[[#This Row],[is_supply_chain_dependent]])</f>
        <v>1</v>
      </c>
      <c r="AN1510" s="98" t="b">
        <f>COUNTIFS(questions[[#This Row],[is_automated]:[is_multi_select]],TRUE)=1</f>
        <v>1</v>
      </c>
      <c r="AO1510" s="98" t="b">
        <f>IF(questions[[#This Row],[is_fixed]],questions[[#This Row],[question]]=INDEX(stable[question],MATCH(questions[[#This Row],[qno]],stable[qno],0)),TRUE)</f>
        <v>1</v>
      </c>
      <c r="AP1510" s="98" t="str">
        <f>LEFT(questions[[#This Row],[question]],similarity_range)</f>
        <v>Have you decreased o</v>
      </c>
      <c r="AQ1510" s="98" t="str">
        <f>LEFT(INDEX(stable[question],MATCH(questions[[#This Row],[qno]],stable[qno],0)),similarity_range)</f>
        <v>Have you decreased o</v>
      </c>
      <c r="AR1510" s="98" t="b">
        <f>questions[[#This Row],[question_first_characters]]=questions[[#This Row],[stability_first_characters]]</f>
        <v>1</v>
      </c>
      <c r="AS1510" s="98" t="b">
        <f>IF(OR(questions[[#This Row],[is_single_select]],questions[[#This Row],[is_multi_select]]),NOT(ISBLANK(questions[[#This Row],[answer_opt_combined]])),TRUE)</f>
        <v>1</v>
      </c>
    </row>
    <row r="1511" spans="1:45" s="77" customFormat="1" ht="38.25" customHeight="1" x14ac:dyDescent="0.25">
      <c r="A1511" s="77" t="str">
        <f>_xlfn.TEXTJOIN("_",TRUE,questions[[#This Row],[origin]:[qno]])</f>
        <v>Brazil_Arabica_2025_7250</v>
      </c>
      <c r="B1511" s="77" t="s">
        <v>1025</v>
      </c>
      <c r="C1511" s="77" t="s">
        <v>59</v>
      </c>
      <c r="E1511" s="77">
        <v>2025</v>
      </c>
      <c r="F1511" s="107" t="s">
        <v>414</v>
      </c>
      <c r="G1511" s="78" t="s">
        <v>1052</v>
      </c>
      <c r="H1511" s="9" t="str" cm="1">
        <f t="array" ref="H1511">INDEX(stableR[question],MATCH(VALUE(questions[[#This Row],[qno]]),VALUE(stableR[qno]),0))</f>
        <v>Do you apply chemical herbicides to your coffee crop and how many (different active ingredients) per crop season?</v>
      </c>
      <c r="I1511" s="9" t="b" cm="1">
        <f t="array" ref="I1511">INDEX(stable[is_fixed],MATCH(VALUE(questions[[#This Row],[qno]]),VALUE(stable[qno]),0))</f>
        <v>1</v>
      </c>
      <c r="J1511" s="9" t="b" cm="1">
        <f t="array" ref="J1511">INDEX(stable[is_localized],MATCH(VALUE(questions[[#This Row],[qno]]),VALUE(stable[qno]),0))</f>
        <v>0</v>
      </c>
      <c r="K1511" s="9" t="b" cm="1">
        <f t="array" ref="K1511">INDEX(stable[is_supply_chain_dependent],MATCH(VALUE(questions[[#This Row],[qno]]),VALUE(stable[qno]),0))</f>
        <v>0</v>
      </c>
      <c r="L1511" s="9" t="b" cm="1">
        <f t="array" ref="L1511">INDEX(stable[is_mandatory],MATCH(VALUE(questions[[#This Row],[qno]]),VALUE(stable[qno]),0))</f>
        <v>1</v>
      </c>
      <c r="M1511" s="9" t="b" cm="1">
        <f t="array" ref="M1511">INDEX(stable[is_automated],MATCH(VALUE(questions[[#This Row],[qno]]),VALUE(stable[qno]),0))</f>
        <v>0</v>
      </c>
      <c r="N1511" s="9" t="b" cm="1">
        <f t="array" ref="N1511">INDEX(stable[is_free_text],MATCH(VALUE(questions[[#This Row],[qno]]),VALUE(stable[qno]),0))</f>
        <v>0</v>
      </c>
      <c r="O1511" s="9" t="b" cm="1">
        <f t="array" ref="O1511">INDEX(stable[is_numerical],MATCH(VALUE(questions[[#This Row],[qno]]),VALUE(stable[qno]),0))</f>
        <v>0</v>
      </c>
      <c r="P1511" s="77" t="b" cm="1">
        <f t="array" ref="P1511">INDEX(stable[is_single_select],MATCH(VALUE(questions[[#This Row],[qno]]),VALUE(stable[qno]),0))</f>
        <v>1</v>
      </c>
      <c r="Q1511" s="77" t="b" cm="1">
        <f t="array" ref="Q1511">INDEX(stable[is_multi_select],MATCH(VALUE(questions[[#This Row],[qno]]),VALUE(stable[qno]),0))</f>
        <v>0</v>
      </c>
      <c r="R1511" s="77" t="b" cm="1">
        <f t="array" ref="R1511">INDEX(stable[is_skip_logic],MATCH(VALUE(questions[[#This Row],[qno]]),VALUE(stable[qno]),0))</f>
        <v>1</v>
      </c>
      <c r="S1511" s="77" t="str">
        <f>_xlfn.TEXTJOIN(", ",TRUE,questions[[#This Row],[ans_opt_1]:[ans_opt_14]])</f>
        <v>No, Yes / 1-2 herbicides (active ingredients), Yes / 3-4 herbicides (active ingredients), Yes / &gt;=5 herbicides (active ingredients)</v>
      </c>
      <c r="T1511" s="77" t="s">
        <v>119</v>
      </c>
      <c r="U1511" s="131" t="s">
        <v>416</v>
      </c>
      <c r="V1511" s="131" t="s">
        <v>417</v>
      </c>
      <c r="W1511" s="131" t="s">
        <v>418</v>
      </c>
      <c r="AH1511" s="98" t="b">
        <f>INDEX(stable[q_standard],MATCH(questions[[#This Row],[qno]],stable[qno],0))</f>
        <v>0</v>
      </c>
      <c r="AI1511" s="98" t="b">
        <f>INDEX(stable[q_living_income],MATCH(questions[[#This Row],[qno]],stable[qno],0))</f>
        <v>0</v>
      </c>
      <c r="AJ1511" s="98" t="b">
        <f>INDEX(stable[q_carbon],MATCH(questions[[#This Row],[qno]],stable[qno],0))</f>
        <v>0</v>
      </c>
      <c r="AK1511" s="98" t="b">
        <f>INDEX(stable[q_regen_ag],MATCH(questions[[#This Row],[qno]],stable[qno],0))</f>
        <v>1</v>
      </c>
      <c r="AL1511" s="98" t="b">
        <f>COUNTIFS(stable[qno],questions[[#This Row],[qno]])=1</f>
        <v>1</v>
      </c>
      <c r="AM1511" s="98" t="b">
        <f>OR(questions[[#This Row],[is_fixed]],questions[[#This Row],[is_localized]],questions[[#This Row],[is_supply_chain_dependent]])</f>
        <v>1</v>
      </c>
      <c r="AN1511" s="98" t="b">
        <f>COUNTIFS(questions[[#This Row],[is_automated]:[is_multi_select]],TRUE)=1</f>
        <v>1</v>
      </c>
      <c r="AO1511" s="98" t="b">
        <f>IF(questions[[#This Row],[is_fixed]],questions[[#This Row],[question]]=INDEX(stable[question],MATCH(questions[[#This Row],[qno]],stable[qno],0)),TRUE)</f>
        <v>0</v>
      </c>
      <c r="AP1511" s="98" t="str">
        <f>LEFT(questions[[#This Row],[question]],similarity_range)</f>
        <v>Do you apply chemica</v>
      </c>
      <c r="AQ1511" s="98" t="str">
        <f>LEFT(INDEX(stable[question],MATCH(questions[[#This Row],[qno]],stable[qno],0)),similarity_range)</f>
        <v>Did you use herbicid</v>
      </c>
      <c r="AR1511" s="98" t="b">
        <f>questions[[#This Row],[question_first_characters]]=questions[[#This Row],[stability_first_characters]]</f>
        <v>0</v>
      </c>
      <c r="AS1511" s="98" t="b">
        <f>IF(OR(questions[[#This Row],[is_single_select]],questions[[#This Row],[is_multi_select]]),NOT(ISBLANK(questions[[#This Row],[answer_opt_combined]])),TRUE)</f>
        <v>1</v>
      </c>
    </row>
    <row r="1512" spans="1:45" x14ac:dyDescent="0.25">
      <c r="A1512" s="9" t="str">
        <f>_xlfn.TEXTJOIN("_",TRUE,questions[[#This Row],[origin]:[qno]])</f>
        <v>Brazil_Arabica_2025_7254</v>
      </c>
      <c r="B1512" s="9" t="s">
        <v>1025</v>
      </c>
      <c r="C1512" s="9" t="s">
        <v>59</v>
      </c>
      <c r="E1512" s="33">
        <v>2025</v>
      </c>
      <c r="F1512" s="90">
        <v>7254</v>
      </c>
      <c r="G1512" s="15" t="s">
        <v>1053</v>
      </c>
      <c r="H1512" s="9" t="str" cm="1">
        <f t="array" ref="H1512">INDEX(stableR[question],MATCH(VALUE(questions[[#This Row],[qno]]),VALUE(stableR[qno]),0))</f>
        <v>If you use or do not use herbicides to control weeds, what is the other main method/s that you use to control weeds?  - e.g. manual removal-mechanical removal, mulching, cover crops…</v>
      </c>
      <c r="I1512" s="9" t="b" cm="1">
        <f t="array" ref="I1512">INDEX(stable[is_fixed],MATCH(VALUE(questions[[#This Row],[qno]]),VALUE(stable[qno]),0))</f>
        <v>1</v>
      </c>
      <c r="J1512" s="9" t="b" cm="1">
        <f t="array" ref="J1512">INDEX(stable[is_localized],MATCH(VALUE(questions[[#This Row],[qno]]),VALUE(stable[qno]),0))</f>
        <v>0</v>
      </c>
      <c r="K1512" s="9" t="b" cm="1">
        <f t="array" ref="K1512">INDEX(stable[is_supply_chain_dependent],MATCH(VALUE(questions[[#This Row],[qno]]),VALUE(stable[qno]),0))</f>
        <v>0</v>
      </c>
      <c r="L1512" s="9" t="b" cm="1">
        <f t="array" ref="L1512">INDEX(stable[is_mandatory],MATCH(VALUE(questions[[#This Row],[qno]]),VALUE(stable[qno]),0))</f>
        <v>1</v>
      </c>
      <c r="M1512" s="9" t="b" cm="1">
        <f t="array" ref="M1512">INDEX(stable[is_automated],MATCH(VALUE(questions[[#This Row],[qno]]),VALUE(stable[qno]),0))</f>
        <v>0</v>
      </c>
      <c r="N1512" s="9" t="b" cm="1">
        <f t="array" ref="N1512">INDEX(stable[is_free_text],MATCH(VALUE(questions[[#This Row],[qno]]),VALUE(stable[qno]),0))</f>
        <v>1</v>
      </c>
      <c r="O1512" s="9" t="b" cm="1">
        <f t="array" ref="O1512">INDEX(stable[is_numerical],MATCH(VALUE(questions[[#This Row],[qno]]),VALUE(stable[qno]),0))</f>
        <v>0</v>
      </c>
      <c r="P1512" s="9" t="b" cm="1">
        <f t="array" ref="P1512">INDEX(stable[is_single_select],MATCH(VALUE(questions[[#This Row],[qno]]),VALUE(stable[qno]),0))</f>
        <v>0</v>
      </c>
      <c r="Q1512" s="9" t="b" cm="1">
        <f t="array" ref="Q1512">INDEX(stable[is_multi_select],MATCH(VALUE(questions[[#This Row],[qno]]),VALUE(stable[qno]),0))</f>
        <v>0</v>
      </c>
      <c r="R1512" s="9" t="b" cm="1">
        <f t="array" ref="R1512">INDEX(stable[is_skip_logic],MATCH(VALUE(questions[[#This Row],[qno]]),VALUE(stable[qno]),0))</f>
        <v>1</v>
      </c>
      <c r="S1512" s="9" t="str">
        <f>_xlfn.TEXTJOIN(", ",TRUE,questions[[#This Row],[ans_opt_1]:[ans_opt_14]])</f>
        <v/>
      </c>
      <c r="AH1512" s="16" t="e">
        <f>INDEX(stable[q_standard],MATCH(questions[[#This Row],[qno]],stable[qno],0))</f>
        <v>#N/A</v>
      </c>
      <c r="AI1512" s="16" t="e">
        <f>INDEX(stable[q_living_income],MATCH(questions[[#This Row],[qno]],stable[qno],0))</f>
        <v>#N/A</v>
      </c>
      <c r="AJ1512" s="16" t="e">
        <f>INDEX(stable[q_carbon],MATCH(questions[[#This Row],[qno]],stable[qno],0))</f>
        <v>#N/A</v>
      </c>
      <c r="AK1512" s="16" t="e">
        <f>INDEX(stable[q_regen_ag],MATCH(questions[[#This Row],[qno]],stable[qno],0))</f>
        <v>#N/A</v>
      </c>
      <c r="AL1512" s="16" t="b">
        <f>COUNTIFS(stable[qno],questions[[#This Row],[qno]])=1</f>
        <v>1</v>
      </c>
      <c r="AM1512" s="16" t="b">
        <f>OR(questions[[#This Row],[is_fixed]],questions[[#This Row],[is_localized]],questions[[#This Row],[is_supply_chain_dependent]])</f>
        <v>1</v>
      </c>
      <c r="AN1512" s="16" t="b">
        <f>COUNTIFS(questions[[#This Row],[is_automated]:[is_multi_select]],TRUE)=1</f>
        <v>1</v>
      </c>
      <c r="AO1512" s="16" t="e">
        <f>IF(questions[[#This Row],[is_fixed]],questions[[#This Row],[question]]=INDEX(stable[question],MATCH(questions[[#This Row],[qno]],stable[qno],0)),TRUE)</f>
        <v>#N/A</v>
      </c>
      <c r="AP1512" s="16" t="str">
        <f>LEFT(questions[[#This Row],[question]],similarity_range)</f>
        <v>If yes, list the nam</v>
      </c>
      <c r="AQ1512" s="16" t="e">
        <f>LEFT(INDEX(stable[question],MATCH(questions[[#This Row],[qno]],stable[qno],0)),similarity_range)</f>
        <v>#N/A</v>
      </c>
      <c r="AR1512" s="16" t="e">
        <f>questions[[#This Row],[question_first_characters]]=questions[[#This Row],[stability_first_characters]]</f>
        <v>#N/A</v>
      </c>
      <c r="AS1512" s="16" t="b">
        <f>IF(OR(questions[[#This Row],[is_single_select]],questions[[#This Row],[is_multi_select]]),NOT(ISBLANK(questions[[#This Row],[answer_opt_combined]])),TRUE)</f>
        <v>1</v>
      </c>
    </row>
    <row r="1513" spans="1:45" s="77" customFormat="1" x14ac:dyDescent="0.25">
      <c r="A1513" s="77" t="str">
        <f>_xlfn.TEXTJOIN("_",TRUE,questions[[#This Row],[origin]:[qno]])</f>
        <v>Brazil_Arabica_2025_7251</v>
      </c>
      <c r="B1513" s="77" t="s">
        <v>1025</v>
      </c>
      <c r="C1513" s="77" t="s">
        <v>59</v>
      </c>
      <c r="E1513" s="77">
        <v>2025</v>
      </c>
      <c r="F1513" s="107" t="s">
        <v>419</v>
      </c>
      <c r="G1513" s="78" t="s">
        <v>1054</v>
      </c>
      <c r="H1513" s="9" t="str" cm="1">
        <f t="array" ref="H1513">INDEX(stableR[question],MATCH(VALUE(questions[[#This Row],[qno]]),VALUE(stableR[qno]),0))</f>
        <v>If yes, list the names of all the herbicides that you used, last year.</v>
      </c>
      <c r="I1513" s="9" t="b" cm="1">
        <f t="array" ref="I1513">INDEX(stable[is_fixed],MATCH(VALUE(questions[[#This Row],[qno]]),VALUE(stable[qno]),0))</f>
        <v>1</v>
      </c>
      <c r="J1513" s="9" t="b" cm="1">
        <f t="array" ref="J1513">INDEX(stable[is_localized],MATCH(VALUE(questions[[#This Row],[qno]]),VALUE(stable[qno]),0))</f>
        <v>0</v>
      </c>
      <c r="K1513" s="9" t="b" cm="1">
        <f t="array" ref="K1513">INDEX(stable[is_supply_chain_dependent],MATCH(VALUE(questions[[#This Row],[qno]]),VALUE(stable[qno]),0))</f>
        <v>0</v>
      </c>
      <c r="L1513" s="9" t="b" cm="1">
        <f t="array" ref="L1513">INDEX(stable[is_mandatory],MATCH(VALUE(questions[[#This Row],[qno]]),VALUE(stable[qno]),0))</f>
        <v>0</v>
      </c>
      <c r="M1513" s="9" t="b" cm="1">
        <f t="array" ref="M1513">INDEX(stable[is_automated],MATCH(VALUE(questions[[#This Row],[qno]]),VALUE(stable[qno]),0))</f>
        <v>0</v>
      </c>
      <c r="N1513" s="9" t="b" cm="1">
        <f t="array" ref="N1513">INDEX(stable[is_free_text],MATCH(VALUE(questions[[#This Row],[qno]]),VALUE(stable[qno]),0))</f>
        <v>0</v>
      </c>
      <c r="O1513" s="9" t="b" cm="1">
        <f t="array" ref="O1513">INDEX(stable[is_numerical],MATCH(VALUE(questions[[#This Row],[qno]]),VALUE(stable[qno]),0))</f>
        <v>0</v>
      </c>
      <c r="P1513" s="77" t="b" cm="1">
        <f t="array" ref="P1513">INDEX(stable[is_single_select],MATCH(VALUE(questions[[#This Row],[qno]]),VALUE(stable[qno]),0))</f>
        <v>1</v>
      </c>
      <c r="Q1513" s="77" t="b" cm="1">
        <f t="array" ref="Q1513">INDEX(stable[is_multi_select],MATCH(VALUE(questions[[#This Row],[qno]]),VALUE(stable[qno]),0))</f>
        <v>0</v>
      </c>
      <c r="R1513" s="77" t="b" cm="1">
        <f t="array" ref="R1513">INDEX(stable[is_skip_logic],MATCH(VALUE(questions[[#This Row],[qno]]),VALUE(stable[qno]),0))</f>
        <v>1</v>
      </c>
      <c r="S1513" s="77" t="str">
        <f>_xlfn.TEXTJOIN(", ",TRUE,questions[[#This Row],[ans_opt_1]:[ans_opt_14]])</f>
        <v>1% to 10% - very little, 11% to 20% - little, 21% to 50% - less than half, 51% to 75% - more than half, 76% to 100% - almost all</v>
      </c>
      <c r="T1513" s="77" t="s">
        <v>421</v>
      </c>
      <c r="U1513" s="77" t="s">
        <v>422</v>
      </c>
      <c r="V1513" s="77" t="s">
        <v>423</v>
      </c>
      <c r="W1513" s="77" t="s">
        <v>340</v>
      </c>
      <c r="X1513" s="77" t="s">
        <v>341</v>
      </c>
      <c r="AH1513" s="98" t="b">
        <f>INDEX(stable[q_standard],MATCH(questions[[#This Row],[qno]],stable[qno],0))</f>
        <v>0</v>
      </c>
      <c r="AI1513" s="98" t="b">
        <f>INDEX(stable[q_living_income],MATCH(questions[[#This Row],[qno]],stable[qno],0))</f>
        <v>0</v>
      </c>
      <c r="AJ1513" s="98" t="b">
        <f>INDEX(stable[q_carbon],MATCH(questions[[#This Row],[qno]],stable[qno],0))</f>
        <v>0</v>
      </c>
      <c r="AK1513" s="98" t="b">
        <f>INDEX(stable[q_regen_ag],MATCH(questions[[#This Row],[qno]],stable[qno],0))</f>
        <v>1</v>
      </c>
      <c r="AL1513" s="98" t="b">
        <f>COUNTIFS(stable[qno],questions[[#This Row],[qno]])=1</f>
        <v>1</v>
      </c>
      <c r="AM1513" s="98" t="b">
        <f>OR(questions[[#This Row],[is_fixed]],questions[[#This Row],[is_localized]],questions[[#This Row],[is_supply_chain_dependent]])</f>
        <v>1</v>
      </c>
      <c r="AN1513" s="98" t="b">
        <f>COUNTIFS(questions[[#This Row],[is_automated]:[is_multi_select]],TRUE)=1</f>
        <v>1</v>
      </c>
      <c r="AO1513" s="98" t="b">
        <f>IF(questions[[#This Row],[is_fixed]],questions[[#This Row],[question]]=INDEX(stable[question],MATCH(questions[[#This Row],[qno]],stable[qno],0)),TRUE)</f>
        <v>0</v>
      </c>
      <c r="AP1513" s="98" t="str">
        <f>LEFT(questions[[#This Row],[question]],similarity_range)</f>
        <v>If applying herbicid</v>
      </c>
      <c r="AQ1513" s="98" t="str">
        <f>LEFT(INDEX(stable[question],MATCH(questions[[#This Row],[qno]],stable[qno],0)),similarity_range)</f>
        <v>If you apply chemica</v>
      </c>
      <c r="AR1513" s="98" t="b">
        <f>questions[[#This Row],[question_first_characters]]=questions[[#This Row],[stability_first_characters]]</f>
        <v>0</v>
      </c>
      <c r="AS1513" s="98" t="b">
        <f>IF(OR(questions[[#This Row],[is_single_select]],questions[[#This Row],[is_multi_select]]),NOT(ISBLANK(questions[[#This Row],[answer_opt_combined]])),TRUE)</f>
        <v>1</v>
      </c>
    </row>
    <row r="1514" spans="1:45" s="77" customFormat="1" ht="15.75" customHeight="1" x14ac:dyDescent="0.25">
      <c r="A1514" s="77" t="str">
        <f>_xlfn.TEXTJOIN("_",TRUE,questions[[#This Row],[origin]:[qno]])</f>
        <v>Brazil_Arabica_2025_7252</v>
      </c>
      <c r="B1514" s="77" t="s">
        <v>1025</v>
      </c>
      <c r="C1514" s="77" t="s">
        <v>59</v>
      </c>
      <c r="E1514" s="77">
        <v>2025</v>
      </c>
      <c r="F1514" s="107" t="s">
        <v>424</v>
      </c>
      <c r="G1514" s="78" t="s">
        <v>425</v>
      </c>
      <c r="H1514" s="9" t="str" cm="1">
        <f t="array" ref="H1514">INDEX(stableR[question],MATCH(VALUE(questions[[#This Row],[qno]]),VALUE(stableR[qno]),0))</f>
        <v>If applying herbicides, to which % of area of the coffee plots? e.g. if the coffee area is 1 hectare and herbicides are sprayed to only 0.5 hectare (where there is high weed pressure), then it is 50%</v>
      </c>
      <c r="I1514" s="9" t="b" cm="1">
        <f t="array" ref="I1514">INDEX(stable[is_fixed],MATCH(VALUE(questions[[#This Row],[qno]]),VALUE(stable[qno]),0))</f>
        <v>1</v>
      </c>
      <c r="J1514" s="9" t="b" cm="1">
        <f t="array" ref="J1514">INDEX(stable[is_localized],MATCH(VALUE(questions[[#This Row],[qno]]),VALUE(stable[qno]),0))</f>
        <v>0</v>
      </c>
      <c r="K1514" s="9" t="b" cm="1">
        <f t="array" ref="K1514">INDEX(stable[is_supply_chain_dependent],MATCH(VALUE(questions[[#This Row],[qno]]),VALUE(stable[qno]),0))</f>
        <v>0</v>
      </c>
      <c r="L1514" s="9" t="b" cm="1">
        <f t="array" ref="L1514">INDEX(stable[is_mandatory],MATCH(VALUE(questions[[#This Row],[qno]]),VALUE(stable[qno]),0))</f>
        <v>0</v>
      </c>
      <c r="M1514" s="9" t="b" cm="1">
        <f t="array" ref="M1514">INDEX(stable[is_automated],MATCH(VALUE(questions[[#This Row],[qno]]),VALUE(stable[qno]),0))</f>
        <v>0</v>
      </c>
      <c r="N1514" s="9" t="b" cm="1">
        <f t="array" ref="N1514">INDEX(stable[is_free_text],MATCH(VALUE(questions[[#This Row],[qno]]),VALUE(stable[qno]),0))</f>
        <v>0</v>
      </c>
      <c r="O1514" s="9" t="b" cm="1">
        <f t="array" ref="O1514">INDEX(stable[is_numerical],MATCH(VALUE(questions[[#This Row],[qno]]),VALUE(stable[qno]),0))</f>
        <v>0</v>
      </c>
      <c r="P1514" s="77" t="b" cm="1">
        <f t="array" ref="P1514">INDEX(stable[is_single_select],MATCH(VALUE(questions[[#This Row],[qno]]),VALUE(stable[qno]),0))</f>
        <v>1</v>
      </c>
      <c r="Q1514" s="77" t="b" cm="1">
        <f t="array" ref="Q1514">INDEX(stable[is_multi_select],MATCH(VALUE(questions[[#This Row],[qno]]),VALUE(stable[qno]),0))</f>
        <v>0</v>
      </c>
      <c r="R1514" s="77" t="b" cm="1">
        <f t="array" ref="R1514">INDEX(stable[is_skip_logic],MATCH(VALUE(questions[[#This Row],[qno]]),VALUE(stable[qno]),0))</f>
        <v>1</v>
      </c>
      <c r="S1514" s="77" t="str">
        <f>_xlfn.TEXTJOIN(", ",TRUE,questions[[#This Row],[ans_opt_1]:[ans_opt_14]])</f>
        <v>Yes, No</v>
      </c>
      <c r="T1514" s="77" t="s">
        <v>149</v>
      </c>
      <c r="U1514" s="77" t="s">
        <v>119</v>
      </c>
      <c r="AH1514" s="98" t="b">
        <f>INDEX(stable[q_standard],MATCH(questions[[#This Row],[qno]],stable[qno],0))</f>
        <v>0</v>
      </c>
      <c r="AI1514" s="98" t="b">
        <f>INDEX(stable[q_living_income],MATCH(questions[[#This Row],[qno]],stable[qno],0))</f>
        <v>0</v>
      </c>
      <c r="AJ1514" s="98" t="b">
        <f>INDEX(stable[q_carbon],MATCH(questions[[#This Row],[qno]],stable[qno],0))</f>
        <v>0</v>
      </c>
      <c r="AK1514" s="98" t="b">
        <f>INDEX(stable[q_regen_ag],MATCH(questions[[#This Row],[qno]],stable[qno],0))</f>
        <v>1</v>
      </c>
      <c r="AL1514" s="98" t="b">
        <f>COUNTIFS(stable[qno],questions[[#This Row],[qno]])=1</f>
        <v>1</v>
      </c>
      <c r="AM1514" s="98" t="b">
        <f>OR(questions[[#This Row],[is_fixed]],questions[[#This Row],[is_localized]],questions[[#This Row],[is_supply_chain_dependent]])</f>
        <v>1</v>
      </c>
      <c r="AN1514" s="98" t="b">
        <f>COUNTIFS(questions[[#This Row],[is_automated]:[is_multi_select]],TRUE)=1</f>
        <v>1</v>
      </c>
      <c r="AO1514" s="98" t="b">
        <f>IF(questions[[#This Row],[is_fixed]],questions[[#This Row],[question]]=INDEX(stable[question],MATCH(questions[[#This Row],[qno]],stable[qno],0)),TRUE)</f>
        <v>0</v>
      </c>
      <c r="AP1514" s="98" t="str">
        <f>LEFT(questions[[#This Row],[question]],similarity_range)</f>
        <v>If applying herbicid</v>
      </c>
      <c r="AQ1514" s="98" t="str">
        <f>LEFT(INDEX(stable[question],MATCH(questions[[#This Row],[qno]],stable[qno],0)),similarity_range)</f>
        <v>If applying herbicid</v>
      </c>
      <c r="AR1514" s="98" t="b">
        <f>questions[[#This Row],[question_first_characters]]=questions[[#This Row],[stability_first_characters]]</f>
        <v>1</v>
      </c>
      <c r="AS1514" s="98" t="b">
        <f>IF(OR(questions[[#This Row],[is_single_select]],questions[[#This Row],[is_multi_select]]),NOT(ISBLANK(questions[[#This Row],[answer_opt_combined]])),TRUE)</f>
        <v>1</v>
      </c>
    </row>
    <row r="1515" spans="1:45" s="77" customFormat="1" ht="15.75" customHeight="1" x14ac:dyDescent="0.25">
      <c r="A1515" s="77" t="str">
        <f>_xlfn.TEXTJOIN("_",TRUE,questions[[#This Row],[origin]:[qno]])</f>
        <v>Brazil_Arabica_2025_7253</v>
      </c>
      <c r="B1515" s="77" t="s">
        <v>1025</v>
      </c>
      <c r="C1515" s="77" t="s">
        <v>59</v>
      </c>
      <c r="E1515" s="77">
        <v>2025</v>
      </c>
      <c r="F1515" s="107" t="s">
        <v>426</v>
      </c>
      <c r="G1515" s="78" t="s">
        <v>427</v>
      </c>
      <c r="H1515" s="9" t="str" cm="1">
        <f t="array" ref="H1515">INDEX(stableR[question],MATCH(VALUE(questions[[#This Row],[qno]]),VALUE(stableR[qno]),0))</f>
        <v>If applying herbicides, can you prove that all are locally authorized for coffee use, and that you respect the doses and post-harvest intervals of the label of the product. If applying herbicides, to which % of area of the coffee plots? e.g. if the coffee area is 1 hectare and herbicides are sprayed to only 0.5 hectare (where there is high weed pressure), then it is 50%</v>
      </c>
      <c r="I1515" s="9" t="b" cm="1">
        <f t="array" ref="I1515">INDEX(stable[is_fixed],MATCH(VALUE(questions[[#This Row],[qno]]),VALUE(stable[qno]),0))</f>
        <v>1</v>
      </c>
      <c r="J1515" s="9" t="b" cm="1">
        <f t="array" ref="J1515">INDEX(stable[is_localized],MATCH(VALUE(questions[[#This Row],[qno]]),VALUE(stable[qno]),0))</f>
        <v>0</v>
      </c>
      <c r="K1515" s="9" t="b" cm="1">
        <f t="array" ref="K1515">INDEX(stable[is_supply_chain_dependent],MATCH(VALUE(questions[[#This Row],[qno]]),VALUE(stable[qno]),0))</f>
        <v>0</v>
      </c>
      <c r="L1515" s="9" t="b" cm="1">
        <f t="array" ref="L1515">INDEX(stable[is_mandatory],MATCH(VALUE(questions[[#This Row],[qno]]),VALUE(stable[qno]),0))</f>
        <v>1</v>
      </c>
      <c r="M1515" s="9" t="b" cm="1">
        <f t="array" ref="M1515">INDEX(stable[is_automated],MATCH(VALUE(questions[[#This Row],[qno]]),VALUE(stable[qno]),0))</f>
        <v>0</v>
      </c>
      <c r="N1515" s="9" t="b" cm="1">
        <f t="array" ref="N1515">INDEX(stable[is_free_text],MATCH(VALUE(questions[[#This Row],[qno]]),VALUE(stable[qno]),0))</f>
        <v>0</v>
      </c>
      <c r="O1515" s="9" t="b" cm="1">
        <f t="array" ref="O1515">INDEX(stable[is_numerical],MATCH(VALUE(questions[[#This Row],[qno]]),VALUE(stable[qno]),0))</f>
        <v>0</v>
      </c>
      <c r="P1515" s="77" t="b" cm="1">
        <f t="array" ref="P1515">INDEX(stable[is_single_select],MATCH(VALUE(questions[[#This Row],[qno]]),VALUE(stable[qno]),0))</f>
        <v>1</v>
      </c>
      <c r="Q1515" s="77" t="b" cm="1">
        <f t="array" ref="Q1515">INDEX(stable[is_multi_select],MATCH(VALUE(questions[[#This Row],[qno]]),VALUE(stable[qno]),0))</f>
        <v>0</v>
      </c>
      <c r="R1515" s="77" t="b" cm="1">
        <f t="array" ref="R1515">INDEX(stable[is_skip_logic],MATCH(VALUE(questions[[#This Row],[qno]]),VALUE(stable[qno]),0))</f>
        <v>1</v>
      </c>
      <c r="S1515" s="77" t="str">
        <f>_xlfn.TEXTJOIN(", ",TRUE,questions[[#This Row],[ans_opt_1]:[ans_opt_14]])</f>
        <v>Manual removal, Mechanical removal, Mulching, Cover crops, Cover crops, Amix of different systems</v>
      </c>
      <c r="T1515" s="77" t="s">
        <v>428</v>
      </c>
      <c r="U1515" s="77" t="s">
        <v>429</v>
      </c>
      <c r="V1515" s="77" t="s">
        <v>430</v>
      </c>
      <c r="W1515" s="77" t="s">
        <v>431</v>
      </c>
      <c r="X1515" s="77" t="s">
        <v>431</v>
      </c>
      <c r="Y1515" s="131" t="s">
        <v>806</v>
      </c>
      <c r="AH1515" s="98" t="b">
        <f>INDEX(stable[q_standard],MATCH(questions[[#This Row],[qno]],stable[qno],0))</f>
        <v>0</v>
      </c>
      <c r="AI1515" s="98" t="b">
        <f>INDEX(stable[q_living_income],MATCH(questions[[#This Row],[qno]],stable[qno],0))</f>
        <v>0</v>
      </c>
      <c r="AJ1515" s="98" t="b">
        <f>INDEX(stable[q_carbon],MATCH(questions[[#This Row],[qno]],stable[qno],0))</f>
        <v>0</v>
      </c>
      <c r="AK1515" s="98" t="b">
        <f>INDEX(stable[q_regen_ag],MATCH(questions[[#This Row],[qno]],stable[qno],0))</f>
        <v>1</v>
      </c>
      <c r="AL1515" s="98" t="b">
        <f>COUNTIFS(stable[qno],questions[[#This Row],[qno]])=1</f>
        <v>1</v>
      </c>
      <c r="AM1515" s="98" t="b">
        <f>OR(questions[[#This Row],[is_fixed]],questions[[#This Row],[is_localized]],questions[[#This Row],[is_supply_chain_dependent]])</f>
        <v>1</v>
      </c>
      <c r="AN1515" s="98" t="b">
        <f>COUNTIFS(questions[[#This Row],[is_automated]:[is_multi_select]],TRUE)=1</f>
        <v>1</v>
      </c>
      <c r="AO1515" s="98" t="b">
        <f>IF(questions[[#This Row],[is_fixed]],questions[[#This Row],[question]]=INDEX(stable[question],MATCH(questions[[#This Row],[qno]],stable[qno],0)),TRUE)</f>
        <v>1</v>
      </c>
      <c r="AP1515" s="98" t="str">
        <f>LEFT(questions[[#This Row],[question]],similarity_range)</f>
        <v>If you use or do not</v>
      </c>
      <c r="AQ1515" s="98" t="str">
        <f>LEFT(INDEX(stable[question],MATCH(questions[[#This Row],[qno]],stable[qno],0)),similarity_range)</f>
        <v>If you use or do not</v>
      </c>
      <c r="AR1515" s="98" t="b">
        <f>questions[[#This Row],[question_first_characters]]=questions[[#This Row],[stability_first_characters]]</f>
        <v>1</v>
      </c>
      <c r="AS1515" s="98" t="b">
        <f>IF(OR(questions[[#This Row],[is_single_select]],questions[[#This Row],[is_multi_select]]),NOT(ISBLANK(questions[[#This Row],[answer_opt_combined]])),TRUE)</f>
        <v>1</v>
      </c>
    </row>
    <row r="1516" spans="1:45" s="77" customFormat="1" ht="15.75" customHeight="1" x14ac:dyDescent="0.25">
      <c r="A1516" s="77" t="str">
        <f>_xlfn.TEXTJOIN("_",TRUE,questions[[#This Row],[origin]:[qno]])</f>
        <v>Brazil_Arabica_2025_7300</v>
      </c>
      <c r="B1516" s="77" t="s">
        <v>1025</v>
      </c>
      <c r="C1516" s="77" t="s">
        <v>59</v>
      </c>
      <c r="E1516" s="77">
        <v>2025</v>
      </c>
      <c r="F1516" s="107" t="s">
        <v>433</v>
      </c>
      <c r="G1516" s="78" t="s">
        <v>1011</v>
      </c>
      <c r="H1516" s="9" t="str" cm="1">
        <f t="array" ref="H1516">INDEX(stableR[question],MATCH(VALUE(questions[[#This Row],[qno]]),VALUE(stableR[qno]),0))</f>
        <v>Do you irrigate your coffee crop and if yes, what irrigation system/s do you use? If the answer is NO, you do not need to answer the next question</v>
      </c>
      <c r="I1516" s="9" t="b" cm="1">
        <f t="array" ref="I1516">INDEX(stable[is_fixed],MATCH(VALUE(questions[[#This Row],[qno]]),VALUE(stable[qno]),0))</f>
        <v>1</v>
      </c>
      <c r="J1516" s="9" t="b" cm="1">
        <f t="array" ref="J1516">INDEX(stable[is_localized],MATCH(VALUE(questions[[#This Row],[qno]]),VALUE(stable[qno]),0))</f>
        <v>0</v>
      </c>
      <c r="K1516" s="9" t="b" cm="1">
        <f t="array" ref="K1516">INDEX(stable[is_supply_chain_dependent],MATCH(VALUE(questions[[#This Row],[qno]]),VALUE(stable[qno]),0))</f>
        <v>0</v>
      </c>
      <c r="L1516" s="9" t="b" cm="1">
        <f t="array" ref="L1516">INDEX(stable[is_mandatory],MATCH(VALUE(questions[[#This Row],[qno]]),VALUE(stable[qno]),0))</f>
        <v>1</v>
      </c>
      <c r="M1516" s="9" t="b" cm="1">
        <f t="array" ref="M1516">INDEX(stable[is_automated],MATCH(VALUE(questions[[#This Row],[qno]]),VALUE(stable[qno]),0))</f>
        <v>0</v>
      </c>
      <c r="N1516" s="9" t="b" cm="1">
        <f t="array" ref="N1516">INDEX(stable[is_free_text],MATCH(VALUE(questions[[#This Row],[qno]]),VALUE(stable[qno]),0))</f>
        <v>0</v>
      </c>
      <c r="O1516" s="9" t="b" cm="1">
        <f t="array" ref="O1516">INDEX(stable[is_numerical],MATCH(VALUE(questions[[#This Row],[qno]]),VALUE(stable[qno]),0))</f>
        <v>0</v>
      </c>
      <c r="P1516" s="77" t="b" cm="1">
        <f t="array" ref="P1516">INDEX(stable[is_single_select],MATCH(VALUE(questions[[#This Row],[qno]]),VALUE(stable[qno]),0))</f>
        <v>1</v>
      </c>
      <c r="Q1516" s="77" t="b" cm="1">
        <f t="array" ref="Q1516">INDEX(stable[is_multi_select],MATCH(VALUE(questions[[#This Row],[qno]]),VALUE(stable[qno]),0))</f>
        <v>0</v>
      </c>
      <c r="R1516" s="77" t="b" cm="1">
        <f t="array" ref="R1516">INDEX(stable[is_skip_logic],MATCH(VALUE(questions[[#This Row],[qno]]),VALUE(stable[qno]),0))</f>
        <v>0</v>
      </c>
      <c r="S1516" s="77" t="str">
        <f>_xlfn.TEXTJOIN(", ",TRUE,questions[[#This Row],[ans_opt_1]:[ans_opt_14]])</f>
        <v>No, Yes / drip irrigation, Yes / minisprinkler irrigation, Yes / overhead irrigation (sprinklers, pivot, rain gun), Yes / flood-furrow-hose pipe irrigation</v>
      </c>
      <c r="T1516" s="77" t="s">
        <v>119</v>
      </c>
      <c r="U1516" s="77" t="s">
        <v>435</v>
      </c>
      <c r="V1516" s="77" t="s">
        <v>436</v>
      </c>
      <c r="W1516" s="77" t="s">
        <v>437</v>
      </c>
      <c r="X1516" s="77" t="s">
        <v>438</v>
      </c>
      <c r="AH1516" s="98" t="b">
        <f>INDEX(stable[q_standard],MATCH(questions[[#This Row],[qno]],stable[qno],0))</f>
        <v>0</v>
      </c>
      <c r="AI1516" s="98" t="b">
        <f>INDEX(stable[q_living_income],MATCH(questions[[#This Row],[qno]],stable[qno],0))</f>
        <v>0</v>
      </c>
      <c r="AJ1516" s="98" t="b">
        <f>INDEX(stable[q_carbon],MATCH(questions[[#This Row],[qno]],stable[qno],0))</f>
        <v>0</v>
      </c>
      <c r="AK1516" s="98" t="b">
        <f>INDEX(stable[q_regen_ag],MATCH(questions[[#This Row],[qno]],stable[qno],0))</f>
        <v>1</v>
      </c>
      <c r="AL1516" s="98" t="b">
        <f>COUNTIFS(stable[qno],questions[[#This Row],[qno]])=1</f>
        <v>1</v>
      </c>
      <c r="AM1516" s="98" t="b">
        <f>OR(questions[[#This Row],[is_fixed]],questions[[#This Row],[is_localized]],questions[[#This Row],[is_supply_chain_dependent]])</f>
        <v>1</v>
      </c>
      <c r="AN1516" s="98" t="b">
        <f>COUNTIFS(questions[[#This Row],[is_automated]:[is_multi_select]],TRUE)=1</f>
        <v>1</v>
      </c>
      <c r="AO1516" s="98" t="b">
        <f>IF(questions[[#This Row],[is_fixed]],questions[[#This Row],[question]]=INDEX(stable[question],MATCH(questions[[#This Row],[qno]],stable[qno],0)),TRUE)</f>
        <v>1</v>
      </c>
      <c r="AP1516" s="98" t="str">
        <f>LEFT(questions[[#This Row],[question]],similarity_range)</f>
        <v>Do you irrigate your</v>
      </c>
      <c r="AQ1516" s="98" t="str">
        <f>LEFT(INDEX(stable[question],MATCH(questions[[#This Row],[qno]],stable[qno],0)),similarity_range)</f>
        <v>Do you irrigate your</v>
      </c>
      <c r="AR1516" s="98" t="b">
        <f>questions[[#This Row],[question_first_characters]]=questions[[#This Row],[stability_first_characters]]</f>
        <v>1</v>
      </c>
      <c r="AS1516" s="98" t="b">
        <f>IF(OR(questions[[#This Row],[is_single_select]],questions[[#This Row],[is_multi_select]]),NOT(ISBLANK(questions[[#This Row],[answer_opt_combined]])),TRUE)</f>
        <v>1</v>
      </c>
    </row>
    <row r="1517" spans="1:45" s="77" customFormat="1" ht="15.75" customHeight="1" x14ac:dyDescent="0.25">
      <c r="A1517" s="77" t="str">
        <f>_xlfn.TEXTJOIN("_",TRUE,questions[[#This Row],[origin]:[qno]])</f>
        <v>Brazil_Arabica_2025_7301</v>
      </c>
      <c r="B1517" s="77" t="s">
        <v>1025</v>
      </c>
      <c r="C1517" s="77" t="s">
        <v>59</v>
      </c>
      <c r="E1517" s="77">
        <v>2025</v>
      </c>
      <c r="F1517" s="107" t="s">
        <v>439</v>
      </c>
      <c r="G1517" s="78" t="s">
        <v>440</v>
      </c>
      <c r="H1517" s="9" t="str" cm="1">
        <f t="array" ref="H1517">INDEX(stableR[question],MATCH(VALUE(questions[[#This Row],[qno]]),VALUE(stableR[qno]),0))</f>
        <v>Do you have a systems to know when and how much to irrigate and according to the irrigation system (balance sheet with rainfall and evapotranspiration, sensors, irrigation app-software, weather stations...)?</v>
      </c>
      <c r="I1517" s="9" t="b" cm="1">
        <f t="array" ref="I1517">INDEX(stable[is_fixed],MATCH(VALUE(questions[[#This Row],[qno]]),VALUE(stable[qno]),0))</f>
        <v>1</v>
      </c>
      <c r="J1517" s="9" t="b" cm="1">
        <f t="array" ref="J1517">INDEX(stable[is_localized],MATCH(VALUE(questions[[#This Row],[qno]]),VALUE(stable[qno]),0))</f>
        <v>0</v>
      </c>
      <c r="K1517" s="9" t="b" cm="1">
        <f t="array" ref="K1517">INDEX(stable[is_supply_chain_dependent],MATCH(VALUE(questions[[#This Row],[qno]]),VALUE(stable[qno]),0))</f>
        <v>0</v>
      </c>
      <c r="L1517" s="9" t="b" cm="1">
        <f t="array" ref="L1517">INDEX(stable[is_mandatory],MATCH(VALUE(questions[[#This Row],[qno]]),VALUE(stable[qno]),0))</f>
        <v>0</v>
      </c>
      <c r="M1517" s="9" t="b" cm="1">
        <f t="array" ref="M1517">INDEX(stable[is_automated],MATCH(VALUE(questions[[#This Row],[qno]]),VALUE(stable[qno]),0))</f>
        <v>0</v>
      </c>
      <c r="N1517" s="9" t="b" cm="1">
        <f t="array" ref="N1517">INDEX(stable[is_free_text],MATCH(VALUE(questions[[#This Row],[qno]]),VALUE(stable[qno]),0))</f>
        <v>0</v>
      </c>
      <c r="O1517" s="9" t="b" cm="1">
        <f t="array" ref="O1517">INDEX(stable[is_numerical],MATCH(VALUE(questions[[#This Row],[qno]]),VALUE(stable[qno]),0))</f>
        <v>0</v>
      </c>
      <c r="P1517" s="77" t="b" cm="1">
        <f t="array" ref="P1517">INDEX(stable[is_single_select],MATCH(VALUE(questions[[#This Row],[qno]]),VALUE(stable[qno]),0))</f>
        <v>1</v>
      </c>
      <c r="Q1517" s="77" t="b" cm="1">
        <f t="array" ref="Q1517">INDEX(stable[is_multi_select],MATCH(VALUE(questions[[#This Row],[qno]]),VALUE(stable[qno]),0))</f>
        <v>0</v>
      </c>
      <c r="R1517" s="77" t="b" cm="1">
        <f t="array" ref="R1517">INDEX(stable[is_skip_logic],MATCH(VALUE(questions[[#This Row],[qno]]),VALUE(stable[qno]),0))</f>
        <v>0</v>
      </c>
      <c r="S1517" s="77" t="str">
        <f>_xlfn.TEXTJOIN(", ",TRUE,questions[[#This Row],[ans_opt_1]:[ans_opt_14]])</f>
        <v>Yes, No</v>
      </c>
      <c r="T1517" s="77" t="s">
        <v>149</v>
      </c>
      <c r="U1517" s="77" t="s">
        <v>119</v>
      </c>
      <c r="AH1517" s="98" t="b">
        <f>INDEX(stable[q_standard],MATCH(questions[[#This Row],[qno]],stable[qno],0))</f>
        <v>0</v>
      </c>
      <c r="AI1517" s="98" t="b">
        <f>INDEX(stable[q_living_income],MATCH(questions[[#This Row],[qno]],stable[qno],0))</f>
        <v>0</v>
      </c>
      <c r="AJ1517" s="98" t="b">
        <f>INDEX(stable[q_carbon],MATCH(questions[[#This Row],[qno]],stable[qno],0))</f>
        <v>0</v>
      </c>
      <c r="AK1517" s="98" t="b">
        <f>INDEX(stable[q_regen_ag],MATCH(questions[[#This Row],[qno]],stable[qno],0))</f>
        <v>1</v>
      </c>
      <c r="AL1517" s="98" t="b">
        <f>COUNTIFS(stable[qno],questions[[#This Row],[qno]])=1</f>
        <v>1</v>
      </c>
      <c r="AM1517" s="98" t="b">
        <f>OR(questions[[#This Row],[is_fixed]],questions[[#This Row],[is_localized]],questions[[#This Row],[is_supply_chain_dependent]])</f>
        <v>1</v>
      </c>
      <c r="AN1517" s="98" t="b">
        <f>COUNTIFS(questions[[#This Row],[is_automated]:[is_multi_select]],TRUE)=1</f>
        <v>1</v>
      </c>
      <c r="AO1517" s="98" t="b">
        <f>IF(questions[[#This Row],[is_fixed]],questions[[#This Row],[question]]=INDEX(stable[question],MATCH(questions[[#This Row],[qno]],stable[qno],0)),TRUE)</f>
        <v>1</v>
      </c>
      <c r="AP1517" s="98" t="str">
        <f>LEFT(questions[[#This Row],[question]],similarity_range)</f>
        <v>Do you have a system</v>
      </c>
      <c r="AQ1517" s="98" t="str">
        <f>LEFT(INDEX(stable[question],MATCH(questions[[#This Row],[qno]],stable[qno],0)),similarity_range)</f>
        <v>Do you have a system</v>
      </c>
      <c r="AR1517" s="98" t="b">
        <f>questions[[#This Row],[question_first_characters]]=questions[[#This Row],[stability_first_characters]]</f>
        <v>1</v>
      </c>
      <c r="AS1517" s="98" t="b">
        <f>IF(OR(questions[[#This Row],[is_single_select]],questions[[#This Row],[is_multi_select]]),NOT(ISBLANK(questions[[#This Row],[answer_opt_combined]])),TRUE)</f>
        <v>1</v>
      </c>
    </row>
    <row r="1518" spans="1:45" s="77" customFormat="1" ht="44.25" customHeight="1" x14ac:dyDescent="0.25">
      <c r="A1518" s="77" t="str">
        <f>_xlfn.TEXTJOIN("_",TRUE,questions[[#This Row],[origin]:[qno]])</f>
        <v>Brazil_Arabica_2025_7400</v>
      </c>
      <c r="B1518" s="77" t="s">
        <v>1025</v>
      </c>
      <c r="C1518" s="77" t="s">
        <v>59</v>
      </c>
      <c r="E1518" s="77">
        <v>2025</v>
      </c>
      <c r="F1518" s="107" t="s">
        <v>441</v>
      </c>
      <c r="G1518" s="78" t="s">
        <v>1012</v>
      </c>
      <c r="H1518" s="9" t="str" cm="1">
        <f t="array" ref="H1518">INDEX(stableR[question],MATCH(VALUE(questions[[#This Row],[qno]]),VALUE(stableR[qno]),0))</f>
        <v>Are you implementing a plan to renovate/rehabilitate the coffee trees of your coffee plots? e.g. stumping, partial stumping, capping, side pruning, uprooting and replanting, uprooting and planting new trees, or a mix of systems. If the answer is NO, you do not need to answer the next 2 questions</v>
      </c>
      <c r="I1518" s="9" t="b" cm="1">
        <f t="array" ref="I1518">INDEX(stable[is_fixed],MATCH(VALUE(questions[[#This Row],[qno]]),VALUE(stable[qno]),0))</f>
        <v>1</v>
      </c>
      <c r="J1518" s="9" t="b" cm="1">
        <f t="array" ref="J1518">INDEX(stable[is_localized],MATCH(VALUE(questions[[#This Row],[qno]]),VALUE(stable[qno]),0))</f>
        <v>0</v>
      </c>
      <c r="K1518" s="9" t="b" cm="1">
        <f t="array" ref="K1518">INDEX(stable[is_supply_chain_dependent],MATCH(VALUE(questions[[#This Row],[qno]]),VALUE(stable[qno]),0))</f>
        <v>0</v>
      </c>
      <c r="L1518" s="9" t="b" cm="1">
        <f t="array" ref="L1518">INDEX(stable[is_mandatory],MATCH(VALUE(questions[[#This Row],[qno]]),VALUE(stable[qno]),0))</f>
        <v>1</v>
      </c>
      <c r="M1518" s="9" t="b" cm="1">
        <f t="array" ref="M1518">INDEX(stable[is_automated],MATCH(VALUE(questions[[#This Row],[qno]]),VALUE(stable[qno]),0))</f>
        <v>0</v>
      </c>
      <c r="N1518" s="9" t="b" cm="1">
        <f t="array" ref="N1518">INDEX(stable[is_free_text],MATCH(VALUE(questions[[#This Row],[qno]]),VALUE(stable[qno]),0))</f>
        <v>0</v>
      </c>
      <c r="O1518" s="9" t="b" cm="1">
        <f t="array" ref="O1518">INDEX(stable[is_numerical],MATCH(VALUE(questions[[#This Row],[qno]]),VALUE(stable[qno]),0))</f>
        <v>0</v>
      </c>
      <c r="P1518" s="77" t="b" cm="1">
        <f t="array" ref="P1518">INDEX(stable[is_single_select],MATCH(VALUE(questions[[#This Row],[qno]]),VALUE(stable[qno]),0))</f>
        <v>1</v>
      </c>
      <c r="Q1518" s="77" t="b" cm="1">
        <f t="array" ref="Q1518">INDEX(stable[is_multi_select],MATCH(VALUE(questions[[#This Row],[qno]]),VALUE(stable[qno]),0))</f>
        <v>0</v>
      </c>
      <c r="R1518" s="77" t="b" cm="1">
        <f t="array" ref="R1518">INDEX(stable[is_skip_logic],MATCH(VALUE(questions[[#This Row],[qno]]),VALUE(stable[qno]),0))</f>
        <v>1</v>
      </c>
      <c r="S1518" s="77" t="str">
        <f>_xlfn.TEXTJOIN(", ",TRUE,questions[[#This Row],[ans_opt_1]:[ans_opt_14]])</f>
        <v>Yes, No</v>
      </c>
      <c r="T1518" s="77" t="s">
        <v>149</v>
      </c>
      <c r="U1518" s="77" t="s">
        <v>119</v>
      </c>
      <c r="AH1518" s="98" t="b">
        <f>INDEX(stable[q_standard],MATCH(questions[[#This Row],[qno]],stable[qno],0))</f>
        <v>0</v>
      </c>
      <c r="AI1518" s="98" t="b">
        <f>INDEX(stable[q_living_income],MATCH(questions[[#This Row],[qno]],stable[qno],0))</f>
        <v>0</v>
      </c>
      <c r="AJ1518" s="98" t="b">
        <f>INDEX(stable[q_carbon],MATCH(questions[[#This Row],[qno]],stable[qno],0))</f>
        <v>0</v>
      </c>
      <c r="AK1518" s="98" t="b">
        <f>INDEX(stable[q_regen_ag],MATCH(questions[[#This Row],[qno]],stable[qno],0))</f>
        <v>1</v>
      </c>
      <c r="AL1518" s="98" t="b">
        <f>COUNTIFS(stable[qno],questions[[#This Row],[qno]])=1</f>
        <v>1</v>
      </c>
      <c r="AM1518" s="98" t="b">
        <f>OR(questions[[#This Row],[is_fixed]],questions[[#This Row],[is_localized]],questions[[#This Row],[is_supply_chain_dependent]])</f>
        <v>1</v>
      </c>
      <c r="AN1518" s="98" t="b">
        <f>COUNTIFS(questions[[#This Row],[is_automated]:[is_multi_select]],TRUE)=1</f>
        <v>1</v>
      </c>
      <c r="AO1518" s="98" t="b">
        <f>IF(questions[[#This Row],[is_fixed]],questions[[#This Row],[question]]=INDEX(stable[question],MATCH(questions[[#This Row],[qno]],stable[qno],0)),TRUE)</f>
        <v>1</v>
      </c>
      <c r="AP1518" s="98" t="str">
        <f>LEFT(questions[[#This Row],[question]],similarity_range)</f>
        <v>Are you implementing</v>
      </c>
      <c r="AQ1518" s="98" t="str">
        <f>LEFT(INDEX(stable[question],MATCH(questions[[#This Row],[qno]],stable[qno],0)),similarity_range)</f>
        <v>Are you implementing</v>
      </c>
      <c r="AR1518" s="98" t="b">
        <f>questions[[#This Row],[question_first_characters]]=questions[[#This Row],[stability_first_characters]]</f>
        <v>1</v>
      </c>
      <c r="AS1518" s="98" t="b">
        <f>IF(OR(questions[[#This Row],[is_single_select]],questions[[#This Row],[is_multi_select]]),NOT(ISBLANK(questions[[#This Row],[answer_opt_combined]])),TRUE)</f>
        <v>1</v>
      </c>
    </row>
    <row r="1519" spans="1:45" s="77" customFormat="1" ht="15.75" customHeight="1" x14ac:dyDescent="0.25">
      <c r="A1519" s="77" t="str">
        <f>_xlfn.TEXTJOIN("_",TRUE,questions[[#This Row],[origin]:[qno]])</f>
        <v>Brazil_Arabica_2025_7401</v>
      </c>
      <c r="B1519" s="77" t="s">
        <v>1025</v>
      </c>
      <c r="C1519" s="77" t="s">
        <v>59</v>
      </c>
      <c r="E1519" s="77">
        <v>2025</v>
      </c>
      <c r="F1519" s="107" t="s">
        <v>443</v>
      </c>
      <c r="G1519" s="78" t="s">
        <v>444</v>
      </c>
      <c r="H1519" s="9" t="str" cm="1">
        <f t="array" ref="H1519">INDEX(stableR[question],MATCH(VALUE(questions[[#This Row],[qno]]),VALUE(stableR[qno]),0))</f>
        <v>What % or proportion of trees have you renovated/rehabilitated in last 3 years?</v>
      </c>
      <c r="I1519" s="9" t="b" cm="1">
        <f t="array" ref="I1519">INDEX(stable[is_fixed],MATCH(VALUE(questions[[#This Row],[qno]]),VALUE(stable[qno]),0))</f>
        <v>1</v>
      </c>
      <c r="J1519" s="9" t="b" cm="1">
        <f t="array" ref="J1519">INDEX(stable[is_localized],MATCH(VALUE(questions[[#This Row],[qno]]),VALUE(stable[qno]),0))</f>
        <v>0</v>
      </c>
      <c r="K1519" s="9" t="b" cm="1">
        <f t="array" ref="K1519">INDEX(stable[is_supply_chain_dependent],MATCH(VALUE(questions[[#This Row],[qno]]),VALUE(stable[qno]),0))</f>
        <v>0</v>
      </c>
      <c r="L1519" s="9" t="b" cm="1">
        <f t="array" ref="L1519">INDEX(stable[is_mandatory],MATCH(VALUE(questions[[#This Row],[qno]]),VALUE(stable[qno]),0))</f>
        <v>0</v>
      </c>
      <c r="M1519" s="9" t="b" cm="1">
        <f t="array" ref="M1519">INDEX(stable[is_automated],MATCH(VALUE(questions[[#This Row],[qno]]),VALUE(stable[qno]),0))</f>
        <v>0</v>
      </c>
      <c r="N1519" s="9" t="b" cm="1">
        <f t="array" ref="N1519">INDEX(stable[is_free_text],MATCH(VALUE(questions[[#This Row],[qno]]),VALUE(stable[qno]),0))</f>
        <v>0</v>
      </c>
      <c r="O1519" s="9" t="b" cm="1">
        <f t="array" ref="O1519">INDEX(stable[is_numerical],MATCH(VALUE(questions[[#This Row],[qno]]),VALUE(stable[qno]),0))</f>
        <v>0</v>
      </c>
      <c r="P1519" s="77" t="b" cm="1">
        <f t="array" ref="P1519">INDEX(stable[is_single_select],MATCH(VALUE(questions[[#This Row],[qno]]),VALUE(stable[qno]),0))</f>
        <v>1</v>
      </c>
      <c r="Q1519" s="77" t="b" cm="1">
        <f t="array" ref="Q1519">INDEX(stable[is_multi_select],MATCH(VALUE(questions[[#This Row],[qno]]),VALUE(stable[qno]),0))</f>
        <v>0</v>
      </c>
      <c r="R1519" s="77" t="b" cm="1">
        <f t="array" ref="R1519">INDEX(stable[is_skip_logic],MATCH(VALUE(questions[[#This Row],[qno]]),VALUE(stable[qno]),0))</f>
        <v>1</v>
      </c>
      <c r="S1519" s="77" t="str">
        <f>_xlfn.TEXTJOIN(", ",TRUE,questions[[#This Row],[ans_opt_1]:[ans_opt_14]])</f>
        <v>1% to 10% - very little, 11% to 20% - little, 21% to 50% - less than half, 51% to 75% - more than half, 76% to 100% - almost all</v>
      </c>
      <c r="T1519" s="77" t="s">
        <v>421</v>
      </c>
      <c r="U1519" s="77" t="s">
        <v>422</v>
      </c>
      <c r="V1519" s="77" t="s">
        <v>423</v>
      </c>
      <c r="W1519" s="77" t="s">
        <v>340</v>
      </c>
      <c r="X1519" s="77" t="s">
        <v>341</v>
      </c>
      <c r="AH1519" s="98" t="b">
        <f>INDEX(stable[q_standard],MATCH(questions[[#This Row],[qno]],stable[qno],0))</f>
        <v>0</v>
      </c>
      <c r="AI1519" s="98" t="b">
        <f>INDEX(stable[q_living_income],MATCH(questions[[#This Row],[qno]],stable[qno],0))</f>
        <v>0</v>
      </c>
      <c r="AJ1519" s="98" t="b">
        <f>INDEX(stable[q_carbon],MATCH(questions[[#This Row],[qno]],stable[qno],0))</f>
        <v>0</v>
      </c>
      <c r="AK1519" s="98" t="b">
        <f>INDEX(stable[q_regen_ag],MATCH(questions[[#This Row],[qno]],stable[qno],0))</f>
        <v>1</v>
      </c>
      <c r="AL1519" s="98" t="b">
        <f>COUNTIFS(stable[qno],questions[[#This Row],[qno]])=1</f>
        <v>1</v>
      </c>
      <c r="AM1519" s="98" t="b">
        <f>OR(questions[[#This Row],[is_fixed]],questions[[#This Row],[is_localized]],questions[[#This Row],[is_supply_chain_dependent]])</f>
        <v>1</v>
      </c>
      <c r="AN1519" s="98" t="b">
        <f>COUNTIFS(questions[[#This Row],[is_automated]:[is_multi_select]],TRUE)=1</f>
        <v>1</v>
      </c>
      <c r="AO1519" s="98" t="b">
        <f>IF(questions[[#This Row],[is_fixed]],questions[[#This Row],[question]]=INDEX(stable[question],MATCH(questions[[#This Row],[qno]],stable[qno],0)),TRUE)</f>
        <v>1</v>
      </c>
      <c r="AP1519" s="98" t="str">
        <f>LEFT(questions[[#This Row],[question]],similarity_range)</f>
        <v>What % or proportion</v>
      </c>
      <c r="AQ1519" s="98" t="str">
        <f>LEFT(INDEX(stable[question],MATCH(questions[[#This Row],[qno]],stable[qno],0)),similarity_range)</f>
        <v>What % or proportion</v>
      </c>
      <c r="AR1519" s="98" t="b">
        <f>questions[[#This Row],[question_first_characters]]=questions[[#This Row],[stability_first_characters]]</f>
        <v>1</v>
      </c>
      <c r="AS1519" s="98" t="b">
        <f>IF(OR(questions[[#This Row],[is_single_select]],questions[[#This Row],[is_multi_select]]),NOT(ISBLANK(questions[[#This Row],[answer_opt_combined]])),TRUE)</f>
        <v>1</v>
      </c>
    </row>
    <row r="1520" spans="1:45" s="77" customFormat="1" ht="15.75" customHeight="1" x14ac:dyDescent="0.25">
      <c r="A1520" s="77" t="str">
        <f>_xlfn.TEXTJOIN("_",TRUE,questions[[#This Row],[origin]:[qno]])</f>
        <v>Brazil_Arabica_2025_7402</v>
      </c>
      <c r="B1520" s="77" t="s">
        <v>1025</v>
      </c>
      <c r="C1520" s="77" t="s">
        <v>59</v>
      </c>
      <c r="E1520" s="77">
        <v>2025</v>
      </c>
      <c r="F1520" s="107" t="s">
        <v>445</v>
      </c>
      <c r="G1520" s="78" t="s">
        <v>446</v>
      </c>
      <c r="H1520" s="9" t="str" cm="1">
        <f t="array" ref="H1520">INDEX(stableR[question],MATCH(VALUE(questions[[#This Row],[qno]]),VALUE(stableR[qno]),0))</f>
        <v>What is the main renovation-rehabilitation systems do you use to renovate/rehabilitate (e.g. full stumping, partial stumping, capping, side pruning, uprooting and planting new trees)?</v>
      </c>
      <c r="I1520" s="9" t="b" cm="1">
        <f t="array" ref="I1520">INDEX(stable[is_fixed],MATCH(VALUE(questions[[#This Row],[qno]]),VALUE(stable[qno]),0))</f>
        <v>1</v>
      </c>
      <c r="J1520" s="9" t="b" cm="1">
        <f t="array" ref="J1520">INDEX(stable[is_localized],MATCH(VALUE(questions[[#This Row],[qno]]),VALUE(stable[qno]),0))</f>
        <v>0</v>
      </c>
      <c r="K1520" s="9" t="b" cm="1">
        <f t="array" ref="K1520">INDEX(stable[is_supply_chain_dependent],MATCH(VALUE(questions[[#This Row],[qno]]),VALUE(stable[qno]),0))</f>
        <v>0</v>
      </c>
      <c r="L1520" s="9" t="b" cm="1">
        <f t="array" ref="L1520">INDEX(stable[is_mandatory],MATCH(VALUE(questions[[#This Row],[qno]]),VALUE(stable[qno]),0))</f>
        <v>0</v>
      </c>
      <c r="M1520" s="9" t="b" cm="1">
        <f t="array" ref="M1520">INDEX(stable[is_automated],MATCH(VALUE(questions[[#This Row],[qno]]),VALUE(stable[qno]),0))</f>
        <v>0</v>
      </c>
      <c r="N1520" s="9" t="b" cm="1">
        <f t="array" ref="N1520">INDEX(stable[is_free_text],MATCH(VALUE(questions[[#This Row],[qno]]),VALUE(stable[qno]),0))</f>
        <v>0</v>
      </c>
      <c r="O1520" s="9" t="b" cm="1">
        <f t="array" ref="O1520">INDEX(stable[is_numerical],MATCH(VALUE(questions[[#This Row],[qno]]),VALUE(stable[qno]),0))</f>
        <v>0</v>
      </c>
      <c r="P1520" s="77" t="b" cm="1">
        <f t="array" ref="P1520">INDEX(stable[is_single_select],MATCH(VALUE(questions[[#This Row],[qno]]),VALUE(stable[qno]),0))</f>
        <v>1</v>
      </c>
      <c r="Q1520" s="77" t="b" cm="1">
        <f t="array" ref="Q1520">INDEX(stable[is_multi_select],MATCH(VALUE(questions[[#This Row],[qno]]),VALUE(stable[qno]),0))</f>
        <v>0</v>
      </c>
      <c r="R1520" s="77" t="b" cm="1">
        <f t="array" ref="R1520">INDEX(stable[is_skip_logic],MATCH(VALUE(questions[[#This Row],[qno]]),VALUE(stable[qno]),0))</f>
        <v>1</v>
      </c>
      <c r="S1520" s="77" t="str">
        <f>_xlfn.TEXTJOIN(", ",TRUE,questions[[#This Row],[ans_opt_1]:[ans_opt_14]])</f>
        <v>full stumping, partial stumping, capping, side pruning, capping and side prunning, uprooting and planting new trees</v>
      </c>
      <c r="T1520" s="77" t="s">
        <v>447</v>
      </c>
      <c r="U1520" s="77" t="s">
        <v>448</v>
      </c>
      <c r="V1520" s="77" t="s">
        <v>449</v>
      </c>
      <c r="W1520" s="77" t="s">
        <v>450</v>
      </c>
      <c r="X1520" s="77" t="s">
        <v>451</v>
      </c>
      <c r="Y1520" s="121" t="s">
        <v>452</v>
      </c>
      <c r="AH1520" s="98" t="b">
        <f>INDEX(stable[q_standard],MATCH(questions[[#This Row],[qno]],stable[qno],0))</f>
        <v>0</v>
      </c>
      <c r="AI1520" s="98" t="b">
        <f>INDEX(stable[q_living_income],MATCH(questions[[#This Row],[qno]],stable[qno],0))</f>
        <v>0</v>
      </c>
      <c r="AJ1520" s="98" t="b">
        <f>INDEX(stable[q_carbon],MATCH(questions[[#This Row],[qno]],stable[qno],0))</f>
        <v>0</v>
      </c>
      <c r="AK1520" s="98" t="b">
        <f>INDEX(stable[q_regen_ag],MATCH(questions[[#This Row],[qno]],stable[qno],0))</f>
        <v>1</v>
      </c>
      <c r="AL1520" s="98" t="b">
        <f>COUNTIFS(stable[qno],questions[[#This Row],[qno]])=1</f>
        <v>1</v>
      </c>
      <c r="AM1520" s="98" t="b">
        <f>OR(questions[[#This Row],[is_fixed]],questions[[#This Row],[is_localized]],questions[[#This Row],[is_supply_chain_dependent]])</f>
        <v>1</v>
      </c>
      <c r="AN1520" s="98" t="b">
        <f>COUNTIFS(questions[[#This Row],[is_automated]:[is_multi_select]],TRUE)=1</f>
        <v>1</v>
      </c>
      <c r="AO1520" s="98" t="b">
        <f>IF(questions[[#This Row],[is_fixed]],questions[[#This Row],[question]]=INDEX(stable[question],MATCH(questions[[#This Row],[qno]],stable[qno],0)),TRUE)</f>
        <v>1</v>
      </c>
      <c r="AP1520" s="98" t="str">
        <f>LEFT(questions[[#This Row],[question]],similarity_range)</f>
        <v>What is the main ren</v>
      </c>
      <c r="AQ1520" s="98" t="str">
        <f>LEFT(INDEX(stable[question],MATCH(questions[[#This Row],[qno]],stable[qno],0)),similarity_range)</f>
        <v>What is the main ren</v>
      </c>
      <c r="AR1520" s="98" t="b">
        <f>questions[[#This Row],[question_first_characters]]=questions[[#This Row],[stability_first_characters]]</f>
        <v>1</v>
      </c>
      <c r="AS1520" s="98" t="b">
        <f>IF(OR(questions[[#This Row],[is_single_select]],questions[[#This Row],[is_multi_select]]),NOT(ISBLANK(questions[[#This Row],[answer_opt_combined]])),TRUE)</f>
        <v>1</v>
      </c>
    </row>
    <row r="1521" spans="1:45" s="77" customFormat="1" ht="15.75" customHeight="1" x14ac:dyDescent="0.25">
      <c r="A1521" s="77" t="str">
        <f>_xlfn.TEXTJOIN("_",TRUE,questions[[#This Row],[origin]:[qno]])</f>
        <v>Brazil_Arabica_2025_7410</v>
      </c>
      <c r="B1521" s="77" t="s">
        <v>1025</v>
      </c>
      <c r="C1521" s="77" t="s">
        <v>59</v>
      </c>
      <c r="E1521" s="77">
        <v>2025</v>
      </c>
      <c r="F1521" s="107" t="s">
        <v>453</v>
      </c>
      <c r="G1521" s="78" t="s">
        <v>454</v>
      </c>
      <c r="H1521" s="9" t="str" cm="1">
        <f t="array" ref="H1521">INDEX(stableR[question],MATCH(VALUE(questions[[#This Row],[qno]]),VALUE(stableR[qno]),0))</f>
        <v>How many coffee varieties do you grow in your coffee plots?</v>
      </c>
      <c r="I1521" s="9" t="b" cm="1">
        <f t="array" ref="I1521">INDEX(stable[is_fixed],MATCH(VALUE(questions[[#This Row],[qno]]),VALUE(stable[qno]),0))</f>
        <v>1</v>
      </c>
      <c r="J1521" s="9" t="b" cm="1">
        <f t="array" ref="J1521">INDEX(stable[is_localized],MATCH(VALUE(questions[[#This Row],[qno]]),VALUE(stable[qno]),0))</f>
        <v>0</v>
      </c>
      <c r="K1521" s="9" t="b" cm="1">
        <f t="array" ref="K1521">INDEX(stable[is_supply_chain_dependent],MATCH(VALUE(questions[[#This Row],[qno]]),VALUE(stable[qno]),0))</f>
        <v>0</v>
      </c>
      <c r="L1521" s="9" t="b" cm="1">
        <f t="array" ref="L1521">INDEX(stable[is_mandatory],MATCH(VALUE(questions[[#This Row],[qno]]),VALUE(stable[qno]),0))</f>
        <v>1</v>
      </c>
      <c r="M1521" s="9" t="b" cm="1">
        <f t="array" ref="M1521">INDEX(stable[is_automated],MATCH(VALUE(questions[[#This Row],[qno]]),VALUE(stable[qno]),0))</f>
        <v>0</v>
      </c>
      <c r="N1521" s="9" t="b" cm="1">
        <f t="array" ref="N1521">INDEX(stable[is_free_text],MATCH(VALUE(questions[[#This Row],[qno]]),VALUE(stable[qno]),0))</f>
        <v>0</v>
      </c>
      <c r="O1521" s="9" t="b" cm="1">
        <f t="array" ref="O1521">INDEX(stable[is_numerical],MATCH(VALUE(questions[[#This Row],[qno]]),VALUE(stable[qno]),0))</f>
        <v>0</v>
      </c>
      <c r="P1521" s="77" t="b" cm="1">
        <f t="array" ref="P1521">INDEX(stable[is_single_select],MATCH(VALUE(questions[[#This Row],[qno]]),VALUE(stable[qno]),0))</f>
        <v>1</v>
      </c>
      <c r="Q1521" s="77" t="b" cm="1">
        <f t="array" ref="Q1521">INDEX(stable[is_multi_select],MATCH(VALUE(questions[[#This Row],[qno]]),VALUE(stable[qno]),0))</f>
        <v>0</v>
      </c>
      <c r="R1521" s="77" t="b" cm="1">
        <f t="array" ref="R1521">INDEX(stable[is_skip_logic],MATCH(VALUE(questions[[#This Row],[qno]]),VALUE(stable[qno]),0))</f>
        <v>1</v>
      </c>
      <c r="S1521" s="77" t="str">
        <f>_xlfn.TEXTJOIN(", ",TRUE,questions[[#This Row],[ans_opt_1]:[ans_opt_14]])</f>
        <v>1, 2, 3, 4, 5, &gt;5</v>
      </c>
      <c r="T1521" s="77">
        <v>1</v>
      </c>
      <c r="U1521" s="77">
        <v>2</v>
      </c>
      <c r="V1521" s="77">
        <v>3</v>
      </c>
      <c r="W1521" s="77">
        <v>4</v>
      </c>
      <c r="X1521" s="77">
        <v>5</v>
      </c>
      <c r="Y1521" s="77" t="s">
        <v>404</v>
      </c>
      <c r="AH1521" s="98" t="b">
        <f>INDEX(stable[q_standard],MATCH(questions[[#This Row],[qno]],stable[qno],0))</f>
        <v>0</v>
      </c>
      <c r="AI1521" s="98" t="b">
        <f>INDEX(stable[q_living_income],MATCH(questions[[#This Row],[qno]],stable[qno],0))</f>
        <v>0</v>
      </c>
      <c r="AJ1521" s="98" t="b">
        <f>INDEX(stable[q_carbon],MATCH(questions[[#This Row],[qno]],stable[qno],0))</f>
        <v>0</v>
      </c>
      <c r="AK1521" s="98" t="b">
        <f>INDEX(stable[q_regen_ag],MATCH(questions[[#This Row],[qno]],stable[qno],0))</f>
        <v>1</v>
      </c>
      <c r="AL1521" s="98" t="b">
        <f>COUNTIFS(stable[qno],questions[[#This Row],[qno]])=1</f>
        <v>1</v>
      </c>
      <c r="AM1521" s="98" t="b">
        <f>OR(questions[[#This Row],[is_fixed]],questions[[#This Row],[is_localized]],questions[[#This Row],[is_supply_chain_dependent]])</f>
        <v>1</v>
      </c>
      <c r="AN1521" s="98" t="b">
        <f>COUNTIFS(questions[[#This Row],[is_automated]:[is_multi_select]],TRUE)=1</f>
        <v>1</v>
      </c>
      <c r="AO1521" s="98" t="b">
        <f>IF(questions[[#This Row],[is_fixed]],questions[[#This Row],[question]]=INDEX(stable[question],MATCH(questions[[#This Row],[qno]],stable[qno],0)),TRUE)</f>
        <v>1</v>
      </c>
      <c r="AP1521" s="98" t="str">
        <f>LEFT(questions[[#This Row],[question]],similarity_range)</f>
        <v>How many coffee vari</v>
      </c>
      <c r="AQ1521" s="98" t="str">
        <f>LEFT(INDEX(stable[question],MATCH(questions[[#This Row],[qno]],stable[qno],0)),similarity_range)</f>
        <v>How many coffee vari</v>
      </c>
      <c r="AR1521" s="98" t="b">
        <f>questions[[#This Row],[question_first_characters]]=questions[[#This Row],[stability_first_characters]]</f>
        <v>1</v>
      </c>
      <c r="AS1521" s="98" t="b">
        <f>IF(OR(questions[[#This Row],[is_single_select]],questions[[#This Row],[is_multi_select]]),NOT(ISBLANK(questions[[#This Row],[answer_opt_combined]])),TRUE)</f>
        <v>1</v>
      </c>
    </row>
    <row r="1522" spans="1:45" s="77" customFormat="1" ht="15.75" customHeight="1" x14ac:dyDescent="0.25">
      <c r="A1522" s="77" t="str">
        <f>_xlfn.TEXTJOIN("_",TRUE,questions[[#This Row],[origin]:[qno]])</f>
        <v>Brazil_Arabica_2025_7411</v>
      </c>
      <c r="B1522" s="77" t="s">
        <v>1025</v>
      </c>
      <c r="C1522" s="77" t="s">
        <v>59</v>
      </c>
      <c r="E1522" s="77">
        <v>2025</v>
      </c>
      <c r="F1522" s="107" t="s">
        <v>455</v>
      </c>
      <c r="G1522" s="78" t="s">
        <v>1024</v>
      </c>
      <c r="H1522" s="9" t="str" cm="1">
        <f t="array" ref="H1522">INDEX(stableR[question],MATCH(VALUE(questions[[#This Row],[qno]]),VALUE(stableR[qno]),0))</f>
        <v>What % or proportion over the total number of trees of the cultivated area is planted with the main variety?</v>
      </c>
      <c r="I1522" s="9" t="b" cm="1">
        <f t="array" ref="I1522">INDEX(stable[is_fixed],MATCH(VALUE(questions[[#This Row],[qno]]),VALUE(stable[qno]),0))</f>
        <v>1</v>
      </c>
      <c r="J1522" s="9" t="b" cm="1">
        <f t="array" ref="J1522">INDEX(stable[is_localized],MATCH(VALUE(questions[[#This Row],[qno]]),VALUE(stable[qno]),0))</f>
        <v>0</v>
      </c>
      <c r="K1522" s="9" t="b" cm="1">
        <f t="array" ref="K1522">INDEX(stable[is_supply_chain_dependent],MATCH(VALUE(questions[[#This Row],[qno]]),VALUE(stable[qno]),0))</f>
        <v>0</v>
      </c>
      <c r="L1522" s="9" t="b" cm="1">
        <f t="array" ref="L1522">INDEX(stable[is_mandatory],MATCH(VALUE(questions[[#This Row],[qno]]),VALUE(stable[qno]),0))</f>
        <v>1</v>
      </c>
      <c r="M1522" s="9" t="b" cm="1">
        <f t="array" ref="M1522">INDEX(stable[is_automated],MATCH(VALUE(questions[[#This Row],[qno]]),VALUE(stable[qno]),0))</f>
        <v>0</v>
      </c>
      <c r="N1522" s="9" t="b" cm="1">
        <f t="array" ref="N1522">INDEX(stable[is_free_text],MATCH(VALUE(questions[[#This Row],[qno]]),VALUE(stable[qno]),0))</f>
        <v>0</v>
      </c>
      <c r="O1522" s="9" t="b" cm="1">
        <f t="array" ref="O1522">INDEX(stable[is_numerical],MATCH(VALUE(questions[[#This Row],[qno]]),VALUE(stable[qno]),0))</f>
        <v>0</v>
      </c>
      <c r="P1522" s="77" t="b" cm="1">
        <f t="array" ref="P1522">INDEX(stable[is_single_select],MATCH(VALUE(questions[[#This Row],[qno]]),VALUE(stable[qno]),0))</f>
        <v>1</v>
      </c>
      <c r="Q1522" s="77" t="b" cm="1">
        <f t="array" ref="Q1522">INDEX(stable[is_multi_select],MATCH(VALUE(questions[[#This Row],[qno]]),VALUE(stable[qno]),0))</f>
        <v>0</v>
      </c>
      <c r="R1522" s="77" t="b" cm="1">
        <f t="array" ref="R1522">INDEX(stable[is_skip_logic],MATCH(VALUE(questions[[#This Row],[qno]]),VALUE(stable[qno]),0))</f>
        <v>1</v>
      </c>
      <c r="S1522" s="77" t="str">
        <f>_xlfn.TEXTJOIN(", ",TRUE,questions[[#This Row],[ans_opt_1]:[ans_opt_14]])</f>
        <v>1% to 25% - little to a quarter, 26% to 50% - less than half, 51% to 75% - more than half, 76% to 100% - almost all</v>
      </c>
      <c r="T1522" s="77" t="s">
        <v>338</v>
      </c>
      <c r="U1522" s="77" t="s">
        <v>339</v>
      </c>
      <c r="V1522" s="77" t="s">
        <v>340</v>
      </c>
      <c r="W1522" s="77" t="s">
        <v>341</v>
      </c>
      <c r="AH1522" s="98" t="b">
        <f>INDEX(stable[q_standard],MATCH(questions[[#This Row],[qno]],stable[qno],0))</f>
        <v>0</v>
      </c>
      <c r="AI1522" s="98" t="b">
        <f>INDEX(stable[q_living_income],MATCH(questions[[#This Row],[qno]],stable[qno],0))</f>
        <v>0</v>
      </c>
      <c r="AJ1522" s="98" t="b">
        <f>INDEX(stable[q_carbon],MATCH(questions[[#This Row],[qno]],stable[qno],0))</f>
        <v>0</v>
      </c>
      <c r="AK1522" s="98" t="b">
        <f>INDEX(stable[q_regen_ag],MATCH(questions[[#This Row],[qno]],stable[qno],0))</f>
        <v>1</v>
      </c>
      <c r="AL1522" s="98" t="b">
        <f>COUNTIFS(stable[qno],questions[[#This Row],[qno]])=1</f>
        <v>1</v>
      </c>
      <c r="AM1522" s="98" t="b">
        <f>OR(questions[[#This Row],[is_fixed]],questions[[#This Row],[is_localized]],questions[[#This Row],[is_supply_chain_dependent]])</f>
        <v>1</v>
      </c>
      <c r="AN1522" s="98" t="b">
        <f>COUNTIFS(questions[[#This Row],[is_automated]:[is_multi_select]],TRUE)=1</f>
        <v>1</v>
      </c>
      <c r="AO1522" s="98" t="b">
        <f>IF(questions[[#This Row],[is_fixed]],questions[[#This Row],[question]]=INDEX(stable[question],MATCH(questions[[#This Row],[qno]],stable[qno],0)),TRUE)</f>
        <v>1</v>
      </c>
      <c r="AP1522" s="98" t="str">
        <f>LEFT(questions[[#This Row],[question]],similarity_range)</f>
        <v>What % or proportion</v>
      </c>
      <c r="AQ1522" s="98" t="str">
        <f>LEFT(INDEX(stable[question],MATCH(questions[[#This Row],[qno]],stable[qno],0)),similarity_range)</f>
        <v>What % or proportion</v>
      </c>
      <c r="AR1522" s="98" t="b">
        <f>questions[[#This Row],[question_first_characters]]=questions[[#This Row],[stability_first_characters]]</f>
        <v>1</v>
      </c>
      <c r="AS1522" s="98" t="b">
        <f>IF(OR(questions[[#This Row],[is_single_select]],questions[[#This Row],[is_multi_select]]),NOT(ISBLANK(questions[[#This Row],[answer_opt_combined]])),TRUE)</f>
        <v>1</v>
      </c>
    </row>
    <row r="1523" spans="1:45" s="77" customFormat="1" ht="15.75" customHeight="1" x14ac:dyDescent="0.25">
      <c r="A1523" s="77" t="str">
        <f>_xlfn.TEXTJOIN("_",TRUE,questions[[#This Row],[origin]:[qno]])</f>
        <v>Brazil_Arabica_2025_7412</v>
      </c>
      <c r="B1523" s="77" t="s">
        <v>1025</v>
      </c>
      <c r="C1523" s="77" t="s">
        <v>59</v>
      </c>
      <c r="E1523" s="77">
        <v>2025</v>
      </c>
      <c r="F1523" s="107" t="s">
        <v>457</v>
      </c>
      <c r="G1523" s="78" t="s">
        <v>458</v>
      </c>
      <c r="H1523" s="9" t="str" cm="1">
        <f t="array" ref="H1523">INDEX(stableR[question],MATCH(VALUE(questions[[#This Row],[qno]]),VALUE(stableR[qno]),0))</f>
        <v>If you grow only one variety, how many years ago was this variety planted?</v>
      </c>
      <c r="I1523" s="9" t="b" cm="1">
        <f t="array" ref="I1523">INDEX(stable[is_fixed],MATCH(VALUE(questions[[#This Row],[qno]]),VALUE(stable[qno]),0))</f>
        <v>1</v>
      </c>
      <c r="J1523" s="9" t="b" cm="1">
        <f t="array" ref="J1523">INDEX(stable[is_localized],MATCH(VALUE(questions[[#This Row],[qno]]),VALUE(stable[qno]),0))</f>
        <v>0</v>
      </c>
      <c r="K1523" s="9" t="b" cm="1">
        <f t="array" ref="K1523">INDEX(stable[is_supply_chain_dependent],MATCH(VALUE(questions[[#This Row],[qno]]),VALUE(stable[qno]),0))</f>
        <v>0</v>
      </c>
      <c r="L1523" s="9" t="b" cm="1">
        <f t="array" ref="L1523">INDEX(stable[is_mandatory],MATCH(VALUE(questions[[#This Row],[qno]]),VALUE(stable[qno]),0))</f>
        <v>0</v>
      </c>
      <c r="M1523" s="9" t="b" cm="1">
        <f t="array" ref="M1523">INDEX(stable[is_automated],MATCH(VALUE(questions[[#This Row],[qno]]),VALUE(stable[qno]),0))</f>
        <v>0</v>
      </c>
      <c r="N1523" s="9" t="b" cm="1">
        <f t="array" ref="N1523">INDEX(stable[is_free_text],MATCH(VALUE(questions[[#This Row],[qno]]),VALUE(stable[qno]),0))</f>
        <v>0</v>
      </c>
      <c r="O1523" s="9" t="b" cm="1">
        <f t="array" ref="O1523">INDEX(stable[is_numerical],MATCH(VALUE(questions[[#This Row],[qno]]),VALUE(stable[qno]),0))</f>
        <v>0</v>
      </c>
      <c r="P1523" s="77" t="b" cm="1">
        <f t="array" ref="P1523">INDEX(stable[is_single_select],MATCH(VALUE(questions[[#This Row],[qno]]),VALUE(stable[qno]),0))</f>
        <v>1</v>
      </c>
      <c r="Q1523" s="77" t="b" cm="1">
        <f t="array" ref="Q1523">INDEX(stable[is_multi_select],MATCH(VALUE(questions[[#This Row],[qno]]),VALUE(stable[qno]),0))</f>
        <v>0</v>
      </c>
      <c r="R1523" s="77" t="b" cm="1">
        <f t="array" ref="R1523">INDEX(stable[is_skip_logic],MATCH(VALUE(questions[[#This Row],[qno]]),VALUE(stable[qno]),0))</f>
        <v>1</v>
      </c>
      <c r="S1523" s="77" t="str">
        <f>_xlfn.TEXTJOIN(", ",TRUE,questions[[#This Row],[ans_opt_1]:[ans_opt_14]])</f>
        <v>1-5 years, 6-10 years, 11-15 years, 15-20 years, 20-30 years, &gt;30 years</v>
      </c>
      <c r="T1523" s="77" t="s">
        <v>459</v>
      </c>
      <c r="U1523" s="77" t="s">
        <v>460</v>
      </c>
      <c r="V1523" s="77" t="s">
        <v>461</v>
      </c>
      <c r="W1523" s="77" t="s">
        <v>462</v>
      </c>
      <c r="X1523" s="77" t="s">
        <v>463</v>
      </c>
      <c r="Y1523" s="77" t="s">
        <v>464</v>
      </c>
      <c r="AH1523" s="98" t="b">
        <f>INDEX(stable[q_standard],MATCH(questions[[#This Row],[qno]],stable[qno],0))</f>
        <v>0</v>
      </c>
      <c r="AI1523" s="98" t="b">
        <f>INDEX(stable[q_living_income],MATCH(questions[[#This Row],[qno]],stable[qno],0))</f>
        <v>0</v>
      </c>
      <c r="AJ1523" s="98" t="b">
        <f>INDEX(stable[q_carbon],MATCH(questions[[#This Row],[qno]],stable[qno],0))</f>
        <v>0</v>
      </c>
      <c r="AK1523" s="98" t="b">
        <f>INDEX(stable[q_regen_ag],MATCH(questions[[#This Row],[qno]],stable[qno],0))</f>
        <v>1</v>
      </c>
      <c r="AL1523" s="98" t="b">
        <f>COUNTIFS(stable[qno],questions[[#This Row],[qno]])=1</f>
        <v>1</v>
      </c>
      <c r="AM1523" s="98" t="b">
        <f>OR(questions[[#This Row],[is_fixed]],questions[[#This Row],[is_localized]],questions[[#This Row],[is_supply_chain_dependent]])</f>
        <v>1</v>
      </c>
      <c r="AN1523" s="98" t="b">
        <f>COUNTIFS(questions[[#This Row],[is_automated]:[is_multi_select]],TRUE)=1</f>
        <v>1</v>
      </c>
      <c r="AO1523" s="98" t="b">
        <f>IF(questions[[#This Row],[is_fixed]],questions[[#This Row],[question]]=INDEX(stable[question],MATCH(questions[[#This Row],[qno]],stable[qno],0)),TRUE)</f>
        <v>1</v>
      </c>
      <c r="AP1523" s="98" t="str">
        <f>LEFT(questions[[#This Row],[question]],similarity_range)</f>
        <v>If you grow only one</v>
      </c>
      <c r="AQ1523" s="98" t="str">
        <f>LEFT(INDEX(stable[question],MATCH(questions[[#This Row],[qno]],stable[qno],0)),similarity_range)</f>
        <v>If you grow only one</v>
      </c>
      <c r="AR1523" s="98" t="b">
        <f>questions[[#This Row],[question_first_characters]]=questions[[#This Row],[stability_first_characters]]</f>
        <v>1</v>
      </c>
      <c r="AS1523" s="98" t="b">
        <f>IF(OR(questions[[#This Row],[is_single_select]],questions[[#This Row],[is_multi_select]]),NOT(ISBLANK(questions[[#This Row],[answer_opt_combined]])),TRUE)</f>
        <v>1</v>
      </c>
    </row>
    <row r="1524" spans="1:45" s="77" customFormat="1" ht="15.75" customHeight="1" x14ac:dyDescent="0.25">
      <c r="A1524" s="77" t="str">
        <f>_xlfn.TEXTJOIN("_",TRUE,questions[[#This Row],[origin]:[qno]])</f>
        <v>Brazil_Arabica_2025_7500</v>
      </c>
      <c r="B1524" s="77" t="s">
        <v>1025</v>
      </c>
      <c r="C1524" s="77" t="s">
        <v>59</v>
      </c>
      <c r="E1524" s="77">
        <v>2025</v>
      </c>
      <c r="F1524" s="107" t="s">
        <v>465</v>
      </c>
      <c r="G1524" s="78" t="s">
        <v>1055</v>
      </c>
      <c r="H1524" s="9" t="str" cm="1">
        <f t="array" ref="H1524">INDEX(stableR[question],MATCH(VALUE(questions[[#This Row],[qno]]),VALUE(stableR[qno]),0))</f>
        <v>Do you plant shade trees and/or fruit trees in your coffee plots?</v>
      </c>
      <c r="I1524" s="9" t="b" cm="1">
        <f t="array" ref="I1524">INDEX(stable[is_fixed],MATCH(VALUE(questions[[#This Row],[qno]]),VALUE(stable[qno]),0))</f>
        <v>0</v>
      </c>
      <c r="J1524" s="9" t="b" cm="1">
        <f t="array" ref="J1524">INDEX(stable[is_localized],MATCH(VALUE(questions[[#This Row],[qno]]),VALUE(stable[qno]),0))</f>
        <v>1</v>
      </c>
      <c r="K1524" s="9" t="b" cm="1">
        <f t="array" ref="K1524">INDEX(stable[is_supply_chain_dependent],MATCH(VALUE(questions[[#This Row],[qno]]),VALUE(stable[qno]),0))</f>
        <v>0</v>
      </c>
      <c r="L1524" s="9" t="b" cm="1">
        <f t="array" ref="L1524">INDEX(stable[is_mandatory],MATCH(VALUE(questions[[#This Row],[qno]]),VALUE(stable[qno]),0))</f>
        <v>1</v>
      </c>
      <c r="M1524" s="9" t="b" cm="1">
        <f t="array" ref="M1524">INDEX(stable[is_automated],MATCH(VALUE(questions[[#This Row],[qno]]),VALUE(stable[qno]),0))</f>
        <v>0</v>
      </c>
      <c r="N1524" s="9" t="b" cm="1">
        <f t="array" ref="N1524">INDEX(stable[is_free_text],MATCH(VALUE(questions[[#This Row],[qno]]),VALUE(stable[qno]),0))</f>
        <v>0</v>
      </c>
      <c r="O1524" s="9" t="b" cm="1">
        <f t="array" ref="O1524">INDEX(stable[is_numerical],MATCH(VALUE(questions[[#This Row],[qno]]),VALUE(stable[qno]),0))</f>
        <v>0</v>
      </c>
      <c r="P1524" s="77" t="b" cm="1">
        <f t="array" ref="P1524">INDEX(stable[is_single_select],MATCH(VALUE(questions[[#This Row],[qno]]),VALUE(stable[qno]),0))</f>
        <v>1</v>
      </c>
      <c r="Q1524" s="77" t="b" cm="1">
        <f t="array" ref="Q1524">INDEX(stable[is_multi_select],MATCH(VALUE(questions[[#This Row],[qno]]),VALUE(stable[qno]),0))</f>
        <v>0</v>
      </c>
      <c r="R1524" s="77" t="b" cm="1">
        <f t="array" ref="R1524">INDEX(stable[is_skip_logic],MATCH(VALUE(questions[[#This Row],[qno]]),VALUE(stable[qno]),0))</f>
        <v>1</v>
      </c>
      <c r="S1524" s="77" t="str">
        <f>_xlfn.TEXTJOIN(", ",TRUE,questions[[#This Row],[ans_opt_1]:[ans_opt_14]])</f>
        <v>No, Yes - forest shade trees, Yes - fruit trees, Yes - mix of forest shade trees and fruit trees</v>
      </c>
      <c r="T1524" s="77" t="s">
        <v>119</v>
      </c>
      <c r="U1524" s="77" t="s">
        <v>467</v>
      </c>
      <c r="V1524" s="77" t="s">
        <v>468</v>
      </c>
      <c r="W1524" s="77" t="s">
        <v>469</v>
      </c>
      <c r="AH1524" s="98" t="b">
        <f>INDEX(stable[q_standard],MATCH(questions[[#This Row],[qno]],stable[qno],0))</f>
        <v>0</v>
      </c>
      <c r="AI1524" s="98" t="b">
        <f>INDEX(stable[q_living_income],MATCH(questions[[#This Row],[qno]],stable[qno],0))</f>
        <v>0</v>
      </c>
      <c r="AJ1524" s="98" t="b">
        <f>INDEX(stable[q_carbon],MATCH(questions[[#This Row],[qno]],stable[qno],0))</f>
        <v>0</v>
      </c>
      <c r="AK1524" s="98" t="b">
        <f>INDEX(stable[q_regen_ag],MATCH(questions[[#This Row],[qno]],stable[qno],0))</f>
        <v>1</v>
      </c>
      <c r="AL1524" s="98" t="b">
        <f>COUNTIFS(stable[qno],questions[[#This Row],[qno]])=1</f>
        <v>1</v>
      </c>
      <c r="AM1524" s="98" t="b">
        <f>OR(questions[[#This Row],[is_fixed]],questions[[#This Row],[is_localized]],questions[[#This Row],[is_supply_chain_dependent]])</f>
        <v>1</v>
      </c>
      <c r="AN1524" s="98" t="b">
        <f>COUNTIFS(questions[[#This Row],[is_automated]:[is_multi_select]],TRUE)=1</f>
        <v>1</v>
      </c>
      <c r="AO1524" s="98" t="b">
        <f>IF(questions[[#This Row],[is_fixed]],questions[[#This Row],[question]]=INDEX(stable[question],MATCH(questions[[#This Row],[qno]],stable[qno],0)),TRUE)</f>
        <v>1</v>
      </c>
      <c r="AP1524" s="98" t="str">
        <f>LEFT(questions[[#This Row],[question]],similarity_range)</f>
        <v>Do you plant shade t</v>
      </c>
      <c r="AQ1524" s="98" t="str">
        <f>LEFT(INDEX(stable[question],MATCH(questions[[#This Row],[qno]],stable[qno],0)),similarity_range)</f>
        <v>Do you plant shade t</v>
      </c>
      <c r="AR1524" s="98" t="b">
        <f>questions[[#This Row],[question_first_characters]]=questions[[#This Row],[stability_first_characters]]</f>
        <v>1</v>
      </c>
      <c r="AS1524" s="98" t="b">
        <f>IF(OR(questions[[#This Row],[is_single_select]],questions[[#This Row],[is_multi_select]]),NOT(ISBLANK(questions[[#This Row],[answer_opt_combined]])),TRUE)</f>
        <v>1</v>
      </c>
    </row>
    <row r="1525" spans="1:45" s="77" customFormat="1" ht="15.75" customHeight="1" x14ac:dyDescent="0.25">
      <c r="A1525" s="77" t="str">
        <f>_xlfn.TEXTJOIN("_",TRUE,questions[[#This Row],[origin]:[qno]])</f>
        <v>Brazil_Arabica_2025_7501</v>
      </c>
      <c r="B1525" s="77" t="s">
        <v>1025</v>
      </c>
      <c r="C1525" s="77" t="s">
        <v>59</v>
      </c>
      <c r="E1525" s="77">
        <v>2025</v>
      </c>
      <c r="F1525" s="107" t="s">
        <v>470</v>
      </c>
      <c r="G1525" s="78" t="s">
        <v>471</v>
      </c>
      <c r="H1525" s="9" t="str" cm="1">
        <f t="array" ref="H1525">INDEX(stableR[question],MATCH(VALUE(questions[[#This Row],[qno]]),VALUE(stableR[qno]),0))</f>
        <v>If so, on what % or proportion of your coffee plots do you have shade and/or fruit trees? e.g. if all agro-forestry trees are only distributed in a quarter of the coffee plot, and the rest of the plot does not have agro-forestry trees, then it is 25%</v>
      </c>
      <c r="I1525" s="9" t="b" cm="1">
        <f t="array" ref="I1525">INDEX(stable[is_fixed],MATCH(VALUE(questions[[#This Row],[qno]]),VALUE(stable[qno]),0))</f>
        <v>1</v>
      </c>
      <c r="J1525" s="9" t="b" cm="1">
        <f t="array" ref="J1525">INDEX(stable[is_localized],MATCH(VALUE(questions[[#This Row],[qno]]),VALUE(stable[qno]),0))</f>
        <v>0</v>
      </c>
      <c r="K1525" s="9" t="b" cm="1">
        <f t="array" ref="K1525">INDEX(stable[is_supply_chain_dependent],MATCH(VALUE(questions[[#This Row],[qno]]),VALUE(stable[qno]),0))</f>
        <v>0</v>
      </c>
      <c r="L1525" s="9" t="b" cm="1">
        <f t="array" ref="L1525">INDEX(stable[is_mandatory],MATCH(VALUE(questions[[#This Row],[qno]]),VALUE(stable[qno]),0))</f>
        <v>0</v>
      </c>
      <c r="M1525" s="9" t="b" cm="1">
        <f t="array" ref="M1525">INDEX(stable[is_automated],MATCH(VALUE(questions[[#This Row],[qno]]),VALUE(stable[qno]),0))</f>
        <v>0</v>
      </c>
      <c r="N1525" s="9" t="b" cm="1">
        <f t="array" ref="N1525">INDEX(stable[is_free_text],MATCH(VALUE(questions[[#This Row],[qno]]),VALUE(stable[qno]),0))</f>
        <v>0</v>
      </c>
      <c r="O1525" s="9" t="b" cm="1">
        <f t="array" ref="O1525">INDEX(stable[is_numerical],MATCH(VALUE(questions[[#This Row],[qno]]),VALUE(stable[qno]),0))</f>
        <v>0</v>
      </c>
      <c r="P1525" s="77" t="b" cm="1">
        <f t="array" ref="P1525">INDEX(stable[is_single_select],MATCH(VALUE(questions[[#This Row],[qno]]),VALUE(stable[qno]),0))</f>
        <v>1</v>
      </c>
      <c r="Q1525" s="77" t="b" cm="1">
        <f t="array" ref="Q1525">INDEX(stable[is_multi_select],MATCH(VALUE(questions[[#This Row],[qno]]),VALUE(stable[qno]),0))</f>
        <v>0</v>
      </c>
      <c r="R1525" s="77" t="b" cm="1">
        <f t="array" ref="R1525">INDEX(stable[is_skip_logic],MATCH(VALUE(questions[[#This Row],[qno]]),VALUE(stable[qno]),0))</f>
        <v>1</v>
      </c>
      <c r="S1525" s="77" t="str">
        <f>_xlfn.TEXTJOIN(", ",TRUE,questions[[#This Row],[ans_opt_1]:[ans_opt_14]])</f>
        <v>1% to 25% - little to a quarter, 26% to 50% - less than half, 51% to 75% - more than half, 76% to 100% - almost all</v>
      </c>
      <c r="T1525" s="77" t="s">
        <v>338</v>
      </c>
      <c r="U1525" s="77" t="s">
        <v>339</v>
      </c>
      <c r="V1525" s="77" t="s">
        <v>340</v>
      </c>
      <c r="W1525" s="77" t="s">
        <v>341</v>
      </c>
      <c r="AH1525" s="98" t="b">
        <f>INDEX(stable[q_standard],MATCH(questions[[#This Row],[qno]],stable[qno],0))</f>
        <v>0</v>
      </c>
      <c r="AI1525" s="98" t="b">
        <f>INDEX(stable[q_living_income],MATCH(questions[[#This Row],[qno]],stable[qno],0))</f>
        <v>0</v>
      </c>
      <c r="AJ1525" s="98" t="b">
        <f>INDEX(stable[q_carbon],MATCH(questions[[#This Row],[qno]],stable[qno],0))</f>
        <v>0</v>
      </c>
      <c r="AK1525" s="98" t="b">
        <f>INDEX(stable[q_regen_ag],MATCH(questions[[#This Row],[qno]],stable[qno],0))</f>
        <v>1</v>
      </c>
      <c r="AL1525" s="98" t="b">
        <f>COUNTIFS(stable[qno],questions[[#This Row],[qno]])=1</f>
        <v>1</v>
      </c>
      <c r="AM1525" s="98" t="b">
        <f>OR(questions[[#This Row],[is_fixed]],questions[[#This Row],[is_localized]],questions[[#This Row],[is_supply_chain_dependent]])</f>
        <v>1</v>
      </c>
      <c r="AN1525" s="98" t="b">
        <f>COUNTIFS(questions[[#This Row],[is_automated]:[is_multi_select]],TRUE)=1</f>
        <v>1</v>
      </c>
      <c r="AO1525" s="98" t="b">
        <f>IF(questions[[#This Row],[is_fixed]],questions[[#This Row],[question]]=INDEX(stable[question],MATCH(questions[[#This Row],[qno]],stable[qno],0)),TRUE)</f>
        <v>1</v>
      </c>
      <c r="AP1525" s="98" t="str">
        <f>LEFT(questions[[#This Row],[question]],similarity_range)</f>
        <v xml:space="preserve">If so, on what % or </v>
      </c>
      <c r="AQ1525" s="98" t="str">
        <f>LEFT(INDEX(stable[question],MATCH(questions[[#This Row],[qno]],stable[qno],0)),similarity_range)</f>
        <v xml:space="preserve">If so, on what % or </v>
      </c>
      <c r="AR1525" s="98" t="b">
        <f>questions[[#This Row],[question_first_characters]]=questions[[#This Row],[stability_first_characters]]</f>
        <v>1</v>
      </c>
      <c r="AS1525" s="98" t="b">
        <f>IF(OR(questions[[#This Row],[is_single_select]],questions[[#This Row],[is_multi_select]]),NOT(ISBLANK(questions[[#This Row],[answer_opt_combined]])),TRUE)</f>
        <v>1</v>
      </c>
    </row>
    <row r="1526" spans="1:45" ht="15.75" customHeight="1" x14ac:dyDescent="0.25">
      <c r="A1526" s="9" t="str">
        <f>_xlfn.TEXTJOIN("_",TRUE,questions[[#This Row],[origin]:[qno]])</f>
        <v>Brazil_Arabica_2025_7502</v>
      </c>
      <c r="B1526" s="9" t="s">
        <v>1025</v>
      </c>
      <c r="C1526" s="9" t="s">
        <v>59</v>
      </c>
      <c r="E1526" s="33">
        <v>2025</v>
      </c>
      <c r="F1526" s="19" t="s">
        <v>472</v>
      </c>
      <c r="G1526" s="15" t="s">
        <v>473</v>
      </c>
      <c r="H1526" s="9" t="str" cm="1">
        <f t="array" ref="H1526">INDEX(stableR[question],MATCH(VALUE(questions[[#This Row],[qno]]),VALUE(stableR[qno]),0))</f>
        <v>How many different species of shade and/or fruit trees do you have in your coffee plots?</v>
      </c>
      <c r="I1526" s="9" t="b" cm="1">
        <f t="array" ref="I1526">INDEX(stable[is_fixed],MATCH(VALUE(questions[[#This Row],[qno]]),VALUE(stable[qno]),0))</f>
        <v>1</v>
      </c>
      <c r="J1526" s="9" t="b" cm="1">
        <f t="array" ref="J1526">INDEX(stable[is_localized],MATCH(VALUE(questions[[#This Row],[qno]]),VALUE(stable[qno]),0))</f>
        <v>0</v>
      </c>
      <c r="K1526" s="9" t="b" cm="1">
        <f t="array" ref="K1526">INDEX(stable[is_supply_chain_dependent],MATCH(VALUE(questions[[#This Row],[qno]]),VALUE(stable[qno]),0))</f>
        <v>0</v>
      </c>
      <c r="L1526" s="9" t="b" cm="1">
        <f t="array" ref="L1526">INDEX(stable[is_mandatory],MATCH(VALUE(questions[[#This Row],[qno]]),VALUE(stable[qno]),0))</f>
        <v>0</v>
      </c>
      <c r="M1526" s="9" t="b" cm="1">
        <f t="array" ref="M1526">INDEX(stable[is_automated],MATCH(VALUE(questions[[#This Row],[qno]]),VALUE(stable[qno]),0))</f>
        <v>0</v>
      </c>
      <c r="N1526" s="9" t="b" cm="1">
        <f t="array" ref="N1526">INDEX(stable[is_free_text],MATCH(VALUE(questions[[#This Row],[qno]]),VALUE(stable[qno]),0))</f>
        <v>0</v>
      </c>
      <c r="O1526" s="9" t="b" cm="1">
        <f t="array" ref="O1526">INDEX(stable[is_numerical],MATCH(VALUE(questions[[#This Row],[qno]]),VALUE(stable[qno]),0))</f>
        <v>1</v>
      </c>
      <c r="P1526" s="9" t="b" cm="1">
        <f t="array" ref="P1526">INDEX(stable[is_single_select],MATCH(VALUE(questions[[#This Row],[qno]]),VALUE(stable[qno]),0))</f>
        <v>0</v>
      </c>
      <c r="Q1526" s="9" t="b" cm="1">
        <f t="array" ref="Q1526">INDEX(stable[is_multi_select],MATCH(VALUE(questions[[#This Row],[qno]]),VALUE(stable[qno]),0))</f>
        <v>0</v>
      </c>
      <c r="R1526" s="9" t="b" cm="1">
        <f t="array" ref="R1526">INDEX(stable[is_skip_logic],MATCH(VALUE(questions[[#This Row],[qno]]),VALUE(stable[qno]),0))</f>
        <v>0</v>
      </c>
      <c r="S1526" s="9" t="str">
        <f>_xlfn.TEXTJOIN(", ",TRUE,questions[[#This Row],[ans_opt_1]:[ans_opt_14]])</f>
        <v/>
      </c>
      <c r="AH1526" s="16" t="b">
        <f>INDEX(stable[q_standard],MATCH(questions[[#This Row],[qno]],stable[qno],0))</f>
        <v>0</v>
      </c>
      <c r="AI1526" s="16" t="b">
        <f>INDEX(stable[q_living_income],MATCH(questions[[#This Row],[qno]],stable[qno],0))</f>
        <v>0</v>
      </c>
      <c r="AJ1526" s="16" t="b">
        <f>INDEX(stable[q_carbon],MATCH(questions[[#This Row],[qno]],stable[qno],0))</f>
        <v>0</v>
      </c>
      <c r="AK1526" s="16" t="b">
        <f>INDEX(stable[q_regen_ag],MATCH(questions[[#This Row],[qno]],stable[qno],0))</f>
        <v>1</v>
      </c>
      <c r="AL1526" s="16" t="b">
        <f>COUNTIFS(stable[qno],questions[[#This Row],[qno]])=1</f>
        <v>1</v>
      </c>
      <c r="AM1526" s="16" t="b">
        <f>OR(questions[[#This Row],[is_fixed]],questions[[#This Row],[is_localized]],questions[[#This Row],[is_supply_chain_dependent]])</f>
        <v>1</v>
      </c>
      <c r="AN1526" s="16" t="b">
        <f>COUNTIFS(questions[[#This Row],[is_automated]:[is_multi_select]],TRUE)=1</f>
        <v>1</v>
      </c>
      <c r="AO1526" s="16" t="b">
        <f>IF(questions[[#This Row],[is_fixed]],questions[[#This Row],[question]]=INDEX(stable[question],MATCH(questions[[#This Row],[qno]],stable[qno],0)),TRUE)</f>
        <v>1</v>
      </c>
      <c r="AP1526" s="16" t="str">
        <f>LEFT(questions[[#This Row],[question]],similarity_range)</f>
        <v>How many different s</v>
      </c>
      <c r="AQ1526" s="16" t="str">
        <f>LEFT(INDEX(stable[question],MATCH(questions[[#This Row],[qno]],stable[qno],0)),similarity_range)</f>
        <v>How many different s</v>
      </c>
      <c r="AR1526" s="16" t="b">
        <f>questions[[#This Row],[question_first_characters]]=questions[[#This Row],[stability_first_characters]]</f>
        <v>1</v>
      </c>
      <c r="AS1526" s="16" t="b">
        <f>IF(OR(questions[[#This Row],[is_single_select]],questions[[#This Row],[is_multi_select]]),NOT(ISBLANK(questions[[#This Row],[answer_opt_combined]])),TRUE)</f>
        <v>1</v>
      </c>
    </row>
    <row r="1527" spans="1:45" ht="15.75" customHeight="1" x14ac:dyDescent="0.25">
      <c r="A1527" s="9" t="str">
        <f>_xlfn.TEXTJOIN("_",TRUE,questions[[#This Row],[origin]:[qno]])</f>
        <v>Brazil_Arabica_2025_7503</v>
      </c>
      <c r="B1527" s="9" t="s">
        <v>1025</v>
      </c>
      <c r="C1527" s="9" t="s">
        <v>59</v>
      </c>
      <c r="E1527" s="33">
        <v>2025</v>
      </c>
      <c r="F1527" s="19" t="s">
        <v>474</v>
      </c>
      <c r="G1527" s="15" t="s">
        <v>475</v>
      </c>
      <c r="H1527" s="9" t="str" cm="1">
        <f t="array" ref="H1527">INDEX(stableR[question],MATCH(VALUE(questions[[#This Row],[qno]]),VALUE(stableR[qno]),0))</f>
        <v>Can you estimate how many shade trees (including fruit and other trees) you have in your coffee plots, in total (inside and boundary trees)?</v>
      </c>
      <c r="I1527" s="9" t="b" cm="1">
        <f t="array" ref="I1527">INDEX(stable[is_fixed],MATCH(VALUE(questions[[#This Row],[qno]]),VALUE(stable[qno]),0))</f>
        <v>1</v>
      </c>
      <c r="J1527" s="9" t="b" cm="1">
        <f t="array" ref="J1527">INDEX(stable[is_localized],MATCH(VALUE(questions[[#This Row],[qno]]),VALUE(stable[qno]),0))</f>
        <v>0</v>
      </c>
      <c r="K1527" s="9" t="b" cm="1">
        <f t="array" ref="K1527">INDEX(stable[is_supply_chain_dependent],MATCH(VALUE(questions[[#This Row],[qno]]),VALUE(stable[qno]),0))</f>
        <v>0</v>
      </c>
      <c r="L1527" s="9" t="b" cm="1">
        <f t="array" ref="L1527">INDEX(stable[is_mandatory],MATCH(VALUE(questions[[#This Row],[qno]]),VALUE(stable[qno]),0))</f>
        <v>0</v>
      </c>
      <c r="M1527" s="9" t="b" cm="1">
        <f t="array" ref="M1527">INDEX(stable[is_automated],MATCH(VALUE(questions[[#This Row],[qno]]),VALUE(stable[qno]),0))</f>
        <v>0</v>
      </c>
      <c r="N1527" s="9" t="b" cm="1">
        <f t="array" ref="N1527">INDEX(stable[is_free_text],MATCH(VALUE(questions[[#This Row],[qno]]),VALUE(stable[qno]),0))</f>
        <v>0</v>
      </c>
      <c r="O1527" s="9" t="b" cm="1">
        <f t="array" ref="O1527">INDEX(stable[is_numerical],MATCH(VALUE(questions[[#This Row],[qno]]),VALUE(stable[qno]),0))</f>
        <v>1</v>
      </c>
      <c r="P1527" s="9" t="b" cm="1">
        <f t="array" ref="P1527">INDEX(stable[is_single_select],MATCH(VALUE(questions[[#This Row],[qno]]),VALUE(stable[qno]),0))</f>
        <v>0</v>
      </c>
      <c r="Q1527" s="9" t="b" cm="1">
        <f t="array" ref="Q1527">INDEX(stable[is_multi_select],MATCH(VALUE(questions[[#This Row],[qno]]),VALUE(stable[qno]),0))</f>
        <v>0</v>
      </c>
      <c r="R1527" s="9" t="b" cm="1">
        <f t="array" ref="R1527">INDEX(stable[is_skip_logic],MATCH(VALUE(questions[[#This Row],[qno]]),VALUE(stable[qno]),0))</f>
        <v>0</v>
      </c>
      <c r="S1527" s="9" t="str">
        <f>_xlfn.TEXTJOIN(", ",TRUE,questions[[#This Row],[ans_opt_1]:[ans_opt_14]])</f>
        <v/>
      </c>
      <c r="AH1527" s="16" t="b">
        <f>INDEX(stable[q_standard],MATCH(questions[[#This Row],[qno]],stable[qno],0))</f>
        <v>0</v>
      </c>
      <c r="AI1527" s="16" t="b">
        <f>INDEX(stable[q_living_income],MATCH(questions[[#This Row],[qno]],stable[qno],0))</f>
        <v>0</v>
      </c>
      <c r="AJ1527" s="16" t="b">
        <f>INDEX(stable[q_carbon],MATCH(questions[[#This Row],[qno]],stable[qno],0))</f>
        <v>0</v>
      </c>
      <c r="AK1527" s="16" t="b">
        <f>INDEX(stable[q_regen_ag],MATCH(questions[[#This Row],[qno]],stable[qno],0))</f>
        <v>1</v>
      </c>
      <c r="AL1527" s="16" t="b">
        <f>COUNTIFS(stable[qno],questions[[#This Row],[qno]])=1</f>
        <v>1</v>
      </c>
      <c r="AM1527" s="16" t="b">
        <f>OR(questions[[#This Row],[is_fixed]],questions[[#This Row],[is_localized]],questions[[#This Row],[is_supply_chain_dependent]])</f>
        <v>1</v>
      </c>
      <c r="AN1527" s="16" t="b">
        <f>COUNTIFS(questions[[#This Row],[is_automated]:[is_multi_select]],TRUE)=1</f>
        <v>1</v>
      </c>
      <c r="AO1527" s="16" t="b">
        <f>IF(questions[[#This Row],[is_fixed]],questions[[#This Row],[question]]=INDEX(stable[question],MATCH(questions[[#This Row],[qno]],stable[qno],0)),TRUE)</f>
        <v>1</v>
      </c>
      <c r="AP1527" s="16" t="str">
        <f>LEFT(questions[[#This Row],[question]],similarity_range)</f>
        <v>Can you estimate how</v>
      </c>
      <c r="AQ1527" s="16" t="str">
        <f>LEFT(INDEX(stable[question],MATCH(questions[[#This Row],[qno]],stable[qno],0)),similarity_range)</f>
        <v>Can you estimate how</v>
      </c>
      <c r="AR1527" s="16" t="b">
        <f>questions[[#This Row],[question_first_characters]]=questions[[#This Row],[stability_first_characters]]</f>
        <v>1</v>
      </c>
      <c r="AS1527" s="16" t="b">
        <f>IF(OR(questions[[#This Row],[is_single_select]],questions[[#This Row],[is_multi_select]]),NOT(ISBLANK(questions[[#This Row],[answer_opt_combined]])),TRUE)</f>
        <v>1</v>
      </c>
    </row>
    <row r="1528" spans="1:45" s="77" customFormat="1" ht="15.75" customHeight="1" x14ac:dyDescent="0.25">
      <c r="A1528" s="77" t="str">
        <f>_xlfn.TEXTJOIN("_",TRUE,questions[[#This Row],[origin]:[qno]])</f>
        <v>Brazil_Arabica_2025_7504</v>
      </c>
      <c r="B1528" s="77" t="s">
        <v>1025</v>
      </c>
      <c r="C1528" s="77" t="s">
        <v>59</v>
      </c>
      <c r="E1528" s="77">
        <v>2025</v>
      </c>
      <c r="F1528" s="107" t="s">
        <v>476</v>
      </c>
      <c r="G1528" s="78" t="s">
        <v>477</v>
      </c>
      <c r="H1528" s="9" t="str" cm="1">
        <f t="array" ref="H1528">INDEX(stableR[question],MATCH(VALUE(questions[[#This Row],[qno]]),VALUE(stableR[qno]),0))</f>
        <v>What describes best the size of these shade trees?</v>
      </c>
      <c r="I1528" s="9" t="b" cm="1">
        <f t="array" ref="I1528">INDEX(stable[is_fixed],MATCH(VALUE(questions[[#This Row],[qno]]),VALUE(stable[qno]),0))</f>
        <v>1</v>
      </c>
      <c r="J1528" s="9" t="b" cm="1">
        <f t="array" ref="J1528">INDEX(stable[is_localized],MATCH(VALUE(questions[[#This Row],[qno]]),VALUE(stable[qno]),0))</f>
        <v>0</v>
      </c>
      <c r="K1528" s="9" t="b" cm="1">
        <f t="array" ref="K1528">INDEX(stable[is_supply_chain_dependent],MATCH(VALUE(questions[[#This Row],[qno]]),VALUE(stable[qno]),0))</f>
        <v>0</v>
      </c>
      <c r="L1528" s="9" t="b" cm="1">
        <f t="array" ref="L1528">INDEX(stable[is_mandatory],MATCH(VALUE(questions[[#This Row],[qno]]),VALUE(stable[qno]),0))</f>
        <v>0</v>
      </c>
      <c r="M1528" s="9" t="b" cm="1">
        <f t="array" ref="M1528">INDEX(stable[is_automated],MATCH(VALUE(questions[[#This Row],[qno]]),VALUE(stable[qno]),0))</f>
        <v>0</v>
      </c>
      <c r="N1528" s="9" t="b" cm="1">
        <f t="array" ref="N1528">INDEX(stable[is_free_text],MATCH(VALUE(questions[[#This Row],[qno]]),VALUE(stable[qno]),0))</f>
        <v>0</v>
      </c>
      <c r="O1528" s="9" t="b" cm="1">
        <f t="array" ref="O1528">INDEX(stable[is_numerical],MATCH(VALUE(questions[[#This Row],[qno]]),VALUE(stable[qno]),0))</f>
        <v>0</v>
      </c>
      <c r="P1528" s="77" t="b" cm="1">
        <f t="array" ref="P1528">INDEX(stable[is_single_select],MATCH(VALUE(questions[[#This Row],[qno]]),VALUE(stable[qno]),0))</f>
        <v>1</v>
      </c>
      <c r="Q1528" s="77" t="b" cm="1">
        <f t="array" ref="Q1528">INDEX(stable[is_multi_select],MATCH(VALUE(questions[[#This Row],[qno]]),VALUE(stable[qno]),0))</f>
        <v>0</v>
      </c>
      <c r="R1528" s="77" t="b" cm="1">
        <f t="array" ref="R1528">INDEX(stable[is_skip_logic],MATCH(VALUE(questions[[#This Row],[qno]]),VALUE(stable[qno]),0))</f>
        <v>0</v>
      </c>
      <c r="S1528" s="77" t="str">
        <f>_xlfn.TEXTJOIN(", ",TRUE,questions[[#This Row],[ans_opt_1]:[ans_opt_14]])</f>
        <v>Big sized, full grown, shade trees, Medium sized shade trees, including fruit trees, Multipurpose mix of trees (different types and sizes)</v>
      </c>
      <c r="T1528" s="136" t="s">
        <v>478</v>
      </c>
      <c r="U1528" s="136" t="s">
        <v>812</v>
      </c>
      <c r="V1528" s="136" t="s">
        <v>813</v>
      </c>
      <c r="W1528" s="135"/>
      <c r="AH1528" s="98" t="b">
        <f>INDEX(stable[q_standard],MATCH(questions[[#This Row],[qno]],stable[qno],0))</f>
        <v>0</v>
      </c>
      <c r="AI1528" s="98" t="b">
        <f>INDEX(stable[q_living_income],MATCH(questions[[#This Row],[qno]],stable[qno],0))</f>
        <v>0</v>
      </c>
      <c r="AJ1528" s="98" t="b">
        <f>INDEX(stable[q_carbon],MATCH(questions[[#This Row],[qno]],stable[qno],0))</f>
        <v>0</v>
      </c>
      <c r="AK1528" s="98" t="b">
        <f>INDEX(stable[q_regen_ag],MATCH(questions[[#This Row],[qno]],stable[qno],0))</f>
        <v>1</v>
      </c>
      <c r="AL1528" s="98" t="b">
        <f>COUNTIFS(stable[qno],questions[[#This Row],[qno]])=1</f>
        <v>1</v>
      </c>
      <c r="AM1528" s="98" t="b">
        <f>OR(questions[[#This Row],[is_fixed]],questions[[#This Row],[is_localized]],questions[[#This Row],[is_supply_chain_dependent]])</f>
        <v>1</v>
      </c>
      <c r="AN1528" s="98" t="b">
        <f>COUNTIFS(questions[[#This Row],[is_automated]:[is_multi_select]],TRUE)=1</f>
        <v>1</v>
      </c>
      <c r="AO1528" s="98" t="b">
        <f>IF(questions[[#This Row],[is_fixed]],questions[[#This Row],[question]]=INDEX(stable[question],MATCH(questions[[#This Row],[qno]],stable[qno],0)),TRUE)</f>
        <v>1</v>
      </c>
      <c r="AP1528" s="98" t="str">
        <f>LEFT(questions[[#This Row],[question]],similarity_range)</f>
        <v xml:space="preserve">What describes best </v>
      </c>
      <c r="AQ1528" s="98" t="str">
        <f>LEFT(INDEX(stable[question],MATCH(questions[[#This Row],[qno]],stable[qno],0)),similarity_range)</f>
        <v xml:space="preserve">What describes best </v>
      </c>
      <c r="AR1528" s="98" t="b">
        <f>questions[[#This Row],[question_first_characters]]=questions[[#This Row],[stability_first_characters]]</f>
        <v>1</v>
      </c>
      <c r="AS1528" s="98" t="b">
        <f>IF(OR(questions[[#This Row],[is_single_select]],questions[[#This Row],[is_multi_select]]),NOT(ISBLANK(questions[[#This Row],[answer_opt_combined]])),TRUE)</f>
        <v>1</v>
      </c>
    </row>
    <row r="1529" spans="1:45" s="77" customFormat="1" ht="15.75" customHeight="1" x14ac:dyDescent="0.25">
      <c r="A1529" s="77" t="str">
        <f>_xlfn.TEXTJOIN("_",TRUE,questions[[#This Row],[origin]:[qno]])</f>
        <v>Brazil_Arabica_2025_7505</v>
      </c>
      <c r="B1529" s="77" t="s">
        <v>1025</v>
      </c>
      <c r="C1529" s="77" t="s">
        <v>59</v>
      </c>
      <c r="E1529" s="77">
        <v>2025</v>
      </c>
      <c r="F1529" s="107" t="s">
        <v>614</v>
      </c>
      <c r="G1529" s="78" t="s">
        <v>615</v>
      </c>
      <c r="H1529" s="9" t="str" cm="1">
        <f t="array" ref="H1529">INDEX(stableR[question],MATCH(VALUE(questions[[#This Row],[qno]]),VALUE(stableR[qno]),0))</f>
        <v>If planting trees is only possible in the coffee plot boundaries/perimeter (i.e. due to mechanical harvest and/or tree species used are only suitable for boundaries), do you have &gt;= 75% of boundaries/perimeter with boundary trees, AND use 3 or more tree species?</v>
      </c>
      <c r="I1529" s="9" t="b" cm="1">
        <f t="array" ref="I1529">INDEX(stable[is_fixed],MATCH(VALUE(questions[[#This Row],[qno]]),VALUE(stable[qno]),0))</f>
        <v>0</v>
      </c>
      <c r="J1529" s="9" t="b" cm="1">
        <f t="array" ref="J1529">INDEX(stable[is_localized],MATCH(VALUE(questions[[#This Row],[qno]]),VALUE(stable[qno]),0))</f>
        <v>0</v>
      </c>
      <c r="K1529" s="9" t="b" cm="1">
        <f t="array" ref="K1529">INDEX(stable[is_supply_chain_dependent],MATCH(VALUE(questions[[#This Row],[qno]]),VALUE(stable[qno]),0))</f>
        <v>1</v>
      </c>
      <c r="L1529" s="9" t="b" cm="1">
        <f t="array" ref="L1529">INDEX(stable[is_mandatory],MATCH(VALUE(questions[[#This Row],[qno]]),VALUE(stable[qno]),0))</f>
        <v>0</v>
      </c>
      <c r="M1529" s="9" t="b" cm="1">
        <f t="array" ref="M1529">INDEX(stable[is_automated],MATCH(VALUE(questions[[#This Row],[qno]]),VALUE(stable[qno]),0))</f>
        <v>0</v>
      </c>
      <c r="N1529" s="9" t="b" cm="1">
        <f t="array" ref="N1529">INDEX(stable[is_free_text],MATCH(VALUE(questions[[#This Row],[qno]]),VALUE(stable[qno]),0))</f>
        <v>0</v>
      </c>
      <c r="O1529" s="9" t="b" cm="1">
        <f t="array" ref="O1529">INDEX(stable[is_numerical],MATCH(VALUE(questions[[#This Row],[qno]]),VALUE(stable[qno]),0))</f>
        <v>0</v>
      </c>
      <c r="P1529" s="77" t="b" cm="1">
        <f t="array" ref="P1529">INDEX(stable[is_single_select],MATCH(VALUE(questions[[#This Row],[qno]]),VALUE(stable[qno]),0))</f>
        <v>1</v>
      </c>
      <c r="Q1529" s="77" t="b" cm="1">
        <f t="array" ref="Q1529">INDEX(stable[is_multi_select],MATCH(VALUE(questions[[#This Row],[qno]]),VALUE(stable[qno]),0))</f>
        <v>0</v>
      </c>
      <c r="R1529" s="77" t="b" cm="1">
        <f t="array" ref="R1529">INDEX(stable[is_skip_logic],MATCH(VALUE(questions[[#This Row],[qno]]),VALUE(stable[qno]),0))</f>
        <v>0</v>
      </c>
      <c r="S1529" s="77" t="str">
        <f>_xlfn.TEXTJOIN(", ",TRUE,questions[[#This Row],[ans_opt_1]:[ans_opt_14]])</f>
        <v>Yes, No</v>
      </c>
      <c r="T1529" s="77" t="s">
        <v>149</v>
      </c>
      <c r="U1529" s="77" t="s">
        <v>119</v>
      </c>
      <c r="AH1529" s="98" t="b">
        <f>INDEX(stable[q_standard],MATCH(questions[[#This Row],[qno]],stable[qno],0))</f>
        <v>0</v>
      </c>
      <c r="AI1529" s="98" t="b">
        <f>INDEX(stable[q_living_income],MATCH(questions[[#This Row],[qno]],stable[qno],0))</f>
        <v>0</v>
      </c>
      <c r="AJ1529" s="98" t="b">
        <f>INDEX(stable[q_carbon],MATCH(questions[[#This Row],[qno]],stable[qno],0))</f>
        <v>0</v>
      </c>
      <c r="AK1529" s="98" t="b">
        <f>INDEX(stable[q_regen_ag],MATCH(questions[[#This Row],[qno]],stable[qno],0))</f>
        <v>1</v>
      </c>
      <c r="AL1529" s="98" t="b">
        <f>COUNTIFS(stable[qno],questions[[#This Row],[qno]])=1</f>
        <v>1</v>
      </c>
      <c r="AM1529" s="98" t="b">
        <f>OR(questions[[#This Row],[is_fixed]],questions[[#This Row],[is_localized]],questions[[#This Row],[is_supply_chain_dependent]])</f>
        <v>1</v>
      </c>
      <c r="AN1529" s="98" t="b">
        <f>COUNTIFS(questions[[#This Row],[is_automated]:[is_multi_select]],TRUE)=1</f>
        <v>1</v>
      </c>
      <c r="AO1529" s="98" t="b">
        <f>IF(questions[[#This Row],[is_fixed]],questions[[#This Row],[question]]=INDEX(stable[question],MATCH(questions[[#This Row],[qno]],stable[qno],0)),TRUE)</f>
        <v>1</v>
      </c>
      <c r="AP1529" s="98" t="str">
        <f>LEFT(questions[[#This Row],[question]],similarity_range)</f>
        <v>If planting trees is</v>
      </c>
      <c r="AQ1529" s="98" t="str">
        <f>LEFT(INDEX(stable[question],MATCH(questions[[#This Row],[qno]],stable[qno],0)),similarity_range)</f>
        <v>If planting trees is</v>
      </c>
      <c r="AR1529" s="98" t="b">
        <f>questions[[#This Row],[question_first_characters]]=questions[[#This Row],[stability_first_characters]]</f>
        <v>1</v>
      </c>
      <c r="AS1529" s="98" t="b">
        <f>IF(OR(questions[[#This Row],[is_single_select]],questions[[#This Row],[is_multi_select]]),NOT(ISBLANK(questions[[#This Row],[answer_opt_combined]])),TRUE)</f>
        <v>1</v>
      </c>
    </row>
    <row r="1530" spans="1:45" s="77" customFormat="1" ht="15.75" customHeight="1" x14ac:dyDescent="0.25">
      <c r="A1530" s="77" t="str">
        <f>_xlfn.TEXTJOIN("_",TRUE,questions[[#This Row],[origin]:[qno]])</f>
        <v>Brazil_Arabica_2025_7600</v>
      </c>
      <c r="B1530" s="77" t="s">
        <v>1025</v>
      </c>
      <c r="C1530" s="77" t="s">
        <v>59</v>
      </c>
      <c r="E1530" s="77">
        <v>2025</v>
      </c>
      <c r="F1530" s="107" t="s">
        <v>481</v>
      </c>
      <c r="G1530" s="78" t="s">
        <v>482</v>
      </c>
      <c r="H1530" s="9" t="str" cm="1">
        <f t="array" ref="H1530">INDEX(stableR[question],MATCH(VALUE(questions[[#This Row],[qno]]),VALUE(stableR[qno]),0))</f>
        <v>Do you keep bee hives in your farm (own bee hives or termporary during flowering season)?</v>
      </c>
      <c r="I1530" s="9" t="b" cm="1">
        <f t="array" ref="I1530">INDEX(stable[is_fixed],MATCH(VALUE(questions[[#This Row],[qno]]),VALUE(stable[qno]),0))</f>
        <v>1</v>
      </c>
      <c r="J1530" s="9" t="b" cm="1">
        <f t="array" ref="J1530">INDEX(stable[is_localized],MATCH(VALUE(questions[[#This Row],[qno]]),VALUE(stable[qno]),0))</f>
        <v>0</v>
      </c>
      <c r="K1530" s="9" t="b" cm="1">
        <f t="array" ref="K1530">INDEX(stable[is_supply_chain_dependent],MATCH(VALUE(questions[[#This Row],[qno]]),VALUE(stable[qno]),0))</f>
        <v>0</v>
      </c>
      <c r="L1530" s="9" t="b" cm="1">
        <f t="array" ref="L1530">INDEX(stable[is_mandatory],MATCH(VALUE(questions[[#This Row],[qno]]),VALUE(stable[qno]),0))</f>
        <v>1</v>
      </c>
      <c r="M1530" s="9" t="b" cm="1">
        <f t="array" ref="M1530">INDEX(stable[is_automated],MATCH(VALUE(questions[[#This Row],[qno]]),VALUE(stable[qno]),0))</f>
        <v>0</v>
      </c>
      <c r="N1530" s="9" t="b" cm="1">
        <f t="array" ref="N1530">INDEX(stable[is_free_text],MATCH(VALUE(questions[[#This Row],[qno]]),VALUE(stable[qno]),0))</f>
        <v>0</v>
      </c>
      <c r="O1530" s="9" t="b" cm="1">
        <f t="array" ref="O1530">INDEX(stable[is_numerical],MATCH(VALUE(questions[[#This Row],[qno]]),VALUE(stable[qno]),0))</f>
        <v>0</v>
      </c>
      <c r="P1530" s="77" t="b" cm="1">
        <f t="array" ref="P1530">INDEX(stable[is_single_select],MATCH(VALUE(questions[[#This Row],[qno]]),VALUE(stable[qno]),0))</f>
        <v>1</v>
      </c>
      <c r="Q1530" s="77" t="b" cm="1">
        <f t="array" ref="Q1530">INDEX(stable[is_multi_select],MATCH(VALUE(questions[[#This Row],[qno]]),VALUE(stable[qno]),0))</f>
        <v>0</v>
      </c>
      <c r="R1530" s="77" t="b" cm="1">
        <f t="array" ref="R1530">INDEX(stable[is_skip_logic],MATCH(VALUE(questions[[#This Row],[qno]]),VALUE(stable[qno]),0))</f>
        <v>0</v>
      </c>
      <c r="S1530" s="77" t="str">
        <f>_xlfn.TEXTJOIN(", ",TRUE,questions[[#This Row],[ans_opt_1]:[ans_opt_14]])</f>
        <v>Yes, No</v>
      </c>
      <c r="T1530" s="77" t="s">
        <v>149</v>
      </c>
      <c r="U1530" s="77" t="s">
        <v>119</v>
      </c>
      <c r="AH1530" s="98" t="b">
        <f>INDEX(stable[q_standard],MATCH(questions[[#This Row],[qno]],stable[qno],0))</f>
        <v>0</v>
      </c>
      <c r="AI1530" s="98" t="b">
        <f>INDEX(stable[q_living_income],MATCH(questions[[#This Row],[qno]],stable[qno],0))</f>
        <v>0</v>
      </c>
      <c r="AJ1530" s="98" t="b">
        <f>INDEX(stable[q_carbon],MATCH(questions[[#This Row],[qno]],stable[qno],0))</f>
        <v>0</v>
      </c>
      <c r="AK1530" s="98" t="b">
        <f>INDEX(stable[q_regen_ag],MATCH(questions[[#This Row],[qno]],stable[qno],0))</f>
        <v>1</v>
      </c>
      <c r="AL1530" s="98" t="b">
        <f>COUNTIFS(stable[qno],questions[[#This Row],[qno]])=1</f>
        <v>1</v>
      </c>
      <c r="AM1530" s="98" t="b">
        <f>OR(questions[[#This Row],[is_fixed]],questions[[#This Row],[is_localized]],questions[[#This Row],[is_supply_chain_dependent]])</f>
        <v>1</v>
      </c>
      <c r="AN1530" s="98" t="b">
        <f>COUNTIFS(questions[[#This Row],[is_automated]:[is_multi_select]],TRUE)=1</f>
        <v>1</v>
      </c>
      <c r="AO1530" s="98" t="b">
        <f>IF(questions[[#This Row],[is_fixed]],questions[[#This Row],[question]]=INDEX(stable[question],MATCH(questions[[#This Row],[qno]],stable[qno],0)),TRUE)</f>
        <v>1</v>
      </c>
      <c r="AP1530" s="98" t="str">
        <f>LEFT(questions[[#This Row],[question]],similarity_range)</f>
        <v>Do you keep bee hive</v>
      </c>
      <c r="AQ1530" s="98" t="str">
        <f>LEFT(INDEX(stable[question],MATCH(questions[[#This Row],[qno]],stable[qno],0)),similarity_range)</f>
        <v>Do you keep bee hive</v>
      </c>
      <c r="AR1530" s="98" t="b">
        <f>questions[[#This Row],[question_first_characters]]=questions[[#This Row],[stability_first_characters]]</f>
        <v>1</v>
      </c>
      <c r="AS1530" s="98" t="b">
        <f>IF(OR(questions[[#This Row],[is_single_select]],questions[[#This Row],[is_multi_select]]),NOT(ISBLANK(questions[[#This Row],[answer_opt_combined]])),TRUE)</f>
        <v>1</v>
      </c>
    </row>
    <row r="1531" spans="1:45" s="77" customFormat="1" ht="15.75" customHeight="1" x14ac:dyDescent="0.25">
      <c r="A1531" s="77" t="str">
        <f>_xlfn.TEXTJOIN("_",TRUE,questions[[#This Row],[origin]:[qno]])</f>
        <v>Brazil_Arabica_2025_7700</v>
      </c>
      <c r="B1531" s="77" t="s">
        <v>1025</v>
      </c>
      <c r="C1531" s="77" t="s">
        <v>59</v>
      </c>
      <c r="E1531" s="77">
        <v>2025</v>
      </c>
      <c r="F1531" s="107" t="s">
        <v>483</v>
      </c>
      <c r="G1531" s="78" t="s">
        <v>484</v>
      </c>
      <c r="H1531" s="9" t="str" cm="1">
        <f t="array" ref="H1531">INDEX(stableR[question],MATCH(VALUE(questions[[#This Row],[qno]]),VALUE(stableR[qno]),0))</f>
        <v>Do you have riparian areas (a buffer area or strip of vegetation along the bank of a stream or river that spatially separates agricultural land from the water) in your coffee plots and/or its boundaries and how many?  If the answer is NO, you do not need to answer the next question.</v>
      </c>
      <c r="I1531" s="9" t="b" cm="1">
        <f t="array" ref="I1531">INDEX(stable[is_fixed],MATCH(VALUE(questions[[#This Row],[qno]]),VALUE(stable[qno]),0))</f>
        <v>1</v>
      </c>
      <c r="J1531" s="9" t="b" cm="1">
        <f t="array" ref="J1531">INDEX(stable[is_localized],MATCH(VALUE(questions[[#This Row],[qno]]),VALUE(stable[qno]),0))</f>
        <v>0</v>
      </c>
      <c r="K1531" s="9" t="b" cm="1">
        <f t="array" ref="K1531">INDEX(stable[is_supply_chain_dependent],MATCH(VALUE(questions[[#This Row],[qno]]),VALUE(stable[qno]),0))</f>
        <v>0</v>
      </c>
      <c r="L1531" s="9" t="b" cm="1">
        <f t="array" ref="L1531">INDEX(stable[is_mandatory],MATCH(VALUE(questions[[#This Row],[qno]]),VALUE(stable[qno]),0))</f>
        <v>1</v>
      </c>
      <c r="M1531" s="9" t="b" cm="1">
        <f t="array" ref="M1531">INDEX(stable[is_automated],MATCH(VALUE(questions[[#This Row],[qno]]),VALUE(stable[qno]),0))</f>
        <v>0</v>
      </c>
      <c r="N1531" s="9" t="b" cm="1">
        <f t="array" ref="N1531">INDEX(stable[is_free_text],MATCH(VALUE(questions[[#This Row],[qno]]),VALUE(stable[qno]),0))</f>
        <v>0</v>
      </c>
      <c r="O1531" s="9" t="b" cm="1">
        <f t="array" ref="O1531">INDEX(stable[is_numerical],MATCH(VALUE(questions[[#This Row],[qno]]),VALUE(stable[qno]),0))</f>
        <v>0</v>
      </c>
      <c r="P1531" s="77" t="b" cm="1">
        <f t="array" ref="P1531">INDEX(stable[is_single_select],MATCH(VALUE(questions[[#This Row],[qno]]),VALUE(stable[qno]),0))</f>
        <v>1</v>
      </c>
      <c r="Q1531" s="77" t="b" cm="1">
        <f t="array" ref="Q1531">INDEX(stable[is_multi_select],MATCH(VALUE(questions[[#This Row],[qno]]),VALUE(stable[qno]),0))</f>
        <v>0</v>
      </c>
      <c r="R1531" s="77" t="b" cm="1">
        <f t="array" ref="R1531">INDEX(stable[is_skip_logic],MATCH(VALUE(questions[[#This Row],[qno]]),VALUE(stable[qno]),0))</f>
        <v>0</v>
      </c>
      <c r="S1531" s="77" t="str">
        <f>_xlfn.TEXTJOIN(", ",TRUE,questions[[#This Row],[ans_opt_1]:[ans_opt_14]])</f>
        <v>No, Yes -1 stream/river, Yes -2 streams/rivers, Yes -3 streams/rivers, Yes -4 streams/rivers, Yes -5 streams/rivers</v>
      </c>
      <c r="T1531" s="77" t="s">
        <v>119</v>
      </c>
      <c r="U1531" s="77" t="s">
        <v>485</v>
      </c>
      <c r="V1531" s="77" t="s">
        <v>486</v>
      </c>
      <c r="W1531" s="77" t="s">
        <v>487</v>
      </c>
      <c r="X1531" s="77" t="s">
        <v>488</v>
      </c>
      <c r="Y1531" s="77" t="s">
        <v>489</v>
      </c>
      <c r="AH1531" s="98" t="b">
        <f>INDEX(stable[q_standard],MATCH(questions[[#This Row],[qno]],stable[qno],0))</f>
        <v>0</v>
      </c>
      <c r="AI1531" s="98" t="b">
        <f>INDEX(stable[q_living_income],MATCH(questions[[#This Row],[qno]],stable[qno],0))</f>
        <v>0</v>
      </c>
      <c r="AJ1531" s="98" t="b">
        <f>INDEX(stable[q_carbon],MATCH(questions[[#This Row],[qno]],stable[qno],0))</f>
        <v>0</v>
      </c>
      <c r="AK1531" s="98" t="b">
        <f>INDEX(stable[q_regen_ag],MATCH(questions[[#This Row],[qno]],stable[qno],0))</f>
        <v>1</v>
      </c>
      <c r="AL1531" s="98" t="b">
        <f>COUNTIFS(stable[qno],questions[[#This Row],[qno]])=1</f>
        <v>1</v>
      </c>
      <c r="AM1531" s="98" t="b">
        <f>OR(questions[[#This Row],[is_fixed]],questions[[#This Row],[is_localized]],questions[[#This Row],[is_supply_chain_dependent]])</f>
        <v>1</v>
      </c>
      <c r="AN1531" s="98" t="b">
        <f>COUNTIFS(questions[[#This Row],[is_automated]:[is_multi_select]],TRUE)=1</f>
        <v>1</v>
      </c>
      <c r="AO1531" s="98" t="b">
        <f>IF(questions[[#This Row],[is_fixed]],questions[[#This Row],[question]]=INDEX(stable[question],MATCH(questions[[#This Row],[qno]],stable[qno],0)),TRUE)</f>
        <v>1</v>
      </c>
      <c r="AP1531" s="98" t="str">
        <f>LEFT(questions[[#This Row],[question]],similarity_range)</f>
        <v>Do you have riparian</v>
      </c>
      <c r="AQ1531" s="98" t="str">
        <f>LEFT(INDEX(stable[question],MATCH(questions[[#This Row],[qno]],stable[qno],0)),similarity_range)</f>
        <v>Do you have riparian</v>
      </c>
      <c r="AR1531" s="98" t="b">
        <f>questions[[#This Row],[question_first_characters]]=questions[[#This Row],[stability_first_characters]]</f>
        <v>1</v>
      </c>
      <c r="AS1531" s="98" t="b">
        <f>IF(OR(questions[[#This Row],[is_single_select]],questions[[#This Row],[is_multi_select]]),NOT(ISBLANK(questions[[#This Row],[answer_opt_combined]])),TRUE)</f>
        <v>1</v>
      </c>
    </row>
    <row r="1532" spans="1:45" s="77" customFormat="1" ht="15.75" customHeight="1" x14ac:dyDescent="0.25">
      <c r="A1532" s="77" t="str">
        <f>_xlfn.TEXTJOIN("_",TRUE,questions[[#This Row],[origin]:[qno]])</f>
        <v>Brazil_Arabica_2025_7701</v>
      </c>
      <c r="B1532" s="77" t="s">
        <v>1025</v>
      </c>
      <c r="C1532" s="77" t="s">
        <v>59</v>
      </c>
      <c r="E1532" s="77">
        <v>2025</v>
      </c>
      <c r="F1532" s="107" t="s">
        <v>490</v>
      </c>
      <c r="G1532" s="78" t="s">
        <v>491</v>
      </c>
      <c r="H1532" s="9" t="str" cm="1">
        <f t="array" ref="H1532">INDEX(stableR[question],MATCH(VALUE(questions[[#This Row],[qno]]),VALUE(stableR[qno]),0))</f>
        <v>How many of the riparian areas in your coffee plots are covered/protected with natural vegetation</v>
      </c>
      <c r="I1532" s="9" t="b" cm="1">
        <f t="array" ref="I1532">INDEX(stable[is_fixed],MATCH(VALUE(questions[[#This Row],[qno]]),VALUE(stable[qno]),0))</f>
        <v>1</v>
      </c>
      <c r="J1532" s="9" t="b" cm="1">
        <f t="array" ref="J1532">INDEX(stable[is_localized],MATCH(VALUE(questions[[#This Row],[qno]]),VALUE(stable[qno]),0))</f>
        <v>0</v>
      </c>
      <c r="K1532" s="9" t="b" cm="1">
        <f t="array" ref="K1532">INDEX(stable[is_supply_chain_dependent],MATCH(VALUE(questions[[#This Row],[qno]]),VALUE(stable[qno]),0))</f>
        <v>0</v>
      </c>
      <c r="L1532" s="9" t="b" cm="1">
        <f t="array" ref="L1532">INDEX(stable[is_mandatory],MATCH(VALUE(questions[[#This Row],[qno]]),VALUE(stable[qno]),0))</f>
        <v>0</v>
      </c>
      <c r="M1532" s="9" t="b" cm="1">
        <f t="array" ref="M1532">INDEX(stable[is_automated],MATCH(VALUE(questions[[#This Row],[qno]]),VALUE(stable[qno]),0))</f>
        <v>0</v>
      </c>
      <c r="N1532" s="9" t="b" cm="1">
        <f t="array" ref="N1532">INDEX(stable[is_free_text],MATCH(VALUE(questions[[#This Row],[qno]]),VALUE(stable[qno]),0))</f>
        <v>0</v>
      </c>
      <c r="O1532" s="9" t="b" cm="1">
        <f t="array" ref="O1532">INDEX(stable[is_numerical],MATCH(VALUE(questions[[#This Row],[qno]]),VALUE(stable[qno]),0))</f>
        <v>0</v>
      </c>
      <c r="P1532" s="77" t="b" cm="1">
        <f t="array" ref="P1532">INDEX(stable[is_single_select],MATCH(VALUE(questions[[#This Row],[qno]]),VALUE(stable[qno]),0))</f>
        <v>1</v>
      </c>
      <c r="Q1532" s="77" t="b" cm="1">
        <f t="array" ref="Q1532">INDEX(stable[is_multi_select],MATCH(VALUE(questions[[#This Row],[qno]]),VALUE(stable[qno]),0))</f>
        <v>0</v>
      </c>
      <c r="R1532" s="77" t="b" cm="1">
        <f t="array" ref="R1532">INDEX(stable[is_skip_logic],MATCH(VALUE(questions[[#This Row],[qno]]),VALUE(stable[qno]),0))</f>
        <v>0</v>
      </c>
      <c r="S1532" s="77" t="str">
        <f>_xlfn.TEXTJOIN(", ",TRUE,questions[[#This Row],[ans_opt_1]:[ans_opt_14]])</f>
        <v>All, Some</v>
      </c>
      <c r="T1532" s="77" t="s">
        <v>492</v>
      </c>
      <c r="U1532" s="77" t="s">
        <v>493</v>
      </c>
      <c r="AH1532" s="98" t="b">
        <f>INDEX(stable[q_standard],MATCH(questions[[#This Row],[qno]],stable[qno],0))</f>
        <v>0</v>
      </c>
      <c r="AI1532" s="98" t="b">
        <f>INDEX(stable[q_living_income],MATCH(questions[[#This Row],[qno]],stable[qno],0))</f>
        <v>0</v>
      </c>
      <c r="AJ1532" s="98" t="b">
        <f>INDEX(stable[q_carbon],MATCH(questions[[#This Row],[qno]],stable[qno],0))</f>
        <v>0</v>
      </c>
      <c r="AK1532" s="98" t="b">
        <f>INDEX(stable[q_regen_ag],MATCH(questions[[#This Row],[qno]],stable[qno],0))</f>
        <v>1</v>
      </c>
      <c r="AL1532" s="98" t="b">
        <f>COUNTIFS(stable[qno],questions[[#This Row],[qno]])=1</f>
        <v>1</v>
      </c>
      <c r="AM1532" s="98" t="b">
        <f>OR(questions[[#This Row],[is_fixed]],questions[[#This Row],[is_localized]],questions[[#This Row],[is_supply_chain_dependent]])</f>
        <v>1</v>
      </c>
      <c r="AN1532" s="98" t="b">
        <f>COUNTIFS(questions[[#This Row],[is_automated]:[is_multi_select]],TRUE)=1</f>
        <v>1</v>
      </c>
      <c r="AO1532" s="98" t="b">
        <f>IF(questions[[#This Row],[is_fixed]],questions[[#This Row],[question]]=INDEX(stable[question],MATCH(questions[[#This Row],[qno]],stable[qno],0)),TRUE)</f>
        <v>1</v>
      </c>
      <c r="AP1532" s="98" t="str">
        <f>LEFT(questions[[#This Row],[question]],similarity_range)</f>
        <v>How many of the ripa</v>
      </c>
      <c r="AQ1532" s="98" t="str">
        <f>LEFT(INDEX(stable[question],MATCH(questions[[#This Row],[qno]],stable[qno],0)),similarity_range)</f>
        <v>How many of the ripa</v>
      </c>
      <c r="AR1532" s="98" t="b">
        <f>questions[[#This Row],[question_first_characters]]=questions[[#This Row],[stability_first_characters]]</f>
        <v>1</v>
      </c>
      <c r="AS1532" s="98" t="b">
        <f>IF(OR(questions[[#This Row],[is_single_select]],questions[[#This Row],[is_multi_select]]),NOT(ISBLANK(questions[[#This Row],[answer_opt_combined]])),TRUE)</f>
        <v>1</v>
      </c>
    </row>
    <row r="1533" spans="1:45" s="77" customFormat="1" ht="15.75" customHeight="1" x14ac:dyDescent="0.25">
      <c r="A1533" s="77" t="str">
        <f>_xlfn.TEXTJOIN("_",TRUE,questions[[#This Row],[origin]:[qno]])</f>
        <v>Brazil_Arabica_2025_8000</v>
      </c>
      <c r="B1533" s="77" t="s">
        <v>1025</v>
      </c>
      <c r="C1533" s="77" t="s">
        <v>59</v>
      </c>
      <c r="E1533" s="77">
        <v>2025</v>
      </c>
      <c r="F1533" s="107" t="s">
        <v>494</v>
      </c>
      <c r="G1533" s="78" t="s">
        <v>495</v>
      </c>
      <c r="H1533" s="9" t="str" cm="1">
        <f t="array" ref="H1533">INDEX(stableR[question],MATCH(VALUE(questions[[#This Row],[qno]]),VALUE(stableR[qno]),0))</f>
        <v>What describes the soil type best in the coffee plot of the farmer (please observe your self)</v>
      </c>
      <c r="I1533" s="9" t="b" cm="1">
        <f t="array" ref="I1533">INDEX(stable[is_fixed],MATCH(VALUE(questions[[#This Row],[qno]]),VALUE(stable[qno]),0))</f>
        <v>1</v>
      </c>
      <c r="J1533" s="9" t="b" cm="1">
        <f t="array" ref="J1533">INDEX(stable[is_localized],MATCH(VALUE(questions[[#This Row],[qno]]),VALUE(stable[qno]),0))</f>
        <v>0</v>
      </c>
      <c r="K1533" s="9" t="b" cm="1">
        <f t="array" ref="K1533">INDEX(stable[is_supply_chain_dependent],MATCH(VALUE(questions[[#This Row],[qno]]),VALUE(stable[qno]),0))</f>
        <v>0</v>
      </c>
      <c r="L1533" s="9" t="b" cm="1">
        <f t="array" ref="L1533">INDEX(stable[is_mandatory],MATCH(VALUE(questions[[#This Row],[qno]]),VALUE(stable[qno]),0))</f>
        <v>1</v>
      </c>
      <c r="M1533" s="9" t="b" cm="1">
        <f t="array" ref="M1533">INDEX(stable[is_automated],MATCH(VALUE(questions[[#This Row],[qno]]),VALUE(stable[qno]),0))</f>
        <v>0</v>
      </c>
      <c r="N1533" s="9" t="b" cm="1">
        <f t="array" ref="N1533">INDEX(stable[is_free_text],MATCH(VALUE(questions[[#This Row],[qno]]),VALUE(stable[qno]),0))</f>
        <v>0</v>
      </c>
      <c r="O1533" s="9" t="b" cm="1">
        <f t="array" ref="O1533">INDEX(stable[is_numerical],MATCH(VALUE(questions[[#This Row],[qno]]),VALUE(stable[qno]),0))</f>
        <v>0</v>
      </c>
      <c r="P1533" s="77" t="b" cm="1">
        <f t="array" ref="P1533">INDEX(stable[is_single_select],MATCH(VALUE(questions[[#This Row],[qno]]),VALUE(stable[qno]),0))</f>
        <v>1</v>
      </c>
      <c r="Q1533" s="77" t="b" cm="1">
        <f t="array" ref="Q1533">INDEX(stable[is_multi_select],MATCH(VALUE(questions[[#This Row],[qno]]),VALUE(stable[qno]),0))</f>
        <v>0</v>
      </c>
      <c r="R1533" s="77" t="b" cm="1">
        <f t="array" ref="R1533">INDEX(stable[is_skip_logic],MATCH(VALUE(questions[[#This Row],[qno]]),VALUE(stable[qno]),0))</f>
        <v>0</v>
      </c>
      <c r="S1533" s="77" t="str">
        <f>_xlfn.TEXTJOIN(", ",TRUE,questions[[#This Row],[ans_opt_1]:[ans_opt_14]])</f>
        <v>High activity clay soils , Low activity clay soils, Sandy soils, Loamy soils, Volcanic soils, Wetland soils, Organic soils</v>
      </c>
      <c r="T1533" s="77" t="s">
        <v>817</v>
      </c>
      <c r="U1533" s="77" t="s">
        <v>497</v>
      </c>
      <c r="V1533" s="77" t="s">
        <v>498</v>
      </c>
      <c r="W1533" s="91" t="s">
        <v>499</v>
      </c>
      <c r="X1533" s="77" t="s">
        <v>500</v>
      </c>
      <c r="Y1533" s="77" t="s">
        <v>501</v>
      </c>
      <c r="Z1533" s="77" t="s">
        <v>502</v>
      </c>
      <c r="AA1533" s="91"/>
      <c r="AH1533" s="98" t="b">
        <f>INDEX(stable[q_standard],MATCH(questions[[#This Row],[qno]],stable[qno],0))</f>
        <v>0</v>
      </c>
      <c r="AI1533" s="98" t="b">
        <f>INDEX(stable[q_living_income],MATCH(questions[[#This Row],[qno]],stable[qno],0))</f>
        <v>0</v>
      </c>
      <c r="AJ1533" s="98" t="b">
        <f>INDEX(stable[q_carbon],MATCH(questions[[#This Row],[qno]],stable[qno],0))</f>
        <v>0</v>
      </c>
      <c r="AK1533" s="98" t="b">
        <f>INDEX(stable[q_regen_ag],MATCH(questions[[#This Row],[qno]],stable[qno],0))</f>
        <v>1</v>
      </c>
      <c r="AL1533" s="98" t="b">
        <f>COUNTIFS(stable[qno],questions[[#This Row],[qno]])=1</f>
        <v>1</v>
      </c>
      <c r="AM1533" s="98" t="b">
        <f>OR(questions[[#This Row],[is_fixed]],questions[[#This Row],[is_localized]],questions[[#This Row],[is_supply_chain_dependent]])</f>
        <v>1</v>
      </c>
      <c r="AN1533" s="98" t="b">
        <f>COUNTIFS(questions[[#This Row],[is_automated]:[is_multi_select]],TRUE)=1</f>
        <v>1</v>
      </c>
      <c r="AO1533" s="98" t="b">
        <f>IF(questions[[#This Row],[is_fixed]],questions[[#This Row],[question]]=INDEX(stable[question],MATCH(questions[[#This Row],[qno]],stable[qno],0)),TRUE)</f>
        <v>1</v>
      </c>
      <c r="AP1533" s="98" t="str">
        <f>LEFT(questions[[#This Row],[question]],similarity_range)</f>
        <v>What describes the s</v>
      </c>
      <c r="AQ1533" s="98" t="str">
        <f>LEFT(INDEX(stable[question],MATCH(questions[[#This Row],[qno]],stable[qno],0)),similarity_range)</f>
        <v>What describes the s</v>
      </c>
      <c r="AR1533" s="98" t="b">
        <f>questions[[#This Row],[question_first_characters]]=questions[[#This Row],[stability_first_characters]]</f>
        <v>1</v>
      </c>
      <c r="AS1533" s="98" t="b">
        <f>IF(OR(questions[[#This Row],[is_single_select]],questions[[#This Row],[is_multi_select]]),NOT(ISBLANK(questions[[#This Row],[answer_opt_combined]])),TRUE)</f>
        <v>1</v>
      </c>
    </row>
    <row r="1534" spans="1:45" s="77" customFormat="1" ht="15.75" customHeight="1" x14ac:dyDescent="0.25">
      <c r="A1534" s="77" t="str">
        <f>_xlfn.TEXTJOIN("_",TRUE,questions[[#This Row],[origin]:[qno]])</f>
        <v>Brazil_Arabica_2025_8010</v>
      </c>
      <c r="B1534" s="77" t="s">
        <v>1025</v>
      </c>
      <c r="C1534" s="77" t="s">
        <v>59</v>
      </c>
      <c r="E1534" s="77">
        <v>2025</v>
      </c>
      <c r="F1534" s="107" t="s">
        <v>503</v>
      </c>
      <c r="G1534" s="78" t="s">
        <v>504</v>
      </c>
      <c r="H1534" s="9" t="str" cm="1">
        <f t="array" ref="H1534">INDEX(stableR[question],MATCH(VALUE(questions[[#This Row],[qno]]),VALUE(stableR[qno]),0))</f>
        <v>What type of tillage/ploughing do you use in your coffee plots mostly (full tillages=fully turning the soil; reduced tillages is only losening the soil; No till is no tillage or ploughing of the soil at all)?</v>
      </c>
      <c r="I1534" s="9" t="b" cm="1">
        <f t="array" ref="I1534">INDEX(stable[is_fixed],MATCH(VALUE(questions[[#This Row],[qno]]),VALUE(stable[qno]),0))</f>
        <v>1</v>
      </c>
      <c r="J1534" s="9" t="b" cm="1">
        <f t="array" ref="J1534">INDEX(stable[is_localized],MATCH(VALUE(questions[[#This Row],[qno]]),VALUE(stable[qno]),0))</f>
        <v>0</v>
      </c>
      <c r="K1534" s="9" t="b" cm="1">
        <f t="array" ref="K1534">INDEX(stable[is_supply_chain_dependent],MATCH(VALUE(questions[[#This Row],[qno]]),VALUE(stable[qno]),0))</f>
        <v>0</v>
      </c>
      <c r="L1534" s="9" t="b" cm="1">
        <f t="array" ref="L1534">INDEX(stable[is_mandatory],MATCH(VALUE(questions[[#This Row],[qno]]),VALUE(stable[qno]),0))</f>
        <v>1</v>
      </c>
      <c r="M1534" s="9" t="b" cm="1">
        <f t="array" ref="M1534">INDEX(stable[is_automated],MATCH(VALUE(questions[[#This Row],[qno]]),VALUE(stable[qno]),0))</f>
        <v>0</v>
      </c>
      <c r="N1534" s="9" t="b" cm="1">
        <f t="array" ref="N1534">INDEX(stable[is_free_text],MATCH(VALUE(questions[[#This Row],[qno]]),VALUE(stable[qno]),0))</f>
        <v>0</v>
      </c>
      <c r="O1534" s="9" t="b" cm="1">
        <f t="array" ref="O1534">INDEX(stable[is_numerical],MATCH(VALUE(questions[[#This Row],[qno]]),VALUE(stable[qno]),0))</f>
        <v>0</v>
      </c>
      <c r="P1534" s="77" t="b" cm="1">
        <f t="array" ref="P1534">INDEX(stable[is_single_select],MATCH(VALUE(questions[[#This Row],[qno]]),VALUE(stable[qno]),0))</f>
        <v>1</v>
      </c>
      <c r="Q1534" s="77" t="b" cm="1">
        <f t="array" ref="Q1534">INDEX(stable[is_multi_select],MATCH(VALUE(questions[[#This Row],[qno]]),VALUE(stable[qno]),0))</f>
        <v>0</v>
      </c>
      <c r="R1534" s="77" t="b" cm="1">
        <f t="array" ref="R1534">INDEX(stable[is_skip_logic],MATCH(VALUE(questions[[#This Row],[qno]]),VALUE(stable[qno]),0))</f>
        <v>0</v>
      </c>
      <c r="S1534" s="77" t="str">
        <f>_xlfn.TEXTJOIN(", ",TRUE,questions[[#This Row],[ans_opt_1]:[ans_opt_14]])</f>
        <v>Full-tillage, Reduced tillage, No till</v>
      </c>
      <c r="T1534" s="113" t="s">
        <v>505</v>
      </c>
      <c r="U1534" s="113" t="s">
        <v>506</v>
      </c>
      <c r="V1534" s="113" t="s">
        <v>507</v>
      </c>
      <c r="AH1534" s="98" t="b">
        <f>INDEX(stable[q_standard],MATCH(questions[[#This Row],[qno]],stable[qno],0))</f>
        <v>0</v>
      </c>
      <c r="AI1534" s="98" t="b">
        <f>INDEX(stable[q_living_income],MATCH(questions[[#This Row],[qno]],stable[qno],0))</f>
        <v>0</v>
      </c>
      <c r="AJ1534" s="98" t="b">
        <f>INDEX(stable[q_carbon],MATCH(questions[[#This Row],[qno]],stable[qno],0))</f>
        <v>0</v>
      </c>
      <c r="AK1534" s="98" t="b">
        <f>INDEX(stable[q_regen_ag],MATCH(questions[[#This Row],[qno]],stable[qno],0))</f>
        <v>1</v>
      </c>
      <c r="AL1534" s="98" t="b">
        <f>COUNTIFS(stable[qno],questions[[#This Row],[qno]])=1</f>
        <v>1</v>
      </c>
      <c r="AM1534" s="98" t="b">
        <f>OR(questions[[#This Row],[is_fixed]],questions[[#This Row],[is_localized]],questions[[#This Row],[is_supply_chain_dependent]])</f>
        <v>1</v>
      </c>
      <c r="AN1534" s="98" t="b">
        <f>COUNTIFS(questions[[#This Row],[is_automated]:[is_multi_select]],TRUE)=1</f>
        <v>1</v>
      </c>
      <c r="AO1534" s="98" t="b">
        <f>IF(questions[[#This Row],[is_fixed]],questions[[#This Row],[question]]=INDEX(stable[question],MATCH(questions[[#This Row],[qno]],stable[qno],0)),TRUE)</f>
        <v>1</v>
      </c>
      <c r="AP1534" s="98" t="str">
        <f>LEFT(questions[[#This Row],[question]],similarity_range)</f>
        <v>What type of tillage</v>
      </c>
      <c r="AQ1534" s="98" t="str">
        <f>LEFT(INDEX(stable[question],MATCH(questions[[#This Row],[qno]],stable[qno],0)),similarity_range)</f>
        <v>What type of tillage</v>
      </c>
      <c r="AR1534" s="98" t="b">
        <f>questions[[#This Row],[question_first_characters]]=questions[[#This Row],[stability_first_characters]]</f>
        <v>1</v>
      </c>
      <c r="AS1534" s="98" t="b">
        <f>IF(OR(questions[[#This Row],[is_single_select]],questions[[#This Row],[is_multi_select]]),NOT(ISBLANK(questions[[#This Row],[answer_opt_combined]])),TRUE)</f>
        <v>1</v>
      </c>
    </row>
    <row r="1535" spans="1:45" s="77" customFormat="1" ht="15.75" customHeight="1" x14ac:dyDescent="0.25">
      <c r="A1535" s="77" t="str">
        <f>_xlfn.TEXTJOIN("_",TRUE,questions[[#This Row],[origin]:[qno]])</f>
        <v>Brazil_Arabica_2025_8100</v>
      </c>
      <c r="B1535" s="77" t="s">
        <v>1025</v>
      </c>
      <c r="C1535" s="77" t="s">
        <v>59</v>
      </c>
      <c r="E1535" s="77">
        <v>2025</v>
      </c>
      <c r="F1535" s="107" t="s">
        <v>616</v>
      </c>
      <c r="G1535" s="78" t="s">
        <v>715</v>
      </c>
      <c r="H1535" s="9" t="str" cm="1">
        <f t="array" ref="H1535">INDEX(stableR[question],MATCH(VALUE(questions[[#This Row],[qno]]),VALUE(stableR[qno]),0))</f>
        <v>After hulling the dried coffee cherries, what did you do with the husks, last year?</v>
      </c>
      <c r="I1535" s="9" t="b" cm="1">
        <f t="array" ref="I1535">INDEX(stable[is_fixed],MATCH(VALUE(questions[[#This Row],[qno]]),VALUE(stable[qno]),0))</f>
        <v>0</v>
      </c>
      <c r="J1535" s="9" t="b" cm="1">
        <f t="array" ref="J1535">INDEX(stable[is_localized],MATCH(VALUE(questions[[#This Row],[qno]]),VALUE(stable[qno]),0))</f>
        <v>1</v>
      </c>
      <c r="K1535" s="9" t="b" cm="1">
        <f t="array" ref="K1535">INDEX(stable[is_supply_chain_dependent],MATCH(VALUE(questions[[#This Row],[qno]]),VALUE(stable[qno]),0))</f>
        <v>1</v>
      </c>
      <c r="L1535" s="9" t="b" cm="1">
        <f t="array" ref="L1535">INDEX(stable[is_mandatory],MATCH(VALUE(questions[[#This Row],[qno]]),VALUE(stable[qno]),0))</f>
        <v>1</v>
      </c>
      <c r="M1535" s="9" t="b" cm="1">
        <f t="array" ref="M1535">INDEX(stable[is_automated],MATCH(VALUE(questions[[#This Row],[qno]]),VALUE(stable[qno]),0))</f>
        <v>0</v>
      </c>
      <c r="N1535" s="9" t="b" cm="1">
        <f t="array" ref="N1535">INDEX(stable[is_free_text],MATCH(VALUE(questions[[#This Row],[qno]]),VALUE(stable[qno]),0))</f>
        <v>0</v>
      </c>
      <c r="O1535" s="9" t="b" cm="1">
        <f t="array" ref="O1535">INDEX(stable[is_numerical],MATCH(VALUE(questions[[#This Row],[qno]]),VALUE(stable[qno]),0))</f>
        <v>0</v>
      </c>
      <c r="P1535" s="77" t="b" cm="1">
        <f t="array" ref="P1535">INDEX(stable[is_single_select],MATCH(VALUE(questions[[#This Row],[qno]]),VALUE(stable[qno]),0))</f>
        <v>1</v>
      </c>
      <c r="Q1535" s="77" t="b" cm="1">
        <f t="array" ref="Q1535">INDEX(stable[is_multi_select],MATCH(VALUE(questions[[#This Row],[qno]]),VALUE(stable[qno]),0))</f>
        <v>0</v>
      </c>
      <c r="R1535" s="77" t="b" cm="1">
        <f t="array" ref="R1535">INDEX(stable[is_skip_logic],MATCH(VALUE(questions[[#This Row],[qno]]),VALUE(stable[qno]),0))</f>
        <v>0</v>
      </c>
      <c r="S1535" s="77" t="str">
        <f>_xlfn.TEXTJOIN(", ",TRUE,questions[[#This Row],[ans_opt_1]:[ans_opt_14]])</f>
        <v>Apply to coffee farms within the supply chain, right after processing (e.g. after de-pulping in wet processing and after de-husking in dry processing) without composting, Apply to other crops without composting, Compost and add to coffee farms within the supply chain, Compost and add to other farms outside the supply chain, Temporarily left untreated in a heap/pit (max. 6 months), after which it is applied to the coffee farms within the supply chain, Temporarily left untreated in a heap/pit (max. 6 months), after which it sold or given away (outside the supply chain), Leave them in a pile untreated (min. 6 months or longer) and then applied to the coffee farms within the supply chain, Leave them in a pile untreated (min. 6 months or longer), no other management, Burn on farm, Sell to a buyer or given away (outside the supply chain)</v>
      </c>
      <c r="T1535" s="137" t="s">
        <v>618</v>
      </c>
      <c r="U1535" s="137" t="s">
        <v>619</v>
      </c>
      <c r="V1535" s="137" t="s">
        <v>620</v>
      </c>
      <c r="W1535" s="137" t="s">
        <v>621</v>
      </c>
      <c r="X1535" s="137" t="s">
        <v>622</v>
      </c>
      <c r="Y1535" s="137" t="s">
        <v>623</v>
      </c>
      <c r="Z1535" s="137" t="s">
        <v>624</v>
      </c>
      <c r="AA1535" s="137" t="s">
        <v>625</v>
      </c>
      <c r="AB1535" s="137" t="s">
        <v>626</v>
      </c>
      <c r="AC1535" s="137" t="s">
        <v>627</v>
      </c>
      <c r="AH1535" s="98" t="b">
        <f>INDEX(stable[q_standard],MATCH(questions[[#This Row],[qno]],stable[qno],0))</f>
        <v>0</v>
      </c>
      <c r="AI1535" s="98" t="b">
        <f>INDEX(stable[q_living_income],MATCH(questions[[#This Row],[qno]],stable[qno],0))</f>
        <v>0</v>
      </c>
      <c r="AJ1535" s="98" t="b">
        <f>INDEX(stable[q_carbon],MATCH(questions[[#This Row],[qno]],stable[qno],0))</f>
        <v>1</v>
      </c>
      <c r="AK1535" s="98" t="b">
        <f>INDEX(stable[q_regen_ag],MATCH(questions[[#This Row],[qno]],stable[qno],0))</f>
        <v>0</v>
      </c>
      <c r="AL1535" s="98" t="b">
        <f>COUNTIFS(stable[qno],questions[[#This Row],[qno]])=1</f>
        <v>1</v>
      </c>
      <c r="AM1535" s="98" t="b">
        <f>OR(questions[[#This Row],[is_fixed]],questions[[#This Row],[is_localized]],questions[[#This Row],[is_supply_chain_dependent]])</f>
        <v>1</v>
      </c>
      <c r="AN1535" s="98" t="b">
        <f>COUNTIFS(questions[[#This Row],[is_automated]:[is_multi_select]],TRUE)=1</f>
        <v>1</v>
      </c>
      <c r="AO1535" s="98" t="b">
        <f>IF(questions[[#This Row],[is_fixed]],questions[[#This Row],[question]]=INDEX(stable[question],MATCH(questions[[#This Row],[qno]],stable[qno],0)),TRUE)</f>
        <v>1</v>
      </c>
      <c r="AP1535" s="98" t="str">
        <f>LEFT(questions[[#This Row],[question]],similarity_range)</f>
        <v>After hulling the dr</v>
      </c>
      <c r="AQ1535" s="98" t="str">
        <f>LEFT(INDEX(stable[question],MATCH(questions[[#This Row],[qno]],stable[qno],0)),similarity_range)</f>
        <v>After hulling the dr</v>
      </c>
      <c r="AR1535" s="98" t="b">
        <f>questions[[#This Row],[question_first_characters]]=questions[[#This Row],[stability_first_characters]]</f>
        <v>1</v>
      </c>
      <c r="AS1535" s="98" t="b">
        <f>IF(OR(questions[[#This Row],[is_single_select]],questions[[#This Row],[is_multi_select]]),NOT(ISBLANK(questions[[#This Row],[answer_opt_combined]])),TRUE)</f>
        <v>1</v>
      </c>
    </row>
    <row r="1536" spans="1:45" s="77" customFormat="1" ht="15.75" customHeight="1" x14ac:dyDescent="0.25">
      <c r="A1536" s="77" t="str">
        <f>_xlfn.TEXTJOIN("_",TRUE,questions[[#This Row],[origin]:[qno]])</f>
        <v>Brazil_Arabica_2025_8200</v>
      </c>
      <c r="B1536" s="77" t="s">
        <v>1025</v>
      </c>
      <c r="C1536" s="77" t="s">
        <v>59</v>
      </c>
      <c r="E1536" s="77">
        <v>2025</v>
      </c>
      <c r="F1536" s="107" t="s">
        <v>628</v>
      </c>
      <c r="G1536" s="78" t="s">
        <v>629</v>
      </c>
      <c r="H1536" s="9" t="str" cm="1">
        <f t="array" ref="H1536">INDEX(stableR[question],MATCH(VALUE(questions[[#This Row],[qno]]),VALUE(stableR[qno]),0))</f>
        <v>Did you use water for pulping/processing your coffee last year?</v>
      </c>
      <c r="I1536" s="9" t="b" cm="1">
        <f t="array" ref="I1536">INDEX(stable[is_fixed],MATCH(VALUE(questions[[#This Row],[qno]]),VALUE(stable[qno]),0))</f>
        <v>0</v>
      </c>
      <c r="J1536" s="9" t="b" cm="1">
        <f t="array" ref="J1536">INDEX(stable[is_localized],MATCH(VALUE(questions[[#This Row],[qno]]),VALUE(stable[qno]),0))</f>
        <v>0</v>
      </c>
      <c r="K1536" s="9" t="b" cm="1">
        <f t="array" ref="K1536">INDEX(stable[is_supply_chain_dependent],MATCH(VALUE(questions[[#This Row],[qno]]),VALUE(stable[qno]),0))</f>
        <v>1</v>
      </c>
      <c r="L1536" s="9" t="b" cm="1">
        <f t="array" ref="L1536">INDEX(stable[is_mandatory],MATCH(VALUE(questions[[#This Row],[qno]]),VALUE(stable[qno]),0))</f>
        <v>1</v>
      </c>
      <c r="M1536" s="9" t="b" cm="1">
        <f t="array" ref="M1536">INDEX(stable[is_automated],MATCH(VALUE(questions[[#This Row],[qno]]),VALUE(stable[qno]),0))</f>
        <v>0</v>
      </c>
      <c r="N1536" s="9" t="b" cm="1">
        <f t="array" ref="N1536">INDEX(stable[is_free_text],MATCH(VALUE(questions[[#This Row],[qno]]),VALUE(stable[qno]),0))</f>
        <v>0</v>
      </c>
      <c r="O1536" s="9" t="b" cm="1">
        <f t="array" ref="O1536">INDEX(stable[is_numerical],MATCH(VALUE(questions[[#This Row],[qno]]),VALUE(stable[qno]),0))</f>
        <v>0</v>
      </c>
      <c r="P1536" s="77" t="b" cm="1">
        <f t="array" ref="P1536">INDEX(stable[is_single_select],MATCH(VALUE(questions[[#This Row],[qno]]),VALUE(stable[qno]),0))</f>
        <v>1</v>
      </c>
      <c r="Q1536" s="77" t="b" cm="1">
        <f t="array" ref="Q1536">INDEX(stable[is_multi_select],MATCH(VALUE(questions[[#This Row],[qno]]),VALUE(stable[qno]),0))</f>
        <v>0</v>
      </c>
      <c r="R1536" s="77" t="b" cm="1">
        <f t="array" ref="R1536">INDEX(stable[is_skip_logic],MATCH(VALUE(questions[[#This Row],[qno]]),VALUE(stable[qno]),0))</f>
        <v>1</v>
      </c>
      <c r="S1536" s="77" t="str">
        <f>_xlfn.TEXTJOIN(", ",TRUE,questions[[#This Row],[ans_opt_1]:[ans_opt_14]])</f>
        <v>Yes, No</v>
      </c>
      <c r="T1536" s="77" t="s">
        <v>149</v>
      </c>
      <c r="U1536" s="77" t="s">
        <v>119</v>
      </c>
      <c r="AH1536" s="98" t="b">
        <f>INDEX(stable[q_standard],MATCH(questions[[#This Row],[qno]],stable[qno],0))</f>
        <v>0</v>
      </c>
      <c r="AI1536" s="98" t="b">
        <f>INDEX(stable[q_living_income],MATCH(questions[[#This Row],[qno]],stable[qno],0))</f>
        <v>0</v>
      </c>
      <c r="AJ1536" s="98" t="b">
        <f>INDEX(stable[q_carbon],MATCH(questions[[#This Row],[qno]],stable[qno],0))</f>
        <v>1</v>
      </c>
      <c r="AK1536" s="98" t="b">
        <f>INDEX(stable[q_regen_ag],MATCH(questions[[#This Row],[qno]],stable[qno],0))</f>
        <v>0</v>
      </c>
      <c r="AL1536" s="98" t="b">
        <f>COUNTIFS(stable[qno],questions[[#This Row],[qno]])=1</f>
        <v>1</v>
      </c>
      <c r="AM1536" s="98" t="b">
        <f>OR(questions[[#This Row],[is_fixed]],questions[[#This Row],[is_localized]],questions[[#This Row],[is_supply_chain_dependent]])</f>
        <v>1</v>
      </c>
      <c r="AN1536" s="98" t="b">
        <f>COUNTIFS(questions[[#This Row],[is_automated]:[is_multi_select]],TRUE)=1</f>
        <v>1</v>
      </c>
      <c r="AO1536" s="98" t="b">
        <f>IF(questions[[#This Row],[is_fixed]],questions[[#This Row],[question]]=INDEX(stable[question],MATCH(questions[[#This Row],[qno]],stable[qno],0)),TRUE)</f>
        <v>1</v>
      </c>
      <c r="AP1536" s="98" t="str">
        <f>LEFT(questions[[#This Row],[question]],similarity_range)</f>
        <v>Did you use water fo</v>
      </c>
      <c r="AQ1536" s="98" t="str">
        <f>LEFT(INDEX(stable[question],MATCH(questions[[#This Row],[qno]],stable[qno],0)),similarity_range)</f>
        <v>Did you use water fo</v>
      </c>
      <c r="AR1536" s="98" t="b">
        <f>questions[[#This Row],[question_first_characters]]=questions[[#This Row],[stability_first_characters]]</f>
        <v>1</v>
      </c>
      <c r="AS1536" s="98" t="b">
        <f>IF(OR(questions[[#This Row],[is_single_select]],questions[[#This Row],[is_multi_select]]),NOT(ISBLANK(questions[[#This Row],[answer_opt_combined]])),TRUE)</f>
        <v>1</v>
      </c>
    </row>
    <row r="1537" spans="1:45" s="77" customFormat="1" ht="15.75" customHeight="1" x14ac:dyDescent="0.25">
      <c r="A1537" s="77" t="str">
        <f>_xlfn.TEXTJOIN("_",TRUE,questions[[#This Row],[origin]:[qno]])</f>
        <v>Brazil_Arabica_2025_8201</v>
      </c>
      <c r="B1537" s="77" t="s">
        <v>1025</v>
      </c>
      <c r="C1537" s="77" t="s">
        <v>59</v>
      </c>
      <c r="E1537" s="77">
        <v>2025</v>
      </c>
      <c r="F1537" s="107" t="s">
        <v>630</v>
      </c>
      <c r="G1537" s="78" t="s">
        <v>631</v>
      </c>
      <c r="H1537" s="9" t="str" cm="1">
        <f t="array" ref="H1537">INDEX(stableR[question],MATCH(VALUE(questions[[#This Row],[qno]]),VALUE(stableR[qno]),0))</f>
        <v>If yes, what was the source of this water?</v>
      </c>
      <c r="I1537" s="9" t="b" cm="1">
        <f t="array" ref="I1537">INDEX(stable[is_fixed],MATCH(VALUE(questions[[#This Row],[qno]]),VALUE(stable[qno]),0))</f>
        <v>0</v>
      </c>
      <c r="J1537" s="9" t="b" cm="1">
        <f t="array" ref="J1537">INDEX(stable[is_localized],MATCH(VALUE(questions[[#This Row],[qno]]),VALUE(stable[qno]),0))</f>
        <v>0</v>
      </c>
      <c r="K1537" s="9" t="b" cm="1">
        <f t="array" ref="K1537">INDEX(stable[is_supply_chain_dependent],MATCH(VALUE(questions[[#This Row],[qno]]),VALUE(stable[qno]),0))</f>
        <v>1</v>
      </c>
      <c r="L1537" s="9" t="b" cm="1">
        <f t="array" ref="L1537">INDEX(stable[is_mandatory],MATCH(VALUE(questions[[#This Row],[qno]]),VALUE(stable[qno]),0))</f>
        <v>0</v>
      </c>
      <c r="M1537" s="9" t="b" cm="1">
        <f t="array" ref="M1537">INDEX(stable[is_automated],MATCH(VALUE(questions[[#This Row],[qno]]),VALUE(stable[qno]),0))</f>
        <v>0</v>
      </c>
      <c r="N1537" s="9" t="b" cm="1">
        <f t="array" ref="N1537">INDEX(stable[is_free_text],MATCH(VALUE(questions[[#This Row],[qno]]),VALUE(stable[qno]),0))</f>
        <v>0</v>
      </c>
      <c r="O1537" s="9" t="b" cm="1">
        <f t="array" ref="O1537">INDEX(stable[is_numerical],MATCH(VALUE(questions[[#This Row],[qno]]),VALUE(stable[qno]),0))</f>
        <v>0</v>
      </c>
      <c r="P1537" s="77" t="b" cm="1">
        <f t="array" ref="P1537">INDEX(stable[is_single_select],MATCH(VALUE(questions[[#This Row],[qno]]),VALUE(stable[qno]),0))</f>
        <v>1</v>
      </c>
      <c r="Q1537" s="77" t="b" cm="1">
        <f t="array" ref="Q1537">INDEX(stable[is_multi_select],MATCH(VALUE(questions[[#This Row],[qno]]),VALUE(stable[qno]),0))</f>
        <v>0</v>
      </c>
      <c r="R1537" s="77" t="b" cm="1">
        <f t="array" ref="R1537">INDEX(stable[is_skip_logic],MATCH(VALUE(questions[[#This Row],[qno]]),VALUE(stable[qno]),0))</f>
        <v>1</v>
      </c>
      <c r="S1537" s="77" t="str">
        <f>_xlfn.TEXTJOIN(", ",TRUE,questions[[#This Row],[ans_opt_1]:[ans_opt_14]])</f>
        <v>Tap water, Natural stream, Rain water, Ground water, Other</v>
      </c>
      <c r="T1537" s="113" t="s">
        <v>632</v>
      </c>
      <c r="U1537" s="77" t="s">
        <v>633</v>
      </c>
      <c r="V1537" s="77" t="s">
        <v>634</v>
      </c>
      <c r="W1537" s="77" t="s">
        <v>635</v>
      </c>
      <c r="AG1537" s="77" t="s">
        <v>112</v>
      </c>
      <c r="AH1537" s="98" t="b">
        <f>INDEX(stable[q_standard],MATCH(questions[[#This Row],[qno]],stable[qno],0))</f>
        <v>0</v>
      </c>
      <c r="AI1537" s="98" t="b">
        <f>INDEX(stable[q_living_income],MATCH(questions[[#This Row],[qno]],stable[qno],0))</f>
        <v>0</v>
      </c>
      <c r="AJ1537" s="98" t="b">
        <f>INDEX(stable[q_carbon],MATCH(questions[[#This Row],[qno]],stable[qno],0))</f>
        <v>1</v>
      </c>
      <c r="AK1537" s="98" t="b">
        <f>INDEX(stable[q_regen_ag],MATCH(questions[[#This Row],[qno]],stable[qno],0))</f>
        <v>0</v>
      </c>
      <c r="AL1537" s="98" t="b">
        <f>COUNTIFS(stable[qno],questions[[#This Row],[qno]])=1</f>
        <v>1</v>
      </c>
      <c r="AM1537" s="98" t="b">
        <f>OR(questions[[#This Row],[is_fixed]],questions[[#This Row],[is_localized]],questions[[#This Row],[is_supply_chain_dependent]])</f>
        <v>1</v>
      </c>
      <c r="AN1537" s="98" t="b">
        <f>COUNTIFS(questions[[#This Row],[is_automated]:[is_multi_select]],TRUE)=1</f>
        <v>1</v>
      </c>
      <c r="AO1537" s="98" t="b">
        <f>IF(questions[[#This Row],[is_fixed]],questions[[#This Row],[question]]=INDEX(stable[question],MATCH(questions[[#This Row],[qno]],stable[qno],0)),TRUE)</f>
        <v>1</v>
      </c>
      <c r="AP1537" s="98" t="str">
        <f>LEFT(questions[[#This Row],[question]],similarity_range)</f>
        <v>If yes, what was the</v>
      </c>
      <c r="AQ1537" s="98" t="str">
        <f>LEFT(INDEX(stable[question],MATCH(questions[[#This Row],[qno]],stable[qno],0)),similarity_range)</f>
        <v>If yes, what was the</v>
      </c>
      <c r="AR1537" s="98" t="b">
        <f>questions[[#This Row],[question_first_characters]]=questions[[#This Row],[stability_first_characters]]</f>
        <v>1</v>
      </c>
      <c r="AS1537" s="98" t="b">
        <f>IF(OR(questions[[#This Row],[is_single_select]],questions[[#This Row],[is_multi_select]]),NOT(ISBLANK(questions[[#This Row],[answer_opt_combined]])),TRUE)</f>
        <v>1</v>
      </c>
    </row>
    <row r="1538" spans="1:45" ht="15.75" customHeight="1" x14ac:dyDescent="0.25">
      <c r="A1538" s="9" t="str">
        <f>_xlfn.TEXTJOIN("_",TRUE,questions[[#This Row],[origin]:[qno]])</f>
        <v>Brazil_Arabica_2025_8202</v>
      </c>
      <c r="B1538" s="9" t="s">
        <v>1025</v>
      </c>
      <c r="C1538" s="9" t="s">
        <v>59</v>
      </c>
      <c r="E1538" s="33">
        <v>2025</v>
      </c>
      <c r="F1538" s="19" t="s">
        <v>636</v>
      </c>
      <c r="G1538" s="15" t="s">
        <v>637</v>
      </c>
      <c r="H1538" s="9" t="str" cm="1">
        <f t="array" ref="H1538">INDEX(stableR[question],MATCH(VALUE(questions[[#This Row],[qno]]),VALUE(stableR[qno]),0))</f>
        <v>If yes, can you estimate how many liters did you use per day?</v>
      </c>
      <c r="I1538" s="9" t="b" cm="1">
        <f t="array" ref="I1538">INDEX(stable[is_fixed],MATCH(VALUE(questions[[#This Row],[qno]]),VALUE(stable[qno]),0))</f>
        <v>0</v>
      </c>
      <c r="J1538" s="9" t="b" cm="1">
        <f t="array" ref="J1538">INDEX(stable[is_localized],MATCH(VALUE(questions[[#This Row],[qno]]),VALUE(stable[qno]),0))</f>
        <v>0</v>
      </c>
      <c r="K1538" s="9" t="b" cm="1">
        <f t="array" ref="K1538">INDEX(stable[is_supply_chain_dependent],MATCH(VALUE(questions[[#This Row],[qno]]),VALUE(stable[qno]),0))</f>
        <v>1</v>
      </c>
      <c r="L1538" s="9" t="b" cm="1">
        <f t="array" ref="L1538">INDEX(stable[is_mandatory],MATCH(VALUE(questions[[#This Row],[qno]]),VALUE(stable[qno]),0))</f>
        <v>0</v>
      </c>
      <c r="M1538" s="9" t="b" cm="1">
        <f t="array" ref="M1538">INDEX(stable[is_automated],MATCH(VALUE(questions[[#This Row],[qno]]),VALUE(stable[qno]),0))</f>
        <v>0</v>
      </c>
      <c r="N1538" s="9" t="b" cm="1">
        <f t="array" ref="N1538">INDEX(stable[is_free_text],MATCH(VALUE(questions[[#This Row],[qno]]),VALUE(stable[qno]),0))</f>
        <v>0</v>
      </c>
      <c r="O1538" s="9" t="b" cm="1">
        <f t="array" ref="O1538">INDEX(stable[is_numerical],MATCH(VALUE(questions[[#This Row],[qno]]),VALUE(stable[qno]),0))</f>
        <v>1</v>
      </c>
      <c r="P1538" s="9" t="b" cm="1">
        <f t="array" ref="P1538">INDEX(stable[is_single_select],MATCH(VALUE(questions[[#This Row],[qno]]),VALUE(stable[qno]),0))</f>
        <v>0</v>
      </c>
      <c r="Q1538" s="9" t="b" cm="1">
        <f t="array" ref="Q1538">INDEX(stable[is_multi_select],MATCH(VALUE(questions[[#This Row],[qno]]),VALUE(stable[qno]),0))</f>
        <v>0</v>
      </c>
      <c r="R1538" s="9" t="b" cm="1">
        <f t="array" ref="R1538">INDEX(stable[is_skip_logic],MATCH(VALUE(questions[[#This Row],[qno]]),VALUE(stable[qno]),0))</f>
        <v>1</v>
      </c>
      <c r="S1538" s="9" t="str">
        <f>_xlfn.TEXTJOIN(", ",TRUE,questions[[#This Row],[ans_opt_1]:[ans_opt_14]])</f>
        <v/>
      </c>
      <c r="AH1538" s="16" t="b">
        <f>INDEX(stable[q_standard],MATCH(questions[[#This Row],[qno]],stable[qno],0))</f>
        <v>0</v>
      </c>
      <c r="AI1538" s="16" t="b">
        <f>INDEX(stable[q_living_income],MATCH(questions[[#This Row],[qno]],stable[qno],0))</f>
        <v>0</v>
      </c>
      <c r="AJ1538" s="16" t="b">
        <f>INDEX(stable[q_carbon],MATCH(questions[[#This Row],[qno]],stable[qno],0))</f>
        <v>1</v>
      </c>
      <c r="AK1538" s="16" t="b">
        <f>INDEX(stable[q_regen_ag],MATCH(questions[[#This Row],[qno]],stable[qno],0))</f>
        <v>0</v>
      </c>
      <c r="AL1538" s="16" t="b">
        <f>COUNTIFS(stable[qno],questions[[#This Row],[qno]])=1</f>
        <v>1</v>
      </c>
      <c r="AM1538" s="16" t="b">
        <f>OR(questions[[#This Row],[is_fixed]],questions[[#This Row],[is_localized]],questions[[#This Row],[is_supply_chain_dependent]])</f>
        <v>1</v>
      </c>
      <c r="AN1538" s="16" t="b">
        <f>COUNTIFS(questions[[#This Row],[is_automated]:[is_multi_select]],TRUE)=1</f>
        <v>1</v>
      </c>
      <c r="AO1538" s="16" t="b">
        <f>IF(questions[[#This Row],[is_fixed]],questions[[#This Row],[question]]=INDEX(stable[question],MATCH(questions[[#This Row],[qno]],stable[qno],0)),TRUE)</f>
        <v>1</v>
      </c>
      <c r="AP1538" s="16" t="str">
        <f>LEFT(questions[[#This Row],[question]],similarity_range)</f>
        <v>If yes, can you esti</v>
      </c>
      <c r="AQ1538" s="16" t="str">
        <f>LEFT(INDEX(stable[question],MATCH(questions[[#This Row],[qno]],stable[qno],0)),similarity_range)</f>
        <v>If yes, can you esti</v>
      </c>
      <c r="AR1538" s="16" t="b">
        <f>questions[[#This Row],[question_first_characters]]=questions[[#This Row],[stability_first_characters]]</f>
        <v>1</v>
      </c>
      <c r="AS1538" s="16" t="b">
        <f>IF(OR(questions[[#This Row],[is_single_select]],questions[[#This Row],[is_multi_select]]),NOT(ISBLANK(questions[[#This Row],[answer_opt_combined]])),TRUE)</f>
        <v>1</v>
      </c>
    </row>
    <row r="1539" spans="1:45" ht="15.75" customHeight="1" x14ac:dyDescent="0.25">
      <c r="A1539" s="9" t="str">
        <f>_xlfn.TEXTJOIN("_",TRUE,questions[[#This Row],[origin]:[qno]])</f>
        <v>Brazil_Arabica_2025_8203</v>
      </c>
      <c r="B1539" s="9" t="s">
        <v>1025</v>
      </c>
      <c r="C1539" s="9" t="s">
        <v>59</v>
      </c>
      <c r="E1539" s="33">
        <v>2025</v>
      </c>
      <c r="F1539" s="19" t="s">
        <v>638</v>
      </c>
      <c r="G1539" s="15" t="s">
        <v>639</v>
      </c>
      <c r="H1539" s="9" t="str" cm="1">
        <f t="array" ref="H1539">INDEX(stableR[question],MATCH(VALUE(questions[[#This Row],[qno]]),VALUE(stableR[qno]),0))</f>
        <v>If yes, how many days did you use water last year?</v>
      </c>
      <c r="I1539" s="9" t="b" cm="1">
        <f t="array" ref="I1539">INDEX(stable[is_fixed],MATCH(VALUE(questions[[#This Row],[qno]]),VALUE(stable[qno]),0))</f>
        <v>0</v>
      </c>
      <c r="J1539" s="9" t="b" cm="1">
        <f t="array" ref="J1539">INDEX(stable[is_localized],MATCH(VALUE(questions[[#This Row],[qno]]),VALUE(stable[qno]),0))</f>
        <v>0</v>
      </c>
      <c r="K1539" s="9" t="b" cm="1">
        <f t="array" ref="K1539">INDEX(stable[is_supply_chain_dependent],MATCH(VALUE(questions[[#This Row],[qno]]),VALUE(stable[qno]),0))</f>
        <v>1</v>
      </c>
      <c r="L1539" s="9" t="b" cm="1">
        <f t="array" ref="L1539">INDEX(stable[is_mandatory],MATCH(VALUE(questions[[#This Row],[qno]]),VALUE(stable[qno]),0))</f>
        <v>0</v>
      </c>
      <c r="M1539" s="9" t="b" cm="1">
        <f t="array" ref="M1539">INDEX(stable[is_automated],MATCH(VALUE(questions[[#This Row],[qno]]),VALUE(stable[qno]),0))</f>
        <v>0</v>
      </c>
      <c r="N1539" s="9" t="b" cm="1">
        <f t="array" ref="N1539">INDEX(stable[is_free_text],MATCH(VALUE(questions[[#This Row],[qno]]),VALUE(stable[qno]),0))</f>
        <v>0</v>
      </c>
      <c r="O1539" s="9" t="b" cm="1">
        <f t="array" ref="O1539">INDEX(stable[is_numerical],MATCH(VALUE(questions[[#This Row],[qno]]),VALUE(stable[qno]),0))</f>
        <v>1</v>
      </c>
      <c r="P1539" s="9" t="b" cm="1">
        <f t="array" ref="P1539">INDEX(stable[is_single_select],MATCH(VALUE(questions[[#This Row],[qno]]),VALUE(stable[qno]),0))</f>
        <v>0</v>
      </c>
      <c r="Q1539" s="9" t="b" cm="1">
        <f t="array" ref="Q1539">INDEX(stable[is_multi_select],MATCH(VALUE(questions[[#This Row],[qno]]),VALUE(stable[qno]),0))</f>
        <v>0</v>
      </c>
      <c r="R1539" s="9" t="b" cm="1">
        <f t="array" ref="R1539">INDEX(stable[is_skip_logic],MATCH(VALUE(questions[[#This Row],[qno]]),VALUE(stable[qno]),0))</f>
        <v>1</v>
      </c>
      <c r="S1539" s="9" t="str">
        <f>_xlfn.TEXTJOIN(", ",TRUE,questions[[#This Row],[ans_opt_1]:[ans_opt_14]])</f>
        <v/>
      </c>
      <c r="AH1539" s="16" t="b">
        <f>INDEX(stable[q_standard],MATCH(questions[[#This Row],[qno]],stable[qno],0))</f>
        <v>0</v>
      </c>
      <c r="AI1539" s="16" t="b">
        <f>INDEX(stable[q_living_income],MATCH(questions[[#This Row],[qno]],stable[qno],0))</f>
        <v>0</v>
      </c>
      <c r="AJ1539" s="16" t="b">
        <f>INDEX(stable[q_carbon],MATCH(questions[[#This Row],[qno]],stable[qno],0))</f>
        <v>1</v>
      </c>
      <c r="AK1539" s="16" t="b">
        <f>INDEX(stable[q_regen_ag],MATCH(questions[[#This Row],[qno]],stable[qno],0))</f>
        <v>0</v>
      </c>
      <c r="AL1539" s="16" t="b">
        <f>COUNTIFS(stable[qno],questions[[#This Row],[qno]])=1</f>
        <v>1</v>
      </c>
      <c r="AM1539" s="16" t="b">
        <f>OR(questions[[#This Row],[is_fixed]],questions[[#This Row],[is_localized]],questions[[#This Row],[is_supply_chain_dependent]])</f>
        <v>1</v>
      </c>
      <c r="AN1539" s="16" t="b">
        <f>COUNTIFS(questions[[#This Row],[is_automated]:[is_multi_select]],TRUE)=1</f>
        <v>1</v>
      </c>
      <c r="AO1539" s="16" t="b">
        <f>IF(questions[[#This Row],[is_fixed]],questions[[#This Row],[question]]=INDEX(stable[question],MATCH(questions[[#This Row],[qno]],stable[qno],0)),TRUE)</f>
        <v>1</v>
      </c>
      <c r="AP1539" s="16" t="str">
        <f>LEFT(questions[[#This Row],[question]],similarity_range)</f>
        <v>If yes, how many day</v>
      </c>
      <c r="AQ1539" s="16" t="str">
        <f>LEFT(INDEX(stable[question],MATCH(questions[[#This Row],[qno]],stable[qno],0)),similarity_range)</f>
        <v>If yes, how many day</v>
      </c>
      <c r="AR1539" s="16" t="b">
        <f>questions[[#This Row],[question_first_characters]]=questions[[#This Row],[stability_first_characters]]</f>
        <v>1</v>
      </c>
      <c r="AS1539" s="16" t="b">
        <f>IF(OR(questions[[#This Row],[is_single_select]],questions[[#This Row],[is_multi_select]]),NOT(ISBLANK(questions[[#This Row],[answer_opt_combined]])),TRUE)</f>
        <v>1</v>
      </c>
    </row>
    <row r="1540" spans="1:45" ht="15.75" customHeight="1" x14ac:dyDescent="0.25">
      <c r="A1540" s="9" t="str">
        <f>_xlfn.TEXTJOIN("_",TRUE,questions[[#This Row],[origin]:[qno]])</f>
        <v>Brazil_Arabica_2025_8204</v>
      </c>
      <c r="B1540" s="9" t="s">
        <v>1025</v>
      </c>
      <c r="C1540" s="9" t="s">
        <v>59</v>
      </c>
      <c r="E1540" s="33">
        <v>2025</v>
      </c>
      <c r="F1540" s="19" t="s">
        <v>640</v>
      </c>
      <c r="G1540" s="15" t="s">
        <v>641</v>
      </c>
      <c r="H1540" s="9" t="str" cm="1">
        <f t="array" ref="H1540">INDEX(stableR[question],MATCH(VALUE(questions[[#This Row],[qno]]),VALUE(stableR[qno]),0))</f>
        <v>If yes, what did you do with the waste water? Please describe as precisely as possible? Was it directly put back in natural streams, put in a soaking pit, stored in a shallow lagoon (&lt;2 m deep), stored in a deep lagoon (&gt;2 m deep), put through a treatment system, if so describe this system</v>
      </c>
      <c r="I1540" s="9" t="b" cm="1">
        <f t="array" ref="I1540">INDEX(stable[is_fixed],MATCH(VALUE(questions[[#This Row],[qno]]),VALUE(stable[qno]),0))</f>
        <v>0</v>
      </c>
      <c r="J1540" s="9" t="b" cm="1">
        <f t="array" ref="J1540">INDEX(stable[is_localized],MATCH(VALUE(questions[[#This Row],[qno]]),VALUE(stable[qno]),0))</f>
        <v>0</v>
      </c>
      <c r="K1540" s="9" t="b" cm="1">
        <f t="array" ref="K1540">INDEX(stable[is_supply_chain_dependent],MATCH(VALUE(questions[[#This Row],[qno]]),VALUE(stable[qno]),0))</f>
        <v>1</v>
      </c>
      <c r="L1540" s="9" t="b" cm="1">
        <f t="array" ref="L1540">INDEX(stable[is_mandatory],MATCH(VALUE(questions[[#This Row],[qno]]),VALUE(stable[qno]),0))</f>
        <v>0</v>
      </c>
      <c r="M1540" s="9" t="b" cm="1">
        <f t="array" ref="M1540">INDEX(stable[is_automated],MATCH(VALUE(questions[[#This Row],[qno]]),VALUE(stable[qno]),0))</f>
        <v>0</v>
      </c>
      <c r="N1540" s="9" t="b" cm="1">
        <f t="array" ref="N1540">INDEX(stable[is_free_text],MATCH(VALUE(questions[[#This Row],[qno]]),VALUE(stable[qno]),0))</f>
        <v>1</v>
      </c>
      <c r="O1540" s="9" t="b" cm="1">
        <f t="array" ref="O1540">INDEX(stable[is_numerical],MATCH(VALUE(questions[[#This Row],[qno]]),VALUE(stable[qno]),0))</f>
        <v>0</v>
      </c>
      <c r="P1540" s="9" t="b" cm="1">
        <f t="array" ref="P1540">INDEX(stable[is_single_select],MATCH(VALUE(questions[[#This Row],[qno]]),VALUE(stable[qno]),0))</f>
        <v>0</v>
      </c>
      <c r="Q1540" s="9" t="b" cm="1">
        <f t="array" ref="Q1540">INDEX(stable[is_multi_select],MATCH(VALUE(questions[[#This Row],[qno]]),VALUE(stable[qno]),0))</f>
        <v>0</v>
      </c>
      <c r="R1540" s="9" t="b" cm="1">
        <f t="array" ref="R1540">INDEX(stable[is_skip_logic],MATCH(VALUE(questions[[#This Row],[qno]]),VALUE(stable[qno]),0))</f>
        <v>1</v>
      </c>
      <c r="S1540" s="9" t="str">
        <f>_xlfn.TEXTJOIN(", ",TRUE,questions[[#This Row],[ans_opt_1]:[ans_opt_14]])</f>
        <v/>
      </c>
      <c r="AH1540" s="16" t="b">
        <f>INDEX(stable[q_standard],MATCH(questions[[#This Row],[qno]],stable[qno],0))</f>
        <v>0</v>
      </c>
      <c r="AI1540" s="16" t="b">
        <f>INDEX(stable[q_living_income],MATCH(questions[[#This Row],[qno]],stable[qno],0))</f>
        <v>0</v>
      </c>
      <c r="AJ1540" s="16" t="b">
        <f>INDEX(stable[q_carbon],MATCH(questions[[#This Row],[qno]],stable[qno],0))</f>
        <v>1</v>
      </c>
      <c r="AK1540" s="16" t="b">
        <f>INDEX(stable[q_regen_ag],MATCH(questions[[#This Row],[qno]],stable[qno],0))</f>
        <v>0</v>
      </c>
      <c r="AL1540" s="16" t="b">
        <f>COUNTIFS(stable[qno],questions[[#This Row],[qno]])=1</f>
        <v>1</v>
      </c>
      <c r="AM1540" s="16" t="b">
        <f>OR(questions[[#This Row],[is_fixed]],questions[[#This Row],[is_localized]],questions[[#This Row],[is_supply_chain_dependent]])</f>
        <v>1</v>
      </c>
      <c r="AN1540" s="16" t="b">
        <f>COUNTIFS(questions[[#This Row],[is_automated]:[is_multi_select]],TRUE)=1</f>
        <v>1</v>
      </c>
      <c r="AO1540" s="16" t="b">
        <f>IF(questions[[#This Row],[is_fixed]],questions[[#This Row],[question]]=INDEX(stable[question],MATCH(questions[[#This Row],[qno]],stable[qno],0)),TRUE)</f>
        <v>1</v>
      </c>
      <c r="AP1540" s="16" t="str">
        <f>LEFT(questions[[#This Row],[question]],similarity_range)</f>
        <v>If yes, what did you</v>
      </c>
      <c r="AQ1540" s="16" t="str">
        <f>LEFT(INDEX(stable[question],MATCH(questions[[#This Row],[qno]],stable[qno],0)),similarity_range)</f>
        <v>If yes, what did you</v>
      </c>
      <c r="AR1540" s="16" t="b">
        <f>questions[[#This Row],[question_first_characters]]=questions[[#This Row],[stability_first_characters]]</f>
        <v>1</v>
      </c>
      <c r="AS1540" s="16" t="b">
        <f>IF(OR(questions[[#This Row],[is_single_select]],questions[[#This Row],[is_multi_select]]),NOT(ISBLANK(questions[[#This Row],[answer_opt_combined]])),TRUE)</f>
        <v>1</v>
      </c>
    </row>
    <row r="1541" spans="1:45" s="77" customFormat="1" ht="15.75" customHeight="1" x14ac:dyDescent="0.25">
      <c r="A1541" s="77" t="str">
        <f>_xlfn.TEXTJOIN("_",TRUE,questions[[#This Row],[origin]:[qno]])</f>
        <v>Brazil_Arabica_2025_8300</v>
      </c>
      <c r="B1541" s="77" t="s">
        <v>1025</v>
      </c>
      <c r="C1541" s="77" t="s">
        <v>59</v>
      </c>
      <c r="E1541" s="77">
        <v>2025</v>
      </c>
      <c r="F1541" s="107" t="s">
        <v>642</v>
      </c>
      <c r="G1541" s="78" t="s">
        <v>643</v>
      </c>
      <c r="H1541" s="9" t="str" cm="1">
        <f t="array" ref="H1541">INDEX(stableR[question],MATCH(VALUE(questions[[#This Row],[qno]]),VALUE(stableR[qno]),0))</f>
        <v>Did you use diesel in any process in your coffee farming last year?</v>
      </c>
      <c r="I1541" s="9" t="b" cm="1">
        <f t="array" ref="I1541">INDEX(stable[is_fixed],MATCH(VALUE(questions[[#This Row],[qno]]),VALUE(stable[qno]),0))</f>
        <v>0</v>
      </c>
      <c r="J1541" s="9" t="b" cm="1">
        <f t="array" ref="J1541">INDEX(stable[is_localized],MATCH(VALUE(questions[[#This Row],[qno]]),VALUE(stable[qno]),0))</f>
        <v>0</v>
      </c>
      <c r="K1541" s="9" t="b" cm="1">
        <f t="array" ref="K1541">INDEX(stable[is_supply_chain_dependent],MATCH(VALUE(questions[[#This Row],[qno]]),VALUE(stable[qno]),0))</f>
        <v>1</v>
      </c>
      <c r="L1541" s="9" t="b" cm="1">
        <f t="array" ref="L1541">INDEX(stable[is_mandatory],MATCH(VALUE(questions[[#This Row],[qno]]),VALUE(stable[qno]),0))</f>
        <v>1</v>
      </c>
      <c r="M1541" s="9" t="b" cm="1">
        <f t="array" ref="M1541">INDEX(stable[is_automated],MATCH(VALUE(questions[[#This Row],[qno]]),VALUE(stable[qno]),0))</f>
        <v>0</v>
      </c>
      <c r="N1541" s="9" t="b" cm="1">
        <f t="array" ref="N1541">INDEX(stable[is_free_text],MATCH(VALUE(questions[[#This Row],[qno]]),VALUE(stable[qno]),0))</f>
        <v>0</v>
      </c>
      <c r="O1541" s="9" t="b" cm="1">
        <f t="array" ref="O1541">INDEX(stable[is_numerical],MATCH(VALUE(questions[[#This Row],[qno]]),VALUE(stable[qno]),0))</f>
        <v>0</v>
      </c>
      <c r="P1541" s="77" t="b" cm="1">
        <f t="array" ref="P1541">INDEX(stable[is_single_select],MATCH(VALUE(questions[[#This Row],[qno]]),VALUE(stable[qno]),0))</f>
        <v>1</v>
      </c>
      <c r="Q1541" s="77" t="b" cm="1">
        <f t="array" ref="Q1541">INDEX(stable[is_multi_select],MATCH(VALUE(questions[[#This Row],[qno]]),VALUE(stable[qno]),0))</f>
        <v>0</v>
      </c>
      <c r="R1541" s="77" t="b" cm="1">
        <f t="array" ref="R1541">INDEX(stable[is_skip_logic],MATCH(VALUE(questions[[#This Row],[qno]]),VALUE(stable[qno]),0))</f>
        <v>1</v>
      </c>
      <c r="S1541" s="77" t="str">
        <f>_xlfn.TEXTJOIN(", ",TRUE,questions[[#This Row],[ans_opt_1]:[ans_opt_14]])</f>
        <v>Yes, No</v>
      </c>
      <c r="T1541" s="77" t="s">
        <v>149</v>
      </c>
      <c r="U1541" s="77" t="s">
        <v>119</v>
      </c>
      <c r="AH1541" s="98" t="b">
        <f>INDEX(stable[q_standard],MATCH(questions[[#This Row],[qno]],stable[qno],0))</f>
        <v>0</v>
      </c>
      <c r="AI1541" s="98" t="b">
        <f>INDEX(stable[q_living_income],MATCH(questions[[#This Row],[qno]],stable[qno],0))</f>
        <v>0</v>
      </c>
      <c r="AJ1541" s="98" t="b">
        <f>INDEX(stable[q_carbon],MATCH(questions[[#This Row],[qno]],stable[qno],0))</f>
        <v>1</v>
      </c>
      <c r="AK1541" s="98" t="b">
        <f>INDEX(stable[q_regen_ag],MATCH(questions[[#This Row],[qno]],stable[qno],0))</f>
        <v>0</v>
      </c>
      <c r="AL1541" s="98" t="b">
        <f>COUNTIFS(stable[qno],questions[[#This Row],[qno]])=1</f>
        <v>1</v>
      </c>
      <c r="AM1541" s="98" t="b">
        <f>OR(questions[[#This Row],[is_fixed]],questions[[#This Row],[is_localized]],questions[[#This Row],[is_supply_chain_dependent]])</f>
        <v>1</v>
      </c>
      <c r="AN1541" s="98" t="b">
        <f>COUNTIFS(questions[[#This Row],[is_automated]:[is_multi_select]],TRUE)=1</f>
        <v>1</v>
      </c>
      <c r="AO1541" s="98" t="b">
        <f>IF(questions[[#This Row],[is_fixed]],questions[[#This Row],[question]]=INDEX(stable[question],MATCH(questions[[#This Row],[qno]],stable[qno],0)),TRUE)</f>
        <v>1</v>
      </c>
      <c r="AP1541" s="98" t="str">
        <f>LEFT(questions[[#This Row],[question]],similarity_range)</f>
        <v>Did you use diesel i</v>
      </c>
      <c r="AQ1541" s="98" t="str">
        <f>LEFT(INDEX(stable[question],MATCH(questions[[#This Row],[qno]],stable[qno],0)),similarity_range)</f>
        <v>Did you use diesel i</v>
      </c>
      <c r="AR1541" s="98" t="b">
        <f>questions[[#This Row],[question_first_characters]]=questions[[#This Row],[stability_first_characters]]</f>
        <v>1</v>
      </c>
      <c r="AS1541" s="98" t="b">
        <f>IF(OR(questions[[#This Row],[is_single_select]],questions[[#This Row],[is_multi_select]]),NOT(ISBLANK(questions[[#This Row],[answer_opt_combined]])),TRUE)</f>
        <v>1</v>
      </c>
    </row>
    <row r="1542" spans="1:45" s="77" customFormat="1" ht="15.75" customHeight="1" x14ac:dyDescent="0.25">
      <c r="A1542" s="77" t="str">
        <f>_xlfn.TEXTJOIN("_",TRUE,questions[[#This Row],[origin]:[qno]])</f>
        <v>Brazil_Arabica_2025_8301</v>
      </c>
      <c r="B1542" s="77" t="s">
        <v>1025</v>
      </c>
      <c r="C1542" s="77" t="s">
        <v>59</v>
      </c>
      <c r="E1542" s="77">
        <v>2025</v>
      </c>
      <c r="F1542" s="107" t="s">
        <v>644</v>
      </c>
      <c r="G1542" s="78" t="s">
        <v>645</v>
      </c>
      <c r="H1542" s="9" t="str" cm="1">
        <f t="array" ref="H1542">INDEX(stableR[question],MATCH(VALUE(questions[[#This Row],[qno]]),VALUE(stableR[qno]),0))</f>
        <v>If yes, for what?</v>
      </c>
      <c r="I1542" s="9" t="b" cm="1">
        <f t="array" ref="I1542">INDEX(stable[is_fixed],MATCH(VALUE(questions[[#This Row],[qno]]),VALUE(stable[qno]),0))</f>
        <v>0</v>
      </c>
      <c r="J1542" s="9" t="b" cm="1">
        <f t="array" ref="J1542">INDEX(stable[is_localized],MATCH(VALUE(questions[[#This Row],[qno]]),VALUE(stable[qno]),0))</f>
        <v>0</v>
      </c>
      <c r="K1542" s="9" t="b" cm="1">
        <f t="array" ref="K1542">INDEX(stable[is_supply_chain_dependent],MATCH(VALUE(questions[[#This Row],[qno]]),VALUE(stable[qno]),0))</f>
        <v>1</v>
      </c>
      <c r="L1542" s="9" t="b" cm="1">
        <f t="array" ref="L1542">INDEX(stable[is_mandatory],MATCH(VALUE(questions[[#This Row],[qno]]),VALUE(stable[qno]),0))</f>
        <v>1</v>
      </c>
      <c r="M1542" s="9" t="b" cm="1">
        <f t="array" ref="M1542">INDEX(stable[is_automated],MATCH(VALUE(questions[[#This Row],[qno]]),VALUE(stable[qno]),0))</f>
        <v>0</v>
      </c>
      <c r="N1542" s="9" t="b" cm="1">
        <f t="array" ref="N1542">INDEX(stable[is_free_text],MATCH(VALUE(questions[[#This Row],[qno]]),VALUE(stable[qno]),0))</f>
        <v>0</v>
      </c>
      <c r="O1542" s="9" t="b" cm="1">
        <f t="array" ref="O1542">INDEX(stable[is_numerical],MATCH(VALUE(questions[[#This Row],[qno]]),VALUE(stable[qno]),0))</f>
        <v>0</v>
      </c>
      <c r="P1542" s="77" t="b" cm="1">
        <f t="array" ref="P1542">INDEX(stable[is_single_select],MATCH(VALUE(questions[[#This Row],[qno]]),VALUE(stable[qno]),0))</f>
        <v>0</v>
      </c>
      <c r="Q1542" s="77" t="b" cm="1">
        <f t="array" ref="Q1542">INDEX(stable[is_multi_select],MATCH(VALUE(questions[[#This Row],[qno]]),VALUE(stable[qno]),0))</f>
        <v>1</v>
      </c>
      <c r="R1542" s="77" t="b" cm="1">
        <f t="array" ref="R1542">INDEX(stable[is_skip_logic],MATCH(VALUE(questions[[#This Row],[qno]]),VALUE(stable[qno]),0))</f>
        <v>1</v>
      </c>
      <c r="S1542" s="77" t="str">
        <f>_xlfn.TEXTJOIN(", ",TRUE,questions[[#This Row],[ans_opt_1]:[ans_opt_14]])</f>
        <v>Processing, Transport, Power Generator, Irrigation, Other</v>
      </c>
      <c r="T1542" s="77" t="s">
        <v>646</v>
      </c>
      <c r="U1542" s="91" t="s">
        <v>647</v>
      </c>
      <c r="V1542" s="91" t="s">
        <v>648</v>
      </c>
      <c r="W1542" s="91" t="s">
        <v>649</v>
      </c>
      <c r="AG1542" s="77" t="s">
        <v>112</v>
      </c>
      <c r="AH1542" s="98" t="b">
        <f>INDEX(stable[q_standard],MATCH(questions[[#This Row],[qno]],stable[qno],0))</f>
        <v>0</v>
      </c>
      <c r="AI1542" s="98" t="b">
        <f>INDEX(stable[q_living_income],MATCH(questions[[#This Row],[qno]],stable[qno],0))</f>
        <v>0</v>
      </c>
      <c r="AJ1542" s="98" t="b">
        <f>INDEX(stable[q_carbon],MATCH(questions[[#This Row],[qno]],stable[qno],0))</f>
        <v>1</v>
      </c>
      <c r="AK1542" s="98" t="b">
        <f>INDEX(stable[q_regen_ag],MATCH(questions[[#This Row],[qno]],stable[qno],0))</f>
        <v>0</v>
      </c>
      <c r="AL1542" s="98" t="b">
        <f>COUNTIFS(stable[qno],questions[[#This Row],[qno]])=1</f>
        <v>1</v>
      </c>
      <c r="AM1542" s="98" t="b">
        <f>OR(questions[[#This Row],[is_fixed]],questions[[#This Row],[is_localized]],questions[[#This Row],[is_supply_chain_dependent]])</f>
        <v>1</v>
      </c>
      <c r="AN1542" s="98" t="b">
        <f>COUNTIFS(questions[[#This Row],[is_automated]:[is_multi_select]],TRUE)=1</f>
        <v>1</v>
      </c>
      <c r="AO1542" s="98" t="b">
        <f>IF(questions[[#This Row],[is_fixed]],questions[[#This Row],[question]]=INDEX(stable[question],MATCH(questions[[#This Row],[qno]],stable[qno],0)),TRUE)</f>
        <v>1</v>
      </c>
      <c r="AP1542" s="98" t="str">
        <f>LEFT(questions[[#This Row],[question]],similarity_range)</f>
        <v>If yes, for what</v>
      </c>
      <c r="AQ1542" s="98" t="str">
        <f>LEFT(INDEX(stable[question],MATCH(questions[[#This Row],[qno]],stable[qno],0)),similarity_range)</f>
        <v>If yes, for what</v>
      </c>
      <c r="AR1542" s="98" t="b">
        <f>questions[[#This Row],[question_first_characters]]=questions[[#This Row],[stability_first_characters]]</f>
        <v>1</v>
      </c>
      <c r="AS1542" s="98" t="b">
        <f>IF(OR(questions[[#This Row],[is_single_select]],questions[[#This Row],[is_multi_select]]),NOT(ISBLANK(questions[[#This Row],[answer_opt_combined]])),TRUE)</f>
        <v>1</v>
      </c>
    </row>
    <row r="1543" spans="1:45" ht="15.75" customHeight="1" x14ac:dyDescent="0.25">
      <c r="A1543" s="9" t="str">
        <f>_xlfn.TEXTJOIN("_",TRUE,questions[[#This Row],[origin]:[qno]])</f>
        <v>Brazil_Arabica_2025_8302</v>
      </c>
      <c r="B1543" s="9" t="s">
        <v>1025</v>
      </c>
      <c r="C1543" s="9" t="s">
        <v>59</v>
      </c>
      <c r="E1543" s="33">
        <v>2025</v>
      </c>
      <c r="F1543" s="19" t="s">
        <v>650</v>
      </c>
      <c r="G1543" s="15" t="s">
        <v>651</v>
      </c>
      <c r="H1543" s="9" t="str" cm="1">
        <f t="array" ref="H1543">INDEX(stableR[question],MATCH(VALUE(questions[[#This Row],[qno]]),VALUE(stableR[qno]),0))</f>
        <v>How many liters per day?</v>
      </c>
      <c r="I1543" s="9" t="b" cm="1">
        <f t="array" ref="I1543">INDEX(stable[is_fixed],MATCH(VALUE(questions[[#This Row],[qno]]),VALUE(stable[qno]),0))</f>
        <v>0</v>
      </c>
      <c r="J1543" s="9" t="b" cm="1">
        <f t="array" ref="J1543">INDEX(stable[is_localized],MATCH(VALUE(questions[[#This Row],[qno]]),VALUE(stable[qno]),0))</f>
        <v>0</v>
      </c>
      <c r="K1543" s="9" t="b" cm="1">
        <f t="array" ref="K1543">INDEX(stable[is_supply_chain_dependent],MATCH(VALUE(questions[[#This Row],[qno]]),VALUE(stable[qno]),0))</f>
        <v>1</v>
      </c>
      <c r="L1543" s="9" t="b" cm="1">
        <f t="array" ref="L1543">INDEX(stable[is_mandatory],MATCH(VALUE(questions[[#This Row],[qno]]),VALUE(stable[qno]),0))</f>
        <v>1</v>
      </c>
      <c r="M1543" s="9" t="b" cm="1">
        <f t="array" ref="M1543">INDEX(stable[is_automated],MATCH(VALUE(questions[[#This Row],[qno]]),VALUE(stable[qno]),0))</f>
        <v>0</v>
      </c>
      <c r="N1543" s="9" t="b" cm="1">
        <f t="array" ref="N1543">INDEX(stable[is_free_text],MATCH(VALUE(questions[[#This Row],[qno]]),VALUE(stable[qno]),0))</f>
        <v>0</v>
      </c>
      <c r="O1543" s="9" t="b" cm="1">
        <f t="array" ref="O1543">INDEX(stable[is_numerical],MATCH(VALUE(questions[[#This Row],[qno]]),VALUE(stable[qno]),0))</f>
        <v>1</v>
      </c>
      <c r="P1543" s="9" t="b" cm="1">
        <f t="array" ref="P1543">INDEX(stable[is_single_select],MATCH(VALUE(questions[[#This Row],[qno]]),VALUE(stable[qno]),0))</f>
        <v>0</v>
      </c>
      <c r="Q1543" s="9" t="b" cm="1">
        <f t="array" ref="Q1543">INDEX(stable[is_multi_select],MATCH(VALUE(questions[[#This Row],[qno]]),VALUE(stable[qno]),0))</f>
        <v>0</v>
      </c>
      <c r="R1543" s="9" t="b" cm="1">
        <f t="array" ref="R1543">INDEX(stable[is_skip_logic],MATCH(VALUE(questions[[#This Row],[qno]]),VALUE(stable[qno]),0))</f>
        <v>1</v>
      </c>
      <c r="S1543" s="9" t="str">
        <f>_xlfn.TEXTJOIN(", ",TRUE,questions[[#This Row],[ans_opt_1]:[ans_opt_14]])</f>
        <v/>
      </c>
      <c r="AH1543" s="16" t="b">
        <f>INDEX(stable[q_standard],MATCH(questions[[#This Row],[qno]],stable[qno],0))</f>
        <v>0</v>
      </c>
      <c r="AI1543" s="16" t="b">
        <f>INDEX(stable[q_living_income],MATCH(questions[[#This Row],[qno]],stable[qno],0))</f>
        <v>0</v>
      </c>
      <c r="AJ1543" s="16" t="b">
        <f>INDEX(stable[q_carbon],MATCH(questions[[#This Row],[qno]],stable[qno],0))</f>
        <v>1</v>
      </c>
      <c r="AK1543" s="16" t="b">
        <f>INDEX(stable[q_regen_ag],MATCH(questions[[#This Row],[qno]],stable[qno],0))</f>
        <v>0</v>
      </c>
      <c r="AL1543" s="16" t="b">
        <f>COUNTIFS(stable[qno],questions[[#This Row],[qno]])=1</f>
        <v>1</v>
      </c>
      <c r="AM1543" s="16" t="b">
        <f>OR(questions[[#This Row],[is_fixed]],questions[[#This Row],[is_localized]],questions[[#This Row],[is_supply_chain_dependent]])</f>
        <v>1</v>
      </c>
      <c r="AN1543" s="16" t="b">
        <f>COUNTIFS(questions[[#This Row],[is_automated]:[is_multi_select]],TRUE)=1</f>
        <v>1</v>
      </c>
      <c r="AO1543" s="16" t="b">
        <f>IF(questions[[#This Row],[is_fixed]],questions[[#This Row],[question]]=INDEX(stable[question],MATCH(questions[[#This Row],[qno]],stable[qno],0)),TRUE)</f>
        <v>1</v>
      </c>
      <c r="AP1543" s="16" t="str">
        <f>LEFT(questions[[#This Row],[question]],similarity_range)</f>
        <v xml:space="preserve">How many liters per </v>
      </c>
      <c r="AQ1543" s="16" t="str">
        <f>LEFT(INDEX(stable[question],MATCH(questions[[#This Row],[qno]],stable[qno],0)),similarity_range)</f>
        <v xml:space="preserve">How many liters per </v>
      </c>
      <c r="AR1543" s="16" t="b">
        <f>questions[[#This Row],[question_first_characters]]=questions[[#This Row],[stability_first_characters]]</f>
        <v>1</v>
      </c>
      <c r="AS1543" s="16" t="b">
        <f>IF(OR(questions[[#This Row],[is_single_select]],questions[[#This Row],[is_multi_select]]),NOT(ISBLANK(questions[[#This Row],[answer_opt_combined]])),TRUE)</f>
        <v>1</v>
      </c>
    </row>
    <row r="1544" spans="1:45" ht="15.75" customHeight="1" x14ac:dyDescent="0.25">
      <c r="A1544" s="9" t="str">
        <f>_xlfn.TEXTJOIN("_",TRUE,questions[[#This Row],[origin]:[qno]])</f>
        <v>Brazil_Arabica_2025_8303</v>
      </c>
      <c r="B1544" s="9" t="s">
        <v>1025</v>
      </c>
      <c r="C1544" s="9" t="s">
        <v>59</v>
      </c>
      <c r="E1544" s="33">
        <v>2025</v>
      </c>
      <c r="F1544" s="19" t="s">
        <v>652</v>
      </c>
      <c r="G1544" s="15" t="s">
        <v>653</v>
      </c>
      <c r="H1544" s="9" t="str" cm="1">
        <f t="array" ref="H1544">INDEX(stableR[question],MATCH(VALUE(questions[[#This Row],[qno]]),VALUE(stableR[qno]),0))</f>
        <v>How many days per year</v>
      </c>
      <c r="I1544" s="9" t="b" cm="1">
        <f t="array" ref="I1544">INDEX(stable[is_fixed],MATCH(VALUE(questions[[#This Row],[qno]]),VALUE(stable[qno]),0))</f>
        <v>0</v>
      </c>
      <c r="J1544" s="9" t="b" cm="1">
        <f t="array" ref="J1544">INDEX(stable[is_localized],MATCH(VALUE(questions[[#This Row],[qno]]),VALUE(stable[qno]),0))</f>
        <v>0</v>
      </c>
      <c r="K1544" s="9" t="b" cm="1">
        <f t="array" ref="K1544">INDEX(stable[is_supply_chain_dependent],MATCH(VALUE(questions[[#This Row],[qno]]),VALUE(stable[qno]),0))</f>
        <v>1</v>
      </c>
      <c r="L1544" s="9" t="b" cm="1">
        <f t="array" ref="L1544">INDEX(stable[is_mandatory],MATCH(VALUE(questions[[#This Row],[qno]]),VALUE(stable[qno]),0))</f>
        <v>1</v>
      </c>
      <c r="M1544" s="9" t="b" cm="1">
        <f t="array" ref="M1544">INDEX(stable[is_automated],MATCH(VALUE(questions[[#This Row],[qno]]),VALUE(stable[qno]),0))</f>
        <v>0</v>
      </c>
      <c r="N1544" s="9" t="b" cm="1">
        <f t="array" ref="N1544">INDEX(stable[is_free_text],MATCH(VALUE(questions[[#This Row],[qno]]),VALUE(stable[qno]),0))</f>
        <v>0</v>
      </c>
      <c r="O1544" s="9" t="b" cm="1">
        <f t="array" ref="O1544">INDEX(stable[is_numerical],MATCH(VALUE(questions[[#This Row],[qno]]),VALUE(stable[qno]),0))</f>
        <v>1</v>
      </c>
      <c r="P1544" s="9" t="b" cm="1">
        <f t="array" ref="P1544">INDEX(stable[is_single_select],MATCH(VALUE(questions[[#This Row],[qno]]),VALUE(stable[qno]),0))</f>
        <v>0</v>
      </c>
      <c r="Q1544" s="9" t="b" cm="1">
        <f t="array" ref="Q1544">INDEX(stable[is_multi_select],MATCH(VALUE(questions[[#This Row],[qno]]),VALUE(stable[qno]),0))</f>
        <v>0</v>
      </c>
      <c r="R1544" s="9" t="b" cm="1">
        <f t="array" ref="R1544">INDEX(stable[is_skip_logic],MATCH(VALUE(questions[[#This Row],[qno]]),VALUE(stable[qno]),0))</f>
        <v>1</v>
      </c>
      <c r="S1544" s="9" t="str">
        <f>_xlfn.TEXTJOIN(", ",TRUE,questions[[#This Row],[ans_opt_1]:[ans_opt_14]])</f>
        <v/>
      </c>
      <c r="AH1544" s="16" t="b">
        <f>INDEX(stable[q_standard],MATCH(questions[[#This Row],[qno]],stable[qno],0))</f>
        <v>0</v>
      </c>
      <c r="AI1544" s="16" t="b">
        <f>INDEX(stable[q_living_income],MATCH(questions[[#This Row],[qno]],stable[qno],0))</f>
        <v>0</v>
      </c>
      <c r="AJ1544" s="16" t="b">
        <f>INDEX(stable[q_carbon],MATCH(questions[[#This Row],[qno]],stable[qno],0))</f>
        <v>1</v>
      </c>
      <c r="AK1544" s="16" t="b">
        <f>INDEX(stable[q_regen_ag],MATCH(questions[[#This Row],[qno]],stable[qno],0))</f>
        <v>0</v>
      </c>
      <c r="AL1544" s="16" t="b">
        <f>COUNTIFS(stable[qno],questions[[#This Row],[qno]])=1</f>
        <v>1</v>
      </c>
      <c r="AM1544" s="16" t="b">
        <f>OR(questions[[#This Row],[is_fixed]],questions[[#This Row],[is_localized]],questions[[#This Row],[is_supply_chain_dependent]])</f>
        <v>1</v>
      </c>
      <c r="AN1544" s="16" t="b">
        <f>COUNTIFS(questions[[#This Row],[is_automated]:[is_multi_select]],TRUE)=1</f>
        <v>1</v>
      </c>
      <c r="AO1544" s="16" t="b">
        <f>IF(questions[[#This Row],[is_fixed]],questions[[#This Row],[question]]=INDEX(stable[question],MATCH(questions[[#This Row],[qno]],stable[qno],0)),TRUE)</f>
        <v>1</v>
      </c>
      <c r="AP1544" s="16" t="str">
        <f>LEFT(questions[[#This Row],[question]],similarity_range)</f>
        <v>How many days per ye</v>
      </c>
      <c r="AQ1544" s="16" t="str">
        <f>LEFT(INDEX(stable[question],MATCH(questions[[#This Row],[qno]],stable[qno],0)),similarity_range)</f>
        <v>How many days per ye</v>
      </c>
      <c r="AR1544" s="16" t="b">
        <f>questions[[#This Row],[question_first_characters]]=questions[[#This Row],[stability_first_characters]]</f>
        <v>1</v>
      </c>
      <c r="AS1544" s="16" t="b">
        <f>IF(OR(questions[[#This Row],[is_single_select]],questions[[#This Row],[is_multi_select]]),NOT(ISBLANK(questions[[#This Row],[answer_opt_combined]])),TRUE)</f>
        <v>1</v>
      </c>
    </row>
    <row r="1545" spans="1:45" s="77" customFormat="1" ht="15.75" customHeight="1" x14ac:dyDescent="0.25">
      <c r="A1545" s="77" t="str">
        <f>_xlfn.TEXTJOIN("_",TRUE,questions[[#This Row],[origin]:[qno]])</f>
        <v>Brazil_Arabica_2025_8400</v>
      </c>
      <c r="B1545" s="77" t="s">
        <v>1025</v>
      </c>
      <c r="C1545" s="77" t="s">
        <v>59</v>
      </c>
      <c r="E1545" s="77">
        <v>2025</v>
      </c>
      <c r="F1545" s="107" t="s">
        <v>654</v>
      </c>
      <c r="G1545" s="78" t="s">
        <v>655</v>
      </c>
      <c r="H1545" s="9" t="str" cm="1">
        <f t="array" ref="H1545">INDEX(stableR[question],MATCH(VALUE(questions[[#This Row],[qno]]),VALUE(stableR[qno]),0))</f>
        <v>Did you use petrol in any process in your coffee farming last year?</v>
      </c>
      <c r="I1545" s="9" t="b" cm="1">
        <f t="array" ref="I1545">INDEX(stable[is_fixed],MATCH(VALUE(questions[[#This Row],[qno]]),VALUE(stable[qno]),0))</f>
        <v>0</v>
      </c>
      <c r="J1545" s="9" t="b" cm="1">
        <f t="array" ref="J1545">INDEX(stable[is_localized],MATCH(VALUE(questions[[#This Row],[qno]]),VALUE(stable[qno]),0))</f>
        <v>0</v>
      </c>
      <c r="K1545" s="9" t="b" cm="1">
        <f t="array" ref="K1545">INDEX(stable[is_supply_chain_dependent],MATCH(VALUE(questions[[#This Row],[qno]]),VALUE(stable[qno]),0))</f>
        <v>1</v>
      </c>
      <c r="L1545" s="9" t="b" cm="1">
        <f t="array" ref="L1545">INDEX(stable[is_mandatory],MATCH(VALUE(questions[[#This Row],[qno]]),VALUE(stable[qno]),0))</f>
        <v>1</v>
      </c>
      <c r="M1545" s="9" t="b" cm="1">
        <f t="array" ref="M1545">INDEX(stable[is_automated],MATCH(VALUE(questions[[#This Row],[qno]]),VALUE(stable[qno]),0))</f>
        <v>0</v>
      </c>
      <c r="N1545" s="9" t="b" cm="1">
        <f t="array" ref="N1545">INDEX(stable[is_free_text],MATCH(VALUE(questions[[#This Row],[qno]]),VALUE(stable[qno]),0))</f>
        <v>0</v>
      </c>
      <c r="O1545" s="9" t="b" cm="1">
        <f t="array" ref="O1545">INDEX(stable[is_numerical],MATCH(VALUE(questions[[#This Row],[qno]]),VALUE(stable[qno]),0))</f>
        <v>0</v>
      </c>
      <c r="P1545" s="77" t="b" cm="1">
        <f t="array" ref="P1545">INDEX(stable[is_single_select],MATCH(VALUE(questions[[#This Row],[qno]]),VALUE(stable[qno]),0))</f>
        <v>1</v>
      </c>
      <c r="Q1545" s="77" t="b" cm="1">
        <f t="array" ref="Q1545">INDEX(stable[is_multi_select],MATCH(VALUE(questions[[#This Row],[qno]]),VALUE(stable[qno]),0))</f>
        <v>0</v>
      </c>
      <c r="R1545" s="77" t="b" cm="1">
        <f t="array" ref="R1545">INDEX(stable[is_skip_logic],MATCH(VALUE(questions[[#This Row],[qno]]),VALUE(stable[qno]),0))</f>
        <v>1</v>
      </c>
      <c r="S1545" s="77" t="str">
        <f>_xlfn.TEXTJOIN(", ",TRUE,questions[[#This Row],[ans_opt_1]:[ans_opt_14]])</f>
        <v>Yes, No</v>
      </c>
      <c r="T1545" s="77" t="s">
        <v>149</v>
      </c>
      <c r="U1545" s="77" t="s">
        <v>119</v>
      </c>
      <c r="AH1545" s="98" t="b">
        <f>INDEX(stable[q_standard],MATCH(questions[[#This Row],[qno]],stable[qno],0))</f>
        <v>0</v>
      </c>
      <c r="AI1545" s="98" t="b">
        <f>INDEX(stable[q_living_income],MATCH(questions[[#This Row],[qno]],stable[qno],0))</f>
        <v>0</v>
      </c>
      <c r="AJ1545" s="98" t="b">
        <f>INDEX(stable[q_carbon],MATCH(questions[[#This Row],[qno]],stable[qno],0))</f>
        <v>1</v>
      </c>
      <c r="AK1545" s="98" t="b">
        <f>INDEX(stable[q_regen_ag],MATCH(questions[[#This Row],[qno]],stable[qno],0))</f>
        <v>0</v>
      </c>
      <c r="AL1545" s="98" t="b">
        <f>COUNTIFS(stable[qno],questions[[#This Row],[qno]])=1</f>
        <v>1</v>
      </c>
      <c r="AM1545" s="98" t="b">
        <f>OR(questions[[#This Row],[is_fixed]],questions[[#This Row],[is_localized]],questions[[#This Row],[is_supply_chain_dependent]])</f>
        <v>1</v>
      </c>
      <c r="AN1545" s="98" t="b">
        <f>COUNTIFS(questions[[#This Row],[is_automated]:[is_multi_select]],TRUE)=1</f>
        <v>1</v>
      </c>
      <c r="AO1545" s="98" t="b">
        <f>IF(questions[[#This Row],[is_fixed]],questions[[#This Row],[question]]=INDEX(stable[question],MATCH(questions[[#This Row],[qno]],stable[qno],0)),TRUE)</f>
        <v>1</v>
      </c>
      <c r="AP1545" s="98" t="str">
        <f>LEFT(questions[[#This Row],[question]],similarity_range)</f>
        <v>Did you use petrol i</v>
      </c>
      <c r="AQ1545" s="98" t="str">
        <f>LEFT(INDEX(stable[question],MATCH(questions[[#This Row],[qno]],stable[qno],0)),similarity_range)</f>
        <v>Did you use petrol i</v>
      </c>
      <c r="AR1545" s="98" t="b">
        <f>questions[[#This Row],[question_first_characters]]=questions[[#This Row],[stability_first_characters]]</f>
        <v>1</v>
      </c>
      <c r="AS1545" s="98" t="b">
        <f>IF(OR(questions[[#This Row],[is_single_select]],questions[[#This Row],[is_multi_select]]),NOT(ISBLANK(questions[[#This Row],[answer_opt_combined]])),TRUE)</f>
        <v>1</v>
      </c>
    </row>
    <row r="1546" spans="1:45" s="77" customFormat="1" ht="15.75" customHeight="1" x14ac:dyDescent="0.25">
      <c r="A1546" s="77" t="str">
        <f>_xlfn.TEXTJOIN("_",TRUE,questions[[#This Row],[origin]:[qno]])</f>
        <v>Brazil_Arabica_2025_8401</v>
      </c>
      <c r="B1546" s="77" t="s">
        <v>1025</v>
      </c>
      <c r="C1546" s="77" t="s">
        <v>59</v>
      </c>
      <c r="E1546" s="77">
        <v>2025</v>
      </c>
      <c r="F1546" s="107" t="s">
        <v>656</v>
      </c>
      <c r="G1546" s="78" t="s">
        <v>657</v>
      </c>
      <c r="H1546" s="9" t="str" cm="1">
        <f t="array" ref="H1546">INDEX(stableR[question],MATCH(VALUE(questions[[#This Row],[qno]]),VALUE(stableR[qno]),0))</f>
        <v>If yes, where do you use it for?</v>
      </c>
      <c r="I1546" s="9" t="b" cm="1">
        <f t="array" ref="I1546">INDEX(stable[is_fixed],MATCH(VALUE(questions[[#This Row],[qno]]),VALUE(stable[qno]),0))</f>
        <v>0</v>
      </c>
      <c r="J1546" s="9" t="b" cm="1">
        <f t="array" ref="J1546">INDEX(stable[is_localized],MATCH(VALUE(questions[[#This Row],[qno]]),VALUE(stable[qno]),0))</f>
        <v>0</v>
      </c>
      <c r="K1546" s="9" t="b" cm="1">
        <f t="array" ref="K1546">INDEX(stable[is_supply_chain_dependent],MATCH(VALUE(questions[[#This Row],[qno]]),VALUE(stable[qno]),0))</f>
        <v>1</v>
      </c>
      <c r="L1546" s="9" t="b" cm="1">
        <f t="array" ref="L1546">INDEX(stable[is_mandatory],MATCH(VALUE(questions[[#This Row],[qno]]),VALUE(stable[qno]),0))</f>
        <v>1</v>
      </c>
      <c r="M1546" s="9" t="b" cm="1">
        <f t="array" ref="M1546">INDEX(stable[is_automated],MATCH(VALUE(questions[[#This Row],[qno]]),VALUE(stable[qno]),0))</f>
        <v>0</v>
      </c>
      <c r="N1546" s="9" t="b" cm="1">
        <f t="array" ref="N1546">INDEX(stable[is_free_text],MATCH(VALUE(questions[[#This Row],[qno]]),VALUE(stable[qno]),0))</f>
        <v>0</v>
      </c>
      <c r="O1546" s="9" t="b" cm="1">
        <f t="array" ref="O1546">INDEX(stable[is_numerical],MATCH(VALUE(questions[[#This Row],[qno]]),VALUE(stable[qno]),0))</f>
        <v>0</v>
      </c>
      <c r="P1546" s="77" t="b" cm="1">
        <f t="array" ref="P1546">INDEX(stable[is_single_select],MATCH(VALUE(questions[[#This Row],[qno]]),VALUE(stable[qno]),0))</f>
        <v>0</v>
      </c>
      <c r="Q1546" s="77" t="b" cm="1">
        <f t="array" ref="Q1546">INDEX(stable[is_multi_select],MATCH(VALUE(questions[[#This Row],[qno]]),VALUE(stable[qno]),0))</f>
        <v>1</v>
      </c>
      <c r="R1546" s="77" t="b" cm="1">
        <f t="array" ref="R1546">INDEX(stable[is_skip_logic],MATCH(VALUE(questions[[#This Row],[qno]]),VALUE(stable[qno]),0))</f>
        <v>1</v>
      </c>
      <c r="S1546" s="77" t="str">
        <f>_xlfn.TEXTJOIN(", ",TRUE,questions[[#This Row],[ans_opt_1]:[ans_opt_14]])</f>
        <v>Processing, Transport, Power Generator, Irrigation, Weed cutter, Other</v>
      </c>
      <c r="T1546" s="77" t="s">
        <v>646</v>
      </c>
      <c r="U1546" s="77" t="s">
        <v>647</v>
      </c>
      <c r="V1546" s="77" t="s">
        <v>648</v>
      </c>
      <c r="W1546" s="77" t="s">
        <v>649</v>
      </c>
      <c r="X1546" s="77" t="s">
        <v>658</v>
      </c>
      <c r="AG1546" s="77" t="s">
        <v>112</v>
      </c>
      <c r="AH1546" s="98" t="b">
        <f>INDEX(stable[q_standard],MATCH(questions[[#This Row],[qno]],stable[qno],0))</f>
        <v>0</v>
      </c>
      <c r="AI1546" s="98" t="b">
        <f>INDEX(stable[q_living_income],MATCH(questions[[#This Row],[qno]],stable[qno],0))</f>
        <v>0</v>
      </c>
      <c r="AJ1546" s="98" t="b">
        <f>INDEX(stable[q_carbon],MATCH(questions[[#This Row],[qno]],stable[qno],0))</f>
        <v>1</v>
      </c>
      <c r="AK1546" s="98" t="b">
        <f>INDEX(stable[q_regen_ag],MATCH(questions[[#This Row],[qno]],stable[qno],0))</f>
        <v>0</v>
      </c>
      <c r="AL1546" s="98" t="b">
        <f>COUNTIFS(stable[qno],questions[[#This Row],[qno]])=1</f>
        <v>1</v>
      </c>
      <c r="AM1546" s="98" t="b">
        <f>OR(questions[[#This Row],[is_fixed]],questions[[#This Row],[is_localized]],questions[[#This Row],[is_supply_chain_dependent]])</f>
        <v>1</v>
      </c>
      <c r="AN1546" s="98" t="b">
        <f>COUNTIFS(questions[[#This Row],[is_automated]:[is_multi_select]],TRUE)=1</f>
        <v>1</v>
      </c>
      <c r="AO1546" s="98" t="b">
        <f>IF(questions[[#This Row],[is_fixed]],questions[[#This Row],[question]]=INDEX(stable[question],MATCH(questions[[#This Row],[qno]],stable[qno],0)),TRUE)</f>
        <v>1</v>
      </c>
      <c r="AP1546" s="98" t="str">
        <f>LEFT(questions[[#This Row],[question]],similarity_range)</f>
        <v>If yes, where do you</v>
      </c>
      <c r="AQ1546" s="98" t="str">
        <f>LEFT(INDEX(stable[question],MATCH(questions[[#This Row],[qno]],stable[qno],0)),similarity_range)</f>
        <v>If yes, where do you</v>
      </c>
      <c r="AR1546" s="98" t="b">
        <f>questions[[#This Row],[question_first_characters]]=questions[[#This Row],[stability_first_characters]]</f>
        <v>1</v>
      </c>
      <c r="AS1546" s="98" t="b">
        <f>IF(OR(questions[[#This Row],[is_single_select]],questions[[#This Row],[is_multi_select]]),NOT(ISBLANK(questions[[#This Row],[answer_opt_combined]])),TRUE)</f>
        <v>1</v>
      </c>
    </row>
    <row r="1547" spans="1:45" ht="15.75" customHeight="1" x14ac:dyDescent="0.25">
      <c r="A1547" s="9" t="str">
        <f>_xlfn.TEXTJOIN("_",TRUE,questions[[#This Row],[origin]:[qno]])</f>
        <v>Brazil_Arabica_2025_8402</v>
      </c>
      <c r="B1547" s="9" t="s">
        <v>1025</v>
      </c>
      <c r="C1547" s="9" t="s">
        <v>59</v>
      </c>
      <c r="E1547" s="33">
        <v>2025</v>
      </c>
      <c r="F1547" s="19" t="s">
        <v>659</v>
      </c>
      <c r="G1547" s="15" t="s">
        <v>651</v>
      </c>
      <c r="H1547" s="9" t="str" cm="1">
        <f t="array" ref="H1547">INDEX(stableR[question],MATCH(VALUE(questions[[#This Row],[qno]]),VALUE(stableR[qno]),0))</f>
        <v>How many liters per day?</v>
      </c>
      <c r="I1547" s="9" t="b" cm="1">
        <f t="array" ref="I1547">INDEX(stable[is_fixed],MATCH(VALUE(questions[[#This Row],[qno]]),VALUE(stable[qno]),0))</f>
        <v>0</v>
      </c>
      <c r="J1547" s="9" t="b" cm="1">
        <f t="array" ref="J1547">INDEX(stable[is_localized],MATCH(VALUE(questions[[#This Row],[qno]]),VALUE(stable[qno]),0))</f>
        <v>0</v>
      </c>
      <c r="K1547" s="9" t="b" cm="1">
        <f t="array" ref="K1547">INDEX(stable[is_supply_chain_dependent],MATCH(VALUE(questions[[#This Row],[qno]]),VALUE(stable[qno]),0))</f>
        <v>1</v>
      </c>
      <c r="L1547" s="9" t="b" cm="1">
        <f t="array" ref="L1547">INDEX(stable[is_mandatory],MATCH(VALUE(questions[[#This Row],[qno]]),VALUE(stable[qno]),0))</f>
        <v>1</v>
      </c>
      <c r="M1547" s="9" t="b" cm="1">
        <f t="array" ref="M1547">INDEX(stable[is_automated],MATCH(VALUE(questions[[#This Row],[qno]]),VALUE(stable[qno]),0))</f>
        <v>0</v>
      </c>
      <c r="N1547" s="9" t="b" cm="1">
        <f t="array" ref="N1547">INDEX(stable[is_free_text],MATCH(VALUE(questions[[#This Row],[qno]]),VALUE(stable[qno]),0))</f>
        <v>0</v>
      </c>
      <c r="O1547" s="9" t="b" cm="1">
        <f t="array" ref="O1547">INDEX(stable[is_numerical],MATCH(VALUE(questions[[#This Row],[qno]]),VALUE(stable[qno]),0))</f>
        <v>1</v>
      </c>
      <c r="P1547" s="9" t="b" cm="1">
        <f t="array" ref="P1547">INDEX(stable[is_single_select],MATCH(VALUE(questions[[#This Row],[qno]]),VALUE(stable[qno]),0))</f>
        <v>0</v>
      </c>
      <c r="Q1547" s="9" t="b" cm="1">
        <f t="array" ref="Q1547">INDEX(stable[is_multi_select],MATCH(VALUE(questions[[#This Row],[qno]]),VALUE(stable[qno]),0))</f>
        <v>0</v>
      </c>
      <c r="R1547" s="9" t="b" cm="1">
        <f t="array" ref="R1547">INDEX(stable[is_skip_logic],MATCH(VALUE(questions[[#This Row],[qno]]),VALUE(stable[qno]),0))</f>
        <v>1</v>
      </c>
      <c r="S1547" s="9" t="str">
        <f>_xlfn.TEXTJOIN(", ",TRUE,questions[[#This Row],[ans_opt_1]:[ans_opt_14]])</f>
        <v/>
      </c>
      <c r="AH1547" s="16" t="b">
        <f>INDEX(stable[q_standard],MATCH(questions[[#This Row],[qno]],stable[qno],0))</f>
        <v>0</v>
      </c>
      <c r="AI1547" s="16" t="b">
        <f>INDEX(stable[q_living_income],MATCH(questions[[#This Row],[qno]],stable[qno],0))</f>
        <v>0</v>
      </c>
      <c r="AJ1547" s="16" t="b">
        <f>INDEX(stable[q_carbon],MATCH(questions[[#This Row],[qno]],stable[qno],0))</f>
        <v>1</v>
      </c>
      <c r="AK1547" s="16" t="b">
        <f>INDEX(stable[q_regen_ag],MATCH(questions[[#This Row],[qno]],stable[qno],0))</f>
        <v>0</v>
      </c>
      <c r="AL1547" s="16" t="b">
        <f>COUNTIFS(stable[qno],questions[[#This Row],[qno]])=1</f>
        <v>1</v>
      </c>
      <c r="AM1547" s="16" t="b">
        <f>OR(questions[[#This Row],[is_fixed]],questions[[#This Row],[is_localized]],questions[[#This Row],[is_supply_chain_dependent]])</f>
        <v>1</v>
      </c>
      <c r="AN1547" s="16" t="b">
        <f>COUNTIFS(questions[[#This Row],[is_automated]:[is_multi_select]],TRUE)=1</f>
        <v>1</v>
      </c>
      <c r="AO1547" s="16" t="b">
        <f>IF(questions[[#This Row],[is_fixed]],questions[[#This Row],[question]]=INDEX(stable[question],MATCH(questions[[#This Row],[qno]],stable[qno],0)),TRUE)</f>
        <v>1</v>
      </c>
      <c r="AP1547" s="16" t="str">
        <f>LEFT(questions[[#This Row],[question]],similarity_range)</f>
        <v xml:space="preserve">How many liters per </v>
      </c>
      <c r="AQ1547" s="16" t="str">
        <f>LEFT(INDEX(stable[question],MATCH(questions[[#This Row],[qno]],stable[qno],0)),similarity_range)</f>
        <v xml:space="preserve">How many liters per </v>
      </c>
      <c r="AR1547" s="16" t="b">
        <f>questions[[#This Row],[question_first_characters]]=questions[[#This Row],[stability_first_characters]]</f>
        <v>1</v>
      </c>
      <c r="AS1547" s="16" t="b">
        <f>IF(OR(questions[[#This Row],[is_single_select]],questions[[#This Row],[is_multi_select]]),NOT(ISBLANK(questions[[#This Row],[answer_opt_combined]])),TRUE)</f>
        <v>1</v>
      </c>
    </row>
    <row r="1548" spans="1:45" ht="15.75" customHeight="1" x14ac:dyDescent="0.25">
      <c r="A1548" s="9" t="str">
        <f>_xlfn.TEXTJOIN("_",TRUE,questions[[#This Row],[origin]:[qno]])</f>
        <v>Brazil_Arabica_2025_8403</v>
      </c>
      <c r="B1548" s="9" t="s">
        <v>1025</v>
      </c>
      <c r="C1548" s="9" t="s">
        <v>59</v>
      </c>
      <c r="E1548" s="33">
        <v>2025</v>
      </c>
      <c r="F1548" s="19" t="s">
        <v>660</v>
      </c>
      <c r="G1548" s="15" t="s">
        <v>653</v>
      </c>
      <c r="H1548" s="9" t="str" cm="1">
        <f t="array" ref="H1548">INDEX(stableR[question],MATCH(VALUE(questions[[#This Row],[qno]]),VALUE(stableR[qno]),0))</f>
        <v>How many days per year?</v>
      </c>
      <c r="I1548" s="9" t="b" cm="1">
        <f t="array" ref="I1548">INDEX(stable[is_fixed],MATCH(VALUE(questions[[#This Row],[qno]]),VALUE(stable[qno]),0))</f>
        <v>0</v>
      </c>
      <c r="J1548" s="9" t="b" cm="1">
        <f t="array" ref="J1548">INDEX(stable[is_localized],MATCH(VALUE(questions[[#This Row],[qno]]),VALUE(stable[qno]),0))</f>
        <v>0</v>
      </c>
      <c r="K1548" s="9" t="b" cm="1">
        <f t="array" ref="K1548">INDEX(stable[is_supply_chain_dependent],MATCH(VALUE(questions[[#This Row],[qno]]),VALUE(stable[qno]),0))</f>
        <v>1</v>
      </c>
      <c r="L1548" s="9" t="b" cm="1">
        <f t="array" ref="L1548">INDEX(stable[is_mandatory],MATCH(VALUE(questions[[#This Row],[qno]]),VALUE(stable[qno]),0))</f>
        <v>1</v>
      </c>
      <c r="M1548" s="9" t="b" cm="1">
        <f t="array" ref="M1548">INDEX(stable[is_automated],MATCH(VALUE(questions[[#This Row],[qno]]),VALUE(stable[qno]),0))</f>
        <v>0</v>
      </c>
      <c r="N1548" s="9" t="b" cm="1">
        <f t="array" ref="N1548">INDEX(stable[is_free_text],MATCH(VALUE(questions[[#This Row],[qno]]),VALUE(stable[qno]),0))</f>
        <v>0</v>
      </c>
      <c r="O1548" s="9" t="b" cm="1">
        <f t="array" ref="O1548">INDEX(stable[is_numerical],MATCH(VALUE(questions[[#This Row],[qno]]),VALUE(stable[qno]),0))</f>
        <v>1</v>
      </c>
      <c r="P1548" s="9" t="b" cm="1">
        <f t="array" ref="P1548">INDEX(stable[is_single_select],MATCH(VALUE(questions[[#This Row],[qno]]),VALUE(stable[qno]),0))</f>
        <v>0</v>
      </c>
      <c r="Q1548" s="9" t="b" cm="1">
        <f t="array" ref="Q1548">INDEX(stable[is_multi_select],MATCH(VALUE(questions[[#This Row],[qno]]),VALUE(stable[qno]),0))</f>
        <v>0</v>
      </c>
      <c r="R1548" s="9" t="b" cm="1">
        <f t="array" ref="R1548">INDEX(stable[is_skip_logic],MATCH(VALUE(questions[[#This Row],[qno]]),VALUE(stable[qno]),0))</f>
        <v>1</v>
      </c>
      <c r="S1548" s="9" t="str">
        <f>_xlfn.TEXTJOIN(", ",TRUE,questions[[#This Row],[ans_opt_1]:[ans_opt_14]])</f>
        <v/>
      </c>
      <c r="AH1548" s="16" t="b">
        <f>INDEX(stable[q_standard],MATCH(questions[[#This Row],[qno]],stable[qno],0))</f>
        <v>0</v>
      </c>
      <c r="AI1548" s="16" t="b">
        <f>INDEX(stable[q_living_income],MATCH(questions[[#This Row],[qno]],stable[qno],0))</f>
        <v>0</v>
      </c>
      <c r="AJ1548" s="16" t="b">
        <f>INDEX(stable[q_carbon],MATCH(questions[[#This Row],[qno]],stable[qno],0))</f>
        <v>1</v>
      </c>
      <c r="AK1548" s="16" t="b">
        <f>INDEX(stable[q_regen_ag],MATCH(questions[[#This Row],[qno]],stable[qno],0))</f>
        <v>0</v>
      </c>
      <c r="AL1548" s="16" t="b">
        <f>COUNTIFS(stable[qno],questions[[#This Row],[qno]])=1</f>
        <v>1</v>
      </c>
      <c r="AM1548" s="16" t="b">
        <f>OR(questions[[#This Row],[is_fixed]],questions[[#This Row],[is_localized]],questions[[#This Row],[is_supply_chain_dependent]])</f>
        <v>1</v>
      </c>
      <c r="AN1548" s="16" t="b">
        <f>COUNTIFS(questions[[#This Row],[is_automated]:[is_multi_select]],TRUE)=1</f>
        <v>1</v>
      </c>
      <c r="AO1548" s="16" t="b">
        <f>IF(questions[[#This Row],[is_fixed]],questions[[#This Row],[question]]=INDEX(stable[question],MATCH(questions[[#This Row],[qno]],stable[qno],0)),TRUE)</f>
        <v>1</v>
      </c>
      <c r="AP1548" s="16" t="str">
        <f>LEFT(questions[[#This Row],[question]],similarity_range)</f>
        <v>How many days per ye</v>
      </c>
      <c r="AQ1548" s="16" t="str">
        <f>LEFT(INDEX(stable[question],MATCH(questions[[#This Row],[qno]],stable[qno],0)),similarity_range)</f>
        <v>How many days per ye</v>
      </c>
      <c r="AR1548" s="16" t="b">
        <f>questions[[#This Row],[question_first_characters]]=questions[[#This Row],[stability_first_characters]]</f>
        <v>1</v>
      </c>
      <c r="AS1548" s="16" t="b">
        <f>IF(OR(questions[[#This Row],[is_single_select]],questions[[#This Row],[is_multi_select]]),NOT(ISBLANK(questions[[#This Row],[answer_opt_combined]])),TRUE)</f>
        <v>1</v>
      </c>
    </row>
    <row r="1549" spans="1:45" s="77" customFormat="1" ht="15.75" customHeight="1" x14ac:dyDescent="0.25">
      <c r="A1549" s="77" t="str">
        <f>_xlfn.TEXTJOIN("_",TRUE,questions[[#This Row],[origin]:[qno]])</f>
        <v>Brazil_Arabica_2025_8500</v>
      </c>
      <c r="B1549" s="77" t="s">
        <v>1025</v>
      </c>
      <c r="C1549" s="77" t="s">
        <v>59</v>
      </c>
      <c r="E1549" s="77">
        <v>2025</v>
      </c>
      <c r="F1549" s="107" t="s">
        <v>661</v>
      </c>
      <c r="G1549" s="78" t="s">
        <v>662</v>
      </c>
      <c r="H1549" s="9" t="str" cm="1">
        <f t="array" ref="H1549">INDEX(stableR[question],MATCH(VALUE(questions[[#This Row],[qno]]),VALUE(stableR[qno]),0))</f>
        <v>Did you use electricity in any process in your coffee farming last year?</v>
      </c>
      <c r="I1549" s="9" t="b" cm="1">
        <f t="array" ref="I1549">INDEX(stable[is_fixed],MATCH(VALUE(questions[[#This Row],[qno]]),VALUE(stable[qno]),0))</f>
        <v>0</v>
      </c>
      <c r="J1549" s="9" t="b" cm="1">
        <f t="array" ref="J1549">INDEX(stable[is_localized],MATCH(VALUE(questions[[#This Row],[qno]]),VALUE(stable[qno]),0))</f>
        <v>0</v>
      </c>
      <c r="K1549" s="9" t="b" cm="1">
        <f t="array" ref="K1549">INDEX(stable[is_supply_chain_dependent],MATCH(VALUE(questions[[#This Row],[qno]]),VALUE(stable[qno]),0))</f>
        <v>1</v>
      </c>
      <c r="L1549" s="9" t="b" cm="1">
        <f t="array" ref="L1549">INDEX(stable[is_mandatory],MATCH(VALUE(questions[[#This Row],[qno]]),VALUE(stable[qno]),0))</f>
        <v>1</v>
      </c>
      <c r="M1549" s="9" t="b" cm="1">
        <f t="array" ref="M1549">INDEX(stable[is_automated],MATCH(VALUE(questions[[#This Row],[qno]]),VALUE(stable[qno]),0))</f>
        <v>0</v>
      </c>
      <c r="N1549" s="9" t="b" cm="1">
        <f t="array" ref="N1549">INDEX(stable[is_free_text],MATCH(VALUE(questions[[#This Row],[qno]]),VALUE(stable[qno]),0))</f>
        <v>0</v>
      </c>
      <c r="O1549" s="9" t="b" cm="1">
        <f t="array" ref="O1549">INDEX(stable[is_numerical],MATCH(VALUE(questions[[#This Row],[qno]]),VALUE(stable[qno]),0))</f>
        <v>0</v>
      </c>
      <c r="P1549" s="77" t="b" cm="1">
        <f t="array" ref="P1549">INDEX(stable[is_single_select],MATCH(VALUE(questions[[#This Row],[qno]]),VALUE(stable[qno]),0))</f>
        <v>1</v>
      </c>
      <c r="Q1549" s="77" t="b" cm="1">
        <f t="array" ref="Q1549">INDEX(stable[is_multi_select],MATCH(VALUE(questions[[#This Row],[qno]]),VALUE(stable[qno]),0))</f>
        <v>0</v>
      </c>
      <c r="R1549" s="77" t="b" cm="1">
        <f t="array" ref="R1549">INDEX(stable[is_skip_logic],MATCH(VALUE(questions[[#This Row],[qno]]),VALUE(stable[qno]),0))</f>
        <v>1</v>
      </c>
      <c r="S1549" s="77" t="str">
        <f>_xlfn.TEXTJOIN(", ",TRUE,questions[[#This Row],[ans_opt_1]:[ans_opt_14]])</f>
        <v>Yes, No</v>
      </c>
      <c r="T1549" s="77" t="s">
        <v>149</v>
      </c>
      <c r="U1549" s="77" t="s">
        <v>119</v>
      </c>
      <c r="AH1549" s="98" t="b">
        <f>INDEX(stable[q_standard],MATCH(questions[[#This Row],[qno]],stable[qno],0))</f>
        <v>0</v>
      </c>
      <c r="AI1549" s="98" t="b">
        <f>INDEX(stable[q_living_income],MATCH(questions[[#This Row],[qno]],stable[qno],0))</f>
        <v>0</v>
      </c>
      <c r="AJ1549" s="98" t="b">
        <f>INDEX(stable[q_carbon],MATCH(questions[[#This Row],[qno]],stable[qno],0))</f>
        <v>1</v>
      </c>
      <c r="AK1549" s="98" t="b">
        <f>INDEX(stable[q_regen_ag],MATCH(questions[[#This Row],[qno]],stable[qno],0))</f>
        <v>0</v>
      </c>
      <c r="AL1549" s="98" t="b">
        <f>COUNTIFS(stable[qno],questions[[#This Row],[qno]])=1</f>
        <v>1</v>
      </c>
      <c r="AM1549" s="98" t="b">
        <f>OR(questions[[#This Row],[is_fixed]],questions[[#This Row],[is_localized]],questions[[#This Row],[is_supply_chain_dependent]])</f>
        <v>1</v>
      </c>
      <c r="AN1549" s="98" t="b">
        <f>COUNTIFS(questions[[#This Row],[is_automated]:[is_multi_select]],TRUE)=1</f>
        <v>1</v>
      </c>
      <c r="AO1549" s="98" t="b">
        <f>IF(questions[[#This Row],[is_fixed]],questions[[#This Row],[question]]=INDEX(stable[question],MATCH(questions[[#This Row],[qno]],stable[qno],0)),TRUE)</f>
        <v>1</v>
      </c>
      <c r="AP1549" s="98" t="str">
        <f>LEFT(questions[[#This Row],[question]],similarity_range)</f>
        <v>Did you use electris</v>
      </c>
      <c r="AQ1549" s="98" t="str">
        <f>LEFT(INDEX(stable[question],MATCH(questions[[#This Row],[qno]],stable[qno],0)),similarity_range)</f>
        <v>Did you use electric</v>
      </c>
      <c r="AR1549" s="98" t="b">
        <f>questions[[#This Row],[question_first_characters]]=questions[[#This Row],[stability_first_characters]]</f>
        <v>0</v>
      </c>
      <c r="AS1549" s="98" t="b">
        <f>IF(OR(questions[[#This Row],[is_single_select]],questions[[#This Row],[is_multi_select]]),NOT(ISBLANK(questions[[#This Row],[answer_opt_combined]])),TRUE)</f>
        <v>1</v>
      </c>
    </row>
    <row r="1550" spans="1:45" s="77" customFormat="1" ht="15.75" customHeight="1" x14ac:dyDescent="0.25">
      <c r="A1550" s="77" t="str">
        <f>_xlfn.TEXTJOIN("_",TRUE,questions[[#This Row],[origin]:[qno]])</f>
        <v>Brazil_Arabica_2025_8501</v>
      </c>
      <c r="B1550" s="77" t="s">
        <v>1025</v>
      </c>
      <c r="C1550" s="77" t="s">
        <v>59</v>
      </c>
      <c r="E1550" s="77">
        <v>2025</v>
      </c>
      <c r="F1550" s="107" t="s">
        <v>663</v>
      </c>
      <c r="G1550" s="78" t="s">
        <v>946</v>
      </c>
      <c r="H1550" s="9" t="str" cm="1">
        <f t="array" ref="H1550">INDEX(stableR[question],MATCH(VALUE(questions[[#This Row],[qno]]),VALUE(stableR[qno]),0))</f>
        <v>If yes, what is the source of this electricity?</v>
      </c>
      <c r="I1550" s="9" t="b" cm="1">
        <f t="array" ref="I1550">INDEX(stable[is_fixed],MATCH(VALUE(questions[[#This Row],[qno]]),VALUE(stable[qno]),0))</f>
        <v>0</v>
      </c>
      <c r="J1550" s="9" t="b" cm="1">
        <f t="array" ref="J1550">INDEX(stable[is_localized],MATCH(VALUE(questions[[#This Row],[qno]]),VALUE(stable[qno]),0))</f>
        <v>0</v>
      </c>
      <c r="K1550" s="9" t="b" cm="1">
        <f t="array" ref="K1550">INDEX(stable[is_supply_chain_dependent],MATCH(VALUE(questions[[#This Row],[qno]]),VALUE(stable[qno]),0))</f>
        <v>1</v>
      </c>
      <c r="L1550" s="9" t="b" cm="1">
        <f t="array" ref="L1550">INDEX(stable[is_mandatory],MATCH(VALUE(questions[[#This Row],[qno]]),VALUE(stable[qno]),0))</f>
        <v>1</v>
      </c>
      <c r="M1550" s="9" t="b" cm="1">
        <f t="array" ref="M1550">INDEX(stable[is_automated],MATCH(VALUE(questions[[#This Row],[qno]]),VALUE(stable[qno]),0))</f>
        <v>0</v>
      </c>
      <c r="N1550" s="9" t="b" cm="1">
        <f t="array" ref="N1550">INDEX(stable[is_free_text],MATCH(VALUE(questions[[#This Row],[qno]]),VALUE(stable[qno]),0))</f>
        <v>0</v>
      </c>
      <c r="O1550" s="9" t="b" cm="1">
        <f t="array" ref="O1550">INDEX(stable[is_numerical],MATCH(VALUE(questions[[#This Row],[qno]]),VALUE(stable[qno]),0))</f>
        <v>0</v>
      </c>
      <c r="P1550" s="77" t="b" cm="1">
        <f t="array" ref="P1550">INDEX(stable[is_single_select],MATCH(VALUE(questions[[#This Row],[qno]]),VALUE(stable[qno]),0))</f>
        <v>0</v>
      </c>
      <c r="Q1550" s="77" t="b" cm="1">
        <f t="array" ref="Q1550">INDEX(stable[is_multi_select],MATCH(VALUE(questions[[#This Row],[qno]]),VALUE(stable[qno]),0))</f>
        <v>1</v>
      </c>
      <c r="R1550" s="77" t="b" cm="1">
        <f t="array" ref="R1550">INDEX(stable[is_skip_logic],MATCH(VALUE(questions[[#This Row],[qno]]),VALUE(stable[qno]),0))</f>
        <v>1</v>
      </c>
      <c r="S1550" s="77" t="str">
        <f>_xlfn.TEXTJOIN(", ",TRUE,questions[[#This Row],[ans_opt_1]:[ans_opt_14]])</f>
        <v>Local grid, Solar power, Generator petrol, Generator diesel</v>
      </c>
      <c r="T1550" s="77" t="s">
        <v>665</v>
      </c>
      <c r="U1550" s="77" t="s">
        <v>666</v>
      </c>
      <c r="V1550" s="77" t="s">
        <v>667</v>
      </c>
      <c r="W1550" s="77" t="s">
        <v>668</v>
      </c>
      <c r="AH1550" s="98" t="b">
        <f>INDEX(stable[q_standard],MATCH(questions[[#This Row],[qno]],stable[qno],0))</f>
        <v>0</v>
      </c>
      <c r="AI1550" s="98" t="b">
        <f>INDEX(stable[q_living_income],MATCH(questions[[#This Row],[qno]],stable[qno],0))</f>
        <v>0</v>
      </c>
      <c r="AJ1550" s="98" t="b">
        <f>INDEX(stable[q_carbon],MATCH(questions[[#This Row],[qno]],stable[qno],0))</f>
        <v>1</v>
      </c>
      <c r="AK1550" s="98" t="b">
        <f>INDEX(stable[q_regen_ag],MATCH(questions[[#This Row],[qno]],stable[qno],0))</f>
        <v>0</v>
      </c>
      <c r="AL1550" s="98" t="b">
        <f>COUNTIFS(stable[qno],questions[[#This Row],[qno]])=1</f>
        <v>1</v>
      </c>
      <c r="AM1550" s="98" t="b">
        <f>OR(questions[[#This Row],[is_fixed]],questions[[#This Row],[is_localized]],questions[[#This Row],[is_supply_chain_dependent]])</f>
        <v>1</v>
      </c>
      <c r="AN1550" s="98" t="b">
        <f>COUNTIFS(questions[[#This Row],[is_automated]:[is_multi_select]],TRUE)=1</f>
        <v>1</v>
      </c>
      <c r="AO1550" s="98" t="b">
        <f>IF(questions[[#This Row],[is_fixed]],questions[[#This Row],[question]]=INDEX(stable[question],MATCH(questions[[#This Row],[qno]],stable[qno],0)),TRUE)</f>
        <v>1</v>
      </c>
      <c r="AP1550" s="98" t="str">
        <f>LEFT(questions[[#This Row],[question]],similarity_range)</f>
        <v xml:space="preserve">If yes, what is the </v>
      </c>
      <c r="AQ1550" s="98" t="str">
        <f>LEFT(INDEX(stable[question],MATCH(questions[[#This Row],[qno]],stable[qno],0)),similarity_range)</f>
        <v xml:space="preserve">If yes, what is the </v>
      </c>
      <c r="AR1550" s="98" t="b">
        <f>questions[[#This Row],[question_first_characters]]=questions[[#This Row],[stability_first_characters]]</f>
        <v>1</v>
      </c>
      <c r="AS1550" s="98" t="b">
        <f>IF(OR(questions[[#This Row],[is_single_select]],questions[[#This Row],[is_multi_select]]),NOT(ISBLANK(questions[[#This Row],[answer_opt_combined]])),TRUE)</f>
        <v>1</v>
      </c>
    </row>
    <row r="1551" spans="1:45" ht="15.75" customHeight="1" x14ac:dyDescent="0.25">
      <c r="A1551" s="9" t="str">
        <f>_xlfn.TEXTJOIN("_",TRUE,questions[[#This Row],[origin]:[qno]])</f>
        <v>Brazil_Arabica_2025_8502</v>
      </c>
      <c r="B1551" s="9" t="s">
        <v>1025</v>
      </c>
      <c r="C1551" s="9" t="s">
        <v>59</v>
      </c>
      <c r="E1551" s="33">
        <v>2025</v>
      </c>
      <c r="F1551" s="19" t="s">
        <v>669</v>
      </c>
      <c r="G1551" s="15" t="s">
        <v>1056</v>
      </c>
      <c r="H1551" s="9" t="str" cm="1">
        <f t="array" ref="H1551">INDEX(stableR[question],MATCH(VALUE(questions[[#This Row],[qno]]),VALUE(stableR[qno]),0))</f>
        <v>If local grid or sollar power, how much was your average monthly electricity bill last year? (in local currency)</v>
      </c>
      <c r="I1551" s="9" t="b" cm="1">
        <f t="array" ref="I1551">INDEX(stable[is_fixed],MATCH(VALUE(questions[[#This Row],[qno]]),VALUE(stable[qno]),0))</f>
        <v>0</v>
      </c>
      <c r="J1551" s="9" t="b" cm="1">
        <f t="array" ref="J1551">INDEX(stable[is_localized],MATCH(VALUE(questions[[#This Row],[qno]]),VALUE(stable[qno]),0))</f>
        <v>0</v>
      </c>
      <c r="K1551" s="9" t="b" cm="1">
        <f t="array" ref="K1551">INDEX(stable[is_supply_chain_dependent],MATCH(VALUE(questions[[#This Row],[qno]]),VALUE(stable[qno]),0))</f>
        <v>1</v>
      </c>
      <c r="L1551" s="9" t="b" cm="1">
        <f t="array" ref="L1551">INDEX(stable[is_mandatory],MATCH(VALUE(questions[[#This Row],[qno]]),VALUE(stable[qno]),0))</f>
        <v>1</v>
      </c>
      <c r="M1551" s="9" t="b" cm="1">
        <f t="array" ref="M1551">INDEX(stable[is_automated],MATCH(VALUE(questions[[#This Row],[qno]]),VALUE(stable[qno]),0))</f>
        <v>0</v>
      </c>
      <c r="N1551" s="9" t="b" cm="1">
        <f t="array" ref="N1551">INDEX(stable[is_free_text],MATCH(VALUE(questions[[#This Row],[qno]]),VALUE(stable[qno]),0))</f>
        <v>0</v>
      </c>
      <c r="O1551" s="9" t="b" cm="1">
        <f t="array" ref="O1551">INDEX(stable[is_numerical],MATCH(VALUE(questions[[#This Row],[qno]]),VALUE(stable[qno]),0))</f>
        <v>1</v>
      </c>
      <c r="P1551" s="9" t="b" cm="1">
        <f t="array" ref="P1551">INDEX(stable[is_single_select],MATCH(VALUE(questions[[#This Row],[qno]]),VALUE(stable[qno]),0))</f>
        <v>0</v>
      </c>
      <c r="Q1551" s="9" t="b" cm="1">
        <f t="array" ref="Q1551">INDEX(stable[is_multi_select],MATCH(VALUE(questions[[#This Row],[qno]]),VALUE(stable[qno]),0))</f>
        <v>0</v>
      </c>
      <c r="R1551" s="9" t="b" cm="1">
        <f t="array" ref="R1551">INDEX(stable[is_skip_logic],MATCH(VALUE(questions[[#This Row],[qno]]),VALUE(stable[qno]),0))</f>
        <v>1</v>
      </c>
      <c r="S1551" s="9" t="str">
        <f>_xlfn.TEXTJOIN(", ",TRUE,questions[[#This Row],[ans_opt_1]:[ans_opt_14]])</f>
        <v/>
      </c>
      <c r="AH1551" s="16" t="b">
        <f>INDEX(stable[q_standard],MATCH(questions[[#This Row],[qno]],stable[qno],0))</f>
        <v>0</v>
      </c>
      <c r="AI1551" s="16" t="b">
        <f>INDEX(stable[q_living_income],MATCH(questions[[#This Row],[qno]],stable[qno],0))</f>
        <v>0</v>
      </c>
      <c r="AJ1551" s="16" t="b">
        <f>INDEX(stable[q_carbon],MATCH(questions[[#This Row],[qno]],stable[qno],0))</f>
        <v>1</v>
      </c>
      <c r="AK1551" s="16" t="b">
        <f>INDEX(stable[q_regen_ag],MATCH(questions[[#This Row],[qno]],stable[qno],0))</f>
        <v>0</v>
      </c>
      <c r="AL1551" s="16" t="b">
        <f>COUNTIFS(stable[qno],questions[[#This Row],[qno]])=1</f>
        <v>1</v>
      </c>
      <c r="AM1551" s="16" t="b">
        <f>OR(questions[[#This Row],[is_fixed]],questions[[#This Row],[is_localized]],questions[[#This Row],[is_supply_chain_dependent]])</f>
        <v>1</v>
      </c>
      <c r="AN1551" s="16" t="b">
        <f>COUNTIFS(questions[[#This Row],[is_automated]:[is_multi_select]],TRUE)=1</f>
        <v>1</v>
      </c>
      <c r="AO1551" s="16" t="b">
        <f>IF(questions[[#This Row],[is_fixed]],questions[[#This Row],[question]]=INDEX(stable[question],MATCH(questions[[#This Row],[qno]],stable[qno],0)),TRUE)</f>
        <v>1</v>
      </c>
      <c r="AP1551" s="16" t="str">
        <f>LEFT(questions[[#This Row],[question]],similarity_range)</f>
        <v>If local grid or sol</v>
      </c>
      <c r="AQ1551" s="16" t="str">
        <f>LEFT(INDEX(stable[question],MATCH(questions[[#This Row],[qno]],stable[qno],0)),similarity_range)</f>
        <v>If local grid or sol</v>
      </c>
      <c r="AR1551" s="16" t="b">
        <f>questions[[#This Row],[question_first_characters]]=questions[[#This Row],[stability_first_characters]]</f>
        <v>1</v>
      </c>
      <c r="AS1551" s="16" t="b">
        <f>IF(OR(questions[[#This Row],[is_single_select]],questions[[#This Row],[is_multi_select]]),NOT(ISBLANK(questions[[#This Row],[answer_opt_combined]])),TRUE)</f>
        <v>1</v>
      </c>
    </row>
    <row r="1552" spans="1:45" s="77" customFormat="1" ht="15.75" customHeight="1" x14ac:dyDescent="0.25">
      <c r="A1552" s="77" t="str">
        <f>_xlfn.TEXTJOIN("_",TRUE,questions[[#This Row],[origin]:[qno]])</f>
        <v>Brazil_Arabica_2025_8503</v>
      </c>
      <c r="B1552" s="77" t="s">
        <v>1025</v>
      </c>
      <c r="C1552" s="77" t="s">
        <v>59</v>
      </c>
      <c r="E1552" s="77">
        <v>2025</v>
      </c>
      <c r="F1552" s="107" t="s">
        <v>671</v>
      </c>
      <c r="G1552" s="78" t="s">
        <v>672</v>
      </c>
      <c r="H1552" s="9" t="str" cm="1">
        <f t="array" ref="H1552">INDEX(stableR[question],MATCH(VALUE(questions[[#This Row],[qno]]),VALUE(stableR[qno]),0))</f>
        <v>Was all of this electricity used for coffee processing, or also part for other usage? Can you estimate what proportion of this electricity bill was used for coffee processing?</v>
      </c>
      <c r="I1552" s="9" t="b" cm="1">
        <f t="array" ref="I1552">INDEX(stable[is_fixed],MATCH(VALUE(questions[[#This Row],[qno]]),VALUE(stable[qno]),0))</f>
        <v>0</v>
      </c>
      <c r="J1552" s="9" t="b" cm="1">
        <f t="array" ref="J1552">INDEX(stable[is_localized],MATCH(VALUE(questions[[#This Row],[qno]]),VALUE(stable[qno]),0))</f>
        <v>0</v>
      </c>
      <c r="K1552" s="9" t="b" cm="1">
        <f t="array" ref="K1552">INDEX(stable[is_supply_chain_dependent],MATCH(VALUE(questions[[#This Row],[qno]]),VALUE(stable[qno]),0))</f>
        <v>1</v>
      </c>
      <c r="L1552" s="9" t="b" cm="1">
        <f t="array" ref="L1552">INDEX(stable[is_mandatory],MATCH(VALUE(questions[[#This Row],[qno]]),VALUE(stable[qno]),0))</f>
        <v>1</v>
      </c>
      <c r="M1552" s="9" t="b" cm="1">
        <f t="array" ref="M1552">INDEX(stable[is_automated],MATCH(VALUE(questions[[#This Row],[qno]]),VALUE(stable[qno]),0))</f>
        <v>0</v>
      </c>
      <c r="N1552" s="9" t="b" cm="1">
        <f t="array" ref="N1552">INDEX(stable[is_free_text],MATCH(VALUE(questions[[#This Row],[qno]]),VALUE(stable[qno]),0))</f>
        <v>0</v>
      </c>
      <c r="O1552" s="9" t="b" cm="1">
        <f t="array" ref="O1552">INDEX(stable[is_numerical],MATCH(VALUE(questions[[#This Row],[qno]]),VALUE(stable[qno]),0))</f>
        <v>0</v>
      </c>
      <c r="P1552" s="77" t="b" cm="1">
        <f t="array" ref="P1552">INDEX(stable[is_single_select],MATCH(VALUE(questions[[#This Row],[qno]]),VALUE(stable[qno]),0))</f>
        <v>1</v>
      </c>
      <c r="Q1552" s="77" t="b" cm="1">
        <f t="array" ref="Q1552">INDEX(stable[is_multi_select],MATCH(VALUE(questions[[#This Row],[qno]]),VALUE(stable[qno]),0))</f>
        <v>0</v>
      </c>
      <c r="R1552" s="77" t="b" cm="1">
        <f t="array" ref="R1552">INDEX(stable[is_skip_logic],MATCH(VALUE(questions[[#This Row],[qno]]),VALUE(stable[qno]),0))</f>
        <v>1</v>
      </c>
      <c r="S1552" s="77" t="str">
        <f>_xlfn.TEXTJOIN(", ",TRUE,questions[[#This Row],[ans_opt_1]:[ans_opt_14]])</f>
        <v>All or nearly all - 80-100%, More than half of it  - 60-80%, About half of it - 40-60%, Less than half of it - 20-40%, A small amount - 0-20%</v>
      </c>
      <c r="T1552" s="77" t="s">
        <v>305</v>
      </c>
      <c r="U1552" s="77" t="s">
        <v>306</v>
      </c>
      <c r="V1552" s="77" t="s">
        <v>307</v>
      </c>
      <c r="W1552" s="77" t="s">
        <v>308</v>
      </c>
      <c r="X1552" s="77" t="s">
        <v>309</v>
      </c>
      <c r="AH1552" s="98" t="b">
        <f>INDEX(stable[q_standard],MATCH(questions[[#This Row],[qno]],stable[qno],0))</f>
        <v>0</v>
      </c>
      <c r="AI1552" s="98" t="b">
        <f>INDEX(stable[q_living_income],MATCH(questions[[#This Row],[qno]],stable[qno],0))</f>
        <v>0</v>
      </c>
      <c r="AJ1552" s="98" t="b">
        <f>INDEX(stable[q_carbon],MATCH(questions[[#This Row],[qno]],stable[qno],0))</f>
        <v>1</v>
      </c>
      <c r="AK1552" s="98" t="b">
        <f>INDEX(stable[q_regen_ag],MATCH(questions[[#This Row],[qno]],stable[qno],0))</f>
        <v>0</v>
      </c>
      <c r="AL1552" s="98" t="b">
        <f>COUNTIFS(stable[qno],questions[[#This Row],[qno]])=1</f>
        <v>1</v>
      </c>
      <c r="AM1552" s="98" t="b">
        <f>OR(questions[[#This Row],[is_fixed]],questions[[#This Row],[is_localized]],questions[[#This Row],[is_supply_chain_dependent]])</f>
        <v>1</v>
      </c>
      <c r="AN1552" s="98" t="b">
        <f>COUNTIFS(questions[[#This Row],[is_automated]:[is_multi_select]],TRUE)=1</f>
        <v>1</v>
      </c>
      <c r="AO1552" s="98" t="b">
        <f>IF(questions[[#This Row],[is_fixed]],questions[[#This Row],[question]]=INDEX(stable[question],MATCH(questions[[#This Row],[qno]],stable[qno],0)),TRUE)</f>
        <v>1</v>
      </c>
      <c r="AP1552" s="98" t="str">
        <f>LEFT(questions[[#This Row],[question]],similarity_range)</f>
        <v>Was all of this elec</v>
      </c>
      <c r="AQ1552" s="98" t="str">
        <f>LEFT(INDEX(stable[question],MATCH(questions[[#This Row],[qno]],stable[qno],0)),similarity_range)</f>
        <v>Was all of this elec</v>
      </c>
      <c r="AR1552" s="98" t="b">
        <f>questions[[#This Row],[question_first_characters]]=questions[[#This Row],[stability_first_characters]]</f>
        <v>1</v>
      </c>
      <c r="AS1552" s="98" t="b">
        <f>IF(OR(questions[[#This Row],[is_single_select]],questions[[#This Row],[is_multi_select]]),NOT(ISBLANK(questions[[#This Row],[answer_opt_combined]])),TRUE)</f>
        <v>1</v>
      </c>
    </row>
    <row r="1553" spans="1:45" s="77" customFormat="1" ht="15.75" customHeight="1" x14ac:dyDescent="0.25">
      <c r="A1553" s="77" t="str">
        <f>_xlfn.TEXTJOIN("_",TRUE,questions[[#This Row],[origin]:[qno]])</f>
        <v>Brazil_Arabica_2025_9000</v>
      </c>
      <c r="B1553" s="77" t="s">
        <v>1025</v>
      </c>
      <c r="C1553" s="77" t="s">
        <v>59</v>
      </c>
      <c r="E1553" s="77">
        <v>2025</v>
      </c>
      <c r="F1553" s="107" t="s">
        <v>508</v>
      </c>
      <c r="G1553" s="78" t="s">
        <v>509</v>
      </c>
      <c r="H1553" s="9" t="str" cm="1">
        <f t="array" ref="H1553">INDEX(stableR[question],MATCH(VALUE(questions[[#This Row],[qno]]),VALUE(stableR[qno]),0))</f>
        <v>Final check: did you measure/polygon map all the plots of the farmer?</v>
      </c>
      <c r="I1553" s="9" t="b" cm="1">
        <f t="array" ref="I1553">INDEX(stable[is_fixed],MATCH(VALUE(questions[[#This Row],[qno]]),VALUE(stable[qno]),0))</f>
        <v>1</v>
      </c>
      <c r="J1553" s="9" t="b" cm="1">
        <f t="array" ref="J1553">INDEX(stable[is_localized],MATCH(VALUE(questions[[#This Row],[qno]]),VALUE(stable[qno]),0))</f>
        <v>0</v>
      </c>
      <c r="K1553" s="9" t="b" cm="1">
        <f t="array" ref="K1553">INDEX(stable[is_supply_chain_dependent],MATCH(VALUE(questions[[#This Row],[qno]]),VALUE(stable[qno]),0))</f>
        <v>0</v>
      </c>
      <c r="L1553" s="9" t="b" cm="1">
        <f t="array" ref="L1553">INDEX(stable[is_mandatory],MATCH(VALUE(questions[[#This Row],[qno]]),VALUE(stable[qno]),0))</f>
        <v>1</v>
      </c>
      <c r="M1553" s="9" t="b" cm="1">
        <f t="array" ref="M1553">INDEX(stable[is_automated],MATCH(VALUE(questions[[#This Row],[qno]]),VALUE(stable[qno]),0))</f>
        <v>0</v>
      </c>
      <c r="N1553" s="9" t="b" cm="1">
        <f t="array" ref="N1553">INDEX(stable[is_free_text],MATCH(VALUE(questions[[#This Row],[qno]]),VALUE(stable[qno]),0))</f>
        <v>0</v>
      </c>
      <c r="O1553" s="9" t="b" cm="1">
        <f t="array" ref="O1553">INDEX(stable[is_numerical],MATCH(VALUE(questions[[#This Row],[qno]]),VALUE(stable[qno]),0))</f>
        <v>0</v>
      </c>
      <c r="P1553" s="77" t="b" cm="1">
        <f t="array" ref="P1553">INDEX(stable[is_single_select],MATCH(VALUE(questions[[#This Row],[qno]]),VALUE(stable[qno]),0))</f>
        <v>1</v>
      </c>
      <c r="Q1553" s="77" t="b" cm="1">
        <f t="array" ref="Q1553">INDEX(stable[is_multi_select],MATCH(VALUE(questions[[#This Row],[qno]]),VALUE(stable[qno]),0))</f>
        <v>0</v>
      </c>
      <c r="R1553" s="77" t="b" cm="1">
        <f t="array" ref="R1553">INDEX(stable[is_skip_logic],MATCH(VALUE(questions[[#This Row],[qno]]),VALUE(stable[qno]),0))</f>
        <v>0</v>
      </c>
      <c r="S1553" s="77" t="str">
        <f>_xlfn.TEXTJOIN(", ",TRUE,questions[[#This Row],[ans_opt_1]:[ans_opt_14]])</f>
        <v>No, Yes, Not possible</v>
      </c>
      <c r="T1553" s="77" t="s">
        <v>119</v>
      </c>
      <c r="U1553" s="77" t="s">
        <v>149</v>
      </c>
      <c r="V1553" s="77" t="s">
        <v>510</v>
      </c>
      <c r="AH1553" s="98" t="b">
        <f>INDEX(stable[q_standard],MATCH(questions[[#This Row],[qno]],stable[qno],0))</f>
        <v>0</v>
      </c>
      <c r="AI1553" s="98" t="b">
        <f>INDEX(stable[q_living_income],MATCH(questions[[#This Row],[qno]],stable[qno],0))</f>
        <v>0</v>
      </c>
      <c r="AJ1553" s="98" t="b">
        <f>INDEX(stable[q_carbon],MATCH(questions[[#This Row],[qno]],stable[qno],0))</f>
        <v>0</v>
      </c>
      <c r="AK1553" s="98" t="b">
        <f>INDEX(stable[q_regen_ag],MATCH(questions[[#This Row],[qno]],stable[qno],0))</f>
        <v>1</v>
      </c>
      <c r="AL1553" s="98" t="b">
        <f>COUNTIFS(stable[qno],questions[[#This Row],[qno]])=1</f>
        <v>1</v>
      </c>
      <c r="AM1553" s="98" t="b">
        <f>OR(questions[[#This Row],[is_fixed]],questions[[#This Row],[is_localized]],questions[[#This Row],[is_supply_chain_dependent]])</f>
        <v>1</v>
      </c>
      <c r="AN1553" s="98" t="b">
        <f>COUNTIFS(questions[[#This Row],[is_automated]:[is_multi_select]],TRUE)=1</f>
        <v>1</v>
      </c>
      <c r="AO1553" s="98" t="b">
        <f>IF(questions[[#This Row],[is_fixed]],questions[[#This Row],[question]]=INDEX(stable[question],MATCH(questions[[#This Row],[qno]],stable[qno],0)),TRUE)</f>
        <v>1</v>
      </c>
      <c r="AP1553" s="98" t="str">
        <f>LEFT(questions[[#This Row],[question]],similarity_range)</f>
        <v>Final check: did you</v>
      </c>
      <c r="AQ1553" s="98" t="str">
        <f>LEFT(INDEX(stable[question],MATCH(questions[[#This Row],[qno]],stable[qno],0)),similarity_range)</f>
        <v>Final check: did you</v>
      </c>
      <c r="AR1553" s="98" t="b">
        <f>questions[[#This Row],[question_first_characters]]=questions[[#This Row],[stability_first_characters]]</f>
        <v>1</v>
      </c>
      <c r="AS1553" s="98" t="b">
        <f>IF(OR(questions[[#This Row],[is_single_select]],questions[[#This Row],[is_multi_select]]),NOT(ISBLANK(questions[[#This Row],[answer_opt_combined]])),TRUE)</f>
        <v>1</v>
      </c>
    </row>
    <row r="1554" spans="1:45" ht="15.75" customHeight="1" x14ac:dyDescent="0.25">
      <c r="A1554" s="9" t="str">
        <f>_xlfn.TEXTJOIN("_",TRUE,questions[[#This Row],[origin]:[qno]])</f>
        <v>Burundi_Arabica_IKAWA RES PROJECT_2026_1000</v>
      </c>
      <c r="B1554" s="9" t="s">
        <v>1057</v>
      </c>
      <c r="C1554" s="9" t="s">
        <v>59</v>
      </c>
      <c r="D1554" s="9" t="s">
        <v>1058</v>
      </c>
      <c r="E1554" s="33">
        <v>2026</v>
      </c>
      <c r="F1554" s="24" t="s">
        <v>61</v>
      </c>
      <c r="G1554" s="15" t="s">
        <v>62</v>
      </c>
      <c r="H1554" s="9" t="str" cm="1">
        <f t="array" ref="H1554">INDEX(stableR[question],MATCH(VALUE(questions[[#This Row],[qno]]),VALUE(stableR[qno]),0))</f>
        <v>Origin</v>
      </c>
      <c r="I1554" s="9" t="b" cm="1">
        <f t="array" ref="I1554">INDEX(stable[is_fixed],MATCH(VALUE(questions[[#This Row],[qno]]),VALUE(stable[qno]),0))</f>
        <v>1</v>
      </c>
      <c r="J1554" s="9" t="b" cm="1">
        <f t="array" ref="J1554">INDEX(stable[is_localized],MATCH(VALUE(questions[[#This Row],[qno]]),VALUE(stable[qno]),0))</f>
        <v>0</v>
      </c>
      <c r="K1554" s="9" t="b" cm="1">
        <f t="array" ref="K1554">INDEX(stable[is_supply_chain_dependent],MATCH(VALUE(questions[[#This Row],[qno]]),VALUE(stable[qno]),0))</f>
        <v>0</v>
      </c>
      <c r="L1554" s="9" t="b" cm="1">
        <f t="array" ref="L1554">INDEX(stable[is_mandatory],MATCH(VALUE(questions[[#This Row],[qno]]),VALUE(stable[qno]),0))</f>
        <v>1</v>
      </c>
      <c r="M1554" s="9" t="b" cm="1">
        <f t="array" ref="M1554">INDEX(stable[is_automated],MATCH(VALUE(questions[[#This Row],[qno]]),VALUE(stable[qno]),0))</f>
        <v>1</v>
      </c>
      <c r="N1554" s="9" t="b" cm="1">
        <f t="array" ref="N1554">INDEX(stable[is_free_text],MATCH(VALUE(questions[[#This Row],[qno]]),VALUE(stable[qno]),0))</f>
        <v>0</v>
      </c>
      <c r="O1554" s="9" t="b" cm="1">
        <f t="array" ref="O1554">INDEX(stable[is_numerical],MATCH(VALUE(questions[[#This Row],[qno]]),VALUE(stable[qno]),0))</f>
        <v>0</v>
      </c>
      <c r="P1554" s="9" t="b" cm="1">
        <f t="array" ref="P1554">INDEX(stable[is_single_select],MATCH(VALUE(questions[[#This Row],[qno]]),VALUE(stable[qno]),0))</f>
        <v>0</v>
      </c>
      <c r="Q1554" s="9" t="b" cm="1">
        <f t="array" ref="Q1554">INDEX(stable[is_multi_select],MATCH(VALUE(questions[[#This Row],[qno]]),VALUE(stable[qno]),0))</f>
        <v>0</v>
      </c>
      <c r="R1554" s="9" t="b" cm="1">
        <f t="array" ref="R1554">INDEX(stable[is_skip_logic],MATCH(VALUE(questions[[#This Row],[qno]]),VALUE(stable[qno]),0))</f>
        <v>0</v>
      </c>
      <c r="S1554" s="9" t="str">
        <f>_xlfn.TEXTJOIN(", ",TRUE,questions[[#This Row],[ans_opt_1]:[ans_opt_14]])</f>
        <v/>
      </c>
      <c r="AH1554" s="16" t="b">
        <f>INDEX(stable[q_standard],MATCH(questions[[#This Row],[qno]],stable[qno],0))</f>
        <v>1</v>
      </c>
      <c r="AI1554" s="16" t="b">
        <f>INDEX(stable[q_living_income],MATCH(questions[[#This Row],[qno]],stable[qno],0))</f>
        <v>0</v>
      </c>
      <c r="AJ1554" s="16" t="b">
        <f>INDEX(stable[q_carbon],MATCH(questions[[#This Row],[qno]],stable[qno],0))</f>
        <v>0</v>
      </c>
      <c r="AK1554" s="16" t="b">
        <f>INDEX(stable[q_regen_ag],MATCH(questions[[#This Row],[qno]],stable[qno],0))</f>
        <v>0</v>
      </c>
      <c r="AL1554" s="16" t="b">
        <f>COUNTIFS(stable[qno],questions[[#This Row],[qno]])=1</f>
        <v>1</v>
      </c>
      <c r="AM1554" s="16" t="b">
        <f>OR(questions[[#This Row],[is_fixed]],questions[[#This Row],[is_localized]],questions[[#This Row],[is_supply_chain_dependent]])</f>
        <v>1</v>
      </c>
      <c r="AN1554" s="16" t="b">
        <f>COUNTIFS(questions[[#This Row],[is_automated]:[is_multi_select]],TRUE)=1</f>
        <v>1</v>
      </c>
      <c r="AO1554" s="16" t="b">
        <f>IF(questions[[#This Row],[is_fixed]],questions[[#This Row],[question]]=INDEX(stable[question],MATCH(questions[[#This Row],[qno]],stable[qno],0)),TRUE)</f>
        <v>1</v>
      </c>
      <c r="AP1554" s="16" t="str">
        <f>LEFT(questions[[#This Row],[question]],similarity_range)</f>
        <v>Origin</v>
      </c>
      <c r="AQ1554" s="16" t="str">
        <f>LEFT(INDEX(stable[question],MATCH(questions[[#This Row],[qno]],stable[qno],0)),similarity_range)</f>
        <v>Origin</v>
      </c>
      <c r="AR1554" s="16" t="b">
        <f>questions[[#This Row],[question_first_characters]]=questions[[#This Row],[stability_first_characters]]</f>
        <v>1</v>
      </c>
      <c r="AS1554" s="16" t="b">
        <f>IF(OR(questions[[#This Row],[is_single_select]],questions[[#This Row],[is_multi_select]]),NOT(ISBLANK(questions[[#This Row],[answer_opt_combined]])),TRUE)</f>
        <v>1</v>
      </c>
    </row>
    <row r="1555" spans="1:45" ht="15.75" customHeight="1" x14ac:dyDescent="0.25">
      <c r="A1555" s="9" t="str">
        <f>_xlfn.TEXTJOIN("_",TRUE,questions[[#This Row],[origin]:[qno]])</f>
        <v>Burundi_Arabica_IKAWA RES PROJECT_2026_1001</v>
      </c>
      <c r="B1555" s="9" t="s">
        <v>1057</v>
      </c>
      <c r="C1555" s="9" t="s">
        <v>59</v>
      </c>
      <c r="D1555" s="9" t="s">
        <v>1058</v>
      </c>
      <c r="E1555" s="33">
        <v>2026</v>
      </c>
      <c r="F1555" s="24" t="s">
        <v>63</v>
      </c>
      <c r="G1555" s="15" t="s">
        <v>64</v>
      </c>
      <c r="H1555" s="9" t="str" cm="1">
        <f t="array" ref="H1555">INDEX(stableR[question],MATCH(VALUE(questions[[#This Row],[qno]]),VALUE(stableR[qno]),0))</f>
        <v>Type</v>
      </c>
      <c r="I1555" s="9" t="b" cm="1">
        <f t="array" ref="I1555">INDEX(stable[is_fixed],MATCH(VALUE(questions[[#This Row],[qno]]),VALUE(stable[qno]),0))</f>
        <v>1</v>
      </c>
      <c r="J1555" s="9" t="b" cm="1">
        <f t="array" ref="J1555">INDEX(stable[is_localized],MATCH(VALUE(questions[[#This Row],[qno]]),VALUE(stable[qno]),0))</f>
        <v>0</v>
      </c>
      <c r="K1555" s="9" t="b" cm="1">
        <f t="array" ref="K1555">INDEX(stable[is_supply_chain_dependent],MATCH(VALUE(questions[[#This Row],[qno]]),VALUE(stable[qno]),0))</f>
        <v>0</v>
      </c>
      <c r="L1555" s="9" t="b" cm="1">
        <f t="array" ref="L1555">INDEX(stable[is_mandatory],MATCH(VALUE(questions[[#This Row],[qno]]),VALUE(stable[qno]),0))</f>
        <v>1</v>
      </c>
      <c r="M1555" s="9" t="b" cm="1">
        <f t="array" ref="M1555">INDEX(stable[is_automated],MATCH(VALUE(questions[[#This Row],[qno]]),VALUE(stable[qno]),0))</f>
        <v>1</v>
      </c>
      <c r="N1555" s="9" t="b" cm="1">
        <f t="array" ref="N1555">INDEX(stable[is_free_text],MATCH(VALUE(questions[[#This Row],[qno]]),VALUE(stable[qno]),0))</f>
        <v>0</v>
      </c>
      <c r="O1555" s="9" t="b" cm="1">
        <f t="array" ref="O1555">INDEX(stable[is_numerical],MATCH(VALUE(questions[[#This Row],[qno]]),VALUE(stable[qno]),0))</f>
        <v>0</v>
      </c>
      <c r="P1555" s="9" t="b" cm="1">
        <f t="array" ref="P1555">INDEX(stable[is_single_select],MATCH(VALUE(questions[[#This Row],[qno]]),VALUE(stable[qno]),0))</f>
        <v>0</v>
      </c>
      <c r="Q1555" s="9" t="b" cm="1">
        <f t="array" ref="Q1555">INDEX(stable[is_multi_select],MATCH(VALUE(questions[[#This Row],[qno]]),VALUE(stable[qno]),0))</f>
        <v>0</v>
      </c>
      <c r="R1555" s="9" t="b" cm="1">
        <f t="array" ref="R1555">INDEX(stable[is_skip_logic],MATCH(VALUE(questions[[#This Row],[qno]]),VALUE(stable[qno]),0))</f>
        <v>0</v>
      </c>
      <c r="S1555" s="9" t="str">
        <f>_xlfn.TEXTJOIN(", ",TRUE,questions[[#This Row],[ans_opt_1]:[ans_opt_14]])</f>
        <v/>
      </c>
      <c r="AH1555" s="16" t="b">
        <f>INDEX(stable[q_standard],MATCH(questions[[#This Row],[qno]],stable[qno],0))</f>
        <v>1</v>
      </c>
      <c r="AI1555" s="16" t="b">
        <f>INDEX(stable[q_living_income],MATCH(questions[[#This Row],[qno]],stable[qno],0))</f>
        <v>0</v>
      </c>
      <c r="AJ1555" s="16" t="b">
        <f>INDEX(stable[q_carbon],MATCH(questions[[#This Row],[qno]],stable[qno],0))</f>
        <v>0</v>
      </c>
      <c r="AK1555" s="16" t="b">
        <f>INDEX(stable[q_regen_ag],MATCH(questions[[#This Row],[qno]],stable[qno],0))</f>
        <v>0</v>
      </c>
      <c r="AL1555" s="16" t="b">
        <f>COUNTIFS(stable[qno],questions[[#This Row],[qno]])=1</f>
        <v>1</v>
      </c>
      <c r="AM1555" s="16" t="b">
        <f>OR(questions[[#This Row],[is_fixed]],questions[[#This Row],[is_localized]],questions[[#This Row],[is_supply_chain_dependent]])</f>
        <v>1</v>
      </c>
      <c r="AN1555" s="16" t="b">
        <f>COUNTIFS(questions[[#This Row],[is_automated]:[is_multi_select]],TRUE)=1</f>
        <v>1</v>
      </c>
      <c r="AO1555" s="16" t="b">
        <f>IF(questions[[#This Row],[is_fixed]],questions[[#This Row],[question]]=INDEX(stable[question],MATCH(questions[[#This Row],[qno]],stable[qno],0)),TRUE)</f>
        <v>1</v>
      </c>
      <c r="AP1555" s="16" t="str">
        <f>LEFT(questions[[#This Row],[question]],similarity_range)</f>
        <v>Type</v>
      </c>
      <c r="AQ1555" s="16" t="str">
        <f>LEFT(INDEX(stable[question],MATCH(questions[[#This Row],[qno]],stable[qno],0)),similarity_range)</f>
        <v>Type</v>
      </c>
      <c r="AR1555" s="16" t="b">
        <f>questions[[#This Row],[question_first_characters]]=questions[[#This Row],[stability_first_characters]]</f>
        <v>1</v>
      </c>
      <c r="AS1555" s="16" t="b">
        <f>IF(OR(questions[[#This Row],[is_single_select]],questions[[#This Row],[is_multi_select]]),NOT(ISBLANK(questions[[#This Row],[answer_opt_combined]])),TRUE)</f>
        <v>1</v>
      </c>
    </row>
    <row r="1556" spans="1:45" ht="15.75" customHeight="1" x14ac:dyDescent="0.25">
      <c r="A1556" s="9" t="str">
        <f>_xlfn.TEXTJOIN("_",TRUE,questions[[#This Row],[origin]:[qno]])</f>
        <v>Burundi_Arabica_IKAWA RES PROJECT_2026_1002</v>
      </c>
      <c r="B1556" s="9" t="s">
        <v>1057</v>
      </c>
      <c r="C1556" s="9" t="s">
        <v>59</v>
      </c>
      <c r="D1556" s="9" t="s">
        <v>1058</v>
      </c>
      <c r="E1556" s="33">
        <v>2026</v>
      </c>
      <c r="F1556" s="24" t="s">
        <v>65</v>
      </c>
      <c r="G1556" s="15" t="s">
        <v>66</v>
      </c>
      <c r="H1556" s="9" t="str" cm="1">
        <f t="array" ref="H1556">INDEX(stableR[question],MATCH(VALUE(questions[[#This Row],[qno]]),VALUE(stableR[qno]),0))</f>
        <v>Supply chain</v>
      </c>
      <c r="I1556" s="9" t="b" cm="1">
        <f t="array" ref="I1556">INDEX(stable[is_fixed],MATCH(VALUE(questions[[#This Row],[qno]]),VALUE(stable[qno]),0))</f>
        <v>1</v>
      </c>
      <c r="J1556" s="9" t="b" cm="1">
        <f t="array" ref="J1556">INDEX(stable[is_localized],MATCH(VALUE(questions[[#This Row],[qno]]),VALUE(stable[qno]),0))</f>
        <v>0</v>
      </c>
      <c r="K1556" s="9" t="b" cm="1">
        <f t="array" ref="K1556">INDEX(stable[is_supply_chain_dependent],MATCH(VALUE(questions[[#This Row],[qno]]),VALUE(stable[qno]),0))</f>
        <v>0</v>
      </c>
      <c r="L1556" s="9" t="b" cm="1">
        <f t="array" ref="L1556">INDEX(stable[is_mandatory],MATCH(VALUE(questions[[#This Row],[qno]]),VALUE(stable[qno]),0))</f>
        <v>1</v>
      </c>
      <c r="M1556" s="9" t="b" cm="1">
        <f t="array" ref="M1556">INDEX(stable[is_automated],MATCH(VALUE(questions[[#This Row],[qno]]),VALUE(stable[qno]),0))</f>
        <v>1</v>
      </c>
      <c r="N1556" s="9" t="b" cm="1">
        <f t="array" ref="N1556">INDEX(stable[is_free_text],MATCH(VALUE(questions[[#This Row],[qno]]),VALUE(stable[qno]),0))</f>
        <v>0</v>
      </c>
      <c r="O1556" s="9" t="b" cm="1">
        <f t="array" ref="O1556">INDEX(stable[is_numerical],MATCH(VALUE(questions[[#This Row],[qno]]),VALUE(stable[qno]),0))</f>
        <v>0</v>
      </c>
      <c r="P1556" s="9" t="b" cm="1">
        <f t="array" ref="P1556">INDEX(stable[is_single_select],MATCH(VALUE(questions[[#This Row],[qno]]),VALUE(stable[qno]),0))</f>
        <v>0</v>
      </c>
      <c r="Q1556" s="9" t="b" cm="1">
        <f t="array" ref="Q1556">INDEX(stable[is_multi_select],MATCH(VALUE(questions[[#This Row],[qno]]),VALUE(stable[qno]),0))</f>
        <v>0</v>
      </c>
      <c r="R1556" s="9" t="b" cm="1">
        <f t="array" ref="R1556">INDEX(stable[is_skip_logic],MATCH(VALUE(questions[[#This Row],[qno]]),VALUE(stable[qno]),0))</f>
        <v>0</v>
      </c>
      <c r="S1556" s="9" t="str">
        <f>_xlfn.TEXTJOIN(", ",TRUE,questions[[#This Row],[ans_opt_1]:[ans_opt_14]])</f>
        <v/>
      </c>
      <c r="AH1556" s="16" t="b">
        <f>INDEX(stable[q_standard],MATCH(questions[[#This Row],[qno]],stable[qno],0))</f>
        <v>1</v>
      </c>
      <c r="AI1556" s="16" t="b">
        <f>INDEX(stable[q_living_income],MATCH(questions[[#This Row],[qno]],stable[qno],0))</f>
        <v>0</v>
      </c>
      <c r="AJ1556" s="16" t="b">
        <f>INDEX(stable[q_carbon],MATCH(questions[[#This Row],[qno]],stable[qno],0))</f>
        <v>0</v>
      </c>
      <c r="AK1556" s="16" t="b">
        <f>INDEX(stable[q_regen_ag],MATCH(questions[[#This Row],[qno]],stable[qno],0))</f>
        <v>0</v>
      </c>
      <c r="AL1556" s="16" t="b">
        <f>COUNTIFS(stable[qno],questions[[#This Row],[qno]])=1</f>
        <v>1</v>
      </c>
      <c r="AM1556" s="16" t="b">
        <f>OR(questions[[#This Row],[is_fixed]],questions[[#This Row],[is_localized]],questions[[#This Row],[is_supply_chain_dependent]])</f>
        <v>1</v>
      </c>
      <c r="AN1556" s="16" t="b">
        <f>COUNTIFS(questions[[#This Row],[is_automated]:[is_multi_select]],TRUE)=1</f>
        <v>1</v>
      </c>
      <c r="AO1556" s="16" t="b">
        <f>IF(questions[[#This Row],[is_fixed]],questions[[#This Row],[question]]=INDEX(stable[question],MATCH(questions[[#This Row],[qno]],stable[qno],0)),TRUE)</f>
        <v>1</v>
      </c>
      <c r="AP1556" s="16" t="str">
        <f>LEFT(questions[[#This Row],[question]],similarity_range)</f>
        <v>Supply chain</v>
      </c>
      <c r="AQ1556" s="16" t="str">
        <f>LEFT(INDEX(stable[question],MATCH(questions[[#This Row],[qno]],stable[qno],0)),similarity_range)</f>
        <v>Supply chain</v>
      </c>
      <c r="AR1556" s="16" t="b">
        <f>questions[[#This Row],[question_first_characters]]=questions[[#This Row],[stability_first_characters]]</f>
        <v>1</v>
      </c>
      <c r="AS1556" s="16" t="b">
        <f>IF(OR(questions[[#This Row],[is_single_select]],questions[[#This Row],[is_multi_select]]),NOT(ISBLANK(questions[[#This Row],[answer_opt_combined]])),TRUE)</f>
        <v>1</v>
      </c>
    </row>
    <row r="1557" spans="1:45" ht="15.75" customHeight="1" x14ac:dyDescent="0.25">
      <c r="A1557" s="9" t="str">
        <f>_xlfn.TEXTJOIN("_",TRUE,questions[[#This Row],[origin]:[qno]])</f>
        <v>Burundi_Arabica_IKAWA RES PROJECT_2026_1003</v>
      </c>
      <c r="B1557" s="9" t="s">
        <v>1057</v>
      </c>
      <c r="C1557" s="9" t="s">
        <v>59</v>
      </c>
      <c r="D1557" s="9" t="s">
        <v>1058</v>
      </c>
      <c r="E1557" s="33">
        <v>2026</v>
      </c>
      <c r="F1557" s="24" t="s">
        <v>67</v>
      </c>
      <c r="G1557" s="15" t="s">
        <v>68</v>
      </c>
      <c r="H1557" s="9" t="str" cm="1">
        <f t="array" ref="H1557">INDEX(stableR[question],MATCH(VALUE(questions[[#This Row],[qno]]),VALUE(stableR[qno]),0))</f>
        <v>Year</v>
      </c>
      <c r="I1557" s="9" t="b" cm="1">
        <f t="array" ref="I1557">INDEX(stable[is_fixed],MATCH(VALUE(questions[[#This Row],[qno]]),VALUE(stable[qno]),0))</f>
        <v>1</v>
      </c>
      <c r="J1557" s="9" t="b" cm="1">
        <f t="array" ref="J1557">INDEX(stable[is_localized],MATCH(VALUE(questions[[#This Row],[qno]]),VALUE(stable[qno]),0))</f>
        <v>0</v>
      </c>
      <c r="K1557" s="9" t="b" cm="1">
        <f t="array" ref="K1557">INDEX(stable[is_supply_chain_dependent],MATCH(VALUE(questions[[#This Row],[qno]]),VALUE(stable[qno]),0))</f>
        <v>0</v>
      </c>
      <c r="L1557" s="9" t="b" cm="1">
        <f t="array" ref="L1557">INDEX(stable[is_mandatory],MATCH(VALUE(questions[[#This Row],[qno]]),VALUE(stable[qno]),0))</f>
        <v>1</v>
      </c>
      <c r="M1557" s="9" t="b" cm="1">
        <f t="array" ref="M1557">INDEX(stable[is_automated],MATCH(VALUE(questions[[#This Row],[qno]]),VALUE(stable[qno]),0))</f>
        <v>1</v>
      </c>
      <c r="N1557" s="9" t="b" cm="1">
        <f t="array" ref="N1557">INDEX(stable[is_free_text],MATCH(VALUE(questions[[#This Row],[qno]]),VALUE(stable[qno]),0))</f>
        <v>0</v>
      </c>
      <c r="O1557" s="9" t="b" cm="1">
        <f t="array" ref="O1557">INDEX(stable[is_numerical],MATCH(VALUE(questions[[#This Row],[qno]]),VALUE(stable[qno]),0))</f>
        <v>0</v>
      </c>
      <c r="P1557" s="9" t="b" cm="1">
        <f t="array" ref="P1557">INDEX(stable[is_single_select],MATCH(VALUE(questions[[#This Row],[qno]]),VALUE(stable[qno]),0))</f>
        <v>0</v>
      </c>
      <c r="Q1557" s="9" t="b" cm="1">
        <f t="array" ref="Q1557">INDEX(stable[is_multi_select],MATCH(VALUE(questions[[#This Row],[qno]]),VALUE(stable[qno]),0))</f>
        <v>0</v>
      </c>
      <c r="R1557" s="9" t="b" cm="1">
        <f t="array" ref="R1557">INDEX(stable[is_skip_logic],MATCH(VALUE(questions[[#This Row],[qno]]),VALUE(stable[qno]),0))</f>
        <v>0</v>
      </c>
      <c r="S1557" s="9" t="str">
        <f>_xlfn.TEXTJOIN(", ",TRUE,questions[[#This Row],[ans_opt_1]:[ans_opt_14]])</f>
        <v/>
      </c>
      <c r="AH1557" s="16" t="b">
        <f>INDEX(stable[q_standard],MATCH(questions[[#This Row],[qno]],stable[qno],0))</f>
        <v>1</v>
      </c>
      <c r="AI1557" s="16" t="b">
        <f>INDEX(stable[q_living_income],MATCH(questions[[#This Row],[qno]],stable[qno],0))</f>
        <v>0</v>
      </c>
      <c r="AJ1557" s="16" t="b">
        <f>INDEX(stable[q_carbon],MATCH(questions[[#This Row],[qno]],stable[qno],0))</f>
        <v>0</v>
      </c>
      <c r="AK1557" s="16" t="b">
        <f>INDEX(stable[q_regen_ag],MATCH(questions[[#This Row],[qno]],stable[qno],0))</f>
        <v>0</v>
      </c>
      <c r="AL1557" s="16" t="b">
        <f>COUNTIFS(stable[qno],questions[[#This Row],[qno]])=1</f>
        <v>1</v>
      </c>
      <c r="AM1557" s="16" t="b">
        <f>OR(questions[[#This Row],[is_fixed]],questions[[#This Row],[is_localized]],questions[[#This Row],[is_supply_chain_dependent]])</f>
        <v>1</v>
      </c>
      <c r="AN1557" s="16" t="b">
        <f>COUNTIFS(questions[[#This Row],[is_automated]:[is_multi_select]],TRUE)=1</f>
        <v>1</v>
      </c>
      <c r="AO1557" s="16" t="b">
        <f>IF(questions[[#This Row],[is_fixed]],questions[[#This Row],[question]]=INDEX(stable[question],MATCH(questions[[#This Row],[qno]],stable[qno],0)),TRUE)</f>
        <v>1</v>
      </c>
      <c r="AP1557" s="16" t="str">
        <f>LEFT(questions[[#This Row],[question]],similarity_range)</f>
        <v>Year</v>
      </c>
      <c r="AQ1557" s="16" t="str">
        <f>LEFT(INDEX(stable[question],MATCH(questions[[#This Row],[qno]],stable[qno],0)),similarity_range)</f>
        <v>Year</v>
      </c>
      <c r="AR1557" s="16" t="b">
        <f>questions[[#This Row],[question_first_characters]]=questions[[#This Row],[stability_first_characters]]</f>
        <v>1</v>
      </c>
      <c r="AS1557" s="16" t="b">
        <f>IF(OR(questions[[#This Row],[is_single_select]],questions[[#This Row],[is_multi_select]]),NOT(ISBLANK(questions[[#This Row],[answer_opt_combined]])),TRUE)</f>
        <v>1</v>
      </c>
    </row>
    <row r="1558" spans="1:45" ht="15.75" customHeight="1" x14ac:dyDescent="0.25">
      <c r="A1558" s="9" t="str">
        <f>_xlfn.TEXTJOIN("_",TRUE,questions[[#This Row],[origin]:[qno]])</f>
        <v>Burundi_Arabica_IKAWA RES PROJECT_2026_1104</v>
      </c>
      <c r="B1558" s="9" t="s">
        <v>1057</v>
      </c>
      <c r="C1558" s="9" t="s">
        <v>59</v>
      </c>
      <c r="D1558" s="9" t="s">
        <v>1058</v>
      </c>
      <c r="E1558" s="33">
        <v>2026</v>
      </c>
      <c r="F1558" s="24" t="s">
        <v>69</v>
      </c>
      <c r="G1558" s="15" t="s">
        <v>70</v>
      </c>
      <c r="H1558" s="9" t="str" cm="1">
        <f t="array" ref="H1558">INDEX(stableR[question],MATCH(VALUE(questions[[#This Row],[qno]]),VALUE(stableR[qno]),0))</f>
        <v>Managed by</v>
      </c>
      <c r="I1558" s="9" t="b" cm="1">
        <f t="array" ref="I1558">INDEX(stable[is_fixed],MATCH(VALUE(questions[[#This Row],[qno]]),VALUE(stable[qno]),0))</f>
        <v>1</v>
      </c>
      <c r="J1558" s="9" t="b" cm="1">
        <f t="array" ref="J1558">INDEX(stable[is_localized],MATCH(VALUE(questions[[#This Row],[qno]]),VALUE(stable[qno]),0))</f>
        <v>0</v>
      </c>
      <c r="K1558" s="9" t="b" cm="1">
        <f t="array" ref="K1558">INDEX(stable[is_supply_chain_dependent],MATCH(VALUE(questions[[#This Row],[qno]]),VALUE(stable[qno]),0))</f>
        <v>0</v>
      </c>
      <c r="L1558" s="9" t="b" cm="1">
        <f t="array" ref="L1558">INDEX(stable[is_mandatory],MATCH(VALUE(questions[[#This Row],[qno]]),VALUE(stable[qno]),0))</f>
        <v>1</v>
      </c>
      <c r="M1558" s="9" t="b" cm="1">
        <f t="array" ref="M1558">INDEX(stable[is_automated],MATCH(VALUE(questions[[#This Row],[qno]]),VALUE(stable[qno]),0))</f>
        <v>1</v>
      </c>
      <c r="N1558" s="9" t="b" cm="1">
        <f t="array" ref="N1558">INDEX(stable[is_free_text],MATCH(VALUE(questions[[#This Row],[qno]]),VALUE(stable[qno]),0))</f>
        <v>0</v>
      </c>
      <c r="O1558" s="9" t="b" cm="1">
        <f t="array" ref="O1558">INDEX(stable[is_numerical],MATCH(VALUE(questions[[#This Row],[qno]]),VALUE(stable[qno]),0))</f>
        <v>0</v>
      </c>
      <c r="P1558" s="9" t="b" cm="1">
        <f t="array" ref="P1558">INDEX(stable[is_single_select],MATCH(VALUE(questions[[#This Row],[qno]]),VALUE(stable[qno]),0))</f>
        <v>0</v>
      </c>
      <c r="Q1558" s="9" t="b" cm="1">
        <f t="array" ref="Q1558">INDEX(stable[is_multi_select],MATCH(VALUE(questions[[#This Row],[qno]]),VALUE(stable[qno]),0))</f>
        <v>0</v>
      </c>
      <c r="R1558" s="9" t="b" cm="1">
        <f t="array" ref="R1558">INDEX(stable[is_skip_logic],MATCH(VALUE(questions[[#This Row],[qno]]),VALUE(stable[qno]),0))</f>
        <v>0</v>
      </c>
      <c r="S1558" s="9" t="str">
        <f>_xlfn.TEXTJOIN(", ",TRUE,questions[[#This Row],[ans_opt_1]:[ans_opt_14]])</f>
        <v/>
      </c>
      <c r="AH1558" s="16" t="b">
        <f>INDEX(stable[q_standard],MATCH(questions[[#This Row],[qno]],stable[qno],0))</f>
        <v>1</v>
      </c>
      <c r="AI1558" s="16" t="b">
        <f>INDEX(stable[q_living_income],MATCH(questions[[#This Row],[qno]],stable[qno],0))</f>
        <v>0</v>
      </c>
      <c r="AJ1558" s="16" t="b">
        <f>INDEX(stable[q_carbon],MATCH(questions[[#This Row],[qno]],stable[qno],0))</f>
        <v>0</v>
      </c>
      <c r="AK1558" s="16" t="b">
        <f>INDEX(stable[q_regen_ag],MATCH(questions[[#This Row],[qno]],stable[qno],0))</f>
        <v>0</v>
      </c>
      <c r="AL1558" s="16" t="b">
        <f>COUNTIFS(stable[qno],questions[[#This Row],[qno]])=1</f>
        <v>1</v>
      </c>
      <c r="AM1558" s="16" t="b">
        <f>OR(questions[[#This Row],[is_fixed]],questions[[#This Row],[is_localized]],questions[[#This Row],[is_supply_chain_dependent]])</f>
        <v>1</v>
      </c>
      <c r="AN1558" s="16" t="b">
        <f>COUNTIFS(questions[[#This Row],[is_automated]:[is_multi_select]],TRUE)=1</f>
        <v>1</v>
      </c>
      <c r="AO1558" s="16" t="b">
        <f>IF(questions[[#This Row],[is_fixed]],questions[[#This Row],[question]]=INDEX(stable[question],MATCH(questions[[#This Row],[qno]],stable[qno],0)),TRUE)</f>
        <v>1</v>
      </c>
      <c r="AP1558" s="16" t="str">
        <f>LEFT(questions[[#This Row],[question]],similarity_range)</f>
        <v>Managed by</v>
      </c>
      <c r="AQ1558" s="16" t="str">
        <f>LEFT(INDEX(stable[question],MATCH(questions[[#This Row],[qno]],stable[qno],0)),similarity_range)</f>
        <v>Managed by</v>
      </c>
      <c r="AR1558" s="16" t="b">
        <f>questions[[#This Row],[question_first_characters]]=questions[[#This Row],[stability_first_characters]]</f>
        <v>1</v>
      </c>
      <c r="AS1558" s="16" t="b">
        <f>IF(OR(questions[[#This Row],[is_single_select]],questions[[#This Row],[is_multi_select]]),NOT(ISBLANK(questions[[#This Row],[answer_opt_combined]])),TRUE)</f>
        <v>1</v>
      </c>
    </row>
    <row r="1559" spans="1:45" ht="15.75" customHeight="1" x14ac:dyDescent="0.25">
      <c r="A1559" s="9" t="str">
        <f>_xlfn.TEXTJOIN("_",TRUE,questions[[#This Row],[origin]:[qno]])</f>
        <v>Burundi_Arabica_IKAWA RES PROJECT_2026_1105</v>
      </c>
      <c r="B1559" s="9" t="s">
        <v>1057</v>
      </c>
      <c r="C1559" s="9" t="s">
        <v>59</v>
      </c>
      <c r="D1559" s="9" t="s">
        <v>1058</v>
      </c>
      <c r="E1559" s="33">
        <v>2026</v>
      </c>
      <c r="F1559" s="24" t="s">
        <v>71</v>
      </c>
      <c r="G1559" s="15" t="s">
        <v>72</v>
      </c>
      <c r="H1559" s="9" t="str" cm="1">
        <f t="array" ref="H1559">INDEX(stableR[question],MATCH(VALUE(questions[[#This Row],[qno]]),VALUE(stableR[qno]),0))</f>
        <v>Field staff(s)</v>
      </c>
      <c r="I1559" s="9" t="b" cm="1">
        <f t="array" ref="I1559">INDEX(stable[is_fixed],MATCH(VALUE(questions[[#This Row],[qno]]),VALUE(stable[qno]),0))</f>
        <v>1</v>
      </c>
      <c r="J1559" s="9" t="b" cm="1">
        <f t="array" ref="J1559">INDEX(stable[is_localized],MATCH(VALUE(questions[[#This Row],[qno]]),VALUE(stable[qno]),0))</f>
        <v>0</v>
      </c>
      <c r="K1559" s="9" t="b" cm="1">
        <f t="array" ref="K1559">INDEX(stable[is_supply_chain_dependent],MATCH(VALUE(questions[[#This Row],[qno]]),VALUE(stable[qno]),0))</f>
        <v>0</v>
      </c>
      <c r="L1559" s="9" t="b" cm="1">
        <f t="array" ref="L1559">INDEX(stable[is_mandatory],MATCH(VALUE(questions[[#This Row],[qno]]),VALUE(stable[qno]),0))</f>
        <v>1</v>
      </c>
      <c r="M1559" s="9" t="b" cm="1">
        <f t="array" ref="M1559">INDEX(stable[is_automated],MATCH(VALUE(questions[[#This Row],[qno]]),VALUE(stable[qno]),0))</f>
        <v>1</v>
      </c>
      <c r="N1559" s="9" t="b" cm="1">
        <f t="array" ref="N1559">INDEX(stable[is_free_text],MATCH(VALUE(questions[[#This Row],[qno]]),VALUE(stable[qno]),0))</f>
        <v>0</v>
      </c>
      <c r="O1559" s="9" t="b" cm="1">
        <f t="array" ref="O1559">INDEX(stable[is_numerical],MATCH(VALUE(questions[[#This Row],[qno]]),VALUE(stable[qno]),0))</f>
        <v>0</v>
      </c>
      <c r="P1559" s="9" t="b" cm="1">
        <f t="array" ref="P1559">INDEX(stable[is_single_select],MATCH(VALUE(questions[[#This Row],[qno]]),VALUE(stable[qno]),0))</f>
        <v>0</v>
      </c>
      <c r="Q1559" s="9" t="b" cm="1">
        <f t="array" ref="Q1559">INDEX(stable[is_multi_select],MATCH(VALUE(questions[[#This Row],[qno]]),VALUE(stable[qno]),0))</f>
        <v>0</v>
      </c>
      <c r="R1559" s="9" t="b" cm="1">
        <f t="array" ref="R1559">INDEX(stable[is_skip_logic],MATCH(VALUE(questions[[#This Row],[qno]]),VALUE(stable[qno]),0))</f>
        <v>0</v>
      </c>
      <c r="S1559" s="9" t="str">
        <f>_xlfn.TEXTJOIN(", ",TRUE,questions[[#This Row],[ans_opt_1]:[ans_opt_14]])</f>
        <v/>
      </c>
      <c r="AH1559" s="16" t="b">
        <f>INDEX(stable[q_standard],MATCH(questions[[#This Row],[qno]],stable[qno],0))</f>
        <v>1</v>
      </c>
      <c r="AI1559" s="16" t="b">
        <f>INDEX(stable[q_living_income],MATCH(questions[[#This Row],[qno]],stable[qno],0))</f>
        <v>0</v>
      </c>
      <c r="AJ1559" s="16" t="b">
        <f>INDEX(stable[q_carbon],MATCH(questions[[#This Row],[qno]],stable[qno],0))</f>
        <v>0</v>
      </c>
      <c r="AK1559" s="16" t="b">
        <f>INDEX(stable[q_regen_ag],MATCH(questions[[#This Row],[qno]],stable[qno],0))</f>
        <v>0</v>
      </c>
      <c r="AL1559" s="16" t="b">
        <f>COUNTIFS(stable[qno],questions[[#This Row],[qno]])=1</f>
        <v>1</v>
      </c>
      <c r="AM1559" s="16" t="b">
        <f>OR(questions[[#This Row],[is_fixed]],questions[[#This Row],[is_localized]],questions[[#This Row],[is_supply_chain_dependent]])</f>
        <v>1</v>
      </c>
      <c r="AN1559" s="16" t="b">
        <f>COUNTIFS(questions[[#This Row],[is_automated]:[is_multi_select]],TRUE)=1</f>
        <v>1</v>
      </c>
      <c r="AO1559" s="16" t="b">
        <f>IF(questions[[#This Row],[is_fixed]],questions[[#This Row],[question]]=INDEX(stable[question],MATCH(questions[[#This Row],[qno]],stable[qno],0)),TRUE)</f>
        <v>1</v>
      </c>
      <c r="AP1559" s="16" t="str">
        <f>LEFT(questions[[#This Row],[question]],similarity_range)</f>
        <v>Field staff(s)</v>
      </c>
      <c r="AQ1559" s="16" t="str">
        <f>LEFT(INDEX(stable[question],MATCH(questions[[#This Row],[qno]],stable[qno],0)),similarity_range)</f>
        <v>Field staff(s)</v>
      </c>
      <c r="AR1559" s="16" t="b">
        <f>questions[[#This Row],[question_first_characters]]=questions[[#This Row],[stability_first_characters]]</f>
        <v>1</v>
      </c>
      <c r="AS1559" s="16" t="b">
        <f>IF(OR(questions[[#This Row],[is_single_select]],questions[[#This Row],[is_multi_select]]),NOT(ISBLANK(questions[[#This Row],[answer_opt_combined]])),TRUE)</f>
        <v>1</v>
      </c>
    </row>
    <row r="1560" spans="1:45" ht="15.75" customHeight="1" x14ac:dyDescent="0.25">
      <c r="A1560" s="9" t="str">
        <f>_xlfn.TEXTJOIN("_",TRUE,questions[[#This Row],[origin]:[qno]])</f>
        <v>Burundi_Arabica_IKAWA RES PROJECT_2026_1106</v>
      </c>
      <c r="B1560" s="9" t="s">
        <v>1057</v>
      </c>
      <c r="C1560" s="9" t="s">
        <v>59</v>
      </c>
      <c r="D1560" s="9" t="s">
        <v>1058</v>
      </c>
      <c r="E1560" s="33">
        <v>2026</v>
      </c>
      <c r="F1560" s="24" t="s">
        <v>73</v>
      </c>
      <c r="G1560" s="15" t="s">
        <v>74</v>
      </c>
      <c r="H1560" s="9" t="str" cm="1">
        <f t="array" ref="H1560">INDEX(stableR[question],MATCH(VALUE(questions[[#This Row],[qno]]),VALUE(stableR[qno]),0))</f>
        <v>Completion Date</v>
      </c>
      <c r="I1560" s="9" t="b" cm="1">
        <f t="array" ref="I1560">INDEX(stable[is_fixed],MATCH(VALUE(questions[[#This Row],[qno]]),VALUE(stable[qno]),0))</f>
        <v>1</v>
      </c>
      <c r="J1560" s="9" t="b" cm="1">
        <f t="array" ref="J1560">INDEX(stable[is_localized],MATCH(VALUE(questions[[#This Row],[qno]]),VALUE(stable[qno]),0))</f>
        <v>0</v>
      </c>
      <c r="K1560" s="9" t="b" cm="1">
        <f t="array" ref="K1560">INDEX(stable[is_supply_chain_dependent],MATCH(VALUE(questions[[#This Row],[qno]]),VALUE(stable[qno]),0))</f>
        <v>0</v>
      </c>
      <c r="L1560" s="9" t="b" cm="1">
        <f t="array" ref="L1560">INDEX(stable[is_mandatory],MATCH(VALUE(questions[[#This Row],[qno]]),VALUE(stable[qno]),0))</f>
        <v>1</v>
      </c>
      <c r="M1560" s="9" t="b" cm="1">
        <f t="array" ref="M1560">INDEX(stable[is_automated],MATCH(VALUE(questions[[#This Row],[qno]]),VALUE(stable[qno]),0))</f>
        <v>1</v>
      </c>
      <c r="N1560" s="9" t="b" cm="1">
        <f t="array" ref="N1560">INDEX(stable[is_free_text],MATCH(VALUE(questions[[#This Row],[qno]]),VALUE(stable[qno]),0))</f>
        <v>0</v>
      </c>
      <c r="O1560" s="9" t="b" cm="1">
        <f t="array" ref="O1560">INDEX(stable[is_numerical],MATCH(VALUE(questions[[#This Row],[qno]]),VALUE(stable[qno]),0))</f>
        <v>0</v>
      </c>
      <c r="P1560" s="9" t="b" cm="1">
        <f t="array" ref="P1560">INDEX(stable[is_single_select],MATCH(VALUE(questions[[#This Row],[qno]]),VALUE(stable[qno]),0))</f>
        <v>0</v>
      </c>
      <c r="Q1560" s="9" t="b" cm="1">
        <f t="array" ref="Q1560">INDEX(stable[is_multi_select],MATCH(VALUE(questions[[#This Row],[qno]]),VALUE(stable[qno]),0))</f>
        <v>0</v>
      </c>
      <c r="R1560" s="9" t="b" cm="1">
        <f t="array" ref="R1560">INDEX(stable[is_skip_logic],MATCH(VALUE(questions[[#This Row],[qno]]),VALUE(stable[qno]),0))</f>
        <v>0</v>
      </c>
      <c r="S1560" s="9" t="str">
        <f>_xlfn.TEXTJOIN(", ",TRUE,questions[[#This Row],[ans_opt_1]:[ans_opt_14]])</f>
        <v/>
      </c>
      <c r="AH1560" s="16" t="b">
        <f>INDEX(stable[q_standard],MATCH(questions[[#This Row],[qno]],stable[qno],0))</f>
        <v>1</v>
      </c>
      <c r="AI1560" s="16" t="b">
        <f>INDEX(stable[q_living_income],MATCH(questions[[#This Row],[qno]],stable[qno],0))</f>
        <v>0</v>
      </c>
      <c r="AJ1560" s="16" t="b">
        <f>INDEX(stable[q_carbon],MATCH(questions[[#This Row],[qno]],stable[qno],0))</f>
        <v>0</v>
      </c>
      <c r="AK1560" s="16" t="b">
        <f>INDEX(stable[q_regen_ag],MATCH(questions[[#This Row],[qno]],stable[qno],0))</f>
        <v>0</v>
      </c>
      <c r="AL1560" s="16" t="b">
        <f>COUNTIFS(stable[qno],questions[[#This Row],[qno]])=1</f>
        <v>1</v>
      </c>
      <c r="AM1560" s="16" t="b">
        <f>OR(questions[[#This Row],[is_fixed]],questions[[#This Row],[is_localized]],questions[[#This Row],[is_supply_chain_dependent]])</f>
        <v>1</v>
      </c>
      <c r="AN1560" s="16" t="b">
        <f>COUNTIFS(questions[[#This Row],[is_automated]:[is_multi_select]],TRUE)=1</f>
        <v>1</v>
      </c>
      <c r="AO1560" s="16" t="b">
        <f>IF(questions[[#This Row],[is_fixed]],questions[[#This Row],[question]]=INDEX(stable[question],MATCH(questions[[#This Row],[qno]],stable[qno],0)),TRUE)</f>
        <v>1</v>
      </c>
      <c r="AP1560" s="16" t="str">
        <f>LEFT(questions[[#This Row],[question]],similarity_range)</f>
        <v>Completion Date</v>
      </c>
      <c r="AQ1560" s="16" t="str">
        <f>LEFT(INDEX(stable[question],MATCH(questions[[#This Row],[qno]],stable[qno],0)),similarity_range)</f>
        <v>Completion Date</v>
      </c>
      <c r="AR1560" s="16" t="b">
        <f>questions[[#This Row],[question_first_characters]]=questions[[#This Row],[stability_first_characters]]</f>
        <v>1</v>
      </c>
      <c r="AS1560" s="16" t="b">
        <f>IF(OR(questions[[#This Row],[is_single_select]],questions[[#This Row],[is_multi_select]]),NOT(ISBLANK(questions[[#This Row],[answer_opt_combined]])),TRUE)</f>
        <v>1</v>
      </c>
    </row>
    <row r="1561" spans="1:45" ht="15.75" customHeight="1" x14ac:dyDescent="0.25">
      <c r="A1561" s="9" t="str">
        <f>_xlfn.TEXTJOIN("_",TRUE,questions[[#This Row],[origin]:[qno]])</f>
        <v>Burundi_Arabica_IKAWA RES PROJECT_2026_1110</v>
      </c>
      <c r="B1561" s="9" t="s">
        <v>1057</v>
      </c>
      <c r="C1561" s="9" t="s">
        <v>59</v>
      </c>
      <c r="D1561" s="9" t="s">
        <v>1058</v>
      </c>
      <c r="E1561" s="33">
        <v>2026</v>
      </c>
      <c r="F1561" s="24" t="s">
        <v>75</v>
      </c>
      <c r="G1561" s="15" t="s">
        <v>76</v>
      </c>
      <c r="H1561" s="9" t="str" cm="1">
        <f t="array" ref="H1561">INDEX(stableR[question],MATCH(VALUE(questions[[#This Row],[qno]]),VALUE(stableR[qno]),0))</f>
        <v>Approved / Rejected By</v>
      </c>
      <c r="I1561" s="9" t="b" cm="1">
        <f t="array" ref="I1561">INDEX(stable[is_fixed],MATCH(VALUE(questions[[#This Row],[qno]]),VALUE(stable[qno]),0))</f>
        <v>1</v>
      </c>
      <c r="J1561" s="9" t="b" cm="1">
        <f t="array" ref="J1561">INDEX(stable[is_localized],MATCH(VALUE(questions[[#This Row],[qno]]),VALUE(stable[qno]),0))</f>
        <v>0</v>
      </c>
      <c r="K1561" s="9" t="b" cm="1">
        <f t="array" ref="K1561">INDEX(stable[is_supply_chain_dependent],MATCH(VALUE(questions[[#This Row],[qno]]),VALUE(stable[qno]),0))</f>
        <v>0</v>
      </c>
      <c r="L1561" s="9" t="b" cm="1">
        <f t="array" ref="L1561">INDEX(stable[is_mandatory],MATCH(VALUE(questions[[#This Row],[qno]]),VALUE(stable[qno]),0))</f>
        <v>1</v>
      </c>
      <c r="M1561" s="9" t="b" cm="1">
        <f t="array" ref="M1561">INDEX(stable[is_automated],MATCH(VALUE(questions[[#This Row],[qno]]),VALUE(stable[qno]),0))</f>
        <v>1</v>
      </c>
      <c r="N1561" s="9" t="b" cm="1">
        <f t="array" ref="N1561">INDEX(stable[is_free_text],MATCH(VALUE(questions[[#This Row],[qno]]),VALUE(stable[qno]),0))</f>
        <v>0</v>
      </c>
      <c r="O1561" s="9" t="b" cm="1">
        <f t="array" ref="O1561">INDEX(stable[is_numerical],MATCH(VALUE(questions[[#This Row],[qno]]),VALUE(stable[qno]),0))</f>
        <v>0</v>
      </c>
      <c r="P1561" s="9" t="b" cm="1">
        <f t="array" ref="P1561">INDEX(stable[is_single_select],MATCH(VALUE(questions[[#This Row],[qno]]),VALUE(stable[qno]),0))</f>
        <v>0</v>
      </c>
      <c r="Q1561" s="9" t="b" cm="1">
        <f t="array" ref="Q1561">INDEX(stable[is_multi_select],MATCH(VALUE(questions[[#This Row],[qno]]),VALUE(stable[qno]),0))</f>
        <v>0</v>
      </c>
      <c r="R1561" s="9" t="b" cm="1">
        <f t="array" ref="R1561">INDEX(stable[is_skip_logic],MATCH(VALUE(questions[[#This Row],[qno]]),VALUE(stable[qno]),0))</f>
        <v>0</v>
      </c>
      <c r="S1561" s="9" t="str">
        <f>_xlfn.TEXTJOIN(", ",TRUE,questions[[#This Row],[ans_opt_1]:[ans_opt_14]])</f>
        <v/>
      </c>
      <c r="AH1561" s="16" t="b">
        <f>INDEX(stable[q_standard],MATCH(questions[[#This Row],[qno]],stable[qno],0))</f>
        <v>1</v>
      </c>
      <c r="AI1561" s="16" t="b">
        <f>INDEX(stable[q_living_income],MATCH(questions[[#This Row],[qno]],stable[qno],0))</f>
        <v>0</v>
      </c>
      <c r="AJ1561" s="16" t="b">
        <f>INDEX(stable[q_carbon],MATCH(questions[[#This Row],[qno]],stable[qno],0))</f>
        <v>0</v>
      </c>
      <c r="AK1561" s="16" t="b">
        <f>INDEX(stable[q_regen_ag],MATCH(questions[[#This Row],[qno]],stable[qno],0))</f>
        <v>0</v>
      </c>
      <c r="AL1561" s="16" t="b">
        <f>COUNTIFS(stable[qno],questions[[#This Row],[qno]])=1</f>
        <v>1</v>
      </c>
      <c r="AM1561" s="16" t="b">
        <f>OR(questions[[#This Row],[is_fixed]],questions[[#This Row],[is_localized]],questions[[#This Row],[is_supply_chain_dependent]])</f>
        <v>1</v>
      </c>
      <c r="AN1561" s="16" t="b">
        <f>COUNTIFS(questions[[#This Row],[is_automated]:[is_multi_select]],TRUE)=1</f>
        <v>1</v>
      </c>
      <c r="AO1561" s="16" t="b">
        <f>IF(questions[[#This Row],[is_fixed]],questions[[#This Row],[question]]=INDEX(stable[question],MATCH(questions[[#This Row],[qno]],stable[qno],0)),TRUE)</f>
        <v>1</v>
      </c>
      <c r="AP1561" s="16" t="str">
        <f>LEFT(questions[[#This Row],[question]],similarity_range)</f>
        <v xml:space="preserve">Approved / Rejected </v>
      </c>
      <c r="AQ1561" s="16" t="str">
        <f>LEFT(INDEX(stable[question],MATCH(questions[[#This Row],[qno]],stable[qno],0)),similarity_range)</f>
        <v xml:space="preserve">Approved / Rejected </v>
      </c>
      <c r="AR1561" s="16" t="b">
        <f>questions[[#This Row],[question_first_characters]]=questions[[#This Row],[stability_first_characters]]</f>
        <v>1</v>
      </c>
      <c r="AS1561" s="16" t="b">
        <f>IF(OR(questions[[#This Row],[is_single_select]],questions[[#This Row],[is_multi_select]]),NOT(ISBLANK(questions[[#This Row],[answer_opt_combined]])),TRUE)</f>
        <v>1</v>
      </c>
    </row>
    <row r="1562" spans="1:45" ht="15.75" customHeight="1" x14ac:dyDescent="0.25">
      <c r="A1562" s="9" t="str">
        <f>_xlfn.TEXTJOIN("_",TRUE,questions[[#This Row],[origin]:[qno]])</f>
        <v>Burundi_Arabica_IKAWA RES PROJECT_2026_1111</v>
      </c>
      <c r="B1562" s="9" t="s">
        <v>1057</v>
      </c>
      <c r="C1562" s="9" t="s">
        <v>59</v>
      </c>
      <c r="D1562" s="9" t="s">
        <v>1058</v>
      </c>
      <c r="E1562" s="33">
        <v>2026</v>
      </c>
      <c r="F1562" s="24" t="s">
        <v>77</v>
      </c>
      <c r="G1562" s="15" t="s">
        <v>78</v>
      </c>
      <c r="H1562" s="9" t="str" cm="1">
        <f t="array" ref="H1562">INDEX(stableR[question],MATCH(VALUE(questions[[#This Row],[qno]]),VALUE(stableR[qno]),0))</f>
        <v>Approved / Rejected Date</v>
      </c>
      <c r="I1562" s="9" t="b" cm="1">
        <f t="array" ref="I1562">INDEX(stable[is_fixed],MATCH(VALUE(questions[[#This Row],[qno]]),VALUE(stable[qno]),0))</f>
        <v>1</v>
      </c>
      <c r="J1562" s="9" t="b" cm="1">
        <f t="array" ref="J1562">INDEX(stable[is_localized],MATCH(VALUE(questions[[#This Row],[qno]]),VALUE(stable[qno]),0))</f>
        <v>0</v>
      </c>
      <c r="K1562" s="9" t="b" cm="1">
        <f t="array" ref="K1562">INDEX(stable[is_supply_chain_dependent],MATCH(VALUE(questions[[#This Row],[qno]]),VALUE(stable[qno]),0))</f>
        <v>0</v>
      </c>
      <c r="L1562" s="9" t="b" cm="1">
        <f t="array" ref="L1562">INDEX(stable[is_mandatory],MATCH(VALUE(questions[[#This Row],[qno]]),VALUE(stable[qno]),0))</f>
        <v>1</v>
      </c>
      <c r="M1562" s="9" t="b" cm="1">
        <f t="array" ref="M1562">INDEX(stable[is_automated],MATCH(VALUE(questions[[#This Row],[qno]]),VALUE(stable[qno]),0))</f>
        <v>1</v>
      </c>
      <c r="N1562" s="9" t="b" cm="1">
        <f t="array" ref="N1562">INDEX(stable[is_free_text],MATCH(VALUE(questions[[#This Row],[qno]]),VALUE(stable[qno]),0))</f>
        <v>0</v>
      </c>
      <c r="O1562" s="9" t="b" cm="1">
        <f t="array" ref="O1562">INDEX(stable[is_numerical],MATCH(VALUE(questions[[#This Row],[qno]]),VALUE(stable[qno]),0))</f>
        <v>0</v>
      </c>
      <c r="P1562" s="9" t="b" cm="1">
        <f t="array" ref="P1562">INDEX(stable[is_single_select],MATCH(VALUE(questions[[#This Row],[qno]]),VALUE(stable[qno]),0))</f>
        <v>0</v>
      </c>
      <c r="Q1562" s="9" t="b" cm="1">
        <f t="array" ref="Q1562">INDEX(stable[is_multi_select],MATCH(VALUE(questions[[#This Row],[qno]]),VALUE(stable[qno]),0))</f>
        <v>0</v>
      </c>
      <c r="R1562" s="9" t="b" cm="1">
        <f t="array" ref="R1562">INDEX(stable[is_skip_logic],MATCH(VALUE(questions[[#This Row],[qno]]),VALUE(stable[qno]),0))</f>
        <v>0</v>
      </c>
      <c r="S1562" s="9" t="str">
        <f>_xlfn.TEXTJOIN(", ",TRUE,questions[[#This Row],[ans_opt_1]:[ans_opt_14]])</f>
        <v/>
      </c>
      <c r="AH1562" s="16" t="b">
        <f>INDEX(stable[q_standard],MATCH(questions[[#This Row],[qno]],stable[qno],0))</f>
        <v>1</v>
      </c>
      <c r="AI1562" s="16" t="b">
        <f>INDEX(stable[q_living_income],MATCH(questions[[#This Row],[qno]],stable[qno],0))</f>
        <v>0</v>
      </c>
      <c r="AJ1562" s="16" t="b">
        <f>INDEX(stable[q_carbon],MATCH(questions[[#This Row],[qno]],stable[qno],0))</f>
        <v>0</v>
      </c>
      <c r="AK1562" s="16" t="b">
        <f>INDEX(stable[q_regen_ag],MATCH(questions[[#This Row],[qno]],stable[qno],0))</f>
        <v>0</v>
      </c>
      <c r="AL1562" s="16" t="b">
        <f>COUNTIFS(stable[qno],questions[[#This Row],[qno]])=1</f>
        <v>1</v>
      </c>
      <c r="AM1562" s="16" t="b">
        <f>OR(questions[[#This Row],[is_fixed]],questions[[#This Row],[is_localized]],questions[[#This Row],[is_supply_chain_dependent]])</f>
        <v>1</v>
      </c>
      <c r="AN1562" s="16" t="b">
        <f>COUNTIFS(questions[[#This Row],[is_automated]:[is_multi_select]],TRUE)=1</f>
        <v>1</v>
      </c>
      <c r="AO1562" s="16" t="b">
        <f>IF(questions[[#This Row],[is_fixed]],questions[[#This Row],[question]]=INDEX(stable[question],MATCH(questions[[#This Row],[qno]],stable[qno],0)),TRUE)</f>
        <v>1</v>
      </c>
      <c r="AP1562" s="16" t="str">
        <f>LEFT(questions[[#This Row],[question]],similarity_range)</f>
        <v xml:space="preserve">Approved / Rejected </v>
      </c>
      <c r="AQ1562" s="16" t="str">
        <f>LEFT(INDEX(stable[question],MATCH(questions[[#This Row],[qno]],stable[qno],0)),similarity_range)</f>
        <v xml:space="preserve">Approved / Rejected </v>
      </c>
      <c r="AR1562" s="16" t="b">
        <f>questions[[#This Row],[question_first_characters]]=questions[[#This Row],[stability_first_characters]]</f>
        <v>1</v>
      </c>
      <c r="AS1562" s="16" t="b">
        <f>IF(OR(questions[[#This Row],[is_single_select]],questions[[#This Row],[is_multi_select]]),NOT(ISBLANK(questions[[#This Row],[answer_opt_combined]])),TRUE)</f>
        <v>1</v>
      </c>
    </row>
    <row r="1563" spans="1:45" ht="15.75" customHeight="1" x14ac:dyDescent="0.25">
      <c r="A1563" s="9" t="str">
        <f>_xlfn.TEXTJOIN("_",TRUE,questions[[#This Row],[origin]:[qno]])</f>
        <v>Burundi_Arabica_IKAWA RES PROJECT_2026_1112</v>
      </c>
      <c r="B1563" s="9" t="s">
        <v>1057</v>
      </c>
      <c r="C1563" s="9" t="s">
        <v>59</v>
      </c>
      <c r="D1563" s="9" t="s">
        <v>1058</v>
      </c>
      <c r="E1563" s="33">
        <v>2026</v>
      </c>
      <c r="F1563" s="24" t="s">
        <v>79</v>
      </c>
      <c r="G1563" s="15" t="s">
        <v>80</v>
      </c>
      <c r="H1563" s="9" t="str" cm="1">
        <f t="array" ref="H1563">INDEX(stableR[question],MATCH(VALUE(questions[[#This Row],[qno]]),VALUE(stableR[qno]),0))</f>
        <v>Approval / Rejection Reason</v>
      </c>
      <c r="I1563" s="9" t="b" cm="1">
        <f t="array" ref="I1563">INDEX(stable[is_fixed],MATCH(VALUE(questions[[#This Row],[qno]]),VALUE(stable[qno]),0))</f>
        <v>1</v>
      </c>
      <c r="J1563" s="9" t="b" cm="1">
        <f t="array" ref="J1563">INDEX(stable[is_localized],MATCH(VALUE(questions[[#This Row],[qno]]),VALUE(stable[qno]),0))</f>
        <v>0</v>
      </c>
      <c r="K1563" s="9" t="b" cm="1">
        <f t="array" ref="K1563">INDEX(stable[is_supply_chain_dependent],MATCH(VALUE(questions[[#This Row],[qno]]),VALUE(stable[qno]),0))</f>
        <v>0</v>
      </c>
      <c r="L1563" s="9" t="b" cm="1">
        <f t="array" ref="L1563">INDEX(stable[is_mandatory],MATCH(VALUE(questions[[#This Row],[qno]]),VALUE(stable[qno]),0))</f>
        <v>1</v>
      </c>
      <c r="M1563" s="9" t="b" cm="1">
        <f t="array" ref="M1563">INDEX(stable[is_automated],MATCH(VALUE(questions[[#This Row],[qno]]),VALUE(stable[qno]),0))</f>
        <v>1</v>
      </c>
      <c r="N1563" s="9" t="b" cm="1">
        <f t="array" ref="N1563">INDEX(stable[is_free_text],MATCH(VALUE(questions[[#This Row],[qno]]),VALUE(stable[qno]),0))</f>
        <v>0</v>
      </c>
      <c r="O1563" s="9" t="b" cm="1">
        <f t="array" ref="O1563">INDEX(stable[is_numerical],MATCH(VALUE(questions[[#This Row],[qno]]),VALUE(stable[qno]),0))</f>
        <v>0</v>
      </c>
      <c r="P1563" s="9" t="b" cm="1">
        <f t="array" ref="P1563">INDEX(stable[is_single_select],MATCH(VALUE(questions[[#This Row],[qno]]),VALUE(stable[qno]),0))</f>
        <v>0</v>
      </c>
      <c r="Q1563" s="9" t="b" cm="1">
        <f t="array" ref="Q1563">INDEX(stable[is_multi_select],MATCH(VALUE(questions[[#This Row],[qno]]),VALUE(stable[qno]),0))</f>
        <v>0</v>
      </c>
      <c r="R1563" s="9" t="b" cm="1">
        <f t="array" ref="R1563">INDEX(stable[is_skip_logic],MATCH(VALUE(questions[[#This Row],[qno]]),VALUE(stable[qno]),0))</f>
        <v>0</v>
      </c>
      <c r="S1563" s="9" t="str">
        <f>_xlfn.TEXTJOIN(", ",TRUE,questions[[#This Row],[ans_opt_1]:[ans_opt_14]])</f>
        <v/>
      </c>
      <c r="AH1563" s="16" t="b">
        <f>INDEX(stable[q_standard],MATCH(questions[[#This Row],[qno]],stable[qno],0))</f>
        <v>1</v>
      </c>
      <c r="AI1563" s="16" t="b">
        <f>INDEX(stable[q_living_income],MATCH(questions[[#This Row],[qno]],stable[qno],0))</f>
        <v>0</v>
      </c>
      <c r="AJ1563" s="16" t="b">
        <f>INDEX(stable[q_carbon],MATCH(questions[[#This Row],[qno]],stable[qno],0))</f>
        <v>0</v>
      </c>
      <c r="AK1563" s="16" t="b">
        <f>INDEX(stable[q_regen_ag],MATCH(questions[[#This Row],[qno]],stable[qno],0))</f>
        <v>0</v>
      </c>
      <c r="AL1563" s="16" t="b">
        <f>COUNTIFS(stable[qno],questions[[#This Row],[qno]])=1</f>
        <v>1</v>
      </c>
      <c r="AM1563" s="16" t="b">
        <f>OR(questions[[#This Row],[is_fixed]],questions[[#This Row],[is_localized]],questions[[#This Row],[is_supply_chain_dependent]])</f>
        <v>1</v>
      </c>
      <c r="AN1563" s="16" t="b">
        <f>COUNTIFS(questions[[#This Row],[is_automated]:[is_multi_select]],TRUE)=1</f>
        <v>1</v>
      </c>
      <c r="AO1563" s="16" t="b">
        <f>IF(questions[[#This Row],[is_fixed]],questions[[#This Row],[question]]=INDEX(stable[question],MATCH(questions[[#This Row],[qno]],stable[qno],0)),TRUE)</f>
        <v>1</v>
      </c>
      <c r="AP1563" s="16" t="str">
        <f>LEFT(questions[[#This Row],[question]],similarity_range)</f>
        <v>Approval / Rejection</v>
      </c>
      <c r="AQ1563" s="16" t="str">
        <f>LEFT(INDEX(stable[question],MATCH(questions[[#This Row],[qno]],stable[qno],0)),similarity_range)</f>
        <v>Approval / Rejection</v>
      </c>
      <c r="AR1563" s="16" t="b">
        <f>questions[[#This Row],[question_first_characters]]=questions[[#This Row],[stability_first_characters]]</f>
        <v>1</v>
      </c>
      <c r="AS1563" s="16" t="b">
        <f>IF(OR(questions[[#This Row],[is_single_select]],questions[[#This Row],[is_multi_select]]),NOT(ISBLANK(questions[[#This Row],[answer_opt_combined]])),TRUE)</f>
        <v>1</v>
      </c>
    </row>
    <row r="1564" spans="1:45" ht="15.75" customHeight="1" x14ac:dyDescent="0.25">
      <c r="A1564" s="9" t="str">
        <f>_xlfn.TEXTJOIN("_",TRUE,questions[[#This Row],[origin]:[qno]])</f>
        <v>Burundi_Arabica_IKAWA RES PROJECT_2026_1200</v>
      </c>
      <c r="B1564" s="9" t="s">
        <v>1057</v>
      </c>
      <c r="C1564" s="9" t="s">
        <v>59</v>
      </c>
      <c r="D1564" s="9" t="s">
        <v>1058</v>
      </c>
      <c r="E1564" s="33">
        <v>2026</v>
      </c>
      <c r="F1564" s="24" t="s">
        <v>81</v>
      </c>
      <c r="G1564" s="15" t="s">
        <v>82</v>
      </c>
      <c r="H1564" s="9" t="str" cm="1">
        <f t="array" ref="H1564">INDEX(stableR[question],MATCH(VALUE(questions[[#This Row],[qno]]),VALUE(stableR[qno]),0))</f>
        <v>Farmer code</v>
      </c>
      <c r="I1564" s="9" t="b" cm="1">
        <f t="array" ref="I1564">INDEX(stable[is_fixed],MATCH(VALUE(questions[[#This Row],[qno]]),VALUE(stable[qno]),0))</f>
        <v>1</v>
      </c>
      <c r="J1564" s="9" t="b" cm="1">
        <f t="array" ref="J1564">INDEX(stable[is_localized],MATCH(VALUE(questions[[#This Row],[qno]]),VALUE(stable[qno]),0))</f>
        <v>0</v>
      </c>
      <c r="K1564" s="9" t="b" cm="1">
        <f t="array" ref="K1564">INDEX(stable[is_supply_chain_dependent],MATCH(VALUE(questions[[#This Row],[qno]]),VALUE(stable[qno]),0))</f>
        <v>0</v>
      </c>
      <c r="L1564" s="9" t="b" cm="1">
        <f t="array" ref="L1564">INDEX(stable[is_mandatory],MATCH(VALUE(questions[[#This Row],[qno]]),VALUE(stable[qno]),0))</f>
        <v>1</v>
      </c>
      <c r="M1564" s="9" t="b" cm="1">
        <f t="array" ref="M1564">INDEX(stable[is_automated],MATCH(VALUE(questions[[#This Row],[qno]]),VALUE(stable[qno]),0))</f>
        <v>1</v>
      </c>
      <c r="N1564" s="9" t="b" cm="1">
        <f t="array" ref="N1564">INDEX(stable[is_free_text],MATCH(VALUE(questions[[#This Row],[qno]]),VALUE(stable[qno]),0))</f>
        <v>0</v>
      </c>
      <c r="O1564" s="9" t="b" cm="1">
        <f t="array" ref="O1564">INDEX(stable[is_numerical],MATCH(VALUE(questions[[#This Row],[qno]]),VALUE(stable[qno]),0))</f>
        <v>0</v>
      </c>
      <c r="P1564" s="9" t="b" cm="1">
        <f t="array" ref="P1564">INDEX(stable[is_single_select],MATCH(VALUE(questions[[#This Row],[qno]]),VALUE(stable[qno]),0))</f>
        <v>0</v>
      </c>
      <c r="Q1564" s="9" t="b" cm="1">
        <f t="array" ref="Q1564">INDEX(stable[is_multi_select],MATCH(VALUE(questions[[#This Row],[qno]]),VALUE(stable[qno]),0))</f>
        <v>0</v>
      </c>
      <c r="R1564" s="9" t="b" cm="1">
        <f t="array" ref="R1564">INDEX(stable[is_skip_logic],MATCH(VALUE(questions[[#This Row],[qno]]),VALUE(stable[qno]),0))</f>
        <v>0</v>
      </c>
      <c r="S1564" s="9" t="str">
        <f>_xlfn.TEXTJOIN(", ",TRUE,questions[[#This Row],[ans_opt_1]:[ans_opt_14]])</f>
        <v/>
      </c>
      <c r="AH1564" s="16" t="b">
        <f>INDEX(stable[q_standard],MATCH(questions[[#This Row],[qno]],stable[qno],0))</f>
        <v>1</v>
      </c>
      <c r="AI1564" s="16" t="b">
        <f>INDEX(stable[q_living_income],MATCH(questions[[#This Row],[qno]],stable[qno],0))</f>
        <v>0</v>
      </c>
      <c r="AJ1564" s="16" t="b">
        <f>INDEX(stable[q_carbon],MATCH(questions[[#This Row],[qno]],stable[qno],0))</f>
        <v>0</v>
      </c>
      <c r="AK1564" s="16" t="b">
        <f>INDEX(stable[q_regen_ag],MATCH(questions[[#This Row],[qno]],stable[qno],0))</f>
        <v>0</v>
      </c>
      <c r="AL1564" s="16" t="b">
        <f>COUNTIFS(stable[qno],questions[[#This Row],[qno]])=1</f>
        <v>1</v>
      </c>
      <c r="AM1564" s="16" t="b">
        <f>OR(questions[[#This Row],[is_fixed]],questions[[#This Row],[is_localized]],questions[[#This Row],[is_supply_chain_dependent]])</f>
        <v>1</v>
      </c>
      <c r="AN1564" s="16" t="b">
        <f>COUNTIFS(questions[[#This Row],[is_automated]:[is_multi_select]],TRUE)=1</f>
        <v>1</v>
      </c>
      <c r="AO1564" s="16" t="b">
        <f>IF(questions[[#This Row],[is_fixed]],questions[[#This Row],[question]]=INDEX(stable[question],MATCH(questions[[#This Row],[qno]],stable[qno],0)),TRUE)</f>
        <v>1</v>
      </c>
      <c r="AP1564" s="16" t="str">
        <f>LEFT(questions[[#This Row],[question]],similarity_range)</f>
        <v>Farmer code</v>
      </c>
      <c r="AQ1564" s="16" t="str">
        <f>LEFT(INDEX(stable[question],MATCH(questions[[#This Row],[qno]],stable[qno],0)),similarity_range)</f>
        <v>Farmer code</v>
      </c>
      <c r="AR1564" s="16" t="b">
        <f>questions[[#This Row],[question_first_characters]]=questions[[#This Row],[stability_first_characters]]</f>
        <v>1</v>
      </c>
      <c r="AS1564" s="16" t="b">
        <f>IF(OR(questions[[#This Row],[is_single_select]],questions[[#This Row],[is_multi_select]]),NOT(ISBLANK(questions[[#This Row],[answer_opt_combined]])),TRUE)</f>
        <v>1</v>
      </c>
    </row>
    <row r="1565" spans="1:45" ht="15.75" customHeight="1" x14ac:dyDescent="0.25">
      <c r="A1565" s="9" t="str">
        <f>_xlfn.TEXTJOIN("_",TRUE,questions[[#This Row],[origin]:[qno]])</f>
        <v>Burundi_Arabica_IKAWA RES PROJECT_2026_1201</v>
      </c>
      <c r="B1565" s="9" t="s">
        <v>1057</v>
      </c>
      <c r="C1565" s="9" t="s">
        <v>59</v>
      </c>
      <c r="D1565" s="9" t="s">
        <v>1058</v>
      </c>
      <c r="E1565" s="33">
        <v>2026</v>
      </c>
      <c r="F1565" s="24" t="s">
        <v>83</v>
      </c>
      <c r="G1565" s="15" t="s">
        <v>84</v>
      </c>
      <c r="H1565" s="9" t="str" cm="1">
        <f t="array" ref="H1565">INDEX(stableR[question],MATCH(VALUE(questions[[#This Row],[qno]]),VALUE(stableR[qno]),0))</f>
        <v>Farmer name</v>
      </c>
      <c r="I1565" s="9" t="b" cm="1">
        <f t="array" ref="I1565">INDEX(stable[is_fixed],MATCH(VALUE(questions[[#This Row],[qno]]),VALUE(stable[qno]),0))</f>
        <v>1</v>
      </c>
      <c r="J1565" s="9" t="b" cm="1">
        <f t="array" ref="J1565">INDEX(stable[is_localized],MATCH(VALUE(questions[[#This Row],[qno]]),VALUE(stable[qno]),0))</f>
        <v>0</v>
      </c>
      <c r="K1565" s="9" t="b" cm="1">
        <f t="array" ref="K1565">INDEX(stable[is_supply_chain_dependent],MATCH(VALUE(questions[[#This Row],[qno]]),VALUE(stable[qno]),0))</f>
        <v>0</v>
      </c>
      <c r="L1565" s="9" t="b" cm="1">
        <f t="array" ref="L1565">INDEX(stable[is_mandatory],MATCH(VALUE(questions[[#This Row],[qno]]),VALUE(stable[qno]),0))</f>
        <v>1</v>
      </c>
      <c r="M1565" s="9" t="b" cm="1">
        <f t="array" ref="M1565">INDEX(stable[is_automated],MATCH(VALUE(questions[[#This Row],[qno]]),VALUE(stable[qno]),0))</f>
        <v>1</v>
      </c>
      <c r="N1565" s="9" t="b" cm="1">
        <f t="array" ref="N1565">INDEX(stable[is_free_text],MATCH(VALUE(questions[[#This Row],[qno]]),VALUE(stable[qno]),0))</f>
        <v>0</v>
      </c>
      <c r="O1565" s="9" t="b" cm="1">
        <f t="array" ref="O1565">INDEX(stable[is_numerical],MATCH(VALUE(questions[[#This Row],[qno]]),VALUE(stable[qno]),0))</f>
        <v>0</v>
      </c>
      <c r="P1565" s="9" t="b" cm="1">
        <f t="array" ref="P1565">INDEX(stable[is_single_select],MATCH(VALUE(questions[[#This Row],[qno]]),VALUE(stable[qno]),0))</f>
        <v>0</v>
      </c>
      <c r="Q1565" s="9" t="b" cm="1">
        <f t="array" ref="Q1565">INDEX(stable[is_multi_select],MATCH(VALUE(questions[[#This Row],[qno]]),VALUE(stable[qno]),0))</f>
        <v>0</v>
      </c>
      <c r="R1565" s="9" t="b" cm="1">
        <f t="array" ref="R1565">INDEX(stable[is_skip_logic],MATCH(VALUE(questions[[#This Row],[qno]]),VALUE(stable[qno]),0))</f>
        <v>0</v>
      </c>
      <c r="S1565" s="9" t="str">
        <f>_xlfn.TEXTJOIN(", ",TRUE,questions[[#This Row],[ans_opt_1]:[ans_opt_14]])</f>
        <v/>
      </c>
      <c r="AH1565" s="16" t="b">
        <f>INDEX(stable[q_standard],MATCH(questions[[#This Row],[qno]],stable[qno],0))</f>
        <v>1</v>
      </c>
      <c r="AI1565" s="16" t="b">
        <f>INDEX(stable[q_living_income],MATCH(questions[[#This Row],[qno]],stable[qno],0))</f>
        <v>0</v>
      </c>
      <c r="AJ1565" s="16" t="b">
        <f>INDEX(stable[q_carbon],MATCH(questions[[#This Row],[qno]],stable[qno],0))</f>
        <v>0</v>
      </c>
      <c r="AK1565" s="16" t="b">
        <f>INDEX(stable[q_regen_ag],MATCH(questions[[#This Row],[qno]],stable[qno],0))</f>
        <v>0</v>
      </c>
      <c r="AL1565" s="16" t="b">
        <f>COUNTIFS(stable[qno],questions[[#This Row],[qno]])=1</f>
        <v>1</v>
      </c>
      <c r="AM1565" s="16" t="b">
        <f>OR(questions[[#This Row],[is_fixed]],questions[[#This Row],[is_localized]],questions[[#This Row],[is_supply_chain_dependent]])</f>
        <v>1</v>
      </c>
      <c r="AN1565" s="16" t="b">
        <f>COUNTIFS(questions[[#This Row],[is_automated]:[is_multi_select]],TRUE)=1</f>
        <v>1</v>
      </c>
      <c r="AO1565" s="16" t="b">
        <f>IF(questions[[#This Row],[is_fixed]],questions[[#This Row],[question]]=INDEX(stable[question],MATCH(questions[[#This Row],[qno]],stable[qno],0)),TRUE)</f>
        <v>1</v>
      </c>
      <c r="AP1565" s="16" t="str">
        <f>LEFT(questions[[#This Row],[question]],similarity_range)</f>
        <v>Farmer name</v>
      </c>
      <c r="AQ1565" s="16" t="str">
        <f>LEFT(INDEX(stable[question],MATCH(questions[[#This Row],[qno]],stable[qno],0)),similarity_range)</f>
        <v>Farmer name</v>
      </c>
      <c r="AR1565" s="16" t="b">
        <f>questions[[#This Row],[question_first_characters]]=questions[[#This Row],[stability_first_characters]]</f>
        <v>1</v>
      </c>
      <c r="AS1565" s="16" t="b">
        <f>IF(OR(questions[[#This Row],[is_single_select]],questions[[#This Row],[is_multi_select]]),NOT(ISBLANK(questions[[#This Row],[answer_opt_combined]])),TRUE)</f>
        <v>1</v>
      </c>
    </row>
    <row r="1566" spans="1:45" ht="15.75" customHeight="1" x14ac:dyDescent="0.25">
      <c r="A1566" s="9" t="str">
        <f>_xlfn.TEXTJOIN("_",TRUE,questions[[#This Row],[origin]:[qno]])</f>
        <v>Burundi_Arabica_IKAWA RES PROJECT_2026_1202</v>
      </c>
      <c r="B1566" s="9" t="s">
        <v>1057</v>
      </c>
      <c r="C1566" s="9" t="s">
        <v>59</v>
      </c>
      <c r="D1566" s="9" t="s">
        <v>1058</v>
      </c>
      <c r="E1566" s="33">
        <v>2026</v>
      </c>
      <c r="F1566" s="24" t="s">
        <v>85</v>
      </c>
      <c r="G1566" s="15" t="s">
        <v>86</v>
      </c>
      <c r="H1566" s="9" t="str" cm="1">
        <f t="array" ref="H1566">INDEX(stableR[question],MATCH(VALUE(questions[[#This Row],[qno]]),VALUE(stableR[qno]),0))</f>
        <v>Farmer tags</v>
      </c>
      <c r="I1566" s="9" t="b" cm="1">
        <f t="array" ref="I1566">INDEX(stable[is_fixed],MATCH(VALUE(questions[[#This Row],[qno]]),VALUE(stable[qno]),0))</f>
        <v>1</v>
      </c>
      <c r="J1566" s="9" t="b" cm="1">
        <f t="array" ref="J1566">INDEX(stable[is_localized],MATCH(VALUE(questions[[#This Row],[qno]]),VALUE(stable[qno]),0))</f>
        <v>0</v>
      </c>
      <c r="K1566" s="9" t="b" cm="1">
        <f t="array" ref="K1566">INDEX(stable[is_supply_chain_dependent],MATCH(VALUE(questions[[#This Row],[qno]]),VALUE(stable[qno]),0))</f>
        <v>0</v>
      </c>
      <c r="L1566" s="9" t="b" cm="1">
        <f t="array" ref="L1566">INDEX(stable[is_mandatory],MATCH(VALUE(questions[[#This Row],[qno]]),VALUE(stable[qno]),0))</f>
        <v>1</v>
      </c>
      <c r="M1566" s="9" t="b" cm="1">
        <f t="array" ref="M1566">INDEX(stable[is_automated],MATCH(VALUE(questions[[#This Row],[qno]]),VALUE(stable[qno]),0))</f>
        <v>1</v>
      </c>
      <c r="N1566" s="9" t="b" cm="1">
        <f t="array" ref="N1566">INDEX(stable[is_free_text],MATCH(VALUE(questions[[#This Row],[qno]]),VALUE(stable[qno]),0))</f>
        <v>0</v>
      </c>
      <c r="O1566" s="9" t="b" cm="1">
        <f t="array" ref="O1566">INDEX(stable[is_numerical],MATCH(VALUE(questions[[#This Row],[qno]]),VALUE(stable[qno]),0))</f>
        <v>0</v>
      </c>
      <c r="P1566" s="9" t="b" cm="1">
        <f t="array" ref="P1566">INDEX(stable[is_single_select],MATCH(VALUE(questions[[#This Row],[qno]]),VALUE(stable[qno]),0))</f>
        <v>0</v>
      </c>
      <c r="Q1566" s="9" t="b" cm="1">
        <f t="array" ref="Q1566">INDEX(stable[is_multi_select],MATCH(VALUE(questions[[#This Row],[qno]]),VALUE(stable[qno]),0))</f>
        <v>0</v>
      </c>
      <c r="R1566" s="9" t="b" cm="1">
        <f t="array" ref="R1566">INDEX(stable[is_skip_logic],MATCH(VALUE(questions[[#This Row],[qno]]),VALUE(stable[qno]),0))</f>
        <v>0</v>
      </c>
      <c r="S1566" s="9" t="str">
        <f>_xlfn.TEXTJOIN(", ",TRUE,questions[[#This Row],[ans_opt_1]:[ans_opt_14]])</f>
        <v/>
      </c>
      <c r="AH1566" s="16" t="b">
        <f>INDEX(stable[q_standard],MATCH(questions[[#This Row],[qno]],stable[qno],0))</f>
        <v>1</v>
      </c>
      <c r="AI1566" s="16" t="b">
        <f>INDEX(stable[q_living_income],MATCH(questions[[#This Row],[qno]],stable[qno],0))</f>
        <v>0</v>
      </c>
      <c r="AJ1566" s="16" t="b">
        <f>INDEX(stable[q_carbon],MATCH(questions[[#This Row],[qno]],stable[qno],0))</f>
        <v>0</v>
      </c>
      <c r="AK1566" s="16" t="b">
        <f>INDEX(stable[q_regen_ag],MATCH(questions[[#This Row],[qno]],stable[qno],0))</f>
        <v>0</v>
      </c>
      <c r="AL1566" s="16" t="b">
        <f>COUNTIFS(stable[qno],questions[[#This Row],[qno]])=1</f>
        <v>1</v>
      </c>
      <c r="AM1566" s="16" t="b">
        <f>OR(questions[[#This Row],[is_fixed]],questions[[#This Row],[is_localized]],questions[[#This Row],[is_supply_chain_dependent]])</f>
        <v>1</v>
      </c>
      <c r="AN1566" s="16" t="b">
        <f>COUNTIFS(questions[[#This Row],[is_automated]:[is_multi_select]],TRUE)=1</f>
        <v>1</v>
      </c>
      <c r="AO1566" s="16" t="b">
        <f>IF(questions[[#This Row],[is_fixed]],questions[[#This Row],[question]]=INDEX(stable[question],MATCH(questions[[#This Row],[qno]],stable[qno],0)),TRUE)</f>
        <v>1</v>
      </c>
      <c r="AP1566" s="16" t="str">
        <f>LEFT(questions[[#This Row],[question]],similarity_range)</f>
        <v>Farmer tags</v>
      </c>
      <c r="AQ1566" s="16" t="str">
        <f>LEFT(INDEX(stable[question],MATCH(questions[[#This Row],[qno]],stable[qno],0)),similarity_range)</f>
        <v>Farmer tags</v>
      </c>
      <c r="AR1566" s="16" t="b">
        <f>questions[[#This Row],[question_first_characters]]=questions[[#This Row],[stability_first_characters]]</f>
        <v>1</v>
      </c>
      <c r="AS1566" s="16" t="b">
        <f>IF(OR(questions[[#This Row],[is_single_select]],questions[[#This Row],[is_multi_select]]),NOT(ISBLANK(questions[[#This Row],[answer_opt_combined]])),TRUE)</f>
        <v>1</v>
      </c>
    </row>
    <row r="1567" spans="1:45" ht="15.75" customHeight="1" x14ac:dyDescent="0.25">
      <c r="A1567" s="9" t="str">
        <f>_xlfn.TEXTJOIN("_",TRUE,questions[[#This Row],[origin]:[qno]])</f>
        <v>Burundi_Arabica_IKAWA RES PROJECT_2026_1203</v>
      </c>
      <c r="B1567" s="9" t="s">
        <v>1057</v>
      </c>
      <c r="C1567" s="9" t="s">
        <v>59</v>
      </c>
      <c r="D1567" s="9" t="s">
        <v>1058</v>
      </c>
      <c r="E1567" s="33">
        <v>2026</v>
      </c>
      <c r="F1567" s="24" t="s">
        <v>87</v>
      </c>
      <c r="G1567" s="15" t="s">
        <v>88</v>
      </c>
      <c r="H1567" s="9" t="str" cm="1">
        <f t="array" ref="H1567">INDEX(stableR[question],MATCH(VALUE(questions[[#This Row],[qno]]),VALUE(stableR[qno]),0))</f>
        <v>Address</v>
      </c>
      <c r="I1567" s="9" t="b" cm="1">
        <f t="array" ref="I1567">INDEX(stable[is_fixed],MATCH(VALUE(questions[[#This Row],[qno]]),VALUE(stable[qno]),0))</f>
        <v>1</v>
      </c>
      <c r="J1567" s="9" t="b" cm="1">
        <f t="array" ref="J1567">INDEX(stable[is_localized],MATCH(VALUE(questions[[#This Row],[qno]]),VALUE(stable[qno]),0))</f>
        <v>0</v>
      </c>
      <c r="K1567" s="9" t="b" cm="1">
        <f t="array" ref="K1567">INDEX(stable[is_supply_chain_dependent],MATCH(VALUE(questions[[#This Row],[qno]]),VALUE(stable[qno]),0))</f>
        <v>0</v>
      </c>
      <c r="L1567" s="9" t="b" cm="1">
        <f t="array" ref="L1567">INDEX(stable[is_mandatory],MATCH(VALUE(questions[[#This Row],[qno]]),VALUE(stable[qno]),0))</f>
        <v>1</v>
      </c>
      <c r="M1567" s="9" t="b" cm="1">
        <f t="array" ref="M1567">INDEX(stable[is_automated],MATCH(VALUE(questions[[#This Row],[qno]]),VALUE(stable[qno]),0))</f>
        <v>1</v>
      </c>
      <c r="N1567" s="9" t="b" cm="1">
        <f t="array" ref="N1567">INDEX(stable[is_free_text],MATCH(VALUE(questions[[#This Row],[qno]]),VALUE(stable[qno]),0))</f>
        <v>0</v>
      </c>
      <c r="O1567" s="9" t="b" cm="1">
        <f t="array" ref="O1567">INDEX(stable[is_numerical],MATCH(VALUE(questions[[#This Row],[qno]]),VALUE(stable[qno]),0))</f>
        <v>0</v>
      </c>
      <c r="P1567" s="9" t="b" cm="1">
        <f t="array" ref="P1567">INDEX(stable[is_single_select],MATCH(VALUE(questions[[#This Row],[qno]]),VALUE(stable[qno]),0))</f>
        <v>0</v>
      </c>
      <c r="Q1567" s="9" t="b" cm="1">
        <f t="array" ref="Q1567">INDEX(stable[is_multi_select],MATCH(VALUE(questions[[#This Row],[qno]]),VALUE(stable[qno]),0))</f>
        <v>0</v>
      </c>
      <c r="R1567" s="9" t="b" cm="1">
        <f t="array" ref="R1567">INDEX(stable[is_skip_logic],MATCH(VALUE(questions[[#This Row],[qno]]),VALUE(stable[qno]),0))</f>
        <v>0</v>
      </c>
      <c r="S1567" s="9" t="str">
        <f>_xlfn.TEXTJOIN(", ",TRUE,questions[[#This Row],[ans_opt_1]:[ans_opt_14]])</f>
        <v/>
      </c>
      <c r="AH1567" s="16" t="b">
        <f>INDEX(stable[q_standard],MATCH(questions[[#This Row],[qno]],stable[qno],0))</f>
        <v>1</v>
      </c>
      <c r="AI1567" s="16" t="b">
        <f>INDEX(stable[q_living_income],MATCH(questions[[#This Row],[qno]],stable[qno],0))</f>
        <v>0</v>
      </c>
      <c r="AJ1567" s="16" t="b">
        <f>INDEX(stable[q_carbon],MATCH(questions[[#This Row],[qno]],stable[qno],0))</f>
        <v>0</v>
      </c>
      <c r="AK1567" s="16" t="b">
        <f>INDEX(stable[q_regen_ag],MATCH(questions[[#This Row],[qno]],stable[qno],0))</f>
        <v>0</v>
      </c>
      <c r="AL1567" s="16" t="b">
        <f>COUNTIFS(stable[qno],questions[[#This Row],[qno]])=1</f>
        <v>1</v>
      </c>
      <c r="AM1567" s="16" t="b">
        <f>OR(questions[[#This Row],[is_fixed]],questions[[#This Row],[is_localized]],questions[[#This Row],[is_supply_chain_dependent]])</f>
        <v>1</v>
      </c>
      <c r="AN1567" s="16" t="b">
        <f>COUNTIFS(questions[[#This Row],[is_automated]:[is_multi_select]],TRUE)=1</f>
        <v>1</v>
      </c>
      <c r="AO1567" s="16" t="b">
        <f>IF(questions[[#This Row],[is_fixed]],questions[[#This Row],[question]]=INDEX(stable[question],MATCH(questions[[#This Row],[qno]],stable[qno],0)),TRUE)</f>
        <v>1</v>
      </c>
      <c r="AP1567" s="16" t="str">
        <f>LEFT(questions[[#This Row],[question]],similarity_range)</f>
        <v>Address</v>
      </c>
      <c r="AQ1567" s="16" t="str">
        <f>LEFT(INDEX(stable[question],MATCH(questions[[#This Row],[qno]],stable[qno],0)),similarity_range)</f>
        <v>Address</v>
      </c>
      <c r="AR1567" s="16" t="b">
        <f>questions[[#This Row],[question_first_characters]]=questions[[#This Row],[stability_first_characters]]</f>
        <v>1</v>
      </c>
      <c r="AS1567" s="16" t="b">
        <f>IF(OR(questions[[#This Row],[is_single_select]],questions[[#This Row],[is_multi_select]]),NOT(ISBLANK(questions[[#This Row],[answer_opt_combined]])),TRUE)</f>
        <v>1</v>
      </c>
    </row>
    <row r="1568" spans="1:45" ht="15.75" customHeight="1" x14ac:dyDescent="0.25">
      <c r="A1568" s="9" t="str">
        <f>_xlfn.TEXTJOIN("_",TRUE,questions[[#This Row],[origin]:[qno]])</f>
        <v>Burundi_Arabica_IKAWA RES PROJECT_2026_1210</v>
      </c>
      <c r="B1568" s="9" t="s">
        <v>1057</v>
      </c>
      <c r="C1568" s="9" t="s">
        <v>59</v>
      </c>
      <c r="D1568" s="9" t="s">
        <v>1058</v>
      </c>
      <c r="E1568" s="33">
        <v>2026</v>
      </c>
      <c r="F1568" s="24" t="s">
        <v>89</v>
      </c>
      <c r="G1568" s="15" t="s">
        <v>90</v>
      </c>
      <c r="H1568" s="9" t="str" cm="1">
        <f t="array" ref="H1568">INDEX(stableR[question],MATCH(VALUE(questions[[#This Row],[qno]]),VALUE(stableR[qno]),0))</f>
        <v>Plot name</v>
      </c>
      <c r="I1568" s="9" t="b" cm="1">
        <f t="array" ref="I1568">INDEX(stable[is_fixed],MATCH(VALUE(questions[[#This Row],[qno]]),VALUE(stable[qno]),0))</f>
        <v>1</v>
      </c>
      <c r="J1568" s="9" t="b" cm="1">
        <f t="array" ref="J1568">INDEX(stable[is_localized],MATCH(VALUE(questions[[#This Row],[qno]]),VALUE(stable[qno]),0))</f>
        <v>0</v>
      </c>
      <c r="K1568" s="9" t="b" cm="1">
        <f t="array" ref="K1568">INDEX(stable[is_supply_chain_dependent],MATCH(VALUE(questions[[#This Row],[qno]]),VALUE(stable[qno]),0))</f>
        <v>0</v>
      </c>
      <c r="L1568" s="9" t="b" cm="1">
        <f t="array" ref="L1568">INDEX(stable[is_mandatory],MATCH(VALUE(questions[[#This Row],[qno]]),VALUE(stable[qno]),0))</f>
        <v>1</v>
      </c>
      <c r="M1568" s="9" t="b" cm="1">
        <f t="array" ref="M1568">INDEX(stable[is_automated],MATCH(VALUE(questions[[#This Row],[qno]]),VALUE(stable[qno]),0))</f>
        <v>1</v>
      </c>
      <c r="N1568" s="9" t="b" cm="1">
        <f t="array" ref="N1568">INDEX(stable[is_free_text],MATCH(VALUE(questions[[#This Row],[qno]]),VALUE(stable[qno]),0))</f>
        <v>0</v>
      </c>
      <c r="O1568" s="9" t="b" cm="1">
        <f t="array" ref="O1568">INDEX(stable[is_numerical],MATCH(VALUE(questions[[#This Row],[qno]]),VALUE(stable[qno]),0))</f>
        <v>0</v>
      </c>
      <c r="P1568" s="9" t="b" cm="1">
        <f t="array" ref="P1568">INDEX(stable[is_single_select],MATCH(VALUE(questions[[#This Row],[qno]]),VALUE(stable[qno]),0))</f>
        <v>0</v>
      </c>
      <c r="Q1568" s="9" t="b" cm="1">
        <f t="array" ref="Q1568">INDEX(stable[is_multi_select],MATCH(VALUE(questions[[#This Row],[qno]]),VALUE(stable[qno]),0))</f>
        <v>0</v>
      </c>
      <c r="R1568" s="9" t="b" cm="1">
        <f t="array" ref="R1568">INDEX(stable[is_skip_logic],MATCH(VALUE(questions[[#This Row],[qno]]),VALUE(stable[qno]),0))</f>
        <v>0</v>
      </c>
      <c r="S1568" s="9" t="str">
        <f>_xlfn.TEXTJOIN(", ",TRUE,questions[[#This Row],[ans_opt_1]:[ans_opt_14]])</f>
        <v/>
      </c>
      <c r="AH1568" s="16" t="b">
        <f>INDEX(stable[q_standard],MATCH(questions[[#This Row],[qno]],stable[qno],0))</f>
        <v>1</v>
      </c>
      <c r="AI1568" s="16" t="b">
        <f>INDEX(stable[q_living_income],MATCH(questions[[#This Row],[qno]],stable[qno],0))</f>
        <v>0</v>
      </c>
      <c r="AJ1568" s="16" t="b">
        <f>INDEX(stable[q_carbon],MATCH(questions[[#This Row],[qno]],stable[qno],0))</f>
        <v>0</v>
      </c>
      <c r="AK1568" s="16" t="b">
        <f>INDEX(stable[q_regen_ag],MATCH(questions[[#This Row],[qno]],stable[qno],0))</f>
        <v>0</v>
      </c>
      <c r="AL1568" s="16" t="b">
        <f>COUNTIFS(stable[qno],questions[[#This Row],[qno]])=1</f>
        <v>1</v>
      </c>
      <c r="AM1568" s="16" t="b">
        <f>OR(questions[[#This Row],[is_fixed]],questions[[#This Row],[is_localized]],questions[[#This Row],[is_supply_chain_dependent]])</f>
        <v>1</v>
      </c>
      <c r="AN1568" s="16" t="b">
        <f>COUNTIFS(questions[[#This Row],[is_automated]:[is_multi_select]],TRUE)=1</f>
        <v>1</v>
      </c>
      <c r="AO1568" s="16" t="b">
        <f>IF(questions[[#This Row],[is_fixed]],questions[[#This Row],[question]]=INDEX(stable[question],MATCH(questions[[#This Row],[qno]],stable[qno],0)),TRUE)</f>
        <v>1</v>
      </c>
      <c r="AP1568" s="16" t="str">
        <f>LEFT(questions[[#This Row],[question]],similarity_range)</f>
        <v>Plot name</v>
      </c>
      <c r="AQ1568" s="16" t="str">
        <f>LEFT(INDEX(stable[question],MATCH(questions[[#This Row],[qno]],stable[qno],0)),similarity_range)</f>
        <v>Plot name</v>
      </c>
      <c r="AR1568" s="16" t="b">
        <f>questions[[#This Row],[question_first_characters]]=questions[[#This Row],[stability_first_characters]]</f>
        <v>1</v>
      </c>
      <c r="AS1568" s="16" t="b">
        <f>IF(OR(questions[[#This Row],[is_single_select]],questions[[#This Row],[is_multi_select]]),NOT(ISBLANK(questions[[#This Row],[answer_opt_combined]])),TRUE)</f>
        <v>1</v>
      </c>
    </row>
    <row r="1569" spans="1:45" ht="15.75" customHeight="1" x14ac:dyDescent="0.25">
      <c r="A1569" s="9" t="str">
        <f>_xlfn.TEXTJOIN("_",TRUE,questions[[#This Row],[origin]:[qno]])</f>
        <v>Burundi_Arabica_IKAWA RES PROJECT_2026_1211</v>
      </c>
      <c r="B1569" s="9" t="s">
        <v>1057</v>
      </c>
      <c r="C1569" s="9" t="s">
        <v>59</v>
      </c>
      <c r="D1569" s="9" t="s">
        <v>1058</v>
      </c>
      <c r="E1569" s="33">
        <v>2026</v>
      </c>
      <c r="F1569" s="24" t="s">
        <v>91</v>
      </c>
      <c r="G1569" s="15" t="s">
        <v>92</v>
      </c>
      <c r="H1569" s="9" t="str" cm="1">
        <f t="array" ref="H1569">INDEX(stableR[question],MATCH(VALUE(questions[[#This Row],[qno]]),VALUE(stableR[qno]),0))</f>
        <v>Plot tags</v>
      </c>
      <c r="I1569" s="9" t="b" cm="1">
        <f t="array" ref="I1569">INDEX(stable[is_fixed],MATCH(VALUE(questions[[#This Row],[qno]]),VALUE(stable[qno]),0))</f>
        <v>1</v>
      </c>
      <c r="J1569" s="9" t="b" cm="1">
        <f t="array" ref="J1569">INDEX(stable[is_localized],MATCH(VALUE(questions[[#This Row],[qno]]),VALUE(stable[qno]),0))</f>
        <v>0</v>
      </c>
      <c r="K1569" s="9" t="b" cm="1">
        <f t="array" ref="K1569">INDEX(stable[is_supply_chain_dependent],MATCH(VALUE(questions[[#This Row],[qno]]),VALUE(stable[qno]),0))</f>
        <v>0</v>
      </c>
      <c r="L1569" s="9" t="b" cm="1">
        <f t="array" ref="L1569">INDEX(stable[is_mandatory],MATCH(VALUE(questions[[#This Row],[qno]]),VALUE(stable[qno]),0))</f>
        <v>1</v>
      </c>
      <c r="M1569" s="9" t="b" cm="1">
        <f t="array" ref="M1569">INDEX(stable[is_automated],MATCH(VALUE(questions[[#This Row],[qno]]),VALUE(stable[qno]),0))</f>
        <v>1</v>
      </c>
      <c r="N1569" s="9" t="b" cm="1">
        <f t="array" ref="N1569">INDEX(stable[is_free_text],MATCH(VALUE(questions[[#This Row],[qno]]),VALUE(stable[qno]),0))</f>
        <v>0</v>
      </c>
      <c r="O1569" s="9" t="b" cm="1">
        <f t="array" ref="O1569">INDEX(stable[is_numerical],MATCH(VALUE(questions[[#This Row],[qno]]),VALUE(stable[qno]),0))</f>
        <v>0</v>
      </c>
      <c r="P1569" s="9" t="b" cm="1">
        <f t="array" ref="P1569">INDEX(stable[is_single_select],MATCH(VALUE(questions[[#This Row],[qno]]),VALUE(stable[qno]),0))</f>
        <v>0</v>
      </c>
      <c r="Q1569" s="9" t="b" cm="1">
        <f t="array" ref="Q1569">INDEX(stable[is_multi_select],MATCH(VALUE(questions[[#This Row],[qno]]),VALUE(stable[qno]),0))</f>
        <v>0</v>
      </c>
      <c r="R1569" s="9" t="b" cm="1">
        <f t="array" ref="R1569">INDEX(stable[is_skip_logic],MATCH(VALUE(questions[[#This Row],[qno]]),VALUE(stable[qno]),0))</f>
        <v>0</v>
      </c>
      <c r="S1569" s="9" t="str">
        <f>_xlfn.TEXTJOIN(", ",TRUE,questions[[#This Row],[ans_opt_1]:[ans_opt_14]])</f>
        <v/>
      </c>
      <c r="AH1569" s="16" t="b">
        <f>INDEX(stable[q_standard],MATCH(questions[[#This Row],[qno]],stable[qno],0))</f>
        <v>1</v>
      </c>
      <c r="AI1569" s="16" t="b">
        <f>INDEX(stable[q_living_income],MATCH(questions[[#This Row],[qno]],stable[qno],0))</f>
        <v>0</v>
      </c>
      <c r="AJ1569" s="16" t="b">
        <f>INDEX(stable[q_carbon],MATCH(questions[[#This Row],[qno]],stable[qno],0))</f>
        <v>0</v>
      </c>
      <c r="AK1569" s="16" t="b">
        <f>INDEX(stable[q_regen_ag],MATCH(questions[[#This Row],[qno]],stable[qno],0))</f>
        <v>0</v>
      </c>
      <c r="AL1569" s="16" t="b">
        <f>COUNTIFS(stable[qno],questions[[#This Row],[qno]])=1</f>
        <v>1</v>
      </c>
      <c r="AM1569" s="16" t="b">
        <f>OR(questions[[#This Row],[is_fixed]],questions[[#This Row],[is_localized]],questions[[#This Row],[is_supply_chain_dependent]])</f>
        <v>1</v>
      </c>
      <c r="AN1569" s="16" t="b">
        <f>COUNTIFS(questions[[#This Row],[is_automated]:[is_multi_select]],TRUE)=1</f>
        <v>1</v>
      </c>
      <c r="AO1569" s="16" t="b">
        <f>IF(questions[[#This Row],[is_fixed]],questions[[#This Row],[question]]=INDEX(stable[question],MATCH(questions[[#This Row],[qno]],stable[qno],0)),TRUE)</f>
        <v>1</v>
      </c>
      <c r="AP1569" s="16" t="str">
        <f>LEFT(questions[[#This Row],[question]],similarity_range)</f>
        <v>Plot tags</v>
      </c>
      <c r="AQ1569" s="16" t="str">
        <f>LEFT(INDEX(stable[question],MATCH(questions[[#This Row],[qno]],stable[qno],0)),similarity_range)</f>
        <v>Plot tags</v>
      </c>
      <c r="AR1569" s="16" t="b">
        <f>questions[[#This Row],[question_first_characters]]=questions[[#This Row],[stability_first_characters]]</f>
        <v>1</v>
      </c>
      <c r="AS1569" s="16" t="b">
        <f>IF(OR(questions[[#This Row],[is_single_select]],questions[[#This Row],[is_multi_select]]),NOT(ISBLANK(questions[[#This Row],[answer_opt_combined]])),TRUE)</f>
        <v>1</v>
      </c>
    </row>
    <row r="1570" spans="1:45" ht="15.75" customHeight="1" x14ac:dyDescent="0.25">
      <c r="A1570" s="9" t="str">
        <f>_xlfn.TEXTJOIN("_",TRUE,questions[[#This Row],[origin]:[qno]])</f>
        <v>Burundi_Arabica_IKAWA RES PROJECT_2026_1212</v>
      </c>
      <c r="B1570" s="9" t="s">
        <v>1057</v>
      </c>
      <c r="C1570" s="9" t="s">
        <v>59</v>
      </c>
      <c r="D1570" s="9" t="s">
        <v>1058</v>
      </c>
      <c r="E1570" s="33">
        <v>2026</v>
      </c>
      <c r="F1570" s="24" t="s">
        <v>93</v>
      </c>
      <c r="G1570" s="15" t="s">
        <v>94</v>
      </c>
      <c r="H1570" s="9" t="str" cm="1">
        <f t="array" ref="H1570">INDEX(stableR[question],MATCH(VALUE(questions[[#This Row],[qno]]),VALUE(stableR[qno]),0))</f>
        <v>Declared area (acre)</v>
      </c>
      <c r="I1570" s="9" t="b" cm="1">
        <f t="array" ref="I1570">INDEX(stable[is_fixed],MATCH(VALUE(questions[[#This Row],[qno]]),VALUE(stable[qno]),0))</f>
        <v>1</v>
      </c>
      <c r="J1570" s="9" t="b" cm="1">
        <f t="array" ref="J1570">INDEX(stable[is_localized],MATCH(VALUE(questions[[#This Row],[qno]]),VALUE(stable[qno]),0))</f>
        <v>0</v>
      </c>
      <c r="K1570" s="9" t="b" cm="1">
        <f t="array" ref="K1570">INDEX(stable[is_supply_chain_dependent],MATCH(VALUE(questions[[#This Row],[qno]]),VALUE(stable[qno]),0))</f>
        <v>0</v>
      </c>
      <c r="L1570" s="9" t="b" cm="1">
        <f t="array" ref="L1570">INDEX(stable[is_mandatory],MATCH(VALUE(questions[[#This Row],[qno]]),VALUE(stable[qno]),0))</f>
        <v>1</v>
      </c>
      <c r="M1570" s="9" t="b" cm="1">
        <f t="array" ref="M1570">INDEX(stable[is_automated],MATCH(VALUE(questions[[#This Row],[qno]]),VALUE(stable[qno]),0))</f>
        <v>1</v>
      </c>
      <c r="N1570" s="9" t="b" cm="1">
        <f t="array" ref="N1570">INDEX(stable[is_free_text],MATCH(VALUE(questions[[#This Row],[qno]]),VALUE(stable[qno]),0))</f>
        <v>0</v>
      </c>
      <c r="O1570" s="9" t="b" cm="1">
        <f t="array" ref="O1570">INDEX(stable[is_numerical],MATCH(VALUE(questions[[#This Row],[qno]]),VALUE(stable[qno]),0))</f>
        <v>1</v>
      </c>
      <c r="P1570" s="9" t="b" cm="1">
        <f t="array" ref="P1570">INDEX(stable[is_single_select],MATCH(VALUE(questions[[#This Row],[qno]]),VALUE(stable[qno]),0))</f>
        <v>0</v>
      </c>
      <c r="Q1570" s="9" t="b" cm="1">
        <f t="array" ref="Q1570">INDEX(stable[is_multi_select],MATCH(VALUE(questions[[#This Row],[qno]]),VALUE(stable[qno]),0))</f>
        <v>0</v>
      </c>
      <c r="R1570" s="9" t="b" cm="1">
        <f t="array" ref="R1570">INDEX(stable[is_skip_logic],MATCH(VALUE(questions[[#This Row],[qno]]),VALUE(stable[qno]),0))</f>
        <v>0</v>
      </c>
      <c r="S1570" s="9" t="str">
        <f>_xlfn.TEXTJOIN(", ",TRUE,questions[[#This Row],[ans_opt_1]:[ans_opt_14]])</f>
        <v/>
      </c>
      <c r="AH1570" s="16" t="b">
        <f>INDEX(stable[q_standard],MATCH(questions[[#This Row],[qno]],stable[qno],0))</f>
        <v>1</v>
      </c>
      <c r="AI1570" s="16" t="b">
        <f>INDEX(stable[q_living_income],MATCH(questions[[#This Row],[qno]],stable[qno],0))</f>
        <v>0</v>
      </c>
      <c r="AJ1570" s="16" t="b">
        <f>INDEX(stable[q_carbon],MATCH(questions[[#This Row],[qno]],stable[qno],0))</f>
        <v>0</v>
      </c>
      <c r="AK1570" s="16" t="b">
        <f>INDEX(stable[q_regen_ag],MATCH(questions[[#This Row],[qno]],stable[qno],0))</f>
        <v>0</v>
      </c>
      <c r="AL1570" s="16" t="b">
        <f>COUNTIFS(stable[qno],questions[[#This Row],[qno]])=1</f>
        <v>1</v>
      </c>
      <c r="AM1570" s="16" t="b">
        <f>OR(questions[[#This Row],[is_fixed]],questions[[#This Row],[is_localized]],questions[[#This Row],[is_supply_chain_dependent]])</f>
        <v>1</v>
      </c>
      <c r="AN1570" s="16" t="b">
        <f>COUNTIFS(questions[[#This Row],[is_automated]:[is_multi_select]],TRUE)=1</f>
        <v>0</v>
      </c>
      <c r="AO1570" s="16" t="b">
        <f>IF(questions[[#This Row],[is_fixed]],questions[[#This Row],[question]]=INDEX(stable[question],MATCH(questions[[#This Row],[qno]],stable[qno],0)),TRUE)</f>
        <v>1</v>
      </c>
      <c r="AP1570" s="16" t="str">
        <f>LEFT(questions[[#This Row],[question]],similarity_range)</f>
        <v>Declared area (acre)</v>
      </c>
      <c r="AQ1570" s="16" t="str">
        <f>LEFT(INDEX(stable[question],MATCH(questions[[#This Row],[qno]],stable[qno],0)),similarity_range)</f>
        <v>Declared area (acre)</v>
      </c>
      <c r="AR1570" s="16" t="b">
        <f>questions[[#This Row],[question_first_characters]]=questions[[#This Row],[stability_first_characters]]</f>
        <v>1</v>
      </c>
      <c r="AS1570" s="16" t="b">
        <f>IF(OR(questions[[#This Row],[is_single_select]],questions[[#This Row],[is_multi_select]]),NOT(ISBLANK(questions[[#This Row],[answer_opt_combined]])),TRUE)</f>
        <v>1</v>
      </c>
    </row>
    <row r="1571" spans="1:45" ht="15.75" customHeight="1" x14ac:dyDescent="0.25">
      <c r="A1571" s="9" t="str">
        <f>_xlfn.TEXTJOIN("_",TRUE,questions[[#This Row],[origin]:[qno]])</f>
        <v>Burundi_Arabica_IKAWA RES PROJECT_2026_1213</v>
      </c>
      <c r="B1571" s="9" t="s">
        <v>1057</v>
      </c>
      <c r="C1571" s="9" t="s">
        <v>59</v>
      </c>
      <c r="D1571" s="9" t="s">
        <v>1058</v>
      </c>
      <c r="E1571" s="33">
        <v>2026</v>
      </c>
      <c r="F1571" s="24" t="s">
        <v>95</v>
      </c>
      <c r="G1571" s="15" t="s">
        <v>96</v>
      </c>
      <c r="H1571" s="9" t="str" cm="1">
        <f t="array" ref="H1571">INDEX(stableR[question],MATCH(VALUE(questions[[#This Row],[qno]]),VALUE(stableR[qno]),0))</f>
        <v>Audited area (acre)</v>
      </c>
      <c r="I1571" s="9" t="b" cm="1">
        <f t="array" ref="I1571">INDEX(stable[is_fixed],MATCH(VALUE(questions[[#This Row],[qno]]),VALUE(stable[qno]),0))</f>
        <v>1</v>
      </c>
      <c r="J1571" s="9" t="b" cm="1">
        <f t="array" ref="J1571">INDEX(stable[is_localized],MATCH(VALUE(questions[[#This Row],[qno]]),VALUE(stable[qno]),0))</f>
        <v>0</v>
      </c>
      <c r="K1571" s="9" t="b" cm="1">
        <f t="array" ref="K1571">INDEX(stable[is_supply_chain_dependent],MATCH(VALUE(questions[[#This Row],[qno]]),VALUE(stable[qno]),0))</f>
        <v>0</v>
      </c>
      <c r="L1571" s="9" t="b" cm="1">
        <f t="array" ref="L1571">INDEX(stable[is_mandatory],MATCH(VALUE(questions[[#This Row],[qno]]),VALUE(stable[qno]),0))</f>
        <v>1</v>
      </c>
      <c r="M1571" s="9" t="b" cm="1">
        <f t="array" ref="M1571">INDEX(stable[is_automated],MATCH(VALUE(questions[[#This Row],[qno]]),VALUE(stable[qno]),0))</f>
        <v>1</v>
      </c>
      <c r="N1571" s="9" t="b" cm="1">
        <f t="array" ref="N1571">INDEX(stable[is_free_text],MATCH(VALUE(questions[[#This Row],[qno]]),VALUE(stable[qno]),0))</f>
        <v>0</v>
      </c>
      <c r="O1571" s="9" t="b" cm="1">
        <f t="array" ref="O1571">INDEX(stable[is_numerical],MATCH(VALUE(questions[[#This Row],[qno]]),VALUE(stable[qno]),0))</f>
        <v>1</v>
      </c>
      <c r="P1571" s="9" t="b" cm="1">
        <f t="array" ref="P1571">INDEX(stable[is_single_select],MATCH(VALUE(questions[[#This Row],[qno]]),VALUE(stable[qno]),0))</f>
        <v>0</v>
      </c>
      <c r="Q1571" s="9" t="b" cm="1">
        <f t="array" ref="Q1571">INDEX(stable[is_multi_select],MATCH(VALUE(questions[[#This Row],[qno]]),VALUE(stable[qno]),0))</f>
        <v>0</v>
      </c>
      <c r="R1571" s="9" t="b" cm="1">
        <f t="array" ref="R1571">INDEX(stable[is_skip_logic],MATCH(VALUE(questions[[#This Row],[qno]]),VALUE(stable[qno]),0))</f>
        <v>0</v>
      </c>
      <c r="S1571" s="9" t="str">
        <f>_xlfn.TEXTJOIN(", ",TRUE,questions[[#This Row],[ans_opt_1]:[ans_opt_14]])</f>
        <v/>
      </c>
      <c r="AH1571" s="16" t="b">
        <f>INDEX(stable[q_standard],MATCH(questions[[#This Row],[qno]],stable[qno],0))</f>
        <v>1</v>
      </c>
      <c r="AI1571" s="16" t="b">
        <f>INDEX(stable[q_living_income],MATCH(questions[[#This Row],[qno]],stable[qno],0))</f>
        <v>0</v>
      </c>
      <c r="AJ1571" s="16" t="b">
        <f>INDEX(stable[q_carbon],MATCH(questions[[#This Row],[qno]],stable[qno],0))</f>
        <v>0</v>
      </c>
      <c r="AK1571" s="16" t="b">
        <f>INDEX(stable[q_regen_ag],MATCH(questions[[#This Row],[qno]],stable[qno],0))</f>
        <v>0</v>
      </c>
      <c r="AL1571" s="16" t="b">
        <f>COUNTIFS(stable[qno],questions[[#This Row],[qno]])=1</f>
        <v>1</v>
      </c>
      <c r="AM1571" s="16" t="b">
        <f>OR(questions[[#This Row],[is_fixed]],questions[[#This Row],[is_localized]],questions[[#This Row],[is_supply_chain_dependent]])</f>
        <v>1</v>
      </c>
      <c r="AN1571" s="16" t="b">
        <f>COUNTIFS(questions[[#This Row],[is_automated]:[is_multi_select]],TRUE)=1</f>
        <v>0</v>
      </c>
      <c r="AO1571" s="16" t="b">
        <f>IF(questions[[#This Row],[is_fixed]],questions[[#This Row],[question]]=INDEX(stable[question],MATCH(questions[[#This Row],[qno]],stable[qno],0)),TRUE)</f>
        <v>1</v>
      </c>
      <c r="AP1571" s="16" t="str">
        <f>LEFT(questions[[#This Row],[question]],similarity_range)</f>
        <v>Audited area (acre)</v>
      </c>
      <c r="AQ1571" s="16" t="str">
        <f>LEFT(INDEX(stable[question],MATCH(questions[[#This Row],[qno]],stable[qno],0)),similarity_range)</f>
        <v>Audited area (acre)</v>
      </c>
      <c r="AR1571" s="16" t="b">
        <f>questions[[#This Row],[question_first_characters]]=questions[[#This Row],[stability_first_characters]]</f>
        <v>1</v>
      </c>
      <c r="AS1571" s="16" t="b">
        <f>IF(OR(questions[[#This Row],[is_single_select]],questions[[#This Row],[is_multi_select]]),NOT(ISBLANK(questions[[#This Row],[answer_opt_combined]])),TRUE)</f>
        <v>1</v>
      </c>
    </row>
    <row r="1572" spans="1:45" ht="15.75" customHeight="1" x14ac:dyDescent="0.25">
      <c r="A1572" s="9" t="str">
        <f>_xlfn.TEXTJOIN("_",TRUE,questions[[#This Row],[origin]:[qno]])</f>
        <v>Burundi_Arabica_IKAWA RES PROJECT_2026_1216</v>
      </c>
      <c r="B1572" s="9" t="s">
        <v>1057</v>
      </c>
      <c r="C1572" s="9" t="s">
        <v>59</v>
      </c>
      <c r="D1572" s="9" t="s">
        <v>1058</v>
      </c>
      <c r="E1572" s="33">
        <v>2026</v>
      </c>
      <c r="F1572" s="24" t="s">
        <v>97</v>
      </c>
      <c r="G1572" s="15" t="s">
        <v>98</v>
      </c>
      <c r="H1572" s="9" t="str" cm="1">
        <f t="array" ref="H1572">INDEX(stableR[question],MATCH(VALUE(questions[[#This Row],[qno]]),VALUE(stableR[qno]),0))</f>
        <v>Coordinates</v>
      </c>
      <c r="I1572" s="9" t="b" cm="1">
        <f t="array" ref="I1572">INDEX(stable[is_fixed],MATCH(VALUE(questions[[#This Row],[qno]]),VALUE(stable[qno]),0))</f>
        <v>1</v>
      </c>
      <c r="J1572" s="9" t="b" cm="1">
        <f t="array" ref="J1572">INDEX(stable[is_localized],MATCH(VALUE(questions[[#This Row],[qno]]),VALUE(stable[qno]),0))</f>
        <v>0</v>
      </c>
      <c r="K1572" s="9" t="b" cm="1">
        <f t="array" ref="K1572">INDEX(stable[is_supply_chain_dependent],MATCH(VALUE(questions[[#This Row],[qno]]),VALUE(stable[qno]),0))</f>
        <v>0</v>
      </c>
      <c r="L1572" s="9" t="b" cm="1">
        <f t="array" ref="L1572">INDEX(stable[is_mandatory],MATCH(VALUE(questions[[#This Row],[qno]]),VALUE(stable[qno]),0))</f>
        <v>1</v>
      </c>
      <c r="M1572" s="9" t="b" cm="1">
        <f t="array" ref="M1572">INDEX(stable[is_automated],MATCH(VALUE(questions[[#This Row],[qno]]),VALUE(stable[qno]),0))</f>
        <v>1</v>
      </c>
      <c r="N1572" s="9" t="b" cm="1">
        <f t="array" ref="N1572">INDEX(stable[is_free_text],MATCH(VALUE(questions[[#This Row],[qno]]),VALUE(stable[qno]),0))</f>
        <v>0</v>
      </c>
      <c r="O1572" s="9" t="b" cm="1">
        <f t="array" ref="O1572">INDEX(stable[is_numerical],MATCH(VALUE(questions[[#This Row],[qno]]),VALUE(stable[qno]),0))</f>
        <v>0</v>
      </c>
      <c r="P1572" s="9" t="b" cm="1">
        <f t="array" ref="P1572">INDEX(stable[is_single_select],MATCH(VALUE(questions[[#This Row],[qno]]),VALUE(stable[qno]),0))</f>
        <v>0</v>
      </c>
      <c r="Q1572" s="9" t="b" cm="1">
        <f t="array" ref="Q1572">INDEX(stable[is_multi_select],MATCH(VALUE(questions[[#This Row],[qno]]),VALUE(stable[qno]),0))</f>
        <v>0</v>
      </c>
      <c r="R1572" s="9" t="b" cm="1">
        <f t="array" ref="R1572">INDEX(stable[is_skip_logic],MATCH(VALUE(questions[[#This Row],[qno]]),VALUE(stable[qno]),0))</f>
        <v>0</v>
      </c>
      <c r="S1572" s="9" t="str">
        <f>_xlfn.TEXTJOIN(", ",TRUE,questions[[#This Row],[ans_opt_1]:[ans_opt_14]])</f>
        <v/>
      </c>
      <c r="AH1572" s="16" t="b">
        <f>INDEX(stable[q_standard],MATCH(questions[[#This Row],[qno]],stable[qno],0))</f>
        <v>1</v>
      </c>
      <c r="AI1572" s="16" t="b">
        <f>INDEX(stable[q_living_income],MATCH(questions[[#This Row],[qno]],stable[qno],0))</f>
        <v>0</v>
      </c>
      <c r="AJ1572" s="16" t="b">
        <f>INDEX(stable[q_carbon],MATCH(questions[[#This Row],[qno]],stable[qno],0))</f>
        <v>0</v>
      </c>
      <c r="AK1572" s="16" t="b">
        <f>INDEX(stable[q_regen_ag],MATCH(questions[[#This Row],[qno]],stable[qno],0))</f>
        <v>0</v>
      </c>
      <c r="AL1572" s="16" t="b">
        <f>COUNTIFS(stable[qno],questions[[#This Row],[qno]])=1</f>
        <v>1</v>
      </c>
      <c r="AM1572" s="16" t="b">
        <f>OR(questions[[#This Row],[is_fixed]],questions[[#This Row],[is_localized]],questions[[#This Row],[is_supply_chain_dependent]])</f>
        <v>1</v>
      </c>
      <c r="AN1572" s="16" t="b">
        <f>COUNTIFS(questions[[#This Row],[is_automated]:[is_multi_select]],TRUE)=1</f>
        <v>1</v>
      </c>
      <c r="AO1572" s="16" t="b">
        <f>IF(questions[[#This Row],[is_fixed]],questions[[#This Row],[question]]=INDEX(stable[question],MATCH(questions[[#This Row],[qno]],stable[qno],0)),TRUE)</f>
        <v>1</v>
      </c>
      <c r="AP1572" s="16" t="str">
        <f>LEFT(questions[[#This Row],[question]],similarity_range)</f>
        <v>Coordinates</v>
      </c>
      <c r="AQ1572" s="16" t="str">
        <f>LEFT(INDEX(stable[question],MATCH(questions[[#This Row],[qno]],stable[qno],0)),similarity_range)</f>
        <v>Coordinates</v>
      </c>
      <c r="AR1572" s="16" t="b">
        <f>questions[[#This Row],[question_first_characters]]=questions[[#This Row],[stability_first_characters]]</f>
        <v>1</v>
      </c>
      <c r="AS1572" s="16" t="b">
        <f>IF(OR(questions[[#This Row],[is_single_select]],questions[[#This Row],[is_multi_select]]),NOT(ISBLANK(questions[[#This Row],[answer_opt_combined]])),TRUE)</f>
        <v>1</v>
      </c>
    </row>
    <row r="1573" spans="1:45" s="77" customFormat="1" ht="15.75" customHeight="1" x14ac:dyDescent="0.25">
      <c r="A1573" s="77" t="str">
        <f>_xlfn.TEXTJOIN("_",TRUE,questions[[#This Row],[origin]:[qno]])</f>
        <v>Burundi_Arabica_IKAWA RES PROJECT_2026_2000</v>
      </c>
      <c r="B1573" s="77" t="s">
        <v>1057</v>
      </c>
      <c r="C1573" s="77" t="s">
        <v>59</v>
      </c>
      <c r="D1573" s="77" t="s">
        <v>1058</v>
      </c>
      <c r="E1573" s="77">
        <v>2026</v>
      </c>
      <c r="F1573" s="105" t="s">
        <v>99</v>
      </c>
      <c r="G1573" s="78" t="s">
        <v>100</v>
      </c>
      <c r="H1573" s="9" t="str" cm="1">
        <f t="array" ref="H1573">INDEX(stableR[question],MATCH(VALUE(questions[[#This Row],[qno]]),VALUE(stableR[qno]),0))</f>
        <v>Who was present and answering the questions for the interview?</v>
      </c>
      <c r="I1573" s="9" t="b" cm="1">
        <f t="array" ref="I1573">INDEX(stable[is_fixed],MATCH(VALUE(questions[[#This Row],[qno]]),VALUE(stable[qno]),0))</f>
        <v>1</v>
      </c>
      <c r="J1573" s="9" t="b" cm="1">
        <f t="array" ref="J1573">INDEX(stable[is_localized],MATCH(VALUE(questions[[#This Row],[qno]]),VALUE(stable[qno]),0))</f>
        <v>0</v>
      </c>
      <c r="K1573" s="9" t="b" cm="1">
        <f t="array" ref="K1573">INDEX(stable[is_supply_chain_dependent],MATCH(VALUE(questions[[#This Row],[qno]]),VALUE(stable[qno]),0))</f>
        <v>0</v>
      </c>
      <c r="L1573" s="9" t="b" cm="1">
        <f t="array" ref="L1573">INDEX(stable[is_mandatory],MATCH(VALUE(questions[[#This Row],[qno]]),VALUE(stable[qno]),0))</f>
        <v>1</v>
      </c>
      <c r="M1573" s="9" t="b" cm="1">
        <f t="array" ref="M1573">INDEX(stable[is_automated],MATCH(VALUE(questions[[#This Row],[qno]]),VALUE(stable[qno]),0))</f>
        <v>0</v>
      </c>
      <c r="N1573" s="32" t="b" cm="1">
        <f t="array" ref="N1573">INDEX(stable[is_free_text],MATCH(VALUE(questions[[#This Row],[qno]]),VALUE(stable[qno]),0))</f>
        <v>0</v>
      </c>
      <c r="O1573" s="9" t="b" cm="1">
        <f t="array" ref="O1573">INDEX(stable[is_numerical],MATCH(VALUE(questions[[#This Row],[qno]]),VALUE(stable[qno]),0))</f>
        <v>0</v>
      </c>
      <c r="P1573" s="77" t="b" cm="1">
        <f t="array" ref="P1573">INDEX(stable[is_single_select],MATCH(VALUE(questions[[#This Row],[qno]]),VALUE(stable[qno]),0))</f>
        <v>0</v>
      </c>
      <c r="Q1573" s="77" t="b" cm="1">
        <f t="array" ref="Q1573">INDEX(stable[is_multi_select],MATCH(VALUE(questions[[#This Row],[qno]]),VALUE(stable[qno]),0))</f>
        <v>1</v>
      </c>
      <c r="R1573" s="77" t="b" cm="1">
        <f t="array" ref="R1573">INDEX(stable[is_skip_logic],MATCH(VALUE(questions[[#This Row],[qno]]),VALUE(stable[qno]),0))</f>
        <v>0</v>
      </c>
      <c r="S1573" s="77" t="str">
        <f>_xlfn.TEXTJOIN(", ",TRUE,questions[[#This Row],[ans_opt_1]:[ans_opt_14]])</f>
        <v>Wife, Husband, Other important household member</v>
      </c>
      <c r="T1573" s="77" t="s">
        <v>101</v>
      </c>
      <c r="U1573" s="77" t="s">
        <v>102</v>
      </c>
      <c r="V1573" s="77" t="s">
        <v>103</v>
      </c>
      <c r="AH1573" s="98" t="b">
        <f>INDEX(stable[q_standard],MATCH(questions[[#This Row],[qno]],stable[qno],0))</f>
        <v>1</v>
      </c>
      <c r="AI1573" s="98" t="b">
        <f>INDEX(stable[q_living_income],MATCH(questions[[#This Row],[qno]],stable[qno],0))</f>
        <v>0</v>
      </c>
      <c r="AJ1573" s="98" t="b">
        <f>INDEX(stable[q_carbon],MATCH(questions[[#This Row],[qno]],stable[qno],0))</f>
        <v>0</v>
      </c>
      <c r="AK1573" s="98" t="b">
        <f>INDEX(stable[q_regen_ag],MATCH(questions[[#This Row],[qno]],stable[qno],0))</f>
        <v>0</v>
      </c>
      <c r="AL1573" s="98" t="b">
        <f>COUNTIFS(stable[qno],questions[[#This Row],[qno]])=1</f>
        <v>1</v>
      </c>
      <c r="AM1573" s="98" t="b">
        <f>OR(questions[[#This Row],[is_fixed]],questions[[#This Row],[is_localized]],questions[[#This Row],[is_supply_chain_dependent]])</f>
        <v>1</v>
      </c>
      <c r="AN1573" s="98" t="b">
        <f>COUNTIFS(questions[[#This Row],[is_automated]:[is_multi_select]],TRUE)=1</f>
        <v>1</v>
      </c>
      <c r="AO1573" s="98" t="b">
        <f>IF(questions[[#This Row],[is_fixed]],questions[[#This Row],[question]]=INDEX(stable[question],MATCH(questions[[#This Row],[qno]],stable[qno],0)),TRUE)</f>
        <v>1</v>
      </c>
      <c r="AP1573" s="98" t="str">
        <f>LEFT(questions[[#This Row],[question]],similarity_range)</f>
        <v xml:space="preserve">Who was present and </v>
      </c>
      <c r="AQ1573" s="98" t="str">
        <f>LEFT(INDEX(stable[question],MATCH(questions[[#This Row],[qno]],stable[qno],0)),similarity_range)</f>
        <v xml:space="preserve">Who was present and </v>
      </c>
      <c r="AR1573" s="98" t="b">
        <f>questions[[#This Row],[question_first_characters]]=questions[[#This Row],[stability_first_characters]]</f>
        <v>1</v>
      </c>
      <c r="AS1573" s="98" t="b">
        <f>IF(OR(questions[[#This Row],[is_single_select]],questions[[#This Row],[is_multi_select]]),NOT(ISBLANK(questions[[#This Row],[answer_opt_combined]])),TRUE)</f>
        <v>1</v>
      </c>
    </row>
    <row r="1574" spans="1:45" s="77" customFormat="1" ht="15.75" customHeight="1" x14ac:dyDescent="0.25">
      <c r="A1574" s="77" t="str">
        <f>_xlfn.TEXTJOIN("_",TRUE,questions[[#This Row],[origin]:[qno]])</f>
        <v>Burundi_Arabica_IKAWA RES PROJECT_2026_2001</v>
      </c>
      <c r="B1574" s="77" t="s">
        <v>1057</v>
      </c>
      <c r="C1574" s="77" t="s">
        <v>59</v>
      </c>
      <c r="D1574" s="77" t="s">
        <v>1058</v>
      </c>
      <c r="E1574" s="77">
        <v>2026</v>
      </c>
      <c r="F1574" s="105" t="s">
        <v>104</v>
      </c>
      <c r="G1574" s="78" t="s">
        <v>105</v>
      </c>
      <c r="H1574" s="9" t="str" cm="1">
        <f t="array" ref="H1574">INDEX(stableR[question],MATCH(VALUE(questions[[#This Row],[qno]]),VALUE(stableR[qno]),0))</f>
        <v>What is the gender of the lead farmer in the household? (The person that is selling the coffee)</v>
      </c>
      <c r="I1574" s="9" t="b" cm="1">
        <f t="array" ref="I1574">INDEX(stable[is_fixed],MATCH(VALUE(questions[[#This Row],[qno]]),VALUE(stable[qno]),0))</f>
        <v>1</v>
      </c>
      <c r="J1574" s="9" t="b" cm="1">
        <f t="array" ref="J1574">INDEX(stable[is_localized],MATCH(VALUE(questions[[#This Row],[qno]]),VALUE(stable[qno]),0))</f>
        <v>0</v>
      </c>
      <c r="K1574" s="9" t="b" cm="1">
        <f t="array" ref="K1574">INDEX(stable[is_supply_chain_dependent],MATCH(VALUE(questions[[#This Row],[qno]]),VALUE(stable[qno]),0))</f>
        <v>0</v>
      </c>
      <c r="L1574" s="9" t="b" cm="1">
        <f t="array" ref="L1574">INDEX(stable[is_mandatory],MATCH(VALUE(questions[[#This Row],[qno]]),VALUE(stable[qno]),0))</f>
        <v>1</v>
      </c>
      <c r="M1574" s="9" t="b" cm="1">
        <f t="array" ref="M1574">INDEX(stable[is_automated],MATCH(VALUE(questions[[#This Row],[qno]]),VALUE(stable[qno]),0))</f>
        <v>0</v>
      </c>
      <c r="N1574" s="32" t="b" cm="1">
        <f t="array" ref="N1574">INDEX(stable[is_free_text],MATCH(VALUE(questions[[#This Row],[qno]]),VALUE(stable[qno]),0))</f>
        <v>0</v>
      </c>
      <c r="O1574" s="9" t="b" cm="1">
        <f t="array" ref="O1574">INDEX(stable[is_numerical],MATCH(VALUE(questions[[#This Row],[qno]]),VALUE(stable[qno]),0))</f>
        <v>0</v>
      </c>
      <c r="P1574" s="77" t="b" cm="1">
        <f t="array" ref="P1574">INDEX(stable[is_single_select],MATCH(VALUE(questions[[#This Row],[qno]]),VALUE(stable[qno]),0))</f>
        <v>1</v>
      </c>
      <c r="Q1574" s="77" t="b" cm="1">
        <f t="array" ref="Q1574">INDEX(stable[is_multi_select],MATCH(VALUE(questions[[#This Row],[qno]]),VALUE(stable[qno]),0))</f>
        <v>0</v>
      </c>
      <c r="R1574" s="77" t="b" cm="1">
        <f t="array" ref="R1574">INDEX(stable[is_skip_logic],MATCH(VALUE(questions[[#This Row],[qno]]),VALUE(stable[qno]),0))</f>
        <v>0</v>
      </c>
      <c r="S1574" s="77" t="str">
        <f>_xlfn.TEXTJOIN(", ",TRUE,questions[[#This Row],[ans_opt_1]:[ans_opt_14]])</f>
        <v>Female, Male</v>
      </c>
      <c r="T1574" s="77" t="s">
        <v>106</v>
      </c>
      <c r="U1574" s="77" t="s">
        <v>107</v>
      </c>
      <c r="AH1574" s="98" t="b">
        <f>INDEX(stable[q_standard],MATCH(questions[[#This Row],[qno]],stable[qno],0))</f>
        <v>1</v>
      </c>
      <c r="AI1574" s="98" t="b">
        <f>INDEX(stable[q_living_income],MATCH(questions[[#This Row],[qno]],stable[qno],0))</f>
        <v>0</v>
      </c>
      <c r="AJ1574" s="98" t="b">
        <f>INDEX(stable[q_carbon],MATCH(questions[[#This Row],[qno]],stable[qno],0))</f>
        <v>0</v>
      </c>
      <c r="AK1574" s="98" t="b">
        <f>INDEX(stable[q_regen_ag],MATCH(questions[[#This Row],[qno]],stable[qno],0))</f>
        <v>0</v>
      </c>
      <c r="AL1574" s="98" t="b">
        <f>COUNTIFS(stable[qno],questions[[#This Row],[qno]])=1</f>
        <v>1</v>
      </c>
      <c r="AM1574" s="98" t="b">
        <f>OR(questions[[#This Row],[is_fixed]],questions[[#This Row],[is_localized]],questions[[#This Row],[is_supply_chain_dependent]])</f>
        <v>1</v>
      </c>
      <c r="AN1574" s="98" t="b">
        <f>COUNTIFS(questions[[#This Row],[is_automated]:[is_multi_select]],TRUE)=1</f>
        <v>1</v>
      </c>
      <c r="AO1574" s="98" t="b">
        <f>IF(questions[[#This Row],[is_fixed]],questions[[#This Row],[question]]=INDEX(stable[question],MATCH(questions[[#This Row],[qno]],stable[qno],0)),TRUE)</f>
        <v>1</v>
      </c>
      <c r="AP1574" s="98" t="str">
        <f>LEFT(questions[[#This Row],[question]],similarity_range)</f>
        <v>What is the gender o</v>
      </c>
      <c r="AQ1574" s="98" t="str">
        <f>LEFT(INDEX(stable[question],MATCH(questions[[#This Row],[qno]],stable[qno],0)),similarity_range)</f>
        <v>What is the gender o</v>
      </c>
      <c r="AR1574" s="98" t="b">
        <f>questions[[#This Row],[question_first_characters]]=questions[[#This Row],[stability_first_characters]]</f>
        <v>1</v>
      </c>
      <c r="AS1574" s="98" t="b">
        <f>IF(OR(questions[[#This Row],[is_single_select]],questions[[#This Row],[is_multi_select]]),NOT(ISBLANK(questions[[#This Row],[answer_opt_combined]])),TRUE)</f>
        <v>1</v>
      </c>
    </row>
    <row r="1575" spans="1:45" s="77" customFormat="1" ht="15.75" customHeight="1" x14ac:dyDescent="0.25">
      <c r="A1575" s="77" t="str">
        <f>_xlfn.TEXTJOIN("_",TRUE,questions[[#This Row],[origin]:[qno]])</f>
        <v>Burundi_Arabica_IKAWA RES PROJECT_2026_2002</v>
      </c>
      <c r="B1575" s="77" t="s">
        <v>1057</v>
      </c>
      <c r="C1575" s="77" t="s">
        <v>59</v>
      </c>
      <c r="D1575" s="77" t="s">
        <v>1058</v>
      </c>
      <c r="E1575" s="77">
        <v>2026</v>
      </c>
      <c r="F1575" s="108" t="s">
        <v>108</v>
      </c>
      <c r="G1575" s="78" t="s">
        <v>109</v>
      </c>
      <c r="H1575" s="9" t="str" cm="1">
        <f t="array" ref="H1575">INDEX(stableR[question],MATCH(VALUE(questions[[#This Row],[qno]]),VALUE(stableR[qno]),0))</f>
        <v>What type of household is this?</v>
      </c>
      <c r="I1575" s="9" t="b" cm="1">
        <f t="array" ref="I1575">INDEX(stable[is_fixed],MATCH(VALUE(questions[[#This Row],[qno]]),VALUE(stable[qno]),0))</f>
        <v>1</v>
      </c>
      <c r="J1575" s="9" t="b" cm="1">
        <f t="array" ref="J1575">INDEX(stable[is_localized],MATCH(VALUE(questions[[#This Row],[qno]]),VALUE(stable[qno]),0))</f>
        <v>0</v>
      </c>
      <c r="K1575" s="9" t="b" cm="1">
        <f t="array" ref="K1575">INDEX(stable[is_supply_chain_dependent],MATCH(VALUE(questions[[#This Row],[qno]]),VALUE(stable[qno]),0))</f>
        <v>0</v>
      </c>
      <c r="L1575" s="9" t="b" cm="1">
        <f t="array" ref="L1575">INDEX(stable[is_mandatory],MATCH(VALUE(questions[[#This Row],[qno]]),VALUE(stable[qno]),0))</f>
        <v>1</v>
      </c>
      <c r="M1575" s="9" t="b" cm="1">
        <f t="array" ref="M1575">INDEX(stable[is_automated],MATCH(VALUE(questions[[#This Row],[qno]]),VALUE(stable[qno]),0))</f>
        <v>0</v>
      </c>
      <c r="N1575" s="32" t="b" cm="1">
        <f t="array" ref="N1575">INDEX(stable[is_free_text],MATCH(VALUE(questions[[#This Row],[qno]]),VALUE(stable[qno]),0))</f>
        <v>0</v>
      </c>
      <c r="O1575" s="9" t="b" cm="1">
        <f t="array" ref="O1575">INDEX(stable[is_numerical],MATCH(VALUE(questions[[#This Row],[qno]]),VALUE(stable[qno]),0))</f>
        <v>0</v>
      </c>
      <c r="P1575" s="77" t="b" cm="1">
        <f t="array" ref="P1575">INDEX(stable[is_single_select],MATCH(VALUE(questions[[#This Row],[qno]]),VALUE(stable[qno]),0))</f>
        <v>1</v>
      </c>
      <c r="Q1575" s="77" t="b" cm="1">
        <f t="array" ref="Q1575">INDEX(stable[is_multi_select],MATCH(VALUE(questions[[#This Row],[qno]]),VALUE(stable[qno]),0))</f>
        <v>0</v>
      </c>
      <c r="R1575" s="77" t="b" cm="1">
        <f t="array" ref="R1575">INDEX(stable[is_skip_logic],MATCH(VALUE(questions[[#This Row],[qno]]),VALUE(stable[qno]),0))</f>
        <v>0</v>
      </c>
      <c r="S1575" s="77" t="str">
        <f>_xlfn.TEXTJOIN(", ",TRUE,questions[[#This Row],[ans_opt_1]:[ans_opt_14]])</f>
        <v>Male headed, Female headed, Other</v>
      </c>
      <c r="T1575" s="77" t="s">
        <v>110</v>
      </c>
      <c r="U1575" s="77" t="s">
        <v>111</v>
      </c>
      <c r="V1575" s="77" t="s">
        <v>112</v>
      </c>
      <c r="AH1575" s="98" t="b">
        <f>INDEX(stable[q_standard],MATCH(questions[[#This Row],[qno]],stable[qno],0))</f>
        <v>1</v>
      </c>
      <c r="AI1575" s="98" t="b">
        <f>INDEX(stable[q_living_income],MATCH(questions[[#This Row],[qno]],stable[qno],0))</f>
        <v>0</v>
      </c>
      <c r="AJ1575" s="98" t="b">
        <f>INDEX(stable[q_carbon],MATCH(questions[[#This Row],[qno]],stable[qno],0))</f>
        <v>0</v>
      </c>
      <c r="AK1575" s="98" t="b">
        <f>INDEX(stable[q_regen_ag],MATCH(questions[[#This Row],[qno]],stable[qno],0))</f>
        <v>0</v>
      </c>
      <c r="AL1575" s="98" t="b">
        <f>COUNTIFS(stable[qno],questions[[#This Row],[qno]])=1</f>
        <v>1</v>
      </c>
      <c r="AM1575" s="98" t="b">
        <f>OR(questions[[#This Row],[is_fixed]],questions[[#This Row],[is_localized]],questions[[#This Row],[is_supply_chain_dependent]])</f>
        <v>1</v>
      </c>
      <c r="AN1575" s="98" t="b">
        <f>COUNTIFS(questions[[#This Row],[is_automated]:[is_multi_select]],TRUE)=1</f>
        <v>1</v>
      </c>
      <c r="AO1575" s="98" t="b">
        <f>IF(questions[[#This Row],[is_fixed]],questions[[#This Row],[question]]=INDEX(stable[question],MATCH(questions[[#This Row],[qno]],stable[qno],0)),TRUE)</f>
        <v>1</v>
      </c>
      <c r="AP1575" s="98" t="str">
        <f>LEFT(questions[[#This Row],[question]],similarity_range)</f>
        <v>What type of househo</v>
      </c>
      <c r="AQ1575" s="98" t="str">
        <f>LEFT(INDEX(stable[question],MATCH(questions[[#This Row],[qno]],stable[qno],0)),similarity_range)</f>
        <v>What type of househo</v>
      </c>
      <c r="AR1575" s="98" t="b">
        <f>questions[[#This Row],[question_first_characters]]=questions[[#This Row],[stability_first_characters]]</f>
        <v>1</v>
      </c>
      <c r="AS1575" s="98" t="b">
        <f>IF(OR(questions[[#This Row],[is_single_select]],questions[[#This Row],[is_multi_select]]),NOT(ISBLANK(questions[[#This Row],[answer_opt_combined]])),TRUE)</f>
        <v>1</v>
      </c>
    </row>
    <row r="1576" spans="1:45" ht="15.75" customHeight="1" x14ac:dyDescent="0.25">
      <c r="A1576" s="9" t="str">
        <f>_xlfn.TEXTJOIN("_",TRUE,questions[[#This Row],[origin]:[qno]])</f>
        <v>Burundi_Arabica_IKAWA RES PROJECT_2026_2003</v>
      </c>
      <c r="B1576" s="9" t="s">
        <v>1057</v>
      </c>
      <c r="C1576" s="9" t="s">
        <v>59</v>
      </c>
      <c r="D1576" s="9" t="s">
        <v>1058</v>
      </c>
      <c r="E1576" s="33">
        <v>2026</v>
      </c>
      <c r="F1576" s="36" t="s">
        <v>113</v>
      </c>
      <c r="G1576" s="15" t="s">
        <v>114</v>
      </c>
      <c r="H1576" s="9" t="str" cm="1">
        <f t="array" ref="H1576">INDEX(stableR[question],MATCH(VALUE(questions[[#This Row],[qno]]),VALUE(stableR[qno]),0))</f>
        <v>How many adults live in your household, that are above 18 years (including the respondent)? (Household members are those that stay more than three months per year within the same household and that 'eat from the same pot'.)</v>
      </c>
      <c r="I1576" s="9" t="b" cm="1">
        <f t="array" ref="I1576">INDEX(stable[is_fixed],MATCH(VALUE(questions[[#This Row],[qno]]),VALUE(stable[qno]),0))</f>
        <v>1</v>
      </c>
      <c r="J1576" s="9" t="b" cm="1">
        <f t="array" ref="J1576">INDEX(stable[is_localized],MATCH(VALUE(questions[[#This Row],[qno]]),VALUE(stable[qno]),0))</f>
        <v>0</v>
      </c>
      <c r="K1576" s="9" t="b" cm="1">
        <f t="array" ref="K1576">INDEX(stable[is_supply_chain_dependent],MATCH(VALUE(questions[[#This Row],[qno]]),VALUE(stable[qno]),0))</f>
        <v>0</v>
      </c>
      <c r="L1576" s="9" t="b" cm="1">
        <f t="array" ref="L1576">INDEX(stable[is_mandatory],MATCH(VALUE(questions[[#This Row],[qno]]),VALUE(stable[qno]),0))</f>
        <v>1</v>
      </c>
      <c r="M1576" s="9" t="b" cm="1">
        <f t="array" ref="M1576">INDEX(stable[is_automated],MATCH(VALUE(questions[[#This Row],[qno]]),VALUE(stable[qno]),0))</f>
        <v>0</v>
      </c>
      <c r="N1576" s="32" t="b" cm="1">
        <f t="array" ref="N1576">INDEX(stable[is_free_text],MATCH(VALUE(questions[[#This Row],[qno]]),VALUE(stable[qno]),0))</f>
        <v>0</v>
      </c>
      <c r="O1576" s="9" t="b" cm="1">
        <f t="array" ref="O1576">INDEX(stable[is_numerical],MATCH(VALUE(questions[[#This Row],[qno]]),VALUE(stable[qno]),0))</f>
        <v>1</v>
      </c>
      <c r="P1576" s="9" t="b" cm="1">
        <f t="array" ref="P1576">INDEX(stable[is_single_select],MATCH(VALUE(questions[[#This Row],[qno]]),VALUE(stable[qno]),0))</f>
        <v>0</v>
      </c>
      <c r="Q1576" s="9" t="b" cm="1">
        <f t="array" ref="Q1576">INDEX(stable[is_multi_select],MATCH(VALUE(questions[[#This Row],[qno]]),VALUE(stable[qno]),0))</f>
        <v>0</v>
      </c>
      <c r="R1576" s="9" t="b" cm="1">
        <f t="array" ref="R1576">INDEX(stable[is_skip_logic],MATCH(VALUE(questions[[#This Row],[qno]]),VALUE(stable[qno]),0))</f>
        <v>0</v>
      </c>
      <c r="S1576" s="9" t="str">
        <f>_xlfn.TEXTJOIN(", ",TRUE,questions[[#This Row],[ans_opt_1]:[ans_opt_14]])</f>
        <v/>
      </c>
      <c r="AH1576" s="16" t="b">
        <f>INDEX(stable[q_standard],MATCH(questions[[#This Row],[qno]],stable[qno],0))</f>
        <v>1</v>
      </c>
      <c r="AI1576" s="16" t="b">
        <f>INDEX(stable[q_living_income],MATCH(questions[[#This Row],[qno]],stable[qno],0))</f>
        <v>0</v>
      </c>
      <c r="AJ1576" s="16" t="b">
        <f>INDEX(stable[q_carbon],MATCH(questions[[#This Row],[qno]],stable[qno],0))</f>
        <v>0</v>
      </c>
      <c r="AK1576" s="16" t="b">
        <f>INDEX(stable[q_regen_ag],MATCH(questions[[#This Row],[qno]],stable[qno],0))</f>
        <v>0</v>
      </c>
      <c r="AL1576" s="16" t="b">
        <f>COUNTIFS(stable[qno],questions[[#This Row],[qno]])=1</f>
        <v>1</v>
      </c>
      <c r="AM1576" s="16" t="b">
        <f>OR(questions[[#This Row],[is_fixed]],questions[[#This Row],[is_localized]],questions[[#This Row],[is_supply_chain_dependent]])</f>
        <v>1</v>
      </c>
      <c r="AN1576" s="16" t="b">
        <f>COUNTIFS(questions[[#This Row],[is_automated]:[is_multi_select]],TRUE)=1</f>
        <v>1</v>
      </c>
      <c r="AO1576" s="16" t="b">
        <f>IF(questions[[#This Row],[is_fixed]],questions[[#This Row],[question]]=INDEX(stable[question],MATCH(questions[[#This Row],[qno]],stable[qno],0)),TRUE)</f>
        <v>0</v>
      </c>
      <c r="AP1576" s="16" t="str">
        <f>LEFT(questions[[#This Row],[question]],similarity_range)</f>
        <v>How many adults live</v>
      </c>
      <c r="AQ1576" s="16" t="str">
        <f>LEFT(INDEX(stable[question],MATCH(questions[[#This Row],[qno]],stable[qno],0)),similarity_range)</f>
        <v>How many adults live</v>
      </c>
      <c r="AR1576" s="16" t="b">
        <f>questions[[#This Row],[question_first_characters]]=questions[[#This Row],[stability_first_characters]]</f>
        <v>1</v>
      </c>
      <c r="AS1576" s="16" t="b">
        <f>IF(OR(questions[[#This Row],[is_single_select]],questions[[#This Row],[is_multi_select]]),NOT(ISBLANK(questions[[#This Row],[answer_opt_combined]])),TRUE)</f>
        <v>1</v>
      </c>
    </row>
    <row r="1577" spans="1:45" ht="15.75" customHeight="1" x14ac:dyDescent="0.25">
      <c r="A1577" s="9" t="str">
        <f>_xlfn.TEXTJOIN("_",TRUE,questions[[#This Row],[origin]:[qno]])</f>
        <v>Burundi_Arabica_IKAWA RES PROJECT_2026_2004</v>
      </c>
      <c r="B1577" s="9" t="s">
        <v>1057</v>
      </c>
      <c r="C1577" s="9" t="s">
        <v>59</v>
      </c>
      <c r="D1577" s="9" t="s">
        <v>1058</v>
      </c>
      <c r="E1577" s="33">
        <v>2026</v>
      </c>
      <c r="F1577" s="36" t="s">
        <v>115</v>
      </c>
      <c r="G1577" s="15" t="s">
        <v>116</v>
      </c>
      <c r="H1577" s="9" t="str" cm="1">
        <f t="array" ref="H1577">INDEX(stableR[question],MATCH(VALUE(questions[[#This Row],[qno]]),VALUE(stableR[qno]),0))</f>
        <v>How many children living in your household, are below 18 years? (Household members are those that stay more than three months per year within the same household and that 'eat from the same pot.')</v>
      </c>
      <c r="I1577" s="9" t="b" cm="1">
        <f t="array" ref="I1577">INDEX(stable[is_fixed],MATCH(VALUE(questions[[#This Row],[qno]]),VALUE(stable[qno]),0))</f>
        <v>1</v>
      </c>
      <c r="J1577" s="9" t="b" cm="1">
        <f t="array" ref="J1577">INDEX(stable[is_localized],MATCH(VALUE(questions[[#This Row],[qno]]),VALUE(stable[qno]),0))</f>
        <v>0</v>
      </c>
      <c r="K1577" s="9" t="b" cm="1">
        <f t="array" ref="K1577">INDEX(stable[is_supply_chain_dependent],MATCH(VALUE(questions[[#This Row],[qno]]),VALUE(stable[qno]),0))</f>
        <v>0</v>
      </c>
      <c r="L1577" s="9" t="b" cm="1">
        <f t="array" ref="L1577">INDEX(stable[is_mandatory],MATCH(VALUE(questions[[#This Row],[qno]]),VALUE(stable[qno]),0))</f>
        <v>1</v>
      </c>
      <c r="M1577" s="9" t="b" cm="1">
        <f t="array" ref="M1577">INDEX(stable[is_automated],MATCH(VALUE(questions[[#This Row],[qno]]),VALUE(stable[qno]),0))</f>
        <v>0</v>
      </c>
      <c r="N1577" s="32" t="b" cm="1">
        <f t="array" ref="N1577">INDEX(stable[is_free_text],MATCH(VALUE(questions[[#This Row],[qno]]),VALUE(stable[qno]),0))</f>
        <v>0</v>
      </c>
      <c r="O1577" s="9" t="b" cm="1">
        <f t="array" ref="O1577">INDEX(stable[is_numerical],MATCH(VALUE(questions[[#This Row],[qno]]),VALUE(stable[qno]),0))</f>
        <v>1</v>
      </c>
      <c r="P1577" s="9" t="b" cm="1">
        <f t="array" ref="P1577">INDEX(stable[is_single_select],MATCH(VALUE(questions[[#This Row],[qno]]),VALUE(stable[qno]),0))</f>
        <v>0</v>
      </c>
      <c r="Q1577" s="9" t="b" cm="1">
        <f t="array" ref="Q1577">INDEX(stable[is_multi_select],MATCH(VALUE(questions[[#This Row],[qno]]),VALUE(stable[qno]),0))</f>
        <v>0</v>
      </c>
      <c r="R1577" s="9" t="b" cm="1">
        <f t="array" ref="R1577">INDEX(stable[is_skip_logic],MATCH(VALUE(questions[[#This Row],[qno]]),VALUE(stable[qno]),0))</f>
        <v>0</v>
      </c>
      <c r="S1577" s="9" t="str">
        <f>_xlfn.TEXTJOIN(", ",TRUE,questions[[#This Row],[ans_opt_1]:[ans_opt_14]])</f>
        <v/>
      </c>
      <c r="AH1577" s="16" t="b">
        <f>INDEX(stable[q_standard],MATCH(questions[[#This Row],[qno]],stable[qno],0))</f>
        <v>1</v>
      </c>
      <c r="AI1577" s="16" t="b">
        <f>INDEX(stable[q_living_income],MATCH(questions[[#This Row],[qno]],stable[qno],0))</f>
        <v>0</v>
      </c>
      <c r="AJ1577" s="16" t="b">
        <f>INDEX(stable[q_carbon],MATCH(questions[[#This Row],[qno]],stable[qno],0))</f>
        <v>0</v>
      </c>
      <c r="AK1577" s="16" t="b">
        <f>INDEX(stable[q_regen_ag],MATCH(questions[[#This Row],[qno]],stable[qno],0))</f>
        <v>0</v>
      </c>
      <c r="AL1577" s="16" t="b">
        <f>COUNTIFS(stable[qno],questions[[#This Row],[qno]])=1</f>
        <v>1</v>
      </c>
      <c r="AM1577" s="16" t="b">
        <f>OR(questions[[#This Row],[is_fixed]],questions[[#This Row],[is_localized]],questions[[#This Row],[is_supply_chain_dependent]])</f>
        <v>1</v>
      </c>
      <c r="AN1577" s="16" t="b">
        <f>COUNTIFS(questions[[#This Row],[is_automated]:[is_multi_select]],TRUE)=1</f>
        <v>1</v>
      </c>
      <c r="AO1577" s="16" t="b">
        <f>IF(questions[[#This Row],[is_fixed]],questions[[#This Row],[question]]=INDEX(stable[question],MATCH(questions[[#This Row],[qno]],stable[qno],0)),TRUE)</f>
        <v>1</v>
      </c>
      <c r="AP1577" s="16" t="str">
        <f>LEFT(questions[[#This Row],[question]],similarity_range)</f>
        <v>How many children li</v>
      </c>
      <c r="AQ1577" s="16" t="str">
        <f>LEFT(INDEX(stable[question],MATCH(questions[[#This Row],[qno]],stable[qno],0)),similarity_range)</f>
        <v>How many children li</v>
      </c>
      <c r="AR1577" s="16" t="b">
        <f>questions[[#This Row],[question_first_characters]]=questions[[#This Row],[stability_first_characters]]</f>
        <v>1</v>
      </c>
      <c r="AS1577" s="16" t="b">
        <f>IF(OR(questions[[#This Row],[is_single_select]],questions[[#This Row],[is_multi_select]]),NOT(ISBLANK(questions[[#This Row],[answer_opt_combined]])),TRUE)</f>
        <v>1</v>
      </c>
    </row>
    <row r="1578" spans="1:45" s="77" customFormat="1" ht="15.75" customHeight="1" x14ac:dyDescent="0.25">
      <c r="A1578" s="77" t="str">
        <f>_xlfn.TEXTJOIN("_",TRUE,questions[[#This Row],[origin]:[qno]])</f>
        <v>Burundi_Arabica_IKAWA RES PROJECT_2026_2100</v>
      </c>
      <c r="B1578" s="77" t="s">
        <v>1057</v>
      </c>
      <c r="C1578" s="77" t="s">
        <v>59</v>
      </c>
      <c r="D1578" s="77" t="s">
        <v>1058</v>
      </c>
      <c r="E1578" s="77">
        <v>2026</v>
      </c>
      <c r="F1578" s="105" t="s">
        <v>117</v>
      </c>
      <c r="G1578" s="78" t="s">
        <v>118</v>
      </c>
      <c r="H1578" s="9" t="str" cm="1">
        <f t="array" ref="H1578">INDEX(stableR[question],MATCH(VALUE(questions[[#This Row],[qno]]),VALUE(stableR[qno]),0))</f>
        <v>If your farm is certified, under which certification scheme(s) is it certified?</v>
      </c>
      <c r="I1578" s="9" t="b" cm="1">
        <f t="array" ref="I1578">INDEX(stable[is_fixed],MATCH(VALUE(questions[[#This Row],[qno]]),VALUE(stable[qno]),0))</f>
        <v>1</v>
      </c>
      <c r="J1578" s="9" t="b" cm="1">
        <f t="array" ref="J1578">INDEX(stable[is_localized],MATCH(VALUE(questions[[#This Row],[qno]]),VALUE(stable[qno]),0))</f>
        <v>0</v>
      </c>
      <c r="K1578" s="9" t="b" cm="1">
        <f t="array" ref="K1578">INDEX(stable[is_supply_chain_dependent],MATCH(VALUE(questions[[#This Row],[qno]]),VALUE(stable[qno]),0))</f>
        <v>0</v>
      </c>
      <c r="L1578" s="9" t="b" cm="1">
        <f t="array" ref="L1578">INDEX(stable[is_mandatory],MATCH(VALUE(questions[[#This Row],[qno]]),VALUE(stable[qno]),0))</f>
        <v>1</v>
      </c>
      <c r="M1578" s="9" t="b" cm="1">
        <f t="array" ref="M1578">INDEX(stable[is_automated],MATCH(VALUE(questions[[#This Row],[qno]]),VALUE(stable[qno]),0))</f>
        <v>0</v>
      </c>
      <c r="N1578" s="32" t="b" cm="1">
        <f t="array" ref="N1578">INDEX(stable[is_free_text],MATCH(VALUE(questions[[#This Row],[qno]]),VALUE(stable[qno]),0))</f>
        <v>0</v>
      </c>
      <c r="O1578" s="9" t="b" cm="1">
        <f t="array" ref="O1578">INDEX(stable[is_numerical],MATCH(VALUE(questions[[#This Row],[qno]]),VALUE(stable[qno]),0))</f>
        <v>0</v>
      </c>
      <c r="P1578" s="77" t="b" cm="1">
        <f t="array" ref="P1578">INDEX(stable[is_single_select],MATCH(VALUE(questions[[#This Row],[qno]]),VALUE(stable[qno]),0))</f>
        <v>0</v>
      </c>
      <c r="Q1578" s="77" t="b" cm="1">
        <f t="array" ref="Q1578">INDEX(stable[is_multi_select],MATCH(VALUE(questions[[#This Row],[qno]]),VALUE(stable[qno]),0))</f>
        <v>1</v>
      </c>
      <c r="R1578" s="77" t="b" cm="1">
        <f t="array" ref="R1578">INDEX(stable[is_skip_logic],MATCH(VALUE(questions[[#This Row],[qno]]),VALUE(stable[qno]),0))</f>
        <v>1</v>
      </c>
      <c r="S1578" s="77" t="str">
        <f>_xlfn.TEXTJOIN(", ",TRUE,questions[[#This Row],[ans_opt_1]:[ans_opt_14]])</f>
        <v>No, IMPACT, 4C, Rainforest alliance, Organic, CAFÉ practices, RegenAgri, Fair trade, Other</v>
      </c>
      <c r="T1578" s="77" t="s">
        <v>119</v>
      </c>
      <c r="U1578" s="77" t="s">
        <v>120</v>
      </c>
      <c r="V1578" s="77" t="s">
        <v>121</v>
      </c>
      <c r="W1578" s="77" t="s">
        <v>721</v>
      </c>
      <c r="X1578" s="77" t="s">
        <v>124</v>
      </c>
      <c r="Y1578" s="77" t="s">
        <v>125</v>
      </c>
      <c r="Z1578" s="77" t="s">
        <v>126</v>
      </c>
      <c r="AA1578" s="77" t="s">
        <v>722</v>
      </c>
      <c r="AB1578" s="77" t="s">
        <v>112</v>
      </c>
      <c r="AH1578" s="98" t="b">
        <f>INDEX(stable[q_standard],MATCH(questions[[#This Row],[qno]],stable[qno],0))</f>
        <v>0</v>
      </c>
      <c r="AI1578" s="98" t="b">
        <f>INDEX(stable[q_living_income],MATCH(questions[[#This Row],[qno]],stable[qno],0))</f>
        <v>0</v>
      </c>
      <c r="AJ1578" s="98" t="b">
        <f>INDEX(stable[q_carbon],MATCH(questions[[#This Row],[qno]],stable[qno],0))</f>
        <v>0</v>
      </c>
      <c r="AK1578" s="98" t="b">
        <f>INDEX(stable[q_regen_ag],MATCH(questions[[#This Row],[qno]],stable[qno],0))</f>
        <v>1</v>
      </c>
      <c r="AL1578" s="98" t="b">
        <f>COUNTIFS(stable[qno],questions[[#This Row],[qno]])=1</f>
        <v>1</v>
      </c>
      <c r="AM1578" s="98" t="b">
        <f>OR(questions[[#This Row],[is_fixed]],questions[[#This Row],[is_localized]],questions[[#This Row],[is_supply_chain_dependent]])</f>
        <v>1</v>
      </c>
      <c r="AN1578" s="98" t="b">
        <f>COUNTIFS(questions[[#This Row],[is_automated]:[is_multi_select]],TRUE)=1</f>
        <v>1</v>
      </c>
      <c r="AO1578" s="98" t="b">
        <f>IF(questions[[#This Row],[is_fixed]],questions[[#This Row],[question]]=INDEX(stable[question],MATCH(questions[[#This Row],[qno]],stable[qno],0)),TRUE)</f>
        <v>1</v>
      </c>
      <c r="AP1578" s="98" t="str">
        <f>LEFT(questions[[#This Row],[question]],similarity_range)</f>
        <v>Is your farm certifi</v>
      </c>
      <c r="AQ1578" s="98" t="str">
        <f>LEFT(INDEX(stable[question],MATCH(questions[[#This Row],[qno]],stable[qno],0)),similarity_range)</f>
        <v>Is your farm certifi</v>
      </c>
      <c r="AR1578" s="98" t="b">
        <f>questions[[#This Row],[question_first_characters]]=questions[[#This Row],[stability_first_characters]]</f>
        <v>1</v>
      </c>
      <c r="AS1578" s="98" t="b">
        <f>IF(OR(questions[[#This Row],[is_single_select]],questions[[#This Row],[is_multi_select]]),NOT(ISBLANK(questions[[#This Row],[answer_opt_combined]])),TRUE)</f>
        <v>1</v>
      </c>
    </row>
    <row r="1579" spans="1:45" s="77" customFormat="1" ht="15.75" customHeight="1" x14ac:dyDescent="0.25">
      <c r="A1579" s="77" t="str">
        <f>_xlfn.TEXTJOIN("_",TRUE,questions[[#This Row],[origin]:[qno]])</f>
        <v>Burundi_Arabica_IKAWA RES PROJECT_2026_2101</v>
      </c>
      <c r="B1579" s="77" t="s">
        <v>1057</v>
      </c>
      <c r="C1579" s="77" t="s">
        <v>59</v>
      </c>
      <c r="D1579" s="77" t="s">
        <v>1058</v>
      </c>
      <c r="E1579" s="77">
        <v>2026</v>
      </c>
      <c r="F1579" s="108" t="s">
        <v>127</v>
      </c>
      <c r="G1579" s="78" t="s">
        <v>723</v>
      </c>
      <c r="H1579" s="9" t="str" cm="1">
        <f t="array" ref="H1579">INDEX(stableR[question],MATCH(VALUE(questions[[#This Row],[qno]]),VALUE(stableR[qno]),0))</f>
        <v>If yes, since when have you been certified? (In case you are part of multiple certification schemes, consider the one that you are in longest.)</v>
      </c>
      <c r="I1579" s="9" t="b" cm="1">
        <f t="array" ref="I1579">INDEX(stable[is_fixed],MATCH(VALUE(questions[[#This Row],[qno]]),VALUE(stable[qno]),0))</f>
        <v>1</v>
      </c>
      <c r="J1579" s="9" t="b" cm="1">
        <f t="array" ref="J1579">INDEX(stable[is_localized],MATCH(VALUE(questions[[#This Row],[qno]]),VALUE(stable[qno]),0))</f>
        <v>0</v>
      </c>
      <c r="K1579" s="9" t="b" cm="1">
        <f t="array" ref="K1579">INDEX(stable[is_supply_chain_dependent],MATCH(VALUE(questions[[#This Row],[qno]]),VALUE(stable[qno]),0))</f>
        <v>0</v>
      </c>
      <c r="L1579" s="9" t="b" cm="1">
        <f t="array" ref="L1579">INDEX(stable[is_mandatory],MATCH(VALUE(questions[[#This Row],[qno]]),VALUE(stable[qno]),0))</f>
        <v>0</v>
      </c>
      <c r="M1579" s="9" t="b" cm="1">
        <f t="array" ref="M1579">INDEX(stable[is_automated],MATCH(VALUE(questions[[#This Row],[qno]]),VALUE(stable[qno]),0))</f>
        <v>0</v>
      </c>
      <c r="N1579" s="32" t="b" cm="1">
        <f t="array" ref="N1579">INDEX(stable[is_free_text],MATCH(VALUE(questions[[#This Row],[qno]]),VALUE(stable[qno]),0))</f>
        <v>0</v>
      </c>
      <c r="O1579" s="9" t="b" cm="1">
        <f t="array" ref="O1579">INDEX(stable[is_numerical],MATCH(VALUE(questions[[#This Row],[qno]]),VALUE(stable[qno]),0))</f>
        <v>0</v>
      </c>
      <c r="P1579" s="77" t="b" cm="1">
        <f t="array" ref="P1579">INDEX(stable[is_single_select],MATCH(VALUE(questions[[#This Row],[qno]]),VALUE(stable[qno]),0))</f>
        <v>1</v>
      </c>
      <c r="Q1579" s="77" t="b" cm="1">
        <f t="array" ref="Q1579">INDEX(stable[is_multi_select],MATCH(VALUE(questions[[#This Row],[qno]]),VALUE(stable[qno]),0))</f>
        <v>0</v>
      </c>
      <c r="R1579" s="77" t="b" cm="1">
        <f t="array" ref="R1579">INDEX(stable[is_skip_logic],MATCH(VALUE(questions[[#This Row],[qno]]),VALUE(stable[qno]),0))</f>
        <v>1</v>
      </c>
      <c r="S1579" s="77" t="str">
        <f>_xlfn.TEXTJOIN(", ",TRUE,questions[[#This Row],[ans_opt_1]:[ans_opt_14]])</f>
        <v>1-2 years, 3-4 years, &gt;=5 years</v>
      </c>
      <c r="T1579" s="77" t="s">
        <v>129</v>
      </c>
      <c r="U1579" s="77" t="s">
        <v>130</v>
      </c>
      <c r="V1579" s="77" t="s">
        <v>131</v>
      </c>
      <c r="AH1579" s="98" t="b">
        <f>INDEX(stable[q_standard],MATCH(questions[[#This Row],[qno]],stable[qno],0))</f>
        <v>0</v>
      </c>
      <c r="AI1579" s="98" t="b">
        <f>INDEX(stable[q_living_income],MATCH(questions[[#This Row],[qno]],stable[qno],0))</f>
        <v>0</v>
      </c>
      <c r="AJ1579" s="98" t="b">
        <f>INDEX(stable[q_carbon],MATCH(questions[[#This Row],[qno]],stable[qno],0))</f>
        <v>0</v>
      </c>
      <c r="AK1579" s="98" t="b">
        <f>INDEX(stable[q_regen_ag],MATCH(questions[[#This Row],[qno]],stable[qno],0))</f>
        <v>1</v>
      </c>
      <c r="AL1579" s="98" t="b">
        <f>COUNTIFS(stable[qno],questions[[#This Row],[qno]])=1</f>
        <v>1</v>
      </c>
      <c r="AM1579" s="98" t="b">
        <f>OR(questions[[#This Row],[is_fixed]],questions[[#This Row],[is_localized]],questions[[#This Row],[is_supply_chain_dependent]])</f>
        <v>1</v>
      </c>
      <c r="AN1579" s="98" t="b">
        <f>COUNTIFS(questions[[#This Row],[is_automated]:[is_multi_select]],TRUE)=1</f>
        <v>1</v>
      </c>
      <c r="AO1579" s="98" t="b">
        <f>IF(questions[[#This Row],[is_fixed]],questions[[#This Row],[question]]=INDEX(stable[question],MATCH(questions[[#This Row],[qno]],stable[qno],0)),TRUE)</f>
        <v>1</v>
      </c>
      <c r="AP1579" s="98" t="str">
        <f>LEFT(questions[[#This Row],[question]],similarity_range)</f>
        <v>If yes, since when h</v>
      </c>
      <c r="AQ1579" s="98" t="str">
        <f>LEFT(INDEX(stable[question],MATCH(questions[[#This Row],[qno]],stable[qno],0)),similarity_range)</f>
        <v>If yes, since when h</v>
      </c>
      <c r="AR1579" s="98" t="b">
        <f>questions[[#This Row],[question_first_characters]]=questions[[#This Row],[stability_first_characters]]</f>
        <v>1</v>
      </c>
      <c r="AS1579" s="98" t="b">
        <f>IF(OR(questions[[#This Row],[is_single_select]],questions[[#This Row],[is_multi_select]]),NOT(ISBLANK(questions[[#This Row],[answer_opt_combined]])),TRUE)</f>
        <v>1</v>
      </c>
    </row>
    <row r="1580" spans="1:45" s="77" customFormat="1" ht="15.75" customHeight="1" x14ac:dyDescent="0.25">
      <c r="A1580" s="77" t="str">
        <f>_xlfn.TEXTJOIN("_",TRUE,questions[[#This Row],[origin]:[qno]])</f>
        <v>Burundi_Arabica_IKAWA RES PROJECT_2026_2200</v>
      </c>
      <c r="B1580" s="77" t="s">
        <v>1057</v>
      </c>
      <c r="C1580" s="77" t="s">
        <v>59</v>
      </c>
      <c r="D1580" s="77" t="s">
        <v>1058</v>
      </c>
      <c r="E1580" s="77">
        <v>2026</v>
      </c>
      <c r="F1580" s="105" t="s">
        <v>132</v>
      </c>
      <c r="G1580" s="78" t="s">
        <v>1059</v>
      </c>
      <c r="H1580" s="9" t="str" cm="1">
        <f t="array" ref="H1580">INDEX(stableR[question],MATCH(VALUE(questions[[#This Row],[qno]]),VALUE(stableR[qno]),0))</f>
        <v>What is the name of the Sucafina coffee collection point you delivered your coffee to (e.g. name of  washing station/hulling station/cooperative/ intermediary), or which one is closest to you?</v>
      </c>
      <c r="I1580" s="9" t="b" cm="1">
        <f t="array" ref="I1580">INDEX(stable[is_fixed],MATCH(VALUE(questions[[#This Row],[qno]]),VALUE(stable[qno]),0))</f>
        <v>0</v>
      </c>
      <c r="J1580" s="9" t="b" cm="1">
        <f t="array" ref="J1580">INDEX(stable[is_localized],MATCH(VALUE(questions[[#This Row],[qno]]),VALUE(stable[qno]),0))</f>
        <v>1</v>
      </c>
      <c r="K1580" s="9" t="b" cm="1">
        <f t="array" ref="K1580">INDEX(stable[is_supply_chain_dependent],MATCH(VALUE(questions[[#This Row],[qno]]),VALUE(stable[qno]),0))</f>
        <v>0</v>
      </c>
      <c r="L1580" s="9" t="b" cm="1">
        <f t="array" ref="L1580">INDEX(stable[is_mandatory],MATCH(VALUE(questions[[#This Row],[qno]]),VALUE(stable[qno]),0))</f>
        <v>1</v>
      </c>
      <c r="M1580" s="9" t="b" cm="1">
        <f t="array" ref="M1580">INDEX(stable[is_automated],MATCH(VALUE(questions[[#This Row],[qno]]),VALUE(stable[qno]),0))</f>
        <v>0</v>
      </c>
      <c r="N1580" s="32" t="b" cm="1">
        <f t="array" ref="N1580">INDEX(stable[is_free_text],MATCH(VALUE(questions[[#This Row],[qno]]),VALUE(stable[qno]),0))</f>
        <v>0</v>
      </c>
      <c r="O1580" s="9" t="b" cm="1">
        <f t="array" ref="O1580">INDEX(stable[is_numerical],MATCH(VALUE(questions[[#This Row],[qno]]),VALUE(stable[qno]),0))</f>
        <v>0</v>
      </c>
      <c r="P1580" s="77" t="b" cm="1">
        <f t="array" ref="P1580">INDEX(stable[is_single_select],MATCH(VALUE(questions[[#This Row],[qno]]),VALUE(stable[qno]),0))</f>
        <v>1</v>
      </c>
      <c r="Q1580" s="77" t="b" cm="1">
        <f t="array" ref="Q1580">INDEX(stable[is_multi_select],MATCH(VALUE(questions[[#This Row],[qno]]),VALUE(stable[qno]),0))</f>
        <v>0</v>
      </c>
      <c r="R1580" s="77" t="b" cm="1">
        <f t="array" ref="R1580">INDEX(stable[is_skip_logic],MATCH(VALUE(questions[[#This Row],[qno]]),VALUE(stable[qno]),0))</f>
        <v>0</v>
      </c>
      <c r="S1580" s="77" t="str">
        <f>_xlfn.TEXTJOIN(", ",TRUE,questions[[#This Row],[ans_opt_1]:[ans_opt_14]])</f>
        <v>Karenge, Kayumbu, Mubuga, Nyamyumba, Musasa, Muhura, Karambi, Rwinyoni</v>
      </c>
      <c r="T1580" s="77" t="s">
        <v>725</v>
      </c>
      <c r="U1580" s="77" t="s">
        <v>726</v>
      </c>
      <c r="V1580" s="77" t="s">
        <v>727</v>
      </c>
      <c r="W1580" s="77" t="s">
        <v>728</v>
      </c>
      <c r="X1580" s="77" t="s">
        <v>729</v>
      </c>
      <c r="Y1580" s="77" t="s">
        <v>730</v>
      </c>
      <c r="Z1580" s="77" t="s">
        <v>1014</v>
      </c>
      <c r="AA1580" s="77" t="s">
        <v>1015</v>
      </c>
      <c r="AH1580" s="98" t="b">
        <f>INDEX(stable[q_standard],MATCH(questions[[#This Row],[qno]],stable[qno],0))</f>
        <v>1</v>
      </c>
      <c r="AI1580" s="98" t="b">
        <f>INDEX(stable[q_living_income],MATCH(questions[[#This Row],[qno]],stable[qno],0))</f>
        <v>0</v>
      </c>
      <c r="AJ1580" s="98" t="b">
        <f>INDEX(stable[q_carbon],MATCH(questions[[#This Row],[qno]],stable[qno],0))</f>
        <v>0</v>
      </c>
      <c r="AK1580" s="98" t="b">
        <f>INDEX(stable[q_regen_ag],MATCH(questions[[#This Row],[qno]],stable[qno],0))</f>
        <v>0</v>
      </c>
      <c r="AL1580" s="98" t="b">
        <f>COUNTIFS(stable[qno],questions[[#This Row],[qno]])=1</f>
        <v>1</v>
      </c>
      <c r="AM1580" s="98" t="b">
        <f>OR(questions[[#This Row],[is_fixed]],questions[[#This Row],[is_localized]],questions[[#This Row],[is_supply_chain_dependent]])</f>
        <v>1</v>
      </c>
      <c r="AN1580" s="98" t="b">
        <f>COUNTIFS(questions[[#This Row],[is_automated]:[is_multi_select]],TRUE)=1</f>
        <v>1</v>
      </c>
      <c r="AO1580" s="98" t="b">
        <f>IF(questions[[#This Row],[is_fixed]],questions[[#This Row],[question]]=INDEX(stable[question],MATCH(questions[[#This Row],[qno]],stable[qno],0)),TRUE)</f>
        <v>1</v>
      </c>
      <c r="AP1580" s="98" t="str">
        <f>LEFT(questions[[#This Row],[question]],similarity_range)</f>
        <v>To which washing sta</v>
      </c>
      <c r="AQ1580" s="98" t="str">
        <f>LEFT(INDEX(stable[question],MATCH(questions[[#This Row],[qno]],stable[qno],0)),similarity_range)</f>
        <v>To which Sucafina wa</v>
      </c>
      <c r="AR1580" s="98" t="b">
        <f>questions[[#This Row],[question_first_characters]]=questions[[#This Row],[stability_first_characters]]</f>
        <v>0</v>
      </c>
      <c r="AS1580" s="98" t="b">
        <f>IF(OR(questions[[#This Row],[is_single_select]],questions[[#This Row],[is_multi_select]]),NOT(ISBLANK(questions[[#This Row],[answer_opt_combined]])),TRUE)</f>
        <v>1</v>
      </c>
    </row>
    <row r="1581" spans="1:45" ht="15.75" customHeight="1" x14ac:dyDescent="0.25">
      <c r="A1581" s="9" t="str">
        <f>_xlfn.TEXTJOIN("_",TRUE,questions[[#This Row],[origin]:[qno]])</f>
        <v>Burundi_Arabica_IKAWA RES PROJECT_2026_3300</v>
      </c>
      <c r="B1581" s="9" t="s">
        <v>1057</v>
      </c>
      <c r="C1581" s="9" t="s">
        <v>59</v>
      </c>
      <c r="D1581" s="9" t="s">
        <v>1058</v>
      </c>
      <c r="E1581" s="33">
        <v>2026</v>
      </c>
      <c r="F1581" s="36" t="s">
        <v>137</v>
      </c>
      <c r="G1581" s="15" t="s">
        <v>731</v>
      </c>
      <c r="H1581" s="9" t="str" cm="1">
        <f t="array" ref="H1581">INDEX(stableR[question],MATCH(VALUE(questions[[#This Row],[qno]]),VALUE(stableR[qno]),0))</f>
        <v>How many kilograms of fresh cherries did you sell last season(s) (previous 12 months)?</v>
      </c>
      <c r="I1581" s="9" t="b" cm="1">
        <f t="array" ref="I1581">INDEX(stable[is_fixed],MATCH(VALUE(questions[[#This Row],[qno]]),VALUE(stable[qno]),0))</f>
        <v>0</v>
      </c>
      <c r="J1581" s="9" t="b" cm="1">
        <f t="array" ref="J1581">INDEX(stable[is_localized],MATCH(VALUE(questions[[#This Row],[qno]]),VALUE(stable[qno]),0))</f>
        <v>1</v>
      </c>
      <c r="K1581" s="9" t="b" cm="1">
        <f t="array" ref="K1581">INDEX(stable[is_supply_chain_dependent],MATCH(VALUE(questions[[#This Row],[qno]]),VALUE(stable[qno]),0))</f>
        <v>0</v>
      </c>
      <c r="L1581" s="9" t="b" cm="1">
        <f t="array" ref="L1581">INDEX(stable[is_mandatory],MATCH(VALUE(questions[[#This Row],[qno]]),VALUE(stable[qno]),0))</f>
        <v>0</v>
      </c>
      <c r="M1581" s="9" t="b" cm="1">
        <f t="array" ref="M1581">INDEX(stable[is_automated],MATCH(VALUE(questions[[#This Row],[qno]]),VALUE(stable[qno]),0))</f>
        <v>0</v>
      </c>
      <c r="N1581" s="32" t="b" cm="1">
        <f t="array" ref="N1581">INDEX(stable[is_free_text],MATCH(VALUE(questions[[#This Row],[qno]]),VALUE(stable[qno]),0))</f>
        <v>0</v>
      </c>
      <c r="O1581" s="9" t="b" cm="1">
        <f t="array" ref="O1581">INDEX(stable[is_numerical],MATCH(VALUE(questions[[#This Row],[qno]]),VALUE(stable[qno]),0))</f>
        <v>1</v>
      </c>
      <c r="P1581" s="9" t="b" cm="1">
        <f t="array" ref="P1581">INDEX(stable[is_single_select],MATCH(VALUE(questions[[#This Row],[qno]]),VALUE(stable[qno]),0))</f>
        <v>0</v>
      </c>
      <c r="Q1581" s="9" t="b" cm="1">
        <f t="array" ref="Q1581">INDEX(stable[is_multi_select],MATCH(VALUE(questions[[#This Row],[qno]]),VALUE(stable[qno]),0))</f>
        <v>0</v>
      </c>
      <c r="R1581" s="9" t="b" cm="1">
        <f t="array" ref="R1581">INDEX(stable[is_skip_logic],MATCH(VALUE(questions[[#This Row],[qno]]),VALUE(stable[qno]),0))</f>
        <v>0</v>
      </c>
      <c r="S1581" s="9" t="str">
        <f>_xlfn.TEXTJOIN(", ",TRUE,questions[[#This Row],[ans_opt_1]:[ans_opt_14]])</f>
        <v/>
      </c>
      <c r="AH1581" s="16" t="b">
        <f>INDEX(stable[q_standard],MATCH(questions[[#This Row],[qno]],stable[qno],0))</f>
        <v>0</v>
      </c>
      <c r="AI1581" s="16" t="b">
        <f>INDEX(stable[q_living_income],MATCH(questions[[#This Row],[qno]],stable[qno],0))</f>
        <v>1</v>
      </c>
      <c r="AJ1581" s="16" t="b">
        <f>INDEX(stable[q_carbon],MATCH(questions[[#This Row],[qno]],stable[qno],0))</f>
        <v>1</v>
      </c>
      <c r="AK1581" s="16" t="b">
        <f>INDEX(stable[q_regen_ag],MATCH(questions[[#This Row],[qno]],stable[qno],0))</f>
        <v>1</v>
      </c>
      <c r="AL1581" s="16" t="b">
        <f>COUNTIFS(stable[qno],questions[[#This Row],[qno]])=1</f>
        <v>1</v>
      </c>
      <c r="AM1581" s="16" t="b">
        <f>OR(questions[[#This Row],[is_fixed]],questions[[#This Row],[is_localized]],questions[[#This Row],[is_supply_chain_dependent]])</f>
        <v>1</v>
      </c>
      <c r="AN1581" s="16" t="b">
        <f>COUNTIFS(questions[[#This Row],[is_automated]:[is_multi_select]],TRUE)=1</f>
        <v>1</v>
      </c>
      <c r="AO1581" s="16" t="b">
        <f>IF(questions[[#This Row],[is_fixed]],questions[[#This Row],[question]]=INDEX(stable[question],MATCH(questions[[#This Row],[qno]],stable[qno],0)),TRUE)</f>
        <v>1</v>
      </c>
      <c r="AP1581" s="16" t="str">
        <f>LEFT(questions[[#This Row],[question]],similarity_range)</f>
        <v>How many kilograms o</v>
      </c>
      <c r="AQ1581" s="16" t="str">
        <f>LEFT(INDEX(stable[question],MATCH(questions[[#This Row],[qno]],stable[qno],0)),similarity_range)</f>
        <v>How many kilograms o</v>
      </c>
      <c r="AR1581" s="16" t="b">
        <f>questions[[#This Row],[question_first_characters]]=questions[[#This Row],[stability_first_characters]]</f>
        <v>1</v>
      </c>
      <c r="AS1581" s="16" t="b">
        <f>IF(OR(questions[[#This Row],[is_single_select]],questions[[#This Row],[is_multi_select]]),NOT(ISBLANK(questions[[#This Row],[answer_opt_combined]])),TRUE)</f>
        <v>1</v>
      </c>
    </row>
    <row r="1582" spans="1:45" ht="15.75" customHeight="1" x14ac:dyDescent="0.25">
      <c r="A1582" s="9" t="str">
        <f>_xlfn.TEXTJOIN("_",TRUE,questions[[#This Row],[origin]:[qno]])</f>
        <v>Burundi_Arabica_IKAWA RES PROJECT_2026_3301</v>
      </c>
      <c r="B1582" s="9" t="s">
        <v>1057</v>
      </c>
      <c r="C1582" s="9" t="s">
        <v>59</v>
      </c>
      <c r="D1582" s="9" t="s">
        <v>1058</v>
      </c>
      <c r="E1582" s="33">
        <v>2026</v>
      </c>
      <c r="F1582" s="36" t="s">
        <v>139</v>
      </c>
      <c r="G1582" s="15" t="s">
        <v>1060</v>
      </c>
      <c r="H1582" s="9" t="str" cm="1">
        <f t="array" ref="H1582">INDEX(stableR[question],MATCH(VALUE(questions[[#This Row],[qno]]),VALUE(stableR[qno]),0))</f>
        <v>What was the most common price per kilogram that you received for the fresh cherries harvested in the last season? (in local currency)</v>
      </c>
      <c r="I1582" s="9" t="b" cm="1">
        <f t="array" ref="I1582">INDEX(stable[is_fixed],MATCH(VALUE(questions[[#This Row],[qno]]),VALUE(stable[qno]),0))</f>
        <v>0</v>
      </c>
      <c r="J1582" s="9" t="b" cm="1">
        <f t="array" ref="J1582">INDEX(stable[is_localized],MATCH(VALUE(questions[[#This Row],[qno]]),VALUE(stable[qno]),0))</f>
        <v>1</v>
      </c>
      <c r="K1582" s="9" t="b" cm="1">
        <f t="array" ref="K1582">INDEX(stable[is_supply_chain_dependent],MATCH(VALUE(questions[[#This Row],[qno]]),VALUE(stable[qno]),0))</f>
        <v>0</v>
      </c>
      <c r="L1582" s="9" t="b" cm="1">
        <f t="array" ref="L1582">INDEX(stable[is_mandatory],MATCH(VALUE(questions[[#This Row],[qno]]),VALUE(stable[qno]),0))</f>
        <v>0</v>
      </c>
      <c r="M1582" s="9" t="b" cm="1">
        <f t="array" ref="M1582">INDEX(stable[is_automated],MATCH(VALUE(questions[[#This Row],[qno]]),VALUE(stable[qno]),0))</f>
        <v>0</v>
      </c>
      <c r="N1582" s="32" t="b" cm="1">
        <f t="array" ref="N1582">INDEX(stable[is_free_text],MATCH(VALUE(questions[[#This Row],[qno]]),VALUE(stable[qno]),0))</f>
        <v>0</v>
      </c>
      <c r="O1582" s="9" t="b" cm="1">
        <f t="array" ref="O1582">INDEX(stable[is_numerical],MATCH(VALUE(questions[[#This Row],[qno]]),VALUE(stable[qno]),0))</f>
        <v>1</v>
      </c>
      <c r="P1582" s="9" t="b" cm="1">
        <f t="array" ref="P1582">INDEX(stable[is_single_select],MATCH(VALUE(questions[[#This Row],[qno]]),VALUE(stable[qno]),0))</f>
        <v>0</v>
      </c>
      <c r="Q1582" s="9" t="b" cm="1">
        <f t="array" ref="Q1582">INDEX(stable[is_multi_select],MATCH(VALUE(questions[[#This Row],[qno]]),VALUE(stable[qno]),0))</f>
        <v>0</v>
      </c>
      <c r="R1582" s="9" t="b" cm="1">
        <f t="array" ref="R1582">INDEX(stable[is_skip_logic],MATCH(VALUE(questions[[#This Row],[qno]]),VALUE(stable[qno]),0))</f>
        <v>0</v>
      </c>
      <c r="S1582" s="9" t="str">
        <f>_xlfn.TEXTJOIN(", ",TRUE,questions[[#This Row],[ans_opt_1]:[ans_opt_14]])</f>
        <v/>
      </c>
      <c r="AH1582" s="16" t="b">
        <f>INDEX(stable[q_standard],MATCH(questions[[#This Row],[qno]],stable[qno],0))</f>
        <v>0</v>
      </c>
      <c r="AI1582" s="16" t="b">
        <f>INDEX(stable[q_living_income],MATCH(questions[[#This Row],[qno]],stable[qno],0))</f>
        <v>1</v>
      </c>
      <c r="AJ1582" s="16" t="b">
        <f>INDEX(stable[q_carbon],MATCH(questions[[#This Row],[qno]],stable[qno],0))</f>
        <v>0</v>
      </c>
      <c r="AK1582" s="16" t="b">
        <f>INDEX(stable[q_regen_ag],MATCH(questions[[#This Row],[qno]],stable[qno],0))</f>
        <v>0</v>
      </c>
      <c r="AL1582" s="16" t="b">
        <f>COUNTIFS(stable[qno],questions[[#This Row],[qno]])=1</f>
        <v>1</v>
      </c>
      <c r="AM1582" s="16" t="b">
        <f>OR(questions[[#This Row],[is_fixed]],questions[[#This Row],[is_localized]],questions[[#This Row],[is_supply_chain_dependent]])</f>
        <v>1</v>
      </c>
      <c r="AN1582" s="16" t="b">
        <f>COUNTIFS(questions[[#This Row],[is_automated]:[is_multi_select]],TRUE)=1</f>
        <v>1</v>
      </c>
      <c r="AO1582" s="16" t="b">
        <f>IF(questions[[#This Row],[is_fixed]],questions[[#This Row],[question]]=INDEX(stable[question],MATCH(questions[[#This Row],[qno]],stable[qno],0)),TRUE)</f>
        <v>1</v>
      </c>
      <c r="AP1582" s="16" t="str">
        <f>LEFT(questions[[#This Row],[question]],similarity_range)</f>
        <v>What was the most co</v>
      </c>
      <c r="AQ1582" s="16" t="str">
        <f>LEFT(INDEX(stable[question],MATCH(questions[[#This Row],[qno]],stable[qno],0)),similarity_range)</f>
        <v>What was the most co</v>
      </c>
      <c r="AR1582" s="16" t="b">
        <f>questions[[#This Row],[question_first_characters]]=questions[[#This Row],[stability_first_characters]]</f>
        <v>1</v>
      </c>
      <c r="AS1582" s="16" t="b">
        <f>IF(OR(questions[[#This Row],[is_single_select]],questions[[#This Row],[is_multi_select]]),NOT(ISBLANK(questions[[#This Row],[answer_opt_combined]])),TRUE)</f>
        <v>1</v>
      </c>
    </row>
    <row r="1583" spans="1:45" ht="15.75" customHeight="1" x14ac:dyDescent="0.25">
      <c r="A1583" s="9" t="str">
        <f>_xlfn.TEXTJOIN("_",TRUE,questions[[#This Row],[origin]:[qno]])</f>
        <v>Burundi_Arabica_IKAWA RES PROJECT_2026_4000</v>
      </c>
      <c r="B1583" s="9" t="s">
        <v>1057</v>
      </c>
      <c r="C1583" s="9" t="s">
        <v>59</v>
      </c>
      <c r="D1583" s="9" t="s">
        <v>1058</v>
      </c>
      <c r="E1583" s="33">
        <v>2026</v>
      </c>
      <c r="F1583" s="36" t="s">
        <v>143</v>
      </c>
      <c r="G1583" s="15" t="s">
        <v>733</v>
      </c>
      <c r="H1583" s="9" t="str" cm="1">
        <f t="array" ref="H1583">INDEX(stableR[question],MATCH(VALUE(questions[[#This Row],[qno]]),VALUE(stableR[qno]),0))</f>
        <v>About how many coffee trees do you have across all your coffee plots combined?</v>
      </c>
      <c r="I1583" s="9" t="b" cm="1">
        <f t="array" ref="I1583">INDEX(stable[is_fixed],MATCH(VALUE(questions[[#This Row],[qno]]),VALUE(stable[qno]),0))</f>
        <v>1</v>
      </c>
      <c r="J1583" s="9" t="b" cm="1">
        <f t="array" ref="J1583">INDEX(stable[is_localized],MATCH(VALUE(questions[[#This Row],[qno]]),VALUE(stable[qno]),0))</f>
        <v>0</v>
      </c>
      <c r="K1583" s="9" t="b" cm="1">
        <f t="array" ref="K1583">INDEX(stable[is_supply_chain_dependent],MATCH(VALUE(questions[[#This Row],[qno]]),VALUE(stable[qno]),0))</f>
        <v>0</v>
      </c>
      <c r="L1583" s="9" t="b" cm="1">
        <f t="array" ref="L1583">INDEX(stable[is_mandatory],MATCH(VALUE(questions[[#This Row],[qno]]),VALUE(stable[qno]),0))</f>
        <v>1</v>
      </c>
      <c r="M1583" s="9" t="b" cm="1">
        <f t="array" ref="M1583">INDEX(stable[is_automated],MATCH(VALUE(questions[[#This Row],[qno]]),VALUE(stable[qno]),0))</f>
        <v>0</v>
      </c>
      <c r="N1583" s="32" t="b" cm="1">
        <f t="array" ref="N1583">INDEX(stable[is_free_text],MATCH(VALUE(questions[[#This Row],[qno]]),VALUE(stable[qno]),0))</f>
        <v>0</v>
      </c>
      <c r="O1583" s="9" t="b" cm="1">
        <f t="array" ref="O1583">INDEX(stable[is_numerical],MATCH(VALUE(questions[[#This Row],[qno]]),VALUE(stable[qno]),0))</f>
        <v>1</v>
      </c>
      <c r="P1583" s="9" t="b" cm="1">
        <f t="array" ref="P1583">INDEX(stable[is_single_select],MATCH(VALUE(questions[[#This Row],[qno]]),VALUE(stable[qno]),0))</f>
        <v>0</v>
      </c>
      <c r="Q1583" s="9" t="b" cm="1">
        <f t="array" ref="Q1583">INDEX(stable[is_multi_select],MATCH(VALUE(questions[[#This Row],[qno]]),VALUE(stable[qno]),0))</f>
        <v>0</v>
      </c>
      <c r="R1583" s="9" t="b" cm="1">
        <f t="array" ref="R1583">INDEX(stable[is_skip_logic],MATCH(VALUE(questions[[#This Row],[qno]]),VALUE(stable[qno]),0))</f>
        <v>0</v>
      </c>
      <c r="S1583" s="9" t="str">
        <f>_xlfn.TEXTJOIN(", ",TRUE,questions[[#This Row],[ans_opt_1]:[ans_opt_14]])</f>
        <v/>
      </c>
      <c r="AH1583" s="16" t="b">
        <f>INDEX(stable[q_standard],MATCH(questions[[#This Row],[qno]],stable[qno],0))</f>
        <v>0</v>
      </c>
      <c r="AI1583" s="16" t="b">
        <f>INDEX(stable[q_living_income],MATCH(questions[[#This Row],[qno]],stable[qno],0))</f>
        <v>1</v>
      </c>
      <c r="AJ1583" s="16" t="b">
        <f>INDEX(stable[q_carbon],MATCH(questions[[#This Row],[qno]],stable[qno],0))</f>
        <v>1</v>
      </c>
      <c r="AK1583" s="16" t="b">
        <f>INDEX(stable[q_regen_ag],MATCH(questions[[#This Row],[qno]],stable[qno],0))</f>
        <v>1</v>
      </c>
      <c r="AL1583" s="16" t="b">
        <f>COUNTIFS(stable[qno],questions[[#This Row],[qno]])=1</f>
        <v>1</v>
      </c>
      <c r="AM1583" s="16" t="b">
        <f>OR(questions[[#This Row],[is_fixed]],questions[[#This Row],[is_localized]],questions[[#This Row],[is_supply_chain_dependent]])</f>
        <v>1</v>
      </c>
      <c r="AN1583" s="16" t="b">
        <f>COUNTIFS(questions[[#This Row],[is_automated]:[is_multi_select]],TRUE)=1</f>
        <v>1</v>
      </c>
      <c r="AO1583" s="16" t="b">
        <f>IF(questions[[#This Row],[is_fixed]],questions[[#This Row],[question]]=INDEX(stable[question],MATCH(questions[[#This Row],[qno]],stable[qno],0)),TRUE)</f>
        <v>0</v>
      </c>
      <c r="AP1583" s="16" t="str">
        <f>LEFT(questions[[#This Row],[question]],similarity_range)</f>
        <v>What was the total n</v>
      </c>
      <c r="AQ1583" s="16" t="str">
        <f>LEFT(INDEX(stable[question],MATCH(questions[[#This Row],[qno]],stable[qno],0)),similarity_range)</f>
        <v>Can you estimate how</v>
      </c>
      <c r="AR1583" s="16" t="b">
        <f>questions[[#This Row],[question_first_characters]]=questions[[#This Row],[stability_first_characters]]</f>
        <v>0</v>
      </c>
      <c r="AS1583" s="16" t="b">
        <f>IF(OR(questions[[#This Row],[is_single_select]],questions[[#This Row],[is_multi_select]]),NOT(ISBLANK(questions[[#This Row],[answer_opt_combined]])),TRUE)</f>
        <v>1</v>
      </c>
    </row>
    <row r="1584" spans="1:45" ht="15.75" customHeight="1" x14ac:dyDescent="0.25">
      <c r="A1584" s="9" t="str">
        <f>_xlfn.TEXTJOIN("_",TRUE,questions[[#This Row],[origin]:[qno]])</f>
        <v>Burundi_Arabica_IKAWA RES PROJECT_2026_4100</v>
      </c>
      <c r="B1584" s="9" t="s">
        <v>1057</v>
      </c>
      <c r="C1584" s="9" t="s">
        <v>59</v>
      </c>
      <c r="D1584" s="9" t="s">
        <v>1058</v>
      </c>
      <c r="E1584" s="33">
        <v>2026</v>
      </c>
      <c r="F1584" s="36" t="s">
        <v>145</v>
      </c>
      <c r="G1584" s="15" t="s">
        <v>146</v>
      </c>
      <c r="H1584" s="9" t="str" cm="1">
        <f t="array" ref="H1584">INDEX(stableR[question],MATCH(VALUE(questions[[#This Row],[qno]]),VALUE(stableR[qno]),0))</f>
        <v>In total, how many plots with coffee do you have?</v>
      </c>
      <c r="I1584" s="9" t="b" cm="1">
        <f t="array" ref="I1584">INDEX(stable[is_fixed],MATCH(VALUE(questions[[#This Row],[qno]]),VALUE(stable[qno]),0))</f>
        <v>1</v>
      </c>
      <c r="J1584" s="9" t="b" cm="1">
        <f t="array" ref="J1584">INDEX(stable[is_localized],MATCH(VALUE(questions[[#This Row],[qno]]),VALUE(stable[qno]),0))</f>
        <v>0</v>
      </c>
      <c r="K1584" s="9" t="b" cm="1">
        <f t="array" ref="K1584">INDEX(stable[is_supply_chain_dependent],MATCH(VALUE(questions[[#This Row],[qno]]),VALUE(stable[qno]),0))</f>
        <v>0</v>
      </c>
      <c r="L1584" s="9" t="b" cm="1">
        <f t="array" ref="L1584">INDEX(stable[is_mandatory],MATCH(VALUE(questions[[#This Row],[qno]]),VALUE(stable[qno]),0))</f>
        <v>1</v>
      </c>
      <c r="M1584" s="9" t="b" cm="1">
        <f t="array" ref="M1584">INDEX(stable[is_automated],MATCH(VALUE(questions[[#This Row],[qno]]),VALUE(stable[qno]),0))</f>
        <v>0</v>
      </c>
      <c r="N1584" s="32" t="b" cm="1">
        <f t="array" ref="N1584">INDEX(stable[is_free_text],MATCH(VALUE(questions[[#This Row],[qno]]),VALUE(stable[qno]),0))</f>
        <v>0</v>
      </c>
      <c r="O1584" s="9" t="b" cm="1">
        <f t="array" ref="O1584">INDEX(stable[is_numerical],MATCH(VALUE(questions[[#This Row],[qno]]),VALUE(stable[qno]),0))</f>
        <v>1</v>
      </c>
      <c r="P1584" s="9" t="b" cm="1">
        <f t="array" ref="P1584">INDEX(stable[is_single_select],MATCH(VALUE(questions[[#This Row],[qno]]),VALUE(stable[qno]),0))</f>
        <v>0</v>
      </c>
      <c r="Q1584" s="9" t="b" cm="1">
        <f t="array" ref="Q1584">INDEX(stable[is_multi_select],MATCH(VALUE(questions[[#This Row],[qno]]),VALUE(stable[qno]),0))</f>
        <v>0</v>
      </c>
      <c r="R1584" s="9" t="b" cm="1">
        <f t="array" ref="R1584">INDEX(stable[is_skip_logic],MATCH(VALUE(questions[[#This Row],[qno]]),VALUE(stable[qno]),0))</f>
        <v>0</v>
      </c>
      <c r="S1584" s="9" t="str">
        <f>_xlfn.TEXTJOIN(", ",TRUE,questions[[#This Row],[ans_opt_1]:[ans_opt_14]])</f>
        <v/>
      </c>
      <c r="AH1584" s="16" t="b">
        <f>INDEX(stable[q_standard],MATCH(questions[[#This Row],[qno]],stable[qno],0))</f>
        <v>0</v>
      </c>
      <c r="AI1584" s="16" t="b">
        <f>INDEX(stable[q_living_income],MATCH(questions[[#This Row],[qno]],stable[qno],0))</f>
        <v>1</v>
      </c>
      <c r="AJ1584" s="16" t="b">
        <f>INDEX(stable[q_carbon],MATCH(questions[[#This Row],[qno]],stable[qno],0))</f>
        <v>1</v>
      </c>
      <c r="AK1584" s="16" t="b">
        <f>INDEX(stable[q_regen_ag],MATCH(questions[[#This Row],[qno]],stable[qno],0))</f>
        <v>1</v>
      </c>
      <c r="AL1584" s="16" t="b">
        <f>COUNTIFS(stable[qno],questions[[#This Row],[qno]])=1</f>
        <v>1</v>
      </c>
      <c r="AM1584" s="16" t="b">
        <f>OR(questions[[#This Row],[is_fixed]],questions[[#This Row],[is_localized]],questions[[#This Row],[is_supply_chain_dependent]])</f>
        <v>1</v>
      </c>
      <c r="AN1584" s="16" t="b">
        <f>COUNTIFS(questions[[#This Row],[is_automated]:[is_multi_select]],TRUE)=1</f>
        <v>1</v>
      </c>
      <c r="AO1584" s="16" t="b">
        <f>IF(questions[[#This Row],[is_fixed]],questions[[#This Row],[question]]=INDEX(stable[question],MATCH(questions[[#This Row],[qno]],stable[qno],0)),TRUE)</f>
        <v>1</v>
      </c>
      <c r="AP1584" s="16" t="str">
        <f>LEFT(questions[[#This Row],[question]],similarity_range)</f>
        <v>In total, how many p</v>
      </c>
      <c r="AQ1584" s="16" t="str">
        <f>LEFT(INDEX(stable[question],MATCH(questions[[#This Row],[qno]],stable[qno],0)),similarity_range)</f>
        <v>In total, how many p</v>
      </c>
      <c r="AR1584" s="16" t="b">
        <f>questions[[#This Row],[question_first_characters]]=questions[[#This Row],[stability_first_characters]]</f>
        <v>1</v>
      </c>
      <c r="AS1584" s="16" t="b">
        <f>IF(OR(questions[[#This Row],[is_single_select]],questions[[#This Row],[is_multi_select]]),NOT(ISBLANK(questions[[#This Row],[answer_opt_combined]])),TRUE)</f>
        <v>1</v>
      </c>
    </row>
    <row r="1585" spans="1:45" s="77" customFormat="1" ht="15.75" customHeight="1" x14ac:dyDescent="0.25">
      <c r="A1585" s="77" t="str">
        <f>_xlfn.TEXTJOIN("_",TRUE,questions[[#This Row],[origin]:[qno]])</f>
        <v>Burundi_Arabica_IKAWA RES PROJECT_2026_4101</v>
      </c>
      <c r="B1585" s="77" t="s">
        <v>1057</v>
      </c>
      <c r="C1585" s="77" t="s">
        <v>59</v>
      </c>
      <c r="D1585" s="77" t="s">
        <v>1058</v>
      </c>
      <c r="E1585" s="77">
        <v>2026</v>
      </c>
      <c r="F1585" s="105" t="s">
        <v>147</v>
      </c>
      <c r="G1585" s="78" t="s">
        <v>734</v>
      </c>
      <c r="H1585" s="9" t="str" cm="1">
        <f t="array" ref="H1585">INDEX(stableR[question],MATCH(VALUE(questions[[#This Row],[qno]]),VALUE(stableR[qno]),0))</f>
        <v>Can we go to measure/polygon map (area audit) each of these plots?</v>
      </c>
      <c r="I1585" s="9" t="b" cm="1">
        <f t="array" ref="I1585">INDEX(stable[is_fixed],MATCH(VALUE(questions[[#This Row],[qno]]),VALUE(stable[qno]),0))</f>
        <v>1</v>
      </c>
      <c r="J1585" s="9" t="b" cm="1">
        <f t="array" ref="J1585">INDEX(stable[is_localized],MATCH(VALUE(questions[[#This Row],[qno]]),VALUE(stable[qno]),0))</f>
        <v>0</v>
      </c>
      <c r="K1585" s="9" t="b" cm="1">
        <f t="array" ref="K1585">INDEX(stable[is_supply_chain_dependent],MATCH(VALUE(questions[[#This Row],[qno]]),VALUE(stable[qno]),0))</f>
        <v>0</v>
      </c>
      <c r="L1585" s="9" t="b" cm="1">
        <f t="array" ref="L1585">INDEX(stable[is_mandatory],MATCH(VALUE(questions[[#This Row],[qno]]),VALUE(stable[qno]),0))</f>
        <v>1</v>
      </c>
      <c r="M1585" s="9" t="b" cm="1">
        <f t="array" ref="M1585">INDEX(stable[is_automated],MATCH(VALUE(questions[[#This Row],[qno]]),VALUE(stable[qno]),0))</f>
        <v>0</v>
      </c>
      <c r="N1585" s="32" t="b" cm="1">
        <f t="array" ref="N1585">INDEX(stable[is_free_text],MATCH(VALUE(questions[[#This Row],[qno]]),VALUE(stable[qno]),0))</f>
        <v>0</v>
      </c>
      <c r="O1585" s="9" t="b" cm="1">
        <f t="array" ref="O1585">INDEX(stable[is_numerical],MATCH(VALUE(questions[[#This Row],[qno]]),VALUE(stable[qno]),0))</f>
        <v>0</v>
      </c>
      <c r="P1585" s="77" t="b" cm="1">
        <f t="array" ref="P1585">INDEX(stable[is_single_select],MATCH(VALUE(questions[[#This Row],[qno]]),VALUE(stable[qno]),0))</f>
        <v>1</v>
      </c>
      <c r="Q1585" s="77" t="b" cm="1">
        <f t="array" ref="Q1585">INDEX(stable[is_multi_select],MATCH(VALUE(questions[[#This Row],[qno]]),VALUE(stable[qno]),0))</f>
        <v>0</v>
      </c>
      <c r="R1585" s="77" t="b" cm="1">
        <f t="array" ref="R1585">INDEX(stable[is_skip_logic],MATCH(VALUE(questions[[#This Row],[qno]]),VALUE(stable[qno]),0))</f>
        <v>1</v>
      </c>
      <c r="S1585" s="77" t="str">
        <f>_xlfn.TEXTJOIN(", ",TRUE,questions[[#This Row],[ans_opt_1]:[ans_opt_14]])</f>
        <v>Yes, No</v>
      </c>
      <c r="T1585" s="77" t="s">
        <v>149</v>
      </c>
      <c r="U1585" s="77" t="s">
        <v>119</v>
      </c>
      <c r="AH1585" s="98" t="b">
        <f>INDEX(stable[q_standard],MATCH(questions[[#This Row],[qno]],stable[qno],0))</f>
        <v>0</v>
      </c>
      <c r="AI1585" s="98" t="b">
        <f>INDEX(stable[q_living_income],MATCH(questions[[#This Row],[qno]],stable[qno],0))</f>
        <v>1</v>
      </c>
      <c r="AJ1585" s="98" t="b">
        <f>INDEX(stable[q_carbon],MATCH(questions[[#This Row],[qno]],stable[qno],0))</f>
        <v>1</v>
      </c>
      <c r="AK1585" s="98" t="b">
        <f>INDEX(stable[q_regen_ag],MATCH(questions[[#This Row],[qno]],stable[qno],0))</f>
        <v>1</v>
      </c>
      <c r="AL1585" s="98" t="b">
        <f>COUNTIFS(stable[qno],questions[[#This Row],[qno]])=1</f>
        <v>1</v>
      </c>
      <c r="AM1585" s="98" t="b">
        <f>OR(questions[[#This Row],[is_fixed]],questions[[#This Row],[is_localized]],questions[[#This Row],[is_supply_chain_dependent]])</f>
        <v>1</v>
      </c>
      <c r="AN1585" s="98" t="b">
        <f>COUNTIFS(questions[[#This Row],[is_automated]:[is_multi_select]],TRUE)=1</f>
        <v>1</v>
      </c>
      <c r="AO1585" s="98" t="b">
        <f>IF(questions[[#This Row],[is_fixed]],questions[[#This Row],[question]]=INDEX(stable[question],MATCH(questions[[#This Row],[qno]],stable[qno],0)),TRUE)</f>
        <v>0</v>
      </c>
      <c r="AP1585" s="98" t="str">
        <f>LEFT(questions[[#This Row],[question]],similarity_range)</f>
        <v>Can we go to measure</v>
      </c>
      <c r="AQ1585" s="98" t="str">
        <f>LEFT(INDEX(stable[question],MATCH(questions[[#This Row],[qno]],stable[qno],0)),similarity_range)</f>
        <v>Can we go to measure</v>
      </c>
      <c r="AR1585" s="98" t="b">
        <f>questions[[#This Row],[question_first_characters]]=questions[[#This Row],[stability_first_characters]]</f>
        <v>1</v>
      </c>
      <c r="AS1585" s="98" t="b">
        <f>IF(OR(questions[[#This Row],[is_single_select]],questions[[#This Row],[is_multi_select]]),NOT(ISBLANK(questions[[#This Row],[answer_opt_combined]])),TRUE)</f>
        <v>1</v>
      </c>
    </row>
    <row r="1586" spans="1:45" s="77" customFormat="1" ht="15.75" customHeight="1" x14ac:dyDescent="0.25">
      <c r="A1586" s="77" t="str">
        <f>_xlfn.TEXTJOIN("_",TRUE,questions[[#This Row],[origin]:[qno]])</f>
        <v>Burundi_Arabica_IKAWA RES PROJECT_2026_4102</v>
      </c>
      <c r="B1586" s="77" t="s">
        <v>1057</v>
      </c>
      <c r="C1586" s="77" t="s">
        <v>59</v>
      </c>
      <c r="D1586" s="77" t="s">
        <v>1058</v>
      </c>
      <c r="E1586" s="77">
        <v>2026</v>
      </c>
      <c r="F1586" s="105" t="s">
        <v>150</v>
      </c>
      <c r="G1586" s="78" t="s">
        <v>151</v>
      </c>
      <c r="H1586" s="9" t="str" cm="1">
        <f t="array" ref="H1586">INDEX(stableR[question],MATCH(VALUE(questions[[#This Row],[qno]]),VALUE(stableR[qno]),0))</f>
        <v>If No, what is the reason why we cannot visit this/these plot (s) to measure/polygon map it/them?</v>
      </c>
      <c r="I1586" s="9" t="b" cm="1">
        <f t="array" ref="I1586">INDEX(stable[is_fixed],MATCH(VALUE(questions[[#This Row],[qno]]),VALUE(stable[qno]),0))</f>
        <v>1</v>
      </c>
      <c r="J1586" s="9" t="b" cm="1">
        <f t="array" ref="J1586">INDEX(stable[is_localized],MATCH(VALUE(questions[[#This Row],[qno]]),VALUE(stable[qno]),0))</f>
        <v>0</v>
      </c>
      <c r="K1586" s="9" t="b" cm="1">
        <f t="array" ref="K1586">INDEX(stable[is_supply_chain_dependent],MATCH(VALUE(questions[[#This Row],[qno]]),VALUE(stable[qno]),0))</f>
        <v>0</v>
      </c>
      <c r="L1586" s="9" t="b" cm="1">
        <f t="array" ref="L1586">INDEX(stable[is_mandatory],MATCH(VALUE(questions[[#This Row],[qno]]),VALUE(stable[qno]),0))</f>
        <v>0</v>
      </c>
      <c r="M1586" s="9" t="b" cm="1">
        <f t="array" ref="M1586">INDEX(stable[is_automated],MATCH(VALUE(questions[[#This Row],[qno]]),VALUE(stable[qno]),0))</f>
        <v>0</v>
      </c>
      <c r="N1586" s="32" t="b" cm="1">
        <f t="array" ref="N1586">INDEX(stable[is_free_text],MATCH(VALUE(questions[[#This Row],[qno]]),VALUE(stable[qno]),0))</f>
        <v>0</v>
      </c>
      <c r="O1586" s="9" t="b" cm="1">
        <f t="array" ref="O1586">INDEX(stable[is_numerical],MATCH(VALUE(questions[[#This Row],[qno]]),VALUE(stable[qno]),0))</f>
        <v>0</v>
      </c>
      <c r="P1586" s="77" t="b" cm="1">
        <f t="array" ref="P1586">INDEX(stable[is_single_select],MATCH(VALUE(questions[[#This Row],[qno]]),VALUE(stable[qno]),0))</f>
        <v>1</v>
      </c>
      <c r="Q1586" s="77" t="b" cm="1">
        <f t="array" ref="Q1586">INDEX(stable[is_multi_select],MATCH(VALUE(questions[[#This Row],[qno]]),VALUE(stable[qno]),0))</f>
        <v>0</v>
      </c>
      <c r="R1586" s="77" t="b" cm="1">
        <f t="array" ref="R1586">INDEX(stable[is_skip_logic],MATCH(VALUE(questions[[#This Row],[qno]]),VALUE(stable[qno]),0))</f>
        <v>1</v>
      </c>
      <c r="S1586" s="77" t="str">
        <f>_xlfn.TEXTJOIN(", ",TRUE,questions[[#This Row],[ans_opt_1]:[ans_opt_14]])</f>
        <v>Too far, Farmer not willing, Other reason, NA</v>
      </c>
      <c r="T1586" s="77" t="s">
        <v>152</v>
      </c>
      <c r="U1586" s="77" t="s">
        <v>153</v>
      </c>
      <c r="V1586" s="77" t="s">
        <v>154</v>
      </c>
      <c r="W1586" s="77" t="s">
        <v>251</v>
      </c>
      <c r="AH1586" s="98" t="b">
        <f>INDEX(stable[q_standard],MATCH(questions[[#This Row],[qno]],stable[qno],0))</f>
        <v>0</v>
      </c>
      <c r="AI1586" s="98" t="b">
        <f>INDEX(stable[q_living_income],MATCH(questions[[#This Row],[qno]],stable[qno],0))</f>
        <v>1</v>
      </c>
      <c r="AJ1586" s="98" t="b">
        <f>INDEX(stable[q_carbon],MATCH(questions[[#This Row],[qno]],stable[qno],0))</f>
        <v>1</v>
      </c>
      <c r="AK1586" s="98" t="b">
        <f>INDEX(stable[q_regen_ag],MATCH(questions[[#This Row],[qno]],stable[qno],0))</f>
        <v>1</v>
      </c>
      <c r="AL1586" s="98" t="b">
        <f>COUNTIFS(stable[qno],questions[[#This Row],[qno]])=1</f>
        <v>1</v>
      </c>
      <c r="AM1586" s="98" t="b">
        <f>OR(questions[[#This Row],[is_fixed]],questions[[#This Row],[is_localized]],questions[[#This Row],[is_supply_chain_dependent]])</f>
        <v>1</v>
      </c>
      <c r="AN1586" s="98" t="b">
        <f>COUNTIFS(questions[[#This Row],[is_automated]:[is_multi_select]],TRUE)=1</f>
        <v>1</v>
      </c>
      <c r="AO1586" s="98" t="b">
        <f>IF(questions[[#This Row],[is_fixed]],questions[[#This Row],[question]]=INDEX(stable[question],MATCH(questions[[#This Row],[qno]],stable[qno],0)),TRUE)</f>
        <v>1</v>
      </c>
      <c r="AP1586" s="98" t="str">
        <f>LEFT(questions[[#This Row],[question]],similarity_range)</f>
        <v>If no, what is the r</v>
      </c>
      <c r="AQ1586" s="98" t="str">
        <f>LEFT(INDEX(stable[question],MATCH(questions[[#This Row],[qno]],stable[qno],0)),similarity_range)</f>
        <v>If no, what is the r</v>
      </c>
      <c r="AR1586" s="98" t="b">
        <f>questions[[#This Row],[question_first_characters]]=questions[[#This Row],[stability_first_characters]]</f>
        <v>1</v>
      </c>
      <c r="AS1586" s="98" t="b">
        <f>IF(OR(questions[[#This Row],[is_single_select]],questions[[#This Row],[is_multi_select]]),NOT(ISBLANK(questions[[#This Row],[answer_opt_combined]])),TRUE)</f>
        <v>1</v>
      </c>
    </row>
    <row r="1587" spans="1:45" ht="15.75" customHeight="1" x14ac:dyDescent="0.25">
      <c r="A1587" s="9" t="str">
        <f>_xlfn.TEXTJOIN("_",TRUE,questions[[#This Row],[origin]:[qno]])</f>
        <v>Burundi_Arabica_IKAWA RES PROJECT_2026_4103</v>
      </c>
      <c r="B1587" s="9" t="s">
        <v>1057</v>
      </c>
      <c r="C1587" s="9" t="s">
        <v>59</v>
      </c>
      <c r="D1587" s="9" t="s">
        <v>1058</v>
      </c>
      <c r="E1587" s="33">
        <v>2026</v>
      </c>
      <c r="F1587" s="36" t="s">
        <v>155</v>
      </c>
      <c r="G1587" s="15" t="str">
        <f>INDEX(stable[question],MATCH(questions[[#This Row],[qno]],stable[qno],0))</f>
        <v>How many coffee plots are there that we can not visit, of the total coffee plots that you have?</v>
      </c>
      <c r="H1587" s="9" t="str" cm="1">
        <f t="array" ref="H1587">INDEX(stableR[question],MATCH(VALUE(questions[[#This Row],[qno]]),VALUE(stableR[qno]),0))</f>
        <v>Of your total coffee plots, how many cannot be visited during the survey?</v>
      </c>
      <c r="I1587" s="9" t="b" cm="1">
        <f t="array" ref="I1587">INDEX(stable[is_fixed],MATCH(VALUE(questions[[#This Row],[qno]]),VALUE(stable[qno]),0))</f>
        <v>1</v>
      </c>
      <c r="J1587" s="9" t="b" cm="1">
        <f t="array" ref="J1587">INDEX(stable[is_localized],MATCH(VALUE(questions[[#This Row],[qno]]),VALUE(stable[qno]),0))</f>
        <v>0</v>
      </c>
      <c r="K1587" s="9" t="b" cm="1">
        <f t="array" ref="K1587">INDEX(stable[is_supply_chain_dependent],MATCH(VALUE(questions[[#This Row],[qno]]),VALUE(stable[qno]),0))</f>
        <v>0</v>
      </c>
      <c r="L1587" s="9" t="b" cm="1">
        <f t="array" ref="L1587">INDEX(stable[is_mandatory],MATCH(VALUE(questions[[#This Row],[qno]]),VALUE(stable[qno]),0))</f>
        <v>0</v>
      </c>
      <c r="M1587" s="9" t="b" cm="1">
        <f t="array" ref="M1587">INDEX(stable[is_automated],MATCH(VALUE(questions[[#This Row],[qno]]),VALUE(stable[qno]),0))</f>
        <v>0</v>
      </c>
      <c r="N1587" s="32" t="b" cm="1">
        <f t="array" ref="N1587">INDEX(stable[is_free_text],MATCH(VALUE(questions[[#This Row],[qno]]),VALUE(stable[qno]),0))</f>
        <v>0</v>
      </c>
      <c r="O1587" s="9" t="b" cm="1">
        <f t="array" ref="O1587">INDEX(stable[is_numerical],MATCH(VALUE(questions[[#This Row],[qno]]),VALUE(stable[qno]),0))</f>
        <v>1</v>
      </c>
      <c r="P1587" s="9" t="b" cm="1">
        <f t="array" ref="P1587">INDEX(stable[is_single_select],MATCH(VALUE(questions[[#This Row],[qno]]),VALUE(stable[qno]),0))</f>
        <v>0</v>
      </c>
      <c r="Q1587" s="9" t="b" cm="1">
        <f t="array" ref="Q1587">INDEX(stable[is_multi_select],MATCH(VALUE(questions[[#This Row],[qno]]),VALUE(stable[qno]),0))</f>
        <v>0</v>
      </c>
      <c r="R1587" s="9" t="b" cm="1">
        <f t="array" ref="R1587">INDEX(stable[is_skip_logic],MATCH(VALUE(questions[[#This Row],[qno]]),VALUE(stable[qno]),0))</f>
        <v>0</v>
      </c>
      <c r="S1587" s="9" t="str">
        <f>_xlfn.TEXTJOIN(", ",TRUE,questions[[#This Row],[ans_opt_1]:[ans_opt_14]])</f>
        <v/>
      </c>
      <c r="AH1587" s="16" t="b">
        <f>INDEX(stable[q_standard],MATCH(questions[[#This Row],[qno]],stable[qno],0))</f>
        <v>0</v>
      </c>
      <c r="AI1587" s="16" t="b">
        <f>INDEX(stable[q_living_income],MATCH(questions[[#This Row],[qno]],stable[qno],0))</f>
        <v>1</v>
      </c>
      <c r="AJ1587" s="16" t="b">
        <f>INDEX(stable[q_carbon],MATCH(questions[[#This Row],[qno]],stable[qno],0))</f>
        <v>1</v>
      </c>
      <c r="AK1587" s="16" t="b">
        <f>INDEX(stable[q_regen_ag],MATCH(questions[[#This Row],[qno]],stable[qno],0))</f>
        <v>1</v>
      </c>
      <c r="AL1587" s="16" t="b">
        <f>COUNTIFS(stable[qno],questions[[#This Row],[qno]])=1</f>
        <v>1</v>
      </c>
      <c r="AM1587" s="16" t="b">
        <f>OR(questions[[#This Row],[is_fixed]],questions[[#This Row],[is_localized]],questions[[#This Row],[is_supply_chain_dependent]])</f>
        <v>1</v>
      </c>
      <c r="AN1587" s="16" t="b">
        <f>COUNTIFS(questions[[#This Row],[is_automated]:[is_multi_select]],TRUE)=1</f>
        <v>1</v>
      </c>
      <c r="AO1587" s="16" t="b">
        <f>IF(questions[[#This Row],[is_fixed]],questions[[#This Row],[question]]=INDEX(stable[question],MATCH(questions[[#This Row],[qno]],stable[qno],0)),TRUE)</f>
        <v>1</v>
      </c>
      <c r="AP1587" s="16" t="str">
        <f>LEFT(questions[[#This Row],[question]],similarity_range)</f>
        <v>How many coffee plot</v>
      </c>
      <c r="AQ1587" s="16" t="str">
        <f>LEFT(INDEX(stable[question],MATCH(questions[[#This Row],[qno]],stable[qno],0)),similarity_range)</f>
        <v>How many coffee plot</v>
      </c>
      <c r="AR1587" s="16" t="b">
        <f>questions[[#This Row],[question_first_characters]]=questions[[#This Row],[stability_first_characters]]</f>
        <v>1</v>
      </c>
      <c r="AS1587" s="16" t="b">
        <f>IF(OR(questions[[#This Row],[is_single_select]],questions[[#This Row],[is_multi_select]]),NOT(ISBLANK(questions[[#This Row],[answer_opt_combined]])),TRUE)</f>
        <v>1</v>
      </c>
    </row>
    <row r="1588" spans="1:45" ht="15.75" customHeight="1" x14ac:dyDescent="0.25">
      <c r="A1588" s="9" t="str">
        <f>_xlfn.TEXTJOIN("_",TRUE,questions[[#This Row],[origin]:[qno]])</f>
        <v>Burundi_Arabica_IKAWA RES PROJECT_2026_4104</v>
      </c>
      <c r="B1588" s="9" t="s">
        <v>1057</v>
      </c>
      <c r="C1588" s="9" t="s">
        <v>59</v>
      </c>
      <c r="D1588" s="9" t="s">
        <v>1058</v>
      </c>
      <c r="E1588" s="33">
        <v>2026</v>
      </c>
      <c r="F1588" s="36" t="s">
        <v>157</v>
      </c>
      <c r="G1588" s="15" t="s">
        <v>738</v>
      </c>
      <c r="H1588" s="9" t="str" cm="1">
        <f t="array" ref="H1588">INDEX(stableR[question],MATCH(VALUE(questions[[#This Row],[qno]]),VALUE(stableR[qno]),0))</f>
        <v>Of the coffee plots that cannot be visited, what is the total area of these plots? (in acres)</v>
      </c>
      <c r="I1588" s="9" t="b" cm="1">
        <f t="array" ref="I1588">INDEX(stable[is_fixed],MATCH(VALUE(questions[[#This Row],[qno]]),VALUE(stable[qno]),0))</f>
        <v>1</v>
      </c>
      <c r="J1588" s="9" t="b" cm="1">
        <f t="array" ref="J1588">INDEX(stable[is_localized],MATCH(VALUE(questions[[#This Row],[qno]]),VALUE(stable[qno]),0))</f>
        <v>0</v>
      </c>
      <c r="K1588" s="9" t="b" cm="1">
        <f t="array" ref="K1588">INDEX(stable[is_supply_chain_dependent],MATCH(VALUE(questions[[#This Row],[qno]]),VALUE(stable[qno]),0))</f>
        <v>0</v>
      </c>
      <c r="L1588" s="9" t="b" cm="1">
        <f t="array" ref="L1588">INDEX(stable[is_mandatory],MATCH(VALUE(questions[[#This Row],[qno]]),VALUE(stable[qno]),0))</f>
        <v>0</v>
      </c>
      <c r="M1588" s="9" t="b" cm="1">
        <f t="array" ref="M1588">INDEX(stable[is_automated],MATCH(VALUE(questions[[#This Row],[qno]]),VALUE(stable[qno]),0))</f>
        <v>0</v>
      </c>
      <c r="N1588" s="32" t="b" cm="1">
        <f t="array" ref="N1588">INDEX(stable[is_free_text],MATCH(VALUE(questions[[#This Row],[qno]]),VALUE(stable[qno]),0))</f>
        <v>0</v>
      </c>
      <c r="O1588" s="9" t="b" cm="1">
        <f t="array" ref="O1588">INDEX(stable[is_numerical],MATCH(VALUE(questions[[#This Row],[qno]]),VALUE(stable[qno]),0))</f>
        <v>1</v>
      </c>
      <c r="P1588" s="9" t="b" cm="1">
        <f t="array" ref="P1588">INDEX(stable[is_single_select],MATCH(VALUE(questions[[#This Row],[qno]]),VALUE(stable[qno]),0))</f>
        <v>0</v>
      </c>
      <c r="Q1588" s="9" t="b" cm="1">
        <f t="array" ref="Q1588">INDEX(stable[is_multi_select],MATCH(VALUE(questions[[#This Row],[qno]]),VALUE(stable[qno]),0))</f>
        <v>0</v>
      </c>
      <c r="R1588" s="9" t="b" cm="1">
        <f t="array" ref="R1588">INDEX(stable[is_skip_logic],MATCH(VALUE(questions[[#This Row],[qno]]),VALUE(stable[qno]),0))</f>
        <v>0</v>
      </c>
      <c r="S1588" s="9" t="str">
        <f>_xlfn.TEXTJOIN(", ",TRUE,questions[[#This Row],[ans_opt_1]:[ans_opt_14]])</f>
        <v/>
      </c>
      <c r="AH1588" s="16" t="b">
        <f>INDEX(stable[q_standard],MATCH(questions[[#This Row],[qno]],stable[qno],0))</f>
        <v>0</v>
      </c>
      <c r="AI1588" s="16" t="b">
        <f>INDEX(stable[q_living_income],MATCH(questions[[#This Row],[qno]],stable[qno],0))</f>
        <v>1</v>
      </c>
      <c r="AJ1588" s="16" t="b">
        <f>INDEX(stable[q_carbon],MATCH(questions[[#This Row],[qno]],stable[qno],0))</f>
        <v>1</v>
      </c>
      <c r="AK1588" s="16" t="b">
        <f>INDEX(stable[q_regen_ag],MATCH(questions[[#This Row],[qno]],stable[qno],0))</f>
        <v>1</v>
      </c>
      <c r="AL1588" s="16" t="b">
        <f>COUNTIFS(stable[qno],questions[[#This Row],[qno]])=1</f>
        <v>1</v>
      </c>
      <c r="AM1588" s="16" t="b">
        <f>OR(questions[[#This Row],[is_fixed]],questions[[#This Row],[is_localized]],questions[[#This Row],[is_supply_chain_dependent]])</f>
        <v>1</v>
      </c>
      <c r="AN1588" s="16" t="b">
        <f>COUNTIFS(questions[[#This Row],[is_automated]:[is_multi_select]],TRUE)=1</f>
        <v>1</v>
      </c>
      <c r="AO1588" s="16" t="b">
        <f>IF(questions[[#This Row],[is_fixed]],questions[[#This Row],[question]]=INDEX(stable[question],MATCH(questions[[#This Row],[qno]],stable[qno],0)),TRUE)</f>
        <v>0</v>
      </c>
      <c r="AP1588" s="16" t="str">
        <f>LEFT(questions[[#This Row],[question]],similarity_range)</f>
        <v>What is the total ar</v>
      </c>
      <c r="AQ1588" s="16" t="str">
        <f>LEFT(INDEX(stable[question],MATCH(questions[[#This Row],[qno]],stable[qno],0)),similarity_range)</f>
        <v>What is the total ar</v>
      </c>
      <c r="AR1588" s="16" t="b">
        <f>questions[[#This Row],[question_first_characters]]=questions[[#This Row],[stability_first_characters]]</f>
        <v>1</v>
      </c>
      <c r="AS1588" s="16" t="b">
        <f>IF(OR(questions[[#This Row],[is_single_select]],questions[[#This Row],[is_multi_select]]),NOT(ISBLANK(questions[[#This Row],[answer_opt_combined]])),TRUE)</f>
        <v>1</v>
      </c>
    </row>
    <row r="1589" spans="1:45" s="77" customFormat="1" ht="15.75" customHeight="1" x14ac:dyDescent="0.25">
      <c r="A1589" s="77" t="str">
        <f>_xlfn.TEXTJOIN("_",TRUE,questions[[#This Row],[origin]:[qno]])</f>
        <v>Burundi_Arabica_IKAWA RES PROJECT_2026_5000</v>
      </c>
      <c r="B1589" s="77" t="s">
        <v>1057</v>
      </c>
      <c r="C1589" s="77" t="s">
        <v>59</v>
      </c>
      <c r="D1589" s="77" t="s">
        <v>1058</v>
      </c>
      <c r="E1589" s="77">
        <v>2026</v>
      </c>
      <c r="F1589" s="105" t="s">
        <v>159</v>
      </c>
      <c r="G1589" s="78" t="s">
        <v>739</v>
      </c>
      <c r="H1589" s="9" t="str" cm="1">
        <f t="array" ref="H1589">INDEX(stableR[question],MATCH(VALUE(questions[[#This Row],[qno]]),VALUE(stableR[qno]),0))</f>
        <v>Did you use synthetic fertilizers for your coffee last year?</v>
      </c>
      <c r="I1589" s="9" t="b" cm="1">
        <f t="array" ref="I1589">INDEX(stable[is_fixed],MATCH(VALUE(questions[[#This Row],[qno]]),VALUE(stable[qno]),0))</f>
        <v>1</v>
      </c>
      <c r="J1589" s="9" t="b" cm="1">
        <f t="array" ref="J1589">INDEX(stable[is_localized],MATCH(VALUE(questions[[#This Row],[qno]]),VALUE(stable[qno]),0))</f>
        <v>0</v>
      </c>
      <c r="K1589" s="9" t="b" cm="1">
        <f t="array" ref="K1589">INDEX(stable[is_supply_chain_dependent],MATCH(VALUE(questions[[#This Row],[qno]]),VALUE(stable[qno]),0))</f>
        <v>0</v>
      </c>
      <c r="L1589" s="9" t="b" cm="1">
        <f t="array" ref="L1589">INDEX(stable[is_mandatory],MATCH(VALUE(questions[[#This Row],[qno]]),VALUE(stable[qno]),0))</f>
        <v>1</v>
      </c>
      <c r="M1589" s="9" t="b" cm="1">
        <f t="array" ref="M1589">INDEX(stable[is_automated],MATCH(VALUE(questions[[#This Row],[qno]]),VALUE(stable[qno]),0))</f>
        <v>0</v>
      </c>
      <c r="N1589" s="32" t="b" cm="1">
        <f t="array" ref="N1589">INDEX(stable[is_free_text],MATCH(VALUE(questions[[#This Row],[qno]]),VALUE(stable[qno]),0))</f>
        <v>0</v>
      </c>
      <c r="O1589" s="9" t="b" cm="1">
        <f t="array" ref="O1589">INDEX(stable[is_numerical],MATCH(VALUE(questions[[#This Row],[qno]]),VALUE(stable[qno]),0))</f>
        <v>0</v>
      </c>
      <c r="P1589" s="77" t="b" cm="1">
        <f t="array" ref="P1589">INDEX(stable[is_single_select],MATCH(VALUE(questions[[#This Row],[qno]]),VALUE(stable[qno]),0))</f>
        <v>1</v>
      </c>
      <c r="Q1589" s="77" t="b" cm="1">
        <f t="array" ref="Q1589">INDEX(stable[is_multi_select],MATCH(VALUE(questions[[#This Row],[qno]]),VALUE(stable[qno]),0))</f>
        <v>0</v>
      </c>
      <c r="R1589" s="77" t="b" cm="1">
        <f t="array" ref="R1589">INDEX(stable[is_skip_logic],MATCH(VALUE(questions[[#This Row],[qno]]),VALUE(stable[qno]),0))</f>
        <v>1</v>
      </c>
      <c r="S1589" s="77" t="str">
        <f>_xlfn.TEXTJOIN(", ",TRUE,questions[[#This Row],[ans_opt_1]:[ans_opt_14]])</f>
        <v>Yes, No</v>
      </c>
      <c r="T1589" s="77" t="s">
        <v>149</v>
      </c>
      <c r="U1589" s="77" t="s">
        <v>119</v>
      </c>
      <c r="AH1589" s="98" t="b">
        <f>INDEX(stable[q_standard],MATCH(questions[[#This Row],[qno]],stable[qno],0))</f>
        <v>0</v>
      </c>
      <c r="AI1589" s="98" t="b">
        <f>INDEX(stable[q_living_income],MATCH(questions[[#This Row],[qno]],stable[qno],0))</f>
        <v>1</v>
      </c>
      <c r="AJ1589" s="98" t="b">
        <f>INDEX(stable[q_carbon],MATCH(questions[[#This Row],[qno]],stable[qno],0))</f>
        <v>1</v>
      </c>
      <c r="AK1589" s="98" t="b">
        <f>INDEX(stable[q_regen_ag],MATCH(questions[[#This Row],[qno]],stable[qno],0))</f>
        <v>0</v>
      </c>
      <c r="AL1589" s="98" t="b">
        <f>COUNTIFS(stable[qno],questions[[#This Row],[qno]])=1</f>
        <v>1</v>
      </c>
      <c r="AM1589" s="98" t="b">
        <f>OR(questions[[#This Row],[is_fixed]],questions[[#This Row],[is_localized]],questions[[#This Row],[is_supply_chain_dependent]])</f>
        <v>1</v>
      </c>
      <c r="AN1589" s="98" t="b">
        <f>COUNTIFS(questions[[#This Row],[is_automated]:[is_multi_select]],TRUE)=1</f>
        <v>1</v>
      </c>
      <c r="AO1589" s="98" t="b">
        <f>IF(questions[[#This Row],[is_fixed]],questions[[#This Row],[question]]=INDEX(stable[question],MATCH(questions[[#This Row],[qno]],stable[qno],0)),TRUE)</f>
        <v>1</v>
      </c>
      <c r="AP1589" s="98" t="str">
        <f>LEFT(questions[[#This Row],[question]],similarity_range)</f>
        <v>Did you use syntheti</v>
      </c>
      <c r="AQ1589" s="98" t="str">
        <f>LEFT(INDEX(stable[question],MATCH(questions[[#This Row],[qno]],stable[qno],0)),similarity_range)</f>
        <v>Did you use syntheti</v>
      </c>
      <c r="AR1589" s="98" t="b">
        <f>questions[[#This Row],[question_first_characters]]=questions[[#This Row],[stability_first_characters]]</f>
        <v>1</v>
      </c>
      <c r="AS1589" s="98" t="b">
        <f>IF(OR(questions[[#This Row],[is_single_select]],questions[[#This Row],[is_multi_select]]),NOT(ISBLANK(questions[[#This Row],[answer_opt_combined]])),TRUE)</f>
        <v>1</v>
      </c>
    </row>
    <row r="1590" spans="1:45" ht="15.75" customHeight="1" x14ac:dyDescent="0.25">
      <c r="A1590" s="9" t="str">
        <f>_xlfn.TEXTJOIN("_",TRUE,questions[[#This Row],[origin]:[qno]])</f>
        <v>Burundi_Arabica_IKAWA RES PROJECT_2026_5001</v>
      </c>
      <c r="B1590" s="9" t="s">
        <v>1057</v>
      </c>
      <c r="C1590" s="9" t="s">
        <v>59</v>
      </c>
      <c r="D1590" s="9" t="s">
        <v>1058</v>
      </c>
      <c r="E1590" s="33">
        <v>2026</v>
      </c>
      <c r="F1590" s="36" t="s">
        <v>161</v>
      </c>
      <c r="G1590" s="15" t="s">
        <v>162</v>
      </c>
      <c r="H1590" s="9" t="str" cm="1">
        <f t="array" ref="H1590">INDEX(stableR[question],MATCH(VALUE(questions[[#This Row],[qno]]),VALUE(stableR[qno]),0))</f>
        <v>If yes, how many types of synthetic fertilizer did you use last year?</v>
      </c>
      <c r="I1590" s="9" t="b" cm="1">
        <f t="array" ref="I1590">INDEX(stable[is_fixed],MATCH(VALUE(questions[[#This Row],[qno]]),VALUE(stable[qno]),0))</f>
        <v>1</v>
      </c>
      <c r="J1590" s="9" t="b" cm="1">
        <f t="array" ref="J1590">INDEX(stable[is_localized],MATCH(VALUE(questions[[#This Row],[qno]]),VALUE(stable[qno]),0))</f>
        <v>0</v>
      </c>
      <c r="K1590" s="9" t="b" cm="1">
        <f t="array" ref="K1590">INDEX(stable[is_supply_chain_dependent],MATCH(VALUE(questions[[#This Row],[qno]]),VALUE(stable[qno]),0))</f>
        <v>0</v>
      </c>
      <c r="L1590" s="9" t="b" cm="1">
        <f t="array" ref="L1590">INDEX(stable[is_mandatory],MATCH(VALUE(questions[[#This Row],[qno]]),VALUE(stable[qno]),0))</f>
        <v>0</v>
      </c>
      <c r="M1590" s="9" t="b" cm="1">
        <f t="array" ref="M1590">INDEX(stable[is_automated],MATCH(VALUE(questions[[#This Row],[qno]]),VALUE(stable[qno]),0))</f>
        <v>0</v>
      </c>
      <c r="N1590" s="32" t="b" cm="1">
        <f t="array" ref="N1590">INDEX(stable[is_free_text],MATCH(VALUE(questions[[#This Row],[qno]]),VALUE(stable[qno]),0))</f>
        <v>0</v>
      </c>
      <c r="O1590" s="9" t="b" cm="1">
        <f t="array" ref="O1590">INDEX(stable[is_numerical],MATCH(VALUE(questions[[#This Row],[qno]]),VALUE(stable[qno]),0))</f>
        <v>1</v>
      </c>
      <c r="P1590" s="9" t="b" cm="1">
        <f t="array" ref="P1590">INDEX(stable[is_single_select],MATCH(VALUE(questions[[#This Row],[qno]]),VALUE(stable[qno]),0))</f>
        <v>0</v>
      </c>
      <c r="Q1590" s="9" t="b" cm="1">
        <f t="array" ref="Q1590">INDEX(stable[is_multi_select],MATCH(VALUE(questions[[#This Row],[qno]]),VALUE(stable[qno]),0))</f>
        <v>0</v>
      </c>
      <c r="R1590" s="9" t="b" cm="1">
        <f t="array" ref="R1590">INDEX(stable[is_skip_logic],MATCH(VALUE(questions[[#This Row],[qno]]),VALUE(stable[qno]),0))</f>
        <v>1</v>
      </c>
      <c r="S1590" s="9" t="str">
        <f>_xlfn.TEXTJOIN(", ",TRUE,questions[[#This Row],[ans_opt_1]:[ans_opt_14]])</f>
        <v/>
      </c>
      <c r="AH1590" s="16" t="b">
        <f>INDEX(stable[q_standard],MATCH(questions[[#This Row],[qno]],stable[qno],0))</f>
        <v>0</v>
      </c>
      <c r="AI1590" s="16" t="b">
        <f>INDEX(stable[q_living_income],MATCH(questions[[#This Row],[qno]],stable[qno],0))</f>
        <v>1</v>
      </c>
      <c r="AJ1590" s="16" t="b">
        <f>INDEX(stable[q_carbon],MATCH(questions[[#This Row],[qno]],stable[qno],0))</f>
        <v>1</v>
      </c>
      <c r="AK1590" s="16" t="b">
        <f>INDEX(stable[q_regen_ag],MATCH(questions[[#This Row],[qno]],stable[qno],0))</f>
        <v>0</v>
      </c>
      <c r="AL1590" s="16" t="b">
        <f>COUNTIFS(stable[qno],questions[[#This Row],[qno]])=1</f>
        <v>1</v>
      </c>
      <c r="AM1590" s="16" t="b">
        <f>OR(questions[[#This Row],[is_fixed]],questions[[#This Row],[is_localized]],questions[[#This Row],[is_supply_chain_dependent]])</f>
        <v>1</v>
      </c>
      <c r="AN1590" s="16" t="b">
        <f>COUNTIFS(questions[[#This Row],[is_automated]:[is_multi_select]],TRUE)=1</f>
        <v>1</v>
      </c>
      <c r="AO1590" s="16" t="b">
        <f>IF(questions[[#This Row],[is_fixed]],questions[[#This Row],[question]]=INDEX(stable[question],MATCH(questions[[#This Row],[qno]],stable[qno],0)),TRUE)</f>
        <v>1</v>
      </c>
      <c r="AP1590" s="16" t="str">
        <f>LEFT(questions[[#This Row],[question]],similarity_range)</f>
        <v>If yes, how many typ</v>
      </c>
      <c r="AQ1590" s="16" t="str">
        <f>LEFT(INDEX(stable[question],MATCH(questions[[#This Row],[qno]],stable[qno],0)),similarity_range)</f>
        <v>If yes, how many typ</v>
      </c>
      <c r="AR1590" s="16" t="b">
        <f>questions[[#This Row],[question_first_characters]]=questions[[#This Row],[stability_first_characters]]</f>
        <v>1</v>
      </c>
      <c r="AS1590" s="16" t="b">
        <f>IF(OR(questions[[#This Row],[is_single_select]],questions[[#This Row],[is_multi_select]]),NOT(ISBLANK(questions[[#This Row],[answer_opt_combined]])),TRUE)</f>
        <v>1</v>
      </c>
    </row>
    <row r="1591" spans="1:45" ht="15.75" customHeight="1" x14ac:dyDescent="0.25">
      <c r="A1591" s="9" t="str">
        <f>_xlfn.TEXTJOIN("_",TRUE,questions[[#This Row],[origin]:[qno]])</f>
        <v>Burundi_Arabica_IKAWA RES PROJECT_2026_5100</v>
      </c>
      <c r="B1591" s="9" t="s">
        <v>1057</v>
      </c>
      <c r="C1591" s="9" t="s">
        <v>59</v>
      </c>
      <c r="D1591" s="9" t="s">
        <v>1058</v>
      </c>
      <c r="E1591" s="33">
        <v>2026</v>
      </c>
      <c r="F1591" s="36" t="s">
        <v>163</v>
      </c>
      <c r="G1591" s="15" t="s">
        <v>1016</v>
      </c>
      <c r="H1591" s="9" t="str" cm="1">
        <f t="array" ref="H1591">INDEX(stableR[question],MATCH(VALUE(questions[[#This Row],[qno]]),VALUE(stableR[qno]),0))</f>
        <v>What was the name of the synthetic fertilizer that you used most, last year?</v>
      </c>
      <c r="I1591" s="9" t="b" cm="1">
        <f t="array" ref="I1591">INDEX(stable[is_fixed],MATCH(VALUE(questions[[#This Row],[qno]]),VALUE(stable[qno]),0))</f>
        <v>0</v>
      </c>
      <c r="J1591" s="9" t="b" cm="1">
        <f t="array" ref="J1591">INDEX(stable[is_localized],MATCH(VALUE(questions[[#This Row],[qno]]),VALUE(stable[qno]),0))</f>
        <v>1</v>
      </c>
      <c r="K1591" s="9" t="b" cm="1">
        <f t="array" ref="K1591">INDEX(stable[is_supply_chain_dependent],MATCH(VALUE(questions[[#This Row],[qno]]),VALUE(stable[qno]),0))</f>
        <v>0</v>
      </c>
      <c r="L1591" s="9" t="b" cm="1">
        <f t="array" ref="L1591">INDEX(stable[is_mandatory],MATCH(VALUE(questions[[#This Row],[qno]]),VALUE(stable[qno]),0))</f>
        <v>0</v>
      </c>
      <c r="M1591" s="9" t="b" cm="1">
        <f t="array" ref="M1591">INDEX(stable[is_automated],MATCH(VALUE(questions[[#This Row],[qno]]),VALUE(stable[qno]),0))</f>
        <v>0</v>
      </c>
      <c r="N1591" s="9" t="b" cm="1">
        <f t="array" ref="N1591">INDEX(stable[is_free_text],MATCH(VALUE(questions[[#This Row],[qno]]),VALUE(stable[qno]),0))</f>
        <v>0</v>
      </c>
      <c r="O1591" s="9" t="b" cm="1">
        <f t="array" ref="O1591">INDEX(stable[is_numerical],MATCH(VALUE(questions[[#This Row],[qno]]),VALUE(stable[qno]),0))</f>
        <v>0</v>
      </c>
      <c r="P1591" s="9" t="b" cm="1">
        <f t="array" ref="P1591">INDEX(stable[is_single_select],MATCH(VALUE(questions[[#This Row],[qno]]),VALUE(stable[qno]),0))</f>
        <v>1</v>
      </c>
      <c r="Q1591" s="9" t="b" cm="1">
        <f t="array" ref="Q1591">INDEX(stable[is_multi_select],MATCH(VALUE(questions[[#This Row],[qno]]),VALUE(stable[qno]),0))</f>
        <v>0</v>
      </c>
      <c r="R1591" s="9" t="b" cm="1">
        <f t="array" ref="R1591">INDEX(stable[is_skip_logic],MATCH(VALUE(questions[[#This Row],[qno]]),VALUE(stable[qno]),0))</f>
        <v>1</v>
      </c>
      <c r="S1591" s="9" t="str">
        <f>_xlfn.TEXTJOIN(", ",TRUE,questions[[#This Row],[ans_opt_1]:[ans_opt_14]])</f>
        <v>NPK 26-6-12 - "special", Lavender NPK 24:24:18, NPK 22:22:12, NPK 12:18:14, NPK 20:20:10+Te, NPK 14:13:18+Te, NPK 17-17-17, Yara Mila Java (NPK 22:6:12), CAN (calcium ammonium nitrate, 27% N), Urea (46% N), Ammonium sulphate (21% N), DAP (di-ammonium phosphate, 18% N), Zinc Boron, Other</v>
      </c>
      <c r="T1591" s="33" t="s">
        <v>954</v>
      </c>
      <c r="U1591" s="9" t="s">
        <v>955</v>
      </c>
      <c r="V1591" s="33" t="s">
        <v>956</v>
      </c>
      <c r="W1591" s="63" t="s">
        <v>957</v>
      </c>
      <c r="X1591" s="63" t="s">
        <v>958</v>
      </c>
      <c r="Y1591" s="9" t="s">
        <v>959</v>
      </c>
      <c r="Z1591" s="33" t="s">
        <v>742</v>
      </c>
      <c r="AA1591" s="33" t="s">
        <v>1017</v>
      </c>
      <c r="AB1591" s="33" t="s">
        <v>837</v>
      </c>
      <c r="AC1591" s="33" t="s">
        <v>743</v>
      </c>
      <c r="AD1591" s="33" t="s">
        <v>838</v>
      </c>
      <c r="AE1591" s="33" t="s">
        <v>744</v>
      </c>
      <c r="AF1591" s="9" t="s">
        <v>960</v>
      </c>
      <c r="AG1591" s="33" t="s">
        <v>112</v>
      </c>
      <c r="AH1591" s="99" t="b">
        <f>INDEX(stable[q_standard],MATCH(questions[[#This Row],[qno]],stable[qno],0))</f>
        <v>0</v>
      </c>
      <c r="AI1591" s="99" t="b">
        <f>INDEX(stable[q_living_income],MATCH(questions[[#This Row],[qno]],stable[qno],0))</f>
        <v>1</v>
      </c>
      <c r="AJ1591" s="99" t="b">
        <f>INDEX(stable[q_carbon],MATCH(questions[[#This Row],[qno]],stable[qno],0))</f>
        <v>1</v>
      </c>
      <c r="AK1591" s="99" t="b">
        <f>INDEX(stable[q_regen_ag],MATCH(questions[[#This Row],[qno]],stable[qno],0))</f>
        <v>0</v>
      </c>
      <c r="AL1591" s="16" t="b">
        <f>COUNTIFS(stable[qno],questions[[#This Row],[qno]])=1</f>
        <v>1</v>
      </c>
      <c r="AM1591" s="16" t="b">
        <f>OR(questions[[#This Row],[is_fixed]],questions[[#This Row],[is_localized]],questions[[#This Row],[is_supply_chain_dependent]])</f>
        <v>1</v>
      </c>
      <c r="AN1591" s="16" t="b">
        <f>COUNTIFS(questions[[#This Row],[is_automated]:[is_multi_select]],TRUE)=1</f>
        <v>1</v>
      </c>
      <c r="AO1591" s="16" t="b">
        <f>IF(questions[[#This Row],[is_fixed]],questions[[#This Row],[question]]=INDEX(stable[question],MATCH(questions[[#This Row],[qno]],stable[qno],0)),TRUE)</f>
        <v>1</v>
      </c>
      <c r="AP1591" s="16" t="str">
        <f>LEFT(questions[[#This Row],[question]],similarity_range)</f>
        <v xml:space="preserve">What is the name of </v>
      </c>
      <c r="AQ1591" s="16" t="str">
        <f>LEFT(INDEX(stable[question],MATCH(questions[[#This Row],[qno]],stable[qno],0)),similarity_range)</f>
        <v xml:space="preserve">What is the name of </v>
      </c>
      <c r="AR1591" s="16" t="b">
        <f>questions[[#This Row],[question_first_characters]]=questions[[#This Row],[stability_first_characters]]</f>
        <v>1</v>
      </c>
      <c r="AS1591" s="16" t="b">
        <f>IF(OR(questions[[#This Row],[is_single_select]],questions[[#This Row],[is_multi_select]]),NOT(ISBLANK(questions[[#This Row],[answer_opt_combined]])),TRUE)</f>
        <v>1</v>
      </c>
    </row>
    <row r="1592" spans="1:45" ht="15.75" customHeight="1" x14ac:dyDescent="0.25">
      <c r="A1592" s="9" t="str">
        <f>_xlfn.TEXTJOIN("_",TRUE,questions[[#This Row],[origin]:[qno]])</f>
        <v>Burundi_Arabica_IKAWA RES PROJECT_2026_5101</v>
      </c>
      <c r="B1592" s="9" t="s">
        <v>1057</v>
      </c>
      <c r="C1592" s="9" t="s">
        <v>59</v>
      </c>
      <c r="D1592" s="9" t="s">
        <v>1058</v>
      </c>
      <c r="E1592" s="33">
        <v>2026</v>
      </c>
      <c r="F1592" s="36" t="s">
        <v>165</v>
      </c>
      <c r="G1592" s="37" t="s">
        <v>745</v>
      </c>
      <c r="H1592" s="9" t="str" cm="1">
        <f t="array" ref="H1592">INDEX(stableR[question],MATCH(VALUE(questions[[#This Row],[qno]]),VALUE(stableR[qno]),0))</f>
        <v>What was the total quantity of the synthetic fertilizer that you used most, last year? (Kg)</v>
      </c>
      <c r="I1592" s="9" t="b" cm="1">
        <f t="array" ref="I1592">INDEX(stable[is_fixed],MATCH(VALUE(questions[[#This Row],[qno]]),VALUE(stable[qno]),0))</f>
        <v>0</v>
      </c>
      <c r="J1592" s="9" t="b" cm="1">
        <f t="array" ref="J1592">INDEX(stable[is_localized],MATCH(VALUE(questions[[#This Row],[qno]]),VALUE(stable[qno]),0))</f>
        <v>1</v>
      </c>
      <c r="K1592" s="9" t="b" cm="1">
        <f t="array" ref="K1592">INDEX(stable[is_supply_chain_dependent],MATCH(VALUE(questions[[#This Row],[qno]]),VALUE(stable[qno]),0))</f>
        <v>0</v>
      </c>
      <c r="L1592" s="9" t="b" cm="1">
        <f t="array" ref="L1592">INDEX(stable[is_mandatory],MATCH(VALUE(questions[[#This Row],[qno]]),VALUE(stable[qno]),0))</f>
        <v>0</v>
      </c>
      <c r="M1592" s="9" t="b" cm="1">
        <f t="array" ref="M1592">INDEX(stable[is_automated],MATCH(VALUE(questions[[#This Row],[qno]]),VALUE(stable[qno]),0))</f>
        <v>0</v>
      </c>
      <c r="N1592" s="9" t="b" cm="1">
        <f t="array" ref="N1592">INDEX(stable[is_free_text],MATCH(VALUE(questions[[#This Row],[qno]]),VALUE(stable[qno]),0))</f>
        <v>0</v>
      </c>
      <c r="O1592" s="9" t="b" cm="1">
        <f t="array" ref="O1592">INDEX(stable[is_numerical],MATCH(VALUE(questions[[#This Row],[qno]]),VALUE(stable[qno]),0))</f>
        <v>1</v>
      </c>
      <c r="P1592" s="9" t="b" cm="1">
        <f t="array" ref="P1592">INDEX(stable[is_single_select],MATCH(VALUE(questions[[#This Row],[qno]]),VALUE(stable[qno]),0))</f>
        <v>0</v>
      </c>
      <c r="Q1592" s="9" t="b" cm="1">
        <f t="array" ref="Q1592">INDEX(stable[is_multi_select],MATCH(VALUE(questions[[#This Row],[qno]]),VALUE(stable[qno]),0))</f>
        <v>0</v>
      </c>
      <c r="R1592" s="9" t="b" cm="1">
        <f t="array" ref="R1592">INDEX(stable[is_skip_logic],MATCH(VALUE(questions[[#This Row],[qno]]),VALUE(stable[qno]),0))</f>
        <v>1</v>
      </c>
      <c r="S1592" s="9" t="str">
        <f>_xlfn.TEXTJOIN(", ",TRUE,questions[[#This Row],[ans_opt_1]:[ans_opt_14]])</f>
        <v/>
      </c>
      <c r="AH1592" s="16" t="b">
        <f>INDEX(stable[q_standard],MATCH(questions[[#This Row],[qno]],stable[qno],0))</f>
        <v>0</v>
      </c>
      <c r="AI1592" s="16" t="b">
        <f>INDEX(stable[q_living_income],MATCH(questions[[#This Row],[qno]],stable[qno],0))</f>
        <v>1</v>
      </c>
      <c r="AJ1592" s="16" t="b">
        <f>INDEX(stable[q_carbon],MATCH(questions[[#This Row],[qno]],stable[qno],0))</f>
        <v>1</v>
      </c>
      <c r="AK1592" s="16" t="b">
        <f>INDEX(stable[q_regen_ag],MATCH(questions[[#This Row],[qno]],stable[qno],0))</f>
        <v>0</v>
      </c>
      <c r="AL1592" s="16" t="b">
        <f>COUNTIFS(stable[qno],questions[[#This Row],[qno]])=1</f>
        <v>1</v>
      </c>
      <c r="AM1592" s="16" t="b">
        <f>OR(questions[[#This Row],[is_fixed]],questions[[#This Row],[is_localized]],questions[[#This Row],[is_supply_chain_dependent]])</f>
        <v>1</v>
      </c>
      <c r="AN1592" s="16" t="b">
        <f>COUNTIFS(questions[[#This Row],[is_automated]:[is_multi_select]],TRUE)=1</f>
        <v>1</v>
      </c>
      <c r="AO1592" s="16" t="b">
        <f>IF(questions[[#This Row],[is_fixed]],questions[[#This Row],[question]]=INDEX(stable[question],MATCH(questions[[#This Row],[qno]],stable[qno],0)),TRUE)</f>
        <v>1</v>
      </c>
      <c r="AP1592" s="16" t="str">
        <f>LEFT(questions[[#This Row],[question]],similarity_range)</f>
        <v>What was the total q</v>
      </c>
      <c r="AQ1592" s="16" t="str">
        <f>LEFT(INDEX(stable[question],MATCH(questions[[#This Row],[qno]],stable[qno],0)),similarity_range)</f>
        <v>What was the total q</v>
      </c>
      <c r="AR1592" s="16" t="b">
        <f>questions[[#This Row],[question_first_characters]]=questions[[#This Row],[stability_first_characters]]</f>
        <v>1</v>
      </c>
      <c r="AS1592" s="16" t="b">
        <f>IF(OR(questions[[#This Row],[is_single_select]],questions[[#This Row],[is_multi_select]]),NOT(ISBLANK(questions[[#This Row],[answer_opt_combined]])),TRUE)</f>
        <v>1</v>
      </c>
    </row>
    <row r="1593" spans="1:45" ht="15.75" customHeight="1" x14ac:dyDescent="0.25">
      <c r="A1593" s="9" t="str">
        <f>_xlfn.TEXTJOIN("_",TRUE,questions[[#This Row],[origin]:[qno]])</f>
        <v>Burundi_Arabica_IKAWA RES PROJECT_2026_5102</v>
      </c>
      <c r="B1593" s="9" t="s">
        <v>1057</v>
      </c>
      <c r="C1593" s="9" t="s">
        <v>59</v>
      </c>
      <c r="D1593" s="9" t="s">
        <v>1058</v>
      </c>
      <c r="E1593" s="33">
        <v>2026</v>
      </c>
      <c r="F1593" s="36" t="s">
        <v>560</v>
      </c>
      <c r="G1593" s="37" t="s">
        <v>746</v>
      </c>
      <c r="H1593" s="9" t="str" cm="1">
        <f t="array" ref="H1593">INDEX(stableR[question],MATCH(VALUE(questions[[#This Row],[qno]]),VALUE(stableR[qno]),0))</f>
        <v>What was the unit of the synthetic fertilizer type that you used most? (bags, kg)</v>
      </c>
      <c r="I1593" s="9" t="b" cm="1">
        <f t="array" ref="I1593">INDEX(stable[is_fixed],MATCH(VALUE(questions[[#This Row],[qno]]),VALUE(stable[qno]),0))</f>
        <v>0</v>
      </c>
      <c r="J1593" s="9" t="b" cm="1">
        <f t="array" ref="J1593">INDEX(stable[is_localized],MATCH(VALUE(questions[[#This Row],[qno]]),VALUE(stable[qno]),0))</f>
        <v>1</v>
      </c>
      <c r="K1593" s="9" t="b" cm="1">
        <f t="array" ref="K1593">INDEX(stable[is_supply_chain_dependent],MATCH(VALUE(questions[[#This Row],[qno]]),VALUE(stable[qno]),0))</f>
        <v>0</v>
      </c>
      <c r="L1593" s="9" t="b" cm="1">
        <f t="array" ref="L1593">INDEX(stable[is_mandatory],MATCH(VALUE(questions[[#This Row],[qno]]),VALUE(stable[qno]),0))</f>
        <v>0</v>
      </c>
      <c r="M1593" s="9" t="b" cm="1">
        <f t="array" ref="M1593">INDEX(stable[is_automated],MATCH(VALUE(questions[[#This Row],[qno]]),VALUE(stable[qno]),0))</f>
        <v>0</v>
      </c>
      <c r="N1593" s="9" t="b" cm="1">
        <f t="array" ref="N1593">INDEX(stable[is_free_text],MATCH(VALUE(questions[[#This Row],[qno]]),VALUE(stable[qno]),0))</f>
        <v>0</v>
      </c>
      <c r="O1593" s="9" t="b" cm="1">
        <f t="array" ref="O1593">INDEX(stable[is_numerical],MATCH(VALUE(questions[[#This Row],[qno]]),VALUE(stable[qno]),0))</f>
        <v>0</v>
      </c>
      <c r="P1593" s="9" t="b" cm="1">
        <f t="array" ref="P1593">INDEX(stable[is_single_select],MATCH(VALUE(questions[[#This Row],[qno]]),VALUE(stable[qno]),0))</f>
        <v>1</v>
      </c>
      <c r="Q1593" s="9" t="b" cm="1">
        <f t="array" ref="Q1593">INDEX(stable[is_multi_select],MATCH(VALUE(questions[[#This Row],[qno]]),VALUE(stable[qno]),0))</f>
        <v>0</v>
      </c>
      <c r="R1593" s="9" t="b" cm="1">
        <f t="array" ref="R1593">INDEX(stable[is_skip_logic],MATCH(VALUE(questions[[#This Row],[qno]]),VALUE(stable[qno]),0))</f>
        <v>1</v>
      </c>
      <c r="S1593" s="9" t="str">
        <f>_xlfn.TEXTJOIN(", ",TRUE,questions[[#This Row],[ans_opt_1]:[ans_opt_14]])</f>
        <v>Kg</v>
      </c>
      <c r="T1593" s="9" t="s">
        <v>1018</v>
      </c>
      <c r="AH1593" s="16" t="b">
        <f>INDEX(stable[q_standard],MATCH(questions[[#This Row],[qno]],stable[qno],0))</f>
        <v>0</v>
      </c>
      <c r="AI1593" s="16" t="b">
        <f>INDEX(stable[q_living_income],MATCH(questions[[#This Row],[qno]],stable[qno],0))</f>
        <v>1</v>
      </c>
      <c r="AJ1593" s="16" t="b">
        <f>INDEX(stable[q_carbon],MATCH(questions[[#This Row],[qno]],stable[qno],0))</f>
        <v>1</v>
      </c>
      <c r="AK1593" s="16" t="b">
        <f>INDEX(stable[q_regen_ag],MATCH(questions[[#This Row],[qno]],stable[qno],0))</f>
        <v>0</v>
      </c>
      <c r="AL1593" s="16" t="b">
        <f>COUNTIFS(stable[qno],questions[[#This Row],[qno]])=1</f>
        <v>1</v>
      </c>
      <c r="AM1593" s="16" t="b">
        <f>OR(questions[[#This Row],[is_fixed]],questions[[#This Row],[is_localized]],questions[[#This Row],[is_supply_chain_dependent]])</f>
        <v>1</v>
      </c>
      <c r="AN1593" s="16" t="b">
        <f>COUNTIFS(questions[[#This Row],[is_automated]:[is_multi_select]],TRUE)=1</f>
        <v>1</v>
      </c>
      <c r="AO1593" s="16" t="b">
        <f>IF(questions[[#This Row],[is_fixed]],questions[[#This Row],[question]]=INDEX(stable[question],MATCH(questions[[#This Row],[qno]],stable[qno],0)),TRUE)</f>
        <v>1</v>
      </c>
      <c r="AP1593" s="16" t="str">
        <f>LEFT(questions[[#This Row],[question]],similarity_range)</f>
        <v>Please ensure that t</v>
      </c>
      <c r="AQ1593" s="16" t="str">
        <f>LEFT(INDEX(stable[question],MATCH(questions[[#This Row],[qno]],stable[qno],0)),similarity_range)</f>
        <v>What was the unit of</v>
      </c>
      <c r="AR1593" s="16" t="b">
        <f>questions[[#This Row],[question_first_characters]]=questions[[#This Row],[stability_first_characters]]</f>
        <v>0</v>
      </c>
      <c r="AS1593" s="16" t="b">
        <f>IF(OR(questions[[#This Row],[is_single_select]],questions[[#This Row],[is_multi_select]]),NOT(ISBLANK(questions[[#This Row],[answer_opt_combined]])),TRUE)</f>
        <v>1</v>
      </c>
    </row>
    <row r="1594" spans="1:45" ht="15.75" customHeight="1" x14ac:dyDescent="0.25">
      <c r="A1594" s="9" t="str">
        <f>_xlfn.TEXTJOIN("_",TRUE,questions[[#This Row],[origin]:[qno]])</f>
        <v>Burundi_Arabica_IKAWA RES PROJECT_2026_5110</v>
      </c>
      <c r="B1594" s="9" t="s">
        <v>1057</v>
      </c>
      <c r="C1594" s="9" t="s">
        <v>59</v>
      </c>
      <c r="D1594" s="9" t="s">
        <v>1058</v>
      </c>
      <c r="E1594" s="33">
        <v>2026</v>
      </c>
      <c r="F1594" s="36" t="s">
        <v>167</v>
      </c>
      <c r="G1594" s="15" t="s">
        <v>1019</v>
      </c>
      <c r="H1594" s="9" t="str" cm="1">
        <f t="array" ref="H1594">INDEX(stableR[question],MATCH(VALUE(questions[[#This Row],[qno]]),VALUE(stableR[qno]),0))</f>
        <v>What was the name of the synthetic fertilizer that you used second most, last year?</v>
      </c>
      <c r="I1594" s="9" t="b" cm="1">
        <f t="array" ref="I1594">INDEX(stable[is_fixed],MATCH(VALUE(questions[[#This Row],[qno]]),VALUE(stable[qno]),0))</f>
        <v>0</v>
      </c>
      <c r="J1594" s="9" t="b" cm="1">
        <f t="array" ref="J1594">INDEX(stable[is_localized],MATCH(VALUE(questions[[#This Row],[qno]]),VALUE(stable[qno]),0))</f>
        <v>1</v>
      </c>
      <c r="K1594" s="9" t="b" cm="1">
        <f t="array" ref="K1594">INDEX(stable[is_supply_chain_dependent],MATCH(VALUE(questions[[#This Row],[qno]]),VALUE(stable[qno]),0))</f>
        <v>0</v>
      </c>
      <c r="L1594" s="9" t="b" cm="1">
        <f t="array" ref="L1594">INDEX(stable[is_mandatory],MATCH(VALUE(questions[[#This Row],[qno]]),VALUE(stable[qno]),0))</f>
        <v>0</v>
      </c>
      <c r="M1594" s="9" t="b" cm="1">
        <f t="array" ref="M1594">INDEX(stable[is_automated],MATCH(VALUE(questions[[#This Row],[qno]]),VALUE(stable[qno]),0))</f>
        <v>0</v>
      </c>
      <c r="N1594" s="9" t="b" cm="1">
        <f t="array" ref="N1594">INDEX(stable[is_free_text],MATCH(VALUE(questions[[#This Row],[qno]]),VALUE(stable[qno]),0))</f>
        <v>0</v>
      </c>
      <c r="O1594" s="9" t="b" cm="1">
        <f t="array" ref="O1594">INDEX(stable[is_numerical],MATCH(VALUE(questions[[#This Row],[qno]]),VALUE(stable[qno]),0))</f>
        <v>0</v>
      </c>
      <c r="P1594" s="9" t="b" cm="1">
        <f t="array" ref="P1594">INDEX(stable[is_single_select],MATCH(VALUE(questions[[#This Row],[qno]]),VALUE(stable[qno]),0))</f>
        <v>1</v>
      </c>
      <c r="Q1594" s="9" t="b" cm="1">
        <f t="array" ref="Q1594">INDEX(stable[is_multi_select],MATCH(VALUE(questions[[#This Row],[qno]]),VALUE(stable[qno]),0))</f>
        <v>0</v>
      </c>
      <c r="R1594" s="9" t="b" cm="1">
        <f t="array" ref="R1594">INDEX(stable[is_skip_logic],MATCH(VALUE(questions[[#This Row],[qno]]),VALUE(stable[qno]),0))</f>
        <v>1</v>
      </c>
      <c r="S1594" s="9" t="str">
        <f>_xlfn.TEXTJOIN(", ",TRUE,questions[[#This Row],[ans_opt_1]:[ans_opt_14]])</f>
        <v>NPK 26-6-12 - "special", Lavender NPK 24:24:18, NPK 22:22:12, NPK 12:18:14, NPK 20:20:10+Te, NPK 14:13:18+Te, NPK 17-17-17, Yara Mila Java (NPK 22:6:12), CAN (calcium ammonium nitrate, 27% N), Urea (46% N), Ammonium sulphate (21% N), DAP (di-ammonium phosphate, 18% N), Zinc Boron, Other</v>
      </c>
      <c r="T1594" s="33" t="s">
        <v>954</v>
      </c>
      <c r="U1594" s="9" t="s">
        <v>955</v>
      </c>
      <c r="V1594" s="33" t="s">
        <v>956</v>
      </c>
      <c r="W1594" s="63" t="s">
        <v>957</v>
      </c>
      <c r="X1594" s="63" t="s">
        <v>958</v>
      </c>
      <c r="Y1594" s="9" t="s">
        <v>959</v>
      </c>
      <c r="Z1594" s="33" t="s">
        <v>742</v>
      </c>
      <c r="AA1594" s="33" t="s">
        <v>1017</v>
      </c>
      <c r="AB1594" s="33" t="s">
        <v>837</v>
      </c>
      <c r="AC1594" s="33" t="s">
        <v>743</v>
      </c>
      <c r="AD1594" s="33" t="s">
        <v>838</v>
      </c>
      <c r="AE1594" s="33" t="s">
        <v>744</v>
      </c>
      <c r="AF1594" s="9" t="s">
        <v>960</v>
      </c>
      <c r="AG1594" s="33" t="s">
        <v>112</v>
      </c>
      <c r="AH1594" s="99" t="b">
        <f>INDEX(stable[q_standard],MATCH(questions[[#This Row],[qno]],stable[qno],0))</f>
        <v>0</v>
      </c>
      <c r="AI1594" s="99" t="b">
        <f>INDEX(stable[q_living_income],MATCH(questions[[#This Row],[qno]],stable[qno],0))</f>
        <v>1</v>
      </c>
      <c r="AJ1594" s="99" t="b">
        <f>INDEX(stable[q_carbon],MATCH(questions[[#This Row],[qno]],stable[qno],0))</f>
        <v>1</v>
      </c>
      <c r="AK1594" s="99" t="b">
        <f>INDEX(stable[q_regen_ag],MATCH(questions[[#This Row],[qno]],stable[qno],0))</f>
        <v>0</v>
      </c>
      <c r="AL1594" s="16" t="b">
        <f>COUNTIFS(stable[qno],questions[[#This Row],[qno]])=1</f>
        <v>1</v>
      </c>
      <c r="AM1594" s="16" t="b">
        <f>OR(questions[[#This Row],[is_fixed]],questions[[#This Row],[is_localized]],questions[[#This Row],[is_supply_chain_dependent]])</f>
        <v>1</v>
      </c>
      <c r="AN1594" s="16" t="b">
        <f>COUNTIFS(questions[[#This Row],[is_automated]:[is_multi_select]],TRUE)=1</f>
        <v>1</v>
      </c>
      <c r="AO1594" s="16" t="b">
        <f>IF(questions[[#This Row],[is_fixed]],questions[[#This Row],[question]]=INDEX(stable[question],MATCH(questions[[#This Row],[qno]],stable[qno],0)),TRUE)</f>
        <v>1</v>
      </c>
      <c r="AP1594" s="16" t="str">
        <f>LEFT(questions[[#This Row],[question]],similarity_range)</f>
        <v xml:space="preserve">What is the name of </v>
      </c>
      <c r="AQ1594" s="16" t="str">
        <f>LEFT(INDEX(stable[question],MATCH(questions[[#This Row],[qno]],stable[qno],0)),similarity_range)</f>
        <v xml:space="preserve">What is the name of </v>
      </c>
      <c r="AR1594" s="16" t="b">
        <f>questions[[#This Row],[question_first_characters]]=questions[[#This Row],[stability_first_characters]]</f>
        <v>1</v>
      </c>
      <c r="AS1594" s="16" t="b">
        <f>IF(OR(questions[[#This Row],[is_single_select]],questions[[#This Row],[is_multi_select]]),NOT(ISBLANK(questions[[#This Row],[answer_opt_combined]])),TRUE)</f>
        <v>1</v>
      </c>
    </row>
    <row r="1595" spans="1:45" ht="15.75" customHeight="1" x14ac:dyDescent="0.25">
      <c r="A1595" s="9" t="str">
        <f>_xlfn.TEXTJOIN("_",TRUE,questions[[#This Row],[origin]:[qno]])</f>
        <v>Burundi_Arabica_IKAWA RES PROJECT_2026_5111</v>
      </c>
      <c r="B1595" s="9" t="s">
        <v>1057</v>
      </c>
      <c r="C1595" s="9" t="s">
        <v>59</v>
      </c>
      <c r="D1595" s="9" t="s">
        <v>1058</v>
      </c>
      <c r="E1595" s="33">
        <v>2026</v>
      </c>
      <c r="F1595" s="36" t="s">
        <v>169</v>
      </c>
      <c r="G1595" s="37" t="s">
        <v>748</v>
      </c>
      <c r="H1595" s="9" t="str" cm="1">
        <f t="array" ref="H1595">INDEX(stableR[question],MATCH(VALUE(questions[[#This Row],[qno]]),VALUE(stableR[qno]),0))</f>
        <v>What was the total quantity of the synthetic fertilizer that you used second most, last year? (Kg)</v>
      </c>
      <c r="I1595" s="9" t="b" cm="1">
        <f t="array" ref="I1595">INDEX(stable[is_fixed],MATCH(VALUE(questions[[#This Row],[qno]]),VALUE(stable[qno]),0))</f>
        <v>0</v>
      </c>
      <c r="J1595" s="9" t="b" cm="1">
        <f t="array" ref="J1595">INDEX(stable[is_localized],MATCH(VALUE(questions[[#This Row],[qno]]),VALUE(stable[qno]),0))</f>
        <v>1</v>
      </c>
      <c r="K1595" s="9" t="b" cm="1">
        <f t="array" ref="K1595">INDEX(stable[is_supply_chain_dependent],MATCH(VALUE(questions[[#This Row],[qno]]),VALUE(stable[qno]),0))</f>
        <v>0</v>
      </c>
      <c r="L1595" s="9" t="b" cm="1">
        <f t="array" ref="L1595">INDEX(stable[is_mandatory],MATCH(VALUE(questions[[#This Row],[qno]]),VALUE(stable[qno]),0))</f>
        <v>0</v>
      </c>
      <c r="M1595" s="9" t="b" cm="1">
        <f t="array" ref="M1595">INDEX(stable[is_automated],MATCH(VALUE(questions[[#This Row],[qno]]),VALUE(stable[qno]),0))</f>
        <v>0</v>
      </c>
      <c r="N1595" s="9" t="b" cm="1">
        <f t="array" ref="N1595">INDEX(stable[is_free_text],MATCH(VALUE(questions[[#This Row],[qno]]),VALUE(stable[qno]),0))</f>
        <v>0</v>
      </c>
      <c r="O1595" s="9" t="b" cm="1">
        <f t="array" ref="O1595">INDEX(stable[is_numerical],MATCH(VALUE(questions[[#This Row],[qno]]),VALUE(stable[qno]),0))</f>
        <v>1</v>
      </c>
      <c r="P1595" s="9" t="b" cm="1">
        <f t="array" ref="P1595">INDEX(stable[is_single_select],MATCH(VALUE(questions[[#This Row],[qno]]),VALUE(stable[qno]),0))</f>
        <v>0</v>
      </c>
      <c r="Q1595" s="9" t="b" cm="1">
        <f t="array" ref="Q1595">INDEX(stable[is_multi_select],MATCH(VALUE(questions[[#This Row],[qno]]),VALUE(stable[qno]),0))</f>
        <v>0</v>
      </c>
      <c r="R1595" s="9" t="b" cm="1">
        <f t="array" ref="R1595">INDEX(stable[is_skip_logic],MATCH(VALUE(questions[[#This Row],[qno]]),VALUE(stable[qno]),0))</f>
        <v>1</v>
      </c>
      <c r="S1595" s="9" t="str">
        <f>_xlfn.TEXTJOIN(", ",TRUE,questions[[#This Row],[ans_opt_1]:[ans_opt_14]])</f>
        <v/>
      </c>
      <c r="AH1595" s="16" t="b">
        <f>INDEX(stable[q_standard],MATCH(questions[[#This Row],[qno]],stable[qno],0))</f>
        <v>0</v>
      </c>
      <c r="AI1595" s="16" t="b">
        <f>INDEX(stable[q_living_income],MATCH(questions[[#This Row],[qno]],stable[qno],0))</f>
        <v>1</v>
      </c>
      <c r="AJ1595" s="16" t="b">
        <f>INDEX(stable[q_carbon],MATCH(questions[[#This Row],[qno]],stable[qno],0))</f>
        <v>1</v>
      </c>
      <c r="AK1595" s="16" t="b">
        <f>INDEX(stable[q_regen_ag],MATCH(questions[[#This Row],[qno]],stable[qno],0))</f>
        <v>0</v>
      </c>
      <c r="AL1595" s="16" t="b">
        <f>COUNTIFS(stable[qno],questions[[#This Row],[qno]])=1</f>
        <v>1</v>
      </c>
      <c r="AM1595" s="16" t="b">
        <f>OR(questions[[#This Row],[is_fixed]],questions[[#This Row],[is_localized]],questions[[#This Row],[is_supply_chain_dependent]])</f>
        <v>1</v>
      </c>
      <c r="AN1595" s="16" t="b">
        <f>COUNTIFS(questions[[#This Row],[is_automated]:[is_multi_select]],TRUE)=1</f>
        <v>1</v>
      </c>
      <c r="AO1595" s="16" t="b">
        <f>IF(questions[[#This Row],[is_fixed]],questions[[#This Row],[question]]=INDEX(stable[question],MATCH(questions[[#This Row],[qno]],stable[qno],0)),TRUE)</f>
        <v>1</v>
      </c>
      <c r="AP1595" s="16" t="str">
        <f>LEFT(questions[[#This Row],[question]],similarity_range)</f>
        <v>What was the total q</v>
      </c>
      <c r="AQ1595" s="16" t="str">
        <f>LEFT(INDEX(stable[question],MATCH(questions[[#This Row],[qno]],stable[qno],0)),similarity_range)</f>
        <v>What was the total q</v>
      </c>
      <c r="AR1595" s="16" t="b">
        <f>questions[[#This Row],[question_first_characters]]=questions[[#This Row],[stability_first_characters]]</f>
        <v>1</v>
      </c>
      <c r="AS1595" s="16" t="b">
        <f>IF(OR(questions[[#This Row],[is_single_select]],questions[[#This Row],[is_multi_select]]),NOT(ISBLANK(questions[[#This Row],[answer_opt_combined]])),TRUE)</f>
        <v>1</v>
      </c>
    </row>
    <row r="1596" spans="1:45" ht="15.75" customHeight="1" x14ac:dyDescent="0.25">
      <c r="A1596" s="9" t="str">
        <f>_xlfn.TEXTJOIN("_",TRUE,questions[[#This Row],[origin]:[qno]])</f>
        <v>Burundi_Arabica_IKAWA RES PROJECT_2026_5112</v>
      </c>
      <c r="B1596" s="9" t="s">
        <v>1057</v>
      </c>
      <c r="C1596" s="9" t="s">
        <v>59</v>
      </c>
      <c r="D1596" s="9" t="s">
        <v>1058</v>
      </c>
      <c r="E1596" s="33">
        <v>2026</v>
      </c>
      <c r="F1596" s="36" t="s">
        <v>567</v>
      </c>
      <c r="G1596" s="37" t="s">
        <v>749</v>
      </c>
      <c r="H1596" s="9" t="str" cm="1">
        <f t="array" ref="H1596">INDEX(stableR[question],MATCH(VALUE(questions[[#This Row],[qno]]),VALUE(stableR[qno]),0))</f>
        <v>What was the unit of the synthetic fertilizer type that you used second most ? (bags, kg)</v>
      </c>
      <c r="I1596" s="9" t="b" cm="1">
        <f t="array" ref="I1596">INDEX(stable[is_fixed],MATCH(VALUE(questions[[#This Row],[qno]]),VALUE(stable[qno]),0))</f>
        <v>0</v>
      </c>
      <c r="J1596" s="9" t="b" cm="1">
        <f t="array" ref="J1596">INDEX(stable[is_localized],MATCH(VALUE(questions[[#This Row],[qno]]),VALUE(stable[qno]),0))</f>
        <v>1</v>
      </c>
      <c r="K1596" s="9" t="b" cm="1">
        <f t="array" ref="K1596">INDEX(stable[is_supply_chain_dependent],MATCH(VALUE(questions[[#This Row],[qno]]),VALUE(stable[qno]),0))</f>
        <v>0</v>
      </c>
      <c r="L1596" s="9" t="b" cm="1">
        <f t="array" ref="L1596">INDEX(stable[is_mandatory],MATCH(VALUE(questions[[#This Row],[qno]]),VALUE(stable[qno]),0))</f>
        <v>0</v>
      </c>
      <c r="M1596" s="9" t="b" cm="1">
        <f t="array" ref="M1596">INDEX(stable[is_automated],MATCH(VALUE(questions[[#This Row],[qno]]),VALUE(stable[qno]),0))</f>
        <v>0</v>
      </c>
      <c r="N1596" s="9" t="b" cm="1">
        <f t="array" ref="N1596">INDEX(stable[is_free_text],MATCH(VALUE(questions[[#This Row],[qno]]),VALUE(stable[qno]),0))</f>
        <v>0</v>
      </c>
      <c r="O1596" s="9" t="b" cm="1">
        <f t="array" ref="O1596">INDEX(stable[is_numerical],MATCH(VALUE(questions[[#This Row],[qno]]),VALUE(stable[qno]),0))</f>
        <v>0</v>
      </c>
      <c r="P1596" s="9" t="b" cm="1">
        <f t="array" ref="P1596">INDEX(stable[is_single_select],MATCH(VALUE(questions[[#This Row],[qno]]),VALUE(stable[qno]),0))</f>
        <v>1</v>
      </c>
      <c r="Q1596" s="9" t="b" cm="1">
        <f t="array" ref="Q1596">INDEX(stable[is_multi_select],MATCH(VALUE(questions[[#This Row],[qno]]),VALUE(stable[qno]),0))</f>
        <v>0</v>
      </c>
      <c r="R1596" s="9" t="b" cm="1">
        <f t="array" ref="R1596">INDEX(stable[is_skip_logic],MATCH(VALUE(questions[[#This Row],[qno]]),VALUE(stable[qno]),0))</f>
        <v>1</v>
      </c>
      <c r="S1596" s="9" t="str">
        <f>_xlfn.TEXTJOIN(", ",TRUE,questions[[#This Row],[ans_opt_1]:[ans_opt_14]])</f>
        <v>Kg</v>
      </c>
      <c r="T1596" s="9" t="s">
        <v>1018</v>
      </c>
      <c r="AH1596" s="16" t="b">
        <f>INDEX(stable[q_standard],MATCH(questions[[#This Row],[qno]],stable[qno],0))</f>
        <v>0</v>
      </c>
      <c r="AI1596" s="16" t="b">
        <f>INDEX(stable[q_living_income],MATCH(questions[[#This Row],[qno]],stable[qno],0))</f>
        <v>1</v>
      </c>
      <c r="AJ1596" s="16" t="b">
        <f>INDEX(stable[q_carbon],MATCH(questions[[#This Row],[qno]],stable[qno],0))</f>
        <v>1</v>
      </c>
      <c r="AK1596" s="16" t="b">
        <f>INDEX(stable[q_regen_ag],MATCH(questions[[#This Row],[qno]],stable[qno],0))</f>
        <v>0</v>
      </c>
      <c r="AL1596" s="16" t="b">
        <f>COUNTIFS(stable[qno],questions[[#This Row],[qno]])=1</f>
        <v>1</v>
      </c>
      <c r="AM1596" s="16" t="b">
        <f>OR(questions[[#This Row],[is_fixed]],questions[[#This Row],[is_localized]],questions[[#This Row],[is_supply_chain_dependent]])</f>
        <v>1</v>
      </c>
      <c r="AN1596" s="16" t="b">
        <f>COUNTIFS(questions[[#This Row],[is_automated]:[is_multi_select]],TRUE)=1</f>
        <v>1</v>
      </c>
      <c r="AO1596" s="16" t="b">
        <f>IF(questions[[#This Row],[is_fixed]],questions[[#This Row],[question]]=INDEX(stable[question],MATCH(questions[[#This Row],[qno]],stable[qno],0)),TRUE)</f>
        <v>1</v>
      </c>
      <c r="AP1596" s="16" t="str">
        <f>LEFT(questions[[#This Row],[question]],similarity_range)</f>
        <v>Please ensure that t</v>
      </c>
      <c r="AQ1596" s="16" t="str">
        <f>LEFT(INDEX(stable[question],MATCH(questions[[#This Row],[qno]],stable[qno],0)),similarity_range)</f>
        <v>What was the unit of</v>
      </c>
      <c r="AR1596" s="16" t="b">
        <f>questions[[#This Row],[question_first_characters]]=questions[[#This Row],[stability_first_characters]]</f>
        <v>0</v>
      </c>
      <c r="AS1596" s="16" t="b">
        <f>IF(OR(questions[[#This Row],[is_single_select]],questions[[#This Row],[is_multi_select]]),NOT(ISBLANK(questions[[#This Row],[answer_opt_combined]])),TRUE)</f>
        <v>1</v>
      </c>
    </row>
    <row r="1597" spans="1:45" ht="15.75" customHeight="1" x14ac:dyDescent="0.25">
      <c r="A1597" s="9" t="str">
        <f>_xlfn.TEXTJOIN("_",TRUE,questions[[#This Row],[origin]:[qno]])</f>
        <v>Burundi_Arabica_IKAWA RES PROJECT_2026_5120</v>
      </c>
      <c r="B1597" s="9" t="s">
        <v>1057</v>
      </c>
      <c r="C1597" s="9" t="s">
        <v>59</v>
      </c>
      <c r="D1597" s="9" t="s">
        <v>1058</v>
      </c>
      <c r="E1597" s="33">
        <v>2026</v>
      </c>
      <c r="F1597" s="41" t="s">
        <v>683</v>
      </c>
      <c r="G1597" s="18" t="s">
        <v>1032</v>
      </c>
      <c r="H1597" s="9" t="str" cm="1">
        <f t="array" ref="H1597">INDEX(stableR[question],MATCH(VALUE(questions[[#This Row],[qno]]),VALUE(stableR[qno]),0))</f>
        <v>What was the name of the synthetic fertilizer that you used third most, last year?</v>
      </c>
      <c r="I1597" s="9" t="b" cm="1">
        <f t="array" ref="I1597">INDEX(stable[is_fixed],MATCH(VALUE(questions[[#This Row],[qno]]),VALUE(stable[qno]),0))</f>
        <v>0</v>
      </c>
      <c r="J1597" s="9" t="b" cm="1">
        <f t="array" ref="J1597">INDEX(stable[is_localized],MATCH(VALUE(questions[[#This Row],[qno]]),VALUE(stable[qno]),0))</f>
        <v>1</v>
      </c>
      <c r="K1597" s="9" t="b" cm="1">
        <f t="array" ref="K1597">INDEX(stable[is_supply_chain_dependent],MATCH(VALUE(questions[[#This Row],[qno]]),VALUE(stable[qno]),0))</f>
        <v>1</v>
      </c>
      <c r="L1597" s="9" t="b" cm="1">
        <f t="array" ref="L1597">INDEX(stable[is_mandatory],MATCH(VALUE(questions[[#This Row],[qno]]),VALUE(stable[qno]),0))</f>
        <v>0</v>
      </c>
      <c r="M1597" s="9" t="b" cm="1">
        <f t="array" ref="M1597">INDEX(stable[is_automated],MATCH(VALUE(questions[[#This Row],[qno]]),VALUE(stable[qno]),0))</f>
        <v>0</v>
      </c>
      <c r="N1597" s="9" t="b" cm="1">
        <f t="array" ref="N1597">INDEX(stable[is_free_text],MATCH(VALUE(questions[[#This Row],[qno]]),VALUE(stable[qno]),0))</f>
        <v>1</v>
      </c>
      <c r="O1597" s="9" t="b" cm="1">
        <f t="array" ref="O1597">INDEX(stable[is_numerical],MATCH(VALUE(questions[[#This Row],[qno]]),VALUE(stable[qno]),0))</f>
        <v>0</v>
      </c>
      <c r="P1597" s="9" t="b" cm="1">
        <f t="array" ref="P1597">INDEX(stable[is_single_select],MATCH(VALUE(questions[[#This Row],[qno]]),VALUE(stable[qno]),0))</f>
        <v>0</v>
      </c>
      <c r="Q1597" s="9" t="b" cm="1">
        <f t="array" ref="Q1597">INDEX(stable[is_multi_select],MATCH(VALUE(questions[[#This Row],[qno]]),VALUE(stable[qno]),0))</f>
        <v>0</v>
      </c>
      <c r="R1597" s="9" t="b" cm="1">
        <f t="array" ref="R1597">INDEX(stable[is_skip_logic],MATCH(VALUE(questions[[#This Row],[qno]]),VALUE(stable[qno]),0))</f>
        <v>1</v>
      </c>
      <c r="S1597" s="9" t="str">
        <f>_xlfn.TEXTJOIN(", ",TRUE,questions[[#This Row],[ans_opt_1]:[ans_opt_14]])</f>
        <v/>
      </c>
      <c r="T1597" s="33"/>
      <c r="U1597" s="33"/>
      <c r="V1597" s="33"/>
      <c r="W1597" s="33"/>
      <c r="X1597" s="33"/>
      <c r="Y1597" s="33"/>
      <c r="Z1597" s="33"/>
      <c r="AA1597" s="33"/>
      <c r="AB1597" s="33"/>
      <c r="AC1597" s="33"/>
      <c r="AD1597" s="33"/>
      <c r="AE1597" s="33"/>
      <c r="AF1597" s="33"/>
      <c r="AG1597" s="33"/>
      <c r="AH1597" s="99" t="b">
        <f>INDEX(stable[q_standard],MATCH(questions[[#This Row],[qno]],stable[qno],0))</f>
        <v>0</v>
      </c>
      <c r="AI1597" s="99" t="b">
        <f>INDEX(stable[q_living_income],MATCH(questions[[#This Row],[qno]],stable[qno],0))</f>
        <v>1</v>
      </c>
      <c r="AJ1597" s="99" t="b">
        <f>INDEX(stable[q_carbon],MATCH(questions[[#This Row],[qno]],stable[qno],0))</f>
        <v>1</v>
      </c>
      <c r="AK1597" s="99" t="b">
        <f>INDEX(stable[q_regen_ag],MATCH(questions[[#This Row],[qno]],stable[qno],0))</f>
        <v>0</v>
      </c>
      <c r="AL1597" s="16" t="b">
        <f>COUNTIFS(stable[qno],questions[[#This Row],[qno]])=1</f>
        <v>1</v>
      </c>
      <c r="AM1597" s="16" t="b">
        <f>OR(questions[[#This Row],[is_fixed]],questions[[#This Row],[is_localized]],questions[[#This Row],[is_supply_chain_dependent]])</f>
        <v>1</v>
      </c>
      <c r="AN1597" s="16" t="b">
        <f>COUNTIFS(questions[[#This Row],[is_automated]:[is_multi_select]],TRUE)=1</f>
        <v>1</v>
      </c>
      <c r="AO1597" s="16" t="b">
        <f>IF(questions[[#This Row],[is_fixed]],questions[[#This Row],[question]]=INDEX(stable[question],MATCH(questions[[#This Row],[qno]],stable[qno],0)),TRUE)</f>
        <v>1</v>
      </c>
      <c r="AP1597" s="16" t="str">
        <f>LEFT(questions[[#This Row],[question]],similarity_range)</f>
        <v xml:space="preserve">What is the name of </v>
      </c>
      <c r="AQ1597" s="16" t="str">
        <f>LEFT(INDEX(stable[question],MATCH(questions[[#This Row],[qno]],stable[qno],0)),similarity_range)</f>
        <v xml:space="preserve">What is the name of </v>
      </c>
      <c r="AR1597" s="16" t="b">
        <f>questions[[#This Row],[question_first_characters]]=questions[[#This Row],[stability_first_characters]]</f>
        <v>1</v>
      </c>
      <c r="AS1597" s="16" t="b">
        <f>IF(OR(questions[[#This Row],[is_single_select]],questions[[#This Row],[is_multi_select]]),NOT(ISBLANK(questions[[#This Row],[answer_opt_combined]])),TRUE)</f>
        <v>1</v>
      </c>
    </row>
    <row r="1598" spans="1:45" ht="15.75" customHeight="1" x14ac:dyDescent="0.25">
      <c r="A1598" s="9" t="str">
        <f>_xlfn.TEXTJOIN("_",TRUE,questions[[#This Row],[origin]:[qno]])</f>
        <v>Burundi_Arabica_IKAWA RES PROJECT_2026_5121</v>
      </c>
      <c r="B1598" s="9" t="s">
        <v>1057</v>
      </c>
      <c r="C1598" s="9" t="s">
        <v>59</v>
      </c>
      <c r="D1598" s="9" t="s">
        <v>1058</v>
      </c>
      <c r="E1598" s="33">
        <v>2026</v>
      </c>
      <c r="F1598" s="41" t="s">
        <v>173</v>
      </c>
      <c r="G1598" s="15" t="s">
        <v>964</v>
      </c>
      <c r="H1598" s="9" t="str" cm="1">
        <f t="array" ref="H1598">INDEX(stableR[question],MATCH(VALUE(questions[[#This Row],[qno]]),VALUE(stableR[qno]),0))</f>
        <v>What was the total quantity of the synthetic fertilizer that you used third most, last year? (Kg)</v>
      </c>
      <c r="I1598" s="9" t="b" cm="1">
        <f t="array" ref="I1598">INDEX(stable[is_fixed],MATCH(VALUE(questions[[#This Row],[qno]]),VALUE(stable[qno]),0))</f>
        <v>0</v>
      </c>
      <c r="J1598" s="9" t="b" cm="1">
        <f t="array" ref="J1598">INDEX(stable[is_localized],MATCH(VALUE(questions[[#This Row],[qno]]),VALUE(stable[qno]),0))</f>
        <v>1</v>
      </c>
      <c r="K1598" s="9" t="b" cm="1">
        <f t="array" ref="K1598">INDEX(stable[is_supply_chain_dependent],MATCH(VALUE(questions[[#This Row],[qno]]),VALUE(stable[qno]),0))</f>
        <v>1</v>
      </c>
      <c r="L1598" s="9" t="b" cm="1">
        <f t="array" ref="L1598">INDEX(stable[is_mandatory],MATCH(VALUE(questions[[#This Row],[qno]]),VALUE(stable[qno]),0))</f>
        <v>0</v>
      </c>
      <c r="M1598" s="9" t="b" cm="1">
        <f t="array" ref="M1598">INDEX(stable[is_automated],MATCH(VALUE(questions[[#This Row],[qno]]),VALUE(stable[qno]),0))</f>
        <v>0</v>
      </c>
      <c r="N1598" s="9" t="b" cm="1">
        <f t="array" ref="N1598">INDEX(stable[is_free_text],MATCH(VALUE(questions[[#This Row],[qno]]),VALUE(stable[qno]),0))</f>
        <v>0</v>
      </c>
      <c r="O1598" s="9" t="b" cm="1">
        <f t="array" ref="O1598">INDEX(stable[is_numerical],MATCH(VALUE(questions[[#This Row],[qno]]),VALUE(stable[qno]),0))</f>
        <v>1</v>
      </c>
      <c r="P1598" s="9" t="b" cm="1">
        <f t="array" ref="P1598">INDEX(stable[is_single_select],MATCH(VALUE(questions[[#This Row],[qno]]),VALUE(stable[qno]),0))</f>
        <v>0</v>
      </c>
      <c r="Q1598" s="9" t="b" cm="1">
        <f t="array" ref="Q1598">INDEX(stable[is_multi_select],MATCH(VALUE(questions[[#This Row],[qno]]),VALUE(stable[qno]),0))</f>
        <v>0</v>
      </c>
      <c r="R1598" s="9" t="b" cm="1">
        <f t="array" ref="R1598">INDEX(stable[is_skip_logic],MATCH(VALUE(questions[[#This Row],[qno]]),VALUE(stable[qno]),0))</f>
        <v>1</v>
      </c>
      <c r="S1598" s="9" t="str">
        <f>_xlfn.TEXTJOIN(", ",TRUE,questions[[#This Row],[ans_opt_1]:[ans_opt_14]])</f>
        <v/>
      </c>
      <c r="T1598" s="33"/>
      <c r="U1598" s="33"/>
      <c r="V1598" s="33"/>
      <c r="W1598" s="33"/>
      <c r="X1598" s="33"/>
      <c r="Y1598" s="33"/>
      <c r="Z1598" s="33"/>
      <c r="AA1598" s="33"/>
      <c r="AB1598" s="33"/>
      <c r="AC1598" s="33"/>
      <c r="AD1598" s="33"/>
      <c r="AE1598" s="33"/>
      <c r="AF1598" s="33"/>
      <c r="AG1598" s="33"/>
      <c r="AH1598" s="99" t="b">
        <f>INDEX(stable[q_standard],MATCH(questions[[#This Row],[qno]],stable[qno],0))</f>
        <v>0</v>
      </c>
      <c r="AI1598" s="99" t="b">
        <f>INDEX(stable[q_living_income],MATCH(questions[[#This Row],[qno]],stable[qno],0))</f>
        <v>1</v>
      </c>
      <c r="AJ1598" s="99" t="b">
        <f>INDEX(stable[q_carbon],MATCH(questions[[#This Row],[qno]],stable[qno],0))</f>
        <v>1</v>
      </c>
      <c r="AK1598" s="99" t="b">
        <f>INDEX(stable[q_regen_ag],MATCH(questions[[#This Row],[qno]],stable[qno],0))</f>
        <v>0</v>
      </c>
      <c r="AL1598" s="16" t="b">
        <f>COUNTIFS(stable[qno],questions[[#This Row],[qno]])=1</f>
        <v>1</v>
      </c>
      <c r="AM1598" s="16" t="b">
        <f>OR(questions[[#This Row],[is_fixed]],questions[[#This Row],[is_localized]],questions[[#This Row],[is_supply_chain_dependent]])</f>
        <v>1</v>
      </c>
      <c r="AN1598" s="16" t="b">
        <f>COUNTIFS(questions[[#This Row],[is_automated]:[is_multi_select]],TRUE)=1</f>
        <v>1</v>
      </c>
      <c r="AO1598" s="16" t="b">
        <f>IF(questions[[#This Row],[is_fixed]],questions[[#This Row],[question]]=INDEX(stable[question],MATCH(questions[[#This Row],[qno]],stable[qno],0)),TRUE)</f>
        <v>1</v>
      </c>
      <c r="AP1598" s="16" t="str">
        <f>LEFT(questions[[#This Row],[question]],similarity_range)</f>
        <v>What was the total q</v>
      </c>
      <c r="AQ1598" s="16" t="str">
        <f>LEFT(INDEX(stable[question],MATCH(questions[[#This Row],[qno]],stable[qno],0)),similarity_range)</f>
        <v>What was the total q</v>
      </c>
      <c r="AR1598" s="16" t="b">
        <f>questions[[#This Row],[question_first_characters]]=questions[[#This Row],[stability_first_characters]]</f>
        <v>1</v>
      </c>
      <c r="AS1598" s="16" t="b">
        <f>IF(OR(questions[[#This Row],[is_single_select]],questions[[#This Row],[is_multi_select]]),NOT(ISBLANK(questions[[#This Row],[answer_opt_combined]])),TRUE)</f>
        <v>1</v>
      </c>
    </row>
    <row r="1599" spans="1:45" ht="15.75" customHeight="1" x14ac:dyDescent="0.25">
      <c r="A1599" s="9" t="str">
        <f>_xlfn.TEXTJOIN("_",TRUE,questions[[#This Row],[origin]:[qno]])</f>
        <v>Burundi_Arabica_IKAWA RES PROJECT_2026_5122</v>
      </c>
      <c r="B1599" s="9" t="s">
        <v>1057</v>
      </c>
      <c r="C1599" s="9" t="s">
        <v>59</v>
      </c>
      <c r="D1599" s="9" t="s">
        <v>1058</v>
      </c>
      <c r="E1599" s="33">
        <v>2026</v>
      </c>
      <c r="F1599" s="41" t="s">
        <v>570</v>
      </c>
      <c r="G1599" s="18" t="s">
        <v>965</v>
      </c>
      <c r="H1599" s="9" t="str" cm="1">
        <f t="array" ref="H1599">INDEX(stableR[question],MATCH(VALUE(questions[[#This Row],[qno]]),VALUE(stableR[qno]),0))</f>
        <v>What was the unit of the synthetic fertilizer type that you used third most ? (bags, kg)</v>
      </c>
      <c r="I1599" s="9" t="b" cm="1">
        <f t="array" ref="I1599">INDEX(stable[is_fixed],MATCH(VALUE(questions[[#This Row],[qno]]),VALUE(stable[qno]),0))</f>
        <v>0</v>
      </c>
      <c r="J1599" s="9" t="b" cm="1">
        <f t="array" ref="J1599">INDEX(stable[is_localized],MATCH(VALUE(questions[[#This Row],[qno]]),VALUE(stable[qno]),0))</f>
        <v>1</v>
      </c>
      <c r="K1599" s="9" t="b" cm="1">
        <f t="array" ref="K1599">INDEX(stable[is_supply_chain_dependent],MATCH(VALUE(questions[[#This Row],[qno]]),VALUE(stable[qno]),0))</f>
        <v>1</v>
      </c>
      <c r="L1599" s="9" t="b" cm="1">
        <f t="array" ref="L1599">INDEX(stable[is_mandatory],MATCH(VALUE(questions[[#This Row],[qno]]),VALUE(stable[qno]),0))</f>
        <v>0</v>
      </c>
      <c r="M1599" s="9" t="b" cm="1">
        <f t="array" ref="M1599">INDEX(stable[is_automated],MATCH(VALUE(questions[[#This Row],[qno]]),VALUE(stable[qno]),0))</f>
        <v>0</v>
      </c>
      <c r="N1599" s="9" t="b" cm="1">
        <f t="array" ref="N1599">INDEX(stable[is_free_text],MATCH(VALUE(questions[[#This Row],[qno]]),VALUE(stable[qno]),0))</f>
        <v>0</v>
      </c>
      <c r="O1599" s="9" t="b" cm="1">
        <f t="array" ref="O1599">INDEX(stable[is_numerical],MATCH(VALUE(questions[[#This Row],[qno]]),VALUE(stable[qno]),0))</f>
        <v>0</v>
      </c>
      <c r="P1599" s="9" t="b" cm="1">
        <f t="array" ref="P1599">INDEX(stable[is_single_select],MATCH(VALUE(questions[[#This Row],[qno]]),VALUE(stable[qno]),0))</f>
        <v>1</v>
      </c>
      <c r="Q1599" s="9" t="b" cm="1">
        <f t="array" ref="Q1599">INDEX(stable[is_multi_select],MATCH(VALUE(questions[[#This Row],[qno]]),VALUE(stable[qno]),0))</f>
        <v>0</v>
      </c>
      <c r="R1599" s="9" t="b" cm="1">
        <f t="array" ref="R1599">INDEX(stable[is_skip_logic],MATCH(VALUE(questions[[#This Row],[qno]]),VALUE(stable[qno]),0))</f>
        <v>1</v>
      </c>
      <c r="S1599" s="9" t="str">
        <f>_xlfn.TEXTJOIN(", ",TRUE,questions[[#This Row],[ans_opt_1]:[ans_opt_14]])</f>
        <v>kg</v>
      </c>
      <c r="T1599" s="33" t="s">
        <v>562</v>
      </c>
      <c r="U1599" s="33"/>
      <c r="V1599" s="33"/>
      <c r="W1599" s="33"/>
      <c r="X1599" s="33"/>
      <c r="Y1599" s="33"/>
      <c r="Z1599" s="33"/>
      <c r="AA1599" s="33"/>
      <c r="AB1599" s="33"/>
      <c r="AC1599" s="33"/>
      <c r="AD1599" s="33"/>
      <c r="AE1599" s="33"/>
      <c r="AF1599" s="33"/>
      <c r="AG1599" s="33"/>
      <c r="AH1599" s="99" t="b">
        <f>INDEX(stable[q_standard],MATCH(questions[[#This Row],[qno]],stable[qno],0))</f>
        <v>0</v>
      </c>
      <c r="AI1599" s="99" t="b">
        <f>INDEX(stable[q_living_income],MATCH(questions[[#This Row],[qno]],stable[qno],0))</f>
        <v>1</v>
      </c>
      <c r="AJ1599" s="99" t="b">
        <f>INDEX(stable[q_carbon],MATCH(questions[[#This Row],[qno]],stable[qno],0))</f>
        <v>1</v>
      </c>
      <c r="AK1599" s="99" t="b">
        <f>INDEX(stable[q_regen_ag],MATCH(questions[[#This Row],[qno]],stable[qno],0))</f>
        <v>0</v>
      </c>
      <c r="AL1599" s="16" t="b">
        <f>COUNTIFS(stable[qno],questions[[#This Row],[qno]])=1</f>
        <v>1</v>
      </c>
      <c r="AM1599" s="16" t="b">
        <f>OR(questions[[#This Row],[is_fixed]],questions[[#This Row],[is_localized]],questions[[#This Row],[is_supply_chain_dependent]])</f>
        <v>1</v>
      </c>
      <c r="AN1599" s="16" t="b">
        <f>COUNTIFS(questions[[#This Row],[is_automated]:[is_multi_select]],TRUE)=1</f>
        <v>1</v>
      </c>
      <c r="AO1599" s="16" t="b">
        <f>IF(questions[[#This Row],[is_fixed]],questions[[#This Row],[question]]=INDEX(stable[question],MATCH(questions[[#This Row],[qno]],stable[qno],0)),TRUE)</f>
        <v>1</v>
      </c>
      <c r="AP1599" s="16" t="str">
        <f>LEFT(questions[[#This Row],[question]],similarity_range)</f>
        <v>Please ensure that t</v>
      </c>
      <c r="AQ1599" s="16" t="str">
        <f>LEFT(INDEX(stable[question],MATCH(questions[[#This Row],[qno]],stable[qno],0)),similarity_range)</f>
        <v>What was the unit of</v>
      </c>
      <c r="AR1599" s="16" t="b">
        <f>questions[[#This Row],[question_first_characters]]=questions[[#This Row],[stability_first_characters]]</f>
        <v>0</v>
      </c>
      <c r="AS1599" s="16" t="b">
        <f>IF(OR(questions[[#This Row],[is_single_select]],questions[[#This Row],[is_multi_select]]),NOT(ISBLANK(questions[[#This Row],[answer_opt_combined]])),TRUE)</f>
        <v>1</v>
      </c>
    </row>
    <row r="1600" spans="1:45" s="77" customFormat="1" ht="15.75" customHeight="1" x14ac:dyDescent="0.25">
      <c r="A1600" s="77" t="str">
        <f>_xlfn.TEXTJOIN("_",TRUE,questions[[#This Row],[origin]:[qno]])</f>
        <v>Burundi_Arabica_IKAWA RES PROJECT_2026_5140</v>
      </c>
      <c r="B1600" s="77" t="s">
        <v>1057</v>
      </c>
      <c r="C1600" s="77" t="s">
        <v>59</v>
      </c>
      <c r="D1600" s="77" t="s">
        <v>1058</v>
      </c>
      <c r="E1600" s="77">
        <v>2026</v>
      </c>
      <c r="F1600" s="105" t="s">
        <v>171</v>
      </c>
      <c r="G1600" s="78" t="s">
        <v>966</v>
      </c>
      <c r="H1600" s="9" t="str" cm="1">
        <f t="array" ref="H1600">INDEX(stableR[question],MATCH(VALUE(questions[[#This Row],[qno]]),VALUE(stableR[qno]),0))</f>
        <v>Did you use Limestone or Dolomitic Limestone (Dolomite) last year?</v>
      </c>
      <c r="I1600" s="9" t="b" cm="1">
        <f t="array" ref="I1600">INDEX(stable[is_fixed],MATCH(VALUE(questions[[#This Row],[qno]]),VALUE(stable[qno]),0))</f>
        <v>1</v>
      </c>
      <c r="J1600" s="9" t="b" cm="1">
        <f t="array" ref="J1600">INDEX(stable[is_localized],MATCH(VALUE(questions[[#This Row],[qno]]),VALUE(stable[qno]),0))</f>
        <v>1</v>
      </c>
      <c r="K1600" s="9" t="b" cm="1">
        <f t="array" ref="K1600">INDEX(stable[is_supply_chain_dependent],MATCH(VALUE(questions[[#This Row],[qno]]),VALUE(stable[qno]),0))</f>
        <v>0</v>
      </c>
      <c r="L1600" s="9" t="b" cm="1">
        <f t="array" ref="L1600">INDEX(stable[is_mandatory],MATCH(VALUE(questions[[#This Row],[qno]]),VALUE(stable[qno]),0))</f>
        <v>1</v>
      </c>
      <c r="M1600" s="9" t="b" cm="1">
        <f t="array" ref="M1600">INDEX(stable[is_automated],MATCH(VALUE(questions[[#This Row],[qno]]),VALUE(stable[qno]),0))</f>
        <v>0</v>
      </c>
      <c r="N1600" s="9" t="b" cm="1">
        <f t="array" ref="N1600">INDEX(stable[is_free_text],MATCH(VALUE(questions[[#This Row],[qno]]),VALUE(stable[qno]),0))</f>
        <v>0</v>
      </c>
      <c r="O1600" s="9" t="b" cm="1">
        <f t="array" ref="O1600">INDEX(stable[is_numerical],MATCH(VALUE(questions[[#This Row],[qno]]),VALUE(stable[qno]),0))</f>
        <v>0</v>
      </c>
      <c r="P1600" s="77" t="b" cm="1">
        <f t="array" ref="P1600">INDEX(stable[is_single_select],MATCH(VALUE(questions[[#This Row],[qno]]),VALUE(stable[qno]),0))</f>
        <v>1</v>
      </c>
      <c r="Q1600" s="77" t="b" cm="1">
        <f t="array" ref="Q1600">INDEX(stable[is_multi_select],MATCH(VALUE(questions[[#This Row],[qno]]),VALUE(stable[qno]),0))</f>
        <v>0</v>
      </c>
      <c r="R1600" s="77" t="b" cm="1">
        <f t="array" ref="R1600">INDEX(stable[is_skip_logic],MATCH(VALUE(questions[[#This Row],[qno]]),VALUE(stable[qno]),0))</f>
        <v>1</v>
      </c>
      <c r="S1600" s="77" t="str">
        <f>_xlfn.TEXTJOIN(", ",TRUE,questions[[#This Row],[ans_opt_1]:[ans_opt_14]])</f>
        <v>No, Limestone, Dolomitic Limestone (Dolomite)</v>
      </c>
      <c r="T1600" s="77" t="s">
        <v>119</v>
      </c>
      <c r="U1600" s="77" t="s">
        <v>967</v>
      </c>
      <c r="V1600" s="142" t="s">
        <v>968</v>
      </c>
      <c r="AH1600" s="98" t="b">
        <f>INDEX(stable[q_standard],MATCH(questions[[#This Row],[qno]],stable[qno],0))</f>
        <v>0</v>
      </c>
      <c r="AI1600" s="98" t="b">
        <f>INDEX(stable[q_living_income],MATCH(questions[[#This Row],[qno]],stable[qno],0))</f>
        <v>1</v>
      </c>
      <c r="AJ1600" s="98" t="b">
        <f>INDEX(stable[q_carbon],MATCH(questions[[#This Row],[qno]],stable[qno],0))</f>
        <v>1</v>
      </c>
      <c r="AK1600" s="98" t="b">
        <f>INDEX(stable[q_regen_ag],MATCH(questions[[#This Row],[qno]],stable[qno],0))</f>
        <v>0</v>
      </c>
      <c r="AL1600" s="98" t="b">
        <f>COUNTIFS(stable[qno],questions[[#This Row],[qno]])=1</f>
        <v>1</v>
      </c>
      <c r="AM1600" s="98" t="b">
        <f>OR(questions[[#This Row],[is_fixed]],questions[[#This Row],[is_localized]],questions[[#This Row],[is_supply_chain_dependent]])</f>
        <v>1</v>
      </c>
      <c r="AN1600" s="98" t="b">
        <f>COUNTIFS(questions[[#This Row],[is_automated]:[is_multi_select]],TRUE)=1</f>
        <v>1</v>
      </c>
      <c r="AO1600" s="98" t="b">
        <f>IF(questions[[#This Row],[is_fixed]],questions[[#This Row],[question]]=INDEX(stable[question],MATCH(questions[[#This Row],[qno]],stable[qno],0)),TRUE)</f>
        <v>0</v>
      </c>
      <c r="AP1600" s="98" t="str">
        <f>LEFT(questions[[#This Row],[question]],similarity_range)</f>
        <v>Did you use Limeston</v>
      </c>
      <c r="AQ1600" s="98" t="str">
        <f>LEFT(INDEX(stable[question],MATCH(questions[[#This Row],[qno]],stable[qno],0)),similarity_range)</f>
        <v>Did you use Limeston</v>
      </c>
      <c r="AR1600" s="98" t="b">
        <f>questions[[#This Row],[question_first_characters]]=questions[[#This Row],[stability_first_characters]]</f>
        <v>1</v>
      </c>
      <c r="AS1600" s="98" t="b">
        <f>IF(OR(questions[[#This Row],[is_single_select]],questions[[#This Row],[is_multi_select]]),NOT(ISBLANK(questions[[#This Row],[answer_opt_combined]])),TRUE)</f>
        <v>1</v>
      </c>
    </row>
    <row r="1601" spans="1:45" ht="15.75" customHeight="1" x14ac:dyDescent="0.25">
      <c r="A1601" s="9" t="str">
        <f>_xlfn.TEXTJOIN("_",TRUE,questions[[#This Row],[origin]:[qno]])</f>
        <v>Burundi_Arabica_IKAWA RES PROJECT_2026_5141</v>
      </c>
      <c r="B1601" s="9" t="s">
        <v>1057</v>
      </c>
      <c r="C1601" s="9" t="s">
        <v>59</v>
      </c>
      <c r="D1601" s="9" t="s">
        <v>1058</v>
      </c>
      <c r="E1601" s="33">
        <v>2026</v>
      </c>
      <c r="F1601" s="36" t="s">
        <v>750</v>
      </c>
      <c r="G1601" s="37" t="s">
        <v>969</v>
      </c>
      <c r="H1601" s="9" t="str" cm="1">
        <f t="array" ref="H1601">INDEX(stableR[question],MATCH(VALUE(questions[[#This Row],[qno]]),VALUE(stableR[qno]),0))</f>
        <v>What was the total quantity of the Limestone or Dolomitic Limestone (Dolomite) that you used last year? (Kg)</v>
      </c>
      <c r="I1601" s="9" t="b" cm="1">
        <f t="array" ref="I1601">INDEX(stable[is_fixed],MATCH(VALUE(questions[[#This Row],[qno]]),VALUE(stable[qno]),0))</f>
        <v>0</v>
      </c>
      <c r="J1601" s="9" t="b" cm="1">
        <f t="array" ref="J1601">INDEX(stable[is_localized],MATCH(VALUE(questions[[#This Row],[qno]]),VALUE(stable[qno]),0))</f>
        <v>1</v>
      </c>
      <c r="K1601" s="9" t="b" cm="1">
        <f t="array" ref="K1601">INDEX(stable[is_supply_chain_dependent],MATCH(VALUE(questions[[#This Row],[qno]]),VALUE(stable[qno]),0))</f>
        <v>0</v>
      </c>
      <c r="L1601" s="9" t="b" cm="1">
        <f t="array" ref="L1601">INDEX(stable[is_mandatory],MATCH(VALUE(questions[[#This Row],[qno]]),VALUE(stable[qno]),0))</f>
        <v>0</v>
      </c>
      <c r="M1601" s="9" t="b" cm="1">
        <f t="array" ref="M1601">INDEX(stable[is_automated],MATCH(VALUE(questions[[#This Row],[qno]]),VALUE(stable[qno]),0))</f>
        <v>0</v>
      </c>
      <c r="N1601" s="9" t="b" cm="1">
        <f t="array" ref="N1601">INDEX(stable[is_free_text],MATCH(VALUE(questions[[#This Row],[qno]]),VALUE(stable[qno]),0))</f>
        <v>0</v>
      </c>
      <c r="O1601" s="9" t="b" cm="1">
        <f t="array" ref="O1601">INDEX(stable[is_numerical],MATCH(VALUE(questions[[#This Row],[qno]]),VALUE(stable[qno]),0))</f>
        <v>1</v>
      </c>
      <c r="P1601" s="9" t="b" cm="1">
        <f t="array" ref="P1601">INDEX(stable[is_single_select],MATCH(VALUE(questions[[#This Row],[qno]]),VALUE(stable[qno]),0))</f>
        <v>0</v>
      </c>
      <c r="Q1601" s="9" t="b" cm="1">
        <f t="array" ref="Q1601">INDEX(stable[is_multi_select],MATCH(VALUE(questions[[#This Row],[qno]]),VALUE(stable[qno]),0))</f>
        <v>0</v>
      </c>
      <c r="R1601" s="9" t="b" cm="1">
        <f t="array" ref="R1601">INDEX(stable[is_skip_logic],MATCH(VALUE(questions[[#This Row],[qno]]),VALUE(stable[qno]),0))</f>
        <v>1</v>
      </c>
      <c r="S1601" s="9" t="str">
        <f>_xlfn.TEXTJOIN(", ",TRUE,questions[[#This Row],[ans_opt_1]:[ans_opt_14]])</f>
        <v/>
      </c>
      <c r="T1601" s="33"/>
      <c r="U1601" s="33"/>
      <c r="V1601" s="76"/>
      <c r="W1601" s="33"/>
      <c r="X1601" s="33"/>
      <c r="AH1601" s="16" t="b">
        <f>INDEX(stable[q_standard],MATCH(questions[[#This Row],[qno]],stable[qno],0))</f>
        <v>0</v>
      </c>
      <c r="AI1601" s="16" t="b">
        <f>INDEX(stable[q_living_income],MATCH(questions[[#This Row],[qno]],stable[qno],0))</f>
        <v>1</v>
      </c>
      <c r="AJ1601" s="16" t="b">
        <f>INDEX(stable[q_carbon],MATCH(questions[[#This Row],[qno]],stable[qno],0))</f>
        <v>1</v>
      </c>
      <c r="AK1601" s="16" t="b">
        <f>INDEX(stable[q_regen_ag],MATCH(questions[[#This Row],[qno]],stable[qno],0))</f>
        <v>0</v>
      </c>
      <c r="AL1601" s="16" t="b">
        <f>COUNTIFS(stable[qno],questions[[#This Row],[qno]])=1</f>
        <v>1</v>
      </c>
      <c r="AM1601" s="16" t="b">
        <f>OR(questions[[#This Row],[is_fixed]],questions[[#This Row],[is_localized]],questions[[#This Row],[is_supply_chain_dependent]])</f>
        <v>1</v>
      </c>
      <c r="AN1601" s="16" t="b">
        <f>COUNTIFS(questions[[#This Row],[is_automated]:[is_multi_select]],TRUE)=1</f>
        <v>1</v>
      </c>
      <c r="AO1601" s="16" t="b">
        <f>IF(questions[[#This Row],[is_fixed]],questions[[#This Row],[question]]=INDEX(stable[question],MATCH(questions[[#This Row],[qno]],stable[qno],0)),TRUE)</f>
        <v>1</v>
      </c>
      <c r="AP1601" s="16" t="str">
        <f>LEFT(questions[[#This Row],[question]],similarity_range)</f>
        <v>What was the total q</v>
      </c>
      <c r="AQ1601" s="16" t="str">
        <f>LEFT(INDEX(stable[question],MATCH(questions[[#This Row],[qno]],stable[qno],0)),similarity_range)</f>
        <v>What was the total q</v>
      </c>
      <c r="AR1601" s="16" t="b">
        <f>questions[[#This Row],[question_first_characters]]=questions[[#This Row],[stability_first_characters]]</f>
        <v>1</v>
      </c>
      <c r="AS1601" s="16" t="b">
        <f>IF(OR(questions[[#This Row],[is_single_select]],questions[[#This Row],[is_multi_select]]),NOT(ISBLANK(questions[[#This Row],[answer_opt_combined]])),TRUE)</f>
        <v>1</v>
      </c>
    </row>
    <row r="1602" spans="1:45" ht="15.75" customHeight="1" x14ac:dyDescent="0.25">
      <c r="A1602" s="9" t="str">
        <f>_xlfn.TEXTJOIN("_",TRUE,questions[[#This Row],[origin]:[qno]])</f>
        <v>Burundi_Arabica_IKAWA RES PROJECT_2026_5142</v>
      </c>
      <c r="B1602" s="9" t="s">
        <v>1057</v>
      </c>
      <c r="C1602" s="9" t="s">
        <v>59</v>
      </c>
      <c r="D1602" s="9" t="s">
        <v>1058</v>
      </c>
      <c r="E1602" s="33">
        <v>2026</v>
      </c>
      <c r="F1602" s="36" t="s">
        <v>692</v>
      </c>
      <c r="G1602" s="37" t="s">
        <v>752</v>
      </c>
      <c r="H1602" s="9" t="str" cm="1">
        <f t="array" ref="H1602">INDEX(stableR[question],MATCH(VALUE(questions[[#This Row],[qno]]),VALUE(stableR[qno]),0))</f>
        <v>What was the unit of the Limestone or Dolomitic Limestone (Dolomite)? (bags, kg)</v>
      </c>
      <c r="I1602" s="9" t="b" cm="1">
        <f t="array" ref="I1602">INDEX(stable[is_fixed],MATCH(VALUE(questions[[#This Row],[qno]]),VALUE(stable[qno]),0))</f>
        <v>0</v>
      </c>
      <c r="J1602" s="9" t="b" cm="1">
        <f t="array" ref="J1602">INDEX(stable[is_localized],MATCH(VALUE(questions[[#This Row],[qno]]),VALUE(stable[qno]),0))</f>
        <v>1</v>
      </c>
      <c r="K1602" s="9" t="b" cm="1">
        <f t="array" ref="K1602">INDEX(stable[is_supply_chain_dependent],MATCH(VALUE(questions[[#This Row],[qno]]),VALUE(stable[qno]),0))</f>
        <v>0</v>
      </c>
      <c r="L1602" s="9" t="b" cm="1">
        <f t="array" ref="L1602">INDEX(stable[is_mandatory],MATCH(VALUE(questions[[#This Row],[qno]]),VALUE(stable[qno]),0))</f>
        <v>0</v>
      </c>
      <c r="M1602" s="9" t="b" cm="1">
        <f t="array" ref="M1602">INDEX(stable[is_automated],MATCH(VALUE(questions[[#This Row],[qno]]),VALUE(stable[qno]),0))</f>
        <v>0</v>
      </c>
      <c r="N1602" s="9" t="b" cm="1">
        <f t="array" ref="N1602">INDEX(stable[is_free_text],MATCH(VALUE(questions[[#This Row],[qno]]),VALUE(stable[qno]),0))</f>
        <v>0</v>
      </c>
      <c r="O1602" s="9" t="b" cm="1">
        <f t="array" ref="O1602">INDEX(stable[is_numerical],MATCH(VALUE(questions[[#This Row],[qno]]),VALUE(stable[qno]),0))</f>
        <v>0</v>
      </c>
      <c r="P1602" s="9" t="b" cm="1">
        <f t="array" ref="P1602">INDEX(stable[is_single_select],MATCH(VALUE(questions[[#This Row],[qno]]),VALUE(stable[qno]),0))</f>
        <v>1</v>
      </c>
      <c r="Q1602" s="9" t="b" cm="1">
        <f t="array" ref="Q1602">INDEX(stable[is_multi_select],MATCH(VALUE(questions[[#This Row],[qno]]),VALUE(stable[qno]),0))</f>
        <v>0</v>
      </c>
      <c r="R1602" s="9" t="b" cm="1">
        <f t="array" ref="R1602">INDEX(stable[is_skip_logic],MATCH(VALUE(questions[[#This Row],[qno]]),VALUE(stable[qno]),0))</f>
        <v>1</v>
      </c>
      <c r="S1602" s="9" t="str">
        <f>_xlfn.TEXTJOIN(", ",TRUE,questions[[#This Row],[ans_opt_1]:[ans_opt_14]])</f>
        <v>kg</v>
      </c>
      <c r="T1602" s="33" t="s">
        <v>562</v>
      </c>
      <c r="U1602" s="33"/>
      <c r="V1602" s="76"/>
      <c r="W1602" s="33"/>
      <c r="X1602" s="33"/>
      <c r="AH1602" s="16" t="b">
        <f>INDEX(stable[q_standard],MATCH(questions[[#This Row],[qno]],stable[qno],0))</f>
        <v>0</v>
      </c>
      <c r="AI1602" s="16" t="b">
        <f>INDEX(stable[q_living_income],MATCH(questions[[#This Row],[qno]],stable[qno],0))</f>
        <v>1</v>
      </c>
      <c r="AJ1602" s="16" t="b">
        <f>INDEX(stable[q_carbon],MATCH(questions[[#This Row],[qno]],stable[qno],0))</f>
        <v>1</v>
      </c>
      <c r="AK1602" s="16" t="b">
        <f>INDEX(stable[q_regen_ag],MATCH(questions[[#This Row],[qno]],stable[qno],0))</f>
        <v>0</v>
      </c>
      <c r="AL1602" s="16" t="b">
        <f>COUNTIFS(stable[qno],questions[[#This Row],[qno]])=1</f>
        <v>1</v>
      </c>
      <c r="AM1602" s="16" t="b">
        <f>OR(questions[[#This Row],[is_fixed]],questions[[#This Row],[is_localized]],questions[[#This Row],[is_supply_chain_dependent]])</f>
        <v>1</v>
      </c>
      <c r="AN1602" s="16" t="b">
        <f>COUNTIFS(questions[[#This Row],[is_automated]:[is_multi_select]],TRUE)=1</f>
        <v>1</v>
      </c>
      <c r="AO1602" s="16" t="b">
        <f>IF(questions[[#This Row],[is_fixed]],questions[[#This Row],[question]]=INDEX(stable[question],MATCH(questions[[#This Row],[qno]],stable[qno],0)),TRUE)</f>
        <v>1</v>
      </c>
      <c r="AP1602" s="16" t="str">
        <f>LEFT(questions[[#This Row],[question]],similarity_range)</f>
        <v>Please ensure that t</v>
      </c>
      <c r="AQ1602" s="16" t="str">
        <f>LEFT(INDEX(stable[question],MATCH(questions[[#This Row],[qno]],stable[qno],0)),similarity_range)</f>
        <v>What was the unit of</v>
      </c>
      <c r="AR1602" s="16" t="b">
        <f>questions[[#This Row],[question_first_characters]]=questions[[#This Row],[stability_first_characters]]</f>
        <v>0</v>
      </c>
      <c r="AS1602" s="16" t="b">
        <f>IF(OR(questions[[#This Row],[is_single_select]],questions[[#This Row],[is_multi_select]]),NOT(ISBLANK(questions[[#This Row],[answer_opt_combined]])),TRUE)</f>
        <v>1</v>
      </c>
    </row>
    <row r="1603" spans="1:45" s="77" customFormat="1" ht="15.75" customHeight="1" x14ac:dyDescent="0.25">
      <c r="A1603" s="77" t="str">
        <f>_xlfn.TEXTJOIN("_",TRUE,questions[[#This Row],[origin]:[qno]])</f>
        <v>Burundi_Arabica_IKAWA RES PROJECT_2026_5400</v>
      </c>
      <c r="B1603" s="77" t="s">
        <v>1057</v>
      </c>
      <c r="C1603" s="77" t="s">
        <v>59</v>
      </c>
      <c r="D1603" s="77" t="s">
        <v>1058</v>
      </c>
      <c r="E1603" s="77">
        <v>2026</v>
      </c>
      <c r="F1603" s="105" t="s">
        <v>175</v>
      </c>
      <c r="G1603" s="78" t="s">
        <v>176</v>
      </c>
      <c r="H1603" s="9" t="str" cm="1">
        <f t="array" ref="H1603">INDEX(stableR[question],MATCH(VALUE(questions[[#This Row],[qno]]),VALUE(stableR[qno]),0))</f>
        <v>Did you use any type of animal manure, compost, or organic fertilizers for your coffee last year?</v>
      </c>
      <c r="I1603" s="9" t="b" cm="1">
        <f t="array" ref="I1603">INDEX(stable[is_fixed],MATCH(VALUE(questions[[#This Row],[qno]]),VALUE(stable[qno]),0))</f>
        <v>1</v>
      </c>
      <c r="J1603" s="9" t="b" cm="1">
        <f t="array" ref="J1603">INDEX(stable[is_localized],MATCH(VALUE(questions[[#This Row],[qno]]),VALUE(stable[qno]),0))</f>
        <v>0</v>
      </c>
      <c r="K1603" s="9" t="b" cm="1">
        <f t="array" ref="K1603">INDEX(stable[is_supply_chain_dependent],MATCH(VALUE(questions[[#This Row],[qno]]),VALUE(stable[qno]),0))</f>
        <v>0</v>
      </c>
      <c r="L1603" s="9" t="b" cm="1">
        <f t="array" ref="L1603">INDEX(stable[is_mandatory],MATCH(VALUE(questions[[#This Row],[qno]]),VALUE(stable[qno]),0))</f>
        <v>1</v>
      </c>
      <c r="M1603" s="9" t="b" cm="1">
        <f t="array" ref="M1603">INDEX(stable[is_automated],MATCH(VALUE(questions[[#This Row],[qno]]),VALUE(stable[qno]),0))</f>
        <v>0</v>
      </c>
      <c r="N1603" s="9" t="b" cm="1">
        <f t="array" ref="N1603">INDEX(stable[is_free_text],MATCH(VALUE(questions[[#This Row],[qno]]),VALUE(stable[qno]),0))</f>
        <v>0</v>
      </c>
      <c r="O1603" s="9" t="b" cm="1">
        <f t="array" ref="O1603">INDEX(stable[is_numerical],MATCH(VALUE(questions[[#This Row],[qno]]),VALUE(stable[qno]),0))</f>
        <v>0</v>
      </c>
      <c r="P1603" s="77" t="b" cm="1">
        <f t="array" ref="P1603">INDEX(stable[is_single_select],MATCH(VALUE(questions[[#This Row],[qno]]),VALUE(stable[qno]),0))</f>
        <v>1</v>
      </c>
      <c r="Q1603" s="77" t="b" cm="1">
        <f t="array" ref="Q1603">INDEX(stable[is_multi_select],MATCH(VALUE(questions[[#This Row],[qno]]),VALUE(stable[qno]),0))</f>
        <v>0</v>
      </c>
      <c r="R1603" s="77" t="b" cm="1">
        <f t="array" ref="R1603">INDEX(stable[is_skip_logic],MATCH(VALUE(questions[[#This Row],[qno]]),VALUE(stable[qno]),0))</f>
        <v>1</v>
      </c>
      <c r="S1603" s="77" t="str">
        <f>_xlfn.TEXTJOIN(", ",TRUE,questions[[#This Row],[ans_opt_1]:[ans_opt_14]])</f>
        <v>Yes, No</v>
      </c>
      <c r="T1603" s="77" t="s">
        <v>149</v>
      </c>
      <c r="U1603" s="77" t="s">
        <v>119</v>
      </c>
      <c r="AH1603" s="98" t="b">
        <f>INDEX(stable[q_standard],MATCH(questions[[#This Row],[qno]],stable[qno],0))</f>
        <v>0</v>
      </c>
      <c r="AI1603" s="98" t="b">
        <f>INDEX(stable[q_living_income],MATCH(questions[[#This Row],[qno]],stable[qno],0))</f>
        <v>1</v>
      </c>
      <c r="AJ1603" s="98" t="b">
        <f>INDEX(stable[q_carbon],MATCH(questions[[#This Row],[qno]],stable[qno],0))</f>
        <v>1</v>
      </c>
      <c r="AK1603" s="98" t="b">
        <f>INDEX(stable[q_regen_ag],MATCH(questions[[#This Row],[qno]],stable[qno],0))</f>
        <v>0</v>
      </c>
      <c r="AL1603" s="98" t="b">
        <f>COUNTIFS(stable[qno],questions[[#This Row],[qno]])=1</f>
        <v>1</v>
      </c>
      <c r="AM1603" s="98" t="b">
        <f>OR(questions[[#This Row],[is_fixed]],questions[[#This Row],[is_localized]],questions[[#This Row],[is_supply_chain_dependent]])</f>
        <v>1</v>
      </c>
      <c r="AN1603" s="98" t="b">
        <f>COUNTIFS(questions[[#This Row],[is_automated]:[is_multi_select]],TRUE)=1</f>
        <v>1</v>
      </c>
      <c r="AO1603" s="98" t="b">
        <f>IF(questions[[#This Row],[is_fixed]],questions[[#This Row],[question]]=INDEX(stable[question],MATCH(questions[[#This Row],[qno]],stable[qno],0)),TRUE)</f>
        <v>1</v>
      </c>
      <c r="AP1603" s="98" t="str">
        <f>LEFT(questions[[#This Row],[question]],similarity_range)</f>
        <v>Did you use any type</v>
      </c>
      <c r="AQ1603" s="98" t="str">
        <f>LEFT(INDEX(stable[question],MATCH(questions[[#This Row],[qno]],stable[qno],0)),similarity_range)</f>
        <v>Did you use any type</v>
      </c>
      <c r="AR1603" s="98" t="b">
        <f>questions[[#This Row],[question_first_characters]]=questions[[#This Row],[stability_first_characters]]</f>
        <v>1</v>
      </c>
      <c r="AS1603" s="98" t="b">
        <f>IF(OR(questions[[#This Row],[is_single_select]],questions[[#This Row],[is_multi_select]]),NOT(ISBLANK(questions[[#This Row],[answer_opt_combined]])),TRUE)</f>
        <v>1</v>
      </c>
    </row>
    <row r="1604" spans="1:45" s="77" customFormat="1" ht="15.75" customHeight="1" x14ac:dyDescent="0.25">
      <c r="A1604" s="77" t="str">
        <f>_xlfn.TEXTJOIN("_",TRUE,questions[[#This Row],[origin]:[qno]])</f>
        <v>Burundi_Arabica_IKAWA RES PROJECT_2026_5401</v>
      </c>
      <c r="B1604" s="77" t="s">
        <v>1057</v>
      </c>
      <c r="C1604" s="77" t="s">
        <v>59</v>
      </c>
      <c r="D1604" s="77" t="s">
        <v>1058</v>
      </c>
      <c r="E1604" s="77">
        <v>2026</v>
      </c>
      <c r="F1604" s="105" t="s">
        <v>177</v>
      </c>
      <c r="G1604" s="78" t="s">
        <v>1020</v>
      </c>
      <c r="H1604" s="9" t="str" cm="1">
        <f t="array" ref="H1604">INDEX(stableR[question],MATCH(VALUE(questions[[#This Row],[qno]]),VALUE(stableR[qno]),0))</f>
        <v>What was the type of animal manure, compost, or organic fertilizer that you used most last year?</v>
      </c>
      <c r="I1604" s="9" t="b" cm="1">
        <f t="array" ref="I1604">INDEX(stable[is_fixed],MATCH(VALUE(questions[[#This Row],[qno]]),VALUE(stable[qno]),0))</f>
        <v>1</v>
      </c>
      <c r="J1604" s="9" t="b" cm="1">
        <f t="array" ref="J1604">INDEX(stable[is_localized],MATCH(VALUE(questions[[#This Row],[qno]]),VALUE(stable[qno]),0))</f>
        <v>0</v>
      </c>
      <c r="K1604" s="9" t="b" cm="1">
        <f t="array" ref="K1604">INDEX(stable[is_supply_chain_dependent],MATCH(VALUE(questions[[#This Row],[qno]]),VALUE(stable[qno]),0))</f>
        <v>0</v>
      </c>
      <c r="L1604" s="9" t="b" cm="1">
        <f t="array" ref="L1604">INDEX(stable[is_mandatory],MATCH(VALUE(questions[[#This Row],[qno]]),VALUE(stable[qno]),0))</f>
        <v>0</v>
      </c>
      <c r="M1604" s="9" t="b" cm="1">
        <f t="array" ref="M1604">INDEX(stable[is_automated],MATCH(VALUE(questions[[#This Row],[qno]]),VALUE(stable[qno]),0))</f>
        <v>0</v>
      </c>
      <c r="N1604" s="9" t="b" cm="1">
        <f t="array" ref="N1604">INDEX(stable[is_free_text],MATCH(VALUE(questions[[#This Row],[qno]]),VALUE(stable[qno]),0))</f>
        <v>1</v>
      </c>
      <c r="O1604" s="9" t="b" cm="1">
        <f t="array" ref="O1604">INDEX(stable[is_numerical],MATCH(VALUE(questions[[#This Row],[qno]]),VALUE(stable[qno]),0))</f>
        <v>0</v>
      </c>
      <c r="P1604" s="77" t="b" cm="1">
        <f t="array" ref="P1604">INDEX(stable[is_single_select],MATCH(VALUE(questions[[#This Row],[qno]]),VALUE(stable[qno]),0))</f>
        <v>1</v>
      </c>
      <c r="Q1604" s="77" t="b" cm="1">
        <f t="array" ref="Q1604">INDEX(stable[is_multi_select],MATCH(VALUE(questions[[#This Row],[qno]]),VALUE(stable[qno]),0))</f>
        <v>0</v>
      </c>
      <c r="R1604" s="77" t="b" cm="1">
        <f t="array" ref="R1604">INDEX(stable[is_skip_logic],MATCH(VALUE(questions[[#This Row],[qno]]),VALUE(stable[qno]),0))</f>
        <v>1</v>
      </c>
      <c r="S1604" s="77" t="str">
        <f>_xlfn.TEXTJOIN(", ",TRUE,questions[[#This Row],[ans_opt_1]:[ans_opt_14]])</f>
        <v>"Coffee-related organic fertilizer" received from CWSs/Mills , Commercial organic fertilizer, Organic manure sheep, Organic manure poultry, Organic manure horse, Organic manure swine, Goat manure mixed with grass, Composted from rubbish, Organic manure cattle</v>
      </c>
      <c r="T1604" s="77" t="s">
        <v>971</v>
      </c>
      <c r="U1604" s="77" t="s">
        <v>972</v>
      </c>
      <c r="V1604" s="77" t="s">
        <v>973</v>
      </c>
      <c r="W1604" s="77" t="s">
        <v>974</v>
      </c>
      <c r="X1604" s="77" t="s">
        <v>975</v>
      </c>
      <c r="Y1604" s="77" t="s">
        <v>976</v>
      </c>
      <c r="Z1604" s="77" t="s">
        <v>977</v>
      </c>
      <c r="AA1604" s="77" t="s">
        <v>978</v>
      </c>
      <c r="AB1604" s="77" t="s">
        <v>979</v>
      </c>
      <c r="AH1604" s="98" t="b">
        <f>INDEX(stable[q_standard],MATCH(questions[[#This Row],[qno]],stable[qno],0))</f>
        <v>0</v>
      </c>
      <c r="AI1604" s="98" t="b">
        <f>INDEX(stable[q_living_income],MATCH(questions[[#This Row],[qno]],stable[qno],0))</f>
        <v>1</v>
      </c>
      <c r="AJ1604" s="98" t="b">
        <f>INDEX(stable[q_carbon],MATCH(questions[[#This Row],[qno]],stable[qno],0))</f>
        <v>1</v>
      </c>
      <c r="AK1604" s="98" t="b">
        <f>INDEX(stable[q_regen_ag],MATCH(questions[[#This Row],[qno]],stable[qno],0))</f>
        <v>0</v>
      </c>
      <c r="AL1604" s="98" t="b">
        <f>COUNTIFS(stable[qno],questions[[#This Row],[qno]])=1</f>
        <v>1</v>
      </c>
      <c r="AM1604" s="98" t="b">
        <f>OR(questions[[#This Row],[is_fixed]],questions[[#This Row],[is_localized]],questions[[#This Row],[is_supply_chain_dependent]])</f>
        <v>1</v>
      </c>
      <c r="AN1604" s="98" t="b">
        <f>COUNTIFS(questions[[#This Row],[is_automated]:[is_multi_select]],TRUE)=1</f>
        <v>0</v>
      </c>
      <c r="AO1604" s="98" t="b">
        <f>IF(questions[[#This Row],[is_fixed]],questions[[#This Row],[question]]=INDEX(stable[question],MATCH(questions[[#This Row],[qno]],stable[qno],0)),TRUE)</f>
        <v>0</v>
      </c>
      <c r="AP1604" s="98" t="str">
        <f>LEFT(questions[[#This Row],[question]],similarity_range)</f>
        <v>If yes, what was the</v>
      </c>
      <c r="AQ1604" s="98" t="str">
        <f>LEFT(INDEX(stable[question],MATCH(questions[[#This Row],[qno]],stable[qno],0)),similarity_range)</f>
        <v>If yes, what was the</v>
      </c>
      <c r="AR1604" s="98" t="b">
        <f>questions[[#This Row],[question_first_characters]]=questions[[#This Row],[stability_first_characters]]</f>
        <v>1</v>
      </c>
      <c r="AS1604" s="98" t="b">
        <f>IF(OR(questions[[#This Row],[is_single_select]],questions[[#This Row],[is_multi_select]]),NOT(ISBLANK(questions[[#This Row],[answer_opt_combined]])),TRUE)</f>
        <v>1</v>
      </c>
    </row>
    <row r="1605" spans="1:45" ht="15.75" customHeight="1" x14ac:dyDescent="0.25">
      <c r="A1605" s="9" t="str">
        <f>_xlfn.TEXTJOIN("_",TRUE,questions[[#This Row],[origin]:[qno]])</f>
        <v>Burundi_Arabica_IKAWA RES PROJECT_2026_5402</v>
      </c>
      <c r="B1605" s="9" t="s">
        <v>1057</v>
      </c>
      <c r="C1605" s="9" t="s">
        <v>59</v>
      </c>
      <c r="D1605" s="9" t="s">
        <v>1058</v>
      </c>
      <c r="E1605" s="33">
        <v>2026</v>
      </c>
      <c r="F1605" s="36" t="s">
        <v>179</v>
      </c>
      <c r="G1605" s="18" t="s">
        <v>980</v>
      </c>
      <c r="H1605" s="9" t="str" cm="1">
        <f t="array" ref="H1605">INDEX(stableR[question],MATCH(VALUE(questions[[#This Row],[qno]]),VALUE(stableR[qno]),0))</f>
        <v>What was the total quantity of this type of animal manure/compost/organic fertilizer that you used most (Kg)?</v>
      </c>
      <c r="I1605" s="9" t="b" cm="1">
        <f t="array" ref="I1605">INDEX(stable[is_fixed],MATCH(VALUE(questions[[#This Row],[qno]]),VALUE(stable[qno]),0))</f>
        <v>1</v>
      </c>
      <c r="J1605" s="9" t="b" cm="1">
        <f t="array" ref="J1605">INDEX(stable[is_localized],MATCH(VALUE(questions[[#This Row],[qno]]),VALUE(stable[qno]),0))</f>
        <v>0</v>
      </c>
      <c r="K1605" s="9" t="b" cm="1">
        <f t="array" ref="K1605">INDEX(stable[is_supply_chain_dependent],MATCH(VALUE(questions[[#This Row],[qno]]),VALUE(stable[qno]),0))</f>
        <v>0</v>
      </c>
      <c r="L1605" s="9" t="b" cm="1">
        <f t="array" ref="L1605">INDEX(stable[is_mandatory],MATCH(VALUE(questions[[#This Row],[qno]]),VALUE(stable[qno]),0))</f>
        <v>0</v>
      </c>
      <c r="M1605" s="9" t="b" cm="1">
        <f t="array" ref="M1605">INDEX(stable[is_automated],MATCH(VALUE(questions[[#This Row],[qno]]),VALUE(stable[qno]),0))</f>
        <v>0</v>
      </c>
      <c r="N1605" s="9" t="b" cm="1">
        <f t="array" ref="N1605">INDEX(stable[is_free_text],MATCH(VALUE(questions[[#This Row],[qno]]),VALUE(stable[qno]),0))</f>
        <v>0</v>
      </c>
      <c r="O1605" s="9" t="b" cm="1">
        <f t="array" ref="O1605">INDEX(stable[is_numerical],MATCH(VALUE(questions[[#This Row],[qno]]),VALUE(stable[qno]),0))</f>
        <v>1</v>
      </c>
      <c r="P1605" s="9" t="b" cm="1">
        <f t="array" ref="P1605">INDEX(stable[is_single_select],MATCH(VALUE(questions[[#This Row],[qno]]),VALUE(stable[qno]),0))</f>
        <v>0</v>
      </c>
      <c r="Q1605" s="9" t="b" cm="1">
        <f t="array" ref="Q1605">INDEX(stable[is_multi_select],MATCH(VALUE(questions[[#This Row],[qno]]),VALUE(stable[qno]),0))</f>
        <v>0</v>
      </c>
      <c r="R1605" s="9" t="b" cm="1">
        <f t="array" ref="R1605">INDEX(stable[is_skip_logic],MATCH(VALUE(questions[[#This Row],[qno]]),VALUE(stable[qno]),0))</f>
        <v>1</v>
      </c>
      <c r="S1605" s="9" t="str">
        <f>_xlfn.TEXTJOIN(", ",TRUE,questions[[#This Row],[ans_opt_1]:[ans_opt_14]])</f>
        <v/>
      </c>
      <c r="AH1605" s="16" t="b">
        <f>INDEX(stable[q_standard],MATCH(questions[[#This Row],[qno]],stable[qno],0))</f>
        <v>0</v>
      </c>
      <c r="AI1605" s="16" t="b">
        <f>INDEX(stable[q_living_income],MATCH(questions[[#This Row],[qno]],stable[qno],0))</f>
        <v>1</v>
      </c>
      <c r="AJ1605" s="16" t="b">
        <f>INDEX(stable[q_carbon],MATCH(questions[[#This Row],[qno]],stable[qno],0))</f>
        <v>1</v>
      </c>
      <c r="AK1605" s="16" t="b">
        <f>INDEX(stable[q_regen_ag],MATCH(questions[[#This Row],[qno]],stable[qno],0))</f>
        <v>0</v>
      </c>
      <c r="AL1605" s="16" t="b">
        <f>COUNTIFS(stable[qno],questions[[#This Row],[qno]])=1</f>
        <v>1</v>
      </c>
      <c r="AM1605" s="16" t="b">
        <f>OR(questions[[#This Row],[is_fixed]],questions[[#This Row],[is_localized]],questions[[#This Row],[is_supply_chain_dependent]])</f>
        <v>1</v>
      </c>
      <c r="AN1605" s="16" t="b">
        <f>COUNTIFS(questions[[#This Row],[is_automated]:[is_multi_select]],TRUE)=1</f>
        <v>1</v>
      </c>
      <c r="AO1605" s="16" t="b">
        <f>IF(questions[[#This Row],[is_fixed]],questions[[#This Row],[question]]=INDEX(stable[question],MATCH(questions[[#This Row],[qno]],stable[qno],0)),TRUE)</f>
        <v>0</v>
      </c>
      <c r="AP1605" s="16" t="str">
        <f>LEFT(questions[[#This Row],[question]],similarity_range)</f>
        <v>What was the total q</v>
      </c>
      <c r="AQ1605" s="16" t="str">
        <f>LEFT(INDEX(stable[question],MATCH(questions[[#This Row],[qno]],stable[qno],0)),similarity_range)</f>
        <v>What was the total q</v>
      </c>
      <c r="AR1605" s="16" t="b">
        <f>questions[[#This Row],[question_first_characters]]=questions[[#This Row],[stability_first_characters]]</f>
        <v>1</v>
      </c>
      <c r="AS1605" s="16" t="b">
        <f>IF(OR(questions[[#This Row],[is_single_select]],questions[[#This Row],[is_multi_select]]),NOT(ISBLANK(questions[[#This Row],[answer_opt_combined]])),TRUE)</f>
        <v>1</v>
      </c>
    </row>
    <row r="1606" spans="1:45" ht="15.75" customHeight="1" x14ac:dyDescent="0.25">
      <c r="A1606" s="9" t="str">
        <f>_xlfn.TEXTJOIN("_",TRUE,questions[[#This Row],[origin]:[qno]])</f>
        <v>Burundi_Arabica_IKAWA RES PROJECT_2026_5403</v>
      </c>
      <c r="B1606" s="9" t="s">
        <v>1057</v>
      </c>
      <c r="C1606" s="9" t="s">
        <v>59</v>
      </c>
      <c r="D1606" s="9" t="s">
        <v>1058</v>
      </c>
      <c r="E1606" s="33">
        <v>2026</v>
      </c>
      <c r="F1606" s="36" t="s">
        <v>181</v>
      </c>
      <c r="G1606" s="18" t="s">
        <v>981</v>
      </c>
      <c r="H1606" s="9" t="str" cm="1">
        <f t="array" ref="H1606">INDEX(stableR[question],MATCH(VALUE(questions[[#This Row],[qno]]),VALUE(stableR[qno]),0))</f>
        <v>What was the unit of this type of animal manure/compost/organic fertilizer that you used most (kg, basins, 50 kg bags, wheel barrows, small truck/tipper, large truck)?</v>
      </c>
      <c r="I1606" s="9" t="b" cm="1">
        <f t="array" ref="I1606">INDEX(stable[is_fixed],MATCH(VALUE(questions[[#This Row],[qno]]),VALUE(stable[qno]),0))</f>
        <v>1</v>
      </c>
      <c r="J1606" s="9" t="b" cm="1">
        <f t="array" ref="J1606">INDEX(stable[is_localized],MATCH(VALUE(questions[[#This Row],[qno]]),VALUE(stable[qno]),0))</f>
        <v>0</v>
      </c>
      <c r="K1606" s="9" t="b" cm="1">
        <f t="array" ref="K1606">INDEX(stable[is_supply_chain_dependent],MATCH(VALUE(questions[[#This Row],[qno]]),VALUE(stable[qno]),0))</f>
        <v>0</v>
      </c>
      <c r="L1606" s="9" t="b" cm="1">
        <f t="array" ref="L1606">INDEX(stable[is_mandatory],MATCH(VALUE(questions[[#This Row],[qno]]),VALUE(stable[qno]),0))</f>
        <v>0</v>
      </c>
      <c r="M1606" s="9" t="b" cm="1">
        <f t="array" ref="M1606">INDEX(stable[is_automated],MATCH(VALUE(questions[[#This Row],[qno]]),VALUE(stable[qno]),0))</f>
        <v>0</v>
      </c>
      <c r="N1606" s="9" t="b" cm="1">
        <f t="array" ref="N1606">INDEX(stable[is_free_text],MATCH(VALUE(questions[[#This Row],[qno]]),VALUE(stable[qno]),0))</f>
        <v>1</v>
      </c>
      <c r="O1606" s="9" t="b" cm="1">
        <f t="array" ref="O1606">INDEX(stable[is_numerical],MATCH(VALUE(questions[[#This Row],[qno]]),VALUE(stable[qno]),0))</f>
        <v>0</v>
      </c>
      <c r="P1606" s="9" t="b" cm="1">
        <f t="array" ref="P1606">INDEX(stable[is_single_select],MATCH(VALUE(questions[[#This Row],[qno]]),VALUE(stable[qno]),0))</f>
        <v>0</v>
      </c>
      <c r="Q1606" s="9" t="b" cm="1">
        <f t="array" ref="Q1606">INDEX(stable[is_multi_select],MATCH(VALUE(questions[[#This Row],[qno]]),VALUE(stable[qno]),0))</f>
        <v>0</v>
      </c>
      <c r="R1606" s="9" t="b" cm="1">
        <f t="array" ref="R1606">INDEX(stable[is_skip_logic],MATCH(VALUE(questions[[#This Row],[qno]]),VALUE(stable[qno]),0))</f>
        <v>1</v>
      </c>
      <c r="S1606" s="9" t="str">
        <f>_xlfn.TEXTJOIN(", ",TRUE,questions[[#This Row],[ans_opt_1]:[ans_opt_14]])</f>
        <v>Kg</v>
      </c>
      <c r="T1606" s="9" t="s">
        <v>1018</v>
      </c>
      <c r="AH1606" s="16" t="b">
        <f>INDEX(stable[q_standard],MATCH(questions[[#This Row],[qno]],stable[qno],0))</f>
        <v>0</v>
      </c>
      <c r="AI1606" s="16" t="b">
        <f>INDEX(stable[q_living_income],MATCH(questions[[#This Row],[qno]],stable[qno],0))</f>
        <v>1</v>
      </c>
      <c r="AJ1606" s="16" t="b">
        <f>INDEX(stable[q_carbon],MATCH(questions[[#This Row],[qno]],stable[qno],0))</f>
        <v>1</v>
      </c>
      <c r="AK1606" s="16" t="b">
        <f>INDEX(stable[q_regen_ag],MATCH(questions[[#This Row],[qno]],stable[qno],0))</f>
        <v>0</v>
      </c>
      <c r="AL1606" s="16" t="b">
        <f>COUNTIFS(stable[qno],questions[[#This Row],[qno]])=1</f>
        <v>1</v>
      </c>
      <c r="AM1606" s="16" t="b">
        <f>OR(questions[[#This Row],[is_fixed]],questions[[#This Row],[is_localized]],questions[[#This Row],[is_supply_chain_dependent]])</f>
        <v>1</v>
      </c>
      <c r="AN1606" s="16" t="b">
        <f>COUNTIFS(questions[[#This Row],[is_automated]:[is_multi_select]],TRUE)=1</f>
        <v>1</v>
      </c>
      <c r="AO1606" s="16" t="b">
        <f>IF(questions[[#This Row],[is_fixed]],questions[[#This Row],[question]]=INDEX(stable[question],MATCH(questions[[#This Row],[qno]],stable[qno],0)),TRUE)</f>
        <v>0</v>
      </c>
      <c r="AP1606" s="16" t="str">
        <f>LEFT(questions[[#This Row],[question]],similarity_range)</f>
        <v>Please ensure that t</v>
      </c>
      <c r="AQ1606" s="16" t="str">
        <f>LEFT(INDEX(stable[question],MATCH(questions[[#This Row],[qno]],stable[qno],0)),similarity_range)</f>
        <v>What was the unit of</v>
      </c>
      <c r="AR1606" s="16" t="b">
        <f>questions[[#This Row],[question_first_characters]]=questions[[#This Row],[stability_first_characters]]</f>
        <v>0</v>
      </c>
      <c r="AS1606" s="16" t="b">
        <f>IF(OR(questions[[#This Row],[is_single_select]],questions[[#This Row],[is_multi_select]]),NOT(ISBLANK(questions[[#This Row],[answer_opt_combined]])),TRUE)</f>
        <v>1</v>
      </c>
    </row>
    <row r="1607" spans="1:45" s="77" customFormat="1" ht="15.75" customHeight="1" x14ac:dyDescent="0.25">
      <c r="A1607" s="77" t="str">
        <f>_xlfn.TEXTJOIN("_",TRUE,questions[[#This Row],[origin]:[qno]])</f>
        <v>Burundi_Arabica_IKAWA RES PROJECT_2026_5404</v>
      </c>
      <c r="B1607" s="77" t="s">
        <v>1057</v>
      </c>
      <c r="C1607" s="77" t="s">
        <v>59</v>
      </c>
      <c r="D1607" s="77" t="s">
        <v>1058</v>
      </c>
      <c r="E1607" s="77">
        <v>2026</v>
      </c>
      <c r="F1607" s="105" t="s">
        <v>183</v>
      </c>
      <c r="G1607" s="78" t="s">
        <v>760</v>
      </c>
      <c r="H1607" s="9" t="str" cm="1">
        <f t="array" ref="H1607">INDEX(stableR[question],MATCH(VALUE(questions[[#This Row],[qno]]),VALUE(stableR[qno]),0))</f>
        <v>How did you get this manure/compost/organic fertilizer that you used most?</v>
      </c>
      <c r="I1607" s="9" t="b" cm="1">
        <f t="array" ref="I1607">INDEX(stable[is_fixed],MATCH(VALUE(questions[[#This Row],[qno]]),VALUE(stable[qno]),0))</f>
        <v>1</v>
      </c>
      <c r="J1607" s="9" t="b" cm="1">
        <f t="array" ref="J1607">INDEX(stable[is_localized],MATCH(VALUE(questions[[#This Row],[qno]]),VALUE(stable[qno]),0))</f>
        <v>0</v>
      </c>
      <c r="K1607" s="9" t="b" cm="1">
        <f t="array" ref="K1607">INDEX(stable[is_supply_chain_dependent],MATCH(VALUE(questions[[#This Row],[qno]]),VALUE(stable[qno]),0))</f>
        <v>0</v>
      </c>
      <c r="L1607" s="9" t="b" cm="1">
        <f t="array" ref="L1607">INDEX(stable[is_mandatory],MATCH(VALUE(questions[[#This Row],[qno]]),VALUE(stable[qno]),0))</f>
        <v>0</v>
      </c>
      <c r="M1607" s="9" t="b" cm="1">
        <f t="array" ref="M1607">INDEX(stable[is_automated],MATCH(VALUE(questions[[#This Row],[qno]]),VALUE(stable[qno]),0))</f>
        <v>0</v>
      </c>
      <c r="N1607" s="9" t="b" cm="1">
        <f t="array" ref="N1607">INDEX(stable[is_free_text],MATCH(VALUE(questions[[#This Row],[qno]]),VALUE(stable[qno]),0))</f>
        <v>0</v>
      </c>
      <c r="O1607" s="9" t="b" cm="1">
        <f t="array" ref="O1607">INDEX(stable[is_numerical],MATCH(VALUE(questions[[#This Row],[qno]]),VALUE(stable[qno]),0))</f>
        <v>0</v>
      </c>
      <c r="P1607" s="77" t="b" cm="1">
        <f t="array" ref="P1607">INDEX(stable[is_single_select],MATCH(VALUE(questions[[#This Row],[qno]]),VALUE(stable[qno]),0))</f>
        <v>1</v>
      </c>
      <c r="Q1607" s="77" t="b" cm="1">
        <f t="array" ref="Q1607">INDEX(stable[is_multi_select],MATCH(VALUE(questions[[#This Row],[qno]]),VALUE(stable[qno]),0))</f>
        <v>0</v>
      </c>
      <c r="R1607" s="77" t="b" cm="1">
        <f t="array" ref="R1607">INDEX(stable[is_skip_logic],MATCH(VALUE(questions[[#This Row],[qno]]),VALUE(stable[qno]),0))</f>
        <v>1</v>
      </c>
      <c r="S1607" s="77" t="str">
        <f>_xlfn.TEXTJOIN(", ",TRUE,questions[[#This Row],[ans_opt_1]:[ans_opt_14]])</f>
        <v>Bought, From own farm, Received for free</v>
      </c>
      <c r="T1607" s="77" t="s">
        <v>185</v>
      </c>
      <c r="U1607" s="77" t="s">
        <v>186</v>
      </c>
      <c r="V1607" s="77" t="s">
        <v>187</v>
      </c>
      <c r="AH1607" s="98" t="b">
        <f>INDEX(stable[q_standard],MATCH(questions[[#This Row],[qno]],stable[qno],0))</f>
        <v>0</v>
      </c>
      <c r="AI1607" s="98" t="b">
        <f>INDEX(stable[q_living_income],MATCH(questions[[#This Row],[qno]],stable[qno],0))</f>
        <v>1</v>
      </c>
      <c r="AJ1607" s="98" t="b">
        <f>INDEX(stable[q_carbon],MATCH(questions[[#This Row],[qno]],stable[qno],0))</f>
        <v>1</v>
      </c>
      <c r="AK1607" s="98" t="b">
        <f>INDEX(stable[q_regen_ag],MATCH(questions[[#This Row],[qno]],stable[qno],0))</f>
        <v>0</v>
      </c>
      <c r="AL1607" s="98" t="b">
        <f>COUNTIFS(stable[qno],questions[[#This Row],[qno]])=1</f>
        <v>1</v>
      </c>
      <c r="AM1607" s="98" t="b">
        <f>OR(questions[[#This Row],[is_fixed]],questions[[#This Row],[is_localized]],questions[[#This Row],[is_supply_chain_dependent]])</f>
        <v>1</v>
      </c>
      <c r="AN1607" s="98" t="b">
        <f>COUNTIFS(questions[[#This Row],[is_automated]:[is_multi_select]],TRUE)=1</f>
        <v>1</v>
      </c>
      <c r="AO1607" s="98" t="b">
        <f>IF(questions[[#This Row],[is_fixed]],questions[[#This Row],[question]]=INDEX(stable[question],MATCH(questions[[#This Row],[qno]],stable[qno],0)),TRUE)</f>
        <v>0</v>
      </c>
      <c r="AP1607" s="98" t="str">
        <f>LEFT(questions[[#This Row],[question]],similarity_range)</f>
        <v>How did you get this</v>
      </c>
      <c r="AQ1607" s="98" t="str">
        <f>LEFT(INDEX(stable[question],MATCH(questions[[#This Row],[qno]],stable[qno],0)),similarity_range)</f>
        <v>How did you get this</v>
      </c>
      <c r="AR1607" s="98" t="b">
        <f>questions[[#This Row],[question_first_characters]]=questions[[#This Row],[stability_first_characters]]</f>
        <v>1</v>
      </c>
      <c r="AS1607" s="98" t="b">
        <f>IF(OR(questions[[#This Row],[is_single_select]],questions[[#This Row],[is_multi_select]]),NOT(ISBLANK(questions[[#This Row],[answer_opt_combined]])),TRUE)</f>
        <v>1</v>
      </c>
    </row>
    <row r="1608" spans="1:45" s="77" customFormat="1" ht="15.75" customHeight="1" x14ac:dyDescent="0.25">
      <c r="A1608" s="77" t="str">
        <f>_xlfn.TEXTJOIN("_",TRUE,questions[[#This Row],[origin]:[qno]])</f>
        <v>Burundi_Arabica_IKAWA RES PROJECT_2026_5410</v>
      </c>
      <c r="B1608" s="77" t="s">
        <v>1057</v>
      </c>
      <c r="C1608" s="77" t="s">
        <v>59</v>
      </c>
      <c r="D1608" s="77" t="s">
        <v>1058</v>
      </c>
      <c r="E1608" s="77">
        <v>2026</v>
      </c>
      <c r="F1608" s="114" t="s">
        <v>189</v>
      </c>
      <c r="G1608" s="78" t="str">
        <f>INDEX(stable[question],MATCH(questions[[#This Row],[qno]],stable[qno],0))</f>
        <v>Was there a second type of animal manure, compost, or organic fertilizer and if yes, what was the type of this second most used manure/compost/organic fertilizer last year? Please give the name of the type used. For instance cow manure or the brand name and type of organic fertilizer.</v>
      </c>
      <c r="H1608" s="9" t="str" cm="1">
        <f t="array" ref="H1608">INDEX(stableR[question],MATCH(VALUE(questions[[#This Row],[qno]]),VALUE(stableR[qno]),0))</f>
        <v>What was the type of animal manure, compost, or organic fertilizer that you used second most last year?</v>
      </c>
      <c r="I1608" s="9" t="b" cm="1">
        <f t="array" ref="I1608">INDEX(stable[is_fixed],MATCH(VALUE(questions[[#This Row],[qno]]),VALUE(stable[qno]),0))</f>
        <v>1</v>
      </c>
      <c r="J1608" s="9" t="b" cm="1">
        <f t="array" ref="J1608">INDEX(stable[is_localized],MATCH(VALUE(questions[[#This Row],[qno]]),VALUE(stable[qno]),0))</f>
        <v>0</v>
      </c>
      <c r="K1608" s="9" t="b" cm="1">
        <f t="array" ref="K1608">INDEX(stable[is_supply_chain_dependent],MATCH(VALUE(questions[[#This Row],[qno]]),VALUE(stable[qno]),0))</f>
        <v>0</v>
      </c>
      <c r="L1608" s="9" t="b" cm="1">
        <f t="array" ref="L1608">INDEX(stable[is_mandatory],MATCH(VALUE(questions[[#This Row],[qno]]),VALUE(stable[qno]),0))</f>
        <v>0</v>
      </c>
      <c r="M1608" s="9" t="b" cm="1">
        <f t="array" ref="M1608">INDEX(stable[is_automated],MATCH(VALUE(questions[[#This Row],[qno]]),VALUE(stable[qno]),0))</f>
        <v>0</v>
      </c>
      <c r="N1608" s="9" t="b" cm="1">
        <f t="array" ref="N1608">INDEX(stable[is_free_text],MATCH(VALUE(questions[[#This Row],[qno]]),VALUE(stable[qno]),0))</f>
        <v>1</v>
      </c>
      <c r="O1608" s="9" t="b" cm="1">
        <f t="array" ref="O1608">INDEX(stable[is_numerical],MATCH(VALUE(questions[[#This Row],[qno]]),VALUE(stable[qno]),0))</f>
        <v>0</v>
      </c>
      <c r="P1608" s="77" t="b" cm="1">
        <f t="array" ref="P1608">INDEX(stable[is_single_select],MATCH(VALUE(questions[[#This Row],[qno]]),VALUE(stable[qno]),0))</f>
        <v>1</v>
      </c>
      <c r="Q1608" s="77" t="b" cm="1">
        <f t="array" ref="Q1608">INDEX(stable[is_multi_select],MATCH(VALUE(questions[[#This Row],[qno]]),VALUE(stable[qno]),0))</f>
        <v>0</v>
      </c>
      <c r="R1608" s="77" t="b" cm="1">
        <f t="array" ref="R1608">INDEX(stable[is_skip_logic],MATCH(VALUE(questions[[#This Row],[qno]]),VALUE(stable[qno]),0))</f>
        <v>1</v>
      </c>
      <c r="S1608" s="77" t="str">
        <f>_xlfn.TEXTJOIN(", ",TRUE,questions[[#This Row],[ans_opt_1]:[ans_opt_14]])</f>
        <v>"Coffee-related organic fertilizer" received from CWSs/Mills , Commercial organic fertilizer, Organic manure sheep, Organic manure poultry, Organic manure horse, Organic manure swine, Goat manure mixed with grass, Composted from rubbish, Organic manure cattle</v>
      </c>
      <c r="T1608" s="77" t="s">
        <v>971</v>
      </c>
      <c r="U1608" s="77" t="s">
        <v>972</v>
      </c>
      <c r="V1608" s="77" t="s">
        <v>973</v>
      </c>
      <c r="W1608" s="77" t="s">
        <v>974</v>
      </c>
      <c r="X1608" s="77" t="s">
        <v>975</v>
      </c>
      <c r="Y1608" s="77" t="s">
        <v>976</v>
      </c>
      <c r="Z1608" s="77" t="s">
        <v>977</v>
      </c>
      <c r="AA1608" s="77" t="s">
        <v>978</v>
      </c>
      <c r="AB1608" s="77" t="s">
        <v>979</v>
      </c>
      <c r="AH1608" s="98" t="b">
        <f>INDEX(stable[q_standard],MATCH(questions[[#This Row],[qno]],stable[qno],0))</f>
        <v>0</v>
      </c>
      <c r="AI1608" s="98" t="b">
        <f>INDEX(stable[q_living_income],MATCH(questions[[#This Row],[qno]],stable[qno],0))</f>
        <v>1</v>
      </c>
      <c r="AJ1608" s="98" t="b">
        <f>INDEX(stable[q_carbon],MATCH(questions[[#This Row],[qno]],stable[qno],0))</f>
        <v>1</v>
      </c>
      <c r="AK1608" s="98" t="b">
        <f>INDEX(stable[q_regen_ag],MATCH(questions[[#This Row],[qno]],stable[qno],0))</f>
        <v>0</v>
      </c>
      <c r="AL1608" s="98" t="b">
        <f>COUNTIFS(stable[qno],questions[[#This Row],[qno]])=1</f>
        <v>1</v>
      </c>
      <c r="AM1608" s="98" t="b">
        <f>OR(questions[[#This Row],[is_fixed]],questions[[#This Row],[is_localized]],questions[[#This Row],[is_supply_chain_dependent]])</f>
        <v>1</v>
      </c>
      <c r="AN1608" s="98" t="b">
        <f>COUNTIFS(questions[[#This Row],[is_automated]:[is_multi_select]],TRUE)=1</f>
        <v>0</v>
      </c>
      <c r="AO1608" s="98" t="b">
        <f>IF(questions[[#This Row],[is_fixed]],questions[[#This Row],[question]]=INDEX(stable[question],MATCH(questions[[#This Row],[qno]],stable[qno],0)),TRUE)</f>
        <v>1</v>
      </c>
      <c r="AP1608" s="98" t="str">
        <f>LEFT(questions[[#This Row],[question]],similarity_range)</f>
        <v>Was there a second t</v>
      </c>
      <c r="AQ1608" s="98" t="str">
        <f>LEFT(INDEX(stable[question],MATCH(questions[[#This Row],[qno]],stable[qno],0)),similarity_range)</f>
        <v>Was there a second t</v>
      </c>
      <c r="AR1608" s="98" t="b">
        <f>questions[[#This Row],[question_first_characters]]=questions[[#This Row],[stability_first_characters]]</f>
        <v>1</v>
      </c>
      <c r="AS1608" s="98" t="b">
        <f>IF(OR(questions[[#This Row],[is_single_select]],questions[[#This Row],[is_multi_select]]),NOT(ISBLANK(questions[[#This Row],[answer_opt_combined]])),TRUE)</f>
        <v>1</v>
      </c>
    </row>
    <row r="1609" spans="1:45" ht="15.75" customHeight="1" x14ac:dyDescent="0.25">
      <c r="A1609" s="9" t="str">
        <f>_xlfn.TEXTJOIN("_",TRUE,questions[[#This Row],[origin]:[qno]])</f>
        <v>Burundi_Arabica_IKAWA RES PROJECT_2026_5411</v>
      </c>
      <c r="B1609" s="9" t="s">
        <v>1057</v>
      </c>
      <c r="C1609" s="9" t="s">
        <v>59</v>
      </c>
      <c r="D1609" s="9" t="s">
        <v>1058</v>
      </c>
      <c r="E1609" s="33">
        <v>2026</v>
      </c>
      <c r="F1609" s="39" t="s">
        <v>191</v>
      </c>
      <c r="G1609" s="15" t="s">
        <v>192</v>
      </c>
      <c r="H1609" s="9" t="str" cm="1">
        <f t="array" ref="H1609">INDEX(stableR[question],MATCH(VALUE(questions[[#This Row],[qno]]),VALUE(stableR[qno]),0))</f>
        <v>What was the total quantity of this type of animal manure/compost/organic fertilizer that you used second most? (Kg)</v>
      </c>
      <c r="I1609" s="9" t="b" cm="1">
        <f t="array" ref="I1609">INDEX(stable[is_fixed],MATCH(VALUE(questions[[#This Row],[qno]]),VALUE(stable[qno]),0))</f>
        <v>1</v>
      </c>
      <c r="J1609" s="9" t="b" cm="1">
        <f t="array" ref="J1609">INDEX(stable[is_localized],MATCH(VALUE(questions[[#This Row],[qno]]),VALUE(stable[qno]),0))</f>
        <v>0</v>
      </c>
      <c r="K1609" s="9" t="b" cm="1">
        <f t="array" ref="K1609">INDEX(stable[is_supply_chain_dependent],MATCH(VALUE(questions[[#This Row],[qno]]),VALUE(stable[qno]),0))</f>
        <v>0</v>
      </c>
      <c r="L1609" s="9" t="b" cm="1">
        <f t="array" ref="L1609">INDEX(stable[is_mandatory],MATCH(VALUE(questions[[#This Row],[qno]]),VALUE(stable[qno]),0))</f>
        <v>0</v>
      </c>
      <c r="M1609" s="9" t="b" cm="1">
        <f t="array" ref="M1609">INDEX(stable[is_automated],MATCH(VALUE(questions[[#This Row],[qno]]),VALUE(stable[qno]),0))</f>
        <v>0</v>
      </c>
      <c r="N1609" s="9" t="b" cm="1">
        <f t="array" ref="N1609">INDEX(stable[is_free_text],MATCH(VALUE(questions[[#This Row],[qno]]),VALUE(stable[qno]),0))</f>
        <v>0</v>
      </c>
      <c r="O1609" s="9" t="b" cm="1">
        <f t="array" ref="O1609">INDEX(stable[is_numerical],MATCH(VALUE(questions[[#This Row],[qno]]),VALUE(stable[qno]),0))</f>
        <v>1</v>
      </c>
      <c r="P1609" s="9" t="b" cm="1">
        <f t="array" ref="P1609">INDEX(stable[is_single_select],MATCH(VALUE(questions[[#This Row],[qno]]),VALUE(stable[qno]),0))</f>
        <v>0</v>
      </c>
      <c r="Q1609" s="9" t="b" cm="1">
        <f t="array" ref="Q1609">INDEX(stable[is_multi_select],MATCH(VALUE(questions[[#This Row],[qno]]),VALUE(stable[qno]),0))</f>
        <v>0</v>
      </c>
      <c r="R1609" s="9" t="b" cm="1">
        <f t="array" ref="R1609">INDEX(stable[is_skip_logic],MATCH(VALUE(questions[[#This Row],[qno]]),VALUE(stable[qno]),0))</f>
        <v>1</v>
      </c>
      <c r="S1609" s="9" t="str">
        <f>_xlfn.TEXTJOIN(", ",TRUE,questions[[#This Row],[ans_opt_1]:[ans_opt_14]])</f>
        <v/>
      </c>
      <c r="AH1609" s="16" t="b">
        <f>INDEX(stable[q_standard],MATCH(questions[[#This Row],[qno]],stable[qno],0))</f>
        <v>0</v>
      </c>
      <c r="AI1609" s="16" t="b">
        <f>INDEX(stable[q_living_income],MATCH(questions[[#This Row],[qno]],stable[qno],0))</f>
        <v>1</v>
      </c>
      <c r="AJ1609" s="16" t="b">
        <f>INDEX(stable[q_carbon],MATCH(questions[[#This Row],[qno]],stable[qno],0))</f>
        <v>1</v>
      </c>
      <c r="AK1609" s="16" t="b">
        <f>INDEX(stable[q_regen_ag],MATCH(questions[[#This Row],[qno]],stable[qno],0))</f>
        <v>0</v>
      </c>
      <c r="AL1609" s="16" t="b">
        <f>COUNTIFS(stable[qno],questions[[#This Row],[qno]])=1</f>
        <v>1</v>
      </c>
      <c r="AM1609" s="16" t="b">
        <f>OR(questions[[#This Row],[is_fixed]],questions[[#This Row],[is_localized]],questions[[#This Row],[is_supply_chain_dependent]])</f>
        <v>1</v>
      </c>
      <c r="AN1609" s="16" t="b">
        <f>COUNTIFS(questions[[#This Row],[is_automated]:[is_multi_select]],TRUE)=1</f>
        <v>1</v>
      </c>
      <c r="AO1609" s="16" t="b">
        <f>IF(questions[[#This Row],[is_fixed]],questions[[#This Row],[question]]=INDEX(stable[question],MATCH(questions[[#This Row],[qno]],stable[qno],0)),TRUE)</f>
        <v>1</v>
      </c>
      <c r="AP1609" s="16" t="str">
        <f>LEFT(questions[[#This Row],[question]],similarity_range)</f>
        <v>What was the total q</v>
      </c>
      <c r="AQ1609" s="16" t="str">
        <f>LEFT(INDEX(stable[question],MATCH(questions[[#This Row],[qno]],stable[qno],0)),similarity_range)</f>
        <v>What was the total q</v>
      </c>
      <c r="AR1609" s="16" t="b">
        <f>questions[[#This Row],[question_first_characters]]=questions[[#This Row],[stability_first_characters]]</f>
        <v>1</v>
      </c>
      <c r="AS1609" s="16" t="b">
        <f>IF(OR(questions[[#This Row],[is_single_select]],questions[[#This Row],[is_multi_select]]),NOT(ISBLANK(questions[[#This Row],[answer_opt_combined]])),TRUE)</f>
        <v>1</v>
      </c>
    </row>
    <row r="1610" spans="1:45" ht="15.75" customHeight="1" x14ac:dyDescent="0.25">
      <c r="A1610" s="9" t="str">
        <f>_xlfn.TEXTJOIN("_",TRUE,questions[[#This Row],[origin]:[qno]])</f>
        <v>Burundi_Arabica_IKAWA RES PROJECT_2026_5412</v>
      </c>
      <c r="B1610" s="9" t="s">
        <v>1057</v>
      </c>
      <c r="C1610" s="9" t="s">
        <v>59</v>
      </c>
      <c r="D1610" s="9" t="s">
        <v>1058</v>
      </c>
      <c r="E1610" s="33">
        <v>2026</v>
      </c>
      <c r="F1610" s="39" t="s">
        <v>193</v>
      </c>
      <c r="G1610" s="18" t="s">
        <v>984</v>
      </c>
      <c r="H1610" s="9" t="str" cm="1">
        <f t="array" ref="H1610">INDEX(stableR[question],MATCH(VALUE(questions[[#This Row],[qno]]),VALUE(stableR[qno]),0))</f>
        <v>What was the unit of this type of animal manure/compost/organic fertilizer that you used second most (kg, basins, 50 kg bags, wheel barrows, small truck/tipper, large truck)?</v>
      </c>
      <c r="I1610" s="9" t="b" cm="1">
        <f t="array" ref="I1610">INDEX(stable[is_fixed],MATCH(VALUE(questions[[#This Row],[qno]]),VALUE(stable[qno]),0))</f>
        <v>1</v>
      </c>
      <c r="J1610" s="9" t="b" cm="1">
        <f t="array" ref="J1610">INDEX(stable[is_localized],MATCH(VALUE(questions[[#This Row],[qno]]),VALUE(stable[qno]),0))</f>
        <v>0</v>
      </c>
      <c r="K1610" s="9" t="b" cm="1">
        <f t="array" ref="K1610">INDEX(stable[is_supply_chain_dependent],MATCH(VALUE(questions[[#This Row],[qno]]),VALUE(stable[qno]),0))</f>
        <v>0</v>
      </c>
      <c r="L1610" s="9" t="b" cm="1">
        <f t="array" ref="L1610">INDEX(stable[is_mandatory],MATCH(VALUE(questions[[#This Row],[qno]]),VALUE(stable[qno]),0))</f>
        <v>0</v>
      </c>
      <c r="M1610" s="9" t="b" cm="1">
        <f t="array" ref="M1610">INDEX(stable[is_automated],MATCH(VALUE(questions[[#This Row],[qno]]),VALUE(stable[qno]),0))</f>
        <v>0</v>
      </c>
      <c r="N1610" s="9" t="b" cm="1">
        <f t="array" ref="N1610">INDEX(stable[is_free_text],MATCH(VALUE(questions[[#This Row],[qno]]),VALUE(stable[qno]),0))</f>
        <v>1</v>
      </c>
      <c r="O1610" s="9" t="b" cm="1">
        <f t="array" ref="O1610">INDEX(stable[is_numerical],MATCH(VALUE(questions[[#This Row],[qno]]),VALUE(stable[qno]),0))</f>
        <v>0</v>
      </c>
      <c r="P1610" s="9" t="b" cm="1">
        <f t="array" ref="P1610">INDEX(stable[is_single_select],MATCH(VALUE(questions[[#This Row],[qno]]),VALUE(stable[qno]),0))</f>
        <v>0</v>
      </c>
      <c r="Q1610" s="9" t="b" cm="1">
        <f t="array" ref="Q1610">INDEX(stable[is_multi_select],MATCH(VALUE(questions[[#This Row],[qno]]),VALUE(stable[qno]),0))</f>
        <v>0</v>
      </c>
      <c r="R1610" s="9" t="b" cm="1">
        <f t="array" ref="R1610">INDEX(stable[is_skip_logic],MATCH(VALUE(questions[[#This Row],[qno]]),VALUE(stable[qno]),0))</f>
        <v>1</v>
      </c>
      <c r="S1610" s="9" t="str">
        <f>_xlfn.TEXTJOIN(", ",TRUE,questions[[#This Row],[ans_opt_1]:[ans_opt_14]])</f>
        <v>Kg</v>
      </c>
      <c r="T1610" s="9" t="s">
        <v>1018</v>
      </c>
      <c r="AH1610" s="16" t="b">
        <f>INDEX(stable[q_standard],MATCH(questions[[#This Row],[qno]],stable[qno],0))</f>
        <v>0</v>
      </c>
      <c r="AI1610" s="16" t="b">
        <f>INDEX(stable[q_living_income],MATCH(questions[[#This Row],[qno]],stable[qno],0))</f>
        <v>1</v>
      </c>
      <c r="AJ1610" s="16" t="b">
        <f>INDEX(stable[q_carbon],MATCH(questions[[#This Row],[qno]],stable[qno],0))</f>
        <v>1</v>
      </c>
      <c r="AK1610" s="16" t="b">
        <f>INDEX(stable[q_regen_ag],MATCH(questions[[#This Row],[qno]],stable[qno],0))</f>
        <v>0</v>
      </c>
      <c r="AL1610" s="16" t="b">
        <f>COUNTIFS(stable[qno],questions[[#This Row],[qno]])=1</f>
        <v>1</v>
      </c>
      <c r="AM1610" s="16" t="b">
        <f>OR(questions[[#This Row],[is_fixed]],questions[[#This Row],[is_localized]],questions[[#This Row],[is_supply_chain_dependent]])</f>
        <v>1</v>
      </c>
      <c r="AN1610" s="16" t="b">
        <f>COUNTIFS(questions[[#This Row],[is_automated]:[is_multi_select]],TRUE)=1</f>
        <v>1</v>
      </c>
      <c r="AO1610" s="16" t="b">
        <f>IF(questions[[#This Row],[is_fixed]],questions[[#This Row],[question]]=INDEX(stable[question],MATCH(questions[[#This Row],[qno]],stable[qno],0)),TRUE)</f>
        <v>0</v>
      </c>
      <c r="AP1610" s="16" t="str">
        <f>LEFT(questions[[#This Row],[question]],similarity_range)</f>
        <v>Please ensure that t</v>
      </c>
      <c r="AQ1610" s="16" t="str">
        <f>LEFT(INDEX(stable[question],MATCH(questions[[#This Row],[qno]],stable[qno],0)),similarity_range)</f>
        <v>What was the unit of</v>
      </c>
      <c r="AR1610" s="16" t="b">
        <f>questions[[#This Row],[question_first_characters]]=questions[[#This Row],[stability_first_characters]]</f>
        <v>0</v>
      </c>
      <c r="AS1610" s="16" t="b">
        <f>IF(OR(questions[[#This Row],[is_single_select]],questions[[#This Row],[is_multi_select]]),NOT(ISBLANK(questions[[#This Row],[answer_opt_combined]])),TRUE)</f>
        <v>1</v>
      </c>
    </row>
    <row r="1611" spans="1:45" s="77" customFormat="1" ht="15.75" customHeight="1" x14ac:dyDescent="0.25">
      <c r="A1611" s="77" t="str">
        <f>_xlfn.TEXTJOIN("_",TRUE,questions[[#This Row],[origin]:[qno]])</f>
        <v>Burundi_Arabica_IKAWA RES PROJECT_2026_5413</v>
      </c>
      <c r="B1611" s="77" t="s">
        <v>1057</v>
      </c>
      <c r="C1611" s="77" t="s">
        <v>59</v>
      </c>
      <c r="D1611" s="77" t="s">
        <v>1058</v>
      </c>
      <c r="E1611" s="77">
        <v>2026</v>
      </c>
      <c r="F1611" s="114" t="s">
        <v>195</v>
      </c>
      <c r="G1611" s="78" t="s">
        <v>761</v>
      </c>
      <c r="H1611" s="9" t="str" cm="1">
        <f t="array" ref="H1611">INDEX(stableR[question],MATCH(VALUE(questions[[#This Row],[qno]]),VALUE(stableR[qno]),0))</f>
        <v>How did you get this manure/compost/organic fertilizer that you used second most?</v>
      </c>
      <c r="I1611" s="9" t="b" cm="1">
        <f t="array" ref="I1611">INDEX(stable[is_fixed],MATCH(VALUE(questions[[#This Row],[qno]]),VALUE(stable[qno]),0))</f>
        <v>1</v>
      </c>
      <c r="J1611" s="9" t="b" cm="1">
        <f t="array" ref="J1611">INDEX(stable[is_localized],MATCH(VALUE(questions[[#This Row],[qno]]),VALUE(stable[qno]),0))</f>
        <v>0</v>
      </c>
      <c r="K1611" s="9" t="b" cm="1">
        <f t="array" ref="K1611">INDEX(stable[is_supply_chain_dependent],MATCH(VALUE(questions[[#This Row],[qno]]),VALUE(stable[qno]),0))</f>
        <v>0</v>
      </c>
      <c r="L1611" s="9" t="b" cm="1">
        <f t="array" ref="L1611">INDEX(stable[is_mandatory],MATCH(VALUE(questions[[#This Row],[qno]]),VALUE(stable[qno]),0))</f>
        <v>0</v>
      </c>
      <c r="M1611" s="9" t="b" cm="1">
        <f t="array" ref="M1611">INDEX(stable[is_automated],MATCH(VALUE(questions[[#This Row],[qno]]),VALUE(stable[qno]),0))</f>
        <v>0</v>
      </c>
      <c r="N1611" s="9" t="b" cm="1">
        <f t="array" ref="N1611">INDEX(stable[is_free_text],MATCH(VALUE(questions[[#This Row],[qno]]),VALUE(stable[qno]),0))</f>
        <v>0</v>
      </c>
      <c r="O1611" s="9" t="b" cm="1">
        <f t="array" ref="O1611">INDEX(stable[is_numerical],MATCH(VALUE(questions[[#This Row],[qno]]),VALUE(stable[qno]),0))</f>
        <v>0</v>
      </c>
      <c r="P1611" s="77" t="b" cm="1">
        <f t="array" ref="P1611">INDEX(stable[is_single_select],MATCH(VALUE(questions[[#This Row],[qno]]),VALUE(stable[qno]),0))</f>
        <v>1</v>
      </c>
      <c r="Q1611" s="77" t="b" cm="1">
        <f t="array" ref="Q1611">INDEX(stable[is_multi_select],MATCH(VALUE(questions[[#This Row],[qno]]),VALUE(stable[qno]),0))</f>
        <v>0</v>
      </c>
      <c r="R1611" s="77" t="b" cm="1">
        <f t="array" ref="R1611">INDEX(stable[is_skip_logic],MATCH(VALUE(questions[[#This Row],[qno]]),VALUE(stable[qno]),0))</f>
        <v>1</v>
      </c>
      <c r="S1611" s="77" t="str">
        <f>_xlfn.TEXTJOIN(", ",TRUE,questions[[#This Row],[ans_opt_1]:[ans_opt_14]])</f>
        <v>Bought, From own farm, Received for free</v>
      </c>
      <c r="T1611" s="77" t="s">
        <v>185</v>
      </c>
      <c r="U1611" s="77" t="s">
        <v>186</v>
      </c>
      <c r="V1611" s="77" t="s">
        <v>187</v>
      </c>
      <c r="AH1611" s="98" t="b">
        <f>INDEX(stable[q_standard],MATCH(questions[[#This Row],[qno]],stable[qno],0))</f>
        <v>0</v>
      </c>
      <c r="AI1611" s="98" t="b">
        <f>INDEX(stable[q_living_income],MATCH(questions[[#This Row],[qno]],stable[qno],0))</f>
        <v>1</v>
      </c>
      <c r="AJ1611" s="98" t="b">
        <f>INDEX(stable[q_carbon],MATCH(questions[[#This Row],[qno]],stable[qno],0))</f>
        <v>1</v>
      </c>
      <c r="AK1611" s="98" t="b">
        <f>INDEX(stable[q_regen_ag],MATCH(questions[[#This Row],[qno]],stable[qno],0))</f>
        <v>0</v>
      </c>
      <c r="AL1611" s="98" t="b">
        <f>COUNTIFS(stable[qno],questions[[#This Row],[qno]])=1</f>
        <v>1</v>
      </c>
      <c r="AM1611" s="98" t="b">
        <f>OR(questions[[#This Row],[is_fixed]],questions[[#This Row],[is_localized]],questions[[#This Row],[is_supply_chain_dependent]])</f>
        <v>1</v>
      </c>
      <c r="AN1611" s="98" t="b">
        <f>COUNTIFS(questions[[#This Row],[is_automated]:[is_multi_select]],TRUE)=1</f>
        <v>1</v>
      </c>
      <c r="AO1611" s="98" t="b">
        <f>IF(questions[[#This Row],[is_fixed]],questions[[#This Row],[question]]=INDEX(stable[question],MATCH(questions[[#This Row],[qno]],stable[qno],0)),TRUE)</f>
        <v>0</v>
      </c>
      <c r="AP1611" s="98" t="str">
        <f>LEFT(questions[[#This Row],[question]],similarity_range)</f>
        <v>How did you get this</v>
      </c>
      <c r="AQ1611" s="98" t="str">
        <f>LEFT(INDEX(stable[question],MATCH(questions[[#This Row],[qno]],stable[qno],0)),similarity_range)</f>
        <v>How did you get this</v>
      </c>
      <c r="AR1611" s="98" t="b">
        <f>questions[[#This Row],[question_first_characters]]=questions[[#This Row],[stability_first_characters]]</f>
        <v>1</v>
      </c>
      <c r="AS1611" s="98" t="b">
        <f>IF(OR(questions[[#This Row],[is_single_select]],questions[[#This Row],[is_multi_select]]),NOT(ISBLANK(questions[[#This Row],[answer_opt_combined]])),TRUE)</f>
        <v>1</v>
      </c>
    </row>
    <row r="1612" spans="1:45" s="77" customFormat="1" ht="15.75" customHeight="1" x14ac:dyDescent="0.25">
      <c r="A1612" s="77" t="str">
        <f>_xlfn.TEXTJOIN("_",TRUE,questions[[#This Row],[origin]:[qno]])</f>
        <v>Burundi_Arabica_IKAWA RES PROJECT_2026_5500</v>
      </c>
      <c r="B1612" s="77" t="s">
        <v>1057</v>
      </c>
      <c r="C1612" s="77" t="s">
        <v>59</v>
      </c>
      <c r="D1612" s="77" t="s">
        <v>1058</v>
      </c>
      <c r="E1612" s="77">
        <v>2026</v>
      </c>
      <c r="F1612" s="105" t="s">
        <v>197</v>
      </c>
      <c r="G1612" s="78" t="s">
        <v>198</v>
      </c>
      <c r="H1612" s="9" t="str" cm="1">
        <f t="array" ref="H1612">INDEX(stableR[question],MATCH(VALUE(questions[[#This Row],[qno]]),VALUE(stableR[qno]),0))</f>
        <v>Did you apply any type of mulch on your coffee last year?</v>
      </c>
      <c r="I1612" s="9" t="b" cm="1">
        <f t="array" ref="I1612">INDEX(stable[is_fixed],MATCH(VALUE(questions[[#This Row],[qno]]),VALUE(stable[qno]),0))</f>
        <v>1</v>
      </c>
      <c r="J1612" s="9" t="b" cm="1">
        <f t="array" ref="J1612">INDEX(stable[is_localized],MATCH(VALUE(questions[[#This Row],[qno]]),VALUE(stable[qno]),0))</f>
        <v>0</v>
      </c>
      <c r="K1612" s="9" t="b" cm="1">
        <f t="array" ref="K1612">INDEX(stable[is_supply_chain_dependent],MATCH(VALUE(questions[[#This Row],[qno]]),VALUE(stable[qno]),0))</f>
        <v>0</v>
      </c>
      <c r="L1612" s="9" t="b" cm="1">
        <f t="array" ref="L1612">INDEX(stable[is_mandatory],MATCH(VALUE(questions[[#This Row],[qno]]),VALUE(stable[qno]),0))</f>
        <v>1</v>
      </c>
      <c r="M1612" s="9" t="b" cm="1">
        <f t="array" ref="M1612">INDEX(stable[is_automated],MATCH(VALUE(questions[[#This Row],[qno]]),VALUE(stable[qno]),0))</f>
        <v>0</v>
      </c>
      <c r="N1612" s="9" t="b" cm="1">
        <f t="array" ref="N1612">INDEX(stable[is_free_text],MATCH(VALUE(questions[[#This Row],[qno]]),VALUE(stable[qno]),0))</f>
        <v>0</v>
      </c>
      <c r="O1612" s="9" t="b" cm="1">
        <f t="array" ref="O1612">INDEX(stable[is_numerical],MATCH(VALUE(questions[[#This Row],[qno]]),VALUE(stable[qno]),0))</f>
        <v>0</v>
      </c>
      <c r="P1612" s="77" t="b" cm="1">
        <f t="array" ref="P1612">INDEX(stable[is_single_select],MATCH(VALUE(questions[[#This Row],[qno]]),VALUE(stable[qno]),0))</f>
        <v>1</v>
      </c>
      <c r="Q1612" s="77" t="b" cm="1">
        <f t="array" ref="Q1612">INDEX(stable[is_multi_select],MATCH(VALUE(questions[[#This Row],[qno]]),VALUE(stable[qno]),0))</f>
        <v>0</v>
      </c>
      <c r="R1612" s="77" t="b" cm="1">
        <f t="array" ref="R1612">INDEX(stable[is_skip_logic],MATCH(VALUE(questions[[#This Row],[qno]]),VALUE(stable[qno]),0))</f>
        <v>1</v>
      </c>
      <c r="S1612" s="77" t="str">
        <f>_xlfn.TEXTJOIN(", ",TRUE,questions[[#This Row],[ans_opt_1]:[ans_opt_14]])</f>
        <v>Yes, No</v>
      </c>
      <c r="T1612" s="77" t="s">
        <v>149</v>
      </c>
      <c r="U1612" s="77" t="s">
        <v>119</v>
      </c>
      <c r="AH1612" s="98" t="b">
        <f>INDEX(stable[q_standard],MATCH(questions[[#This Row],[qno]],stable[qno],0))</f>
        <v>0</v>
      </c>
      <c r="AI1612" s="98" t="b">
        <f>INDEX(stable[q_living_income],MATCH(questions[[#This Row],[qno]],stable[qno],0))</f>
        <v>1</v>
      </c>
      <c r="AJ1612" s="98" t="b">
        <f>INDEX(stable[q_carbon],MATCH(questions[[#This Row],[qno]],stable[qno],0))</f>
        <v>1</v>
      </c>
      <c r="AK1612" s="98" t="b">
        <f>INDEX(stable[q_regen_ag],MATCH(questions[[#This Row],[qno]],stable[qno],0))</f>
        <v>0</v>
      </c>
      <c r="AL1612" s="98" t="b">
        <f>COUNTIFS(stable[qno],questions[[#This Row],[qno]])=1</f>
        <v>1</v>
      </c>
      <c r="AM1612" s="98" t="b">
        <f>OR(questions[[#This Row],[is_fixed]],questions[[#This Row],[is_localized]],questions[[#This Row],[is_supply_chain_dependent]])</f>
        <v>1</v>
      </c>
      <c r="AN1612" s="98" t="b">
        <f>COUNTIFS(questions[[#This Row],[is_automated]:[is_multi_select]],TRUE)=1</f>
        <v>1</v>
      </c>
      <c r="AO1612" s="98" t="b">
        <f>IF(questions[[#This Row],[is_fixed]],questions[[#This Row],[question]]=INDEX(stable[question],MATCH(questions[[#This Row],[qno]],stable[qno],0)),TRUE)</f>
        <v>1</v>
      </c>
      <c r="AP1612" s="98" t="str">
        <f>LEFT(questions[[#This Row],[question]],similarity_range)</f>
        <v>Did you apply any ty</v>
      </c>
      <c r="AQ1612" s="98" t="str">
        <f>LEFT(INDEX(stable[question],MATCH(questions[[#This Row],[qno]],stable[qno],0)),similarity_range)</f>
        <v>Did you apply any ty</v>
      </c>
      <c r="AR1612" s="98" t="b">
        <f>questions[[#This Row],[question_first_characters]]=questions[[#This Row],[stability_first_characters]]</f>
        <v>1</v>
      </c>
      <c r="AS1612" s="98" t="b">
        <f>IF(OR(questions[[#This Row],[is_single_select]],questions[[#This Row],[is_multi_select]]),NOT(ISBLANK(questions[[#This Row],[answer_opt_combined]])),TRUE)</f>
        <v>1</v>
      </c>
    </row>
    <row r="1613" spans="1:45" s="77" customFormat="1" ht="15.75" customHeight="1" x14ac:dyDescent="0.25">
      <c r="A1613" s="77" t="str">
        <f>_xlfn.TEXTJOIN("_",TRUE,questions[[#This Row],[origin]:[qno]])</f>
        <v>Burundi_Arabica_IKAWA RES PROJECT_2026_5501</v>
      </c>
      <c r="B1613" s="77" t="s">
        <v>1057</v>
      </c>
      <c r="C1613" s="77" t="s">
        <v>59</v>
      </c>
      <c r="D1613" s="77" t="s">
        <v>1058</v>
      </c>
      <c r="E1613" s="77">
        <v>2026</v>
      </c>
      <c r="F1613" s="105" t="s">
        <v>199</v>
      </c>
      <c r="G1613" s="78" t="s">
        <v>200</v>
      </c>
      <c r="H1613" s="9" t="str" cm="1">
        <f t="array" ref="H1613">INDEX(stableR[question],MATCH(VALUE(questions[[#This Row],[qno]]),VALUE(stableR[qno]),0))</f>
        <v>What type of mulch?</v>
      </c>
      <c r="I1613" s="9" t="b" cm="1">
        <f t="array" ref="I1613">INDEX(stable[is_fixed],MATCH(VALUE(questions[[#This Row],[qno]]),VALUE(stable[qno]),0))</f>
        <v>1</v>
      </c>
      <c r="J1613" s="9" t="b" cm="1">
        <f t="array" ref="J1613">INDEX(stable[is_localized],MATCH(VALUE(questions[[#This Row],[qno]]),VALUE(stable[qno]),0))</f>
        <v>0</v>
      </c>
      <c r="K1613" s="9" t="b" cm="1">
        <f t="array" ref="K1613">INDEX(stable[is_supply_chain_dependent],MATCH(VALUE(questions[[#This Row],[qno]]),VALUE(stable[qno]),0))</f>
        <v>0</v>
      </c>
      <c r="L1613" s="9" t="b" cm="1">
        <f t="array" ref="L1613">INDEX(stable[is_mandatory],MATCH(VALUE(questions[[#This Row],[qno]]),VALUE(stable[qno]),0))</f>
        <v>0</v>
      </c>
      <c r="M1613" s="9" t="b" cm="1">
        <f t="array" ref="M1613">INDEX(stable[is_automated],MATCH(VALUE(questions[[#This Row],[qno]]),VALUE(stable[qno]),0))</f>
        <v>0</v>
      </c>
      <c r="N1613" s="9" t="b" cm="1">
        <f t="array" ref="N1613">INDEX(stable[is_free_text],MATCH(VALUE(questions[[#This Row],[qno]]),VALUE(stable[qno]),0))</f>
        <v>0</v>
      </c>
      <c r="O1613" s="9" t="b" cm="1">
        <f t="array" ref="O1613">INDEX(stable[is_numerical],MATCH(VALUE(questions[[#This Row],[qno]]),VALUE(stable[qno]),0))</f>
        <v>0</v>
      </c>
      <c r="P1613" s="77" t="b" cm="1">
        <f t="array" ref="P1613">INDEX(stable[is_single_select],MATCH(VALUE(questions[[#This Row],[qno]]),VALUE(stable[qno]),0))</f>
        <v>0</v>
      </c>
      <c r="Q1613" s="77" t="b" cm="1">
        <f t="array" ref="Q1613">INDEX(stable[is_multi_select],MATCH(VALUE(questions[[#This Row],[qno]]),VALUE(stable[qno]),0))</f>
        <v>1</v>
      </c>
      <c r="R1613" s="77" t="b" cm="1">
        <f t="array" ref="R1613">INDEX(stable[is_skip_logic],MATCH(VALUE(questions[[#This Row],[qno]]),VALUE(stable[qno]),0))</f>
        <v>1</v>
      </c>
      <c r="S1613" s="77" t="str">
        <f>_xlfn.TEXTJOIN(", ",TRUE,questions[[#This Row],[ans_opt_1]:[ans_opt_14]])</f>
        <v>Crop residues (e.g., maize stalks, bean husks), Tree leaves and branches (e.g., pruned branches, dry leaves, twigs), Grasses (e.g., Napier grass, lawn clippings)</v>
      </c>
      <c r="T1613" s="77" t="s">
        <v>986</v>
      </c>
      <c r="U1613" s="77" t="s">
        <v>987</v>
      </c>
      <c r="V1613" s="77" t="s">
        <v>988</v>
      </c>
      <c r="AH1613" s="98" t="b">
        <f>INDEX(stable[q_standard],MATCH(questions[[#This Row],[qno]],stable[qno],0))</f>
        <v>0</v>
      </c>
      <c r="AI1613" s="98" t="b">
        <f>INDEX(stable[q_living_income],MATCH(questions[[#This Row],[qno]],stable[qno],0))</f>
        <v>1</v>
      </c>
      <c r="AJ1613" s="98" t="b">
        <f>INDEX(stable[q_carbon],MATCH(questions[[#This Row],[qno]],stable[qno],0))</f>
        <v>1</v>
      </c>
      <c r="AK1613" s="98" t="b">
        <f>INDEX(stable[q_regen_ag],MATCH(questions[[#This Row],[qno]],stable[qno],0))</f>
        <v>0</v>
      </c>
      <c r="AL1613" s="98" t="b">
        <f>COUNTIFS(stable[qno],questions[[#This Row],[qno]])=1</f>
        <v>1</v>
      </c>
      <c r="AM1613" s="98" t="b">
        <f>OR(questions[[#This Row],[is_fixed]],questions[[#This Row],[is_localized]],questions[[#This Row],[is_supply_chain_dependent]])</f>
        <v>1</v>
      </c>
      <c r="AN1613" s="98" t="b">
        <f>COUNTIFS(questions[[#This Row],[is_automated]:[is_multi_select]],TRUE)=1</f>
        <v>1</v>
      </c>
      <c r="AO1613" s="98" t="b">
        <f>IF(questions[[#This Row],[is_fixed]],questions[[#This Row],[question]]=INDEX(stable[question],MATCH(questions[[#This Row],[qno]],stable[qno],0)),TRUE)</f>
        <v>1</v>
      </c>
      <c r="AP1613" s="98" t="str">
        <f>LEFT(questions[[#This Row],[question]],similarity_range)</f>
        <v xml:space="preserve">What type of mulch? </v>
      </c>
      <c r="AQ1613" s="98" t="str">
        <f>LEFT(INDEX(stable[question],MATCH(questions[[#This Row],[qno]],stable[qno],0)),similarity_range)</f>
        <v xml:space="preserve">What type of mulch? </v>
      </c>
      <c r="AR1613" s="98" t="b">
        <f>questions[[#This Row],[question_first_characters]]=questions[[#This Row],[stability_first_characters]]</f>
        <v>1</v>
      </c>
      <c r="AS1613" s="98" t="b">
        <f>IF(OR(questions[[#This Row],[is_single_select]],questions[[#This Row],[is_multi_select]]),NOT(ISBLANK(questions[[#This Row],[answer_opt_combined]])),TRUE)</f>
        <v>1</v>
      </c>
    </row>
    <row r="1614" spans="1:45" ht="15.75" customHeight="1" x14ac:dyDescent="0.25">
      <c r="A1614" s="9" t="str">
        <f>_xlfn.TEXTJOIN("_",TRUE,questions[[#This Row],[origin]:[qno]])</f>
        <v>Burundi_Arabica_IKAWA RES PROJECT_2026_5502</v>
      </c>
      <c r="B1614" s="9" t="s">
        <v>1057</v>
      </c>
      <c r="C1614" s="9" t="s">
        <v>59</v>
      </c>
      <c r="D1614" s="9" t="s">
        <v>1058</v>
      </c>
      <c r="E1614" s="33">
        <v>2026</v>
      </c>
      <c r="F1614" s="36" t="s">
        <v>201</v>
      </c>
      <c r="G1614" s="15" t="s">
        <v>929</v>
      </c>
      <c r="H1614" s="9" t="str" cm="1">
        <f t="array" ref="H1614">INDEX(stableR[question],MATCH(VALUE(questions[[#This Row],[qno]]),VALUE(stableR[qno]),0))</f>
        <v>What was the total quantity of mulch that you used? (Kg)</v>
      </c>
      <c r="I1614" s="9" t="b" cm="1">
        <f t="array" ref="I1614">INDEX(stable[is_fixed],MATCH(VALUE(questions[[#This Row],[qno]]),VALUE(stable[qno]),0))</f>
        <v>1</v>
      </c>
      <c r="J1614" s="9" t="b" cm="1">
        <f t="array" ref="J1614">INDEX(stable[is_localized],MATCH(VALUE(questions[[#This Row],[qno]]),VALUE(stable[qno]),0))</f>
        <v>0</v>
      </c>
      <c r="K1614" s="9" t="b" cm="1">
        <f t="array" ref="K1614">INDEX(stable[is_supply_chain_dependent],MATCH(VALUE(questions[[#This Row],[qno]]),VALUE(stable[qno]),0))</f>
        <v>0</v>
      </c>
      <c r="L1614" s="9" t="b" cm="1">
        <f t="array" ref="L1614">INDEX(stable[is_mandatory],MATCH(VALUE(questions[[#This Row],[qno]]),VALUE(stable[qno]),0))</f>
        <v>0</v>
      </c>
      <c r="M1614" s="9" t="b" cm="1">
        <f t="array" ref="M1614">INDEX(stable[is_automated],MATCH(VALUE(questions[[#This Row],[qno]]),VALUE(stable[qno]),0))</f>
        <v>0</v>
      </c>
      <c r="N1614" s="9" t="b" cm="1">
        <f t="array" ref="N1614">INDEX(stable[is_free_text],MATCH(VALUE(questions[[#This Row],[qno]]),VALUE(stable[qno]),0))</f>
        <v>0</v>
      </c>
      <c r="O1614" s="9" t="b" cm="1">
        <f t="array" ref="O1614">INDEX(stable[is_numerical],MATCH(VALUE(questions[[#This Row],[qno]]),VALUE(stable[qno]),0))</f>
        <v>1</v>
      </c>
      <c r="P1614" s="9" t="b" cm="1">
        <f t="array" ref="P1614">INDEX(stable[is_single_select],MATCH(VALUE(questions[[#This Row],[qno]]),VALUE(stable[qno]),0))</f>
        <v>0</v>
      </c>
      <c r="Q1614" s="9" t="b" cm="1">
        <f t="array" ref="Q1614">INDEX(stable[is_multi_select],MATCH(VALUE(questions[[#This Row],[qno]]),VALUE(stable[qno]),0))</f>
        <v>0</v>
      </c>
      <c r="R1614" s="9" t="b" cm="1">
        <f t="array" ref="R1614">INDEX(stable[is_skip_logic],MATCH(VALUE(questions[[#This Row],[qno]]),VALUE(stable[qno]),0))</f>
        <v>1</v>
      </c>
      <c r="S1614" s="9" t="str">
        <f>_xlfn.TEXTJOIN(", ",TRUE,questions[[#This Row],[ans_opt_1]:[ans_opt_14]])</f>
        <v/>
      </c>
      <c r="AH1614" s="16" t="b">
        <f>INDEX(stable[q_standard],MATCH(questions[[#This Row],[qno]],stable[qno],0))</f>
        <v>0</v>
      </c>
      <c r="AI1614" s="16" t="b">
        <f>INDEX(stable[q_living_income],MATCH(questions[[#This Row],[qno]],stable[qno],0))</f>
        <v>1</v>
      </c>
      <c r="AJ1614" s="16" t="b">
        <f>INDEX(stable[q_carbon],MATCH(questions[[#This Row],[qno]],stable[qno],0))</f>
        <v>1</v>
      </c>
      <c r="AK1614" s="16" t="b">
        <f>INDEX(stable[q_regen_ag],MATCH(questions[[#This Row],[qno]],stable[qno],0))</f>
        <v>0</v>
      </c>
      <c r="AL1614" s="16" t="b">
        <f>COUNTIFS(stable[qno],questions[[#This Row],[qno]])=1</f>
        <v>1</v>
      </c>
      <c r="AM1614" s="16" t="b">
        <f>OR(questions[[#This Row],[is_fixed]],questions[[#This Row],[is_localized]],questions[[#This Row],[is_supply_chain_dependent]])</f>
        <v>1</v>
      </c>
      <c r="AN1614" s="16" t="b">
        <f>COUNTIFS(questions[[#This Row],[is_automated]:[is_multi_select]],TRUE)=1</f>
        <v>1</v>
      </c>
      <c r="AO1614" s="16" t="b">
        <f>IF(questions[[#This Row],[is_fixed]],questions[[#This Row],[question]]=INDEX(stable[question],MATCH(questions[[#This Row],[qno]],stable[qno],0)),TRUE)</f>
        <v>1</v>
      </c>
      <c r="AP1614" s="16" t="str">
        <f>LEFT(questions[[#This Row],[question]],similarity_range)</f>
        <v>What was the total q</v>
      </c>
      <c r="AQ1614" s="16" t="str">
        <f>LEFT(INDEX(stable[question],MATCH(questions[[#This Row],[qno]],stable[qno],0)),similarity_range)</f>
        <v>What was the total q</v>
      </c>
      <c r="AR1614" s="16" t="b">
        <f>questions[[#This Row],[question_first_characters]]=questions[[#This Row],[stability_first_characters]]</f>
        <v>1</v>
      </c>
      <c r="AS1614" s="16" t="b">
        <f>IF(OR(questions[[#This Row],[is_single_select]],questions[[#This Row],[is_multi_select]]),NOT(ISBLANK(questions[[#This Row],[answer_opt_combined]])),TRUE)</f>
        <v>1</v>
      </c>
    </row>
    <row r="1615" spans="1:45" ht="15.75" customHeight="1" x14ac:dyDescent="0.25">
      <c r="A1615" s="9" t="str">
        <f>_xlfn.TEXTJOIN("_",TRUE,questions[[#This Row],[origin]:[qno]])</f>
        <v>Burundi_Arabica_IKAWA RES PROJECT_2026_5503</v>
      </c>
      <c r="B1615" s="9" t="s">
        <v>1057</v>
      </c>
      <c r="C1615" s="9" t="s">
        <v>59</v>
      </c>
      <c r="D1615" s="9" t="s">
        <v>1058</v>
      </c>
      <c r="E1615" s="33">
        <v>2026</v>
      </c>
      <c r="F1615" s="36" t="s">
        <v>203</v>
      </c>
      <c r="G1615" s="18" t="s">
        <v>989</v>
      </c>
      <c r="H1615" s="9" t="str" cm="1">
        <f t="array" ref="H1615">INDEX(stableR[question],MATCH(VALUE(questions[[#This Row],[qno]]),VALUE(stableR[qno]),0))</f>
        <v>What was the unit, for the mulch used (kg, basins, bags, wheel barrows, small truck/tipper, large truck)</v>
      </c>
      <c r="I1615" s="9" t="b" cm="1">
        <f t="array" ref="I1615">INDEX(stable[is_fixed],MATCH(VALUE(questions[[#This Row],[qno]]),VALUE(stable[qno]),0))</f>
        <v>1</v>
      </c>
      <c r="J1615" s="9" t="b" cm="1">
        <f t="array" ref="J1615">INDEX(stable[is_localized],MATCH(VALUE(questions[[#This Row],[qno]]),VALUE(stable[qno]),0))</f>
        <v>0</v>
      </c>
      <c r="K1615" s="9" t="b" cm="1">
        <f t="array" ref="K1615">INDEX(stable[is_supply_chain_dependent],MATCH(VALUE(questions[[#This Row],[qno]]),VALUE(stable[qno]),0))</f>
        <v>0</v>
      </c>
      <c r="L1615" s="9" t="b" cm="1">
        <f t="array" ref="L1615">INDEX(stable[is_mandatory],MATCH(VALUE(questions[[#This Row],[qno]]),VALUE(stable[qno]),0))</f>
        <v>0</v>
      </c>
      <c r="M1615" s="9" t="b" cm="1">
        <f t="array" ref="M1615">INDEX(stable[is_automated],MATCH(VALUE(questions[[#This Row],[qno]]),VALUE(stable[qno]),0))</f>
        <v>0</v>
      </c>
      <c r="N1615" s="9" t="b" cm="1">
        <f t="array" ref="N1615">INDEX(stable[is_free_text],MATCH(VALUE(questions[[#This Row],[qno]]),VALUE(stable[qno]),0))</f>
        <v>1</v>
      </c>
      <c r="O1615" s="9" t="b" cm="1">
        <f t="array" ref="O1615">INDEX(stable[is_numerical],MATCH(VALUE(questions[[#This Row],[qno]]),VALUE(stable[qno]),0))</f>
        <v>0</v>
      </c>
      <c r="P1615" s="9" t="b" cm="1">
        <f t="array" ref="P1615">INDEX(stable[is_single_select],MATCH(VALUE(questions[[#This Row],[qno]]),VALUE(stable[qno]),0))</f>
        <v>0</v>
      </c>
      <c r="Q1615" s="9" t="b" cm="1">
        <f t="array" ref="Q1615">INDEX(stable[is_multi_select],MATCH(VALUE(questions[[#This Row],[qno]]),VALUE(stable[qno]),0))</f>
        <v>0</v>
      </c>
      <c r="R1615" s="9" t="b" cm="1">
        <f t="array" ref="R1615">INDEX(stable[is_skip_logic],MATCH(VALUE(questions[[#This Row],[qno]]),VALUE(stable[qno]),0))</f>
        <v>1</v>
      </c>
      <c r="S1615" s="9" t="str">
        <f>_xlfn.TEXTJOIN(", ",TRUE,questions[[#This Row],[ans_opt_1]:[ans_opt_14]])</f>
        <v>Kg</v>
      </c>
      <c r="T1615" s="9" t="s">
        <v>1018</v>
      </c>
      <c r="AH1615" s="16" t="b">
        <f>INDEX(stable[q_standard],MATCH(questions[[#This Row],[qno]],stable[qno],0))</f>
        <v>0</v>
      </c>
      <c r="AI1615" s="16" t="b">
        <f>INDEX(stable[q_living_income],MATCH(questions[[#This Row],[qno]],stable[qno],0))</f>
        <v>1</v>
      </c>
      <c r="AJ1615" s="16" t="b">
        <f>INDEX(stable[q_carbon],MATCH(questions[[#This Row],[qno]],stable[qno],0))</f>
        <v>1</v>
      </c>
      <c r="AK1615" s="16" t="b">
        <f>INDEX(stable[q_regen_ag],MATCH(questions[[#This Row],[qno]],stable[qno],0))</f>
        <v>0</v>
      </c>
      <c r="AL1615" s="16" t="b">
        <f>COUNTIFS(stable[qno],questions[[#This Row],[qno]])=1</f>
        <v>1</v>
      </c>
      <c r="AM1615" s="16" t="b">
        <f>OR(questions[[#This Row],[is_fixed]],questions[[#This Row],[is_localized]],questions[[#This Row],[is_supply_chain_dependent]])</f>
        <v>1</v>
      </c>
      <c r="AN1615" s="16" t="b">
        <f>COUNTIFS(questions[[#This Row],[is_automated]:[is_multi_select]],TRUE)=1</f>
        <v>1</v>
      </c>
      <c r="AO1615" s="16" t="b">
        <f>IF(questions[[#This Row],[is_fixed]],questions[[#This Row],[question]]=INDEX(stable[question],MATCH(questions[[#This Row],[qno]],stable[qno],0)),TRUE)</f>
        <v>0</v>
      </c>
      <c r="AP1615" s="16" t="str">
        <f>LEFT(questions[[#This Row],[question]],similarity_range)</f>
        <v>Please ensure that t</v>
      </c>
      <c r="AQ1615" s="16" t="str">
        <f>LEFT(INDEX(stable[question],MATCH(questions[[#This Row],[qno]],stable[qno],0)),similarity_range)</f>
        <v>What was the unit, f</v>
      </c>
      <c r="AR1615" s="16" t="b">
        <f>questions[[#This Row],[question_first_characters]]=questions[[#This Row],[stability_first_characters]]</f>
        <v>0</v>
      </c>
      <c r="AS1615" s="16" t="b">
        <f>IF(OR(questions[[#This Row],[is_single_select]],questions[[#This Row],[is_multi_select]]),NOT(ISBLANK(questions[[#This Row],[answer_opt_combined]])),TRUE)</f>
        <v>1</v>
      </c>
    </row>
    <row r="1616" spans="1:45" s="77" customFormat="1" ht="15.75" customHeight="1" x14ac:dyDescent="0.25">
      <c r="A1616" s="77" t="str">
        <f>_xlfn.TEXTJOIN("_",TRUE,questions[[#This Row],[origin]:[qno]])</f>
        <v>Burundi_Arabica_IKAWA RES PROJECT_2026_5504</v>
      </c>
      <c r="B1616" s="77" t="s">
        <v>1057</v>
      </c>
      <c r="C1616" s="77" t="s">
        <v>59</v>
      </c>
      <c r="D1616" s="77" t="s">
        <v>1058</v>
      </c>
      <c r="E1616" s="77">
        <v>2026</v>
      </c>
      <c r="F1616" s="105" t="s">
        <v>205</v>
      </c>
      <c r="G1616" s="116" t="s">
        <v>768</v>
      </c>
      <c r="H1616" s="9" t="str" cm="1">
        <f t="array" ref="H1616">INDEX(stableR[question],MATCH(VALUE(questions[[#This Row],[qno]]),VALUE(stableR[qno]),0))</f>
        <v>From where was this mulch sourced?</v>
      </c>
      <c r="I1616" s="9" t="b" cm="1">
        <f t="array" ref="I1616">INDEX(stable[is_fixed],MATCH(VALUE(questions[[#This Row],[qno]]),VALUE(stable[qno]),0))</f>
        <v>1</v>
      </c>
      <c r="J1616" s="9" t="b" cm="1">
        <f t="array" ref="J1616">INDEX(stable[is_localized],MATCH(VALUE(questions[[#This Row],[qno]]),VALUE(stable[qno]),0))</f>
        <v>0</v>
      </c>
      <c r="K1616" s="9" t="b" cm="1">
        <f t="array" ref="K1616">INDEX(stable[is_supply_chain_dependent],MATCH(VALUE(questions[[#This Row],[qno]]),VALUE(stable[qno]),0))</f>
        <v>0</v>
      </c>
      <c r="L1616" s="9" t="b" cm="1">
        <f t="array" ref="L1616">INDEX(stable[is_mandatory],MATCH(VALUE(questions[[#This Row],[qno]]),VALUE(stable[qno]),0))</f>
        <v>0</v>
      </c>
      <c r="M1616" s="9" t="b" cm="1">
        <f t="array" ref="M1616">INDEX(stable[is_automated],MATCH(VALUE(questions[[#This Row],[qno]]),VALUE(stable[qno]),0))</f>
        <v>0</v>
      </c>
      <c r="N1616" s="9" t="b" cm="1">
        <f t="array" ref="N1616">INDEX(stable[is_free_text],MATCH(VALUE(questions[[#This Row],[qno]]),VALUE(stable[qno]),0))</f>
        <v>0</v>
      </c>
      <c r="O1616" s="9" t="b" cm="1">
        <f t="array" ref="O1616">INDEX(stable[is_numerical],MATCH(VALUE(questions[[#This Row],[qno]]),VALUE(stable[qno]),0))</f>
        <v>0</v>
      </c>
      <c r="P1616" s="77" t="b" cm="1">
        <f t="array" ref="P1616">INDEX(stable[is_single_select],MATCH(VALUE(questions[[#This Row],[qno]]),VALUE(stable[qno]),0))</f>
        <v>1</v>
      </c>
      <c r="Q1616" s="77" t="b" cm="1">
        <f t="array" ref="Q1616">INDEX(stable[is_multi_select],MATCH(VALUE(questions[[#This Row],[qno]]),VALUE(stable[qno]),0))</f>
        <v>0</v>
      </c>
      <c r="R1616" s="77" t="b" cm="1">
        <f t="array" ref="R1616">INDEX(stable[is_skip_logic],MATCH(VALUE(questions[[#This Row],[qno]]),VALUE(stable[qno]),0))</f>
        <v>1</v>
      </c>
      <c r="S1616" s="77" t="str">
        <f>_xlfn.TEXTJOIN(", ",TRUE,questions[[#This Row],[ans_opt_1]:[ans_opt_14]])</f>
        <v>Outside the coffee plot, Inside the coffee plot, Both from inside and outside the coffee plot</v>
      </c>
      <c r="T1616" s="77" t="s">
        <v>207</v>
      </c>
      <c r="U1616" s="77" t="s">
        <v>208</v>
      </c>
      <c r="V1616" s="77" t="s">
        <v>209</v>
      </c>
      <c r="AH1616" s="98" t="b">
        <f>INDEX(stable[q_standard],MATCH(questions[[#This Row],[qno]],stable[qno],0))</f>
        <v>0</v>
      </c>
      <c r="AI1616" s="98" t="b">
        <f>INDEX(stable[q_living_income],MATCH(questions[[#This Row],[qno]],stable[qno],0))</f>
        <v>1</v>
      </c>
      <c r="AJ1616" s="98" t="b">
        <f>INDEX(stable[q_carbon],MATCH(questions[[#This Row],[qno]],stable[qno],0))</f>
        <v>1</v>
      </c>
      <c r="AK1616" s="98" t="b">
        <f>INDEX(stable[q_regen_ag],MATCH(questions[[#This Row],[qno]],stable[qno],0))</f>
        <v>0</v>
      </c>
      <c r="AL1616" s="98" t="b">
        <f>COUNTIFS(stable[qno],questions[[#This Row],[qno]])=1</f>
        <v>1</v>
      </c>
      <c r="AM1616" s="98" t="b">
        <f>OR(questions[[#This Row],[is_fixed]],questions[[#This Row],[is_localized]],questions[[#This Row],[is_supply_chain_dependent]])</f>
        <v>1</v>
      </c>
      <c r="AN1616" s="98" t="b">
        <f>COUNTIFS(questions[[#This Row],[is_automated]:[is_multi_select]],TRUE)=1</f>
        <v>1</v>
      </c>
      <c r="AO1616" s="98" t="b">
        <f>IF(questions[[#This Row],[is_fixed]],questions[[#This Row],[question]]=INDEX(stable[question],MATCH(questions[[#This Row],[qno]],stable[qno],0)),TRUE)</f>
        <v>1</v>
      </c>
      <c r="AP1616" s="98" t="str">
        <f>LEFT(questions[[#This Row],[question]],similarity_range)</f>
        <v xml:space="preserve">From where was this </v>
      </c>
      <c r="AQ1616" s="98" t="str">
        <f>LEFT(INDEX(stable[question],MATCH(questions[[#This Row],[qno]],stable[qno],0)),similarity_range)</f>
        <v xml:space="preserve">From where was this </v>
      </c>
      <c r="AR1616" s="98" t="b">
        <f>questions[[#This Row],[question_first_characters]]=questions[[#This Row],[stability_first_characters]]</f>
        <v>1</v>
      </c>
      <c r="AS1616" s="98" t="b">
        <f>IF(OR(questions[[#This Row],[is_single_select]],questions[[#This Row],[is_multi_select]]),NOT(ISBLANK(questions[[#This Row],[answer_opt_combined]])),TRUE)</f>
        <v>1</v>
      </c>
    </row>
    <row r="1617" spans="1:45" s="77" customFormat="1" ht="15.75" customHeight="1" x14ac:dyDescent="0.25">
      <c r="A1617" s="77" t="str">
        <f>_xlfn.TEXTJOIN("_",TRUE,questions[[#This Row],[origin]:[qno]])</f>
        <v>Burundi_Arabica_IKAWA RES PROJECT_2026_5505</v>
      </c>
      <c r="B1617" s="77" t="s">
        <v>1057</v>
      </c>
      <c r="C1617" s="77" t="s">
        <v>59</v>
      </c>
      <c r="D1617" s="77" t="s">
        <v>1058</v>
      </c>
      <c r="E1617" s="77">
        <v>2026</v>
      </c>
      <c r="F1617" s="105" t="s">
        <v>210</v>
      </c>
      <c r="G1617" s="115" t="s">
        <v>769</v>
      </c>
      <c r="H1617" s="9" t="str" cm="1">
        <f t="array" ref="H1617">INDEX(stableR[question],MATCH(VALUE(questions[[#This Row],[qno]]),VALUE(stableR[qno]),0))</f>
        <v>If it was from outside the coffee plot, did you buy this mulch, or did it come from your own farm?</v>
      </c>
      <c r="I1617" s="9" t="b" cm="1">
        <f t="array" ref="I1617">INDEX(stable[is_fixed],MATCH(VALUE(questions[[#This Row],[qno]]),VALUE(stable[qno]),0))</f>
        <v>1</v>
      </c>
      <c r="J1617" s="9" t="b" cm="1">
        <f t="array" ref="J1617">INDEX(stable[is_localized],MATCH(VALUE(questions[[#This Row],[qno]]),VALUE(stable[qno]),0))</f>
        <v>0</v>
      </c>
      <c r="K1617" s="9" t="b" cm="1">
        <f t="array" ref="K1617">INDEX(stable[is_supply_chain_dependent],MATCH(VALUE(questions[[#This Row],[qno]]),VALUE(stable[qno]),0))</f>
        <v>0</v>
      </c>
      <c r="L1617" s="9" t="b" cm="1">
        <f t="array" ref="L1617">INDEX(stable[is_mandatory],MATCH(VALUE(questions[[#This Row],[qno]]),VALUE(stable[qno]),0))</f>
        <v>0</v>
      </c>
      <c r="M1617" s="9" t="b" cm="1">
        <f t="array" ref="M1617">INDEX(stable[is_automated],MATCH(VALUE(questions[[#This Row],[qno]]),VALUE(stable[qno]),0))</f>
        <v>0</v>
      </c>
      <c r="N1617" s="9" t="b" cm="1">
        <f t="array" ref="N1617">INDEX(stable[is_free_text],MATCH(VALUE(questions[[#This Row],[qno]]),VALUE(stable[qno]),0))</f>
        <v>0</v>
      </c>
      <c r="O1617" s="9" t="b" cm="1">
        <f t="array" ref="O1617">INDEX(stable[is_numerical],MATCH(VALUE(questions[[#This Row],[qno]]),VALUE(stable[qno]),0))</f>
        <v>0</v>
      </c>
      <c r="P1617" s="77" t="b" cm="1">
        <f t="array" ref="P1617">INDEX(stable[is_single_select],MATCH(VALUE(questions[[#This Row],[qno]]),VALUE(stable[qno]),0))</f>
        <v>1</v>
      </c>
      <c r="Q1617" s="77" t="b" cm="1">
        <f t="array" ref="Q1617">INDEX(stable[is_multi_select],MATCH(VALUE(questions[[#This Row],[qno]]),VALUE(stable[qno]),0))</f>
        <v>0</v>
      </c>
      <c r="R1617" s="77" t="b" cm="1">
        <f t="array" ref="R1617">INDEX(stable[is_skip_logic],MATCH(VALUE(questions[[#This Row],[qno]]),VALUE(stable[qno]),0))</f>
        <v>1</v>
      </c>
      <c r="S1617" s="77" t="str">
        <f>_xlfn.TEXTJOIN(", ",TRUE,questions[[#This Row],[ans_opt_1]:[ans_opt_14]])</f>
        <v>Bought, From own farm</v>
      </c>
      <c r="T1617" s="77" t="s">
        <v>185</v>
      </c>
      <c r="U1617" s="77" t="s">
        <v>186</v>
      </c>
      <c r="AH1617" s="98" t="b">
        <f>INDEX(stable[q_standard],MATCH(questions[[#This Row],[qno]],stable[qno],0))</f>
        <v>0</v>
      </c>
      <c r="AI1617" s="98" t="b">
        <f>INDEX(stable[q_living_income],MATCH(questions[[#This Row],[qno]],stable[qno],0))</f>
        <v>1</v>
      </c>
      <c r="AJ1617" s="98" t="b">
        <f>INDEX(stable[q_carbon],MATCH(questions[[#This Row],[qno]],stable[qno],0))</f>
        <v>1</v>
      </c>
      <c r="AK1617" s="98" t="b">
        <f>INDEX(stable[q_regen_ag],MATCH(questions[[#This Row],[qno]],stable[qno],0))</f>
        <v>0</v>
      </c>
      <c r="AL1617" s="98" t="b">
        <f>COUNTIFS(stable[qno],questions[[#This Row],[qno]])=1</f>
        <v>1</v>
      </c>
      <c r="AM1617" s="98" t="b">
        <f>OR(questions[[#This Row],[is_fixed]],questions[[#This Row],[is_localized]],questions[[#This Row],[is_supply_chain_dependent]])</f>
        <v>1</v>
      </c>
      <c r="AN1617" s="98" t="b">
        <f>COUNTIFS(questions[[#This Row],[is_automated]:[is_multi_select]],TRUE)=1</f>
        <v>1</v>
      </c>
      <c r="AO1617" s="98" t="b">
        <f>IF(questions[[#This Row],[is_fixed]],questions[[#This Row],[question]]=INDEX(stable[question],MATCH(questions[[#This Row],[qno]],stable[qno],0)),TRUE)</f>
        <v>1</v>
      </c>
      <c r="AP1617" s="98" t="str">
        <f>LEFT(questions[[#This Row],[question]],similarity_range)</f>
        <v>If it was from outsi</v>
      </c>
      <c r="AQ1617" s="98" t="str">
        <f>LEFT(INDEX(stable[question],MATCH(questions[[#This Row],[qno]],stable[qno],0)),similarity_range)</f>
        <v>If it was from outsi</v>
      </c>
      <c r="AR1617" s="98" t="b">
        <f>questions[[#This Row],[question_first_characters]]=questions[[#This Row],[stability_first_characters]]</f>
        <v>1</v>
      </c>
      <c r="AS1617" s="98" t="b">
        <f>IF(OR(questions[[#This Row],[is_single_select]],questions[[#This Row],[is_multi_select]]),NOT(ISBLANK(questions[[#This Row],[answer_opt_combined]])),TRUE)</f>
        <v>1</v>
      </c>
    </row>
    <row r="1618" spans="1:45" s="77" customFormat="1" ht="15.75" customHeight="1" x14ac:dyDescent="0.25">
      <c r="A1618" s="77" t="str">
        <f>_xlfn.TEXTJOIN("_",TRUE,questions[[#This Row],[origin]:[qno]])</f>
        <v>Burundi_Arabica_IKAWA RES PROJECT_2026_5600</v>
      </c>
      <c r="B1618" s="77" t="s">
        <v>1057</v>
      </c>
      <c r="C1618" s="77" t="s">
        <v>59</v>
      </c>
      <c r="D1618" s="77" t="s">
        <v>1058</v>
      </c>
      <c r="E1618" s="77">
        <v>2026</v>
      </c>
      <c r="F1618" s="105" t="s">
        <v>212</v>
      </c>
      <c r="G1618" s="78" t="s">
        <v>770</v>
      </c>
      <c r="H1618" s="9" t="str" cm="1">
        <f t="array" ref="H1618">INDEX(stableR[question],MATCH(VALUE(questions[[#This Row],[qno]]),VALUE(stableR[qno]),0))</f>
        <v xml:space="preserve">Did you use pesticides, fungicides or herbicides for your coffee last year? </v>
      </c>
      <c r="I1618" s="9" t="b" cm="1">
        <f t="array" ref="I1618">INDEX(stable[is_fixed],MATCH(VALUE(questions[[#This Row],[qno]]),VALUE(stable[qno]),0))</f>
        <v>1</v>
      </c>
      <c r="J1618" s="9" t="b" cm="1">
        <f t="array" ref="J1618">INDEX(stable[is_localized],MATCH(VALUE(questions[[#This Row],[qno]]),VALUE(stable[qno]),0))</f>
        <v>0</v>
      </c>
      <c r="K1618" s="9" t="b" cm="1">
        <f t="array" ref="K1618">INDEX(stable[is_supply_chain_dependent],MATCH(VALUE(questions[[#This Row],[qno]]),VALUE(stable[qno]),0))</f>
        <v>0</v>
      </c>
      <c r="L1618" s="9" t="b" cm="1">
        <f t="array" ref="L1618">INDEX(stable[is_mandatory],MATCH(VALUE(questions[[#This Row],[qno]]),VALUE(stable[qno]),0))</f>
        <v>1</v>
      </c>
      <c r="M1618" s="9" t="b" cm="1">
        <f t="array" ref="M1618">INDEX(stable[is_automated],MATCH(VALUE(questions[[#This Row],[qno]]),VALUE(stable[qno]),0))</f>
        <v>0</v>
      </c>
      <c r="N1618" s="9" t="b" cm="1">
        <f t="array" ref="N1618">INDEX(stable[is_free_text],MATCH(VALUE(questions[[#This Row],[qno]]),VALUE(stable[qno]),0))</f>
        <v>0</v>
      </c>
      <c r="O1618" s="9" t="b" cm="1">
        <f t="array" ref="O1618">INDEX(stable[is_numerical],MATCH(VALUE(questions[[#This Row],[qno]]),VALUE(stable[qno]),0))</f>
        <v>0</v>
      </c>
      <c r="P1618" s="77" t="b" cm="1">
        <f t="array" ref="P1618">INDEX(stable[is_single_select],MATCH(VALUE(questions[[#This Row],[qno]]),VALUE(stable[qno]),0))</f>
        <v>1</v>
      </c>
      <c r="Q1618" s="77" t="b" cm="1">
        <f t="array" ref="Q1618">INDEX(stable[is_multi_select],MATCH(VALUE(questions[[#This Row],[qno]]),VALUE(stable[qno]),0))</f>
        <v>0</v>
      </c>
      <c r="R1618" s="77" t="b" cm="1">
        <f t="array" ref="R1618">INDEX(stable[is_skip_logic],MATCH(VALUE(questions[[#This Row],[qno]]),VALUE(stable[qno]),0))</f>
        <v>1</v>
      </c>
      <c r="S1618" s="77" t="str">
        <f>_xlfn.TEXTJOIN(", ",TRUE,questions[[#This Row],[ans_opt_1]:[ans_opt_14]])</f>
        <v>Yes, No</v>
      </c>
      <c r="T1618" s="77" t="s">
        <v>149</v>
      </c>
      <c r="U1618" s="77" t="s">
        <v>119</v>
      </c>
      <c r="AH1618" s="98" t="b">
        <f>INDEX(stable[q_standard],MATCH(questions[[#This Row],[qno]],stable[qno],0))</f>
        <v>0</v>
      </c>
      <c r="AI1618" s="98" t="b">
        <f>INDEX(stable[q_living_income],MATCH(questions[[#This Row],[qno]],stable[qno],0))</f>
        <v>1</v>
      </c>
      <c r="AJ1618" s="98" t="b">
        <f>INDEX(stable[q_carbon],MATCH(questions[[#This Row],[qno]],stable[qno],0))</f>
        <v>1</v>
      </c>
      <c r="AK1618" s="98" t="b">
        <f>INDEX(stable[q_regen_ag],MATCH(questions[[#This Row],[qno]],stable[qno],0))</f>
        <v>0</v>
      </c>
      <c r="AL1618" s="98" t="b">
        <f>COUNTIFS(stable[qno],questions[[#This Row],[qno]])=1</f>
        <v>1</v>
      </c>
      <c r="AM1618" s="98" t="b">
        <f>OR(questions[[#This Row],[is_fixed]],questions[[#This Row],[is_localized]],questions[[#This Row],[is_supply_chain_dependent]])</f>
        <v>1</v>
      </c>
      <c r="AN1618" s="98" t="b">
        <f>COUNTIFS(questions[[#This Row],[is_automated]:[is_multi_select]],TRUE)=1</f>
        <v>1</v>
      </c>
      <c r="AO1618" s="98" t="b">
        <f>IF(questions[[#This Row],[is_fixed]],questions[[#This Row],[question]]=INDEX(stable[question],MATCH(questions[[#This Row],[qno]],stable[qno],0)),TRUE)</f>
        <v>0</v>
      </c>
      <c r="AP1618" s="98" t="str">
        <f>LEFT(questions[[#This Row],[question]],similarity_range)</f>
        <v>Did you use pesticid</v>
      </c>
      <c r="AQ1618" s="98" t="str">
        <f>LEFT(INDEX(stable[question],MATCH(questions[[#This Row],[qno]],stable[qno],0)),similarity_range)</f>
        <v>Did you use pesticid</v>
      </c>
      <c r="AR1618" s="98" t="b">
        <f>questions[[#This Row],[question_first_characters]]=questions[[#This Row],[stability_first_characters]]</f>
        <v>1</v>
      </c>
      <c r="AS1618" s="98" t="b">
        <f>IF(OR(questions[[#This Row],[is_single_select]],questions[[#This Row],[is_multi_select]]),NOT(ISBLANK(questions[[#This Row],[answer_opt_combined]])),TRUE)</f>
        <v>1</v>
      </c>
    </row>
    <row r="1619" spans="1:45" ht="15.75" customHeight="1" x14ac:dyDescent="0.25">
      <c r="A1619" s="9" t="str">
        <f>_xlfn.TEXTJOIN("_",TRUE,questions[[#This Row],[origin]:[qno]])</f>
        <v>Burundi_Arabica_IKAWA RES PROJECT_2026_5601</v>
      </c>
      <c r="B1619" s="9" t="s">
        <v>1057</v>
      </c>
      <c r="C1619" s="9" t="s">
        <v>59</v>
      </c>
      <c r="D1619" s="9" t="s">
        <v>1058</v>
      </c>
      <c r="E1619" s="33">
        <v>2026</v>
      </c>
      <c r="F1619" s="36" t="s">
        <v>214</v>
      </c>
      <c r="G1619" s="15" t="s">
        <v>215</v>
      </c>
      <c r="H1619" s="9" t="str" cm="1">
        <f t="array" ref="H1619">INDEX(stableR[question],MATCH(VALUE(questions[[#This Row],[qno]]),VALUE(stableR[qno]),0))</f>
        <v xml:space="preserve">If yes, how many types of pesticides, fungicides and/or herbicides did you use last year for your coffee, in total? </v>
      </c>
      <c r="I1619" s="9" t="b" cm="1">
        <f t="array" ref="I1619">INDEX(stable[is_fixed],MATCH(VALUE(questions[[#This Row],[qno]]),VALUE(stable[qno]),0))</f>
        <v>1</v>
      </c>
      <c r="J1619" s="9" t="b" cm="1">
        <f t="array" ref="J1619">INDEX(stable[is_localized],MATCH(VALUE(questions[[#This Row],[qno]]),VALUE(stable[qno]),0))</f>
        <v>0</v>
      </c>
      <c r="K1619" s="9" t="b" cm="1">
        <f t="array" ref="K1619">INDEX(stable[is_supply_chain_dependent],MATCH(VALUE(questions[[#This Row],[qno]]),VALUE(stable[qno]),0))</f>
        <v>0</v>
      </c>
      <c r="L1619" s="9" t="b" cm="1">
        <f t="array" ref="L1619">INDEX(stable[is_mandatory],MATCH(VALUE(questions[[#This Row],[qno]]),VALUE(stable[qno]),0))</f>
        <v>0</v>
      </c>
      <c r="M1619" s="9" t="b" cm="1">
        <f t="array" ref="M1619">INDEX(stable[is_automated],MATCH(VALUE(questions[[#This Row],[qno]]),VALUE(stable[qno]),0))</f>
        <v>0</v>
      </c>
      <c r="N1619" s="9" t="b" cm="1">
        <f t="array" ref="N1619">INDEX(stable[is_free_text],MATCH(VALUE(questions[[#This Row],[qno]]),VALUE(stable[qno]),0))</f>
        <v>0</v>
      </c>
      <c r="O1619" s="9" t="b" cm="1">
        <f t="array" ref="O1619">INDEX(stable[is_numerical],MATCH(VALUE(questions[[#This Row],[qno]]),VALUE(stable[qno]),0))</f>
        <v>1</v>
      </c>
      <c r="P1619" s="9" t="b" cm="1">
        <f t="array" ref="P1619">INDEX(stable[is_single_select],MATCH(VALUE(questions[[#This Row],[qno]]),VALUE(stable[qno]),0))</f>
        <v>0</v>
      </c>
      <c r="Q1619" s="9" t="b" cm="1">
        <f t="array" ref="Q1619">INDEX(stable[is_multi_select],MATCH(VALUE(questions[[#This Row],[qno]]),VALUE(stable[qno]),0))</f>
        <v>0</v>
      </c>
      <c r="R1619" s="9" t="b" cm="1">
        <f t="array" ref="R1619">INDEX(stable[is_skip_logic],MATCH(VALUE(questions[[#This Row],[qno]]),VALUE(stable[qno]),0))</f>
        <v>1</v>
      </c>
      <c r="S1619" s="9" t="str">
        <f>_xlfn.TEXTJOIN(", ",TRUE,questions[[#This Row],[ans_opt_1]:[ans_opt_14]])</f>
        <v/>
      </c>
      <c r="AH1619" s="16" t="b">
        <f>INDEX(stable[q_standard],MATCH(questions[[#This Row],[qno]],stable[qno],0))</f>
        <v>0</v>
      </c>
      <c r="AI1619" s="16" t="b">
        <f>INDEX(stable[q_living_income],MATCH(questions[[#This Row],[qno]],stable[qno],0))</f>
        <v>1</v>
      </c>
      <c r="AJ1619" s="16" t="b">
        <f>INDEX(stable[q_carbon],MATCH(questions[[#This Row],[qno]],stable[qno],0))</f>
        <v>1</v>
      </c>
      <c r="AK1619" s="16" t="b">
        <f>INDEX(stable[q_regen_ag],MATCH(questions[[#This Row],[qno]],stable[qno],0))</f>
        <v>0</v>
      </c>
      <c r="AL1619" s="16" t="b">
        <f>COUNTIFS(stable[qno],questions[[#This Row],[qno]])=1</f>
        <v>1</v>
      </c>
      <c r="AM1619" s="16" t="b">
        <f>OR(questions[[#This Row],[is_fixed]],questions[[#This Row],[is_localized]],questions[[#This Row],[is_supply_chain_dependent]])</f>
        <v>1</v>
      </c>
      <c r="AN1619" s="16" t="b">
        <f>COUNTIFS(questions[[#This Row],[is_automated]:[is_multi_select]],TRUE)=1</f>
        <v>1</v>
      </c>
      <c r="AO1619" s="16" t="b">
        <f>IF(questions[[#This Row],[is_fixed]],questions[[#This Row],[question]]=INDEX(stable[question],MATCH(questions[[#This Row],[qno]],stable[qno],0)),TRUE)</f>
        <v>0</v>
      </c>
      <c r="AP1619" s="16" t="str">
        <f>LEFT(questions[[#This Row],[question]],similarity_range)</f>
        <v>If yes, how many typ</v>
      </c>
      <c r="AQ1619" s="16" t="str">
        <f>LEFT(INDEX(stable[question],MATCH(questions[[#This Row],[qno]],stable[qno],0)),similarity_range)</f>
        <v>If yes, how many typ</v>
      </c>
      <c r="AR1619" s="16" t="b">
        <f>questions[[#This Row],[question_first_characters]]=questions[[#This Row],[stability_first_characters]]</f>
        <v>1</v>
      </c>
      <c r="AS1619" s="16" t="b">
        <f>IF(OR(questions[[#This Row],[is_single_select]],questions[[#This Row],[is_multi_select]]),NOT(ISBLANK(questions[[#This Row],[answer_opt_combined]])),TRUE)</f>
        <v>1</v>
      </c>
    </row>
    <row r="1620" spans="1:45" ht="15.75" customHeight="1" x14ac:dyDescent="0.25">
      <c r="A1620" s="9" t="str">
        <f>_xlfn.TEXTJOIN("_",TRUE,questions[[#This Row],[origin]:[qno]])</f>
        <v>Burundi_Arabica_IKAWA RES PROJECT_2026_5610</v>
      </c>
      <c r="B1620" s="9" t="s">
        <v>1057</v>
      </c>
      <c r="C1620" s="9" t="s">
        <v>59</v>
      </c>
      <c r="D1620" s="9" t="s">
        <v>1058</v>
      </c>
      <c r="E1620" s="33">
        <v>2026</v>
      </c>
      <c r="F1620" s="36" t="s">
        <v>216</v>
      </c>
      <c r="G1620" s="15" t="s">
        <v>771</v>
      </c>
      <c r="H1620" s="9" t="str" cm="1">
        <f t="array" ref="H1620">INDEX(stableR[question],MATCH(VALUE(questions[[#This Row],[qno]]),VALUE(stableR[qno]),0))</f>
        <v>What was the name of the pesticide/fungicide or herbicide that you used most, last year?</v>
      </c>
      <c r="I1620" s="9" t="b" cm="1">
        <f t="array" ref="I1620">INDEX(stable[is_fixed],MATCH(VALUE(questions[[#This Row],[qno]]),VALUE(stable[qno]),0))</f>
        <v>1</v>
      </c>
      <c r="J1620" s="9" t="b" cm="1">
        <f t="array" ref="J1620">INDEX(stable[is_localized],MATCH(VALUE(questions[[#This Row],[qno]]),VALUE(stable[qno]),0))</f>
        <v>0</v>
      </c>
      <c r="K1620" s="9" t="b" cm="1">
        <f t="array" ref="K1620">INDEX(stable[is_supply_chain_dependent],MATCH(VALUE(questions[[#This Row],[qno]]),VALUE(stable[qno]),0))</f>
        <v>0</v>
      </c>
      <c r="L1620" s="9" t="b" cm="1">
        <f t="array" ref="L1620">INDEX(stable[is_mandatory],MATCH(VALUE(questions[[#This Row],[qno]]),VALUE(stable[qno]),0))</f>
        <v>0</v>
      </c>
      <c r="M1620" s="9" t="b" cm="1">
        <f t="array" ref="M1620">INDEX(stable[is_automated],MATCH(VALUE(questions[[#This Row],[qno]]),VALUE(stable[qno]),0))</f>
        <v>0</v>
      </c>
      <c r="N1620" s="9" t="b" cm="1">
        <f t="array" ref="N1620">INDEX(stable[is_free_text],MATCH(VALUE(questions[[#This Row],[qno]]),VALUE(stable[qno]),0))</f>
        <v>1</v>
      </c>
      <c r="O1620" s="9" t="b" cm="1">
        <f t="array" ref="O1620">INDEX(stable[is_numerical],MATCH(VALUE(questions[[#This Row],[qno]]),VALUE(stable[qno]),0))</f>
        <v>0</v>
      </c>
      <c r="P1620" s="9" t="b" cm="1">
        <f t="array" ref="P1620">INDEX(stable[is_single_select],MATCH(VALUE(questions[[#This Row],[qno]]),VALUE(stable[qno]),0))</f>
        <v>0</v>
      </c>
      <c r="Q1620" s="9" t="b" cm="1">
        <f t="array" ref="Q1620">INDEX(stable[is_multi_select],MATCH(VALUE(questions[[#This Row],[qno]]),VALUE(stable[qno]),0))</f>
        <v>0</v>
      </c>
      <c r="R1620" s="9" t="b" cm="1">
        <f t="array" ref="R1620">INDEX(stable[is_skip_logic],MATCH(VALUE(questions[[#This Row],[qno]]),VALUE(stable[qno]),0))</f>
        <v>1</v>
      </c>
      <c r="S1620" s="9" t="str">
        <f>_xlfn.TEXTJOIN(", ",TRUE,questions[[#This Row],[ans_opt_1]:[ans_opt_14]])</f>
        <v/>
      </c>
      <c r="AH1620" s="16" t="b">
        <f>INDEX(stable[q_standard],MATCH(questions[[#This Row],[qno]],stable[qno],0))</f>
        <v>0</v>
      </c>
      <c r="AI1620" s="16" t="b">
        <f>INDEX(stable[q_living_income],MATCH(questions[[#This Row],[qno]],stable[qno],0))</f>
        <v>1</v>
      </c>
      <c r="AJ1620" s="16" t="b">
        <f>INDEX(stable[q_carbon],MATCH(questions[[#This Row],[qno]],stable[qno],0))</f>
        <v>1</v>
      </c>
      <c r="AK1620" s="16" t="b">
        <f>INDEX(stable[q_regen_ag],MATCH(questions[[#This Row],[qno]],stable[qno],0))</f>
        <v>0</v>
      </c>
      <c r="AL1620" s="16" t="b">
        <f>COUNTIFS(stable[qno],questions[[#This Row],[qno]])=1</f>
        <v>1</v>
      </c>
      <c r="AM1620" s="16" t="b">
        <f>OR(questions[[#This Row],[is_fixed]],questions[[#This Row],[is_localized]],questions[[#This Row],[is_supply_chain_dependent]])</f>
        <v>1</v>
      </c>
      <c r="AN1620" s="16" t="b">
        <f>COUNTIFS(questions[[#This Row],[is_automated]:[is_multi_select]],TRUE)=1</f>
        <v>1</v>
      </c>
      <c r="AO1620" s="16" t="b">
        <f>IF(questions[[#This Row],[is_fixed]],questions[[#This Row],[question]]=INDEX(stable[question],MATCH(questions[[#This Row],[qno]],stable[qno],0)),TRUE)</f>
        <v>0</v>
      </c>
      <c r="AP1620" s="16" t="str">
        <f>LEFT(questions[[#This Row],[question]],similarity_range)</f>
        <v>If yes, what was the</v>
      </c>
      <c r="AQ1620" s="16" t="str">
        <f>LEFT(INDEX(stable[question],MATCH(questions[[#This Row],[qno]],stable[qno],0)),similarity_range)</f>
        <v>If yes, what was the</v>
      </c>
      <c r="AR1620" s="16" t="b">
        <f>questions[[#This Row],[question_first_characters]]=questions[[#This Row],[stability_first_characters]]</f>
        <v>1</v>
      </c>
      <c r="AS1620" s="16" t="b">
        <f>IF(OR(questions[[#This Row],[is_single_select]],questions[[#This Row],[is_multi_select]]),NOT(ISBLANK(questions[[#This Row],[answer_opt_combined]])),TRUE)</f>
        <v>1</v>
      </c>
    </row>
    <row r="1621" spans="1:45" ht="15.75" customHeight="1" x14ac:dyDescent="0.25">
      <c r="A1621" s="9" t="str">
        <f>_xlfn.TEXTJOIN("_",TRUE,questions[[#This Row],[origin]:[qno]])</f>
        <v>Burundi_Arabica_IKAWA RES PROJECT_2026_5611</v>
      </c>
      <c r="B1621" s="9" t="s">
        <v>1057</v>
      </c>
      <c r="C1621" s="9" t="s">
        <v>59</v>
      </c>
      <c r="D1621" s="9" t="s">
        <v>1058</v>
      </c>
      <c r="E1621" s="33">
        <v>2026</v>
      </c>
      <c r="F1621" s="36" t="s">
        <v>218</v>
      </c>
      <c r="G1621" s="15" t="s">
        <v>219</v>
      </c>
      <c r="H1621" s="9" t="str" cm="1">
        <f t="array" ref="H1621">INDEX(stableR[question],MATCH(VALUE(questions[[#This Row],[qno]]),VALUE(stableR[qno]),0))</f>
        <v>What was the quantity used of this most used pesticide/fungicide/herbicide last year?</v>
      </c>
      <c r="I1621" s="9" t="b" cm="1">
        <f t="array" ref="I1621">INDEX(stable[is_fixed],MATCH(VALUE(questions[[#This Row],[qno]]),VALUE(stable[qno]),0))</f>
        <v>1</v>
      </c>
      <c r="J1621" s="9" t="b" cm="1">
        <f t="array" ref="J1621">INDEX(stable[is_localized],MATCH(VALUE(questions[[#This Row],[qno]]),VALUE(stable[qno]),0))</f>
        <v>0</v>
      </c>
      <c r="K1621" s="9" t="b" cm="1">
        <f t="array" ref="K1621">INDEX(stable[is_supply_chain_dependent],MATCH(VALUE(questions[[#This Row],[qno]]),VALUE(stable[qno]),0))</f>
        <v>0</v>
      </c>
      <c r="L1621" s="9" t="b" cm="1">
        <f t="array" ref="L1621">INDEX(stable[is_mandatory],MATCH(VALUE(questions[[#This Row],[qno]]),VALUE(stable[qno]),0))</f>
        <v>0</v>
      </c>
      <c r="M1621" s="9" t="b" cm="1">
        <f t="array" ref="M1621">INDEX(stable[is_automated],MATCH(VALUE(questions[[#This Row],[qno]]),VALUE(stable[qno]),0))</f>
        <v>0</v>
      </c>
      <c r="N1621" s="9" t="b" cm="1">
        <f t="array" ref="N1621">INDEX(stable[is_free_text],MATCH(VALUE(questions[[#This Row],[qno]]),VALUE(stable[qno]),0))</f>
        <v>0</v>
      </c>
      <c r="O1621" s="9" t="b" cm="1">
        <f t="array" ref="O1621">INDEX(stable[is_numerical],MATCH(VALUE(questions[[#This Row],[qno]]),VALUE(stable[qno]),0))</f>
        <v>1</v>
      </c>
      <c r="P1621" s="9" t="b" cm="1">
        <f t="array" ref="P1621">INDEX(stable[is_single_select],MATCH(VALUE(questions[[#This Row],[qno]]),VALUE(stable[qno]),0))</f>
        <v>0</v>
      </c>
      <c r="Q1621" s="9" t="b" cm="1">
        <f t="array" ref="Q1621">INDEX(stable[is_multi_select],MATCH(VALUE(questions[[#This Row],[qno]]),VALUE(stable[qno]),0))</f>
        <v>0</v>
      </c>
      <c r="R1621" s="9" t="b" cm="1">
        <f t="array" ref="R1621">INDEX(stable[is_skip_logic],MATCH(VALUE(questions[[#This Row],[qno]]),VALUE(stable[qno]),0))</f>
        <v>1</v>
      </c>
      <c r="S1621" s="9" t="str">
        <f>_xlfn.TEXTJOIN(", ",TRUE,questions[[#This Row],[ans_opt_1]:[ans_opt_14]])</f>
        <v/>
      </c>
      <c r="AH1621" s="16" t="b">
        <f>INDEX(stable[q_standard],MATCH(questions[[#This Row],[qno]],stable[qno],0))</f>
        <v>0</v>
      </c>
      <c r="AI1621" s="16" t="b">
        <f>INDEX(stable[q_living_income],MATCH(questions[[#This Row],[qno]],stable[qno],0))</f>
        <v>1</v>
      </c>
      <c r="AJ1621" s="16" t="b">
        <f>INDEX(stable[q_carbon],MATCH(questions[[#This Row],[qno]],stable[qno],0))</f>
        <v>1</v>
      </c>
      <c r="AK1621" s="16" t="b">
        <f>INDEX(stable[q_regen_ag],MATCH(questions[[#This Row],[qno]],stable[qno],0))</f>
        <v>0</v>
      </c>
      <c r="AL1621" s="16" t="b">
        <f>COUNTIFS(stable[qno],questions[[#This Row],[qno]])=1</f>
        <v>1</v>
      </c>
      <c r="AM1621" s="16" t="b">
        <f>OR(questions[[#This Row],[is_fixed]],questions[[#This Row],[is_localized]],questions[[#This Row],[is_supply_chain_dependent]])</f>
        <v>1</v>
      </c>
      <c r="AN1621" s="16" t="b">
        <f>COUNTIFS(questions[[#This Row],[is_automated]:[is_multi_select]],TRUE)=1</f>
        <v>1</v>
      </c>
      <c r="AO1621" s="16" t="b">
        <f>IF(questions[[#This Row],[is_fixed]],questions[[#This Row],[question]]=INDEX(stable[question],MATCH(questions[[#This Row],[qno]],stable[qno],0)),TRUE)</f>
        <v>1</v>
      </c>
      <c r="AP1621" s="16" t="str">
        <f>LEFT(questions[[#This Row],[question]],similarity_range)</f>
        <v>What was the quantit</v>
      </c>
      <c r="AQ1621" s="16" t="str">
        <f>LEFT(INDEX(stable[question],MATCH(questions[[#This Row],[qno]],stable[qno],0)),similarity_range)</f>
        <v>What was the quantit</v>
      </c>
      <c r="AR1621" s="16" t="b">
        <f>questions[[#This Row],[question_first_characters]]=questions[[#This Row],[stability_first_characters]]</f>
        <v>1</v>
      </c>
      <c r="AS1621" s="16" t="b">
        <f>IF(OR(questions[[#This Row],[is_single_select]],questions[[#This Row],[is_multi_select]]),NOT(ISBLANK(questions[[#This Row],[answer_opt_combined]])),TRUE)</f>
        <v>1</v>
      </c>
    </row>
    <row r="1622" spans="1:45" s="77" customFormat="1" ht="15.75" customHeight="1" x14ac:dyDescent="0.25">
      <c r="A1622" s="77" t="str">
        <f>_xlfn.TEXTJOIN("_",TRUE,questions[[#This Row],[origin]:[qno]])</f>
        <v>Burundi_Arabica_IKAWA RES PROJECT_2026_5612</v>
      </c>
      <c r="B1622" s="77" t="s">
        <v>1057</v>
      </c>
      <c r="C1622" s="77" t="s">
        <v>59</v>
      </c>
      <c r="D1622" s="77" t="s">
        <v>1058</v>
      </c>
      <c r="E1622" s="77">
        <v>2026</v>
      </c>
      <c r="F1622" s="105" t="s">
        <v>220</v>
      </c>
      <c r="G1622" s="78" t="s">
        <v>772</v>
      </c>
      <c r="H1622" s="9" t="str" cm="1">
        <f t="array" ref="H1622">INDEX(stableR[question],MATCH(VALUE(questions[[#This Row],[qno]]),VALUE(stableR[qno]),0))</f>
        <v>What was the unit of this most used pesticide/fungicide/herbicide?</v>
      </c>
      <c r="I1622" s="9" t="b" cm="1">
        <f t="array" ref="I1622">INDEX(stable[is_fixed],MATCH(VALUE(questions[[#This Row],[qno]]),VALUE(stable[qno]),0))</f>
        <v>1</v>
      </c>
      <c r="J1622" s="9" t="b" cm="1">
        <f t="array" ref="J1622">INDEX(stable[is_localized],MATCH(VALUE(questions[[#This Row],[qno]]),VALUE(stable[qno]),0))</f>
        <v>0</v>
      </c>
      <c r="K1622" s="9" t="b" cm="1">
        <f t="array" ref="K1622">INDEX(stable[is_supply_chain_dependent],MATCH(VALUE(questions[[#This Row],[qno]]),VALUE(stable[qno]),0))</f>
        <v>0</v>
      </c>
      <c r="L1622" s="9" t="b" cm="1">
        <f t="array" ref="L1622">INDEX(stable[is_mandatory],MATCH(VALUE(questions[[#This Row],[qno]]),VALUE(stable[qno]),0))</f>
        <v>0</v>
      </c>
      <c r="M1622" s="9" t="b" cm="1">
        <f t="array" ref="M1622">INDEX(stable[is_automated],MATCH(VALUE(questions[[#This Row],[qno]]),VALUE(stable[qno]),0))</f>
        <v>0</v>
      </c>
      <c r="N1622" s="9" t="b" cm="1">
        <f t="array" ref="N1622">INDEX(stable[is_free_text],MATCH(VALUE(questions[[#This Row],[qno]]),VALUE(stable[qno]),0))</f>
        <v>0</v>
      </c>
      <c r="O1622" s="9" t="b" cm="1">
        <f t="array" ref="O1622">INDEX(stable[is_numerical],MATCH(VALUE(questions[[#This Row],[qno]]),VALUE(stable[qno]),0))</f>
        <v>0</v>
      </c>
      <c r="P1622" s="77" t="b" cm="1">
        <f t="array" ref="P1622">INDEX(stable[is_single_select],MATCH(VALUE(questions[[#This Row],[qno]]),VALUE(stable[qno]),0))</f>
        <v>1</v>
      </c>
      <c r="Q1622" s="77" t="b" cm="1">
        <f t="array" ref="Q1622">INDEX(stable[is_multi_select],MATCH(VALUE(questions[[#This Row],[qno]]),VALUE(stable[qno]),0))</f>
        <v>0</v>
      </c>
      <c r="R1622" s="77" t="b" cm="1">
        <f t="array" ref="R1622">INDEX(stable[is_skip_logic],MATCH(VALUE(questions[[#This Row],[qno]]),VALUE(stable[qno]),0))</f>
        <v>1</v>
      </c>
      <c r="S1622" s="77" t="str">
        <f>_xlfn.TEXTJOIN(", ",TRUE,questions[[#This Row],[ans_opt_1]:[ans_opt_14]])</f>
        <v>Kgs, Grams, Liters, Mililiters</v>
      </c>
      <c r="T1622" s="77" t="s">
        <v>222</v>
      </c>
      <c r="U1622" s="77" t="s">
        <v>223</v>
      </c>
      <c r="V1622" s="77" t="s">
        <v>224</v>
      </c>
      <c r="W1622" s="77" t="s">
        <v>225</v>
      </c>
      <c r="AH1622" s="98" t="b">
        <f>INDEX(stable[q_standard],MATCH(questions[[#This Row],[qno]],stable[qno],0))</f>
        <v>0</v>
      </c>
      <c r="AI1622" s="98" t="b">
        <f>INDEX(stable[q_living_income],MATCH(questions[[#This Row],[qno]],stable[qno],0))</f>
        <v>1</v>
      </c>
      <c r="AJ1622" s="98" t="b">
        <f>INDEX(stable[q_carbon],MATCH(questions[[#This Row],[qno]],stable[qno],0))</f>
        <v>1</v>
      </c>
      <c r="AK1622" s="98" t="b">
        <f>INDEX(stable[q_regen_ag],MATCH(questions[[#This Row],[qno]],stable[qno],0))</f>
        <v>0</v>
      </c>
      <c r="AL1622" s="98" t="b">
        <f>COUNTIFS(stable[qno],questions[[#This Row],[qno]])=1</f>
        <v>1</v>
      </c>
      <c r="AM1622" s="98" t="b">
        <f>OR(questions[[#This Row],[is_fixed]],questions[[#This Row],[is_localized]],questions[[#This Row],[is_supply_chain_dependent]])</f>
        <v>1</v>
      </c>
      <c r="AN1622" s="98" t="b">
        <f>COUNTIFS(questions[[#This Row],[is_automated]:[is_multi_select]],TRUE)=1</f>
        <v>1</v>
      </c>
      <c r="AO1622" s="98" t="b">
        <f>IF(questions[[#This Row],[is_fixed]],questions[[#This Row],[question]]=INDEX(stable[question],MATCH(questions[[#This Row],[qno]],stable[qno],0)),TRUE)</f>
        <v>0</v>
      </c>
      <c r="AP1622" s="98" t="str">
        <f>LEFT(questions[[#This Row],[question]],similarity_range)</f>
        <v>What was the unit of</v>
      </c>
      <c r="AQ1622" s="98" t="str">
        <f>LEFT(INDEX(stable[question],MATCH(questions[[#This Row],[qno]],stable[qno],0)),similarity_range)</f>
        <v>What was the unit of</v>
      </c>
      <c r="AR1622" s="98" t="b">
        <f>questions[[#This Row],[question_first_characters]]=questions[[#This Row],[stability_first_characters]]</f>
        <v>1</v>
      </c>
      <c r="AS1622" s="98" t="b">
        <f>IF(OR(questions[[#This Row],[is_single_select]],questions[[#This Row],[is_multi_select]]),NOT(ISBLANK(questions[[#This Row],[answer_opt_combined]])),TRUE)</f>
        <v>1</v>
      </c>
    </row>
    <row r="1623" spans="1:45" ht="15.75" customHeight="1" x14ac:dyDescent="0.25">
      <c r="A1623" s="9" t="str">
        <f>_xlfn.TEXTJOIN("_",TRUE,questions[[#This Row],[origin]:[qno]])</f>
        <v>Burundi_Arabica_IKAWA RES PROJECT_2026_5620</v>
      </c>
      <c r="B1623" s="9" t="s">
        <v>1057</v>
      </c>
      <c r="C1623" s="9" t="s">
        <v>59</v>
      </c>
      <c r="D1623" s="9" t="s">
        <v>1058</v>
      </c>
      <c r="E1623" s="33">
        <v>2026</v>
      </c>
      <c r="F1623" s="36" t="s">
        <v>226</v>
      </c>
      <c r="G1623" s="15" t="s">
        <v>773</v>
      </c>
      <c r="H1623" s="9" t="str" cm="1">
        <f t="array" ref="H1623">INDEX(stableR[question],MATCH(VALUE(questions[[#This Row],[qno]]),VALUE(stableR[qno]),0))</f>
        <v>What was the name of the pesticide/fungicide or herbicide that you used second most, last year?</v>
      </c>
      <c r="I1623" s="9" t="b" cm="1">
        <f t="array" ref="I1623">INDEX(stable[is_fixed],MATCH(VALUE(questions[[#This Row],[qno]]),VALUE(stable[qno]),0))</f>
        <v>1</v>
      </c>
      <c r="J1623" s="9" t="b" cm="1">
        <f t="array" ref="J1623">INDEX(stable[is_localized],MATCH(VALUE(questions[[#This Row],[qno]]),VALUE(stable[qno]),0))</f>
        <v>0</v>
      </c>
      <c r="K1623" s="9" t="b" cm="1">
        <f t="array" ref="K1623">INDEX(stable[is_supply_chain_dependent],MATCH(VALUE(questions[[#This Row],[qno]]),VALUE(stable[qno]),0))</f>
        <v>0</v>
      </c>
      <c r="L1623" s="9" t="b" cm="1">
        <f t="array" ref="L1623">INDEX(stable[is_mandatory],MATCH(VALUE(questions[[#This Row],[qno]]),VALUE(stable[qno]),0))</f>
        <v>0</v>
      </c>
      <c r="M1623" s="9" t="b" cm="1">
        <f t="array" ref="M1623">INDEX(stable[is_automated],MATCH(VALUE(questions[[#This Row],[qno]]),VALUE(stable[qno]),0))</f>
        <v>0</v>
      </c>
      <c r="N1623" s="9" t="b" cm="1">
        <f t="array" ref="N1623">INDEX(stable[is_free_text],MATCH(VALUE(questions[[#This Row],[qno]]),VALUE(stable[qno]),0))</f>
        <v>1</v>
      </c>
      <c r="O1623" s="9" t="b" cm="1">
        <f t="array" ref="O1623">INDEX(stable[is_numerical],MATCH(VALUE(questions[[#This Row],[qno]]),VALUE(stable[qno]),0))</f>
        <v>0</v>
      </c>
      <c r="P1623" s="9" t="b" cm="1">
        <f t="array" ref="P1623">INDEX(stable[is_single_select],MATCH(VALUE(questions[[#This Row],[qno]]),VALUE(stable[qno]),0))</f>
        <v>0</v>
      </c>
      <c r="Q1623" s="9" t="b" cm="1">
        <f t="array" ref="Q1623">INDEX(stable[is_multi_select],MATCH(VALUE(questions[[#This Row],[qno]]),VALUE(stable[qno]),0))</f>
        <v>0</v>
      </c>
      <c r="R1623" s="9" t="b" cm="1">
        <f t="array" ref="R1623">INDEX(stable[is_skip_logic],MATCH(VALUE(questions[[#This Row],[qno]]),VALUE(stable[qno]),0))</f>
        <v>1</v>
      </c>
      <c r="S1623" s="9" t="str">
        <f>_xlfn.TEXTJOIN(", ",TRUE,questions[[#This Row],[ans_opt_1]:[ans_opt_14]])</f>
        <v/>
      </c>
      <c r="AH1623" s="16" t="b">
        <f>INDEX(stable[q_standard],MATCH(questions[[#This Row],[qno]],stable[qno],0))</f>
        <v>0</v>
      </c>
      <c r="AI1623" s="16" t="b">
        <f>INDEX(stable[q_living_income],MATCH(questions[[#This Row],[qno]],stable[qno],0))</f>
        <v>1</v>
      </c>
      <c r="AJ1623" s="16" t="b">
        <f>INDEX(stable[q_carbon],MATCH(questions[[#This Row],[qno]],stable[qno],0))</f>
        <v>1</v>
      </c>
      <c r="AK1623" s="16" t="b">
        <f>INDEX(stable[q_regen_ag],MATCH(questions[[#This Row],[qno]],stable[qno],0))</f>
        <v>0</v>
      </c>
      <c r="AL1623" s="16" t="b">
        <f>COUNTIFS(stable[qno],questions[[#This Row],[qno]])=1</f>
        <v>1</v>
      </c>
      <c r="AM1623" s="16" t="b">
        <f>OR(questions[[#This Row],[is_fixed]],questions[[#This Row],[is_localized]],questions[[#This Row],[is_supply_chain_dependent]])</f>
        <v>1</v>
      </c>
      <c r="AN1623" s="16" t="b">
        <f>COUNTIFS(questions[[#This Row],[is_automated]:[is_multi_select]],TRUE)=1</f>
        <v>1</v>
      </c>
      <c r="AO1623" s="16" t="b">
        <f>IF(questions[[#This Row],[is_fixed]],questions[[#This Row],[question]]=INDEX(stable[question],MATCH(questions[[#This Row],[qno]],stable[qno],0)),TRUE)</f>
        <v>0</v>
      </c>
      <c r="AP1623" s="16" t="str">
        <f>LEFT(questions[[#This Row],[question]],similarity_range)</f>
        <v>If yes, what was the</v>
      </c>
      <c r="AQ1623" s="16" t="str">
        <f>LEFT(INDEX(stable[question],MATCH(questions[[#This Row],[qno]],stable[qno],0)),similarity_range)</f>
        <v>If yes, what was the</v>
      </c>
      <c r="AR1623" s="16" t="b">
        <f>questions[[#This Row],[question_first_characters]]=questions[[#This Row],[stability_first_characters]]</f>
        <v>1</v>
      </c>
      <c r="AS1623" s="16" t="b">
        <f>IF(OR(questions[[#This Row],[is_single_select]],questions[[#This Row],[is_multi_select]]),NOT(ISBLANK(questions[[#This Row],[answer_opt_combined]])),TRUE)</f>
        <v>1</v>
      </c>
    </row>
    <row r="1624" spans="1:45" ht="15.75" customHeight="1" x14ac:dyDescent="0.25">
      <c r="A1624" s="9" t="str">
        <f>_xlfn.TEXTJOIN("_",TRUE,questions[[#This Row],[origin]:[qno]])</f>
        <v>Burundi_Arabica_IKAWA RES PROJECT_2026_5621</v>
      </c>
      <c r="B1624" s="9" t="s">
        <v>1057</v>
      </c>
      <c r="C1624" s="9" t="s">
        <v>59</v>
      </c>
      <c r="D1624" s="9" t="s">
        <v>1058</v>
      </c>
      <c r="E1624" s="33">
        <v>2026</v>
      </c>
      <c r="F1624" s="36" t="s">
        <v>228</v>
      </c>
      <c r="G1624" s="15" t="s">
        <v>229</v>
      </c>
      <c r="H1624" s="9" t="str" cm="1">
        <f t="array" ref="H1624">INDEX(stableR[question],MATCH(VALUE(questions[[#This Row],[qno]]),VALUE(stableR[qno]),0))</f>
        <v>What was the quantity used of this second most used pesticide/fungicide/herbicide last year?</v>
      </c>
      <c r="I1624" s="9" t="b" cm="1">
        <f t="array" ref="I1624">INDEX(stable[is_fixed],MATCH(VALUE(questions[[#This Row],[qno]]),VALUE(stable[qno]),0))</f>
        <v>1</v>
      </c>
      <c r="J1624" s="9" t="b" cm="1">
        <f t="array" ref="J1624">INDEX(stable[is_localized],MATCH(VALUE(questions[[#This Row],[qno]]),VALUE(stable[qno]),0))</f>
        <v>0</v>
      </c>
      <c r="K1624" s="9" t="b" cm="1">
        <f t="array" ref="K1624">INDEX(stable[is_supply_chain_dependent],MATCH(VALUE(questions[[#This Row],[qno]]),VALUE(stable[qno]),0))</f>
        <v>0</v>
      </c>
      <c r="L1624" s="9" t="b" cm="1">
        <f t="array" ref="L1624">INDEX(stable[is_mandatory],MATCH(VALUE(questions[[#This Row],[qno]]),VALUE(stable[qno]),0))</f>
        <v>0</v>
      </c>
      <c r="M1624" s="9" t="b" cm="1">
        <f t="array" ref="M1624">INDEX(stable[is_automated],MATCH(VALUE(questions[[#This Row],[qno]]),VALUE(stable[qno]),0))</f>
        <v>0</v>
      </c>
      <c r="N1624" s="9" t="b" cm="1">
        <f t="array" ref="N1624">INDEX(stable[is_free_text],MATCH(VALUE(questions[[#This Row],[qno]]),VALUE(stable[qno]),0))</f>
        <v>0</v>
      </c>
      <c r="O1624" s="9" t="b" cm="1">
        <f t="array" ref="O1624">INDEX(stable[is_numerical],MATCH(VALUE(questions[[#This Row],[qno]]),VALUE(stable[qno]),0))</f>
        <v>1</v>
      </c>
      <c r="P1624" s="9" t="b" cm="1">
        <f t="array" ref="P1624">INDEX(stable[is_single_select],MATCH(VALUE(questions[[#This Row],[qno]]),VALUE(stable[qno]),0))</f>
        <v>0</v>
      </c>
      <c r="Q1624" s="9" t="b" cm="1">
        <f t="array" ref="Q1624">INDEX(stable[is_multi_select],MATCH(VALUE(questions[[#This Row],[qno]]),VALUE(stable[qno]),0))</f>
        <v>0</v>
      </c>
      <c r="R1624" s="9" t="b" cm="1">
        <f t="array" ref="R1624">INDEX(stable[is_skip_logic],MATCH(VALUE(questions[[#This Row],[qno]]),VALUE(stable[qno]),0))</f>
        <v>1</v>
      </c>
      <c r="S1624" s="9" t="str">
        <f>_xlfn.TEXTJOIN(", ",TRUE,questions[[#This Row],[ans_opt_1]:[ans_opt_14]])</f>
        <v/>
      </c>
      <c r="AH1624" s="16" t="b">
        <f>INDEX(stable[q_standard],MATCH(questions[[#This Row],[qno]],stable[qno],0))</f>
        <v>0</v>
      </c>
      <c r="AI1624" s="16" t="b">
        <f>INDEX(stable[q_living_income],MATCH(questions[[#This Row],[qno]],stable[qno],0))</f>
        <v>1</v>
      </c>
      <c r="AJ1624" s="16" t="b">
        <f>INDEX(stable[q_carbon],MATCH(questions[[#This Row],[qno]],stable[qno],0))</f>
        <v>1</v>
      </c>
      <c r="AK1624" s="16" t="b">
        <f>INDEX(stable[q_regen_ag],MATCH(questions[[#This Row],[qno]],stable[qno],0))</f>
        <v>0</v>
      </c>
      <c r="AL1624" s="16" t="b">
        <f>COUNTIFS(stable[qno],questions[[#This Row],[qno]])=1</f>
        <v>1</v>
      </c>
      <c r="AM1624" s="16" t="b">
        <f>OR(questions[[#This Row],[is_fixed]],questions[[#This Row],[is_localized]],questions[[#This Row],[is_supply_chain_dependent]])</f>
        <v>1</v>
      </c>
      <c r="AN1624" s="16" t="b">
        <f>COUNTIFS(questions[[#This Row],[is_automated]:[is_multi_select]],TRUE)=1</f>
        <v>1</v>
      </c>
      <c r="AO1624" s="16" t="b">
        <f>IF(questions[[#This Row],[is_fixed]],questions[[#This Row],[question]]=INDEX(stable[question],MATCH(questions[[#This Row],[qno]],stable[qno],0)),TRUE)</f>
        <v>1</v>
      </c>
      <c r="AP1624" s="16" t="str">
        <f>LEFT(questions[[#This Row],[question]],similarity_range)</f>
        <v>What was the quantit</v>
      </c>
      <c r="AQ1624" s="16" t="str">
        <f>LEFT(INDEX(stable[question],MATCH(questions[[#This Row],[qno]],stable[qno],0)),similarity_range)</f>
        <v>What was the quantit</v>
      </c>
      <c r="AR1624" s="16" t="b">
        <f>questions[[#This Row],[question_first_characters]]=questions[[#This Row],[stability_first_characters]]</f>
        <v>1</v>
      </c>
      <c r="AS1624" s="16" t="b">
        <f>IF(OR(questions[[#This Row],[is_single_select]],questions[[#This Row],[is_multi_select]]),NOT(ISBLANK(questions[[#This Row],[answer_opt_combined]])),TRUE)</f>
        <v>1</v>
      </c>
    </row>
    <row r="1625" spans="1:45" s="77" customFormat="1" ht="15.75" customHeight="1" x14ac:dyDescent="0.25">
      <c r="A1625" s="77" t="str">
        <f>_xlfn.TEXTJOIN("_",TRUE,questions[[#This Row],[origin]:[qno]])</f>
        <v>Burundi_Arabica_IKAWA RES PROJECT_2026_5622</v>
      </c>
      <c r="B1625" s="77" t="s">
        <v>1057</v>
      </c>
      <c r="C1625" s="77" t="s">
        <v>59</v>
      </c>
      <c r="D1625" s="77" t="s">
        <v>1058</v>
      </c>
      <c r="E1625" s="77">
        <v>2026</v>
      </c>
      <c r="F1625" s="105" t="s">
        <v>230</v>
      </c>
      <c r="G1625" s="78" t="s">
        <v>774</v>
      </c>
      <c r="H1625" s="9" t="str" cm="1">
        <f t="array" ref="H1625">INDEX(stableR[question],MATCH(VALUE(questions[[#This Row],[qno]]),VALUE(stableR[qno]),0))</f>
        <v>What was the unit of this second most used pesticide/fungicide/herbicide?</v>
      </c>
      <c r="I1625" s="9" t="b" cm="1">
        <f t="array" ref="I1625">INDEX(stable[is_fixed],MATCH(VALUE(questions[[#This Row],[qno]]),VALUE(stable[qno]),0))</f>
        <v>1</v>
      </c>
      <c r="J1625" s="9" t="b" cm="1">
        <f t="array" ref="J1625">INDEX(stable[is_localized],MATCH(VALUE(questions[[#This Row],[qno]]),VALUE(stable[qno]),0))</f>
        <v>0</v>
      </c>
      <c r="K1625" s="9" t="b" cm="1">
        <f t="array" ref="K1625">INDEX(stable[is_supply_chain_dependent],MATCH(VALUE(questions[[#This Row],[qno]]),VALUE(stable[qno]),0))</f>
        <v>0</v>
      </c>
      <c r="L1625" s="9" t="b" cm="1">
        <f t="array" ref="L1625">INDEX(stable[is_mandatory],MATCH(VALUE(questions[[#This Row],[qno]]),VALUE(stable[qno]),0))</f>
        <v>0</v>
      </c>
      <c r="M1625" s="9" t="b" cm="1">
        <f t="array" ref="M1625">INDEX(stable[is_automated],MATCH(VALUE(questions[[#This Row],[qno]]),VALUE(stable[qno]),0))</f>
        <v>0</v>
      </c>
      <c r="N1625" s="9" t="b" cm="1">
        <f t="array" ref="N1625">INDEX(stable[is_free_text],MATCH(VALUE(questions[[#This Row],[qno]]),VALUE(stable[qno]),0))</f>
        <v>0</v>
      </c>
      <c r="O1625" s="9" t="b" cm="1">
        <f t="array" ref="O1625">INDEX(stable[is_numerical],MATCH(VALUE(questions[[#This Row],[qno]]),VALUE(stable[qno]),0))</f>
        <v>0</v>
      </c>
      <c r="P1625" s="77" t="b" cm="1">
        <f t="array" ref="P1625">INDEX(stable[is_single_select],MATCH(VALUE(questions[[#This Row],[qno]]),VALUE(stable[qno]),0))</f>
        <v>1</v>
      </c>
      <c r="Q1625" s="77" t="b" cm="1">
        <f t="array" ref="Q1625">INDEX(stable[is_multi_select],MATCH(VALUE(questions[[#This Row],[qno]]),VALUE(stable[qno]),0))</f>
        <v>0</v>
      </c>
      <c r="R1625" s="77" t="b" cm="1">
        <f t="array" ref="R1625">INDEX(stable[is_skip_logic],MATCH(VALUE(questions[[#This Row],[qno]]),VALUE(stable[qno]),0))</f>
        <v>1</v>
      </c>
      <c r="S1625" s="77" t="str">
        <f>_xlfn.TEXTJOIN(", ",TRUE,questions[[#This Row],[ans_opt_1]:[ans_opt_14]])</f>
        <v>Kgs, Grams, Liters, Mililiters</v>
      </c>
      <c r="T1625" s="77" t="s">
        <v>222</v>
      </c>
      <c r="U1625" s="77" t="s">
        <v>223</v>
      </c>
      <c r="V1625" s="77" t="s">
        <v>224</v>
      </c>
      <c r="W1625" s="77" t="s">
        <v>225</v>
      </c>
      <c r="AH1625" s="98" t="b">
        <f>INDEX(stable[q_standard],MATCH(questions[[#This Row],[qno]],stable[qno],0))</f>
        <v>0</v>
      </c>
      <c r="AI1625" s="98" t="b">
        <f>INDEX(stable[q_living_income],MATCH(questions[[#This Row],[qno]],stable[qno],0))</f>
        <v>1</v>
      </c>
      <c r="AJ1625" s="98" t="b">
        <f>INDEX(stable[q_carbon],MATCH(questions[[#This Row],[qno]],stable[qno],0))</f>
        <v>1</v>
      </c>
      <c r="AK1625" s="98" t="b">
        <f>INDEX(stable[q_regen_ag],MATCH(questions[[#This Row],[qno]],stable[qno],0))</f>
        <v>0</v>
      </c>
      <c r="AL1625" s="98" t="b">
        <f>COUNTIFS(stable[qno],questions[[#This Row],[qno]])=1</f>
        <v>1</v>
      </c>
      <c r="AM1625" s="98" t="b">
        <f>OR(questions[[#This Row],[is_fixed]],questions[[#This Row],[is_localized]],questions[[#This Row],[is_supply_chain_dependent]])</f>
        <v>1</v>
      </c>
      <c r="AN1625" s="98" t="b">
        <f>COUNTIFS(questions[[#This Row],[is_automated]:[is_multi_select]],TRUE)=1</f>
        <v>1</v>
      </c>
      <c r="AO1625" s="98" t="b">
        <f>IF(questions[[#This Row],[is_fixed]],questions[[#This Row],[question]]=INDEX(stable[question],MATCH(questions[[#This Row],[qno]],stable[qno],0)),TRUE)</f>
        <v>0</v>
      </c>
      <c r="AP1625" s="98" t="str">
        <f>LEFT(questions[[#This Row],[question]],similarity_range)</f>
        <v>What was the unit of</v>
      </c>
      <c r="AQ1625" s="98" t="str">
        <f>LEFT(INDEX(stable[question],MATCH(questions[[#This Row],[qno]],stable[qno],0)),similarity_range)</f>
        <v>What was the unit of</v>
      </c>
      <c r="AR1625" s="98" t="b">
        <f>questions[[#This Row],[question_first_characters]]=questions[[#This Row],[stability_first_characters]]</f>
        <v>1</v>
      </c>
      <c r="AS1625" s="98" t="b">
        <f>IF(OR(questions[[#This Row],[is_single_select]],questions[[#This Row],[is_multi_select]]),NOT(ISBLANK(questions[[#This Row],[answer_opt_combined]])),TRUE)</f>
        <v>1</v>
      </c>
    </row>
    <row r="1626" spans="1:45" ht="15.75" customHeight="1" x14ac:dyDescent="0.25">
      <c r="A1626" s="9" t="str">
        <f>_xlfn.TEXTJOIN("_",TRUE,questions[[#This Row],[origin]:[qno]])</f>
        <v>Burundi_Arabica_IKAWA RES PROJECT_2026_5630</v>
      </c>
      <c r="B1626" s="9" t="s">
        <v>1057</v>
      </c>
      <c r="C1626" s="9" t="s">
        <v>59</v>
      </c>
      <c r="D1626" s="9" t="s">
        <v>1058</v>
      </c>
      <c r="E1626" s="33">
        <v>2026</v>
      </c>
      <c r="F1626" s="36" t="s">
        <v>232</v>
      </c>
      <c r="G1626" s="15" t="s">
        <v>775</v>
      </c>
      <c r="H1626" s="9" t="str" cm="1">
        <f t="array" ref="H1626">INDEX(stableR[question],MATCH(VALUE(questions[[#This Row],[qno]]),VALUE(stableR[qno]),0))</f>
        <v>What was the name of the pesticide/fungicide or herbicide that you used third most, last year?</v>
      </c>
      <c r="I1626" s="9" t="b" cm="1">
        <f t="array" ref="I1626">INDEX(stable[is_fixed],MATCH(VALUE(questions[[#This Row],[qno]]),VALUE(stable[qno]),0))</f>
        <v>1</v>
      </c>
      <c r="J1626" s="9" t="b" cm="1">
        <f t="array" ref="J1626">INDEX(stable[is_localized],MATCH(VALUE(questions[[#This Row],[qno]]),VALUE(stable[qno]),0))</f>
        <v>0</v>
      </c>
      <c r="K1626" s="9" t="b" cm="1">
        <f t="array" ref="K1626">INDEX(stable[is_supply_chain_dependent],MATCH(VALUE(questions[[#This Row],[qno]]),VALUE(stable[qno]),0))</f>
        <v>0</v>
      </c>
      <c r="L1626" s="9" t="b" cm="1">
        <f t="array" ref="L1626">INDEX(stable[is_mandatory],MATCH(VALUE(questions[[#This Row],[qno]]),VALUE(stable[qno]),0))</f>
        <v>0</v>
      </c>
      <c r="M1626" s="9" t="b" cm="1">
        <f t="array" ref="M1626">INDEX(stable[is_automated],MATCH(VALUE(questions[[#This Row],[qno]]),VALUE(stable[qno]),0))</f>
        <v>0</v>
      </c>
      <c r="N1626" s="9" t="b" cm="1">
        <f t="array" ref="N1626">INDEX(stable[is_free_text],MATCH(VALUE(questions[[#This Row],[qno]]),VALUE(stable[qno]),0))</f>
        <v>1</v>
      </c>
      <c r="O1626" s="9" t="b" cm="1">
        <f t="array" ref="O1626">INDEX(stable[is_numerical],MATCH(VALUE(questions[[#This Row],[qno]]),VALUE(stable[qno]),0))</f>
        <v>0</v>
      </c>
      <c r="P1626" s="9" t="b" cm="1">
        <f t="array" ref="P1626">INDEX(stable[is_single_select],MATCH(VALUE(questions[[#This Row],[qno]]),VALUE(stable[qno]),0))</f>
        <v>0</v>
      </c>
      <c r="Q1626" s="9" t="b" cm="1">
        <f t="array" ref="Q1626">INDEX(stable[is_multi_select],MATCH(VALUE(questions[[#This Row],[qno]]),VALUE(stable[qno]),0))</f>
        <v>0</v>
      </c>
      <c r="R1626" s="9" t="b" cm="1">
        <f t="array" ref="R1626">INDEX(stable[is_skip_logic],MATCH(VALUE(questions[[#This Row],[qno]]),VALUE(stable[qno]),0))</f>
        <v>1</v>
      </c>
      <c r="S1626" s="9" t="str">
        <f>_xlfn.TEXTJOIN(", ",TRUE,questions[[#This Row],[ans_opt_1]:[ans_opt_14]])</f>
        <v/>
      </c>
      <c r="AH1626" s="16" t="b">
        <f>INDEX(stable[q_standard],MATCH(questions[[#This Row],[qno]],stable[qno],0))</f>
        <v>0</v>
      </c>
      <c r="AI1626" s="16" t="b">
        <f>INDEX(stable[q_living_income],MATCH(questions[[#This Row],[qno]],stable[qno],0))</f>
        <v>1</v>
      </c>
      <c r="AJ1626" s="16" t="b">
        <f>INDEX(stable[q_carbon],MATCH(questions[[#This Row],[qno]],stable[qno],0))</f>
        <v>1</v>
      </c>
      <c r="AK1626" s="16" t="b">
        <f>INDEX(stable[q_regen_ag],MATCH(questions[[#This Row],[qno]],stable[qno],0))</f>
        <v>0</v>
      </c>
      <c r="AL1626" s="16" t="b">
        <f>COUNTIFS(stable[qno],questions[[#This Row],[qno]])=1</f>
        <v>1</v>
      </c>
      <c r="AM1626" s="16" t="b">
        <f>OR(questions[[#This Row],[is_fixed]],questions[[#This Row],[is_localized]],questions[[#This Row],[is_supply_chain_dependent]])</f>
        <v>1</v>
      </c>
      <c r="AN1626" s="16" t="b">
        <f>COUNTIFS(questions[[#This Row],[is_automated]:[is_multi_select]],TRUE)=1</f>
        <v>1</v>
      </c>
      <c r="AO1626" s="16" t="b">
        <f>IF(questions[[#This Row],[is_fixed]],questions[[#This Row],[question]]=INDEX(stable[question],MATCH(questions[[#This Row],[qno]],stable[qno],0)),TRUE)</f>
        <v>0</v>
      </c>
      <c r="AP1626" s="16" t="str">
        <f>LEFT(questions[[#This Row],[question]],similarity_range)</f>
        <v>If yes, what was the</v>
      </c>
      <c r="AQ1626" s="16" t="str">
        <f>LEFT(INDEX(stable[question],MATCH(questions[[#This Row],[qno]],stable[qno],0)),similarity_range)</f>
        <v>If yes, what was the</v>
      </c>
      <c r="AR1626" s="16" t="b">
        <f>questions[[#This Row],[question_first_characters]]=questions[[#This Row],[stability_first_characters]]</f>
        <v>1</v>
      </c>
      <c r="AS1626" s="16" t="b">
        <f>IF(OR(questions[[#This Row],[is_single_select]],questions[[#This Row],[is_multi_select]]),NOT(ISBLANK(questions[[#This Row],[answer_opt_combined]])),TRUE)</f>
        <v>1</v>
      </c>
    </row>
    <row r="1627" spans="1:45" ht="15.75" customHeight="1" x14ac:dyDescent="0.25">
      <c r="A1627" s="9" t="str">
        <f>_xlfn.TEXTJOIN("_",TRUE,questions[[#This Row],[origin]:[qno]])</f>
        <v>Burundi_Arabica_IKAWA RES PROJECT_2026_5631</v>
      </c>
      <c r="B1627" s="9" t="s">
        <v>1057</v>
      </c>
      <c r="C1627" s="9" t="s">
        <v>59</v>
      </c>
      <c r="D1627" s="9" t="s">
        <v>1058</v>
      </c>
      <c r="E1627" s="33">
        <v>2026</v>
      </c>
      <c r="F1627" s="36" t="s">
        <v>234</v>
      </c>
      <c r="G1627" s="15" t="s">
        <v>235</v>
      </c>
      <c r="H1627" s="9" t="str" cm="1">
        <f t="array" ref="H1627">INDEX(stableR[question],MATCH(VALUE(questions[[#This Row],[qno]]),VALUE(stableR[qno]),0))</f>
        <v>What was the quantity used of this third most used pesticide/fungicide/herbicide last year?</v>
      </c>
      <c r="I1627" s="9" t="b" cm="1">
        <f t="array" ref="I1627">INDEX(stable[is_fixed],MATCH(VALUE(questions[[#This Row],[qno]]),VALUE(stable[qno]),0))</f>
        <v>1</v>
      </c>
      <c r="J1627" s="9" t="b" cm="1">
        <f t="array" ref="J1627">INDEX(stable[is_localized],MATCH(VALUE(questions[[#This Row],[qno]]),VALUE(stable[qno]),0))</f>
        <v>0</v>
      </c>
      <c r="K1627" s="9" t="b" cm="1">
        <f t="array" ref="K1627">INDEX(stable[is_supply_chain_dependent],MATCH(VALUE(questions[[#This Row],[qno]]),VALUE(stable[qno]),0))</f>
        <v>0</v>
      </c>
      <c r="L1627" s="9" t="b" cm="1">
        <f t="array" ref="L1627">INDEX(stable[is_mandatory],MATCH(VALUE(questions[[#This Row],[qno]]),VALUE(stable[qno]),0))</f>
        <v>0</v>
      </c>
      <c r="M1627" s="9" t="b" cm="1">
        <f t="array" ref="M1627">INDEX(stable[is_automated],MATCH(VALUE(questions[[#This Row],[qno]]),VALUE(stable[qno]),0))</f>
        <v>0</v>
      </c>
      <c r="N1627" s="9" t="b" cm="1">
        <f t="array" ref="N1627">INDEX(stable[is_free_text],MATCH(VALUE(questions[[#This Row],[qno]]),VALUE(stable[qno]),0))</f>
        <v>0</v>
      </c>
      <c r="O1627" s="9" t="b" cm="1">
        <f t="array" ref="O1627">INDEX(stable[is_numerical],MATCH(VALUE(questions[[#This Row],[qno]]),VALUE(stable[qno]),0))</f>
        <v>1</v>
      </c>
      <c r="P1627" s="9" t="b" cm="1">
        <f t="array" ref="P1627">INDEX(stable[is_single_select],MATCH(VALUE(questions[[#This Row],[qno]]),VALUE(stable[qno]),0))</f>
        <v>0</v>
      </c>
      <c r="Q1627" s="9" t="b" cm="1">
        <f t="array" ref="Q1627">INDEX(stable[is_multi_select],MATCH(VALUE(questions[[#This Row],[qno]]),VALUE(stable[qno]),0))</f>
        <v>0</v>
      </c>
      <c r="R1627" s="9" t="b" cm="1">
        <f t="array" ref="R1627">INDEX(stable[is_skip_logic],MATCH(VALUE(questions[[#This Row],[qno]]),VALUE(stable[qno]),0))</f>
        <v>1</v>
      </c>
      <c r="S1627" s="9" t="str">
        <f>_xlfn.TEXTJOIN(", ",TRUE,questions[[#This Row],[ans_opt_1]:[ans_opt_14]])</f>
        <v/>
      </c>
      <c r="AH1627" s="16" t="b">
        <f>INDEX(stable[q_standard],MATCH(questions[[#This Row],[qno]],stable[qno],0))</f>
        <v>0</v>
      </c>
      <c r="AI1627" s="16" t="b">
        <f>INDEX(stable[q_living_income],MATCH(questions[[#This Row],[qno]],stable[qno],0))</f>
        <v>1</v>
      </c>
      <c r="AJ1627" s="16" t="b">
        <f>INDEX(stable[q_carbon],MATCH(questions[[#This Row],[qno]],stable[qno],0))</f>
        <v>1</v>
      </c>
      <c r="AK1627" s="16" t="b">
        <f>INDEX(stable[q_regen_ag],MATCH(questions[[#This Row],[qno]],stable[qno],0))</f>
        <v>0</v>
      </c>
      <c r="AL1627" s="16" t="b">
        <f>COUNTIFS(stable[qno],questions[[#This Row],[qno]])=1</f>
        <v>1</v>
      </c>
      <c r="AM1627" s="16" t="b">
        <f>OR(questions[[#This Row],[is_fixed]],questions[[#This Row],[is_localized]],questions[[#This Row],[is_supply_chain_dependent]])</f>
        <v>1</v>
      </c>
      <c r="AN1627" s="16" t="b">
        <f>COUNTIFS(questions[[#This Row],[is_automated]:[is_multi_select]],TRUE)=1</f>
        <v>1</v>
      </c>
      <c r="AO1627" s="16" t="b">
        <f>IF(questions[[#This Row],[is_fixed]],questions[[#This Row],[question]]=INDEX(stable[question],MATCH(questions[[#This Row],[qno]],stable[qno],0)),TRUE)</f>
        <v>1</v>
      </c>
      <c r="AP1627" s="16" t="str">
        <f>LEFT(questions[[#This Row],[question]],similarity_range)</f>
        <v>What was the quantit</v>
      </c>
      <c r="AQ1627" s="16" t="str">
        <f>LEFT(INDEX(stable[question],MATCH(questions[[#This Row],[qno]],stable[qno],0)),similarity_range)</f>
        <v>What was the quantit</v>
      </c>
      <c r="AR1627" s="16" t="b">
        <f>questions[[#This Row],[question_first_characters]]=questions[[#This Row],[stability_first_characters]]</f>
        <v>1</v>
      </c>
      <c r="AS1627" s="16" t="b">
        <f>IF(OR(questions[[#This Row],[is_single_select]],questions[[#This Row],[is_multi_select]]),NOT(ISBLANK(questions[[#This Row],[answer_opt_combined]])),TRUE)</f>
        <v>1</v>
      </c>
    </row>
    <row r="1628" spans="1:45" s="77" customFormat="1" ht="15.75" customHeight="1" x14ac:dyDescent="0.25">
      <c r="A1628" s="77" t="str">
        <f>_xlfn.TEXTJOIN("_",TRUE,questions[[#This Row],[origin]:[qno]])</f>
        <v>Burundi_Arabica_IKAWA RES PROJECT_2026_5632</v>
      </c>
      <c r="B1628" s="77" t="s">
        <v>1057</v>
      </c>
      <c r="C1628" s="77" t="s">
        <v>59</v>
      </c>
      <c r="D1628" s="77" t="s">
        <v>1058</v>
      </c>
      <c r="E1628" s="77">
        <v>2026</v>
      </c>
      <c r="F1628" s="105" t="s">
        <v>236</v>
      </c>
      <c r="G1628" s="78" t="s">
        <v>776</v>
      </c>
      <c r="H1628" s="9" t="str" cm="1">
        <f t="array" ref="H1628">INDEX(stableR[question],MATCH(VALUE(questions[[#This Row],[qno]]),VALUE(stableR[qno]),0))</f>
        <v>What was the unit of this third most used pesticide/fungicide/herbicide</v>
      </c>
      <c r="I1628" s="9" t="b" cm="1">
        <f t="array" ref="I1628">INDEX(stable[is_fixed],MATCH(VALUE(questions[[#This Row],[qno]]),VALUE(stable[qno]),0))</f>
        <v>1</v>
      </c>
      <c r="J1628" s="9" t="b" cm="1">
        <f t="array" ref="J1628">INDEX(stable[is_localized],MATCH(VALUE(questions[[#This Row],[qno]]),VALUE(stable[qno]),0))</f>
        <v>0</v>
      </c>
      <c r="K1628" s="9" t="b" cm="1">
        <f t="array" ref="K1628">INDEX(stable[is_supply_chain_dependent],MATCH(VALUE(questions[[#This Row],[qno]]),VALUE(stable[qno]),0))</f>
        <v>0</v>
      </c>
      <c r="L1628" s="9" t="b" cm="1">
        <f t="array" ref="L1628">INDEX(stable[is_mandatory],MATCH(VALUE(questions[[#This Row],[qno]]),VALUE(stable[qno]),0))</f>
        <v>0</v>
      </c>
      <c r="M1628" s="9" t="b" cm="1">
        <f t="array" ref="M1628">INDEX(stable[is_automated],MATCH(VALUE(questions[[#This Row],[qno]]),VALUE(stable[qno]),0))</f>
        <v>0</v>
      </c>
      <c r="N1628" s="9" t="b" cm="1">
        <f t="array" ref="N1628">INDEX(stable[is_free_text],MATCH(VALUE(questions[[#This Row],[qno]]),VALUE(stable[qno]),0))</f>
        <v>0</v>
      </c>
      <c r="O1628" s="9" t="b" cm="1">
        <f t="array" ref="O1628">INDEX(stable[is_numerical],MATCH(VALUE(questions[[#This Row],[qno]]),VALUE(stable[qno]),0))</f>
        <v>0</v>
      </c>
      <c r="P1628" s="77" t="b" cm="1">
        <f t="array" ref="P1628">INDEX(stable[is_single_select],MATCH(VALUE(questions[[#This Row],[qno]]),VALUE(stable[qno]),0))</f>
        <v>1</v>
      </c>
      <c r="Q1628" s="77" t="b" cm="1">
        <f t="array" ref="Q1628">INDEX(stable[is_multi_select],MATCH(VALUE(questions[[#This Row],[qno]]),VALUE(stable[qno]),0))</f>
        <v>0</v>
      </c>
      <c r="R1628" s="77" t="b" cm="1">
        <f t="array" ref="R1628">INDEX(stable[is_skip_logic],MATCH(VALUE(questions[[#This Row],[qno]]),VALUE(stable[qno]),0))</f>
        <v>1</v>
      </c>
      <c r="S1628" s="77" t="str">
        <f>_xlfn.TEXTJOIN(", ",TRUE,questions[[#This Row],[ans_opt_1]:[ans_opt_14]])</f>
        <v>Kgs, Grams, Liters, Mililiters</v>
      </c>
      <c r="T1628" s="77" t="s">
        <v>222</v>
      </c>
      <c r="U1628" s="77" t="s">
        <v>223</v>
      </c>
      <c r="V1628" s="77" t="s">
        <v>224</v>
      </c>
      <c r="W1628" s="77" t="s">
        <v>225</v>
      </c>
      <c r="AH1628" s="98" t="b">
        <f>INDEX(stable[q_standard],MATCH(questions[[#This Row],[qno]],stable[qno],0))</f>
        <v>0</v>
      </c>
      <c r="AI1628" s="98" t="b">
        <f>INDEX(stable[q_living_income],MATCH(questions[[#This Row],[qno]],stable[qno],0))</f>
        <v>1</v>
      </c>
      <c r="AJ1628" s="98" t="b">
        <f>INDEX(stable[q_carbon],MATCH(questions[[#This Row],[qno]],stable[qno],0))</f>
        <v>1</v>
      </c>
      <c r="AK1628" s="98" t="b">
        <f>INDEX(stable[q_regen_ag],MATCH(questions[[#This Row],[qno]],stable[qno],0))</f>
        <v>0</v>
      </c>
      <c r="AL1628" s="98" t="b">
        <f>COUNTIFS(stable[qno],questions[[#This Row],[qno]])=1</f>
        <v>1</v>
      </c>
      <c r="AM1628" s="98" t="b">
        <f>OR(questions[[#This Row],[is_fixed]],questions[[#This Row],[is_localized]],questions[[#This Row],[is_supply_chain_dependent]])</f>
        <v>1</v>
      </c>
      <c r="AN1628" s="98" t="b">
        <f>COUNTIFS(questions[[#This Row],[is_automated]:[is_multi_select]],TRUE)=1</f>
        <v>1</v>
      </c>
      <c r="AO1628" s="98" t="b">
        <f>IF(questions[[#This Row],[is_fixed]],questions[[#This Row],[question]]=INDEX(stable[question],MATCH(questions[[#This Row],[qno]],stable[qno],0)),TRUE)</f>
        <v>0</v>
      </c>
      <c r="AP1628" s="98" t="str">
        <f>LEFT(questions[[#This Row],[question]],similarity_range)</f>
        <v>What was the unit of</v>
      </c>
      <c r="AQ1628" s="98" t="str">
        <f>LEFT(INDEX(stable[question],MATCH(questions[[#This Row],[qno]],stable[qno],0)),similarity_range)</f>
        <v>What was the unit of</v>
      </c>
      <c r="AR1628" s="98" t="b">
        <f>questions[[#This Row],[question_first_characters]]=questions[[#This Row],[stability_first_characters]]</f>
        <v>1</v>
      </c>
      <c r="AS1628" s="98" t="b">
        <f>IF(OR(questions[[#This Row],[is_single_select]],questions[[#This Row],[is_multi_select]]),NOT(ISBLANK(questions[[#This Row],[answer_opt_combined]])),TRUE)</f>
        <v>1</v>
      </c>
    </row>
    <row r="1629" spans="1:45" s="77" customFormat="1" ht="15.75" customHeight="1" x14ac:dyDescent="0.25">
      <c r="A1629" s="77" t="str">
        <f>_xlfn.TEXTJOIN("_",TRUE,questions[[#This Row],[origin]:[qno]])</f>
        <v>Burundi_Arabica_IKAWA RES PROJECT_2026_6000</v>
      </c>
      <c r="B1629" s="77" t="s">
        <v>1057</v>
      </c>
      <c r="C1629" s="77" t="s">
        <v>59</v>
      </c>
      <c r="D1629" s="77" t="s">
        <v>1058</v>
      </c>
      <c r="E1629" s="77">
        <v>2026</v>
      </c>
      <c r="F1629" s="105" t="s">
        <v>238</v>
      </c>
      <c r="G1629" s="78" t="s">
        <v>239</v>
      </c>
      <c r="H1629" s="9" t="str" cm="1">
        <f t="array" ref="H1629">INDEX(stableR[question],MATCH(VALUE(questions[[#This Row],[qno]]),VALUE(stableR[qno]),0))</f>
        <v>Did you hire any permanent laborer's, for your coffee plots, last year?</v>
      </c>
      <c r="I1629" s="9" t="b" cm="1">
        <f t="array" ref="I1629">INDEX(stable[is_fixed],MATCH(VALUE(questions[[#This Row],[qno]]),VALUE(stable[qno]),0))</f>
        <v>1</v>
      </c>
      <c r="J1629" s="9" t="b" cm="1">
        <f t="array" ref="J1629">INDEX(stable[is_localized],MATCH(VALUE(questions[[#This Row],[qno]]),VALUE(stable[qno]),0))</f>
        <v>0</v>
      </c>
      <c r="K1629" s="9" t="b" cm="1">
        <f t="array" ref="K1629">INDEX(stable[is_supply_chain_dependent],MATCH(VALUE(questions[[#This Row],[qno]]),VALUE(stable[qno]),0))</f>
        <v>0</v>
      </c>
      <c r="L1629" s="9" t="b" cm="1">
        <f t="array" ref="L1629">INDEX(stable[is_mandatory],MATCH(VALUE(questions[[#This Row],[qno]]),VALUE(stable[qno]),0))</f>
        <v>1</v>
      </c>
      <c r="M1629" s="9" t="b" cm="1">
        <f t="array" ref="M1629">INDEX(stable[is_automated],MATCH(VALUE(questions[[#This Row],[qno]]),VALUE(stable[qno]),0))</f>
        <v>0</v>
      </c>
      <c r="N1629" s="9" t="b" cm="1">
        <f t="array" ref="N1629">INDEX(stable[is_free_text],MATCH(VALUE(questions[[#This Row],[qno]]),VALUE(stable[qno]),0))</f>
        <v>0</v>
      </c>
      <c r="O1629" s="9" t="b" cm="1">
        <f t="array" ref="O1629">INDEX(stable[is_numerical],MATCH(VALUE(questions[[#This Row],[qno]]),VALUE(stable[qno]),0))</f>
        <v>0</v>
      </c>
      <c r="P1629" s="77" t="b" cm="1">
        <f t="array" ref="P1629">INDEX(stable[is_single_select],MATCH(VALUE(questions[[#This Row],[qno]]),VALUE(stable[qno]),0))</f>
        <v>1</v>
      </c>
      <c r="Q1629" s="77" t="b" cm="1">
        <f t="array" ref="Q1629">INDEX(stable[is_multi_select],MATCH(VALUE(questions[[#This Row],[qno]]),VALUE(stable[qno]),0))</f>
        <v>0</v>
      </c>
      <c r="R1629" s="77" t="b" cm="1">
        <f t="array" ref="R1629">INDEX(stable[is_skip_logic],MATCH(VALUE(questions[[#This Row],[qno]]),VALUE(stable[qno]),0))</f>
        <v>1</v>
      </c>
      <c r="S1629" s="77" t="str">
        <f>_xlfn.TEXTJOIN(", ",TRUE,questions[[#This Row],[ans_opt_1]:[ans_opt_14]])</f>
        <v>Yes, No</v>
      </c>
      <c r="T1629" s="77" t="s">
        <v>149</v>
      </c>
      <c r="U1629" s="77" t="s">
        <v>119</v>
      </c>
      <c r="AH1629" s="98" t="b">
        <f>INDEX(stable[q_standard],MATCH(questions[[#This Row],[qno]],stable[qno],0))</f>
        <v>0</v>
      </c>
      <c r="AI1629" s="98" t="b">
        <f>INDEX(stable[q_living_income],MATCH(questions[[#This Row],[qno]],stable[qno],0))</f>
        <v>1</v>
      </c>
      <c r="AJ1629" s="98" t="b">
        <f>INDEX(stable[q_carbon],MATCH(questions[[#This Row],[qno]],stable[qno],0))</f>
        <v>0</v>
      </c>
      <c r="AK1629" s="98" t="b">
        <f>INDEX(stable[q_regen_ag],MATCH(questions[[#This Row],[qno]],stable[qno],0))</f>
        <v>0</v>
      </c>
      <c r="AL1629" s="98" t="b">
        <f>COUNTIFS(stable[qno],questions[[#This Row],[qno]])=1</f>
        <v>1</v>
      </c>
      <c r="AM1629" s="98" t="b">
        <f>OR(questions[[#This Row],[is_fixed]],questions[[#This Row],[is_localized]],questions[[#This Row],[is_supply_chain_dependent]])</f>
        <v>1</v>
      </c>
      <c r="AN1629" s="98" t="b">
        <f>COUNTIFS(questions[[#This Row],[is_automated]:[is_multi_select]],TRUE)=1</f>
        <v>1</v>
      </c>
      <c r="AO1629" s="98" t="b">
        <f>IF(questions[[#This Row],[is_fixed]],questions[[#This Row],[question]]=INDEX(stable[question],MATCH(questions[[#This Row],[qno]],stable[qno],0)),TRUE)</f>
        <v>1</v>
      </c>
      <c r="AP1629" s="98" t="str">
        <f>LEFT(questions[[#This Row],[question]],similarity_range)</f>
        <v>Did you hire any per</v>
      </c>
      <c r="AQ1629" s="98" t="str">
        <f>LEFT(INDEX(stable[question],MATCH(questions[[#This Row],[qno]],stable[qno],0)),similarity_range)</f>
        <v>Did you hire any per</v>
      </c>
      <c r="AR1629" s="98" t="b">
        <f>questions[[#This Row],[question_first_characters]]=questions[[#This Row],[stability_first_characters]]</f>
        <v>1</v>
      </c>
      <c r="AS1629" s="98" t="b">
        <f>IF(OR(questions[[#This Row],[is_single_select]],questions[[#This Row],[is_multi_select]]),NOT(ISBLANK(questions[[#This Row],[answer_opt_combined]])),TRUE)</f>
        <v>1</v>
      </c>
    </row>
    <row r="1630" spans="1:45" ht="15.75" customHeight="1" x14ac:dyDescent="0.25">
      <c r="A1630" s="9" t="str">
        <f>_xlfn.TEXTJOIN("_",TRUE,questions[[#This Row],[origin]:[qno]])</f>
        <v>Burundi_Arabica_IKAWA RES PROJECT_2026_6001</v>
      </c>
      <c r="B1630" s="9" t="s">
        <v>1057</v>
      </c>
      <c r="C1630" s="9" t="s">
        <v>59</v>
      </c>
      <c r="D1630" s="9" t="s">
        <v>1058</v>
      </c>
      <c r="E1630" s="33">
        <v>2026</v>
      </c>
      <c r="F1630" s="36" t="s">
        <v>240</v>
      </c>
      <c r="G1630" s="15" t="s">
        <v>241</v>
      </c>
      <c r="H1630" s="9" t="str" cm="1">
        <f t="array" ref="H1630">INDEX(stableR[question],MATCH(VALUE(questions[[#This Row],[qno]]),VALUE(stableR[qno]),0))</f>
        <v>How many people did you hire, permanently for your coffee plots, last year?</v>
      </c>
      <c r="I1630" s="9" t="b" cm="1">
        <f t="array" ref="I1630">INDEX(stable[is_fixed],MATCH(VALUE(questions[[#This Row],[qno]]),VALUE(stable[qno]),0))</f>
        <v>1</v>
      </c>
      <c r="J1630" s="9" t="b" cm="1">
        <f t="array" ref="J1630">INDEX(stable[is_localized],MATCH(VALUE(questions[[#This Row],[qno]]),VALUE(stable[qno]),0))</f>
        <v>0</v>
      </c>
      <c r="K1630" s="9" t="b" cm="1">
        <f t="array" ref="K1630">INDEX(stable[is_supply_chain_dependent],MATCH(VALUE(questions[[#This Row],[qno]]),VALUE(stable[qno]),0))</f>
        <v>0</v>
      </c>
      <c r="L1630" s="9" t="b" cm="1">
        <f t="array" ref="L1630">INDEX(stable[is_mandatory],MATCH(VALUE(questions[[#This Row],[qno]]),VALUE(stable[qno]),0))</f>
        <v>0</v>
      </c>
      <c r="M1630" s="9" t="b" cm="1">
        <f t="array" ref="M1630">INDEX(stable[is_automated],MATCH(VALUE(questions[[#This Row],[qno]]),VALUE(stable[qno]),0))</f>
        <v>0</v>
      </c>
      <c r="N1630" s="9" t="b" cm="1">
        <f t="array" ref="N1630">INDEX(stable[is_free_text],MATCH(VALUE(questions[[#This Row],[qno]]),VALUE(stable[qno]),0))</f>
        <v>0</v>
      </c>
      <c r="O1630" s="9" t="b" cm="1">
        <f t="array" ref="O1630">INDEX(stable[is_numerical],MATCH(VALUE(questions[[#This Row],[qno]]),VALUE(stable[qno]),0))</f>
        <v>1</v>
      </c>
      <c r="P1630" s="9" t="b" cm="1">
        <f t="array" ref="P1630">INDEX(stable[is_single_select],MATCH(VALUE(questions[[#This Row],[qno]]),VALUE(stable[qno]),0))</f>
        <v>0</v>
      </c>
      <c r="Q1630" s="9" t="b" cm="1">
        <f t="array" ref="Q1630">INDEX(stable[is_multi_select],MATCH(VALUE(questions[[#This Row],[qno]]),VALUE(stable[qno]),0))</f>
        <v>0</v>
      </c>
      <c r="R1630" s="9" t="b" cm="1">
        <f t="array" ref="R1630">INDEX(stable[is_skip_logic],MATCH(VALUE(questions[[#This Row],[qno]]),VALUE(stable[qno]),0))</f>
        <v>1</v>
      </c>
      <c r="S1630" s="9" t="str">
        <f>_xlfn.TEXTJOIN(", ",TRUE,questions[[#This Row],[ans_opt_1]:[ans_opt_14]])</f>
        <v/>
      </c>
      <c r="AH1630" s="16" t="b">
        <f>INDEX(stable[q_standard],MATCH(questions[[#This Row],[qno]],stable[qno],0))</f>
        <v>0</v>
      </c>
      <c r="AI1630" s="16" t="b">
        <f>INDEX(stable[q_living_income],MATCH(questions[[#This Row],[qno]],stable[qno],0))</f>
        <v>1</v>
      </c>
      <c r="AJ1630" s="16" t="b">
        <f>INDEX(stable[q_carbon],MATCH(questions[[#This Row],[qno]],stable[qno],0))</f>
        <v>0</v>
      </c>
      <c r="AK1630" s="16" t="b">
        <f>INDEX(stable[q_regen_ag],MATCH(questions[[#This Row],[qno]],stable[qno],0))</f>
        <v>0</v>
      </c>
      <c r="AL1630" s="16" t="b">
        <f>COUNTIFS(stable[qno],questions[[#This Row],[qno]])=1</f>
        <v>1</v>
      </c>
      <c r="AM1630" s="16" t="b">
        <f>OR(questions[[#This Row],[is_fixed]],questions[[#This Row],[is_localized]],questions[[#This Row],[is_supply_chain_dependent]])</f>
        <v>1</v>
      </c>
      <c r="AN1630" s="16" t="b">
        <f>COUNTIFS(questions[[#This Row],[is_automated]:[is_multi_select]],TRUE)=1</f>
        <v>1</v>
      </c>
      <c r="AO1630" s="16" t="b">
        <f>IF(questions[[#This Row],[is_fixed]],questions[[#This Row],[question]]=INDEX(stable[question],MATCH(questions[[#This Row],[qno]],stable[qno],0)),TRUE)</f>
        <v>1</v>
      </c>
      <c r="AP1630" s="16" t="str">
        <f>LEFT(questions[[#This Row],[question]],similarity_range)</f>
        <v>If yes, how many peo</v>
      </c>
      <c r="AQ1630" s="16" t="str">
        <f>LEFT(INDEX(stable[question],MATCH(questions[[#This Row],[qno]],stable[qno],0)),similarity_range)</f>
        <v>If yes, how many peo</v>
      </c>
      <c r="AR1630" s="16" t="b">
        <f>questions[[#This Row],[question_first_characters]]=questions[[#This Row],[stability_first_characters]]</f>
        <v>1</v>
      </c>
      <c r="AS1630" s="16" t="b">
        <f>IF(OR(questions[[#This Row],[is_single_select]],questions[[#This Row],[is_multi_select]]),NOT(ISBLANK(questions[[#This Row],[answer_opt_combined]])),TRUE)</f>
        <v>1</v>
      </c>
    </row>
    <row r="1631" spans="1:45" s="77" customFormat="1" ht="15.75" customHeight="1" x14ac:dyDescent="0.25">
      <c r="A1631" s="77" t="str">
        <f>_xlfn.TEXTJOIN("_",TRUE,questions[[#This Row],[origin]:[qno]])</f>
        <v>Burundi_Arabica_IKAWA RES PROJECT_2026_6030</v>
      </c>
      <c r="B1631" s="77" t="s">
        <v>1057</v>
      </c>
      <c r="C1631" s="77" t="s">
        <v>59</v>
      </c>
      <c r="D1631" s="77" t="s">
        <v>1058</v>
      </c>
      <c r="E1631" s="77">
        <v>2026</v>
      </c>
      <c r="F1631" s="105" t="s">
        <v>242</v>
      </c>
      <c r="G1631" s="118" t="s">
        <v>777</v>
      </c>
      <c r="H1631" s="9" t="str" cm="1">
        <f t="array" ref="H1631">INDEX(stableR[question],MATCH(VALUE(questions[[#This Row],[qno]]),VALUE(stableR[qno]),0))</f>
        <v>Did you hire any people to work on your coffee plots  for seasonal activities during last year?</v>
      </c>
      <c r="I1631" s="9" t="b" cm="1">
        <f t="array" ref="I1631">INDEX(stable[is_fixed],MATCH(VALUE(questions[[#This Row],[qno]]),VALUE(stable[qno]),0))</f>
        <v>0</v>
      </c>
      <c r="J1631" s="9" t="b" cm="1">
        <f t="array" ref="J1631">INDEX(stable[is_localized],MATCH(VALUE(questions[[#This Row],[qno]]),VALUE(stable[qno]),0))</f>
        <v>1</v>
      </c>
      <c r="K1631" s="9" t="b" cm="1">
        <f t="array" ref="K1631">INDEX(stable[is_supply_chain_dependent],MATCH(VALUE(questions[[#This Row],[qno]]),VALUE(stable[qno]),0))</f>
        <v>0</v>
      </c>
      <c r="L1631" s="9" t="b" cm="1">
        <f t="array" ref="L1631">INDEX(stable[is_mandatory],MATCH(VALUE(questions[[#This Row],[qno]]),VALUE(stable[qno]),0))</f>
        <v>1</v>
      </c>
      <c r="M1631" s="9" t="b" cm="1">
        <f t="array" ref="M1631">INDEX(stable[is_automated],MATCH(VALUE(questions[[#This Row],[qno]]),VALUE(stable[qno]),0))</f>
        <v>0</v>
      </c>
      <c r="N1631" s="9" t="b" cm="1">
        <f t="array" ref="N1631">INDEX(stable[is_free_text],MATCH(VALUE(questions[[#This Row],[qno]]),VALUE(stable[qno]),0))</f>
        <v>0</v>
      </c>
      <c r="O1631" s="9" t="b" cm="1">
        <f t="array" ref="O1631">INDEX(stable[is_numerical],MATCH(VALUE(questions[[#This Row],[qno]]),VALUE(stable[qno]),0))</f>
        <v>0</v>
      </c>
      <c r="P1631" s="77" t="b" cm="1">
        <f t="array" ref="P1631">INDEX(stable[is_single_select],MATCH(VALUE(questions[[#This Row],[qno]]),VALUE(stable[qno]),0))</f>
        <v>1</v>
      </c>
      <c r="Q1631" s="77" t="b" cm="1">
        <f t="array" ref="Q1631">INDEX(stable[is_multi_select],MATCH(VALUE(questions[[#This Row],[qno]]),VALUE(stable[qno]),0))</f>
        <v>0</v>
      </c>
      <c r="R1631" s="77" t="b" cm="1">
        <f t="array" ref="R1631">INDEX(stable[is_skip_logic],MATCH(VALUE(questions[[#This Row],[qno]]),VALUE(stable[qno]),0))</f>
        <v>1</v>
      </c>
      <c r="S1631" s="77" t="str">
        <f>_xlfn.TEXTJOIN(", ",TRUE,questions[[#This Row],[ans_opt_1]:[ans_opt_14]])</f>
        <v>Yes, No</v>
      </c>
      <c r="T1631" s="77" t="s">
        <v>149</v>
      </c>
      <c r="U1631" s="77" t="s">
        <v>119</v>
      </c>
      <c r="AH1631" s="98" t="b">
        <f>INDEX(stable[q_standard],MATCH(questions[[#This Row],[qno]],stable[qno],0))</f>
        <v>0</v>
      </c>
      <c r="AI1631" s="98" t="b">
        <f>INDEX(stable[q_living_income],MATCH(questions[[#This Row],[qno]],stable[qno],0))</f>
        <v>1</v>
      </c>
      <c r="AJ1631" s="98" t="b">
        <f>INDEX(stable[q_carbon],MATCH(questions[[#This Row],[qno]],stable[qno],0))</f>
        <v>0</v>
      </c>
      <c r="AK1631" s="98" t="b">
        <f>INDEX(stable[q_regen_ag],MATCH(questions[[#This Row],[qno]],stable[qno],0))</f>
        <v>0</v>
      </c>
      <c r="AL1631" s="98" t="b">
        <f>COUNTIFS(stable[qno],questions[[#This Row],[qno]])=1</f>
        <v>1</v>
      </c>
      <c r="AM1631" s="98" t="b">
        <f>OR(questions[[#This Row],[is_fixed]],questions[[#This Row],[is_localized]],questions[[#This Row],[is_supply_chain_dependent]])</f>
        <v>1</v>
      </c>
      <c r="AN1631" s="98" t="b">
        <f>COUNTIFS(questions[[#This Row],[is_automated]:[is_multi_select]],TRUE)=1</f>
        <v>1</v>
      </c>
      <c r="AO1631" s="98" t="b">
        <f>IF(questions[[#This Row],[is_fixed]],questions[[#This Row],[question]]=INDEX(stable[question],MATCH(questions[[#This Row],[qno]],stable[qno],0)),TRUE)</f>
        <v>1</v>
      </c>
      <c r="AP1631" s="98" t="str">
        <f>LEFT(questions[[#This Row],[question]],similarity_range)</f>
        <v>Did you hire any cas</v>
      </c>
      <c r="AQ1631" s="98" t="str">
        <f>LEFT(INDEX(stable[question],MATCH(questions[[#This Row],[qno]],stable[qno],0)),similarity_range)</f>
        <v>Did you hire any peo</v>
      </c>
      <c r="AR1631" s="98" t="b">
        <f>questions[[#This Row],[question_first_characters]]=questions[[#This Row],[stability_first_characters]]</f>
        <v>0</v>
      </c>
      <c r="AS1631" s="98" t="b">
        <f>IF(OR(questions[[#This Row],[is_single_select]],questions[[#This Row],[is_multi_select]]),NOT(ISBLANK(questions[[#This Row],[answer_opt_combined]])),TRUE)</f>
        <v>1</v>
      </c>
    </row>
    <row r="1632" spans="1:45" s="77" customFormat="1" ht="15.75" customHeight="1" x14ac:dyDescent="0.25">
      <c r="A1632" s="77" t="str">
        <f>_xlfn.TEXTJOIN("_",TRUE,questions[[#This Row],[origin]:[qno]])</f>
        <v>Burundi_Arabica_IKAWA RES PROJECT_2026_6031</v>
      </c>
      <c r="B1632" s="77" t="s">
        <v>1057</v>
      </c>
      <c r="C1632" s="77" t="s">
        <v>59</v>
      </c>
      <c r="D1632" s="77" t="s">
        <v>1058</v>
      </c>
      <c r="E1632" s="77">
        <v>2026</v>
      </c>
      <c r="F1632" s="105" t="s">
        <v>244</v>
      </c>
      <c r="G1632" s="78" t="s">
        <v>1021</v>
      </c>
      <c r="H1632" s="9" t="str" cm="1">
        <f t="array" ref="H1632">INDEX(stableR[question],MATCH(VALUE(questions[[#This Row],[qno]]),VALUE(stableR[qno]),0))</f>
        <v>What were the activities that you hired people for during last year?</v>
      </c>
      <c r="I1632" s="9" t="b" cm="1">
        <f t="array" ref="I1632">INDEX(stable[is_fixed],MATCH(VALUE(questions[[#This Row],[qno]]),VALUE(stable[qno]),0))</f>
        <v>0</v>
      </c>
      <c r="J1632" s="9" t="b" cm="1">
        <f t="array" ref="J1632">INDEX(stable[is_localized],MATCH(VALUE(questions[[#This Row],[qno]]),VALUE(stable[qno]),0))</f>
        <v>1</v>
      </c>
      <c r="K1632" s="9" t="b" cm="1">
        <f t="array" ref="K1632">INDEX(stable[is_supply_chain_dependent],MATCH(VALUE(questions[[#This Row],[qno]]),VALUE(stable[qno]),0))</f>
        <v>0</v>
      </c>
      <c r="L1632" s="9" t="b" cm="1">
        <f t="array" ref="L1632">INDEX(stable[is_mandatory],MATCH(VALUE(questions[[#This Row],[qno]]),VALUE(stable[qno]),0))</f>
        <v>0</v>
      </c>
      <c r="M1632" s="9" t="b" cm="1">
        <f t="array" ref="M1632">INDEX(stable[is_automated],MATCH(VALUE(questions[[#This Row],[qno]]),VALUE(stable[qno]),0))</f>
        <v>0</v>
      </c>
      <c r="N1632" s="9" t="b" cm="1">
        <f t="array" ref="N1632">INDEX(stable[is_free_text],MATCH(VALUE(questions[[#This Row],[qno]]),VALUE(stable[qno]),0))</f>
        <v>0</v>
      </c>
      <c r="O1632" s="9" t="b" cm="1">
        <f t="array" ref="O1632">INDEX(stable[is_numerical],MATCH(VALUE(questions[[#This Row],[qno]]),VALUE(stable[qno]),0))</f>
        <v>0</v>
      </c>
      <c r="P1632" s="77" t="b" cm="1">
        <f t="array" ref="P1632">INDEX(stable[is_single_select],MATCH(VALUE(questions[[#This Row],[qno]]),VALUE(stable[qno]),0))</f>
        <v>0</v>
      </c>
      <c r="Q1632" s="77" t="b" cm="1">
        <f t="array" ref="Q1632">INDEX(stable[is_multi_select],MATCH(VALUE(questions[[#This Row],[qno]]),VALUE(stable[qno]),0))</f>
        <v>1</v>
      </c>
      <c r="R1632" s="77" t="b" cm="1">
        <f t="array" ref="R1632">INDEX(stable[is_skip_logic],MATCH(VALUE(questions[[#This Row],[qno]]),VALUE(stable[qno]),0))</f>
        <v>1</v>
      </c>
      <c r="S1632" s="77" t="str">
        <f>_xlfn.TEXTJOIN(", ",TRUE,questions[[#This Row],[ans_opt_1]:[ans_opt_14]])</f>
        <v>Harvesting, Pruning, Weeding, Spraying, Planting new trees, Other, NA</v>
      </c>
      <c r="T1632" s="77" t="s">
        <v>246</v>
      </c>
      <c r="U1632" s="77" t="s">
        <v>247</v>
      </c>
      <c r="V1632" s="77" t="s">
        <v>248</v>
      </c>
      <c r="W1632" s="77" t="s">
        <v>249</v>
      </c>
      <c r="X1632" s="77" t="s">
        <v>250</v>
      </c>
      <c r="Y1632" s="77" t="s">
        <v>112</v>
      </c>
      <c r="Z1632" s="77" t="s">
        <v>251</v>
      </c>
      <c r="AH1632" s="98" t="b">
        <f>INDEX(stable[q_standard],MATCH(questions[[#This Row],[qno]],stable[qno],0))</f>
        <v>0</v>
      </c>
      <c r="AI1632" s="98" t="b">
        <f>INDEX(stable[q_living_income],MATCH(questions[[#This Row],[qno]],stable[qno],0))</f>
        <v>1</v>
      </c>
      <c r="AJ1632" s="98" t="b">
        <f>INDEX(stable[q_carbon],MATCH(questions[[#This Row],[qno]],stable[qno],0))</f>
        <v>0</v>
      </c>
      <c r="AK1632" s="98" t="b">
        <f>INDEX(stable[q_regen_ag],MATCH(questions[[#This Row],[qno]],stable[qno],0))</f>
        <v>0</v>
      </c>
      <c r="AL1632" s="98" t="b">
        <f>COUNTIFS(stable[qno],questions[[#This Row],[qno]])=1</f>
        <v>1</v>
      </c>
      <c r="AM1632" s="98" t="b">
        <f>OR(questions[[#This Row],[is_fixed]],questions[[#This Row],[is_localized]],questions[[#This Row],[is_supply_chain_dependent]])</f>
        <v>1</v>
      </c>
      <c r="AN1632" s="98" t="b">
        <f>COUNTIFS(questions[[#This Row],[is_automated]:[is_multi_select]],TRUE)=1</f>
        <v>1</v>
      </c>
      <c r="AO1632" s="98" t="b">
        <f>IF(questions[[#This Row],[is_fixed]],questions[[#This Row],[question]]=INDEX(stable[question],MATCH(questions[[#This Row],[qno]],stable[qno],0)),TRUE)</f>
        <v>1</v>
      </c>
      <c r="AP1632" s="98" t="str">
        <f>LEFT(questions[[#This Row],[question]],similarity_range)</f>
        <v>If yes, what were th</v>
      </c>
      <c r="AQ1632" s="98" t="str">
        <f>LEFT(INDEX(stable[question],MATCH(questions[[#This Row],[qno]],stable[qno],0)),similarity_range)</f>
        <v>If yes, what were th</v>
      </c>
      <c r="AR1632" s="98" t="b">
        <f>questions[[#This Row],[question_first_characters]]=questions[[#This Row],[stability_first_characters]]</f>
        <v>1</v>
      </c>
      <c r="AS1632" s="98" t="b">
        <f>IF(OR(questions[[#This Row],[is_single_select]],questions[[#This Row],[is_multi_select]]),NOT(ISBLANK(questions[[#This Row],[answer_opt_combined]])),TRUE)</f>
        <v>1</v>
      </c>
    </row>
    <row r="1633" spans="1:45" ht="15.75" customHeight="1" x14ac:dyDescent="0.25">
      <c r="A1633" s="9" t="str">
        <f>_xlfn.TEXTJOIN("_",TRUE,questions[[#This Row],[origin]:[qno]])</f>
        <v>Burundi_Arabica_IKAWA RES PROJECT_2026_6032</v>
      </c>
      <c r="B1633" s="9" t="s">
        <v>1057</v>
      </c>
      <c r="C1633" s="9" t="s">
        <v>59</v>
      </c>
      <c r="D1633" s="9" t="s">
        <v>1058</v>
      </c>
      <c r="E1633" s="33">
        <v>2026</v>
      </c>
      <c r="F1633" s="36" t="s">
        <v>252</v>
      </c>
      <c r="G1633" s="15" t="s">
        <v>1022</v>
      </c>
      <c r="H1633" s="9" t="str" cm="1">
        <f t="array" ref="H1633">INDEX(stableR[question],MATCH(VALUE(questions[[#This Row],[qno]]),VALUE(stableR[qno]),0))</f>
        <v>How many days in total did you hire people for these activities, during last year?</v>
      </c>
      <c r="I1633" s="9" t="b" cm="1">
        <f t="array" ref="I1633">INDEX(stable[is_fixed],MATCH(VALUE(questions[[#This Row],[qno]]),VALUE(stable[qno]),0))</f>
        <v>0</v>
      </c>
      <c r="J1633" s="9" t="b" cm="1">
        <f t="array" ref="J1633">INDEX(stable[is_localized],MATCH(VALUE(questions[[#This Row],[qno]]),VALUE(stable[qno]),0))</f>
        <v>1</v>
      </c>
      <c r="K1633" s="9" t="b" cm="1">
        <f t="array" ref="K1633">INDEX(stable[is_supply_chain_dependent],MATCH(VALUE(questions[[#This Row],[qno]]),VALUE(stable[qno]),0))</f>
        <v>0</v>
      </c>
      <c r="L1633" s="9" t="b" cm="1">
        <f t="array" ref="L1633">INDEX(stable[is_mandatory],MATCH(VALUE(questions[[#This Row],[qno]]),VALUE(stable[qno]),0))</f>
        <v>0</v>
      </c>
      <c r="M1633" s="9" t="b" cm="1">
        <f t="array" ref="M1633">INDEX(stable[is_automated],MATCH(VALUE(questions[[#This Row],[qno]]),VALUE(stable[qno]),0))</f>
        <v>0</v>
      </c>
      <c r="N1633" s="9" t="b" cm="1">
        <f t="array" ref="N1633">INDEX(stable[is_free_text],MATCH(VALUE(questions[[#This Row],[qno]]),VALUE(stable[qno]),0))</f>
        <v>0</v>
      </c>
      <c r="O1633" s="9" t="b" cm="1">
        <f t="array" ref="O1633">INDEX(stable[is_numerical],MATCH(VALUE(questions[[#This Row],[qno]]),VALUE(stable[qno]),0))</f>
        <v>1</v>
      </c>
      <c r="P1633" s="9" t="b" cm="1">
        <f t="array" ref="P1633">INDEX(stable[is_single_select],MATCH(VALUE(questions[[#This Row],[qno]]),VALUE(stable[qno]),0))</f>
        <v>0</v>
      </c>
      <c r="Q1633" s="9" t="b" cm="1">
        <f t="array" ref="Q1633">INDEX(stable[is_multi_select],MATCH(VALUE(questions[[#This Row],[qno]]),VALUE(stable[qno]),0))</f>
        <v>0</v>
      </c>
      <c r="R1633" s="9" t="b" cm="1">
        <f t="array" ref="R1633">INDEX(stable[is_skip_logic],MATCH(VALUE(questions[[#This Row],[qno]]),VALUE(stable[qno]),0))</f>
        <v>1</v>
      </c>
      <c r="S1633" s="9" t="str">
        <f>_xlfn.TEXTJOIN(", ",TRUE,questions[[#This Row],[ans_opt_1]:[ans_opt_14]])</f>
        <v/>
      </c>
      <c r="AH1633" s="16" t="b">
        <f>INDEX(stable[q_standard],MATCH(questions[[#This Row],[qno]],stable[qno],0))</f>
        <v>0</v>
      </c>
      <c r="AI1633" s="16" t="b">
        <f>INDEX(stable[q_living_income],MATCH(questions[[#This Row],[qno]],stable[qno],0))</f>
        <v>1</v>
      </c>
      <c r="AJ1633" s="16" t="b">
        <f>INDEX(stable[q_carbon],MATCH(questions[[#This Row],[qno]],stable[qno],0))</f>
        <v>0</v>
      </c>
      <c r="AK1633" s="16" t="b">
        <f>INDEX(stable[q_regen_ag],MATCH(questions[[#This Row],[qno]],stable[qno],0))</f>
        <v>0</v>
      </c>
      <c r="AL1633" s="16" t="b">
        <f>COUNTIFS(stable[qno],questions[[#This Row],[qno]])=1</f>
        <v>1</v>
      </c>
      <c r="AM1633" s="16" t="b">
        <f>OR(questions[[#This Row],[is_fixed]],questions[[#This Row],[is_localized]],questions[[#This Row],[is_supply_chain_dependent]])</f>
        <v>1</v>
      </c>
      <c r="AN1633" s="16" t="b">
        <f>COUNTIFS(questions[[#This Row],[is_automated]:[is_multi_select]],TRUE)=1</f>
        <v>1</v>
      </c>
      <c r="AO1633" s="16" t="b">
        <f>IF(questions[[#This Row],[is_fixed]],questions[[#This Row],[question]]=INDEX(stable[question],MATCH(questions[[#This Row],[qno]],stable[qno],0)),TRUE)</f>
        <v>1</v>
      </c>
      <c r="AP1633" s="16" t="str">
        <f>LEFT(questions[[#This Row],[question]],similarity_range)</f>
        <v>If yes, how many day</v>
      </c>
      <c r="AQ1633" s="16" t="str">
        <f>LEFT(INDEX(stable[question],MATCH(questions[[#This Row],[qno]],stable[qno],0)),similarity_range)</f>
        <v>If yes, how many day</v>
      </c>
      <c r="AR1633" s="16" t="b">
        <f>questions[[#This Row],[question_first_characters]]=questions[[#This Row],[stability_first_characters]]</f>
        <v>1</v>
      </c>
      <c r="AS1633" s="16" t="b">
        <f>IF(OR(questions[[#This Row],[is_single_select]],questions[[#This Row],[is_multi_select]]),NOT(ISBLANK(questions[[#This Row],[answer_opt_combined]])),TRUE)</f>
        <v>1</v>
      </c>
    </row>
    <row r="1634" spans="1:45" ht="15.75" customHeight="1" x14ac:dyDescent="0.25">
      <c r="A1634" s="9" t="str">
        <f>_xlfn.TEXTJOIN("_",TRUE,questions[[#This Row],[origin]:[qno]])</f>
        <v>Burundi_Arabica_IKAWA RES PROJECT_2026_6033</v>
      </c>
      <c r="B1634" s="9" t="s">
        <v>1057</v>
      </c>
      <c r="C1634" s="9" t="s">
        <v>59</v>
      </c>
      <c r="D1634" s="9" t="s">
        <v>1058</v>
      </c>
      <c r="E1634" s="33">
        <v>2026</v>
      </c>
      <c r="F1634" s="36" t="s">
        <v>254</v>
      </c>
      <c r="G1634" s="15" t="s">
        <v>1023</v>
      </c>
      <c r="H1634" s="9" t="str" cm="1">
        <f t="array" ref="H1634">INDEX(stableR[question],MATCH(VALUE(questions[[#This Row],[qno]]),VALUE(stableR[qno]),0))</f>
        <v>How many people did you typically hire per day for these activities during last year?</v>
      </c>
      <c r="I1634" s="9" t="b" cm="1">
        <f t="array" ref="I1634">INDEX(stable[is_fixed],MATCH(VALUE(questions[[#This Row],[qno]]),VALUE(stable[qno]),0))</f>
        <v>0</v>
      </c>
      <c r="J1634" s="9" t="b" cm="1">
        <f t="array" ref="J1634">INDEX(stable[is_localized],MATCH(VALUE(questions[[#This Row],[qno]]),VALUE(stable[qno]),0))</f>
        <v>1</v>
      </c>
      <c r="K1634" s="9" t="b" cm="1">
        <f t="array" ref="K1634">INDEX(stable[is_supply_chain_dependent],MATCH(VALUE(questions[[#This Row],[qno]]),VALUE(stable[qno]),0))</f>
        <v>0</v>
      </c>
      <c r="L1634" s="9" t="b" cm="1">
        <f t="array" ref="L1634">INDEX(stable[is_mandatory],MATCH(VALUE(questions[[#This Row],[qno]]),VALUE(stable[qno]),0))</f>
        <v>0</v>
      </c>
      <c r="M1634" s="9" t="b" cm="1">
        <f t="array" ref="M1634">INDEX(stable[is_automated],MATCH(VALUE(questions[[#This Row],[qno]]),VALUE(stable[qno]),0))</f>
        <v>0</v>
      </c>
      <c r="N1634" s="9" t="b" cm="1">
        <f t="array" ref="N1634">INDEX(stable[is_free_text],MATCH(VALUE(questions[[#This Row],[qno]]),VALUE(stable[qno]),0))</f>
        <v>0</v>
      </c>
      <c r="O1634" s="9" t="b" cm="1">
        <f t="array" ref="O1634">INDEX(stable[is_numerical],MATCH(VALUE(questions[[#This Row],[qno]]),VALUE(stable[qno]),0))</f>
        <v>1</v>
      </c>
      <c r="P1634" s="9" t="b" cm="1">
        <f t="array" ref="P1634">INDEX(stable[is_single_select],MATCH(VALUE(questions[[#This Row],[qno]]),VALUE(stable[qno]),0))</f>
        <v>0</v>
      </c>
      <c r="Q1634" s="9" t="b" cm="1">
        <f t="array" ref="Q1634">INDEX(stable[is_multi_select],MATCH(VALUE(questions[[#This Row],[qno]]),VALUE(stable[qno]),0))</f>
        <v>0</v>
      </c>
      <c r="R1634" s="9" t="b" cm="1">
        <f t="array" ref="R1634">INDEX(stable[is_skip_logic],MATCH(VALUE(questions[[#This Row],[qno]]),VALUE(stable[qno]),0))</f>
        <v>1</v>
      </c>
      <c r="S1634" s="9" t="str">
        <f>_xlfn.TEXTJOIN(", ",TRUE,questions[[#This Row],[ans_opt_1]:[ans_opt_14]])</f>
        <v/>
      </c>
      <c r="AH1634" s="16" t="b">
        <f>INDEX(stable[q_standard],MATCH(questions[[#This Row],[qno]],stable[qno],0))</f>
        <v>0</v>
      </c>
      <c r="AI1634" s="16" t="b">
        <f>INDEX(stable[q_living_income],MATCH(questions[[#This Row],[qno]],stable[qno],0))</f>
        <v>1</v>
      </c>
      <c r="AJ1634" s="16" t="b">
        <f>INDEX(stable[q_carbon],MATCH(questions[[#This Row],[qno]],stable[qno],0))</f>
        <v>0</v>
      </c>
      <c r="AK1634" s="16" t="b">
        <f>INDEX(stable[q_regen_ag],MATCH(questions[[#This Row],[qno]],stable[qno],0))</f>
        <v>0</v>
      </c>
      <c r="AL1634" s="16" t="b">
        <f>COUNTIFS(stable[qno],questions[[#This Row],[qno]])=1</f>
        <v>1</v>
      </c>
      <c r="AM1634" s="16" t="b">
        <f>OR(questions[[#This Row],[is_fixed]],questions[[#This Row],[is_localized]],questions[[#This Row],[is_supply_chain_dependent]])</f>
        <v>1</v>
      </c>
      <c r="AN1634" s="16" t="b">
        <f>COUNTIFS(questions[[#This Row],[is_automated]:[is_multi_select]],TRUE)=1</f>
        <v>1</v>
      </c>
      <c r="AO1634" s="16" t="b">
        <f>IF(questions[[#This Row],[is_fixed]],questions[[#This Row],[question]]=INDEX(stable[question],MATCH(questions[[#This Row],[qno]],stable[qno],0)),TRUE)</f>
        <v>1</v>
      </c>
      <c r="AP1634" s="16" t="str">
        <f>LEFT(questions[[#This Row],[question]],similarity_range)</f>
        <v>If yes, how many peo</v>
      </c>
      <c r="AQ1634" s="16" t="str">
        <f>LEFT(INDEX(stable[question],MATCH(questions[[#This Row],[qno]],stable[qno],0)),similarity_range)</f>
        <v>If yes, how many peo</v>
      </c>
      <c r="AR1634" s="16" t="b">
        <f>questions[[#This Row],[question_first_characters]]=questions[[#This Row],[stability_first_characters]]</f>
        <v>1</v>
      </c>
      <c r="AS1634" s="16" t="b">
        <f>IF(OR(questions[[#This Row],[is_single_select]],questions[[#This Row],[is_multi_select]]),NOT(ISBLANK(questions[[#This Row],[answer_opt_combined]])),TRUE)</f>
        <v>1</v>
      </c>
    </row>
    <row r="1635" spans="1:45" s="77" customFormat="1" ht="15.75" customHeight="1" x14ac:dyDescent="0.25">
      <c r="A1635" s="77" t="str">
        <f>_xlfn.TEXTJOIN("_",TRUE,questions[[#This Row],[origin]:[qno]])</f>
        <v>Burundi_Arabica_IKAWA RES PROJECT_2026_6100</v>
      </c>
      <c r="B1635" s="77" t="s">
        <v>1057</v>
      </c>
      <c r="C1635" s="77" t="s">
        <v>59</v>
      </c>
      <c r="D1635" s="77" t="s">
        <v>1058</v>
      </c>
      <c r="E1635" s="77">
        <v>2026</v>
      </c>
      <c r="F1635" s="105" t="s">
        <v>256</v>
      </c>
      <c r="G1635" s="78" t="s">
        <v>1001</v>
      </c>
      <c r="H1635" s="9" t="str" cm="1">
        <f t="array" ref="H1635">INDEX(stableR[question],MATCH(VALUE(questions[[#This Row],[qno]]),VALUE(stableR[qno]),0))</f>
        <v>Did you use any monetary loan for coffee activities last year?</v>
      </c>
      <c r="I1635" s="9" t="b" cm="1">
        <f t="array" ref="I1635">INDEX(stable[is_fixed],MATCH(VALUE(questions[[#This Row],[qno]]),VALUE(stable[qno]),0))</f>
        <v>1</v>
      </c>
      <c r="J1635" s="9" t="b" cm="1">
        <f t="array" ref="J1635">INDEX(stable[is_localized],MATCH(VALUE(questions[[#This Row],[qno]]),VALUE(stable[qno]),0))</f>
        <v>0</v>
      </c>
      <c r="K1635" s="9" t="b" cm="1">
        <f t="array" ref="K1635">INDEX(stable[is_supply_chain_dependent],MATCH(VALUE(questions[[#This Row],[qno]]),VALUE(stable[qno]),0))</f>
        <v>0</v>
      </c>
      <c r="L1635" s="9" t="b" cm="1">
        <f t="array" ref="L1635">INDEX(stable[is_mandatory],MATCH(VALUE(questions[[#This Row],[qno]]),VALUE(stable[qno]),0))</f>
        <v>1</v>
      </c>
      <c r="M1635" s="9" t="b" cm="1">
        <f t="array" ref="M1635">INDEX(stable[is_automated],MATCH(VALUE(questions[[#This Row],[qno]]),VALUE(stable[qno]),0))</f>
        <v>0</v>
      </c>
      <c r="N1635" s="9" t="b" cm="1">
        <f t="array" ref="N1635">INDEX(stable[is_free_text],MATCH(VALUE(questions[[#This Row],[qno]]),VALUE(stable[qno]),0))</f>
        <v>0</v>
      </c>
      <c r="O1635" s="9" t="b" cm="1">
        <f t="array" ref="O1635">INDEX(stable[is_numerical],MATCH(VALUE(questions[[#This Row],[qno]]),VALUE(stable[qno]),0))</f>
        <v>0</v>
      </c>
      <c r="P1635" s="77" t="b" cm="1">
        <f t="array" ref="P1635">INDEX(stable[is_single_select],MATCH(VALUE(questions[[#This Row],[qno]]),VALUE(stable[qno]),0))</f>
        <v>1</v>
      </c>
      <c r="Q1635" s="77" t="b" cm="1">
        <f t="array" ref="Q1635">INDEX(stable[is_multi_select],MATCH(VALUE(questions[[#This Row],[qno]]),VALUE(stable[qno]),0))</f>
        <v>0</v>
      </c>
      <c r="R1635" s="77" t="b" cm="1">
        <f t="array" ref="R1635">INDEX(stable[is_skip_logic],MATCH(VALUE(questions[[#This Row],[qno]]),VALUE(stable[qno]),0))</f>
        <v>1</v>
      </c>
      <c r="S1635" s="77" t="str">
        <f>_xlfn.TEXTJOIN(", ",TRUE,questions[[#This Row],[ans_opt_1]:[ans_opt_14]])</f>
        <v>Yes, No</v>
      </c>
      <c r="T1635" s="77" t="s">
        <v>149</v>
      </c>
      <c r="U1635" s="77" t="s">
        <v>119</v>
      </c>
      <c r="AH1635" s="98" t="b">
        <f>INDEX(stable[q_standard],MATCH(questions[[#This Row],[qno]],stable[qno],0))</f>
        <v>0</v>
      </c>
      <c r="AI1635" s="98" t="b">
        <f>INDEX(stable[q_living_income],MATCH(questions[[#This Row],[qno]],stable[qno],0))</f>
        <v>1</v>
      </c>
      <c r="AJ1635" s="98" t="b">
        <f>INDEX(stable[q_carbon],MATCH(questions[[#This Row],[qno]],stable[qno],0))</f>
        <v>0</v>
      </c>
      <c r="AK1635" s="98" t="b">
        <f>INDEX(stable[q_regen_ag],MATCH(questions[[#This Row],[qno]],stable[qno],0))</f>
        <v>0</v>
      </c>
      <c r="AL1635" s="98" t="b">
        <f>COUNTIFS(stable[qno],questions[[#This Row],[qno]])=1</f>
        <v>1</v>
      </c>
      <c r="AM1635" s="98" t="b">
        <f>OR(questions[[#This Row],[is_fixed]],questions[[#This Row],[is_localized]],questions[[#This Row],[is_supply_chain_dependent]])</f>
        <v>1</v>
      </c>
      <c r="AN1635" s="98" t="b">
        <f>COUNTIFS(questions[[#This Row],[is_automated]:[is_multi_select]],TRUE)=1</f>
        <v>1</v>
      </c>
      <c r="AO1635" s="98" t="b">
        <f>IF(questions[[#This Row],[is_fixed]],questions[[#This Row],[question]]=INDEX(stable[question],MATCH(questions[[#This Row],[qno]],stable[qno],0)),TRUE)</f>
        <v>1</v>
      </c>
      <c r="AP1635" s="98" t="str">
        <f>LEFT(questions[[#This Row],[question]],similarity_range)</f>
        <v>Did you use any mone</v>
      </c>
      <c r="AQ1635" s="98" t="str">
        <f>LEFT(INDEX(stable[question],MATCH(questions[[#This Row],[qno]],stable[qno],0)),similarity_range)</f>
        <v>Did you use any mone</v>
      </c>
      <c r="AR1635" s="98" t="b">
        <f>questions[[#This Row],[question_first_characters]]=questions[[#This Row],[stability_first_characters]]</f>
        <v>1</v>
      </c>
      <c r="AS1635" s="98" t="b">
        <f>IF(OR(questions[[#This Row],[is_single_select]],questions[[#This Row],[is_multi_select]]),NOT(ISBLANK(questions[[#This Row],[answer_opt_combined]])),TRUE)</f>
        <v>1</v>
      </c>
    </row>
    <row r="1636" spans="1:45" s="77" customFormat="1" ht="15.75" customHeight="1" x14ac:dyDescent="0.25">
      <c r="A1636" s="77" t="str">
        <f>_xlfn.TEXTJOIN("_",TRUE,questions[[#This Row],[origin]:[qno]])</f>
        <v>Burundi_Arabica_IKAWA RES PROJECT_2026_6101</v>
      </c>
      <c r="B1636" s="77" t="s">
        <v>1057</v>
      </c>
      <c r="C1636" s="77" t="s">
        <v>59</v>
      </c>
      <c r="D1636" s="77" t="s">
        <v>1058</v>
      </c>
      <c r="E1636" s="77">
        <v>2026</v>
      </c>
      <c r="F1636" s="105" t="s">
        <v>258</v>
      </c>
      <c r="G1636" s="78" t="s">
        <v>259</v>
      </c>
      <c r="H1636" s="9" t="str" cm="1">
        <f t="array" ref="H1636">INDEX(stableR[question],MATCH(VALUE(questions[[#This Row],[qno]]),VALUE(stableR[qno]),0))</f>
        <v>What was the total amount of loans you borrowed last year (in your local currency)?</v>
      </c>
      <c r="I1636" s="9" t="b" cm="1">
        <f t="array" ref="I1636">INDEX(stable[is_fixed],MATCH(VALUE(questions[[#This Row],[qno]]),VALUE(stable[qno]),0))</f>
        <v>1</v>
      </c>
      <c r="J1636" s="9" t="b" cm="1">
        <f t="array" ref="J1636">INDEX(stable[is_localized],MATCH(VALUE(questions[[#This Row],[qno]]),VALUE(stable[qno]),0))</f>
        <v>0</v>
      </c>
      <c r="K1636" s="9" t="b" cm="1">
        <f t="array" ref="K1636">INDEX(stable[is_supply_chain_dependent],MATCH(VALUE(questions[[#This Row],[qno]]),VALUE(stable[qno]),0))</f>
        <v>0</v>
      </c>
      <c r="L1636" s="9" t="b" cm="1">
        <f t="array" ref="L1636">INDEX(stable[is_mandatory],MATCH(VALUE(questions[[#This Row],[qno]]),VALUE(stable[qno]),0))</f>
        <v>0</v>
      </c>
      <c r="M1636" s="9" t="b" cm="1">
        <f t="array" ref="M1636">INDEX(stable[is_automated],MATCH(VALUE(questions[[#This Row],[qno]]),VALUE(stable[qno]),0))</f>
        <v>0</v>
      </c>
      <c r="N1636" s="9" t="b" cm="1">
        <f t="array" ref="N1636">INDEX(stable[is_free_text],MATCH(VALUE(questions[[#This Row],[qno]]),VALUE(stable[qno]),0))</f>
        <v>0</v>
      </c>
      <c r="O1636" s="9" t="b" cm="1">
        <f t="array" ref="O1636">INDEX(stable[is_numerical],MATCH(VALUE(questions[[#This Row],[qno]]),VALUE(stable[qno]),0))</f>
        <v>0</v>
      </c>
      <c r="P1636" s="77" t="b" cm="1">
        <f t="array" ref="P1636">INDEX(stable[is_single_select],MATCH(VALUE(questions[[#This Row],[qno]]),VALUE(stable[qno]),0))</f>
        <v>0</v>
      </c>
      <c r="Q1636" s="77" t="b" cm="1">
        <f t="array" ref="Q1636">INDEX(stable[is_multi_select],MATCH(VALUE(questions[[#This Row],[qno]]),VALUE(stable[qno]),0))</f>
        <v>1</v>
      </c>
      <c r="R1636" s="77" t="b" cm="1">
        <f t="array" ref="R1636">INDEX(stable[is_skip_logic],MATCH(VALUE(questions[[#This Row],[qno]]),VALUE(stable[qno]),0))</f>
        <v>1</v>
      </c>
      <c r="S1636" s="77" t="str">
        <f>_xlfn.TEXTJOIN(", ",TRUE,questions[[#This Row],[ans_opt_1]:[ans_opt_14]])</f>
        <v>Cash, Cherries, Other</v>
      </c>
      <c r="T1636" s="77" t="s">
        <v>1002</v>
      </c>
      <c r="U1636" s="77" t="s">
        <v>1003</v>
      </c>
      <c r="V1636" s="77" t="s">
        <v>112</v>
      </c>
      <c r="AH1636" s="98" t="b">
        <f>INDEX(stable[q_standard],MATCH(questions[[#This Row],[qno]],stable[qno],0))</f>
        <v>0</v>
      </c>
      <c r="AI1636" s="98" t="b">
        <f>INDEX(stable[q_living_income],MATCH(questions[[#This Row],[qno]],stable[qno],0))</f>
        <v>1</v>
      </c>
      <c r="AJ1636" s="98" t="b">
        <f>INDEX(stable[q_carbon],MATCH(questions[[#This Row],[qno]],stable[qno],0))</f>
        <v>0</v>
      </c>
      <c r="AK1636" s="98" t="b">
        <f>INDEX(stable[q_regen_ag],MATCH(questions[[#This Row],[qno]],stable[qno],0))</f>
        <v>0</v>
      </c>
      <c r="AL1636" s="98" t="b">
        <f>COUNTIFS(stable[qno],questions[[#This Row],[qno]])=1</f>
        <v>1</v>
      </c>
      <c r="AM1636" s="98" t="b">
        <f>OR(questions[[#This Row],[is_fixed]],questions[[#This Row],[is_localized]],questions[[#This Row],[is_supply_chain_dependent]])</f>
        <v>1</v>
      </c>
      <c r="AN1636" s="98" t="b">
        <f>COUNTIFS(questions[[#This Row],[is_automated]:[is_multi_select]],TRUE)=1</f>
        <v>1</v>
      </c>
      <c r="AO1636" s="98" t="b">
        <f>IF(questions[[#This Row],[is_fixed]],questions[[#This Row],[question]]=INDEX(stable[question],MATCH(questions[[#This Row],[qno]],stable[qno],0)),TRUE)</f>
        <v>1</v>
      </c>
      <c r="AP1636" s="98" t="str">
        <f>LEFT(questions[[#This Row],[question]],similarity_range)</f>
        <v xml:space="preserve">If yes, how did you </v>
      </c>
      <c r="AQ1636" s="98" t="str">
        <f>LEFT(INDEX(stable[question],MATCH(questions[[#This Row],[qno]],stable[qno],0)),similarity_range)</f>
        <v xml:space="preserve">If yes, how did you </v>
      </c>
      <c r="AR1636" s="98" t="b">
        <f>questions[[#This Row],[question_first_characters]]=questions[[#This Row],[stability_first_characters]]</f>
        <v>1</v>
      </c>
      <c r="AS1636" s="98" t="b">
        <f>IF(OR(questions[[#This Row],[is_single_select]],questions[[#This Row],[is_multi_select]]),NOT(ISBLANK(questions[[#This Row],[answer_opt_combined]])),TRUE)</f>
        <v>1</v>
      </c>
    </row>
    <row r="1637" spans="1:45" ht="15.75" customHeight="1" x14ac:dyDescent="0.25">
      <c r="A1637" s="9" t="str">
        <f>_xlfn.TEXTJOIN("_",TRUE,questions[[#This Row],[origin]:[qno]])</f>
        <v>Burundi_Arabica_IKAWA RES PROJECT_2026_6102</v>
      </c>
      <c r="B1637" s="9" t="s">
        <v>1057</v>
      </c>
      <c r="C1637" s="9" t="s">
        <v>59</v>
      </c>
      <c r="D1637" s="9" t="s">
        <v>1058</v>
      </c>
      <c r="E1637" s="33">
        <v>2026</v>
      </c>
      <c r="F1637" s="36" t="s">
        <v>260</v>
      </c>
      <c r="G1637" s="15" t="s">
        <v>1061</v>
      </c>
      <c r="H1637" s="9" t="str" cm="1">
        <f t="array" ref="H1637">INDEX(stableR[question],MATCH(VALUE(questions[[#This Row],[qno]]),VALUE(stableR[qno]),0))</f>
        <v>How did you have to pay for this? (in cash or in cherries? Please explain)</v>
      </c>
      <c r="I1637" s="9" t="b" cm="1">
        <f t="array" ref="I1637">INDEX(stable[is_fixed],MATCH(VALUE(questions[[#This Row],[qno]]),VALUE(stable[qno]),0))</f>
        <v>0</v>
      </c>
      <c r="J1637" s="9" t="b" cm="1">
        <f t="array" ref="J1637">INDEX(stable[is_localized],MATCH(VALUE(questions[[#This Row],[qno]]),VALUE(stable[qno]),0))</f>
        <v>1</v>
      </c>
      <c r="K1637" s="9" t="b" cm="1">
        <f t="array" ref="K1637">INDEX(stable[is_supply_chain_dependent],MATCH(VALUE(questions[[#This Row],[qno]]),VALUE(stable[qno]),0))</f>
        <v>0</v>
      </c>
      <c r="L1637" s="9" t="b" cm="1">
        <f t="array" ref="L1637">INDEX(stable[is_mandatory],MATCH(VALUE(questions[[#This Row],[qno]]),VALUE(stable[qno]),0))</f>
        <v>0</v>
      </c>
      <c r="M1637" s="9" t="b" cm="1">
        <f t="array" ref="M1637">INDEX(stable[is_automated],MATCH(VALUE(questions[[#This Row],[qno]]),VALUE(stable[qno]),0))</f>
        <v>0</v>
      </c>
      <c r="N1637" s="9" t="b" cm="1">
        <f t="array" ref="N1637">INDEX(stable[is_free_text],MATCH(VALUE(questions[[#This Row],[qno]]),VALUE(stable[qno]),0))</f>
        <v>0</v>
      </c>
      <c r="O1637" s="9" t="b" cm="1">
        <f t="array" ref="O1637">INDEX(stable[is_numerical],MATCH(VALUE(questions[[#This Row],[qno]]),VALUE(stable[qno]),0))</f>
        <v>1</v>
      </c>
      <c r="P1637" s="9" t="b" cm="1">
        <f t="array" ref="P1637">INDEX(stable[is_single_select],MATCH(VALUE(questions[[#This Row],[qno]]),VALUE(stable[qno]),0))</f>
        <v>0</v>
      </c>
      <c r="Q1637" s="9" t="b" cm="1">
        <f t="array" ref="Q1637">INDEX(stable[is_multi_select],MATCH(VALUE(questions[[#This Row],[qno]]),VALUE(stable[qno]),0))</f>
        <v>0</v>
      </c>
      <c r="R1637" s="9" t="b" cm="1">
        <f t="array" ref="R1637">INDEX(stable[is_skip_logic],MATCH(VALUE(questions[[#This Row],[qno]]),VALUE(stable[qno]),0))</f>
        <v>1</v>
      </c>
      <c r="S1637" s="9" t="str">
        <f>_xlfn.TEXTJOIN(", ",TRUE,questions[[#This Row],[ans_opt_1]:[ans_opt_14]])</f>
        <v/>
      </c>
      <c r="AH1637" s="16" t="b">
        <f>INDEX(stable[q_standard],MATCH(questions[[#This Row],[qno]],stable[qno],0))</f>
        <v>0</v>
      </c>
      <c r="AI1637" s="16" t="b">
        <f>INDEX(stable[q_living_income],MATCH(questions[[#This Row],[qno]],stable[qno],0))</f>
        <v>1</v>
      </c>
      <c r="AJ1637" s="16" t="b">
        <f>INDEX(stable[q_carbon],MATCH(questions[[#This Row],[qno]],stable[qno],0))</f>
        <v>0</v>
      </c>
      <c r="AK1637" s="16" t="b">
        <f>INDEX(stable[q_regen_ag],MATCH(questions[[#This Row],[qno]],stable[qno],0))</f>
        <v>0</v>
      </c>
      <c r="AL1637" s="16" t="b">
        <f>COUNTIFS(stable[qno],questions[[#This Row],[qno]])=1</f>
        <v>1</v>
      </c>
      <c r="AM1637" s="16" t="b">
        <f>OR(questions[[#This Row],[is_fixed]],questions[[#This Row],[is_localized]],questions[[#This Row],[is_supply_chain_dependent]])</f>
        <v>1</v>
      </c>
      <c r="AN1637" s="16" t="b">
        <f>COUNTIFS(questions[[#This Row],[is_automated]:[is_multi_select]],TRUE)=1</f>
        <v>1</v>
      </c>
      <c r="AO1637" s="16" t="b">
        <f>IF(questions[[#This Row],[is_fixed]],questions[[#This Row],[question]]=INDEX(stable[question],MATCH(questions[[#This Row],[qno]],stable[qno],0)),TRUE)</f>
        <v>1</v>
      </c>
      <c r="AP1637" s="16" t="str">
        <f>LEFT(questions[[#This Row],[question]],similarity_range)</f>
        <v>If yes, can you esti</v>
      </c>
      <c r="AQ1637" s="16" t="str">
        <f>LEFT(INDEX(stable[question],MATCH(questions[[#This Row],[qno]],stable[qno],0)),similarity_range)</f>
        <v>If yes, can you esti</v>
      </c>
      <c r="AR1637" s="16" t="b">
        <f>questions[[#This Row],[question_first_characters]]=questions[[#This Row],[stability_first_characters]]</f>
        <v>1</v>
      </c>
      <c r="AS1637" s="16" t="b">
        <f>IF(OR(questions[[#This Row],[is_single_select]],questions[[#This Row],[is_multi_select]]),NOT(ISBLANK(questions[[#This Row],[answer_opt_combined]])),TRUE)</f>
        <v>1</v>
      </c>
    </row>
    <row r="1638" spans="1:45" ht="15.75" customHeight="1" x14ac:dyDescent="0.25">
      <c r="A1638" s="9" t="str">
        <f>_xlfn.TEXTJOIN("_",TRUE,questions[[#This Row],[origin]:[qno]])</f>
        <v>Burundi_Arabica_IKAWA RES PROJECT_2026_6103</v>
      </c>
      <c r="B1638" s="9" t="s">
        <v>1057</v>
      </c>
      <c r="C1638" s="9" t="s">
        <v>59</v>
      </c>
      <c r="D1638" s="9" t="s">
        <v>1058</v>
      </c>
      <c r="E1638" s="33">
        <v>2026</v>
      </c>
      <c r="F1638" s="36" t="s">
        <v>262</v>
      </c>
      <c r="G1638" s="15" t="s">
        <v>1062</v>
      </c>
      <c r="H1638" s="9" t="str" cm="1">
        <f t="array" ref="H1638">INDEX(stableR[question],MATCH(VALUE(questions[[#This Row],[qno]]),VALUE(stableR[qno]),0))</f>
        <v>Can you estimate how much you had to repay, in total, for the loan last year, including interest (in local currency)</v>
      </c>
      <c r="I1638" s="9" t="b" cm="1">
        <f t="array" ref="I1638">INDEX(stable[is_fixed],MATCH(VALUE(questions[[#This Row],[qno]]),VALUE(stable[qno]),0))</f>
        <v>0</v>
      </c>
      <c r="J1638" s="9" t="b" cm="1">
        <f t="array" ref="J1638">INDEX(stable[is_localized],MATCH(VALUE(questions[[#This Row],[qno]]),VALUE(stable[qno]),0))</f>
        <v>1</v>
      </c>
      <c r="K1638" s="9" t="b" cm="1">
        <f t="array" ref="K1638">INDEX(stable[is_supply_chain_dependent],MATCH(VALUE(questions[[#This Row],[qno]]),VALUE(stable[qno]),0))</f>
        <v>0</v>
      </c>
      <c r="L1638" s="9" t="b" cm="1">
        <f t="array" ref="L1638">INDEX(stable[is_mandatory],MATCH(VALUE(questions[[#This Row],[qno]]),VALUE(stable[qno]),0))</f>
        <v>0</v>
      </c>
      <c r="M1638" s="9" t="b" cm="1">
        <f t="array" ref="M1638">INDEX(stable[is_automated],MATCH(VALUE(questions[[#This Row],[qno]]),VALUE(stable[qno]),0))</f>
        <v>0</v>
      </c>
      <c r="N1638" s="9" t="b" cm="1">
        <f t="array" ref="N1638">INDEX(stable[is_free_text],MATCH(VALUE(questions[[#This Row],[qno]]),VALUE(stable[qno]),0))</f>
        <v>0</v>
      </c>
      <c r="O1638" s="9" t="b" cm="1">
        <f t="array" ref="O1638">INDEX(stable[is_numerical],MATCH(VALUE(questions[[#This Row],[qno]]),VALUE(stable[qno]),0))</f>
        <v>1</v>
      </c>
      <c r="P1638" s="9" t="b" cm="1">
        <f t="array" ref="P1638">INDEX(stable[is_single_select],MATCH(VALUE(questions[[#This Row],[qno]]),VALUE(stable[qno]),0))</f>
        <v>0</v>
      </c>
      <c r="Q1638" s="9" t="b" cm="1">
        <f t="array" ref="Q1638">INDEX(stable[is_multi_select],MATCH(VALUE(questions[[#This Row],[qno]]),VALUE(stable[qno]),0))</f>
        <v>0</v>
      </c>
      <c r="R1638" s="9" t="b" cm="1">
        <f t="array" ref="R1638">INDEX(stable[is_skip_logic],MATCH(VALUE(questions[[#This Row],[qno]]),VALUE(stable[qno]),0))</f>
        <v>1</v>
      </c>
      <c r="S1638" s="9" t="str">
        <f>_xlfn.TEXTJOIN(", ",TRUE,questions[[#This Row],[ans_opt_1]:[ans_opt_14]])</f>
        <v/>
      </c>
      <c r="AH1638" s="16" t="b">
        <f>INDEX(stable[q_standard],MATCH(questions[[#This Row],[qno]],stable[qno],0))</f>
        <v>0</v>
      </c>
      <c r="AI1638" s="16" t="b">
        <f>INDEX(stable[q_living_income],MATCH(questions[[#This Row],[qno]],stable[qno],0))</f>
        <v>1</v>
      </c>
      <c r="AJ1638" s="16" t="b">
        <f>INDEX(stable[q_carbon],MATCH(questions[[#This Row],[qno]],stable[qno],0))</f>
        <v>0</v>
      </c>
      <c r="AK1638" s="16" t="b">
        <f>INDEX(stable[q_regen_ag],MATCH(questions[[#This Row],[qno]],stable[qno],0))</f>
        <v>0</v>
      </c>
      <c r="AL1638" s="16" t="b">
        <f>COUNTIFS(stable[qno],questions[[#This Row],[qno]])=1</f>
        <v>1</v>
      </c>
      <c r="AM1638" s="16" t="b">
        <f>OR(questions[[#This Row],[is_fixed]],questions[[#This Row],[is_localized]],questions[[#This Row],[is_supply_chain_dependent]])</f>
        <v>1</v>
      </c>
      <c r="AN1638" s="16" t="b">
        <f>COUNTIFS(questions[[#This Row],[is_automated]:[is_multi_select]],TRUE)=1</f>
        <v>1</v>
      </c>
      <c r="AO1638" s="16" t="b">
        <f>IF(questions[[#This Row],[is_fixed]],questions[[#This Row],[question]]=INDEX(stable[question],MATCH(questions[[#This Row],[qno]],stable[qno],0)),TRUE)</f>
        <v>1</v>
      </c>
      <c r="AP1638" s="16" t="str">
        <f>LEFT(questions[[#This Row],[question]],similarity_range)</f>
        <v>If yes, can you esti</v>
      </c>
      <c r="AQ1638" s="16" t="str">
        <f>LEFT(INDEX(stable[question],MATCH(questions[[#This Row],[qno]],stable[qno],0)),similarity_range)</f>
        <v>If yes, can you esti</v>
      </c>
      <c r="AR1638" s="16" t="b">
        <f>questions[[#This Row],[question_first_characters]]=questions[[#This Row],[stability_first_characters]]</f>
        <v>1</v>
      </c>
      <c r="AS1638" s="16" t="b">
        <f>IF(OR(questions[[#This Row],[is_single_select]],questions[[#This Row],[is_multi_select]]),NOT(ISBLANK(questions[[#This Row],[answer_opt_combined]])),TRUE)</f>
        <v>1</v>
      </c>
    </row>
    <row r="1639" spans="1:45" s="77" customFormat="1" ht="15.75" customHeight="1" x14ac:dyDescent="0.25">
      <c r="A1639" s="77" t="str">
        <f>_xlfn.TEXTJOIN("_",TRUE,questions[[#This Row],[origin]:[qno]])</f>
        <v>Burundi_Arabica_IKAWA RES PROJECT_2026_6300</v>
      </c>
      <c r="B1639" s="77" t="s">
        <v>1057</v>
      </c>
      <c r="C1639" s="77" t="s">
        <v>59</v>
      </c>
      <c r="D1639" s="77" t="s">
        <v>1058</v>
      </c>
      <c r="E1639" s="77">
        <v>2026</v>
      </c>
      <c r="F1639" s="105" t="s">
        <v>268</v>
      </c>
      <c r="G1639" s="78" t="s">
        <v>780</v>
      </c>
      <c r="H1639" s="9" t="str" cm="1">
        <f t="array" ref="H1639">INDEX(stableR[question],MATCH(VALUE(questions[[#This Row],[qno]]),VALUE(stableR[qno]),0))</f>
        <v>Did you buy coffee seedlings last year?</v>
      </c>
      <c r="I1639" s="9" t="b" cm="1">
        <f t="array" ref="I1639">INDEX(stable[is_fixed],MATCH(VALUE(questions[[#This Row],[qno]]),VALUE(stable[qno]),0))</f>
        <v>1</v>
      </c>
      <c r="J1639" s="9" t="b" cm="1">
        <f t="array" ref="J1639">INDEX(stable[is_localized],MATCH(VALUE(questions[[#This Row],[qno]]),VALUE(stable[qno]),0))</f>
        <v>0</v>
      </c>
      <c r="K1639" s="9" t="b" cm="1">
        <f t="array" ref="K1639">INDEX(stable[is_supply_chain_dependent],MATCH(VALUE(questions[[#This Row],[qno]]),VALUE(stable[qno]),0))</f>
        <v>0</v>
      </c>
      <c r="L1639" s="9" t="b" cm="1">
        <f t="array" ref="L1639">INDEX(stable[is_mandatory],MATCH(VALUE(questions[[#This Row],[qno]]),VALUE(stable[qno]),0))</f>
        <v>1</v>
      </c>
      <c r="M1639" s="9" t="b" cm="1">
        <f t="array" ref="M1639">INDEX(stable[is_automated],MATCH(VALUE(questions[[#This Row],[qno]]),VALUE(stable[qno]),0))</f>
        <v>0</v>
      </c>
      <c r="N1639" s="9" t="b" cm="1">
        <f t="array" ref="N1639">INDEX(stable[is_free_text],MATCH(VALUE(questions[[#This Row],[qno]]),VALUE(stable[qno]),0))</f>
        <v>0</v>
      </c>
      <c r="O1639" s="9" t="b" cm="1">
        <f t="array" ref="O1639">INDEX(stable[is_numerical],MATCH(VALUE(questions[[#This Row],[qno]]),VALUE(stable[qno]),0))</f>
        <v>0</v>
      </c>
      <c r="P1639" s="77" t="b" cm="1">
        <f t="array" ref="P1639">INDEX(stable[is_single_select],MATCH(VALUE(questions[[#This Row],[qno]]),VALUE(stable[qno]),0))</f>
        <v>1</v>
      </c>
      <c r="Q1639" s="77" t="b" cm="1">
        <f t="array" ref="Q1639">INDEX(stable[is_multi_select],MATCH(VALUE(questions[[#This Row],[qno]]),VALUE(stable[qno]),0))</f>
        <v>0</v>
      </c>
      <c r="R1639" s="77" t="b" cm="1">
        <f t="array" ref="R1639">INDEX(stable[is_skip_logic],MATCH(VALUE(questions[[#This Row],[qno]]),VALUE(stable[qno]),0))</f>
        <v>1</v>
      </c>
      <c r="S1639" s="77" t="str">
        <f>_xlfn.TEXTJOIN(", ",TRUE,questions[[#This Row],[ans_opt_1]:[ans_opt_14]])</f>
        <v>No, Yes, mainly bought, Yes, mainly received for free</v>
      </c>
      <c r="T1639" s="77" t="s">
        <v>119</v>
      </c>
      <c r="U1639" s="77" t="s">
        <v>781</v>
      </c>
      <c r="V1639" s="77" t="s">
        <v>782</v>
      </c>
      <c r="AH1639" s="98" t="b">
        <f>INDEX(stable[q_standard],MATCH(questions[[#This Row],[qno]],stable[qno],0))</f>
        <v>0</v>
      </c>
      <c r="AI1639" s="98" t="b">
        <f>INDEX(stable[q_living_income],MATCH(questions[[#This Row],[qno]],stable[qno],0))</f>
        <v>1</v>
      </c>
      <c r="AJ1639" s="98" t="b">
        <f>INDEX(stable[q_carbon],MATCH(questions[[#This Row],[qno]],stable[qno],0))</f>
        <v>0</v>
      </c>
      <c r="AK1639" s="98" t="b">
        <f>INDEX(stable[q_regen_ag],MATCH(questions[[#This Row],[qno]],stable[qno],0))</f>
        <v>0</v>
      </c>
      <c r="AL1639" s="98" t="b">
        <f>COUNTIFS(stable[qno],questions[[#This Row],[qno]])=1</f>
        <v>1</v>
      </c>
      <c r="AM1639" s="98" t="b">
        <f>OR(questions[[#This Row],[is_fixed]],questions[[#This Row],[is_localized]],questions[[#This Row],[is_supply_chain_dependent]])</f>
        <v>1</v>
      </c>
      <c r="AN1639" s="98" t="b">
        <f>COUNTIFS(questions[[#This Row],[is_automated]:[is_multi_select]],TRUE)=1</f>
        <v>1</v>
      </c>
      <c r="AO1639" s="98" t="b">
        <f>IF(questions[[#This Row],[is_fixed]],questions[[#This Row],[question]]=INDEX(stable[question],MATCH(questions[[#This Row],[qno]],stable[qno],0)),TRUE)</f>
        <v>0</v>
      </c>
      <c r="AP1639" s="98" t="str">
        <f>LEFT(questions[[#This Row],[question]],similarity_range)</f>
        <v>Did you buy and/or r</v>
      </c>
      <c r="AQ1639" s="98" t="str">
        <f>LEFT(INDEX(stable[question],MATCH(questions[[#This Row],[qno]],stable[qno],0)),similarity_range)</f>
        <v>Did you buy coffee s</v>
      </c>
      <c r="AR1639" s="98" t="b">
        <f>questions[[#This Row],[question_first_characters]]=questions[[#This Row],[stability_first_characters]]</f>
        <v>0</v>
      </c>
      <c r="AS1639" s="98" t="b">
        <f>IF(OR(questions[[#This Row],[is_single_select]],questions[[#This Row],[is_multi_select]]),NOT(ISBLANK(questions[[#This Row],[answer_opt_combined]])),TRUE)</f>
        <v>1</v>
      </c>
    </row>
    <row r="1640" spans="1:45" s="77" customFormat="1" ht="15.75" customHeight="1" x14ac:dyDescent="0.25">
      <c r="A1640" s="77" t="str">
        <f>_xlfn.TEXTJOIN("_",TRUE,questions[[#This Row],[origin]:[qno]])</f>
        <v>Burundi_Arabica_IKAWA RES PROJECT_2026_6301</v>
      </c>
      <c r="B1640" s="77" t="s">
        <v>1057</v>
      </c>
      <c r="C1640" s="77" t="s">
        <v>59</v>
      </c>
      <c r="D1640" s="77" t="s">
        <v>1058</v>
      </c>
      <c r="E1640" s="77">
        <v>2026</v>
      </c>
      <c r="F1640" s="105" t="s">
        <v>270</v>
      </c>
      <c r="G1640" s="78" t="s">
        <v>783</v>
      </c>
      <c r="H1640" s="9" t="str" cm="1">
        <f t="array" ref="H1640">INDEX(stableR[question],MATCH(VALUE(questions[[#This Row],[qno]]),VALUE(stableR[qno]),0))</f>
        <v>What was the main type seedlings bought?</v>
      </c>
      <c r="I1640" s="9" t="b" cm="1">
        <f t="array" ref="I1640">INDEX(stable[is_fixed],MATCH(VALUE(questions[[#This Row],[qno]]),VALUE(stable[qno]),0))</f>
        <v>1</v>
      </c>
      <c r="J1640" s="9" t="b" cm="1">
        <f t="array" ref="J1640">INDEX(stable[is_localized],MATCH(VALUE(questions[[#This Row],[qno]]),VALUE(stable[qno]),0))</f>
        <v>0</v>
      </c>
      <c r="K1640" s="9" t="b" cm="1">
        <f t="array" ref="K1640">INDEX(stable[is_supply_chain_dependent],MATCH(VALUE(questions[[#This Row],[qno]]),VALUE(stable[qno]),0))</f>
        <v>0</v>
      </c>
      <c r="L1640" s="9" t="b" cm="1">
        <f t="array" ref="L1640">INDEX(stable[is_mandatory],MATCH(VALUE(questions[[#This Row],[qno]]),VALUE(stable[qno]),0))</f>
        <v>0</v>
      </c>
      <c r="M1640" s="9" t="b" cm="1">
        <f t="array" ref="M1640">INDEX(stable[is_automated],MATCH(VALUE(questions[[#This Row],[qno]]),VALUE(stable[qno]),0))</f>
        <v>0</v>
      </c>
      <c r="N1640" s="9" t="b" cm="1">
        <f t="array" ref="N1640">INDEX(stable[is_free_text],MATCH(VALUE(questions[[#This Row],[qno]]),VALUE(stable[qno]),0))</f>
        <v>0</v>
      </c>
      <c r="O1640" s="9" t="b" cm="1">
        <f t="array" ref="O1640">INDEX(stable[is_numerical],MATCH(VALUE(questions[[#This Row],[qno]]),VALUE(stable[qno]),0))</f>
        <v>0</v>
      </c>
      <c r="P1640" s="77" t="b" cm="1">
        <f t="array" ref="P1640">INDEX(stable[is_single_select],MATCH(VALUE(questions[[#This Row],[qno]]),VALUE(stable[qno]),0))</f>
        <v>1</v>
      </c>
      <c r="Q1640" s="77" t="b" cm="1">
        <f t="array" ref="Q1640">INDEX(stable[is_multi_select],MATCH(VALUE(questions[[#This Row],[qno]]),VALUE(stable[qno]),0))</f>
        <v>0</v>
      </c>
      <c r="R1640" s="77" t="b" cm="1">
        <f t="array" ref="R1640">INDEX(stable[is_skip_logic],MATCH(VALUE(questions[[#This Row],[qno]]),VALUE(stable[qno]),0))</f>
        <v>1</v>
      </c>
      <c r="S1640" s="77" t="str">
        <f>_xlfn.TEXTJOIN(", ",TRUE,questions[[#This Row],[ans_opt_1]:[ans_opt_14]])</f>
        <v>RAB C15, Bourbon Mayaguez 139- BM 139, Jackson Jackson, Harar Rwanda, Mibirizi, Pop 3303/21 , Other, NA</v>
      </c>
      <c r="T1640" s="77" t="s">
        <v>784</v>
      </c>
      <c r="U1640" s="77" t="s">
        <v>785</v>
      </c>
      <c r="V1640" s="77" t="s">
        <v>786</v>
      </c>
      <c r="W1640" s="77" t="s">
        <v>787</v>
      </c>
      <c r="X1640" s="77" t="s">
        <v>788</v>
      </c>
      <c r="Y1640" s="77" t="s">
        <v>789</v>
      </c>
      <c r="Z1640" s="77" t="s">
        <v>112</v>
      </c>
      <c r="AA1640" s="77" t="s">
        <v>251</v>
      </c>
      <c r="AH1640" s="98" t="b">
        <f>INDEX(stable[q_standard],MATCH(questions[[#This Row],[qno]],stable[qno],0))</f>
        <v>0</v>
      </c>
      <c r="AI1640" s="98" t="b">
        <f>INDEX(stable[q_living_income],MATCH(questions[[#This Row],[qno]],stable[qno],0))</f>
        <v>1</v>
      </c>
      <c r="AJ1640" s="98" t="b">
        <f>INDEX(stable[q_carbon],MATCH(questions[[#This Row],[qno]],stable[qno],0))</f>
        <v>0</v>
      </c>
      <c r="AK1640" s="98" t="b">
        <f>INDEX(stable[q_regen_ag],MATCH(questions[[#This Row],[qno]],stable[qno],0))</f>
        <v>0</v>
      </c>
      <c r="AL1640" s="98" t="b">
        <f>COUNTIFS(stable[qno],questions[[#This Row],[qno]])=1</f>
        <v>1</v>
      </c>
      <c r="AM1640" s="98" t="b">
        <f>OR(questions[[#This Row],[is_fixed]],questions[[#This Row],[is_localized]],questions[[#This Row],[is_supply_chain_dependent]])</f>
        <v>1</v>
      </c>
      <c r="AN1640" s="98" t="b">
        <f>COUNTIFS(questions[[#This Row],[is_automated]:[is_multi_select]],TRUE)=1</f>
        <v>1</v>
      </c>
      <c r="AO1640" s="98" t="b">
        <f>IF(questions[[#This Row],[is_fixed]],questions[[#This Row],[question]]=INDEX(stable[question],MATCH(questions[[#This Row],[qno]],stable[qno],0)),TRUE)</f>
        <v>0</v>
      </c>
      <c r="AP1640" s="98" t="str">
        <f>LEFT(questions[[#This Row],[question]],similarity_range)</f>
        <v xml:space="preserve">If yes what was the </v>
      </c>
      <c r="AQ1640" s="98" t="str">
        <f>LEFT(INDEX(stable[question],MATCH(questions[[#This Row],[qno]],stable[qno],0)),similarity_range)</f>
        <v xml:space="preserve">If yes what was the </v>
      </c>
      <c r="AR1640" s="98" t="b">
        <f>questions[[#This Row],[question_first_characters]]=questions[[#This Row],[stability_first_characters]]</f>
        <v>1</v>
      </c>
      <c r="AS1640" s="98" t="b">
        <f>IF(OR(questions[[#This Row],[is_single_select]],questions[[#This Row],[is_multi_select]]),NOT(ISBLANK(questions[[#This Row],[answer_opt_combined]])),TRUE)</f>
        <v>1</v>
      </c>
    </row>
    <row r="1641" spans="1:45" ht="15.75" customHeight="1" x14ac:dyDescent="0.25">
      <c r="A1641" s="9" t="str">
        <f>_xlfn.TEXTJOIN("_",TRUE,questions[[#This Row],[origin]:[qno]])</f>
        <v>Burundi_Arabica_IKAWA RES PROJECT_2026_6302</v>
      </c>
      <c r="B1641" s="9" t="s">
        <v>1057</v>
      </c>
      <c r="C1641" s="9" t="s">
        <v>59</v>
      </c>
      <c r="D1641" s="9" t="s">
        <v>1058</v>
      </c>
      <c r="E1641" s="33">
        <v>2026</v>
      </c>
      <c r="F1641" s="36" t="s">
        <v>282</v>
      </c>
      <c r="G1641" s="15" t="s">
        <v>790</v>
      </c>
      <c r="H1641" s="9" t="str" cm="1">
        <f t="array" ref="H1641">INDEX(stableR[question],MATCH(VALUE(questions[[#This Row],[qno]]),VALUE(stableR[qno]),0))</f>
        <v>How many seedlings did you buy last year?</v>
      </c>
      <c r="I1641" s="9" t="b" cm="1">
        <f t="array" ref="I1641">INDEX(stable[is_fixed],MATCH(VALUE(questions[[#This Row],[qno]]),VALUE(stable[qno]),0))</f>
        <v>1</v>
      </c>
      <c r="J1641" s="9" t="b" cm="1">
        <f t="array" ref="J1641">INDEX(stable[is_localized],MATCH(VALUE(questions[[#This Row],[qno]]),VALUE(stable[qno]),0))</f>
        <v>0</v>
      </c>
      <c r="K1641" s="9" t="b" cm="1">
        <f t="array" ref="K1641">INDEX(stable[is_supply_chain_dependent],MATCH(VALUE(questions[[#This Row],[qno]]),VALUE(stable[qno]),0))</f>
        <v>0</v>
      </c>
      <c r="L1641" s="9" t="b" cm="1">
        <f t="array" ref="L1641">INDEX(stable[is_mandatory],MATCH(VALUE(questions[[#This Row],[qno]]),VALUE(stable[qno]),0))</f>
        <v>0</v>
      </c>
      <c r="M1641" s="9" t="b" cm="1">
        <f t="array" ref="M1641">INDEX(stable[is_automated],MATCH(VALUE(questions[[#This Row],[qno]]),VALUE(stable[qno]),0))</f>
        <v>0</v>
      </c>
      <c r="N1641" s="9" t="b" cm="1">
        <f t="array" ref="N1641">INDEX(stable[is_free_text],MATCH(VALUE(questions[[#This Row],[qno]]),VALUE(stable[qno]),0))</f>
        <v>0</v>
      </c>
      <c r="O1641" s="9" t="b" cm="1">
        <f t="array" ref="O1641">INDEX(stable[is_numerical],MATCH(VALUE(questions[[#This Row],[qno]]),VALUE(stable[qno]),0))</f>
        <v>1</v>
      </c>
      <c r="P1641" s="9" t="b" cm="1">
        <f t="array" ref="P1641">INDEX(stable[is_single_select],MATCH(VALUE(questions[[#This Row],[qno]]),VALUE(stable[qno]),0))</f>
        <v>0</v>
      </c>
      <c r="Q1641" s="9" t="b" cm="1">
        <f t="array" ref="Q1641">INDEX(stable[is_multi_select],MATCH(VALUE(questions[[#This Row],[qno]]),VALUE(stable[qno]),0))</f>
        <v>0</v>
      </c>
      <c r="R1641" s="9" t="b" cm="1">
        <f t="array" ref="R1641">INDEX(stable[is_skip_logic],MATCH(VALUE(questions[[#This Row],[qno]]),VALUE(stable[qno]),0))</f>
        <v>1</v>
      </c>
      <c r="S1641" s="9" t="str">
        <f>_xlfn.TEXTJOIN(", ",TRUE,questions[[#This Row],[ans_opt_1]:[ans_opt_14]])</f>
        <v/>
      </c>
      <c r="AH1641" s="16" t="b">
        <f>INDEX(stable[q_standard],MATCH(questions[[#This Row],[qno]],stable[qno],0))</f>
        <v>0</v>
      </c>
      <c r="AI1641" s="16" t="b">
        <f>INDEX(stable[q_living_income],MATCH(questions[[#This Row],[qno]],stable[qno],0))</f>
        <v>1</v>
      </c>
      <c r="AJ1641" s="16" t="b">
        <f>INDEX(stable[q_carbon],MATCH(questions[[#This Row],[qno]],stable[qno],0))</f>
        <v>0</v>
      </c>
      <c r="AK1641" s="16" t="b">
        <f>INDEX(stable[q_regen_ag],MATCH(questions[[#This Row],[qno]],stable[qno],0))</f>
        <v>0</v>
      </c>
      <c r="AL1641" s="16" t="b">
        <f>COUNTIFS(stable[qno],questions[[#This Row],[qno]])=1</f>
        <v>1</v>
      </c>
      <c r="AM1641" s="16" t="b">
        <f>OR(questions[[#This Row],[is_fixed]],questions[[#This Row],[is_localized]],questions[[#This Row],[is_supply_chain_dependent]])</f>
        <v>1</v>
      </c>
      <c r="AN1641" s="16" t="b">
        <f>COUNTIFS(questions[[#This Row],[is_automated]:[is_multi_select]],TRUE)=1</f>
        <v>1</v>
      </c>
      <c r="AO1641" s="16" t="b">
        <f>IF(questions[[#This Row],[is_fixed]],questions[[#This Row],[question]]=INDEX(stable[question],MATCH(questions[[#This Row],[qno]],stable[qno],0)),TRUE)</f>
        <v>0</v>
      </c>
      <c r="AP1641" s="16" t="str">
        <f>LEFT(questions[[#This Row],[question]],similarity_range)</f>
        <v>How many seedlings d</v>
      </c>
      <c r="AQ1641" s="16" t="str">
        <f>LEFT(INDEX(stable[question],MATCH(questions[[#This Row],[qno]],stable[qno],0)),similarity_range)</f>
        <v>How many seedlings d</v>
      </c>
      <c r="AR1641" s="16" t="b">
        <f>questions[[#This Row],[question_first_characters]]=questions[[#This Row],[stability_first_characters]]</f>
        <v>1</v>
      </c>
      <c r="AS1641" s="16" t="b">
        <f>IF(OR(questions[[#This Row],[is_single_select]],questions[[#This Row],[is_multi_select]]),NOT(ISBLANK(questions[[#This Row],[answer_opt_combined]])),TRUE)</f>
        <v>1</v>
      </c>
    </row>
    <row r="1642" spans="1:45" s="77" customFormat="1" ht="15.75" customHeight="1" x14ac:dyDescent="0.25">
      <c r="A1642" s="77" t="str">
        <f>_xlfn.TEXTJOIN("_",TRUE,questions[[#This Row],[origin]:[qno]])</f>
        <v>Burundi_Arabica_IKAWA RES PROJECT_2026_6500</v>
      </c>
      <c r="B1642" s="77" t="s">
        <v>1057</v>
      </c>
      <c r="C1642" s="77" t="s">
        <v>59</v>
      </c>
      <c r="D1642" s="77" t="s">
        <v>1058</v>
      </c>
      <c r="E1642" s="77">
        <v>2026</v>
      </c>
      <c r="F1642" s="105" t="s">
        <v>290</v>
      </c>
      <c r="G1642" s="78" t="s">
        <v>291</v>
      </c>
      <c r="H1642" s="9" t="str" cm="1">
        <f t="array" ref="H1642">INDEX(stableR[question],MATCH(VALUE(questions[[#This Row],[qno]]),VALUE(stableR[qno]),0))</f>
        <v>What are your sources of income for the total household, from the farm and off-farm?</v>
      </c>
      <c r="I1642" s="9" t="b" cm="1">
        <f t="array" ref="I1642">INDEX(stable[is_fixed],MATCH(VALUE(questions[[#This Row],[qno]]),VALUE(stable[qno]),0))</f>
        <v>1</v>
      </c>
      <c r="J1642" s="9" t="b" cm="1">
        <f t="array" ref="J1642">INDEX(stable[is_localized],MATCH(VALUE(questions[[#This Row],[qno]]),VALUE(stable[qno]),0))</f>
        <v>0</v>
      </c>
      <c r="K1642" s="9" t="b" cm="1">
        <f t="array" ref="K1642">INDEX(stable[is_supply_chain_dependent],MATCH(VALUE(questions[[#This Row],[qno]]),VALUE(stable[qno]),0))</f>
        <v>0</v>
      </c>
      <c r="L1642" s="9" t="b" cm="1">
        <f t="array" ref="L1642">INDEX(stable[is_mandatory],MATCH(VALUE(questions[[#This Row],[qno]]),VALUE(stable[qno]),0))</f>
        <v>1</v>
      </c>
      <c r="M1642" s="9" t="b" cm="1">
        <f t="array" ref="M1642">INDEX(stable[is_automated],MATCH(VALUE(questions[[#This Row],[qno]]),VALUE(stable[qno]),0))</f>
        <v>0</v>
      </c>
      <c r="N1642" s="9" t="b" cm="1">
        <f t="array" ref="N1642">INDEX(stable[is_free_text],MATCH(VALUE(questions[[#This Row],[qno]]),VALUE(stable[qno]),0))</f>
        <v>0</v>
      </c>
      <c r="O1642" s="9" t="b" cm="1">
        <f t="array" ref="O1642">INDEX(stable[is_numerical],MATCH(VALUE(questions[[#This Row],[qno]]),VALUE(stable[qno]),0))</f>
        <v>0</v>
      </c>
      <c r="P1642" s="77" t="b" cm="1">
        <f t="array" ref="P1642">INDEX(stable[is_single_select],MATCH(VALUE(questions[[#This Row],[qno]]),VALUE(stable[qno]),0))</f>
        <v>0</v>
      </c>
      <c r="Q1642" s="77" t="b" cm="1">
        <f t="array" ref="Q1642">INDEX(stable[is_multi_select],MATCH(VALUE(questions[[#This Row],[qno]]),VALUE(stable[qno]),0))</f>
        <v>1</v>
      </c>
      <c r="R1642" s="77" t="b" cm="1">
        <f t="array" ref="R1642">INDEX(stable[is_skip_logic],MATCH(VALUE(questions[[#This Row],[qno]]),VALUE(stable[qno]),0))</f>
        <v>1</v>
      </c>
      <c r="S1642" s="77" t="str">
        <f>_xlfn.TEXTJOIN(", ",TRUE,questions[[#This Row],[ans_opt_1]:[ans_opt_14]])</f>
        <v>Coffee, Cropping, Livestock, Casual labor in agriculture, Casual labor off-farm, Other business, Salaried job, Pension, Remittances</v>
      </c>
      <c r="T1642" s="77" t="s">
        <v>292</v>
      </c>
      <c r="U1642" s="77" t="s">
        <v>293</v>
      </c>
      <c r="V1642" s="77" t="s">
        <v>294</v>
      </c>
      <c r="W1642" s="77" t="s">
        <v>295</v>
      </c>
      <c r="X1642" s="77" t="s">
        <v>296</v>
      </c>
      <c r="Y1642" s="77" t="s">
        <v>297</v>
      </c>
      <c r="Z1642" s="77" t="s">
        <v>298</v>
      </c>
      <c r="AA1642" s="77" t="s">
        <v>299</v>
      </c>
      <c r="AB1642" s="77" t="s">
        <v>300</v>
      </c>
      <c r="AH1642" s="98" t="b">
        <f>INDEX(stable[q_standard],MATCH(questions[[#This Row],[qno]],stable[qno],0))</f>
        <v>0</v>
      </c>
      <c r="AI1642" s="98" t="b">
        <f>INDEX(stable[q_living_income],MATCH(questions[[#This Row],[qno]],stable[qno],0))</f>
        <v>1</v>
      </c>
      <c r="AJ1642" s="98" t="b">
        <f>INDEX(stable[q_carbon],MATCH(questions[[#This Row],[qno]],stable[qno],0))</f>
        <v>0</v>
      </c>
      <c r="AK1642" s="98" t="b">
        <f>INDEX(stable[q_regen_ag],MATCH(questions[[#This Row],[qno]],stable[qno],0))</f>
        <v>0</v>
      </c>
      <c r="AL1642" s="98" t="b">
        <f>COUNTIFS(stable[qno],questions[[#This Row],[qno]])=1</f>
        <v>1</v>
      </c>
      <c r="AM1642" s="98" t="b">
        <f>OR(questions[[#This Row],[is_fixed]],questions[[#This Row],[is_localized]],questions[[#This Row],[is_supply_chain_dependent]])</f>
        <v>1</v>
      </c>
      <c r="AN1642" s="98" t="b">
        <f>COUNTIFS(questions[[#This Row],[is_automated]:[is_multi_select]],TRUE)=1</f>
        <v>1</v>
      </c>
      <c r="AO1642" s="98" t="b">
        <f>IF(questions[[#This Row],[is_fixed]],questions[[#This Row],[question]]=INDEX(stable[question],MATCH(questions[[#This Row],[qno]],stable[qno],0)),TRUE)</f>
        <v>1</v>
      </c>
      <c r="AP1642" s="98" t="str">
        <f>LEFT(questions[[#This Row],[question]],similarity_range)</f>
        <v>What are your source</v>
      </c>
      <c r="AQ1642" s="98" t="str">
        <f>LEFT(INDEX(stable[question],MATCH(questions[[#This Row],[qno]],stable[qno],0)),similarity_range)</f>
        <v>What are your source</v>
      </c>
      <c r="AR1642" s="98" t="b">
        <f>questions[[#This Row],[question_first_characters]]=questions[[#This Row],[stability_first_characters]]</f>
        <v>1</v>
      </c>
      <c r="AS1642" s="98" t="b">
        <f>IF(OR(questions[[#This Row],[is_single_select]],questions[[#This Row],[is_multi_select]]),NOT(ISBLANK(questions[[#This Row],[answer_opt_combined]])),TRUE)</f>
        <v>1</v>
      </c>
    </row>
    <row r="1643" spans="1:45" ht="15.75" customHeight="1" x14ac:dyDescent="0.25">
      <c r="A1643" s="9" t="str">
        <f>_xlfn.TEXTJOIN("_",TRUE,questions[[#This Row],[origin]:[qno]])</f>
        <v>Burundi_Arabica_IKAWA RES PROJECT_2026_6501</v>
      </c>
      <c r="B1643" s="9" t="s">
        <v>1057</v>
      </c>
      <c r="C1643" s="9" t="s">
        <v>59</v>
      </c>
      <c r="D1643" s="9" t="s">
        <v>1058</v>
      </c>
      <c r="E1643" s="33">
        <v>2026</v>
      </c>
      <c r="F1643" s="36" t="s">
        <v>301</v>
      </c>
      <c r="G1643" s="18" t="s">
        <v>1010</v>
      </c>
      <c r="H1643" s="9" t="str" cm="1">
        <f t="array" ref="H1643">INDEX(stableR[question],MATCH(VALUE(questions[[#This Row],[qno]]),VALUE(stableR[qno]),0))</f>
        <v>For each of the sources of income that you have, please estimate the importance in terms of income for last year, as compared to the total household income! (next questions)</v>
      </c>
      <c r="I1643" s="9" t="b" cm="1">
        <f t="array" ref="I1643">INDEX(stable[is_fixed],MATCH(VALUE(questions[[#This Row],[qno]]),VALUE(stable[qno]),0))</f>
        <v>1</v>
      </c>
      <c r="J1643" s="9" t="b" cm="1">
        <f t="array" ref="J1643">INDEX(stable[is_localized],MATCH(VALUE(questions[[#This Row],[qno]]),VALUE(stable[qno]),0))</f>
        <v>0</v>
      </c>
      <c r="K1643" s="9" t="b" cm="1">
        <f t="array" ref="K1643">INDEX(stable[is_supply_chain_dependent],MATCH(VALUE(questions[[#This Row],[qno]]),VALUE(stable[qno]),0))</f>
        <v>0</v>
      </c>
      <c r="L1643" s="9" t="b" cm="1">
        <f t="array" ref="L1643">INDEX(stable[is_mandatory],MATCH(VALUE(questions[[#This Row],[qno]]),VALUE(stable[qno]),0))</f>
        <v>1</v>
      </c>
      <c r="M1643" s="9" t="b" cm="1">
        <f t="array" ref="M1643">INDEX(stable[is_automated],MATCH(VALUE(questions[[#This Row],[qno]]),VALUE(stable[qno]),0))</f>
        <v>1</v>
      </c>
      <c r="N1643" s="9" t="b" cm="1">
        <f t="array" ref="N1643">INDEX(stable[is_free_text],MATCH(VALUE(questions[[#This Row],[qno]]),VALUE(stable[qno]),0))</f>
        <v>0</v>
      </c>
      <c r="O1643" s="9" t="b" cm="1">
        <f t="array" ref="O1643">INDEX(stable[is_numerical],MATCH(VALUE(questions[[#This Row],[qno]]),VALUE(stable[qno]),0))</f>
        <v>0</v>
      </c>
      <c r="P1643" s="9" t="b" cm="1">
        <f t="array" ref="P1643">INDEX(stable[is_single_select],MATCH(VALUE(questions[[#This Row],[qno]]),VALUE(stable[qno]),0))</f>
        <v>0</v>
      </c>
      <c r="Q1643" s="9" t="b" cm="1">
        <f t="array" ref="Q1643">INDEX(stable[is_multi_select],MATCH(VALUE(questions[[#This Row],[qno]]),VALUE(stable[qno]),0))</f>
        <v>0</v>
      </c>
      <c r="R1643" s="9" t="b" cm="1">
        <f t="array" ref="R1643">INDEX(stable[is_skip_logic],MATCH(VALUE(questions[[#This Row],[qno]]),VALUE(stable[qno]),0))</f>
        <v>0</v>
      </c>
      <c r="S1643" s="9" t="str">
        <f>_xlfn.TEXTJOIN(", ",TRUE,questions[[#This Row],[ans_opt_1]:[ans_opt_14]])</f>
        <v/>
      </c>
      <c r="AH1643" s="16" t="b">
        <f>INDEX(stable[q_standard],MATCH(questions[[#This Row],[qno]],stable[qno],0))</f>
        <v>0</v>
      </c>
      <c r="AI1643" s="16" t="b">
        <f>INDEX(stable[q_living_income],MATCH(questions[[#This Row],[qno]],stable[qno],0))</f>
        <v>1</v>
      </c>
      <c r="AJ1643" s="16" t="b">
        <f>INDEX(stable[q_carbon],MATCH(questions[[#This Row],[qno]],stable[qno],0))</f>
        <v>0</v>
      </c>
      <c r="AK1643" s="16" t="b">
        <f>INDEX(stable[q_regen_ag],MATCH(questions[[#This Row],[qno]],stable[qno],0))</f>
        <v>0</v>
      </c>
      <c r="AL1643" s="16" t="b">
        <f>COUNTIFS(stable[qno],questions[[#This Row],[qno]])=1</f>
        <v>1</v>
      </c>
      <c r="AM1643" s="16" t="b">
        <f>OR(questions[[#This Row],[is_fixed]],questions[[#This Row],[is_localized]],questions[[#This Row],[is_supply_chain_dependent]])</f>
        <v>1</v>
      </c>
      <c r="AN1643" s="16" t="b">
        <f>COUNTIFS(questions[[#This Row],[is_automated]:[is_multi_select]],TRUE)=1</f>
        <v>1</v>
      </c>
      <c r="AO1643" s="16" t="b">
        <f>IF(questions[[#This Row],[is_fixed]],questions[[#This Row],[question]]=INDEX(stable[question],MATCH(questions[[#This Row],[qno]],stable[qno],0)),TRUE)</f>
        <v>1</v>
      </c>
      <c r="AP1643" s="16" t="str">
        <f>LEFT(questions[[#This Row],[question]],similarity_range)</f>
        <v>For each of the sour</v>
      </c>
      <c r="AQ1643" s="16" t="str">
        <f>LEFT(INDEX(stable[question],MATCH(questions[[#This Row],[qno]],stable[qno],0)),similarity_range)</f>
        <v>For each of the sour</v>
      </c>
      <c r="AR1643" s="16" t="b">
        <f>questions[[#This Row],[question_first_characters]]=questions[[#This Row],[stability_first_characters]]</f>
        <v>1</v>
      </c>
      <c r="AS1643" s="16" t="b">
        <f>IF(OR(questions[[#This Row],[is_single_select]],questions[[#This Row],[is_multi_select]]),NOT(ISBLANK(questions[[#This Row],[answer_opt_combined]])),TRUE)</f>
        <v>1</v>
      </c>
    </row>
    <row r="1644" spans="1:45" s="77" customFormat="1" ht="15.75" customHeight="1" x14ac:dyDescent="0.25">
      <c r="A1644" s="77" t="str">
        <f>_xlfn.TEXTJOIN("_",TRUE,questions[[#This Row],[origin]:[qno]])</f>
        <v>Burundi_Arabica_IKAWA RES PROJECT_2026_6510</v>
      </c>
      <c r="B1644" s="77" t="s">
        <v>1057</v>
      </c>
      <c r="C1644" s="77" t="s">
        <v>59</v>
      </c>
      <c r="D1644" s="77" t="s">
        <v>1058</v>
      </c>
      <c r="E1644" s="77">
        <v>2026</v>
      </c>
      <c r="F1644" s="105" t="s">
        <v>303</v>
      </c>
      <c r="G1644" s="78" t="s">
        <v>304</v>
      </c>
      <c r="H1644" s="9" t="str" cm="1">
        <f t="array" ref="H1644">INDEX(stableR[question],MATCH(VALUE(questions[[#This Row],[qno]]),VALUE(stableR[qno]),0))</f>
        <v>Coffee, what was the estimated importance?</v>
      </c>
      <c r="I1644" s="9" t="b" cm="1">
        <f t="array" ref="I1644">INDEX(stable[is_fixed],MATCH(VALUE(questions[[#This Row],[qno]]),VALUE(stable[qno]),0))</f>
        <v>1</v>
      </c>
      <c r="J1644" s="9" t="b" cm="1">
        <f t="array" ref="J1644">INDEX(stable[is_localized],MATCH(VALUE(questions[[#This Row],[qno]]),VALUE(stable[qno]),0))</f>
        <v>0</v>
      </c>
      <c r="K1644" s="9" t="b" cm="1">
        <f t="array" ref="K1644">INDEX(stable[is_supply_chain_dependent],MATCH(VALUE(questions[[#This Row],[qno]]),VALUE(stable[qno]),0))</f>
        <v>0</v>
      </c>
      <c r="L1644" s="9" t="b" cm="1">
        <f t="array" ref="L1644">INDEX(stable[is_mandatory],MATCH(VALUE(questions[[#This Row],[qno]]),VALUE(stable[qno]),0))</f>
        <v>0</v>
      </c>
      <c r="M1644" s="9" t="b" cm="1">
        <f t="array" ref="M1644">INDEX(stable[is_automated],MATCH(VALUE(questions[[#This Row],[qno]]),VALUE(stable[qno]),0))</f>
        <v>0</v>
      </c>
      <c r="N1644" s="9" t="b" cm="1">
        <f t="array" ref="N1644">INDEX(stable[is_free_text],MATCH(VALUE(questions[[#This Row],[qno]]),VALUE(stable[qno]),0))</f>
        <v>0</v>
      </c>
      <c r="O1644" s="9" t="b" cm="1">
        <f t="array" ref="O1644">INDEX(stable[is_numerical],MATCH(VALUE(questions[[#This Row],[qno]]),VALUE(stable[qno]),0))</f>
        <v>0</v>
      </c>
      <c r="P1644" s="77" t="b" cm="1">
        <f t="array" ref="P1644">INDEX(stable[is_single_select],MATCH(VALUE(questions[[#This Row],[qno]]),VALUE(stable[qno]),0))</f>
        <v>1</v>
      </c>
      <c r="Q1644" s="77" t="b" cm="1">
        <f t="array" ref="Q1644">INDEX(stable[is_multi_select],MATCH(VALUE(questions[[#This Row],[qno]]),VALUE(stable[qno]),0))</f>
        <v>0</v>
      </c>
      <c r="R1644" s="77" t="b" cm="1">
        <f t="array" ref="R1644">INDEX(stable[is_skip_logic],MATCH(VALUE(questions[[#This Row],[qno]]),VALUE(stable[qno]),0))</f>
        <v>0</v>
      </c>
      <c r="S1644" s="77" t="str">
        <f>_xlfn.TEXTJOIN(", ",TRUE,questions[[#This Row],[ans_opt_1]:[ans_opt_14]])</f>
        <v>All or nearly all - 80-100%, More than half of it  - 60-80%, About half of it - 40-60%, Less than half of it - 20-40%, A small amount - 0-20%</v>
      </c>
      <c r="T1644" s="77" t="s">
        <v>305</v>
      </c>
      <c r="U1644" s="77" t="s">
        <v>306</v>
      </c>
      <c r="V1644" s="77" t="s">
        <v>307</v>
      </c>
      <c r="W1644" s="77" t="s">
        <v>308</v>
      </c>
      <c r="X1644" s="77" t="s">
        <v>309</v>
      </c>
      <c r="AH1644" s="98" t="b">
        <f>INDEX(stable[q_standard],MATCH(questions[[#This Row],[qno]],stable[qno],0))</f>
        <v>0</v>
      </c>
      <c r="AI1644" s="98" t="b">
        <f>INDEX(stable[q_living_income],MATCH(questions[[#This Row],[qno]],stable[qno],0))</f>
        <v>1</v>
      </c>
      <c r="AJ1644" s="98" t="b">
        <f>INDEX(stable[q_carbon],MATCH(questions[[#This Row],[qno]],stable[qno],0))</f>
        <v>0</v>
      </c>
      <c r="AK1644" s="98" t="b">
        <f>INDEX(stable[q_regen_ag],MATCH(questions[[#This Row],[qno]],stable[qno],0))</f>
        <v>0</v>
      </c>
      <c r="AL1644" s="98" t="b">
        <f>COUNTIFS(stable[qno],questions[[#This Row],[qno]])=1</f>
        <v>1</v>
      </c>
      <c r="AM1644" s="98" t="b">
        <f>OR(questions[[#This Row],[is_fixed]],questions[[#This Row],[is_localized]],questions[[#This Row],[is_supply_chain_dependent]])</f>
        <v>1</v>
      </c>
      <c r="AN1644" s="98" t="b">
        <f>COUNTIFS(questions[[#This Row],[is_automated]:[is_multi_select]],TRUE)=1</f>
        <v>1</v>
      </c>
      <c r="AO1644" s="98" t="b">
        <f>IF(questions[[#This Row],[is_fixed]],questions[[#This Row],[question]]=INDEX(stable[question],MATCH(questions[[#This Row],[qno]],stable[qno],0)),TRUE)</f>
        <v>1</v>
      </c>
      <c r="AP1644" s="98" t="str">
        <f>LEFT(questions[[#This Row],[question]],similarity_range)</f>
        <v>Coffee, what was the</v>
      </c>
      <c r="AQ1644" s="98" t="str">
        <f>LEFT(INDEX(stable[question],MATCH(questions[[#This Row],[qno]],stable[qno],0)),similarity_range)</f>
        <v>Coffee, what was the</v>
      </c>
      <c r="AR1644" s="98" t="b">
        <f>questions[[#This Row],[question_first_characters]]=questions[[#This Row],[stability_first_characters]]</f>
        <v>1</v>
      </c>
      <c r="AS1644" s="98" t="b">
        <f>IF(OR(questions[[#This Row],[is_single_select]],questions[[#This Row],[is_multi_select]]),NOT(ISBLANK(questions[[#This Row],[answer_opt_combined]])),TRUE)</f>
        <v>1</v>
      </c>
    </row>
    <row r="1645" spans="1:45" s="77" customFormat="1" ht="15.75" customHeight="1" x14ac:dyDescent="0.25">
      <c r="A1645" s="77" t="str">
        <f>_xlfn.TEXTJOIN("_",TRUE,questions[[#This Row],[origin]:[qno]])</f>
        <v>Burundi_Arabica_IKAWA RES PROJECT_2026_6511</v>
      </c>
      <c r="B1645" s="77" t="s">
        <v>1057</v>
      </c>
      <c r="C1645" s="77" t="s">
        <v>59</v>
      </c>
      <c r="D1645" s="77" t="s">
        <v>1058</v>
      </c>
      <c r="E1645" s="77">
        <v>2026</v>
      </c>
      <c r="F1645" s="105" t="s">
        <v>310</v>
      </c>
      <c r="G1645" s="78" t="s">
        <v>311</v>
      </c>
      <c r="H1645" s="9" t="str" cm="1">
        <f t="array" ref="H1645">INDEX(stableR[question],MATCH(VALUE(questions[[#This Row],[qno]]),VALUE(stableR[qno]),0))</f>
        <v>Cropping other than coffee, what was the estimated importance?</v>
      </c>
      <c r="I1645" s="9" t="b" cm="1">
        <f t="array" ref="I1645">INDEX(stable[is_fixed],MATCH(VALUE(questions[[#This Row],[qno]]),VALUE(stable[qno]),0))</f>
        <v>1</v>
      </c>
      <c r="J1645" s="9" t="b" cm="1">
        <f t="array" ref="J1645">INDEX(stable[is_localized],MATCH(VALUE(questions[[#This Row],[qno]]),VALUE(stable[qno]),0))</f>
        <v>0</v>
      </c>
      <c r="K1645" s="9" t="b" cm="1">
        <f t="array" ref="K1645">INDEX(stable[is_supply_chain_dependent],MATCH(VALUE(questions[[#This Row],[qno]]),VALUE(stable[qno]),0))</f>
        <v>0</v>
      </c>
      <c r="L1645" s="9" t="b" cm="1">
        <f t="array" ref="L1645">INDEX(stable[is_mandatory],MATCH(VALUE(questions[[#This Row],[qno]]),VALUE(stable[qno]),0))</f>
        <v>0</v>
      </c>
      <c r="M1645" s="9" t="b" cm="1">
        <f t="array" ref="M1645">INDEX(stable[is_automated],MATCH(VALUE(questions[[#This Row],[qno]]),VALUE(stable[qno]),0))</f>
        <v>0</v>
      </c>
      <c r="N1645" s="9" t="b" cm="1">
        <f t="array" ref="N1645">INDEX(stable[is_free_text],MATCH(VALUE(questions[[#This Row],[qno]]),VALUE(stable[qno]),0))</f>
        <v>0</v>
      </c>
      <c r="O1645" s="9" t="b" cm="1">
        <f t="array" ref="O1645">INDEX(stable[is_numerical],MATCH(VALUE(questions[[#This Row],[qno]]),VALUE(stable[qno]),0))</f>
        <v>0</v>
      </c>
      <c r="P1645" s="77" t="b" cm="1">
        <f t="array" ref="P1645">INDEX(stable[is_single_select],MATCH(VALUE(questions[[#This Row],[qno]]),VALUE(stable[qno]),0))</f>
        <v>1</v>
      </c>
      <c r="Q1645" s="77" t="b" cm="1">
        <f t="array" ref="Q1645">INDEX(stable[is_multi_select],MATCH(VALUE(questions[[#This Row],[qno]]),VALUE(stable[qno]),0))</f>
        <v>0</v>
      </c>
      <c r="R1645" s="77" t="b" cm="1">
        <f t="array" ref="R1645">INDEX(stable[is_skip_logic],MATCH(VALUE(questions[[#This Row],[qno]]),VALUE(stable[qno]),0))</f>
        <v>0</v>
      </c>
      <c r="S1645" s="77" t="str">
        <f>_xlfn.TEXTJOIN(", ",TRUE,questions[[#This Row],[ans_opt_1]:[ans_opt_14]])</f>
        <v>All or nearly all - 80-100%, More than half of it  - 60-80%, About half of it - 40-60%, Less than half of it - 20-40%, A small amount - 0-20%</v>
      </c>
      <c r="T1645" s="77" t="s">
        <v>305</v>
      </c>
      <c r="U1645" s="77" t="s">
        <v>306</v>
      </c>
      <c r="V1645" s="77" t="s">
        <v>307</v>
      </c>
      <c r="W1645" s="77" t="s">
        <v>308</v>
      </c>
      <c r="X1645" s="77" t="s">
        <v>309</v>
      </c>
      <c r="AH1645" s="98" t="b">
        <f>INDEX(stable[q_standard],MATCH(questions[[#This Row],[qno]],stable[qno],0))</f>
        <v>0</v>
      </c>
      <c r="AI1645" s="98" t="b">
        <f>INDEX(stable[q_living_income],MATCH(questions[[#This Row],[qno]],stable[qno],0))</f>
        <v>1</v>
      </c>
      <c r="AJ1645" s="98" t="b">
        <f>INDEX(stable[q_carbon],MATCH(questions[[#This Row],[qno]],stable[qno],0))</f>
        <v>0</v>
      </c>
      <c r="AK1645" s="98" t="b">
        <f>INDEX(stable[q_regen_ag],MATCH(questions[[#This Row],[qno]],stable[qno],0))</f>
        <v>0</v>
      </c>
      <c r="AL1645" s="98" t="b">
        <f>COUNTIFS(stable[qno],questions[[#This Row],[qno]])=1</f>
        <v>1</v>
      </c>
      <c r="AM1645" s="98" t="b">
        <f>OR(questions[[#This Row],[is_fixed]],questions[[#This Row],[is_localized]],questions[[#This Row],[is_supply_chain_dependent]])</f>
        <v>1</v>
      </c>
      <c r="AN1645" s="98" t="b">
        <f>COUNTIFS(questions[[#This Row],[is_automated]:[is_multi_select]],TRUE)=1</f>
        <v>1</v>
      </c>
      <c r="AO1645" s="98" t="b">
        <f>IF(questions[[#This Row],[is_fixed]],questions[[#This Row],[question]]=INDEX(stable[question],MATCH(questions[[#This Row],[qno]],stable[qno],0)),TRUE)</f>
        <v>1</v>
      </c>
      <c r="AP1645" s="98" t="str">
        <f>LEFT(questions[[#This Row],[question]],similarity_range)</f>
        <v xml:space="preserve">Cropping other than </v>
      </c>
      <c r="AQ1645" s="98" t="str">
        <f>LEFT(INDEX(stable[question],MATCH(questions[[#This Row],[qno]],stable[qno],0)),similarity_range)</f>
        <v xml:space="preserve">Cropping other than </v>
      </c>
      <c r="AR1645" s="98" t="b">
        <f>questions[[#This Row],[question_first_characters]]=questions[[#This Row],[stability_first_characters]]</f>
        <v>1</v>
      </c>
      <c r="AS1645" s="98" t="b">
        <f>IF(OR(questions[[#This Row],[is_single_select]],questions[[#This Row],[is_multi_select]]),NOT(ISBLANK(questions[[#This Row],[answer_opt_combined]])),TRUE)</f>
        <v>1</v>
      </c>
    </row>
    <row r="1646" spans="1:45" s="77" customFormat="1" ht="15.75" customHeight="1" x14ac:dyDescent="0.25">
      <c r="A1646" s="77" t="str">
        <f>_xlfn.TEXTJOIN("_",TRUE,questions[[#This Row],[origin]:[qno]])</f>
        <v>Burundi_Arabica_IKAWA RES PROJECT_2026_6512</v>
      </c>
      <c r="B1646" s="77" t="s">
        <v>1057</v>
      </c>
      <c r="C1646" s="77" t="s">
        <v>59</v>
      </c>
      <c r="D1646" s="77" t="s">
        <v>1058</v>
      </c>
      <c r="E1646" s="77">
        <v>2026</v>
      </c>
      <c r="F1646" s="105" t="s">
        <v>312</v>
      </c>
      <c r="G1646" s="78" t="s">
        <v>313</v>
      </c>
      <c r="H1646" s="9" t="str" cm="1">
        <f t="array" ref="H1646">INDEX(stableR[question],MATCH(VALUE(questions[[#This Row],[qno]]),VALUE(stableR[qno]),0))</f>
        <v>Livestock, what was the estimated importance?</v>
      </c>
      <c r="I1646" s="9" t="b" cm="1">
        <f t="array" ref="I1646">INDEX(stable[is_fixed],MATCH(VALUE(questions[[#This Row],[qno]]),VALUE(stable[qno]),0))</f>
        <v>1</v>
      </c>
      <c r="J1646" s="9" t="b" cm="1">
        <f t="array" ref="J1646">INDEX(stable[is_localized],MATCH(VALUE(questions[[#This Row],[qno]]),VALUE(stable[qno]),0))</f>
        <v>0</v>
      </c>
      <c r="K1646" s="9" t="b" cm="1">
        <f t="array" ref="K1646">INDEX(stable[is_supply_chain_dependent],MATCH(VALUE(questions[[#This Row],[qno]]),VALUE(stable[qno]),0))</f>
        <v>0</v>
      </c>
      <c r="L1646" s="9" t="b" cm="1">
        <f t="array" ref="L1646">INDEX(stable[is_mandatory],MATCH(VALUE(questions[[#This Row],[qno]]),VALUE(stable[qno]),0))</f>
        <v>0</v>
      </c>
      <c r="M1646" s="9" t="b" cm="1">
        <f t="array" ref="M1646">INDEX(stable[is_automated],MATCH(VALUE(questions[[#This Row],[qno]]),VALUE(stable[qno]),0))</f>
        <v>0</v>
      </c>
      <c r="N1646" s="9" t="b" cm="1">
        <f t="array" ref="N1646">INDEX(stable[is_free_text],MATCH(VALUE(questions[[#This Row],[qno]]),VALUE(stable[qno]),0))</f>
        <v>0</v>
      </c>
      <c r="O1646" s="9" t="b" cm="1">
        <f t="array" ref="O1646">INDEX(stable[is_numerical],MATCH(VALUE(questions[[#This Row],[qno]]),VALUE(stable[qno]),0))</f>
        <v>0</v>
      </c>
      <c r="P1646" s="77" t="b" cm="1">
        <f t="array" ref="P1646">INDEX(stable[is_single_select],MATCH(VALUE(questions[[#This Row],[qno]]),VALUE(stable[qno]),0))</f>
        <v>1</v>
      </c>
      <c r="Q1646" s="77" t="b" cm="1">
        <f t="array" ref="Q1646">INDEX(stable[is_multi_select],MATCH(VALUE(questions[[#This Row],[qno]]),VALUE(stable[qno]),0))</f>
        <v>0</v>
      </c>
      <c r="R1646" s="77" t="b" cm="1">
        <f t="array" ref="R1646">INDEX(stable[is_skip_logic],MATCH(VALUE(questions[[#This Row],[qno]]),VALUE(stable[qno]),0))</f>
        <v>0</v>
      </c>
      <c r="S1646" s="77" t="str">
        <f>_xlfn.TEXTJOIN(", ",TRUE,questions[[#This Row],[ans_opt_1]:[ans_opt_14]])</f>
        <v>All or nearly all - 80-100%, More than half of it  - 60-80%, About half of it - 40-60%, Less than half of it - 20-40%, A small amount - 0-20%</v>
      </c>
      <c r="T1646" s="77" t="s">
        <v>305</v>
      </c>
      <c r="U1646" s="77" t="s">
        <v>306</v>
      </c>
      <c r="V1646" s="77" t="s">
        <v>307</v>
      </c>
      <c r="W1646" s="77" t="s">
        <v>308</v>
      </c>
      <c r="X1646" s="77" t="s">
        <v>309</v>
      </c>
      <c r="AH1646" s="98" t="b">
        <f>INDEX(stable[q_standard],MATCH(questions[[#This Row],[qno]],stable[qno],0))</f>
        <v>0</v>
      </c>
      <c r="AI1646" s="98" t="b">
        <f>INDEX(stable[q_living_income],MATCH(questions[[#This Row],[qno]],stable[qno],0))</f>
        <v>1</v>
      </c>
      <c r="AJ1646" s="98" t="b">
        <f>INDEX(stable[q_carbon],MATCH(questions[[#This Row],[qno]],stable[qno],0))</f>
        <v>0</v>
      </c>
      <c r="AK1646" s="98" t="b">
        <f>INDEX(stable[q_regen_ag],MATCH(questions[[#This Row],[qno]],stable[qno],0))</f>
        <v>0</v>
      </c>
      <c r="AL1646" s="98" t="b">
        <f>COUNTIFS(stable[qno],questions[[#This Row],[qno]])=1</f>
        <v>1</v>
      </c>
      <c r="AM1646" s="98" t="b">
        <f>OR(questions[[#This Row],[is_fixed]],questions[[#This Row],[is_localized]],questions[[#This Row],[is_supply_chain_dependent]])</f>
        <v>1</v>
      </c>
      <c r="AN1646" s="98" t="b">
        <f>COUNTIFS(questions[[#This Row],[is_automated]:[is_multi_select]],TRUE)=1</f>
        <v>1</v>
      </c>
      <c r="AO1646" s="98" t="b">
        <f>IF(questions[[#This Row],[is_fixed]],questions[[#This Row],[question]]=INDEX(stable[question],MATCH(questions[[#This Row],[qno]],stable[qno],0)),TRUE)</f>
        <v>1</v>
      </c>
      <c r="AP1646" s="98" t="str">
        <f>LEFT(questions[[#This Row],[question]],similarity_range)</f>
        <v xml:space="preserve">Livestock, what was </v>
      </c>
      <c r="AQ1646" s="98" t="str">
        <f>LEFT(INDEX(stable[question],MATCH(questions[[#This Row],[qno]],stable[qno],0)),similarity_range)</f>
        <v xml:space="preserve">Livestock, what was </v>
      </c>
      <c r="AR1646" s="98" t="b">
        <f>questions[[#This Row],[question_first_characters]]=questions[[#This Row],[stability_first_characters]]</f>
        <v>1</v>
      </c>
      <c r="AS1646" s="98" t="b">
        <f>IF(OR(questions[[#This Row],[is_single_select]],questions[[#This Row],[is_multi_select]]),NOT(ISBLANK(questions[[#This Row],[answer_opt_combined]])),TRUE)</f>
        <v>1</v>
      </c>
    </row>
    <row r="1647" spans="1:45" s="77" customFormat="1" ht="15.75" customHeight="1" x14ac:dyDescent="0.25">
      <c r="A1647" s="77" t="str">
        <f>_xlfn.TEXTJOIN("_",TRUE,questions[[#This Row],[origin]:[qno]])</f>
        <v>Burundi_Arabica_IKAWA RES PROJECT_2026_6513</v>
      </c>
      <c r="B1647" s="77" t="s">
        <v>1057</v>
      </c>
      <c r="C1647" s="77" t="s">
        <v>59</v>
      </c>
      <c r="D1647" s="77" t="s">
        <v>1058</v>
      </c>
      <c r="E1647" s="77">
        <v>2026</v>
      </c>
      <c r="F1647" s="105" t="s">
        <v>314</v>
      </c>
      <c r="G1647" s="78" t="s">
        <v>315</v>
      </c>
      <c r="H1647" s="9" t="str" cm="1">
        <f t="array" ref="H1647">INDEX(stableR[question],MATCH(VALUE(questions[[#This Row],[qno]]),VALUE(stableR[qno]),0))</f>
        <v>Casual labor on other peoples farm, what was the estimated importance?</v>
      </c>
      <c r="I1647" s="9" t="b" cm="1">
        <f t="array" ref="I1647">INDEX(stable[is_fixed],MATCH(VALUE(questions[[#This Row],[qno]]),VALUE(stable[qno]),0))</f>
        <v>1</v>
      </c>
      <c r="J1647" s="9" t="b" cm="1">
        <f t="array" ref="J1647">INDEX(stable[is_localized],MATCH(VALUE(questions[[#This Row],[qno]]),VALUE(stable[qno]),0))</f>
        <v>0</v>
      </c>
      <c r="K1647" s="9" t="b" cm="1">
        <f t="array" ref="K1647">INDEX(stable[is_supply_chain_dependent],MATCH(VALUE(questions[[#This Row],[qno]]),VALUE(stable[qno]),0))</f>
        <v>0</v>
      </c>
      <c r="L1647" s="9" t="b" cm="1">
        <f t="array" ref="L1647">INDEX(stable[is_mandatory],MATCH(VALUE(questions[[#This Row],[qno]]),VALUE(stable[qno]),0))</f>
        <v>0</v>
      </c>
      <c r="M1647" s="9" t="b" cm="1">
        <f t="array" ref="M1647">INDEX(stable[is_automated],MATCH(VALUE(questions[[#This Row],[qno]]),VALUE(stable[qno]),0))</f>
        <v>0</v>
      </c>
      <c r="N1647" s="9" t="b" cm="1">
        <f t="array" ref="N1647">INDEX(stable[is_free_text],MATCH(VALUE(questions[[#This Row],[qno]]),VALUE(stable[qno]),0))</f>
        <v>0</v>
      </c>
      <c r="O1647" s="9" t="b" cm="1">
        <f t="array" ref="O1647">INDEX(stable[is_numerical],MATCH(VALUE(questions[[#This Row],[qno]]),VALUE(stable[qno]),0))</f>
        <v>0</v>
      </c>
      <c r="P1647" s="77" t="b" cm="1">
        <f t="array" ref="P1647">INDEX(stable[is_single_select],MATCH(VALUE(questions[[#This Row],[qno]]),VALUE(stable[qno]),0))</f>
        <v>1</v>
      </c>
      <c r="Q1647" s="77" t="b" cm="1">
        <f t="array" ref="Q1647">INDEX(stable[is_multi_select],MATCH(VALUE(questions[[#This Row],[qno]]),VALUE(stable[qno]),0))</f>
        <v>0</v>
      </c>
      <c r="R1647" s="77" t="b" cm="1">
        <f t="array" ref="R1647">INDEX(stable[is_skip_logic],MATCH(VALUE(questions[[#This Row],[qno]]),VALUE(stable[qno]),0))</f>
        <v>0</v>
      </c>
      <c r="S1647" s="77" t="str">
        <f>_xlfn.TEXTJOIN(", ",TRUE,questions[[#This Row],[ans_opt_1]:[ans_opt_14]])</f>
        <v>All or nearly all - 80-100%, More than half of it  - 60-80%, About half of it - 40-60%, Less than half of it - 20-40%, A small amount - 0-20%</v>
      </c>
      <c r="T1647" s="77" t="s">
        <v>305</v>
      </c>
      <c r="U1647" s="77" t="s">
        <v>306</v>
      </c>
      <c r="V1647" s="77" t="s">
        <v>307</v>
      </c>
      <c r="W1647" s="77" t="s">
        <v>308</v>
      </c>
      <c r="X1647" s="77" t="s">
        <v>309</v>
      </c>
      <c r="AH1647" s="98" t="b">
        <f>INDEX(stable[q_standard],MATCH(questions[[#This Row],[qno]],stable[qno],0))</f>
        <v>0</v>
      </c>
      <c r="AI1647" s="98" t="b">
        <f>INDEX(stable[q_living_income],MATCH(questions[[#This Row],[qno]],stable[qno],0))</f>
        <v>1</v>
      </c>
      <c r="AJ1647" s="98" t="b">
        <f>INDEX(stable[q_carbon],MATCH(questions[[#This Row],[qno]],stable[qno],0))</f>
        <v>0</v>
      </c>
      <c r="AK1647" s="98" t="b">
        <f>INDEX(stable[q_regen_ag],MATCH(questions[[#This Row],[qno]],stable[qno],0))</f>
        <v>0</v>
      </c>
      <c r="AL1647" s="98" t="b">
        <f>COUNTIFS(stable[qno],questions[[#This Row],[qno]])=1</f>
        <v>1</v>
      </c>
      <c r="AM1647" s="98" t="b">
        <f>OR(questions[[#This Row],[is_fixed]],questions[[#This Row],[is_localized]],questions[[#This Row],[is_supply_chain_dependent]])</f>
        <v>1</v>
      </c>
      <c r="AN1647" s="98" t="b">
        <f>COUNTIFS(questions[[#This Row],[is_automated]:[is_multi_select]],TRUE)=1</f>
        <v>1</v>
      </c>
      <c r="AO1647" s="98" t="b">
        <f>IF(questions[[#This Row],[is_fixed]],questions[[#This Row],[question]]=INDEX(stable[question],MATCH(questions[[#This Row],[qno]],stable[qno],0)),TRUE)</f>
        <v>1</v>
      </c>
      <c r="AP1647" s="98" t="str">
        <f>LEFT(questions[[#This Row],[question]],similarity_range)</f>
        <v>Casual labor on othe</v>
      </c>
      <c r="AQ1647" s="98" t="str">
        <f>LEFT(INDEX(stable[question],MATCH(questions[[#This Row],[qno]],stable[qno],0)),similarity_range)</f>
        <v>Casual labor on othe</v>
      </c>
      <c r="AR1647" s="98" t="b">
        <f>questions[[#This Row],[question_first_characters]]=questions[[#This Row],[stability_first_characters]]</f>
        <v>1</v>
      </c>
      <c r="AS1647" s="98" t="b">
        <f>IF(OR(questions[[#This Row],[is_single_select]],questions[[#This Row],[is_multi_select]]),NOT(ISBLANK(questions[[#This Row],[answer_opt_combined]])),TRUE)</f>
        <v>1</v>
      </c>
    </row>
    <row r="1648" spans="1:45" s="77" customFormat="1" ht="15.75" customHeight="1" x14ac:dyDescent="0.25">
      <c r="A1648" s="77" t="str">
        <f>_xlfn.TEXTJOIN("_",TRUE,questions[[#This Row],[origin]:[qno]])</f>
        <v>Burundi_Arabica_IKAWA RES PROJECT_2026_6514</v>
      </c>
      <c r="B1648" s="77" t="s">
        <v>1057</v>
      </c>
      <c r="C1648" s="77" t="s">
        <v>59</v>
      </c>
      <c r="D1648" s="77" t="s">
        <v>1058</v>
      </c>
      <c r="E1648" s="77">
        <v>2026</v>
      </c>
      <c r="F1648" s="105" t="s">
        <v>316</v>
      </c>
      <c r="G1648" s="78" t="s">
        <v>317</v>
      </c>
      <c r="H1648" s="9" t="str" cm="1">
        <f t="array" ref="H1648">INDEX(stableR[question],MATCH(VALUE(questions[[#This Row],[qno]]),VALUE(stableR[qno]),0))</f>
        <v>Casual labor off-farm, what was the estimated importance?</v>
      </c>
      <c r="I1648" s="9" t="b" cm="1">
        <f t="array" ref="I1648">INDEX(stable[is_fixed],MATCH(VALUE(questions[[#This Row],[qno]]),VALUE(stable[qno]),0))</f>
        <v>1</v>
      </c>
      <c r="J1648" s="9" t="b" cm="1">
        <f t="array" ref="J1648">INDEX(stable[is_localized],MATCH(VALUE(questions[[#This Row],[qno]]),VALUE(stable[qno]),0))</f>
        <v>0</v>
      </c>
      <c r="K1648" s="9" t="b" cm="1">
        <f t="array" ref="K1648">INDEX(stable[is_supply_chain_dependent],MATCH(VALUE(questions[[#This Row],[qno]]),VALUE(stable[qno]),0))</f>
        <v>0</v>
      </c>
      <c r="L1648" s="9" t="b" cm="1">
        <f t="array" ref="L1648">INDEX(stable[is_mandatory],MATCH(VALUE(questions[[#This Row],[qno]]),VALUE(stable[qno]),0))</f>
        <v>0</v>
      </c>
      <c r="M1648" s="9" t="b" cm="1">
        <f t="array" ref="M1648">INDEX(stable[is_automated],MATCH(VALUE(questions[[#This Row],[qno]]),VALUE(stable[qno]),0))</f>
        <v>0</v>
      </c>
      <c r="N1648" s="9" t="b" cm="1">
        <f t="array" ref="N1648">INDEX(stable[is_free_text],MATCH(VALUE(questions[[#This Row],[qno]]),VALUE(stable[qno]),0))</f>
        <v>0</v>
      </c>
      <c r="O1648" s="9" t="b" cm="1">
        <f t="array" ref="O1648">INDEX(stable[is_numerical],MATCH(VALUE(questions[[#This Row],[qno]]),VALUE(stable[qno]),0))</f>
        <v>0</v>
      </c>
      <c r="P1648" s="77" t="b" cm="1">
        <f t="array" ref="P1648">INDEX(stable[is_single_select],MATCH(VALUE(questions[[#This Row],[qno]]),VALUE(stable[qno]),0))</f>
        <v>1</v>
      </c>
      <c r="Q1648" s="77" t="b" cm="1">
        <f t="array" ref="Q1648">INDEX(stable[is_multi_select],MATCH(VALUE(questions[[#This Row],[qno]]),VALUE(stable[qno]),0))</f>
        <v>0</v>
      </c>
      <c r="R1648" s="77" t="b" cm="1">
        <f t="array" ref="R1648">INDEX(stable[is_skip_logic],MATCH(VALUE(questions[[#This Row],[qno]]),VALUE(stable[qno]),0))</f>
        <v>0</v>
      </c>
      <c r="S1648" s="77" t="str">
        <f>_xlfn.TEXTJOIN(", ",TRUE,questions[[#This Row],[ans_opt_1]:[ans_opt_14]])</f>
        <v>All or nearly all - 80-100%, More than half of it  - 60-80%, About half of it - 40-60%, Less than half of it - 20-40%, A small amount - 0-20%</v>
      </c>
      <c r="T1648" s="77" t="s">
        <v>305</v>
      </c>
      <c r="U1648" s="77" t="s">
        <v>306</v>
      </c>
      <c r="V1648" s="77" t="s">
        <v>307</v>
      </c>
      <c r="W1648" s="77" t="s">
        <v>308</v>
      </c>
      <c r="X1648" s="77" t="s">
        <v>309</v>
      </c>
      <c r="AH1648" s="98" t="b">
        <f>INDEX(stable[q_standard],MATCH(questions[[#This Row],[qno]],stable[qno],0))</f>
        <v>0</v>
      </c>
      <c r="AI1648" s="98" t="b">
        <f>INDEX(stable[q_living_income],MATCH(questions[[#This Row],[qno]],stable[qno],0))</f>
        <v>1</v>
      </c>
      <c r="AJ1648" s="98" t="b">
        <f>INDEX(stable[q_carbon],MATCH(questions[[#This Row],[qno]],stable[qno],0))</f>
        <v>0</v>
      </c>
      <c r="AK1648" s="98" t="b">
        <f>INDEX(stable[q_regen_ag],MATCH(questions[[#This Row],[qno]],stable[qno],0))</f>
        <v>0</v>
      </c>
      <c r="AL1648" s="98" t="b">
        <f>COUNTIFS(stable[qno],questions[[#This Row],[qno]])=1</f>
        <v>1</v>
      </c>
      <c r="AM1648" s="98" t="b">
        <f>OR(questions[[#This Row],[is_fixed]],questions[[#This Row],[is_localized]],questions[[#This Row],[is_supply_chain_dependent]])</f>
        <v>1</v>
      </c>
      <c r="AN1648" s="98" t="b">
        <f>COUNTIFS(questions[[#This Row],[is_automated]:[is_multi_select]],TRUE)=1</f>
        <v>1</v>
      </c>
      <c r="AO1648" s="98" t="b">
        <f>IF(questions[[#This Row],[is_fixed]],questions[[#This Row],[question]]=INDEX(stable[question],MATCH(questions[[#This Row],[qno]],stable[qno],0)),TRUE)</f>
        <v>1</v>
      </c>
      <c r="AP1648" s="98" t="str">
        <f>LEFT(questions[[#This Row],[question]],similarity_range)</f>
        <v>Casual labor off-far</v>
      </c>
      <c r="AQ1648" s="98" t="str">
        <f>LEFT(INDEX(stable[question],MATCH(questions[[#This Row],[qno]],stable[qno],0)),similarity_range)</f>
        <v>Casual labor off-far</v>
      </c>
      <c r="AR1648" s="98" t="b">
        <f>questions[[#This Row],[question_first_characters]]=questions[[#This Row],[stability_first_characters]]</f>
        <v>1</v>
      </c>
      <c r="AS1648" s="98" t="b">
        <f>IF(OR(questions[[#This Row],[is_single_select]],questions[[#This Row],[is_multi_select]]),NOT(ISBLANK(questions[[#This Row],[answer_opt_combined]])),TRUE)</f>
        <v>1</v>
      </c>
    </row>
    <row r="1649" spans="1:45" s="77" customFormat="1" ht="15.75" customHeight="1" x14ac:dyDescent="0.25">
      <c r="A1649" s="77" t="str">
        <f>_xlfn.TEXTJOIN("_",TRUE,questions[[#This Row],[origin]:[qno]])</f>
        <v>Burundi_Arabica_IKAWA RES PROJECT_2026_6515</v>
      </c>
      <c r="B1649" s="77" t="s">
        <v>1057</v>
      </c>
      <c r="C1649" s="77" t="s">
        <v>59</v>
      </c>
      <c r="D1649" s="77" t="s">
        <v>1058</v>
      </c>
      <c r="E1649" s="77">
        <v>2026</v>
      </c>
      <c r="F1649" s="105" t="s">
        <v>318</v>
      </c>
      <c r="G1649" s="78" t="s">
        <v>319</v>
      </c>
      <c r="H1649" s="9" t="str" cm="1">
        <f t="array" ref="H1649">INDEX(stableR[question],MATCH(VALUE(questions[[#This Row],[qno]]),VALUE(stableR[qno]),0))</f>
        <v>Other business, what was the estimated importance?</v>
      </c>
      <c r="I1649" s="9" t="b" cm="1">
        <f t="array" ref="I1649">INDEX(stable[is_fixed],MATCH(VALUE(questions[[#This Row],[qno]]),VALUE(stable[qno]),0))</f>
        <v>1</v>
      </c>
      <c r="J1649" s="9" t="b" cm="1">
        <f t="array" ref="J1649">INDEX(stable[is_localized],MATCH(VALUE(questions[[#This Row],[qno]]),VALUE(stable[qno]),0))</f>
        <v>0</v>
      </c>
      <c r="K1649" s="9" t="b" cm="1">
        <f t="array" ref="K1649">INDEX(stable[is_supply_chain_dependent],MATCH(VALUE(questions[[#This Row],[qno]]),VALUE(stable[qno]),0))</f>
        <v>0</v>
      </c>
      <c r="L1649" s="9" t="b" cm="1">
        <f t="array" ref="L1649">INDEX(stable[is_mandatory],MATCH(VALUE(questions[[#This Row],[qno]]),VALUE(stable[qno]),0))</f>
        <v>0</v>
      </c>
      <c r="M1649" s="9" t="b" cm="1">
        <f t="array" ref="M1649">INDEX(stable[is_automated],MATCH(VALUE(questions[[#This Row],[qno]]),VALUE(stable[qno]),0))</f>
        <v>0</v>
      </c>
      <c r="N1649" s="9" t="b" cm="1">
        <f t="array" ref="N1649">INDEX(stable[is_free_text],MATCH(VALUE(questions[[#This Row],[qno]]),VALUE(stable[qno]),0))</f>
        <v>0</v>
      </c>
      <c r="O1649" s="9" t="b" cm="1">
        <f t="array" ref="O1649">INDEX(stable[is_numerical],MATCH(VALUE(questions[[#This Row],[qno]]),VALUE(stable[qno]),0))</f>
        <v>0</v>
      </c>
      <c r="P1649" s="77" t="b" cm="1">
        <f t="array" ref="P1649">INDEX(stable[is_single_select],MATCH(VALUE(questions[[#This Row],[qno]]),VALUE(stable[qno]),0))</f>
        <v>1</v>
      </c>
      <c r="Q1649" s="77" t="b" cm="1">
        <f t="array" ref="Q1649">INDEX(stable[is_multi_select],MATCH(VALUE(questions[[#This Row],[qno]]),VALUE(stable[qno]),0))</f>
        <v>0</v>
      </c>
      <c r="R1649" s="77" t="b" cm="1">
        <f t="array" ref="R1649">INDEX(stable[is_skip_logic],MATCH(VALUE(questions[[#This Row],[qno]]),VALUE(stable[qno]),0))</f>
        <v>0</v>
      </c>
      <c r="S1649" s="77" t="str">
        <f>_xlfn.TEXTJOIN(", ",TRUE,questions[[#This Row],[ans_opt_1]:[ans_opt_14]])</f>
        <v>All or nearly all - 80-100%, More than half of it  - 60-80%, About half of it - 40-60%, Less than half of it - 20-40%, A small amount - 0-20%</v>
      </c>
      <c r="T1649" s="77" t="s">
        <v>305</v>
      </c>
      <c r="U1649" s="77" t="s">
        <v>306</v>
      </c>
      <c r="V1649" s="77" t="s">
        <v>307</v>
      </c>
      <c r="W1649" s="77" t="s">
        <v>308</v>
      </c>
      <c r="X1649" s="77" t="s">
        <v>309</v>
      </c>
      <c r="AH1649" s="98" t="b">
        <f>INDEX(stable[q_standard],MATCH(questions[[#This Row],[qno]],stable[qno],0))</f>
        <v>0</v>
      </c>
      <c r="AI1649" s="98" t="b">
        <f>INDEX(stable[q_living_income],MATCH(questions[[#This Row],[qno]],stable[qno],0))</f>
        <v>1</v>
      </c>
      <c r="AJ1649" s="98" t="b">
        <f>INDEX(stable[q_carbon],MATCH(questions[[#This Row],[qno]],stable[qno],0))</f>
        <v>0</v>
      </c>
      <c r="AK1649" s="98" t="b">
        <f>INDEX(stable[q_regen_ag],MATCH(questions[[#This Row],[qno]],stable[qno],0))</f>
        <v>0</v>
      </c>
      <c r="AL1649" s="98" t="b">
        <f>COUNTIFS(stable[qno],questions[[#This Row],[qno]])=1</f>
        <v>1</v>
      </c>
      <c r="AM1649" s="98" t="b">
        <f>OR(questions[[#This Row],[is_fixed]],questions[[#This Row],[is_localized]],questions[[#This Row],[is_supply_chain_dependent]])</f>
        <v>1</v>
      </c>
      <c r="AN1649" s="98" t="b">
        <f>COUNTIFS(questions[[#This Row],[is_automated]:[is_multi_select]],TRUE)=1</f>
        <v>1</v>
      </c>
      <c r="AO1649" s="98" t="b">
        <f>IF(questions[[#This Row],[is_fixed]],questions[[#This Row],[question]]=INDEX(stable[question],MATCH(questions[[#This Row],[qno]],stable[qno],0)),TRUE)</f>
        <v>1</v>
      </c>
      <c r="AP1649" s="98" t="str">
        <f>LEFT(questions[[#This Row],[question]],similarity_range)</f>
        <v>Other business, what</v>
      </c>
      <c r="AQ1649" s="98" t="str">
        <f>LEFT(INDEX(stable[question],MATCH(questions[[#This Row],[qno]],stable[qno],0)),similarity_range)</f>
        <v>Other business, what</v>
      </c>
      <c r="AR1649" s="98" t="b">
        <f>questions[[#This Row],[question_first_characters]]=questions[[#This Row],[stability_first_characters]]</f>
        <v>1</v>
      </c>
      <c r="AS1649" s="98" t="b">
        <f>IF(OR(questions[[#This Row],[is_single_select]],questions[[#This Row],[is_multi_select]]),NOT(ISBLANK(questions[[#This Row],[answer_opt_combined]])),TRUE)</f>
        <v>1</v>
      </c>
    </row>
    <row r="1650" spans="1:45" s="77" customFormat="1" ht="15.75" customHeight="1" x14ac:dyDescent="0.25">
      <c r="A1650" s="77" t="str">
        <f>_xlfn.TEXTJOIN("_",TRUE,questions[[#This Row],[origin]:[qno]])</f>
        <v>Burundi_Arabica_IKAWA RES PROJECT_2026_6516</v>
      </c>
      <c r="B1650" s="77" t="s">
        <v>1057</v>
      </c>
      <c r="C1650" s="77" t="s">
        <v>59</v>
      </c>
      <c r="D1650" s="77" t="s">
        <v>1058</v>
      </c>
      <c r="E1650" s="77">
        <v>2026</v>
      </c>
      <c r="F1650" s="105" t="s">
        <v>320</v>
      </c>
      <c r="G1650" s="78" t="s">
        <v>321</v>
      </c>
      <c r="H1650" s="9" t="str" cm="1">
        <f t="array" ref="H1650">INDEX(stableR[question],MATCH(VALUE(questions[[#This Row],[qno]]),VALUE(stableR[qno]),0))</f>
        <v>Salaried job, what was the estimated importance?</v>
      </c>
      <c r="I1650" s="9" t="b" cm="1">
        <f t="array" ref="I1650">INDEX(stable[is_fixed],MATCH(VALUE(questions[[#This Row],[qno]]),VALUE(stable[qno]),0))</f>
        <v>1</v>
      </c>
      <c r="J1650" s="9" t="b" cm="1">
        <f t="array" ref="J1650">INDEX(stable[is_localized],MATCH(VALUE(questions[[#This Row],[qno]]),VALUE(stable[qno]),0))</f>
        <v>0</v>
      </c>
      <c r="K1650" s="9" t="b" cm="1">
        <f t="array" ref="K1650">INDEX(stable[is_supply_chain_dependent],MATCH(VALUE(questions[[#This Row],[qno]]),VALUE(stable[qno]),0))</f>
        <v>0</v>
      </c>
      <c r="L1650" s="9" t="b" cm="1">
        <f t="array" ref="L1650">INDEX(stable[is_mandatory],MATCH(VALUE(questions[[#This Row],[qno]]),VALUE(stable[qno]),0))</f>
        <v>0</v>
      </c>
      <c r="M1650" s="9" t="b" cm="1">
        <f t="array" ref="M1650">INDEX(stable[is_automated],MATCH(VALUE(questions[[#This Row],[qno]]),VALUE(stable[qno]),0))</f>
        <v>0</v>
      </c>
      <c r="N1650" s="9" t="b" cm="1">
        <f t="array" ref="N1650">INDEX(stable[is_free_text],MATCH(VALUE(questions[[#This Row],[qno]]),VALUE(stable[qno]),0))</f>
        <v>0</v>
      </c>
      <c r="O1650" s="9" t="b" cm="1">
        <f t="array" ref="O1650">INDEX(stable[is_numerical],MATCH(VALUE(questions[[#This Row],[qno]]),VALUE(stable[qno]),0))</f>
        <v>0</v>
      </c>
      <c r="P1650" s="77" t="b" cm="1">
        <f t="array" ref="P1650">INDEX(stable[is_single_select],MATCH(VALUE(questions[[#This Row],[qno]]),VALUE(stable[qno]),0))</f>
        <v>1</v>
      </c>
      <c r="Q1650" s="77" t="b" cm="1">
        <f t="array" ref="Q1650">INDEX(stable[is_multi_select],MATCH(VALUE(questions[[#This Row],[qno]]),VALUE(stable[qno]),0))</f>
        <v>0</v>
      </c>
      <c r="R1650" s="77" t="b" cm="1">
        <f t="array" ref="R1650">INDEX(stable[is_skip_logic],MATCH(VALUE(questions[[#This Row],[qno]]),VALUE(stable[qno]),0))</f>
        <v>0</v>
      </c>
      <c r="S1650" s="77" t="str">
        <f>_xlfn.TEXTJOIN(", ",TRUE,questions[[#This Row],[ans_opt_1]:[ans_opt_14]])</f>
        <v>All or nearly all - 80-100%, More than half of it  - 60-80%, About half of it - 40-60%, Less than half of it - 20-40%, A small amount - 0-20%</v>
      </c>
      <c r="T1650" s="77" t="s">
        <v>305</v>
      </c>
      <c r="U1650" s="77" t="s">
        <v>306</v>
      </c>
      <c r="V1650" s="77" t="s">
        <v>307</v>
      </c>
      <c r="W1650" s="77" t="s">
        <v>308</v>
      </c>
      <c r="X1650" s="77" t="s">
        <v>309</v>
      </c>
      <c r="AH1650" s="98" t="b">
        <f>INDEX(stable[q_standard],MATCH(questions[[#This Row],[qno]],stable[qno],0))</f>
        <v>0</v>
      </c>
      <c r="AI1650" s="98" t="b">
        <f>INDEX(stable[q_living_income],MATCH(questions[[#This Row],[qno]],stable[qno],0))</f>
        <v>1</v>
      </c>
      <c r="AJ1650" s="98" t="b">
        <f>INDEX(stable[q_carbon],MATCH(questions[[#This Row],[qno]],stable[qno],0))</f>
        <v>0</v>
      </c>
      <c r="AK1650" s="98" t="b">
        <f>INDEX(stable[q_regen_ag],MATCH(questions[[#This Row],[qno]],stable[qno],0))</f>
        <v>0</v>
      </c>
      <c r="AL1650" s="98" t="b">
        <f>COUNTIFS(stable[qno],questions[[#This Row],[qno]])=1</f>
        <v>1</v>
      </c>
      <c r="AM1650" s="98" t="b">
        <f>OR(questions[[#This Row],[is_fixed]],questions[[#This Row],[is_localized]],questions[[#This Row],[is_supply_chain_dependent]])</f>
        <v>1</v>
      </c>
      <c r="AN1650" s="98" t="b">
        <f>COUNTIFS(questions[[#This Row],[is_automated]:[is_multi_select]],TRUE)=1</f>
        <v>1</v>
      </c>
      <c r="AO1650" s="98" t="b">
        <f>IF(questions[[#This Row],[is_fixed]],questions[[#This Row],[question]]=INDEX(stable[question],MATCH(questions[[#This Row],[qno]],stable[qno],0)),TRUE)</f>
        <v>1</v>
      </c>
      <c r="AP1650" s="98" t="str">
        <f>LEFT(questions[[#This Row],[question]],similarity_range)</f>
        <v>Salaried job, what w</v>
      </c>
      <c r="AQ1650" s="98" t="str">
        <f>LEFT(INDEX(stable[question],MATCH(questions[[#This Row],[qno]],stable[qno],0)),similarity_range)</f>
        <v>Salaried job, what w</v>
      </c>
      <c r="AR1650" s="98" t="b">
        <f>questions[[#This Row],[question_first_characters]]=questions[[#This Row],[stability_first_characters]]</f>
        <v>1</v>
      </c>
      <c r="AS1650" s="98" t="b">
        <f>IF(OR(questions[[#This Row],[is_single_select]],questions[[#This Row],[is_multi_select]]),NOT(ISBLANK(questions[[#This Row],[answer_opt_combined]])),TRUE)</f>
        <v>1</v>
      </c>
    </row>
    <row r="1651" spans="1:45" s="77" customFormat="1" ht="15.75" customHeight="1" x14ac:dyDescent="0.25">
      <c r="A1651" s="77" t="str">
        <f>_xlfn.TEXTJOIN("_",TRUE,questions[[#This Row],[origin]:[qno]])</f>
        <v>Burundi_Arabica_IKAWA RES PROJECT_2026_6517</v>
      </c>
      <c r="B1651" s="77" t="s">
        <v>1057</v>
      </c>
      <c r="C1651" s="77" t="s">
        <v>59</v>
      </c>
      <c r="D1651" s="77" t="s">
        <v>1058</v>
      </c>
      <c r="E1651" s="77">
        <v>2026</v>
      </c>
      <c r="F1651" s="105" t="s">
        <v>322</v>
      </c>
      <c r="G1651" s="78" t="s">
        <v>323</v>
      </c>
      <c r="H1651" s="9" t="str" cm="1">
        <f t="array" ref="H1651">INDEX(stableR[question],MATCH(VALUE(questions[[#This Row],[qno]]),VALUE(stableR[qno]),0))</f>
        <v>Pension, what was the estimated importance?</v>
      </c>
      <c r="I1651" s="9" t="b" cm="1">
        <f t="array" ref="I1651">INDEX(stable[is_fixed],MATCH(VALUE(questions[[#This Row],[qno]]),VALUE(stable[qno]),0))</f>
        <v>1</v>
      </c>
      <c r="J1651" s="9" t="b" cm="1">
        <f t="array" ref="J1651">INDEX(stable[is_localized],MATCH(VALUE(questions[[#This Row],[qno]]),VALUE(stable[qno]),0))</f>
        <v>0</v>
      </c>
      <c r="K1651" s="9" t="b" cm="1">
        <f t="array" ref="K1651">INDEX(stable[is_supply_chain_dependent],MATCH(VALUE(questions[[#This Row],[qno]]),VALUE(stable[qno]),0))</f>
        <v>0</v>
      </c>
      <c r="L1651" s="9" t="b" cm="1">
        <f t="array" ref="L1651">INDEX(stable[is_mandatory],MATCH(VALUE(questions[[#This Row],[qno]]),VALUE(stable[qno]),0))</f>
        <v>0</v>
      </c>
      <c r="M1651" s="9" t="b" cm="1">
        <f t="array" ref="M1651">INDEX(stable[is_automated],MATCH(VALUE(questions[[#This Row],[qno]]),VALUE(stable[qno]),0))</f>
        <v>0</v>
      </c>
      <c r="N1651" s="9" t="b" cm="1">
        <f t="array" ref="N1651">INDEX(stable[is_free_text],MATCH(VALUE(questions[[#This Row],[qno]]),VALUE(stable[qno]),0))</f>
        <v>0</v>
      </c>
      <c r="O1651" s="9" t="b" cm="1">
        <f t="array" ref="O1651">INDEX(stable[is_numerical],MATCH(VALUE(questions[[#This Row],[qno]]),VALUE(stable[qno]),0))</f>
        <v>0</v>
      </c>
      <c r="P1651" s="77" t="b" cm="1">
        <f t="array" ref="P1651">INDEX(stable[is_single_select],MATCH(VALUE(questions[[#This Row],[qno]]),VALUE(stable[qno]),0))</f>
        <v>1</v>
      </c>
      <c r="Q1651" s="77" t="b" cm="1">
        <f t="array" ref="Q1651">INDEX(stable[is_multi_select],MATCH(VALUE(questions[[#This Row],[qno]]),VALUE(stable[qno]),0))</f>
        <v>0</v>
      </c>
      <c r="R1651" s="77" t="b" cm="1">
        <f t="array" ref="R1651">INDEX(stable[is_skip_logic],MATCH(VALUE(questions[[#This Row],[qno]]),VALUE(stable[qno]),0))</f>
        <v>0</v>
      </c>
      <c r="S1651" s="77" t="str">
        <f>_xlfn.TEXTJOIN(", ",TRUE,questions[[#This Row],[ans_opt_1]:[ans_opt_14]])</f>
        <v>All or nearly all - 80-100%, More than half of it  - 60-80%, About half of it - 40-60%, Less than half of it - 20-40%, A small amount - 0-20%</v>
      </c>
      <c r="T1651" s="77" t="s">
        <v>305</v>
      </c>
      <c r="U1651" s="77" t="s">
        <v>306</v>
      </c>
      <c r="V1651" s="77" t="s">
        <v>307</v>
      </c>
      <c r="W1651" s="77" t="s">
        <v>308</v>
      </c>
      <c r="X1651" s="77" t="s">
        <v>309</v>
      </c>
      <c r="AH1651" s="98" t="b">
        <f>INDEX(stable[q_standard],MATCH(questions[[#This Row],[qno]],stable[qno],0))</f>
        <v>0</v>
      </c>
      <c r="AI1651" s="98" t="b">
        <f>INDEX(stable[q_living_income],MATCH(questions[[#This Row],[qno]],stable[qno],0))</f>
        <v>1</v>
      </c>
      <c r="AJ1651" s="98" t="b">
        <f>INDEX(stable[q_carbon],MATCH(questions[[#This Row],[qno]],stable[qno],0))</f>
        <v>0</v>
      </c>
      <c r="AK1651" s="98" t="b">
        <f>INDEX(stable[q_regen_ag],MATCH(questions[[#This Row],[qno]],stable[qno],0))</f>
        <v>0</v>
      </c>
      <c r="AL1651" s="98" t="b">
        <f>COUNTIFS(stable[qno],questions[[#This Row],[qno]])=1</f>
        <v>1</v>
      </c>
      <c r="AM1651" s="98" t="b">
        <f>OR(questions[[#This Row],[is_fixed]],questions[[#This Row],[is_localized]],questions[[#This Row],[is_supply_chain_dependent]])</f>
        <v>1</v>
      </c>
      <c r="AN1651" s="98" t="b">
        <f>COUNTIFS(questions[[#This Row],[is_automated]:[is_multi_select]],TRUE)=1</f>
        <v>1</v>
      </c>
      <c r="AO1651" s="98" t="b">
        <f>IF(questions[[#This Row],[is_fixed]],questions[[#This Row],[question]]=INDEX(stable[question],MATCH(questions[[#This Row],[qno]],stable[qno],0)),TRUE)</f>
        <v>1</v>
      </c>
      <c r="AP1651" s="98" t="str">
        <f>LEFT(questions[[#This Row],[question]],similarity_range)</f>
        <v>Pension, what was th</v>
      </c>
      <c r="AQ1651" s="98" t="str">
        <f>LEFT(INDEX(stable[question],MATCH(questions[[#This Row],[qno]],stable[qno],0)),similarity_range)</f>
        <v>Pension, what was th</v>
      </c>
      <c r="AR1651" s="98" t="b">
        <f>questions[[#This Row],[question_first_characters]]=questions[[#This Row],[stability_first_characters]]</f>
        <v>1</v>
      </c>
      <c r="AS1651" s="98" t="b">
        <f>IF(OR(questions[[#This Row],[is_single_select]],questions[[#This Row],[is_multi_select]]),NOT(ISBLANK(questions[[#This Row],[answer_opt_combined]])),TRUE)</f>
        <v>1</v>
      </c>
    </row>
    <row r="1652" spans="1:45" s="77" customFormat="1" ht="15.75" customHeight="1" x14ac:dyDescent="0.25">
      <c r="A1652" s="77" t="str">
        <f>_xlfn.TEXTJOIN("_",TRUE,questions[[#This Row],[origin]:[qno]])</f>
        <v>Burundi_Arabica_IKAWA RES PROJECT_2026_6518</v>
      </c>
      <c r="B1652" s="77" t="s">
        <v>1057</v>
      </c>
      <c r="C1652" s="77" t="s">
        <v>59</v>
      </c>
      <c r="D1652" s="77" t="s">
        <v>1058</v>
      </c>
      <c r="E1652" s="77">
        <v>2026</v>
      </c>
      <c r="F1652" s="105" t="s">
        <v>324</v>
      </c>
      <c r="G1652" s="78" t="s">
        <v>325</v>
      </c>
      <c r="H1652" s="9" t="str" cm="1">
        <f t="array" ref="H1652">INDEX(stableR[question],MATCH(VALUE(questions[[#This Row],[qno]]),VALUE(stableR[qno]),0))</f>
        <v>Remittances, what was the estimated importance?</v>
      </c>
      <c r="I1652" s="9" t="b" cm="1">
        <f t="array" ref="I1652">INDEX(stable[is_fixed],MATCH(VALUE(questions[[#This Row],[qno]]),VALUE(stable[qno]),0))</f>
        <v>1</v>
      </c>
      <c r="J1652" s="9" t="b" cm="1">
        <f t="array" ref="J1652">INDEX(stable[is_localized],MATCH(VALUE(questions[[#This Row],[qno]]),VALUE(stable[qno]),0))</f>
        <v>0</v>
      </c>
      <c r="K1652" s="9" t="b" cm="1">
        <f t="array" ref="K1652">INDEX(stable[is_supply_chain_dependent],MATCH(VALUE(questions[[#This Row],[qno]]),VALUE(stable[qno]),0))</f>
        <v>0</v>
      </c>
      <c r="L1652" s="9" t="b" cm="1">
        <f t="array" ref="L1652">INDEX(stable[is_mandatory],MATCH(VALUE(questions[[#This Row],[qno]]),VALUE(stable[qno]),0))</f>
        <v>0</v>
      </c>
      <c r="M1652" s="9" t="b" cm="1">
        <f t="array" ref="M1652">INDEX(stable[is_automated],MATCH(VALUE(questions[[#This Row],[qno]]),VALUE(stable[qno]),0))</f>
        <v>0</v>
      </c>
      <c r="N1652" s="9" t="b" cm="1">
        <f t="array" ref="N1652">INDEX(stable[is_free_text],MATCH(VALUE(questions[[#This Row],[qno]]),VALUE(stable[qno]),0))</f>
        <v>0</v>
      </c>
      <c r="O1652" s="9" t="b" cm="1">
        <f t="array" ref="O1652">INDEX(stable[is_numerical],MATCH(VALUE(questions[[#This Row],[qno]]),VALUE(stable[qno]),0))</f>
        <v>0</v>
      </c>
      <c r="P1652" s="77" t="b" cm="1">
        <f t="array" ref="P1652">INDEX(stable[is_single_select],MATCH(VALUE(questions[[#This Row],[qno]]),VALUE(stable[qno]),0))</f>
        <v>1</v>
      </c>
      <c r="Q1652" s="77" t="b" cm="1">
        <f t="array" ref="Q1652">INDEX(stable[is_multi_select],MATCH(VALUE(questions[[#This Row],[qno]]),VALUE(stable[qno]),0))</f>
        <v>0</v>
      </c>
      <c r="R1652" s="77" t="b" cm="1">
        <f t="array" ref="R1652">INDEX(stable[is_skip_logic],MATCH(VALUE(questions[[#This Row],[qno]]),VALUE(stable[qno]),0))</f>
        <v>0</v>
      </c>
      <c r="S1652" s="77" t="str">
        <f>_xlfn.TEXTJOIN(", ",TRUE,questions[[#This Row],[ans_opt_1]:[ans_opt_14]])</f>
        <v>All or nearly all - 80-100%, More than half of it  - 60-80%, About half of it - 40-60%, Less than half of it - 20-40%, A small amount - 0-20%</v>
      </c>
      <c r="T1652" s="77" t="s">
        <v>305</v>
      </c>
      <c r="U1652" s="77" t="s">
        <v>306</v>
      </c>
      <c r="V1652" s="77" t="s">
        <v>307</v>
      </c>
      <c r="W1652" s="77" t="s">
        <v>308</v>
      </c>
      <c r="X1652" s="77" t="s">
        <v>309</v>
      </c>
      <c r="AH1652" s="98" t="b">
        <f>INDEX(stable[q_standard],MATCH(questions[[#This Row],[qno]],stable[qno],0))</f>
        <v>0</v>
      </c>
      <c r="AI1652" s="98" t="b">
        <f>INDEX(stable[q_living_income],MATCH(questions[[#This Row],[qno]],stable[qno],0))</f>
        <v>1</v>
      </c>
      <c r="AJ1652" s="98" t="b">
        <f>INDEX(stable[q_carbon],MATCH(questions[[#This Row],[qno]],stable[qno],0))</f>
        <v>0</v>
      </c>
      <c r="AK1652" s="98" t="b">
        <f>INDEX(stable[q_regen_ag],MATCH(questions[[#This Row],[qno]],stable[qno],0))</f>
        <v>0</v>
      </c>
      <c r="AL1652" s="98" t="b">
        <f>COUNTIFS(stable[qno],questions[[#This Row],[qno]])=1</f>
        <v>1</v>
      </c>
      <c r="AM1652" s="98" t="b">
        <f>OR(questions[[#This Row],[is_fixed]],questions[[#This Row],[is_localized]],questions[[#This Row],[is_supply_chain_dependent]])</f>
        <v>1</v>
      </c>
      <c r="AN1652" s="98" t="b">
        <f>COUNTIFS(questions[[#This Row],[is_automated]:[is_multi_select]],TRUE)=1</f>
        <v>1</v>
      </c>
      <c r="AO1652" s="98" t="b">
        <f>IF(questions[[#This Row],[is_fixed]],questions[[#This Row],[question]]=INDEX(stable[question],MATCH(questions[[#This Row],[qno]],stable[qno],0)),TRUE)</f>
        <v>1</v>
      </c>
      <c r="AP1652" s="98" t="str">
        <f>LEFT(questions[[#This Row],[question]],similarity_range)</f>
        <v>Remittances, what wa</v>
      </c>
      <c r="AQ1652" s="98" t="str">
        <f>LEFT(INDEX(stable[question],MATCH(questions[[#This Row],[qno]],stable[qno],0)),similarity_range)</f>
        <v>Remittances, what wa</v>
      </c>
      <c r="AR1652" s="98" t="b">
        <f>questions[[#This Row],[question_first_characters]]=questions[[#This Row],[stability_first_characters]]</f>
        <v>1</v>
      </c>
      <c r="AS1652" s="98" t="b">
        <f>IF(OR(questions[[#This Row],[is_single_select]],questions[[#This Row],[is_multi_select]]),NOT(ISBLANK(questions[[#This Row],[answer_opt_combined]])),TRUE)</f>
        <v>1</v>
      </c>
    </row>
    <row r="1653" spans="1:45" s="77" customFormat="1" ht="15.75" customHeight="1" x14ac:dyDescent="0.25">
      <c r="A1653" s="77" t="str">
        <f>_xlfn.TEXTJOIN("_",TRUE,questions[[#This Row],[origin]:[qno]])</f>
        <v>Burundi_Arabica_IKAWA RES PROJECT_2026_7000</v>
      </c>
      <c r="B1653" s="77" t="s">
        <v>1057</v>
      </c>
      <c r="C1653" s="77" t="s">
        <v>59</v>
      </c>
      <c r="D1653" s="77" t="s">
        <v>1058</v>
      </c>
      <c r="E1653" s="77">
        <v>2026</v>
      </c>
      <c r="F1653" s="105" t="s">
        <v>326</v>
      </c>
      <c r="G1653" s="78" t="s">
        <v>792</v>
      </c>
      <c r="H1653" s="9" t="str" cm="1">
        <f t="array" ref="H1653">INDEX(stableR[question],MATCH(VALUE(questions[[#This Row],[qno]]),VALUE(stableR[qno]),0))</f>
        <v>Have you received any training on Regenartive Agriculture principles and practices in last 1-2 years? For instance on mulching, cover crops, manure or fertiliser application, stumping, integrated pest management, etc.</v>
      </c>
      <c r="I1653" s="9" t="b" cm="1">
        <f t="array" ref="I1653">INDEX(stable[is_fixed],MATCH(VALUE(questions[[#This Row],[qno]]),VALUE(stable[qno]),0))</f>
        <v>1</v>
      </c>
      <c r="J1653" s="9" t="b" cm="1">
        <f t="array" ref="J1653">INDEX(stable[is_localized],MATCH(VALUE(questions[[#This Row],[qno]]),VALUE(stable[qno]),0))</f>
        <v>0</v>
      </c>
      <c r="K1653" s="9" t="b" cm="1">
        <f t="array" ref="K1653">INDEX(stable[is_supply_chain_dependent],MATCH(VALUE(questions[[#This Row],[qno]]),VALUE(stable[qno]),0))</f>
        <v>0</v>
      </c>
      <c r="L1653" s="9" t="b" cm="1">
        <f t="array" ref="L1653">INDEX(stable[is_mandatory],MATCH(VALUE(questions[[#This Row],[qno]]),VALUE(stable[qno]),0))</f>
        <v>1</v>
      </c>
      <c r="M1653" s="9" t="b" cm="1">
        <f t="array" ref="M1653">INDEX(stable[is_automated],MATCH(VALUE(questions[[#This Row],[qno]]),VALUE(stable[qno]),0))</f>
        <v>0</v>
      </c>
      <c r="N1653" s="9" t="b" cm="1">
        <f t="array" ref="N1653">INDEX(stable[is_free_text],MATCH(VALUE(questions[[#This Row],[qno]]),VALUE(stable[qno]),0))</f>
        <v>0</v>
      </c>
      <c r="O1653" s="9" t="b" cm="1">
        <f t="array" ref="O1653">INDEX(stable[is_numerical],MATCH(VALUE(questions[[#This Row],[qno]]),VALUE(stable[qno]),0))</f>
        <v>0</v>
      </c>
      <c r="P1653" s="77" t="b" cm="1">
        <f t="array" ref="P1653">INDEX(stable[is_single_select],MATCH(VALUE(questions[[#This Row],[qno]]),VALUE(stable[qno]),0))</f>
        <v>1</v>
      </c>
      <c r="Q1653" s="77" t="b" cm="1">
        <f t="array" ref="Q1653">INDEX(stable[is_multi_select],MATCH(VALUE(questions[[#This Row],[qno]]),VALUE(stable[qno]),0))</f>
        <v>0</v>
      </c>
      <c r="R1653" s="77" t="b" cm="1">
        <f t="array" ref="R1653">INDEX(stable[is_skip_logic],MATCH(VALUE(questions[[#This Row],[qno]]),VALUE(stable[qno]),0))</f>
        <v>1</v>
      </c>
      <c r="S1653" s="77" t="str">
        <f>_xlfn.TEXTJOIN(", ",TRUE,questions[[#This Row],[ans_opt_1]:[ans_opt_14]])</f>
        <v>Yes, No</v>
      </c>
      <c r="T1653" s="77" t="s">
        <v>149</v>
      </c>
      <c r="U1653" s="77" t="s">
        <v>119</v>
      </c>
      <c r="AH1653" s="98" t="b">
        <f>INDEX(stable[q_standard],MATCH(questions[[#This Row],[qno]],stable[qno],0))</f>
        <v>0</v>
      </c>
      <c r="AI1653" s="98" t="b">
        <f>INDEX(stable[q_living_income],MATCH(questions[[#This Row],[qno]],stable[qno],0))</f>
        <v>0</v>
      </c>
      <c r="AJ1653" s="98" t="b">
        <f>INDEX(stable[q_carbon],MATCH(questions[[#This Row],[qno]],stable[qno],0))</f>
        <v>0</v>
      </c>
      <c r="AK1653" s="98" t="b">
        <f>INDEX(stable[q_regen_ag],MATCH(questions[[#This Row],[qno]],stable[qno],0))</f>
        <v>1</v>
      </c>
      <c r="AL1653" s="98" t="b">
        <f>COUNTIFS(stable[qno],questions[[#This Row],[qno]])=1</f>
        <v>1</v>
      </c>
      <c r="AM1653" s="98" t="b">
        <f>OR(questions[[#This Row],[is_fixed]],questions[[#This Row],[is_localized]],questions[[#This Row],[is_supply_chain_dependent]])</f>
        <v>1</v>
      </c>
      <c r="AN1653" s="98" t="b">
        <f>COUNTIFS(questions[[#This Row],[is_automated]:[is_multi_select]],TRUE)=1</f>
        <v>1</v>
      </c>
      <c r="AO1653" s="98" t="b">
        <f>IF(questions[[#This Row],[is_fixed]],questions[[#This Row],[question]]=INDEX(stable[question],MATCH(questions[[#This Row],[qno]],stable[qno],0)),TRUE)</f>
        <v>0</v>
      </c>
      <c r="AP1653" s="98" t="str">
        <f>LEFT(questions[[#This Row],[question]],similarity_range)</f>
        <v>Have you received an</v>
      </c>
      <c r="AQ1653" s="98" t="str">
        <f>LEFT(INDEX(stable[question],MATCH(questions[[#This Row],[qno]],stable[qno],0)),similarity_range)</f>
        <v>Have you received an</v>
      </c>
      <c r="AR1653" s="98" t="b">
        <f>questions[[#This Row],[question_first_characters]]=questions[[#This Row],[stability_first_characters]]</f>
        <v>1</v>
      </c>
      <c r="AS1653" s="98" t="b">
        <f>IF(OR(questions[[#This Row],[is_single_select]],questions[[#This Row],[is_multi_select]]),NOT(ISBLANK(questions[[#This Row],[answer_opt_combined]])),TRUE)</f>
        <v>1</v>
      </c>
    </row>
    <row r="1654" spans="1:45" s="77" customFormat="1" ht="15.75" customHeight="1" x14ac:dyDescent="0.25">
      <c r="A1654" s="77" t="str">
        <f>_xlfn.TEXTJOIN("_",TRUE,questions[[#This Row],[origin]:[qno]])</f>
        <v>Burundi_Arabica_IKAWA RES PROJECT_2026_7001</v>
      </c>
      <c r="B1654" s="77" t="s">
        <v>1057</v>
      </c>
      <c r="C1654" s="77" t="s">
        <v>59</v>
      </c>
      <c r="D1654" s="77" t="s">
        <v>1058</v>
      </c>
      <c r="E1654" s="77">
        <v>2026</v>
      </c>
      <c r="F1654" s="105" t="s">
        <v>328</v>
      </c>
      <c r="G1654" s="78" t="s">
        <v>329</v>
      </c>
      <c r="H1654" s="9" t="str" cm="1">
        <f t="array" ref="H1654">INDEX(stableR[question],MATCH(VALUE(questions[[#This Row],[qno]]),VALUE(stableR[qno]),0))</f>
        <v>If NO formal training received, are you aware of Regen Ag. and can explain its basics principles and main practices?</v>
      </c>
      <c r="I1654" s="9" t="b" cm="1">
        <f t="array" ref="I1654">INDEX(stable[is_fixed],MATCH(VALUE(questions[[#This Row],[qno]]),VALUE(stable[qno]),0))</f>
        <v>1</v>
      </c>
      <c r="J1654" s="9" t="b" cm="1">
        <f t="array" ref="J1654">INDEX(stable[is_localized],MATCH(VALUE(questions[[#This Row],[qno]]),VALUE(stable[qno]),0))</f>
        <v>0</v>
      </c>
      <c r="K1654" s="9" t="b" cm="1">
        <f t="array" ref="K1654">INDEX(stable[is_supply_chain_dependent],MATCH(VALUE(questions[[#This Row],[qno]]),VALUE(stable[qno]),0))</f>
        <v>0</v>
      </c>
      <c r="L1654" s="9" t="b" cm="1">
        <f t="array" ref="L1654">INDEX(stable[is_mandatory],MATCH(VALUE(questions[[#This Row],[qno]]),VALUE(stable[qno]),0))</f>
        <v>0</v>
      </c>
      <c r="M1654" s="9" t="b" cm="1">
        <f t="array" ref="M1654">INDEX(stable[is_automated],MATCH(VALUE(questions[[#This Row],[qno]]),VALUE(stable[qno]),0))</f>
        <v>0</v>
      </c>
      <c r="N1654" s="9" t="b" cm="1">
        <f t="array" ref="N1654">INDEX(stable[is_free_text],MATCH(VALUE(questions[[#This Row],[qno]]),VALUE(stable[qno]),0))</f>
        <v>0</v>
      </c>
      <c r="O1654" s="9" t="b" cm="1">
        <f t="array" ref="O1654">INDEX(stable[is_numerical],MATCH(VALUE(questions[[#This Row],[qno]]),VALUE(stable[qno]),0))</f>
        <v>0</v>
      </c>
      <c r="P1654" s="77" t="b" cm="1">
        <f t="array" ref="P1654">INDEX(stable[is_single_select],MATCH(VALUE(questions[[#This Row],[qno]]),VALUE(stable[qno]),0))</f>
        <v>1</v>
      </c>
      <c r="Q1654" s="77" t="b" cm="1">
        <f t="array" ref="Q1654">INDEX(stable[is_multi_select],MATCH(VALUE(questions[[#This Row],[qno]]),VALUE(stable[qno]),0))</f>
        <v>0</v>
      </c>
      <c r="R1654" s="77" t="b" cm="1">
        <f t="array" ref="R1654">INDEX(stable[is_skip_logic],MATCH(VALUE(questions[[#This Row],[qno]]),VALUE(stable[qno]),0))</f>
        <v>1</v>
      </c>
      <c r="S1654" s="77" t="str">
        <f>_xlfn.TEXTJOIN(", ",TRUE,questions[[#This Row],[ans_opt_1]:[ans_opt_14]])</f>
        <v>Yes, No</v>
      </c>
      <c r="T1654" s="77" t="s">
        <v>149</v>
      </c>
      <c r="U1654" s="77" t="s">
        <v>119</v>
      </c>
      <c r="AH1654" s="98" t="b">
        <f>INDEX(stable[q_standard],MATCH(questions[[#This Row],[qno]],stable[qno],0))</f>
        <v>0</v>
      </c>
      <c r="AI1654" s="98" t="b">
        <f>INDEX(stable[q_living_income],MATCH(questions[[#This Row],[qno]],stable[qno],0))</f>
        <v>0</v>
      </c>
      <c r="AJ1654" s="98" t="b">
        <f>INDEX(stable[q_carbon],MATCH(questions[[#This Row],[qno]],stable[qno],0))</f>
        <v>0</v>
      </c>
      <c r="AK1654" s="98" t="b">
        <f>INDEX(stable[q_regen_ag],MATCH(questions[[#This Row],[qno]],stable[qno],0))</f>
        <v>1</v>
      </c>
      <c r="AL1654" s="98" t="b">
        <f>COUNTIFS(stable[qno],questions[[#This Row],[qno]])=1</f>
        <v>1</v>
      </c>
      <c r="AM1654" s="98" t="b">
        <f>OR(questions[[#This Row],[is_fixed]],questions[[#This Row],[is_localized]],questions[[#This Row],[is_supply_chain_dependent]])</f>
        <v>1</v>
      </c>
      <c r="AN1654" s="98" t="b">
        <f>COUNTIFS(questions[[#This Row],[is_automated]:[is_multi_select]],TRUE)=1</f>
        <v>1</v>
      </c>
      <c r="AO1654" s="98" t="b">
        <f>IF(questions[[#This Row],[is_fixed]],questions[[#This Row],[question]]=INDEX(stable[question],MATCH(questions[[#This Row],[qno]],stable[qno],0)),TRUE)</f>
        <v>1</v>
      </c>
      <c r="AP1654" s="98" t="str">
        <f>LEFT(questions[[#This Row],[question]],similarity_range)</f>
        <v>If NO formal trainin</v>
      </c>
      <c r="AQ1654" s="98" t="str">
        <f>LEFT(INDEX(stable[question],MATCH(questions[[#This Row],[qno]],stable[qno],0)),similarity_range)</f>
        <v>If NO formal trainin</v>
      </c>
      <c r="AR1654" s="98" t="b">
        <f>questions[[#This Row],[question_first_characters]]=questions[[#This Row],[stability_first_characters]]</f>
        <v>1</v>
      </c>
      <c r="AS1654" s="98" t="b">
        <f>IF(OR(questions[[#This Row],[is_single_select]],questions[[#This Row],[is_multi_select]]),NOT(ISBLANK(questions[[#This Row],[answer_opt_combined]])),TRUE)</f>
        <v>1</v>
      </c>
    </row>
    <row r="1655" spans="1:45" s="77" customFormat="1" ht="15.75" customHeight="1" x14ac:dyDescent="0.25">
      <c r="A1655" s="77" t="str">
        <f>_xlfn.TEXTJOIN("_",TRUE,questions[[#This Row],[origin]:[qno]])</f>
        <v>Burundi_Arabica_IKAWA RES PROJECT_2026_7100</v>
      </c>
      <c r="B1655" s="77" t="s">
        <v>1057</v>
      </c>
      <c r="C1655" s="77" t="s">
        <v>59</v>
      </c>
      <c r="D1655" s="77" t="s">
        <v>1058</v>
      </c>
      <c r="E1655" s="77">
        <v>2026</v>
      </c>
      <c r="F1655" s="105" t="s">
        <v>330</v>
      </c>
      <c r="G1655" s="78" t="s">
        <v>331</v>
      </c>
      <c r="H1655" s="9" t="str" cm="1">
        <f t="array" ref="H1655">INDEX(stableR[question],MATCH(VALUE(questions[[#This Row],[qno]]),VALUE(stableR[qno]),0))</f>
        <v>Do you implement mulching and/or cover crops-plants (e.g. beans, peanuts/groundnuts, brachiaria, desmodium…) in your coffee plots? If the answer is NO, you do not need to answer the next 2 questions</v>
      </c>
      <c r="I1655" s="9" t="b" cm="1">
        <f t="array" ref="I1655">INDEX(stable[is_fixed],MATCH(VALUE(questions[[#This Row],[qno]]),VALUE(stable[qno]),0))</f>
        <v>1</v>
      </c>
      <c r="J1655" s="9" t="b" cm="1">
        <f t="array" ref="J1655">INDEX(stable[is_localized],MATCH(VALUE(questions[[#This Row],[qno]]),VALUE(stable[qno]),0))</f>
        <v>0</v>
      </c>
      <c r="K1655" s="9" t="b" cm="1">
        <f t="array" ref="K1655">INDEX(stable[is_supply_chain_dependent],MATCH(VALUE(questions[[#This Row],[qno]]),VALUE(stable[qno]),0))</f>
        <v>0</v>
      </c>
      <c r="L1655" s="9" t="b" cm="1">
        <f t="array" ref="L1655">INDEX(stable[is_mandatory],MATCH(VALUE(questions[[#This Row],[qno]]),VALUE(stable[qno]),0))</f>
        <v>1</v>
      </c>
      <c r="M1655" s="9" t="b" cm="1">
        <f t="array" ref="M1655">INDEX(stable[is_automated],MATCH(VALUE(questions[[#This Row],[qno]]),VALUE(stable[qno]),0))</f>
        <v>0</v>
      </c>
      <c r="N1655" s="9" t="b" cm="1">
        <f t="array" ref="N1655">INDEX(stable[is_free_text],MATCH(VALUE(questions[[#This Row],[qno]]),VALUE(stable[qno]),0))</f>
        <v>0</v>
      </c>
      <c r="O1655" s="9" t="b" cm="1">
        <f t="array" ref="O1655">INDEX(stable[is_numerical],MATCH(VALUE(questions[[#This Row],[qno]]),VALUE(stable[qno]),0))</f>
        <v>0</v>
      </c>
      <c r="P1655" s="77" t="b" cm="1">
        <f t="array" ref="P1655">INDEX(stable[is_single_select],MATCH(VALUE(questions[[#This Row],[qno]]),VALUE(stable[qno]),0))</f>
        <v>1</v>
      </c>
      <c r="Q1655" s="77" t="b" cm="1">
        <f t="array" ref="Q1655">INDEX(stable[is_multi_select],MATCH(VALUE(questions[[#This Row],[qno]]),VALUE(stable[qno]),0))</f>
        <v>0</v>
      </c>
      <c r="R1655" s="77" t="b" cm="1">
        <f t="array" ref="R1655">INDEX(stable[is_skip_logic],MATCH(VALUE(questions[[#This Row],[qno]]),VALUE(stable[qno]),0))</f>
        <v>1</v>
      </c>
      <c r="S1655" s="77" t="str">
        <f>_xlfn.TEXTJOIN(", ",TRUE,questions[[#This Row],[ans_opt_1]:[ans_opt_14]])</f>
        <v>No, Yes-Crop residues mulching, Yes-Other mulching, Yes-Cover crops, Yes-Cover crops &amp; Mulching</v>
      </c>
      <c r="T1655" s="77" t="s">
        <v>119</v>
      </c>
      <c r="U1655" s="77" t="s">
        <v>332</v>
      </c>
      <c r="V1655" s="77" t="s">
        <v>333</v>
      </c>
      <c r="W1655" s="77" t="s">
        <v>334</v>
      </c>
      <c r="X1655" s="77" t="s">
        <v>335</v>
      </c>
      <c r="AH1655" s="98" t="b">
        <f>INDEX(stable[q_standard],MATCH(questions[[#This Row],[qno]],stable[qno],0))</f>
        <v>0</v>
      </c>
      <c r="AI1655" s="98" t="b">
        <f>INDEX(stable[q_living_income],MATCH(questions[[#This Row],[qno]],stable[qno],0))</f>
        <v>0</v>
      </c>
      <c r="AJ1655" s="98" t="b">
        <f>INDEX(stable[q_carbon],MATCH(questions[[#This Row],[qno]],stable[qno],0))</f>
        <v>0</v>
      </c>
      <c r="AK1655" s="98" t="b">
        <f>INDEX(stable[q_regen_ag],MATCH(questions[[#This Row],[qno]],stable[qno],0))</f>
        <v>1</v>
      </c>
      <c r="AL1655" s="98" t="b">
        <f>COUNTIFS(stable[qno],questions[[#This Row],[qno]])=1</f>
        <v>1</v>
      </c>
      <c r="AM1655" s="98" t="b">
        <f>OR(questions[[#This Row],[is_fixed]],questions[[#This Row],[is_localized]],questions[[#This Row],[is_supply_chain_dependent]])</f>
        <v>1</v>
      </c>
      <c r="AN1655" s="98" t="b">
        <f>COUNTIFS(questions[[#This Row],[is_automated]:[is_multi_select]],TRUE)=1</f>
        <v>1</v>
      </c>
      <c r="AO1655" s="98" t="b">
        <f>IF(questions[[#This Row],[is_fixed]],questions[[#This Row],[question]]=INDEX(stable[question],MATCH(questions[[#This Row],[qno]],stable[qno],0)),TRUE)</f>
        <v>1</v>
      </c>
      <c r="AP1655" s="98" t="str">
        <f>LEFT(questions[[#This Row],[question]],similarity_range)</f>
        <v>Do you implement mul</v>
      </c>
      <c r="AQ1655" s="98" t="str">
        <f>LEFT(INDEX(stable[question],MATCH(questions[[#This Row],[qno]],stable[qno],0)),similarity_range)</f>
        <v>Do you implement mul</v>
      </c>
      <c r="AR1655" s="98" t="b">
        <f>questions[[#This Row],[question_first_characters]]=questions[[#This Row],[stability_first_characters]]</f>
        <v>1</v>
      </c>
      <c r="AS1655" s="98" t="b">
        <f>IF(OR(questions[[#This Row],[is_single_select]],questions[[#This Row],[is_multi_select]]),NOT(ISBLANK(questions[[#This Row],[answer_opt_combined]])),TRUE)</f>
        <v>1</v>
      </c>
    </row>
    <row r="1656" spans="1:45" s="77" customFormat="1" ht="15.75" customHeight="1" x14ac:dyDescent="0.25">
      <c r="A1656" s="77" t="str">
        <f>_xlfn.TEXTJOIN("_",TRUE,questions[[#This Row],[origin]:[qno]])</f>
        <v>Burundi_Arabica_IKAWA RES PROJECT_2026_7101</v>
      </c>
      <c r="B1656" s="77" t="s">
        <v>1057</v>
      </c>
      <c r="C1656" s="77" t="s">
        <v>59</v>
      </c>
      <c r="D1656" s="77" t="s">
        <v>1058</v>
      </c>
      <c r="E1656" s="77">
        <v>2026</v>
      </c>
      <c r="F1656" s="105" t="s">
        <v>336</v>
      </c>
      <c r="G1656" s="78" t="s">
        <v>337</v>
      </c>
      <c r="H1656" s="9" t="str" cm="1">
        <f t="array" ref="H1656">INDEX(stableR[question],MATCH(VALUE(questions[[#This Row],[qno]]),VALUE(stableR[qno]),0))</f>
        <v>If so, what is the % or proportion of your coffee plots using mulching and/or cover crops?</v>
      </c>
      <c r="I1656" s="9" t="b" cm="1">
        <f t="array" ref="I1656">INDEX(stable[is_fixed],MATCH(VALUE(questions[[#This Row],[qno]]),VALUE(stable[qno]),0))</f>
        <v>1</v>
      </c>
      <c r="J1656" s="9" t="b" cm="1">
        <f t="array" ref="J1656">INDEX(stable[is_localized],MATCH(VALUE(questions[[#This Row],[qno]]),VALUE(stable[qno]),0))</f>
        <v>0</v>
      </c>
      <c r="K1656" s="9" t="b" cm="1">
        <f t="array" ref="K1656">INDEX(stable[is_supply_chain_dependent],MATCH(VALUE(questions[[#This Row],[qno]]),VALUE(stable[qno]),0))</f>
        <v>0</v>
      </c>
      <c r="L1656" s="9" t="b" cm="1">
        <f t="array" ref="L1656">INDEX(stable[is_mandatory],MATCH(VALUE(questions[[#This Row],[qno]]),VALUE(stable[qno]),0))</f>
        <v>0</v>
      </c>
      <c r="M1656" s="9" t="b" cm="1">
        <f t="array" ref="M1656">INDEX(stable[is_automated],MATCH(VALUE(questions[[#This Row],[qno]]),VALUE(stable[qno]),0))</f>
        <v>0</v>
      </c>
      <c r="N1656" s="9" t="b" cm="1">
        <f t="array" ref="N1656">INDEX(stable[is_free_text],MATCH(VALUE(questions[[#This Row],[qno]]),VALUE(stable[qno]),0))</f>
        <v>0</v>
      </c>
      <c r="O1656" s="9" t="b" cm="1">
        <f t="array" ref="O1656">INDEX(stable[is_numerical],MATCH(VALUE(questions[[#This Row],[qno]]),VALUE(stable[qno]),0))</f>
        <v>0</v>
      </c>
      <c r="P1656" s="77" t="b" cm="1">
        <f t="array" ref="P1656">INDEX(stable[is_single_select],MATCH(VALUE(questions[[#This Row],[qno]]),VALUE(stable[qno]),0))</f>
        <v>1</v>
      </c>
      <c r="Q1656" s="77" t="b" cm="1">
        <f t="array" ref="Q1656">INDEX(stable[is_multi_select],MATCH(VALUE(questions[[#This Row],[qno]]),VALUE(stable[qno]),0))</f>
        <v>0</v>
      </c>
      <c r="R1656" s="77" t="b" cm="1">
        <f t="array" ref="R1656">INDEX(stable[is_skip_logic],MATCH(VALUE(questions[[#This Row],[qno]]),VALUE(stable[qno]),0))</f>
        <v>1</v>
      </c>
      <c r="S1656" s="77" t="str">
        <f>_xlfn.TEXTJOIN(", ",TRUE,questions[[#This Row],[ans_opt_1]:[ans_opt_14]])</f>
        <v>1% to 25% - little to a quarter, 26% to 50% - less than half, 51% to 75% - more than half, 76% to 100% - almost all</v>
      </c>
      <c r="T1656" s="77" t="s">
        <v>338</v>
      </c>
      <c r="U1656" s="77" t="s">
        <v>339</v>
      </c>
      <c r="V1656" s="77" t="s">
        <v>340</v>
      </c>
      <c r="W1656" s="77" t="s">
        <v>341</v>
      </c>
      <c r="AH1656" s="98" t="b">
        <f>INDEX(stable[q_standard],MATCH(questions[[#This Row],[qno]],stable[qno],0))</f>
        <v>0</v>
      </c>
      <c r="AI1656" s="98" t="b">
        <f>INDEX(stable[q_living_income],MATCH(questions[[#This Row],[qno]],stable[qno],0))</f>
        <v>0</v>
      </c>
      <c r="AJ1656" s="98" t="b">
        <f>INDEX(stable[q_carbon],MATCH(questions[[#This Row],[qno]],stable[qno],0))</f>
        <v>0</v>
      </c>
      <c r="AK1656" s="98" t="b">
        <f>INDEX(stable[q_regen_ag],MATCH(questions[[#This Row],[qno]],stable[qno],0))</f>
        <v>1</v>
      </c>
      <c r="AL1656" s="98" t="b">
        <f>COUNTIFS(stable[qno],questions[[#This Row],[qno]])=1</f>
        <v>1</v>
      </c>
      <c r="AM1656" s="98" t="b">
        <f>OR(questions[[#This Row],[is_fixed]],questions[[#This Row],[is_localized]],questions[[#This Row],[is_supply_chain_dependent]])</f>
        <v>1</v>
      </c>
      <c r="AN1656" s="98" t="b">
        <f>COUNTIFS(questions[[#This Row],[is_automated]:[is_multi_select]],TRUE)=1</f>
        <v>1</v>
      </c>
      <c r="AO1656" s="98" t="b">
        <f>IF(questions[[#This Row],[is_fixed]],questions[[#This Row],[question]]=INDEX(stable[question],MATCH(questions[[#This Row],[qno]],stable[qno],0)),TRUE)</f>
        <v>1</v>
      </c>
      <c r="AP1656" s="98" t="str">
        <f>LEFT(questions[[#This Row],[question]],similarity_range)</f>
        <v>If so, what is the %</v>
      </c>
      <c r="AQ1656" s="98" t="str">
        <f>LEFT(INDEX(stable[question],MATCH(questions[[#This Row],[qno]],stable[qno],0)),similarity_range)</f>
        <v>If so, what is the %</v>
      </c>
      <c r="AR1656" s="98" t="b">
        <f>questions[[#This Row],[question_first_characters]]=questions[[#This Row],[stability_first_characters]]</f>
        <v>1</v>
      </c>
      <c r="AS1656" s="98" t="b">
        <f>IF(OR(questions[[#This Row],[is_single_select]],questions[[#This Row],[is_multi_select]]),NOT(ISBLANK(questions[[#This Row],[answer_opt_combined]])),TRUE)</f>
        <v>1</v>
      </c>
    </row>
    <row r="1657" spans="1:45" s="77" customFormat="1" ht="15.75" customHeight="1" x14ac:dyDescent="0.25">
      <c r="A1657" s="77" t="str">
        <f>_xlfn.TEXTJOIN("_",TRUE,questions[[#This Row],[origin]:[qno]])</f>
        <v>Burundi_Arabica_IKAWA RES PROJECT_2026_7102</v>
      </c>
      <c r="B1657" s="77" t="s">
        <v>1057</v>
      </c>
      <c r="C1657" s="77" t="s">
        <v>59</v>
      </c>
      <c r="D1657" s="77" t="s">
        <v>1058</v>
      </c>
      <c r="E1657" s="77">
        <v>2026</v>
      </c>
      <c r="F1657" s="105" t="s">
        <v>342</v>
      </c>
      <c r="G1657" s="78" t="s">
        <v>343</v>
      </c>
      <c r="H1657" s="9" t="str" cm="1">
        <f t="array" ref="H1657">INDEX(stableR[question],MATCH(VALUE(questions[[#This Row],[qno]]),VALUE(stableR[qno]),0))</f>
        <v>And for how many months per year?</v>
      </c>
      <c r="I1657" s="9" t="b" cm="1">
        <f t="array" ref="I1657">INDEX(stable[is_fixed],MATCH(VALUE(questions[[#This Row],[qno]]),VALUE(stable[qno]),0))</f>
        <v>1</v>
      </c>
      <c r="J1657" s="9" t="b" cm="1">
        <f t="array" ref="J1657">INDEX(stable[is_localized],MATCH(VALUE(questions[[#This Row],[qno]]),VALUE(stable[qno]),0))</f>
        <v>0</v>
      </c>
      <c r="K1657" s="9" t="b" cm="1">
        <f t="array" ref="K1657">INDEX(stable[is_supply_chain_dependent],MATCH(VALUE(questions[[#This Row],[qno]]),VALUE(stable[qno]),0))</f>
        <v>0</v>
      </c>
      <c r="L1657" s="9" t="b" cm="1">
        <f t="array" ref="L1657">INDEX(stable[is_mandatory],MATCH(VALUE(questions[[#This Row],[qno]]),VALUE(stable[qno]),0))</f>
        <v>0</v>
      </c>
      <c r="M1657" s="9" t="b" cm="1">
        <f t="array" ref="M1657">INDEX(stable[is_automated],MATCH(VALUE(questions[[#This Row],[qno]]),VALUE(stable[qno]),0))</f>
        <v>0</v>
      </c>
      <c r="N1657" s="9" t="b" cm="1">
        <f t="array" ref="N1657">INDEX(stable[is_free_text],MATCH(VALUE(questions[[#This Row],[qno]]),VALUE(stable[qno]),0))</f>
        <v>0</v>
      </c>
      <c r="O1657" s="9" t="b" cm="1">
        <f t="array" ref="O1657">INDEX(stable[is_numerical],MATCH(VALUE(questions[[#This Row],[qno]]),VALUE(stable[qno]),0))</f>
        <v>0</v>
      </c>
      <c r="P1657" s="77" t="b" cm="1">
        <f t="array" ref="P1657">INDEX(stable[is_single_select],MATCH(VALUE(questions[[#This Row],[qno]]),VALUE(stable[qno]),0))</f>
        <v>1</v>
      </c>
      <c r="Q1657" s="77" t="b" cm="1">
        <f t="array" ref="Q1657">INDEX(stable[is_multi_select],MATCH(VALUE(questions[[#This Row],[qno]]),VALUE(stable[qno]),0))</f>
        <v>0</v>
      </c>
      <c r="R1657" s="77" t="b" cm="1">
        <f t="array" ref="R1657">INDEX(stable[is_skip_logic],MATCH(VALUE(questions[[#This Row],[qno]]),VALUE(stable[qno]),0))</f>
        <v>1</v>
      </c>
      <c r="S1657" s="77" t="str">
        <f>_xlfn.TEXTJOIN(", ",TRUE,questions[[#This Row],[ans_opt_1]:[ans_opt_14]])</f>
        <v>&lt;6 months, 6-8 months, &gt;8 months</v>
      </c>
      <c r="T1657" s="77" t="s">
        <v>344</v>
      </c>
      <c r="U1657" s="77" t="s">
        <v>345</v>
      </c>
      <c r="V1657" s="77" t="s">
        <v>346</v>
      </c>
      <c r="AH1657" s="98" t="b">
        <f>INDEX(stable[q_standard],MATCH(questions[[#This Row],[qno]],stable[qno],0))</f>
        <v>0</v>
      </c>
      <c r="AI1657" s="98" t="b">
        <f>INDEX(stable[q_living_income],MATCH(questions[[#This Row],[qno]],stable[qno],0))</f>
        <v>0</v>
      </c>
      <c r="AJ1657" s="98" t="b">
        <f>INDEX(stable[q_carbon],MATCH(questions[[#This Row],[qno]],stable[qno],0))</f>
        <v>0</v>
      </c>
      <c r="AK1657" s="98" t="b">
        <f>INDEX(stable[q_regen_ag],MATCH(questions[[#This Row],[qno]],stable[qno],0))</f>
        <v>1</v>
      </c>
      <c r="AL1657" s="98" t="b">
        <f>COUNTIFS(stable[qno],questions[[#This Row],[qno]])=1</f>
        <v>1</v>
      </c>
      <c r="AM1657" s="98" t="b">
        <f>OR(questions[[#This Row],[is_fixed]],questions[[#This Row],[is_localized]],questions[[#This Row],[is_supply_chain_dependent]])</f>
        <v>1</v>
      </c>
      <c r="AN1657" s="98" t="b">
        <f>COUNTIFS(questions[[#This Row],[is_automated]:[is_multi_select]],TRUE)=1</f>
        <v>1</v>
      </c>
      <c r="AO1657" s="98" t="b">
        <f>IF(questions[[#This Row],[is_fixed]],questions[[#This Row],[question]]=INDEX(stable[question],MATCH(questions[[#This Row],[qno]],stable[qno],0)),TRUE)</f>
        <v>0</v>
      </c>
      <c r="AP1657" s="98" t="str">
        <f>LEFT(questions[[#This Row],[question]],similarity_range)</f>
        <v>And for how many mon</v>
      </c>
      <c r="AQ1657" s="98" t="str">
        <f>LEFT(INDEX(stable[question],MATCH(questions[[#This Row],[qno]],stable[qno],0)),similarity_range)</f>
        <v>And for how many mon</v>
      </c>
      <c r="AR1657" s="98" t="b">
        <f>questions[[#This Row],[question_first_characters]]=questions[[#This Row],[stability_first_characters]]</f>
        <v>1</v>
      </c>
      <c r="AS1657" s="98" t="b">
        <f>IF(OR(questions[[#This Row],[is_single_select]],questions[[#This Row],[is_multi_select]]),NOT(ISBLANK(questions[[#This Row],[answer_opt_combined]])),TRUE)</f>
        <v>1</v>
      </c>
    </row>
    <row r="1658" spans="1:45" s="77" customFormat="1" ht="15.75" customHeight="1" x14ac:dyDescent="0.25">
      <c r="A1658" s="77" t="str">
        <f>_xlfn.TEXTJOIN("_",TRUE,questions[[#This Row],[origin]:[qno]])</f>
        <v>Burundi_Arabica_IKAWA RES PROJECT_2026_7113</v>
      </c>
      <c r="B1658" s="77" t="s">
        <v>1057</v>
      </c>
      <c r="C1658" s="77" t="s">
        <v>59</v>
      </c>
      <c r="D1658" s="77" t="s">
        <v>1058</v>
      </c>
      <c r="E1658" s="77">
        <v>2026</v>
      </c>
      <c r="F1658" s="105" t="s">
        <v>347</v>
      </c>
      <c r="G1658" s="78" t="s">
        <v>793</v>
      </c>
      <c r="H1658" s="9" t="str" cm="1">
        <f t="array" ref="H1658">INDEX(stableR[question],MATCH(VALUE(questions[[#This Row],[qno]]),VALUE(stableR[qno]),0))</f>
        <v>Does any area of your coffee plots have significative risk of water and/or wind erosion due to heavy rain or irrigation, terrain slope, strong winds during dry periods…? If the answer is NO, you do not need to answer the next 2 questions</v>
      </c>
      <c r="I1658" s="9" t="b" cm="1">
        <f t="array" ref="I1658">INDEX(stable[is_fixed],MATCH(VALUE(questions[[#This Row],[qno]]),VALUE(stable[qno]),0))</f>
        <v>1</v>
      </c>
      <c r="J1658" s="9" t="b" cm="1">
        <f t="array" ref="J1658">INDEX(stable[is_localized],MATCH(VALUE(questions[[#This Row],[qno]]),VALUE(stable[qno]),0))</f>
        <v>0</v>
      </c>
      <c r="K1658" s="9" t="b" cm="1">
        <f t="array" ref="K1658">INDEX(stable[is_supply_chain_dependent],MATCH(VALUE(questions[[#This Row],[qno]]),VALUE(stable[qno]),0))</f>
        <v>0</v>
      </c>
      <c r="L1658" s="9" t="b" cm="1">
        <f t="array" ref="L1658">INDEX(stable[is_mandatory],MATCH(VALUE(questions[[#This Row],[qno]]),VALUE(stable[qno]),0))</f>
        <v>1</v>
      </c>
      <c r="M1658" s="9" t="b" cm="1">
        <f t="array" ref="M1658">INDEX(stable[is_automated],MATCH(VALUE(questions[[#This Row],[qno]]),VALUE(stable[qno]),0))</f>
        <v>0</v>
      </c>
      <c r="N1658" s="9" t="b" cm="1">
        <f t="array" ref="N1658">INDEX(stable[is_free_text],MATCH(VALUE(questions[[#This Row],[qno]]),VALUE(stable[qno]),0))</f>
        <v>0</v>
      </c>
      <c r="O1658" s="9" t="b" cm="1">
        <f t="array" ref="O1658">INDEX(stable[is_numerical],MATCH(VALUE(questions[[#This Row],[qno]]),VALUE(stable[qno]),0))</f>
        <v>0</v>
      </c>
      <c r="P1658" s="77" t="b" cm="1">
        <f t="array" ref="P1658">INDEX(stable[is_single_select],MATCH(VALUE(questions[[#This Row],[qno]]),VALUE(stable[qno]),0))</f>
        <v>1</v>
      </c>
      <c r="Q1658" s="77" t="b" cm="1">
        <f t="array" ref="Q1658">INDEX(stable[is_multi_select],MATCH(VALUE(questions[[#This Row],[qno]]),VALUE(stable[qno]),0))</f>
        <v>0</v>
      </c>
      <c r="R1658" s="77" t="b" cm="1">
        <f t="array" ref="R1658">INDEX(stable[is_skip_logic],MATCH(VALUE(questions[[#This Row],[qno]]),VALUE(stable[qno]),0))</f>
        <v>1</v>
      </c>
      <c r="S1658" s="77" t="str">
        <f>_xlfn.TEXTJOIN(", ",TRUE,questions[[#This Row],[ans_opt_1]:[ans_opt_14]])</f>
        <v>Yes, No</v>
      </c>
      <c r="T1658" s="77" t="s">
        <v>149</v>
      </c>
      <c r="U1658" s="77" t="s">
        <v>119</v>
      </c>
      <c r="AH1658" s="98" t="b">
        <f>INDEX(stable[q_standard],MATCH(questions[[#This Row],[qno]],stable[qno],0))</f>
        <v>0</v>
      </c>
      <c r="AI1658" s="98" t="b">
        <f>INDEX(stable[q_living_income],MATCH(questions[[#This Row],[qno]],stable[qno],0))</f>
        <v>0</v>
      </c>
      <c r="AJ1658" s="98" t="b">
        <f>INDEX(stable[q_carbon],MATCH(questions[[#This Row],[qno]],stable[qno],0))</f>
        <v>0</v>
      </c>
      <c r="AK1658" s="98" t="b">
        <f>INDEX(stable[q_regen_ag],MATCH(questions[[#This Row],[qno]],stable[qno],0))</f>
        <v>1</v>
      </c>
      <c r="AL1658" s="98" t="b">
        <f>COUNTIFS(stable[qno],questions[[#This Row],[qno]])=1</f>
        <v>1</v>
      </c>
      <c r="AM1658" s="98" t="b">
        <f>OR(questions[[#This Row],[is_fixed]],questions[[#This Row],[is_localized]],questions[[#This Row],[is_supply_chain_dependent]])</f>
        <v>1</v>
      </c>
      <c r="AN1658" s="98" t="b">
        <f>COUNTIFS(questions[[#This Row],[is_automated]:[is_multi_select]],TRUE)=1</f>
        <v>1</v>
      </c>
      <c r="AO1658" s="98" t="b">
        <f>IF(questions[[#This Row],[is_fixed]],questions[[#This Row],[question]]=INDEX(stable[question],MATCH(questions[[#This Row],[qno]],stable[qno],0)),TRUE)</f>
        <v>0</v>
      </c>
      <c r="AP1658" s="98" t="str">
        <f>LEFT(questions[[#This Row],[question]],similarity_range)</f>
        <v>Does any area of you</v>
      </c>
      <c r="AQ1658" s="98" t="str">
        <f>LEFT(INDEX(stable[question],MATCH(questions[[#This Row],[qno]],stable[qno],0)),similarity_range)</f>
        <v>Does any area of you</v>
      </c>
      <c r="AR1658" s="98" t="b">
        <f>questions[[#This Row],[question_first_characters]]=questions[[#This Row],[stability_first_characters]]</f>
        <v>1</v>
      </c>
      <c r="AS1658" s="98" t="b">
        <f>IF(OR(questions[[#This Row],[is_single_select]],questions[[#This Row],[is_multi_select]]),NOT(ISBLANK(questions[[#This Row],[answer_opt_combined]])),TRUE)</f>
        <v>1</v>
      </c>
    </row>
    <row r="1659" spans="1:45" s="77" customFormat="1" ht="15.75" customHeight="1" x14ac:dyDescent="0.25">
      <c r="A1659" s="77" t="str">
        <f>_xlfn.TEXTJOIN("_",TRUE,questions[[#This Row],[origin]:[qno]])</f>
        <v>Burundi_Arabica_IKAWA RES PROJECT_2026_7114</v>
      </c>
      <c r="B1659" s="77" t="s">
        <v>1057</v>
      </c>
      <c r="C1659" s="77" t="s">
        <v>59</v>
      </c>
      <c r="D1659" s="77" t="s">
        <v>1058</v>
      </c>
      <c r="E1659" s="77">
        <v>2026</v>
      </c>
      <c r="F1659" s="105" t="s">
        <v>349</v>
      </c>
      <c r="G1659" s="78" t="s">
        <v>794</v>
      </c>
      <c r="H1659" s="9" t="str" cm="1">
        <f t="array" ref="H1659">INDEX(stableR[question],MATCH(VALUE(questions[[#This Row],[qno]]),VALUE(stableR[qno]),0))</f>
        <v xml:space="preserve">If there is erosion risk, do you implement anti-erosion measures/control (e.g. trenches, terracing, windbreaks, soil coverage/mulching, bunds, contour planting…)? </v>
      </c>
      <c r="I1659" s="9" t="b" cm="1">
        <f t="array" ref="I1659">INDEX(stable[is_fixed],MATCH(VALUE(questions[[#This Row],[qno]]),VALUE(stable[qno]),0))</f>
        <v>1</v>
      </c>
      <c r="J1659" s="9" t="b" cm="1">
        <f t="array" ref="J1659">INDEX(stable[is_localized],MATCH(VALUE(questions[[#This Row],[qno]]),VALUE(stable[qno]),0))</f>
        <v>0</v>
      </c>
      <c r="K1659" s="9" t="b" cm="1">
        <f t="array" ref="K1659">INDEX(stable[is_supply_chain_dependent],MATCH(VALUE(questions[[#This Row],[qno]]),VALUE(stable[qno]),0))</f>
        <v>0</v>
      </c>
      <c r="L1659" s="9" t="b" cm="1">
        <f t="array" ref="L1659">INDEX(stable[is_mandatory],MATCH(VALUE(questions[[#This Row],[qno]]),VALUE(stable[qno]),0))</f>
        <v>0</v>
      </c>
      <c r="M1659" s="9" t="b" cm="1">
        <f t="array" ref="M1659">INDEX(stable[is_automated],MATCH(VALUE(questions[[#This Row],[qno]]),VALUE(stable[qno]),0))</f>
        <v>0</v>
      </c>
      <c r="N1659" s="9" t="b" cm="1">
        <f t="array" ref="N1659">INDEX(stable[is_free_text],MATCH(VALUE(questions[[#This Row],[qno]]),VALUE(stable[qno]),0))</f>
        <v>0</v>
      </c>
      <c r="O1659" s="9" t="b" cm="1">
        <f t="array" ref="O1659">INDEX(stable[is_numerical],MATCH(VALUE(questions[[#This Row],[qno]]),VALUE(stable[qno]),0))</f>
        <v>0</v>
      </c>
      <c r="P1659" s="77" t="b" cm="1">
        <f t="array" ref="P1659">INDEX(stable[is_single_select],MATCH(VALUE(questions[[#This Row],[qno]]),VALUE(stable[qno]),0))</f>
        <v>1</v>
      </c>
      <c r="Q1659" s="77" t="b" cm="1">
        <f t="array" ref="Q1659">INDEX(stable[is_multi_select],MATCH(VALUE(questions[[#This Row],[qno]]),VALUE(stable[qno]),0))</f>
        <v>0</v>
      </c>
      <c r="R1659" s="77" t="b" cm="1">
        <f t="array" ref="R1659">INDEX(stable[is_skip_logic],MATCH(VALUE(questions[[#This Row],[qno]]),VALUE(stable[qno]),0))</f>
        <v>1</v>
      </c>
      <c r="S1659" s="77" t="str">
        <f>_xlfn.TEXTJOIN(", ",TRUE,questions[[#This Row],[ans_opt_1]:[ans_opt_14]])</f>
        <v>No, Yes-Terracing, Yes-Trenches, Yes-Windbreaks, Yes-Mulching, Yes-Cover Crops, Yes-Water dykes, Yes-Contour Planting, Yes-A combination of previous practices, Yes-Other practices</v>
      </c>
      <c r="T1659" s="77" t="s">
        <v>119</v>
      </c>
      <c r="U1659" s="77" t="s">
        <v>351</v>
      </c>
      <c r="V1659" s="77" t="s">
        <v>352</v>
      </c>
      <c r="W1659" s="77" t="s">
        <v>353</v>
      </c>
      <c r="X1659" s="77" t="s">
        <v>354</v>
      </c>
      <c r="Y1659" s="77" t="s">
        <v>355</v>
      </c>
      <c r="Z1659" s="77" t="s">
        <v>356</v>
      </c>
      <c r="AA1659" s="77" t="s">
        <v>357</v>
      </c>
      <c r="AB1659" s="77" t="s">
        <v>358</v>
      </c>
      <c r="AC1659" s="77" t="s">
        <v>359</v>
      </c>
      <c r="AH1659" s="98" t="b">
        <f>INDEX(stable[q_standard],MATCH(questions[[#This Row],[qno]],stable[qno],0))</f>
        <v>0</v>
      </c>
      <c r="AI1659" s="98" t="b">
        <f>INDEX(stable[q_living_income],MATCH(questions[[#This Row],[qno]],stable[qno],0))</f>
        <v>0</v>
      </c>
      <c r="AJ1659" s="98" t="b">
        <f>INDEX(stable[q_carbon],MATCH(questions[[#This Row],[qno]],stable[qno],0))</f>
        <v>0</v>
      </c>
      <c r="AK1659" s="98" t="b">
        <f>INDEX(stable[q_regen_ag],MATCH(questions[[#This Row],[qno]],stable[qno],0))</f>
        <v>1</v>
      </c>
      <c r="AL1659" s="98" t="b">
        <f>COUNTIFS(stable[qno],questions[[#This Row],[qno]])=1</f>
        <v>1</v>
      </c>
      <c r="AM1659" s="98" t="b">
        <f>OR(questions[[#This Row],[is_fixed]],questions[[#This Row],[is_localized]],questions[[#This Row],[is_supply_chain_dependent]])</f>
        <v>1</v>
      </c>
      <c r="AN1659" s="98" t="b">
        <f>COUNTIFS(questions[[#This Row],[is_automated]:[is_multi_select]],TRUE)=1</f>
        <v>1</v>
      </c>
      <c r="AO1659" s="98" t="b">
        <f>IF(questions[[#This Row],[is_fixed]],questions[[#This Row],[question]]=INDEX(stable[question],MATCH(questions[[#This Row],[qno]],stable[qno],0)),TRUE)</f>
        <v>0</v>
      </c>
      <c r="AP1659" s="98" t="str">
        <f>LEFT(questions[[#This Row],[question]],similarity_range)</f>
        <v xml:space="preserve">If there is erosion </v>
      </c>
      <c r="AQ1659" s="98" t="str">
        <f>LEFT(INDEX(stable[question],MATCH(questions[[#This Row],[qno]],stable[qno],0)),similarity_range)</f>
        <v xml:space="preserve">If there is erosion </v>
      </c>
      <c r="AR1659" s="98" t="b">
        <f>questions[[#This Row],[question_first_characters]]=questions[[#This Row],[stability_first_characters]]</f>
        <v>1</v>
      </c>
      <c r="AS1659" s="98" t="b">
        <f>IF(OR(questions[[#This Row],[is_single_select]],questions[[#This Row],[is_multi_select]]),NOT(ISBLANK(questions[[#This Row],[answer_opt_combined]])),TRUE)</f>
        <v>1</v>
      </c>
    </row>
    <row r="1660" spans="1:45" s="77" customFormat="1" ht="15.75" customHeight="1" x14ac:dyDescent="0.25">
      <c r="A1660" s="77" t="str">
        <f>_xlfn.TEXTJOIN("_",TRUE,questions[[#This Row],[origin]:[qno]])</f>
        <v>Burundi_Arabica_IKAWA RES PROJECT_2026_7115</v>
      </c>
      <c r="B1660" s="77" t="s">
        <v>1057</v>
      </c>
      <c r="C1660" s="77" t="s">
        <v>59</v>
      </c>
      <c r="D1660" s="77" t="s">
        <v>1058</v>
      </c>
      <c r="E1660" s="77">
        <v>2026</v>
      </c>
      <c r="F1660" s="105" t="s">
        <v>360</v>
      </c>
      <c r="G1660" s="78" t="s">
        <v>361</v>
      </c>
      <c r="H1660" s="9" t="str" cm="1">
        <f t="array" ref="H1660">INDEX(stableR[question],MATCH(VALUE(questions[[#This Row],[qno]]),VALUE(stableR[qno]),0))</f>
        <v>Of the area of your coffee plots with risk of erosion, can you estimate the % or proportion of that area to which you apply anti-erosion measures/control?</v>
      </c>
      <c r="I1660" s="9" t="b" cm="1">
        <f t="array" ref="I1660">INDEX(stable[is_fixed],MATCH(VALUE(questions[[#This Row],[qno]]),VALUE(stable[qno]),0))</f>
        <v>1</v>
      </c>
      <c r="J1660" s="9" t="b" cm="1">
        <f t="array" ref="J1660">INDEX(stable[is_localized],MATCH(VALUE(questions[[#This Row],[qno]]),VALUE(stable[qno]),0))</f>
        <v>0</v>
      </c>
      <c r="K1660" s="9" t="b" cm="1">
        <f t="array" ref="K1660">INDEX(stable[is_supply_chain_dependent],MATCH(VALUE(questions[[#This Row],[qno]]),VALUE(stable[qno]),0))</f>
        <v>0</v>
      </c>
      <c r="L1660" s="9" t="b" cm="1">
        <f t="array" ref="L1660">INDEX(stable[is_mandatory],MATCH(VALUE(questions[[#This Row],[qno]]),VALUE(stable[qno]),0))</f>
        <v>0</v>
      </c>
      <c r="M1660" s="9" t="b" cm="1">
        <f t="array" ref="M1660">INDEX(stable[is_automated],MATCH(VALUE(questions[[#This Row],[qno]]),VALUE(stable[qno]),0))</f>
        <v>0</v>
      </c>
      <c r="N1660" s="9" t="b" cm="1">
        <f t="array" ref="N1660">INDEX(stable[is_free_text],MATCH(VALUE(questions[[#This Row],[qno]]),VALUE(stable[qno]),0))</f>
        <v>0</v>
      </c>
      <c r="O1660" s="9" t="b" cm="1">
        <f t="array" ref="O1660">INDEX(stable[is_numerical],MATCH(VALUE(questions[[#This Row],[qno]]),VALUE(stable[qno]),0))</f>
        <v>0</v>
      </c>
      <c r="P1660" s="77" t="b" cm="1">
        <f t="array" ref="P1660">INDEX(stable[is_single_select],MATCH(VALUE(questions[[#This Row],[qno]]),VALUE(stable[qno]),0))</f>
        <v>1</v>
      </c>
      <c r="Q1660" s="77" t="b" cm="1">
        <f t="array" ref="Q1660">INDEX(stable[is_multi_select],MATCH(VALUE(questions[[#This Row],[qno]]),VALUE(stable[qno]),0))</f>
        <v>0</v>
      </c>
      <c r="R1660" s="77" t="b" cm="1">
        <f t="array" ref="R1660">INDEX(stable[is_skip_logic],MATCH(VALUE(questions[[#This Row],[qno]]),VALUE(stable[qno]),0))</f>
        <v>1</v>
      </c>
      <c r="S1660" s="77" t="str">
        <f>_xlfn.TEXTJOIN(", ",TRUE,questions[[#This Row],[ans_opt_1]:[ans_opt_14]])</f>
        <v>0% - none, 1% to 25% - little to a quarter, 26% to 50% - less than half, 51% to 75% - more than half, 76% to 100% - almost all</v>
      </c>
      <c r="T1660" s="77" t="s">
        <v>362</v>
      </c>
      <c r="U1660" s="77" t="s">
        <v>338</v>
      </c>
      <c r="V1660" s="77" t="s">
        <v>339</v>
      </c>
      <c r="W1660" s="77" t="s">
        <v>340</v>
      </c>
      <c r="X1660" s="77" t="s">
        <v>341</v>
      </c>
      <c r="AH1660" s="98" t="b">
        <f>INDEX(stable[q_standard],MATCH(questions[[#This Row],[qno]],stable[qno],0))</f>
        <v>0</v>
      </c>
      <c r="AI1660" s="98" t="b">
        <f>INDEX(stable[q_living_income],MATCH(questions[[#This Row],[qno]],stable[qno],0))</f>
        <v>0</v>
      </c>
      <c r="AJ1660" s="98" t="b">
        <f>INDEX(stable[q_carbon],MATCH(questions[[#This Row],[qno]],stable[qno],0))</f>
        <v>0</v>
      </c>
      <c r="AK1660" s="98" t="b">
        <f>INDEX(stable[q_regen_ag],MATCH(questions[[#This Row],[qno]],stable[qno],0))</f>
        <v>1</v>
      </c>
      <c r="AL1660" s="98" t="b">
        <f>COUNTIFS(stable[qno],questions[[#This Row],[qno]])=1</f>
        <v>1</v>
      </c>
      <c r="AM1660" s="98" t="b">
        <f>OR(questions[[#This Row],[is_fixed]],questions[[#This Row],[is_localized]],questions[[#This Row],[is_supply_chain_dependent]])</f>
        <v>1</v>
      </c>
      <c r="AN1660" s="98" t="b">
        <f>COUNTIFS(questions[[#This Row],[is_automated]:[is_multi_select]],TRUE)=1</f>
        <v>1</v>
      </c>
      <c r="AO1660" s="98" t="b">
        <f>IF(questions[[#This Row],[is_fixed]],questions[[#This Row],[question]]=INDEX(stable[question],MATCH(questions[[#This Row],[qno]],stable[qno],0)),TRUE)</f>
        <v>1</v>
      </c>
      <c r="AP1660" s="98" t="str">
        <f>LEFT(questions[[#This Row],[question]],similarity_range)</f>
        <v xml:space="preserve">Of the area of your </v>
      </c>
      <c r="AQ1660" s="98" t="str">
        <f>LEFT(INDEX(stable[question],MATCH(questions[[#This Row],[qno]],stable[qno],0)),similarity_range)</f>
        <v xml:space="preserve">Of the area of your </v>
      </c>
      <c r="AR1660" s="98" t="b">
        <f>questions[[#This Row],[question_first_characters]]=questions[[#This Row],[stability_first_characters]]</f>
        <v>1</v>
      </c>
      <c r="AS1660" s="98" t="b">
        <f>IF(OR(questions[[#This Row],[is_single_select]],questions[[#This Row],[is_multi_select]]),NOT(ISBLANK(questions[[#This Row],[answer_opt_combined]])),TRUE)</f>
        <v>1</v>
      </c>
    </row>
    <row r="1661" spans="1:45" s="77" customFormat="1" ht="15.75" customHeight="1" x14ac:dyDescent="0.25">
      <c r="A1661" s="77" t="str">
        <f>_xlfn.TEXTJOIN("_",TRUE,questions[[#This Row],[origin]:[qno]])</f>
        <v>Burundi_Arabica_IKAWA RES PROJECT_2026_7126</v>
      </c>
      <c r="B1661" s="77" t="s">
        <v>1057</v>
      </c>
      <c r="C1661" s="77" t="s">
        <v>59</v>
      </c>
      <c r="D1661" s="77" t="s">
        <v>1058</v>
      </c>
      <c r="E1661" s="77">
        <v>2026</v>
      </c>
      <c r="F1661" s="105" t="s">
        <v>363</v>
      </c>
      <c r="G1661" s="78" t="s">
        <v>795</v>
      </c>
      <c r="H1661" s="9" t="str" cm="1">
        <f t="array" ref="H1661">INDEX(stableR[question],MATCH(VALUE(questions[[#This Row],[qno]]),VALUE(stableR[qno]),0))</f>
        <v>Do you take soil samples and carry out soil analysis of your coffee plots and how often?</v>
      </c>
      <c r="I1661" s="9" t="b" cm="1">
        <f t="array" ref="I1661">INDEX(stable[is_fixed],MATCH(VALUE(questions[[#This Row],[qno]]),VALUE(stable[qno]),0))</f>
        <v>1</v>
      </c>
      <c r="J1661" s="9" t="b" cm="1">
        <f t="array" ref="J1661">INDEX(stable[is_localized],MATCH(VALUE(questions[[#This Row],[qno]]),VALUE(stable[qno]),0))</f>
        <v>0</v>
      </c>
      <c r="K1661" s="9" t="b" cm="1">
        <f t="array" ref="K1661">INDEX(stable[is_supply_chain_dependent],MATCH(VALUE(questions[[#This Row],[qno]]),VALUE(stable[qno]),0))</f>
        <v>0</v>
      </c>
      <c r="L1661" s="9" t="b" cm="1">
        <f t="array" ref="L1661">INDEX(stable[is_mandatory],MATCH(VALUE(questions[[#This Row],[qno]]),VALUE(stable[qno]),0))</f>
        <v>1</v>
      </c>
      <c r="M1661" s="9" t="b" cm="1">
        <f t="array" ref="M1661">INDEX(stable[is_automated],MATCH(VALUE(questions[[#This Row],[qno]]),VALUE(stable[qno]),0))</f>
        <v>0</v>
      </c>
      <c r="N1661" s="9" t="b" cm="1">
        <f t="array" ref="N1661">INDEX(stable[is_free_text],MATCH(VALUE(questions[[#This Row],[qno]]),VALUE(stable[qno]),0))</f>
        <v>0</v>
      </c>
      <c r="O1661" s="9" t="b" cm="1">
        <f t="array" ref="O1661">INDEX(stable[is_numerical],MATCH(VALUE(questions[[#This Row],[qno]]),VALUE(stable[qno]),0))</f>
        <v>0</v>
      </c>
      <c r="P1661" s="77" t="b" cm="1">
        <f t="array" ref="P1661">INDEX(stable[is_single_select],MATCH(VALUE(questions[[#This Row],[qno]]),VALUE(stable[qno]),0))</f>
        <v>1</v>
      </c>
      <c r="Q1661" s="77" t="b" cm="1">
        <f t="array" ref="Q1661">INDEX(stable[is_multi_select],MATCH(VALUE(questions[[#This Row],[qno]]),VALUE(stable[qno]),0))</f>
        <v>0</v>
      </c>
      <c r="R1661" s="77" t="b" cm="1">
        <f t="array" ref="R1661">INDEX(stable[is_skip_logic],MATCH(VALUE(questions[[#This Row],[qno]]),VALUE(stable[qno]),0))</f>
        <v>1</v>
      </c>
      <c r="S1661" s="77" t="str">
        <f>_xlfn.TEXTJOIN(", ",TRUE,questions[[#This Row],[ans_opt_1]:[ans_opt_14]])</f>
        <v>No, Yes-every year, Yes-every 2 years, Yes-every 3 years, Yes-every &gt; 3 years</v>
      </c>
      <c r="T1661" s="77" t="s">
        <v>119</v>
      </c>
      <c r="U1661" s="77" t="s">
        <v>365</v>
      </c>
      <c r="V1661" s="77" t="s">
        <v>366</v>
      </c>
      <c r="W1661" s="77" t="s">
        <v>367</v>
      </c>
      <c r="X1661" s="77" t="s">
        <v>368</v>
      </c>
      <c r="AH1661" s="98" t="b">
        <f>INDEX(stable[q_standard],MATCH(questions[[#This Row],[qno]],stable[qno],0))</f>
        <v>0</v>
      </c>
      <c r="AI1661" s="98" t="b">
        <f>INDEX(stable[q_living_income],MATCH(questions[[#This Row],[qno]],stable[qno],0))</f>
        <v>0</v>
      </c>
      <c r="AJ1661" s="98" t="b">
        <f>INDEX(stable[q_carbon],MATCH(questions[[#This Row],[qno]],stable[qno],0))</f>
        <v>0</v>
      </c>
      <c r="AK1661" s="98" t="b">
        <f>INDEX(stable[q_regen_ag],MATCH(questions[[#This Row],[qno]],stable[qno],0))</f>
        <v>1</v>
      </c>
      <c r="AL1661" s="98" t="b">
        <f>COUNTIFS(stable[qno],questions[[#This Row],[qno]])=1</f>
        <v>1</v>
      </c>
      <c r="AM1661" s="98" t="b">
        <f>OR(questions[[#This Row],[is_fixed]],questions[[#This Row],[is_localized]],questions[[#This Row],[is_supply_chain_dependent]])</f>
        <v>1</v>
      </c>
      <c r="AN1661" s="98" t="b">
        <f>COUNTIFS(questions[[#This Row],[is_automated]:[is_multi_select]],TRUE)=1</f>
        <v>1</v>
      </c>
      <c r="AO1661" s="98" t="b">
        <f>IF(questions[[#This Row],[is_fixed]],questions[[#This Row],[question]]=INDEX(stable[question],MATCH(questions[[#This Row],[qno]],stable[qno],0)),TRUE)</f>
        <v>0</v>
      </c>
      <c r="AP1661" s="98" t="str">
        <f>LEFT(questions[[#This Row],[question]],similarity_range)</f>
        <v>Do you or someone el</v>
      </c>
      <c r="AQ1661" s="98" t="str">
        <f>LEFT(INDEX(stable[question],MATCH(questions[[#This Row],[qno]],stable[qno],0)),similarity_range)</f>
        <v>Do you take soil sam</v>
      </c>
      <c r="AR1661" s="98" t="b">
        <f>questions[[#This Row],[question_first_characters]]=questions[[#This Row],[stability_first_characters]]</f>
        <v>0</v>
      </c>
      <c r="AS1661" s="98" t="b">
        <f>IF(OR(questions[[#This Row],[is_single_select]],questions[[#This Row],[is_multi_select]]),NOT(ISBLANK(questions[[#This Row],[answer_opt_combined]])),TRUE)</f>
        <v>1</v>
      </c>
    </row>
    <row r="1662" spans="1:45" s="77" customFormat="1" ht="15.75" customHeight="1" x14ac:dyDescent="0.25">
      <c r="A1662" s="77" t="str">
        <f>_xlfn.TEXTJOIN("_",TRUE,questions[[#This Row],[origin]:[qno]])</f>
        <v>Burundi_Arabica_IKAWA RES PROJECT_2026_7127</v>
      </c>
      <c r="B1662" s="77" t="s">
        <v>1057</v>
      </c>
      <c r="C1662" s="77" t="s">
        <v>59</v>
      </c>
      <c r="D1662" s="77" t="s">
        <v>1058</v>
      </c>
      <c r="E1662" s="77">
        <v>2026</v>
      </c>
      <c r="F1662" s="105" t="s">
        <v>369</v>
      </c>
      <c r="G1662" s="78" t="s">
        <v>370</v>
      </c>
      <c r="H1662" s="9" t="str" cm="1">
        <f t="array" ref="H1662">INDEX(stableR[question],MATCH(VALUE(questions[[#This Row],[qno]]),VALUE(stableR[qno]),0))</f>
        <v>If you don´t or last analysis is older than 3 years ago, do you know the basic characteristics of the soil of your coffee plots (e.g. pH-acidity, texture-light/medium/heavy, organic matter-high/good/poor, general fertility-good/average/poor...)?</v>
      </c>
      <c r="I1662" s="9" t="b" cm="1">
        <f t="array" ref="I1662">INDEX(stable[is_fixed],MATCH(VALUE(questions[[#This Row],[qno]]),VALUE(stable[qno]),0))</f>
        <v>1</v>
      </c>
      <c r="J1662" s="9" t="b" cm="1">
        <f t="array" ref="J1662">INDEX(stable[is_localized],MATCH(VALUE(questions[[#This Row],[qno]]),VALUE(stable[qno]),0))</f>
        <v>0</v>
      </c>
      <c r="K1662" s="9" t="b" cm="1">
        <f t="array" ref="K1662">INDEX(stable[is_supply_chain_dependent],MATCH(VALUE(questions[[#This Row],[qno]]),VALUE(stable[qno]),0))</f>
        <v>0</v>
      </c>
      <c r="L1662" s="9" t="b" cm="1">
        <f t="array" ref="L1662">INDEX(stable[is_mandatory],MATCH(VALUE(questions[[#This Row],[qno]]),VALUE(stable[qno]),0))</f>
        <v>0</v>
      </c>
      <c r="M1662" s="9" t="b" cm="1">
        <f t="array" ref="M1662">INDEX(stable[is_automated],MATCH(VALUE(questions[[#This Row],[qno]]),VALUE(stable[qno]),0))</f>
        <v>0</v>
      </c>
      <c r="N1662" s="9" t="b" cm="1">
        <f t="array" ref="N1662">INDEX(stable[is_free_text],MATCH(VALUE(questions[[#This Row],[qno]]),VALUE(stable[qno]),0))</f>
        <v>0</v>
      </c>
      <c r="O1662" s="9" t="b" cm="1">
        <f t="array" ref="O1662">INDEX(stable[is_numerical],MATCH(VALUE(questions[[#This Row],[qno]]),VALUE(stable[qno]),0))</f>
        <v>0</v>
      </c>
      <c r="P1662" s="77" t="b" cm="1">
        <f t="array" ref="P1662">INDEX(stable[is_single_select],MATCH(VALUE(questions[[#This Row],[qno]]),VALUE(stable[qno]),0))</f>
        <v>1</v>
      </c>
      <c r="Q1662" s="77" t="b" cm="1">
        <f t="array" ref="Q1662">INDEX(stable[is_multi_select],MATCH(VALUE(questions[[#This Row],[qno]]),VALUE(stable[qno]),0))</f>
        <v>0</v>
      </c>
      <c r="R1662" s="77" t="b" cm="1">
        <f t="array" ref="R1662">INDEX(stable[is_skip_logic],MATCH(VALUE(questions[[#This Row],[qno]]),VALUE(stable[qno]),0))</f>
        <v>1</v>
      </c>
      <c r="S1662" s="77" t="str">
        <f>_xlfn.TEXTJOIN(", ",TRUE,questions[[#This Row],[ans_opt_1]:[ans_opt_14]])</f>
        <v>Yes, No</v>
      </c>
      <c r="T1662" s="77" t="s">
        <v>149</v>
      </c>
      <c r="U1662" s="77" t="s">
        <v>119</v>
      </c>
      <c r="AH1662" s="98" t="b">
        <f>INDEX(stable[q_standard],MATCH(questions[[#This Row],[qno]],stable[qno],0))</f>
        <v>0</v>
      </c>
      <c r="AI1662" s="98" t="b">
        <f>INDEX(stable[q_living_income],MATCH(questions[[#This Row],[qno]],stable[qno],0))</f>
        <v>0</v>
      </c>
      <c r="AJ1662" s="98" t="b">
        <f>INDEX(stable[q_carbon],MATCH(questions[[#This Row],[qno]],stable[qno],0))</f>
        <v>0</v>
      </c>
      <c r="AK1662" s="98" t="b">
        <f>INDEX(stable[q_regen_ag],MATCH(questions[[#This Row],[qno]],stable[qno],0))</f>
        <v>1</v>
      </c>
      <c r="AL1662" s="98" t="b">
        <f>COUNTIFS(stable[qno],questions[[#This Row],[qno]])=1</f>
        <v>1</v>
      </c>
      <c r="AM1662" s="98" t="b">
        <f>OR(questions[[#This Row],[is_fixed]],questions[[#This Row],[is_localized]],questions[[#This Row],[is_supply_chain_dependent]])</f>
        <v>1</v>
      </c>
      <c r="AN1662" s="98" t="b">
        <f>COUNTIFS(questions[[#This Row],[is_automated]:[is_multi_select]],TRUE)=1</f>
        <v>1</v>
      </c>
      <c r="AO1662" s="98" t="b">
        <f>IF(questions[[#This Row],[is_fixed]],questions[[#This Row],[question]]=INDEX(stable[question],MATCH(questions[[#This Row],[qno]],stable[qno],0)),TRUE)</f>
        <v>1</v>
      </c>
      <c r="AP1662" s="98" t="str">
        <f>LEFT(questions[[#This Row],[question]],similarity_range)</f>
        <v>If you don´t or last</v>
      </c>
      <c r="AQ1662" s="98" t="str">
        <f>LEFT(INDEX(stable[question],MATCH(questions[[#This Row],[qno]],stable[qno],0)),similarity_range)</f>
        <v>If you don´t or last</v>
      </c>
      <c r="AR1662" s="98" t="b">
        <f>questions[[#This Row],[question_first_characters]]=questions[[#This Row],[stability_first_characters]]</f>
        <v>1</v>
      </c>
      <c r="AS1662" s="98" t="b">
        <f>IF(OR(questions[[#This Row],[is_single_select]],questions[[#This Row],[is_multi_select]]),NOT(ISBLANK(questions[[#This Row],[answer_opt_combined]])),TRUE)</f>
        <v>1</v>
      </c>
    </row>
    <row r="1663" spans="1:45" s="77" customFormat="1" ht="15.75" customHeight="1" x14ac:dyDescent="0.25">
      <c r="A1663" s="77" t="str">
        <f>_xlfn.TEXTJOIN("_",TRUE,questions[[#This Row],[origin]:[qno]])</f>
        <v>Burundi_Arabica_IKAWA RES PROJECT_2026_7128</v>
      </c>
      <c r="B1663" s="77" t="s">
        <v>1057</v>
      </c>
      <c r="C1663" s="77" t="s">
        <v>59</v>
      </c>
      <c r="D1663" s="77" t="s">
        <v>1058</v>
      </c>
      <c r="E1663" s="77">
        <v>2026</v>
      </c>
      <c r="F1663" s="105" t="s">
        <v>371</v>
      </c>
      <c r="G1663" s="78" t="s">
        <v>372</v>
      </c>
      <c r="H1663" s="9" t="str" cm="1">
        <f t="array" ref="H1663">INDEX(stableR[question],MATCH(VALUE(questions[[#This Row],[qno]]),VALUE(stableR[qno]),0))</f>
        <v>What is the most common system to determine the amount and/or the type of organic and synthetic fertilizers that you use in your coffee crop?</v>
      </c>
      <c r="I1663" s="9" t="b" cm="1">
        <f t="array" ref="I1663">INDEX(stable[is_fixed],MATCH(VALUE(questions[[#This Row],[qno]]),VALUE(stable[qno]),0))</f>
        <v>1</v>
      </c>
      <c r="J1663" s="9" t="b" cm="1">
        <f t="array" ref="J1663">INDEX(stable[is_localized],MATCH(VALUE(questions[[#This Row],[qno]]),VALUE(stable[qno]),0))</f>
        <v>0</v>
      </c>
      <c r="K1663" s="9" t="b" cm="1">
        <f t="array" ref="K1663">INDEX(stable[is_supply_chain_dependent],MATCH(VALUE(questions[[#This Row],[qno]]),VALUE(stable[qno]),0))</f>
        <v>0</v>
      </c>
      <c r="L1663" s="9" t="b" cm="1">
        <f t="array" ref="L1663">INDEX(stable[is_mandatory],MATCH(VALUE(questions[[#This Row],[qno]]),VALUE(stable[qno]),0))</f>
        <v>1</v>
      </c>
      <c r="M1663" s="9" t="b" cm="1">
        <f t="array" ref="M1663">INDEX(stable[is_automated],MATCH(VALUE(questions[[#This Row],[qno]]),VALUE(stable[qno]),0))</f>
        <v>0</v>
      </c>
      <c r="N1663" s="9" t="b" cm="1">
        <f t="array" ref="N1663">INDEX(stable[is_free_text],MATCH(VALUE(questions[[#This Row],[qno]]),VALUE(stable[qno]),0))</f>
        <v>0</v>
      </c>
      <c r="O1663" s="9" t="b" cm="1">
        <f t="array" ref="O1663">INDEX(stable[is_numerical],MATCH(VALUE(questions[[#This Row],[qno]]),VALUE(stable[qno]),0))</f>
        <v>0</v>
      </c>
      <c r="P1663" s="77" t="b" cm="1">
        <f t="array" ref="P1663">INDEX(stable[is_single_select],MATCH(VALUE(questions[[#This Row],[qno]]),VALUE(stable[qno]),0))</f>
        <v>1</v>
      </c>
      <c r="Q1663" s="77" t="b" cm="1">
        <f t="array" ref="Q1663">INDEX(stable[is_multi_select],MATCH(VALUE(questions[[#This Row],[qno]]),VALUE(stable[qno]),0))</f>
        <v>0</v>
      </c>
      <c r="R1663" s="77" t="b" cm="1">
        <f t="array" ref="R1663">INDEX(stable[is_skip_logic],MATCH(VALUE(questions[[#This Row],[qno]]),VALUE(stable[qno]),0))</f>
        <v>0</v>
      </c>
      <c r="S1663" s="77" t="str">
        <f>_xlfn.TEXTJOIN(", ",TRUE,questions[[#This Row],[ans_opt_1]:[ans_opt_14]])</f>
        <v>Based on my own judgment-experience, Based on what I can afford, I always use the same fertilization, Based on soil analysis or soil knowledge, Based on soil analysis or soil knowledge and the expected yield of the crop, Based on recommendations from experts (agronomists, field officers, extension services...) , Based on recommendations from input suppliers, I don't use organic or synthetic fertilizers, based on other reasons then the above options</v>
      </c>
      <c r="T1663" s="77" t="s">
        <v>373</v>
      </c>
      <c r="U1663" s="77" t="s">
        <v>374</v>
      </c>
      <c r="V1663" s="77" t="s">
        <v>375</v>
      </c>
      <c r="W1663" s="77" t="s">
        <v>376</v>
      </c>
      <c r="X1663" s="77" t="s">
        <v>377</v>
      </c>
      <c r="Y1663" s="77" t="s">
        <v>796</v>
      </c>
      <c r="Z1663" s="77" t="s">
        <v>379</v>
      </c>
      <c r="AA1663" s="77" t="s">
        <v>380</v>
      </c>
      <c r="AH1663" s="98" t="b">
        <f>INDEX(stable[q_standard],MATCH(questions[[#This Row],[qno]],stable[qno],0))</f>
        <v>0</v>
      </c>
      <c r="AI1663" s="98" t="b">
        <f>INDEX(stable[q_living_income],MATCH(questions[[#This Row],[qno]],stable[qno],0))</f>
        <v>0</v>
      </c>
      <c r="AJ1663" s="98" t="b">
        <f>INDEX(stable[q_carbon],MATCH(questions[[#This Row],[qno]],stable[qno],0))</f>
        <v>0</v>
      </c>
      <c r="AK1663" s="98" t="b">
        <f>INDEX(stable[q_regen_ag],MATCH(questions[[#This Row],[qno]],stable[qno],0))</f>
        <v>1</v>
      </c>
      <c r="AL1663" s="98" t="b">
        <f>COUNTIFS(stable[qno],questions[[#This Row],[qno]])=1</f>
        <v>1</v>
      </c>
      <c r="AM1663" s="98" t="b">
        <f>OR(questions[[#This Row],[is_fixed]],questions[[#This Row],[is_localized]],questions[[#This Row],[is_supply_chain_dependent]])</f>
        <v>1</v>
      </c>
      <c r="AN1663" s="98" t="b">
        <f>COUNTIFS(questions[[#This Row],[is_automated]:[is_multi_select]],TRUE)=1</f>
        <v>1</v>
      </c>
      <c r="AO1663" s="98" t="b">
        <f>IF(questions[[#This Row],[is_fixed]],questions[[#This Row],[question]]=INDEX(stable[question],MATCH(questions[[#This Row],[qno]],stable[qno],0)),TRUE)</f>
        <v>1</v>
      </c>
      <c r="AP1663" s="98" t="str">
        <f>LEFT(questions[[#This Row],[question]],similarity_range)</f>
        <v>What is the most com</v>
      </c>
      <c r="AQ1663" s="98" t="str">
        <f>LEFT(INDEX(stable[question],MATCH(questions[[#This Row],[qno]],stable[qno],0)),similarity_range)</f>
        <v>What is the most com</v>
      </c>
      <c r="AR1663" s="98" t="b">
        <f>questions[[#This Row],[question_first_characters]]=questions[[#This Row],[stability_first_characters]]</f>
        <v>1</v>
      </c>
      <c r="AS1663" s="98" t="b">
        <f>IF(OR(questions[[#This Row],[is_single_select]],questions[[#This Row],[is_multi_select]]),NOT(ISBLANK(questions[[#This Row],[answer_opt_combined]])),TRUE)</f>
        <v>1</v>
      </c>
    </row>
    <row r="1664" spans="1:45" s="77" customFormat="1" ht="15.75" customHeight="1" x14ac:dyDescent="0.25">
      <c r="A1664" s="77" t="str">
        <f>_xlfn.TEXTJOIN("_",TRUE,questions[[#This Row],[origin]:[qno]])</f>
        <v>Burundi_Arabica_IKAWA RES PROJECT_2026_7131</v>
      </c>
      <c r="B1664" s="77" t="s">
        <v>1057</v>
      </c>
      <c r="C1664" s="77" t="s">
        <v>59</v>
      </c>
      <c r="D1664" s="77" t="s">
        <v>1058</v>
      </c>
      <c r="E1664" s="77">
        <v>2026</v>
      </c>
      <c r="F1664" s="105" t="s">
        <v>381</v>
      </c>
      <c r="G1664" s="78" t="s">
        <v>382</v>
      </c>
      <c r="H1664" s="9" t="str" cm="1">
        <f t="array" ref="H1664">INDEX(stableR[question],MATCH(VALUE(questions[[#This Row],[qno]]),VALUE(stableR[qno]),0))</f>
        <v>How often do you apply synthetic fertilizer per season in your coffee crop?</v>
      </c>
      <c r="I1664" s="9" t="b" cm="1">
        <f t="array" ref="I1664">INDEX(stable[is_fixed],MATCH(VALUE(questions[[#This Row],[qno]]),VALUE(stable[qno]),0))</f>
        <v>1</v>
      </c>
      <c r="J1664" s="9" t="b" cm="1">
        <f t="array" ref="J1664">INDEX(stable[is_localized],MATCH(VALUE(questions[[#This Row],[qno]]),VALUE(stable[qno]),0))</f>
        <v>0</v>
      </c>
      <c r="K1664" s="9" t="b" cm="1">
        <f t="array" ref="K1664">INDEX(stable[is_supply_chain_dependent],MATCH(VALUE(questions[[#This Row],[qno]]),VALUE(stable[qno]),0))</f>
        <v>0</v>
      </c>
      <c r="L1664" s="9" t="b" cm="1">
        <f t="array" ref="L1664">INDEX(stable[is_mandatory],MATCH(VALUE(questions[[#This Row],[qno]]),VALUE(stable[qno]),0))</f>
        <v>1</v>
      </c>
      <c r="M1664" s="9" t="b" cm="1">
        <f t="array" ref="M1664">INDEX(stable[is_automated],MATCH(VALUE(questions[[#This Row],[qno]]),VALUE(stable[qno]),0))</f>
        <v>0</v>
      </c>
      <c r="N1664" s="9" t="b" cm="1">
        <f t="array" ref="N1664">INDEX(stable[is_free_text],MATCH(VALUE(questions[[#This Row],[qno]]),VALUE(stable[qno]),0))</f>
        <v>0</v>
      </c>
      <c r="O1664" s="9" t="b" cm="1">
        <f t="array" ref="O1664">INDEX(stable[is_numerical],MATCH(VALUE(questions[[#This Row],[qno]]),VALUE(stable[qno]),0))</f>
        <v>0</v>
      </c>
      <c r="P1664" s="77" t="b" cm="1">
        <f t="array" ref="P1664">INDEX(stable[is_single_select],MATCH(VALUE(questions[[#This Row],[qno]]),VALUE(stable[qno]),0))</f>
        <v>1</v>
      </c>
      <c r="Q1664" s="77" t="b" cm="1">
        <f t="array" ref="Q1664">INDEX(stable[is_multi_select],MATCH(VALUE(questions[[#This Row],[qno]]),VALUE(stable[qno]),0))</f>
        <v>0</v>
      </c>
      <c r="R1664" s="77" t="b" cm="1">
        <f t="array" ref="R1664">INDEX(stable[is_skip_logic],MATCH(VALUE(questions[[#This Row],[qno]]),VALUE(stable[qno]),0))</f>
        <v>0</v>
      </c>
      <c r="S1664" s="77" t="str">
        <f>_xlfn.TEXTJOIN(", ",TRUE,questions[[#This Row],[ans_opt_1]:[ans_opt_14]])</f>
        <v>I don't apply, I apply once per season, I apply multiple times throughout the season</v>
      </c>
      <c r="T1664" s="77" t="s">
        <v>383</v>
      </c>
      <c r="U1664" s="77" t="s">
        <v>384</v>
      </c>
      <c r="V1664" s="77" t="s">
        <v>385</v>
      </c>
      <c r="AH1664" s="98" t="b">
        <f>INDEX(stable[q_standard],MATCH(questions[[#This Row],[qno]],stable[qno],0))</f>
        <v>0</v>
      </c>
      <c r="AI1664" s="98" t="b">
        <f>INDEX(stable[q_living_income],MATCH(questions[[#This Row],[qno]],stable[qno],0))</f>
        <v>0</v>
      </c>
      <c r="AJ1664" s="98" t="b">
        <f>INDEX(stable[q_carbon],MATCH(questions[[#This Row],[qno]],stable[qno],0))</f>
        <v>0</v>
      </c>
      <c r="AK1664" s="98" t="b">
        <f>INDEX(stable[q_regen_ag],MATCH(questions[[#This Row],[qno]],stable[qno],0))</f>
        <v>1</v>
      </c>
      <c r="AL1664" s="98" t="b">
        <f>COUNTIFS(stable[qno],questions[[#This Row],[qno]])=1</f>
        <v>1</v>
      </c>
      <c r="AM1664" s="98" t="b">
        <f>OR(questions[[#This Row],[is_fixed]],questions[[#This Row],[is_localized]],questions[[#This Row],[is_supply_chain_dependent]])</f>
        <v>1</v>
      </c>
      <c r="AN1664" s="98" t="b">
        <f>COUNTIFS(questions[[#This Row],[is_automated]:[is_multi_select]],TRUE)=1</f>
        <v>1</v>
      </c>
      <c r="AO1664" s="98" t="b">
        <f>IF(questions[[#This Row],[is_fixed]],questions[[#This Row],[question]]=INDEX(stable[question],MATCH(questions[[#This Row],[qno]],stable[qno],0)),TRUE)</f>
        <v>1</v>
      </c>
      <c r="AP1664" s="98" t="str">
        <f>LEFT(questions[[#This Row],[question]],similarity_range)</f>
        <v>How often do you app</v>
      </c>
      <c r="AQ1664" s="98" t="str">
        <f>LEFT(INDEX(stable[question],MATCH(questions[[#This Row],[qno]],stable[qno],0)),similarity_range)</f>
        <v>How often do you app</v>
      </c>
      <c r="AR1664" s="98" t="b">
        <f>questions[[#This Row],[question_first_characters]]=questions[[#This Row],[stability_first_characters]]</f>
        <v>1</v>
      </c>
      <c r="AS1664" s="98" t="b">
        <f>IF(OR(questions[[#This Row],[is_single_select]],questions[[#This Row],[is_multi_select]]),NOT(ISBLANK(questions[[#This Row],[answer_opt_combined]])),TRUE)</f>
        <v>1</v>
      </c>
    </row>
    <row r="1665" spans="1:45" s="77" customFormat="1" ht="15.75" customHeight="1" x14ac:dyDescent="0.25">
      <c r="A1665" s="77" t="str">
        <f>_xlfn.TEXTJOIN("_",TRUE,questions[[#This Row],[origin]:[qno]])</f>
        <v>Burundi_Arabica_IKAWA RES PROJECT_2026_7132</v>
      </c>
      <c r="B1665" s="77" t="s">
        <v>1057</v>
      </c>
      <c r="C1665" s="77" t="s">
        <v>59</v>
      </c>
      <c r="D1665" s="77" t="s">
        <v>1058</v>
      </c>
      <c r="E1665" s="77">
        <v>2026</v>
      </c>
      <c r="F1665" s="105" t="s">
        <v>386</v>
      </c>
      <c r="G1665" s="78" t="s">
        <v>387</v>
      </c>
      <c r="H1665" s="9" t="str" cm="1">
        <f t="array" ref="H1665">INDEX(stableR[question],MATCH(VALUE(questions[[#This Row],[qno]]),VALUE(stableR[qno]),0))</f>
        <v>How do you apply the organic and synthetic fertilizers to the coffee trees in the coffee plots?</v>
      </c>
      <c r="I1665" s="9" t="b" cm="1">
        <f t="array" ref="I1665">INDEX(stable[is_fixed],MATCH(VALUE(questions[[#This Row],[qno]]),VALUE(stable[qno]),0))</f>
        <v>1</v>
      </c>
      <c r="J1665" s="9" t="b" cm="1">
        <f t="array" ref="J1665">INDEX(stable[is_localized],MATCH(VALUE(questions[[#This Row],[qno]]),VALUE(stable[qno]),0))</f>
        <v>0</v>
      </c>
      <c r="K1665" s="9" t="b" cm="1">
        <f t="array" ref="K1665">INDEX(stable[is_supply_chain_dependent],MATCH(VALUE(questions[[#This Row],[qno]]),VALUE(stable[qno]),0))</f>
        <v>0</v>
      </c>
      <c r="L1665" s="9" t="b" cm="1">
        <f t="array" ref="L1665">INDEX(stable[is_mandatory],MATCH(VALUE(questions[[#This Row],[qno]]),VALUE(stable[qno]),0))</f>
        <v>0</v>
      </c>
      <c r="M1665" s="9" t="b" cm="1">
        <f t="array" ref="M1665">INDEX(stable[is_automated],MATCH(VALUE(questions[[#This Row],[qno]]),VALUE(stable[qno]),0))</f>
        <v>0</v>
      </c>
      <c r="N1665" s="9" t="b" cm="1">
        <f t="array" ref="N1665">INDEX(stable[is_free_text],MATCH(VALUE(questions[[#This Row],[qno]]),VALUE(stable[qno]),0))</f>
        <v>0</v>
      </c>
      <c r="O1665" s="9" t="b" cm="1">
        <f t="array" ref="O1665">INDEX(stable[is_numerical],MATCH(VALUE(questions[[#This Row],[qno]]),VALUE(stable[qno]),0))</f>
        <v>0</v>
      </c>
      <c r="P1665" s="77" t="b" cm="1">
        <f t="array" ref="P1665">INDEX(stable[is_single_select],MATCH(VALUE(questions[[#This Row],[qno]]),VALUE(stable[qno]),0))</f>
        <v>1</v>
      </c>
      <c r="Q1665" s="77" t="b" cm="1">
        <f t="array" ref="Q1665">INDEX(stable[is_multi_select],MATCH(VALUE(questions[[#This Row],[qno]]),VALUE(stable[qno]),0))</f>
        <v>0</v>
      </c>
      <c r="R1665" s="77" t="b" cm="1">
        <f t="array" ref="R1665">INDEX(stable[is_skip_logic],MATCH(VALUE(questions[[#This Row],[qno]]),VALUE(stable[qno]),0))</f>
        <v>0</v>
      </c>
      <c r="S1665" s="77" t="str">
        <f>_xlfn.TEXTJOIN(", ",TRUE,questions[[#This Row],[ans_opt_1]:[ans_opt_14]])</f>
        <v>Around the tree , In bands close to the trees, Broadcasted in all the field, Through the irrigation system (e.g. drip)</v>
      </c>
      <c r="T1665" s="77" t="s">
        <v>797</v>
      </c>
      <c r="U1665" s="77" t="s">
        <v>389</v>
      </c>
      <c r="V1665" s="77" t="s">
        <v>390</v>
      </c>
      <c r="W1665" s="77" t="s">
        <v>391</v>
      </c>
      <c r="AH1665" s="98" t="b">
        <f>INDEX(stable[q_standard],MATCH(questions[[#This Row],[qno]],stable[qno],0))</f>
        <v>0</v>
      </c>
      <c r="AI1665" s="98" t="b">
        <f>INDEX(stable[q_living_income],MATCH(questions[[#This Row],[qno]],stable[qno],0))</f>
        <v>0</v>
      </c>
      <c r="AJ1665" s="98" t="b">
        <f>INDEX(stable[q_carbon],MATCH(questions[[#This Row],[qno]],stable[qno],0))</f>
        <v>0</v>
      </c>
      <c r="AK1665" s="98" t="b">
        <f>INDEX(stable[q_regen_ag],MATCH(questions[[#This Row],[qno]],stable[qno],0))</f>
        <v>1</v>
      </c>
      <c r="AL1665" s="98" t="b">
        <f>COUNTIFS(stable[qno],questions[[#This Row],[qno]])=1</f>
        <v>1</v>
      </c>
      <c r="AM1665" s="98" t="b">
        <f>OR(questions[[#This Row],[is_fixed]],questions[[#This Row],[is_localized]],questions[[#This Row],[is_supply_chain_dependent]])</f>
        <v>1</v>
      </c>
      <c r="AN1665" s="98" t="b">
        <f>COUNTIFS(questions[[#This Row],[is_automated]:[is_multi_select]],TRUE)=1</f>
        <v>1</v>
      </c>
      <c r="AO1665" s="98" t="b">
        <f>IF(questions[[#This Row],[is_fixed]],questions[[#This Row],[question]]=INDEX(stable[question],MATCH(questions[[#This Row],[qno]],stable[qno],0)),TRUE)</f>
        <v>1</v>
      </c>
      <c r="AP1665" s="98" t="str">
        <f>LEFT(questions[[#This Row],[question]],similarity_range)</f>
        <v>How do you apply the</v>
      </c>
      <c r="AQ1665" s="98" t="str">
        <f>LEFT(INDEX(stable[question],MATCH(questions[[#This Row],[qno]],stable[qno],0)),similarity_range)</f>
        <v>How do you apply the</v>
      </c>
      <c r="AR1665" s="98" t="b">
        <f>questions[[#This Row],[question_first_characters]]=questions[[#This Row],[stability_first_characters]]</f>
        <v>1</v>
      </c>
      <c r="AS1665" s="98" t="b">
        <f>IF(OR(questions[[#This Row],[is_single_select]],questions[[#This Row],[is_multi_select]]),NOT(ISBLANK(questions[[#This Row],[answer_opt_combined]])),TRUE)</f>
        <v>1</v>
      </c>
    </row>
    <row r="1666" spans="1:45" s="77" customFormat="1" ht="15.75" customHeight="1" x14ac:dyDescent="0.25">
      <c r="A1666" s="77" t="str">
        <f>_xlfn.TEXTJOIN("_",TRUE,questions[[#This Row],[origin]:[qno]])</f>
        <v>Burundi_Arabica_IKAWA RES PROJECT_2026_7133</v>
      </c>
      <c r="B1666" s="77" t="s">
        <v>1057</v>
      </c>
      <c r="C1666" s="77" t="s">
        <v>59</v>
      </c>
      <c r="D1666" s="77" t="s">
        <v>1058</v>
      </c>
      <c r="E1666" s="77">
        <v>2026</v>
      </c>
      <c r="F1666" s="105" t="s">
        <v>392</v>
      </c>
      <c r="G1666" s="78" t="s">
        <v>798</v>
      </c>
      <c r="H1666" s="9" t="str" cm="1">
        <f t="array" ref="H1666">INDEX(stableR[question],MATCH(VALUE(questions[[#This Row],[qno]]),VALUE(stableR[qno]),0))</f>
        <v>Do you know the 4R principles of using organic and synthetic fertilizers in crops (Right Amount, Right Product, Right Time, Right Place)?</v>
      </c>
      <c r="I1666" s="9" t="b" cm="1">
        <f t="array" ref="I1666">INDEX(stable[is_fixed],MATCH(VALUE(questions[[#This Row],[qno]]),VALUE(stable[qno]),0))</f>
        <v>1</v>
      </c>
      <c r="J1666" s="9" t="b" cm="1">
        <f t="array" ref="J1666">INDEX(stable[is_localized],MATCH(VALUE(questions[[#This Row],[qno]]),VALUE(stable[qno]),0))</f>
        <v>0</v>
      </c>
      <c r="K1666" s="9" t="b" cm="1">
        <f t="array" ref="K1666">INDEX(stable[is_supply_chain_dependent],MATCH(VALUE(questions[[#This Row],[qno]]),VALUE(stable[qno]),0))</f>
        <v>0</v>
      </c>
      <c r="L1666" s="9" t="b" cm="1">
        <f t="array" ref="L1666">INDEX(stable[is_mandatory],MATCH(VALUE(questions[[#This Row],[qno]]),VALUE(stable[qno]),0))</f>
        <v>1</v>
      </c>
      <c r="M1666" s="9" t="b" cm="1">
        <f t="array" ref="M1666">INDEX(stable[is_automated],MATCH(VALUE(questions[[#This Row],[qno]]),VALUE(stable[qno]),0))</f>
        <v>0</v>
      </c>
      <c r="N1666" s="9" t="b" cm="1">
        <f t="array" ref="N1666">INDEX(stable[is_free_text],MATCH(VALUE(questions[[#This Row],[qno]]),VALUE(stable[qno]),0))</f>
        <v>0</v>
      </c>
      <c r="O1666" s="9" t="b" cm="1">
        <f t="array" ref="O1666">INDEX(stable[is_numerical],MATCH(VALUE(questions[[#This Row],[qno]]),VALUE(stable[qno]),0))</f>
        <v>0</v>
      </c>
      <c r="P1666" s="77" t="b" cm="1">
        <f t="array" ref="P1666">INDEX(stable[is_single_select],MATCH(VALUE(questions[[#This Row],[qno]]),VALUE(stable[qno]),0))</f>
        <v>1</v>
      </c>
      <c r="Q1666" s="77" t="b" cm="1">
        <f t="array" ref="Q1666">INDEX(stable[is_multi_select],MATCH(VALUE(questions[[#This Row],[qno]]),VALUE(stable[qno]),0))</f>
        <v>0</v>
      </c>
      <c r="R1666" s="77" t="b" cm="1">
        <f t="array" ref="R1666">INDEX(stable[is_skip_logic],MATCH(VALUE(questions[[#This Row],[qno]]),VALUE(stable[qno]),0))</f>
        <v>0</v>
      </c>
      <c r="S1666" s="77" t="str">
        <f>_xlfn.TEXTJOIN(", ",TRUE,questions[[#This Row],[ans_opt_1]:[ans_opt_14]])</f>
        <v>Yes, No</v>
      </c>
      <c r="T1666" s="77" t="s">
        <v>149</v>
      </c>
      <c r="U1666" s="77" t="s">
        <v>119</v>
      </c>
      <c r="AH1666" s="98" t="b">
        <f>INDEX(stable[q_standard],MATCH(questions[[#This Row],[qno]],stable[qno],0))</f>
        <v>0</v>
      </c>
      <c r="AI1666" s="98" t="b">
        <f>INDEX(stable[q_living_income],MATCH(questions[[#This Row],[qno]],stable[qno],0))</f>
        <v>0</v>
      </c>
      <c r="AJ1666" s="98" t="b">
        <f>INDEX(stable[q_carbon],MATCH(questions[[#This Row],[qno]],stable[qno],0))</f>
        <v>0</v>
      </c>
      <c r="AK1666" s="98" t="b">
        <f>INDEX(stable[q_regen_ag],MATCH(questions[[#This Row],[qno]],stable[qno],0))</f>
        <v>1</v>
      </c>
      <c r="AL1666" s="98" t="b">
        <f>COUNTIFS(stable[qno],questions[[#This Row],[qno]])=1</f>
        <v>1</v>
      </c>
      <c r="AM1666" s="98" t="b">
        <f>OR(questions[[#This Row],[is_fixed]],questions[[#This Row],[is_localized]],questions[[#This Row],[is_supply_chain_dependent]])</f>
        <v>1</v>
      </c>
      <c r="AN1666" s="98" t="b">
        <f>COUNTIFS(questions[[#This Row],[is_automated]:[is_multi_select]],TRUE)=1</f>
        <v>1</v>
      </c>
      <c r="AO1666" s="98" t="b">
        <f>IF(questions[[#This Row],[is_fixed]],questions[[#This Row],[question]]=INDEX(stable[question],MATCH(questions[[#This Row],[qno]],stable[qno],0)),TRUE)</f>
        <v>0</v>
      </c>
      <c r="AP1666" s="98" t="str">
        <f>LEFT(questions[[#This Row],[question]],similarity_range)</f>
        <v>Do you know the 4R p</v>
      </c>
      <c r="AQ1666" s="98" t="str">
        <f>LEFT(INDEX(stable[question],MATCH(questions[[#This Row],[qno]],stable[qno],0)),similarity_range)</f>
        <v>Do you know the 4R p</v>
      </c>
      <c r="AR1666" s="98" t="b">
        <f>questions[[#This Row],[question_first_characters]]=questions[[#This Row],[stability_first_characters]]</f>
        <v>1</v>
      </c>
      <c r="AS1666" s="98" t="b">
        <f>IF(OR(questions[[#This Row],[is_single_select]],questions[[#This Row],[is_multi_select]]),NOT(ISBLANK(questions[[#This Row],[answer_opt_combined]])),TRUE)</f>
        <v>1</v>
      </c>
    </row>
    <row r="1667" spans="1:45" s="77" customFormat="1" ht="15.75" customHeight="1" x14ac:dyDescent="0.25">
      <c r="A1667" s="77" t="str">
        <f>_xlfn.TEXTJOIN("_",TRUE,questions[[#This Row],[origin]:[qno]])</f>
        <v>Burundi_Arabica_IKAWA RES PROJECT_2026_7240</v>
      </c>
      <c r="B1667" s="77" t="s">
        <v>1057</v>
      </c>
      <c r="C1667" s="77" t="s">
        <v>59</v>
      </c>
      <c r="D1667" s="77" t="s">
        <v>1058</v>
      </c>
      <c r="E1667" s="77">
        <v>2026</v>
      </c>
      <c r="F1667" s="105" t="s">
        <v>394</v>
      </c>
      <c r="G1667" s="78" t="s">
        <v>799</v>
      </c>
      <c r="H1667" s="9" t="str" cm="1">
        <f t="array" ref="H1667">INDEX(stableR[question],MATCH(VALUE(questions[[#This Row],[qno]]),VALUE(stableR[qno]),0))</f>
        <v>Do you apply chemical PPPs (plant protection products) like pesticides/fungicides/nematicides in your coffee crop, and how many different active ingredients per crop season?</v>
      </c>
      <c r="I1667" s="9" t="b" cm="1">
        <f t="array" ref="I1667">INDEX(stable[is_fixed],MATCH(VALUE(questions[[#This Row],[qno]]),VALUE(stable[qno]),0))</f>
        <v>1</v>
      </c>
      <c r="J1667" s="9" t="b" cm="1">
        <f t="array" ref="J1667">INDEX(stable[is_localized],MATCH(VALUE(questions[[#This Row],[qno]]),VALUE(stable[qno]),0))</f>
        <v>0</v>
      </c>
      <c r="K1667" s="9" t="b" cm="1">
        <f t="array" ref="K1667">INDEX(stable[is_supply_chain_dependent],MATCH(VALUE(questions[[#This Row],[qno]]),VALUE(stable[qno]),0))</f>
        <v>0</v>
      </c>
      <c r="L1667" s="9" t="b" cm="1">
        <f t="array" ref="L1667">INDEX(stable[is_mandatory],MATCH(VALUE(questions[[#This Row],[qno]]),VALUE(stable[qno]),0))</f>
        <v>1</v>
      </c>
      <c r="M1667" s="9" t="b" cm="1">
        <f t="array" ref="M1667">INDEX(stable[is_automated],MATCH(VALUE(questions[[#This Row],[qno]]),VALUE(stable[qno]),0))</f>
        <v>0</v>
      </c>
      <c r="N1667" s="9" t="b" cm="1">
        <f t="array" ref="N1667">INDEX(stable[is_free_text],MATCH(VALUE(questions[[#This Row],[qno]]),VALUE(stable[qno]),0))</f>
        <v>0</v>
      </c>
      <c r="O1667" s="9" t="b" cm="1">
        <f t="array" ref="O1667">INDEX(stable[is_numerical],MATCH(VALUE(questions[[#This Row],[qno]]),VALUE(stable[qno]),0))</f>
        <v>0</v>
      </c>
      <c r="P1667" s="77" t="b" cm="1">
        <f t="array" ref="P1667">INDEX(stable[is_single_select],MATCH(VALUE(questions[[#This Row],[qno]]),VALUE(stable[qno]),0))</f>
        <v>1</v>
      </c>
      <c r="Q1667" s="77" t="b" cm="1">
        <f t="array" ref="Q1667">INDEX(stable[is_multi_select],MATCH(VALUE(questions[[#This Row],[qno]]),VALUE(stable[qno]),0))</f>
        <v>0</v>
      </c>
      <c r="R1667" s="77" t="b" cm="1">
        <f t="array" ref="R1667">INDEX(stable[is_skip_logic],MATCH(VALUE(questions[[#This Row],[qno]]),VALUE(stable[qno]),0))</f>
        <v>1</v>
      </c>
      <c r="S1667" s="77" t="str">
        <f>_xlfn.TEXTJOIN(", ",TRUE,questions[[#This Row],[ans_opt_1]:[ans_opt_14]])</f>
        <v>Yes, No</v>
      </c>
      <c r="T1667" s="77" t="s">
        <v>149</v>
      </c>
      <c r="U1667" s="77" t="s">
        <v>119</v>
      </c>
      <c r="AH1667" s="98" t="b">
        <f>INDEX(stable[q_standard],MATCH(questions[[#This Row],[qno]],stable[qno],0))</f>
        <v>0</v>
      </c>
      <c r="AI1667" s="98" t="b">
        <f>INDEX(stable[q_living_income],MATCH(questions[[#This Row],[qno]],stable[qno],0))</f>
        <v>0</v>
      </c>
      <c r="AJ1667" s="98" t="b">
        <f>INDEX(stable[q_carbon],MATCH(questions[[#This Row],[qno]],stable[qno],0))</f>
        <v>0</v>
      </c>
      <c r="AK1667" s="98" t="b">
        <f>INDEX(stable[q_regen_ag],MATCH(questions[[#This Row],[qno]],stable[qno],0))</f>
        <v>1</v>
      </c>
      <c r="AL1667" s="98" t="b">
        <f>COUNTIFS(stable[qno],questions[[#This Row],[qno]])=1</f>
        <v>1</v>
      </c>
      <c r="AM1667" s="98" t="b">
        <f>OR(questions[[#This Row],[is_fixed]],questions[[#This Row],[is_localized]],questions[[#This Row],[is_supply_chain_dependent]])</f>
        <v>1</v>
      </c>
      <c r="AN1667" s="98" t="b">
        <f>COUNTIFS(questions[[#This Row],[is_automated]:[is_multi_select]],TRUE)=1</f>
        <v>1</v>
      </c>
      <c r="AO1667" s="98" t="b">
        <f>IF(questions[[#This Row],[is_fixed]],questions[[#This Row],[question]]=INDEX(stable[question],MATCH(questions[[#This Row],[qno]],stable[qno],0)),TRUE)</f>
        <v>0</v>
      </c>
      <c r="AP1667" s="98" t="str">
        <f>LEFT(questions[[#This Row],[question]],similarity_range)</f>
        <v>Did you use chemical</v>
      </c>
      <c r="AQ1667" s="98" t="str">
        <f>LEFT(INDEX(stable[question],MATCH(questions[[#This Row],[qno]],stable[qno],0)),similarity_range)</f>
        <v>Did you use chemical</v>
      </c>
      <c r="AR1667" s="98" t="b">
        <f>questions[[#This Row],[question_first_characters]]=questions[[#This Row],[stability_first_characters]]</f>
        <v>1</v>
      </c>
      <c r="AS1667" s="98" t="b">
        <f>IF(OR(questions[[#This Row],[is_single_select]],questions[[#This Row],[is_multi_select]]),NOT(ISBLANK(questions[[#This Row],[answer_opt_combined]])),TRUE)</f>
        <v>1</v>
      </c>
    </row>
    <row r="1668" spans="1:45" s="77" customFormat="1" ht="15.75" customHeight="1" x14ac:dyDescent="0.25">
      <c r="A1668" s="77" t="str">
        <f>_xlfn.TEXTJOIN("_",TRUE,questions[[#This Row],[origin]:[qno]])</f>
        <v>Burundi_Arabica_IKAWA RES PROJECT_2026_7241</v>
      </c>
      <c r="B1668" s="77" t="s">
        <v>1057</v>
      </c>
      <c r="C1668" s="77" t="s">
        <v>59</v>
      </c>
      <c r="D1668" s="77" t="s">
        <v>1058</v>
      </c>
      <c r="E1668" s="77">
        <v>2026</v>
      </c>
      <c r="F1668" s="105" t="s">
        <v>396</v>
      </c>
      <c r="G1668" s="78" t="s">
        <v>800</v>
      </c>
      <c r="H1668" s="9" t="str" cm="1">
        <f t="array" ref="H1668">INDEX(stableR[question],MATCH(VALUE(questions[[#This Row],[qno]]),VALUE(stableR[qno]),0))</f>
        <v>If yes, list the names of all the pesticides and/or fungicides that you used, last year.</v>
      </c>
      <c r="I1668" s="9" t="b" cm="1">
        <f t="array" ref="I1668">INDEX(stable[is_fixed],MATCH(VALUE(questions[[#This Row],[qno]]),VALUE(stable[qno]),0))</f>
        <v>1</v>
      </c>
      <c r="J1668" s="9" t="b" cm="1">
        <f t="array" ref="J1668">INDEX(stable[is_localized],MATCH(VALUE(questions[[#This Row],[qno]]),VALUE(stable[qno]),0))</f>
        <v>0</v>
      </c>
      <c r="K1668" s="9" t="b" cm="1">
        <f t="array" ref="K1668">INDEX(stable[is_supply_chain_dependent],MATCH(VALUE(questions[[#This Row],[qno]]),VALUE(stable[qno]),0))</f>
        <v>0</v>
      </c>
      <c r="L1668" s="9" t="b" cm="1">
        <f t="array" ref="L1668">INDEX(stable[is_mandatory],MATCH(VALUE(questions[[#This Row],[qno]]),VALUE(stable[qno]),0))</f>
        <v>0</v>
      </c>
      <c r="M1668" s="9" t="b" cm="1">
        <f t="array" ref="M1668">INDEX(stable[is_automated],MATCH(VALUE(questions[[#This Row],[qno]]),VALUE(stable[qno]),0))</f>
        <v>0</v>
      </c>
      <c r="N1668" s="9" t="b" cm="1">
        <f t="array" ref="N1668">INDEX(stable[is_free_text],MATCH(VALUE(questions[[#This Row],[qno]]),VALUE(stable[qno]),0))</f>
        <v>0</v>
      </c>
      <c r="O1668" s="9" t="b" cm="1">
        <f t="array" ref="O1668">INDEX(stable[is_numerical],MATCH(VALUE(questions[[#This Row],[qno]]),VALUE(stable[qno]),0))</f>
        <v>0</v>
      </c>
      <c r="P1668" s="77" t="b" cm="1">
        <f t="array" ref="P1668">INDEX(stable[is_single_select],MATCH(VALUE(questions[[#This Row],[qno]]),VALUE(stable[qno]),0))</f>
        <v>1</v>
      </c>
      <c r="Q1668" s="77" t="b" cm="1">
        <f t="array" ref="Q1668">INDEX(stable[is_multi_select],MATCH(VALUE(questions[[#This Row],[qno]]),VALUE(stable[qno]),0))</f>
        <v>0</v>
      </c>
      <c r="R1668" s="77" t="b" cm="1">
        <f t="array" ref="R1668">INDEX(stable[is_skip_logic],MATCH(VALUE(questions[[#This Row],[qno]]),VALUE(stable[qno]),0))</f>
        <v>1</v>
      </c>
      <c r="S1668" s="77" t="str">
        <f>_xlfn.TEXTJOIN(", ",TRUE,questions[[#This Row],[ans_opt_1]:[ans_opt_14]])</f>
        <v>Yes, No</v>
      </c>
      <c r="T1668" s="77" t="s">
        <v>149</v>
      </c>
      <c r="U1668" s="77" t="s">
        <v>119</v>
      </c>
      <c r="AH1668" s="98" t="b">
        <f>INDEX(stable[q_standard],MATCH(questions[[#This Row],[qno]],stable[qno],0))</f>
        <v>0</v>
      </c>
      <c r="AI1668" s="98" t="b">
        <f>INDEX(stable[q_living_income],MATCH(questions[[#This Row],[qno]],stable[qno],0))</f>
        <v>0</v>
      </c>
      <c r="AJ1668" s="98" t="b">
        <f>INDEX(stable[q_carbon],MATCH(questions[[#This Row],[qno]],stable[qno],0))</f>
        <v>0</v>
      </c>
      <c r="AK1668" s="98" t="b">
        <f>INDEX(stable[q_regen_ag],MATCH(questions[[#This Row],[qno]],stable[qno],0))</f>
        <v>1</v>
      </c>
      <c r="AL1668" s="98" t="b">
        <f>COUNTIFS(stable[qno],questions[[#This Row],[qno]])=1</f>
        <v>1</v>
      </c>
      <c r="AM1668" s="98" t="b">
        <f>OR(questions[[#This Row],[is_fixed]],questions[[#This Row],[is_localized]],questions[[#This Row],[is_supply_chain_dependent]])</f>
        <v>1</v>
      </c>
      <c r="AN1668" s="98" t="b">
        <f>COUNTIFS(questions[[#This Row],[is_automated]:[is_multi_select]],TRUE)=1</f>
        <v>1</v>
      </c>
      <c r="AO1668" s="98" t="b">
        <f>IF(questions[[#This Row],[is_fixed]],questions[[#This Row],[question]]=INDEX(stable[question],MATCH(questions[[#This Row],[qno]],stable[qno],0)),TRUE)</f>
        <v>0</v>
      </c>
      <c r="AP1668" s="98" t="str">
        <f>LEFT(questions[[#This Row],[question]],similarity_range)</f>
        <v>If you apply chemica</v>
      </c>
      <c r="AQ1668" s="98" t="str">
        <f>LEFT(INDEX(stable[question],MATCH(questions[[#This Row],[qno]],stable[qno],0)),similarity_range)</f>
        <v>If you apply chemica</v>
      </c>
      <c r="AR1668" s="98" t="b">
        <f>questions[[#This Row],[question_first_characters]]=questions[[#This Row],[stability_first_characters]]</f>
        <v>1</v>
      </c>
      <c r="AS1668" s="98" t="b">
        <f>IF(OR(questions[[#This Row],[is_single_select]],questions[[#This Row],[is_multi_select]]),NOT(ISBLANK(questions[[#This Row],[answer_opt_combined]])),TRUE)</f>
        <v>1</v>
      </c>
    </row>
    <row r="1669" spans="1:45" s="77" customFormat="1" ht="15.75" customHeight="1" x14ac:dyDescent="0.25">
      <c r="A1669" s="77" t="str">
        <f>_xlfn.TEXTJOIN("_",TRUE,questions[[#This Row],[origin]:[qno]])</f>
        <v>Burundi_Arabica_IKAWA RES PROJECT_2026_7242</v>
      </c>
      <c r="B1669" s="77" t="s">
        <v>1057</v>
      </c>
      <c r="C1669" s="77" t="s">
        <v>59</v>
      </c>
      <c r="D1669" s="77" t="s">
        <v>1058</v>
      </c>
      <c r="E1669" s="77">
        <v>2026</v>
      </c>
      <c r="F1669" s="105" t="s">
        <v>398</v>
      </c>
      <c r="G1669" s="78" t="s">
        <v>801</v>
      </c>
      <c r="H1669" s="9" t="str" cm="1">
        <f t="array" ref="H1669">INDEX(stableR[question],MATCH(VALUE(questions[[#This Row],[qno]]),VALUE(stableR[qno]),0))</f>
        <v>If you apply chemical PPPs, are you aware of the IPM-Integrated Pest Management concept and practices (e.g. pest-disease identification and monitoring, right moment for control, use of a combination of biological, cultural, physical/mechanical and chemical tools to prevent and control)?</v>
      </c>
      <c r="I1669" s="9" t="b" cm="1">
        <f t="array" ref="I1669">INDEX(stable[is_fixed],MATCH(VALUE(questions[[#This Row],[qno]]),VALUE(stable[qno]),0))</f>
        <v>1</v>
      </c>
      <c r="J1669" s="9" t="b" cm="1">
        <f t="array" ref="J1669">INDEX(stable[is_localized],MATCH(VALUE(questions[[#This Row],[qno]]),VALUE(stable[qno]),0))</f>
        <v>0</v>
      </c>
      <c r="K1669" s="9" t="b" cm="1">
        <f t="array" ref="K1669">INDEX(stable[is_supply_chain_dependent],MATCH(VALUE(questions[[#This Row],[qno]]),VALUE(stable[qno]),0))</f>
        <v>0</v>
      </c>
      <c r="L1669" s="9" t="b" cm="1">
        <f t="array" ref="L1669">INDEX(stable[is_mandatory],MATCH(VALUE(questions[[#This Row],[qno]]),VALUE(stable[qno]),0))</f>
        <v>0</v>
      </c>
      <c r="M1669" s="9" t="b" cm="1">
        <f t="array" ref="M1669">INDEX(stable[is_automated],MATCH(VALUE(questions[[#This Row],[qno]]),VALUE(stable[qno]),0))</f>
        <v>0</v>
      </c>
      <c r="N1669" s="9" t="b" cm="1">
        <f t="array" ref="N1669">INDEX(stable[is_free_text],MATCH(VALUE(questions[[#This Row],[qno]]),VALUE(stable[qno]),0))</f>
        <v>0</v>
      </c>
      <c r="O1669" s="9" t="b" cm="1">
        <f t="array" ref="O1669">INDEX(stable[is_numerical],MATCH(VALUE(questions[[#This Row],[qno]]),VALUE(stable[qno]),0))</f>
        <v>0</v>
      </c>
      <c r="P1669" s="77" t="b" cm="1">
        <f t="array" ref="P1669">INDEX(stable[is_single_select],MATCH(VALUE(questions[[#This Row],[qno]]),VALUE(stable[qno]),0))</f>
        <v>1</v>
      </c>
      <c r="Q1669" s="77" t="b" cm="1">
        <f t="array" ref="Q1669">INDEX(stable[is_multi_select],MATCH(VALUE(questions[[#This Row],[qno]]),VALUE(stable[qno]),0))</f>
        <v>0</v>
      </c>
      <c r="R1669" s="77" t="b" cm="1">
        <f t="array" ref="R1669">INDEX(stable[is_skip_logic],MATCH(VALUE(questions[[#This Row],[qno]]),VALUE(stable[qno]),0))</f>
        <v>1</v>
      </c>
      <c r="S1669" s="77" t="str">
        <f>_xlfn.TEXTJOIN(", ",TRUE,questions[[#This Row],[ans_opt_1]:[ans_opt_14]])</f>
        <v>Yes, No</v>
      </c>
      <c r="T1669" s="77" t="s">
        <v>149</v>
      </c>
      <c r="U1669" s="77" t="s">
        <v>119</v>
      </c>
      <c r="AH1669" s="98" t="b">
        <f>INDEX(stable[q_standard],MATCH(questions[[#This Row],[qno]],stable[qno],0))</f>
        <v>0</v>
      </c>
      <c r="AI1669" s="98" t="b">
        <f>INDEX(stable[q_living_income],MATCH(questions[[#This Row],[qno]],stable[qno],0))</f>
        <v>0</v>
      </c>
      <c r="AJ1669" s="98" t="b">
        <f>INDEX(stable[q_carbon],MATCH(questions[[#This Row],[qno]],stable[qno],0))</f>
        <v>0</v>
      </c>
      <c r="AK1669" s="98" t="b">
        <f>INDEX(stable[q_regen_ag],MATCH(questions[[#This Row],[qno]],stable[qno],0))</f>
        <v>1</v>
      </c>
      <c r="AL1669" s="98" t="b">
        <f>COUNTIFS(stable[qno],questions[[#This Row],[qno]])=1</f>
        <v>1</v>
      </c>
      <c r="AM1669" s="98" t="b">
        <f>OR(questions[[#This Row],[is_fixed]],questions[[#This Row],[is_localized]],questions[[#This Row],[is_supply_chain_dependent]])</f>
        <v>1</v>
      </c>
      <c r="AN1669" s="98" t="b">
        <f>COUNTIFS(questions[[#This Row],[is_automated]:[is_multi_select]],TRUE)=1</f>
        <v>1</v>
      </c>
      <c r="AO1669" s="98" t="b">
        <f>IF(questions[[#This Row],[is_fixed]],questions[[#This Row],[question]]=INDEX(stable[question],MATCH(questions[[#This Row],[qno]],stable[qno],0)),TRUE)</f>
        <v>0</v>
      </c>
      <c r="AP1669" s="98" t="str">
        <f>LEFT(questions[[#This Row],[question]],similarity_range)</f>
        <v>If you apply chemica</v>
      </c>
      <c r="AQ1669" s="98" t="str">
        <f>LEFT(INDEX(stable[question],MATCH(questions[[#This Row],[qno]],stable[qno],0)),similarity_range)</f>
        <v>If you apply chemica</v>
      </c>
      <c r="AR1669" s="98" t="b">
        <f>questions[[#This Row],[question_first_characters]]=questions[[#This Row],[stability_first_characters]]</f>
        <v>1</v>
      </c>
      <c r="AS1669" s="98" t="b">
        <f>IF(OR(questions[[#This Row],[is_single_select]],questions[[#This Row],[is_multi_select]]),NOT(ISBLANK(questions[[#This Row],[answer_opt_combined]])),TRUE)</f>
        <v>1</v>
      </c>
    </row>
    <row r="1670" spans="1:45" s="77" customFormat="1" ht="15.75" customHeight="1" x14ac:dyDescent="0.25">
      <c r="A1670" s="77" t="str">
        <f>_xlfn.TEXTJOIN("_",TRUE,questions[[#This Row],[origin]:[qno]])</f>
        <v>Burundi_Arabica_IKAWA RES PROJECT_2026_7243</v>
      </c>
      <c r="B1670" s="77" t="s">
        <v>1057</v>
      </c>
      <c r="C1670" s="77" t="s">
        <v>59</v>
      </c>
      <c r="D1670" s="77" t="s">
        <v>1058</v>
      </c>
      <c r="E1670" s="77">
        <v>2026</v>
      </c>
      <c r="F1670" s="105" t="s">
        <v>400</v>
      </c>
      <c r="G1670" s="78" t="s">
        <v>802</v>
      </c>
      <c r="H1670" s="9" t="str" cm="1">
        <f t="array" ref="H1670">INDEX(stableR[question],MATCH(VALUE(questions[[#This Row],[qno]]),VALUE(stableR[qno]),0))</f>
        <v>If you apply chemical PPPs, do you apply IPM principles and practices to prevent and control pest &amp; diseases and reduce the use of chemical PPPs?</v>
      </c>
      <c r="I1670" s="9" t="b" cm="1">
        <f t="array" ref="I1670">INDEX(stable[is_fixed],MATCH(VALUE(questions[[#This Row],[qno]]),VALUE(stable[qno]),0))</f>
        <v>1</v>
      </c>
      <c r="J1670" s="9" t="b" cm="1">
        <f t="array" ref="J1670">INDEX(stable[is_localized],MATCH(VALUE(questions[[#This Row],[qno]]),VALUE(stable[qno]),0))</f>
        <v>0</v>
      </c>
      <c r="K1670" s="9" t="b" cm="1">
        <f t="array" ref="K1670">INDEX(stable[is_supply_chain_dependent],MATCH(VALUE(questions[[#This Row],[qno]]),VALUE(stable[qno]),0))</f>
        <v>0</v>
      </c>
      <c r="L1670" s="9" t="b" cm="1">
        <f t="array" ref="L1670">INDEX(stable[is_mandatory],MATCH(VALUE(questions[[#This Row],[qno]]),VALUE(stable[qno]),0))</f>
        <v>0</v>
      </c>
      <c r="M1670" s="9" t="b" cm="1">
        <f t="array" ref="M1670">INDEX(stable[is_automated],MATCH(VALUE(questions[[#This Row],[qno]]),VALUE(stable[qno]),0))</f>
        <v>0</v>
      </c>
      <c r="N1670" s="9" t="b" cm="1">
        <f t="array" ref="N1670">INDEX(stable[is_free_text],MATCH(VALUE(questions[[#This Row],[qno]]),VALUE(stable[qno]),0))</f>
        <v>0</v>
      </c>
      <c r="O1670" s="9" t="b" cm="1">
        <f t="array" ref="O1670">INDEX(stable[is_numerical],MATCH(VALUE(questions[[#This Row],[qno]]),VALUE(stable[qno]),0))</f>
        <v>0</v>
      </c>
      <c r="P1670" s="77" t="b" cm="1">
        <f t="array" ref="P1670">INDEX(stable[is_single_select],MATCH(VALUE(questions[[#This Row],[qno]]),VALUE(stable[qno]),0))</f>
        <v>1</v>
      </c>
      <c r="Q1670" s="77" t="b" cm="1">
        <f t="array" ref="Q1670">INDEX(stable[is_multi_select],MATCH(VALUE(questions[[#This Row],[qno]]),VALUE(stable[qno]),0))</f>
        <v>0</v>
      </c>
      <c r="R1670" s="77" t="b" cm="1">
        <f t="array" ref="R1670">INDEX(stable[is_skip_logic],MATCH(VALUE(questions[[#This Row],[qno]]),VALUE(stable[qno]),0))</f>
        <v>1</v>
      </c>
      <c r="S1670" s="77" t="str">
        <f>_xlfn.TEXTJOIN(", ",TRUE,questions[[#This Row],[ans_opt_1]:[ans_opt_14]])</f>
        <v>Yes, No</v>
      </c>
      <c r="T1670" s="77" t="s">
        <v>149</v>
      </c>
      <c r="U1670" s="77" t="s">
        <v>119</v>
      </c>
      <c r="AH1670" s="98" t="b">
        <f>INDEX(stable[q_standard],MATCH(questions[[#This Row],[qno]],stable[qno],0))</f>
        <v>0</v>
      </c>
      <c r="AI1670" s="98" t="b">
        <f>INDEX(stable[q_living_income],MATCH(questions[[#This Row],[qno]],stable[qno],0))</f>
        <v>0</v>
      </c>
      <c r="AJ1670" s="98" t="b">
        <f>INDEX(stable[q_carbon],MATCH(questions[[#This Row],[qno]],stable[qno],0))</f>
        <v>0</v>
      </c>
      <c r="AK1670" s="98" t="b">
        <f>INDEX(stable[q_regen_ag],MATCH(questions[[#This Row],[qno]],stable[qno],0))</f>
        <v>1</v>
      </c>
      <c r="AL1670" s="98" t="b">
        <f>COUNTIFS(stable[qno],questions[[#This Row],[qno]])=1</f>
        <v>1</v>
      </c>
      <c r="AM1670" s="98" t="b">
        <f>OR(questions[[#This Row],[is_fixed]],questions[[#This Row],[is_localized]],questions[[#This Row],[is_supply_chain_dependent]])</f>
        <v>1</v>
      </c>
      <c r="AN1670" s="98" t="b">
        <f>COUNTIFS(questions[[#This Row],[is_automated]:[is_multi_select]],TRUE)=1</f>
        <v>1</v>
      </c>
      <c r="AO1670" s="98" t="b">
        <f>IF(questions[[#This Row],[is_fixed]],questions[[#This Row],[question]]=INDEX(stable[question],MATCH(questions[[#This Row],[qno]],stable[qno],0)),TRUE)</f>
        <v>0</v>
      </c>
      <c r="AP1670" s="98" t="str">
        <f>LEFT(questions[[#This Row],[question]],similarity_range)</f>
        <v>If you apply chemica</v>
      </c>
      <c r="AQ1670" s="98" t="str">
        <f>LEFT(INDEX(stable[question],MATCH(questions[[#This Row],[qno]],stable[qno],0)),similarity_range)</f>
        <v>If you apply chemica</v>
      </c>
      <c r="AR1670" s="98" t="b">
        <f>questions[[#This Row],[question_first_characters]]=questions[[#This Row],[stability_first_characters]]</f>
        <v>1</v>
      </c>
      <c r="AS1670" s="98" t="b">
        <f>IF(OR(questions[[#This Row],[is_single_select]],questions[[#This Row],[is_multi_select]]),NOT(ISBLANK(questions[[#This Row],[answer_opt_combined]])),TRUE)</f>
        <v>1</v>
      </c>
    </row>
    <row r="1671" spans="1:45" s="77" customFormat="1" ht="15.75" customHeight="1" x14ac:dyDescent="0.25">
      <c r="A1671" s="77" t="str">
        <f>_xlfn.TEXTJOIN("_",TRUE,questions[[#This Row],[origin]:[qno]])</f>
        <v>Burundi_Arabica_IKAWA RES PROJECT_2026_7244</v>
      </c>
      <c r="B1671" s="77" t="s">
        <v>1057</v>
      </c>
      <c r="C1671" s="77" t="s">
        <v>59</v>
      </c>
      <c r="D1671" s="77" t="s">
        <v>1058</v>
      </c>
      <c r="E1671" s="77">
        <v>2026</v>
      </c>
      <c r="F1671" s="105" t="s">
        <v>402</v>
      </c>
      <c r="G1671" s="78" t="s">
        <v>803</v>
      </c>
      <c r="H1671" s="9" t="str" cm="1">
        <f t="array" ref="H1671">INDEX(stableR[question],MATCH(VALUE(questions[[#This Row],[qno]]),VALUE(stableR[qno]),0))</f>
        <v>If you apply chemical PPPs, can you prove/show that all are locally authorized for coffee (e.g. coffee is in the product label), and that you respect the recommended dose and post-harvest intervals of the label of the product?</v>
      </c>
      <c r="I1671" s="9" t="b" cm="1">
        <f t="array" ref="I1671">INDEX(stable[is_fixed],MATCH(VALUE(questions[[#This Row],[qno]]),VALUE(stable[qno]),0))</f>
        <v>1</v>
      </c>
      <c r="J1671" s="9" t="b" cm="1">
        <f t="array" ref="J1671">INDEX(stable[is_localized],MATCH(VALUE(questions[[#This Row],[qno]]),VALUE(stable[qno]),0))</f>
        <v>0</v>
      </c>
      <c r="K1671" s="9" t="b" cm="1">
        <f t="array" ref="K1671">INDEX(stable[is_supply_chain_dependent],MATCH(VALUE(questions[[#This Row],[qno]]),VALUE(stable[qno]),0))</f>
        <v>0</v>
      </c>
      <c r="L1671" s="9" t="b" cm="1">
        <f t="array" ref="L1671">INDEX(stable[is_mandatory],MATCH(VALUE(questions[[#This Row],[qno]]),VALUE(stable[qno]),0))</f>
        <v>0</v>
      </c>
      <c r="M1671" s="9" t="b" cm="1">
        <f t="array" ref="M1671">INDEX(stable[is_automated],MATCH(VALUE(questions[[#This Row],[qno]]),VALUE(stable[qno]),0))</f>
        <v>0</v>
      </c>
      <c r="N1671" s="9" t="b" cm="1">
        <f t="array" ref="N1671">INDEX(stable[is_free_text],MATCH(VALUE(questions[[#This Row],[qno]]),VALUE(stable[qno]),0))</f>
        <v>0</v>
      </c>
      <c r="O1671" s="9" t="b" cm="1">
        <f t="array" ref="O1671">INDEX(stable[is_numerical],MATCH(VALUE(questions[[#This Row],[qno]]),VALUE(stable[qno]),0))</f>
        <v>0</v>
      </c>
      <c r="P1671" s="77" t="b" cm="1">
        <f t="array" ref="P1671">INDEX(stable[is_single_select],MATCH(VALUE(questions[[#This Row],[qno]]),VALUE(stable[qno]),0))</f>
        <v>1</v>
      </c>
      <c r="Q1671" s="77" t="b" cm="1">
        <f t="array" ref="Q1671">INDEX(stable[is_multi_select],MATCH(VALUE(questions[[#This Row],[qno]]),VALUE(stable[qno]),0))</f>
        <v>0</v>
      </c>
      <c r="R1671" s="77" t="b" cm="1">
        <f t="array" ref="R1671">INDEX(stable[is_skip_logic],MATCH(VALUE(questions[[#This Row],[qno]]),VALUE(stable[qno]),0))</f>
        <v>1</v>
      </c>
      <c r="S1671" s="77" t="str">
        <f>_xlfn.TEXTJOIN(", ",TRUE,questions[[#This Row],[ans_opt_1]:[ans_opt_14]])</f>
        <v>1, 2, 3, 4, 5, &gt;5</v>
      </c>
      <c r="T1671" s="77">
        <v>1</v>
      </c>
      <c r="U1671" s="77">
        <v>2</v>
      </c>
      <c r="V1671" s="77">
        <v>3</v>
      </c>
      <c r="W1671" s="77">
        <v>4</v>
      </c>
      <c r="X1671" s="77">
        <v>5</v>
      </c>
      <c r="Y1671" s="77" t="s">
        <v>404</v>
      </c>
      <c r="AH1671" s="98" t="b">
        <f>INDEX(stable[q_standard],MATCH(questions[[#This Row],[qno]],stable[qno],0))</f>
        <v>0</v>
      </c>
      <c r="AI1671" s="98" t="b">
        <f>INDEX(stable[q_living_income],MATCH(questions[[#This Row],[qno]],stable[qno],0))</f>
        <v>0</v>
      </c>
      <c r="AJ1671" s="98" t="b">
        <f>INDEX(stable[q_carbon],MATCH(questions[[#This Row],[qno]],stable[qno],0))</f>
        <v>0</v>
      </c>
      <c r="AK1671" s="98" t="b">
        <f>INDEX(stable[q_regen_ag],MATCH(questions[[#This Row],[qno]],stable[qno],0))</f>
        <v>1</v>
      </c>
      <c r="AL1671" s="98" t="b">
        <f>COUNTIFS(stable[qno],questions[[#This Row],[qno]])=1</f>
        <v>1</v>
      </c>
      <c r="AM1671" s="98" t="b">
        <f>OR(questions[[#This Row],[is_fixed]],questions[[#This Row],[is_localized]],questions[[#This Row],[is_supply_chain_dependent]])</f>
        <v>1</v>
      </c>
      <c r="AN1671" s="98" t="b">
        <f>COUNTIFS(questions[[#This Row],[is_automated]:[is_multi_select]],TRUE)=1</f>
        <v>1</v>
      </c>
      <c r="AO1671" s="98" t="b">
        <f>IF(questions[[#This Row],[is_fixed]],questions[[#This Row],[question]]=INDEX(stable[question],MATCH(questions[[#This Row],[qno]],stable[qno],0)),TRUE)</f>
        <v>0</v>
      </c>
      <c r="AP1671" s="98" t="str">
        <f>LEFT(questions[[#This Row],[question]],similarity_range)</f>
        <v>If you apply chemica</v>
      </c>
      <c r="AQ1671" s="98" t="str">
        <f>LEFT(INDEX(stable[question],MATCH(questions[[#This Row],[qno]],stable[qno],0)),similarity_range)</f>
        <v>If you apply chemica</v>
      </c>
      <c r="AR1671" s="98" t="b">
        <f>questions[[#This Row],[question_first_characters]]=questions[[#This Row],[stability_first_characters]]</f>
        <v>1</v>
      </c>
      <c r="AS1671" s="98" t="b">
        <f>IF(OR(questions[[#This Row],[is_single_select]],questions[[#This Row],[is_multi_select]]),NOT(ISBLANK(questions[[#This Row],[answer_opt_combined]])),TRUE)</f>
        <v>1</v>
      </c>
    </row>
    <row r="1672" spans="1:45" s="77" customFormat="1" ht="15.75" customHeight="1" x14ac:dyDescent="0.25">
      <c r="A1672" s="77" t="str">
        <f>_xlfn.TEXTJOIN("_",TRUE,questions[[#This Row],[origin]:[qno]])</f>
        <v>Burundi_Arabica_IKAWA RES PROJECT_2026_7245</v>
      </c>
      <c r="B1672" s="77" t="s">
        <v>1057</v>
      </c>
      <c r="C1672" s="77" t="s">
        <v>59</v>
      </c>
      <c r="D1672" s="77" t="s">
        <v>1058</v>
      </c>
      <c r="E1672" s="77">
        <v>2026</v>
      </c>
      <c r="F1672" s="105" t="s">
        <v>405</v>
      </c>
      <c r="G1672" s="78" t="s">
        <v>804</v>
      </c>
      <c r="H1672" s="9" t="str" cm="1">
        <f t="array" ref="H1672">INDEX(stableR[question],MATCH(VALUE(questions[[#This Row],[qno]]),VALUE(stableR[qno]),0))</f>
        <v>If you apply chemical PPPs to control pests and diseases in your farm, how many applications do you apply on average per year?</v>
      </c>
      <c r="I1672" s="9" t="b" cm="1">
        <f t="array" ref="I1672">INDEX(stable[is_fixed],MATCH(VALUE(questions[[#This Row],[qno]]),VALUE(stable[qno]),0))</f>
        <v>1</v>
      </c>
      <c r="J1672" s="9" t="b" cm="1">
        <f t="array" ref="J1672">INDEX(stable[is_localized],MATCH(VALUE(questions[[#This Row],[qno]]),VALUE(stable[qno]),0))</f>
        <v>0</v>
      </c>
      <c r="K1672" s="9" t="b" cm="1">
        <f t="array" ref="K1672">INDEX(stable[is_supply_chain_dependent],MATCH(VALUE(questions[[#This Row],[qno]]),VALUE(stable[qno]),0))</f>
        <v>0</v>
      </c>
      <c r="L1672" s="9" t="b" cm="1">
        <f t="array" ref="L1672">INDEX(stable[is_mandatory],MATCH(VALUE(questions[[#This Row],[qno]]),VALUE(stable[qno]),0))</f>
        <v>0</v>
      </c>
      <c r="M1672" s="9" t="b" cm="1">
        <f t="array" ref="M1672">INDEX(stable[is_automated],MATCH(VALUE(questions[[#This Row],[qno]]),VALUE(stable[qno]),0))</f>
        <v>0</v>
      </c>
      <c r="N1672" s="9" t="b" cm="1">
        <f t="array" ref="N1672">INDEX(stable[is_free_text],MATCH(VALUE(questions[[#This Row],[qno]]),VALUE(stable[qno]),0))</f>
        <v>0</v>
      </c>
      <c r="O1672" s="9" t="b" cm="1">
        <f t="array" ref="O1672">INDEX(stable[is_numerical],MATCH(VALUE(questions[[#This Row],[qno]]),VALUE(stable[qno]),0))</f>
        <v>0</v>
      </c>
      <c r="P1672" s="77" t="b" cm="1">
        <f t="array" ref="P1672">INDEX(stable[is_single_select],MATCH(VALUE(questions[[#This Row],[qno]]),VALUE(stable[qno]),0))</f>
        <v>1</v>
      </c>
      <c r="Q1672" s="77" t="b" cm="1">
        <f t="array" ref="Q1672">INDEX(stable[is_multi_select],MATCH(VALUE(questions[[#This Row],[qno]]),VALUE(stable[qno]),0))</f>
        <v>0</v>
      </c>
      <c r="R1672" s="77" t="b" cm="1">
        <f t="array" ref="R1672">INDEX(stable[is_skip_logic],MATCH(VALUE(questions[[#This Row],[qno]]),VALUE(stable[qno]),0))</f>
        <v>1</v>
      </c>
      <c r="S1672" s="77" t="str">
        <f>_xlfn.TEXTJOIN(", ",TRUE,questions[[#This Row],[ans_opt_1]:[ans_opt_14]])</f>
        <v>Increased - pest/disease pressure, Increased - weather conditions, Increased - pest/disease resistance, Decreased - pest/disease pressure, Decreased - adverse weather conditions, Decreased - increased cost, Decreased - replaced by regenerative agriculture</v>
      </c>
      <c r="T1672" s="77" t="s">
        <v>407</v>
      </c>
      <c r="U1672" s="77" t="s">
        <v>408</v>
      </c>
      <c r="V1672" s="77" t="s">
        <v>409</v>
      </c>
      <c r="W1672" s="77" t="s">
        <v>410</v>
      </c>
      <c r="X1672" s="77" t="s">
        <v>411</v>
      </c>
      <c r="Y1672" s="77" t="s">
        <v>412</v>
      </c>
      <c r="Z1672" s="77" t="s">
        <v>413</v>
      </c>
      <c r="AH1672" s="98" t="b">
        <f>INDEX(stable[q_standard],MATCH(questions[[#This Row],[qno]],stable[qno],0))</f>
        <v>0</v>
      </c>
      <c r="AI1672" s="98" t="b">
        <f>INDEX(stable[q_living_income],MATCH(questions[[#This Row],[qno]],stable[qno],0))</f>
        <v>0</v>
      </c>
      <c r="AJ1672" s="98" t="b">
        <f>INDEX(stable[q_carbon],MATCH(questions[[#This Row],[qno]],stable[qno],0))</f>
        <v>0</v>
      </c>
      <c r="AK1672" s="98" t="b">
        <f>INDEX(stable[q_regen_ag],MATCH(questions[[#This Row],[qno]],stable[qno],0))</f>
        <v>1</v>
      </c>
      <c r="AL1672" s="98" t="b">
        <f>COUNTIFS(stable[qno],questions[[#This Row],[qno]])=1</f>
        <v>1</v>
      </c>
      <c r="AM1672" s="98" t="b">
        <f>OR(questions[[#This Row],[is_fixed]],questions[[#This Row],[is_localized]],questions[[#This Row],[is_supply_chain_dependent]])</f>
        <v>1</v>
      </c>
      <c r="AN1672" s="98" t="b">
        <f>COUNTIFS(questions[[#This Row],[is_automated]:[is_multi_select]],TRUE)=1</f>
        <v>1</v>
      </c>
      <c r="AO1672" s="98" t="b">
        <f>IF(questions[[#This Row],[is_fixed]],questions[[#This Row],[question]]=INDEX(stable[question],MATCH(questions[[#This Row],[qno]],stable[qno],0)),TRUE)</f>
        <v>0</v>
      </c>
      <c r="AP1672" s="98" t="str">
        <f>LEFT(questions[[#This Row],[question]],similarity_range)</f>
        <v>Have you decreased o</v>
      </c>
      <c r="AQ1672" s="98" t="str">
        <f>LEFT(INDEX(stable[question],MATCH(questions[[#This Row],[qno]],stable[qno],0)),similarity_range)</f>
        <v>Have you decreased o</v>
      </c>
      <c r="AR1672" s="98" t="b">
        <f>questions[[#This Row],[question_first_characters]]=questions[[#This Row],[stability_first_characters]]</f>
        <v>1</v>
      </c>
      <c r="AS1672" s="98" t="b">
        <f>IF(OR(questions[[#This Row],[is_single_select]],questions[[#This Row],[is_multi_select]]),NOT(ISBLANK(questions[[#This Row],[answer_opt_combined]])),TRUE)</f>
        <v>1</v>
      </c>
    </row>
    <row r="1673" spans="1:45" s="77" customFormat="1" ht="15.75" customHeight="1" x14ac:dyDescent="0.25">
      <c r="A1673" s="77" t="str">
        <f>_xlfn.TEXTJOIN("_",TRUE,questions[[#This Row],[origin]:[qno]])</f>
        <v>Burundi_Arabica_IKAWA RES PROJECT_2026_7250</v>
      </c>
      <c r="B1673" s="77" t="s">
        <v>1057</v>
      </c>
      <c r="C1673" s="77" t="s">
        <v>59</v>
      </c>
      <c r="D1673" s="77" t="s">
        <v>1058</v>
      </c>
      <c r="E1673" s="77">
        <v>2026</v>
      </c>
      <c r="F1673" s="105" t="s">
        <v>414</v>
      </c>
      <c r="G1673" s="78" t="s">
        <v>805</v>
      </c>
      <c r="H1673" s="9" t="str" cm="1">
        <f t="array" ref="H1673">INDEX(stableR[question],MATCH(VALUE(questions[[#This Row],[qno]]),VALUE(stableR[qno]),0))</f>
        <v>Do you apply chemical herbicides to your coffee crop and how many (different active ingredients) per crop season?</v>
      </c>
      <c r="I1673" s="9" t="b" cm="1">
        <f t="array" ref="I1673">INDEX(stable[is_fixed],MATCH(VALUE(questions[[#This Row],[qno]]),VALUE(stable[qno]),0))</f>
        <v>1</v>
      </c>
      <c r="J1673" s="9" t="b" cm="1">
        <f t="array" ref="J1673">INDEX(stable[is_localized],MATCH(VALUE(questions[[#This Row],[qno]]),VALUE(stable[qno]),0))</f>
        <v>0</v>
      </c>
      <c r="K1673" s="9" t="b" cm="1">
        <f t="array" ref="K1673">INDEX(stable[is_supply_chain_dependent],MATCH(VALUE(questions[[#This Row],[qno]]),VALUE(stable[qno]),0))</f>
        <v>0</v>
      </c>
      <c r="L1673" s="9" t="b" cm="1">
        <f t="array" ref="L1673">INDEX(stable[is_mandatory],MATCH(VALUE(questions[[#This Row],[qno]]),VALUE(stable[qno]),0))</f>
        <v>1</v>
      </c>
      <c r="M1673" s="9" t="b" cm="1">
        <f t="array" ref="M1673">INDEX(stable[is_automated],MATCH(VALUE(questions[[#This Row],[qno]]),VALUE(stable[qno]),0))</f>
        <v>0</v>
      </c>
      <c r="N1673" s="9" t="b" cm="1">
        <f t="array" ref="N1673">INDEX(stable[is_free_text],MATCH(VALUE(questions[[#This Row],[qno]]),VALUE(stable[qno]),0))</f>
        <v>0</v>
      </c>
      <c r="O1673" s="9" t="b" cm="1">
        <f t="array" ref="O1673">INDEX(stable[is_numerical],MATCH(VALUE(questions[[#This Row],[qno]]),VALUE(stable[qno]),0))</f>
        <v>0</v>
      </c>
      <c r="P1673" s="77" t="b" cm="1">
        <f t="array" ref="P1673">INDEX(stable[is_single_select],MATCH(VALUE(questions[[#This Row],[qno]]),VALUE(stable[qno]),0))</f>
        <v>1</v>
      </c>
      <c r="Q1673" s="77" t="b" cm="1">
        <f t="array" ref="Q1673">INDEX(stable[is_multi_select],MATCH(VALUE(questions[[#This Row],[qno]]),VALUE(stable[qno]),0))</f>
        <v>0</v>
      </c>
      <c r="R1673" s="77" t="b" cm="1">
        <f t="array" ref="R1673">INDEX(stable[is_skip_logic],MATCH(VALUE(questions[[#This Row],[qno]]),VALUE(stable[qno]),0))</f>
        <v>1</v>
      </c>
      <c r="S1673" s="77" t="str">
        <f>_xlfn.TEXTJOIN(", ",TRUE,questions[[#This Row],[ans_opt_1]:[ans_opt_14]])</f>
        <v>No, Yes / 1-2 herbicides (active ingredients), Yes / 3-4 herbicides (active ingredients), Yes / &gt;=5 herbicides (active ingredients)</v>
      </c>
      <c r="T1673" s="77" t="s">
        <v>119</v>
      </c>
      <c r="U1673" s="77" t="s">
        <v>416</v>
      </c>
      <c r="V1673" s="77" t="s">
        <v>417</v>
      </c>
      <c r="W1673" s="77" t="s">
        <v>418</v>
      </c>
      <c r="AH1673" s="98" t="b">
        <f>INDEX(stable[q_standard],MATCH(questions[[#This Row],[qno]],stable[qno],0))</f>
        <v>0</v>
      </c>
      <c r="AI1673" s="98" t="b">
        <f>INDEX(stable[q_living_income],MATCH(questions[[#This Row],[qno]],stable[qno],0))</f>
        <v>0</v>
      </c>
      <c r="AJ1673" s="98" t="b">
        <f>INDEX(stable[q_carbon],MATCH(questions[[#This Row],[qno]],stable[qno],0))</f>
        <v>0</v>
      </c>
      <c r="AK1673" s="98" t="b">
        <f>INDEX(stable[q_regen_ag],MATCH(questions[[#This Row],[qno]],stable[qno],0))</f>
        <v>1</v>
      </c>
      <c r="AL1673" s="98" t="b">
        <f>COUNTIFS(stable[qno],questions[[#This Row],[qno]])=1</f>
        <v>1</v>
      </c>
      <c r="AM1673" s="98" t="b">
        <f>OR(questions[[#This Row],[is_fixed]],questions[[#This Row],[is_localized]],questions[[#This Row],[is_supply_chain_dependent]])</f>
        <v>1</v>
      </c>
      <c r="AN1673" s="98" t="b">
        <f>COUNTIFS(questions[[#This Row],[is_automated]:[is_multi_select]],TRUE)=1</f>
        <v>1</v>
      </c>
      <c r="AO1673" s="98" t="b">
        <f>IF(questions[[#This Row],[is_fixed]],questions[[#This Row],[question]]=INDEX(stable[question],MATCH(questions[[#This Row],[qno]],stable[qno],0)),TRUE)</f>
        <v>0</v>
      </c>
      <c r="AP1673" s="98" t="str">
        <f>LEFT(questions[[#This Row],[question]],similarity_range)</f>
        <v>Did you use herbicid</v>
      </c>
      <c r="AQ1673" s="98" t="str">
        <f>LEFT(INDEX(stable[question],MATCH(questions[[#This Row],[qno]],stable[qno],0)),similarity_range)</f>
        <v>Did you use herbicid</v>
      </c>
      <c r="AR1673" s="98" t="b">
        <f>questions[[#This Row],[question_first_characters]]=questions[[#This Row],[stability_first_characters]]</f>
        <v>1</v>
      </c>
      <c r="AS1673" s="98" t="b">
        <f>IF(OR(questions[[#This Row],[is_single_select]],questions[[#This Row],[is_multi_select]]),NOT(ISBLANK(questions[[#This Row],[answer_opt_combined]])),TRUE)</f>
        <v>1</v>
      </c>
    </row>
    <row r="1674" spans="1:45" s="77" customFormat="1" ht="15.75" customHeight="1" x14ac:dyDescent="0.25">
      <c r="A1674" s="77" t="str">
        <f>_xlfn.TEXTJOIN("_",TRUE,questions[[#This Row],[origin]:[qno]])</f>
        <v>Burundi_Arabica_IKAWA RES PROJECT_2026_7251</v>
      </c>
      <c r="B1674" s="77" t="s">
        <v>1057</v>
      </c>
      <c r="C1674" s="77" t="s">
        <v>59</v>
      </c>
      <c r="D1674" s="77" t="s">
        <v>1058</v>
      </c>
      <c r="E1674" s="77">
        <v>2026</v>
      </c>
      <c r="F1674" s="108" t="s">
        <v>419</v>
      </c>
      <c r="G1674" s="78" t="s">
        <v>420</v>
      </c>
      <c r="H1674" s="9" t="str" cm="1">
        <f t="array" ref="H1674">INDEX(stableR[question],MATCH(VALUE(questions[[#This Row],[qno]]),VALUE(stableR[qno]),0))</f>
        <v>If yes, list the names of all the herbicides that you used, last year.</v>
      </c>
      <c r="I1674" s="9" t="b" cm="1">
        <f t="array" ref="I1674">INDEX(stable[is_fixed],MATCH(VALUE(questions[[#This Row],[qno]]),VALUE(stable[qno]),0))</f>
        <v>1</v>
      </c>
      <c r="J1674" s="9" t="b" cm="1">
        <f t="array" ref="J1674">INDEX(stable[is_localized],MATCH(VALUE(questions[[#This Row],[qno]]),VALUE(stable[qno]),0))</f>
        <v>0</v>
      </c>
      <c r="K1674" s="9" t="b" cm="1">
        <f t="array" ref="K1674">INDEX(stable[is_supply_chain_dependent],MATCH(VALUE(questions[[#This Row],[qno]]),VALUE(stable[qno]),0))</f>
        <v>0</v>
      </c>
      <c r="L1674" s="9" t="b" cm="1">
        <f t="array" ref="L1674">INDEX(stable[is_mandatory],MATCH(VALUE(questions[[#This Row],[qno]]),VALUE(stable[qno]),0))</f>
        <v>0</v>
      </c>
      <c r="M1674" s="9" t="b" cm="1">
        <f t="array" ref="M1674">INDEX(stable[is_automated],MATCH(VALUE(questions[[#This Row],[qno]]),VALUE(stable[qno]),0))</f>
        <v>0</v>
      </c>
      <c r="N1674" s="9" t="b" cm="1">
        <f t="array" ref="N1674">INDEX(stable[is_free_text],MATCH(VALUE(questions[[#This Row],[qno]]),VALUE(stable[qno]),0))</f>
        <v>0</v>
      </c>
      <c r="O1674" s="9" t="b" cm="1">
        <f t="array" ref="O1674">INDEX(stable[is_numerical],MATCH(VALUE(questions[[#This Row],[qno]]),VALUE(stable[qno]),0))</f>
        <v>0</v>
      </c>
      <c r="P1674" s="77" t="b" cm="1">
        <f t="array" ref="P1674">INDEX(stable[is_single_select],MATCH(VALUE(questions[[#This Row],[qno]]),VALUE(stable[qno]),0))</f>
        <v>1</v>
      </c>
      <c r="Q1674" s="77" t="b" cm="1">
        <f t="array" ref="Q1674">INDEX(stable[is_multi_select],MATCH(VALUE(questions[[#This Row],[qno]]),VALUE(stable[qno]),0))</f>
        <v>0</v>
      </c>
      <c r="R1674" s="77" t="b" cm="1">
        <f t="array" ref="R1674">INDEX(stable[is_skip_logic],MATCH(VALUE(questions[[#This Row],[qno]]),VALUE(stable[qno]),0))</f>
        <v>1</v>
      </c>
      <c r="S1674" s="77" t="str">
        <f>_xlfn.TEXTJOIN(", ",TRUE,questions[[#This Row],[ans_opt_1]:[ans_opt_14]])</f>
        <v>1% to 10% - very little, 11% to 20% - little, 21% to 50% - less than half, 51% to 75% - more than half, 76% to 100% - almost all</v>
      </c>
      <c r="T1674" s="77" t="s">
        <v>421</v>
      </c>
      <c r="U1674" s="77" t="s">
        <v>422</v>
      </c>
      <c r="V1674" s="77" t="s">
        <v>423</v>
      </c>
      <c r="W1674" s="77" t="s">
        <v>340</v>
      </c>
      <c r="X1674" s="77" t="s">
        <v>341</v>
      </c>
      <c r="AH1674" s="98" t="b">
        <f>INDEX(stable[q_standard],MATCH(questions[[#This Row],[qno]],stable[qno],0))</f>
        <v>0</v>
      </c>
      <c r="AI1674" s="98" t="b">
        <f>INDEX(stable[q_living_income],MATCH(questions[[#This Row],[qno]],stable[qno],0))</f>
        <v>0</v>
      </c>
      <c r="AJ1674" s="98" t="b">
        <f>INDEX(stable[q_carbon],MATCH(questions[[#This Row],[qno]],stable[qno],0))</f>
        <v>0</v>
      </c>
      <c r="AK1674" s="98" t="b">
        <f>INDEX(stable[q_regen_ag],MATCH(questions[[#This Row],[qno]],stable[qno],0))</f>
        <v>1</v>
      </c>
      <c r="AL1674" s="98" t="b">
        <f>COUNTIFS(stable[qno],questions[[#This Row],[qno]])=1</f>
        <v>1</v>
      </c>
      <c r="AM1674" s="98" t="b">
        <f>OR(questions[[#This Row],[is_fixed]],questions[[#This Row],[is_localized]],questions[[#This Row],[is_supply_chain_dependent]])</f>
        <v>1</v>
      </c>
      <c r="AN1674" s="98" t="b">
        <f>COUNTIFS(questions[[#This Row],[is_automated]:[is_multi_select]],TRUE)=1</f>
        <v>1</v>
      </c>
      <c r="AO1674" s="98" t="b">
        <f>IF(questions[[#This Row],[is_fixed]],questions[[#This Row],[question]]=INDEX(stable[question],MATCH(questions[[#This Row],[qno]],stable[qno],0)),TRUE)</f>
        <v>0</v>
      </c>
      <c r="AP1674" s="98" t="str">
        <f>LEFT(questions[[#This Row],[question]],similarity_range)</f>
        <v>If you apply chemica</v>
      </c>
      <c r="AQ1674" s="98" t="str">
        <f>LEFT(INDEX(stable[question],MATCH(questions[[#This Row],[qno]],stable[qno],0)),similarity_range)</f>
        <v>If you apply chemica</v>
      </c>
      <c r="AR1674" s="98" t="b">
        <f>questions[[#This Row],[question_first_characters]]=questions[[#This Row],[stability_first_characters]]</f>
        <v>1</v>
      </c>
      <c r="AS1674" s="98" t="b">
        <f>IF(OR(questions[[#This Row],[is_single_select]],questions[[#This Row],[is_multi_select]]),NOT(ISBLANK(questions[[#This Row],[answer_opt_combined]])),TRUE)</f>
        <v>1</v>
      </c>
    </row>
    <row r="1675" spans="1:45" s="77" customFormat="1" ht="15.75" customHeight="1" x14ac:dyDescent="0.25">
      <c r="A1675" s="77" t="str">
        <f>_xlfn.TEXTJOIN("_",TRUE,questions[[#This Row],[origin]:[qno]])</f>
        <v>Burundi_Arabica_IKAWA RES PROJECT_2026_7252</v>
      </c>
      <c r="B1675" s="77" t="s">
        <v>1057</v>
      </c>
      <c r="C1675" s="77" t="s">
        <v>59</v>
      </c>
      <c r="D1675" s="77" t="s">
        <v>1058</v>
      </c>
      <c r="E1675" s="77">
        <v>2026</v>
      </c>
      <c r="F1675" s="105" t="s">
        <v>424</v>
      </c>
      <c r="G1675" s="78" t="s">
        <v>425</v>
      </c>
      <c r="H1675" s="9" t="str" cm="1">
        <f t="array" ref="H1675">INDEX(stableR[question],MATCH(VALUE(questions[[#This Row],[qno]]),VALUE(stableR[qno]),0))</f>
        <v>If applying herbicides, to which % of area of the coffee plots? e.g. if the coffee area is 1 hectare and herbicides are sprayed to only 0.5 hectare (where there is high weed pressure), then it is 50%</v>
      </c>
      <c r="I1675" s="9" t="b" cm="1">
        <f t="array" ref="I1675">INDEX(stable[is_fixed],MATCH(VALUE(questions[[#This Row],[qno]]),VALUE(stable[qno]),0))</f>
        <v>1</v>
      </c>
      <c r="J1675" s="9" t="b" cm="1">
        <f t="array" ref="J1675">INDEX(stable[is_localized],MATCH(VALUE(questions[[#This Row],[qno]]),VALUE(stable[qno]),0))</f>
        <v>0</v>
      </c>
      <c r="K1675" s="9" t="b" cm="1">
        <f t="array" ref="K1675">INDEX(stable[is_supply_chain_dependent],MATCH(VALUE(questions[[#This Row],[qno]]),VALUE(stable[qno]),0))</f>
        <v>0</v>
      </c>
      <c r="L1675" s="9" t="b" cm="1">
        <f t="array" ref="L1675">INDEX(stable[is_mandatory],MATCH(VALUE(questions[[#This Row],[qno]]),VALUE(stable[qno]),0))</f>
        <v>0</v>
      </c>
      <c r="M1675" s="9" t="b" cm="1">
        <f t="array" ref="M1675">INDEX(stable[is_automated],MATCH(VALUE(questions[[#This Row],[qno]]),VALUE(stable[qno]),0))</f>
        <v>0</v>
      </c>
      <c r="N1675" s="9" t="b" cm="1">
        <f t="array" ref="N1675">INDEX(stable[is_free_text],MATCH(VALUE(questions[[#This Row],[qno]]),VALUE(stable[qno]),0))</f>
        <v>0</v>
      </c>
      <c r="O1675" s="9" t="b" cm="1">
        <f t="array" ref="O1675">INDEX(stable[is_numerical],MATCH(VALUE(questions[[#This Row],[qno]]),VALUE(stable[qno]),0))</f>
        <v>0</v>
      </c>
      <c r="P1675" s="77" t="b" cm="1">
        <f t="array" ref="P1675">INDEX(stable[is_single_select],MATCH(VALUE(questions[[#This Row],[qno]]),VALUE(stable[qno]),0))</f>
        <v>1</v>
      </c>
      <c r="Q1675" s="77" t="b" cm="1">
        <f t="array" ref="Q1675">INDEX(stable[is_multi_select],MATCH(VALUE(questions[[#This Row],[qno]]),VALUE(stable[qno]),0))</f>
        <v>0</v>
      </c>
      <c r="R1675" s="77" t="b" cm="1">
        <f t="array" ref="R1675">INDEX(stable[is_skip_logic],MATCH(VALUE(questions[[#This Row],[qno]]),VALUE(stable[qno]),0))</f>
        <v>1</v>
      </c>
      <c r="S1675" s="77" t="str">
        <f>_xlfn.TEXTJOIN(", ",TRUE,questions[[#This Row],[ans_opt_1]:[ans_opt_14]])</f>
        <v>Yes, No</v>
      </c>
      <c r="T1675" s="77" t="s">
        <v>149</v>
      </c>
      <c r="U1675" s="77" t="s">
        <v>119</v>
      </c>
      <c r="AH1675" s="98" t="b">
        <f>INDEX(stable[q_standard],MATCH(questions[[#This Row],[qno]],stable[qno],0))</f>
        <v>0</v>
      </c>
      <c r="AI1675" s="98" t="b">
        <f>INDEX(stable[q_living_income],MATCH(questions[[#This Row],[qno]],stable[qno],0))</f>
        <v>0</v>
      </c>
      <c r="AJ1675" s="98" t="b">
        <f>INDEX(stable[q_carbon],MATCH(questions[[#This Row],[qno]],stable[qno],0))</f>
        <v>0</v>
      </c>
      <c r="AK1675" s="98" t="b">
        <f>INDEX(stable[q_regen_ag],MATCH(questions[[#This Row],[qno]],stable[qno],0))</f>
        <v>1</v>
      </c>
      <c r="AL1675" s="98" t="b">
        <f>COUNTIFS(stable[qno],questions[[#This Row],[qno]])=1</f>
        <v>1</v>
      </c>
      <c r="AM1675" s="98" t="b">
        <f>OR(questions[[#This Row],[is_fixed]],questions[[#This Row],[is_localized]],questions[[#This Row],[is_supply_chain_dependent]])</f>
        <v>1</v>
      </c>
      <c r="AN1675" s="98" t="b">
        <f>COUNTIFS(questions[[#This Row],[is_automated]:[is_multi_select]],TRUE)=1</f>
        <v>1</v>
      </c>
      <c r="AO1675" s="98" t="b">
        <f>IF(questions[[#This Row],[is_fixed]],questions[[#This Row],[question]]=INDEX(stable[question],MATCH(questions[[#This Row],[qno]],stable[qno],0)),TRUE)</f>
        <v>0</v>
      </c>
      <c r="AP1675" s="98" t="str">
        <f>LEFT(questions[[#This Row],[question]],similarity_range)</f>
        <v>If applying herbicid</v>
      </c>
      <c r="AQ1675" s="98" t="str">
        <f>LEFT(INDEX(stable[question],MATCH(questions[[#This Row],[qno]],stable[qno],0)),similarity_range)</f>
        <v>If applying herbicid</v>
      </c>
      <c r="AR1675" s="98" t="b">
        <f>questions[[#This Row],[question_first_characters]]=questions[[#This Row],[stability_first_characters]]</f>
        <v>1</v>
      </c>
      <c r="AS1675" s="98" t="b">
        <f>IF(OR(questions[[#This Row],[is_single_select]],questions[[#This Row],[is_multi_select]]),NOT(ISBLANK(questions[[#This Row],[answer_opt_combined]])),TRUE)</f>
        <v>1</v>
      </c>
    </row>
    <row r="1676" spans="1:45" s="77" customFormat="1" ht="15.75" customHeight="1" x14ac:dyDescent="0.25">
      <c r="A1676" s="77" t="str">
        <f>_xlfn.TEXTJOIN("_",TRUE,questions[[#This Row],[origin]:[qno]])</f>
        <v>Burundi_Arabica_IKAWA RES PROJECT_2026_7253</v>
      </c>
      <c r="B1676" s="77" t="s">
        <v>1057</v>
      </c>
      <c r="C1676" s="77" t="s">
        <v>59</v>
      </c>
      <c r="D1676" s="77" t="s">
        <v>1058</v>
      </c>
      <c r="E1676" s="77">
        <v>2026</v>
      </c>
      <c r="F1676" s="105" t="s">
        <v>426</v>
      </c>
      <c r="G1676" s="78" t="s">
        <v>427</v>
      </c>
      <c r="H1676" s="9" t="str" cm="1">
        <f t="array" ref="H1676">INDEX(stableR[question],MATCH(VALUE(questions[[#This Row],[qno]]),VALUE(stableR[qno]),0))</f>
        <v>If applying herbicides, can you prove that all are locally authorized for coffee use, and that you respect the doses and post-harvest intervals of the label of the product. If applying herbicides, to which % of area of the coffee plots? e.g. if the coffee area is 1 hectare and herbicides are sprayed to only 0.5 hectare (where there is high weed pressure), then it is 50%</v>
      </c>
      <c r="I1676" s="9" t="b" cm="1">
        <f t="array" ref="I1676">INDEX(stable[is_fixed],MATCH(VALUE(questions[[#This Row],[qno]]),VALUE(stable[qno]),0))</f>
        <v>1</v>
      </c>
      <c r="J1676" s="9" t="b" cm="1">
        <f t="array" ref="J1676">INDEX(stable[is_localized],MATCH(VALUE(questions[[#This Row],[qno]]),VALUE(stable[qno]),0))</f>
        <v>0</v>
      </c>
      <c r="K1676" s="9" t="b" cm="1">
        <f t="array" ref="K1676">INDEX(stable[is_supply_chain_dependent],MATCH(VALUE(questions[[#This Row],[qno]]),VALUE(stable[qno]),0))</f>
        <v>0</v>
      </c>
      <c r="L1676" s="9" t="b" cm="1">
        <f t="array" ref="L1676">INDEX(stable[is_mandatory],MATCH(VALUE(questions[[#This Row],[qno]]),VALUE(stable[qno]),0))</f>
        <v>1</v>
      </c>
      <c r="M1676" s="9" t="b" cm="1">
        <f t="array" ref="M1676">INDEX(stable[is_automated],MATCH(VALUE(questions[[#This Row],[qno]]),VALUE(stable[qno]),0))</f>
        <v>0</v>
      </c>
      <c r="N1676" s="9" t="b" cm="1">
        <f t="array" ref="N1676">INDEX(stable[is_free_text],MATCH(VALUE(questions[[#This Row],[qno]]),VALUE(stable[qno]),0))</f>
        <v>0</v>
      </c>
      <c r="O1676" s="9" t="b" cm="1">
        <f t="array" ref="O1676">INDEX(stable[is_numerical],MATCH(VALUE(questions[[#This Row],[qno]]),VALUE(stable[qno]),0))</f>
        <v>0</v>
      </c>
      <c r="P1676" s="77" t="b" cm="1">
        <f t="array" ref="P1676">INDEX(stable[is_single_select],MATCH(VALUE(questions[[#This Row],[qno]]),VALUE(stable[qno]),0))</f>
        <v>1</v>
      </c>
      <c r="Q1676" s="77" t="b" cm="1">
        <f t="array" ref="Q1676">INDEX(stable[is_multi_select],MATCH(VALUE(questions[[#This Row],[qno]]),VALUE(stable[qno]),0))</f>
        <v>0</v>
      </c>
      <c r="R1676" s="77" t="b" cm="1">
        <f t="array" ref="R1676">INDEX(stable[is_skip_logic],MATCH(VALUE(questions[[#This Row],[qno]]),VALUE(stable[qno]),0))</f>
        <v>1</v>
      </c>
      <c r="S1676" s="77" t="str">
        <f>_xlfn.TEXTJOIN(", ",TRUE,questions[[#This Row],[ans_opt_1]:[ans_opt_14]])</f>
        <v>Manual removal, Mechanical removal, Mulching, Cover crops, Cover crops, Amix of different systems</v>
      </c>
      <c r="T1676" s="77" t="s">
        <v>428</v>
      </c>
      <c r="U1676" s="77" t="s">
        <v>429</v>
      </c>
      <c r="V1676" s="77" t="s">
        <v>430</v>
      </c>
      <c r="W1676" s="77" t="s">
        <v>431</v>
      </c>
      <c r="X1676" s="77" t="s">
        <v>431</v>
      </c>
      <c r="Y1676" s="131" t="s">
        <v>806</v>
      </c>
      <c r="AH1676" s="98" t="b">
        <f>INDEX(stable[q_standard],MATCH(questions[[#This Row],[qno]],stable[qno],0))</f>
        <v>0</v>
      </c>
      <c r="AI1676" s="98" t="b">
        <f>INDEX(stable[q_living_income],MATCH(questions[[#This Row],[qno]],stable[qno],0))</f>
        <v>0</v>
      </c>
      <c r="AJ1676" s="98" t="b">
        <f>INDEX(stable[q_carbon],MATCH(questions[[#This Row],[qno]],stable[qno],0))</f>
        <v>0</v>
      </c>
      <c r="AK1676" s="98" t="b">
        <f>INDEX(stable[q_regen_ag],MATCH(questions[[#This Row],[qno]],stable[qno],0))</f>
        <v>1</v>
      </c>
      <c r="AL1676" s="98" t="b">
        <f>COUNTIFS(stable[qno],questions[[#This Row],[qno]])=1</f>
        <v>1</v>
      </c>
      <c r="AM1676" s="98" t="b">
        <f>OR(questions[[#This Row],[is_fixed]],questions[[#This Row],[is_localized]],questions[[#This Row],[is_supply_chain_dependent]])</f>
        <v>1</v>
      </c>
      <c r="AN1676" s="98" t="b">
        <f>COUNTIFS(questions[[#This Row],[is_automated]:[is_multi_select]],TRUE)=1</f>
        <v>1</v>
      </c>
      <c r="AO1676" s="98" t="b">
        <f>IF(questions[[#This Row],[is_fixed]],questions[[#This Row],[question]]=INDEX(stable[question],MATCH(questions[[#This Row],[qno]],stable[qno],0)),TRUE)</f>
        <v>1</v>
      </c>
      <c r="AP1676" s="98" t="str">
        <f>LEFT(questions[[#This Row],[question]],similarity_range)</f>
        <v>If you use or do not</v>
      </c>
      <c r="AQ1676" s="98" t="str">
        <f>LEFT(INDEX(stable[question],MATCH(questions[[#This Row],[qno]],stable[qno],0)),similarity_range)</f>
        <v>If you use or do not</v>
      </c>
      <c r="AR1676" s="98" t="b">
        <f>questions[[#This Row],[question_first_characters]]=questions[[#This Row],[stability_first_characters]]</f>
        <v>1</v>
      </c>
      <c r="AS1676" s="98" t="b">
        <f>IF(OR(questions[[#This Row],[is_single_select]],questions[[#This Row],[is_multi_select]]),NOT(ISBLANK(questions[[#This Row],[answer_opt_combined]])),TRUE)</f>
        <v>1</v>
      </c>
    </row>
    <row r="1677" spans="1:45" s="77" customFormat="1" ht="15.75" customHeight="1" x14ac:dyDescent="0.25">
      <c r="A1677" s="77" t="str">
        <f>_xlfn.TEXTJOIN("_",TRUE,questions[[#This Row],[origin]:[qno]])</f>
        <v>Burundi_Arabica_IKAWA RES PROJECT_2026_7300</v>
      </c>
      <c r="B1677" s="77" t="s">
        <v>1057</v>
      </c>
      <c r="C1677" s="77" t="s">
        <v>59</v>
      </c>
      <c r="D1677" s="77" t="s">
        <v>1058</v>
      </c>
      <c r="E1677" s="77">
        <v>2026</v>
      </c>
      <c r="F1677" s="105" t="s">
        <v>433</v>
      </c>
      <c r="G1677" s="78" t="s">
        <v>1011</v>
      </c>
      <c r="H1677" s="9" t="str" cm="1">
        <f t="array" ref="H1677">INDEX(stableR[question],MATCH(VALUE(questions[[#This Row],[qno]]),VALUE(stableR[qno]),0))</f>
        <v>Do you irrigate your coffee crop and if yes, what irrigation system/s do you use? If the answer is NO, you do not need to answer the next question</v>
      </c>
      <c r="I1677" s="9" t="b" cm="1">
        <f t="array" ref="I1677">INDEX(stable[is_fixed],MATCH(VALUE(questions[[#This Row],[qno]]),VALUE(stable[qno]),0))</f>
        <v>1</v>
      </c>
      <c r="J1677" s="9" t="b" cm="1">
        <f t="array" ref="J1677">INDEX(stable[is_localized],MATCH(VALUE(questions[[#This Row],[qno]]),VALUE(stable[qno]),0))</f>
        <v>0</v>
      </c>
      <c r="K1677" s="9" t="b" cm="1">
        <f t="array" ref="K1677">INDEX(stable[is_supply_chain_dependent],MATCH(VALUE(questions[[#This Row],[qno]]),VALUE(stable[qno]),0))</f>
        <v>0</v>
      </c>
      <c r="L1677" s="9" t="b" cm="1">
        <f t="array" ref="L1677">INDEX(stable[is_mandatory],MATCH(VALUE(questions[[#This Row],[qno]]),VALUE(stable[qno]),0))</f>
        <v>1</v>
      </c>
      <c r="M1677" s="9" t="b" cm="1">
        <f t="array" ref="M1677">INDEX(stable[is_automated],MATCH(VALUE(questions[[#This Row],[qno]]),VALUE(stable[qno]),0))</f>
        <v>0</v>
      </c>
      <c r="N1677" s="9" t="b" cm="1">
        <f t="array" ref="N1677">INDEX(stable[is_free_text],MATCH(VALUE(questions[[#This Row],[qno]]),VALUE(stable[qno]),0))</f>
        <v>0</v>
      </c>
      <c r="O1677" s="9" t="b" cm="1">
        <f t="array" ref="O1677">INDEX(stable[is_numerical],MATCH(VALUE(questions[[#This Row],[qno]]),VALUE(stable[qno]),0))</f>
        <v>0</v>
      </c>
      <c r="P1677" s="77" t="b" cm="1">
        <f t="array" ref="P1677">INDEX(stable[is_single_select],MATCH(VALUE(questions[[#This Row],[qno]]),VALUE(stable[qno]),0))</f>
        <v>1</v>
      </c>
      <c r="Q1677" s="77" t="b" cm="1">
        <f t="array" ref="Q1677">INDEX(stable[is_multi_select],MATCH(VALUE(questions[[#This Row],[qno]]),VALUE(stable[qno]),0))</f>
        <v>0</v>
      </c>
      <c r="R1677" s="77" t="b" cm="1">
        <f t="array" ref="R1677">INDEX(stable[is_skip_logic],MATCH(VALUE(questions[[#This Row],[qno]]),VALUE(stable[qno]),0))</f>
        <v>0</v>
      </c>
      <c r="S1677" s="77" t="str">
        <f>_xlfn.TEXTJOIN(", ",TRUE,questions[[#This Row],[ans_opt_1]:[ans_opt_14]])</f>
        <v>No, Yes / drip irrigation, Yes / minisprinkler irrigation, Yes / overhead irrigation (sprinklers, pivot, rain gun), Yes / flood-furrow-hose pipe irrigation</v>
      </c>
      <c r="T1677" s="77" t="s">
        <v>119</v>
      </c>
      <c r="U1677" s="77" t="s">
        <v>435</v>
      </c>
      <c r="V1677" s="77" t="s">
        <v>436</v>
      </c>
      <c r="W1677" s="77" t="s">
        <v>437</v>
      </c>
      <c r="X1677" s="77" t="s">
        <v>438</v>
      </c>
      <c r="AH1677" s="98" t="b">
        <f>INDEX(stable[q_standard],MATCH(questions[[#This Row],[qno]],stable[qno],0))</f>
        <v>0</v>
      </c>
      <c r="AI1677" s="98" t="b">
        <f>INDEX(stable[q_living_income],MATCH(questions[[#This Row],[qno]],stable[qno],0))</f>
        <v>0</v>
      </c>
      <c r="AJ1677" s="98" t="b">
        <f>INDEX(stable[q_carbon],MATCH(questions[[#This Row],[qno]],stable[qno],0))</f>
        <v>0</v>
      </c>
      <c r="AK1677" s="98" t="b">
        <f>INDEX(stable[q_regen_ag],MATCH(questions[[#This Row],[qno]],stable[qno],0))</f>
        <v>1</v>
      </c>
      <c r="AL1677" s="98" t="b">
        <f>COUNTIFS(stable[qno],questions[[#This Row],[qno]])=1</f>
        <v>1</v>
      </c>
      <c r="AM1677" s="98" t="b">
        <f>OR(questions[[#This Row],[is_fixed]],questions[[#This Row],[is_localized]],questions[[#This Row],[is_supply_chain_dependent]])</f>
        <v>1</v>
      </c>
      <c r="AN1677" s="98" t="b">
        <f>COUNTIFS(questions[[#This Row],[is_automated]:[is_multi_select]],TRUE)=1</f>
        <v>1</v>
      </c>
      <c r="AO1677" s="98" t="b">
        <f>IF(questions[[#This Row],[is_fixed]],questions[[#This Row],[question]]=INDEX(stable[question],MATCH(questions[[#This Row],[qno]],stable[qno],0)),TRUE)</f>
        <v>1</v>
      </c>
      <c r="AP1677" s="98" t="str">
        <f>LEFT(questions[[#This Row],[question]],similarity_range)</f>
        <v>Do you irrigate your</v>
      </c>
      <c r="AQ1677" s="98" t="str">
        <f>LEFT(INDEX(stable[question],MATCH(questions[[#This Row],[qno]],stable[qno],0)),similarity_range)</f>
        <v>Do you irrigate your</v>
      </c>
      <c r="AR1677" s="98" t="b">
        <f>questions[[#This Row],[question_first_characters]]=questions[[#This Row],[stability_first_characters]]</f>
        <v>1</v>
      </c>
      <c r="AS1677" s="98" t="b">
        <f>IF(OR(questions[[#This Row],[is_single_select]],questions[[#This Row],[is_multi_select]]),NOT(ISBLANK(questions[[#This Row],[answer_opt_combined]])),TRUE)</f>
        <v>1</v>
      </c>
    </row>
    <row r="1678" spans="1:45" s="77" customFormat="1" ht="15.75" customHeight="1" x14ac:dyDescent="0.25">
      <c r="A1678" s="77" t="str">
        <f>_xlfn.TEXTJOIN("_",TRUE,questions[[#This Row],[origin]:[qno]])</f>
        <v>Burundi_Arabica_IKAWA RES PROJECT_2026_7301</v>
      </c>
      <c r="B1678" s="77" t="s">
        <v>1057</v>
      </c>
      <c r="C1678" s="77" t="s">
        <v>59</v>
      </c>
      <c r="D1678" s="77" t="s">
        <v>1058</v>
      </c>
      <c r="E1678" s="77">
        <v>2026</v>
      </c>
      <c r="F1678" s="105" t="s">
        <v>439</v>
      </c>
      <c r="G1678" s="78" t="s">
        <v>440</v>
      </c>
      <c r="H1678" s="9" t="str" cm="1">
        <f t="array" ref="H1678">INDEX(stableR[question],MATCH(VALUE(questions[[#This Row],[qno]]),VALUE(stableR[qno]),0))</f>
        <v>Do you have a systems to know when and how much to irrigate and according to the irrigation system (balance sheet with rainfall and evapotranspiration, sensors, irrigation app-software, weather stations...)?</v>
      </c>
      <c r="I1678" s="9" t="b" cm="1">
        <f t="array" ref="I1678">INDEX(stable[is_fixed],MATCH(VALUE(questions[[#This Row],[qno]]),VALUE(stable[qno]),0))</f>
        <v>1</v>
      </c>
      <c r="J1678" s="9" t="b" cm="1">
        <f t="array" ref="J1678">INDEX(stable[is_localized],MATCH(VALUE(questions[[#This Row],[qno]]),VALUE(stable[qno]),0))</f>
        <v>0</v>
      </c>
      <c r="K1678" s="9" t="b" cm="1">
        <f t="array" ref="K1678">INDEX(stable[is_supply_chain_dependent],MATCH(VALUE(questions[[#This Row],[qno]]),VALUE(stable[qno]),0))</f>
        <v>0</v>
      </c>
      <c r="L1678" s="9" t="b" cm="1">
        <f t="array" ref="L1678">INDEX(stable[is_mandatory],MATCH(VALUE(questions[[#This Row],[qno]]),VALUE(stable[qno]),0))</f>
        <v>0</v>
      </c>
      <c r="M1678" s="9" t="b" cm="1">
        <f t="array" ref="M1678">INDEX(stable[is_automated],MATCH(VALUE(questions[[#This Row],[qno]]),VALUE(stable[qno]),0))</f>
        <v>0</v>
      </c>
      <c r="N1678" s="9" t="b" cm="1">
        <f t="array" ref="N1678">INDEX(stable[is_free_text],MATCH(VALUE(questions[[#This Row],[qno]]),VALUE(stable[qno]),0))</f>
        <v>0</v>
      </c>
      <c r="O1678" s="9" t="b" cm="1">
        <f t="array" ref="O1678">INDEX(stable[is_numerical],MATCH(VALUE(questions[[#This Row],[qno]]),VALUE(stable[qno]),0))</f>
        <v>0</v>
      </c>
      <c r="P1678" s="77" t="b" cm="1">
        <f t="array" ref="P1678">INDEX(stable[is_single_select],MATCH(VALUE(questions[[#This Row],[qno]]),VALUE(stable[qno]),0))</f>
        <v>1</v>
      </c>
      <c r="Q1678" s="77" t="b" cm="1">
        <f t="array" ref="Q1678">INDEX(stable[is_multi_select],MATCH(VALUE(questions[[#This Row],[qno]]),VALUE(stable[qno]),0))</f>
        <v>0</v>
      </c>
      <c r="R1678" s="77" t="b" cm="1">
        <f t="array" ref="R1678">INDEX(stable[is_skip_logic],MATCH(VALUE(questions[[#This Row],[qno]]),VALUE(stable[qno]),0))</f>
        <v>0</v>
      </c>
      <c r="S1678" s="77" t="str">
        <f>_xlfn.TEXTJOIN(", ",TRUE,questions[[#This Row],[ans_opt_1]:[ans_opt_14]])</f>
        <v>Yes, No</v>
      </c>
      <c r="T1678" s="77" t="s">
        <v>149</v>
      </c>
      <c r="U1678" s="77" t="s">
        <v>119</v>
      </c>
      <c r="AH1678" s="98" t="b">
        <f>INDEX(stable[q_standard],MATCH(questions[[#This Row],[qno]],stable[qno],0))</f>
        <v>0</v>
      </c>
      <c r="AI1678" s="98" t="b">
        <f>INDEX(stable[q_living_income],MATCH(questions[[#This Row],[qno]],stable[qno],0))</f>
        <v>0</v>
      </c>
      <c r="AJ1678" s="98" t="b">
        <f>INDEX(stable[q_carbon],MATCH(questions[[#This Row],[qno]],stable[qno],0))</f>
        <v>0</v>
      </c>
      <c r="AK1678" s="98" t="b">
        <f>INDEX(stable[q_regen_ag],MATCH(questions[[#This Row],[qno]],stable[qno],0))</f>
        <v>1</v>
      </c>
      <c r="AL1678" s="98" t="b">
        <f>COUNTIFS(stable[qno],questions[[#This Row],[qno]])=1</f>
        <v>1</v>
      </c>
      <c r="AM1678" s="98" t="b">
        <f>OR(questions[[#This Row],[is_fixed]],questions[[#This Row],[is_localized]],questions[[#This Row],[is_supply_chain_dependent]])</f>
        <v>1</v>
      </c>
      <c r="AN1678" s="98" t="b">
        <f>COUNTIFS(questions[[#This Row],[is_automated]:[is_multi_select]],TRUE)=1</f>
        <v>1</v>
      </c>
      <c r="AO1678" s="98" t="b">
        <f>IF(questions[[#This Row],[is_fixed]],questions[[#This Row],[question]]=INDEX(stable[question],MATCH(questions[[#This Row],[qno]],stable[qno],0)),TRUE)</f>
        <v>1</v>
      </c>
      <c r="AP1678" s="98" t="str">
        <f>LEFT(questions[[#This Row],[question]],similarity_range)</f>
        <v>Do you have a system</v>
      </c>
      <c r="AQ1678" s="98" t="str">
        <f>LEFT(INDEX(stable[question],MATCH(questions[[#This Row],[qno]],stable[qno],0)),similarity_range)</f>
        <v>Do you have a system</v>
      </c>
      <c r="AR1678" s="98" t="b">
        <f>questions[[#This Row],[question_first_characters]]=questions[[#This Row],[stability_first_characters]]</f>
        <v>1</v>
      </c>
      <c r="AS1678" s="98" t="b">
        <f>IF(OR(questions[[#This Row],[is_single_select]],questions[[#This Row],[is_multi_select]]),NOT(ISBLANK(questions[[#This Row],[answer_opt_combined]])),TRUE)</f>
        <v>1</v>
      </c>
    </row>
    <row r="1679" spans="1:45" s="77" customFormat="1" ht="15.75" customHeight="1" x14ac:dyDescent="0.25">
      <c r="A1679" s="77" t="str">
        <f>_xlfn.TEXTJOIN("_",TRUE,questions[[#This Row],[origin]:[qno]])</f>
        <v>Burundi_Arabica_IKAWA RES PROJECT_2026_7400</v>
      </c>
      <c r="B1679" s="77" t="s">
        <v>1057</v>
      </c>
      <c r="C1679" s="77" t="s">
        <v>59</v>
      </c>
      <c r="D1679" s="77" t="s">
        <v>1058</v>
      </c>
      <c r="E1679" s="77">
        <v>2026</v>
      </c>
      <c r="F1679" s="105" t="s">
        <v>441</v>
      </c>
      <c r="G1679" s="78" t="s">
        <v>1012</v>
      </c>
      <c r="H1679" s="9" t="str" cm="1">
        <f t="array" ref="H1679">INDEX(stableR[question],MATCH(VALUE(questions[[#This Row],[qno]]),VALUE(stableR[qno]),0))</f>
        <v>Are you implementing a plan to renovate/rehabilitate the coffee trees of your coffee plots? e.g. stumping, partial stumping, capping, side pruning, uprooting and replanting, uprooting and planting new trees, or a mix of systems. If the answer is NO, you do not need to answer the next 2 questions</v>
      </c>
      <c r="I1679" s="9" t="b" cm="1">
        <f t="array" ref="I1679">INDEX(stable[is_fixed],MATCH(VALUE(questions[[#This Row],[qno]]),VALUE(stable[qno]),0))</f>
        <v>1</v>
      </c>
      <c r="J1679" s="9" t="b" cm="1">
        <f t="array" ref="J1679">INDEX(stable[is_localized],MATCH(VALUE(questions[[#This Row],[qno]]),VALUE(stable[qno]),0))</f>
        <v>0</v>
      </c>
      <c r="K1679" s="9" t="b" cm="1">
        <f t="array" ref="K1679">INDEX(stable[is_supply_chain_dependent],MATCH(VALUE(questions[[#This Row],[qno]]),VALUE(stable[qno]),0))</f>
        <v>0</v>
      </c>
      <c r="L1679" s="9" t="b" cm="1">
        <f t="array" ref="L1679">INDEX(stable[is_mandatory],MATCH(VALUE(questions[[#This Row],[qno]]),VALUE(stable[qno]),0))</f>
        <v>1</v>
      </c>
      <c r="M1679" s="9" t="b" cm="1">
        <f t="array" ref="M1679">INDEX(stable[is_automated],MATCH(VALUE(questions[[#This Row],[qno]]),VALUE(stable[qno]),0))</f>
        <v>0</v>
      </c>
      <c r="N1679" s="9" t="b" cm="1">
        <f t="array" ref="N1679">INDEX(stable[is_free_text],MATCH(VALUE(questions[[#This Row],[qno]]),VALUE(stable[qno]),0))</f>
        <v>0</v>
      </c>
      <c r="O1679" s="9" t="b" cm="1">
        <f t="array" ref="O1679">INDEX(stable[is_numerical],MATCH(VALUE(questions[[#This Row],[qno]]),VALUE(stable[qno]),0))</f>
        <v>0</v>
      </c>
      <c r="P1679" s="77" t="b" cm="1">
        <f t="array" ref="P1679">INDEX(stable[is_single_select],MATCH(VALUE(questions[[#This Row],[qno]]),VALUE(stable[qno]),0))</f>
        <v>1</v>
      </c>
      <c r="Q1679" s="77" t="b" cm="1">
        <f t="array" ref="Q1679">INDEX(stable[is_multi_select],MATCH(VALUE(questions[[#This Row],[qno]]),VALUE(stable[qno]),0))</f>
        <v>0</v>
      </c>
      <c r="R1679" s="77" t="b" cm="1">
        <f t="array" ref="R1679">INDEX(stable[is_skip_logic],MATCH(VALUE(questions[[#This Row],[qno]]),VALUE(stable[qno]),0))</f>
        <v>1</v>
      </c>
      <c r="S1679" s="77" t="str">
        <f>_xlfn.TEXTJOIN(", ",TRUE,questions[[#This Row],[ans_opt_1]:[ans_opt_14]])</f>
        <v>Yes, No</v>
      </c>
      <c r="T1679" s="77" t="s">
        <v>149</v>
      </c>
      <c r="U1679" s="77" t="s">
        <v>119</v>
      </c>
      <c r="AH1679" s="98" t="b">
        <f>INDEX(stable[q_standard],MATCH(questions[[#This Row],[qno]],stable[qno],0))</f>
        <v>0</v>
      </c>
      <c r="AI1679" s="98" t="b">
        <f>INDEX(stable[q_living_income],MATCH(questions[[#This Row],[qno]],stable[qno],0))</f>
        <v>0</v>
      </c>
      <c r="AJ1679" s="98" t="b">
        <f>INDEX(stable[q_carbon],MATCH(questions[[#This Row],[qno]],stable[qno],0))</f>
        <v>0</v>
      </c>
      <c r="AK1679" s="98" t="b">
        <f>INDEX(stable[q_regen_ag],MATCH(questions[[#This Row],[qno]],stable[qno],0))</f>
        <v>1</v>
      </c>
      <c r="AL1679" s="98" t="b">
        <f>COUNTIFS(stable[qno],questions[[#This Row],[qno]])=1</f>
        <v>1</v>
      </c>
      <c r="AM1679" s="98" t="b">
        <f>OR(questions[[#This Row],[is_fixed]],questions[[#This Row],[is_localized]],questions[[#This Row],[is_supply_chain_dependent]])</f>
        <v>1</v>
      </c>
      <c r="AN1679" s="98" t="b">
        <f>COUNTIFS(questions[[#This Row],[is_automated]:[is_multi_select]],TRUE)=1</f>
        <v>1</v>
      </c>
      <c r="AO1679" s="98" t="b">
        <f>IF(questions[[#This Row],[is_fixed]],questions[[#This Row],[question]]=INDEX(stable[question],MATCH(questions[[#This Row],[qno]],stable[qno],0)),TRUE)</f>
        <v>1</v>
      </c>
      <c r="AP1679" s="98" t="str">
        <f>LEFT(questions[[#This Row],[question]],similarity_range)</f>
        <v>Are you implementing</v>
      </c>
      <c r="AQ1679" s="98" t="str">
        <f>LEFT(INDEX(stable[question],MATCH(questions[[#This Row],[qno]],stable[qno],0)),similarity_range)</f>
        <v>Are you implementing</v>
      </c>
      <c r="AR1679" s="98" t="b">
        <f>questions[[#This Row],[question_first_characters]]=questions[[#This Row],[stability_first_characters]]</f>
        <v>1</v>
      </c>
      <c r="AS1679" s="98" t="b">
        <f>IF(OR(questions[[#This Row],[is_single_select]],questions[[#This Row],[is_multi_select]]),NOT(ISBLANK(questions[[#This Row],[answer_opt_combined]])),TRUE)</f>
        <v>1</v>
      </c>
    </row>
    <row r="1680" spans="1:45" s="77" customFormat="1" ht="15.75" customHeight="1" x14ac:dyDescent="0.25">
      <c r="A1680" s="77" t="str">
        <f>_xlfn.TEXTJOIN("_",TRUE,questions[[#This Row],[origin]:[qno]])</f>
        <v>Burundi_Arabica_IKAWA RES PROJECT_2026_7401</v>
      </c>
      <c r="B1680" s="77" t="s">
        <v>1057</v>
      </c>
      <c r="C1680" s="77" t="s">
        <v>59</v>
      </c>
      <c r="D1680" s="77" t="s">
        <v>1058</v>
      </c>
      <c r="E1680" s="77">
        <v>2026</v>
      </c>
      <c r="F1680" s="105" t="s">
        <v>443</v>
      </c>
      <c r="G1680" s="78" t="s">
        <v>807</v>
      </c>
      <c r="H1680" s="9" t="str" cm="1">
        <f t="array" ref="H1680">INDEX(stableR[question],MATCH(VALUE(questions[[#This Row],[qno]]),VALUE(stableR[qno]),0))</f>
        <v>What % or proportion of trees have you renovated/rehabilitated in last 3 years?</v>
      </c>
      <c r="I1680" s="9" t="b" cm="1">
        <f t="array" ref="I1680">INDEX(stable[is_fixed],MATCH(VALUE(questions[[#This Row],[qno]]),VALUE(stable[qno]),0))</f>
        <v>1</v>
      </c>
      <c r="J1680" s="9" t="b" cm="1">
        <f t="array" ref="J1680">INDEX(stable[is_localized],MATCH(VALUE(questions[[#This Row],[qno]]),VALUE(stable[qno]),0))</f>
        <v>0</v>
      </c>
      <c r="K1680" s="9" t="b" cm="1">
        <f t="array" ref="K1680">INDEX(stable[is_supply_chain_dependent],MATCH(VALUE(questions[[#This Row],[qno]]),VALUE(stable[qno]),0))</f>
        <v>0</v>
      </c>
      <c r="L1680" s="9" t="b" cm="1">
        <f t="array" ref="L1680">INDEX(stable[is_mandatory],MATCH(VALUE(questions[[#This Row],[qno]]),VALUE(stable[qno]),0))</f>
        <v>0</v>
      </c>
      <c r="M1680" s="9" t="b" cm="1">
        <f t="array" ref="M1680">INDEX(stable[is_automated],MATCH(VALUE(questions[[#This Row],[qno]]),VALUE(stable[qno]),0))</f>
        <v>0</v>
      </c>
      <c r="N1680" s="9" t="b" cm="1">
        <f t="array" ref="N1680">INDEX(stable[is_free_text],MATCH(VALUE(questions[[#This Row],[qno]]),VALUE(stable[qno]),0))</f>
        <v>0</v>
      </c>
      <c r="O1680" s="9" t="b" cm="1">
        <f t="array" ref="O1680">INDEX(stable[is_numerical],MATCH(VALUE(questions[[#This Row],[qno]]),VALUE(stable[qno]),0))</f>
        <v>0</v>
      </c>
      <c r="P1680" s="77" t="b" cm="1">
        <f t="array" ref="P1680">INDEX(stable[is_single_select],MATCH(VALUE(questions[[#This Row],[qno]]),VALUE(stable[qno]),0))</f>
        <v>1</v>
      </c>
      <c r="Q1680" s="77" t="b" cm="1">
        <f t="array" ref="Q1680">INDEX(stable[is_multi_select],MATCH(VALUE(questions[[#This Row],[qno]]),VALUE(stable[qno]),0))</f>
        <v>0</v>
      </c>
      <c r="R1680" s="77" t="b" cm="1">
        <f t="array" ref="R1680">INDEX(stable[is_skip_logic],MATCH(VALUE(questions[[#This Row],[qno]]),VALUE(stable[qno]),0))</f>
        <v>1</v>
      </c>
      <c r="S1680" s="77" t="str">
        <f>_xlfn.TEXTJOIN(", ",TRUE,questions[[#This Row],[ans_opt_1]:[ans_opt_14]])</f>
        <v>1% to 10% - very little, 11% to 20% - little, 21% to 50% - less than half, 51% to 75% - more than half, 76% to 100% - almost all</v>
      </c>
      <c r="T1680" s="77" t="s">
        <v>421</v>
      </c>
      <c r="U1680" s="77" t="s">
        <v>422</v>
      </c>
      <c r="V1680" s="77" t="s">
        <v>423</v>
      </c>
      <c r="W1680" s="77" t="s">
        <v>340</v>
      </c>
      <c r="X1680" s="77" t="s">
        <v>341</v>
      </c>
      <c r="AH1680" s="98" t="b">
        <f>INDEX(stable[q_standard],MATCH(questions[[#This Row],[qno]],stable[qno],0))</f>
        <v>0</v>
      </c>
      <c r="AI1680" s="98" t="b">
        <f>INDEX(stable[q_living_income],MATCH(questions[[#This Row],[qno]],stable[qno],0))</f>
        <v>0</v>
      </c>
      <c r="AJ1680" s="98" t="b">
        <f>INDEX(stable[q_carbon],MATCH(questions[[#This Row],[qno]],stable[qno],0))</f>
        <v>0</v>
      </c>
      <c r="AK1680" s="98" t="b">
        <f>INDEX(stable[q_regen_ag],MATCH(questions[[#This Row],[qno]],stable[qno],0))</f>
        <v>1</v>
      </c>
      <c r="AL1680" s="98" t="b">
        <f>COUNTIFS(stable[qno],questions[[#This Row],[qno]])=1</f>
        <v>1</v>
      </c>
      <c r="AM1680" s="98" t="b">
        <f>OR(questions[[#This Row],[is_fixed]],questions[[#This Row],[is_localized]],questions[[#This Row],[is_supply_chain_dependent]])</f>
        <v>1</v>
      </c>
      <c r="AN1680" s="98" t="b">
        <f>COUNTIFS(questions[[#This Row],[is_automated]:[is_multi_select]],TRUE)=1</f>
        <v>1</v>
      </c>
      <c r="AO1680" s="98" t="b">
        <f>IF(questions[[#This Row],[is_fixed]],questions[[#This Row],[question]]=INDEX(stable[question],MATCH(questions[[#This Row],[qno]],stable[qno],0)),TRUE)</f>
        <v>0</v>
      </c>
      <c r="AP1680" s="98" t="str">
        <f>LEFT(questions[[#This Row],[question]],similarity_range)</f>
        <v>What % or proportion</v>
      </c>
      <c r="AQ1680" s="98" t="str">
        <f>LEFT(INDEX(stable[question],MATCH(questions[[#This Row],[qno]],stable[qno],0)),similarity_range)</f>
        <v>What % or proportion</v>
      </c>
      <c r="AR1680" s="98" t="b">
        <f>questions[[#This Row],[question_first_characters]]=questions[[#This Row],[stability_first_characters]]</f>
        <v>1</v>
      </c>
      <c r="AS1680" s="98" t="b">
        <f>IF(OR(questions[[#This Row],[is_single_select]],questions[[#This Row],[is_multi_select]]),NOT(ISBLANK(questions[[#This Row],[answer_opt_combined]])),TRUE)</f>
        <v>1</v>
      </c>
    </row>
    <row r="1681" spans="1:45" s="77" customFormat="1" ht="15.75" customHeight="1" x14ac:dyDescent="0.25">
      <c r="A1681" s="77" t="str">
        <f>_xlfn.TEXTJOIN("_",TRUE,questions[[#This Row],[origin]:[qno]])</f>
        <v>Burundi_Arabica_IKAWA RES PROJECT_2026_7402</v>
      </c>
      <c r="B1681" s="77" t="s">
        <v>1057</v>
      </c>
      <c r="C1681" s="77" t="s">
        <v>59</v>
      </c>
      <c r="D1681" s="77" t="s">
        <v>1058</v>
      </c>
      <c r="E1681" s="77">
        <v>2026</v>
      </c>
      <c r="F1681" s="105" t="s">
        <v>445</v>
      </c>
      <c r="G1681" s="78" t="s">
        <v>808</v>
      </c>
      <c r="H1681" s="9" t="str" cm="1">
        <f t="array" ref="H1681">INDEX(stableR[question],MATCH(VALUE(questions[[#This Row],[qno]]),VALUE(stableR[qno]),0))</f>
        <v>What is the main renovation-rehabilitation systems do you use to renovate/rehabilitate (e.g. full stumping, partial stumping, capping, side pruning, uprooting and planting new trees)?</v>
      </c>
      <c r="I1681" s="9" t="b" cm="1">
        <f t="array" ref="I1681">INDEX(stable[is_fixed],MATCH(VALUE(questions[[#This Row],[qno]]),VALUE(stable[qno]),0))</f>
        <v>1</v>
      </c>
      <c r="J1681" s="9" t="b" cm="1">
        <f t="array" ref="J1681">INDEX(stable[is_localized],MATCH(VALUE(questions[[#This Row],[qno]]),VALUE(stable[qno]),0))</f>
        <v>0</v>
      </c>
      <c r="K1681" s="9" t="b" cm="1">
        <f t="array" ref="K1681">INDEX(stable[is_supply_chain_dependent],MATCH(VALUE(questions[[#This Row],[qno]]),VALUE(stable[qno]),0))</f>
        <v>0</v>
      </c>
      <c r="L1681" s="9" t="b" cm="1">
        <f t="array" ref="L1681">INDEX(stable[is_mandatory],MATCH(VALUE(questions[[#This Row],[qno]]),VALUE(stable[qno]),0))</f>
        <v>0</v>
      </c>
      <c r="M1681" s="9" t="b" cm="1">
        <f t="array" ref="M1681">INDEX(stable[is_automated],MATCH(VALUE(questions[[#This Row],[qno]]),VALUE(stable[qno]),0))</f>
        <v>0</v>
      </c>
      <c r="N1681" s="9" t="b" cm="1">
        <f t="array" ref="N1681">INDEX(stable[is_free_text],MATCH(VALUE(questions[[#This Row],[qno]]),VALUE(stable[qno]),0))</f>
        <v>0</v>
      </c>
      <c r="O1681" s="9" t="b" cm="1">
        <f t="array" ref="O1681">INDEX(stable[is_numerical],MATCH(VALUE(questions[[#This Row],[qno]]),VALUE(stable[qno]),0))</f>
        <v>0</v>
      </c>
      <c r="P1681" s="77" t="b" cm="1">
        <f t="array" ref="P1681">INDEX(stable[is_single_select],MATCH(VALUE(questions[[#This Row],[qno]]),VALUE(stable[qno]),0))</f>
        <v>1</v>
      </c>
      <c r="Q1681" s="77" t="b" cm="1">
        <f t="array" ref="Q1681">INDEX(stable[is_multi_select],MATCH(VALUE(questions[[#This Row],[qno]]),VALUE(stable[qno]),0))</f>
        <v>0</v>
      </c>
      <c r="R1681" s="77" t="b" cm="1">
        <f t="array" ref="R1681">INDEX(stable[is_skip_logic],MATCH(VALUE(questions[[#This Row],[qno]]),VALUE(stable[qno]),0))</f>
        <v>1</v>
      </c>
      <c r="S1681" s="77" t="str">
        <f>_xlfn.TEXTJOIN(", ",TRUE,questions[[#This Row],[ans_opt_1]:[ans_opt_14]])</f>
        <v>full stumping, partial stumping, capping, side pruning, capping and side prunning, uprooting and planting new trees</v>
      </c>
      <c r="T1681" s="77" t="s">
        <v>447</v>
      </c>
      <c r="U1681" s="77" t="s">
        <v>448</v>
      </c>
      <c r="V1681" s="77" t="s">
        <v>449</v>
      </c>
      <c r="W1681" s="77" t="s">
        <v>450</v>
      </c>
      <c r="X1681" s="77" t="s">
        <v>451</v>
      </c>
      <c r="Y1681" s="77" t="s">
        <v>452</v>
      </c>
      <c r="AH1681" s="98" t="b">
        <f>INDEX(stable[q_standard],MATCH(questions[[#This Row],[qno]],stable[qno],0))</f>
        <v>0</v>
      </c>
      <c r="AI1681" s="98" t="b">
        <f>INDEX(stable[q_living_income],MATCH(questions[[#This Row],[qno]],stable[qno],0))</f>
        <v>0</v>
      </c>
      <c r="AJ1681" s="98" t="b">
        <f>INDEX(stable[q_carbon],MATCH(questions[[#This Row],[qno]],stable[qno],0))</f>
        <v>0</v>
      </c>
      <c r="AK1681" s="98" t="b">
        <f>INDEX(stable[q_regen_ag],MATCH(questions[[#This Row],[qno]],stable[qno],0))</f>
        <v>1</v>
      </c>
      <c r="AL1681" s="98" t="b">
        <f>COUNTIFS(stable[qno],questions[[#This Row],[qno]])=1</f>
        <v>1</v>
      </c>
      <c r="AM1681" s="98" t="b">
        <f>OR(questions[[#This Row],[is_fixed]],questions[[#This Row],[is_localized]],questions[[#This Row],[is_supply_chain_dependent]])</f>
        <v>1</v>
      </c>
      <c r="AN1681" s="98" t="b">
        <f>COUNTIFS(questions[[#This Row],[is_automated]:[is_multi_select]],TRUE)=1</f>
        <v>1</v>
      </c>
      <c r="AO1681" s="98" t="b">
        <f>IF(questions[[#This Row],[is_fixed]],questions[[#This Row],[question]]=INDEX(stable[question],MATCH(questions[[#This Row],[qno]],stable[qno],0)),TRUE)</f>
        <v>0</v>
      </c>
      <c r="AP1681" s="98" t="str">
        <f>LEFT(questions[[#This Row],[question]],similarity_range)</f>
        <v>What is the main ren</v>
      </c>
      <c r="AQ1681" s="98" t="str">
        <f>LEFT(INDEX(stable[question],MATCH(questions[[#This Row],[qno]],stable[qno],0)),similarity_range)</f>
        <v>What is the main ren</v>
      </c>
      <c r="AR1681" s="98" t="b">
        <f>questions[[#This Row],[question_first_characters]]=questions[[#This Row],[stability_first_characters]]</f>
        <v>1</v>
      </c>
      <c r="AS1681" s="98" t="b">
        <f>IF(OR(questions[[#This Row],[is_single_select]],questions[[#This Row],[is_multi_select]]),NOT(ISBLANK(questions[[#This Row],[answer_opt_combined]])),TRUE)</f>
        <v>1</v>
      </c>
    </row>
    <row r="1682" spans="1:45" s="77" customFormat="1" ht="15.75" customHeight="1" x14ac:dyDescent="0.25">
      <c r="A1682" s="77" t="str">
        <f>_xlfn.TEXTJOIN("_",TRUE,questions[[#This Row],[origin]:[qno]])</f>
        <v>Burundi_Arabica_IKAWA RES PROJECT_2026_7410</v>
      </c>
      <c r="B1682" s="77" t="s">
        <v>1057</v>
      </c>
      <c r="C1682" s="77" t="s">
        <v>59</v>
      </c>
      <c r="D1682" s="77" t="s">
        <v>1058</v>
      </c>
      <c r="E1682" s="77">
        <v>2026</v>
      </c>
      <c r="F1682" s="105" t="s">
        <v>453</v>
      </c>
      <c r="G1682" s="78" t="s">
        <v>454</v>
      </c>
      <c r="H1682" s="9" t="str" cm="1">
        <f t="array" ref="H1682">INDEX(stableR[question],MATCH(VALUE(questions[[#This Row],[qno]]),VALUE(stableR[qno]),0))</f>
        <v>How many coffee varieties do you grow in your coffee plots?</v>
      </c>
      <c r="I1682" s="9" t="b" cm="1">
        <f t="array" ref="I1682">INDEX(stable[is_fixed],MATCH(VALUE(questions[[#This Row],[qno]]),VALUE(stable[qno]),0))</f>
        <v>1</v>
      </c>
      <c r="J1682" s="9" t="b" cm="1">
        <f t="array" ref="J1682">INDEX(stable[is_localized],MATCH(VALUE(questions[[#This Row],[qno]]),VALUE(stable[qno]),0))</f>
        <v>0</v>
      </c>
      <c r="K1682" s="9" t="b" cm="1">
        <f t="array" ref="K1682">INDEX(stable[is_supply_chain_dependent],MATCH(VALUE(questions[[#This Row],[qno]]),VALUE(stable[qno]),0))</f>
        <v>0</v>
      </c>
      <c r="L1682" s="9" t="b" cm="1">
        <f t="array" ref="L1682">INDEX(stable[is_mandatory],MATCH(VALUE(questions[[#This Row],[qno]]),VALUE(stable[qno]),0))</f>
        <v>1</v>
      </c>
      <c r="M1682" s="9" t="b" cm="1">
        <f t="array" ref="M1682">INDEX(stable[is_automated],MATCH(VALUE(questions[[#This Row],[qno]]),VALUE(stable[qno]),0))</f>
        <v>0</v>
      </c>
      <c r="N1682" s="9" t="b" cm="1">
        <f t="array" ref="N1682">INDEX(stable[is_free_text],MATCH(VALUE(questions[[#This Row],[qno]]),VALUE(stable[qno]),0))</f>
        <v>0</v>
      </c>
      <c r="O1682" s="9" t="b" cm="1">
        <f t="array" ref="O1682">INDEX(stable[is_numerical],MATCH(VALUE(questions[[#This Row],[qno]]),VALUE(stable[qno]),0))</f>
        <v>0</v>
      </c>
      <c r="P1682" s="77" t="b" cm="1">
        <f t="array" ref="P1682">INDEX(stable[is_single_select],MATCH(VALUE(questions[[#This Row],[qno]]),VALUE(stable[qno]),0))</f>
        <v>1</v>
      </c>
      <c r="Q1682" s="77" t="b" cm="1">
        <f t="array" ref="Q1682">INDEX(stable[is_multi_select],MATCH(VALUE(questions[[#This Row],[qno]]),VALUE(stable[qno]),0))</f>
        <v>0</v>
      </c>
      <c r="R1682" s="77" t="b" cm="1">
        <f t="array" ref="R1682">INDEX(stable[is_skip_logic],MATCH(VALUE(questions[[#This Row],[qno]]),VALUE(stable[qno]),0))</f>
        <v>1</v>
      </c>
      <c r="S1682" s="77" t="str">
        <f>_xlfn.TEXTJOIN(", ",TRUE,questions[[#This Row],[ans_opt_1]:[ans_opt_14]])</f>
        <v>1, 2, 3, 4, 5, &gt;5</v>
      </c>
      <c r="T1682" s="77">
        <v>1</v>
      </c>
      <c r="U1682" s="77">
        <v>2</v>
      </c>
      <c r="V1682" s="77">
        <v>3</v>
      </c>
      <c r="W1682" s="77">
        <v>4</v>
      </c>
      <c r="X1682" s="77">
        <v>5</v>
      </c>
      <c r="Y1682" s="77" t="s">
        <v>404</v>
      </c>
      <c r="AH1682" s="98" t="b">
        <f>INDEX(stable[q_standard],MATCH(questions[[#This Row],[qno]],stable[qno],0))</f>
        <v>0</v>
      </c>
      <c r="AI1682" s="98" t="b">
        <f>INDEX(stable[q_living_income],MATCH(questions[[#This Row],[qno]],stable[qno],0))</f>
        <v>0</v>
      </c>
      <c r="AJ1682" s="98" t="b">
        <f>INDEX(stable[q_carbon],MATCH(questions[[#This Row],[qno]],stable[qno],0))</f>
        <v>0</v>
      </c>
      <c r="AK1682" s="98" t="b">
        <f>INDEX(stable[q_regen_ag],MATCH(questions[[#This Row],[qno]],stable[qno],0))</f>
        <v>1</v>
      </c>
      <c r="AL1682" s="98" t="b">
        <f>COUNTIFS(stable[qno],questions[[#This Row],[qno]])=1</f>
        <v>1</v>
      </c>
      <c r="AM1682" s="98" t="b">
        <f>OR(questions[[#This Row],[is_fixed]],questions[[#This Row],[is_localized]],questions[[#This Row],[is_supply_chain_dependent]])</f>
        <v>1</v>
      </c>
      <c r="AN1682" s="98" t="b">
        <f>COUNTIFS(questions[[#This Row],[is_automated]:[is_multi_select]],TRUE)=1</f>
        <v>1</v>
      </c>
      <c r="AO1682" s="98" t="b">
        <f>IF(questions[[#This Row],[is_fixed]],questions[[#This Row],[question]]=INDEX(stable[question],MATCH(questions[[#This Row],[qno]],stable[qno],0)),TRUE)</f>
        <v>1</v>
      </c>
      <c r="AP1682" s="98" t="str">
        <f>LEFT(questions[[#This Row],[question]],similarity_range)</f>
        <v>How many coffee vari</v>
      </c>
      <c r="AQ1682" s="98" t="str">
        <f>LEFT(INDEX(stable[question],MATCH(questions[[#This Row],[qno]],stable[qno],0)),similarity_range)</f>
        <v>How many coffee vari</v>
      </c>
      <c r="AR1682" s="98" t="b">
        <f>questions[[#This Row],[question_first_characters]]=questions[[#This Row],[stability_first_characters]]</f>
        <v>1</v>
      </c>
      <c r="AS1682" s="98" t="b">
        <f>IF(OR(questions[[#This Row],[is_single_select]],questions[[#This Row],[is_multi_select]]),NOT(ISBLANK(questions[[#This Row],[answer_opt_combined]])),TRUE)</f>
        <v>1</v>
      </c>
    </row>
    <row r="1683" spans="1:45" s="77" customFormat="1" ht="15.75" customHeight="1" x14ac:dyDescent="0.25">
      <c r="A1683" s="77" t="str">
        <f>_xlfn.TEXTJOIN("_",TRUE,questions[[#This Row],[origin]:[qno]])</f>
        <v>Burundi_Arabica_IKAWA RES PROJECT_2026_7411</v>
      </c>
      <c r="B1683" s="77" t="s">
        <v>1057</v>
      </c>
      <c r="C1683" s="77" t="s">
        <v>59</v>
      </c>
      <c r="D1683" s="77" t="s">
        <v>1058</v>
      </c>
      <c r="E1683" s="77">
        <v>2026</v>
      </c>
      <c r="F1683" s="105" t="s">
        <v>455</v>
      </c>
      <c r="G1683" s="78" t="s">
        <v>1024</v>
      </c>
      <c r="H1683" s="9" t="str" cm="1">
        <f t="array" ref="H1683">INDEX(stableR[question],MATCH(VALUE(questions[[#This Row],[qno]]),VALUE(stableR[qno]),0))</f>
        <v>What % or proportion over the total number of trees of the cultivated area is planted with the main variety?</v>
      </c>
      <c r="I1683" s="9" t="b" cm="1">
        <f t="array" ref="I1683">INDEX(stable[is_fixed],MATCH(VALUE(questions[[#This Row],[qno]]),VALUE(stable[qno]),0))</f>
        <v>1</v>
      </c>
      <c r="J1683" s="9" t="b" cm="1">
        <f t="array" ref="J1683">INDEX(stable[is_localized],MATCH(VALUE(questions[[#This Row],[qno]]),VALUE(stable[qno]),0))</f>
        <v>0</v>
      </c>
      <c r="K1683" s="9" t="b" cm="1">
        <f t="array" ref="K1683">INDEX(stable[is_supply_chain_dependent],MATCH(VALUE(questions[[#This Row],[qno]]),VALUE(stable[qno]),0))</f>
        <v>0</v>
      </c>
      <c r="L1683" s="9" t="b" cm="1">
        <f t="array" ref="L1683">INDEX(stable[is_mandatory],MATCH(VALUE(questions[[#This Row],[qno]]),VALUE(stable[qno]),0))</f>
        <v>1</v>
      </c>
      <c r="M1683" s="9" t="b" cm="1">
        <f t="array" ref="M1683">INDEX(stable[is_automated],MATCH(VALUE(questions[[#This Row],[qno]]),VALUE(stable[qno]),0))</f>
        <v>0</v>
      </c>
      <c r="N1683" s="9" t="b" cm="1">
        <f t="array" ref="N1683">INDEX(stable[is_free_text],MATCH(VALUE(questions[[#This Row],[qno]]),VALUE(stable[qno]),0))</f>
        <v>0</v>
      </c>
      <c r="O1683" s="9" t="b" cm="1">
        <f t="array" ref="O1683">INDEX(stable[is_numerical],MATCH(VALUE(questions[[#This Row],[qno]]),VALUE(stable[qno]),0))</f>
        <v>0</v>
      </c>
      <c r="P1683" s="77" t="b" cm="1">
        <f t="array" ref="P1683">INDEX(stable[is_single_select],MATCH(VALUE(questions[[#This Row],[qno]]),VALUE(stable[qno]),0))</f>
        <v>1</v>
      </c>
      <c r="Q1683" s="77" t="b" cm="1">
        <f t="array" ref="Q1683">INDEX(stable[is_multi_select],MATCH(VALUE(questions[[#This Row],[qno]]),VALUE(stable[qno]),0))</f>
        <v>0</v>
      </c>
      <c r="R1683" s="77" t="b" cm="1">
        <f t="array" ref="R1683">INDEX(stable[is_skip_logic],MATCH(VALUE(questions[[#This Row],[qno]]),VALUE(stable[qno]),0))</f>
        <v>1</v>
      </c>
      <c r="S1683" s="77" t="str">
        <f>_xlfn.TEXTJOIN(", ",TRUE,questions[[#This Row],[ans_opt_1]:[ans_opt_14]])</f>
        <v>1% to 25% - little to a quarter, 26% to 50% - less than half, 51% to 75% - more than half, 76% to 100% - almost all</v>
      </c>
      <c r="T1683" s="77" t="s">
        <v>338</v>
      </c>
      <c r="U1683" s="77" t="s">
        <v>339</v>
      </c>
      <c r="V1683" s="77" t="s">
        <v>340</v>
      </c>
      <c r="W1683" s="77" t="s">
        <v>341</v>
      </c>
      <c r="AH1683" s="98" t="b">
        <f>INDEX(stable[q_standard],MATCH(questions[[#This Row],[qno]],stable[qno],0))</f>
        <v>0</v>
      </c>
      <c r="AI1683" s="98" t="b">
        <f>INDEX(stable[q_living_income],MATCH(questions[[#This Row],[qno]],stable[qno],0))</f>
        <v>0</v>
      </c>
      <c r="AJ1683" s="98" t="b">
        <f>INDEX(stable[q_carbon],MATCH(questions[[#This Row],[qno]],stable[qno],0))</f>
        <v>0</v>
      </c>
      <c r="AK1683" s="98" t="b">
        <f>INDEX(stable[q_regen_ag],MATCH(questions[[#This Row],[qno]],stable[qno],0))</f>
        <v>1</v>
      </c>
      <c r="AL1683" s="98" t="b">
        <f>COUNTIFS(stable[qno],questions[[#This Row],[qno]])=1</f>
        <v>1</v>
      </c>
      <c r="AM1683" s="98" t="b">
        <f>OR(questions[[#This Row],[is_fixed]],questions[[#This Row],[is_localized]],questions[[#This Row],[is_supply_chain_dependent]])</f>
        <v>1</v>
      </c>
      <c r="AN1683" s="98" t="b">
        <f>COUNTIFS(questions[[#This Row],[is_automated]:[is_multi_select]],TRUE)=1</f>
        <v>1</v>
      </c>
      <c r="AO1683" s="98" t="b">
        <f>IF(questions[[#This Row],[is_fixed]],questions[[#This Row],[question]]=INDEX(stable[question],MATCH(questions[[#This Row],[qno]],stable[qno],0)),TRUE)</f>
        <v>1</v>
      </c>
      <c r="AP1683" s="98" t="str">
        <f>LEFT(questions[[#This Row],[question]],similarity_range)</f>
        <v>What % or proportion</v>
      </c>
      <c r="AQ1683" s="98" t="str">
        <f>LEFT(INDEX(stable[question],MATCH(questions[[#This Row],[qno]],stable[qno],0)),similarity_range)</f>
        <v>What % or proportion</v>
      </c>
      <c r="AR1683" s="98" t="b">
        <f>questions[[#This Row],[question_first_characters]]=questions[[#This Row],[stability_first_characters]]</f>
        <v>1</v>
      </c>
      <c r="AS1683" s="98" t="b">
        <f>IF(OR(questions[[#This Row],[is_single_select]],questions[[#This Row],[is_multi_select]]),NOT(ISBLANK(questions[[#This Row],[answer_opt_combined]])),TRUE)</f>
        <v>1</v>
      </c>
    </row>
    <row r="1684" spans="1:45" s="77" customFormat="1" ht="15.75" customHeight="1" x14ac:dyDescent="0.25">
      <c r="A1684" s="77" t="str">
        <f>_xlfn.TEXTJOIN("_",TRUE,questions[[#This Row],[origin]:[qno]])</f>
        <v>Burundi_Arabica_IKAWA RES PROJECT_2026_7412</v>
      </c>
      <c r="B1684" s="77" t="s">
        <v>1057</v>
      </c>
      <c r="C1684" s="77" t="s">
        <v>59</v>
      </c>
      <c r="D1684" s="77" t="s">
        <v>1058</v>
      </c>
      <c r="E1684" s="77">
        <v>2026</v>
      </c>
      <c r="F1684" s="105" t="s">
        <v>457</v>
      </c>
      <c r="G1684" s="78" t="s">
        <v>458</v>
      </c>
      <c r="H1684" s="9" t="str" cm="1">
        <f t="array" ref="H1684">INDEX(stableR[question],MATCH(VALUE(questions[[#This Row],[qno]]),VALUE(stableR[qno]),0))</f>
        <v>If you grow only one variety, how many years ago was this variety planted?</v>
      </c>
      <c r="I1684" s="9" t="b" cm="1">
        <f t="array" ref="I1684">INDEX(stable[is_fixed],MATCH(VALUE(questions[[#This Row],[qno]]),VALUE(stable[qno]),0))</f>
        <v>1</v>
      </c>
      <c r="J1684" s="9" t="b" cm="1">
        <f t="array" ref="J1684">INDEX(stable[is_localized],MATCH(VALUE(questions[[#This Row],[qno]]),VALUE(stable[qno]),0))</f>
        <v>0</v>
      </c>
      <c r="K1684" s="9" t="b" cm="1">
        <f t="array" ref="K1684">INDEX(stable[is_supply_chain_dependent],MATCH(VALUE(questions[[#This Row],[qno]]),VALUE(stable[qno]),0))</f>
        <v>0</v>
      </c>
      <c r="L1684" s="9" t="b" cm="1">
        <f t="array" ref="L1684">INDEX(stable[is_mandatory],MATCH(VALUE(questions[[#This Row],[qno]]),VALUE(stable[qno]),0))</f>
        <v>0</v>
      </c>
      <c r="M1684" s="9" t="b" cm="1">
        <f t="array" ref="M1684">INDEX(stable[is_automated],MATCH(VALUE(questions[[#This Row],[qno]]),VALUE(stable[qno]),0))</f>
        <v>0</v>
      </c>
      <c r="N1684" s="9" t="b" cm="1">
        <f t="array" ref="N1684">INDEX(stable[is_free_text],MATCH(VALUE(questions[[#This Row],[qno]]),VALUE(stable[qno]),0))</f>
        <v>0</v>
      </c>
      <c r="O1684" s="9" t="b" cm="1">
        <f t="array" ref="O1684">INDEX(stable[is_numerical],MATCH(VALUE(questions[[#This Row],[qno]]),VALUE(stable[qno]),0))</f>
        <v>0</v>
      </c>
      <c r="P1684" s="77" t="b" cm="1">
        <f t="array" ref="P1684">INDEX(stable[is_single_select],MATCH(VALUE(questions[[#This Row],[qno]]),VALUE(stable[qno]),0))</f>
        <v>1</v>
      </c>
      <c r="Q1684" s="77" t="b" cm="1">
        <f t="array" ref="Q1684">INDEX(stable[is_multi_select],MATCH(VALUE(questions[[#This Row],[qno]]),VALUE(stable[qno]),0))</f>
        <v>0</v>
      </c>
      <c r="R1684" s="77" t="b" cm="1">
        <f t="array" ref="R1684">INDEX(stable[is_skip_logic],MATCH(VALUE(questions[[#This Row],[qno]]),VALUE(stable[qno]),0))</f>
        <v>1</v>
      </c>
      <c r="S1684" s="77" t="str">
        <f>_xlfn.TEXTJOIN(", ",TRUE,questions[[#This Row],[ans_opt_1]:[ans_opt_14]])</f>
        <v>1-5 years, 6-10 years, 11-15 years, 15-20 years, 20-30 years, &gt;30 years</v>
      </c>
      <c r="T1684" s="77" t="s">
        <v>459</v>
      </c>
      <c r="U1684" s="77" t="s">
        <v>460</v>
      </c>
      <c r="V1684" s="77" t="s">
        <v>461</v>
      </c>
      <c r="W1684" s="77" t="s">
        <v>462</v>
      </c>
      <c r="X1684" s="77" t="s">
        <v>463</v>
      </c>
      <c r="Y1684" s="77" t="s">
        <v>464</v>
      </c>
      <c r="AH1684" s="98" t="b">
        <f>INDEX(stable[q_standard],MATCH(questions[[#This Row],[qno]],stable[qno],0))</f>
        <v>0</v>
      </c>
      <c r="AI1684" s="98" t="b">
        <f>INDEX(stable[q_living_income],MATCH(questions[[#This Row],[qno]],stable[qno],0))</f>
        <v>0</v>
      </c>
      <c r="AJ1684" s="98" t="b">
        <f>INDEX(stable[q_carbon],MATCH(questions[[#This Row],[qno]],stable[qno],0))</f>
        <v>0</v>
      </c>
      <c r="AK1684" s="98" t="b">
        <f>INDEX(stable[q_regen_ag],MATCH(questions[[#This Row],[qno]],stable[qno],0))</f>
        <v>1</v>
      </c>
      <c r="AL1684" s="98" t="b">
        <f>COUNTIFS(stable[qno],questions[[#This Row],[qno]])=1</f>
        <v>1</v>
      </c>
      <c r="AM1684" s="98" t="b">
        <f>OR(questions[[#This Row],[is_fixed]],questions[[#This Row],[is_localized]],questions[[#This Row],[is_supply_chain_dependent]])</f>
        <v>1</v>
      </c>
      <c r="AN1684" s="98" t="b">
        <f>COUNTIFS(questions[[#This Row],[is_automated]:[is_multi_select]],TRUE)=1</f>
        <v>1</v>
      </c>
      <c r="AO1684" s="98" t="b">
        <f>IF(questions[[#This Row],[is_fixed]],questions[[#This Row],[question]]=INDEX(stable[question],MATCH(questions[[#This Row],[qno]],stable[qno],0)),TRUE)</f>
        <v>1</v>
      </c>
      <c r="AP1684" s="98" t="str">
        <f>LEFT(questions[[#This Row],[question]],similarity_range)</f>
        <v>If you grow only one</v>
      </c>
      <c r="AQ1684" s="98" t="str">
        <f>LEFT(INDEX(stable[question],MATCH(questions[[#This Row],[qno]],stable[qno],0)),similarity_range)</f>
        <v>If you grow only one</v>
      </c>
      <c r="AR1684" s="98" t="b">
        <f>questions[[#This Row],[question_first_characters]]=questions[[#This Row],[stability_first_characters]]</f>
        <v>1</v>
      </c>
      <c r="AS1684" s="98" t="b">
        <f>IF(OR(questions[[#This Row],[is_single_select]],questions[[#This Row],[is_multi_select]]),NOT(ISBLANK(questions[[#This Row],[answer_opt_combined]])),TRUE)</f>
        <v>1</v>
      </c>
    </row>
    <row r="1685" spans="1:45" s="77" customFormat="1" ht="15.75" customHeight="1" x14ac:dyDescent="0.25">
      <c r="A1685" s="77" t="str">
        <f>_xlfn.TEXTJOIN("_",TRUE,questions[[#This Row],[origin]:[qno]])</f>
        <v>Burundi_Arabica_IKAWA RES PROJECT_2026_7500</v>
      </c>
      <c r="B1685" s="77" t="s">
        <v>1057</v>
      </c>
      <c r="C1685" s="77" t="s">
        <v>59</v>
      </c>
      <c r="D1685" s="77" t="s">
        <v>1058</v>
      </c>
      <c r="E1685" s="77">
        <v>2026</v>
      </c>
      <c r="F1685" s="105" t="s">
        <v>465</v>
      </c>
      <c r="G1685" s="78" t="s">
        <v>810</v>
      </c>
      <c r="H1685" s="9" t="str" cm="1">
        <f t="array" ref="H1685">INDEX(stableR[question],MATCH(VALUE(questions[[#This Row],[qno]]),VALUE(stableR[qno]),0))</f>
        <v>Do you plant shade trees and/or fruit trees in your coffee plots?</v>
      </c>
      <c r="I1685" s="9" t="b" cm="1">
        <f t="array" ref="I1685">INDEX(stable[is_fixed],MATCH(VALUE(questions[[#This Row],[qno]]),VALUE(stable[qno]),0))</f>
        <v>0</v>
      </c>
      <c r="J1685" s="9" t="b" cm="1">
        <f t="array" ref="J1685">INDEX(stable[is_localized],MATCH(VALUE(questions[[#This Row],[qno]]),VALUE(stable[qno]),0))</f>
        <v>1</v>
      </c>
      <c r="K1685" s="9" t="b" cm="1">
        <f t="array" ref="K1685">INDEX(stable[is_supply_chain_dependent],MATCH(VALUE(questions[[#This Row],[qno]]),VALUE(stable[qno]),0))</f>
        <v>0</v>
      </c>
      <c r="L1685" s="9" t="b" cm="1">
        <f t="array" ref="L1685">INDEX(stable[is_mandatory],MATCH(VALUE(questions[[#This Row],[qno]]),VALUE(stable[qno]),0))</f>
        <v>1</v>
      </c>
      <c r="M1685" s="9" t="b" cm="1">
        <f t="array" ref="M1685">INDEX(stable[is_automated],MATCH(VALUE(questions[[#This Row],[qno]]),VALUE(stable[qno]),0))</f>
        <v>0</v>
      </c>
      <c r="N1685" s="9" t="b" cm="1">
        <f t="array" ref="N1685">INDEX(stable[is_free_text],MATCH(VALUE(questions[[#This Row],[qno]]),VALUE(stable[qno]),0))</f>
        <v>0</v>
      </c>
      <c r="O1685" s="9" t="b" cm="1">
        <f t="array" ref="O1685">INDEX(stable[is_numerical],MATCH(VALUE(questions[[#This Row],[qno]]),VALUE(stable[qno]),0))</f>
        <v>0</v>
      </c>
      <c r="P1685" s="77" t="b" cm="1">
        <f t="array" ref="P1685">INDEX(stable[is_single_select],MATCH(VALUE(questions[[#This Row],[qno]]),VALUE(stable[qno]),0))</f>
        <v>1</v>
      </c>
      <c r="Q1685" s="77" t="b" cm="1">
        <f t="array" ref="Q1685">INDEX(stable[is_multi_select],MATCH(VALUE(questions[[#This Row],[qno]]),VALUE(stable[qno]),0))</f>
        <v>0</v>
      </c>
      <c r="R1685" s="77" t="b" cm="1">
        <f t="array" ref="R1685">INDEX(stable[is_skip_logic],MATCH(VALUE(questions[[#This Row],[qno]]),VALUE(stable[qno]),0))</f>
        <v>1</v>
      </c>
      <c r="S1685" s="77" t="str">
        <f>_xlfn.TEXTJOIN(", ",TRUE,questions[[#This Row],[ans_opt_1]:[ans_opt_14]])</f>
        <v>No, Yes - forest shade trees, Yes - fruit trees, Yes - mix of forest shade trees and fruit trees</v>
      </c>
      <c r="T1685" s="77" t="s">
        <v>119</v>
      </c>
      <c r="U1685" s="77" t="s">
        <v>467</v>
      </c>
      <c r="V1685" s="77" t="s">
        <v>468</v>
      </c>
      <c r="W1685" s="77" t="s">
        <v>469</v>
      </c>
      <c r="AH1685" s="98" t="b">
        <f>INDEX(stable[q_standard],MATCH(questions[[#This Row],[qno]],stable[qno],0))</f>
        <v>0</v>
      </c>
      <c r="AI1685" s="98" t="b">
        <f>INDEX(stable[q_living_income],MATCH(questions[[#This Row],[qno]],stable[qno],0))</f>
        <v>0</v>
      </c>
      <c r="AJ1685" s="98" t="b">
        <f>INDEX(stable[q_carbon],MATCH(questions[[#This Row],[qno]],stable[qno],0))</f>
        <v>0</v>
      </c>
      <c r="AK1685" s="98" t="b">
        <f>INDEX(stable[q_regen_ag],MATCH(questions[[#This Row],[qno]],stable[qno],0))</f>
        <v>1</v>
      </c>
      <c r="AL1685" s="98" t="b">
        <f>COUNTIFS(stable[qno],questions[[#This Row],[qno]])=1</f>
        <v>1</v>
      </c>
      <c r="AM1685" s="98" t="b">
        <f>OR(questions[[#This Row],[is_fixed]],questions[[#This Row],[is_localized]],questions[[#This Row],[is_supply_chain_dependent]])</f>
        <v>1</v>
      </c>
      <c r="AN1685" s="98" t="b">
        <f>COUNTIFS(questions[[#This Row],[is_automated]:[is_multi_select]],TRUE)=1</f>
        <v>1</v>
      </c>
      <c r="AO1685" s="98" t="b">
        <f>IF(questions[[#This Row],[is_fixed]],questions[[#This Row],[question]]=INDEX(stable[question],MATCH(questions[[#This Row],[qno]],stable[qno],0)),TRUE)</f>
        <v>1</v>
      </c>
      <c r="AP1685" s="98" t="str">
        <f>LEFT(questions[[#This Row],[question]],similarity_range)</f>
        <v>Do you plant shade t</v>
      </c>
      <c r="AQ1685" s="98" t="str">
        <f>LEFT(INDEX(stable[question],MATCH(questions[[#This Row],[qno]],stable[qno],0)),similarity_range)</f>
        <v>Do you plant shade t</v>
      </c>
      <c r="AR1685" s="98" t="b">
        <f>questions[[#This Row],[question_first_characters]]=questions[[#This Row],[stability_first_characters]]</f>
        <v>1</v>
      </c>
      <c r="AS1685" s="98" t="b">
        <f>IF(OR(questions[[#This Row],[is_single_select]],questions[[#This Row],[is_multi_select]]),NOT(ISBLANK(questions[[#This Row],[answer_opt_combined]])),TRUE)</f>
        <v>1</v>
      </c>
    </row>
    <row r="1686" spans="1:45" s="77" customFormat="1" ht="15.75" customHeight="1" x14ac:dyDescent="0.25">
      <c r="A1686" s="77" t="str">
        <f>_xlfn.TEXTJOIN("_",TRUE,questions[[#This Row],[origin]:[qno]])</f>
        <v>Burundi_Arabica_IKAWA RES PROJECT_2026_7501</v>
      </c>
      <c r="B1686" s="77" t="s">
        <v>1057</v>
      </c>
      <c r="C1686" s="77" t="s">
        <v>59</v>
      </c>
      <c r="D1686" s="77" t="s">
        <v>1058</v>
      </c>
      <c r="E1686" s="77">
        <v>2026</v>
      </c>
      <c r="F1686" s="105" t="s">
        <v>470</v>
      </c>
      <c r="G1686" s="78" t="s">
        <v>811</v>
      </c>
      <c r="H1686" s="9" t="str" cm="1">
        <f t="array" ref="H1686">INDEX(stableR[question],MATCH(VALUE(questions[[#This Row],[qno]]),VALUE(stableR[qno]),0))</f>
        <v>If so, on what % or proportion of your coffee plots do you have shade and/or fruit trees? e.g. if all agro-forestry trees are only distributed in a quarter of the coffee plot, and the rest of the plot does not have agro-forestry trees, then it is 25%</v>
      </c>
      <c r="I1686" s="9" t="b" cm="1">
        <f t="array" ref="I1686">INDEX(stable[is_fixed],MATCH(VALUE(questions[[#This Row],[qno]]),VALUE(stable[qno]),0))</f>
        <v>1</v>
      </c>
      <c r="J1686" s="9" t="b" cm="1">
        <f t="array" ref="J1686">INDEX(stable[is_localized],MATCH(VALUE(questions[[#This Row],[qno]]),VALUE(stable[qno]),0))</f>
        <v>0</v>
      </c>
      <c r="K1686" s="9" t="b" cm="1">
        <f t="array" ref="K1686">INDEX(stable[is_supply_chain_dependent],MATCH(VALUE(questions[[#This Row],[qno]]),VALUE(stable[qno]),0))</f>
        <v>0</v>
      </c>
      <c r="L1686" s="9" t="b" cm="1">
        <f t="array" ref="L1686">INDEX(stable[is_mandatory],MATCH(VALUE(questions[[#This Row],[qno]]),VALUE(stable[qno]),0))</f>
        <v>0</v>
      </c>
      <c r="M1686" s="9" t="b" cm="1">
        <f t="array" ref="M1686">INDEX(stable[is_automated],MATCH(VALUE(questions[[#This Row],[qno]]),VALUE(stable[qno]),0))</f>
        <v>0</v>
      </c>
      <c r="N1686" s="9" t="b" cm="1">
        <f t="array" ref="N1686">INDEX(stable[is_free_text],MATCH(VALUE(questions[[#This Row],[qno]]),VALUE(stable[qno]),0))</f>
        <v>0</v>
      </c>
      <c r="O1686" s="9" t="b" cm="1">
        <f t="array" ref="O1686">INDEX(stable[is_numerical],MATCH(VALUE(questions[[#This Row],[qno]]),VALUE(stable[qno]),0))</f>
        <v>0</v>
      </c>
      <c r="P1686" s="77" t="b" cm="1">
        <f t="array" ref="P1686">INDEX(stable[is_single_select],MATCH(VALUE(questions[[#This Row],[qno]]),VALUE(stable[qno]),0))</f>
        <v>1</v>
      </c>
      <c r="Q1686" s="77" t="b" cm="1">
        <f t="array" ref="Q1686">INDEX(stable[is_multi_select],MATCH(VALUE(questions[[#This Row],[qno]]),VALUE(stable[qno]),0))</f>
        <v>0</v>
      </c>
      <c r="R1686" s="77" t="b" cm="1">
        <f t="array" ref="R1686">INDEX(stable[is_skip_logic],MATCH(VALUE(questions[[#This Row],[qno]]),VALUE(stable[qno]),0))</f>
        <v>1</v>
      </c>
      <c r="S1686" s="77" t="str">
        <f>_xlfn.TEXTJOIN(", ",TRUE,questions[[#This Row],[ans_opt_1]:[ans_opt_14]])</f>
        <v>1% to 25% - little to a quarter, 26% to 50% - less than half, 51% to 75% - more than half, 76% to 100% - almost all</v>
      </c>
      <c r="T1686" s="77" t="s">
        <v>338</v>
      </c>
      <c r="U1686" s="77" t="s">
        <v>339</v>
      </c>
      <c r="V1686" s="77" t="s">
        <v>340</v>
      </c>
      <c r="W1686" s="77" t="s">
        <v>341</v>
      </c>
      <c r="AH1686" s="98" t="b">
        <f>INDEX(stable[q_standard],MATCH(questions[[#This Row],[qno]],stable[qno],0))</f>
        <v>0</v>
      </c>
      <c r="AI1686" s="98" t="b">
        <f>INDEX(stable[q_living_income],MATCH(questions[[#This Row],[qno]],stable[qno],0))</f>
        <v>0</v>
      </c>
      <c r="AJ1686" s="98" t="b">
        <f>INDEX(stable[q_carbon],MATCH(questions[[#This Row],[qno]],stable[qno],0))</f>
        <v>0</v>
      </c>
      <c r="AK1686" s="98" t="b">
        <f>INDEX(stable[q_regen_ag],MATCH(questions[[#This Row],[qno]],stable[qno],0))</f>
        <v>1</v>
      </c>
      <c r="AL1686" s="98" t="b">
        <f>COUNTIFS(stable[qno],questions[[#This Row],[qno]])=1</f>
        <v>1</v>
      </c>
      <c r="AM1686" s="98" t="b">
        <f>OR(questions[[#This Row],[is_fixed]],questions[[#This Row],[is_localized]],questions[[#This Row],[is_supply_chain_dependent]])</f>
        <v>1</v>
      </c>
      <c r="AN1686" s="98" t="b">
        <f>COUNTIFS(questions[[#This Row],[is_automated]:[is_multi_select]],TRUE)=1</f>
        <v>1</v>
      </c>
      <c r="AO1686" s="98" t="b">
        <f>IF(questions[[#This Row],[is_fixed]],questions[[#This Row],[question]]=INDEX(stable[question],MATCH(questions[[#This Row],[qno]],stable[qno],0)),TRUE)</f>
        <v>0</v>
      </c>
      <c r="AP1686" s="98" t="str">
        <f>LEFT(questions[[#This Row],[question]],similarity_range)</f>
        <v xml:space="preserve">If so, on what % or </v>
      </c>
      <c r="AQ1686" s="98" t="str">
        <f>LEFT(INDEX(stable[question],MATCH(questions[[#This Row],[qno]],stable[qno],0)),similarity_range)</f>
        <v xml:space="preserve">If so, on what % or </v>
      </c>
      <c r="AR1686" s="98" t="b">
        <f>questions[[#This Row],[question_first_characters]]=questions[[#This Row],[stability_first_characters]]</f>
        <v>1</v>
      </c>
      <c r="AS1686" s="98" t="b">
        <f>IF(OR(questions[[#This Row],[is_single_select]],questions[[#This Row],[is_multi_select]]),NOT(ISBLANK(questions[[#This Row],[answer_opt_combined]])),TRUE)</f>
        <v>1</v>
      </c>
    </row>
    <row r="1687" spans="1:45" ht="15.75" customHeight="1" x14ac:dyDescent="0.25">
      <c r="A1687" s="9" t="str">
        <f>_xlfn.TEXTJOIN("_",TRUE,questions[[#This Row],[origin]:[qno]])</f>
        <v>Burundi_Arabica_IKAWA RES PROJECT_2026_7502</v>
      </c>
      <c r="B1687" s="9" t="s">
        <v>1057</v>
      </c>
      <c r="C1687" s="9" t="s">
        <v>59</v>
      </c>
      <c r="D1687" s="9" t="s">
        <v>1058</v>
      </c>
      <c r="E1687" s="33">
        <v>2026</v>
      </c>
      <c r="F1687" s="36" t="s">
        <v>472</v>
      </c>
      <c r="G1687" s="15" t="s">
        <v>473</v>
      </c>
      <c r="H1687" s="9" t="str" cm="1">
        <f t="array" ref="H1687">INDEX(stableR[question],MATCH(VALUE(questions[[#This Row],[qno]]),VALUE(stableR[qno]),0))</f>
        <v>How many different species of shade and/or fruit trees do you have in your coffee plots?</v>
      </c>
      <c r="I1687" s="9" t="b" cm="1">
        <f t="array" ref="I1687">INDEX(stable[is_fixed],MATCH(VALUE(questions[[#This Row],[qno]]),VALUE(stable[qno]),0))</f>
        <v>1</v>
      </c>
      <c r="J1687" s="9" t="b" cm="1">
        <f t="array" ref="J1687">INDEX(stable[is_localized],MATCH(VALUE(questions[[#This Row],[qno]]),VALUE(stable[qno]),0))</f>
        <v>0</v>
      </c>
      <c r="K1687" s="9" t="b" cm="1">
        <f t="array" ref="K1687">INDEX(stable[is_supply_chain_dependent],MATCH(VALUE(questions[[#This Row],[qno]]),VALUE(stable[qno]),0))</f>
        <v>0</v>
      </c>
      <c r="L1687" s="9" t="b" cm="1">
        <f t="array" ref="L1687">INDEX(stable[is_mandatory],MATCH(VALUE(questions[[#This Row],[qno]]),VALUE(stable[qno]),0))</f>
        <v>0</v>
      </c>
      <c r="M1687" s="9" t="b" cm="1">
        <f t="array" ref="M1687">INDEX(stable[is_automated],MATCH(VALUE(questions[[#This Row],[qno]]),VALUE(stable[qno]),0))</f>
        <v>0</v>
      </c>
      <c r="N1687" s="9" t="b" cm="1">
        <f t="array" ref="N1687">INDEX(stable[is_free_text],MATCH(VALUE(questions[[#This Row],[qno]]),VALUE(stable[qno]),0))</f>
        <v>0</v>
      </c>
      <c r="O1687" s="9" t="b" cm="1">
        <f t="array" ref="O1687">INDEX(stable[is_numerical],MATCH(VALUE(questions[[#This Row],[qno]]),VALUE(stable[qno]),0))</f>
        <v>1</v>
      </c>
      <c r="P1687" s="9" t="b" cm="1">
        <f t="array" ref="P1687">INDEX(stable[is_single_select],MATCH(VALUE(questions[[#This Row],[qno]]),VALUE(stable[qno]),0))</f>
        <v>0</v>
      </c>
      <c r="Q1687" s="9" t="b" cm="1">
        <f t="array" ref="Q1687">INDEX(stable[is_multi_select],MATCH(VALUE(questions[[#This Row],[qno]]),VALUE(stable[qno]),0))</f>
        <v>0</v>
      </c>
      <c r="R1687" s="9" t="b" cm="1">
        <f t="array" ref="R1687">INDEX(stable[is_skip_logic],MATCH(VALUE(questions[[#This Row],[qno]]),VALUE(stable[qno]),0))</f>
        <v>0</v>
      </c>
      <c r="S1687" s="9" t="str">
        <f>_xlfn.TEXTJOIN(", ",TRUE,questions[[#This Row],[ans_opt_1]:[ans_opt_14]])</f>
        <v/>
      </c>
      <c r="AH1687" s="16" t="b">
        <f>INDEX(stable[q_standard],MATCH(questions[[#This Row],[qno]],stable[qno],0))</f>
        <v>0</v>
      </c>
      <c r="AI1687" s="16" t="b">
        <f>INDEX(stable[q_living_income],MATCH(questions[[#This Row],[qno]],stable[qno],0))</f>
        <v>0</v>
      </c>
      <c r="AJ1687" s="16" t="b">
        <f>INDEX(stable[q_carbon],MATCH(questions[[#This Row],[qno]],stable[qno],0))</f>
        <v>0</v>
      </c>
      <c r="AK1687" s="16" t="b">
        <f>INDEX(stable[q_regen_ag],MATCH(questions[[#This Row],[qno]],stable[qno],0))</f>
        <v>1</v>
      </c>
      <c r="AL1687" s="16" t="b">
        <f>COUNTIFS(stable[qno],questions[[#This Row],[qno]])=1</f>
        <v>1</v>
      </c>
      <c r="AM1687" s="16" t="b">
        <f>OR(questions[[#This Row],[is_fixed]],questions[[#This Row],[is_localized]],questions[[#This Row],[is_supply_chain_dependent]])</f>
        <v>1</v>
      </c>
      <c r="AN1687" s="16" t="b">
        <f>COUNTIFS(questions[[#This Row],[is_automated]:[is_multi_select]],TRUE)=1</f>
        <v>1</v>
      </c>
      <c r="AO1687" s="16" t="b">
        <f>IF(questions[[#This Row],[is_fixed]],questions[[#This Row],[question]]=INDEX(stable[question],MATCH(questions[[#This Row],[qno]],stable[qno],0)),TRUE)</f>
        <v>1</v>
      </c>
      <c r="AP1687" s="16" t="str">
        <f>LEFT(questions[[#This Row],[question]],similarity_range)</f>
        <v>How many different s</v>
      </c>
      <c r="AQ1687" s="16" t="str">
        <f>LEFT(INDEX(stable[question],MATCH(questions[[#This Row],[qno]],stable[qno],0)),similarity_range)</f>
        <v>How many different s</v>
      </c>
      <c r="AR1687" s="16" t="b">
        <f>questions[[#This Row],[question_first_characters]]=questions[[#This Row],[stability_first_characters]]</f>
        <v>1</v>
      </c>
      <c r="AS1687" s="16" t="b">
        <f>IF(OR(questions[[#This Row],[is_single_select]],questions[[#This Row],[is_multi_select]]),NOT(ISBLANK(questions[[#This Row],[answer_opt_combined]])),TRUE)</f>
        <v>1</v>
      </c>
    </row>
    <row r="1688" spans="1:45" ht="15.75" customHeight="1" x14ac:dyDescent="0.25">
      <c r="A1688" s="9" t="str">
        <f>_xlfn.TEXTJOIN("_",TRUE,questions[[#This Row],[origin]:[qno]])</f>
        <v>Burundi_Arabica_IKAWA RES PROJECT_2026_7503</v>
      </c>
      <c r="B1688" s="9" t="s">
        <v>1057</v>
      </c>
      <c r="C1688" s="9" t="s">
        <v>59</v>
      </c>
      <c r="D1688" s="9" t="s">
        <v>1058</v>
      </c>
      <c r="E1688" s="33">
        <v>2026</v>
      </c>
      <c r="F1688" s="36" t="s">
        <v>474</v>
      </c>
      <c r="G1688" s="15" t="s">
        <v>475</v>
      </c>
      <c r="H1688" s="9" t="str" cm="1">
        <f t="array" ref="H1688">INDEX(stableR[question],MATCH(VALUE(questions[[#This Row],[qno]]),VALUE(stableR[qno]),0))</f>
        <v>Can you estimate how many shade trees (including fruit and other trees) you have in your coffee plots, in total (inside and boundary trees)?</v>
      </c>
      <c r="I1688" s="9" t="b" cm="1">
        <f t="array" ref="I1688">INDEX(stable[is_fixed],MATCH(VALUE(questions[[#This Row],[qno]]),VALUE(stable[qno]),0))</f>
        <v>1</v>
      </c>
      <c r="J1688" s="9" t="b" cm="1">
        <f t="array" ref="J1688">INDEX(stable[is_localized],MATCH(VALUE(questions[[#This Row],[qno]]),VALUE(stable[qno]),0))</f>
        <v>0</v>
      </c>
      <c r="K1688" s="9" t="b" cm="1">
        <f t="array" ref="K1688">INDEX(stable[is_supply_chain_dependent],MATCH(VALUE(questions[[#This Row],[qno]]),VALUE(stable[qno]),0))</f>
        <v>0</v>
      </c>
      <c r="L1688" s="9" t="b" cm="1">
        <f t="array" ref="L1688">INDEX(stable[is_mandatory],MATCH(VALUE(questions[[#This Row],[qno]]),VALUE(stable[qno]),0))</f>
        <v>0</v>
      </c>
      <c r="M1688" s="9" t="b" cm="1">
        <f t="array" ref="M1688">INDEX(stable[is_automated],MATCH(VALUE(questions[[#This Row],[qno]]),VALUE(stable[qno]),0))</f>
        <v>0</v>
      </c>
      <c r="N1688" s="9" t="b" cm="1">
        <f t="array" ref="N1688">INDEX(stable[is_free_text],MATCH(VALUE(questions[[#This Row],[qno]]),VALUE(stable[qno]),0))</f>
        <v>0</v>
      </c>
      <c r="O1688" s="9" t="b" cm="1">
        <f t="array" ref="O1688">INDEX(stable[is_numerical],MATCH(VALUE(questions[[#This Row],[qno]]),VALUE(stable[qno]),0))</f>
        <v>1</v>
      </c>
      <c r="P1688" s="9" t="b" cm="1">
        <f t="array" ref="P1688">INDEX(stable[is_single_select],MATCH(VALUE(questions[[#This Row],[qno]]),VALUE(stable[qno]),0))</f>
        <v>0</v>
      </c>
      <c r="Q1688" s="9" t="b" cm="1">
        <f t="array" ref="Q1688">INDEX(stable[is_multi_select],MATCH(VALUE(questions[[#This Row],[qno]]),VALUE(stable[qno]),0))</f>
        <v>0</v>
      </c>
      <c r="R1688" s="9" t="b" cm="1">
        <f t="array" ref="R1688">INDEX(stable[is_skip_logic],MATCH(VALUE(questions[[#This Row],[qno]]),VALUE(stable[qno]),0))</f>
        <v>0</v>
      </c>
      <c r="S1688" s="9" t="str">
        <f>_xlfn.TEXTJOIN(", ",TRUE,questions[[#This Row],[ans_opt_1]:[ans_opt_14]])</f>
        <v/>
      </c>
      <c r="AH1688" s="16" t="b">
        <f>INDEX(stable[q_standard],MATCH(questions[[#This Row],[qno]],stable[qno],0))</f>
        <v>0</v>
      </c>
      <c r="AI1688" s="16" t="b">
        <f>INDEX(stable[q_living_income],MATCH(questions[[#This Row],[qno]],stable[qno],0))</f>
        <v>0</v>
      </c>
      <c r="AJ1688" s="16" t="b">
        <f>INDEX(stable[q_carbon],MATCH(questions[[#This Row],[qno]],stable[qno],0))</f>
        <v>0</v>
      </c>
      <c r="AK1688" s="16" t="b">
        <f>INDEX(stable[q_regen_ag],MATCH(questions[[#This Row],[qno]],stable[qno],0))</f>
        <v>1</v>
      </c>
      <c r="AL1688" s="16" t="b">
        <f>COUNTIFS(stable[qno],questions[[#This Row],[qno]])=1</f>
        <v>1</v>
      </c>
      <c r="AM1688" s="16" t="b">
        <f>OR(questions[[#This Row],[is_fixed]],questions[[#This Row],[is_localized]],questions[[#This Row],[is_supply_chain_dependent]])</f>
        <v>1</v>
      </c>
      <c r="AN1688" s="16" t="b">
        <f>COUNTIFS(questions[[#This Row],[is_automated]:[is_multi_select]],TRUE)=1</f>
        <v>1</v>
      </c>
      <c r="AO1688" s="16" t="b">
        <f>IF(questions[[#This Row],[is_fixed]],questions[[#This Row],[question]]=INDEX(stable[question],MATCH(questions[[#This Row],[qno]],stable[qno],0)),TRUE)</f>
        <v>1</v>
      </c>
      <c r="AP1688" s="16" t="str">
        <f>LEFT(questions[[#This Row],[question]],similarity_range)</f>
        <v>Can you estimate how</v>
      </c>
      <c r="AQ1688" s="16" t="str">
        <f>LEFT(INDEX(stable[question],MATCH(questions[[#This Row],[qno]],stable[qno],0)),similarity_range)</f>
        <v>Can you estimate how</v>
      </c>
      <c r="AR1688" s="16" t="b">
        <f>questions[[#This Row],[question_first_characters]]=questions[[#This Row],[stability_first_characters]]</f>
        <v>1</v>
      </c>
      <c r="AS1688" s="16" t="b">
        <f>IF(OR(questions[[#This Row],[is_single_select]],questions[[#This Row],[is_multi_select]]),NOT(ISBLANK(questions[[#This Row],[answer_opt_combined]])),TRUE)</f>
        <v>1</v>
      </c>
    </row>
    <row r="1689" spans="1:45" s="77" customFormat="1" ht="15.75" customHeight="1" x14ac:dyDescent="0.25">
      <c r="A1689" s="77" t="str">
        <f>_xlfn.TEXTJOIN("_",TRUE,questions[[#This Row],[origin]:[qno]])</f>
        <v>Burundi_Arabica_IKAWA RES PROJECT_2026_7504</v>
      </c>
      <c r="B1689" s="77" t="s">
        <v>1057</v>
      </c>
      <c r="C1689" s="77" t="s">
        <v>59</v>
      </c>
      <c r="D1689" s="77" t="s">
        <v>1058</v>
      </c>
      <c r="E1689" s="77">
        <v>2026</v>
      </c>
      <c r="F1689" s="105" t="s">
        <v>476</v>
      </c>
      <c r="G1689" s="78" t="s">
        <v>477</v>
      </c>
      <c r="H1689" s="9" t="str" cm="1">
        <f t="array" ref="H1689">INDEX(stableR[question],MATCH(VALUE(questions[[#This Row],[qno]]),VALUE(stableR[qno]),0))</f>
        <v>What describes best the size of these shade trees?</v>
      </c>
      <c r="I1689" s="9" t="b" cm="1">
        <f t="array" ref="I1689">INDEX(stable[is_fixed],MATCH(VALUE(questions[[#This Row],[qno]]),VALUE(stable[qno]),0))</f>
        <v>1</v>
      </c>
      <c r="J1689" s="9" t="b" cm="1">
        <f t="array" ref="J1689">INDEX(stable[is_localized],MATCH(VALUE(questions[[#This Row],[qno]]),VALUE(stable[qno]),0))</f>
        <v>0</v>
      </c>
      <c r="K1689" s="9" t="b" cm="1">
        <f t="array" ref="K1689">INDEX(stable[is_supply_chain_dependent],MATCH(VALUE(questions[[#This Row],[qno]]),VALUE(stable[qno]),0))</f>
        <v>0</v>
      </c>
      <c r="L1689" s="9" t="b" cm="1">
        <f t="array" ref="L1689">INDEX(stable[is_mandatory],MATCH(VALUE(questions[[#This Row],[qno]]),VALUE(stable[qno]),0))</f>
        <v>0</v>
      </c>
      <c r="M1689" s="9" t="b" cm="1">
        <f t="array" ref="M1689">INDEX(stable[is_automated],MATCH(VALUE(questions[[#This Row],[qno]]),VALUE(stable[qno]),0))</f>
        <v>0</v>
      </c>
      <c r="N1689" s="9" t="b" cm="1">
        <f t="array" ref="N1689">INDEX(stable[is_free_text],MATCH(VALUE(questions[[#This Row],[qno]]),VALUE(stable[qno]),0))</f>
        <v>0</v>
      </c>
      <c r="O1689" s="9" t="b" cm="1">
        <f t="array" ref="O1689">INDEX(stable[is_numerical],MATCH(VALUE(questions[[#This Row],[qno]]),VALUE(stable[qno]),0))</f>
        <v>0</v>
      </c>
      <c r="P1689" s="77" t="b" cm="1">
        <f t="array" ref="P1689">INDEX(stable[is_single_select],MATCH(VALUE(questions[[#This Row],[qno]]),VALUE(stable[qno]),0))</f>
        <v>1</v>
      </c>
      <c r="Q1689" s="77" t="b" cm="1">
        <f t="array" ref="Q1689">INDEX(stable[is_multi_select],MATCH(VALUE(questions[[#This Row],[qno]]),VALUE(stable[qno]),0))</f>
        <v>0</v>
      </c>
      <c r="R1689" s="77" t="b" cm="1">
        <f t="array" ref="R1689">INDEX(stable[is_skip_logic],MATCH(VALUE(questions[[#This Row],[qno]]),VALUE(stable[qno]),0))</f>
        <v>0</v>
      </c>
      <c r="S1689" s="77" t="str">
        <f>_xlfn.TEXTJOIN(", ",TRUE,questions[[#This Row],[ans_opt_1]:[ans_opt_14]])</f>
        <v>Big sized, full grown, shade trees, Medium sized shade trees, including fruit trees, Multipurpose mix of trees (different types and sizes)</v>
      </c>
      <c r="T1689" s="77" t="s">
        <v>478</v>
      </c>
      <c r="U1689" s="77" t="s">
        <v>812</v>
      </c>
      <c r="V1689" s="77" t="s">
        <v>813</v>
      </c>
      <c r="AH1689" s="98" t="b">
        <f>INDEX(stable[q_standard],MATCH(questions[[#This Row],[qno]],stable[qno],0))</f>
        <v>0</v>
      </c>
      <c r="AI1689" s="98" t="b">
        <f>INDEX(stable[q_living_income],MATCH(questions[[#This Row],[qno]],stable[qno],0))</f>
        <v>0</v>
      </c>
      <c r="AJ1689" s="98" t="b">
        <f>INDEX(stable[q_carbon],MATCH(questions[[#This Row],[qno]],stable[qno],0))</f>
        <v>0</v>
      </c>
      <c r="AK1689" s="98" t="b">
        <f>INDEX(stable[q_regen_ag],MATCH(questions[[#This Row],[qno]],stable[qno],0))</f>
        <v>1</v>
      </c>
      <c r="AL1689" s="98" t="b">
        <f>COUNTIFS(stable[qno],questions[[#This Row],[qno]])=1</f>
        <v>1</v>
      </c>
      <c r="AM1689" s="98" t="b">
        <f>OR(questions[[#This Row],[is_fixed]],questions[[#This Row],[is_localized]],questions[[#This Row],[is_supply_chain_dependent]])</f>
        <v>1</v>
      </c>
      <c r="AN1689" s="98" t="b">
        <f>COUNTIFS(questions[[#This Row],[is_automated]:[is_multi_select]],TRUE)=1</f>
        <v>1</v>
      </c>
      <c r="AO1689" s="98" t="b">
        <f>IF(questions[[#This Row],[is_fixed]],questions[[#This Row],[question]]=INDEX(stable[question],MATCH(questions[[#This Row],[qno]],stable[qno],0)),TRUE)</f>
        <v>1</v>
      </c>
      <c r="AP1689" s="98" t="str">
        <f>LEFT(questions[[#This Row],[question]],similarity_range)</f>
        <v xml:space="preserve">What describes best </v>
      </c>
      <c r="AQ1689" s="98" t="str">
        <f>LEFT(INDEX(stable[question],MATCH(questions[[#This Row],[qno]],stable[qno],0)),similarity_range)</f>
        <v xml:space="preserve">What describes best </v>
      </c>
      <c r="AR1689" s="98" t="b">
        <f>questions[[#This Row],[question_first_characters]]=questions[[#This Row],[stability_first_characters]]</f>
        <v>1</v>
      </c>
      <c r="AS1689" s="98" t="b">
        <f>IF(OR(questions[[#This Row],[is_single_select]],questions[[#This Row],[is_multi_select]]),NOT(ISBLANK(questions[[#This Row],[answer_opt_combined]])),TRUE)</f>
        <v>1</v>
      </c>
    </row>
    <row r="1690" spans="1:45" s="77" customFormat="1" ht="15.75" customHeight="1" x14ac:dyDescent="0.25">
      <c r="A1690" s="77" t="str">
        <f>_xlfn.TEXTJOIN("_",TRUE,questions[[#This Row],[origin]:[qno]])</f>
        <v>Burundi_Arabica_IKAWA RES PROJECT_2026_7600</v>
      </c>
      <c r="B1690" s="77" t="s">
        <v>1057</v>
      </c>
      <c r="C1690" s="77" t="s">
        <v>59</v>
      </c>
      <c r="D1690" s="77" t="s">
        <v>1058</v>
      </c>
      <c r="E1690" s="77">
        <v>2026</v>
      </c>
      <c r="F1690" s="105" t="s">
        <v>481</v>
      </c>
      <c r="G1690" s="78" t="s">
        <v>482</v>
      </c>
      <c r="H1690" s="9" t="str" cm="1">
        <f t="array" ref="H1690">INDEX(stableR[question],MATCH(VALUE(questions[[#This Row],[qno]]),VALUE(stableR[qno]),0))</f>
        <v>Do you keep bee hives in your farm (own bee hives or termporary during flowering season)?</v>
      </c>
      <c r="I1690" s="9" t="b" cm="1">
        <f t="array" ref="I1690">INDEX(stable[is_fixed],MATCH(VALUE(questions[[#This Row],[qno]]),VALUE(stable[qno]),0))</f>
        <v>1</v>
      </c>
      <c r="J1690" s="9" t="b" cm="1">
        <f t="array" ref="J1690">INDEX(stable[is_localized],MATCH(VALUE(questions[[#This Row],[qno]]),VALUE(stable[qno]),0))</f>
        <v>0</v>
      </c>
      <c r="K1690" s="9" t="b" cm="1">
        <f t="array" ref="K1690">INDEX(stable[is_supply_chain_dependent],MATCH(VALUE(questions[[#This Row],[qno]]),VALUE(stable[qno]),0))</f>
        <v>0</v>
      </c>
      <c r="L1690" s="9" t="b" cm="1">
        <f t="array" ref="L1690">INDEX(stable[is_mandatory],MATCH(VALUE(questions[[#This Row],[qno]]),VALUE(stable[qno]),0))</f>
        <v>1</v>
      </c>
      <c r="M1690" s="9" t="b" cm="1">
        <f t="array" ref="M1690">INDEX(stable[is_automated],MATCH(VALUE(questions[[#This Row],[qno]]),VALUE(stable[qno]),0))</f>
        <v>0</v>
      </c>
      <c r="N1690" s="9" t="b" cm="1">
        <f t="array" ref="N1690">INDEX(stable[is_free_text],MATCH(VALUE(questions[[#This Row],[qno]]),VALUE(stable[qno]),0))</f>
        <v>0</v>
      </c>
      <c r="O1690" s="9" t="b" cm="1">
        <f t="array" ref="O1690">INDEX(stable[is_numerical],MATCH(VALUE(questions[[#This Row],[qno]]),VALUE(stable[qno]),0))</f>
        <v>0</v>
      </c>
      <c r="P1690" s="77" t="b" cm="1">
        <f t="array" ref="P1690">INDEX(stable[is_single_select],MATCH(VALUE(questions[[#This Row],[qno]]),VALUE(stable[qno]),0))</f>
        <v>1</v>
      </c>
      <c r="Q1690" s="77" t="b" cm="1">
        <f t="array" ref="Q1690">INDEX(stable[is_multi_select],MATCH(VALUE(questions[[#This Row],[qno]]),VALUE(stable[qno]),0))</f>
        <v>0</v>
      </c>
      <c r="R1690" s="77" t="b" cm="1">
        <f t="array" ref="R1690">INDEX(stable[is_skip_logic],MATCH(VALUE(questions[[#This Row],[qno]]),VALUE(stable[qno]),0))</f>
        <v>0</v>
      </c>
      <c r="S1690" s="77" t="str">
        <f>_xlfn.TEXTJOIN(", ",TRUE,questions[[#This Row],[ans_opt_1]:[ans_opt_14]])</f>
        <v>Yes, No</v>
      </c>
      <c r="T1690" s="77" t="s">
        <v>149</v>
      </c>
      <c r="U1690" s="77" t="s">
        <v>119</v>
      </c>
      <c r="AH1690" s="98" t="b">
        <f>INDEX(stable[q_standard],MATCH(questions[[#This Row],[qno]],stable[qno],0))</f>
        <v>0</v>
      </c>
      <c r="AI1690" s="98" t="b">
        <f>INDEX(stable[q_living_income],MATCH(questions[[#This Row],[qno]],stable[qno],0))</f>
        <v>0</v>
      </c>
      <c r="AJ1690" s="98" t="b">
        <f>INDEX(stable[q_carbon],MATCH(questions[[#This Row],[qno]],stable[qno],0))</f>
        <v>0</v>
      </c>
      <c r="AK1690" s="98" t="b">
        <f>INDEX(stable[q_regen_ag],MATCH(questions[[#This Row],[qno]],stable[qno],0))</f>
        <v>1</v>
      </c>
      <c r="AL1690" s="98" t="b">
        <f>COUNTIFS(stable[qno],questions[[#This Row],[qno]])=1</f>
        <v>1</v>
      </c>
      <c r="AM1690" s="98" t="b">
        <f>OR(questions[[#This Row],[is_fixed]],questions[[#This Row],[is_localized]],questions[[#This Row],[is_supply_chain_dependent]])</f>
        <v>1</v>
      </c>
      <c r="AN1690" s="98" t="b">
        <f>COUNTIFS(questions[[#This Row],[is_automated]:[is_multi_select]],TRUE)=1</f>
        <v>1</v>
      </c>
      <c r="AO1690" s="98" t="b">
        <f>IF(questions[[#This Row],[is_fixed]],questions[[#This Row],[question]]=INDEX(stable[question],MATCH(questions[[#This Row],[qno]],stable[qno],0)),TRUE)</f>
        <v>1</v>
      </c>
      <c r="AP1690" s="98" t="str">
        <f>LEFT(questions[[#This Row],[question]],similarity_range)</f>
        <v>Do you keep bee hive</v>
      </c>
      <c r="AQ1690" s="98" t="str">
        <f>LEFT(INDEX(stable[question],MATCH(questions[[#This Row],[qno]],stable[qno],0)),similarity_range)</f>
        <v>Do you keep bee hive</v>
      </c>
      <c r="AR1690" s="98" t="b">
        <f>questions[[#This Row],[question_first_characters]]=questions[[#This Row],[stability_first_characters]]</f>
        <v>1</v>
      </c>
      <c r="AS1690" s="98" t="b">
        <f>IF(OR(questions[[#This Row],[is_single_select]],questions[[#This Row],[is_multi_select]]),NOT(ISBLANK(questions[[#This Row],[answer_opt_combined]])),TRUE)</f>
        <v>1</v>
      </c>
    </row>
    <row r="1691" spans="1:45" s="77" customFormat="1" ht="15.75" customHeight="1" x14ac:dyDescent="0.25">
      <c r="A1691" s="77" t="str">
        <f>_xlfn.TEXTJOIN("_",TRUE,questions[[#This Row],[origin]:[qno]])</f>
        <v>Burundi_Arabica_IKAWA RES PROJECT_2026_7700</v>
      </c>
      <c r="B1691" s="77" t="s">
        <v>1057</v>
      </c>
      <c r="C1691" s="77" t="s">
        <v>59</v>
      </c>
      <c r="D1691" s="77" t="s">
        <v>1058</v>
      </c>
      <c r="E1691" s="77">
        <v>2026</v>
      </c>
      <c r="F1691" s="105" t="s">
        <v>483</v>
      </c>
      <c r="G1691" s="78" t="s">
        <v>814</v>
      </c>
      <c r="H1691" s="9" t="str" cm="1">
        <f t="array" ref="H1691">INDEX(stableR[question],MATCH(VALUE(questions[[#This Row],[qno]]),VALUE(stableR[qno]),0))</f>
        <v>Do you have riparian areas (a buffer area or strip of vegetation along the bank of a stream or river that spatially separates agricultural land from the water) in your coffee plots and/or its boundaries and how many?  If the answer is NO, you do not need to answer the next question.</v>
      </c>
      <c r="I1691" s="9" t="b" cm="1">
        <f t="array" ref="I1691">INDEX(stable[is_fixed],MATCH(VALUE(questions[[#This Row],[qno]]),VALUE(stable[qno]),0))</f>
        <v>1</v>
      </c>
      <c r="J1691" s="9" t="b" cm="1">
        <f t="array" ref="J1691">INDEX(stable[is_localized],MATCH(VALUE(questions[[#This Row],[qno]]),VALUE(stable[qno]),0))</f>
        <v>0</v>
      </c>
      <c r="K1691" s="9" t="b" cm="1">
        <f t="array" ref="K1691">INDEX(stable[is_supply_chain_dependent],MATCH(VALUE(questions[[#This Row],[qno]]),VALUE(stable[qno]),0))</f>
        <v>0</v>
      </c>
      <c r="L1691" s="9" t="b" cm="1">
        <f t="array" ref="L1691">INDEX(stable[is_mandatory],MATCH(VALUE(questions[[#This Row],[qno]]),VALUE(stable[qno]),0))</f>
        <v>1</v>
      </c>
      <c r="M1691" s="9" t="b" cm="1">
        <f t="array" ref="M1691">INDEX(stable[is_automated],MATCH(VALUE(questions[[#This Row],[qno]]),VALUE(stable[qno]),0))</f>
        <v>0</v>
      </c>
      <c r="N1691" s="9" t="b" cm="1">
        <f t="array" ref="N1691">INDEX(stable[is_free_text],MATCH(VALUE(questions[[#This Row],[qno]]),VALUE(stable[qno]),0))</f>
        <v>0</v>
      </c>
      <c r="O1691" s="9" t="b" cm="1">
        <f t="array" ref="O1691">INDEX(stable[is_numerical],MATCH(VALUE(questions[[#This Row],[qno]]),VALUE(stable[qno]),0))</f>
        <v>0</v>
      </c>
      <c r="P1691" s="77" t="b" cm="1">
        <f t="array" ref="P1691">INDEX(stable[is_single_select],MATCH(VALUE(questions[[#This Row],[qno]]),VALUE(stable[qno]),0))</f>
        <v>1</v>
      </c>
      <c r="Q1691" s="77" t="b" cm="1">
        <f t="array" ref="Q1691">INDEX(stable[is_multi_select],MATCH(VALUE(questions[[#This Row],[qno]]),VALUE(stable[qno]),0))</f>
        <v>0</v>
      </c>
      <c r="R1691" s="77" t="b" cm="1">
        <f t="array" ref="R1691">INDEX(stable[is_skip_logic],MATCH(VALUE(questions[[#This Row],[qno]]),VALUE(stable[qno]),0))</f>
        <v>0</v>
      </c>
      <c r="S1691" s="77" t="str">
        <f>_xlfn.TEXTJOIN(", ",TRUE,questions[[#This Row],[ans_opt_1]:[ans_opt_14]])</f>
        <v>No, Yes -1 stream/river, Yes -2 streams/rivers, Yes -3 streams/rivers, Yes -4 streams/rivers, Yes -5 streams/rivers</v>
      </c>
      <c r="T1691" s="77" t="s">
        <v>119</v>
      </c>
      <c r="U1691" s="77" t="s">
        <v>485</v>
      </c>
      <c r="V1691" s="77" t="s">
        <v>486</v>
      </c>
      <c r="W1691" s="77" t="s">
        <v>487</v>
      </c>
      <c r="X1691" s="77" t="s">
        <v>488</v>
      </c>
      <c r="Y1691" s="77" t="s">
        <v>489</v>
      </c>
      <c r="Z1691" s="77" t="str">
        <f>MID(Y1692,7,6)</f>
        <v/>
      </c>
      <c r="AA1691" s="77" t="str">
        <f>MID(Z1692,7,6)</f>
        <v/>
      </c>
      <c r="AH1691" s="98" t="b">
        <f>INDEX(stable[q_standard],MATCH(questions[[#This Row],[qno]],stable[qno],0))</f>
        <v>0</v>
      </c>
      <c r="AI1691" s="98" t="b">
        <f>INDEX(stable[q_living_income],MATCH(questions[[#This Row],[qno]],stable[qno],0))</f>
        <v>0</v>
      </c>
      <c r="AJ1691" s="98" t="b">
        <f>INDEX(stable[q_carbon],MATCH(questions[[#This Row],[qno]],stable[qno],0))</f>
        <v>0</v>
      </c>
      <c r="AK1691" s="98" t="b">
        <f>INDEX(stable[q_regen_ag],MATCH(questions[[#This Row],[qno]],stable[qno],0))</f>
        <v>1</v>
      </c>
      <c r="AL1691" s="98" t="b">
        <f>COUNTIFS(stable[qno],questions[[#This Row],[qno]])=1</f>
        <v>1</v>
      </c>
      <c r="AM1691" s="98" t="b">
        <f>OR(questions[[#This Row],[is_fixed]],questions[[#This Row],[is_localized]],questions[[#This Row],[is_supply_chain_dependent]])</f>
        <v>1</v>
      </c>
      <c r="AN1691" s="98" t="b">
        <f>COUNTIFS(questions[[#This Row],[is_automated]:[is_multi_select]],TRUE)=1</f>
        <v>1</v>
      </c>
      <c r="AO1691" s="98" t="b">
        <f>IF(questions[[#This Row],[is_fixed]],questions[[#This Row],[question]]=INDEX(stable[question],MATCH(questions[[#This Row],[qno]],stable[qno],0)),TRUE)</f>
        <v>0</v>
      </c>
      <c r="AP1691" s="98" t="str">
        <f>LEFT(questions[[#This Row],[question]],similarity_range)</f>
        <v>Is there a stream or</v>
      </c>
      <c r="AQ1691" s="98" t="str">
        <f>LEFT(INDEX(stable[question],MATCH(questions[[#This Row],[qno]],stable[qno],0)),similarity_range)</f>
        <v>Do you have riparian</v>
      </c>
      <c r="AR1691" s="98" t="b">
        <f>questions[[#This Row],[question_first_characters]]=questions[[#This Row],[stability_first_characters]]</f>
        <v>0</v>
      </c>
      <c r="AS1691" s="98" t="b">
        <f>IF(OR(questions[[#This Row],[is_single_select]],questions[[#This Row],[is_multi_select]]),NOT(ISBLANK(questions[[#This Row],[answer_opt_combined]])),TRUE)</f>
        <v>1</v>
      </c>
    </row>
    <row r="1692" spans="1:45" s="77" customFormat="1" ht="15.75" customHeight="1" x14ac:dyDescent="0.25">
      <c r="A1692" s="77" t="str">
        <f>_xlfn.TEXTJOIN("_",TRUE,questions[[#This Row],[origin]:[qno]])</f>
        <v>Burundi_Arabica_IKAWA RES PROJECT_2026_7701</v>
      </c>
      <c r="B1692" s="77" t="s">
        <v>1057</v>
      </c>
      <c r="C1692" s="77" t="s">
        <v>59</v>
      </c>
      <c r="D1692" s="77" t="s">
        <v>1058</v>
      </c>
      <c r="E1692" s="77">
        <v>2026</v>
      </c>
      <c r="F1692" s="105" t="s">
        <v>490</v>
      </c>
      <c r="G1692" s="78" t="s">
        <v>815</v>
      </c>
      <c r="H1692" s="9" t="str" cm="1">
        <f t="array" ref="H1692">INDEX(stableR[question],MATCH(VALUE(questions[[#This Row],[qno]]),VALUE(stableR[qno]),0))</f>
        <v>How many of the riparian areas in your coffee plots are covered/protected with natural vegetation</v>
      </c>
      <c r="I1692" s="9" t="b" cm="1">
        <f t="array" ref="I1692">INDEX(stable[is_fixed],MATCH(VALUE(questions[[#This Row],[qno]]),VALUE(stable[qno]),0))</f>
        <v>1</v>
      </c>
      <c r="J1692" s="9" t="b" cm="1">
        <f t="array" ref="J1692">INDEX(stable[is_localized],MATCH(VALUE(questions[[#This Row],[qno]]),VALUE(stable[qno]),0))</f>
        <v>0</v>
      </c>
      <c r="K1692" s="9" t="b" cm="1">
        <f t="array" ref="K1692">INDEX(stable[is_supply_chain_dependent],MATCH(VALUE(questions[[#This Row],[qno]]),VALUE(stable[qno]),0))</f>
        <v>0</v>
      </c>
      <c r="L1692" s="9" t="b" cm="1">
        <f t="array" ref="L1692">INDEX(stable[is_mandatory],MATCH(VALUE(questions[[#This Row],[qno]]),VALUE(stable[qno]),0))</f>
        <v>0</v>
      </c>
      <c r="M1692" s="9" t="b" cm="1">
        <f t="array" ref="M1692">INDEX(stable[is_automated],MATCH(VALUE(questions[[#This Row],[qno]]),VALUE(stable[qno]),0))</f>
        <v>0</v>
      </c>
      <c r="N1692" s="9" t="b" cm="1">
        <f t="array" ref="N1692">INDEX(stable[is_free_text],MATCH(VALUE(questions[[#This Row],[qno]]),VALUE(stable[qno]),0))</f>
        <v>0</v>
      </c>
      <c r="O1692" s="9" t="b" cm="1">
        <f t="array" ref="O1692">INDEX(stable[is_numerical],MATCH(VALUE(questions[[#This Row],[qno]]),VALUE(stable[qno]),0))</f>
        <v>0</v>
      </c>
      <c r="P1692" s="77" t="b" cm="1">
        <f t="array" ref="P1692">INDEX(stable[is_single_select],MATCH(VALUE(questions[[#This Row],[qno]]),VALUE(stable[qno]),0))</f>
        <v>1</v>
      </c>
      <c r="Q1692" s="77" t="b" cm="1">
        <f t="array" ref="Q1692">INDEX(stable[is_multi_select],MATCH(VALUE(questions[[#This Row],[qno]]),VALUE(stable[qno]),0))</f>
        <v>0</v>
      </c>
      <c r="R1692" s="77" t="b" cm="1">
        <f t="array" ref="R1692">INDEX(stable[is_skip_logic],MATCH(VALUE(questions[[#This Row],[qno]]),VALUE(stable[qno]),0))</f>
        <v>0</v>
      </c>
      <c r="S1692" s="77" t="str">
        <f>_xlfn.TEXTJOIN(", ",TRUE,questions[[#This Row],[ans_opt_1]:[ans_opt_14]])</f>
        <v>All, Some</v>
      </c>
      <c r="T1692" s="77" t="s">
        <v>492</v>
      </c>
      <c r="U1692" s="77" t="s">
        <v>493</v>
      </c>
      <c r="AH1692" s="98" t="b">
        <f>INDEX(stable[q_standard],MATCH(questions[[#This Row],[qno]],stable[qno],0))</f>
        <v>0</v>
      </c>
      <c r="AI1692" s="98" t="b">
        <f>INDEX(stable[q_living_income],MATCH(questions[[#This Row],[qno]],stable[qno],0))</f>
        <v>0</v>
      </c>
      <c r="AJ1692" s="98" t="b">
        <f>INDEX(stable[q_carbon],MATCH(questions[[#This Row],[qno]],stable[qno],0))</f>
        <v>0</v>
      </c>
      <c r="AK1692" s="98" t="b">
        <f>INDEX(stable[q_regen_ag],MATCH(questions[[#This Row],[qno]],stable[qno],0))</f>
        <v>1</v>
      </c>
      <c r="AL1692" s="98" t="b">
        <f>COUNTIFS(stable[qno],questions[[#This Row],[qno]])=1</f>
        <v>1</v>
      </c>
      <c r="AM1692" s="98" t="b">
        <f>OR(questions[[#This Row],[is_fixed]],questions[[#This Row],[is_localized]],questions[[#This Row],[is_supply_chain_dependent]])</f>
        <v>1</v>
      </c>
      <c r="AN1692" s="98" t="b">
        <f>COUNTIFS(questions[[#This Row],[is_automated]:[is_multi_select]],TRUE)=1</f>
        <v>1</v>
      </c>
      <c r="AO1692" s="98" t="b">
        <f>IF(questions[[#This Row],[is_fixed]],questions[[#This Row],[question]]=INDEX(stable[question],MATCH(questions[[#This Row],[qno]],stable[qno],0)),TRUE)</f>
        <v>0</v>
      </c>
      <c r="AP1692" s="98" t="str">
        <f>LEFT(questions[[#This Row],[question]],similarity_range)</f>
        <v xml:space="preserve">If yes, how many of </v>
      </c>
      <c r="AQ1692" s="98" t="str">
        <f>LEFT(INDEX(stable[question],MATCH(questions[[#This Row],[qno]],stable[qno],0)),similarity_range)</f>
        <v>How many of the ripa</v>
      </c>
      <c r="AR1692" s="98" t="b">
        <f>questions[[#This Row],[question_first_characters]]=questions[[#This Row],[stability_first_characters]]</f>
        <v>0</v>
      </c>
      <c r="AS1692" s="98" t="b">
        <f>IF(OR(questions[[#This Row],[is_single_select]],questions[[#This Row],[is_multi_select]]),NOT(ISBLANK(questions[[#This Row],[answer_opt_combined]])),TRUE)</f>
        <v>1</v>
      </c>
    </row>
    <row r="1693" spans="1:45" s="77" customFormat="1" ht="15.75" customHeight="1" x14ac:dyDescent="0.25">
      <c r="A1693" s="77" t="str">
        <f>_xlfn.TEXTJOIN("_",TRUE,questions[[#This Row],[origin]:[qno]])</f>
        <v>Burundi_Arabica_IKAWA RES PROJECT_2026_8000</v>
      </c>
      <c r="B1693" s="77" t="s">
        <v>1057</v>
      </c>
      <c r="C1693" s="77" t="s">
        <v>59</v>
      </c>
      <c r="D1693" s="77" t="s">
        <v>1058</v>
      </c>
      <c r="E1693" s="77">
        <v>2026</v>
      </c>
      <c r="F1693" s="108" t="s">
        <v>494</v>
      </c>
      <c r="G1693" s="78" t="s">
        <v>816</v>
      </c>
      <c r="H1693" s="9" t="str" cm="1">
        <f t="array" ref="H1693">INDEX(stableR[question],MATCH(VALUE(questions[[#This Row],[qno]]),VALUE(stableR[qno]),0))</f>
        <v>What describes the soil type best in the coffee plot of the farmer (please observe your self)</v>
      </c>
      <c r="I1693" s="9" t="b" cm="1">
        <f t="array" ref="I1693">INDEX(stable[is_fixed],MATCH(VALUE(questions[[#This Row],[qno]]),VALUE(stable[qno]),0))</f>
        <v>1</v>
      </c>
      <c r="J1693" s="9" t="b" cm="1">
        <f t="array" ref="J1693">INDEX(stable[is_localized],MATCH(VALUE(questions[[#This Row],[qno]]),VALUE(stable[qno]),0))</f>
        <v>0</v>
      </c>
      <c r="K1693" s="9" t="b" cm="1">
        <f t="array" ref="K1693">INDEX(stable[is_supply_chain_dependent],MATCH(VALUE(questions[[#This Row],[qno]]),VALUE(stable[qno]),0))</f>
        <v>0</v>
      </c>
      <c r="L1693" s="9" t="b" cm="1">
        <f t="array" ref="L1693">INDEX(stable[is_mandatory],MATCH(VALUE(questions[[#This Row],[qno]]),VALUE(stable[qno]),0))</f>
        <v>1</v>
      </c>
      <c r="M1693" s="9" t="b" cm="1">
        <f t="array" ref="M1693">INDEX(stable[is_automated],MATCH(VALUE(questions[[#This Row],[qno]]),VALUE(stable[qno]),0))</f>
        <v>0</v>
      </c>
      <c r="N1693" s="9" t="b" cm="1">
        <f t="array" ref="N1693">INDEX(stable[is_free_text],MATCH(VALUE(questions[[#This Row],[qno]]),VALUE(stable[qno]),0))</f>
        <v>0</v>
      </c>
      <c r="O1693" s="9" t="b" cm="1">
        <f t="array" ref="O1693">INDEX(stable[is_numerical],MATCH(VALUE(questions[[#This Row],[qno]]),VALUE(stable[qno]),0))</f>
        <v>0</v>
      </c>
      <c r="P1693" s="77" t="b" cm="1">
        <f t="array" ref="P1693">INDEX(stable[is_single_select],MATCH(VALUE(questions[[#This Row],[qno]]),VALUE(stable[qno]),0))</f>
        <v>1</v>
      </c>
      <c r="Q1693" s="77" t="b" cm="1">
        <f t="array" ref="Q1693">INDEX(stable[is_multi_select],MATCH(VALUE(questions[[#This Row],[qno]]),VALUE(stable[qno]),0))</f>
        <v>0</v>
      </c>
      <c r="R1693" s="77" t="b" cm="1">
        <f t="array" ref="R1693">INDEX(stable[is_skip_logic],MATCH(VALUE(questions[[#This Row],[qno]]),VALUE(stable[qno]),0))</f>
        <v>0</v>
      </c>
      <c r="S1693" s="77" t="str">
        <f>_xlfn.TEXTJOIN(", ",TRUE,questions[[#This Row],[ans_opt_1]:[ans_opt_14]])</f>
        <v>High activity clay soils , Low activity clay soils, Sandy soils, Loamy soils, Volcanic soils, Wetland soils, Organic soils</v>
      </c>
      <c r="T1693" s="77" t="s">
        <v>817</v>
      </c>
      <c r="U1693" s="77" t="s">
        <v>497</v>
      </c>
      <c r="V1693" s="77" t="s">
        <v>498</v>
      </c>
      <c r="W1693" s="77" t="s">
        <v>499</v>
      </c>
      <c r="X1693" s="77" t="s">
        <v>500</v>
      </c>
      <c r="Y1693" s="77" t="s">
        <v>501</v>
      </c>
      <c r="Z1693" s="77" t="s">
        <v>502</v>
      </c>
      <c r="AH1693" s="98" t="b">
        <f>INDEX(stable[q_standard],MATCH(questions[[#This Row],[qno]],stable[qno],0))</f>
        <v>0</v>
      </c>
      <c r="AI1693" s="98" t="b">
        <f>INDEX(stable[q_living_income],MATCH(questions[[#This Row],[qno]],stable[qno],0))</f>
        <v>0</v>
      </c>
      <c r="AJ1693" s="98" t="b">
        <f>INDEX(stable[q_carbon],MATCH(questions[[#This Row],[qno]],stable[qno],0))</f>
        <v>0</v>
      </c>
      <c r="AK1693" s="98" t="b">
        <f>INDEX(stable[q_regen_ag],MATCH(questions[[#This Row],[qno]],stable[qno],0))</f>
        <v>1</v>
      </c>
      <c r="AL1693" s="98" t="b">
        <f>COUNTIFS(stable[qno],questions[[#This Row],[qno]])=1</f>
        <v>1</v>
      </c>
      <c r="AM1693" s="98" t="b">
        <f>OR(questions[[#This Row],[is_fixed]],questions[[#This Row],[is_localized]],questions[[#This Row],[is_supply_chain_dependent]])</f>
        <v>1</v>
      </c>
      <c r="AN1693" s="98" t="b">
        <f>COUNTIFS(questions[[#This Row],[is_automated]:[is_multi_select]],TRUE)=1</f>
        <v>1</v>
      </c>
      <c r="AO1693" s="98" t="b">
        <f>IF(questions[[#This Row],[is_fixed]],questions[[#This Row],[question]]=INDEX(stable[question],MATCH(questions[[#This Row],[qno]],stable[qno],0)),TRUE)</f>
        <v>0</v>
      </c>
      <c r="AP1693" s="98" t="str">
        <f>LEFT(questions[[#This Row],[question]],similarity_range)</f>
        <v>What the describes t</v>
      </c>
      <c r="AQ1693" s="98" t="str">
        <f>LEFT(INDEX(stable[question],MATCH(questions[[#This Row],[qno]],stable[qno],0)),similarity_range)</f>
        <v>What describes the s</v>
      </c>
      <c r="AR1693" s="98" t="b">
        <f>questions[[#This Row],[question_first_characters]]=questions[[#This Row],[stability_first_characters]]</f>
        <v>0</v>
      </c>
      <c r="AS1693" s="98" t="b">
        <f>IF(OR(questions[[#This Row],[is_single_select]],questions[[#This Row],[is_multi_select]]),NOT(ISBLANK(questions[[#This Row],[answer_opt_combined]])),TRUE)</f>
        <v>1</v>
      </c>
    </row>
    <row r="1694" spans="1:45" s="77" customFormat="1" ht="15.75" customHeight="1" x14ac:dyDescent="0.25">
      <c r="A1694" s="77" t="str">
        <f>_xlfn.TEXTJOIN("_",TRUE,questions[[#This Row],[origin]:[qno]])</f>
        <v>Burundi_Arabica_IKAWA RES PROJECT_2026_8010</v>
      </c>
      <c r="B1694" s="77" t="s">
        <v>1057</v>
      </c>
      <c r="C1694" s="77" t="s">
        <v>59</v>
      </c>
      <c r="D1694" s="77" t="s">
        <v>1058</v>
      </c>
      <c r="E1694" s="77">
        <v>2026</v>
      </c>
      <c r="F1694" s="108" t="s">
        <v>503</v>
      </c>
      <c r="G1694" s="78" t="s">
        <v>504</v>
      </c>
      <c r="H1694" s="9" t="str" cm="1">
        <f t="array" ref="H1694">INDEX(stableR[question],MATCH(VALUE(questions[[#This Row],[qno]]),VALUE(stableR[qno]),0))</f>
        <v>What type of tillage/ploughing do you use in your coffee plots mostly (full tillages=fully turning the soil; reduced tillages is only losening the soil; No till is no tillage or ploughing of the soil at all)?</v>
      </c>
      <c r="I1694" s="9" t="b" cm="1">
        <f t="array" ref="I1694">INDEX(stable[is_fixed],MATCH(VALUE(questions[[#This Row],[qno]]),VALUE(stable[qno]),0))</f>
        <v>1</v>
      </c>
      <c r="J1694" s="9" t="b" cm="1">
        <f t="array" ref="J1694">INDEX(stable[is_localized],MATCH(VALUE(questions[[#This Row],[qno]]),VALUE(stable[qno]),0))</f>
        <v>0</v>
      </c>
      <c r="K1694" s="9" t="b" cm="1">
        <f t="array" ref="K1694">INDEX(stable[is_supply_chain_dependent],MATCH(VALUE(questions[[#This Row],[qno]]),VALUE(stable[qno]),0))</f>
        <v>0</v>
      </c>
      <c r="L1694" s="9" t="b" cm="1">
        <f t="array" ref="L1694">INDEX(stable[is_mandatory],MATCH(VALUE(questions[[#This Row],[qno]]),VALUE(stable[qno]),0))</f>
        <v>1</v>
      </c>
      <c r="M1694" s="9" t="b" cm="1">
        <f t="array" ref="M1694">INDEX(stable[is_automated],MATCH(VALUE(questions[[#This Row],[qno]]),VALUE(stable[qno]),0))</f>
        <v>0</v>
      </c>
      <c r="N1694" s="9" t="b" cm="1">
        <f t="array" ref="N1694">INDEX(stable[is_free_text],MATCH(VALUE(questions[[#This Row],[qno]]),VALUE(stable[qno]),0))</f>
        <v>0</v>
      </c>
      <c r="O1694" s="9" t="b" cm="1">
        <f t="array" ref="O1694">INDEX(stable[is_numerical],MATCH(VALUE(questions[[#This Row],[qno]]),VALUE(stable[qno]),0))</f>
        <v>0</v>
      </c>
      <c r="P1694" s="77" t="b" cm="1">
        <f t="array" ref="P1694">INDEX(stable[is_single_select],MATCH(VALUE(questions[[#This Row],[qno]]),VALUE(stable[qno]),0))</f>
        <v>1</v>
      </c>
      <c r="Q1694" s="77" t="b" cm="1">
        <f t="array" ref="Q1694">INDEX(stable[is_multi_select],MATCH(VALUE(questions[[#This Row],[qno]]),VALUE(stable[qno]),0))</f>
        <v>0</v>
      </c>
      <c r="R1694" s="77" t="b" cm="1">
        <f t="array" ref="R1694">INDEX(stable[is_skip_logic],MATCH(VALUE(questions[[#This Row],[qno]]),VALUE(stable[qno]),0))</f>
        <v>0</v>
      </c>
      <c r="S1694" s="77" t="str">
        <f>_xlfn.TEXTJOIN(", ",TRUE,questions[[#This Row],[ans_opt_1]:[ans_opt_14]])</f>
        <v>Full-tillage, Reduced tillage, No till</v>
      </c>
      <c r="T1694" s="77" t="s">
        <v>505</v>
      </c>
      <c r="U1694" s="77" t="s">
        <v>506</v>
      </c>
      <c r="V1694" s="77" t="s">
        <v>507</v>
      </c>
      <c r="AH1694" s="98" t="b">
        <f>INDEX(stable[q_standard],MATCH(questions[[#This Row],[qno]],stable[qno],0))</f>
        <v>0</v>
      </c>
      <c r="AI1694" s="98" t="b">
        <f>INDEX(stable[q_living_income],MATCH(questions[[#This Row],[qno]],stable[qno],0))</f>
        <v>0</v>
      </c>
      <c r="AJ1694" s="98" t="b">
        <f>INDEX(stable[q_carbon],MATCH(questions[[#This Row],[qno]],stable[qno],0))</f>
        <v>0</v>
      </c>
      <c r="AK1694" s="98" t="b">
        <f>INDEX(stable[q_regen_ag],MATCH(questions[[#This Row],[qno]],stable[qno],0))</f>
        <v>1</v>
      </c>
      <c r="AL1694" s="98" t="b">
        <f>COUNTIFS(stable[qno],questions[[#This Row],[qno]])=1</f>
        <v>1</v>
      </c>
      <c r="AM1694" s="98" t="b">
        <f>OR(questions[[#This Row],[is_fixed]],questions[[#This Row],[is_localized]],questions[[#This Row],[is_supply_chain_dependent]])</f>
        <v>1</v>
      </c>
      <c r="AN1694" s="98" t="b">
        <f>COUNTIFS(questions[[#This Row],[is_automated]:[is_multi_select]],TRUE)=1</f>
        <v>1</v>
      </c>
      <c r="AO1694" s="98" t="b">
        <f>IF(questions[[#This Row],[is_fixed]],questions[[#This Row],[question]]=INDEX(stable[question],MATCH(questions[[#This Row],[qno]],stable[qno],0)),TRUE)</f>
        <v>1</v>
      </c>
      <c r="AP1694" s="98" t="str">
        <f>LEFT(questions[[#This Row],[question]],similarity_range)</f>
        <v>What type of tillage</v>
      </c>
      <c r="AQ1694" s="98" t="str">
        <f>LEFT(INDEX(stable[question],MATCH(questions[[#This Row],[qno]],stable[qno],0)),similarity_range)</f>
        <v>What type of tillage</v>
      </c>
      <c r="AR1694" s="98" t="b">
        <f>questions[[#This Row],[question_first_characters]]=questions[[#This Row],[stability_first_characters]]</f>
        <v>1</v>
      </c>
      <c r="AS1694" s="98" t="b">
        <f>IF(OR(questions[[#This Row],[is_single_select]],questions[[#This Row],[is_multi_select]]),NOT(ISBLANK(questions[[#This Row],[answer_opt_combined]])),TRUE)</f>
        <v>1</v>
      </c>
    </row>
    <row r="1695" spans="1:45" s="77" customFormat="1" ht="12" customHeight="1" x14ac:dyDescent="0.25">
      <c r="A1695" s="77" t="str">
        <f>_xlfn.TEXTJOIN("_",TRUE,questions[[#This Row],[origin]:[qno]])</f>
        <v>Burundi_Arabica_IKAWA RES PROJECT_2026_9000</v>
      </c>
      <c r="B1695" s="77" t="s">
        <v>1057</v>
      </c>
      <c r="C1695" s="77" t="s">
        <v>59</v>
      </c>
      <c r="D1695" s="77" t="s">
        <v>1058</v>
      </c>
      <c r="E1695" s="77">
        <v>2026</v>
      </c>
      <c r="F1695" s="105" t="s">
        <v>508</v>
      </c>
      <c r="G1695" s="78" t="s">
        <v>509</v>
      </c>
      <c r="H1695" s="9" t="str" cm="1">
        <f t="array" ref="H1695">INDEX(stableR[question],MATCH(VALUE(questions[[#This Row],[qno]]),VALUE(stableR[qno]),0))</f>
        <v>Final check: did you measure/polygon map all the plots of the farmer?</v>
      </c>
      <c r="I1695" s="9" t="b" cm="1">
        <f t="array" ref="I1695">INDEX(stable[is_fixed],MATCH(VALUE(questions[[#This Row],[qno]]),VALUE(stable[qno]),0))</f>
        <v>1</v>
      </c>
      <c r="J1695" s="9" t="b" cm="1">
        <f t="array" ref="J1695">INDEX(stable[is_localized],MATCH(VALUE(questions[[#This Row],[qno]]),VALUE(stable[qno]),0))</f>
        <v>0</v>
      </c>
      <c r="K1695" s="9" t="b" cm="1">
        <f t="array" ref="K1695">INDEX(stable[is_supply_chain_dependent],MATCH(VALUE(questions[[#This Row],[qno]]),VALUE(stable[qno]),0))</f>
        <v>0</v>
      </c>
      <c r="L1695" s="9" t="b" cm="1">
        <f t="array" ref="L1695">INDEX(stable[is_mandatory],MATCH(VALUE(questions[[#This Row],[qno]]),VALUE(stable[qno]),0))</f>
        <v>1</v>
      </c>
      <c r="M1695" s="9" t="b" cm="1">
        <f t="array" ref="M1695">INDEX(stable[is_automated],MATCH(VALUE(questions[[#This Row],[qno]]),VALUE(stable[qno]),0))</f>
        <v>0</v>
      </c>
      <c r="N1695" s="9" t="b" cm="1">
        <f t="array" ref="N1695">INDEX(stable[is_free_text],MATCH(VALUE(questions[[#This Row],[qno]]),VALUE(stable[qno]),0))</f>
        <v>0</v>
      </c>
      <c r="O1695" s="9" t="b" cm="1">
        <f t="array" ref="O1695">INDEX(stable[is_numerical],MATCH(VALUE(questions[[#This Row],[qno]]),VALUE(stable[qno]),0))</f>
        <v>0</v>
      </c>
      <c r="P1695" s="77" t="b" cm="1">
        <f t="array" ref="P1695">INDEX(stable[is_single_select],MATCH(VALUE(questions[[#This Row],[qno]]),VALUE(stable[qno]),0))</f>
        <v>1</v>
      </c>
      <c r="Q1695" s="77" t="b" cm="1">
        <f t="array" ref="Q1695">INDEX(stable[is_multi_select],MATCH(VALUE(questions[[#This Row],[qno]]),VALUE(stable[qno]),0))</f>
        <v>0</v>
      </c>
      <c r="R1695" s="77" t="b" cm="1">
        <f t="array" ref="R1695">INDEX(stable[is_skip_logic],MATCH(VALUE(questions[[#This Row],[qno]]),VALUE(stable[qno]),0))</f>
        <v>0</v>
      </c>
      <c r="S1695" s="77" t="str">
        <f>_xlfn.TEXTJOIN(", ",TRUE,questions[[#This Row],[ans_opt_1]:[ans_opt_14]])</f>
        <v>No, Yes, Not possible</v>
      </c>
      <c r="T1695" s="77" t="s">
        <v>119</v>
      </c>
      <c r="U1695" s="77" t="s">
        <v>149</v>
      </c>
      <c r="V1695" s="77" t="s">
        <v>510</v>
      </c>
      <c r="AH1695" s="98" t="b">
        <f>INDEX(stable[q_standard],MATCH(questions[[#This Row],[qno]],stable[qno],0))</f>
        <v>0</v>
      </c>
      <c r="AI1695" s="98" t="b">
        <f>INDEX(stable[q_living_income],MATCH(questions[[#This Row],[qno]],stable[qno],0))</f>
        <v>0</v>
      </c>
      <c r="AJ1695" s="98" t="b">
        <f>INDEX(stable[q_carbon],MATCH(questions[[#This Row],[qno]],stable[qno],0))</f>
        <v>0</v>
      </c>
      <c r="AK1695" s="98" t="b">
        <f>INDEX(stable[q_regen_ag],MATCH(questions[[#This Row],[qno]],stable[qno],0))</f>
        <v>1</v>
      </c>
      <c r="AL1695" s="98" t="b">
        <f>COUNTIFS(stable[qno],questions[[#This Row],[qno]])=1</f>
        <v>1</v>
      </c>
      <c r="AM1695" s="98" t="b">
        <f>OR(questions[[#This Row],[is_fixed]],questions[[#This Row],[is_localized]],questions[[#This Row],[is_supply_chain_dependent]])</f>
        <v>1</v>
      </c>
      <c r="AN1695" s="98" t="b">
        <f>COUNTIFS(questions[[#This Row],[is_automated]:[is_multi_select]],TRUE)=1</f>
        <v>1</v>
      </c>
      <c r="AO1695" s="98" t="b">
        <f>IF(questions[[#This Row],[is_fixed]],questions[[#This Row],[question]]=INDEX(stable[question],MATCH(questions[[#This Row],[qno]],stable[qno],0)),TRUE)</f>
        <v>1</v>
      </c>
      <c r="AP1695" s="98" t="str">
        <f>LEFT(questions[[#This Row],[question]],similarity_range)</f>
        <v>Final check: did you</v>
      </c>
      <c r="AQ1695" s="98" t="str">
        <f>LEFT(INDEX(stable[question],MATCH(questions[[#This Row],[qno]],stable[qno],0)),similarity_range)</f>
        <v>Final check: did you</v>
      </c>
      <c r="AR1695" s="98" t="b">
        <f>questions[[#This Row],[question_first_characters]]=questions[[#This Row],[stability_first_characters]]</f>
        <v>1</v>
      </c>
      <c r="AS1695" s="98" t="b">
        <f>IF(OR(questions[[#This Row],[is_single_select]],questions[[#This Row],[is_multi_select]]),NOT(ISBLANK(questions[[#This Row],[answer_opt_combined]])),TRUE)</f>
        <v>1</v>
      </c>
    </row>
    <row r="1696" spans="1:45" ht="15.75" customHeight="1" x14ac:dyDescent="0.25">
      <c r="A1696" s="9" t="str">
        <f>_xlfn.TEXTJOIN("_",TRUE,questions[[#This Row],[origin]:[qno]])</f>
        <v>Uganda_Robusta_2026_1000</v>
      </c>
      <c r="B1696" s="9" t="s">
        <v>511</v>
      </c>
      <c r="C1696" s="9" t="s">
        <v>674</v>
      </c>
      <c r="E1696" s="33">
        <v>2026</v>
      </c>
      <c r="F1696" s="24" t="s">
        <v>61</v>
      </c>
      <c r="G1696" s="15" t="s">
        <v>62</v>
      </c>
      <c r="H1696" s="9" t="str" cm="1">
        <f t="array" ref="H1696">INDEX(stableR[question],MATCH(VALUE(questions[[#This Row],[qno]]),VALUE(stableR[qno]),0))</f>
        <v>Origin</v>
      </c>
      <c r="I1696" s="9" t="b" cm="1">
        <f t="array" ref="I1696">INDEX(stable[is_fixed],MATCH(VALUE(questions[[#This Row],[qno]]),VALUE(stable[qno]),0))</f>
        <v>1</v>
      </c>
      <c r="J1696" s="9" t="b" cm="1">
        <f t="array" ref="J1696">INDEX(stable[is_localized],MATCH(VALUE(questions[[#This Row],[qno]]),VALUE(stable[qno]),0))</f>
        <v>0</v>
      </c>
      <c r="K1696" s="9" t="b" cm="1">
        <f t="array" ref="K1696">INDEX(stable[is_supply_chain_dependent],MATCH(VALUE(questions[[#This Row],[qno]]),VALUE(stable[qno]),0))</f>
        <v>0</v>
      </c>
      <c r="L1696" s="9" t="b" cm="1">
        <f t="array" ref="L1696">INDEX(stable[is_mandatory],MATCH(VALUE(questions[[#This Row],[qno]]),VALUE(stable[qno]),0))</f>
        <v>1</v>
      </c>
      <c r="M1696" s="9" t="b" cm="1">
        <f t="array" ref="M1696">INDEX(stable[is_automated],MATCH(VALUE(questions[[#This Row],[qno]]),VALUE(stable[qno]),0))</f>
        <v>1</v>
      </c>
      <c r="N1696" s="9" t="b" cm="1">
        <f t="array" ref="N1696">INDEX(stable[is_free_text],MATCH(VALUE(questions[[#This Row],[qno]]),VALUE(stable[qno]),0))</f>
        <v>0</v>
      </c>
      <c r="O1696" s="9" t="b" cm="1">
        <f t="array" ref="O1696">INDEX(stable[is_numerical],MATCH(VALUE(questions[[#This Row],[qno]]),VALUE(stable[qno]),0))</f>
        <v>0</v>
      </c>
      <c r="P1696" s="9" t="b" cm="1">
        <f t="array" ref="P1696">INDEX(stable[is_single_select],MATCH(VALUE(questions[[#This Row],[qno]]),VALUE(stable[qno]),0))</f>
        <v>0</v>
      </c>
      <c r="Q1696" s="9" t="b" cm="1">
        <f t="array" ref="Q1696">INDEX(stable[is_multi_select],MATCH(VALUE(questions[[#This Row],[qno]]),VALUE(stable[qno]),0))</f>
        <v>0</v>
      </c>
      <c r="R1696" s="9" t="b" cm="1">
        <f t="array" ref="R1696">INDEX(stable[is_skip_logic],MATCH(VALUE(questions[[#This Row],[qno]]),VALUE(stable[qno]),0))</f>
        <v>0</v>
      </c>
      <c r="S1696" s="9" t="str">
        <f>_xlfn.TEXTJOIN(", ",TRUE,questions[[#This Row],[ans_opt_1]:[ans_opt_14]])</f>
        <v/>
      </c>
      <c r="AH1696" s="16" t="b">
        <f>INDEX(stable[q_standard],MATCH(questions[[#This Row],[qno]],stable[qno],0))</f>
        <v>1</v>
      </c>
      <c r="AI1696" s="16" t="b">
        <f>INDEX(stable[q_living_income],MATCH(questions[[#This Row],[qno]],stable[qno],0))</f>
        <v>0</v>
      </c>
      <c r="AJ1696" s="16" t="b">
        <f>INDEX(stable[q_carbon],MATCH(questions[[#This Row],[qno]],stable[qno],0))</f>
        <v>0</v>
      </c>
      <c r="AK1696" s="16" t="b">
        <f>INDEX(stable[q_regen_ag],MATCH(questions[[#This Row],[qno]],stable[qno],0))</f>
        <v>0</v>
      </c>
      <c r="AL1696" s="16" t="b">
        <f>COUNTIFS(stable[qno],questions[[#This Row],[qno]])=1</f>
        <v>1</v>
      </c>
      <c r="AM1696" s="16" t="b">
        <f>OR(questions[[#This Row],[is_fixed]],questions[[#This Row],[is_localized]],questions[[#This Row],[is_supply_chain_dependent]])</f>
        <v>1</v>
      </c>
      <c r="AN1696" s="16" t="b">
        <f>COUNTIFS(questions[[#This Row],[is_automated]:[is_multi_select]],TRUE)=1</f>
        <v>1</v>
      </c>
      <c r="AO1696" s="16" t="b">
        <f>IF(questions[[#This Row],[is_fixed]],questions[[#This Row],[question]]=INDEX(stable[question],MATCH(questions[[#This Row],[qno]],stable[qno],0)),TRUE)</f>
        <v>1</v>
      </c>
      <c r="AP1696" s="16" t="str">
        <f>LEFT(questions[[#This Row],[question]],similarity_range)</f>
        <v>Origin</v>
      </c>
      <c r="AQ1696" s="16" t="str">
        <f>LEFT(INDEX(stable[question],MATCH(questions[[#This Row],[qno]],stable[qno],0)),similarity_range)</f>
        <v>Origin</v>
      </c>
      <c r="AR1696" s="16" t="b">
        <f>questions[[#This Row],[question_first_characters]]=questions[[#This Row],[stability_first_characters]]</f>
        <v>1</v>
      </c>
      <c r="AS1696" s="16" t="b">
        <f>IF(OR(questions[[#This Row],[is_single_select]],questions[[#This Row],[is_multi_select]]),NOT(ISBLANK(questions[[#This Row],[answer_opt_combined]])),TRUE)</f>
        <v>1</v>
      </c>
    </row>
    <row r="1697" spans="1:45" ht="15.75" customHeight="1" x14ac:dyDescent="0.25">
      <c r="A1697" s="9" t="str">
        <f>_xlfn.TEXTJOIN("_",TRUE,questions[[#This Row],[origin]:[qno]])</f>
        <v>Uganda_Robusta_2026_1001</v>
      </c>
      <c r="B1697" s="9" t="s">
        <v>511</v>
      </c>
      <c r="C1697" s="9" t="s">
        <v>674</v>
      </c>
      <c r="E1697" s="33">
        <v>2026</v>
      </c>
      <c r="F1697" s="24" t="s">
        <v>63</v>
      </c>
      <c r="G1697" s="15" t="s">
        <v>64</v>
      </c>
      <c r="H1697" s="9" t="str" cm="1">
        <f t="array" ref="H1697">INDEX(stableR[question],MATCH(VALUE(questions[[#This Row],[qno]]),VALUE(stableR[qno]),0))</f>
        <v>Type</v>
      </c>
      <c r="I1697" s="9" t="b" cm="1">
        <f t="array" ref="I1697">INDEX(stable[is_fixed],MATCH(VALUE(questions[[#This Row],[qno]]),VALUE(stable[qno]),0))</f>
        <v>1</v>
      </c>
      <c r="J1697" s="9" t="b" cm="1">
        <f t="array" ref="J1697">INDEX(stable[is_localized],MATCH(VALUE(questions[[#This Row],[qno]]),VALUE(stable[qno]),0))</f>
        <v>0</v>
      </c>
      <c r="K1697" s="9" t="b" cm="1">
        <f t="array" ref="K1697">INDEX(stable[is_supply_chain_dependent],MATCH(VALUE(questions[[#This Row],[qno]]),VALUE(stable[qno]),0))</f>
        <v>0</v>
      </c>
      <c r="L1697" s="9" t="b" cm="1">
        <f t="array" ref="L1697">INDEX(stable[is_mandatory],MATCH(VALUE(questions[[#This Row],[qno]]),VALUE(stable[qno]),0))</f>
        <v>1</v>
      </c>
      <c r="M1697" s="9" t="b" cm="1">
        <f t="array" ref="M1697">INDEX(stable[is_automated],MATCH(VALUE(questions[[#This Row],[qno]]),VALUE(stable[qno]),0))</f>
        <v>1</v>
      </c>
      <c r="N1697" s="9" t="b" cm="1">
        <f t="array" ref="N1697">INDEX(stable[is_free_text],MATCH(VALUE(questions[[#This Row],[qno]]),VALUE(stable[qno]),0))</f>
        <v>0</v>
      </c>
      <c r="O1697" s="9" t="b" cm="1">
        <f t="array" ref="O1697">INDEX(stable[is_numerical],MATCH(VALUE(questions[[#This Row],[qno]]),VALUE(stable[qno]),0))</f>
        <v>0</v>
      </c>
      <c r="P1697" s="9" t="b" cm="1">
        <f t="array" ref="P1697">INDEX(stable[is_single_select],MATCH(VALUE(questions[[#This Row],[qno]]),VALUE(stable[qno]),0))</f>
        <v>0</v>
      </c>
      <c r="Q1697" s="9" t="b" cm="1">
        <f t="array" ref="Q1697">INDEX(stable[is_multi_select],MATCH(VALUE(questions[[#This Row],[qno]]),VALUE(stable[qno]),0))</f>
        <v>0</v>
      </c>
      <c r="R1697" s="9" t="b" cm="1">
        <f t="array" ref="R1697">INDEX(stable[is_skip_logic],MATCH(VALUE(questions[[#This Row],[qno]]),VALUE(stable[qno]),0))</f>
        <v>0</v>
      </c>
      <c r="S1697" s="9" t="str">
        <f>_xlfn.TEXTJOIN(", ",TRUE,questions[[#This Row],[ans_opt_1]:[ans_opt_14]])</f>
        <v/>
      </c>
      <c r="AH1697" s="16" t="b">
        <f>INDEX(stable[q_standard],MATCH(questions[[#This Row],[qno]],stable[qno],0))</f>
        <v>1</v>
      </c>
      <c r="AI1697" s="16" t="b">
        <f>INDEX(stable[q_living_income],MATCH(questions[[#This Row],[qno]],stable[qno],0))</f>
        <v>0</v>
      </c>
      <c r="AJ1697" s="16" t="b">
        <f>INDEX(stable[q_carbon],MATCH(questions[[#This Row],[qno]],stable[qno],0))</f>
        <v>0</v>
      </c>
      <c r="AK1697" s="16" t="b">
        <f>INDEX(stable[q_regen_ag],MATCH(questions[[#This Row],[qno]],stable[qno],0))</f>
        <v>0</v>
      </c>
      <c r="AL1697" s="16" t="b">
        <f>COUNTIFS(stable[qno],questions[[#This Row],[qno]])=1</f>
        <v>1</v>
      </c>
      <c r="AM1697" s="16" t="b">
        <f>OR(questions[[#This Row],[is_fixed]],questions[[#This Row],[is_localized]],questions[[#This Row],[is_supply_chain_dependent]])</f>
        <v>1</v>
      </c>
      <c r="AN1697" s="16" t="b">
        <f>COUNTIFS(questions[[#This Row],[is_automated]:[is_multi_select]],TRUE)=1</f>
        <v>1</v>
      </c>
      <c r="AO1697" s="16" t="b">
        <f>IF(questions[[#This Row],[is_fixed]],questions[[#This Row],[question]]=INDEX(stable[question],MATCH(questions[[#This Row],[qno]],stable[qno],0)),TRUE)</f>
        <v>1</v>
      </c>
      <c r="AP1697" s="16" t="str">
        <f>LEFT(questions[[#This Row],[question]],similarity_range)</f>
        <v>Type</v>
      </c>
      <c r="AQ1697" s="16" t="str">
        <f>LEFT(INDEX(stable[question],MATCH(questions[[#This Row],[qno]],stable[qno],0)),similarity_range)</f>
        <v>Type</v>
      </c>
      <c r="AR1697" s="16" t="b">
        <f>questions[[#This Row],[question_first_characters]]=questions[[#This Row],[stability_first_characters]]</f>
        <v>1</v>
      </c>
      <c r="AS1697" s="16" t="b">
        <f>IF(OR(questions[[#This Row],[is_single_select]],questions[[#This Row],[is_multi_select]]),NOT(ISBLANK(questions[[#This Row],[answer_opt_combined]])),TRUE)</f>
        <v>1</v>
      </c>
    </row>
    <row r="1698" spans="1:45" ht="15.75" customHeight="1" x14ac:dyDescent="0.25">
      <c r="A1698" s="9" t="str">
        <f>_xlfn.TEXTJOIN("_",TRUE,questions[[#This Row],[origin]:[qno]])</f>
        <v>Uganda_Robusta_2026_1002</v>
      </c>
      <c r="B1698" s="9" t="s">
        <v>511</v>
      </c>
      <c r="C1698" s="9" t="s">
        <v>674</v>
      </c>
      <c r="E1698" s="33">
        <v>2026</v>
      </c>
      <c r="F1698" s="24" t="s">
        <v>65</v>
      </c>
      <c r="G1698" s="15" t="s">
        <v>66</v>
      </c>
      <c r="H1698" s="9" t="str" cm="1">
        <f t="array" ref="H1698">INDEX(stableR[question],MATCH(VALUE(questions[[#This Row],[qno]]),VALUE(stableR[qno]),0))</f>
        <v>Supply chain</v>
      </c>
      <c r="I1698" s="9" t="b" cm="1">
        <f t="array" ref="I1698">INDEX(stable[is_fixed],MATCH(VALUE(questions[[#This Row],[qno]]),VALUE(stable[qno]),0))</f>
        <v>1</v>
      </c>
      <c r="J1698" s="9" t="b" cm="1">
        <f t="array" ref="J1698">INDEX(stable[is_localized],MATCH(VALUE(questions[[#This Row],[qno]]),VALUE(stable[qno]),0))</f>
        <v>0</v>
      </c>
      <c r="K1698" s="9" t="b" cm="1">
        <f t="array" ref="K1698">INDEX(stable[is_supply_chain_dependent],MATCH(VALUE(questions[[#This Row],[qno]]),VALUE(stable[qno]),0))</f>
        <v>0</v>
      </c>
      <c r="L1698" s="9" t="b" cm="1">
        <f t="array" ref="L1698">INDEX(stable[is_mandatory],MATCH(VALUE(questions[[#This Row],[qno]]),VALUE(stable[qno]),0))</f>
        <v>1</v>
      </c>
      <c r="M1698" s="9" t="b" cm="1">
        <f t="array" ref="M1698">INDEX(stable[is_automated],MATCH(VALUE(questions[[#This Row],[qno]]),VALUE(stable[qno]),0))</f>
        <v>1</v>
      </c>
      <c r="N1698" s="9" t="b" cm="1">
        <f t="array" ref="N1698">INDEX(stable[is_free_text],MATCH(VALUE(questions[[#This Row],[qno]]),VALUE(stable[qno]),0))</f>
        <v>0</v>
      </c>
      <c r="O1698" s="9" t="b" cm="1">
        <f t="array" ref="O1698">INDEX(stable[is_numerical],MATCH(VALUE(questions[[#This Row],[qno]]),VALUE(stable[qno]),0))</f>
        <v>0</v>
      </c>
      <c r="P1698" s="9" t="b" cm="1">
        <f t="array" ref="P1698">INDEX(stable[is_single_select],MATCH(VALUE(questions[[#This Row],[qno]]),VALUE(stable[qno]),0))</f>
        <v>0</v>
      </c>
      <c r="Q1698" s="9" t="b" cm="1">
        <f t="array" ref="Q1698">INDEX(stable[is_multi_select],MATCH(VALUE(questions[[#This Row],[qno]]),VALUE(stable[qno]),0))</f>
        <v>0</v>
      </c>
      <c r="R1698" s="9" t="b" cm="1">
        <f t="array" ref="R1698">INDEX(stable[is_skip_logic],MATCH(VALUE(questions[[#This Row],[qno]]),VALUE(stable[qno]),0))</f>
        <v>0</v>
      </c>
      <c r="S1698" s="9" t="str">
        <f>_xlfn.TEXTJOIN(", ",TRUE,questions[[#This Row],[ans_opt_1]:[ans_opt_14]])</f>
        <v/>
      </c>
      <c r="AH1698" s="16" t="b">
        <f>INDEX(stable[q_standard],MATCH(questions[[#This Row],[qno]],stable[qno],0))</f>
        <v>1</v>
      </c>
      <c r="AI1698" s="16" t="b">
        <f>INDEX(stable[q_living_income],MATCH(questions[[#This Row],[qno]],stable[qno],0))</f>
        <v>0</v>
      </c>
      <c r="AJ1698" s="16" t="b">
        <f>INDEX(stable[q_carbon],MATCH(questions[[#This Row],[qno]],stable[qno],0))</f>
        <v>0</v>
      </c>
      <c r="AK1698" s="16" t="b">
        <f>INDEX(stable[q_regen_ag],MATCH(questions[[#This Row],[qno]],stable[qno],0))</f>
        <v>0</v>
      </c>
      <c r="AL1698" s="16" t="b">
        <f>COUNTIFS(stable[qno],questions[[#This Row],[qno]])=1</f>
        <v>1</v>
      </c>
      <c r="AM1698" s="16" t="b">
        <f>OR(questions[[#This Row],[is_fixed]],questions[[#This Row],[is_localized]],questions[[#This Row],[is_supply_chain_dependent]])</f>
        <v>1</v>
      </c>
      <c r="AN1698" s="16" t="b">
        <f>COUNTIFS(questions[[#This Row],[is_automated]:[is_multi_select]],TRUE)=1</f>
        <v>1</v>
      </c>
      <c r="AO1698" s="16" t="b">
        <f>IF(questions[[#This Row],[is_fixed]],questions[[#This Row],[question]]=INDEX(stable[question],MATCH(questions[[#This Row],[qno]],stable[qno],0)),TRUE)</f>
        <v>1</v>
      </c>
      <c r="AP1698" s="16" t="str">
        <f>LEFT(questions[[#This Row],[question]],similarity_range)</f>
        <v>Supply chain</v>
      </c>
      <c r="AQ1698" s="16" t="str">
        <f>LEFT(INDEX(stable[question],MATCH(questions[[#This Row],[qno]],stable[qno],0)),similarity_range)</f>
        <v>Supply chain</v>
      </c>
      <c r="AR1698" s="16" t="b">
        <f>questions[[#This Row],[question_first_characters]]=questions[[#This Row],[stability_first_characters]]</f>
        <v>1</v>
      </c>
      <c r="AS1698" s="16" t="b">
        <f>IF(OR(questions[[#This Row],[is_single_select]],questions[[#This Row],[is_multi_select]]),NOT(ISBLANK(questions[[#This Row],[answer_opt_combined]])),TRUE)</f>
        <v>1</v>
      </c>
    </row>
    <row r="1699" spans="1:45" ht="15.75" customHeight="1" x14ac:dyDescent="0.25">
      <c r="A1699" s="9" t="str">
        <f>_xlfn.TEXTJOIN("_",TRUE,questions[[#This Row],[origin]:[qno]])</f>
        <v>Uganda_Robusta_2026_1003</v>
      </c>
      <c r="B1699" s="9" t="s">
        <v>511</v>
      </c>
      <c r="C1699" s="9" t="s">
        <v>674</v>
      </c>
      <c r="E1699" s="33">
        <v>2026</v>
      </c>
      <c r="F1699" s="24" t="s">
        <v>67</v>
      </c>
      <c r="G1699" s="15" t="s">
        <v>68</v>
      </c>
      <c r="H1699" s="9" t="str" cm="1">
        <f t="array" ref="H1699">INDEX(stableR[question],MATCH(VALUE(questions[[#This Row],[qno]]),VALUE(stableR[qno]),0))</f>
        <v>Year</v>
      </c>
      <c r="I1699" s="9" t="b" cm="1">
        <f t="array" ref="I1699">INDEX(stable[is_fixed],MATCH(VALUE(questions[[#This Row],[qno]]),VALUE(stable[qno]),0))</f>
        <v>1</v>
      </c>
      <c r="J1699" s="9" t="b" cm="1">
        <f t="array" ref="J1699">INDEX(stable[is_localized],MATCH(VALUE(questions[[#This Row],[qno]]),VALUE(stable[qno]),0))</f>
        <v>0</v>
      </c>
      <c r="K1699" s="9" t="b" cm="1">
        <f t="array" ref="K1699">INDEX(stable[is_supply_chain_dependent],MATCH(VALUE(questions[[#This Row],[qno]]),VALUE(stable[qno]),0))</f>
        <v>0</v>
      </c>
      <c r="L1699" s="9" t="b" cm="1">
        <f t="array" ref="L1699">INDEX(stable[is_mandatory],MATCH(VALUE(questions[[#This Row],[qno]]),VALUE(stable[qno]),0))</f>
        <v>1</v>
      </c>
      <c r="M1699" s="9" t="b" cm="1">
        <f t="array" ref="M1699">INDEX(stable[is_automated],MATCH(VALUE(questions[[#This Row],[qno]]),VALUE(stable[qno]),0))</f>
        <v>1</v>
      </c>
      <c r="N1699" s="9" t="b" cm="1">
        <f t="array" ref="N1699">INDEX(stable[is_free_text],MATCH(VALUE(questions[[#This Row],[qno]]),VALUE(stable[qno]),0))</f>
        <v>0</v>
      </c>
      <c r="O1699" s="9" t="b" cm="1">
        <f t="array" ref="O1699">INDEX(stable[is_numerical],MATCH(VALUE(questions[[#This Row],[qno]]),VALUE(stable[qno]),0))</f>
        <v>0</v>
      </c>
      <c r="P1699" s="9" t="b" cm="1">
        <f t="array" ref="P1699">INDEX(stable[is_single_select],MATCH(VALUE(questions[[#This Row],[qno]]),VALUE(stable[qno]),0))</f>
        <v>0</v>
      </c>
      <c r="Q1699" s="9" t="b" cm="1">
        <f t="array" ref="Q1699">INDEX(stable[is_multi_select],MATCH(VALUE(questions[[#This Row],[qno]]),VALUE(stable[qno]),0))</f>
        <v>0</v>
      </c>
      <c r="R1699" s="9" t="b" cm="1">
        <f t="array" ref="R1699">INDEX(stable[is_skip_logic],MATCH(VALUE(questions[[#This Row],[qno]]),VALUE(stable[qno]),0))</f>
        <v>0</v>
      </c>
      <c r="S1699" s="9" t="str">
        <f>_xlfn.TEXTJOIN(", ",TRUE,questions[[#This Row],[ans_opt_1]:[ans_opt_14]])</f>
        <v/>
      </c>
      <c r="AH1699" s="16" t="b">
        <f>INDEX(stable[q_standard],MATCH(questions[[#This Row],[qno]],stable[qno],0))</f>
        <v>1</v>
      </c>
      <c r="AI1699" s="16" t="b">
        <f>INDEX(stable[q_living_income],MATCH(questions[[#This Row],[qno]],stable[qno],0))</f>
        <v>0</v>
      </c>
      <c r="AJ1699" s="16" t="b">
        <f>INDEX(stable[q_carbon],MATCH(questions[[#This Row],[qno]],stable[qno],0))</f>
        <v>0</v>
      </c>
      <c r="AK1699" s="16" t="b">
        <f>INDEX(stable[q_regen_ag],MATCH(questions[[#This Row],[qno]],stable[qno],0))</f>
        <v>0</v>
      </c>
      <c r="AL1699" s="16" t="b">
        <f>COUNTIFS(stable[qno],questions[[#This Row],[qno]])=1</f>
        <v>1</v>
      </c>
      <c r="AM1699" s="16" t="b">
        <f>OR(questions[[#This Row],[is_fixed]],questions[[#This Row],[is_localized]],questions[[#This Row],[is_supply_chain_dependent]])</f>
        <v>1</v>
      </c>
      <c r="AN1699" s="16" t="b">
        <f>COUNTIFS(questions[[#This Row],[is_automated]:[is_multi_select]],TRUE)=1</f>
        <v>1</v>
      </c>
      <c r="AO1699" s="16" t="b">
        <f>IF(questions[[#This Row],[is_fixed]],questions[[#This Row],[question]]=INDEX(stable[question],MATCH(questions[[#This Row],[qno]],stable[qno],0)),TRUE)</f>
        <v>1</v>
      </c>
      <c r="AP1699" s="16" t="str">
        <f>LEFT(questions[[#This Row],[question]],similarity_range)</f>
        <v>Year</v>
      </c>
      <c r="AQ1699" s="16" t="str">
        <f>LEFT(INDEX(stable[question],MATCH(questions[[#This Row],[qno]],stable[qno],0)),similarity_range)</f>
        <v>Year</v>
      </c>
      <c r="AR1699" s="16" t="b">
        <f>questions[[#This Row],[question_first_characters]]=questions[[#This Row],[stability_first_characters]]</f>
        <v>1</v>
      </c>
      <c r="AS1699" s="16" t="b">
        <f>IF(OR(questions[[#This Row],[is_single_select]],questions[[#This Row],[is_multi_select]]),NOT(ISBLANK(questions[[#This Row],[answer_opt_combined]])),TRUE)</f>
        <v>1</v>
      </c>
    </row>
    <row r="1700" spans="1:45" ht="15.75" customHeight="1" x14ac:dyDescent="0.25">
      <c r="A1700" s="9" t="str">
        <f>_xlfn.TEXTJOIN("_",TRUE,questions[[#This Row],[origin]:[qno]])</f>
        <v>Uganda_Robusta_2026_1104</v>
      </c>
      <c r="B1700" s="9" t="s">
        <v>511</v>
      </c>
      <c r="C1700" s="9" t="s">
        <v>674</v>
      </c>
      <c r="E1700" s="33">
        <v>2026</v>
      </c>
      <c r="F1700" s="24" t="s">
        <v>69</v>
      </c>
      <c r="G1700" s="15" t="s">
        <v>70</v>
      </c>
      <c r="H1700" s="9" t="str" cm="1">
        <f t="array" ref="H1700">INDEX(stableR[question],MATCH(VALUE(questions[[#This Row],[qno]]),VALUE(stableR[qno]),0))</f>
        <v>Managed by</v>
      </c>
      <c r="I1700" s="9" t="b" cm="1">
        <f t="array" ref="I1700">INDEX(stable[is_fixed],MATCH(VALUE(questions[[#This Row],[qno]]),VALUE(stable[qno]),0))</f>
        <v>1</v>
      </c>
      <c r="J1700" s="9" t="b" cm="1">
        <f t="array" ref="J1700">INDEX(stable[is_localized],MATCH(VALUE(questions[[#This Row],[qno]]),VALUE(stable[qno]),0))</f>
        <v>0</v>
      </c>
      <c r="K1700" s="9" t="b" cm="1">
        <f t="array" ref="K1700">INDEX(stable[is_supply_chain_dependent],MATCH(VALUE(questions[[#This Row],[qno]]),VALUE(stable[qno]),0))</f>
        <v>0</v>
      </c>
      <c r="L1700" s="9" t="b" cm="1">
        <f t="array" ref="L1700">INDEX(stable[is_mandatory],MATCH(VALUE(questions[[#This Row],[qno]]),VALUE(stable[qno]),0))</f>
        <v>1</v>
      </c>
      <c r="M1700" s="9" t="b" cm="1">
        <f t="array" ref="M1700">INDEX(stable[is_automated],MATCH(VALUE(questions[[#This Row],[qno]]),VALUE(stable[qno]),0))</f>
        <v>1</v>
      </c>
      <c r="N1700" s="9" t="b" cm="1">
        <f t="array" ref="N1700">INDEX(stable[is_free_text],MATCH(VALUE(questions[[#This Row],[qno]]),VALUE(stable[qno]),0))</f>
        <v>0</v>
      </c>
      <c r="O1700" s="9" t="b" cm="1">
        <f t="array" ref="O1700">INDEX(stable[is_numerical],MATCH(VALUE(questions[[#This Row],[qno]]),VALUE(stable[qno]),0))</f>
        <v>0</v>
      </c>
      <c r="P1700" s="9" t="b" cm="1">
        <f t="array" ref="P1700">INDEX(stable[is_single_select],MATCH(VALUE(questions[[#This Row],[qno]]),VALUE(stable[qno]),0))</f>
        <v>0</v>
      </c>
      <c r="Q1700" s="9" t="b" cm="1">
        <f t="array" ref="Q1700">INDEX(stable[is_multi_select],MATCH(VALUE(questions[[#This Row],[qno]]),VALUE(stable[qno]),0))</f>
        <v>0</v>
      </c>
      <c r="R1700" s="9" t="b" cm="1">
        <f t="array" ref="R1700">INDEX(stable[is_skip_logic],MATCH(VALUE(questions[[#This Row],[qno]]),VALUE(stable[qno]),0))</f>
        <v>0</v>
      </c>
      <c r="S1700" s="9" t="str">
        <f>_xlfn.TEXTJOIN(", ",TRUE,questions[[#This Row],[ans_opt_1]:[ans_opt_14]])</f>
        <v/>
      </c>
      <c r="AH1700" s="16" t="b">
        <f>INDEX(stable[q_standard],MATCH(questions[[#This Row],[qno]],stable[qno],0))</f>
        <v>1</v>
      </c>
      <c r="AI1700" s="16" t="b">
        <f>INDEX(stable[q_living_income],MATCH(questions[[#This Row],[qno]],stable[qno],0))</f>
        <v>0</v>
      </c>
      <c r="AJ1700" s="16" t="b">
        <f>INDEX(stable[q_carbon],MATCH(questions[[#This Row],[qno]],stable[qno],0))</f>
        <v>0</v>
      </c>
      <c r="AK1700" s="16" t="b">
        <f>INDEX(stable[q_regen_ag],MATCH(questions[[#This Row],[qno]],stable[qno],0))</f>
        <v>0</v>
      </c>
      <c r="AL1700" s="16" t="b">
        <f>COUNTIFS(stable[qno],questions[[#This Row],[qno]])=1</f>
        <v>1</v>
      </c>
      <c r="AM1700" s="16" t="b">
        <f>OR(questions[[#This Row],[is_fixed]],questions[[#This Row],[is_localized]],questions[[#This Row],[is_supply_chain_dependent]])</f>
        <v>1</v>
      </c>
      <c r="AN1700" s="16" t="b">
        <f>COUNTIFS(questions[[#This Row],[is_automated]:[is_multi_select]],TRUE)=1</f>
        <v>1</v>
      </c>
      <c r="AO1700" s="16" t="b">
        <f>IF(questions[[#This Row],[is_fixed]],questions[[#This Row],[question]]=INDEX(stable[question],MATCH(questions[[#This Row],[qno]],stable[qno],0)),TRUE)</f>
        <v>1</v>
      </c>
      <c r="AP1700" s="16" t="str">
        <f>LEFT(questions[[#This Row],[question]],similarity_range)</f>
        <v>Managed by</v>
      </c>
      <c r="AQ1700" s="16" t="str">
        <f>LEFT(INDEX(stable[question],MATCH(questions[[#This Row],[qno]],stable[qno],0)),similarity_range)</f>
        <v>Managed by</v>
      </c>
      <c r="AR1700" s="16" t="b">
        <f>questions[[#This Row],[question_first_characters]]=questions[[#This Row],[stability_first_characters]]</f>
        <v>1</v>
      </c>
      <c r="AS1700" s="16" t="b">
        <f>IF(OR(questions[[#This Row],[is_single_select]],questions[[#This Row],[is_multi_select]]),NOT(ISBLANK(questions[[#This Row],[answer_opt_combined]])),TRUE)</f>
        <v>1</v>
      </c>
    </row>
    <row r="1701" spans="1:45" ht="15.75" customHeight="1" x14ac:dyDescent="0.25">
      <c r="A1701" s="9" t="str">
        <f>_xlfn.TEXTJOIN("_",TRUE,questions[[#This Row],[origin]:[qno]])</f>
        <v>Uganda_Robusta_2026_1105</v>
      </c>
      <c r="B1701" s="9" t="s">
        <v>511</v>
      </c>
      <c r="C1701" s="9" t="s">
        <v>674</v>
      </c>
      <c r="E1701" s="33">
        <v>2026</v>
      </c>
      <c r="F1701" s="24" t="s">
        <v>71</v>
      </c>
      <c r="G1701" s="15" t="s">
        <v>72</v>
      </c>
      <c r="H1701" s="9" t="str" cm="1">
        <f t="array" ref="H1701">INDEX(stableR[question],MATCH(VALUE(questions[[#This Row],[qno]]),VALUE(stableR[qno]),0))</f>
        <v>Field staff(s)</v>
      </c>
      <c r="I1701" s="9" t="b" cm="1">
        <f t="array" ref="I1701">INDEX(stable[is_fixed],MATCH(VALUE(questions[[#This Row],[qno]]),VALUE(stable[qno]),0))</f>
        <v>1</v>
      </c>
      <c r="J1701" s="9" t="b" cm="1">
        <f t="array" ref="J1701">INDEX(stable[is_localized],MATCH(VALUE(questions[[#This Row],[qno]]),VALUE(stable[qno]),0))</f>
        <v>0</v>
      </c>
      <c r="K1701" s="9" t="b" cm="1">
        <f t="array" ref="K1701">INDEX(stable[is_supply_chain_dependent],MATCH(VALUE(questions[[#This Row],[qno]]),VALUE(stable[qno]),0))</f>
        <v>0</v>
      </c>
      <c r="L1701" s="9" t="b" cm="1">
        <f t="array" ref="L1701">INDEX(stable[is_mandatory],MATCH(VALUE(questions[[#This Row],[qno]]),VALUE(stable[qno]),0))</f>
        <v>1</v>
      </c>
      <c r="M1701" s="9" t="b" cm="1">
        <f t="array" ref="M1701">INDEX(stable[is_automated],MATCH(VALUE(questions[[#This Row],[qno]]),VALUE(stable[qno]),0))</f>
        <v>1</v>
      </c>
      <c r="N1701" s="9" t="b" cm="1">
        <f t="array" ref="N1701">INDEX(stable[is_free_text],MATCH(VALUE(questions[[#This Row],[qno]]),VALUE(stable[qno]),0))</f>
        <v>0</v>
      </c>
      <c r="O1701" s="9" t="b" cm="1">
        <f t="array" ref="O1701">INDEX(stable[is_numerical],MATCH(VALUE(questions[[#This Row],[qno]]),VALUE(stable[qno]),0))</f>
        <v>0</v>
      </c>
      <c r="P1701" s="9" t="b" cm="1">
        <f t="array" ref="P1701">INDEX(stable[is_single_select],MATCH(VALUE(questions[[#This Row],[qno]]),VALUE(stable[qno]),0))</f>
        <v>0</v>
      </c>
      <c r="Q1701" s="9" t="b" cm="1">
        <f t="array" ref="Q1701">INDEX(stable[is_multi_select],MATCH(VALUE(questions[[#This Row],[qno]]),VALUE(stable[qno]),0))</f>
        <v>0</v>
      </c>
      <c r="R1701" s="9" t="b" cm="1">
        <f t="array" ref="R1701">INDEX(stable[is_skip_logic],MATCH(VALUE(questions[[#This Row],[qno]]),VALUE(stable[qno]),0))</f>
        <v>0</v>
      </c>
      <c r="S1701" s="9" t="str">
        <f>_xlfn.TEXTJOIN(", ",TRUE,questions[[#This Row],[ans_opt_1]:[ans_opt_14]])</f>
        <v/>
      </c>
      <c r="AH1701" s="16" t="b">
        <f>INDEX(stable[q_standard],MATCH(questions[[#This Row],[qno]],stable[qno],0))</f>
        <v>1</v>
      </c>
      <c r="AI1701" s="16" t="b">
        <f>INDEX(stable[q_living_income],MATCH(questions[[#This Row],[qno]],stable[qno],0))</f>
        <v>0</v>
      </c>
      <c r="AJ1701" s="16" t="b">
        <f>INDEX(stable[q_carbon],MATCH(questions[[#This Row],[qno]],stable[qno],0))</f>
        <v>0</v>
      </c>
      <c r="AK1701" s="16" t="b">
        <f>INDEX(stable[q_regen_ag],MATCH(questions[[#This Row],[qno]],stable[qno],0))</f>
        <v>0</v>
      </c>
      <c r="AL1701" s="16" t="b">
        <f>COUNTIFS(stable[qno],questions[[#This Row],[qno]])=1</f>
        <v>1</v>
      </c>
      <c r="AM1701" s="16" t="b">
        <f>OR(questions[[#This Row],[is_fixed]],questions[[#This Row],[is_localized]],questions[[#This Row],[is_supply_chain_dependent]])</f>
        <v>1</v>
      </c>
      <c r="AN1701" s="16" t="b">
        <f>COUNTIFS(questions[[#This Row],[is_automated]:[is_multi_select]],TRUE)=1</f>
        <v>1</v>
      </c>
      <c r="AO1701" s="16" t="b">
        <f>IF(questions[[#This Row],[is_fixed]],questions[[#This Row],[question]]=INDEX(stable[question],MATCH(questions[[#This Row],[qno]],stable[qno],0)),TRUE)</f>
        <v>1</v>
      </c>
      <c r="AP1701" s="16" t="str">
        <f>LEFT(questions[[#This Row],[question]],similarity_range)</f>
        <v>Field staff(s)</v>
      </c>
      <c r="AQ1701" s="16" t="str">
        <f>LEFT(INDEX(stable[question],MATCH(questions[[#This Row],[qno]],stable[qno],0)),similarity_range)</f>
        <v>Field staff(s)</v>
      </c>
      <c r="AR1701" s="16" t="b">
        <f>questions[[#This Row],[question_first_characters]]=questions[[#This Row],[stability_first_characters]]</f>
        <v>1</v>
      </c>
      <c r="AS1701" s="16" t="b">
        <f>IF(OR(questions[[#This Row],[is_single_select]],questions[[#This Row],[is_multi_select]]),NOT(ISBLANK(questions[[#This Row],[answer_opt_combined]])),TRUE)</f>
        <v>1</v>
      </c>
    </row>
    <row r="1702" spans="1:45" ht="15.75" customHeight="1" x14ac:dyDescent="0.25">
      <c r="A1702" s="9" t="str">
        <f>_xlfn.TEXTJOIN("_",TRUE,questions[[#This Row],[origin]:[qno]])</f>
        <v>Uganda_Robusta_2026_1106</v>
      </c>
      <c r="B1702" s="9" t="s">
        <v>511</v>
      </c>
      <c r="C1702" s="9" t="s">
        <v>674</v>
      </c>
      <c r="E1702" s="33">
        <v>2026</v>
      </c>
      <c r="F1702" s="24" t="s">
        <v>73</v>
      </c>
      <c r="G1702" s="15" t="s">
        <v>74</v>
      </c>
      <c r="H1702" s="9" t="str" cm="1">
        <f t="array" ref="H1702">INDEX(stableR[question],MATCH(VALUE(questions[[#This Row],[qno]]),VALUE(stableR[qno]),0))</f>
        <v>Completion Date</v>
      </c>
      <c r="I1702" s="9" t="b" cm="1">
        <f t="array" ref="I1702">INDEX(stable[is_fixed],MATCH(VALUE(questions[[#This Row],[qno]]),VALUE(stable[qno]),0))</f>
        <v>1</v>
      </c>
      <c r="J1702" s="9" t="b" cm="1">
        <f t="array" ref="J1702">INDEX(stable[is_localized],MATCH(VALUE(questions[[#This Row],[qno]]),VALUE(stable[qno]),0))</f>
        <v>0</v>
      </c>
      <c r="K1702" s="9" t="b" cm="1">
        <f t="array" ref="K1702">INDEX(stable[is_supply_chain_dependent],MATCH(VALUE(questions[[#This Row],[qno]]),VALUE(stable[qno]),0))</f>
        <v>0</v>
      </c>
      <c r="L1702" s="9" t="b" cm="1">
        <f t="array" ref="L1702">INDEX(stable[is_mandatory],MATCH(VALUE(questions[[#This Row],[qno]]),VALUE(stable[qno]),0))</f>
        <v>1</v>
      </c>
      <c r="M1702" s="9" t="b" cm="1">
        <f t="array" ref="M1702">INDEX(stable[is_automated],MATCH(VALUE(questions[[#This Row],[qno]]),VALUE(stable[qno]),0))</f>
        <v>1</v>
      </c>
      <c r="N1702" s="9" t="b" cm="1">
        <f t="array" ref="N1702">INDEX(stable[is_free_text],MATCH(VALUE(questions[[#This Row],[qno]]),VALUE(stable[qno]),0))</f>
        <v>0</v>
      </c>
      <c r="O1702" s="9" t="b" cm="1">
        <f t="array" ref="O1702">INDEX(stable[is_numerical],MATCH(VALUE(questions[[#This Row],[qno]]),VALUE(stable[qno]),0))</f>
        <v>0</v>
      </c>
      <c r="P1702" s="9" t="b" cm="1">
        <f t="array" ref="P1702">INDEX(stable[is_single_select],MATCH(VALUE(questions[[#This Row],[qno]]),VALUE(stable[qno]),0))</f>
        <v>0</v>
      </c>
      <c r="Q1702" s="9" t="b" cm="1">
        <f t="array" ref="Q1702">INDEX(stable[is_multi_select],MATCH(VALUE(questions[[#This Row],[qno]]),VALUE(stable[qno]),0))</f>
        <v>0</v>
      </c>
      <c r="R1702" s="9" t="b" cm="1">
        <f t="array" ref="R1702">INDEX(stable[is_skip_logic],MATCH(VALUE(questions[[#This Row],[qno]]),VALUE(stable[qno]),0))</f>
        <v>0</v>
      </c>
      <c r="S1702" s="9" t="str">
        <f>_xlfn.TEXTJOIN(", ",TRUE,questions[[#This Row],[ans_opt_1]:[ans_opt_14]])</f>
        <v/>
      </c>
      <c r="AH1702" s="16" t="b">
        <f>INDEX(stable[q_standard],MATCH(questions[[#This Row],[qno]],stable[qno],0))</f>
        <v>1</v>
      </c>
      <c r="AI1702" s="16" t="b">
        <f>INDEX(stable[q_living_income],MATCH(questions[[#This Row],[qno]],stable[qno],0))</f>
        <v>0</v>
      </c>
      <c r="AJ1702" s="16" t="b">
        <f>INDEX(stable[q_carbon],MATCH(questions[[#This Row],[qno]],stable[qno],0))</f>
        <v>0</v>
      </c>
      <c r="AK1702" s="16" t="b">
        <f>INDEX(stable[q_regen_ag],MATCH(questions[[#This Row],[qno]],stable[qno],0))</f>
        <v>0</v>
      </c>
      <c r="AL1702" s="16" t="b">
        <f>COUNTIFS(stable[qno],questions[[#This Row],[qno]])=1</f>
        <v>1</v>
      </c>
      <c r="AM1702" s="16" t="b">
        <f>OR(questions[[#This Row],[is_fixed]],questions[[#This Row],[is_localized]],questions[[#This Row],[is_supply_chain_dependent]])</f>
        <v>1</v>
      </c>
      <c r="AN1702" s="16" t="b">
        <f>COUNTIFS(questions[[#This Row],[is_automated]:[is_multi_select]],TRUE)=1</f>
        <v>1</v>
      </c>
      <c r="AO1702" s="16" t="b">
        <f>IF(questions[[#This Row],[is_fixed]],questions[[#This Row],[question]]=INDEX(stable[question],MATCH(questions[[#This Row],[qno]],stable[qno],0)),TRUE)</f>
        <v>1</v>
      </c>
      <c r="AP1702" s="16" t="str">
        <f>LEFT(questions[[#This Row],[question]],similarity_range)</f>
        <v>Completion Date</v>
      </c>
      <c r="AQ1702" s="16" t="str">
        <f>LEFT(INDEX(stable[question],MATCH(questions[[#This Row],[qno]],stable[qno],0)),similarity_range)</f>
        <v>Completion Date</v>
      </c>
      <c r="AR1702" s="16" t="b">
        <f>questions[[#This Row],[question_first_characters]]=questions[[#This Row],[stability_first_characters]]</f>
        <v>1</v>
      </c>
      <c r="AS1702" s="16" t="b">
        <f>IF(OR(questions[[#This Row],[is_single_select]],questions[[#This Row],[is_multi_select]]),NOT(ISBLANK(questions[[#This Row],[answer_opt_combined]])),TRUE)</f>
        <v>1</v>
      </c>
    </row>
    <row r="1703" spans="1:45" ht="15.75" customHeight="1" x14ac:dyDescent="0.25">
      <c r="A1703" s="9" t="str">
        <f>_xlfn.TEXTJOIN("_",TRUE,questions[[#This Row],[origin]:[qno]])</f>
        <v>Uganda_Robusta_2026_1200</v>
      </c>
      <c r="B1703" s="9" t="s">
        <v>511</v>
      </c>
      <c r="C1703" s="9" t="s">
        <v>674</v>
      </c>
      <c r="E1703" s="33">
        <v>2026</v>
      </c>
      <c r="F1703" s="24" t="s">
        <v>81</v>
      </c>
      <c r="G1703" s="15" t="s">
        <v>82</v>
      </c>
      <c r="H1703" s="9" t="str" cm="1">
        <f t="array" ref="H1703">INDEX(stableR[question],MATCH(VALUE(questions[[#This Row],[qno]]),VALUE(stableR[qno]),0))</f>
        <v>Farmer code</v>
      </c>
      <c r="I1703" s="9" t="b" cm="1">
        <f t="array" ref="I1703">INDEX(stable[is_fixed],MATCH(VALUE(questions[[#This Row],[qno]]),VALUE(stable[qno]),0))</f>
        <v>1</v>
      </c>
      <c r="J1703" s="9" t="b" cm="1">
        <f t="array" ref="J1703">INDEX(stable[is_localized],MATCH(VALUE(questions[[#This Row],[qno]]),VALUE(stable[qno]),0))</f>
        <v>0</v>
      </c>
      <c r="K1703" s="9" t="b" cm="1">
        <f t="array" ref="K1703">INDEX(stable[is_supply_chain_dependent],MATCH(VALUE(questions[[#This Row],[qno]]),VALUE(stable[qno]),0))</f>
        <v>0</v>
      </c>
      <c r="L1703" s="9" t="b" cm="1">
        <f t="array" ref="L1703">INDEX(stable[is_mandatory],MATCH(VALUE(questions[[#This Row],[qno]]),VALUE(stable[qno]),0))</f>
        <v>1</v>
      </c>
      <c r="M1703" s="9" t="b" cm="1">
        <f t="array" ref="M1703">INDEX(stable[is_automated],MATCH(VALUE(questions[[#This Row],[qno]]),VALUE(stable[qno]),0))</f>
        <v>1</v>
      </c>
      <c r="N1703" s="9" t="b" cm="1">
        <f t="array" ref="N1703">INDEX(stable[is_free_text],MATCH(VALUE(questions[[#This Row],[qno]]),VALUE(stable[qno]),0))</f>
        <v>0</v>
      </c>
      <c r="O1703" s="9" t="b" cm="1">
        <f t="array" ref="O1703">INDEX(stable[is_numerical],MATCH(VALUE(questions[[#This Row],[qno]]),VALUE(stable[qno]),0))</f>
        <v>0</v>
      </c>
      <c r="P1703" s="9" t="b" cm="1">
        <f t="array" ref="P1703">INDEX(stable[is_single_select],MATCH(VALUE(questions[[#This Row],[qno]]),VALUE(stable[qno]),0))</f>
        <v>0</v>
      </c>
      <c r="Q1703" s="9" t="b" cm="1">
        <f t="array" ref="Q1703">INDEX(stable[is_multi_select],MATCH(VALUE(questions[[#This Row],[qno]]),VALUE(stable[qno]),0))</f>
        <v>0</v>
      </c>
      <c r="R1703" s="9" t="b" cm="1">
        <f t="array" ref="R1703">INDEX(stable[is_skip_logic],MATCH(VALUE(questions[[#This Row],[qno]]),VALUE(stable[qno]),0))</f>
        <v>0</v>
      </c>
      <c r="S1703" s="9" t="str">
        <f>_xlfn.TEXTJOIN(", ",TRUE,questions[[#This Row],[ans_opt_1]:[ans_opt_14]])</f>
        <v/>
      </c>
      <c r="AH1703" s="16" t="b">
        <f>INDEX(stable[q_standard],MATCH(questions[[#This Row],[qno]],stable[qno],0))</f>
        <v>1</v>
      </c>
      <c r="AI1703" s="16" t="b">
        <f>INDEX(stable[q_living_income],MATCH(questions[[#This Row],[qno]],stable[qno],0))</f>
        <v>0</v>
      </c>
      <c r="AJ1703" s="16" t="b">
        <f>INDEX(stable[q_carbon],MATCH(questions[[#This Row],[qno]],stable[qno],0))</f>
        <v>0</v>
      </c>
      <c r="AK1703" s="16" t="b">
        <f>INDEX(stable[q_regen_ag],MATCH(questions[[#This Row],[qno]],stable[qno],0))</f>
        <v>0</v>
      </c>
      <c r="AL1703" s="16" t="b">
        <f>COUNTIFS(stable[qno],questions[[#This Row],[qno]])=1</f>
        <v>1</v>
      </c>
      <c r="AM1703" s="16" t="b">
        <f>OR(questions[[#This Row],[is_fixed]],questions[[#This Row],[is_localized]],questions[[#This Row],[is_supply_chain_dependent]])</f>
        <v>1</v>
      </c>
      <c r="AN1703" s="16" t="b">
        <f>COUNTIFS(questions[[#This Row],[is_automated]:[is_multi_select]],TRUE)=1</f>
        <v>1</v>
      </c>
      <c r="AO1703" s="16" t="b">
        <f>IF(questions[[#This Row],[is_fixed]],questions[[#This Row],[question]]=INDEX(stable[question],MATCH(questions[[#This Row],[qno]],stable[qno],0)),TRUE)</f>
        <v>1</v>
      </c>
      <c r="AP1703" s="16" t="str">
        <f>LEFT(questions[[#This Row],[question]],similarity_range)</f>
        <v>Farmer code</v>
      </c>
      <c r="AQ1703" s="16" t="str">
        <f>LEFT(INDEX(stable[question],MATCH(questions[[#This Row],[qno]],stable[qno],0)),similarity_range)</f>
        <v>Farmer code</v>
      </c>
      <c r="AR1703" s="16" t="b">
        <f>questions[[#This Row],[question_first_characters]]=questions[[#This Row],[stability_first_characters]]</f>
        <v>1</v>
      </c>
      <c r="AS1703" s="16" t="b">
        <f>IF(OR(questions[[#This Row],[is_single_select]],questions[[#This Row],[is_multi_select]]),NOT(ISBLANK(questions[[#This Row],[answer_opt_combined]])),TRUE)</f>
        <v>1</v>
      </c>
    </row>
    <row r="1704" spans="1:45" ht="15.75" customHeight="1" x14ac:dyDescent="0.25">
      <c r="A1704" s="9" t="str">
        <f>_xlfn.TEXTJOIN("_",TRUE,questions[[#This Row],[origin]:[qno]])</f>
        <v>Uganda_Robusta_2026_1201</v>
      </c>
      <c r="B1704" s="9" t="s">
        <v>511</v>
      </c>
      <c r="C1704" s="9" t="s">
        <v>674</v>
      </c>
      <c r="E1704" s="33">
        <v>2026</v>
      </c>
      <c r="F1704" s="24" t="s">
        <v>83</v>
      </c>
      <c r="G1704" s="15" t="s">
        <v>84</v>
      </c>
      <c r="H1704" s="9" t="str" cm="1">
        <f t="array" ref="H1704">INDEX(stableR[question],MATCH(VALUE(questions[[#This Row],[qno]]),VALUE(stableR[qno]),0))</f>
        <v>Farmer name</v>
      </c>
      <c r="I1704" s="9" t="b" cm="1">
        <f t="array" ref="I1704">INDEX(stable[is_fixed],MATCH(VALUE(questions[[#This Row],[qno]]),VALUE(stable[qno]),0))</f>
        <v>1</v>
      </c>
      <c r="J1704" s="9" t="b" cm="1">
        <f t="array" ref="J1704">INDEX(stable[is_localized],MATCH(VALUE(questions[[#This Row],[qno]]),VALUE(stable[qno]),0))</f>
        <v>0</v>
      </c>
      <c r="K1704" s="9" t="b" cm="1">
        <f t="array" ref="K1704">INDEX(stable[is_supply_chain_dependent],MATCH(VALUE(questions[[#This Row],[qno]]),VALUE(stable[qno]),0))</f>
        <v>0</v>
      </c>
      <c r="L1704" s="9" t="b" cm="1">
        <f t="array" ref="L1704">INDEX(stable[is_mandatory],MATCH(VALUE(questions[[#This Row],[qno]]),VALUE(stable[qno]),0))</f>
        <v>1</v>
      </c>
      <c r="M1704" s="9" t="b" cm="1">
        <f t="array" ref="M1704">INDEX(stable[is_automated],MATCH(VALUE(questions[[#This Row],[qno]]),VALUE(stable[qno]),0))</f>
        <v>1</v>
      </c>
      <c r="N1704" s="9" t="b" cm="1">
        <f t="array" ref="N1704">INDEX(stable[is_free_text],MATCH(VALUE(questions[[#This Row],[qno]]),VALUE(stable[qno]),0))</f>
        <v>0</v>
      </c>
      <c r="O1704" s="9" t="b" cm="1">
        <f t="array" ref="O1704">INDEX(stable[is_numerical],MATCH(VALUE(questions[[#This Row],[qno]]),VALUE(stable[qno]),0))</f>
        <v>0</v>
      </c>
      <c r="P1704" s="9" t="b" cm="1">
        <f t="array" ref="P1704">INDEX(stable[is_single_select],MATCH(VALUE(questions[[#This Row],[qno]]),VALUE(stable[qno]),0))</f>
        <v>0</v>
      </c>
      <c r="Q1704" s="9" t="b" cm="1">
        <f t="array" ref="Q1704">INDEX(stable[is_multi_select],MATCH(VALUE(questions[[#This Row],[qno]]),VALUE(stable[qno]),0))</f>
        <v>0</v>
      </c>
      <c r="R1704" s="9" t="b" cm="1">
        <f t="array" ref="R1704">INDEX(stable[is_skip_logic],MATCH(VALUE(questions[[#This Row],[qno]]),VALUE(stable[qno]),0))</f>
        <v>0</v>
      </c>
      <c r="S1704" s="9" t="str">
        <f>_xlfn.TEXTJOIN(", ",TRUE,questions[[#This Row],[ans_opt_1]:[ans_opt_14]])</f>
        <v/>
      </c>
      <c r="AH1704" s="16" t="b">
        <f>INDEX(stable[q_standard],MATCH(questions[[#This Row],[qno]],stable[qno],0))</f>
        <v>1</v>
      </c>
      <c r="AI1704" s="16" t="b">
        <f>INDEX(stable[q_living_income],MATCH(questions[[#This Row],[qno]],stable[qno],0))</f>
        <v>0</v>
      </c>
      <c r="AJ1704" s="16" t="b">
        <f>INDEX(stable[q_carbon],MATCH(questions[[#This Row],[qno]],stable[qno],0))</f>
        <v>0</v>
      </c>
      <c r="AK1704" s="16" t="b">
        <f>INDEX(stable[q_regen_ag],MATCH(questions[[#This Row],[qno]],stable[qno],0))</f>
        <v>0</v>
      </c>
      <c r="AL1704" s="16" t="b">
        <f>COUNTIFS(stable[qno],questions[[#This Row],[qno]])=1</f>
        <v>1</v>
      </c>
      <c r="AM1704" s="16" t="b">
        <f>OR(questions[[#This Row],[is_fixed]],questions[[#This Row],[is_localized]],questions[[#This Row],[is_supply_chain_dependent]])</f>
        <v>1</v>
      </c>
      <c r="AN1704" s="16" t="b">
        <f>COUNTIFS(questions[[#This Row],[is_automated]:[is_multi_select]],TRUE)=1</f>
        <v>1</v>
      </c>
      <c r="AO1704" s="16" t="b">
        <f>IF(questions[[#This Row],[is_fixed]],questions[[#This Row],[question]]=INDEX(stable[question],MATCH(questions[[#This Row],[qno]],stable[qno],0)),TRUE)</f>
        <v>1</v>
      </c>
      <c r="AP1704" s="16" t="str">
        <f>LEFT(questions[[#This Row],[question]],similarity_range)</f>
        <v>Farmer name</v>
      </c>
      <c r="AQ1704" s="16" t="str">
        <f>LEFT(INDEX(stable[question],MATCH(questions[[#This Row],[qno]],stable[qno],0)),similarity_range)</f>
        <v>Farmer name</v>
      </c>
      <c r="AR1704" s="16" t="b">
        <f>questions[[#This Row],[question_first_characters]]=questions[[#This Row],[stability_first_characters]]</f>
        <v>1</v>
      </c>
      <c r="AS1704" s="16" t="b">
        <f>IF(OR(questions[[#This Row],[is_single_select]],questions[[#This Row],[is_multi_select]]),NOT(ISBLANK(questions[[#This Row],[answer_opt_combined]])),TRUE)</f>
        <v>1</v>
      </c>
    </row>
    <row r="1705" spans="1:45" ht="15.75" customHeight="1" x14ac:dyDescent="0.25">
      <c r="A1705" s="9" t="str">
        <f>_xlfn.TEXTJOIN("_",TRUE,questions[[#This Row],[origin]:[qno]])</f>
        <v>Uganda_Robusta_2026_1212</v>
      </c>
      <c r="B1705" s="9" t="s">
        <v>511</v>
      </c>
      <c r="C1705" s="9" t="s">
        <v>674</v>
      </c>
      <c r="E1705" s="33">
        <v>2026</v>
      </c>
      <c r="F1705" s="24" t="s">
        <v>93</v>
      </c>
      <c r="G1705" s="15" t="s">
        <v>94</v>
      </c>
      <c r="H1705" s="9" t="str" cm="1">
        <f t="array" ref="H1705">INDEX(stableR[question],MATCH(VALUE(questions[[#This Row],[qno]]),VALUE(stableR[qno]),0))</f>
        <v>Declared area (acre)</v>
      </c>
      <c r="I1705" s="9" t="b" cm="1">
        <f t="array" ref="I1705">INDEX(stable[is_fixed],MATCH(VALUE(questions[[#This Row],[qno]]),VALUE(stable[qno]),0))</f>
        <v>1</v>
      </c>
      <c r="J1705" s="9" t="b" cm="1">
        <f t="array" ref="J1705">INDEX(stable[is_localized],MATCH(VALUE(questions[[#This Row],[qno]]),VALUE(stable[qno]),0))</f>
        <v>0</v>
      </c>
      <c r="K1705" s="9" t="b" cm="1">
        <f t="array" ref="K1705">INDEX(stable[is_supply_chain_dependent],MATCH(VALUE(questions[[#This Row],[qno]]),VALUE(stable[qno]),0))</f>
        <v>0</v>
      </c>
      <c r="L1705" s="9" t="b" cm="1">
        <f t="array" ref="L1705">INDEX(stable[is_mandatory],MATCH(VALUE(questions[[#This Row],[qno]]),VALUE(stable[qno]),0))</f>
        <v>1</v>
      </c>
      <c r="M1705" s="9" t="b" cm="1">
        <f t="array" ref="M1705">INDEX(stable[is_automated],MATCH(VALUE(questions[[#This Row],[qno]]),VALUE(stable[qno]),0))</f>
        <v>1</v>
      </c>
      <c r="N1705" s="9" t="b" cm="1">
        <f t="array" ref="N1705">INDEX(stable[is_free_text],MATCH(VALUE(questions[[#This Row],[qno]]),VALUE(stable[qno]),0))</f>
        <v>0</v>
      </c>
      <c r="O1705" s="9" t="b" cm="1">
        <f t="array" ref="O1705">INDEX(stable[is_numerical],MATCH(VALUE(questions[[#This Row],[qno]]),VALUE(stable[qno]),0))</f>
        <v>1</v>
      </c>
      <c r="P1705" s="9" t="b" cm="1">
        <f t="array" ref="P1705">INDEX(stable[is_single_select],MATCH(VALUE(questions[[#This Row],[qno]]),VALUE(stable[qno]),0))</f>
        <v>0</v>
      </c>
      <c r="Q1705" s="9" t="b" cm="1">
        <f t="array" ref="Q1705">INDEX(stable[is_multi_select],MATCH(VALUE(questions[[#This Row],[qno]]),VALUE(stable[qno]),0))</f>
        <v>0</v>
      </c>
      <c r="R1705" s="9" t="b" cm="1">
        <f t="array" ref="R1705">INDEX(stable[is_skip_logic],MATCH(VALUE(questions[[#This Row],[qno]]),VALUE(stable[qno]),0))</f>
        <v>0</v>
      </c>
      <c r="S1705" s="9" t="str">
        <f>_xlfn.TEXTJOIN(", ",TRUE,questions[[#This Row],[ans_opt_1]:[ans_opt_14]])</f>
        <v/>
      </c>
      <c r="AH1705" s="16" t="b">
        <f>INDEX(stable[q_standard],MATCH(questions[[#This Row],[qno]],stable[qno],0))</f>
        <v>1</v>
      </c>
      <c r="AI1705" s="16" t="b">
        <f>INDEX(stable[q_living_income],MATCH(questions[[#This Row],[qno]],stable[qno],0))</f>
        <v>0</v>
      </c>
      <c r="AJ1705" s="16" t="b">
        <f>INDEX(stable[q_carbon],MATCH(questions[[#This Row],[qno]],stable[qno],0))</f>
        <v>0</v>
      </c>
      <c r="AK1705" s="16" t="b">
        <f>INDEX(stable[q_regen_ag],MATCH(questions[[#This Row],[qno]],stable[qno],0))</f>
        <v>0</v>
      </c>
      <c r="AL1705" s="16" t="b">
        <f>COUNTIFS(stable[qno],questions[[#This Row],[qno]])=1</f>
        <v>1</v>
      </c>
      <c r="AM1705" s="16" t="b">
        <f>OR(questions[[#This Row],[is_fixed]],questions[[#This Row],[is_localized]],questions[[#This Row],[is_supply_chain_dependent]])</f>
        <v>1</v>
      </c>
      <c r="AN1705" s="16" t="b">
        <f>COUNTIFS(questions[[#This Row],[is_automated]:[is_multi_select]],TRUE)=1</f>
        <v>0</v>
      </c>
      <c r="AO1705" s="16" t="b">
        <f>IF(questions[[#This Row],[is_fixed]],questions[[#This Row],[question]]=INDEX(stable[question],MATCH(questions[[#This Row],[qno]],stable[qno],0)),TRUE)</f>
        <v>1</v>
      </c>
      <c r="AP1705" s="16" t="str">
        <f>LEFT(questions[[#This Row],[question]],similarity_range)</f>
        <v>Declared area (acre)</v>
      </c>
      <c r="AQ1705" s="16" t="str">
        <f>LEFT(INDEX(stable[question],MATCH(questions[[#This Row],[qno]],stable[qno],0)),similarity_range)</f>
        <v>Declared area (acre)</v>
      </c>
      <c r="AR1705" s="16" t="b">
        <f>questions[[#This Row],[question_first_characters]]=questions[[#This Row],[stability_first_characters]]</f>
        <v>1</v>
      </c>
      <c r="AS1705" s="16" t="b">
        <f>IF(OR(questions[[#This Row],[is_single_select]],questions[[#This Row],[is_multi_select]]),NOT(ISBLANK(questions[[#This Row],[answer_opt_combined]])),TRUE)</f>
        <v>1</v>
      </c>
    </row>
    <row r="1706" spans="1:45" ht="15.75" customHeight="1" x14ac:dyDescent="0.25">
      <c r="A1706" s="9" t="str">
        <f>_xlfn.TEXTJOIN("_",TRUE,questions[[#This Row],[origin]:[qno]])</f>
        <v>Uganda_Robusta_2026_1213</v>
      </c>
      <c r="B1706" s="9" t="s">
        <v>511</v>
      </c>
      <c r="C1706" s="9" t="s">
        <v>674</v>
      </c>
      <c r="E1706" s="33">
        <v>2026</v>
      </c>
      <c r="F1706" s="24" t="s">
        <v>95</v>
      </c>
      <c r="G1706" s="15" t="s">
        <v>96</v>
      </c>
      <c r="H1706" s="9" t="str" cm="1">
        <f t="array" ref="H1706">INDEX(stableR[question],MATCH(VALUE(questions[[#This Row],[qno]]),VALUE(stableR[qno]),0))</f>
        <v>Audited area (acre)</v>
      </c>
      <c r="I1706" s="9" t="b" cm="1">
        <f t="array" ref="I1706">INDEX(stable[is_fixed],MATCH(VALUE(questions[[#This Row],[qno]]),VALUE(stable[qno]),0))</f>
        <v>1</v>
      </c>
      <c r="J1706" s="9" t="b" cm="1">
        <f t="array" ref="J1706">INDEX(stable[is_localized],MATCH(VALUE(questions[[#This Row],[qno]]),VALUE(stable[qno]),0))</f>
        <v>0</v>
      </c>
      <c r="K1706" s="9" t="b" cm="1">
        <f t="array" ref="K1706">INDEX(stable[is_supply_chain_dependent],MATCH(VALUE(questions[[#This Row],[qno]]),VALUE(stable[qno]),0))</f>
        <v>0</v>
      </c>
      <c r="L1706" s="9" t="b" cm="1">
        <f t="array" ref="L1706">INDEX(stable[is_mandatory],MATCH(VALUE(questions[[#This Row],[qno]]),VALUE(stable[qno]),0))</f>
        <v>1</v>
      </c>
      <c r="M1706" s="9" t="b" cm="1">
        <f t="array" ref="M1706">INDEX(stable[is_automated],MATCH(VALUE(questions[[#This Row],[qno]]),VALUE(stable[qno]),0))</f>
        <v>1</v>
      </c>
      <c r="N1706" s="9" t="b" cm="1">
        <f t="array" ref="N1706">INDEX(stable[is_free_text],MATCH(VALUE(questions[[#This Row],[qno]]),VALUE(stable[qno]),0))</f>
        <v>0</v>
      </c>
      <c r="O1706" s="9" t="b" cm="1">
        <f t="array" ref="O1706">INDEX(stable[is_numerical],MATCH(VALUE(questions[[#This Row],[qno]]),VALUE(stable[qno]),0))</f>
        <v>1</v>
      </c>
      <c r="P1706" s="9" t="b" cm="1">
        <f t="array" ref="P1706">INDEX(stable[is_single_select],MATCH(VALUE(questions[[#This Row],[qno]]),VALUE(stable[qno]),0))</f>
        <v>0</v>
      </c>
      <c r="Q1706" s="9" t="b" cm="1">
        <f t="array" ref="Q1706">INDEX(stable[is_multi_select],MATCH(VALUE(questions[[#This Row],[qno]]),VALUE(stable[qno]),0))</f>
        <v>0</v>
      </c>
      <c r="R1706" s="9" t="b" cm="1">
        <f t="array" ref="R1706">INDEX(stable[is_skip_logic],MATCH(VALUE(questions[[#This Row],[qno]]),VALUE(stable[qno]),0))</f>
        <v>0</v>
      </c>
      <c r="S1706" s="9" t="str">
        <f>_xlfn.TEXTJOIN(", ",TRUE,questions[[#This Row],[ans_opt_1]:[ans_opt_14]])</f>
        <v/>
      </c>
      <c r="AH1706" s="16" t="b">
        <f>INDEX(stable[q_standard],MATCH(questions[[#This Row],[qno]],stable[qno],0))</f>
        <v>1</v>
      </c>
      <c r="AI1706" s="16" t="b">
        <f>INDEX(stable[q_living_income],MATCH(questions[[#This Row],[qno]],stable[qno],0))</f>
        <v>0</v>
      </c>
      <c r="AJ1706" s="16" t="b">
        <f>INDEX(stable[q_carbon],MATCH(questions[[#This Row],[qno]],stable[qno],0))</f>
        <v>0</v>
      </c>
      <c r="AK1706" s="16" t="b">
        <f>INDEX(stable[q_regen_ag],MATCH(questions[[#This Row],[qno]],stable[qno],0))</f>
        <v>0</v>
      </c>
      <c r="AL1706" s="16" t="b">
        <f>COUNTIFS(stable[qno],questions[[#This Row],[qno]])=1</f>
        <v>1</v>
      </c>
      <c r="AM1706" s="16" t="b">
        <f>OR(questions[[#This Row],[is_fixed]],questions[[#This Row],[is_localized]],questions[[#This Row],[is_supply_chain_dependent]])</f>
        <v>1</v>
      </c>
      <c r="AN1706" s="16" t="b">
        <f>COUNTIFS(questions[[#This Row],[is_automated]:[is_multi_select]],TRUE)=1</f>
        <v>0</v>
      </c>
      <c r="AO1706" s="16" t="b">
        <f>IF(questions[[#This Row],[is_fixed]],questions[[#This Row],[question]]=INDEX(stable[question],MATCH(questions[[#This Row],[qno]],stable[qno],0)),TRUE)</f>
        <v>1</v>
      </c>
      <c r="AP1706" s="16" t="str">
        <f>LEFT(questions[[#This Row],[question]],similarity_range)</f>
        <v>Audited area (acre)</v>
      </c>
      <c r="AQ1706" s="16" t="str">
        <f>LEFT(INDEX(stable[question],MATCH(questions[[#This Row],[qno]],stable[qno],0)),similarity_range)</f>
        <v>Audited area (acre)</v>
      </c>
      <c r="AR1706" s="16" t="b">
        <f>questions[[#This Row],[question_first_characters]]=questions[[#This Row],[stability_first_characters]]</f>
        <v>1</v>
      </c>
      <c r="AS1706" s="16" t="b">
        <f>IF(OR(questions[[#This Row],[is_single_select]],questions[[#This Row],[is_multi_select]]),NOT(ISBLANK(questions[[#This Row],[answer_opt_combined]])),TRUE)</f>
        <v>1</v>
      </c>
    </row>
    <row r="1707" spans="1:45" ht="15.75" customHeight="1" x14ac:dyDescent="0.25">
      <c r="A1707" s="9" t="str">
        <f>_xlfn.TEXTJOIN("_",TRUE,questions[[#This Row],[origin]:[qno]])</f>
        <v>Uganda_Robusta_2026_1216</v>
      </c>
      <c r="B1707" s="9" t="s">
        <v>511</v>
      </c>
      <c r="C1707" s="9" t="s">
        <v>674</v>
      </c>
      <c r="E1707" s="33">
        <v>2026</v>
      </c>
      <c r="F1707" s="24" t="s">
        <v>97</v>
      </c>
      <c r="G1707" s="15" t="s">
        <v>98</v>
      </c>
      <c r="H1707" s="9" t="str" cm="1">
        <f t="array" ref="H1707">INDEX(stableR[question],MATCH(VALUE(questions[[#This Row],[qno]]),VALUE(stableR[qno]),0))</f>
        <v>Coordinates</v>
      </c>
      <c r="I1707" s="9" t="b" cm="1">
        <f t="array" ref="I1707">INDEX(stable[is_fixed],MATCH(VALUE(questions[[#This Row],[qno]]),VALUE(stable[qno]),0))</f>
        <v>1</v>
      </c>
      <c r="J1707" s="9" t="b" cm="1">
        <f t="array" ref="J1707">INDEX(stable[is_localized],MATCH(VALUE(questions[[#This Row],[qno]]),VALUE(stable[qno]),0))</f>
        <v>0</v>
      </c>
      <c r="K1707" s="9" t="b" cm="1">
        <f t="array" ref="K1707">INDEX(stable[is_supply_chain_dependent],MATCH(VALUE(questions[[#This Row],[qno]]),VALUE(stable[qno]),0))</f>
        <v>0</v>
      </c>
      <c r="L1707" s="9" t="b" cm="1">
        <f t="array" ref="L1707">INDEX(stable[is_mandatory],MATCH(VALUE(questions[[#This Row],[qno]]),VALUE(stable[qno]),0))</f>
        <v>1</v>
      </c>
      <c r="M1707" s="9" t="b" cm="1">
        <f t="array" ref="M1707">INDEX(stable[is_automated],MATCH(VALUE(questions[[#This Row],[qno]]),VALUE(stable[qno]),0))</f>
        <v>1</v>
      </c>
      <c r="N1707" s="9" t="b" cm="1">
        <f t="array" ref="N1707">INDEX(stable[is_free_text],MATCH(VALUE(questions[[#This Row],[qno]]),VALUE(stable[qno]),0))</f>
        <v>0</v>
      </c>
      <c r="O1707" s="9" t="b" cm="1">
        <f t="array" ref="O1707">INDEX(stable[is_numerical],MATCH(VALUE(questions[[#This Row],[qno]]),VALUE(stable[qno]),0))</f>
        <v>0</v>
      </c>
      <c r="P1707" s="9" t="b" cm="1">
        <f t="array" ref="P1707">INDEX(stable[is_single_select],MATCH(VALUE(questions[[#This Row],[qno]]),VALUE(stable[qno]),0))</f>
        <v>0</v>
      </c>
      <c r="Q1707" s="9" t="b" cm="1">
        <f t="array" ref="Q1707">INDEX(stable[is_multi_select],MATCH(VALUE(questions[[#This Row],[qno]]),VALUE(stable[qno]),0))</f>
        <v>0</v>
      </c>
      <c r="R1707" s="9" t="b" cm="1">
        <f t="array" ref="R1707">INDEX(stable[is_skip_logic],MATCH(VALUE(questions[[#This Row],[qno]]),VALUE(stable[qno]),0))</f>
        <v>0</v>
      </c>
      <c r="S1707" s="9" t="str">
        <f>_xlfn.TEXTJOIN(", ",TRUE,questions[[#This Row],[ans_opt_1]:[ans_opt_14]])</f>
        <v/>
      </c>
      <c r="AH1707" s="16" t="b">
        <f>INDEX(stable[q_standard],MATCH(questions[[#This Row],[qno]],stable[qno],0))</f>
        <v>1</v>
      </c>
      <c r="AI1707" s="16" t="b">
        <f>INDEX(stable[q_living_income],MATCH(questions[[#This Row],[qno]],stable[qno],0))</f>
        <v>0</v>
      </c>
      <c r="AJ1707" s="16" t="b">
        <f>INDEX(stable[q_carbon],MATCH(questions[[#This Row],[qno]],stable[qno],0))</f>
        <v>0</v>
      </c>
      <c r="AK1707" s="16" t="b">
        <f>INDEX(stable[q_regen_ag],MATCH(questions[[#This Row],[qno]],stable[qno],0))</f>
        <v>0</v>
      </c>
      <c r="AL1707" s="16" t="b">
        <f>COUNTIFS(stable[qno],questions[[#This Row],[qno]])=1</f>
        <v>1</v>
      </c>
      <c r="AM1707" s="16" t="b">
        <f>OR(questions[[#This Row],[is_fixed]],questions[[#This Row],[is_localized]],questions[[#This Row],[is_supply_chain_dependent]])</f>
        <v>1</v>
      </c>
      <c r="AN1707" s="16" t="b">
        <f>COUNTIFS(questions[[#This Row],[is_automated]:[is_multi_select]],TRUE)=1</f>
        <v>1</v>
      </c>
      <c r="AO1707" s="16" t="b">
        <f>IF(questions[[#This Row],[is_fixed]],questions[[#This Row],[question]]=INDEX(stable[question],MATCH(questions[[#This Row],[qno]],stable[qno],0)),TRUE)</f>
        <v>1</v>
      </c>
      <c r="AP1707" s="16" t="str">
        <f>LEFT(questions[[#This Row],[question]],similarity_range)</f>
        <v>Coordinates</v>
      </c>
      <c r="AQ1707" s="16" t="str">
        <f>LEFT(INDEX(stable[question],MATCH(questions[[#This Row],[qno]],stable[qno],0)),similarity_range)</f>
        <v>Coordinates</v>
      </c>
      <c r="AR1707" s="16" t="b">
        <f>questions[[#This Row],[question_first_characters]]=questions[[#This Row],[stability_first_characters]]</f>
        <v>1</v>
      </c>
      <c r="AS1707" s="16" t="b">
        <f>IF(OR(questions[[#This Row],[is_single_select]],questions[[#This Row],[is_multi_select]]),NOT(ISBLANK(questions[[#This Row],[answer_opt_combined]])),TRUE)</f>
        <v>1</v>
      </c>
    </row>
    <row r="1708" spans="1:45" s="77" customFormat="1" ht="15.75" customHeight="1" x14ac:dyDescent="0.25">
      <c r="A1708" s="77" t="str">
        <f>_xlfn.TEXTJOIN("_",TRUE,questions[[#This Row],[origin]:[qno]])</f>
        <v>Uganda_Robusta_2026_2000</v>
      </c>
      <c r="B1708" s="77" t="s">
        <v>511</v>
      </c>
      <c r="C1708" s="77" t="s">
        <v>674</v>
      </c>
      <c r="E1708" s="77">
        <v>2026</v>
      </c>
      <c r="F1708" s="104" t="s">
        <v>99</v>
      </c>
      <c r="G1708" s="78" t="s">
        <v>100</v>
      </c>
      <c r="H1708" s="9" t="str" cm="1">
        <f t="array" ref="H1708">INDEX(stableR[question],MATCH(VALUE(questions[[#This Row],[qno]]),VALUE(stableR[qno]),0))</f>
        <v>Who was present and answering the questions for the interview?</v>
      </c>
      <c r="I1708" s="9" t="b" cm="1">
        <f t="array" ref="I1708">INDEX(stable[is_fixed],MATCH(VALUE(questions[[#This Row],[qno]]),VALUE(stable[qno]),0))</f>
        <v>1</v>
      </c>
      <c r="J1708" s="9" t="b" cm="1">
        <f t="array" ref="J1708">INDEX(stable[is_localized],MATCH(VALUE(questions[[#This Row],[qno]]),VALUE(stable[qno]),0))</f>
        <v>0</v>
      </c>
      <c r="K1708" s="9" t="b" cm="1">
        <f t="array" ref="K1708">INDEX(stable[is_supply_chain_dependent],MATCH(VALUE(questions[[#This Row],[qno]]),VALUE(stable[qno]),0))</f>
        <v>0</v>
      </c>
      <c r="L1708" s="9" t="b" cm="1">
        <f t="array" ref="L1708">INDEX(stable[is_mandatory],MATCH(VALUE(questions[[#This Row],[qno]]),VALUE(stable[qno]),0))</f>
        <v>1</v>
      </c>
      <c r="M1708" s="9" t="b" cm="1">
        <f t="array" ref="M1708">INDEX(stable[is_automated],MATCH(VALUE(questions[[#This Row],[qno]]),VALUE(stable[qno]),0))</f>
        <v>0</v>
      </c>
      <c r="N1708" s="9" t="b" cm="1">
        <f t="array" ref="N1708">INDEX(stable[is_free_text],MATCH(VALUE(questions[[#This Row],[qno]]),VALUE(stable[qno]),0))</f>
        <v>0</v>
      </c>
      <c r="O1708" s="9" t="b" cm="1">
        <f t="array" ref="O1708">INDEX(stable[is_numerical],MATCH(VALUE(questions[[#This Row],[qno]]),VALUE(stable[qno]),0))</f>
        <v>0</v>
      </c>
      <c r="P1708" s="77" t="b" cm="1">
        <f t="array" ref="P1708">INDEX(stable[is_single_select],MATCH(VALUE(questions[[#This Row],[qno]]),VALUE(stable[qno]),0))</f>
        <v>0</v>
      </c>
      <c r="Q1708" s="77" t="b" cm="1">
        <f t="array" ref="Q1708">INDEX(stable[is_multi_select],MATCH(VALUE(questions[[#This Row],[qno]]),VALUE(stable[qno]),0))</f>
        <v>1</v>
      </c>
      <c r="R1708" s="77" t="b" cm="1">
        <f t="array" ref="R1708">INDEX(stable[is_skip_logic],MATCH(VALUE(questions[[#This Row],[qno]]),VALUE(stable[qno]),0))</f>
        <v>0</v>
      </c>
      <c r="S1708" s="77" t="str">
        <f>_xlfn.TEXTJOIN(", ",TRUE,questions[[#This Row],[ans_opt_1]:[ans_opt_14]])</f>
        <v>Wife, Husband, Other important household member</v>
      </c>
      <c r="T1708" s="77" t="s">
        <v>101</v>
      </c>
      <c r="U1708" s="77" t="s">
        <v>102</v>
      </c>
      <c r="V1708" s="77" t="s">
        <v>103</v>
      </c>
      <c r="AH1708" s="98" t="b">
        <f>INDEX(stable[q_standard],MATCH(questions[[#This Row],[qno]],stable[qno],0))</f>
        <v>1</v>
      </c>
      <c r="AI1708" s="98" t="b">
        <f>INDEX(stable[q_living_income],MATCH(questions[[#This Row],[qno]],stable[qno],0))</f>
        <v>0</v>
      </c>
      <c r="AJ1708" s="98" t="b">
        <f>INDEX(stable[q_carbon],MATCH(questions[[#This Row],[qno]],stable[qno],0))</f>
        <v>0</v>
      </c>
      <c r="AK1708" s="98" t="b">
        <f>INDEX(stable[q_regen_ag],MATCH(questions[[#This Row],[qno]],stable[qno],0))</f>
        <v>0</v>
      </c>
      <c r="AL1708" s="98" t="b">
        <f>COUNTIFS(stable[qno],questions[[#This Row],[qno]])=1</f>
        <v>1</v>
      </c>
      <c r="AM1708" s="98" t="b">
        <f>OR(questions[[#This Row],[is_fixed]],questions[[#This Row],[is_localized]],questions[[#This Row],[is_supply_chain_dependent]])</f>
        <v>1</v>
      </c>
      <c r="AN1708" s="98" t="b">
        <f>COUNTIFS(questions[[#This Row],[is_automated]:[is_multi_select]],TRUE)=1</f>
        <v>1</v>
      </c>
      <c r="AO1708" s="98" t="b">
        <f>IF(questions[[#This Row],[is_fixed]],questions[[#This Row],[question]]=INDEX(stable[question],MATCH(questions[[#This Row],[qno]],stable[qno],0)),TRUE)</f>
        <v>1</v>
      </c>
      <c r="AP1708" s="98" t="str">
        <f>LEFT(questions[[#This Row],[question]],similarity_range)</f>
        <v xml:space="preserve">Who was present and </v>
      </c>
      <c r="AQ1708" s="98" t="str">
        <f>LEFT(INDEX(stable[question],MATCH(questions[[#This Row],[qno]],stable[qno],0)),similarity_range)</f>
        <v xml:space="preserve">Who was present and </v>
      </c>
      <c r="AR1708" s="98" t="b">
        <f>questions[[#This Row],[question_first_characters]]=questions[[#This Row],[stability_first_characters]]</f>
        <v>1</v>
      </c>
      <c r="AS1708" s="98" t="b">
        <f>IF(OR(questions[[#This Row],[is_single_select]],questions[[#This Row],[is_multi_select]]),NOT(ISBLANK(questions[[#This Row],[answer_opt_combined]])),TRUE)</f>
        <v>1</v>
      </c>
    </row>
    <row r="1709" spans="1:45" s="77" customFormat="1" ht="15.75" customHeight="1" x14ac:dyDescent="0.25">
      <c r="A1709" s="77" t="str">
        <f>_xlfn.TEXTJOIN("_",TRUE,questions[[#This Row],[origin]:[qno]])</f>
        <v>Uganda_Robusta_2026_2001</v>
      </c>
      <c r="B1709" s="77" t="s">
        <v>511</v>
      </c>
      <c r="C1709" s="77" t="s">
        <v>674</v>
      </c>
      <c r="E1709" s="77">
        <v>2026</v>
      </c>
      <c r="F1709" s="104" t="s">
        <v>104</v>
      </c>
      <c r="G1709" s="78" t="s">
        <v>105</v>
      </c>
      <c r="H1709" s="9" t="str" cm="1">
        <f t="array" ref="H1709">INDEX(stableR[question],MATCH(VALUE(questions[[#This Row],[qno]]),VALUE(stableR[qno]),0))</f>
        <v>What is the gender of the lead farmer in the household? (The person that is selling the coffee)</v>
      </c>
      <c r="I1709" s="9" t="b" cm="1">
        <f t="array" ref="I1709">INDEX(stable[is_fixed],MATCH(VALUE(questions[[#This Row],[qno]]),VALUE(stable[qno]),0))</f>
        <v>1</v>
      </c>
      <c r="J1709" s="9" t="b" cm="1">
        <f t="array" ref="J1709">INDEX(stable[is_localized],MATCH(VALUE(questions[[#This Row],[qno]]),VALUE(stable[qno]),0))</f>
        <v>0</v>
      </c>
      <c r="K1709" s="9" t="b" cm="1">
        <f t="array" ref="K1709">INDEX(stable[is_supply_chain_dependent],MATCH(VALUE(questions[[#This Row],[qno]]),VALUE(stable[qno]),0))</f>
        <v>0</v>
      </c>
      <c r="L1709" s="9" t="b" cm="1">
        <f t="array" ref="L1709">INDEX(stable[is_mandatory],MATCH(VALUE(questions[[#This Row],[qno]]),VALUE(stable[qno]),0))</f>
        <v>1</v>
      </c>
      <c r="M1709" s="9" t="b" cm="1">
        <f t="array" ref="M1709">INDEX(stable[is_automated],MATCH(VALUE(questions[[#This Row],[qno]]),VALUE(stable[qno]),0))</f>
        <v>0</v>
      </c>
      <c r="N1709" s="9" t="b" cm="1">
        <f t="array" ref="N1709">INDEX(stable[is_free_text],MATCH(VALUE(questions[[#This Row],[qno]]),VALUE(stable[qno]),0))</f>
        <v>0</v>
      </c>
      <c r="O1709" s="9" t="b" cm="1">
        <f t="array" ref="O1709">INDEX(stable[is_numerical],MATCH(VALUE(questions[[#This Row],[qno]]),VALUE(stable[qno]),0))</f>
        <v>0</v>
      </c>
      <c r="P1709" s="77" t="b" cm="1">
        <f t="array" ref="P1709">INDEX(stable[is_single_select],MATCH(VALUE(questions[[#This Row],[qno]]),VALUE(stable[qno]),0))</f>
        <v>1</v>
      </c>
      <c r="Q1709" s="77" t="b" cm="1">
        <f t="array" ref="Q1709">INDEX(stable[is_multi_select],MATCH(VALUE(questions[[#This Row],[qno]]),VALUE(stable[qno]),0))</f>
        <v>0</v>
      </c>
      <c r="R1709" s="77" t="b" cm="1">
        <f t="array" ref="R1709">INDEX(stable[is_skip_logic],MATCH(VALUE(questions[[#This Row],[qno]]),VALUE(stable[qno]),0))</f>
        <v>0</v>
      </c>
      <c r="S1709" s="77" t="str">
        <f>_xlfn.TEXTJOIN(", ",TRUE,questions[[#This Row],[ans_opt_1]:[ans_opt_14]])</f>
        <v>Female, Male</v>
      </c>
      <c r="T1709" s="77" t="s">
        <v>106</v>
      </c>
      <c r="U1709" s="77" t="s">
        <v>107</v>
      </c>
      <c r="AH1709" s="98" t="b">
        <f>INDEX(stable[q_standard],MATCH(questions[[#This Row],[qno]],stable[qno],0))</f>
        <v>1</v>
      </c>
      <c r="AI1709" s="98" t="b">
        <f>INDEX(stable[q_living_income],MATCH(questions[[#This Row],[qno]],stable[qno],0))</f>
        <v>0</v>
      </c>
      <c r="AJ1709" s="98" t="b">
        <f>INDEX(stable[q_carbon],MATCH(questions[[#This Row],[qno]],stable[qno],0))</f>
        <v>0</v>
      </c>
      <c r="AK1709" s="98" t="b">
        <f>INDEX(stable[q_regen_ag],MATCH(questions[[#This Row],[qno]],stable[qno],0))</f>
        <v>0</v>
      </c>
      <c r="AL1709" s="98" t="b">
        <f>COUNTIFS(stable[qno],questions[[#This Row],[qno]])=1</f>
        <v>1</v>
      </c>
      <c r="AM1709" s="98" t="b">
        <f>OR(questions[[#This Row],[is_fixed]],questions[[#This Row],[is_localized]],questions[[#This Row],[is_supply_chain_dependent]])</f>
        <v>1</v>
      </c>
      <c r="AN1709" s="98" t="b">
        <f>COUNTIFS(questions[[#This Row],[is_automated]:[is_multi_select]],TRUE)=1</f>
        <v>1</v>
      </c>
      <c r="AO1709" s="98" t="b">
        <f>IF(questions[[#This Row],[is_fixed]],questions[[#This Row],[question]]=INDEX(stable[question],MATCH(questions[[#This Row],[qno]],stable[qno],0)),TRUE)</f>
        <v>1</v>
      </c>
      <c r="AP1709" s="98" t="str">
        <f>LEFT(questions[[#This Row],[question]],similarity_range)</f>
        <v>What is the gender o</v>
      </c>
      <c r="AQ1709" s="98" t="str">
        <f>LEFT(INDEX(stable[question],MATCH(questions[[#This Row],[qno]],stable[qno],0)),similarity_range)</f>
        <v>What is the gender o</v>
      </c>
      <c r="AR1709" s="98" t="b">
        <f>questions[[#This Row],[question_first_characters]]=questions[[#This Row],[stability_first_characters]]</f>
        <v>1</v>
      </c>
      <c r="AS1709" s="98" t="b">
        <f>IF(OR(questions[[#This Row],[is_single_select]],questions[[#This Row],[is_multi_select]]),NOT(ISBLANK(questions[[#This Row],[answer_opt_combined]])),TRUE)</f>
        <v>1</v>
      </c>
    </row>
    <row r="1710" spans="1:45" s="77" customFormat="1" ht="15.75" customHeight="1" x14ac:dyDescent="0.25">
      <c r="A1710" s="77" t="str">
        <f>_xlfn.TEXTJOIN("_",TRUE,questions[[#This Row],[origin]:[qno]])</f>
        <v>Uganda_Robusta_2026_2002</v>
      </c>
      <c r="B1710" s="77" t="s">
        <v>511</v>
      </c>
      <c r="C1710" s="77" t="s">
        <v>674</v>
      </c>
      <c r="E1710" s="77">
        <v>2026</v>
      </c>
      <c r="F1710" s="104" t="s">
        <v>108</v>
      </c>
      <c r="G1710" s="78" t="s">
        <v>109</v>
      </c>
      <c r="H1710" s="9" t="str" cm="1">
        <f t="array" ref="H1710">INDEX(stableR[question],MATCH(VALUE(questions[[#This Row],[qno]]),VALUE(stableR[qno]),0))</f>
        <v>What type of household is this?</v>
      </c>
      <c r="I1710" s="9" t="b" cm="1">
        <f t="array" ref="I1710">INDEX(stable[is_fixed],MATCH(VALUE(questions[[#This Row],[qno]]),VALUE(stable[qno]),0))</f>
        <v>1</v>
      </c>
      <c r="J1710" s="9" t="b" cm="1">
        <f t="array" ref="J1710">INDEX(stable[is_localized],MATCH(VALUE(questions[[#This Row],[qno]]),VALUE(stable[qno]),0))</f>
        <v>0</v>
      </c>
      <c r="K1710" s="9" t="b" cm="1">
        <f t="array" ref="K1710">INDEX(stable[is_supply_chain_dependent],MATCH(VALUE(questions[[#This Row],[qno]]),VALUE(stable[qno]),0))</f>
        <v>0</v>
      </c>
      <c r="L1710" s="9" t="b" cm="1">
        <f t="array" ref="L1710">INDEX(stable[is_mandatory],MATCH(VALUE(questions[[#This Row],[qno]]),VALUE(stable[qno]),0))</f>
        <v>1</v>
      </c>
      <c r="M1710" s="9" t="b" cm="1">
        <f t="array" ref="M1710">INDEX(stable[is_automated],MATCH(VALUE(questions[[#This Row],[qno]]),VALUE(stable[qno]),0))</f>
        <v>0</v>
      </c>
      <c r="N1710" s="9" t="b" cm="1">
        <f t="array" ref="N1710">INDEX(stable[is_free_text],MATCH(VALUE(questions[[#This Row],[qno]]),VALUE(stable[qno]),0))</f>
        <v>0</v>
      </c>
      <c r="O1710" s="9" t="b" cm="1">
        <f t="array" ref="O1710">INDEX(stable[is_numerical],MATCH(VALUE(questions[[#This Row],[qno]]),VALUE(stable[qno]),0))</f>
        <v>0</v>
      </c>
      <c r="P1710" s="77" t="b" cm="1">
        <f t="array" ref="P1710">INDEX(stable[is_single_select],MATCH(VALUE(questions[[#This Row],[qno]]),VALUE(stable[qno]),0))</f>
        <v>1</v>
      </c>
      <c r="Q1710" s="77" t="b" cm="1">
        <f t="array" ref="Q1710">INDEX(stable[is_multi_select],MATCH(VALUE(questions[[#This Row],[qno]]),VALUE(stable[qno]),0))</f>
        <v>0</v>
      </c>
      <c r="R1710" s="77" t="b" cm="1">
        <f t="array" ref="R1710">INDEX(stable[is_skip_logic],MATCH(VALUE(questions[[#This Row],[qno]]),VALUE(stable[qno]),0))</f>
        <v>0</v>
      </c>
      <c r="S1710" s="77" t="str">
        <f>_xlfn.TEXTJOIN(", ",TRUE,questions[[#This Row],[ans_opt_1]:[ans_opt_14]])</f>
        <v>Male headed, Female headed, Other</v>
      </c>
      <c r="T1710" s="77" t="s">
        <v>110</v>
      </c>
      <c r="U1710" s="77" t="s">
        <v>111</v>
      </c>
      <c r="V1710" s="77" t="s">
        <v>112</v>
      </c>
      <c r="AH1710" s="98" t="b">
        <f>INDEX(stable[q_standard],MATCH(questions[[#This Row],[qno]],stable[qno],0))</f>
        <v>1</v>
      </c>
      <c r="AI1710" s="98" t="b">
        <f>INDEX(stable[q_living_income],MATCH(questions[[#This Row],[qno]],stable[qno],0))</f>
        <v>0</v>
      </c>
      <c r="AJ1710" s="98" t="b">
        <f>INDEX(stable[q_carbon],MATCH(questions[[#This Row],[qno]],stable[qno],0))</f>
        <v>0</v>
      </c>
      <c r="AK1710" s="98" t="b">
        <f>INDEX(stable[q_regen_ag],MATCH(questions[[#This Row],[qno]],stable[qno],0))</f>
        <v>0</v>
      </c>
      <c r="AL1710" s="98" t="b">
        <f>COUNTIFS(stable[qno],questions[[#This Row],[qno]])=1</f>
        <v>1</v>
      </c>
      <c r="AM1710" s="98" t="b">
        <f>OR(questions[[#This Row],[is_fixed]],questions[[#This Row],[is_localized]],questions[[#This Row],[is_supply_chain_dependent]])</f>
        <v>1</v>
      </c>
      <c r="AN1710" s="98" t="b">
        <f>COUNTIFS(questions[[#This Row],[is_automated]:[is_multi_select]],TRUE)=1</f>
        <v>1</v>
      </c>
      <c r="AO1710" s="98" t="b">
        <f>IF(questions[[#This Row],[is_fixed]],questions[[#This Row],[question]]=INDEX(stable[question],MATCH(questions[[#This Row],[qno]],stable[qno],0)),TRUE)</f>
        <v>1</v>
      </c>
      <c r="AP1710" s="98" t="str">
        <f>LEFT(questions[[#This Row],[question]],similarity_range)</f>
        <v>What type of househo</v>
      </c>
      <c r="AQ1710" s="98" t="str">
        <f>LEFT(INDEX(stable[question],MATCH(questions[[#This Row],[qno]],stable[qno],0)),similarity_range)</f>
        <v>What type of househo</v>
      </c>
      <c r="AR1710" s="98" t="b">
        <f>questions[[#This Row],[question_first_characters]]=questions[[#This Row],[stability_first_characters]]</f>
        <v>1</v>
      </c>
      <c r="AS1710" s="98" t="b">
        <f>IF(OR(questions[[#This Row],[is_single_select]],questions[[#This Row],[is_multi_select]]),NOT(ISBLANK(questions[[#This Row],[answer_opt_combined]])),TRUE)</f>
        <v>1</v>
      </c>
    </row>
    <row r="1711" spans="1:45" ht="15.75" customHeight="1" x14ac:dyDescent="0.25">
      <c r="A1711" s="9" t="str">
        <f>_xlfn.TEXTJOIN("_",TRUE,questions[[#This Row],[origin]:[qno]])</f>
        <v>Uganda_Robusta_2026_2003</v>
      </c>
      <c r="B1711" s="9" t="s">
        <v>511</v>
      </c>
      <c r="C1711" s="9" t="s">
        <v>674</v>
      </c>
      <c r="E1711" s="33">
        <v>2026</v>
      </c>
      <c r="F1711" s="24" t="s">
        <v>113</v>
      </c>
      <c r="G1711" s="15" t="s">
        <v>865</v>
      </c>
      <c r="H1711" s="9" t="str" cm="1">
        <f t="array" ref="H1711">INDEX(stableR[question],MATCH(VALUE(questions[[#This Row],[qno]]),VALUE(stableR[qno]),0))</f>
        <v>How many adults live in your household, that are above 18 years (including the respondent)? (Household members are those that stay more than three months per year within the same household and that 'eat from the same pot'.)</v>
      </c>
      <c r="I1711" s="9" t="b" cm="1">
        <f t="array" ref="I1711">INDEX(stable[is_fixed],MATCH(VALUE(questions[[#This Row],[qno]]),VALUE(stable[qno]),0))</f>
        <v>1</v>
      </c>
      <c r="J1711" s="9" t="b" cm="1">
        <f t="array" ref="J1711">INDEX(stable[is_localized],MATCH(VALUE(questions[[#This Row],[qno]]),VALUE(stable[qno]),0))</f>
        <v>0</v>
      </c>
      <c r="K1711" s="9" t="b" cm="1">
        <f t="array" ref="K1711">INDEX(stable[is_supply_chain_dependent],MATCH(VALUE(questions[[#This Row],[qno]]),VALUE(stable[qno]),0))</f>
        <v>0</v>
      </c>
      <c r="L1711" s="9" t="b" cm="1">
        <f t="array" ref="L1711">INDEX(stable[is_mandatory],MATCH(VALUE(questions[[#This Row],[qno]]),VALUE(stable[qno]),0))</f>
        <v>1</v>
      </c>
      <c r="M1711" s="9" t="b" cm="1">
        <f t="array" ref="M1711">INDEX(stable[is_automated],MATCH(VALUE(questions[[#This Row],[qno]]),VALUE(stable[qno]),0))</f>
        <v>0</v>
      </c>
      <c r="N1711" s="9" t="b" cm="1">
        <f t="array" ref="N1711">INDEX(stable[is_free_text],MATCH(VALUE(questions[[#This Row],[qno]]),VALUE(stable[qno]),0))</f>
        <v>0</v>
      </c>
      <c r="O1711" s="9" t="b" cm="1">
        <f t="array" ref="O1711">INDEX(stable[is_numerical],MATCH(VALUE(questions[[#This Row],[qno]]),VALUE(stable[qno]),0))</f>
        <v>1</v>
      </c>
      <c r="P1711" s="9" t="b" cm="1">
        <f t="array" ref="P1711">INDEX(stable[is_single_select],MATCH(VALUE(questions[[#This Row],[qno]]),VALUE(stable[qno]),0))</f>
        <v>0</v>
      </c>
      <c r="Q1711" s="9" t="b" cm="1">
        <f t="array" ref="Q1711">INDEX(stable[is_multi_select],MATCH(VALUE(questions[[#This Row],[qno]]),VALUE(stable[qno]),0))</f>
        <v>0</v>
      </c>
      <c r="R1711" s="9" t="b" cm="1">
        <f t="array" ref="R1711">INDEX(stable[is_skip_logic],MATCH(VALUE(questions[[#This Row],[qno]]),VALUE(stable[qno]),0))</f>
        <v>0</v>
      </c>
      <c r="S1711" s="9" t="str">
        <f>_xlfn.TEXTJOIN(", ",TRUE,questions[[#This Row],[ans_opt_1]:[ans_opt_14]])</f>
        <v/>
      </c>
      <c r="AH1711" s="16" t="b">
        <f>INDEX(stable[q_standard],MATCH(questions[[#This Row],[qno]],stable[qno],0))</f>
        <v>1</v>
      </c>
      <c r="AI1711" s="16" t="b">
        <f>INDEX(stable[q_living_income],MATCH(questions[[#This Row],[qno]],stable[qno],0))</f>
        <v>0</v>
      </c>
      <c r="AJ1711" s="16" t="b">
        <f>INDEX(stable[q_carbon],MATCH(questions[[#This Row],[qno]],stable[qno],0))</f>
        <v>0</v>
      </c>
      <c r="AK1711" s="16" t="b">
        <f>INDEX(stable[q_regen_ag],MATCH(questions[[#This Row],[qno]],stable[qno],0))</f>
        <v>0</v>
      </c>
      <c r="AL1711" s="16" t="b">
        <f>COUNTIFS(stable[qno],questions[[#This Row],[qno]])=1</f>
        <v>1</v>
      </c>
      <c r="AM1711" s="16" t="b">
        <f>OR(questions[[#This Row],[is_fixed]],questions[[#This Row],[is_localized]],questions[[#This Row],[is_supply_chain_dependent]])</f>
        <v>1</v>
      </c>
      <c r="AN1711" s="16" t="b">
        <f>COUNTIFS(questions[[#This Row],[is_automated]:[is_multi_select]],TRUE)=1</f>
        <v>1</v>
      </c>
      <c r="AO1711" s="16" t="b">
        <f>IF(questions[[#This Row],[is_fixed]],questions[[#This Row],[question]]=INDEX(stable[question],MATCH(questions[[#This Row],[qno]],stable[qno],0)),TRUE)</f>
        <v>0</v>
      </c>
      <c r="AP1711" s="16" t="str">
        <f>LEFT(questions[[#This Row],[question]],similarity_range)</f>
        <v>How many adults live</v>
      </c>
      <c r="AQ1711" s="16" t="str">
        <f>LEFT(INDEX(stable[question],MATCH(questions[[#This Row],[qno]],stable[qno],0)),similarity_range)</f>
        <v>How many adults live</v>
      </c>
      <c r="AR1711" s="16" t="b">
        <f>questions[[#This Row],[question_first_characters]]=questions[[#This Row],[stability_first_characters]]</f>
        <v>1</v>
      </c>
      <c r="AS1711" s="16" t="b">
        <f>IF(OR(questions[[#This Row],[is_single_select]],questions[[#This Row],[is_multi_select]]),NOT(ISBLANK(questions[[#This Row],[answer_opt_combined]])),TRUE)</f>
        <v>1</v>
      </c>
    </row>
    <row r="1712" spans="1:45" ht="15.75" customHeight="1" x14ac:dyDescent="0.25">
      <c r="A1712" s="9" t="str">
        <f>_xlfn.TEXTJOIN("_",TRUE,questions[[#This Row],[origin]:[qno]])</f>
        <v>Uganda_Robusta_2026_2004</v>
      </c>
      <c r="B1712" s="9" t="s">
        <v>511</v>
      </c>
      <c r="C1712" s="9" t="s">
        <v>674</v>
      </c>
      <c r="E1712" s="33">
        <v>2026</v>
      </c>
      <c r="F1712" s="24" t="s">
        <v>115</v>
      </c>
      <c r="G1712" s="15" t="s">
        <v>116</v>
      </c>
      <c r="H1712" s="9" t="str" cm="1">
        <f t="array" ref="H1712">INDEX(stableR[question],MATCH(VALUE(questions[[#This Row],[qno]]),VALUE(stableR[qno]),0))</f>
        <v>How many children living in your household, are below 18 years? (Household members are those that stay more than three months per year within the same household and that 'eat from the same pot.')</v>
      </c>
      <c r="I1712" s="9" t="b" cm="1">
        <f t="array" ref="I1712">INDEX(stable[is_fixed],MATCH(VALUE(questions[[#This Row],[qno]]),VALUE(stable[qno]),0))</f>
        <v>1</v>
      </c>
      <c r="J1712" s="9" t="b" cm="1">
        <f t="array" ref="J1712">INDEX(stable[is_localized],MATCH(VALUE(questions[[#This Row],[qno]]),VALUE(stable[qno]),0))</f>
        <v>0</v>
      </c>
      <c r="K1712" s="9" t="b" cm="1">
        <f t="array" ref="K1712">INDEX(stable[is_supply_chain_dependent],MATCH(VALUE(questions[[#This Row],[qno]]),VALUE(stable[qno]),0))</f>
        <v>0</v>
      </c>
      <c r="L1712" s="9" t="b" cm="1">
        <f t="array" ref="L1712">INDEX(stable[is_mandatory],MATCH(VALUE(questions[[#This Row],[qno]]),VALUE(stable[qno]),0))</f>
        <v>1</v>
      </c>
      <c r="M1712" s="9" t="b" cm="1">
        <f t="array" ref="M1712">INDEX(stable[is_automated],MATCH(VALUE(questions[[#This Row],[qno]]),VALUE(stable[qno]),0))</f>
        <v>0</v>
      </c>
      <c r="N1712" s="9" t="b" cm="1">
        <f t="array" ref="N1712">INDEX(stable[is_free_text],MATCH(VALUE(questions[[#This Row],[qno]]),VALUE(stable[qno]),0))</f>
        <v>0</v>
      </c>
      <c r="O1712" s="9" t="b" cm="1">
        <f t="array" ref="O1712">INDEX(stable[is_numerical],MATCH(VALUE(questions[[#This Row],[qno]]),VALUE(stable[qno]),0))</f>
        <v>1</v>
      </c>
      <c r="P1712" s="9" t="b" cm="1">
        <f t="array" ref="P1712">INDEX(stable[is_single_select],MATCH(VALUE(questions[[#This Row],[qno]]),VALUE(stable[qno]),0))</f>
        <v>0</v>
      </c>
      <c r="Q1712" s="9" t="b" cm="1">
        <f t="array" ref="Q1712">INDEX(stable[is_multi_select],MATCH(VALUE(questions[[#This Row],[qno]]),VALUE(stable[qno]),0))</f>
        <v>0</v>
      </c>
      <c r="R1712" s="9" t="b" cm="1">
        <f t="array" ref="R1712">INDEX(stable[is_skip_logic],MATCH(VALUE(questions[[#This Row],[qno]]),VALUE(stable[qno]),0))</f>
        <v>0</v>
      </c>
      <c r="S1712" s="9" t="str">
        <f>_xlfn.TEXTJOIN(", ",TRUE,questions[[#This Row],[ans_opt_1]:[ans_opt_14]])</f>
        <v/>
      </c>
      <c r="AH1712" s="16" t="b">
        <f>INDEX(stable[q_standard],MATCH(questions[[#This Row],[qno]],stable[qno],0))</f>
        <v>1</v>
      </c>
      <c r="AI1712" s="16" t="b">
        <f>INDEX(stable[q_living_income],MATCH(questions[[#This Row],[qno]],stable[qno],0))</f>
        <v>0</v>
      </c>
      <c r="AJ1712" s="16" t="b">
        <f>INDEX(stable[q_carbon],MATCH(questions[[#This Row],[qno]],stable[qno],0))</f>
        <v>0</v>
      </c>
      <c r="AK1712" s="16" t="b">
        <f>INDEX(stable[q_regen_ag],MATCH(questions[[#This Row],[qno]],stable[qno],0))</f>
        <v>0</v>
      </c>
      <c r="AL1712" s="16" t="b">
        <f>COUNTIFS(stable[qno],questions[[#This Row],[qno]])=1</f>
        <v>1</v>
      </c>
      <c r="AM1712" s="16" t="b">
        <f>OR(questions[[#This Row],[is_fixed]],questions[[#This Row],[is_localized]],questions[[#This Row],[is_supply_chain_dependent]])</f>
        <v>1</v>
      </c>
      <c r="AN1712" s="16" t="b">
        <f>COUNTIFS(questions[[#This Row],[is_automated]:[is_multi_select]],TRUE)=1</f>
        <v>1</v>
      </c>
      <c r="AO1712" s="16" t="b">
        <f>IF(questions[[#This Row],[is_fixed]],questions[[#This Row],[question]]=INDEX(stable[question],MATCH(questions[[#This Row],[qno]],stable[qno],0)),TRUE)</f>
        <v>1</v>
      </c>
      <c r="AP1712" s="16" t="str">
        <f>LEFT(questions[[#This Row],[question]],similarity_range)</f>
        <v>How many children li</v>
      </c>
      <c r="AQ1712" s="16" t="str">
        <f>LEFT(INDEX(stable[question],MATCH(questions[[#This Row],[qno]],stable[qno],0)),similarity_range)</f>
        <v>How many children li</v>
      </c>
      <c r="AR1712" s="16" t="b">
        <f>questions[[#This Row],[question_first_characters]]=questions[[#This Row],[stability_first_characters]]</f>
        <v>1</v>
      </c>
      <c r="AS1712" s="16" t="b">
        <f>IF(OR(questions[[#This Row],[is_single_select]],questions[[#This Row],[is_multi_select]]),NOT(ISBLANK(questions[[#This Row],[answer_opt_combined]])),TRUE)</f>
        <v>1</v>
      </c>
    </row>
    <row r="1713" spans="1:45" s="77" customFormat="1" ht="15.75" customHeight="1" x14ac:dyDescent="0.25">
      <c r="A1713" s="77" t="str">
        <f>_xlfn.TEXTJOIN("_",TRUE,questions[[#This Row],[origin]:[qno]])</f>
        <v>Uganda_Robusta_2026_2100</v>
      </c>
      <c r="B1713" s="77" t="s">
        <v>511</v>
      </c>
      <c r="C1713" s="77" t="s">
        <v>674</v>
      </c>
      <c r="E1713" s="77">
        <v>2026</v>
      </c>
      <c r="F1713" s="104" t="s">
        <v>117</v>
      </c>
      <c r="G1713" s="78" t="s">
        <v>118</v>
      </c>
      <c r="H1713" s="9" t="str" cm="1">
        <f t="array" ref="H1713">INDEX(stableR[question],MATCH(VALUE(questions[[#This Row],[qno]]),VALUE(stableR[qno]),0))</f>
        <v>If your farm is certified, under which certification scheme(s) is it certified?</v>
      </c>
      <c r="I1713" s="9" t="b" cm="1">
        <f t="array" ref="I1713">INDEX(stable[is_fixed],MATCH(VALUE(questions[[#This Row],[qno]]),VALUE(stable[qno]),0))</f>
        <v>1</v>
      </c>
      <c r="J1713" s="9" t="b" cm="1">
        <f t="array" ref="J1713">INDEX(stable[is_localized],MATCH(VALUE(questions[[#This Row],[qno]]),VALUE(stable[qno]),0))</f>
        <v>0</v>
      </c>
      <c r="K1713" s="9" t="b" cm="1">
        <f t="array" ref="K1713">INDEX(stable[is_supply_chain_dependent],MATCH(VALUE(questions[[#This Row],[qno]]),VALUE(stable[qno]),0))</f>
        <v>0</v>
      </c>
      <c r="L1713" s="9" t="b" cm="1">
        <f t="array" ref="L1713">INDEX(stable[is_mandatory],MATCH(VALUE(questions[[#This Row],[qno]]),VALUE(stable[qno]),0))</f>
        <v>1</v>
      </c>
      <c r="M1713" s="9" t="b" cm="1">
        <f t="array" ref="M1713">INDEX(stable[is_automated],MATCH(VALUE(questions[[#This Row],[qno]]),VALUE(stable[qno]),0))</f>
        <v>0</v>
      </c>
      <c r="N1713" s="9" t="b" cm="1">
        <f t="array" ref="N1713">INDEX(stable[is_free_text],MATCH(VALUE(questions[[#This Row],[qno]]),VALUE(stable[qno]),0))</f>
        <v>0</v>
      </c>
      <c r="O1713" s="9" t="b" cm="1">
        <f t="array" ref="O1713">INDEX(stable[is_numerical],MATCH(VALUE(questions[[#This Row],[qno]]),VALUE(stable[qno]),0))</f>
        <v>0</v>
      </c>
      <c r="P1713" s="77" t="b" cm="1">
        <f t="array" ref="P1713">INDEX(stable[is_single_select],MATCH(VALUE(questions[[#This Row],[qno]]),VALUE(stable[qno]),0))</f>
        <v>0</v>
      </c>
      <c r="Q1713" s="77" t="b" cm="1">
        <f t="array" ref="Q1713">INDEX(stable[is_multi_select],MATCH(VALUE(questions[[#This Row],[qno]]),VALUE(stable[qno]),0))</f>
        <v>1</v>
      </c>
      <c r="R1713" s="77" t="b" cm="1">
        <f t="array" ref="R1713">INDEX(stable[is_skip_logic],MATCH(VALUE(questions[[#This Row],[qno]]),VALUE(stable[qno]),0))</f>
        <v>1</v>
      </c>
      <c r="S1713" s="77" t="str">
        <f>_xlfn.TEXTJOIN(", ",TRUE,questions[[#This Row],[ans_opt_1]:[ans_opt_14]])</f>
        <v>No, Rainforest alliance, IMPACT, 4C, Fair trade, Organic, CAFÉ practices, RegenAgri, Nespresso AAA, Other</v>
      </c>
      <c r="T1713" s="77" t="s">
        <v>119</v>
      </c>
      <c r="U1713" s="77" t="s">
        <v>721</v>
      </c>
      <c r="V1713" s="77" t="s">
        <v>120</v>
      </c>
      <c r="W1713" s="77" t="s">
        <v>121</v>
      </c>
      <c r="X1713" s="77" t="s">
        <v>722</v>
      </c>
      <c r="Y1713" s="77" t="s">
        <v>124</v>
      </c>
      <c r="Z1713" s="77" t="s">
        <v>125</v>
      </c>
      <c r="AA1713" s="77" t="s">
        <v>126</v>
      </c>
      <c r="AB1713" s="77" t="s">
        <v>866</v>
      </c>
      <c r="AC1713" s="77" t="s">
        <v>112</v>
      </c>
      <c r="AH1713" s="98" t="b">
        <f>INDEX(stable[q_standard],MATCH(questions[[#This Row],[qno]],stable[qno],0))</f>
        <v>0</v>
      </c>
      <c r="AI1713" s="98" t="b">
        <f>INDEX(stable[q_living_income],MATCH(questions[[#This Row],[qno]],stable[qno],0))</f>
        <v>0</v>
      </c>
      <c r="AJ1713" s="98" t="b">
        <f>INDEX(stable[q_carbon],MATCH(questions[[#This Row],[qno]],stable[qno],0))</f>
        <v>0</v>
      </c>
      <c r="AK1713" s="98" t="b">
        <f>INDEX(stable[q_regen_ag],MATCH(questions[[#This Row],[qno]],stable[qno],0))</f>
        <v>1</v>
      </c>
      <c r="AL1713" s="98" t="b">
        <f>COUNTIFS(stable[qno],questions[[#This Row],[qno]])=1</f>
        <v>1</v>
      </c>
      <c r="AM1713" s="98" t="b">
        <f>OR(questions[[#This Row],[is_fixed]],questions[[#This Row],[is_localized]],questions[[#This Row],[is_supply_chain_dependent]])</f>
        <v>1</v>
      </c>
      <c r="AN1713" s="98" t="b">
        <f>COUNTIFS(questions[[#This Row],[is_automated]:[is_multi_select]],TRUE)=1</f>
        <v>1</v>
      </c>
      <c r="AO1713" s="98" t="b">
        <f>IF(questions[[#This Row],[is_fixed]],questions[[#This Row],[question]]=INDEX(stable[question],MATCH(questions[[#This Row],[qno]],stable[qno],0)),TRUE)</f>
        <v>1</v>
      </c>
      <c r="AP1713" s="98" t="str">
        <f>LEFT(questions[[#This Row],[question]],similarity_range)</f>
        <v>Is your farm certifi</v>
      </c>
      <c r="AQ1713" s="98" t="str">
        <f>LEFT(INDEX(stable[question],MATCH(questions[[#This Row],[qno]],stable[qno],0)),similarity_range)</f>
        <v>Is your farm certifi</v>
      </c>
      <c r="AR1713" s="98" t="b">
        <f>questions[[#This Row],[question_first_characters]]=questions[[#This Row],[stability_first_characters]]</f>
        <v>1</v>
      </c>
      <c r="AS1713" s="98" t="b">
        <f>IF(OR(questions[[#This Row],[is_single_select]],questions[[#This Row],[is_multi_select]]),NOT(ISBLANK(questions[[#This Row],[answer_opt_combined]])),TRUE)</f>
        <v>1</v>
      </c>
    </row>
    <row r="1714" spans="1:45" s="77" customFormat="1" ht="15.75" customHeight="1" x14ac:dyDescent="0.25">
      <c r="A1714" s="77" t="str">
        <f>_xlfn.TEXTJOIN("_",TRUE,questions[[#This Row],[origin]:[qno]])</f>
        <v>Uganda_Robusta_2026_2101</v>
      </c>
      <c r="B1714" s="77" t="s">
        <v>511</v>
      </c>
      <c r="C1714" s="77" t="s">
        <v>674</v>
      </c>
      <c r="E1714" s="77">
        <v>2026</v>
      </c>
      <c r="F1714" s="104" t="s">
        <v>127</v>
      </c>
      <c r="G1714" s="78" t="s">
        <v>128</v>
      </c>
      <c r="H1714" s="9" t="str" cm="1">
        <f t="array" ref="H1714">INDEX(stableR[question],MATCH(VALUE(questions[[#This Row],[qno]]),VALUE(stableR[qno]),0))</f>
        <v>If yes, since when have you been certified? (In case you are part of multiple certification schemes, consider the one that you are in longest.)</v>
      </c>
      <c r="I1714" s="9" t="b" cm="1">
        <f t="array" ref="I1714">INDEX(stable[is_fixed],MATCH(VALUE(questions[[#This Row],[qno]]),VALUE(stable[qno]),0))</f>
        <v>1</v>
      </c>
      <c r="J1714" s="9" t="b" cm="1">
        <f t="array" ref="J1714">INDEX(stable[is_localized],MATCH(VALUE(questions[[#This Row],[qno]]),VALUE(stable[qno]),0))</f>
        <v>0</v>
      </c>
      <c r="K1714" s="9" t="b" cm="1">
        <f t="array" ref="K1714">INDEX(stable[is_supply_chain_dependent],MATCH(VALUE(questions[[#This Row],[qno]]),VALUE(stable[qno]),0))</f>
        <v>0</v>
      </c>
      <c r="L1714" s="9" t="b" cm="1">
        <f t="array" ref="L1714">INDEX(stable[is_mandatory],MATCH(VALUE(questions[[#This Row],[qno]]),VALUE(stable[qno]),0))</f>
        <v>0</v>
      </c>
      <c r="M1714" s="9" t="b" cm="1">
        <f t="array" ref="M1714">INDEX(stable[is_automated],MATCH(VALUE(questions[[#This Row],[qno]]),VALUE(stable[qno]),0))</f>
        <v>0</v>
      </c>
      <c r="N1714" s="9" t="b" cm="1">
        <f t="array" ref="N1714">INDEX(stable[is_free_text],MATCH(VALUE(questions[[#This Row],[qno]]),VALUE(stable[qno]),0))</f>
        <v>0</v>
      </c>
      <c r="O1714" s="9" t="b" cm="1">
        <f t="array" ref="O1714">INDEX(stable[is_numerical],MATCH(VALUE(questions[[#This Row],[qno]]),VALUE(stable[qno]),0))</f>
        <v>0</v>
      </c>
      <c r="P1714" s="77" t="b" cm="1">
        <f t="array" ref="P1714">INDEX(stable[is_single_select],MATCH(VALUE(questions[[#This Row],[qno]]),VALUE(stable[qno]),0))</f>
        <v>1</v>
      </c>
      <c r="Q1714" s="77" t="b" cm="1">
        <f t="array" ref="Q1714">INDEX(stable[is_multi_select],MATCH(VALUE(questions[[#This Row],[qno]]),VALUE(stable[qno]),0))</f>
        <v>0</v>
      </c>
      <c r="R1714" s="77" t="b" cm="1">
        <f t="array" ref="R1714">INDEX(stable[is_skip_logic],MATCH(VALUE(questions[[#This Row],[qno]]),VALUE(stable[qno]),0))</f>
        <v>1</v>
      </c>
      <c r="S1714" s="77" t="str">
        <f>_xlfn.TEXTJOIN(", ",TRUE,questions[[#This Row],[ans_opt_1]:[ans_opt_14]])</f>
        <v>1-2 years, 3-4 years, &gt;=5 years</v>
      </c>
      <c r="T1714" s="77" t="s">
        <v>129</v>
      </c>
      <c r="U1714" s="77" t="s">
        <v>130</v>
      </c>
      <c r="V1714" s="77" t="s">
        <v>131</v>
      </c>
      <c r="AH1714" s="98" t="b">
        <f>INDEX(stable[q_standard],MATCH(questions[[#This Row],[qno]],stable[qno],0))</f>
        <v>0</v>
      </c>
      <c r="AI1714" s="98" t="b">
        <f>INDEX(stable[q_living_income],MATCH(questions[[#This Row],[qno]],stable[qno],0))</f>
        <v>0</v>
      </c>
      <c r="AJ1714" s="98" t="b">
        <f>INDEX(stable[q_carbon],MATCH(questions[[#This Row],[qno]],stable[qno],0))</f>
        <v>0</v>
      </c>
      <c r="AK1714" s="98" t="b">
        <f>INDEX(stable[q_regen_ag],MATCH(questions[[#This Row],[qno]],stable[qno],0))</f>
        <v>1</v>
      </c>
      <c r="AL1714" s="98" t="b">
        <f>COUNTIFS(stable[qno],questions[[#This Row],[qno]])=1</f>
        <v>1</v>
      </c>
      <c r="AM1714" s="98" t="b">
        <f>OR(questions[[#This Row],[is_fixed]],questions[[#This Row],[is_localized]],questions[[#This Row],[is_supply_chain_dependent]])</f>
        <v>1</v>
      </c>
      <c r="AN1714" s="98" t="b">
        <f>COUNTIFS(questions[[#This Row],[is_automated]:[is_multi_select]],TRUE)=1</f>
        <v>1</v>
      </c>
      <c r="AO1714" s="98" t="b">
        <f>IF(questions[[#This Row],[is_fixed]],questions[[#This Row],[question]]=INDEX(stable[question],MATCH(questions[[#This Row],[qno]],stable[qno],0)),TRUE)</f>
        <v>0</v>
      </c>
      <c r="AP1714" s="98" t="str">
        <f>LEFT(questions[[#This Row],[question]],similarity_range)</f>
        <v>If yes, since when h</v>
      </c>
      <c r="AQ1714" s="98" t="str">
        <f>LEFT(INDEX(stable[question],MATCH(questions[[#This Row],[qno]],stable[qno],0)),similarity_range)</f>
        <v>If yes, since when h</v>
      </c>
      <c r="AR1714" s="98" t="b">
        <f>questions[[#This Row],[question_first_characters]]=questions[[#This Row],[stability_first_characters]]</f>
        <v>1</v>
      </c>
      <c r="AS1714" s="98" t="b">
        <f>IF(OR(questions[[#This Row],[is_single_select]],questions[[#This Row],[is_multi_select]]),NOT(ISBLANK(questions[[#This Row],[answer_opt_combined]])),TRUE)</f>
        <v>1</v>
      </c>
    </row>
    <row r="1715" spans="1:45" s="77" customFormat="1" ht="15.75" customHeight="1" x14ac:dyDescent="0.25">
      <c r="A1715" s="77" t="str">
        <f>_xlfn.TEXTJOIN("_",TRUE,questions[[#This Row],[origin]:[qno]])</f>
        <v>Uganda_Robusta_2026_2200</v>
      </c>
      <c r="B1715" s="77" t="s">
        <v>511</v>
      </c>
      <c r="C1715" s="77" t="s">
        <v>674</v>
      </c>
      <c r="E1715" s="77">
        <v>2026</v>
      </c>
      <c r="F1715" s="104" t="s">
        <v>132</v>
      </c>
      <c r="G1715" s="78" t="s">
        <v>867</v>
      </c>
      <c r="H1715" s="9" t="str" cm="1">
        <f t="array" ref="H1715">INDEX(stableR[question],MATCH(VALUE(questions[[#This Row],[qno]]),VALUE(stableR[qno]),0))</f>
        <v>What is the name of the Sucafina coffee collection point you delivered your coffee to (e.g. name of  washing station/hulling station/cooperative/ intermediary), or which one is closest to you?</v>
      </c>
      <c r="I1715" s="9" t="b" cm="1">
        <f t="array" ref="I1715">INDEX(stable[is_fixed],MATCH(VALUE(questions[[#This Row],[qno]]),VALUE(stable[qno]),0))</f>
        <v>0</v>
      </c>
      <c r="J1715" s="9" t="b" cm="1">
        <f t="array" ref="J1715">INDEX(stable[is_localized],MATCH(VALUE(questions[[#This Row],[qno]]),VALUE(stable[qno]),0))</f>
        <v>1</v>
      </c>
      <c r="K1715" s="9" t="b" cm="1">
        <f t="array" ref="K1715">INDEX(stable[is_supply_chain_dependent],MATCH(VALUE(questions[[#This Row],[qno]]),VALUE(stable[qno]),0))</f>
        <v>0</v>
      </c>
      <c r="L1715" s="9" t="b" cm="1">
        <f t="array" ref="L1715">INDEX(stable[is_mandatory],MATCH(VALUE(questions[[#This Row],[qno]]),VALUE(stable[qno]),0))</f>
        <v>1</v>
      </c>
      <c r="M1715" s="9" t="b" cm="1">
        <f t="array" ref="M1715">INDEX(stable[is_automated],MATCH(VALUE(questions[[#This Row],[qno]]),VALUE(stable[qno]),0))</f>
        <v>0</v>
      </c>
      <c r="N1715" s="9" t="b" cm="1">
        <f t="array" ref="N1715">INDEX(stable[is_free_text],MATCH(VALUE(questions[[#This Row],[qno]]),VALUE(stable[qno]),0))</f>
        <v>0</v>
      </c>
      <c r="O1715" s="9" t="b" cm="1">
        <f t="array" ref="O1715">INDEX(stable[is_numerical],MATCH(VALUE(questions[[#This Row],[qno]]),VALUE(stable[qno]),0))</f>
        <v>0</v>
      </c>
      <c r="P1715" s="77" t="b" cm="1">
        <f t="array" ref="P1715">INDEX(stable[is_single_select],MATCH(VALUE(questions[[#This Row],[qno]]),VALUE(stable[qno]),0))</f>
        <v>1</v>
      </c>
      <c r="Q1715" s="77" t="b" cm="1">
        <f t="array" ref="Q1715">INDEX(stable[is_multi_select],MATCH(VALUE(questions[[#This Row],[qno]]),VALUE(stable[qno]),0))</f>
        <v>0</v>
      </c>
      <c r="R1715" s="77" t="b" cm="1">
        <f t="array" ref="R1715">INDEX(stable[is_skip_logic],MATCH(VALUE(questions[[#This Row],[qno]]),VALUE(stable[qno]),0))</f>
        <v>0</v>
      </c>
      <c r="S1715" s="77" t="str">
        <f>_xlfn.TEXTJOIN(", ",TRUE,questions[[#This Row],[ans_opt_1]:[ans_opt_14]])</f>
        <v>KINONI DRY MILL, LUKAYA DRY MILL, MATEETE DRY MILL, BULENGE DRY MILL, KIKOMA DRY MILL, LWANDA FARMERS COOP, KUSAKIMU-KATWADDE FARMERS COOP, ST.KIZITO MOTHERS GROUP, KALISIZO FARMERS COOP</v>
      </c>
      <c r="T1715" s="77" t="s">
        <v>868</v>
      </c>
      <c r="U1715" s="77" t="s">
        <v>869</v>
      </c>
      <c r="V1715" s="77" t="s">
        <v>870</v>
      </c>
      <c r="W1715" s="77" t="s">
        <v>871</v>
      </c>
      <c r="X1715" s="77" t="s">
        <v>872</v>
      </c>
      <c r="Y1715" s="77" t="s">
        <v>873</v>
      </c>
      <c r="Z1715" s="77" t="s">
        <v>874</v>
      </c>
      <c r="AA1715" s="77" t="s">
        <v>875</v>
      </c>
      <c r="AB1715" s="77" t="s">
        <v>876</v>
      </c>
      <c r="AH1715" s="98" t="b">
        <f>INDEX(stable[q_standard],MATCH(questions[[#This Row],[qno]],stable[qno],0))</f>
        <v>1</v>
      </c>
      <c r="AI1715" s="98" t="b">
        <f>INDEX(stable[q_living_income],MATCH(questions[[#This Row],[qno]],stable[qno],0))</f>
        <v>0</v>
      </c>
      <c r="AJ1715" s="98" t="b">
        <f>INDEX(stable[q_carbon],MATCH(questions[[#This Row],[qno]],stable[qno],0))</f>
        <v>0</v>
      </c>
      <c r="AK1715" s="98" t="b">
        <f>INDEX(stable[q_regen_ag],MATCH(questions[[#This Row],[qno]],stable[qno],0))</f>
        <v>0</v>
      </c>
      <c r="AL1715" s="98" t="b">
        <f>COUNTIFS(stable[qno],questions[[#This Row],[qno]])=1</f>
        <v>1</v>
      </c>
      <c r="AM1715" s="98" t="b">
        <f>OR(questions[[#This Row],[is_fixed]],questions[[#This Row],[is_localized]],questions[[#This Row],[is_supply_chain_dependent]])</f>
        <v>1</v>
      </c>
      <c r="AN1715" s="98" t="b">
        <f>COUNTIFS(questions[[#This Row],[is_automated]:[is_multi_select]],TRUE)=1</f>
        <v>1</v>
      </c>
      <c r="AO1715" s="98" t="b">
        <f>IF(questions[[#This Row],[is_fixed]],questions[[#This Row],[question]]=INDEX(stable[question],MATCH(questions[[#This Row],[qno]],stable[qno],0)),TRUE)</f>
        <v>1</v>
      </c>
      <c r="AP1715" s="98" t="str">
        <f>LEFT(questions[[#This Row],[question]],similarity_range)</f>
        <v>To which Hulling sta</v>
      </c>
      <c r="AQ1715" s="98" t="str">
        <f>LEFT(INDEX(stable[question],MATCH(questions[[#This Row],[qno]],stable[qno],0)),similarity_range)</f>
        <v>To which Sucafina wa</v>
      </c>
      <c r="AR1715" s="98" t="b">
        <f>questions[[#This Row],[question_first_characters]]=questions[[#This Row],[stability_first_characters]]</f>
        <v>0</v>
      </c>
      <c r="AS1715" s="98" t="b">
        <f>IF(OR(questions[[#This Row],[is_single_select]],questions[[#This Row],[is_multi_select]]),NOT(ISBLANK(questions[[#This Row],[answer_opt_combined]])),TRUE)</f>
        <v>1</v>
      </c>
    </row>
    <row r="1716" spans="1:45" s="77" customFormat="1" ht="15.75" customHeight="1" x14ac:dyDescent="0.25">
      <c r="A1716" s="77" t="str">
        <f>_xlfn.TEXTJOIN("_",TRUE,questions[[#This Row],[origin]:[qno]])</f>
        <v>Uganda_Robusta_2026_3000</v>
      </c>
      <c r="B1716" s="77" t="s">
        <v>511</v>
      </c>
      <c r="C1716" s="77" t="s">
        <v>674</v>
      </c>
      <c r="E1716" s="77">
        <v>2026</v>
      </c>
      <c r="F1716" s="104" t="s">
        <v>520</v>
      </c>
      <c r="G1716" s="78" t="s">
        <v>521</v>
      </c>
      <c r="H1716" s="9" t="str" cm="1">
        <f t="array" ref="H1716">INDEX(stableR[question],MATCH(VALUE(questions[[#This Row],[qno]]),VALUE(stableR[qno]),0))</f>
        <v>What were the types of coffee that you sold last year?</v>
      </c>
      <c r="I1716" s="9" t="b" cm="1">
        <f t="array" ref="I1716">INDEX(stable[is_fixed],MATCH(VALUE(questions[[#This Row],[qno]]),VALUE(stable[qno]),0))</f>
        <v>0</v>
      </c>
      <c r="J1716" s="9" t="b" cm="1">
        <f t="array" ref="J1716">INDEX(stable[is_localized],MATCH(VALUE(questions[[#This Row],[qno]]),VALUE(stable[qno]),0))</f>
        <v>1</v>
      </c>
      <c r="K1716" s="9" t="b" cm="1">
        <f t="array" ref="K1716">INDEX(stable[is_supply_chain_dependent],MATCH(VALUE(questions[[#This Row],[qno]]),VALUE(stable[qno]),0))</f>
        <v>0</v>
      </c>
      <c r="L1716" s="9" t="b" cm="1">
        <f t="array" ref="L1716">INDEX(stable[is_mandatory],MATCH(VALUE(questions[[#This Row],[qno]]),VALUE(stable[qno]),0))</f>
        <v>0</v>
      </c>
      <c r="M1716" s="9" t="b" cm="1">
        <f t="array" ref="M1716">INDEX(stable[is_automated],MATCH(VALUE(questions[[#This Row],[qno]]),VALUE(stable[qno]),0))</f>
        <v>0</v>
      </c>
      <c r="N1716" s="9" t="b" cm="1">
        <f t="array" ref="N1716">INDEX(stable[is_free_text],MATCH(VALUE(questions[[#This Row],[qno]]),VALUE(stable[qno]),0))</f>
        <v>0</v>
      </c>
      <c r="O1716" s="9" t="b" cm="1">
        <f t="array" ref="O1716">INDEX(stable[is_numerical],MATCH(VALUE(questions[[#This Row],[qno]]),VALUE(stable[qno]),0))</f>
        <v>0</v>
      </c>
      <c r="P1716" s="77" t="b" cm="1">
        <f t="array" ref="P1716">INDEX(stable[is_single_select],MATCH(VALUE(questions[[#This Row],[qno]]),VALUE(stable[qno]),0))</f>
        <v>0</v>
      </c>
      <c r="Q1716" s="77" t="b" cm="1">
        <f t="array" ref="Q1716">INDEX(stable[is_multi_select],MATCH(VALUE(questions[[#This Row],[qno]]),VALUE(stable[qno]),0))</f>
        <v>1</v>
      </c>
      <c r="R1716" s="77" t="b" cm="1">
        <f t="array" ref="R1716">INDEX(stable[is_skip_logic],MATCH(VALUE(questions[[#This Row],[qno]]),VALUE(stable[qno]),0))</f>
        <v>0</v>
      </c>
      <c r="S1716" s="77" t="str">
        <f>_xlfn.TEXTJOIN(", ",TRUE,questions[[#This Row],[ans_opt_1]:[ans_opt_14]])</f>
        <v>Fresh cherries, Dried cherries, Fresh cherries, Hulled beans, Green beans</v>
      </c>
      <c r="T1716" s="77" t="s">
        <v>522</v>
      </c>
      <c r="U1716" s="77" t="s">
        <v>523</v>
      </c>
      <c r="V1716" s="77" t="s">
        <v>522</v>
      </c>
      <c r="W1716" s="77" t="s">
        <v>524</v>
      </c>
      <c r="X1716" s="77" t="s">
        <v>525</v>
      </c>
      <c r="AH1716" s="98" t="b">
        <f>INDEX(stable[q_standard],MATCH(questions[[#This Row],[qno]],stable[qno],0))</f>
        <v>0</v>
      </c>
      <c r="AI1716" s="98" t="b">
        <f>INDEX(stable[q_living_income],MATCH(questions[[#This Row],[qno]],stable[qno],0))</f>
        <v>1</v>
      </c>
      <c r="AJ1716" s="98" t="b">
        <f>INDEX(stable[q_carbon],MATCH(questions[[#This Row],[qno]],stable[qno],0))</f>
        <v>1</v>
      </c>
      <c r="AK1716" s="98" t="b">
        <f>INDEX(stable[q_regen_ag],MATCH(questions[[#This Row],[qno]],stable[qno],0))</f>
        <v>1</v>
      </c>
      <c r="AL1716" s="98" t="b">
        <f>COUNTIFS(stable[qno],questions[[#This Row],[qno]])=1</f>
        <v>1</v>
      </c>
      <c r="AM1716" s="98" t="b">
        <f>OR(questions[[#This Row],[is_fixed]],questions[[#This Row],[is_localized]],questions[[#This Row],[is_supply_chain_dependent]])</f>
        <v>1</v>
      </c>
      <c r="AN1716" s="98" t="b">
        <f>COUNTIFS(questions[[#This Row],[is_automated]:[is_multi_select]],TRUE)=1</f>
        <v>1</v>
      </c>
      <c r="AO1716" s="98" t="b">
        <f>IF(questions[[#This Row],[is_fixed]],questions[[#This Row],[question]]=INDEX(stable[question],MATCH(questions[[#This Row],[qno]],stable[qno],0)),TRUE)</f>
        <v>1</v>
      </c>
      <c r="AP1716" s="98" t="str">
        <f>LEFT(questions[[#This Row],[question]],similarity_range)</f>
        <v xml:space="preserve">What were the types </v>
      </c>
      <c r="AQ1716" s="98" t="str">
        <f>LEFT(INDEX(stable[question],MATCH(questions[[#This Row],[qno]],stable[qno],0)),similarity_range)</f>
        <v xml:space="preserve">What were the types </v>
      </c>
      <c r="AR1716" s="98" t="b">
        <f>questions[[#This Row],[question_first_characters]]=questions[[#This Row],[stability_first_characters]]</f>
        <v>1</v>
      </c>
      <c r="AS1716" s="98" t="b">
        <f>IF(OR(questions[[#This Row],[is_single_select]],questions[[#This Row],[is_multi_select]]),NOT(ISBLANK(questions[[#This Row],[answer_opt_combined]])),TRUE)</f>
        <v>1</v>
      </c>
    </row>
    <row r="1717" spans="1:45" ht="15.75" customHeight="1" x14ac:dyDescent="0.25">
      <c r="A1717" s="9" t="str">
        <f>_xlfn.TEXTJOIN("_",TRUE,questions[[#This Row],[origin]:[qno]])</f>
        <v>Uganda_Robusta_2026_3110</v>
      </c>
      <c r="B1717" s="9" t="s">
        <v>511</v>
      </c>
      <c r="C1717" s="9" t="s">
        <v>674</v>
      </c>
      <c r="E1717" s="33">
        <v>2026</v>
      </c>
      <c r="F1717" s="24" t="s">
        <v>530</v>
      </c>
      <c r="G1717" s="15" t="s">
        <v>877</v>
      </c>
      <c r="H1717" s="9" t="str" cm="1">
        <f t="array" ref="H1717">INDEX(stableR[question],MATCH(VALUE(questions[[#This Row],[qno]]),VALUE(stableR[qno]),0))</f>
        <v>How many kilograms of hulled beans did you sell during the fly season?</v>
      </c>
      <c r="I1717" s="9" t="b" cm="1">
        <f t="array" ref="I1717">INDEX(stable[is_fixed],MATCH(VALUE(questions[[#This Row],[qno]]),VALUE(stable[qno]),0))</f>
        <v>0</v>
      </c>
      <c r="J1717" s="9" t="b" cm="1">
        <f t="array" ref="J1717">INDEX(stable[is_localized],MATCH(VALUE(questions[[#This Row],[qno]]),VALUE(stable[qno]),0))</f>
        <v>0</v>
      </c>
      <c r="K1717" s="9" t="b" cm="1">
        <f t="array" ref="K1717">INDEX(stable[is_supply_chain_dependent],MATCH(VALUE(questions[[#This Row],[qno]]),VALUE(stable[qno]),0))</f>
        <v>1</v>
      </c>
      <c r="L1717" s="9" t="b" cm="1">
        <f t="array" ref="L1717">INDEX(stable[is_mandatory],MATCH(VALUE(questions[[#This Row],[qno]]),VALUE(stable[qno]),0))</f>
        <v>0</v>
      </c>
      <c r="M1717" s="9" t="b" cm="1">
        <f t="array" ref="M1717">INDEX(stable[is_automated],MATCH(VALUE(questions[[#This Row],[qno]]),VALUE(stable[qno]),0))</f>
        <v>0</v>
      </c>
      <c r="N1717" s="9" t="b" cm="1">
        <f t="array" ref="N1717">INDEX(stable[is_free_text],MATCH(VALUE(questions[[#This Row],[qno]]),VALUE(stable[qno]),0))</f>
        <v>0</v>
      </c>
      <c r="O1717" s="9" t="b" cm="1">
        <f t="array" ref="O1717">INDEX(stable[is_numerical],MATCH(VALUE(questions[[#This Row],[qno]]),VALUE(stable[qno]),0))</f>
        <v>1</v>
      </c>
      <c r="P1717" s="9" t="b" cm="1">
        <f t="array" ref="P1717">INDEX(stable[is_single_select],MATCH(VALUE(questions[[#This Row],[qno]]),VALUE(stable[qno]),0))</f>
        <v>0</v>
      </c>
      <c r="Q1717" s="9" t="b" cm="1">
        <f t="array" ref="Q1717">INDEX(stable[is_multi_select],MATCH(VALUE(questions[[#This Row],[qno]]),VALUE(stable[qno]),0))</f>
        <v>0</v>
      </c>
      <c r="R1717" s="9" t="b" cm="1">
        <f t="array" ref="R1717">INDEX(stable[is_skip_logic],MATCH(VALUE(questions[[#This Row],[qno]]),VALUE(stable[qno]),0))</f>
        <v>0</v>
      </c>
      <c r="S1717" s="9" t="str">
        <f>_xlfn.TEXTJOIN(", ",TRUE,questions[[#This Row],[ans_opt_1]:[ans_opt_14]])</f>
        <v/>
      </c>
      <c r="AH1717" s="16" t="b">
        <f>INDEX(stable[q_standard],MATCH(questions[[#This Row],[qno]],stable[qno],0))</f>
        <v>0</v>
      </c>
      <c r="AI1717" s="16" t="b">
        <f>INDEX(stable[q_living_income],MATCH(questions[[#This Row],[qno]],stable[qno],0))</f>
        <v>1</v>
      </c>
      <c r="AJ1717" s="16" t="b">
        <f>INDEX(stable[q_carbon],MATCH(questions[[#This Row],[qno]],stable[qno],0))</f>
        <v>1</v>
      </c>
      <c r="AK1717" s="16" t="b">
        <f>INDEX(stable[q_regen_ag],MATCH(questions[[#This Row],[qno]],stable[qno],0))</f>
        <v>1</v>
      </c>
      <c r="AL1717" s="16" t="b">
        <f>COUNTIFS(stable[qno],questions[[#This Row],[qno]])=1</f>
        <v>1</v>
      </c>
      <c r="AM1717" s="16" t="b">
        <f>OR(questions[[#This Row],[is_fixed]],questions[[#This Row],[is_localized]],questions[[#This Row],[is_supply_chain_dependent]])</f>
        <v>1</v>
      </c>
      <c r="AN1717" s="16" t="b">
        <f>COUNTIFS(questions[[#This Row],[is_automated]:[is_multi_select]],TRUE)=1</f>
        <v>1</v>
      </c>
      <c r="AO1717" s="16" t="b">
        <f>IF(questions[[#This Row],[is_fixed]],questions[[#This Row],[question]]=INDEX(stable[question],MATCH(questions[[#This Row],[qno]],stable[qno],0)),TRUE)</f>
        <v>1</v>
      </c>
      <c r="AP1717" s="16" t="str">
        <f>LEFT(questions[[#This Row],[question]],similarity_range)</f>
        <v>How many kilograms o</v>
      </c>
      <c r="AQ1717" s="16" t="str">
        <f>LEFT(INDEX(stable[question],MATCH(questions[[#This Row],[qno]],stable[qno],0)),similarity_range)</f>
        <v>How many kilograms o</v>
      </c>
      <c r="AR1717" s="16" t="b">
        <f>questions[[#This Row],[question_first_characters]]=questions[[#This Row],[stability_first_characters]]</f>
        <v>1</v>
      </c>
      <c r="AS1717" s="16" t="b">
        <f>IF(OR(questions[[#This Row],[is_single_select]],questions[[#This Row],[is_multi_select]]),NOT(ISBLANK(questions[[#This Row],[answer_opt_combined]])),TRUE)</f>
        <v>1</v>
      </c>
    </row>
    <row r="1718" spans="1:45" ht="15.75" customHeight="1" x14ac:dyDescent="0.25">
      <c r="A1718" s="9" t="str">
        <f>_xlfn.TEXTJOIN("_",TRUE,questions[[#This Row],[origin]:[qno]])</f>
        <v>Uganda_Robusta_2026_3111</v>
      </c>
      <c r="B1718" s="9" t="s">
        <v>511</v>
      </c>
      <c r="C1718" s="9" t="s">
        <v>674</v>
      </c>
      <c r="E1718" s="33">
        <v>2026</v>
      </c>
      <c r="F1718" s="24" t="s">
        <v>532</v>
      </c>
      <c r="G1718" s="15" t="s">
        <v>878</v>
      </c>
      <c r="H1718" s="9" t="str" cm="1">
        <f t="array" ref="H1718">INDEX(stableR[question],MATCH(VALUE(questions[[#This Row],[qno]]),VALUE(stableR[qno]),0))</f>
        <v>What was the most common price per kilogram that you received for hulled beans harvested in the fly season? (in local currency)</v>
      </c>
      <c r="I1718" s="9" t="b" cm="1">
        <f t="array" ref="I1718">INDEX(stable[is_fixed],MATCH(VALUE(questions[[#This Row],[qno]]),VALUE(stable[qno]),0))</f>
        <v>0</v>
      </c>
      <c r="J1718" s="9" t="b" cm="1">
        <f t="array" ref="J1718">INDEX(stable[is_localized],MATCH(VALUE(questions[[#This Row],[qno]]),VALUE(stable[qno]),0))</f>
        <v>0</v>
      </c>
      <c r="K1718" s="9" t="b" cm="1">
        <f t="array" ref="K1718">INDEX(stable[is_supply_chain_dependent],MATCH(VALUE(questions[[#This Row],[qno]]),VALUE(stable[qno]),0))</f>
        <v>1</v>
      </c>
      <c r="L1718" s="9" t="b" cm="1">
        <f t="array" ref="L1718">INDEX(stable[is_mandatory],MATCH(VALUE(questions[[#This Row],[qno]]),VALUE(stable[qno]),0))</f>
        <v>0</v>
      </c>
      <c r="M1718" s="9" t="b" cm="1">
        <f t="array" ref="M1718">INDEX(stable[is_automated],MATCH(VALUE(questions[[#This Row],[qno]]),VALUE(stable[qno]),0))</f>
        <v>0</v>
      </c>
      <c r="N1718" s="9" t="b" cm="1">
        <f t="array" ref="N1718">INDEX(stable[is_free_text],MATCH(VALUE(questions[[#This Row],[qno]]),VALUE(stable[qno]),0))</f>
        <v>0</v>
      </c>
      <c r="O1718" s="9" t="b" cm="1">
        <f t="array" ref="O1718">INDEX(stable[is_numerical],MATCH(VALUE(questions[[#This Row],[qno]]),VALUE(stable[qno]),0))</f>
        <v>1</v>
      </c>
      <c r="P1718" s="9" t="b" cm="1">
        <f t="array" ref="P1718">INDEX(stable[is_single_select],MATCH(VALUE(questions[[#This Row],[qno]]),VALUE(stable[qno]),0))</f>
        <v>0</v>
      </c>
      <c r="Q1718" s="9" t="b" cm="1">
        <f t="array" ref="Q1718">INDEX(stable[is_multi_select],MATCH(VALUE(questions[[#This Row],[qno]]),VALUE(stable[qno]),0))</f>
        <v>0</v>
      </c>
      <c r="R1718" s="9" t="b" cm="1">
        <f t="array" ref="R1718">INDEX(stable[is_skip_logic],MATCH(VALUE(questions[[#This Row],[qno]]),VALUE(stable[qno]),0))</f>
        <v>0</v>
      </c>
      <c r="S1718" s="9" t="str">
        <f>_xlfn.TEXTJOIN(", ",TRUE,questions[[#This Row],[ans_opt_1]:[ans_opt_14]])</f>
        <v/>
      </c>
      <c r="AH1718" s="16" t="b">
        <f>INDEX(stable[q_standard],MATCH(questions[[#This Row],[qno]],stable[qno],0))</f>
        <v>0</v>
      </c>
      <c r="AI1718" s="16" t="b">
        <f>INDEX(stable[q_living_income],MATCH(questions[[#This Row],[qno]],stable[qno],0))</f>
        <v>1</v>
      </c>
      <c r="AJ1718" s="16" t="b">
        <f>INDEX(stable[q_carbon],MATCH(questions[[#This Row],[qno]],stable[qno],0))</f>
        <v>0</v>
      </c>
      <c r="AK1718" s="16" t="b">
        <f>INDEX(stable[q_regen_ag],MATCH(questions[[#This Row],[qno]],stable[qno],0))</f>
        <v>0</v>
      </c>
      <c r="AL1718" s="16" t="b">
        <f>COUNTIFS(stable[qno],questions[[#This Row],[qno]])=1</f>
        <v>1</v>
      </c>
      <c r="AM1718" s="16" t="b">
        <f>OR(questions[[#This Row],[is_fixed]],questions[[#This Row],[is_localized]],questions[[#This Row],[is_supply_chain_dependent]])</f>
        <v>1</v>
      </c>
      <c r="AN1718" s="16" t="b">
        <f>COUNTIFS(questions[[#This Row],[is_automated]:[is_multi_select]],TRUE)=1</f>
        <v>1</v>
      </c>
      <c r="AO1718" s="16" t="b">
        <f>IF(questions[[#This Row],[is_fixed]],questions[[#This Row],[question]]=INDEX(stable[question],MATCH(questions[[#This Row],[qno]],stable[qno],0)),TRUE)</f>
        <v>1</v>
      </c>
      <c r="AP1718" s="16" t="str">
        <f>LEFT(questions[[#This Row],[question]],similarity_range)</f>
        <v>What was the most co</v>
      </c>
      <c r="AQ1718" s="16" t="str">
        <f>LEFT(INDEX(stable[question],MATCH(questions[[#This Row],[qno]],stable[qno],0)),similarity_range)</f>
        <v>What was the most co</v>
      </c>
      <c r="AR1718" s="16" t="b">
        <f>questions[[#This Row],[question_first_characters]]=questions[[#This Row],[stability_first_characters]]</f>
        <v>1</v>
      </c>
      <c r="AS1718" s="16" t="b">
        <f>IF(OR(questions[[#This Row],[is_single_select]],questions[[#This Row],[is_multi_select]]),NOT(ISBLANK(questions[[#This Row],[answer_opt_combined]])),TRUE)</f>
        <v>1</v>
      </c>
    </row>
    <row r="1719" spans="1:45" ht="15.75" customHeight="1" x14ac:dyDescent="0.25">
      <c r="A1719" s="9" t="str">
        <f>_xlfn.TEXTJOIN("_",TRUE,questions[[#This Row],[origin]:[qno]])</f>
        <v>Uganda_Robusta_2026_3120</v>
      </c>
      <c r="B1719" s="9" t="s">
        <v>511</v>
      </c>
      <c r="C1719" s="9" t="s">
        <v>674</v>
      </c>
      <c r="E1719" s="33">
        <v>2026</v>
      </c>
      <c r="F1719" s="24" t="s">
        <v>534</v>
      </c>
      <c r="G1719" s="15" t="s">
        <v>879</v>
      </c>
      <c r="H1719" s="9" t="str" cm="1">
        <f t="array" ref="H1719">INDEX(stableR[question],MATCH(VALUE(questions[[#This Row],[qno]]),VALUE(stableR[qno]),0))</f>
        <v>How many kilograms of dried cherries did you sell during the fly season?</v>
      </c>
      <c r="I1719" s="9" t="b" cm="1">
        <f t="array" ref="I1719">INDEX(stable[is_fixed],MATCH(VALUE(questions[[#This Row],[qno]]),VALUE(stable[qno]),0))</f>
        <v>0</v>
      </c>
      <c r="J1719" s="9" t="b" cm="1">
        <f t="array" ref="J1719">INDEX(stable[is_localized],MATCH(VALUE(questions[[#This Row],[qno]]),VALUE(stable[qno]),0))</f>
        <v>0</v>
      </c>
      <c r="K1719" s="9" t="b" cm="1">
        <f t="array" ref="K1719">INDEX(stable[is_supply_chain_dependent],MATCH(VALUE(questions[[#This Row],[qno]]),VALUE(stable[qno]),0))</f>
        <v>1</v>
      </c>
      <c r="L1719" s="9" t="b" cm="1">
        <f t="array" ref="L1719">INDEX(stable[is_mandatory],MATCH(VALUE(questions[[#This Row],[qno]]),VALUE(stable[qno]),0))</f>
        <v>0</v>
      </c>
      <c r="M1719" s="9" t="b" cm="1">
        <f t="array" ref="M1719">INDEX(stable[is_automated],MATCH(VALUE(questions[[#This Row],[qno]]),VALUE(stable[qno]),0))</f>
        <v>0</v>
      </c>
      <c r="N1719" s="9" t="b" cm="1">
        <f t="array" ref="N1719">INDEX(stable[is_free_text],MATCH(VALUE(questions[[#This Row],[qno]]),VALUE(stable[qno]),0))</f>
        <v>0</v>
      </c>
      <c r="O1719" s="9" t="b" cm="1">
        <f t="array" ref="O1719">INDEX(stable[is_numerical],MATCH(VALUE(questions[[#This Row],[qno]]),VALUE(stable[qno]),0))</f>
        <v>1</v>
      </c>
      <c r="P1719" s="9" t="b" cm="1">
        <f t="array" ref="P1719">INDEX(stable[is_single_select],MATCH(VALUE(questions[[#This Row],[qno]]),VALUE(stable[qno]),0))</f>
        <v>0</v>
      </c>
      <c r="Q1719" s="9" t="b" cm="1">
        <f t="array" ref="Q1719">INDEX(stable[is_multi_select],MATCH(VALUE(questions[[#This Row],[qno]]),VALUE(stable[qno]),0))</f>
        <v>0</v>
      </c>
      <c r="R1719" s="9" t="b" cm="1">
        <f t="array" ref="R1719">INDEX(stable[is_skip_logic],MATCH(VALUE(questions[[#This Row],[qno]]),VALUE(stable[qno]),0))</f>
        <v>0</v>
      </c>
      <c r="S1719" s="9" t="str">
        <f>_xlfn.TEXTJOIN(", ",TRUE,questions[[#This Row],[ans_opt_1]:[ans_opt_14]])</f>
        <v/>
      </c>
      <c r="AH1719" s="16" t="b">
        <f>INDEX(stable[q_standard],MATCH(questions[[#This Row],[qno]],stable[qno],0))</f>
        <v>0</v>
      </c>
      <c r="AI1719" s="16" t="b">
        <f>INDEX(stable[q_living_income],MATCH(questions[[#This Row],[qno]],stable[qno],0))</f>
        <v>1</v>
      </c>
      <c r="AJ1719" s="16" t="b">
        <f>INDEX(stable[q_carbon],MATCH(questions[[#This Row],[qno]],stable[qno],0))</f>
        <v>1</v>
      </c>
      <c r="AK1719" s="16" t="b">
        <f>INDEX(stable[q_regen_ag],MATCH(questions[[#This Row],[qno]],stable[qno],0))</f>
        <v>1</v>
      </c>
      <c r="AL1719" s="16" t="b">
        <f>COUNTIFS(stable[qno],questions[[#This Row],[qno]])=1</f>
        <v>1</v>
      </c>
      <c r="AM1719" s="16" t="b">
        <f>OR(questions[[#This Row],[is_fixed]],questions[[#This Row],[is_localized]],questions[[#This Row],[is_supply_chain_dependent]])</f>
        <v>1</v>
      </c>
      <c r="AN1719" s="16" t="b">
        <f>COUNTIFS(questions[[#This Row],[is_automated]:[is_multi_select]],TRUE)=1</f>
        <v>1</v>
      </c>
      <c r="AO1719" s="16" t="b">
        <f>IF(questions[[#This Row],[is_fixed]],questions[[#This Row],[question]]=INDEX(stable[question],MATCH(questions[[#This Row],[qno]],stable[qno],0)),TRUE)</f>
        <v>1</v>
      </c>
      <c r="AP1719" s="16" t="str">
        <f>LEFT(questions[[#This Row],[question]],similarity_range)</f>
        <v>How many kilograms o</v>
      </c>
      <c r="AQ1719" s="16" t="str">
        <f>LEFT(INDEX(stable[question],MATCH(questions[[#This Row],[qno]],stable[qno],0)),similarity_range)</f>
        <v>How many kilograms o</v>
      </c>
      <c r="AR1719" s="16" t="b">
        <f>questions[[#This Row],[question_first_characters]]=questions[[#This Row],[stability_first_characters]]</f>
        <v>1</v>
      </c>
      <c r="AS1719" s="16" t="b">
        <f>IF(OR(questions[[#This Row],[is_single_select]],questions[[#This Row],[is_multi_select]]),NOT(ISBLANK(questions[[#This Row],[answer_opt_combined]])),TRUE)</f>
        <v>1</v>
      </c>
    </row>
    <row r="1720" spans="1:45" ht="15.75" customHeight="1" x14ac:dyDescent="0.25">
      <c r="A1720" s="9" t="str">
        <f>_xlfn.TEXTJOIN("_",TRUE,questions[[#This Row],[origin]:[qno]])</f>
        <v>Uganda_Robusta_2026_3121</v>
      </c>
      <c r="B1720" s="9" t="s">
        <v>511</v>
      </c>
      <c r="C1720" s="9" t="s">
        <v>674</v>
      </c>
      <c r="E1720" s="33">
        <v>2026</v>
      </c>
      <c r="F1720" s="24" t="s">
        <v>536</v>
      </c>
      <c r="G1720" s="15" t="s">
        <v>537</v>
      </c>
      <c r="H1720" s="9" t="str" cm="1">
        <f t="array" ref="H1720">INDEX(stableR[question],MATCH(VALUE(questions[[#This Row],[qno]]),VALUE(stableR[qno]),0))</f>
        <v>What was the most common price per kilogram that you received for dried cherries harvested in the fly season? (in local currency)</v>
      </c>
      <c r="I1720" s="9" t="b" cm="1">
        <f t="array" ref="I1720">INDEX(stable[is_fixed],MATCH(VALUE(questions[[#This Row],[qno]]),VALUE(stable[qno]),0))</f>
        <v>0</v>
      </c>
      <c r="J1720" s="9" t="b" cm="1">
        <f t="array" ref="J1720">INDEX(stable[is_localized],MATCH(VALUE(questions[[#This Row],[qno]]),VALUE(stable[qno]),0))</f>
        <v>0</v>
      </c>
      <c r="K1720" s="9" t="b" cm="1">
        <f t="array" ref="K1720">INDEX(stable[is_supply_chain_dependent],MATCH(VALUE(questions[[#This Row],[qno]]),VALUE(stable[qno]),0))</f>
        <v>1</v>
      </c>
      <c r="L1720" s="9" t="b" cm="1">
        <f t="array" ref="L1720">INDEX(stable[is_mandatory],MATCH(VALUE(questions[[#This Row],[qno]]),VALUE(stable[qno]),0))</f>
        <v>0</v>
      </c>
      <c r="M1720" s="9" t="b" cm="1">
        <f t="array" ref="M1720">INDEX(stable[is_automated],MATCH(VALUE(questions[[#This Row],[qno]]),VALUE(stable[qno]),0))</f>
        <v>0</v>
      </c>
      <c r="N1720" s="9" t="b" cm="1">
        <f t="array" ref="N1720">INDEX(stable[is_free_text],MATCH(VALUE(questions[[#This Row],[qno]]),VALUE(stable[qno]),0))</f>
        <v>0</v>
      </c>
      <c r="O1720" s="9" t="b" cm="1">
        <f t="array" ref="O1720">INDEX(stable[is_numerical],MATCH(VALUE(questions[[#This Row],[qno]]),VALUE(stable[qno]),0))</f>
        <v>1</v>
      </c>
      <c r="P1720" s="9" t="b" cm="1">
        <f t="array" ref="P1720">INDEX(stable[is_single_select],MATCH(VALUE(questions[[#This Row],[qno]]),VALUE(stable[qno]),0))</f>
        <v>0</v>
      </c>
      <c r="Q1720" s="9" t="b" cm="1">
        <f t="array" ref="Q1720">INDEX(stable[is_multi_select],MATCH(VALUE(questions[[#This Row],[qno]]),VALUE(stable[qno]),0))</f>
        <v>0</v>
      </c>
      <c r="R1720" s="9" t="b" cm="1">
        <f t="array" ref="R1720">INDEX(stable[is_skip_logic],MATCH(VALUE(questions[[#This Row],[qno]]),VALUE(stable[qno]),0))</f>
        <v>0</v>
      </c>
      <c r="S1720" s="9" t="str">
        <f>_xlfn.TEXTJOIN(", ",TRUE,questions[[#This Row],[ans_opt_1]:[ans_opt_14]])</f>
        <v/>
      </c>
      <c r="AH1720" s="16" t="b">
        <f>INDEX(stable[q_standard],MATCH(questions[[#This Row],[qno]],stable[qno],0))</f>
        <v>0</v>
      </c>
      <c r="AI1720" s="16" t="b">
        <f>INDEX(stable[q_living_income],MATCH(questions[[#This Row],[qno]],stable[qno],0))</f>
        <v>1</v>
      </c>
      <c r="AJ1720" s="16" t="b">
        <f>INDEX(stable[q_carbon],MATCH(questions[[#This Row],[qno]],stable[qno],0))</f>
        <v>0</v>
      </c>
      <c r="AK1720" s="16" t="b">
        <f>INDEX(stable[q_regen_ag],MATCH(questions[[#This Row],[qno]],stable[qno],0))</f>
        <v>0</v>
      </c>
      <c r="AL1720" s="16" t="b">
        <f>COUNTIFS(stable[qno],questions[[#This Row],[qno]])=1</f>
        <v>1</v>
      </c>
      <c r="AM1720" s="16" t="b">
        <f>OR(questions[[#This Row],[is_fixed]],questions[[#This Row],[is_localized]],questions[[#This Row],[is_supply_chain_dependent]])</f>
        <v>1</v>
      </c>
      <c r="AN1720" s="16" t="b">
        <f>COUNTIFS(questions[[#This Row],[is_automated]:[is_multi_select]],TRUE)=1</f>
        <v>1</v>
      </c>
      <c r="AO1720" s="16" t="b">
        <f>IF(questions[[#This Row],[is_fixed]],questions[[#This Row],[question]]=INDEX(stable[question],MATCH(questions[[#This Row],[qno]],stable[qno],0)),TRUE)</f>
        <v>1</v>
      </c>
      <c r="AP1720" s="16" t="str">
        <f>LEFT(questions[[#This Row],[question]],similarity_range)</f>
        <v>What was the most co</v>
      </c>
      <c r="AQ1720" s="16" t="str">
        <f>LEFT(INDEX(stable[question],MATCH(questions[[#This Row],[qno]],stable[qno],0)),similarity_range)</f>
        <v>What was the most co</v>
      </c>
      <c r="AR1720" s="16" t="b">
        <f>questions[[#This Row],[question_first_characters]]=questions[[#This Row],[stability_first_characters]]</f>
        <v>1</v>
      </c>
      <c r="AS1720" s="16" t="b">
        <f>IF(OR(questions[[#This Row],[is_single_select]],questions[[#This Row],[is_multi_select]]),NOT(ISBLANK(questions[[#This Row],[answer_opt_combined]])),TRUE)</f>
        <v>1</v>
      </c>
    </row>
    <row r="1721" spans="1:45" ht="15.75" customHeight="1" x14ac:dyDescent="0.25">
      <c r="A1721" s="9" t="str">
        <f>_xlfn.TEXTJOIN("_",TRUE,questions[[#This Row],[origin]:[qno]])</f>
        <v>Uganda_Robusta_2026_3100</v>
      </c>
      <c r="B1721" s="9" t="s">
        <v>511</v>
      </c>
      <c r="C1721" s="9" t="s">
        <v>674</v>
      </c>
      <c r="E1721" s="33">
        <v>2026</v>
      </c>
      <c r="F1721" s="24" t="s">
        <v>526</v>
      </c>
      <c r="G1721" s="15" t="s">
        <v>880</v>
      </c>
      <c r="H1721" s="9" t="str" cm="1">
        <f t="array" ref="H1721">INDEX(stableR[question],MATCH(VALUE(questions[[#This Row],[qno]]),VALUE(stableR[qno]),0))</f>
        <v>How many kilograms of fresh cherries did you sell during the fly season?</v>
      </c>
      <c r="I1721" s="9" t="b" cm="1">
        <f t="array" ref="I1721">INDEX(stable[is_fixed],MATCH(VALUE(questions[[#This Row],[qno]]),VALUE(stable[qno]),0))</f>
        <v>0</v>
      </c>
      <c r="J1721" s="9" t="b" cm="1">
        <f t="array" ref="J1721">INDEX(stable[is_localized],MATCH(VALUE(questions[[#This Row],[qno]]),VALUE(stable[qno]),0))</f>
        <v>1</v>
      </c>
      <c r="K1721" s="9" t="b" cm="1">
        <f t="array" ref="K1721">INDEX(stable[is_supply_chain_dependent],MATCH(VALUE(questions[[#This Row],[qno]]),VALUE(stable[qno]),0))</f>
        <v>0</v>
      </c>
      <c r="L1721" s="9" t="b" cm="1">
        <f t="array" ref="L1721">INDEX(stable[is_mandatory],MATCH(VALUE(questions[[#This Row],[qno]]),VALUE(stable[qno]),0))</f>
        <v>0</v>
      </c>
      <c r="M1721" s="9" t="b" cm="1">
        <f t="array" ref="M1721">INDEX(stable[is_automated],MATCH(VALUE(questions[[#This Row],[qno]]),VALUE(stable[qno]),0))</f>
        <v>0</v>
      </c>
      <c r="N1721" s="9" t="b" cm="1">
        <f t="array" ref="N1721">INDEX(stable[is_free_text],MATCH(VALUE(questions[[#This Row],[qno]]),VALUE(stable[qno]),0))</f>
        <v>0</v>
      </c>
      <c r="O1721" s="9" t="b" cm="1">
        <f t="array" ref="O1721">INDEX(stable[is_numerical],MATCH(VALUE(questions[[#This Row],[qno]]),VALUE(stable[qno]),0))</f>
        <v>1</v>
      </c>
      <c r="P1721" s="9" t="b" cm="1">
        <f t="array" ref="P1721">INDEX(stable[is_single_select],MATCH(VALUE(questions[[#This Row],[qno]]),VALUE(stable[qno]),0))</f>
        <v>0</v>
      </c>
      <c r="Q1721" s="9" t="b" cm="1">
        <f t="array" ref="Q1721">INDEX(stable[is_multi_select],MATCH(VALUE(questions[[#This Row],[qno]]),VALUE(stable[qno]),0))</f>
        <v>0</v>
      </c>
      <c r="R1721" s="9" t="b" cm="1">
        <f t="array" ref="R1721">INDEX(stable[is_skip_logic],MATCH(VALUE(questions[[#This Row],[qno]]),VALUE(stable[qno]),0))</f>
        <v>0</v>
      </c>
      <c r="S1721" s="9" t="str">
        <f>_xlfn.TEXTJOIN(", ",TRUE,questions[[#This Row],[ans_opt_1]:[ans_opt_14]])</f>
        <v/>
      </c>
      <c r="AH1721" s="16" t="b">
        <f>INDEX(stable[q_standard],MATCH(questions[[#This Row],[qno]],stable[qno],0))</f>
        <v>0</v>
      </c>
      <c r="AI1721" s="16" t="b">
        <f>INDEX(stable[q_living_income],MATCH(questions[[#This Row],[qno]],stable[qno],0))</f>
        <v>1</v>
      </c>
      <c r="AJ1721" s="16" t="b">
        <f>INDEX(stable[q_carbon],MATCH(questions[[#This Row],[qno]],stable[qno],0))</f>
        <v>1</v>
      </c>
      <c r="AK1721" s="16" t="b">
        <f>INDEX(stable[q_regen_ag],MATCH(questions[[#This Row],[qno]],stable[qno],0))</f>
        <v>1</v>
      </c>
      <c r="AL1721" s="16" t="b">
        <f>COUNTIFS(stable[qno],questions[[#This Row],[qno]])=1</f>
        <v>1</v>
      </c>
      <c r="AM1721" s="16" t="b">
        <f>OR(questions[[#This Row],[is_fixed]],questions[[#This Row],[is_localized]],questions[[#This Row],[is_supply_chain_dependent]])</f>
        <v>1</v>
      </c>
      <c r="AN1721" s="16" t="b">
        <f>COUNTIFS(questions[[#This Row],[is_automated]:[is_multi_select]],TRUE)=1</f>
        <v>1</v>
      </c>
      <c r="AO1721" s="16" t="b">
        <f>IF(questions[[#This Row],[is_fixed]],questions[[#This Row],[question]]=INDEX(stable[question],MATCH(questions[[#This Row],[qno]],stable[qno],0)),TRUE)</f>
        <v>1</v>
      </c>
      <c r="AP1721" s="16" t="str">
        <f>LEFT(questions[[#This Row],[question]],similarity_range)</f>
        <v>How many kilograms o</v>
      </c>
      <c r="AQ1721" s="16" t="str">
        <f>LEFT(INDEX(stable[question],MATCH(questions[[#This Row],[qno]],stable[qno],0)),similarity_range)</f>
        <v>How many kilograms o</v>
      </c>
      <c r="AR1721" s="16" t="b">
        <f>questions[[#This Row],[question_first_characters]]=questions[[#This Row],[stability_first_characters]]</f>
        <v>1</v>
      </c>
      <c r="AS1721" s="16" t="b">
        <f>IF(OR(questions[[#This Row],[is_single_select]],questions[[#This Row],[is_multi_select]]),NOT(ISBLANK(questions[[#This Row],[answer_opt_combined]])),TRUE)</f>
        <v>1</v>
      </c>
    </row>
    <row r="1722" spans="1:45" ht="15.75" customHeight="1" x14ac:dyDescent="0.25">
      <c r="A1722" s="9" t="str">
        <f>_xlfn.TEXTJOIN("_",TRUE,questions[[#This Row],[origin]:[qno]])</f>
        <v>Uganda_Robusta_2026_3101</v>
      </c>
      <c r="B1722" s="9" t="s">
        <v>511</v>
      </c>
      <c r="C1722" s="9" t="s">
        <v>674</v>
      </c>
      <c r="E1722" s="33">
        <v>2026</v>
      </c>
      <c r="F1722" s="24" t="s">
        <v>528</v>
      </c>
      <c r="G1722" s="15" t="s">
        <v>545</v>
      </c>
      <c r="H1722" s="9" t="str" cm="1">
        <f t="array" ref="H1722">INDEX(stableR[question],MATCH(VALUE(questions[[#This Row],[qno]]),VALUE(stableR[qno]),0))</f>
        <v>What was the most common price per kilogram that you received for the fresh cherries harvested in the fly season? (in local currency)</v>
      </c>
      <c r="I1722" s="9" t="b" cm="1">
        <f t="array" ref="I1722">INDEX(stable[is_fixed],MATCH(VALUE(questions[[#This Row],[qno]]),VALUE(stable[qno]),0))</f>
        <v>0</v>
      </c>
      <c r="J1722" s="9" t="b" cm="1">
        <f t="array" ref="J1722">INDEX(stable[is_localized],MATCH(VALUE(questions[[#This Row],[qno]]),VALUE(stable[qno]),0))</f>
        <v>1</v>
      </c>
      <c r="K1722" s="9" t="b" cm="1">
        <f t="array" ref="K1722">INDEX(stable[is_supply_chain_dependent],MATCH(VALUE(questions[[#This Row],[qno]]),VALUE(stable[qno]),0))</f>
        <v>0</v>
      </c>
      <c r="L1722" s="9" t="b" cm="1">
        <f t="array" ref="L1722">INDEX(stable[is_mandatory],MATCH(VALUE(questions[[#This Row],[qno]]),VALUE(stable[qno]),0))</f>
        <v>0</v>
      </c>
      <c r="M1722" s="9" t="b" cm="1">
        <f t="array" ref="M1722">INDEX(stable[is_automated],MATCH(VALUE(questions[[#This Row],[qno]]),VALUE(stable[qno]),0))</f>
        <v>0</v>
      </c>
      <c r="N1722" s="9" t="b" cm="1">
        <f t="array" ref="N1722">INDEX(stable[is_free_text],MATCH(VALUE(questions[[#This Row],[qno]]),VALUE(stable[qno]),0))</f>
        <v>0</v>
      </c>
      <c r="O1722" s="9" t="b" cm="1">
        <f t="array" ref="O1722">INDEX(stable[is_numerical],MATCH(VALUE(questions[[#This Row],[qno]]),VALUE(stable[qno]),0))</f>
        <v>1</v>
      </c>
      <c r="P1722" s="9" t="b" cm="1">
        <f t="array" ref="P1722">INDEX(stable[is_single_select],MATCH(VALUE(questions[[#This Row],[qno]]),VALUE(stable[qno]),0))</f>
        <v>0</v>
      </c>
      <c r="Q1722" s="9" t="b" cm="1">
        <f t="array" ref="Q1722">INDEX(stable[is_multi_select],MATCH(VALUE(questions[[#This Row],[qno]]),VALUE(stable[qno]),0))</f>
        <v>0</v>
      </c>
      <c r="R1722" s="9" t="b" cm="1">
        <f t="array" ref="R1722">INDEX(stable[is_skip_logic],MATCH(VALUE(questions[[#This Row],[qno]]),VALUE(stable[qno]),0))</f>
        <v>0</v>
      </c>
      <c r="S1722" s="9" t="str">
        <f>_xlfn.TEXTJOIN(", ",TRUE,questions[[#This Row],[ans_opt_1]:[ans_opt_14]])</f>
        <v/>
      </c>
      <c r="AH1722" s="16" t="b">
        <f>INDEX(stable[q_standard],MATCH(questions[[#This Row],[qno]],stable[qno],0))</f>
        <v>0</v>
      </c>
      <c r="AI1722" s="16" t="b">
        <f>INDEX(stable[q_living_income],MATCH(questions[[#This Row],[qno]],stable[qno],0))</f>
        <v>1</v>
      </c>
      <c r="AJ1722" s="16" t="b">
        <f>INDEX(stable[q_carbon],MATCH(questions[[#This Row],[qno]],stable[qno],0))</f>
        <v>0</v>
      </c>
      <c r="AK1722" s="16" t="b">
        <f>INDEX(stable[q_regen_ag],MATCH(questions[[#This Row],[qno]],stable[qno],0))</f>
        <v>0</v>
      </c>
      <c r="AL1722" s="16" t="b">
        <f>COUNTIFS(stable[qno],questions[[#This Row],[qno]])=1</f>
        <v>1</v>
      </c>
      <c r="AM1722" s="16" t="b">
        <f>OR(questions[[#This Row],[is_fixed]],questions[[#This Row],[is_localized]],questions[[#This Row],[is_supply_chain_dependent]])</f>
        <v>1</v>
      </c>
      <c r="AN1722" s="16" t="b">
        <f>COUNTIFS(questions[[#This Row],[is_automated]:[is_multi_select]],TRUE)=1</f>
        <v>1</v>
      </c>
      <c r="AO1722" s="16" t="b">
        <f>IF(questions[[#This Row],[is_fixed]],questions[[#This Row],[question]]=INDEX(stable[question],MATCH(questions[[#This Row],[qno]],stable[qno],0)),TRUE)</f>
        <v>1</v>
      </c>
      <c r="AP1722" s="16" t="str">
        <f>LEFT(questions[[#This Row],[question]],similarity_range)</f>
        <v>What was the most co</v>
      </c>
      <c r="AQ1722" s="16" t="str">
        <f>LEFT(INDEX(stable[question],MATCH(questions[[#This Row],[qno]],stable[qno],0)),similarity_range)</f>
        <v>What was the most co</v>
      </c>
      <c r="AR1722" s="16" t="b">
        <f>questions[[#This Row],[question_first_characters]]=questions[[#This Row],[stability_first_characters]]</f>
        <v>1</v>
      </c>
      <c r="AS1722" s="16" t="b">
        <f>IF(OR(questions[[#This Row],[is_single_select]],questions[[#This Row],[is_multi_select]]),NOT(ISBLANK(questions[[#This Row],[answer_opt_combined]])),TRUE)</f>
        <v>1</v>
      </c>
    </row>
    <row r="1723" spans="1:45" ht="15.75" customHeight="1" x14ac:dyDescent="0.25">
      <c r="A1723" s="9" t="str">
        <f>_xlfn.TEXTJOIN("_",TRUE,questions[[#This Row],[origin]:[qno]])</f>
        <v>Uganda_Robusta_2026_3210</v>
      </c>
      <c r="B1723" s="9" t="s">
        <v>511</v>
      </c>
      <c r="C1723" s="9" t="s">
        <v>674</v>
      </c>
      <c r="E1723" s="33">
        <v>2026</v>
      </c>
      <c r="F1723" s="24" t="s">
        <v>546</v>
      </c>
      <c r="G1723" s="15" t="s">
        <v>881</v>
      </c>
      <c r="H1723" s="9" t="str" cm="1">
        <f t="array" ref="H1723">INDEX(stableR[question],MATCH(VALUE(questions[[#This Row],[qno]]),VALUE(stableR[qno]),0))</f>
        <v>How many kilograms of hulled beans did you sell during the main season?</v>
      </c>
      <c r="I1723" s="9" t="b" cm="1">
        <f t="array" ref="I1723">INDEX(stable[is_fixed],MATCH(VALUE(questions[[#This Row],[qno]]),VALUE(stable[qno]),0))</f>
        <v>0</v>
      </c>
      <c r="J1723" s="9" t="b" cm="1">
        <f t="array" ref="J1723">INDEX(stable[is_localized],MATCH(VALUE(questions[[#This Row],[qno]]),VALUE(stable[qno]),0))</f>
        <v>0</v>
      </c>
      <c r="K1723" s="9" t="b" cm="1">
        <f t="array" ref="K1723">INDEX(stable[is_supply_chain_dependent],MATCH(VALUE(questions[[#This Row],[qno]]),VALUE(stable[qno]),0))</f>
        <v>1</v>
      </c>
      <c r="L1723" s="9" t="b" cm="1">
        <f t="array" ref="L1723">INDEX(stable[is_mandatory],MATCH(VALUE(questions[[#This Row],[qno]]),VALUE(stable[qno]),0))</f>
        <v>0</v>
      </c>
      <c r="M1723" s="9" t="b" cm="1">
        <f t="array" ref="M1723">INDEX(stable[is_automated],MATCH(VALUE(questions[[#This Row],[qno]]),VALUE(stable[qno]),0))</f>
        <v>0</v>
      </c>
      <c r="N1723" s="9" t="b" cm="1">
        <f t="array" ref="N1723">INDEX(stable[is_free_text],MATCH(VALUE(questions[[#This Row],[qno]]),VALUE(stable[qno]),0))</f>
        <v>0</v>
      </c>
      <c r="O1723" s="9" t="b" cm="1">
        <f t="array" ref="O1723">INDEX(stable[is_numerical],MATCH(VALUE(questions[[#This Row],[qno]]),VALUE(stable[qno]),0))</f>
        <v>1</v>
      </c>
      <c r="P1723" s="9" t="b" cm="1">
        <f t="array" ref="P1723">INDEX(stable[is_single_select],MATCH(VALUE(questions[[#This Row],[qno]]),VALUE(stable[qno]),0))</f>
        <v>0</v>
      </c>
      <c r="Q1723" s="9" t="b" cm="1">
        <f t="array" ref="Q1723">INDEX(stable[is_multi_select],MATCH(VALUE(questions[[#This Row],[qno]]),VALUE(stable[qno]),0))</f>
        <v>0</v>
      </c>
      <c r="R1723" s="9" t="b" cm="1">
        <f t="array" ref="R1723">INDEX(stable[is_skip_logic],MATCH(VALUE(questions[[#This Row],[qno]]),VALUE(stable[qno]),0))</f>
        <v>0</v>
      </c>
      <c r="S1723" s="9" t="str">
        <f>_xlfn.TEXTJOIN(", ",TRUE,questions[[#This Row],[ans_opt_1]:[ans_opt_14]])</f>
        <v/>
      </c>
      <c r="AH1723" s="16" t="b">
        <f>INDEX(stable[q_standard],MATCH(questions[[#This Row],[qno]],stable[qno],0))</f>
        <v>0</v>
      </c>
      <c r="AI1723" s="16" t="b">
        <f>INDEX(stable[q_living_income],MATCH(questions[[#This Row],[qno]],stable[qno],0))</f>
        <v>1</v>
      </c>
      <c r="AJ1723" s="16" t="b">
        <f>INDEX(stable[q_carbon],MATCH(questions[[#This Row],[qno]],stable[qno],0))</f>
        <v>1</v>
      </c>
      <c r="AK1723" s="16" t="b">
        <f>INDEX(stable[q_regen_ag],MATCH(questions[[#This Row],[qno]],stable[qno],0))</f>
        <v>1</v>
      </c>
      <c r="AL1723" s="16" t="b">
        <f>COUNTIFS(stable[qno],questions[[#This Row],[qno]])=1</f>
        <v>1</v>
      </c>
      <c r="AM1723" s="16" t="b">
        <f>OR(questions[[#This Row],[is_fixed]],questions[[#This Row],[is_localized]],questions[[#This Row],[is_supply_chain_dependent]])</f>
        <v>1</v>
      </c>
      <c r="AN1723" s="16" t="b">
        <f>COUNTIFS(questions[[#This Row],[is_automated]:[is_multi_select]],TRUE)=1</f>
        <v>1</v>
      </c>
      <c r="AO1723" s="16" t="b">
        <f>IF(questions[[#This Row],[is_fixed]],questions[[#This Row],[question]]=INDEX(stable[question],MATCH(questions[[#This Row],[qno]],stable[qno],0)),TRUE)</f>
        <v>1</v>
      </c>
      <c r="AP1723" s="16" t="str">
        <f>LEFT(questions[[#This Row],[question]],similarity_range)</f>
        <v>How many kilograms o</v>
      </c>
      <c r="AQ1723" s="16" t="str">
        <f>LEFT(INDEX(stable[question],MATCH(questions[[#This Row],[qno]],stable[qno],0)),similarity_range)</f>
        <v>How many kilograms o</v>
      </c>
      <c r="AR1723" s="16" t="b">
        <f>questions[[#This Row],[question_first_characters]]=questions[[#This Row],[stability_first_characters]]</f>
        <v>1</v>
      </c>
      <c r="AS1723" s="16" t="b">
        <f>IF(OR(questions[[#This Row],[is_single_select]],questions[[#This Row],[is_multi_select]]),NOT(ISBLANK(questions[[#This Row],[answer_opt_combined]])),TRUE)</f>
        <v>1</v>
      </c>
    </row>
    <row r="1724" spans="1:45" ht="15.75" customHeight="1" x14ac:dyDescent="0.25">
      <c r="A1724" s="9" t="str">
        <f>_xlfn.TEXTJOIN("_",TRUE,questions[[#This Row],[origin]:[qno]])</f>
        <v>Uganda_Robusta_2026_3211</v>
      </c>
      <c r="B1724" s="9" t="s">
        <v>511</v>
      </c>
      <c r="C1724" s="9" t="s">
        <v>674</v>
      </c>
      <c r="E1724" s="33">
        <v>2026</v>
      </c>
      <c r="F1724" s="24" t="s">
        <v>548</v>
      </c>
      <c r="G1724" s="15" t="s">
        <v>882</v>
      </c>
      <c r="H1724" s="9" t="str" cm="1">
        <f t="array" ref="H1724">INDEX(stableR[question],MATCH(VALUE(questions[[#This Row],[qno]]),VALUE(stableR[qno]),0))</f>
        <v>What was the most common price per kilogram that you received for hulled beans harvested in the main season?</v>
      </c>
      <c r="I1724" s="9" t="b" cm="1">
        <f t="array" ref="I1724">INDEX(stable[is_fixed],MATCH(VALUE(questions[[#This Row],[qno]]),VALUE(stable[qno]),0))</f>
        <v>0</v>
      </c>
      <c r="J1724" s="9" t="b" cm="1">
        <f t="array" ref="J1724">INDEX(stable[is_localized],MATCH(VALUE(questions[[#This Row],[qno]]),VALUE(stable[qno]),0))</f>
        <v>0</v>
      </c>
      <c r="K1724" s="9" t="b" cm="1">
        <f t="array" ref="K1724">INDEX(stable[is_supply_chain_dependent],MATCH(VALUE(questions[[#This Row],[qno]]),VALUE(stable[qno]),0))</f>
        <v>1</v>
      </c>
      <c r="L1724" s="9" t="b" cm="1">
        <f t="array" ref="L1724">INDEX(stable[is_mandatory],MATCH(VALUE(questions[[#This Row],[qno]]),VALUE(stable[qno]),0))</f>
        <v>0</v>
      </c>
      <c r="M1724" s="9" t="b" cm="1">
        <f t="array" ref="M1724">INDEX(stable[is_automated],MATCH(VALUE(questions[[#This Row],[qno]]),VALUE(stable[qno]),0))</f>
        <v>0</v>
      </c>
      <c r="N1724" s="9" t="b" cm="1">
        <f t="array" ref="N1724">INDEX(stable[is_free_text],MATCH(VALUE(questions[[#This Row],[qno]]),VALUE(stable[qno]),0))</f>
        <v>0</v>
      </c>
      <c r="O1724" s="9" t="b" cm="1">
        <f t="array" ref="O1724">INDEX(stable[is_numerical],MATCH(VALUE(questions[[#This Row],[qno]]),VALUE(stable[qno]),0))</f>
        <v>1</v>
      </c>
      <c r="P1724" s="9" t="b" cm="1">
        <f t="array" ref="P1724">INDEX(stable[is_single_select],MATCH(VALUE(questions[[#This Row],[qno]]),VALUE(stable[qno]),0))</f>
        <v>0</v>
      </c>
      <c r="Q1724" s="9" t="b" cm="1">
        <f t="array" ref="Q1724">INDEX(stable[is_multi_select],MATCH(VALUE(questions[[#This Row],[qno]]),VALUE(stable[qno]),0))</f>
        <v>0</v>
      </c>
      <c r="R1724" s="9" t="b" cm="1">
        <f t="array" ref="R1724">INDEX(stable[is_skip_logic],MATCH(VALUE(questions[[#This Row],[qno]]),VALUE(stable[qno]),0))</f>
        <v>0</v>
      </c>
      <c r="S1724" s="9" t="str">
        <f>_xlfn.TEXTJOIN(", ",TRUE,questions[[#This Row],[ans_opt_1]:[ans_opt_14]])</f>
        <v/>
      </c>
      <c r="AH1724" s="16" t="b">
        <f>INDEX(stable[q_standard],MATCH(questions[[#This Row],[qno]],stable[qno],0))</f>
        <v>0</v>
      </c>
      <c r="AI1724" s="16" t="b">
        <f>INDEX(stable[q_living_income],MATCH(questions[[#This Row],[qno]],stable[qno],0))</f>
        <v>1</v>
      </c>
      <c r="AJ1724" s="16" t="b">
        <f>INDEX(stable[q_carbon],MATCH(questions[[#This Row],[qno]],stable[qno],0))</f>
        <v>0</v>
      </c>
      <c r="AK1724" s="16" t="b">
        <f>INDEX(stable[q_regen_ag],MATCH(questions[[#This Row],[qno]],stable[qno],0))</f>
        <v>0</v>
      </c>
      <c r="AL1724" s="16" t="b">
        <f>COUNTIFS(stable[qno],questions[[#This Row],[qno]])=1</f>
        <v>1</v>
      </c>
      <c r="AM1724" s="16" t="b">
        <f>OR(questions[[#This Row],[is_fixed]],questions[[#This Row],[is_localized]],questions[[#This Row],[is_supply_chain_dependent]])</f>
        <v>1</v>
      </c>
      <c r="AN1724" s="16" t="b">
        <f>COUNTIFS(questions[[#This Row],[is_automated]:[is_multi_select]],TRUE)=1</f>
        <v>1</v>
      </c>
      <c r="AO1724" s="16" t="b">
        <f>IF(questions[[#This Row],[is_fixed]],questions[[#This Row],[question]]=INDEX(stable[question],MATCH(questions[[#This Row],[qno]],stable[qno],0)),TRUE)</f>
        <v>1</v>
      </c>
      <c r="AP1724" s="16" t="str">
        <f>LEFT(questions[[#This Row],[question]],similarity_range)</f>
        <v>What was the most co</v>
      </c>
      <c r="AQ1724" s="16" t="str">
        <f>LEFT(INDEX(stable[question],MATCH(questions[[#This Row],[qno]],stable[qno],0)),similarity_range)</f>
        <v>What was the most co</v>
      </c>
      <c r="AR1724" s="16" t="b">
        <f>questions[[#This Row],[question_first_characters]]=questions[[#This Row],[stability_first_characters]]</f>
        <v>1</v>
      </c>
      <c r="AS1724" s="16" t="b">
        <f>IF(OR(questions[[#This Row],[is_single_select]],questions[[#This Row],[is_multi_select]]),NOT(ISBLANK(questions[[#This Row],[answer_opt_combined]])),TRUE)</f>
        <v>1</v>
      </c>
    </row>
    <row r="1725" spans="1:45" ht="15.75" customHeight="1" x14ac:dyDescent="0.25">
      <c r="A1725" s="9" t="str">
        <f>_xlfn.TEXTJOIN("_",TRUE,questions[[#This Row],[origin]:[qno]])</f>
        <v>Uganda_Robusta_2026_3220</v>
      </c>
      <c r="B1725" s="9" t="s">
        <v>511</v>
      </c>
      <c r="C1725" s="9" t="s">
        <v>674</v>
      </c>
      <c r="E1725" s="33">
        <v>2026</v>
      </c>
      <c r="F1725" s="24" t="s">
        <v>550</v>
      </c>
      <c r="G1725" s="15" t="s">
        <v>551</v>
      </c>
      <c r="H1725" s="9" t="str" cm="1">
        <f t="array" ref="H1725">INDEX(stableR[question],MATCH(VALUE(questions[[#This Row],[qno]]),VALUE(stableR[qno]),0))</f>
        <v>How many kilograms of dried cherries did you sell during the main season?</v>
      </c>
      <c r="I1725" s="9" t="b" cm="1">
        <f t="array" ref="I1725">INDEX(stable[is_fixed],MATCH(VALUE(questions[[#This Row],[qno]]),VALUE(stable[qno]),0))</f>
        <v>0</v>
      </c>
      <c r="J1725" s="9" t="b" cm="1">
        <f t="array" ref="J1725">INDEX(stable[is_localized],MATCH(VALUE(questions[[#This Row],[qno]]),VALUE(stable[qno]),0))</f>
        <v>0</v>
      </c>
      <c r="K1725" s="9" t="b" cm="1">
        <f t="array" ref="K1725">INDEX(stable[is_supply_chain_dependent],MATCH(VALUE(questions[[#This Row],[qno]]),VALUE(stable[qno]),0))</f>
        <v>1</v>
      </c>
      <c r="L1725" s="9" t="b" cm="1">
        <f t="array" ref="L1725">INDEX(stable[is_mandatory],MATCH(VALUE(questions[[#This Row],[qno]]),VALUE(stable[qno]),0))</f>
        <v>0</v>
      </c>
      <c r="M1725" s="9" t="b" cm="1">
        <f t="array" ref="M1725">INDEX(stable[is_automated],MATCH(VALUE(questions[[#This Row],[qno]]),VALUE(stable[qno]),0))</f>
        <v>0</v>
      </c>
      <c r="N1725" s="9" t="b" cm="1">
        <f t="array" ref="N1725">INDEX(stable[is_free_text],MATCH(VALUE(questions[[#This Row],[qno]]),VALUE(stable[qno]),0))</f>
        <v>0</v>
      </c>
      <c r="O1725" s="9" t="b" cm="1">
        <f t="array" ref="O1725">INDEX(stable[is_numerical],MATCH(VALUE(questions[[#This Row],[qno]]),VALUE(stable[qno]),0))</f>
        <v>1</v>
      </c>
      <c r="P1725" s="9" t="b" cm="1">
        <f t="array" ref="P1725">INDEX(stable[is_single_select],MATCH(VALUE(questions[[#This Row],[qno]]),VALUE(stable[qno]),0))</f>
        <v>0</v>
      </c>
      <c r="Q1725" s="9" t="b" cm="1">
        <f t="array" ref="Q1725">INDEX(stable[is_multi_select],MATCH(VALUE(questions[[#This Row],[qno]]),VALUE(stable[qno]),0))</f>
        <v>0</v>
      </c>
      <c r="R1725" s="9" t="b" cm="1">
        <f t="array" ref="R1725">INDEX(stable[is_skip_logic],MATCH(VALUE(questions[[#This Row],[qno]]),VALUE(stable[qno]),0))</f>
        <v>0</v>
      </c>
      <c r="S1725" s="9" t="str">
        <f>_xlfn.TEXTJOIN(", ",TRUE,questions[[#This Row],[ans_opt_1]:[ans_opt_14]])</f>
        <v/>
      </c>
      <c r="AH1725" s="16" t="b">
        <f>INDEX(stable[q_standard],MATCH(questions[[#This Row],[qno]],stable[qno],0))</f>
        <v>0</v>
      </c>
      <c r="AI1725" s="16" t="b">
        <f>INDEX(stable[q_living_income],MATCH(questions[[#This Row],[qno]],stable[qno],0))</f>
        <v>1</v>
      </c>
      <c r="AJ1725" s="16" t="b">
        <f>INDEX(stable[q_carbon],MATCH(questions[[#This Row],[qno]],stable[qno],0))</f>
        <v>1</v>
      </c>
      <c r="AK1725" s="16" t="b">
        <f>INDEX(stable[q_regen_ag],MATCH(questions[[#This Row],[qno]],stable[qno],0))</f>
        <v>1</v>
      </c>
      <c r="AL1725" s="16" t="b">
        <f>COUNTIFS(stable[qno],questions[[#This Row],[qno]])=1</f>
        <v>1</v>
      </c>
      <c r="AM1725" s="16" t="b">
        <f>OR(questions[[#This Row],[is_fixed]],questions[[#This Row],[is_localized]],questions[[#This Row],[is_supply_chain_dependent]])</f>
        <v>1</v>
      </c>
      <c r="AN1725" s="16" t="b">
        <f>COUNTIFS(questions[[#This Row],[is_automated]:[is_multi_select]],TRUE)=1</f>
        <v>1</v>
      </c>
      <c r="AO1725" s="16" t="b">
        <f>IF(questions[[#This Row],[is_fixed]],questions[[#This Row],[question]]=INDEX(stable[question],MATCH(questions[[#This Row],[qno]],stable[qno],0)),TRUE)</f>
        <v>1</v>
      </c>
      <c r="AP1725" s="16" t="str">
        <f>LEFT(questions[[#This Row],[question]],similarity_range)</f>
        <v>How many kilograms o</v>
      </c>
      <c r="AQ1725" s="16" t="str">
        <f>LEFT(INDEX(stable[question],MATCH(questions[[#This Row],[qno]],stable[qno],0)),similarity_range)</f>
        <v>How many kilograms o</v>
      </c>
      <c r="AR1725" s="16" t="b">
        <f>questions[[#This Row],[question_first_characters]]=questions[[#This Row],[stability_first_characters]]</f>
        <v>1</v>
      </c>
      <c r="AS1725" s="16" t="b">
        <f>IF(OR(questions[[#This Row],[is_single_select]],questions[[#This Row],[is_multi_select]]),NOT(ISBLANK(questions[[#This Row],[answer_opt_combined]])),TRUE)</f>
        <v>1</v>
      </c>
    </row>
    <row r="1726" spans="1:45" ht="15.75" customHeight="1" x14ac:dyDescent="0.25">
      <c r="A1726" s="9" t="str">
        <f>_xlfn.TEXTJOIN("_",TRUE,questions[[#This Row],[origin]:[qno]])</f>
        <v>Uganda_Robusta_2026_3221</v>
      </c>
      <c r="B1726" s="9" t="s">
        <v>511</v>
      </c>
      <c r="C1726" s="9" t="s">
        <v>674</v>
      </c>
      <c r="E1726" s="33">
        <v>2026</v>
      </c>
      <c r="F1726" s="24" t="s">
        <v>552</v>
      </c>
      <c r="G1726" s="15" t="s">
        <v>553</v>
      </c>
      <c r="H1726" s="9" t="str" cm="1">
        <f t="array" ref="H1726">INDEX(stableR[question],MATCH(VALUE(questions[[#This Row],[qno]]),VALUE(stableR[qno]),0))</f>
        <v>What was the most common price per kilogram that you received for dried cherries harvested in the main season? (in local currency)</v>
      </c>
      <c r="I1726" s="9" t="b" cm="1">
        <f t="array" ref="I1726">INDEX(stable[is_fixed],MATCH(VALUE(questions[[#This Row],[qno]]),VALUE(stable[qno]),0))</f>
        <v>0</v>
      </c>
      <c r="J1726" s="9" t="b" cm="1">
        <f t="array" ref="J1726">INDEX(stable[is_localized],MATCH(VALUE(questions[[#This Row],[qno]]),VALUE(stable[qno]),0))</f>
        <v>0</v>
      </c>
      <c r="K1726" s="9" t="b" cm="1">
        <f t="array" ref="K1726">INDEX(stable[is_supply_chain_dependent],MATCH(VALUE(questions[[#This Row],[qno]]),VALUE(stable[qno]),0))</f>
        <v>1</v>
      </c>
      <c r="L1726" s="9" t="b" cm="1">
        <f t="array" ref="L1726">INDEX(stable[is_mandatory],MATCH(VALUE(questions[[#This Row],[qno]]),VALUE(stable[qno]),0))</f>
        <v>0</v>
      </c>
      <c r="M1726" s="9" t="b" cm="1">
        <f t="array" ref="M1726">INDEX(stable[is_automated],MATCH(VALUE(questions[[#This Row],[qno]]),VALUE(stable[qno]),0))</f>
        <v>0</v>
      </c>
      <c r="N1726" s="9" t="b" cm="1">
        <f t="array" ref="N1726">INDEX(stable[is_free_text],MATCH(VALUE(questions[[#This Row],[qno]]),VALUE(stable[qno]),0))</f>
        <v>0</v>
      </c>
      <c r="O1726" s="9" t="b" cm="1">
        <f t="array" ref="O1726">INDEX(stable[is_numerical],MATCH(VALUE(questions[[#This Row],[qno]]),VALUE(stable[qno]),0))</f>
        <v>1</v>
      </c>
      <c r="P1726" s="9" t="b" cm="1">
        <f t="array" ref="P1726">INDEX(stable[is_single_select],MATCH(VALUE(questions[[#This Row],[qno]]),VALUE(stable[qno]),0))</f>
        <v>0</v>
      </c>
      <c r="Q1726" s="9" t="b" cm="1">
        <f t="array" ref="Q1726">INDEX(stable[is_multi_select],MATCH(VALUE(questions[[#This Row],[qno]]),VALUE(stable[qno]),0))</f>
        <v>0</v>
      </c>
      <c r="R1726" s="9" t="b" cm="1">
        <f t="array" ref="R1726">INDEX(stable[is_skip_logic],MATCH(VALUE(questions[[#This Row],[qno]]),VALUE(stable[qno]),0))</f>
        <v>0</v>
      </c>
      <c r="S1726" s="9" t="str">
        <f>_xlfn.TEXTJOIN(", ",TRUE,questions[[#This Row],[ans_opt_1]:[ans_opt_14]])</f>
        <v/>
      </c>
      <c r="AH1726" s="16" t="b">
        <f>INDEX(stable[q_standard],MATCH(questions[[#This Row],[qno]],stable[qno],0))</f>
        <v>0</v>
      </c>
      <c r="AI1726" s="16" t="b">
        <f>INDEX(stable[q_living_income],MATCH(questions[[#This Row],[qno]],stable[qno],0))</f>
        <v>1</v>
      </c>
      <c r="AJ1726" s="16" t="b">
        <f>INDEX(stable[q_carbon],MATCH(questions[[#This Row],[qno]],stable[qno],0))</f>
        <v>0</v>
      </c>
      <c r="AK1726" s="16" t="b">
        <f>INDEX(stable[q_regen_ag],MATCH(questions[[#This Row],[qno]],stable[qno],0))</f>
        <v>0</v>
      </c>
      <c r="AL1726" s="16" t="b">
        <f>COUNTIFS(stable[qno],questions[[#This Row],[qno]])=1</f>
        <v>1</v>
      </c>
      <c r="AM1726" s="16" t="b">
        <f>OR(questions[[#This Row],[is_fixed]],questions[[#This Row],[is_localized]],questions[[#This Row],[is_supply_chain_dependent]])</f>
        <v>1</v>
      </c>
      <c r="AN1726" s="16" t="b">
        <f>COUNTIFS(questions[[#This Row],[is_automated]:[is_multi_select]],TRUE)=1</f>
        <v>1</v>
      </c>
      <c r="AO1726" s="16" t="b">
        <f>IF(questions[[#This Row],[is_fixed]],questions[[#This Row],[question]]=INDEX(stable[question],MATCH(questions[[#This Row],[qno]],stable[qno],0)),TRUE)</f>
        <v>1</v>
      </c>
      <c r="AP1726" s="16" t="str">
        <f>LEFT(questions[[#This Row],[question]],similarity_range)</f>
        <v>What was the most co</v>
      </c>
      <c r="AQ1726" s="16" t="str">
        <f>LEFT(INDEX(stable[question],MATCH(questions[[#This Row],[qno]],stable[qno],0)),similarity_range)</f>
        <v>What was the most co</v>
      </c>
      <c r="AR1726" s="16" t="b">
        <f>questions[[#This Row],[question_first_characters]]=questions[[#This Row],[stability_first_characters]]</f>
        <v>1</v>
      </c>
      <c r="AS1726" s="16" t="b">
        <f>IF(OR(questions[[#This Row],[is_single_select]],questions[[#This Row],[is_multi_select]]),NOT(ISBLANK(questions[[#This Row],[answer_opt_combined]])),TRUE)</f>
        <v>1</v>
      </c>
    </row>
    <row r="1727" spans="1:45" ht="15.75" customHeight="1" x14ac:dyDescent="0.25">
      <c r="A1727" s="9" t="str">
        <f>_xlfn.TEXTJOIN("_",TRUE,questions[[#This Row],[origin]:[qno]])</f>
        <v>Uganda_Robusta_2026_3200</v>
      </c>
      <c r="B1727" s="9" t="s">
        <v>511</v>
      </c>
      <c r="C1727" s="9" t="s">
        <v>674</v>
      </c>
      <c r="E1727" s="33">
        <v>2026</v>
      </c>
      <c r="F1727" s="24" t="s">
        <v>542</v>
      </c>
      <c r="G1727" s="15" t="s">
        <v>543</v>
      </c>
      <c r="H1727" s="9" t="str" cm="1">
        <f t="array" ref="H1727">INDEX(stableR[question],MATCH(VALUE(questions[[#This Row],[qno]]),VALUE(stableR[qno]),0))</f>
        <v>How many kilograms of fresh cherries did you sell during the main season?</v>
      </c>
      <c r="I1727" s="9" t="b" cm="1">
        <f t="array" ref="I1727">INDEX(stable[is_fixed],MATCH(VALUE(questions[[#This Row],[qno]]),VALUE(stable[qno]),0))</f>
        <v>0</v>
      </c>
      <c r="J1727" s="9" t="b" cm="1">
        <f t="array" ref="J1727">INDEX(stable[is_localized],MATCH(VALUE(questions[[#This Row],[qno]]),VALUE(stable[qno]),0))</f>
        <v>1</v>
      </c>
      <c r="K1727" s="9" t="b" cm="1">
        <f t="array" ref="K1727">INDEX(stable[is_supply_chain_dependent],MATCH(VALUE(questions[[#This Row],[qno]]),VALUE(stable[qno]),0))</f>
        <v>0</v>
      </c>
      <c r="L1727" s="9" t="b" cm="1">
        <f t="array" ref="L1727">INDEX(stable[is_mandatory],MATCH(VALUE(questions[[#This Row],[qno]]),VALUE(stable[qno]),0))</f>
        <v>0</v>
      </c>
      <c r="M1727" s="9" t="b" cm="1">
        <f t="array" ref="M1727">INDEX(stable[is_automated],MATCH(VALUE(questions[[#This Row],[qno]]),VALUE(stable[qno]),0))</f>
        <v>0</v>
      </c>
      <c r="N1727" s="9" t="b" cm="1">
        <f t="array" ref="N1727">INDEX(stable[is_free_text],MATCH(VALUE(questions[[#This Row],[qno]]),VALUE(stable[qno]),0))</f>
        <v>0</v>
      </c>
      <c r="O1727" s="9" t="b" cm="1">
        <f t="array" ref="O1727">INDEX(stable[is_numerical],MATCH(VALUE(questions[[#This Row],[qno]]),VALUE(stable[qno]),0))</f>
        <v>1</v>
      </c>
      <c r="P1727" s="9" t="b" cm="1">
        <f t="array" ref="P1727">INDEX(stable[is_single_select],MATCH(VALUE(questions[[#This Row],[qno]]),VALUE(stable[qno]),0))</f>
        <v>0</v>
      </c>
      <c r="Q1727" s="9" t="b" cm="1">
        <f t="array" ref="Q1727">INDEX(stable[is_multi_select],MATCH(VALUE(questions[[#This Row],[qno]]),VALUE(stable[qno]),0))</f>
        <v>0</v>
      </c>
      <c r="R1727" s="9" t="b" cm="1">
        <f t="array" ref="R1727">INDEX(stable[is_skip_logic],MATCH(VALUE(questions[[#This Row],[qno]]),VALUE(stable[qno]),0))</f>
        <v>0</v>
      </c>
      <c r="S1727" s="9" t="str">
        <f>_xlfn.TEXTJOIN(", ",TRUE,questions[[#This Row],[ans_opt_1]:[ans_opt_14]])</f>
        <v/>
      </c>
      <c r="AH1727" s="16" t="b">
        <f>INDEX(stable[q_standard],MATCH(questions[[#This Row],[qno]],stable[qno],0))</f>
        <v>0</v>
      </c>
      <c r="AI1727" s="16" t="b">
        <f>INDEX(stable[q_living_income],MATCH(questions[[#This Row],[qno]],stable[qno],0))</f>
        <v>1</v>
      </c>
      <c r="AJ1727" s="16" t="b">
        <f>INDEX(stable[q_carbon],MATCH(questions[[#This Row],[qno]],stable[qno],0))</f>
        <v>1</v>
      </c>
      <c r="AK1727" s="16" t="b">
        <f>INDEX(stable[q_regen_ag],MATCH(questions[[#This Row],[qno]],stable[qno],0))</f>
        <v>1</v>
      </c>
      <c r="AL1727" s="16" t="b">
        <f>COUNTIFS(stable[qno],questions[[#This Row],[qno]])=1</f>
        <v>1</v>
      </c>
      <c r="AM1727" s="16" t="b">
        <f>OR(questions[[#This Row],[is_fixed]],questions[[#This Row],[is_localized]],questions[[#This Row],[is_supply_chain_dependent]])</f>
        <v>1</v>
      </c>
      <c r="AN1727" s="16" t="b">
        <f>COUNTIFS(questions[[#This Row],[is_automated]:[is_multi_select]],TRUE)=1</f>
        <v>1</v>
      </c>
      <c r="AO1727" s="16" t="b">
        <f>IF(questions[[#This Row],[is_fixed]],questions[[#This Row],[question]]=INDEX(stable[question],MATCH(questions[[#This Row],[qno]],stable[qno],0)),TRUE)</f>
        <v>1</v>
      </c>
      <c r="AP1727" s="16" t="str">
        <f>LEFT(questions[[#This Row],[question]],similarity_range)</f>
        <v>How many kilograms o</v>
      </c>
      <c r="AQ1727" s="16" t="str">
        <f>LEFT(INDEX(stable[question],MATCH(questions[[#This Row],[qno]],stable[qno],0)),similarity_range)</f>
        <v>How many kilograms o</v>
      </c>
      <c r="AR1727" s="16" t="b">
        <f>questions[[#This Row],[question_first_characters]]=questions[[#This Row],[stability_first_characters]]</f>
        <v>1</v>
      </c>
      <c r="AS1727" s="16" t="b">
        <f>IF(OR(questions[[#This Row],[is_single_select]],questions[[#This Row],[is_multi_select]]),NOT(ISBLANK(questions[[#This Row],[answer_opt_combined]])),TRUE)</f>
        <v>1</v>
      </c>
    </row>
    <row r="1728" spans="1:45" ht="15.75" customHeight="1" x14ac:dyDescent="0.25">
      <c r="A1728" s="9" t="str">
        <f>_xlfn.TEXTJOIN("_",TRUE,questions[[#This Row],[origin]:[qno]])</f>
        <v>Uganda_Robusta_2026_3201</v>
      </c>
      <c r="B1728" s="9" t="s">
        <v>511</v>
      </c>
      <c r="C1728" s="9" t="s">
        <v>674</v>
      </c>
      <c r="E1728" s="33">
        <v>2026</v>
      </c>
      <c r="F1728" s="24" t="s">
        <v>544</v>
      </c>
      <c r="G1728" s="15" t="s">
        <v>883</v>
      </c>
      <c r="H1728" s="9" t="str" cm="1">
        <f t="array" ref="H1728">INDEX(stableR[question],MATCH(VALUE(questions[[#This Row],[qno]]),VALUE(stableR[qno]),0))</f>
        <v>What was the most common price per kilogram that you received for fresh cherries harvested in the main season? (in local currency)</v>
      </c>
      <c r="I1728" s="9" t="b" cm="1">
        <f t="array" ref="I1728">INDEX(stable[is_fixed],MATCH(VALUE(questions[[#This Row],[qno]]),VALUE(stable[qno]),0))</f>
        <v>0</v>
      </c>
      <c r="J1728" s="9" t="b" cm="1">
        <f t="array" ref="J1728">INDEX(stable[is_localized],MATCH(VALUE(questions[[#This Row],[qno]]),VALUE(stable[qno]),0))</f>
        <v>1</v>
      </c>
      <c r="K1728" s="9" t="b" cm="1">
        <f t="array" ref="K1728">INDEX(stable[is_supply_chain_dependent],MATCH(VALUE(questions[[#This Row],[qno]]),VALUE(stable[qno]),0))</f>
        <v>0</v>
      </c>
      <c r="L1728" s="9" t="b" cm="1">
        <f t="array" ref="L1728">INDEX(stable[is_mandatory],MATCH(VALUE(questions[[#This Row],[qno]]),VALUE(stable[qno]),0))</f>
        <v>0</v>
      </c>
      <c r="M1728" s="9" t="b" cm="1">
        <f t="array" ref="M1728">INDEX(stable[is_automated],MATCH(VALUE(questions[[#This Row],[qno]]),VALUE(stable[qno]),0))</f>
        <v>0</v>
      </c>
      <c r="N1728" s="9" t="b" cm="1">
        <f t="array" ref="N1728">INDEX(stable[is_free_text],MATCH(VALUE(questions[[#This Row],[qno]]),VALUE(stable[qno]),0))</f>
        <v>0</v>
      </c>
      <c r="O1728" s="9" t="b" cm="1">
        <f t="array" ref="O1728">INDEX(stable[is_numerical],MATCH(VALUE(questions[[#This Row],[qno]]),VALUE(stable[qno]),0))</f>
        <v>1</v>
      </c>
      <c r="P1728" s="9" t="b" cm="1">
        <f t="array" ref="P1728">INDEX(stable[is_single_select],MATCH(VALUE(questions[[#This Row],[qno]]),VALUE(stable[qno]),0))</f>
        <v>0</v>
      </c>
      <c r="Q1728" s="9" t="b" cm="1">
        <f t="array" ref="Q1728">INDEX(stable[is_multi_select],MATCH(VALUE(questions[[#This Row],[qno]]),VALUE(stable[qno]),0))</f>
        <v>0</v>
      </c>
      <c r="R1728" s="9" t="b" cm="1">
        <f t="array" ref="R1728">INDEX(stable[is_skip_logic],MATCH(VALUE(questions[[#This Row],[qno]]),VALUE(stable[qno]),0))</f>
        <v>0</v>
      </c>
      <c r="S1728" s="9" t="str">
        <f>_xlfn.TEXTJOIN(", ",TRUE,questions[[#This Row],[ans_opt_1]:[ans_opt_14]])</f>
        <v/>
      </c>
      <c r="AH1728" s="16" t="b">
        <f>INDEX(stable[q_standard],MATCH(questions[[#This Row],[qno]],stable[qno],0))</f>
        <v>0</v>
      </c>
      <c r="AI1728" s="16" t="b">
        <f>INDEX(stable[q_living_income],MATCH(questions[[#This Row],[qno]],stable[qno],0))</f>
        <v>1</v>
      </c>
      <c r="AJ1728" s="16" t="b">
        <f>INDEX(stable[q_carbon],MATCH(questions[[#This Row],[qno]],stable[qno],0))</f>
        <v>0</v>
      </c>
      <c r="AK1728" s="16" t="b">
        <f>INDEX(stable[q_regen_ag],MATCH(questions[[#This Row],[qno]],stable[qno],0))</f>
        <v>0</v>
      </c>
      <c r="AL1728" s="16" t="b">
        <f>COUNTIFS(stable[qno],questions[[#This Row],[qno]])=1</f>
        <v>1</v>
      </c>
      <c r="AM1728" s="16" t="b">
        <f>OR(questions[[#This Row],[is_fixed]],questions[[#This Row],[is_localized]],questions[[#This Row],[is_supply_chain_dependent]])</f>
        <v>1</v>
      </c>
      <c r="AN1728" s="16" t="b">
        <f>COUNTIFS(questions[[#This Row],[is_automated]:[is_multi_select]],TRUE)=1</f>
        <v>1</v>
      </c>
      <c r="AO1728" s="16" t="b">
        <f>IF(questions[[#This Row],[is_fixed]],questions[[#This Row],[question]]=INDEX(stable[question],MATCH(questions[[#This Row],[qno]],stable[qno],0)),TRUE)</f>
        <v>1</v>
      </c>
      <c r="AP1728" s="16" t="str">
        <f>LEFT(questions[[#This Row],[question]],similarity_range)</f>
        <v>What was the most co</v>
      </c>
      <c r="AQ1728" s="16" t="str">
        <f>LEFT(INDEX(stable[question],MATCH(questions[[#This Row],[qno]],stable[qno],0)),similarity_range)</f>
        <v>What was the most co</v>
      </c>
      <c r="AR1728" s="16" t="b">
        <f>questions[[#This Row],[question_first_characters]]=questions[[#This Row],[stability_first_characters]]</f>
        <v>1</v>
      </c>
      <c r="AS1728" s="16" t="b">
        <f>IF(OR(questions[[#This Row],[is_single_select]],questions[[#This Row],[is_multi_select]]),NOT(ISBLANK(questions[[#This Row],[answer_opt_combined]])),TRUE)</f>
        <v>1</v>
      </c>
    </row>
    <row r="1729" spans="1:45" ht="15.75" customHeight="1" x14ac:dyDescent="0.25">
      <c r="A1729" s="9" t="str">
        <f>_xlfn.TEXTJOIN("_",TRUE,questions[[#This Row],[origin]:[qno]])</f>
        <v>Uganda_Robusta_2026_4000</v>
      </c>
      <c r="B1729" s="9" t="s">
        <v>511</v>
      </c>
      <c r="C1729" s="9" t="s">
        <v>674</v>
      </c>
      <c r="E1729" s="33">
        <v>2026</v>
      </c>
      <c r="F1729" s="24" t="s">
        <v>143</v>
      </c>
      <c r="G1729" s="15" t="s">
        <v>144</v>
      </c>
      <c r="H1729" s="9" t="str" cm="1">
        <f t="array" ref="H1729">INDEX(stableR[question],MATCH(VALUE(questions[[#This Row],[qno]]),VALUE(stableR[qno]),0))</f>
        <v>About how many coffee trees do you have across all your coffee plots combined?</v>
      </c>
      <c r="I1729" s="9" t="b" cm="1">
        <f t="array" ref="I1729">INDEX(stable[is_fixed],MATCH(VALUE(questions[[#This Row],[qno]]),VALUE(stable[qno]),0))</f>
        <v>1</v>
      </c>
      <c r="J1729" s="9" t="b" cm="1">
        <f t="array" ref="J1729">INDEX(stable[is_localized],MATCH(VALUE(questions[[#This Row],[qno]]),VALUE(stable[qno]),0))</f>
        <v>0</v>
      </c>
      <c r="K1729" s="9" t="b" cm="1">
        <f t="array" ref="K1729">INDEX(stable[is_supply_chain_dependent],MATCH(VALUE(questions[[#This Row],[qno]]),VALUE(stable[qno]),0))</f>
        <v>0</v>
      </c>
      <c r="L1729" s="9" t="b" cm="1">
        <f t="array" ref="L1729">INDEX(stable[is_mandatory],MATCH(VALUE(questions[[#This Row],[qno]]),VALUE(stable[qno]),0))</f>
        <v>1</v>
      </c>
      <c r="M1729" s="9" t="b" cm="1">
        <f t="array" ref="M1729">INDEX(stable[is_automated],MATCH(VALUE(questions[[#This Row],[qno]]),VALUE(stable[qno]),0))</f>
        <v>0</v>
      </c>
      <c r="N1729" s="9" t="b" cm="1">
        <f t="array" ref="N1729">INDEX(stable[is_free_text],MATCH(VALUE(questions[[#This Row],[qno]]),VALUE(stable[qno]),0))</f>
        <v>0</v>
      </c>
      <c r="O1729" s="9" t="b" cm="1">
        <f t="array" ref="O1729">INDEX(stable[is_numerical],MATCH(VALUE(questions[[#This Row],[qno]]),VALUE(stable[qno]),0))</f>
        <v>1</v>
      </c>
      <c r="P1729" s="9" t="b" cm="1">
        <f t="array" ref="P1729">INDEX(stable[is_single_select],MATCH(VALUE(questions[[#This Row],[qno]]),VALUE(stable[qno]),0))</f>
        <v>0</v>
      </c>
      <c r="Q1729" s="9" t="b" cm="1">
        <f t="array" ref="Q1729">INDEX(stable[is_multi_select],MATCH(VALUE(questions[[#This Row],[qno]]),VALUE(stable[qno]),0))</f>
        <v>0</v>
      </c>
      <c r="R1729" s="9" t="b" cm="1">
        <f t="array" ref="R1729">INDEX(stable[is_skip_logic],MATCH(VALUE(questions[[#This Row],[qno]]),VALUE(stable[qno]),0))</f>
        <v>0</v>
      </c>
      <c r="S1729" s="9" t="str">
        <f>_xlfn.TEXTJOIN(", ",TRUE,questions[[#This Row],[ans_opt_1]:[ans_opt_14]])</f>
        <v/>
      </c>
      <c r="AH1729" s="16" t="b">
        <f>INDEX(stable[q_standard],MATCH(questions[[#This Row],[qno]],stable[qno],0))</f>
        <v>0</v>
      </c>
      <c r="AI1729" s="16" t="b">
        <f>INDEX(stable[q_living_income],MATCH(questions[[#This Row],[qno]],stable[qno],0))</f>
        <v>1</v>
      </c>
      <c r="AJ1729" s="16" t="b">
        <f>INDEX(stable[q_carbon],MATCH(questions[[#This Row],[qno]],stable[qno],0))</f>
        <v>1</v>
      </c>
      <c r="AK1729" s="16" t="b">
        <f>INDEX(stable[q_regen_ag],MATCH(questions[[#This Row],[qno]],stable[qno],0))</f>
        <v>1</v>
      </c>
      <c r="AL1729" s="16" t="b">
        <f>COUNTIFS(stable[qno],questions[[#This Row],[qno]])=1</f>
        <v>1</v>
      </c>
      <c r="AM1729" s="16" t="b">
        <f>OR(questions[[#This Row],[is_fixed]],questions[[#This Row],[is_localized]],questions[[#This Row],[is_supply_chain_dependent]])</f>
        <v>1</v>
      </c>
      <c r="AN1729" s="16" t="b">
        <f>COUNTIFS(questions[[#This Row],[is_automated]:[is_multi_select]],TRUE)=1</f>
        <v>1</v>
      </c>
      <c r="AO1729" s="16" t="b">
        <f>IF(questions[[#This Row],[is_fixed]],questions[[#This Row],[question]]=INDEX(stable[question],MATCH(questions[[#This Row],[qno]],stable[qno],0)),TRUE)</f>
        <v>1</v>
      </c>
      <c r="AP1729" s="16" t="str">
        <f>LEFT(questions[[#This Row],[question]],similarity_range)</f>
        <v>Can you estimate how</v>
      </c>
      <c r="AQ1729" s="16" t="str">
        <f>LEFT(INDEX(stable[question],MATCH(questions[[#This Row],[qno]],stable[qno],0)),similarity_range)</f>
        <v>Can you estimate how</v>
      </c>
      <c r="AR1729" s="16" t="b">
        <f>questions[[#This Row],[question_first_characters]]=questions[[#This Row],[stability_first_characters]]</f>
        <v>1</v>
      </c>
      <c r="AS1729" s="16" t="b">
        <f>IF(OR(questions[[#This Row],[is_single_select]],questions[[#This Row],[is_multi_select]]),NOT(ISBLANK(questions[[#This Row],[answer_opt_combined]])),TRUE)</f>
        <v>1</v>
      </c>
    </row>
    <row r="1730" spans="1:45" ht="15.75" customHeight="1" x14ac:dyDescent="0.25">
      <c r="A1730" s="9" t="str">
        <f>_xlfn.TEXTJOIN("_",TRUE,questions[[#This Row],[origin]:[qno]])</f>
        <v>Uganda_Robusta_2026_4100</v>
      </c>
      <c r="B1730" s="9" t="s">
        <v>511</v>
      </c>
      <c r="C1730" s="9" t="s">
        <v>674</v>
      </c>
      <c r="E1730" s="33">
        <v>2026</v>
      </c>
      <c r="F1730" s="24" t="s">
        <v>145</v>
      </c>
      <c r="G1730" s="15" t="s">
        <v>146</v>
      </c>
      <c r="H1730" s="9" t="str" cm="1">
        <f t="array" ref="H1730">INDEX(stableR[question],MATCH(VALUE(questions[[#This Row],[qno]]),VALUE(stableR[qno]),0))</f>
        <v>In total, how many plots with coffee do you have?</v>
      </c>
      <c r="I1730" s="9" t="b" cm="1">
        <f t="array" ref="I1730">INDEX(stable[is_fixed],MATCH(VALUE(questions[[#This Row],[qno]]),VALUE(stable[qno]),0))</f>
        <v>1</v>
      </c>
      <c r="J1730" s="9" t="b" cm="1">
        <f t="array" ref="J1730">INDEX(stable[is_localized],MATCH(VALUE(questions[[#This Row],[qno]]),VALUE(stable[qno]),0))</f>
        <v>0</v>
      </c>
      <c r="K1730" s="9" t="b" cm="1">
        <f t="array" ref="K1730">INDEX(stable[is_supply_chain_dependent],MATCH(VALUE(questions[[#This Row],[qno]]),VALUE(stable[qno]),0))</f>
        <v>0</v>
      </c>
      <c r="L1730" s="9" t="b" cm="1">
        <f t="array" ref="L1730">INDEX(stable[is_mandatory],MATCH(VALUE(questions[[#This Row],[qno]]),VALUE(stable[qno]),0))</f>
        <v>1</v>
      </c>
      <c r="M1730" s="9" t="b" cm="1">
        <f t="array" ref="M1730">INDEX(stable[is_automated],MATCH(VALUE(questions[[#This Row],[qno]]),VALUE(stable[qno]),0))</f>
        <v>0</v>
      </c>
      <c r="N1730" s="9" t="b" cm="1">
        <f t="array" ref="N1730">INDEX(stable[is_free_text],MATCH(VALUE(questions[[#This Row],[qno]]),VALUE(stable[qno]),0))</f>
        <v>0</v>
      </c>
      <c r="O1730" s="9" t="b" cm="1">
        <f t="array" ref="O1730">INDEX(stable[is_numerical],MATCH(VALUE(questions[[#This Row],[qno]]),VALUE(stable[qno]),0))</f>
        <v>1</v>
      </c>
      <c r="P1730" s="9" t="b" cm="1">
        <f t="array" ref="P1730">INDEX(stable[is_single_select],MATCH(VALUE(questions[[#This Row],[qno]]),VALUE(stable[qno]),0))</f>
        <v>0</v>
      </c>
      <c r="Q1730" s="9" t="b" cm="1">
        <f t="array" ref="Q1730">INDEX(stable[is_multi_select],MATCH(VALUE(questions[[#This Row],[qno]]),VALUE(stable[qno]),0))</f>
        <v>0</v>
      </c>
      <c r="R1730" s="9" t="b" cm="1">
        <f t="array" ref="R1730">INDEX(stable[is_skip_logic],MATCH(VALUE(questions[[#This Row],[qno]]),VALUE(stable[qno]),0))</f>
        <v>0</v>
      </c>
      <c r="S1730" s="9" t="str">
        <f>_xlfn.TEXTJOIN(", ",TRUE,questions[[#This Row],[ans_opt_1]:[ans_opt_14]])</f>
        <v/>
      </c>
      <c r="AH1730" s="16" t="b">
        <f>INDEX(stable[q_standard],MATCH(questions[[#This Row],[qno]],stable[qno],0))</f>
        <v>0</v>
      </c>
      <c r="AI1730" s="16" t="b">
        <f>INDEX(stable[q_living_income],MATCH(questions[[#This Row],[qno]],stable[qno],0))</f>
        <v>1</v>
      </c>
      <c r="AJ1730" s="16" t="b">
        <f>INDEX(stable[q_carbon],MATCH(questions[[#This Row],[qno]],stable[qno],0))</f>
        <v>1</v>
      </c>
      <c r="AK1730" s="16" t="b">
        <f>INDEX(stable[q_regen_ag],MATCH(questions[[#This Row],[qno]],stable[qno],0))</f>
        <v>1</v>
      </c>
      <c r="AL1730" s="16" t="b">
        <f>COUNTIFS(stable[qno],questions[[#This Row],[qno]])=1</f>
        <v>1</v>
      </c>
      <c r="AM1730" s="16" t="b">
        <f>OR(questions[[#This Row],[is_fixed]],questions[[#This Row],[is_localized]],questions[[#This Row],[is_supply_chain_dependent]])</f>
        <v>1</v>
      </c>
      <c r="AN1730" s="16" t="b">
        <f>COUNTIFS(questions[[#This Row],[is_automated]:[is_multi_select]],TRUE)=1</f>
        <v>1</v>
      </c>
      <c r="AO1730" s="16" t="b">
        <f>IF(questions[[#This Row],[is_fixed]],questions[[#This Row],[question]]=INDEX(stable[question],MATCH(questions[[#This Row],[qno]],stable[qno],0)),TRUE)</f>
        <v>1</v>
      </c>
      <c r="AP1730" s="16" t="str">
        <f>LEFT(questions[[#This Row],[question]],similarity_range)</f>
        <v>In total, how many p</v>
      </c>
      <c r="AQ1730" s="16" t="str">
        <f>LEFT(INDEX(stable[question],MATCH(questions[[#This Row],[qno]],stable[qno],0)),similarity_range)</f>
        <v>In total, how many p</v>
      </c>
      <c r="AR1730" s="16" t="b">
        <f>questions[[#This Row],[question_first_characters]]=questions[[#This Row],[stability_first_characters]]</f>
        <v>1</v>
      </c>
      <c r="AS1730" s="16" t="b">
        <f>IF(OR(questions[[#This Row],[is_single_select]],questions[[#This Row],[is_multi_select]]),NOT(ISBLANK(questions[[#This Row],[answer_opt_combined]])),TRUE)</f>
        <v>1</v>
      </c>
    </row>
    <row r="1731" spans="1:45" s="77" customFormat="1" ht="15.75" customHeight="1" x14ac:dyDescent="0.25">
      <c r="A1731" s="77" t="str">
        <f>_xlfn.TEXTJOIN("_",TRUE,questions[[#This Row],[origin]:[qno]])</f>
        <v>Uganda_Robusta_2026_4101</v>
      </c>
      <c r="B1731" s="77" t="s">
        <v>511</v>
      </c>
      <c r="C1731" s="77" t="s">
        <v>674</v>
      </c>
      <c r="E1731" s="77">
        <v>2026</v>
      </c>
      <c r="F1731" s="104" t="s">
        <v>147</v>
      </c>
      <c r="G1731" s="78" t="s">
        <v>734</v>
      </c>
      <c r="H1731" s="9" t="str" cm="1">
        <f t="array" ref="H1731">INDEX(stableR[question],MATCH(VALUE(questions[[#This Row],[qno]]),VALUE(stableR[qno]),0))</f>
        <v>Can we go to measure/polygon map (area audit) each of these plots?</v>
      </c>
      <c r="I1731" s="9" t="b" cm="1">
        <f t="array" ref="I1731">INDEX(stable[is_fixed],MATCH(VALUE(questions[[#This Row],[qno]]),VALUE(stable[qno]),0))</f>
        <v>1</v>
      </c>
      <c r="J1731" s="9" t="b" cm="1">
        <f t="array" ref="J1731">INDEX(stable[is_localized],MATCH(VALUE(questions[[#This Row],[qno]]),VALUE(stable[qno]),0))</f>
        <v>0</v>
      </c>
      <c r="K1731" s="9" t="b" cm="1">
        <f t="array" ref="K1731">INDEX(stable[is_supply_chain_dependent],MATCH(VALUE(questions[[#This Row],[qno]]),VALUE(stable[qno]),0))</f>
        <v>0</v>
      </c>
      <c r="L1731" s="9" t="b" cm="1">
        <f t="array" ref="L1731">INDEX(stable[is_mandatory],MATCH(VALUE(questions[[#This Row],[qno]]),VALUE(stable[qno]),0))</f>
        <v>1</v>
      </c>
      <c r="M1731" s="9" t="b" cm="1">
        <f t="array" ref="M1731">INDEX(stable[is_automated],MATCH(VALUE(questions[[#This Row],[qno]]),VALUE(stable[qno]),0))</f>
        <v>0</v>
      </c>
      <c r="N1731" s="9" t="b" cm="1">
        <f t="array" ref="N1731">INDEX(stable[is_free_text],MATCH(VALUE(questions[[#This Row],[qno]]),VALUE(stable[qno]),0))</f>
        <v>0</v>
      </c>
      <c r="O1731" s="9" t="b" cm="1">
        <f t="array" ref="O1731">INDEX(stable[is_numerical],MATCH(VALUE(questions[[#This Row],[qno]]),VALUE(stable[qno]),0))</f>
        <v>0</v>
      </c>
      <c r="P1731" s="77" t="b" cm="1">
        <f t="array" ref="P1731">INDEX(stable[is_single_select],MATCH(VALUE(questions[[#This Row],[qno]]),VALUE(stable[qno]),0))</f>
        <v>1</v>
      </c>
      <c r="Q1731" s="77" t="b" cm="1">
        <f t="array" ref="Q1731">INDEX(stable[is_multi_select],MATCH(VALUE(questions[[#This Row],[qno]]),VALUE(stable[qno]),0))</f>
        <v>0</v>
      </c>
      <c r="R1731" s="77" t="b" cm="1">
        <f t="array" ref="R1731">INDEX(stable[is_skip_logic],MATCH(VALUE(questions[[#This Row],[qno]]),VALUE(stable[qno]),0))</f>
        <v>1</v>
      </c>
      <c r="S1731" s="77" t="str">
        <f>_xlfn.TEXTJOIN(", ",TRUE,questions[[#This Row],[ans_opt_1]:[ans_opt_14]])</f>
        <v>Yes, No</v>
      </c>
      <c r="T1731" s="77" t="s">
        <v>149</v>
      </c>
      <c r="U1731" s="77" t="s">
        <v>119</v>
      </c>
      <c r="AH1731" s="98" t="b">
        <f>INDEX(stable[q_standard],MATCH(questions[[#This Row],[qno]],stable[qno],0))</f>
        <v>0</v>
      </c>
      <c r="AI1731" s="98" t="b">
        <f>INDEX(stable[q_living_income],MATCH(questions[[#This Row],[qno]],stable[qno],0))</f>
        <v>1</v>
      </c>
      <c r="AJ1731" s="98" t="b">
        <f>INDEX(stable[q_carbon],MATCH(questions[[#This Row],[qno]],stable[qno],0))</f>
        <v>1</v>
      </c>
      <c r="AK1731" s="98" t="b">
        <f>INDEX(stable[q_regen_ag],MATCH(questions[[#This Row],[qno]],stable[qno],0))</f>
        <v>1</v>
      </c>
      <c r="AL1731" s="98" t="b">
        <f>COUNTIFS(stable[qno],questions[[#This Row],[qno]])=1</f>
        <v>1</v>
      </c>
      <c r="AM1731" s="98" t="b">
        <f>OR(questions[[#This Row],[is_fixed]],questions[[#This Row],[is_localized]],questions[[#This Row],[is_supply_chain_dependent]])</f>
        <v>1</v>
      </c>
      <c r="AN1731" s="98" t="b">
        <f>COUNTIFS(questions[[#This Row],[is_automated]:[is_multi_select]],TRUE)=1</f>
        <v>1</v>
      </c>
      <c r="AO1731" s="98" t="b">
        <f>IF(questions[[#This Row],[is_fixed]],questions[[#This Row],[question]]=INDEX(stable[question],MATCH(questions[[#This Row],[qno]],stable[qno],0)),TRUE)</f>
        <v>0</v>
      </c>
      <c r="AP1731" s="98" t="str">
        <f>LEFT(questions[[#This Row],[question]],similarity_range)</f>
        <v>Can we go to measure</v>
      </c>
      <c r="AQ1731" s="98" t="str">
        <f>LEFT(INDEX(stable[question],MATCH(questions[[#This Row],[qno]],stable[qno],0)),similarity_range)</f>
        <v>Can we go to measure</v>
      </c>
      <c r="AR1731" s="98" t="b">
        <f>questions[[#This Row],[question_first_characters]]=questions[[#This Row],[stability_first_characters]]</f>
        <v>1</v>
      </c>
      <c r="AS1731" s="98" t="b">
        <f>IF(OR(questions[[#This Row],[is_single_select]],questions[[#This Row],[is_multi_select]]),NOT(ISBLANK(questions[[#This Row],[answer_opt_combined]])),TRUE)</f>
        <v>1</v>
      </c>
    </row>
    <row r="1732" spans="1:45" s="77" customFormat="1" ht="15.75" customHeight="1" x14ac:dyDescent="0.25">
      <c r="A1732" s="77" t="str">
        <f>_xlfn.TEXTJOIN("_",TRUE,questions[[#This Row],[origin]:[qno]])</f>
        <v>Uganda_Robusta_2026_4102</v>
      </c>
      <c r="B1732" s="77" t="s">
        <v>511</v>
      </c>
      <c r="C1732" s="77" t="s">
        <v>674</v>
      </c>
      <c r="E1732" s="77">
        <v>2026</v>
      </c>
      <c r="F1732" s="104" t="s">
        <v>150</v>
      </c>
      <c r="G1732" s="78" t="s">
        <v>151</v>
      </c>
      <c r="H1732" s="9" t="str" cm="1">
        <f t="array" ref="H1732">INDEX(stableR[question],MATCH(VALUE(questions[[#This Row],[qno]]),VALUE(stableR[qno]),0))</f>
        <v>If No, what is the reason why we cannot visit this/these plot (s) to measure/polygon map it/them?</v>
      </c>
      <c r="I1732" s="9" t="b" cm="1">
        <f t="array" ref="I1732">INDEX(stable[is_fixed],MATCH(VALUE(questions[[#This Row],[qno]]),VALUE(stable[qno]),0))</f>
        <v>1</v>
      </c>
      <c r="J1732" s="9" t="b" cm="1">
        <f t="array" ref="J1732">INDEX(stable[is_localized],MATCH(VALUE(questions[[#This Row],[qno]]),VALUE(stable[qno]),0))</f>
        <v>0</v>
      </c>
      <c r="K1732" s="9" t="b" cm="1">
        <f t="array" ref="K1732">INDEX(stable[is_supply_chain_dependent],MATCH(VALUE(questions[[#This Row],[qno]]),VALUE(stable[qno]),0))</f>
        <v>0</v>
      </c>
      <c r="L1732" s="9" t="b" cm="1">
        <f t="array" ref="L1732">INDEX(stable[is_mandatory],MATCH(VALUE(questions[[#This Row],[qno]]),VALUE(stable[qno]),0))</f>
        <v>0</v>
      </c>
      <c r="M1732" s="9" t="b" cm="1">
        <f t="array" ref="M1732">INDEX(stable[is_automated],MATCH(VALUE(questions[[#This Row],[qno]]),VALUE(stable[qno]),0))</f>
        <v>0</v>
      </c>
      <c r="N1732" s="9" t="b" cm="1">
        <f t="array" ref="N1732">INDEX(stable[is_free_text],MATCH(VALUE(questions[[#This Row],[qno]]),VALUE(stable[qno]),0))</f>
        <v>0</v>
      </c>
      <c r="O1732" s="9" t="b" cm="1">
        <f t="array" ref="O1732">INDEX(stable[is_numerical],MATCH(VALUE(questions[[#This Row],[qno]]),VALUE(stable[qno]),0))</f>
        <v>0</v>
      </c>
      <c r="P1732" s="77" t="b" cm="1">
        <f t="array" ref="P1732">INDEX(stable[is_single_select],MATCH(VALUE(questions[[#This Row],[qno]]),VALUE(stable[qno]),0))</f>
        <v>1</v>
      </c>
      <c r="Q1732" s="77" t="b" cm="1">
        <f t="array" ref="Q1732">INDEX(stable[is_multi_select],MATCH(VALUE(questions[[#This Row],[qno]]),VALUE(stable[qno]),0))</f>
        <v>0</v>
      </c>
      <c r="R1732" s="77" t="b" cm="1">
        <f t="array" ref="R1732">INDEX(stable[is_skip_logic],MATCH(VALUE(questions[[#This Row],[qno]]),VALUE(stable[qno]),0))</f>
        <v>1</v>
      </c>
      <c r="S1732" s="77" t="str">
        <f>_xlfn.TEXTJOIN(", ",TRUE,questions[[#This Row],[ans_opt_1]:[ans_opt_14]])</f>
        <v>Too far, Farmer not willing, Other reason</v>
      </c>
      <c r="T1732" s="77" t="s">
        <v>152</v>
      </c>
      <c r="U1732" s="77" t="s">
        <v>153</v>
      </c>
      <c r="V1732" s="77" t="s">
        <v>154</v>
      </c>
      <c r="AH1732" s="98" t="b">
        <f>INDEX(stable[q_standard],MATCH(questions[[#This Row],[qno]],stable[qno],0))</f>
        <v>0</v>
      </c>
      <c r="AI1732" s="98" t="b">
        <f>INDEX(stable[q_living_income],MATCH(questions[[#This Row],[qno]],stable[qno],0))</f>
        <v>1</v>
      </c>
      <c r="AJ1732" s="98" t="b">
        <f>INDEX(stable[q_carbon],MATCH(questions[[#This Row],[qno]],stable[qno],0))</f>
        <v>1</v>
      </c>
      <c r="AK1732" s="98" t="b">
        <f>INDEX(stable[q_regen_ag],MATCH(questions[[#This Row],[qno]],stable[qno],0))</f>
        <v>1</v>
      </c>
      <c r="AL1732" s="98" t="b">
        <f>COUNTIFS(stable[qno],questions[[#This Row],[qno]])=1</f>
        <v>1</v>
      </c>
      <c r="AM1732" s="98" t="b">
        <f>OR(questions[[#This Row],[is_fixed]],questions[[#This Row],[is_localized]],questions[[#This Row],[is_supply_chain_dependent]])</f>
        <v>1</v>
      </c>
      <c r="AN1732" s="98" t="b">
        <f>COUNTIFS(questions[[#This Row],[is_automated]:[is_multi_select]],TRUE)=1</f>
        <v>1</v>
      </c>
      <c r="AO1732" s="98" t="b">
        <f>IF(questions[[#This Row],[is_fixed]],questions[[#This Row],[question]]=INDEX(stable[question],MATCH(questions[[#This Row],[qno]],stable[qno],0)),TRUE)</f>
        <v>1</v>
      </c>
      <c r="AP1732" s="98" t="str">
        <f>LEFT(questions[[#This Row],[question]],similarity_range)</f>
        <v>If no, what is the r</v>
      </c>
      <c r="AQ1732" s="98" t="str">
        <f>LEFT(INDEX(stable[question],MATCH(questions[[#This Row],[qno]],stable[qno],0)),similarity_range)</f>
        <v>If no, what is the r</v>
      </c>
      <c r="AR1732" s="98" t="b">
        <f>questions[[#This Row],[question_first_characters]]=questions[[#This Row],[stability_first_characters]]</f>
        <v>1</v>
      </c>
      <c r="AS1732" s="98" t="b">
        <f>IF(OR(questions[[#This Row],[is_single_select]],questions[[#This Row],[is_multi_select]]),NOT(ISBLANK(questions[[#This Row],[answer_opt_combined]])),TRUE)</f>
        <v>1</v>
      </c>
    </row>
    <row r="1733" spans="1:45" ht="15.75" customHeight="1" x14ac:dyDescent="0.25">
      <c r="A1733" s="9" t="str">
        <f>_xlfn.TEXTJOIN("_",TRUE,questions[[#This Row],[origin]:[qno]])</f>
        <v>Uganda_Robusta_2026_4103</v>
      </c>
      <c r="B1733" s="9" t="s">
        <v>511</v>
      </c>
      <c r="C1733" s="9" t="s">
        <v>674</v>
      </c>
      <c r="E1733" s="33">
        <v>2026</v>
      </c>
      <c r="F1733" s="24" t="s">
        <v>155</v>
      </c>
      <c r="G1733" s="15" t="s">
        <v>156</v>
      </c>
      <c r="H1733" s="9" t="str" cm="1">
        <f t="array" ref="H1733">INDEX(stableR[question],MATCH(VALUE(questions[[#This Row],[qno]]),VALUE(stableR[qno]),0))</f>
        <v>Of your total coffee plots, how many cannot be visited during the survey?</v>
      </c>
      <c r="I1733" s="9" t="b" cm="1">
        <f t="array" ref="I1733">INDEX(stable[is_fixed],MATCH(VALUE(questions[[#This Row],[qno]]),VALUE(stable[qno]),0))</f>
        <v>1</v>
      </c>
      <c r="J1733" s="9" t="b" cm="1">
        <f t="array" ref="J1733">INDEX(stable[is_localized],MATCH(VALUE(questions[[#This Row],[qno]]),VALUE(stable[qno]),0))</f>
        <v>0</v>
      </c>
      <c r="K1733" s="9" t="b" cm="1">
        <f t="array" ref="K1733">INDEX(stable[is_supply_chain_dependent],MATCH(VALUE(questions[[#This Row],[qno]]),VALUE(stable[qno]),0))</f>
        <v>0</v>
      </c>
      <c r="L1733" s="9" t="b" cm="1">
        <f t="array" ref="L1733">INDEX(stable[is_mandatory],MATCH(VALUE(questions[[#This Row],[qno]]),VALUE(stable[qno]),0))</f>
        <v>0</v>
      </c>
      <c r="M1733" s="9" t="b" cm="1">
        <f t="array" ref="M1733">INDEX(stable[is_automated],MATCH(VALUE(questions[[#This Row],[qno]]),VALUE(stable[qno]),0))</f>
        <v>0</v>
      </c>
      <c r="N1733" s="9" t="b" cm="1">
        <f t="array" ref="N1733">INDEX(stable[is_free_text],MATCH(VALUE(questions[[#This Row],[qno]]),VALUE(stable[qno]),0))</f>
        <v>0</v>
      </c>
      <c r="O1733" s="9" t="b" cm="1">
        <f t="array" ref="O1733">INDEX(stable[is_numerical],MATCH(VALUE(questions[[#This Row],[qno]]),VALUE(stable[qno]),0))</f>
        <v>1</v>
      </c>
      <c r="P1733" s="9" t="b" cm="1">
        <f t="array" ref="P1733">INDEX(stable[is_single_select],MATCH(VALUE(questions[[#This Row],[qno]]),VALUE(stable[qno]),0))</f>
        <v>0</v>
      </c>
      <c r="Q1733" s="9" t="b" cm="1">
        <f t="array" ref="Q1733">INDEX(stable[is_multi_select],MATCH(VALUE(questions[[#This Row],[qno]]),VALUE(stable[qno]),0))</f>
        <v>0</v>
      </c>
      <c r="R1733" s="9" t="b" cm="1">
        <f t="array" ref="R1733">INDEX(stable[is_skip_logic],MATCH(VALUE(questions[[#This Row],[qno]]),VALUE(stable[qno]),0))</f>
        <v>0</v>
      </c>
      <c r="S1733" s="9" t="str">
        <f>_xlfn.TEXTJOIN(", ",TRUE,questions[[#This Row],[ans_opt_1]:[ans_opt_14]])</f>
        <v/>
      </c>
      <c r="AH1733" s="16" t="b">
        <f>INDEX(stable[q_standard],MATCH(questions[[#This Row],[qno]],stable[qno],0))</f>
        <v>0</v>
      </c>
      <c r="AI1733" s="16" t="b">
        <f>INDEX(stable[q_living_income],MATCH(questions[[#This Row],[qno]],stable[qno],0))</f>
        <v>1</v>
      </c>
      <c r="AJ1733" s="16" t="b">
        <f>INDEX(stable[q_carbon],MATCH(questions[[#This Row],[qno]],stable[qno],0))</f>
        <v>1</v>
      </c>
      <c r="AK1733" s="16" t="b">
        <f>INDEX(stable[q_regen_ag],MATCH(questions[[#This Row],[qno]],stable[qno],0))</f>
        <v>1</v>
      </c>
      <c r="AL1733" s="16" t="b">
        <f>COUNTIFS(stable[qno],questions[[#This Row],[qno]])=1</f>
        <v>1</v>
      </c>
      <c r="AM1733" s="16" t="b">
        <f>OR(questions[[#This Row],[is_fixed]],questions[[#This Row],[is_localized]],questions[[#This Row],[is_supply_chain_dependent]])</f>
        <v>1</v>
      </c>
      <c r="AN1733" s="16" t="b">
        <f>COUNTIFS(questions[[#This Row],[is_automated]:[is_multi_select]],TRUE)=1</f>
        <v>1</v>
      </c>
      <c r="AO1733" s="16" t="b">
        <f>IF(questions[[#This Row],[is_fixed]],questions[[#This Row],[question]]=INDEX(stable[question],MATCH(questions[[#This Row],[qno]],stable[qno],0)),TRUE)</f>
        <v>1</v>
      </c>
      <c r="AP1733" s="16" t="str">
        <f>LEFT(questions[[#This Row],[question]],similarity_range)</f>
        <v>How many coffee plot</v>
      </c>
      <c r="AQ1733" s="16" t="str">
        <f>LEFT(INDEX(stable[question],MATCH(questions[[#This Row],[qno]],stable[qno],0)),similarity_range)</f>
        <v>How many coffee plot</v>
      </c>
      <c r="AR1733" s="16" t="b">
        <f>questions[[#This Row],[question_first_characters]]=questions[[#This Row],[stability_first_characters]]</f>
        <v>1</v>
      </c>
      <c r="AS1733" s="16" t="b">
        <f>IF(OR(questions[[#This Row],[is_single_select]],questions[[#This Row],[is_multi_select]]),NOT(ISBLANK(questions[[#This Row],[answer_opt_combined]])),TRUE)</f>
        <v>1</v>
      </c>
    </row>
    <row r="1734" spans="1:45" ht="15.75" customHeight="1" x14ac:dyDescent="0.25">
      <c r="A1734" s="9" t="str">
        <f>_xlfn.TEXTJOIN("_",TRUE,questions[[#This Row],[origin]:[qno]])</f>
        <v>Uganda_Robusta_2026_4104</v>
      </c>
      <c r="B1734" s="9" t="s">
        <v>511</v>
      </c>
      <c r="C1734" s="9" t="s">
        <v>674</v>
      </c>
      <c r="E1734" s="33">
        <v>2026</v>
      </c>
      <c r="F1734" s="24" t="s">
        <v>157</v>
      </c>
      <c r="G1734" s="15" t="s">
        <v>158</v>
      </c>
      <c r="H1734" s="9" t="str" cm="1">
        <f t="array" ref="H1734">INDEX(stableR[question],MATCH(VALUE(questions[[#This Row],[qno]]),VALUE(stableR[qno]),0))</f>
        <v>Of the coffee plots that cannot be visited, what is the total area of these plots? (in acres)</v>
      </c>
      <c r="I1734" s="9" t="b" cm="1">
        <f t="array" ref="I1734">INDEX(stable[is_fixed],MATCH(VALUE(questions[[#This Row],[qno]]),VALUE(stable[qno]),0))</f>
        <v>1</v>
      </c>
      <c r="J1734" s="9" t="b" cm="1">
        <f t="array" ref="J1734">INDEX(stable[is_localized],MATCH(VALUE(questions[[#This Row],[qno]]),VALUE(stable[qno]),0))</f>
        <v>0</v>
      </c>
      <c r="K1734" s="9" t="b" cm="1">
        <f t="array" ref="K1734">INDEX(stable[is_supply_chain_dependent],MATCH(VALUE(questions[[#This Row],[qno]]),VALUE(stable[qno]),0))</f>
        <v>0</v>
      </c>
      <c r="L1734" s="9" t="b" cm="1">
        <f t="array" ref="L1734">INDEX(stable[is_mandatory],MATCH(VALUE(questions[[#This Row],[qno]]),VALUE(stable[qno]),0))</f>
        <v>0</v>
      </c>
      <c r="M1734" s="9" t="b" cm="1">
        <f t="array" ref="M1734">INDEX(stable[is_automated],MATCH(VALUE(questions[[#This Row],[qno]]),VALUE(stable[qno]),0))</f>
        <v>0</v>
      </c>
      <c r="N1734" s="9" t="b" cm="1">
        <f t="array" ref="N1734">INDEX(stable[is_free_text],MATCH(VALUE(questions[[#This Row],[qno]]),VALUE(stable[qno]),0))</f>
        <v>0</v>
      </c>
      <c r="O1734" s="9" t="b" cm="1">
        <f t="array" ref="O1734">INDEX(stable[is_numerical],MATCH(VALUE(questions[[#This Row],[qno]]),VALUE(stable[qno]),0))</f>
        <v>1</v>
      </c>
      <c r="P1734" s="9" t="b" cm="1">
        <f t="array" ref="P1734">INDEX(stable[is_single_select],MATCH(VALUE(questions[[#This Row],[qno]]),VALUE(stable[qno]),0))</f>
        <v>0</v>
      </c>
      <c r="Q1734" s="9" t="b" cm="1">
        <f t="array" ref="Q1734">INDEX(stable[is_multi_select],MATCH(VALUE(questions[[#This Row],[qno]]),VALUE(stable[qno]),0))</f>
        <v>0</v>
      </c>
      <c r="R1734" s="9" t="b" cm="1">
        <f t="array" ref="R1734">INDEX(stable[is_skip_logic],MATCH(VALUE(questions[[#This Row],[qno]]),VALUE(stable[qno]),0))</f>
        <v>0</v>
      </c>
      <c r="S1734" s="9" t="str">
        <f>_xlfn.TEXTJOIN(", ",TRUE,questions[[#This Row],[ans_opt_1]:[ans_opt_14]])</f>
        <v/>
      </c>
      <c r="AH1734" s="16" t="b">
        <f>INDEX(stable[q_standard],MATCH(questions[[#This Row],[qno]],stable[qno],0))</f>
        <v>0</v>
      </c>
      <c r="AI1734" s="16" t="b">
        <f>INDEX(stable[q_living_income],MATCH(questions[[#This Row],[qno]],stable[qno],0))</f>
        <v>1</v>
      </c>
      <c r="AJ1734" s="16" t="b">
        <f>INDEX(stable[q_carbon],MATCH(questions[[#This Row],[qno]],stable[qno],0))</f>
        <v>1</v>
      </c>
      <c r="AK1734" s="16" t="b">
        <f>INDEX(stable[q_regen_ag],MATCH(questions[[#This Row],[qno]],stable[qno],0))</f>
        <v>1</v>
      </c>
      <c r="AL1734" s="16" t="b">
        <f>COUNTIFS(stable[qno],questions[[#This Row],[qno]])=1</f>
        <v>1</v>
      </c>
      <c r="AM1734" s="16" t="b">
        <f>OR(questions[[#This Row],[is_fixed]],questions[[#This Row],[is_localized]],questions[[#This Row],[is_supply_chain_dependent]])</f>
        <v>1</v>
      </c>
      <c r="AN1734" s="16" t="b">
        <f>COUNTIFS(questions[[#This Row],[is_automated]:[is_multi_select]],TRUE)=1</f>
        <v>1</v>
      </c>
      <c r="AO1734" s="16" t="b">
        <f>IF(questions[[#This Row],[is_fixed]],questions[[#This Row],[question]]=INDEX(stable[question],MATCH(questions[[#This Row],[qno]],stable[qno],0)),TRUE)</f>
        <v>1</v>
      </c>
      <c r="AP1734" s="16" t="str">
        <f>LEFT(questions[[#This Row],[question]],similarity_range)</f>
        <v>What is the total ar</v>
      </c>
      <c r="AQ1734" s="16" t="str">
        <f>LEFT(INDEX(stable[question],MATCH(questions[[#This Row],[qno]],stable[qno],0)),similarity_range)</f>
        <v>What is the total ar</v>
      </c>
      <c r="AR1734" s="16" t="b">
        <f>questions[[#This Row],[question_first_characters]]=questions[[#This Row],[stability_first_characters]]</f>
        <v>1</v>
      </c>
      <c r="AS1734" s="16" t="b">
        <f>IF(OR(questions[[#This Row],[is_single_select]],questions[[#This Row],[is_multi_select]]),NOT(ISBLANK(questions[[#This Row],[answer_opt_combined]])),TRUE)</f>
        <v>1</v>
      </c>
    </row>
    <row r="1735" spans="1:45" s="77" customFormat="1" ht="15.75" customHeight="1" x14ac:dyDescent="0.25">
      <c r="A1735" s="77" t="str">
        <f>_xlfn.TEXTJOIN("_",TRUE,questions[[#This Row],[origin]:[qno]])</f>
        <v>Uganda_Robusta_2026_5000</v>
      </c>
      <c r="B1735" s="77" t="s">
        <v>511</v>
      </c>
      <c r="C1735" s="77" t="s">
        <v>674</v>
      </c>
      <c r="E1735" s="77">
        <v>2026</v>
      </c>
      <c r="F1735" s="104" t="s">
        <v>159</v>
      </c>
      <c r="G1735" s="78" t="s">
        <v>884</v>
      </c>
      <c r="H1735" s="9" t="str" cm="1">
        <f t="array" ref="H1735">INDEX(stableR[question],MATCH(VALUE(questions[[#This Row],[qno]]),VALUE(stableR[qno]),0))</f>
        <v>Did you use synthetic fertilizers for your coffee last year?</v>
      </c>
      <c r="I1735" s="9" t="b" cm="1">
        <f t="array" ref="I1735">INDEX(stable[is_fixed],MATCH(VALUE(questions[[#This Row],[qno]]),VALUE(stable[qno]),0))</f>
        <v>1</v>
      </c>
      <c r="J1735" s="9" t="b" cm="1">
        <f t="array" ref="J1735">INDEX(stable[is_localized],MATCH(VALUE(questions[[#This Row],[qno]]),VALUE(stable[qno]),0))</f>
        <v>0</v>
      </c>
      <c r="K1735" s="9" t="b" cm="1">
        <f t="array" ref="K1735">INDEX(stable[is_supply_chain_dependent],MATCH(VALUE(questions[[#This Row],[qno]]),VALUE(stable[qno]),0))</f>
        <v>0</v>
      </c>
      <c r="L1735" s="9" t="b" cm="1">
        <f t="array" ref="L1735">INDEX(stable[is_mandatory],MATCH(VALUE(questions[[#This Row],[qno]]),VALUE(stable[qno]),0))</f>
        <v>1</v>
      </c>
      <c r="M1735" s="9" t="b" cm="1">
        <f t="array" ref="M1735">INDEX(stable[is_automated],MATCH(VALUE(questions[[#This Row],[qno]]),VALUE(stable[qno]),0))</f>
        <v>0</v>
      </c>
      <c r="N1735" s="9" t="b" cm="1">
        <f t="array" ref="N1735">INDEX(stable[is_free_text],MATCH(VALUE(questions[[#This Row],[qno]]),VALUE(stable[qno]),0))</f>
        <v>0</v>
      </c>
      <c r="O1735" s="9" t="b" cm="1">
        <f t="array" ref="O1735">INDEX(stable[is_numerical],MATCH(VALUE(questions[[#This Row],[qno]]),VALUE(stable[qno]),0))</f>
        <v>0</v>
      </c>
      <c r="P1735" s="77" t="b" cm="1">
        <f t="array" ref="P1735">INDEX(stable[is_single_select],MATCH(VALUE(questions[[#This Row],[qno]]),VALUE(stable[qno]),0))</f>
        <v>1</v>
      </c>
      <c r="Q1735" s="77" t="b" cm="1">
        <f t="array" ref="Q1735">INDEX(stable[is_multi_select],MATCH(VALUE(questions[[#This Row],[qno]]),VALUE(stable[qno]),0))</f>
        <v>0</v>
      </c>
      <c r="R1735" s="77" t="b" cm="1">
        <f t="array" ref="R1735">INDEX(stable[is_skip_logic],MATCH(VALUE(questions[[#This Row],[qno]]),VALUE(stable[qno]),0))</f>
        <v>1</v>
      </c>
      <c r="S1735" s="77" t="str">
        <f>_xlfn.TEXTJOIN(", ",TRUE,questions[[#This Row],[ans_opt_1]:[ans_opt_14]])</f>
        <v>Yes, No</v>
      </c>
      <c r="T1735" s="77" t="s">
        <v>149</v>
      </c>
      <c r="U1735" s="77" t="s">
        <v>119</v>
      </c>
      <c r="AH1735" s="98" t="b">
        <f>INDEX(stable[q_standard],MATCH(questions[[#This Row],[qno]],stable[qno],0))</f>
        <v>0</v>
      </c>
      <c r="AI1735" s="98" t="b">
        <f>INDEX(stable[q_living_income],MATCH(questions[[#This Row],[qno]],stable[qno],0))</f>
        <v>1</v>
      </c>
      <c r="AJ1735" s="98" t="b">
        <f>INDEX(stable[q_carbon],MATCH(questions[[#This Row],[qno]],stable[qno],0))</f>
        <v>1</v>
      </c>
      <c r="AK1735" s="98" t="b">
        <f>INDEX(stable[q_regen_ag],MATCH(questions[[#This Row],[qno]],stable[qno],0))</f>
        <v>0</v>
      </c>
      <c r="AL1735" s="98" t="b">
        <f>COUNTIFS(stable[qno],questions[[#This Row],[qno]])=1</f>
        <v>1</v>
      </c>
      <c r="AM1735" s="98" t="b">
        <f>OR(questions[[#This Row],[is_fixed]],questions[[#This Row],[is_localized]],questions[[#This Row],[is_supply_chain_dependent]])</f>
        <v>1</v>
      </c>
      <c r="AN1735" s="98" t="b">
        <f>COUNTIFS(questions[[#This Row],[is_automated]:[is_multi_select]],TRUE)=1</f>
        <v>1</v>
      </c>
      <c r="AO1735" s="98" t="b">
        <f>IF(questions[[#This Row],[is_fixed]],questions[[#This Row],[question]]=INDEX(stable[question],MATCH(questions[[#This Row],[qno]],stable[qno],0)),TRUE)</f>
        <v>1</v>
      </c>
      <c r="AP1735" s="98" t="str">
        <f>LEFT(questions[[#This Row],[question]],similarity_range)</f>
        <v>Did you use syntheti</v>
      </c>
      <c r="AQ1735" s="98" t="str">
        <f>LEFT(INDEX(stable[question],MATCH(questions[[#This Row],[qno]],stable[qno],0)),similarity_range)</f>
        <v>Did you use syntheti</v>
      </c>
      <c r="AR1735" s="98" t="b">
        <f>questions[[#This Row],[question_first_characters]]=questions[[#This Row],[stability_first_characters]]</f>
        <v>1</v>
      </c>
      <c r="AS1735" s="98" t="b">
        <f>IF(OR(questions[[#This Row],[is_single_select]],questions[[#This Row],[is_multi_select]]),NOT(ISBLANK(questions[[#This Row],[answer_opt_combined]])),TRUE)</f>
        <v>1</v>
      </c>
    </row>
    <row r="1736" spans="1:45" ht="15.75" customHeight="1" x14ac:dyDescent="0.25">
      <c r="A1736" s="9" t="str">
        <f>_xlfn.TEXTJOIN("_",TRUE,questions[[#This Row],[origin]:[qno]])</f>
        <v>Uganda_Robusta_2026_5001</v>
      </c>
      <c r="B1736" s="9" t="s">
        <v>511</v>
      </c>
      <c r="C1736" s="9" t="s">
        <v>674</v>
      </c>
      <c r="E1736" s="33">
        <v>2026</v>
      </c>
      <c r="F1736" s="24" t="s">
        <v>161</v>
      </c>
      <c r="G1736" s="15" t="s">
        <v>162</v>
      </c>
      <c r="H1736" s="9" t="str" cm="1">
        <f t="array" ref="H1736">INDEX(stableR[question],MATCH(VALUE(questions[[#This Row],[qno]]),VALUE(stableR[qno]),0))</f>
        <v>If yes, how many types of synthetic fertilizer did you use last year?</v>
      </c>
      <c r="I1736" s="9" t="b" cm="1">
        <f t="array" ref="I1736">INDEX(stable[is_fixed],MATCH(VALUE(questions[[#This Row],[qno]]),VALUE(stable[qno]),0))</f>
        <v>1</v>
      </c>
      <c r="J1736" s="9" t="b" cm="1">
        <f t="array" ref="J1736">INDEX(stable[is_localized],MATCH(VALUE(questions[[#This Row],[qno]]),VALUE(stable[qno]),0))</f>
        <v>0</v>
      </c>
      <c r="K1736" s="9" t="b" cm="1">
        <f t="array" ref="K1736">INDEX(stable[is_supply_chain_dependent],MATCH(VALUE(questions[[#This Row],[qno]]),VALUE(stable[qno]),0))</f>
        <v>0</v>
      </c>
      <c r="L1736" s="9" t="b" cm="1">
        <f t="array" ref="L1736">INDEX(stable[is_mandatory],MATCH(VALUE(questions[[#This Row],[qno]]),VALUE(stable[qno]),0))</f>
        <v>0</v>
      </c>
      <c r="M1736" s="9" t="b" cm="1">
        <f t="array" ref="M1736">INDEX(stable[is_automated],MATCH(VALUE(questions[[#This Row],[qno]]),VALUE(stable[qno]),0))</f>
        <v>0</v>
      </c>
      <c r="N1736" s="9" t="b" cm="1">
        <f t="array" ref="N1736">INDEX(stable[is_free_text],MATCH(VALUE(questions[[#This Row],[qno]]),VALUE(stable[qno]),0))</f>
        <v>0</v>
      </c>
      <c r="O1736" s="9" t="b" cm="1">
        <f t="array" ref="O1736">INDEX(stable[is_numerical],MATCH(VALUE(questions[[#This Row],[qno]]),VALUE(stable[qno]),0))</f>
        <v>1</v>
      </c>
      <c r="P1736" s="9" t="b" cm="1">
        <f t="array" ref="P1736">INDEX(stable[is_single_select],MATCH(VALUE(questions[[#This Row],[qno]]),VALUE(stable[qno]),0))</f>
        <v>0</v>
      </c>
      <c r="Q1736" s="9" t="b" cm="1">
        <f t="array" ref="Q1736">INDEX(stable[is_multi_select],MATCH(VALUE(questions[[#This Row],[qno]]),VALUE(stable[qno]),0))</f>
        <v>0</v>
      </c>
      <c r="R1736" s="9" t="b" cm="1">
        <f t="array" ref="R1736">INDEX(stable[is_skip_logic],MATCH(VALUE(questions[[#This Row],[qno]]),VALUE(stable[qno]),0))</f>
        <v>1</v>
      </c>
      <c r="S1736" s="9" t="str">
        <f>_xlfn.TEXTJOIN(", ",TRUE,questions[[#This Row],[ans_opt_1]:[ans_opt_14]])</f>
        <v/>
      </c>
      <c r="AH1736" s="16" t="b">
        <f>INDEX(stable[q_standard],MATCH(questions[[#This Row],[qno]],stable[qno],0))</f>
        <v>0</v>
      </c>
      <c r="AI1736" s="16" t="b">
        <f>INDEX(stable[q_living_income],MATCH(questions[[#This Row],[qno]],stable[qno],0))</f>
        <v>1</v>
      </c>
      <c r="AJ1736" s="16" t="b">
        <f>INDEX(stable[q_carbon],MATCH(questions[[#This Row],[qno]],stable[qno],0))</f>
        <v>1</v>
      </c>
      <c r="AK1736" s="16" t="b">
        <f>INDEX(stable[q_regen_ag],MATCH(questions[[#This Row],[qno]],stable[qno],0))</f>
        <v>0</v>
      </c>
      <c r="AL1736" s="16" t="b">
        <f>COUNTIFS(stable[qno],questions[[#This Row],[qno]])=1</f>
        <v>1</v>
      </c>
      <c r="AM1736" s="16" t="b">
        <f>OR(questions[[#This Row],[is_fixed]],questions[[#This Row],[is_localized]],questions[[#This Row],[is_supply_chain_dependent]])</f>
        <v>1</v>
      </c>
      <c r="AN1736" s="16" t="b">
        <f>COUNTIFS(questions[[#This Row],[is_automated]:[is_multi_select]],TRUE)=1</f>
        <v>1</v>
      </c>
      <c r="AO1736" s="16" t="b">
        <f>IF(questions[[#This Row],[is_fixed]],questions[[#This Row],[question]]=INDEX(stable[question],MATCH(questions[[#This Row],[qno]],stable[qno],0)),TRUE)</f>
        <v>1</v>
      </c>
      <c r="AP1736" s="16" t="str">
        <f>LEFT(questions[[#This Row],[question]],similarity_range)</f>
        <v>If yes, how many typ</v>
      </c>
      <c r="AQ1736" s="16" t="str">
        <f>LEFT(INDEX(stable[question],MATCH(questions[[#This Row],[qno]],stable[qno],0)),similarity_range)</f>
        <v>If yes, how many typ</v>
      </c>
      <c r="AR1736" s="16" t="b">
        <f>questions[[#This Row],[question_first_characters]]=questions[[#This Row],[stability_first_characters]]</f>
        <v>1</v>
      </c>
      <c r="AS1736" s="16" t="b">
        <f>IF(OR(questions[[#This Row],[is_single_select]],questions[[#This Row],[is_multi_select]]),NOT(ISBLANK(questions[[#This Row],[answer_opt_combined]])),TRUE)</f>
        <v>1</v>
      </c>
    </row>
    <row r="1737" spans="1:45" ht="15.75" customHeight="1" x14ac:dyDescent="0.25">
      <c r="A1737" s="9" t="str">
        <f>_xlfn.TEXTJOIN("_",TRUE,questions[[#This Row],[origin]:[qno]])</f>
        <v>Uganda_Robusta_2026_5100</v>
      </c>
      <c r="B1737" s="9" t="s">
        <v>511</v>
      </c>
      <c r="C1737" s="9" t="s">
        <v>674</v>
      </c>
      <c r="E1737" s="33">
        <v>2026</v>
      </c>
      <c r="F1737" s="24" t="s">
        <v>163</v>
      </c>
      <c r="G1737" s="15" t="s">
        <v>740</v>
      </c>
      <c r="H1737" s="9" t="str" cm="1">
        <f t="array" ref="H1737">INDEX(stableR[question],MATCH(VALUE(questions[[#This Row],[qno]]),VALUE(stableR[qno]),0))</f>
        <v>What was the name of the synthetic fertilizer that you used most, last year?</v>
      </c>
      <c r="I1737" s="9" t="b" cm="1">
        <f t="array" ref="I1737">INDEX(stable[is_fixed],MATCH(VALUE(questions[[#This Row],[qno]]),VALUE(stable[qno]),0))</f>
        <v>0</v>
      </c>
      <c r="J1737" s="9" t="b" cm="1">
        <f t="array" ref="J1737">INDEX(stable[is_localized],MATCH(VALUE(questions[[#This Row],[qno]]),VALUE(stable[qno]),0))</f>
        <v>1</v>
      </c>
      <c r="K1737" s="9" t="b" cm="1">
        <f t="array" ref="K1737">INDEX(stable[is_supply_chain_dependent],MATCH(VALUE(questions[[#This Row],[qno]]),VALUE(stable[qno]),0))</f>
        <v>0</v>
      </c>
      <c r="L1737" s="9" t="b" cm="1">
        <f t="array" ref="L1737">INDEX(stable[is_mandatory],MATCH(VALUE(questions[[#This Row],[qno]]),VALUE(stable[qno]),0))</f>
        <v>0</v>
      </c>
      <c r="M1737" s="9" t="b" cm="1">
        <f t="array" ref="M1737">INDEX(stable[is_automated],MATCH(VALUE(questions[[#This Row],[qno]]),VALUE(stable[qno]),0))</f>
        <v>0</v>
      </c>
      <c r="N1737" s="9" t="b" cm="1">
        <f t="array" ref="N1737">INDEX(stable[is_free_text],MATCH(VALUE(questions[[#This Row],[qno]]),VALUE(stable[qno]),0))</f>
        <v>0</v>
      </c>
      <c r="O1737" s="9" t="b" cm="1">
        <f t="array" ref="O1737">INDEX(stable[is_numerical],MATCH(VALUE(questions[[#This Row],[qno]]),VALUE(stable[qno]),0))</f>
        <v>0</v>
      </c>
      <c r="P1737" s="9" t="b" cm="1">
        <f t="array" ref="P1737">INDEX(stable[is_single_select],MATCH(VALUE(questions[[#This Row],[qno]]),VALUE(stable[qno]),0))</f>
        <v>1</v>
      </c>
      <c r="Q1737" s="9" t="b" cm="1">
        <f t="array" ref="Q1737">INDEX(stable[is_multi_select],MATCH(VALUE(questions[[#This Row],[qno]]),VALUE(stable[qno]),0))</f>
        <v>0</v>
      </c>
      <c r="R1737" s="9" t="b" cm="1">
        <f t="array" ref="R1737">INDEX(stable[is_skip_logic],MATCH(VALUE(questions[[#This Row],[qno]]),VALUE(stable[qno]),0))</f>
        <v>1</v>
      </c>
      <c r="S1737" s="9" t="str">
        <f>_xlfn.TEXTJOIN(", ",TRUE,questions[[#This Row],[ans_opt_1]:[ans_opt_14]])</f>
        <v>Yara Milla Java (NPK 26-6-12), NPK 15-15-15, NPK 17-17-17, Urea (46% N), CAN (calcium ammonium nitrate, 27% N), Grainpulse coffee (NPK 16-2-31), Grainpulse coffee &lt;2 yr (NPK 19-11-22), DAP (di-ammonium phosphate, 18% N), Yara bela sulfan (24N 6S), NPK 25-5-5 S</v>
      </c>
      <c r="T1737" s="9" t="s">
        <v>741</v>
      </c>
      <c r="U1737" s="9" t="s">
        <v>885</v>
      </c>
      <c r="V1737" s="9" t="s">
        <v>742</v>
      </c>
      <c r="W1737" s="9" t="s">
        <v>743</v>
      </c>
      <c r="X1737" s="9" t="s">
        <v>837</v>
      </c>
      <c r="Y1737" s="9" t="s">
        <v>886</v>
      </c>
      <c r="Z1737" s="9" t="s">
        <v>887</v>
      </c>
      <c r="AA1737" s="9" t="s">
        <v>744</v>
      </c>
      <c r="AB1737" s="9" t="s">
        <v>888</v>
      </c>
      <c r="AC1737" s="9" t="s">
        <v>889</v>
      </c>
      <c r="AH1737" s="16" t="b">
        <f>INDEX(stable[q_standard],MATCH(questions[[#This Row],[qno]],stable[qno],0))</f>
        <v>0</v>
      </c>
      <c r="AI1737" s="16" t="b">
        <f>INDEX(stable[q_living_income],MATCH(questions[[#This Row],[qno]],stable[qno],0))</f>
        <v>1</v>
      </c>
      <c r="AJ1737" s="16" t="b">
        <f>INDEX(stable[q_carbon],MATCH(questions[[#This Row],[qno]],stable[qno],0))</f>
        <v>1</v>
      </c>
      <c r="AK1737" s="16" t="b">
        <f>INDEX(stable[q_regen_ag],MATCH(questions[[#This Row],[qno]],stable[qno],0))</f>
        <v>0</v>
      </c>
      <c r="AL1737" s="16" t="b">
        <f>COUNTIFS(stable[qno],questions[[#This Row],[qno]])=1</f>
        <v>1</v>
      </c>
      <c r="AM1737" s="16" t="b">
        <f>OR(questions[[#This Row],[is_fixed]],questions[[#This Row],[is_localized]],questions[[#This Row],[is_supply_chain_dependent]])</f>
        <v>1</v>
      </c>
      <c r="AN1737" s="16" t="b">
        <f>COUNTIFS(questions[[#This Row],[is_automated]:[is_multi_select]],TRUE)=1</f>
        <v>1</v>
      </c>
      <c r="AO1737" s="16" t="b">
        <f>IF(questions[[#This Row],[is_fixed]],questions[[#This Row],[question]]=INDEX(stable[question],MATCH(questions[[#This Row],[qno]],stable[qno],0)),TRUE)</f>
        <v>1</v>
      </c>
      <c r="AP1737" s="16" t="str">
        <f>LEFT(questions[[#This Row],[question]],similarity_range)</f>
        <v xml:space="preserve">What is the name of </v>
      </c>
      <c r="AQ1737" s="16" t="str">
        <f>LEFT(INDEX(stable[question],MATCH(questions[[#This Row],[qno]],stable[qno],0)),similarity_range)</f>
        <v xml:space="preserve">What is the name of </v>
      </c>
      <c r="AR1737" s="16" t="b">
        <f>questions[[#This Row],[question_first_characters]]=questions[[#This Row],[stability_first_characters]]</f>
        <v>1</v>
      </c>
      <c r="AS1737" s="16" t="b">
        <f>IF(OR(questions[[#This Row],[is_single_select]],questions[[#This Row],[is_multi_select]]),NOT(ISBLANK(questions[[#This Row],[answer_opt_combined]])),TRUE)</f>
        <v>1</v>
      </c>
    </row>
    <row r="1738" spans="1:45" ht="15.75" customHeight="1" x14ac:dyDescent="0.25">
      <c r="A1738" s="9" t="str">
        <f>_xlfn.TEXTJOIN("_",TRUE,questions[[#This Row],[origin]:[qno]])</f>
        <v>Uganda_Robusta_2026_5101</v>
      </c>
      <c r="B1738" s="9" t="s">
        <v>511</v>
      </c>
      <c r="C1738" s="9" t="s">
        <v>674</v>
      </c>
      <c r="E1738" s="33">
        <v>2026</v>
      </c>
      <c r="F1738" s="24" t="s">
        <v>165</v>
      </c>
      <c r="G1738" s="21" t="s">
        <v>745</v>
      </c>
      <c r="H1738" s="9" t="str" cm="1">
        <f t="array" ref="H1738">INDEX(stableR[question],MATCH(VALUE(questions[[#This Row],[qno]]),VALUE(stableR[qno]),0))</f>
        <v>What was the total quantity of the synthetic fertilizer that you used most, last year? (Kg)</v>
      </c>
      <c r="I1738" s="9" t="b" cm="1">
        <f t="array" ref="I1738">INDEX(stable[is_fixed],MATCH(VALUE(questions[[#This Row],[qno]]),VALUE(stable[qno]),0))</f>
        <v>0</v>
      </c>
      <c r="J1738" s="9" t="b" cm="1">
        <f t="array" ref="J1738">INDEX(stable[is_localized],MATCH(VALUE(questions[[#This Row],[qno]]),VALUE(stable[qno]),0))</f>
        <v>1</v>
      </c>
      <c r="K1738" s="9" t="b" cm="1">
        <f t="array" ref="K1738">INDEX(stable[is_supply_chain_dependent],MATCH(VALUE(questions[[#This Row],[qno]]),VALUE(stable[qno]),0))</f>
        <v>0</v>
      </c>
      <c r="L1738" s="9" t="b" cm="1">
        <f t="array" ref="L1738">INDEX(stable[is_mandatory],MATCH(VALUE(questions[[#This Row],[qno]]),VALUE(stable[qno]),0))</f>
        <v>0</v>
      </c>
      <c r="M1738" s="9" t="b" cm="1">
        <f t="array" ref="M1738">INDEX(stable[is_automated],MATCH(VALUE(questions[[#This Row],[qno]]),VALUE(stable[qno]),0))</f>
        <v>0</v>
      </c>
      <c r="N1738" s="9" t="b" cm="1">
        <f t="array" ref="N1738">INDEX(stable[is_free_text],MATCH(VALUE(questions[[#This Row],[qno]]),VALUE(stable[qno]),0))</f>
        <v>0</v>
      </c>
      <c r="O1738" s="9" t="b" cm="1">
        <f t="array" ref="O1738">INDEX(stable[is_numerical],MATCH(VALUE(questions[[#This Row],[qno]]),VALUE(stable[qno]),0))</f>
        <v>1</v>
      </c>
      <c r="P1738" s="9" t="b" cm="1">
        <f t="array" ref="P1738">INDEX(stable[is_single_select],MATCH(VALUE(questions[[#This Row],[qno]]),VALUE(stable[qno]),0))</f>
        <v>0</v>
      </c>
      <c r="Q1738" s="9" t="b" cm="1">
        <f t="array" ref="Q1738">INDEX(stable[is_multi_select],MATCH(VALUE(questions[[#This Row],[qno]]),VALUE(stable[qno]),0))</f>
        <v>0</v>
      </c>
      <c r="R1738" s="9" t="b" cm="1">
        <f t="array" ref="R1738">INDEX(stable[is_skip_logic],MATCH(VALUE(questions[[#This Row],[qno]]),VALUE(stable[qno]),0))</f>
        <v>1</v>
      </c>
      <c r="S1738" s="9" t="str">
        <f>_xlfn.TEXTJOIN(", ",TRUE,questions[[#This Row],[ans_opt_1]:[ans_opt_14]])</f>
        <v/>
      </c>
      <c r="AH1738" s="16" t="b">
        <f>INDEX(stable[q_standard],MATCH(questions[[#This Row],[qno]],stable[qno],0))</f>
        <v>0</v>
      </c>
      <c r="AI1738" s="16" t="b">
        <f>INDEX(stable[q_living_income],MATCH(questions[[#This Row],[qno]],stable[qno],0))</f>
        <v>1</v>
      </c>
      <c r="AJ1738" s="16" t="b">
        <f>INDEX(stable[q_carbon],MATCH(questions[[#This Row],[qno]],stable[qno],0))</f>
        <v>1</v>
      </c>
      <c r="AK1738" s="16" t="b">
        <f>INDEX(stable[q_regen_ag],MATCH(questions[[#This Row],[qno]],stable[qno],0))</f>
        <v>0</v>
      </c>
      <c r="AL1738" s="16" t="b">
        <f>COUNTIFS(stable[qno],questions[[#This Row],[qno]])=1</f>
        <v>1</v>
      </c>
      <c r="AM1738" s="16" t="b">
        <f>OR(questions[[#This Row],[is_fixed]],questions[[#This Row],[is_localized]],questions[[#This Row],[is_supply_chain_dependent]])</f>
        <v>1</v>
      </c>
      <c r="AN1738" s="16" t="b">
        <f>COUNTIFS(questions[[#This Row],[is_automated]:[is_multi_select]],TRUE)=1</f>
        <v>1</v>
      </c>
      <c r="AO1738" s="16" t="b">
        <f>IF(questions[[#This Row],[is_fixed]],questions[[#This Row],[question]]=INDEX(stable[question],MATCH(questions[[#This Row],[qno]],stable[qno],0)),TRUE)</f>
        <v>1</v>
      </c>
      <c r="AP1738" s="16" t="str">
        <f>LEFT(questions[[#This Row],[question]],similarity_range)</f>
        <v>What was the total q</v>
      </c>
      <c r="AQ1738" s="16" t="str">
        <f>LEFT(INDEX(stable[question],MATCH(questions[[#This Row],[qno]],stable[qno],0)),similarity_range)</f>
        <v>What was the total q</v>
      </c>
      <c r="AR1738" s="16" t="b">
        <f>questions[[#This Row],[question_first_characters]]=questions[[#This Row],[stability_first_characters]]</f>
        <v>1</v>
      </c>
      <c r="AS1738" s="16" t="b">
        <f>IF(OR(questions[[#This Row],[is_single_select]],questions[[#This Row],[is_multi_select]]),NOT(ISBLANK(questions[[#This Row],[answer_opt_combined]])),TRUE)</f>
        <v>1</v>
      </c>
    </row>
    <row r="1739" spans="1:45" ht="15.75" customHeight="1" x14ac:dyDescent="0.25">
      <c r="A1739" s="9" t="str">
        <f>_xlfn.TEXTJOIN("_",TRUE,questions[[#This Row],[origin]:[qno]])</f>
        <v>Uganda_Robusta_2026_5110</v>
      </c>
      <c r="B1739" s="9" t="s">
        <v>511</v>
      </c>
      <c r="C1739" s="9" t="s">
        <v>674</v>
      </c>
      <c r="E1739" s="33">
        <v>2026</v>
      </c>
      <c r="F1739" s="24" t="s">
        <v>167</v>
      </c>
      <c r="G1739" s="15" t="s">
        <v>747</v>
      </c>
      <c r="H1739" s="9" t="str" cm="1">
        <f t="array" ref="H1739">INDEX(stableR[question],MATCH(VALUE(questions[[#This Row],[qno]]),VALUE(stableR[qno]),0))</f>
        <v>What was the name of the synthetic fertilizer that you used second most, last year?</v>
      </c>
      <c r="I1739" s="9" t="b" cm="1">
        <f t="array" ref="I1739">INDEX(stable[is_fixed],MATCH(VALUE(questions[[#This Row],[qno]]),VALUE(stable[qno]),0))</f>
        <v>0</v>
      </c>
      <c r="J1739" s="9" t="b" cm="1">
        <f t="array" ref="J1739">INDEX(stable[is_localized],MATCH(VALUE(questions[[#This Row],[qno]]),VALUE(stable[qno]),0))</f>
        <v>1</v>
      </c>
      <c r="K1739" s="9" t="b" cm="1">
        <f t="array" ref="K1739">INDEX(stable[is_supply_chain_dependent],MATCH(VALUE(questions[[#This Row],[qno]]),VALUE(stable[qno]),0))</f>
        <v>0</v>
      </c>
      <c r="L1739" s="9" t="b" cm="1">
        <f t="array" ref="L1739">INDEX(stable[is_mandatory],MATCH(VALUE(questions[[#This Row],[qno]]),VALUE(stable[qno]),0))</f>
        <v>0</v>
      </c>
      <c r="M1739" s="9" t="b" cm="1">
        <f t="array" ref="M1739">INDEX(stable[is_automated],MATCH(VALUE(questions[[#This Row],[qno]]),VALUE(stable[qno]),0))</f>
        <v>0</v>
      </c>
      <c r="N1739" s="9" t="b" cm="1">
        <f t="array" ref="N1739">INDEX(stable[is_free_text],MATCH(VALUE(questions[[#This Row],[qno]]),VALUE(stable[qno]),0))</f>
        <v>0</v>
      </c>
      <c r="O1739" s="9" t="b" cm="1">
        <f t="array" ref="O1739">INDEX(stable[is_numerical],MATCH(VALUE(questions[[#This Row],[qno]]),VALUE(stable[qno]),0))</f>
        <v>0</v>
      </c>
      <c r="P1739" s="9" t="b" cm="1">
        <f t="array" ref="P1739">INDEX(stable[is_single_select],MATCH(VALUE(questions[[#This Row],[qno]]),VALUE(stable[qno]),0))</f>
        <v>1</v>
      </c>
      <c r="Q1739" s="9" t="b" cm="1">
        <f t="array" ref="Q1739">INDEX(stable[is_multi_select],MATCH(VALUE(questions[[#This Row],[qno]]),VALUE(stable[qno]),0))</f>
        <v>0</v>
      </c>
      <c r="R1739" s="9" t="b" cm="1">
        <f t="array" ref="R1739">INDEX(stable[is_skip_logic],MATCH(VALUE(questions[[#This Row],[qno]]),VALUE(stable[qno]),0))</f>
        <v>1</v>
      </c>
      <c r="S1739" s="9" t="str">
        <f>_xlfn.TEXTJOIN(", ",TRUE,questions[[#This Row],[ans_opt_1]:[ans_opt_14]])</f>
        <v>Yara Milla Java (NPK 26-6-12), NPK 15-15-15, NPK 17-17-17, Urea (46% N), CAN (calcium ammonium nitrate, 27% N), Grainpulse coffee (NPK 16-2-31), Grainpulse coffee &lt;2 yr (NPK 19-11-22), DAP (di-ammonium phosphate, 18% N), Yara bela sulfan (24N 6S), NPK 25-5-5 S</v>
      </c>
      <c r="T1739" s="9" t="s">
        <v>741</v>
      </c>
      <c r="U1739" s="9" t="s">
        <v>885</v>
      </c>
      <c r="V1739" s="9" t="s">
        <v>742</v>
      </c>
      <c r="W1739" s="9" t="s">
        <v>743</v>
      </c>
      <c r="X1739" s="9" t="s">
        <v>837</v>
      </c>
      <c r="Y1739" s="9" t="s">
        <v>886</v>
      </c>
      <c r="Z1739" s="9" t="s">
        <v>887</v>
      </c>
      <c r="AA1739" s="9" t="s">
        <v>744</v>
      </c>
      <c r="AB1739" s="9" t="s">
        <v>888</v>
      </c>
      <c r="AC1739" s="9" t="s">
        <v>889</v>
      </c>
      <c r="AH1739" s="16" t="b">
        <f>INDEX(stable[q_standard],MATCH(questions[[#This Row],[qno]],stable[qno],0))</f>
        <v>0</v>
      </c>
      <c r="AI1739" s="16" t="b">
        <f>INDEX(stable[q_living_income],MATCH(questions[[#This Row],[qno]],stable[qno],0))</f>
        <v>1</v>
      </c>
      <c r="AJ1739" s="16" t="b">
        <f>INDEX(stable[q_carbon],MATCH(questions[[#This Row],[qno]],stable[qno],0))</f>
        <v>1</v>
      </c>
      <c r="AK1739" s="16" t="b">
        <f>INDEX(stable[q_regen_ag],MATCH(questions[[#This Row],[qno]],stable[qno],0))</f>
        <v>0</v>
      </c>
      <c r="AL1739" s="16" t="b">
        <f>COUNTIFS(stable[qno],questions[[#This Row],[qno]])=1</f>
        <v>1</v>
      </c>
      <c r="AM1739" s="16" t="b">
        <f>OR(questions[[#This Row],[is_fixed]],questions[[#This Row],[is_localized]],questions[[#This Row],[is_supply_chain_dependent]])</f>
        <v>1</v>
      </c>
      <c r="AN1739" s="16" t="b">
        <f>COUNTIFS(questions[[#This Row],[is_automated]:[is_multi_select]],TRUE)=1</f>
        <v>1</v>
      </c>
      <c r="AO1739" s="16" t="b">
        <f>IF(questions[[#This Row],[is_fixed]],questions[[#This Row],[question]]=INDEX(stable[question],MATCH(questions[[#This Row],[qno]],stable[qno],0)),TRUE)</f>
        <v>1</v>
      </c>
      <c r="AP1739" s="16" t="str">
        <f>LEFT(questions[[#This Row],[question]],similarity_range)</f>
        <v xml:space="preserve">What is the name of </v>
      </c>
      <c r="AQ1739" s="16" t="str">
        <f>LEFT(INDEX(stable[question],MATCH(questions[[#This Row],[qno]],stable[qno],0)),similarity_range)</f>
        <v xml:space="preserve">What is the name of </v>
      </c>
      <c r="AR1739" s="16" t="b">
        <f>questions[[#This Row],[question_first_characters]]=questions[[#This Row],[stability_first_characters]]</f>
        <v>1</v>
      </c>
      <c r="AS1739" s="16" t="b">
        <f>IF(OR(questions[[#This Row],[is_single_select]],questions[[#This Row],[is_multi_select]]),NOT(ISBLANK(questions[[#This Row],[answer_opt_combined]])),TRUE)</f>
        <v>1</v>
      </c>
    </row>
    <row r="1740" spans="1:45" ht="15.75" customHeight="1" x14ac:dyDescent="0.25">
      <c r="A1740" s="9" t="str">
        <f>_xlfn.TEXTJOIN("_",TRUE,questions[[#This Row],[origin]:[qno]])</f>
        <v>Uganda_Robusta_2026_5111</v>
      </c>
      <c r="B1740" s="9" t="s">
        <v>511</v>
      </c>
      <c r="C1740" s="9" t="s">
        <v>674</v>
      </c>
      <c r="E1740" s="33">
        <v>2026</v>
      </c>
      <c r="F1740" s="36" t="s">
        <v>169</v>
      </c>
      <c r="G1740" s="21" t="s">
        <v>748</v>
      </c>
      <c r="H1740" s="9" t="str" cm="1">
        <f t="array" ref="H1740">INDEX(stableR[question],MATCH(VALUE(questions[[#This Row],[qno]]),VALUE(stableR[qno]),0))</f>
        <v>What was the total quantity of the synthetic fertilizer that you used second most, last year? (Kg)</v>
      </c>
      <c r="I1740" s="9" t="b" cm="1">
        <f t="array" ref="I1740">INDEX(stable[is_fixed],MATCH(VALUE(questions[[#This Row],[qno]]),VALUE(stable[qno]),0))</f>
        <v>0</v>
      </c>
      <c r="J1740" s="9" t="b" cm="1">
        <f t="array" ref="J1740">INDEX(stable[is_localized],MATCH(VALUE(questions[[#This Row],[qno]]),VALUE(stable[qno]),0))</f>
        <v>1</v>
      </c>
      <c r="K1740" s="9" t="b" cm="1">
        <f t="array" ref="K1740">INDEX(stable[is_supply_chain_dependent],MATCH(VALUE(questions[[#This Row],[qno]]),VALUE(stable[qno]),0))</f>
        <v>0</v>
      </c>
      <c r="L1740" s="9" t="b" cm="1">
        <f t="array" ref="L1740">INDEX(stable[is_mandatory],MATCH(VALUE(questions[[#This Row],[qno]]),VALUE(stable[qno]),0))</f>
        <v>0</v>
      </c>
      <c r="M1740" s="9" t="b" cm="1">
        <f t="array" ref="M1740">INDEX(stable[is_automated],MATCH(VALUE(questions[[#This Row],[qno]]),VALUE(stable[qno]),0))</f>
        <v>0</v>
      </c>
      <c r="N1740" s="9" t="b" cm="1">
        <f t="array" ref="N1740">INDEX(stable[is_free_text],MATCH(VALUE(questions[[#This Row],[qno]]),VALUE(stable[qno]),0))</f>
        <v>0</v>
      </c>
      <c r="O1740" s="9" t="b" cm="1">
        <f t="array" ref="O1740">INDEX(stable[is_numerical],MATCH(VALUE(questions[[#This Row],[qno]]),VALUE(stable[qno]),0))</f>
        <v>1</v>
      </c>
      <c r="P1740" s="9" t="b" cm="1">
        <f t="array" ref="P1740">INDEX(stable[is_single_select],MATCH(VALUE(questions[[#This Row],[qno]]),VALUE(stable[qno]),0))</f>
        <v>0</v>
      </c>
      <c r="Q1740" s="9" t="b" cm="1">
        <f t="array" ref="Q1740">INDEX(stable[is_multi_select],MATCH(VALUE(questions[[#This Row],[qno]]),VALUE(stable[qno]),0))</f>
        <v>0</v>
      </c>
      <c r="R1740" s="9" t="b" cm="1">
        <f t="array" ref="R1740">INDEX(stable[is_skip_logic],MATCH(VALUE(questions[[#This Row],[qno]]),VALUE(stable[qno]),0))</f>
        <v>1</v>
      </c>
      <c r="S1740" s="9" t="str">
        <f>_xlfn.TEXTJOIN(", ",TRUE,questions[[#This Row],[ans_opt_1]:[ans_opt_14]])</f>
        <v/>
      </c>
      <c r="AH1740" s="16" t="b">
        <f>INDEX(stable[q_standard],MATCH(questions[[#This Row],[qno]],stable[qno],0))</f>
        <v>0</v>
      </c>
      <c r="AI1740" s="16" t="b">
        <f>INDEX(stable[q_living_income],MATCH(questions[[#This Row],[qno]],stable[qno],0))</f>
        <v>1</v>
      </c>
      <c r="AJ1740" s="16" t="b">
        <f>INDEX(stable[q_carbon],MATCH(questions[[#This Row],[qno]],stable[qno],0))</f>
        <v>1</v>
      </c>
      <c r="AK1740" s="16" t="b">
        <f>INDEX(stable[q_regen_ag],MATCH(questions[[#This Row],[qno]],stable[qno],0))</f>
        <v>0</v>
      </c>
      <c r="AL1740" s="16" t="b">
        <f>COUNTIFS(stable[qno],questions[[#This Row],[qno]])=1</f>
        <v>1</v>
      </c>
      <c r="AM1740" s="16" t="b">
        <f>OR(questions[[#This Row],[is_fixed]],questions[[#This Row],[is_localized]],questions[[#This Row],[is_supply_chain_dependent]])</f>
        <v>1</v>
      </c>
      <c r="AN1740" s="16" t="b">
        <f>COUNTIFS(questions[[#This Row],[is_automated]:[is_multi_select]],TRUE)=1</f>
        <v>1</v>
      </c>
      <c r="AO1740" s="16" t="b">
        <f>IF(questions[[#This Row],[is_fixed]],questions[[#This Row],[question]]=INDEX(stable[question],MATCH(questions[[#This Row],[qno]],stable[qno],0)),TRUE)</f>
        <v>1</v>
      </c>
      <c r="AP1740" s="16" t="str">
        <f>LEFT(questions[[#This Row],[question]],similarity_range)</f>
        <v>What was the total q</v>
      </c>
      <c r="AQ1740" s="16" t="str">
        <f>LEFT(INDEX(stable[question],MATCH(questions[[#This Row],[qno]],stable[qno],0)),similarity_range)</f>
        <v>What was the total q</v>
      </c>
      <c r="AR1740" s="16" t="b">
        <f>questions[[#This Row],[question_first_characters]]=questions[[#This Row],[stability_first_characters]]</f>
        <v>1</v>
      </c>
      <c r="AS1740" s="16" t="b">
        <f>IF(OR(questions[[#This Row],[is_single_select]],questions[[#This Row],[is_multi_select]]),NOT(ISBLANK(questions[[#This Row],[answer_opt_combined]])),TRUE)</f>
        <v>1</v>
      </c>
    </row>
    <row r="1741" spans="1:45" ht="15.75" customHeight="1" x14ac:dyDescent="0.25">
      <c r="A1741" s="9" t="str">
        <f>_xlfn.TEXTJOIN("_",TRUE,questions[[#This Row],[origin]:[qno]])</f>
        <v>2026_5120</v>
      </c>
      <c r="E1741" s="33">
        <v>2026</v>
      </c>
      <c r="F1741" s="41" t="s">
        <v>683</v>
      </c>
      <c r="G1741" s="18" t="s">
        <v>1032</v>
      </c>
      <c r="H1741" s="9" t="str" cm="1">
        <f t="array" ref="H1741">INDEX(stableR[question],MATCH(VALUE(questions[[#This Row],[qno]]),VALUE(stableR[qno]),0))</f>
        <v>What was the name of the synthetic fertilizer that you used third most, last year?</v>
      </c>
      <c r="I1741" s="9" t="b" cm="1">
        <f t="array" ref="I1741">INDEX(stable[is_fixed],MATCH(VALUE(questions[[#This Row],[qno]]),VALUE(stable[qno]),0))</f>
        <v>0</v>
      </c>
      <c r="J1741" s="9" t="b" cm="1">
        <f t="array" ref="J1741">INDEX(stable[is_localized],MATCH(VALUE(questions[[#This Row],[qno]]),VALUE(stable[qno]),0))</f>
        <v>1</v>
      </c>
      <c r="K1741" s="9" t="b" cm="1">
        <f t="array" ref="K1741">INDEX(stable[is_supply_chain_dependent],MATCH(VALUE(questions[[#This Row],[qno]]),VALUE(stable[qno]),0))</f>
        <v>1</v>
      </c>
      <c r="L1741" s="9" t="b" cm="1">
        <f t="array" ref="L1741">INDEX(stable[is_mandatory],MATCH(VALUE(questions[[#This Row],[qno]]),VALUE(stable[qno]),0))</f>
        <v>0</v>
      </c>
      <c r="M1741" s="9" t="b" cm="1">
        <f t="array" ref="M1741">INDEX(stable[is_automated],MATCH(VALUE(questions[[#This Row],[qno]]),VALUE(stable[qno]),0))</f>
        <v>0</v>
      </c>
      <c r="N1741" s="9" t="b" cm="1">
        <f t="array" ref="N1741">INDEX(stable[is_free_text],MATCH(VALUE(questions[[#This Row],[qno]]),VALUE(stable[qno]),0))</f>
        <v>1</v>
      </c>
      <c r="O1741" s="9" t="b" cm="1">
        <f t="array" ref="O1741">INDEX(stable[is_numerical],MATCH(VALUE(questions[[#This Row],[qno]]),VALUE(stable[qno]),0))</f>
        <v>0</v>
      </c>
      <c r="P1741" s="9" t="b" cm="1">
        <f t="array" ref="P1741">INDEX(stable[is_single_select],MATCH(VALUE(questions[[#This Row],[qno]]),VALUE(stable[qno]),0))</f>
        <v>0</v>
      </c>
      <c r="Q1741" s="9" t="b" cm="1">
        <f t="array" ref="Q1741">INDEX(stable[is_multi_select],MATCH(VALUE(questions[[#This Row],[qno]]),VALUE(stable[qno]),0))</f>
        <v>0</v>
      </c>
      <c r="R1741" s="9" t="b" cm="1">
        <f t="array" ref="R1741">INDEX(stable[is_skip_logic],MATCH(VALUE(questions[[#This Row],[qno]]),VALUE(stable[qno]),0))</f>
        <v>1</v>
      </c>
      <c r="S1741" s="9" t="str">
        <f>_xlfn.TEXTJOIN(", ",TRUE,questions[[#This Row],[ans_opt_1]:[ans_opt_14]])</f>
        <v/>
      </c>
      <c r="T1741" s="33"/>
      <c r="U1741" s="33"/>
      <c r="V1741" s="33"/>
      <c r="W1741" s="33"/>
      <c r="X1741" s="33"/>
      <c r="Y1741" s="33"/>
      <c r="Z1741" s="33"/>
      <c r="AA1741" s="33"/>
      <c r="AB1741" s="33"/>
      <c r="AC1741" s="33"/>
      <c r="AD1741" s="33"/>
      <c r="AE1741" s="33"/>
      <c r="AF1741" s="33"/>
      <c r="AG1741" s="33"/>
      <c r="AH1741" s="99" t="b">
        <f>INDEX(stable[q_standard],MATCH(questions[[#This Row],[qno]],stable[qno],0))</f>
        <v>0</v>
      </c>
      <c r="AI1741" s="99" t="b">
        <f>INDEX(stable[q_living_income],MATCH(questions[[#This Row],[qno]],stable[qno],0))</f>
        <v>1</v>
      </c>
      <c r="AJ1741" s="99" t="b">
        <f>INDEX(stable[q_carbon],MATCH(questions[[#This Row],[qno]],stable[qno],0))</f>
        <v>1</v>
      </c>
      <c r="AK1741" s="99" t="b">
        <f>INDEX(stable[q_regen_ag],MATCH(questions[[#This Row],[qno]],stable[qno],0))</f>
        <v>0</v>
      </c>
      <c r="AL1741" s="16" t="b">
        <f>COUNTIFS(stable[qno],questions[[#This Row],[qno]])=1</f>
        <v>1</v>
      </c>
      <c r="AM1741" s="16" t="b">
        <f>OR(questions[[#This Row],[is_fixed]],questions[[#This Row],[is_localized]],questions[[#This Row],[is_supply_chain_dependent]])</f>
        <v>1</v>
      </c>
      <c r="AN1741" s="16" t="b">
        <f>COUNTIFS(questions[[#This Row],[is_automated]:[is_multi_select]],TRUE)=1</f>
        <v>1</v>
      </c>
      <c r="AO1741" s="16" t="b">
        <f>IF(questions[[#This Row],[is_fixed]],questions[[#This Row],[question]]=INDEX(stable[question],MATCH(questions[[#This Row],[qno]],stable[qno],0)),TRUE)</f>
        <v>1</v>
      </c>
      <c r="AP1741" s="16" t="str">
        <f>LEFT(questions[[#This Row],[question]],similarity_range)</f>
        <v xml:space="preserve">What is the name of </v>
      </c>
      <c r="AQ1741" s="16" t="str">
        <f>LEFT(INDEX(stable[question],MATCH(questions[[#This Row],[qno]],stable[qno],0)),similarity_range)</f>
        <v xml:space="preserve">What is the name of </v>
      </c>
      <c r="AR1741" s="16" t="b">
        <f>questions[[#This Row],[question_first_characters]]=questions[[#This Row],[stability_first_characters]]</f>
        <v>1</v>
      </c>
      <c r="AS1741" s="16" t="b">
        <f>IF(OR(questions[[#This Row],[is_single_select]],questions[[#This Row],[is_multi_select]]),NOT(ISBLANK(questions[[#This Row],[answer_opt_combined]])),TRUE)</f>
        <v>1</v>
      </c>
    </row>
    <row r="1742" spans="1:45" ht="15.75" customHeight="1" x14ac:dyDescent="0.25">
      <c r="A1742" s="9" t="str">
        <f>_xlfn.TEXTJOIN("_",TRUE,questions[[#This Row],[origin]:[qno]])</f>
        <v>2026_5121</v>
      </c>
      <c r="E1742" s="33">
        <v>2026</v>
      </c>
      <c r="F1742" s="41" t="s">
        <v>173</v>
      </c>
      <c r="G1742" s="15" t="s">
        <v>964</v>
      </c>
      <c r="H1742" s="9" t="str" cm="1">
        <f t="array" ref="H1742">INDEX(stableR[question],MATCH(VALUE(questions[[#This Row],[qno]]),VALUE(stableR[qno]),0))</f>
        <v>What was the total quantity of the synthetic fertilizer that you used third most, last year? (Kg)</v>
      </c>
      <c r="I1742" s="9" t="b" cm="1">
        <f t="array" ref="I1742">INDEX(stable[is_fixed],MATCH(VALUE(questions[[#This Row],[qno]]),VALUE(stable[qno]),0))</f>
        <v>0</v>
      </c>
      <c r="J1742" s="9" t="b" cm="1">
        <f t="array" ref="J1742">INDEX(stable[is_localized],MATCH(VALUE(questions[[#This Row],[qno]]),VALUE(stable[qno]),0))</f>
        <v>1</v>
      </c>
      <c r="K1742" s="9" t="b" cm="1">
        <f t="array" ref="K1742">INDEX(stable[is_supply_chain_dependent],MATCH(VALUE(questions[[#This Row],[qno]]),VALUE(stable[qno]),0))</f>
        <v>1</v>
      </c>
      <c r="L1742" s="9" t="b" cm="1">
        <f t="array" ref="L1742">INDEX(stable[is_mandatory],MATCH(VALUE(questions[[#This Row],[qno]]),VALUE(stable[qno]),0))</f>
        <v>0</v>
      </c>
      <c r="M1742" s="9" t="b" cm="1">
        <f t="array" ref="M1742">INDEX(stable[is_automated],MATCH(VALUE(questions[[#This Row],[qno]]),VALUE(stable[qno]),0))</f>
        <v>0</v>
      </c>
      <c r="N1742" s="9" t="b" cm="1">
        <f t="array" ref="N1742">INDEX(stable[is_free_text],MATCH(VALUE(questions[[#This Row],[qno]]),VALUE(stable[qno]),0))</f>
        <v>0</v>
      </c>
      <c r="O1742" s="9" t="b" cm="1">
        <f t="array" ref="O1742">INDEX(stable[is_numerical],MATCH(VALUE(questions[[#This Row],[qno]]),VALUE(stable[qno]),0))</f>
        <v>1</v>
      </c>
      <c r="P1742" s="9" t="b" cm="1">
        <f t="array" ref="P1742">INDEX(stable[is_single_select],MATCH(VALUE(questions[[#This Row],[qno]]),VALUE(stable[qno]),0))</f>
        <v>0</v>
      </c>
      <c r="Q1742" s="9" t="b" cm="1">
        <f t="array" ref="Q1742">INDEX(stable[is_multi_select],MATCH(VALUE(questions[[#This Row],[qno]]),VALUE(stable[qno]),0))</f>
        <v>0</v>
      </c>
      <c r="R1742" s="9" t="b" cm="1">
        <f t="array" ref="R1742">INDEX(stable[is_skip_logic],MATCH(VALUE(questions[[#This Row],[qno]]),VALUE(stable[qno]),0))</f>
        <v>1</v>
      </c>
      <c r="S1742" s="9" t="str">
        <f>_xlfn.TEXTJOIN(", ",TRUE,questions[[#This Row],[ans_opt_1]:[ans_opt_14]])</f>
        <v/>
      </c>
      <c r="T1742" s="33"/>
      <c r="U1742" s="33"/>
      <c r="V1742" s="33"/>
      <c r="W1742" s="33"/>
      <c r="X1742" s="33"/>
      <c r="Y1742" s="33"/>
      <c r="Z1742" s="33"/>
      <c r="AA1742" s="33"/>
      <c r="AB1742" s="33"/>
      <c r="AC1742" s="33"/>
      <c r="AD1742" s="33"/>
      <c r="AE1742" s="33"/>
      <c r="AF1742" s="33"/>
      <c r="AG1742" s="33"/>
      <c r="AH1742" s="99" t="b">
        <f>INDEX(stable[q_standard],MATCH(questions[[#This Row],[qno]],stable[qno],0))</f>
        <v>0</v>
      </c>
      <c r="AI1742" s="99" t="b">
        <f>INDEX(stable[q_living_income],MATCH(questions[[#This Row],[qno]],stable[qno],0))</f>
        <v>1</v>
      </c>
      <c r="AJ1742" s="99" t="b">
        <f>INDEX(stable[q_carbon],MATCH(questions[[#This Row],[qno]],stable[qno],0))</f>
        <v>1</v>
      </c>
      <c r="AK1742" s="99" t="b">
        <f>INDEX(stable[q_regen_ag],MATCH(questions[[#This Row],[qno]],stable[qno],0))</f>
        <v>0</v>
      </c>
      <c r="AL1742" s="16" t="b">
        <f>COUNTIFS(stable[qno],questions[[#This Row],[qno]])=1</f>
        <v>1</v>
      </c>
      <c r="AM1742" s="16" t="b">
        <f>OR(questions[[#This Row],[is_fixed]],questions[[#This Row],[is_localized]],questions[[#This Row],[is_supply_chain_dependent]])</f>
        <v>1</v>
      </c>
      <c r="AN1742" s="16" t="b">
        <f>COUNTIFS(questions[[#This Row],[is_automated]:[is_multi_select]],TRUE)=1</f>
        <v>1</v>
      </c>
      <c r="AO1742" s="16" t="b">
        <f>IF(questions[[#This Row],[is_fixed]],questions[[#This Row],[question]]=INDEX(stable[question],MATCH(questions[[#This Row],[qno]],stable[qno],0)),TRUE)</f>
        <v>1</v>
      </c>
      <c r="AP1742" s="16" t="str">
        <f>LEFT(questions[[#This Row],[question]],similarity_range)</f>
        <v>What was the total q</v>
      </c>
      <c r="AQ1742" s="16" t="str">
        <f>LEFT(INDEX(stable[question],MATCH(questions[[#This Row],[qno]],stable[qno],0)),similarity_range)</f>
        <v>What was the total q</v>
      </c>
      <c r="AR1742" s="16" t="b">
        <f>questions[[#This Row],[question_first_characters]]=questions[[#This Row],[stability_first_characters]]</f>
        <v>1</v>
      </c>
      <c r="AS1742" s="16" t="b">
        <f>IF(OR(questions[[#This Row],[is_single_select]],questions[[#This Row],[is_multi_select]]),NOT(ISBLANK(questions[[#This Row],[answer_opt_combined]])),TRUE)</f>
        <v>1</v>
      </c>
    </row>
    <row r="1743" spans="1:45" ht="15.75" customHeight="1" x14ac:dyDescent="0.25">
      <c r="A1743" s="9" t="str">
        <f>_xlfn.TEXTJOIN("_",TRUE,questions[[#This Row],[origin]:[qno]])</f>
        <v>Uganda_Robusta_2026_5140</v>
      </c>
      <c r="B1743" s="9" t="s">
        <v>511</v>
      </c>
      <c r="C1743" s="9" t="s">
        <v>674</v>
      </c>
      <c r="E1743" s="33">
        <v>2026</v>
      </c>
      <c r="F1743" s="24" t="s">
        <v>171</v>
      </c>
      <c r="G1743" s="15" t="s">
        <v>172</v>
      </c>
      <c r="H1743" s="9" t="str" cm="1">
        <f t="array" ref="H1743">INDEX(stableR[question],MATCH(VALUE(questions[[#This Row],[qno]]),VALUE(stableR[qno]),0))</f>
        <v>Did you use Limestone or Dolomitic Limestone (Dolomite) last year?</v>
      </c>
      <c r="I1743" s="9" t="b" cm="1">
        <f t="array" ref="I1743">INDEX(stable[is_fixed],MATCH(VALUE(questions[[#This Row],[qno]]),VALUE(stable[qno]),0))</f>
        <v>1</v>
      </c>
      <c r="J1743" s="9" t="b" cm="1">
        <f t="array" ref="J1743">INDEX(stable[is_localized],MATCH(VALUE(questions[[#This Row],[qno]]),VALUE(stable[qno]),0))</f>
        <v>1</v>
      </c>
      <c r="K1743" s="9" t="b" cm="1">
        <f t="array" ref="K1743">INDEX(stable[is_supply_chain_dependent],MATCH(VALUE(questions[[#This Row],[qno]]),VALUE(stable[qno]),0))</f>
        <v>0</v>
      </c>
      <c r="L1743" s="9" t="b" cm="1">
        <f t="array" ref="L1743">INDEX(stable[is_mandatory],MATCH(VALUE(questions[[#This Row],[qno]]),VALUE(stable[qno]),0))</f>
        <v>1</v>
      </c>
      <c r="M1743" s="9" t="b" cm="1">
        <f t="array" ref="M1743">INDEX(stable[is_automated],MATCH(VALUE(questions[[#This Row],[qno]]),VALUE(stable[qno]),0))</f>
        <v>0</v>
      </c>
      <c r="N1743" s="9" t="b" cm="1">
        <f t="array" ref="N1743">INDEX(stable[is_free_text],MATCH(VALUE(questions[[#This Row],[qno]]),VALUE(stable[qno]),0))</f>
        <v>0</v>
      </c>
      <c r="O1743" s="9" t="b" cm="1">
        <f t="array" ref="O1743">INDEX(stable[is_numerical],MATCH(VALUE(questions[[#This Row],[qno]]),VALUE(stable[qno]),0))</f>
        <v>0</v>
      </c>
      <c r="P1743" s="9" t="b" cm="1">
        <f t="array" ref="P1743">INDEX(stable[is_single_select],MATCH(VALUE(questions[[#This Row],[qno]]),VALUE(stable[qno]),0))</f>
        <v>1</v>
      </c>
      <c r="Q1743" s="9" t="b" cm="1">
        <f t="array" ref="Q1743">INDEX(stable[is_multi_select],MATCH(VALUE(questions[[#This Row],[qno]]),VALUE(stable[qno]),0))</f>
        <v>0</v>
      </c>
      <c r="R1743" s="9" t="b" cm="1">
        <f t="array" ref="R1743">INDEX(stable[is_skip_logic],MATCH(VALUE(questions[[#This Row],[qno]]),VALUE(stable[qno]),0))</f>
        <v>1</v>
      </c>
      <c r="S1743" s="9" t="str">
        <f>_xlfn.TEXTJOIN(", ",TRUE,questions[[#This Row],[ans_opt_1]:[ans_opt_14]])</f>
        <v/>
      </c>
      <c r="AH1743" s="16" t="b">
        <f>INDEX(stable[q_standard],MATCH(questions[[#This Row],[qno]],stable[qno],0))</f>
        <v>0</v>
      </c>
      <c r="AI1743" s="16" t="b">
        <f>INDEX(stable[q_living_income],MATCH(questions[[#This Row],[qno]],stable[qno],0))</f>
        <v>1</v>
      </c>
      <c r="AJ1743" s="16" t="b">
        <f>INDEX(stable[q_carbon],MATCH(questions[[#This Row],[qno]],stable[qno],0))</f>
        <v>1</v>
      </c>
      <c r="AK1743" s="16" t="b">
        <f>INDEX(stable[q_regen_ag],MATCH(questions[[#This Row],[qno]],stable[qno],0))</f>
        <v>0</v>
      </c>
      <c r="AL1743" s="16" t="b">
        <f>COUNTIFS(stable[qno],questions[[#This Row],[qno]])=1</f>
        <v>1</v>
      </c>
      <c r="AM1743" s="16" t="b">
        <f>OR(questions[[#This Row],[is_fixed]],questions[[#This Row],[is_localized]],questions[[#This Row],[is_supply_chain_dependent]])</f>
        <v>1</v>
      </c>
      <c r="AN1743" s="16" t="b">
        <f>COUNTIFS(questions[[#This Row],[is_automated]:[is_multi_select]],TRUE)=1</f>
        <v>1</v>
      </c>
      <c r="AO1743" s="16" t="b">
        <f>IF(questions[[#This Row],[is_fixed]],questions[[#This Row],[question]]=INDEX(stable[question],MATCH(questions[[#This Row],[qno]],stable[qno],0)),TRUE)</f>
        <v>0</v>
      </c>
      <c r="AP1743" s="16" t="str">
        <f>LEFT(questions[[#This Row],[question]],similarity_range)</f>
        <v>Is there any other t</v>
      </c>
      <c r="AQ1743" s="16" t="str">
        <f>LEFT(INDEX(stable[question],MATCH(questions[[#This Row],[qno]],stable[qno],0)),similarity_range)</f>
        <v>Did you use Limeston</v>
      </c>
      <c r="AR1743" s="16" t="b">
        <f>questions[[#This Row],[question_first_characters]]=questions[[#This Row],[stability_first_characters]]</f>
        <v>0</v>
      </c>
      <c r="AS1743" s="16" t="b">
        <f>IF(OR(questions[[#This Row],[is_single_select]],questions[[#This Row],[is_multi_select]]),NOT(ISBLANK(questions[[#This Row],[answer_opt_combined]])),TRUE)</f>
        <v>1</v>
      </c>
    </row>
    <row r="1744" spans="1:45" ht="15.75" customHeight="1" x14ac:dyDescent="0.25">
      <c r="A1744" s="9" t="str">
        <f>_xlfn.TEXTJOIN("_",TRUE,questions[[#This Row],[origin]:[qno]])</f>
        <v>Uganda_Robusta_2026_5141</v>
      </c>
      <c r="B1744" s="9" t="s">
        <v>511</v>
      </c>
      <c r="C1744" s="9" t="s">
        <v>674</v>
      </c>
      <c r="E1744" s="33">
        <v>2026</v>
      </c>
      <c r="F1744" s="36" t="s">
        <v>750</v>
      </c>
      <c r="G1744" s="21" t="s">
        <v>751</v>
      </c>
      <c r="H1744" s="9" t="str" cm="1">
        <f t="array" ref="H1744">INDEX(stableR[question],MATCH(VALUE(questions[[#This Row],[qno]]),VALUE(stableR[qno]),0))</f>
        <v>What was the total quantity of the Limestone or Dolomitic Limestone (Dolomite) that you used last year? (Kg)</v>
      </c>
      <c r="I1744" s="9" t="b" cm="1">
        <f t="array" ref="I1744">INDEX(stable[is_fixed],MATCH(VALUE(questions[[#This Row],[qno]]),VALUE(stable[qno]),0))</f>
        <v>0</v>
      </c>
      <c r="J1744" s="9" t="b" cm="1">
        <f t="array" ref="J1744">INDEX(stable[is_localized],MATCH(VALUE(questions[[#This Row],[qno]]),VALUE(stable[qno]),0))</f>
        <v>1</v>
      </c>
      <c r="K1744" s="9" t="b" cm="1">
        <f t="array" ref="K1744">INDEX(stable[is_supply_chain_dependent],MATCH(VALUE(questions[[#This Row],[qno]]),VALUE(stable[qno]),0))</f>
        <v>0</v>
      </c>
      <c r="L1744" s="9" t="b" cm="1">
        <f t="array" ref="L1744">INDEX(stable[is_mandatory],MATCH(VALUE(questions[[#This Row],[qno]]),VALUE(stable[qno]),0))</f>
        <v>0</v>
      </c>
      <c r="M1744" s="9" t="b" cm="1">
        <f t="array" ref="M1744">INDEX(stable[is_automated],MATCH(VALUE(questions[[#This Row],[qno]]),VALUE(stable[qno]),0))</f>
        <v>0</v>
      </c>
      <c r="N1744" s="9" t="b" cm="1">
        <f t="array" ref="N1744">INDEX(stable[is_free_text],MATCH(VALUE(questions[[#This Row],[qno]]),VALUE(stable[qno]),0))</f>
        <v>0</v>
      </c>
      <c r="O1744" s="9" t="b" cm="1">
        <f t="array" ref="O1744">INDEX(stable[is_numerical],MATCH(VALUE(questions[[#This Row],[qno]]),VALUE(stable[qno]),0))</f>
        <v>1</v>
      </c>
      <c r="P1744" s="9" t="b" cm="1">
        <f t="array" ref="P1744">INDEX(stable[is_single_select],MATCH(VALUE(questions[[#This Row],[qno]]),VALUE(stable[qno]),0))</f>
        <v>0</v>
      </c>
      <c r="Q1744" s="9" t="b" cm="1">
        <f t="array" ref="Q1744">INDEX(stable[is_multi_select],MATCH(VALUE(questions[[#This Row],[qno]]),VALUE(stable[qno]),0))</f>
        <v>0</v>
      </c>
      <c r="R1744" s="9" t="b" cm="1">
        <f t="array" ref="R1744">INDEX(stable[is_skip_logic],MATCH(VALUE(questions[[#This Row],[qno]]),VALUE(stable[qno]),0))</f>
        <v>1</v>
      </c>
      <c r="S1744" s="9" t="str">
        <f>_xlfn.TEXTJOIN(", ",TRUE,questions[[#This Row],[ans_opt_1]:[ans_opt_14]])</f>
        <v/>
      </c>
      <c r="AH1744" s="16" t="b">
        <f>INDEX(stable[q_standard],MATCH(questions[[#This Row],[qno]],stable[qno],0))</f>
        <v>0</v>
      </c>
      <c r="AI1744" s="16" t="b">
        <f>INDEX(stable[q_living_income],MATCH(questions[[#This Row],[qno]],stable[qno],0))</f>
        <v>1</v>
      </c>
      <c r="AJ1744" s="16" t="b">
        <f>INDEX(stable[q_carbon],MATCH(questions[[#This Row],[qno]],stable[qno],0))</f>
        <v>1</v>
      </c>
      <c r="AK1744" s="16" t="b">
        <f>INDEX(stable[q_regen_ag],MATCH(questions[[#This Row],[qno]],stable[qno],0))</f>
        <v>0</v>
      </c>
      <c r="AL1744" s="16" t="b">
        <f>COUNTIFS(stable[qno],questions[[#This Row],[qno]])=1</f>
        <v>1</v>
      </c>
      <c r="AM1744" s="16" t="b">
        <f>OR(questions[[#This Row],[is_fixed]],questions[[#This Row],[is_localized]],questions[[#This Row],[is_supply_chain_dependent]])</f>
        <v>1</v>
      </c>
      <c r="AN1744" s="16" t="b">
        <f>COUNTIFS(questions[[#This Row],[is_automated]:[is_multi_select]],TRUE)=1</f>
        <v>1</v>
      </c>
      <c r="AO1744" s="16" t="b">
        <f>IF(questions[[#This Row],[is_fixed]],questions[[#This Row],[question]]=INDEX(stable[question],MATCH(questions[[#This Row],[qno]],stable[qno],0)),TRUE)</f>
        <v>1</v>
      </c>
      <c r="AP1744" s="16" t="str">
        <f>LEFT(questions[[#This Row],[question]],similarity_range)</f>
        <v>What was the total q</v>
      </c>
      <c r="AQ1744" s="16" t="str">
        <f>LEFT(INDEX(stable[question],MATCH(questions[[#This Row],[qno]],stable[qno],0)),similarity_range)</f>
        <v>What was the total q</v>
      </c>
      <c r="AR1744" s="16" t="b">
        <f>questions[[#This Row],[question_first_characters]]=questions[[#This Row],[stability_first_characters]]</f>
        <v>1</v>
      </c>
      <c r="AS1744" s="16" t="b">
        <f>IF(OR(questions[[#This Row],[is_single_select]],questions[[#This Row],[is_multi_select]]),NOT(ISBLANK(questions[[#This Row],[answer_opt_combined]])),TRUE)</f>
        <v>1</v>
      </c>
    </row>
    <row r="1745" spans="1:45" s="77" customFormat="1" ht="15.75" customHeight="1" x14ac:dyDescent="0.25">
      <c r="A1745" s="77" t="str">
        <f>_xlfn.TEXTJOIN("_",TRUE,questions[[#This Row],[origin]:[qno]])</f>
        <v>Uganda_Robusta_2026_5400</v>
      </c>
      <c r="B1745" s="77" t="s">
        <v>511</v>
      </c>
      <c r="C1745" s="77" t="s">
        <v>674</v>
      </c>
      <c r="E1745" s="77">
        <v>2026</v>
      </c>
      <c r="F1745" s="104" t="s">
        <v>175</v>
      </c>
      <c r="G1745" s="78" t="s">
        <v>176</v>
      </c>
      <c r="H1745" s="9" t="str" cm="1">
        <f t="array" ref="H1745">INDEX(stableR[question],MATCH(VALUE(questions[[#This Row],[qno]]),VALUE(stableR[qno]),0))</f>
        <v>Did you use any type of animal manure, compost, or organic fertilizers for your coffee last year?</v>
      </c>
      <c r="I1745" s="9" t="b" cm="1">
        <f t="array" ref="I1745">INDEX(stable[is_fixed],MATCH(VALUE(questions[[#This Row],[qno]]),VALUE(stable[qno]),0))</f>
        <v>1</v>
      </c>
      <c r="J1745" s="9" t="b" cm="1">
        <f t="array" ref="J1745">INDEX(stable[is_localized],MATCH(VALUE(questions[[#This Row],[qno]]),VALUE(stable[qno]),0))</f>
        <v>0</v>
      </c>
      <c r="K1745" s="9" t="b" cm="1">
        <f t="array" ref="K1745">INDEX(stable[is_supply_chain_dependent],MATCH(VALUE(questions[[#This Row],[qno]]),VALUE(stable[qno]),0))</f>
        <v>0</v>
      </c>
      <c r="L1745" s="9" t="b" cm="1">
        <f t="array" ref="L1745">INDEX(stable[is_mandatory],MATCH(VALUE(questions[[#This Row],[qno]]),VALUE(stable[qno]),0))</f>
        <v>1</v>
      </c>
      <c r="M1745" s="9" t="b" cm="1">
        <f t="array" ref="M1745">INDEX(stable[is_automated],MATCH(VALUE(questions[[#This Row],[qno]]),VALUE(stable[qno]),0))</f>
        <v>0</v>
      </c>
      <c r="N1745" s="9" t="b" cm="1">
        <f t="array" ref="N1745">INDEX(stable[is_free_text],MATCH(VALUE(questions[[#This Row],[qno]]),VALUE(stable[qno]),0))</f>
        <v>0</v>
      </c>
      <c r="O1745" s="9" t="b" cm="1">
        <f t="array" ref="O1745">INDEX(stable[is_numerical],MATCH(VALUE(questions[[#This Row],[qno]]),VALUE(stable[qno]),0))</f>
        <v>0</v>
      </c>
      <c r="P1745" s="77" t="b" cm="1">
        <f t="array" ref="P1745">INDEX(stable[is_single_select],MATCH(VALUE(questions[[#This Row],[qno]]),VALUE(stable[qno]),0))</f>
        <v>1</v>
      </c>
      <c r="Q1745" s="77" t="b" cm="1">
        <f t="array" ref="Q1745">INDEX(stable[is_multi_select],MATCH(VALUE(questions[[#This Row],[qno]]),VALUE(stable[qno]),0))</f>
        <v>0</v>
      </c>
      <c r="R1745" s="77" t="b" cm="1">
        <f t="array" ref="R1745">INDEX(stable[is_skip_logic],MATCH(VALUE(questions[[#This Row],[qno]]),VALUE(stable[qno]),0))</f>
        <v>1</v>
      </c>
      <c r="S1745" s="77" t="str">
        <f>_xlfn.TEXTJOIN(", ",TRUE,questions[[#This Row],[ans_opt_1]:[ans_opt_14]])</f>
        <v>Yes, No</v>
      </c>
      <c r="T1745" s="77" t="s">
        <v>149</v>
      </c>
      <c r="U1745" s="77" t="s">
        <v>119</v>
      </c>
      <c r="AH1745" s="98" t="b">
        <f>INDEX(stable[q_standard],MATCH(questions[[#This Row],[qno]],stable[qno],0))</f>
        <v>0</v>
      </c>
      <c r="AI1745" s="98" t="b">
        <f>INDEX(stable[q_living_income],MATCH(questions[[#This Row],[qno]],stable[qno],0))</f>
        <v>1</v>
      </c>
      <c r="AJ1745" s="98" t="b">
        <f>INDEX(stable[q_carbon],MATCH(questions[[#This Row],[qno]],stable[qno],0))</f>
        <v>1</v>
      </c>
      <c r="AK1745" s="98" t="b">
        <f>INDEX(stable[q_regen_ag],MATCH(questions[[#This Row],[qno]],stable[qno],0))</f>
        <v>0</v>
      </c>
      <c r="AL1745" s="98" t="b">
        <f>COUNTIFS(stable[qno],questions[[#This Row],[qno]])=1</f>
        <v>1</v>
      </c>
      <c r="AM1745" s="98" t="b">
        <f>OR(questions[[#This Row],[is_fixed]],questions[[#This Row],[is_localized]],questions[[#This Row],[is_supply_chain_dependent]])</f>
        <v>1</v>
      </c>
      <c r="AN1745" s="98" t="b">
        <f>COUNTIFS(questions[[#This Row],[is_automated]:[is_multi_select]],TRUE)=1</f>
        <v>1</v>
      </c>
      <c r="AO1745" s="98" t="b">
        <f>IF(questions[[#This Row],[is_fixed]],questions[[#This Row],[question]]=INDEX(stable[question],MATCH(questions[[#This Row],[qno]],stable[qno],0)),TRUE)</f>
        <v>1</v>
      </c>
      <c r="AP1745" s="98" t="str">
        <f>LEFT(questions[[#This Row],[question]],similarity_range)</f>
        <v>Did you use any type</v>
      </c>
      <c r="AQ1745" s="98" t="str">
        <f>LEFT(INDEX(stable[question],MATCH(questions[[#This Row],[qno]],stable[qno],0)),similarity_range)</f>
        <v>Did you use any type</v>
      </c>
      <c r="AR1745" s="98" t="b">
        <f>questions[[#This Row],[question_first_characters]]=questions[[#This Row],[stability_first_characters]]</f>
        <v>1</v>
      </c>
      <c r="AS1745" s="98" t="b">
        <f>IF(OR(questions[[#This Row],[is_single_select]],questions[[#This Row],[is_multi_select]]),NOT(ISBLANK(questions[[#This Row],[answer_opt_combined]])),TRUE)</f>
        <v>1</v>
      </c>
    </row>
    <row r="1746" spans="1:45" s="77" customFormat="1" ht="15.75" customHeight="1" x14ac:dyDescent="0.25">
      <c r="A1746" s="77" t="str">
        <f>_xlfn.TEXTJOIN("_",TRUE,questions[[#This Row],[origin]:[qno]])</f>
        <v>Uganda_Robusta_2026_5401</v>
      </c>
      <c r="B1746" s="77" t="s">
        <v>511</v>
      </c>
      <c r="C1746" s="77" t="s">
        <v>674</v>
      </c>
      <c r="E1746" s="77">
        <v>2026</v>
      </c>
      <c r="F1746" s="104" t="s">
        <v>177</v>
      </c>
      <c r="G1746" s="78" t="s">
        <v>753</v>
      </c>
      <c r="H1746" s="9" t="str" cm="1">
        <f t="array" ref="H1746">INDEX(stableR[question],MATCH(VALUE(questions[[#This Row],[qno]]),VALUE(stableR[qno]),0))</f>
        <v>What was the type of animal manure, compost, or organic fertilizer that you used most last year?</v>
      </c>
      <c r="I1746" s="9" t="b" cm="1">
        <f t="array" ref="I1746">INDEX(stable[is_fixed],MATCH(VALUE(questions[[#This Row],[qno]]),VALUE(stable[qno]),0))</f>
        <v>1</v>
      </c>
      <c r="J1746" s="9" t="b" cm="1">
        <f t="array" ref="J1746">INDEX(stable[is_localized],MATCH(VALUE(questions[[#This Row],[qno]]),VALUE(stable[qno]),0))</f>
        <v>0</v>
      </c>
      <c r="K1746" s="9" t="b" cm="1">
        <f t="array" ref="K1746">INDEX(stable[is_supply_chain_dependent],MATCH(VALUE(questions[[#This Row],[qno]]),VALUE(stable[qno]),0))</f>
        <v>0</v>
      </c>
      <c r="L1746" s="9" t="b" cm="1">
        <f t="array" ref="L1746">INDEX(stable[is_mandatory],MATCH(VALUE(questions[[#This Row],[qno]]),VALUE(stable[qno]),0))</f>
        <v>0</v>
      </c>
      <c r="M1746" s="9" t="b" cm="1">
        <f t="array" ref="M1746">INDEX(stable[is_automated],MATCH(VALUE(questions[[#This Row],[qno]]),VALUE(stable[qno]),0))</f>
        <v>0</v>
      </c>
      <c r="N1746" s="9" t="b" cm="1">
        <f t="array" ref="N1746">INDEX(stable[is_free_text],MATCH(VALUE(questions[[#This Row],[qno]]),VALUE(stable[qno]),0))</f>
        <v>1</v>
      </c>
      <c r="O1746" s="9" t="b" cm="1">
        <f t="array" ref="O1746">INDEX(stable[is_numerical],MATCH(VALUE(questions[[#This Row],[qno]]),VALUE(stable[qno]),0))</f>
        <v>0</v>
      </c>
      <c r="P1746" s="77" t="b" cm="1">
        <f t="array" ref="P1746">INDEX(stable[is_single_select],MATCH(VALUE(questions[[#This Row],[qno]]),VALUE(stable[qno]),0))</f>
        <v>1</v>
      </c>
      <c r="Q1746" s="77" t="b" cm="1">
        <f t="array" ref="Q1746">INDEX(stable[is_multi_select],MATCH(VALUE(questions[[#This Row],[qno]]),VALUE(stable[qno]),0))</f>
        <v>0</v>
      </c>
      <c r="R1746" s="77" t="b" cm="1">
        <f t="array" ref="R1746">INDEX(stable[is_skip_logic],MATCH(VALUE(questions[[#This Row],[qno]]),VALUE(stable[qno]),0))</f>
        <v>1</v>
      </c>
      <c r="S1746" s="77" t="str">
        <f>_xlfn.TEXTJOIN(", ",TRUE,questions[[#This Row],[ans_opt_1]:[ans_opt_14]])</f>
        <v>Coffee-related organic fertilizer, Commercial organic fertilizer, Organic manure sheep, Organic manure poultry, Organic manure horse, Organic manure swine, Goat manure mixed with grass, Composted from rubbish, Organic manure cattle</v>
      </c>
      <c r="T1746" s="77" t="s">
        <v>1037</v>
      </c>
      <c r="U1746" s="77" t="s">
        <v>972</v>
      </c>
      <c r="V1746" s="77" t="s">
        <v>973</v>
      </c>
      <c r="W1746" s="77" t="s">
        <v>974</v>
      </c>
      <c r="X1746" s="77" t="s">
        <v>975</v>
      </c>
      <c r="Y1746" s="77" t="s">
        <v>976</v>
      </c>
      <c r="Z1746" s="77" t="s">
        <v>977</v>
      </c>
      <c r="AA1746" s="77" t="s">
        <v>978</v>
      </c>
      <c r="AB1746" s="77" t="s">
        <v>979</v>
      </c>
      <c r="AH1746" s="98" t="b">
        <f>INDEX(stable[q_standard],MATCH(questions[[#This Row],[qno]],stable[qno],0))</f>
        <v>0</v>
      </c>
      <c r="AI1746" s="98" t="b">
        <f>INDEX(stable[q_living_income],MATCH(questions[[#This Row],[qno]],stable[qno],0))</f>
        <v>1</v>
      </c>
      <c r="AJ1746" s="98" t="b">
        <f>INDEX(stable[q_carbon],MATCH(questions[[#This Row],[qno]],stable[qno],0))</f>
        <v>1</v>
      </c>
      <c r="AK1746" s="98" t="b">
        <f>INDEX(stable[q_regen_ag],MATCH(questions[[#This Row],[qno]],stable[qno],0))</f>
        <v>0</v>
      </c>
      <c r="AL1746" s="98" t="b">
        <f>COUNTIFS(stable[qno],questions[[#This Row],[qno]])=1</f>
        <v>1</v>
      </c>
      <c r="AM1746" s="98" t="b">
        <f>OR(questions[[#This Row],[is_fixed]],questions[[#This Row],[is_localized]],questions[[#This Row],[is_supply_chain_dependent]])</f>
        <v>1</v>
      </c>
      <c r="AN1746" s="98" t="b">
        <f>COUNTIFS(questions[[#This Row],[is_automated]:[is_multi_select]],TRUE)=1</f>
        <v>0</v>
      </c>
      <c r="AO1746" s="98" t="b">
        <f>IF(questions[[#This Row],[is_fixed]],questions[[#This Row],[question]]=INDEX(stable[question],MATCH(questions[[#This Row],[qno]],stable[qno],0)),TRUE)</f>
        <v>0</v>
      </c>
      <c r="AP1746" s="98" t="str">
        <f>LEFT(questions[[#This Row],[question]],similarity_range)</f>
        <v>If yes, what was the</v>
      </c>
      <c r="AQ1746" s="98" t="str">
        <f>LEFT(INDEX(stable[question],MATCH(questions[[#This Row],[qno]],stable[qno],0)),similarity_range)</f>
        <v>If yes, what was the</v>
      </c>
      <c r="AR1746" s="98" t="b">
        <f>questions[[#This Row],[question_first_characters]]=questions[[#This Row],[stability_first_characters]]</f>
        <v>1</v>
      </c>
      <c r="AS1746" s="98" t="b">
        <f>IF(OR(questions[[#This Row],[is_single_select]],questions[[#This Row],[is_multi_select]]),NOT(ISBLANK(questions[[#This Row],[answer_opt_combined]])),TRUE)</f>
        <v>1</v>
      </c>
    </row>
    <row r="1747" spans="1:45" ht="15.75" customHeight="1" x14ac:dyDescent="0.25">
      <c r="A1747" s="9" t="str">
        <f>_xlfn.TEXTJOIN("_",TRUE,questions[[#This Row],[origin]:[qno]])</f>
        <v>Uganda_Robusta_2026_5402</v>
      </c>
      <c r="B1747" s="9" t="s">
        <v>511</v>
      </c>
      <c r="C1747" s="9" t="s">
        <v>674</v>
      </c>
      <c r="E1747" s="33">
        <v>2026</v>
      </c>
      <c r="F1747" s="24" t="s">
        <v>179</v>
      </c>
      <c r="G1747" s="15" t="s">
        <v>180</v>
      </c>
      <c r="H1747" s="9" t="str" cm="1">
        <f t="array" ref="H1747">INDEX(stableR[question],MATCH(VALUE(questions[[#This Row],[qno]]),VALUE(stableR[qno]),0))</f>
        <v>What was the total quantity of this type of animal manure/compost/organic fertilizer that you used most (Kg)?</v>
      </c>
      <c r="I1747" s="9" t="b" cm="1">
        <f t="array" ref="I1747">INDEX(stable[is_fixed],MATCH(VALUE(questions[[#This Row],[qno]]),VALUE(stable[qno]),0))</f>
        <v>1</v>
      </c>
      <c r="J1747" s="9" t="b" cm="1">
        <f t="array" ref="J1747">INDEX(stable[is_localized],MATCH(VALUE(questions[[#This Row],[qno]]),VALUE(stable[qno]),0))</f>
        <v>0</v>
      </c>
      <c r="K1747" s="9" t="b" cm="1">
        <f t="array" ref="K1747">INDEX(stable[is_supply_chain_dependent],MATCH(VALUE(questions[[#This Row],[qno]]),VALUE(stable[qno]),0))</f>
        <v>0</v>
      </c>
      <c r="L1747" s="9" t="b" cm="1">
        <f t="array" ref="L1747">INDEX(stable[is_mandatory],MATCH(VALUE(questions[[#This Row],[qno]]),VALUE(stable[qno]),0))</f>
        <v>0</v>
      </c>
      <c r="M1747" s="9" t="b" cm="1">
        <f t="array" ref="M1747">INDEX(stable[is_automated],MATCH(VALUE(questions[[#This Row],[qno]]),VALUE(stable[qno]),0))</f>
        <v>0</v>
      </c>
      <c r="N1747" s="9" t="b" cm="1">
        <f t="array" ref="N1747">INDEX(stable[is_free_text],MATCH(VALUE(questions[[#This Row],[qno]]),VALUE(stable[qno]),0))</f>
        <v>0</v>
      </c>
      <c r="O1747" s="9" t="b" cm="1">
        <f t="array" ref="O1747">INDEX(stable[is_numerical],MATCH(VALUE(questions[[#This Row],[qno]]),VALUE(stable[qno]),0))</f>
        <v>1</v>
      </c>
      <c r="P1747" s="9" t="b" cm="1">
        <f t="array" ref="P1747">INDEX(stable[is_single_select],MATCH(VALUE(questions[[#This Row],[qno]]),VALUE(stable[qno]),0))</f>
        <v>0</v>
      </c>
      <c r="Q1747" s="9" t="b" cm="1">
        <f t="array" ref="Q1747">INDEX(stable[is_multi_select],MATCH(VALUE(questions[[#This Row],[qno]]),VALUE(stable[qno]),0))</f>
        <v>0</v>
      </c>
      <c r="R1747" s="9" t="b" cm="1">
        <f t="array" ref="R1747">INDEX(stable[is_skip_logic],MATCH(VALUE(questions[[#This Row],[qno]]),VALUE(stable[qno]),0))</f>
        <v>1</v>
      </c>
      <c r="S1747" s="9" t="str">
        <f>_xlfn.TEXTJOIN(", ",TRUE,questions[[#This Row],[ans_opt_1]:[ans_opt_14]])</f>
        <v/>
      </c>
      <c r="AH1747" s="16" t="b">
        <f>INDEX(stable[q_standard],MATCH(questions[[#This Row],[qno]],stable[qno],0))</f>
        <v>0</v>
      </c>
      <c r="AI1747" s="16" t="b">
        <f>INDEX(stable[q_living_income],MATCH(questions[[#This Row],[qno]],stable[qno],0))</f>
        <v>1</v>
      </c>
      <c r="AJ1747" s="16" t="b">
        <f>INDEX(stable[q_carbon],MATCH(questions[[#This Row],[qno]],stable[qno],0))</f>
        <v>1</v>
      </c>
      <c r="AK1747" s="16" t="b">
        <f>INDEX(stable[q_regen_ag],MATCH(questions[[#This Row],[qno]],stable[qno],0))</f>
        <v>0</v>
      </c>
      <c r="AL1747" s="16" t="b">
        <f>COUNTIFS(stable[qno],questions[[#This Row],[qno]])=1</f>
        <v>1</v>
      </c>
      <c r="AM1747" s="16" t="b">
        <f>OR(questions[[#This Row],[is_fixed]],questions[[#This Row],[is_localized]],questions[[#This Row],[is_supply_chain_dependent]])</f>
        <v>1</v>
      </c>
      <c r="AN1747" s="16" t="b">
        <f>COUNTIFS(questions[[#This Row],[is_automated]:[is_multi_select]],TRUE)=1</f>
        <v>1</v>
      </c>
      <c r="AO1747" s="16" t="b">
        <f>IF(questions[[#This Row],[is_fixed]],questions[[#This Row],[question]]=INDEX(stable[question],MATCH(questions[[#This Row],[qno]],stable[qno],0)),TRUE)</f>
        <v>1</v>
      </c>
      <c r="AP1747" s="16" t="str">
        <f>LEFT(questions[[#This Row],[question]],similarity_range)</f>
        <v>What was the total q</v>
      </c>
      <c r="AQ1747" s="16" t="str">
        <f>LEFT(INDEX(stable[question],MATCH(questions[[#This Row],[qno]],stable[qno],0)),similarity_range)</f>
        <v>What was the total q</v>
      </c>
      <c r="AR1747" s="16" t="b">
        <f>questions[[#This Row],[question_first_characters]]=questions[[#This Row],[stability_first_characters]]</f>
        <v>1</v>
      </c>
      <c r="AS1747" s="16" t="b">
        <f>IF(OR(questions[[#This Row],[is_single_select]],questions[[#This Row],[is_multi_select]]),NOT(ISBLANK(questions[[#This Row],[answer_opt_combined]])),TRUE)</f>
        <v>1</v>
      </c>
    </row>
    <row r="1748" spans="1:45" s="77" customFormat="1" ht="15.75" customHeight="1" x14ac:dyDescent="0.25">
      <c r="A1748" s="77" t="str">
        <f>_xlfn.TEXTJOIN("_",TRUE,questions[[#This Row],[origin]:[qno]])</f>
        <v>Uganda_Robusta_2026_5404</v>
      </c>
      <c r="B1748" s="77" t="s">
        <v>511</v>
      </c>
      <c r="C1748" s="77" t="s">
        <v>674</v>
      </c>
      <c r="E1748" s="77">
        <v>2026</v>
      </c>
      <c r="F1748" s="104" t="s">
        <v>183</v>
      </c>
      <c r="G1748" s="78" t="s">
        <v>184</v>
      </c>
      <c r="H1748" s="9" t="str" cm="1">
        <f t="array" ref="H1748">INDEX(stableR[question],MATCH(VALUE(questions[[#This Row],[qno]]),VALUE(stableR[qno]),0))</f>
        <v>How did you get this manure/compost/organic fertilizer that you used most?</v>
      </c>
      <c r="I1748" s="9" t="b" cm="1">
        <f t="array" ref="I1748">INDEX(stable[is_fixed],MATCH(VALUE(questions[[#This Row],[qno]]),VALUE(stable[qno]),0))</f>
        <v>1</v>
      </c>
      <c r="J1748" s="9" t="b" cm="1">
        <f t="array" ref="J1748">INDEX(stable[is_localized],MATCH(VALUE(questions[[#This Row],[qno]]),VALUE(stable[qno]),0))</f>
        <v>0</v>
      </c>
      <c r="K1748" s="9" t="b" cm="1">
        <f t="array" ref="K1748">INDEX(stable[is_supply_chain_dependent],MATCH(VALUE(questions[[#This Row],[qno]]),VALUE(stable[qno]),0))</f>
        <v>0</v>
      </c>
      <c r="L1748" s="9" t="b" cm="1">
        <f t="array" ref="L1748">INDEX(stable[is_mandatory],MATCH(VALUE(questions[[#This Row],[qno]]),VALUE(stable[qno]),0))</f>
        <v>0</v>
      </c>
      <c r="M1748" s="9" t="b" cm="1">
        <f t="array" ref="M1748">INDEX(stable[is_automated],MATCH(VALUE(questions[[#This Row],[qno]]),VALUE(stable[qno]),0))</f>
        <v>0</v>
      </c>
      <c r="N1748" s="9" t="b" cm="1">
        <f t="array" ref="N1748">INDEX(stable[is_free_text],MATCH(VALUE(questions[[#This Row],[qno]]),VALUE(stable[qno]),0))</f>
        <v>0</v>
      </c>
      <c r="O1748" s="9" t="b" cm="1">
        <f t="array" ref="O1748">INDEX(stable[is_numerical],MATCH(VALUE(questions[[#This Row],[qno]]),VALUE(stable[qno]),0))</f>
        <v>0</v>
      </c>
      <c r="P1748" s="77" t="b" cm="1">
        <f t="array" ref="P1748">INDEX(stable[is_single_select],MATCH(VALUE(questions[[#This Row],[qno]]),VALUE(stable[qno]),0))</f>
        <v>1</v>
      </c>
      <c r="Q1748" s="77" t="b" cm="1">
        <f t="array" ref="Q1748">INDEX(stable[is_multi_select],MATCH(VALUE(questions[[#This Row],[qno]]),VALUE(stable[qno]),0))</f>
        <v>0</v>
      </c>
      <c r="R1748" s="77" t="b" cm="1">
        <f t="array" ref="R1748">INDEX(stable[is_skip_logic],MATCH(VALUE(questions[[#This Row],[qno]]),VALUE(stable[qno]),0))</f>
        <v>1</v>
      </c>
      <c r="S1748" s="77" t="str">
        <f>_xlfn.TEXTJOIN(", ",TRUE,questions[[#This Row],[ans_opt_1]:[ans_opt_14]])</f>
        <v>Bought, From own farm, Received for free, Both from own farm &amp; bought/received from outside the farm</v>
      </c>
      <c r="T1748" s="77" t="s">
        <v>185</v>
      </c>
      <c r="U1748" s="77" t="s">
        <v>186</v>
      </c>
      <c r="V1748" s="77" t="s">
        <v>187</v>
      </c>
      <c r="W1748" s="77" t="s">
        <v>188</v>
      </c>
      <c r="AH1748" s="98" t="b">
        <f>INDEX(stable[q_standard],MATCH(questions[[#This Row],[qno]],stable[qno],0))</f>
        <v>0</v>
      </c>
      <c r="AI1748" s="98" t="b">
        <f>INDEX(stable[q_living_income],MATCH(questions[[#This Row],[qno]],stable[qno],0))</f>
        <v>1</v>
      </c>
      <c r="AJ1748" s="98" t="b">
        <f>INDEX(stable[q_carbon],MATCH(questions[[#This Row],[qno]],stable[qno],0))</f>
        <v>1</v>
      </c>
      <c r="AK1748" s="98" t="b">
        <f>INDEX(stable[q_regen_ag],MATCH(questions[[#This Row],[qno]],stable[qno],0))</f>
        <v>0</v>
      </c>
      <c r="AL1748" s="98" t="b">
        <f>COUNTIFS(stable[qno],questions[[#This Row],[qno]])=1</f>
        <v>1</v>
      </c>
      <c r="AM1748" s="98" t="b">
        <f>OR(questions[[#This Row],[is_fixed]],questions[[#This Row],[is_localized]],questions[[#This Row],[is_supply_chain_dependent]])</f>
        <v>1</v>
      </c>
      <c r="AN1748" s="98" t="b">
        <f>COUNTIFS(questions[[#This Row],[is_automated]:[is_multi_select]],TRUE)=1</f>
        <v>1</v>
      </c>
      <c r="AO1748" s="98" t="b">
        <f>IF(questions[[#This Row],[is_fixed]],questions[[#This Row],[question]]=INDEX(stable[question],MATCH(questions[[#This Row],[qno]],stable[qno],0)),TRUE)</f>
        <v>0</v>
      </c>
      <c r="AP1748" s="98" t="str">
        <f>LEFT(questions[[#This Row],[question]],similarity_range)</f>
        <v>Did you buy this man</v>
      </c>
      <c r="AQ1748" s="98" t="str">
        <f>LEFT(INDEX(stable[question],MATCH(questions[[#This Row],[qno]],stable[qno],0)),similarity_range)</f>
        <v>How did you get this</v>
      </c>
      <c r="AR1748" s="98" t="b">
        <f>questions[[#This Row],[question_first_characters]]=questions[[#This Row],[stability_first_characters]]</f>
        <v>0</v>
      </c>
      <c r="AS1748" s="98" t="b">
        <f>IF(OR(questions[[#This Row],[is_single_select]],questions[[#This Row],[is_multi_select]]),NOT(ISBLANK(questions[[#This Row],[answer_opt_combined]])),TRUE)</f>
        <v>1</v>
      </c>
    </row>
    <row r="1749" spans="1:45" s="77" customFormat="1" ht="15.75" customHeight="1" x14ac:dyDescent="0.25">
      <c r="A1749" s="77" t="str">
        <f>_xlfn.TEXTJOIN("_",TRUE,questions[[#This Row],[origin]:[qno]])</f>
        <v>Uganda_Robusta_2026_5410</v>
      </c>
      <c r="B1749" s="77" t="s">
        <v>511</v>
      </c>
      <c r="C1749" s="77" t="s">
        <v>674</v>
      </c>
      <c r="E1749" s="77">
        <v>2026</v>
      </c>
      <c r="F1749" s="104" t="s">
        <v>189</v>
      </c>
      <c r="G1749" s="78" t="s">
        <v>890</v>
      </c>
      <c r="H1749" s="9" t="str" cm="1">
        <f t="array" ref="H1749">INDEX(stableR[question],MATCH(VALUE(questions[[#This Row],[qno]]),VALUE(stableR[qno]),0))</f>
        <v>What was the type of animal manure, compost, or organic fertilizer that you used second most last year?</v>
      </c>
      <c r="I1749" s="9" t="b" cm="1">
        <f t="array" ref="I1749">INDEX(stable[is_fixed],MATCH(VALUE(questions[[#This Row],[qno]]),VALUE(stable[qno]),0))</f>
        <v>1</v>
      </c>
      <c r="J1749" s="9" t="b" cm="1">
        <f t="array" ref="J1749">INDEX(stable[is_localized],MATCH(VALUE(questions[[#This Row],[qno]]),VALUE(stable[qno]),0))</f>
        <v>0</v>
      </c>
      <c r="K1749" s="9" t="b" cm="1">
        <f t="array" ref="K1749">INDEX(stable[is_supply_chain_dependent],MATCH(VALUE(questions[[#This Row],[qno]]),VALUE(stable[qno]),0))</f>
        <v>0</v>
      </c>
      <c r="L1749" s="9" t="b" cm="1">
        <f t="array" ref="L1749">INDEX(stable[is_mandatory],MATCH(VALUE(questions[[#This Row],[qno]]),VALUE(stable[qno]),0))</f>
        <v>0</v>
      </c>
      <c r="M1749" s="9" t="b" cm="1">
        <f t="array" ref="M1749">INDEX(stable[is_automated],MATCH(VALUE(questions[[#This Row],[qno]]),VALUE(stable[qno]),0))</f>
        <v>0</v>
      </c>
      <c r="N1749" s="9" t="b" cm="1">
        <f t="array" ref="N1749">INDEX(stable[is_free_text],MATCH(VALUE(questions[[#This Row],[qno]]),VALUE(stable[qno]),0))</f>
        <v>1</v>
      </c>
      <c r="O1749" s="9" t="b" cm="1">
        <f t="array" ref="O1749">INDEX(stable[is_numerical],MATCH(VALUE(questions[[#This Row],[qno]]),VALUE(stable[qno]),0))</f>
        <v>0</v>
      </c>
      <c r="P1749" s="77" t="b" cm="1">
        <f t="array" ref="P1749">INDEX(stable[is_single_select],MATCH(VALUE(questions[[#This Row],[qno]]),VALUE(stable[qno]),0))</f>
        <v>1</v>
      </c>
      <c r="Q1749" s="77" t="b" cm="1">
        <f t="array" ref="Q1749">INDEX(stable[is_multi_select],MATCH(VALUE(questions[[#This Row],[qno]]),VALUE(stable[qno]),0))</f>
        <v>0</v>
      </c>
      <c r="R1749" s="77" t="b" cm="1">
        <f t="array" ref="R1749">INDEX(stable[is_skip_logic],MATCH(VALUE(questions[[#This Row],[qno]]),VALUE(stable[qno]),0))</f>
        <v>1</v>
      </c>
      <c r="S1749" s="77" t="str">
        <f>_xlfn.TEXTJOIN(", ",TRUE,questions[[#This Row],[ans_opt_1]:[ans_opt_14]])</f>
        <v>Coffee-related organic fertilizer, Commercial organic fertilizer, Organic manure sheep, Organic manure poultry, Organic manure horse, Organic manure swine, Goat manure mixed with grass, Composted from rubbish, Organic manure cattle</v>
      </c>
      <c r="T1749" s="77" t="s">
        <v>1037</v>
      </c>
      <c r="U1749" s="77" t="s">
        <v>972</v>
      </c>
      <c r="V1749" s="77" t="s">
        <v>973</v>
      </c>
      <c r="W1749" s="77" t="s">
        <v>974</v>
      </c>
      <c r="X1749" s="77" t="s">
        <v>975</v>
      </c>
      <c r="Y1749" s="77" t="s">
        <v>976</v>
      </c>
      <c r="Z1749" s="77" t="s">
        <v>977</v>
      </c>
      <c r="AA1749" s="77" t="s">
        <v>978</v>
      </c>
      <c r="AB1749" s="77" t="s">
        <v>979</v>
      </c>
      <c r="AH1749" s="98" t="b">
        <f>INDEX(stable[q_standard],MATCH(questions[[#This Row],[qno]],stable[qno],0))</f>
        <v>0</v>
      </c>
      <c r="AI1749" s="98" t="b">
        <f>INDEX(stable[q_living_income],MATCH(questions[[#This Row],[qno]],stable[qno],0))</f>
        <v>1</v>
      </c>
      <c r="AJ1749" s="98" t="b">
        <f>INDEX(stable[q_carbon],MATCH(questions[[#This Row],[qno]],stable[qno],0))</f>
        <v>1</v>
      </c>
      <c r="AK1749" s="98" t="b">
        <f>INDEX(stable[q_regen_ag],MATCH(questions[[#This Row],[qno]],stable[qno],0))</f>
        <v>0</v>
      </c>
      <c r="AL1749" s="98" t="b">
        <f>COUNTIFS(stable[qno],questions[[#This Row],[qno]])=1</f>
        <v>1</v>
      </c>
      <c r="AM1749" s="98" t="b">
        <f>OR(questions[[#This Row],[is_fixed]],questions[[#This Row],[is_localized]],questions[[#This Row],[is_supply_chain_dependent]])</f>
        <v>1</v>
      </c>
      <c r="AN1749" s="98" t="b">
        <f>COUNTIFS(questions[[#This Row],[is_automated]:[is_multi_select]],TRUE)=1</f>
        <v>0</v>
      </c>
      <c r="AO1749" s="98" t="b">
        <f>IF(questions[[#This Row],[is_fixed]],questions[[#This Row],[question]]=INDEX(stable[question],MATCH(questions[[#This Row],[qno]],stable[qno],0)),TRUE)</f>
        <v>0</v>
      </c>
      <c r="AP1749" s="98" t="str">
        <f>LEFT(questions[[#This Row],[question]],similarity_range)</f>
        <v>If yes, what was the</v>
      </c>
      <c r="AQ1749" s="98" t="str">
        <f>LEFT(INDEX(stable[question],MATCH(questions[[#This Row],[qno]],stable[qno],0)),similarity_range)</f>
        <v>Was there a second t</v>
      </c>
      <c r="AR1749" s="98" t="b">
        <f>questions[[#This Row],[question_first_characters]]=questions[[#This Row],[stability_first_characters]]</f>
        <v>0</v>
      </c>
      <c r="AS1749" s="98" t="b">
        <f>IF(OR(questions[[#This Row],[is_single_select]],questions[[#This Row],[is_multi_select]]),NOT(ISBLANK(questions[[#This Row],[answer_opt_combined]])),TRUE)</f>
        <v>1</v>
      </c>
    </row>
    <row r="1750" spans="1:45" ht="15.75" customHeight="1" x14ac:dyDescent="0.25">
      <c r="A1750" s="9" t="str">
        <f>_xlfn.TEXTJOIN("_",TRUE,questions[[#This Row],[origin]:[qno]])</f>
        <v>Uganda_Robusta_2026_5411</v>
      </c>
      <c r="B1750" s="9" t="s">
        <v>511</v>
      </c>
      <c r="C1750" s="9" t="s">
        <v>674</v>
      </c>
      <c r="E1750" s="33">
        <v>2026</v>
      </c>
      <c r="F1750" s="24" t="s">
        <v>191</v>
      </c>
      <c r="G1750" s="15" t="s">
        <v>192</v>
      </c>
      <c r="H1750" s="9" t="str" cm="1">
        <f t="array" ref="H1750">INDEX(stableR[question],MATCH(VALUE(questions[[#This Row],[qno]]),VALUE(stableR[qno]),0))</f>
        <v>What was the total quantity of this type of animal manure/compost/organic fertilizer that you used second most? (Kg)</v>
      </c>
      <c r="I1750" s="9" t="b" cm="1">
        <f t="array" ref="I1750">INDEX(stable[is_fixed],MATCH(VALUE(questions[[#This Row],[qno]]),VALUE(stable[qno]),0))</f>
        <v>1</v>
      </c>
      <c r="J1750" s="9" t="b" cm="1">
        <f t="array" ref="J1750">INDEX(stable[is_localized],MATCH(VALUE(questions[[#This Row],[qno]]),VALUE(stable[qno]),0))</f>
        <v>0</v>
      </c>
      <c r="K1750" s="9" t="b" cm="1">
        <f t="array" ref="K1750">INDEX(stable[is_supply_chain_dependent],MATCH(VALUE(questions[[#This Row],[qno]]),VALUE(stable[qno]),0))</f>
        <v>0</v>
      </c>
      <c r="L1750" s="9" t="b" cm="1">
        <f t="array" ref="L1750">INDEX(stable[is_mandatory],MATCH(VALUE(questions[[#This Row],[qno]]),VALUE(stable[qno]),0))</f>
        <v>0</v>
      </c>
      <c r="M1750" s="9" t="b" cm="1">
        <f t="array" ref="M1750">INDEX(stable[is_automated],MATCH(VALUE(questions[[#This Row],[qno]]),VALUE(stable[qno]),0))</f>
        <v>0</v>
      </c>
      <c r="N1750" s="9" t="b" cm="1">
        <f t="array" ref="N1750">INDEX(stable[is_free_text],MATCH(VALUE(questions[[#This Row],[qno]]),VALUE(stable[qno]),0))</f>
        <v>0</v>
      </c>
      <c r="O1750" s="9" t="b" cm="1">
        <f t="array" ref="O1750">INDEX(stable[is_numerical],MATCH(VALUE(questions[[#This Row],[qno]]),VALUE(stable[qno]),0))</f>
        <v>1</v>
      </c>
      <c r="P1750" s="9" t="b" cm="1">
        <f t="array" ref="P1750">INDEX(stable[is_single_select],MATCH(VALUE(questions[[#This Row],[qno]]),VALUE(stable[qno]),0))</f>
        <v>0</v>
      </c>
      <c r="Q1750" s="9" t="b" cm="1">
        <f t="array" ref="Q1750">INDEX(stable[is_multi_select],MATCH(VALUE(questions[[#This Row],[qno]]),VALUE(stable[qno]),0))</f>
        <v>0</v>
      </c>
      <c r="R1750" s="9" t="b" cm="1">
        <f t="array" ref="R1750">INDEX(stable[is_skip_logic],MATCH(VALUE(questions[[#This Row],[qno]]),VALUE(stable[qno]),0))</f>
        <v>1</v>
      </c>
      <c r="S1750" s="9" t="str">
        <f>_xlfn.TEXTJOIN(", ",TRUE,questions[[#This Row],[ans_opt_1]:[ans_opt_14]])</f>
        <v/>
      </c>
      <c r="AH1750" s="16" t="b">
        <f>INDEX(stable[q_standard],MATCH(questions[[#This Row],[qno]],stable[qno],0))</f>
        <v>0</v>
      </c>
      <c r="AI1750" s="16" t="b">
        <f>INDEX(stable[q_living_income],MATCH(questions[[#This Row],[qno]],stable[qno],0))</f>
        <v>1</v>
      </c>
      <c r="AJ1750" s="16" t="b">
        <f>INDEX(stable[q_carbon],MATCH(questions[[#This Row],[qno]],stable[qno],0))</f>
        <v>1</v>
      </c>
      <c r="AK1750" s="16" t="b">
        <f>INDEX(stable[q_regen_ag],MATCH(questions[[#This Row],[qno]],stable[qno],0))</f>
        <v>0</v>
      </c>
      <c r="AL1750" s="16" t="b">
        <f>COUNTIFS(stable[qno],questions[[#This Row],[qno]])=1</f>
        <v>1</v>
      </c>
      <c r="AM1750" s="16" t="b">
        <f>OR(questions[[#This Row],[is_fixed]],questions[[#This Row],[is_localized]],questions[[#This Row],[is_supply_chain_dependent]])</f>
        <v>1</v>
      </c>
      <c r="AN1750" s="16" t="b">
        <f>COUNTIFS(questions[[#This Row],[is_automated]:[is_multi_select]],TRUE)=1</f>
        <v>1</v>
      </c>
      <c r="AO1750" s="16" t="b">
        <f>IF(questions[[#This Row],[is_fixed]],questions[[#This Row],[question]]=INDEX(stable[question],MATCH(questions[[#This Row],[qno]],stable[qno],0)),TRUE)</f>
        <v>1</v>
      </c>
      <c r="AP1750" s="16" t="str">
        <f>LEFT(questions[[#This Row],[question]],similarity_range)</f>
        <v>What was the total q</v>
      </c>
      <c r="AQ1750" s="16" t="str">
        <f>LEFT(INDEX(stable[question],MATCH(questions[[#This Row],[qno]],stable[qno],0)),similarity_range)</f>
        <v>What was the total q</v>
      </c>
      <c r="AR1750" s="16" t="b">
        <f>questions[[#This Row],[question_first_characters]]=questions[[#This Row],[stability_first_characters]]</f>
        <v>1</v>
      </c>
      <c r="AS1750" s="16" t="b">
        <f>IF(OR(questions[[#This Row],[is_single_select]],questions[[#This Row],[is_multi_select]]),NOT(ISBLANK(questions[[#This Row],[answer_opt_combined]])),TRUE)</f>
        <v>1</v>
      </c>
    </row>
    <row r="1751" spans="1:45" s="77" customFormat="1" ht="15.75" customHeight="1" x14ac:dyDescent="0.25">
      <c r="A1751" s="77" t="str">
        <f>_xlfn.TEXTJOIN("_",TRUE,questions[[#This Row],[origin]:[qno]])</f>
        <v>Uganda_Robusta_2026_5413</v>
      </c>
      <c r="B1751" s="77" t="s">
        <v>511</v>
      </c>
      <c r="C1751" s="77" t="s">
        <v>674</v>
      </c>
      <c r="E1751" s="77">
        <v>2026</v>
      </c>
      <c r="F1751" s="104" t="s">
        <v>195</v>
      </c>
      <c r="G1751" s="78" t="s">
        <v>891</v>
      </c>
      <c r="H1751" s="9" t="str" cm="1">
        <f t="array" ref="H1751">INDEX(stableR[question],MATCH(VALUE(questions[[#This Row],[qno]]),VALUE(stableR[qno]),0))</f>
        <v>How did you get this manure/compost/organic fertilizer that you used second most?</v>
      </c>
      <c r="I1751" s="9" t="b" cm="1">
        <f t="array" ref="I1751">INDEX(stable[is_fixed],MATCH(VALUE(questions[[#This Row],[qno]]),VALUE(stable[qno]),0))</f>
        <v>1</v>
      </c>
      <c r="J1751" s="9" t="b" cm="1">
        <f t="array" ref="J1751">INDEX(stable[is_localized],MATCH(VALUE(questions[[#This Row],[qno]]),VALUE(stable[qno]),0))</f>
        <v>0</v>
      </c>
      <c r="K1751" s="9" t="b" cm="1">
        <f t="array" ref="K1751">INDEX(stable[is_supply_chain_dependent],MATCH(VALUE(questions[[#This Row],[qno]]),VALUE(stable[qno]),0))</f>
        <v>0</v>
      </c>
      <c r="L1751" s="9" t="b" cm="1">
        <f t="array" ref="L1751">INDEX(stable[is_mandatory],MATCH(VALUE(questions[[#This Row],[qno]]),VALUE(stable[qno]),0))</f>
        <v>0</v>
      </c>
      <c r="M1751" s="9" t="b" cm="1">
        <f t="array" ref="M1751">INDEX(stable[is_automated],MATCH(VALUE(questions[[#This Row],[qno]]),VALUE(stable[qno]),0))</f>
        <v>0</v>
      </c>
      <c r="N1751" s="9" t="b" cm="1">
        <f t="array" ref="N1751">INDEX(stable[is_free_text],MATCH(VALUE(questions[[#This Row],[qno]]),VALUE(stable[qno]),0))</f>
        <v>0</v>
      </c>
      <c r="O1751" s="9" t="b" cm="1">
        <f t="array" ref="O1751">INDEX(stable[is_numerical],MATCH(VALUE(questions[[#This Row],[qno]]),VALUE(stable[qno]),0))</f>
        <v>0</v>
      </c>
      <c r="P1751" s="77" t="b" cm="1">
        <f t="array" ref="P1751">INDEX(stable[is_single_select],MATCH(VALUE(questions[[#This Row],[qno]]),VALUE(stable[qno]),0))</f>
        <v>1</v>
      </c>
      <c r="Q1751" s="77" t="b" cm="1">
        <f t="array" ref="Q1751">INDEX(stable[is_multi_select],MATCH(VALUE(questions[[#This Row],[qno]]),VALUE(stable[qno]),0))</f>
        <v>0</v>
      </c>
      <c r="R1751" s="77" t="b" cm="1">
        <f t="array" ref="R1751">INDEX(stable[is_skip_logic],MATCH(VALUE(questions[[#This Row],[qno]]),VALUE(stable[qno]),0))</f>
        <v>1</v>
      </c>
      <c r="S1751" s="77" t="str">
        <f>_xlfn.TEXTJOIN(", ",TRUE,questions[[#This Row],[ans_opt_1]:[ans_opt_14]])</f>
        <v>Bought, From own farm, Received for free, Both from own farm &amp; bought/received from outside the farm</v>
      </c>
      <c r="T1751" s="77" t="s">
        <v>185</v>
      </c>
      <c r="U1751" s="77" t="s">
        <v>186</v>
      </c>
      <c r="V1751" s="77" t="s">
        <v>187</v>
      </c>
      <c r="W1751" s="77" t="s">
        <v>188</v>
      </c>
      <c r="AH1751" s="98" t="b">
        <f>INDEX(stable[q_standard],MATCH(questions[[#This Row],[qno]],stable[qno],0))</f>
        <v>0</v>
      </c>
      <c r="AI1751" s="98" t="b">
        <f>INDEX(stable[q_living_income],MATCH(questions[[#This Row],[qno]],stable[qno],0))</f>
        <v>1</v>
      </c>
      <c r="AJ1751" s="98" t="b">
        <f>INDEX(stable[q_carbon],MATCH(questions[[#This Row],[qno]],stable[qno],0))</f>
        <v>1</v>
      </c>
      <c r="AK1751" s="98" t="b">
        <f>INDEX(stable[q_regen_ag],MATCH(questions[[#This Row],[qno]],stable[qno],0))</f>
        <v>0</v>
      </c>
      <c r="AL1751" s="98" t="b">
        <f>COUNTIFS(stable[qno],questions[[#This Row],[qno]])=1</f>
        <v>1</v>
      </c>
      <c r="AM1751" s="98" t="b">
        <f>OR(questions[[#This Row],[is_fixed]],questions[[#This Row],[is_localized]],questions[[#This Row],[is_supply_chain_dependent]])</f>
        <v>1</v>
      </c>
      <c r="AN1751" s="98" t="b">
        <f>COUNTIFS(questions[[#This Row],[is_automated]:[is_multi_select]],TRUE)=1</f>
        <v>1</v>
      </c>
      <c r="AO1751" s="98" t="b">
        <f>IF(questions[[#This Row],[is_fixed]],questions[[#This Row],[question]]=INDEX(stable[question],MATCH(questions[[#This Row],[qno]],stable[qno],0)),TRUE)</f>
        <v>0</v>
      </c>
      <c r="AP1751" s="98" t="str">
        <f>LEFT(questions[[#This Row],[question]],similarity_range)</f>
        <v>Did you buy this man</v>
      </c>
      <c r="AQ1751" s="98" t="str">
        <f>LEFT(INDEX(stable[question],MATCH(questions[[#This Row],[qno]],stable[qno],0)),similarity_range)</f>
        <v>How did you get this</v>
      </c>
      <c r="AR1751" s="98" t="b">
        <f>questions[[#This Row],[question_first_characters]]=questions[[#This Row],[stability_first_characters]]</f>
        <v>0</v>
      </c>
      <c r="AS1751" s="98" t="b">
        <f>IF(OR(questions[[#This Row],[is_single_select]],questions[[#This Row],[is_multi_select]]),NOT(ISBLANK(questions[[#This Row],[answer_opt_combined]])),TRUE)</f>
        <v>1</v>
      </c>
    </row>
    <row r="1752" spans="1:45" s="77" customFormat="1" ht="15.75" customHeight="1" x14ac:dyDescent="0.25">
      <c r="A1752" s="77" t="str">
        <f>_xlfn.TEXTJOIN("_",TRUE,questions[[#This Row],[origin]:[qno]])</f>
        <v>Uganda_Robusta_2026_5500</v>
      </c>
      <c r="B1752" s="77" t="s">
        <v>511</v>
      </c>
      <c r="C1752" s="77" t="s">
        <v>674</v>
      </c>
      <c r="E1752" s="77">
        <v>2026</v>
      </c>
      <c r="F1752" s="104" t="s">
        <v>197</v>
      </c>
      <c r="G1752" s="78" t="s">
        <v>198</v>
      </c>
      <c r="H1752" s="9" t="str" cm="1">
        <f t="array" ref="H1752">INDEX(stableR[question],MATCH(VALUE(questions[[#This Row],[qno]]),VALUE(stableR[qno]),0))</f>
        <v>Did you apply any type of mulch on your coffee last year?</v>
      </c>
      <c r="I1752" s="9" t="b" cm="1">
        <f t="array" ref="I1752">INDEX(stable[is_fixed],MATCH(VALUE(questions[[#This Row],[qno]]),VALUE(stable[qno]),0))</f>
        <v>1</v>
      </c>
      <c r="J1752" s="9" t="b" cm="1">
        <f t="array" ref="J1752">INDEX(stable[is_localized],MATCH(VALUE(questions[[#This Row],[qno]]),VALUE(stable[qno]),0))</f>
        <v>0</v>
      </c>
      <c r="K1752" s="9" t="b" cm="1">
        <f t="array" ref="K1752">INDEX(stable[is_supply_chain_dependent],MATCH(VALUE(questions[[#This Row],[qno]]),VALUE(stable[qno]),0))</f>
        <v>0</v>
      </c>
      <c r="L1752" s="9" t="b" cm="1">
        <f t="array" ref="L1752">INDEX(stable[is_mandatory],MATCH(VALUE(questions[[#This Row],[qno]]),VALUE(stable[qno]),0))</f>
        <v>1</v>
      </c>
      <c r="M1752" s="9" t="b" cm="1">
        <f t="array" ref="M1752">INDEX(stable[is_automated],MATCH(VALUE(questions[[#This Row],[qno]]),VALUE(stable[qno]),0))</f>
        <v>0</v>
      </c>
      <c r="N1752" s="9" t="b" cm="1">
        <f t="array" ref="N1752">INDEX(stable[is_free_text],MATCH(VALUE(questions[[#This Row],[qno]]),VALUE(stable[qno]),0))</f>
        <v>0</v>
      </c>
      <c r="O1752" s="9" t="b" cm="1">
        <f t="array" ref="O1752">INDEX(stable[is_numerical],MATCH(VALUE(questions[[#This Row],[qno]]),VALUE(stable[qno]),0))</f>
        <v>0</v>
      </c>
      <c r="P1752" s="77" t="b" cm="1">
        <f t="array" ref="P1752">INDEX(stable[is_single_select],MATCH(VALUE(questions[[#This Row],[qno]]),VALUE(stable[qno]),0))</f>
        <v>1</v>
      </c>
      <c r="Q1752" s="77" t="b" cm="1">
        <f t="array" ref="Q1752">INDEX(stable[is_multi_select],MATCH(VALUE(questions[[#This Row],[qno]]),VALUE(stable[qno]),0))</f>
        <v>0</v>
      </c>
      <c r="R1752" s="77" t="b" cm="1">
        <f t="array" ref="R1752">INDEX(stable[is_skip_logic],MATCH(VALUE(questions[[#This Row],[qno]]),VALUE(stable[qno]),0))</f>
        <v>1</v>
      </c>
      <c r="S1752" s="77" t="str">
        <f>_xlfn.TEXTJOIN(", ",TRUE,questions[[#This Row],[ans_opt_1]:[ans_opt_14]])</f>
        <v>Yes, No</v>
      </c>
      <c r="T1752" s="77" t="s">
        <v>149</v>
      </c>
      <c r="U1752" s="77" t="s">
        <v>119</v>
      </c>
      <c r="AH1752" s="98" t="b">
        <f>INDEX(stable[q_standard],MATCH(questions[[#This Row],[qno]],stable[qno],0))</f>
        <v>0</v>
      </c>
      <c r="AI1752" s="98" t="b">
        <f>INDEX(stable[q_living_income],MATCH(questions[[#This Row],[qno]],stable[qno],0))</f>
        <v>1</v>
      </c>
      <c r="AJ1752" s="98" t="b">
        <f>INDEX(stable[q_carbon],MATCH(questions[[#This Row],[qno]],stable[qno],0))</f>
        <v>1</v>
      </c>
      <c r="AK1752" s="98" t="b">
        <f>INDEX(stable[q_regen_ag],MATCH(questions[[#This Row],[qno]],stable[qno],0))</f>
        <v>0</v>
      </c>
      <c r="AL1752" s="98" t="b">
        <f>COUNTIFS(stable[qno],questions[[#This Row],[qno]])=1</f>
        <v>1</v>
      </c>
      <c r="AM1752" s="98" t="b">
        <f>OR(questions[[#This Row],[is_fixed]],questions[[#This Row],[is_localized]],questions[[#This Row],[is_supply_chain_dependent]])</f>
        <v>1</v>
      </c>
      <c r="AN1752" s="98" t="b">
        <f>COUNTIFS(questions[[#This Row],[is_automated]:[is_multi_select]],TRUE)=1</f>
        <v>1</v>
      </c>
      <c r="AO1752" s="98" t="b">
        <f>IF(questions[[#This Row],[is_fixed]],questions[[#This Row],[question]]=INDEX(stable[question],MATCH(questions[[#This Row],[qno]],stable[qno],0)),TRUE)</f>
        <v>1</v>
      </c>
      <c r="AP1752" s="98" t="str">
        <f>LEFT(questions[[#This Row],[question]],similarity_range)</f>
        <v>Did you apply any ty</v>
      </c>
      <c r="AQ1752" s="98" t="str">
        <f>LEFT(INDEX(stable[question],MATCH(questions[[#This Row],[qno]],stable[qno],0)),similarity_range)</f>
        <v>Did you apply any ty</v>
      </c>
      <c r="AR1752" s="98" t="b">
        <f>questions[[#This Row],[question_first_characters]]=questions[[#This Row],[stability_first_characters]]</f>
        <v>1</v>
      </c>
      <c r="AS1752" s="98" t="b">
        <f>IF(OR(questions[[#This Row],[is_single_select]],questions[[#This Row],[is_multi_select]]),NOT(ISBLANK(questions[[#This Row],[answer_opt_combined]])),TRUE)</f>
        <v>1</v>
      </c>
    </row>
    <row r="1753" spans="1:45" ht="15.75" customHeight="1" x14ac:dyDescent="0.25">
      <c r="A1753" s="9" t="str">
        <f>_xlfn.TEXTJOIN("_",TRUE,questions[[#This Row],[origin]:[qno]])</f>
        <v>Uganda_Robusta_2026_5501</v>
      </c>
      <c r="B1753" s="9" t="s">
        <v>511</v>
      </c>
      <c r="C1753" s="9" t="s">
        <v>674</v>
      </c>
      <c r="E1753" s="33">
        <v>2026</v>
      </c>
      <c r="F1753" s="24" t="s">
        <v>199</v>
      </c>
      <c r="G1753" s="15" t="s">
        <v>200</v>
      </c>
      <c r="H1753" s="9" t="str" cm="1">
        <f t="array" ref="H1753">INDEX(stableR[question],MATCH(VALUE(questions[[#This Row],[qno]]),VALUE(stableR[qno]),0))</f>
        <v>What type of mulch?</v>
      </c>
      <c r="I1753" s="9" t="b" cm="1">
        <f t="array" ref="I1753">INDEX(stable[is_fixed],MATCH(VALUE(questions[[#This Row],[qno]]),VALUE(stable[qno]),0))</f>
        <v>1</v>
      </c>
      <c r="J1753" s="9" t="b" cm="1">
        <f t="array" ref="J1753">INDEX(stable[is_localized],MATCH(VALUE(questions[[#This Row],[qno]]),VALUE(stable[qno]),0))</f>
        <v>0</v>
      </c>
      <c r="K1753" s="9" t="b" cm="1">
        <f t="array" ref="K1753">INDEX(stable[is_supply_chain_dependent],MATCH(VALUE(questions[[#This Row],[qno]]),VALUE(stable[qno]),0))</f>
        <v>0</v>
      </c>
      <c r="L1753" s="9" t="b" cm="1">
        <f t="array" ref="L1753">INDEX(stable[is_mandatory],MATCH(VALUE(questions[[#This Row],[qno]]),VALUE(stable[qno]),0))</f>
        <v>0</v>
      </c>
      <c r="M1753" s="9" t="b" cm="1">
        <f t="array" ref="M1753">INDEX(stable[is_automated],MATCH(VALUE(questions[[#This Row],[qno]]),VALUE(stable[qno]),0))</f>
        <v>0</v>
      </c>
      <c r="N1753" s="9" t="b" cm="1">
        <f t="array" ref="N1753">INDEX(stable[is_free_text],MATCH(VALUE(questions[[#This Row],[qno]]),VALUE(stable[qno]),0))</f>
        <v>0</v>
      </c>
      <c r="O1753" s="9" t="b" cm="1">
        <f t="array" ref="O1753">INDEX(stable[is_numerical],MATCH(VALUE(questions[[#This Row],[qno]]),VALUE(stable[qno]),0))</f>
        <v>0</v>
      </c>
      <c r="P1753" s="9" t="b" cm="1">
        <f t="array" ref="P1753">INDEX(stable[is_single_select],MATCH(VALUE(questions[[#This Row],[qno]]),VALUE(stable[qno]),0))</f>
        <v>0</v>
      </c>
      <c r="Q1753" s="9" t="b" cm="1">
        <f t="array" ref="Q1753">INDEX(stable[is_multi_select],MATCH(VALUE(questions[[#This Row],[qno]]),VALUE(stable[qno]),0))</f>
        <v>1</v>
      </c>
      <c r="R1753" s="9" t="b" cm="1">
        <f t="array" ref="R1753">INDEX(stable[is_skip_logic],MATCH(VALUE(questions[[#This Row],[qno]]),VALUE(stable[qno]),0))</f>
        <v>1</v>
      </c>
      <c r="S1753" s="9" t="str">
        <f>_xlfn.TEXTJOIN(", ",TRUE,questions[[#This Row],[ans_opt_1]:[ans_opt_14]])</f>
        <v/>
      </c>
      <c r="AH1753" s="16" t="b">
        <f>INDEX(stable[q_standard],MATCH(questions[[#This Row],[qno]],stable[qno],0))</f>
        <v>0</v>
      </c>
      <c r="AI1753" s="16" t="b">
        <f>INDEX(stable[q_living_income],MATCH(questions[[#This Row],[qno]],stable[qno],0))</f>
        <v>1</v>
      </c>
      <c r="AJ1753" s="16" t="b">
        <f>INDEX(stable[q_carbon],MATCH(questions[[#This Row],[qno]],stable[qno],0))</f>
        <v>1</v>
      </c>
      <c r="AK1753" s="16" t="b">
        <f>INDEX(stable[q_regen_ag],MATCH(questions[[#This Row],[qno]],stable[qno],0))</f>
        <v>0</v>
      </c>
      <c r="AL1753" s="16" t="b">
        <f>COUNTIFS(stable[qno],questions[[#This Row],[qno]])=1</f>
        <v>1</v>
      </c>
      <c r="AM1753" s="16" t="b">
        <f>OR(questions[[#This Row],[is_fixed]],questions[[#This Row],[is_localized]],questions[[#This Row],[is_supply_chain_dependent]])</f>
        <v>1</v>
      </c>
      <c r="AN1753" s="16" t="b">
        <f>COUNTIFS(questions[[#This Row],[is_automated]:[is_multi_select]],TRUE)=1</f>
        <v>1</v>
      </c>
      <c r="AO1753" s="16" t="b">
        <f>IF(questions[[#This Row],[is_fixed]],questions[[#This Row],[question]]=INDEX(stable[question],MATCH(questions[[#This Row],[qno]],stable[qno],0)),TRUE)</f>
        <v>1</v>
      </c>
      <c r="AP1753" s="16" t="str">
        <f>LEFT(questions[[#This Row],[question]],similarity_range)</f>
        <v xml:space="preserve">What type of mulch? </v>
      </c>
      <c r="AQ1753" s="16" t="str">
        <f>LEFT(INDEX(stable[question],MATCH(questions[[#This Row],[qno]],stable[qno],0)),similarity_range)</f>
        <v xml:space="preserve">What type of mulch? </v>
      </c>
      <c r="AR1753" s="16" t="b">
        <f>questions[[#This Row],[question_first_characters]]=questions[[#This Row],[stability_first_characters]]</f>
        <v>1</v>
      </c>
      <c r="AS1753" s="16" t="b">
        <f>IF(OR(questions[[#This Row],[is_single_select]],questions[[#This Row],[is_multi_select]]),NOT(ISBLANK(questions[[#This Row],[answer_opt_combined]])),TRUE)</f>
        <v>1</v>
      </c>
    </row>
    <row r="1754" spans="1:45" ht="15.75" customHeight="1" x14ac:dyDescent="0.25">
      <c r="A1754" s="9" t="str">
        <f>_xlfn.TEXTJOIN("_",TRUE,questions[[#This Row],[origin]:[qno]])</f>
        <v>Uganda_Robusta_2026_5502</v>
      </c>
      <c r="B1754" s="9" t="s">
        <v>511</v>
      </c>
      <c r="C1754" s="9" t="s">
        <v>674</v>
      </c>
      <c r="E1754" s="33">
        <v>2026</v>
      </c>
      <c r="F1754" s="24" t="s">
        <v>201</v>
      </c>
      <c r="G1754" s="15" t="s">
        <v>202</v>
      </c>
      <c r="H1754" s="9" t="str" cm="1">
        <f t="array" ref="H1754">INDEX(stableR[question],MATCH(VALUE(questions[[#This Row],[qno]]),VALUE(stableR[qno]),0))</f>
        <v>What was the total quantity of mulch that you used? (Kg)</v>
      </c>
      <c r="I1754" s="9" t="b" cm="1">
        <f t="array" ref="I1754">INDEX(stable[is_fixed],MATCH(VALUE(questions[[#This Row],[qno]]),VALUE(stable[qno]),0))</f>
        <v>1</v>
      </c>
      <c r="J1754" s="9" t="b" cm="1">
        <f t="array" ref="J1754">INDEX(stable[is_localized],MATCH(VALUE(questions[[#This Row],[qno]]),VALUE(stable[qno]),0))</f>
        <v>0</v>
      </c>
      <c r="K1754" s="9" t="b" cm="1">
        <f t="array" ref="K1754">INDEX(stable[is_supply_chain_dependent],MATCH(VALUE(questions[[#This Row],[qno]]),VALUE(stable[qno]),0))</f>
        <v>0</v>
      </c>
      <c r="L1754" s="9" t="b" cm="1">
        <f t="array" ref="L1754">INDEX(stable[is_mandatory],MATCH(VALUE(questions[[#This Row],[qno]]),VALUE(stable[qno]),0))</f>
        <v>0</v>
      </c>
      <c r="M1754" s="9" t="b" cm="1">
        <f t="array" ref="M1754">INDEX(stable[is_automated],MATCH(VALUE(questions[[#This Row],[qno]]),VALUE(stable[qno]),0))</f>
        <v>0</v>
      </c>
      <c r="N1754" s="9" t="b" cm="1">
        <f t="array" ref="N1754">INDEX(stable[is_free_text],MATCH(VALUE(questions[[#This Row],[qno]]),VALUE(stable[qno]),0))</f>
        <v>0</v>
      </c>
      <c r="O1754" s="9" t="b" cm="1">
        <f t="array" ref="O1754">INDEX(stable[is_numerical],MATCH(VALUE(questions[[#This Row],[qno]]),VALUE(stable[qno]),0))</f>
        <v>1</v>
      </c>
      <c r="P1754" s="9" t="b" cm="1">
        <f t="array" ref="P1754">INDEX(stable[is_single_select],MATCH(VALUE(questions[[#This Row],[qno]]),VALUE(stable[qno]),0))</f>
        <v>0</v>
      </c>
      <c r="Q1754" s="9" t="b" cm="1">
        <f t="array" ref="Q1754">INDEX(stable[is_multi_select],MATCH(VALUE(questions[[#This Row],[qno]]),VALUE(stable[qno]),0))</f>
        <v>0</v>
      </c>
      <c r="R1754" s="9" t="b" cm="1">
        <f t="array" ref="R1754">INDEX(stable[is_skip_logic],MATCH(VALUE(questions[[#This Row],[qno]]),VALUE(stable[qno]),0))</f>
        <v>1</v>
      </c>
      <c r="S1754" s="9" t="str">
        <f>_xlfn.TEXTJOIN(", ",TRUE,questions[[#This Row],[ans_opt_1]:[ans_opt_14]])</f>
        <v/>
      </c>
      <c r="AH1754" s="16" t="b">
        <f>INDEX(stable[q_standard],MATCH(questions[[#This Row],[qno]],stable[qno],0))</f>
        <v>0</v>
      </c>
      <c r="AI1754" s="16" t="b">
        <f>INDEX(stable[q_living_income],MATCH(questions[[#This Row],[qno]],stable[qno],0))</f>
        <v>1</v>
      </c>
      <c r="AJ1754" s="16" t="b">
        <f>INDEX(stable[q_carbon],MATCH(questions[[#This Row],[qno]],stable[qno],0))</f>
        <v>1</v>
      </c>
      <c r="AK1754" s="16" t="b">
        <f>INDEX(stable[q_regen_ag],MATCH(questions[[#This Row],[qno]],stable[qno],0))</f>
        <v>0</v>
      </c>
      <c r="AL1754" s="16" t="b">
        <f>COUNTIFS(stable[qno],questions[[#This Row],[qno]])=1</f>
        <v>1</v>
      </c>
      <c r="AM1754" s="16" t="b">
        <f>OR(questions[[#This Row],[is_fixed]],questions[[#This Row],[is_localized]],questions[[#This Row],[is_supply_chain_dependent]])</f>
        <v>1</v>
      </c>
      <c r="AN1754" s="16" t="b">
        <f>COUNTIFS(questions[[#This Row],[is_automated]:[is_multi_select]],TRUE)=1</f>
        <v>1</v>
      </c>
      <c r="AO1754" s="16" t="b">
        <f>IF(questions[[#This Row],[is_fixed]],questions[[#This Row],[question]]=INDEX(stable[question],MATCH(questions[[#This Row],[qno]],stable[qno],0)),TRUE)</f>
        <v>0</v>
      </c>
      <c r="AP1754" s="16" t="str">
        <f>LEFT(questions[[#This Row],[question]],similarity_range)</f>
        <v>What was the total q</v>
      </c>
      <c r="AQ1754" s="16" t="str">
        <f>LEFT(INDEX(stable[question],MATCH(questions[[#This Row],[qno]],stable[qno],0)),similarity_range)</f>
        <v>What was the total q</v>
      </c>
      <c r="AR1754" s="16" t="b">
        <f>questions[[#This Row],[question_first_characters]]=questions[[#This Row],[stability_first_characters]]</f>
        <v>1</v>
      </c>
      <c r="AS1754" s="16" t="b">
        <f>IF(OR(questions[[#This Row],[is_single_select]],questions[[#This Row],[is_multi_select]]),NOT(ISBLANK(questions[[#This Row],[answer_opt_combined]])),TRUE)</f>
        <v>1</v>
      </c>
    </row>
    <row r="1755" spans="1:45" s="77" customFormat="1" ht="15.75" customHeight="1" x14ac:dyDescent="0.25">
      <c r="A1755" s="77" t="str">
        <f>_xlfn.TEXTJOIN("_",TRUE,questions[[#This Row],[origin]:[qno]])</f>
        <v>Uganda_Robusta_2026_5504</v>
      </c>
      <c r="B1755" s="77" t="s">
        <v>511</v>
      </c>
      <c r="C1755" s="77" t="s">
        <v>674</v>
      </c>
      <c r="E1755" s="77">
        <v>2026</v>
      </c>
      <c r="F1755" s="104" t="s">
        <v>205</v>
      </c>
      <c r="G1755" s="78" t="s">
        <v>206</v>
      </c>
      <c r="H1755" s="9" t="str" cm="1">
        <f t="array" ref="H1755">INDEX(stableR[question],MATCH(VALUE(questions[[#This Row],[qno]]),VALUE(stableR[qno]),0))</f>
        <v>From where was this mulch sourced?</v>
      </c>
      <c r="I1755" s="9" t="b" cm="1">
        <f t="array" ref="I1755">INDEX(stable[is_fixed],MATCH(VALUE(questions[[#This Row],[qno]]),VALUE(stable[qno]),0))</f>
        <v>1</v>
      </c>
      <c r="J1755" s="9" t="b" cm="1">
        <f t="array" ref="J1755">INDEX(stable[is_localized],MATCH(VALUE(questions[[#This Row],[qno]]),VALUE(stable[qno]),0))</f>
        <v>0</v>
      </c>
      <c r="K1755" s="9" t="b" cm="1">
        <f t="array" ref="K1755">INDEX(stable[is_supply_chain_dependent],MATCH(VALUE(questions[[#This Row],[qno]]),VALUE(stable[qno]),0))</f>
        <v>0</v>
      </c>
      <c r="L1755" s="9" t="b" cm="1">
        <f t="array" ref="L1755">INDEX(stable[is_mandatory],MATCH(VALUE(questions[[#This Row],[qno]]),VALUE(stable[qno]),0))</f>
        <v>0</v>
      </c>
      <c r="M1755" s="9" t="b" cm="1">
        <f t="array" ref="M1755">INDEX(stable[is_automated],MATCH(VALUE(questions[[#This Row],[qno]]),VALUE(stable[qno]),0))</f>
        <v>0</v>
      </c>
      <c r="N1755" s="9" t="b" cm="1">
        <f t="array" ref="N1755">INDEX(stable[is_free_text],MATCH(VALUE(questions[[#This Row],[qno]]),VALUE(stable[qno]),0))</f>
        <v>0</v>
      </c>
      <c r="O1755" s="9" t="b" cm="1">
        <f t="array" ref="O1755">INDEX(stable[is_numerical],MATCH(VALUE(questions[[#This Row],[qno]]),VALUE(stable[qno]),0))</f>
        <v>0</v>
      </c>
      <c r="P1755" s="77" t="b" cm="1">
        <f t="array" ref="P1755">INDEX(stable[is_single_select],MATCH(VALUE(questions[[#This Row],[qno]]),VALUE(stable[qno]),0))</f>
        <v>1</v>
      </c>
      <c r="Q1755" s="77" t="b" cm="1">
        <f t="array" ref="Q1755">INDEX(stable[is_multi_select],MATCH(VALUE(questions[[#This Row],[qno]]),VALUE(stable[qno]),0))</f>
        <v>0</v>
      </c>
      <c r="R1755" s="77" t="b" cm="1">
        <f t="array" ref="R1755">INDEX(stable[is_skip_logic],MATCH(VALUE(questions[[#This Row],[qno]]),VALUE(stable[qno]),0))</f>
        <v>1</v>
      </c>
      <c r="S1755" s="77" t="str">
        <f>_xlfn.TEXTJOIN(", ",TRUE,questions[[#This Row],[ans_opt_1]:[ans_opt_14]])</f>
        <v>Outside the coffee plot, Inside the coffee plot, Both from inside and outside the coffee plot</v>
      </c>
      <c r="T1755" s="77" t="s">
        <v>207</v>
      </c>
      <c r="U1755" s="77" t="s">
        <v>208</v>
      </c>
      <c r="V1755" s="77" t="s">
        <v>209</v>
      </c>
      <c r="AH1755" s="98" t="b">
        <f>INDEX(stable[q_standard],MATCH(questions[[#This Row],[qno]],stable[qno],0))</f>
        <v>0</v>
      </c>
      <c r="AI1755" s="98" t="b">
        <f>INDEX(stable[q_living_income],MATCH(questions[[#This Row],[qno]],stable[qno],0))</f>
        <v>1</v>
      </c>
      <c r="AJ1755" s="98" t="b">
        <f>INDEX(stable[q_carbon],MATCH(questions[[#This Row],[qno]],stable[qno],0))</f>
        <v>1</v>
      </c>
      <c r="AK1755" s="98" t="b">
        <f>INDEX(stable[q_regen_ag],MATCH(questions[[#This Row],[qno]],stable[qno],0))</f>
        <v>0</v>
      </c>
      <c r="AL1755" s="98" t="b">
        <f>COUNTIFS(stable[qno],questions[[#This Row],[qno]])=1</f>
        <v>1</v>
      </c>
      <c r="AM1755" s="98" t="b">
        <f>OR(questions[[#This Row],[is_fixed]],questions[[#This Row],[is_localized]],questions[[#This Row],[is_supply_chain_dependent]])</f>
        <v>1</v>
      </c>
      <c r="AN1755" s="98" t="b">
        <f>COUNTIFS(questions[[#This Row],[is_automated]:[is_multi_select]],TRUE)=1</f>
        <v>1</v>
      </c>
      <c r="AO1755" s="98" t="b">
        <f>IF(questions[[#This Row],[is_fixed]],questions[[#This Row],[question]]=INDEX(stable[question],MATCH(questions[[#This Row],[qno]],stable[qno],0)),TRUE)</f>
        <v>0</v>
      </c>
      <c r="AP1755" s="98" t="str">
        <f>LEFT(questions[[#This Row],[question]],similarity_range)</f>
        <v xml:space="preserve">From where was this </v>
      </c>
      <c r="AQ1755" s="98" t="str">
        <f>LEFT(INDEX(stable[question],MATCH(questions[[#This Row],[qno]],stable[qno],0)),similarity_range)</f>
        <v xml:space="preserve">From where was this </v>
      </c>
      <c r="AR1755" s="98" t="b">
        <f>questions[[#This Row],[question_first_characters]]=questions[[#This Row],[stability_first_characters]]</f>
        <v>1</v>
      </c>
      <c r="AS1755" s="98" t="b">
        <f>IF(OR(questions[[#This Row],[is_single_select]],questions[[#This Row],[is_multi_select]]),NOT(ISBLANK(questions[[#This Row],[answer_opt_combined]])),TRUE)</f>
        <v>1</v>
      </c>
    </row>
    <row r="1756" spans="1:45" s="77" customFormat="1" ht="15.75" customHeight="1" x14ac:dyDescent="0.25">
      <c r="A1756" s="77" t="str">
        <f>_xlfn.TEXTJOIN("_",TRUE,questions[[#This Row],[origin]:[qno]])</f>
        <v>Uganda_Robusta_2026_5505</v>
      </c>
      <c r="B1756" s="77" t="s">
        <v>511</v>
      </c>
      <c r="C1756" s="77" t="s">
        <v>674</v>
      </c>
      <c r="E1756" s="77">
        <v>2026</v>
      </c>
      <c r="F1756" s="104" t="s">
        <v>210</v>
      </c>
      <c r="G1756" s="78" t="s">
        <v>211</v>
      </c>
      <c r="H1756" s="9" t="str" cm="1">
        <f t="array" ref="H1756">INDEX(stableR[question],MATCH(VALUE(questions[[#This Row],[qno]]),VALUE(stableR[qno]),0))</f>
        <v>If it was from outside the coffee plot, did you buy this mulch, or did it come from your own farm?</v>
      </c>
      <c r="I1756" s="9" t="b" cm="1">
        <f t="array" ref="I1756">INDEX(stable[is_fixed],MATCH(VALUE(questions[[#This Row],[qno]]),VALUE(stable[qno]),0))</f>
        <v>1</v>
      </c>
      <c r="J1756" s="9" t="b" cm="1">
        <f t="array" ref="J1756">INDEX(stable[is_localized],MATCH(VALUE(questions[[#This Row],[qno]]),VALUE(stable[qno]),0))</f>
        <v>0</v>
      </c>
      <c r="K1756" s="9" t="b" cm="1">
        <f t="array" ref="K1756">INDEX(stable[is_supply_chain_dependent],MATCH(VALUE(questions[[#This Row],[qno]]),VALUE(stable[qno]),0))</f>
        <v>0</v>
      </c>
      <c r="L1756" s="9" t="b" cm="1">
        <f t="array" ref="L1756">INDEX(stable[is_mandatory],MATCH(VALUE(questions[[#This Row],[qno]]),VALUE(stable[qno]),0))</f>
        <v>0</v>
      </c>
      <c r="M1756" s="9" t="b" cm="1">
        <f t="array" ref="M1756">INDEX(stable[is_automated],MATCH(VALUE(questions[[#This Row],[qno]]),VALUE(stable[qno]),0))</f>
        <v>0</v>
      </c>
      <c r="N1756" s="9" t="b" cm="1">
        <f t="array" ref="N1756">INDEX(stable[is_free_text],MATCH(VALUE(questions[[#This Row],[qno]]),VALUE(stable[qno]),0))</f>
        <v>0</v>
      </c>
      <c r="O1756" s="9" t="b" cm="1">
        <f t="array" ref="O1756">INDEX(stable[is_numerical],MATCH(VALUE(questions[[#This Row],[qno]]),VALUE(stable[qno]),0))</f>
        <v>0</v>
      </c>
      <c r="P1756" s="77" t="b" cm="1">
        <f t="array" ref="P1756">INDEX(stable[is_single_select],MATCH(VALUE(questions[[#This Row],[qno]]),VALUE(stable[qno]),0))</f>
        <v>1</v>
      </c>
      <c r="Q1756" s="77" t="b" cm="1">
        <f t="array" ref="Q1756">INDEX(stable[is_multi_select],MATCH(VALUE(questions[[#This Row],[qno]]),VALUE(stable[qno]),0))</f>
        <v>0</v>
      </c>
      <c r="R1756" s="77" t="b" cm="1">
        <f t="array" ref="R1756">INDEX(stable[is_skip_logic],MATCH(VALUE(questions[[#This Row],[qno]]),VALUE(stable[qno]),0))</f>
        <v>1</v>
      </c>
      <c r="S1756" s="77" t="str">
        <f>_xlfn.TEXTJOIN(", ",TRUE,questions[[#This Row],[ans_opt_1]:[ans_opt_14]])</f>
        <v>Bought, From own farm, Received for free, Both from own farm &amp; bought/received from outside the farm</v>
      </c>
      <c r="T1756" s="77" t="s">
        <v>185</v>
      </c>
      <c r="U1756" s="77" t="s">
        <v>186</v>
      </c>
      <c r="V1756" s="77" t="s">
        <v>187</v>
      </c>
      <c r="W1756" s="77" t="s">
        <v>188</v>
      </c>
      <c r="AH1756" s="98" t="b">
        <f>INDEX(stable[q_standard],MATCH(questions[[#This Row],[qno]],stable[qno],0))</f>
        <v>0</v>
      </c>
      <c r="AI1756" s="98" t="b">
        <f>INDEX(stable[q_living_income],MATCH(questions[[#This Row],[qno]],stable[qno],0))</f>
        <v>1</v>
      </c>
      <c r="AJ1756" s="98" t="b">
        <f>INDEX(stable[q_carbon],MATCH(questions[[#This Row],[qno]],stable[qno],0))</f>
        <v>1</v>
      </c>
      <c r="AK1756" s="98" t="b">
        <f>INDEX(stable[q_regen_ag],MATCH(questions[[#This Row],[qno]],stable[qno],0))</f>
        <v>0</v>
      </c>
      <c r="AL1756" s="98" t="b">
        <f>COUNTIFS(stable[qno],questions[[#This Row],[qno]])=1</f>
        <v>1</v>
      </c>
      <c r="AM1756" s="98" t="b">
        <f>OR(questions[[#This Row],[is_fixed]],questions[[#This Row],[is_localized]],questions[[#This Row],[is_supply_chain_dependent]])</f>
        <v>1</v>
      </c>
      <c r="AN1756" s="98" t="b">
        <f>COUNTIFS(questions[[#This Row],[is_automated]:[is_multi_select]],TRUE)=1</f>
        <v>1</v>
      </c>
      <c r="AO1756" s="98" t="b">
        <f>IF(questions[[#This Row],[is_fixed]],questions[[#This Row],[question]]=INDEX(stable[question],MATCH(questions[[#This Row],[qno]],stable[qno],0)),TRUE)</f>
        <v>0</v>
      </c>
      <c r="AP1756" s="98" t="str">
        <f>LEFT(questions[[#This Row],[question]],similarity_range)</f>
        <v>If it was from outsi</v>
      </c>
      <c r="AQ1756" s="98" t="str">
        <f>LEFT(INDEX(stable[question],MATCH(questions[[#This Row],[qno]],stable[qno],0)),similarity_range)</f>
        <v>If it was from outsi</v>
      </c>
      <c r="AR1756" s="98" t="b">
        <f>questions[[#This Row],[question_first_characters]]=questions[[#This Row],[stability_first_characters]]</f>
        <v>1</v>
      </c>
      <c r="AS1756" s="98" t="b">
        <f>IF(OR(questions[[#This Row],[is_single_select]],questions[[#This Row],[is_multi_select]]),NOT(ISBLANK(questions[[#This Row],[answer_opt_combined]])),TRUE)</f>
        <v>1</v>
      </c>
    </row>
    <row r="1757" spans="1:45" s="77" customFormat="1" ht="15.75" customHeight="1" x14ac:dyDescent="0.25">
      <c r="A1757" s="77" t="str">
        <f>_xlfn.TEXTJOIN("_",TRUE,questions[[#This Row],[origin]:[qno]])</f>
        <v>Uganda_Robusta_2026_5600</v>
      </c>
      <c r="B1757" s="77" t="s">
        <v>511</v>
      </c>
      <c r="C1757" s="77" t="s">
        <v>674</v>
      </c>
      <c r="E1757" s="77">
        <v>2026</v>
      </c>
      <c r="F1757" s="104" t="s">
        <v>212</v>
      </c>
      <c r="G1757" s="78" t="s">
        <v>213</v>
      </c>
      <c r="H1757" s="9" t="str" cm="1">
        <f t="array" ref="H1757">INDEX(stableR[question],MATCH(VALUE(questions[[#This Row],[qno]]),VALUE(stableR[qno]),0))</f>
        <v xml:space="preserve">Did you use pesticides, fungicides or herbicides for your coffee last year? </v>
      </c>
      <c r="I1757" s="9" t="b" cm="1">
        <f t="array" ref="I1757">INDEX(stable[is_fixed],MATCH(VALUE(questions[[#This Row],[qno]]),VALUE(stable[qno]),0))</f>
        <v>1</v>
      </c>
      <c r="J1757" s="9" t="b" cm="1">
        <f t="array" ref="J1757">INDEX(stable[is_localized],MATCH(VALUE(questions[[#This Row],[qno]]),VALUE(stable[qno]),0))</f>
        <v>0</v>
      </c>
      <c r="K1757" s="9" t="b" cm="1">
        <f t="array" ref="K1757">INDEX(stable[is_supply_chain_dependent],MATCH(VALUE(questions[[#This Row],[qno]]),VALUE(stable[qno]),0))</f>
        <v>0</v>
      </c>
      <c r="L1757" s="9" t="b" cm="1">
        <f t="array" ref="L1757">INDEX(stable[is_mandatory],MATCH(VALUE(questions[[#This Row],[qno]]),VALUE(stable[qno]),0))</f>
        <v>1</v>
      </c>
      <c r="M1757" s="9" t="b" cm="1">
        <f t="array" ref="M1757">INDEX(stable[is_automated],MATCH(VALUE(questions[[#This Row],[qno]]),VALUE(stable[qno]),0))</f>
        <v>0</v>
      </c>
      <c r="N1757" s="9" t="b" cm="1">
        <f t="array" ref="N1757">INDEX(stable[is_free_text],MATCH(VALUE(questions[[#This Row],[qno]]),VALUE(stable[qno]),0))</f>
        <v>0</v>
      </c>
      <c r="O1757" s="9" t="b" cm="1">
        <f t="array" ref="O1757">INDEX(stable[is_numerical],MATCH(VALUE(questions[[#This Row],[qno]]),VALUE(stable[qno]),0))</f>
        <v>0</v>
      </c>
      <c r="P1757" s="77" t="b" cm="1">
        <f t="array" ref="P1757">INDEX(stable[is_single_select],MATCH(VALUE(questions[[#This Row],[qno]]),VALUE(stable[qno]),0))</f>
        <v>1</v>
      </c>
      <c r="Q1757" s="77" t="b" cm="1">
        <f t="array" ref="Q1757">INDEX(stable[is_multi_select],MATCH(VALUE(questions[[#This Row],[qno]]),VALUE(stable[qno]),0))</f>
        <v>0</v>
      </c>
      <c r="R1757" s="77" t="b" cm="1">
        <f t="array" ref="R1757">INDEX(stable[is_skip_logic],MATCH(VALUE(questions[[#This Row],[qno]]),VALUE(stable[qno]),0))</f>
        <v>1</v>
      </c>
      <c r="S1757" s="77" t="str">
        <f>_xlfn.TEXTJOIN(", ",TRUE,questions[[#This Row],[ans_opt_1]:[ans_opt_14]])</f>
        <v>Yes, No</v>
      </c>
      <c r="T1757" s="77" t="s">
        <v>149</v>
      </c>
      <c r="U1757" s="77" t="s">
        <v>119</v>
      </c>
      <c r="AH1757" s="98" t="b">
        <f>INDEX(stable[q_standard],MATCH(questions[[#This Row],[qno]],stable[qno],0))</f>
        <v>0</v>
      </c>
      <c r="AI1757" s="98" t="b">
        <f>INDEX(stable[q_living_income],MATCH(questions[[#This Row],[qno]],stable[qno],0))</f>
        <v>1</v>
      </c>
      <c r="AJ1757" s="98" t="b">
        <f>INDEX(stable[q_carbon],MATCH(questions[[#This Row],[qno]],stable[qno],0))</f>
        <v>1</v>
      </c>
      <c r="AK1757" s="98" t="b">
        <f>INDEX(stable[q_regen_ag],MATCH(questions[[#This Row],[qno]],stable[qno],0))</f>
        <v>0</v>
      </c>
      <c r="AL1757" s="98" t="b">
        <f>COUNTIFS(stable[qno],questions[[#This Row],[qno]])=1</f>
        <v>1</v>
      </c>
      <c r="AM1757" s="98" t="b">
        <f>OR(questions[[#This Row],[is_fixed]],questions[[#This Row],[is_localized]],questions[[#This Row],[is_supply_chain_dependent]])</f>
        <v>1</v>
      </c>
      <c r="AN1757" s="98" t="b">
        <f>COUNTIFS(questions[[#This Row],[is_automated]:[is_multi_select]],TRUE)=1</f>
        <v>1</v>
      </c>
      <c r="AO1757" s="98" t="b">
        <f>IF(questions[[#This Row],[is_fixed]],questions[[#This Row],[question]]=INDEX(stable[question],MATCH(questions[[#This Row],[qno]],stable[qno],0)),TRUE)</f>
        <v>0</v>
      </c>
      <c r="AP1757" s="98" t="str">
        <f>LEFT(questions[[#This Row],[question]],similarity_range)</f>
        <v>Did you use pesticid</v>
      </c>
      <c r="AQ1757" s="98" t="str">
        <f>LEFT(INDEX(stable[question],MATCH(questions[[#This Row],[qno]],stable[qno],0)),similarity_range)</f>
        <v>Did you use pesticid</v>
      </c>
      <c r="AR1757" s="98" t="b">
        <f>questions[[#This Row],[question_first_characters]]=questions[[#This Row],[stability_first_characters]]</f>
        <v>1</v>
      </c>
      <c r="AS1757" s="98" t="b">
        <f>IF(OR(questions[[#This Row],[is_single_select]],questions[[#This Row],[is_multi_select]]),NOT(ISBLANK(questions[[#This Row],[answer_opt_combined]])),TRUE)</f>
        <v>1</v>
      </c>
    </row>
    <row r="1758" spans="1:45" ht="15.75" customHeight="1" x14ac:dyDescent="0.25">
      <c r="A1758" s="9" t="str">
        <f>_xlfn.TEXTJOIN("_",TRUE,questions[[#This Row],[origin]:[qno]])</f>
        <v>Uganda_Robusta_2026_5610</v>
      </c>
      <c r="B1758" s="9" t="s">
        <v>511</v>
      </c>
      <c r="C1758" s="9" t="s">
        <v>674</v>
      </c>
      <c r="E1758" s="33">
        <v>2026</v>
      </c>
      <c r="F1758" s="24" t="s">
        <v>216</v>
      </c>
      <c r="G1758" s="15" t="s">
        <v>892</v>
      </c>
      <c r="H1758" s="9" t="str" cm="1">
        <f t="array" ref="H1758">INDEX(stableR[question],MATCH(VALUE(questions[[#This Row],[qno]]),VALUE(stableR[qno]),0))</f>
        <v>What was the name of the pesticide/fungicide or herbicide that you used most, last year?</v>
      </c>
      <c r="I1758" s="9" t="b" cm="1">
        <f t="array" ref="I1758">INDEX(stable[is_fixed],MATCH(VALUE(questions[[#This Row],[qno]]),VALUE(stable[qno]),0))</f>
        <v>1</v>
      </c>
      <c r="J1758" s="9" t="b" cm="1">
        <f t="array" ref="J1758">INDEX(stable[is_localized],MATCH(VALUE(questions[[#This Row],[qno]]),VALUE(stable[qno]),0))</f>
        <v>0</v>
      </c>
      <c r="K1758" s="9" t="b" cm="1">
        <f t="array" ref="K1758">INDEX(stable[is_supply_chain_dependent],MATCH(VALUE(questions[[#This Row],[qno]]),VALUE(stable[qno]),0))</f>
        <v>0</v>
      </c>
      <c r="L1758" s="9" t="b" cm="1">
        <f t="array" ref="L1758">INDEX(stable[is_mandatory],MATCH(VALUE(questions[[#This Row],[qno]]),VALUE(stable[qno]),0))</f>
        <v>0</v>
      </c>
      <c r="M1758" s="9" t="b" cm="1">
        <f t="array" ref="M1758">INDEX(stable[is_automated],MATCH(VALUE(questions[[#This Row],[qno]]),VALUE(stable[qno]),0))</f>
        <v>0</v>
      </c>
      <c r="N1758" s="9" t="b" cm="1">
        <f t="array" ref="N1758">INDEX(stable[is_free_text],MATCH(VALUE(questions[[#This Row],[qno]]),VALUE(stable[qno]),0))</f>
        <v>1</v>
      </c>
      <c r="O1758" s="9" t="b" cm="1">
        <f t="array" ref="O1758">INDEX(stable[is_numerical],MATCH(VALUE(questions[[#This Row],[qno]]),VALUE(stable[qno]),0))</f>
        <v>0</v>
      </c>
      <c r="P1758" s="9" t="b" cm="1">
        <f t="array" ref="P1758">INDEX(stable[is_single_select],MATCH(VALUE(questions[[#This Row],[qno]]),VALUE(stable[qno]),0))</f>
        <v>0</v>
      </c>
      <c r="Q1758" s="9" t="b" cm="1">
        <f t="array" ref="Q1758">INDEX(stable[is_multi_select],MATCH(VALUE(questions[[#This Row],[qno]]),VALUE(stable[qno]),0))</f>
        <v>0</v>
      </c>
      <c r="R1758" s="9" t="b" cm="1">
        <f t="array" ref="R1758">INDEX(stable[is_skip_logic],MATCH(VALUE(questions[[#This Row],[qno]]),VALUE(stable[qno]),0))</f>
        <v>1</v>
      </c>
      <c r="S1758" s="9" t="str">
        <f>_xlfn.TEXTJOIN(", ",TRUE,questions[[#This Row],[ans_opt_1]:[ans_opt_14]])</f>
        <v/>
      </c>
      <c r="AH1758" s="16" t="b">
        <f>INDEX(stable[q_standard],MATCH(questions[[#This Row],[qno]],stable[qno],0))</f>
        <v>0</v>
      </c>
      <c r="AI1758" s="16" t="b">
        <f>INDEX(stable[q_living_income],MATCH(questions[[#This Row],[qno]],stable[qno],0))</f>
        <v>1</v>
      </c>
      <c r="AJ1758" s="16" t="b">
        <f>INDEX(stable[q_carbon],MATCH(questions[[#This Row],[qno]],stable[qno],0))</f>
        <v>1</v>
      </c>
      <c r="AK1758" s="16" t="b">
        <f>INDEX(stable[q_regen_ag],MATCH(questions[[#This Row],[qno]],stable[qno],0))</f>
        <v>0</v>
      </c>
      <c r="AL1758" s="16" t="b">
        <f>COUNTIFS(stable[qno],questions[[#This Row],[qno]])=1</f>
        <v>1</v>
      </c>
      <c r="AM1758" s="16" t="b">
        <f>OR(questions[[#This Row],[is_fixed]],questions[[#This Row],[is_localized]],questions[[#This Row],[is_supply_chain_dependent]])</f>
        <v>1</v>
      </c>
      <c r="AN1758" s="16" t="b">
        <f>COUNTIFS(questions[[#This Row],[is_automated]:[is_multi_select]],TRUE)=1</f>
        <v>1</v>
      </c>
      <c r="AO1758" s="16" t="b">
        <f>IF(questions[[#This Row],[is_fixed]],questions[[#This Row],[question]]=INDEX(stable[question],MATCH(questions[[#This Row],[qno]],stable[qno],0)),TRUE)</f>
        <v>0</v>
      </c>
      <c r="AP1758" s="16" t="str">
        <f>LEFT(questions[[#This Row],[question]],similarity_range)</f>
        <v>If yes, what was the</v>
      </c>
      <c r="AQ1758" s="16" t="str">
        <f>LEFT(INDEX(stable[question],MATCH(questions[[#This Row],[qno]],stable[qno],0)),similarity_range)</f>
        <v>If yes, what was the</v>
      </c>
      <c r="AR1758" s="16" t="b">
        <f>questions[[#This Row],[question_first_characters]]=questions[[#This Row],[stability_first_characters]]</f>
        <v>1</v>
      </c>
      <c r="AS1758" s="16" t="b">
        <f>IF(OR(questions[[#This Row],[is_single_select]],questions[[#This Row],[is_multi_select]]),NOT(ISBLANK(questions[[#This Row],[answer_opt_combined]])),TRUE)</f>
        <v>1</v>
      </c>
    </row>
    <row r="1759" spans="1:45" ht="15.75" customHeight="1" x14ac:dyDescent="0.25">
      <c r="A1759" s="9" t="str">
        <f>_xlfn.TEXTJOIN("_",TRUE,questions[[#This Row],[origin]:[qno]])</f>
        <v>Uganda_Robusta_2026_5611</v>
      </c>
      <c r="B1759" s="9" t="s">
        <v>511</v>
      </c>
      <c r="C1759" s="9" t="s">
        <v>674</v>
      </c>
      <c r="E1759" s="33">
        <v>2026</v>
      </c>
      <c r="F1759" s="24" t="s">
        <v>218</v>
      </c>
      <c r="G1759" s="15" t="s">
        <v>219</v>
      </c>
      <c r="H1759" s="9" t="str" cm="1">
        <f t="array" ref="H1759">INDEX(stableR[question],MATCH(VALUE(questions[[#This Row],[qno]]),VALUE(stableR[qno]),0))</f>
        <v>What was the quantity used of this most used pesticide/fungicide/herbicide last year?</v>
      </c>
      <c r="I1759" s="9" t="b" cm="1">
        <f t="array" ref="I1759">INDEX(stable[is_fixed],MATCH(VALUE(questions[[#This Row],[qno]]),VALUE(stable[qno]),0))</f>
        <v>1</v>
      </c>
      <c r="J1759" s="9" t="b" cm="1">
        <f t="array" ref="J1759">INDEX(stable[is_localized],MATCH(VALUE(questions[[#This Row],[qno]]),VALUE(stable[qno]),0))</f>
        <v>0</v>
      </c>
      <c r="K1759" s="9" t="b" cm="1">
        <f t="array" ref="K1759">INDEX(stable[is_supply_chain_dependent],MATCH(VALUE(questions[[#This Row],[qno]]),VALUE(stable[qno]),0))</f>
        <v>0</v>
      </c>
      <c r="L1759" s="9" t="b" cm="1">
        <f t="array" ref="L1759">INDEX(stable[is_mandatory],MATCH(VALUE(questions[[#This Row],[qno]]),VALUE(stable[qno]),0))</f>
        <v>0</v>
      </c>
      <c r="M1759" s="9" t="b" cm="1">
        <f t="array" ref="M1759">INDEX(stable[is_automated],MATCH(VALUE(questions[[#This Row],[qno]]),VALUE(stable[qno]),0))</f>
        <v>0</v>
      </c>
      <c r="N1759" s="9" t="b" cm="1">
        <f t="array" ref="N1759">INDEX(stable[is_free_text],MATCH(VALUE(questions[[#This Row],[qno]]),VALUE(stable[qno]),0))</f>
        <v>0</v>
      </c>
      <c r="O1759" s="9" t="b" cm="1">
        <f t="array" ref="O1759">INDEX(stable[is_numerical],MATCH(VALUE(questions[[#This Row],[qno]]),VALUE(stable[qno]),0))</f>
        <v>1</v>
      </c>
      <c r="P1759" s="9" t="b" cm="1">
        <f t="array" ref="P1759">INDEX(stable[is_single_select],MATCH(VALUE(questions[[#This Row],[qno]]),VALUE(stable[qno]),0))</f>
        <v>0</v>
      </c>
      <c r="Q1759" s="9" t="b" cm="1">
        <f t="array" ref="Q1759">INDEX(stable[is_multi_select],MATCH(VALUE(questions[[#This Row],[qno]]),VALUE(stable[qno]),0))</f>
        <v>0</v>
      </c>
      <c r="R1759" s="9" t="b" cm="1">
        <f t="array" ref="R1759">INDEX(stable[is_skip_logic],MATCH(VALUE(questions[[#This Row],[qno]]),VALUE(stable[qno]),0))</f>
        <v>1</v>
      </c>
      <c r="S1759" s="9" t="str">
        <f>_xlfn.TEXTJOIN(", ",TRUE,questions[[#This Row],[ans_opt_1]:[ans_opt_14]])</f>
        <v/>
      </c>
      <c r="AH1759" s="16" t="b">
        <f>INDEX(stable[q_standard],MATCH(questions[[#This Row],[qno]],stable[qno],0))</f>
        <v>0</v>
      </c>
      <c r="AI1759" s="16" t="b">
        <f>INDEX(stable[q_living_income],MATCH(questions[[#This Row],[qno]],stable[qno],0))</f>
        <v>1</v>
      </c>
      <c r="AJ1759" s="16" t="b">
        <f>INDEX(stable[q_carbon],MATCH(questions[[#This Row],[qno]],stable[qno],0))</f>
        <v>1</v>
      </c>
      <c r="AK1759" s="16" t="b">
        <f>INDEX(stable[q_regen_ag],MATCH(questions[[#This Row],[qno]],stable[qno],0))</f>
        <v>0</v>
      </c>
      <c r="AL1759" s="16" t="b">
        <f>COUNTIFS(stable[qno],questions[[#This Row],[qno]])=1</f>
        <v>1</v>
      </c>
      <c r="AM1759" s="16" t="b">
        <f>OR(questions[[#This Row],[is_fixed]],questions[[#This Row],[is_localized]],questions[[#This Row],[is_supply_chain_dependent]])</f>
        <v>1</v>
      </c>
      <c r="AN1759" s="16" t="b">
        <f>COUNTIFS(questions[[#This Row],[is_automated]:[is_multi_select]],TRUE)=1</f>
        <v>1</v>
      </c>
      <c r="AO1759" s="16" t="b">
        <f>IF(questions[[#This Row],[is_fixed]],questions[[#This Row],[question]]=INDEX(stable[question],MATCH(questions[[#This Row],[qno]],stable[qno],0)),TRUE)</f>
        <v>1</v>
      </c>
      <c r="AP1759" s="16" t="str">
        <f>LEFT(questions[[#This Row],[question]],similarity_range)</f>
        <v>What was the quantit</v>
      </c>
      <c r="AQ1759" s="16" t="str">
        <f>LEFT(INDEX(stable[question],MATCH(questions[[#This Row],[qno]],stable[qno],0)),similarity_range)</f>
        <v>What was the quantit</v>
      </c>
      <c r="AR1759" s="16" t="b">
        <f>questions[[#This Row],[question_first_characters]]=questions[[#This Row],[stability_first_characters]]</f>
        <v>1</v>
      </c>
      <c r="AS1759" s="16" t="b">
        <f>IF(OR(questions[[#This Row],[is_single_select]],questions[[#This Row],[is_multi_select]]),NOT(ISBLANK(questions[[#This Row],[answer_opt_combined]])),TRUE)</f>
        <v>1</v>
      </c>
    </row>
    <row r="1760" spans="1:45" s="77" customFormat="1" ht="15.75" customHeight="1" x14ac:dyDescent="0.25">
      <c r="A1760" s="77" t="str">
        <f>_xlfn.TEXTJOIN("_",TRUE,questions[[#This Row],[origin]:[qno]])</f>
        <v>Uganda_Robusta_2026_5612</v>
      </c>
      <c r="B1760" s="77" t="s">
        <v>511</v>
      </c>
      <c r="C1760" s="77" t="s">
        <v>674</v>
      </c>
      <c r="E1760" s="77">
        <v>2026</v>
      </c>
      <c r="F1760" s="104" t="s">
        <v>220</v>
      </c>
      <c r="G1760" s="78" t="s">
        <v>221</v>
      </c>
      <c r="H1760" s="9" t="str" cm="1">
        <f t="array" ref="H1760">INDEX(stableR[question],MATCH(VALUE(questions[[#This Row],[qno]]),VALUE(stableR[qno]),0))</f>
        <v>What was the unit of this most used pesticide/fungicide/herbicide?</v>
      </c>
      <c r="I1760" s="9" t="b" cm="1">
        <f t="array" ref="I1760">INDEX(stable[is_fixed],MATCH(VALUE(questions[[#This Row],[qno]]),VALUE(stable[qno]),0))</f>
        <v>1</v>
      </c>
      <c r="J1760" s="9" t="b" cm="1">
        <f t="array" ref="J1760">INDEX(stable[is_localized],MATCH(VALUE(questions[[#This Row],[qno]]),VALUE(stable[qno]),0))</f>
        <v>0</v>
      </c>
      <c r="K1760" s="9" t="b" cm="1">
        <f t="array" ref="K1760">INDEX(stable[is_supply_chain_dependent],MATCH(VALUE(questions[[#This Row],[qno]]),VALUE(stable[qno]),0))</f>
        <v>0</v>
      </c>
      <c r="L1760" s="9" t="b" cm="1">
        <f t="array" ref="L1760">INDEX(stable[is_mandatory],MATCH(VALUE(questions[[#This Row],[qno]]),VALUE(stable[qno]),0))</f>
        <v>0</v>
      </c>
      <c r="M1760" s="9" t="b" cm="1">
        <f t="array" ref="M1760">INDEX(stable[is_automated],MATCH(VALUE(questions[[#This Row],[qno]]),VALUE(stable[qno]),0))</f>
        <v>0</v>
      </c>
      <c r="N1760" s="9" t="b" cm="1">
        <f t="array" ref="N1760">INDEX(stable[is_free_text],MATCH(VALUE(questions[[#This Row],[qno]]),VALUE(stable[qno]),0))</f>
        <v>0</v>
      </c>
      <c r="O1760" s="9" t="b" cm="1">
        <f t="array" ref="O1760">INDEX(stable[is_numerical],MATCH(VALUE(questions[[#This Row],[qno]]),VALUE(stable[qno]),0))</f>
        <v>0</v>
      </c>
      <c r="P1760" s="77" t="b" cm="1">
        <f t="array" ref="P1760">INDEX(stable[is_single_select],MATCH(VALUE(questions[[#This Row],[qno]]),VALUE(stable[qno]),0))</f>
        <v>1</v>
      </c>
      <c r="Q1760" s="77" t="b" cm="1">
        <f t="array" ref="Q1760">INDEX(stable[is_multi_select],MATCH(VALUE(questions[[#This Row],[qno]]),VALUE(stable[qno]),0))</f>
        <v>0</v>
      </c>
      <c r="R1760" s="77" t="b" cm="1">
        <f t="array" ref="R1760">INDEX(stable[is_skip_logic],MATCH(VALUE(questions[[#This Row],[qno]]),VALUE(stable[qno]),0))</f>
        <v>1</v>
      </c>
      <c r="S1760" s="77" t="str">
        <f>_xlfn.TEXTJOIN(", ",TRUE,questions[[#This Row],[ans_opt_1]:[ans_opt_14]])</f>
        <v>Kgs, Grams, Liters, Mililiters</v>
      </c>
      <c r="T1760" s="77" t="s">
        <v>222</v>
      </c>
      <c r="U1760" s="77" t="s">
        <v>223</v>
      </c>
      <c r="V1760" s="77" t="s">
        <v>224</v>
      </c>
      <c r="W1760" s="77" t="s">
        <v>225</v>
      </c>
      <c r="AH1760" s="98" t="b">
        <f>INDEX(stable[q_standard],MATCH(questions[[#This Row],[qno]],stable[qno],0))</f>
        <v>0</v>
      </c>
      <c r="AI1760" s="98" t="b">
        <f>INDEX(stable[q_living_income],MATCH(questions[[#This Row],[qno]],stable[qno],0))</f>
        <v>1</v>
      </c>
      <c r="AJ1760" s="98" t="b">
        <f>INDEX(stable[q_carbon],MATCH(questions[[#This Row],[qno]],stable[qno],0))</f>
        <v>1</v>
      </c>
      <c r="AK1760" s="98" t="b">
        <f>INDEX(stable[q_regen_ag],MATCH(questions[[#This Row],[qno]],stable[qno],0))</f>
        <v>0</v>
      </c>
      <c r="AL1760" s="98" t="b">
        <f>COUNTIFS(stable[qno],questions[[#This Row],[qno]])=1</f>
        <v>1</v>
      </c>
      <c r="AM1760" s="98" t="b">
        <f>OR(questions[[#This Row],[is_fixed]],questions[[#This Row],[is_localized]],questions[[#This Row],[is_supply_chain_dependent]])</f>
        <v>1</v>
      </c>
      <c r="AN1760" s="98" t="b">
        <f>COUNTIFS(questions[[#This Row],[is_automated]:[is_multi_select]],TRUE)=1</f>
        <v>1</v>
      </c>
      <c r="AO1760" s="98" t="b">
        <f>IF(questions[[#This Row],[is_fixed]],questions[[#This Row],[question]]=INDEX(stable[question],MATCH(questions[[#This Row],[qno]],stable[qno],0)),TRUE)</f>
        <v>1</v>
      </c>
      <c r="AP1760" s="98" t="str">
        <f>LEFT(questions[[#This Row],[question]],similarity_range)</f>
        <v>What was the unit of</v>
      </c>
      <c r="AQ1760" s="98" t="str">
        <f>LEFT(INDEX(stable[question],MATCH(questions[[#This Row],[qno]],stable[qno],0)),similarity_range)</f>
        <v>What was the unit of</v>
      </c>
      <c r="AR1760" s="98" t="b">
        <f>questions[[#This Row],[question_first_characters]]=questions[[#This Row],[stability_first_characters]]</f>
        <v>1</v>
      </c>
      <c r="AS1760" s="98" t="b">
        <f>IF(OR(questions[[#This Row],[is_single_select]],questions[[#This Row],[is_multi_select]]),NOT(ISBLANK(questions[[#This Row],[answer_opt_combined]])),TRUE)</f>
        <v>1</v>
      </c>
    </row>
    <row r="1761" spans="1:45" ht="15.75" customHeight="1" x14ac:dyDescent="0.25">
      <c r="A1761" s="9" t="str">
        <f>_xlfn.TEXTJOIN("_",TRUE,questions[[#This Row],[origin]:[qno]])</f>
        <v>Uganda_Robusta_2026_5620</v>
      </c>
      <c r="B1761" s="9" t="s">
        <v>511</v>
      </c>
      <c r="C1761" s="9" t="s">
        <v>674</v>
      </c>
      <c r="E1761" s="33">
        <v>2026</v>
      </c>
      <c r="F1761" s="24" t="s">
        <v>226</v>
      </c>
      <c r="G1761" s="15" t="s">
        <v>773</v>
      </c>
      <c r="H1761" s="9" t="str" cm="1">
        <f t="array" ref="H1761">INDEX(stableR[question],MATCH(VALUE(questions[[#This Row],[qno]]),VALUE(stableR[qno]),0))</f>
        <v>What was the name of the pesticide/fungicide or herbicide that you used second most, last year?</v>
      </c>
      <c r="I1761" s="9" t="b" cm="1">
        <f t="array" ref="I1761">INDEX(stable[is_fixed],MATCH(VALUE(questions[[#This Row],[qno]]),VALUE(stable[qno]),0))</f>
        <v>1</v>
      </c>
      <c r="J1761" s="9" t="b" cm="1">
        <f t="array" ref="J1761">INDEX(stable[is_localized],MATCH(VALUE(questions[[#This Row],[qno]]),VALUE(stable[qno]),0))</f>
        <v>0</v>
      </c>
      <c r="K1761" s="9" t="b" cm="1">
        <f t="array" ref="K1761">INDEX(stable[is_supply_chain_dependent],MATCH(VALUE(questions[[#This Row],[qno]]),VALUE(stable[qno]),0))</f>
        <v>0</v>
      </c>
      <c r="L1761" s="9" t="b" cm="1">
        <f t="array" ref="L1761">INDEX(stable[is_mandatory],MATCH(VALUE(questions[[#This Row],[qno]]),VALUE(stable[qno]),0))</f>
        <v>0</v>
      </c>
      <c r="M1761" s="9" t="b" cm="1">
        <f t="array" ref="M1761">INDEX(stable[is_automated],MATCH(VALUE(questions[[#This Row],[qno]]),VALUE(stable[qno]),0))</f>
        <v>0</v>
      </c>
      <c r="N1761" s="9" t="b" cm="1">
        <f t="array" ref="N1761">INDEX(stable[is_free_text],MATCH(VALUE(questions[[#This Row],[qno]]),VALUE(stable[qno]),0))</f>
        <v>1</v>
      </c>
      <c r="O1761" s="9" t="b" cm="1">
        <f t="array" ref="O1761">INDEX(stable[is_numerical],MATCH(VALUE(questions[[#This Row],[qno]]),VALUE(stable[qno]),0))</f>
        <v>0</v>
      </c>
      <c r="P1761" s="9" t="b" cm="1">
        <f t="array" ref="P1761">INDEX(stable[is_single_select],MATCH(VALUE(questions[[#This Row],[qno]]),VALUE(stable[qno]),0))</f>
        <v>0</v>
      </c>
      <c r="Q1761" s="9" t="b" cm="1">
        <f t="array" ref="Q1761">INDEX(stable[is_multi_select],MATCH(VALUE(questions[[#This Row],[qno]]),VALUE(stable[qno]),0))</f>
        <v>0</v>
      </c>
      <c r="R1761" s="9" t="b" cm="1">
        <f t="array" ref="R1761">INDEX(stable[is_skip_logic],MATCH(VALUE(questions[[#This Row],[qno]]),VALUE(stable[qno]),0))</f>
        <v>1</v>
      </c>
      <c r="S1761" s="9" t="str">
        <f>_xlfn.TEXTJOIN(", ",TRUE,questions[[#This Row],[ans_opt_1]:[ans_opt_14]])</f>
        <v/>
      </c>
      <c r="AH1761" s="16" t="b">
        <f>INDEX(stable[q_standard],MATCH(questions[[#This Row],[qno]],stable[qno],0))</f>
        <v>0</v>
      </c>
      <c r="AI1761" s="16" t="b">
        <f>INDEX(stable[q_living_income],MATCH(questions[[#This Row],[qno]],stable[qno],0))</f>
        <v>1</v>
      </c>
      <c r="AJ1761" s="16" t="b">
        <f>INDEX(stable[q_carbon],MATCH(questions[[#This Row],[qno]],stable[qno],0))</f>
        <v>1</v>
      </c>
      <c r="AK1761" s="16" t="b">
        <f>INDEX(stable[q_regen_ag],MATCH(questions[[#This Row],[qno]],stable[qno],0))</f>
        <v>0</v>
      </c>
      <c r="AL1761" s="16" t="b">
        <f>COUNTIFS(stable[qno],questions[[#This Row],[qno]])=1</f>
        <v>1</v>
      </c>
      <c r="AM1761" s="16" t="b">
        <f>OR(questions[[#This Row],[is_fixed]],questions[[#This Row],[is_localized]],questions[[#This Row],[is_supply_chain_dependent]])</f>
        <v>1</v>
      </c>
      <c r="AN1761" s="16" t="b">
        <f>COUNTIFS(questions[[#This Row],[is_automated]:[is_multi_select]],TRUE)=1</f>
        <v>1</v>
      </c>
      <c r="AO1761" s="16" t="b">
        <f>IF(questions[[#This Row],[is_fixed]],questions[[#This Row],[question]]=INDEX(stable[question],MATCH(questions[[#This Row],[qno]],stable[qno],0)),TRUE)</f>
        <v>0</v>
      </c>
      <c r="AP1761" s="16" t="str">
        <f>LEFT(questions[[#This Row],[question]],similarity_range)</f>
        <v>If yes, what was the</v>
      </c>
      <c r="AQ1761" s="16" t="str">
        <f>LEFT(INDEX(stable[question],MATCH(questions[[#This Row],[qno]],stable[qno],0)),similarity_range)</f>
        <v>If yes, what was the</v>
      </c>
      <c r="AR1761" s="16" t="b">
        <f>questions[[#This Row],[question_first_characters]]=questions[[#This Row],[stability_first_characters]]</f>
        <v>1</v>
      </c>
      <c r="AS1761" s="16" t="b">
        <f>IF(OR(questions[[#This Row],[is_single_select]],questions[[#This Row],[is_multi_select]]),NOT(ISBLANK(questions[[#This Row],[answer_opt_combined]])),TRUE)</f>
        <v>1</v>
      </c>
    </row>
    <row r="1762" spans="1:45" ht="15.75" customHeight="1" x14ac:dyDescent="0.25">
      <c r="A1762" s="9" t="str">
        <f>_xlfn.TEXTJOIN("_",TRUE,questions[[#This Row],[origin]:[qno]])</f>
        <v>Uganda_Robusta_2026_5621</v>
      </c>
      <c r="B1762" s="9" t="s">
        <v>511</v>
      </c>
      <c r="C1762" s="9" t="s">
        <v>674</v>
      </c>
      <c r="E1762" s="33">
        <v>2026</v>
      </c>
      <c r="F1762" s="24" t="s">
        <v>228</v>
      </c>
      <c r="G1762" s="15" t="s">
        <v>229</v>
      </c>
      <c r="H1762" s="9" t="str" cm="1">
        <f t="array" ref="H1762">INDEX(stableR[question],MATCH(VALUE(questions[[#This Row],[qno]]),VALUE(stableR[qno]),0))</f>
        <v>What was the quantity used of this second most used pesticide/fungicide/herbicide last year?</v>
      </c>
      <c r="I1762" s="9" t="b" cm="1">
        <f t="array" ref="I1762">INDEX(stable[is_fixed],MATCH(VALUE(questions[[#This Row],[qno]]),VALUE(stable[qno]),0))</f>
        <v>1</v>
      </c>
      <c r="J1762" s="9" t="b" cm="1">
        <f t="array" ref="J1762">INDEX(stable[is_localized],MATCH(VALUE(questions[[#This Row],[qno]]),VALUE(stable[qno]),0))</f>
        <v>0</v>
      </c>
      <c r="K1762" s="9" t="b" cm="1">
        <f t="array" ref="K1762">INDEX(stable[is_supply_chain_dependent],MATCH(VALUE(questions[[#This Row],[qno]]),VALUE(stable[qno]),0))</f>
        <v>0</v>
      </c>
      <c r="L1762" s="9" t="b" cm="1">
        <f t="array" ref="L1762">INDEX(stable[is_mandatory],MATCH(VALUE(questions[[#This Row],[qno]]),VALUE(stable[qno]),0))</f>
        <v>0</v>
      </c>
      <c r="M1762" s="9" t="b" cm="1">
        <f t="array" ref="M1762">INDEX(stable[is_automated],MATCH(VALUE(questions[[#This Row],[qno]]),VALUE(stable[qno]),0))</f>
        <v>0</v>
      </c>
      <c r="N1762" s="9" t="b" cm="1">
        <f t="array" ref="N1762">INDEX(stable[is_free_text],MATCH(VALUE(questions[[#This Row],[qno]]),VALUE(stable[qno]),0))</f>
        <v>0</v>
      </c>
      <c r="O1762" s="9" t="b" cm="1">
        <f t="array" ref="O1762">INDEX(stable[is_numerical],MATCH(VALUE(questions[[#This Row],[qno]]),VALUE(stable[qno]),0))</f>
        <v>1</v>
      </c>
      <c r="P1762" s="9" t="b" cm="1">
        <f t="array" ref="P1762">INDEX(stable[is_single_select],MATCH(VALUE(questions[[#This Row],[qno]]),VALUE(stable[qno]),0))</f>
        <v>0</v>
      </c>
      <c r="Q1762" s="9" t="b" cm="1">
        <f t="array" ref="Q1762">INDEX(stable[is_multi_select],MATCH(VALUE(questions[[#This Row],[qno]]),VALUE(stable[qno]),0))</f>
        <v>0</v>
      </c>
      <c r="R1762" s="9" t="b" cm="1">
        <f t="array" ref="R1762">INDEX(stable[is_skip_logic],MATCH(VALUE(questions[[#This Row],[qno]]),VALUE(stable[qno]),0))</f>
        <v>1</v>
      </c>
      <c r="S1762" s="9" t="str">
        <f>_xlfn.TEXTJOIN(", ",TRUE,questions[[#This Row],[ans_opt_1]:[ans_opt_14]])</f>
        <v/>
      </c>
      <c r="AH1762" s="16" t="b">
        <f>INDEX(stable[q_standard],MATCH(questions[[#This Row],[qno]],stable[qno],0))</f>
        <v>0</v>
      </c>
      <c r="AI1762" s="16" t="b">
        <f>INDEX(stable[q_living_income],MATCH(questions[[#This Row],[qno]],stable[qno],0))</f>
        <v>1</v>
      </c>
      <c r="AJ1762" s="16" t="b">
        <f>INDEX(stable[q_carbon],MATCH(questions[[#This Row],[qno]],stable[qno],0))</f>
        <v>1</v>
      </c>
      <c r="AK1762" s="16" t="b">
        <f>INDEX(stable[q_regen_ag],MATCH(questions[[#This Row],[qno]],stable[qno],0))</f>
        <v>0</v>
      </c>
      <c r="AL1762" s="16" t="b">
        <f>COUNTIFS(stable[qno],questions[[#This Row],[qno]])=1</f>
        <v>1</v>
      </c>
      <c r="AM1762" s="16" t="b">
        <f>OR(questions[[#This Row],[is_fixed]],questions[[#This Row],[is_localized]],questions[[#This Row],[is_supply_chain_dependent]])</f>
        <v>1</v>
      </c>
      <c r="AN1762" s="16" t="b">
        <f>COUNTIFS(questions[[#This Row],[is_automated]:[is_multi_select]],TRUE)=1</f>
        <v>1</v>
      </c>
      <c r="AO1762" s="16" t="b">
        <f>IF(questions[[#This Row],[is_fixed]],questions[[#This Row],[question]]=INDEX(stable[question],MATCH(questions[[#This Row],[qno]],stable[qno],0)),TRUE)</f>
        <v>1</v>
      </c>
      <c r="AP1762" s="16" t="str">
        <f>LEFT(questions[[#This Row],[question]],similarity_range)</f>
        <v>What was the quantit</v>
      </c>
      <c r="AQ1762" s="16" t="str">
        <f>LEFT(INDEX(stable[question],MATCH(questions[[#This Row],[qno]],stable[qno],0)),similarity_range)</f>
        <v>What was the quantit</v>
      </c>
      <c r="AR1762" s="16" t="b">
        <f>questions[[#This Row],[question_first_characters]]=questions[[#This Row],[stability_first_characters]]</f>
        <v>1</v>
      </c>
      <c r="AS1762" s="16" t="b">
        <f>IF(OR(questions[[#This Row],[is_single_select]],questions[[#This Row],[is_multi_select]]),NOT(ISBLANK(questions[[#This Row],[answer_opt_combined]])),TRUE)</f>
        <v>1</v>
      </c>
    </row>
    <row r="1763" spans="1:45" s="77" customFormat="1" ht="15.75" customHeight="1" x14ac:dyDescent="0.25">
      <c r="A1763" s="77" t="str">
        <f>_xlfn.TEXTJOIN("_",TRUE,questions[[#This Row],[origin]:[qno]])</f>
        <v>Uganda_Robusta_2026_5622</v>
      </c>
      <c r="B1763" s="77" t="s">
        <v>511</v>
      </c>
      <c r="C1763" s="77" t="s">
        <v>674</v>
      </c>
      <c r="E1763" s="77">
        <v>2026</v>
      </c>
      <c r="F1763" s="104" t="s">
        <v>230</v>
      </c>
      <c r="G1763" s="78" t="s">
        <v>231</v>
      </c>
      <c r="H1763" s="9" t="str" cm="1">
        <f t="array" ref="H1763">INDEX(stableR[question],MATCH(VALUE(questions[[#This Row],[qno]]),VALUE(stableR[qno]),0))</f>
        <v>What was the unit of this second most used pesticide/fungicide/herbicide?</v>
      </c>
      <c r="I1763" s="9" t="b" cm="1">
        <f t="array" ref="I1763">INDEX(stable[is_fixed],MATCH(VALUE(questions[[#This Row],[qno]]),VALUE(stable[qno]),0))</f>
        <v>1</v>
      </c>
      <c r="J1763" s="9" t="b" cm="1">
        <f t="array" ref="J1763">INDEX(stable[is_localized],MATCH(VALUE(questions[[#This Row],[qno]]),VALUE(stable[qno]),0))</f>
        <v>0</v>
      </c>
      <c r="K1763" s="9" t="b" cm="1">
        <f t="array" ref="K1763">INDEX(stable[is_supply_chain_dependent],MATCH(VALUE(questions[[#This Row],[qno]]),VALUE(stable[qno]),0))</f>
        <v>0</v>
      </c>
      <c r="L1763" s="9" t="b" cm="1">
        <f t="array" ref="L1763">INDEX(stable[is_mandatory],MATCH(VALUE(questions[[#This Row],[qno]]),VALUE(stable[qno]),0))</f>
        <v>0</v>
      </c>
      <c r="M1763" s="9" t="b" cm="1">
        <f t="array" ref="M1763">INDEX(stable[is_automated],MATCH(VALUE(questions[[#This Row],[qno]]),VALUE(stable[qno]),0))</f>
        <v>0</v>
      </c>
      <c r="N1763" s="9" t="b" cm="1">
        <f t="array" ref="N1763">INDEX(stable[is_free_text],MATCH(VALUE(questions[[#This Row],[qno]]),VALUE(stable[qno]),0))</f>
        <v>0</v>
      </c>
      <c r="O1763" s="9" t="b" cm="1">
        <f t="array" ref="O1763">INDEX(stable[is_numerical],MATCH(VALUE(questions[[#This Row],[qno]]),VALUE(stable[qno]),0))</f>
        <v>0</v>
      </c>
      <c r="P1763" s="77" t="b" cm="1">
        <f t="array" ref="P1763">INDEX(stable[is_single_select],MATCH(VALUE(questions[[#This Row],[qno]]),VALUE(stable[qno]),0))</f>
        <v>1</v>
      </c>
      <c r="Q1763" s="77" t="b" cm="1">
        <f t="array" ref="Q1763">INDEX(stable[is_multi_select],MATCH(VALUE(questions[[#This Row],[qno]]),VALUE(stable[qno]),0))</f>
        <v>0</v>
      </c>
      <c r="R1763" s="77" t="b" cm="1">
        <f t="array" ref="R1763">INDEX(stable[is_skip_logic],MATCH(VALUE(questions[[#This Row],[qno]]),VALUE(stable[qno]),0))</f>
        <v>1</v>
      </c>
      <c r="S1763" s="77" t="str">
        <f>_xlfn.TEXTJOIN(", ",TRUE,questions[[#This Row],[ans_opt_1]:[ans_opt_14]])</f>
        <v>Kgs, Grams, Liters, Mililiters</v>
      </c>
      <c r="T1763" s="77" t="s">
        <v>222</v>
      </c>
      <c r="U1763" s="77" t="s">
        <v>223</v>
      </c>
      <c r="V1763" s="77" t="s">
        <v>224</v>
      </c>
      <c r="W1763" s="77" t="s">
        <v>225</v>
      </c>
      <c r="AH1763" s="98" t="b">
        <f>INDEX(stable[q_standard],MATCH(questions[[#This Row],[qno]],stable[qno],0))</f>
        <v>0</v>
      </c>
      <c r="AI1763" s="98" t="b">
        <f>INDEX(stable[q_living_income],MATCH(questions[[#This Row],[qno]],stable[qno],0))</f>
        <v>1</v>
      </c>
      <c r="AJ1763" s="98" t="b">
        <f>INDEX(stable[q_carbon],MATCH(questions[[#This Row],[qno]],stable[qno],0))</f>
        <v>1</v>
      </c>
      <c r="AK1763" s="98" t="b">
        <f>INDEX(stable[q_regen_ag],MATCH(questions[[#This Row],[qno]],stable[qno],0))</f>
        <v>0</v>
      </c>
      <c r="AL1763" s="98" t="b">
        <f>COUNTIFS(stable[qno],questions[[#This Row],[qno]])=1</f>
        <v>1</v>
      </c>
      <c r="AM1763" s="98" t="b">
        <f>OR(questions[[#This Row],[is_fixed]],questions[[#This Row],[is_localized]],questions[[#This Row],[is_supply_chain_dependent]])</f>
        <v>1</v>
      </c>
      <c r="AN1763" s="98" t="b">
        <f>COUNTIFS(questions[[#This Row],[is_automated]:[is_multi_select]],TRUE)=1</f>
        <v>1</v>
      </c>
      <c r="AO1763" s="98" t="b">
        <f>IF(questions[[#This Row],[is_fixed]],questions[[#This Row],[question]]=INDEX(stable[question],MATCH(questions[[#This Row],[qno]],stable[qno],0)),TRUE)</f>
        <v>1</v>
      </c>
      <c r="AP1763" s="98" t="str">
        <f>LEFT(questions[[#This Row],[question]],similarity_range)</f>
        <v>What was the unit of</v>
      </c>
      <c r="AQ1763" s="98" t="str">
        <f>LEFT(INDEX(stable[question],MATCH(questions[[#This Row],[qno]],stable[qno],0)),similarity_range)</f>
        <v>What was the unit of</v>
      </c>
      <c r="AR1763" s="98" t="b">
        <f>questions[[#This Row],[question_first_characters]]=questions[[#This Row],[stability_first_characters]]</f>
        <v>1</v>
      </c>
      <c r="AS1763" s="98" t="b">
        <f>IF(OR(questions[[#This Row],[is_single_select]],questions[[#This Row],[is_multi_select]]),NOT(ISBLANK(questions[[#This Row],[answer_opt_combined]])),TRUE)</f>
        <v>1</v>
      </c>
    </row>
    <row r="1764" spans="1:45" ht="15.75" customHeight="1" x14ac:dyDescent="0.25">
      <c r="A1764" s="9" t="str">
        <f>_xlfn.TEXTJOIN("_",TRUE,questions[[#This Row],[origin]:[qno]])</f>
        <v>Uganda_Robusta_2026_5630</v>
      </c>
      <c r="B1764" s="9" t="s">
        <v>511</v>
      </c>
      <c r="C1764" s="9" t="s">
        <v>674</v>
      </c>
      <c r="E1764" s="33">
        <v>2026</v>
      </c>
      <c r="F1764" s="24" t="s">
        <v>232</v>
      </c>
      <c r="G1764" s="15" t="s">
        <v>775</v>
      </c>
      <c r="H1764" s="9" t="str" cm="1">
        <f t="array" ref="H1764">INDEX(stableR[question],MATCH(VALUE(questions[[#This Row],[qno]]),VALUE(stableR[qno]),0))</f>
        <v>What was the name of the pesticide/fungicide or herbicide that you used third most, last year?</v>
      </c>
      <c r="I1764" s="9" t="b" cm="1">
        <f t="array" ref="I1764">INDEX(stable[is_fixed],MATCH(VALUE(questions[[#This Row],[qno]]),VALUE(stable[qno]),0))</f>
        <v>1</v>
      </c>
      <c r="J1764" s="9" t="b" cm="1">
        <f t="array" ref="J1764">INDEX(stable[is_localized],MATCH(VALUE(questions[[#This Row],[qno]]),VALUE(stable[qno]),0))</f>
        <v>0</v>
      </c>
      <c r="K1764" s="9" t="b" cm="1">
        <f t="array" ref="K1764">INDEX(stable[is_supply_chain_dependent],MATCH(VALUE(questions[[#This Row],[qno]]),VALUE(stable[qno]),0))</f>
        <v>0</v>
      </c>
      <c r="L1764" s="9" t="b" cm="1">
        <f t="array" ref="L1764">INDEX(stable[is_mandatory],MATCH(VALUE(questions[[#This Row],[qno]]),VALUE(stable[qno]),0))</f>
        <v>0</v>
      </c>
      <c r="M1764" s="9" t="b" cm="1">
        <f t="array" ref="M1764">INDEX(stable[is_automated],MATCH(VALUE(questions[[#This Row],[qno]]),VALUE(stable[qno]),0))</f>
        <v>0</v>
      </c>
      <c r="N1764" s="9" t="b" cm="1">
        <f t="array" ref="N1764">INDEX(stable[is_free_text],MATCH(VALUE(questions[[#This Row],[qno]]),VALUE(stable[qno]),0))</f>
        <v>1</v>
      </c>
      <c r="O1764" s="9" t="b" cm="1">
        <f t="array" ref="O1764">INDEX(stable[is_numerical],MATCH(VALUE(questions[[#This Row],[qno]]),VALUE(stable[qno]),0))</f>
        <v>0</v>
      </c>
      <c r="P1764" s="9" t="b" cm="1">
        <f t="array" ref="P1764">INDEX(stable[is_single_select],MATCH(VALUE(questions[[#This Row],[qno]]),VALUE(stable[qno]),0))</f>
        <v>0</v>
      </c>
      <c r="Q1764" s="9" t="b" cm="1">
        <f t="array" ref="Q1764">INDEX(stable[is_multi_select],MATCH(VALUE(questions[[#This Row],[qno]]),VALUE(stable[qno]),0))</f>
        <v>0</v>
      </c>
      <c r="R1764" s="9" t="b" cm="1">
        <f t="array" ref="R1764">INDEX(stable[is_skip_logic],MATCH(VALUE(questions[[#This Row],[qno]]),VALUE(stable[qno]),0))</f>
        <v>1</v>
      </c>
      <c r="S1764" s="9" t="str">
        <f>_xlfn.TEXTJOIN(", ",TRUE,questions[[#This Row],[ans_opt_1]:[ans_opt_14]])</f>
        <v/>
      </c>
      <c r="AH1764" s="16" t="b">
        <f>INDEX(stable[q_standard],MATCH(questions[[#This Row],[qno]],stable[qno],0))</f>
        <v>0</v>
      </c>
      <c r="AI1764" s="16" t="b">
        <f>INDEX(stable[q_living_income],MATCH(questions[[#This Row],[qno]],stable[qno],0))</f>
        <v>1</v>
      </c>
      <c r="AJ1764" s="16" t="b">
        <f>INDEX(stable[q_carbon],MATCH(questions[[#This Row],[qno]],stable[qno],0))</f>
        <v>1</v>
      </c>
      <c r="AK1764" s="16" t="b">
        <f>INDEX(stable[q_regen_ag],MATCH(questions[[#This Row],[qno]],stable[qno],0))</f>
        <v>0</v>
      </c>
      <c r="AL1764" s="16" t="b">
        <f>COUNTIFS(stable[qno],questions[[#This Row],[qno]])=1</f>
        <v>1</v>
      </c>
      <c r="AM1764" s="16" t="b">
        <f>OR(questions[[#This Row],[is_fixed]],questions[[#This Row],[is_localized]],questions[[#This Row],[is_supply_chain_dependent]])</f>
        <v>1</v>
      </c>
      <c r="AN1764" s="16" t="b">
        <f>COUNTIFS(questions[[#This Row],[is_automated]:[is_multi_select]],TRUE)=1</f>
        <v>1</v>
      </c>
      <c r="AO1764" s="16" t="b">
        <f>IF(questions[[#This Row],[is_fixed]],questions[[#This Row],[question]]=INDEX(stable[question],MATCH(questions[[#This Row],[qno]],stable[qno],0)),TRUE)</f>
        <v>0</v>
      </c>
      <c r="AP1764" s="16" t="str">
        <f>LEFT(questions[[#This Row],[question]],similarity_range)</f>
        <v>If yes, what was the</v>
      </c>
      <c r="AQ1764" s="16" t="str">
        <f>LEFT(INDEX(stable[question],MATCH(questions[[#This Row],[qno]],stable[qno],0)),similarity_range)</f>
        <v>If yes, what was the</v>
      </c>
      <c r="AR1764" s="16" t="b">
        <f>questions[[#This Row],[question_first_characters]]=questions[[#This Row],[stability_first_characters]]</f>
        <v>1</v>
      </c>
      <c r="AS1764" s="16" t="b">
        <f>IF(OR(questions[[#This Row],[is_single_select]],questions[[#This Row],[is_multi_select]]),NOT(ISBLANK(questions[[#This Row],[answer_opt_combined]])),TRUE)</f>
        <v>1</v>
      </c>
    </row>
    <row r="1765" spans="1:45" ht="15.75" customHeight="1" x14ac:dyDescent="0.25">
      <c r="A1765" s="9" t="str">
        <f>_xlfn.TEXTJOIN("_",TRUE,questions[[#This Row],[origin]:[qno]])</f>
        <v>Uganda_Robusta_2026_5631</v>
      </c>
      <c r="B1765" s="9" t="s">
        <v>511</v>
      </c>
      <c r="C1765" s="9" t="s">
        <v>674</v>
      </c>
      <c r="E1765" s="33">
        <v>2026</v>
      </c>
      <c r="F1765" s="24" t="s">
        <v>234</v>
      </c>
      <c r="G1765" s="15" t="s">
        <v>235</v>
      </c>
      <c r="H1765" s="9" t="str" cm="1">
        <f t="array" ref="H1765">INDEX(stableR[question],MATCH(VALUE(questions[[#This Row],[qno]]),VALUE(stableR[qno]),0))</f>
        <v>What was the quantity used of this third most used pesticide/fungicide/herbicide last year?</v>
      </c>
      <c r="I1765" s="9" t="b" cm="1">
        <f t="array" ref="I1765">INDEX(stable[is_fixed],MATCH(VALUE(questions[[#This Row],[qno]]),VALUE(stable[qno]),0))</f>
        <v>1</v>
      </c>
      <c r="J1765" s="9" t="b" cm="1">
        <f t="array" ref="J1765">INDEX(stable[is_localized],MATCH(VALUE(questions[[#This Row],[qno]]),VALUE(stable[qno]),0))</f>
        <v>0</v>
      </c>
      <c r="K1765" s="9" t="b" cm="1">
        <f t="array" ref="K1765">INDEX(stable[is_supply_chain_dependent],MATCH(VALUE(questions[[#This Row],[qno]]),VALUE(stable[qno]),0))</f>
        <v>0</v>
      </c>
      <c r="L1765" s="9" t="b" cm="1">
        <f t="array" ref="L1765">INDEX(stable[is_mandatory],MATCH(VALUE(questions[[#This Row],[qno]]),VALUE(stable[qno]),0))</f>
        <v>0</v>
      </c>
      <c r="M1765" s="9" t="b" cm="1">
        <f t="array" ref="M1765">INDEX(stable[is_automated],MATCH(VALUE(questions[[#This Row],[qno]]),VALUE(stable[qno]),0))</f>
        <v>0</v>
      </c>
      <c r="N1765" s="9" t="b" cm="1">
        <f t="array" ref="N1765">INDEX(stable[is_free_text],MATCH(VALUE(questions[[#This Row],[qno]]),VALUE(stable[qno]),0))</f>
        <v>0</v>
      </c>
      <c r="O1765" s="9" t="b" cm="1">
        <f t="array" ref="O1765">INDEX(stable[is_numerical],MATCH(VALUE(questions[[#This Row],[qno]]),VALUE(stable[qno]),0))</f>
        <v>1</v>
      </c>
      <c r="P1765" s="9" t="b" cm="1">
        <f t="array" ref="P1765">INDEX(stable[is_single_select],MATCH(VALUE(questions[[#This Row],[qno]]),VALUE(stable[qno]),0))</f>
        <v>0</v>
      </c>
      <c r="Q1765" s="9" t="b" cm="1">
        <f t="array" ref="Q1765">INDEX(stable[is_multi_select],MATCH(VALUE(questions[[#This Row],[qno]]),VALUE(stable[qno]),0))</f>
        <v>0</v>
      </c>
      <c r="R1765" s="9" t="b" cm="1">
        <f t="array" ref="R1765">INDEX(stable[is_skip_logic],MATCH(VALUE(questions[[#This Row],[qno]]),VALUE(stable[qno]),0))</f>
        <v>1</v>
      </c>
      <c r="S1765" s="9" t="str">
        <f>_xlfn.TEXTJOIN(", ",TRUE,questions[[#This Row],[ans_opt_1]:[ans_opt_14]])</f>
        <v/>
      </c>
      <c r="AH1765" s="16" t="b">
        <f>INDEX(stable[q_standard],MATCH(questions[[#This Row],[qno]],stable[qno],0))</f>
        <v>0</v>
      </c>
      <c r="AI1765" s="16" t="b">
        <f>INDEX(stable[q_living_income],MATCH(questions[[#This Row],[qno]],stable[qno],0))</f>
        <v>1</v>
      </c>
      <c r="AJ1765" s="16" t="b">
        <f>INDEX(stable[q_carbon],MATCH(questions[[#This Row],[qno]],stable[qno],0))</f>
        <v>1</v>
      </c>
      <c r="AK1765" s="16" t="b">
        <f>INDEX(stable[q_regen_ag],MATCH(questions[[#This Row],[qno]],stable[qno],0))</f>
        <v>0</v>
      </c>
      <c r="AL1765" s="16" t="b">
        <f>COUNTIFS(stable[qno],questions[[#This Row],[qno]])=1</f>
        <v>1</v>
      </c>
      <c r="AM1765" s="16" t="b">
        <f>OR(questions[[#This Row],[is_fixed]],questions[[#This Row],[is_localized]],questions[[#This Row],[is_supply_chain_dependent]])</f>
        <v>1</v>
      </c>
      <c r="AN1765" s="16" t="b">
        <f>COUNTIFS(questions[[#This Row],[is_automated]:[is_multi_select]],TRUE)=1</f>
        <v>1</v>
      </c>
      <c r="AO1765" s="16" t="b">
        <f>IF(questions[[#This Row],[is_fixed]],questions[[#This Row],[question]]=INDEX(stable[question],MATCH(questions[[#This Row],[qno]],stable[qno],0)),TRUE)</f>
        <v>1</v>
      </c>
      <c r="AP1765" s="16" t="str">
        <f>LEFT(questions[[#This Row],[question]],similarity_range)</f>
        <v>What was the quantit</v>
      </c>
      <c r="AQ1765" s="16" t="str">
        <f>LEFT(INDEX(stable[question],MATCH(questions[[#This Row],[qno]],stable[qno],0)),similarity_range)</f>
        <v>What was the quantit</v>
      </c>
      <c r="AR1765" s="16" t="b">
        <f>questions[[#This Row],[question_first_characters]]=questions[[#This Row],[stability_first_characters]]</f>
        <v>1</v>
      </c>
      <c r="AS1765" s="16" t="b">
        <f>IF(OR(questions[[#This Row],[is_single_select]],questions[[#This Row],[is_multi_select]]),NOT(ISBLANK(questions[[#This Row],[answer_opt_combined]])),TRUE)</f>
        <v>1</v>
      </c>
    </row>
    <row r="1766" spans="1:45" s="77" customFormat="1" ht="15.75" customHeight="1" x14ac:dyDescent="0.25">
      <c r="A1766" s="77" t="str">
        <f>_xlfn.TEXTJOIN("_",TRUE,questions[[#This Row],[origin]:[qno]])</f>
        <v>Uganda_Robusta_2026_5632</v>
      </c>
      <c r="B1766" s="77" t="s">
        <v>511</v>
      </c>
      <c r="C1766" s="77" t="s">
        <v>674</v>
      </c>
      <c r="E1766" s="77">
        <v>2026</v>
      </c>
      <c r="F1766" s="104" t="s">
        <v>236</v>
      </c>
      <c r="G1766" s="78" t="s">
        <v>237</v>
      </c>
      <c r="H1766" s="9" t="str" cm="1">
        <f t="array" ref="H1766">INDEX(stableR[question],MATCH(VALUE(questions[[#This Row],[qno]]),VALUE(stableR[qno]),0))</f>
        <v>What was the unit of this third most used pesticide/fungicide/herbicide</v>
      </c>
      <c r="I1766" s="9" t="b" cm="1">
        <f t="array" ref="I1766">INDEX(stable[is_fixed],MATCH(VALUE(questions[[#This Row],[qno]]),VALUE(stable[qno]),0))</f>
        <v>1</v>
      </c>
      <c r="J1766" s="9" t="b" cm="1">
        <f t="array" ref="J1766">INDEX(stable[is_localized],MATCH(VALUE(questions[[#This Row],[qno]]),VALUE(stable[qno]),0))</f>
        <v>0</v>
      </c>
      <c r="K1766" s="9" t="b" cm="1">
        <f t="array" ref="K1766">INDEX(stable[is_supply_chain_dependent],MATCH(VALUE(questions[[#This Row],[qno]]),VALUE(stable[qno]),0))</f>
        <v>0</v>
      </c>
      <c r="L1766" s="9" t="b" cm="1">
        <f t="array" ref="L1766">INDEX(stable[is_mandatory],MATCH(VALUE(questions[[#This Row],[qno]]),VALUE(stable[qno]),0))</f>
        <v>0</v>
      </c>
      <c r="M1766" s="9" t="b" cm="1">
        <f t="array" ref="M1766">INDEX(stable[is_automated],MATCH(VALUE(questions[[#This Row],[qno]]),VALUE(stable[qno]),0))</f>
        <v>0</v>
      </c>
      <c r="N1766" s="9" t="b" cm="1">
        <f t="array" ref="N1766">INDEX(stable[is_free_text],MATCH(VALUE(questions[[#This Row],[qno]]),VALUE(stable[qno]),0))</f>
        <v>0</v>
      </c>
      <c r="O1766" s="9" t="b" cm="1">
        <f t="array" ref="O1766">INDEX(stable[is_numerical],MATCH(VALUE(questions[[#This Row],[qno]]),VALUE(stable[qno]),0))</f>
        <v>0</v>
      </c>
      <c r="P1766" s="77" t="b" cm="1">
        <f t="array" ref="P1766">INDEX(stable[is_single_select],MATCH(VALUE(questions[[#This Row],[qno]]),VALUE(stable[qno]),0))</f>
        <v>1</v>
      </c>
      <c r="Q1766" s="77" t="b" cm="1">
        <f t="array" ref="Q1766">INDEX(stable[is_multi_select],MATCH(VALUE(questions[[#This Row],[qno]]),VALUE(stable[qno]),0))</f>
        <v>0</v>
      </c>
      <c r="R1766" s="77" t="b" cm="1">
        <f t="array" ref="R1766">INDEX(stable[is_skip_logic],MATCH(VALUE(questions[[#This Row],[qno]]),VALUE(stable[qno]),0))</f>
        <v>1</v>
      </c>
      <c r="S1766" s="77" t="str">
        <f>_xlfn.TEXTJOIN(", ",TRUE,questions[[#This Row],[ans_opt_1]:[ans_opt_14]])</f>
        <v>Kgs, Grams, Liters, Mililiters</v>
      </c>
      <c r="T1766" s="77" t="s">
        <v>222</v>
      </c>
      <c r="U1766" s="77" t="s">
        <v>223</v>
      </c>
      <c r="V1766" s="77" t="s">
        <v>224</v>
      </c>
      <c r="W1766" s="77" t="s">
        <v>225</v>
      </c>
      <c r="AH1766" s="98" t="b">
        <f>INDEX(stable[q_standard],MATCH(questions[[#This Row],[qno]],stable[qno],0))</f>
        <v>0</v>
      </c>
      <c r="AI1766" s="98" t="b">
        <f>INDEX(stable[q_living_income],MATCH(questions[[#This Row],[qno]],stable[qno],0))</f>
        <v>1</v>
      </c>
      <c r="AJ1766" s="98" t="b">
        <f>INDEX(stable[q_carbon],MATCH(questions[[#This Row],[qno]],stable[qno],0))</f>
        <v>1</v>
      </c>
      <c r="AK1766" s="98" t="b">
        <f>INDEX(stable[q_regen_ag],MATCH(questions[[#This Row],[qno]],stable[qno],0))</f>
        <v>0</v>
      </c>
      <c r="AL1766" s="98" t="b">
        <f>COUNTIFS(stable[qno],questions[[#This Row],[qno]])=1</f>
        <v>1</v>
      </c>
      <c r="AM1766" s="98" t="b">
        <f>OR(questions[[#This Row],[is_fixed]],questions[[#This Row],[is_localized]],questions[[#This Row],[is_supply_chain_dependent]])</f>
        <v>1</v>
      </c>
      <c r="AN1766" s="98" t="b">
        <f>COUNTIFS(questions[[#This Row],[is_automated]:[is_multi_select]],TRUE)=1</f>
        <v>1</v>
      </c>
      <c r="AO1766" s="98" t="b">
        <f>IF(questions[[#This Row],[is_fixed]],questions[[#This Row],[question]]=INDEX(stable[question],MATCH(questions[[#This Row],[qno]],stable[qno],0)),TRUE)</f>
        <v>1</v>
      </c>
      <c r="AP1766" s="98" t="str">
        <f>LEFT(questions[[#This Row],[question]],similarity_range)</f>
        <v>What was the unit of</v>
      </c>
      <c r="AQ1766" s="98" t="str">
        <f>LEFT(INDEX(stable[question],MATCH(questions[[#This Row],[qno]],stable[qno],0)),similarity_range)</f>
        <v>What was the unit of</v>
      </c>
      <c r="AR1766" s="98" t="b">
        <f>questions[[#This Row],[question_first_characters]]=questions[[#This Row],[stability_first_characters]]</f>
        <v>1</v>
      </c>
      <c r="AS1766" s="98" t="b">
        <f>IF(OR(questions[[#This Row],[is_single_select]],questions[[#This Row],[is_multi_select]]),NOT(ISBLANK(questions[[#This Row],[answer_opt_combined]])),TRUE)</f>
        <v>1</v>
      </c>
    </row>
    <row r="1767" spans="1:45" s="77" customFormat="1" ht="15.75" customHeight="1" x14ac:dyDescent="0.25">
      <c r="A1767" s="77" t="str">
        <f>_xlfn.TEXTJOIN("_",TRUE,questions[[#This Row],[origin]:[qno]])</f>
        <v>Uganda_Robusta_2026_6000</v>
      </c>
      <c r="B1767" s="77" t="s">
        <v>511</v>
      </c>
      <c r="C1767" s="77" t="s">
        <v>674</v>
      </c>
      <c r="E1767" s="77">
        <v>2026</v>
      </c>
      <c r="F1767" s="104" t="s">
        <v>238</v>
      </c>
      <c r="G1767" s="78" t="s">
        <v>239</v>
      </c>
      <c r="H1767" s="9" t="str" cm="1">
        <f t="array" ref="H1767">INDEX(stableR[question],MATCH(VALUE(questions[[#This Row],[qno]]),VALUE(stableR[qno]),0))</f>
        <v>Did you hire any permanent laborer's, for your coffee plots, last year?</v>
      </c>
      <c r="I1767" s="9" t="b" cm="1">
        <f t="array" ref="I1767">INDEX(stable[is_fixed],MATCH(VALUE(questions[[#This Row],[qno]]),VALUE(stable[qno]),0))</f>
        <v>1</v>
      </c>
      <c r="J1767" s="9" t="b" cm="1">
        <f t="array" ref="J1767">INDEX(stable[is_localized],MATCH(VALUE(questions[[#This Row],[qno]]),VALUE(stable[qno]),0))</f>
        <v>0</v>
      </c>
      <c r="K1767" s="9" t="b" cm="1">
        <f t="array" ref="K1767">INDEX(stable[is_supply_chain_dependent],MATCH(VALUE(questions[[#This Row],[qno]]),VALUE(stable[qno]),0))</f>
        <v>0</v>
      </c>
      <c r="L1767" s="9" t="b" cm="1">
        <f t="array" ref="L1767">INDEX(stable[is_mandatory],MATCH(VALUE(questions[[#This Row],[qno]]),VALUE(stable[qno]),0))</f>
        <v>1</v>
      </c>
      <c r="M1767" s="9" t="b" cm="1">
        <f t="array" ref="M1767">INDEX(stable[is_automated],MATCH(VALUE(questions[[#This Row],[qno]]),VALUE(stable[qno]),0))</f>
        <v>0</v>
      </c>
      <c r="N1767" s="9" t="b" cm="1">
        <f t="array" ref="N1767">INDEX(stable[is_free_text],MATCH(VALUE(questions[[#This Row],[qno]]),VALUE(stable[qno]),0))</f>
        <v>0</v>
      </c>
      <c r="O1767" s="9" t="b" cm="1">
        <f t="array" ref="O1767">INDEX(stable[is_numerical],MATCH(VALUE(questions[[#This Row],[qno]]),VALUE(stable[qno]),0))</f>
        <v>0</v>
      </c>
      <c r="P1767" s="77" t="b" cm="1">
        <f t="array" ref="P1767">INDEX(stable[is_single_select],MATCH(VALUE(questions[[#This Row],[qno]]),VALUE(stable[qno]),0))</f>
        <v>1</v>
      </c>
      <c r="Q1767" s="77" t="b" cm="1">
        <f t="array" ref="Q1767">INDEX(stable[is_multi_select],MATCH(VALUE(questions[[#This Row],[qno]]),VALUE(stable[qno]),0))</f>
        <v>0</v>
      </c>
      <c r="R1767" s="77" t="b" cm="1">
        <f t="array" ref="R1767">INDEX(stable[is_skip_logic],MATCH(VALUE(questions[[#This Row],[qno]]),VALUE(stable[qno]),0))</f>
        <v>1</v>
      </c>
      <c r="S1767" s="77" t="str">
        <f>_xlfn.TEXTJOIN(", ",TRUE,questions[[#This Row],[ans_opt_1]:[ans_opt_14]])</f>
        <v>Yes, No</v>
      </c>
      <c r="T1767" s="77" t="s">
        <v>149</v>
      </c>
      <c r="U1767" s="77" t="s">
        <v>119</v>
      </c>
      <c r="AH1767" s="98" t="b">
        <f>INDEX(stable[q_standard],MATCH(questions[[#This Row],[qno]],stable[qno],0))</f>
        <v>0</v>
      </c>
      <c r="AI1767" s="98" t="b">
        <f>INDEX(stable[q_living_income],MATCH(questions[[#This Row],[qno]],stable[qno],0))</f>
        <v>1</v>
      </c>
      <c r="AJ1767" s="98" t="b">
        <f>INDEX(stable[q_carbon],MATCH(questions[[#This Row],[qno]],stable[qno],0))</f>
        <v>0</v>
      </c>
      <c r="AK1767" s="98" t="b">
        <f>INDEX(stable[q_regen_ag],MATCH(questions[[#This Row],[qno]],stable[qno],0))</f>
        <v>0</v>
      </c>
      <c r="AL1767" s="98" t="b">
        <f>COUNTIFS(stable[qno],questions[[#This Row],[qno]])=1</f>
        <v>1</v>
      </c>
      <c r="AM1767" s="98" t="b">
        <f>OR(questions[[#This Row],[is_fixed]],questions[[#This Row],[is_localized]],questions[[#This Row],[is_supply_chain_dependent]])</f>
        <v>1</v>
      </c>
      <c r="AN1767" s="98" t="b">
        <f>COUNTIFS(questions[[#This Row],[is_automated]:[is_multi_select]],TRUE)=1</f>
        <v>1</v>
      </c>
      <c r="AO1767" s="98" t="b">
        <f>IF(questions[[#This Row],[is_fixed]],questions[[#This Row],[question]]=INDEX(stable[question],MATCH(questions[[#This Row],[qno]],stable[qno],0)),TRUE)</f>
        <v>1</v>
      </c>
      <c r="AP1767" s="98" t="str">
        <f>LEFT(questions[[#This Row],[question]],similarity_range)</f>
        <v>Did you hire any per</v>
      </c>
      <c r="AQ1767" s="98" t="str">
        <f>LEFT(INDEX(stable[question],MATCH(questions[[#This Row],[qno]],stable[qno],0)),similarity_range)</f>
        <v>Did you hire any per</v>
      </c>
      <c r="AR1767" s="98" t="b">
        <f>questions[[#This Row],[question_first_characters]]=questions[[#This Row],[stability_first_characters]]</f>
        <v>1</v>
      </c>
      <c r="AS1767" s="98" t="b">
        <f>IF(OR(questions[[#This Row],[is_single_select]],questions[[#This Row],[is_multi_select]]),NOT(ISBLANK(questions[[#This Row],[answer_opt_combined]])),TRUE)</f>
        <v>1</v>
      </c>
    </row>
    <row r="1768" spans="1:45" ht="15.75" customHeight="1" x14ac:dyDescent="0.25">
      <c r="A1768" s="9" t="str">
        <f>_xlfn.TEXTJOIN("_",TRUE,questions[[#This Row],[origin]:[qno]])</f>
        <v>Uganda_Robusta_2026_6001</v>
      </c>
      <c r="B1768" s="9" t="s">
        <v>511</v>
      </c>
      <c r="C1768" s="9" t="s">
        <v>674</v>
      </c>
      <c r="E1768" s="33">
        <v>2026</v>
      </c>
      <c r="F1768" s="24" t="s">
        <v>240</v>
      </c>
      <c r="G1768" s="15" t="s">
        <v>241</v>
      </c>
      <c r="H1768" s="9" t="str" cm="1">
        <f t="array" ref="H1768">INDEX(stableR[question],MATCH(VALUE(questions[[#This Row],[qno]]),VALUE(stableR[qno]),0))</f>
        <v>How many people did you hire, permanently for your coffee plots, last year?</v>
      </c>
      <c r="I1768" s="9" t="b" cm="1">
        <f t="array" ref="I1768">INDEX(stable[is_fixed],MATCH(VALUE(questions[[#This Row],[qno]]),VALUE(stable[qno]),0))</f>
        <v>1</v>
      </c>
      <c r="J1768" s="9" t="b" cm="1">
        <f t="array" ref="J1768">INDEX(stable[is_localized],MATCH(VALUE(questions[[#This Row],[qno]]),VALUE(stable[qno]),0))</f>
        <v>0</v>
      </c>
      <c r="K1768" s="9" t="b" cm="1">
        <f t="array" ref="K1768">INDEX(stable[is_supply_chain_dependent],MATCH(VALUE(questions[[#This Row],[qno]]),VALUE(stable[qno]),0))</f>
        <v>0</v>
      </c>
      <c r="L1768" s="9" t="b" cm="1">
        <f t="array" ref="L1768">INDEX(stable[is_mandatory],MATCH(VALUE(questions[[#This Row],[qno]]),VALUE(stable[qno]),0))</f>
        <v>0</v>
      </c>
      <c r="M1768" s="9" t="b" cm="1">
        <f t="array" ref="M1768">INDEX(stable[is_automated],MATCH(VALUE(questions[[#This Row],[qno]]),VALUE(stable[qno]),0))</f>
        <v>0</v>
      </c>
      <c r="N1768" s="9" t="b" cm="1">
        <f t="array" ref="N1768">INDEX(stable[is_free_text],MATCH(VALUE(questions[[#This Row],[qno]]),VALUE(stable[qno]),0))</f>
        <v>0</v>
      </c>
      <c r="O1768" s="9" t="b" cm="1">
        <f t="array" ref="O1768">INDEX(stable[is_numerical],MATCH(VALUE(questions[[#This Row],[qno]]),VALUE(stable[qno]),0))</f>
        <v>1</v>
      </c>
      <c r="P1768" s="9" t="b" cm="1">
        <f t="array" ref="P1768">INDEX(stable[is_single_select],MATCH(VALUE(questions[[#This Row],[qno]]),VALUE(stable[qno]),0))</f>
        <v>0</v>
      </c>
      <c r="Q1768" s="9" t="b" cm="1">
        <f t="array" ref="Q1768">INDEX(stable[is_multi_select],MATCH(VALUE(questions[[#This Row],[qno]]),VALUE(stable[qno]),0))</f>
        <v>0</v>
      </c>
      <c r="R1768" s="9" t="b" cm="1">
        <f t="array" ref="R1768">INDEX(stable[is_skip_logic],MATCH(VALUE(questions[[#This Row],[qno]]),VALUE(stable[qno]),0))</f>
        <v>1</v>
      </c>
      <c r="S1768" s="9" t="str">
        <f>_xlfn.TEXTJOIN(", ",TRUE,questions[[#This Row],[ans_opt_1]:[ans_opt_14]])</f>
        <v/>
      </c>
      <c r="AH1768" s="16" t="b">
        <f>INDEX(stable[q_standard],MATCH(questions[[#This Row],[qno]],stable[qno],0))</f>
        <v>0</v>
      </c>
      <c r="AI1768" s="16" t="b">
        <f>INDEX(stable[q_living_income],MATCH(questions[[#This Row],[qno]],stable[qno],0))</f>
        <v>1</v>
      </c>
      <c r="AJ1768" s="16" t="b">
        <f>INDEX(stable[q_carbon],MATCH(questions[[#This Row],[qno]],stable[qno],0))</f>
        <v>0</v>
      </c>
      <c r="AK1768" s="16" t="b">
        <f>INDEX(stable[q_regen_ag],MATCH(questions[[#This Row],[qno]],stable[qno],0))</f>
        <v>0</v>
      </c>
      <c r="AL1768" s="16" t="b">
        <f>COUNTIFS(stable[qno],questions[[#This Row],[qno]])=1</f>
        <v>1</v>
      </c>
      <c r="AM1768" s="16" t="b">
        <f>OR(questions[[#This Row],[is_fixed]],questions[[#This Row],[is_localized]],questions[[#This Row],[is_supply_chain_dependent]])</f>
        <v>1</v>
      </c>
      <c r="AN1768" s="16" t="b">
        <f>COUNTIFS(questions[[#This Row],[is_automated]:[is_multi_select]],TRUE)=1</f>
        <v>1</v>
      </c>
      <c r="AO1768" s="16" t="b">
        <f>IF(questions[[#This Row],[is_fixed]],questions[[#This Row],[question]]=INDEX(stable[question],MATCH(questions[[#This Row],[qno]],stable[qno],0)),TRUE)</f>
        <v>1</v>
      </c>
      <c r="AP1768" s="16" t="str">
        <f>LEFT(questions[[#This Row],[question]],similarity_range)</f>
        <v>If yes, how many peo</v>
      </c>
      <c r="AQ1768" s="16" t="str">
        <f>LEFT(INDEX(stable[question],MATCH(questions[[#This Row],[qno]],stable[qno],0)),similarity_range)</f>
        <v>If yes, how many peo</v>
      </c>
      <c r="AR1768" s="16" t="b">
        <f>questions[[#This Row],[question_first_characters]]=questions[[#This Row],[stability_first_characters]]</f>
        <v>1</v>
      </c>
      <c r="AS1768" s="16" t="b">
        <f>IF(OR(questions[[#This Row],[is_single_select]],questions[[#This Row],[is_multi_select]]),NOT(ISBLANK(questions[[#This Row],[answer_opt_combined]])),TRUE)</f>
        <v>1</v>
      </c>
    </row>
    <row r="1769" spans="1:45" s="77" customFormat="1" ht="15.75" customHeight="1" x14ac:dyDescent="0.25">
      <c r="A1769" s="77" t="str">
        <f>_xlfn.TEXTJOIN("_",TRUE,questions[[#This Row],[origin]:[qno]])</f>
        <v>Uganda_Robusta_2026_6010</v>
      </c>
      <c r="B1769" s="77" t="s">
        <v>511</v>
      </c>
      <c r="C1769" s="77" t="s">
        <v>674</v>
      </c>
      <c r="E1769" s="77">
        <v>2026</v>
      </c>
      <c r="F1769" s="104" t="s">
        <v>572</v>
      </c>
      <c r="G1769" s="78" t="s">
        <v>893</v>
      </c>
      <c r="H1769" s="9" t="str" cm="1">
        <f t="array" ref="H1769">INDEX(stableR[question],MATCH(VALUE(questions[[#This Row],[qno]]),VALUE(stableR[qno]),0))</f>
        <v>Did you hire any people to work on your coffee plots for seasonal activities during the fly season, last year?</v>
      </c>
      <c r="I1769" s="9" t="b" cm="1">
        <f t="array" ref="I1769">INDEX(stable[is_fixed],MATCH(VALUE(questions[[#This Row],[qno]]),VALUE(stable[qno]),0))</f>
        <v>0</v>
      </c>
      <c r="J1769" s="9" t="b" cm="1">
        <f t="array" ref="J1769">INDEX(stable[is_localized],MATCH(VALUE(questions[[#This Row],[qno]]),VALUE(stable[qno]),0))</f>
        <v>1</v>
      </c>
      <c r="K1769" s="9" t="b" cm="1">
        <f t="array" ref="K1769">INDEX(stable[is_supply_chain_dependent],MATCH(VALUE(questions[[#This Row],[qno]]),VALUE(stable[qno]),0))</f>
        <v>0</v>
      </c>
      <c r="L1769" s="9" t="b" cm="1">
        <f t="array" ref="L1769">INDEX(stable[is_mandatory],MATCH(VALUE(questions[[#This Row],[qno]]),VALUE(stable[qno]),0))</f>
        <v>1</v>
      </c>
      <c r="M1769" s="9" t="b" cm="1">
        <f t="array" ref="M1769">INDEX(stable[is_automated],MATCH(VALUE(questions[[#This Row],[qno]]),VALUE(stable[qno]),0))</f>
        <v>0</v>
      </c>
      <c r="N1769" s="9" t="b" cm="1">
        <f t="array" ref="N1769">INDEX(stable[is_free_text],MATCH(VALUE(questions[[#This Row],[qno]]),VALUE(stable[qno]),0))</f>
        <v>0</v>
      </c>
      <c r="O1769" s="9" t="b" cm="1">
        <f t="array" ref="O1769">INDEX(stable[is_numerical],MATCH(VALUE(questions[[#This Row],[qno]]),VALUE(stable[qno]),0))</f>
        <v>0</v>
      </c>
      <c r="P1769" s="77" t="b" cm="1">
        <f t="array" ref="P1769">INDEX(stable[is_single_select],MATCH(VALUE(questions[[#This Row],[qno]]),VALUE(stable[qno]),0))</f>
        <v>1</v>
      </c>
      <c r="Q1769" s="77" t="b" cm="1">
        <f t="array" ref="Q1769">INDEX(stable[is_multi_select],MATCH(VALUE(questions[[#This Row],[qno]]),VALUE(stable[qno]),0))</f>
        <v>0</v>
      </c>
      <c r="R1769" s="77" t="b" cm="1">
        <f t="array" ref="R1769">INDEX(stable[is_skip_logic],MATCH(VALUE(questions[[#This Row],[qno]]),VALUE(stable[qno]),0))</f>
        <v>1</v>
      </c>
      <c r="S1769" s="77" t="str">
        <f>_xlfn.TEXTJOIN(", ",TRUE,questions[[#This Row],[ans_opt_1]:[ans_opt_14]])</f>
        <v>Yes, No</v>
      </c>
      <c r="T1769" s="77" t="s">
        <v>149</v>
      </c>
      <c r="U1769" s="77" t="s">
        <v>119</v>
      </c>
      <c r="AH1769" s="98" t="b">
        <f>INDEX(stable[q_standard],MATCH(questions[[#This Row],[qno]],stable[qno],0))</f>
        <v>0</v>
      </c>
      <c r="AI1769" s="98" t="b">
        <f>INDEX(stable[q_living_income],MATCH(questions[[#This Row],[qno]],stable[qno],0))</f>
        <v>1</v>
      </c>
      <c r="AJ1769" s="98" t="b">
        <f>INDEX(stable[q_carbon],MATCH(questions[[#This Row],[qno]],stable[qno],0))</f>
        <v>0</v>
      </c>
      <c r="AK1769" s="98" t="b">
        <f>INDEX(stable[q_regen_ag],MATCH(questions[[#This Row],[qno]],stable[qno],0))</f>
        <v>0</v>
      </c>
      <c r="AL1769" s="98" t="b">
        <f>COUNTIFS(stable[qno],questions[[#This Row],[qno]])=1</f>
        <v>1</v>
      </c>
      <c r="AM1769" s="98" t="b">
        <f>OR(questions[[#This Row],[is_fixed]],questions[[#This Row],[is_localized]],questions[[#This Row],[is_supply_chain_dependent]])</f>
        <v>1</v>
      </c>
      <c r="AN1769" s="98" t="b">
        <f>COUNTIFS(questions[[#This Row],[is_automated]:[is_multi_select]],TRUE)=1</f>
        <v>1</v>
      </c>
      <c r="AO1769" s="98" t="b">
        <f>IF(questions[[#This Row],[is_fixed]],questions[[#This Row],[question]]=INDEX(stable[question],MATCH(questions[[#This Row],[qno]],stable[qno],0)),TRUE)</f>
        <v>1</v>
      </c>
      <c r="AP1769" s="98" t="str">
        <f>LEFT(questions[[#This Row],[question]],similarity_range)</f>
        <v>Did you hire any peo</v>
      </c>
      <c r="AQ1769" s="98" t="str">
        <f>LEFT(INDEX(stable[question],MATCH(questions[[#This Row],[qno]],stable[qno],0)),similarity_range)</f>
        <v>Did you hire any peo</v>
      </c>
      <c r="AR1769" s="98" t="b">
        <f>questions[[#This Row],[question_first_characters]]=questions[[#This Row],[stability_first_characters]]</f>
        <v>1</v>
      </c>
      <c r="AS1769" s="98" t="b">
        <f>IF(OR(questions[[#This Row],[is_single_select]],questions[[#This Row],[is_multi_select]]),NOT(ISBLANK(questions[[#This Row],[answer_opt_combined]])),TRUE)</f>
        <v>1</v>
      </c>
    </row>
    <row r="1770" spans="1:45" s="77" customFormat="1" ht="15.75" customHeight="1" x14ac:dyDescent="0.25">
      <c r="A1770" s="77" t="str">
        <f>_xlfn.TEXTJOIN("_",TRUE,questions[[#This Row],[origin]:[qno]])</f>
        <v>Uganda_Robusta_2026_6011</v>
      </c>
      <c r="B1770" s="77" t="s">
        <v>511</v>
      </c>
      <c r="C1770" s="77" t="s">
        <v>674</v>
      </c>
      <c r="E1770" s="77">
        <v>2026</v>
      </c>
      <c r="F1770" s="104" t="s">
        <v>574</v>
      </c>
      <c r="G1770" s="78" t="s">
        <v>894</v>
      </c>
      <c r="H1770" s="9" t="str" cm="1">
        <f t="array" ref="H1770">INDEX(stableR[question],MATCH(VALUE(questions[[#This Row],[qno]]),VALUE(stableR[qno]),0))</f>
        <v>What were the activities that you hired people for, during the fly season?</v>
      </c>
      <c r="I1770" s="9" t="b" cm="1">
        <f t="array" ref="I1770">INDEX(stable[is_fixed],MATCH(VALUE(questions[[#This Row],[qno]]),VALUE(stable[qno]),0))</f>
        <v>0</v>
      </c>
      <c r="J1770" s="9" t="b" cm="1">
        <f t="array" ref="J1770">INDEX(stable[is_localized],MATCH(VALUE(questions[[#This Row],[qno]]),VALUE(stable[qno]),0))</f>
        <v>1</v>
      </c>
      <c r="K1770" s="9" t="b" cm="1">
        <f t="array" ref="K1770">INDEX(stable[is_supply_chain_dependent],MATCH(VALUE(questions[[#This Row],[qno]]),VALUE(stable[qno]),0))</f>
        <v>0</v>
      </c>
      <c r="L1770" s="9" t="b" cm="1">
        <f t="array" ref="L1770">INDEX(stable[is_mandatory],MATCH(VALUE(questions[[#This Row],[qno]]),VALUE(stable[qno]),0))</f>
        <v>0</v>
      </c>
      <c r="M1770" s="9" t="b" cm="1">
        <f t="array" ref="M1770">INDEX(stable[is_automated],MATCH(VALUE(questions[[#This Row],[qno]]),VALUE(stable[qno]),0))</f>
        <v>0</v>
      </c>
      <c r="N1770" s="9" t="b" cm="1">
        <f t="array" ref="N1770">INDEX(stable[is_free_text],MATCH(VALUE(questions[[#This Row],[qno]]),VALUE(stable[qno]),0))</f>
        <v>0</v>
      </c>
      <c r="O1770" s="9" t="b" cm="1">
        <f t="array" ref="O1770">INDEX(stable[is_numerical],MATCH(VALUE(questions[[#This Row],[qno]]),VALUE(stable[qno]),0))</f>
        <v>0</v>
      </c>
      <c r="P1770" s="77" t="b" cm="1">
        <f t="array" ref="P1770">INDEX(stable[is_single_select],MATCH(VALUE(questions[[#This Row],[qno]]),VALUE(stable[qno]),0))</f>
        <v>0</v>
      </c>
      <c r="Q1770" s="77" t="b" cm="1">
        <f t="array" ref="Q1770">INDEX(stable[is_multi_select],MATCH(VALUE(questions[[#This Row],[qno]]),VALUE(stable[qno]),0))</f>
        <v>1</v>
      </c>
      <c r="R1770" s="77" t="b" cm="1">
        <f t="array" ref="R1770">INDEX(stable[is_skip_logic],MATCH(VALUE(questions[[#This Row],[qno]]),VALUE(stable[qno]),0))</f>
        <v>1</v>
      </c>
      <c r="S1770" s="77" t="str">
        <f>_xlfn.TEXTJOIN(", ",TRUE,questions[[#This Row],[ans_opt_1]:[ans_opt_14]])</f>
        <v>Harvesting, Pruning, Weeding, Spraying, Planting new trees, Other, NA</v>
      </c>
      <c r="T1770" s="77" t="s">
        <v>246</v>
      </c>
      <c r="U1770" s="77" t="s">
        <v>247</v>
      </c>
      <c r="V1770" s="77" t="s">
        <v>248</v>
      </c>
      <c r="W1770" s="77" t="s">
        <v>249</v>
      </c>
      <c r="X1770" s="77" t="s">
        <v>250</v>
      </c>
      <c r="Y1770" s="77" t="s">
        <v>112</v>
      </c>
      <c r="Z1770" s="77" t="s">
        <v>251</v>
      </c>
      <c r="AH1770" s="98" t="b">
        <f>INDEX(stable[q_standard],MATCH(questions[[#This Row],[qno]],stable[qno],0))</f>
        <v>0</v>
      </c>
      <c r="AI1770" s="98" t="b">
        <f>INDEX(stable[q_living_income],MATCH(questions[[#This Row],[qno]],stable[qno],0))</f>
        <v>1</v>
      </c>
      <c r="AJ1770" s="98" t="b">
        <f>INDEX(stable[q_carbon],MATCH(questions[[#This Row],[qno]],stable[qno],0))</f>
        <v>0</v>
      </c>
      <c r="AK1770" s="98" t="b">
        <f>INDEX(stable[q_regen_ag],MATCH(questions[[#This Row],[qno]],stable[qno],0))</f>
        <v>0</v>
      </c>
      <c r="AL1770" s="98" t="b">
        <f>COUNTIFS(stable[qno],questions[[#This Row],[qno]])=1</f>
        <v>1</v>
      </c>
      <c r="AM1770" s="98" t="b">
        <f>OR(questions[[#This Row],[is_fixed]],questions[[#This Row],[is_localized]],questions[[#This Row],[is_supply_chain_dependent]])</f>
        <v>1</v>
      </c>
      <c r="AN1770" s="98" t="b">
        <f>COUNTIFS(questions[[#This Row],[is_automated]:[is_multi_select]],TRUE)=1</f>
        <v>1</v>
      </c>
      <c r="AO1770" s="98" t="b">
        <f>IF(questions[[#This Row],[is_fixed]],questions[[#This Row],[question]]=INDEX(stable[question],MATCH(questions[[#This Row],[qno]],stable[qno],0)),TRUE)</f>
        <v>1</v>
      </c>
      <c r="AP1770" s="98" t="str">
        <f>LEFT(questions[[#This Row],[question]],similarity_range)</f>
        <v>If yes, what was the</v>
      </c>
      <c r="AQ1770" s="98" t="str">
        <f>LEFT(INDEX(stable[question],MATCH(questions[[#This Row],[qno]],stable[qno],0)),similarity_range)</f>
        <v>If yes, what were th</v>
      </c>
      <c r="AR1770" s="98" t="b">
        <f>questions[[#This Row],[question_first_characters]]=questions[[#This Row],[stability_first_characters]]</f>
        <v>0</v>
      </c>
      <c r="AS1770" s="98" t="b">
        <f>IF(OR(questions[[#This Row],[is_single_select]],questions[[#This Row],[is_multi_select]]),NOT(ISBLANK(questions[[#This Row],[answer_opt_combined]])),TRUE)</f>
        <v>1</v>
      </c>
    </row>
    <row r="1771" spans="1:45" ht="15.75" customHeight="1" x14ac:dyDescent="0.25">
      <c r="A1771" s="9" t="str">
        <f>_xlfn.TEXTJOIN("_",TRUE,questions[[#This Row],[origin]:[qno]])</f>
        <v>Uganda_Robusta_2026_6012</v>
      </c>
      <c r="B1771" s="9" t="s">
        <v>511</v>
      </c>
      <c r="C1771" s="9" t="s">
        <v>674</v>
      </c>
      <c r="E1771" s="33">
        <v>2026</v>
      </c>
      <c r="F1771" s="24" t="s">
        <v>576</v>
      </c>
      <c r="G1771" s="15" t="s">
        <v>895</v>
      </c>
      <c r="H1771" s="9" t="str" cm="1">
        <f t="array" ref="H1771">INDEX(stableR[question],MATCH(VALUE(questions[[#This Row],[qno]]),VALUE(stableR[qno]),0))</f>
        <v>How many days in total did you hire people for this main activity, during the fly season? (Number of days)</v>
      </c>
      <c r="I1771" s="9" t="b" cm="1">
        <f t="array" ref="I1771">INDEX(stable[is_fixed],MATCH(VALUE(questions[[#This Row],[qno]]),VALUE(stable[qno]),0))</f>
        <v>0</v>
      </c>
      <c r="J1771" s="9" t="b" cm="1">
        <f t="array" ref="J1771">INDEX(stable[is_localized],MATCH(VALUE(questions[[#This Row],[qno]]),VALUE(stable[qno]),0))</f>
        <v>1</v>
      </c>
      <c r="K1771" s="9" t="b" cm="1">
        <f t="array" ref="K1771">INDEX(stable[is_supply_chain_dependent],MATCH(VALUE(questions[[#This Row],[qno]]),VALUE(stable[qno]),0))</f>
        <v>0</v>
      </c>
      <c r="L1771" s="9" t="b" cm="1">
        <f t="array" ref="L1771">INDEX(stable[is_mandatory],MATCH(VALUE(questions[[#This Row],[qno]]),VALUE(stable[qno]),0))</f>
        <v>0</v>
      </c>
      <c r="M1771" s="9" t="b" cm="1">
        <f t="array" ref="M1771">INDEX(stable[is_automated],MATCH(VALUE(questions[[#This Row],[qno]]),VALUE(stable[qno]),0))</f>
        <v>0</v>
      </c>
      <c r="N1771" s="9" t="b" cm="1">
        <f t="array" ref="N1771">INDEX(stable[is_free_text],MATCH(VALUE(questions[[#This Row],[qno]]),VALUE(stable[qno]),0))</f>
        <v>0</v>
      </c>
      <c r="O1771" s="9" t="b" cm="1">
        <f t="array" ref="O1771">INDEX(stable[is_numerical],MATCH(VALUE(questions[[#This Row],[qno]]),VALUE(stable[qno]),0))</f>
        <v>1</v>
      </c>
      <c r="P1771" s="9" t="b" cm="1">
        <f t="array" ref="P1771">INDEX(stable[is_single_select],MATCH(VALUE(questions[[#This Row],[qno]]),VALUE(stable[qno]),0))</f>
        <v>0</v>
      </c>
      <c r="Q1771" s="9" t="b" cm="1">
        <f t="array" ref="Q1771">INDEX(stable[is_multi_select],MATCH(VALUE(questions[[#This Row],[qno]]),VALUE(stable[qno]),0))</f>
        <v>0</v>
      </c>
      <c r="R1771" s="9" t="b" cm="1">
        <f t="array" ref="R1771">INDEX(stable[is_skip_logic],MATCH(VALUE(questions[[#This Row],[qno]]),VALUE(stable[qno]),0))</f>
        <v>1</v>
      </c>
      <c r="S1771" s="9" t="str">
        <f>_xlfn.TEXTJOIN(", ",TRUE,questions[[#This Row],[ans_opt_1]:[ans_opt_14]])</f>
        <v/>
      </c>
      <c r="AH1771" s="16" t="b">
        <f>INDEX(stable[q_standard],MATCH(questions[[#This Row],[qno]],stable[qno],0))</f>
        <v>0</v>
      </c>
      <c r="AI1771" s="16" t="b">
        <f>INDEX(stable[q_living_income],MATCH(questions[[#This Row],[qno]],stable[qno],0))</f>
        <v>1</v>
      </c>
      <c r="AJ1771" s="16" t="b">
        <f>INDEX(stable[q_carbon],MATCH(questions[[#This Row],[qno]],stable[qno],0))</f>
        <v>0</v>
      </c>
      <c r="AK1771" s="16" t="b">
        <f>INDEX(stable[q_regen_ag],MATCH(questions[[#This Row],[qno]],stable[qno],0))</f>
        <v>0</v>
      </c>
      <c r="AL1771" s="16" t="b">
        <f>COUNTIFS(stable[qno],questions[[#This Row],[qno]])=1</f>
        <v>1</v>
      </c>
      <c r="AM1771" s="16" t="b">
        <f>OR(questions[[#This Row],[is_fixed]],questions[[#This Row],[is_localized]],questions[[#This Row],[is_supply_chain_dependent]])</f>
        <v>1</v>
      </c>
      <c r="AN1771" s="16" t="b">
        <f>COUNTIFS(questions[[#This Row],[is_automated]:[is_multi_select]],TRUE)=1</f>
        <v>1</v>
      </c>
      <c r="AO1771" s="16" t="b">
        <f>IF(questions[[#This Row],[is_fixed]],questions[[#This Row],[question]]=INDEX(stable[question],MATCH(questions[[#This Row],[qno]],stable[qno],0)),TRUE)</f>
        <v>1</v>
      </c>
      <c r="AP1771" s="16" t="str">
        <f>LEFT(questions[[#This Row],[question]],similarity_range)</f>
        <v>If yes, how many day</v>
      </c>
      <c r="AQ1771" s="16" t="str">
        <f>LEFT(INDEX(stable[question],MATCH(questions[[#This Row],[qno]],stable[qno],0)),similarity_range)</f>
        <v>If yes, how many day</v>
      </c>
      <c r="AR1771" s="16" t="b">
        <f>questions[[#This Row],[question_first_characters]]=questions[[#This Row],[stability_first_characters]]</f>
        <v>1</v>
      </c>
      <c r="AS1771" s="16" t="b">
        <f>IF(OR(questions[[#This Row],[is_single_select]],questions[[#This Row],[is_multi_select]]),NOT(ISBLANK(questions[[#This Row],[answer_opt_combined]])),TRUE)</f>
        <v>1</v>
      </c>
    </row>
    <row r="1772" spans="1:45" ht="15.75" customHeight="1" x14ac:dyDescent="0.25">
      <c r="A1772" s="9" t="str">
        <f>_xlfn.TEXTJOIN("_",TRUE,questions[[#This Row],[origin]:[qno]])</f>
        <v>Uganda_Robusta_2026_6013</v>
      </c>
      <c r="B1772" s="9" t="s">
        <v>511</v>
      </c>
      <c r="C1772" s="9" t="s">
        <v>674</v>
      </c>
      <c r="E1772" s="33">
        <v>2026</v>
      </c>
      <c r="F1772" s="24" t="s">
        <v>578</v>
      </c>
      <c r="G1772" s="15" t="s">
        <v>896</v>
      </c>
      <c r="H1772" s="9" t="str" cm="1">
        <f t="array" ref="H1772">INDEX(stableR[question],MATCH(VALUE(questions[[#This Row],[qno]]),VALUE(stableR[qno]),0))</f>
        <v>How many people did you typically hire per day for this main activity during fly season?</v>
      </c>
      <c r="I1772" s="9" t="b" cm="1">
        <f t="array" ref="I1772">INDEX(stable[is_fixed],MATCH(VALUE(questions[[#This Row],[qno]]),VALUE(stable[qno]),0))</f>
        <v>0</v>
      </c>
      <c r="J1772" s="9" t="b" cm="1">
        <f t="array" ref="J1772">INDEX(stable[is_localized],MATCH(VALUE(questions[[#This Row],[qno]]),VALUE(stable[qno]),0))</f>
        <v>1</v>
      </c>
      <c r="K1772" s="9" t="b" cm="1">
        <f t="array" ref="K1772">INDEX(stable[is_supply_chain_dependent],MATCH(VALUE(questions[[#This Row],[qno]]),VALUE(stable[qno]),0))</f>
        <v>0</v>
      </c>
      <c r="L1772" s="9" t="b" cm="1">
        <f t="array" ref="L1772">INDEX(stable[is_mandatory],MATCH(VALUE(questions[[#This Row],[qno]]),VALUE(stable[qno]),0))</f>
        <v>0</v>
      </c>
      <c r="M1772" s="9" t="b" cm="1">
        <f t="array" ref="M1772">INDEX(stable[is_automated],MATCH(VALUE(questions[[#This Row],[qno]]),VALUE(stable[qno]),0))</f>
        <v>0</v>
      </c>
      <c r="N1772" s="9" t="b" cm="1">
        <f t="array" ref="N1772">INDEX(stable[is_free_text],MATCH(VALUE(questions[[#This Row],[qno]]),VALUE(stable[qno]),0))</f>
        <v>0</v>
      </c>
      <c r="O1772" s="9" t="b" cm="1">
        <f t="array" ref="O1772">INDEX(stable[is_numerical],MATCH(VALUE(questions[[#This Row],[qno]]),VALUE(stable[qno]),0))</f>
        <v>1</v>
      </c>
      <c r="P1772" s="9" t="b" cm="1">
        <f t="array" ref="P1772">INDEX(stable[is_single_select],MATCH(VALUE(questions[[#This Row],[qno]]),VALUE(stable[qno]),0))</f>
        <v>0</v>
      </c>
      <c r="Q1772" s="9" t="b" cm="1">
        <f t="array" ref="Q1772">INDEX(stable[is_multi_select],MATCH(VALUE(questions[[#This Row],[qno]]),VALUE(stable[qno]),0))</f>
        <v>0</v>
      </c>
      <c r="R1772" s="9" t="b" cm="1">
        <f t="array" ref="R1772">INDEX(stable[is_skip_logic],MATCH(VALUE(questions[[#This Row],[qno]]),VALUE(stable[qno]),0))</f>
        <v>1</v>
      </c>
      <c r="S1772" s="9" t="str">
        <f>_xlfn.TEXTJOIN(", ",TRUE,questions[[#This Row],[ans_opt_1]:[ans_opt_14]])</f>
        <v/>
      </c>
      <c r="AH1772" s="16" t="b">
        <f>INDEX(stable[q_standard],MATCH(questions[[#This Row],[qno]],stable[qno],0))</f>
        <v>0</v>
      </c>
      <c r="AI1772" s="16" t="b">
        <f>INDEX(stable[q_living_income],MATCH(questions[[#This Row],[qno]],stable[qno],0))</f>
        <v>1</v>
      </c>
      <c r="AJ1772" s="16" t="b">
        <f>INDEX(stable[q_carbon],MATCH(questions[[#This Row],[qno]],stable[qno],0))</f>
        <v>0</v>
      </c>
      <c r="AK1772" s="16" t="b">
        <f>INDEX(stable[q_regen_ag],MATCH(questions[[#This Row],[qno]],stable[qno],0))</f>
        <v>0</v>
      </c>
      <c r="AL1772" s="16" t="b">
        <f>COUNTIFS(stable[qno],questions[[#This Row],[qno]])=1</f>
        <v>1</v>
      </c>
      <c r="AM1772" s="16" t="b">
        <f>OR(questions[[#This Row],[is_fixed]],questions[[#This Row],[is_localized]],questions[[#This Row],[is_supply_chain_dependent]])</f>
        <v>1</v>
      </c>
      <c r="AN1772" s="16" t="b">
        <f>COUNTIFS(questions[[#This Row],[is_automated]:[is_multi_select]],TRUE)=1</f>
        <v>1</v>
      </c>
      <c r="AO1772" s="16" t="b">
        <f>IF(questions[[#This Row],[is_fixed]],questions[[#This Row],[question]]=INDEX(stable[question],MATCH(questions[[#This Row],[qno]],stable[qno],0)),TRUE)</f>
        <v>1</v>
      </c>
      <c r="AP1772" s="16" t="str">
        <f>LEFT(questions[[#This Row],[question]],similarity_range)</f>
        <v>If yes, every day, h</v>
      </c>
      <c r="AQ1772" s="16" t="str">
        <f>LEFT(INDEX(stable[question],MATCH(questions[[#This Row],[qno]],stable[qno],0)),similarity_range)</f>
        <v>If yes, how many peo</v>
      </c>
      <c r="AR1772" s="16" t="b">
        <f>questions[[#This Row],[question_first_characters]]=questions[[#This Row],[stability_first_characters]]</f>
        <v>0</v>
      </c>
      <c r="AS1772" s="16" t="b">
        <f>IF(OR(questions[[#This Row],[is_single_select]],questions[[#This Row],[is_multi_select]]),NOT(ISBLANK(questions[[#This Row],[answer_opt_combined]])),TRUE)</f>
        <v>1</v>
      </c>
    </row>
    <row r="1773" spans="1:45" s="77" customFormat="1" ht="15.75" customHeight="1" x14ac:dyDescent="0.25">
      <c r="A1773" s="77" t="str">
        <f>_xlfn.TEXTJOIN("_",TRUE,questions[[#This Row],[origin]:[qno]])</f>
        <v>Uganda_Robusta_2026_6020</v>
      </c>
      <c r="B1773" s="77" t="s">
        <v>511</v>
      </c>
      <c r="C1773" s="77" t="s">
        <v>674</v>
      </c>
      <c r="E1773" s="77">
        <v>2026</v>
      </c>
      <c r="F1773" s="104" t="s">
        <v>580</v>
      </c>
      <c r="G1773" s="78" t="s">
        <v>897</v>
      </c>
      <c r="H1773" s="9" t="str" cm="1">
        <f t="array" ref="H1773">INDEX(stableR[question],MATCH(VALUE(questions[[#This Row],[qno]]),VALUE(stableR[qno]),0))</f>
        <v>Did you hire any people to work on your coffee plots for seasonal activities during the main season, last year?</v>
      </c>
      <c r="I1773" s="9" t="b" cm="1">
        <f t="array" ref="I1773">INDEX(stable[is_fixed],MATCH(VALUE(questions[[#This Row],[qno]]),VALUE(stable[qno]),0))</f>
        <v>0</v>
      </c>
      <c r="J1773" s="9" t="b" cm="1">
        <f t="array" ref="J1773">INDEX(stable[is_localized],MATCH(VALUE(questions[[#This Row],[qno]]),VALUE(stable[qno]),0))</f>
        <v>0</v>
      </c>
      <c r="K1773" s="9" t="b" cm="1">
        <f t="array" ref="K1773">INDEX(stable[is_supply_chain_dependent],MATCH(VALUE(questions[[#This Row],[qno]]),VALUE(stable[qno]),0))</f>
        <v>1</v>
      </c>
      <c r="L1773" s="9" t="b" cm="1">
        <f t="array" ref="L1773">INDEX(stable[is_mandatory],MATCH(VALUE(questions[[#This Row],[qno]]),VALUE(stable[qno]),0))</f>
        <v>1</v>
      </c>
      <c r="M1773" s="9" t="b" cm="1">
        <f t="array" ref="M1773">INDEX(stable[is_automated],MATCH(VALUE(questions[[#This Row],[qno]]),VALUE(stable[qno]),0))</f>
        <v>0</v>
      </c>
      <c r="N1773" s="9" t="b" cm="1">
        <f t="array" ref="N1773">INDEX(stable[is_free_text],MATCH(VALUE(questions[[#This Row],[qno]]),VALUE(stable[qno]),0))</f>
        <v>0</v>
      </c>
      <c r="O1773" s="9" t="b" cm="1">
        <f t="array" ref="O1773">INDEX(stable[is_numerical],MATCH(VALUE(questions[[#This Row],[qno]]),VALUE(stable[qno]),0))</f>
        <v>0</v>
      </c>
      <c r="P1773" s="77" t="b" cm="1">
        <f t="array" ref="P1773">INDEX(stable[is_single_select],MATCH(VALUE(questions[[#This Row],[qno]]),VALUE(stable[qno]),0))</f>
        <v>1</v>
      </c>
      <c r="Q1773" s="77" t="b" cm="1">
        <f t="array" ref="Q1773">INDEX(stable[is_multi_select],MATCH(VALUE(questions[[#This Row],[qno]]),VALUE(stable[qno]),0))</f>
        <v>0</v>
      </c>
      <c r="R1773" s="77" t="b" cm="1">
        <f t="array" ref="R1773">INDEX(stable[is_skip_logic],MATCH(VALUE(questions[[#This Row],[qno]]),VALUE(stable[qno]),0))</f>
        <v>1</v>
      </c>
      <c r="S1773" s="77" t="str">
        <f>_xlfn.TEXTJOIN(", ",TRUE,questions[[#This Row],[ans_opt_1]:[ans_opt_14]])</f>
        <v>Yes, No</v>
      </c>
      <c r="T1773" s="77" t="s">
        <v>149</v>
      </c>
      <c r="U1773" s="77" t="s">
        <v>119</v>
      </c>
      <c r="AH1773" s="98" t="b">
        <f>INDEX(stable[q_standard],MATCH(questions[[#This Row],[qno]],stable[qno],0))</f>
        <v>0</v>
      </c>
      <c r="AI1773" s="98" t="b">
        <f>INDEX(stable[q_living_income],MATCH(questions[[#This Row],[qno]],stable[qno],0))</f>
        <v>1</v>
      </c>
      <c r="AJ1773" s="98" t="b">
        <f>INDEX(stable[q_carbon],MATCH(questions[[#This Row],[qno]],stable[qno],0))</f>
        <v>0</v>
      </c>
      <c r="AK1773" s="98" t="b">
        <f>INDEX(stable[q_regen_ag],MATCH(questions[[#This Row],[qno]],stable[qno],0))</f>
        <v>0</v>
      </c>
      <c r="AL1773" s="98" t="b">
        <f>COUNTIFS(stable[qno],questions[[#This Row],[qno]])=1</f>
        <v>1</v>
      </c>
      <c r="AM1773" s="98" t="b">
        <f>OR(questions[[#This Row],[is_fixed]],questions[[#This Row],[is_localized]],questions[[#This Row],[is_supply_chain_dependent]])</f>
        <v>1</v>
      </c>
      <c r="AN1773" s="98" t="b">
        <f>COUNTIFS(questions[[#This Row],[is_automated]:[is_multi_select]],TRUE)=1</f>
        <v>1</v>
      </c>
      <c r="AO1773" s="98" t="b">
        <f>IF(questions[[#This Row],[is_fixed]],questions[[#This Row],[question]]=INDEX(stable[question],MATCH(questions[[#This Row],[qno]],stable[qno],0)),TRUE)</f>
        <v>1</v>
      </c>
      <c r="AP1773" s="98" t="str">
        <f>LEFT(questions[[#This Row],[question]],similarity_range)</f>
        <v>Did you hire any peo</v>
      </c>
      <c r="AQ1773" s="98" t="str">
        <f>LEFT(INDEX(stable[question],MATCH(questions[[#This Row],[qno]],stable[qno],0)),similarity_range)</f>
        <v>Did you hire any peo</v>
      </c>
      <c r="AR1773" s="98" t="b">
        <f>questions[[#This Row],[question_first_characters]]=questions[[#This Row],[stability_first_characters]]</f>
        <v>1</v>
      </c>
      <c r="AS1773" s="98" t="b">
        <f>IF(OR(questions[[#This Row],[is_single_select]],questions[[#This Row],[is_multi_select]]),NOT(ISBLANK(questions[[#This Row],[answer_opt_combined]])),TRUE)</f>
        <v>1</v>
      </c>
    </row>
    <row r="1774" spans="1:45" s="77" customFormat="1" ht="15.75" customHeight="1" x14ac:dyDescent="0.25">
      <c r="A1774" s="77" t="str">
        <f>_xlfn.TEXTJOIN("_",TRUE,questions[[#This Row],[origin]:[qno]])</f>
        <v>Uganda_Robusta_2026_6021</v>
      </c>
      <c r="B1774" s="77" t="s">
        <v>511</v>
      </c>
      <c r="C1774" s="77" t="s">
        <v>674</v>
      </c>
      <c r="E1774" s="77">
        <v>2026</v>
      </c>
      <c r="F1774" s="104" t="s">
        <v>582</v>
      </c>
      <c r="G1774" s="78" t="s">
        <v>583</v>
      </c>
      <c r="H1774" s="9" t="str" cm="1">
        <f t="array" ref="H1774">INDEX(stableR[question],MATCH(VALUE(questions[[#This Row],[qno]]),VALUE(stableR[qno]),0))</f>
        <v>What were the activities that you hired people for, during the main season?</v>
      </c>
      <c r="I1774" s="9" t="b" cm="1">
        <f t="array" ref="I1774">INDEX(stable[is_fixed],MATCH(VALUE(questions[[#This Row],[qno]]),VALUE(stable[qno]),0))</f>
        <v>0</v>
      </c>
      <c r="J1774" s="9" t="b" cm="1">
        <f t="array" ref="J1774">INDEX(stable[is_localized],MATCH(VALUE(questions[[#This Row],[qno]]),VALUE(stable[qno]),0))</f>
        <v>0</v>
      </c>
      <c r="K1774" s="9" t="b" cm="1">
        <f t="array" ref="K1774">INDEX(stable[is_supply_chain_dependent],MATCH(VALUE(questions[[#This Row],[qno]]),VALUE(stable[qno]),0))</f>
        <v>1</v>
      </c>
      <c r="L1774" s="9" t="b" cm="1">
        <f t="array" ref="L1774">INDEX(stable[is_mandatory],MATCH(VALUE(questions[[#This Row],[qno]]),VALUE(stable[qno]),0))</f>
        <v>0</v>
      </c>
      <c r="M1774" s="9" t="b" cm="1">
        <f t="array" ref="M1774">INDEX(stable[is_automated],MATCH(VALUE(questions[[#This Row],[qno]]),VALUE(stable[qno]),0))</f>
        <v>0</v>
      </c>
      <c r="N1774" s="9" t="b" cm="1">
        <f t="array" ref="N1774">INDEX(stable[is_free_text],MATCH(VALUE(questions[[#This Row],[qno]]),VALUE(stable[qno]),0))</f>
        <v>0</v>
      </c>
      <c r="O1774" s="9" t="b" cm="1">
        <f t="array" ref="O1774">INDEX(stable[is_numerical],MATCH(VALUE(questions[[#This Row],[qno]]),VALUE(stable[qno]),0))</f>
        <v>0</v>
      </c>
      <c r="P1774" s="77" t="b" cm="1">
        <f t="array" ref="P1774">INDEX(stable[is_single_select],MATCH(VALUE(questions[[#This Row],[qno]]),VALUE(stable[qno]),0))</f>
        <v>0</v>
      </c>
      <c r="Q1774" s="77" t="b" cm="1">
        <f t="array" ref="Q1774">INDEX(stable[is_multi_select],MATCH(VALUE(questions[[#This Row],[qno]]),VALUE(stable[qno]),0))</f>
        <v>1</v>
      </c>
      <c r="R1774" s="77" t="b" cm="1">
        <f t="array" ref="R1774">INDEX(stable[is_skip_logic],MATCH(VALUE(questions[[#This Row],[qno]]),VALUE(stable[qno]),0))</f>
        <v>1</v>
      </c>
      <c r="S1774" s="77" t="str">
        <f>_xlfn.TEXTJOIN(", ",TRUE,questions[[#This Row],[ans_opt_1]:[ans_opt_14]])</f>
        <v>Harvesting, Pruning, Weeding, Spraying, Planting new trees, Other, NA</v>
      </c>
      <c r="T1774" s="77" t="s">
        <v>246</v>
      </c>
      <c r="U1774" s="77" t="s">
        <v>247</v>
      </c>
      <c r="V1774" s="77" t="s">
        <v>248</v>
      </c>
      <c r="W1774" s="77" t="s">
        <v>249</v>
      </c>
      <c r="X1774" s="77" t="s">
        <v>250</v>
      </c>
      <c r="Y1774" s="77" t="s">
        <v>112</v>
      </c>
      <c r="Z1774" s="77" t="s">
        <v>251</v>
      </c>
      <c r="AH1774" s="98" t="b">
        <f>INDEX(stable[q_standard],MATCH(questions[[#This Row],[qno]],stable[qno],0))</f>
        <v>0</v>
      </c>
      <c r="AI1774" s="98" t="b">
        <f>INDEX(stable[q_living_income],MATCH(questions[[#This Row],[qno]],stable[qno],0))</f>
        <v>1</v>
      </c>
      <c r="AJ1774" s="98" t="b">
        <f>INDEX(stable[q_carbon],MATCH(questions[[#This Row],[qno]],stable[qno],0))</f>
        <v>0</v>
      </c>
      <c r="AK1774" s="98" t="b">
        <f>INDEX(stable[q_regen_ag],MATCH(questions[[#This Row],[qno]],stable[qno],0))</f>
        <v>0</v>
      </c>
      <c r="AL1774" s="98" t="b">
        <f>COUNTIFS(stable[qno],questions[[#This Row],[qno]])=1</f>
        <v>1</v>
      </c>
      <c r="AM1774" s="98" t="b">
        <f>OR(questions[[#This Row],[is_fixed]],questions[[#This Row],[is_localized]],questions[[#This Row],[is_supply_chain_dependent]])</f>
        <v>1</v>
      </c>
      <c r="AN1774" s="98" t="b">
        <f>COUNTIFS(questions[[#This Row],[is_automated]:[is_multi_select]],TRUE)=1</f>
        <v>1</v>
      </c>
      <c r="AO1774" s="98" t="b">
        <f>IF(questions[[#This Row],[is_fixed]],questions[[#This Row],[question]]=INDEX(stable[question],MATCH(questions[[#This Row],[qno]],stable[qno],0)),TRUE)</f>
        <v>1</v>
      </c>
      <c r="AP1774" s="98" t="str">
        <f>LEFT(questions[[#This Row],[question]],similarity_range)</f>
        <v>If yes, what was the</v>
      </c>
      <c r="AQ1774" s="98" t="str">
        <f>LEFT(INDEX(stable[question],MATCH(questions[[#This Row],[qno]],stable[qno],0)),similarity_range)</f>
        <v>If yes, what were th</v>
      </c>
      <c r="AR1774" s="98" t="b">
        <f>questions[[#This Row],[question_first_characters]]=questions[[#This Row],[stability_first_characters]]</f>
        <v>0</v>
      </c>
      <c r="AS1774" s="98" t="b">
        <f>IF(OR(questions[[#This Row],[is_single_select]],questions[[#This Row],[is_multi_select]]),NOT(ISBLANK(questions[[#This Row],[answer_opt_combined]])),TRUE)</f>
        <v>1</v>
      </c>
    </row>
    <row r="1775" spans="1:45" ht="15.75" customHeight="1" x14ac:dyDescent="0.25">
      <c r="A1775" s="9" t="str">
        <f>_xlfn.TEXTJOIN("_",TRUE,questions[[#This Row],[origin]:[qno]])</f>
        <v>Uganda_Robusta_2026_6022</v>
      </c>
      <c r="B1775" s="9" t="s">
        <v>511</v>
      </c>
      <c r="C1775" s="9" t="s">
        <v>674</v>
      </c>
      <c r="E1775" s="33">
        <v>2026</v>
      </c>
      <c r="F1775" s="24" t="s">
        <v>584</v>
      </c>
      <c r="G1775" s="15" t="s">
        <v>585</v>
      </c>
      <c r="H1775" s="9" t="str" cm="1">
        <f t="array" ref="H1775">INDEX(stableR[question],MATCH(VALUE(questions[[#This Row],[qno]]),VALUE(stableR[qno]),0))</f>
        <v>How many days in total did you hire people for this main activity, during the main season? (Number of days)</v>
      </c>
      <c r="I1775" s="9" t="b" cm="1">
        <f t="array" ref="I1775">INDEX(stable[is_fixed],MATCH(VALUE(questions[[#This Row],[qno]]),VALUE(stable[qno]),0))</f>
        <v>0</v>
      </c>
      <c r="J1775" s="9" t="b" cm="1">
        <f t="array" ref="J1775">INDEX(stable[is_localized],MATCH(VALUE(questions[[#This Row],[qno]]),VALUE(stable[qno]),0))</f>
        <v>0</v>
      </c>
      <c r="K1775" s="9" t="b" cm="1">
        <f t="array" ref="K1775">INDEX(stable[is_supply_chain_dependent],MATCH(VALUE(questions[[#This Row],[qno]]),VALUE(stable[qno]),0))</f>
        <v>1</v>
      </c>
      <c r="L1775" s="9" t="b" cm="1">
        <f t="array" ref="L1775">INDEX(stable[is_mandatory],MATCH(VALUE(questions[[#This Row],[qno]]),VALUE(stable[qno]),0))</f>
        <v>0</v>
      </c>
      <c r="M1775" s="9" t="b" cm="1">
        <f t="array" ref="M1775">INDEX(stable[is_automated],MATCH(VALUE(questions[[#This Row],[qno]]),VALUE(stable[qno]),0))</f>
        <v>0</v>
      </c>
      <c r="N1775" s="9" t="b" cm="1">
        <f t="array" ref="N1775">INDEX(stable[is_free_text],MATCH(VALUE(questions[[#This Row],[qno]]),VALUE(stable[qno]),0))</f>
        <v>0</v>
      </c>
      <c r="O1775" s="9" t="b" cm="1">
        <f t="array" ref="O1775">INDEX(stable[is_numerical],MATCH(VALUE(questions[[#This Row],[qno]]),VALUE(stable[qno]),0))</f>
        <v>1</v>
      </c>
      <c r="P1775" s="9" t="b" cm="1">
        <f t="array" ref="P1775">INDEX(stable[is_single_select],MATCH(VALUE(questions[[#This Row],[qno]]),VALUE(stable[qno]),0))</f>
        <v>0</v>
      </c>
      <c r="Q1775" s="9" t="b" cm="1">
        <f t="array" ref="Q1775">INDEX(stable[is_multi_select],MATCH(VALUE(questions[[#This Row],[qno]]),VALUE(stable[qno]),0))</f>
        <v>0</v>
      </c>
      <c r="R1775" s="9" t="b" cm="1">
        <f t="array" ref="R1775">INDEX(stable[is_skip_logic],MATCH(VALUE(questions[[#This Row],[qno]]),VALUE(stable[qno]),0))</f>
        <v>1</v>
      </c>
      <c r="S1775" s="9" t="str">
        <f>_xlfn.TEXTJOIN(", ",TRUE,questions[[#This Row],[ans_opt_1]:[ans_opt_14]])</f>
        <v/>
      </c>
      <c r="AH1775" s="16" t="b">
        <f>INDEX(stable[q_standard],MATCH(questions[[#This Row],[qno]],stable[qno],0))</f>
        <v>0</v>
      </c>
      <c r="AI1775" s="16" t="b">
        <f>INDEX(stable[q_living_income],MATCH(questions[[#This Row],[qno]],stable[qno],0))</f>
        <v>1</v>
      </c>
      <c r="AJ1775" s="16" t="b">
        <f>INDEX(stable[q_carbon],MATCH(questions[[#This Row],[qno]],stable[qno],0))</f>
        <v>0</v>
      </c>
      <c r="AK1775" s="16" t="b">
        <f>INDEX(stable[q_regen_ag],MATCH(questions[[#This Row],[qno]],stable[qno],0))</f>
        <v>0</v>
      </c>
      <c r="AL1775" s="16" t="b">
        <f>COUNTIFS(stable[qno],questions[[#This Row],[qno]])=1</f>
        <v>1</v>
      </c>
      <c r="AM1775" s="16" t="b">
        <f>OR(questions[[#This Row],[is_fixed]],questions[[#This Row],[is_localized]],questions[[#This Row],[is_supply_chain_dependent]])</f>
        <v>1</v>
      </c>
      <c r="AN1775" s="16" t="b">
        <f>COUNTIFS(questions[[#This Row],[is_automated]:[is_multi_select]],TRUE)=1</f>
        <v>1</v>
      </c>
      <c r="AO1775" s="16" t="b">
        <f>IF(questions[[#This Row],[is_fixed]],questions[[#This Row],[question]]=INDEX(stable[question],MATCH(questions[[#This Row],[qno]],stable[qno],0)),TRUE)</f>
        <v>1</v>
      </c>
      <c r="AP1775" s="16" t="str">
        <f>LEFT(questions[[#This Row],[question]],similarity_range)</f>
        <v>If yes, how many day</v>
      </c>
      <c r="AQ1775" s="16" t="str">
        <f>LEFT(INDEX(stable[question],MATCH(questions[[#This Row],[qno]],stable[qno],0)),similarity_range)</f>
        <v>If yes, how many day</v>
      </c>
      <c r="AR1775" s="16" t="b">
        <f>questions[[#This Row],[question_first_characters]]=questions[[#This Row],[stability_first_characters]]</f>
        <v>1</v>
      </c>
      <c r="AS1775" s="16" t="b">
        <f>IF(OR(questions[[#This Row],[is_single_select]],questions[[#This Row],[is_multi_select]]),NOT(ISBLANK(questions[[#This Row],[answer_opt_combined]])),TRUE)</f>
        <v>1</v>
      </c>
    </row>
    <row r="1776" spans="1:45" ht="15.75" customHeight="1" x14ac:dyDescent="0.25">
      <c r="A1776" s="9" t="str">
        <f>_xlfn.TEXTJOIN("_",TRUE,questions[[#This Row],[origin]:[qno]])</f>
        <v>Uganda_Robusta_2026_6023</v>
      </c>
      <c r="B1776" s="9" t="s">
        <v>511</v>
      </c>
      <c r="C1776" s="9" t="s">
        <v>674</v>
      </c>
      <c r="E1776" s="33">
        <v>2026</v>
      </c>
      <c r="F1776" s="24" t="s">
        <v>586</v>
      </c>
      <c r="G1776" s="15" t="s">
        <v>587</v>
      </c>
      <c r="H1776" s="9" t="str" cm="1">
        <f t="array" ref="H1776">INDEX(stableR[question],MATCH(VALUE(questions[[#This Row],[qno]]),VALUE(stableR[qno]),0))</f>
        <v>How many people did you typically hire per day for this main activity during main season?</v>
      </c>
      <c r="I1776" s="9" t="b" cm="1">
        <f t="array" ref="I1776">INDEX(stable[is_fixed],MATCH(VALUE(questions[[#This Row],[qno]]),VALUE(stable[qno]),0))</f>
        <v>0</v>
      </c>
      <c r="J1776" s="9" t="b" cm="1">
        <f t="array" ref="J1776">INDEX(stable[is_localized],MATCH(VALUE(questions[[#This Row],[qno]]),VALUE(stable[qno]),0))</f>
        <v>0</v>
      </c>
      <c r="K1776" s="9" t="b" cm="1">
        <f t="array" ref="K1776">INDEX(stable[is_supply_chain_dependent],MATCH(VALUE(questions[[#This Row],[qno]]),VALUE(stable[qno]),0))</f>
        <v>1</v>
      </c>
      <c r="L1776" s="9" t="b" cm="1">
        <f t="array" ref="L1776">INDEX(stable[is_mandatory],MATCH(VALUE(questions[[#This Row],[qno]]),VALUE(stable[qno]),0))</f>
        <v>0</v>
      </c>
      <c r="M1776" s="9" t="b" cm="1">
        <f t="array" ref="M1776">INDEX(stable[is_automated],MATCH(VALUE(questions[[#This Row],[qno]]),VALUE(stable[qno]),0))</f>
        <v>0</v>
      </c>
      <c r="N1776" s="9" t="b" cm="1">
        <f t="array" ref="N1776">INDEX(stable[is_free_text],MATCH(VALUE(questions[[#This Row],[qno]]),VALUE(stable[qno]),0))</f>
        <v>0</v>
      </c>
      <c r="O1776" s="9" t="b" cm="1">
        <f t="array" ref="O1776">INDEX(stable[is_numerical],MATCH(VALUE(questions[[#This Row],[qno]]),VALUE(stable[qno]),0))</f>
        <v>1</v>
      </c>
      <c r="P1776" s="9" t="b" cm="1">
        <f t="array" ref="P1776">INDEX(stable[is_single_select],MATCH(VALUE(questions[[#This Row],[qno]]),VALUE(stable[qno]),0))</f>
        <v>0</v>
      </c>
      <c r="Q1776" s="9" t="b" cm="1">
        <f t="array" ref="Q1776">INDEX(stable[is_multi_select],MATCH(VALUE(questions[[#This Row],[qno]]),VALUE(stable[qno]),0))</f>
        <v>0</v>
      </c>
      <c r="R1776" s="9" t="b" cm="1">
        <f t="array" ref="R1776">INDEX(stable[is_skip_logic],MATCH(VALUE(questions[[#This Row],[qno]]),VALUE(stable[qno]),0))</f>
        <v>1</v>
      </c>
      <c r="S1776" s="9" t="str">
        <f>_xlfn.TEXTJOIN(", ",TRUE,questions[[#This Row],[ans_opt_1]:[ans_opt_14]])</f>
        <v/>
      </c>
      <c r="AH1776" s="16" t="b">
        <f>INDEX(stable[q_standard],MATCH(questions[[#This Row],[qno]],stable[qno],0))</f>
        <v>0</v>
      </c>
      <c r="AI1776" s="16" t="b">
        <f>INDEX(stable[q_living_income],MATCH(questions[[#This Row],[qno]],stable[qno],0))</f>
        <v>1</v>
      </c>
      <c r="AJ1776" s="16" t="b">
        <f>INDEX(stable[q_carbon],MATCH(questions[[#This Row],[qno]],stable[qno],0))</f>
        <v>0</v>
      </c>
      <c r="AK1776" s="16" t="b">
        <f>INDEX(stable[q_regen_ag],MATCH(questions[[#This Row],[qno]],stable[qno],0))</f>
        <v>0</v>
      </c>
      <c r="AL1776" s="16" t="b">
        <f>COUNTIFS(stable[qno],questions[[#This Row],[qno]])=1</f>
        <v>1</v>
      </c>
      <c r="AM1776" s="16" t="b">
        <f>OR(questions[[#This Row],[is_fixed]],questions[[#This Row],[is_localized]],questions[[#This Row],[is_supply_chain_dependent]])</f>
        <v>1</v>
      </c>
      <c r="AN1776" s="16" t="b">
        <f>COUNTIFS(questions[[#This Row],[is_automated]:[is_multi_select]],TRUE)=1</f>
        <v>1</v>
      </c>
      <c r="AO1776" s="16" t="b">
        <f>IF(questions[[#This Row],[is_fixed]],questions[[#This Row],[question]]=INDEX(stable[question],MATCH(questions[[#This Row],[qno]],stable[qno],0)),TRUE)</f>
        <v>1</v>
      </c>
      <c r="AP1776" s="16" t="str">
        <f>LEFT(questions[[#This Row],[question]],similarity_range)</f>
        <v>If yes, every day, h</v>
      </c>
      <c r="AQ1776" s="16" t="str">
        <f>LEFT(INDEX(stable[question],MATCH(questions[[#This Row],[qno]],stable[qno],0)),similarity_range)</f>
        <v>If yes, how many peo</v>
      </c>
      <c r="AR1776" s="16" t="b">
        <f>questions[[#This Row],[question_first_characters]]=questions[[#This Row],[stability_first_characters]]</f>
        <v>0</v>
      </c>
      <c r="AS1776" s="16" t="b">
        <f>IF(OR(questions[[#This Row],[is_single_select]],questions[[#This Row],[is_multi_select]]),NOT(ISBLANK(questions[[#This Row],[answer_opt_combined]])),TRUE)</f>
        <v>1</v>
      </c>
    </row>
    <row r="1777" spans="1:45" s="77" customFormat="1" ht="15.75" customHeight="1" x14ac:dyDescent="0.25">
      <c r="A1777" s="77" t="str">
        <f>_xlfn.TEXTJOIN("_",TRUE,questions[[#This Row],[origin]:[qno]])</f>
        <v>Uganda_Robusta_2026_6100</v>
      </c>
      <c r="B1777" s="77" t="s">
        <v>511</v>
      </c>
      <c r="C1777" s="77" t="s">
        <v>674</v>
      </c>
      <c r="E1777" s="77">
        <v>2026</v>
      </c>
      <c r="F1777" s="104" t="s">
        <v>256</v>
      </c>
      <c r="G1777" s="78" t="s">
        <v>257</v>
      </c>
      <c r="H1777" s="9" t="str" cm="1">
        <f t="array" ref="H1777">INDEX(stableR[question],MATCH(VALUE(questions[[#This Row],[qno]]),VALUE(stableR[qno]),0))</f>
        <v>Did you use any monetary loan for coffee activities last year?</v>
      </c>
      <c r="I1777" s="9" t="b" cm="1">
        <f t="array" ref="I1777">INDEX(stable[is_fixed],MATCH(VALUE(questions[[#This Row],[qno]]),VALUE(stable[qno]),0))</f>
        <v>1</v>
      </c>
      <c r="J1777" s="9" t="b" cm="1">
        <f t="array" ref="J1777">INDEX(stable[is_localized],MATCH(VALUE(questions[[#This Row],[qno]]),VALUE(stable[qno]),0))</f>
        <v>0</v>
      </c>
      <c r="K1777" s="9" t="b" cm="1">
        <f t="array" ref="K1777">INDEX(stable[is_supply_chain_dependent],MATCH(VALUE(questions[[#This Row],[qno]]),VALUE(stable[qno]),0))</f>
        <v>0</v>
      </c>
      <c r="L1777" s="9" t="b" cm="1">
        <f t="array" ref="L1777">INDEX(stable[is_mandatory],MATCH(VALUE(questions[[#This Row],[qno]]),VALUE(stable[qno]),0))</f>
        <v>1</v>
      </c>
      <c r="M1777" s="9" t="b" cm="1">
        <f t="array" ref="M1777">INDEX(stable[is_automated],MATCH(VALUE(questions[[#This Row],[qno]]),VALUE(stable[qno]),0))</f>
        <v>0</v>
      </c>
      <c r="N1777" s="9" t="b" cm="1">
        <f t="array" ref="N1777">INDEX(stable[is_free_text],MATCH(VALUE(questions[[#This Row],[qno]]),VALUE(stable[qno]),0))</f>
        <v>0</v>
      </c>
      <c r="O1777" s="9" t="b" cm="1">
        <f t="array" ref="O1777">INDEX(stable[is_numerical],MATCH(VALUE(questions[[#This Row],[qno]]),VALUE(stable[qno]),0))</f>
        <v>0</v>
      </c>
      <c r="P1777" s="77" t="b" cm="1">
        <f t="array" ref="P1777">INDEX(stable[is_single_select],MATCH(VALUE(questions[[#This Row],[qno]]),VALUE(stable[qno]),0))</f>
        <v>1</v>
      </c>
      <c r="Q1777" s="77" t="b" cm="1">
        <f t="array" ref="Q1777">INDEX(stable[is_multi_select],MATCH(VALUE(questions[[#This Row],[qno]]),VALUE(stable[qno]),0))</f>
        <v>0</v>
      </c>
      <c r="R1777" s="77" t="b" cm="1">
        <f t="array" ref="R1777">INDEX(stable[is_skip_logic],MATCH(VALUE(questions[[#This Row],[qno]]),VALUE(stable[qno]),0))</f>
        <v>1</v>
      </c>
      <c r="S1777" s="77" t="str">
        <f>_xlfn.TEXTJOIN(", ",TRUE,questions[[#This Row],[ans_opt_1]:[ans_opt_14]])</f>
        <v>Yes, No</v>
      </c>
      <c r="T1777" s="77" t="s">
        <v>149</v>
      </c>
      <c r="U1777" s="77" t="s">
        <v>119</v>
      </c>
      <c r="AH1777" s="98" t="b">
        <f>INDEX(stable[q_standard],MATCH(questions[[#This Row],[qno]],stable[qno],0))</f>
        <v>0</v>
      </c>
      <c r="AI1777" s="98" t="b">
        <f>INDEX(stable[q_living_income],MATCH(questions[[#This Row],[qno]],stable[qno],0))</f>
        <v>1</v>
      </c>
      <c r="AJ1777" s="98" t="b">
        <f>INDEX(stable[q_carbon],MATCH(questions[[#This Row],[qno]],stable[qno],0))</f>
        <v>0</v>
      </c>
      <c r="AK1777" s="98" t="b">
        <f>INDEX(stable[q_regen_ag],MATCH(questions[[#This Row],[qno]],stable[qno],0))</f>
        <v>0</v>
      </c>
      <c r="AL1777" s="98" t="b">
        <f>COUNTIFS(stable[qno],questions[[#This Row],[qno]])=1</f>
        <v>1</v>
      </c>
      <c r="AM1777" s="98" t="b">
        <f>OR(questions[[#This Row],[is_fixed]],questions[[#This Row],[is_localized]],questions[[#This Row],[is_supply_chain_dependent]])</f>
        <v>1</v>
      </c>
      <c r="AN1777" s="98" t="b">
        <f>COUNTIFS(questions[[#This Row],[is_automated]:[is_multi_select]],TRUE)=1</f>
        <v>1</v>
      </c>
      <c r="AO1777" s="98" t="b">
        <f>IF(questions[[#This Row],[is_fixed]],questions[[#This Row],[question]]=INDEX(stable[question],MATCH(questions[[#This Row],[qno]],stable[qno],0)),TRUE)</f>
        <v>0</v>
      </c>
      <c r="AP1777" s="98" t="str">
        <f>LEFT(questions[[#This Row],[question]],similarity_range)</f>
        <v>Did you use any mone</v>
      </c>
      <c r="AQ1777" s="98" t="str">
        <f>LEFT(INDEX(stable[question],MATCH(questions[[#This Row],[qno]],stable[qno],0)),similarity_range)</f>
        <v>Did you use any mone</v>
      </c>
      <c r="AR1777" s="98" t="b">
        <f>questions[[#This Row],[question_first_characters]]=questions[[#This Row],[stability_first_characters]]</f>
        <v>1</v>
      </c>
      <c r="AS1777" s="98" t="b">
        <f>IF(OR(questions[[#This Row],[is_single_select]],questions[[#This Row],[is_multi_select]]),NOT(ISBLANK(questions[[#This Row],[answer_opt_combined]])),TRUE)</f>
        <v>1</v>
      </c>
    </row>
    <row r="1778" spans="1:45" ht="15.75" customHeight="1" x14ac:dyDescent="0.25">
      <c r="A1778" s="9" t="str">
        <f>_xlfn.TEXTJOIN("_",TRUE,questions[[#This Row],[origin]:[qno]])</f>
        <v>Uganda_Robusta_2026_6101</v>
      </c>
      <c r="B1778" s="9" t="s">
        <v>511</v>
      </c>
      <c r="C1778" s="9" t="s">
        <v>674</v>
      </c>
      <c r="E1778" s="33">
        <v>2026</v>
      </c>
      <c r="F1778" s="24" t="s">
        <v>258</v>
      </c>
      <c r="G1778" s="15" t="s">
        <v>259</v>
      </c>
      <c r="H1778" s="9" t="str" cm="1">
        <f t="array" ref="H1778">INDEX(stableR[question],MATCH(VALUE(questions[[#This Row],[qno]]),VALUE(stableR[qno]),0))</f>
        <v>What was the total amount of loans you borrowed last year (in your local currency)?</v>
      </c>
      <c r="I1778" s="9" t="b" cm="1">
        <f t="array" ref="I1778">INDEX(stable[is_fixed],MATCH(VALUE(questions[[#This Row],[qno]]),VALUE(stable[qno]),0))</f>
        <v>1</v>
      </c>
      <c r="J1778" s="9" t="b" cm="1">
        <f t="array" ref="J1778">INDEX(stable[is_localized],MATCH(VALUE(questions[[#This Row],[qno]]),VALUE(stable[qno]),0))</f>
        <v>0</v>
      </c>
      <c r="K1778" s="9" t="b" cm="1">
        <f t="array" ref="K1778">INDEX(stable[is_supply_chain_dependent],MATCH(VALUE(questions[[#This Row],[qno]]),VALUE(stable[qno]),0))</f>
        <v>0</v>
      </c>
      <c r="L1778" s="9" t="b" cm="1">
        <f t="array" ref="L1778">INDEX(stable[is_mandatory],MATCH(VALUE(questions[[#This Row],[qno]]),VALUE(stable[qno]),0))</f>
        <v>0</v>
      </c>
      <c r="M1778" s="9" t="b" cm="1">
        <f t="array" ref="M1778">INDEX(stable[is_automated],MATCH(VALUE(questions[[#This Row],[qno]]),VALUE(stable[qno]),0))</f>
        <v>0</v>
      </c>
      <c r="N1778" s="9" t="b" cm="1">
        <f t="array" ref="N1778">INDEX(stable[is_free_text],MATCH(VALUE(questions[[#This Row],[qno]]),VALUE(stable[qno]),0))</f>
        <v>0</v>
      </c>
      <c r="O1778" s="9" t="b" cm="1">
        <f t="array" ref="O1778">INDEX(stable[is_numerical],MATCH(VALUE(questions[[#This Row],[qno]]),VALUE(stable[qno]),0))</f>
        <v>0</v>
      </c>
      <c r="P1778" s="9" t="b" cm="1">
        <f t="array" ref="P1778">INDEX(stable[is_single_select],MATCH(VALUE(questions[[#This Row],[qno]]),VALUE(stable[qno]),0))</f>
        <v>0</v>
      </c>
      <c r="Q1778" s="9" t="b" cm="1">
        <f t="array" ref="Q1778">INDEX(stable[is_multi_select],MATCH(VALUE(questions[[#This Row],[qno]]),VALUE(stable[qno]),0))</f>
        <v>1</v>
      </c>
      <c r="R1778" s="9" t="b" cm="1">
        <f t="array" ref="R1778">INDEX(stable[is_skip_logic],MATCH(VALUE(questions[[#This Row],[qno]]),VALUE(stable[qno]),0))</f>
        <v>1</v>
      </c>
      <c r="S1778" s="9" t="str">
        <f>_xlfn.TEXTJOIN(", ",TRUE,questions[[#This Row],[ans_opt_1]:[ans_opt_14]])</f>
        <v/>
      </c>
      <c r="AH1778" s="16" t="b">
        <f>INDEX(stable[q_standard],MATCH(questions[[#This Row],[qno]],stable[qno],0))</f>
        <v>0</v>
      </c>
      <c r="AI1778" s="16" t="b">
        <f>INDEX(stable[q_living_income],MATCH(questions[[#This Row],[qno]],stable[qno],0))</f>
        <v>1</v>
      </c>
      <c r="AJ1778" s="16" t="b">
        <f>INDEX(stable[q_carbon],MATCH(questions[[#This Row],[qno]],stable[qno],0))</f>
        <v>0</v>
      </c>
      <c r="AK1778" s="16" t="b">
        <f>INDEX(stable[q_regen_ag],MATCH(questions[[#This Row],[qno]],stable[qno],0))</f>
        <v>0</v>
      </c>
      <c r="AL1778" s="16" t="b">
        <f>COUNTIFS(stable[qno],questions[[#This Row],[qno]])=1</f>
        <v>1</v>
      </c>
      <c r="AM1778" s="16" t="b">
        <f>OR(questions[[#This Row],[is_fixed]],questions[[#This Row],[is_localized]],questions[[#This Row],[is_supply_chain_dependent]])</f>
        <v>1</v>
      </c>
      <c r="AN1778" s="16" t="b">
        <f>COUNTIFS(questions[[#This Row],[is_automated]:[is_multi_select]],TRUE)=1</f>
        <v>1</v>
      </c>
      <c r="AO1778" s="16" t="b">
        <f>IF(questions[[#This Row],[is_fixed]],questions[[#This Row],[question]]=INDEX(stable[question],MATCH(questions[[#This Row],[qno]],stable[qno],0)),TRUE)</f>
        <v>1</v>
      </c>
      <c r="AP1778" s="16" t="str">
        <f>LEFT(questions[[#This Row],[question]],similarity_range)</f>
        <v xml:space="preserve">If yes, how did you </v>
      </c>
      <c r="AQ1778" s="16" t="str">
        <f>LEFT(INDEX(stable[question],MATCH(questions[[#This Row],[qno]],stable[qno],0)),similarity_range)</f>
        <v xml:space="preserve">If yes, how did you </v>
      </c>
      <c r="AR1778" s="16" t="b">
        <f>questions[[#This Row],[question_first_characters]]=questions[[#This Row],[stability_first_characters]]</f>
        <v>1</v>
      </c>
      <c r="AS1778" s="16" t="b">
        <f>IF(OR(questions[[#This Row],[is_single_select]],questions[[#This Row],[is_multi_select]]),NOT(ISBLANK(questions[[#This Row],[answer_opt_combined]])),TRUE)</f>
        <v>1</v>
      </c>
    </row>
    <row r="1779" spans="1:45" ht="15.75" customHeight="1" x14ac:dyDescent="0.25">
      <c r="A1779" s="9" t="str">
        <f>_xlfn.TEXTJOIN("_",TRUE,questions[[#This Row],[origin]:[qno]])</f>
        <v>Uganda_Robusta_2026_6102</v>
      </c>
      <c r="B1779" s="9" t="s">
        <v>511</v>
      </c>
      <c r="C1779" s="9" t="s">
        <v>674</v>
      </c>
      <c r="E1779" s="33">
        <v>2026</v>
      </c>
      <c r="F1779" s="24" t="s">
        <v>260</v>
      </c>
      <c r="G1779" s="15" t="s">
        <v>588</v>
      </c>
      <c r="H1779" s="9" t="str" cm="1">
        <f t="array" ref="H1779">INDEX(stableR[question],MATCH(VALUE(questions[[#This Row],[qno]]),VALUE(stableR[qno]),0))</f>
        <v>How did you have to pay for this? (in cash or in cherries? Please explain)</v>
      </c>
      <c r="I1779" s="9" t="b" cm="1">
        <f t="array" ref="I1779">INDEX(stable[is_fixed],MATCH(VALUE(questions[[#This Row],[qno]]),VALUE(stable[qno]),0))</f>
        <v>0</v>
      </c>
      <c r="J1779" s="9" t="b" cm="1">
        <f t="array" ref="J1779">INDEX(stable[is_localized],MATCH(VALUE(questions[[#This Row],[qno]]),VALUE(stable[qno]),0))</f>
        <v>1</v>
      </c>
      <c r="K1779" s="9" t="b" cm="1">
        <f t="array" ref="K1779">INDEX(stable[is_supply_chain_dependent],MATCH(VALUE(questions[[#This Row],[qno]]),VALUE(stable[qno]),0))</f>
        <v>0</v>
      </c>
      <c r="L1779" s="9" t="b" cm="1">
        <f t="array" ref="L1779">INDEX(stable[is_mandatory],MATCH(VALUE(questions[[#This Row],[qno]]),VALUE(stable[qno]),0))</f>
        <v>0</v>
      </c>
      <c r="M1779" s="9" t="b" cm="1">
        <f t="array" ref="M1779">INDEX(stable[is_automated],MATCH(VALUE(questions[[#This Row],[qno]]),VALUE(stable[qno]),0))</f>
        <v>0</v>
      </c>
      <c r="N1779" s="9" t="b" cm="1">
        <f t="array" ref="N1779">INDEX(stable[is_free_text],MATCH(VALUE(questions[[#This Row],[qno]]),VALUE(stable[qno]),0))</f>
        <v>0</v>
      </c>
      <c r="O1779" s="9" t="b" cm="1">
        <f t="array" ref="O1779">INDEX(stable[is_numerical],MATCH(VALUE(questions[[#This Row],[qno]]),VALUE(stable[qno]),0))</f>
        <v>1</v>
      </c>
      <c r="P1779" s="9" t="b" cm="1">
        <f t="array" ref="P1779">INDEX(stable[is_single_select],MATCH(VALUE(questions[[#This Row],[qno]]),VALUE(stable[qno]),0))</f>
        <v>0</v>
      </c>
      <c r="Q1779" s="9" t="b" cm="1">
        <f t="array" ref="Q1779">INDEX(stable[is_multi_select],MATCH(VALUE(questions[[#This Row],[qno]]),VALUE(stable[qno]),0))</f>
        <v>0</v>
      </c>
      <c r="R1779" s="9" t="b" cm="1">
        <f t="array" ref="R1779">INDEX(stable[is_skip_logic],MATCH(VALUE(questions[[#This Row],[qno]]),VALUE(stable[qno]),0))</f>
        <v>1</v>
      </c>
      <c r="S1779" s="9" t="str">
        <f>_xlfn.TEXTJOIN(", ",TRUE,questions[[#This Row],[ans_opt_1]:[ans_opt_14]])</f>
        <v/>
      </c>
      <c r="AH1779" s="16" t="b">
        <f>INDEX(stable[q_standard],MATCH(questions[[#This Row],[qno]],stable[qno],0))</f>
        <v>0</v>
      </c>
      <c r="AI1779" s="16" t="b">
        <f>INDEX(stable[q_living_income],MATCH(questions[[#This Row],[qno]],stable[qno],0))</f>
        <v>1</v>
      </c>
      <c r="AJ1779" s="16" t="b">
        <f>INDEX(stable[q_carbon],MATCH(questions[[#This Row],[qno]],stable[qno],0))</f>
        <v>0</v>
      </c>
      <c r="AK1779" s="16" t="b">
        <f>INDEX(stable[q_regen_ag],MATCH(questions[[#This Row],[qno]],stable[qno],0))</f>
        <v>0</v>
      </c>
      <c r="AL1779" s="16" t="b">
        <f>COUNTIFS(stable[qno],questions[[#This Row],[qno]])=1</f>
        <v>1</v>
      </c>
      <c r="AM1779" s="16" t="b">
        <f>OR(questions[[#This Row],[is_fixed]],questions[[#This Row],[is_localized]],questions[[#This Row],[is_supply_chain_dependent]])</f>
        <v>1</v>
      </c>
      <c r="AN1779" s="16" t="b">
        <f>COUNTIFS(questions[[#This Row],[is_automated]:[is_multi_select]],TRUE)=1</f>
        <v>1</v>
      </c>
      <c r="AO1779" s="16" t="b">
        <f>IF(questions[[#This Row],[is_fixed]],questions[[#This Row],[question]]=INDEX(stable[question],MATCH(questions[[#This Row],[qno]],stable[qno],0)),TRUE)</f>
        <v>1</v>
      </c>
      <c r="AP1779" s="16" t="str">
        <f>LEFT(questions[[#This Row],[question]],similarity_range)</f>
        <v>If yes, can you esti</v>
      </c>
      <c r="AQ1779" s="16" t="str">
        <f>LEFT(INDEX(stable[question],MATCH(questions[[#This Row],[qno]],stable[qno],0)),similarity_range)</f>
        <v>If yes, can you esti</v>
      </c>
      <c r="AR1779" s="16" t="b">
        <f>questions[[#This Row],[question_first_characters]]=questions[[#This Row],[stability_first_characters]]</f>
        <v>1</v>
      </c>
      <c r="AS1779" s="16" t="b">
        <f>IF(OR(questions[[#This Row],[is_single_select]],questions[[#This Row],[is_multi_select]]),NOT(ISBLANK(questions[[#This Row],[answer_opt_combined]])),TRUE)</f>
        <v>1</v>
      </c>
    </row>
    <row r="1780" spans="1:45" ht="15.75" customHeight="1" x14ac:dyDescent="0.25">
      <c r="A1780" s="9" t="str">
        <f>_xlfn.TEXTJOIN("_",TRUE,questions[[#This Row],[origin]:[qno]])</f>
        <v>Uganda_Robusta_2026_6103</v>
      </c>
      <c r="B1780" s="9" t="s">
        <v>511</v>
      </c>
      <c r="C1780" s="9" t="s">
        <v>674</v>
      </c>
      <c r="E1780" s="33">
        <v>2026</v>
      </c>
      <c r="F1780" s="24" t="s">
        <v>262</v>
      </c>
      <c r="G1780" s="15" t="s">
        <v>589</v>
      </c>
      <c r="H1780" s="9" t="str" cm="1">
        <f t="array" ref="H1780">INDEX(stableR[question],MATCH(VALUE(questions[[#This Row],[qno]]),VALUE(stableR[qno]),0))</f>
        <v>Can you estimate how much you had to repay, in total, for the loan last year, including interest (in local currency)</v>
      </c>
      <c r="I1780" s="9" t="b" cm="1">
        <f t="array" ref="I1780">INDEX(stable[is_fixed],MATCH(VALUE(questions[[#This Row],[qno]]),VALUE(stable[qno]),0))</f>
        <v>0</v>
      </c>
      <c r="J1780" s="9" t="b" cm="1">
        <f t="array" ref="J1780">INDEX(stable[is_localized],MATCH(VALUE(questions[[#This Row],[qno]]),VALUE(stable[qno]),0))</f>
        <v>1</v>
      </c>
      <c r="K1780" s="9" t="b" cm="1">
        <f t="array" ref="K1780">INDEX(stable[is_supply_chain_dependent],MATCH(VALUE(questions[[#This Row],[qno]]),VALUE(stable[qno]),0))</f>
        <v>0</v>
      </c>
      <c r="L1780" s="9" t="b" cm="1">
        <f t="array" ref="L1780">INDEX(stable[is_mandatory],MATCH(VALUE(questions[[#This Row],[qno]]),VALUE(stable[qno]),0))</f>
        <v>0</v>
      </c>
      <c r="M1780" s="9" t="b" cm="1">
        <f t="array" ref="M1780">INDEX(stable[is_automated],MATCH(VALUE(questions[[#This Row],[qno]]),VALUE(stable[qno]),0))</f>
        <v>0</v>
      </c>
      <c r="N1780" s="9" t="b" cm="1">
        <f t="array" ref="N1780">INDEX(stable[is_free_text],MATCH(VALUE(questions[[#This Row],[qno]]),VALUE(stable[qno]),0))</f>
        <v>0</v>
      </c>
      <c r="O1780" s="9" t="b" cm="1">
        <f t="array" ref="O1780">INDEX(stable[is_numerical],MATCH(VALUE(questions[[#This Row],[qno]]),VALUE(stable[qno]),0))</f>
        <v>1</v>
      </c>
      <c r="P1780" s="9" t="b" cm="1">
        <f t="array" ref="P1780">INDEX(stable[is_single_select],MATCH(VALUE(questions[[#This Row],[qno]]),VALUE(stable[qno]),0))</f>
        <v>0</v>
      </c>
      <c r="Q1780" s="9" t="b" cm="1">
        <f t="array" ref="Q1780">INDEX(stable[is_multi_select],MATCH(VALUE(questions[[#This Row],[qno]]),VALUE(stable[qno]),0))</f>
        <v>0</v>
      </c>
      <c r="R1780" s="9" t="b" cm="1">
        <f t="array" ref="R1780">INDEX(stable[is_skip_logic],MATCH(VALUE(questions[[#This Row],[qno]]),VALUE(stable[qno]),0))</f>
        <v>1</v>
      </c>
      <c r="S1780" s="9" t="str">
        <f>_xlfn.TEXTJOIN(", ",TRUE,questions[[#This Row],[ans_opt_1]:[ans_opt_14]])</f>
        <v/>
      </c>
      <c r="AH1780" s="16" t="b">
        <f>INDEX(stable[q_standard],MATCH(questions[[#This Row],[qno]],stable[qno],0))</f>
        <v>0</v>
      </c>
      <c r="AI1780" s="16" t="b">
        <f>INDEX(stable[q_living_income],MATCH(questions[[#This Row],[qno]],stable[qno],0))</f>
        <v>1</v>
      </c>
      <c r="AJ1780" s="16" t="b">
        <f>INDEX(stable[q_carbon],MATCH(questions[[#This Row],[qno]],stable[qno],0))</f>
        <v>0</v>
      </c>
      <c r="AK1780" s="16" t="b">
        <f>INDEX(stable[q_regen_ag],MATCH(questions[[#This Row],[qno]],stable[qno],0))</f>
        <v>0</v>
      </c>
      <c r="AL1780" s="16" t="b">
        <f>COUNTIFS(stable[qno],questions[[#This Row],[qno]])=1</f>
        <v>1</v>
      </c>
      <c r="AM1780" s="16" t="b">
        <f>OR(questions[[#This Row],[is_fixed]],questions[[#This Row],[is_localized]],questions[[#This Row],[is_supply_chain_dependent]])</f>
        <v>1</v>
      </c>
      <c r="AN1780" s="16" t="b">
        <f>COUNTIFS(questions[[#This Row],[is_automated]:[is_multi_select]],TRUE)=1</f>
        <v>1</v>
      </c>
      <c r="AO1780" s="16" t="b">
        <f>IF(questions[[#This Row],[is_fixed]],questions[[#This Row],[question]]=INDEX(stable[question],MATCH(questions[[#This Row],[qno]],stable[qno],0)),TRUE)</f>
        <v>1</v>
      </c>
      <c r="AP1780" s="16" t="str">
        <f>LEFT(questions[[#This Row],[question]],similarity_range)</f>
        <v>If yes, can you esti</v>
      </c>
      <c r="AQ1780" s="16" t="str">
        <f>LEFT(INDEX(stable[question],MATCH(questions[[#This Row],[qno]],stable[qno],0)),similarity_range)</f>
        <v>If yes, can you esti</v>
      </c>
      <c r="AR1780" s="16" t="b">
        <f>questions[[#This Row],[question_first_characters]]=questions[[#This Row],[stability_first_characters]]</f>
        <v>1</v>
      </c>
      <c r="AS1780" s="16" t="b">
        <f>IF(OR(questions[[#This Row],[is_single_select]],questions[[#This Row],[is_multi_select]]),NOT(ISBLANK(questions[[#This Row],[answer_opt_combined]])),TRUE)</f>
        <v>1</v>
      </c>
    </row>
    <row r="1781" spans="1:45" s="77" customFormat="1" ht="15.75" customHeight="1" x14ac:dyDescent="0.25">
      <c r="A1781" s="77" t="str">
        <f>_xlfn.TEXTJOIN("_",TRUE,questions[[#This Row],[origin]:[qno]])</f>
        <v>Uganda_Robusta_2026_6200</v>
      </c>
      <c r="B1781" s="77" t="s">
        <v>511</v>
      </c>
      <c r="C1781" s="77" t="s">
        <v>674</v>
      </c>
      <c r="E1781" s="77">
        <v>2026</v>
      </c>
      <c r="F1781" s="104" t="s">
        <v>596</v>
      </c>
      <c r="G1781" s="78" t="s">
        <v>597</v>
      </c>
      <c r="H1781" s="9" t="str" cm="1">
        <f t="array" ref="H1781">INDEX(stableR[question],MATCH(VALUE(questions[[#This Row],[qno]]),VALUE(stableR[qno]),0))</f>
        <v>Are you member of a coffee cooperative?</v>
      </c>
      <c r="I1781" s="9" t="b" cm="1">
        <f t="array" ref="I1781">INDEX(stable[is_fixed],MATCH(VALUE(questions[[#This Row],[qno]]),VALUE(stable[qno]),0))</f>
        <v>0</v>
      </c>
      <c r="J1781" s="9" t="b" cm="1">
        <f t="array" ref="J1781">INDEX(stable[is_localized],MATCH(VALUE(questions[[#This Row],[qno]]),VALUE(stable[qno]),0))</f>
        <v>0</v>
      </c>
      <c r="K1781" s="9" t="b" cm="1">
        <f t="array" ref="K1781">INDEX(stable[is_supply_chain_dependent],MATCH(VALUE(questions[[#This Row],[qno]]),VALUE(stable[qno]),0))</f>
        <v>1</v>
      </c>
      <c r="L1781" s="9" t="b" cm="1">
        <f t="array" ref="L1781">INDEX(stable[is_mandatory],MATCH(VALUE(questions[[#This Row],[qno]]),VALUE(stable[qno]),0))</f>
        <v>1</v>
      </c>
      <c r="M1781" s="9" t="b" cm="1">
        <f t="array" ref="M1781">INDEX(stable[is_automated],MATCH(VALUE(questions[[#This Row],[qno]]),VALUE(stable[qno]),0))</f>
        <v>0</v>
      </c>
      <c r="N1781" s="9" t="b" cm="1">
        <f t="array" ref="N1781">INDEX(stable[is_free_text],MATCH(VALUE(questions[[#This Row],[qno]]),VALUE(stable[qno]),0))</f>
        <v>0</v>
      </c>
      <c r="O1781" s="9" t="b" cm="1">
        <f t="array" ref="O1781">INDEX(stable[is_numerical],MATCH(VALUE(questions[[#This Row],[qno]]),VALUE(stable[qno]),0))</f>
        <v>0</v>
      </c>
      <c r="P1781" s="77" t="b" cm="1">
        <f t="array" ref="P1781">INDEX(stable[is_single_select],MATCH(VALUE(questions[[#This Row],[qno]]),VALUE(stable[qno]),0))</f>
        <v>1</v>
      </c>
      <c r="Q1781" s="77" t="b" cm="1">
        <f t="array" ref="Q1781">INDEX(stable[is_multi_select],MATCH(VALUE(questions[[#This Row],[qno]]),VALUE(stable[qno]),0))</f>
        <v>0</v>
      </c>
      <c r="R1781" s="77" t="b" cm="1">
        <f t="array" ref="R1781">INDEX(stable[is_skip_logic],MATCH(VALUE(questions[[#This Row],[qno]]),VALUE(stable[qno]),0))</f>
        <v>1</v>
      </c>
      <c r="S1781" s="77" t="str">
        <f>_xlfn.TEXTJOIN(", ",TRUE,questions[[#This Row],[ans_opt_1]:[ans_opt_14]])</f>
        <v>Yes, No</v>
      </c>
      <c r="T1781" s="77" t="s">
        <v>149</v>
      </c>
      <c r="U1781" s="77" t="s">
        <v>119</v>
      </c>
      <c r="AH1781" s="98" t="b">
        <f>INDEX(stable[q_standard],MATCH(questions[[#This Row],[qno]],stable[qno],0))</f>
        <v>0</v>
      </c>
      <c r="AI1781" s="98" t="b">
        <f>INDEX(stable[q_living_income],MATCH(questions[[#This Row],[qno]],stable[qno],0))</f>
        <v>1</v>
      </c>
      <c r="AJ1781" s="98" t="b">
        <f>INDEX(stable[q_carbon],MATCH(questions[[#This Row],[qno]],stable[qno],0))</f>
        <v>0</v>
      </c>
      <c r="AK1781" s="98" t="b">
        <f>INDEX(stable[q_regen_ag],MATCH(questions[[#This Row],[qno]],stable[qno],0))</f>
        <v>0</v>
      </c>
      <c r="AL1781" s="98" t="b">
        <f>COUNTIFS(stable[qno],questions[[#This Row],[qno]])=1</f>
        <v>1</v>
      </c>
      <c r="AM1781" s="98" t="b">
        <f>OR(questions[[#This Row],[is_fixed]],questions[[#This Row],[is_localized]],questions[[#This Row],[is_supply_chain_dependent]])</f>
        <v>1</v>
      </c>
      <c r="AN1781" s="98" t="b">
        <f>COUNTIFS(questions[[#This Row],[is_automated]:[is_multi_select]],TRUE)=1</f>
        <v>1</v>
      </c>
      <c r="AO1781" s="98" t="b">
        <f>IF(questions[[#This Row],[is_fixed]],questions[[#This Row],[question]]=INDEX(stable[question],MATCH(questions[[#This Row],[qno]],stable[qno],0)),TRUE)</f>
        <v>1</v>
      </c>
      <c r="AP1781" s="98" t="str">
        <f>LEFT(questions[[#This Row],[question]],similarity_range)</f>
        <v xml:space="preserve">Are you member of a </v>
      </c>
      <c r="AQ1781" s="98" t="str">
        <f>LEFT(INDEX(stable[question],MATCH(questions[[#This Row],[qno]],stable[qno],0)),similarity_range)</f>
        <v xml:space="preserve">Are you member of a </v>
      </c>
      <c r="AR1781" s="98" t="b">
        <f>questions[[#This Row],[question_first_characters]]=questions[[#This Row],[stability_first_characters]]</f>
        <v>1</v>
      </c>
      <c r="AS1781" s="98" t="b">
        <f>IF(OR(questions[[#This Row],[is_single_select]],questions[[#This Row],[is_multi_select]]),NOT(ISBLANK(questions[[#This Row],[answer_opt_combined]])),TRUE)</f>
        <v>1</v>
      </c>
    </row>
    <row r="1782" spans="1:45" ht="15.75" customHeight="1" x14ac:dyDescent="0.25">
      <c r="A1782" s="9" t="str">
        <f>_xlfn.TEXTJOIN("_",TRUE,questions[[#This Row],[origin]:[qno]])</f>
        <v>Uganda_Robusta_2026_6201</v>
      </c>
      <c r="B1782" s="9" t="s">
        <v>511</v>
      </c>
      <c r="C1782" s="9" t="s">
        <v>674</v>
      </c>
      <c r="E1782" s="33">
        <v>2026</v>
      </c>
      <c r="F1782" s="24" t="s">
        <v>598</v>
      </c>
      <c r="G1782" s="15" t="s">
        <v>898</v>
      </c>
      <c r="H1782" s="9" t="str" cm="1">
        <f t="array" ref="H1782">INDEX(stableR[question],MATCH(VALUE(questions[[#This Row],[qno]]),VALUE(stableR[qno]),0))</f>
        <v>What subscription fee did you pay per year, in total? (in local currency)</v>
      </c>
      <c r="I1782" s="9" t="b" cm="1">
        <f t="array" ref="I1782">INDEX(stable[is_fixed],MATCH(VALUE(questions[[#This Row],[qno]]),VALUE(stable[qno]),0))</f>
        <v>0</v>
      </c>
      <c r="J1782" s="9" t="b" cm="1">
        <f t="array" ref="J1782">INDEX(stable[is_localized],MATCH(VALUE(questions[[#This Row],[qno]]),VALUE(stable[qno]),0))</f>
        <v>0</v>
      </c>
      <c r="K1782" s="9" t="b" cm="1">
        <f t="array" ref="K1782">INDEX(stable[is_supply_chain_dependent],MATCH(VALUE(questions[[#This Row],[qno]]),VALUE(stable[qno]),0))</f>
        <v>1</v>
      </c>
      <c r="L1782" s="9" t="b" cm="1">
        <f t="array" ref="L1782">INDEX(stable[is_mandatory],MATCH(VALUE(questions[[#This Row],[qno]]),VALUE(stable[qno]),0))</f>
        <v>0</v>
      </c>
      <c r="M1782" s="9" t="b" cm="1">
        <f t="array" ref="M1782">INDEX(stable[is_automated],MATCH(VALUE(questions[[#This Row],[qno]]),VALUE(stable[qno]),0))</f>
        <v>0</v>
      </c>
      <c r="N1782" s="9" t="b" cm="1">
        <f t="array" ref="N1782">INDEX(stable[is_free_text],MATCH(VALUE(questions[[#This Row],[qno]]),VALUE(stable[qno]),0))</f>
        <v>0</v>
      </c>
      <c r="O1782" s="9" t="b" cm="1">
        <f t="array" ref="O1782">INDEX(stable[is_numerical],MATCH(VALUE(questions[[#This Row],[qno]]),VALUE(stable[qno]),0))</f>
        <v>1</v>
      </c>
      <c r="P1782" s="9" t="b" cm="1">
        <f t="array" ref="P1782">INDEX(stable[is_single_select],MATCH(VALUE(questions[[#This Row],[qno]]),VALUE(stable[qno]),0))</f>
        <v>0</v>
      </c>
      <c r="Q1782" s="9" t="b" cm="1">
        <f t="array" ref="Q1782">INDEX(stable[is_multi_select],MATCH(VALUE(questions[[#This Row],[qno]]),VALUE(stable[qno]),0))</f>
        <v>0</v>
      </c>
      <c r="R1782" s="9" t="b" cm="1">
        <f t="array" ref="R1782">INDEX(stable[is_skip_logic],MATCH(VALUE(questions[[#This Row],[qno]]),VALUE(stable[qno]),0))</f>
        <v>1</v>
      </c>
      <c r="S1782" s="9" t="str">
        <f>_xlfn.TEXTJOIN(", ",TRUE,questions[[#This Row],[ans_opt_1]:[ans_opt_14]])</f>
        <v/>
      </c>
      <c r="AH1782" s="16" t="b">
        <f>INDEX(stable[q_standard],MATCH(questions[[#This Row],[qno]],stable[qno],0))</f>
        <v>0</v>
      </c>
      <c r="AI1782" s="16" t="b">
        <f>INDEX(stable[q_living_income],MATCH(questions[[#This Row],[qno]],stable[qno],0))</f>
        <v>1</v>
      </c>
      <c r="AJ1782" s="16" t="b">
        <f>INDEX(stable[q_carbon],MATCH(questions[[#This Row],[qno]],stable[qno],0))</f>
        <v>0</v>
      </c>
      <c r="AK1782" s="16" t="b">
        <f>INDEX(stable[q_regen_ag],MATCH(questions[[#This Row],[qno]],stable[qno],0))</f>
        <v>0</v>
      </c>
      <c r="AL1782" s="16" t="b">
        <f>COUNTIFS(stable[qno],questions[[#This Row],[qno]])=1</f>
        <v>1</v>
      </c>
      <c r="AM1782" s="16" t="b">
        <f>OR(questions[[#This Row],[is_fixed]],questions[[#This Row],[is_localized]],questions[[#This Row],[is_supply_chain_dependent]])</f>
        <v>1</v>
      </c>
      <c r="AN1782" s="16" t="b">
        <f>COUNTIFS(questions[[#This Row],[is_automated]:[is_multi_select]],TRUE)=1</f>
        <v>1</v>
      </c>
      <c r="AO1782" s="16" t="b">
        <f>IF(questions[[#This Row],[is_fixed]],questions[[#This Row],[question]]=INDEX(stable[question],MATCH(questions[[#This Row],[qno]],stable[qno],0)),TRUE)</f>
        <v>1</v>
      </c>
      <c r="AP1782" s="16" t="str">
        <f>LEFT(questions[[#This Row],[question]],similarity_range)</f>
        <v>If yes, what subscri</v>
      </c>
      <c r="AQ1782" s="16" t="str">
        <f>LEFT(INDEX(stable[question],MATCH(questions[[#This Row],[qno]],stable[qno],0)),similarity_range)</f>
        <v>If yes, what subscri</v>
      </c>
      <c r="AR1782" s="16" t="b">
        <f>questions[[#This Row],[question_first_characters]]=questions[[#This Row],[stability_first_characters]]</f>
        <v>1</v>
      </c>
      <c r="AS1782" s="16" t="b">
        <f>IF(OR(questions[[#This Row],[is_single_select]],questions[[#This Row],[is_multi_select]]),NOT(ISBLANK(questions[[#This Row],[answer_opt_combined]])),TRUE)</f>
        <v>1</v>
      </c>
    </row>
    <row r="1783" spans="1:45" s="77" customFormat="1" ht="15.75" customHeight="1" x14ac:dyDescent="0.25">
      <c r="A1783" s="77" t="str">
        <f>_xlfn.TEXTJOIN("_",TRUE,questions[[#This Row],[origin]:[qno]])</f>
        <v>Uganda_Robusta_2026_6300</v>
      </c>
      <c r="B1783" s="77" t="s">
        <v>511</v>
      </c>
      <c r="C1783" s="77" t="s">
        <v>674</v>
      </c>
      <c r="E1783" s="77">
        <v>2026</v>
      </c>
      <c r="F1783" s="104" t="s">
        <v>268</v>
      </c>
      <c r="G1783" s="78" t="s">
        <v>269</v>
      </c>
      <c r="H1783" s="9" t="str" cm="1">
        <f t="array" ref="H1783">INDEX(stableR[question],MATCH(VALUE(questions[[#This Row],[qno]]),VALUE(stableR[qno]),0))</f>
        <v>Did you buy coffee seedlings last year?</v>
      </c>
      <c r="I1783" s="9" t="b" cm="1">
        <f t="array" ref="I1783">INDEX(stable[is_fixed],MATCH(VALUE(questions[[#This Row],[qno]]),VALUE(stable[qno]),0))</f>
        <v>1</v>
      </c>
      <c r="J1783" s="9" t="b" cm="1">
        <f t="array" ref="J1783">INDEX(stable[is_localized],MATCH(VALUE(questions[[#This Row],[qno]]),VALUE(stable[qno]),0))</f>
        <v>0</v>
      </c>
      <c r="K1783" s="9" t="b" cm="1">
        <f t="array" ref="K1783">INDEX(stable[is_supply_chain_dependent],MATCH(VALUE(questions[[#This Row],[qno]]),VALUE(stable[qno]),0))</f>
        <v>0</v>
      </c>
      <c r="L1783" s="9" t="b" cm="1">
        <f t="array" ref="L1783">INDEX(stable[is_mandatory],MATCH(VALUE(questions[[#This Row],[qno]]),VALUE(stable[qno]),0))</f>
        <v>1</v>
      </c>
      <c r="M1783" s="9" t="b" cm="1">
        <f t="array" ref="M1783">INDEX(stable[is_automated],MATCH(VALUE(questions[[#This Row],[qno]]),VALUE(stable[qno]),0))</f>
        <v>0</v>
      </c>
      <c r="N1783" s="9" t="b" cm="1">
        <f t="array" ref="N1783">INDEX(stable[is_free_text],MATCH(VALUE(questions[[#This Row],[qno]]),VALUE(stable[qno]),0))</f>
        <v>0</v>
      </c>
      <c r="O1783" s="9" t="b" cm="1">
        <f t="array" ref="O1783">INDEX(stable[is_numerical],MATCH(VALUE(questions[[#This Row],[qno]]),VALUE(stable[qno]),0))</f>
        <v>0</v>
      </c>
      <c r="P1783" s="77" t="b" cm="1">
        <f t="array" ref="P1783">INDEX(stable[is_single_select],MATCH(VALUE(questions[[#This Row],[qno]]),VALUE(stable[qno]),0))</f>
        <v>1</v>
      </c>
      <c r="Q1783" s="77" t="b" cm="1">
        <f t="array" ref="Q1783">INDEX(stable[is_multi_select],MATCH(VALUE(questions[[#This Row],[qno]]),VALUE(stable[qno]),0))</f>
        <v>0</v>
      </c>
      <c r="R1783" s="77" t="b" cm="1">
        <f t="array" ref="R1783">INDEX(stable[is_skip_logic],MATCH(VALUE(questions[[#This Row],[qno]]),VALUE(stable[qno]),0))</f>
        <v>1</v>
      </c>
      <c r="S1783" s="77" t="str">
        <f>_xlfn.TEXTJOIN(", ",TRUE,questions[[#This Row],[ans_opt_1]:[ans_opt_14]])</f>
        <v>Yes, No</v>
      </c>
      <c r="T1783" s="77" t="s">
        <v>149</v>
      </c>
      <c r="U1783" s="77" t="s">
        <v>119</v>
      </c>
      <c r="AH1783" s="98" t="b">
        <f>INDEX(stable[q_standard],MATCH(questions[[#This Row],[qno]],stable[qno],0))</f>
        <v>0</v>
      </c>
      <c r="AI1783" s="98" t="b">
        <f>INDEX(stable[q_living_income],MATCH(questions[[#This Row],[qno]],stable[qno],0))</f>
        <v>1</v>
      </c>
      <c r="AJ1783" s="98" t="b">
        <f>INDEX(stable[q_carbon],MATCH(questions[[#This Row],[qno]],stable[qno],0))</f>
        <v>0</v>
      </c>
      <c r="AK1783" s="98" t="b">
        <f>INDEX(stable[q_regen_ag],MATCH(questions[[#This Row],[qno]],stable[qno],0))</f>
        <v>0</v>
      </c>
      <c r="AL1783" s="98" t="b">
        <f>COUNTIFS(stable[qno],questions[[#This Row],[qno]])=1</f>
        <v>1</v>
      </c>
      <c r="AM1783" s="98" t="b">
        <f>OR(questions[[#This Row],[is_fixed]],questions[[#This Row],[is_localized]],questions[[#This Row],[is_supply_chain_dependent]])</f>
        <v>1</v>
      </c>
      <c r="AN1783" s="98" t="b">
        <f>COUNTIFS(questions[[#This Row],[is_automated]:[is_multi_select]],TRUE)=1</f>
        <v>1</v>
      </c>
      <c r="AO1783" s="98" t="b">
        <f>IF(questions[[#This Row],[is_fixed]],questions[[#This Row],[question]]=INDEX(stable[question],MATCH(questions[[#This Row],[qno]],stable[qno],0)),TRUE)</f>
        <v>0</v>
      </c>
      <c r="AP1783" s="98" t="str">
        <f>LEFT(questions[[#This Row],[question]],similarity_range)</f>
        <v>Did you buy coffee s</v>
      </c>
      <c r="AQ1783" s="98" t="str">
        <f>LEFT(INDEX(stable[question],MATCH(questions[[#This Row],[qno]],stable[qno],0)),similarity_range)</f>
        <v>Did you buy coffee s</v>
      </c>
      <c r="AR1783" s="98" t="b">
        <f>questions[[#This Row],[question_first_characters]]=questions[[#This Row],[stability_first_characters]]</f>
        <v>1</v>
      </c>
      <c r="AS1783" s="98" t="b">
        <f>IF(OR(questions[[#This Row],[is_single_select]],questions[[#This Row],[is_multi_select]]),NOT(ISBLANK(questions[[#This Row],[answer_opt_combined]])),TRUE)</f>
        <v>1</v>
      </c>
    </row>
    <row r="1784" spans="1:45" s="77" customFormat="1" ht="15.75" customHeight="1" x14ac:dyDescent="0.25">
      <c r="A1784" s="77" t="str">
        <f>_xlfn.TEXTJOIN("_",TRUE,questions[[#This Row],[origin]:[qno]])</f>
        <v>Uganda_Robusta_2026_6301</v>
      </c>
      <c r="B1784" s="77" t="s">
        <v>511</v>
      </c>
      <c r="C1784" s="77" t="s">
        <v>674</v>
      </c>
      <c r="E1784" s="77">
        <v>2026</v>
      </c>
      <c r="F1784" s="104" t="s">
        <v>270</v>
      </c>
      <c r="G1784" s="78" t="s">
        <v>271</v>
      </c>
      <c r="H1784" s="9" t="str" cm="1">
        <f t="array" ref="H1784">INDEX(stableR[question],MATCH(VALUE(questions[[#This Row],[qno]]),VALUE(stableR[qno]),0))</f>
        <v>What was the main type seedlings bought?</v>
      </c>
      <c r="I1784" s="9" t="b" cm="1">
        <f t="array" ref="I1784">INDEX(stable[is_fixed],MATCH(VALUE(questions[[#This Row],[qno]]),VALUE(stable[qno]),0))</f>
        <v>1</v>
      </c>
      <c r="J1784" s="9" t="b" cm="1">
        <f t="array" ref="J1784">INDEX(stable[is_localized],MATCH(VALUE(questions[[#This Row],[qno]]),VALUE(stable[qno]),0))</f>
        <v>0</v>
      </c>
      <c r="K1784" s="9" t="b" cm="1">
        <f t="array" ref="K1784">INDEX(stable[is_supply_chain_dependent],MATCH(VALUE(questions[[#This Row],[qno]]),VALUE(stable[qno]),0))</f>
        <v>0</v>
      </c>
      <c r="L1784" s="9" t="b" cm="1">
        <f t="array" ref="L1784">INDEX(stable[is_mandatory],MATCH(VALUE(questions[[#This Row],[qno]]),VALUE(stable[qno]),0))</f>
        <v>0</v>
      </c>
      <c r="M1784" s="9" t="b" cm="1">
        <f t="array" ref="M1784">INDEX(stable[is_automated],MATCH(VALUE(questions[[#This Row],[qno]]),VALUE(stable[qno]),0))</f>
        <v>0</v>
      </c>
      <c r="N1784" s="9" t="b" cm="1">
        <f t="array" ref="N1784">INDEX(stable[is_free_text],MATCH(VALUE(questions[[#This Row],[qno]]),VALUE(stable[qno]),0))</f>
        <v>0</v>
      </c>
      <c r="O1784" s="9" t="b" cm="1">
        <f t="array" ref="O1784">INDEX(stable[is_numerical],MATCH(VALUE(questions[[#This Row],[qno]]),VALUE(stable[qno]),0))</f>
        <v>0</v>
      </c>
      <c r="P1784" s="77" t="b" cm="1">
        <f t="array" ref="P1784">INDEX(stable[is_single_select],MATCH(VALUE(questions[[#This Row],[qno]]),VALUE(stable[qno]),0))</f>
        <v>1</v>
      </c>
      <c r="Q1784" s="77" t="b" cm="1">
        <f t="array" ref="Q1784">INDEX(stable[is_multi_select],MATCH(VALUE(questions[[#This Row],[qno]]),VALUE(stable[qno]),0))</f>
        <v>0</v>
      </c>
      <c r="R1784" s="77" t="b" cm="1">
        <f t="array" ref="R1784">INDEX(stable[is_skip_logic],MATCH(VALUE(questions[[#This Row],[qno]]),VALUE(stable[qno]),0))</f>
        <v>1</v>
      </c>
      <c r="S1784" s="77" t="str">
        <f>_xlfn.TEXTJOIN(", ",TRUE,questions[[#This Row],[ans_opt_1]:[ans_opt_14]])</f>
        <v>Elite, Cuttings (clonal), Other, NA</v>
      </c>
      <c r="T1784" s="77" t="s">
        <v>899</v>
      </c>
      <c r="U1784" s="77" t="s">
        <v>900</v>
      </c>
      <c r="V1784" s="77" t="s">
        <v>112</v>
      </c>
      <c r="W1784" s="77" t="s">
        <v>251</v>
      </c>
      <c r="AH1784" s="98" t="b">
        <f>INDEX(stable[q_standard],MATCH(questions[[#This Row],[qno]],stable[qno],0))</f>
        <v>0</v>
      </c>
      <c r="AI1784" s="98" t="b">
        <f>INDEX(stable[q_living_income],MATCH(questions[[#This Row],[qno]],stable[qno],0))</f>
        <v>1</v>
      </c>
      <c r="AJ1784" s="98" t="b">
        <f>INDEX(stable[q_carbon],MATCH(questions[[#This Row],[qno]],stable[qno],0))</f>
        <v>0</v>
      </c>
      <c r="AK1784" s="98" t="b">
        <f>INDEX(stable[q_regen_ag],MATCH(questions[[#This Row],[qno]],stable[qno],0))</f>
        <v>0</v>
      </c>
      <c r="AL1784" s="98" t="b">
        <f>COUNTIFS(stable[qno],questions[[#This Row],[qno]])=1</f>
        <v>1</v>
      </c>
      <c r="AM1784" s="98" t="b">
        <f>OR(questions[[#This Row],[is_fixed]],questions[[#This Row],[is_localized]],questions[[#This Row],[is_supply_chain_dependent]])</f>
        <v>1</v>
      </c>
      <c r="AN1784" s="98" t="b">
        <f>COUNTIFS(questions[[#This Row],[is_automated]:[is_multi_select]],TRUE)=1</f>
        <v>1</v>
      </c>
      <c r="AO1784" s="98" t="b">
        <f>IF(questions[[#This Row],[is_fixed]],questions[[#This Row],[question]]=INDEX(stable[question],MATCH(questions[[#This Row],[qno]],stable[qno],0)),TRUE)</f>
        <v>1</v>
      </c>
      <c r="AP1784" s="98" t="str">
        <f>LEFT(questions[[#This Row],[question]],similarity_range)</f>
        <v xml:space="preserve">If yes what was the </v>
      </c>
      <c r="AQ1784" s="98" t="str">
        <f>LEFT(INDEX(stable[question],MATCH(questions[[#This Row],[qno]],stable[qno],0)),similarity_range)</f>
        <v xml:space="preserve">If yes what was the </v>
      </c>
      <c r="AR1784" s="98" t="b">
        <f>questions[[#This Row],[question_first_characters]]=questions[[#This Row],[stability_first_characters]]</f>
        <v>1</v>
      </c>
      <c r="AS1784" s="98" t="b">
        <f>IF(OR(questions[[#This Row],[is_single_select]],questions[[#This Row],[is_multi_select]]),NOT(ISBLANK(questions[[#This Row],[answer_opt_combined]])),TRUE)</f>
        <v>1</v>
      </c>
    </row>
    <row r="1785" spans="1:45" ht="15.75" customHeight="1" x14ac:dyDescent="0.25">
      <c r="A1785" s="9" t="str">
        <f>_xlfn.TEXTJOIN("_",TRUE,questions[[#This Row],[origin]:[qno]])</f>
        <v>Uganda_Robusta_2026_6302</v>
      </c>
      <c r="B1785" s="9" t="s">
        <v>511</v>
      </c>
      <c r="C1785" s="9" t="s">
        <v>674</v>
      </c>
      <c r="E1785" s="33">
        <v>2026</v>
      </c>
      <c r="F1785" s="24" t="s">
        <v>282</v>
      </c>
      <c r="G1785" s="15" t="s">
        <v>283</v>
      </c>
      <c r="H1785" s="9" t="str" cm="1">
        <f t="array" ref="H1785">INDEX(stableR[question],MATCH(VALUE(questions[[#This Row],[qno]]),VALUE(stableR[qno]),0))</f>
        <v>How many seedlings did you buy last year?</v>
      </c>
      <c r="I1785" s="9" t="b" cm="1">
        <f t="array" ref="I1785">INDEX(stable[is_fixed],MATCH(VALUE(questions[[#This Row],[qno]]),VALUE(stable[qno]),0))</f>
        <v>1</v>
      </c>
      <c r="J1785" s="9" t="b" cm="1">
        <f t="array" ref="J1785">INDEX(stable[is_localized],MATCH(VALUE(questions[[#This Row],[qno]]),VALUE(stable[qno]),0))</f>
        <v>0</v>
      </c>
      <c r="K1785" s="9" t="b" cm="1">
        <f t="array" ref="K1785">INDEX(stable[is_supply_chain_dependent],MATCH(VALUE(questions[[#This Row],[qno]]),VALUE(stable[qno]),0))</f>
        <v>0</v>
      </c>
      <c r="L1785" s="9" t="b" cm="1">
        <f t="array" ref="L1785">INDEX(stable[is_mandatory],MATCH(VALUE(questions[[#This Row],[qno]]),VALUE(stable[qno]),0))</f>
        <v>0</v>
      </c>
      <c r="M1785" s="9" t="b" cm="1">
        <f t="array" ref="M1785">INDEX(stable[is_automated],MATCH(VALUE(questions[[#This Row],[qno]]),VALUE(stable[qno]),0))</f>
        <v>0</v>
      </c>
      <c r="N1785" s="9" t="b" cm="1">
        <f t="array" ref="N1785">INDEX(stable[is_free_text],MATCH(VALUE(questions[[#This Row],[qno]]),VALUE(stable[qno]),0))</f>
        <v>0</v>
      </c>
      <c r="O1785" s="9" t="b" cm="1">
        <f t="array" ref="O1785">INDEX(stable[is_numerical],MATCH(VALUE(questions[[#This Row],[qno]]),VALUE(stable[qno]),0))</f>
        <v>1</v>
      </c>
      <c r="P1785" s="9" t="b" cm="1">
        <f t="array" ref="P1785">INDEX(stable[is_single_select],MATCH(VALUE(questions[[#This Row],[qno]]),VALUE(stable[qno]),0))</f>
        <v>0</v>
      </c>
      <c r="Q1785" s="9" t="b" cm="1">
        <f t="array" ref="Q1785">INDEX(stable[is_multi_select],MATCH(VALUE(questions[[#This Row],[qno]]),VALUE(stable[qno]),0))</f>
        <v>0</v>
      </c>
      <c r="R1785" s="9" t="b" cm="1">
        <f t="array" ref="R1785">INDEX(stable[is_skip_logic],MATCH(VALUE(questions[[#This Row],[qno]]),VALUE(stable[qno]),0))</f>
        <v>1</v>
      </c>
      <c r="S1785" s="9" t="str">
        <f>_xlfn.TEXTJOIN(", ",TRUE,questions[[#This Row],[ans_opt_1]:[ans_opt_14]])</f>
        <v/>
      </c>
      <c r="AH1785" s="16" t="b">
        <f>INDEX(stable[q_standard],MATCH(questions[[#This Row],[qno]],stable[qno],0))</f>
        <v>0</v>
      </c>
      <c r="AI1785" s="16" t="b">
        <f>INDEX(stable[q_living_income],MATCH(questions[[#This Row],[qno]],stable[qno],0))</f>
        <v>1</v>
      </c>
      <c r="AJ1785" s="16" t="b">
        <f>INDEX(stable[q_carbon],MATCH(questions[[#This Row],[qno]],stable[qno],0))</f>
        <v>0</v>
      </c>
      <c r="AK1785" s="16" t="b">
        <f>INDEX(stable[q_regen_ag],MATCH(questions[[#This Row],[qno]],stable[qno],0))</f>
        <v>0</v>
      </c>
      <c r="AL1785" s="16" t="b">
        <f>COUNTIFS(stable[qno],questions[[#This Row],[qno]])=1</f>
        <v>1</v>
      </c>
      <c r="AM1785" s="16" t="b">
        <f>OR(questions[[#This Row],[is_fixed]],questions[[#This Row],[is_localized]],questions[[#This Row],[is_supply_chain_dependent]])</f>
        <v>1</v>
      </c>
      <c r="AN1785" s="16" t="b">
        <f>COUNTIFS(questions[[#This Row],[is_automated]:[is_multi_select]],TRUE)=1</f>
        <v>1</v>
      </c>
      <c r="AO1785" s="16" t="b">
        <f>IF(questions[[#This Row],[is_fixed]],questions[[#This Row],[question]]=INDEX(stable[question],MATCH(questions[[#This Row],[qno]],stable[qno],0)),TRUE)</f>
        <v>1</v>
      </c>
      <c r="AP1785" s="16" t="str">
        <f>LEFT(questions[[#This Row],[question]],similarity_range)</f>
        <v>How many seedlings d</v>
      </c>
      <c r="AQ1785" s="16" t="str">
        <f>LEFT(INDEX(stable[question],MATCH(questions[[#This Row],[qno]],stable[qno],0)),similarity_range)</f>
        <v>How many seedlings d</v>
      </c>
      <c r="AR1785" s="16" t="b">
        <f>questions[[#This Row],[question_first_characters]]=questions[[#This Row],[stability_first_characters]]</f>
        <v>1</v>
      </c>
      <c r="AS1785" s="16" t="b">
        <f>IF(OR(questions[[#This Row],[is_single_select]],questions[[#This Row],[is_multi_select]]),NOT(ISBLANK(questions[[#This Row],[answer_opt_combined]])),TRUE)</f>
        <v>1</v>
      </c>
    </row>
    <row r="1786" spans="1:45" s="77" customFormat="1" ht="15.75" customHeight="1" x14ac:dyDescent="0.25">
      <c r="A1786" s="77" t="str">
        <f>_xlfn.TEXTJOIN("_",TRUE,questions[[#This Row],[origin]:[qno]])</f>
        <v>Uganda_Robusta_2026_6400</v>
      </c>
      <c r="B1786" s="77" t="s">
        <v>511</v>
      </c>
      <c r="C1786" s="77" t="s">
        <v>674</v>
      </c>
      <c r="E1786" s="77">
        <v>2026</v>
      </c>
      <c r="F1786" s="104" t="s">
        <v>284</v>
      </c>
      <c r="G1786" s="78" t="s">
        <v>901</v>
      </c>
      <c r="H1786" s="9" t="str" cm="1">
        <f t="array" ref="H1786">INDEX(stableR[question],MATCH(VALUE(questions[[#This Row],[qno]]),VALUE(stableR[qno]),0))</f>
        <v>Did you organize your own transport to the Sucafina coffee collection point where you delivered your coffee last year?</v>
      </c>
      <c r="I1786" s="9" t="b" cm="1">
        <f t="array" ref="I1786">INDEX(stable[is_fixed],MATCH(VALUE(questions[[#This Row],[qno]]),VALUE(stable[qno]),0))</f>
        <v>1</v>
      </c>
      <c r="J1786" s="9" t="b" cm="1">
        <f t="array" ref="J1786">INDEX(stable[is_localized],MATCH(VALUE(questions[[#This Row],[qno]]),VALUE(stable[qno]),0))</f>
        <v>0</v>
      </c>
      <c r="K1786" s="9" t="b" cm="1">
        <f t="array" ref="K1786">INDEX(stable[is_supply_chain_dependent],MATCH(VALUE(questions[[#This Row],[qno]]),VALUE(stable[qno]),0))</f>
        <v>0</v>
      </c>
      <c r="L1786" s="9" t="b" cm="1">
        <f t="array" ref="L1786">INDEX(stable[is_mandatory],MATCH(VALUE(questions[[#This Row],[qno]]),VALUE(stable[qno]),0))</f>
        <v>1</v>
      </c>
      <c r="M1786" s="9" t="b" cm="1">
        <f t="array" ref="M1786">INDEX(stable[is_automated],MATCH(VALUE(questions[[#This Row],[qno]]),VALUE(stable[qno]),0))</f>
        <v>0</v>
      </c>
      <c r="N1786" s="9" t="b" cm="1">
        <f t="array" ref="N1786">INDEX(stable[is_free_text],MATCH(VALUE(questions[[#This Row],[qno]]),VALUE(stable[qno]),0))</f>
        <v>0</v>
      </c>
      <c r="O1786" s="9" t="b" cm="1">
        <f t="array" ref="O1786">INDEX(stable[is_numerical],MATCH(VALUE(questions[[#This Row],[qno]]),VALUE(stable[qno]),0))</f>
        <v>0</v>
      </c>
      <c r="P1786" s="77" t="b" cm="1">
        <f t="array" ref="P1786">INDEX(stable[is_single_select],MATCH(VALUE(questions[[#This Row],[qno]]),VALUE(stable[qno]),0))</f>
        <v>1</v>
      </c>
      <c r="Q1786" s="77" t="b" cm="1">
        <f t="array" ref="Q1786">INDEX(stable[is_multi_select],MATCH(VALUE(questions[[#This Row],[qno]]),VALUE(stable[qno]),0))</f>
        <v>0</v>
      </c>
      <c r="R1786" s="77" t="b" cm="1">
        <f t="array" ref="R1786">INDEX(stable[is_skip_logic],MATCH(VALUE(questions[[#This Row],[qno]]),VALUE(stable[qno]),0))</f>
        <v>1</v>
      </c>
      <c r="S1786" s="77" t="str">
        <f>_xlfn.TEXTJOIN(", ",TRUE,questions[[#This Row],[ans_opt_1]:[ans_opt_14]])</f>
        <v>Yes, No</v>
      </c>
      <c r="T1786" s="77" t="s">
        <v>149</v>
      </c>
      <c r="U1786" s="77" t="s">
        <v>119</v>
      </c>
      <c r="AH1786" s="98" t="b">
        <f>INDEX(stable[q_standard],MATCH(questions[[#This Row],[qno]],stable[qno],0))</f>
        <v>0</v>
      </c>
      <c r="AI1786" s="98" t="b">
        <f>INDEX(stable[q_living_income],MATCH(questions[[#This Row],[qno]],stable[qno],0))</f>
        <v>1</v>
      </c>
      <c r="AJ1786" s="98" t="b">
        <f>INDEX(stable[q_carbon],MATCH(questions[[#This Row],[qno]],stable[qno],0))</f>
        <v>0</v>
      </c>
      <c r="AK1786" s="98" t="b">
        <f>INDEX(stable[q_regen_ag],MATCH(questions[[#This Row],[qno]],stable[qno],0))</f>
        <v>0</v>
      </c>
      <c r="AL1786" s="98" t="b">
        <f>COUNTIFS(stable[qno],questions[[#This Row],[qno]])=1</f>
        <v>1</v>
      </c>
      <c r="AM1786" s="98" t="b">
        <f>OR(questions[[#This Row],[is_fixed]],questions[[#This Row],[is_localized]],questions[[#This Row],[is_supply_chain_dependent]])</f>
        <v>1</v>
      </c>
      <c r="AN1786" s="98" t="b">
        <f>COUNTIFS(questions[[#This Row],[is_automated]:[is_multi_select]],TRUE)=1</f>
        <v>1</v>
      </c>
      <c r="AO1786" s="98" t="b">
        <f>IF(questions[[#This Row],[is_fixed]],questions[[#This Row],[question]]=INDEX(stable[question],MATCH(questions[[#This Row],[qno]],stable[qno],0)),TRUE)</f>
        <v>0</v>
      </c>
      <c r="AP1786" s="98" t="str">
        <f>LEFT(questions[[#This Row],[question]],similarity_range)</f>
        <v>Did you organize the</v>
      </c>
      <c r="AQ1786" s="98" t="str">
        <f>LEFT(INDEX(stable[question],MATCH(questions[[#This Row],[qno]],stable[qno],0)),similarity_range)</f>
        <v>Did you organize the</v>
      </c>
      <c r="AR1786" s="98" t="b">
        <f>questions[[#This Row],[question_first_characters]]=questions[[#This Row],[stability_first_characters]]</f>
        <v>1</v>
      </c>
      <c r="AS1786" s="98" t="b">
        <f>IF(OR(questions[[#This Row],[is_single_select]],questions[[#This Row],[is_multi_select]]),NOT(ISBLANK(questions[[#This Row],[answer_opt_combined]])),TRUE)</f>
        <v>1</v>
      </c>
    </row>
    <row r="1787" spans="1:45" ht="15.75" customHeight="1" x14ac:dyDescent="0.25">
      <c r="A1787" s="9" t="str">
        <f>_xlfn.TEXTJOIN("_",TRUE,questions[[#This Row],[origin]:[qno]])</f>
        <v>Uganda_Robusta_2026_6401</v>
      </c>
      <c r="B1787" s="9" t="s">
        <v>511</v>
      </c>
      <c r="C1787" s="9" t="s">
        <v>674</v>
      </c>
      <c r="E1787" s="33">
        <v>2026</v>
      </c>
      <c r="F1787" s="24" t="s">
        <v>286</v>
      </c>
      <c r="G1787" s="15" t="s">
        <v>287</v>
      </c>
      <c r="H1787" s="9" t="str" cm="1">
        <f t="array" ref="H1787">INDEX(stableR[question],MATCH(VALUE(questions[[#This Row],[qno]]),VALUE(stableR[qno]),0))</f>
        <v>How many trips did you need to make last year?</v>
      </c>
      <c r="I1787" s="9" t="b" cm="1">
        <f t="array" ref="I1787">INDEX(stable[is_fixed],MATCH(VALUE(questions[[#This Row],[qno]]),VALUE(stable[qno]),0))</f>
        <v>1</v>
      </c>
      <c r="J1787" s="9" t="b" cm="1">
        <f t="array" ref="J1787">INDEX(stable[is_localized],MATCH(VALUE(questions[[#This Row],[qno]]),VALUE(stable[qno]),0))</f>
        <v>0</v>
      </c>
      <c r="K1787" s="9" t="b" cm="1">
        <f t="array" ref="K1787">INDEX(stable[is_supply_chain_dependent],MATCH(VALUE(questions[[#This Row],[qno]]),VALUE(stable[qno]),0))</f>
        <v>0</v>
      </c>
      <c r="L1787" s="9" t="b" cm="1">
        <f t="array" ref="L1787">INDEX(stable[is_mandatory],MATCH(VALUE(questions[[#This Row],[qno]]),VALUE(stable[qno]),0))</f>
        <v>0</v>
      </c>
      <c r="M1787" s="9" t="b" cm="1">
        <f t="array" ref="M1787">INDEX(stable[is_automated],MATCH(VALUE(questions[[#This Row],[qno]]),VALUE(stable[qno]),0))</f>
        <v>0</v>
      </c>
      <c r="N1787" s="9" t="b" cm="1">
        <f t="array" ref="N1787">INDEX(stable[is_free_text],MATCH(VALUE(questions[[#This Row],[qno]]),VALUE(stable[qno]),0))</f>
        <v>0</v>
      </c>
      <c r="O1787" s="9" t="b" cm="1">
        <f t="array" ref="O1787">INDEX(stable[is_numerical],MATCH(VALUE(questions[[#This Row],[qno]]),VALUE(stable[qno]),0))</f>
        <v>1</v>
      </c>
      <c r="P1787" s="9" t="b" cm="1">
        <f t="array" ref="P1787">INDEX(stable[is_single_select],MATCH(VALUE(questions[[#This Row],[qno]]),VALUE(stable[qno]),0))</f>
        <v>0</v>
      </c>
      <c r="Q1787" s="9" t="b" cm="1">
        <f t="array" ref="Q1787">INDEX(stable[is_multi_select],MATCH(VALUE(questions[[#This Row],[qno]]),VALUE(stable[qno]),0))</f>
        <v>0</v>
      </c>
      <c r="R1787" s="9" t="b" cm="1">
        <f t="array" ref="R1787">INDEX(stable[is_skip_logic],MATCH(VALUE(questions[[#This Row],[qno]]),VALUE(stable[qno]),0))</f>
        <v>1</v>
      </c>
      <c r="S1787" s="9" t="str">
        <f>_xlfn.TEXTJOIN(", ",TRUE,questions[[#This Row],[ans_opt_1]:[ans_opt_14]])</f>
        <v/>
      </c>
      <c r="AH1787" s="16" t="b">
        <f>INDEX(stable[q_standard],MATCH(questions[[#This Row],[qno]],stable[qno],0))</f>
        <v>0</v>
      </c>
      <c r="AI1787" s="16" t="b">
        <f>INDEX(stable[q_living_income],MATCH(questions[[#This Row],[qno]],stable[qno],0))</f>
        <v>1</v>
      </c>
      <c r="AJ1787" s="16" t="b">
        <f>INDEX(stable[q_carbon],MATCH(questions[[#This Row],[qno]],stable[qno],0))</f>
        <v>0</v>
      </c>
      <c r="AK1787" s="16" t="b">
        <f>INDEX(stable[q_regen_ag],MATCH(questions[[#This Row],[qno]],stable[qno],0))</f>
        <v>0</v>
      </c>
      <c r="AL1787" s="16" t="b">
        <f>COUNTIFS(stable[qno],questions[[#This Row],[qno]])=1</f>
        <v>1</v>
      </c>
      <c r="AM1787" s="16" t="b">
        <f>OR(questions[[#This Row],[is_fixed]],questions[[#This Row],[is_localized]],questions[[#This Row],[is_supply_chain_dependent]])</f>
        <v>1</v>
      </c>
      <c r="AN1787" s="16" t="b">
        <f>COUNTIFS(questions[[#This Row],[is_automated]:[is_multi_select]],TRUE)=1</f>
        <v>1</v>
      </c>
      <c r="AO1787" s="16" t="b">
        <f>IF(questions[[#This Row],[is_fixed]],questions[[#This Row],[question]]=INDEX(stable[question],MATCH(questions[[#This Row],[qno]],stable[qno],0)),TRUE)</f>
        <v>0</v>
      </c>
      <c r="AP1787" s="16" t="str">
        <f>LEFT(questions[[#This Row],[question]],similarity_range)</f>
        <v>If yes, how many tri</v>
      </c>
      <c r="AQ1787" s="16" t="str">
        <f>LEFT(INDEX(stable[question],MATCH(questions[[#This Row],[qno]],stable[qno],0)),similarity_range)</f>
        <v>If yes, how many tri</v>
      </c>
      <c r="AR1787" s="16" t="b">
        <f>questions[[#This Row],[question_first_characters]]=questions[[#This Row],[stability_first_characters]]</f>
        <v>1</v>
      </c>
      <c r="AS1787" s="16" t="b">
        <f>IF(OR(questions[[#This Row],[is_single_select]],questions[[#This Row],[is_multi_select]]),NOT(ISBLANK(questions[[#This Row],[answer_opt_combined]])),TRUE)</f>
        <v>1</v>
      </c>
    </row>
    <row r="1788" spans="1:45" ht="15.75" customHeight="1" x14ac:dyDescent="0.25">
      <c r="A1788" s="9" t="str">
        <f>_xlfn.TEXTJOIN("_",TRUE,questions[[#This Row],[origin]:[qno]])</f>
        <v>Uganda_Robusta_2026_6402</v>
      </c>
      <c r="B1788" s="9" t="s">
        <v>511</v>
      </c>
      <c r="C1788" s="9" t="s">
        <v>674</v>
      </c>
      <c r="E1788" s="33">
        <v>2026</v>
      </c>
      <c r="F1788" s="24" t="s">
        <v>288</v>
      </c>
      <c r="G1788" s="15" t="s">
        <v>289</v>
      </c>
      <c r="H1788" s="9" t="str" cm="1">
        <f t="array" ref="H1788">INDEX(stableR[question],MATCH(VALUE(questions[[#This Row],[qno]]),VALUE(stableR[qno]),0))</f>
        <v>What were the costs per trip (the costs you make your self, or what you pay to someone to do the transport for you)? (in local currency)</v>
      </c>
      <c r="I1788" s="9" t="b" cm="1">
        <f t="array" ref="I1788">INDEX(stable[is_fixed],MATCH(VALUE(questions[[#This Row],[qno]]),VALUE(stable[qno]),0))</f>
        <v>0</v>
      </c>
      <c r="J1788" s="9" t="b" cm="1">
        <f t="array" ref="J1788">INDEX(stable[is_localized],MATCH(VALUE(questions[[#This Row],[qno]]),VALUE(stable[qno]),0))</f>
        <v>1</v>
      </c>
      <c r="K1788" s="9" t="b" cm="1">
        <f t="array" ref="K1788">INDEX(stable[is_supply_chain_dependent],MATCH(VALUE(questions[[#This Row],[qno]]),VALUE(stable[qno]),0))</f>
        <v>0</v>
      </c>
      <c r="L1788" s="9" t="b" cm="1">
        <f t="array" ref="L1788">INDEX(stable[is_mandatory],MATCH(VALUE(questions[[#This Row],[qno]]),VALUE(stable[qno]),0))</f>
        <v>0</v>
      </c>
      <c r="M1788" s="9" t="b" cm="1">
        <f t="array" ref="M1788">INDEX(stable[is_automated],MATCH(VALUE(questions[[#This Row],[qno]]),VALUE(stable[qno]),0))</f>
        <v>0</v>
      </c>
      <c r="N1788" s="9" t="b" cm="1">
        <f t="array" ref="N1788">INDEX(stable[is_free_text],MATCH(VALUE(questions[[#This Row],[qno]]),VALUE(stable[qno]),0))</f>
        <v>0</v>
      </c>
      <c r="O1788" s="9" t="b" cm="1">
        <f t="array" ref="O1788">INDEX(stable[is_numerical],MATCH(VALUE(questions[[#This Row],[qno]]),VALUE(stable[qno]),0))</f>
        <v>1</v>
      </c>
      <c r="P1788" s="9" t="b" cm="1">
        <f t="array" ref="P1788">INDEX(stable[is_single_select],MATCH(VALUE(questions[[#This Row],[qno]]),VALUE(stable[qno]),0))</f>
        <v>0</v>
      </c>
      <c r="Q1788" s="9" t="b" cm="1">
        <f t="array" ref="Q1788">INDEX(stable[is_multi_select],MATCH(VALUE(questions[[#This Row],[qno]]),VALUE(stable[qno]),0))</f>
        <v>0</v>
      </c>
      <c r="R1788" s="9" t="b" cm="1">
        <f t="array" ref="R1788">INDEX(stable[is_skip_logic],MATCH(VALUE(questions[[#This Row],[qno]]),VALUE(stable[qno]),0))</f>
        <v>1</v>
      </c>
      <c r="S1788" s="9" t="str">
        <f>_xlfn.TEXTJOIN(", ",TRUE,questions[[#This Row],[ans_opt_1]:[ans_opt_14]])</f>
        <v/>
      </c>
      <c r="AH1788" s="16" t="b">
        <f>INDEX(stable[q_standard],MATCH(questions[[#This Row],[qno]],stable[qno],0))</f>
        <v>0</v>
      </c>
      <c r="AI1788" s="16" t="b">
        <f>INDEX(stable[q_living_income],MATCH(questions[[#This Row],[qno]],stable[qno],0))</f>
        <v>1</v>
      </c>
      <c r="AJ1788" s="16" t="b">
        <f>INDEX(stable[q_carbon],MATCH(questions[[#This Row],[qno]],stable[qno],0))</f>
        <v>0</v>
      </c>
      <c r="AK1788" s="16" t="b">
        <f>INDEX(stable[q_regen_ag],MATCH(questions[[#This Row],[qno]],stable[qno],0))</f>
        <v>0</v>
      </c>
      <c r="AL1788" s="16" t="b">
        <f>COUNTIFS(stable[qno],questions[[#This Row],[qno]])=1</f>
        <v>1</v>
      </c>
      <c r="AM1788" s="16" t="b">
        <f>OR(questions[[#This Row],[is_fixed]],questions[[#This Row],[is_localized]],questions[[#This Row],[is_supply_chain_dependent]])</f>
        <v>1</v>
      </c>
      <c r="AN1788" s="16" t="b">
        <f>COUNTIFS(questions[[#This Row],[is_automated]:[is_multi_select]],TRUE)=1</f>
        <v>1</v>
      </c>
      <c r="AO1788" s="16" t="b">
        <f>IF(questions[[#This Row],[is_fixed]],questions[[#This Row],[question]]=INDEX(stable[question],MATCH(questions[[#This Row],[qno]],stable[qno],0)),TRUE)</f>
        <v>1</v>
      </c>
      <c r="AP1788" s="16" t="str">
        <f>LEFT(questions[[#This Row],[question]],similarity_range)</f>
        <v>If yes, in general w</v>
      </c>
      <c r="AQ1788" s="16" t="str">
        <f>LEFT(INDEX(stable[question],MATCH(questions[[#This Row],[qno]],stable[qno],0)),similarity_range)</f>
        <v>If yes, in general w</v>
      </c>
      <c r="AR1788" s="16" t="b">
        <f>questions[[#This Row],[question_first_characters]]=questions[[#This Row],[stability_first_characters]]</f>
        <v>1</v>
      </c>
      <c r="AS1788" s="16" t="b">
        <f>IF(OR(questions[[#This Row],[is_single_select]],questions[[#This Row],[is_multi_select]]),NOT(ISBLANK(questions[[#This Row],[answer_opt_combined]])),TRUE)</f>
        <v>1</v>
      </c>
    </row>
    <row r="1789" spans="1:45" s="77" customFormat="1" ht="15.75" customHeight="1" x14ac:dyDescent="0.25">
      <c r="A1789" s="77" t="str">
        <f>_xlfn.TEXTJOIN("_",TRUE,questions[[#This Row],[origin]:[qno]])</f>
        <v>Uganda_Robusta_2026_6500</v>
      </c>
      <c r="B1789" s="77" t="s">
        <v>511</v>
      </c>
      <c r="C1789" s="77" t="s">
        <v>674</v>
      </c>
      <c r="E1789" s="77">
        <v>2026</v>
      </c>
      <c r="F1789" s="104" t="s">
        <v>290</v>
      </c>
      <c r="G1789" s="78" t="s">
        <v>291</v>
      </c>
      <c r="H1789" s="9" t="str" cm="1">
        <f t="array" ref="H1789">INDEX(stableR[question],MATCH(VALUE(questions[[#This Row],[qno]]),VALUE(stableR[qno]),0))</f>
        <v>What are your sources of income for the total household, from the farm and off-farm?</v>
      </c>
      <c r="I1789" s="9" t="b" cm="1">
        <f t="array" ref="I1789">INDEX(stable[is_fixed],MATCH(VALUE(questions[[#This Row],[qno]]),VALUE(stable[qno]),0))</f>
        <v>1</v>
      </c>
      <c r="J1789" s="9" t="b" cm="1">
        <f t="array" ref="J1789">INDEX(stable[is_localized],MATCH(VALUE(questions[[#This Row],[qno]]),VALUE(stable[qno]),0))</f>
        <v>0</v>
      </c>
      <c r="K1789" s="9" t="b" cm="1">
        <f t="array" ref="K1789">INDEX(stable[is_supply_chain_dependent],MATCH(VALUE(questions[[#This Row],[qno]]),VALUE(stable[qno]),0))</f>
        <v>0</v>
      </c>
      <c r="L1789" s="9" t="b" cm="1">
        <f t="array" ref="L1789">INDEX(stable[is_mandatory],MATCH(VALUE(questions[[#This Row],[qno]]),VALUE(stable[qno]),0))</f>
        <v>1</v>
      </c>
      <c r="M1789" s="9" t="b" cm="1">
        <f t="array" ref="M1789">INDEX(stable[is_automated],MATCH(VALUE(questions[[#This Row],[qno]]),VALUE(stable[qno]),0))</f>
        <v>0</v>
      </c>
      <c r="N1789" s="9" t="b" cm="1">
        <f t="array" ref="N1789">INDEX(stable[is_free_text],MATCH(VALUE(questions[[#This Row],[qno]]),VALUE(stable[qno]),0))</f>
        <v>0</v>
      </c>
      <c r="O1789" s="9" t="b" cm="1">
        <f t="array" ref="O1789">INDEX(stable[is_numerical],MATCH(VALUE(questions[[#This Row],[qno]]),VALUE(stable[qno]),0))</f>
        <v>0</v>
      </c>
      <c r="P1789" s="77" t="b" cm="1">
        <f t="array" ref="P1789">INDEX(stable[is_single_select],MATCH(VALUE(questions[[#This Row],[qno]]),VALUE(stable[qno]),0))</f>
        <v>0</v>
      </c>
      <c r="Q1789" s="77" t="b" cm="1">
        <f t="array" ref="Q1789">INDEX(stable[is_multi_select],MATCH(VALUE(questions[[#This Row],[qno]]),VALUE(stable[qno]),0))</f>
        <v>1</v>
      </c>
      <c r="R1789" s="77" t="b" cm="1">
        <f t="array" ref="R1789">INDEX(stable[is_skip_logic],MATCH(VALUE(questions[[#This Row],[qno]]),VALUE(stable[qno]),0))</f>
        <v>1</v>
      </c>
      <c r="S1789" s="77" t="str">
        <f>_xlfn.TEXTJOIN(", ",TRUE,questions[[#This Row],[ans_opt_1]:[ans_opt_14]])</f>
        <v>Coffee, Cropping, Livestock, Casual labor in agriculture, Casual labor off-farm, Other business, Salaried job, Pension, Remittances</v>
      </c>
      <c r="T1789" s="77" t="s">
        <v>292</v>
      </c>
      <c r="U1789" s="77" t="s">
        <v>293</v>
      </c>
      <c r="V1789" s="77" t="s">
        <v>294</v>
      </c>
      <c r="W1789" s="77" t="s">
        <v>295</v>
      </c>
      <c r="X1789" s="77" t="s">
        <v>296</v>
      </c>
      <c r="Y1789" s="77" t="s">
        <v>297</v>
      </c>
      <c r="Z1789" s="77" t="s">
        <v>298</v>
      </c>
      <c r="AA1789" s="77" t="s">
        <v>299</v>
      </c>
      <c r="AB1789" s="77" t="s">
        <v>300</v>
      </c>
      <c r="AH1789" s="98" t="b">
        <f>INDEX(stable[q_standard],MATCH(questions[[#This Row],[qno]],stable[qno],0))</f>
        <v>0</v>
      </c>
      <c r="AI1789" s="98" t="b">
        <f>INDEX(stable[q_living_income],MATCH(questions[[#This Row],[qno]],stable[qno],0))</f>
        <v>1</v>
      </c>
      <c r="AJ1789" s="98" t="b">
        <f>INDEX(stable[q_carbon],MATCH(questions[[#This Row],[qno]],stable[qno],0))</f>
        <v>0</v>
      </c>
      <c r="AK1789" s="98" t="b">
        <f>INDEX(stable[q_regen_ag],MATCH(questions[[#This Row],[qno]],stable[qno],0))</f>
        <v>0</v>
      </c>
      <c r="AL1789" s="98" t="b">
        <f>COUNTIFS(stable[qno],questions[[#This Row],[qno]])=1</f>
        <v>1</v>
      </c>
      <c r="AM1789" s="98" t="b">
        <f>OR(questions[[#This Row],[is_fixed]],questions[[#This Row],[is_localized]],questions[[#This Row],[is_supply_chain_dependent]])</f>
        <v>1</v>
      </c>
      <c r="AN1789" s="98" t="b">
        <f>COUNTIFS(questions[[#This Row],[is_automated]:[is_multi_select]],TRUE)=1</f>
        <v>1</v>
      </c>
      <c r="AO1789" s="98" t="b">
        <f>IF(questions[[#This Row],[is_fixed]],questions[[#This Row],[question]]=INDEX(stable[question],MATCH(questions[[#This Row],[qno]],stable[qno],0)),TRUE)</f>
        <v>1</v>
      </c>
      <c r="AP1789" s="98" t="str">
        <f>LEFT(questions[[#This Row],[question]],similarity_range)</f>
        <v>What are your source</v>
      </c>
      <c r="AQ1789" s="98" t="str">
        <f>LEFT(INDEX(stable[question],MATCH(questions[[#This Row],[qno]],stable[qno],0)),similarity_range)</f>
        <v>What are your source</v>
      </c>
      <c r="AR1789" s="98" t="b">
        <f>questions[[#This Row],[question_first_characters]]=questions[[#This Row],[stability_first_characters]]</f>
        <v>1</v>
      </c>
      <c r="AS1789" s="98" t="b">
        <f>IF(OR(questions[[#This Row],[is_single_select]],questions[[#This Row],[is_multi_select]]),NOT(ISBLANK(questions[[#This Row],[answer_opt_combined]])),TRUE)</f>
        <v>1</v>
      </c>
    </row>
    <row r="1790" spans="1:45" ht="15.75" customHeight="1" x14ac:dyDescent="0.25">
      <c r="A1790" s="9" t="str">
        <f>_xlfn.TEXTJOIN("_",TRUE,questions[[#This Row],[origin]:[qno]])</f>
        <v>Uganda_Robusta_2026_6501</v>
      </c>
      <c r="B1790" s="9" t="s">
        <v>511</v>
      </c>
      <c r="C1790" s="9" t="s">
        <v>674</v>
      </c>
      <c r="E1790" s="33">
        <v>2026</v>
      </c>
      <c r="F1790" s="24" t="s">
        <v>301</v>
      </c>
      <c r="G1790" s="15" t="s">
        <v>791</v>
      </c>
      <c r="H1790" s="9" t="str" cm="1">
        <f t="array" ref="H1790">INDEX(stableR[question],MATCH(VALUE(questions[[#This Row],[qno]]),VALUE(stableR[qno]),0))</f>
        <v>For each of the sources of income that you have, please estimate the importance in terms of income for last year, as compared to the total household income! (next questions)</v>
      </c>
      <c r="I1790" s="9" t="b" cm="1">
        <f t="array" ref="I1790">INDEX(stable[is_fixed],MATCH(VALUE(questions[[#This Row],[qno]]),VALUE(stable[qno]),0))</f>
        <v>1</v>
      </c>
      <c r="J1790" s="9" t="b" cm="1">
        <f t="array" ref="J1790">INDEX(stable[is_localized],MATCH(VALUE(questions[[#This Row],[qno]]),VALUE(stable[qno]),0))</f>
        <v>0</v>
      </c>
      <c r="K1790" s="9" t="b" cm="1">
        <f t="array" ref="K1790">INDEX(stable[is_supply_chain_dependent],MATCH(VALUE(questions[[#This Row],[qno]]),VALUE(stable[qno]),0))</f>
        <v>0</v>
      </c>
      <c r="L1790" s="9" t="b" cm="1">
        <f t="array" ref="L1790">INDEX(stable[is_mandatory],MATCH(VALUE(questions[[#This Row],[qno]]),VALUE(stable[qno]),0))</f>
        <v>1</v>
      </c>
      <c r="M1790" s="9" t="b" cm="1">
        <f t="array" ref="M1790">INDEX(stable[is_automated],MATCH(VALUE(questions[[#This Row],[qno]]),VALUE(stable[qno]),0))</f>
        <v>1</v>
      </c>
      <c r="N1790" s="9" t="b" cm="1">
        <f t="array" ref="N1790">INDEX(stable[is_free_text],MATCH(VALUE(questions[[#This Row],[qno]]),VALUE(stable[qno]),0))</f>
        <v>0</v>
      </c>
      <c r="O1790" s="9" t="b" cm="1">
        <f t="array" ref="O1790">INDEX(stable[is_numerical],MATCH(VALUE(questions[[#This Row],[qno]]),VALUE(stable[qno]),0))</f>
        <v>0</v>
      </c>
      <c r="P1790" s="9" t="b" cm="1">
        <f t="array" ref="P1790">INDEX(stable[is_single_select],MATCH(VALUE(questions[[#This Row],[qno]]),VALUE(stable[qno]),0))</f>
        <v>0</v>
      </c>
      <c r="Q1790" s="9" t="b" cm="1">
        <f t="array" ref="Q1790">INDEX(stable[is_multi_select],MATCH(VALUE(questions[[#This Row],[qno]]),VALUE(stable[qno]),0))</f>
        <v>0</v>
      </c>
      <c r="R1790" s="9" t="b" cm="1">
        <f t="array" ref="R1790">INDEX(stable[is_skip_logic],MATCH(VALUE(questions[[#This Row],[qno]]),VALUE(stable[qno]),0))</f>
        <v>0</v>
      </c>
      <c r="S1790" s="9" t="str">
        <f>_xlfn.TEXTJOIN(", ",TRUE,questions[[#This Row],[ans_opt_1]:[ans_opt_14]])</f>
        <v/>
      </c>
      <c r="AH1790" s="16" t="b">
        <f>INDEX(stable[q_standard],MATCH(questions[[#This Row],[qno]],stable[qno],0))</f>
        <v>0</v>
      </c>
      <c r="AI1790" s="16" t="b">
        <f>INDEX(stable[q_living_income],MATCH(questions[[#This Row],[qno]],stable[qno],0))</f>
        <v>1</v>
      </c>
      <c r="AJ1790" s="16" t="b">
        <f>INDEX(stable[q_carbon],MATCH(questions[[#This Row],[qno]],stable[qno],0))</f>
        <v>0</v>
      </c>
      <c r="AK1790" s="16" t="b">
        <f>INDEX(stable[q_regen_ag],MATCH(questions[[#This Row],[qno]],stable[qno],0))</f>
        <v>0</v>
      </c>
      <c r="AL1790" s="16" t="b">
        <f>COUNTIFS(stable[qno],questions[[#This Row],[qno]])=1</f>
        <v>1</v>
      </c>
      <c r="AM1790" s="16" t="b">
        <f>OR(questions[[#This Row],[is_fixed]],questions[[#This Row],[is_localized]],questions[[#This Row],[is_supply_chain_dependent]])</f>
        <v>1</v>
      </c>
      <c r="AN1790" s="16" t="b">
        <f>COUNTIFS(questions[[#This Row],[is_automated]:[is_multi_select]],TRUE)=1</f>
        <v>1</v>
      </c>
      <c r="AO1790" s="16" t="b">
        <f>IF(questions[[#This Row],[is_fixed]],questions[[#This Row],[question]]=INDEX(stable[question],MATCH(questions[[#This Row],[qno]],stable[qno],0)),TRUE)</f>
        <v>0</v>
      </c>
      <c r="AP1790" s="16" t="str">
        <f>LEFT(questions[[#This Row],[question]],similarity_range)</f>
        <v>For each of the sour</v>
      </c>
      <c r="AQ1790" s="16" t="str">
        <f>LEFT(INDEX(stable[question],MATCH(questions[[#This Row],[qno]],stable[qno],0)),similarity_range)</f>
        <v>For each of the sour</v>
      </c>
      <c r="AR1790" s="16" t="b">
        <f>questions[[#This Row],[question_first_characters]]=questions[[#This Row],[stability_first_characters]]</f>
        <v>1</v>
      </c>
      <c r="AS1790" s="16" t="b">
        <f>IF(OR(questions[[#This Row],[is_single_select]],questions[[#This Row],[is_multi_select]]),NOT(ISBLANK(questions[[#This Row],[answer_opt_combined]])),TRUE)</f>
        <v>1</v>
      </c>
    </row>
    <row r="1791" spans="1:45" s="77" customFormat="1" ht="15.75" customHeight="1" x14ac:dyDescent="0.25">
      <c r="A1791" s="77" t="str">
        <f>_xlfn.TEXTJOIN("_",TRUE,questions[[#This Row],[origin]:[qno]])</f>
        <v>Uganda_Robusta_2026_6510</v>
      </c>
      <c r="B1791" s="77" t="s">
        <v>511</v>
      </c>
      <c r="C1791" s="77" t="s">
        <v>674</v>
      </c>
      <c r="E1791" s="77">
        <v>2026</v>
      </c>
      <c r="F1791" s="104" t="s">
        <v>303</v>
      </c>
      <c r="G1791" s="78" t="s">
        <v>304</v>
      </c>
      <c r="H1791" s="9" t="str" cm="1">
        <f t="array" ref="H1791">INDEX(stableR[question],MATCH(VALUE(questions[[#This Row],[qno]]),VALUE(stableR[qno]),0))</f>
        <v>Coffee, what was the estimated importance?</v>
      </c>
      <c r="I1791" s="9" t="b" cm="1">
        <f t="array" ref="I1791">INDEX(stable[is_fixed],MATCH(VALUE(questions[[#This Row],[qno]]),VALUE(stable[qno]),0))</f>
        <v>1</v>
      </c>
      <c r="J1791" s="9" t="b" cm="1">
        <f t="array" ref="J1791">INDEX(stable[is_localized],MATCH(VALUE(questions[[#This Row],[qno]]),VALUE(stable[qno]),0))</f>
        <v>0</v>
      </c>
      <c r="K1791" s="9" t="b" cm="1">
        <f t="array" ref="K1791">INDEX(stable[is_supply_chain_dependent],MATCH(VALUE(questions[[#This Row],[qno]]),VALUE(stable[qno]),0))</f>
        <v>0</v>
      </c>
      <c r="L1791" s="9" t="b" cm="1">
        <f t="array" ref="L1791">INDEX(stable[is_mandatory],MATCH(VALUE(questions[[#This Row],[qno]]),VALUE(stable[qno]),0))</f>
        <v>0</v>
      </c>
      <c r="M1791" s="9" t="b" cm="1">
        <f t="array" ref="M1791">INDEX(stable[is_automated],MATCH(VALUE(questions[[#This Row],[qno]]),VALUE(stable[qno]),0))</f>
        <v>0</v>
      </c>
      <c r="N1791" s="9" t="b" cm="1">
        <f t="array" ref="N1791">INDEX(stable[is_free_text],MATCH(VALUE(questions[[#This Row],[qno]]),VALUE(stable[qno]),0))</f>
        <v>0</v>
      </c>
      <c r="O1791" s="9" t="b" cm="1">
        <f t="array" ref="O1791">INDEX(stable[is_numerical],MATCH(VALUE(questions[[#This Row],[qno]]),VALUE(stable[qno]),0))</f>
        <v>0</v>
      </c>
      <c r="P1791" s="77" t="b" cm="1">
        <f t="array" ref="P1791">INDEX(stable[is_single_select],MATCH(VALUE(questions[[#This Row],[qno]]),VALUE(stable[qno]),0))</f>
        <v>1</v>
      </c>
      <c r="Q1791" s="77" t="b" cm="1">
        <f t="array" ref="Q1791">INDEX(stable[is_multi_select],MATCH(VALUE(questions[[#This Row],[qno]]),VALUE(stable[qno]),0))</f>
        <v>0</v>
      </c>
      <c r="R1791" s="77" t="b" cm="1">
        <f t="array" ref="R1791">INDEX(stable[is_skip_logic],MATCH(VALUE(questions[[#This Row],[qno]]),VALUE(stable[qno]),0))</f>
        <v>0</v>
      </c>
      <c r="S1791" s="77" t="str">
        <f>_xlfn.TEXTJOIN(", ",TRUE,questions[[#This Row],[ans_opt_1]:[ans_opt_14]])</f>
        <v>All or nearly all - 80-100%, More than half of it  - 60-80%, About half of it - 40-60%, Less than half of it - 20-40%, A small amount - 0-20%</v>
      </c>
      <c r="T1791" s="77" t="s">
        <v>305</v>
      </c>
      <c r="U1791" s="77" t="s">
        <v>306</v>
      </c>
      <c r="V1791" s="77" t="s">
        <v>307</v>
      </c>
      <c r="W1791" s="77" t="s">
        <v>308</v>
      </c>
      <c r="X1791" s="77" t="s">
        <v>309</v>
      </c>
      <c r="AH1791" s="98" t="b">
        <f>INDEX(stable[q_standard],MATCH(questions[[#This Row],[qno]],stable[qno],0))</f>
        <v>0</v>
      </c>
      <c r="AI1791" s="98" t="b">
        <f>INDEX(stable[q_living_income],MATCH(questions[[#This Row],[qno]],stable[qno],0))</f>
        <v>1</v>
      </c>
      <c r="AJ1791" s="98" t="b">
        <f>INDEX(stable[q_carbon],MATCH(questions[[#This Row],[qno]],stable[qno],0))</f>
        <v>0</v>
      </c>
      <c r="AK1791" s="98" t="b">
        <f>INDEX(stable[q_regen_ag],MATCH(questions[[#This Row],[qno]],stable[qno],0))</f>
        <v>0</v>
      </c>
      <c r="AL1791" s="98" t="b">
        <f>COUNTIFS(stable[qno],questions[[#This Row],[qno]])=1</f>
        <v>1</v>
      </c>
      <c r="AM1791" s="98" t="b">
        <f>OR(questions[[#This Row],[is_fixed]],questions[[#This Row],[is_localized]],questions[[#This Row],[is_supply_chain_dependent]])</f>
        <v>1</v>
      </c>
      <c r="AN1791" s="98" t="b">
        <f>COUNTIFS(questions[[#This Row],[is_automated]:[is_multi_select]],TRUE)=1</f>
        <v>1</v>
      </c>
      <c r="AO1791" s="98" t="b">
        <f>IF(questions[[#This Row],[is_fixed]],questions[[#This Row],[question]]=INDEX(stable[question],MATCH(questions[[#This Row],[qno]],stable[qno],0)),TRUE)</f>
        <v>1</v>
      </c>
      <c r="AP1791" s="98" t="str">
        <f>LEFT(questions[[#This Row],[question]],similarity_range)</f>
        <v>Coffee, what was the</v>
      </c>
      <c r="AQ1791" s="98" t="str">
        <f>LEFT(INDEX(stable[question],MATCH(questions[[#This Row],[qno]],stable[qno],0)),similarity_range)</f>
        <v>Coffee, what was the</v>
      </c>
      <c r="AR1791" s="98" t="b">
        <f>questions[[#This Row],[question_first_characters]]=questions[[#This Row],[stability_first_characters]]</f>
        <v>1</v>
      </c>
      <c r="AS1791" s="98" t="b">
        <f>IF(OR(questions[[#This Row],[is_single_select]],questions[[#This Row],[is_multi_select]]),NOT(ISBLANK(questions[[#This Row],[answer_opt_combined]])),TRUE)</f>
        <v>1</v>
      </c>
    </row>
    <row r="1792" spans="1:45" s="77" customFormat="1" ht="15.75" customHeight="1" x14ac:dyDescent="0.25">
      <c r="A1792" s="77" t="str">
        <f>_xlfn.TEXTJOIN("_",TRUE,questions[[#This Row],[origin]:[qno]])</f>
        <v>Uganda_Robusta_2026_6511</v>
      </c>
      <c r="B1792" s="77" t="s">
        <v>511</v>
      </c>
      <c r="C1792" s="77" t="s">
        <v>674</v>
      </c>
      <c r="E1792" s="77">
        <v>2026</v>
      </c>
      <c r="F1792" s="104" t="s">
        <v>310</v>
      </c>
      <c r="G1792" s="78" t="s">
        <v>311</v>
      </c>
      <c r="H1792" s="9" t="str" cm="1">
        <f t="array" ref="H1792">INDEX(stableR[question],MATCH(VALUE(questions[[#This Row],[qno]]),VALUE(stableR[qno]),0))</f>
        <v>Cropping other than coffee, what was the estimated importance?</v>
      </c>
      <c r="I1792" s="9" t="b" cm="1">
        <f t="array" ref="I1792">INDEX(stable[is_fixed],MATCH(VALUE(questions[[#This Row],[qno]]),VALUE(stable[qno]),0))</f>
        <v>1</v>
      </c>
      <c r="J1792" s="9" t="b" cm="1">
        <f t="array" ref="J1792">INDEX(stable[is_localized],MATCH(VALUE(questions[[#This Row],[qno]]),VALUE(stable[qno]),0))</f>
        <v>0</v>
      </c>
      <c r="K1792" s="9" t="b" cm="1">
        <f t="array" ref="K1792">INDEX(stable[is_supply_chain_dependent],MATCH(VALUE(questions[[#This Row],[qno]]),VALUE(stable[qno]),0))</f>
        <v>0</v>
      </c>
      <c r="L1792" s="9" t="b" cm="1">
        <f t="array" ref="L1792">INDEX(stable[is_mandatory],MATCH(VALUE(questions[[#This Row],[qno]]),VALUE(stable[qno]),0))</f>
        <v>0</v>
      </c>
      <c r="M1792" s="9" t="b" cm="1">
        <f t="array" ref="M1792">INDEX(stable[is_automated],MATCH(VALUE(questions[[#This Row],[qno]]),VALUE(stable[qno]),0))</f>
        <v>0</v>
      </c>
      <c r="N1792" s="9" t="b" cm="1">
        <f t="array" ref="N1792">INDEX(stable[is_free_text],MATCH(VALUE(questions[[#This Row],[qno]]),VALUE(stable[qno]),0))</f>
        <v>0</v>
      </c>
      <c r="O1792" s="9" t="b" cm="1">
        <f t="array" ref="O1792">INDEX(stable[is_numerical],MATCH(VALUE(questions[[#This Row],[qno]]),VALUE(stable[qno]),0))</f>
        <v>0</v>
      </c>
      <c r="P1792" s="77" t="b" cm="1">
        <f t="array" ref="P1792">INDEX(stable[is_single_select],MATCH(VALUE(questions[[#This Row],[qno]]),VALUE(stable[qno]),0))</f>
        <v>1</v>
      </c>
      <c r="Q1792" s="77" t="b" cm="1">
        <f t="array" ref="Q1792">INDEX(stable[is_multi_select],MATCH(VALUE(questions[[#This Row],[qno]]),VALUE(stable[qno]),0))</f>
        <v>0</v>
      </c>
      <c r="R1792" s="77" t="b" cm="1">
        <f t="array" ref="R1792">INDEX(stable[is_skip_logic],MATCH(VALUE(questions[[#This Row],[qno]]),VALUE(stable[qno]),0))</f>
        <v>0</v>
      </c>
      <c r="S1792" s="77" t="str">
        <f>_xlfn.TEXTJOIN(", ",TRUE,questions[[#This Row],[ans_opt_1]:[ans_opt_14]])</f>
        <v>All or nearly all - 80-100%, More than half of it  - 60-80%, About half of it - 40-60%, Less than half of it - 20-40%, A small amount - 0-20%</v>
      </c>
      <c r="T1792" s="77" t="s">
        <v>305</v>
      </c>
      <c r="U1792" s="77" t="s">
        <v>306</v>
      </c>
      <c r="V1792" s="77" t="s">
        <v>307</v>
      </c>
      <c r="W1792" s="77" t="s">
        <v>308</v>
      </c>
      <c r="X1792" s="77" t="s">
        <v>309</v>
      </c>
      <c r="AH1792" s="98" t="b">
        <f>INDEX(stable[q_standard],MATCH(questions[[#This Row],[qno]],stable[qno],0))</f>
        <v>0</v>
      </c>
      <c r="AI1792" s="98" t="b">
        <f>INDEX(stable[q_living_income],MATCH(questions[[#This Row],[qno]],stable[qno],0))</f>
        <v>1</v>
      </c>
      <c r="AJ1792" s="98" t="b">
        <f>INDEX(stable[q_carbon],MATCH(questions[[#This Row],[qno]],stable[qno],0))</f>
        <v>0</v>
      </c>
      <c r="AK1792" s="98" t="b">
        <f>INDEX(stable[q_regen_ag],MATCH(questions[[#This Row],[qno]],stable[qno],0))</f>
        <v>0</v>
      </c>
      <c r="AL1792" s="98" t="b">
        <f>COUNTIFS(stable[qno],questions[[#This Row],[qno]])=1</f>
        <v>1</v>
      </c>
      <c r="AM1792" s="98" t="b">
        <f>OR(questions[[#This Row],[is_fixed]],questions[[#This Row],[is_localized]],questions[[#This Row],[is_supply_chain_dependent]])</f>
        <v>1</v>
      </c>
      <c r="AN1792" s="98" t="b">
        <f>COUNTIFS(questions[[#This Row],[is_automated]:[is_multi_select]],TRUE)=1</f>
        <v>1</v>
      </c>
      <c r="AO1792" s="98" t="b">
        <f>IF(questions[[#This Row],[is_fixed]],questions[[#This Row],[question]]=INDEX(stable[question],MATCH(questions[[#This Row],[qno]],stable[qno],0)),TRUE)</f>
        <v>1</v>
      </c>
      <c r="AP1792" s="98" t="str">
        <f>LEFT(questions[[#This Row],[question]],similarity_range)</f>
        <v xml:space="preserve">Cropping other than </v>
      </c>
      <c r="AQ1792" s="98" t="str">
        <f>LEFT(INDEX(stable[question],MATCH(questions[[#This Row],[qno]],stable[qno],0)),similarity_range)</f>
        <v xml:space="preserve">Cropping other than </v>
      </c>
      <c r="AR1792" s="98" t="b">
        <f>questions[[#This Row],[question_first_characters]]=questions[[#This Row],[stability_first_characters]]</f>
        <v>1</v>
      </c>
      <c r="AS1792" s="98" t="b">
        <f>IF(OR(questions[[#This Row],[is_single_select]],questions[[#This Row],[is_multi_select]]),NOT(ISBLANK(questions[[#This Row],[answer_opt_combined]])),TRUE)</f>
        <v>1</v>
      </c>
    </row>
    <row r="1793" spans="1:45" s="77" customFormat="1" ht="15.75" customHeight="1" x14ac:dyDescent="0.25">
      <c r="A1793" s="77" t="str">
        <f>_xlfn.TEXTJOIN("_",TRUE,questions[[#This Row],[origin]:[qno]])</f>
        <v>Uganda_Robusta_2026_6512</v>
      </c>
      <c r="B1793" s="77" t="s">
        <v>511</v>
      </c>
      <c r="C1793" s="77" t="s">
        <v>674</v>
      </c>
      <c r="E1793" s="77">
        <v>2026</v>
      </c>
      <c r="F1793" s="104" t="s">
        <v>312</v>
      </c>
      <c r="G1793" s="78" t="s">
        <v>313</v>
      </c>
      <c r="H1793" s="9" t="str" cm="1">
        <f t="array" ref="H1793">INDEX(stableR[question],MATCH(VALUE(questions[[#This Row],[qno]]),VALUE(stableR[qno]),0))</f>
        <v>Livestock, what was the estimated importance?</v>
      </c>
      <c r="I1793" s="9" t="b" cm="1">
        <f t="array" ref="I1793">INDEX(stable[is_fixed],MATCH(VALUE(questions[[#This Row],[qno]]),VALUE(stable[qno]),0))</f>
        <v>1</v>
      </c>
      <c r="J1793" s="9" t="b" cm="1">
        <f t="array" ref="J1793">INDEX(stable[is_localized],MATCH(VALUE(questions[[#This Row],[qno]]),VALUE(stable[qno]),0))</f>
        <v>0</v>
      </c>
      <c r="K1793" s="9" t="b" cm="1">
        <f t="array" ref="K1793">INDEX(stable[is_supply_chain_dependent],MATCH(VALUE(questions[[#This Row],[qno]]),VALUE(stable[qno]),0))</f>
        <v>0</v>
      </c>
      <c r="L1793" s="9" t="b" cm="1">
        <f t="array" ref="L1793">INDEX(stable[is_mandatory],MATCH(VALUE(questions[[#This Row],[qno]]),VALUE(stable[qno]),0))</f>
        <v>0</v>
      </c>
      <c r="M1793" s="9" t="b" cm="1">
        <f t="array" ref="M1793">INDEX(stable[is_automated],MATCH(VALUE(questions[[#This Row],[qno]]),VALUE(stable[qno]),0))</f>
        <v>0</v>
      </c>
      <c r="N1793" s="9" t="b" cm="1">
        <f t="array" ref="N1793">INDEX(stable[is_free_text],MATCH(VALUE(questions[[#This Row],[qno]]),VALUE(stable[qno]),0))</f>
        <v>0</v>
      </c>
      <c r="O1793" s="9" t="b" cm="1">
        <f t="array" ref="O1793">INDEX(stable[is_numerical],MATCH(VALUE(questions[[#This Row],[qno]]),VALUE(stable[qno]),0))</f>
        <v>0</v>
      </c>
      <c r="P1793" s="77" t="b" cm="1">
        <f t="array" ref="P1793">INDEX(stable[is_single_select],MATCH(VALUE(questions[[#This Row],[qno]]),VALUE(stable[qno]),0))</f>
        <v>1</v>
      </c>
      <c r="Q1793" s="77" t="b" cm="1">
        <f t="array" ref="Q1793">INDEX(stable[is_multi_select],MATCH(VALUE(questions[[#This Row],[qno]]),VALUE(stable[qno]),0))</f>
        <v>0</v>
      </c>
      <c r="R1793" s="77" t="b" cm="1">
        <f t="array" ref="R1793">INDEX(stable[is_skip_logic],MATCH(VALUE(questions[[#This Row],[qno]]),VALUE(stable[qno]),0))</f>
        <v>0</v>
      </c>
      <c r="S1793" s="77" t="str">
        <f>_xlfn.TEXTJOIN(", ",TRUE,questions[[#This Row],[ans_opt_1]:[ans_opt_14]])</f>
        <v>All or nearly all - 80-100%, More than half of it  - 60-80%, About half of it - 40-60%, Less than half of it - 20-40%, A small amount - 0-20%</v>
      </c>
      <c r="T1793" s="77" t="s">
        <v>305</v>
      </c>
      <c r="U1793" s="77" t="s">
        <v>306</v>
      </c>
      <c r="V1793" s="77" t="s">
        <v>307</v>
      </c>
      <c r="W1793" s="77" t="s">
        <v>308</v>
      </c>
      <c r="X1793" s="77" t="s">
        <v>309</v>
      </c>
      <c r="AH1793" s="98" t="b">
        <f>INDEX(stable[q_standard],MATCH(questions[[#This Row],[qno]],stable[qno],0))</f>
        <v>0</v>
      </c>
      <c r="AI1793" s="98" t="b">
        <f>INDEX(stable[q_living_income],MATCH(questions[[#This Row],[qno]],stable[qno],0))</f>
        <v>1</v>
      </c>
      <c r="AJ1793" s="98" t="b">
        <f>INDEX(stable[q_carbon],MATCH(questions[[#This Row],[qno]],stable[qno],0))</f>
        <v>0</v>
      </c>
      <c r="AK1793" s="98" t="b">
        <f>INDEX(stable[q_regen_ag],MATCH(questions[[#This Row],[qno]],stable[qno],0))</f>
        <v>0</v>
      </c>
      <c r="AL1793" s="98" t="b">
        <f>COUNTIFS(stable[qno],questions[[#This Row],[qno]])=1</f>
        <v>1</v>
      </c>
      <c r="AM1793" s="98" t="b">
        <f>OR(questions[[#This Row],[is_fixed]],questions[[#This Row],[is_localized]],questions[[#This Row],[is_supply_chain_dependent]])</f>
        <v>1</v>
      </c>
      <c r="AN1793" s="98" t="b">
        <f>COUNTIFS(questions[[#This Row],[is_automated]:[is_multi_select]],TRUE)=1</f>
        <v>1</v>
      </c>
      <c r="AO1793" s="98" t="b">
        <f>IF(questions[[#This Row],[is_fixed]],questions[[#This Row],[question]]=INDEX(stable[question],MATCH(questions[[#This Row],[qno]],stable[qno],0)),TRUE)</f>
        <v>1</v>
      </c>
      <c r="AP1793" s="98" t="str">
        <f>LEFT(questions[[#This Row],[question]],similarity_range)</f>
        <v xml:space="preserve">Livestock, what was </v>
      </c>
      <c r="AQ1793" s="98" t="str">
        <f>LEFT(INDEX(stable[question],MATCH(questions[[#This Row],[qno]],stable[qno],0)),similarity_range)</f>
        <v xml:space="preserve">Livestock, what was </v>
      </c>
      <c r="AR1793" s="98" t="b">
        <f>questions[[#This Row],[question_first_characters]]=questions[[#This Row],[stability_first_characters]]</f>
        <v>1</v>
      </c>
      <c r="AS1793" s="98" t="b">
        <f>IF(OR(questions[[#This Row],[is_single_select]],questions[[#This Row],[is_multi_select]]),NOT(ISBLANK(questions[[#This Row],[answer_opt_combined]])),TRUE)</f>
        <v>1</v>
      </c>
    </row>
    <row r="1794" spans="1:45" s="77" customFormat="1" ht="15.75" customHeight="1" x14ac:dyDescent="0.25">
      <c r="A1794" s="77" t="str">
        <f>_xlfn.TEXTJOIN("_",TRUE,questions[[#This Row],[origin]:[qno]])</f>
        <v>Uganda_Robusta_2026_6513</v>
      </c>
      <c r="B1794" s="77" t="s">
        <v>511</v>
      </c>
      <c r="C1794" s="77" t="s">
        <v>674</v>
      </c>
      <c r="E1794" s="77">
        <v>2026</v>
      </c>
      <c r="F1794" s="104" t="s">
        <v>314</v>
      </c>
      <c r="G1794" s="78" t="s">
        <v>315</v>
      </c>
      <c r="H1794" s="9" t="str" cm="1">
        <f t="array" ref="H1794">INDEX(stableR[question],MATCH(VALUE(questions[[#This Row],[qno]]),VALUE(stableR[qno]),0))</f>
        <v>Casual labor on other peoples farm, what was the estimated importance?</v>
      </c>
      <c r="I1794" s="9" t="b" cm="1">
        <f t="array" ref="I1794">INDEX(stable[is_fixed],MATCH(VALUE(questions[[#This Row],[qno]]),VALUE(stable[qno]),0))</f>
        <v>1</v>
      </c>
      <c r="J1794" s="9" t="b" cm="1">
        <f t="array" ref="J1794">INDEX(stable[is_localized],MATCH(VALUE(questions[[#This Row],[qno]]),VALUE(stable[qno]),0))</f>
        <v>0</v>
      </c>
      <c r="K1794" s="9" t="b" cm="1">
        <f t="array" ref="K1794">INDEX(stable[is_supply_chain_dependent],MATCH(VALUE(questions[[#This Row],[qno]]),VALUE(stable[qno]),0))</f>
        <v>0</v>
      </c>
      <c r="L1794" s="9" t="b" cm="1">
        <f t="array" ref="L1794">INDEX(stable[is_mandatory],MATCH(VALUE(questions[[#This Row],[qno]]),VALUE(stable[qno]),0))</f>
        <v>0</v>
      </c>
      <c r="M1794" s="9" t="b" cm="1">
        <f t="array" ref="M1794">INDEX(stable[is_automated],MATCH(VALUE(questions[[#This Row],[qno]]),VALUE(stable[qno]),0))</f>
        <v>0</v>
      </c>
      <c r="N1794" s="9" t="b" cm="1">
        <f t="array" ref="N1794">INDEX(stable[is_free_text],MATCH(VALUE(questions[[#This Row],[qno]]),VALUE(stable[qno]),0))</f>
        <v>0</v>
      </c>
      <c r="O1794" s="9" t="b" cm="1">
        <f t="array" ref="O1794">INDEX(stable[is_numerical],MATCH(VALUE(questions[[#This Row],[qno]]),VALUE(stable[qno]),0))</f>
        <v>0</v>
      </c>
      <c r="P1794" s="77" t="b" cm="1">
        <f t="array" ref="P1794">INDEX(stable[is_single_select],MATCH(VALUE(questions[[#This Row],[qno]]),VALUE(stable[qno]),0))</f>
        <v>1</v>
      </c>
      <c r="Q1794" s="77" t="b" cm="1">
        <f t="array" ref="Q1794">INDEX(stable[is_multi_select],MATCH(VALUE(questions[[#This Row],[qno]]),VALUE(stable[qno]),0))</f>
        <v>0</v>
      </c>
      <c r="R1794" s="77" t="b" cm="1">
        <f t="array" ref="R1794">INDEX(stable[is_skip_logic],MATCH(VALUE(questions[[#This Row],[qno]]),VALUE(stable[qno]),0))</f>
        <v>0</v>
      </c>
      <c r="S1794" s="77" t="str">
        <f>_xlfn.TEXTJOIN(", ",TRUE,questions[[#This Row],[ans_opt_1]:[ans_opt_14]])</f>
        <v>All or nearly all - 80-100%, More than half of it  - 60-80%, About half of it - 40-60%, Less than half of it - 20-40%, A small amount - 0-20%</v>
      </c>
      <c r="T1794" s="77" t="s">
        <v>305</v>
      </c>
      <c r="U1794" s="77" t="s">
        <v>306</v>
      </c>
      <c r="V1794" s="77" t="s">
        <v>307</v>
      </c>
      <c r="W1794" s="77" t="s">
        <v>308</v>
      </c>
      <c r="X1794" s="77" t="s">
        <v>309</v>
      </c>
      <c r="AH1794" s="98" t="b">
        <f>INDEX(stable[q_standard],MATCH(questions[[#This Row],[qno]],stable[qno],0))</f>
        <v>0</v>
      </c>
      <c r="AI1794" s="98" t="b">
        <f>INDEX(stable[q_living_income],MATCH(questions[[#This Row],[qno]],stable[qno],0))</f>
        <v>1</v>
      </c>
      <c r="AJ1794" s="98" t="b">
        <f>INDEX(stable[q_carbon],MATCH(questions[[#This Row],[qno]],stable[qno],0))</f>
        <v>0</v>
      </c>
      <c r="AK1794" s="98" t="b">
        <f>INDEX(stable[q_regen_ag],MATCH(questions[[#This Row],[qno]],stable[qno],0))</f>
        <v>0</v>
      </c>
      <c r="AL1794" s="98" t="b">
        <f>COUNTIFS(stable[qno],questions[[#This Row],[qno]])=1</f>
        <v>1</v>
      </c>
      <c r="AM1794" s="98" t="b">
        <f>OR(questions[[#This Row],[is_fixed]],questions[[#This Row],[is_localized]],questions[[#This Row],[is_supply_chain_dependent]])</f>
        <v>1</v>
      </c>
      <c r="AN1794" s="98" t="b">
        <f>COUNTIFS(questions[[#This Row],[is_automated]:[is_multi_select]],TRUE)=1</f>
        <v>1</v>
      </c>
      <c r="AO1794" s="98" t="b">
        <f>IF(questions[[#This Row],[is_fixed]],questions[[#This Row],[question]]=INDEX(stable[question],MATCH(questions[[#This Row],[qno]],stable[qno],0)),TRUE)</f>
        <v>1</v>
      </c>
      <c r="AP1794" s="98" t="str">
        <f>LEFT(questions[[#This Row],[question]],similarity_range)</f>
        <v>Casual labor on othe</v>
      </c>
      <c r="AQ1794" s="98" t="str">
        <f>LEFT(INDEX(stable[question],MATCH(questions[[#This Row],[qno]],stable[qno],0)),similarity_range)</f>
        <v>Casual labor on othe</v>
      </c>
      <c r="AR1794" s="98" t="b">
        <f>questions[[#This Row],[question_first_characters]]=questions[[#This Row],[stability_first_characters]]</f>
        <v>1</v>
      </c>
      <c r="AS1794" s="98" t="b">
        <f>IF(OR(questions[[#This Row],[is_single_select]],questions[[#This Row],[is_multi_select]]),NOT(ISBLANK(questions[[#This Row],[answer_opt_combined]])),TRUE)</f>
        <v>1</v>
      </c>
    </row>
    <row r="1795" spans="1:45" s="77" customFormat="1" ht="15.75" customHeight="1" x14ac:dyDescent="0.25">
      <c r="A1795" s="77" t="str">
        <f>_xlfn.TEXTJOIN("_",TRUE,questions[[#This Row],[origin]:[qno]])</f>
        <v>Uganda_Robusta_2026_6514</v>
      </c>
      <c r="B1795" s="77" t="s">
        <v>511</v>
      </c>
      <c r="C1795" s="77" t="s">
        <v>674</v>
      </c>
      <c r="E1795" s="77">
        <v>2026</v>
      </c>
      <c r="F1795" s="104" t="s">
        <v>316</v>
      </c>
      <c r="G1795" s="78" t="s">
        <v>317</v>
      </c>
      <c r="H1795" s="9" t="str" cm="1">
        <f t="array" ref="H1795">INDEX(stableR[question],MATCH(VALUE(questions[[#This Row],[qno]]),VALUE(stableR[qno]),0))</f>
        <v>Casual labor off-farm, what was the estimated importance?</v>
      </c>
      <c r="I1795" s="9" t="b" cm="1">
        <f t="array" ref="I1795">INDEX(stable[is_fixed],MATCH(VALUE(questions[[#This Row],[qno]]),VALUE(stable[qno]),0))</f>
        <v>1</v>
      </c>
      <c r="J1795" s="9" t="b" cm="1">
        <f t="array" ref="J1795">INDEX(stable[is_localized],MATCH(VALUE(questions[[#This Row],[qno]]),VALUE(stable[qno]),0))</f>
        <v>0</v>
      </c>
      <c r="K1795" s="9" t="b" cm="1">
        <f t="array" ref="K1795">INDEX(stable[is_supply_chain_dependent],MATCH(VALUE(questions[[#This Row],[qno]]),VALUE(stable[qno]),0))</f>
        <v>0</v>
      </c>
      <c r="L1795" s="9" t="b" cm="1">
        <f t="array" ref="L1795">INDEX(stable[is_mandatory],MATCH(VALUE(questions[[#This Row],[qno]]),VALUE(stable[qno]),0))</f>
        <v>0</v>
      </c>
      <c r="M1795" s="9" t="b" cm="1">
        <f t="array" ref="M1795">INDEX(stable[is_automated],MATCH(VALUE(questions[[#This Row],[qno]]),VALUE(stable[qno]),0))</f>
        <v>0</v>
      </c>
      <c r="N1795" s="9" t="b" cm="1">
        <f t="array" ref="N1795">INDEX(stable[is_free_text],MATCH(VALUE(questions[[#This Row],[qno]]),VALUE(stable[qno]),0))</f>
        <v>0</v>
      </c>
      <c r="O1795" s="9" t="b" cm="1">
        <f t="array" ref="O1795">INDEX(stable[is_numerical],MATCH(VALUE(questions[[#This Row],[qno]]),VALUE(stable[qno]),0))</f>
        <v>0</v>
      </c>
      <c r="P1795" s="77" t="b" cm="1">
        <f t="array" ref="P1795">INDEX(stable[is_single_select],MATCH(VALUE(questions[[#This Row],[qno]]),VALUE(stable[qno]),0))</f>
        <v>1</v>
      </c>
      <c r="Q1795" s="77" t="b" cm="1">
        <f t="array" ref="Q1795">INDEX(stable[is_multi_select],MATCH(VALUE(questions[[#This Row],[qno]]),VALUE(stable[qno]),0))</f>
        <v>0</v>
      </c>
      <c r="R1795" s="77" t="b" cm="1">
        <f t="array" ref="R1795">INDEX(stable[is_skip_logic],MATCH(VALUE(questions[[#This Row],[qno]]),VALUE(stable[qno]),0))</f>
        <v>0</v>
      </c>
      <c r="S1795" s="77" t="str">
        <f>_xlfn.TEXTJOIN(", ",TRUE,questions[[#This Row],[ans_opt_1]:[ans_opt_14]])</f>
        <v>All or nearly all - 80-100%, More than half of it  - 60-80%, About half of it - 40-60%, Less than half of it - 20-40%, A small amount - 0-20%</v>
      </c>
      <c r="T1795" s="77" t="s">
        <v>305</v>
      </c>
      <c r="U1795" s="77" t="s">
        <v>306</v>
      </c>
      <c r="V1795" s="77" t="s">
        <v>307</v>
      </c>
      <c r="W1795" s="77" t="s">
        <v>308</v>
      </c>
      <c r="X1795" s="77" t="s">
        <v>309</v>
      </c>
      <c r="AH1795" s="98" t="b">
        <f>INDEX(stable[q_standard],MATCH(questions[[#This Row],[qno]],stable[qno],0))</f>
        <v>0</v>
      </c>
      <c r="AI1795" s="98" t="b">
        <f>INDEX(stable[q_living_income],MATCH(questions[[#This Row],[qno]],stable[qno],0))</f>
        <v>1</v>
      </c>
      <c r="AJ1795" s="98" t="b">
        <f>INDEX(stable[q_carbon],MATCH(questions[[#This Row],[qno]],stable[qno],0))</f>
        <v>0</v>
      </c>
      <c r="AK1795" s="98" t="b">
        <f>INDEX(stable[q_regen_ag],MATCH(questions[[#This Row],[qno]],stable[qno],0))</f>
        <v>0</v>
      </c>
      <c r="AL1795" s="98" t="b">
        <f>COUNTIFS(stable[qno],questions[[#This Row],[qno]])=1</f>
        <v>1</v>
      </c>
      <c r="AM1795" s="98" t="b">
        <f>OR(questions[[#This Row],[is_fixed]],questions[[#This Row],[is_localized]],questions[[#This Row],[is_supply_chain_dependent]])</f>
        <v>1</v>
      </c>
      <c r="AN1795" s="98" t="b">
        <f>COUNTIFS(questions[[#This Row],[is_automated]:[is_multi_select]],TRUE)=1</f>
        <v>1</v>
      </c>
      <c r="AO1795" s="98" t="b">
        <f>IF(questions[[#This Row],[is_fixed]],questions[[#This Row],[question]]=INDEX(stable[question],MATCH(questions[[#This Row],[qno]],stable[qno],0)),TRUE)</f>
        <v>1</v>
      </c>
      <c r="AP1795" s="98" t="str">
        <f>LEFT(questions[[#This Row],[question]],similarity_range)</f>
        <v>Casual labor off-far</v>
      </c>
      <c r="AQ1795" s="98" t="str">
        <f>LEFT(INDEX(stable[question],MATCH(questions[[#This Row],[qno]],stable[qno],0)),similarity_range)</f>
        <v>Casual labor off-far</v>
      </c>
      <c r="AR1795" s="98" t="b">
        <f>questions[[#This Row],[question_first_characters]]=questions[[#This Row],[stability_first_characters]]</f>
        <v>1</v>
      </c>
      <c r="AS1795" s="98" t="b">
        <f>IF(OR(questions[[#This Row],[is_single_select]],questions[[#This Row],[is_multi_select]]),NOT(ISBLANK(questions[[#This Row],[answer_opt_combined]])),TRUE)</f>
        <v>1</v>
      </c>
    </row>
    <row r="1796" spans="1:45" s="77" customFormat="1" ht="15.75" customHeight="1" x14ac:dyDescent="0.25">
      <c r="A1796" s="77" t="str">
        <f>_xlfn.TEXTJOIN("_",TRUE,questions[[#This Row],[origin]:[qno]])</f>
        <v>Uganda_Robusta_2026_6515</v>
      </c>
      <c r="B1796" s="77" t="s">
        <v>511</v>
      </c>
      <c r="C1796" s="77" t="s">
        <v>674</v>
      </c>
      <c r="E1796" s="77">
        <v>2026</v>
      </c>
      <c r="F1796" s="104" t="s">
        <v>318</v>
      </c>
      <c r="G1796" s="78" t="s">
        <v>319</v>
      </c>
      <c r="H1796" s="9" t="str" cm="1">
        <f t="array" ref="H1796">INDEX(stableR[question],MATCH(VALUE(questions[[#This Row],[qno]]),VALUE(stableR[qno]),0))</f>
        <v>Other business, what was the estimated importance?</v>
      </c>
      <c r="I1796" s="9" t="b" cm="1">
        <f t="array" ref="I1796">INDEX(stable[is_fixed],MATCH(VALUE(questions[[#This Row],[qno]]),VALUE(stable[qno]),0))</f>
        <v>1</v>
      </c>
      <c r="J1796" s="9" t="b" cm="1">
        <f t="array" ref="J1796">INDEX(stable[is_localized],MATCH(VALUE(questions[[#This Row],[qno]]),VALUE(stable[qno]),0))</f>
        <v>0</v>
      </c>
      <c r="K1796" s="9" t="b" cm="1">
        <f t="array" ref="K1796">INDEX(stable[is_supply_chain_dependent],MATCH(VALUE(questions[[#This Row],[qno]]),VALUE(stable[qno]),0))</f>
        <v>0</v>
      </c>
      <c r="L1796" s="9" t="b" cm="1">
        <f t="array" ref="L1796">INDEX(stable[is_mandatory],MATCH(VALUE(questions[[#This Row],[qno]]),VALUE(stable[qno]),0))</f>
        <v>0</v>
      </c>
      <c r="M1796" s="9" t="b" cm="1">
        <f t="array" ref="M1796">INDEX(stable[is_automated],MATCH(VALUE(questions[[#This Row],[qno]]),VALUE(stable[qno]),0))</f>
        <v>0</v>
      </c>
      <c r="N1796" s="9" t="b" cm="1">
        <f t="array" ref="N1796">INDEX(stable[is_free_text],MATCH(VALUE(questions[[#This Row],[qno]]),VALUE(stable[qno]),0))</f>
        <v>0</v>
      </c>
      <c r="O1796" s="9" t="b" cm="1">
        <f t="array" ref="O1796">INDEX(stable[is_numerical],MATCH(VALUE(questions[[#This Row],[qno]]),VALUE(stable[qno]),0))</f>
        <v>0</v>
      </c>
      <c r="P1796" s="77" t="b" cm="1">
        <f t="array" ref="P1796">INDEX(stable[is_single_select],MATCH(VALUE(questions[[#This Row],[qno]]),VALUE(stable[qno]),0))</f>
        <v>1</v>
      </c>
      <c r="Q1796" s="77" t="b" cm="1">
        <f t="array" ref="Q1796">INDEX(stable[is_multi_select],MATCH(VALUE(questions[[#This Row],[qno]]),VALUE(stable[qno]),0))</f>
        <v>0</v>
      </c>
      <c r="R1796" s="77" t="b" cm="1">
        <f t="array" ref="R1796">INDEX(stable[is_skip_logic],MATCH(VALUE(questions[[#This Row],[qno]]),VALUE(stable[qno]),0))</f>
        <v>0</v>
      </c>
      <c r="S1796" s="77" t="str">
        <f>_xlfn.TEXTJOIN(", ",TRUE,questions[[#This Row],[ans_opt_1]:[ans_opt_14]])</f>
        <v>All or nearly all - 80-100%, More than half of it  - 60-80%, About half of it - 40-60%, Less than half of it - 20-40%, A small amount - 0-20%</v>
      </c>
      <c r="T1796" s="77" t="s">
        <v>305</v>
      </c>
      <c r="U1796" s="77" t="s">
        <v>306</v>
      </c>
      <c r="V1796" s="77" t="s">
        <v>307</v>
      </c>
      <c r="W1796" s="77" t="s">
        <v>308</v>
      </c>
      <c r="X1796" s="77" t="s">
        <v>309</v>
      </c>
      <c r="AH1796" s="98" t="b">
        <f>INDEX(stable[q_standard],MATCH(questions[[#This Row],[qno]],stable[qno],0))</f>
        <v>0</v>
      </c>
      <c r="AI1796" s="98" t="b">
        <f>INDEX(stable[q_living_income],MATCH(questions[[#This Row],[qno]],stable[qno],0))</f>
        <v>1</v>
      </c>
      <c r="AJ1796" s="98" t="b">
        <f>INDEX(stable[q_carbon],MATCH(questions[[#This Row],[qno]],stable[qno],0))</f>
        <v>0</v>
      </c>
      <c r="AK1796" s="98" t="b">
        <f>INDEX(stable[q_regen_ag],MATCH(questions[[#This Row],[qno]],stable[qno],0))</f>
        <v>0</v>
      </c>
      <c r="AL1796" s="98" t="b">
        <f>COUNTIFS(stable[qno],questions[[#This Row],[qno]])=1</f>
        <v>1</v>
      </c>
      <c r="AM1796" s="98" t="b">
        <f>OR(questions[[#This Row],[is_fixed]],questions[[#This Row],[is_localized]],questions[[#This Row],[is_supply_chain_dependent]])</f>
        <v>1</v>
      </c>
      <c r="AN1796" s="98" t="b">
        <f>COUNTIFS(questions[[#This Row],[is_automated]:[is_multi_select]],TRUE)=1</f>
        <v>1</v>
      </c>
      <c r="AO1796" s="98" t="b">
        <f>IF(questions[[#This Row],[is_fixed]],questions[[#This Row],[question]]=INDEX(stable[question],MATCH(questions[[#This Row],[qno]],stable[qno],0)),TRUE)</f>
        <v>1</v>
      </c>
      <c r="AP1796" s="98" t="str">
        <f>LEFT(questions[[#This Row],[question]],similarity_range)</f>
        <v>Other business, what</v>
      </c>
      <c r="AQ1796" s="98" t="str">
        <f>LEFT(INDEX(stable[question],MATCH(questions[[#This Row],[qno]],stable[qno],0)),similarity_range)</f>
        <v>Other business, what</v>
      </c>
      <c r="AR1796" s="98" t="b">
        <f>questions[[#This Row],[question_first_characters]]=questions[[#This Row],[stability_first_characters]]</f>
        <v>1</v>
      </c>
      <c r="AS1796" s="98" t="b">
        <f>IF(OR(questions[[#This Row],[is_single_select]],questions[[#This Row],[is_multi_select]]),NOT(ISBLANK(questions[[#This Row],[answer_opt_combined]])),TRUE)</f>
        <v>1</v>
      </c>
    </row>
    <row r="1797" spans="1:45" s="77" customFormat="1" ht="15.75" customHeight="1" x14ac:dyDescent="0.25">
      <c r="A1797" s="77" t="str">
        <f>_xlfn.TEXTJOIN("_",TRUE,questions[[#This Row],[origin]:[qno]])</f>
        <v>Uganda_Robusta_2026_6516</v>
      </c>
      <c r="B1797" s="77" t="s">
        <v>511</v>
      </c>
      <c r="C1797" s="77" t="s">
        <v>674</v>
      </c>
      <c r="E1797" s="77">
        <v>2026</v>
      </c>
      <c r="F1797" s="104" t="s">
        <v>320</v>
      </c>
      <c r="G1797" s="78" t="s">
        <v>321</v>
      </c>
      <c r="H1797" s="9" t="str" cm="1">
        <f t="array" ref="H1797">INDEX(stableR[question],MATCH(VALUE(questions[[#This Row],[qno]]),VALUE(stableR[qno]),0))</f>
        <v>Salaried job, what was the estimated importance?</v>
      </c>
      <c r="I1797" s="9" t="b" cm="1">
        <f t="array" ref="I1797">INDEX(stable[is_fixed],MATCH(VALUE(questions[[#This Row],[qno]]),VALUE(stable[qno]),0))</f>
        <v>1</v>
      </c>
      <c r="J1797" s="9" t="b" cm="1">
        <f t="array" ref="J1797">INDEX(stable[is_localized],MATCH(VALUE(questions[[#This Row],[qno]]),VALUE(stable[qno]),0))</f>
        <v>0</v>
      </c>
      <c r="K1797" s="9" t="b" cm="1">
        <f t="array" ref="K1797">INDEX(stable[is_supply_chain_dependent],MATCH(VALUE(questions[[#This Row],[qno]]),VALUE(stable[qno]),0))</f>
        <v>0</v>
      </c>
      <c r="L1797" s="9" t="b" cm="1">
        <f t="array" ref="L1797">INDEX(stable[is_mandatory],MATCH(VALUE(questions[[#This Row],[qno]]),VALUE(stable[qno]),0))</f>
        <v>0</v>
      </c>
      <c r="M1797" s="9" t="b" cm="1">
        <f t="array" ref="M1797">INDEX(stable[is_automated],MATCH(VALUE(questions[[#This Row],[qno]]),VALUE(stable[qno]),0))</f>
        <v>0</v>
      </c>
      <c r="N1797" s="9" t="b" cm="1">
        <f t="array" ref="N1797">INDEX(stable[is_free_text],MATCH(VALUE(questions[[#This Row],[qno]]),VALUE(stable[qno]),0))</f>
        <v>0</v>
      </c>
      <c r="O1797" s="9" t="b" cm="1">
        <f t="array" ref="O1797">INDEX(stable[is_numerical],MATCH(VALUE(questions[[#This Row],[qno]]),VALUE(stable[qno]),0))</f>
        <v>0</v>
      </c>
      <c r="P1797" s="77" t="b" cm="1">
        <f t="array" ref="P1797">INDEX(stable[is_single_select],MATCH(VALUE(questions[[#This Row],[qno]]),VALUE(stable[qno]),0))</f>
        <v>1</v>
      </c>
      <c r="Q1797" s="77" t="b" cm="1">
        <f t="array" ref="Q1797">INDEX(stable[is_multi_select],MATCH(VALUE(questions[[#This Row],[qno]]),VALUE(stable[qno]),0))</f>
        <v>0</v>
      </c>
      <c r="R1797" s="77" t="b" cm="1">
        <f t="array" ref="R1797">INDEX(stable[is_skip_logic],MATCH(VALUE(questions[[#This Row],[qno]]),VALUE(stable[qno]),0))</f>
        <v>0</v>
      </c>
      <c r="S1797" s="77" t="str">
        <f>_xlfn.TEXTJOIN(", ",TRUE,questions[[#This Row],[ans_opt_1]:[ans_opt_14]])</f>
        <v>All or nearly all - 80-100%, More than half of it  - 60-80%, About half of it - 40-60%, Less than half of it - 20-40%, A small amount - 0-20%</v>
      </c>
      <c r="T1797" s="77" t="s">
        <v>305</v>
      </c>
      <c r="U1797" s="77" t="s">
        <v>306</v>
      </c>
      <c r="V1797" s="77" t="s">
        <v>307</v>
      </c>
      <c r="W1797" s="77" t="s">
        <v>308</v>
      </c>
      <c r="X1797" s="77" t="s">
        <v>309</v>
      </c>
      <c r="AH1797" s="98" t="b">
        <f>INDEX(stable[q_standard],MATCH(questions[[#This Row],[qno]],stable[qno],0))</f>
        <v>0</v>
      </c>
      <c r="AI1797" s="98" t="b">
        <f>INDEX(stable[q_living_income],MATCH(questions[[#This Row],[qno]],stable[qno],0))</f>
        <v>1</v>
      </c>
      <c r="AJ1797" s="98" t="b">
        <f>INDEX(stable[q_carbon],MATCH(questions[[#This Row],[qno]],stable[qno],0))</f>
        <v>0</v>
      </c>
      <c r="AK1797" s="98" t="b">
        <f>INDEX(stable[q_regen_ag],MATCH(questions[[#This Row],[qno]],stable[qno],0))</f>
        <v>0</v>
      </c>
      <c r="AL1797" s="98" t="b">
        <f>COUNTIFS(stable[qno],questions[[#This Row],[qno]])=1</f>
        <v>1</v>
      </c>
      <c r="AM1797" s="98" t="b">
        <f>OR(questions[[#This Row],[is_fixed]],questions[[#This Row],[is_localized]],questions[[#This Row],[is_supply_chain_dependent]])</f>
        <v>1</v>
      </c>
      <c r="AN1797" s="98" t="b">
        <f>COUNTIFS(questions[[#This Row],[is_automated]:[is_multi_select]],TRUE)=1</f>
        <v>1</v>
      </c>
      <c r="AO1797" s="98" t="b">
        <f>IF(questions[[#This Row],[is_fixed]],questions[[#This Row],[question]]=INDEX(stable[question],MATCH(questions[[#This Row],[qno]],stable[qno],0)),TRUE)</f>
        <v>1</v>
      </c>
      <c r="AP1797" s="98" t="str">
        <f>LEFT(questions[[#This Row],[question]],similarity_range)</f>
        <v>Salaried job, what w</v>
      </c>
      <c r="AQ1797" s="98" t="str">
        <f>LEFT(INDEX(stable[question],MATCH(questions[[#This Row],[qno]],stable[qno],0)),similarity_range)</f>
        <v>Salaried job, what w</v>
      </c>
      <c r="AR1797" s="98" t="b">
        <f>questions[[#This Row],[question_first_characters]]=questions[[#This Row],[stability_first_characters]]</f>
        <v>1</v>
      </c>
      <c r="AS1797" s="98" t="b">
        <f>IF(OR(questions[[#This Row],[is_single_select]],questions[[#This Row],[is_multi_select]]),NOT(ISBLANK(questions[[#This Row],[answer_opt_combined]])),TRUE)</f>
        <v>1</v>
      </c>
    </row>
    <row r="1798" spans="1:45" s="77" customFormat="1" ht="15.75" customHeight="1" x14ac:dyDescent="0.25">
      <c r="A1798" s="77" t="str">
        <f>_xlfn.TEXTJOIN("_",TRUE,questions[[#This Row],[origin]:[qno]])</f>
        <v>Uganda_Robusta_2026_6517</v>
      </c>
      <c r="B1798" s="77" t="s">
        <v>511</v>
      </c>
      <c r="C1798" s="77" t="s">
        <v>674</v>
      </c>
      <c r="E1798" s="77">
        <v>2026</v>
      </c>
      <c r="F1798" s="104" t="s">
        <v>322</v>
      </c>
      <c r="G1798" s="78" t="s">
        <v>323</v>
      </c>
      <c r="H1798" s="9" t="str" cm="1">
        <f t="array" ref="H1798">INDEX(stableR[question],MATCH(VALUE(questions[[#This Row],[qno]]),VALUE(stableR[qno]),0))</f>
        <v>Pension, what was the estimated importance?</v>
      </c>
      <c r="I1798" s="9" t="b" cm="1">
        <f t="array" ref="I1798">INDEX(stable[is_fixed],MATCH(VALUE(questions[[#This Row],[qno]]),VALUE(stable[qno]),0))</f>
        <v>1</v>
      </c>
      <c r="J1798" s="9" t="b" cm="1">
        <f t="array" ref="J1798">INDEX(stable[is_localized],MATCH(VALUE(questions[[#This Row],[qno]]),VALUE(stable[qno]),0))</f>
        <v>0</v>
      </c>
      <c r="K1798" s="9" t="b" cm="1">
        <f t="array" ref="K1798">INDEX(stable[is_supply_chain_dependent],MATCH(VALUE(questions[[#This Row],[qno]]),VALUE(stable[qno]),0))</f>
        <v>0</v>
      </c>
      <c r="L1798" s="9" t="b" cm="1">
        <f t="array" ref="L1798">INDEX(stable[is_mandatory],MATCH(VALUE(questions[[#This Row],[qno]]),VALUE(stable[qno]),0))</f>
        <v>0</v>
      </c>
      <c r="M1798" s="9" t="b" cm="1">
        <f t="array" ref="M1798">INDEX(stable[is_automated],MATCH(VALUE(questions[[#This Row],[qno]]),VALUE(stable[qno]),0))</f>
        <v>0</v>
      </c>
      <c r="N1798" s="9" t="b" cm="1">
        <f t="array" ref="N1798">INDEX(stable[is_free_text],MATCH(VALUE(questions[[#This Row],[qno]]),VALUE(stable[qno]),0))</f>
        <v>0</v>
      </c>
      <c r="O1798" s="9" t="b" cm="1">
        <f t="array" ref="O1798">INDEX(stable[is_numerical],MATCH(VALUE(questions[[#This Row],[qno]]),VALUE(stable[qno]),0))</f>
        <v>0</v>
      </c>
      <c r="P1798" s="77" t="b" cm="1">
        <f t="array" ref="P1798">INDEX(stable[is_single_select],MATCH(VALUE(questions[[#This Row],[qno]]),VALUE(stable[qno]),0))</f>
        <v>1</v>
      </c>
      <c r="Q1798" s="77" t="b" cm="1">
        <f t="array" ref="Q1798">INDEX(stable[is_multi_select],MATCH(VALUE(questions[[#This Row],[qno]]),VALUE(stable[qno]),0))</f>
        <v>0</v>
      </c>
      <c r="R1798" s="77" t="b" cm="1">
        <f t="array" ref="R1798">INDEX(stable[is_skip_logic],MATCH(VALUE(questions[[#This Row],[qno]]),VALUE(stable[qno]),0))</f>
        <v>0</v>
      </c>
      <c r="S1798" s="77" t="str">
        <f>_xlfn.TEXTJOIN(", ",TRUE,questions[[#This Row],[ans_opt_1]:[ans_opt_14]])</f>
        <v>All or nearly all - 80-100%, More than half of it  - 60-80%, About half of it - 40-60%, Less than half of it - 20-40%, A small amount - 0-20%</v>
      </c>
      <c r="T1798" s="77" t="s">
        <v>305</v>
      </c>
      <c r="U1798" s="77" t="s">
        <v>306</v>
      </c>
      <c r="V1798" s="77" t="s">
        <v>307</v>
      </c>
      <c r="W1798" s="77" t="s">
        <v>308</v>
      </c>
      <c r="X1798" s="77" t="s">
        <v>309</v>
      </c>
      <c r="AH1798" s="98" t="b">
        <f>INDEX(stable[q_standard],MATCH(questions[[#This Row],[qno]],stable[qno],0))</f>
        <v>0</v>
      </c>
      <c r="AI1798" s="98" t="b">
        <f>INDEX(stable[q_living_income],MATCH(questions[[#This Row],[qno]],stable[qno],0))</f>
        <v>1</v>
      </c>
      <c r="AJ1798" s="98" t="b">
        <f>INDEX(stable[q_carbon],MATCH(questions[[#This Row],[qno]],stable[qno],0))</f>
        <v>0</v>
      </c>
      <c r="AK1798" s="98" t="b">
        <f>INDEX(stable[q_regen_ag],MATCH(questions[[#This Row],[qno]],stable[qno],0))</f>
        <v>0</v>
      </c>
      <c r="AL1798" s="98" t="b">
        <f>COUNTIFS(stable[qno],questions[[#This Row],[qno]])=1</f>
        <v>1</v>
      </c>
      <c r="AM1798" s="98" t="b">
        <f>OR(questions[[#This Row],[is_fixed]],questions[[#This Row],[is_localized]],questions[[#This Row],[is_supply_chain_dependent]])</f>
        <v>1</v>
      </c>
      <c r="AN1798" s="98" t="b">
        <f>COUNTIFS(questions[[#This Row],[is_automated]:[is_multi_select]],TRUE)=1</f>
        <v>1</v>
      </c>
      <c r="AO1798" s="98" t="b">
        <f>IF(questions[[#This Row],[is_fixed]],questions[[#This Row],[question]]=INDEX(stable[question],MATCH(questions[[#This Row],[qno]],stable[qno],0)),TRUE)</f>
        <v>1</v>
      </c>
      <c r="AP1798" s="98" t="str">
        <f>LEFT(questions[[#This Row],[question]],similarity_range)</f>
        <v>Pension, what was th</v>
      </c>
      <c r="AQ1798" s="98" t="str">
        <f>LEFT(INDEX(stable[question],MATCH(questions[[#This Row],[qno]],stable[qno],0)),similarity_range)</f>
        <v>Pension, what was th</v>
      </c>
      <c r="AR1798" s="98" t="b">
        <f>questions[[#This Row],[question_first_characters]]=questions[[#This Row],[stability_first_characters]]</f>
        <v>1</v>
      </c>
      <c r="AS1798" s="98" t="b">
        <f>IF(OR(questions[[#This Row],[is_single_select]],questions[[#This Row],[is_multi_select]]),NOT(ISBLANK(questions[[#This Row],[answer_opt_combined]])),TRUE)</f>
        <v>1</v>
      </c>
    </row>
    <row r="1799" spans="1:45" s="77" customFormat="1" ht="15.75" customHeight="1" x14ac:dyDescent="0.25">
      <c r="A1799" s="77" t="str">
        <f>_xlfn.TEXTJOIN("_",TRUE,questions[[#This Row],[origin]:[qno]])</f>
        <v>Uganda_Robusta_2026_6518</v>
      </c>
      <c r="B1799" s="77" t="s">
        <v>511</v>
      </c>
      <c r="C1799" s="77" t="s">
        <v>674</v>
      </c>
      <c r="E1799" s="77">
        <v>2026</v>
      </c>
      <c r="F1799" s="104" t="s">
        <v>324</v>
      </c>
      <c r="G1799" s="78" t="s">
        <v>325</v>
      </c>
      <c r="H1799" s="9" t="str" cm="1">
        <f t="array" ref="H1799">INDEX(stableR[question],MATCH(VALUE(questions[[#This Row],[qno]]),VALUE(stableR[qno]),0))</f>
        <v>Remittances, what was the estimated importance?</v>
      </c>
      <c r="I1799" s="9" t="b" cm="1">
        <f t="array" ref="I1799">INDEX(stable[is_fixed],MATCH(VALUE(questions[[#This Row],[qno]]),VALUE(stable[qno]),0))</f>
        <v>1</v>
      </c>
      <c r="J1799" s="9" t="b" cm="1">
        <f t="array" ref="J1799">INDEX(stable[is_localized],MATCH(VALUE(questions[[#This Row],[qno]]),VALUE(stable[qno]),0))</f>
        <v>0</v>
      </c>
      <c r="K1799" s="9" t="b" cm="1">
        <f t="array" ref="K1799">INDEX(stable[is_supply_chain_dependent],MATCH(VALUE(questions[[#This Row],[qno]]),VALUE(stable[qno]),0))</f>
        <v>0</v>
      </c>
      <c r="L1799" s="9" t="b" cm="1">
        <f t="array" ref="L1799">INDEX(stable[is_mandatory],MATCH(VALUE(questions[[#This Row],[qno]]),VALUE(stable[qno]),0))</f>
        <v>0</v>
      </c>
      <c r="M1799" s="9" t="b" cm="1">
        <f t="array" ref="M1799">INDEX(stable[is_automated],MATCH(VALUE(questions[[#This Row],[qno]]),VALUE(stable[qno]),0))</f>
        <v>0</v>
      </c>
      <c r="N1799" s="9" t="b" cm="1">
        <f t="array" ref="N1799">INDEX(stable[is_free_text],MATCH(VALUE(questions[[#This Row],[qno]]),VALUE(stable[qno]),0))</f>
        <v>0</v>
      </c>
      <c r="O1799" s="9" t="b" cm="1">
        <f t="array" ref="O1799">INDEX(stable[is_numerical],MATCH(VALUE(questions[[#This Row],[qno]]),VALUE(stable[qno]),0))</f>
        <v>0</v>
      </c>
      <c r="P1799" s="77" t="b" cm="1">
        <f t="array" ref="P1799">INDEX(stable[is_single_select],MATCH(VALUE(questions[[#This Row],[qno]]),VALUE(stable[qno]),0))</f>
        <v>1</v>
      </c>
      <c r="Q1799" s="77" t="b" cm="1">
        <f t="array" ref="Q1799">INDEX(stable[is_multi_select],MATCH(VALUE(questions[[#This Row],[qno]]),VALUE(stable[qno]),0))</f>
        <v>0</v>
      </c>
      <c r="R1799" s="77" t="b" cm="1">
        <f t="array" ref="R1799">INDEX(stable[is_skip_logic],MATCH(VALUE(questions[[#This Row],[qno]]),VALUE(stable[qno]),0))</f>
        <v>0</v>
      </c>
      <c r="S1799" s="77" t="str">
        <f>_xlfn.TEXTJOIN(", ",TRUE,questions[[#This Row],[ans_opt_1]:[ans_opt_14]])</f>
        <v>All or nearly all - 80-100%, More than half of it  - 60-80%, About half of it - 40-60%, Less than half of it - 20-40%, A small amount - 0-20%</v>
      </c>
      <c r="T1799" s="77" t="s">
        <v>305</v>
      </c>
      <c r="U1799" s="77" t="s">
        <v>306</v>
      </c>
      <c r="V1799" s="77" t="s">
        <v>307</v>
      </c>
      <c r="W1799" s="77" t="s">
        <v>308</v>
      </c>
      <c r="X1799" s="77" t="s">
        <v>309</v>
      </c>
      <c r="AH1799" s="98" t="b">
        <f>INDEX(stable[q_standard],MATCH(questions[[#This Row],[qno]],stable[qno],0))</f>
        <v>0</v>
      </c>
      <c r="AI1799" s="98" t="b">
        <f>INDEX(stable[q_living_income],MATCH(questions[[#This Row],[qno]],stable[qno],0))</f>
        <v>1</v>
      </c>
      <c r="AJ1799" s="98" t="b">
        <f>INDEX(stable[q_carbon],MATCH(questions[[#This Row],[qno]],stable[qno],0))</f>
        <v>0</v>
      </c>
      <c r="AK1799" s="98" t="b">
        <f>INDEX(stable[q_regen_ag],MATCH(questions[[#This Row],[qno]],stable[qno],0))</f>
        <v>0</v>
      </c>
      <c r="AL1799" s="98" t="b">
        <f>COUNTIFS(stable[qno],questions[[#This Row],[qno]])=1</f>
        <v>1</v>
      </c>
      <c r="AM1799" s="98" t="b">
        <f>OR(questions[[#This Row],[is_fixed]],questions[[#This Row],[is_localized]],questions[[#This Row],[is_supply_chain_dependent]])</f>
        <v>1</v>
      </c>
      <c r="AN1799" s="98" t="b">
        <f>COUNTIFS(questions[[#This Row],[is_automated]:[is_multi_select]],TRUE)=1</f>
        <v>1</v>
      </c>
      <c r="AO1799" s="98" t="b">
        <f>IF(questions[[#This Row],[is_fixed]],questions[[#This Row],[question]]=INDEX(stable[question],MATCH(questions[[#This Row],[qno]],stable[qno],0)),TRUE)</f>
        <v>1</v>
      </c>
      <c r="AP1799" s="98" t="str">
        <f>LEFT(questions[[#This Row],[question]],similarity_range)</f>
        <v>Remittances, what wa</v>
      </c>
      <c r="AQ1799" s="98" t="str">
        <f>LEFT(INDEX(stable[question],MATCH(questions[[#This Row],[qno]],stable[qno],0)),similarity_range)</f>
        <v>Remittances, what wa</v>
      </c>
      <c r="AR1799" s="98" t="b">
        <f>questions[[#This Row],[question_first_characters]]=questions[[#This Row],[stability_first_characters]]</f>
        <v>1</v>
      </c>
      <c r="AS1799" s="98" t="b">
        <f>IF(OR(questions[[#This Row],[is_single_select]],questions[[#This Row],[is_multi_select]]),NOT(ISBLANK(questions[[#This Row],[answer_opt_combined]])),TRUE)</f>
        <v>1</v>
      </c>
    </row>
    <row r="1800" spans="1:45" s="77" customFormat="1" ht="15.75" customHeight="1" x14ac:dyDescent="0.25">
      <c r="A1800" s="77" t="str">
        <f>_xlfn.TEXTJOIN("_",TRUE,questions[[#This Row],[origin]:[qno]])</f>
        <v>Uganda_Robusta_2026_7000</v>
      </c>
      <c r="B1800" s="77" t="s">
        <v>511</v>
      </c>
      <c r="C1800" s="77" t="s">
        <v>674</v>
      </c>
      <c r="E1800" s="77">
        <v>2026</v>
      </c>
      <c r="F1800" s="104" t="s">
        <v>326</v>
      </c>
      <c r="G1800" s="78" t="s">
        <v>792</v>
      </c>
      <c r="H1800" s="9" t="str" cm="1">
        <f t="array" ref="H1800">INDEX(stableR[question],MATCH(VALUE(questions[[#This Row],[qno]]),VALUE(stableR[qno]),0))</f>
        <v>Have you received any training on Regenartive Agriculture principles and practices in last 1-2 years? For instance on mulching, cover crops, manure or fertiliser application, stumping, integrated pest management, etc.</v>
      </c>
      <c r="I1800" s="9" t="b" cm="1">
        <f t="array" ref="I1800">INDEX(stable[is_fixed],MATCH(VALUE(questions[[#This Row],[qno]]),VALUE(stable[qno]),0))</f>
        <v>1</v>
      </c>
      <c r="J1800" s="9" t="b" cm="1">
        <f t="array" ref="J1800">INDEX(stable[is_localized],MATCH(VALUE(questions[[#This Row],[qno]]),VALUE(stable[qno]),0))</f>
        <v>0</v>
      </c>
      <c r="K1800" s="9" t="b" cm="1">
        <f t="array" ref="K1800">INDEX(stable[is_supply_chain_dependent],MATCH(VALUE(questions[[#This Row],[qno]]),VALUE(stable[qno]),0))</f>
        <v>0</v>
      </c>
      <c r="L1800" s="9" t="b" cm="1">
        <f t="array" ref="L1800">INDEX(stable[is_mandatory],MATCH(VALUE(questions[[#This Row],[qno]]),VALUE(stable[qno]),0))</f>
        <v>1</v>
      </c>
      <c r="M1800" s="9" t="b" cm="1">
        <f t="array" ref="M1800">INDEX(stable[is_automated],MATCH(VALUE(questions[[#This Row],[qno]]),VALUE(stable[qno]),0))</f>
        <v>0</v>
      </c>
      <c r="N1800" s="9" t="b" cm="1">
        <f t="array" ref="N1800">INDEX(stable[is_free_text],MATCH(VALUE(questions[[#This Row],[qno]]),VALUE(stable[qno]),0))</f>
        <v>0</v>
      </c>
      <c r="O1800" s="9" t="b" cm="1">
        <f t="array" ref="O1800">INDEX(stable[is_numerical],MATCH(VALUE(questions[[#This Row],[qno]]),VALUE(stable[qno]),0))</f>
        <v>0</v>
      </c>
      <c r="P1800" s="77" t="b" cm="1">
        <f t="array" ref="P1800">INDEX(stable[is_single_select],MATCH(VALUE(questions[[#This Row],[qno]]),VALUE(stable[qno]),0))</f>
        <v>1</v>
      </c>
      <c r="Q1800" s="77" t="b" cm="1">
        <f t="array" ref="Q1800">INDEX(stable[is_multi_select],MATCH(VALUE(questions[[#This Row],[qno]]),VALUE(stable[qno]),0))</f>
        <v>0</v>
      </c>
      <c r="R1800" s="77" t="b" cm="1">
        <f t="array" ref="R1800">INDEX(stable[is_skip_logic],MATCH(VALUE(questions[[#This Row],[qno]]),VALUE(stable[qno]),0))</f>
        <v>1</v>
      </c>
      <c r="S1800" s="77" t="str">
        <f>_xlfn.TEXTJOIN(", ",TRUE,questions[[#This Row],[ans_opt_1]:[ans_opt_14]])</f>
        <v>Yes, No</v>
      </c>
      <c r="T1800" s="77" t="s">
        <v>149</v>
      </c>
      <c r="U1800" s="77" t="s">
        <v>119</v>
      </c>
      <c r="AH1800" s="98" t="b">
        <f>INDEX(stable[q_standard],MATCH(questions[[#This Row],[qno]],stable[qno],0))</f>
        <v>0</v>
      </c>
      <c r="AI1800" s="98" t="b">
        <f>INDEX(stable[q_living_income],MATCH(questions[[#This Row],[qno]],stable[qno],0))</f>
        <v>0</v>
      </c>
      <c r="AJ1800" s="98" t="b">
        <f>INDEX(stable[q_carbon],MATCH(questions[[#This Row],[qno]],stable[qno],0))</f>
        <v>0</v>
      </c>
      <c r="AK1800" s="98" t="b">
        <f>INDEX(stable[q_regen_ag],MATCH(questions[[#This Row],[qno]],stable[qno],0))</f>
        <v>1</v>
      </c>
      <c r="AL1800" s="197" t="b">
        <f>COUNTIFS(stable[qno],questions[[#This Row],[qno]])=1</f>
        <v>1</v>
      </c>
      <c r="AM1800" s="98" t="b">
        <f>OR(questions[[#This Row],[is_fixed]],questions[[#This Row],[is_localized]],questions[[#This Row],[is_supply_chain_dependent]])</f>
        <v>1</v>
      </c>
      <c r="AN1800" s="98" t="b">
        <f>COUNTIFS(questions[[#This Row],[is_automated]:[is_multi_select]],TRUE)=1</f>
        <v>1</v>
      </c>
      <c r="AO1800" s="98" t="b">
        <f>IF(questions[[#This Row],[is_fixed]],questions[[#This Row],[question]]=INDEX(stable[question],MATCH(questions[[#This Row],[qno]],stable[qno],0)),TRUE)</f>
        <v>0</v>
      </c>
      <c r="AP1800" s="98" t="str">
        <f>LEFT(questions[[#This Row],[question]],similarity_range)</f>
        <v>Have you received an</v>
      </c>
      <c r="AQ1800" s="98" t="str">
        <f>LEFT(INDEX(stable[question],MATCH(questions[[#This Row],[qno]],stable[qno],0)),similarity_range)</f>
        <v>Have you received an</v>
      </c>
      <c r="AR1800" s="98" t="b">
        <f>questions[[#This Row],[question_first_characters]]=questions[[#This Row],[stability_first_characters]]</f>
        <v>1</v>
      </c>
      <c r="AS1800" s="98" t="b">
        <f>IF(OR(questions[[#This Row],[is_single_select]],questions[[#This Row],[is_multi_select]]),NOT(ISBLANK(questions[[#This Row],[answer_opt_combined]])),TRUE)</f>
        <v>1</v>
      </c>
    </row>
    <row r="1801" spans="1:45" s="77" customFormat="1" ht="15.75" customHeight="1" x14ac:dyDescent="0.25">
      <c r="A1801" s="77" t="str">
        <f>_xlfn.TEXTJOIN("_",TRUE,questions[[#This Row],[origin]:[qno]])</f>
        <v>Uganda_Robusta_2026_7001</v>
      </c>
      <c r="B1801" s="77" t="s">
        <v>511</v>
      </c>
      <c r="C1801" s="77" t="s">
        <v>674</v>
      </c>
      <c r="E1801" s="77">
        <v>2026</v>
      </c>
      <c r="F1801" s="104" t="s">
        <v>328</v>
      </c>
      <c r="G1801" s="78" t="s">
        <v>329</v>
      </c>
      <c r="H1801" s="9" t="str" cm="1">
        <f t="array" ref="H1801">INDEX(stableR[question],MATCH(VALUE(questions[[#This Row],[qno]]),VALUE(stableR[qno]),0))</f>
        <v>If NO formal training received, are you aware of Regen Ag. and can explain its basics principles and main practices?</v>
      </c>
      <c r="I1801" s="9" t="b" cm="1">
        <f t="array" ref="I1801">INDEX(stable[is_fixed],MATCH(VALUE(questions[[#This Row],[qno]]),VALUE(stable[qno]),0))</f>
        <v>1</v>
      </c>
      <c r="J1801" s="9" t="b" cm="1">
        <f t="array" ref="J1801">INDEX(stable[is_localized],MATCH(VALUE(questions[[#This Row],[qno]]),VALUE(stable[qno]),0))</f>
        <v>0</v>
      </c>
      <c r="K1801" s="9" t="b" cm="1">
        <f t="array" ref="K1801">INDEX(stable[is_supply_chain_dependent],MATCH(VALUE(questions[[#This Row],[qno]]),VALUE(stable[qno]),0))</f>
        <v>0</v>
      </c>
      <c r="L1801" s="9" t="b" cm="1">
        <f t="array" ref="L1801">INDEX(stable[is_mandatory],MATCH(VALUE(questions[[#This Row],[qno]]),VALUE(stable[qno]),0))</f>
        <v>0</v>
      </c>
      <c r="M1801" s="9" t="b" cm="1">
        <f t="array" ref="M1801">INDEX(stable[is_automated],MATCH(VALUE(questions[[#This Row],[qno]]),VALUE(stable[qno]),0))</f>
        <v>0</v>
      </c>
      <c r="N1801" s="9" t="b" cm="1">
        <f t="array" ref="N1801">INDEX(stable[is_free_text],MATCH(VALUE(questions[[#This Row],[qno]]),VALUE(stable[qno]),0))</f>
        <v>0</v>
      </c>
      <c r="O1801" s="9" t="b" cm="1">
        <f t="array" ref="O1801">INDEX(stable[is_numerical],MATCH(VALUE(questions[[#This Row],[qno]]),VALUE(stable[qno]),0))</f>
        <v>0</v>
      </c>
      <c r="P1801" s="77" t="b" cm="1">
        <f t="array" ref="P1801">INDEX(stable[is_single_select],MATCH(VALUE(questions[[#This Row],[qno]]),VALUE(stable[qno]),0))</f>
        <v>1</v>
      </c>
      <c r="Q1801" s="77" t="b" cm="1">
        <f t="array" ref="Q1801">INDEX(stable[is_multi_select],MATCH(VALUE(questions[[#This Row],[qno]]),VALUE(stable[qno]),0))</f>
        <v>0</v>
      </c>
      <c r="R1801" s="77" t="b" cm="1">
        <f t="array" ref="R1801">INDEX(stable[is_skip_logic],MATCH(VALUE(questions[[#This Row],[qno]]),VALUE(stable[qno]),0))</f>
        <v>1</v>
      </c>
      <c r="S1801" s="77" t="str">
        <f>_xlfn.TEXTJOIN(", ",TRUE,questions[[#This Row],[ans_opt_1]:[ans_opt_14]])</f>
        <v>Yes, No</v>
      </c>
      <c r="T1801" s="77" t="s">
        <v>149</v>
      </c>
      <c r="U1801" s="77" t="s">
        <v>119</v>
      </c>
      <c r="AH1801" s="98" t="b">
        <f>INDEX(stable[q_standard],MATCH(questions[[#This Row],[qno]],stable[qno],0))</f>
        <v>0</v>
      </c>
      <c r="AI1801" s="98" t="b">
        <f>INDEX(stable[q_living_income],MATCH(questions[[#This Row],[qno]],stable[qno],0))</f>
        <v>0</v>
      </c>
      <c r="AJ1801" s="98" t="b">
        <f>INDEX(stable[q_carbon],MATCH(questions[[#This Row],[qno]],stable[qno],0))</f>
        <v>0</v>
      </c>
      <c r="AK1801" s="98" t="b">
        <f>INDEX(stable[q_regen_ag],MATCH(questions[[#This Row],[qno]],stable[qno],0))</f>
        <v>1</v>
      </c>
      <c r="AL1801" s="197" t="b">
        <f>COUNTIFS(stable[qno],questions[[#This Row],[qno]])=1</f>
        <v>1</v>
      </c>
      <c r="AM1801" s="98" t="b">
        <f>OR(questions[[#This Row],[is_fixed]],questions[[#This Row],[is_localized]],questions[[#This Row],[is_supply_chain_dependent]])</f>
        <v>1</v>
      </c>
      <c r="AN1801" s="98" t="b">
        <f>COUNTIFS(questions[[#This Row],[is_automated]:[is_multi_select]],TRUE)=1</f>
        <v>1</v>
      </c>
      <c r="AO1801" s="98" t="b">
        <f>IF(questions[[#This Row],[is_fixed]],questions[[#This Row],[question]]=INDEX(stable[question],MATCH(questions[[#This Row],[qno]],stable[qno],0)),TRUE)</f>
        <v>1</v>
      </c>
      <c r="AP1801" s="98" t="str">
        <f>LEFT(questions[[#This Row],[question]],similarity_range)</f>
        <v>If NO formal trainin</v>
      </c>
      <c r="AQ1801" s="98" t="str">
        <f>LEFT(INDEX(stable[question],MATCH(questions[[#This Row],[qno]],stable[qno],0)),similarity_range)</f>
        <v>If NO formal trainin</v>
      </c>
      <c r="AR1801" s="98" t="b">
        <f>questions[[#This Row],[question_first_characters]]=questions[[#This Row],[stability_first_characters]]</f>
        <v>1</v>
      </c>
      <c r="AS1801" s="98" t="b">
        <f>IF(OR(questions[[#This Row],[is_single_select]],questions[[#This Row],[is_multi_select]]),NOT(ISBLANK(questions[[#This Row],[answer_opt_combined]])),TRUE)</f>
        <v>1</v>
      </c>
    </row>
    <row r="1802" spans="1:45" s="77" customFormat="1" ht="15.75" customHeight="1" x14ac:dyDescent="0.25">
      <c r="A1802" s="77" t="str">
        <f>_xlfn.TEXTJOIN("_",TRUE,questions[[#This Row],[origin]:[qno]])</f>
        <v>Uganda_Robusta_2026_7100</v>
      </c>
      <c r="B1802" s="77" t="s">
        <v>511</v>
      </c>
      <c r="C1802" s="77" t="s">
        <v>674</v>
      </c>
      <c r="E1802" s="77">
        <v>2026</v>
      </c>
      <c r="F1802" s="104" t="s">
        <v>330</v>
      </c>
      <c r="G1802" s="78" t="s">
        <v>331</v>
      </c>
      <c r="H1802" s="9" t="str" cm="1">
        <f t="array" ref="H1802">INDEX(stableR[question],MATCH(VALUE(questions[[#This Row],[qno]]),VALUE(stableR[qno]),0))</f>
        <v>Do you implement mulching and/or cover crops-plants (e.g. beans, peanuts/groundnuts, brachiaria, desmodium…) in your coffee plots? If the answer is NO, you do not need to answer the next 2 questions</v>
      </c>
      <c r="I1802" s="9" t="b" cm="1">
        <f t="array" ref="I1802">INDEX(stable[is_fixed],MATCH(VALUE(questions[[#This Row],[qno]]),VALUE(stable[qno]),0))</f>
        <v>1</v>
      </c>
      <c r="J1802" s="9" t="b" cm="1">
        <f t="array" ref="J1802">INDEX(stable[is_localized],MATCH(VALUE(questions[[#This Row],[qno]]),VALUE(stable[qno]),0))</f>
        <v>0</v>
      </c>
      <c r="K1802" s="9" t="b" cm="1">
        <f t="array" ref="K1802">INDEX(stable[is_supply_chain_dependent],MATCH(VALUE(questions[[#This Row],[qno]]),VALUE(stable[qno]),0))</f>
        <v>0</v>
      </c>
      <c r="L1802" s="9" t="b" cm="1">
        <f t="array" ref="L1802">INDEX(stable[is_mandatory],MATCH(VALUE(questions[[#This Row],[qno]]),VALUE(stable[qno]),0))</f>
        <v>1</v>
      </c>
      <c r="M1802" s="9" t="b" cm="1">
        <f t="array" ref="M1802">INDEX(stable[is_automated],MATCH(VALUE(questions[[#This Row],[qno]]),VALUE(stable[qno]),0))</f>
        <v>0</v>
      </c>
      <c r="N1802" s="9" t="b" cm="1">
        <f t="array" ref="N1802">INDEX(stable[is_free_text],MATCH(VALUE(questions[[#This Row],[qno]]),VALUE(stable[qno]),0))</f>
        <v>0</v>
      </c>
      <c r="O1802" s="9" t="b" cm="1">
        <f t="array" ref="O1802">INDEX(stable[is_numerical],MATCH(VALUE(questions[[#This Row],[qno]]),VALUE(stable[qno]),0))</f>
        <v>0</v>
      </c>
      <c r="P1802" s="77" t="b" cm="1">
        <f t="array" ref="P1802">INDEX(stable[is_single_select],MATCH(VALUE(questions[[#This Row],[qno]]),VALUE(stable[qno]),0))</f>
        <v>1</v>
      </c>
      <c r="Q1802" s="77" t="b" cm="1">
        <f t="array" ref="Q1802">INDEX(stable[is_multi_select],MATCH(VALUE(questions[[#This Row],[qno]]),VALUE(stable[qno]),0))</f>
        <v>0</v>
      </c>
      <c r="R1802" s="77" t="b" cm="1">
        <f t="array" ref="R1802">INDEX(stable[is_skip_logic],MATCH(VALUE(questions[[#This Row],[qno]]),VALUE(stable[qno]),0))</f>
        <v>1</v>
      </c>
      <c r="S1802" s="77" t="str">
        <f>_xlfn.TEXTJOIN(", ",TRUE,questions[[#This Row],[ans_opt_1]:[ans_opt_14]])</f>
        <v>No, Yes-Crop residues mulching, Yes-Other mulching, Yes-Cover crops, Yes-Cover crops &amp; Mulching</v>
      </c>
      <c r="T1802" s="77" t="s">
        <v>119</v>
      </c>
      <c r="U1802" s="77" t="s">
        <v>332</v>
      </c>
      <c r="V1802" s="77" t="s">
        <v>333</v>
      </c>
      <c r="W1802" s="77" t="s">
        <v>334</v>
      </c>
      <c r="X1802" s="77" t="s">
        <v>335</v>
      </c>
      <c r="AH1802" s="98" t="b">
        <f>INDEX(stable[q_standard],MATCH(questions[[#This Row],[qno]],stable[qno],0))</f>
        <v>0</v>
      </c>
      <c r="AI1802" s="98" t="b">
        <f>INDEX(stable[q_living_income],MATCH(questions[[#This Row],[qno]],stable[qno],0))</f>
        <v>0</v>
      </c>
      <c r="AJ1802" s="98" t="b">
        <f>INDEX(stable[q_carbon],MATCH(questions[[#This Row],[qno]],stable[qno],0))</f>
        <v>0</v>
      </c>
      <c r="AK1802" s="98" t="b">
        <f>INDEX(stable[q_regen_ag],MATCH(questions[[#This Row],[qno]],stable[qno],0))</f>
        <v>1</v>
      </c>
      <c r="AL1802" s="198" t="b">
        <f>COUNTIFS(stable[qno],questions[[#This Row],[qno]])=1</f>
        <v>1</v>
      </c>
      <c r="AM1802" s="98" t="b">
        <f>OR(questions[[#This Row],[is_fixed]],questions[[#This Row],[is_localized]],questions[[#This Row],[is_supply_chain_dependent]])</f>
        <v>1</v>
      </c>
      <c r="AN1802" s="98" t="b">
        <f>COUNTIFS(questions[[#This Row],[is_automated]:[is_multi_select]],TRUE)=1</f>
        <v>1</v>
      </c>
      <c r="AO1802" s="98" t="b">
        <f>IF(questions[[#This Row],[is_fixed]],questions[[#This Row],[question]]=INDEX(stable[question],MATCH(questions[[#This Row],[qno]],stable[qno],0)),TRUE)</f>
        <v>1</v>
      </c>
      <c r="AP1802" s="98" t="str">
        <f>LEFT(questions[[#This Row],[question]],similarity_range)</f>
        <v>Do you implement mul</v>
      </c>
      <c r="AQ1802" s="98" t="str">
        <f>LEFT(INDEX(stable[question],MATCH(questions[[#This Row],[qno]],stable[qno],0)),similarity_range)</f>
        <v>Do you implement mul</v>
      </c>
      <c r="AR1802" s="98" t="b">
        <f>questions[[#This Row],[question_first_characters]]=questions[[#This Row],[stability_first_characters]]</f>
        <v>1</v>
      </c>
      <c r="AS1802" s="98" t="b">
        <f>IF(OR(questions[[#This Row],[is_single_select]],questions[[#This Row],[is_multi_select]]),NOT(ISBLANK(questions[[#This Row],[answer_opt_combined]])),TRUE)</f>
        <v>1</v>
      </c>
    </row>
    <row r="1803" spans="1:45" s="77" customFormat="1" ht="15.75" customHeight="1" x14ac:dyDescent="0.25">
      <c r="A1803" s="77" t="str">
        <f>_xlfn.TEXTJOIN("_",TRUE,questions[[#This Row],[origin]:[qno]])</f>
        <v>Uganda_Robusta_2026_7101</v>
      </c>
      <c r="B1803" s="77" t="s">
        <v>511</v>
      </c>
      <c r="C1803" s="77" t="s">
        <v>674</v>
      </c>
      <c r="E1803" s="77">
        <v>2026</v>
      </c>
      <c r="F1803" s="104" t="s">
        <v>336</v>
      </c>
      <c r="G1803" s="78" t="s">
        <v>337</v>
      </c>
      <c r="H1803" s="9" t="str" cm="1">
        <f t="array" ref="H1803">INDEX(stableR[question],MATCH(VALUE(questions[[#This Row],[qno]]),VALUE(stableR[qno]),0))</f>
        <v>If so, what is the % or proportion of your coffee plots using mulching and/or cover crops?</v>
      </c>
      <c r="I1803" s="9" t="b" cm="1">
        <f t="array" ref="I1803">INDEX(stable[is_fixed],MATCH(VALUE(questions[[#This Row],[qno]]),VALUE(stable[qno]),0))</f>
        <v>1</v>
      </c>
      <c r="J1803" s="9" t="b" cm="1">
        <f t="array" ref="J1803">INDEX(stable[is_localized],MATCH(VALUE(questions[[#This Row],[qno]]),VALUE(stable[qno]),0))</f>
        <v>0</v>
      </c>
      <c r="K1803" s="9" t="b" cm="1">
        <f t="array" ref="K1803">INDEX(stable[is_supply_chain_dependent],MATCH(VALUE(questions[[#This Row],[qno]]),VALUE(stable[qno]),0))</f>
        <v>0</v>
      </c>
      <c r="L1803" s="9" t="b" cm="1">
        <f t="array" ref="L1803">INDEX(stable[is_mandatory],MATCH(VALUE(questions[[#This Row],[qno]]),VALUE(stable[qno]),0))</f>
        <v>0</v>
      </c>
      <c r="M1803" s="9" t="b" cm="1">
        <f t="array" ref="M1803">INDEX(stable[is_automated],MATCH(VALUE(questions[[#This Row],[qno]]),VALUE(stable[qno]),0))</f>
        <v>0</v>
      </c>
      <c r="N1803" s="9" t="b" cm="1">
        <f t="array" ref="N1803">INDEX(stable[is_free_text],MATCH(VALUE(questions[[#This Row],[qno]]),VALUE(stable[qno]),0))</f>
        <v>0</v>
      </c>
      <c r="O1803" s="9" t="b" cm="1">
        <f t="array" ref="O1803">INDEX(stable[is_numerical],MATCH(VALUE(questions[[#This Row],[qno]]),VALUE(stable[qno]),0))</f>
        <v>0</v>
      </c>
      <c r="P1803" s="77" t="b" cm="1">
        <f t="array" ref="P1803">INDEX(stable[is_single_select],MATCH(VALUE(questions[[#This Row],[qno]]),VALUE(stable[qno]),0))</f>
        <v>1</v>
      </c>
      <c r="Q1803" s="77" t="b" cm="1">
        <f t="array" ref="Q1803">INDEX(stable[is_multi_select],MATCH(VALUE(questions[[#This Row],[qno]]),VALUE(stable[qno]),0))</f>
        <v>0</v>
      </c>
      <c r="R1803" s="77" t="b" cm="1">
        <f t="array" ref="R1803">INDEX(stable[is_skip_logic],MATCH(VALUE(questions[[#This Row],[qno]]),VALUE(stable[qno]),0))</f>
        <v>1</v>
      </c>
      <c r="S1803" s="77" t="str">
        <f>_xlfn.TEXTJOIN(", ",TRUE,questions[[#This Row],[ans_opt_1]:[ans_opt_14]])</f>
        <v>1% to 25% - little to a quarter, 26% to 50% - less than half, 51% to 75% - more than half, 76% to 100% - almost all</v>
      </c>
      <c r="T1803" s="77" t="s">
        <v>338</v>
      </c>
      <c r="U1803" s="77" t="s">
        <v>339</v>
      </c>
      <c r="V1803" s="77" t="s">
        <v>340</v>
      </c>
      <c r="W1803" s="77" t="s">
        <v>341</v>
      </c>
      <c r="AH1803" s="98" t="b">
        <f>INDEX(stable[q_standard],MATCH(questions[[#This Row],[qno]],stable[qno],0))</f>
        <v>0</v>
      </c>
      <c r="AI1803" s="98" t="b">
        <f>INDEX(stable[q_living_income],MATCH(questions[[#This Row],[qno]],stable[qno],0))</f>
        <v>0</v>
      </c>
      <c r="AJ1803" s="98" t="b">
        <f>INDEX(stable[q_carbon],MATCH(questions[[#This Row],[qno]],stable[qno],0))</f>
        <v>0</v>
      </c>
      <c r="AK1803" s="98" t="b">
        <f>INDEX(stable[q_regen_ag],MATCH(questions[[#This Row],[qno]],stable[qno],0))</f>
        <v>1</v>
      </c>
      <c r="AL1803" s="198" t="b">
        <f>COUNTIFS(stable[qno],questions[[#This Row],[qno]])=1</f>
        <v>1</v>
      </c>
      <c r="AM1803" s="98" t="b">
        <f>OR(questions[[#This Row],[is_fixed]],questions[[#This Row],[is_localized]],questions[[#This Row],[is_supply_chain_dependent]])</f>
        <v>1</v>
      </c>
      <c r="AN1803" s="98" t="b">
        <f>COUNTIFS(questions[[#This Row],[is_automated]:[is_multi_select]],TRUE)=1</f>
        <v>1</v>
      </c>
      <c r="AO1803" s="98" t="b">
        <f>IF(questions[[#This Row],[is_fixed]],questions[[#This Row],[question]]=INDEX(stable[question],MATCH(questions[[#This Row],[qno]],stable[qno],0)),TRUE)</f>
        <v>1</v>
      </c>
      <c r="AP1803" s="98" t="str">
        <f>LEFT(questions[[#This Row],[question]],similarity_range)</f>
        <v>If so, what is the %</v>
      </c>
      <c r="AQ1803" s="98" t="str">
        <f>LEFT(INDEX(stable[question],MATCH(questions[[#This Row],[qno]],stable[qno],0)),similarity_range)</f>
        <v>If so, what is the %</v>
      </c>
      <c r="AR1803" s="98" t="b">
        <f>questions[[#This Row],[question_first_characters]]=questions[[#This Row],[stability_first_characters]]</f>
        <v>1</v>
      </c>
      <c r="AS1803" s="98" t="b">
        <f>IF(OR(questions[[#This Row],[is_single_select]],questions[[#This Row],[is_multi_select]]),NOT(ISBLANK(questions[[#This Row],[answer_opt_combined]])),TRUE)</f>
        <v>1</v>
      </c>
    </row>
    <row r="1804" spans="1:45" s="77" customFormat="1" ht="15.75" customHeight="1" x14ac:dyDescent="0.25">
      <c r="A1804" s="77" t="str">
        <f>_xlfn.TEXTJOIN("_",TRUE,questions[[#This Row],[origin]:[qno]])</f>
        <v>Uganda_Robusta_2026_7102</v>
      </c>
      <c r="B1804" s="77" t="s">
        <v>511</v>
      </c>
      <c r="C1804" s="77" t="s">
        <v>674</v>
      </c>
      <c r="E1804" s="77">
        <v>2026</v>
      </c>
      <c r="F1804" s="104" t="s">
        <v>342</v>
      </c>
      <c r="G1804" s="78" t="s">
        <v>343</v>
      </c>
      <c r="H1804" s="9" t="str" cm="1">
        <f t="array" ref="H1804">INDEX(stableR[question],MATCH(VALUE(questions[[#This Row],[qno]]),VALUE(stableR[qno]),0))</f>
        <v>And for how many months per year?</v>
      </c>
      <c r="I1804" s="9" t="b" cm="1">
        <f t="array" ref="I1804">INDEX(stable[is_fixed],MATCH(VALUE(questions[[#This Row],[qno]]),VALUE(stable[qno]),0))</f>
        <v>1</v>
      </c>
      <c r="J1804" s="9" t="b" cm="1">
        <f t="array" ref="J1804">INDEX(stable[is_localized],MATCH(VALUE(questions[[#This Row],[qno]]),VALUE(stable[qno]),0))</f>
        <v>0</v>
      </c>
      <c r="K1804" s="9" t="b" cm="1">
        <f t="array" ref="K1804">INDEX(stable[is_supply_chain_dependent],MATCH(VALUE(questions[[#This Row],[qno]]),VALUE(stable[qno]),0))</f>
        <v>0</v>
      </c>
      <c r="L1804" s="9" t="b" cm="1">
        <f t="array" ref="L1804">INDEX(stable[is_mandatory],MATCH(VALUE(questions[[#This Row],[qno]]),VALUE(stable[qno]),0))</f>
        <v>0</v>
      </c>
      <c r="M1804" s="9" t="b" cm="1">
        <f t="array" ref="M1804">INDEX(stable[is_automated],MATCH(VALUE(questions[[#This Row],[qno]]),VALUE(stable[qno]),0))</f>
        <v>0</v>
      </c>
      <c r="N1804" s="9" t="b" cm="1">
        <f t="array" ref="N1804">INDEX(stable[is_free_text],MATCH(VALUE(questions[[#This Row],[qno]]),VALUE(stable[qno]),0))</f>
        <v>0</v>
      </c>
      <c r="O1804" s="9" t="b" cm="1">
        <f t="array" ref="O1804">INDEX(stable[is_numerical],MATCH(VALUE(questions[[#This Row],[qno]]),VALUE(stable[qno]),0))</f>
        <v>0</v>
      </c>
      <c r="P1804" s="77" t="b" cm="1">
        <f t="array" ref="P1804">INDEX(stable[is_single_select],MATCH(VALUE(questions[[#This Row],[qno]]),VALUE(stable[qno]),0))</f>
        <v>1</v>
      </c>
      <c r="Q1804" s="77" t="b" cm="1">
        <f t="array" ref="Q1804">INDEX(stable[is_multi_select],MATCH(VALUE(questions[[#This Row],[qno]]),VALUE(stable[qno]),0))</f>
        <v>0</v>
      </c>
      <c r="R1804" s="77" t="b" cm="1">
        <f t="array" ref="R1804">INDEX(stable[is_skip_logic],MATCH(VALUE(questions[[#This Row],[qno]]),VALUE(stable[qno]),0))</f>
        <v>1</v>
      </c>
      <c r="S1804" s="77" t="str">
        <f>_xlfn.TEXTJOIN(", ",TRUE,questions[[#This Row],[ans_opt_1]:[ans_opt_14]])</f>
        <v>&lt;6 months, 6-8 months, &gt;8 months</v>
      </c>
      <c r="T1804" s="77" t="s">
        <v>344</v>
      </c>
      <c r="U1804" s="77" t="s">
        <v>345</v>
      </c>
      <c r="V1804" s="77" t="s">
        <v>346</v>
      </c>
      <c r="AH1804" s="98" t="b">
        <f>INDEX(stable[q_standard],MATCH(questions[[#This Row],[qno]],stable[qno],0))</f>
        <v>0</v>
      </c>
      <c r="AI1804" s="98" t="b">
        <f>INDEX(stable[q_living_income],MATCH(questions[[#This Row],[qno]],stable[qno],0))</f>
        <v>0</v>
      </c>
      <c r="AJ1804" s="98" t="b">
        <f>INDEX(stable[q_carbon],MATCH(questions[[#This Row],[qno]],stable[qno],0))</f>
        <v>0</v>
      </c>
      <c r="AK1804" s="98" t="b">
        <f>INDEX(stable[q_regen_ag],MATCH(questions[[#This Row],[qno]],stable[qno],0))</f>
        <v>1</v>
      </c>
      <c r="AL1804" s="198" t="b">
        <f>COUNTIFS(stable[qno],questions[[#This Row],[qno]])=1</f>
        <v>1</v>
      </c>
      <c r="AM1804" s="98" t="b">
        <f>OR(questions[[#This Row],[is_fixed]],questions[[#This Row],[is_localized]],questions[[#This Row],[is_supply_chain_dependent]])</f>
        <v>1</v>
      </c>
      <c r="AN1804" s="98" t="b">
        <f>COUNTIFS(questions[[#This Row],[is_automated]:[is_multi_select]],TRUE)=1</f>
        <v>1</v>
      </c>
      <c r="AO1804" s="98" t="b">
        <f>IF(questions[[#This Row],[is_fixed]],questions[[#This Row],[question]]=INDEX(stable[question],MATCH(questions[[#This Row],[qno]],stable[qno],0)),TRUE)</f>
        <v>0</v>
      </c>
      <c r="AP1804" s="98" t="str">
        <f>LEFT(questions[[#This Row],[question]],similarity_range)</f>
        <v>And for how many mon</v>
      </c>
      <c r="AQ1804" s="98" t="str">
        <f>LEFT(INDEX(stable[question],MATCH(questions[[#This Row],[qno]],stable[qno],0)),similarity_range)</f>
        <v>And for how many mon</v>
      </c>
      <c r="AR1804" s="98" t="b">
        <f>questions[[#This Row],[question_first_characters]]=questions[[#This Row],[stability_first_characters]]</f>
        <v>1</v>
      </c>
      <c r="AS1804" s="98" t="b">
        <f>IF(OR(questions[[#This Row],[is_single_select]],questions[[#This Row],[is_multi_select]]),NOT(ISBLANK(questions[[#This Row],[answer_opt_combined]])),TRUE)</f>
        <v>1</v>
      </c>
    </row>
    <row r="1805" spans="1:45" s="77" customFormat="1" ht="15.75" customHeight="1" x14ac:dyDescent="0.25">
      <c r="A1805" s="77" t="str">
        <f>_xlfn.TEXTJOIN("_",TRUE,questions[[#This Row],[origin]:[qno]])</f>
        <v>Uganda_Robusta_2026_7113</v>
      </c>
      <c r="B1805" s="77" t="s">
        <v>511</v>
      </c>
      <c r="C1805" s="77" t="s">
        <v>674</v>
      </c>
      <c r="E1805" s="77">
        <v>2026</v>
      </c>
      <c r="F1805" s="104" t="s">
        <v>347</v>
      </c>
      <c r="G1805" s="78" t="s">
        <v>348</v>
      </c>
      <c r="H1805" s="9" t="str" cm="1">
        <f t="array" ref="H1805">INDEX(stableR[question],MATCH(VALUE(questions[[#This Row],[qno]]),VALUE(stableR[qno]),0))</f>
        <v>Does any area of your coffee plots have significative risk of water and/or wind erosion due to heavy rain or irrigation, terrain slope, strong winds during dry periods…? If the answer is NO, you do not need to answer the next 2 questions</v>
      </c>
      <c r="I1805" s="9" t="b" cm="1">
        <f t="array" ref="I1805">INDEX(stable[is_fixed],MATCH(VALUE(questions[[#This Row],[qno]]),VALUE(stable[qno]),0))</f>
        <v>1</v>
      </c>
      <c r="J1805" s="9" t="b" cm="1">
        <f t="array" ref="J1805">INDEX(stable[is_localized],MATCH(VALUE(questions[[#This Row],[qno]]),VALUE(stable[qno]),0))</f>
        <v>0</v>
      </c>
      <c r="K1805" s="9" t="b" cm="1">
        <f t="array" ref="K1805">INDEX(stable[is_supply_chain_dependent],MATCH(VALUE(questions[[#This Row],[qno]]),VALUE(stable[qno]),0))</f>
        <v>0</v>
      </c>
      <c r="L1805" s="9" t="b" cm="1">
        <f t="array" ref="L1805">INDEX(stable[is_mandatory],MATCH(VALUE(questions[[#This Row],[qno]]),VALUE(stable[qno]),0))</f>
        <v>1</v>
      </c>
      <c r="M1805" s="9" t="b" cm="1">
        <f t="array" ref="M1805">INDEX(stable[is_automated],MATCH(VALUE(questions[[#This Row],[qno]]),VALUE(stable[qno]),0))</f>
        <v>0</v>
      </c>
      <c r="N1805" s="9" t="b" cm="1">
        <f t="array" ref="N1805">INDEX(stable[is_free_text],MATCH(VALUE(questions[[#This Row],[qno]]),VALUE(stable[qno]),0))</f>
        <v>0</v>
      </c>
      <c r="O1805" s="9" t="b" cm="1">
        <f t="array" ref="O1805">INDEX(stable[is_numerical],MATCH(VALUE(questions[[#This Row],[qno]]),VALUE(stable[qno]),0))</f>
        <v>0</v>
      </c>
      <c r="P1805" s="77" t="b" cm="1">
        <f t="array" ref="P1805">INDEX(stable[is_single_select],MATCH(VALUE(questions[[#This Row],[qno]]),VALUE(stable[qno]),0))</f>
        <v>1</v>
      </c>
      <c r="Q1805" s="77" t="b" cm="1">
        <f t="array" ref="Q1805">INDEX(stable[is_multi_select],MATCH(VALUE(questions[[#This Row],[qno]]),VALUE(stable[qno]),0))</f>
        <v>0</v>
      </c>
      <c r="R1805" s="77" t="b" cm="1">
        <f t="array" ref="R1805">INDEX(stable[is_skip_logic],MATCH(VALUE(questions[[#This Row],[qno]]),VALUE(stable[qno]),0))</f>
        <v>1</v>
      </c>
      <c r="S1805" s="77" t="str">
        <f>_xlfn.TEXTJOIN(", ",TRUE,questions[[#This Row],[ans_opt_1]:[ans_opt_14]])</f>
        <v>Yes, No</v>
      </c>
      <c r="T1805" s="77" t="s">
        <v>149</v>
      </c>
      <c r="U1805" s="77" t="s">
        <v>119</v>
      </c>
      <c r="AH1805" s="98" t="b">
        <f>INDEX(stable[q_standard],MATCH(questions[[#This Row],[qno]],stable[qno],0))</f>
        <v>0</v>
      </c>
      <c r="AI1805" s="98" t="b">
        <f>INDEX(stable[q_living_income],MATCH(questions[[#This Row],[qno]],stable[qno],0))</f>
        <v>0</v>
      </c>
      <c r="AJ1805" s="98" t="b">
        <f>INDEX(stable[q_carbon],MATCH(questions[[#This Row],[qno]],stable[qno],0))</f>
        <v>0</v>
      </c>
      <c r="AK1805" s="98" t="b">
        <f>INDEX(stable[q_regen_ag],MATCH(questions[[#This Row],[qno]],stable[qno],0))</f>
        <v>1</v>
      </c>
      <c r="AL1805" s="128" t="b">
        <f>COUNTIFS(stable[qno],questions[[#This Row],[qno]])=1</f>
        <v>1</v>
      </c>
      <c r="AM1805" s="98" t="b">
        <f>OR(questions[[#This Row],[is_fixed]],questions[[#This Row],[is_localized]],questions[[#This Row],[is_supply_chain_dependent]])</f>
        <v>1</v>
      </c>
      <c r="AN1805" s="98" t="b">
        <f>COUNTIFS(questions[[#This Row],[is_automated]:[is_multi_select]],TRUE)=1</f>
        <v>1</v>
      </c>
      <c r="AO1805" s="98" t="b">
        <f>IF(questions[[#This Row],[is_fixed]],questions[[#This Row],[question]]=INDEX(stable[question],MATCH(questions[[#This Row],[qno]],stable[qno],0)),TRUE)</f>
        <v>1</v>
      </c>
      <c r="AP1805" s="98" t="str">
        <f>LEFT(questions[[#This Row],[question]],similarity_range)</f>
        <v>Does any area of you</v>
      </c>
      <c r="AQ1805" s="98" t="str">
        <f>LEFT(INDEX(stable[question],MATCH(questions[[#This Row],[qno]],stable[qno],0)),similarity_range)</f>
        <v>Does any area of you</v>
      </c>
      <c r="AR1805" s="98" t="b">
        <f>questions[[#This Row],[question_first_characters]]=questions[[#This Row],[stability_first_characters]]</f>
        <v>1</v>
      </c>
      <c r="AS1805" s="98" t="b">
        <f>IF(OR(questions[[#This Row],[is_single_select]],questions[[#This Row],[is_multi_select]]),NOT(ISBLANK(questions[[#This Row],[answer_opt_combined]])),TRUE)</f>
        <v>1</v>
      </c>
    </row>
    <row r="1806" spans="1:45" s="77" customFormat="1" ht="15.75" customHeight="1" x14ac:dyDescent="0.25">
      <c r="A1806" s="77" t="str">
        <f>_xlfn.TEXTJOIN("_",TRUE,questions[[#This Row],[origin]:[qno]])</f>
        <v>Uganda_Robusta_2026_7114</v>
      </c>
      <c r="B1806" s="77" t="s">
        <v>511</v>
      </c>
      <c r="C1806" s="77" t="s">
        <v>674</v>
      </c>
      <c r="E1806" s="77">
        <v>2026</v>
      </c>
      <c r="F1806" s="104" t="s">
        <v>349</v>
      </c>
      <c r="G1806" s="78" t="s">
        <v>350</v>
      </c>
      <c r="H1806" s="9" t="str" cm="1">
        <f t="array" ref="H1806">INDEX(stableR[question],MATCH(VALUE(questions[[#This Row],[qno]]),VALUE(stableR[qno]),0))</f>
        <v xml:space="preserve">If there is erosion risk, do you implement anti-erosion measures/control (e.g. trenches, terracing, windbreaks, soil coverage/mulching, bunds, contour planting…)? </v>
      </c>
      <c r="I1806" s="9" t="b" cm="1">
        <f t="array" ref="I1806">INDEX(stable[is_fixed],MATCH(VALUE(questions[[#This Row],[qno]]),VALUE(stable[qno]),0))</f>
        <v>1</v>
      </c>
      <c r="J1806" s="9" t="b" cm="1">
        <f t="array" ref="J1806">INDEX(stable[is_localized],MATCH(VALUE(questions[[#This Row],[qno]]),VALUE(stable[qno]),0))</f>
        <v>0</v>
      </c>
      <c r="K1806" s="9" t="b" cm="1">
        <f t="array" ref="K1806">INDEX(stable[is_supply_chain_dependent],MATCH(VALUE(questions[[#This Row],[qno]]),VALUE(stable[qno]),0))</f>
        <v>0</v>
      </c>
      <c r="L1806" s="9" t="b" cm="1">
        <f t="array" ref="L1806">INDEX(stable[is_mandatory],MATCH(VALUE(questions[[#This Row],[qno]]),VALUE(stable[qno]),0))</f>
        <v>0</v>
      </c>
      <c r="M1806" s="9" t="b" cm="1">
        <f t="array" ref="M1806">INDEX(stable[is_automated],MATCH(VALUE(questions[[#This Row],[qno]]),VALUE(stable[qno]),0))</f>
        <v>0</v>
      </c>
      <c r="N1806" s="9" t="b" cm="1">
        <f t="array" ref="N1806">INDEX(stable[is_free_text],MATCH(VALUE(questions[[#This Row],[qno]]),VALUE(stable[qno]),0))</f>
        <v>0</v>
      </c>
      <c r="O1806" s="9" t="b" cm="1">
        <f t="array" ref="O1806">INDEX(stable[is_numerical],MATCH(VALUE(questions[[#This Row],[qno]]),VALUE(stable[qno]),0))</f>
        <v>0</v>
      </c>
      <c r="P1806" s="77" t="b" cm="1">
        <f t="array" ref="P1806">INDEX(stable[is_single_select],MATCH(VALUE(questions[[#This Row],[qno]]),VALUE(stable[qno]),0))</f>
        <v>1</v>
      </c>
      <c r="Q1806" s="77" t="b" cm="1">
        <f t="array" ref="Q1806">INDEX(stable[is_multi_select],MATCH(VALUE(questions[[#This Row],[qno]]),VALUE(stable[qno]),0))</f>
        <v>0</v>
      </c>
      <c r="R1806" s="77" t="b" cm="1">
        <f t="array" ref="R1806">INDEX(stable[is_skip_logic],MATCH(VALUE(questions[[#This Row],[qno]]),VALUE(stable[qno]),0))</f>
        <v>1</v>
      </c>
      <c r="S1806" s="77" t="str">
        <f>_xlfn.TEXTJOIN(", ",TRUE,questions[[#This Row],[ans_opt_1]:[ans_opt_14]])</f>
        <v>No, Yes-Terracing, Yes-Trenches, Yes-Windbreaks, Yes-Mulching, Yes-Cover Crops, Yes-Water dykes, Yes-Contour Planting, Yes-A combination of previous practices, Yes-Other practices</v>
      </c>
      <c r="T1806" s="77" t="s">
        <v>119</v>
      </c>
      <c r="U1806" s="77" t="s">
        <v>351</v>
      </c>
      <c r="V1806" s="77" t="s">
        <v>352</v>
      </c>
      <c r="W1806" s="77" t="s">
        <v>353</v>
      </c>
      <c r="X1806" s="77" t="s">
        <v>354</v>
      </c>
      <c r="Y1806" s="77" t="s">
        <v>355</v>
      </c>
      <c r="Z1806" s="77" t="s">
        <v>356</v>
      </c>
      <c r="AA1806" s="77" t="s">
        <v>357</v>
      </c>
      <c r="AB1806" s="77" t="s">
        <v>358</v>
      </c>
      <c r="AC1806" s="77" t="s">
        <v>359</v>
      </c>
      <c r="AH1806" s="98" t="b">
        <f>INDEX(stable[q_standard],MATCH(questions[[#This Row],[qno]],stable[qno],0))</f>
        <v>0</v>
      </c>
      <c r="AI1806" s="98" t="b">
        <f>INDEX(stable[q_living_income],MATCH(questions[[#This Row],[qno]],stable[qno],0))</f>
        <v>0</v>
      </c>
      <c r="AJ1806" s="98" t="b">
        <f>INDEX(stable[q_carbon],MATCH(questions[[#This Row],[qno]],stable[qno],0))</f>
        <v>0</v>
      </c>
      <c r="AK1806" s="98" t="b">
        <f>INDEX(stable[q_regen_ag],MATCH(questions[[#This Row],[qno]],stable[qno],0))</f>
        <v>1</v>
      </c>
      <c r="AL1806" s="128" t="b">
        <f>COUNTIFS(stable[qno],questions[[#This Row],[qno]])=1</f>
        <v>1</v>
      </c>
      <c r="AM1806" s="98" t="b">
        <f>OR(questions[[#This Row],[is_fixed]],questions[[#This Row],[is_localized]],questions[[#This Row],[is_supply_chain_dependent]])</f>
        <v>1</v>
      </c>
      <c r="AN1806" s="98" t="b">
        <f>COUNTIFS(questions[[#This Row],[is_automated]:[is_multi_select]],TRUE)=1</f>
        <v>1</v>
      </c>
      <c r="AO1806" s="98" t="b">
        <f>IF(questions[[#This Row],[is_fixed]],questions[[#This Row],[question]]=INDEX(stable[question],MATCH(questions[[#This Row],[qno]],stable[qno],0)),TRUE)</f>
        <v>1</v>
      </c>
      <c r="AP1806" s="98" t="str">
        <f>LEFT(questions[[#This Row],[question]],similarity_range)</f>
        <v xml:space="preserve">If there is erosion </v>
      </c>
      <c r="AQ1806" s="98" t="str">
        <f>LEFT(INDEX(stable[question],MATCH(questions[[#This Row],[qno]],stable[qno],0)),similarity_range)</f>
        <v xml:space="preserve">If there is erosion </v>
      </c>
      <c r="AR1806" s="98" t="b">
        <f>questions[[#This Row],[question_first_characters]]=questions[[#This Row],[stability_first_characters]]</f>
        <v>1</v>
      </c>
      <c r="AS1806" s="98" t="b">
        <f>IF(OR(questions[[#This Row],[is_single_select]],questions[[#This Row],[is_multi_select]]),NOT(ISBLANK(questions[[#This Row],[answer_opt_combined]])),TRUE)</f>
        <v>1</v>
      </c>
    </row>
    <row r="1807" spans="1:45" s="77" customFormat="1" ht="15.75" customHeight="1" x14ac:dyDescent="0.25">
      <c r="A1807" s="77" t="str">
        <f>_xlfn.TEXTJOIN("_",TRUE,questions[[#This Row],[origin]:[qno]])</f>
        <v>Uganda_Robusta_2026_7115</v>
      </c>
      <c r="B1807" s="77" t="s">
        <v>511</v>
      </c>
      <c r="C1807" s="77" t="s">
        <v>674</v>
      </c>
      <c r="E1807" s="77">
        <v>2026</v>
      </c>
      <c r="F1807" s="104" t="s">
        <v>360</v>
      </c>
      <c r="G1807" s="78" t="s">
        <v>361</v>
      </c>
      <c r="H1807" s="9" t="str" cm="1">
        <f t="array" ref="H1807">INDEX(stableR[question],MATCH(VALUE(questions[[#This Row],[qno]]),VALUE(stableR[qno]),0))</f>
        <v>Of the area of your coffee plots with risk of erosion, can you estimate the % or proportion of that area to which you apply anti-erosion measures/control?</v>
      </c>
      <c r="I1807" s="9" t="b" cm="1">
        <f t="array" ref="I1807">INDEX(stable[is_fixed],MATCH(VALUE(questions[[#This Row],[qno]]),VALUE(stable[qno]),0))</f>
        <v>1</v>
      </c>
      <c r="J1807" s="9" t="b" cm="1">
        <f t="array" ref="J1807">INDEX(stable[is_localized],MATCH(VALUE(questions[[#This Row],[qno]]),VALUE(stable[qno]),0))</f>
        <v>0</v>
      </c>
      <c r="K1807" s="9" t="b" cm="1">
        <f t="array" ref="K1807">INDEX(stable[is_supply_chain_dependent],MATCH(VALUE(questions[[#This Row],[qno]]),VALUE(stable[qno]),0))</f>
        <v>0</v>
      </c>
      <c r="L1807" s="9" t="b" cm="1">
        <f t="array" ref="L1807">INDEX(stable[is_mandatory],MATCH(VALUE(questions[[#This Row],[qno]]),VALUE(stable[qno]),0))</f>
        <v>0</v>
      </c>
      <c r="M1807" s="9" t="b" cm="1">
        <f t="array" ref="M1807">INDEX(stable[is_automated],MATCH(VALUE(questions[[#This Row],[qno]]),VALUE(stable[qno]),0))</f>
        <v>0</v>
      </c>
      <c r="N1807" s="9" t="b" cm="1">
        <f t="array" ref="N1807">INDEX(stable[is_free_text],MATCH(VALUE(questions[[#This Row],[qno]]),VALUE(stable[qno]),0))</f>
        <v>0</v>
      </c>
      <c r="O1807" s="9" t="b" cm="1">
        <f t="array" ref="O1807">INDEX(stable[is_numerical],MATCH(VALUE(questions[[#This Row],[qno]]),VALUE(stable[qno]),0))</f>
        <v>0</v>
      </c>
      <c r="P1807" s="77" t="b" cm="1">
        <f t="array" ref="P1807">INDEX(stable[is_single_select],MATCH(VALUE(questions[[#This Row],[qno]]),VALUE(stable[qno]),0))</f>
        <v>1</v>
      </c>
      <c r="Q1807" s="77" t="b" cm="1">
        <f t="array" ref="Q1807">INDEX(stable[is_multi_select],MATCH(VALUE(questions[[#This Row],[qno]]),VALUE(stable[qno]),0))</f>
        <v>0</v>
      </c>
      <c r="R1807" s="77" t="b" cm="1">
        <f t="array" ref="R1807">INDEX(stable[is_skip_logic],MATCH(VALUE(questions[[#This Row],[qno]]),VALUE(stable[qno]),0))</f>
        <v>1</v>
      </c>
      <c r="S1807" s="77" t="str">
        <f>_xlfn.TEXTJOIN(", ",TRUE,questions[[#This Row],[ans_opt_1]:[ans_opt_14]])</f>
        <v>0% - none, 1% to 25% - little to a quarter, 26% to 50% - less than half, 51% to 75% - more than half, 76% to 100% - almost all</v>
      </c>
      <c r="T1807" s="77" t="s">
        <v>362</v>
      </c>
      <c r="U1807" s="77" t="s">
        <v>338</v>
      </c>
      <c r="V1807" s="77" t="s">
        <v>339</v>
      </c>
      <c r="W1807" s="77" t="s">
        <v>340</v>
      </c>
      <c r="X1807" s="77" t="s">
        <v>341</v>
      </c>
      <c r="AH1807" s="98" t="b">
        <f>INDEX(stable[q_standard],MATCH(questions[[#This Row],[qno]],stable[qno],0))</f>
        <v>0</v>
      </c>
      <c r="AI1807" s="98" t="b">
        <f>INDEX(stable[q_living_income],MATCH(questions[[#This Row],[qno]],stable[qno],0))</f>
        <v>0</v>
      </c>
      <c r="AJ1807" s="98" t="b">
        <f>INDEX(stable[q_carbon],MATCH(questions[[#This Row],[qno]],stable[qno],0))</f>
        <v>0</v>
      </c>
      <c r="AK1807" s="98" t="b">
        <f>INDEX(stable[q_regen_ag],MATCH(questions[[#This Row],[qno]],stable[qno],0))</f>
        <v>1</v>
      </c>
      <c r="AL1807" s="128" t="b">
        <f>COUNTIFS(stable[qno],questions[[#This Row],[qno]])=1</f>
        <v>1</v>
      </c>
      <c r="AM1807" s="98" t="b">
        <f>OR(questions[[#This Row],[is_fixed]],questions[[#This Row],[is_localized]],questions[[#This Row],[is_supply_chain_dependent]])</f>
        <v>1</v>
      </c>
      <c r="AN1807" s="98" t="b">
        <f>COUNTIFS(questions[[#This Row],[is_automated]:[is_multi_select]],TRUE)=1</f>
        <v>1</v>
      </c>
      <c r="AO1807" s="98" t="b">
        <f>IF(questions[[#This Row],[is_fixed]],questions[[#This Row],[question]]=INDEX(stable[question],MATCH(questions[[#This Row],[qno]],stable[qno],0)),TRUE)</f>
        <v>1</v>
      </c>
      <c r="AP1807" s="98" t="str">
        <f>LEFT(questions[[#This Row],[question]],similarity_range)</f>
        <v xml:space="preserve">Of the area of your </v>
      </c>
      <c r="AQ1807" s="98" t="str">
        <f>LEFT(INDEX(stable[question],MATCH(questions[[#This Row],[qno]],stable[qno],0)),similarity_range)</f>
        <v xml:space="preserve">Of the area of your </v>
      </c>
      <c r="AR1807" s="98" t="b">
        <f>questions[[#This Row],[question_first_characters]]=questions[[#This Row],[stability_first_characters]]</f>
        <v>1</v>
      </c>
      <c r="AS1807" s="98" t="b">
        <f>IF(OR(questions[[#This Row],[is_single_select]],questions[[#This Row],[is_multi_select]]),NOT(ISBLANK(questions[[#This Row],[answer_opt_combined]])),TRUE)</f>
        <v>1</v>
      </c>
    </row>
    <row r="1808" spans="1:45" s="77" customFormat="1" ht="15.75" customHeight="1" x14ac:dyDescent="0.25">
      <c r="A1808" s="77" t="str">
        <f>_xlfn.TEXTJOIN("_",TRUE,questions[[#This Row],[origin]:[qno]])</f>
        <v>Uganda_Robusta_2026_7126</v>
      </c>
      <c r="B1808" s="77" t="s">
        <v>511</v>
      </c>
      <c r="C1808" s="77" t="s">
        <v>674</v>
      </c>
      <c r="E1808" s="77">
        <v>2026</v>
      </c>
      <c r="F1808" s="104" t="s">
        <v>363</v>
      </c>
      <c r="G1808" s="78" t="s">
        <v>364</v>
      </c>
      <c r="H1808" s="9" t="str" cm="1">
        <f t="array" ref="H1808">INDEX(stableR[question],MATCH(VALUE(questions[[#This Row],[qno]]),VALUE(stableR[qno]),0))</f>
        <v>Do you take soil samples and carry out soil analysis of your coffee plots and how often?</v>
      </c>
      <c r="I1808" s="9" t="b" cm="1">
        <f t="array" ref="I1808">INDEX(stable[is_fixed],MATCH(VALUE(questions[[#This Row],[qno]]),VALUE(stable[qno]),0))</f>
        <v>1</v>
      </c>
      <c r="J1808" s="9" t="b" cm="1">
        <f t="array" ref="J1808">INDEX(stable[is_localized],MATCH(VALUE(questions[[#This Row],[qno]]),VALUE(stable[qno]),0))</f>
        <v>0</v>
      </c>
      <c r="K1808" s="9" t="b" cm="1">
        <f t="array" ref="K1808">INDEX(stable[is_supply_chain_dependent],MATCH(VALUE(questions[[#This Row],[qno]]),VALUE(stable[qno]),0))</f>
        <v>0</v>
      </c>
      <c r="L1808" s="9" t="b" cm="1">
        <f t="array" ref="L1808">INDEX(stable[is_mandatory],MATCH(VALUE(questions[[#This Row],[qno]]),VALUE(stable[qno]),0))</f>
        <v>1</v>
      </c>
      <c r="M1808" s="9" t="b" cm="1">
        <f t="array" ref="M1808">INDEX(stable[is_automated],MATCH(VALUE(questions[[#This Row],[qno]]),VALUE(stable[qno]),0))</f>
        <v>0</v>
      </c>
      <c r="N1808" s="9" t="b" cm="1">
        <f t="array" ref="N1808">INDEX(stable[is_free_text],MATCH(VALUE(questions[[#This Row],[qno]]),VALUE(stable[qno]),0))</f>
        <v>0</v>
      </c>
      <c r="O1808" s="9" t="b" cm="1">
        <f t="array" ref="O1808">INDEX(stable[is_numerical],MATCH(VALUE(questions[[#This Row],[qno]]),VALUE(stable[qno]),0))</f>
        <v>0</v>
      </c>
      <c r="P1808" s="77" t="b" cm="1">
        <f t="array" ref="P1808">INDEX(stable[is_single_select],MATCH(VALUE(questions[[#This Row],[qno]]),VALUE(stable[qno]),0))</f>
        <v>1</v>
      </c>
      <c r="Q1808" s="77" t="b" cm="1">
        <f t="array" ref="Q1808">INDEX(stable[is_multi_select],MATCH(VALUE(questions[[#This Row],[qno]]),VALUE(stable[qno]),0))</f>
        <v>0</v>
      </c>
      <c r="R1808" s="77" t="b" cm="1">
        <f t="array" ref="R1808">INDEX(stable[is_skip_logic],MATCH(VALUE(questions[[#This Row],[qno]]),VALUE(stable[qno]),0))</f>
        <v>1</v>
      </c>
      <c r="S1808" s="77" t="str">
        <f>_xlfn.TEXTJOIN(", ",TRUE,questions[[#This Row],[ans_opt_1]:[ans_opt_14]])</f>
        <v>No, Yes-every year, Yes-every 2 years, Yes-every 3 years, Yes-every &gt; 3 years</v>
      </c>
      <c r="T1808" s="77" t="s">
        <v>119</v>
      </c>
      <c r="U1808" s="77" t="s">
        <v>365</v>
      </c>
      <c r="V1808" s="77" t="s">
        <v>366</v>
      </c>
      <c r="W1808" s="77" t="s">
        <v>367</v>
      </c>
      <c r="X1808" s="77" t="s">
        <v>368</v>
      </c>
      <c r="AH1808" s="98" t="b">
        <f>INDEX(stable[q_standard],MATCH(questions[[#This Row],[qno]],stable[qno],0))</f>
        <v>0</v>
      </c>
      <c r="AI1808" s="98" t="b">
        <f>INDEX(stable[q_living_income],MATCH(questions[[#This Row],[qno]],stable[qno],0))</f>
        <v>0</v>
      </c>
      <c r="AJ1808" s="98" t="b">
        <f>INDEX(stable[q_carbon],MATCH(questions[[#This Row],[qno]],stable[qno],0))</f>
        <v>0</v>
      </c>
      <c r="AK1808" s="98" t="b">
        <f>INDEX(stable[q_regen_ag],MATCH(questions[[#This Row],[qno]],stable[qno],0))</f>
        <v>1</v>
      </c>
      <c r="AL1808" s="199" t="b">
        <f>COUNTIFS(stable[qno],questions[[#This Row],[qno]])=1</f>
        <v>1</v>
      </c>
      <c r="AM1808" s="98" t="b">
        <f>OR(questions[[#This Row],[is_fixed]],questions[[#This Row],[is_localized]],questions[[#This Row],[is_supply_chain_dependent]])</f>
        <v>1</v>
      </c>
      <c r="AN1808" s="98" t="b">
        <f>COUNTIFS(questions[[#This Row],[is_automated]:[is_multi_select]],TRUE)=1</f>
        <v>1</v>
      </c>
      <c r="AO1808" s="98" t="b">
        <f>IF(questions[[#This Row],[is_fixed]],questions[[#This Row],[question]]=INDEX(stable[question],MATCH(questions[[#This Row],[qno]],stable[qno],0)),TRUE)</f>
        <v>1</v>
      </c>
      <c r="AP1808" s="98" t="str">
        <f>LEFT(questions[[#This Row],[question]],similarity_range)</f>
        <v>Do you take soil sam</v>
      </c>
      <c r="AQ1808" s="98" t="str">
        <f>LEFT(INDEX(stable[question],MATCH(questions[[#This Row],[qno]],stable[qno],0)),similarity_range)</f>
        <v>Do you take soil sam</v>
      </c>
      <c r="AR1808" s="98" t="b">
        <f>questions[[#This Row],[question_first_characters]]=questions[[#This Row],[stability_first_characters]]</f>
        <v>1</v>
      </c>
      <c r="AS1808" s="98" t="b">
        <f>IF(OR(questions[[#This Row],[is_single_select]],questions[[#This Row],[is_multi_select]]),NOT(ISBLANK(questions[[#This Row],[answer_opt_combined]])),TRUE)</f>
        <v>1</v>
      </c>
    </row>
    <row r="1809" spans="1:45" s="77" customFormat="1" ht="15.75" customHeight="1" x14ac:dyDescent="0.25">
      <c r="A1809" s="77" t="str">
        <f>_xlfn.TEXTJOIN("_",TRUE,questions[[#This Row],[origin]:[qno]])</f>
        <v>Uganda_Robusta_2026_7127</v>
      </c>
      <c r="B1809" s="77" t="s">
        <v>511</v>
      </c>
      <c r="C1809" s="77" t="s">
        <v>674</v>
      </c>
      <c r="E1809" s="77">
        <v>2026</v>
      </c>
      <c r="F1809" s="104" t="s">
        <v>369</v>
      </c>
      <c r="G1809" s="78" t="s">
        <v>370</v>
      </c>
      <c r="H1809" s="9" t="str" cm="1">
        <f t="array" ref="H1809">INDEX(stableR[question],MATCH(VALUE(questions[[#This Row],[qno]]),VALUE(stableR[qno]),0))</f>
        <v>If you don´t or last analysis is older than 3 years ago, do you know the basic characteristics of the soil of your coffee plots (e.g. pH-acidity, texture-light/medium/heavy, organic matter-high/good/poor, general fertility-good/average/poor...)?</v>
      </c>
      <c r="I1809" s="9" t="b" cm="1">
        <f t="array" ref="I1809">INDEX(stable[is_fixed],MATCH(VALUE(questions[[#This Row],[qno]]),VALUE(stable[qno]),0))</f>
        <v>1</v>
      </c>
      <c r="J1809" s="9" t="b" cm="1">
        <f t="array" ref="J1809">INDEX(stable[is_localized],MATCH(VALUE(questions[[#This Row],[qno]]),VALUE(stable[qno]),0))</f>
        <v>0</v>
      </c>
      <c r="K1809" s="9" t="b" cm="1">
        <f t="array" ref="K1809">INDEX(stable[is_supply_chain_dependent],MATCH(VALUE(questions[[#This Row],[qno]]),VALUE(stable[qno]),0))</f>
        <v>0</v>
      </c>
      <c r="L1809" s="9" t="b" cm="1">
        <f t="array" ref="L1809">INDEX(stable[is_mandatory],MATCH(VALUE(questions[[#This Row],[qno]]),VALUE(stable[qno]),0))</f>
        <v>0</v>
      </c>
      <c r="M1809" s="9" t="b" cm="1">
        <f t="array" ref="M1809">INDEX(stable[is_automated],MATCH(VALUE(questions[[#This Row],[qno]]),VALUE(stable[qno]),0))</f>
        <v>0</v>
      </c>
      <c r="N1809" s="9" t="b" cm="1">
        <f t="array" ref="N1809">INDEX(stable[is_free_text],MATCH(VALUE(questions[[#This Row],[qno]]),VALUE(stable[qno]),0))</f>
        <v>0</v>
      </c>
      <c r="O1809" s="9" t="b" cm="1">
        <f t="array" ref="O1809">INDEX(stable[is_numerical],MATCH(VALUE(questions[[#This Row],[qno]]),VALUE(stable[qno]),0))</f>
        <v>0</v>
      </c>
      <c r="P1809" s="77" t="b" cm="1">
        <f t="array" ref="P1809">INDEX(stable[is_single_select],MATCH(VALUE(questions[[#This Row],[qno]]),VALUE(stable[qno]),0))</f>
        <v>1</v>
      </c>
      <c r="Q1809" s="77" t="b" cm="1">
        <f t="array" ref="Q1809">INDEX(stable[is_multi_select],MATCH(VALUE(questions[[#This Row],[qno]]),VALUE(stable[qno]),0))</f>
        <v>0</v>
      </c>
      <c r="R1809" s="77" t="b" cm="1">
        <f t="array" ref="R1809">INDEX(stable[is_skip_logic],MATCH(VALUE(questions[[#This Row],[qno]]),VALUE(stable[qno]),0))</f>
        <v>1</v>
      </c>
      <c r="S1809" s="77" t="str">
        <f>_xlfn.TEXTJOIN(", ",TRUE,questions[[#This Row],[ans_opt_1]:[ans_opt_14]])</f>
        <v>Yes, No</v>
      </c>
      <c r="T1809" s="77" t="s">
        <v>149</v>
      </c>
      <c r="U1809" s="77" t="s">
        <v>119</v>
      </c>
      <c r="AH1809" s="98" t="b">
        <f>INDEX(stable[q_standard],MATCH(questions[[#This Row],[qno]],stable[qno],0))</f>
        <v>0</v>
      </c>
      <c r="AI1809" s="98" t="b">
        <f>INDEX(stable[q_living_income],MATCH(questions[[#This Row],[qno]],stable[qno],0))</f>
        <v>0</v>
      </c>
      <c r="AJ1809" s="98" t="b">
        <f>INDEX(stable[q_carbon],MATCH(questions[[#This Row],[qno]],stable[qno],0))</f>
        <v>0</v>
      </c>
      <c r="AK1809" s="98" t="b">
        <f>INDEX(stable[q_regen_ag],MATCH(questions[[#This Row],[qno]],stable[qno],0))</f>
        <v>1</v>
      </c>
      <c r="AL1809" s="199" t="b">
        <f>COUNTIFS(stable[qno],questions[[#This Row],[qno]])=1</f>
        <v>1</v>
      </c>
      <c r="AM1809" s="98" t="b">
        <f>OR(questions[[#This Row],[is_fixed]],questions[[#This Row],[is_localized]],questions[[#This Row],[is_supply_chain_dependent]])</f>
        <v>1</v>
      </c>
      <c r="AN1809" s="98" t="b">
        <f>COUNTIFS(questions[[#This Row],[is_automated]:[is_multi_select]],TRUE)=1</f>
        <v>1</v>
      </c>
      <c r="AO1809" s="98" t="b">
        <f>IF(questions[[#This Row],[is_fixed]],questions[[#This Row],[question]]=INDEX(stable[question],MATCH(questions[[#This Row],[qno]],stable[qno],0)),TRUE)</f>
        <v>1</v>
      </c>
      <c r="AP1809" s="98" t="str">
        <f>LEFT(questions[[#This Row],[question]],similarity_range)</f>
        <v>If you don´t or last</v>
      </c>
      <c r="AQ1809" s="98" t="str">
        <f>LEFT(INDEX(stable[question],MATCH(questions[[#This Row],[qno]],stable[qno],0)),similarity_range)</f>
        <v>If you don´t or last</v>
      </c>
      <c r="AR1809" s="98" t="b">
        <f>questions[[#This Row],[question_first_characters]]=questions[[#This Row],[stability_first_characters]]</f>
        <v>1</v>
      </c>
      <c r="AS1809" s="98" t="b">
        <f>IF(OR(questions[[#This Row],[is_single_select]],questions[[#This Row],[is_multi_select]]),NOT(ISBLANK(questions[[#This Row],[answer_opt_combined]])),TRUE)</f>
        <v>1</v>
      </c>
    </row>
    <row r="1810" spans="1:45" s="77" customFormat="1" ht="15.75" customHeight="1" x14ac:dyDescent="0.25">
      <c r="A1810" s="77" t="str">
        <f>_xlfn.TEXTJOIN("_",TRUE,questions[[#This Row],[origin]:[qno]])</f>
        <v>Uganda_Robusta_2026_7128</v>
      </c>
      <c r="B1810" s="77" t="s">
        <v>511</v>
      </c>
      <c r="C1810" s="77" t="s">
        <v>674</v>
      </c>
      <c r="E1810" s="77">
        <v>2026</v>
      </c>
      <c r="F1810" s="104" t="s">
        <v>371</v>
      </c>
      <c r="G1810" s="78" t="s">
        <v>372</v>
      </c>
      <c r="H1810" s="9" t="str" cm="1">
        <f t="array" ref="H1810">INDEX(stableR[question],MATCH(VALUE(questions[[#This Row],[qno]]),VALUE(stableR[qno]),0))</f>
        <v>What is the most common system to determine the amount and/or the type of organic and synthetic fertilizers that you use in your coffee crop?</v>
      </c>
      <c r="I1810" s="9" t="b" cm="1">
        <f t="array" ref="I1810">INDEX(stable[is_fixed],MATCH(VALUE(questions[[#This Row],[qno]]),VALUE(stable[qno]),0))</f>
        <v>1</v>
      </c>
      <c r="J1810" s="9" t="b" cm="1">
        <f t="array" ref="J1810">INDEX(stable[is_localized],MATCH(VALUE(questions[[#This Row],[qno]]),VALUE(stable[qno]),0))</f>
        <v>0</v>
      </c>
      <c r="K1810" s="9" t="b" cm="1">
        <f t="array" ref="K1810">INDEX(stable[is_supply_chain_dependent],MATCH(VALUE(questions[[#This Row],[qno]]),VALUE(stable[qno]),0))</f>
        <v>0</v>
      </c>
      <c r="L1810" s="9" t="b" cm="1">
        <f t="array" ref="L1810">INDEX(stable[is_mandatory],MATCH(VALUE(questions[[#This Row],[qno]]),VALUE(stable[qno]),0))</f>
        <v>1</v>
      </c>
      <c r="M1810" s="9" t="b" cm="1">
        <f t="array" ref="M1810">INDEX(stable[is_automated],MATCH(VALUE(questions[[#This Row],[qno]]),VALUE(stable[qno]),0))</f>
        <v>0</v>
      </c>
      <c r="N1810" s="9" t="b" cm="1">
        <f t="array" ref="N1810">INDEX(stable[is_free_text],MATCH(VALUE(questions[[#This Row],[qno]]),VALUE(stable[qno]),0))</f>
        <v>0</v>
      </c>
      <c r="O1810" s="9" t="b" cm="1">
        <f t="array" ref="O1810">INDEX(stable[is_numerical],MATCH(VALUE(questions[[#This Row],[qno]]),VALUE(stable[qno]),0))</f>
        <v>0</v>
      </c>
      <c r="P1810" s="77" t="b" cm="1">
        <f t="array" ref="P1810">INDEX(stable[is_single_select],MATCH(VALUE(questions[[#This Row],[qno]]),VALUE(stable[qno]),0))</f>
        <v>1</v>
      </c>
      <c r="Q1810" s="77" t="b" cm="1">
        <f t="array" ref="Q1810">INDEX(stable[is_multi_select],MATCH(VALUE(questions[[#This Row],[qno]]),VALUE(stable[qno]),0))</f>
        <v>0</v>
      </c>
      <c r="R1810" s="77" t="b" cm="1">
        <f t="array" ref="R1810">INDEX(stable[is_skip_logic],MATCH(VALUE(questions[[#This Row],[qno]]),VALUE(stable[qno]),0))</f>
        <v>0</v>
      </c>
      <c r="S1810" s="77" t="str">
        <f>_xlfn.TEXTJOIN(", ",TRUE,questions[[#This Row],[ans_opt_1]:[ans_opt_14]])</f>
        <v>Based on my own judgment-experience, Based on what I can afford, I always use the same fertilization, Based on soil analysis or soil knowledge, Based on soil analysis or soil knowledge and the expected yield of the crop, Based on recommendations from experts (agronomists, field officers, extension services...) , Based on recommendations from input suppliers, I don't use organic or synthetic fertilizers, based on other reasons then the above options</v>
      </c>
      <c r="T1810" s="77" t="s">
        <v>373</v>
      </c>
      <c r="U1810" s="77" t="s">
        <v>374</v>
      </c>
      <c r="V1810" s="77" t="s">
        <v>375</v>
      </c>
      <c r="W1810" s="77" t="s">
        <v>376</v>
      </c>
      <c r="X1810" s="77" t="s">
        <v>377</v>
      </c>
      <c r="Y1810" s="77" t="s">
        <v>796</v>
      </c>
      <c r="Z1810" s="77" t="s">
        <v>379</v>
      </c>
      <c r="AA1810" s="77" t="s">
        <v>380</v>
      </c>
      <c r="AH1810" s="98" t="b">
        <f>INDEX(stable[q_standard],MATCH(questions[[#This Row],[qno]],stable[qno],0))</f>
        <v>0</v>
      </c>
      <c r="AI1810" s="98" t="b">
        <f>INDEX(stable[q_living_income],MATCH(questions[[#This Row],[qno]],stable[qno],0))</f>
        <v>0</v>
      </c>
      <c r="AJ1810" s="98" t="b">
        <f>INDEX(stable[q_carbon],MATCH(questions[[#This Row],[qno]],stable[qno],0))</f>
        <v>0</v>
      </c>
      <c r="AK1810" s="98" t="b">
        <f>INDEX(stable[q_regen_ag],MATCH(questions[[#This Row],[qno]],stable[qno],0))</f>
        <v>1</v>
      </c>
      <c r="AL1810" s="198" t="b">
        <f>COUNTIFS(stable[qno],questions[[#This Row],[qno]])=1</f>
        <v>1</v>
      </c>
      <c r="AM1810" s="98" t="b">
        <f>OR(questions[[#This Row],[is_fixed]],questions[[#This Row],[is_localized]],questions[[#This Row],[is_supply_chain_dependent]])</f>
        <v>1</v>
      </c>
      <c r="AN1810" s="98" t="b">
        <f>COUNTIFS(questions[[#This Row],[is_automated]:[is_multi_select]],TRUE)=1</f>
        <v>1</v>
      </c>
      <c r="AO1810" s="98" t="b">
        <f>IF(questions[[#This Row],[is_fixed]],questions[[#This Row],[question]]=INDEX(stable[question],MATCH(questions[[#This Row],[qno]],stable[qno],0)),TRUE)</f>
        <v>1</v>
      </c>
      <c r="AP1810" s="98" t="str">
        <f>LEFT(questions[[#This Row],[question]],similarity_range)</f>
        <v>What is the most com</v>
      </c>
      <c r="AQ1810" s="98" t="str">
        <f>LEFT(INDEX(stable[question],MATCH(questions[[#This Row],[qno]],stable[qno],0)),similarity_range)</f>
        <v>What is the most com</v>
      </c>
      <c r="AR1810" s="98" t="b">
        <f>questions[[#This Row],[question_first_characters]]=questions[[#This Row],[stability_first_characters]]</f>
        <v>1</v>
      </c>
      <c r="AS1810" s="98" t="b">
        <f>IF(OR(questions[[#This Row],[is_single_select]],questions[[#This Row],[is_multi_select]]),NOT(ISBLANK(questions[[#This Row],[answer_opt_combined]])),TRUE)</f>
        <v>1</v>
      </c>
    </row>
    <row r="1811" spans="1:45" s="77" customFormat="1" ht="15.75" customHeight="1" x14ac:dyDescent="0.25">
      <c r="A1811" s="77" t="str">
        <f>_xlfn.TEXTJOIN("_",TRUE,questions[[#This Row],[origin]:[qno]])</f>
        <v>Uganda_Robusta_2026_7131</v>
      </c>
      <c r="B1811" s="77" t="s">
        <v>511</v>
      </c>
      <c r="C1811" s="77" t="s">
        <v>674</v>
      </c>
      <c r="E1811" s="77">
        <v>2026</v>
      </c>
      <c r="F1811" s="104" t="s">
        <v>381</v>
      </c>
      <c r="G1811" s="78" t="s">
        <v>382</v>
      </c>
      <c r="H1811" s="9" t="str" cm="1">
        <f t="array" ref="H1811">INDEX(stableR[question],MATCH(VALUE(questions[[#This Row],[qno]]),VALUE(stableR[qno]),0))</f>
        <v>How often do you apply synthetic fertilizer per season in your coffee crop?</v>
      </c>
      <c r="I1811" s="9" t="b" cm="1">
        <f t="array" ref="I1811">INDEX(stable[is_fixed],MATCH(VALUE(questions[[#This Row],[qno]]),VALUE(stable[qno]),0))</f>
        <v>1</v>
      </c>
      <c r="J1811" s="9" t="b" cm="1">
        <f t="array" ref="J1811">INDEX(stable[is_localized],MATCH(VALUE(questions[[#This Row],[qno]]),VALUE(stable[qno]),0))</f>
        <v>0</v>
      </c>
      <c r="K1811" s="9" t="b" cm="1">
        <f t="array" ref="K1811">INDEX(stable[is_supply_chain_dependent],MATCH(VALUE(questions[[#This Row],[qno]]),VALUE(stable[qno]),0))</f>
        <v>0</v>
      </c>
      <c r="L1811" s="9" t="b" cm="1">
        <f t="array" ref="L1811">INDEX(stable[is_mandatory],MATCH(VALUE(questions[[#This Row],[qno]]),VALUE(stable[qno]),0))</f>
        <v>1</v>
      </c>
      <c r="M1811" s="9" t="b" cm="1">
        <f t="array" ref="M1811">INDEX(stable[is_automated],MATCH(VALUE(questions[[#This Row],[qno]]),VALUE(stable[qno]),0))</f>
        <v>0</v>
      </c>
      <c r="N1811" s="9" t="b" cm="1">
        <f t="array" ref="N1811">INDEX(stable[is_free_text],MATCH(VALUE(questions[[#This Row],[qno]]),VALUE(stable[qno]),0))</f>
        <v>0</v>
      </c>
      <c r="O1811" s="9" t="b" cm="1">
        <f t="array" ref="O1811">INDEX(stable[is_numerical],MATCH(VALUE(questions[[#This Row],[qno]]),VALUE(stable[qno]),0))</f>
        <v>0</v>
      </c>
      <c r="P1811" s="77" t="b" cm="1">
        <f t="array" ref="P1811">INDEX(stable[is_single_select],MATCH(VALUE(questions[[#This Row],[qno]]),VALUE(stable[qno]),0))</f>
        <v>1</v>
      </c>
      <c r="Q1811" s="77" t="b" cm="1">
        <f t="array" ref="Q1811">INDEX(stable[is_multi_select],MATCH(VALUE(questions[[#This Row],[qno]]),VALUE(stable[qno]),0))</f>
        <v>0</v>
      </c>
      <c r="R1811" s="77" t="b" cm="1">
        <f t="array" ref="R1811">INDEX(stable[is_skip_logic],MATCH(VALUE(questions[[#This Row],[qno]]),VALUE(stable[qno]),0))</f>
        <v>0</v>
      </c>
      <c r="S1811" s="77" t="str">
        <f>_xlfn.TEXTJOIN(", ",TRUE,questions[[#This Row],[ans_opt_1]:[ans_opt_14]])</f>
        <v>I don't apply, I apply once per season, I apply multiple times throughout the season</v>
      </c>
      <c r="T1811" s="77" t="s">
        <v>383</v>
      </c>
      <c r="U1811" s="77" t="s">
        <v>384</v>
      </c>
      <c r="V1811" s="77" t="s">
        <v>385</v>
      </c>
      <c r="AH1811" s="98" t="b">
        <f>INDEX(stable[q_standard],MATCH(questions[[#This Row],[qno]],stable[qno],0))</f>
        <v>0</v>
      </c>
      <c r="AI1811" s="98" t="b">
        <f>INDEX(stable[q_living_income],MATCH(questions[[#This Row],[qno]],stable[qno],0))</f>
        <v>0</v>
      </c>
      <c r="AJ1811" s="98" t="b">
        <f>INDEX(stable[q_carbon],MATCH(questions[[#This Row],[qno]],stable[qno],0))</f>
        <v>0</v>
      </c>
      <c r="AK1811" s="98" t="b">
        <f>INDEX(stable[q_regen_ag],MATCH(questions[[#This Row],[qno]],stable[qno],0))</f>
        <v>1</v>
      </c>
      <c r="AL1811" s="198" t="b">
        <f>COUNTIFS(stable[qno],questions[[#This Row],[qno]])=1</f>
        <v>1</v>
      </c>
      <c r="AM1811" s="98" t="b">
        <f>OR(questions[[#This Row],[is_fixed]],questions[[#This Row],[is_localized]],questions[[#This Row],[is_supply_chain_dependent]])</f>
        <v>1</v>
      </c>
      <c r="AN1811" s="98" t="b">
        <f>COUNTIFS(questions[[#This Row],[is_automated]:[is_multi_select]],TRUE)=1</f>
        <v>1</v>
      </c>
      <c r="AO1811" s="98" t="b">
        <f>IF(questions[[#This Row],[is_fixed]],questions[[#This Row],[question]]=INDEX(stable[question],MATCH(questions[[#This Row],[qno]],stable[qno],0)),TRUE)</f>
        <v>1</v>
      </c>
      <c r="AP1811" s="98" t="str">
        <f>LEFT(questions[[#This Row],[question]],similarity_range)</f>
        <v>How often do you app</v>
      </c>
      <c r="AQ1811" s="98" t="str">
        <f>LEFT(INDEX(stable[question],MATCH(questions[[#This Row],[qno]],stable[qno],0)),similarity_range)</f>
        <v>How often do you app</v>
      </c>
      <c r="AR1811" s="98" t="b">
        <f>questions[[#This Row],[question_first_characters]]=questions[[#This Row],[stability_first_characters]]</f>
        <v>1</v>
      </c>
      <c r="AS1811" s="98" t="b">
        <f>IF(OR(questions[[#This Row],[is_single_select]],questions[[#This Row],[is_multi_select]]),NOT(ISBLANK(questions[[#This Row],[answer_opt_combined]])),TRUE)</f>
        <v>1</v>
      </c>
    </row>
    <row r="1812" spans="1:45" s="77" customFormat="1" ht="15.75" customHeight="1" x14ac:dyDescent="0.25">
      <c r="A1812" s="77" t="str">
        <f>_xlfn.TEXTJOIN("_",TRUE,questions[[#This Row],[origin]:[qno]])</f>
        <v>Uganda_Robusta_2026_7132</v>
      </c>
      <c r="B1812" s="77" t="s">
        <v>511</v>
      </c>
      <c r="C1812" s="77" t="s">
        <v>674</v>
      </c>
      <c r="E1812" s="77">
        <v>2026</v>
      </c>
      <c r="F1812" s="104" t="s">
        <v>386</v>
      </c>
      <c r="G1812" s="78" t="s">
        <v>387</v>
      </c>
      <c r="H1812" s="9" t="str" cm="1">
        <f t="array" ref="H1812">INDEX(stableR[question],MATCH(VALUE(questions[[#This Row],[qno]]),VALUE(stableR[qno]),0))</f>
        <v>How do you apply the organic and synthetic fertilizers to the coffee trees in the coffee plots?</v>
      </c>
      <c r="I1812" s="9" t="b" cm="1">
        <f t="array" ref="I1812">INDEX(stable[is_fixed],MATCH(VALUE(questions[[#This Row],[qno]]),VALUE(stable[qno]),0))</f>
        <v>1</v>
      </c>
      <c r="J1812" s="9" t="b" cm="1">
        <f t="array" ref="J1812">INDEX(stable[is_localized],MATCH(VALUE(questions[[#This Row],[qno]]),VALUE(stable[qno]),0))</f>
        <v>0</v>
      </c>
      <c r="K1812" s="9" t="b" cm="1">
        <f t="array" ref="K1812">INDEX(stable[is_supply_chain_dependent],MATCH(VALUE(questions[[#This Row],[qno]]),VALUE(stable[qno]),0))</f>
        <v>0</v>
      </c>
      <c r="L1812" s="9" t="b" cm="1">
        <f t="array" ref="L1812">INDEX(stable[is_mandatory],MATCH(VALUE(questions[[#This Row],[qno]]),VALUE(stable[qno]),0))</f>
        <v>0</v>
      </c>
      <c r="M1812" s="9" t="b" cm="1">
        <f t="array" ref="M1812">INDEX(stable[is_automated],MATCH(VALUE(questions[[#This Row],[qno]]),VALUE(stable[qno]),0))</f>
        <v>0</v>
      </c>
      <c r="N1812" s="9" t="b" cm="1">
        <f t="array" ref="N1812">INDEX(stable[is_free_text],MATCH(VALUE(questions[[#This Row],[qno]]),VALUE(stable[qno]),0))</f>
        <v>0</v>
      </c>
      <c r="O1812" s="9" t="b" cm="1">
        <f t="array" ref="O1812">INDEX(stable[is_numerical],MATCH(VALUE(questions[[#This Row],[qno]]),VALUE(stable[qno]),0))</f>
        <v>0</v>
      </c>
      <c r="P1812" s="77" t="b" cm="1">
        <f t="array" ref="P1812">INDEX(stable[is_single_select],MATCH(VALUE(questions[[#This Row],[qno]]),VALUE(stable[qno]),0))</f>
        <v>1</v>
      </c>
      <c r="Q1812" s="77" t="b" cm="1">
        <f t="array" ref="Q1812">INDEX(stable[is_multi_select],MATCH(VALUE(questions[[#This Row],[qno]]),VALUE(stable[qno]),0))</f>
        <v>0</v>
      </c>
      <c r="R1812" s="77" t="b" cm="1">
        <f t="array" ref="R1812">INDEX(stable[is_skip_logic],MATCH(VALUE(questions[[#This Row],[qno]]),VALUE(stable[qno]),0))</f>
        <v>0</v>
      </c>
      <c r="S1812" s="77" t="str">
        <f>_xlfn.TEXTJOIN(", ",TRUE,questions[[#This Row],[ans_opt_1]:[ans_opt_14]])</f>
        <v>Around the tree , In bands close to the trees, Broadcasted in all the field, Through the irrigation system (e.g. drip)</v>
      </c>
      <c r="T1812" s="77" t="s">
        <v>797</v>
      </c>
      <c r="U1812" s="77" t="s">
        <v>389</v>
      </c>
      <c r="V1812" s="77" t="s">
        <v>390</v>
      </c>
      <c r="W1812" s="77" t="s">
        <v>391</v>
      </c>
      <c r="AH1812" s="98" t="b">
        <f>INDEX(stable[q_standard],MATCH(questions[[#This Row],[qno]],stable[qno],0))</f>
        <v>0</v>
      </c>
      <c r="AI1812" s="98" t="b">
        <f>INDEX(stable[q_living_income],MATCH(questions[[#This Row],[qno]],stable[qno],0))</f>
        <v>0</v>
      </c>
      <c r="AJ1812" s="98" t="b">
        <f>INDEX(stable[q_carbon],MATCH(questions[[#This Row],[qno]],stable[qno],0))</f>
        <v>0</v>
      </c>
      <c r="AK1812" s="98" t="b">
        <f>INDEX(stable[q_regen_ag],MATCH(questions[[#This Row],[qno]],stable[qno],0))</f>
        <v>1</v>
      </c>
      <c r="AL1812" s="198" t="b">
        <f>COUNTIFS(stable[qno],questions[[#This Row],[qno]])=1</f>
        <v>1</v>
      </c>
      <c r="AM1812" s="98" t="b">
        <f>OR(questions[[#This Row],[is_fixed]],questions[[#This Row],[is_localized]],questions[[#This Row],[is_supply_chain_dependent]])</f>
        <v>1</v>
      </c>
      <c r="AN1812" s="98" t="b">
        <f>COUNTIFS(questions[[#This Row],[is_automated]:[is_multi_select]],TRUE)=1</f>
        <v>1</v>
      </c>
      <c r="AO1812" s="98" t="b">
        <f>IF(questions[[#This Row],[is_fixed]],questions[[#This Row],[question]]=INDEX(stable[question],MATCH(questions[[#This Row],[qno]],stable[qno],0)),TRUE)</f>
        <v>1</v>
      </c>
      <c r="AP1812" s="98" t="str">
        <f>LEFT(questions[[#This Row],[question]],similarity_range)</f>
        <v>How do you apply the</v>
      </c>
      <c r="AQ1812" s="98" t="str">
        <f>LEFT(INDEX(stable[question],MATCH(questions[[#This Row],[qno]],stable[qno],0)),similarity_range)</f>
        <v>How do you apply the</v>
      </c>
      <c r="AR1812" s="98" t="b">
        <f>questions[[#This Row],[question_first_characters]]=questions[[#This Row],[stability_first_characters]]</f>
        <v>1</v>
      </c>
      <c r="AS1812" s="98" t="b">
        <f>IF(OR(questions[[#This Row],[is_single_select]],questions[[#This Row],[is_multi_select]]),NOT(ISBLANK(questions[[#This Row],[answer_opt_combined]])),TRUE)</f>
        <v>1</v>
      </c>
    </row>
    <row r="1813" spans="1:45" s="77" customFormat="1" ht="15.75" customHeight="1" x14ac:dyDescent="0.25">
      <c r="A1813" s="77" t="str">
        <f>_xlfn.TEXTJOIN("_",TRUE,questions[[#This Row],[origin]:[qno]])</f>
        <v>Uganda_Robusta_2026_7133</v>
      </c>
      <c r="B1813" s="77" t="s">
        <v>511</v>
      </c>
      <c r="C1813" s="77" t="s">
        <v>674</v>
      </c>
      <c r="E1813" s="77">
        <v>2026</v>
      </c>
      <c r="F1813" s="104" t="s">
        <v>392</v>
      </c>
      <c r="G1813" s="78" t="s">
        <v>798</v>
      </c>
      <c r="H1813" s="9" t="str" cm="1">
        <f t="array" ref="H1813">INDEX(stableR[question],MATCH(VALUE(questions[[#This Row],[qno]]),VALUE(stableR[qno]),0))</f>
        <v>Do you know the 4R principles of using organic and synthetic fertilizers in crops (Right Amount, Right Product, Right Time, Right Place)?</v>
      </c>
      <c r="I1813" s="9" t="b" cm="1">
        <f t="array" ref="I1813">INDEX(stable[is_fixed],MATCH(VALUE(questions[[#This Row],[qno]]),VALUE(stable[qno]),0))</f>
        <v>1</v>
      </c>
      <c r="J1813" s="9" t="b" cm="1">
        <f t="array" ref="J1813">INDEX(stable[is_localized],MATCH(VALUE(questions[[#This Row],[qno]]),VALUE(stable[qno]),0))</f>
        <v>0</v>
      </c>
      <c r="K1813" s="9" t="b" cm="1">
        <f t="array" ref="K1813">INDEX(stable[is_supply_chain_dependent],MATCH(VALUE(questions[[#This Row],[qno]]),VALUE(stable[qno]),0))</f>
        <v>0</v>
      </c>
      <c r="L1813" s="9" t="b" cm="1">
        <f t="array" ref="L1813">INDEX(stable[is_mandatory],MATCH(VALUE(questions[[#This Row],[qno]]),VALUE(stable[qno]),0))</f>
        <v>1</v>
      </c>
      <c r="M1813" s="9" t="b" cm="1">
        <f t="array" ref="M1813">INDEX(stable[is_automated],MATCH(VALUE(questions[[#This Row],[qno]]),VALUE(stable[qno]),0))</f>
        <v>0</v>
      </c>
      <c r="N1813" s="9" t="b" cm="1">
        <f t="array" ref="N1813">INDEX(stable[is_free_text],MATCH(VALUE(questions[[#This Row],[qno]]),VALUE(stable[qno]),0))</f>
        <v>0</v>
      </c>
      <c r="O1813" s="9" t="b" cm="1">
        <f t="array" ref="O1813">INDEX(stable[is_numerical],MATCH(VALUE(questions[[#This Row],[qno]]),VALUE(stable[qno]),0))</f>
        <v>0</v>
      </c>
      <c r="P1813" s="77" t="b" cm="1">
        <f t="array" ref="P1813">INDEX(stable[is_single_select],MATCH(VALUE(questions[[#This Row],[qno]]),VALUE(stable[qno]),0))</f>
        <v>1</v>
      </c>
      <c r="Q1813" s="77" t="b" cm="1">
        <f t="array" ref="Q1813">INDEX(stable[is_multi_select],MATCH(VALUE(questions[[#This Row],[qno]]),VALUE(stable[qno]),0))</f>
        <v>0</v>
      </c>
      <c r="R1813" s="77" t="b" cm="1">
        <f t="array" ref="R1813">INDEX(stable[is_skip_logic],MATCH(VALUE(questions[[#This Row],[qno]]),VALUE(stable[qno]),0))</f>
        <v>0</v>
      </c>
      <c r="S1813" s="77" t="str">
        <f>_xlfn.TEXTJOIN(", ",TRUE,questions[[#This Row],[ans_opt_1]:[ans_opt_14]])</f>
        <v>Yes, No</v>
      </c>
      <c r="T1813" s="77" t="s">
        <v>149</v>
      </c>
      <c r="U1813" s="77" t="s">
        <v>119</v>
      </c>
      <c r="AH1813" s="98" t="b">
        <f>INDEX(stable[q_standard],MATCH(questions[[#This Row],[qno]],stable[qno],0))</f>
        <v>0</v>
      </c>
      <c r="AI1813" s="98" t="b">
        <f>INDEX(stable[q_living_income],MATCH(questions[[#This Row],[qno]],stable[qno],0))</f>
        <v>0</v>
      </c>
      <c r="AJ1813" s="98" t="b">
        <f>INDEX(stable[q_carbon],MATCH(questions[[#This Row],[qno]],stable[qno],0))</f>
        <v>0</v>
      </c>
      <c r="AK1813" s="98" t="b">
        <f>INDEX(stable[q_regen_ag],MATCH(questions[[#This Row],[qno]],stable[qno],0))</f>
        <v>1</v>
      </c>
      <c r="AL1813" s="198" t="b">
        <f>COUNTIFS(stable[qno],questions[[#This Row],[qno]])=1</f>
        <v>1</v>
      </c>
      <c r="AM1813" s="98" t="b">
        <f>OR(questions[[#This Row],[is_fixed]],questions[[#This Row],[is_localized]],questions[[#This Row],[is_supply_chain_dependent]])</f>
        <v>1</v>
      </c>
      <c r="AN1813" s="98" t="b">
        <f>COUNTIFS(questions[[#This Row],[is_automated]:[is_multi_select]],TRUE)=1</f>
        <v>1</v>
      </c>
      <c r="AO1813" s="98" t="b">
        <f>IF(questions[[#This Row],[is_fixed]],questions[[#This Row],[question]]=INDEX(stable[question],MATCH(questions[[#This Row],[qno]],stable[qno],0)),TRUE)</f>
        <v>0</v>
      </c>
      <c r="AP1813" s="98" t="str">
        <f>LEFT(questions[[#This Row],[question]],similarity_range)</f>
        <v>Do you know the 4R p</v>
      </c>
      <c r="AQ1813" s="98" t="str">
        <f>LEFT(INDEX(stable[question],MATCH(questions[[#This Row],[qno]],stable[qno],0)),similarity_range)</f>
        <v>Do you know the 4R p</v>
      </c>
      <c r="AR1813" s="98" t="b">
        <f>questions[[#This Row],[question_first_characters]]=questions[[#This Row],[stability_first_characters]]</f>
        <v>1</v>
      </c>
      <c r="AS1813" s="98" t="b">
        <f>IF(OR(questions[[#This Row],[is_single_select]],questions[[#This Row],[is_multi_select]]),NOT(ISBLANK(questions[[#This Row],[answer_opt_combined]])),TRUE)</f>
        <v>1</v>
      </c>
    </row>
    <row r="1814" spans="1:45" s="77" customFormat="1" ht="15.75" customHeight="1" x14ac:dyDescent="0.25">
      <c r="A1814" s="77" t="str">
        <f>_xlfn.TEXTJOIN("_",TRUE,questions[[#This Row],[origin]:[qno]])</f>
        <v>Uganda_Robusta_2026_7240</v>
      </c>
      <c r="B1814" s="77" t="s">
        <v>511</v>
      </c>
      <c r="C1814" s="77" t="s">
        <v>674</v>
      </c>
      <c r="E1814" s="77">
        <v>2026</v>
      </c>
      <c r="F1814" s="104" t="s">
        <v>394</v>
      </c>
      <c r="G1814" s="78" t="s">
        <v>395</v>
      </c>
      <c r="H1814" s="9" t="str" cm="1">
        <f t="array" ref="H1814">INDEX(stableR[question],MATCH(VALUE(questions[[#This Row],[qno]]),VALUE(stableR[qno]),0))</f>
        <v>Do you apply chemical PPPs (plant protection products) like pesticides/fungicides/nematicides in your coffee crop, and how many different active ingredients per crop season?</v>
      </c>
      <c r="I1814" s="9" t="b" cm="1">
        <f t="array" ref="I1814">INDEX(stable[is_fixed],MATCH(VALUE(questions[[#This Row],[qno]]),VALUE(stable[qno]),0))</f>
        <v>1</v>
      </c>
      <c r="J1814" s="9" t="b" cm="1">
        <f t="array" ref="J1814">INDEX(stable[is_localized],MATCH(VALUE(questions[[#This Row],[qno]]),VALUE(stable[qno]),0))</f>
        <v>0</v>
      </c>
      <c r="K1814" s="9" t="b" cm="1">
        <f t="array" ref="K1814">INDEX(stable[is_supply_chain_dependent],MATCH(VALUE(questions[[#This Row],[qno]]),VALUE(stable[qno]),0))</f>
        <v>0</v>
      </c>
      <c r="L1814" s="9" t="b" cm="1">
        <f t="array" ref="L1814">INDEX(stable[is_mandatory],MATCH(VALUE(questions[[#This Row],[qno]]),VALUE(stable[qno]),0))</f>
        <v>1</v>
      </c>
      <c r="M1814" s="9" t="b" cm="1">
        <f t="array" ref="M1814">INDEX(stable[is_automated],MATCH(VALUE(questions[[#This Row],[qno]]),VALUE(stable[qno]),0))</f>
        <v>0</v>
      </c>
      <c r="N1814" s="9" t="b" cm="1">
        <f t="array" ref="N1814">INDEX(stable[is_free_text],MATCH(VALUE(questions[[#This Row],[qno]]),VALUE(stable[qno]),0))</f>
        <v>0</v>
      </c>
      <c r="O1814" s="9" t="b" cm="1">
        <f t="array" ref="O1814">INDEX(stable[is_numerical],MATCH(VALUE(questions[[#This Row],[qno]]),VALUE(stable[qno]),0))</f>
        <v>0</v>
      </c>
      <c r="P1814" s="77" t="b" cm="1">
        <f t="array" ref="P1814">INDEX(stable[is_single_select],MATCH(VALUE(questions[[#This Row],[qno]]),VALUE(stable[qno]),0))</f>
        <v>1</v>
      </c>
      <c r="Q1814" s="77" t="b" cm="1">
        <f t="array" ref="Q1814">INDEX(stable[is_multi_select],MATCH(VALUE(questions[[#This Row],[qno]]),VALUE(stable[qno]),0))</f>
        <v>0</v>
      </c>
      <c r="R1814" s="77" t="b" cm="1">
        <f t="array" ref="R1814">INDEX(stable[is_skip_logic],MATCH(VALUE(questions[[#This Row],[qno]]),VALUE(stable[qno]),0))</f>
        <v>1</v>
      </c>
      <c r="S1814" s="77" t="str">
        <f>_xlfn.TEXTJOIN(", ",TRUE,questions[[#This Row],[ans_opt_1]:[ans_opt_14]])</f>
        <v>No, Yes / 1-3 active ingredients, Yes / 4-5 active ingredients, Yes / &gt; 5 active ingredients</v>
      </c>
      <c r="T1814" s="77" t="s">
        <v>119</v>
      </c>
      <c r="U1814" s="77" t="s">
        <v>1042</v>
      </c>
      <c r="V1814" s="77" t="s">
        <v>1043</v>
      </c>
      <c r="W1814" s="77" t="s">
        <v>1044</v>
      </c>
      <c r="AH1814" s="98" t="b">
        <f>INDEX(stable[q_standard],MATCH(questions[[#This Row],[qno]],stable[qno],0))</f>
        <v>0</v>
      </c>
      <c r="AI1814" s="98" t="b">
        <f>INDEX(stable[q_living_income],MATCH(questions[[#This Row],[qno]],stable[qno],0))</f>
        <v>0</v>
      </c>
      <c r="AJ1814" s="98" t="b">
        <f>INDEX(stable[q_carbon],MATCH(questions[[#This Row],[qno]],stable[qno],0))</f>
        <v>0</v>
      </c>
      <c r="AK1814" s="98" t="b">
        <f>INDEX(stable[q_regen_ag],MATCH(questions[[#This Row],[qno]],stable[qno],0))</f>
        <v>1</v>
      </c>
      <c r="AL1814" s="200" t="b">
        <f>COUNTIFS(stable[qno],questions[[#This Row],[qno]])=1</f>
        <v>1</v>
      </c>
      <c r="AM1814" s="98" t="b">
        <f>OR(questions[[#This Row],[is_fixed]],questions[[#This Row],[is_localized]],questions[[#This Row],[is_supply_chain_dependent]])</f>
        <v>1</v>
      </c>
      <c r="AN1814" s="98" t="b">
        <f>COUNTIFS(questions[[#This Row],[is_automated]:[is_multi_select]],TRUE)=1</f>
        <v>1</v>
      </c>
      <c r="AO1814" s="98" t="b">
        <f>IF(questions[[#This Row],[is_fixed]],questions[[#This Row],[question]]=INDEX(stable[question],MATCH(questions[[#This Row],[qno]],stable[qno],0)),TRUE)</f>
        <v>0</v>
      </c>
      <c r="AP1814" s="98" t="str">
        <f>LEFT(questions[[#This Row],[question]],similarity_range)</f>
        <v>Did you use chemical</v>
      </c>
      <c r="AQ1814" s="98" t="str">
        <f>LEFT(INDEX(stable[question],MATCH(questions[[#This Row],[qno]],stable[qno],0)),similarity_range)</f>
        <v>Did you use chemical</v>
      </c>
      <c r="AR1814" s="98" t="b">
        <f>questions[[#This Row],[question_first_characters]]=questions[[#This Row],[stability_first_characters]]</f>
        <v>1</v>
      </c>
      <c r="AS1814" s="98" t="b">
        <f>IF(OR(questions[[#This Row],[is_single_select]],questions[[#This Row],[is_multi_select]]),NOT(ISBLANK(questions[[#This Row],[answer_opt_combined]])),TRUE)</f>
        <v>1</v>
      </c>
    </row>
    <row r="1815" spans="1:45" ht="15.75" customHeight="1" x14ac:dyDescent="0.25">
      <c r="A1815" s="9" t="str">
        <f>_xlfn.TEXTJOIN("_",TRUE,questions[[#This Row],[origin]:[qno]])</f>
        <v>Uganda_Robusta_2026_7246</v>
      </c>
      <c r="B1815" s="9" t="s">
        <v>511</v>
      </c>
      <c r="C1815" s="9" t="s">
        <v>674</v>
      </c>
      <c r="E1815" s="33">
        <v>2026</v>
      </c>
      <c r="F1815" s="101">
        <v>7246</v>
      </c>
      <c r="G1815" s="15" t="s">
        <v>1046</v>
      </c>
      <c r="H1815" s="9" t="str" cm="1">
        <f t="array" ref="H1815">INDEX(stableR[question],MATCH(VALUE(questions[[#This Row],[qno]]),VALUE(stableR[qno]),0))</f>
        <v>Have you decreased or increased the number of chemical PPPs in the last 3 years, and what was the main reason for that? e.g. increase due to more pest/disease pressure, resistance to PPPs, adverse weather conditions…</v>
      </c>
      <c r="I1815" s="9" t="b" cm="1">
        <f t="array" ref="I1815">INDEX(stable[is_fixed],MATCH(VALUE(questions[[#This Row],[qno]]),VALUE(stable[qno]),0))</f>
        <v>1</v>
      </c>
      <c r="J1815" s="9" t="b" cm="1">
        <f t="array" ref="J1815">INDEX(stable[is_localized],MATCH(VALUE(questions[[#This Row],[qno]]),VALUE(stable[qno]),0))</f>
        <v>0</v>
      </c>
      <c r="K1815" s="9" t="b" cm="1">
        <f t="array" ref="K1815">INDEX(stable[is_supply_chain_dependent],MATCH(VALUE(questions[[#This Row],[qno]]),VALUE(stable[qno]),0))</f>
        <v>0</v>
      </c>
      <c r="L1815" s="9" t="b" cm="1">
        <f t="array" ref="L1815">INDEX(stable[is_mandatory],MATCH(VALUE(questions[[#This Row],[qno]]),VALUE(stable[qno]),0))</f>
        <v>1</v>
      </c>
      <c r="M1815" s="9" t="b" cm="1">
        <f t="array" ref="M1815">INDEX(stable[is_automated],MATCH(VALUE(questions[[#This Row],[qno]]),VALUE(stable[qno]),0))</f>
        <v>0</v>
      </c>
      <c r="N1815" s="9" t="b" cm="1">
        <f t="array" ref="N1815">INDEX(stable[is_free_text],MATCH(VALUE(questions[[#This Row],[qno]]),VALUE(stable[qno]),0))</f>
        <v>1</v>
      </c>
      <c r="O1815" s="9" t="b" cm="1">
        <f t="array" ref="O1815">INDEX(stable[is_numerical],MATCH(VALUE(questions[[#This Row],[qno]]),VALUE(stable[qno]),0))</f>
        <v>0</v>
      </c>
      <c r="P1815" s="9" t="b" cm="1">
        <f t="array" ref="P1815">INDEX(stable[is_single_select],MATCH(VALUE(questions[[#This Row],[qno]]),VALUE(stable[qno]),0))</f>
        <v>0</v>
      </c>
      <c r="Q1815" s="9" t="b" cm="1">
        <f t="array" ref="Q1815">INDEX(stable[is_multi_select],MATCH(VALUE(questions[[#This Row],[qno]]),VALUE(stable[qno]),0))</f>
        <v>0</v>
      </c>
      <c r="R1815" s="9" t="b" cm="1">
        <f t="array" ref="R1815">INDEX(stable[is_skip_logic],MATCH(VALUE(questions[[#This Row],[qno]]),VALUE(stable[qno]),0))</f>
        <v>1</v>
      </c>
      <c r="S1815" s="9" t="str">
        <f>_xlfn.TEXTJOIN(", ",TRUE,questions[[#This Row],[ans_opt_1]:[ans_opt_14]])</f>
        <v/>
      </c>
      <c r="AH1815" s="16" t="b">
        <v>0</v>
      </c>
      <c r="AI1815" s="16" t="b">
        <v>0</v>
      </c>
      <c r="AJ1815" s="16" t="b">
        <v>0</v>
      </c>
      <c r="AK1815" s="16" t="b">
        <v>1</v>
      </c>
      <c r="AL1815" s="200" t="b">
        <f>COUNTIFS(stable[qno],questions[[#This Row],[qno]])=1</f>
        <v>1</v>
      </c>
      <c r="AM1815" s="16" t="b">
        <f>OR(questions[[#This Row],[is_fixed]],questions[[#This Row],[is_localized]],questions[[#This Row],[is_supply_chain_dependent]])</f>
        <v>1</v>
      </c>
      <c r="AN1815" s="16" t="b">
        <f>COUNTIFS(questions[[#This Row],[is_automated]:[is_multi_select]],TRUE)=1</f>
        <v>1</v>
      </c>
      <c r="AO1815" s="16" t="e">
        <f>IF(questions[[#This Row],[is_fixed]],questions[[#This Row],[question]]=INDEX(stable[question],MATCH(questions[[#This Row],[qno]],stable[qno],0)),TRUE)</f>
        <v>#N/A</v>
      </c>
      <c r="AP1815" s="16" t="str">
        <f>LEFT(questions[[#This Row],[question]],similarity_range)</f>
        <v>If yes, list the nam</v>
      </c>
      <c r="AQ1815" s="16" t="e">
        <f>LEFT(INDEX(stable[question],MATCH(questions[[#This Row],[qno]],stable[qno],0)),similarity_range)</f>
        <v>#N/A</v>
      </c>
      <c r="AR1815" s="16" t="e">
        <f>questions[[#This Row],[question_first_characters]]=questions[[#This Row],[stability_first_characters]]</f>
        <v>#N/A</v>
      </c>
      <c r="AS1815" s="16" t="b">
        <f>IF(OR(questions[[#This Row],[is_single_select]],questions[[#This Row],[is_multi_select]]),NOT(ISBLANK(questions[[#This Row],[answer_opt_combined]])),TRUE)</f>
        <v>1</v>
      </c>
    </row>
    <row r="1816" spans="1:45" s="77" customFormat="1" ht="15.75" customHeight="1" x14ac:dyDescent="0.25">
      <c r="A1816" s="77" t="str">
        <f>_xlfn.TEXTJOIN("_",TRUE,questions[[#This Row],[origin]:[qno]])</f>
        <v>Uganda_Robusta_2026_7241</v>
      </c>
      <c r="B1816" s="77" t="s">
        <v>511</v>
      </c>
      <c r="C1816" s="77" t="s">
        <v>674</v>
      </c>
      <c r="E1816" s="77">
        <v>2026</v>
      </c>
      <c r="F1816" s="104" t="s">
        <v>396</v>
      </c>
      <c r="G1816" s="78" t="s">
        <v>397</v>
      </c>
      <c r="H1816" s="9" t="str" cm="1">
        <f t="array" ref="H1816">INDEX(stableR[question],MATCH(VALUE(questions[[#This Row],[qno]]),VALUE(stableR[qno]),0))</f>
        <v>If yes, list the names of all the pesticides and/or fungicides that you used, last year.</v>
      </c>
      <c r="I1816" s="9" t="b" cm="1">
        <f t="array" ref="I1816">INDEX(stable[is_fixed],MATCH(VALUE(questions[[#This Row],[qno]]),VALUE(stable[qno]),0))</f>
        <v>1</v>
      </c>
      <c r="J1816" s="9" t="b" cm="1">
        <f t="array" ref="J1816">INDEX(stable[is_localized],MATCH(VALUE(questions[[#This Row],[qno]]),VALUE(stable[qno]),0))</f>
        <v>0</v>
      </c>
      <c r="K1816" s="9" t="b" cm="1">
        <f t="array" ref="K1816">INDEX(stable[is_supply_chain_dependent],MATCH(VALUE(questions[[#This Row],[qno]]),VALUE(stable[qno]),0))</f>
        <v>0</v>
      </c>
      <c r="L1816" s="9" t="b" cm="1">
        <f t="array" ref="L1816">INDEX(stable[is_mandatory],MATCH(VALUE(questions[[#This Row],[qno]]),VALUE(stable[qno]),0))</f>
        <v>0</v>
      </c>
      <c r="M1816" s="9" t="b" cm="1">
        <f t="array" ref="M1816">INDEX(stable[is_automated],MATCH(VALUE(questions[[#This Row],[qno]]),VALUE(stable[qno]),0))</f>
        <v>0</v>
      </c>
      <c r="N1816" s="9" t="b" cm="1">
        <f t="array" ref="N1816">INDEX(stable[is_free_text],MATCH(VALUE(questions[[#This Row],[qno]]),VALUE(stable[qno]),0))</f>
        <v>0</v>
      </c>
      <c r="O1816" s="9" t="b" cm="1">
        <f t="array" ref="O1816">INDEX(stable[is_numerical],MATCH(VALUE(questions[[#This Row],[qno]]),VALUE(stable[qno]),0))</f>
        <v>0</v>
      </c>
      <c r="P1816" s="77" t="b" cm="1">
        <f t="array" ref="P1816">INDEX(stable[is_single_select],MATCH(VALUE(questions[[#This Row],[qno]]),VALUE(stable[qno]),0))</f>
        <v>1</v>
      </c>
      <c r="Q1816" s="77" t="b" cm="1">
        <f t="array" ref="Q1816">INDEX(stable[is_multi_select],MATCH(VALUE(questions[[#This Row],[qno]]),VALUE(stable[qno]),0))</f>
        <v>0</v>
      </c>
      <c r="R1816" s="77" t="b" cm="1">
        <f t="array" ref="R1816">INDEX(stable[is_skip_logic],MATCH(VALUE(questions[[#This Row],[qno]]),VALUE(stable[qno]),0))</f>
        <v>1</v>
      </c>
      <c r="S1816" s="77" t="str">
        <f>_xlfn.TEXTJOIN(", ",TRUE,questions[[#This Row],[ans_opt_1]:[ans_opt_14]])</f>
        <v>Yes, No</v>
      </c>
      <c r="T1816" s="77" t="s">
        <v>149</v>
      </c>
      <c r="U1816" s="77" t="s">
        <v>119</v>
      </c>
      <c r="AH1816" s="98" t="b">
        <f>INDEX(stable[q_standard],MATCH(questions[[#This Row],[qno]],stable[qno],0))</f>
        <v>0</v>
      </c>
      <c r="AI1816" s="98" t="b">
        <f>INDEX(stable[q_living_income],MATCH(questions[[#This Row],[qno]],stable[qno],0))</f>
        <v>0</v>
      </c>
      <c r="AJ1816" s="98" t="b">
        <f>INDEX(stable[q_carbon],MATCH(questions[[#This Row],[qno]],stable[qno],0))</f>
        <v>0</v>
      </c>
      <c r="AK1816" s="98" t="b">
        <f>INDEX(stable[q_regen_ag],MATCH(questions[[#This Row],[qno]],stable[qno],0))</f>
        <v>1</v>
      </c>
      <c r="AL1816" s="201" t="b">
        <f>COUNTIFS(stable[qno],questions[[#This Row],[qno]])=1</f>
        <v>1</v>
      </c>
      <c r="AM1816" s="98" t="b">
        <f>OR(questions[[#This Row],[is_fixed]],questions[[#This Row],[is_localized]],questions[[#This Row],[is_supply_chain_dependent]])</f>
        <v>1</v>
      </c>
      <c r="AN1816" s="98" t="b">
        <f>COUNTIFS(questions[[#This Row],[is_automated]:[is_multi_select]],TRUE)=1</f>
        <v>1</v>
      </c>
      <c r="AO1816" s="98" t="b">
        <f>IF(questions[[#This Row],[is_fixed]],questions[[#This Row],[question]]=INDEX(stable[question],MATCH(questions[[#This Row],[qno]],stable[qno],0)),TRUE)</f>
        <v>0</v>
      </c>
      <c r="AP1816" s="98" t="str">
        <f>LEFT(questions[[#This Row],[question]],similarity_range)</f>
        <v>If you apply chemica</v>
      </c>
      <c r="AQ1816" s="98" t="str">
        <f>LEFT(INDEX(stable[question],MATCH(questions[[#This Row],[qno]],stable[qno],0)),similarity_range)</f>
        <v>If you apply chemica</v>
      </c>
      <c r="AR1816" s="98" t="b">
        <f>questions[[#This Row],[question_first_characters]]=questions[[#This Row],[stability_first_characters]]</f>
        <v>1</v>
      </c>
      <c r="AS1816" s="98" t="b">
        <f>IF(OR(questions[[#This Row],[is_single_select]],questions[[#This Row],[is_multi_select]]),NOT(ISBLANK(questions[[#This Row],[answer_opt_combined]])),TRUE)</f>
        <v>1</v>
      </c>
    </row>
    <row r="1817" spans="1:45" s="77" customFormat="1" ht="15.75" customHeight="1" x14ac:dyDescent="0.25">
      <c r="A1817" s="77" t="str">
        <f>_xlfn.TEXTJOIN("_",TRUE,questions[[#This Row],[origin]:[qno]])</f>
        <v>Uganda_Robusta_2026_7242</v>
      </c>
      <c r="B1817" s="77" t="s">
        <v>511</v>
      </c>
      <c r="C1817" s="77" t="s">
        <v>674</v>
      </c>
      <c r="E1817" s="77">
        <v>2026</v>
      </c>
      <c r="F1817" s="104" t="s">
        <v>398</v>
      </c>
      <c r="G1817" s="78" t="s">
        <v>801</v>
      </c>
      <c r="H1817" s="9" t="str" cm="1">
        <f t="array" ref="H1817">INDEX(stableR[question],MATCH(VALUE(questions[[#This Row],[qno]]),VALUE(stableR[qno]),0))</f>
        <v>If you apply chemical PPPs, are you aware of the IPM-Integrated Pest Management concept and practices (e.g. pest-disease identification and monitoring, right moment for control, use of a combination of biological, cultural, physical/mechanical and chemical tools to prevent and control)?</v>
      </c>
      <c r="I1817" s="9" t="b" cm="1">
        <f t="array" ref="I1817">INDEX(stable[is_fixed],MATCH(VALUE(questions[[#This Row],[qno]]),VALUE(stable[qno]),0))</f>
        <v>1</v>
      </c>
      <c r="J1817" s="9" t="b" cm="1">
        <f t="array" ref="J1817">INDEX(stable[is_localized],MATCH(VALUE(questions[[#This Row],[qno]]),VALUE(stable[qno]),0))</f>
        <v>0</v>
      </c>
      <c r="K1817" s="9" t="b" cm="1">
        <f t="array" ref="K1817">INDEX(stable[is_supply_chain_dependent],MATCH(VALUE(questions[[#This Row],[qno]]),VALUE(stable[qno]),0))</f>
        <v>0</v>
      </c>
      <c r="L1817" s="9" t="b" cm="1">
        <f t="array" ref="L1817">INDEX(stable[is_mandatory],MATCH(VALUE(questions[[#This Row],[qno]]),VALUE(stable[qno]),0))</f>
        <v>0</v>
      </c>
      <c r="M1817" s="9" t="b" cm="1">
        <f t="array" ref="M1817">INDEX(stable[is_automated],MATCH(VALUE(questions[[#This Row],[qno]]),VALUE(stable[qno]),0))</f>
        <v>0</v>
      </c>
      <c r="N1817" s="9" t="b" cm="1">
        <f t="array" ref="N1817">INDEX(stable[is_free_text],MATCH(VALUE(questions[[#This Row],[qno]]),VALUE(stable[qno]),0))</f>
        <v>0</v>
      </c>
      <c r="O1817" s="9" t="b" cm="1">
        <f t="array" ref="O1817">INDEX(stable[is_numerical],MATCH(VALUE(questions[[#This Row],[qno]]),VALUE(stable[qno]),0))</f>
        <v>0</v>
      </c>
      <c r="P1817" s="77" t="b" cm="1">
        <f t="array" ref="P1817">INDEX(stable[is_single_select],MATCH(VALUE(questions[[#This Row],[qno]]),VALUE(stable[qno]),0))</f>
        <v>1</v>
      </c>
      <c r="Q1817" s="77" t="b" cm="1">
        <f t="array" ref="Q1817">INDEX(stable[is_multi_select],MATCH(VALUE(questions[[#This Row],[qno]]),VALUE(stable[qno]),0))</f>
        <v>0</v>
      </c>
      <c r="R1817" s="77" t="b" cm="1">
        <f t="array" ref="R1817">INDEX(stable[is_skip_logic],MATCH(VALUE(questions[[#This Row],[qno]]),VALUE(stable[qno]),0))</f>
        <v>1</v>
      </c>
      <c r="S1817" s="77" t="str">
        <f>_xlfn.TEXTJOIN(", ",TRUE,questions[[#This Row],[ans_opt_1]:[ans_opt_14]])</f>
        <v>Yes, No</v>
      </c>
      <c r="T1817" s="77" t="s">
        <v>149</v>
      </c>
      <c r="U1817" s="77" t="s">
        <v>119</v>
      </c>
      <c r="AH1817" s="98" t="b">
        <f>INDEX(stable[q_standard],MATCH(questions[[#This Row],[qno]],stable[qno],0))</f>
        <v>0</v>
      </c>
      <c r="AI1817" s="98" t="b">
        <f>INDEX(stable[q_living_income],MATCH(questions[[#This Row],[qno]],stable[qno],0))</f>
        <v>0</v>
      </c>
      <c r="AJ1817" s="98" t="b">
        <f>INDEX(stable[q_carbon],MATCH(questions[[#This Row],[qno]],stable[qno],0))</f>
        <v>0</v>
      </c>
      <c r="AK1817" s="98" t="b">
        <f>INDEX(stable[q_regen_ag],MATCH(questions[[#This Row],[qno]],stable[qno],0))</f>
        <v>1</v>
      </c>
      <c r="AL1817" s="201" t="b">
        <f>COUNTIFS(stable[qno],questions[[#This Row],[qno]])=1</f>
        <v>1</v>
      </c>
      <c r="AM1817" s="98" t="b">
        <f>OR(questions[[#This Row],[is_fixed]],questions[[#This Row],[is_localized]],questions[[#This Row],[is_supply_chain_dependent]])</f>
        <v>1</v>
      </c>
      <c r="AN1817" s="98" t="b">
        <f>COUNTIFS(questions[[#This Row],[is_automated]:[is_multi_select]],TRUE)=1</f>
        <v>1</v>
      </c>
      <c r="AO1817" s="98" t="b">
        <f>IF(questions[[#This Row],[is_fixed]],questions[[#This Row],[question]]=INDEX(stable[question],MATCH(questions[[#This Row],[qno]],stable[qno],0)),TRUE)</f>
        <v>0</v>
      </c>
      <c r="AP1817" s="98" t="str">
        <f>LEFT(questions[[#This Row],[question]],similarity_range)</f>
        <v>If you apply chemica</v>
      </c>
      <c r="AQ1817" s="98" t="str">
        <f>LEFT(INDEX(stable[question],MATCH(questions[[#This Row],[qno]],stable[qno],0)),similarity_range)</f>
        <v>If you apply chemica</v>
      </c>
      <c r="AR1817" s="98" t="b">
        <f>questions[[#This Row],[question_first_characters]]=questions[[#This Row],[stability_first_characters]]</f>
        <v>1</v>
      </c>
      <c r="AS1817" s="98" t="b">
        <f>IF(OR(questions[[#This Row],[is_single_select]],questions[[#This Row],[is_multi_select]]),NOT(ISBLANK(questions[[#This Row],[answer_opt_combined]])),TRUE)</f>
        <v>1</v>
      </c>
    </row>
    <row r="1818" spans="1:45" s="77" customFormat="1" ht="15.75" customHeight="1" x14ac:dyDescent="0.25">
      <c r="A1818" s="77" t="str">
        <f>_xlfn.TEXTJOIN("_",TRUE,questions[[#This Row],[origin]:[qno]])</f>
        <v>Uganda_Robusta_2026_7243</v>
      </c>
      <c r="B1818" s="77" t="s">
        <v>511</v>
      </c>
      <c r="C1818" s="77" t="s">
        <v>674</v>
      </c>
      <c r="E1818" s="77">
        <v>2026</v>
      </c>
      <c r="F1818" s="104" t="s">
        <v>400</v>
      </c>
      <c r="G1818" s="78" t="s">
        <v>401</v>
      </c>
      <c r="H1818" s="9" t="str" cm="1">
        <f t="array" ref="H1818">INDEX(stableR[question],MATCH(VALUE(questions[[#This Row],[qno]]),VALUE(stableR[qno]),0))</f>
        <v>If you apply chemical PPPs, do you apply IPM principles and practices to prevent and control pest &amp; diseases and reduce the use of chemical PPPs?</v>
      </c>
      <c r="I1818" s="9" t="b" cm="1">
        <f t="array" ref="I1818">INDEX(stable[is_fixed],MATCH(VALUE(questions[[#This Row],[qno]]),VALUE(stable[qno]),0))</f>
        <v>1</v>
      </c>
      <c r="J1818" s="9" t="b" cm="1">
        <f t="array" ref="J1818">INDEX(stable[is_localized],MATCH(VALUE(questions[[#This Row],[qno]]),VALUE(stable[qno]),0))</f>
        <v>0</v>
      </c>
      <c r="K1818" s="9" t="b" cm="1">
        <f t="array" ref="K1818">INDEX(stable[is_supply_chain_dependent],MATCH(VALUE(questions[[#This Row],[qno]]),VALUE(stable[qno]),0))</f>
        <v>0</v>
      </c>
      <c r="L1818" s="9" t="b" cm="1">
        <f t="array" ref="L1818">INDEX(stable[is_mandatory],MATCH(VALUE(questions[[#This Row],[qno]]),VALUE(stable[qno]),0))</f>
        <v>0</v>
      </c>
      <c r="M1818" s="9" t="b" cm="1">
        <f t="array" ref="M1818">INDEX(stable[is_automated],MATCH(VALUE(questions[[#This Row],[qno]]),VALUE(stable[qno]),0))</f>
        <v>0</v>
      </c>
      <c r="N1818" s="9" t="b" cm="1">
        <f t="array" ref="N1818">INDEX(stable[is_free_text],MATCH(VALUE(questions[[#This Row],[qno]]),VALUE(stable[qno]),0))</f>
        <v>0</v>
      </c>
      <c r="O1818" s="9" t="b" cm="1">
        <f t="array" ref="O1818">INDEX(stable[is_numerical],MATCH(VALUE(questions[[#This Row],[qno]]),VALUE(stable[qno]),0))</f>
        <v>0</v>
      </c>
      <c r="P1818" s="77" t="b" cm="1">
        <f t="array" ref="P1818">INDEX(stable[is_single_select],MATCH(VALUE(questions[[#This Row],[qno]]),VALUE(stable[qno]),0))</f>
        <v>1</v>
      </c>
      <c r="Q1818" s="77" t="b" cm="1">
        <f t="array" ref="Q1818">INDEX(stable[is_multi_select],MATCH(VALUE(questions[[#This Row],[qno]]),VALUE(stable[qno]),0))</f>
        <v>0</v>
      </c>
      <c r="R1818" s="77" t="b" cm="1">
        <f t="array" ref="R1818">INDEX(stable[is_skip_logic],MATCH(VALUE(questions[[#This Row],[qno]]),VALUE(stable[qno]),0))</f>
        <v>1</v>
      </c>
      <c r="S1818" s="77" t="str">
        <f>_xlfn.TEXTJOIN(", ",TRUE,questions[[#This Row],[ans_opt_1]:[ans_opt_14]])</f>
        <v>Yes, No</v>
      </c>
      <c r="T1818" s="77" t="s">
        <v>149</v>
      </c>
      <c r="U1818" s="77" t="s">
        <v>119</v>
      </c>
      <c r="AH1818" s="98" t="b">
        <f>INDEX(stable[q_standard],MATCH(questions[[#This Row],[qno]],stable[qno],0))</f>
        <v>0</v>
      </c>
      <c r="AI1818" s="98" t="b">
        <f>INDEX(stable[q_living_income],MATCH(questions[[#This Row],[qno]],stable[qno],0))</f>
        <v>0</v>
      </c>
      <c r="AJ1818" s="98" t="b">
        <f>INDEX(stable[q_carbon],MATCH(questions[[#This Row],[qno]],stable[qno],0))</f>
        <v>0</v>
      </c>
      <c r="AK1818" s="98" t="b">
        <f>INDEX(stable[q_regen_ag],MATCH(questions[[#This Row],[qno]],stable[qno],0))</f>
        <v>1</v>
      </c>
      <c r="AL1818" s="201" t="b">
        <f>COUNTIFS(stable[qno],questions[[#This Row],[qno]])=1</f>
        <v>1</v>
      </c>
      <c r="AM1818" s="98" t="b">
        <f>OR(questions[[#This Row],[is_fixed]],questions[[#This Row],[is_localized]],questions[[#This Row],[is_supply_chain_dependent]])</f>
        <v>1</v>
      </c>
      <c r="AN1818" s="98" t="b">
        <f>COUNTIFS(questions[[#This Row],[is_automated]:[is_multi_select]],TRUE)=1</f>
        <v>1</v>
      </c>
      <c r="AO1818" s="98" t="b">
        <f>IF(questions[[#This Row],[is_fixed]],questions[[#This Row],[question]]=INDEX(stable[question],MATCH(questions[[#This Row],[qno]],stable[qno],0)),TRUE)</f>
        <v>0</v>
      </c>
      <c r="AP1818" s="98" t="str">
        <f>LEFT(questions[[#This Row],[question]],similarity_range)</f>
        <v>If you apply chemica</v>
      </c>
      <c r="AQ1818" s="98" t="str">
        <f>LEFT(INDEX(stable[question],MATCH(questions[[#This Row],[qno]],stable[qno],0)),similarity_range)</f>
        <v>If you apply chemica</v>
      </c>
      <c r="AR1818" s="98" t="b">
        <f>questions[[#This Row],[question_first_characters]]=questions[[#This Row],[stability_first_characters]]</f>
        <v>1</v>
      </c>
      <c r="AS1818" s="98" t="b">
        <f>IF(OR(questions[[#This Row],[is_single_select]],questions[[#This Row],[is_multi_select]]),NOT(ISBLANK(questions[[#This Row],[answer_opt_combined]])),TRUE)</f>
        <v>1</v>
      </c>
    </row>
    <row r="1819" spans="1:45" s="77" customFormat="1" ht="15.75" customHeight="1" x14ac:dyDescent="0.25">
      <c r="A1819" s="77" t="str">
        <f>_xlfn.TEXTJOIN("_",TRUE,questions[[#This Row],[origin]:[qno]])</f>
        <v>Uganda_Robusta_2026_7244</v>
      </c>
      <c r="B1819" s="77" t="s">
        <v>511</v>
      </c>
      <c r="C1819" s="77" t="s">
        <v>674</v>
      </c>
      <c r="E1819" s="77">
        <v>2026</v>
      </c>
      <c r="F1819" s="104" t="s">
        <v>402</v>
      </c>
      <c r="G1819" s="78" t="s">
        <v>803</v>
      </c>
      <c r="H1819" s="9" t="str" cm="1">
        <f t="array" ref="H1819">INDEX(stableR[question],MATCH(VALUE(questions[[#This Row],[qno]]),VALUE(stableR[qno]),0))</f>
        <v>If you apply chemical PPPs, can you prove/show that all are locally authorized for coffee (e.g. coffee is in the product label), and that you respect the recommended dose and post-harvest intervals of the label of the product?</v>
      </c>
      <c r="I1819" s="9" t="b" cm="1">
        <f t="array" ref="I1819">INDEX(stable[is_fixed],MATCH(VALUE(questions[[#This Row],[qno]]),VALUE(stable[qno]),0))</f>
        <v>1</v>
      </c>
      <c r="J1819" s="9" t="b" cm="1">
        <f t="array" ref="J1819">INDEX(stable[is_localized],MATCH(VALUE(questions[[#This Row],[qno]]),VALUE(stable[qno]),0))</f>
        <v>0</v>
      </c>
      <c r="K1819" s="9" t="b" cm="1">
        <f t="array" ref="K1819">INDEX(stable[is_supply_chain_dependent],MATCH(VALUE(questions[[#This Row],[qno]]),VALUE(stable[qno]),0))</f>
        <v>0</v>
      </c>
      <c r="L1819" s="9" t="b" cm="1">
        <f t="array" ref="L1819">INDEX(stable[is_mandatory],MATCH(VALUE(questions[[#This Row],[qno]]),VALUE(stable[qno]),0))</f>
        <v>0</v>
      </c>
      <c r="M1819" s="9" t="b" cm="1">
        <f t="array" ref="M1819">INDEX(stable[is_automated],MATCH(VALUE(questions[[#This Row],[qno]]),VALUE(stable[qno]),0))</f>
        <v>0</v>
      </c>
      <c r="N1819" s="9" t="b" cm="1">
        <f t="array" ref="N1819">INDEX(stable[is_free_text],MATCH(VALUE(questions[[#This Row],[qno]]),VALUE(stable[qno]),0))</f>
        <v>0</v>
      </c>
      <c r="O1819" s="9" t="b" cm="1">
        <f t="array" ref="O1819">INDEX(stable[is_numerical],MATCH(VALUE(questions[[#This Row],[qno]]),VALUE(stable[qno]),0))</f>
        <v>0</v>
      </c>
      <c r="P1819" s="77" t="b" cm="1">
        <f t="array" ref="P1819">INDEX(stable[is_single_select],MATCH(VALUE(questions[[#This Row],[qno]]),VALUE(stable[qno]),0))</f>
        <v>1</v>
      </c>
      <c r="Q1819" s="77" t="b" cm="1">
        <f t="array" ref="Q1819">INDEX(stable[is_multi_select],MATCH(VALUE(questions[[#This Row],[qno]]),VALUE(stable[qno]),0))</f>
        <v>0</v>
      </c>
      <c r="R1819" s="77" t="b" cm="1">
        <f t="array" ref="R1819">INDEX(stable[is_skip_logic],MATCH(VALUE(questions[[#This Row],[qno]]),VALUE(stable[qno]),0))</f>
        <v>1</v>
      </c>
      <c r="S1819" s="77" t="str">
        <f>_xlfn.TEXTJOIN(", ",TRUE,questions[[#This Row],[ans_opt_1]:[ans_opt_14]])</f>
        <v>1, 2, 3, 4, 5, &gt;5</v>
      </c>
      <c r="T1819" s="77">
        <v>1</v>
      </c>
      <c r="U1819" s="77">
        <v>2</v>
      </c>
      <c r="V1819" s="77">
        <v>3</v>
      </c>
      <c r="W1819" s="77">
        <v>4</v>
      </c>
      <c r="X1819" s="77">
        <v>5</v>
      </c>
      <c r="Y1819" s="77" t="s">
        <v>404</v>
      </c>
      <c r="AH1819" s="98" t="b">
        <f>INDEX(stable[q_standard],MATCH(questions[[#This Row],[qno]],stable[qno],0))</f>
        <v>0</v>
      </c>
      <c r="AI1819" s="98" t="b">
        <f>INDEX(stable[q_living_income],MATCH(questions[[#This Row],[qno]],stable[qno],0))</f>
        <v>0</v>
      </c>
      <c r="AJ1819" s="98" t="b">
        <f>INDEX(stable[q_carbon],MATCH(questions[[#This Row],[qno]],stable[qno],0))</f>
        <v>0</v>
      </c>
      <c r="AK1819" s="98" t="b">
        <f>INDEX(stable[q_regen_ag],MATCH(questions[[#This Row],[qno]],stable[qno],0))</f>
        <v>1</v>
      </c>
      <c r="AL1819" s="201" t="b">
        <f>COUNTIFS(stable[qno],questions[[#This Row],[qno]])=1</f>
        <v>1</v>
      </c>
      <c r="AM1819" s="98" t="b">
        <f>OR(questions[[#This Row],[is_fixed]],questions[[#This Row],[is_localized]],questions[[#This Row],[is_supply_chain_dependent]])</f>
        <v>1</v>
      </c>
      <c r="AN1819" s="98" t="b">
        <f>COUNTIFS(questions[[#This Row],[is_automated]:[is_multi_select]],TRUE)=1</f>
        <v>1</v>
      </c>
      <c r="AO1819" s="98" t="b">
        <f>IF(questions[[#This Row],[is_fixed]],questions[[#This Row],[question]]=INDEX(stable[question],MATCH(questions[[#This Row],[qno]],stable[qno],0)),TRUE)</f>
        <v>0</v>
      </c>
      <c r="AP1819" s="98" t="str">
        <f>LEFT(questions[[#This Row],[question]],similarity_range)</f>
        <v>If you apply chemica</v>
      </c>
      <c r="AQ1819" s="98" t="str">
        <f>LEFT(INDEX(stable[question],MATCH(questions[[#This Row],[qno]],stable[qno],0)),similarity_range)</f>
        <v>If you apply chemica</v>
      </c>
      <c r="AR1819" s="98" t="b">
        <f>questions[[#This Row],[question_first_characters]]=questions[[#This Row],[stability_first_characters]]</f>
        <v>1</v>
      </c>
      <c r="AS1819" s="98" t="b">
        <f>IF(OR(questions[[#This Row],[is_single_select]],questions[[#This Row],[is_multi_select]]),NOT(ISBLANK(questions[[#This Row],[answer_opt_combined]])),TRUE)</f>
        <v>1</v>
      </c>
    </row>
    <row r="1820" spans="1:45" s="77" customFormat="1" ht="15.75" customHeight="1" x14ac:dyDescent="0.25">
      <c r="A1820" s="77" t="str">
        <f>_xlfn.TEXTJOIN("_",TRUE,questions[[#This Row],[origin]:[qno]])</f>
        <v>Uganda_Robusta_2026_7245</v>
      </c>
      <c r="B1820" s="77" t="s">
        <v>511</v>
      </c>
      <c r="C1820" s="77" t="s">
        <v>674</v>
      </c>
      <c r="E1820" s="77">
        <v>2026</v>
      </c>
      <c r="F1820" s="104" t="s">
        <v>405</v>
      </c>
      <c r="G1820" s="78" t="s">
        <v>406</v>
      </c>
      <c r="H1820" s="9" t="str" cm="1">
        <f t="array" ref="H1820">INDEX(stableR[question],MATCH(VALUE(questions[[#This Row],[qno]]),VALUE(stableR[qno]),0))</f>
        <v>If you apply chemical PPPs to control pests and diseases in your farm, how many applications do you apply on average per year?</v>
      </c>
      <c r="I1820" s="9" t="b" cm="1">
        <f t="array" ref="I1820">INDEX(stable[is_fixed],MATCH(VALUE(questions[[#This Row],[qno]]),VALUE(stable[qno]),0))</f>
        <v>1</v>
      </c>
      <c r="J1820" s="9" t="b" cm="1">
        <f t="array" ref="J1820">INDEX(stable[is_localized],MATCH(VALUE(questions[[#This Row],[qno]]),VALUE(stable[qno]),0))</f>
        <v>0</v>
      </c>
      <c r="K1820" s="9" t="b" cm="1">
        <f t="array" ref="K1820">INDEX(stable[is_supply_chain_dependent],MATCH(VALUE(questions[[#This Row],[qno]]),VALUE(stable[qno]),0))</f>
        <v>0</v>
      </c>
      <c r="L1820" s="9" t="b" cm="1">
        <f t="array" ref="L1820">INDEX(stable[is_mandatory],MATCH(VALUE(questions[[#This Row],[qno]]),VALUE(stable[qno]),0))</f>
        <v>0</v>
      </c>
      <c r="M1820" s="9" t="b" cm="1">
        <f t="array" ref="M1820">INDEX(stable[is_automated],MATCH(VALUE(questions[[#This Row],[qno]]),VALUE(stable[qno]),0))</f>
        <v>0</v>
      </c>
      <c r="N1820" s="9" t="b" cm="1">
        <f t="array" ref="N1820">INDEX(stable[is_free_text],MATCH(VALUE(questions[[#This Row],[qno]]),VALUE(stable[qno]),0))</f>
        <v>0</v>
      </c>
      <c r="O1820" s="9" t="b" cm="1">
        <f t="array" ref="O1820">INDEX(stable[is_numerical],MATCH(VALUE(questions[[#This Row],[qno]]),VALUE(stable[qno]),0))</f>
        <v>0</v>
      </c>
      <c r="P1820" s="77" t="b" cm="1">
        <f t="array" ref="P1820">INDEX(stable[is_single_select],MATCH(VALUE(questions[[#This Row],[qno]]),VALUE(stable[qno]),0))</f>
        <v>1</v>
      </c>
      <c r="Q1820" s="77" t="b" cm="1">
        <f t="array" ref="Q1820">INDEX(stable[is_multi_select],MATCH(VALUE(questions[[#This Row],[qno]]),VALUE(stable[qno]),0))</f>
        <v>0</v>
      </c>
      <c r="R1820" s="77" t="b" cm="1">
        <f t="array" ref="R1820">INDEX(stable[is_skip_logic],MATCH(VALUE(questions[[#This Row],[qno]]),VALUE(stable[qno]),0))</f>
        <v>1</v>
      </c>
      <c r="S1820" s="77" t="str">
        <f>_xlfn.TEXTJOIN(", ",TRUE,questions[[#This Row],[ans_opt_1]:[ans_opt_14]])</f>
        <v>Increased - pest/disease pressure, Increased - weather conditions, Increased - pest/disease resistance, Decreased - pest/disease pressure, Decreased - adverse weather conditions, Decreased - increased cost, Decreased - replaced by regenerative agriculture</v>
      </c>
      <c r="T1820" s="77" t="s">
        <v>407</v>
      </c>
      <c r="U1820" s="77" t="s">
        <v>408</v>
      </c>
      <c r="V1820" s="77" t="s">
        <v>409</v>
      </c>
      <c r="W1820" s="77" t="s">
        <v>410</v>
      </c>
      <c r="X1820" s="77" t="s">
        <v>411</v>
      </c>
      <c r="Y1820" s="77" t="s">
        <v>412</v>
      </c>
      <c r="Z1820" s="77" t="s">
        <v>413</v>
      </c>
      <c r="AH1820" s="98" t="b">
        <f>INDEX(stable[q_standard],MATCH(questions[[#This Row],[qno]],stable[qno],0))</f>
        <v>0</v>
      </c>
      <c r="AI1820" s="98" t="b">
        <f>INDEX(stable[q_living_income],MATCH(questions[[#This Row],[qno]],stable[qno],0))</f>
        <v>0</v>
      </c>
      <c r="AJ1820" s="98" t="b">
        <f>INDEX(stable[q_carbon],MATCH(questions[[#This Row],[qno]],stable[qno],0))</f>
        <v>0</v>
      </c>
      <c r="AK1820" s="98" t="b">
        <f>INDEX(stable[q_regen_ag],MATCH(questions[[#This Row],[qno]],stable[qno],0))</f>
        <v>1</v>
      </c>
      <c r="AL1820" s="201" t="b">
        <f>COUNTIFS(stable[qno],questions[[#This Row],[qno]])=1</f>
        <v>1</v>
      </c>
      <c r="AM1820" s="98" t="b">
        <f>OR(questions[[#This Row],[is_fixed]],questions[[#This Row],[is_localized]],questions[[#This Row],[is_supply_chain_dependent]])</f>
        <v>1</v>
      </c>
      <c r="AN1820" s="98" t="b">
        <f>COUNTIFS(questions[[#This Row],[is_automated]:[is_multi_select]],TRUE)=1</f>
        <v>1</v>
      </c>
      <c r="AO1820" s="98" t="b">
        <f>IF(questions[[#This Row],[is_fixed]],questions[[#This Row],[question]]=INDEX(stable[question],MATCH(questions[[#This Row],[qno]],stable[qno],0)),TRUE)</f>
        <v>0</v>
      </c>
      <c r="AP1820" s="98" t="str">
        <f>LEFT(questions[[#This Row],[question]],similarity_range)</f>
        <v>Have you decreased o</v>
      </c>
      <c r="AQ1820" s="98" t="str">
        <f>LEFT(INDEX(stable[question],MATCH(questions[[#This Row],[qno]],stable[qno],0)),similarity_range)</f>
        <v>Have you decreased o</v>
      </c>
      <c r="AR1820" s="98" t="b">
        <f>questions[[#This Row],[question_first_characters]]=questions[[#This Row],[stability_first_characters]]</f>
        <v>1</v>
      </c>
      <c r="AS1820" s="98" t="b">
        <f>IF(OR(questions[[#This Row],[is_single_select]],questions[[#This Row],[is_multi_select]]),NOT(ISBLANK(questions[[#This Row],[answer_opt_combined]])),TRUE)</f>
        <v>1</v>
      </c>
    </row>
    <row r="1821" spans="1:45" s="77" customFormat="1" ht="15.75" customHeight="1" x14ac:dyDescent="0.25">
      <c r="A1821" s="77" t="str">
        <f>_xlfn.TEXTJOIN("_",TRUE,questions[[#This Row],[origin]:[qno]])</f>
        <v>Uganda_Robusta_2026_7250</v>
      </c>
      <c r="B1821" s="77" t="s">
        <v>511</v>
      </c>
      <c r="C1821" s="77" t="s">
        <v>674</v>
      </c>
      <c r="E1821" s="77">
        <v>2026</v>
      </c>
      <c r="F1821" s="104" t="s">
        <v>414</v>
      </c>
      <c r="G1821" s="78" t="s">
        <v>415</v>
      </c>
      <c r="H1821" s="9" t="str" cm="1">
        <f t="array" ref="H1821">INDEX(stableR[question],MATCH(VALUE(questions[[#This Row],[qno]]),VALUE(stableR[qno]),0))</f>
        <v>Do you apply chemical herbicides to your coffee crop and how many (different active ingredients) per crop season?</v>
      </c>
      <c r="I1821" s="9" t="b" cm="1">
        <f t="array" ref="I1821">INDEX(stable[is_fixed],MATCH(VALUE(questions[[#This Row],[qno]]),VALUE(stable[qno]),0))</f>
        <v>1</v>
      </c>
      <c r="J1821" s="9" t="b" cm="1">
        <f t="array" ref="J1821">INDEX(stable[is_localized],MATCH(VALUE(questions[[#This Row],[qno]]),VALUE(stable[qno]),0))</f>
        <v>0</v>
      </c>
      <c r="K1821" s="9" t="b" cm="1">
        <f t="array" ref="K1821">INDEX(stable[is_supply_chain_dependent],MATCH(VALUE(questions[[#This Row],[qno]]),VALUE(stable[qno]),0))</f>
        <v>0</v>
      </c>
      <c r="L1821" s="9" t="b" cm="1">
        <f t="array" ref="L1821">INDEX(stable[is_mandatory],MATCH(VALUE(questions[[#This Row],[qno]]),VALUE(stable[qno]),0))</f>
        <v>1</v>
      </c>
      <c r="M1821" s="9" t="b" cm="1">
        <f t="array" ref="M1821">INDEX(stable[is_automated],MATCH(VALUE(questions[[#This Row],[qno]]),VALUE(stable[qno]),0))</f>
        <v>0</v>
      </c>
      <c r="N1821" s="9" t="b" cm="1">
        <f t="array" ref="N1821">INDEX(stable[is_free_text],MATCH(VALUE(questions[[#This Row],[qno]]),VALUE(stable[qno]),0))</f>
        <v>0</v>
      </c>
      <c r="O1821" s="9" t="b" cm="1">
        <f t="array" ref="O1821">INDEX(stable[is_numerical],MATCH(VALUE(questions[[#This Row],[qno]]),VALUE(stable[qno]),0))</f>
        <v>0</v>
      </c>
      <c r="P1821" s="77" t="b" cm="1">
        <f t="array" ref="P1821">INDEX(stable[is_single_select],MATCH(VALUE(questions[[#This Row],[qno]]),VALUE(stable[qno]),0))</f>
        <v>1</v>
      </c>
      <c r="Q1821" s="77" t="b" cm="1">
        <f t="array" ref="Q1821">INDEX(stable[is_multi_select],MATCH(VALUE(questions[[#This Row],[qno]]),VALUE(stable[qno]),0))</f>
        <v>0</v>
      </c>
      <c r="R1821" s="77" t="b" cm="1">
        <f t="array" ref="R1821">INDEX(stable[is_skip_logic],MATCH(VALUE(questions[[#This Row],[qno]]),VALUE(stable[qno]),0))</f>
        <v>1</v>
      </c>
      <c r="S1821" s="77" t="str">
        <f>_xlfn.TEXTJOIN(", ",TRUE,questions[[#This Row],[ans_opt_1]:[ans_opt_14]])</f>
        <v>No, Yes / 1-2 herbicides (active ingredients), Yes / 3-4 herbicides (active ingredients), Yes / &gt;=5 herbicides (active ingredients)</v>
      </c>
      <c r="T1821" s="77" t="s">
        <v>119</v>
      </c>
      <c r="U1821" s="77" t="s">
        <v>416</v>
      </c>
      <c r="V1821" s="77" t="s">
        <v>417</v>
      </c>
      <c r="W1821" s="77" t="s">
        <v>418</v>
      </c>
      <c r="AH1821" s="98" t="b">
        <f>INDEX(stable[q_standard],MATCH(questions[[#This Row],[qno]],stable[qno],0))</f>
        <v>0</v>
      </c>
      <c r="AI1821" s="98" t="b">
        <f>INDEX(stable[q_living_income],MATCH(questions[[#This Row],[qno]],stable[qno],0))</f>
        <v>0</v>
      </c>
      <c r="AJ1821" s="98" t="b">
        <f>INDEX(stable[q_carbon],MATCH(questions[[#This Row],[qno]],stable[qno],0))</f>
        <v>0</v>
      </c>
      <c r="AK1821" s="98" t="b">
        <f>INDEX(stable[q_regen_ag],MATCH(questions[[#This Row],[qno]],stable[qno],0))</f>
        <v>1</v>
      </c>
      <c r="AL1821" s="202" t="b">
        <f>COUNTIFS(stable[qno],questions[[#This Row],[qno]])=1</f>
        <v>1</v>
      </c>
      <c r="AM1821" s="98" t="b">
        <f>OR(questions[[#This Row],[is_fixed]],questions[[#This Row],[is_localized]],questions[[#This Row],[is_supply_chain_dependent]])</f>
        <v>1</v>
      </c>
      <c r="AN1821" s="98" t="b">
        <f>COUNTIFS(questions[[#This Row],[is_automated]:[is_multi_select]],TRUE)=1</f>
        <v>1</v>
      </c>
      <c r="AO1821" s="98" t="b">
        <f>IF(questions[[#This Row],[is_fixed]],questions[[#This Row],[question]]=INDEX(stable[question],MATCH(questions[[#This Row],[qno]],stable[qno],0)),TRUE)</f>
        <v>0</v>
      </c>
      <c r="AP1821" s="98" t="str">
        <f>LEFT(questions[[#This Row],[question]],similarity_range)</f>
        <v>Did you use herbicid</v>
      </c>
      <c r="AQ1821" s="98" t="str">
        <f>LEFT(INDEX(stable[question],MATCH(questions[[#This Row],[qno]],stable[qno],0)),similarity_range)</f>
        <v>Did you use herbicid</v>
      </c>
      <c r="AR1821" s="98" t="b">
        <f>questions[[#This Row],[question_first_characters]]=questions[[#This Row],[stability_first_characters]]</f>
        <v>1</v>
      </c>
      <c r="AS1821" s="98" t="b">
        <f>IF(OR(questions[[#This Row],[is_single_select]],questions[[#This Row],[is_multi_select]]),NOT(ISBLANK(questions[[#This Row],[answer_opt_combined]])),TRUE)</f>
        <v>1</v>
      </c>
    </row>
    <row r="1822" spans="1:45" ht="15.75" customHeight="1" x14ac:dyDescent="0.25">
      <c r="A1822" s="9" t="str">
        <f>_xlfn.TEXTJOIN("_",TRUE,questions[[#This Row],[origin]:[qno]])</f>
        <v>Uganda_Robusta_2026_7254</v>
      </c>
      <c r="B1822" s="9" t="s">
        <v>511</v>
      </c>
      <c r="C1822" s="9" t="s">
        <v>674</v>
      </c>
      <c r="E1822" s="33">
        <v>2026</v>
      </c>
      <c r="F1822" s="101">
        <v>7254</v>
      </c>
      <c r="G1822" s="15" t="s">
        <v>1053</v>
      </c>
      <c r="H1822" s="9" t="str" cm="1">
        <f t="array" ref="H1822">INDEX(stableR[question],MATCH(VALUE(questions[[#This Row],[qno]]),VALUE(stableR[qno]),0))</f>
        <v>If you use or do not use herbicides to control weeds, what is the other main method/s that you use to control weeds?  - e.g. manual removal-mechanical removal, mulching, cover crops…</v>
      </c>
      <c r="I1822" s="9" t="b" cm="1">
        <f t="array" ref="I1822">INDEX(stable[is_fixed],MATCH(VALUE(questions[[#This Row],[qno]]),VALUE(stable[qno]),0))</f>
        <v>1</v>
      </c>
      <c r="J1822" s="9" t="b" cm="1">
        <f t="array" ref="J1822">INDEX(stable[is_localized],MATCH(VALUE(questions[[#This Row],[qno]]),VALUE(stable[qno]),0))</f>
        <v>0</v>
      </c>
      <c r="K1822" s="9" t="b" cm="1">
        <f t="array" ref="K1822">INDEX(stable[is_supply_chain_dependent],MATCH(VALUE(questions[[#This Row],[qno]]),VALUE(stable[qno]),0))</f>
        <v>0</v>
      </c>
      <c r="L1822" s="9" t="b" cm="1">
        <f t="array" ref="L1822">INDEX(stable[is_mandatory],MATCH(VALUE(questions[[#This Row],[qno]]),VALUE(stable[qno]),0))</f>
        <v>1</v>
      </c>
      <c r="M1822" s="9" t="b" cm="1">
        <f t="array" ref="M1822">INDEX(stable[is_automated],MATCH(VALUE(questions[[#This Row],[qno]]),VALUE(stable[qno]),0))</f>
        <v>0</v>
      </c>
      <c r="N1822" s="9" t="b" cm="1">
        <f t="array" ref="N1822">INDEX(stable[is_free_text],MATCH(VALUE(questions[[#This Row],[qno]]),VALUE(stable[qno]),0))</f>
        <v>1</v>
      </c>
      <c r="O1822" s="9" t="b" cm="1">
        <f t="array" ref="O1822">INDEX(stable[is_numerical],MATCH(VALUE(questions[[#This Row],[qno]]),VALUE(stable[qno]),0))</f>
        <v>0</v>
      </c>
      <c r="P1822" s="9" t="b" cm="1">
        <f t="array" ref="P1822">INDEX(stable[is_single_select],MATCH(VALUE(questions[[#This Row],[qno]]),VALUE(stable[qno]),0))</f>
        <v>0</v>
      </c>
      <c r="Q1822" s="9" t="b" cm="1">
        <f t="array" ref="Q1822">INDEX(stable[is_multi_select],MATCH(VALUE(questions[[#This Row],[qno]]),VALUE(stable[qno]),0))</f>
        <v>0</v>
      </c>
      <c r="R1822" s="9" t="b" cm="1">
        <f t="array" ref="R1822">INDEX(stable[is_skip_logic],MATCH(VALUE(questions[[#This Row],[qno]]),VALUE(stable[qno]),0))</f>
        <v>1</v>
      </c>
      <c r="S1822" s="9" t="str">
        <f>_xlfn.TEXTJOIN(", ",TRUE,questions[[#This Row],[ans_opt_1]:[ans_opt_14]])</f>
        <v/>
      </c>
      <c r="AH1822" s="16" t="b">
        <v>0</v>
      </c>
      <c r="AI1822" s="16" t="b">
        <v>0</v>
      </c>
      <c r="AJ1822" s="16" t="b">
        <v>0</v>
      </c>
      <c r="AK1822" s="16" t="b">
        <v>1</v>
      </c>
      <c r="AL1822" s="202" t="b">
        <f>COUNTIFS(stable[qno],questions[[#This Row],[qno]])=1</f>
        <v>1</v>
      </c>
      <c r="AM1822" s="16" t="b">
        <f>OR(questions[[#This Row],[is_fixed]],questions[[#This Row],[is_localized]],questions[[#This Row],[is_supply_chain_dependent]])</f>
        <v>1</v>
      </c>
      <c r="AN1822" s="16" t="b">
        <f>COUNTIFS(questions[[#This Row],[is_automated]:[is_multi_select]],TRUE)=1</f>
        <v>1</v>
      </c>
      <c r="AO1822" s="16" t="e">
        <f>IF(questions[[#This Row],[is_fixed]],questions[[#This Row],[question]]=INDEX(stable[question],MATCH(questions[[#This Row],[qno]],stable[qno],0)),TRUE)</f>
        <v>#N/A</v>
      </c>
      <c r="AP1822" s="16" t="str">
        <f>LEFT(questions[[#This Row],[question]],similarity_range)</f>
        <v>If yes, list the nam</v>
      </c>
      <c r="AQ1822" s="16" t="e">
        <f>LEFT(INDEX(stable[question],MATCH(questions[[#This Row],[qno]],stable[qno],0)),similarity_range)</f>
        <v>#N/A</v>
      </c>
      <c r="AR1822" s="16" t="e">
        <f>questions[[#This Row],[question_first_characters]]=questions[[#This Row],[stability_first_characters]]</f>
        <v>#N/A</v>
      </c>
      <c r="AS1822" s="16" t="b">
        <f>IF(OR(questions[[#This Row],[is_single_select]],questions[[#This Row],[is_multi_select]]),NOT(ISBLANK(questions[[#This Row],[answer_opt_combined]])),TRUE)</f>
        <v>1</v>
      </c>
    </row>
    <row r="1823" spans="1:45" s="77" customFormat="1" ht="15.75" customHeight="1" x14ac:dyDescent="0.25">
      <c r="A1823" s="77" t="str">
        <f>_xlfn.TEXTJOIN("_",TRUE,questions[[#This Row],[origin]:[qno]])</f>
        <v>Uganda_Robusta_2026_7251</v>
      </c>
      <c r="B1823" s="77" t="s">
        <v>511</v>
      </c>
      <c r="C1823" s="77" t="s">
        <v>674</v>
      </c>
      <c r="E1823" s="77">
        <v>2026</v>
      </c>
      <c r="F1823" s="104" t="s">
        <v>419</v>
      </c>
      <c r="G1823" s="78" t="s">
        <v>420</v>
      </c>
      <c r="H1823" s="9" t="str" cm="1">
        <f t="array" ref="H1823">INDEX(stableR[question],MATCH(VALUE(questions[[#This Row],[qno]]),VALUE(stableR[qno]),0))</f>
        <v>If yes, list the names of all the herbicides that you used, last year.</v>
      </c>
      <c r="I1823" s="9" t="b" cm="1">
        <f t="array" ref="I1823">INDEX(stable[is_fixed],MATCH(VALUE(questions[[#This Row],[qno]]),VALUE(stable[qno]),0))</f>
        <v>1</v>
      </c>
      <c r="J1823" s="9" t="b" cm="1">
        <f t="array" ref="J1823">INDEX(stable[is_localized],MATCH(VALUE(questions[[#This Row],[qno]]),VALUE(stable[qno]),0))</f>
        <v>0</v>
      </c>
      <c r="K1823" s="9" t="b" cm="1">
        <f t="array" ref="K1823">INDEX(stable[is_supply_chain_dependent],MATCH(VALUE(questions[[#This Row],[qno]]),VALUE(stable[qno]),0))</f>
        <v>0</v>
      </c>
      <c r="L1823" s="9" t="b" cm="1">
        <f t="array" ref="L1823">INDEX(stable[is_mandatory],MATCH(VALUE(questions[[#This Row],[qno]]),VALUE(stable[qno]),0))</f>
        <v>0</v>
      </c>
      <c r="M1823" s="9" t="b" cm="1">
        <f t="array" ref="M1823">INDEX(stable[is_automated],MATCH(VALUE(questions[[#This Row],[qno]]),VALUE(stable[qno]),0))</f>
        <v>0</v>
      </c>
      <c r="N1823" s="9" t="b" cm="1">
        <f t="array" ref="N1823">INDEX(stable[is_free_text],MATCH(VALUE(questions[[#This Row],[qno]]),VALUE(stable[qno]),0))</f>
        <v>0</v>
      </c>
      <c r="O1823" s="9" t="b" cm="1">
        <f t="array" ref="O1823">INDEX(stable[is_numerical],MATCH(VALUE(questions[[#This Row],[qno]]),VALUE(stable[qno]),0))</f>
        <v>0</v>
      </c>
      <c r="P1823" s="77" t="b" cm="1">
        <f t="array" ref="P1823">INDEX(stable[is_single_select],MATCH(VALUE(questions[[#This Row],[qno]]),VALUE(stable[qno]),0))</f>
        <v>1</v>
      </c>
      <c r="Q1823" s="77" t="b" cm="1">
        <f t="array" ref="Q1823">INDEX(stable[is_multi_select],MATCH(VALUE(questions[[#This Row],[qno]]),VALUE(stable[qno]),0))</f>
        <v>0</v>
      </c>
      <c r="R1823" s="77" t="b" cm="1">
        <f t="array" ref="R1823">INDEX(stable[is_skip_logic],MATCH(VALUE(questions[[#This Row],[qno]]),VALUE(stable[qno]),0))</f>
        <v>1</v>
      </c>
      <c r="S1823" s="77" t="str">
        <f>_xlfn.TEXTJOIN(", ",TRUE,questions[[#This Row],[ans_opt_1]:[ans_opt_14]])</f>
        <v>1% to 10% - very little, 11% to 20% - little, 21% to 50% - less than half, 51% to 75% - more than half, 76% to 100% - almost all</v>
      </c>
      <c r="T1823" s="77" t="s">
        <v>421</v>
      </c>
      <c r="U1823" s="77" t="s">
        <v>422</v>
      </c>
      <c r="V1823" s="77" t="s">
        <v>423</v>
      </c>
      <c r="W1823" s="77" t="s">
        <v>340</v>
      </c>
      <c r="X1823" s="77" t="s">
        <v>341</v>
      </c>
      <c r="AH1823" s="98" t="b">
        <f>INDEX(stable[q_standard],MATCH(questions[[#This Row],[qno]],stable[qno],0))</f>
        <v>0</v>
      </c>
      <c r="AI1823" s="98" t="b">
        <f>INDEX(stable[q_living_income],MATCH(questions[[#This Row],[qno]],stable[qno],0))</f>
        <v>0</v>
      </c>
      <c r="AJ1823" s="98" t="b">
        <f>INDEX(stable[q_carbon],MATCH(questions[[#This Row],[qno]],stable[qno],0))</f>
        <v>0</v>
      </c>
      <c r="AK1823" s="98" t="b">
        <f>INDEX(stable[q_regen_ag],MATCH(questions[[#This Row],[qno]],stable[qno],0))</f>
        <v>1</v>
      </c>
      <c r="AL1823" s="128" t="b">
        <f>COUNTIFS(stable[qno],questions[[#This Row],[qno]])=1</f>
        <v>1</v>
      </c>
      <c r="AM1823" s="98" t="b">
        <f>OR(questions[[#This Row],[is_fixed]],questions[[#This Row],[is_localized]],questions[[#This Row],[is_supply_chain_dependent]])</f>
        <v>1</v>
      </c>
      <c r="AN1823" s="98" t="b">
        <f>COUNTIFS(questions[[#This Row],[is_automated]:[is_multi_select]],TRUE)=1</f>
        <v>1</v>
      </c>
      <c r="AO1823" s="98" t="b">
        <f>IF(questions[[#This Row],[is_fixed]],questions[[#This Row],[question]]=INDEX(stable[question],MATCH(questions[[#This Row],[qno]],stable[qno],0)),TRUE)</f>
        <v>0</v>
      </c>
      <c r="AP1823" s="98" t="str">
        <f>LEFT(questions[[#This Row],[question]],similarity_range)</f>
        <v>If you apply chemica</v>
      </c>
      <c r="AQ1823" s="98" t="str">
        <f>LEFT(INDEX(stable[question],MATCH(questions[[#This Row],[qno]],stable[qno],0)),similarity_range)</f>
        <v>If you apply chemica</v>
      </c>
      <c r="AR1823" s="98" t="b">
        <f>questions[[#This Row],[question_first_characters]]=questions[[#This Row],[stability_first_characters]]</f>
        <v>1</v>
      </c>
      <c r="AS1823" s="98" t="b">
        <f>IF(OR(questions[[#This Row],[is_single_select]],questions[[#This Row],[is_multi_select]]),NOT(ISBLANK(questions[[#This Row],[answer_opt_combined]])),TRUE)</f>
        <v>1</v>
      </c>
    </row>
    <row r="1824" spans="1:45" s="77" customFormat="1" ht="15.75" customHeight="1" x14ac:dyDescent="0.25">
      <c r="A1824" s="77" t="str">
        <f>_xlfn.TEXTJOIN("_",TRUE,questions[[#This Row],[origin]:[qno]])</f>
        <v>Uganda_Robusta_2026_7252</v>
      </c>
      <c r="B1824" s="77" t="s">
        <v>511</v>
      </c>
      <c r="C1824" s="77" t="s">
        <v>674</v>
      </c>
      <c r="E1824" s="77">
        <v>2026</v>
      </c>
      <c r="F1824" s="104" t="s">
        <v>424</v>
      </c>
      <c r="G1824" s="78" t="s">
        <v>425</v>
      </c>
      <c r="H1824" s="9" t="str" cm="1">
        <f t="array" ref="H1824">INDEX(stableR[question],MATCH(VALUE(questions[[#This Row],[qno]]),VALUE(stableR[qno]),0))</f>
        <v>If applying herbicides, to which % of area of the coffee plots? e.g. if the coffee area is 1 hectare and herbicides are sprayed to only 0.5 hectare (where there is high weed pressure), then it is 50%</v>
      </c>
      <c r="I1824" s="9" t="b" cm="1">
        <f t="array" ref="I1824">INDEX(stable[is_fixed],MATCH(VALUE(questions[[#This Row],[qno]]),VALUE(stable[qno]),0))</f>
        <v>1</v>
      </c>
      <c r="J1824" s="9" t="b" cm="1">
        <f t="array" ref="J1824">INDEX(stable[is_localized],MATCH(VALUE(questions[[#This Row],[qno]]),VALUE(stable[qno]),0))</f>
        <v>0</v>
      </c>
      <c r="K1824" s="9" t="b" cm="1">
        <f t="array" ref="K1824">INDEX(stable[is_supply_chain_dependent],MATCH(VALUE(questions[[#This Row],[qno]]),VALUE(stable[qno]),0))</f>
        <v>0</v>
      </c>
      <c r="L1824" s="9" t="b" cm="1">
        <f t="array" ref="L1824">INDEX(stable[is_mandatory],MATCH(VALUE(questions[[#This Row],[qno]]),VALUE(stable[qno]),0))</f>
        <v>0</v>
      </c>
      <c r="M1824" s="9" t="b" cm="1">
        <f t="array" ref="M1824">INDEX(stable[is_automated],MATCH(VALUE(questions[[#This Row],[qno]]),VALUE(stable[qno]),0))</f>
        <v>0</v>
      </c>
      <c r="N1824" s="9" t="b" cm="1">
        <f t="array" ref="N1824">INDEX(stable[is_free_text],MATCH(VALUE(questions[[#This Row],[qno]]),VALUE(stable[qno]),0))</f>
        <v>0</v>
      </c>
      <c r="O1824" s="9" t="b" cm="1">
        <f t="array" ref="O1824">INDEX(stable[is_numerical],MATCH(VALUE(questions[[#This Row],[qno]]),VALUE(stable[qno]),0))</f>
        <v>0</v>
      </c>
      <c r="P1824" s="77" t="b" cm="1">
        <f t="array" ref="P1824">INDEX(stable[is_single_select],MATCH(VALUE(questions[[#This Row],[qno]]),VALUE(stable[qno]),0))</f>
        <v>1</v>
      </c>
      <c r="Q1824" s="77" t="b" cm="1">
        <f t="array" ref="Q1824">INDEX(stable[is_multi_select],MATCH(VALUE(questions[[#This Row],[qno]]),VALUE(stable[qno]),0))</f>
        <v>0</v>
      </c>
      <c r="R1824" s="77" t="b" cm="1">
        <f t="array" ref="R1824">INDEX(stable[is_skip_logic],MATCH(VALUE(questions[[#This Row],[qno]]),VALUE(stable[qno]),0))</f>
        <v>1</v>
      </c>
      <c r="S1824" s="77" t="str">
        <f>_xlfn.TEXTJOIN(", ",TRUE,questions[[#This Row],[ans_opt_1]:[ans_opt_14]])</f>
        <v>Yes, No</v>
      </c>
      <c r="T1824" s="77" t="s">
        <v>149</v>
      </c>
      <c r="U1824" s="77" t="s">
        <v>119</v>
      </c>
      <c r="AH1824" s="98" t="b">
        <f>INDEX(stable[q_standard],MATCH(questions[[#This Row],[qno]],stable[qno],0))</f>
        <v>0</v>
      </c>
      <c r="AI1824" s="98" t="b">
        <f>INDEX(stable[q_living_income],MATCH(questions[[#This Row],[qno]],stable[qno],0))</f>
        <v>0</v>
      </c>
      <c r="AJ1824" s="98" t="b">
        <f>INDEX(stable[q_carbon],MATCH(questions[[#This Row],[qno]],stable[qno],0))</f>
        <v>0</v>
      </c>
      <c r="AK1824" s="98" t="b">
        <f>INDEX(stable[q_regen_ag],MATCH(questions[[#This Row],[qno]],stable[qno],0))</f>
        <v>1</v>
      </c>
      <c r="AL1824" s="128" t="b">
        <f>COUNTIFS(stable[qno],questions[[#This Row],[qno]])=1</f>
        <v>1</v>
      </c>
      <c r="AM1824" s="98" t="b">
        <f>OR(questions[[#This Row],[is_fixed]],questions[[#This Row],[is_localized]],questions[[#This Row],[is_supply_chain_dependent]])</f>
        <v>1</v>
      </c>
      <c r="AN1824" s="98" t="b">
        <f>COUNTIFS(questions[[#This Row],[is_automated]:[is_multi_select]],TRUE)=1</f>
        <v>1</v>
      </c>
      <c r="AO1824" s="98" t="b">
        <f>IF(questions[[#This Row],[is_fixed]],questions[[#This Row],[question]]=INDEX(stable[question],MATCH(questions[[#This Row],[qno]],stable[qno],0)),TRUE)</f>
        <v>0</v>
      </c>
      <c r="AP1824" s="98" t="str">
        <f>LEFT(questions[[#This Row],[question]],similarity_range)</f>
        <v>If applying herbicid</v>
      </c>
      <c r="AQ1824" s="98" t="str">
        <f>LEFT(INDEX(stable[question],MATCH(questions[[#This Row],[qno]],stable[qno],0)),similarity_range)</f>
        <v>If applying herbicid</v>
      </c>
      <c r="AR1824" s="98" t="b">
        <f>questions[[#This Row],[question_first_characters]]=questions[[#This Row],[stability_first_characters]]</f>
        <v>1</v>
      </c>
      <c r="AS1824" s="98" t="b">
        <f>IF(OR(questions[[#This Row],[is_single_select]],questions[[#This Row],[is_multi_select]]),NOT(ISBLANK(questions[[#This Row],[answer_opt_combined]])),TRUE)</f>
        <v>1</v>
      </c>
    </row>
    <row r="1825" spans="1:45" s="77" customFormat="1" ht="15.75" customHeight="1" x14ac:dyDescent="0.25">
      <c r="A1825" s="77" t="str">
        <f>_xlfn.TEXTJOIN("_",TRUE,questions[[#This Row],[origin]:[qno]])</f>
        <v>Uganda_Robusta_2026_7253</v>
      </c>
      <c r="B1825" s="77" t="s">
        <v>511</v>
      </c>
      <c r="C1825" s="77" t="s">
        <v>674</v>
      </c>
      <c r="E1825" s="77">
        <v>2026</v>
      </c>
      <c r="F1825" s="104" t="s">
        <v>426</v>
      </c>
      <c r="G1825" s="78" t="s">
        <v>427</v>
      </c>
      <c r="H1825" s="9" t="str" cm="1">
        <f t="array" ref="H1825">INDEX(stableR[question],MATCH(VALUE(questions[[#This Row],[qno]]),VALUE(stableR[qno]),0))</f>
        <v>If applying herbicides, can you prove that all are locally authorized for coffee use, and that you respect the doses and post-harvest intervals of the label of the product. If applying herbicides, to which % of area of the coffee plots? e.g. if the coffee area is 1 hectare and herbicides are sprayed to only 0.5 hectare (where there is high weed pressure), then it is 50%</v>
      </c>
      <c r="I1825" s="9" t="b" cm="1">
        <f t="array" ref="I1825">INDEX(stable[is_fixed],MATCH(VALUE(questions[[#This Row],[qno]]),VALUE(stable[qno]),0))</f>
        <v>1</v>
      </c>
      <c r="J1825" s="9" t="b" cm="1">
        <f t="array" ref="J1825">INDEX(stable[is_localized],MATCH(VALUE(questions[[#This Row],[qno]]),VALUE(stable[qno]),0))</f>
        <v>0</v>
      </c>
      <c r="K1825" s="9" t="b" cm="1">
        <f t="array" ref="K1825">INDEX(stable[is_supply_chain_dependent],MATCH(VALUE(questions[[#This Row],[qno]]),VALUE(stable[qno]),0))</f>
        <v>0</v>
      </c>
      <c r="L1825" s="9" t="b" cm="1">
        <f t="array" ref="L1825">INDEX(stable[is_mandatory],MATCH(VALUE(questions[[#This Row],[qno]]),VALUE(stable[qno]),0))</f>
        <v>1</v>
      </c>
      <c r="M1825" s="9" t="b" cm="1">
        <f t="array" ref="M1825">INDEX(stable[is_automated],MATCH(VALUE(questions[[#This Row],[qno]]),VALUE(stable[qno]),0))</f>
        <v>0</v>
      </c>
      <c r="N1825" s="9" t="b" cm="1">
        <f t="array" ref="N1825">INDEX(stable[is_free_text],MATCH(VALUE(questions[[#This Row],[qno]]),VALUE(stable[qno]),0))</f>
        <v>0</v>
      </c>
      <c r="O1825" s="9" t="b" cm="1">
        <f t="array" ref="O1825">INDEX(stable[is_numerical],MATCH(VALUE(questions[[#This Row],[qno]]),VALUE(stable[qno]),0))</f>
        <v>0</v>
      </c>
      <c r="P1825" s="77" t="b" cm="1">
        <f t="array" ref="P1825">INDEX(stable[is_single_select],MATCH(VALUE(questions[[#This Row],[qno]]),VALUE(stable[qno]),0))</f>
        <v>1</v>
      </c>
      <c r="Q1825" s="77" t="b" cm="1">
        <f t="array" ref="Q1825">INDEX(stable[is_multi_select],MATCH(VALUE(questions[[#This Row],[qno]]),VALUE(stable[qno]),0))</f>
        <v>0</v>
      </c>
      <c r="R1825" s="77" t="b" cm="1">
        <f t="array" ref="R1825">INDEX(stable[is_skip_logic],MATCH(VALUE(questions[[#This Row],[qno]]),VALUE(stable[qno]),0))</f>
        <v>1</v>
      </c>
      <c r="S1825" s="77" t="str">
        <f>_xlfn.TEXTJOIN(", ",TRUE,questions[[#This Row],[ans_opt_1]:[ans_opt_14]])</f>
        <v>Manual removal, Mechanical removal, Mulching, Cover crops, Cover crops, Amix of different systems</v>
      </c>
      <c r="T1825" s="77" t="s">
        <v>428</v>
      </c>
      <c r="U1825" s="77" t="s">
        <v>429</v>
      </c>
      <c r="V1825" s="77" t="s">
        <v>430</v>
      </c>
      <c r="W1825" s="77" t="s">
        <v>431</v>
      </c>
      <c r="X1825" s="77" t="s">
        <v>431</v>
      </c>
      <c r="Y1825" s="131" t="s">
        <v>806</v>
      </c>
      <c r="AH1825" s="98" t="b">
        <f>INDEX(stable[q_standard],MATCH(questions[[#This Row],[qno]],stable[qno],0))</f>
        <v>0</v>
      </c>
      <c r="AI1825" s="98" t="b">
        <f>INDEX(stable[q_living_income],MATCH(questions[[#This Row],[qno]],stable[qno],0))</f>
        <v>0</v>
      </c>
      <c r="AJ1825" s="98" t="b">
        <f>INDEX(stable[q_carbon],MATCH(questions[[#This Row],[qno]],stable[qno],0))</f>
        <v>0</v>
      </c>
      <c r="AK1825" s="98" t="b">
        <f>INDEX(stable[q_regen_ag],MATCH(questions[[#This Row],[qno]],stable[qno],0))</f>
        <v>1</v>
      </c>
      <c r="AL1825" s="128" t="b">
        <f>COUNTIFS(stable[qno],questions[[#This Row],[qno]])=1</f>
        <v>1</v>
      </c>
      <c r="AM1825" s="98" t="b">
        <f>OR(questions[[#This Row],[is_fixed]],questions[[#This Row],[is_localized]],questions[[#This Row],[is_supply_chain_dependent]])</f>
        <v>1</v>
      </c>
      <c r="AN1825" s="98" t="b">
        <f>COUNTIFS(questions[[#This Row],[is_automated]:[is_multi_select]],TRUE)=1</f>
        <v>1</v>
      </c>
      <c r="AO1825" s="98" t="b">
        <f>IF(questions[[#This Row],[is_fixed]],questions[[#This Row],[question]]=INDEX(stable[question],MATCH(questions[[#This Row],[qno]],stable[qno],0)),TRUE)</f>
        <v>1</v>
      </c>
      <c r="AP1825" s="98" t="str">
        <f>LEFT(questions[[#This Row],[question]],similarity_range)</f>
        <v>If you use or do not</v>
      </c>
      <c r="AQ1825" s="98" t="str">
        <f>LEFT(INDEX(stable[question],MATCH(questions[[#This Row],[qno]],stable[qno],0)),similarity_range)</f>
        <v>If you use or do not</v>
      </c>
      <c r="AR1825" s="98" t="b">
        <f>questions[[#This Row],[question_first_characters]]=questions[[#This Row],[stability_first_characters]]</f>
        <v>1</v>
      </c>
      <c r="AS1825" s="98" t="b">
        <f>IF(OR(questions[[#This Row],[is_single_select]],questions[[#This Row],[is_multi_select]]),NOT(ISBLANK(questions[[#This Row],[answer_opt_combined]])),TRUE)</f>
        <v>1</v>
      </c>
    </row>
    <row r="1826" spans="1:45" s="77" customFormat="1" ht="15.75" customHeight="1" x14ac:dyDescent="0.25">
      <c r="A1826" s="77" t="str">
        <f>_xlfn.TEXTJOIN("_",TRUE,questions[[#This Row],[origin]:[qno]])</f>
        <v>Uganda_Robusta_2026_7300</v>
      </c>
      <c r="B1826" s="77" t="s">
        <v>511</v>
      </c>
      <c r="C1826" s="77" t="s">
        <v>674</v>
      </c>
      <c r="E1826" s="77">
        <v>2026</v>
      </c>
      <c r="F1826" s="104" t="s">
        <v>433</v>
      </c>
      <c r="G1826" s="78" t="s">
        <v>434</v>
      </c>
      <c r="H1826" s="9" t="str" cm="1">
        <f t="array" ref="H1826">INDEX(stableR[question],MATCH(VALUE(questions[[#This Row],[qno]]),VALUE(stableR[qno]),0))</f>
        <v>Do you irrigate your coffee crop and if yes, what irrigation system/s do you use? If the answer is NO, you do not need to answer the next question</v>
      </c>
      <c r="I1826" s="9" t="b" cm="1">
        <f t="array" ref="I1826">INDEX(stable[is_fixed],MATCH(VALUE(questions[[#This Row],[qno]]),VALUE(stable[qno]),0))</f>
        <v>1</v>
      </c>
      <c r="J1826" s="9" t="b" cm="1">
        <f t="array" ref="J1826">INDEX(stable[is_localized],MATCH(VALUE(questions[[#This Row],[qno]]),VALUE(stable[qno]),0))</f>
        <v>0</v>
      </c>
      <c r="K1826" s="9" t="b" cm="1">
        <f t="array" ref="K1826">INDEX(stable[is_supply_chain_dependent],MATCH(VALUE(questions[[#This Row],[qno]]),VALUE(stable[qno]),0))</f>
        <v>0</v>
      </c>
      <c r="L1826" s="9" t="b" cm="1">
        <f t="array" ref="L1826">INDEX(stable[is_mandatory],MATCH(VALUE(questions[[#This Row],[qno]]),VALUE(stable[qno]),0))</f>
        <v>1</v>
      </c>
      <c r="M1826" s="9" t="b" cm="1">
        <f t="array" ref="M1826">INDEX(stable[is_automated],MATCH(VALUE(questions[[#This Row],[qno]]),VALUE(stable[qno]),0))</f>
        <v>0</v>
      </c>
      <c r="N1826" s="9" t="b" cm="1">
        <f t="array" ref="N1826">INDEX(stable[is_free_text],MATCH(VALUE(questions[[#This Row],[qno]]),VALUE(stable[qno]),0))</f>
        <v>0</v>
      </c>
      <c r="O1826" s="9" t="b" cm="1">
        <f t="array" ref="O1826">INDEX(stable[is_numerical],MATCH(VALUE(questions[[#This Row],[qno]]),VALUE(stable[qno]),0))</f>
        <v>0</v>
      </c>
      <c r="P1826" s="77" t="b" cm="1">
        <f t="array" ref="P1826">INDEX(stable[is_single_select],MATCH(VALUE(questions[[#This Row],[qno]]),VALUE(stable[qno]),0))</f>
        <v>1</v>
      </c>
      <c r="Q1826" s="77" t="b" cm="1">
        <f t="array" ref="Q1826">INDEX(stable[is_multi_select],MATCH(VALUE(questions[[#This Row],[qno]]),VALUE(stable[qno]),0))</f>
        <v>0</v>
      </c>
      <c r="R1826" s="77" t="b" cm="1">
        <f t="array" ref="R1826">INDEX(stable[is_skip_logic],MATCH(VALUE(questions[[#This Row],[qno]]),VALUE(stable[qno]),0))</f>
        <v>0</v>
      </c>
      <c r="S1826" s="77" t="str">
        <f>_xlfn.TEXTJOIN(", ",TRUE,questions[[#This Row],[ans_opt_1]:[ans_opt_14]])</f>
        <v>No, Yes / drip irrigation, Yes / minisprinkler irrigation, Yes / overhead irrigation (sprinklers, pivot, rain gun), Yes / flood-furrow-hose pipe irrigation</v>
      </c>
      <c r="T1826" s="77" t="s">
        <v>119</v>
      </c>
      <c r="U1826" s="77" t="s">
        <v>435</v>
      </c>
      <c r="V1826" s="77" t="s">
        <v>436</v>
      </c>
      <c r="W1826" s="77" t="s">
        <v>437</v>
      </c>
      <c r="X1826" s="77" t="s">
        <v>438</v>
      </c>
      <c r="AH1826" s="98" t="b">
        <f>INDEX(stable[q_standard],MATCH(questions[[#This Row],[qno]],stable[qno],0))</f>
        <v>0</v>
      </c>
      <c r="AI1826" s="98" t="b">
        <f>INDEX(stable[q_living_income],MATCH(questions[[#This Row],[qno]],stable[qno],0))</f>
        <v>0</v>
      </c>
      <c r="AJ1826" s="98" t="b">
        <f>INDEX(stable[q_carbon],MATCH(questions[[#This Row],[qno]],stable[qno],0))</f>
        <v>0</v>
      </c>
      <c r="AK1826" s="98" t="b">
        <f>INDEX(stable[q_regen_ag],MATCH(questions[[#This Row],[qno]],stable[qno],0))</f>
        <v>1</v>
      </c>
      <c r="AL1826" s="203" t="b">
        <f>COUNTIFS(stable[qno],questions[[#This Row],[qno]])=1</f>
        <v>1</v>
      </c>
      <c r="AM1826" s="98" t="b">
        <f>OR(questions[[#This Row],[is_fixed]],questions[[#This Row],[is_localized]],questions[[#This Row],[is_supply_chain_dependent]])</f>
        <v>1</v>
      </c>
      <c r="AN1826" s="98" t="b">
        <f>COUNTIFS(questions[[#This Row],[is_automated]:[is_multi_select]],TRUE)=1</f>
        <v>1</v>
      </c>
      <c r="AO1826" s="98" t="b">
        <f>IF(questions[[#This Row],[is_fixed]],questions[[#This Row],[question]]=INDEX(stable[question],MATCH(questions[[#This Row],[qno]],stable[qno],0)),TRUE)</f>
        <v>0</v>
      </c>
      <c r="AP1826" s="98" t="str">
        <f>LEFT(questions[[#This Row],[question]],similarity_range)</f>
        <v>Do you irrigate your</v>
      </c>
      <c r="AQ1826" s="98" t="str">
        <f>LEFT(INDEX(stable[question],MATCH(questions[[#This Row],[qno]],stable[qno],0)),similarity_range)</f>
        <v>Do you irrigate your</v>
      </c>
      <c r="AR1826" s="98" t="b">
        <f>questions[[#This Row],[question_first_characters]]=questions[[#This Row],[stability_first_characters]]</f>
        <v>1</v>
      </c>
      <c r="AS1826" s="98" t="b">
        <f>IF(OR(questions[[#This Row],[is_single_select]],questions[[#This Row],[is_multi_select]]),NOT(ISBLANK(questions[[#This Row],[answer_opt_combined]])),TRUE)</f>
        <v>1</v>
      </c>
    </row>
    <row r="1827" spans="1:45" s="77" customFormat="1" ht="15.75" customHeight="1" x14ac:dyDescent="0.25">
      <c r="A1827" s="77" t="str">
        <f>_xlfn.TEXTJOIN("_",TRUE,questions[[#This Row],[origin]:[qno]])</f>
        <v>Uganda_Robusta_2026_7301</v>
      </c>
      <c r="B1827" s="77" t="s">
        <v>511</v>
      </c>
      <c r="C1827" s="77" t="s">
        <v>674</v>
      </c>
      <c r="E1827" s="77">
        <v>2026</v>
      </c>
      <c r="F1827" s="104" t="s">
        <v>439</v>
      </c>
      <c r="G1827" s="78" t="s">
        <v>440</v>
      </c>
      <c r="H1827" s="9" t="str" cm="1">
        <f t="array" ref="H1827">INDEX(stableR[question],MATCH(VALUE(questions[[#This Row],[qno]]),VALUE(stableR[qno]),0))</f>
        <v>Do you have a systems to know when and how much to irrigate and according to the irrigation system (balance sheet with rainfall and evapotranspiration, sensors, irrigation app-software, weather stations...)?</v>
      </c>
      <c r="I1827" s="9" t="b" cm="1">
        <f t="array" ref="I1827">INDEX(stable[is_fixed],MATCH(VALUE(questions[[#This Row],[qno]]),VALUE(stable[qno]),0))</f>
        <v>1</v>
      </c>
      <c r="J1827" s="9" t="b" cm="1">
        <f t="array" ref="J1827">INDEX(stable[is_localized],MATCH(VALUE(questions[[#This Row],[qno]]),VALUE(stable[qno]),0))</f>
        <v>0</v>
      </c>
      <c r="K1827" s="9" t="b" cm="1">
        <f t="array" ref="K1827">INDEX(stable[is_supply_chain_dependent],MATCH(VALUE(questions[[#This Row],[qno]]),VALUE(stable[qno]),0))</f>
        <v>0</v>
      </c>
      <c r="L1827" s="9" t="b" cm="1">
        <f t="array" ref="L1827">INDEX(stable[is_mandatory],MATCH(VALUE(questions[[#This Row],[qno]]),VALUE(stable[qno]),0))</f>
        <v>0</v>
      </c>
      <c r="M1827" s="9" t="b" cm="1">
        <f t="array" ref="M1827">INDEX(stable[is_automated],MATCH(VALUE(questions[[#This Row],[qno]]),VALUE(stable[qno]),0))</f>
        <v>0</v>
      </c>
      <c r="N1827" s="9" t="b" cm="1">
        <f t="array" ref="N1827">INDEX(stable[is_free_text],MATCH(VALUE(questions[[#This Row],[qno]]),VALUE(stable[qno]),0))</f>
        <v>0</v>
      </c>
      <c r="O1827" s="9" t="b" cm="1">
        <f t="array" ref="O1827">INDEX(stable[is_numerical],MATCH(VALUE(questions[[#This Row],[qno]]),VALUE(stable[qno]),0))</f>
        <v>0</v>
      </c>
      <c r="P1827" s="77" t="b" cm="1">
        <f t="array" ref="P1827">INDEX(stable[is_single_select],MATCH(VALUE(questions[[#This Row],[qno]]),VALUE(stable[qno]),0))</f>
        <v>1</v>
      </c>
      <c r="Q1827" s="77" t="b" cm="1">
        <f t="array" ref="Q1827">INDEX(stable[is_multi_select],MATCH(VALUE(questions[[#This Row],[qno]]),VALUE(stable[qno]),0))</f>
        <v>0</v>
      </c>
      <c r="R1827" s="77" t="b" cm="1">
        <f t="array" ref="R1827">INDEX(stable[is_skip_logic],MATCH(VALUE(questions[[#This Row],[qno]]),VALUE(stable[qno]),0))</f>
        <v>0</v>
      </c>
      <c r="S1827" s="77" t="str">
        <f>_xlfn.TEXTJOIN(", ",TRUE,questions[[#This Row],[ans_opt_1]:[ans_opt_14]])</f>
        <v>Yes, No</v>
      </c>
      <c r="T1827" s="77" t="s">
        <v>149</v>
      </c>
      <c r="U1827" s="77" t="s">
        <v>119</v>
      </c>
      <c r="AH1827" s="98" t="b">
        <f>INDEX(stable[q_standard],MATCH(questions[[#This Row],[qno]],stable[qno],0))</f>
        <v>0</v>
      </c>
      <c r="AI1827" s="98" t="b">
        <f>INDEX(stable[q_living_income],MATCH(questions[[#This Row],[qno]],stable[qno],0))</f>
        <v>0</v>
      </c>
      <c r="AJ1827" s="98" t="b">
        <f>INDEX(stable[q_carbon],MATCH(questions[[#This Row],[qno]],stable[qno],0))</f>
        <v>0</v>
      </c>
      <c r="AK1827" s="98" t="b">
        <f>INDEX(stable[q_regen_ag],MATCH(questions[[#This Row],[qno]],stable[qno],0))</f>
        <v>1</v>
      </c>
      <c r="AL1827" s="203" t="b">
        <f>COUNTIFS(stable[qno],questions[[#This Row],[qno]])=1</f>
        <v>1</v>
      </c>
      <c r="AM1827" s="98" t="b">
        <f>OR(questions[[#This Row],[is_fixed]],questions[[#This Row],[is_localized]],questions[[#This Row],[is_supply_chain_dependent]])</f>
        <v>1</v>
      </c>
      <c r="AN1827" s="98" t="b">
        <f>COUNTIFS(questions[[#This Row],[is_automated]:[is_multi_select]],TRUE)=1</f>
        <v>1</v>
      </c>
      <c r="AO1827" s="98" t="b">
        <f>IF(questions[[#This Row],[is_fixed]],questions[[#This Row],[question]]=INDEX(stable[question],MATCH(questions[[#This Row],[qno]],stable[qno],0)),TRUE)</f>
        <v>1</v>
      </c>
      <c r="AP1827" s="98" t="str">
        <f>LEFT(questions[[#This Row],[question]],similarity_range)</f>
        <v>Do you have a system</v>
      </c>
      <c r="AQ1827" s="98" t="str">
        <f>LEFT(INDEX(stable[question],MATCH(questions[[#This Row],[qno]],stable[qno],0)),similarity_range)</f>
        <v>Do you have a system</v>
      </c>
      <c r="AR1827" s="98" t="b">
        <f>questions[[#This Row],[question_first_characters]]=questions[[#This Row],[stability_first_characters]]</f>
        <v>1</v>
      </c>
      <c r="AS1827" s="98" t="b">
        <f>IF(OR(questions[[#This Row],[is_single_select]],questions[[#This Row],[is_multi_select]]),NOT(ISBLANK(questions[[#This Row],[answer_opt_combined]])),TRUE)</f>
        <v>1</v>
      </c>
    </row>
    <row r="1828" spans="1:45" s="77" customFormat="1" ht="15.75" customHeight="1" x14ac:dyDescent="0.25">
      <c r="A1828" s="77" t="str">
        <f>_xlfn.TEXTJOIN("_",TRUE,questions[[#This Row],[origin]:[qno]])</f>
        <v>Uganda_Robusta_2026_7400</v>
      </c>
      <c r="B1828" s="77" t="s">
        <v>511</v>
      </c>
      <c r="C1828" s="77" t="s">
        <v>674</v>
      </c>
      <c r="E1828" s="77">
        <v>2026</v>
      </c>
      <c r="F1828" s="104" t="s">
        <v>441</v>
      </c>
      <c r="G1828" s="78" t="s">
        <v>442</v>
      </c>
      <c r="H1828" s="9" t="str" cm="1">
        <f t="array" ref="H1828">INDEX(stableR[question],MATCH(VALUE(questions[[#This Row],[qno]]),VALUE(stableR[qno]),0))</f>
        <v>Are you implementing a plan to renovate/rehabilitate the coffee trees of your coffee plots? e.g. stumping, partial stumping, capping, side pruning, uprooting and replanting, uprooting and planting new trees, or a mix of systems. If the answer is NO, you do not need to answer the next 2 questions</v>
      </c>
      <c r="I1828" s="9" t="b" cm="1">
        <f t="array" ref="I1828">INDEX(stable[is_fixed],MATCH(VALUE(questions[[#This Row],[qno]]),VALUE(stable[qno]),0))</f>
        <v>1</v>
      </c>
      <c r="J1828" s="9" t="b" cm="1">
        <f t="array" ref="J1828">INDEX(stable[is_localized],MATCH(VALUE(questions[[#This Row],[qno]]),VALUE(stable[qno]),0))</f>
        <v>0</v>
      </c>
      <c r="K1828" s="9" t="b" cm="1">
        <f t="array" ref="K1828">INDEX(stable[is_supply_chain_dependent],MATCH(VALUE(questions[[#This Row],[qno]]),VALUE(stable[qno]),0))</f>
        <v>0</v>
      </c>
      <c r="L1828" s="9" t="b" cm="1">
        <f t="array" ref="L1828">INDEX(stable[is_mandatory],MATCH(VALUE(questions[[#This Row],[qno]]),VALUE(stable[qno]),0))</f>
        <v>1</v>
      </c>
      <c r="M1828" s="9" t="b" cm="1">
        <f t="array" ref="M1828">INDEX(stable[is_automated],MATCH(VALUE(questions[[#This Row],[qno]]),VALUE(stable[qno]),0))</f>
        <v>0</v>
      </c>
      <c r="N1828" s="9" t="b" cm="1">
        <f t="array" ref="N1828">INDEX(stable[is_free_text],MATCH(VALUE(questions[[#This Row],[qno]]),VALUE(stable[qno]),0))</f>
        <v>0</v>
      </c>
      <c r="O1828" s="9" t="b" cm="1">
        <f t="array" ref="O1828">INDEX(stable[is_numerical],MATCH(VALUE(questions[[#This Row],[qno]]),VALUE(stable[qno]),0))</f>
        <v>0</v>
      </c>
      <c r="P1828" s="77" t="b" cm="1">
        <f t="array" ref="P1828">INDEX(stable[is_single_select],MATCH(VALUE(questions[[#This Row],[qno]]),VALUE(stable[qno]),0))</f>
        <v>1</v>
      </c>
      <c r="Q1828" s="77" t="b" cm="1">
        <f t="array" ref="Q1828">INDEX(stable[is_multi_select],MATCH(VALUE(questions[[#This Row],[qno]]),VALUE(stable[qno]),0))</f>
        <v>0</v>
      </c>
      <c r="R1828" s="77" t="b" cm="1">
        <f t="array" ref="R1828">INDEX(stable[is_skip_logic],MATCH(VALUE(questions[[#This Row],[qno]]),VALUE(stable[qno]),0))</f>
        <v>1</v>
      </c>
      <c r="S1828" s="77" t="str">
        <f>_xlfn.TEXTJOIN(", ",TRUE,questions[[#This Row],[ans_opt_1]:[ans_opt_14]])</f>
        <v>Yes, No</v>
      </c>
      <c r="T1828" s="77" t="s">
        <v>149</v>
      </c>
      <c r="U1828" s="77" t="s">
        <v>119</v>
      </c>
      <c r="AH1828" s="98" t="b">
        <f>INDEX(stable[q_standard],MATCH(questions[[#This Row],[qno]],stable[qno],0))</f>
        <v>0</v>
      </c>
      <c r="AI1828" s="98" t="b">
        <f>INDEX(stable[q_living_income],MATCH(questions[[#This Row],[qno]],stable[qno],0))</f>
        <v>0</v>
      </c>
      <c r="AJ1828" s="98" t="b">
        <f>INDEX(stable[q_carbon],MATCH(questions[[#This Row],[qno]],stable[qno],0))</f>
        <v>0</v>
      </c>
      <c r="AK1828" s="98" t="b">
        <f>INDEX(stable[q_regen_ag],MATCH(questions[[#This Row],[qno]],stable[qno],0))</f>
        <v>1</v>
      </c>
      <c r="AL1828" s="204" t="b">
        <f>COUNTIFS(stable[qno],questions[[#This Row],[qno]])=1</f>
        <v>1</v>
      </c>
      <c r="AM1828" s="98" t="b">
        <f>OR(questions[[#This Row],[is_fixed]],questions[[#This Row],[is_localized]],questions[[#This Row],[is_supply_chain_dependent]])</f>
        <v>1</v>
      </c>
      <c r="AN1828" s="98" t="b">
        <f>COUNTIFS(questions[[#This Row],[is_automated]:[is_multi_select]],TRUE)=1</f>
        <v>1</v>
      </c>
      <c r="AO1828" s="98" t="b">
        <f>IF(questions[[#This Row],[is_fixed]],questions[[#This Row],[question]]=INDEX(stable[question],MATCH(questions[[#This Row],[qno]],stable[qno],0)),TRUE)</f>
        <v>0</v>
      </c>
      <c r="AP1828" s="98" t="str">
        <f>LEFT(questions[[#This Row],[question]],similarity_range)</f>
        <v>Are you implementing</v>
      </c>
      <c r="AQ1828" s="98" t="str">
        <f>LEFT(INDEX(stable[question],MATCH(questions[[#This Row],[qno]],stable[qno],0)),similarity_range)</f>
        <v>Are you implementing</v>
      </c>
      <c r="AR1828" s="98" t="b">
        <f>questions[[#This Row],[question_first_characters]]=questions[[#This Row],[stability_first_characters]]</f>
        <v>1</v>
      </c>
      <c r="AS1828" s="98" t="b">
        <f>IF(OR(questions[[#This Row],[is_single_select]],questions[[#This Row],[is_multi_select]]),NOT(ISBLANK(questions[[#This Row],[answer_opt_combined]])),TRUE)</f>
        <v>1</v>
      </c>
    </row>
    <row r="1829" spans="1:45" s="77" customFormat="1" ht="15.75" customHeight="1" x14ac:dyDescent="0.25">
      <c r="A1829" s="77" t="str">
        <f>_xlfn.TEXTJOIN("_",TRUE,questions[[#This Row],[origin]:[qno]])</f>
        <v>Uganda_Robusta_2026_7401</v>
      </c>
      <c r="B1829" s="77" t="s">
        <v>511</v>
      </c>
      <c r="C1829" s="77" t="s">
        <v>674</v>
      </c>
      <c r="E1829" s="77">
        <v>2026</v>
      </c>
      <c r="F1829" s="104" t="s">
        <v>443</v>
      </c>
      <c r="G1829" s="78" t="s">
        <v>807</v>
      </c>
      <c r="H1829" s="9" t="str" cm="1">
        <f t="array" ref="H1829">INDEX(stableR[question],MATCH(VALUE(questions[[#This Row],[qno]]),VALUE(stableR[qno]),0))</f>
        <v>What % or proportion of trees have you renovated/rehabilitated in last 3 years?</v>
      </c>
      <c r="I1829" s="9" t="b" cm="1">
        <f t="array" ref="I1829">INDEX(stable[is_fixed],MATCH(VALUE(questions[[#This Row],[qno]]),VALUE(stable[qno]),0))</f>
        <v>1</v>
      </c>
      <c r="J1829" s="9" t="b" cm="1">
        <f t="array" ref="J1829">INDEX(stable[is_localized],MATCH(VALUE(questions[[#This Row],[qno]]),VALUE(stable[qno]),0))</f>
        <v>0</v>
      </c>
      <c r="K1829" s="9" t="b" cm="1">
        <f t="array" ref="K1829">INDEX(stable[is_supply_chain_dependent],MATCH(VALUE(questions[[#This Row],[qno]]),VALUE(stable[qno]),0))</f>
        <v>0</v>
      </c>
      <c r="L1829" s="9" t="b" cm="1">
        <f t="array" ref="L1829">INDEX(stable[is_mandatory],MATCH(VALUE(questions[[#This Row],[qno]]),VALUE(stable[qno]),0))</f>
        <v>0</v>
      </c>
      <c r="M1829" s="9" t="b" cm="1">
        <f t="array" ref="M1829">INDEX(stable[is_automated],MATCH(VALUE(questions[[#This Row],[qno]]),VALUE(stable[qno]),0))</f>
        <v>0</v>
      </c>
      <c r="N1829" s="9" t="b" cm="1">
        <f t="array" ref="N1829">INDEX(stable[is_free_text],MATCH(VALUE(questions[[#This Row],[qno]]),VALUE(stable[qno]),0))</f>
        <v>0</v>
      </c>
      <c r="O1829" s="9" t="b" cm="1">
        <f t="array" ref="O1829">INDEX(stable[is_numerical],MATCH(VALUE(questions[[#This Row],[qno]]),VALUE(stable[qno]),0))</f>
        <v>0</v>
      </c>
      <c r="P1829" s="77" t="b" cm="1">
        <f t="array" ref="P1829">INDEX(stable[is_single_select],MATCH(VALUE(questions[[#This Row],[qno]]),VALUE(stable[qno]),0))</f>
        <v>1</v>
      </c>
      <c r="Q1829" s="77" t="b" cm="1">
        <f t="array" ref="Q1829">INDEX(stable[is_multi_select],MATCH(VALUE(questions[[#This Row],[qno]]),VALUE(stable[qno]),0))</f>
        <v>0</v>
      </c>
      <c r="R1829" s="77" t="b" cm="1">
        <f t="array" ref="R1829">INDEX(stable[is_skip_logic],MATCH(VALUE(questions[[#This Row],[qno]]),VALUE(stable[qno]),0))</f>
        <v>1</v>
      </c>
      <c r="S1829" s="77" t="str">
        <f>_xlfn.TEXTJOIN(", ",TRUE,questions[[#This Row],[ans_opt_1]:[ans_opt_14]])</f>
        <v>1% to 10% - very little, 11% to 20% - little, 21% to 50% - less than half, 51% to 75% - more than half, 76% to 100% - almost all</v>
      </c>
      <c r="T1829" s="77" t="s">
        <v>421</v>
      </c>
      <c r="U1829" s="77" t="s">
        <v>422</v>
      </c>
      <c r="V1829" s="77" t="s">
        <v>423</v>
      </c>
      <c r="W1829" s="77" t="s">
        <v>340</v>
      </c>
      <c r="X1829" s="77" t="s">
        <v>341</v>
      </c>
      <c r="AH1829" s="98" t="b">
        <f>INDEX(stable[q_standard],MATCH(questions[[#This Row],[qno]],stable[qno],0))</f>
        <v>0</v>
      </c>
      <c r="AI1829" s="98" t="b">
        <f>INDEX(stable[q_living_income],MATCH(questions[[#This Row],[qno]],stable[qno],0))</f>
        <v>0</v>
      </c>
      <c r="AJ1829" s="98" t="b">
        <f>INDEX(stable[q_carbon],MATCH(questions[[#This Row],[qno]],stable[qno],0))</f>
        <v>0</v>
      </c>
      <c r="AK1829" s="98" t="b">
        <f>INDEX(stable[q_regen_ag],MATCH(questions[[#This Row],[qno]],stable[qno],0))</f>
        <v>1</v>
      </c>
      <c r="AL1829" s="204" t="b">
        <f>COUNTIFS(stable[qno],questions[[#This Row],[qno]])=1</f>
        <v>1</v>
      </c>
      <c r="AM1829" s="98" t="b">
        <f>OR(questions[[#This Row],[is_fixed]],questions[[#This Row],[is_localized]],questions[[#This Row],[is_supply_chain_dependent]])</f>
        <v>1</v>
      </c>
      <c r="AN1829" s="98" t="b">
        <f>COUNTIFS(questions[[#This Row],[is_automated]:[is_multi_select]],TRUE)=1</f>
        <v>1</v>
      </c>
      <c r="AO1829" s="98" t="b">
        <f>IF(questions[[#This Row],[is_fixed]],questions[[#This Row],[question]]=INDEX(stable[question],MATCH(questions[[#This Row],[qno]],stable[qno],0)),TRUE)</f>
        <v>0</v>
      </c>
      <c r="AP1829" s="98" t="str">
        <f>LEFT(questions[[#This Row],[question]],similarity_range)</f>
        <v>What % or proportion</v>
      </c>
      <c r="AQ1829" s="98" t="str">
        <f>LEFT(INDEX(stable[question],MATCH(questions[[#This Row],[qno]],stable[qno],0)),similarity_range)</f>
        <v>What % or proportion</v>
      </c>
      <c r="AR1829" s="98" t="b">
        <f>questions[[#This Row],[question_first_characters]]=questions[[#This Row],[stability_first_characters]]</f>
        <v>1</v>
      </c>
      <c r="AS1829" s="98" t="b">
        <f>IF(OR(questions[[#This Row],[is_single_select]],questions[[#This Row],[is_multi_select]]),NOT(ISBLANK(questions[[#This Row],[answer_opt_combined]])),TRUE)</f>
        <v>1</v>
      </c>
    </row>
    <row r="1830" spans="1:45" s="77" customFormat="1" ht="15.75" customHeight="1" x14ac:dyDescent="0.25">
      <c r="A1830" s="77" t="str">
        <f>_xlfn.TEXTJOIN("_",TRUE,questions[[#This Row],[origin]:[qno]])</f>
        <v>Uganda_Robusta_2026_7402</v>
      </c>
      <c r="B1830" s="77" t="s">
        <v>511</v>
      </c>
      <c r="C1830" s="77" t="s">
        <v>674</v>
      </c>
      <c r="E1830" s="77">
        <v>2026</v>
      </c>
      <c r="F1830" s="104" t="s">
        <v>445</v>
      </c>
      <c r="G1830" s="78" t="s">
        <v>808</v>
      </c>
      <c r="H1830" s="9" t="str" cm="1">
        <f t="array" ref="H1830">INDEX(stableR[question],MATCH(VALUE(questions[[#This Row],[qno]]),VALUE(stableR[qno]),0))</f>
        <v>What is the main renovation-rehabilitation systems do you use to renovate/rehabilitate (e.g. full stumping, partial stumping, capping, side pruning, uprooting and planting new trees)?</v>
      </c>
      <c r="I1830" s="9" t="b" cm="1">
        <f t="array" ref="I1830">INDEX(stable[is_fixed],MATCH(VALUE(questions[[#This Row],[qno]]),VALUE(stable[qno]),0))</f>
        <v>1</v>
      </c>
      <c r="J1830" s="9" t="b" cm="1">
        <f t="array" ref="J1830">INDEX(stable[is_localized],MATCH(VALUE(questions[[#This Row],[qno]]),VALUE(stable[qno]),0))</f>
        <v>0</v>
      </c>
      <c r="K1830" s="9" t="b" cm="1">
        <f t="array" ref="K1830">INDEX(stable[is_supply_chain_dependent],MATCH(VALUE(questions[[#This Row],[qno]]),VALUE(stable[qno]),0))</f>
        <v>0</v>
      </c>
      <c r="L1830" s="9" t="b" cm="1">
        <f t="array" ref="L1830">INDEX(stable[is_mandatory],MATCH(VALUE(questions[[#This Row],[qno]]),VALUE(stable[qno]),0))</f>
        <v>0</v>
      </c>
      <c r="M1830" s="9" t="b" cm="1">
        <f t="array" ref="M1830">INDEX(stable[is_automated],MATCH(VALUE(questions[[#This Row],[qno]]),VALUE(stable[qno]),0))</f>
        <v>0</v>
      </c>
      <c r="N1830" s="9" t="b" cm="1">
        <f t="array" ref="N1830">INDEX(stable[is_free_text],MATCH(VALUE(questions[[#This Row],[qno]]),VALUE(stable[qno]),0))</f>
        <v>0</v>
      </c>
      <c r="O1830" s="9" t="b" cm="1">
        <f t="array" ref="O1830">INDEX(stable[is_numerical],MATCH(VALUE(questions[[#This Row],[qno]]),VALUE(stable[qno]),0))</f>
        <v>0</v>
      </c>
      <c r="P1830" s="77" t="b" cm="1">
        <f t="array" ref="P1830">INDEX(stable[is_single_select],MATCH(VALUE(questions[[#This Row],[qno]]),VALUE(stable[qno]),0))</f>
        <v>1</v>
      </c>
      <c r="Q1830" s="77" t="b" cm="1">
        <f t="array" ref="Q1830">INDEX(stable[is_multi_select],MATCH(VALUE(questions[[#This Row],[qno]]),VALUE(stable[qno]),0))</f>
        <v>0</v>
      </c>
      <c r="R1830" s="77" t="b" cm="1">
        <f t="array" ref="R1830">INDEX(stable[is_skip_logic],MATCH(VALUE(questions[[#This Row],[qno]]),VALUE(stable[qno]),0))</f>
        <v>1</v>
      </c>
      <c r="S1830" s="77" t="str">
        <f>_xlfn.TEXTJOIN(", ",TRUE,questions[[#This Row],[ans_opt_1]:[ans_opt_14]])</f>
        <v>full stumping, partial stumping, capping, side pruning, capping and side prunning, uprooting and planting new trees</v>
      </c>
      <c r="T1830" s="77" t="s">
        <v>447</v>
      </c>
      <c r="U1830" s="77" t="s">
        <v>448</v>
      </c>
      <c r="V1830" s="77" t="s">
        <v>449</v>
      </c>
      <c r="W1830" s="77" t="s">
        <v>450</v>
      </c>
      <c r="X1830" s="77" t="s">
        <v>451</v>
      </c>
      <c r="Y1830" s="77" t="s">
        <v>452</v>
      </c>
      <c r="AH1830" s="98" t="b">
        <f>INDEX(stable[q_standard],MATCH(questions[[#This Row],[qno]],stable[qno],0))</f>
        <v>0</v>
      </c>
      <c r="AI1830" s="98" t="b">
        <f>INDEX(stable[q_living_income],MATCH(questions[[#This Row],[qno]],stable[qno],0))</f>
        <v>0</v>
      </c>
      <c r="AJ1830" s="98" t="b">
        <f>INDEX(stable[q_carbon],MATCH(questions[[#This Row],[qno]],stable[qno],0))</f>
        <v>0</v>
      </c>
      <c r="AK1830" s="98" t="b">
        <f>INDEX(stable[q_regen_ag],MATCH(questions[[#This Row],[qno]],stable[qno],0))</f>
        <v>1</v>
      </c>
      <c r="AL1830" s="204" t="b">
        <f>COUNTIFS(stable[qno],questions[[#This Row],[qno]])=1</f>
        <v>1</v>
      </c>
      <c r="AM1830" s="98" t="b">
        <f>OR(questions[[#This Row],[is_fixed]],questions[[#This Row],[is_localized]],questions[[#This Row],[is_supply_chain_dependent]])</f>
        <v>1</v>
      </c>
      <c r="AN1830" s="98" t="b">
        <f>COUNTIFS(questions[[#This Row],[is_automated]:[is_multi_select]],TRUE)=1</f>
        <v>1</v>
      </c>
      <c r="AO1830" s="98" t="b">
        <f>IF(questions[[#This Row],[is_fixed]],questions[[#This Row],[question]]=INDEX(stable[question],MATCH(questions[[#This Row],[qno]],stable[qno],0)),TRUE)</f>
        <v>0</v>
      </c>
      <c r="AP1830" s="98" t="str">
        <f>LEFT(questions[[#This Row],[question]],similarity_range)</f>
        <v>What is the main ren</v>
      </c>
      <c r="AQ1830" s="98" t="str">
        <f>LEFT(INDEX(stable[question],MATCH(questions[[#This Row],[qno]],stable[qno],0)),similarity_range)</f>
        <v>What is the main ren</v>
      </c>
      <c r="AR1830" s="98" t="b">
        <f>questions[[#This Row],[question_first_characters]]=questions[[#This Row],[stability_first_characters]]</f>
        <v>1</v>
      </c>
      <c r="AS1830" s="98" t="b">
        <f>IF(OR(questions[[#This Row],[is_single_select]],questions[[#This Row],[is_multi_select]]),NOT(ISBLANK(questions[[#This Row],[answer_opt_combined]])),TRUE)</f>
        <v>1</v>
      </c>
    </row>
    <row r="1831" spans="1:45" s="77" customFormat="1" ht="15.75" customHeight="1" x14ac:dyDescent="0.25">
      <c r="A1831" s="77" t="str">
        <f>_xlfn.TEXTJOIN("_",TRUE,questions[[#This Row],[origin]:[qno]])</f>
        <v>Uganda_Robusta_2026_7410</v>
      </c>
      <c r="B1831" s="77" t="s">
        <v>511</v>
      </c>
      <c r="C1831" s="77" t="s">
        <v>674</v>
      </c>
      <c r="E1831" s="77">
        <v>2026</v>
      </c>
      <c r="F1831" s="104" t="s">
        <v>453</v>
      </c>
      <c r="G1831" s="78" t="s">
        <v>454</v>
      </c>
      <c r="H1831" s="9" t="str" cm="1">
        <f t="array" ref="H1831">INDEX(stableR[question],MATCH(VALUE(questions[[#This Row],[qno]]),VALUE(stableR[qno]),0))</f>
        <v>How many coffee varieties do you grow in your coffee plots?</v>
      </c>
      <c r="I1831" s="9" t="b" cm="1">
        <f t="array" ref="I1831">INDEX(stable[is_fixed],MATCH(VALUE(questions[[#This Row],[qno]]),VALUE(stable[qno]),0))</f>
        <v>1</v>
      </c>
      <c r="J1831" s="9" t="b" cm="1">
        <f t="array" ref="J1831">INDEX(stable[is_localized],MATCH(VALUE(questions[[#This Row],[qno]]),VALUE(stable[qno]),0))</f>
        <v>0</v>
      </c>
      <c r="K1831" s="9" t="b" cm="1">
        <f t="array" ref="K1831">INDEX(stable[is_supply_chain_dependent],MATCH(VALUE(questions[[#This Row],[qno]]),VALUE(stable[qno]),0))</f>
        <v>0</v>
      </c>
      <c r="L1831" s="9" t="b" cm="1">
        <f t="array" ref="L1831">INDEX(stable[is_mandatory],MATCH(VALUE(questions[[#This Row],[qno]]),VALUE(stable[qno]),0))</f>
        <v>1</v>
      </c>
      <c r="M1831" s="9" t="b" cm="1">
        <f t="array" ref="M1831">INDEX(stable[is_automated],MATCH(VALUE(questions[[#This Row],[qno]]),VALUE(stable[qno]),0))</f>
        <v>0</v>
      </c>
      <c r="N1831" s="9" t="b" cm="1">
        <f t="array" ref="N1831">INDEX(stable[is_free_text],MATCH(VALUE(questions[[#This Row],[qno]]),VALUE(stable[qno]),0))</f>
        <v>0</v>
      </c>
      <c r="O1831" s="9" t="b" cm="1">
        <f t="array" ref="O1831">INDEX(stable[is_numerical],MATCH(VALUE(questions[[#This Row],[qno]]),VALUE(stable[qno]),0))</f>
        <v>0</v>
      </c>
      <c r="P1831" s="77" t="b" cm="1">
        <f t="array" ref="P1831">INDEX(stable[is_single_select],MATCH(VALUE(questions[[#This Row],[qno]]),VALUE(stable[qno]),0))</f>
        <v>1</v>
      </c>
      <c r="Q1831" s="77" t="b" cm="1">
        <f t="array" ref="Q1831">INDEX(stable[is_multi_select],MATCH(VALUE(questions[[#This Row],[qno]]),VALUE(stable[qno]),0))</f>
        <v>0</v>
      </c>
      <c r="R1831" s="77" t="b" cm="1">
        <f t="array" ref="R1831">INDEX(stable[is_skip_logic],MATCH(VALUE(questions[[#This Row],[qno]]),VALUE(stable[qno]),0))</f>
        <v>1</v>
      </c>
      <c r="S1831" s="77" t="str">
        <f>_xlfn.TEXTJOIN(", ",TRUE,questions[[#This Row],[ans_opt_1]:[ans_opt_14]])</f>
        <v>1, 2, 3, 4, 5, &gt;5</v>
      </c>
      <c r="T1831" s="77">
        <v>1</v>
      </c>
      <c r="U1831" s="77">
        <v>2</v>
      </c>
      <c r="V1831" s="77">
        <v>3</v>
      </c>
      <c r="W1831" s="77">
        <v>4</v>
      </c>
      <c r="X1831" s="77">
        <v>5</v>
      </c>
      <c r="Y1831" s="77" t="s">
        <v>404</v>
      </c>
      <c r="AH1831" s="98" t="b">
        <f>INDEX(stable[q_standard],MATCH(questions[[#This Row],[qno]],stable[qno],0))</f>
        <v>0</v>
      </c>
      <c r="AI1831" s="98" t="b">
        <f>INDEX(stable[q_living_income],MATCH(questions[[#This Row],[qno]],stable[qno],0))</f>
        <v>0</v>
      </c>
      <c r="AJ1831" s="98" t="b">
        <f>INDEX(stable[q_carbon],MATCH(questions[[#This Row],[qno]],stable[qno],0))</f>
        <v>0</v>
      </c>
      <c r="AK1831" s="98" t="b">
        <f>INDEX(stable[q_regen_ag],MATCH(questions[[#This Row],[qno]],stable[qno],0))</f>
        <v>1</v>
      </c>
      <c r="AL1831" s="205" t="b">
        <f>COUNTIFS(stable[qno],questions[[#This Row],[qno]])=1</f>
        <v>1</v>
      </c>
      <c r="AM1831" s="98" t="b">
        <f>OR(questions[[#This Row],[is_fixed]],questions[[#This Row],[is_localized]],questions[[#This Row],[is_supply_chain_dependent]])</f>
        <v>1</v>
      </c>
      <c r="AN1831" s="98" t="b">
        <f>COUNTIFS(questions[[#This Row],[is_automated]:[is_multi_select]],TRUE)=1</f>
        <v>1</v>
      </c>
      <c r="AO1831" s="98" t="b">
        <f>IF(questions[[#This Row],[is_fixed]],questions[[#This Row],[question]]=INDEX(stable[question],MATCH(questions[[#This Row],[qno]],stable[qno],0)),TRUE)</f>
        <v>1</v>
      </c>
      <c r="AP1831" s="98" t="str">
        <f>LEFT(questions[[#This Row],[question]],similarity_range)</f>
        <v>How many coffee vari</v>
      </c>
      <c r="AQ1831" s="98" t="str">
        <f>LEFT(INDEX(stable[question],MATCH(questions[[#This Row],[qno]],stable[qno],0)),similarity_range)</f>
        <v>How many coffee vari</v>
      </c>
      <c r="AR1831" s="98" t="b">
        <f>questions[[#This Row],[question_first_characters]]=questions[[#This Row],[stability_first_characters]]</f>
        <v>1</v>
      </c>
      <c r="AS1831" s="98" t="b">
        <f>IF(OR(questions[[#This Row],[is_single_select]],questions[[#This Row],[is_multi_select]]),NOT(ISBLANK(questions[[#This Row],[answer_opt_combined]])),TRUE)</f>
        <v>1</v>
      </c>
    </row>
    <row r="1832" spans="1:45" s="77" customFormat="1" ht="15.75" customHeight="1" x14ac:dyDescent="0.25">
      <c r="A1832" s="77" t="str">
        <f>_xlfn.TEXTJOIN("_",TRUE,questions[[#This Row],[origin]:[qno]])</f>
        <v>Uganda_Robusta_2026_7411</v>
      </c>
      <c r="B1832" s="77" t="s">
        <v>511</v>
      </c>
      <c r="C1832" s="77" t="s">
        <v>674</v>
      </c>
      <c r="E1832" s="77">
        <v>2026</v>
      </c>
      <c r="F1832" s="104" t="s">
        <v>455</v>
      </c>
      <c r="G1832" s="78" t="s">
        <v>809</v>
      </c>
      <c r="H1832" s="9" t="str" cm="1">
        <f t="array" ref="H1832">INDEX(stableR[question],MATCH(VALUE(questions[[#This Row],[qno]]),VALUE(stableR[qno]),0))</f>
        <v>What % or proportion over the total number of trees of the cultivated area is planted with the main variety?</v>
      </c>
      <c r="I1832" s="9" t="b" cm="1">
        <f t="array" ref="I1832">INDEX(stable[is_fixed],MATCH(VALUE(questions[[#This Row],[qno]]),VALUE(stable[qno]),0))</f>
        <v>1</v>
      </c>
      <c r="J1832" s="9" t="b" cm="1">
        <f t="array" ref="J1832">INDEX(stable[is_localized],MATCH(VALUE(questions[[#This Row],[qno]]),VALUE(stable[qno]),0))</f>
        <v>0</v>
      </c>
      <c r="K1832" s="9" t="b" cm="1">
        <f t="array" ref="K1832">INDEX(stable[is_supply_chain_dependent],MATCH(VALUE(questions[[#This Row],[qno]]),VALUE(stable[qno]),0))</f>
        <v>0</v>
      </c>
      <c r="L1832" s="9" t="b" cm="1">
        <f t="array" ref="L1832">INDEX(stable[is_mandatory],MATCH(VALUE(questions[[#This Row],[qno]]),VALUE(stable[qno]),0))</f>
        <v>1</v>
      </c>
      <c r="M1832" s="9" t="b" cm="1">
        <f t="array" ref="M1832">INDEX(stable[is_automated],MATCH(VALUE(questions[[#This Row],[qno]]),VALUE(stable[qno]),0))</f>
        <v>0</v>
      </c>
      <c r="N1832" s="9" t="b" cm="1">
        <f t="array" ref="N1832">INDEX(stable[is_free_text],MATCH(VALUE(questions[[#This Row],[qno]]),VALUE(stable[qno]),0))</f>
        <v>0</v>
      </c>
      <c r="O1832" s="9" t="b" cm="1">
        <f t="array" ref="O1832">INDEX(stable[is_numerical],MATCH(VALUE(questions[[#This Row],[qno]]),VALUE(stable[qno]),0))</f>
        <v>0</v>
      </c>
      <c r="P1832" s="77" t="b" cm="1">
        <f t="array" ref="P1832">INDEX(stable[is_single_select],MATCH(VALUE(questions[[#This Row],[qno]]),VALUE(stable[qno]),0))</f>
        <v>1</v>
      </c>
      <c r="Q1832" s="77" t="b" cm="1">
        <f t="array" ref="Q1832">INDEX(stable[is_multi_select],MATCH(VALUE(questions[[#This Row],[qno]]),VALUE(stable[qno]),0))</f>
        <v>0</v>
      </c>
      <c r="R1832" s="77" t="b" cm="1">
        <f t="array" ref="R1832">INDEX(stable[is_skip_logic],MATCH(VALUE(questions[[#This Row],[qno]]),VALUE(stable[qno]),0))</f>
        <v>1</v>
      </c>
      <c r="S1832" s="77" t="str">
        <f>_xlfn.TEXTJOIN(", ",TRUE,questions[[#This Row],[ans_opt_1]:[ans_opt_14]])</f>
        <v>1% to 25% - little to a quarter, 26% to 50% - less than half, 51% to 75% - more than half, 76% to 100% - almost all</v>
      </c>
      <c r="T1832" s="77" t="s">
        <v>338</v>
      </c>
      <c r="U1832" s="77" t="s">
        <v>339</v>
      </c>
      <c r="V1832" s="77" t="s">
        <v>340</v>
      </c>
      <c r="W1832" s="77" t="s">
        <v>341</v>
      </c>
      <c r="AH1832" s="98" t="b">
        <f>INDEX(stable[q_standard],MATCH(questions[[#This Row],[qno]],stable[qno],0))</f>
        <v>0</v>
      </c>
      <c r="AI1832" s="98" t="b">
        <f>INDEX(stable[q_living_income],MATCH(questions[[#This Row],[qno]],stable[qno],0))</f>
        <v>0</v>
      </c>
      <c r="AJ1832" s="98" t="b">
        <f>INDEX(stable[q_carbon],MATCH(questions[[#This Row],[qno]],stable[qno],0))</f>
        <v>0</v>
      </c>
      <c r="AK1832" s="98" t="b">
        <f>INDEX(stable[q_regen_ag],MATCH(questions[[#This Row],[qno]],stable[qno],0))</f>
        <v>1</v>
      </c>
      <c r="AL1832" s="205" t="b">
        <f>COUNTIFS(stable[qno],questions[[#This Row],[qno]])=1</f>
        <v>1</v>
      </c>
      <c r="AM1832" s="98" t="b">
        <f>OR(questions[[#This Row],[is_fixed]],questions[[#This Row],[is_localized]],questions[[#This Row],[is_supply_chain_dependent]])</f>
        <v>1</v>
      </c>
      <c r="AN1832" s="98" t="b">
        <f>COUNTIFS(questions[[#This Row],[is_automated]:[is_multi_select]],TRUE)=1</f>
        <v>1</v>
      </c>
      <c r="AO1832" s="98" t="b">
        <f>IF(questions[[#This Row],[is_fixed]],questions[[#This Row],[question]]=INDEX(stable[question],MATCH(questions[[#This Row],[qno]],stable[qno],0)),TRUE)</f>
        <v>0</v>
      </c>
      <c r="AP1832" s="98" t="str">
        <f>LEFT(questions[[#This Row],[question]],similarity_range)</f>
        <v>What % or proportion</v>
      </c>
      <c r="AQ1832" s="98" t="str">
        <f>LEFT(INDEX(stable[question],MATCH(questions[[#This Row],[qno]],stable[qno],0)),similarity_range)</f>
        <v>What % or proportion</v>
      </c>
      <c r="AR1832" s="98" t="b">
        <f>questions[[#This Row],[question_first_characters]]=questions[[#This Row],[stability_first_characters]]</f>
        <v>1</v>
      </c>
      <c r="AS1832" s="98" t="b">
        <f>IF(OR(questions[[#This Row],[is_single_select]],questions[[#This Row],[is_multi_select]]),NOT(ISBLANK(questions[[#This Row],[answer_opt_combined]])),TRUE)</f>
        <v>1</v>
      </c>
    </row>
    <row r="1833" spans="1:45" s="77" customFormat="1" ht="15.75" customHeight="1" x14ac:dyDescent="0.25">
      <c r="A1833" s="77" t="str">
        <f>_xlfn.TEXTJOIN("_",TRUE,questions[[#This Row],[origin]:[qno]])</f>
        <v>Uganda_Robusta_2026_7412</v>
      </c>
      <c r="B1833" s="77" t="s">
        <v>511</v>
      </c>
      <c r="C1833" s="77" t="s">
        <v>674</v>
      </c>
      <c r="E1833" s="77">
        <v>2026</v>
      </c>
      <c r="F1833" s="104" t="s">
        <v>457</v>
      </c>
      <c r="G1833" s="78" t="s">
        <v>458</v>
      </c>
      <c r="H1833" s="9" t="str" cm="1">
        <f t="array" ref="H1833">INDEX(stableR[question],MATCH(VALUE(questions[[#This Row],[qno]]),VALUE(stableR[qno]),0))</f>
        <v>If you grow only one variety, how many years ago was this variety planted?</v>
      </c>
      <c r="I1833" s="9" t="b" cm="1">
        <f t="array" ref="I1833">INDEX(stable[is_fixed],MATCH(VALUE(questions[[#This Row],[qno]]),VALUE(stable[qno]),0))</f>
        <v>1</v>
      </c>
      <c r="J1833" s="9" t="b" cm="1">
        <f t="array" ref="J1833">INDEX(stable[is_localized],MATCH(VALUE(questions[[#This Row],[qno]]),VALUE(stable[qno]),0))</f>
        <v>0</v>
      </c>
      <c r="K1833" s="9" t="b" cm="1">
        <f t="array" ref="K1833">INDEX(stable[is_supply_chain_dependent],MATCH(VALUE(questions[[#This Row],[qno]]),VALUE(stable[qno]),0))</f>
        <v>0</v>
      </c>
      <c r="L1833" s="9" t="b" cm="1">
        <f t="array" ref="L1833">INDEX(stable[is_mandatory],MATCH(VALUE(questions[[#This Row],[qno]]),VALUE(stable[qno]),0))</f>
        <v>0</v>
      </c>
      <c r="M1833" s="9" t="b" cm="1">
        <f t="array" ref="M1833">INDEX(stable[is_automated],MATCH(VALUE(questions[[#This Row],[qno]]),VALUE(stable[qno]),0))</f>
        <v>0</v>
      </c>
      <c r="N1833" s="9" t="b" cm="1">
        <f t="array" ref="N1833">INDEX(stable[is_free_text],MATCH(VALUE(questions[[#This Row],[qno]]),VALUE(stable[qno]),0))</f>
        <v>0</v>
      </c>
      <c r="O1833" s="9" t="b" cm="1">
        <f t="array" ref="O1833">INDEX(stable[is_numerical],MATCH(VALUE(questions[[#This Row],[qno]]),VALUE(stable[qno]),0))</f>
        <v>0</v>
      </c>
      <c r="P1833" s="77" t="b" cm="1">
        <f t="array" ref="P1833">INDEX(stable[is_single_select],MATCH(VALUE(questions[[#This Row],[qno]]),VALUE(stable[qno]),0))</f>
        <v>1</v>
      </c>
      <c r="Q1833" s="77" t="b" cm="1">
        <f t="array" ref="Q1833">INDEX(stable[is_multi_select],MATCH(VALUE(questions[[#This Row],[qno]]),VALUE(stable[qno]),0))</f>
        <v>0</v>
      </c>
      <c r="R1833" s="77" t="b" cm="1">
        <f t="array" ref="R1833">INDEX(stable[is_skip_logic],MATCH(VALUE(questions[[#This Row],[qno]]),VALUE(stable[qno]),0))</f>
        <v>1</v>
      </c>
      <c r="S1833" s="77" t="str">
        <f>_xlfn.TEXTJOIN(", ",TRUE,questions[[#This Row],[ans_opt_1]:[ans_opt_14]])</f>
        <v>1-5 years, 6-10 years, 11-15 years, 15-20 years, 20-30 years, &gt;30 years</v>
      </c>
      <c r="T1833" s="77" t="s">
        <v>459</v>
      </c>
      <c r="U1833" s="77" t="s">
        <v>460</v>
      </c>
      <c r="V1833" s="77" t="s">
        <v>461</v>
      </c>
      <c r="W1833" s="77" t="s">
        <v>462</v>
      </c>
      <c r="X1833" s="77" t="s">
        <v>463</v>
      </c>
      <c r="Y1833" s="77" t="s">
        <v>464</v>
      </c>
      <c r="AH1833" s="98" t="b">
        <f>INDEX(stable[q_standard],MATCH(questions[[#This Row],[qno]],stable[qno],0))</f>
        <v>0</v>
      </c>
      <c r="AI1833" s="98" t="b">
        <f>INDEX(stable[q_living_income],MATCH(questions[[#This Row],[qno]],stable[qno],0))</f>
        <v>0</v>
      </c>
      <c r="AJ1833" s="98" t="b">
        <f>INDEX(stable[q_carbon],MATCH(questions[[#This Row],[qno]],stable[qno],0))</f>
        <v>0</v>
      </c>
      <c r="AK1833" s="98" t="b">
        <f>INDEX(stable[q_regen_ag],MATCH(questions[[#This Row],[qno]],stable[qno],0))</f>
        <v>1</v>
      </c>
      <c r="AL1833" s="205" t="b">
        <f>COUNTIFS(stable[qno],questions[[#This Row],[qno]])=1</f>
        <v>1</v>
      </c>
      <c r="AM1833" s="98" t="b">
        <f>OR(questions[[#This Row],[is_fixed]],questions[[#This Row],[is_localized]],questions[[#This Row],[is_supply_chain_dependent]])</f>
        <v>1</v>
      </c>
      <c r="AN1833" s="98" t="b">
        <f>COUNTIFS(questions[[#This Row],[is_automated]:[is_multi_select]],TRUE)=1</f>
        <v>1</v>
      </c>
      <c r="AO1833" s="98" t="b">
        <f>IF(questions[[#This Row],[is_fixed]],questions[[#This Row],[question]]=INDEX(stable[question],MATCH(questions[[#This Row],[qno]],stable[qno],0)),TRUE)</f>
        <v>1</v>
      </c>
      <c r="AP1833" s="98" t="str">
        <f>LEFT(questions[[#This Row],[question]],similarity_range)</f>
        <v>If you grow only one</v>
      </c>
      <c r="AQ1833" s="98" t="str">
        <f>LEFT(INDEX(stable[question],MATCH(questions[[#This Row],[qno]],stable[qno],0)),similarity_range)</f>
        <v>If you grow only one</v>
      </c>
      <c r="AR1833" s="98" t="b">
        <f>questions[[#This Row],[question_first_characters]]=questions[[#This Row],[stability_first_characters]]</f>
        <v>1</v>
      </c>
      <c r="AS1833" s="98" t="b">
        <f>IF(OR(questions[[#This Row],[is_single_select]],questions[[#This Row],[is_multi_select]]),NOT(ISBLANK(questions[[#This Row],[answer_opt_combined]])),TRUE)</f>
        <v>1</v>
      </c>
    </row>
    <row r="1834" spans="1:45" s="77" customFormat="1" ht="15.75" customHeight="1" x14ac:dyDescent="0.25">
      <c r="A1834" s="77" t="str">
        <f>_xlfn.TEXTJOIN("_",TRUE,questions[[#This Row],[origin]:[qno]])</f>
        <v>Uganda_Robusta_2026_7500</v>
      </c>
      <c r="B1834" s="77" t="s">
        <v>511</v>
      </c>
      <c r="C1834" s="77" t="s">
        <v>674</v>
      </c>
      <c r="E1834" s="77">
        <v>2026</v>
      </c>
      <c r="F1834" s="104" t="s">
        <v>465</v>
      </c>
      <c r="G1834" s="78" t="s">
        <v>466</v>
      </c>
      <c r="H1834" s="9" t="str" cm="1">
        <f t="array" ref="H1834">INDEX(stableR[question],MATCH(VALUE(questions[[#This Row],[qno]]),VALUE(stableR[qno]),0))</f>
        <v>Do you plant shade trees and/or fruit trees in your coffee plots?</v>
      </c>
      <c r="I1834" s="9" t="b" cm="1">
        <f t="array" ref="I1834">INDEX(stable[is_fixed],MATCH(VALUE(questions[[#This Row],[qno]]),VALUE(stable[qno]),0))</f>
        <v>0</v>
      </c>
      <c r="J1834" s="9" t="b" cm="1">
        <f t="array" ref="J1834">INDEX(stable[is_localized],MATCH(VALUE(questions[[#This Row],[qno]]),VALUE(stable[qno]),0))</f>
        <v>1</v>
      </c>
      <c r="K1834" s="9" t="b" cm="1">
        <f t="array" ref="K1834">INDEX(stable[is_supply_chain_dependent],MATCH(VALUE(questions[[#This Row],[qno]]),VALUE(stable[qno]),0))</f>
        <v>0</v>
      </c>
      <c r="L1834" s="9" t="b" cm="1">
        <f t="array" ref="L1834">INDEX(stable[is_mandatory],MATCH(VALUE(questions[[#This Row],[qno]]),VALUE(stable[qno]),0))</f>
        <v>1</v>
      </c>
      <c r="M1834" s="9" t="b" cm="1">
        <f t="array" ref="M1834">INDEX(stable[is_automated],MATCH(VALUE(questions[[#This Row],[qno]]),VALUE(stable[qno]),0))</f>
        <v>0</v>
      </c>
      <c r="N1834" s="9" t="b" cm="1">
        <f t="array" ref="N1834">INDEX(stable[is_free_text],MATCH(VALUE(questions[[#This Row],[qno]]),VALUE(stable[qno]),0))</f>
        <v>0</v>
      </c>
      <c r="O1834" s="9" t="b" cm="1">
        <f t="array" ref="O1834">INDEX(stable[is_numerical],MATCH(VALUE(questions[[#This Row],[qno]]),VALUE(stable[qno]),0))</f>
        <v>0</v>
      </c>
      <c r="P1834" s="77" t="b" cm="1">
        <f t="array" ref="P1834">INDEX(stable[is_single_select],MATCH(VALUE(questions[[#This Row],[qno]]),VALUE(stable[qno]),0))</f>
        <v>1</v>
      </c>
      <c r="Q1834" s="77" t="b" cm="1">
        <f t="array" ref="Q1834">INDEX(stable[is_multi_select],MATCH(VALUE(questions[[#This Row],[qno]]),VALUE(stable[qno]),0))</f>
        <v>0</v>
      </c>
      <c r="R1834" s="77" t="b" cm="1">
        <f t="array" ref="R1834">INDEX(stable[is_skip_logic],MATCH(VALUE(questions[[#This Row],[qno]]),VALUE(stable[qno]),0))</f>
        <v>1</v>
      </c>
      <c r="S1834" s="77" t="str">
        <f>_xlfn.TEXTJOIN(", ",TRUE,questions[[#This Row],[ans_opt_1]:[ans_opt_14]])</f>
        <v>No, Yes - forest shade trees, Yes - fruit trees, Yes - mix of forest shade trees and fruit trees</v>
      </c>
      <c r="T1834" s="77" t="s">
        <v>119</v>
      </c>
      <c r="U1834" s="77" t="s">
        <v>467</v>
      </c>
      <c r="V1834" s="77" t="s">
        <v>468</v>
      </c>
      <c r="W1834" s="77" t="s">
        <v>469</v>
      </c>
      <c r="AH1834" s="98" t="b">
        <f>INDEX(stable[q_standard],MATCH(questions[[#This Row],[qno]],stable[qno],0))</f>
        <v>0</v>
      </c>
      <c r="AI1834" s="98" t="b">
        <f>INDEX(stable[q_living_income],MATCH(questions[[#This Row],[qno]],stable[qno],0))</f>
        <v>0</v>
      </c>
      <c r="AJ1834" s="98" t="b">
        <f>INDEX(stable[q_carbon],MATCH(questions[[#This Row],[qno]],stable[qno],0))</f>
        <v>0</v>
      </c>
      <c r="AK1834" s="98" t="b">
        <f>INDEX(stable[q_regen_ag],MATCH(questions[[#This Row],[qno]],stable[qno],0))</f>
        <v>1</v>
      </c>
      <c r="AL1834" s="128" t="b">
        <f>COUNTIFS(stable[qno],questions[[#This Row],[qno]])=1</f>
        <v>1</v>
      </c>
      <c r="AM1834" s="98" t="b">
        <f>OR(questions[[#This Row],[is_fixed]],questions[[#This Row],[is_localized]],questions[[#This Row],[is_supply_chain_dependent]])</f>
        <v>1</v>
      </c>
      <c r="AN1834" s="98" t="b">
        <f>COUNTIFS(questions[[#This Row],[is_automated]:[is_multi_select]],TRUE)=1</f>
        <v>1</v>
      </c>
      <c r="AO1834" s="98" t="b">
        <f>IF(questions[[#This Row],[is_fixed]],questions[[#This Row],[question]]=INDEX(stable[question],MATCH(questions[[#This Row],[qno]],stable[qno],0)),TRUE)</f>
        <v>1</v>
      </c>
      <c r="AP1834" s="98" t="str">
        <f>LEFT(questions[[#This Row],[question]],similarity_range)</f>
        <v>Do you plant shade t</v>
      </c>
      <c r="AQ1834" s="98" t="str">
        <f>LEFT(INDEX(stable[question],MATCH(questions[[#This Row],[qno]],stable[qno],0)),similarity_range)</f>
        <v>Do you plant shade t</v>
      </c>
      <c r="AR1834" s="98" t="b">
        <f>questions[[#This Row],[question_first_characters]]=questions[[#This Row],[stability_first_characters]]</f>
        <v>1</v>
      </c>
      <c r="AS1834" s="98" t="b">
        <f>IF(OR(questions[[#This Row],[is_single_select]],questions[[#This Row],[is_multi_select]]),NOT(ISBLANK(questions[[#This Row],[answer_opt_combined]])),TRUE)</f>
        <v>1</v>
      </c>
    </row>
    <row r="1835" spans="1:45" s="77" customFormat="1" ht="15.75" customHeight="1" x14ac:dyDescent="0.25">
      <c r="A1835" s="77" t="str">
        <f>_xlfn.TEXTJOIN("_",TRUE,questions[[#This Row],[origin]:[qno]])</f>
        <v>Uganda_Robusta_2026_7501</v>
      </c>
      <c r="B1835" s="77" t="s">
        <v>511</v>
      </c>
      <c r="C1835" s="77" t="s">
        <v>674</v>
      </c>
      <c r="E1835" s="77">
        <v>2026</v>
      </c>
      <c r="F1835" s="104" t="s">
        <v>470</v>
      </c>
      <c r="G1835" s="78" t="s">
        <v>811</v>
      </c>
      <c r="H1835" s="9" t="str" cm="1">
        <f t="array" ref="H1835">INDEX(stableR[question],MATCH(VALUE(questions[[#This Row],[qno]]),VALUE(stableR[qno]),0))</f>
        <v>If so, on what % or proportion of your coffee plots do you have shade and/or fruit trees? e.g. if all agro-forestry trees are only distributed in a quarter of the coffee plot, and the rest of the plot does not have agro-forestry trees, then it is 25%</v>
      </c>
      <c r="I1835" s="9" t="b" cm="1">
        <f t="array" ref="I1835">INDEX(stable[is_fixed],MATCH(VALUE(questions[[#This Row],[qno]]),VALUE(stable[qno]),0))</f>
        <v>1</v>
      </c>
      <c r="J1835" s="9" t="b" cm="1">
        <f t="array" ref="J1835">INDEX(stable[is_localized],MATCH(VALUE(questions[[#This Row],[qno]]),VALUE(stable[qno]),0))</f>
        <v>0</v>
      </c>
      <c r="K1835" s="9" t="b" cm="1">
        <f t="array" ref="K1835">INDEX(stable[is_supply_chain_dependent],MATCH(VALUE(questions[[#This Row],[qno]]),VALUE(stable[qno]),0))</f>
        <v>0</v>
      </c>
      <c r="L1835" s="9" t="b" cm="1">
        <f t="array" ref="L1835">INDEX(stable[is_mandatory],MATCH(VALUE(questions[[#This Row],[qno]]),VALUE(stable[qno]),0))</f>
        <v>0</v>
      </c>
      <c r="M1835" s="9" t="b" cm="1">
        <f t="array" ref="M1835">INDEX(stable[is_automated],MATCH(VALUE(questions[[#This Row],[qno]]),VALUE(stable[qno]),0))</f>
        <v>0</v>
      </c>
      <c r="N1835" s="9" t="b" cm="1">
        <f t="array" ref="N1835">INDEX(stable[is_free_text],MATCH(VALUE(questions[[#This Row],[qno]]),VALUE(stable[qno]),0))</f>
        <v>0</v>
      </c>
      <c r="O1835" s="9" t="b" cm="1">
        <f t="array" ref="O1835">INDEX(stable[is_numerical],MATCH(VALUE(questions[[#This Row],[qno]]),VALUE(stable[qno]),0))</f>
        <v>0</v>
      </c>
      <c r="P1835" s="77" t="b" cm="1">
        <f t="array" ref="P1835">INDEX(stable[is_single_select],MATCH(VALUE(questions[[#This Row],[qno]]),VALUE(stable[qno]),0))</f>
        <v>1</v>
      </c>
      <c r="Q1835" s="77" t="b" cm="1">
        <f t="array" ref="Q1835">INDEX(stable[is_multi_select],MATCH(VALUE(questions[[#This Row],[qno]]),VALUE(stable[qno]),0))</f>
        <v>0</v>
      </c>
      <c r="R1835" s="77" t="b" cm="1">
        <f t="array" ref="R1835">INDEX(stable[is_skip_logic],MATCH(VALUE(questions[[#This Row],[qno]]),VALUE(stable[qno]),0))</f>
        <v>1</v>
      </c>
      <c r="S1835" s="77" t="str">
        <f>_xlfn.TEXTJOIN(", ",TRUE,questions[[#This Row],[ans_opt_1]:[ans_opt_14]])</f>
        <v>1% to 25% - little to a quarter, 26% to 50% - less than half, 51% to 75% - more than half, 76% to 100% - almost all</v>
      </c>
      <c r="T1835" s="77" t="s">
        <v>338</v>
      </c>
      <c r="U1835" s="77" t="s">
        <v>339</v>
      </c>
      <c r="V1835" s="77" t="s">
        <v>340</v>
      </c>
      <c r="W1835" s="77" t="s">
        <v>341</v>
      </c>
      <c r="AH1835" s="98" t="b">
        <f>INDEX(stable[q_standard],MATCH(questions[[#This Row],[qno]],stable[qno],0))</f>
        <v>0</v>
      </c>
      <c r="AI1835" s="98" t="b">
        <f>INDEX(stable[q_living_income],MATCH(questions[[#This Row],[qno]],stable[qno],0))</f>
        <v>0</v>
      </c>
      <c r="AJ1835" s="98" t="b">
        <f>INDEX(stable[q_carbon],MATCH(questions[[#This Row],[qno]],stable[qno],0))</f>
        <v>0</v>
      </c>
      <c r="AK1835" s="98" t="b">
        <f>INDEX(stable[q_regen_ag],MATCH(questions[[#This Row],[qno]],stable[qno],0))</f>
        <v>1</v>
      </c>
      <c r="AL1835" s="128" t="b">
        <f>COUNTIFS(stable[qno],questions[[#This Row],[qno]])=1</f>
        <v>1</v>
      </c>
      <c r="AM1835" s="98" t="b">
        <f>OR(questions[[#This Row],[is_fixed]],questions[[#This Row],[is_localized]],questions[[#This Row],[is_supply_chain_dependent]])</f>
        <v>1</v>
      </c>
      <c r="AN1835" s="98" t="b">
        <f>COUNTIFS(questions[[#This Row],[is_automated]:[is_multi_select]],TRUE)=1</f>
        <v>1</v>
      </c>
      <c r="AO1835" s="98" t="b">
        <f>IF(questions[[#This Row],[is_fixed]],questions[[#This Row],[question]]=INDEX(stable[question],MATCH(questions[[#This Row],[qno]],stable[qno],0)),TRUE)</f>
        <v>0</v>
      </c>
      <c r="AP1835" s="98" t="str">
        <f>LEFT(questions[[#This Row],[question]],similarity_range)</f>
        <v xml:space="preserve">If so, on what % or </v>
      </c>
      <c r="AQ1835" s="98" t="str">
        <f>LEFT(INDEX(stable[question],MATCH(questions[[#This Row],[qno]],stable[qno],0)),similarity_range)</f>
        <v xml:space="preserve">If so, on what % or </v>
      </c>
      <c r="AR1835" s="98" t="b">
        <f>questions[[#This Row],[question_first_characters]]=questions[[#This Row],[stability_first_characters]]</f>
        <v>1</v>
      </c>
      <c r="AS1835" s="98" t="b">
        <f>IF(OR(questions[[#This Row],[is_single_select]],questions[[#This Row],[is_multi_select]]),NOT(ISBLANK(questions[[#This Row],[answer_opt_combined]])),TRUE)</f>
        <v>1</v>
      </c>
    </row>
    <row r="1836" spans="1:45" ht="15.75" customHeight="1" x14ac:dyDescent="0.25">
      <c r="A1836" s="9" t="str">
        <f>_xlfn.TEXTJOIN("_",TRUE,questions[[#This Row],[origin]:[qno]])</f>
        <v>Uganda_Robusta_2026_7502</v>
      </c>
      <c r="B1836" s="9" t="s">
        <v>511</v>
      </c>
      <c r="C1836" s="9" t="s">
        <v>674</v>
      </c>
      <c r="E1836" s="33">
        <v>2026</v>
      </c>
      <c r="F1836" s="24" t="s">
        <v>472</v>
      </c>
      <c r="G1836" s="15" t="s">
        <v>473</v>
      </c>
      <c r="H1836" s="9" t="str" cm="1">
        <f t="array" ref="H1836">INDEX(stableR[question],MATCH(VALUE(questions[[#This Row],[qno]]),VALUE(stableR[qno]),0))</f>
        <v>How many different species of shade and/or fruit trees do you have in your coffee plots?</v>
      </c>
      <c r="I1836" s="9" t="b" cm="1">
        <f t="array" ref="I1836">INDEX(stable[is_fixed],MATCH(VALUE(questions[[#This Row],[qno]]),VALUE(stable[qno]),0))</f>
        <v>1</v>
      </c>
      <c r="J1836" s="9" t="b" cm="1">
        <f t="array" ref="J1836">INDEX(stable[is_localized],MATCH(VALUE(questions[[#This Row],[qno]]),VALUE(stable[qno]),0))</f>
        <v>0</v>
      </c>
      <c r="K1836" s="9" t="b" cm="1">
        <f t="array" ref="K1836">INDEX(stable[is_supply_chain_dependent],MATCH(VALUE(questions[[#This Row],[qno]]),VALUE(stable[qno]),0))</f>
        <v>0</v>
      </c>
      <c r="L1836" s="9" t="b" cm="1">
        <f t="array" ref="L1836">INDEX(stable[is_mandatory],MATCH(VALUE(questions[[#This Row],[qno]]),VALUE(stable[qno]),0))</f>
        <v>0</v>
      </c>
      <c r="M1836" s="9" t="b" cm="1">
        <f t="array" ref="M1836">INDEX(stable[is_automated],MATCH(VALUE(questions[[#This Row],[qno]]),VALUE(stable[qno]),0))</f>
        <v>0</v>
      </c>
      <c r="N1836" s="9" t="b" cm="1">
        <f t="array" ref="N1836">INDEX(stable[is_free_text],MATCH(VALUE(questions[[#This Row],[qno]]),VALUE(stable[qno]),0))</f>
        <v>0</v>
      </c>
      <c r="O1836" s="9" t="b" cm="1">
        <f t="array" ref="O1836">INDEX(stable[is_numerical],MATCH(VALUE(questions[[#This Row],[qno]]),VALUE(stable[qno]),0))</f>
        <v>1</v>
      </c>
      <c r="P1836" s="9" t="b" cm="1">
        <f t="array" ref="P1836">INDEX(stable[is_single_select],MATCH(VALUE(questions[[#This Row],[qno]]),VALUE(stable[qno]),0))</f>
        <v>0</v>
      </c>
      <c r="Q1836" s="9" t="b" cm="1">
        <f t="array" ref="Q1836">INDEX(stable[is_multi_select],MATCH(VALUE(questions[[#This Row],[qno]]),VALUE(stable[qno]),0))</f>
        <v>0</v>
      </c>
      <c r="R1836" s="9" t="b" cm="1">
        <f t="array" ref="R1836">INDEX(stable[is_skip_logic],MATCH(VALUE(questions[[#This Row],[qno]]),VALUE(stable[qno]),0))</f>
        <v>0</v>
      </c>
      <c r="S1836" s="9" t="str">
        <f>_xlfn.TEXTJOIN(", ",TRUE,questions[[#This Row],[ans_opt_1]:[ans_opt_14]])</f>
        <v/>
      </c>
      <c r="AH1836" s="16" t="b">
        <f>INDEX(stable[q_standard],MATCH(questions[[#This Row],[qno]],stable[qno],0))</f>
        <v>0</v>
      </c>
      <c r="AI1836" s="16" t="b">
        <f>INDEX(stable[q_living_income],MATCH(questions[[#This Row],[qno]],stable[qno],0))</f>
        <v>0</v>
      </c>
      <c r="AJ1836" s="16" t="b">
        <f>INDEX(stable[q_carbon],MATCH(questions[[#This Row],[qno]],stable[qno],0))</f>
        <v>0</v>
      </c>
      <c r="AK1836" s="16" t="b">
        <f>INDEX(stable[q_regen_ag],MATCH(questions[[#This Row],[qno]],stable[qno],0))</f>
        <v>1</v>
      </c>
      <c r="AL1836" s="206" t="b">
        <f>COUNTIFS(stable[qno],questions[[#This Row],[qno]])=1</f>
        <v>1</v>
      </c>
      <c r="AM1836" s="16" t="b">
        <f>OR(questions[[#This Row],[is_fixed]],questions[[#This Row],[is_localized]],questions[[#This Row],[is_supply_chain_dependent]])</f>
        <v>1</v>
      </c>
      <c r="AN1836" s="16" t="b">
        <f>COUNTIFS(questions[[#This Row],[is_automated]:[is_multi_select]],TRUE)=1</f>
        <v>1</v>
      </c>
      <c r="AO1836" s="16" t="b">
        <f>IF(questions[[#This Row],[is_fixed]],questions[[#This Row],[question]]=INDEX(stable[question],MATCH(questions[[#This Row],[qno]],stable[qno],0)),TRUE)</f>
        <v>1</v>
      </c>
      <c r="AP1836" s="16" t="str">
        <f>LEFT(questions[[#This Row],[question]],similarity_range)</f>
        <v>How many different s</v>
      </c>
      <c r="AQ1836" s="16" t="str">
        <f>LEFT(INDEX(stable[question],MATCH(questions[[#This Row],[qno]],stable[qno],0)),similarity_range)</f>
        <v>How many different s</v>
      </c>
      <c r="AR1836" s="16" t="b">
        <f>questions[[#This Row],[question_first_characters]]=questions[[#This Row],[stability_first_characters]]</f>
        <v>1</v>
      </c>
      <c r="AS1836" s="16" t="b">
        <f>IF(OR(questions[[#This Row],[is_single_select]],questions[[#This Row],[is_multi_select]]),NOT(ISBLANK(questions[[#This Row],[answer_opt_combined]])),TRUE)</f>
        <v>1</v>
      </c>
    </row>
    <row r="1837" spans="1:45" ht="15.75" customHeight="1" x14ac:dyDescent="0.25">
      <c r="A1837" s="9" t="str">
        <f>_xlfn.TEXTJOIN("_",TRUE,questions[[#This Row],[origin]:[qno]])</f>
        <v>Uganda_Robusta_2026_7503</v>
      </c>
      <c r="B1837" s="9" t="s">
        <v>511</v>
      </c>
      <c r="C1837" s="9" t="s">
        <v>674</v>
      </c>
      <c r="E1837" s="33">
        <v>2026</v>
      </c>
      <c r="F1837" s="24" t="s">
        <v>474</v>
      </c>
      <c r="G1837" s="15" t="s">
        <v>475</v>
      </c>
      <c r="H1837" s="9" t="str" cm="1">
        <f t="array" ref="H1837">INDEX(stableR[question],MATCH(VALUE(questions[[#This Row],[qno]]),VALUE(stableR[qno]),0))</f>
        <v>Can you estimate how many shade trees (including fruit and other trees) you have in your coffee plots, in total (inside and boundary trees)?</v>
      </c>
      <c r="I1837" s="9" t="b" cm="1">
        <f t="array" ref="I1837">INDEX(stable[is_fixed],MATCH(VALUE(questions[[#This Row],[qno]]),VALUE(stable[qno]),0))</f>
        <v>1</v>
      </c>
      <c r="J1837" s="9" t="b" cm="1">
        <f t="array" ref="J1837">INDEX(stable[is_localized],MATCH(VALUE(questions[[#This Row],[qno]]),VALUE(stable[qno]),0))</f>
        <v>0</v>
      </c>
      <c r="K1837" s="9" t="b" cm="1">
        <f t="array" ref="K1837">INDEX(stable[is_supply_chain_dependent],MATCH(VALUE(questions[[#This Row],[qno]]),VALUE(stable[qno]),0))</f>
        <v>0</v>
      </c>
      <c r="L1837" s="9" t="b" cm="1">
        <f t="array" ref="L1837">INDEX(stable[is_mandatory],MATCH(VALUE(questions[[#This Row],[qno]]),VALUE(stable[qno]),0))</f>
        <v>0</v>
      </c>
      <c r="M1837" s="9" t="b" cm="1">
        <f t="array" ref="M1837">INDEX(stable[is_automated],MATCH(VALUE(questions[[#This Row],[qno]]),VALUE(stable[qno]),0))</f>
        <v>0</v>
      </c>
      <c r="N1837" s="9" t="b" cm="1">
        <f t="array" ref="N1837">INDEX(stable[is_free_text],MATCH(VALUE(questions[[#This Row],[qno]]),VALUE(stable[qno]),0))</f>
        <v>0</v>
      </c>
      <c r="O1837" s="9" t="b" cm="1">
        <f t="array" ref="O1837">INDEX(stable[is_numerical],MATCH(VALUE(questions[[#This Row],[qno]]),VALUE(stable[qno]),0))</f>
        <v>1</v>
      </c>
      <c r="P1837" s="9" t="b" cm="1">
        <f t="array" ref="P1837">INDEX(stable[is_single_select],MATCH(VALUE(questions[[#This Row],[qno]]),VALUE(stable[qno]),0))</f>
        <v>0</v>
      </c>
      <c r="Q1837" s="9" t="b" cm="1">
        <f t="array" ref="Q1837">INDEX(stable[is_multi_select],MATCH(VALUE(questions[[#This Row],[qno]]),VALUE(stable[qno]),0))</f>
        <v>0</v>
      </c>
      <c r="R1837" s="9" t="b" cm="1">
        <f t="array" ref="R1837">INDEX(stable[is_skip_logic],MATCH(VALUE(questions[[#This Row],[qno]]),VALUE(stable[qno]),0))</f>
        <v>0</v>
      </c>
      <c r="S1837" s="9" t="str">
        <f>_xlfn.TEXTJOIN(", ",TRUE,questions[[#This Row],[ans_opt_1]:[ans_opt_14]])</f>
        <v/>
      </c>
      <c r="AH1837" s="16" t="b">
        <f>INDEX(stable[q_standard],MATCH(questions[[#This Row],[qno]],stable[qno],0))</f>
        <v>0</v>
      </c>
      <c r="AI1837" s="16" t="b">
        <f>INDEX(stable[q_living_income],MATCH(questions[[#This Row],[qno]],stable[qno],0))</f>
        <v>0</v>
      </c>
      <c r="AJ1837" s="16" t="b">
        <f>INDEX(stable[q_carbon],MATCH(questions[[#This Row],[qno]],stable[qno],0))</f>
        <v>0</v>
      </c>
      <c r="AK1837" s="16" t="b">
        <f>INDEX(stable[q_regen_ag],MATCH(questions[[#This Row],[qno]],stable[qno],0))</f>
        <v>1</v>
      </c>
      <c r="AL1837" s="125" t="b">
        <f>COUNTIFS(stable[qno],questions[[#This Row],[qno]])=1</f>
        <v>1</v>
      </c>
      <c r="AM1837" s="16" t="b">
        <f>OR(questions[[#This Row],[is_fixed]],questions[[#This Row],[is_localized]],questions[[#This Row],[is_supply_chain_dependent]])</f>
        <v>1</v>
      </c>
      <c r="AN1837" s="16" t="b">
        <f>COUNTIFS(questions[[#This Row],[is_automated]:[is_multi_select]],TRUE)=1</f>
        <v>1</v>
      </c>
      <c r="AO1837" s="16" t="b">
        <f>IF(questions[[#This Row],[is_fixed]],questions[[#This Row],[question]]=INDEX(stable[question],MATCH(questions[[#This Row],[qno]],stable[qno],0)),TRUE)</f>
        <v>1</v>
      </c>
      <c r="AP1837" s="16" t="str">
        <f>LEFT(questions[[#This Row],[question]],similarity_range)</f>
        <v>Can you estimate how</v>
      </c>
      <c r="AQ1837" s="16" t="str">
        <f>LEFT(INDEX(stable[question],MATCH(questions[[#This Row],[qno]],stable[qno],0)),similarity_range)</f>
        <v>Can you estimate how</v>
      </c>
      <c r="AR1837" s="16" t="b">
        <f>questions[[#This Row],[question_first_characters]]=questions[[#This Row],[stability_first_characters]]</f>
        <v>1</v>
      </c>
      <c r="AS1837" s="16" t="b">
        <f>IF(OR(questions[[#This Row],[is_single_select]],questions[[#This Row],[is_multi_select]]),NOT(ISBLANK(questions[[#This Row],[answer_opt_combined]])),TRUE)</f>
        <v>1</v>
      </c>
    </row>
    <row r="1838" spans="1:45" s="77" customFormat="1" ht="15.75" customHeight="1" x14ac:dyDescent="0.25">
      <c r="A1838" s="77" t="str">
        <f>_xlfn.TEXTJOIN("_",TRUE,questions[[#This Row],[origin]:[qno]])</f>
        <v>Uganda_Robusta_2026_7504</v>
      </c>
      <c r="B1838" s="77" t="s">
        <v>511</v>
      </c>
      <c r="C1838" s="77" t="s">
        <v>674</v>
      </c>
      <c r="E1838" s="77">
        <v>2026</v>
      </c>
      <c r="F1838" s="104" t="s">
        <v>476</v>
      </c>
      <c r="G1838" s="78" t="s">
        <v>477</v>
      </c>
      <c r="H1838" s="9" t="str" cm="1">
        <f t="array" ref="H1838">INDEX(stableR[question],MATCH(VALUE(questions[[#This Row],[qno]]),VALUE(stableR[qno]),0))</f>
        <v>What describes best the size of these shade trees?</v>
      </c>
      <c r="I1838" s="9" t="b" cm="1">
        <f t="array" ref="I1838">INDEX(stable[is_fixed],MATCH(VALUE(questions[[#This Row],[qno]]),VALUE(stable[qno]),0))</f>
        <v>1</v>
      </c>
      <c r="J1838" s="9" t="b" cm="1">
        <f t="array" ref="J1838">INDEX(stable[is_localized],MATCH(VALUE(questions[[#This Row],[qno]]),VALUE(stable[qno]),0))</f>
        <v>0</v>
      </c>
      <c r="K1838" s="9" t="b" cm="1">
        <f t="array" ref="K1838">INDEX(stable[is_supply_chain_dependent],MATCH(VALUE(questions[[#This Row],[qno]]),VALUE(stable[qno]),0))</f>
        <v>0</v>
      </c>
      <c r="L1838" s="9" t="b" cm="1">
        <f t="array" ref="L1838">INDEX(stable[is_mandatory],MATCH(VALUE(questions[[#This Row],[qno]]),VALUE(stable[qno]),0))</f>
        <v>0</v>
      </c>
      <c r="M1838" s="9" t="b" cm="1">
        <f t="array" ref="M1838">INDEX(stable[is_automated],MATCH(VALUE(questions[[#This Row],[qno]]),VALUE(stable[qno]),0))</f>
        <v>0</v>
      </c>
      <c r="N1838" s="9" t="b" cm="1">
        <f t="array" ref="N1838">INDEX(stable[is_free_text],MATCH(VALUE(questions[[#This Row],[qno]]),VALUE(stable[qno]),0))</f>
        <v>0</v>
      </c>
      <c r="O1838" s="9" t="b" cm="1">
        <f t="array" ref="O1838">INDEX(stable[is_numerical],MATCH(VALUE(questions[[#This Row],[qno]]),VALUE(stable[qno]),0))</f>
        <v>0</v>
      </c>
      <c r="P1838" s="77" t="b" cm="1">
        <f t="array" ref="P1838">INDEX(stable[is_single_select],MATCH(VALUE(questions[[#This Row],[qno]]),VALUE(stable[qno]),0))</f>
        <v>1</v>
      </c>
      <c r="Q1838" s="77" t="b" cm="1">
        <f t="array" ref="Q1838">INDEX(stable[is_multi_select],MATCH(VALUE(questions[[#This Row],[qno]]),VALUE(stable[qno]),0))</f>
        <v>0</v>
      </c>
      <c r="R1838" s="77" t="b" cm="1">
        <f t="array" ref="R1838">INDEX(stable[is_skip_logic],MATCH(VALUE(questions[[#This Row],[qno]]),VALUE(stable[qno]),0))</f>
        <v>0</v>
      </c>
      <c r="S1838" s="77" t="str">
        <f>_xlfn.TEXTJOIN(", ",TRUE,questions[[#This Row],[ans_opt_1]:[ans_opt_14]])</f>
        <v>Big sized, full grown, shade trees, Medium sized shade trees, including fruit trees, Multipurpose mix of trees (different types and sizes)</v>
      </c>
      <c r="T1838" s="77" t="s">
        <v>478</v>
      </c>
      <c r="U1838" s="77" t="s">
        <v>812</v>
      </c>
      <c r="V1838" s="77" t="s">
        <v>813</v>
      </c>
      <c r="AH1838" s="98" t="b">
        <f>INDEX(stable[q_standard],MATCH(questions[[#This Row],[qno]],stable[qno],0))</f>
        <v>0</v>
      </c>
      <c r="AI1838" s="98" t="b">
        <f>INDEX(stable[q_living_income],MATCH(questions[[#This Row],[qno]],stable[qno],0))</f>
        <v>0</v>
      </c>
      <c r="AJ1838" s="98" t="b">
        <f>INDEX(stable[q_carbon],MATCH(questions[[#This Row],[qno]],stable[qno],0))</f>
        <v>0</v>
      </c>
      <c r="AK1838" s="98" t="b">
        <f>INDEX(stable[q_regen_ag],MATCH(questions[[#This Row],[qno]],stable[qno],0))</f>
        <v>1</v>
      </c>
      <c r="AL1838" s="128" t="b">
        <f>COUNTIFS(stable[qno],questions[[#This Row],[qno]])=1</f>
        <v>1</v>
      </c>
      <c r="AM1838" s="98" t="b">
        <f>OR(questions[[#This Row],[is_fixed]],questions[[#This Row],[is_localized]],questions[[#This Row],[is_supply_chain_dependent]])</f>
        <v>1</v>
      </c>
      <c r="AN1838" s="98" t="b">
        <f>COUNTIFS(questions[[#This Row],[is_automated]:[is_multi_select]],TRUE)=1</f>
        <v>1</v>
      </c>
      <c r="AO1838" s="98" t="b">
        <f>IF(questions[[#This Row],[is_fixed]],questions[[#This Row],[question]]=INDEX(stable[question],MATCH(questions[[#This Row],[qno]],stable[qno],0)),TRUE)</f>
        <v>1</v>
      </c>
      <c r="AP1838" s="98" t="str">
        <f>LEFT(questions[[#This Row],[question]],similarity_range)</f>
        <v xml:space="preserve">What describes best </v>
      </c>
      <c r="AQ1838" s="98" t="str">
        <f>LEFT(INDEX(stable[question],MATCH(questions[[#This Row],[qno]],stable[qno],0)),similarity_range)</f>
        <v xml:space="preserve">What describes best </v>
      </c>
      <c r="AR1838" s="98" t="b">
        <f>questions[[#This Row],[question_first_characters]]=questions[[#This Row],[stability_first_characters]]</f>
        <v>1</v>
      </c>
      <c r="AS1838" s="98" t="b">
        <f>IF(OR(questions[[#This Row],[is_single_select]],questions[[#This Row],[is_multi_select]]),NOT(ISBLANK(questions[[#This Row],[answer_opt_combined]])),TRUE)</f>
        <v>1</v>
      </c>
    </row>
    <row r="1839" spans="1:45" s="77" customFormat="1" ht="15.75" customHeight="1" x14ac:dyDescent="0.25">
      <c r="A1839" s="77" t="str">
        <f>_xlfn.TEXTJOIN("_",TRUE,questions[[#This Row],[origin]:[qno]])</f>
        <v>Uganda_Robusta_2026_7600</v>
      </c>
      <c r="B1839" s="77" t="s">
        <v>511</v>
      </c>
      <c r="C1839" s="77" t="s">
        <v>674</v>
      </c>
      <c r="E1839" s="77">
        <v>2026</v>
      </c>
      <c r="F1839" s="104" t="s">
        <v>481</v>
      </c>
      <c r="G1839" s="78" t="s">
        <v>482</v>
      </c>
      <c r="H1839" s="9" t="str" cm="1">
        <f t="array" ref="H1839">INDEX(stableR[question],MATCH(VALUE(questions[[#This Row],[qno]]),VALUE(stableR[qno]),0))</f>
        <v>Do you keep bee hives in your farm (own bee hives or termporary during flowering season)?</v>
      </c>
      <c r="I1839" s="9" t="b" cm="1">
        <f t="array" ref="I1839">INDEX(stable[is_fixed],MATCH(VALUE(questions[[#This Row],[qno]]),VALUE(stable[qno]),0))</f>
        <v>1</v>
      </c>
      <c r="J1839" s="9" t="b" cm="1">
        <f t="array" ref="J1839">INDEX(stable[is_localized],MATCH(VALUE(questions[[#This Row],[qno]]),VALUE(stable[qno]),0))</f>
        <v>0</v>
      </c>
      <c r="K1839" s="9" t="b" cm="1">
        <f t="array" ref="K1839">INDEX(stable[is_supply_chain_dependent],MATCH(VALUE(questions[[#This Row],[qno]]),VALUE(stable[qno]),0))</f>
        <v>0</v>
      </c>
      <c r="L1839" s="9" t="b" cm="1">
        <f t="array" ref="L1839">INDEX(stable[is_mandatory],MATCH(VALUE(questions[[#This Row],[qno]]),VALUE(stable[qno]),0))</f>
        <v>1</v>
      </c>
      <c r="M1839" s="9" t="b" cm="1">
        <f t="array" ref="M1839">INDEX(stable[is_automated],MATCH(VALUE(questions[[#This Row],[qno]]),VALUE(stable[qno]),0))</f>
        <v>0</v>
      </c>
      <c r="N1839" s="9" t="b" cm="1">
        <f t="array" ref="N1839">INDEX(stable[is_free_text],MATCH(VALUE(questions[[#This Row],[qno]]),VALUE(stable[qno]),0))</f>
        <v>0</v>
      </c>
      <c r="O1839" s="9" t="b" cm="1">
        <f t="array" ref="O1839">INDEX(stable[is_numerical],MATCH(VALUE(questions[[#This Row],[qno]]),VALUE(stable[qno]),0))</f>
        <v>0</v>
      </c>
      <c r="P1839" s="77" t="b" cm="1">
        <f t="array" ref="P1839">INDEX(stable[is_single_select],MATCH(VALUE(questions[[#This Row],[qno]]),VALUE(stable[qno]),0))</f>
        <v>1</v>
      </c>
      <c r="Q1839" s="77" t="b" cm="1">
        <f t="array" ref="Q1839">INDEX(stable[is_multi_select],MATCH(VALUE(questions[[#This Row],[qno]]),VALUE(stable[qno]),0))</f>
        <v>0</v>
      </c>
      <c r="R1839" s="77" t="b" cm="1">
        <f t="array" ref="R1839">INDEX(stable[is_skip_logic],MATCH(VALUE(questions[[#This Row],[qno]]),VALUE(stable[qno]),0))</f>
        <v>0</v>
      </c>
      <c r="S1839" s="77" t="str">
        <f>_xlfn.TEXTJOIN(", ",TRUE,questions[[#This Row],[ans_opt_1]:[ans_opt_14]])</f>
        <v>Yes, No</v>
      </c>
      <c r="T1839" s="77" t="s">
        <v>149</v>
      </c>
      <c r="U1839" s="77" t="s">
        <v>119</v>
      </c>
      <c r="AH1839" s="98" t="b">
        <f>INDEX(stable[q_standard],MATCH(questions[[#This Row],[qno]],stable[qno],0))</f>
        <v>0</v>
      </c>
      <c r="AI1839" s="98" t="b">
        <f>INDEX(stable[q_living_income],MATCH(questions[[#This Row],[qno]],stable[qno],0))</f>
        <v>0</v>
      </c>
      <c r="AJ1839" s="98" t="b">
        <f>INDEX(stable[q_carbon],MATCH(questions[[#This Row],[qno]],stable[qno],0))</f>
        <v>0</v>
      </c>
      <c r="AK1839" s="98" t="b">
        <f>INDEX(stable[q_regen_ag],MATCH(questions[[#This Row],[qno]],stable[qno],0))</f>
        <v>1</v>
      </c>
      <c r="AL1839" s="128" t="b">
        <f>COUNTIFS(stable[qno],questions[[#This Row],[qno]])=1</f>
        <v>1</v>
      </c>
      <c r="AM1839" s="98" t="b">
        <f>OR(questions[[#This Row],[is_fixed]],questions[[#This Row],[is_localized]],questions[[#This Row],[is_supply_chain_dependent]])</f>
        <v>1</v>
      </c>
      <c r="AN1839" s="98" t="b">
        <f>COUNTIFS(questions[[#This Row],[is_automated]:[is_multi_select]],TRUE)=1</f>
        <v>1</v>
      </c>
      <c r="AO1839" s="98" t="b">
        <f>IF(questions[[#This Row],[is_fixed]],questions[[#This Row],[question]]=INDEX(stable[question],MATCH(questions[[#This Row],[qno]],stable[qno],0)),TRUE)</f>
        <v>1</v>
      </c>
      <c r="AP1839" s="98" t="str">
        <f>LEFT(questions[[#This Row],[question]],similarity_range)</f>
        <v>Do you keep bee hive</v>
      </c>
      <c r="AQ1839" s="98" t="str">
        <f>LEFT(INDEX(stable[question],MATCH(questions[[#This Row],[qno]],stable[qno],0)),similarity_range)</f>
        <v>Do you keep bee hive</v>
      </c>
      <c r="AR1839" s="98" t="b">
        <f>questions[[#This Row],[question_first_characters]]=questions[[#This Row],[stability_first_characters]]</f>
        <v>1</v>
      </c>
      <c r="AS1839" s="98" t="b">
        <f>IF(OR(questions[[#This Row],[is_single_select]],questions[[#This Row],[is_multi_select]]),NOT(ISBLANK(questions[[#This Row],[answer_opt_combined]])),TRUE)</f>
        <v>1</v>
      </c>
    </row>
    <row r="1840" spans="1:45" s="77" customFormat="1" ht="15.75" customHeight="1" x14ac:dyDescent="0.25">
      <c r="A1840" s="77" t="str">
        <f>_xlfn.TEXTJOIN("_",TRUE,questions[[#This Row],[origin]:[qno]])</f>
        <v>Uganda_Robusta_2026_7700</v>
      </c>
      <c r="B1840" s="77" t="s">
        <v>511</v>
      </c>
      <c r="C1840" s="77" t="s">
        <v>674</v>
      </c>
      <c r="E1840" s="77">
        <v>2026</v>
      </c>
      <c r="F1840" s="104" t="s">
        <v>483</v>
      </c>
      <c r="G1840" s="78" t="s">
        <v>484</v>
      </c>
      <c r="H1840" s="9" t="str" cm="1">
        <f t="array" ref="H1840">INDEX(stableR[question],MATCH(VALUE(questions[[#This Row],[qno]]),VALUE(stableR[qno]),0))</f>
        <v>Do you have riparian areas (a buffer area or strip of vegetation along the bank of a stream or river that spatially separates agricultural land from the water) in your coffee plots and/or its boundaries and how many?  If the answer is NO, you do not need to answer the next question.</v>
      </c>
      <c r="I1840" s="9" t="b" cm="1">
        <f t="array" ref="I1840">INDEX(stable[is_fixed],MATCH(VALUE(questions[[#This Row],[qno]]),VALUE(stable[qno]),0))</f>
        <v>1</v>
      </c>
      <c r="J1840" s="9" t="b" cm="1">
        <f t="array" ref="J1840">INDEX(stable[is_localized],MATCH(VALUE(questions[[#This Row],[qno]]),VALUE(stable[qno]),0))</f>
        <v>0</v>
      </c>
      <c r="K1840" s="9" t="b" cm="1">
        <f t="array" ref="K1840">INDEX(stable[is_supply_chain_dependent],MATCH(VALUE(questions[[#This Row],[qno]]),VALUE(stable[qno]),0))</f>
        <v>0</v>
      </c>
      <c r="L1840" s="9" t="b" cm="1">
        <f t="array" ref="L1840">INDEX(stable[is_mandatory],MATCH(VALUE(questions[[#This Row],[qno]]),VALUE(stable[qno]),0))</f>
        <v>1</v>
      </c>
      <c r="M1840" s="9" t="b" cm="1">
        <f t="array" ref="M1840">INDEX(stable[is_automated],MATCH(VALUE(questions[[#This Row],[qno]]),VALUE(stable[qno]),0))</f>
        <v>0</v>
      </c>
      <c r="N1840" s="9" t="b" cm="1">
        <f t="array" ref="N1840">INDEX(stable[is_free_text],MATCH(VALUE(questions[[#This Row],[qno]]),VALUE(stable[qno]),0))</f>
        <v>0</v>
      </c>
      <c r="O1840" s="9" t="b" cm="1">
        <f t="array" ref="O1840">INDEX(stable[is_numerical],MATCH(VALUE(questions[[#This Row],[qno]]),VALUE(stable[qno]),0))</f>
        <v>0</v>
      </c>
      <c r="P1840" s="77" t="b" cm="1">
        <f t="array" ref="P1840">INDEX(stable[is_single_select],MATCH(VALUE(questions[[#This Row],[qno]]),VALUE(stable[qno]),0))</f>
        <v>1</v>
      </c>
      <c r="Q1840" s="77" t="b" cm="1">
        <f t="array" ref="Q1840">INDEX(stable[is_multi_select],MATCH(VALUE(questions[[#This Row],[qno]]),VALUE(stable[qno]),0))</f>
        <v>0</v>
      </c>
      <c r="R1840" s="77" t="b" cm="1">
        <f t="array" ref="R1840">INDEX(stable[is_skip_logic],MATCH(VALUE(questions[[#This Row],[qno]]),VALUE(stable[qno]),0))</f>
        <v>0</v>
      </c>
      <c r="S1840" s="77" t="str">
        <f>_xlfn.TEXTJOIN(", ",TRUE,questions[[#This Row],[ans_opt_1]:[ans_opt_14]])</f>
        <v>No, Yes -1 stream/river, Yes -2 streams/rivers, Yes -3 streams/rivers, Yes -4 streams/rivers, Yes -5 streams/rivers</v>
      </c>
      <c r="T1840" s="77" t="s">
        <v>119</v>
      </c>
      <c r="U1840" s="77" t="s">
        <v>485</v>
      </c>
      <c r="V1840" s="77" t="s">
        <v>486</v>
      </c>
      <c r="W1840" s="77" t="s">
        <v>487</v>
      </c>
      <c r="X1840" s="77" t="s">
        <v>488</v>
      </c>
      <c r="Y1840" s="77" t="s">
        <v>489</v>
      </c>
      <c r="AH1840" s="98" t="b">
        <f>INDEX(stable[q_standard],MATCH(questions[[#This Row],[qno]],stable[qno],0))</f>
        <v>0</v>
      </c>
      <c r="AI1840" s="98" t="b">
        <f>INDEX(stable[q_living_income],MATCH(questions[[#This Row],[qno]],stable[qno],0))</f>
        <v>0</v>
      </c>
      <c r="AJ1840" s="98" t="b">
        <f>INDEX(stable[q_carbon],MATCH(questions[[#This Row],[qno]],stable[qno],0))</f>
        <v>0</v>
      </c>
      <c r="AK1840" s="98" t="b">
        <f>INDEX(stable[q_regen_ag],MATCH(questions[[#This Row],[qno]],stable[qno],0))</f>
        <v>1</v>
      </c>
      <c r="AL1840" s="205" t="b">
        <f>COUNTIFS(stable[qno],questions[[#This Row],[qno]])=1</f>
        <v>1</v>
      </c>
      <c r="AM1840" s="98" t="b">
        <f>OR(questions[[#This Row],[is_fixed]],questions[[#This Row],[is_localized]],questions[[#This Row],[is_supply_chain_dependent]])</f>
        <v>1</v>
      </c>
      <c r="AN1840" s="98" t="b">
        <f>COUNTIFS(questions[[#This Row],[is_automated]:[is_multi_select]],TRUE)=1</f>
        <v>1</v>
      </c>
      <c r="AO1840" s="98" t="b">
        <f>IF(questions[[#This Row],[is_fixed]],questions[[#This Row],[question]]=INDEX(stable[question],MATCH(questions[[#This Row],[qno]],stable[qno],0)),TRUE)</f>
        <v>1</v>
      </c>
      <c r="AP1840" s="98" t="str">
        <f>LEFT(questions[[#This Row],[question]],similarity_range)</f>
        <v>Do you have riparian</v>
      </c>
      <c r="AQ1840" s="98" t="str">
        <f>LEFT(INDEX(stable[question],MATCH(questions[[#This Row],[qno]],stable[qno],0)),similarity_range)</f>
        <v>Do you have riparian</v>
      </c>
      <c r="AR1840" s="98" t="b">
        <f>questions[[#This Row],[question_first_characters]]=questions[[#This Row],[stability_first_characters]]</f>
        <v>1</v>
      </c>
      <c r="AS1840" s="98" t="b">
        <f>IF(OR(questions[[#This Row],[is_single_select]],questions[[#This Row],[is_multi_select]]),NOT(ISBLANK(questions[[#This Row],[answer_opt_combined]])),TRUE)</f>
        <v>1</v>
      </c>
    </row>
    <row r="1841" spans="1:45" s="77" customFormat="1" ht="15.75" customHeight="1" x14ac:dyDescent="0.25">
      <c r="A1841" s="77" t="str">
        <f>_xlfn.TEXTJOIN("_",TRUE,questions[[#This Row],[origin]:[qno]])</f>
        <v>Uganda_Robusta_2026_7701</v>
      </c>
      <c r="B1841" s="77" t="s">
        <v>511</v>
      </c>
      <c r="C1841" s="77" t="s">
        <v>674</v>
      </c>
      <c r="E1841" s="77">
        <v>2026</v>
      </c>
      <c r="F1841" s="104" t="s">
        <v>490</v>
      </c>
      <c r="G1841" s="78" t="s">
        <v>902</v>
      </c>
      <c r="H1841" s="9" t="str" cm="1">
        <f t="array" ref="H1841">INDEX(stableR[question],MATCH(VALUE(questions[[#This Row],[qno]]),VALUE(stableR[qno]),0))</f>
        <v>How many of the riparian areas in your coffee plots are covered/protected with natural vegetation</v>
      </c>
      <c r="I1841" s="9" t="b" cm="1">
        <f t="array" ref="I1841">INDEX(stable[is_fixed],MATCH(VALUE(questions[[#This Row],[qno]]),VALUE(stable[qno]),0))</f>
        <v>1</v>
      </c>
      <c r="J1841" s="9" t="b" cm="1">
        <f t="array" ref="J1841">INDEX(stable[is_localized],MATCH(VALUE(questions[[#This Row],[qno]]),VALUE(stable[qno]),0))</f>
        <v>0</v>
      </c>
      <c r="K1841" s="9" t="b" cm="1">
        <f t="array" ref="K1841">INDEX(stable[is_supply_chain_dependent],MATCH(VALUE(questions[[#This Row],[qno]]),VALUE(stable[qno]),0))</f>
        <v>0</v>
      </c>
      <c r="L1841" s="9" t="b" cm="1">
        <f t="array" ref="L1841">INDEX(stable[is_mandatory],MATCH(VALUE(questions[[#This Row],[qno]]),VALUE(stable[qno]),0))</f>
        <v>0</v>
      </c>
      <c r="M1841" s="9" t="b" cm="1">
        <f t="array" ref="M1841">INDEX(stable[is_automated],MATCH(VALUE(questions[[#This Row],[qno]]),VALUE(stable[qno]),0))</f>
        <v>0</v>
      </c>
      <c r="N1841" s="9" t="b" cm="1">
        <f t="array" ref="N1841">INDEX(stable[is_free_text],MATCH(VALUE(questions[[#This Row],[qno]]),VALUE(stable[qno]),0))</f>
        <v>0</v>
      </c>
      <c r="O1841" s="9" t="b" cm="1">
        <f t="array" ref="O1841">INDEX(stable[is_numerical],MATCH(VALUE(questions[[#This Row],[qno]]),VALUE(stable[qno]),0))</f>
        <v>0</v>
      </c>
      <c r="P1841" s="77" t="b" cm="1">
        <f t="array" ref="P1841">INDEX(stable[is_single_select],MATCH(VALUE(questions[[#This Row],[qno]]),VALUE(stable[qno]),0))</f>
        <v>1</v>
      </c>
      <c r="Q1841" s="77" t="b" cm="1">
        <f t="array" ref="Q1841">INDEX(stable[is_multi_select],MATCH(VALUE(questions[[#This Row],[qno]]),VALUE(stable[qno]),0))</f>
        <v>0</v>
      </c>
      <c r="R1841" s="77" t="b" cm="1">
        <f t="array" ref="R1841">INDEX(stable[is_skip_logic],MATCH(VALUE(questions[[#This Row],[qno]]),VALUE(stable[qno]),0))</f>
        <v>0</v>
      </c>
      <c r="S1841" s="77" t="str">
        <f>_xlfn.TEXTJOIN(", ",TRUE,questions[[#This Row],[ans_opt_1]:[ans_opt_14]])</f>
        <v>All, Some</v>
      </c>
      <c r="T1841" s="77" t="s">
        <v>492</v>
      </c>
      <c r="U1841" s="77" t="s">
        <v>493</v>
      </c>
      <c r="AH1841" s="98" t="b">
        <f>INDEX(stable[q_standard],MATCH(questions[[#This Row],[qno]],stable[qno],0))</f>
        <v>0</v>
      </c>
      <c r="AI1841" s="98" t="b">
        <f>INDEX(stable[q_living_income],MATCH(questions[[#This Row],[qno]],stable[qno],0))</f>
        <v>0</v>
      </c>
      <c r="AJ1841" s="98" t="b">
        <f>INDEX(stable[q_carbon],MATCH(questions[[#This Row],[qno]],stable[qno],0))</f>
        <v>0</v>
      </c>
      <c r="AK1841" s="98" t="b">
        <f>INDEX(stable[q_regen_ag],MATCH(questions[[#This Row],[qno]],stable[qno],0))</f>
        <v>1</v>
      </c>
      <c r="AL1841" s="205" t="b">
        <f>COUNTIFS(stable[qno],questions[[#This Row],[qno]])=1</f>
        <v>1</v>
      </c>
      <c r="AM1841" s="98" t="b">
        <f>OR(questions[[#This Row],[is_fixed]],questions[[#This Row],[is_localized]],questions[[#This Row],[is_supply_chain_dependent]])</f>
        <v>1</v>
      </c>
      <c r="AN1841" s="98" t="b">
        <f>COUNTIFS(questions[[#This Row],[is_automated]:[is_multi_select]],TRUE)=1</f>
        <v>1</v>
      </c>
      <c r="AO1841" s="98" t="b">
        <f>IF(questions[[#This Row],[is_fixed]],questions[[#This Row],[question]]=INDEX(stable[question],MATCH(questions[[#This Row],[qno]],stable[qno],0)),TRUE)</f>
        <v>0</v>
      </c>
      <c r="AP1841" s="98" t="str">
        <f>LEFT(questions[[#This Row],[question]],similarity_range)</f>
        <v>How many of the ripa</v>
      </c>
      <c r="AQ1841" s="98" t="str">
        <f>LEFT(INDEX(stable[question],MATCH(questions[[#This Row],[qno]],stable[qno],0)),similarity_range)</f>
        <v>How many of the ripa</v>
      </c>
      <c r="AR1841" s="98" t="b">
        <f>questions[[#This Row],[question_first_characters]]=questions[[#This Row],[stability_first_characters]]</f>
        <v>1</v>
      </c>
      <c r="AS1841" s="98" t="b">
        <f>IF(OR(questions[[#This Row],[is_single_select]],questions[[#This Row],[is_multi_select]]),NOT(ISBLANK(questions[[#This Row],[answer_opt_combined]])),TRUE)</f>
        <v>1</v>
      </c>
    </row>
    <row r="1842" spans="1:45" s="77" customFormat="1" ht="15.75" customHeight="1" x14ac:dyDescent="0.25">
      <c r="A1842" s="77" t="str">
        <f>_xlfn.TEXTJOIN("_",TRUE,questions[[#This Row],[origin]:[qno]])</f>
        <v>Uganda_Robusta_2026_8000</v>
      </c>
      <c r="B1842" s="77" t="s">
        <v>511</v>
      </c>
      <c r="C1842" s="77" t="s">
        <v>674</v>
      </c>
      <c r="E1842" s="77">
        <v>2026</v>
      </c>
      <c r="F1842" s="104" t="s">
        <v>494</v>
      </c>
      <c r="G1842" s="78" t="s">
        <v>903</v>
      </c>
      <c r="H1842" s="9" t="str" cm="1">
        <f t="array" ref="H1842">INDEX(stableR[question],MATCH(VALUE(questions[[#This Row],[qno]]),VALUE(stableR[qno]),0))</f>
        <v>What describes the soil type best in the coffee plot of the farmer (please observe your self)</v>
      </c>
      <c r="I1842" s="9" t="b" cm="1">
        <f t="array" ref="I1842">INDEX(stable[is_fixed],MATCH(VALUE(questions[[#This Row],[qno]]),VALUE(stable[qno]),0))</f>
        <v>1</v>
      </c>
      <c r="J1842" s="9" t="b" cm="1">
        <f t="array" ref="J1842">INDEX(stable[is_localized],MATCH(VALUE(questions[[#This Row],[qno]]),VALUE(stable[qno]),0))</f>
        <v>0</v>
      </c>
      <c r="K1842" s="9" t="b" cm="1">
        <f t="array" ref="K1842">INDEX(stable[is_supply_chain_dependent],MATCH(VALUE(questions[[#This Row],[qno]]),VALUE(stable[qno]),0))</f>
        <v>0</v>
      </c>
      <c r="L1842" s="9" t="b" cm="1">
        <f t="array" ref="L1842">INDEX(stable[is_mandatory],MATCH(VALUE(questions[[#This Row],[qno]]),VALUE(stable[qno]),0))</f>
        <v>1</v>
      </c>
      <c r="M1842" s="9" t="b" cm="1">
        <f t="array" ref="M1842">INDEX(stable[is_automated],MATCH(VALUE(questions[[#This Row],[qno]]),VALUE(stable[qno]),0))</f>
        <v>0</v>
      </c>
      <c r="N1842" s="9" t="b" cm="1">
        <f t="array" ref="N1842">INDEX(stable[is_free_text],MATCH(VALUE(questions[[#This Row],[qno]]),VALUE(stable[qno]),0))</f>
        <v>0</v>
      </c>
      <c r="O1842" s="9" t="b" cm="1">
        <f t="array" ref="O1842">INDEX(stable[is_numerical],MATCH(VALUE(questions[[#This Row],[qno]]),VALUE(stable[qno]),0))</f>
        <v>0</v>
      </c>
      <c r="P1842" s="77" t="b" cm="1">
        <f t="array" ref="P1842">INDEX(stable[is_single_select],MATCH(VALUE(questions[[#This Row],[qno]]),VALUE(stable[qno]),0))</f>
        <v>1</v>
      </c>
      <c r="Q1842" s="77" t="b" cm="1">
        <f t="array" ref="Q1842">INDEX(stable[is_multi_select],MATCH(VALUE(questions[[#This Row],[qno]]),VALUE(stable[qno]),0))</f>
        <v>0</v>
      </c>
      <c r="R1842" s="77" t="b" cm="1">
        <f t="array" ref="R1842">INDEX(stable[is_skip_logic],MATCH(VALUE(questions[[#This Row],[qno]]),VALUE(stable[qno]),0))</f>
        <v>0</v>
      </c>
      <c r="S1842" s="77" t="str">
        <f>_xlfn.TEXTJOIN(", ",TRUE,questions[[#This Row],[ans_opt_1]:[ans_opt_14]])</f>
        <v>High activity clay soils , Low activity clay soils, Sandy soils, Loamy soils, Volcanic soils, Wetland soils, Organic soils</v>
      </c>
      <c r="T1842" s="77" t="s">
        <v>817</v>
      </c>
      <c r="U1842" s="77" t="s">
        <v>497</v>
      </c>
      <c r="V1842" s="77" t="s">
        <v>498</v>
      </c>
      <c r="W1842" s="77" t="s">
        <v>499</v>
      </c>
      <c r="X1842" s="77" t="s">
        <v>500</v>
      </c>
      <c r="Y1842" s="77" t="s">
        <v>501</v>
      </c>
      <c r="Z1842" s="77" t="s">
        <v>502</v>
      </c>
      <c r="AH1842" s="98" t="b">
        <f>INDEX(stable[q_standard],MATCH(questions[[#This Row],[qno]],stable[qno],0))</f>
        <v>0</v>
      </c>
      <c r="AI1842" s="98" t="b">
        <f>INDEX(stable[q_living_income],MATCH(questions[[#This Row],[qno]],stable[qno],0))</f>
        <v>0</v>
      </c>
      <c r="AJ1842" s="98" t="b">
        <f>INDEX(stable[q_carbon],MATCH(questions[[#This Row],[qno]],stable[qno],0))</f>
        <v>0</v>
      </c>
      <c r="AK1842" s="98" t="b">
        <f>INDEX(stable[q_regen_ag],MATCH(questions[[#This Row],[qno]],stable[qno],0))</f>
        <v>1</v>
      </c>
      <c r="AL1842" s="207" t="b">
        <f>COUNTIFS(stable[qno],questions[[#This Row],[qno]])=1</f>
        <v>1</v>
      </c>
      <c r="AM1842" s="98" t="b">
        <f>OR(questions[[#This Row],[is_fixed]],questions[[#This Row],[is_localized]],questions[[#This Row],[is_supply_chain_dependent]])</f>
        <v>1</v>
      </c>
      <c r="AN1842" s="98" t="b">
        <f>COUNTIFS(questions[[#This Row],[is_automated]:[is_multi_select]],TRUE)=1</f>
        <v>1</v>
      </c>
      <c r="AO1842" s="98" t="b">
        <f>IF(questions[[#This Row],[is_fixed]],questions[[#This Row],[question]]=INDEX(stable[question],MATCH(questions[[#This Row],[qno]],stable[qno],0)),TRUE)</f>
        <v>0</v>
      </c>
      <c r="AP1842" s="98" t="str">
        <f>LEFT(questions[[#This Row],[question]],similarity_range)</f>
        <v>What the describes t</v>
      </c>
      <c r="AQ1842" s="98" t="str">
        <f>LEFT(INDEX(stable[question],MATCH(questions[[#This Row],[qno]],stable[qno],0)),similarity_range)</f>
        <v>What describes the s</v>
      </c>
      <c r="AR1842" s="98" t="b">
        <f>questions[[#This Row],[question_first_characters]]=questions[[#This Row],[stability_first_characters]]</f>
        <v>0</v>
      </c>
      <c r="AS1842" s="98" t="b">
        <f>IF(OR(questions[[#This Row],[is_single_select]],questions[[#This Row],[is_multi_select]]),NOT(ISBLANK(questions[[#This Row],[answer_opt_combined]])),TRUE)</f>
        <v>1</v>
      </c>
    </row>
    <row r="1843" spans="1:45" s="77" customFormat="1" ht="15.75" customHeight="1" x14ac:dyDescent="0.25">
      <c r="A1843" s="77" t="str">
        <f>_xlfn.TEXTJOIN("_",TRUE,questions[[#This Row],[origin]:[qno]])</f>
        <v>Uganda_Robusta_2026_8010</v>
      </c>
      <c r="B1843" s="77" t="s">
        <v>511</v>
      </c>
      <c r="C1843" s="77" t="s">
        <v>674</v>
      </c>
      <c r="E1843" s="77">
        <v>2026</v>
      </c>
      <c r="F1843" s="104" t="s">
        <v>503</v>
      </c>
      <c r="G1843" s="78" t="s">
        <v>504</v>
      </c>
      <c r="H1843" s="9" t="str" cm="1">
        <f t="array" ref="H1843">INDEX(stableR[question],MATCH(VALUE(questions[[#This Row],[qno]]),VALUE(stableR[qno]),0))</f>
        <v>What type of tillage/ploughing do you use in your coffee plots mostly (full tillages=fully turning the soil; reduced tillages is only losening the soil; No till is no tillage or ploughing of the soil at all)?</v>
      </c>
      <c r="I1843" s="9" t="b" cm="1">
        <f t="array" ref="I1843">INDEX(stable[is_fixed],MATCH(VALUE(questions[[#This Row],[qno]]),VALUE(stable[qno]),0))</f>
        <v>1</v>
      </c>
      <c r="J1843" s="9" t="b" cm="1">
        <f t="array" ref="J1843">INDEX(stable[is_localized],MATCH(VALUE(questions[[#This Row],[qno]]),VALUE(stable[qno]),0))</f>
        <v>0</v>
      </c>
      <c r="K1843" s="9" t="b" cm="1">
        <f t="array" ref="K1843">INDEX(stable[is_supply_chain_dependent],MATCH(VALUE(questions[[#This Row],[qno]]),VALUE(stable[qno]),0))</f>
        <v>0</v>
      </c>
      <c r="L1843" s="9" t="b" cm="1">
        <f t="array" ref="L1843">INDEX(stable[is_mandatory],MATCH(VALUE(questions[[#This Row],[qno]]),VALUE(stable[qno]),0))</f>
        <v>1</v>
      </c>
      <c r="M1843" s="9" t="b" cm="1">
        <f t="array" ref="M1843">INDEX(stable[is_automated],MATCH(VALUE(questions[[#This Row],[qno]]),VALUE(stable[qno]),0))</f>
        <v>0</v>
      </c>
      <c r="N1843" s="9" t="b" cm="1">
        <f t="array" ref="N1843">INDEX(stable[is_free_text],MATCH(VALUE(questions[[#This Row],[qno]]),VALUE(stable[qno]),0))</f>
        <v>0</v>
      </c>
      <c r="O1843" s="9" t="b" cm="1">
        <f t="array" ref="O1843">INDEX(stable[is_numerical],MATCH(VALUE(questions[[#This Row],[qno]]),VALUE(stable[qno]),0))</f>
        <v>0</v>
      </c>
      <c r="P1843" s="77" t="b" cm="1">
        <f t="array" ref="P1843">INDEX(stable[is_single_select],MATCH(VALUE(questions[[#This Row],[qno]]),VALUE(stable[qno]),0))</f>
        <v>1</v>
      </c>
      <c r="Q1843" s="77" t="b" cm="1">
        <f t="array" ref="Q1843">INDEX(stable[is_multi_select],MATCH(VALUE(questions[[#This Row],[qno]]),VALUE(stable[qno]),0))</f>
        <v>0</v>
      </c>
      <c r="R1843" s="77" t="b" cm="1">
        <f t="array" ref="R1843">INDEX(stable[is_skip_logic],MATCH(VALUE(questions[[#This Row],[qno]]),VALUE(stable[qno]),0))</f>
        <v>0</v>
      </c>
      <c r="S1843" s="77" t="str">
        <f>_xlfn.TEXTJOIN(", ",TRUE,questions[[#This Row],[ans_opt_1]:[ans_opt_14]])</f>
        <v>Full-tillage, Reduced tillage, No till</v>
      </c>
      <c r="T1843" s="77" t="s">
        <v>505</v>
      </c>
      <c r="U1843" s="77" t="s">
        <v>506</v>
      </c>
      <c r="V1843" s="77" t="s">
        <v>507</v>
      </c>
      <c r="AH1843" s="98" t="b">
        <f>INDEX(stable[q_standard],MATCH(questions[[#This Row],[qno]],stable[qno],0))</f>
        <v>0</v>
      </c>
      <c r="AI1843" s="98" t="b">
        <f>INDEX(stable[q_living_income],MATCH(questions[[#This Row],[qno]],stable[qno],0))</f>
        <v>0</v>
      </c>
      <c r="AJ1843" s="98" t="b">
        <f>INDEX(stable[q_carbon],MATCH(questions[[#This Row],[qno]],stable[qno],0))</f>
        <v>0</v>
      </c>
      <c r="AK1843" s="98" t="b">
        <f>INDEX(stable[q_regen_ag],MATCH(questions[[#This Row],[qno]],stable[qno],0))</f>
        <v>1</v>
      </c>
      <c r="AL1843" s="207" t="b">
        <f>COUNTIFS(stable[qno],questions[[#This Row],[qno]])=1</f>
        <v>1</v>
      </c>
      <c r="AM1843" s="98" t="b">
        <f>OR(questions[[#This Row],[is_fixed]],questions[[#This Row],[is_localized]],questions[[#This Row],[is_supply_chain_dependent]])</f>
        <v>1</v>
      </c>
      <c r="AN1843" s="98" t="b">
        <f>COUNTIFS(questions[[#This Row],[is_automated]:[is_multi_select]],TRUE)=1</f>
        <v>1</v>
      </c>
      <c r="AO1843" s="98" t="b">
        <f>IF(questions[[#This Row],[is_fixed]],questions[[#This Row],[question]]=INDEX(stable[question],MATCH(questions[[#This Row],[qno]],stable[qno],0)),TRUE)</f>
        <v>1</v>
      </c>
      <c r="AP1843" s="98" t="str">
        <f>LEFT(questions[[#This Row],[question]],similarity_range)</f>
        <v>What type of tillage</v>
      </c>
      <c r="AQ1843" s="98" t="str">
        <f>LEFT(INDEX(stable[question],MATCH(questions[[#This Row],[qno]],stable[qno],0)),similarity_range)</f>
        <v>What type of tillage</v>
      </c>
      <c r="AR1843" s="98" t="b">
        <f>questions[[#This Row],[question_first_characters]]=questions[[#This Row],[stability_first_characters]]</f>
        <v>1</v>
      </c>
      <c r="AS1843" s="98" t="b">
        <f>IF(OR(questions[[#This Row],[is_single_select]],questions[[#This Row],[is_multi_select]]),NOT(ISBLANK(questions[[#This Row],[answer_opt_combined]])),TRUE)</f>
        <v>1</v>
      </c>
    </row>
    <row r="1844" spans="1:45" s="77" customFormat="1" ht="15.75" customHeight="1" x14ac:dyDescent="0.25">
      <c r="A1844" s="77" t="str">
        <f>_xlfn.TEXTJOIN("_",TRUE,questions[[#This Row],[origin]:[qno]])</f>
        <v>Uganda_Robusta_2026_9000</v>
      </c>
      <c r="B1844" s="77" t="s">
        <v>511</v>
      </c>
      <c r="C1844" s="77" t="s">
        <v>674</v>
      </c>
      <c r="E1844" s="77">
        <v>2026</v>
      </c>
      <c r="F1844" s="104" t="s">
        <v>508</v>
      </c>
      <c r="G1844" s="78" t="s">
        <v>509</v>
      </c>
      <c r="H1844" s="9" t="str" cm="1">
        <f t="array" ref="H1844">INDEX(stableR[question],MATCH(VALUE(questions[[#This Row],[qno]]),VALUE(stableR[qno]),0))</f>
        <v>Final check: did you measure/polygon map all the plots of the farmer?</v>
      </c>
      <c r="I1844" s="9" t="b" cm="1">
        <f t="array" ref="I1844">INDEX(stable[is_fixed],MATCH(VALUE(questions[[#This Row],[qno]]),VALUE(stable[qno]),0))</f>
        <v>1</v>
      </c>
      <c r="J1844" s="9" t="b" cm="1">
        <f t="array" ref="J1844">INDEX(stable[is_localized],MATCH(VALUE(questions[[#This Row],[qno]]),VALUE(stable[qno]),0))</f>
        <v>0</v>
      </c>
      <c r="K1844" s="9" t="b" cm="1">
        <f t="array" ref="K1844">INDEX(stable[is_supply_chain_dependent],MATCH(VALUE(questions[[#This Row],[qno]]),VALUE(stable[qno]),0))</f>
        <v>0</v>
      </c>
      <c r="L1844" s="9" t="b" cm="1">
        <f t="array" ref="L1844">INDEX(stable[is_mandatory],MATCH(VALUE(questions[[#This Row],[qno]]),VALUE(stable[qno]),0))</f>
        <v>1</v>
      </c>
      <c r="M1844" s="9" t="b" cm="1">
        <f t="array" ref="M1844">INDEX(stable[is_automated],MATCH(VALUE(questions[[#This Row],[qno]]),VALUE(stable[qno]),0))</f>
        <v>0</v>
      </c>
      <c r="N1844" s="9" t="b" cm="1">
        <f t="array" ref="N1844">INDEX(stable[is_free_text],MATCH(VALUE(questions[[#This Row],[qno]]),VALUE(stable[qno]),0))</f>
        <v>0</v>
      </c>
      <c r="O1844" s="9" t="b" cm="1">
        <f t="array" ref="O1844">INDEX(stable[is_numerical],MATCH(VALUE(questions[[#This Row],[qno]]),VALUE(stable[qno]),0))</f>
        <v>0</v>
      </c>
      <c r="P1844" s="77" t="b" cm="1">
        <f t="array" ref="P1844">INDEX(stable[is_single_select],MATCH(VALUE(questions[[#This Row],[qno]]),VALUE(stable[qno]),0))</f>
        <v>1</v>
      </c>
      <c r="Q1844" s="77" t="b" cm="1">
        <f t="array" ref="Q1844">INDEX(stable[is_multi_select],MATCH(VALUE(questions[[#This Row],[qno]]),VALUE(stable[qno]),0))</f>
        <v>0</v>
      </c>
      <c r="R1844" s="77" t="b" cm="1">
        <f t="array" ref="R1844">INDEX(stable[is_skip_logic],MATCH(VALUE(questions[[#This Row],[qno]]),VALUE(stable[qno]),0))</f>
        <v>0</v>
      </c>
      <c r="S1844" s="77" t="str">
        <f>_xlfn.TEXTJOIN(", ",TRUE,questions[[#This Row],[ans_opt_1]:[ans_opt_14]])</f>
        <v>No, Yes, Not possible</v>
      </c>
      <c r="T1844" s="77" t="s">
        <v>119</v>
      </c>
      <c r="U1844" s="77" t="s">
        <v>149</v>
      </c>
      <c r="V1844" s="77" t="s">
        <v>510</v>
      </c>
      <c r="AH1844" s="98" t="b">
        <f>INDEX(stable[q_standard],MATCH(questions[[#This Row],[qno]],stable[qno],0))</f>
        <v>0</v>
      </c>
      <c r="AI1844" s="98" t="b">
        <f>INDEX(stable[q_living_income],MATCH(questions[[#This Row],[qno]],stable[qno],0))</f>
        <v>0</v>
      </c>
      <c r="AJ1844" s="98" t="b">
        <f>INDEX(stable[q_carbon],MATCH(questions[[#This Row],[qno]],stable[qno],0))</f>
        <v>0</v>
      </c>
      <c r="AK1844" s="98" t="b">
        <f>INDEX(stable[q_regen_ag],MATCH(questions[[#This Row],[qno]],stable[qno],0))</f>
        <v>1</v>
      </c>
      <c r="AL1844" s="208" t="b">
        <f>COUNTIFS(stable[qno],questions[[#This Row],[qno]])=1</f>
        <v>1</v>
      </c>
      <c r="AM1844" s="98" t="b">
        <f>OR(questions[[#This Row],[is_fixed]],questions[[#This Row],[is_localized]],questions[[#This Row],[is_supply_chain_dependent]])</f>
        <v>1</v>
      </c>
      <c r="AN1844" s="98" t="b">
        <f>COUNTIFS(questions[[#This Row],[is_automated]:[is_multi_select]],TRUE)=1</f>
        <v>1</v>
      </c>
      <c r="AO1844" s="98" t="b">
        <f>IF(questions[[#This Row],[is_fixed]],questions[[#This Row],[question]]=INDEX(stable[question],MATCH(questions[[#This Row],[qno]],stable[qno],0)),TRUE)</f>
        <v>1</v>
      </c>
      <c r="AP1844" s="98" t="str">
        <f>LEFT(questions[[#This Row],[question]],similarity_range)</f>
        <v>Final check: did you</v>
      </c>
      <c r="AQ1844" s="98" t="str">
        <f>LEFT(INDEX(stable[question],MATCH(questions[[#This Row],[qno]],stable[qno],0)),similarity_range)</f>
        <v>Final check: did you</v>
      </c>
      <c r="AR1844" s="98" t="b">
        <f>questions[[#This Row],[question_first_characters]]=questions[[#This Row],[stability_first_characters]]</f>
        <v>1</v>
      </c>
      <c r="AS1844" s="98" t="b">
        <f>IF(OR(questions[[#This Row],[is_single_select]],questions[[#This Row],[is_multi_select]]),NOT(ISBLANK(questions[[#This Row],[answer_opt_combined]])),TRUE)</f>
        <v>1</v>
      </c>
    </row>
  </sheetData>
  <phoneticPr fontId="4" type="noConversion"/>
  <conditionalFormatting sqref="B5:B11">
    <cfRule type="containsText" dxfId="0" priority="2" operator="containsText" text="FALSE">
      <formula>NOT(ISERROR(SEARCH("FALSE",B5)))</formula>
    </cfRule>
  </conditionalFormatting>
  <pageMargins left="0.7" right="0.7" top="0.75" bottom="0.75" header="0.3" footer="0.3"/>
  <pageSetup paperSize="9" orientation="portrait" r:id="rId1"/>
  <legacyDrawing r:id="rId2"/>
  <tableParts count="1">
    <tablePart r:id="rId3"/>
  </tableParts>
  <extLst>
    <ext xmlns:x14="http://schemas.microsoft.com/office/spreadsheetml/2009/9/main" uri="{CCE6A557-97BC-4b89-ADB6-D9C93CAAB3DF}">
      <x14:dataValidations xmlns:xm="http://schemas.microsoft.com/office/excel/2006/main" count="29">
        <x14:dataValidation type="list" allowBlank="1" showInputMessage="1" showErrorMessage="1" xr:uid="{CEC07BEC-990C-495A-8459-2EA8FCAA6663}">
          <x14:formula1>
            <xm:f>stability!$A$14:$A648</xm:f>
          </x14:formula1>
          <xm:sqref>F1705:F1707 F429</xm:sqref>
        </x14:dataValidation>
        <x14:dataValidation type="list" allowBlank="1" showInputMessage="1" showErrorMessage="1" xr:uid="{EA37C492-97C0-451E-8E97-C93987E643F7}">
          <x14:formula1>
            <xm:f>stability!$A$14:$A1614</xm:f>
          </x14:formula1>
          <xm:sqref>F1593</xm:sqref>
        </x14:dataValidation>
        <x14:dataValidation type="list" allowBlank="1" showInputMessage="1" showErrorMessage="1" xr:uid="{40E436A1-9F23-4DFE-82CA-9974CB2505C0}">
          <x14:formula1>
            <xm:f>stability!$A$14:$A1359</xm:f>
          </x14:formula1>
          <xm:sqref>F1573:F1588 F1336:F1337</xm:sqref>
        </x14:dataValidation>
        <x14:dataValidation type="list" allowBlank="1" showInputMessage="1" showErrorMessage="1" xr:uid="{4E7AD017-7B8A-4E05-866B-8097C31D6FFD}">
          <x14:formula1>
            <xm:f>stability!$A$14:$A1620</xm:f>
          </x14:formula1>
          <xm:sqref>F1601:F1602</xm:sqref>
        </x14:dataValidation>
        <x14:dataValidation type="list" allowBlank="1" showInputMessage="1" showErrorMessage="1" xr:uid="{EC596A34-AD60-4C44-A591-AC6AA0FA0295}">
          <x14:formula1>
            <xm:f>stability!$A$14:$A1611</xm:f>
          </x14:formula1>
          <xm:sqref>F1589:F1592 F1595:F1596</xm:sqref>
        </x14:dataValidation>
        <x14:dataValidation type="list" allowBlank="1" showInputMessage="1" showErrorMessage="1" xr:uid="{3ED3D19A-5A49-440B-8F6A-1AABA159220F}">
          <x14:formula1>
            <xm:f>stability!$A$14:$A1765</xm:f>
          </x14:formula1>
          <xm:sqref>F1557:F1572</xm:sqref>
        </x14:dataValidation>
        <x14:dataValidation type="list" allowBlank="1" showInputMessage="1" showErrorMessage="1" xr:uid="{83AE340A-998D-47CA-978B-C4DC4B3D16BC}">
          <x14:formula1>
            <xm:f>stability!$A$14:$A1603</xm:f>
          </x14:formula1>
          <xm:sqref>F1554:F1556</xm:sqref>
        </x14:dataValidation>
        <x14:dataValidation type="list" allowBlank="1" showInputMessage="1" showErrorMessage="1" xr:uid="{AD406F8F-70D0-4364-9FA0-6D602D08125B}">
          <x14:formula1>
            <xm:f>stability!$A$14:$A718</xm:f>
          </x14:formula1>
          <xm:sqref>F694</xm:sqref>
        </x14:dataValidation>
        <x14:dataValidation type="list" allowBlank="1" showInputMessage="1" showErrorMessage="1" xr:uid="{0BD73DA6-C68F-43A1-8C4F-E8BF9EF363C2}">
          <x14:formula1>
            <xm:f>stability!$A$14:$A862</xm:f>
          </x14:formula1>
          <xm:sqref>F653:F671</xm:sqref>
        </x14:dataValidation>
        <x14:dataValidation type="list" allowBlank="1" showInputMessage="1" showErrorMessage="1" xr:uid="{DDFCB5F9-33CB-4426-ACB9-22CC8ABB07CB}">
          <x14:formula1>
            <xm:f>stability!$A$14:$A578</xm:f>
          </x14:formula1>
          <xm:sqref>F1328 F553</xm:sqref>
        </x14:dataValidation>
        <x14:dataValidation type="list" allowBlank="1" showInputMessage="1" showErrorMessage="1" xr:uid="{5A129879-9F54-4900-A8AC-171DB7B9B8BB}">
          <x14:formula1>
            <xm:f>stability!$A$14:$A560</xm:f>
          </x14:formula1>
          <xm:sqref>F1171 F533:F548 F1308:F1323</xm:sqref>
        </x14:dataValidation>
        <x14:dataValidation type="list" allowBlank="1" showInputMessage="1" showErrorMessage="1" xr:uid="{1632E065-804A-46E8-BF84-4107A4B130C9}">
          <x14:formula1>
            <xm:f>stability!$A$14:$A619</xm:f>
          </x14:formula1>
          <xm:sqref>F390 G438:G440 F435:F451 G442</xm:sqref>
        </x14:dataValidation>
        <x14:dataValidation type="list" allowBlank="1" showInputMessage="1" showErrorMessage="1" xr:uid="{7EFC3371-505D-456C-BF52-CBA45E2DEF5B}">
          <x14:formula1>
            <xm:f>stability!$A$14:$A684</xm:f>
          </x14:formula1>
          <xm:sqref>G500 F452:F488 F496:F513 G511 G452</xm:sqref>
        </x14:dataValidation>
        <x14:dataValidation type="list" allowBlank="1" showInputMessage="1" showErrorMessage="1" xr:uid="{F9A28BB1-D18E-444C-AAAF-C0F59389D2B5}">
          <x14:formula1>
            <xm:f>stability!$A$14:$A619</xm:f>
          </x14:formula1>
          <xm:sqref>F394 F430:G434 G435</xm:sqref>
        </x14:dataValidation>
        <x14:dataValidation type="list" allowBlank="1" showInputMessage="1" showErrorMessage="1" xr:uid="{9BF60200-E144-4E4A-9674-1EB4BCD7DBDB}">
          <x14:formula1>
            <xm:f>stability!$A$14:$A619</xm:f>
          </x14:formula1>
          <xm:sqref>F389</xm:sqref>
        </x14:dataValidation>
        <x14:dataValidation type="list" allowBlank="1" showInputMessage="1" showErrorMessage="1" xr:uid="{C75CBD01-65A3-4531-9279-5106E744F2F2}">
          <x14:formula1>
            <xm:f>stability!$A$14:$A648</xm:f>
          </x14:formula1>
          <xm:sqref>F428</xm:sqref>
        </x14:dataValidation>
        <x14:dataValidation type="list" allowBlank="1" showInputMessage="1" showErrorMessage="1" xr:uid="{2F29BA4C-AF50-4DCE-BB7C-12D8AE71F865}">
          <x14:formula1>
            <xm:f>stability!$A$14:$A647</xm:f>
          </x14:formula1>
          <xm:sqref>F425</xm:sqref>
        </x14:dataValidation>
        <x14:dataValidation type="list" allowBlank="1" showInputMessage="1" showErrorMessage="1" xr:uid="{6F58C4F1-687C-4D3F-9D11-5ED5055C6115}">
          <x14:formula1>
            <xm:f>stability!$A$14:$A647</xm:f>
          </x14:formula1>
          <xm:sqref>F424</xm:sqref>
        </x14:dataValidation>
        <x14:dataValidation type="list" allowBlank="1" showInputMessage="1" showErrorMessage="1" xr:uid="{8E47F787-FDBB-4C15-9E28-85C123A299C3}">
          <x14:formula1>
            <xm:f>stability!$A$14:$A619</xm:f>
          </x14:formula1>
          <xm:sqref>F393</xm:sqref>
        </x14:dataValidation>
        <x14:dataValidation type="list" allowBlank="1" showInputMessage="1" showErrorMessage="1" xr:uid="{434A60FC-8E6A-42BE-A6D3-4D1796DB1AAE}">
          <x14:formula1>
            <xm:f>stability!$A$14:$A602</xm:f>
          </x14:formula1>
          <xm:sqref>F392 F375:F388</xm:sqref>
        </x14:dataValidation>
        <x14:dataValidation type="list" allowBlank="1" showInputMessage="1" showErrorMessage="1" xr:uid="{C890739A-AE9A-4796-AE58-DCF8090125CD}">
          <x14:formula1>
            <xm:f>stability!$A$14:$A619</xm:f>
          </x14:formula1>
          <xm:sqref>F391</xm:sqref>
        </x14:dataValidation>
        <x14:dataValidation type="list" allowBlank="1" showInputMessage="1" showErrorMessage="1" xr:uid="{A125C987-F94C-4B7C-85A2-0045ED64A826}">
          <x14:formula1>
            <xm:f>stability!$A$14:$A575</xm:f>
          </x14:formula1>
          <xm:sqref>F555:F556 F1330:F1331 F1324:F1327 F549:F552 F558:F559</xm:sqref>
        </x14:dataValidation>
        <x14:dataValidation type="list" allowBlank="1" showInputMessage="1" showErrorMessage="1" xr:uid="{BDB6F5EA-6F76-4233-A5FA-671A804F9894}">
          <x14:formula1>
            <xm:f>stability!$A$14:$A228</xm:f>
          </x14:formula1>
          <xm:sqref>F1292:F1307 F1696:F1702 F1133:F1148 F16:F372 F965:F983 F514:F532 F806:F824</xm:sqref>
        </x14:dataValidation>
        <x14:dataValidation type="list" allowBlank="1" showInputMessage="1" showErrorMessage="1" xr:uid="{6D38D043-B4C0-4F6F-885D-695FA148FC39}">
          <x14:formula1>
            <xm:f>stability!$A$14:$A1501</xm:f>
          </x14:formula1>
          <xm:sqref>F1703:F1704 F1286:F1288</xm:sqref>
        </x14:dataValidation>
        <x14:dataValidation type="list" allowBlank="1" showInputMessage="1" showErrorMessage="1" xr:uid="{3A022DDF-2833-4C51-990F-48A82278639F}">
          <x14:formula1>
            <xm:f>stability!$A$14:$A1342</xm:f>
          </x14:formula1>
          <xm:sqref>F1289:F1291</xm:sqref>
        </x14:dataValidation>
        <x14:dataValidation type="list" allowBlank="1" showInputMessage="1" showErrorMessage="1" xr:uid="{E3F3A020-BF30-4218-A0A4-D382B54BD2F5}">
          <x14:formula1>
            <xm:f>stability!$A$14:$A722</xm:f>
          </x14:formula1>
          <xm:sqref>G494:G495 F489:F495</xm:sqref>
        </x14:dataValidation>
        <x14:dataValidation type="list" allowBlank="1" showInputMessage="1" showErrorMessage="1" xr:uid="{B4A8A5E9-C5B8-40B9-98FE-453BC0F50A86}">
          <x14:formula1>
            <xm:f>stability!$A$14:$A647</xm:f>
          </x14:formula1>
          <xm:sqref>F426:F427</xm:sqref>
        </x14:dataValidation>
        <x14:dataValidation type="list" allowBlank="1" showInputMessage="1" showErrorMessage="1" xr:uid="{C8668EB6-6520-43DC-8105-88ABAC139C7C}">
          <x14:formula1>
            <xm:f>stability!$A$14:$A619</xm:f>
          </x14:formula1>
          <xm:sqref>F395:F423</xm:sqref>
        </x14:dataValidation>
        <x14:dataValidation type="list" allowBlank="1" showInputMessage="1" showErrorMessage="1" xr:uid="{D4927D61-5A10-4708-A1FC-6C91D761127D}">
          <x14:formula1>
            <xm:f>stability!$A$14:$A586</xm:f>
          </x14:formula1>
          <xm:sqref>F373:F374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B4F3B-B050-49A9-821E-9CB9D9AA1714}">
  <dimension ref="A1:N18"/>
  <sheetViews>
    <sheetView topLeftCell="A3" workbookViewId="0">
      <selection activeCell="G13" sqref="G13"/>
    </sheetView>
  </sheetViews>
  <sheetFormatPr defaultRowHeight="15.75" x14ac:dyDescent="0.25"/>
  <cols>
    <col min="1" max="1" width="9.25" style="1" bestFit="1" customWidth="1"/>
    <col min="2" max="2" width="84.875" style="1" customWidth="1"/>
    <col min="3" max="3" width="22.375" style="1" customWidth="1"/>
    <col min="4" max="4" width="26.25" style="1" bestFit="1" customWidth="1"/>
    <col min="5" max="5" width="24.25" style="1" bestFit="1" customWidth="1"/>
    <col min="6" max="6" width="19.125" style="1" bestFit="1" customWidth="1"/>
    <col min="7" max="7" width="20.125" style="1" bestFit="1" customWidth="1"/>
    <col min="8" max="8" width="18.875" style="1" bestFit="1" customWidth="1"/>
    <col min="9" max="9" width="19" style="1" bestFit="1" customWidth="1"/>
    <col min="10" max="10" width="25.625" style="1" bestFit="1" customWidth="1"/>
    <col min="11" max="11" width="21.125" style="1" bestFit="1" customWidth="1"/>
    <col min="12" max="12" width="18.875" style="1" bestFit="1" customWidth="1"/>
    <col min="13" max="16384" width="9" style="1"/>
  </cols>
  <sheetData>
    <row r="1" spans="1:14" s="4" customFormat="1" x14ac:dyDescent="0.25">
      <c r="A1" s="4" t="s">
        <v>1063</v>
      </c>
      <c r="B1" s="4" t="s">
        <v>1064</v>
      </c>
      <c r="C1" s="4" t="s">
        <v>1065</v>
      </c>
      <c r="D1" s="4" t="s">
        <v>1066</v>
      </c>
    </row>
    <row r="2" spans="1:14" ht="94.5" x14ac:dyDescent="0.25">
      <c r="A2" s="1">
        <v>5401</v>
      </c>
      <c r="B2" s="2" t="s">
        <v>1067</v>
      </c>
      <c r="D2" s="3" t="s">
        <v>1037</v>
      </c>
      <c r="E2" s="1" t="s">
        <v>972</v>
      </c>
      <c r="F2" s="1" t="s">
        <v>973</v>
      </c>
      <c r="G2" s="1" t="s">
        <v>974</v>
      </c>
      <c r="H2" s="1" t="s">
        <v>975</v>
      </c>
      <c r="I2" s="1" t="s">
        <v>976</v>
      </c>
      <c r="J2" s="1" t="s">
        <v>977</v>
      </c>
      <c r="K2" s="1" t="s">
        <v>978</v>
      </c>
      <c r="L2" s="1" t="s">
        <v>979</v>
      </c>
    </row>
    <row r="3" spans="1:14" ht="94.5" x14ac:dyDescent="0.25">
      <c r="A3" s="1">
        <v>5410</v>
      </c>
      <c r="B3" s="2" t="s">
        <v>1067</v>
      </c>
      <c r="D3" s="3" t="s">
        <v>1037</v>
      </c>
      <c r="E3" s="1" t="s">
        <v>972</v>
      </c>
      <c r="F3" s="1" t="s">
        <v>973</v>
      </c>
      <c r="G3" s="1" t="s">
        <v>974</v>
      </c>
      <c r="H3" s="1" t="s">
        <v>975</v>
      </c>
      <c r="I3" s="1" t="s">
        <v>976</v>
      </c>
      <c r="J3" s="1" t="s">
        <v>977</v>
      </c>
      <c r="K3" s="1" t="s">
        <v>978</v>
      </c>
      <c r="L3" s="1" t="s">
        <v>979</v>
      </c>
    </row>
    <row r="4" spans="1:14" ht="72" x14ac:dyDescent="0.25">
      <c r="A4" s="81" t="s">
        <v>616</v>
      </c>
      <c r="B4" s="82" t="s">
        <v>715</v>
      </c>
      <c r="C4" s="80" t="s">
        <v>1068</v>
      </c>
      <c r="D4" s="96" t="s">
        <v>1069</v>
      </c>
      <c r="E4" s="96" t="s">
        <v>619</v>
      </c>
      <c r="F4" s="96" t="s">
        <v>620</v>
      </c>
      <c r="G4" s="96" t="s">
        <v>621</v>
      </c>
      <c r="H4" s="96" t="s">
        <v>622</v>
      </c>
      <c r="I4" s="96" t="s">
        <v>623</v>
      </c>
      <c r="J4" s="96" t="s">
        <v>624</v>
      </c>
      <c r="K4" s="96" t="s">
        <v>625</v>
      </c>
      <c r="L4" s="96" t="s">
        <v>626</v>
      </c>
      <c r="M4" s="96" t="s">
        <v>627</v>
      </c>
      <c r="N4" s="97"/>
    </row>
    <row r="6" spans="1:14" ht="89.25" customHeight="1" x14ac:dyDescent="0.25">
      <c r="B6" s="6" t="s">
        <v>1070</v>
      </c>
    </row>
    <row r="9" spans="1:14" ht="31.5" x14ac:dyDescent="0.25">
      <c r="B9" s="5" t="s">
        <v>1071</v>
      </c>
    </row>
    <row r="11" spans="1:14" ht="31.5" x14ac:dyDescent="0.25">
      <c r="B11" s="5" t="s">
        <v>1072</v>
      </c>
    </row>
    <row r="14" spans="1:14" x14ac:dyDescent="0.25">
      <c r="B14" s="237" t="s">
        <v>1073</v>
      </c>
    </row>
    <row r="16" spans="1:14" x14ac:dyDescent="0.25">
      <c r="B16" s="237" t="s">
        <v>1074</v>
      </c>
    </row>
    <row r="18" spans="2:2" x14ac:dyDescent="0.25">
      <c r="B18" s="237" t="s">
        <v>1075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BABA8-8FEB-7540-9A3B-1AC03A8CAA95}">
  <sheetPr codeName="Sheet2"/>
  <dimension ref="A1:V228"/>
  <sheetViews>
    <sheetView showGridLines="0" topLeftCell="G185" zoomScale="80" zoomScaleNormal="80" workbookViewId="0">
      <selection activeCell="G14" sqref="G14:G228"/>
    </sheetView>
  </sheetViews>
  <sheetFormatPr defaultColWidth="10.625" defaultRowHeight="15.75" outlineLevelCol="1" x14ac:dyDescent="0.25"/>
  <cols>
    <col min="1" max="1" width="12" style="9" customWidth="1"/>
    <col min="2" max="2" width="108.125" style="9" customWidth="1"/>
    <col min="3" max="3" width="15.875" style="9" customWidth="1" outlineLevel="1"/>
    <col min="4" max="4" width="6" style="9" customWidth="1" outlineLevel="1"/>
    <col min="5" max="5" width="9.875" style="9" customWidth="1" outlineLevel="1"/>
    <col min="6" max="6" width="11" style="9" customWidth="1" outlineLevel="1"/>
    <col min="7" max="7" width="49" style="9" bestFit="1" customWidth="1"/>
    <col min="8" max="8" width="10" style="9" customWidth="1" outlineLevel="1"/>
    <col min="9" max="9" width="13" style="9" customWidth="1" outlineLevel="1"/>
    <col min="10" max="10" width="27.5" style="9" customWidth="1" outlineLevel="1"/>
    <col min="11" max="11" width="15.125" style="9" customWidth="1" outlineLevel="1"/>
    <col min="12" max="12" width="15.25" style="9" customWidth="1" outlineLevel="1"/>
    <col min="13" max="13" width="13.875" style="9" customWidth="1" outlineLevel="1"/>
    <col min="14" max="14" width="14.25" style="9" customWidth="1" outlineLevel="1"/>
    <col min="15" max="15" width="16.5" style="9" customWidth="1" outlineLevel="1"/>
    <col min="16" max="16" width="16.25" style="9" customWidth="1" outlineLevel="1"/>
    <col min="17" max="17" width="13.75" style="9" customWidth="1" outlineLevel="1"/>
    <col min="18" max="18" width="13.625" style="9" bestFit="1" customWidth="1"/>
    <col min="19" max="19" width="13.125" style="9" bestFit="1" customWidth="1"/>
    <col min="20" max="20" width="17.375" style="9" bestFit="1" customWidth="1"/>
    <col min="21" max="21" width="11.375" style="9" bestFit="1" customWidth="1"/>
    <col min="22" max="22" width="13.375" style="9" bestFit="1" customWidth="1"/>
    <col min="23" max="16384" width="10.625" style="9"/>
  </cols>
  <sheetData>
    <row r="1" spans="1:22" s="8" customFormat="1" ht="18.75" x14ac:dyDescent="0.25">
      <c r="A1" s="31" t="s">
        <v>1076</v>
      </c>
      <c r="B1" s="7"/>
      <c r="C1" s="7"/>
      <c r="D1" s="7"/>
      <c r="E1" s="7"/>
      <c r="F1" s="7"/>
      <c r="G1" s="7"/>
      <c r="H1" s="7"/>
      <c r="I1" s="7"/>
      <c r="J1" s="7"/>
      <c r="K1" s="7"/>
      <c r="L1" s="7"/>
      <c r="M1" s="7"/>
      <c r="N1" s="7"/>
      <c r="O1" s="7"/>
      <c r="P1" s="7"/>
      <c r="Q1" s="7"/>
      <c r="R1" s="7"/>
    </row>
    <row r="2" spans="1:22" ht="15.75" customHeight="1" x14ac:dyDescent="0.25"/>
    <row r="3" spans="1:22" ht="15.75" customHeight="1" x14ac:dyDescent="0.25"/>
    <row r="4" spans="1:22" x14ac:dyDescent="0.25">
      <c r="A4" s="10" t="s">
        <v>1077</v>
      </c>
      <c r="B4" s="10"/>
      <c r="D4" s="10"/>
      <c r="E4" s="10"/>
      <c r="F4" s="10"/>
    </row>
    <row r="5" spans="1:22" x14ac:dyDescent="0.25">
      <c r="A5" s="11"/>
      <c r="B5" s="11"/>
      <c r="C5" s="10"/>
      <c r="D5" s="10"/>
      <c r="E5" s="10"/>
      <c r="F5" s="10"/>
    </row>
    <row r="6" spans="1:22" x14ac:dyDescent="0.25">
      <c r="A6" s="11"/>
      <c r="B6" s="11"/>
      <c r="C6" s="10"/>
      <c r="D6" s="10"/>
      <c r="E6" s="10"/>
      <c r="F6" s="10"/>
    </row>
    <row r="7" spans="1:22" x14ac:dyDescent="0.25">
      <c r="B7" s="11" t="s">
        <v>1078</v>
      </c>
      <c r="C7" s="12" t="s">
        <v>1079</v>
      </c>
      <c r="D7" s="12" t="s">
        <v>1080</v>
      </c>
      <c r="E7" s="12" t="s">
        <v>1081</v>
      </c>
      <c r="F7" s="12" t="s">
        <v>1082</v>
      </c>
    </row>
    <row r="8" spans="1:22" x14ac:dyDescent="0.25">
      <c r="B8" s="11"/>
      <c r="C8" s="9" t="s">
        <v>1083</v>
      </c>
      <c r="D8" s="9" t="s">
        <v>1084</v>
      </c>
      <c r="F8" s="9" t="s">
        <v>1085</v>
      </c>
    </row>
    <row r="9" spans="1:22" ht="15.95" customHeight="1" x14ac:dyDescent="0.25"/>
    <row r="10" spans="1:22" ht="15.75" customHeight="1" x14ac:dyDescent="0.25">
      <c r="S10" s="27" t="s">
        <v>1086</v>
      </c>
      <c r="T10" s="27"/>
      <c r="U10" s="27"/>
      <c r="V10" s="27"/>
    </row>
    <row r="11" spans="1:22" x14ac:dyDescent="0.25">
      <c r="A11" s="13" t="s">
        <v>17</v>
      </c>
      <c r="B11" s="14" t="s">
        <v>18</v>
      </c>
      <c r="C11" s="14" t="s">
        <v>18</v>
      </c>
      <c r="D11" s="14" t="s">
        <v>18</v>
      </c>
      <c r="E11" s="14" t="s">
        <v>18</v>
      </c>
      <c r="F11" s="14" t="s">
        <v>18</v>
      </c>
      <c r="G11" s="14" t="s">
        <v>18</v>
      </c>
      <c r="H11" s="14" t="s">
        <v>18</v>
      </c>
      <c r="I11" s="14" t="s">
        <v>18</v>
      </c>
      <c r="J11" s="14" t="s">
        <v>18</v>
      </c>
      <c r="K11" s="14" t="s">
        <v>18</v>
      </c>
      <c r="L11" s="14" t="s">
        <v>18</v>
      </c>
      <c r="M11" s="14" t="s">
        <v>18</v>
      </c>
      <c r="N11" s="14" t="s">
        <v>18</v>
      </c>
      <c r="O11" s="14" t="s">
        <v>18</v>
      </c>
      <c r="P11" s="14" t="s">
        <v>18</v>
      </c>
      <c r="Q11" s="14" t="s">
        <v>18</v>
      </c>
      <c r="R11" s="13" t="s">
        <v>17</v>
      </c>
      <c r="S11" s="14" t="s">
        <v>18</v>
      </c>
      <c r="T11" s="14" t="s">
        <v>18</v>
      </c>
      <c r="U11" s="14" t="s">
        <v>18</v>
      </c>
      <c r="V11" s="14" t="s">
        <v>18</v>
      </c>
    </row>
    <row r="12" spans="1:22" ht="15.75" customHeight="1" x14ac:dyDescent="0.25"/>
    <row r="13" spans="1:22" x14ac:dyDescent="0.25">
      <c r="A13" s="9" t="s">
        <v>24</v>
      </c>
      <c r="B13" s="9" t="s">
        <v>25</v>
      </c>
      <c r="C13" s="9" t="s">
        <v>1087</v>
      </c>
      <c r="D13" s="9" t="s">
        <v>1088</v>
      </c>
      <c r="E13" s="9" t="s">
        <v>1089</v>
      </c>
      <c r="F13" s="9" t="s">
        <v>1090</v>
      </c>
      <c r="G13" s="9" t="s">
        <v>1091</v>
      </c>
      <c r="H13" s="9" t="s">
        <v>27</v>
      </c>
      <c r="I13" s="9" t="s">
        <v>28</v>
      </c>
      <c r="J13" s="9" t="s">
        <v>29</v>
      </c>
      <c r="K13" s="9" t="s">
        <v>30</v>
      </c>
      <c r="L13" s="9" t="s">
        <v>31</v>
      </c>
      <c r="M13" s="9" t="s">
        <v>32</v>
      </c>
      <c r="N13" s="9" t="s">
        <v>33</v>
      </c>
      <c r="O13" s="9" t="s">
        <v>34</v>
      </c>
      <c r="P13" s="9" t="s">
        <v>35</v>
      </c>
      <c r="Q13" s="9" t="s">
        <v>36</v>
      </c>
      <c r="R13" s="9" t="s">
        <v>1092</v>
      </c>
      <c r="S13" s="9" t="s">
        <v>52</v>
      </c>
      <c r="T13" s="9" t="s">
        <v>53</v>
      </c>
      <c r="U13" s="9" t="s">
        <v>54</v>
      </c>
      <c r="V13" s="9" t="s">
        <v>55</v>
      </c>
    </row>
    <row r="14" spans="1:22" x14ac:dyDescent="0.25">
      <c r="A14" s="15" t="str">
        <f>_xlfn.CONCAT(stable[[#This Row],[group_0_no]:[order_no]])</f>
        <v>1000</v>
      </c>
      <c r="B14" s="15" t="s">
        <v>62</v>
      </c>
      <c r="C14" s="15" t="s">
        <v>1093</v>
      </c>
      <c r="D14" s="15" t="s">
        <v>1094</v>
      </c>
      <c r="E14" s="15" t="s">
        <v>1094</v>
      </c>
      <c r="F14" s="15" t="s">
        <v>1094</v>
      </c>
      <c r="G14" s="9" t="s">
        <v>1095</v>
      </c>
      <c r="H14" s="9" t="b">
        <v>1</v>
      </c>
      <c r="I14" s="9" t="b">
        <v>0</v>
      </c>
      <c r="J14" s="9" t="b">
        <v>0</v>
      </c>
      <c r="K14" s="9" t="b">
        <v>1</v>
      </c>
      <c r="L14" s="9" t="b">
        <v>1</v>
      </c>
      <c r="M14" s="9" t="b">
        <v>0</v>
      </c>
      <c r="N14" s="9" t="b">
        <v>0</v>
      </c>
      <c r="O14" s="9" t="b">
        <v>0</v>
      </c>
      <c r="P14" s="9" t="b">
        <v>0</v>
      </c>
      <c r="Q14" s="9" t="b">
        <v>0</v>
      </c>
      <c r="R14" s="16">
        <f>COUNTIFS(stable[q_group],stable[[#This Row],[q_group]])</f>
        <v>1</v>
      </c>
      <c r="S14" s="9" t="b">
        <v>1</v>
      </c>
      <c r="T14" s="9" t="b">
        <v>0</v>
      </c>
      <c r="U14" s="9" t="b">
        <v>0</v>
      </c>
      <c r="V14" s="9" t="b">
        <v>0</v>
      </c>
    </row>
    <row r="15" spans="1:22" x14ac:dyDescent="0.25">
      <c r="A15" s="15" t="str">
        <f>_xlfn.CONCAT(stable[[#This Row],[group_0_no]:[order_no]])</f>
        <v>1001</v>
      </c>
      <c r="B15" s="15" t="s">
        <v>64</v>
      </c>
      <c r="C15" s="15" t="s">
        <v>1093</v>
      </c>
      <c r="D15" s="15" t="s">
        <v>1094</v>
      </c>
      <c r="E15" s="15" t="s">
        <v>1094</v>
      </c>
      <c r="F15" s="15" t="s">
        <v>1093</v>
      </c>
      <c r="G15" s="9" t="s">
        <v>1096</v>
      </c>
      <c r="H15" s="9" t="b">
        <v>1</v>
      </c>
      <c r="I15" s="9" t="b">
        <v>0</v>
      </c>
      <c r="J15" s="9" t="b">
        <v>0</v>
      </c>
      <c r="K15" s="9" t="b">
        <v>1</v>
      </c>
      <c r="L15" s="9" t="b">
        <v>1</v>
      </c>
      <c r="M15" s="9" t="b">
        <v>0</v>
      </c>
      <c r="N15" s="9" t="b">
        <v>0</v>
      </c>
      <c r="O15" s="9" t="b">
        <v>0</v>
      </c>
      <c r="P15" s="9" t="b">
        <v>0</v>
      </c>
      <c r="Q15" s="9" t="b">
        <v>0</v>
      </c>
      <c r="R15" s="16">
        <f>COUNTIFS(stable[q_group],stable[[#This Row],[q_group]])</f>
        <v>1</v>
      </c>
      <c r="S15" s="9" t="b">
        <v>1</v>
      </c>
      <c r="T15" s="9" t="b">
        <v>0</v>
      </c>
      <c r="U15" s="9" t="b">
        <v>0</v>
      </c>
      <c r="V15" s="9" t="b">
        <v>0</v>
      </c>
    </row>
    <row r="16" spans="1:22" x14ac:dyDescent="0.25">
      <c r="A16" s="15" t="str">
        <f>_xlfn.CONCAT(stable[[#This Row],[group_0_no]:[order_no]])</f>
        <v>1002</v>
      </c>
      <c r="B16" s="15" t="s">
        <v>66</v>
      </c>
      <c r="C16" s="15" t="s">
        <v>1093</v>
      </c>
      <c r="D16" s="15" t="s">
        <v>1094</v>
      </c>
      <c r="E16" s="15" t="s">
        <v>1094</v>
      </c>
      <c r="F16" s="15" t="s">
        <v>1097</v>
      </c>
      <c r="G16" s="9" t="s">
        <v>1098</v>
      </c>
      <c r="H16" s="9" t="b">
        <v>1</v>
      </c>
      <c r="I16" s="9" t="b">
        <v>0</v>
      </c>
      <c r="J16" s="9" t="b">
        <v>0</v>
      </c>
      <c r="K16" s="9" t="b">
        <v>1</v>
      </c>
      <c r="L16" s="9" t="b">
        <v>1</v>
      </c>
      <c r="M16" s="9" t="b">
        <v>0</v>
      </c>
      <c r="N16" s="9" t="b">
        <v>0</v>
      </c>
      <c r="O16" s="9" t="b">
        <v>0</v>
      </c>
      <c r="P16" s="9" t="b">
        <v>0</v>
      </c>
      <c r="Q16" s="9" t="b">
        <v>0</v>
      </c>
      <c r="R16" s="16">
        <f>COUNTIFS(stable[q_group],stable[[#This Row],[q_group]])</f>
        <v>1</v>
      </c>
      <c r="S16" s="9" t="b">
        <v>1</v>
      </c>
      <c r="T16" s="9" t="b">
        <v>0</v>
      </c>
      <c r="U16" s="9" t="b">
        <v>0</v>
      </c>
      <c r="V16" s="9" t="b">
        <v>0</v>
      </c>
    </row>
    <row r="17" spans="1:22" x14ac:dyDescent="0.25">
      <c r="A17" s="15" t="str">
        <f>_xlfn.CONCAT(stable[[#This Row],[group_0_no]:[order_no]])</f>
        <v>1003</v>
      </c>
      <c r="B17" s="15" t="s">
        <v>68</v>
      </c>
      <c r="C17" s="15" t="s">
        <v>1093</v>
      </c>
      <c r="D17" s="15" t="s">
        <v>1094</v>
      </c>
      <c r="E17" s="15" t="s">
        <v>1094</v>
      </c>
      <c r="F17" s="15" t="s">
        <v>1099</v>
      </c>
      <c r="G17" s="9" t="s">
        <v>1100</v>
      </c>
      <c r="H17" s="9" t="b">
        <v>1</v>
      </c>
      <c r="I17" s="9" t="b">
        <v>0</v>
      </c>
      <c r="J17" s="9" t="b">
        <v>0</v>
      </c>
      <c r="K17" s="9" t="b">
        <v>1</v>
      </c>
      <c r="L17" s="9" t="b">
        <v>1</v>
      </c>
      <c r="M17" s="9" t="b">
        <v>0</v>
      </c>
      <c r="N17" s="9" t="b">
        <v>0</v>
      </c>
      <c r="O17" s="9" t="b">
        <v>0</v>
      </c>
      <c r="P17" s="9" t="b">
        <v>0</v>
      </c>
      <c r="Q17" s="9" t="b">
        <v>0</v>
      </c>
      <c r="R17" s="16">
        <f>COUNTIFS(stable[q_group],stable[[#This Row],[q_group]])</f>
        <v>1</v>
      </c>
      <c r="S17" s="9" t="b">
        <v>1</v>
      </c>
      <c r="T17" s="9" t="b">
        <v>0</v>
      </c>
      <c r="U17" s="9" t="b">
        <v>0</v>
      </c>
      <c r="V17" s="9" t="b">
        <v>0</v>
      </c>
    </row>
    <row r="18" spans="1:22" x14ac:dyDescent="0.25">
      <c r="A18" s="15" t="str">
        <f>_xlfn.CONCAT(stable[[#This Row],[group_0_no]:[order_no]])</f>
        <v>1104</v>
      </c>
      <c r="B18" s="15" t="s">
        <v>70</v>
      </c>
      <c r="C18" s="15" t="s">
        <v>1093</v>
      </c>
      <c r="D18" s="15" t="s">
        <v>1093</v>
      </c>
      <c r="E18" s="15" t="s">
        <v>1094</v>
      </c>
      <c r="F18" s="15" t="s">
        <v>1101</v>
      </c>
      <c r="G18" s="9" t="s">
        <v>1102</v>
      </c>
      <c r="H18" s="9" t="b">
        <v>1</v>
      </c>
      <c r="I18" s="9" t="b">
        <v>0</v>
      </c>
      <c r="J18" s="9" t="b">
        <v>0</v>
      </c>
      <c r="K18" s="9" t="b">
        <v>1</v>
      </c>
      <c r="L18" s="9" t="b">
        <v>1</v>
      </c>
      <c r="M18" s="9" t="b">
        <v>0</v>
      </c>
      <c r="N18" s="9" t="b">
        <v>0</v>
      </c>
      <c r="O18" s="9" t="b">
        <v>0</v>
      </c>
      <c r="P18" s="9" t="b">
        <v>0</v>
      </c>
      <c r="Q18" s="9" t="b">
        <v>0</v>
      </c>
      <c r="R18" s="16">
        <f>COUNTIFS(stable[q_group],stable[[#This Row],[q_group]])</f>
        <v>1</v>
      </c>
      <c r="S18" s="9" t="b">
        <v>1</v>
      </c>
      <c r="T18" s="9" t="b">
        <v>0</v>
      </c>
      <c r="U18" s="9" t="b">
        <v>0</v>
      </c>
      <c r="V18" s="9" t="b">
        <v>0</v>
      </c>
    </row>
    <row r="19" spans="1:22" x14ac:dyDescent="0.25">
      <c r="A19" s="15" t="str">
        <f>_xlfn.CONCAT(stable[[#This Row],[group_0_no]:[order_no]])</f>
        <v>1105</v>
      </c>
      <c r="B19" s="15" t="s">
        <v>72</v>
      </c>
      <c r="C19" s="15" t="s">
        <v>1093</v>
      </c>
      <c r="D19" s="15" t="s">
        <v>1093</v>
      </c>
      <c r="E19" s="15" t="s">
        <v>1094</v>
      </c>
      <c r="F19" s="15" t="s">
        <v>1103</v>
      </c>
      <c r="G19" s="9" t="s">
        <v>1104</v>
      </c>
      <c r="H19" s="9" t="b">
        <v>1</v>
      </c>
      <c r="I19" s="9" t="b">
        <v>0</v>
      </c>
      <c r="J19" s="9" t="b">
        <v>0</v>
      </c>
      <c r="K19" s="9" t="b">
        <v>1</v>
      </c>
      <c r="L19" s="9" t="b">
        <v>1</v>
      </c>
      <c r="M19" s="9" t="b">
        <v>0</v>
      </c>
      <c r="N19" s="9" t="b">
        <v>0</v>
      </c>
      <c r="O19" s="9" t="b">
        <v>0</v>
      </c>
      <c r="P19" s="9" t="b">
        <v>0</v>
      </c>
      <c r="Q19" s="9" t="b">
        <v>0</v>
      </c>
      <c r="R19" s="16">
        <f>COUNTIFS(stable[q_group],stable[[#This Row],[q_group]])</f>
        <v>1</v>
      </c>
      <c r="S19" s="9" t="b">
        <v>1</v>
      </c>
      <c r="T19" s="9" t="b">
        <v>0</v>
      </c>
      <c r="U19" s="9" t="b">
        <v>0</v>
      </c>
      <c r="V19" s="9" t="b">
        <v>0</v>
      </c>
    </row>
    <row r="20" spans="1:22" x14ac:dyDescent="0.25">
      <c r="A20" s="15" t="str">
        <f>_xlfn.CONCAT(stable[[#This Row],[group_0_no]:[order_no]])</f>
        <v>1106</v>
      </c>
      <c r="B20" s="15" t="s">
        <v>74</v>
      </c>
      <c r="C20" s="15" t="s">
        <v>1093</v>
      </c>
      <c r="D20" s="15" t="s">
        <v>1093</v>
      </c>
      <c r="E20" s="15" t="s">
        <v>1094</v>
      </c>
      <c r="F20" s="15" t="s">
        <v>1105</v>
      </c>
      <c r="G20" s="9" t="s">
        <v>1106</v>
      </c>
      <c r="H20" s="9" t="b">
        <v>1</v>
      </c>
      <c r="I20" s="9" t="b">
        <v>0</v>
      </c>
      <c r="J20" s="9" t="b">
        <v>0</v>
      </c>
      <c r="K20" s="9" t="b">
        <v>1</v>
      </c>
      <c r="L20" s="9" t="b">
        <v>1</v>
      </c>
      <c r="M20" s="9" t="b">
        <v>0</v>
      </c>
      <c r="N20" s="9" t="b">
        <v>0</v>
      </c>
      <c r="O20" s="9" t="b">
        <v>0</v>
      </c>
      <c r="P20" s="9" t="b">
        <v>0</v>
      </c>
      <c r="Q20" s="9" t="b">
        <v>0</v>
      </c>
      <c r="R20" s="16">
        <f>COUNTIFS(stable[q_group],stable[[#This Row],[q_group]])</f>
        <v>1</v>
      </c>
      <c r="S20" s="9" t="b">
        <v>1</v>
      </c>
      <c r="T20" s="9" t="b">
        <v>0</v>
      </c>
      <c r="U20" s="9" t="b">
        <v>0</v>
      </c>
      <c r="V20" s="9" t="b">
        <v>0</v>
      </c>
    </row>
    <row r="21" spans="1:22" x14ac:dyDescent="0.25">
      <c r="A21" s="15" t="str">
        <f>_xlfn.CONCAT(stable[[#This Row],[group_0_no]:[order_no]])</f>
        <v>1110</v>
      </c>
      <c r="B21" s="15" t="s">
        <v>76</v>
      </c>
      <c r="C21" s="15" t="s">
        <v>1093</v>
      </c>
      <c r="D21" s="15" t="s">
        <v>1093</v>
      </c>
      <c r="E21" s="15" t="s">
        <v>1093</v>
      </c>
      <c r="F21" s="15" t="s">
        <v>1094</v>
      </c>
      <c r="G21" s="9" t="s">
        <v>1107</v>
      </c>
      <c r="H21" s="9" t="b">
        <v>1</v>
      </c>
      <c r="I21" s="9" t="b">
        <v>0</v>
      </c>
      <c r="J21" s="9" t="b">
        <v>0</v>
      </c>
      <c r="K21" s="9" t="b">
        <v>1</v>
      </c>
      <c r="L21" s="9" t="b">
        <v>1</v>
      </c>
      <c r="M21" s="9" t="b">
        <v>0</v>
      </c>
      <c r="N21" s="9" t="b">
        <v>0</v>
      </c>
      <c r="O21" s="9" t="b">
        <v>0</v>
      </c>
      <c r="P21" s="9" t="b">
        <v>0</v>
      </c>
      <c r="Q21" s="9" t="b">
        <v>0</v>
      </c>
      <c r="R21" s="16">
        <f>COUNTIFS(stable[q_group],stable[[#This Row],[q_group]])</f>
        <v>1</v>
      </c>
      <c r="S21" s="9" t="b">
        <v>1</v>
      </c>
      <c r="T21" s="9" t="b">
        <v>0</v>
      </c>
      <c r="U21" s="9" t="b">
        <v>0</v>
      </c>
      <c r="V21" s="9" t="b">
        <v>0</v>
      </c>
    </row>
    <row r="22" spans="1:22" x14ac:dyDescent="0.25">
      <c r="A22" s="15" t="str">
        <f>_xlfn.CONCAT(stable[[#This Row],[group_0_no]:[order_no]])</f>
        <v>1111</v>
      </c>
      <c r="B22" s="15" t="s">
        <v>78</v>
      </c>
      <c r="C22" s="15" t="s">
        <v>1093</v>
      </c>
      <c r="D22" s="15" t="s">
        <v>1093</v>
      </c>
      <c r="E22" s="15" t="s">
        <v>1093</v>
      </c>
      <c r="F22" s="15" t="s">
        <v>1093</v>
      </c>
      <c r="G22" s="9" t="s">
        <v>1108</v>
      </c>
      <c r="H22" s="9" t="b">
        <v>1</v>
      </c>
      <c r="I22" s="9" t="b">
        <v>0</v>
      </c>
      <c r="J22" s="9" t="b">
        <v>0</v>
      </c>
      <c r="K22" s="9" t="b">
        <v>1</v>
      </c>
      <c r="L22" s="9" t="b">
        <v>1</v>
      </c>
      <c r="M22" s="9" t="b">
        <v>0</v>
      </c>
      <c r="N22" s="9" t="b">
        <v>0</v>
      </c>
      <c r="O22" s="9" t="b">
        <v>0</v>
      </c>
      <c r="P22" s="9" t="b">
        <v>0</v>
      </c>
      <c r="Q22" s="9" t="b">
        <v>0</v>
      </c>
      <c r="R22" s="16">
        <f>COUNTIFS(stable[q_group],stable[[#This Row],[q_group]])</f>
        <v>1</v>
      </c>
      <c r="S22" s="9" t="b">
        <v>1</v>
      </c>
      <c r="T22" s="9" t="b">
        <v>0</v>
      </c>
      <c r="U22" s="9" t="b">
        <v>0</v>
      </c>
      <c r="V22" s="9" t="b">
        <v>0</v>
      </c>
    </row>
    <row r="23" spans="1:22" x14ac:dyDescent="0.25">
      <c r="A23" s="15" t="str">
        <f>_xlfn.CONCAT(stable[[#This Row],[group_0_no]:[order_no]])</f>
        <v>1112</v>
      </c>
      <c r="B23" s="15" t="s">
        <v>80</v>
      </c>
      <c r="C23" s="15" t="s">
        <v>1093</v>
      </c>
      <c r="D23" s="15" t="s">
        <v>1093</v>
      </c>
      <c r="E23" s="15" t="s">
        <v>1093</v>
      </c>
      <c r="F23" s="15" t="s">
        <v>1097</v>
      </c>
      <c r="G23" s="9" t="s">
        <v>1109</v>
      </c>
      <c r="H23" s="9" t="b">
        <v>1</v>
      </c>
      <c r="I23" s="9" t="b">
        <v>0</v>
      </c>
      <c r="J23" s="9" t="b">
        <v>0</v>
      </c>
      <c r="K23" s="9" t="b">
        <v>1</v>
      </c>
      <c r="L23" s="9" t="b">
        <v>1</v>
      </c>
      <c r="M23" s="9" t="b">
        <v>0</v>
      </c>
      <c r="N23" s="9" t="b">
        <v>0</v>
      </c>
      <c r="O23" s="9" t="b">
        <v>0</v>
      </c>
      <c r="P23" s="9" t="b">
        <v>0</v>
      </c>
      <c r="Q23" s="9" t="b">
        <v>0</v>
      </c>
      <c r="R23" s="16">
        <f>COUNTIFS(stable[q_group],stable[[#This Row],[q_group]])</f>
        <v>1</v>
      </c>
      <c r="S23" s="9" t="b">
        <v>1</v>
      </c>
      <c r="T23" s="9" t="b">
        <v>0</v>
      </c>
      <c r="U23" s="9" t="b">
        <v>0</v>
      </c>
      <c r="V23" s="9" t="b">
        <v>0</v>
      </c>
    </row>
    <row r="24" spans="1:22" x14ac:dyDescent="0.25">
      <c r="A24" s="15" t="str">
        <f>_xlfn.CONCAT(stable[[#This Row],[group_0_no]:[order_no]])</f>
        <v>1200</v>
      </c>
      <c r="B24" s="15" t="s">
        <v>82</v>
      </c>
      <c r="C24" s="15" t="s">
        <v>1093</v>
      </c>
      <c r="D24" s="15" t="s">
        <v>1097</v>
      </c>
      <c r="E24" s="15" t="s">
        <v>1094</v>
      </c>
      <c r="F24" s="15" t="s">
        <v>1094</v>
      </c>
      <c r="G24" s="9" t="s">
        <v>1110</v>
      </c>
      <c r="H24" s="9" t="b">
        <v>1</v>
      </c>
      <c r="I24" s="9" t="b">
        <v>0</v>
      </c>
      <c r="J24" s="9" t="b">
        <v>0</v>
      </c>
      <c r="K24" s="9" t="b">
        <v>1</v>
      </c>
      <c r="L24" s="9" t="b">
        <v>1</v>
      </c>
      <c r="M24" s="9" t="b">
        <v>0</v>
      </c>
      <c r="N24" s="9" t="b">
        <v>0</v>
      </c>
      <c r="O24" s="9" t="b">
        <v>0</v>
      </c>
      <c r="P24" s="9" t="b">
        <v>0</v>
      </c>
      <c r="Q24" s="9" t="b">
        <v>0</v>
      </c>
      <c r="R24" s="16">
        <f>COUNTIFS(stable[q_group],stable[[#This Row],[q_group]])</f>
        <v>1</v>
      </c>
      <c r="S24" s="9" t="b">
        <v>1</v>
      </c>
      <c r="T24" s="9" t="b">
        <v>0</v>
      </c>
      <c r="U24" s="9" t="b">
        <v>0</v>
      </c>
      <c r="V24" s="9" t="b">
        <v>0</v>
      </c>
    </row>
    <row r="25" spans="1:22" x14ac:dyDescent="0.25">
      <c r="A25" s="15" t="str">
        <f>_xlfn.CONCAT(stable[[#This Row],[group_0_no]:[order_no]])</f>
        <v>1201</v>
      </c>
      <c r="B25" s="15" t="s">
        <v>84</v>
      </c>
      <c r="C25" s="15" t="s">
        <v>1093</v>
      </c>
      <c r="D25" s="15" t="s">
        <v>1097</v>
      </c>
      <c r="E25" s="15" t="s">
        <v>1094</v>
      </c>
      <c r="F25" s="15" t="s">
        <v>1093</v>
      </c>
      <c r="G25" s="9" t="s">
        <v>1111</v>
      </c>
      <c r="H25" s="9" t="b">
        <v>1</v>
      </c>
      <c r="I25" s="9" t="b">
        <v>0</v>
      </c>
      <c r="J25" s="9" t="b">
        <v>0</v>
      </c>
      <c r="K25" s="9" t="b">
        <v>1</v>
      </c>
      <c r="L25" s="9" t="b">
        <v>1</v>
      </c>
      <c r="M25" s="9" t="b">
        <v>0</v>
      </c>
      <c r="N25" s="9" t="b">
        <v>0</v>
      </c>
      <c r="O25" s="9" t="b">
        <v>0</v>
      </c>
      <c r="P25" s="9" t="b">
        <v>0</v>
      </c>
      <c r="Q25" s="9" t="b">
        <v>0</v>
      </c>
      <c r="R25" s="16">
        <f>COUNTIFS(stable[q_group],stable[[#This Row],[q_group]])</f>
        <v>1</v>
      </c>
      <c r="S25" s="9" t="b">
        <v>1</v>
      </c>
      <c r="T25" s="9" t="b">
        <v>0</v>
      </c>
      <c r="U25" s="9" t="b">
        <v>0</v>
      </c>
      <c r="V25" s="9" t="b">
        <v>0</v>
      </c>
    </row>
    <row r="26" spans="1:22" x14ac:dyDescent="0.25">
      <c r="A26" s="15" t="str">
        <f>_xlfn.CONCAT(stable[[#This Row],[group_0_no]:[order_no]])</f>
        <v>1202</v>
      </c>
      <c r="B26" s="15" t="s">
        <v>86</v>
      </c>
      <c r="C26" s="15" t="s">
        <v>1093</v>
      </c>
      <c r="D26" s="15" t="s">
        <v>1097</v>
      </c>
      <c r="E26" s="15" t="s">
        <v>1094</v>
      </c>
      <c r="F26" s="15" t="s">
        <v>1097</v>
      </c>
      <c r="G26" s="9" t="s">
        <v>1112</v>
      </c>
      <c r="H26" s="9" t="b">
        <v>1</v>
      </c>
      <c r="I26" s="9" t="b">
        <v>0</v>
      </c>
      <c r="J26" s="9" t="b">
        <v>0</v>
      </c>
      <c r="K26" s="9" t="b">
        <v>1</v>
      </c>
      <c r="L26" s="9" t="b">
        <v>1</v>
      </c>
      <c r="M26" s="9" t="b">
        <v>0</v>
      </c>
      <c r="N26" s="9" t="b">
        <v>0</v>
      </c>
      <c r="O26" s="9" t="b">
        <v>0</v>
      </c>
      <c r="P26" s="9" t="b">
        <v>0</v>
      </c>
      <c r="Q26" s="9" t="b">
        <v>0</v>
      </c>
      <c r="R26" s="16">
        <f>COUNTIFS(stable[q_group],stable[[#This Row],[q_group]])</f>
        <v>1</v>
      </c>
      <c r="S26" s="9" t="b">
        <v>1</v>
      </c>
      <c r="T26" s="9" t="b">
        <v>0</v>
      </c>
      <c r="U26" s="9" t="b">
        <v>0</v>
      </c>
      <c r="V26" s="9" t="b">
        <v>0</v>
      </c>
    </row>
    <row r="27" spans="1:22" x14ac:dyDescent="0.25">
      <c r="A27" s="15" t="str">
        <f>_xlfn.CONCAT(stable[[#This Row],[group_0_no]:[order_no]])</f>
        <v>1203</v>
      </c>
      <c r="B27" s="15" t="s">
        <v>88</v>
      </c>
      <c r="C27" s="15" t="s">
        <v>1093</v>
      </c>
      <c r="D27" s="15" t="s">
        <v>1097</v>
      </c>
      <c r="E27" s="15" t="s">
        <v>1094</v>
      </c>
      <c r="F27" s="15" t="s">
        <v>1099</v>
      </c>
      <c r="G27" s="9" t="s">
        <v>1113</v>
      </c>
      <c r="H27" s="9" t="b">
        <v>1</v>
      </c>
      <c r="I27" s="9" t="b">
        <v>0</v>
      </c>
      <c r="J27" s="9" t="b">
        <v>0</v>
      </c>
      <c r="K27" s="9" t="b">
        <v>1</v>
      </c>
      <c r="L27" s="9" t="b">
        <v>1</v>
      </c>
      <c r="M27" s="9" t="b">
        <v>0</v>
      </c>
      <c r="N27" s="9" t="b">
        <v>0</v>
      </c>
      <c r="O27" s="9" t="b">
        <v>0</v>
      </c>
      <c r="P27" s="9" t="b">
        <v>0</v>
      </c>
      <c r="Q27" s="9" t="b">
        <v>0</v>
      </c>
      <c r="R27" s="16">
        <f>COUNTIFS(stable[q_group],stable[[#This Row],[q_group]])</f>
        <v>1</v>
      </c>
      <c r="S27" s="9" t="b">
        <v>1</v>
      </c>
      <c r="T27" s="9" t="b">
        <v>0</v>
      </c>
      <c r="U27" s="9" t="b">
        <v>0</v>
      </c>
      <c r="V27" s="9" t="b">
        <v>0</v>
      </c>
    </row>
    <row r="28" spans="1:22" x14ac:dyDescent="0.25">
      <c r="A28" s="15" t="str">
        <f>_xlfn.CONCAT(stable[[#This Row],[group_0_no]:[order_no]])</f>
        <v>1210</v>
      </c>
      <c r="B28" s="15" t="s">
        <v>90</v>
      </c>
      <c r="C28" s="15" t="s">
        <v>1093</v>
      </c>
      <c r="D28" s="15" t="s">
        <v>1097</v>
      </c>
      <c r="E28" s="15" t="s">
        <v>1093</v>
      </c>
      <c r="F28" s="15" t="s">
        <v>1094</v>
      </c>
      <c r="G28" s="9" t="s">
        <v>1114</v>
      </c>
      <c r="H28" s="9" t="b">
        <v>1</v>
      </c>
      <c r="I28" s="9" t="b">
        <v>0</v>
      </c>
      <c r="J28" s="9" t="b">
        <v>0</v>
      </c>
      <c r="K28" s="9" t="b">
        <v>1</v>
      </c>
      <c r="L28" s="9" t="b">
        <v>1</v>
      </c>
      <c r="M28" s="9" t="b">
        <v>0</v>
      </c>
      <c r="N28" s="9" t="b">
        <v>0</v>
      </c>
      <c r="O28" s="9" t="b">
        <v>0</v>
      </c>
      <c r="P28" s="9" t="b">
        <v>0</v>
      </c>
      <c r="Q28" s="9" t="b">
        <v>0</v>
      </c>
      <c r="R28" s="16">
        <f>COUNTIFS(stable[q_group],stable[[#This Row],[q_group]])</f>
        <v>1</v>
      </c>
      <c r="S28" s="9" t="b">
        <v>1</v>
      </c>
      <c r="T28" s="9" t="b">
        <v>0</v>
      </c>
      <c r="U28" s="9" t="b">
        <v>0</v>
      </c>
      <c r="V28" s="9" t="b">
        <v>0</v>
      </c>
    </row>
    <row r="29" spans="1:22" x14ac:dyDescent="0.25">
      <c r="A29" s="15" t="str">
        <f>_xlfn.CONCAT(stable[[#This Row],[group_0_no]:[order_no]])</f>
        <v>1211</v>
      </c>
      <c r="B29" s="15" t="s">
        <v>92</v>
      </c>
      <c r="C29" s="15" t="s">
        <v>1093</v>
      </c>
      <c r="D29" s="15" t="s">
        <v>1097</v>
      </c>
      <c r="E29" s="15" t="s">
        <v>1093</v>
      </c>
      <c r="F29" s="15" t="s">
        <v>1093</v>
      </c>
      <c r="G29" s="9" t="s">
        <v>1115</v>
      </c>
      <c r="H29" s="9" t="b">
        <v>1</v>
      </c>
      <c r="I29" s="9" t="b">
        <v>0</v>
      </c>
      <c r="J29" s="9" t="b">
        <v>0</v>
      </c>
      <c r="K29" s="9" t="b">
        <v>1</v>
      </c>
      <c r="L29" s="9" t="b">
        <v>1</v>
      </c>
      <c r="M29" s="9" t="b">
        <v>0</v>
      </c>
      <c r="N29" s="9" t="b">
        <v>0</v>
      </c>
      <c r="O29" s="9" t="b">
        <v>0</v>
      </c>
      <c r="P29" s="9" t="b">
        <v>0</v>
      </c>
      <c r="Q29" s="9" t="b">
        <v>0</v>
      </c>
      <c r="R29" s="16">
        <f>COUNTIFS(stable[q_group],stable[[#This Row],[q_group]])</f>
        <v>1</v>
      </c>
      <c r="S29" s="9" t="b">
        <v>1</v>
      </c>
      <c r="T29" s="9" t="b">
        <v>0</v>
      </c>
      <c r="U29" s="9" t="b">
        <v>0</v>
      </c>
      <c r="V29" s="9" t="b">
        <v>0</v>
      </c>
    </row>
    <row r="30" spans="1:22" x14ac:dyDescent="0.25">
      <c r="A30" s="15" t="str">
        <f>_xlfn.CONCAT(stable[[#This Row],[group_0_no]:[order_no]])</f>
        <v>1212</v>
      </c>
      <c r="B30" s="15" t="s">
        <v>94</v>
      </c>
      <c r="C30" s="15" t="s">
        <v>1093</v>
      </c>
      <c r="D30" s="15" t="s">
        <v>1097</v>
      </c>
      <c r="E30" s="15" t="s">
        <v>1093</v>
      </c>
      <c r="F30" s="15" t="s">
        <v>1097</v>
      </c>
      <c r="G30" s="17" t="s">
        <v>1116</v>
      </c>
      <c r="H30" s="9" t="b">
        <v>1</v>
      </c>
      <c r="I30" s="9" t="b">
        <v>0</v>
      </c>
      <c r="J30" s="9" t="b">
        <v>0</v>
      </c>
      <c r="K30" s="9" t="b">
        <v>1</v>
      </c>
      <c r="L30" s="9" t="b">
        <v>1</v>
      </c>
      <c r="M30" s="9" t="b">
        <v>0</v>
      </c>
      <c r="N30" s="9" t="b">
        <v>1</v>
      </c>
      <c r="O30" s="9" t="b">
        <v>0</v>
      </c>
      <c r="P30" s="9" t="b">
        <v>0</v>
      </c>
      <c r="Q30" s="9" t="b">
        <v>0</v>
      </c>
      <c r="R30" s="16">
        <f>COUNTIFS(stable[q_group],stable[[#This Row],[q_group]])</f>
        <v>1</v>
      </c>
      <c r="S30" s="9" t="b">
        <v>1</v>
      </c>
      <c r="T30" s="9" t="b">
        <v>0</v>
      </c>
      <c r="U30" s="9" t="b">
        <v>0</v>
      </c>
      <c r="V30" s="9" t="b">
        <v>0</v>
      </c>
    </row>
    <row r="31" spans="1:22" x14ac:dyDescent="0.25">
      <c r="A31" s="15" t="str">
        <f>_xlfn.CONCAT(stable[[#This Row],[group_0_no]:[order_no]])</f>
        <v>1213</v>
      </c>
      <c r="B31" s="15" t="s">
        <v>96</v>
      </c>
      <c r="C31" s="15" t="s">
        <v>1093</v>
      </c>
      <c r="D31" s="15" t="s">
        <v>1097</v>
      </c>
      <c r="E31" s="15" t="s">
        <v>1093</v>
      </c>
      <c r="F31" s="15" t="s">
        <v>1099</v>
      </c>
      <c r="G31" s="17" t="s">
        <v>1117</v>
      </c>
      <c r="H31" s="9" t="b">
        <v>1</v>
      </c>
      <c r="I31" s="9" t="b">
        <v>0</v>
      </c>
      <c r="J31" s="9" t="b">
        <v>0</v>
      </c>
      <c r="K31" s="9" t="b">
        <v>1</v>
      </c>
      <c r="L31" s="9" t="b">
        <v>1</v>
      </c>
      <c r="M31" s="9" t="b">
        <v>0</v>
      </c>
      <c r="N31" s="9" t="b">
        <v>1</v>
      </c>
      <c r="O31" s="9" t="b">
        <v>0</v>
      </c>
      <c r="P31" s="9" t="b">
        <v>0</v>
      </c>
      <c r="Q31" s="9" t="b">
        <v>0</v>
      </c>
      <c r="R31" s="16">
        <f>COUNTIFS(stable[q_group],stable[[#This Row],[q_group]])</f>
        <v>1</v>
      </c>
      <c r="S31" s="9" t="b">
        <v>1</v>
      </c>
      <c r="T31" s="9" t="b">
        <v>0</v>
      </c>
      <c r="U31" s="9" t="b">
        <v>0</v>
      </c>
      <c r="V31" s="9" t="b">
        <v>0</v>
      </c>
    </row>
    <row r="32" spans="1:22" x14ac:dyDescent="0.25">
      <c r="A32" s="15" t="str">
        <f>_xlfn.CONCAT(stable[[#This Row],[group_0_no]:[order_no]])</f>
        <v>1214</v>
      </c>
      <c r="B32" s="15" t="s">
        <v>1027</v>
      </c>
      <c r="C32" s="15" t="s">
        <v>1093</v>
      </c>
      <c r="D32" s="15" t="s">
        <v>1097</v>
      </c>
      <c r="E32" s="15" t="s">
        <v>1093</v>
      </c>
      <c r="F32" s="15" t="s">
        <v>1101</v>
      </c>
      <c r="G32" s="17" t="s">
        <v>1118</v>
      </c>
      <c r="H32" s="9" t="b">
        <v>1</v>
      </c>
      <c r="I32" s="9" t="b">
        <v>0</v>
      </c>
      <c r="J32" s="9" t="b">
        <v>0</v>
      </c>
      <c r="K32" s="9" t="b">
        <v>1</v>
      </c>
      <c r="L32" s="9" t="b">
        <v>1</v>
      </c>
      <c r="M32" s="9" t="b">
        <v>0</v>
      </c>
      <c r="N32" s="9" t="b">
        <v>1</v>
      </c>
      <c r="O32" s="9" t="b">
        <v>0</v>
      </c>
      <c r="P32" s="9" t="b">
        <v>0</v>
      </c>
      <c r="Q32" s="9" t="b">
        <v>0</v>
      </c>
      <c r="R32" s="16">
        <f>COUNTIFS(stable[q_group],stable[[#This Row],[q_group]])</f>
        <v>1</v>
      </c>
      <c r="S32" s="9" t="b">
        <v>1</v>
      </c>
      <c r="T32" s="9" t="b">
        <v>0</v>
      </c>
      <c r="U32" s="9" t="b">
        <v>0</v>
      </c>
      <c r="V32" s="9" t="b">
        <v>0</v>
      </c>
    </row>
    <row r="33" spans="1:22" x14ac:dyDescent="0.25">
      <c r="A33" s="15" t="str">
        <f>_xlfn.CONCAT(stable[[#This Row],[group_0_no]:[order_no]])</f>
        <v>1215</v>
      </c>
      <c r="B33" s="15" t="s">
        <v>1119</v>
      </c>
      <c r="C33" s="15" t="s">
        <v>1093</v>
      </c>
      <c r="D33" s="15" t="s">
        <v>1097</v>
      </c>
      <c r="E33" s="15" t="s">
        <v>1093</v>
      </c>
      <c r="F33" s="15" t="s">
        <v>1103</v>
      </c>
      <c r="G33" s="17" t="s">
        <v>1120</v>
      </c>
      <c r="H33" s="9" t="b">
        <v>1</v>
      </c>
      <c r="I33" s="9" t="b">
        <v>0</v>
      </c>
      <c r="J33" s="9" t="b">
        <v>0</v>
      </c>
      <c r="K33" s="9" t="b">
        <v>1</v>
      </c>
      <c r="L33" s="9" t="b">
        <v>1</v>
      </c>
      <c r="M33" s="9" t="b">
        <v>0</v>
      </c>
      <c r="N33" s="9" t="b">
        <v>1</v>
      </c>
      <c r="O33" s="9" t="b">
        <v>0</v>
      </c>
      <c r="P33" s="9" t="b">
        <v>0</v>
      </c>
      <c r="Q33" s="9" t="b">
        <v>0</v>
      </c>
      <c r="R33" s="16">
        <f>COUNTIFS(stable[q_group],stable[[#This Row],[q_group]])</f>
        <v>1</v>
      </c>
      <c r="S33" s="9" t="b">
        <v>1</v>
      </c>
      <c r="T33" s="9" t="b">
        <v>0</v>
      </c>
      <c r="U33" s="9" t="b">
        <v>0</v>
      </c>
      <c r="V33" s="9" t="b">
        <v>0</v>
      </c>
    </row>
    <row r="34" spans="1:22" x14ac:dyDescent="0.25">
      <c r="A34" s="15" t="str">
        <f>_xlfn.CONCAT(stable[[#This Row],[group_0_no]:[order_no]])</f>
        <v>1216</v>
      </c>
      <c r="B34" s="15" t="s">
        <v>98</v>
      </c>
      <c r="C34" s="15" t="s">
        <v>1093</v>
      </c>
      <c r="D34" s="15" t="s">
        <v>1097</v>
      </c>
      <c r="E34" s="15" t="s">
        <v>1093</v>
      </c>
      <c r="F34" s="15" t="s">
        <v>1105</v>
      </c>
      <c r="G34" s="9" t="s">
        <v>1121</v>
      </c>
      <c r="H34" s="9" t="b">
        <v>1</v>
      </c>
      <c r="I34" s="9" t="b">
        <v>0</v>
      </c>
      <c r="J34" s="9" t="b">
        <v>0</v>
      </c>
      <c r="K34" s="9" t="b">
        <v>1</v>
      </c>
      <c r="L34" s="9" t="b">
        <v>1</v>
      </c>
      <c r="M34" s="9" t="b">
        <v>0</v>
      </c>
      <c r="N34" s="9" t="b">
        <v>0</v>
      </c>
      <c r="O34" s="9" t="b">
        <v>0</v>
      </c>
      <c r="P34" s="9" t="b">
        <v>0</v>
      </c>
      <c r="Q34" s="9" t="b">
        <v>0</v>
      </c>
      <c r="R34" s="16">
        <f>COUNTIFS(stable[q_group],stable[[#This Row],[q_group]])</f>
        <v>1</v>
      </c>
      <c r="S34" s="9" t="b">
        <v>1</v>
      </c>
      <c r="T34" s="9" t="b">
        <v>0</v>
      </c>
      <c r="U34" s="9" t="b">
        <v>0</v>
      </c>
      <c r="V34" s="9" t="b">
        <v>0</v>
      </c>
    </row>
    <row r="35" spans="1:22" x14ac:dyDescent="0.25">
      <c r="A35" s="15" t="str">
        <f>_xlfn.CONCAT(stable[[#This Row],[group_0_no]:[order_no]])</f>
        <v>2000</v>
      </c>
      <c r="B35" s="15" t="s">
        <v>100</v>
      </c>
      <c r="C35" s="15" t="s">
        <v>1097</v>
      </c>
      <c r="D35" s="15" t="s">
        <v>1094</v>
      </c>
      <c r="E35" s="15" t="s">
        <v>1094</v>
      </c>
      <c r="F35" s="15" t="s">
        <v>1094</v>
      </c>
      <c r="G35" s="9" t="s">
        <v>1122</v>
      </c>
      <c r="H35" s="9" t="b">
        <v>1</v>
      </c>
      <c r="I35" s="9" t="b">
        <v>0</v>
      </c>
      <c r="J35" s="9" t="b">
        <v>0</v>
      </c>
      <c r="K35" s="9" t="b">
        <v>1</v>
      </c>
      <c r="L35" s="9" t="b">
        <v>0</v>
      </c>
      <c r="M35" s="9" t="b">
        <v>0</v>
      </c>
      <c r="N35" s="9" t="b">
        <v>0</v>
      </c>
      <c r="O35" s="9" t="b">
        <v>0</v>
      </c>
      <c r="P35" s="9" t="b">
        <v>1</v>
      </c>
      <c r="Q35" s="9" t="b">
        <v>0</v>
      </c>
      <c r="R35" s="16">
        <f>COUNTIFS(stable[q_group],stable[[#This Row],[q_group]])</f>
        <v>1</v>
      </c>
      <c r="S35" s="9" t="b">
        <v>1</v>
      </c>
      <c r="T35" s="9" t="b">
        <v>0</v>
      </c>
      <c r="U35" s="9" t="b">
        <v>0</v>
      </c>
      <c r="V35" s="9" t="b">
        <v>0</v>
      </c>
    </row>
    <row r="36" spans="1:22" x14ac:dyDescent="0.25">
      <c r="A36" s="15" t="str">
        <f>_xlfn.CONCAT(stable[[#This Row],[group_0_no]:[order_no]])</f>
        <v>2001</v>
      </c>
      <c r="B36" s="15" t="s">
        <v>105</v>
      </c>
      <c r="C36" s="15" t="s">
        <v>1097</v>
      </c>
      <c r="D36" s="15" t="s">
        <v>1094</v>
      </c>
      <c r="E36" s="15" t="s">
        <v>1094</v>
      </c>
      <c r="F36" s="15" t="s">
        <v>1093</v>
      </c>
      <c r="G36" s="9" t="s">
        <v>1123</v>
      </c>
      <c r="H36" s="9" t="b">
        <v>1</v>
      </c>
      <c r="I36" s="9" t="b">
        <v>0</v>
      </c>
      <c r="J36" s="9" t="b">
        <v>0</v>
      </c>
      <c r="K36" s="9" t="b">
        <v>1</v>
      </c>
      <c r="L36" s="9" t="b">
        <v>0</v>
      </c>
      <c r="M36" s="9" t="b">
        <v>0</v>
      </c>
      <c r="N36" s="9" t="b">
        <v>0</v>
      </c>
      <c r="O36" s="9" t="b">
        <v>1</v>
      </c>
      <c r="P36" s="9" t="b">
        <v>0</v>
      </c>
      <c r="Q36" s="9" t="b">
        <v>0</v>
      </c>
      <c r="R36" s="16">
        <f>COUNTIFS(stable[q_group],stable[[#This Row],[q_group]])</f>
        <v>1</v>
      </c>
      <c r="S36" s="9" t="b">
        <v>1</v>
      </c>
      <c r="T36" s="9" t="b">
        <v>0</v>
      </c>
      <c r="U36" s="9" t="b">
        <v>0</v>
      </c>
      <c r="V36" s="9" t="b">
        <v>0</v>
      </c>
    </row>
    <row r="37" spans="1:22" x14ac:dyDescent="0.25">
      <c r="A37" s="15" t="str">
        <f>_xlfn.CONCAT(stable[[#This Row],[group_0_no]:[order_no]])</f>
        <v>2002</v>
      </c>
      <c r="B37" s="15" t="s">
        <v>109</v>
      </c>
      <c r="C37" s="15" t="s">
        <v>1097</v>
      </c>
      <c r="D37" s="15" t="s">
        <v>1094</v>
      </c>
      <c r="E37" s="15" t="s">
        <v>1094</v>
      </c>
      <c r="F37" s="15" t="s">
        <v>1097</v>
      </c>
      <c r="G37" s="9" t="s">
        <v>1124</v>
      </c>
      <c r="H37" s="9" t="b">
        <v>1</v>
      </c>
      <c r="I37" s="9" t="b">
        <v>0</v>
      </c>
      <c r="J37" s="9" t="b">
        <v>0</v>
      </c>
      <c r="K37" s="9" t="b">
        <v>1</v>
      </c>
      <c r="L37" s="9" t="b">
        <v>0</v>
      </c>
      <c r="M37" s="9" t="b">
        <v>0</v>
      </c>
      <c r="N37" s="9" t="b">
        <v>0</v>
      </c>
      <c r="O37" s="9" t="b">
        <v>1</v>
      </c>
      <c r="P37" s="9" t="b">
        <v>0</v>
      </c>
      <c r="Q37" s="9" t="b">
        <v>0</v>
      </c>
      <c r="R37" s="16">
        <f>COUNTIFS(stable[q_group],stable[[#This Row],[q_group]])</f>
        <v>1</v>
      </c>
      <c r="S37" s="9" t="b">
        <v>1</v>
      </c>
      <c r="T37" s="9" t="b">
        <v>0</v>
      </c>
      <c r="U37" s="9" t="b">
        <v>0</v>
      </c>
      <c r="V37" s="9" t="b">
        <v>0</v>
      </c>
    </row>
    <row r="38" spans="1:22" x14ac:dyDescent="0.25">
      <c r="A38" s="15" t="str">
        <f>_xlfn.CONCAT(stable[[#This Row],[group_0_no]:[order_no]])</f>
        <v>2003</v>
      </c>
      <c r="B38" s="18" t="s">
        <v>948</v>
      </c>
      <c r="C38" s="15" t="s">
        <v>1097</v>
      </c>
      <c r="D38" s="15" t="s">
        <v>1094</v>
      </c>
      <c r="E38" s="15" t="s">
        <v>1094</v>
      </c>
      <c r="F38" s="15" t="s">
        <v>1099</v>
      </c>
      <c r="G38" s="9" t="s">
        <v>1125</v>
      </c>
      <c r="H38" s="9" t="b">
        <v>1</v>
      </c>
      <c r="I38" s="9" t="b">
        <v>0</v>
      </c>
      <c r="J38" s="9" t="b">
        <v>0</v>
      </c>
      <c r="K38" s="9" t="b">
        <v>1</v>
      </c>
      <c r="L38" s="9" t="b">
        <v>0</v>
      </c>
      <c r="M38" s="9" t="b">
        <v>0</v>
      </c>
      <c r="N38" s="9" t="b">
        <v>1</v>
      </c>
      <c r="O38" s="9" t="b">
        <v>0</v>
      </c>
      <c r="P38" s="9" t="b">
        <v>0</v>
      </c>
      <c r="Q38" s="9" t="b">
        <v>0</v>
      </c>
      <c r="R38" s="16">
        <f>COUNTIFS(stable[q_group],stable[[#This Row],[q_group]])</f>
        <v>1</v>
      </c>
      <c r="S38" s="9" t="b">
        <v>1</v>
      </c>
      <c r="T38" s="9" t="b">
        <v>0</v>
      </c>
      <c r="U38" s="9" t="b">
        <v>0</v>
      </c>
      <c r="V38" s="9" t="b">
        <v>0</v>
      </c>
    </row>
    <row r="39" spans="1:22" x14ac:dyDescent="0.25">
      <c r="A39" s="15" t="str">
        <f>_xlfn.CONCAT(stable[[#This Row],[group_0_no]:[order_no]])</f>
        <v>2004</v>
      </c>
      <c r="B39" s="15" t="s">
        <v>116</v>
      </c>
      <c r="C39" s="15" t="s">
        <v>1097</v>
      </c>
      <c r="D39" s="15" t="s">
        <v>1094</v>
      </c>
      <c r="E39" s="15" t="s">
        <v>1094</v>
      </c>
      <c r="F39" s="15" t="s">
        <v>1101</v>
      </c>
      <c r="G39" s="9" t="s">
        <v>1126</v>
      </c>
      <c r="H39" s="9" t="b">
        <v>1</v>
      </c>
      <c r="I39" s="9" t="b">
        <v>0</v>
      </c>
      <c r="J39" s="9" t="b">
        <v>0</v>
      </c>
      <c r="K39" s="9" t="b">
        <v>1</v>
      </c>
      <c r="L39" s="9" t="b">
        <v>0</v>
      </c>
      <c r="M39" s="9" t="b">
        <v>0</v>
      </c>
      <c r="N39" s="9" t="b">
        <v>1</v>
      </c>
      <c r="O39" s="9" t="b">
        <v>0</v>
      </c>
      <c r="P39" s="9" t="b">
        <v>0</v>
      </c>
      <c r="Q39" s="9" t="b">
        <v>0</v>
      </c>
      <c r="R39" s="16">
        <f>COUNTIFS(stable[q_group],stable[[#This Row],[q_group]])</f>
        <v>1</v>
      </c>
      <c r="S39" s="9" t="b">
        <v>1</v>
      </c>
      <c r="T39" s="9" t="b">
        <v>0</v>
      </c>
      <c r="U39" s="9" t="b">
        <v>0</v>
      </c>
      <c r="V39" s="9" t="b">
        <v>0</v>
      </c>
    </row>
    <row r="40" spans="1:22" x14ac:dyDescent="0.25">
      <c r="A40" s="15" t="str">
        <f>_xlfn.CONCAT(stable[[#This Row],[group_0_no]:[order_no]])</f>
        <v>2100</v>
      </c>
      <c r="B40" s="15" t="s">
        <v>118</v>
      </c>
      <c r="C40" s="15" t="s">
        <v>1097</v>
      </c>
      <c r="D40" s="15" t="s">
        <v>1093</v>
      </c>
      <c r="E40" s="15" t="s">
        <v>1094</v>
      </c>
      <c r="F40" s="15" t="s">
        <v>1094</v>
      </c>
      <c r="G40" s="9" t="s">
        <v>1127</v>
      </c>
      <c r="H40" s="9" t="b">
        <v>1</v>
      </c>
      <c r="I40" s="9" t="b">
        <v>0</v>
      </c>
      <c r="J40" s="9" t="b">
        <v>0</v>
      </c>
      <c r="K40" s="9" t="b">
        <v>1</v>
      </c>
      <c r="L40" s="9" t="b">
        <v>0</v>
      </c>
      <c r="M40" s="9" t="b">
        <v>0</v>
      </c>
      <c r="N40" s="9" t="b">
        <v>0</v>
      </c>
      <c r="O40" s="9" t="b">
        <v>0</v>
      </c>
      <c r="P40" s="9" t="b">
        <v>1</v>
      </c>
      <c r="Q40" s="9" t="b">
        <v>1</v>
      </c>
      <c r="R40" s="16">
        <f>COUNTIFS(stable[q_group],stable[[#This Row],[q_group]])</f>
        <v>1</v>
      </c>
      <c r="S40" s="9" t="b">
        <v>0</v>
      </c>
      <c r="T40" s="9" t="b">
        <v>0</v>
      </c>
      <c r="U40" s="9" t="b">
        <v>0</v>
      </c>
      <c r="V40" s="9" t="b">
        <v>1</v>
      </c>
    </row>
    <row r="41" spans="1:22" x14ac:dyDescent="0.25">
      <c r="A41" s="15" t="str">
        <f>_xlfn.CONCAT(stable[[#This Row],[group_0_no]:[order_no]])</f>
        <v>2101</v>
      </c>
      <c r="B41" s="15" t="s">
        <v>723</v>
      </c>
      <c r="C41" s="15" t="s">
        <v>1097</v>
      </c>
      <c r="D41" s="15" t="s">
        <v>1093</v>
      </c>
      <c r="E41" s="15" t="s">
        <v>1094</v>
      </c>
      <c r="F41" s="15" t="s">
        <v>1093</v>
      </c>
      <c r="G41" s="9" t="s">
        <v>1128</v>
      </c>
      <c r="H41" s="9" t="b">
        <v>1</v>
      </c>
      <c r="I41" s="9" t="b">
        <v>0</v>
      </c>
      <c r="J41" s="9" t="b">
        <v>0</v>
      </c>
      <c r="K41" s="9" t="b">
        <v>0</v>
      </c>
      <c r="L41" s="9" t="b">
        <v>0</v>
      </c>
      <c r="M41" s="9" t="b">
        <v>0</v>
      </c>
      <c r="N41" s="9" t="b">
        <v>0</v>
      </c>
      <c r="O41" s="9" t="b">
        <v>1</v>
      </c>
      <c r="P41" s="9" t="b">
        <v>0</v>
      </c>
      <c r="Q41" s="9" t="b">
        <v>1</v>
      </c>
      <c r="R41" s="16">
        <f>COUNTIFS(stable[q_group],stable[[#This Row],[q_group]])</f>
        <v>1</v>
      </c>
      <c r="S41" s="9" t="b">
        <v>0</v>
      </c>
      <c r="T41" s="9" t="b">
        <v>0</v>
      </c>
      <c r="U41" s="9" t="b">
        <v>0</v>
      </c>
      <c r="V41" s="9" t="b">
        <v>1</v>
      </c>
    </row>
    <row r="42" spans="1:22" x14ac:dyDescent="0.25">
      <c r="A42" s="15" t="str">
        <f>_xlfn.CONCAT(stable[[#This Row],[group_0_no]:[order_no]])</f>
        <v>2200</v>
      </c>
      <c r="B42" s="15" t="s">
        <v>133</v>
      </c>
      <c r="C42" s="15" t="s">
        <v>1097</v>
      </c>
      <c r="D42" s="15" t="s">
        <v>1097</v>
      </c>
      <c r="E42" s="15" t="s">
        <v>1094</v>
      </c>
      <c r="F42" s="15" t="s">
        <v>1094</v>
      </c>
      <c r="G42" s="9" t="s">
        <v>1129</v>
      </c>
      <c r="H42" s="9" t="b">
        <v>0</v>
      </c>
      <c r="I42" s="9" t="b">
        <v>1</v>
      </c>
      <c r="J42" s="9" t="b">
        <v>0</v>
      </c>
      <c r="K42" s="9" t="b">
        <v>1</v>
      </c>
      <c r="L42" s="9" t="b">
        <v>0</v>
      </c>
      <c r="M42" s="9" t="b">
        <v>0</v>
      </c>
      <c r="N42" s="9" t="b">
        <v>0</v>
      </c>
      <c r="O42" s="9" t="b">
        <v>1</v>
      </c>
      <c r="P42" s="9" t="b">
        <v>0</v>
      </c>
      <c r="Q42" s="9" t="b">
        <v>0</v>
      </c>
      <c r="R42" s="16">
        <f>COUNTIFS(stable[q_group],stable[[#This Row],[q_group]])</f>
        <v>1</v>
      </c>
      <c r="S42" s="9" t="b">
        <v>1</v>
      </c>
      <c r="T42" s="9" t="b">
        <v>0</v>
      </c>
      <c r="U42" s="9" t="b">
        <v>0</v>
      </c>
      <c r="V42" s="9" t="b">
        <v>0</v>
      </c>
    </row>
    <row r="43" spans="1:22" x14ac:dyDescent="0.25">
      <c r="A43" s="78" t="str">
        <f>_xlfn.CONCAT(stable[[#This Row],[group_0_no]:[order_no]])</f>
        <v>3000</v>
      </c>
      <c r="B43" s="78" t="s">
        <v>521</v>
      </c>
      <c r="C43" s="15" t="s">
        <v>1099</v>
      </c>
      <c r="D43" s="15" t="s">
        <v>1094</v>
      </c>
      <c r="E43" s="15" t="s">
        <v>1094</v>
      </c>
      <c r="F43" s="15" t="s">
        <v>1094</v>
      </c>
      <c r="G43" s="9" t="s">
        <v>1130</v>
      </c>
      <c r="H43" s="9" t="b">
        <v>0</v>
      </c>
      <c r="I43" s="9" t="b">
        <v>1</v>
      </c>
      <c r="J43" s="9" t="b">
        <v>0</v>
      </c>
      <c r="K43" s="9" t="b">
        <v>0</v>
      </c>
      <c r="L43" s="9" t="b">
        <v>0</v>
      </c>
      <c r="M43" s="9" t="b">
        <v>0</v>
      </c>
      <c r="N43" s="9" t="b">
        <v>0</v>
      </c>
      <c r="O43" s="9" t="b">
        <v>0</v>
      </c>
      <c r="P43" s="9" t="b">
        <v>1</v>
      </c>
      <c r="Q43" s="9" t="b">
        <v>0</v>
      </c>
      <c r="R43" s="16">
        <f>COUNTIFS(stable[q_group],stable[[#This Row],[q_group]])</f>
        <v>1</v>
      </c>
      <c r="S43" s="9" t="b">
        <v>0</v>
      </c>
      <c r="T43" s="9" t="b">
        <v>1</v>
      </c>
      <c r="U43" s="9" t="b">
        <v>1</v>
      </c>
      <c r="V43" s="9" t="b">
        <v>1</v>
      </c>
    </row>
    <row r="44" spans="1:22" x14ac:dyDescent="0.25">
      <c r="A44" s="15" t="str">
        <f>_xlfn.CONCAT(stable[[#This Row],[group_0_no]:[order_no]])</f>
        <v>3100</v>
      </c>
      <c r="B44" s="15" t="s">
        <v>527</v>
      </c>
      <c r="C44" s="15" t="s">
        <v>1099</v>
      </c>
      <c r="D44" s="15" t="s">
        <v>1093</v>
      </c>
      <c r="E44" s="15" t="s">
        <v>1094</v>
      </c>
      <c r="F44" s="15" t="s">
        <v>1094</v>
      </c>
      <c r="G44" s="9" t="s">
        <v>1131</v>
      </c>
      <c r="H44" s="9" t="b">
        <v>0</v>
      </c>
      <c r="I44" s="9" t="b">
        <v>1</v>
      </c>
      <c r="J44" s="9" t="b">
        <v>0</v>
      </c>
      <c r="K44" s="9" t="b">
        <v>0</v>
      </c>
      <c r="L44" s="9" t="b">
        <v>0</v>
      </c>
      <c r="M44" s="9" t="b">
        <v>0</v>
      </c>
      <c r="N44" s="9" t="b">
        <v>1</v>
      </c>
      <c r="O44" s="9" t="b">
        <v>0</v>
      </c>
      <c r="P44" s="9" t="b">
        <v>0</v>
      </c>
      <c r="Q44" s="9" t="b">
        <v>0</v>
      </c>
      <c r="R44" s="16">
        <f>COUNTIFS(stable[q_group],stable[[#This Row],[q_group]])</f>
        <v>1</v>
      </c>
      <c r="S44" s="9" t="b">
        <v>0</v>
      </c>
      <c r="T44" s="9" t="b">
        <v>1</v>
      </c>
      <c r="U44" s="9" t="b">
        <v>1</v>
      </c>
      <c r="V44" s="9" t="b">
        <v>1</v>
      </c>
    </row>
    <row r="45" spans="1:22" x14ac:dyDescent="0.25">
      <c r="A45" s="15" t="str">
        <f>_xlfn.CONCAT(stable[[#This Row],[group_0_no]:[order_no]])</f>
        <v>3101</v>
      </c>
      <c r="B45" s="15" t="s">
        <v>1132</v>
      </c>
      <c r="C45" s="15" t="s">
        <v>1099</v>
      </c>
      <c r="D45" s="15" t="s">
        <v>1093</v>
      </c>
      <c r="E45" s="15" t="s">
        <v>1094</v>
      </c>
      <c r="F45" s="15" t="s">
        <v>1093</v>
      </c>
      <c r="G45" s="9" t="s">
        <v>1133</v>
      </c>
      <c r="H45" s="9" t="b">
        <v>0</v>
      </c>
      <c r="I45" s="9" t="b">
        <v>1</v>
      </c>
      <c r="J45" s="9" t="b">
        <v>0</v>
      </c>
      <c r="K45" s="9" t="b">
        <v>0</v>
      </c>
      <c r="L45" s="9" t="b">
        <v>0</v>
      </c>
      <c r="M45" s="9" t="b">
        <v>0</v>
      </c>
      <c r="N45" s="9" t="b">
        <v>1</v>
      </c>
      <c r="O45" s="9" t="b">
        <v>0</v>
      </c>
      <c r="P45" s="9" t="b">
        <v>0</v>
      </c>
      <c r="Q45" s="9" t="b">
        <v>0</v>
      </c>
      <c r="R45" s="16">
        <f>COUNTIFS(stable[q_group],stable[[#This Row],[q_group]])</f>
        <v>1</v>
      </c>
      <c r="S45" s="9" t="b">
        <v>0</v>
      </c>
      <c r="T45" s="9" t="b">
        <v>1</v>
      </c>
      <c r="U45" s="9" t="b">
        <v>0</v>
      </c>
      <c r="V45" s="9" t="b">
        <v>0</v>
      </c>
    </row>
    <row r="46" spans="1:22" x14ac:dyDescent="0.25">
      <c r="A46" s="15" t="str">
        <f>_xlfn.CONCAT(stable[[#This Row],[group_0_no]:[order_no]])</f>
        <v>3110</v>
      </c>
      <c r="B46" s="15" t="s">
        <v>1134</v>
      </c>
      <c r="C46" s="15" t="s">
        <v>1099</v>
      </c>
      <c r="D46" s="15" t="s">
        <v>1093</v>
      </c>
      <c r="E46" s="15" t="s">
        <v>1093</v>
      </c>
      <c r="F46" s="15" t="s">
        <v>1094</v>
      </c>
      <c r="G46" s="9" t="s">
        <v>1135</v>
      </c>
      <c r="H46" s="9" t="b">
        <v>0</v>
      </c>
      <c r="I46" s="9" t="b">
        <v>0</v>
      </c>
      <c r="J46" s="9" t="b">
        <v>1</v>
      </c>
      <c r="K46" s="9" t="b">
        <v>0</v>
      </c>
      <c r="L46" s="9" t="b">
        <v>0</v>
      </c>
      <c r="M46" s="9" t="b">
        <v>0</v>
      </c>
      <c r="N46" s="9" t="b">
        <v>1</v>
      </c>
      <c r="O46" s="9" t="b">
        <v>0</v>
      </c>
      <c r="P46" s="9" t="b">
        <v>0</v>
      </c>
      <c r="Q46" s="9" t="b">
        <v>0</v>
      </c>
      <c r="R46" s="16">
        <f>COUNTIFS(stable[q_group],stable[[#This Row],[q_group]])</f>
        <v>1</v>
      </c>
      <c r="S46" s="9" t="b">
        <v>0</v>
      </c>
      <c r="T46" s="9" t="b">
        <v>1</v>
      </c>
      <c r="U46" s="9" t="b">
        <v>1</v>
      </c>
      <c r="V46" s="9" t="b">
        <v>1</v>
      </c>
    </row>
    <row r="47" spans="1:22" x14ac:dyDescent="0.25">
      <c r="A47" s="15" t="str">
        <f>_xlfn.CONCAT(stable[[#This Row],[group_0_no]:[order_no]])</f>
        <v>3111</v>
      </c>
      <c r="B47" s="15" t="s">
        <v>1136</v>
      </c>
      <c r="C47" s="15" t="s">
        <v>1099</v>
      </c>
      <c r="D47" s="15" t="s">
        <v>1093</v>
      </c>
      <c r="E47" s="15" t="s">
        <v>1093</v>
      </c>
      <c r="F47" s="15" t="s">
        <v>1093</v>
      </c>
      <c r="G47" s="9" t="s">
        <v>1137</v>
      </c>
      <c r="H47" s="9" t="b">
        <v>0</v>
      </c>
      <c r="I47" s="9" t="b">
        <v>0</v>
      </c>
      <c r="J47" s="9" t="b">
        <v>1</v>
      </c>
      <c r="K47" s="9" t="b">
        <v>0</v>
      </c>
      <c r="L47" s="9" t="b">
        <v>0</v>
      </c>
      <c r="M47" s="9" t="b">
        <v>0</v>
      </c>
      <c r="N47" s="9" t="b">
        <v>1</v>
      </c>
      <c r="O47" s="9" t="b">
        <v>0</v>
      </c>
      <c r="P47" s="9" t="b">
        <v>0</v>
      </c>
      <c r="Q47" s="9" t="b">
        <v>0</v>
      </c>
      <c r="R47" s="16">
        <f>COUNTIFS(stable[q_group],stable[[#This Row],[q_group]])</f>
        <v>1</v>
      </c>
      <c r="S47" s="9" t="b">
        <v>0</v>
      </c>
      <c r="T47" s="9" t="b">
        <v>1</v>
      </c>
      <c r="U47" s="9" t="b">
        <v>0</v>
      </c>
      <c r="V47" s="9" t="b">
        <v>0</v>
      </c>
    </row>
    <row r="48" spans="1:22" x14ac:dyDescent="0.25">
      <c r="A48" s="15" t="str">
        <f>_xlfn.CONCAT(stable[[#This Row],[group_0_no]:[order_no]])</f>
        <v>3120</v>
      </c>
      <c r="B48" s="15" t="s">
        <v>1138</v>
      </c>
      <c r="C48" s="15" t="s">
        <v>1099</v>
      </c>
      <c r="D48" s="15" t="s">
        <v>1093</v>
      </c>
      <c r="E48" s="15" t="s">
        <v>1097</v>
      </c>
      <c r="F48" s="15" t="s">
        <v>1094</v>
      </c>
      <c r="G48" s="9" t="s">
        <v>1139</v>
      </c>
      <c r="H48" s="9" t="b">
        <v>0</v>
      </c>
      <c r="I48" s="9" t="b">
        <v>0</v>
      </c>
      <c r="J48" s="9" t="b">
        <v>1</v>
      </c>
      <c r="K48" s="9" t="b">
        <v>0</v>
      </c>
      <c r="L48" s="9" t="b">
        <v>0</v>
      </c>
      <c r="M48" s="9" t="b">
        <v>0</v>
      </c>
      <c r="N48" s="9" t="b">
        <v>1</v>
      </c>
      <c r="O48" s="9" t="b">
        <v>0</v>
      </c>
      <c r="P48" s="9" t="b">
        <v>0</v>
      </c>
      <c r="Q48" s="9" t="b">
        <v>0</v>
      </c>
      <c r="R48" s="16">
        <f>COUNTIFS(stable[q_group],stable[[#This Row],[q_group]])</f>
        <v>1</v>
      </c>
      <c r="S48" s="9" t="b">
        <v>0</v>
      </c>
      <c r="T48" s="9" t="b">
        <v>1</v>
      </c>
      <c r="U48" s="9" t="b">
        <v>1</v>
      </c>
      <c r="V48" s="9" t="b">
        <v>1</v>
      </c>
    </row>
    <row r="49" spans="1:22" x14ac:dyDescent="0.25">
      <c r="A49" s="15" t="str">
        <f>_xlfn.CONCAT(stable[[#This Row],[group_0_no]:[order_no]])</f>
        <v>3121</v>
      </c>
      <c r="B49" s="15" t="s">
        <v>1140</v>
      </c>
      <c r="C49" s="15" t="s">
        <v>1099</v>
      </c>
      <c r="D49" s="15" t="s">
        <v>1093</v>
      </c>
      <c r="E49" s="15" t="s">
        <v>1097</v>
      </c>
      <c r="F49" s="15" t="s">
        <v>1093</v>
      </c>
      <c r="G49" s="9" t="s">
        <v>1141</v>
      </c>
      <c r="H49" s="9" t="b">
        <v>0</v>
      </c>
      <c r="I49" s="9" t="b">
        <v>0</v>
      </c>
      <c r="J49" s="9" t="b">
        <v>1</v>
      </c>
      <c r="K49" s="9" t="b">
        <v>0</v>
      </c>
      <c r="L49" s="9" t="b">
        <v>0</v>
      </c>
      <c r="M49" s="9" t="b">
        <v>0</v>
      </c>
      <c r="N49" s="9" t="b">
        <v>1</v>
      </c>
      <c r="O49" s="9" t="b">
        <v>0</v>
      </c>
      <c r="P49" s="9" t="b">
        <v>0</v>
      </c>
      <c r="Q49" s="9" t="b">
        <v>0</v>
      </c>
      <c r="R49" s="16">
        <f>COUNTIFS(stable[q_group],stable[[#This Row],[q_group]])</f>
        <v>1</v>
      </c>
      <c r="S49" s="9" t="b">
        <v>0</v>
      </c>
      <c r="T49" s="9" t="b">
        <v>1</v>
      </c>
      <c r="U49" s="9" t="b">
        <v>0</v>
      </c>
      <c r="V49" s="9" t="b">
        <v>0</v>
      </c>
    </row>
    <row r="50" spans="1:22" x14ac:dyDescent="0.25">
      <c r="A50" s="15" t="str">
        <f>_xlfn.CONCAT(stable[[#This Row],[group_0_no]:[order_no]])</f>
        <v>3198</v>
      </c>
      <c r="B50" s="15" t="s">
        <v>539</v>
      </c>
      <c r="C50" s="15" t="s">
        <v>1099</v>
      </c>
      <c r="D50" s="15" t="s">
        <v>1093</v>
      </c>
      <c r="E50" s="15" t="s">
        <v>1142</v>
      </c>
      <c r="F50" s="15" t="s">
        <v>1143</v>
      </c>
      <c r="G50" s="9" t="s">
        <v>1144</v>
      </c>
      <c r="H50" s="9" t="b">
        <v>1</v>
      </c>
      <c r="I50" s="9" t="b">
        <v>0</v>
      </c>
      <c r="J50" s="9" t="b">
        <v>0</v>
      </c>
      <c r="K50" s="9" t="b">
        <v>0</v>
      </c>
      <c r="L50" s="9" t="b">
        <v>0</v>
      </c>
      <c r="M50" s="9" t="b">
        <v>0</v>
      </c>
      <c r="N50" s="9" t="b">
        <v>1</v>
      </c>
      <c r="O50" s="9" t="b">
        <v>0</v>
      </c>
      <c r="P50" s="9" t="b">
        <v>0</v>
      </c>
      <c r="Q50" s="9" t="b">
        <v>0</v>
      </c>
      <c r="R50" s="16">
        <f>COUNTIFS(stable[q_group],stable[[#This Row],[q_group]])</f>
        <v>1</v>
      </c>
      <c r="S50" s="9" t="b">
        <v>0</v>
      </c>
      <c r="T50" s="9" t="b">
        <v>1</v>
      </c>
      <c r="U50" s="9" t="b">
        <v>1</v>
      </c>
      <c r="V50" s="9" t="b">
        <v>1</v>
      </c>
    </row>
    <row r="51" spans="1:22" x14ac:dyDescent="0.25">
      <c r="A51" s="15" t="str">
        <f>_xlfn.CONCAT(stable[[#This Row],[group_0_no]:[order_no]])</f>
        <v>3199</v>
      </c>
      <c r="B51" s="15" t="s">
        <v>541</v>
      </c>
      <c r="C51" s="15" t="s">
        <v>1099</v>
      </c>
      <c r="D51" s="15" t="s">
        <v>1093</v>
      </c>
      <c r="E51" s="15" t="s">
        <v>1142</v>
      </c>
      <c r="F51" s="15" t="s">
        <v>1142</v>
      </c>
      <c r="G51" s="9" t="s">
        <v>1145</v>
      </c>
      <c r="H51" s="9" t="b">
        <v>1</v>
      </c>
      <c r="I51" s="9" t="b">
        <v>0</v>
      </c>
      <c r="J51" s="9" t="b">
        <v>0</v>
      </c>
      <c r="K51" s="9" t="b">
        <v>0</v>
      </c>
      <c r="L51" s="9" t="b">
        <v>0</v>
      </c>
      <c r="M51" s="9" t="b">
        <v>1</v>
      </c>
      <c r="N51" s="9" t="b">
        <v>0</v>
      </c>
      <c r="O51" s="9" t="b">
        <v>0</v>
      </c>
      <c r="P51" s="9" t="b">
        <v>0</v>
      </c>
      <c r="Q51" s="9" t="b">
        <v>0</v>
      </c>
      <c r="R51" s="16">
        <f>COUNTIFS(stable[q_group],stable[[#This Row],[q_group]])</f>
        <v>1</v>
      </c>
      <c r="S51" s="9" t="b">
        <v>0</v>
      </c>
      <c r="T51" s="9" t="b">
        <v>1</v>
      </c>
      <c r="U51" s="9" t="b">
        <v>1</v>
      </c>
      <c r="V51" s="9" t="b">
        <v>1</v>
      </c>
    </row>
    <row r="52" spans="1:22" x14ac:dyDescent="0.25">
      <c r="A52" s="15" t="str">
        <f>_xlfn.CONCAT(stable[[#This Row],[group_0_no]:[order_no]])</f>
        <v>3200</v>
      </c>
      <c r="B52" s="15" t="s">
        <v>543</v>
      </c>
      <c r="C52" s="15" t="s">
        <v>1099</v>
      </c>
      <c r="D52" s="15" t="s">
        <v>1097</v>
      </c>
      <c r="E52" s="15" t="s">
        <v>1094</v>
      </c>
      <c r="F52" s="15" t="s">
        <v>1094</v>
      </c>
      <c r="G52" s="9" t="s">
        <v>1146</v>
      </c>
      <c r="H52" s="9" t="b">
        <v>0</v>
      </c>
      <c r="I52" s="9" t="b">
        <v>1</v>
      </c>
      <c r="J52" s="9" t="b">
        <v>0</v>
      </c>
      <c r="K52" s="9" t="b">
        <v>0</v>
      </c>
      <c r="L52" s="9" t="b">
        <v>0</v>
      </c>
      <c r="M52" s="9" t="b">
        <v>0</v>
      </c>
      <c r="N52" s="9" t="b">
        <v>1</v>
      </c>
      <c r="O52" s="9" t="b">
        <v>0</v>
      </c>
      <c r="P52" s="9" t="b">
        <v>0</v>
      </c>
      <c r="Q52" s="9" t="b">
        <v>0</v>
      </c>
      <c r="R52" s="16">
        <f>COUNTIFS(stable[q_group],stable[[#This Row],[q_group]])</f>
        <v>1</v>
      </c>
      <c r="S52" s="9" t="b">
        <v>0</v>
      </c>
      <c r="T52" s="9" t="b">
        <v>1</v>
      </c>
      <c r="U52" s="9" t="b">
        <v>1</v>
      </c>
      <c r="V52" s="9" t="b">
        <v>1</v>
      </c>
    </row>
    <row r="53" spans="1:22" x14ac:dyDescent="0.25">
      <c r="A53" s="15" t="str">
        <f>_xlfn.CONCAT(stable[[#This Row],[group_0_no]:[order_no]])</f>
        <v>3201</v>
      </c>
      <c r="B53" s="15" t="s">
        <v>1147</v>
      </c>
      <c r="C53" s="15" t="s">
        <v>1099</v>
      </c>
      <c r="D53" s="15" t="s">
        <v>1097</v>
      </c>
      <c r="E53" s="15" t="s">
        <v>1094</v>
      </c>
      <c r="F53" s="15" t="s">
        <v>1093</v>
      </c>
      <c r="G53" s="9" t="s">
        <v>1148</v>
      </c>
      <c r="H53" s="9" t="b">
        <v>0</v>
      </c>
      <c r="I53" s="9" t="b">
        <v>1</v>
      </c>
      <c r="J53" s="9" t="b">
        <v>0</v>
      </c>
      <c r="K53" s="9" t="b">
        <v>0</v>
      </c>
      <c r="L53" s="9" t="b">
        <v>0</v>
      </c>
      <c r="M53" s="9" t="b">
        <v>0</v>
      </c>
      <c r="N53" s="9" t="b">
        <v>1</v>
      </c>
      <c r="O53" s="9" t="b">
        <v>0</v>
      </c>
      <c r="P53" s="9" t="b">
        <v>0</v>
      </c>
      <c r="Q53" s="9" t="b">
        <v>0</v>
      </c>
      <c r="R53" s="16">
        <f>COUNTIFS(stable[q_group],stable[[#This Row],[q_group]])</f>
        <v>1</v>
      </c>
      <c r="S53" s="9" t="b">
        <v>0</v>
      </c>
      <c r="T53" s="9" t="b">
        <v>1</v>
      </c>
      <c r="U53" s="9" t="b">
        <v>0</v>
      </c>
      <c r="V53" s="9" t="b">
        <v>0</v>
      </c>
    </row>
    <row r="54" spans="1:22" x14ac:dyDescent="0.25">
      <c r="A54" s="15" t="str">
        <f>_xlfn.CONCAT(stable[[#This Row],[group_0_no]:[order_no]])</f>
        <v>3210</v>
      </c>
      <c r="B54" s="15" t="s">
        <v>547</v>
      </c>
      <c r="C54" s="15" t="s">
        <v>1099</v>
      </c>
      <c r="D54" s="15" t="s">
        <v>1097</v>
      </c>
      <c r="E54" s="15" t="s">
        <v>1093</v>
      </c>
      <c r="F54" s="15" t="s">
        <v>1094</v>
      </c>
      <c r="G54" s="9" t="s">
        <v>1149</v>
      </c>
      <c r="H54" s="9" t="b">
        <v>0</v>
      </c>
      <c r="I54" s="9" t="b">
        <v>0</v>
      </c>
      <c r="J54" s="9" t="b">
        <v>1</v>
      </c>
      <c r="K54" s="9" t="b">
        <v>0</v>
      </c>
      <c r="L54" s="9" t="b">
        <v>0</v>
      </c>
      <c r="M54" s="9" t="b">
        <v>0</v>
      </c>
      <c r="N54" s="9" t="b">
        <v>1</v>
      </c>
      <c r="O54" s="9" t="b">
        <v>0</v>
      </c>
      <c r="P54" s="9" t="b">
        <v>0</v>
      </c>
      <c r="Q54" s="9" t="b">
        <v>0</v>
      </c>
      <c r="R54" s="16">
        <f>COUNTIFS(stable[q_group],stable[[#This Row],[q_group]])</f>
        <v>1</v>
      </c>
      <c r="S54" s="9" t="b">
        <v>0</v>
      </c>
      <c r="T54" s="9" t="b">
        <v>1</v>
      </c>
      <c r="U54" s="9" t="b">
        <v>1</v>
      </c>
      <c r="V54" s="9" t="b">
        <v>1</v>
      </c>
    </row>
    <row r="55" spans="1:22" x14ac:dyDescent="0.25">
      <c r="A55" s="15" t="str">
        <f>_xlfn.CONCAT(stable[[#This Row],[group_0_no]:[order_no]])</f>
        <v>3211</v>
      </c>
      <c r="B55" s="15" t="s">
        <v>1150</v>
      </c>
      <c r="C55" s="15" t="s">
        <v>1099</v>
      </c>
      <c r="D55" s="15" t="s">
        <v>1097</v>
      </c>
      <c r="E55" s="15" t="s">
        <v>1093</v>
      </c>
      <c r="F55" s="15" t="s">
        <v>1093</v>
      </c>
      <c r="G55" s="9" t="s">
        <v>1151</v>
      </c>
      <c r="H55" s="9" t="b">
        <v>0</v>
      </c>
      <c r="I55" s="9" t="b">
        <v>0</v>
      </c>
      <c r="J55" s="9" t="b">
        <v>1</v>
      </c>
      <c r="K55" s="9" t="b">
        <v>0</v>
      </c>
      <c r="L55" s="9" t="b">
        <v>0</v>
      </c>
      <c r="M55" s="9" t="b">
        <v>0</v>
      </c>
      <c r="N55" s="9" t="b">
        <v>1</v>
      </c>
      <c r="O55" s="9" t="b">
        <v>0</v>
      </c>
      <c r="P55" s="9" t="b">
        <v>0</v>
      </c>
      <c r="Q55" s="9" t="b">
        <v>0</v>
      </c>
      <c r="R55" s="16">
        <f>COUNTIFS(stable[q_group],stable[[#This Row],[q_group]])</f>
        <v>1</v>
      </c>
      <c r="S55" s="9" t="b">
        <v>0</v>
      </c>
      <c r="T55" s="9" t="b">
        <v>1</v>
      </c>
      <c r="U55" s="9" t="b">
        <v>0</v>
      </c>
      <c r="V55" s="9" t="b">
        <v>0</v>
      </c>
    </row>
    <row r="56" spans="1:22" x14ac:dyDescent="0.25">
      <c r="A56" s="15" t="str">
        <f>_xlfn.CONCAT(stable[[#This Row],[group_0_no]:[order_no]])</f>
        <v>3220</v>
      </c>
      <c r="B56" s="15" t="s">
        <v>1152</v>
      </c>
      <c r="C56" s="15" t="s">
        <v>1099</v>
      </c>
      <c r="D56" s="15" t="s">
        <v>1097</v>
      </c>
      <c r="E56" s="15" t="s">
        <v>1097</v>
      </c>
      <c r="F56" s="15" t="s">
        <v>1094</v>
      </c>
      <c r="G56" s="9" t="s">
        <v>1153</v>
      </c>
      <c r="H56" s="9" t="b">
        <v>0</v>
      </c>
      <c r="I56" s="9" t="b">
        <v>0</v>
      </c>
      <c r="J56" s="9" t="b">
        <v>1</v>
      </c>
      <c r="K56" s="9" t="b">
        <v>0</v>
      </c>
      <c r="L56" s="9" t="b">
        <v>0</v>
      </c>
      <c r="M56" s="9" t="b">
        <v>0</v>
      </c>
      <c r="N56" s="9" t="b">
        <v>1</v>
      </c>
      <c r="O56" s="9" t="b">
        <v>0</v>
      </c>
      <c r="P56" s="9" t="b">
        <v>0</v>
      </c>
      <c r="Q56" s="9" t="b">
        <v>0</v>
      </c>
      <c r="R56" s="16">
        <f>COUNTIFS(stable[q_group],stable[[#This Row],[q_group]])</f>
        <v>1</v>
      </c>
      <c r="S56" s="9" t="b">
        <v>0</v>
      </c>
      <c r="T56" s="9" t="b">
        <v>1</v>
      </c>
      <c r="U56" s="9" t="b">
        <v>1</v>
      </c>
      <c r="V56" s="9" t="b">
        <v>1</v>
      </c>
    </row>
    <row r="57" spans="1:22" x14ac:dyDescent="0.25">
      <c r="A57" s="15" t="str">
        <f>_xlfn.CONCAT(stable[[#This Row],[group_0_no]:[order_no]])</f>
        <v>3221</v>
      </c>
      <c r="B57" s="15" t="s">
        <v>1154</v>
      </c>
      <c r="C57" s="15" t="s">
        <v>1099</v>
      </c>
      <c r="D57" s="15" t="s">
        <v>1097</v>
      </c>
      <c r="E57" s="15" t="s">
        <v>1097</v>
      </c>
      <c r="F57" s="15" t="s">
        <v>1093</v>
      </c>
      <c r="G57" s="9" t="s">
        <v>1155</v>
      </c>
      <c r="H57" s="9" t="b">
        <v>0</v>
      </c>
      <c r="I57" s="9" t="b">
        <v>0</v>
      </c>
      <c r="J57" s="9" t="b">
        <v>1</v>
      </c>
      <c r="K57" s="9" t="b">
        <v>0</v>
      </c>
      <c r="L57" s="9" t="b">
        <v>0</v>
      </c>
      <c r="M57" s="9" t="b">
        <v>0</v>
      </c>
      <c r="N57" s="9" t="b">
        <v>1</v>
      </c>
      <c r="O57" s="9" t="b">
        <v>0</v>
      </c>
      <c r="P57" s="9" t="b">
        <v>0</v>
      </c>
      <c r="Q57" s="9" t="b">
        <v>0</v>
      </c>
      <c r="R57" s="16">
        <f>COUNTIFS(stable[q_group],stable[[#This Row],[q_group]])</f>
        <v>1</v>
      </c>
      <c r="S57" s="9" t="b">
        <v>0</v>
      </c>
      <c r="T57" s="9" t="b">
        <v>1</v>
      </c>
      <c r="U57" s="9" t="b">
        <v>0</v>
      </c>
      <c r="V57" s="9" t="b">
        <v>0</v>
      </c>
    </row>
    <row r="58" spans="1:22" x14ac:dyDescent="0.25">
      <c r="A58" s="15" t="str">
        <f>_xlfn.CONCAT(stable[[#This Row],[group_0_no]:[order_no]])</f>
        <v>3298</v>
      </c>
      <c r="B58" s="15" t="s">
        <v>555</v>
      </c>
      <c r="C58" s="15" t="s">
        <v>1099</v>
      </c>
      <c r="D58" s="15" t="s">
        <v>1097</v>
      </c>
      <c r="E58" s="15" t="s">
        <v>1142</v>
      </c>
      <c r="F58" s="15" t="s">
        <v>1143</v>
      </c>
      <c r="G58" s="9" t="s">
        <v>1156</v>
      </c>
      <c r="H58" s="9" t="b">
        <v>1</v>
      </c>
      <c r="I58" s="9" t="b">
        <v>0</v>
      </c>
      <c r="J58" s="9" t="b">
        <v>0</v>
      </c>
      <c r="K58" s="9" t="b">
        <v>0</v>
      </c>
      <c r="L58" s="9" t="b">
        <v>0</v>
      </c>
      <c r="M58" s="9" t="b">
        <v>0</v>
      </c>
      <c r="N58" s="9" t="b">
        <v>1</v>
      </c>
      <c r="O58" s="9" t="b">
        <v>0</v>
      </c>
      <c r="P58" s="9" t="b">
        <v>0</v>
      </c>
      <c r="Q58" s="9" t="b">
        <v>0</v>
      </c>
      <c r="R58" s="16">
        <f>COUNTIFS(stable[q_group],stable[[#This Row],[q_group]])</f>
        <v>1</v>
      </c>
      <c r="S58" s="9" t="b">
        <v>0</v>
      </c>
      <c r="T58" s="9" t="b">
        <v>1</v>
      </c>
      <c r="U58" s="9" t="b">
        <v>1</v>
      </c>
      <c r="V58" s="9" t="b">
        <v>1</v>
      </c>
    </row>
    <row r="59" spans="1:22" x14ac:dyDescent="0.25">
      <c r="A59" s="15" t="str">
        <f>_xlfn.CONCAT(stable[[#This Row],[group_0_no]:[order_no]])</f>
        <v>3299</v>
      </c>
      <c r="B59" s="15" t="s">
        <v>557</v>
      </c>
      <c r="C59" s="15" t="s">
        <v>1099</v>
      </c>
      <c r="D59" s="15" t="s">
        <v>1097</v>
      </c>
      <c r="E59" s="15" t="s">
        <v>1142</v>
      </c>
      <c r="F59" s="15" t="s">
        <v>1142</v>
      </c>
      <c r="G59" s="9" t="s">
        <v>1157</v>
      </c>
      <c r="H59" s="9" t="b">
        <v>1</v>
      </c>
      <c r="I59" s="9" t="b">
        <v>0</v>
      </c>
      <c r="J59" s="9" t="b">
        <v>0</v>
      </c>
      <c r="K59" s="9" t="b">
        <v>0</v>
      </c>
      <c r="L59" s="9" t="b">
        <v>0</v>
      </c>
      <c r="M59" s="9" t="b">
        <v>1</v>
      </c>
      <c r="N59" s="9" t="b">
        <v>0</v>
      </c>
      <c r="O59" s="9" t="b">
        <v>0</v>
      </c>
      <c r="P59" s="9" t="b">
        <v>0</v>
      </c>
      <c r="Q59" s="9" t="b">
        <v>0</v>
      </c>
      <c r="R59" s="16">
        <f>COUNTIFS(stable[q_group],stable[[#This Row],[q_group]])</f>
        <v>1</v>
      </c>
      <c r="S59" s="9" t="b">
        <v>0</v>
      </c>
      <c r="T59" s="9" t="b">
        <v>1</v>
      </c>
      <c r="U59" s="9" t="b">
        <v>1</v>
      </c>
      <c r="V59" s="9" t="b">
        <v>1</v>
      </c>
    </row>
    <row r="60" spans="1:22" x14ac:dyDescent="0.25">
      <c r="A60" s="15" t="str">
        <f>_xlfn.CONCAT(stable[[#This Row],[group_0_no]:[order_no]])</f>
        <v>3300</v>
      </c>
      <c r="B60" s="15" t="s">
        <v>1158</v>
      </c>
      <c r="C60" s="15" t="s">
        <v>1099</v>
      </c>
      <c r="D60" s="15" t="s">
        <v>1099</v>
      </c>
      <c r="E60" s="15" t="s">
        <v>1094</v>
      </c>
      <c r="F60" s="15" t="s">
        <v>1094</v>
      </c>
      <c r="G60" s="9" t="s">
        <v>1159</v>
      </c>
      <c r="H60" s="9" t="b">
        <v>0</v>
      </c>
      <c r="I60" s="9" t="b">
        <v>1</v>
      </c>
      <c r="J60" s="9" t="b">
        <v>0</v>
      </c>
      <c r="K60" s="9" t="b">
        <v>0</v>
      </c>
      <c r="L60" s="9" t="b">
        <v>0</v>
      </c>
      <c r="M60" s="9" t="b">
        <v>0</v>
      </c>
      <c r="N60" s="9" t="b">
        <v>1</v>
      </c>
      <c r="O60" s="9" t="b">
        <v>0</v>
      </c>
      <c r="P60" s="9" t="b">
        <v>0</v>
      </c>
      <c r="Q60" s="9" t="b">
        <v>0</v>
      </c>
      <c r="R60" s="16">
        <f>COUNTIFS(stable[q_group],stable[[#This Row],[q_group]])</f>
        <v>1</v>
      </c>
      <c r="S60" s="9" t="b">
        <v>0</v>
      </c>
      <c r="T60" s="9" t="b">
        <v>1</v>
      </c>
      <c r="U60" s="9" t="b">
        <v>1</v>
      </c>
      <c r="V60" s="9" t="b">
        <v>1</v>
      </c>
    </row>
    <row r="61" spans="1:22" x14ac:dyDescent="0.25">
      <c r="A61" s="15" t="str">
        <f>_xlfn.CONCAT(stable[[#This Row],[group_0_no]:[order_no]])</f>
        <v>3301</v>
      </c>
      <c r="B61" s="15" t="s">
        <v>1160</v>
      </c>
      <c r="C61" s="15" t="s">
        <v>1099</v>
      </c>
      <c r="D61" s="15" t="s">
        <v>1099</v>
      </c>
      <c r="E61" s="15" t="s">
        <v>1094</v>
      </c>
      <c r="F61" s="15" t="s">
        <v>1093</v>
      </c>
      <c r="G61" s="9" t="s">
        <v>1161</v>
      </c>
      <c r="H61" s="9" t="b">
        <v>0</v>
      </c>
      <c r="I61" s="9" t="b">
        <v>1</v>
      </c>
      <c r="J61" s="9" t="b">
        <v>0</v>
      </c>
      <c r="K61" s="9" t="b">
        <v>0</v>
      </c>
      <c r="L61" s="9" t="b">
        <v>0</v>
      </c>
      <c r="M61" s="9" t="b">
        <v>0</v>
      </c>
      <c r="N61" s="9" t="b">
        <v>1</v>
      </c>
      <c r="O61" s="9" t="b">
        <v>0</v>
      </c>
      <c r="P61" s="9" t="b">
        <v>0</v>
      </c>
      <c r="Q61" s="9" t="b">
        <v>0</v>
      </c>
      <c r="R61" s="16">
        <f>COUNTIFS(stable[q_group],stable[[#This Row],[q_group]])</f>
        <v>1</v>
      </c>
      <c r="S61" s="9" t="b">
        <v>0</v>
      </c>
      <c r="T61" s="9" t="b">
        <v>1</v>
      </c>
      <c r="U61" s="9" t="b">
        <v>0</v>
      </c>
      <c r="V61" s="9" t="b">
        <v>0</v>
      </c>
    </row>
    <row r="62" spans="1:22" x14ac:dyDescent="0.25">
      <c r="A62" s="15" t="str">
        <f>_xlfn.CONCAT(stable[[#This Row],[group_0_no]:[order_no]])</f>
        <v>3309</v>
      </c>
      <c r="B62" s="15" t="s">
        <v>142</v>
      </c>
      <c r="C62" s="15" t="s">
        <v>1099</v>
      </c>
      <c r="D62" s="15" t="s">
        <v>1099</v>
      </c>
      <c r="E62" s="15" t="s">
        <v>1094</v>
      </c>
      <c r="F62" s="15" t="s">
        <v>1142</v>
      </c>
      <c r="G62" s="9" t="s">
        <v>1162</v>
      </c>
      <c r="H62" s="9" t="b">
        <v>0</v>
      </c>
      <c r="I62" s="9" t="b">
        <v>1</v>
      </c>
      <c r="J62" s="9" t="b">
        <v>1</v>
      </c>
      <c r="K62" s="9" t="b">
        <v>0</v>
      </c>
      <c r="L62" s="9" t="b">
        <v>0</v>
      </c>
      <c r="M62" s="9" t="b">
        <v>0</v>
      </c>
      <c r="N62" s="9" t="b">
        <v>1</v>
      </c>
      <c r="O62" s="9" t="b">
        <v>0</v>
      </c>
      <c r="P62" s="9" t="b">
        <v>0</v>
      </c>
      <c r="Q62" s="9" t="b">
        <v>0</v>
      </c>
      <c r="R62" s="16">
        <f>COUNTIFS(stable[q_group],stable[[#This Row],[q_group]])</f>
        <v>1</v>
      </c>
      <c r="S62" s="9" t="b">
        <v>0</v>
      </c>
      <c r="T62" s="9" t="b">
        <v>1</v>
      </c>
      <c r="U62" s="9" t="b">
        <v>1</v>
      </c>
      <c r="V62" s="9" t="b">
        <v>1</v>
      </c>
    </row>
    <row r="63" spans="1:22" x14ac:dyDescent="0.25">
      <c r="A63" s="15" t="str">
        <f>_xlfn.CONCAT(stable[[#This Row],[group_0_no]:[order_no]])</f>
        <v>3310</v>
      </c>
      <c r="B63" s="15" t="s">
        <v>1028</v>
      </c>
      <c r="C63" s="15" t="s">
        <v>1099</v>
      </c>
      <c r="D63" s="15" t="s">
        <v>1099</v>
      </c>
      <c r="E63" s="19">
        <v>1</v>
      </c>
      <c r="F63" s="15" t="s">
        <v>1094</v>
      </c>
      <c r="G63" s="9" t="s">
        <v>1163</v>
      </c>
      <c r="H63" s="9" t="b">
        <v>0</v>
      </c>
      <c r="I63" s="9" t="b">
        <v>1</v>
      </c>
      <c r="J63" s="9" t="b">
        <v>0</v>
      </c>
      <c r="K63" s="9" t="b">
        <v>0</v>
      </c>
      <c r="L63" s="9" t="b">
        <v>0</v>
      </c>
      <c r="M63" s="9" t="b">
        <v>0</v>
      </c>
      <c r="N63" s="9" t="b">
        <v>1</v>
      </c>
      <c r="O63" s="9" t="b">
        <v>0</v>
      </c>
      <c r="P63" s="9" t="b">
        <v>0</v>
      </c>
      <c r="Q63" s="9" t="b">
        <v>0</v>
      </c>
      <c r="R63" s="16">
        <f>COUNTIFS(stable[q_group],stable[[#This Row],[q_group]])</f>
        <v>1</v>
      </c>
      <c r="S63" s="9" t="b">
        <v>0</v>
      </c>
      <c r="T63" s="9" t="b">
        <v>1</v>
      </c>
      <c r="U63" s="9" t="b">
        <v>1</v>
      </c>
      <c r="V63" s="9" t="b">
        <v>1</v>
      </c>
    </row>
    <row r="64" spans="1:22" x14ac:dyDescent="0.25">
      <c r="A64" s="15" t="str">
        <f>_xlfn.CONCAT(stable[[#This Row],[group_0_no]:[order_no]])</f>
        <v>3311</v>
      </c>
      <c r="B64" s="15" t="s">
        <v>1164</v>
      </c>
      <c r="C64" s="15" t="s">
        <v>1099</v>
      </c>
      <c r="D64" s="15" t="s">
        <v>1099</v>
      </c>
      <c r="E64" s="19">
        <v>1</v>
      </c>
      <c r="F64" s="15" t="s">
        <v>1093</v>
      </c>
      <c r="G64" s="9" t="s">
        <v>1165</v>
      </c>
      <c r="H64" s="9" t="b">
        <v>0</v>
      </c>
      <c r="I64" s="9" t="b">
        <v>1</v>
      </c>
      <c r="J64" s="9" t="b">
        <v>0</v>
      </c>
      <c r="K64" s="9" t="b">
        <v>0</v>
      </c>
      <c r="L64" s="9" t="b">
        <v>0</v>
      </c>
      <c r="M64" s="9" t="b">
        <v>0</v>
      </c>
      <c r="N64" s="9" t="b">
        <v>1</v>
      </c>
      <c r="O64" s="9" t="b">
        <v>0</v>
      </c>
      <c r="P64" s="9" t="b">
        <v>0</v>
      </c>
      <c r="Q64" s="9" t="b">
        <v>0</v>
      </c>
      <c r="R64" s="16">
        <f>COUNTIFS(stable[q_group],stable[[#This Row],[q_group]])</f>
        <v>1</v>
      </c>
      <c r="S64" s="9" t="b">
        <v>0</v>
      </c>
      <c r="T64" s="9" t="b">
        <v>1</v>
      </c>
      <c r="U64" s="9" t="b">
        <v>0</v>
      </c>
      <c r="V64" s="9" t="b">
        <v>0</v>
      </c>
    </row>
    <row r="65" spans="1:22" x14ac:dyDescent="0.25">
      <c r="A65" s="15" t="str">
        <f>_xlfn.CONCAT(stable[[#This Row],[group_0_no]:[order_no]])</f>
        <v>4000</v>
      </c>
      <c r="B65" s="78" t="s">
        <v>144</v>
      </c>
      <c r="C65" s="15" t="s">
        <v>1101</v>
      </c>
      <c r="D65" s="15" t="s">
        <v>1094</v>
      </c>
      <c r="E65" s="15" t="s">
        <v>1094</v>
      </c>
      <c r="F65" s="15" t="s">
        <v>1094</v>
      </c>
      <c r="G65" s="9" t="s">
        <v>1166</v>
      </c>
      <c r="H65" s="9" t="b">
        <v>1</v>
      </c>
      <c r="I65" s="9" t="b">
        <v>0</v>
      </c>
      <c r="J65" s="9" t="b">
        <v>0</v>
      </c>
      <c r="K65" s="9" t="b">
        <v>1</v>
      </c>
      <c r="L65" s="9" t="b">
        <v>0</v>
      </c>
      <c r="M65" s="9" t="b">
        <v>0</v>
      </c>
      <c r="N65" s="9" t="b">
        <v>1</v>
      </c>
      <c r="O65" s="9" t="b">
        <v>0</v>
      </c>
      <c r="P65" s="9" t="b">
        <v>0</v>
      </c>
      <c r="Q65" s="9" t="b">
        <v>0</v>
      </c>
      <c r="R65" s="16">
        <f>COUNTIFS(stable[q_group],stable[[#This Row],[q_group]])</f>
        <v>1</v>
      </c>
      <c r="S65" s="9" t="b">
        <v>0</v>
      </c>
      <c r="T65" s="9" t="b">
        <v>1</v>
      </c>
      <c r="U65" s="9" t="b">
        <v>1</v>
      </c>
      <c r="V65" s="9" t="b">
        <v>1</v>
      </c>
    </row>
    <row r="66" spans="1:22" x14ac:dyDescent="0.25">
      <c r="A66" s="15" t="str">
        <f>_xlfn.CONCAT(stable[[#This Row],[group_0_no]:[order_no]])</f>
        <v>4100</v>
      </c>
      <c r="B66" s="15" t="s">
        <v>146</v>
      </c>
      <c r="C66" s="15" t="s">
        <v>1101</v>
      </c>
      <c r="D66" s="15" t="s">
        <v>1093</v>
      </c>
      <c r="E66" s="15" t="s">
        <v>1094</v>
      </c>
      <c r="F66" s="15" t="s">
        <v>1094</v>
      </c>
      <c r="G66" s="9" t="s">
        <v>1167</v>
      </c>
      <c r="H66" s="9" t="b">
        <v>1</v>
      </c>
      <c r="I66" s="9" t="b">
        <v>0</v>
      </c>
      <c r="J66" s="9" t="b">
        <v>0</v>
      </c>
      <c r="K66" s="9" t="b">
        <v>1</v>
      </c>
      <c r="L66" s="9" t="b">
        <v>0</v>
      </c>
      <c r="M66" s="9" t="b">
        <v>0</v>
      </c>
      <c r="N66" s="9" t="b">
        <v>1</v>
      </c>
      <c r="O66" s="9" t="b">
        <v>0</v>
      </c>
      <c r="P66" s="9" t="b">
        <v>0</v>
      </c>
      <c r="Q66" s="9" t="b">
        <v>0</v>
      </c>
      <c r="R66" s="16">
        <f>COUNTIFS(stable[q_group],stable[[#This Row],[q_group]])</f>
        <v>1</v>
      </c>
      <c r="S66" s="9" t="b">
        <v>0</v>
      </c>
      <c r="T66" s="9" t="b">
        <v>1</v>
      </c>
      <c r="U66" s="9" t="b">
        <v>1</v>
      </c>
      <c r="V66" s="9" t="b">
        <v>1</v>
      </c>
    </row>
    <row r="67" spans="1:22" x14ac:dyDescent="0.25">
      <c r="A67" s="15" t="str">
        <f>_xlfn.CONCAT(stable[[#This Row],[group_0_no]:[order_no]])</f>
        <v>4101</v>
      </c>
      <c r="B67" s="15" t="s">
        <v>148</v>
      </c>
      <c r="C67" s="15" t="s">
        <v>1101</v>
      </c>
      <c r="D67" s="15" t="s">
        <v>1093</v>
      </c>
      <c r="E67" s="15" t="s">
        <v>1094</v>
      </c>
      <c r="F67" s="15" t="s">
        <v>1093</v>
      </c>
      <c r="G67" s="9" t="s">
        <v>1168</v>
      </c>
      <c r="H67" s="9" t="b">
        <v>1</v>
      </c>
      <c r="I67" s="9" t="b">
        <v>0</v>
      </c>
      <c r="J67" s="9" t="b">
        <v>0</v>
      </c>
      <c r="K67" s="9" t="b">
        <v>1</v>
      </c>
      <c r="L67" s="9" t="b">
        <v>0</v>
      </c>
      <c r="M67" s="9" t="b">
        <v>0</v>
      </c>
      <c r="N67" s="9" t="b">
        <v>0</v>
      </c>
      <c r="O67" s="9" t="b">
        <v>1</v>
      </c>
      <c r="P67" s="9" t="b">
        <v>0</v>
      </c>
      <c r="Q67" s="9" t="b">
        <v>1</v>
      </c>
      <c r="R67" s="16">
        <f>COUNTIFS(stable[q_group],stable[[#This Row],[q_group]])</f>
        <v>1</v>
      </c>
      <c r="S67" s="9" t="b">
        <v>0</v>
      </c>
      <c r="T67" s="9" t="b">
        <v>1</v>
      </c>
      <c r="U67" s="9" t="b">
        <v>1</v>
      </c>
      <c r="V67" s="9" t="b">
        <v>1</v>
      </c>
    </row>
    <row r="68" spans="1:22" x14ac:dyDescent="0.25">
      <c r="A68" s="15" t="str">
        <f>_xlfn.CONCAT(stable[[#This Row],[group_0_no]:[order_no]])</f>
        <v>4102</v>
      </c>
      <c r="B68" s="15" t="s">
        <v>151</v>
      </c>
      <c r="C68" s="15" t="s">
        <v>1101</v>
      </c>
      <c r="D68" s="15" t="s">
        <v>1093</v>
      </c>
      <c r="E68" s="15" t="s">
        <v>1094</v>
      </c>
      <c r="F68" s="15" t="s">
        <v>1097</v>
      </c>
      <c r="G68" s="9" t="s">
        <v>1169</v>
      </c>
      <c r="H68" s="9" t="b">
        <v>1</v>
      </c>
      <c r="I68" s="9" t="b">
        <v>0</v>
      </c>
      <c r="J68" s="9" t="b">
        <v>0</v>
      </c>
      <c r="K68" s="9" t="b">
        <v>0</v>
      </c>
      <c r="L68" s="9" t="b">
        <v>0</v>
      </c>
      <c r="M68" s="9" t="b">
        <v>0</v>
      </c>
      <c r="N68" s="9" t="b">
        <v>0</v>
      </c>
      <c r="O68" s="9" t="b">
        <v>1</v>
      </c>
      <c r="P68" s="9" t="b">
        <v>0</v>
      </c>
      <c r="Q68" s="9" t="b">
        <v>1</v>
      </c>
      <c r="R68" s="16">
        <f>COUNTIFS(stable[q_group],stable[[#This Row],[q_group]])</f>
        <v>1</v>
      </c>
      <c r="S68" s="9" t="b">
        <v>0</v>
      </c>
      <c r="T68" s="9" t="b">
        <v>1</v>
      </c>
      <c r="U68" s="9" t="b">
        <v>1</v>
      </c>
      <c r="V68" s="9" t="b">
        <v>1</v>
      </c>
    </row>
    <row r="69" spans="1:22" x14ac:dyDescent="0.25">
      <c r="A69" s="15" t="str">
        <f>_xlfn.CONCAT(stable[[#This Row],[group_0_no]:[order_no]])</f>
        <v>4103</v>
      </c>
      <c r="B69" s="15" t="s">
        <v>156</v>
      </c>
      <c r="C69" s="15" t="s">
        <v>1101</v>
      </c>
      <c r="D69" s="15" t="s">
        <v>1093</v>
      </c>
      <c r="E69" s="15" t="s">
        <v>1094</v>
      </c>
      <c r="F69" s="15" t="s">
        <v>1099</v>
      </c>
      <c r="G69" s="9" t="s">
        <v>1170</v>
      </c>
      <c r="H69" s="9" t="b">
        <v>1</v>
      </c>
      <c r="I69" s="9" t="b">
        <v>0</v>
      </c>
      <c r="J69" s="9" t="b">
        <v>0</v>
      </c>
      <c r="K69" s="9" t="b">
        <v>0</v>
      </c>
      <c r="L69" s="9" t="b">
        <v>0</v>
      </c>
      <c r="M69" s="9" t="b">
        <v>0</v>
      </c>
      <c r="N69" s="9" t="b">
        <v>1</v>
      </c>
      <c r="O69" s="9" t="b">
        <v>0</v>
      </c>
      <c r="P69" s="9" t="b">
        <v>0</v>
      </c>
      <c r="Q69" s="9" t="b">
        <v>0</v>
      </c>
      <c r="R69" s="16">
        <f>COUNTIFS(stable[q_group],stable[[#This Row],[q_group]])</f>
        <v>1</v>
      </c>
      <c r="S69" s="9" t="b">
        <v>0</v>
      </c>
      <c r="T69" s="9" t="b">
        <v>1</v>
      </c>
      <c r="U69" s="9" t="b">
        <v>1</v>
      </c>
      <c r="V69" s="9" t="b">
        <v>1</v>
      </c>
    </row>
    <row r="70" spans="1:22" x14ac:dyDescent="0.25">
      <c r="A70" s="15" t="str">
        <f>_xlfn.CONCAT(stable[[#This Row],[group_0_no]:[order_no]])</f>
        <v>4104</v>
      </c>
      <c r="B70" s="15" t="s">
        <v>158</v>
      </c>
      <c r="C70" s="15" t="s">
        <v>1101</v>
      </c>
      <c r="D70" s="15" t="s">
        <v>1093</v>
      </c>
      <c r="E70" s="15" t="s">
        <v>1094</v>
      </c>
      <c r="F70" s="15" t="s">
        <v>1101</v>
      </c>
      <c r="G70" s="9" t="s">
        <v>1171</v>
      </c>
      <c r="H70" s="9" t="b">
        <v>1</v>
      </c>
      <c r="I70" s="9" t="b">
        <v>0</v>
      </c>
      <c r="J70" s="9" t="b">
        <v>0</v>
      </c>
      <c r="K70" s="9" t="b">
        <v>0</v>
      </c>
      <c r="L70" s="9" t="b">
        <v>0</v>
      </c>
      <c r="M70" s="9" t="b">
        <v>0</v>
      </c>
      <c r="N70" s="9" t="b">
        <v>1</v>
      </c>
      <c r="O70" s="9" t="b">
        <v>0</v>
      </c>
      <c r="P70" s="9" t="b">
        <v>0</v>
      </c>
      <c r="Q70" s="9" t="b">
        <v>0</v>
      </c>
      <c r="R70" s="16">
        <f>COUNTIFS(stable[q_group],stable[[#This Row],[q_group]])</f>
        <v>1</v>
      </c>
      <c r="S70" s="9" t="b">
        <v>0</v>
      </c>
      <c r="T70" s="9" t="b">
        <v>1</v>
      </c>
      <c r="U70" s="9" t="b">
        <v>1</v>
      </c>
      <c r="V70" s="9" t="b">
        <v>1</v>
      </c>
    </row>
    <row r="71" spans="1:22" x14ac:dyDescent="0.25">
      <c r="A71" s="15" t="str">
        <f>_xlfn.CONCAT(stable[[#This Row],[group_0_no]:[order_no]])</f>
        <v>4105</v>
      </c>
      <c r="B71" s="15" t="s">
        <v>1030</v>
      </c>
      <c r="C71" s="15" t="s">
        <v>1101</v>
      </c>
      <c r="D71" s="15" t="s">
        <v>1093</v>
      </c>
      <c r="E71" s="15" t="s">
        <v>1094</v>
      </c>
      <c r="F71" s="15" t="s">
        <v>1103</v>
      </c>
      <c r="G71" s="9" t="s">
        <v>1172</v>
      </c>
      <c r="H71" s="9" t="b">
        <v>1</v>
      </c>
      <c r="I71" s="9" t="b">
        <v>0</v>
      </c>
      <c r="J71" s="9" t="b">
        <v>0</v>
      </c>
      <c r="K71" s="9" t="b">
        <v>0</v>
      </c>
      <c r="L71" s="9" t="b">
        <v>0</v>
      </c>
      <c r="M71" s="9" t="b">
        <v>0</v>
      </c>
      <c r="N71" s="9" t="b">
        <v>1</v>
      </c>
      <c r="O71" s="9" t="b">
        <v>0</v>
      </c>
      <c r="P71" s="9" t="b">
        <v>0</v>
      </c>
      <c r="Q71" s="9" t="b">
        <v>0</v>
      </c>
      <c r="R71" s="16">
        <f>COUNTIFS(stable[q_group],stable[[#This Row],[q_group]])</f>
        <v>1</v>
      </c>
      <c r="S71" s="9" t="b">
        <v>0</v>
      </c>
      <c r="T71" s="9" t="b">
        <v>1</v>
      </c>
      <c r="U71" s="9" t="b">
        <v>1</v>
      </c>
      <c r="V71" s="9" t="b">
        <v>1</v>
      </c>
    </row>
    <row r="72" spans="1:22" x14ac:dyDescent="0.25">
      <c r="A72" s="15" t="str">
        <f>_xlfn.CONCAT(stable[[#This Row],[group_0_no]:[order_no]])</f>
        <v>5000</v>
      </c>
      <c r="B72" s="15" t="s">
        <v>160</v>
      </c>
      <c r="C72" s="15" t="s">
        <v>1103</v>
      </c>
      <c r="D72" s="15" t="s">
        <v>1094</v>
      </c>
      <c r="E72" s="15" t="s">
        <v>1094</v>
      </c>
      <c r="F72" s="15" t="s">
        <v>1094</v>
      </c>
      <c r="G72" s="9" t="s">
        <v>1173</v>
      </c>
      <c r="H72" s="9" t="b">
        <v>1</v>
      </c>
      <c r="I72" s="9" t="b">
        <v>0</v>
      </c>
      <c r="J72" s="9" t="b">
        <v>0</v>
      </c>
      <c r="K72" s="9" t="b">
        <v>1</v>
      </c>
      <c r="L72" s="9" t="b">
        <v>0</v>
      </c>
      <c r="M72" s="9" t="b">
        <v>0</v>
      </c>
      <c r="N72" s="9" t="b">
        <v>0</v>
      </c>
      <c r="O72" s="9" t="b">
        <v>1</v>
      </c>
      <c r="P72" s="9" t="b">
        <v>0</v>
      </c>
      <c r="Q72" s="9" t="b">
        <v>1</v>
      </c>
      <c r="R72" s="16">
        <f>COUNTIFS(stable[q_group],stable[[#This Row],[q_group]])</f>
        <v>1</v>
      </c>
      <c r="S72" s="9" t="b">
        <v>0</v>
      </c>
      <c r="T72" s="9" t="b">
        <v>1</v>
      </c>
      <c r="U72" s="9" t="b">
        <v>1</v>
      </c>
      <c r="V72" s="9" t="b">
        <v>0</v>
      </c>
    </row>
    <row r="73" spans="1:22" x14ac:dyDescent="0.25">
      <c r="A73" s="15" t="str">
        <f>_xlfn.CONCAT(stable[[#This Row],[group_0_no]:[order_no]])</f>
        <v>5001</v>
      </c>
      <c r="B73" s="15" t="s">
        <v>162</v>
      </c>
      <c r="C73" s="15" t="s">
        <v>1103</v>
      </c>
      <c r="D73" s="15" t="s">
        <v>1094</v>
      </c>
      <c r="E73" s="15" t="s">
        <v>1094</v>
      </c>
      <c r="F73" s="15" t="s">
        <v>1093</v>
      </c>
      <c r="G73" s="9" t="s">
        <v>1174</v>
      </c>
      <c r="H73" s="9" t="b">
        <v>1</v>
      </c>
      <c r="I73" s="9" t="b">
        <v>0</v>
      </c>
      <c r="J73" s="9" t="b">
        <v>0</v>
      </c>
      <c r="K73" s="9" t="b">
        <v>0</v>
      </c>
      <c r="L73" s="9" t="b">
        <v>0</v>
      </c>
      <c r="M73" s="9" t="b">
        <v>0</v>
      </c>
      <c r="N73" s="9" t="b">
        <v>1</v>
      </c>
      <c r="O73" s="9" t="b">
        <v>0</v>
      </c>
      <c r="P73" s="9" t="b">
        <v>0</v>
      </c>
      <c r="Q73" s="9" t="b">
        <v>1</v>
      </c>
      <c r="R73" s="16">
        <f>COUNTIFS(stable[q_group],stable[[#This Row],[q_group]])</f>
        <v>1</v>
      </c>
      <c r="S73" s="9" t="b">
        <v>0</v>
      </c>
      <c r="T73" s="9" t="b">
        <v>1</v>
      </c>
      <c r="U73" s="9" t="b">
        <v>1</v>
      </c>
      <c r="V73" s="9" t="b">
        <v>0</v>
      </c>
    </row>
    <row r="74" spans="1:22" s="22" customFormat="1" x14ac:dyDescent="0.25">
      <c r="A74" s="28" t="str">
        <f>_xlfn.CONCAT(stable[[#This Row],[group_0_no]:[order_no]])</f>
        <v>5100</v>
      </c>
      <c r="B74" s="20" t="s">
        <v>1175</v>
      </c>
      <c r="C74" s="21" t="s">
        <v>1103</v>
      </c>
      <c r="D74" s="21" t="s">
        <v>1093</v>
      </c>
      <c r="E74" s="21" t="s">
        <v>1094</v>
      </c>
      <c r="F74" s="21" t="s">
        <v>1094</v>
      </c>
      <c r="G74" s="22" t="s">
        <v>1176</v>
      </c>
      <c r="H74" s="22" t="b">
        <v>0</v>
      </c>
      <c r="I74" s="22" t="b">
        <v>1</v>
      </c>
      <c r="J74" s="22" t="b">
        <v>0</v>
      </c>
      <c r="K74" s="22" t="b">
        <v>0</v>
      </c>
      <c r="L74" s="22" t="b">
        <v>0</v>
      </c>
      <c r="M74" s="17" t="b">
        <v>0</v>
      </c>
      <c r="N74" s="22" t="b">
        <v>0</v>
      </c>
      <c r="O74" s="17" t="b">
        <v>1</v>
      </c>
      <c r="P74" s="22" t="b">
        <v>0</v>
      </c>
      <c r="Q74" s="9" t="b">
        <v>1</v>
      </c>
      <c r="R74" s="29">
        <f>COUNTIFS(stable[q_group],stable[[#This Row],[q_group]])</f>
        <v>1</v>
      </c>
      <c r="S74" s="22" t="b">
        <v>0</v>
      </c>
      <c r="T74" s="22" t="b">
        <v>1</v>
      </c>
      <c r="U74" s="22" t="b">
        <v>1</v>
      </c>
      <c r="V74" s="22" t="b">
        <v>0</v>
      </c>
    </row>
    <row r="75" spans="1:22" x14ac:dyDescent="0.25">
      <c r="A75" s="15" t="str">
        <f>_xlfn.CONCAT(stable[[#This Row],[group_0_no]:[order_no]])</f>
        <v>5101</v>
      </c>
      <c r="B75" s="15" t="s">
        <v>559</v>
      </c>
      <c r="C75" s="15" t="s">
        <v>1103</v>
      </c>
      <c r="D75" s="15" t="s">
        <v>1093</v>
      </c>
      <c r="E75" s="15" t="s">
        <v>1094</v>
      </c>
      <c r="F75" s="15" t="s">
        <v>1093</v>
      </c>
      <c r="G75" s="9" t="s">
        <v>1177</v>
      </c>
      <c r="H75" s="9" t="b">
        <v>0</v>
      </c>
      <c r="I75" s="9" t="b">
        <v>1</v>
      </c>
      <c r="J75" s="9" t="b">
        <v>0</v>
      </c>
      <c r="K75" s="9" t="b">
        <v>0</v>
      </c>
      <c r="L75" s="9" t="b">
        <v>0</v>
      </c>
      <c r="M75" s="9" t="b">
        <v>0</v>
      </c>
      <c r="N75" s="9" t="b">
        <v>1</v>
      </c>
      <c r="O75" s="9" t="b">
        <v>0</v>
      </c>
      <c r="P75" s="9" t="b">
        <v>0</v>
      </c>
      <c r="Q75" s="9" t="b">
        <v>1</v>
      </c>
      <c r="R75" s="16">
        <f>COUNTIFS(stable[q_group],stable[[#This Row],[q_group]])</f>
        <v>1</v>
      </c>
      <c r="S75" s="9" t="b">
        <v>0</v>
      </c>
      <c r="T75" s="9" t="b">
        <v>1</v>
      </c>
      <c r="U75" s="9" t="b">
        <v>1</v>
      </c>
      <c r="V75" s="9" t="b">
        <v>0</v>
      </c>
    </row>
    <row r="76" spans="1:22" x14ac:dyDescent="0.25">
      <c r="A76" s="15" t="str">
        <f>_xlfn.CONCAT(stable[[#This Row],[group_0_no]:[order_no]])</f>
        <v>5102</v>
      </c>
      <c r="B76" s="15" t="s">
        <v>561</v>
      </c>
      <c r="C76" s="15" t="s">
        <v>1103</v>
      </c>
      <c r="D76" s="15" t="s">
        <v>1093</v>
      </c>
      <c r="E76" s="15" t="s">
        <v>1094</v>
      </c>
      <c r="F76" s="15" t="s">
        <v>1097</v>
      </c>
      <c r="G76" s="9" t="s">
        <v>1178</v>
      </c>
      <c r="H76" s="9" t="b">
        <v>0</v>
      </c>
      <c r="I76" s="9" t="b">
        <v>1</v>
      </c>
      <c r="J76" s="9" t="b">
        <v>0</v>
      </c>
      <c r="K76" s="9" t="b">
        <v>0</v>
      </c>
      <c r="L76" s="9" t="b">
        <v>0</v>
      </c>
      <c r="M76" s="9" t="b">
        <v>0</v>
      </c>
      <c r="N76" s="9" t="b">
        <v>0</v>
      </c>
      <c r="O76" s="9" t="b">
        <v>1</v>
      </c>
      <c r="P76" s="9" t="b">
        <v>0</v>
      </c>
      <c r="Q76" s="9" t="b">
        <v>1</v>
      </c>
      <c r="R76" s="16">
        <f>COUNTIFS(stable[q_group],stable[[#This Row],[q_group]])</f>
        <v>1</v>
      </c>
      <c r="S76" s="9" t="b">
        <v>0</v>
      </c>
      <c r="T76" s="9" t="b">
        <v>1</v>
      </c>
      <c r="U76" s="9" t="b">
        <v>1</v>
      </c>
      <c r="V76" s="9" t="b">
        <v>0</v>
      </c>
    </row>
    <row r="77" spans="1:22" x14ac:dyDescent="0.25">
      <c r="A77" s="23" t="str">
        <f>_xlfn.CONCAT(stable[[#This Row],[group_0_no]:[order_no]])</f>
        <v>5110</v>
      </c>
      <c r="B77" s="18" t="s">
        <v>1179</v>
      </c>
      <c r="C77" s="15" t="s">
        <v>1103</v>
      </c>
      <c r="D77" s="15" t="s">
        <v>1093</v>
      </c>
      <c r="E77" s="15" t="s">
        <v>1093</v>
      </c>
      <c r="F77" s="15" t="s">
        <v>1094</v>
      </c>
      <c r="G77" s="9" t="s">
        <v>1180</v>
      </c>
      <c r="H77" s="9" t="b">
        <v>0</v>
      </c>
      <c r="I77" s="9" t="b">
        <v>1</v>
      </c>
      <c r="J77" s="9" t="b">
        <v>0</v>
      </c>
      <c r="K77" s="9" t="b">
        <v>0</v>
      </c>
      <c r="L77" s="9" t="b">
        <v>0</v>
      </c>
      <c r="M77" s="9" t="b">
        <v>0</v>
      </c>
      <c r="N77" s="9" t="b">
        <v>0</v>
      </c>
      <c r="O77" s="9" t="b">
        <v>1</v>
      </c>
      <c r="P77" s="9" t="b">
        <v>0</v>
      </c>
      <c r="Q77" s="9" t="b">
        <v>1</v>
      </c>
      <c r="R77" s="16">
        <f>COUNTIFS(stable[q_group],stable[[#This Row],[q_group]])</f>
        <v>1</v>
      </c>
      <c r="S77" s="9" t="b">
        <v>0</v>
      </c>
      <c r="T77" s="9" t="b">
        <v>1</v>
      </c>
      <c r="U77" s="9" t="b">
        <v>1</v>
      </c>
      <c r="V77" s="9" t="b">
        <v>0</v>
      </c>
    </row>
    <row r="78" spans="1:22" x14ac:dyDescent="0.25">
      <c r="A78" s="15" t="str">
        <f>_xlfn.CONCAT(stable[[#This Row],[group_0_no]:[order_no]])</f>
        <v>5111</v>
      </c>
      <c r="B78" s="15" t="s">
        <v>566</v>
      </c>
      <c r="C78" s="15" t="s">
        <v>1103</v>
      </c>
      <c r="D78" s="15" t="s">
        <v>1093</v>
      </c>
      <c r="E78" s="15" t="s">
        <v>1093</v>
      </c>
      <c r="F78" s="15" t="s">
        <v>1093</v>
      </c>
      <c r="G78" s="9" t="s">
        <v>1181</v>
      </c>
      <c r="H78" s="9" t="b">
        <v>0</v>
      </c>
      <c r="I78" s="9" t="b">
        <v>1</v>
      </c>
      <c r="J78" s="9" t="b">
        <v>0</v>
      </c>
      <c r="K78" s="9" t="b">
        <v>0</v>
      </c>
      <c r="L78" s="9" t="b">
        <v>0</v>
      </c>
      <c r="M78" s="9" t="b">
        <v>0</v>
      </c>
      <c r="N78" s="9" t="b">
        <v>1</v>
      </c>
      <c r="O78" s="9" t="b">
        <v>0</v>
      </c>
      <c r="P78" s="9" t="b">
        <v>0</v>
      </c>
      <c r="Q78" s="9" t="b">
        <v>1</v>
      </c>
      <c r="R78" s="16">
        <f>COUNTIFS(stable[q_group],stable[[#This Row],[q_group]])</f>
        <v>1</v>
      </c>
      <c r="S78" s="9" t="b">
        <v>0</v>
      </c>
      <c r="T78" s="9" t="b">
        <v>1</v>
      </c>
      <c r="U78" s="9" t="b">
        <v>1</v>
      </c>
      <c r="V78" s="9" t="b">
        <v>0</v>
      </c>
    </row>
    <row r="79" spans="1:22" x14ac:dyDescent="0.25">
      <c r="A79" s="15" t="str">
        <f>_xlfn.CONCAT(stable[[#This Row],[group_0_no]:[order_no]])</f>
        <v>5112</v>
      </c>
      <c r="B79" s="15" t="s">
        <v>568</v>
      </c>
      <c r="C79" s="15" t="s">
        <v>1103</v>
      </c>
      <c r="D79" s="15" t="s">
        <v>1093</v>
      </c>
      <c r="E79" s="15" t="s">
        <v>1093</v>
      </c>
      <c r="F79" s="15" t="s">
        <v>1097</v>
      </c>
      <c r="G79" s="9" t="s">
        <v>1182</v>
      </c>
      <c r="H79" s="9" t="b">
        <v>0</v>
      </c>
      <c r="I79" s="9" t="b">
        <v>1</v>
      </c>
      <c r="J79" s="9" t="b">
        <v>0</v>
      </c>
      <c r="K79" s="9" t="b">
        <v>0</v>
      </c>
      <c r="L79" s="9" t="b">
        <v>0</v>
      </c>
      <c r="M79" s="9" t="b">
        <v>0</v>
      </c>
      <c r="N79" s="9" t="b">
        <v>0</v>
      </c>
      <c r="O79" s="9" t="b">
        <v>1</v>
      </c>
      <c r="P79" s="9" t="b">
        <v>0</v>
      </c>
      <c r="Q79" s="9" t="b">
        <v>1</v>
      </c>
      <c r="R79" s="16">
        <f>COUNTIFS(stable[q_group],stable[[#This Row],[q_group]])</f>
        <v>1</v>
      </c>
      <c r="S79" s="9" t="b">
        <v>0</v>
      </c>
      <c r="T79" s="9" t="b">
        <v>1</v>
      </c>
      <c r="U79" s="9" t="b">
        <v>1</v>
      </c>
      <c r="V79" s="9" t="b">
        <v>0</v>
      </c>
    </row>
    <row r="80" spans="1:22" x14ac:dyDescent="0.25">
      <c r="A80" s="23" t="str">
        <f>_xlfn.CONCAT(stable[[#This Row],[group_0_no]:[order_no]])</f>
        <v>5120</v>
      </c>
      <c r="B80" s="18" t="s">
        <v>963</v>
      </c>
      <c r="C80" s="15" t="s">
        <v>1103</v>
      </c>
      <c r="D80" s="15" t="s">
        <v>1093</v>
      </c>
      <c r="E80" s="19">
        <v>2</v>
      </c>
      <c r="F80" s="15" t="s">
        <v>1094</v>
      </c>
      <c r="G80" s="9" t="s">
        <v>1183</v>
      </c>
      <c r="H80" s="9" t="b">
        <v>0</v>
      </c>
      <c r="I80" s="9" t="b">
        <v>1</v>
      </c>
      <c r="J80" s="9" t="b">
        <v>1</v>
      </c>
      <c r="K80" s="9" t="b">
        <v>0</v>
      </c>
      <c r="L80" s="9" t="b">
        <v>0</v>
      </c>
      <c r="M80" s="9" t="b">
        <v>1</v>
      </c>
      <c r="N80" s="9" t="b">
        <v>0</v>
      </c>
      <c r="O80" s="9" t="b">
        <v>0</v>
      </c>
      <c r="P80" s="9" t="b">
        <v>0</v>
      </c>
      <c r="Q80" s="9" t="b">
        <v>1</v>
      </c>
      <c r="R80" s="16">
        <f>COUNTIFS(stable[q_group],stable[[#This Row],[q_group]])</f>
        <v>1</v>
      </c>
      <c r="S80" s="9" t="b">
        <v>0</v>
      </c>
      <c r="T80" s="9" t="b">
        <v>1</v>
      </c>
      <c r="U80" s="9" t="b">
        <v>1</v>
      </c>
      <c r="V80" s="9" t="b">
        <v>0</v>
      </c>
    </row>
    <row r="81" spans="1:22" x14ac:dyDescent="0.25">
      <c r="A81" s="15" t="str">
        <f>_xlfn.CONCAT(stable[[#This Row],[group_0_no]:[order_no]])</f>
        <v>5121</v>
      </c>
      <c r="B81" s="15" t="s">
        <v>685</v>
      </c>
      <c r="C81" s="15" t="s">
        <v>1103</v>
      </c>
      <c r="D81" s="15" t="s">
        <v>1093</v>
      </c>
      <c r="E81" s="19">
        <v>2</v>
      </c>
      <c r="F81" s="15" t="s">
        <v>1093</v>
      </c>
      <c r="G81" s="9" t="s">
        <v>1184</v>
      </c>
      <c r="H81" s="9" t="b">
        <v>0</v>
      </c>
      <c r="I81" s="9" t="b">
        <v>1</v>
      </c>
      <c r="J81" s="9" t="b">
        <v>1</v>
      </c>
      <c r="K81" s="9" t="b">
        <v>0</v>
      </c>
      <c r="L81" s="9" t="b">
        <v>0</v>
      </c>
      <c r="M81" s="9" t="b">
        <v>0</v>
      </c>
      <c r="N81" s="9" t="b">
        <v>1</v>
      </c>
      <c r="O81" s="9" t="b">
        <v>0</v>
      </c>
      <c r="P81" s="9" t="b">
        <v>0</v>
      </c>
      <c r="Q81" s="9" t="b">
        <v>1</v>
      </c>
      <c r="R81" s="16">
        <f>COUNTIFS(stable[q_group],stable[[#This Row],[q_group]])</f>
        <v>1</v>
      </c>
      <c r="S81" s="9" t="b">
        <v>0</v>
      </c>
      <c r="T81" s="9" t="b">
        <v>1</v>
      </c>
      <c r="U81" s="9" t="b">
        <v>1</v>
      </c>
      <c r="V81" s="9" t="b">
        <v>0</v>
      </c>
    </row>
    <row r="82" spans="1:22" x14ac:dyDescent="0.25">
      <c r="A82" s="15" t="str">
        <f>_xlfn.CONCAT(stable[[#This Row],[group_0_no]:[order_no]])</f>
        <v>5122</v>
      </c>
      <c r="B82" s="15" t="s">
        <v>1185</v>
      </c>
      <c r="C82" s="15" t="s">
        <v>1103</v>
      </c>
      <c r="D82" s="15" t="s">
        <v>1093</v>
      </c>
      <c r="E82" s="19">
        <v>2</v>
      </c>
      <c r="F82" s="15" t="s">
        <v>1097</v>
      </c>
      <c r="G82" s="9" t="s">
        <v>1186</v>
      </c>
      <c r="H82" s="9" t="b">
        <v>0</v>
      </c>
      <c r="I82" s="9" t="b">
        <v>1</v>
      </c>
      <c r="J82" s="9" t="b">
        <v>1</v>
      </c>
      <c r="K82" s="9" t="b">
        <v>0</v>
      </c>
      <c r="L82" s="9" t="b">
        <v>0</v>
      </c>
      <c r="M82" s="9" t="b">
        <v>0</v>
      </c>
      <c r="N82" s="9" t="b">
        <v>0</v>
      </c>
      <c r="O82" s="9" t="b">
        <v>1</v>
      </c>
      <c r="P82" s="9" t="b">
        <v>0</v>
      </c>
      <c r="Q82" s="9" t="b">
        <v>1</v>
      </c>
      <c r="R82" s="16">
        <f>COUNTIFS(stable[q_group],stable[[#This Row],[q_group]])</f>
        <v>1</v>
      </c>
      <c r="S82" s="9" t="b">
        <v>0</v>
      </c>
      <c r="T82" s="9" t="b">
        <v>1</v>
      </c>
      <c r="U82" s="9" t="b">
        <v>1</v>
      </c>
      <c r="V82" s="9" t="b">
        <v>0</v>
      </c>
    </row>
    <row r="83" spans="1:22" x14ac:dyDescent="0.25">
      <c r="A83" s="23" t="str">
        <f>_xlfn.CONCAT(stable[[#This Row],[group_0_no]:[order_no]])</f>
        <v>5130</v>
      </c>
      <c r="B83" s="18" t="s">
        <v>1187</v>
      </c>
      <c r="C83" s="15" t="s">
        <v>1103</v>
      </c>
      <c r="D83" s="15" t="s">
        <v>1093</v>
      </c>
      <c r="E83" s="15">
        <v>3</v>
      </c>
      <c r="F83" s="15" t="s">
        <v>1094</v>
      </c>
      <c r="G83" s="9" t="s">
        <v>1188</v>
      </c>
      <c r="H83" s="9" t="b">
        <v>0</v>
      </c>
      <c r="I83" s="9" t="b">
        <v>1</v>
      </c>
      <c r="J83" s="9" t="b">
        <v>0</v>
      </c>
      <c r="K83" s="9" t="b">
        <v>0</v>
      </c>
      <c r="L83" s="9" t="b">
        <v>0</v>
      </c>
      <c r="M83" s="9" t="b">
        <v>1</v>
      </c>
      <c r="N83" s="9" t="b">
        <v>0</v>
      </c>
      <c r="O83" s="9" t="b">
        <v>0</v>
      </c>
      <c r="P83" s="9" t="b">
        <v>0</v>
      </c>
      <c r="Q83" s="9" t="b">
        <v>1</v>
      </c>
      <c r="R83" s="16">
        <f>COUNTIFS(stable[q_group],stable[[#This Row],[q_group]])</f>
        <v>1</v>
      </c>
      <c r="S83" s="9" t="b">
        <v>0</v>
      </c>
      <c r="T83" s="9" t="b">
        <v>1</v>
      </c>
      <c r="U83" s="9" t="b">
        <v>1</v>
      </c>
      <c r="V83" s="9" t="b">
        <v>0</v>
      </c>
    </row>
    <row r="84" spans="1:22" x14ac:dyDescent="0.25">
      <c r="A84" s="15" t="str">
        <f>_xlfn.CONCAT(stable[[#This Row],[group_0_no]:[order_no]])</f>
        <v>5131</v>
      </c>
      <c r="B84" s="15" t="s">
        <v>691</v>
      </c>
      <c r="C84" s="15" t="s">
        <v>1103</v>
      </c>
      <c r="D84" s="15" t="s">
        <v>1093</v>
      </c>
      <c r="E84" s="15">
        <v>3</v>
      </c>
      <c r="F84" s="15" t="s">
        <v>1093</v>
      </c>
      <c r="G84" s="9" t="s">
        <v>1189</v>
      </c>
      <c r="H84" s="9" t="b">
        <v>0</v>
      </c>
      <c r="I84" s="9" t="b">
        <v>1</v>
      </c>
      <c r="J84" s="9" t="b">
        <v>0</v>
      </c>
      <c r="K84" s="9" t="b">
        <v>0</v>
      </c>
      <c r="L84" s="9" t="b">
        <v>0</v>
      </c>
      <c r="M84" s="9" t="b">
        <v>0</v>
      </c>
      <c r="N84" s="9" t="b">
        <v>1</v>
      </c>
      <c r="O84" s="9" t="b">
        <v>0</v>
      </c>
      <c r="P84" s="9" t="b">
        <v>0</v>
      </c>
      <c r="Q84" s="9" t="b">
        <v>1</v>
      </c>
      <c r="R84" s="16">
        <f>COUNTIFS(stable[q_group],stable[[#This Row],[q_group]])</f>
        <v>1</v>
      </c>
      <c r="S84" s="9" t="b">
        <v>0</v>
      </c>
      <c r="T84" s="9" t="b">
        <v>1</v>
      </c>
      <c r="U84" s="9" t="b">
        <v>1</v>
      </c>
      <c r="V84" s="9" t="b">
        <v>0</v>
      </c>
    </row>
    <row r="85" spans="1:22" x14ac:dyDescent="0.25">
      <c r="A85" s="15" t="str">
        <f>_xlfn.CONCAT(stable[[#This Row],[group_0_no]:[order_no]])</f>
        <v>5132</v>
      </c>
      <c r="B85" s="15" t="s">
        <v>1190</v>
      </c>
      <c r="C85" s="15" t="s">
        <v>1103</v>
      </c>
      <c r="D85" s="15" t="s">
        <v>1093</v>
      </c>
      <c r="E85" s="15">
        <v>3</v>
      </c>
      <c r="F85" s="15" t="s">
        <v>1097</v>
      </c>
      <c r="G85" s="9" t="s">
        <v>1191</v>
      </c>
      <c r="H85" s="9" t="b">
        <v>0</v>
      </c>
      <c r="I85" s="9" t="b">
        <v>1</v>
      </c>
      <c r="J85" s="9" t="b">
        <v>0</v>
      </c>
      <c r="K85" s="9" t="b">
        <v>0</v>
      </c>
      <c r="L85" s="9" t="b">
        <v>0</v>
      </c>
      <c r="M85" s="9" t="b">
        <v>0</v>
      </c>
      <c r="N85" s="9" t="b">
        <v>0</v>
      </c>
      <c r="O85" s="9" t="b">
        <v>1</v>
      </c>
      <c r="P85" s="9" t="b">
        <v>0</v>
      </c>
      <c r="Q85" s="9" t="b">
        <v>1</v>
      </c>
      <c r="R85" s="16">
        <f>COUNTIFS(stable[q_group],stable[[#This Row],[q_group]])</f>
        <v>1</v>
      </c>
      <c r="S85" s="9" t="b">
        <v>0</v>
      </c>
      <c r="T85" s="9" t="b">
        <v>1</v>
      </c>
      <c r="U85" s="9" t="b">
        <v>1</v>
      </c>
      <c r="V85" s="9" t="b">
        <v>0</v>
      </c>
    </row>
    <row r="86" spans="1:22" ht="47.25" x14ac:dyDescent="0.25">
      <c r="A86" s="23" t="str">
        <f>_xlfn.CONCAT(stable[[#This Row],[group_0_no]:[order_no]])</f>
        <v>5140</v>
      </c>
      <c r="B86" s="26" t="s">
        <v>1192</v>
      </c>
      <c r="C86" s="15" t="s">
        <v>1103</v>
      </c>
      <c r="D86" s="15" t="s">
        <v>1093</v>
      </c>
      <c r="E86" s="15" t="s">
        <v>1101</v>
      </c>
      <c r="F86" s="15" t="s">
        <v>1094</v>
      </c>
      <c r="G86" s="17" t="s">
        <v>1193</v>
      </c>
      <c r="H86" s="17" t="b">
        <v>1</v>
      </c>
      <c r="I86" s="9" t="b">
        <v>1</v>
      </c>
      <c r="J86" s="9" t="b">
        <v>0</v>
      </c>
      <c r="K86" s="17" t="b">
        <v>1</v>
      </c>
      <c r="L86" s="9" t="b">
        <v>0</v>
      </c>
      <c r="M86" s="17" t="b">
        <v>0</v>
      </c>
      <c r="N86" s="9" t="b">
        <v>0</v>
      </c>
      <c r="O86" s="17" t="b">
        <v>1</v>
      </c>
      <c r="P86" s="9" t="b">
        <v>0</v>
      </c>
      <c r="Q86" s="9" t="b">
        <v>1</v>
      </c>
      <c r="R86" s="16">
        <f>COUNTIFS(stable[q_group],stable[[#This Row],[q_group]])</f>
        <v>1</v>
      </c>
      <c r="S86" s="9" t="b">
        <v>0</v>
      </c>
      <c r="T86" s="9" t="b">
        <v>1</v>
      </c>
      <c r="U86" s="9" t="b">
        <v>1</v>
      </c>
      <c r="V86" s="9" t="b">
        <v>0</v>
      </c>
    </row>
    <row r="87" spans="1:22" x14ac:dyDescent="0.25">
      <c r="A87" s="15" t="str">
        <f>_xlfn.CONCAT(stable[[#This Row],[group_0_no]:[order_no]])</f>
        <v>5141</v>
      </c>
      <c r="B87" s="18" t="s">
        <v>969</v>
      </c>
      <c r="C87" s="15" t="s">
        <v>1103</v>
      </c>
      <c r="D87" s="15" t="s">
        <v>1093</v>
      </c>
      <c r="E87" s="15" t="s">
        <v>1101</v>
      </c>
      <c r="F87" s="15" t="s">
        <v>1093</v>
      </c>
      <c r="G87" s="17" t="s">
        <v>1194</v>
      </c>
      <c r="H87" s="9" t="b">
        <v>0</v>
      </c>
      <c r="I87" s="9" t="b">
        <v>1</v>
      </c>
      <c r="J87" s="9" t="b">
        <v>0</v>
      </c>
      <c r="K87" s="9" t="b">
        <v>0</v>
      </c>
      <c r="L87" s="9" t="b">
        <v>0</v>
      </c>
      <c r="M87" s="9" t="b">
        <v>0</v>
      </c>
      <c r="N87" s="9" t="b">
        <v>1</v>
      </c>
      <c r="O87" s="9" t="b">
        <v>0</v>
      </c>
      <c r="P87" s="9" t="b">
        <v>0</v>
      </c>
      <c r="Q87" s="9" t="b">
        <v>1</v>
      </c>
      <c r="R87" s="16">
        <f>COUNTIFS(stable[q_group],stable[[#This Row],[q_group]])</f>
        <v>1</v>
      </c>
      <c r="S87" s="9" t="b">
        <v>0</v>
      </c>
      <c r="T87" s="9" t="b">
        <v>1</v>
      </c>
      <c r="U87" s="9" t="b">
        <v>1</v>
      </c>
      <c r="V87" s="9" t="b">
        <v>0</v>
      </c>
    </row>
    <row r="88" spans="1:22" x14ac:dyDescent="0.25">
      <c r="A88" s="15" t="str">
        <f>_xlfn.CONCAT(stable[[#This Row],[group_0_no]:[order_no]])</f>
        <v>5142</v>
      </c>
      <c r="B88" s="18" t="s">
        <v>1195</v>
      </c>
      <c r="C88" s="15" t="s">
        <v>1103</v>
      </c>
      <c r="D88" s="15" t="s">
        <v>1093</v>
      </c>
      <c r="E88" s="15" t="s">
        <v>1101</v>
      </c>
      <c r="F88" s="15" t="s">
        <v>1097</v>
      </c>
      <c r="G88" s="17" t="s">
        <v>1196</v>
      </c>
      <c r="H88" s="9" t="b">
        <v>0</v>
      </c>
      <c r="I88" s="9" t="b">
        <v>1</v>
      </c>
      <c r="J88" s="9" t="b">
        <v>0</v>
      </c>
      <c r="K88" s="9" t="b">
        <v>0</v>
      </c>
      <c r="L88" s="9" t="b">
        <v>0</v>
      </c>
      <c r="M88" s="9" t="b">
        <v>0</v>
      </c>
      <c r="N88" s="9" t="b">
        <v>0</v>
      </c>
      <c r="O88" s="9" t="b">
        <v>1</v>
      </c>
      <c r="P88" s="9" t="b">
        <v>0</v>
      </c>
      <c r="Q88" s="9" t="b">
        <v>1</v>
      </c>
      <c r="R88" s="16">
        <f>COUNTIFS(stable[q_group],stable[[#This Row],[q_group]])</f>
        <v>1</v>
      </c>
      <c r="S88" s="9" t="b">
        <v>0</v>
      </c>
      <c r="T88" s="9" t="b">
        <v>1</v>
      </c>
      <c r="U88" s="9" t="b">
        <v>1</v>
      </c>
      <c r="V88" s="9" t="b">
        <v>0</v>
      </c>
    </row>
    <row r="89" spans="1:22" x14ac:dyDescent="0.25">
      <c r="A89" s="15" t="str">
        <f>_xlfn.CONCAT(stable[[#This Row],[group_0_no]:[order_no]])</f>
        <v>5400</v>
      </c>
      <c r="B89" s="15" t="s">
        <v>176</v>
      </c>
      <c r="C89" s="15" t="s">
        <v>1103</v>
      </c>
      <c r="D89" s="15" t="s">
        <v>1101</v>
      </c>
      <c r="E89" s="15" t="s">
        <v>1094</v>
      </c>
      <c r="F89" s="15" t="s">
        <v>1094</v>
      </c>
      <c r="G89" s="9" t="s">
        <v>1197</v>
      </c>
      <c r="H89" s="9" t="b">
        <v>1</v>
      </c>
      <c r="I89" s="9" t="b">
        <v>0</v>
      </c>
      <c r="J89" s="9" t="b">
        <v>0</v>
      </c>
      <c r="K89" s="9" t="b">
        <v>1</v>
      </c>
      <c r="L89" s="9" t="b">
        <v>0</v>
      </c>
      <c r="M89" s="9" t="b">
        <v>0</v>
      </c>
      <c r="N89" s="9" t="b">
        <v>0</v>
      </c>
      <c r="O89" s="9" t="b">
        <v>1</v>
      </c>
      <c r="P89" s="9" t="b">
        <v>0</v>
      </c>
      <c r="Q89" s="9" t="b">
        <v>1</v>
      </c>
      <c r="R89" s="16">
        <f>COUNTIFS(stable[q_group],stable[[#This Row],[q_group]])</f>
        <v>1</v>
      </c>
      <c r="S89" s="9" t="b">
        <v>0</v>
      </c>
      <c r="T89" s="9" t="b">
        <v>1</v>
      </c>
      <c r="U89" s="9" t="b">
        <v>1</v>
      </c>
      <c r="V89" s="9" t="b">
        <v>0</v>
      </c>
    </row>
    <row r="90" spans="1:22" x14ac:dyDescent="0.25">
      <c r="A90" s="28" t="str">
        <f>_xlfn.CONCAT(stable[[#This Row],[group_0_no]:[order_no]])</f>
        <v>5401</v>
      </c>
      <c r="B90" s="20" t="s">
        <v>1198</v>
      </c>
      <c r="C90" s="21" t="s">
        <v>1103</v>
      </c>
      <c r="D90" s="21" t="s">
        <v>1101</v>
      </c>
      <c r="E90" s="21" t="s">
        <v>1094</v>
      </c>
      <c r="F90" s="21" t="s">
        <v>1093</v>
      </c>
      <c r="G90" s="22" t="s">
        <v>1199</v>
      </c>
      <c r="H90" s="22" t="b">
        <v>1</v>
      </c>
      <c r="I90" s="22" t="b">
        <v>0</v>
      </c>
      <c r="J90" s="22" t="b">
        <v>0</v>
      </c>
      <c r="K90" s="22" t="b">
        <v>0</v>
      </c>
      <c r="L90" s="22" t="b">
        <v>0</v>
      </c>
      <c r="M90" s="17" t="b">
        <v>1</v>
      </c>
      <c r="N90" s="22" t="b">
        <v>0</v>
      </c>
      <c r="O90" s="17" t="b">
        <v>1</v>
      </c>
      <c r="P90" s="22" t="b">
        <v>0</v>
      </c>
      <c r="Q90" s="9" t="b">
        <v>1</v>
      </c>
      <c r="R90" s="29">
        <f>COUNTIFS(stable[q_group],stable[[#This Row],[q_group]])</f>
        <v>1</v>
      </c>
      <c r="S90" s="22" t="b">
        <v>0</v>
      </c>
      <c r="T90" s="22" t="b">
        <v>1</v>
      </c>
      <c r="U90" s="22" t="b">
        <v>1</v>
      </c>
      <c r="V90" s="22" t="b">
        <v>0</v>
      </c>
    </row>
    <row r="91" spans="1:22" x14ac:dyDescent="0.25">
      <c r="A91" s="15" t="str">
        <f>_xlfn.CONCAT(stable[[#This Row],[group_0_no]:[order_no]])</f>
        <v>5402</v>
      </c>
      <c r="B91" s="15" t="s">
        <v>180</v>
      </c>
      <c r="C91" s="15" t="s">
        <v>1103</v>
      </c>
      <c r="D91" s="15" t="s">
        <v>1101</v>
      </c>
      <c r="E91" s="15" t="s">
        <v>1094</v>
      </c>
      <c r="F91" s="15" t="s">
        <v>1097</v>
      </c>
      <c r="G91" s="9" t="s">
        <v>1200</v>
      </c>
      <c r="H91" s="9" t="b">
        <v>1</v>
      </c>
      <c r="I91" s="9" t="b">
        <v>0</v>
      </c>
      <c r="J91" s="9" t="b">
        <v>0</v>
      </c>
      <c r="K91" s="9" t="b">
        <v>0</v>
      </c>
      <c r="L91" s="9" t="b">
        <v>0</v>
      </c>
      <c r="M91" s="9" t="b">
        <v>0</v>
      </c>
      <c r="N91" s="9" t="b">
        <v>1</v>
      </c>
      <c r="O91" s="9" t="b">
        <v>0</v>
      </c>
      <c r="P91" s="9" t="b">
        <v>0</v>
      </c>
      <c r="Q91" s="9" t="b">
        <v>1</v>
      </c>
      <c r="R91" s="16">
        <f>COUNTIFS(stable[q_group],stable[[#This Row],[q_group]])</f>
        <v>1</v>
      </c>
      <c r="S91" s="9" t="b">
        <v>0</v>
      </c>
      <c r="T91" s="9" t="b">
        <v>1</v>
      </c>
      <c r="U91" s="9" t="b">
        <v>1</v>
      </c>
      <c r="V91" s="9" t="b">
        <v>0</v>
      </c>
    </row>
    <row r="92" spans="1:22" x14ac:dyDescent="0.25">
      <c r="A92" s="15" t="str">
        <f>_xlfn.CONCAT(stable[[#This Row],[group_0_no]:[order_no]])</f>
        <v>5403</v>
      </c>
      <c r="B92" s="15" t="s">
        <v>182</v>
      </c>
      <c r="C92" s="15" t="s">
        <v>1103</v>
      </c>
      <c r="D92" s="15" t="s">
        <v>1101</v>
      </c>
      <c r="E92" s="15" t="s">
        <v>1094</v>
      </c>
      <c r="F92" s="15" t="s">
        <v>1099</v>
      </c>
      <c r="G92" s="9" t="s">
        <v>1201</v>
      </c>
      <c r="H92" s="9" t="b">
        <v>1</v>
      </c>
      <c r="I92" s="9" t="b">
        <v>0</v>
      </c>
      <c r="J92" s="9" t="b">
        <v>0</v>
      </c>
      <c r="K92" s="9" t="b">
        <v>0</v>
      </c>
      <c r="L92" s="9" t="b">
        <v>0</v>
      </c>
      <c r="M92" s="9" t="b">
        <v>1</v>
      </c>
      <c r="N92" s="9" t="b">
        <v>0</v>
      </c>
      <c r="O92" s="9" t="b">
        <v>0</v>
      </c>
      <c r="P92" s="9" t="b">
        <v>0</v>
      </c>
      <c r="Q92" s="9" t="b">
        <v>1</v>
      </c>
      <c r="R92" s="16">
        <f>COUNTIFS(stable[q_group],stable[[#This Row],[q_group]])</f>
        <v>1</v>
      </c>
      <c r="S92" s="9" t="b">
        <v>0</v>
      </c>
      <c r="T92" s="9" t="b">
        <v>1</v>
      </c>
      <c r="U92" s="9" t="b">
        <v>1</v>
      </c>
      <c r="V92" s="9" t="b">
        <v>0</v>
      </c>
    </row>
    <row r="93" spans="1:22" ht="22.5" customHeight="1" x14ac:dyDescent="0.25">
      <c r="A93" s="15" t="str">
        <f>_xlfn.CONCAT(stable[[#This Row],[group_0_no]:[order_no]])</f>
        <v>5404</v>
      </c>
      <c r="B93" s="15" t="s">
        <v>1038</v>
      </c>
      <c r="C93" s="15" t="s">
        <v>1103</v>
      </c>
      <c r="D93" s="15" t="s">
        <v>1101</v>
      </c>
      <c r="E93" s="15" t="s">
        <v>1094</v>
      </c>
      <c r="F93" s="15" t="s">
        <v>1101</v>
      </c>
      <c r="G93" s="9" t="s">
        <v>1202</v>
      </c>
      <c r="H93" s="9" t="b">
        <v>1</v>
      </c>
      <c r="I93" s="9" t="b">
        <v>0</v>
      </c>
      <c r="J93" s="9" t="b">
        <v>0</v>
      </c>
      <c r="K93" s="9" t="b">
        <v>0</v>
      </c>
      <c r="L93" s="9" t="b">
        <v>0</v>
      </c>
      <c r="M93" s="9" t="b">
        <v>0</v>
      </c>
      <c r="N93" s="9" t="b">
        <v>0</v>
      </c>
      <c r="O93" s="9" t="b">
        <v>1</v>
      </c>
      <c r="P93" s="9" t="b">
        <v>0</v>
      </c>
      <c r="Q93" s="9" t="b">
        <v>1</v>
      </c>
      <c r="R93" s="16">
        <f>COUNTIFS(stable[q_group],stable[[#This Row],[q_group]])</f>
        <v>1</v>
      </c>
      <c r="S93" s="9" t="b">
        <v>0</v>
      </c>
      <c r="T93" s="9" t="b">
        <v>1</v>
      </c>
      <c r="U93" s="9" t="b">
        <v>1</v>
      </c>
      <c r="V93" s="9" t="b">
        <v>0</v>
      </c>
    </row>
    <row r="94" spans="1:22" ht="49.5" customHeight="1" x14ac:dyDescent="0.25">
      <c r="A94" s="15" t="str">
        <f>_xlfn.CONCAT(stable[[#This Row],[group_0_no]:[order_no]])</f>
        <v>5410</v>
      </c>
      <c r="B94" s="26" t="s">
        <v>1203</v>
      </c>
      <c r="C94" s="15" t="s">
        <v>1103</v>
      </c>
      <c r="D94" s="15" t="s">
        <v>1101</v>
      </c>
      <c r="E94" s="15" t="s">
        <v>1093</v>
      </c>
      <c r="F94" s="15" t="s">
        <v>1094</v>
      </c>
      <c r="G94" s="9" t="s">
        <v>1204</v>
      </c>
      <c r="H94" s="9" t="b">
        <v>1</v>
      </c>
      <c r="I94" s="9" t="b">
        <v>0</v>
      </c>
      <c r="J94" s="9" t="b">
        <v>0</v>
      </c>
      <c r="K94" s="9" t="b">
        <v>0</v>
      </c>
      <c r="L94" s="9" t="b">
        <v>0</v>
      </c>
      <c r="M94" s="9" t="b">
        <v>1</v>
      </c>
      <c r="N94" s="9" t="b">
        <v>0</v>
      </c>
      <c r="O94" s="9" t="b">
        <v>1</v>
      </c>
      <c r="P94" s="9" t="b">
        <v>0</v>
      </c>
      <c r="Q94" s="9" t="b">
        <v>1</v>
      </c>
      <c r="R94" s="16">
        <f>COUNTIFS(stable[q_group],stable[[#This Row],[q_group]])</f>
        <v>1</v>
      </c>
      <c r="S94" s="9" t="b">
        <v>0</v>
      </c>
      <c r="T94" s="9" t="b">
        <v>1</v>
      </c>
      <c r="U94" s="9" t="b">
        <v>1</v>
      </c>
      <c r="V94" s="9" t="b">
        <v>0</v>
      </c>
    </row>
    <row r="95" spans="1:22" x14ac:dyDescent="0.25">
      <c r="A95" s="15" t="str">
        <f>_xlfn.CONCAT(stable[[#This Row],[group_0_no]:[order_no]])</f>
        <v>5411</v>
      </c>
      <c r="B95" s="15" t="s">
        <v>192</v>
      </c>
      <c r="C95" s="15" t="s">
        <v>1103</v>
      </c>
      <c r="D95" s="15" t="s">
        <v>1101</v>
      </c>
      <c r="E95" s="15" t="s">
        <v>1093</v>
      </c>
      <c r="F95" s="15" t="s">
        <v>1093</v>
      </c>
      <c r="G95" s="9" t="s">
        <v>1205</v>
      </c>
      <c r="H95" s="9" t="b">
        <v>1</v>
      </c>
      <c r="I95" s="9" t="b">
        <v>0</v>
      </c>
      <c r="J95" s="9" t="b">
        <v>0</v>
      </c>
      <c r="K95" s="9" t="b">
        <v>0</v>
      </c>
      <c r="L95" s="9" t="b">
        <v>0</v>
      </c>
      <c r="M95" s="9" t="b">
        <v>0</v>
      </c>
      <c r="N95" s="9" t="b">
        <v>1</v>
      </c>
      <c r="O95" s="9" t="b">
        <v>0</v>
      </c>
      <c r="P95" s="9" t="b">
        <v>0</v>
      </c>
      <c r="Q95" s="9" t="b">
        <v>1</v>
      </c>
      <c r="R95" s="16">
        <f>COUNTIFS(stable[q_group],stable[[#This Row],[q_group]])</f>
        <v>1</v>
      </c>
      <c r="S95" s="9" t="b">
        <v>0</v>
      </c>
      <c r="T95" s="9" t="b">
        <v>1</v>
      </c>
      <c r="U95" s="9" t="b">
        <v>1</v>
      </c>
      <c r="V95" s="9" t="b">
        <v>0</v>
      </c>
    </row>
    <row r="96" spans="1:22" x14ac:dyDescent="0.25">
      <c r="A96" s="15" t="str">
        <f>_xlfn.CONCAT(stable[[#This Row],[group_0_no]:[order_no]])</f>
        <v>5412</v>
      </c>
      <c r="B96" s="15" t="s">
        <v>194</v>
      </c>
      <c r="C96" s="15" t="s">
        <v>1103</v>
      </c>
      <c r="D96" s="15" t="s">
        <v>1101</v>
      </c>
      <c r="E96" s="15" t="s">
        <v>1093</v>
      </c>
      <c r="F96" s="15" t="s">
        <v>1097</v>
      </c>
      <c r="G96" s="9" t="s">
        <v>1206</v>
      </c>
      <c r="H96" s="9" t="b">
        <v>1</v>
      </c>
      <c r="I96" s="9" t="b">
        <v>0</v>
      </c>
      <c r="J96" s="9" t="b">
        <v>0</v>
      </c>
      <c r="K96" s="9" t="b">
        <v>0</v>
      </c>
      <c r="L96" s="9" t="b">
        <v>0</v>
      </c>
      <c r="M96" s="9" t="b">
        <v>1</v>
      </c>
      <c r="N96" s="9" t="b">
        <v>0</v>
      </c>
      <c r="O96" s="9" t="b">
        <v>0</v>
      </c>
      <c r="P96" s="9" t="b">
        <v>0</v>
      </c>
      <c r="Q96" s="9" t="b">
        <v>1</v>
      </c>
      <c r="R96" s="16">
        <f>COUNTIFS(stable[q_group],stable[[#This Row],[q_group]])</f>
        <v>1</v>
      </c>
      <c r="S96" s="9" t="b">
        <v>0</v>
      </c>
      <c r="T96" s="9" t="b">
        <v>1</v>
      </c>
      <c r="U96" s="9" t="b">
        <v>1</v>
      </c>
      <c r="V96" s="9" t="b">
        <v>0</v>
      </c>
    </row>
    <row r="97" spans="1:22" x14ac:dyDescent="0.25">
      <c r="A97" s="15" t="str">
        <f>_xlfn.CONCAT(stable[[#This Row],[group_0_no]:[order_no]])</f>
        <v>5413</v>
      </c>
      <c r="B97" s="15" t="s">
        <v>1039</v>
      </c>
      <c r="C97" s="15" t="s">
        <v>1103</v>
      </c>
      <c r="D97" s="15" t="s">
        <v>1101</v>
      </c>
      <c r="E97" s="15" t="s">
        <v>1093</v>
      </c>
      <c r="F97" s="15" t="s">
        <v>1099</v>
      </c>
      <c r="G97" s="9" t="s">
        <v>1207</v>
      </c>
      <c r="H97" s="9" t="b">
        <v>1</v>
      </c>
      <c r="I97" s="9" t="b">
        <v>0</v>
      </c>
      <c r="J97" s="9" t="b">
        <v>0</v>
      </c>
      <c r="K97" s="9" t="b">
        <v>0</v>
      </c>
      <c r="L97" s="9" t="b">
        <v>0</v>
      </c>
      <c r="M97" s="9" t="b">
        <v>0</v>
      </c>
      <c r="N97" s="9" t="b">
        <v>0</v>
      </c>
      <c r="O97" s="9" t="b">
        <v>1</v>
      </c>
      <c r="P97" s="9" t="b">
        <v>0</v>
      </c>
      <c r="Q97" s="9" t="b">
        <v>1</v>
      </c>
      <c r="R97" s="16">
        <f>COUNTIFS(stable[q_group],stable[[#This Row],[q_group]])</f>
        <v>1</v>
      </c>
      <c r="S97" s="9" t="b">
        <v>0</v>
      </c>
      <c r="T97" s="9" t="b">
        <v>1</v>
      </c>
      <c r="U97" s="9" t="b">
        <v>1</v>
      </c>
      <c r="V97" s="9" t="b">
        <v>0</v>
      </c>
    </row>
    <row r="98" spans="1:22" s="22" customFormat="1" x14ac:dyDescent="0.25">
      <c r="A98" s="21" t="str">
        <f>_xlfn.CONCAT(stable[[#This Row],[group_0_no]:[order_no]])</f>
        <v>5500</v>
      </c>
      <c r="B98" s="21" t="s">
        <v>198</v>
      </c>
      <c r="C98" s="21" t="s">
        <v>1103</v>
      </c>
      <c r="D98" s="21" t="s">
        <v>1103</v>
      </c>
      <c r="E98" s="21" t="s">
        <v>1094</v>
      </c>
      <c r="F98" s="21" t="s">
        <v>1094</v>
      </c>
      <c r="G98" s="22" t="s">
        <v>1208</v>
      </c>
      <c r="H98" s="22" t="b">
        <v>1</v>
      </c>
      <c r="I98" s="22" t="b">
        <v>0</v>
      </c>
      <c r="J98" s="22" t="b">
        <v>0</v>
      </c>
      <c r="K98" s="22" t="b">
        <v>1</v>
      </c>
      <c r="L98" s="22" t="b">
        <v>0</v>
      </c>
      <c r="M98" s="22" t="b">
        <v>0</v>
      </c>
      <c r="N98" s="22" t="b">
        <v>0</v>
      </c>
      <c r="O98" s="22" t="b">
        <v>1</v>
      </c>
      <c r="P98" s="22" t="b">
        <v>0</v>
      </c>
      <c r="Q98" s="22" t="b">
        <v>1</v>
      </c>
      <c r="R98" s="29">
        <f>COUNTIFS(stable[q_group],stable[[#This Row],[q_group]])</f>
        <v>1</v>
      </c>
      <c r="S98" s="22" t="b">
        <v>0</v>
      </c>
      <c r="T98" s="22" t="b">
        <v>1</v>
      </c>
      <c r="U98" s="22" t="b">
        <v>1</v>
      </c>
      <c r="V98" s="22" t="b">
        <v>0</v>
      </c>
    </row>
    <row r="99" spans="1:22" x14ac:dyDescent="0.25">
      <c r="A99" s="15" t="str">
        <f>_xlfn.CONCAT(stable[[#This Row],[group_0_no]:[order_no]])</f>
        <v>5501</v>
      </c>
      <c r="B99" s="15" t="s">
        <v>200</v>
      </c>
      <c r="C99" s="15" t="s">
        <v>1103</v>
      </c>
      <c r="D99" s="15" t="s">
        <v>1103</v>
      </c>
      <c r="E99" s="15" t="s">
        <v>1094</v>
      </c>
      <c r="F99" s="15" t="s">
        <v>1093</v>
      </c>
      <c r="G99" s="9" t="s">
        <v>1209</v>
      </c>
      <c r="H99" s="9" t="b">
        <v>1</v>
      </c>
      <c r="I99" s="9" t="b">
        <v>0</v>
      </c>
      <c r="J99" s="9" t="b">
        <v>0</v>
      </c>
      <c r="K99" s="9" t="b">
        <v>0</v>
      </c>
      <c r="L99" s="9" t="b">
        <v>0</v>
      </c>
      <c r="M99" s="22" t="b">
        <v>0</v>
      </c>
      <c r="N99" s="9" t="b">
        <v>0</v>
      </c>
      <c r="O99" s="9" t="b">
        <v>0</v>
      </c>
      <c r="P99" s="22" t="b">
        <v>1</v>
      </c>
      <c r="Q99" s="9" t="b">
        <v>1</v>
      </c>
      <c r="R99" s="16">
        <f>COUNTIFS(stable[q_group],stable[[#This Row],[q_group]])</f>
        <v>1</v>
      </c>
      <c r="S99" s="9" t="b">
        <v>0</v>
      </c>
      <c r="T99" s="9" t="b">
        <v>1</v>
      </c>
      <c r="U99" s="9" t="b">
        <v>1</v>
      </c>
      <c r="V99" s="9" t="b">
        <v>0</v>
      </c>
    </row>
    <row r="100" spans="1:22" x14ac:dyDescent="0.25">
      <c r="A100" s="15" t="str">
        <f>_xlfn.CONCAT(stable[[#This Row],[group_0_no]:[order_no]])</f>
        <v>5502</v>
      </c>
      <c r="B100" s="15" t="s">
        <v>929</v>
      </c>
      <c r="C100" s="15" t="s">
        <v>1103</v>
      </c>
      <c r="D100" s="15" t="s">
        <v>1103</v>
      </c>
      <c r="E100" s="15" t="s">
        <v>1094</v>
      </c>
      <c r="F100" s="15" t="s">
        <v>1097</v>
      </c>
      <c r="G100" s="9" t="s">
        <v>1210</v>
      </c>
      <c r="H100" s="9" t="b">
        <v>1</v>
      </c>
      <c r="I100" s="9" t="b">
        <v>0</v>
      </c>
      <c r="J100" s="9" t="b">
        <v>0</v>
      </c>
      <c r="K100" s="9" t="b">
        <v>0</v>
      </c>
      <c r="L100" s="9" t="b">
        <v>0</v>
      </c>
      <c r="M100" s="9" t="b">
        <v>0</v>
      </c>
      <c r="N100" s="9" t="b">
        <v>1</v>
      </c>
      <c r="O100" s="9" t="b">
        <v>0</v>
      </c>
      <c r="P100" s="9" t="b">
        <v>0</v>
      </c>
      <c r="Q100" s="9" t="b">
        <v>1</v>
      </c>
      <c r="R100" s="16">
        <f>COUNTIFS(stable[q_group],stable[[#This Row],[q_group]])</f>
        <v>1</v>
      </c>
      <c r="S100" s="9" t="b">
        <v>0</v>
      </c>
      <c r="T100" s="9" t="b">
        <v>1</v>
      </c>
      <c r="U100" s="9" t="b">
        <v>1</v>
      </c>
      <c r="V100" s="9" t="b">
        <v>0</v>
      </c>
    </row>
    <row r="101" spans="1:22" x14ac:dyDescent="0.25">
      <c r="A101" s="15" t="str">
        <f>_xlfn.CONCAT(stable[[#This Row],[group_0_no]:[order_no]])</f>
        <v>5503</v>
      </c>
      <c r="B101" s="15" t="s">
        <v>204</v>
      </c>
      <c r="C101" s="15" t="s">
        <v>1103</v>
      </c>
      <c r="D101" s="15" t="s">
        <v>1103</v>
      </c>
      <c r="E101" s="15" t="s">
        <v>1094</v>
      </c>
      <c r="F101" s="15" t="s">
        <v>1099</v>
      </c>
      <c r="G101" s="9" t="s">
        <v>1211</v>
      </c>
      <c r="H101" s="9" t="b">
        <v>1</v>
      </c>
      <c r="I101" s="9" t="b">
        <v>0</v>
      </c>
      <c r="J101" s="9" t="b">
        <v>0</v>
      </c>
      <c r="K101" s="9" t="b">
        <v>0</v>
      </c>
      <c r="L101" s="9" t="b">
        <v>0</v>
      </c>
      <c r="M101" s="9" t="b">
        <v>1</v>
      </c>
      <c r="N101" s="9" t="b">
        <v>0</v>
      </c>
      <c r="O101" s="9" t="b">
        <v>0</v>
      </c>
      <c r="P101" s="9" t="b">
        <v>0</v>
      </c>
      <c r="Q101" s="9" t="b">
        <v>1</v>
      </c>
      <c r="R101" s="16">
        <f>COUNTIFS(stable[q_group],stable[[#This Row],[q_group]])</f>
        <v>1</v>
      </c>
      <c r="S101" s="9" t="b">
        <v>0</v>
      </c>
      <c r="T101" s="9" t="b">
        <v>1</v>
      </c>
      <c r="U101" s="9" t="b">
        <v>1</v>
      </c>
      <c r="V101" s="9" t="b">
        <v>0</v>
      </c>
    </row>
    <row r="102" spans="1:22" x14ac:dyDescent="0.25">
      <c r="A102" s="15" t="str">
        <f>_xlfn.CONCAT(stable[[#This Row],[group_0_no]:[order_no]])</f>
        <v>5504</v>
      </c>
      <c r="B102" s="15" t="s">
        <v>768</v>
      </c>
      <c r="C102" s="15" t="s">
        <v>1103</v>
      </c>
      <c r="D102" s="15" t="s">
        <v>1103</v>
      </c>
      <c r="E102" s="15" t="s">
        <v>1094</v>
      </c>
      <c r="F102" s="15" t="s">
        <v>1101</v>
      </c>
      <c r="G102" s="9" t="s">
        <v>1212</v>
      </c>
      <c r="H102" s="9" t="b">
        <v>1</v>
      </c>
      <c r="I102" s="9" t="b">
        <v>0</v>
      </c>
      <c r="J102" s="9" t="b">
        <v>0</v>
      </c>
      <c r="K102" s="9" t="b">
        <v>0</v>
      </c>
      <c r="L102" s="9" t="b">
        <v>0</v>
      </c>
      <c r="M102" s="9" t="b">
        <v>0</v>
      </c>
      <c r="N102" s="9" t="b">
        <v>0</v>
      </c>
      <c r="O102" s="9" t="b">
        <v>1</v>
      </c>
      <c r="P102" s="9" t="b">
        <v>0</v>
      </c>
      <c r="Q102" s="9" t="b">
        <v>1</v>
      </c>
      <c r="R102" s="16">
        <f>COUNTIFS(stable[q_group],stable[[#This Row],[q_group]])</f>
        <v>1</v>
      </c>
      <c r="S102" s="9" t="b">
        <v>0</v>
      </c>
      <c r="T102" s="9" t="b">
        <v>1</v>
      </c>
      <c r="U102" s="9" t="b">
        <v>1</v>
      </c>
      <c r="V102" s="9" t="b">
        <v>0</v>
      </c>
    </row>
    <row r="103" spans="1:22" x14ac:dyDescent="0.25">
      <c r="A103" s="15" t="str">
        <f>_xlfn.CONCAT(stable[[#This Row],[group_0_no]:[order_no]])</f>
        <v>5505</v>
      </c>
      <c r="B103" s="15" t="s">
        <v>769</v>
      </c>
      <c r="C103" s="15" t="s">
        <v>1103</v>
      </c>
      <c r="D103" s="15" t="s">
        <v>1103</v>
      </c>
      <c r="E103" s="15" t="s">
        <v>1094</v>
      </c>
      <c r="F103" s="15" t="s">
        <v>1103</v>
      </c>
      <c r="G103" s="9" t="s">
        <v>1213</v>
      </c>
      <c r="H103" s="9" t="b">
        <v>1</v>
      </c>
      <c r="I103" s="9" t="b">
        <v>0</v>
      </c>
      <c r="J103" s="9" t="b">
        <v>0</v>
      </c>
      <c r="K103" s="9" t="b">
        <v>0</v>
      </c>
      <c r="L103" s="9" t="b">
        <v>0</v>
      </c>
      <c r="M103" s="9" t="b">
        <v>0</v>
      </c>
      <c r="N103" s="9" t="b">
        <v>0</v>
      </c>
      <c r="O103" s="9" t="b">
        <v>1</v>
      </c>
      <c r="P103" s="9" t="b">
        <v>0</v>
      </c>
      <c r="Q103" s="9" t="b">
        <v>1</v>
      </c>
      <c r="R103" s="16">
        <f>COUNTIFS(stable[q_group],stable[[#This Row],[q_group]])</f>
        <v>1</v>
      </c>
      <c r="S103" s="9" t="b">
        <v>0</v>
      </c>
      <c r="T103" s="9" t="b">
        <v>1</v>
      </c>
      <c r="U103" s="9" t="b">
        <v>1</v>
      </c>
      <c r="V103" s="9" t="b">
        <v>0</v>
      </c>
    </row>
    <row r="104" spans="1:22" x14ac:dyDescent="0.25">
      <c r="A104" s="15" t="str">
        <f>_xlfn.CONCAT(stable[[#This Row],[group_0_no]:[order_no]])</f>
        <v>5600</v>
      </c>
      <c r="B104" s="18" t="s">
        <v>1214</v>
      </c>
      <c r="C104" s="15" t="s">
        <v>1103</v>
      </c>
      <c r="D104" s="15" t="s">
        <v>1105</v>
      </c>
      <c r="E104" s="15" t="s">
        <v>1094</v>
      </c>
      <c r="F104" s="15" t="s">
        <v>1094</v>
      </c>
      <c r="G104" s="9" t="s">
        <v>1215</v>
      </c>
      <c r="H104" s="9" t="b">
        <v>1</v>
      </c>
      <c r="I104" s="9" t="b">
        <v>0</v>
      </c>
      <c r="J104" s="9" t="b">
        <v>0</v>
      </c>
      <c r="K104" s="9" t="b">
        <v>1</v>
      </c>
      <c r="L104" s="9" t="b">
        <v>0</v>
      </c>
      <c r="M104" s="9" t="b">
        <v>0</v>
      </c>
      <c r="N104" s="9" t="b">
        <v>0</v>
      </c>
      <c r="O104" s="9" t="b">
        <v>1</v>
      </c>
      <c r="P104" s="9" t="b">
        <v>0</v>
      </c>
      <c r="Q104" s="9" t="b">
        <v>1</v>
      </c>
      <c r="R104" s="16">
        <f>COUNTIFS(stable[q_group],stable[[#This Row],[q_group]])</f>
        <v>1</v>
      </c>
      <c r="S104" s="9" t="b">
        <v>0</v>
      </c>
      <c r="T104" s="9" t="b">
        <v>1</v>
      </c>
      <c r="U104" s="9" t="b">
        <v>1</v>
      </c>
      <c r="V104" s="9" t="b">
        <v>0</v>
      </c>
    </row>
    <row r="105" spans="1:22" s="86" customFormat="1" ht="28.5" customHeight="1" x14ac:dyDescent="0.25">
      <c r="A105" s="92" t="str">
        <f>_xlfn.CONCAT(stable[[#This Row],[group_0_no]:[order_no]])</f>
        <v>5601</v>
      </c>
      <c r="B105" s="85" t="s">
        <v>1216</v>
      </c>
      <c r="C105" s="92" t="s">
        <v>1103</v>
      </c>
      <c r="D105" s="92" t="s">
        <v>1105</v>
      </c>
      <c r="E105" s="92" t="s">
        <v>1094</v>
      </c>
      <c r="F105" s="92" t="s">
        <v>1093</v>
      </c>
      <c r="G105" s="93" t="s">
        <v>1217</v>
      </c>
      <c r="H105" s="93" t="b">
        <v>1</v>
      </c>
      <c r="I105" s="93" t="b">
        <v>0</v>
      </c>
      <c r="J105" s="93" t="b">
        <v>0</v>
      </c>
      <c r="K105" s="93" t="b">
        <v>0</v>
      </c>
      <c r="L105" s="93" t="b">
        <v>0</v>
      </c>
      <c r="M105" s="93" t="b">
        <v>0</v>
      </c>
      <c r="N105" s="93" t="b">
        <v>1</v>
      </c>
      <c r="O105" s="93" t="b">
        <v>0</v>
      </c>
      <c r="P105" s="93" t="b">
        <v>0</v>
      </c>
      <c r="Q105" s="93" t="b">
        <v>1</v>
      </c>
      <c r="R105" s="94">
        <f>COUNTIFS(stable[q_group],stable[[#This Row],[q_group]])</f>
        <v>1</v>
      </c>
      <c r="S105" s="93" t="b">
        <v>0</v>
      </c>
      <c r="T105" s="93" t="b">
        <v>1</v>
      </c>
      <c r="U105" s="93" t="b">
        <v>1</v>
      </c>
      <c r="V105" s="93" t="b">
        <v>0</v>
      </c>
    </row>
    <row r="106" spans="1:22" x14ac:dyDescent="0.25">
      <c r="A106" s="83" t="str">
        <f>_xlfn.CONCAT(stable[[#This Row],[group_0_no]:[order_no]])</f>
        <v>5610</v>
      </c>
      <c r="B106" s="21" t="s">
        <v>217</v>
      </c>
      <c r="C106" s="15" t="s">
        <v>1103</v>
      </c>
      <c r="D106" s="15" t="s">
        <v>1105</v>
      </c>
      <c r="E106" s="15" t="s">
        <v>1093</v>
      </c>
      <c r="F106" s="15" t="s">
        <v>1094</v>
      </c>
      <c r="G106" s="9" t="s">
        <v>1218</v>
      </c>
      <c r="H106" s="9" t="b">
        <v>1</v>
      </c>
      <c r="I106" s="9" t="b">
        <v>0</v>
      </c>
      <c r="J106" s="9" t="b">
        <v>0</v>
      </c>
      <c r="K106" s="9" t="b">
        <v>0</v>
      </c>
      <c r="L106" s="9" t="b">
        <v>0</v>
      </c>
      <c r="M106" s="9" t="b">
        <v>1</v>
      </c>
      <c r="N106" s="9" t="b">
        <v>0</v>
      </c>
      <c r="O106" s="9" t="b">
        <v>0</v>
      </c>
      <c r="P106" s="9" t="b">
        <v>0</v>
      </c>
      <c r="Q106" s="9" t="b">
        <v>1</v>
      </c>
      <c r="R106" s="16">
        <f>COUNTIFS(stable[q_group],stable[[#This Row],[q_group]])</f>
        <v>1</v>
      </c>
      <c r="S106" s="9" t="b">
        <v>0</v>
      </c>
      <c r="T106" s="9" t="b">
        <v>1</v>
      </c>
      <c r="U106" s="9" t="b">
        <v>1</v>
      </c>
      <c r="V106" s="9" t="b">
        <v>0</v>
      </c>
    </row>
    <row r="107" spans="1:22" x14ac:dyDescent="0.25">
      <c r="A107" s="83" t="str">
        <f>_xlfn.CONCAT(stable[[#This Row],[group_0_no]:[order_no]])</f>
        <v>5611</v>
      </c>
      <c r="B107" s="15" t="s">
        <v>219</v>
      </c>
      <c r="C107" s="15" t="s">
        <v>1103</v>
      </c>
      <c r="D107" s="15" t="s">
        <v>1105</v>
      </c>
      <c r="E107" s="15" t="s">
        <v>1093</v>
      </c>
      <c r="F107" s="15" t="s">
        <v>1093</v>
      </c>
      <c r="G107" s="9" t="s">
        <v>1219</v>
      </c>
      <c r="H107" s="9" t="b">
        <v>1</v>
      </c>
      <c r="I107" s="9" t="b">
        <v>0</v>
      </c>
      <c r="J107" s="9" t="b">
        <v>0</v>
      </c>
      <c r="K107" s="9" t="b">
        <v>0</v>
      </c>
      <c r="L107" s="9" t="b">
        <v>0</v>
      </c>
      <c r="M107" s="9" t="b">
        <v>0</v>
      </c>
      <c r="N107" s="9" t="b">
        <v>1</v>
      </c>
      <c r="O107" s="9" t="b">
        <v>0</v>
      </c>
      <c r="P107" s="9" t="b">
        <v>0</v>
      </c>
      <c r="Q107" s="9" t="b">
        <v>1</v>
      </c>
      <c r="R107" s="16">
        <f>COUNTIFS(stable[q_group],stable[[#This Row],[q_group]])</f>
        <v>1</v>
      </c>
      <c r="S107" s="9" t="b">
        <v>0</v>
      </c>
      <c r="T107" s="9" t="b">
        <v>1</v>
      </c>
      <c r="U107" s="9" t="b">
        <v>1</v>
      </c>
      <c r="V107" s="9" t="b">
        <v>0</v>
      </c>
    </row>
    <row r="108" spans="1:22" x14ac:dyDescent="0.25">
      <c r="A108" s="83" t="str">
        <f>_xlfn.CONCAT(stable[[#This Row],[group_0_no]:[order_no]])</f>
        <v>5612</v>
      </c>
      <c r="B108" s="15" t="s">
        <v>221</v>
      </c>
      <c r="C108" s="15" t="s">
        <v>1103</v>
      </c>
      <c r="D108" s="15" t="s">
        <v>1105</v>
      </c>
      <c r="E108" s="15" t="s">
        <v>1093</v>
      </c>
      <c r="F108" s="15" t="s">
        <v>1097</v>
      </c>
      <c r="G108" s="9" t="s">
        <v>1220</v>
      </c>
      <c r="H108" s="9" t="b">
        <v>1</v>
      </c>
      <c r="I108" s="9" t="b">
        <v>0</v>
      </c>
      <c r="J108" s="9" t="b">
        <v>0</v>
      </c>
      <c r="K108" s="9" t="b">
        <v>0</v>
      </c>
      <c r="L108" s="9" t="b">
        <v>0</v>
      </c>
      <c r="M108" s="9" t="b">
        <v>0</v>
      </c>
      <c r="N108" s="9" t="b">
        <v>0</v>
      </c>
      <c r="O108" s="9" t="b">
        <v>1</v>
      </c>
      <c r="P108" s="9" t="b">
        <v>0</v>
      </c>
      <c r="Q108" s="9" t="b">
        <v>1</v>
      </c>
      <c r="R108" s="16">
        <f>COUNTIFS(stable[q_group],stable[[#This Row],[q_group]])</f>
        <v>1</v>
      </c>
      <c r="S108" s="9" t="b">
        <v>0</v>
      </c>
      <c r="T108" s="9" t="b">
        <v>1</v>
      </c>
      <c r="U108" s="9" t="b">
        <v>1</v>
      </c>
      <c r="V108" s="9" t="b">
        <v>0</v>
      </c>
    </row>
    <row r="109" spans="1:22" x14ac:dyDescent="0.25">
      <c r="A109" s="83" t="str">
        <f>_xlfn.CONCAT(stable[[#This Row],[group_0_no]:[order_no]])</f>
        <v>5620</v>
      </c>
      <c r="B109" s="15" t="s">
        <v>227</v>
      </c>
      <c r="C109" s="15" t="s">
        <v>1103</v>
      </c>
      <c r="D109" s="15" t="s">
        <v>1105</v>
      </c>
      <c r="E109" s="15" t="s">
        <v>1097</v>
      </c>
      <c r="F109" s="15" t="s">
        <v>1094</v>
      </c>
      <c r="G109" s="9" t="s">
        <v>1221</v>
      </c>
      <c r="H109" s="9" t="b">
        <v>1</v>
      </c>
      <c r="I109" s="9" t="b">
        <v>0</v>
      </c>
      <c r="J109" s="9" t="b">
        <v>0</v>
      </c>
      <c r="K109" s="9" t="b">
        <v>0</v>
      </c>
      <c r="L109" s="9" t="b">
        <v>0</v>
      </c>
      <c r="M109" s="9" t="b">
        <v>1</v>
      </c>
      <c r="N109" s="9" t="b">
        <v>0</v>
      </c>
      <c r="O109" s="9" t="b">
        <v>0</v>
      </c>
      <c r="P109" s="9" t="b">
        <v>0</v>
      </c>
      <c r="Q109" s="9" t="b">
        <v>1</v>
      </c>
      <c r="R109" s="16">
        <f>COUNTIFS(stable[q_group],stable[[#This Row],[q_group]])</f>
        <v>1</v>
      </c>
      <c r="S109" s="9" t="b">
        <v>0</v>
      </c>
      <c r="T109" s="9" t="b">
        <v>1</v>
      </c>
      <c r="U109" s="9" t="b">
        <v>1</v>
      </c>
      <c r="V109" s="9" t="b">
        <v>0</v>
      </c>
    </row>
    <row r="110" spans="1:22" x14ac:dyDescent="0.25">
      <c r="A110" s="83" t="str">
        <f>_xlfn.CONCAT(stable[[#This Row],[group_0_no]:[order_no]])</f>
        <v>5621</v>
      </c>
      <c r="B110" s="15" t="s">
        <v>229</v>
      </c>
      <c r="C110" s="15" t="s">
        <v>1103</v>
      </c>
      <c r="D110" s="15" t="s">
        <v>1105</v>
      </c>
      <c r="E110" s="15" t="s">
        <v>1097</v>
      </c>
      <c r="F110" s="15" t="s">
        <v>1093</v>
      </c>
      <c r="G110" s="9" t="s">
        <v>1222</v>
      </c>
      <c r="H110" s="9" t="b">
        <v>1</v>
      </c>
      <c r="I110" s="9" t="b">
        <v>0</v>
      </c>
      <c r="J110" s="9" t="b">
        <v>0</v>
      </c>
      <c r="K110" s="9" t="b">
        <v>0</v>
      </c>
      <c r="L110" s="9" t="b">
        <v>0</v>
      </c>
      <c r="M110" s="9" t="b">
        <v>0</v>
      </c>
      <c r="N110" s="9" t="b">
        <v>1</v>
      </c>
      <c r="O110" s="9" t="b">
        <v>0</v>
      </c>
      <c r="P110" s="9" t="b">
        <v>0</v>
      </c>
      <c r="Q110" s="9" t="b">
        <v>1</v>
      </c>
      <c r="R110" s="16">
        <f>COUNTIFS(stable[q_group],stable[[#This Row],[q_group]])</f>
        <v>1</v>
      </c>
      <c r="S110" s="9" t="b">
        <v>0</v>
      </c>
      <c r="T110" s="9" t="b">
        <v>1</v>
      </c>
      <c r="U110" s="9" t="b">
        <v>1</v>
      </c>
      <c r="V110" s="9" t="b">
        <v>0</v>
      </c>
    </row>
    <row r="111" spans="1:22" x14ac:dyDescent="0.25">
      <c r="A111" s="83" t="str">
        <f>_xlfn.CONCAT(stable[[#This Row],[group_0_no]:[order_no]])</f>
        <v>5622</v>
      </c>
      <c r="B111" s="15" t="s">
        <v>231</v>
      </c>
      <c r="C111" s="15" t="s">
        <v>1103</v>
      </c>
      <c r="D111" s="15" t="s">
        <v>1105</v>
      </c>
      <c r="E111" s="15" t="s">
        <v>1097</v>
      </c>
      <c r="F111" s="15" t="s">
        <v>1097</v>
      </c>
      <c r="G111" s="9" t="s">
        <v>1223</v>
      </c>
      <c r="H111" s="9" t="b">
        <v>1</v>
      </c>
      <c r="I111" s="9" t="b">
        <v>0</v>
      </c>
      <c r="J111" s="9" t="b">
        <v>0</v>
      </c>
      <c r="K111" s="9" t="b">
        <v>0</v>
      </c>
      <c r="L111" s="9" t="b">
        <v>0</v>
      </c>
      <c r="M111" s="9" t="b">
        <v>0</v>
      </c>
      <c r="N111" s="9" t="b">
        <v>0</v>
      </c>
      <c r="O111" s="9" t="b">
        <v>1</v>
      </c>
      <c r="P111" s="9" t="b">
        <v>0</v>
      </c>
      <c r="Q111" s="9" t="b">
        <v>1</v>
      </c>
      <c r="R111" s="16">
        <f>COUNTIFS(stable[q_group],stable[[#This Row],[q_group]])</f>
        <v>1</v>
      </c>
      <c r="S111" s="9" t="b">
        <v>0</v>
      </c>
      <c r="T111" s="9" t="b">
        <v>1</v>
      </c>
      <c r="U111" s="9" t="b">
        <v>1</v>
      </c>
      <c r="V111" s="9" t="b">
        <v>0</v>
      </c>
    </row>
    <row r="112" spans="1:22" x14ac:dyDescent="0.25">
      <c r="A112" s="83" t="str">
        <f>_xlfn.CONCAT(stable[[#This Row],[group_0_no]:[order_no]])</f>
        <v>5630</v>
      </c>
      <c r="B112" s="15" t="s">
        <v>233</v>
      </c>
      <c r="C112" s="15" t="s">
        <v>1103</v>
      </c>
      <c r="D112" s="15" t="s">
        <v>1105</v>
      </c>
      <c r="E112" s="15" t="s">
        <v>1099</v>
      </c>
      <c r="F112" s="15" t="s">
        <v>1094</v>
      </c>
      <c r="G112" s="9" t="s">
        <v>1224</v>
      </c>
      <c r="H112" s="9" t="b">
        <v>1</v>
      </c>
      <c r="I112" s="9" t="b">
        <v>0</v>
      </c>
      <c r="J112" s="9" t="b">
        <v>0</v>
      </c>
      <c r="K112" s="9" t="b">
        <v>0</v>
      </c>
      <c r="L112" s="9" t="b">
        <v>0</v>
      </c>
      <c r="M112" s="9" t="b">
        <v>1</v>
      </c>
      <c r="N112" s="9" t="b">
        <v>0</v>
      </c>
      <c r="O112" s="9" t="b">
        <v>0</v>
      </c>
      <c r="P112" s="9" t="b">
        <v>0</v>
      </c>
      <c r="Q112" s="9" t="b">
        <v>1</v>
      </c>
      <c r="R112" s="16">
        <f>COUNTIFS(stable[q_group],stable[[#This Row],[q_group]])</f>
        <v>1</v>
      </c>
      <c r="S112" s="9" t="b">
        <v>0</v>
      </c>
      <c r="T112" s="9" t="b">
        <v>1</v>
      </c>
      <c r="U112" s="9" t="b">
        <v>1</v>
      </c>
      <c r="V112" s="9" t="b">
        <v>0</v>
      </c>
    </row>
    <row r="113" spans="1:22" x14ac:dyDescent="0.25">
      <c r="A113" s="83" t="str">
        <f>_xlfn.CONCAT(stable[[#This Row],[group_0_no]:[order_no]])</f>
        <v>5631</v>
      </c>
      <c r="B113" s="15" t="s">
        <v>235</v>
      </c>
      <c r="C113" s="15" t="s">
        <v>1103</v>
      </c>
      <c r="D113" s="15" t="s">
        <v>1105</v>
      </c>
      <c r="E113" s="15" t="s">
        <v>1099</v>
      </c>
      <c r="F113" s="15" t="s">
        <v>1093</v>
      </c>
      <c r="G113" s="9" t="s">
        <v>1225</v>
      </c>
      <c r="H113" s="9" t="b">
        <v>1</v>
      </c>
      <c r="I113" s="9" t="b">
        <v>0</v>
      </c>
      <c r="J113" s="9" t="b">
        <v>0</v>
      </c>
      <c r="K113" s="9" t="b">
        <v>0</v>
      </c>
      <c r="L113" s="9" t="b">
        <v>0</v>
      </c>
      <c r="M113" s="9" t="b">
        <v>0</v>
      </c>
      <c r="N113" s="9" t="b">
        <v>1</v>
      </c>
      <c r="O113" s="9" t="b">
        <v>0</v>
      </c>
      <c r="P113" s="9" t="b">
        <v>0</v>
      </c>
      <c r="Q113" s="9" t="b">
        <v>1</v>
      </c>
      <c r="R113" s="16">
        <f>COUNTIFS(stable[q_group],stable[[#This Row],[q_group]])</f>
        <v>1</v>
      </c>
      <c r="S113" s="9" t="b">
        <v>0</v>
      </c>
      <c r="T113" s="9" t="b">
        <v>1</v>
      </c>
      <c r="U113" s="9" t="b">
        <v>1</v>
      </c>
      <c r="V113" s="9" t="b">
        <v>0</v>
      </c>
    </row>
    <row r="114" spans="1:22" x14ac:dyDescent="0.25">
      <c r="A114" s="83" t="str">
        <f>_xlfn.CONCAT(stable[[#This Row],[group_0_no]:[order_no]])</f>
        <v>5632</v>
      </c>
      <c r="B114" s="15" t="s">
        <v>237</v>
      </c>
      <c r="C114" s="15" t="s">
        <v>1103</v>
      </c>
      <c r="D114" s="15" t="s">
        <v>1105</v>
      </c>
      <c r="E114" s="15" t="s">
        <v>1099</v>
      </c>
      <c r="F114" s="15" t="s">
        <v>1097</v>
      </c>
      <c r="G114" s="9" t="s">
        <v>1226</v>
      </c>
      <c r="H114" s="9" t="b">
        <v>1</v>
      </c>
      <c r="I114" s="9" t="b">
        <v>0</v>
      </c>
      <c r="J114" s="9" t="b">
        <v>0</v>
      </c>
      <c r="K114" s="9" t="b">
        <v>0</v>
      </c>
      <c r="L114" s="9" t="b">
        <v>0</v>
      </c>
      <c r="M114" s="9" t="b">
        <v>0</v>
      </c>
      <c r="N114" s="9" t="b">
        <v>0</v>
      </c>
      <c r="O114" s="9" t="b">
        <v>1</v>
      </c>
      <c r="P114" s="9" t="b">
        <v>0</v>
      </c>
      <c r="Q114" s="9" t="b">
        <v>1</v>
      </c>
      <c r="R114" s="16">
        <f>COUNTIFS(stable[q_group],stable[[#This Row],[q_group]])</f>
        <v>1</v>
      </c>
      <c r="S114" s="9" t="b">
        <v>0</v>
      </c>
      <c r="T114" s="9" t="b">
        <v>1</v>
      </c>
      <c r="U114" s="9" t="b">
        <v>1</v>
      </c>
      <c r="V114" s="9" t="b">
        <v>0</v>
      </c>
    </row>
    <row r="115" spans="1:22" s="22" customFormat="1" x14ac:dyDescent="0.25">
      <c r="A115" s="21" t="str">
        <f>_xlfn.CONCAT(stable[[#This Row],[group_0_no]:[order_no]])</f>
        <v>6000</v>
      </c>
      <c r="B115" s="21" t="s">
        <v>239</v>
      </c>
      <c r="C115" s="21" t="s">
        <v>1105</v>
      </c>
      <c r="D115" s="21" t="s">
        <v>1094</v>
      </c>
      <c r="E115" s="21" t="s">
        <v>1094</v>
      </c>
      <c r="F115" s="21" t="s">
        <v>1094</v>
      </c>
      <c r="G115" s="22" t="s">
        <v>1227</v>
      </c>
      <c r="H115" s="22" t="b">
        <v>1</v>
      </c>
      <c r="I115" s="22" t="b">
        <v>0</v>
      </c>
      <c r="J115" s="22" t="b">
        <v>0</v>
      </c>
      <c r="K115" s="22" t="b">
        <v>1</v>
      </c>
      <c r="L115" s="22" t="b">
        <v>0</v>
      </c>
      <c r="M115" s="22" t="b">
        <v>0</v>
      </c>
      <c r="N115" s="22" t="b">
        <v>0</v>
      </c>
      <c r="O115" s="22" t="b">
        <v>1</v>
      </c>
      <c r="P115" s="22" t="b">
        <v>0</v>
      </c>
      <c r="Q115" s="22" t="b">
        <v>1</v>
      </c>
      <c r="R115" s="29">
        <f>COUNTIFS(stable[q_group],stable[[#This Row],[q_group]])</f>
        <v>1</v>
      </c>
      <c r="S115" s="22" t="b">
        <v>0</v>
      </c>
      <c r="T115" s="22" t="b">
        <v>1</v>
      </c>
      <c r="U115" s="22" t="b">
        <v>0</v>
      </c>
      <c r="V115" s="22" t="b">
        <v>0</v>
      </c>
    </row>
    <row r="116" spans="1:22" x14ac:dyDescent="0.25">
      <c r="A116" s="15" t="str">
        <f>_xlfn.CONCAT(stable[[#This Row],[group_0_no]:[order_no]])</f>
        <v>6001</v>
      </c>
      <c r="B116" s="15" t="s">
        <v>241</v>
      </c>
      <c r="C116" s="15" t="s">
        <v>1105</v>
      </c>
      <c r="D116" s="15" t="s">
        <v>1094</v>
      </c>
      <c r="E116" s="15" t="s">
        <v>1094</v>
      </c>
      <c r="F116" s="15" t="s">
        <v>1093</v>
      </c>
      <c r="G116" s="9" t="s">
        <v>1228</v>
      </c>
      <c r="H116" s="9" t="b">
        <v>1</v>
      </c>
      <c r="I116" s="9" t="b">
        <v>0</v>
      </c>
      <c r="J116" s="9" t="b">
        <v>0</v>
      </c>
      <c r="K116" s="9" t="b">
        <v>0</v>
      </c>
      <c r="L116" s="9" t="b">
        <v>0</v>
      </c>
      <c r="M116" s="9" t="b">
        <v>0</v>
      </c>
      <c r="N116" s="9" t="b">
        <v>1</v>
      </c>
      <c r="O116" s="9" t="b">
        <v>0</v>
      </c>
      <c r="P116" s="9" t="b">
        <v>0</v>
      </c>
      <c r="Q116" s="9" t="b">
        <v>1</v>
      </c>
      <c r="R116" s="16">
        <f>COUNTIFS(stable[q_group],stable[[#This Row],[q_group]])</f>
        <v>1</v>
      </c>
      <c r="S116" s="9" t="b">
        <v>0</v>
      </c>
      <c r="T116" s="9" t="b">
        <v>1</v>
      </c>
      <c r="U116" s="9" t="b">
        <v>0</v>
      </c>
      <c r="V116" s="9" t="b">
        <v>0</v>
      </c>
    </row>
    <row r="117" spans="1:22" x14ac:dyDescent="0.25">
      <c r="A117" s="15" t="str">
        <f>_xlfn.CONCAT(stable[[#This Row],[group_0_no]:[order_no]])</f>
        <v>6007</v>
      </c>
      <c r="B117" s="15" t="s">
        <v>695</v>
      </c>
      <c r="C117" s="15" t="s">
        <v>1105</v>
      </c>
      <c r="D117" s="15" t="s">
        <v>1094</v>
      </c>
      <c r="E117" s="19">
        <v>0</v>
      </c>
      <c r="F117" s="15">
        <v>7</v>
      </c>
      <c r="G117" s="9" t="s">
        <v>1229</v>
      </c>
      <c r="H117" s="9" t="b">
        <v>0</v>
      </c>
      <c r="I117" s="9" t="b">
        <v>1</v>
      </c>
      <c r="J117" s="9" t="b">
        <v>0</v>
      </c>
      <c r="K117" s="9" t="b">
        <v>1</v>
      </c>
      <c r="L117" s="9" t="b">
        <v>0</v>
      </c>
      <c r="M117" s="9" t="b">
        <v>0</v>
      </c>
      <c r="N117" s="9" t="b">
        <v>0</v>
      </c>
      <c r="O117" s="9" t="b">
        <v>1</v>
      </c>
      <c r="P117" s="9" t="b">
        <v>0</v>
      </c>
      <c r="Q117" s="9" t="b">
        <v>1</v>
      </c>
      <c r="R117" s="16">
        <f>COUNTIFS(stable[q_group],stable[[#This Row],[q_group]])</f>
        <v>1</v>
      </c>
      <c r="S117" s="9" t="b">
        <v>0</v>
      </c>
      <c r="T117" s="9" t="b">
        <v>1</v>
      </c>
      <c r="U117" s="9" t="b">
        <v>0</v>
      </c>
      <c r="V117" s="9" t="b">
        <v>0</v>
      </c>
    </row>
    <row r="118" spans="1:22" x14ac:dyDescent="0.25">
      <c r="A118" s="15" t="str">
        <f>_xlfn.CONCAT(stable[[#This Row],[group_0_no]:[order_no]])</f>
        <v>6008</v>
      </c>
      <c r="B118" s="15" t="s">
        <v>697</v>
      </c>
      <c r="C118" s="15" t="s">
        <v>1105</v>
      </c>
      <c r="D118" s="15" t="s">
        <v>1094</v>
      </c>
      <c r="E118" s="19">
        <v>0</v>
      </c>
      <c r="F118" s="15">
        <v>8</v>
      </c>
      <c r="G118" s="9" t="s">
        <v>1230</v>
      </c>
      <c r="H118" s="9" t="b">
        <v>0</v>
      </c>
      <c r="I118" s="9" t="b">
        <v>1</v>
      </c>
      <c r="J118" s="9" t="b">
        <v>0</v>
      </c>
      <c r="K118" s="9" t="b">
        <v>0</v>
      </c>
      <c r="L118" s="9" t="b">
        <v>0</v>
      </c>
      <c r="M118" s="9" t="b">
        <v>0</v>
      </c>
      <c r="N118" s="9" t="b">
        <v>1</v>
      </c>
      <c r="O118" s="9" t="b">
        <v>0</v>
      </c>
      <c r="P118" s="9" t="b">
        <v>0</v>
      </c>
      <c r="Q118" s="9" t="b">
        <v>1</v>
      </c>
      <c r="R118" s="16">
        <f>COUNTIFS(stable[q_group],stable[[#This Row],[q_group]])</f>
        <v>1</v>
      </c>
      <c r="S118" s="9" t="b">
        <v>0</v>
      </c>
      <c r="T118" s="9" t="b">
        <v>1</v>
      </c>
      <c r="U118" s="9" t="b">
        <v>0</v>
      </c>
      <c r="V118" s="9" t="b">
        <v>0</v>
      </c>
    </row>
    <row r="119" spans="1:22" x14ac:dyDescent="0.25">
      <c r="A119" s="15" t="str">
        <f>_xlfn.CONCAT(stable[[#This Row],[group_0_no]:[order_no]])</f>
        <v>6009</v>
      </c>
      <c r="B119" s="15" t="s">
        <v>1231</v>
      </c>
      <c r="C119" s="15" t="s">
        <v>1105</v>
      </c>
      <c r="D119" s="15" t="s">
        <v>1094</v>
      </c>
      <c r="E119" s="19">
        <v>0</v>
      </c>
      <c r="F119" s="15">
        <v>9</v>
      </c>
      <c r="G119" s="9" t="s">
        <v>1232</v>
      </c>
      <c r="H119" s="9" t="b">
        <v>0</v>
      </c>
      <c r="I119" s="9" t="b">
        <v>1</v>
      </c>
      <c r="J119" s="9" t="b">
        <v>0</v>
      </c>
      <c r="K119" s="9" t="b">
        <v>0</v>
      </c>
      <c r="L119" s="9" t="b">
        <v>0</v>
      </c>
      <c r="M119" s="9" t="b">
        <v>0</v>
      </c>
      <c r="N119" s="9" t="b">
        <v>1</v>
      </c>
      <c r="O119" s="9" t="b">
        <v>0</v>
      </c>
      <c r="P119" s="9" t="b">
        <v>0</v>
      </c>
      <c r="Q119" s="9" t="b">
        <v>1</v>
      </c>
      <c r="R119" s="16">
        <f>COUNTIFS(stable[q_group],stable[[#This Row],[q_group]])</f>
        <v>1</v>
      </c>
      <c r="S119" s="9" t="b">
        <v>0</v>
      </c>
      <c r="T119" s="9" t="b">
        <v>1</v>
      </c>
      <c r="U119" s="9" t="b">
        <v>0</v>
      </c>
      <c r="V119" s="9" t="b">
        <v>0</v>
      </c>
    </row>
    <row r="120" spans="1:22" x14ac:dyDescent="0.25">
      <c r="A120" s="15" t="str">
        <f>_xlfn.CONCAT(stable[[#This Row],[group_0_no]:[order_no]])</f>
        <v>6010</v>
      </c>
      <c r="B120" s="18" t="s">
        <v>1233</v>
      </c>
      <c r="C120" s="15" t="s">
        <v>1105</v>
      </c>
      <c r="D120" s="15" t="s">
        <v>1094</v>
      </c>
      <c r="E120" s="15" t="s">
        <v>1093</v>
      </c>
      <c r="F120" s="15" t="s">
        <v>1094</v>
      </c>
      <c r="G120" s="9" t="s">
        <v>1234</v>
      </c>
      <c r="H120" s="9" t="b">
        <v>0</v>
      </c>
      <c r="I120" s="9" t="b">
        <v>1</v>
      </c>
      <c r="J120" s="9" t="b">
        <v>0</v>
      </c>
      <c r="K120" s="9" t="b">
        <v>1</v>
      </c>
      <c r="L120" s="9" t="b">
        <v>0</v>
      </c>
      <c r="M120" s="9" t="b">
        <v>0</v>
      </c>
      <c r="N120" s="9" t="b">
        <v>0</v>
      </c>
      <c r="O120" s="9" t="b">
        <v>1</v>
      </c>
      <c r="P120" s="9" t="b">
        <v>0</v>
      </c>
      <c r="Q120" s="9" t="b">
        <v>1</v>
      </c>
      <c r="R120" s="16">
        <f>COUNTIFS(stable[q_group],stable[[#This Row],[q_group]])</f>
        <v>1</v>
      </c>
      <c r="S120" s="9" t="b">
        <v>0</v>
      </c>
      <c r="T120" s="9" t="b">
        <v>1</v>
      </c>
      <c r="U120" s="9" t="b">
        <v>0</v>
      </c>
      <c r="V120" s="9" t="b">
        <v>0</v>
      </c>
    </row>
    <row r="121" spans="1:22" x14ac:dyDescent="0.25">
      <c r="A121" s="15" t="str">
        <f>_xlfn.CONCAT(stable[[#This Row],[group_0_no]:[order_no]])</f>
        <v>6011</v>
      </c>
      <c r="B121" s="15" t="s">
        <v>995</v>
      </c>
      <c r="C121" s="15" t="s">
        <v>1105</v>
      </c>
      <c r="D121" s="15" t="s">
        <v>1094</v>
      </c>
      <c r="E121" s="15" t="s">
        <v>1093</v>
      </c>
      <c r="F121" s="15" t="s">
        <v>1093</v>
      </c>
      <c r="G121" s="9" t="s">
        <v>1235</v>
      </c>
      <c r="H121" s="9" t="b">
        <v>0</v>
      </c>
      <c r="I121" s="9" t="b">
        <v>1</v>
      </c>
      <c r="J121" s="9" t="b">
        <v>0</v>
      </c>
      <c r="K121" s="9" t="b">
        <v>0</v>
      </c>
      <c r="L121" s="9" t="b">
        <v>0</v>
      </c>
      <c r="M121" s="9" t="b">
        <v>0</v>
      </c>
      <c r="N121" s="9" t="b">
        <v>0</v>
      </c>
      <c r="O121" s="9" t="b">
        <v>0</v>
      </c>
      <c r="P121" s="9" t="b">
        <v>1</v>
      </c>
      <c r="Q121" s="9" t="b">
        <v>1</v>
      </c>
      <c r="R121" s="16">
        <f>COUNTIFS(stable[q_group],stable[[#This Row],[q_group]])</f>
        <v>1</v>
      </c>
      <c r="S121" s="9" t="b">
        <v>0</v>
      </c>
      <c r="T121" s="9" t="b">
        <v>1</v>
      </c>
      <c r="U121" s="9" t="b">
        <v>0</v>
      </c>
      <c r="V121" s="9" t="b">
        <v>0</v>
      </c>
    </row>
    <row r="122" spans="1:22" x14ac:dyDescent="0.25">
      <c r="A122" s="15" t="str">
        <f>_xlfn.CONCAT(stable[[#This Row],[group_0_no]:[order_no]])</f>
        <v>6012</v>
      </c>
      <c r="B122" s="15" t="s">
        <v>577</v>
      </c>
      <c r="C122" s="15" t="s">
        <v>1105</v>
      </c>
      <c r="D122" s="15" t="s">
        <v>1094</v>
      </c>
      <c r="E122" s="15" t="s">
        <v>1093</v>
      </c>
      <c r="F122" s="15" t="s">
        <v>1097</v>
      </c>
      <c r="G122" s="9" t="s">
        <v>1236</v>
      </c>
      <c r="H122" s="9" t="b">
        <v>0</v>
      </c>
      <c r="I122" s="9" t="b">
        <v>1</v>
      </c>
      <c r="J122" s="9" t="b">
        <v>0</v>
      </c>
      <c r="K122" s="9" t="b">
        <v>0</v>
      </c>
      <c r="L122" s="9" t="b">
        <v>0</v>
      </c>
      <c r="M122" s="9" t="b">
        <v>0</v>
      </c>
      <c r="N122" s="9" t="b">
        <v>1</v>
      </c>
      <c r="O122" s="9" t="b">
        <v>0</v>
      </c>
      <c r="P122" s="9" t="b">
        <v>0</v>
      </c>
      <c r="Q122" s="9" t="b">
        <v>1</v>
      </c>
      <c r="R122" s="16">
        <f>COUNTIFS(stable[q_group],stable[[#This Row],[q_group]])</f>
        <v>1</v>
      </c>
      <c r="S122" s="9" t="b">
        <v>0</v>
      </c>
      <c r="T122" s="9" t="b">
        <v>1</v>
      </c>
      <c r="U122" s="9" t="b">
        <v>0</v>
      </c>
      <c r="V122" s="9" t="b">
        <v>0</v>
      </c>
    </row>
    <row r="123" spans="1:22" x14ac:dyDescent="0.25">
      <c r="A123" s="15" t="str">
        <f>_xlfn.CONCAT(stable[[#This Row],[group_0_no]:[order_no]])</f>
        <v>6013</v>
      </c>
      <c r="B123" s="15" t="s">
        <v>997</v>
      </c>
      <c r="C123" s="15" t="s">
        <v>1105</v>
      </c>
      <c r="D123" s="15" t="s">
        <v>1094</v>
      </c>
      <c r="E123" s="15" t="s">
        <v>1093</v>
      </c>
      <c r="F123" s="15" t="s">
        <v>1099</v>
      </c>
      <c r="G123" s="9" t="s">
        <v>1237</v>
      </c>
      <c r="H123" s="9" t="b">
        <v>0</v>
      </c>
      <c r="I123" s="9" t="b">
        <v>1</v>
      </c>
      <c r="J123" s="9" t="b">
        <v>0</v>
      </c>
      <c r="K123" s="9" t="b">
        <v>0</v>
      </c>
      <c r="L123" s="9" t="b">
        <v>0</v>
      </c>
      <c r="M123" s="9" t="b">
        <v>0</v>
      </c>
      <c r="N123" s="9" t="b">
        <v>1</v>
      </c>
      <c r="O123" s="9" t="b">
        <v>0</v>
      </c>
      <c r="P123" s="9" t="b">
        <v>0</v>
      </c>
      <c r="Q123" s="9" t="b">
        <v>1</v>
      </c>
      <c r="R123" s="16">
        <f>COUNTIFS(stable[q_group],stable[[#This Row],[q_group]])</f>
        <v>1</v>
      </c>
      <c r="S123" s="9" t="b">
        <v>0</v>
      </c>
      <c r="T123" s="9" t="b">
        <v>1</v>
      </c>
      <c r="U123" s="9" t="b">
        <v>0</v>
      </c>
      <c r="V123" s="9" t="b">
        <v>0</v>
      </c>
    </row>
    <row r="124" spans="1:22" x14ac:dyDescent="0.25">
      <c r="A124" s="15" t="str">
        <f>_xlfn.CONCAT(stable[[#This Row],[group_0_no]:[order_no]])</f>
        <v>6020</v>
      </c>
      <c r="B124" s="18" t="s">
        <v>1238</v>
      </c>
      <c r="C124" s="15" t="s">
        <v>1105</v>
      </c>
      <c r="D124" s="15" t="s">
        <v>1094</v>
      </c>
      <c r="E124" s="15" t="s">
        <v>1097</v>
      </c>
      <c r="F124" s="15" t="s">
        <v>1094</v>
      </c>
      <c r="G124" s="9" t="s">
        <v>1239</v>
      </c>
      <c r="H124" s="9" t="b">
        <v>0</v>
      </c>
      <c r="I124" s="9" t="b">
        <v>0</v>
      </c>
      <c r="J124" s="9" t="b">
        <v>1</v>
      </c>
      <c r="K124" s="9" t="b">
        <v>1</v>
      </c>
      <c r="L124" s="9" t="b">
        <v>0</v>
      </c>
      <c r="M124" s="9" t="b">
        <v>0</v>
      </c>
      <c r="N124" s="9" t="b">
        <v>0</v>
      </c>
      <c r="O124" s="9" t="b">
        <v>1</v>
      </c>
      <c r="P124" s="9" t="b">
        <v>0</v>
      </c>
      <c r="Q124" s="9" t="b">
        <v>1</v>
      </c>
      <c r="R124" s="16">
        <f>COUNTIFS(stable[q_group],stable[[#This Row],[q_group]])</f>
        <v>1</v>
      </c>
      <c r="S124" s="9" t="b">
        <v>0</v>
      </c>
      <c r="T124" s="9" t="b">
        <v>1</v>
      </c>
      <c r="U124" s="9" t="b">
        <v>0</v>
      </c>
      <c r="V124" s="9" t="b">
        <v>0</v>
      </c>
    </row>
    <row r="125" spans="1:22" x14ac:dyDescent="0.25">
      <c r="A125" s="15" t="str">
        <f>_xlfn.CONCAT(stable[[#This Row],[group_0_no]:[order_no]])</f>
        <v>6021</v>
      </c>
      <c r="B125" s="15" t="s">
        <v>998</v>
      </c>
      <c r="C125" s="15" t="s">
        <v>1105</v>
      </c>
      <c r="D125" s="15" t="s">
        <v>1094</v>
      </c>
      <c r="E125" s="15" t="s">
        <v>1097</v>
      </c>
      <c r="F125" s="15" t="s">
        <v>1093</v>
      </c>
      <c r="G125" s="9" t="s">
        <v>1240</v>
      </c>
      <c r="H125" s="9" t="b">
        <v>0</v>
      </c>
      <c r="I125" s="9" t="b">
        <v>0</v>
      </c>
      <c r="J125" s="9" t="b">
        <v>1</v>
      </c>
      <c r="K125" s="9" t="b">
        <v>0</v>
      </c>
      <c r="L125" s="9" t="b">
        <v>0</v>
      </c>
      <c r="M125" s="9" t="b">
        <v>0</v>
      </c>
      <c r="N125" s="9" t="b">
        <v>0</v>
      </c>
      <c r="O125" s="9" t="b">
        <v>0</v>
      </c>
      <c r="P125" s="9" t="b">
        <v>1</v>
      </c>
      <c r="Q125" s="9" t="b">
        <v>1</v>
      </c>
      <c r="R125" s="16">
        <f>COUNTIFS(stable[q_group],stable[[#This Row],[q_group]])</f>
        <v>1</v>
      </c>
      <c r="S125" s="9" t="b">
        <v>0</v>
      </c>
      <c r="T125" s="9" t="b">
        <v>1</v>
      </c>
      <c r="U125" s="9" t="b">
        <v>0</v>
      </c>
      <c r="V125" s="9" t="b">
        <v>0</v>
      </c>
    </row>
    <row r="126" spans="1:22" x14ac:dyDescent="0.25">
      <c r="A126" s="15" t="str">
        <f>_xlfn.CONCAT(stable[[#This Row],[group_0_no]:[order_no]])</f>
        <v>6022</v>
      </c>
      <c r="B126" s="15" t="s">
        <v>585</v>
      </c>
      <c r="C126" s="15" t="s">
        <v>1105</v>
      </c>
      <c r="D126" s="15" t="s">
        <v>1094</v>
      </c>
      <c r="E126" s="15" t="s">
        <v>1097</v>
      </c>
      <c r="F126" s="15" t="s">
        <v>1097</v>
      </c>
      <c r="G126" s="9" t="s">
        <v>1241</v>
      </c>
      <c r="H126" s="9" t="b">
        <v>0</v>
      </c>
      <c r="I126" s="9" t="b">
        <v>0</v>
      </c>
      <c r="J126" s="9" t="b">
        <v>1</v>
      </c>
      <c r="K126" s="9" t="b">
        <v>0</v>
      </c>
      <c r="L126" s="9" t="b">
        <v>0</v>
      </c>
      <c r="M126" s="9" t="b">
        <v>0</v>
      </c>
      <c r="N126" s="9" t="b">
        <v>1</v>
      </c>
      <c r="O126" s="9" t="b">
        <v>0</v>
      </c>
      <c r="P126" s="9" t="b">
        <v>0</v>
      </c>
      <c r="Q126" s="9" t="b">
        <v>1</v>
      </c>
      <c r="R126" s="16">
        <f>COUNTIFS(stable[q_group],stable[[#This Row],[q_group]])</f>
        <v>1</v>
      </c>
      <c r="S126" s="9" t="b">
        <v>0</v>
      </c>
      <c r="T126" s="9" t="b">
        <v>1</v>
      </c>
      <c r="U126" s="9" t="b">
        <v>0</v>
      </c>
      <c r="V126" s="9" t="b">
        <v>0</v>
      </c>
    </row>
    <row r="127" spans="1:22" x14ac:dyDescent="0.25">
      <c r="A127" s="15" t="str">
        <f>_xlfn.CONCAT(stable[[#This Row],[group_0_no]:[order_no]])</f>
        <v>6023</v>
      </c>
      <c r="B127" s="15" t="s">
        <v>1242</v>
      </c>
      <c r="C127" s="15" t="s">
        <v>1105</v>
      </c>
      <c r="D127" s="15" t="s">
        <v>1094</v>
      </c>
      <c r="E127" s="15" t="s">
        <v>1097</v>
      </c>
      <c r="F127" s="15" t="s">
        <v>1099</v>
      </c>
      <c r="G127" s="9" t="s">
        <v>1243</v>
      </c>
      <c r="H127" s="9" t="b">
        <v>0</v>
      </c>
      <c r="I127" s="9" t="b">
        <v>0</v>
      </c>
      <c r="J127" s="9" t="b">
        <v>1</v>
      </c>
      <c r="K127" s="9" t="b">
        <v>0</v>
      </c>
      <c r="L127" s="9" t="b">
        <v>0</v>
      </c>
      <c r="M127" s="9" t="b">
        <v>0</v>
      </c>
      <c r="N127" s="9" t="b">
        <v>1</v>
      </c>
      <c r="O127" s="9" t="b">
        <v>0</v>
      </c>
      <c r="P127" s="9" t="b">
        <v>0</v>
      </c>
      <c r="Q127" s="9" t="b">
        <v>1</v>
      </c>
      <c r="R127" s="16">
        <f>COUNTIFS(stable[q_group],stable[[#This Row],[q_group]])</f>
        <v>1</v>
      </c>
      <c r="S127" s="9" t="b">
        <v>0</v>
      </c>
      <c r="T127" s="9" t="b">
        <v>1</v>
      </c>
      <c r="U127" s="9" t="b">
        <v>0</v>
      </c>
      <c r="V127" s="9" t="b">
        <v>0</v>
      </c>
    </row>
    <row r="128" spans="1:22" x14ac:dyDescent="0.25">
      <c r="A128" s="15" t="str">
        <f>_xlfn.CONCAT(stable[[#This Row],[group_0_no]:[order_no]])</f>
        <v>6030</v>
      </c>
      <c r="B128" s="15" t="s">
        <v>1244</v>
      </c>
      <c r="C128" s="15" t="s">
        <v>1105</v>
      </c>
      <c r="D128" s="15" t="s">
        <v>1094</v>
      </c>
      <c r="E128" s="15" t="s">
        <v>1099</v>
      </c>
      <c r="F128" s="15" t="s">
        <v>1094</v>
      </c>
      <c r="G128" s="9" t="s">
        <v>1245</v>
      </c>
      <c r="H128" s="9" t="b">
        <v>0</v>
      </c>
      <c r="I128" s="9" t="b">
        <v>1</v>
      </c>
      <c r="J128" s="9" t="b">
        <v>0</v>
      </c>
      <c r="K128" s="9" t="b">
        <v>1</v>
      </c>
      <c r="L128" s="9" t="b">
        <v>0</v>
      </c>
      <c r="M128" s="9" t="b">
        <v>0</v>
      </c>
      <c r="N128" s="9" t="b">
        <v>0</v>
      </c>
      <c r="O128" s="9" t="b">
        <v>1</v>
      </c>
      <c r="P128" s="9" t="b">
        <v>0</v>
      </c>
      <c r="Q128" s="9" t="b">
        <v>1</v>
      </c>
      <c r="R128" s="16">
        <f>COUNTIFS(stable[q_group],stable[[#This Row],[q_group]])</f>
        <v>1</v>
      </c>
      <c r="S128" s="9" t="b">
        <v>0</v>
      </c>
      <c r="T128" s="9" t="b">
        <v>1</v>
      </c>
      <c r="U128" s="9" t="b">
        <v>0</v>
      </c>
      <c r="V128" s="9" t="b">
        <v>0</v>
      </c>
    </row>
    <row r="129" spans="1:22" x14ac:dyDescent="0.25">
      <c r="A129" s="15" t="str">
        <f>_xlfn.CONCAT(stable[[#This Row],[group_0_no]:[order_no]])</f>
        <v>6031</v>
      </c>
      <c r="B129" s="15" t="s">
        <v>1021</v>
      </c>
      <c r="C129" s="15" t="s">
        <v>1105</v>
      </c>
      <c r="D129" s="15" t="s">
        <v>1094</v>
      </c>
      <c r="E129" s="15" t="s">
        <v>1099</v>
      </c>
      <c r="F129" s="15" t="s">
        <v>1093</v>
      </c>
      <c r="G129" s="9" t="s">
        <v>1246</v>
      </c>
      <c r="H129" s="9" t="b">
        <v>0</v>
      </c>
      <c r="I129" s="9" t="b">
        <v>1</v>
      </c>
      <c r="J129" s="9" t="b">
        <v>0</v>
      </c>
      <c r="K129" s="9" t="b">
        <v>0</v>
      </c>
      <c r="L129" s="9" t="b">
        <v>0</v>
      </c>
      <c r="M129" s="9" t="b">
        <v>0</v>
      </c>
      <c r="N129" s="9" t="b">
        <v>0</v>
      </c>
      <c r="O129" s="9" t="b">
        <v>0</v>
      </c>
      <c r="P129" s="9" t="b">
        <v>1</v>
      </c>
      <c r="Q129" s="9" t="b">
        <v>1</v>
      </c>
      <c r="R129" s="16">
        <f>COUNTIFS(stable[q_group],stable[[#This Row],[q_group]])</f>
        <v>1</v>
      </c>
      <c r="S129" s="9" t="b">
        <v>0</v>
      </c>
      <c r="T129" s="9" t="b">
        <v>1</v>
      </c>
      <c r="U129" s="9" t="b">
        <v>0</v>
      </c>
      <c r="V129" s="9" t="b">
        <v>0</v>
      </c>
    </row>
    <row r="130" spans="1:22" x14ac:dyDescent="0.25">
      <c r="A130" s="15" t="str">
        <f>_xlfn.CONCAT(stable[[#This Row],[group_0_no]:[order_no]])</f>
        <v>6032</v>
      </c>
      <c r="B130" s="15" t="s">
        <v>1022</v>
      </c>
      <c r="C130" s="15" t="s">
        <v>1105</v>
      </c>
      <c r="D130" s="15" t="s">
        <v>1094</v>
      </c>
      <c r="E130" s="15" t="s">
        <v>1099</v>
      </c>
      <c r="F130" s="15" t="s">
        <v>1097</v>
      </c>
      <c r="G130" s="9" t="s">
        <v>1247</v>
      </c>
      <c r="H130" s="9" t="b">
        <v>0</v>
      </c>
      <c r="I130" s="9" t="b">
        <v>1</v>
      </c>
      <c r="J130" s="9" t="b">
        <v>0</v>
      </c>
      <c r="K130" s="9" t="b">
        <v>0</v>
      </c>
      <c r="L130" s="9" t="b">
        <v>0</v>
      </c>
      <c r="M130" s="9" t="b">
        <v>0</v>
      </c>
      <c r="N130" s="9" t="b">
        <v>1</v>
      </c>
      <c r="O130" s="9" t="b">
        <v>0</v>
      </c>
      <c r="P130" s="9" t="b">
        <v>0</v>
      </c>
      <c r="Q130" s="9" t="b">
        <v>1</v>
      </c>
      <c r="R130" s="16">
        <f>COUNTIFS(stable[q_group],stable[[#This Row],[q_group]])</f>
        <v>1</v>
      </c>
      <c r="S130" s="9" t="b">
        <v>0</v>
      </c>
      <c r="T130" s="9" t="b">
        <v>1</v>
      </c>
      <c r="U130" s="9" t="b">
        <v>0</v>
      </c>
      <c r="V130" s="9" t="b">
        <v>0</v>
      </c>
    </row>
    <row r="131" spans="1:22" x14ac:dyDescent="0.25">
      <c r="A131" s="15" t="str">
        <f>_xlfn.CONCAT(stable[[#This Row],[group_0_no]:[order_no]])</f>
        <v>6033</v>
      </c>
      <c r="B131" s="15" t="s">
        <v>1023</v>
      </c>
      <c r="C131" s="15" t="s">
        <v>1105</v>
      </c>
      <c r="D131" s="15" t="s">
        <v>1094</v>
      </c>
      <c r="E131" s="15" t="s">
        <v>1099</v>
      </c>
      <c r="F131" s="15" t="s">
        <v>1099</v>
      </c>
      <c r="G131" s="9" t="s">
        <v>1248</v>
      </c>
      <c r="H131" s="9" t="b">
        <v>0</v>
      </c>
      <c r="I131" s="9" t="b">
        <v>1</v>
      </c>
      <c r="J131" s="9" t="b">
        <v>0</v>
      </c>
      <c r="K131" s="9" t="b">
        <v>0</v>
      </c>
      <c r="L131" s="9" t="b">
        <v>0</v>
      </c>
      <c r="M131" s="9" t="b">
        <v>0</v>
      </c>
      <c r="N131" s="9" t="b">
        <v>1</v>
      </c>
      <c r="O131" s="9" t="b">
        <v>0</v>
      </c>
      <c r="P131" s="9" t="b">
        <v>0</v>
      </c>
      <c r="Q131" s="9" t="b">
        <v>1</v>
      </c>
      <c r="R131" s="16">
        <f>COUNTIFS(stable[q_group],stable[[#This Row],[q_group]])</f>
        <v>1</v>
      </c>
      <c r="S131" s="9" t="b">
        <v>0</v>
      </c>
      <c r="T131" s="9" t="b">
        <v>1</v>
      </c>
      <c r="U131" s="9" t="b">
        <v>0</v>
      </c>
      <c r="V131" s="9" t="b">
        <v>0</v>
      </c>
    </row>
    <row r="132" spans="1:22" x14ac:dyDescent="0.25">
      <c r="A132" s="15" t="str">
        <f>_xlfn.CONCAT(stable[[#This Row],[group_0_no]:[order_no]])</f>
        <v>6100</v>
      </c>
      <c r="B132" s="20" t="s">
        <v>1001</v>
      </c>
      <c r="C132" s="15" t="s">
        <v>1105</v>
      </c>
      <c r="D132" s="15" t="s">
        <v>1093</v>
      </c>
      <c r="E132" s="15" t="s">
        <v>1094</v>
      </c>
      <c r="F132" s="15" t="s">
        <v>1094</v>
      </c>
      <c r="G132" s="9" t="s">
        <v>1249</v>
      </c>
      <c r="H132" s="9" t="b">
        <v>1</v>
      </c>
      <c r="I132" s="9" t="b">
        <v>0</v>
      </c>
      <c r="J132" s="9" t="b">
        <v>0</v>
      </c>
      <c r="K132" s="9" t="b">
        <v>1</v>
      </c>
      <c r="L132" s="9" t="b">
        <v>0</v>
      </c>
      <c r="M132" s="9" t="b">
        <v>0</v>
      </c>
      <c r="N132" s="9" t="b">
        <v>0</v>
      </c>
      <c r="O132" s="9" t="b">
        <v>1</v>
      </c>
      <c r="P132" s="9" t="b">
        <v>0</v>
      </c>
      <c r="Q132" s="9" t="b">
        <v>1</v>
      </c>
      <c r="R132" s="16">
        <f>COUNTIFS(stable[q_group],stable[[#This Row],[q_group]])</f>
        <v>1</v>
      </c>
      <c r="S132" s="9" t="b">
        <v>0</v>
      </c>
      <c r="T132" s="9" t="b">
        <v>1</v>
      </c>
      <c r="U132" s="9" t="b">
        <v>0</v>
      </c>
      <c r="V132" s="9" t="b">
        <v>0</v>
      </c>
    </row>
    <row r="133" spans="1:22" x14ac:dyDescent="0.25">
      <c r="A133" s="15" t="str">
        <f>_xlfn.CONCAT(stable[[#This Row],[group_0_no]:[order_no]])</f>
        <v>6101</v>
      </c>
      <c r="B133" s="15" t="s">
        <v>259</v>
      </c>
      <c r="C133" s="15" t="s">
        <v>1105</v>
      </c>
      <c r="D133" s="15" t="s">
        <v>1093</v>
      </c>
      <c r="E133" s="15" t="s">
        <v>1094</v>
      </c>
      <c r="F133" s="15" t="s">
        <v>1093</v>
      </c>
      <c r="G133" s="9" t="s">
        <v>1250</v>
      </c>
      <c r="H133" s="9" t="b">
        <v>1</v>
      </c>
      <c r="I133" s="9" t="b">
        <v>0</v>
      </c>
      <c r="J133" s="9" t="b">
        <v>0</v>
      </c>
      <c r="K133" s="9" t="b">
        <v>0</v>
      </c>
      <c r="L133" s="9" t="b">
        <v>0</v>
      </c>
      <c r="M133" s="17" t="b">
        <v>0</v>
      </c>
      <c r="N133" s="9" t="b">
        <v>0</v>
      </c>
      <c r="O133" s="9" t="b">
        <v>0</v>
      </c>
      <c r="P133" s="17" t="b">
        <v>1</v>
      </c>
      <c r="Q133" s="9" t="b">
        <v>1</v>
      </c>
      <c r="R133" s="16">
        <f>COUNTIFS(stable[q_group],stable[[#This Row],[q_group]])</f>
        <v>1</v>
      </c>
      <c r="S133" s="9" t="b">
        <v>0</v>
      </c>
      <c r="T133" s="9" t="b">
        <v>1</v>
      </c>
      <c r="U133" s="9" t="b">
        <v>0</v>
      </c>
      <c r="V133" s="9" t="b">
        <v>0</v>
      </c>
    </row>
    <row r="134" spans="1:22" x14ac:dyDescent="0.25">
      <c r="A134" s="15" t="str">
        <f>_xlfn.CONCAT(stable[[#This Row],[group_0_no]:[order_no]])</f>
        <v>6102</v>
      </c>
      <c r="B134" s="15" t="s">
        <v>1251</v>
      </c>
      <c r="C134" s="15" t="s">
        <v>1105</v>
      </c>
      <c r="D134" s="15" t="s">
        <v>1093</v>
      </c>
      <c r="E134" s="15" t="s">
        <v>1094</v>
      </c>
      <c r="F134" s="15" t="s">
        <v>1097</v>
      </c>
      <c r="G134" s="9" t="s">
        <v>1252</v>
      </c>
      <c r="H134" s="9" t="b">
        <v>0</v>
      </c>
      <c r="I134" s="9" t="b">
        <v>1</v>
      </c>
      <c r="J134" s="9" t="b">
        <v>0</v>
      </c>
      <c r="K134" s="9" t="b">
        <v>0</v>
      </c>
      <c r="L134" s="9" t="b">
        <v>0</v>
      </c>
      <c r="M134" s="9" t="b">
        <v>0</v>
      </c>
      <c r="N134" s="9" t="b">
        <v>1</v>
      </c>
      <c r="O134" s="9" t="b">
        <v>0</v>
      </c>
      <c r="P134" s="9" t="b">
        <v>0</v>
      </c>
      <c r="Q134" s="9" t="b">
        <v>1</v>
      </c>
      <c r="R134" s="16">
        <f>COUNTIFS(stable[q_group],stable[[#This Row],[q_group]])</f>
        <v>1</v>
      </c>
      <c r="S134" s="9" t="b">
        <v>0</v>
      </c>
      <c r="T134" s="9" t="b">
        <v>1</v>
      </c>
      <c r="U134" s="9" t="b">
        <v>0</v>
      </c>
      <c r="V134" s="9" t="b">
        <v>0</v>
      </c>
    </row>
    <row r="135" spans="1:22" x14ac:dyDescent="0.25">
      <c r="A135" s="15" t="str">
        <f>_xlfn.CONCAT(stable[[#This Row],[group_0_no]:[order_no]])</f>
        <v>6103</v>
      </c>
      <c r="B135" s="15" t="s">
        <v>589</v>
      </c>
      <c r="C135" s="15" t="s">
        <v>1105</v>
      </c>
      <c r="D135" s="15" t="s">
        <v>1093</v>
      </c>
      <c r="E135" s="15" t="s">
        <v>1094</v>
      </c>
      <c r="F135" s="15" t="s">
        <v>1099</v>
      </c>
      <c r="G135" s="9" t="s">
        <v>1253</v>
      </c>
      <c r="H135" s="9" t="b">
        <v>0</v>
      </c>
      <c r="I135" s="9" t="b">
        <v>1</v>
      </c>
      <c r="J135" s="9" t="b">
        <v>0</v>
      </c>
      <c r="K135" s="9" t="b">
        <v>0</v>
      </c>
      <c r="L135" s="9" t="b">
        <v>0</v>
      </c>
      <c r="M135" s="9" t="b">
        <v>0</v>
      </c>
      <c r="N135" s="9" t="b">
        <v>1</v>
      </c>
      <c r="O135" s="9" t="b">
        <v>0</v>
      </c>
      <c r="P135" s="9" t="b">
        <v>0</v>
      </c>
      <c r="Q135" s="9" t="b">
        <v>1</v>
      </c>
      <c r="R135" s="16">
        <f>COUNTIFS(stable[q_group],stable[[#This Row],[q_group]])</f>
        <v>1</v>
      </c>
      <c r="S135" s="9" t="b">
        <v>0</v>
      </c>
      <c r="T135" s="9" t="b">
        <v>1</v>
      </c>
      <c r="U135" s="9" t="b">
        <v>0</v>
      </c>
      <c r="V135" s="9" t="b">
        <v>0</v>
      </c>
    </row>
    <row r="136" spans="1:22" x14ac:dyDescent="0.25">
      <c r="A136" s="15" t="str">
        <f>_xlfn.CONCAT(stable[[#This Row],[group_0_no]:[order_no]])</f>
        <v>6190</v>
      </c>
      <c r="B136" s="15" t="s">
        <v>591</v>
      </c>
      <c r="C136" s="15" t="s">
        <v>1105</v>
      </c>
      <c r="D136" s="15" t="s">
        <v>1093</v>
      </c>
      <c r="E136" s="15" t="s">
        <v>1142</v>
      </c>
      <c r="F136" s="15" t="s">
        <v>1094</v>
      </c>
      <c r="G136" s="9" t="s">
        <v>1254</v>
      </c>
      <c r="H136" s="9" t="b">
        <v>0</v>
      </c>
      <c r="I136" s="9" t="b">
        <v>1</v>
      </c>
      <c r="J136" s="9" t="b">
        <v>0</v>
      </c>
      <c r="K136" s="9" t="b">
        <v>1</v>
      </c>
      <c r="L136" s="9" t="b">
        <v>0</v>
      </c>
      <c r="M136" s="9" t="b">
        <v>0</v>
      </c>
      <c r="N136" s="9" t="b">
        <v>0</v>
      </c>
      <c r="O136" s="9" t="b">
        <v>1</v>
      </c>
      <c r="P136" s="9" t="b">
        <v>0</v>
      </c>
      <c r="Q136" s="9" t="b">
        <v>1</v>
      </c>
      <c r="R136" s="16">
        <f>COUNTIFS(stable[q_group],stable[[#This Row],[q_group]])</f>
        <v>1</v>
      </c>
      <c r="S136" s="9" t="b">
        <v>0</v>
      </c>
      <c r="T136" s="9" t="b">
        <v>1</v>
      </c>
      <c r="U136" s="9" t="b">
        <v>0</v>
      </c>
      <c r="V136" s="9" t="b">
        <v>0</v>
      </c>
    </row>
    <row r="137" spans="1:22" x14ac:dyDescent="0.25">
      <c r="A137" s="15" t="str">
        <f>_xlfn.CONCAT(stable[[#This Row],[group_0_no]:[order_no]])</f>
        <v>6191</v>
      </c>
      <c r="B137" s="15" t="s">
        <v>593</v>
      </c>
      <c r="C137" s="15" t="s">
        <v>1105</v>
      </c>
      <c r="D137" s="15" t="s">
        <v>1093</v>
      </c>
      <c r="E137" s="15" t="s">
        <v>1142</v>
      </c>
      <c r="F137" s="15" t="s">
        <v>1093</v>
      </c>
      <c r="G137" s="9" t="s">
        <v>1255</v>
      </c>
      <c r="H137" s="9" t="b">
        <v>0</v>
      </c>
      <c r="I137" s="9" t="b">
        <v>1</v>
      </c>
      <c r="J137" s="9" t="b">
        <v>0</v>
      </c>
      <c r="K137" s="9" t="b">
        <v>0</v>
      </c>
      <c r="L137" s="9" t="b">
        <v>0</v>
      </c>
      <c r="M137" s="9" t="b">
        <v>1</v>
      </c>
      <c r="N137" s="9" t="b">
        <v>0</v>
      </c>
      <c r="O137" s="9" t="b">
        <v>0</v>
      </c>
      <c r="P137" s="9" t="b">
        <v>0</v>
      </c>
      <c r="Q137" s="9" t="b">
        <v>1</v>
      </c>
      <c r="R137" s="16">
        <f>COUNTIFS(stable[q_group],stable[[#This Row],[q_group]])</f>
        <v>1</v>
      </c>
      <c r="S137" s="9" t="b">
        <v>0</v>
      </c>
      <c r="T137" s="9" t="b">
        <v>1</v>
      </c>
      <c r="U137" s="9" t="b">
        <v>0</v>
      </c>
      <c r="V137" s="9" t="b">
        <v>0</v>
      </c>
    </row>
    <row r="138" spans="1:22" x14ac:dyDescent="0.25">
      <c r="A138" s="15" t="str">
        <f>_xlfn.CONCAT(stable[[#This Row],[group_0_no]:[order_no]])</f>
        <v>6192</v>
      </c>
      <c r="B138" s="15" t="s">
        <v>595</v>
      </c>
      <c r="C138" s="15" t="s">
        <v>1105</v>
      </c>
      <c r="D138" s="15" t="s">
        <v>1093</v>
      </c>
      <c r="E138" s="15" t="s">
        <v>1142</v>
      </c>
      <c r="F138" s="15" t="s">
        <v>1097</v>
      </c>
      <c r="G138" s="9" t="s">
        <v>1256</v>
      </c>
      <c r="H138" s="9" t="b">
        <v>0</v>
      </c>
      <c r="I138" s="9" t="b">
        <v>1</v>
      </c>
      <c r="J138" s="9" t="b">
        <v>0</v>
      </c>
      <c r="K138" s="9" t="b">
        <v>0</v>
      </c>
      <c r="L138" s="9" t="b">
        <v>0</v>
      </c>
      <c r="M138" s="9" t="b">
        <v>1</v>
      </c>
      <c r="N138" s="9" t="b">
        <v>0</v>
      </c>
      <c r="O138" s="9" t="b">
        <v>0</v>
      </c>
      <c r="P138" s="9" t="b">
        <v>0</v>
      </c>
      <c r="Q138" s="9" t="b">
        <v>1</v>
      </c>
      <c r="R138" s="16">
        <f>COUNTIFS(stable[q_group],stable[[#This Row],[q_group]])</f>
        <v>1</v>
      </c>
      <c r="S138" s="9" t="b">
        <v>0</v>
      </c>
      <c r="T138" s="9" t="b">
        <v>1</v>
      </c>
      <c r="U138" s="9" t="b">
        <v>0</v>
      </c>
      <c r="V138" s="9" t="b">
        <v>0</v>
      </c>
    </row>
    <row r="139" spans="1:22" x14ac:dyDescent="0.25">
      <c r="A139" s="15" t="str">
        <f>_xlfn.CONCAT(stable[[#This Row],[group_0_no]:[order_no]])</f>
        <v>6200</v>
      </c>
      <c r="B139" s="15" t="s">
        <v>597</v>
      </c>
      <c r="C139" s="15" t="s">
        <v>1105</v>
      </c>
      <c r="D139" s="15" t="s">
        <v>1097</v>
      </c>
      <c r="E139" s="15" t="s">
        <v>1094</v>
      </c>
      <c r="F139" s="15" t="s">
        <v>1094</v>
      </c>
      <c r="G139" s="9" t="s">
        <v>1257</v>
      </c>
      <c r="H139" s="9" t="b">
        <v>0</v>
      </c>
      <c r="I139" s="9" t="b">
        <v>0</v>
      </c>
      <c r="J139" s="9" t="b">
        <v>1</v>
      </c>
      <c r="K139" s="9" t="b">
        <v>1</v>
      </c>
      <c r="L139" s="9" t="b">
        <v>0</v>
      </c>
      <c r="M139" s="9" t="b">
        <v>0</v>
      </c>
      <c r="N139" s="9" t="b">
        <v>0</v>
      </c>
      <c r="O139" s="9" t="b">
        <v>1</v>
      </c>
      <c r="P139" s="9" t="b">
        <v>0</v>
      </c>
      <c r="Q139" s="9" t="b">
        <v>1</v>
      </c>
      <c r="R139" s="16">
        <f>COUNTIFS(stable[q_group],stable[[#This Row],[q_group]])</f>
        <v>1</v>
      </c>
      <c r="S139" s="9" t="b">
        <v>0</v>
      </c>
      <c r="T139" s="9" t="b">
        <v>1</v>
      </c>
      <c r="U139" s="9" t="b">
        <v>0</v>
      </c>
      <c r="V139" s="9" t="b">
        <v>0</v>
      </c>
    </row>
    <row r="140" spans="1:22" x14ac:dyDescent="0.25">
      <c r="A140" s="15" t="str">
        <f>_xlfn.CONCAT(stable[[#This Row],[group_0_no]:[order_no]])</f>
        <v>6201</v>
      </c>
      <c r="B140" s="15" t="s">
        <v>1258</v>
      </c>
      <c r="C140" s="15" t="s">
        <v>1105</v>
      </c>
      <c r="D140" s="15" t="s">
        <v>1097</v>
      </c>
      <c r="E140" s="15" t="s">
        <v>1094</v>
      </c>
      <c r="F140" s="15" t="s">
        <v>1093</v>
      </c>
      <c r="G140" s="9" t="s">
        <v>1259</v>
      </c>
      <c r="H140" s="9" t="b">
        <v>0</v>
      </c>
      <c r="I140" s="9" t="b">
        <v>0</v>
      </c>
      <c r="J140" s="9" t="b">
        <v>1</v>
      </c>
      <c r="K140" s="9" t="b">
        <v>0</v>
      </c>
      <c r="L140" s="9" t="b">
        <v>0</v>
      </c>
      <c r="M140" s="9" t="b">
        <v>0</v>
      </c>
      <c r="N140" s="9" t="b">
        <v>1</v>
      </c>
      <c r="O140" s="9" t="b">
        <v>0</v>
      </c>
      <c r="P140" s="9" t="b">
        <v>0</v>
      </c>
      <c r="Q140" s="9" t="b">
        <v>1</v>
      </c>
      <c r="R140" s="16">
        <f>COUNTIFS(stable[q_group],stable[[#This Row],[q_group]])</f>
        <v>1</v>
      </c>
      <c r="S140" s="9" t="b">
        <v>0</v>
      </c>
      <c r="T140" s="9" t="b">
        <v>1</v>
      </c>
      <c r="U140" s="9" t="b">
        <v>0</v>
      </c>
      <c r="V140" s="9" t="b">
        <v>0</v>
      </c>
    </row>
    <row r="141" spans="1:22" x14ac:dyDescent="0.25">
      <c r="A141" s="15" t="str">
        <f>_xlfn.CONCAT(stable[[#This Row],[group_0_no]:[order_no]])</f>
        <v>6210</v>
      </c>
      <c r="B141" s="15" t="s">
        <v>265</v>
      </c>
      <c r="C141" s="15" t="s">
        <v>1105</v>
      </c>
      <c r="D141" s="15" t="s">
        <v>1097</v>
      </c>
      <c r="E141" s="15" t="s">
        <v>1093</v>
      </c>
      <c r="F141" s="15" t="s">
        <v>1094</v>
      </c>
      <c r="G141" s="9" t="s">
        <v>1260</v>
      </c>
      <c r="H141" s="9" t="b">
        <v>0</v>
      </c>
      <c r="I141" s="9" t="b">
        <v>1</v>
      </c>
      <c r="J141" s="9" t="b">
        <v>1</v>
      </c>
      <c r="K141" s="9" t="b">
        <v>1</v>
      </c>
      <c r="L141" s="9" t="b">
        <v>0</v>
      </c>
      <c r="M141" s="9" t="b">
        <v>0</v>
      </c>
      <c r="N141" s="9" t="b">
        <v>0</v>
      </c>
      <c r="O141" s="9" t="b">
        <v>1</v>
      </c>
      <c r="P141" s="9" t="b">
        <v>0</v>
      </c>
      <c r="Q141" s="9" t="b">
        <v>1</v>
      </c>
      <c r="R141" s="16">
        <f>COUNTIFS(stable[q_group],stable[[#This Row],[q_group]])</f>
        <v>1</v>
      </c>
      <c r="S141" s="9" t="b">
        <v>0</v>
      </c>
      <c r="T141" s="9" t="b">
        <v>1</v>
      </c>
      <c r="U141" s="9" t="b">
        <v>0</v>
      </c>
      <c r="V141" s="9" t="b">
        <v>0</v>
      </c>
    </row>
    <row r="142" spans="1:22" x14ac:dyDescent="0.25">
      <c r="A142" s="15" t="str">
        <f>_xlfn.CONCAT(stable[[#This Row],[group_0_no]:[order_no]])</f>
        <v>6211</v>
      </c>
      <c r="B142" s="15" t="s">
        <v>1261</v>
      </c>
      <c r="C142" s="15" t="s">
        <v>1105</v>
      </c>
      <c r="D142" s="15" t="s">
        <v>1097</v>
      </c>
      <c r="E142" s="15" t="s">
        <v>1093</v>
      </c>
      <c r="F142" s="15" t="s">
        <v>1093</v>
      </c>
      <c r="G142" s="9" t="s">
        <v>1262</v>
      </c>
      <c r="H142" s="9" t="b">
        <v>0</v>
      </c>
      <c r="I142" s="9" t="b">
        <v>1</v>
      </c>
      <c r="J142" s="9" t="b">
        <v>1</v>
      </c>
      <c r="K142" s="9" t="b">
        <v>0</v>
      </c>
      <c r="L142" s="9" t="b">
        <v>0</v>
      </c>
      <c r="M142" s="9" t="b">
        <v>1</v>
      </c>
      <c r="N142" s="9" t="b">
        <v>0</v>
      </c>
      <c r="O142" s="9" t="b">
        <v>0</v>
      </c>
      <c r="P142" s="9" t="b">
        <v>0</v>
      </c>
      <c r="Q142" s="9" t="b">
        <v>1</v>
      </c>
      <c r="R142" s="16">
        <f>COUNTIFS(stable[q_group],stable[[#This Row],[q_group]])</f>
        <v>1</v>
      </c>
      <c r="S142" s="9" t="b">
        <v>0</v>
      </c>
      <c r="T142" s="9" t="b">
        <v>1</v>
      </c>
      <c r="U142" s="9" t="b">
        <v>0</v>
      </c>
      <c r="V142" s="9" t="b">
        <v>0</v>
      </c>
    </row>
    <row r="143" spans="1:22" x14ac:dyDescent="0.25">
      <c r="A143" s="15" t="str">
        <f>_xlfn.CONCAT(stable[[#This Row],[group_0_no]:[order_no]])</f>
        <v>6220</v>
      </c>
      <c r="B143" s="15" t="s">
        <v>707</v>
      </c>
      <c r="C143" s="15">
        <v>6</v>
      </c>
      <c r="D143" s="15">
        <v>2</v>
      </c>
      <c r="E143" s="15">
        <v>2</v>
      </c>
      <c r="F143" s="15">
        <v>0</v>
      </c>
      <c r="G143" s="9" t="s">
        <v>1263</v>
      </c>
      <c r="H143" s="9" t="b">
        <v>0</v>
      </c>
      <c r="I143" s="9" t="b">
        <v>1</v>
      </c>
      <c r="J143" s="9" t="b">
        <v>1</v>
      </c>
      <c r="K143" s="9" t="b">
        <v>1</v>
      </c>
      <c r="L143" s="9" t="b">
        <v>0</v>
      </c>
      <c r="M143" s="9" t="b">
        <v>0</v>
      </c>
      <c r="N143" s="9" t="b">
        <v>0</v>
      </c>
      <c r="O143" s="9" t="b">
        <v>0</v>
      </c>
      <c r="P143" s="9" t="b">
        <v>1</v>
      </c>
      <c r="Q143" s="9" t="b">
        <v>1</v>
      </c>
      <c r="R143" s="16">
        <f>COUNTIFS(stable[q_group],stable[[#This Row],[q_group]])</f>
        <v>1</v>
      </c>
      <c r="S143" s="9" t="b">
        <v>0</v>
      </c>
      <c r="T143" s="9" t="b">
        <v>1</v>
      </c>
      <c r="U143" s="9" t="b">
        <v>0</v>
      </c>
      <c r="V143" s="9" t="b">
        <v>0</v>
      </c>
    </row>
    <row r="144" spans="1:22" x14ac:dyDescent="0.25">
      <c r="A144" s="15" t="str">
        <f>_xlfn.CONCAT(stable[[#This Row],[group_0_no]:[order_no]])</f>
        <v>6300</v>
      </c>
      <c r="B144" s="21" t="s">
        <v>1006</v>
      </c>
      <c r="C144" s="15" t="s">
        <v>1105</v>
      </c>
      <c r="D144" s="15" t="s">
        <v>1099</v>
      </c>
      <c r="E144" s="15" t="s">
        <v>1094</v>
      </c>
      <c r="F144" s="15" t="s">
        <v>1094</v>
      </c>
      <c r="G144" s="9" t="s">
        <v>1264</v>
      </c>
      <c r="H144" s="9" t="b">
        <v>1</v>
      </c>
      <c r="I144" s="9" t="b">
        <v>0</v>
      </c>
      <c r="J144" s="9" t="b">
        <v>0</v>
      </c>
      <c r="K144" s="9" t="b">
        <v>1</v>
      </c>
      <c r="L144" s="9" t="b">
        <v>0</v>
      </c>
      <c r="M144" s="9" t="b">
        <v>0</v>
      </c>
      <c r="N144" s="9" t="b">
        <v>0</v>
      </c>
      <c r="O144" s="9" t="b">
        <v>1</v>
      </c>
      <c r="P144" s="9" t="b">
        <v>0</v>
      </c>
      <c r="Q144" s="9" t="b">
        <v>1</v>
      </c>
      <c r="R144" s="16">
        <f>COUNTIFS(stable[q_group],stable[[#This Row],[q_group]])</f>
        <v>1</v>
      </c>
      <c r="S144" s="9" t="b">
        <v>0</v>
      </c>
      <c r="T144" s="9" t="b">
        <v>1</v>
      </c>
      <c r="U144" s="9" t="b">
        <v>0</v>
      </c>
      <c r="V144" s="9" t="b">
        <v>0</v>
      </c>
    </row>
    <row r="145" spans="1:22" x14ac:dyDescent="0.25">
      <c r="A145" s="15" t="str">
        <f>_xlfn.CONCAT(stable[[#This Row],[group_0_no]:[order_no]])</f>
        <v>6301</v>
      </c>
      <c r="B145" s="15" t="s">
        <v>271</v>
      </c>
      <c r="C145" s="15" t="s">
        <v>1105</v>
      </c>
      <c r="D145" s="15" t="s">
        <v>1099</v>
      </c>
      <c r="E145" s="15" t="s">
        <v>1094</v>
      </c>
      <c r="F145" s="15" t="s">
        <v>1093</v>
      </c>
      <c r="G145" s="9" t="s">
        <v>1265</v>
      </c>
      <c r="H145" s="9" t="b">
        <v>1</v>
      </c>
      <c r="I145" s="9" t="b">
        <v>0</v>
      </c>
      <c r="J145" s="9" t="b">
        <v>0</v>
      </c>
      <c r="K145" s="9" t="b">
        <v>0</v>
      </c>
      <c r="L145" s="9" t="b">
        <v>0</v>
      </c>
      <c r="M145" s="9" t="b">
        <v>0</v>
      </c>
      <c r="N145" s="9" t="b">
        <v>0</v>
      </c>
      <c r="O145" s="9" t="b">
        <v>1</v>
      </c>
      <c r="P145" s="9" t="b">
        <v>0</v>
      </c>
      <c r="Q145" s="9" t="b">
        <v>1</v>
      </c>
      <c r="R145" s="16">
        <f>COUNTIFS(stable[q_group],stable[[#This Row],[q_group]])</f>
        <v>1</v>
      </c>
      <c r="S145" s="9" t="b">
        <v>0</v>
      </c>
      <c r="T145" s="9" t="b">
        <v>1</v>
      </c>
      <c r="U145" s="9" t="b">
        <v>0</v>
      </c>
      <c r="V145" s="9" t="b">
        <v>0</v>
      </c>
    </row>
    <row r="146" spans="1:22" x14ac:dyDescent="0.25">
      <c r="A146" s="15" t="str">
        <f>_xlfn.CONCAT(stable[[#This Row],[group_0_no]:[order_no]])</f>
        <v>6302</v>
      </c>
      <c r="B146" s="15" t="s">
        <v>283</v>
      </c>
      <c r="C146" s="15" t="s">
        <v>1105</v>
      </c>
      <c r="D146" s="15" t="s">
        <v>1099</v>
      </c>
      <c r="E146" s="15" t="s">
        <v>1094</v>
      </c>
      <c r="F146" s="15" t="s">
        <v>1097</v>
      </c>
      <c r="G146" s="9" t="s">
        <v>1266</v>
      </c>
      <c r="H146" s="9" t="b">
        <v>1</v>
      </c>
      <c r="I146" s="9" t="b">
        <v>0</v>
      </c>
      <c r="J146" s="9" t="b">
        <v>0</v>
      </c>
      <c r="K146" s="9" t="b">
        <v>0</v>
      </c>
      <c r="L146" s="9" t="b">
        <v>0</v>
      </c>
      <c r="M146" s="9" t="b">
        <v>0</v>
      </c>
      <c r="N146" s="9" t="b">
        <v>1</v>
      </c>
      <c r="O146" s="9" t="b">
        <v>0</v>
      </c>
      <c r="P146" s="9" t="b">
        <v>0</v>
      </c>
      <c r="Q146" s="9" t="b">
        <v>1</v>
      </c>
      <c r="R146" s="16">
        <f>COUNTIFS(stable[q_group],stable[[#This Row],[q_group]])</f>
        <v>1</v>
      </c>
      <c r="S146" s="9" t="b">
        <v>0</v>
      </c>
      <c r="T146" s="9" t="b">
        <v>1</v>
      </c>
      <c r="U146" s="9" t="b">
        <v>0</v>
      </c>
      <c r="V146" s="9" t="b">
        <v>0</v>
      </c>
    </row>
    <row r="147" spans="1:22" s="22" customFormat="1" x14ac:dyDescent="0.25">
      <c r="A147" s="21" t="str">
        <f>_xlfn.CONCAT(stable[[#This Row],[group_0_no]:[order_no]])</f>
        <v>6400</v>
      </c>
      <c r="B147" s="21" t="s">
        <v>285</v>
      </c>
      <c r="C147" s="21" t="s">
        <v>1105</v>
      </c>
      <c r="D147" s="21" t="s">
        <v>1101</v>
      </c>
      <c r="E147" s="21" t="s">
        <v>1094</v>
      </c>
      <c r="F147" s="21" t="s">
        <v>1094</v>
      </c>
      <c r="G147" s="22" t="s">
        <v>1267</v>
      </c>
      <c r="H147" s="22" t="b">
        <v>1</v>
      </c>
      <c r="I147" s="22" t="b">
        <v>0</v>
      </c>
      <c r="J147" s="22" t="b">
        <v>0</v>
      </c>
      <c r="K147" s="22" t="b">
        <v>1</v>
      </c>
      <c r="L147" s="22" t="b">
        <v>0</v>
      </c>
      <c r="M147" s="22" t="b">
        <v>0</v>
      </c>
      <c r="N147" s="22" t="b">
        <v>0</v>
      </c>
      <c r="O147" s="22" t="b">
        <v>1</v>
      </c>
      <c r="P147" s="22" t="b">
        <v>0</v>
      </c>
      <c r="Q147" s="22" t="b">
        <v>1</v>
      </c>
      <c r="R147" s="29">
        <f>COUNTIFS(stable[q_group],stable[[#This Row],[q_group]])</f>
        <v>1</v>
      </c>
      <c r="S147" s="22" t="b">
        <v>0</v>
      </c>
      <c r="T147" s="22" t="b">
        <v>1</v>
      </c>
      <c r="U147" s="22" t="b">
        <v>0</v>
      </c>
      <c r="V147" s="22" t="b">
        <v>0</v>
      </c>
    </row>
    <row r="148" spans="1:22" x14ac:dyDescent="0.25">
      <c r="A148" s="15" t="str">
        <f>_xlfn.CONCAT(stable[[#This Row],[group_0_no]:[order_no]])</f>
        <v>6401</v>
      </c>
      <c r="B148" s="15" t="s">
        <v>859</v>
      </c>
      <c r="C148" s="15" t="s">
        <v>1105</v>
      </c>
      <c r="D148" s="15" t="s">
        <v>1101</v>
      </c>
      <c r="E148" s="15" t="s">
        <v>1094</v>
      </c>
      <c r="F148" s="15" t="s">
        <v>1093</v>
      </c>
      <c r="G148" s="9" t="s">
        <v>1268</v>
      </c>
      <c r="H148" s="9" t="b">
        <v>1</v>
      </c>
      <c r="I148" s="9" t="b">
        <v>0</v>
      </c>
      <c r="J148" s="9" t="b">
        <v>0</v>
      </c>
      <c r="K148" s="9" t="b">
        <v>0</v>
      </c>
      <c r="L148" s="9" t="b">
        <v>0</v>
      </c>
      <c r="M148" s="9" t="b">
        <v>0</v>
      </c>
      <c r="N148" s="9" t="b">
        <v>1</v>
      </c>
      <c r="O148" s="9" t="b">
        <v>0</v>
      </c>
      <c r="P148" s="9" t="b">
        <v>0</v>
      </c>
      <c r="Q148" s="9" t="b">
        <v>1</v>
      </c>
      <c r="R148" s="16">
        <f>COUNTIFS(stable[q_group],stable[[#This Row],[q_group]])</f>
        <v>1</v>
      </c>
      <c r="S148" s="9" t="b">
        <v>0</v>
      </c>
      <c r="T148" s="9" t="b">
        <v>1</v>
      </c>
      <c r="U148" s="9" t="b">
        <v>0</v>
      </c>
      <c r="V148" s="9" t="b">
        <v>0</v>
      </c>
    </row>
    <row r="149" spans="1:22" x14ac:dyDescent="0.25">
      <c r="A149" s="15" t="str">
        <f>_xlfn.CONCAT(stable[[#This Row],[group_0_no]:[order_no]])</f>
        <v>6402</v>
      </c>
      <c r="B149" s="15" t="s">
        <v>860</v>
      </c>
      <c r="C149" s="15" t="s">
        <v>1105</v>
      </c>
      <c r="D149" s="15" t="s">
        <v>1101</v>
      </c>
      <c r="E149" s="15" t="s">
        <v>1094</v>
      </c>
      <c r="F149" s="15" t="s">
        <v>1097</v>
      </c>
      <c r="G149" s="9" t="s">
        <v>1269</v>
      </c>
      <c r="H149" s="9" t="b">
        <v>0</v>
      </c>
      <c r="I149" s="9" t="b">
        <v>1</v>
      </c>
      <c r="J149" s="9" t="b">
        <v>0</v>
      </c>
      <c r="K149" s="9" t="b">
        <v>0</v>
      </c>
      <c r="L149" s="9" t="b">
        <v>0</v>
      </c>
      <c r="M149" s="9" t="b">
        <v>0</v>
      </c>
      <c r="N149" s="9" t="b">
        <v>1</v>
      </c>
      <c r="O149" s="9" t="b">
        <v>0</v>
      </c>
      <c r="P149" s="9" t="b">
        <v>0</v>
      </c>
      <c r="Q149" s="9" t="b">
        <v>1</v>
      </c>
      <c r="R149" s="16">
        <f>COUNTIFS(stable[q_group],stable[[#This Row],[q_group]])</f>
        <v>1</v>
      </c>
      <c r="S149" s="9" t="b">
        <v>0</v>
      </c>
      <c r="T149" s="9" t="b">
        <v>1</v>
      </c>
      <c r="U149" s="9" t="b">
        <v>0</v>
      </c>
      <c r="V149" s="9" t="b">
        <v>0</v>
      </c>
    </row>
    <row r="150" spans="1:22" x14ac:dyDescent="0.25">
      <c r="A150" s="15" t="str">
        <f>_xlfn.CONCAT(stable[[#This Row],[group_0_no]:[order_no]])</f>
        <v>6500</v>
      </c>
      <c r="B150" s="15" t="s">
        <v>291</v>
      </c>
      <c r="C150" s="15" t="s">
        <v>1105</v>
      </c>
      <c r="D150" s="15" t="s">
        <v>1103</v>
      </c>
      <c r="E150" s="15" t="s">
        <v>1094</v>
      </c>
      <c r="F150" s="15" t="s">
        <v>1094</v>
      </c>
      <c r="G150" s="9" t="s">
        <v>1270</v>
      </c>
      <c r="H150" s="9" t="b">
        <v>1</v>
      </c>
      <c r="I150" s="9" t="b">
        <v>0</v>
      </c>
      <c r="J150" s="9" t="b">
        <v>0</v>
      </c>
      <c r="K150" s="9" t="b">
        <v>1</v>
      </c>
      <c r="L150" s="9" t="b">
        <v>0</v>
      </c>
      <c r="M150" s="9" t="b">
        <v>0</v>
      </c>
      <c r="N150" s="9" t="b">
        <v>0</v>
      </c>
      <c r="O150" s="9" t="b">
        <v>0</v>
      </c>
      <c r="P150" s="9" t="b">
        <v>1</v>
      </c>
      <c r="Q150" s="9" t="b">
        <v>1</v>
      </c>
      <c r="R150" s="16">
        <f>COUNTIFS(stable[q_group],stable[[#This Row],[q_group]])</f>
        <v>1</v>
      </c>
      <c r="S150" s="9" t="b">
        <v>0</v>
      </c>
      <c r="T150" s="9" t="b">
        <v>1</v>
      </c>
      <c r="U150" s="9" t="b">
        <v>0</v>
      </c>
      <c r="V150" s="9" t="b">
        <v>0</v>
      </c>
    </row>
    <row r="151" spans="1:22" s="22" customFormat="1" x14ac:dyDescent="0.25">
      <c r="A151" s="21" t="str">
        <f>_xlfn.CONCAT(stable[[#This Row],[group_0_no]:[order_no]])</f>
        <v>6501</v>
      </c>
      <c r="B151" s="30" t="s">
        <v>1010</v>
      </c>
      <c r="C151" s="21" t="s">
        <v>1105</v>
      </c>
      <c r="D151" s="21" t="s">
        <v>1103</v>
      </c>
      <c r="E151" s="21" t="s">
        <v>1094</v>
      </c>
      <c r="F151" s="21" t="s">
        <v>1093</v>
      </c>
      <c r="G151" s="22" t="s">
        <v>1271</v>
      </c>
      <c r="H151" s="22" t="b">
        <v>1</v>
      </c>
      <c r="I151" s="22" t="b">
        <v>0</v>
      </c>
      <c r="J151" s="22" t="b">
        <v>0</v>
      </c>
      <c r="K151" s="22" t="b">
        <v>1</v>
      </c>
      <c r="L151" s="22" t="b">
        <v>1</v>
      </c>
      <c r="M151" s="22" t="b">
        <v>0</v>
      </c>
      <c r="N151" s="22" t="b">
        <v>0</v>
      </c>
      <c r="O151" s="22" t="b">
        <v>0</v>
      </c>
      <c r="P151" s="22" t="b">
        <v>0</v>
      </c>
      <c r="Q151" s="22" t="b">
        <v>0</v>
      </c>
      <c r="R151" s="29">
        <f>COUNTIFS(stable[q_group],stable[[#This Row],[q_group]])</f>
        <v>1</v>
      </c>
      <c r="S151" s="22" t="b">
        <v>0</v>
      </c>
      <c r="T151" s="22" t="b">
        <v>1</v>
      </c>
      <c r="U151" s="22" t="b">
        <v>0</v>
      </c>
      <c r="V151" s="22" t="b">
        <v>0</v>
      </c>
    </row>
    <row r="152" spans="1:22" x14ac:dyDescent="0.25">
      <c r="A152" s="15" t="str">
        <f>_xlfn.CONCAT(stable[[#This Row],[group_0_no]:[order_no]])</f>
        <v>6510</v>
      </c>
      <c r="B152" s="15" t="s">
        <v>304</v>
      </c>
      <c r="C152" s="15" t="s">
        <v>1105</v>
      </c>
      <c r="D152" s="15" t="s">
        <v>1103</v>
      </c>
      <c r="E152" s="15" t="s">
        <v>1093</v>
      </c>
      <c r="F152" s="15" t="s">
        <v>1094</v>
      </c>
      <c r="G152" s="9" t="s">
        <v>1272</v>
      </c>
      <c r="H152" s="9" t="b">
        <v>1</v>
      </c>
      <c r="I152" s="9" t="b">
        <v>0</v>
      </c>
      <c r="J152" s="9" t="b">
        <v>0</v>
      </c>
      <c r="K152" s="9" t="b">
        <v>0</v>
      </c>
      <c r="L152" s="9" t="b">
        <v>0</v>
      </c>
      <c r="M152" s="9" t="b">
        <v>0</v>
      </c>
      <c r="N152" s="9" t="b">
        <v>0</v>
      </c>
      <c r="O152" s="9" t="b">
        <v>1</v>
      </c>
      <c r="P152" s="9" t="b">
        <v>0</v>
      </c>
      <c r="Q152" s="9" t="b">
        <v>0</v>
      </c>
      <c r="R152" s="16">
        <f>COUNTIFS(stable[q_group],stable[[#This Row],[q_group]])</f>
        <v>1</v>
      </c>
      <c r="S152" s="9" t="b">
        <v>0</v>
      </c>
      <c r="T152" s="9" t="b">
        <v>1</v>
      </c>
      <c r="U152" s="9" t="b">
        <v>0</v>
      </c>
      <c r="V152" s="9" t="b">
        <v>0</v>
      </c>
    </row>
    <row r="153" spans="1:22" x14ac:dyDescent="0.25">
      <c r="A153" s="15" t="str">
        <f>_xlfn.CONCAT(stable[[#This Row],[group_0_no]:[order_no]])</f>
        <v>6511</v>
      </c>
      <c r="B153" s="15" t="s">
        <v>311</v>
      </c>
      <c r="C153" s="15" t="s">
        <v>1105</v>
      </c>
      <c r="D153" s="15" t="s">
        <v>1103</v>
      </c>
      <c r="E153" s="15" t="s">
        <v>1093</v>
      </c>
      <c r="F153" s="15" t="s">
        <v>1093</v>
      </c>
      <c r="G153" s="9" t="s">
        <v>1273</v>
      </c>
      <c r="H153" s="9" t="b">
        <v>1</v>
      </c>
      <c r="I153" s="9" t="b">
        <v>0</v>
      </c>
      <c r="J153" s="9" t="b">
        <v>0</v>
      </c>
      <c r="K153" s="9" t="b">
        <v>0</v>
      </c>
      <c r="L153" s="9" t="b">
        <v>0</v>
      </c>
      <c r="M153" s="9" t="b">
        <v>0</v>
      </c>
      <c r="N153" s="9" t="b">
        <v>0</v>
      </c>
      <c r="O153" s="9" t="b">
        <v>1</v>
      </c>
      <c r="P153" s="9" t="b">
        <v>0</v>
      </c>
      <c r="Q153" s="9" t="b">
        <v>0</v>
      </c>
      <c r="R153" s="16">
        <f>COUNTIFS(stable[q_group],stable[[#This Row],[q_group]])</f>
        <v>1</v>
      </c>
      <c r="S153" s="9" t="b">
        <v>0</v>
      </c>
      <c r="T153" s="9" t="b">
        <v>1</v>
      </c>
      <c r="U153" s="9" t="b">
        <v>0</v>
      </c>
      <c r="V153" s="9" t="b">
        <v>0</v>
      </c>
    </row>
    <row r="154" spans="1:22" x14ac:dyDescent="0.25">
      <c r="A154" s="15" t="str">
        <f>_xlfn.CONCAT(stable[[#This Row],[group_0_no]:[order_no]])</f>
        <v>6512</v>
      </c>
      <c r="B154" s="15" t="s">
        <v>313</v>
      </c>
      <c r="C154" s="15" t="s">
        <v>1105</v>
      </c>
      <c r="D154" s="15" t="s">
        <v>1103</v>
      </c>
      <c r="E154" s="15" t="s">
        <v>1093</v>
      </c>
      <c r="F154" s="15" t="s">
        <v>1097</v>
      </c>
      <c r="G154" s="9" t="s">
        <v>1274</v>
      </c>
      <c r="H154" s="9" t="b">
        <v>1</v>
      </c>
      <c r="I154" s="9" t="b">
        <v>0</v>
      </c>
      <c r="J154" s="9" t="b">
        <v>0</v>
      </c>
      <c r="K154" s="9" t="b">
        <v>0</v>
      </c>
      <c r="L154" s="9" t="b">
        <v>0</v>
      </c>
      <c r="M154" s="9" t="b">
        <v>0</v>
      </c>
      <c r="N154" s="9" t="b">
        <v>0</v>
      </c>
      <c r="O154" s="9" t="b">
        <v>1</v>
      </c>
      <c r="P154" s="9" t="b">
        <v>0</v>
      </c>
      <c r="Q154" s="9" t="b">
        <v>0</v>
      </c>
      <c r="R154" s="16">
        <f>COUNTIFS(stable[q_group],stable[[#This Row],[q_group]])</f>
        <v>1</v>
      </c>
      <c r="S154" s="9" t="b">
        <v>0</v>
      </c>
      <c r="T154" s="9" t="b">
        <v>1</v>
      </c>
      <c r="U154" s="9" t="b">
        <v>0</v>
      </c>
      <c r="V154" s="9" t="b">
        <v>0</v>
      </c>
    </row>
    <row r="155" spans="1:22" x14ac:dyDescent="0.25">
      <c r="A155" s="15" t="str">
        <f>_xlfn.CONCAT(stable[[#This Row],[group_0_no]:[order_no]])</f>
        <v>6513</v>
      </c>
      <c r="B155" s="15" t="s">
        <v>315</v>
      </c>
      <c r="C155" s="15" t="s">
        <v>1105</v>
      </c>
      <c r="D155" s="15" t="s">
        <v>1103</v>
      </c>
      <c r="E155" s="15" t="s">
        <v>1093</v>
      </c>
      <c r="F155" s="15" t="s">
        <v>1099</v>
      </c>
      <c r="G155" s="9" t="s">
        <v>1275</v>
      </c>
      <c r="H155" s="9" t="b">
        <v>1</v>
      </c>
      <c r="I155" s="9" t="b">
        <v>0</v>
      </c>
      <c r="J155" s="9" t="b">
        <v>0</v>
      </c>
      <c r="K155" s="9" t="b">
        <v>0</v>
      </c>
      <c r="L155" s="9" t="b">
        <v>0</v>
      </c>
      <c r="M155" s="9" t="b">
        <v>0</v>
      </c>
      <c r="N155" s="9" t="b">
        <v>0</v>
      </c>
      <c r="O155" s="9" t="b">
        <v>1</v>
      </c>
      <c r="P155" s="9" t="b">
        <v>0</v>
      </c>
      <c r="Q155" s="9" t="b">
        <v>0</v>
      </c>
      <c r="R155" s="16">
        <f>COUNTIFS(stable[q_group],stable[[#This Row],[q_group]])</f>
        <v>1</v>
      </c>
      <c r="S155" s="9" t="b">
        <v>0</v>
      </c>
      <c r="T155" s="9" t="b">
        <v>1</v>
      </c>
      <c r="U155" s="9" t="b">
        <v>0</v>
      </c>
      <c r="V155" s="9" t="b">
        <v>0</v>
      </c>
    </row>
    <row r="156" spans="1:22" x14ac:dyDescent="0.25">
      <c r="A156" s="15" t="str">
        <f>_xlfn.CONCAT(stable[[#This Row],[group_0_no]:[order_no]])</f>
        <v>6514</v>
      </c>
      <c r="B156" s="15" t="s">
        <v>317</v>
      </c>
      <c r="C156" s="15" t="s">
        <v>1105</v>
      </c>
      <c r="D156" s="15" t="s">
        <v>1103</v>
      </c>
      <c r="E156" s="15" t="s">
        <v>1093</v>
      </c>
      <c r="F156" s="15" t="s">
        <v>1101</v>
      </c>
      <c r="G156" s="9" t="s">
        <v>1276</v>
      </c>
      <c r="H156" s="9" t="b">
        <v>1</v>
      </c>
      <c r="I156" s="9" t="b">
        <v>0</v>
      </c>
      <c r="J156" s="9" t="b">
        <v>0</v>
      </c>
      <c r="K156" s="9" t="b">
        <v>0</v>
      </c>
      <c r="L156" s="9" t="b">
        <v>0</v>
      </c>
      <c r="M156" s="9" t="b">
        <v>0</v>
      </c>
      <c r="N156" s="9" t="b">
        <v>0</v>
      </c>
      <c r="O156" s="9" t="b">
        <v>1</v>
      </c>
      <c r="P156" s="9" t="b">
        <v>0</v>
      </c>
      <c r="Q156" s="9" t="b">
        <v>0</v>
      </c>
      <c r="R156" s="16">
        <f>COUNTIFS(stable[q_group],stable[[#This Row],[q_group]])</f>
        <v>1</v>
      </c>
      <c r="S156" s="9" t="b">
        <v>0</v>
      </c>
      <c r="T156" s="9" t="b">
        <v>1</v>
      </c>
      <c r="U156" s="9" t="b">
        <v>0</v>
      </c>
      <c r="V156" s="9" t="b">
        <v>0</v>
      </c>
    </row>
    <row r="157" spans="1:22" x14ac:dyDescent="0.25">
      <c r="A157" s="15" t="str">
        <f>_xlfn.CONCAT(stable[[#This Row],[group_0_no]:[order_no]])</f>
        <v>6515</v>
      </c>
      <c r="B157" s="15" t="s">
        <v>319</v>
      </c>
      <c r="C157" s="15" t="s">
        <v>1105</v>
      </c>
      <c r="D157" s="15" t="s">
        <v>1103</v>
      </c>
      <c r="E157" s="15" t="s">
        <v>1093</v>
      </c>
      <c r="F157" s="15" t="s">
        <v>1103</v>
      </c>
      <c r="G157" s="9" t="s">
        <v>1277</v>
      </c>
      <c r="H157" s="9" t="b">
        <v>1</v>
      </c>
      <c r="I157" s="9" t="b">
        <v>0</v>
      </c>
      <c r="J157" s="9" t="b">
        <v>0</v>
      </c>
      <c r="K157" s="9" t="b">
        <v>0</v>
      </c>
      <c r="L157" s="9" t="b">
        <v>0</v>
      </c>
      <c r="M157" s="9" t="b">
        <v>0</v>
      </c>
      <c r="N157" s="9" t="b">
        <v>0</v>
      </c>
      <c r="O157" s="9" t="b">
        <v>1</v>
      </c>
      <c r="P157" s="9" t="b">
        <v>0</v>
      </c>
      <c r="Q157" s="9" t="b">
        <v>0</v>
      </c>
      <c r="R157" s="16">
        <f>COUNTIFS(stable[q_group],stable[[#This Row],[q_group]])</f>
        <v>1</v>
      </c>
      <c r="S157" s="9" t="b">
        <v>0</v>
      </c>
      <c r="T157" s="9" t="b">
        <v>1</v>
      </c>
      <c r="U157" s="9" t="b">
        <v>0</v>
      </c>
      <c r="V157" s="9" t="b">
        <v>0</v>
      </c>
    </row>
    <row r="158" spans="1:22" x14ac:dyDescent="0.25">
      <c r="A158" s="15" t="str">
        <f>_xlfn.CONCAT(stable[[#This Row],[group_0_no]:[order_no]])</f>
        <v>6516</v>
      </c>
      <c r="B158" s="15" t="s">
        <v>321</v>
      </c>
      <c r="C158" s="15" t="s">
        <v>1105</v>
      </c>
      <c r="D158" s="15" t="s">
        <v>1103</v>
      </c>
      <c r="E158" s="15" t="s">
        <v>1093</v>
      </c>
      <c r="F158" s="15" t="s">
        <v>1105</v>
      </c>
      <c r="G158" s="9" t="s">
        <v>1278</v>
      </c>
      <c r="H158" s="9" t="b">
        <v>1</v>
      </c>
      <c r="I158" s="9" t="b">
        <v>0</v>
      </c>
      <c r="J158" s="9" t="b">
        <v>0</v>
      </c>
      <c r="K158" s="9" t="b">
        <v>0</v>
      </c>
      <c r="L158" s="9" t="b">
        <v>0</v>
      </c>
      <c r="M158" s="9" t="b">
        <v>0</v>
      </c>
      <c r="N158" s="9" t="b">
        <v>0</v>
      </c>
      <c r="O158" s="9" t="b">
        <v>1</v>
      </c>
      <c r="P158" s="9" t="b">
        <v>0</v>
      </c>
      <c r="Q158" s="9" t="b">
        <v>0</v>
      </c>
      <c r="R158" s="16">
        <f>COUNTIFS(stable[q_group],stable[[#This Row],[q_group]])</f>
        <v>1</v>
      </c>
      <c r="S158" s="9" t="b">
        <v>0</v>
      </c>
      <c r="T158" s="9" t="b">
        <v>1</v>
      </c>
      <c r="U158" s="9" t="b">
        <v>0</v>
      </c>
      <c r="V158" s="9" t="b">
        <v>0</v>
      </c>
    </row>
    <row r="159" spans="1:22" x14ac:dyDescent="0.25">
      <c r="A159" s="15" t="str">
        <f>_xlfn.CONCAT(stable[[#This Row],[group_0_no]:[order_no]])</f>
        <v>6517</v>
      </c>
      <c r="B159" s="15" t="s">
        <v>323</v>
      </c>
      <c r="C159" s="15" t="s">
        <v>1105</v>
      </c>
      <c r="D159" s="15" t="s">
        <v>1103</v>
      </c>
      <c r="E159" s="15" t="s">
        <v>1093</v>
      </c>
      <c r="F159" s="15" t="s">
        <v>1279</v>
      </c>
      <c r="G159" s="9" t="s">
        <v>1280</v>
      </c>
      <c r="H159" s="9" t="b">
        <v>1</v>
      </c>
      <c r="I159" s="9" t="b">
        <v>0</v>
      </c>
      <c r="J159" s="9" t="b">
        <v>0</v>
      </c>
      <c r="K159" s="9" t="b">
        <v>0</v>
      </c>
      <c r="L159" s="9" t="b">
        <v>0</v>
      </c>
      <c r="M159" s="9" t="b">
        <v>0</v>
      </c>
      <c r="N159" s="9" t="b">
        <v>0</v>
      </c>
      <c r="O159" s="9" t="b">
        <v>1</v>
      </c>
      <c r="P159" s="9" t="b">
        <v>0</v>
      </c>
      <c r="Q159" s="9" t="b">
        <v>0</v>
      </c>
      <c r="R159" s="16">
        <f>COUNTIFS(stable[q_group],stable[[#This Row],[q_group]])</f>
        <v>1</v>
      </c>
      <c r="S159" s="9" t="b">
        <v>0</v>
      </c>
      <c r="T159" s="9" t="b">
        <v>1</v>
      </c>
      <c r="U159" s="9" t="b">
        <v>0</v>
      </c>
      <c r="V159" s="9" t="b">
        <v>0</v>
      </c>
    </row>
    <row r="160" spans="1:22" x14ac:dyDescent="0.25">
      <c r="A160" s="15" t="str">
        <f>_xlfn.CONCAT(stable[[#This Row],[group_0_no]:[order_no]])</f>
        <v>6518</v>
      </c>
      <c r="B160" s="15" t="s">
        <v>325</v>
      </c>
      <c r="C160" s="15" t="s">
        <v>1105</v>
      </c>
      <c r="D160" s="15" t="s">
        <v>1103</v>
      </c>
      <c r="E160" s="15" t="s">
        <v>1093</v>
      </c>
      <c r="F160" s="15" t="s">
        <v>1143</v>
      </c>
      <c r="G160" s="9" t="s">
        <v>1281</v>
      </c>
      <c r="H160" s="9" t="b">
        <v>1</v>
      </c>
      <c r="I160" s="9" t="b">
        <v>0</v>
      </c>
      <c r="J160" s="9" t="b">
        <v>0</v>
      </c>
      <c r="K160" s="9" t="b">
        <v>0</v>
      </c>
      <c r="L160" s="9" t="b">
        <v>0</v>
      </c>
      <c r="M160" s="9" t="b">
        <v>0</v>
      </c>
      <c r="N160" s="9" t="b">
        <v>0</v>
      </c>
      <c r="O160" s="9" t="b">
        <v>1</v>
      </c>
      <c r="P160" s="9" t="b">
        <v>0</v>
      </c>
      <c r="Q160" s="9" t="b">
        <v>0</v>
      </c>
      <c r="R160" s="16">
        <f>COUNTIFS(stable[q_group],stable[[#This Row],[q_group]])</f>
        <v>1</v>
      </c>
      <c r="S160" s="9" t="b">
        <v>0</v>
      </c>
      <c r="T160" s="9" t="b">
        <v>1</v>
      </c>
      <c r="U160" s="9" t="b">
        <v>0</v>
      </c>
      <c r="V160" s="9" t="b">
        <v>0</v>
      </c>
    </row>
    <row r="161" spans="1:22" x14ac:dyDescent="0.25">
      <c r="A161" s="15" t="str">
        <f>_xlfn.CONCAT(stable[[#This Row],[group_0_no]:[order_no]])</f>
        <v>6900</v>
      </c>
      <c r="B161" s="15" t="s">
        <v>608</v>
      </c>
      <c r="C161" s="15" t="s">
        <v>1105</v>
      </c>
      <c r="D161" s="15" t="s">
        <v>1142</v>
      </c>
      <c r="E161" s="15" t="s">
        <v>1094</v>
      </c>
      <c r="F161" s="15" t="s">
        <v>1094</v>
      </c>
      <c r="G161" s="9" t="s">
        <v>1282</v>
      </c>
      <c r="H161" s="9" t="b">
        <v>1</v>
      </c>
      <c r="I161" s="9" t="b">
        <v>0</v>
      </c>
      <c r="J161" s="9" t="b">
        <v>0</v>
      </c>
      <c r="K161" s="9" t="b">
        <v>1</v>
      </c>
      <c r="L161" s="9" t="b">
        <v>0</v>
      </c>
      <c r="M161" s="9" t="b">
        <v>1</v>
      </c>
      <c r="N161" s="9" t="b">
        <v>0</v>
      </c>
      <c r="O161" s="9" t="b">
        <v>0</v>
      </c>
      <c r="P161" s="9" t="b">
        <v>0</v>
      </c>
      <c r="Q161" s="9" t="b">
        <v>0</v>
      </c>
      <c r="R161" s="16">
        <f>COUNTIFS(stable[q_group],stable[[#This Row],[q_group]])</f>
        <v>1</v>
      </c>
      <c r="S161" s="9" t="b">
        <v>0</v>
      </c>
      <c r="T161" s="9" t="b">
        <v>0</v>
      </c>
      <c r="U161" s="9" t="b">
        <v>0</v>
      </c>
      <c r="V161" s="9" t="b">
        <v>0</v>
      </c>
    </row>
    <row r="162" spans="1:22" x14ac:dyDescent="0.25">
      <c r="A162" s="15" t="str">
        <f>_xlfn.CONCAT(stable[[#This Row],[group_0_no]:[order_no]])</f>
        <v>6901</v>
      </c>
      <c r="B162" s="15" t="s">
        <v>610</v>
      </c>
      <c r="C162" s="15" t="s">
        <v>1105</v>
      </c>
      <c r="D162" s="15" t="s">
        <v>1142</v>
      </c>
      <c r="E162" s="15" t="s">
        <v>1094</v>
      </c>
      <c r="F162" s="15" t="s">
        <v>1093</v>
      </c>
      <c r="G162" s="9" t="s">
        <v>1283</v>
      </c>
      <c r="H162" s="9" t="b">
        <v>1</v>
      </c>
      <c r="I162" s="9" t="b">
        <v>0</v>
      </c>
      <c r="J162" s="9" t="b">
        <v>0</v>
      </c>
      <c r="K162" s="9" t="b">
        <v>1</v>
      </c>
      <c r="L162" s="9" t="b">
        <v>0</v>
      </c>
      <c r="M162" s="9" t="b">
        <v>1</v>
      </c>
      <c r="N162" s="9" t="b">
        <v>0</v>
      </c>
      <c r="O162" s="9" t="b">
        <v>0</v>
      </c>
      <c r="P162" s="9" t="b">
        <v>0</v>
      </c>
      <c r="Q162" s="9" t="b">
        <v>0</v>
      </c>
      <c r="R162" s="16">
        <f>COUNTIFS(stable[q_group],stable[[#This Row],[q_group]])</f>
        <v>1</v>
      </c>
      <c r="S162" s="9" t="b">
        <v>0</v>
      </c>
      <c r="T162" s="9" t="b">
        <v>0</v>
      </c>
      <c r="U162" s="9" t="b">
        <v>0</v>
      </c>
      <c r="V162" s="9" t="b">
        <v>0</v>
      </c>
    </row>
    <row r="163" spans="1:22" x14ac:dyDescent="0.25">
      <c r="A163" s="15" t="str">
        <f>_xlfn.CONCAT(stable[[#This Row],[group_0_no]:[order_no]])</f>
        <v>6902</v>
      </c>
      <c r="B163" s="15" t="s">
        <v>612</v>
      </c>
      <c r="C163" s="15" t="s">
        <v>1105</v>
      </c>
      <c r="D163" s="15" t="s">
        <v>1142</v>
      </c>
      <c r="E163" s="15" t="s">
        <v>1094</v>
      </c>
      <c r="F163" s="15" t="s">
        <v>1097</v>
      </c>
      <c r="G163" s="9" t="s">
        <v>1284</v>
      </c>
      <c r="H163" s="9" t="b">
        <v>1</v>
      </c>
      <c r="I163" s="9" t="b">
        <v>0</v>
      </c>
      <c r="J163" s="9" t="b">
        <v>0</v>
      </c>
      <c r="K163" s="9" t="b">
        <v>1</v>
      </c>
      <c r="L163" s="9" t="b">
        <v>0</v>
      </c>
      <c r="M163" s="9" t="b">
        <v>1</v>
      </c>
      <c r="N163" s="9" t="b">
        <v>0</v>
      </c>
      <c r="O163" s="9" t="b">
        <v>0</v>
      </c>
      <c r="P163" s="9" t="b">
        <v>0</v>
      </c>
      <c r="Q163" s="9" t="b">
        <v>0</v>
      </c>
      <c r="R163" s="16">
        <f>COUNTIFS(stable[q_group],stable[[#This Row],[q_group]])</f>
        <v>1</v>
      </c>
      <c r="S163" s="9" t="b">
        <v>0</v>
      </c>
      <c r="T163" s="9" t="b">
        <v>0</v>
      </c>
      <c r="U163" s="9" t="b">
        <v>0</v>
      </c>
      <c r="V163" s="9" t="b">
        <v>0</v>
      </c>
    </row>
    <row r="164" spans="1:22" x14ac:dyDescent="0.25">
      <c r="A164" s="15" t="str">
        <f>_xlfn.CONCAT(stable[[#This Row],[group_0_no]:[order_no]])</f>
        <v>7000</v>
      </c>
      <c r="B164" s="24" t="s">
        <v>327</v>
      </c>
      <c r="C164" s="15" t="s">
        <v>1279</v>
      </c>
      <c r="D164" s="15" t="s">
        <v>1094</v>
      </c>
      <c r="E164" s="15" t="s">
        <v>1094</v>
      </c>
      <c r="F164" s="15" t="s">
        <v>1094</v>
      </c>
      <c r="G164" s="9" t="s">
        <v>1285</v>
      </c>
      <c r="H164" s="9" t="b">
        <v>1</v>
      </c>
      <c r="I164" s="9" t="b">
        <v>0</v>
      </c>
      <c r="J164" s="9" t="b">
        <v>0</v>
      </c>
      <c r="K164" s="9" t="b">
        <v>1</v>
      </c>
      <c r="L164" s="9" t="b">
        <v>0</v>
      </c>
      <c r="M164" s="9" t="b">
        <v>0</v>
      </c>
      <c r="N164" s="9" t="b">
        <v>0</v>
      </c>
      <c r="O164" s="9" t="b">
        <v>1</v>
      </c>
      <c r="P164" s="9" t="b">
        <v>0</v>
      </c>
      <c r="Q164" s="9" t="b">
        <v>1</v>
      </c>
      <c r="R164" s="16">
        <f>COUNTIFS(stable[q_group],stable[[#This Row],[q_group]])</f>
        <v>1</v>
      </c>
      <c r="S164" s="9" t="b">
        <v>0</v>
      </c>
      <c r="T164" s="9" t="b">
        <v>0</v>
      </c>
      <c r="U164" s="9" t="b">
        <v>0</v>
      </c>
      <c r="V164" s="9" t="b">
        <v>1</v>
      </c>
    </row>
    <row r="165" spans="1:22" s="22" customFormat="1" x14ac:dyDescent="0.25">
      <c r="A165" s="21" t="str">
        <f>_xlfn.CONCAT(stable[[#This Row],[group_0_no]:[order_no]])</f>
        <v>7001</v>
      </c>
      <c r="B165" s="21" t="s">
        <v>329</v>
      </c>
      <c r="C165" s="21" t="s">
        <v>1279</v>
      </c>
      <c r="D165" s="21" t="s">
        <v>1094</v>
      </c>
      <c r="E165" s="21" t="s">
        <v>1094</v>
      </c>
      <c r="F165" s="21" t="s">
        <v>1093</v>
      </c>
      <c r="G165" s="22" t="s">
        <v>1286</v>
      </c>
      <c r="H165" s="22" t="b">
        <v>1</v>
      </c>
      <c r="I165" s="22" t="b">
        <v>0</v>
      </c>
      <c r="J165" s="22" t="b">
        <v>0</v>
      </c>
      <c r="K165" s="22" t="b">
        <v>0</v>
      </c>
      <c r="L165" s="22" t="b">
        <v>0</v>
      </c>
      <c r="M165" s="22" t="b">
        <v>0</v>
      </c>
      <c r="N165" s="22" t="b">
        <v>0</v>
      </c>
      <c r="O165" s="22" t="b">
        <v>1</v>
      </c>
      <c r="P165" s="22" t="b">
        <v>0</v>
      </c>
      <c r="Q165" s="22" t="b">
        <v>1</v>
      </c>
      <c r="R165" s="29">
        <f>COUNTIFS(stable[q_group],stable[[#This Row],[q_group]])</f>
        <v>1</v>
      </c>
      <c r="S165" s="22" t="b">
        <v>0</v>
      </c>
      <c r="T165" s="22" t="b">
        <v>0</v>
      </c>
      <c r="U165" s="22" t="b">
        <v>0</v>
      </c>
      <c r="V165" s="22" t="b">
        <v>1</v>
      </c>
    </row>
    <row r="166" spans="1:22" s="22" customFormat="1" x14ac:dyDescent="0.25">
      <c r="A166" s="21" t="str">
        <f>_xlfn.CONCAT(stable[[#This Row],[group_0_no]:[order_no]])</f>
        <v>7100</v>
      </c>
      <c r="B166" s="21" t="s">
        <v>331</v>
      </c>
      <c r="C166" s="21" t="s">
        <v>1279</v>
      </c>
      <c r="D166" s="21" t="s">
        <v>1093</v>
      </c>
      <c r="E166" s="21" t="s">
        <v>1094</v>
      </c>
      <c r="F166" s="21" t="s">
        <v>1094</v>
      </c>
      <c r="G166" s="22" t="s">
        <v>1287</v>
      </c>
      <c r="H166" s="22" t="b">
        <v>1</v>
      </c>
      <c r="I166" s="22" t="b">
        <v>0</v>
      </c>
      <c r="J166" s="22" t="b">
        <v>0</v>
      </c>
      <c r="K166" s="22" t="b">
        <v>1</v>
      </c>
      <c r="L166" s="22" t="b">
        <v>0</v>
      </c>
      <c r="M166" s="22" t="b">
        <v>0</v>
      </c>
      <c r="N166" s="22" t="b">
        <v>0</v>
      </c>
      <c r="O166" s="22" t="b">
        <v>1</v>
      </c>
      <c r="P166" s="22" t="b">
        <v>0</v>
      </c>
      <c r="Q166" s="22" t="b">
        <v>1</v>
      </c>
      <c r="R166" s="29">
        <f>COUNTIFS(stable[q_group],stable[[#This Row],[q_group]])</f>
        <v>1</v>
      </c>
      <c r="S166" s="22" t="b">
        <v>0</v>
      </c>
      <c r="T166" s="22" t="b">
        <v>0</v>
      </c>
      <c r="U166" s="22" t="b">
        <v>0</v>
      </c>
      <c r="V166" s="22" t="b">
        <v>1</v>
      </c>
    </row>
    <row r="167" spans="1:22" x14ac:dyDescent="0.25">
      <c r="A167" s="15" t="str">
        <f>_xlfn.CONCAT(stable[[#This Row],[group_0_no]:[order_no]])</f>
        <v>7101</v>
      </c>
      <c r="B167" s="15" t="s">
        <v>337</v>
      </c>
      <c r="C167" s="15" t="s">
        <v>1279</v>
      </c>
      <c r="D167" s="15" t="s">
        <v>1093</v>
      </c>
      <c r="E167" s="15" t="s">
        <v>1094</v>
      </c>
      <c r="F167" s="15" t="s">
        <v>1093</v>
      </c>
      <c r="G167" s="9" t="s">
        <v>1288</v>
      </c>
      <c r="H167" s="9" t="b">
        <v>1</v>
      </c>
      <c r="I167" s="9" t="b">
        <v>0</v>
      </c>
      <c r="J167" s="9" t="b">
        <v>0</v>
      </c>
      <c r="K167" s="9" t="b">
        <v>0</v>
      </c>
      <c r="L167" s="9" t="b">
        <v>0</v>
      </c>
      <c r="M167" s="9" t="b">
        <v>0</v>
      </c>
      <c r="N167" s="9" t="b">
        <v>0</v>
      </c>
      <c r="O167" s="9" t="b">
        <v>1</v>
      </c>
      <c r="P167" s="9" t="b">
        <v>0</v>
      </c>
      <c r="Q167" s="9" t="b">
        <v>1</v>
      </c>
      <c r="R167" s="16">
        <f>COUNTIFS(stable[q_group],stable[[#This Row],[q_group]])</f>
        <v>1</v>
      </c>
      <c r="S167" s="9" t="b">
        <v>0</v>
      </c>
      <c r="T167" s="9" t="b">
        <v>0</v>
      </c>
      <c r="U167" s="9" t="b">
        <v>0</v>
      </c>
      <c r="V167" s="9" t="b">
        <v>1</v>
      </c>
    </row>
    <row r="168" spans="1:22" x14ac:dyDescent="0.25">
      <c r="A168" s="15" t="str">
        <f>_xlfn.CONCAT(stable[[#This Row],[group_0_no]:[order_no]])</f>
        <v>7102</v>
      </c>
      <c r="B168" s="15" t="s">
        <v>861</v>
      </c>
      <c r="C168" s="15" t="s">
        <v>1279</v>
      </c>
      <c r="D168" s="15" t="s">
        <v>1093</v>
      </c>
      <c r="E168" s="15" t="s">
        <v>1094</v>
      </c>
      <c r="F168" s="15" t="s">
        <v>1097</v>
      </c>
      <c r="G168" s="9" t="s">
        <v>1289</v>
      </c>
      <c r="H168" s="9" t="b">
        <v>1</v>
      </c>
      <c r="I168" s="9" t="b">
        <v>0</v>
      </c>
      <c r="J168" s="9" t="b">
        <v>0</v>
      </c>
      <c r="K168" s="9" t="b">
        <v>0</v>
      </c>
      <c r="L168" s="9" t="b">
        <v>0</v>
      </c>
      <c r="M168" s="9" t="b">
        <v>0</v>
      </c>
      <c r="N168" s="9" t="b">
        <v>0</v>
      </c>
      <c r="O168" s="9" t="b">
        <v>1</v>
      </c>
      <c r="P168" s="9" t="b">
        <v>0</v>
      </c>
      <c r="Q168" s="9" t="b">
        <v>1</v>
      </c>
      <c r="R168" s="16">
        <f>COUNTIFS(stable[q_group],stable[[#This Row],[q_group]])</f>
        <v>1</v>
      </c>
      <c r="S168" s="9" t="b">
        <v>0</v>
      </c>
      <c r="T168" s="9" t="b">
        <v>0</v>
      </c>
      <c r="U168" s="9" t="b">
        <v>0</v>
      </c>
      <c r="V168" s="9" t="b">
        <v>1</v>
      </c>
    </row>
    <row r="169" spans="1:22" s="22" customFormat="1" x14ac:dyDescent="0.25">
      <c r="A169" s="21" t="str">
        <f>_xlfn.CONCAT(stable[[#This Row],[group_0_no]:[order_no]])</f>
        <v>7113</v>
      </c>
      <c r="B169" s="21" t="s">
        <v>348</v>
      </c>
      <c r="C169" s="21" t="s">
        <v>1279</v>
      </c>
      <c r="D169" s="21" t="s">
        <v>1093</v>
      </c>
      <c r="E169" s="21" t="s">
        <v>1093</v>
      </c>
      <c r="F169" s="21" t="s">
        <v>1099</v>
      </c>
      <c r="G169" s="22" t="s">
        <v>1290</v>
      </c>
      <c r="H169" s="22" t="b">
        <v>1</v>
      </c>
      <c r="I169" s="22" t="b">
        <v>0</v>
      </c>
      <c r="J169" s="22" t="b">
        <v>0</v>
      </c>
      <c r="K169" s="22" t="b">
        <v>1</v>
      </c>
      <c r="L169" s="22" t="b">
        <v>0</v>
      </c>
      <c r="M169" s="22" t="b">
        <v>0</v>
      </c>
      <c r="N169" s="22" t="b">
        <v>0</v>
      </c>
      <c r="O169" s="22" t="b">
        <v>1</v>
      </c>
      <c r="P169" s="22" t="b">
        <v>0</v>
      </c>
      <c r="Q169" s="22" t="b">
        <v>1</v>
      </c>
      <c r="R169" s="29">
        <f>COUNTIFS(stable[q_group],stable[[#This Row],[q_group]])</f>
        <v>1</v>
      </c>
      <c r="S169" s="22" t="b">
        <v>0</v>
      </c>
      <c r="T169" s="22" t="b">
        <v>0</v>
      </c>
      <c r="U169" s="22" t="b">
        <v>0</v>
      </c>
      <c r="V169" s="22" t="b">
        <v>1</v>
      </c>
    </row>
    <row r="170" spans="1:22" x14ac:dyDescent="0.25">
      <c r="A170" s="15" t="str">
        <f>_xlfn.CONCAT(stable[[#This Row],[group_0_no]:[order_no]])</f>
        <v>7114</v>
      </c>
      <c r="B170" s="15" t="s">
        <v>350</v>
      </c>
      <c r="C170" s="15" t="s">
        <v>1279</v>
      </c>
      <c r="D170" s="15" t="s">
        <v>1093</v>
      </c>
      <c r="E170" s="15" t="s">
        <v>1093</v>
      </c>
      <c r="F170" s="15" t="s">
        <v>1101</v>
      </c>
      <c r="G170" s="9" t="s">
        <v>1291</v>
      </c>
      <c r="H170" s="9" t="b">
        <v>1</v>
      </c>
      <c r="I170" s="9" t="b">
        <v>0</v>
      </c>
      <c r="J170" s="9" t="b">
        <v>0</v>
      </c>
      <c r="K170" s="9" t="b">
        <v>0</v>
      </c>
      <c r="L170" s="9" t="b">
        <v>0</v>
      </c>
      <c r="M170" s="9" t="b">
        <v>0</v>
      </c>
      <c r="N170" s="9" t="b">
        <v>0</v>
      </c>
      <c r="O170" s="9" t="b">
        <v>1</v>
      </c>
      <c r="P170" s="9" t="b">
        <v>0</v>
      </c>
      <c r="Q170" s="9" t="b">
        <v>1</v>
      </c>
      <c r="R170" s="16">
        <f>COUNTIFS(stable[q_group],stable[[#This Row],[q_group]])</f>
        <v>1</v>
      </c>
      <c r="S170" s="9" t="b">
        <v>0</v>
      </c>
      <c r="T170" s="9" t="b">
        <v>0</v>
      </c>
      <c r="U170" s="9" t="b">
        <v>0</v>
      </c>
      <c r="V170" s="9" t="b">
        <v>1</v>
      </c>
    </row>
    <row r="171" spans="1:22" x14ac:dyDescent="0.25">
      <c r="A171" s="15" t="str">
        <f>_xlfn.CONCAT(stable[[#This Row],[group_0_no]:[order_no]])</f>
        <v>7115</v>
      </c>
      <c r="B171" s="15" t="s">
        <v>361</v>
      </c>
      <c r="C171" s="15" t="s">
        <v>1279</v>
      </c>
      <c r="D171" s="15" t="s">
        <v>1093</v>
      </c>
      <c r="E171" s="15" t="s">
        <v>1093</v>
      </c>
      <c r="F171" s="15" t="s">
        <v>1103</v>
      </c>
      <c r="G171" s="9" t="s">
        <v>1292</v>
      </c>
      <c r="H171" s="9" t="b">
        <v>1</v>
      </c>
      <c r="I171" s="9" t="b">
        <v>0</v>
      </c>
      <c r="J171" s="9" t="b">
        <v>0</v>
      </c>
      <c r="K171" s="9" t="b">
        <v>0</v>
      </c>
      <c r="L171" s="9" t="b">
        <v>0</v>
      </c>
      <c r="M171" s="9" t="b">
        <v>0</v>
      </c>
      <c r="N171" s="9" t="b">
        <v>0</v>
      </c>
      <c r="O171" s="9" t="b">
        <v>1</v>
      </c>
      <c r="P171" s="9" t="b">
        <v>0</v>
      </c>
      <c r="Q171" s="9" t="b">
        <v>1</v>
      </c>
      <c r="R171" s="16">
        <f>COUNTIFS(stable[q_group],stable[[#This Row],[q_group]])</f>
        <v>1</v>
      </c>
      <c r="S171" s="9" t="b">
        <v>0</v>
      </c>
      <c r="T171" s="9" t="b">
        <v>0</v>
      </c>
      <c r="U171" s="9" t="b">
        <v>0</v>
      </c>
      <c r="V171" s="9" t="b">
        <v>1</v>
      </c>
    </row>
    <row r="172" spans="1:22" s="22" customFormat="1" x14ac:dyDescent="0.25">
      <c r="A172" s="21" t="str">
        <f>_xlfn.CONCAT(stable[[#This Row],[group_0_no]:[order_no]])</f>
        <v>7126</v>
      </c>
      <c r="B172" s="21" t="s">
        <v>364</v>
      </c>
      <c r="C172" s="21" t="s">
        <v>1279</v>
      </c>
      <c r="D172" s="21" t="s">
        <v>1093</v>
      </c>
      <c r="E172" s="21" t="s">
        <v>1097</v>
      </c>
      <c r="F172" s="21" t="s">
        <v>1105</v>
      </c>
      <c r="G172" s="22" t="s">
        <v>1293</v>
      </c>
      <c r="H172" s="22" t="b">
        <v>1</v>
      </c>
      <c r="I172" s="22" t="b">
        <v>0</v>
      </c>
      <c r="J172" s="22" t="b">
        <v>0</v>
      </c>
      <c r="K172" s="22" t="b">
        <v>1</v>
      </c>
      <c r="L172" s="22" t="b">
        <v>0</v>
      </c>
      <c r="M172" s="22" t="b">
        <v>0</v>
      </c>
      <c r="N172" s="22" t="b">
        <v>0</v>
      </c>
      <c r="O172" s="22" t="b">
        <v>1</v>
      </c>
      <c r="P172" s="22" t="b">
        <v>0</v>
      </c>
      <c r="Q172" s="22" t="b">
        <v>1</v>
      </c>
      <c r="R172" s="29">
        <f>COUNTIFS(stable[q_group],stable[[#This Row],[q_group]])</f>
        <v>1</v>
      </c>
      <c r="S172" s="22" t="b">
        <v>0</v>
      </c>
      <c r="T172" s="22" t="b">
        <v>0</v>
      </c>
      <c r="U172" s="22" t="b">
        <v>0</v>
      </c>
      <c r="V172" s="22" t="b">
        <v>1</v>
      </c>
    </row>
    <row r="173" spans="1:22" x14ac:dyDescent="0.25">
      <c r="A173" s="15" t="str">
        <f>_xlfn.CONCAT(stable[[#This Row],[group_0_no]:[order_no]])</f>
        <v>7127</v>
      </c>
      <c r="B173" s="15" t="s">
        <v>370</v>
      </c>
      <c r="C173" s="15" t="s">
        <v>1279</v>
      </c>
      <c r="D173" s="15" t="s">
        <v>1093</v>
      </c>
      <c r="E173" s="15" t="s">
        <v>1097</v>
      </c>
      <c r="F173" s="15" t="s">
        <v>1279</v>
      </c>
      <c r="G173" s="9" t="s">
        <v>1294</v>
      </c>
      <c r="H173" s="9" t="b">
        <v>1</v>
      </c>
      <c r="I173" s="9" t="b">
        <v>0</v>
      </c>
      <c r="J173" s="9" t="b">
        <v>0</v>
      </c>
      <c r="K173" s="9" t="b">
        <v>0</v>
      </c>
      <c r="L173" s="9" t="b">
        <v>0</v>
      </c>
      <c r="M173" s="9" t="b">
        <v>0</v>
      </c>
      <c r="N173" s="9" t="b">
        <v>0</v>
      </c>
      <c r="O173" s="9" t="b">
        <v>1</v>
      </c>
      <c r="P173" s="9" t="b">
        <v>0</v>
      </c>
      <c r="Q173" s="9" t="b">
        <v>1</v>
      </c>
      <c r="R173" s="16">
        <f>COUNTIFS(stable[q_group],stable[[#This Row],[q_group]])</f>
        <v>1</v>
      </c>
      <c r="S173" s="9" t="b">
        <v>0</v>
      </c>
      <c r="T173" s="9" t="b">
        <v>0</v>
      </c>
      <c r="U173" s="9" t="b">
        <v>0</v>
      </c>
      <c r="V173" s="9" t="b">
        <v>1</v>
      </c>
    </row>
    <row r="174" spans="1:22" x14ac:dyDescent="0.25">
      <c r="A174" s="15" t="str">
        <f>_xlfn.CONCAT(stable[[#This Row],[group_0_no]:[order_no]])</f>
        <v>7128</v>
      </c>
      <c r="B174" s="15" t="s">
        <v>372</v>
      </c>
      <c r="C174" s="15" t="s">
        <v>1279</v>
      </c>
      <c r="D174" s="15" t="s">
        <v>1093</v>
      </c>
      <c r="E174" s="15" t="s">
        <v>1097</v>
      </c>
      <c r="F174" s="15" t="s">
        <v>1143</v>
      </c>
      <c r="G174" s="9" t="s">
        <v>1295</v>
      </c>
      <c r="H174" s="9" t="b">
        <v>1</v>
      </c>
      <c r="I174" s="9" t="b">
        <v>0</v>
      </c>
      <c r="J174" s="9" t="b">
        <v>0</v>
      </c>
      <c r="K174" s="9" t="b">
        <v>1</v>
      </c>
      <c r="L174" s="9" t="b">
        <v>0</v>
      </c>
      <c r="M174" s="9" t="b">
        <v>0</v>
      </c>
      <c r="N174" s="9" t="b">
        <v>0</v>
      </c>
      <c r="O174" s="9" t="b">
        <v>1</v>
      </c>
      <c r="P174" s="9" t="b">
        <v>0</v>
      </c>
      <c r="Q174" s="9" t="b">
        <v>0</v>
      </c>
      <c r="R174" s="16">
        <f>COUNTIFS(stable[q_group],stable[[#This Row],[q_group]])</f>
        <v>1</v>
      </c>
      <c r="S174" s="9" t="b">
        <v>0</v>
      </c>
      <c r="T174" s="9" t="b">
        <v>0</v>
      </c>
      <c r="U174" s="9" t="b">
        <v>0</v>
      </c>
      <c r="V174" s="9" t="b">
        <v>1</v>
      </c>
    </row>
    <row r="175" spans="1:22" s="22" customFormat="1" x14ac:dyDescent="0.25">
      <c r="A175" s="21" t="str">
        <f>_xlfn.CONCAT(stable[[#This Row],[group_0_no]:[order_no]])</f>
        <v>7131</v>
      </c>
      <c r="B175" s="21" t="s">
        <v>382</v>
      </c>
      <c r="C175" s="21" t="s">
        <v>1279</v>
      </c>
      <c r="D175" s="21" t="s">
        <v>1093</v>
      </c>
      <c r="E175" s="21" t="s">
        <v>1099</v>
      </c>
      <c r="F175" s="21" t="s">
        <v>1093</v>
      </c>
      <c r="G175" s="22" t="s">
        <v>1296</v>
      </c>
      <c r="H175" s="22" t="b">
        <v>1</v>
      </c>
      <c r="I175" s="22" t="b">
        <v>0</v>
      </c>
      <c r="J175" s="22" t="b">
        <v>0</v>
      </c>
      <c r="K175" s="22" t="b">
        <v>1</v>
      </c>
      <c r="L175" s="22" t="b">
        <v>0</v>
      </c>
      <c r="M175" s="22" t="b">
        <v>0</v>
      </c>
      <c r="N175" s="22" t="b">
        <v>0</v>
      </c>
      <c r="O175" s="22" t="b">
        <v>1</v>
      </c>
      <c r="P175" s="22" t="b">
        <v>0</v>
      </c>
      <c r="Q175" s="22" t="b">
        <v>0</v>
      </c>
      <c r="R175" s="29">
        <f>COUNTIFS(stable[q_group],stable[[#This Row],[q_group]])</f>
        <v>1</v>
      </c>
      <c r="S175" s="22" t="b">
        <v>0</v>
      </c>
      <c r="T175" s="22" t="b">
        <v>0</v>
      </c>
      <c r="U175" s="22" t="b">
        <v>0</v>
      </c>
      <c r="V175" s="22" t="b">
        <v>1</v>
      </c>
    </row>
    <row r="176" spans="1:22" x14ac:dyDescent="0.25">
      <c r="A176" s="15" t="str">
        <f>_xlfn.CONCAT(stable[[#This Row],[group_0_no]:[order_no]])</f>
        <v>7132</v>
      </c>
      <c r="B176" s="15" t="s">
        <v>387</v>
      </c>
      <c r="C176" s="15" t="s">
        <v>1279</v>
      </c>
      <c r="D176" s="15" t="s">
        <v>1093</v>
      </c>
      <c r="E176" s="15" t="s">
        <v>1099</v>
      </c>
      <c r="F176" s="15" t="s">
        <v>1097</v>
      </c>
      <c r="G176" s="9" t="s">
        <v>1297</v>
      </c>
      <c r="H176" s="9" t="b">
        <v>1</v>
      </c>
      <c r="I176" s="9" t="b">
        <v>0</v>
      </c>
      <c r="J176" s="9" t="b">
        <v>0</v>
      </c>
      <c r="K176" s="9" t="b">
        <v>0</v>
      </c>
      <c r="L176" s="9" t="b">
        <v>0</v>
      </c>
      <c r="M176" s="9" t="b">
        <v>0</v>
      </c>
      <c r="N176" s="9" t="b">
        <v>0</v>
      </c>
      <c r="O176" s="9" t="b">
        <v>1</v>
      </c>
      <c r="P176" s="9" t="b">
        <v>0</v>
      </c>
      <c r="Q176" s="9" t="b">
        <v>0</v>
      </c>
      <c r="R176" s="16">
        <f>COUNTIFS(stable[q_group],stable[[#This Row],[q_group]])</f>
        <v>1</v>
      </c>
      <c r="S176" s="9" t="b">
        <v>0</v>
      </c>
      <c r="T176" s="9" t="b">
        <v>0</v>
      </c>
      <c r="U176" s="9" t="b">
        <v>0</v>
      </c>
      <c r="V176" s="9" t="b">
        <v>1</v>
      </c>
    </row>
    <row r="177" spans="1:22" x14ac:dyDescent="0.25">
      <c r="A177" s="15" t="str">
        <f>_xlfn.CONCAT(stable[[#This Row],[group_0_no]:[order_no]])</f>
        <v>7133</v>
      </c>
      <c r="B177" s="15" t="s">
        <v>393</v>
      </c>
      <c r="C177" s="15" t="s">
        <v>1279</v>
      </c>
      <c r="D177" s="15" t="s">
        <v>1093</v>
      </c>
      <c r="E177" s="15" t="s">
        <v>1099</v>
      </c>
      <c r="F177" s="15" t="s">
        <v>1099</v>
      </c>
      <c r="G177" s="9" t="s">
        <v>1298</v>
      </c>
      <c r="H177" s="9" t="b">
        <v>1</v>
      </c>
      <c r="I177" s="9" t="b">
        <v>0</v>
      </c>
      <c r="J177" s="9" t="b">
        <v>0</v>
      </c>
      <c r="K177" s="9" t="b">
        <v>1</v>
      </c>
      <c r="L177" s="9" t="b">
        <v>0</v>
      </c>
      <c r="M177" s="9" t="b">
        <v>0</v>
      </c>
      <c r="N177" s="9" t="b">
        <v>0</v>
      </c>
      <c r="O177" s="9" t="b">
        <v>1</v>
      </c>
      <c r="P177" s="9" t="b">
        <v>0</v>
      </c>
      <c r="Q177" s="9" t="b">
        <v>0</v>
      </c>
      <c r="R177" s="16">
        <f>COUNTIFS(stable[q_group],stable[[#This Row],[q_group]])</f>
        <v>1</v>
      </c>
      <c r="S177" s="9" t="b">
        <v>0</v>
      </c>
      <c r="T177" s="9" t="b">
        <v>0</v>
      </c>
      <c r="U177" s="9" t="b">
        <v>0</v>
      </c>
      <c r="V177" s="9" t="b">
        <v>1</v>
      </c>
    </row>
    <row r="178" spans="1:22" ht="47.25" x14ac:dyDescent="0.25">
      <c r="A178" s="15" t="str">
        <f>_xlfn.CONCAT(stable[[#This Row],[group_0_no]:[order_no]])</f>
        <v>7240</v>
      </c>
      <c r="B178" s="95" t="s">
        <v>1299</v>
      </c>
      <c r="C178" s="15" t="s">
        <v>1279</v>
      </c>
      <c r="D178" s="15" t="s">
        <v>1097</v>
      </c>
      <c r="E178" s="15" t="s">
        <v>1101</v>
      </c>
      <c r="F178" s="15" t="s">
        <v>1094</v>
      </c>
      <c r="G178" s="9" t="s">
        <v>1300</v>
      </c>
      <c r="H178" s="9" t="b">
        <v>1</v>
      </c>
      <c r="I178" s="9" t="b">
        <v>0</v>
      </c>
      <c r="J178" s="9" t="b">
        <v>0</v>
      </c>
      <c r="K178" s="9" t="b">
        <v>1</v>
      </c>
      <c r="L178" s="9" t="b">
        <v>0</v>
      </c>
      <c r="M178" s="9" t="b">
        <v>0</v>
      </c>
      <c r="N178" s="9" t="b">
        <v>0</v>
      </c>
      <c r="O178" s="9" t="b">
        <v>1</v>
      </c>
      <c r="P178" s="9" t="b">
        <v>0</v>
      </c>
      <c r="Q178" s="9" t="b">
        <v>1</v>
      </c>
      <c r="R178" s="16">
        <f>COUNTIFS(stable[q_group],stable[[#This Row],[q_group]])</f>
        <v>1</v>
      </c>
      <c r="S178" s="9" t="b">
        <v>0</v>
      </c>
      <c r="T178" s="9" t="b">
        <v>0</v>
      </c>
      <c r="U178" s="9" t="b">
        <v>0</v>
      </c>
      <c r="V178" s="9" t="b">
        <v>1</v>
      </c>
    </row>
    <row r="179" spans="1:22" x14ac:dyDescent="0.25">
      <c r="A179" s="84" t="str">
        <f>_xlfn.CONCAT(stable[[#This Row],[group_0_no]:[order_no]])</f>
        <v>7246</v>
      </c>
      <c r="B179" s="84" t="s">
        <v>1046</v>
      </c>
      <c r="C179" s="15" t="s">
        <v>1279</v>
      </c>
      <c r="D179" s="15" t="s">
        <v>1097</v>
      </c>
      <c r="E179" s="15" t="s">
        <v>1101</v>
      </c>
      <c r="F179" s="15" t="s">
        <v>1105</v>
      </c>
      <c r="G179" s="9" t="s">
        <v>1301</v>
      </c>
      <c r="H179" s="9" t="b">
        <v>1</v>
      </c>
      <c r="I179" s="9" t="b">
        <v>0</v>
      </c>
      <c r="J179" s="9" t="b">
        <v>0</v>
      </c>
      <c r="K179" s="9" t="b">
        <v>1</v>
      </c>
      <c r="L179" s="9" t="b">
        <v>0</v>
      </c>
      <c r="M179" s="9" t="b">
        <v>1</v>
      </c>
      <c r="N179" s="9" t="b">
        <v>0</v>
      </c>
      <c r="O179" s="9" t="b">
        <v>0</v>
      </c>
      <c r="P179" s="9" t="b">
        <v>0</v>
      </c>
      <c r="Q179" s="9" t="b">
        <v>1</v>
      </c>
      <c r="R179" s="16">
        <f>COUNTIFS(stable[q_group],stable[[#This Row],[q_group]])</f>
        <v>1</v>
      </c>
      <c r="S179" s="9" t="b">
        <v>0</v>
      </c>
      <c r="T179" s="9" t="b">
        <v>0</v>
      </c>
      <c r="U179" s="9" t="b">
        <v>0</v>
      </c>
      <c r="V179" s="9" t="b">
        <v>1</v>
      </c>
    </row>
    <row r="180" spans="1:22" ht="47.25" x14ac:dyDescent="0.25">
      <c r="A180" s="15" t="str">
        <f>_xlfn.CONCAT(stable[[#This Row],[group_0_no]:[order_no]])</f>
        <v>7241</v>
      </c>
      <c r="B180" s="25" t="s">
        <v>1047</v>
      </c>
      <c r="C180" s="15" t="s">
        <v>1279</v>
      </c>
      <c r="D180" s="15" t="s">
        <v>1097</v>
      </c>
      <c r="E180" s="15" t="s">
        <v>1101</v>
      </c>
      <c r="F180" s="15" t="s">
        <v>1093</v>
      </c>
      <c r="G180" s="9" t="s">
        <v>1302</v>
      </c>
      <c r="H180" s="9" t="b">
        <v>1</v>
      </c>
      <c r="I180" s="9" t="b">
        <v>0</v>
      </c>
      <c r="J180" s="9" t="b">
        <v>0</v>
      </c>
      <c r="K180" s="9" t="b">
        <v>0</v>
      </c>
      <c r="L180" s="9" t="b">
        <v>0</v>
      </c>
      <c r="M180" s="9" t="b">
        <v>0</v>
      </c>
      <c r="N180" s="9" t="b">
        <v>0</v>
      </c>
      <c r="O180" s="9" t="b">
        <v>1</v>
      </c>
      <c r="P180" s="9" t="b">
        <v>0</v>
      </c>
      <c r="Q180" s="9" t="b">
        <v>1</v>
      </c>
      <c r="R180" s="16">
        <f>COUNTIFS(stable[q_group],stable[[#This Row],[q_group]])</f>
        <v>1</v>
      </c>
      <c r="S180" s="9" t="b">
        <v>0</v>
      </c>
      <c r="T180" s="9" t="b">
        <v>0</v>
      </c>
      <c r="U180" s="9" t="b">
        <v>0</v>
      </c>
      <c r="V180" s="9" t="b">
        <v>1</v>
      </c>
    </row>
    <row r="181" spans="1:22" ht="31.5" x14ac:dyDescent="0.25">
      <c r="A181" s="15" t="str">
        <f>_xlfn.CONCAT(stable[[#This Row],[group_0_no]:[order_no]])</f>
        <v>7242</v>
      </c>
      <c r="B181" s="25" t="s">
        <v>1048</v>
      </c>
      <c r="C181" s="15" t="s">
        <v>1279</v>
      </c>
      <c r="D181" s="15" t="s">
        <v>1097</v>
      </c>
      <c r="E181" s="15" t="s">
        <v>1101</v>
      </c>
      <c r="F181" s="15" t="s">
        <v>1097</v>
      </c>
      <c r="G181" s="9" t="s">
        <v>1303</v>
      </c>
      <c r="H181" s="9" t="b">
        <v>1</v>
      </c>
      <c r="I181" s="9" t="b">
        <v>0</v>
      </c>
      <c r="J181" s="9" t="b">
        <v>0</v>
      </c>
      <c r="K181" s="9" t="b">
        <v>0</v>
      </c>
      <c r="L181" s="9" t="b">
        <v>0</v>
      </c>
      <c r="M181" s="9" t="b">
        <v>0</v>
      </c>
      <c r="N181" s="9" t="b">
        <v>0</v>
      </c>
      <c r="O181" s="9" t="b">
        <v>1</v>
      </c>
      <c r="P181" s="9" t="b">
        <v>0</v>
      </c>
      <c r="Q181" s="9" t="b">
        <v>1</v>
      </c>
      <c r="R181" s="16">
        <f>COUNTIFS(stable[q_group],stable[[#This Row],[q_group]])</f>
        <v>1</v>
      </c>
      <c r="S181" s="9" t="b">
        <v>0</v>
      </c>
      <c r="T181" s="9" t="b">
        <v>0</v>
      </c>
      <c r="U181" s="9" t="b">
        <v>0</v>
      </c>
      <c r="V181" s="9" t="b">
        <v>1</v>
      </c>
    </row>
    <row r="182" spans="1:22" ht="31.5" x14ac:dyDescent="0.25">
      <c r="A182" s="15" t="str">
        <f>_xlfn.CONCAT(stable[[#This Row],[group_0_no]:[order_no]])</f>
        <v>7243</v>
      </c>
      <c r="B182" s="25" t="s">
        <v>1049</v>
      </c>
      <c r="C182" s="15" t="s">
        <v>1279</v>
      </c>
      <c r="D182" s="15" t="s">
        <v>1097</v>
      </c>
      <c r="E182" s="15" t="s">
        <v>1101</v>
      </c>
      <c r="F182" s="15" t="s">
        <v>1099</v>
      </c>
      <c r="G182" s="9" t="s">
        <v>1304</v>
      </c>
      <c r="H182" s="9" t="b">
        <v>1</v>
      </c>
      <c r="I182" s="9" t="b">
        <v>0</v>
      </c>
      <c r="J182" s="9" t="b">
        <v>0</v>
      </c>
      <c r="K182" s="9" t="b">
        <v>0</v>
      </c>
      <c r="L182" s="9" t="b">
        <v>0</v>
      </c>
      <c r="M182" s="9" t="b">
        <v>0</v>
      </c>
      <c r="N182" s="9" t="b">
        <v>0</v>
      </c>
      <c r="O182" s="9" t="b">
        <v>1</v>
      </c>
      <c r="P182" s="9" t="b">
        <v>0</v>
      </c>
      <c r="Q182" s="9" t="b">
        <v>1</v>
      </c>
      <c r="R182" s="16">
        <f>COUNTIFS(stable[q_group],stable[[#This Row],[q_group]])</f>
        <v>1</v>
      </c>
      <c r="S182" s="9" t="b">
        <v>0</v>
      </c>
      <c r="T182" s="9" t="b">
        <v>0</v>
      </c>
      <c r="U182" s="9" t="b">
        <v>0</v>
      </c>
      <c r="V182" s="9" t="b">
        <v>1</v>
      </c>
    </row>
    <row r="183" spans="1:22" x14ac:dyDescent="0.25">
      <c r="A183" s="15" t="str">
        <f>_xlfn.CONCAT(stable[[#This Row],[group_0_no]:[order_no]])</f>
        <v>7244</v>
      </c>
      <c r="B183" s="25" t="s">
        <v>1050</v>
      </c>
      <c r="C183" s="15" t="s">
        <v>1279</v>
      </c>
      <c r="D183" s="15" t="s">
        <v>1097</v>
      </c>
      <c r="E183" s="15" t="s">
        <v>1101</v>
      </c>
      <c r="F183" s="15" t="s">
        <v>1101</v>
      </c>
      <c r="G183" s="9" t="s">
        <v>1305</v>
      </c>
      <c r="H183" s="9" t="b">
        <v>1</v>
      </c>
      <c r="I183" s="9" t="b">
        <v>0</v>
      </c>
      <c r="J183" s="9" t="b">
        <v>0</v>
      </c>
      <c r="K183" s="9" t="b">
        <v>0</v>
      </c>
      <c r="L183" s="9" t="b">
        <v>0</v>
      </c>
      <c r="M183" s="9" t="b">
        <v>0</v>
      </c>
      <c r="N183" s="9" t="b">
        <v>0</v>
      </c>
      <c r="O183" s="9" t="b">
        <v>1</v>
      </c>
      <c r="P183" s="9" t="b">
        <v>0</v>
      </c>
      <c r="Q183" s="9" t="b">
        <v>1</v>
      </c>
      <c r="R183" s="16">
        <f>COUNTIFS(stable[q_group],stable[[#This Row],[q_group]])</f>
        <v>1</v>
      </c>
      <c r="S183" s="9" t="b">
        <v>0</v>
      </c>
      <c r="T183" s="9" t="b">
        <v>0</v>
      </c>
      <c r="U183" s="9" t="b">
        <v>0</v>
      </c>
      <c r="V183" s="9" t="b">
        <v>1</v>
      </c>
    </row>
    <row r="184" spans="1:22" ht="31.5" x14ac:dyDescent="0.25">
      <c r="A184" s="15" t="str">
        <f>_xlfn.CONCAT(stable[[#This Row],[group_0_no]:[order_no]])</f>
        <v>7245</v>
      </c>
      <c r="B184" s="25" t="s">
        <v>1051</v>
      </c>
      <c r="C184" s="15" t="s">
        <v>1279</v>
      </c>
      <c r="D184" s="15" t="s">
        <v>1097</v>
      </c>
      <c r="E184" s="15" t="s">
        <v>1101</v>
      </c>
      <c r="F184" s="15" t="s">
        <v>1103</v>
      </c>
      <c r="G184" s="9" t="s">
        <v>1306</v>
      </c>
      <c r="H184" s="9" t="b">
        <v>1</v>
      </c>
      <c r="I184" s="9" t="b">
        <v>0</v>
      </c>
      <c r="J184" s="9" t="b">
        <v>0</v>
      </c>
      <c r="K184" s="9" t="b">
        <v>0</v>
      </c>
      <c r="L184" s="9" t="b">
        <v>0</v>
      </c>
      <c r="M184" s="9" t="b">
        <v>0</v>
      </c>
      <c r="N184" s="9" t="b">
        <v>0</v>
      </c>
      <c r="O184" s="9" t="b">
        <v>1</v>
      </c>
      <c r="P184" s="9" t="b">
        <v>0</v>
      </c>
      <c r="Q184" s="9" t="b">
        <v>1</v>
      </c>
      <c r="R184" s="16">
        <f>COUNTIFS(stable[q_group],stable[[#This Row],[q_group]])</f>
        <v>1</v>
      </c>
      <c r="S184" s="9" t="b">
        <v>0</v>
      </c>
      <c r="T184" s="9" t="b">
        <v>0</v>
      </c>
      <c r="U184" s="9" t="b">
        <v>0</v>
      </c>
      <c r="V184" s="9" t="b">
        <v>1</v>
      </c>
    </row>
    <row r="185" spans="1:22" ht="47.25" x14ac:dyDescent="0.25">
      <c r="A185" s="15" t="str">
        <f>_xlfn.CONCAT(stable[[#This Row],[group_0_no]:[order_no]])</f>
        <v>7250</v>
      </c>
      <c r="B185" s="95" t="s">
        <v>1307</v>
      </c>
      <c r="C185" s="15" t="s">
        <v>1279</v>
      </c>
      <c r="D185" s="15" t="s">
        <v>1097</v>
      </c>
      <c r="E185" s="15" t="s">
        <v>1103</v>
      </c>
      <c r="F185" s="15" t="s">
        <v>1094</v>
      </c>
      <c r="G185" s="9" t="s">
        <v>1308</v>
      </c>
      <c r="H185" s="9" t="b">
        <v>1</v>
      </c>
      <c r="I185" s="9" t="b">
        <v>0</v>
      </c>
      <c r="J185" s="9" t="b">
        <v>0</v>
      </c>
      <c r="K185" s="9" t="b">
        <v>1</v>
      </c>
      <c r="L185" s="9" t="b">
        <v>0</v>
      </c>
      <c r="M185" s="9" t="b">
        <v>0</v>
      </c>
      <c r="N185" s="9" t="b">
        <v>0</v>
      </c>
      <c r="O185" s="9" t="b">
        <v>1</v>
      </c>
      <c r="P185" s="9" t="b">
        <v>0</v>
      </c>
      <c r="Q185" s="9" t="b">
        <v>1</v>
      </c>
      <c r="R185" s="16">
        <f>COUNTIFS(stable[q_group],stable[[#This Row],[q_group]])</f>
        <v>1</v>
      </c>
      <c r="S185" s="9" t="b">
        <v>0</v>
      </c>
      <c r="T185" s="9" t="b">
        <v>0</v>
      </c>
      <c r="U185" s="9" t="b">
        <v>0</v>
      </c>
      <c r="V185" s="9" t="b">
        <v>1</v>
      </c>
    </row>
    <row r="186" spans="1:22" x14ac:dyDescent="0.25">
      <c r="A186" s="15" t="str">
        <f>_xlfn.CONCAT(stable[[#This Row],[group_0_no]:[order_no]])</f>
        <v>7254</v>
      </c>
      <c r="B186" s="84" t="s">
        <v>1053</v>
      </c>
      <c r="C186" s="15" t="s">
        <v>1279</v>
      </c>
      <c r="D186" s="15" t="s">
        <v>1097</v>
      </c>
      <c r="E186" s="15" t="s">
        <v>1103</v>
      </c>
      <c r="F186" s="15" t="s">
        <v>1101</v>
      </c>
      <c r="G186" s="9" t="s">
        <v>1309</v>
      </c>
      <c r="H186" s="9" t="b">
        <v>1</v>
      </c>
      <c r="I186" s="9" t="b">
        <v>0</v>
      </c>
      <c r="J186" s="9" t="b">
        <v>0</v>
      </c>
      <c r="K186" s="9" t="b">
        <v>1</v>
      </c>
      <c r="L186" s="9" t="b">
        <v>0</v>
      </c>
      <c r="M186" s="9" t="b">
        <v>1</v>
      </c>
      <c r="N186" s="9" t="b">
        <v>0</v>
      </c>
      <c r="O186" s="9" t="b">
        <v>0</v>
      </c>
      <c r="P186" s="9" t="b">
        <v>0</v>
      </c>
      <c r="Q186" s="9" t="b">
        <v>1</v>
      </c>
      <c r="R186" s="16">
        <f>COUNTIFS(stable[q_group],stable[[#This Row],[q_group]])</f>
        <v>1</v>
      </c>
      <c r="S186" s="9" t="b">
        <v>0</v>
      </c>
      <c r="T186" s="9" t="b">
        <v>0</v>
      </c>
      <c r="U186" s="9" t="b">
        <v>0</v>
      </c>
      <c r="V186" s="9" t="b">
        <v>1</v>
      </c>
    </row>
    <row r="187" spans="1:22" ht="47.25" x14ac:dyDescent="0.25">
      <c r="A187" s="15" t="str">
        <f>_xlfn.CONCAT(stable[[#This Row],[group_0_no]:[order_no]])</f>
        <v>7251</v>
      </c>
      <c r="B187" s="26" t="s">
        <v>1310</v>
      </c>
      <c r="C187" s="15" t="s">
        <v>1279</v>
      </c>
      <c r="D187" s="15" t="s">
        <v>1097</v>
      </c>
      <c r="E187" s="15" t="s">
        <v>1103</v>
      </c>
      <c r="F187" s="15" t="s">
        <v>1093</v>
      </c>
      <c r="G187" s="9" t="s">
        <v>1311</v>
      </c>
      <c r="H187" s="9" t="b">
        <v>1</v>
      </c>
      <c r="I187" s="9" t="b">
        <v>0</v>
      </c>
      <c r="J187" s="9" t="b">
        <v>0</v>
      </c>
      <c r="K187" s="9" t="b">
        <v>0</v>
      </c>
      <c r="L187" s="9" t="b">
        <v>0</v>
      </c>
      <c r="M187" s="9" t="b">
        <v>0</v>
      </c>
      <c r="N187" s="9" t="b">
        <v>0</v>
      </c>
      <c r="O187" s="9" t="b">
        <v>1</v>
      </c>
      <c r="P187" s="9" t="b">
        <v>0</v>
      </c>
      <c r="Q187" s="9" t="b">
        <v>1</v>
      </c>
      <c r="R187" s="16">
        <f>COUNTIFS(stable[q_group],stable[[#This Row],[q_group]])</f>
        <v>1</v>
      </c>
      <c r="S187" s="9" t="b">
        <v>0</v>
      </c>
      <c r="T187" s="9" t="b">
        <v>0</v>
      </c>
      <c r="U187" s="9" t="b">
        <v>0</v>
      </c>
      <c r="V187" s="9" t="b">
        <v>1</v>
      </c>
    </row>
    <row r="188" spans="1:22" x14ac:dyDescent="0.25">
      <c r="A188" s="15" t="str">
        <f>_xlfn.CONCAT(stable[[#This Row],[group_0_no]:[order_no]])</f>
        <v>7252</v>
      </c>
      <c r="B188" s="15" t="s">
        <v>1312</v>
      </c>
      <c r="C188" s="15" t="s">
        <v>1279</v>
      </c>
      <c r="D188" s="15" t="s">
        <v>1097</v>
      </c>
      <c r="E188" s="15" t="s">
        <v>1103</v>
      </c>
      <c r="F188" s="15" t="s">
        <v>1097</v>
      </c>
      <c r="G188" s="9" t="s">
        <v>1313</v>
      </c>
      <c r="H188" s="9" t="b">
        <v>1</v>
      </c>
      <c r="I188" s="9" t="b">
        <v>0</v>
      </c>
      <c r="J188" s="9" t="b">
        <v>0</v>
      </c>
      <c r="K188" s="9" t="b">
        <v>0</v>
      </c>
      <c r="L188" s="9" t="b">
        <v>0</v>
      </c>
      <c r="M188" s="9" t="b">
        <v>0</v>
      </c>
      <c r="N188" s="9" t="b">
        <v>0</v>
      </c>
      <c r="O188" s="9" t="b">
        <v>1</v>
      </c>
      <c r="P188" s="9" t="b">
        <v>0</v>
      </c>
      <c r="Q188" s="9" t="b">
        <v>1</v>
      </c>
      <c r="R188" s="16">
        <f>COUNTIFS(stable[q_group],stable[[#This Row],[q_group]])</f>
        <v>1</v>
      </c>
      <c r="S188" s="9" t="b">
        <v>0</v>
      </c>
      <c r="T188" s="9" t="b">
        <v>0</v>
      </c>
      <c r="U188" s="9" t="b">
        <v>0</v>
      </c>
      <c r="V188" s="9" t="b">
        <v>1</v>
      </c>
    </row>
    <row r="189" spans="1:22" x14ac:dyDescent="0.25">
      <c r="A189" s="15" t="str">
        <f>_xlfn.CONCAT(stable[[#This Row],[group_0_no]:[order_no]])</f>
        <v>7253</v>
      </c>
      <c r="B189" s="15" t="s">
        <v>427</v>
      </c>
      <c r="C189" s="15" t="s">
        <v>1279</v>
      </c>
      <c r="D189" s="15" t="s">
        <v>1097</v>
      </c>
      <c r="E189" s="15" t="s">
        <v>1103</v>
      </c>
      <c r="F189" s="15" t="s">
        <v>1099</v>
      </c>
      <c r="G189" s="9" t="s">
        <v>1314</v>
      </c>
      <c r="H189" s="9" t="b">
        <v>1</v>
      </c>
      <c r="I189" s="9" t="b">
        <v>0</v>
      </c>
      <c r="J189" s="9" t="b">
        <v>0</v>
      </c>
      <c r="K189" s="9" t="b">
        <v>1</v>
      </c>
      <c r="L189" s="9" t="b">
        <v>0</v>
      </c>
      <c r="M189" s="9" t="b">
        <v>0</v>
      </c>
      <c r="N189" s="9" t="b">
        <v>0</v>
      </c>
      <c r="O189" s="9" t="b">
        <v>1</v>
      </c>
      <c r="P189" s="9" t="b">
        <v>0</v>
      </c>
      <c r="Q189" s="9" t="b">
        <v>1</v>
      </c>
      <c r="R189" s="16">
        <f>COUNTIFS(stable[q_group],stable[[#This Row],[q_group]])</f>
        <v>1</v>
      </c>
      <c r="S189" s="9" t="b">
        <v>0</v>
      </c>
      <c r="T189" s="9" t="b">
        <v>0</v>
      </c>
      <c r="U189" s="9" t="b">
        <v>0</v>
      </c>
      <c r="V189" s="9" t="b">
        <v>1</v>
      </c>
    </row>
    <row r="190" spans="1:22" s="22" customFormat="1" ht="31.5" x14ac:dyDescent="0.25">
      <c r="A190" s="21" t="str">
        <f>_xlfn.CONCAT(stable[[#This Row],[group_0_no]:[order_no]])</f>
        <v>7300</v>
      </c>
      <c r="B190" s="79" t="s">
        <v>1011</v>
      </c>
      <c r="C190" s="21" t="s">
        <v>1279</v>
      </c>
      <c r="D190" s="21" t="s">
        <v>1099</v>
      </c>
      <c r="E190" s="21" t="s">
        <v>1094</v>
      </c>
      <c r="F190" s="21" t="s">
        <v>1094</v>
      </c>
      <c r="G190" s="22" t="s">
        <v>1315</v>
      </c>
      <c r="H190" s="22" t="b">
        <v>1</v>
      </c>
      <c r="I190" s="22" t="b">
        <v>0</v>
      </c>
      <c r="J190" s="22" t="b">
        <v>0</v>
      </c>
      <c r="K190" s="22" t="b">
        <v>1</v>
      </c>
      <c r="L190" s="22" t="b">
        <v>0</v>
      </c>
      <c r="M190" s="22" t="b">
        <v>0</v>
      </c>
      <c r="N190" s="22" t="b">
        <v>0</v>
      </c>
      <c r="O190" s="22" t="b">
        <v>1</v>
      </c>
      <c r="P190" s="22" t="b">
        <v>0</v>
      </c>
      <c r="Q190" s="22" t="b">
        <v>0</v>
      </c>
      <c r="R190" s="29">
        <f>COUNTIFS(stable[q_group],stable[[#This Row],[q_group]])</f>
        <v>1</v>
      </c>
      <c r="S190" s="22" t="b">
        <v>0</v>
      </c>
      <c r="T190" s="22" t="b">
        <v>0</v>
      </c>
      <c r="U190" s="22" t="b">
        <v>0</v>
      </c>
      <c r="V190" s="22" t="b">
        <v>1</v>
      </c>
    </row>
    <row r="191" spans="1:22" x14ac:dyDescent="0.25">
      <c r="A191" s="15" t="str">
        <f>_xlfn.CONCAT(stable[[#This Row],[group_0_no]:[order_no]])</f>
        <v>7301</v>
      </c>
      <c r="B191" s="15" t="s">
        <v>440</v>
      </c>
      <c r="C191" s="15" t="s">
        <v>1279</v>
      </c>
      <c r="D191" s="15" t="s">
        <v>1099</v>
      </c>
      <c r="E191" s="15" t="s">
        <v>1094</v>
      </c>
      <c r="F191" s="15" t="s">
        <v>1093</v>
      </c>
      <c r="G191" s="9" t="s">
        <v>1316</v>
      </c>
      <c r="H191" s="9" t="b">
        <v>1</v>
      </c>
      <c r="I191" s="9" t="b">
        <v>0</v>
      </c>
      <c r="J191" s="9" t="b">
        <v>0</v>
      </c>
      <c r="K191" s="9" t="b">
        <v>0</v>
      </c>
      <c r="L191" s="9" t="b">
        <v>0</v>
      </c>
      <c r="M191" s="9" t="b">
        <v>0</v>
      </c>
      <c r="N191" s="9" t="b">
        <v>0</v>
      </c>
      <c r="O191" s="9" t="b">
        <v>1</v>
      </c>
      <c r="P191" s="9" t="b">
        <v>0</v>
      </c>
      <c r="Q191" s="9" t="b">
        <v>0</v>
      </c>
      <c r="R191" s="16">
        <f>COUNTIFS(stable[q_group],stable[[#This Row],[q_group]])</f>
        <v>1</v>
      </c>
      <c r="S191" s="9" t="b">
        <v>0</v>
      </c>
      <c r="T191" s="9" t="b">
        <v>0</v>
      </c>
      <c r="U191" s="9" t="b">
        <v>0</v>
      </c>
      <c r="V191" s="9" t="b">
        <v>1</v>
      </c>
    </row>
    <row r="192" spans="1:22" s="22" customFormat="1" x14ac:dyDescent="0.25">
      <c r="A192" s="21" t="str">
        <f>_xlfn.CONCAT(stable[[#This Row],[group_0_no]:[order_no]])</f>
        <v>7400</v>
      </c>
      <c r="B192" s="21" t="s">
        <v>1012</v>
      </c>
      <c r="C192" s="21" t="s">
        <v>1279</v>
      </c>
      <c r="D192" s="21" t="s">
        <v>1101</v>
      </c>
      <c r="E192" s="21" t="s">
        <v>1094</v>
      </c>
      <c r="F192" s="21" t="s">
        <v>1094</v>
      </c>
      <c r="G192" s="22" t="s">
        <v>1317</v>
      </c>
      <c r="H192" s="22" t="b">
        <v>1</v>
      </c>
      <c r="I192" s="22" t="b">
        <v>0</v>
      </c>
      <c r="J192" s="22" t="b">
        <v>0</v>
      </c>
      <c r="K192" s="22" t="b">
        <v>1</v>
      </c>
      <c r="L192" s="22" t="b">
        <v>0</v>
      </c>
      <c r="M192" s="22" t="b">
        <v>0</v>
      </c>
      <c r="N192" s="22" t="b">
        <v>0</v>
      </c>
      <c r="O192" s="22" t="b">
        <v>1</v>
      </c>
      <c r="P192" s="22" t="b">
        <v>0</v>
      </c>
      <c r="Q192" s="22" t="b">
        <v>1</v>
      </c>
      <c r="R192" s="29">
        <f>COUNTIFS(stable[q_group],stable[[#This Row],[q_group]])</f>
        <v>1</v>
      </c>
      <c r="S192" s="22" t="b">
        <v>0</v>
      </c>
      <c r="T192" s="22" t="b">
        <v>0</v>
      </c>
      <c r="U192" s="22" t="b">
        <v>0</v>
      </c>
      <c r="V192" s="22" t="b">
        <v>1</v>
      </c>
    </row>
    <row r="193" spans="1:22" x14ac:dyDescent="0.25">
      <c r="A193" s="15" t="str">
        <f>_xlfn.CONCAT(stable[[#This Row],[group_0_no]:[order_no]])</f>
        <v>7401</v>
      </c>
      <c r="B193" s="15" t="s">
        <v>444</v>
      </c>
      <c r="C193" s="15" t="s">
        <v>1279</v>
      </c>
      <c r="D193" s="15" t="s">
        <v>1101</v>
      </c>
      <c r="E193" s="15" t="s">
        <v>1094</v>
      </c>
      <c r="F193" s="15" t="s">
        <v>1093</v>
      </c>
      <c r="G193" s="9" t="s">
        <v>1318</v>
      </c>
      <c r="H193" s="9" t="b">
        <v>1</v>
      </c>
      <c r="I193" s="9" t="b">
        <v>0</v>
      </c>
      <c r="J193" s="9" t="b">
        <v>0</v>
      </c>
      <c r="K193" s="9" t="b">
        <v>0</v>
      </c>
      <c r="L193" s="9" t="b">
        <v>0</v>
      </c>
      <c r="M193" s="9" t="b">
        <v>0</v>
      </c>
      <c r="N193" s="9" t="b">
        <v>0</v>
      </c>
      <c r="O193" s="9" t="b">
        <v>1</v>
      </c>
      <c r="P193" s="9" t="b">
        <v>0</v>
      </c>
      <c r="Q193" s="9" t="b">
        <v>1</v>
      </c>
      <c r="R193" s="16">
        <f>COUNTIFS(stable[q_group],stable[[#This Row],[q_group]])</f>
        <v>1</v>
      </c>
      <c r="S193" s="9" t="b">
        <v>0</v>
      </c>
      <c r="T193" s="9" t="b">
        <v>0</v>
      </c>
      <c r="U193" s="9" t="b">
        <v>0</v>
      </c>
      <c r="V193" s="9" t="b">
        <v>1</v>
      </c>
    </row>
    <row r="194" spans="1:22" x14ac:dyDescent="0.25">
      <c r="A194" s="15" t="str">
        <f>_xlfn.CONCAT(stable[[#This Row],[group_0_no]:[order_no]])</f>
        <v>7402</v>
      </c>
      <c r="B194" s="15" t="s">
        <v>446</v>
      </c>
      <c r="C194" s="15" t="s">
        <v>1279</v>
      </c>
      <c r="D194" s="15" t="s">
        <v>1101</v>
      </c>
      <c r="E194" s="15" t="s">
        <v>1094</v>
      </c>
      <c r="F194" s="15" t="s">
        <v>1097</v>
      </c>
      <c r="G194" s="9" t="s">
        <v>1319</v>
      </c>
      <c r="H194" s="9" t="b">
        <v>1</v>
      </c>
      <c r="I194" s="9" t="b">
        <v>0</v>
      </c>
      <c r="J194" s="9" t="b">
        <v>0</v>
      </c>
      <c r="K194" s="9" t="b">
        <v>0</v>
      </c>
      <c r="L194" s="9" t="b">
        <v>0</v>
      </c>
      <c r="M194" s="9" t="b">
        <v>0</v>
      </c>
      <c r="N194" s="9" t="b">
        <v>0</v>
      </c>
      <c r="O194" s="9" t="b">
        <v>1</v>
      </c>
      <c r="P194" s="9" t="b">
        <v>0</v>
      </c>
      <c r="Q194" s="9" t="b">
        <v>1</v>
      </c>
      <c r="R194" s="16">
        <f>COUNTIFS(stable[q_group],stable[[#This Row],[q_group]])</f>
        <v>1</v>
      </c>
      <c r="S194" s="9" t="b">
        <v>0</v>
      </c>
      <c r="T194" s="9" t="b">
        <v>0</v>
      </c>
      <c r="U194" s="9" t="b">
        <v>0</v>
      </c>
      <c r="V194" s="9" t="b">
        <v>1</v>
      </c>
    </row>
    <row r="195" spans="1:22" x14ac:dyDescent="0.25">
      <c r="A195" s="15" t="str">
        <f>_xlfn.CONCAT(stable[[#This Row],[group_0_no]:[order_no]])</f>
        <v>7410</v>
      </c>
      <c r="B195" s="21" t="s">
        <v>454</v>
      </c>
      <c r="C195" s="15" t="s">
        <v>1279</v>
      </c>
      <c r="D195" s="15" t="s">
        <v>1101</v>
      </c>
      <c r="E195" s="15" t="s">
        <v>1093</v>
      </c>
      <c r="F195" s="15" t="s">
        <v>1094</v>
      </c>
      <c r="G195" s="9" t="s">
        <v>1320</v>
      </c>
      <c r="H195" s="9" t="b">
        <v>1</v>
      </c>
      <c r="I195" s="9" t="b">
        <v>0</v>
      </c>
      <c r="J195" s="9" t="b">
        <v>0</v>
      </c>
      <c r="K195" s="9" t="b">
        <v>1</v>
      </c>
      <c r="L195" s="9" t="b">
        <v>0</v>
      </c>
      <c r="M195" s="9" t="b">
        <v>0</v>
      </c>
      <c r="N195" s="9" t="b">
        <v>0</v>
      </c>
      <c r="O195" s="9" t="b">
        <v>1</v>
      </c>
      <c r="P195" s="9" t="b">
        <v>0</v>
      </c>
      <c r="Q195" s="9" t="b">
        <v>1</v>
      </c>
      <c r="R195" s="16">
        <f>COUNTIFS(stable[q_group],stable[[#This Row],[q_group]])</f>
        <v>1</v>
      </c>
      <c r="S195" s="9" t="b">
        <v>0</v>
      </c>
      <c r="T195" s="9" t="b">
        <v>0</v>
      </c>
      <c r="U195" s="9" t="b">
        <v>0</v>
      </c>
      <c r="V195" s="9" t="b">
        <v>1</v>
      </c>
    </row>
    <row r="196" spans="1:22" x14ac:dyDescent="0.25">
      <c r="A196" s="15" t="str">
        <f>_xlfn.CONCAT(stable[[#This Row],[group_0_no]:[order_no]])</f>
        <v>7411</v>
      </c>
      <c r="B196" s="15" t="s">
        <v>1024</v>
      </c>
      <c r="C196" s="15" t="s">
        <v>1279</v>
      </c>
      <c r="D196" s="15" t="s">
        <v>1101</v>
      </c>
      <c r="E196" s="15" t="s">
        <v>1093</v>
      </c>
      <c r="F196" s="15" t="s">
        <v>1093</v>
      </c>
      <c r="G196" s="9" t="s">
        <v>1321</v>
      </c>
      <c r="H196" s="9" t="b">
        <v>1</v>
      </c>
      <c r="I196" s="9" t="b">
        <v>0</v>
      </c>
      <c r="J196" s="9" t="b">
        <v>0</v>
      </c>
      <c r="K196" s="9" t="b">
        <v>1</v>
      </c>
      <c r="L196" s="9" t="b">
        <v>0</v>
      </c>
      <c r="M196" s="9" t="b">
        <v>0</v>
      </c>
      <c r="N196" s="9" t="b">
        <v>0</v>
      </c>
      <c r="O196" s="9" t="b">
        <v>1</v>
      </c>
      <c r="P196" s="9" t="b">
        <v>0</v>
      </c>
      <c r="Q196" s="9" t="b">
        <v>1</v>
      </c>
      <c r="R196" s="16">
        <f>COUNTIFS(stable[q_group],stable[[#This Row],[q_group]])</f>
        <v>1</v>
      </c>
      <c r="S196" s="9" t="b">
        <v>0</v>
      </c>
      <c r="T196" s="9" t="b">
        <v>0</v>
      </c>
      <c r="U196" s="9" t="b">
        <v>0</v>
      </c>
      <c r="V196" s="9" t="b">
        <v>1</v>
      </c>
    </row>
    <row r="197" spans="1:22" x14ac:dyDescent="0.25">
      <c r="A197" s="15" t="str">
        <f>_xlfn.CONCAT(stable[[#This Row],[group_0_no]:[order_no]])</f>
        <v>7412</v>
      </c>
      <c r="B197" s="15" t="s">
        <v>458</v>
      </c>
      <c r="C197" s="15" t="s">
        <v>1279</v>
      </c>
      <c r="D197" s="15" t="s">
        <v>1101</v>
      </c>
      <c r="E197" s="15" t="s">
        <v>1093</v>
      </c>
      <c r="F197" s="15" t="s">
        <v>1097</v>
      </c>
      <c r="G197" s="9" t="s">
        <v>1322</v>
      </c>
      <c r="H197" s="9" t="b">
        <v>1</v>
      </c>
      <c r="I197" s="9" t="b">
        <v>0</v>
      </c>
      <c r="J197" s="9" t="b">
        <v>0</v>
      </c>
      <c r="K197" s="9" t="b">
        <v>0</v>
      </c>
      <c r="L197" s="9" t="b">
        <v>0</v>
      </c>
      <c r="M197" s="9" t="b">
        <v>0</v>
      </c>
      <c r="N197" s="9" t="b">
        <v>0</v>
      </c>
      <c r="O197" s="9" t="b">
        <v>1</v>
      </c>
      <c r="P197" s="9" t="b">
        <v>0</v>
      </c>
      <c r="Q197" s="9" t="b">
        <v>1</v>
      </c>
      <c r="R197" s="16">
        <f>COUNTIFS(stable[q_group],stable[[#This Row],[q_group]])</f>
        <v>1</v>
      </c>
      <c r="S197" s="9" t="b">
        <v>0</v>
      </c>
      <c r="T197" s="9" t="b">
        <v>0</v>
      </c>
      <c r="U197" s="9" t="b">
        <v>0</v>
      </c>
      <c r="V197" s="9" t="b">
        <v>1</v>
      </c>
    </row>
    <row r="198" spans="1:22" x14ac:dyDescent="0.25">
      <c r="A198" s="15" t="str">
        <f>_xlfn.CONCAT(stable[[#This Row],[group_0_no]:[order_no]])</f>
        <v>7500</v>
      </c>
      <c r="B198" s="15" t="s">
        <v>863</v>
      </c>
      <c r="C198" s="15" t="s">
        <v>1279</v>
      </c>
      <c r="D198" s="15" t="s">
        <v>1103</v>
      </c>
      <c r="E198" s="15" t="s">
        <v>1094</v>
      </c>
      <c r="F198" s="15" t="s">
        <v>1094</v>
      </c>
      <c r="G198" s="9" t="s">
        <v>1323</v>
      </c>
      <c r="H198" s="9" t="b">
        <v>0</v>
      </c>
      <c r="I198" s="9" t="b">
        <v>1</v>
      </c>
      <c r="J198" s="9" t="b">
        <v>0</v>
      </c>
      <c r="K198" s="9" t="b">
        <v>1</v>
      </c>
      <c r="L198" s="9" t="b">
        <v>0</v>
      </c>
      <c r="M198" s="9" t="b">
        <v>0</v>
      </c>
      <c r="N198" s="9" t="b">
        <v>0</v>
      </c>
      <c r="O198" s="9" t="b">
        <v>1</v>
      </c>
      <c r="P198" s="9" t="b">
        <v>0</v>
      </c>
      <c r="Q198" s="9" t="b">
        <v>1</v>
      </c>
      <c r="R198" s="16">
        <f>COUNTIFS(stable[q_group],stable[[#This Row],[q_group]])</f>
        <v>1</v>
      </c>
      <c r="S198" s="9" t="b">
        <v>0</v>
      </c>
      <c r="T198" s="9" t="b">
        <v>0</v>
      </c>
      <c r="U198" s="9" t="b">
        <v>0</v>
      </c>
      <c r="V198" s="9" t="b">
        <v>1</v>
      </c>
    </row>
    <row r="199" spans="1:22" x14ac:dyDescent="0.25">
      <c r="A199" s="15" t="str">
        <f>_xlfn.CONCAT(stable[[#This Row],[group_0_no]:[order_no]])</f>
        <v>7501</v>
      </c>
      <c r="B199" s="15" t="s">
        <v>471</v>
      </c>
      <c r="C199" s="15" t="s">
        <v>1279</v>
      </c>
      <c r="D199" s="15" t="s">
        <v>1103</v>
      </c>
      <c r="E199" s="15" t="s">
        <v>1094</v>
      </c>
      <c r="F199" s="15" t="s">
        <v>1093</v>
      </c>
      <c r="G199" s="9" t="s">
        <v>1324</v>
      </c>
      <c r="H199" s="9" t="b">
        <v>1</v>
      </c>
      <c r="I199" s="9" t="b">
        <v>0</v>
      </c>
      <c r="J199" s="9" t="b">
        <v>0</v>
      </c>
      <c r="K199" s="9" t="b">
        <v>0</v>
      </c>
      <c r="L199" s="9" t="b">
        <v>0</v>
      </c>
      <c r="M199" s="9" t="b">
        <v>0</v>
      </c>
      <c r="N199" s="9" t="b">
        <v>0</v>
      </c>
      <c r="O199" s="9" t="b">
        <v>1</v>
      </c>
      <c r="P199" s="9" t="b">
        <v>0</v>
      </c>
      <c r="Q199" s="9" t="b">
        <v>1</v>
      </c>
      <c r="R199" s="16">
        <f>COUNTIFS(stable[q_group],stable[[#This Row],[q_group]])</f>
        <v>1</v>
      </c>
      <c r="S199" s="9" t="b">
        <v>0</v>
      </c>
      <c r="T199" s="9" t="b">
        <v>0</v>
      </c>
      <c r="U199" s="9" t="b">
        <v>0</v>
      </c>
      <c r="V199" s="9" t="b">
        <v>1</v>
      </c>
    </row>
    <row r="200" spans="1:22" x14ac:dyDescent="0.25">
      <c r="A200" s="15" t="str">
        <f>_xlfn.CONCAT(stable[[#This Row],[group_0_no]:[order_no]])</f>
        <v>7502</v>
      </c>
      <c r="B200" s="15" t="s">
        <v>473</v>
      </c>
      <c r="C200" s="15" t="s">
        <v>1279</v>
      </c>
      <c r="D200" s="15" t="s">
        <v>1103</v>
      </c>
      <c r="E200" s="15" t="s">
        <v>1094</v>
      </c>
      <c r="F200" s="15" t="s">
        <v>1097</v>
      </c>
      <c r="G200" s="9" t="s">
        <v>1325</v>
      </c>
      <c r="H200" s="9" t="b">
        <v>1</v>
      </c>
      <c r="I200" s="9" t="b">
        <v>0</v>
      </c>
      <c r="J200" s="9" t="b">
        <v>0</v>
      </c>
      <c r="K200" s="9" t="b">
        <v>0</v>
      </c>
      <c r="L200" s="9" t="b">
        <v>0</v>
      </c>
      <c r="M200" s="9" t="b">
        <v>0</v>
      </c>
      <c r="N200" s="9" t="b">
        <v>1</v>
      </c>
      <c r="O200" s="9" t="b">
        <v>0</v>
      </c>
      <c r="P200" s="9" t="b">
        <v>0</v>
      </c>
      <c r="Q200" s="9" t="b">
        <v>0</v>
      </c>
      <c r="R200" s="16">
        <f>COUNTIFS(stable[q_group],stable[[#This Row],[q_group]])</f>
        <v>1</v>
      </c>
      <c r="S200" s="9" t="b">
        <v>0</v>
      </c>
      <c r="T200" s="9" t="b">
        <v>0</v>
      </c>
      <c r="U200" s="9" t="b">
        <v>0</v>
      </c>
      <c r="V200" s="9" t="b">
        <v>1</v>
      </c>
    </row>
    <row r="201" spans="1:22" x14ac:dyDescent="0.25">
      <c r="A201" s="15" t="str">
        <f>_xlfn.CONCAT(stable[[#This Row],[group_0_no]:[order_no]])</f>
        <v>7503</v>
      </c>
      <c r="B201" s="15" t="s">
        <v>475</v>
      </c>
      <c r="C201" s="15" t="s">
        <v>1279</v>
      </c>
      <c r="D201" s="15" t="s">
        <v>1103</v>
      </c>
      <c r="E201" s="15" t="s">
        <v>1094</v>
      </c>
      <c r="F201" s="15" t="s">
        <v>1099</v>
      </c>
      <c r="G201" s="9" t="s">
        <v>1326</v>
      </c>
      <c r="H201" s="9" t="b">
        <v>1</v>
      </c>
      <c r="I201" s="9" t="b">
        <v>0</v>
      </c>
      <c r="J201" s="9" t="b">
        <v>0</v>
      </c>
      <c r="K201" s="9" t="b">
        <v>0</v>
      </c>
      <c r="L201" s="9" t="b">
        <v>0</v>
      </c>
      <c r="M201" s="9" t="b">
        <v>0</v>
      </c>
      <c r="N201" s="9" t="b">
        <v>1</v>
      </c>
      <c r="O201" s="9" t="b">
        <v>0</v>
      </c>
      <c r="P201" s="9" t="b">
        <v>0</v>
      </c>
      <c r="Q201" s="9" t="b">
        <v>0</v>
      </c>
      <c r="R201" s="16">
        <f>COUNTIFS(stable[q_group],stable[[#This Row],[q_group]])</f>
        <v>1</v>
      </c>
      <c r="S201" s="9" t="b">
        <v>0</v>
      </c>
      <c r="T201" s="9" t="b">
        <v>0</v>
      </c>
      <c r="U201" s="9" t="b">
        <v>0</v>
      </c>
      <c r="V201" s="9" t="b">
        <v>1</v>
      </c>
    </row>
    <row r="202" spans="1:22" x14ac:dyDescent="0.25">
      <c r="A202" s="15" t="str">
        <f>_xlfn.CONCAT(stable[[#This Row],[group_0_no]:[order_no]])</f>
        <v>7504</v>
      </c>
      <c r="B202" s="15" t="s">
        <v>477</v>
      </c>
      <c r="C202" s="15" t="s">
        <v>1279</v>
      </c>
      <c r="D202" s="15" t="s">
        <v>1103</v>
      </c>
      <c r="E202" s="15" t="s">
        <v>1094</v>
      </c>
      <c r="F202" s="15" t="s">
        <v>1101</v>
      </c>
      <c r="G202" s="9" t="s">
        <v>1327</v>
      </c>
      <c r="H202" s="9" t="b">
        <v>1</v>
      </c>
      <c r="I202" s="9" t="b">
        <v>0</v>
      </c>
      <c r="J202" s="9" t="b">
        <v>0</v>
      </c>
      <c r="K202" s="9" t="b">
        <v>0</v>
      </c>
      <c r="L202" s="9" t="b">
        <v>0</v>
      </c>
      <c r="M202" s="9" t="b">
        <v>0</v>
      </c>
      <c r="N202" s="9" t="b">
        <v>0</v>
      </c>
      <c r="O202" s="9" t="b">
        <v>1</v>
      </c>
      <c r="P202" s="9" t="b">
        <v>0</v>
      </c>
      <c r="Q202" s="9" t="b">
        <v>0</v>
      </c>
      <c r="R202" s="16">
        <f>COUNTIFS(stable[q_group],stable[[#This Row],[q_group]])</f>
        <v>1</v>
      </c>
      <c r="S202" s="9" t="b">
        <v>0</v>
      </c>
      <c r="T202" s="9" t="b">
        <v>0</v>
      </c>
      <c r="U202" s="9" t="b">
        <v>0</v>
      </c>
      <c r="V202" s="9" t="b">
        <v>1</v>
      </c>
    </row>
    <row r="203" spans="1:22" x14ac:dyDescent="0.25">
      <c r="A203" s="15" t="str">
        <f>_xlfn.CONCAT(stable[[#This Row],[group_0_no]:[order_no]])</f>
        <v>7505</v>
      </c>
      <c r="B203" s="15" t="s">
        <v>615</v>
      </c>
      <c r="C203" s="15" t="s">
        <v>1279</v>
      </c>
      <c r="D203" s="15" t="s">
        <v>1103</v>
      </c>
      <c r="E203" s="15" t="s">
        <v>1094</v>
      </c>
      <c r="F203" s="15" t="s">
        <v>1103</v>
      </c>
      <c r="G203" s="9" t="s">
        <v>1328</v>
      </c>
      <c r="H203" s="9" t="b">
        <v>0</v>
      </c>
      <c r="I203" s="9" t="b">
        <v>0</v>
      </c>
      <c r="J203" s="9" t="b">
        <v>1</v>
      </c>
      <c r="K203" s="9" t="b">
        <v>0</v>
      </c>
      <c r="L203" s="9" t="b">
        <v>0</v>
      </c>
      <c r="M203" s="9" t="b">
        <v>0</v>
      </c>
      <c r="N203" s="9" t="b">
        <v>0</v>
      </c>
      <c r="O203" s="9" t="b">
        <v>1</v>
      </c>
      <c r="P203" s="9" t="b">
        <v>0</v>
      </c>
      <c r="Q203" s="9" t="b">
        <v>0</v>
      </c>
      <c r="R203" s="16">
        <f>COUNTIFS(stable[q_group],stable[[#This Row],[q_group]])</f>
        <v>1</v>
      </c>
      <c r="S203" s="9" t="b">
        <v>0</v>
      </c>
      <c r="T203" s="9" t="b">
        <v>0</v>
      </c>
      <c r="U203" s="9" t="b">
        <v>0</v>
      </c>
      <c r="V203" s="9" t="b">
        <v>1</v>
      </c>
    </row>
    <row r="204" spans="1:22" x14ac:dyDescent="0.25">
      <c r="A204" s="15" t="str">
        <f>_xlfn.CONCAT(stable[[#This Row],[group_0_no]:[order_no]])</f>
        <v>7600</v>
      </c>
      <c r="B204" s="15" t="s">
        <v>482</v>
      </c>
      <c r="C204" s="15" t="s">
        <v>1279</v>
      </c>
      <c r="D204" s="15" t="s">
        <v>1105</v>
      </c>
      <c r="E204" s="15" t="s">
        <v>1094</v>
      </c>
      <c r="F204" s="15" t="s">
        <v>1094</v>
      </c>
      <c r="G204" s="9" t="s">
        <v>1329</v>
      </c>
      <c r="H204" s="9" t="b">
        <v>1</v>
      </c>
      <c r="I204" s="9" t="b">
        <v>0</v>
      </c>
      <c r="J204" s="9" t="b">
        <v>0</v>
      </c>
      <c r="K204" s="9" t="b">
        <v>1</v>
      </c>
      <c r="L204" s="9" t="b">
        <v>0</v>
      </c>
      <c r="M204" s="9" t="b">
        <v>0</v>
      </c>
      <c r="N204" s="9" t="b">
        <v>0</v>
      </c>
      <c r="O204" s="9" t="b">
        <v>1</v>
      </c>
      <c r="P204" s="9" t="b">
        <v>0</v>
      </c>
      <c r="Q204" s="9" t="b">
        <v>0</v>
      </c>
      <c r="R204" s="16">
        <f>COUNTIFS(stable[q_group],stable[[#This Row],[q_group]])</f>
        <v>1</v>
      </c>
      <c r="S204" s="9" t="b">
        <v>0</v>
      </c>
      <c r="T204" s="9" t="b">
        <v>0</v>
      </c>
      <c r="U204" s="9" t="b">
        <v>0</v>
      </c>
      <c r="V204" s="9" t="b">
        <v>1</v>
      </c>
    </row>
    <row r="205" spans="1:22" x14ac:dyDescent="0.25">
      <c r="A205" s="15" t="str">
        <f>_xlfn.CONCAT(stable[[#This Row],[group_0_no]:[order_no]])</f>
        <v>7700</v>
      </c>
      <c r="B205" s="15" t="s">
        <v>484</v>
      </c>
      <c r="C205" s="15" t="s">
        <v>1279</v>
      </c>
      <c r="D205" s="15" t="s">
        <v>1279</v>
      </c>
      <c r="E205" s="15" t="s">
        <v>1094</v>
      </c>
      <c r="F205" s="15" t="s">
        <v>1094</v>
      </c>
      <c r="G205" s="9" t="s">
        <v>1330</v>
      </c>
      <c r="H205" s="9" t="b">
        <v>1</v>
      </c>
      <c r="I205" s="9" t="b">
        <v>0</v>
      </c>
      <c r="J205" s="9" t="b">
        <v>0</v>
      </c>
      <c r="K205" s="9" t="b">
        <v>1</v>
      </c>
      <c r="L205" s="9" t="b">
        <v>0</v>
      </c>
      <c r="M205" s="9" t="b">
        <v>0</v>
      </c>
      <c r="N205" s="9" t="b">
        <v>0</v>
      </c>
      <c r="O205" s="9" t="b">
        <v>1</v>
      </c>
      <c r="P205" s="9" t="b">
        <v>0</v>
      </c>
      <c r="Q205" s="9" t="b">
        <v>0</v>
      </c>
      <c r="R205" s="16">
        <f>COUNTIFS(stable[q_group],stable[[#This Row],[q_group]])</f>
        <v>1</v>
      </c>
      <c r="S205" s="9" t="b">
        <v>0</v>
      </c>
      <c r="T205" s="9" t="b">
        <v>0</v>
      </c>
      <c r="U205" s="9" t="b">
        <v>0</v>
      </c>
      <c r="V205" s="9" t="b">
        <v>1</v>
      </c>
    </row>
    <row r="206" spans="1:22" x14ac:dyDescent="0.25">
      <c r="A206" s="15" t="str">
        <f>_xlfn.CONCAT(stable[[#This Row],[group_0_no]:[order_no]])</f>
        <v>7701</v>
      </c>
      <c r="B206" s="15" t="s">
        <v>491</v>
      </c>
      <c r="C206" s="15" t="s">
        <v>1279</v>
      </c>
      <c r="D206" s="15" t="s">
        <v>1279</v>
      </c>
      <c r="E206" s="15" t="s">
        <v>1094</v>
      </c>
      <c r="F206" s="15" t="s">
        <v>1093</v>
      </c>
      <c r="G206" s="9" t="s">
        <v>1331</v>
      </c>
      <c r="H206" s="9" t="b">
        <v>1</v>
      </c>
      <c r="I206" s="9" t="b">
        <v>0</v>
      </c>
      <c r="J206" s="9" t="b">
        <v>0</v>
      </c>
      <c r="K206" s="9" t="b">
        <v>0</v>
      </c>
      <c r="L206" s="9" t="b">
        <v>0</v>
      </c>
      <c r="M206" s="9" t="b">
        <v>0</v>
      </c>
      <c r="N206" s="9" t="b">
        <v>0</v>
      </c>
      <c r="O206" s="9" t="b">
        <v>1</v>
      </c>
      <c r="P206" s="9" t="b">
        <v>0</v>
      </c>
      <c r="Q206" s="9" t="b">
        <v>0</v>
      </c>
      <c r="R206" s="16">
        <f>COUNTIFS(stable[q_group],stable[[#This Row],[q_group]])</f>
        <v>1</v>
      </c>
      <c r="S206" s="9" t="b">
        <v>0</v>
      </c>
      <c r="T206" s="9" t="b">
        <v>0</v>
      </c>
      <c r="U206" s="9" t="b">
        <v>0</v>
      </c>
      <c r="V206" s="9" t="b">
        <v>1</v>
      </c>
    </row>
    <row r="207" spans="1:22" x14ac:dyDescent="0.25">
      <c r="A207" s="15" t="str">
        <f>_xlfn.CONCAT(stable[[#This Row],[group_0_no]:[order_no]])</f>
        <v>8000</v>
      </c>
      <c r="B207" s="15" t="s">
        <v>495</v>
      </c>
      <c r="C207" s="15" t="s">
        <v>1143</v>
      </c>
      <c r="D207" s="15" t="s">
        <v>1094</v>
      </c>
      <c r="E207" s="15" t="s">
        <v>1094</v>
      </c>
      <c r="F207" s="15" t="s">
        <v>1094</v>
      </c>
      <c r="G207" s="9" t="s">
        <v>1332</v>
      </c>
      <c r="H207" s="9" t="b">
        <v>1</v>
      </c>
      <c r="I207" s="9" t="b">
        <v>0</v>
      </c>
      <c r="J207" s="9" t="b">
        <v>0</v>
      </c>
      <c r="K207" s="9" t="b">
        <v>1</v>
      </c>
      <c r="L207" s="9" t="b">
        <v>0</v>
      </c>
      <c r="M207" s="9" t="b">
        <v>0</v>
      </c>
      <c r="N207" s="9" t="b">
        <v>0</v>
      </c>
      <c r="O207" s="9" t="b">
        <v>1</v>
      </c>
      <c r="P207" s="9" t="b">
        <v>0</v>
      </c>
      <c r="Q207" s="9" t="b">
        <v>0</v>
      </c>
      <c r="R207" s="16">
        <f>COUNTIFS(stable[q_group],stable[[#This Row],[q_group]])</f>
        <v>1</v>
      </c>
      <c r="S207" s="9" t="b">
        <v>0</v>
      </c>
      <c r="T207" s="9" t="b">
        <v>0</v>
      </c>
      <c r="U207" s="9" t="b">
        <v>0</v>
      </c>
      <c r="V207" s="9" t="b">
        <v>1</v>
      </c>
    </row>
    <row r="208" spans="1:22" x14ac:dyDescent="0.25">
      <c r="A208" s="15" t="str">
        <f>_xlfn.CONCAT(stable[[#This Row],[group_0_no]:[order_no]])</f>
        <v>8010</v>
      </c>
      <c r="B208" s="15" t="s">
        <v>504</v>
      </c>
      <c r="C208" s="15" t="s">
        <v>1143</v>
      </c>
      <c r="D208" s="15" t="s">
        <v>1094</v>
      </c>
      <c r="E208" s="15" t="s">
        <v>1093</v>
      </c>
      <c r="F208" s="15" t="s">
        <v>1094</v>
      </c>
      <c r="G208" s="9" t="s">
        <v>1333</v>
      </c>
      <c r="H208" s="9" t="b">
        <v>1</v>
      </c>
      <c r="I208" s="9" t="b">
        <v>0</v>
      </c>
      <c r="J208" s="9" t="b">
        <v>0</v>
      </c>
      <c r="K208" s="9" t="b">
        <v>1</v>
      </c>
      <c r="L208" s="9" t="b">
        <v>0</v>
      </c>
      <c r="M208" s="9" t="b">
        <v>0</v>
      </c>
      <c r="N208" s="9" t="b">
        <v>0</v>
      </c>
      <c r="O208" s="9" t="b">
        <v>1</v>
      </c>
      <c r="P208" s="9" t="b">
        <v>0</v>
      </c>
      <c r="Q208" s="9" t="b">
        <v>0</v>
      </c>
      <c r="R208" s="16">
        <f>COUNTIFS(stable[q_group],stable[[#This Row],[q_group]])</f>
        <v>1</v>
      </c>
      <c r="S208" s="9" t="b">
        <v>0</v>
      </c>
      <c r="T208" s="9" t="b">
        <v>0</v>
      </c>
      <c r="U208" s="9" t="b">
        <v>0</v>
      </c>
      <c r="V208" s="9" t="b">
        <v>1</v>
      </c>
    </row>
    <row r="209" spans="1:22" x14ac:dyDescent="0.25">
      <c r="A209" s="15" t="str">
        <f>_xlfn.CONCAT(stable[[#This Row],[group_0_no]:[order_no]])</f>
        <v>8100</v>
      </c>
      <c r="B209" s="78" t="s">
        <v>715</v>
      </c>
      <c r="C209" s="15" t="s">
        <v>1143</v>
      </c>
      <c r="D209" s="15" t="s">
        <v>1093</v>
      </c>
      <c r="E209" s="15" t="s">
        <v>1094</v>
      </c>
      <c r="F209" s="15" t="s">
        <v>1094</v>
      </c>
      <c r="G209" s="9" t="s">
        <v>1334</v>
      </c>
      <c r="H209" s="9" t="b">
        <v>0</v>
      </c>
      <c r="I209" s="9" t="b">
        <v>1</v>
      </c>
      <c r="J209" s="9" t="b">
        <v>1</v>
      </c>
      <c r="K209" s="9" t="b">
        <v>1</v>
      </c>
      <c r="L209" s="9" t="b">
        <v>0</v>
      </c>
      <c r="M209" s="9" t="b">
        <v>0</v>
      </c>
      <c r="N209" s="9" t="b">
        <v>0</v>
      </c>
      <c r="O209" s="9" t="b">
        <v>1</v>
      </c>
      <c r="P209" s="9" t="b">
        <v>0</v>
      </c>
      <c r="Q209" s="9" t="b">
        <v>0</v>
      </c>
      <c r="R209" s="16">
        <f>COUNTIFS(stable[q_group],stable[[#This Row],[q_group]])</f>
        <v>1</v>
      </c>
      <c r="S209" s="9" t="b">
        <v>0</v>
      </c>
      <c r="T209" s="9" t="b">
        <v>0</v>
      </c>
      <c r="U209" s="9" t="b">
        <v>1</v>
      </c>
      <c r="V209" s="9" t="b">
        <v>0</v>
      </c>
    </row>
    <row r="210" spans="1:22" x14ac:dyDescent="0.25">
      <c r="A210" s="15" t="str">
        <f>_xlfn.CONCAT(stable[[#This Row],[group_0_no]:[order_no]])</f>
        <v>8101</v>
      </c>
      <c r="B210" s="15" t="s">
        <v>717</v>
      </c>
      <c r="C210" s="15">
        <v>8</v>
      </c>
      <c r="D210" s="15">
        <v>1</v>
      </c>
      <c r="E210" s="15">
        <v>0</v>
      </c>
      <c r="F210" s="15">
        <v>1</v>
      </c>
      <c r="G210" s="9" t="s">
        <v>1335</v>
      </c>
      <c r="H210" s="9" t="b">
        <v>0</v>
      </c>
      <c r="I210" s="9" t="b">
        <v>1</v>
      </c>
      <c r="J210" s="9" t="b">
        <v>1</v>
      </c>
      <c r="K210" s="9" t="b">
        <v>1</v>
      </c>
      <c r="L210" s="9" t="b">
        <v>0</v>
      </c>
      <c r="M210" s="9" t="b">
        <v>0</v>
      </c>
      <c r="N210" s="9" t="b">
        <v>1</v>
      </c>
      <c r="O210" s="9" t="b">
        <v>0</v>
      </c>
      <c r="P210" s="9" t="b">
        <v>0</v>
      </c>
      <c r="Q210" s="9" t="b">
        <v>0</v>
      </c>
      <c r="R210" s="16">
        <f>COUNTIFS(stable[q_group],stable[[#This Row],[q_group]])</f>
        <v>1</v>
      </c>
      <c r="S210" s="9" t="b">
        <v>0</v>
      </c>
      <c r="T210" s="9" t="b">
        <v>0</v>
      </c>
      <c r="U210" s="9" t="b">
        <v>1</v>
      </c>
      <c r="V210" s="9" t="b">
        <v>0</v>
      </c>
    </row>
    <row r="211" spans="1:22" x14ac:dyDescent="0.25">
      <c r="A211" s="15" t="str">
        <f>_xlfn.CONCAT(stable[[#This Row],[group_0_no]:[order_no]])</f>
        <v>8200</v>
      </c>
      <c r="B211" s="15" t="s">
        <v>629</v>
      </c>
      <c r="C211" s="15" t="s">
        <v>1143</v>
      </c>
      <c r="D211" s="15" t="s">
        <v>1097</v>
      </c>
      <c r="E211" s="15" t="s">
        <v>1094</v>
      </c>
      <c r="F211" s="15" t="s">
        <v>1094</v>
      </c>
      <c r="G211" s="9" t="s">
        <v>1336</v>
      </c>
      <c r="H211" s="9" t="b">
        <v>0</v>
      </c>
      <c r="I211" s="9" t="b">
        <v>0</v>
      </c>
      <c r="J211" s="9" t="b">
        <v>1</v>
      </c>
      <c r="K211" s="9" t="b">
        <v>1</v>
      </c>
      <c r="L211" s="9" t="b">
        <v>0</v>
      </c>
      <c r="M211" s="9" t="b">
        <v>0</v>
      </c>
      <c r="N211" s="9" t="b">
        <v>0</v>
      </c>
      <c r="O211" s="9" t="b">
        <v>1</v>
      </c>
      <c r="P211" s="9" t="b">
        <v>0</v>
      </c>
      <c r="Q211" s="9" t="b">
        <v>1</v>
      </c>
      <c r="R211" s="16">
        <f>COUNTIFS(stable[q_group],stable[[#This Row],[q_group]])</f>
        <v>1</v>
      </c>
      <c r="S211" s="9" t="b">
        <v>0</v>
      </c>
      <c r="T211" s="9" t="b">
        <v>0</v>
      </c>
      <c r="U211" s="9" t="b">
        <v>1</v>
      </c>
      <c r="V211" s="9" t="b">
        <v>0</v>
      </c>
    </row>
    <row r="212" spans="1:22" x14ac:dyDescent="0.25">
      <c r="A212" s="15" t="str">
        <f>_xlfn.CONCAT(stable[[#This Row],[group_0_no]:[order_no]])</f>
        <v>8201</v>
      </c>
      <c r="B212" s="15" t="s">
        <v>631</v>
      </c>
      <c r="C212" s="15" t="s">
        <v>1143</v>
      </c>
      <c r="D212" s="15" t="s">
        <v>1097</v>
      </c>
      <c r="E212" s="15" t="s">
        <v>1094</v>
      </c>
      <c r="F212" s="15" t="s">
        <v>1093</v>
      </c>
      <c r="G212" s="9" t="s">
        <v>1337</v>
      </c>
      <c r="H212" s="9" t="b">
        <v>0</v>
      </c>
      <c r="I212" s="9" t="b">
        <v>0</v>
      </c>
      <c r="J212" s="9" t="b">
        <v>1</v>
      </c>
      <c r="K212" s="9" t="b">
        <v>0</v>
      </c>
      <c r="L212" s="9" t="b">
        <v>0</v>
      </c>
      <c r="M212" s="9" t="b">
        <v>0</v>
      </c>
      <c r="N212" s="9" t="b">
        <v>0</v>
      </c>
      <c r="O212" s="9" t="b">
        <v>1</v>
      </c>
      <c r="P212" s="9" t="b">
        <v>0</v>
      </c>
      <c r="Q212" s="9" t="b">
        <v>1</v>
      </c>
      <c r="R212" s="16">
        <f>COUNTIFS(stable[q_group],stable[[#This Row],[q_group]])</f>
        <v>1</v>
      </c>
      <c r="S212" s="9" t="b">
        <v>0</v>
      </c>
      <c r="T212" s="9" t="b">
        <v>0</v>
      </c>
      <c r="U212" s="9" t="b">
        <v>1</v>
      </c>
      <c r="V212" s="9" t="b">
        <v>0</v>
      </c>
    </row>
    <row r="213" spans="1:22" x14ac:dyDescent="0.25">
      <c r="A213" s="15" t="str">
        <f>_xlfn.CONCAT(stable[[#This Row],[group_0_no]:[order_no]])</f>
        <v>8202</v>
      </c>
      <c r="B213" s="15" t="s">
        <v>637</v>
      </c>
      <c r="C213" s="15" t="s">
        <v>1143</v>
      </c>
      <c r="D213" s="15" t="s">
        <v>1097</v>
      </c>
      <c r="E213" s="15" t="s">
        <v>1094</v>
      </c>
      <c r="F213" s="15" t="s">
        <v>1097</v>
      </c>
      <c r="G213" s="9" t="s">
        <v>1338</v>
      </c>
      <c r="H213" s="9" t="b">
        <v>0</v>
      </c>
      <c r="I213" s="9" t="b">
        <v>0</v>
      </c>
      <c r="J213" s="9" t="b">
        <v>1</v>
      </c>
      <c r="K213" s="9" t="b">
        <v>0</v>
      </c>
      <c r="L213" s="9" t="b">
        <v>0</v>
      </c>
      <c r="M213" s="9" t="b">
        <v>0</v>
      </c>
      <c r="N213" s="9" t="b">
        <v>1</v>
      </c>
      <c r="O213" s="9" t="b">
        <v>0</v>
      </c>
      <c r="P213" s="9" t="b">
        <v>0</v>
      </c>
      <c r="Q213" s="9" t="b">
        <v>1</v>
      </c>
      <c r="R213" s="16">
        <f>COUNTIFS(stable[q_group],stable[[#This Row],[q_group]])</f>
        <v>1</v>
      </c>
      <c r="S213" s="9" t="b">
        <v>0</v>
      </c>
      <c r="T213" s="9" t="b">
        <v>0</v>
      </c>
      <c r="U213" s="9" t="b">
        <v>1</v>
      </c>
      <c r="V213" s="9" t="b">
        <v>0</v>
      </c>
    </row>
    <row r="214" spans="1:22" x14ac:dyDescent="0.25">
      <c r="A214" s="15" t="str">
        <f>_xlfn.CONCAT(stable[[#This Row],[group_0_no]:[order_no]])</f>
        <v>8203</v>
      </c>
      <c r="B214" s="15" t="s">
        <v>639</v>
      </c>
      <c r="C214" s="15" t="s">
        <v>1143</v>
      </c>
      <c r="D214" s="15" t="s">
        <v>1097</v>
      </c>
      <c r="E214" s="15" t="s">
        <v>1094</v>
      </c>
      <c r="F214" s="15" t="s">
        <v>1099</v>
      </c>
      <c r="G214" s="9" t="s">
        <v>1339</v>
      </c>
      <c r="H214" s="9" t="b">
        <v>0</v>
      </c>
      <c r="I214" s="9" t="b">
        <v>0</v>
      </c>
      <c r="J214" s="9" t="b">
        <v>1</v>
      </c>
      <c r="K214" s="9" t="b">
        <v>0</v>
      </c>
      <c r="L214" s="9" t="b">
        <v>0</v>
      </c>
      <c r="M214" s="9" t="b">
        <v>0</v>
      </c>
      <c r="N214" s="9" t="b">
        <v>1</v>
      </c>
      <c r="O214" s="9" t="b">
        <v>0</v>
      </c>
      <c r="P214" s="9" t="b">
        <v>0</v>
      </c>
      <c r="Q214" s="9" t="b">
        <v>1</v>
      </c>
      <c r="R214" s="16">
        <f>COUNTIFS(stable[q_group],stable[[#This Row],[q_group]])</f>
        <v>1</v>
      </c>
      <c r="S214" s="9" t="b">
        <v>0</v>
      </c>
      <c r="T214" s="9" t="b">
        <v>0</v>
      </c>
      <c r="U214" s="9" t="b">
        <v>1</v>
      </c>
      <c r="V214" s="9" t="b">
        <v>0</v>
      </c>
    </row>
    <row r="215" spans="1:22" x14ac:dyDescent="0.25">
      <c r="A215" s="15" t="str">
        <f>_xlfn.CONCAT(stable[[#This Row],[group_0_no]:[order_no]])</f>
        <v>8204</v>
      </c>
      <c r="B215" s="15" t="s">
        <v>641</v>
      </c>
      <c r="C215" s="15" t="s">
        <v>1143</v>
      </c>
      <c r="D215" s="15" t="s">
        <v>1097</v>
      </c>
      <c r="E215" s="15" t="s">
        <v>1094</v>
      </c>
      <c r="F215" s="15" t="s">
        <v>1101</v>
      </c>
      <c r="G215" s="9" t="s">
        <v>1340</v>
      </c>
      <c r="H215" s="9" t="b">
        <v>0</v>
      </c>
      <c r="I215" s="9" t="b">
        <v>0</v>
      </c>
      <c r="J215" s="9" t="b">
        <v>1</v>
      </c>
      <c r="K215" s="9" t="b">
        <v>0</v>
      </c>
      <c r="L215" s="9" t="b">
        <v>0</v>
      </c>
      <c r="M215" s="9" t="b">
        <v>1</v>
      </c>
      <c r="N215" s="9" t="b">
        <v>0</v>
      </c>
      <c r="O215" s="9" t="b">
        <v>0</v>
      </c>
      <c r="P215" s="9" t="b">
        <v>0</v>
      </c>
      <c r="Q215" s="9" t="b">
        <v>1</v>
      </c>
      <c r="R215" s="16">
        <f>COUNTIFS(stable[q_group],stable[[#This Row],[q_group]])</f>
        <v>1</v>
      </c>
      <c r="S215" s="9" t="b">
        <v>0</v>
      </c>
      <c r="T215" s="9" t="b">
        <v>0</v>
      </c>
      <c r="U215" s="9" t="b">
        <v>1</v>
      </c>
      <c r="V215" s="9" t="b">
        <v>0</v>
      </c>
    </row>
    <row r="216" spans="1:22" x14ac:dyDescent="0.25">
      <c r="A216" s="15" t="str">
        <f>_xlfn.CONCAT(stable[[#This Row],[group_0_no]:[order_no]])</f>
        <v>8300</v>
      </c>
      <c r="B216" s="15" t="s">
        <v>643</v>
      </c>
      <c r="C216" s="15" t="s">
        <v>1143</v>
      </c>
      <c r="D216" s="15" t="s">
        <v>1099</v>
      </c>
      <c r="E216" s="15" t="s">
        <v>1094</v>
      </c>
      <c r="F216" s="15" t="s">
        <v>1094</v>
      </c>
      <c r="G216" s="9" t="s">
        <v>1341</v>
      </c>
      <c r="H216" s="9" t="b">
        <v>0</v>
      </c>
      <c r="I216" s="9" t="b">
        <v>0</v>
      </c>
      <c r="J216" s="9" t="b">
        <v>1</v>
      </c>
      <c r="K216" s="9" t="b">
        <v>1</v>
      </c>
      <c r="L216" s="9" t="b">
        <v>0</v>
      </c>
      <c r="M216" s="9" t="b">
        <v>0</v>
      </c>
      <c r="N216" s="9" t="b">
        <v>0</v>
      </c>
      <c r="O216" s="9" t="b">
        <v>1</v>
      </c>
      <c r="P216" s="9" t="b">
        <v>0</v>
      </c>
      <c r="Q216" s="9" t="b">
        <v>1</v>
      </c>
      <c r="R216" s="16">
        <f>COUNTIFS(stable[q_group],stable[[#This Row],[q_group]])</f>
        <v>1</v>
      </c>
      <c r="S216" s="9" t="b">
        <v>0</v>
      </c>
      <c r="T216" s="9" t="b">
        <v>0</v>
      </c>
      <c r="U216" s="9" t="b">
        <v>1</v>
      </c>
      <c r="V216" s="9" t="b">
        <v>0</v>
      </c>
    </row>
    <row r="217" spans="1:22" x14ac:dyDescent="0.25">
      <c r="A217" s="15" t="str">
        <f>_xlfn.CONCAT(stable[[#This Row],[group_0_no]:[order_no]])</f>
        <v>8301</v>
      </c>
      <c r="B217" s="15" t="s">
        <v>645</v>
      </c>
      <c r="C217" s="15" t="s">
        <v>1143</v>
      </c>
      <c r="D217" s="15" t="s">
        <v>1099</v>
      </c>
      <c r="E217" s="15" t="s">
        <v>1094</v>
      </c>
      <c r="F217" s="15" t="s">
        <v>1093</v>
      </c>
      <c r="G217" s="9" t="s">
        <v>1342</v>
      </c>
      <c r="H217" s="9" t="b">
        <v>0</v>
      </c>
      <c r="I217" s="9" t="b">
        <v>0</v>
      </c>
      <c r="J217" s="9" t="b">
        <v>1</v>
      </c>
      <c r="K217" s="9" t="b">
        <v>1</v>
      </c>
      <c r="L217" s="9" t="b">
        <v>0</v>
      </c>
      <c r="M217" s="9" t="b">
        <v>0</v>
      </c>
      <c r="N217" s="9" t="b">
        <v>0</v>
      </c>
      <c r="O217" s="9" t="b">
        <v>0</v>
      </c>
      <c r="P217" s="9" t="b">
        <v>1</v>
      </c>
      <c r="Q217" s="9" t="b">
        <v>1</v>
      </c>
      <c r="R217" s="16">
        <f>COUNTIFS(stable[q_group],stable[[#This Row],[q_group]])</f>
        <v>1</v>
      </c>
      <c r="S217" s="9" t="b">
        <v>0</v>
      </c>
      <c r="T217" s="9" t="b">
        <v>0</v>
      </c>
      <c r="U217" s="9" t="b">
        <v>1</v>
      </c>
      <c r="V217" s="9" t="b">
        <v>0</v>
      </c>
    </row>
    <row r="218" spans="1:22" x14ac:dyDescent="0.25">
      <c r="A218" s="15" t="str">
        <f>_xlfn.CONCAT(stable[[#This Row],[group_0_no]:[order_no]])</f>
        <v>8302</v>
      </c>
      <c r="B218" s="15" t="s">
        <v>651</v>
      </c>
      <c r="C218" s="15" t="s">
        <v>1143</v>
      </c>
      <c r="D218" s="15" t="s">
        <v>1099</v>
      </c>
      <c r="E218" s="15" t="s">
        <v>1094</v>
      </c>
      <c r="F218" s="15" t="s">
        <v>1097</v>
      </c>
      <c r="G218" s="9" t="s">
        <v>1343</v>
      </c>
      <c r="H218" s="9" t="b">
        <v>0</v>
      </c>
      <c r="I218" s="9" t="b">
        <v>0</v>
      </c>
      <c r="J218" s="9" t="b">
        <v>1</v>
      </c>
      <c r="K218" s="9" t="b">
        <v>1</v>
      </c>
      <c r="L218" s="9" t="b">
        <v>0</v>
      </c>
      <c r="M218" s="9" t="b">
        <v>0</v>
      </c>
      <c r="N218" s="9" t="b">
        <v>1</v>
      </c>
      <c r="O218" s="9" t="b">
        <v>0</v>
      </c>
      <c r="P218" s="9" t="b">
        <v>0</v>
      </c>
      <c r="Q218" s="9" t="b">
        <v>1</v>
      </c>
      <c r="R218" s="16">
        <f>COUNTIFS(stable[q_group],stable[[#This Row],[q_group]])</f>
        <v>1</v>
      </c>
      <c r="S218" s="9" t="b">
        <v>0</v>
      </c>
      <c r="T218" s="9" t="b">
        <v>0</v>
      </c>
      <c r="U218" s="9" t="b">
        <v>1</v>
      </c>
      <c r="V218" s="9" t="b">
        <v>0</v>
      </c>
    </row>
    <row r="219" spans="1:22" x14ac:dyDescent="0.25">
      <c r="A219" s="15" t="str">
        <f>_xlfn.CONCAT(stable[[#This Row],[group_0_no]:[order_no]])</f>
        <v>8303</v>
      </c>
      <c r="B219" s="15" t="s">
        <v>653</v>
      </c>
      <c r="C219" s="15" t="s">
        <v>1143</v>
      </c>
      <c r="D219" s="15" t="s">
        <v>1099</v>
      </c>
      <c r="E219" s="15" t="s">
        <v>1094</v>
      </c>
      <c r="F219" s="15" t="s">
        <v>1099</v>
      </c>
      <c r="G219" s="9" t="s">
        <v>1344</v>
      </c>
      <c r="H219" s="9" t="b">
        <v>0</v>
      </c>
      <c r="I219" s="9" t="b">
        <v>0</v>
      </c>
      <c r="J219" s="9" t="b">
        <v>1</v>
      </c>
      <c r="K219" s="9" t="b">
        <v>1</v>
      </c>
      <c r="L219" s="9" t="b">
        <v>0</v>
      </c>
      <c r="M219" s="9" t="b">
        <v>0</v>
      </c>
      <c r="N219" s="9" t="b">
        <v>1</v>
      </c>
      <c r="O219" s="9" t="b">
        <v>0</v>
      </c>
      <c r="P219" s="9" t="b">
        <v>0</v>
      </c>
      <c r="Q219" s="9" t="b">
        <v>1</v>
      </c>
      <c r="R219" s="16">
        <f>COUNTIFS(stable[q_group],stable[[#This Row],[q_group]])</f>
        <v>1</v>
      </c>
      <c r="S219" s="9" t="b">
        <v>0</v>
      </c>
      <c r="T219" s="9" t="b">
        <v>0</v>
      </c>
      <c r="U219" s="9" t="b">
        <v>1</v>
      </c>
      <c r="V219" s="9" t="b">
        <v>0</v>
      </c>
    </row>
    <row r="220" spans="1:22" x14ac:dyDescent="0.25">
      <c r="A220" s="15" t="str">
        <f>_xlfn.CONCAT(stable[[#This Row],[group_0_no]:[order_no]])</f>
        <v>8400</v>
      </c>
      <c r="B220" s="15" t="s">
        <v>655</v>
      </c>
      <c r="C220" s="15" t="s">
        <v>1143</v>
      </c>
      <c r="D220" s="15" t="s">
        <v>1101</v>
      </c>
      <c r="E220" s="15" t="s">
        <v>1094</v>
      </c>
      <c r="F220" s="15" t="s">
        <v>1094</v>
      </c>
      <c r="G220" s="9" t="s">
        <v>1345</v>
      </c>
      <c r="H220" s="9" t="b">
        <v>0</v>
      </c>
      <c r="I220" s="9" t="b">
        <v>0</v>
      </c>
      <c r="J220" s="9" t="b">
        <v>1</v>
      </c>
      <c r="K220" s="9" t="b">
        <v>1</v>
      </c>
      <c r="L220" s="9" t="b">
        <v>0</v>
      </c>
      <c r="M220" s="9" t="b">
        <v>0</v>
      </c>
      <c r="N220" s="9" t="b">
        <v>0</v>
      </c>
      <c r="O220" s="9" t="b">
        <v>1</v>
      </c>
      <c r="P220" s="9" t="b">
        <v>0</v>
      </c>
      <c r="Q220" s="9" t="b">
        <v>1</v>
      </c>
      <c r="R220" s="16">
        <f>COUNTIFS(stable[q_group],stable[[#This Row],[q_group]])</f>
        <v>1</v>
      </c>
      <c r="S220" s="9" t="b">
        <v>0</v>
      </c>
      <c r="T220" s="9" t="b">
        <v>0</v>
      </c>
      <c r="U220" s="9" t="b">
        <v>1</v>
      </c>
      <c r="V220" s="9" t="b">
        <v>0</v>
      </c>
    </row>
    <row r="221" spans="1:22" x14ac:dyDescent="0.25">
      <c r="A221" s="15" t="str">
        <f>_xlfn.CONCAT(stable[[#This Row],[group_0_no]:[order_no]])</f>
        <v>8401</v>
      </c>
      <c r="B221" s="15" t="s">
        <v>657</v>
      </c>
      <c r="C221" s="15" t="s">
        <v>1143</v>
      </c>
      <c r="D221" s="15" t="s">
        <v>1101</v>
      </c>
      <c r="E221" s="15" t="s">
        <v>1094</v>
      </c>
      <c r="F221" s="15" t="s">
        <v>1093</v>
      </c>
      <c r="G221" s="9" t="s">
        <v>1346</v>
      </c>
      <c r="H221" s="9" t="b">
        <v>0</v>
      </c>
      <c r="I221" s="9" t="b">
        <v>0</v>
      </c>
      <c r="J221" s="9" t="b">
        <v>1</v>
      </c>
      <c r="K221" s="9" t="b">
        <v>1</v>
      </c>
      <c r="L221" s="9" t="b">
        <v>0</v>
      </c>
      <c r="M221" s="9" t="b">
        <v>0</v>
      </c>
      <c r="N221" s="9" t="b">
        <v>0</v>
      </c>
      <c r="O221" s="9" t="b">
        <v>0</v>
      </c>
      <c r="P221" s="9" t="b">
        <v>1</v>
      </c>
      <c r="Q221" s="9" t="b">
        <v>1</v>
      </c>
      <c r="R221" s="16">
        <f>COUNTIFS(stable[q_group],stable[[#This Row],[q_group]])</f>
        <v>1</v>
      </c>
      <c r="S221" s="9" t="b">
        <v>0</v>
      </c>
      <c r="T221" s="9" t="b">
        <v>0</v>
      </c>
      <c r="U221" s="9" t="b">
        <v>1</v>
      </c>
      <c r="V221" s="9" t="b">
        <v>0</v>
      </c>
    </row>
    <row r="222" spans="1:22" x14ac:dyDescent="0.25">
      <c r="A222" s="15" t="str">
        <f>_xlfn.CONCAT(stable[[#This Row],[group_0_no]:[order_no]])</f>
        <v>8402</v>
      </c>
      <c r="B222" s="15" t="s">
        <v>651</v>
      </c>
      <c r="C222" s="15" t="s">
        <v>1143</v>
      </c>
      <c r="D222" s="15" t="s">
        <v>1101</v>
      </c>
      <c r="E222" s="15" t="s">
        <v>1094</v>
      </c>
      <c r="F222" s="15" t="s">
        <v>1097</v>
      </c>
      <c r="G222" s="9" t="s">
        <v>1347</v>
      </c>
      <c r="H222" s="9" t="b">
        <v>0</v>
      </c>
      <c r="I222" s="9" t="b">
        <v>0</v>
      </c>
      <c r="J222" s="9" t="b">
        <v>1</v>
      </c>
      <c r="K222" s="9" t="b">
        <v>1</v>
      </c>
      <c r="L222" s="9" t="b">
        <v>0</v>
      </c>
      <c r="M222" s="9" t="b">
        <v>0</v>
      </c>
      <c r="N222" s="9" t="b">
        <v>1</v>
      </c>
      <c r="O222" s="9" t="b">
        <v>0</v>
      </c>
      <c r="P222" s="9" t="b">
        <v>0</v>
      </c>
      <c r="Q222" s="9" t="b">
        <v>1</v>
      </c>
      <c r="R222" s="16">
        <f>COUNTIFS(stable[q_group],stable[[#This Row],[q_group]])</f>
        <v>1</v>
      </c>
      <c r="S222" s="9" t="b">
        <v>0</v>
      </c>
      <c r="T222" s="9" t="b">
        <v>0</v>
      </c>
      <c r="U222" s="9" t="b">
        <v>1</v>
      </c>
      <c r="V222" s="9" t="b">
        <v>0</v>
      </c>
    </row>
    <row r="223" spans="1:22" x14ac:dyDescent="0.25">
      <c r="A223" s="15" t="str">
        <f>_xlfn.CONCAT(stable[[#This Row],[group_0_no]:[order_no]])</f>
        <v>8403</v>
      </c>
      <c r="B223" s="15" t="s">
        <v>653</v>
      </c>
      <c r="C223" s="15" t="s">
        <v>1143</v>
      </c>
      <c r="D223" s="15" t="s">
        <v>1101</v>
      </c>
      <c r="E223" s="15" t="s">
        <v>1094</v>
      </c>
      <c r="F223" s="15" t="s">
        <v>1099</v>
      </c>
      <c r="G223" s="9" t="s">
        <v>1348</v>
      </c>
      <c r="H223" s="9" t="b">
        <v>0</v>
      </c>
      <c r="I223" s="9" t="b">
        <v>0</v>
      </c>
      <c r="J223" s="9" t="b">
        <v>1</v>
      </c>
      <c r="K223" s="9" t="b">
        <v>1</v>
      </c>
      <c r="L223" s="9" t="b">
        <v>0</v>
      </c>
      <c r="M223" s="9" t="b">
        <v>0</v>
      </c>
      <c r="N223" s="9" t="b">
        <v>1</v>
      </c>
      <c r="O223" s="9" t="b">
        <v>0</v>
      </c>
      <c r="P223" s="9" t="b">
        <v>0</v>
      </c>
      <c r="Q223" s="9" t="b">
        <v>1</v>
      </c>
      <c r="R223" s="16">
        <f>COUNTIFS(stable[q_group],stable[[#This Row],[q_group]])</f>
        <v>1</v>
      </c>
      <c r="S223" s="9" t="b">
        <v>0</v>
      </c>
      <c r="T223" s="9" t="b">
        <v>0</v>
      </c>
      <c r="U223" s="9" t="b">
        <v>1</v>
      </c>
      <c r="V223" s="9" t="b">
        <v>0</v>
      </c>
    </row>
    <row r="224" spans="1:22" x14ac:dyDescent="0.25">
      <c r="A224" s="15" t="str">
        <f>_xlfn.CONCAT(stable[[#This Row],[group_0_no]:[order_no]])</f>
        <v>8500</v>
      </c>
      <c r="B224" s="15" t="s">
        <v>945</v>
      </c>
      <c r="C224" s="15" t="s">
        <v>1143</v>
      </c>
      <c r="D224" s="15" t="s">
        <v>1103</v>
      </c>
      <c r="E224" s="15" t="s">
        <v>1094</v>
      </c>
      <c r="F224" s="15" t="s">
        <v>1094</v>
      </c>
      <c r="G224" s="9" t="s">
        <v>1349</v>
      </c>
      <c r="H224" s="9" t="b">
        <v>0</v>
      </c>
      <c r="I224" s="9" t="b">
        <v>0</v>
      </c>
      <c r="J224" s="9" t="b">
        <v>1</v>
      </c>
      <c r="K224" s="9" t="b">
        <v>1</v>
      </c>
      <c r="L224" s="9" t="b">
        <v>0</v>
      </c>
      <c r="M224" s="9" t="b">
        <v>0</v>
      </c>
      <c r="N224" s="9" t="b">
        <v>0</v>
      </c>
      <c r="O224" s="9" t="b">
        <v>1</v>
      </c>
      <c r="P224" s="9" t="b">
        <v>0</v>
      </c>
      <c r="Q224" s="9" t="b">
        <v>1</v>
      </c>
      <c r="R224" s="16">
        <f>COUNTIFS(stable[q_group],stable[[#This Row],[q_group]])</f>
        <v>1</v>
      </c>
      <c r="S224" s="9" t="b">
        <v>0</v>
      </c>
      <c r="T224" s="9" t="b">
        <v>0</v>
      </c>
      <c r="U224" s="9" t="b">
        <v>1</v>
      </c>
      <c r="V224" s="9" t="b">
        <v>0</v>
      </c>
    </row>
    <row r="225" spans="1:22" x14ac:dyDescent="0.25">
      <c r="A225" s="15" t="str">
        <f>_xlfn.CONCAT(stable[[#This Row],[group_0_no]:[order_no]])</f>
        <v>8501</v>
      </c>
      <c r="B225" s="15" t="s">
        <v>946</v>
      </c>
      <c r="C225" s="15" t="s">
        <v>1143</v>
      </c>
      <c r="D225" s="15" t="s">
        <v>1103</v>
      </c>
      <c r="E225" s="15" t="s">
        <v>1094</v>
      </c>
      <c r="F225" s="15" t="s">
        <v>1093</v>
      </c>
      <c r="G225" s="9" t="s">
        <v>1350</v>
      </c>
      <c r="H225" s="9" t="b">
        <v>0</v>
      </c>
      <c r="I225" s="9" t="b">
        <v>0</v>
      </c>
      <c r="J225" s="9" t="b">
        <v>1</v>
      </c>
      <c r="K225" s="9" t="b">
        <v>1</v>
      </c>
      <c r="L225" s="9" t="b">
        <v>0</v>
      </c>
      <c r="M225" s="9" t="b">
        <v>0</v>
      </c>
      <c r="N225" s="9" t="b">
        <v>0</v>
      </c>
      <c r="O225" s="9" t="b">
        <v>0</v>
      </c>
      <c r="P225" s="9" t="b">
        <v>1</v>
      </c>
      <c r="Q225" s="9" t="b">
        <v>1</v>
      </c>
      <c r="R225" s="16">
        <f>COUNTIFS(stable[q_group],stable[[#This Row],[q_group]])</f>
        <v>1</v>
      </c>
      <c r="S225" s="9" t="b">
        <v>0</v>
      </c>
      <c r="T225" s="9" t="b">
        <v>0</v>
      </c>
      <c r="U225" s="9" t="b">
        <v>1</v>
      </c>
      <c r="V225" s="9" t="b">
        <v>0</v>
      </c>
    </row>
    <row r="226" spans="1:22" x14ac:dyDescent="0.25">
      <c r="A226" s="15" t="str">
        <f>_xlfn.CONCAT(stable[[#This Row],[group_0_no]:[order_no]])</f>
        <v>8502</v>
      </c>
      <c r="B226" s="15" t="s">
        <v>1056</v>
      </c>
      <c r="C226" s="15" t="s">
        <v>1143</v>
      </c>
      <c r="D226" s="15" t="s">
        <v>1103</v>
      </c>
      <c r="E226" s="15" t="s">
        <v>1094</v>
      </c>
      <c r="F226" s="15" t="s">
        <v>1097</v>
      </c>
      <c r="G226" s="9" t="s">
        <v>1351</v>
      </c>
      <c r="H226" s="9" t="b">
        <v>0</v>
      </c>
      <c r="I226" s="9" t="b">
        <v>0</v>
      </c>
      <c r="J226" s="9" t="b">
        <v>1</v>
      </c>
      <c r="K226" s="9" t="b">
        <v>1</v>
      </c>
      <c r="L226" s="9" t="b">
        <v>0</v>
      </c>
      <c r="M226" s="9" t="b">
        <v>0</v>
      </c>
      <c r="N226" s="9" t="b">
        <v>1</v>
      </c>
      <c r="O226" s="9" t="b">
        <v>0</v>
      </c>
      <c r="P226" s="9" t="b">
        <v>0</v>
      </c>
      <c r="Q226" s="9" t="b">
        <v>1</v>
      </c>
      <c r="R226" s="16">
        <f>COUNTIFS(stable[q_group],stable[[#This Row],[q_group]])</f>
        <v>1</v>
      </c>
      <c r="S226" s="9" t="b">
        <v>0</v>
      </c>
      <c r="T226" s="9" t="b">
        <v>0</v>
      </c>
      <c r="U226" s="9" t="b">
        <v>1</v>
      </c>
      <c r="V226" s="9" t="b">
        <v>0</v>
      </c>
    </row>
    <row r="227" spans="1:22" ht="31.5" x14ac:dyDescent="0.25">
      <c r="A227" s="15" t="str">
        <f>_xlfn.CONCAT(stable[[#This Row],[group_0_no]:[order_no]])</f>
        <v>8503</v>
      </c>
      <c r="B227" s="25" t="s">
        <v>947</v>
      </c>
      <c r="C227" s="15" t="s">
        <v>1143</v>
      </c>
      <c r="D227" s="15" t="s">
        <v>1103</v>
      </c>
      <c r="E227" s="15" t="s">
        <v>1094</v>
      </c>
      <c r="F227" s="15" t="s">
        <v>1099</v>
      </c>
      <c r="G227" s="9" t="s">
        <v>1352</v>
      </c>
      <c r="H227" s="9" t="b">
        <v>0</v>
      </c>
      <c r="I227" s="9" t="b">
        <v>0</v>
      </c>
      <c r="J227" s="9" t="b">
        <v>1</v>
      </c>
      <c r="K227" s="9" t="b">
        <v>1</v>
      </c>
      <c r="L227" s="9" t="b">
        <v>0</v>
      </c>
      <c r="M227" s="9" t="b">
        <v>0</v>
      </c>
      <c r="N227" s="9" t="b">
        <v>0</v>
      </c>
      <c r="O227" s="9" t="b">
        <v>1</v>
      </c>
      <c r="P227" s="9" t="b">
        <v>0</v>
      </c>
      <c r="Q227" s="9" t="b">
        <v>1</v>
      </c>
      <c r="R227" s="16">
        <f>COUNTIFS(stable[q_group],stable[[#This Row],[q_group]])</f>
        <v>1</v>
      </c>
      <c r="S227" s="9" t="b">
        <v>0</v>
      </c>
      <c r="T227" s="9" t="b">
        <v>0</v>
      </c>
      <c r="U227" s="9" t="b">
        <v>1</v>
      </c>
      <c r="V227" s="9" t="b">
        <v>0</v>
      </c>
    </row>
    <row r="228" spans="1:22" x14ac:dyDescent="0.25">
      <c r="A228" s="15" t="str">
        <f>_xlfn.CONCAT(stable[[#This Row],[group_0_no]:[order_no]])</f>
        <v>9000</v>
      </c>
      <c r="B228" s="15" t="s">
        <v>509</v>
      </c>
      <c r="C228" s="15" t="s">
        <v>1142</v>
      </c>
      <c r="D228" s="15" t="s">
        <v>1094</v>
      </c>
      <c r="E228" s="15" t="s">
        <v>1094</v>
      </c>
      <c r="F228" s="15" t="s">
        <v>1094</v>
      </c>
      <c r="G228" s="9" t="s">
        <v>1353</v>
      </c>
      <c r="H228" s="9" t="b">
        <v>1</v>
      </c>
      <c r="I228" s="9" t="b">
        <v>0</v>
      </c>
      <c r="J228" s="9" t="b">
        <v>0</v>
      </c>
      <c r="K228" s="9" t="b">
        <v>1</v>
      </c>
      <c r="L228" s="9" t="b">
        <v>0</v>
      </c>
      <c r="M228" s="9" t="b">
        <v>0</v>
      </c>
      <c r="N228" s="9" t="b">
        <v>0</v>
      </c>
      <c r="O228" s="9" t="b">
        <v>1</v>
      </c>
      <c r="P228" s="9" t="b">
        <v>0</v>
      </c>
      <c r="Q228" s="9" t="b">
        <v>0</v>
      </c>
      <c r="R228" s="16">
        <f>COUNTIFS(stable[q_group],stable[[#This Row],[q_group]])</f>
        <v>1</v>
      </c>
      <c r="S228" s="9" t="b">
        <v>0</v>
      </c>
      <c r="T228" s="9" t="b">
        <v>0</v>
      </c>
      <c r="U228" s="9" t="b">
        <v>0</v>
      </c>
      <c r="V228" s="9" t="b">
        <v>1</v>
      </c>
    </row>
  </sheetData>
  <phoneticPr fontId="4" type="noConversion"/>
  <dataValidations count="1">
    <dataValidation type="list" allowBlank="1" showInputMessage="1" showErrorMessage="1" sqref="B164" xr:uid="{A2EF33D4-0CDB-4A16-91F8-5CEAFD83D69B}">
      <formula1>$A$14:$A390</formula1>
    </dataValidation>
  </dataValidations>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B7F90-E7C9-49A3-9C6F-6E70FBAC0E82}">
  <dimension ref="A1:XEC228"/>
  <sheetViews>
    <sheetView showGridLines="0" tabSelected="1" topLeftCell="A57" zoomScaleNormal="100" workbookViewId="0">
      <selection activeCell="B63" sqref="B63"/>
    </sheetView>
  </sheetViews>
  <sheetFormatPr defaultColWidth="10.625" defaultRowHeight="15.75" outlineLevelCol="1" x14ac:dyDescent="0.25"/>
  <cols>
    <col min="1" max="1" width="12" style="9" customWidth="1"/>
    <col min="2" max="2" width="98.125" style="9" customWidth="1"/>
    <col min="3" max="3" width="15.875" style="9" hidden="1" customWidth="1" outlineLevel="1"/>
    <col min="4" max="4" width="6" style="9" hidden="1" customWidth="1" outlineLevel="1"/>
    <col min="5" max="5" width="9.875" style="9" hidden="1" customWidth="1" outlineLevel="1"/>
    <col min="6" max="6" width="11" style="9" hidden="1" customWidth="1" outlineLevel="1"/>
    <col min="7" max="7" width="49.125" style="9" bestFit="1" customWidth="1" collapsed="1"/>
    <col min="8" max="8" width="17.875" style="9" bestFit="1" customWidth="1"/>
    <col min="9" max="9" width="10" style="9" hidden="1" customWidth="1" outlineLevel="1"/>
    <col min="10" max="10" width="13" style="9" hidden="1" customWidth="1" outlineLevel="1"/>
    <col min="11" max="11" width="27.5" style="9" hidden="1" customWidth="1" outlineLevel="1"/>
    <col min="12" max="12" width="15.125" style="9" hidden="1" customWidth="1" outlineLevel="1"/>
    <col min="13" max="13" width="15.25" style="9" hidden="1" customWidth="1" outlineLevel="1"/>
    <col min="14" max="14" width="13.875" style="9" hidden="1" customWidth="1" outlineLevel="1"/>
    <col min="15" max="15" width="14.25" style="9" hidden="1" customWidth="1" outlineLevel="1"/>
    <col min="16" max="16" width="16.5" style="9" hidden="1" customWidth="1" outlineLevel="1"/>
    <col min="17" max="17" width="16.25" style="9" hidden="1" customWidth="1" outlineLevel="1"/>
    <col min="18" max="18" width="13.75" style="9" hidden="1" customWidth="1" outlineLevel="1"/>
    <col min="19" max="19" width="13.625" style="9" bestFit="1" customWidth="1" collapsed="1"/>
    <col min="20" max="20" width="13.125" style="9" hidden="1" customWidth="1" outlineLevel="1"/>
    <col min="21" max="21" width="17.375" style="9" hidden="1" customWidth="1" outlineLevel="1"/>
    <col min="22" max="22" width="11.375" style="9" hidden="1" customWidth="1" outlineLevel="1"/>
    <col min="23" max="23" width="13.375" style="9" hidden="1" customWidth="1" outlineLevel="1"/>
    <col min="24" max="24" width="38.875" style="9" customWidth="1" collapsed="1"/>
    <col min="25" max="33" width="11.875" style="9" customWidth="1" outlineLevel="1"/>
    <col min="34" max="38" width="12.875" style="9" customWidth="1" outlineLevel="1"/>
    <col min="39" max="39" width="11.75" style="16" customWidth="1"/>
    <col min="40" max="40" width="10.5" style="16" hidden="1" customWidth="1"/>
    <col min="41" max="42" width="12.125" style="16" hidden="1" customWidth="1"/>
    <col min="43" max="43" width="13.625" style="16" hidden="1" customWidth="1"/>
    <col min="44" max="44" width="12.25" style="16" hidden="1" customWidth="1"/>
    <col min="45" max="45" width="11.625" style="16" customWidth="1"/>
    <col min="46" max="46" width="12.875" style="16" bestFit="1" customWidth="1"/>
    <col min="47" max="16384" width="10.625" style="9"/>
  </cols>
  <sheetData>
    <row r="1" spans="1:50" s="8" customFormat="1" ht="18.75" x14ac:dyDescent="0.25">
      <c r="A1" s="31" t="s">
        <v>1076</v>
      </c>
      <c r="B1" s="7"/>
      <c r="C1" s="7"/>
      <c r="D1" s="7"/>
      <c r="E1" s="7"/>
      <c r="F1" s="7"/>
      <c r="G1" s="7"/>
      <c r="H1" s="7"/>
      <c r="I1" s="7"/>
      <c r="J1" s="7"/>
      <c r="K1" s="7"/>
      <c r="L1" s="7"/>
      <c r="M1" s="7"/>
      <c r="N1" s="7"/>
      <c r="O1" s="7"/>
      <c r="P1" s="7"/>
      <c r="Q1" s="7"/>
      <c r="R1" s="7"/>
      <c r="S1" s="7"/>
      <c r="AM1" s="145"/>
      <c r="AN1" s="145"/>
      <c r="AO1" s="145"/>
      <c r="AP1" s="145"/>
      <c r="AQ1" s="145"/>
      <c r="AR1" s="145"/>
      <c r="AS1" s="145"/>
      <c r="AT1" s="145"/>
    </row>
    <row r="2" spans="1:50" s="8" customFormat="1" ht="18.75" x14ac:dyDescent="0.25">
      <c r="A2" s="251"/>
      <c r="AM2" s="145"/>
      <c r="AN2" s="145"/>
      <c r="AO2" s="145"/>
      <c r="AP2" s="145"/>
      <c r="AQ2" s="145"/>
      <c r="AR2" s="145"/>
      <c r="AS2" s="145"/>
      <c r="AT2" s="145"/>
    </row>
    <row r="4" spans="1:50" x14ac:dyDescent="0.25">
      <c r="A4" s="10" t="s">
        <v>1077</v>
      </c>
      <c r="B4" s="10"/>
      <c r="D4" s="10"/>
      <c r="E4" s="10"/>
      <c r="F4" s="10"/>
    </row>
    <row r="5" spans="1:50" x14ac:dyDescent="0.25">
      <c r="A5" s="10"/>
      <c r="B5" s="10"/>
      <c r="D5" s="10"/>
      <c r="E5" s="10"/>
      <c r="F5" s="10"/>
    </row>
    <row r="6" spans="1:50" x14ac:dyDescent="0.25">
      <c r="A6" s="11"/>
      <c r="B6" s="11"/>
      <c r="C6" s="10"/>
      <c r="D6" s="10"/>
      <c r="E6" s="10"/>
      <c r="F6" s="10"/>
    </row>
    <row r="7" spans="1:50" x14ac:dyDescent="0.25">
      <c r="B7" s="11" t="s">
        <v>1078</v>
      </c>
      <c r="C7" s="12" t="s">
        <v>1079</v>
      </c>
      <c r="D7" s="12" t="s">
        <v>1080</v>
      </c>
      <c r="E7" s="12" t="s">
        <v>1081</v>
      </c>
      <c r="F7" s="12" t="s">
        <v>1082</v>
      </c>
    </row>
    <row r="8" spans="1:50" x14ac:dyDescent="0.25">
      <c r="B8" s="11"/>
      <c r="C8" s="12"/>
      <c r="D8" s="12"/>
      <c r="E8" s="12"/>
      <c r="F8" s="12"/>
    </row>
    <row r="9" spans="1:50" x14ac:dyDescent="0.25">
      <c r="B9" s="11"/>
      <c r="C9" s="9" t="s">
        <v>1083</v>
      </c>
      <c r="D9" s="9" t="s">
        <v>1084</v>
      </c>
      <c r="F9" s="9" t="s">
        <v>1085</v>
      </c>
    </row>
    <row r="10" spans="1:50" x14ac:dyDescent="0.25">
      <c r="T10" s="27" t="s">
        <v>1086</v>
      </c>
      <c r="U10" s="27"/>
      <c r="V10" s="27"/>
      <c r="W10" s="27"/>
    </row>
    <row r="11" spans="1:50" x14ac:dyDescent="0.25">
      <c r="A11" s="13" t="s">
        <v>17</v>
      </c>
      <c r="B11" s="14" t="s">
        <v>18</v>
      </c>
      <c r="C11" s="14" t="s">
        <v>18</v>
      </c>
      <c r="D11" s="14" t="s">
        <v>18</v>
      </c>
      <c r="E11" s="14" t="s">
        <v>18</v>
      </c>
      <c r="F11" s="14" t="s">
        <v>18</v>
      </c>
      <c r="G11" s="14" t="s">
        <v>18</v>
      </c>
      <c r="H11" s="14"/>
      <c r="I11" s="14" t="s">
        <v>18</v>
      </c>
      <c r="J11" s="14" t="s">
        <v>18</v>
      </c>
      <c r="K11" s="14" t="s">
        <v>18</v>
      </c>
      <c r="L11" s="14" t="s">
        <v>18</v>
      </c>
      <c r="M11" s="14" t="s">
        <v>18</v>
      </c>
      <c r="N11" s="14" t="s">
        <v>18</v>
      </c>
      <c r="O11" s="14" t="s">
        <v>18</v>
      </c>
      <c r="P11" s="14" t="s">
        <v>18</v>
      </c>
      <c r="Q11" s="14" t="s">
        <v>18</v>
      </c>
      <c r="R11" s="14" t="s">
        <v>18</v>
      </c>
      <c r="S11" s="13" t="s">
        <v>17</v>
      </c>
      <c r="T11" s="14" t="s">
        <v>18</v>
      </c>
      <c r="U11" s="14" t="s">
        <v>18</v>
      </c>
      <c r="V11" s="14" t="s">
        <v>18</v>
      </c>
      <c r="W11" s="14" t="s">
        <v>18</v>
      </c>
      <c r="X11" s="102" t="s">
        <v>17</v>
      </c>
      <c r="Y11" s="102" t="s">
        <v>18</v>
      </c>
      <c r="Z11" s="102" t="s">
        <v>18</v>
      </c>
      <c r="AA11" s="102" t="s">
        <v>18</v>
      </c>
      <c r="AB11" s="102" t="s">
        <v>18</v>
      </c>
      <c r="AC11" s="102" t="s">
        <v>18</v>
      </c>
      <c r="AD11" s="102" t="s">
        <v>18</v>
      </c>
      <c r="AE11" s="102" t="s">
        <v>18</v>
      </c>
      <c r="AF11" s="102" t="s">
        <v>18</v>
      </c>
      <c r="AG11" s="102" t="s">
        <v>18</v>
      </c>
      <c r="AH11" s="102" t="s">
        <v>18</v>
      </c>
      <c r="AI11" s="102" t="s">
        <v>18</v>
      </c>
      <c r="AJ11" s="102" t="s">
        <v>18</v>
      </c>
      <c r="AK11" s="102" t="s">
        <v>18</v>
      </c>
      <c r="AL11" s="102" t="s">
        <v>18</v>
      </c>
    </row>
    <row r="12" spans="1:50" ht="15.75" customHeight="1" x14ac:dyDescent="0.25">
      <c r="AM12" s="16">
        <f>IF(COUNTIF(stableR[Uganda],TRUE)=0,"",COUNTIF(stableR[Uganda],TRUE))</f>
        <v>140</v>
      </c>
      <c r="AN12" s="16">
        <f>IF(COUNTIF(stableR[Kenya],TRUE)=0,"",COUNTIF(stableR[Kenya],TRUE))</f>
        <v>132</v>
      </c>
      <c r="AO12" s="16">
        <f>IF(COUNTIF(stableR[Rwanda],TRUE)=0,"",COUNTIF(stableR[Rwanda],TRUE))</f>
        <v>122</v>
      </c>
      <c r="AP12" s="16">
        <f>IF(COUNTIF(stableR[Burundi],TRUE)=0,"",COUNTIF(stableR[Burundi],TRUE))</f>
        <v>122</v>
      </c>
      <c r="AQ12" s="16">
        <f>IF(COUNTIF(stableR[Indonesia],TRUE)=0,"",COUNTIF(stableR[Indonesia],TRUE))</f>
        <v>126</v>
      </c>
      <c r="AR12" s="16">
        <f>IF(COUNTIF(stableR[Vietnam],TRUE)=0,"",COUNTIF(stableR[Vietnam],TRUE))</f>
        <v>147</v>
      </c>
      <c r="AS12" s="16">
        <f>IF(COUNTIF(stableR[Brazil],TRUE)=0,"",COUNTIF(stableR[Brazil],TRUE))</f>
        <v>114</v>
      </c>
      <c r="AT12" s="16">
        <f>IF(COUNTIF(stableR[Colombia],TRUE)=0,"",COUNTIF(stableR[Colombia],TRUE))</f>
        <v>114</v>
      </c>
      <c r="AU12" s="16" t="str">
        <f>IF(COUNTIF(stableR[question],TRUE)=0,"",COUNTIF(stableR[question],TRUE))</f>
        <v/>
      </c>
      <c r="AV12" s="16" t="str">
        <f>IF(COUNTIF(stableR[group_0_no],TRUE)=0,"",COUNTIF(stableR[group_0_no],TRUE))</f>
        <v/>
      </c>
      <c r="AW12" s="16" t="str">
        <f>IF(COUNTIF(stableR[subgroup_1_no],TRUE)=0,"",COUNTIF(stableR[subgroup_1_no],TRUE))</f>
        <v/>
      </c>
      <c r="AX12" s="16" t="str">
        <f>IF(COUNTIF(stableR[subgroup_2_no],TRUE)=0,"",COUNTIF(stableR[subgroup_2_no],TRUE))</f>
        <v/>
      </c>
    </row>
    <row r="13" spans="1:50" x14ac:dyDescent="0.25">
      <c r="A13" s="9" t="s">
        <v>24</v>
      </c>
      <c r="B13" s="9" t="s">
        <v>25</v>
      </c>
      <c r="C13" s="9" t="s">
        <v>1087</v>
      </c>
      <c r="D13" s="9" t="s">
        <v>1088</v>
      </c>
      <c r="E13" s="9" t="s">
        <v>1089</v>
      </c>
      <c r="F13" s="9" t="s">
        <v>1090</v>
      </c>
      <c r="G13" s="9" t="s">
        <v>1091</v>
      </c>
      <c r="H13" s="9" t="s">
        <v>1354</v>
      </c>
      <c r="I13" s="9" t="s">
        <v>27</v>
      </c>
      <c r="J13" s="9" t="s">
        <v>28</v>
      </c>
      <c r="K13" s="9" t="s">
        <v>29</v>
      </c>
      <c r="L13" s="9" t="s">
        <v>30</v>
      </c>
      <c r="M13" s="9" t="s">
        <v>31</v>
      </c>
      <c r="N13" s="9" t="s">
        <v>32</v>
      </c>
      <c r="O13" s="9" t="s">
        <v>33</v>
      </c>
      <c r="P13" s="9" t="s">
        <v>34</v>
      </c>
      <c r="Q13" s="9" t="s">
        <v>35</v>
      </c>
      <c r="R13" s="9" t="s">
        <v>36</v>
      </c>
      <c r="S13" s="9" t="s">
        <v>1092</v>
      </c>
      <c r="T13" s="9" t="s">
        <v>52</v>
      </c>
      <c r="U13" s="9" t="s">
        <v>53</v>
      </c>
      <c r="V13" s="9" t="s">
        <v>54</v>
      </c>
      <c r="W13" s="9" t="s">
        <v>55</v>
      </c>
      <c r="X13" s="9" t="s">
        <v>37</v>
      </c>
      <c r="Y13" s="9" t="s">
        <v>38</v>
      </c>
      <c r="Z13" s="9" t="s">
        <v>39</v>
      </c>
      <c r="AA13" s="9" t="s">
        <v>40</v>
      </c>
      <c r="AB13" s="9" t="s">
        <v>41</v>
      </c>
      <c r="AC13" s="9" t="s">
        <v>42</v>
      </c>
      <c r="AD13" s="9" t="s">
        <v>43</v>
      </c>
      <c r="AE13" s="9" t="s">
        <v>44</v>
      </c>
      <c r="AF13" s="9" t="s">
        <v>45</v>
      </c>
      <c r="AG13" s="9" t="s">
        <v>46</v>
      </c>
      <c r="AH13" s="9" t="s">
        <v>47</v>
      </c>
      <c r="AI13" s="9" t="s">
        <v>48</v>
      </c>
      <c r="AJ13" s="9" t="s">
        <v>49</v>
      </c>
      <c r="AK13" s="9" t="s">
        <v>50</v>
      </c>
      <c r="AL13" s="9" t="s">
        <v>51</v>
      </c>
      <c r="AM13" s="16" t="s">
        <v>511</v>
      </c>
      <c r="AN13" s="16" t="s">
        <v>818</v>
      </c>
      <c r="AO13" s="16" t="s">
        <v>719</v>
      </c>
      <c r="AP13" s="16" t="s">
        <v>1057</v>
      </c>
      <c r="AQ13" s="16" t="s">
        <v>58</v>
      </c>
      <c r="AR13" s="16" t="s">
        <v>673</v>
      </c>
      <c r="AS13" s="16" t="s">
        <v>1025</v>
      </c>
      <c r="AT13" s="16" t="s">
        <v>1355</v>
      </c>
    </row>
    <row r="14" spans="1:50" x14ac:dyDescent="0.25">
      <c r="A14" s="15" t="str">
        <f>_xlfn.CONCAT(stableR[[#This Row],[group_0_no]:[order_no]])</f>
        <v>1000</v>
      </c>
      <c r="B14" s="15" t="s">
        <v>62</v>
      </c>
      <c r="C14" s="213" t="s">
        <v>1093</v>
      </c>
      <c r="D14" s="213" t="s">
        <v>1094</v>
      </c>
      <c r="E14" s="213" t="s">
        <v>1094</v>
      </c>
      <c r="F14" s="213" t="s">
        <v>1094</v>
      </c>
      <c r="G14" s="9" t="s">
        <v>1095</v>
      </c>
      <c r="H14" s="9" t="b">
        <v>1</v>
      </c>
      <c r="I14" s="9" t="b">
        <v>1</v>
      </c>
      <c r="J14" s="9" t="b">
        <v>0</v>
      </c>
      <c r="K14" s="9" t="b">
        <v>0</v>
      </c>
      <c r="L14" s="9" t="b">
        <v>1</v>
      </c>
      <c r="M14" s="9" t="b">
        <v>1</v>
      </c>
      <c r="N14" s="9" t="b">
        <v>0</v>
      </c>
      <c r="O14" s="9" t="b">
        <v>0</v>
      </c>
      <c r="P14" s="9" t="b">
        <v>0</v>
      </c>
      <c r="Q14" s="9" t="b">
        <v>0</v>
      </c>
      <c r="R14" s="9" t="b">
        <v>0</v>
      </c>
      <c r="S14" s="16">
        <f>COUNTIFS(stableR[q_group],stableR[[#This Row],[q_group]])</f>
        <v>1</v>
      </c>
      <c r="T14" s="9" t="b">
        <v>1</v>
      </c>
      <c r="U14" s="9" t="b">
        <v>0</v>
      </c>
      <c r="V14" s="9" t="b">
        <v>0</v>
      </c>
      <c r="W14" s="9" t="b">
        <v>0</v>
      </c>
      <c r="X14" s="9" t="str">
        <f>_xlfn.TEXTJOIN(", ",TRUE,stableR[[#This Row],[ans_opt_1]:[ans_opt_14]])</f>
        <v/>
      </c>
      <c r="AM14" s="16" t="b">
        <v>1</v>
      </c>
      <c r="AN14" s="16" t="b">
        <f>COUNTIFS(questions[qno],stableR[[#This Row],[qno]],questions[year_of_survey],2025,questions[origin],"Kenya")&gt;0</f>
        <v>1</v>
      </c>
      <c r="AO14" s="16" t="b">
        <f>COUNTIFS(questions[qno],stableR[[#This Row],[qno]],questions[year_of_survey],2025,questions[origin],"Rwanda")&gt;0</f>
        <v>1</v>
      </c>
      <c r="AP14" s="16" t="b">
        <f>COUNTIFS(questions[qno],stableR[[#This Row],[qno]],questions[year_of_survey],2026,questions[origin],"Burundi")&gt;0</f>
        <v>1</v>
      </c>
      <c r="AQ14" s="16" t="b">
        <f>COUNTIFS(questions[qno],stableR[[#This Row],[qno]],questions[year_of_survey],"",questions[origin],"Indonesia")&gt;0</f>
        <v>1</v>
      </c>
      <c r="AR14" s="16" t="b">
        <f>COUNTIFS(questions[qno],stableR[[#This Row],[qno]],questions[year_of_survey],2025,questions[origin],"Vietnam")&gt;0</f>
        <v>1</v>
      </c>
      <c r="AS14" s="16" t="b">
        <v>1</v>
      </c>
      <c r="AT14" s="16" t="b">
        <v>1</v>
      </c>
    </row>
    <row r="15" spans="1:50" x14ac:dyDescent="0.25">
      <c r="A15" s="15" t="str">
        <f>_xlfn.CONCAT(stableR[[#This Row],[group_0_no]:[order_no]])</f>
        <v>1001</v>
      </c>
      <c r="B15" s="15" t="s">
        <v>64</v>
      </c>
      <c r="C15" s="213" t="s">
        <v>1093</v>
      </c>
      <c r="D15" s="213" t="s">
        <v>1094</v>
      </c>
      <c r="E15" s="213" t="s">
        <v>1094</v>
      </c>
      <c r="F15" s="213" t="s">
        <v>1093</v>
      </c>
      <c r="G15" s="9" t="s">
        <v>1096</v>
      </c>
      <c r="H15" s="9" t="b">
        <v>1</v>
      </c>
      <c r="I15" s="9" t="b">
        <v>1</v>
      </c>
      <c r="J15" s="9" t="b">
        <v>0</v>
      </c>
      <c r="K15" s="9" t="b">
        <v>0</v>
      </c>
      <c r="L15" s="9" t="b">
        <v>1</v>
      </c>
      <c r="M15" s="9" t="b">
        <v>1</v>
      </c>
      <c r="N15" s="9" t="b">
        <v>0</v>
      </c>
      <c r="O15" s="9" t="b">
        <v>0</v>
      </c>
      <c r="P15" s="9" t="b">
        <v>0</v>
      </c>
      <c r="Q15" s="9" t="b">
        <v>0</v>
      </c>
      <c r="R15" s="9" t="b">
        <v>0</v>
      </c>
      <c r="S15" s="16">
        <f>COUNTIFS(stableR[q_group],stableR[[#This Row],[q_group]])</f>
        <v>1</v>
      </c>
      <c r="T15" s="9" t="b">
        <v>1</v>
      </c>
      <c r="U15" s="9" t="b">
        <v>0</v>
      </c>
      <c r="V15" s="9" t="b">
        <v>0</v>
      </c>
      <c r="W15" s="9" t="b">
        <v>0</v>
      </c>
      <c r="X15" s="9" t="str">
        <f>_xlfn.TEXTJOIN(", ",TRUE,stableR[[#This Row],[ans_opt_1]:[ans_opt_14]])</f>
        <v/>
      </c>
      <c r="AM15" s="16" t="b">
        <v>1</v>
      </c>
      <c r="AN15" s="16" t="b">
        <f>COUNTIFS(questions[qno],stableR[[#This Row],[qno]],questions[year_of_survey],2025,questions[origin],"Kenya")&gt;0</f>
        <v>1</v>
      </c>
      <c r="AO15" s="16" t="b">
        <f>COUNTIFS(questions[qno],stableR[[#This Row],[qno]],questions[year_of_survey],2025,questions[origin],"Rwanda")&gt;0</f>
        <v>1</v>
      </c>
      <c r="AP15" s="16" t="b">
        <f>COUNTIFS(questions[qno],stableR[[#This Row],[qno]],questions[year_of_survey],2026,questions[origin],"Burundi")&gt;0</f>
        <v>1</v>
      </c>
      <c r="AQ15" s="16" t="b">
        <f>COUNTIFS(questions[qno],stableR[[#This Row],[qno]],questions[year_of_survey],"",questions[origin],"Indonesia")&gt;0</f>
        <v>1</v>
      </c>
      <c r="AR15" s="16" t="b">
        <f>COUNTIFS(questions[qno],stableR[[#This Row],[qno]],questions[year_of_survey],2025,questions[origin],"Vietnam")&gt;0</f>
        <v>1</v>
      </c>
      <c r="AS15" s="16" t="b">
        <v>1</v>
      </c>
      <c r="AT15" s="16" t="b">
        <v>1</v>
      </c>
    </row>
    <row r="16" spans="1:50" x14ac:dyDescent="0.25">
      <c r="A16" s="15" t="str">
        <f>_xlfn.CONCAT(stableR[[#This Row],[group_0_no]:[order_no]])</f>
        <v>1002</v>
      </c>
      <c r="B16" s="15" t="s">
        <v>66</v>
      </c>
      <c r="C16" s="213" t="s">
        <v>1093</v>
      </c>
      <c r="D16" s="213" t="s">
        <v>1094</v>
      </c>
      <c r="E16" s="213" t="s">
        <v>1094</v>
      </c>
      <c r="F16" s="213" t="s">
        <v>1097</v>
      </c>
      <c r="G16" s="9" t="s">
        <v>1098</v>
      </c>
      <c r="H16" s="9" t="b">
        <v>1</v>
      </c>
      <c r="I16" s="9" t="b">
        <v>1</v>
      </c>
      <c r="J16" s="9" t="b">
        <v>0</v>
      </c>
      <c r="K16" s="9" t="b">
        <v>0</v>
      </c>
      <c r="L16" s="9" t="b">
        <v>1</v>
      </c>
      <c r="M16" s="9" t="b">
        <v>1</v>
      </c>
      <c r="N16" s="9" t="b">
        <v>0</v>
      </c>
      <c r="O16" s="9" t="b">
        <v>0</v>
      </c>
      <c r="P16" s="9" t="b">
        <v>0</v>
      </c>
      <c r="Q16" s="9" t="b">
        <v>0</v>
      </c>
      <c r="R16" s="9" t="b">
        <v>0</v>
      </c>
      <c r="S16" s="16">
        <f>COUNTIFS(stableR[q_group],stableR[[#This Row],[q_group]])</f>
        <v>1</v>
      </c>
      <c r="T16" s="9" t="b">
        <v>1</v>
      </c>
      <c r="U16" s="9" t="b">
        <v>0</v>
      </c>
      <c r="V16" s="9" t="b">
        <v>0</v>
      </c>
      <c r="W16" s="9" t="b">
        <v>0</v>
      </c>
      <c r="X16" s="9" t="str">
        <f>_xlfn.TEXTJOIN(", ",TRUE,stableR[[#This Row],[ans_opt_1]:[ans_opt_14]])</f>
        <v/>
      </c>
      <c r="AM16" s="16" t="b">
        <v>1</v>
      </c>
      <c r="AN16" s="16" t="b">
        <f>COUNTIFS(questions[qno],stableR[[#This Row],[qno]],questions[year_of_survey],2025,questions[origin],"Kenya")&gt;0</f>
        <v>1</v>
      </c>
      <c r="AO16" s="16" t="b">
        <f>COUNTIFS(questions[qno],stableR[[#This Row],[qno]],questions[year_of_survey],2025,questions[origin],"Rwanda")&gt;0</f>
        <v>1</v>
      </c>
      <c r="AP16" s="16" t="b">
        <f>COUNTIFS(questions[qno],stableR[[#This Row],[qno]],questions[year_of_survey],2026,questions[origin],"Burundi")&gt;0</f>
        <v>1</v>
      </c>
      <c r="AQ16" s="16" t="b">
        <f>COUNTIFS(questions[qno],stableR[[#This Row],[qno]],questions[year_of_survey],"",questions[origin],"Indonesia")&gt;0</f>
        <v>1</v>
      </c>
      <c r="AR16" s="16" t="b">
        <f>COUNTIFS(questions[qno],stableR[[#This Row],[qno]],questions[year_of_survey],2025,questions[origin],"Vietnam")&gt;0</f>
        <v>1</v>
      </c>
      <c r="AS16" s="16" t="b">
        <v>1</v>
      </c>
      <c r="AT16" s="16" t="b">
        <v>1</v>
      </c>
    </row>
    <row r="17" spans="1:16357" x14ac:dyDescent="0.25">
      <c r="A17" s="15" t="str">
        <f>_xlfn.CONCAT(stableR[[#This Row],[group_0_no]:[order_no]])</f>
        <v>1003</v>
      </c>
      <c r="B17" s="15" t="s">
        <v>68</v>
      </c>
      <c r="C17" s="213" t="s">
        <v>1093</v>
      </c>
      <c r="D17" s="213" t="s">
        <v>1094</v>
      </c>
      <c r="E17" s="213" t="s">
        <v>1094</v>
      </c>
      <c r="F17" s="213" t="s">
        <v>1099</v>
      </c>
      <c r="G17" s="9" t="s">
        <v>1100</v>
      </c>
      <c r="H17" s="9" t="b">
        <v>1</v>
      </c>
      <c r="I17" s="9" t="b">
        <v>1</v>
      </c>
      <c r="J17" s="9" t="b">
        <v>0</v>
      </c>
      <c r="K17" s="9" t="b">
        <v>0</v>
      </c>
      <c r="L17" s="9" t="b">
        <v>1</v>
      </c>
      <c r="M17" s="9" t="b">
        <v>1</v>
      </c>
      <c r="N17" s="9" t="b">
        <v>0</v>
      </c>
      <c r="O17" s="9" t="b">
        <v>0</v>
      </c>
      <c r="P17" s="9" t="b">
        <v>0</v>
      </c>
      <c r="Q17" s="9" t="b">
        <v>0</v>
      </c>
      <c r="R17" s="9" t="b">
        <v>0</v>
      </c>
      <c r="S17" s="16">
        <f>COUNTIFS(stableR[q_group],stableR[[#This Row],[q_group]])</f>
        <v>1</v>
      </c>
      <c r="T17" s="9" t="b">
        <v>1</v>
      </c>
      <c r="U17" s="9" t="b">
        <v>0</v>
      </c>
      <c r="V17" s="9" t="b">
        <v>0</v>
      </c>
      <c r="W17" s="9" t="b">
        <v>0</v>
      </c>
      <c r="X17" s="9" t="str">
        <f>_xlfn.TEXTJOIN(", ",TRUE,stableR[[#This Row],[ans_opt_1]:[ans_opt_14]])</f>
        <v/>
      </c>
      <c r="AM17" s="16" t="b">
        <v>1</v>
      </c>
      <c r="AN17" s="16" t="b">
        <f>COUNTIFS(questions[qno],stableR[[#This Row],[qno]],questions[year_of_survey],2025,questions[origin],"Kenya")&gt;0</f>
        <v>1</v>
      </c>
      <c r="AO17" s="16" t="b">
        <f>COUNTIFS(questions[qno],stableR[[#This Row],[qno]],questions[year_of_survey],2025,questions[origin],"Rwanda")&gt;0</f>
        <v>1</v>
      </c>
      <c r="AP17" s="16" t="b">
        <f>COUNTIFS(questions[qno],stableR[[#This Row],[qno]],questions[year_of_survey],2026,questions[origin],"Burundi")&gt;0</f>
        <v>1</v>
      </c>
      <c r="AQ17" s="16" t="b">
        <f>COUNTIFS(questions[qno],stableR[[#This Row],[qno]],questions[year_of_survey],"",questions[origin],"Indonesia")&gt;0</f>
        <v>1</v>
      </c>
      <c r="AR17" s="16" t="b">
        <f>COUNTIFS(questions[qno],stableR[[#This Row],[qno]],questions[year_of_survey],2025,questions[origin],"Vietnam")&gt;0</f>
        <v>1</v>
      </c>
      <c r="AS17" s="16" t="b">
        <v>1</v>
      </c>
      <c r="AT17" s="16" t="b">
        <v>1</v>
      </c>
    </row>
    <row r="18" spans="1:16357" x14ac:dyDescent="0.25">
      <c r="A18" s="15" t="str">
        <f>_xlfn.CONCAT(stableR[[#This Row],[group_0_no]:[order_no]])</f>
        <v>1104</v>
      </c>
      <c r="B18" s="15" t="s">
        <v>70</v>
      </c>
      <c r="C18" s="213" t="s">
        <v>1093</v>
      </c>
      <c r="D18" s="213" t="s">
        <v>1093</v>
      </c>
      <c r="E18" s="213" t="s">
        <v>1094</v>
      </c>
      <c r="F18" s="213" t="s">
        <v>1101</v>
      </c>
      <c r="G18" s="9" t="s">
        <v>1102</v>
      </c>
      <c r="H18" s="9" t="b">
        <v>1</v>
      </c>
      <c r="I18" s="9" t="b">
        <v>1</v>
      </c>
      <c r="J18" s="9" t="b">
        <v>0</v>
      </c>
      <c r="K18" s="9" t="b">
        <v>0</v>
      </c>
      <c r="L18" s="9" t="b">
        <v>1</v>
      </c>
      <c r="M18" s="9" t="b">
        <v>1</v>
      </c>
      <c r="N18" s="9" t="b">
        <v>0</v>
      </c>
      <c r="O18" s="9" t="b">
        <v>0</v>
      </c>
      <c r="P18" s="9" t="b">
        <v>0</v>
      </c>
      <c r="Q18" s="9" t="b">
        <v>0</v>
      </c>
      <c r="R18" s="9" t="b">
        <v>0</v>
      </c>
      <c r="S18" s="16">
        <f>COUNTIFS(stableR[q_group],stableR[[#This Row],[q_group]])</f>
        <v>1</v>
      </c>
      <c r="T18" s="9" t="b">
        <v>1</v>
      </c>
      <c r="U18" s="9" t="b">
        <v>0</v>
      </c>
      <c r="V18" s="9" t="b">
        <v>0</v>
      </c>
      <c r="W18" s="9" t="b">
        <v>0</v>
      </c>
      <c r="X18" s="9" t="str">
        <f>_xlfn.TEXTJOIN(", ",TRUE,stableR[[#This Row],[ans_opt_1]:[ans_opt_14]])</f>
        <v/>
      </c>
      <c r="AM18" s="16" t="b">
        <v>1</v>
      </c>
      <c r="AN18" s="16" t="b">
        <f>COUNTIFS(questions[qno],stableR[[#This Row],[qno]],questions[year_of_survey],2025,questions[origin],"Kenya")&gt;0</f>
        <v>1</v>
      </c>
      <c r="AO18" s="16" t="b">
        <f>COUNTIFS(questions[qno],stableR[[#This Row],[qno]],questions[year_of_survey],2025,questions[origin],"Rwanda")&gt;0</f>
        <v>1</v>
      </c>
      <c r="AP18" s="16" t="b">
        <f>COUNTIFS(questions[qno],stableR[[#This Row],[qno]],questions[year_of_survey],2026,questions[origin],"Burundi")&gt;0</f>
        <v>1</v>
      </c>
      <c r="AQ18" s="16" t="b">
        <f>COUNTIFS(questions[qno],stableR[[#This Row],[qno]],questions[year_of_survey],"",questions[origin],"Indonesia")&gt;0</f>
        <v>1</v>
      </c>
      <c r="AR18" s="16" t="b">
        <f>COUNTIFS(questions[qno],stableR[[#This Row],[qno]],questions[year_of_survey],2025,questions[origin],"Vietnam")&gt;0</f>
        <v>1</v>
      </c>
      <c r="AS18" s="16" t="b">
        <v>1</v>
      </c>
      <c r="AT18" s="16" t="b">
        <v>1</v>
      </c>
    </row>
    <row r="19" spans="1:16357" x14ac:dyDescent="0.25">
      <c r="A19" s="15" t="str">
        <f>_xlfn.CONCAT(stableR[[#This Row],[group_0_no]:[order_no]])</f>
        <v>1105</v>
      </c>
      <c r="B19" s="15" t="s">
        <v>72</v>
      </c>
      <c r="C19" s="213" t="s">
        <v>1093</v>
      </c>
      <c r="D19" s="213" t="s">
        <v>1093</v>
      </c>
      <c r="E19" s="213" t="s">
        <v>1094</v>
      </c>
      <c r="F19" s="213" t="s">
        <v>1103</v>
      </c>
      <c r="G19" s="9" t="s">
        <v>1104</v>
      </c>
      <c r="H19" s="9" t="b">
        <v>1</v>
      </c>
      <c r="I19" s="9" t="b">
        <v>1</v>
      </c>
      <c r="J19" s="9" t="b">
        <v>0</v>
      </c>
      <c r="K19" s="9" t="b">
        <v>0</v>
      </c>
      <c r="L19" s="9" t="b">
        <v>1</v>
      </c>
      <c r="M19" s="9" t="b">
        <v>1</v>
      </c>
      <c r="N19" s="9" t="b">
        <v>0</v>
      </c>
      <c r="O19" s="9" t="b">
        <v>0</v>
      </c>
      <c r="P19" s="9" t="b">
        <v>0</v>
      </c>
      <c r="Q19" s="9" t="b">
        <v>0</v>
      </c>
      <c r="R19" s="9" t="b">
        <v>0</v>
      </c>
      <c r="S19" s="16">
        <f>COUNTIFS(stableR[q_group],stableR[[#This Row],[q_group]])</f>
        <v>1</v>
      </c>
      <c r="T19" s="9" t="b">
        <v>1</v>
      </c>
      <c r="U19" s="9" t="b">
        <v>0</v>
      </c>
      <c r="V19" s="9" t="b">
        <v>0</v>
      </c>
      <c r="W19" s="9" t="b">
        <v>0</v>
      </c>
      <c r="X19" s="9" t="str">
        <f>_xlfn.TEXTJOIN(", ",TRUE,stableR[[#This Row],[ans_opt_1]:[ans_opt_14]])</f>
        <v/>
      </c>
      <c r="AM19" s="16" t="b">
        <v>1</v>
      </c>
      <c r="AN19" s="16" t="b">
        <f>COUNTIFS(questions[qno],stableR[[#This Row],[qno]],questions[year_of_survey],2025,questions[origin],"Kenya")&gt;0</f>
        <v>1</v>
      </c>
      <c r="AO19" s="16" t="b">
        <f>COUNTIFS(questions[qno],stableR[[#This Row],[qno]],questions[year_of_survey],2025,questions[origin],"Rwanda")&gt;0</f>
        <v>1</v>
      </c>
      <c r="AP19" s="16" t="b">
        <f>COUNTIFS(questions[qno],stableR[[#This Row],[qno]],questions[year_of_survey],2026,questions[origin],"Burundi")&gt;0</f>
        <v>1</v>
      </c>
      <c r="AQ19" s="16" t="b">
        <f>COUNTIFS(questions[qno],stableR[[#This Row],[qno]],questions[year_of_survey],"",questions[origin],"Indonesia")&gt;0</f>
        <v>1</v>
      </c>
      <c r="AR19" s="16" t="b">
        <f>COUNTIFS(questions[qno],stableR[[#This Row],[qno]],questions[year_of_survey],2025,questions[origin],"Vietnam")&gt;0</f>
        <v>1</v>
      </c>
      <c r="AS19" s="16" t="b">
        <v>1</v>
      </c>
      <c r="AT19" s="16" t="b">
        <v>1</v>
      </c>
    </row>
    <row r="20" spans="1:16357" x14ac:dyDescent="0.25">
      <c r="A20" s="15" t="str">
        <f>_xlfn.CONCAT(stableR[[#This Row],[group_0_no]:[order_no]])</f>
        <v>1106</v>
      </c>
      <c r="B20" s="15" t="s">
        <v>74</v>
      </c>
      <c r="C20" s="213" t="s">
        <v>1093</v>
      </c>
      <c r="D20" s="213" t="s">
        <v>1093</v>
      </c>
      <c r="E20" s="213" t="s">
        <v>1094</v>
      </c>
      <c r="F20" s="213" t="s">
        <v>1105</v>
      </c>
      <c r="G20" s="9" t="s">
        <v>1106</v>
      </c>
      <c r="H20" s="9" t="b">
        <v>1</v>
      </c>
      <c r="I20" s="9" t="b">
        <v>1</v>
      </c>
      <c r="J20" s="9" t="b">
        <v>0</v>
      </c>
      <c r="K20" s="9" t="b">
        <v>0</v>
      </c>
      <c r="L20" s="9" t="b">
        <v>1</v>
      </c>
      <c r="M20" s="9" t="b">
        <v>1</v>
      </c>
      <c r="N20" s="9" t="b">
        <v>0</v>
      </c>
      <c r="O20" s="9" t="b">
        <v>0</v>
      </c>
      <c r="P20" s="9" t="b">
        <v>0</v>
      </c>
      <c r="Q20" s="9" t="b">
        <v>0</v>
      </c>
      <c r="R20" s="9" t="b">
        <v>0</v>
      </c>
      <c r="S20" s="16">
        <f>COUNTIFS(stableR[q_group],stableR[[#This Row],[q_group]])</f>
        <v>1</v>
      </c>
      <c r="T20" s="9" t="b">
        <v>1</v>
      </c>
      <c r="U20" s="9" t="b">
        <v>0</v>
      </c>
      <c r="V20" s="9" t="b">
        <v>0</v>
      </c>
      <c r="W20" s="9" t="b">
        <v>0</v>
      </c>
      <c r="X20" s="9" t="str">
        <f>_xlfn.TEXTJOIN(", ",TRUE,stableR[[#This Row],[ans_opt_1]:[ans_opt_14]])</f>
        <v/>
      </c>
      <c r="AM20" s="16" t="b">
        <v>1</v>
      </c>
      <c r="AN20" s="16" t="b">
        <f>COUNTIFS(questions[qno],stableR[[#This Row],[qno]],questions[year_of_survey],2025,questions[origin],"Kenya")&gt;0</f>
        <v>1</v>
      </c>
      <c r="AO20" s="16" t="b">
        <f>COUNTIFS(questions[qno],stableR[[#This Row],[qno]],questions[year_of_survey],2025,questions[origin],"Rwanda")&gt;0</f>
        <v>1</v>
      </c>
      <c r="AP20" s="16" t="b">
        <f>COUNTIFS(questions[qno],stableR[[#This Row],[qno]],questions[year_of_survey],2026,questions[origin],"Burundi")&gt;0</f>
        <v>1</v>
      </c>
      <c r="AQ20" s="16" t="b">
        <f>COUNTIFS(questions[qno],stableR[[#This Row],[qno]],questions[year_of_survey],"",questions[origin],"Indonesia")&gt;0</f>
        <v>1</v>
      </c>
      <c r="AR20" s="16" t="b">
        <f>COUNTIFS(questions[qno],stableR[[#This Row],[qno]],questions[year_of_survey],2025,questions[origin],"Vietnam")&gt;0</f>
        <v>1</v>
      </c>
      <c r="AS20" s="16" t="b">
        <v>1</v>
      </c>
      <c r="AT20" s="16" t="b">
        <v>1</v>
      </c>
    </row>
    <row r="21" spans="1:16357" x14ac:dyDescent="0.25">
      <c r="A21" s="92" t="str">
        <f>_xlfn.CONCAT(stableR[[#This Row],[group_0_no]:[order_no]])</f>
        <v>1110</v>
      </c>
      <c r="B21" s="92" t="s">
        <v>76</v>
      </c>
      <c r="C21" s="94" t="s">
        <v>1093</v>
      </c>
      <c r="D21" s="94" t="s">
        <v>1093</v>
      </c>
      <c r="E21" s="94" t="s">
        <v>1093</v>
      </c>
      <c r="F21" s="94" t="s">
        <v>1094</v>
      </c>
      <c r="G21" s="93" t="s">
        <v>1107</v>
      </c>
      <c r="H21" s="93" t="b">
        <v>0</v>
      </c>
      <c r="I21" s="93" t="b">
        <v>1</v>
      </c>
      <c r="J21" s="93" t="b">
        <v>0</v>
      </c>
      <c r="K21" s="93" t="b">
        <v>0</v>
      </c>
      <c r="L21" s="93" t="b">
        <v>1</v>
      </c>
      <c r="M21" s="93" t="b">
        <v>1</v>
      </c>
      <c r="N21" s="93" t="b">
        <v>0</v>
      </c>
      <c r="O21" s="93" t="b">
        <v>0</v>
      </c>
      <c r="P21" s="93" t="b">
        <v>0</v>
      </c>
      <c r="Q21" s="93" t="b">
        <v>0</v>
      </c>
      <c r="R21" s="93" t="b">
        <v>0</v>
      </c>
      <c r="S21" s="94">
        <f>COUNTIFS(stableR[q_group],stableR[[#This Row],[q_group]])</f>
        <v>1</v>
      </c>
      <c r="T21" s="93" t="b">
        <v>1</v>
      </c>
      <c r="U21" s="93" t="b">
        <v>0</v>
      </c>
      <c r="V21" s="93" t="b">
        <v>0</v>
      </c>
      <c r="W21" s="93" t="b">
        <v>0</v>
      </c>
      <c r="X21" s="93" t="str">
        <f>_xlfn.TEXTJOIN(", ",TRUE,stableR[[#This Row],[ans_opt_1]:[ans_opt_14]])</f>
        <v/>
      </c>
      <c r="Y21" s="93"/>
      <c r="Z21" s="93"/>
      <c r="AA21" s="93"/>
      <c r="AB21" s="93"/>
      <c r="AC21" s="93"/>
      <c r="AD21" s="93"/>
      <c r="AE21" s="93"/>
      <c r="AF21" s="93"/>
      <c r="AG21" s="93"/>
      <c r="AH21" s="93"/>
      <c r="AI21" s="93"/>
      <c r="AJ21" s="93"/>
      <c r="AK21" s="93"/>
      <c r="AL21" s="93"/>
      <c r="AM21" s="209" t="b">
        <v>0</v>
      </c>
      <c r="AN21" s="209" t="b">
        <v>0</v>
      </c>
      <c r="AO21" s="209" t="b">
        <v>0</v>
      </c>
      <c r="AP21" s="209" t="b">
        <v>0</v>
      </c>
      <c r="AQ21" s="209" t="b">
        <v>0</v>
      </c>
      <c r="AR21" s="209" t="b">
        <v>0</v>
      </c>
      <c r="AS21" s="209" t="b">
        <v>0</v>
      </c>
      <c r="AT21" s="209" t="b">
        <v>0</v>
      </c>
      <c r="AU21" s="93"/>
      <c r="AV21" s="93"/>
      <c r="AW21" s="93"/>
      <c r="AX21" s="93"/>
      <c r="AY21" s="93"/>
      <c r="AZ21" s="93"/>
      <c r="BA21" s="93"/>
      <c r="BB21" s="93"/>
      <c r="BC21" s="93"/>
      <c r="BD21" s="93"/>
      <c r="BE21" s="93"/>
      <c r="BF21" s="93"/>
      <c r="BG21" s="93"/>
      <c r="BH21" s="93"/>
      <c r="BI21" s="93"/>
      <c r="BJ21" s="93"/>
      <c r="BK21" s="93"/>
      <c r="BL21" s="93"/>
      <c r="BM21" s="93"/>
      <c r="BN21" s="93"/>
      <c r="BO21" s="93"/>
      <c r="BP21" s="93"/>
      <c r="BQ21" s="93"/>
      <c r="BR21" s="93"/>
      <c r="BS21" s="93"/>
      <c r="BT21" s="93"/>
      <c r="BU21" s="93"/>
      <c r="BV21" s="93"/>
      <c r="BW21" s="93"/>
      <c r="BX21" s="93"/>
      <c r="BY21" s="93"/>
      <c r="BZ21" s="93"/>
      <c r="CA21" s="93"/>
      <c r="CB21" s="93"/>
      <c r="CC21" s="93"/>
      <c r="CD21" s="93"/>
      <c r="CE21" s="93"/>
      <c r="CF21" s="93"/>
      <c r="CG21" s="93"/>
      <c r="CH21" s="93"/>
      <c r="CI21" s="93"/>
      <c r="CJ21" s="93"/>
      <c r="CK21" s="93"/>
      <c r="CL21" s="93"/>
      <c r="CM21" s="93"/>
      <c r="CN21" s="93"/>
      <c r="CO21" s="93"/>
      <c r="CP21" s="93"/>
      <c r="CQ21" s="93"/>
      <c r="CR21" s="93"/>
      <c r="CS21" s="93"/>
      <c r="CT21" s="93"/>
      <c r="CU21" s="93"/>
      <c r="CV21" s="93"/>
      <c r="CW21" s="93"/>
      <c r="CX21" s="93"/>
      <c r="CY21" s="93"/>
      <c r="CZ21" s="93"/>
      <c r="DA21" s="93"/>
      <c r="DB21" s="93"/>
      <c r="DC21" s="93"/>
      <c r="DD21" s="93"/>
      <c r="DE21" s="93"/>
      <c r="DF21" s="93"/>
      <c r="DG21" s="93"/>
      <c r="DH21" s="93"/>
      <c r="DI21" s="93"/>
      <c r="DJ21" s="93"/>
      <c r="DK21" s="93"/>
      <c r="DL21" s="93"/>
      <c r="DM21" s="93"/>
      <c r="DN21" s="93"/>
      <c r="DO21" s="93"/>
      <c r="DP21" s="93"/>
      <c r="DQ21" s="93"/>
      <c r="DR21" s="93"/>
      <c r="DS21" s="93"/>
      <c r="DT21" s="93"/>
      <c r="DU21" s="93"/>
      <c r="DV21" s="93"/>
      <c r="DW21" s="93"/>
      <c r="DX21" s="93"/>
      <c r="DY21" s="93"/>
      <c r="DZ21" s="93"/>
      <c r="EA21" s="93"/>
      <c r="EB21" s="93"/>
      <c r="EC21" s="93"/>
      <c r="ED21" s="93"/>
      <c r="EE21" s="93"/>
      <c r="EF21" s="93"/>
      <c r="EG21" s="93"/>
      <c r="EH21" s="93"/>
      <c r="EI21" s="93"/>
      <c r="EJ21" s="93"/>
      <c r="EK21" s="93"/>
      <c r="EL21" s="93"/>
      <c r="EM21" s="93"/>
      <c r="EN21" s="93"/>
      <c r="EO21" s="93"/>
      <c r="EP21" s="93"/>
      <c r="EQ21" s="93"/>
      <c r="ER21" s="93"/>
      <c r="ES21" s="93"/>
      <c r="ET21" s="93"/>
      <c r="EU21" s="93"/>
      <c r="EV21" s="93"/>
      <c r="EW21" s="93"/>
      <c r="EX21" s="93"/>
      <c r="EY21" s="93"/>
      <c r="EZ21" s="93"/>
      <c r="FA21" s="93"/>
      <c r="FB21" s="93"/>
      <c r="FC21" s="93"/>
      <c r="FD21" s="93"/>
      <c r="FE21" s="93"/>
      <c r="FF21" s="93"/>
      <c r="FG21" s="93"/>
      <c r="FH21" s="93"/>
      <c r="FI21" s="93"/>
      <c r="FJ21" s="93"/>
      <c r="FK21" s="93"/>
      <c r="FL21" s="93"/>
      <c r="FM21" s="93"/>
      <c r="FN21" s="93"/>
      <c r="FO21" s="93"/>
      <c r="FP21" s="93"/>
      <c r="FQ21" s="93"/>
      <c r="FR21" s="93"/>
      <c r="FS21" s="93"/>
      <c r="FT21" s="93"/>
      <c r="FU21" s="93"/>
      <c r="FV21" s="93"/>
      <c r="FW21" s="93"/>
      <c r="FX21" s="93"/>
      <c r="FY21" s="93"/>
      <c r="FZ21" s="93"/>
      <c r="GA21" s="93"/>
      <c r="GB21" s="93"/>
      <c r="GC21" s="93"/>
      <c r="GD21" s="93"/>
      <c r="GE21" s="93"/>
      <c r="GF21" s="93"/>
      <c r="GG21" s="93"/>
      <c r="GH21" s="93"/>
      <c r="GI21" s="93"/>
      <c r="GJ21" s="93"/>
      <c r="GK21" s="93"/>
      <c r="GL21" s="93"/>
      <c r="GM21" s="93"/>
      <c r="GN21" s="93"/>
      <c r="GO21" s="93"/>
      <c r="GP21" s="93"/>
      <c r="GQ21" s="93"/>
      <c r="GR21" s="93"/>
      <c r="GS21" s="93"/>
      <c r="GT21" s="93"/>
      <c r="GU21" s="93"/>
      <c r="GV21" s="93"/>
      <c r="GW21" s="93"/>
      <c r="GX21" s="93"/>
      <c r="GY21" s="93"/>
      <c r="GZ21" s="93"/>
      <c r="HA21" s="93"/>
      <c r="HB21" s="93"/>
      <c r="HC21" s="93"/>
      <c r="HD21" s="93"/>
      <c r="HE21" s="93"/>
      <c r="HF21" s="93"/>
      <c r="HG21" s="93"/>
      <c r="HH21" s="93"/>
      <c r="HI21" s="93"/>
      <c r="HJ21" s="93"/>
      <c r="HK21" s="93"/>
      <c r="HL21" s="93"/>
      <c r="HM21" s="93"/>
      <c r="HN21" s="93"/>
      <c r="HO21" s="93"/>
      <c r="HP21" s="93"/>
      <c r="HQ21" s="93"/>
      <c r="HR21" s="93"/>
      <c r="HS21" s="93"/>
      <c r="HT21" s="93"/>
      <c r="HU21" s="93"/>
      <c r="HV21" s="93"/>
      <c r="HW21" s="93"/>
      <c r="HX21" s="93"/>
      <c r="HY21" s="93"/>
      <c r="HZ21" s="93"/>
      <c r="IA21" s="93"/>
      <c r="IB21" s="93"/>
      <c r="IC21" s="93"/>
      <c r="ID21" s="93"/>
      <c r="IE21" s="93"/>
      <c r="IF21" s="93"/>
      <c r="IG21" s="93"/>
      <c r="IH21" s="93"/>
      <c r="II21" s="93"/>
      <c r="IJ21" s="93"/>
      <c r="IK21" s="93"/>
      <c r="IL21" s="93"/>
      <c r="IM21" s="93"/>
      <c r="IN21" s="93"/>
      <c r="IO21" s="93"/>
      <c r="IP21" s="93"/>
      <c r="IQ21" s="93"/>
      <c r="IR21" s="93"/>
      <c r="IS21" s="93"/>
      <c r="IT21" s="93"/>
      <c r="IU21" s="93"/>
      <c r="IV21" s="93"/>
      <c r="IW21" s="93"/>
      <c r="IX21" s="93"/>
      <c r="IY21" s="93"/>
      <c r="IZ21" s="93"/>
      <c r="JA21" s="93"/>
      <c r="JB21" s="93"/>
      <c r="JC21" s="93"/>
      <c r="JD21" s="93"/>
      <c r="JE21" s="93"/>
      <c r="JF21" s="93"/>
      <c r="JG21" s="93"/>
      <c r="JH21" s="93"/>
      <c r="JI21" s="93"/>
      <c r="JJ21" s="93"/>
      <c r="JK21" s="93"/>
      <c r="JL21" s="93"/>
      <c r="JM21" s="93"/>
      <c r="JN21" s="93"/>
      <c r="JO21" s="93"/>
      <c r="JP21" s="93"/>
      <c r="JQ21" s="93"/>
      <c r="JR21" s="93"/>
      <c r="JS21" s="93"/>
      <c r="JT21" s="93"/>
      <c r="JU21" s="93"/>
      <c r="JV21" s="93"/>
      <c r="JW21" s="93"/>
      <c r="JX21" s="93"/>
      <c r="JY21" s="93"/>
      <c r="JZ21" s="93"/>
      <c r="KA21" s="93"/>
      <c r="KB21" s="93"/>
      <c r="KC21" s="93"/>
      <c r="KD21" s="93"/>
      <c r="KE21" s="93"/>
      <c r="KF21" s="93"/>
      <c r="KG21" s="93"/>
      <c r="KH21" s="93"/>
      <c r="KI21" s="93"/>
      <c r="KJ21" s="93"/>
      <c r="KK21" s="93"/>
      <c r="KL21" s="93"/>
      <c r="KM21" s="93"/>
      <c r="KN21" s="93"/>
      <c r="KO21" s="93"/>
      <c r="KP21" s="93"/>
      <c r="KQ21" s="93"/>
      <c r="KR21" s="93"/>
      <c r="KS21" s="93"/>
      <c r="KT21" s="93"/>
      <c r="KU21" s="93"/>
      <c r="KV21" s="93"/>
      <c r="KW21" s="93"/>
      <c r="KX21" s="93"/>
      <c r="KY21" s="93"/>
      <c r="KZ21" s="93"/>
      <c r="LA21" s="93"/>
      <c r="LB21" s="93"/>
      <c r="LC21" s="93"/>
      <c r="LD21" s="93"/>
      <c r="LE21" s="93"/>
      <c r="LF21" s="93"/>
      <c r="LG21" s="93"/>
      <c r="LH21" s="93"/>
      <c r="LI21" s="93"/>
      <c r="LJ21" s="93"/>
      <c r="LK21" s="93"/>
      <c r="LL21" s="93"/>
      <c r="LM21" s="93"/>
      <c r="LN21" s="93"/>
      <c r="LO21" s="93"/>
      <c r="LP21" s="93"/>
      <c r="LQ21" s="93"/>
      <c r="LR21" s="93"/>
      <c r="LS21" s="93"/>
      <c r="LT21" s="93"/>
      <c r="LU21" s="93"/>
      <c r="LV21" s="93"/>
      <c r="LW21" s="93"/>
      <c r="LX21" s="93"/>
      <c r="LY21" s="93"/>
      <c r="LZ21" s="93"/>
      <c r="MA21" s="93"/>
      <c r="MB21" s="93"/>
      <c r="MC21" s="93"/>
      <c r="MD21" s="93"/>
      <c r="ME21" s="93"/>
      <c r="MF21" s="93"/>
      <c r="MG21" s="93"/>
      <c r="MH21" s="93"/>
      <c r="MI21" s="93"/>
      <c r="MJ21" s="93"/>
      <c r="MK21" s="93"/>
      <c r="ML21" s="93"/>
      <c r="MM21" s="93"/>
      <c r="MN21" s="93"/>
      <c r="MO21" s="93"/>
      <c r="MP21" s="93"/>
      <c r="MQ21" s="93"/>
      <c r="MR21" s="93"/>
      <c r="MS21" s="93"/>
      <c r="MT21" s="93"/>
      <c r="MU21" s="93"/>
      <c r="MV21" s="93"/>
      <c r="MW21" s="93"/>
      <c r="MX21" s="93"/>
      <c r="MY21" s="93"/>
      <c r="MZ21" s="93"/>
      <c r="NA21" s="93"/>
      <c r="NB21" s="93"/>
      <c r="NC21" s="93"/>
      <c r="ND21" s="93"/>
      <c r="NE21" s="93"/>
      <c r="NF21" s="93"/>
      <c r="NG21" s="93"/>
      <c r="NH21" s="93"/>
      <c r="NI21" s="93"/>
      <c r="NJ21" s="93"/>
      <c r="NK21" s="93"/>
      <c r="NL21" s="93"/>
      <c r="NM21" s="93"/>
      <c r="NN21" s="93"/>
      <c r="NO21" s="93"/>
      <c r="NP21" s="93"/>
      <c r="NQ21" s="93"/>
      <c r="NR21" s="93"/>
      <c r="NS21" s="93"/>
      <c r="NT21" s="93"/>
      <c r="NU21" s="93"/>
      <c r="NV21" s="93"/>
      <c r="NW21" s="93"/>
      <c r="NX21" s="93"/>
      <c r="NY21" s="93"/>
      <c r="NZ21" s="93"/>
      <c r="OA21" s="93"/>
      <c r="OB21" s="93"/>
      <c r="OC21" s="93"/>
      <c r="OD21" s="93"/>
      <c r="OE21" s="93"/>
      <c r="OF21" s="93"/>
      <c r="OG21" s="93"/>
      <c r="OH21" s="93"/>
      <c r="OI21" s="93"/>
      <c r="OJ21" s="93"/>
      <c r="OK21" s="93"/>
      <c r="OL21" s="93"/>
      <c r="OM21" s="93"/>
      <c r="ON21" s="93"/>
      <c r="OO21" s="93"/>
      <c r="OP21" s="93"/>
      <c r="OQ21" s="93"/>
      <c r="OR21" s="93"/>
      <c r="OS21" s="93"/>
      <c r="OT21" s="93"/>
      <c r="OU21" s="93"/>
      <c r="OV21" s="93"/>
      <c r="OW21" s="93"/>
      <c r="OX21" s="93"/>
      <c r="OY21" s="93"/>
      <c r="OZ21" s="93"/>
      <c r="PA21" s="93"/>
      <c r="PB21" s="93"/>
      <c r="PC21" s="93"/>
      <c r="PD21" s="93"/>
      <c r="PE21" s="93"/>
      <c r="PF21" s="93"/>
      <c r="PG21" s="93"/>
      <c r="PH21" s="93"/>
      <c r="PI21" s="93"/>
      <c r="PJ21" s="93"/>
      <c r="PK21" s="93"/>
      <c r="PL21" s="93"/>
      <c r="PM21" s="93"/>
      <c r="PN21" s="93"/>
      <c r="PO21" s="93"/>
      <c r="PP21" s="93"/>
      <c r="PQ21" s="93"/>
      <c r="PR21" s="93"/>
      <c r="PS21" s="93"/>
      <c r="PT21" s="93"/>
      <c r="PU21" s="93"/>
      <c r="PV21" s="93"/>
      <c r="PW21" s="93"/>
      <c r="PX21" s="93"/>
      <c r="PY21" s="93"/>
      <c r="PZ21" s="93"/>
      <c r="QA21" s="93"/>
      <c r="QB21" s="93"/>
      <c r="QC21" s="93"/>
      <c r="QD21" s="93"/>
      <c r="QE21" s="93"/>
      <c r="QF21" s="93"/>
      <c r="QG21" s="93"/>
      <c r="QH21" s="93"/>
      <c r="QI21" s="93"/>
      <c r="QJ21" s="93"/>
      <c r="QK21" s="93"/>
      <c r="QL21" s="93"/>
      <c r="QM21" s="93"/>
      <c r="QN21" s="93"/>
      <c r="QO21" s="93"/>
      <c r="QP21" s="93"/>
      <c r="QQ21" s="93"/>
      <c r="QR21" s="93"/>
      <c r="QS21" s="93"/>
      <c r="QT21" s="93"/>
      <c r="QU21" s="93"/>
      <c r="QV21" s="93"/>
      <c r="QW21" s="93"/>
      <c r="QX21" s="93"/>
      <c r="QY21" s="93"/>
      <c r="QZ21" s="93"/>
      <c r="RA21" s="93"/>
      <c r="RB21" s="93"/>
      <c r="RC21" s="93"/>
      <c r="RD21" s="93"/>
      <c r="RE21" s="93"/>
      <c r="RF21" s="93"/>
      <c r="RG21" s="93"/>
      <c r="RH21" s="93"/>
      <c r="RI21" s="93"/>
      <c r="RJ21" s="93"/>
      <c r="RK21" s="93"/>
      <c r="RL21" s="93"/>
      <c r="RM21" s="93"/>
      <c r="RN21" s="93"/>
      <c r="RO21" s="93"/>
      <c r="RP21" s="93"/>
      <c r="RQ21" s="93"/>
      <c r="RR21" s="93"/>
      <c r="RS21" s="93"/>
      <c r="RT21" s="93"/>
      <c r="RU21" s="93"/>
      <c r="RV21" s="93"/>
      <c r="RW21" s="93"/>
      <c r="RX21" s="93"/>
      <c r="RY21" s="93"/>
      <c r="RZ21" s="93"/>
      <c r="SA21" s="93"/>
      <c r="SB21" s="93"/>
      <c r="SC21" s="93"/>
      <c r="SD21" s="93"/>
      <c r="SE21" s="93"/>
      <c r="SF21" s="93"/>
      <c r="SG21" s="93"/>
      <c r="SH21" s="93"/>
      <c r="SI21" s="93"/>
      <c r="SJ21" s="93"/>
      <c r="SK21" s="93"/>
      <c r="SL21" s="93"/>
      <c r="SM21" s="93"/>
      <c r="SN21" s="93"/>
      <c r="SO21" s="93"/>
      <c r="SP21" s="93"/>
      <c r="SQ21" s="93"/>
      <c r="SR21" s="93"/>
      <c r="SS21" s="93"/>
      <c r="ST21" s="93"/>
      <c r="SU21" s="93"/>
      <c r="SV21" s="93"/>
      <c r="SW21" s="93"/>
      <c r="SX21" s="93"/>
      <c r="SY21" s="93"/>
      <c r="SZ21" s="93"/>
      <c r="TA21" s="93"/>
      <c r="TB21" s="93"/>
      <c r="TC21" s="93"/>
      <c r="TD21" s="93"/>
      <c r="TE21" s="93"/>
      <c r="TF21" s="93"/>
      <c r="TG21" s="93"/>
      <c r="TH21" s="93"/>
      <c r="TI21" s="93"/>
      <c r="TJ21" s="93"/>
      <c r="TK21" s="93"/>
      <c r="TL21" s="93"/>
      <c r="TM21" s="93"/>
      <c r="TN21" s="93"/>
      <c r="TO21" s="93"/>
      <c r="TP21" s="93"/>
      <c r="TQ21" s="93"/>
      <c r="TR21" s="93"/>
      <c r="TS21" s="93"/>
      <c r="TT21" s="93"/>
      <c r="TU21" s="93"/>
      <c r="TV21" s="93"/>
      <c r="TW21" s="93"/>
      <c r="TX21" s="93"/>
      <c r="TY21" s="93"/>
      <c r="TZ21" s="93"/>
      <c r="UA21" s="93"/>
      <c r="UB21" s="93"/>
      <c r="UC21" s="93"/>
      <c r="UD21" s="93"/>
      <c r="UE21" s="93"/>
      <c r="UF21" s="93"/>
      <c r="UG21" s="93"/>
      <c r="UH21" s="93"/>
      <c r="UI21" s="93"/>
      <c r="UJ21" s="93"/>
      <c r="UK21" s="93"/>
      <c r="UL21" s="93"/>
      <c r="UM21" s="93"/>
      <c r="UN21" s="93"/>
      <c r="UO21" s="93"/>
      <c r="UP21" s="93"/>
      <c r="UQ21" s="93"/>
      <c r="UR21" s="93"/>
      <c r="US21" s="93"/>
      <c r="UT21" s="93"/>
      <c r="UU21" s="93"/>
      <c r="UV21" s="93"/>
      <c r="UW21" s="93"/>
      <c r="UX21" s="93"/>
      <c r="UY21" s="93"/>
      <c r="UZ21" s="93"/>
      <c r="VA21" s="93"/>
      <c r="VB21" s="93"/>
      <c r="VC21" s="93"/>
      <c r="VD21" s="93"/>
      <c r="VE21" s="93"/>
      <c r="VF21" s="93"/>
      <c r="VG21" s="93"/>
      <c r="VH21" s="93"/>
      <c r="VI21" s="93"/>
      <c r="VJ21" s="93"/>
      <c r="VK21" s="93"/>
      <c r="VL21" s="93"/>
      <c r="VM21" s="93"/>
      <c r="VN21" s="93"/>
      <c r="VO21" s="93"/>
      <c r="VP21" s="93"/>
      <c r="VQ21" s="93"/>
      <c r="VR21" s="93"/>
      <c r="VS21" s="93"/>
      <c r="VT21" s="93"/>
      <c r="VU21" s="93"/>
      <c r="VV21" s="93"/>
      <c r="VW21" s="93"/>
      <c r="VX21" s="93"/>
      <c r="VY21" s="93"/>
      <c r="VZ21" s="93"/>
      <c r="WA21" s="93"/>
      <c r="WB21" s="93"/>
      <c r="WC21" s="93"/>
      <c r="WD21" s="93"/>
      <c r="WE21" s="93"/>
      <c r="WF21" s="93"/>
      <c r="WG21" s="93"/>
      <c r="WH21" s="93"/>
      <c r="WI21" s="93"/>
      <c r="WJ21" s="93"/>
      <c r="WK21" s="93"/>
      <c r="WL21" s="93"/>
      <c r="WM21" s="93"/>
      <c r="WN21" s="93"/>
      <c r="WO21" s="93"/>
      <c r="WP21" s="93"/>
      <c r="WQ21" s="93"/>
      <c r="WR21" s="93"/>
      <c r="WS21" s="93"/>
      <c r="WT21" s="93"/>
      <c r="WU21" s="93"/>
      <c r="WV21" s="93"/>
      <c r="WW21" s="93"/>
      <c r="WX21" s="93"/>
      <c r="WY21" s="93"/>
      <c r="WZ21" s="93"/>
      <c r="XA21" s="93"/>
      <c r="XB21" s="93"/>
      <c r="XC21" s="93"/>
      <c r="XD21" s="93"/>
      <c r="XE21" s="93"/>
      <c r="XF21" s="93"/>
      <c r="XG21" s="93"/>
      <c r="XH21" s="93"/>
      <c r="XI21" s="93"/>
      <c r="XJ21" s="93"/>
      <c r="XK21" s="93"/>
      <c r="XL21" s="93"/>
      <c r="XM21" s="93"/>
      <c r="XN21" s="93"/>
      <c r="XO21" s="93"/>
      <c r="XP21" s="93"/>
      <c r="XQ21" s="93"/>
      <c r="XR21" s="93"/>
      <c r="XS21" s="93"/>
      <c r="XT21" s="93"/>
      <c r="XU21" s="93"/>
      <c r="XV21" s="93"/>
      <c r="XW21" s="93"/>
      <c r="XX21" s="93"/>
      <c r="XY21" s="93"/>
      <c r="XZ21" s="93"/>
      <c r="YA21" s="93"/>
      <c r="YB21" s="93"/>
      <c r="YC21" s="93"/>
      <c r="YD21" s="93"/>
      <c r="YE21" s="93"/>
      <c r="YF21" s="93"/>
      <c r="YG21" s="93"/>
      <c r="YH21" s="93"/>
      <c r="YI21" s="93"/>
      <c r="YJ21" s="93"/>
      <c r="YK21" s="93"/>
      <c r="YL21" s="93"/>
      <c r="YM21" s="93"/>
      <c r="YN21" s="93"/>
      <c r="YO21" s="93"/>
      <c r="YP21" s="93"/>
      <c r="YQ21" s="93"/>
      <c r="YR21" s="93"/>
      <c r="YS21" s="93"/>
      <c r="YT21" s="93"/>
      <c r="YU21" s="93"/>
      <c r="YV21" s="93"/>
      <c r="YW21" s="93"/>
      <c r="YX21" s="93"/>
      <c r="YY21" s="93"/>
      <c r="YZ21" s="93"/>
      <c r="ZA21" s="93"/>
      <c r="ZB21" s="93"/>
      <c r="ZC21" s="93"/>
      <c r="ZD21" s="93"/>
      <c r="ZE21" s="93"/>
      <c r="ZF21" s="93"/>
      <c r="ZG21" s="93"/>
      <c r="ZH21" s="93"/>
      <c r="ZI21" s="93"/>
      <c r="ZJ21" s="93"/>
      <c r="ZK21" s="93"/>
      <c r="ZL21" s="93"/>
      <c r="ZM21" s="93"/>
      <c r="ZN21" s="93"/>
      <c r="ZO21" s="93"/>
      <c r="ZP21" s="93"/>
      <c r="ZQ21" s="93"/>
      <c r="ZR21" s="93"/>
      <c r="ZS21" s="93"/>
      <c r="ZT21" s="93"/>
      <c r="ZU21" s="93"/>
      <c r="ZV21" s="93"/>
      <c r="ZW21" s="93"/>
      <c r="ZX21" s="93"/>
      <c r="ZY21" s="93"/>
      <c r="ZZ21" s="93"/>
      <c r="AAA21" s="93"/>
      <c r="AAB21" s="93"/>
      <c r="AAC21" s="93"/>
      <c r="AAD21" s="93"/>
      <c r="AAE21" s="93"/>
      <c r="AAF21" s="93"/>
      <c r="AAG21" s="93"/>
      <c r="AAH21" s="93"/>
      <c r="AAI21" s="93"/>
      <c r="AAJ21" s="93"/>
      <c r="AAK21" s="93"/>
      <c r="AAL21" s="93"/>
      <c r="AAM21" s="93"/>
      <c r="AAN21" s="93"/>
      <c r="AAO21" s="93"/>
      <c r="AAP21" s="93"/>
      <c r="AAQ21" s="93"/>
      <c r="AAR21" s="93"/>
      <c r="AAS21" s="93"/>
      <c r="AAT21" s="93"/>
      <c r="AAU21" s="93"/>
      <c r="AAV21" s="93"/>
      <c r="AAW21" s="93"/>
      <c r="AAX21" s="93"/>
      <c r="AAY21" s="93"/>
      <c r="AAZ21" s="93"/>
      <c r="ABA21" s="93"/>
      <c r="ABB21" s="93"/>
      <c r="ABC21" s="93"/>
      <c r="ABD21" s="93"/>
      <c r="ABE21" s="93"/>
      <c r="ABF21" s="93"/>
      <c r="ABG21" s="93"/>
      <c r="ABH21" s="93"/>
      <c r="ABI21" s="93"/>
      <c r="ABJ21" s="93"/>
      <c r="ABK21" s="93"/>
      <c r="ABL21" s="93"/>
      <c r="ABM21" s="93"/>
      <c r="ABN21" s="93"/>
      <c r="ABO21" s="93"/>
      <c r="ABP21" s="93"/>
      <c r="ABQ21" s="93"/>
      <c r="ABR21" s="93"/>
      <c r="ABS21" s="93"/>
      <c r="ABT21" s="93"/>
      <c r="ABU21" s="93"/>
      <c r="ABV21" s="93"/>
      <c r="ABW21" s="93"/>
      <c r="ABX21" s="93"/>
      <c r="ABY21" s="93"/>
      <c r="ABZ21" s="93"/>
      <c r="ACA21" s="93"/>
      <c r="ACB21" s="93"/>
      <c r="ACC21" s="93"/>
      <c r="ACD21" s="93"/>
      <c r="ACE21" s="93"/>
      <c r="ACF21" s="93"/>
      <c r="ACG21" s="93"/>
      <c r="ACH21" s="93"/>
      <c r="ACI21" s="93"/>
      <c r="ACJ21" s="93"/>
      <c r="ACK21" s="93"/>
      <c r="ACL21" s="93"/>
      <c r="ACM21" s="93"/>
      <c r="ACN21" s="93"/>
      <c r="ACO21" s="93"/>
      <c r="ACP21" s="93"/>
      <c r="ACQ21" s="93"/>
      <c r="ACR21" s="93"/>
      <c r="ACS21" s="93"/>
      <c r="ACT21" s="93"/>
      <c r="ACU21" s="93"/>
      <c r="ACV21" s="93"/>
      <c r="ACW21" s="93"/>
      <c r="ACX21" s="93"/>
      <c r="ACY21" s="93"/>
      <c r="ACZ21" s="93"/>
      <c r="ADA21" s="93"/>
      <c r="ADB21" s="93"/>
      <c r="ADC21" s="93"/>
      <c r="ADD21" s="93"/>
      <c r="ADE21" s="93"/>
      <c r="ADF21" s="93"/>
      <c r="ADG21" s="93"/>
      <c r="ADH21" s="93"/>
      <c r="ADI21" s="93"/>
      <c r="ADJ21" s="93"/>
      <c r="ADK21" s="93"/>
      <c r="ADL21" s="93"/>
      <c r="ADM21" s="93"/>
      <c r="ADN21" s="93"/>
      <c r="ADO21" s="93"/>
      <c r="ADP21" s="93"/>
      <c r="ADQ21" s="93"/>
      <c r="ADR21" s="93"/>
      <c r="ADS21" s="93"/>
      <c r="ADT21" s="93"/>
      <c r="ADU21" s="93"/>
      <c r="ADV21" s="93"/>
      <c r="ADW21" s="93"/>
      <c r="ADX21" s="93"/>
      <c r="ADY21" s="93"/>
      <c r="ADZ21" s="93"/>
      <c r="AEA21" s="93"/>
      <c r="AEB21" s="93"/>
      <c r="AEC21" s="93"/>
      <c r="AED21" s="93"/>
      <c r="AEE21" s="93"/>
      <c r="AEF21" s="93"/>
      <c r="AEG21" s="93"/>
      <c r="AEH21" s="93"/>
      <c r="AEI21" s="93"/>
      <c r="AEJ21" s="93"/>
      <c r="AEK21" s="93"/>
      <c r="AEL21" s="93"/>
      <c r="AEM21" s="93"/>
      <c r="AEN21" s="93"/>
      <c r="AEO21" s="93"/>
      <c r="AEP21" s="93"/>
      <c r="AEQ21" s="93"/>
      <c r="AER21" s="93"/>
      <c r="AES21" s="93"/>
      <c r="AET21" s="93"/>
      <c r="AEU21" s="93"/>
      <c r="AEV21" s="93"/>
      <c r="AEW21" s="93"/>
      <c r="AEX21" s="93"/>
      <c r="AEY21" s="93"/>
      <c r="AEZ21" s="93"/>
      <c r="AFA21" s="93"/>
      <c r="AFB21" s="93"/>
      <c r="AFC21" s="93"/>
      <c r="AFD21" s="93"/>
      <c r="AFE21" s="93"/>
      <c r="AFF21" s="93"/>
      <c r="AFG21" s="93"/>
      <c r="AFH21" s="93"/>
      <c r="AFI21" s="93"/>
      <c r="AFJ21" s="93"/>
      <c r="AFK21" s="93"/>
      <c r="AFL21" s="93"/>
      <c r="AFM21" s="93"/>
      <c r="AFN21" s="93"/>
      <c r="AFO21" s="93"/>
      <c r="AFP21" s="93"/>
      <c r="AFQ21" s="93"/>
      <c r="AFR21" s="93"/>
      <c r="AFS21" s="93"/>
      <c r="AFT21" s="93"/>
      <c r="AFU21" s="93"/>
      <c r="AFV21" s="93"/>
      <c r="AFW21" s="93"/>
      <c r="AFX21" s="93"/>
      <c r="AFY21" s="93"/>
      <c r="AFZ21" s="93"/>
      <c r="AGA21" s="93"/>
      <c r="AGB21" s="93"/>
      <c r="AGC21" s="93"/>
      <c r="AGD21" s="93"/>
      <c r="AGE21" s="93"/>
      <c r="AGF21" s="93"/>
      <c r="AGG21" s="93"/>
      <c r="AGH21" s="93"/>
      <c r="AGI21" s="93"/>
      <c r="AGJ21" s="93"/>
      <c r="AGK21" s="93"/>
      <c r="AGL21" s="93"/>
      <c r="AGM21" s="93"/>
      <c r="AGN21" s="93"/>
      <c r="AGO21" s="93"/>
      <c r="AGP21" s="93"/>
      <c r="AGQ21" s="93"/>
      <c r="AGR21" s="93"/>
      <c r="AGS21" s="93"/>
      <c r="AGT21" s="93"/>
      <c r="AGU21" s="93"/>
      <c r="AGV21" s="93"/>
      <c r="AGW21" s="93"/>
      <c r="AGX21" s="93"/>
      <c r="AGY21" s="93"/>
      <c r="AGZ21" s="93"/>
      <c r="AHA21" s="93"/>
      <c r="AHB21" s="93"/>
      <c r="AHC21" s="93"/>
      <c r="AHD21" s="93"/>
      <c r="AHE21" s="93"/>
      <c r="AHF21" s="93"/>
      <c r="AHG21" s="93"/>
      <c r="AHH21" s="93"/>
      <c r="AHI21" s="93"/>
      <c r="AHJ21" s="93"/>
      <c r="AHK21" s="93"/>
      <c r="AHL21" s="93"/>
      <c r="AHM21" s="93"/>
      <c r="AHN21" s="93"/>
      <c r="AHO21" s="93"/>
      <c r="AHP21" s="93"/>
      <c r="AHQ21" s="93"/>
      <c r="AHR21" s="93"/>
      <c r="AHS21" s="93"/>
      <c r="AHT21" s="93"/>
      <c r="AHU21" s="93"/>
      <c r="AHV21" s="93"/>
      <c r="AHW21" s="93"/>
      <c r="AHX21" s="93"/>
      <c r="AHY21" s="93"/>
      <c r="AHZ21" s="93"/>
      <c r="AIA21" s="93"/>
      <c r="AIB21" s="93"/>
      <c r="AIC21" s="93"/>
      <c r="AID21" s="93"/>
      <c r="AIE21" s="93"/>
      <c r="AIF21" s="93"/>
      <c r="AIG21" s="93"/>
      <c r="AIH21" s="93"/>
      <c r="AII21" s="93"/>
      <c r="AIJ21" s="93"/>
      <c r="AIK21" s="93"/>
      <c r="AIL21" s="93"/>
      <c r="AIM21" s="93"/>
      <c r="AIN21" s="93"/>
      <c r="AIO21" s="93"/>
      <c r="AIP21" s="93"/>
      <c r="AIQ21" s="93"/>
      <c r="AIR21" s="93"/>
      <c r="AIS21" s="93"/>
      <c r="AIT21" s="93"/>
      <c r="AIU21" s="93"/>
      <c r="AIV21" s="93"/>
      <c r="AIW21" s="93"/>
      <c r="AIX21" s="93"/>
      <c r="AIY21" s="93"/>
      <c r="AIZ21" s="93"/>
      <c r="AJA21" s="93"/>
      <c r="AJB21" s="93"/>
      <c r="AJC21" s="93"/>
      <c r="AJD21" s="93"/>
      <c r="AJE21" s="93"/>
      <c r="AJF21" s="93"/>
      <c r="AJG21" s="93"/>
      <c r="AJH21" s="93"/>
      <c r="AJI21" s="93"/>
      <c r="AJJ21" s="93"/>
      <c r="AJK21" s="93"/>
      <c r="AJL21" s="93"/>
      <c r="AJM21" s="93"/>
      <c r="AJN21" s="93"/>
      <c r="AJO21" s="93"/>
      <c r="AJP21" s="93"/>
      <c r="AJQ21" s="93"/>
      <c r="AJR21" s="93"/>
      <c r="AJS21" s="93"/>
      <c r="AJT21" s="93"/>
      <c r="AJU21" s="93"/>
      <c r="AJV21" s="93"/>
      <c r="AJW21" s="93"/>
      <c r="AJX21" s="93"/>
      <c r="AJY21" s="93"/>
      <c r="AJZ21" s="93"/>
      <c r="AKA21" s="93"/>
      <c r="AKB21" s="93"/>
      <c r="AKC21" s="93"/>
      <c r="AKD21" s="93"/>
      <c r="AKE21" s="93"/>
      <c r="AKF21" s="93"/>
      <c r="AKG21" s="93"/>
      <c r="AKH21" s="93"/>
      <c r="AKI21" s="93"/>
      <c r="AKJ21" s="93"/>
      <c r="AKK21" s="93"/>
      <c r="AKL21" s="93"/>
      <c r="AKM21" s="93"/>
      <c r="AKN21" s="93"/>
      <c r="AKO21" s="93"/>
      <c r="AKP21" s="93"/>
      <c r="AKQ21" s="93"/>
      <c r="AKR21" s="93"/>
      <c r="AKS21" s="93"/>
      <c r="AKT21" s="93"/>
      <c r="AKU21" s="93"/>
      <c r="AKV21" s="93"/>
      <c r="AKW21" s="93"/>
      <c r="AKX21" s="93"/>
      <c r="AKY21" s="93"/>
      <c r="AKZ21" s="93"/>
      <c r="ALA21" s="93"/>
      <c r="ALB21" s="93"/>
      <c r="ALC21" s="93"/>
      <c r="ALD21" s="93"/>
      <c r="ALE21" s="93"/>
      <c r="ALF21" s="93"/>
      <c r="ALG21" s="93"/>
      <c r="ALH21" s="93"/>
      <c r="ALI21" s="93"/>
      <c r="ALJ21" s="93"/>
      <c r="ALK21" s="93"/>
      <c r="ALL21" s="93"/>
      <c r="ALM21" s="93"/>
      <c r="ALN21" s="93"/>
      <c r="ALO21" s="93"/>
      <c r="ALP21" s="93"/>
      <c r="ALQ21" s="93"/>
      <c r="ALR21" s="93"/>
      <c r="ALS21" s="93"/>
      <c r="ALT21" s="93"/>
      <c r="ALU21" s="93"/>
      <c r="ALV21" s="93"/>
      <c r="ALW21" s="93"/>
      <c r="ALX21" s="93"/>
      <c r="ALY21" s="93"/>
      <c r="ALZ21" s="93"/>
      <c r="AMA21" s="93"/>
      <c r="AMB21" s="93"/>
      <c r="AMC21" s="93"/>
      <c r="AMD21" s="93"/>
      <c r="AME21" s="93"/>
      <c r="AMF21" s="93"/>
      <c r="AMG21" s="93"/>
      <c r="AMH21" s="93"/>
      <c r="AMI21" s="93"/>
      <c r="AMJ21" s="93"/>
      <c r="AMK21" s="93"/>
      <c r="AML21" s="93"/>
      <c r="AMM21" s="93"/>
      <c r="AMN21" s="93"/>
      <c r="AMO21" s="93"/>
      <c r="AMP21" s="93"/>
      <c r="AMQ21" s="93"/>
      <c r="AMR21" s="93"/>
      <c r="AMS21" s="93"/>
      <c r="AMT21" s="93"/>
      <c r="AMU21" s="93"/>
      <c r="AMV21" s="93"/>
      <c r="AMW21" s="93"/>
      <c r="AMX21" s="93"/>
      <c r="AMY21" s="93"/>
      <c r="AMZ21" s="93"/>
      <c r="ANA21" s="93"/>
      <c r="ANB21" s="93"/>
      <c r="ANC21" s="93"/>
      <c r="AND21" s="93"/>
      <c r="ANE21" s="93"/>
      <c r="ANF21" s="93"/>
      <c r="ANG21" s="93"/>
      <c r="ANH21" s="93"/>
      <c r="ANI21" s="93"/>
      <c r="ANJ21" s="93"/>
      <c r="ANK21" s="93"/>
      <c r="ANL21" s="93"/>
      <c r="ANM21" s="93"/>
      <c r="ANN21" s="93"/>
      <c r="ANO21" s="93"/>
      <c r="ANP21" s="93"/>
      <c r="ANQ21" s="93"/>
      <c r="ANR21" s="93"/>
      <c r="ANS21" s="93"/>
      <c r="ANT21" s="93"/>
      <c r="ANU21" s="93"/>
      <c r="ANV21" s="93"/>
      <c r="ANW21" s="93"/>
      <c r="ANX21" s="93"/>
      <c r="ANY21" s="93"/>
      <c r="ANZ21" s="93"/>
      <c r="AOA21" s="93"/>
      <c r="AOB21" s="93"/>
      <c r="AOC21" s="93"/>
      <c r="AOD21" s="93"/>
      <c r="AOE21" s="93"/>
      <c r="AOF21" s="93"/>
      <c r="AOG21" s="93"/>
      <c r="AOH21" s="93"/>
      <c r="AOI21" s="93"/>
      <c r="AOJ21" s="93"/>
      <c r="AOK21" s="93"/>
      <c r="AOL21" s="93"/>
      <c r="AOM21" s="93"/>
      <c r="AON21" s="93"/>
      <c r="AOO21" s="93"/>
      <c r="AOP21" s="93"/>
      <c r="AOQ21" s="93"/>
      <c r="AOR21" s="93"/>
      <c r="AOS21" s="93"/>
      <c r="AOT21" s="93"/>
      <c r="AOU21" s="93"/>
      <c r="AOV21" s="93"/>
      <c r="AOW21" s="93"/>
      <c r="AOX21" s="93"/>
      <c r="AOY21" s="93"/>
      <c r="AOZ21" s="93"/>
      <c r="APA21" s="93"/>
      <c r="APB21" s="93"/>
      <c r="APC21" s="93"/>
      <c r="APD21" s="93"/>
      <c r="APE21" s="93"/>
      <c r="APF21" s="93"/>
      <c r="APG21" s="93"/>
      <c r="APH21" s="93"/>
      <c r="API21" s="93"/>
      <c r="APJ21" s="93"/>
      <c r="APK21" s="93"/>
      <c r="APL21" s="93"/>
      <c r="APM21" s="93"/>
      <c r="APN21" s="93"/>
      <c r="APO21" s="93"/>
      <c r="APP21" s="93"/>
      <c r="APQ21" s="93"/>
      <c r="APR21" s="93"/>
      <c r="APS21" s="93"/>
      <c r="APT21" s="93"/>
      <c r="APU21" s="93"/>
      <c r="APV21" s="93"/>
      <c r="APW21" s="93"/>
      <c r="APX21" s="93"/>
      <c r="APY21" s="93"/>
      <c r="APZ21" s="93"/>
      <c r="AQA21" s="93"/>
      <c r="AQB21" s="93"/>
      <c r="AQC21" s="93"/>
      <c r="AQD21" s="93"/>
      <c r="AQE21" s="93"/>
      <c r="AQF21" s="93"/>
      <c r="AQG21" s="93"/>
      <c r="AQH21" s="93"/>
      <c r="AQI21" s="93"/>
      <c r="AQJ21" s="93"/>
      <c r="AQK21" s="93"/>
      <c r="AQL21" s="93"/>
      <c r="AQM21" s="93"/>
      <c r="AQN21" s="93"/>
      <c r="AQO21" s="93"/>
      <c r="AQP21" s="93"/>
      <c r="AQQ21" s="93"/>
      <c r="AQR21" s="93"/>
      <c r="AQS21" s="93"/>
      <c r="AQT21" s="93"/>
      <c r="AQU21" s="93"/>
      <c r="AQV21" s="93"/>
      <c r="AQW21" s="93"/>
      <c r="AQX21" s="93"/>
      <c r="AQY21" s="93"/>
      <c r="AQZ21" s="93"/>
      <c r="ARA21" s="93"/>
      <c r="ARB21" s="93"/>
      <c r="ARC21" s="93"/>
      <c r="ARD21" s="93"/>
      <c r="ARE21" s="93"/>
      <c r="ARF21" s="93"/>
      <c r="ARG21" s="93"/>
      <c r="ARH21" s="93"/>
      <c r="ARI21" s="93"/>
      <c r="ARJ21" s="93"/>
      <c r="ARK21" s="93"/>
      <c r="ARL21" s="93"/>
      <c r="ARM21" s="93"/>
      <c r="ARN21" s="93"/>
      <c r="ARO21" s="93"/>
      <c r="ARP21" s="93"/>
      <c r="ARQ21" s="93"/>
      <c r="ARR21" s="93"/>
      <c r="ARS21" s="93"/>
      <c r="ART21" s="93"/>
      <c r="ARU21" s="93"/>
      <c r="ARV21" s="93"/>
      <c r="ARW21" s="93"/>
      <c r="ARX21" s="93"/>
      <c r="ARY21" s="93"/>
      <c r="ARZ21" s="93"/>
      <c r="ASA21" s="93"/>
      <c r="ASB21" s="93"/>
      <c r="ASC21" s="93"/>
      <c r="ASD21" s="93"/>
      <c r="ASE21" s="93"/>
      <c r="ASF21" s="93"/>
      <c r="ASG21" s="93"/>
      <c r="ASH21" s="93"/>
      <c r="ASI21" s="93"/>
      <c r="ASJ21" s="93"/>
      <c r="ASK21" s="93"/>
      <c r="ASL21" s="93"/>
      <c r="ASM21" s="93"/>
      <c r="ASN21" s="93"/>
      <c r="ASO21" s="93"/>
      <c r="ASP21" s="93"/>
      <c r="ASQ21" s="93"/>
      <c r="ASR21" s="93"/>
      <c r="ASS21" s="93"/>
      <c r="AST21" s="93"/>
      <c r="ASU21" s="93"/>
      <c r="ASV21" s="93"/>
      <c r="ASW21" s="93"/>
      <c r="ASX21" s="93"/>
      <c r="ASY21" s="93"/>
      <c r="ASZ21" s="93"/>
      <c r="ATA21" s="93"/>
      <c r="ATB21" s="93"/>
      <c r="ATC21" s="93"/>
      <c r="ATD21" s="93"/>
      <c r="ATE21" s="93"/>
      <c r="ATF21" s="93"/>
      <c r="ATG21" s="93"/>
      <c r="ATH21" s="93"/>
      <c r="ATI21" s="93"/>
      <c r="ATJ21" s="93"/>
      <c r="ATK21" s="93"/>
      <c r="ATL21" s="93"/>
      <c r="ATM21" s="93"/>
      <c r="ATN21" s="93"/>
      <c r="ATO21" s="93"/>
      <c r="ATP21" s="93"/>
      <c r="ATQ21" s="93"/>
      <c r="ATR21" s="93"/>
      <c r="ATS21" s="93"/>
      <c r="ATT21" s="93"/>
      <c r="ATU21" s="93"/>
      <c r="ATV21" s="93"/>
      <c r="ATW21" s="93"/>
      <c r="ATX21" s="93"/>
      <c r="ATY21" s="93"/>
      <c r="ATZ21" s="93"/>
      <c r="AUA21" s="93"/>
      <c r="AUB21" s="93"/>
      <c r="AUC21" s="93"/>
      <c r="AUD21" s="93"/>
      <c r="AUE21" s="93"/>
      <c r="AUF21" s="93"/>
      <c r="AUG21" s="93"/>
      <c r="AUH21" s="93"/>
      <c r="AUI21" s="93"/>
      <c r="AUJ21" s="93"/>
      <c r="AUK21" s="93"/>
      <c r="AUL21" s="93"/>
      <c r="AUM21" s="93"/>
      <c r="AUN21" s="93"/>
      <c r="AUO21" s="93"/>
      <c r="AUP21" s="93"/>
      <c r="AUQ21" s="93"/>
      <c r="AUR21" s="93"/>
      <c r="AUS21" s="93"/>
      <c r="AUT21" s="93"/>
      <c r="AUU21" s="93"/>
      <c r="AUV21" s="93"/>
      <c r="AUW21" s="93"/>
      <c r="AUX21" s="93"/>
      <c r="AUY21" s="93"/>
      <c r="AUZ21" s="93"/>
      <c r="AVA21" s="93"/>
      <c r="AVB21" s="93"/>
      <c r="AVC21" s="93"/>
      <c r="AVD21" s="93"/>
      <c r="AVE21" s="93"/>
      <c r="AVF21" s="93"/>
      <c r="AVG21" s="93"/>
      <c r="AVH21" s="93"/>
      <c r="AVI21" s="93"/>
      <c r="AVJ21" s="93"/>
      <c r="AVK21" s="93"/>
      <c r="AVL21" s="93"/>
      <c r="AVM21" s="93"/>
      <c r="AVN21" s="93"/>
      <c r="AVO21" s="93"/>
      <c r="AVP21" s="93"/>
      <c r="AVQ21" s="93"/>
      <c r="AVR21" s="93"/>
      <c r="AVS21" s="93"/>
      <c r="AVT21" s="93"/>
      <c r="AVU21" s="93"/>
      <c r="AVV21" s="93"/>
      <c r="AVW21" s="93"/>
      <c r="AVX21" s="93"/>
      <c r="AVY21" s="93"/>
      <c r="AVZ21" s="93"/>
      <c r="AWA21" s="93"/>
      <c r="AWB21" s="93"/>
      <c r="AWC21" s="93"/>
      <c r="AWD21" s="93"/>
      <c r="AWE21" s="93"/>
      <c r="AWF21" s="93"/>
      <c r="AWG21" s="93"/>
      <c r="AWH21" s="93"/>
      <c r="AWI21" s="93"/>
      <c r="AWJ21" s="93"/>
      <c r="AWK21" s="93"/>
      <c r="AWL21" s="93"/>
      <c r="AWM21" s="93"/>
      <c r="AWN21" s="93"/>
      <c r="AWO21" s="93"/>
      <c r="AWP21" s="93"/>
      <c r="AWQ21" s="93"/>
      <c r="AWR21" s="93"/>
      <c r="AWS21" s="93"/>
      <c r="AWT21" s="93"/>
      <c r="AWU21" s="93"/>
      <c r="AWV21" s="93"/>
      <c r="AWW21" s="93"/>
      <c r="AWX21" s="93"/>
      <c r="AWY21" s="93"/>
      <c r="AWZ21" s="93"/>
      <c r="AXA21" s="93"/>
      <c r="AXB21" s="93"/>
      <c r="AXC21" s="93"/>
      <c r="AXD21" s="93"/>
      <c r="AXE21" s="93"/>
      <c r="AXF21" s="93"/>
      <c r="AXG21" s="93"/>
      <c r="AXH21" s="93"/>
      <c r="AXI21" s="93"/>
      <c r="AXJ21" s="93"/>
      <c r="AXK21" s="93"/>
      <c r="AXL21" s="93"/>
      <c r="AXM21" s="93"/>
      <c r="AXN21" s="93"/>
      <c r="AXO21" s="93"/>
      <c r="AXP21" s="93"/>
      <c r="AXQ21" s="93"/>
      <c r="AXR21" s="93"/>
      <c r="AXS21" s="93"/>
      <c r="AXT21" s="93"/>
      <c r="AXU21" s="93"/>
      <c r="AXV21" s="93"/>
      <c r="AXW21" s="93"/>
      <c r="AXX21" s="93"/>
      <c r="AXY21" s="93"/>
      <c r="AXZ21" s="93"/>
      <c r="AYA21" s="93"/>
      <c r="AYB21" s="93"/>
      <c r="AYC21" s="93"/>
      <c r="AYD21" s="93"/>
      <c r="AYE21" s="93"/>
      <c r="AYF21" s="93"/>
      <c r="AYG21" s="93"/>
      <c r="AYH21" s="93"/>
      <c r="AYI21" s="93"/>
      <c r="AYJ21" s="93"/>
      <c r="AYK21" s="93"/>
      <c r="AYL21" s="93"/>
      <c r="AYM21" s="93"/>
      <c r="AYN21" s="93"/>
      <c r="AYO21" s="93"/>
      <c r="AYP21" s="93"/>
      <c r="AYQ21" s="93"/>
      <c r="AYR21" s="93"/>
      <c r="AYS21" s="93"/>
      <c r="AYT21" s="93"/>
      <c r="AYU21" s="93"/>
      <c r="AYV21" s="93"/>
      <c r="AYW21" s="93"/>
      <c r="AYX21" s="93"/>
      <c r="AYY21" s="93"/>
      <c r="AYZ21" s="93"/>
      <c r="AZA21" s="93"/>
      <c r="AZB21" s="93"/>
      <c r="AZC21" s="93"/>
      <c r="AZD21" s="93"/>
      <c r="AZE21" s="93"/>
      <c r="AZF21" s="93"/>
      <c r="AZG21" s="93"/>
      <c r="AZH21" s="93"/>
      <c r="AZI21" s="93"/>
      <c r="AZJ21" s="93"/>
      <c r="AZK21" s="93"/>
      <c r="AZL21" s="93"/>
      <c r="AZM21" s="93"/>
      <c r="AZN21" s="93"/>
      <c r="AZO21" s="93"/>
      <c r="AZP21" s="93"/>
      <c r="AZQ21" s="93"/>
      <c r="AZR21" s="93"/>
      <c r="AZS21" s="93"/>
      <c r="AZT21" s="93"/>
      <c r="AZU21" s="93"/>
      <c r="AZV21" s="93"/>
      <c r="AZW21" s="93"/>
      <c r="AZX21" s="93"/>
      <c r="AZY21" s="93"/>
      <c r="AZZ21" s="93"/>
      <c r="BAA21" s="93"/>
      <c r="BAB21" s="93"/>
      <c r="BAC21" s="93"/>
      <c r="BAD21" s="93"/>
      <c r="BAE21" s="93"/>
      <c r="BAF21" s="93"/>
      <c r="BAG21" s="93"/>
      <c r="BAH21" s="93"/>
      <c r="BAI21" s="93"/>
      <c r="BAJ21" s="93"/>
      <c r="BAK21" s="93"/>
      <c r="BAL21" s="93"/>
      <c r="BAM21" s="93"/>
      <c r="BAN21" s="93"/>
      <c r="BAO21" s="93"/>
      <c r="BAP21" s="93"/>
      <c r="BAQ21" s="93"/>
      <c r="BAR21" s="93"/>
      <c r="BAS21" s="93"/>
      <c r="BAT21" s="93"/>
      <c r="BAU21" s="93"/>
      <c r="BAV21" s="93"/>
      <c r="BAW21" s="93"/>
      <c r="BAX21" s="93"/>
      <c r="BAY21" s="93"/>
      <c r="BAZ21" s="93"/>
      <c r="BBA21" s="93"/>
      <c r="BBB21" s="93"/>
      <c r="BBC21" s="93"/>
      <c r="BBD21" s="93"/>
      <c r="BBE21" s="93"/>
      <c r="BBF21" s="93"/>
      <c r="BBG21" s="93"/>
      <c r="BBH21" s="93"/>
      <c r="BBI21" s="93"/>
      <c r="BBJ21" s="93"/>
      <c r="BBK21" s="93"/>
      <c r="BBL21" s="93"/>
      <c r="BBM21" s="93"/>
      <c r="BBN21" s="93"/>
      <c r="BBO21" s="93"/>
      <c r="BBP21" s="93"/>
      <c r="BBQ21" s="93"/>
      <c r="BBR21" s="93"/>
      <c r="BBS21" s="93"/>
      <c r="BBT21" s="93"/>
      <c r="BBU21" s="93"/>
      <c r="BBV21" s="93"/>
      <c r="BBW21" s="93"/>
      <c r="BBX21" s="93"/>
      <c r="BBY21" s="93"/>
      <c r="BBZ21" s="93"/>
      <c r="BCA21" s="93"/>
      <c r="BCB21" s="93"/>
      <c r="BCC21" s="93"/>
      <c r="BCD21" s="93"/>
      <c r="BCE21" s="93"/>
      <c r="BCF21" s="93"/>
      <c r="BCG21" s="93"/>
      <c r="BCH21" s="93"/>
      <c r="BCI21" s="93"/>
      <c r="BCJ21" s="93"/>
      <c r="BCK21" s="93"/>
      <c r="BCL21" s="93"/>
      <c r="BCM21" s="93"/>
      <c r="BCN21" s="93"/>
      <c r="BCO21" s="93"/>
      <c r="BCP21" s="93"/>
      <c r="BCQ21" s="93"/>
      <c r="BCR21" s="93"/>
      <c r="BCS21" s="93"/>
      <c r="BCT21" s="93"/>
      <c r="BCU21" s="93"/>
      <c r="BCV21" s="93"/>
      <c r="BCW21" s="93"/>
      <c r="BCX21" s="93"/>
      <c r="BCY21" s="93"/>
      <c r="BCZ21" s="93"/>
      <c r="BDA21" s="93"/>
      <c r="BDB21" s="93"/>
      <c r="BDC21" s="93"/>
      <c r="BDD21" s="93"/>
      <c r="BDE21" s="93"/>
      <c r="BDF21" s="93"/>
      <c r="BDG21" s="93"/>
      <c r="BDH21" s="93"/>
      <c r="BDI21" s="93"/>
      <c r="BDJ21" s="93"/>
      <c r="BDK21" s="93"/>
      <c r="BDL21" s="93"/>
      <c r="BDM21" s="93"/>
      <c r="BDN21" s="93"/>
      <c r="BDO21" s="93"/>
      <c r="BDP21" s="93"/>
      <c r="BDQ21" s="93"/>
      <c r="BDR21" s="93"/>
      <c r="BDS21" s="93"/>
      <c r="BDT21" s="93"/>
      <c r="BDU21" s="93"/>
      <c r="BDV21" s="93"/>
      <c r="BDW21" s="93"/>
      <c r="BDX21" s="93"/>
      <c r="BDY21" s="93"/>
      <c r="BDZ21" s="93"/>
      <c r="BEA21" s="93"/>
      <c r="BEB21" s="93"/>
      <c r="BEC21" s="93"/>
      <c r="BED21" s="93"/>
      <c r="BEE21" s="93"/>
      <c r="BEF21" s="93"/>
      <c r="BEG21" s="93"/>
      <c r="BEH21" s="93"/>
      <c r="BEI21" s="93"/>
      <c r="BEJ21" s="93"/>
      <c r="BEK21" s="93"/>
      <c r="BEL21" s="93"/>
      <c r="BEM21" s="93"/>
      <c r="BEN21" s="93"/>
      <c r="BEO21" s="93"/>
      <c r="BEP21" s="93"/>
      <c r="BEQ21" s="93"/>
      <c r="BER21" s="93"/>
      <c r="BES21" s="93"/>
      <c r="BET21" s="93"/>
      <c r="BEU21" s="93"/>
      <c r="BEV21" s="93"/>
      <c r="BEW21" s="93"/>
      <c r="BEX21" s="93"/>
      <c r="BEY21" s="93"/>
      <c r="BEZ21" s="93"/>
      <c r="BFA21" s="93"/>
      <c r="BFB21" s="93"/>
      <c r="BFC21" s="93"/>
      <c r="BFD21" s="93"/>
      <c r="BFE21" s="93"/>
      <c r="BFF21" s="93"/>
      <c r="BFG21" s="93"/>
      <c r="BFH21" s="93"/>
      <c r="BFI21" s="93"/>
      <c r="BFJ21" s="93"/>
      <c r="BFK21" s="93"/>
      <c r="BFL21" s="93"/>
      <c r="BFM21" s="93"/>
      <c r="BFN21" s="93"/>
      <c r="BFO21" s="93"/>
      <c r="BFP21" s="93"/>
      <c r="BFQ21" s="93"/>
      <c r="BFR21" s="93"/>
      <c r="BFS21" s="93"/>
      <c r="BFT21" s="93"/>
      <c r="BFU21" s="93"/>
      <c r="BFV21" s="93"/>
      <c r="BFW21" s="93"/>
      <c r="BFX21" s="93"/>
      <c r="BFY21" s="93"/>
      <c r="BFZ21" s="93"/>
      <c r="BGA21" s="93"/>
      <c r="BGB21" s="93"/>
      <c r="BGC21" s="93"/>
      <c r="BGD21" s="93"/>
      <c r="BGE21" s="93"/>
      <c r="BGF21" s="93"/>
      <c r="BGG21" s="93"/>
      <c r="BGH21" s="93"/>
      <c r="BGI21" s="93"/>
      <c r="BGJ21" s="93"/>
      <c r="BGK21" s="93"/>
      <c r="BGL21" s="93"/>
      <c r="BGM21" s="93"/>
      <c r="BGN21" s="93"/>
      <c r="BGO21" s="93"/>
      <c r="BGP21" s="93"/>
      <c r="BGQ21" s="93"/>
      <c r="BGR21" s="93"/>
      <c r="BGS21" s="93"/>
      <c r="BGT21" s="93"/>
      <c r="BGU21" s="93"/>
      <c r="BGV21" s="93"/>
      <c r="BGW21" s="93"/>
      <c r="BGX21" s="93"/>
      <c r="BGY21" s="93"/>
      <c r="BGZ21" s="93"/>
      <c r="BHA21" s="93"/>
      <c r="BHB21" s="93"/>
      <c r="BHC21" s="93"/>
      <c r="BHD21" s="93"/>
      <c r="BHE21" s="93"/>
      <c r="BHF21" s="93"/>
      <c r="BHG21" s="93"/>
      <c r="BHH21" s="93"/>
      <c r="BHI21" s="93"/>
      <c r="BHJ21" s="93"/>
      <c r="BHK21" s="93"/>
      <c r="BHL21" s="93"/>
      <c r="BHM21" s="93"/>
      <c r="BHN21" s="93"/>
      <c r="BHO21" s="93"/>
      <c r="BHP21" s="93"/>
      <c r="BHQ21" s="93"/>
      <c r="BHR21" s="93"/>
      <c r="BHS21" s="93"/>
      <c r="BHT21" s="93"/>
      <c r="BHU21" s="93"/>
      <c r="BHV21" s="93"/>
      <c r="BHW21" s="93"/>
      <c r="BHX21" s="93"/>
      <c r="BHY21" s="93"/>
      <c r="BHZ21" s="93"/>
      <c r="BIA21" s="93"/>
      <c r="BIB21" s="93"/>
      <c r="BIC21" s="93"/>
      <c r="BID21" s="93"/>
      <c r="BIE21" s="93"/>
      <c r="BIF21" s="93"/>
      <c r="BIG21" s="93"/>
      <c r="BIH21" s="93"/>
      <c r="BII21" s="93"/>
      <c r="BIJ21" s="93"/>
      <c r="BIK21" s="93"/>
      <c r="BIL21" s="93"/>
      <c r="BIM21" s="93"/>
      <c r="BIN21" s="93"/>
      <c r="BIO21" s="93"/>
      <c r="BIP21" s="93"/>
      <c r="BIQ21" s="93"/>
      <c r="BIR21" s="93"/>
      <c r="BIS21" s="93"/>
      <c r="BIT21" s="93"/>
      <c r="BIU21" s="93"/>
      <c r="BIV21" s="93"/>
      <c r="BIW21" s="93"/>
      <c r="BIX21" s="93"/>
      <c r="BIY21" s="93"/>
      <c r="BIZ21" s="93"/>
      <c r="BJA21" s="93"/>
      <c r="BJB21" s="93"/>
      <c r="BJC21" s="93"/>
      <c r="BJD21" s="93"/>
      <c r="BJE21" s="93"/>
      <c r="BJF21" s="93"/>
      <c r="BJG21" s="93"/>
      <c r="BJH21" s="93"/>
      <c r="BJI21" s="93"/>
      <c r="BJJ21" s="93"/>
      <c r="BJK21" s="93"/>
      <c r="BJL21" s="93"/>
      <c r="BJM21" s="93"/>
      <c r="BJN21" s="93"/>
      <c r="BJO21" s="93"/>
      <c r="BJP21" s="93"/>
      <c r="BJQ21" s="93"/>
      <c r="BJR21" s="93"/>
      <c r="BJS21" s="93"/>
      <c r="BJT21" s="93"/>
      <c r="BJU21" s="93"/>
      <c r="BJV21" s="93"/>
      <c r="BJW21" s="93"/>
      <c r="BJX21" s="93"/>
      <c r="BJY21" s="93"/>
      <c r="BJZ21" s="93"/>
      <c r="BKA21" s="93"/>
      <c r="BKB21" s="93"/>
      <c r="BKC21" s="93"/>
      <c r="BKD21" s="93"/>
      <c r="BKE21" s="93"/>
      <c r="BKF21" s="93"/>
      <c r="BKG21" s="93"/>
      <c r="BKH21" s="93"/>
      <c r="BKI21" s="93"/>
      <c r="BKJ21" s="93"/>
      <c r="BKK21" s="93"/>
      <c r="BKL21" s="93"/>
      <c r="BKM21" s="93"/>
      <c r="BKN21" s="93"/>
      <c r="BKO21" s="93"/>
      <c r="BKP21" s="93"/>
      <c r="BKQ21" s="93"/>
      <c r="BKR21" s="93"/>
      <c r="BKS21" s="93"/>
      <c r="BKT21" s="93"/>
      <c r="BKU21" s="93"/>
      <c r="BKV21" s="93"/>
      <c r="BKW21" s="93"/>
      <c r="BKX21" s="93"/>
      <c r="BKY21" s="93"/>
      <c r="BKZ21" s="93"/>
      <c r="BLA21" s="93"/>
      <c r="BLB21" s="93"/>
      <c r="BLC21" s="93"/>
      <c r="BLD21" s="93"/>
      <c r="BLE21" s="93"/>
      <c r="BLF21" s="93"/>
      <c r="BLG21" s="93"/>
      <c r="BLH21" s="93"/>
      <c r="BLI21" s="93"/>
      <c r="BLJ21" s="93"/>
      <c r="BLK21" s="93"/>
      <c r="BLL21" s="93"/>
      <c r="BLM21" s="93"/>
      <c r="BLN21" s="93"/>
      <c r="BLO21" s="93"/>
      <c r="BLP21" s="93"/>
      <c r="BLQ21" s="93"/>
      <c r="BLR21" s="93"/>
      <c r="BLS21" s="93"/>
      <c r="BLT21" s="93"/>
      <c r="BLU21" s="93"/>
      <c r="BLV21" s="93"/>
      <c r="BLW21" s="93"/>
      <c r="BLX21" s="93"/>
      <c r="BLY21" s="93"/>
      <c r="BLZ21" s="93"/>
      <c r="BMA21" s="93"/>
      <c r="BMB21" s="93"/>
      <c r="BMC21" s="93"/>
      <c r="BMD21" s="93"/>
      <c r="BME21" s="93"/>
      <c r="BMF21" s="93"/>
      <c r="BMG21" s="93"/>
      <c r="BMH21" s="93"/>
      <c r="BMI21" s="93"/>
      <c r="BMJ21" s="93"/>
      <c r="BMK21" s="93"/>
      <c r="BML21" s="93"/>
      <c r="BMM21" s="93"/>
      <c r="BMN21" s="93"/>
      <c r="BMO21" s="93"/>
      <c r="BMP21" s="93"/>
      <c r="BMQ21" s="93"/>
      <c r="BMR21" s="93"/>
      <c r="BMS21" s="93"/>
      <c r="BMT21" s="93"/>
      <c r="BMU21" s="93"/>
      <c r="BMV21" s="93"/>
      <c r="BMW21" s="93"/>
      <c r="BMX21" s="93"/>
      <c r="BMY21" s="93"/>
      <c r="BMZ21" s="93"/>
      <c r="BNA21" s="93"/>
      <c r="BNB21" s="93"/>
      <c r="BNC21" s="93"/>
      <c r="BND21" s="93"/>
      <c r="BNE21" s="93"/>
      <c r="BNF21" s="93"/>
      <c r="BNG21" s="93"/>
      <c r="BNH21" s="93"/>
      <c r="BNI21" s="93"/>
      <c r="BNJ21" s="93"/>
      <c r="BNK21" s="93"/>
      <c r="BNL21" s="93"/>
      <c r="BNM21" s="93"/>
      <c r="BNN21" s="93"/>
      <c r="BNO21" s="93"/>
      <c r="BNP21" s="93"/>
      <c r="BNQ21" s="93"/>
      <c r="BNR21" s="93"/>
      <c r="BNS21" s="93"/>
      <c r="BNT21" s="93"/>
      <c r="BNU21" s="93"/>
      <c r="BNV21" s="93"/>
      <c r="BNW21" s="93"/>
      <c r="BNX21" s="93"/>
      <c r="BNY21" s="93"/>
      <c r="BNZ21" s="93"/>
      <c r="BOA21" s="93"/>
      <c r="BOB21" s="93"/>
      <c r="BOC21" s="93"/>
      <c r="BOD21" s="93"/>
      <c r="BOE21" s="93"/>
      <c r="BOF21" s="93"/>
      <c r="BOG21" s="93"/>
      <c r="BOH21" s="93"/>
      <c r="BOI21" s="93"/>
      <c r="BOJ21" s="93"/>
      <c r="BOK21" s="93"/>
      <c r="BOL21" s="93"/>
      <c r="BOM21" s="93"/>
      <c r="BON21" s="93"/>
      <c r="BOO21" s="93"/>
      <c r="BOP21" s="93"/>
      <c r="BOQ21" s="93"/>
      <c r="BOR21" s="93"/>
      <c r="BOS21" s="93"/>
      <c r="BOT21" s="93"/>
      <c r="BOU21" s="93"/>
      <c r="BOV21" s="93"/>
      <c r="BOW21" s="93"/>
      <c r="BOX21" s="93"/>
      <c r="BOY21" s="93"/>
      <c r="BOZ21" s="93"/>
      <c r="BPA21" s="93"/>
      <c r="BPB21" s="93"/>
      <c r="BPC21" s="93"/>
      <c r="BPD21" s="93"/>
      <c r="BPE21" s="93"/>
      <c r="BPF21" s="93"/>
      <c r="BPG21" s="93"/>
      <c r="BPH21" s="93"/>
      <c r="BPI21" s="93"/>
      <c r="BPJ21" s="93"/>
      <c r="BPK21" s="93"/>
      <c r="BPL21" s="93"/>
      <c r="BPM21" s="93"/>
      <c r="BPN21" s="93"/>
      <c r="BPO21" s="93"/>
      <c r="BPP21" s="93"/>
      <c r="BPQ21" s="93"/>
      <c r="BPR21" s="93"/>
      <c r="BPS21" s="93"/>
      <c r="BPT21" s="93"/>
      <c r="BPU21" s="93"/>
      <c r="BPV21" s="93"/>
      <c r="BPW21" s="93"/>
      <c r="BPX21" s="93"/>
      <c r="BPY21" s="93"/>
      <c r="BPZ21" s="93"/>
      <c r="BQA21" s="93"/>
      <c r="BQB21" s="93"/>
      <c r="BQC21" s="93"/>
      <c r="BQD21" s="93"/>
      <c r="BQE21" s="93"/>
      <c r="BQF21" s="93"/>
      <c r="BQG21" s="93"/>
      <c r="BQH21" s="93"/>
      <c r="BQI21" s="93"/>
      <c r="BQJ21" s="93"/>
      <c r="BQK21" s="93"/>
      <c r="BQL21" s="93"/>
      <c r="BQM21" s="93"/>
      <c r="BQN21" s="93"/>
      <c r="BQO21" s="93"/>
      <c r="BQP21" s="93"/>
      <c r="BQQ21" s="93"/>
      <c r="BQR21" s="93"/>
      <c r="BQS21" s="93"/>
      <c r="BQT21" s="93"/>
      <c r="BQU21" s="93"/>
      <c r="BQV21" s="93"/>
      <c r="BQW21" s="93"/>
      <c r="BQX21" s="93"/>
      <c r="BQY21" s="93"/>
      <c r="BQZ21" s="93"/>
      <c r="BRA21" s="93"/>
      <c r="BRB21" s="93"/>
      <c r="BRC21" s="93"/>
      <c r="BRD21" s="93"/>
      <c r="BRE21" s="93"/>
      <c r="BRF21" s="93"/>
      <c r="BRG21" s="93"/>
      <c r="BRH21" s="93"/>
      <c r="BRI21" s="93"/>
      <c r="BRJ21" s="93"/>
      <c r="BRK21" s="93"/>
      <c r="BRL21" s="93"/>
      <c r="BRM21" s="93"/>
      <c r="BRN21" s="93"/>
      <c r="BRO21" s="93"/>
      <c r="BRP21" s="93"/>
      <c r="BRQ21" s="93"/>
      <c r="BRR21" s="93"/>
      <c r="BRS21" s="93"/>
      <c r="BRT21" s="93"/>
      <c r="BRU21" s="93"/>
      <c r="BRV21" s="93"/>
      <c r="BRW21" s="93"/>
      <c r="BRX21" s="93"/>
      <c r="BRY21" s="93"/>
      <c r="BRZ21" s="93"/>
      <c r="BSA21" s="93"/>
      <c r="BSB21" s="93"/>
      <c r="BSC21" s="93"/>
      <c r="BSD21" s="93"/>
      <c r="BSE21" s="93"/>
      <c r="BSF21" s="93"/>
      <c r="BSG21" s="93"/>
      <c r="BSH21" s="93"/>
      <c r="BSI21" s="93"/>
      <c r="BSJ21" s="93"/>
      <c r="BSK21" s="93"/>
      <c r="BSL21" s="93"/>
      <c r="BSM21" s="93"/>
      <c r="BSN21" s="93"/>
      <c r="BSO21" s="93"/>
      <c r="BSP21" s="93"/>
      <c r="BSQ21" s="93"/>
      <c r="BSR21" s="93"/>
      <c r="BSS21" s="93"/>
      <c r="BST21" s="93"/>
      <c r="BSU21" s="93"/>
      <c r="BSV21" s="93"/>
      <c r="BSW21" s="93"/>
      <c r="BSX21" s="93"/>
      <c r="BSY21" s="93"/>
      <c r="BSZ21" s="93"/>
      <c r="BTA21" s="93"/>
      <c r="BTB21" s="93"/>
      <c r="BTC21" s="93"/>
      <c r="BTD21" s="93"/>
      <c r="BTE21" s="93"/>
      <c r="BTF21" s="93"/>
      <c r="BTG21" s="93"/>
      <c r="BTH21" s="93"/>
      <c r="BTI21" s="93"/>
      <c r="BTJ21" s="93"/>
      <c r="BTK21" s="93"/>
      <c r="BTL21" s="93"/>
      <c r="BTM21" s="93"/>
      <c r="BTN21" s="93"/>
      <c r="BTO21" s="93"/>
      <c r="BTP21" s="93"/>
      <c r="BTQ21" s="93"/>
      <c r="BTR21" s="93"/>
      <c r="BTS21" s="93"/>
      <c r="BTT21" s="93"/>
      <c r="BTU21" s="93"/>
      <c r="BTV21" s="93"/>
      <c r="BTW21" s="93"/>
      <c r="BTX21" s="93"/>
      <c r="BTY21" s="93"/>
      <c r="BTZ21" s="93"/>
      <c r="BUA21" s="93"/>
      <c r="BUB21" s="93"/>
      <c r="BUC21" s="93"/>
      <c r="BUD21" s="93"/>
      <c r="BUE21" s="93"/>
      <c r="BUF21" s="93"/>
      <c r="BUG21" s="93"/>
      <c r="BUH21" s="93"/>
      <c r="BUI21" s="93"/>
      <c r="BUJ21" s="93"/>
      <c r="BUK21" s="93"/>
      <c r="BUL21" s="93"/>
      <c r="BUM21" s="93"/>
      <c r="BUN21" s="93"/>
      <c r="BUO21" s="93"/>
      <c r="BUP21" s="93"/>
      <c r="BUQ21" s="93"/>
      <c r="BUR21" s="93"/>
      <c r="BUS21" s="93"/>
      <c r="BUT21" s="93"/>
      <c r="BUU21" s="93"/>
      <c r="BUV21" s="93"/>
      <c r="BUW21" s="93"/>
      <c r="BUX21" s="93"/>
      <c r="BUY21" s="93"/>
      <c r="BUZ21" s="93"/>
      <c r="BVA21" s="93"/>
      <c r="BVB21" s="93"/>
      <c r="BVC21" s="93"/>
      <c r="BVD21" s="93"/>
      <c r="BVE21" s="93"/>
      <c r="BVF21" s="93"/>
      <c r="BVG21" s="93"/>
      <c r="BVH21" s="93"/>
      <c r="BVI21" s="93"/>
      <c r="BVJ21" s="93"/>
      <c r="BVK21" s="93"/>
      <c r="BVL21" s="93"/>
      <c r="BVM21" s="93"/>
      <c r="BVN21" s="93"/>
      <c r="BVO21" s="93"/>
      <c r="BVP21" s="93"/>
      <c r="BVQ21" s="93"/>
      <c r="BVR21" s="93"/>
      <c r="BVS21" s="93"/>
      <c r="BVT21" s="93"/>
      <c r="BVU21" s="93"/>
      <c r="BVV21" s="93"/>
      <c r="BVW21" s="93"/>
      <c r="BVX21" s="93"/>
      <c r="BVY21" s="93"/>
      <c r="BVZ21" s="93"/>
      <c r="BWA21" s="93"/>
      <c r="BWB21" s="93"/>
      <c r="BWC21" s="93"/>
      <c r="BWD21" s="93"/>
      <c r="BWE21" s="93"/>
      <c r="BWF21" s="93"/>
      <c r="BWG21" s="93"/>
      <c r="BWH21" s="93"/>
      <c r="BWI21" s="93"/>
      <c r="BWJ21" s="93"/>
      <c r="BWK21" s="93"/>
      <c r="BWL21" s="93"/>
      <c r="BWM21" s="93"/>
      <c r="BWN21" s="93"/>
      <c r="BWO21" s="93"/>
      <c r="BWP21" s="93"/>
      <c r="BWQ21" s="93"/>
      <c r="BWR21" s="93"/>
      <c r="BWS21" s="93"/>
      <c r="BWT21" s="93"/>
      <c r="BWU21" s="93"/>
      <c r="BWV21" s="93"/>
      <c r="BWW21" s="93"/>
      <c r="BWX21" s="93"/>
      <c r="BWY21" s="93"/>
      <c r="BWZ21" s="93"/>
      <c r="BXA21" s="93"/>
      <c r="BXB21" s="93"/>
      <c r="BXC21" s="93"/>
      <c r="BXD21" s="93"/>
      <c r="BXE21" s="93"/>
      <c r="BXF21" s="93"/>
      <c r="BXG21" s="93"/>
      <c r="BXH21" s="93"/>
      <c r="BXI21" s="93"/>
      <c r="BXJ21" s="93"/>
      <c r="BXK21" s="93"/>
      <c r="BXL21" s="93"/>
      <c r="BXM21" s="93"/>
      <c r="BXN21" s="93"/>
      <c r="BXO21" s="93"/>
      <c r="BXP21" s="93"/>
      <c r="BXQ21" s="93"/>
      <c r="BXR21" s="93"/>
      <c r="BXS21" s="93"/>
      <c r="BXT21" s="93"/>
      <c r="BXU21" s="93"/>
      <c r="BXV21" s="93"/>
      <c r="BXW21" s="93"/>
      <c r="BXX21" s="93"/>
      <c r="BXY21" s="93"/>
      <c r="BXZ21" s="93"/>
      <c r="BYA21" s="93"/>
      <c r="BYB21" s="93"/>
      <c r="BYC21" s="93"/>
      <c r="BYD21" s="93"/>
      <c r="BYE21" s="93"/>
      <c r="BYF21" s="93"/>
      <c r="BYG21" s="93"/>
      <c r="BYH21" s="93"/>
      <c r="BYI21" s="93"/>
      <c r="BYJ21" s="93"/>
      <c r="BYK21" s="93"/>
      <c r="BYL21" s="93"/>
      <c r="BYM21" s="93"/>
      <c r="BYN21" s="93"/>
      <c r="BYO21" s="93"/>
      <c r="BYP21" s="93"/>
      <c r="BYQ21" s="93"/>
      <c r="BYR21" s="93"/>
      <c r="BYS21" s="93"/>
      <c r="BYT21" s="93"/>
      <c r="BYU21" s="93"/>
      <c r="BYV21" s="93"/>
      <c r="BYW21" s="93"/>
      <c r="BYX21" s="93"/>
      <c r="BYY21" s="93"/>
      <c r="BYZ21" s="93"/>
      <c r="BZA21" s="93"/>
      <c r="BZB21" s="93"/>
      <c r="BZC21" s="93"/>
      <c r="BZD21" s="93"/>
      <c r="BZE21" s="93"/>
      <c r="BZF21" s="93"/>
      <c r="BZG21" s="93"/>
      <c r="BZH21" s="93"/>
      <c r="BZI21" s="93"/>
      <c r="BZJ21" s="93"/>
      <c r="BZK21" s="93"/>
      <c r="BZL21" s="93"/>
      <c r="BZM21" s="93"/>
      <c r="BZN21" s="93"/>
      <c r="BZO21" s="93"/>
      <c r="BZP21" s="93"/>
      <c r="BZQ21" s="93"/>
      <c r="BZR21" s="93"/>
      <c r="BZS21" s="93"/>
      <c r="BZT21" s="93"/>
      <c r="BZU21" s="93"/>
      <c r="BZV21" s="93"/>
      <c r="BZW21" s="93"/>
      <c r="BZX21" s="93"/>
      <c r="BZY21" s="93"/>
      <c r="BZZ21" s="93"/>
      <c r="CAA21" s="93"/>
      <c r="CAB21" s="93"/>
      <c r="CAC21" s="93"/>
      <c r="CAD21" s="93"/>
      <c r="CAE21" s="93"/>
      <c r="CAF21" s="93"/>
      <c r="CAG21" s="93"/>
      <c r="CAH21" s="93"/>
      <c r="CAI21" s="93"/>
      <c r="CAJ21" s="93"/>
      <c r="CAK21" s="93"/>
      <c r="CAL21" s="93"/>
      <c r="CAM21" s="93"/>
      <c r="CAN21" s="93"/>
      <c r="CAO21" s="93"/>
      <c r="CAP21" s="93"/>
      <c r="CAQ21" s="93"/>
      <c r="CAR21" s="93"/>
      <c r="CAS21" s="93"/>
      <c r="CAT21" s="93"/>
      <c r="CAU21" s="93"/>
      <c r="CAV21" s="93"/>
      <c r="CAW21" s="93"/>
      <c r="CAX21" s="93"/>
      <c r="CAY21" s="93"/>
      <c r="CAZ21" s="93"/>
      <c r="CBA21" s="93"/>
      <c r="CBB21" s="93"/>
      <c r="CBC21" s="93"/>
      <c r="CBD21" s="93"/>
      <c r="CBE21" s="93"/>
      <c r="CBF21" s="93"/>
      <c r="CBG21" s="93"/>
      <c r="CBH21" s="93"/>
      <c r="CBI21" s="93"/>
      <c r="CBJ21" s="93"/>
      <c r="CBK21" s="93"/>
      <c r="CBL21" s="93"/>
      <c r="CBM21" s="93"/>
      <c r="CBN21" s="93"/>
      <c r="CBO21" s="93"/>
      <c r="CBP21" s="93"/>
      <c r="CBQ21" s="93"/>
      <c r="CBR21" s="93"/>
      <c r="CBS21" s="93"/>
      <c r="CBT21" s="93"/>
      <c r="CBU21" s="93"/>
      <c r="CBV21" s="93"/>
      <c r="CBW21" s="93"/>
      <c r="CBX21" s="93"/>
      <c r="CBY21" s="93"/>
      <c r="CBZ21" s="93"/>
      <c r="CCA21" s="93"/>
      <c r="CCB21" s="93"/>
      <c r="CCC21" s="93"/>
      <c r="CCD21" s="93"/>
      <c r="CCE21" s="93"/>
      <c r="CCF21" s="93"/>
      <c r="CCG21" s="93"/>
      <c r="CCH21" s="93"/>
      <c r="CCI21" s="93"/>
      <c r="CCJ21" s="93"/>
      <c r="CCK21" s="93"/>
      <c r="CCL21" s="93"/>
      <c r="CCM21" s="93"/>
      <c r="CCN21" s="93"/>
      <c r="CCO21" s="93"/>
      <c r="CCP21" s="93"/>
      <c r="CCQ21" s="93"/>
      <c r="CCR21" s="93"/>
      <c r="CCS21" s="93"/>
      <c r="CCT21" s="93"/>
      <c r="CCU21" s="93"/>
      <c r="CCV21" s="93"/>
      <c r="CCW21" s="93"/>
      <c r="CCX21" s="93"/>
      <c r="CCY21" s="93"/>
      <c r="CCZ21" s="93"/>
      <c r="CDA21" s="93"/>
      <c r="CDB21" s="93"/>
      <c r="CDC21" s="93"/>
      <c r="CDD21" s="93"/>
      <c r="CDE21" s="93"/>
      <c r="CDF21" s="93"/>
      <c r="CDG21" s="93"/>
      <c r="CDH21" s="93"/>
      <c r="CDI21" s="93"/>
      <c r="CDJ21" s="93"/>
      <c r="CDK21" s="93"/>
      <c r="CDL21" s="93"/>
      <c r="CDM21" s="93"/>
      <c r="CDN21" s="93"/>
      <c r="CDO21" s="93"/>
      <c r="CDP21" s="93"/>
      <c r="CDQ21" s="93"/>
      <c r="CDR21" s="93"/>
      <c r="CDS21" s="93"/>
      <c r="CDT21" s="93"/>
      <c r="CDU21" s="93"/>
      <c r="CDV21" s="93"/>
      <c r="CDW21" s="93"/>
      <c r="CDX21" s="93"/>
      <c r="CDY21" s="93"/>
      <c r="CDZ21" s="93"/>
      <c r="CEA21" s="93"/>
      <c r="CEB21" s="93"/>
      <c r="CEC21" s="93"/>
      <c r="CED21" s="93"/>
      <c r="CEE21" s="93"/>
      <c r="CEF21" s="93"/>
      <c r="CEG21" s="93"/>
      <c r="CEH21" s="93"/>
      <c r="CEI21" s="93"/>
      <c r="CEJ21" s="93"/>
      <c r="CEK21" s="93"/>
      <c r="CEL21" s="93"/>
      <c r="CEM21" s="93"/>
      <c r="CEN21" s="93"/>
      <c r="CEO21" s="93"/>
      <c r="CEP21" s="93"/>
      <c r="CEQ21" s="93"/>
      <c r="CER21" s="93"/>
      <c r="CES21" s="93"/>
      <c r="CET21" s="93"/>
      <c r="CEU21" s="93"/>
      <c r="CEV21" s="93"/>
      <c r="CEW21" s="93"/>
      <c r="CEX21" s="93"/>
      <c r="CEY21" s="93"/>
      <c r="CEZ21" s="93"/>
      <c r="CFA21" s="93"/>
      <c r="CFB21" s="93"/>
      <c r="CFC21" s="93"/>
      <c r="CFD21" s="93"/>
      <c r="CFE21" s="93"/>
      <c r="CFF21" s="93"/>
      <c r="CFG21" s="93"/>
      <c r="CFH21" s="93"/>
      <c r="CFI21" s="93"/>
      <c r="CFJ21" s="93"/>
      <c r="CFK21" s="93"/>
      <c r="CFL21" s="93"/>
      <c r="CFM21" s="93"/>
      <c r="CFN21" s="93"/>
      <c r="CFO21" s="93"/>
      <c r="CFP21" s="93"/>
      <c r="CFQ21" s="93"/>
      <c r="CFR21" s="93"/>
      <c r="CFS21" s="93"/>
      <c r="CFT21" s="93"/>
      <c r="CFU21" s="93"/>
      <c r="CFV21" s="93"/>
      <c r="CFW21" s="93"/>
      <c r="CFX21" s="93"/>
      <c r="CFY21" s="93"/>
      <c r="CFZ21" s="93"/>
      <c r="CGA21" s="93"/>
      <c r="CGB21" s="93"/>
      <c r="CGC21" s="93"/>
      <c r="CGD21" s="93"/>
      <c r="CGE21" s="93"/>
      <c r="CGF21" s="93"/>
      <c r="CGG21" s="93"/>
      <c r="CGH21" s="93"/>
      <c r="CGI21" s="93"/>
      <c r="CGJ21" s="93"/>
      <c r="CGK21" s="93"/>
      <c r="CGL21" s="93"/>
      <c r="CGM21" s="93"/>
      <c r="CGN21" s="93"/>
      <c r="CGO21" s="93"/>
      <c r="CGP21" s="93"/>
      <c r="CGQ21" s="93"/>
      <c r="CGR21" s="93"/>
      <c r="CGS21" s="93"/>
      <c r="CGT21" s="93"/>
      <c r="CGU21" s="93"/>
      <c r="CGV21" s="93"/>
      <c r="CGW21" s="93"/>
      <c r="CGX21" s="93"/>
      <c r="CGY21" s="93"/>
      <c r="CGZ21" s="93"/>
      <c r="CHA21" s="93"/>
      <c r="CHB21" s="93"/>
      <c r="CHC21" s="93"/>
      <c r="CHD21" s="93"/>
      <c r="CHE21" s="93"/>
      <c r="CHF21" s="93"/>
      <c r="CHG21" s="93"/>
      <c r="CHH21" s="93"/>
      <c r="CHI21" s="93"/>
      <c r="CHJ21" s="93"/>
      <c r="CHK21" s="93"/>
      <c r="CHL21" s="93"/>
      <c r="CHM21" s="93"/>
      <c r="CHN21" s="93"/>
      <c r="CHO21" s="93"/>
      <c r="CHP21" s="93"/>
      <c r="CHQ21" s="93"/>
      <c r="CHR21" s="93"/>
      <c r="CHS21" s="93"/>
      <c r="CHT21" s="93"/>
      <c r="CHU21" s="93"/>
      <c r="CHV21" s="93"/>
      <c r="CHW21" s="93"/>
      <c r="CHX21" s="93"/>
      <c r="CHY21" s="93"/>
      <c r="CHZ21" s="93"/>
      <c r="CIA21" s="93"/>
      <c r="CIB21" s="93"/>
      <c r="CIC21" s="93"/>
      <c r="CID21" s="93"/>
      <c r="CIE21" s="93"/>
      <c r="CIF21" s="93"/>
      <c r="CIG21" s="93"/>
      <c r="CIH21" s="93"/>
      <c r="CII21" s="93"/>
      <c r="CIJ21" s="93"/>
      <c r="CIK21" s="93"/>
      <c r="CIL21" s="93"/>
      <c r="CIM21" s="93"/>
      <c r="CIN21" s="93"/>
      <c r="CIO21" s="93"/>
      <c r="CIP21" s="93"/>
      <c r="CIQ21" s="93"/>
      <c r="CIR21" s="93"/>
      <c r="CIS21" s="93"/>
      <c r="CIT21" s="93"/>
      <c r="CIU21" s="93"/>
      <c r="CIV21" s="93"/>
      <c r="CIW21" s="93"/>
      <c r="CIX21" s="93"/>
      <c r="CIY21" s="93"/>
      <c r="CIZ21" s="93"/>
      <c r="CJA21" s="93"/>
      <c r="CJB21" s="93"/>
      <c r="CJC21" s="93"/>
      <c r="CJD21" s="93"/>
      <c r="CJE21" s="93"/>
      <c r="CJF21" s="93"/>
      <c r="CJG21" s="93"/>
      <c r="CJH21" s="93"/>
      <c r="CJI21" s="93"/>
      <c r="CJJ21" s="93"/>
      <c r="CJK21" s="93"/>
      <c r="CJL21" s="93"/>
      <c r="CJM21" s="93"/>
      <c r="CJN21" s="93"/>
      <c r="CJO21" s="93"/>
      <c r="CJP21" s="93"/>
      <c r="CJQ21" s="93"/>
      <c r="CJR21" s="93"/>
      <c r="CJS21" s="93"/>
      <c r="CJT21" s="93"/>
      <c r="CJU21" s="93"/>
      <c r="CJV21" s="93"/>
      <c r="CJW21" s="93"/>
      <c r="CJX21" s="93"/>
      <c r="CJY21" s="93"/>
      <c r="CJZ21" s="93"/>
      <c r="CKA21" s="93"/>
      <c r="CKB21" s="93"/>
      <c r="CKC21" s="93"/>
      <c r="CKD21" s="93"/>
      <c r="CKE21" s="93"/>
      <c r="CKF21" s="93"/>
      <c r="CKG21" s="93"/>
      <c r="CKH21" s="93"/>
      <c r="CKI21" s="93"/>
      <c r="CKJ21" s="93"/>
      <c r="CKK21" s="93"/>
      <c r="CKL21" s="93"/>
      <c r="CKM21" s="93"/>
      <c r="CKN21" s="93"/>
      <c r="CKO21" s="93"/>
      <c r="CKP21" s="93"/>
      <c r="CKQ21" s="93"/>
      <c r="CKR21" s="93"/>
      <c r="CKS21" s="93"/>
      <c r="CKT21" s="93"/>
      <c r="CKU21" s="93"/>
      <c r="CKV21" s="93"/>
      <c r="CKW21" s="93"/>
      <c r="CKX21" s="93"/>
      <c r="CKY21" s="93"/>
      <c r="CKZ21" s="93"/>
      <c r="CLA21" s="93"/>
      <c r="CLB21" s="93"/>
      <c r="CLC21" s="93"/>
      <c r="CLD21" s="93"/>
      <c r="CLE21" s="93"/>
      <c r="CLF21" s="93"/>
      <c r="CLG21" s="93"/>
      <c r="CLH21" s="93"/>
      <c r="CLI21" s="93"/>
      <c r="CLJ21" s="93"/>
      <c r="CLK21" s="93"/>
      <c r="CLL21" s="93"/>
      <c r="CLM21" s="93"/>
      <c r="CLN21" s="93"/>
      <c r="CLO21" s="93"/>
      <c r="CLP21" s="93"/>
      <c r="CLQ21" s="93"/>
      <c r="CLR21" s="93"/>
      <c r="CLS21" s="93"/>
      <c r="CLT21" s="93"/>
      <c r="CLU21" s="93"/>
      <c r="CLV21" s="93"/>
      <c r="CLW21" s="93"/>
      <c r="CLX21" s="93"/>
      <c r="CLY21" s="93"/>
      <c r="CLZ21" s="93"/>
      <c r="CMA21" s="93"/>
      <c r="CMB21" s="93"/>
      <c r="CMC21" s="93"/>
      <c r="CMD21" s="93"/>
      <c r="CME21" s="93"/>
      <c r="CMF21" s="93"/>
      <c r="CMG21" s="93"/>
      <c r="CMH21" s="93"/>
      <c r="CMI21" s="93"/>
      <c r="CMJ21" s="93"/>
      <c r="CMK21" s="93"/>
      <c r="CML21" s="93"/>
      <c r="CMM21" s="93"/>
      <c r="CMN21" s="93"/>
      <c r="CMO21" s="93"/>
      <c r="CMP21" s="93"/>
      <c r="CMQ21" s="93"/>
      <c r="CMR21" s="93"/>
      <c r="CMS21" s="93"/>
      <c r="CMT21" s="93"/>
      <c r="CMU21" s="93"/>
      <c r="CMV21" s="93"/>
      <c r="CMW21" s="93"/>
      <c r="CMX21" s="93"/>
      <c r="CMY21" s="93"/>
      <c r="CMZ21" s="93"/>
      <c r="CNA21" s="93"/>
      <c r="CNB21" s="93"/>
      <c r="CNC21" s="93"/>
      <c r="CND21" s="93"/>
      <c r="CNE21" s="93"/>
      <c r="CNF21" s="93"/>
      <c r="CNG21" s="93"/>
      <c r="CNH21" s="93"/>
      <c r="CNI21" s="93"/>
      <c r="CNJ21" s="93"/>
      <c r="CNK21" s="93"/>
      <c r="CNL21" s="93"/>
      <c r="CNM21" s="93"/>
      <c r="CNN21" s="93"/>
      <c r="CNO21" s="93"/>
      <c r="CNP21" s="93"/>
      <c r="CNQ21" s="93"/>
      <c r="CNR21" s="93"/>
      <c r="CNS21" s="93"/>
      <c r="CNT21" s="93"/>
      <c r="CNU21" s="93"/>
      <c r="CNV21" s="93"/>
      <c r="CNW21" s="93"/>
      <c r="CNX21" s="93"/>
      <c r="CNY21" s="93"/>
      <c r="CNZ21" s="93"/>
      <c r="COA21" s="93"/>
      <c r="COB21" s="93"/>
      <c r="COC21" s="93"/>
      <c r="COD21" s="93"/>
      <c r="COE21" s="93"/>
      <c r="COF21" s="93"/>
      <c r="COG21" s="93"/>
      <c r="COH21" s="93"/>
      <c r="COI21" s="93"/>
      <c r="COJ21" s="93"/>
      <c r="COK21" s="93"/>
      <c r="COL21" s="93"/>
      <c r="COM21" s="93"/>
      <c r="CON21" s="93"/>
      <c r="COO21" s="93"/>
      <c r="COP21" s="93"/>
      <c r="COQ21" s="93"/>
      <c r="COR21" s="93"/>
      <c r="COS21" s="93"/>
      <c r="COT21" s="93"/>
      <c r="COU21" s="93"/>
      <c r="COV21" s="93"/>
      <c r="COW21" s="93"/>
      <c r="COX21" s="93"/>
      <c r="COY21" s="93"/>
      <c r="COZ21" s="93"/>
      <c r="CPA21" s="93"/>
      <c r="CPB21" s="93"/>
      <c r="CPC21" s="93"/>
      <c r="CPD21" s="93"/>
      <c r="CPE21" s="93"/>
      <c r="CPF21" s="93"/>
      <c r="CPG21" s="93"/>
      <c r="CPH21" s="93"/>
      <c r="CPI21" s="93"/>
      <c r="CPJ21" s="93"/>
      <c r="CPK21" s="93"/>
      <c r="CPL21" s="93"/>
      <c r="CPM21" s="93"/>
      <c r="CPN21" s="93"/>
      <c r="CPO21" s="93"/>
      <c r="CPP21" s="93"/>
      <c r="CPQ21" s="93"/>
      <c r="CPR21" s="93"/>
      <c r="CPS21" s="93"/>
      <c r="CPT21" s="93"/>
      <c r="CPU21" s="93"/>
      <c r="CPV21" s="93"/>
      <c r="CPW21" s="93"/>
      <c r="CPX21" s="93"/>
      <c r="CPY21" s="93"/>
      <c r="CPZ21" s="93"/>
      <c r="CQA21" s="93"/>
      <c r="CQB21" s="93"/>
      <c r="CQC21" s="93"/>
      <c r="CQD21" s="93"/>
      <c r="CQE21" s="93"/>
      <c r="CQF21" s="93"/>
      <c r="CQG21" s="93"/>
      <c r="CQH21" s="93"/>
      <c r="CQI21" s="93"/>
      <c r="CQJ21" s="93"/>
      <c r="CQK21" s="93"/>
      <c r="CQL21" s="93"/>
      <c r="CQM21" s="93"/>
      <c r="CQN21" s="93"/>
      <c r="CQO21" s="93"/>
      <c r="CQP21" s="93"/>
      <c r="CQQ21" s="93"/>
      <c r="CQR21" s="93"/>
      <c r="CQS21" s="93"/>
      <c r="CQT21" s="93"/>
      <c r="CQU21" s="93"/>
      <c r="CQV21" s="93"/>
      <c r="CQW21" s="93"/>
      <c r="CQX21" s="93"/>
      <c r="CQY21" s="93"/>
      <c r="CQZ21" s="93"/>
      <c r="CRA21" s="93"/>
      <c r="CRB21" s="93"/>
      <c r="CRC21" s="93"/>
      <c r="CRD21" s="93"/>
      <c r="CRE21" s="93"/>
      <c r="CRF21" s="93"/>
      <c r="CRG21" s="93"/>
      <c r="CRH21" s="93"/>
      <c r="CRI21" s="93"/>
      <c r="CRJ21" s="93"/>
      <c r="CRK21" s="93"/>
      <c r="CRL21" s="93"/>
      <c r="CRM21" s="93"/>
      <c r="CRN21" s="93"/>
      <c r="CRO21" s="93"/>
      <c r="CRP21" s="93"/>
      <c r="CRQ21" s="93"/>
      <c r="CRR21" s="93"/>
      <c r="CRS21" s="93"/>
      <c r="CRT21" s="93"/>
      <c r="CRU21" s="93"/>
      <c r="CRV21" s="93"/>
      <c r="CRW21" s="93"/>
      <c r="CRX21" s="93"/>
      <c r="CRY21" s="93"/>
      <c r="CRZ21" s="93"/>
      <c r="CSA21" s="93"/>
      <c r="CSB21" s="93"/>
      <c r="CSC21" s="93"/>
      <c r="CSD21" s="93"/>
      <c r="CSE21" s="93"/>
      <c r="CSF21" s="93"/>
      <c r="CSG21" s="93"/>
      <c r="CSH21" s="93"/>
      <c r="CSI21" s="93"/>
      <c r="CSJ21" s="93"/>
      <c r="CSK21" s="93"/>
      <c r="CSL21" s="93"/>
      <c r="CSM21" s="93"/>
      <c r="CSN21" s="93"/>
      <c r="CSO21" s="93"/>
      <c r="CSP21" s="93"/>
      <c r="CSQ21" s="93"/>
      <c r="CSR21" s="93"/>
      <c r="CSS21" s="93"/>
      <c r="CST21" s="93"/>
      <c r="CSU21" s="93"/>
      <c r="CSV21" s="93"/>
      <c r="CSW21" s="93"/>
      <c r="CSX21" s="93"/>
      <c r="CSY21" s="93"/>
      <c r="CSZ21" s="93"/>
      <c r="CTA21" s="93"/>
      <c r="CTB21" s="93"/>
      <c r="CTC21" s="93"/>
      <c r="CTD21" s="93"/>
      <c r="CTE21" s="93"/>
      <c r="CTF21" s="93"/>
      <c r="CTG21" s="93"/>
      <c r="CTH21" s="93"/>
      <c r="CTI21" s="93"/>
      <c r="CTJ21" s="93"/>
      <c r="CTK21" s="93"/>
      <c r="CTL21" s="93"/>
      <c r="CTM21" s="93"/>
      <c r="CTN21" s="93"/>
      <c r="CTO21" s="93"/>
      <c r="CTP21" s="93"/>
      <c r="CTQ21" s="93"/>
      <c r="CTR21" s="93"/>
      <c r="CTS21" s="93"/>
      <c r="CTT21" s="93"/>
      <c r="CTU21" s="93"/>
      <c r="CTV21" s="93"/>
      <c r="CTW21" s="93"/>
      <c r="CTX21" s="93"/>
      <c r="CTY21" s="93"/>
      <c r="CTZ21" s="93"/>
      <c r="CUA21" s="93"/>
      <c r="CUB21" s="93"/>
      <c r="CUC21" s="93"/>
      <c r="CUD21" s="93"/>
      <c r="CUE21" s="93"/>
      <c r="CUF21" s="93"/>
      <c r="CUG21" s="93"/>
      <c r="CUH21" s="93"/>
      <c r="CUI21" s="93"/>
      <c r="CUJ21" s="93"/>
      <c r="CUK21" s="93"/>
      <c r="CUL21" s="93"/>
      <c r="CUM21" s="93"/>
      <c r="CUN21" s="93"/>
      <c r="CUO21" s="93"/>
      <c r="CUP21" s="93"/>
      <c r="CUQ21" s="93"/>
      <c r="CUR21" s="93"/>
      <c r="CUS21" s="93"/>
      <c r="CUT21" s="93"/>
      <c r="CUU21" s="93"/>
      <c r="CUV21" s="93"/>
      <c r="CUW21" s="93"/>
      <c r="CUX21" s="93"/>
      <c r="CUY21" s="93"/>
      <c r="CUZ21" s="93"/>
      <c r="CVA21" s="93"/>
      <c r="CVB21" s="93"/>
      <c r="CVC21" s="93"/>
      <c r="CVD21" s="93"/>
      <c r="CVE21" s="93"/>
      <c r="CVF21" s="93"/>
      <c r="CVG21" s="93"/>
      <c r="CVH21" s="93"/>
      <c r="CVI21" s="93"/>
      <c r="CVJ21" s="93"/>
      <c r="CVK21" s="93"/>
      <c r="CVL21" s="93"/>
      <c r="CVM21" s="93"/>
      <c r="CVN21" s="93"/>
      <c r="CVO21" s="93"/>
      <c r="CVP21" s="93"/>
      <c r="CVQ21" s="93"/>
      <c r="CVR21" s="93"/>
      <c r="CVS21" s="93"/>
      <c r="CVT21" s="93"/>
      <c r="CVU21" s="93"/>
      <c r="CVV21" s="93"/>
      <c r="CVW21" s="93"/>
      <c r="CVX21" s="93"/>
      <c r="CVY21" s="93"/>
      <c r="CVZ21" s="93"/>
      <c r="CWA21" s="93"/>
      <c r="CWB21" s="93"/>
      <c r="CWC21" s="93"/>
      <c r="CWD21" s="93"/>
      <c r="CWE21" s="93"/>
      <c r="CWF21" s="93"/>
      <c r="CWG21" s="93"/>
      <c r="CWH21" s="93"/>
      <c r="CWI21" s="93"/>
      <c r="CWJ21" s="93"/>
      <c r="CWK21" s="93"/>
      <c r="CWL21" s="93"/>
      <c r="CWM21" s="93"/>
      <c r="CWN21" s="93"/>
      <c r="CWO21" s="93"/>
      <c r="CWP21" s="93"/>
      <c r="CWQ21" s="93"/>
      <c r="CWR21" s="93"/>
      <c r="CWS21" s="93"/>
      <c r="CWT21" s="93"/>
      <c r="CWU21" s="93"/>
      <c r="CWV21" s="93"/>
      <c r="CWW21" s="93"/>
      <c r="CWX21" s="93"/>
      <c r="CWY21" s="93"/>
      <c r="CWZ21" s="93"/>
      <c r="CXA21" s="93"/>
      <c r="CXB21" s="93"/>
      <c r="CXC21" s="93"/>
      <c r="CXD21" s="93"/>
      <c r="CXE21" s="93"/>
      <c r="CXF21" s="93"/>
      <c r="CXG21" s="93"/>
      <c r="CXH21" s="93"/>
      <c r="CXI21" s="93"/>
      <c r="CXJ21" s="93"/>
      <c r="CXK21" s="93"/>
      <c r="CXL21" s="93"/>
      <c r="CXM21" s="93"/>
      <c r="CXN21" s="93"/>
      <c r="CXO21" s="93"/>
      <c r="CXP21" s="93"/>
      <c r="CXQ21" s="93"/>
      <c r="CXR21" s="93"/>
      <c r="CXS21" s="93"/>
      <c r="CXT21" s="93"/>
      <c r="CXU21" s="93"/>
      <c r="CXV21" s="93"/>
      <c r="CXW21" s="93"/>
      <c r="CXX21" s="93"/>
      <c r="CXY21" s="93"/>
      <c r="CXZ21" s="93"/>
      <c r="CYA21" s="93"/>
      <c r="CYB21" s="93"/>
      <c r="CYC21" s="93"/>
      <c r="CYD21" s="93"/>
      <c r="CYE21" s="93"/>
      <c r="CYF21" s="93"/>
      <c r="CYG21" s="93"/>
      <c r="CYH21" s="93"/>
      <c r="CYI21" s="93"/>
      <c r="CYJ21" s="93"/>
      <c r="CYK21" s="93"/>
      <c r="CYL21" s="93"/>
      <c r="CYM21" s="93"/>
      <c r="CYN21" s="93"/>
      <c r="CYO21" s="93"/>
      <c r="CYP21" s="93"/>
      <c r="CYQ21" s="93"/>
      <c r="CYR21" s="93"/>
      <c r="CYS21" s="93"/>
      <c r="CYT21" s="93"/>
      <c r="CYU21" s="93"/>
      <c r="CYV21" s="93"/>
      <c r="CYW21" s="93"/>
      <c r="CYX21" s="93"/>
      <c r="CYY21" s="93"/>
      <c r="CYZ21" s="93"/>
      <c r="CZA21" s="93"/>
      <c r="CZB21" s="93"/>
      <c r="CZC21" s="93"/>
      <c r="CZD21" s="93"/>
      <c r="CZE21" s="93"/>
      <c r="CZF21" s="93"/>
      <c r="CZG21" s="93"/>
      <c r="CZH21" s="93"/>
      <c r="CZI21" s="93"/>
      <c r="CZJ21" s="93"/>
      <c r="CZK21" s="93"/>
      <c r="CZL21" s="93"/>
      <c r="CZM21" s="93"/>
      <c r="CZN21" s="93"/>
      <c r="CZO21" s="93"/>
      <c r="CZP21" s="93"/>
      <c r="CZQ21" s="93"/>
      <c r="CZR21" s="93"/>
      <c r="CZS21" s="93"/>
      <c r="CZT21" s="93"/>
      <c r="CZU21" s="93"/>
      <c r="CZV21" s="93"/>
      <c r="CZW21" s="93"/>
      <c r="CZX21" s="93"/>
      <c r="CZY21" s="93"/>
      <c r="CZZ21" s="93"/>
      <c r="DAA21" s="93"/>
      <c r="DAB21" s="93"/>
      <c r="DAC21" s="93"/>
      <c r="DAD21" s="93"/>
      <c r="DAE21" s="93"/>
      <c r="DAF21" s="93"/>
      <c r="DAG21" s="93"/>
      <c r="DAH21" s="93"/>
      <c r="DAI21" s="93"/>
      <c r="DAJ21" s="93"/>
      <c r="DAK21" s="93"/>
      <c r="DAL21" s="93"/>
      <c r="DAM21" s="93"/>
      <c r="DAN21" s="93"/>
      <c r="DAO21" s="93"/>
      <c r="DAP21" s="93"/>
      <c r="DAQ21" s="93"/>
      <c r="DAR21" s="93"/>
      <c r="DAS21" s="93"/>
      <c r="DAT21" s="93"/>
      <c r="DAU21" s="93"/>
      <c r="DAV21" s="93"/>
      <c r="DAW21" s="93"/>
      <c r="DAX21" s="93"/>
      <c r="DAY21" s="93"/>
      <c r="DAZ21" s="93"/>
      <c r="DBA21" s="93"/>
      <c r="DBB21" s="93"/>
      <c r="DBC21" s="93"/>
      <c r="DBD21" s="93"/>
      <c r="DBE21" s="93"/>
      <c r="DBF21" s="93"/>
      <c r="DBG21" s="93"/>
      <c r="DBH21" s="93"/>
      <c r="DBI21" s="93"/>
      <c r="DBJ21" s="93"/>
      <c r="DBK21" s="93"/>
      <c r="DBL21" s="93"/>
      <c r="DBM21" s="93"/>
      <c r="DBN21" s="93"/>
      <c r="DBO21" s="93"/>
      <c r="DBP21" s="93"/>
      <c r="DBQ21" s="93"/>
      <c r="DBR21" s="93"/>
      <c r="DBS21" s="93"/>
      <c r="DBT21" s="93"/>
      <c r="DBU21" s="93"/>
      <c r="DBV21" s="93"/>
      <c r="DBW21" s="93"/>
      <c r="DBX21" s="93"/>
      <c r="DBY21" s="93"/>
      <c r="DBZ21" s="93"/>
      <c r="DCA21" s="93"/>
      <c r="DCB21" s="93"/>
      <c r="DCC21" s="93"/>
      <c r="DCD21" s="93"/>
      <c r="DCE21" s="93"/>
      <c r="DCF21" s="93"/>
      <c r="DCG21" s="93"/>
      <c r="DCH21" s="93"/>
      <c r="DCI21" s="93"/>
      <c r="DCJ21" s="93"/>
      <c r="DCK21" s="93"/>
      <c r="DCL21" s="93"/>
      <c r="DCM21" s="93"/>
      <c r="DCN21" s="93"/>
      <c r="DCO21" s="93"/>
      <c r="DCP21" s="93"/>
      <c r="DCQ21" s="93"/>
      <c r="DCR21" s="93"/>
      <c r="DCS21" s="93"/>
      <c r="DCT21" s="93"/>
      <c r="DCU21" s="93"/>
      <c r="DCV21" s="93"/>
      <c r="DCW21" s="93"/>
      <c r="DCX21" s="93"/>
      <c r="DCY21" s="93"/>
      <c r="DCZ21" s="93"/>
      <c r="DDA21" s="93"/>
      <c r="DDB21" s="93"/>
      <c r="DDC21" s="93"/>
      <c r="DDD21" s="93"/>
      <c r="DDE21" s="93"/>
      <c r="DDF21" s="93"/>
      <c r="DDG21" s="93"/>
      <c r="DDH21" s="93"/>
      <c r="DDI21" s="93"/>
      <c r="DDJ21" s="93"/>
      <c r="DDK21" s="93"/>
      <c r="DDL21" s="93"/>
      <c r="DDM21" s="93"/>
      <c r="DDN21" s="93"/>
      <c r="DDO21" s="93"/>
      <c r="DDP21" s="93"/>
      <c r="DDQ21" s="93"/>
      <c r="DDR21" s="93"/>
      <c r="DDS21" s="93"/>
      <c r="DDT21" s="93"/>
      <c r="DDU21" s="93"/>
      <c r="DDV21" s="93"/>
      <c r="DDW21" s="93"/>
      <c r="DDX21" s="93"/>
      <c r="DDY21" s="93"/>
      <c r="DDZ21" s="93"/>
      <c r="DEA21" s="93"/>
      <c r="DEB21" s="93"/>
      <c r="DEC21" s="93"/>
      <c r="DED21" s="93"/>
      <c r="DEE21" s="93"/>
      <c r="DEF21" s="93"/>
      <c r="DEG21" s="93"/>
      <c r="DEH21" s="93"/>
      <c r="DEI21" s="93"/>
      <c r="DEJ21" s="93"/>
      <c r="DEK21" s="93"/>
      <c r="DEL21" s="93"/>
      <c r="DEM21" s="93"/>
      <c r="DEN21" s="93"/>
      <c r="DEO21" s="93"/>
      <c r="DEP21" s="93"/>
      <c r="DEQ21" s="93"/>
      <c r="DER21" s="93"/>
      <c r="DES21" s="93"/>
      <c r="DET21" s="93"/>
      <c r="DEU21" s="93"/>
      <c r="DEV21" s="93"/>
      <c r="DEW21" s="93"/>
      <c r="DEX21" s="93"/>
      <c r="DEY21" s="93"/>
      <c r="DEZ21" s="93"/>
      <c r="DFA21" s="93"/>
      <c r="DFB21" s="93"/>
      <c r="DFC21" s="93"/>
      <c r="DFD21" s="93"/>
      <c r="DFE21" s="93"/>
      <c r="DFF21" s="93"/>
      <c r="DFG21" s="93"/>
      <c r="DFH21" s="93"/>
      <c r="DFI21" s="93"/>
      <c r="DFJ21" s="93"/>
      <c r="DFK21" s="93"/>
      <c r="DFL21" s="93"/>
      <c r="DFM21" s="93"/>
      <c r="DFN21" s="93"/>
      <c r="DFO21" s="93"/>
      <c r="DFP21" s="93"/>
      <c r="DFQ21" s="93"/>
      <c r="DFR21" s="93"/>
      <c r="DFS21" s="93"/>
      <c r="DFT21" s="93"/>
      <c r="DFU21" s="93"/>
      <c r="DFV21" s="93"/>
      <c r="DFW21" s="93"/>
      <c r="DFX21" s="93"/>
      <c r="DFY21" s="93"/>
      <c r="DFZ21" s="93"/>
      <c r="DGA21" s="93"/>
      <c r="DGB21" s="93"/>
      <c r="DGC21" s="93"/>
      <c r="DGD21" s="93"/>
      <c r="DGE21" s="93"/>
      <c r="DGF21" s="93"/>
      <c r="DGG21" s="93"/>
      <c r="DGH21" s="93"/>
      <c r="DGI21" s="93"/>
      <c r="DGJ21" s="93"/>
      <c r="DGK21" s="93"/>
      <c r="DGL21" s="93"/>
      <c r="DGM21" s="93"/>
      <c r="DGN21" s="93"/>
      <c r="DGO21" s="93"/>
      <c r="DGP21" s="93"/>
      <c r="DGQ21" s="93"/>
      <c r="DGR21" s="93"/>
      <c r="DGS21" s="93"/>
      <c r="DGT21" s="93"/>
      <c r="DGU21" s="93"/>
      <c r="DGV21" s="93"/>
      <c r="DGW21" s="93"/>
      <c r="DGX21" s="93"/>
      <c r="DGY21" s="93"/>
      <c r="DGZ21" s="93"/>
      <c r="DHA21" s="93"/>
      <c r="DHB21" s="93"/>
      <c r="DHC21" s="93"/>
      <c r="DHD21" s="93"/>
      <c r="DHE21" s="93"/>
      <c r="DHF21" s="93"/>
      <c r="DHG21" s="93"/>
      <c r="DHH21" s="93"/>
      <c r="DHI21" s="93"/>
      <c r="DHJ21" s="93"/>
      <c r="DHK21" s="93"/>
      <c r="DHL21" s="93"/>
      <c r="DHM21" s="93"/>
      <c r="DHN21" s="93"/>
      <c r="DHO21" s="93"/>
      <c r="DHP21" s="93"/>
      <c r="DHQ21" s="93"/>
      <c r="DHR21" s="93"/>
      <c r="DHS21" s="93"/>
      <c r="DHT21" s="93"/>
      <c r="DHU21" s="93"/>
      <c r="DHV21" s="93"/>
      <c r="DHW21" s="93"/>
      <c r="DHX21" s="93"/>
      <c r="DHY21" s="93"/>
      <c r="DHZ21" s="93"/>
      <c r="DIA21" s="93"/>
      <c r="DIB21" s="93"/>
      <c r="DIC21" s="93"/>
      <c r="DID21" s="93"/>
      <c r="DIE21" s="93"/>
      <c r="DIF21" s="93"/>
      <c r="DIG21" s="93"/>
      <c r="DIH21" s="93"/>
      <c r="DII21" s="93"/>
      <c r="DIJ21" s="93"/>
      <c r="DIK21" s="93"/>
      <c r="DIL21" s="93"/>
      <c r="DIM21" s="93"/>
      <c r="DIN21" s="93"/>
      <c r="DIO21" s="93"/>
      <c r="DIP21" s="93"/>
      <c r="DIQ21" s="93"/>
      <c r="DIR21" s="93"/>
      <c r="DIS21" s="93"/>
      <c r="DIT21" s="93"/>
      <c r="DIU21" s="93"/>
      <c r="DIV21" s="93"/>
      <c r="DIW21" s="93"/>
      <c r="DIX21" s="93"/>
      <c r="DIY21" s="93"/>
      <c r="DIZ21" s="93"/>
      <c r="DJA21" s="93"/>
      <c r="DJB21" s="93"/>
      <c r="DJC21" s="93"/>
      <c r="DJD21" s="93"/>
      <c r="DJE21" s="93"/>
      <c r="DJF21" s="93"/>
      <c r="DJG21" s="93"/>
      <c r="DJH21" s="93"/>
      <c r="DJI21" s="93"/>
      <c r="DJJ21" s="93"/>
      <c r="DJK21" s="93"/>
      <c r="DJL21" s="93"/>
      <c r="DJM21" s="93"/>
      <c r="DJN21" s="93"/>
      <c r="DJO21" s="93"/>
      <c r="DJP21" s="93"/>
      <c r="DJQ21" s="93"/>
      <c r="DJR21" s="93"/>
      <c r="DJS21" s="93"/>
      <c r="DJT21" s="93"/>
      <c r="DJU21" s="93"/>
      <c r="DJV21" s="93"/>
      <c r="DJW21" s="93"/>
      <c r="DJX21" s="93"/>
      <c r="DJY21" s="93"/>
      <c r="DJZ21" s="93"/>
      <c r="DKA21" s="93"/>
      <c r="DKB21" s="93"/>
      <c r="DKC21" s="93"/>
      <c r="DKD21" s="93"/>
      <c r="DKE21" s="93"/>
      <c r="DKF21" s="93"/>
      <c r="DKG21" s="93"/>
      <c r="DKH21" s="93"/>
      <c r="DKI21" s="93"/>
      <c r="DKJ21" s="93"/>
      <c r="DKK21" s="93"/>
      <c r="DKL21" s="93"/>
      <c r="DKM21" s="93"/>
      <c r="DKN21" s="93"/>
      <c r="DKO21" s="93"/>
      <c r="DKP21" s="93"/>
      <c r="DKQ21" s="93"/>
      <c r="DKR21" s="93"/>
      <c r="DKS21" s="93"/>
      <c r="DKT21" s="93"/>
      <c r="DKU21" s="93"/>
      <c r="DKV21" s="93"/>
      <c r="DKW21" s="93"/>
      <c r="DKX21" s="93"/>
      <c r="DKY21" s="93"/>
      <c r="DKZ21" s="93"/>
      <c r="DLA21" s="93"/>
      <c r="DLB21" s="93"/>
      <c r="DLC21" s="93"/>
      <c r="DLD21" s="93"/>
      <c r="DLE21" s="93"/>
      <c r="DLF21" s="93"/>
      <c r="DLG21" s="93"/>
      <c r="DLH21" s="93"/>
      <c r="DLI21" s="93"/>
      <c r="DLJ21" s="93"/>
      <c r="DLK21" s="93"/>
      <c r="DLL21" s="93"/>
      <c r="DLM21" s="93"/>
      <c r="DLN21" s="93"/>
      <c r="DLO21" s="93"/>
      <c r="DLP21" s="93"/>
      <c r="DLQ21" s="93"/>
      <c r="DLR21" s="93"/>
      <c r="DLS21" s="93"/>
      <c r="DLT21" s="93"/>
      <c r="DLU21" s="93"/>
      <c r="DLV21" s="93"/>
      <c r="DLW21" s="93"/>
      <c r="DLX21" s="93"/>
      <c r="DLY21" s="93"/>
      <c r="DLZ21" s="93"/>
      <c r="DMA21" s="93"/>
      <c r="DMB21" s="93"/>
      <c r="DMC21" s="93"/>
      <c r="DMD21" s="93"/>
      <c r="DME21" s="93"/>
      <c r="DMF21" s="93"/>
      <c r="DMG21" s="93"/>
      <c r="DMH21" s="93"/>
      <c r="DMI21" s="93"/>
      <c r="DMJ21" s="93"/>
      <c r="DMK21" s="93"/>
      <c r="DML21" s="93"/>
      <c r="DMM21" s="93"/>
      <c r="DMN21" s="93"/>
      <c r="DMO21" s="93"/>
      <c r="DMP21" s="93"/>
      <c r="DMQ21" s="93"/>
      <c r="DMR21" s="93"/>
      <c r="DMS21" s="93"/>
      <c r="DMT21" s="93"/>
      <c r="DMU21" s="93"/>
      <c r="DMV21" s="93"/>
      <c r="DMW21" s="93"/>
      <c r="DMX21" s="93"/>
      <c r="DMY21" s="93"/>
      <c r="DMZ21" s="93"/>
      <c r="DNA21" s="93"/>
      <c r="DNB21" s="93"/>
      <c r="DNC21" s="93"/>
      <c r="DND21" s="93"/>
      <c r="DNE21" s="93"/>
      <c r="DNF21" s="93"/>
      <c r="DNG21" s="93"/>
      <c r="DNH21" s="93"/>
      <c r="DNI21" s="93"/>
      <c r="DNJ21" s="93"/>
      <c r="DNK21" s="93"/>
      <c r="DNL21" s="93"/>
      <c r="DNM21" s="93"/>
      <c r="DNN21" s="93"/>
      <c r="DNO21" s="93"/>
      <c r="DNP21" s="93"/>
      <c r="DNQ21" s="93"/>
      <c r="DNR21" s="93"/>
      <c r="DNS21" s="93"/>
      <c r="DNT21" s="93"/>
      <c r="DNU21" s="93"/>
      <c r="DNV21" s="93"/>
      <c r="DNW21" s="93"/>
      <c r="DNX21" s="93"/>
      <c r="DNY21" s="93"/>
      <c r="DNZ21" s="93"/>
      <c r="DOA21" s="93"/>
      <c r="DOB21" s="93"/>
      <c r="DOC21" s="93"/>
      <c r="DOD21" s="93"/>
      <c r="DOE21" s="93"/>
      <c r="DOF21" s="93"/>
      <c r="DOG21" s="93"/>
      <c r="DOH21" s="93"/>
      <c r="DOI21" s="93"/>
      <c r="DOJ21" s="93"/>
      <c r="DOK21" s="93"/>
      <c r="DOL21" s="93"/>
      <c r="DOM21" s="93"/>
      <c r="DON21" s="93"/>
      <c r="DOO21" s="93"/>
      <c r="DOP21" s="93"/>
      <c r="DOQ21" s="93"/>
      <c r="DOR21" s="93"/>
      <c r="DOS21" s="93"/>
      <c r="DOT21" s="93"/>
      <c r="DOU21" s="93"/>
      <c r="DOV21" s="93"/>
      <c r="DOW21" s="93"/>
      <c r="DOX21" s="93"/>
      <c r="DOY21" s="93"/>
      <c r="DOZ21" s="93"/>
      <c r="DPA21" s="93"/>
      <c r="DPB21" s="93"/>
      <c r="DPC21" s="93"/>
      <c r="DPD21" s="93"/>
      <c r="DPE21" s="93"/>
      <c r="DPF21" s="93"/>
      <c r="DPG21" s="93"/>
      <c r="DPH21" s="93"/>
      <c r="DPI21" s="93"/>
      <c r="DPJ21" s="93"/>
      <c r="DPK21" s="93"/>
      <c r="DPL21" s="93"/>
      <c r="DPM21" s="93"/>
      <c r="DPN21" s="93"/>
      <c r="DPO21" s="93"/>
      <c r="DPP21" s="93"/>
      <c r="DPQ21" s="93"/>
      <c r="DPR21" s="93"/>
      <c r="DPS21" s="93"/>
      <c r="DPT21" s="93"/>
      <c r="DPU21" s="93"/>
      <c r="DPV21" s="93"/>
      <c r="DPW21" s="93"/>
      <c r="DPX21" s="93"/>
      <c r="DPY21" s="93"/>
      <c r="DPZ21" s="93"/>
      <c r="DQA21" s="93"/>
      <c r="DQB21" s="93"/>
      <c r="DQC21" s="93"/>
      <c r="DQD21" s="93"/>
      <c r="DQE21" s="93"/>
      <c r="DQF21" s="93"/>
      <c r="DQG21" s="93"/>
      <c r="DQH21" s="93"/>
      <c r="DQI21" s="93"/>
      <c r="DQJ21" s="93"/>
      <c r="DQK21" s="93"/>
      <c r="DQL21" s="93"/>
      <c r="DQM21" s="93"/>
      <c r="DQN21" s="93"/>
      <c r="DQO21" s="93"/>
      <c r="DQP21" s="93"/>
      <c r="DQQ21" s="93"/>
      <c r="DQR21" s="93"/>
      <c r="DQS21" s="93"/>
      <c r="DQT21" s="93"/>
      <c r="DQU21" s="93"/>
      <c r="DQV21" s="93"/>
      <c r="DQW21" s="93"/>
      <c r="DQX21" s="93"/>
      <c r="DQY21" s="93"/>
      <c r="DQZ21" s="93"/>
      <c r="DRA21" s="93"/>
      <c r="DRB21" s="93"/>
      <c r="DRC21" s="93"/>
      <c r="DRD21" s="93"/>
      <c r="DRE21" s="93"/>
      <c r="DRF21" s="93"/>
      <c r="DRG21" s="93"/>
      <c r="DRH21" s="93"/>
      <c r="DRI21" s="93"/>
      <c r="DRJ21" s="93"/>
      <c r="DRK21" s="93"/>
      <c r="DRL21" s="93"/>
      <c r="DRM21" s="93"/>
      <c r="DRN21" s="93"/>
      <c r="DRO21" s="93"/>
      <c r="DRP21" s="93"/>
      <c r="DRQ21" s="93"/>
      <c r="DRR21" s="93"/>
      <c r="DRS21" s="93"/>
      <c r="DRT21" s="93"/>
      <c r="DRU21" s="93"/>
      <c r="DRV21" s="93"/>
      <c r="DRW21" s="93"/>
      <c r="DRX21" s="93"/>
      <c r="DRY21" s="93"/>
      <c r="DRZ21" s="93"/>
      <c r="DSA21" s="93"/>
      <c r="DSB21" s="93"/>
      <c r="DSC21" s="93"/>
      <c r="DSD21" s="93"/>
      <c r="DSE21" s="93"/>
      <c r="DSF21" s="93"/>
      <c r="DSG21" s="93"/>
      <c r="DSH21" s="93"/>
      <c r="DSI21" s="93"/>
      <c r="DSJ21" s="93"/>
      <c r="DSK21" s="93"/>
      <c r="DSL21" s="93"/>
      <c r="DSM21" s="93"/>
      <c r="DSN21" s="93"/>
      <c r="DSO21" s="93"/>
      <c r="DSP21" s="93"/>
      <c r="DSQ21" s="93"/>
      <c r="DSR21" s="93"/>
      <c r="DSS21" s="93"/>
      <c r="DST21" s="93"/>
      <c r="DSU21" s="93"/>
      <c r="DSV21" s="93"/>
      <c r="DSW21" s="93"/>
      <c r="DSX21" s="93"/>
      <c r="DSY21" s="93"/>
      <c r="DSZ21" s="93"/>
      <c r="DTA21" s="93"/>
      <c r="DTB21" s="93"/>
      <c r="DTC21" s="93"/>
      <c r="DTD21" s="93"/>
      <c r="DTE21" s="93"/>
      <c r="DTF21" s="93"/>
      <c r="DTG21" s="93"/>
      <c r="DTH21" s="93"/>
      <c r="DTI21" s="93"/>
      <c r="DTJ21" s="93"/>
      <c r="DTK21" s="93"/>
      <c r="DTL21" s="93"/>
      <c r="DTM21" s="93"/>
      <c r="DTN21" s="93"/>
      <c r="DTO21" s="93"/>
      <c r="DTP21" s="93"/>
      <c r="DTQ21" s="93"/>
      <c r="DTR21" s="93"/>
      <c r="DTS21" s="93"/>
      <c r="DTT21" s="93"/>
      <c r="DTU21" s="93"/>
      <c r="DTV21" s="93"/>
      <c r="DTW21" s="93"/>
      <c r="DTX21" s="93"/>
      <c r="DTY21" s="93"/>
      <c r="DTZ21" s="93"/>
      <c r="DUA21" s="93"/>
      <c r="DUB21" s="93"/>
      <c r="DUC21" s="93"/>
      <c r="DUD21" s="93"/>
      <c r="DUE21" s="93"/>
      <c r="DUF21" s="93"/>
      <c r="DUG21" s="93"/>
      <c r="DUH21" s="93"/>
      <c r="DUI21" s="93"/>
      <c r="DUJ21" s="93"/>
      <c r="DUK21" s="93"/>
      <c r="DUL21" s="93"/>
      <c r="DUM21" s="93"/>
      <c r="DUN21" s="93"/>
      <c r="DUO21" s="93"/>
      <c r="DUP21" s="93"/>
      <c r="DUQ21" s="93"/>
      <c r="DUR21" s="93"/>
      <c r="DUS21" s="93"/>
      <c r="DUT21" s="93"/>
      <c r="DUU21" s="93"/>
      <c r="DUV21" s="93"/>
      <c r="DUW21" s="93"/>
      <c r="DUX21" s="93"/>
      <c r="DUY21" s="93"/>
      <c r="DUZ21" s="93"/>
      <c r="DVA21" s="93"/>
      <c r="DVB21" s="93"/>
      <c r="DVC21" s="93"/>
      <c r="DVD21" s="93"/>
      <c r="DVE21" s="93"/>
      <c r="DVF21" s="93"/>
      <c r="DVG21" s="93"/>
      <c r="DVH21" s="93"/>
      <c r="DVI21" s="93"/>
      <c r="DVJ21" s="93"/>
      <c r="DVK21" s="93"/>
      <c r="DVL21" s="93"/>
      <c r="DVM21" s="93"/>
      <c r="DVN21" s="93"/>
      <c r="DVO21" s="93"/>
      <c r="DVP21" s="93"/>
      <c r="DVQ21" s="93"/>
      <c r="DVR21" s="93"/>
      <c r="DVS21" s="93"/>
      <c r="DVT21" s="93"/>
      <c r="DVU21" s="93"/>
      <c r="DVV21" s="93"/>
      <c r="DVW21" s="93"/>
      <c r="DVX21" s="93"/>
      <c r="DVY21" s="93"/>
      <c r="DVZ21" s="93"/>
      <c r="DWA21" s="93"/>
      <c r="DWB21" s="93"/>
      <c r="DWC21" s="93"/>
      <c r="DWD21" s="93"/>
      <c r="DWE21" s="93"/>
      <c r="DWF21" s="93"/>
      <c r="DWG21" s="93"/>
      <c r="DWH21" s="93"/>
      <c r="DWI21" s="93"/>
      <c r="DWJ21" s="93"/>
      <c r="DWK21" s="93"/>
      <c r="DWL21" s="93"/>
      <c r="DWM21" s="93"/>
      <c r="DWN21" s="93"/>
      <c r="DWO21" s="93"/>
      <c r="DWP21" s="93"/>
      <c r="DWQ21" s="93"/>
      <c r="DWR21" s="93"/>
      <c r="DWS21" s="93"/>
      <c r="DWT21" s="93"/>
      <c r="DWU21" s="93"/>
      <c r="DWV21" s="93"/>
      <c r="DWW21" s="93"/>
      <c r="DWX21" s="93"/>
      <c r="DWY21" s="93"/>
      <c r="DWZ21" s="93"/>
      <c r="DXA21" s="93"/>
      <c r="DXB21" s="93"/>
      <c r="DXC21" s="93"/>
      <c r="DXD21" s="93"/>
      <c r="DXE21" s="93"/>
      <c r="DXF21" s="93"/>
      <c r="DXG21" s="93"/>
      <c r="DXH21" s="93"/>
      <c r="DXI21" s="93"/>
      <c r="DXJ21" s="93"/>
      <c r="DXK21" s="93"/>
      <c r="DXL21" s="93"/>
      <c r="DXM21" s="93"/>
      <c r="DXN21" s="93"/>
      <c r="DXO21" s="93"/>
      <c r="DXP21" s="93"/>
      <c r="DXQ21" s="93"/>
      <c r="DXR21" s="93"/>
      <c r="DXS21" s="93"/>
      <c r="DXT21" s="93"/>
      <c r="DXU21" s="93"/>
      <c r="DXV21" s="93"/>
      <c r="DXW21" s="93"/>
      <c r="DXX21" s="93"/>
      <c r="DXY21" s="93"/>
      <c r="DXZ21" s="93"/>
      <c r="DYA21" s="93"/>
      <c r="DYB21" s="93"/>
      <c r="DYC21" s="93"/>
      <c r="DYD21" s="93"/>
      <c r="DYE21" s="93"/>
      <c r="DYF21" s="93"/>
      <c r="DYG21" s="93"/>
      <c r="DYH21" s="93"/>
      <c r="DYI21" s="93"/>
      <c r="DYJ21" s="93"/>
      <c r="DYK21" s="93"/>
      <c r="DYL21" s="93"/>
      <c r="DYM21" s="93"/>
      <c r="DYN21" s="93"/>
      <c r="DYO21" s="93"/>
      <c r="DYP21" s="93"/>
      <c r="DYQ21" s="93"/>
      <c r="DYR21" s="93"/>
      <c r="DYS21" s="93"/>
      <c r="DYT21" s="93"/>
      <c r="DYU21" s="93"/>
      <c r="DYV21" s="93"/>
      <c r="DYW21" s="93"/>
      <c r="DYX21" s="93"/>
      <c r="DYY21" s="93"/>
      <c r="DYZ21" s="93"/>
      <c r="DZA21" s="93"/>
      <c r="DZB21" s="93"/>
      <c r="DZC21" s="93"/>
      <c r="DZD21" s="93"/>
      <c r="DZE21" s="93"/>
      <c r="DZF21" s="93"/>
      <c r="DZG21" s="93"/>
      <c r="DZH21" s="93"/>
      <c r="DZI21" s="93"/>
      <c r="DZJ21" s="93"/>
      <c r="DZK21" s="93"/>
      <c r="DZL21" s="93"/>
      <c r="DZM21" s="93"/>
      <c r="DZN21" s="93"/>
      <c r="DZO21" s="93"/>
      <c r="DZP21" s="93"/>
      <c r="DZQ21" s="93"/>
      <c r="DZR21" s="93"/>
      <c r="DZS21" s="93"/>
      <c r="DZT21" s="93"/>
      <c r="DZU21" s="93"/>
      <c r="DZV21" s="93"/>
      <c r="DZW21" s="93"/>
      <c r="DZX21" s="93"/>
      <c r="DZY21" s="93"/>
      <c r="DZZ21" s="93"/>
      <c r="EAA21" s="93"/>
      <c r="EAB21" s="93"/>
      <c r="EAC21" s="93"/>
      <c r="EAD21" s="93"/>
      <c r="EAE21" s="93"/>
      <c r="EAF21" s="93"/>
      <c r="EAG21" s="93"/>
      <c r="EAH21" s="93"/>
      <c r="EAI21" s="93"/>
      <c r="EAJ21" s="93"/>
      <c r="EAK21" s="93"/>
      <c r="EAL21" s="93"/>
      <c r="EAM21" s="93"/>
      <c r="EAN21" s="93"/>
      <c r="EAO21" s="93"/>
      <c r="EAP21" s="93"/>
      <c r="EAQ21" s="93"/>
      <c r="EAR21" s="93"/>
      <c r="EAS21" s="93"/>
      <c r="EAT21" s="93"/>
      <c r="EAU21" s="93"/>
      <c r="EAV21" s="93"/>
      <c r="EAW21" s="93"/>
      <c r="EAX21" s="93"/>
      <c r="EAY21" s="93"/>
      <c r="EAZ21" s="93"/>
      <c r="EBA21" s="93"/>
      <c r="EBB21" s="93"/>
      <c r="EBC21" s="93"/>
      <c r="EBD21" s="93"/>
      <c r="EBE21" s="93"/>
      <c r="EBF21" s="93"/>
      <c r="EBG21" s="93"/>
      <c r="EBH21" s="93"/>
      <c r="EBI21" s="93"/>
      <c r="EBJ21" s="93"/>
      <c r="EBK21" s="93"/>
      <c r="EBL21" s="93"/>
      <c r="EBM21" s="93"/>
      <c r="EBN21" s="93"/>
      <c r="EBO21" s="93"/>
      <c r="EBP21" s="93"/>
      <c r="EBQ21" s="93"/>
      <c r="EBR21" s="93"/>
      <c r="EBS21" s="93"/>
      <c r="EBT21" s="93"/>
      <c r="EBU21" s="93"/>
      <c r="EBV21" s="93"/>
      <c r="EBW21" s="93"/>
      <c r="EBX21" s="93"/>
      <c r="EBY21" s="93"/>
      <c r="EBZ21" s="93"/>
      <c r="ECA21" s="93"/>
      <c r="ECB21" s="93"/>
      <c r="ECC21" s="93"/>
      <c r="ECD21" s="93"/>
      <c r="ECE21" s="93"/>
      <c r="ECF21" s="93"/>
      <c r="ECG21" s="93"/>
      <c r="ECH21" s="93"/>
      <c r="ECI21" s="93"/>
      <c r="ECJ21" s="93"/>
      <c r="ECK21" s="93"/>
      <c r="ECL21" s="93"/>
      <c r="ECM21" s="93"/>
      <c r="ECN21" s="93"/>
      <c r="ECO21" s="93"/>
      <c r="ECP21" s="93"/>
      <c r="ECQ21" s="93"/>
      <c r="ECR21" s="93"/>
      <c r="ECS21" s="93"/>
      <c r="ECT21" s="93"/>
      <c r="ECU21" s="93"/>
      <c r="ECV21" s="93"/>
      <c r="ECW21" s="93"/>
      <c r="ECX21" s="93"/>
      <c r="ECY21" s="93"/>
      <c r="ECZ21" s="93"/>
      <c r="EDA21" s="93"/>
      <c r="EDB21" s="93"/>
      <c r="EDC21" s="93"/>
      <c r="EDD21" s="93"/>
      <c r="EDE21" s="93"/>
      <c r="EDF21" s="93"/>
      <c r="EDG21" s="93"/>
      <c r="EDH21" s="93"/>
      <c r="EDI21" s="93"/>
      <c r="EDJ21" s="93"/>
      <c r="EDK21" s="93"/>
      <c r="EDL21" s="93"/>
      <c r="EDM21" s="93"/>
      <c r="EDN21" s="93"/>
      <c r="EDO21" s="93"/>
      <c r="EDP21" s="93"/>
      <c r="EDQ21" s="93"/>
      <c r="EDR21" s="93"/>
      <c r="EDS21" s="93"/>
      <c r="EDT21" s="93"/>
      <c r="EDU21" s="93"/>
      <c r="EDV21" s="93"/>
      <c r="EDW21" s="93"/>
      <c r="EDX21" s="93"/>
      <c r="EDY21" s="93"/>
      <c r="EDZ21" s="93"/>
      <c r="EEA21" s="93"/>
      <c r="EEB21" s="93"/>
      <c r="EEC21" s="93"/>
      <c r="EED21" s="93"/>
      <c r="EEE21" s="93"/>
      <c r="EEF21" s="93"/>
      <c r="EEG21" s="93"/>
      <c r="EEH21" s="93"/>
      <c r="EEI21" s="93"/>
      <c r="EEJ21" s="93"/>
      <c r="EEK21" s="93"/>
      <c r="EEL21" s="93"/>
      <c r="EEM21" s="93"/>
      <c r="EEN21" s="93"/>
      <c r="EEO21" s="93"/>
      <c r="EEP21" s="93"/>
      <c r="EEQ21" s="93"/>
      <c r="EER21" s="93"/>
      <c r="EES21" s="93"/>
      <c r="EET21" s="93"/>
      <c r="EEU21" s="93"/>
      <c r="EEV21" s="93"/>
      <c r="EEW21" s="93"/>
      <c r="EEX21" s="93"/>
      <c r="EEY21" s="93"/>
      <c r="EEZ21" s="93"/>
      <c r="EFA21" s="93"/>
      <c r="EFB21" s="93"/>
      <c r="EFC21" s="93"/>
      <c r="EFD21" s="93"/>
      <c r="EFE21" s="93"/>
      <c r="EFF21" s="93"/>
      <c r="EFG21" s="93"/>
      <c r="EFH21" s="93"/>
      <c r="EFI21" s="93"/>
      <c r="EFJ21" s="93"/>
      <c r="EFK21" s="93"/>
      <c r="EFL21" s="93"/>
      <c r="EFM21" s="93"/>
      <c r="EFN21" s="93"/>
      <c r="EFO21" s="93"/>
      <c r="EFP21" s="93"/>
      <c r="EFQ21" s="93"/>
      <c r="EFR21" s="93"/>
      <c r="EFS21" s="93"/>
      <c r="EFT21" s="93"/>
      <c r="EFU21" s="93"/>
      <c r="EFV21" s="93"/>
      <c r="EFW21" s="93"/>
      <c r="EFX21" s="93"/>
      <c r="EFY21" s="93"/>
      <c r="EFZ21" s="93"/>
      <c r="EGA21" s="93"/>
      <c r="EGB21" s="93"/>
      <c r="EGC21" s="93"/>
      <c r="EGD21" s="93"/>
      <c r="EGE21" s="93"/>
      <c r="EGF21" s="93"/>
      <c r="EGG21" s="93"/>
      <c r="EGH21" s="93"/>
      <c r="EGI21" s="93"/>
      <c r="EGJ21" s="93"/>
      <c r="EGK21" s="93"/>
      <c r="EGL21" s="93"/>
      <c r="EGM21" s="93"/>
      <c r="EGN21" s="93"/>
      <c r="EGO21" s="93"/>
      <c r="EGP21" s="93"/>
      <c r="EGQ21" s="93"/>
      <c r="EGR21" s="93"/>
      <c r="EGS21" s="93"/>
      <c r="EGT21" s="93"/>
      <c r="EGU21" s="93"/>
      <c r="EGV21" s="93"/>
      <c r="EGW21" s="93"/>
      <c r="EGX21" s="93"/>
      <c r="EGY21" s="93"/>
      <c r="EGZ21" s="93"/>
      <c r="EHA21" s="93"/>
      <c r="EHB21" s="93"/>
      <c r="EHC21" s="93"/>
      <c r="EHD21" s="93"/>
      <c r="EHE21" s="93"/>
      <c r="EHF21" s="93"/>
      <c r="EHG21" s="93"/>
      <c r="EHH21" s="93"/>
      <c r="EHI21" s="93"/>
      <c r="EHJ21" s="93"/>
      <c r="EHK21" s="93"/>
      <c r="EHL21" s="93"/>
      <c r="EHM21" s="93"/>
      <c r="EHN21" s="93"/>
      <c r="EHO21" s="93"/>
      <c r="EHP21" s="93"/>
      <c r="EHQ21" s="93"/>
      <c r="EHR21" s="93"/>
      <c r="EHS21" s="93"/>
      <c r="EHT21" s="93"/>
      <c r="EHU21" s="93"/>
      <c r="EHV21" s="93"/>
      <c r="EHW21" s="93"/>
      <c r="EHX21" s="93"/>
      <c r="EHY21" s="93"/>
      <c r="EHZ21" s="93"/>
      <c r="EIA21" s="93"/>
      <c r="EIB21" s="93"/>
      <c r="EIC21" s="93"/>
      <c r="EID21" s="93"/>
      <c r="EIE21" s="93"/>
      <c r="EIF21" s="93"/>
      <c r="EIG21" s="93"/>
      <c r="EIH21" s="93"/>
      <c r="EII21" s="93"/>
      <c r="EIJ21" s="93"/>
      <c r="EIK21" s="93"/>
      <c r="EIL21" s="93"/>
      <c r="EIM21" s="93"/>
      <c r="EIN21" s="93"/>
      <c r="EIO21" s="93"/>
      <c r="EIP21" s="93"/>
      <c r="EIQ21" s="93"/>
      <c r="EIR21" s="93"/>
      <c r="EIS21" s="93"/>
      <c r="EIT21" s="93"/>
      <c r="EIU21" s="93"/>
      <c r="EIV21" s="93"/>
      <c r="EIW21" s="93"/>
      <c r="EIX21" s="93"/>
      <c r="EIY21" s="93"/>
      <c r="EIZ21" s="93"/>
      <c r="EJA21" s="93"/>
      <c r="EJB21" s="93"/>
      <c r="EJC21" s="93"/>
      <c r="EJD21" s="93"/>
      <c r="EJE21" s="93"/>
      <c r="EJF21" s="93"/>
      <c r="EJG21" s="93"/>
      <c r="EJH21" s="93"/>
      <c r="EJI21" s="93"/>
      <c r="EJJ21" s="93"/>
      <c r="EJK21" s="93"/>
      <c r="EJL21" s="93"/>
      <c r="EJM21" s="93"/>
      <c r="EJN21" s="93"/>
      <c r="EJO21" s="93"/>
      <c r="EJP21" s="93"/>
      <c r="EJQ21" s="93"/>
      <c r="EJR21" s="93"/>
      <c r="EJS21" s="93"/>
      <c r="EJT21" s="93"/>
      <c r="EJU21" s="93"/>
      <c r="EJV21" s="93"/>
      <c r="EJW21" s="93"/>
      <c r="EJX21" s="93"/>
      <c r="EJY21" s="93"/>
      <c r="EJZ21" s="93"/>
      <c r="EKA21" s="93"/>
      <c r="EKB21" s="93"/>
      <c r="EKC21" s="93"/>
      <c r="EKD21" s="93"/>
      <c r="EKE21" s="93"/>
      <c r="EKF21" s="93"/>
      <c r="EKG21" s="93"/>
      <c r="EKH21" s="93"/>
      <c r="EKI21" s="93"/>
      <c r="EKJ21" s="93"/>
      <c r="EKK21" s="93"/>
      <c r="EKL21" s="93"/>
      <c r="EKM21" s="93"/>
      <c r="EKN21" s="93"/>
      <c r="EKO21" s="93"/>
      <c r="EKP21" s="93"/>
      <c r="EKQ21" s="93"/>
      <c r="EKR21" s="93"/>
      <c r="EKS21" s="93"/>
      <c r="EKT21" s="93"/>
      <c r="EKU21" s="93"/>
      <c r="EKV21" s="93"/>
      <c r="EKW21" s="93"/>
      <c r="EKX21" s="93"/>
      <c r="EKY21" s="93"/>
      <c r="EKZ21" s="93"/>
      <c r="ELA21" s="93"/>
      <c r="ELB21" s="93"/>
      <c r="ELC21" s="93"/>
      <c r="ELD21" s="93"/>
      <c r="ELE21" s="93"/>
      <c r="ELF21" s="93"/>
      <c r="ELG21" s="93"/>
      <c r="ELH21" s="93"/>
      <c r="ELI21" s="93"/>
      <c r="ELJ21" s="93"/>
      <c r="ELK21" s="93"/>
      <c r="ELL21" s="93"/>
      <c r="ELM21" s="93"/>
      <c r="ELN21" s="93"/>
      <c r="ELO21" s="93"/>
      <c r="ELP21" s="93"/>
      <c r="ELQ21" s="93"/>
      <c r="ELR21" s="93"/>
      <c r="ELS21" s="93"/>
      <c r="ELT21" s="93"/>
      <c r="ELU21" s="93"/>
      <c r="ELV21" s="93"/>
      <c r="ELW21" s="93"/>
      <c r="ELX21" s="93"/>
      <c r="ELY21" s="93"/>
      <c r="ELZ21" s="93"/>
      <c r="EMA21" s="93"/>
      <c r="EMB21" s="93"/>
      <c r="EMC21" s="93"/>
      <c r="EMD21" s="93"/>
      <c r="EME21" s="93"/>
      <c r="EMF21" s="93"/>
      <c r="EMG21" s="93"/>
      <c r="EMH21" s="93"/>
      <c r="EMI21" s="93"/>
      <c r="EMJ21" s="93"/>
      <c r="EMK21" s="93"/>
      <c r="EML21" s="93"/>
      <c r="EMM21" s="93"/>
      <c r="EMN21" s="93"/>
      <c r="EMO21" s="93"/>
      <c r="EMP21" s="93"/>
      <c r="EMQ21" s="93"/>
      <c r="EMR21" s="93"/>
      <c r="EMS21" s="93"/>
      <c r="EMT21" s="93"/>
      <c r="EMU21" s="93"/>
      <c r="EMV21" s="93"/>
      <c r="EMW21" s="93"/>
      <c r="EMX21" s="93"/>
      <c r="EMY21" s="93"/>
      <c r="EMZ21" s="93"/>
      <c r="ENA21" s="93"/>
      <c r="ENB21" s="93"/>
      <c r="ENC21" s="93"/>
      <c r="END21" s="93"/>
      <c r="ENE21" s="93"/>
      <c r="ENF21" s="93"/>
      <c r="ENG21" s="93"/>
      <c r="ENH21" s="93"/>
      <c r="ENI21" s="93"/>
      <c r="ENJ21" s="93"/>
      <c r="ENK21" s="93"/>
      <c r="ENL21" s="93"/>
      <c r="ENM21" s="93"/>
      <c r="ENN21" s="93"/>
      <c r="ENO21" s="93"/>
      <c r="ENP21" s="93"/>
      <c r="ENQ21" s="93"/>
      <c r="ENR21" s="93"/>
      <c r="ENS21" s="93"/>
      <c r="ENT21" s="93"/>
      <c r="ENU21" s="93"/>
      <c r="ENV21" s="93"/>
      <c r="ENW21" s="93"/>
      <c r="ENX21" s="93"/>
      <c r="ENY21" s="93"/>
      <c r="ENZ21" s="93"/>
      <c r="EOA21" s="93"/>
      <c r="EOB21" s="93"/>
      <c r="EOC21" s="93"/>
      <c r="EOD21" s="93"/>
      <c r="EOE21" s="93"/>
      <c r="EOF21" s="93"/>
      <c r="EOG21" s="93"/>
      <c r="EOH21" s="93"/>
      <c r="EOI21" s="93"/>
      <c r="EOJ21" s="93"/>
      <c r="EOK21" s="93"/>
      <c r="EOL21" s="93"/>
      <c r="EOM21" s="93"/>
      <c r="EON21" s="93"/>
      <c r="EOO21" s="93"/>
      <c r="EOP21" s="93"/>
      <c r="EOQ21" s="93"/>
      <c r="EOR21" s="93"/>
      <c r="EOS21" s="93"/>
      <c r="EOT21" s="93"/>
      <c r="EOU21" s="93"/>
      <c r="EOV21" s="93"/>
      <c r="EOW21" s="93"/>
      <c r="EOX21" s="93"/>
      <c r="EOY21" s="93"/>
      <c r="EOZ21" s="93"/>
      <c r="EPA21" s="93"/>
      <c r="EPB21" s="93"/>
      <c r="EPC21" s="93"/>
      <c r="EPD21" s="93"/>
      <c r="EPE21" s="93"/>
      <c r="EPF21" s="93"/>
      <c r="EPG21" s="93"/>
      <c r="EPH21" s="93"/>
      <c r="EPI21" s="93"/>
      <c r="EPJ21" s="93"/>
      <c r="EPK21" s="93"/>
      <c r="EPL21" s="93"/>
      <c r="EPM21" s="93"/>
      <c r="EPN21" s="93"/>
      <c r="EPO21" s="93"/>
      <c r="EPP21" s="93"/>
      <c r="EPQ21" s="93"/>
      <c r="EPR21" s="93"/>
      <c r="EPS21" s="93"/>
      <c r="EPT21" s="93"/>
      <c r="EPU21" s="93"/>
      <c r="EPV21" s="93"/>
      <c r="EPW21" s="93"/>
      <c r="EPX21" s="93"/>
      <c r="EPY21" s="93"/>
      <c r="EPZ21" s="93"/>
      <c r="EQA21" s="93"/>
      <c r="EQB21" s="93"/>
      <c r="EQC21" s="93"/>
      <c r="EQD21" s="93"/>
      <c r="EQE21" s="93"/>
      <c r="EQF21" s="93"/>
      <c r="EQG21" s="93"/>
      <c r="EQH21" s="93"/>
      <c r="EQI21" s="93"/>
      <c r="EQJ21" s="93"/>
      <c r="EQK21" s="93"/>
      <c r="EQL21" s="93"/>
      <c r="EQM21" s="93"/>
      <c r="EQN21" s="93"/>
      <c r="EQO21" s="93"/>
      <c r="EQP21" s="93"/>
      <c r="EQQ21" s="93"/>
      <c r="EQR21" s="93"/>
      <c r="EQS21" s="93"/>
      <c r="EQT21" s="93"/>
      <c r="EQU21" s="93"/>
      <c r="EQV21" s="93"/>
      <c r="EQW21" s="93"/>
      <c r="EQX21" s="93"/>
      <c r="EQY21" s="93"/>
      <c r="EQZ21" s="93"/>
      <c r="ERA21" s="93"/>
      <c r="ERB21" s="93"/>
      <c r="ERC21" s="93"/>
      <c r="ERD21" s="93"/>
      <c r="ERE21" s="93"/>
      <c r="ERF21" s="93"/>
      <c r="ERG21" s="93"/>
      <c r="ERH21" s="93"/>
      <c r="ERI21" s="93"/>
      <c r="ERJ21" s="93"/>
      <c r="ERK21" s="93"/>
      <c r="ERL21" s="93"/>
      <c r="ERM21" s="93"/>
      <c r="ERN21" s="93"/>
      <c r="ERO21" s="93"/>
      <c r="ERP21" s="93"/>
      <c r="ERQ21" s="93"/>
      <c r="ERR21" s="93"/>
      <c r="ERS21" s="93"/>
      <c r="ERT21" s="93"/>
      <c r="ERU21" s="93"/>
      <c r="ERV21" s="93"/>
      <c r="ERW21" s="93"/>
      <c r="ERX21" s="93"/>
      <c r="ERY21" s="93"/>
      <c r="ERZ21" s="93"/>
      <c r="ESA21" s="93"/>
      <c r="ESB21" s="93"/>
      <c r="ESC21" s="93"/>
      <c r="ESD21" s="93"/>
      <c r="ESE21" s="93"/>
      <c r="ESF21" s="93"/>
      <c r="ESG21" s="93"/>
      <c r="ESH21" s="93"/>
      <c r="ESI21" s="93"/>
      <c r="ESJ21" s="93"/>
      <c r="ESK21" s="93"/>
      <c r="ESL21" s="93"/>
      <c r="ESM21" s="93"/>
      <c r="ESN21" s="93"/>
      <c r="ESO21" s="93"/>
      <c r="ESP21" s="93"/>
      <c r="ESQ21" s="93"/>
      <c r="ESR21" s="93"/>
      <c r="ESS21" s="93"/>
      <c r="EST21" s="93"/>
      <c r="ESU21" s="93"/>
      <c r="ESV21" s="93"/>
      <c r="ESW21" s="93"/>
      <c r="ESX21" s="93"/>
      <c r="ESY21" s="93"/>
      <c r="ESZ21" s="93"/>
      <c r="ETA21" s="93"/>
      <c r="ETB21" s="93"/>
      <c r="ETC21" s="93"/>
      <c r="ETD21" s="93"/>
      <c r="ETE21" s="93"/>
      <c r="ETF21" s="93"/>
      <c r="ETG21" s="93"/>
      <c r="ETH21" s="93"/>
      <c r="ETI21" s="93"/>
      <c r="ETJ21" s="93"/>
      <c r="ETK21" s="93"/>
      <c r="ETL21" s="93"/>
      <c r="ETM21" s="93"/>
      <c r="ETN21" s="93"/>
      <c r="ETO21" s="93"/>
      <c r="ETP21" s="93"/>
      <c r="ETQ21" s="93"/>
      <c r="ETR21" s="93"/>
      <c r="ETS21" s="93"/>
      <c r="ETT21" s="93"/>
      <c r="ETU21" s="93"/>
      <c r="ETV21" s="93"/>
      <c r="ETW21" s="93"/>
      <c r="ETX21" s="93"/>
      <c r="ETY21" s="93"/>
      <c r="ETZ21" s="93"/>
      <c r="EUA21" s="93"/>
      <c r="EUB21" s="93"/>
      <c r="EUC21" s="93"/>
      <c r="EUD21" s="93"/>
      <c r="EUE21" s="93"/>
      <c r="EUF21" s="93"/>
      <c r="EUG21" s="93"/>
      <c r="EUH21" s="93"/>
      <c r="EUI21" s="93"/>
      <c r="EUJ21" s="93"/>
      <c r="EUK21" s="93"/>
      <c r="EUL21" s="93"/>
      <c r="EUM21" s="93"/>
      <c r="EUN21" s="93"/>
      <c r="EUO21" s="93"/>
      <c r="EUP21" s="93"/>
      <c r="EUQ21" s="93"/>
      <c r="EUR21" s="93"/>
      <c r="EUS21" s="93"/>
      <c r="EUT21" s="93"/>
      <c r="EUU21" s="93"/>
      <c r="EUV21" s="93"/>
      <c r="EUW21" s="93"/>
      <c r="EUX21" s="93"/>
      <c r="EUY21" s="93"/>
      <c r="EUZ21" s="93"/>
      <c r="EVA21" s="93"/>
      <c r="EVB21" s="93"/>
      <c r="EVC21" s="93"/>
      <c r="EVD21" s="93"/>
      <c r="EVE21" s="93"/>
      <c r="EVF21" s="93"/>
      <c r="EVG21" s="93"/>
      <c r="EVH21" s="93"/>
      <c r="EVI21" s="93"/>
      <c r="EVJ21" s="93"/>
      <c r="EVK21" s="93"/>
      <c r="EVL21" s="93"/>
      <c r="EVM21" s="93"/>
      <c r="EVN21" s="93"/>
      <c r="EVO21" s="93"/>
      <c r="EVP21" s="93"/>
      <c r="EVQ21" s="93"/>
      <c r="EVR21" s="93"/>
      <c r="EVS21" s="93"/>
      <c r="EVT21" s="93"/>
      <c r="EVU21" s="93"/>
      <c r="EVV21" s="93"/>
      <c r="EVW21" s="93"/>
      <c r="EVX21" s="93"/>
      <c r="EVY21" s="93"/>
      <c r="EVZ21" s="93"/>
      <c r="EWA21" s="93"/>
      <c r="EWB21" s="93"/>
      <c r="EWC21" s="93"/>
      <c r="EWD21" s="93"/>
      <c r="EWE21" s="93"/>
      <c r="EWF21" s="93"/>
      <c r="EWG21" s="93"/>
      <c r="EWH21" s="93"/>
      <c r="EWI21" s="93"/>
      <c r="EWJ21" s="93"/>
      <c r="EWK21" s="93"/>
      <c r="EWL21" s="93"/>
      <c r="EWM21" s="93"/>
      <c r="EWN21" s="93"/>
      <c r="EWO21" s="93"/>
      <c r="EWP21" s="93"/>
      <c r="EWQ21" s="93"/>
      <c r="EWR21" s="93"/>
      <c r="EWS21" s="93"/>
      <c r="EWT21" s="93"/>
      <c r="EWU21" s="93"/>
      <c r="EWV21" s="93"/>
      <c r="EWW21" s="93"/>
      <c r="EWX21" s="93"/>
      <c r="EWY21" s="93"/>
      <c r="EWZ21" s="93"/>
      <c r="EXA21" s="93"/>
      <c r="EXB21" s="93"/>
      <c r="EXC21" s="93"/>
      <c r="EXD21" s="93"/>
      <c r="EXE21" s="93"/>
      <c r="EXF21" s="93"/>
      <c r="EXG21" s="93"/>
      <c r="EXH21" s="93"/>
      <c r="EXI21" s="93"/>
      <c r="EXJ21" s="93"/>
      <c r="EXK21" s="93"/>
      <c r="EXL21" s="93"/>
      <c r="EXM21" s="93"/>
      <c r="EXN21" s="93"/>
      <c r="EXO21" s="93"/>
      <c r="EXP21" s="93"/>
      <c r="EXQ21" s="93"/>
      <c r="EXR21" s="93"/>
      <c r="EXS21" s="93"/>
      <c r="EXT21" s="93"/>
      <c r="EXU21" s="93"/>
      <c r="EXV21" s="93"/>
      <c r="EXW21" s="93"/>
      <c r="EXX21" s="93"/>
      <c r="EXY21" s="93"/>
      <c r="EXZ21" s="93"/>
      <c r="EYA21" s="93"/>
      <c r="EYB21" s="93"/>
      <c r="EYC21" s="93"/>
      <c r="EYD21" s="93"/>
      <c r="EYE21" s="93"/>
      <c r="EYF21" s="93"/>
      <c r="EYG21" s="93"/>
      <c r="EYH21" s="93"/>
      <c r="EYI21" s="93"/>
      <c r="EYJ21" s="93"/>
      <c r="EYK21" s="93"/>
      <c r="EYL21" s="93"/>
      <c r="EYM21" s="93"/>
      <c r="EYN21" s="93"/>
      <c r="EYO21" s="93"/>
      <c r="EYP21" s="93"/>
      <c r="EYQ21" s="93"/>
      <c r="EYR21" s="93"/>
      <c r="EYS21" s="93"/>
      <c r="EYT21" s="93"/>
      <c r="EYU21" s="93"/>
      <c r="EYV21" s="93"/>
      <c r="EYW21" s="93"/>
      <c r="EYX21" s="93"/>
      <c r="EYY21" s="93"/>
      <c r="EYZ21" s="93"/>
      <c r="EZA21" s="93"/>
      <c r="EZB21" s="93"/>
      <c r="EZC21" s="93"/>
      <c r="EZD21" s="93"/>
      <c r="EZE21" s="93"/>
      <c r="EZF21" s="93"/>
      <c r="EZG21" s="93"/>
      <c r="EZH21" s="93"/>
      <c r="EZI21" s="93"/>
      <c r="EZJ21" s="93"/>
      <c r="EZK21" s="93"/>
      <c r="EZL21" s="93"/>
      <c r="EZM21" s="93"/>
      <c r="EZN21" s="93"/>
      <c r="EZO21" s="93"/>
      <c r="EZP21" s="93"/>
      <c r="EZQ21" s="93"/>
      <c r="EZR21" s="93"/>
      <c r="EZS21" s="93"/>
      <c r="EZT21" s="93"/>
      <c r="EZU21" s="93"/>
      <c r="EZV21" s="93"/>
      <c r="EZW21" s="93"/>
      <c r="EZX21" s="93"/>
      <c r="EZY21" s="93"/>
      <c r="EZZ21" s="93"/>
      <c r="FAA21" s="93"/>
      <c r="FAB21" s="93"/>
      <c r="FAC21" s="93"/>
      <c r="FAD21" s="93"/>
      <c r="FAE21" s="93"/>
      <c r="FAF21" s="93"/>
      <c r="FAG21" s="93"/>
      <c r="FAH21" s="93"/>
      <c r="FAI21" s="93"/>
      <c r="FAJ21" s="93"/>
      <c r="FAK21" s="93"/>
      <c r="FAL21" s="93"/>
      <c r="FAM21" s="93"/>
      <c r="FAN21" s="93"/>
      <c r="FAO21" s="93"/>
      <c r="FAP21" s="93"/>
      <c r="FAQ21" s="93"/>
      <c r="FAR21" s="93"/>
      <c r="FAS21" s="93"/>
      <c r="FAT21" s="93"/>
      <c r="FAU21" s="93"/>
      <c r="FAV21" s="93"/>
      <c r="FAW21" s="93"/>
      <c r="FAX21" s="93"/>
      <c r="FAY21" s="93"/>
      <c r="FAZ21" s="93"/>
      <c r="FBA21" s="93"/>
      <c r="FBB21" s="93"/>
      <c r="FBC21" s="93"/>
      <c r="FBD21" s="93"/>
      <c r="FBE21" s="93"/>
      <c r="FBF21" s="93"/>
      <c r="FBG21" s="93"/>
      <c r="FBH21" s="93"/>
      <c r="FBI21" s="93"/>
      <c r="FBJ21" s="93"/>
      <c r="FBK21" s="93"/>
      <c r="FBL21" s="93"/>
      <c r="FBM21" s="93"/>
      <c r="FBN21" s="93"/>
      <c r="FBO21" s="93"/>
      <c r="FBP21" s="93"/>
      <c r="FBQ21" s="93"/>
      <c r="FBR21" s="93"/>
      <c r="FBS21" s="93"/>
      <c r="FBT21" s="93"/>
      <c r="FBU21" s="93"/>
      <c r="FBV21" s="93"/>
      <c r="FBW21" s="93"/>
      <c r="FBX21" s="93"/>
      <c r="FBY21" s="93"/>
      <c r="FBZ21" s="93"/>
      <c r="FCA21" s="93"/>
      <c r="FCB21" s="93"/>
      <c r="FCC21" s="93"/>
      <c r="FCD21" s="93"/>
      <c r="FCE21" s="93"/>
      <c r="FCF21" s="93"/>
      <c r="FCG21" s="93"/>
      <c r="FCH21" s="93"/>
      <c r="FCI21" s="93"/>
      <c r="FCJ21" s="93"/>
      <c r="FCK21" s="93"/>
      <c r="FCL21" s="93"/>
      <c r="FCM21" s="93"/>
      <c r="FCN21" s="93"/>
      <c r="FCO21" s="93"/>
      <c r="FCP21" s="93"/>
      <c r="FCQ21" s="93"/>
      <c r="FCR21" s="93"/>
      <c r="FCS21" s="93"/>
      <c r="FCT21" s="93"/>
      <c r="FCU21" s="93"/>
      <c r="FCV21" s="93"/>
      <c r="FCW21" s="93"/>
      <c r="FCX21" s="93"/>
      <c r="FCY21" s="93"/>
      <c r="FCZ21" s="93"/>
      <c r="FDA21" s="93"/>
      <c r="FDB21" s="93"/>
      <c r="FDC21" s="93"/>
      <c r="FDD21" s="93"/>
      <c r="FDE21" s="93"/>
      <c r="FDF21" s="93"/>
      <c r="FDG21" s="93"/>
      <c r="FDH21" s="93"/>
      <c r="FDI21" s="93"/>
      <c r="FDJ21" s="93"/>
      <c r="FDK21" s="93"/>
      <c r="FDL21" s="93"/>
      <c r="FDM21" s="93"/>
      <c r="FDN21" s="93"/>
      <c r="FDO21" s="93"/>
      <c r="FDP21" s="93"/>
      <c r="FDQ21" s="93"/>
      <c r="FDR21" s="93"/>
      <c r="FDS21" s="93"/>
      <c r="FDT21" s="93"/>
      <c r="FDU21" s="93"/>
      <c r="FDV21" s="93"/>
      <c r="FDW21" s="93"/>
      <c r="FDX21" s="93"/>
      <c r="FDY21" s="93"/>
      <c r="FDZ21" s="93"/>
      <c r="FEA21" s="93"/>
      <c r="FEB21" s="93"/>
      <c r="FEC21" s="93"/>
      <c r="FED21" s="93"/>
      <c r="FEE21" s="93"/>
      <c r="FEF21" s="93"/>
      <c r="FEG21" s="93"/>
      <c r="FEH21" s="93"/>
      <c r="FEI21" s="93"/>
      <c r="FEJ21" s="93"/>
      <c r="FEK21" s="93"/>
      <c r="FEL21" s="93"/>
      <c r="FEM21" s="93"/>
      <c r="FEN21" s="93"/>
      <c r="FEO21" s="93"/>
      <c r="FEP21" s="93"/>
      <c r="FEQ21" s="93"/>
      <c r="FER21" s="93"/>
      <c r="FES21" s="93"/>
      <c r="FET21" s="93"/>
      <c r="FEU21" s="93"/>
      <c r="FEV21" s="93"/>
      <c r="FEW21" s="93"/>
      <c r="FEX21" s="93"/>
      <c r="FEY21" s="93"/>
      <c r="FEZ21" s="93"/>
      <c r="FFA21" s="93"/>
      <c r="FFB21" s="93"/>
      <c r="FFC21" s="93"/>
      <c r="FFD21" s="93"/>
      <c r="FFE21" s="93"/>
      <c r="FFF21" s="93"/>
      <c r="FFG21" s="93"/>
      <c r="FFH21" s="93"/>
      <c r="FFI21" s="93"/>
      <c r="FFJ21" s="93"/>
      <c r="FFK21" s="93"/>
      <c r="FFL21" s="93"/>
      <c r="FFM21" s="93"/>
      <c r="FFN21" s="93"/>
      <c r="FFO21" s="93"/>
      <c r="FFP21" s="93"/>
      <c r="FFQ21" s="93"/>
      <c r="FFR21" s="93"/>
      <c r="FFS21" s="93"/>
      <c r="FFT21" s="93"/>
      <c r="FFU21" s="93"/>
      <c r="FFV21" s="93"/>
      <c r="FFW21" s="93"/>
      <c r="FFX21" s="93"/>
      <c r="FFY21" s="93"/>
      <c r="FFZ21" s="93"/>
      <c r="FGA21" s="93"/>
      <c r="FGB21" s="93"/>
      <c r="FGC21" s="93"/>
      <c r="FGD21" s="93"/>
      <c r="FGE21" s="93"/>
      <c r="FGF21" s="93"/>
      <c r="FGG21" s="93"/>
      <c r="FGH21" s="93"/>
      <c r="FGI21" s="93"/>
      <c r="FGJ21" s="93"/>
      <c r="FGK21" s="93"/>
      <c r="FGL21" s="93"/>
      <c r="FGM21" s="93"/>
      <c r="FGN21" s="93"/>
      <c r="FGO21" s="93"/>
      <c r="FGP21" s="93"/>
      <c r="FGQ21" s="93"/>
      <c r="FGR21" s="93"/>
      <c r="FGS21" s="93"/>
      <c r="FGT21" s="93"/>
      <c r="FGU21" s="93"/>
      <c r="FGV21" s="93"/>
      <c r="FGW21" s="93"/>
      <c r="FGX21" s="93"/>
      <c r="FGY21" s="93"/>
      <c r="FGZ21" s="93"/>
      <c r="FHA21" s="93"/>
      <c r="FHB21" s="93"/>
      <c r="FHC21" s="93"/>
      <c r="FHD21" s="93"/>
      <c r="FHE21" s="93"/>
      <c r="FHF21" s="93"/>
      <c r="FHG21" s="93"/>
      <c r="FHH21" s="93"/>
      <c r="FHI21" s="93"/>
      <c r="FHJ21" s="93"/>
      <c r="FHK21" s="93"/>
      <c r="FHL21" s="93"/>
      <c r="FHM21" s="93"/>
      <c r="FHN21" s="93"/>
      <c r="FHO21" s="93"/>
      <c r="FHP21" s="93"/>
      <c r="FHQ21" s="93"/>
      <c r="FHR21" s="93"/>
      <c r="FHS21" s="93"/>
      <c r="FHT21" s="93"/>
      <c r="FHU21" s="93"/>
      <c r="FHV21" s="93"/>
      <c r="FHW21" s="93"/>
      <c r="FHX21" s="93"/>
      <c r="FHY21" s="93"/>
      <c r="FHZ21" s="93"/>
      <c r="FIA21" s="93"/>
      <c r="FIB21" s="93"/>
      <c r="FIC21" s="93"/>
      <c r="FID21" s="93"/>
      <c r="FIE21" s="93"/>
      <c r="FIF21" s="93"/>
      <c r="FIG21" s="93"/>
      <c r="FIH21" s="93"/>
      <c r="FII21" s="93"/>
      <c r="FIJ21" s="93"/>
      <c r="FIK21" s="93"/>
      <c r="FIL21" s="93"/>
      <c r="FIM21" s="93"/>
      <c r="FIN21" s="93"/>
      <c r="FIO21" s="93"/>
      <c r="FIP21" s="93"/>
      <c r="FIQ21" s="93"/>
      <c r="FIR21" s="93"/>
      <c r="FIS21" s="93"/>
      <c r="FIT21" s="93"/>
      <c r="FIU21" s="93"/>
      <c r="FIV21" s="93"/>
      <c r="FIW21" s="93"/>
      <c r="FIX21" s="93"/>
      <c r="FIY21" s="93"/>
      <c r="FIZ21" s="93"/>
      <c r="FJA21" s="93"/>
      <c r="FJB21" s="93"/>
      <c r="FJC21" s="93"/>
      <c r="FJD21" s="93"/>
      <c r="FJE21" s="93"/>
      <c r="FJF21" s="93"/>
      <c r="FJG21" s="93"/>
      <c r="FJH21" s="93"/>
      <c r="FJI21" s="93"/>
      <c r="FJJ21" s="93"/>
      <c r="FJK21" s="93"/>
      <c r="FJL21" s="93"/>
      <c r="FJM21" s="93"/>
      <c r="FJN21" s="93"/>
      <c r="FJO21" s="93"/>
      <c r="FJP21" s="93"/>
      <c r="FJQ21" s="93"/>
      <c r="FJR21" s="93"/>
      <c r="FJS21" s="93"/>
      <c r="FJT21" s="93"/>
      <c r="FJU21" s="93"/>
      <c r="FJV21" s="93"/>
      <c r="FJW21" s="93"/>
      <c r="FJX21" s="93"/>
      <c r="FJY21" s="93"/>
      <c r="FJZ21" s="93"/>
      <c r="FKA21" s="93"/>
      <c r="FKB21" s="93"/>
      <c r="FKC21" s="93"/>
      <c r="FKD21" s="93"/>
      <c r="FKE21" s="93"/>
      <c r="FKF21" s="93"/>
      <c r="FKG21" s="93"/>
      <c r="FKH21" s="93"/>
      <c r="FKI21" s="93"/>
      <c r="FKJ21" s="93"/>
      <c r="FKK21" s="93"/>
      <c r="FKL21" s="93"/>
      <c r="FKM21" s="93"/>
      <c r="FKN21" s="93"/>
      <c r="FKO21" s="93"/>
      <c r="FKP21" s="93"/>
      <c r="FKQ21" s="93"/>
      <c r="FKR21" s="93"/>
      <c r="FKS21" s="93"/>
      <c r="FKT21" s="93"/>
      <c r="FKU21" s="93"/>
      <c r="FKV21" s="93"/>
      <c r="FKW21" s="93"/>
      <c r="FKX21" s="93"/>
      <c r="FKY21" s="93"/>
      <c r="FKZ21" s="93"/>
      <c r="FLA21" s="93"/>
      <c r="FLB21" s="93"/>
      <c r="FLC21" s="93"/>
      <c r="FLD21" s="93"/>
      <c r="FLE21" s="93"/>
      <c r="FLF21" s="93"/>
      <c r="FLG21" s="93"/>
      <c r="FLH21" s="93"/>
      <c r="FLI21" s="93"/>
      <c r="FLJ21" s="93"/>
      <c r="FLK21" s="93"/>
      <c r="FLL21" s="93"/>
      <c r="FLM21" s="93"/>
      <c r="FLN21" s="93"/>
      <c r="FLO21" s="93"/>
      <c r="FLP21" s="93"/>
      <c r="FLQ21" s="93"/>
      <c r="FLR21" s="93"/>
      <c r="FLS21" s="93"/>
      <c r="FLT21" s="93"/>
      <c r="FLU21" s="93"/>
      <c r="FLV21" s="93"/>
      <c r="FLW21" s="93"/>
      <c r="FLX21" s="93"/>
      <c r="FLY21" s="93"/>
      <c r="FLZ21" s="93"/>
      <c r="FMA21" s="93"/>
      <c r="FMB21" s="93"/>
      <c r="FMC21" s="93"/>
      <c r="FMD21" s="93"/>
      <c r="FME21" s="93"/>
      <c r="FMF21" s="93"/>
      <c r="FMG21" s="93"/>
      <c r="FMH21" s="93"/>
      <c r="FMI21" s="93"/>
      <c r="FMJ21" s="93"/>
      <c r="FMK21" s="93"/>
      <c r="FML21" s="93"/>
      <c r="FMM21" s="93"/>
      <c r="FMN21" s="93"/>
      <c r="FMO21" s="93"/>
      <c r="FMP21" s="93"/>
      <c r="FMQ21" s="93"/>
      <c r="FMR21" s="93"/>
      <c r="FMS21" s="93"/>
      <c r="FMT21" s="93"/>
      <c r="FMU21" s="93"/>
      <c r="FMV21" s="93"/>
      <c r="FMW21" s="93"/>
      <c r="FMX21" s="93"/>
      <c r="FMY21" s="93"/>
      <c r="FMZ21" s="93"/>
      <c r="FNA21" s="93"/>
      <c r="FNB21" s="93"/>
      <c r="FNC21" s="93"/>
      <c r="FND21" s="93"/>
      <c r="FNE21" s="93"/>
      <c r="FNF21" s="93"/>
      <c r="FNG21" s="93"/>
      <c r="FNH21" s="93"/>
      <c r="FNI21" s="93"/>
      <c r="FNJ21" s="93"/>
      <c r="FNK21" s="93"/>
      <c r="FNL21" s="93"/>
      <c r="FNM21" s="93"/>
      <c r="FNN21" s="93"/>
      <c r="FNO21" s="93"/>
      <c r="FNP21" s="93"/>
      <c r="FNQ21" s="93"/>
      <c r="FNR21" s="93"/>
      <c r="FNS21" s="93"/>
      <c r="FNT21" s="93"/>
      <c r="FNU21" s="93"/>
      <c r="FNV21" s="93"/>
      <c r="FNW21" s="93"/>
      <c r="FNX21" s="93"/>
      <c r="FNY21" s="93"/>
      <c r="FNZ21" s="93"/>
      <c r="FOA21" s="93"/>
      <c r="FOB21" s="93"/>
      <c r="FOC21" s="93"/>
      <c r="FOD21" s="93"/>
      <c r="FOE21" s="93"/>
      <c r="FOF21" s="93"/>
      <c r="FOG21" s="93"/>
      <c r="FOH21" s="93"/>
      <c r="FOI21" s="93"/>
      <c r="FOJ21" s="93"/>
      <c r="FOK21" s="93"/>
      <c r="FOL21" s="93"/>
      <c r="FOM21" s="93"/>
      <c r="FON21" s="93"/>
      <c r="FOO21" s="93"/>
      <c r="FOP21" s="93"/>
      <c r="FOQ21" s="93"/>
      <c r="FOR21" s="93"/>
      <c r="FOS21" s="93"/>
      <c r="FOT21" s="93"/>
      <c r="FOU21" s="93"/>
      <c r="FOV21" s="93"/>
      <c r="FOW21" s="93"/>
      <c r="FOX21" s="93"/>
      <c r="FOY21" s="93"/>
      <c r="FOZ21" s="93"/>
      <c r="FPA21" s="93"/>
      <c r="FPB21" s="93"/>
      <c r="FPC21" s="93"/>
      <c r="FPD21" s="93"/>
      <c r="FPE21" s="93"/>
      <c r="FPF21" s="93"/>
      <c r="FPG21" s="93"/>
      <c r="FPH21" s="93"/>
      <c r="FPI21" s="93"/>
      <c r="FPJ21" s="93"/>
      <c r="FPK21" s="93"/>
      <c r="FPL21" s="93"/>
      <c r="FPM21" s="93"/>
      <c r="FPN21" s="93"/>
      <c r="FPO21" s="93"/>
      <c r="FPP21" s="93"/>
      <c r="FPQ21" s="93"/>
      <c r="FPR21" s="93"/>
      <c r="FPS21" s="93"/>
      <c r="FPT21" s="93"/>
      <c r="FPU21" s="93"/>
      <c r="FPV21" s="93"/>
      <c r="FPW21" s="93"/>
      <c r="FPX21" s="93"/>
      <c r="FPY21" s="93"/>
      <c r="FPZ21" s="93"/>
      <c r="FQA21" s="93"/>
      <c r="FQB21" s="93"/>
      <c r="FQC21" s="93"/>
      <c r="FQD21" s="93"/>
      <c r="FQE21" s="93"/>
      <c r="FQF21" s="93"/>
      <c r="FQG21" s="93"/>
      <c r="FQH21" s="93"/>
      <c r="FQI21" s="93"/>
      <c r="FQJ21" s="93"/>
      <c r="FQK21" s="93"/>
      <c r="FQL21" s="93"/>
      <c r="FQM21" s="93"/>
      <c r="FQN21" s="93"/>
      <c r="FQO21" s="93"/>
      <c r="FQP21" s="93"/>
      <c r="FQQ21" s="93"/>
      <c r="FQR21" s="93"/>
      <c r="FQS21" s="93"/>
      <c r="FQT21" s="93"/>
      <c r="FQU21" s="93"/>
      <c r="FQV21" s="93"/>
      <c r="FQW21" s="93"/>
      <c r="FQX21" s="93"/>
      <c r="FQY21" s="93"/>
      <c r="FQZ21" s="93"/>
      <c r="FRA21" s="93"/>
      <c r="FRB21" s="93"/>
      <c r="FRC21" s="93"/>
      <c r="FRD21" s="93"/>
      <c r="FRE21" s="93"/>
      <c r="FRF21" s="93"/>
      <c r="FRG21" s="93"/>
      <c r="FRH21" s="93"/>
      <c r="FRI21" s="93"/>
      <c r="FRJ21" s="93"/>
      <c r="FRK21" s="93"/>
      <c r="FRL21" s="93"/>
      <c r="FRM21" s="93"/>
      <c r="FRN21" s="93"/>
      <c r="FRO21" s="93"/>
      <c r="FRP21" s="93"/>
      <c r="FRQ21" s="93"/>
      <c r="FRR21" s="93"/>
      <c r="FRS21" s="93"/>
      <c r="FRT21" s="93"/>
      <c r="FRU21" s="93"/>
      <c r="FRV21" s="93"/>
      <c r="FRW21" s="93"/>
      <c r="FRX21" s="93"/>
      <c r="FRY21" s="93"/>
      <c r="FRZ21" s="93"/>
      <c r="FSA21" s="93"/>
      <c r="FSB21" s="93"/>
      <c r="FSC21" s="93"/>
      <c r="FSD21" s="93"/>
      <c r="FSE21" s="93"/>
      <c r="FSF21" s="93"/>
      <c r="FSG21" s="93"/>
      <c r="FSH21" s="93"/>
      <c r="FSI21" s="93"/>
      <c r="FSJ21" s="93"/>
      <c r="FSK21" s="93"/>
      <c r="FSL21" s="93"/>
      <c r="FSM21" s="93"/>
      <c r="FSN21" s="93"/>
      <c r="FSO21" s="93"/>
      <c r="FSP21" s="93"/>
      <c r="FSQ21" s="93"/>
      <c r="FSR21" s="93"/>
      <c r="FSS21" s="93"/>
      <c r="FST21" s="93"/>
      <c r="FSU21" s="93"/>
      <c r="FSV21" s="93"/>
      <c r="FSW21" s="93"/>
      <c r="FSX21" s="93"/>
      <c r="FSY21" s="93"/>
      <c r="FSZ21" s="93"/>
      <c r="FTA21" s="93"/>
      <c r="FTB21" s="93"/>
      <c r="FTC21" s="93"/>
      <c r="FTD21" s="93"/>
      <c r="FTE21" s="93"/>
      <c r="FTF21" s="93"/>
      <c r="FTG21" s="93"/>
      <c r="FTH21" s="93"/>
      <c r="FTI21" s="93"/>
      <c r="FTJ21" s="93"/>
      <c r="FTK21" s="93"/>
      <c r="FTL21" s="93"/>
      <c r="FTM21" s="93"/>
      <c r="FTN21" s="93"/>
      <c r="FTO21" s="93"/>
      <c r="FTP21" s="93"/>
      <c r="FTQ21" s="93"/>
      <c r="FTR21" s="93"/>
      <c r="FTS21" s="93"/>
      <c r="FTT21" s="93"/>
      <c r="FTU21" s="93"/>
      <c r="FTV21" s="93"/>
      <c r="FTW21" s="93"/>
      <c r="FTX21" s="93"/>
      <c r="FTY21" s="93"/>
      <c r="FTZ21" s="93"/>
      <c r="FUA21" s="93"/>
      <c r="FUB21" s="93"/>
      <c r="FUC21" s="93"/>
      <c r="FUD21" s="93"/>
      <c r="FUE21" s="93"/>
      <c r="FUF21" s="93"/>
      <c r="FUG21" s="93"/>
      <c r="FUH21" s="93"/>
      <c r="FUI21" s="93"/>
      <c r="FUJ21" s="93"/>
      <c r="FUK21" s="93"/>
      <c r="FUL21" s="93"/>
      <c r="FUM21" s="93"/>
      <c r="FUN21" s="93"/>
      <c r="FUO21" s="93"/>
      <c r="FUP21" s="93"/>
      <c r="FUQ21" s="93"/>
      <c r="FUR21" s="93"/>
      <c r="FUS21" s="93"/>
      <c r="FUT21" s="93"/>
      <c r="FUU21" s="93"/>
      <c r="FUV21" s="93"/>
      <c r="FUW21" s="93"/>
      <c r="FUX21" s="93"/>
      <c r="FUY21" s="93"/>
      <c r="FUZ21" s="93"/>
      <c r="FVA21" s="93"/>
      <c r="FVB21" s="93"/>
      <c r="FVC21" s="93"/>
      <c r="FVD21" s="93"/>
      <c r="FVE21" s="93"/>
      <c r="FVF21" s="93"/>
      <c r="FVG21" s="93"/>
      <c r="FVH21" s="93"/>
      <c r="FVI21" s="93"/>
      <c r="FVJ21" s="93"/>
      <c r="FVK21" s="93"/>
      <c r="FVL21" s="93"/>
      <c r="FVM21" s="93"/>
      <c r="FVN21" s="93"/>
      <c r="FVO21" s="93"/>
      <c r="FVP21" s="93"/>
      <c r="FVQ21" s="93"/>
      <c r="FVR21" s="93"/>
      <c r="FVS21" s="93"/>
      <c r="FVT21" s="93"/>
      <c r="FVU21" s="93"/>
      <c r="FVV21" s="93"/>
      <c r="FVW21" s="93"/>
      <c r="FVX21" s="93"/>
      <c r="FVY21" s="93"/>
      <c r="FVZ21" s="93"/>
      <c r="FWA21" s="93"/>
      <c r="FWB21" s="93"/>
      <c r="FWC21" s="93"/>
      <c r="FWD21" s="93"/>
      <c r="FWE21" s="93"/>
      <c r="FWF21" s="93"/>
      <c r="FWG21" s="93"/>
      <c r="FWH21" s="93"/>
      <c r="FWI21" s="93"/>
      <c r="FWJ21" s="93"/>
      <c r="FWK21" s="93"/>
      <c r="FWL21" s="93"/>
      <c r="FWM21" s="93"/>
      <c r="FWN21" s="93"/>
      <c r="FWO21" s="93"/>
      <c r="FWP21" s="93"/>
      <c r="FWQ21" s="93"/>
      <c r="FWR21" s="93"/>
      <c r="FWS21" s="93"/>
      <c r="FWT21" s="93"/>
      <c r="FWU21" s="93"/>
      <c r="FWV21" s="93"/>
      <c r="FWW21" s="93"/>
      <c r="FWX21" s="93"/>
      <c r="FWY21" s="93"/>
      <c r="FWZ21" s="93"/>
      <c r="FXA21" s="93"/>
      <c r="FXB21" s="93"/>
      <c r="FXC21" s="93"/>
      <c r="FXD21" s="93"/>
      <c r="FXE21" s="93"/>
      <c r="FXF21" s="93"/>
      <c r="FXG21" s="93"/>
      <c r="FXH21" s="93"/>
      <c r="FXI21" s="93"/>
      <c r="FXJ21" s="93"/>
      <c r="FXK21" s="93"/>
      <c r="FXL21" s="93"/>
      <c r="FXM21" s="93"/>
      <c r="FXN21" s="93"/>
      <c r="FXO21" s="93"/>
      <c r="FXP21" s="93"/>
      <c r="FXQ21" s="93"/>
      <c r="FXR21" s="93"/>
      <c r="FXS21" s="93"/>
      <c r="FXT21" s="93"/>
      <c r="FXU21" s="93"/>
      <c r="FXV21" s="93"/>
      <c r="FXW21" s="93"/>
      <c r="FXX21" s="93"/>
      <c r="FXY21" s="93"/>
      <c r="FXZ21" s="93"/>
      <c r="FYA21" s="93"/>
      <c r="FYB21" s="93"/>
      <c r="FYC21" s="93"/>
      <c r="FYD21" s="93"/>
      <c r="FYE21" s="93"/>
      <c r="FYF21" s="93"/>
      <c r="FYG21" s="93"/>
      <c r="FYH21" s="93"/>
      <c r="FYI21" s="93"/>
      <c r="FYJ21" s="93"/>
      <c r="FYK21" s="93"/>
      <c r="FYL21" s="93"/>
      <c r="FYM21" s="93"/>
      <c r="FYN21" s="93"/>
      <c r="FYO21" s="93"/>
      <c r="FYP21" s="93"/>
      <c r="FYQ21" s="93"/>
      <c r="FYR21" s="93"/>
      <c r="FYS21" s="93"/>
      <c r="FYT21" s="93"/>
      <c r="FYU21" s="93"/>
      <c r="FYV21" s="93"/>
      <c r="FYW21" s="93"/>
      <c r="FYX21" s="93"/>
      <c r="FYY21" s="93"/>
      <c r="FYZ21" s="93"/>
      <c r="FZA21" s="93"/>
      <c r="FZB21" s="93"/>
      <c r="FZC21" s="93"/>
      <c r="FZD21" s="93"/>
      <c r="FZE21" s="93"/>
      <c r="FZF21" s="93"/>
      <c r="FZG21" s="93"/>
      <c r="FZH21" s="93"/>
      <c r="FZI21" s="93"/>
      <c r="FZJ21" s="93"/>
      <c r="FZK21" s="93"/>
      <c r="FZL21" s="93"/>
      <c r="FZM21" s="93"/>
      <c r="FZN21" s="93"/>
      <c r="FZO21" s="93"/>
      <c r="FZP21" s="93"/>
      <c r="FZQ21" s="93"/>
      <c r="FZR21" s="93"/>
      <c r="FZS21" s="93"/>
      <c r="FZT21" s="93"/>
      <c r="FZU21" s="93"/>
      <c r="FZV21" s="93"/>
      <c r="FZW21" s="93"/>
      <c r="FZX21" s="93"/>
      <c r="FZY21" s="93"/>
      <c r="FZZ21" s="93"/>
      <c r="GAA21" s="93"/>
      <c r="GAB21" s="93"/>
      <c r="GAC21" s="93"/>
      <c r="GAD21" s="93"/>
      <c r="GAE21" s="93"/>
      <c r="GAF21" s="93"/>
      <c r="GAG21" s="93"/>
      <c r="GAH21" s="93"/>
      <c r="GAI21" s="93"/>
      <c r="GAJ21" s="93"/>
      <c r="GAK21" s="93"/>
      <c r="GAL21" s="93"/>
      <c r="GAM21" s="93"/>
      <c r="GAN21" s="93"/>
      <c r="GAO21" s="93"/>
      <c r="GAP21" s="93"/>
      <c r="GAQ21" s="93"/>
      <c r="GAR21" s="93"/>
      <c r="GAS21" s="93"/>
      <c r="GAT21" s="93"/>
      <c r="GAU21" s="93"/>
      <c r="GAV21" s="93"/>
      <c r="GAW21" s="93"/>
      <c r="GAX21" s="93"/>
      <c r="GAY21" s="93"/>
      <c r="GAZ21" s="93"/>
      <c r="GBA21" s="93"/>
      <c r="GBB21" s="93"/>
      <c r="GBC21" s="93"/>
      <c r="GBD21" s="93"/>
      <c r="GBE21" s="93"/>
      <c r="GBF21" s="93"/>
      <c r="GBG21" s="93"/>
      <c r="GBH21" s="93"/>
      <c r="GBI21" s="93"/>
      <c r="GBJ21" s="93"/>
      <c r="GBK21" s="93"/>
      <c r="GBL21" s="93"/>
      <c r="GBM21" s="93"/>
      <c r="GBN21" s="93"/>
      <c r="GBO21" s="93"/>
      <c r="GBP21" s="93"/>
      <c r="GBQ21" s="93"/>
      <c r="GBR21" s="93"/>
      <c r="GBS21" s="93"/>
      <c r="GBT21" s="93"/>
      <c r="GBU21" s="93"/>
      <c r="GBV21" s="93"/>
      <c r="GBW21" s="93"/>
      <c r="GBX21" s="93"/>
      <c r="GBY21" s="93"/>
      <c r="GBZ21" s="93"/>
      <c r="GCA21" s="93"/>
      <c r="GCB21" s="93"/>
      <c r="GCC21" s="93"/>
      <c r="GCD21" s="93"/>
      <c r="GCE21" s="93"/>
      <c r="GCF21" s="93"/>
      <c r="GCG21" s="93"/>
      <c r="GCH21" s="93"/>
      <c r="GCI21" s="93"/>
      <c r="GCJ21" s="93"/>
      <c r="GCK21" s="93"/>
      <c r="GCL21" s="93"/>
      <c r="GCM21" s="93"/>
      <c r="GCN21" s="93"/>
      <c r="GCO21" s="93"/>
      <c r="GCP21" s="93"/>
      <c r="GCQ21" s="93"/>
      <c r="GCR21" s="93"/>
      <c r="GCS21" s="93"/>
      <c r="GCT21" s="93"/>
      <c r="GCU21" s="93"/>
      <c r="GCV21" s="93"/>
      <c r="GCW21" s="93"/>
      <c r="GCX21" s="93"/>
      <c r="GCY21" s="93"/>
      <c r="GCZ21" s="93"/>
      <c r="GDA21" s="93"/>
      <c r="GDB21" s="93"/>
      <c r="GDC21" s="93"/>
      <c r="GDD21" s="93"/>
      <c r="GDE21" s="93"/>
      <c r="GDF21" s="93"/>
      <c r="GDG21" s="93"/>
      <c r="GDH21" s="93"/>
      <c r="GDI21" s="93"/>
      <c r="GDJ21" s="93"/>
      <c r="GDK21" s="93"/>
      <c r="GDL21" s="93"/>
      <c r="GDM21" s="93"/>
      <c r="GDN21" s="93"/>
      <c r="GDO21" s="93"/>
      <c r="GDP21" s="93"/>
      <c r="GDQ21" s="93"/>
      <c r="GDR21" s="93"/>
      <c r="GDS21" s="93"/>
      <c r="GDT21" s="93"/>
      <c r="GDU21" s="93"/>
      <c r="GDV21" s="93"/>
      <c r="GDW21" s="93"/>
      <c r="GDX21" s="93"/>
      <c r="GDY21" s="93"/>
      <c r="GDZ21" s="93"/>
      <c r="GEA21" s="93"/>
      <c r="GEB21" s="93"/>
      <c r="GEC21" s="93"/>
      <c r="GED21" s="93"/>
      <c r="GEE21" s="93"/>
      <c r="GEF21" s="93"/>
      <c r="GEG21" s="93"/>
      <c r="GEH21" s="93"/>
      <c r="GEI21" s="93"/>
      <c r="GEJ21" s="93"/>
      <c r="GEK21" s="93"/>
      <c r="GEL21" s="93"/>
      <c r="GEM21" s="93"/>
      <c r="GEN21" s="93"/>
      <c r="GEO21" s="93"/>
      <c r="GEP21" s="93"/>
      <c r="GEQ21" s="93"/>
      <c r="GER21" s="93"/>
      <c r="GES21" s="93"/>
      <c r="GET21" s="93"/>
      <c r="GEU21" s="93"/>
      <c r="GEV21" s="93"/>
      <c r="GEW21" s="93"/>
      <c r="GEX21" s="93"/>
      <c r="GEY21" s="93"/>
      <c r="GEZ21" s="93"/>
      <c r="GFA21" s="93"/>
      <c r="GFB21" s="93"/>
      <c r="GFC21" s="93"/>
      <c r="GFD21" s="93"/>
      <c r="GFE21" s="93"/>
      <c r="GFF21" s="93"/>
      <c r="GFG21" s="93"/>
      <c r="GFH21" s="93"/>
      <c r="GFI21" s="93"/>
      <c r="GFJ21" s="93"/>
      <c r="GFK21" s="93"/>
      <c r="GFL21" s="93"/>
      <c r="GFM21" s="93"/>
      <c r="GFN21" s="93"/>
      <c r="GFO21" s="93"/>
      <c r="GFP21" s="93"/>
      <c r="GFQ21" s="93"/>
      <c r="GFR21" s="93"/>
      <c r="GFS21" s="93"/>
      <c r="GFT21" s="93"/>
      <c r="GFU21" s="93"/>
      <c r="GFV21" s="93"/>
      <c r="GFW21" s="93"/>
      <c r="GFX21" s="93"/>
      <c r="GFY21" s="93"/>
      <c r="GFZ21" s="93"/>
      <c r="GGA21" s="93"/>
      <c r="GGB21" s="93"/>
      <c r="GGC21" s="93"/>
      <c r="GGD21" s="93"/>
      <c r="GGE21" s="93"/>
      <c r="GGF21" s="93"/>
      <c r="GGG21" s="93"/>
      <c r="GGH21" s="93"/>
      <c r="GGI21" s="93"/>
      <c r="GGJ21" s="93"/>
      <c r="GGK21" s="93"/>
      <c r="GGL21" s="93"/>
      <c r="GGM21" s="93"/>
      <c r="GGN21" s="93"/>
      <c r="GGO21" s="93"/>
      <c r="GGP21" s="93"/>
      <c r="GGQ21" s="93"/>
      <c r="GGR21" s="93"/>
      <c r="GGS21" s="93"/>
      <c r="GGT21" s="93"/>
      <c r="GGU21" s="93"/>
      <c r="GGV21" s="93"/>
      <c r="GGW21" s="93"/>
      <c r="GGX21" s="93"/>
      <c r="GGY21" s="93"/>
      <c r="GGZ21" s="93"/>
      <c r="GHA21" s="93"/>
      <c r="GHB21" s="93"/>
      <c r="GHC21" s="93"/>
      <c r="GHD21" s="93"/>
      <c r="GHE21" s="93"/>
      <c r="GHF21" s="93"/>
      <c r="GHG21" s="93"/>
      <c r="GHH21" s="93"/>
      <c r="GHI21" s="93"/>
      <c r="GHJ21" s="93"/>
      <c r="GHK21" s="93"/>
      <c r="GHL21" s="93"/>
      <c r="GHM21" s="93"/>
      <c r="GHN21" s="93"/>
      <c r="GHO21" s="93"/>
      <c r="GHP21" s="93"/>
      <c r="GHQ21" s="93"/>
      <c r="GHR21" s="93"/>
      <c r="GHS21" s="93"/>
      <c r="GHT21" s="93"/>
      <c r="GHU21" s="93"/>
      <c r="GHV21" s="93"/>
      <c r="GHW21" s="93"/>
      <c r="GHX21" s="93"/>
      <c r="GHY21" s="93"/>
      <c r="GHZ21" s="93"/>
      <c r="GIA21" s="93"/>
      <c r="GIB21" s="93"/>
      <c r="GIC21" s="93"/>
      <c r="GID21" s="93"/>
      <c r="GIE21" s="93"/>
      <c r="GIF21" s="93"/>
      <c r="GIG21" s="93"/>
      <c r="GIH21" s="93"/>
      <c r="GII21" s="93"/>
      <c r="GIJ21" s="93"/>
      <c r="GIK21" s="93"/>
      <c r="GIL21" s="93"/>
      <c r="GIM21" s="93"/>
      <c r="GIN21" s="93"/>
      <c r="GIO21" s="93"/>
      <c r="GIP21" s="93"/>
      <c r="GIQ21" s="93"/>
      <c r="GIR21" s="93"/>
      <c r="GIS21" s="93"/>
      <c r="GIT21" s="93"/>
      <c r="GIU21" s="93"/>
      <c r="GIV21" s="93"/>
      <c r="GIW21" s="93"/>
      <c r="GIX21" s="93"/>
      <c r="GIY21" s="93"/>
      <c r="GIZ21" s="93"/>
      <c r="GJA21" s="93"/>
      <c r="GJB21" s="93"/>
      <c r="GJC21" s="93"/>
      <c r="GJD21" s="93"/>
      <c r="GJE21" s="93"/>
      <c r="GJF21" s="93"/>
      <c r="GJG21" s="93"/>
      <c r="GJH21" s="93"/>
      <c r="GJI21" s="93"/>
      <c r="GJJ21" s="93"/>
      <c r="GJK21" s="93"/>
      <c r="GJL21" s="93"/>
      <c r="GJM21" s="93"/>
      <c r="GJN21" s="93"/>
      <c r="GJO21" s="93"/>
      <c r="GJP21" s="93"/>
      <c r="GJQ21" s="93"/>
      <c r="GJR21" s="93"/>
      <c r="GJS21" s="93"/>
      <c r="GJT21" s="93"/>
      <c r="GJU21" s="93"/>
      <c r="GJV21" s="93"/>
      <c r="GJW21" s="93"/>
      <c r="GJX21" s="93"/>
      <c r="GJY21" s="93"/>
      <c r="GJZ21" s="93"/>
      <c r="GKA21" s="93"/>
      <c r="GKB21" s="93"/>
      <c r="GKC21" s="93"/>
      <c r="GKD21" s="93"/>
      <c r="GKE21" s="93"/>
      <c r="GKF21" s="93"/>
      <c r="GKG21" s="93"/>
      <c r="GKH21" s="93"/>
      <c r="GKI21" s="93"/>
      <c r="GKJ21" s="93"/>
      <c r="GKK21" s="93"/>
      <c r="GKL21" s="93"/>
      <c r="GKM21" s="93"/>
      <c r="GKN21" s="93"/>
      <c r="GKO21" s="93"/>
      <c r="GKP21" s="93"/>
      <c r="GKQ21" s="93"/>
      <c r="GKR21" s="93"/>
      <c r="GKS21" s="93"/>
      <c r="GKT21" s="93"/>
      <c r="GKU21" s="93"/>
      <c r="GKV21" s="93"/>
      <c r="GKW21" s="93"/>
      <c r="GKX21" s="93"/>
      <c r="GKY21" s="93"/>
      <c r="GKZ21" s="93"/>
      <c r="GLA21" s="93"/>
      <c r="GLB21" s="93"/>
      <c r="GLC21" s="93"/>
      <c r="GLD21" s="93"/>
      <c r="GLE21" s="93"/>
      <c r="GLF21" s="93"/>
      <c r="GLG21" s="93"/>
      <c r="GLH21" s="93"/>
      <c r="GLI21" s="93"/>
      <c r="GLJ21" s="93"/>
      <c r="GLK21" s="93"/>
      <c r="GLL21" s="93"/>
      <c r="GLM21" s="93"/>
      <c r="GLN21" s="93"/>
      <c r="GLO21" s="93"/>
      <c r="GLP21" s="93"/>
      <c r="GLQ21" s="93"/>
      <c r="GLR21" s="93"/>
      <c r="GLS21" s="93"/>
      <c r="GLT21" s="93"/>
      <c r="GLU21" s="93"/>
      <c r="GLV21" s="93"/>
      <c r="GLW21" s="93"/>
      <c r="GLX21" s="93"/>
      <c r="GLY21" s="93"/>
      <c r="GLZ21" s="93"/>
      <c r="GMA21" s="93"/>
      <c r="GMB21" s="93"/>
      <c r="GMC21" s="93"/>
      <c r="GMD21" s="93"/>
      <c r="GME21" s="93"/>
      <c r="GMF21" s="93"/>
      <c r="GMG21" s="93"/>
      <c r="GMH21" s="93"/>
      <c r="GMI21" s="93"/>
      <c r="GMJ21" s="93"/>
      <c r="GMK21" s="93"/>
      <c r="GML21" s="93"/>
      <c r="GMM21" s="93"/>
      <c r="GMN21" s="93"/>
      <c r="GMO21" s="93"/>
      <c r="GMP21" s="93"/>
      <c r="GMQ21" s="93"/>
      <c r="GMR21" s="93"/>
      <c r="GMS21" s="93"/>
      <c r="GMT21" s="93"/>
      <c r="GMU21" s="93"/>
      <c r="GMV21" s="93"/>
      <c r="GMW21" s="93"/>
      <c r="GMX21" s="93"/>
      <c r="GMY21" s="93"/>
      <c r="GMZ21" s="93"/>
      <c r="GNA21" s="93"/>
      <c r="GNB21" s="93"/>
      <c r="GNC21" s="93"/>
      <c r="GND21" s="93"/>
      <c r="GNE21" s="93"/>
      <c r="GNF21" s="93"/>
      <c r="GNG21" s="93"/>
      <c r="GNH21" s="93"/>
      <c r="GNI21" s="93"/>
      <c r="GNJ21" s="93"/>
      <c r="GNK21" s="93"/>
      <c r="GNL21" s="93"/>
      <c r="GNM21" s="93"/>
      <c r="GNN21" s="93"/>
      <c r="GNO21" s="93"/>
      <c r="GNP21" s="93"/>
      <c r="GNQ21" s="93"/>
      <c r="GNR21" s="93"/>
      <c r="GNS21" s="93"/>
      <c r="GNT21" s="93"/>
      <c r="GNU21" s="93"/>
      <c r="GNV21" s="93"/>
      <c r="GNW21" s="93"/>
      <c r="GNX21" s="93"/>
      <c r="GNY21" s="93"/>
      <c r="GNZ21" s="93"/>
      <c r="GOA21" s="93"/>
      <c r="GOB21" s="93"/>
      <c r="GOC21" s="93"/>
      <c r="GOD21" s="93"/>
      <c r="GOE21" s="93"/>
      <c r="GOF21" s="93"/>
      <c r="GOG21" s="93"/>
      <c r="GOH21" s="93"/>
      <c r="GOI21" s="93"/>
      <c r="GOJ21" s="93"/>
      <c r="GOK21" s="93"/>
      <c r="GOL21" s="93"/>
      <c r="GOM21" s="93"/>
      <c r="GON21" s="93"/>
      <c r="GOO21" s="93"/>
      <c r="GOP21" s="93"/>
      <c r="GOQ21" s="93"/>
      <c r="GOR21" s="93"/>
      <c r="GOS21" s="93"/>
      <c r="GOT21" s="93"/>
      <c r="GOU21" s="93"/>
      <c r="GOV21" s="93"/>
      <c r="GOW21" s="93"/>
      <c r="GOX21" s="93"/>
      <c r="GOY21" s="93"/>
      <c r="GOZ21" s="93"/>
      <c r="GPA21" s="93"/>
      <c r="GPB21" s="93"/>
      <c r="GPC21" s="93"/>
      <c r="GPD21" s="93"/>
      <c r="GPE21" s="93"/>
      <c r="GPF21" s="93"/>
      <c r="GPG21" s="93"/>
      <c r="GPH21" s="93"/>
      <c r="GPI21" s="93"/>
      <c r="GPJ21" s="93"/>
      <c r="GPK21" s="93"/>
      <c r="GPL21" s="93"/>
      <c r="GPM21" s="93"/>
      <c r="GPN21" s="93"/>
      <c r="GPO21" s="93"/>
      <c r="GPP21" s="93"/>
      <c r="GPQ21" s="93"/>
      <c r="GPR21" s="93"/>
      <c r="GPS21" s="93"/>
      <c r="GPT21" s="93"/>
      <c r="GPU21" s="93"/>
      <c r="GPV21" s="93"/>
      <c r="GPW21" s="93"/>
      <c r="GPX21" s="93"/>
      <c r="GPY21" s="93"/>
      <c r="GPZ21" s="93"/>
      <c r="GQA21" s="93"/>
      <c r="GQB21" s="93"/>
      <c r="GQC21" s="93"/>
      <c r="GQD21" s="93"/>
      <c r="GQE21" s="93"/>
      <c r="GQF21" s="93"/>
      <c r="GQG21" s="93"/>
      <c r="GQH21" s="93"/>
      <c r="GQI21" s="93"/>
      <c r="GQJ21" s="93"/>
      <c r="GQK21" s="93"/>
      <c r="GQL21" s="93"/>
      <c r="GQM21" s="93"/>
      <c r="GQN21" s="93"/>
      <c r="GQO21" s="93"/>
      <c r="GQP21" s="93"/>
      <c r="GQQ21" s="93"/>
      <c r="GQR21" s="93"/>
      <c r="GQS21" s="93"/>
      <c r="GQT21" s="93"/>
      <c r="GQU21" s="93"/>
      <c r="GQV21" s="93"/>
      <c r="GQW21" s="93"/>
      <c r="GQX21" s="93"/>
      <c r="GQY21" s="93"/>
      <c r="GQZ21" s="93"/>
      <c r="GRA21" s="93"/>
      <c r="GRB21" s="93"/>
      <c r="GRC21" s="93"/>
      <c r="GRD21" s="93"/>
      <c r="GRE21" s="93"/>
      <c r="GRF21" s="93"/>
      <c r="GRG21" s="93"/>
      <c r="GRH21" s="93"/>
      <c r="GRI21" s="93"/>
      <c r="GRJ21" s="93"/>
      <c r="GRK21" s="93"/>
      <c r="GRL21" s="93"/>
      <c r="GRM21" s="93"/>
      <c r="GRN21" s="93"/>
      <c r="GRO21" s="93"/>
      <c r="GRP21" s="93"/>
      <c r="GRQ21" s="93"/>
      <c r="GRR21" s="93"/>
      <c r="GRS21" s="93"/>
      <c r="GRT21" s="93"/>
      <c r="GRU21" s="93"/>
      <c r="GRV21" s="93"/>
      <c r="GRW21" s="93"/>
      <c r="GRX21" s="93"/>
      <c r="GRY21" s="93"/>
      <c r="GRZ21" s="93"/>
      <c r="GSA21" s="93"/>
      <c r="GSB21" s="93"/>
      <c r="GSC21" s="93"/>
      <c r="GSD21" s="93"/>
      <c r="GSE21" s="93"/>
      <c r="GSF21" s="93"/>
      <c r="GSG21" s="93"/>
      <c r="GSH21" s="93"/>
      <c r="GSI21" s="93"/>
      <c r="GSJ21" s="93"/>
      <c r="GSK21" s="93"/>
      <c r="GSL21" s="93"/>
      <c r="GSM21" s="93"/>
      <c r="GSN21" s="93"/>
      <c r="GSO21" s="93"/>
      <c r="GSP21" s="93"/>
      <c r="GSQ21" s="93"/>
      <c r="GSR21" s="93"/>
      <c r="GSS21" s="93"/>
      <c r="GST21" s="93"/>
      <c r="GSU21" s="93"/>
      <c r="GSV21" s="93"/>
      <c r="GSW21" s="93"/>
      <c r="GSX21" s="93"/>
      <c r="GSY21" s="93"/>
      <c r="GSZ21" s="93"/>
      <c r="GTA21" s="93"/>
      <c r="GTB21" s="93"/>
      <c r="GTC21" s="93"/>
      <c r="GTD21" s="93"/>
      <c r="GTE21" s="93"/>
      <c r="GTF21" s="93"/>
      <c r="GTG21" s="93"/>
      <c r="GTH21" s="93"/>
      <c r="GTI21" s="93"/>
      <c r="GTJ21" s="93"/>
      <c r="GTK21" s="93"/>
      <c r="GTL21" s="93"/>
      <c r="GTM21" s="93"/>
      <c r="GTN21" s="93"/>
      <c r="GTO21" s="93"/>
      <c r="GTP21" s="93"/>
      <c r="GTQ21" s="93"/>
      <c r="GTR21" s="93"/>
      <c r="GTS21" s="93"/>
      <c r="GTT21" s="93"/>
      <c r="GTU21" s="93"/>
      <c r="GTV21" s="93"/>
      <c r="GTW21" s="93"/>
      <c r="GTX21" s="93"/>
      <c r="GTY21" s="93"/>
      <c r="GTZ21" s="93"/>
      <c r="GUA21" s="93"/>
      <c r="GUB21" s="93"/>
      <c r="GUC21" s="93"/>
      <c r="GUD21" s="93"/>
      <c r="GUE21" s="93"/>
      <c r="GUF21" s="93"/>
      <c r="GUG21" s="93"/>
      <c r="GUH21" s="93"/>
      <c r="GUI21" s="93"/>
      <c r="GUJ21" s="93"/>
      <c r="GUK21" s="93"/>
      <c r="GUL21" s="93"/>
      <c r="GUM21" s="93"/>
      <c r="GUN21" s="93"/>
      <c r="GUO21" s="93"/>
      <c r="GUP21" s="93"/>
      <c r="GUQ21" s="93"/>
      <c r="GUR21" s="93"/>
      <c r="GUS21" s="93"/>
      <c r="GUT21" s="93"/>
      <c r="GUU21" s="93"/>
      <c r="GUV21" s="93"/>
      <c r="GUW21" s="93"/>
      <c r="GUX21" s="93"/>
      <c r="GUY21" s="93"/>
      <c r="GUZ21" s="93"/>
      <c r="GVA21" s="93"/>
      <c r="GVB21" s="93"/>
      <c r="GVC21" s="93"/>
      <c r="GVD21" s="93"/>
      <c r="GVE21" s="93"/>
      <c r="GVF21" s="93"/>
      <c r="GVG21" s="93"/>
      <c r="GVH21" s="93"/>
      <c r="GVI21" s="93"/>
      <c r="GVJ21" s="93"/>
      <c r="GVK21" s="93"/>
      <c r="GVL21" s="93"/>
      <c r="GVM21" s="93"/>
      <c r="GVN21" s="93"/>
      <c r="GVO21" s="93"/>
      <c r="GVP21" s="93"/>
      <c r="GVQ21" s="93"/>
      <c r="GVR21" s="93"/>
      <c r="GVS21" s="93"/>
      <c r="GVT21" s="93"/>
      <c r="GVU21" s="93"/>
      <c r="GVV21" s="93"/>
      <c r="GVW21" s="93"/>
      <c r="GVX21" s="93"/>
      <c r="GVY21" s="93"/>
      <c r="GVZ21" s="93"/>
      <c r="GWA21" s="93"/>
      <c r="GWB21" s="93"/>
      <c r="GWC21" s="93"/>
      <c r="GWD21" s="93"/>
      <c r="GWE21" s="93"/>
      <c r="GWF21" s="93"/>
      <c r="GWG21" s="93"/>
      <c r="GWH21" s="93"/>
      <c r="GWI21" s="93"/>
      <c r="GWJ21" s="93"/>
      <c r="GWK21" s="93"/>
      <c r="GWL21" s="93"/>
      <c r="GWM21" s="93"/>
      <c r="GWN21" s="93"/>
      <c r="GWO21" s="93"/>
      <c r="GWP21" s="93"/>
      <c r="GWQ21" s="93"/>
      <c r="GWR21" s="93"/>
      <c r="GWS21" s="93"/>
      <c r="GWT21" s="93"/>
      <c r="GWU21" s="93"/>
      <c r="GWV21" s="93"/>
      <c r="GWW21" s="93"/>
      <c r="GWX21" s="93"/>
      <c r="GWY21" s="93"/>
      <c r="GWZ21" s="93"/>
      <c r="GXA21" s="93"/>
      <c r="GXB21" s="93"/>
      <c r="GXC21" s="93"/>
      <c r="GXD21" s="93"/>
      <c r="GXE21" s="93"/>
      <c r="GXF21" s="93"/>
      <c r="GXG21" s="93"/>
      <c r="GXH21" s="93"/>
      <c r="GXI21" s="93"/>
      <c r="GXJ21" s="93"/>
      <c r="GXK21" s="93"/>
      <c r="GXL21" s="93"/>
      <c r="GXM21" s="93"/>
      <c r="GXN21" s="93"/>
      <c r="GXO21" s="93"/>
      <c r="GXP21" s="93"/>
      <c r="GXQ21" s="93"/>
      <c r="GXR21" s="93"/>
      <c r="GXS21" s="93"/>
      <c r="GXT21" s="93"/>
      <c r="GXU21" s="93"/>
      <c r="GXV21" s="93"/>
      <c r="GXW21" s="93"/>
      <c r="GXX21" s="93"/>
      <c r="GXY21" s="93"/>
      <c r="GXZ21" s="93"/>
      <c r="GYA21" s="93"/>
      <c r="GYB21" s="93"/>
      <c r="GYC21" s="93"/>
      <c r="GYD21" s="93"/>
      <c r="GYE21" s="93"/>
      <c r="GYF21" s="93"/>
      <c r="GYG21" s="93"/>
      <c r="GYH21" s="93"/>
      <c r="GYI21" s="93"/>
      <c r="GYJ21" s="93"/>
      <c r="GYK21" s="93"/>
      <c r="GYL21" s="93"/>
      <c r="GYM21" s="93"/>
      <c r="GYN21" s="93"/>
      <c r="GYO21" s="93"/>
      <c r="GYP21" s="93"/>
      <c r="GYQ21" s="93"/>
      <c r="GYR21" s="93"/>
      <c r="GYS21" s="93"/>
      <c r="GYT21" s="93"/>
      <c r="GYU21" s="93"/>
      <c r="GYV21" s="93"/>
      <c r="GYW21" s="93"/>
      <c r="GYX21" s="93"/>
      <c r="GYY21" s="93"/>
      <c r="GYZ21" s="93"/>
      <c r="GZA21" s="93"/>
      <c r="GZB21" s="93"/>
      <c r="GZC21" s="93"/>
      <c r="GZD21" s="93"/>
      <c r="GZE21" s="93"/>
      <c r="GZF21" s="93"/>
      <c r="GZG21" s="93"/>
      <c r="GZH21" s="93"/>
      <c r="GZI21" s="93"/>
      <c r="GZJ21" s="93"/>
      <c r="GZK21" s="93"/>
      <c r="GZL21" s="93"/>
      <c r="GZM21" s="93"/>
      <c r="GZN21" s="93"/>
      <c r="GZO21" s="93"/>
      <c r="GZP21" s="93"/>
      <c r="GZQ21" s="93"/>
      <c r="GZR21" s="93"/>
      <c r="GZS21" s="93"/>
      <c r="GZT21" s="93"/>
      <c r="GZU21" s="93"/>
      <c r="GZV21" s="93"/>
      <c r="GZW21" s="93"/>
      <c r="GZX21" s="93"/>
      <c r="GZY21" s="93"/>
      <c r="GZZ21" s="93"/>
      <c r="HAA21" s="93"/>
      <c r="HAB21" s="93"/>
      <c r="HAC21" s="93"/>
      <c r="HAD21" s="93"/>
      <c r="HAE21" s="93"/>
      <c r="HAF21" s="93"/>
      <c r="HAG21" s="93"/>
      <c r="HAH21" s="93"/>
      <c r="HAI21" s="93"/>
      <c r="HAJ21" s="93"/>
      <c r="HAK21" s="93"/>
      <c r="HAL21" s="93"/>
      <c r="HAM21" s="93"/>
      <c r="HAN21" s="93"/>
      <c r="HAO21" s="93"/>
      <c r="HAP21" s="93"/>
      <c r="HAQ21" s="93"/>
      <c r="HAR21" s="93"/>
      <c r="HAS21" s="93"/>
      <c r="HAT21" s="93"/>
      <c r="HAU21" s="93"/>
      <c r="HAV21" s="93"/>
      <c r="HAW21" s="93"/>
      <c r="HAX21" s="93"/>
      <c r="HAY21" s="93"/>
      <c r="HAZ21" s="93"/>
      <c r="HBA21" s="93"/>
      <c r="HBB21" s="93"/>
      <c r="HBC21" s="93"/>
      <c r="HBD21" s="93"/>
      <c r="HBE21" s="93"/>
      <c r="HBF21" s="93"/>
      <c r="HBG21" s="93"/>
      <c r="HBH21" s="93"/>
      <c r="HBI21" s="93"/>
      <c r="HBJ21" s="93"/>
      <c r="HBK21" s="93"/>
      <c r="HBL21" s="93"/>
      <c r="HBM21" s="93"/>
      <c r="HBN21" s="93"/>
      <c r="HBO21" s="93"/>
      <c r="HBP21" s="93"/>
      <c r="HBQ21" s="93"/>
      <c r="HBR21" s="93"/>
      <c r="HBS21" s="93"/>
      <c r="HBT21" s="93"/>
      <c r="HBU21" s="93"/>
      <c r="HBV21" s="93"/>
      <c r="HBW21" s="93"/>
      <c r="HBX21" s="93"/>
      <c r="HBY21" s="93"/>
      <c r="HBZ21" s="93"/>
      <c r="HCA21" s="93"/>
      <c r="HCB21" s="93"/>
      <c r="HCC21" s="93"/>
      <c r="HCD21" s="93"/>
      <c r="HCE21" s="93"/>
      <c r="HCF21" s="93"/>
      <c r="HCG21" s="93"/>
      <c r="HCH21" s="93"/>
      <c r="HCI21" s="93"/>
      <c r="HCJ21" s="93"/>
      <c r="HCK21" s="93"/>
      <c r="HCL21" s="93"/>
      <c r="HCM21" s="93"/>
      <c r="HCN21" s="93"/>
      <c r="HCO21" s="93"/>
      <c r="HCP21" s="93"/>
      <c r="HCQ21" s="93"/>
      <c r="HCR21" s="93"/>
      <c r="HCS21" s="93"/>
      <c r="HCT21" s="93"/>
      <c r="HCU21" s="93"/>
      <c r="HCV21" s="93"/>
      <c r="HCW21" s="93"/>
      <c r="HCX21" s="93"/>
      <c r="HCY21" s="93"/>
      <c r="HCZ21" s="93"/>
      <c r="HDA21" s="93"/>
      <c r="HDB21" s="93"/>
      <c r="HDC21" s="93"/>
      <c r="HDD21" s="93"/>
      <c r="HDE21" s="93"/>
      <c r="HDF21" s="93"/>
      <c r="HDG21" s="93"/>
      <c r="HDH21" s="93"/>
      <c r="HDI21" s="93"/>
      <c r="HDJ21" s="93"/>
      <c r="HDK21" s="93"/>
      <c r="HDL21" s="93"/>
      <c r="HDM21" s="93"/>
      <c r="HDN21" s="93"/>
      <c r="HDO21" s="93"/>
      <c r="HDP21" s="93"/>
      <c r="HDQ21" s="93"/>
      <c r="HDR21" s="93"/>
      <c r="HDS21" s="93"/>
      <c r="HDT21" s="93"/>
      <c r="HDU21" s="93"/>
      <c r="HDV21" s="93"/>
      <c r="HDW21" s="93"/>
      <c r="HDX21" s="93"/>
      <c r="HDY21" s="93"/>
      <c r="HDZ21" s="93"/>
      <c r="HEA21" s="93"/>
      <c r="HEB21" s="93"/>
      <c r="HEC21" s="93"/>
      <c r="HED21" s="93"/>
      <c r="HEE21" s="93"/>
      <c r="HEF21" s="93"/>
      <c r="HEG21" s="93"/>
      <c r="HEH21" s="93"/>
      <c r="HEI21" s="93"/>
      <c r="HEJ21" s="93"/>
      <c r="HEK21" s="93"/>
      <c r="HEL21" s="93"/>
      <c r="HEM21" s="93"/>
      <c r="HEN21" s="93"/>
      <c r="HEO21" s="93"/>
      <c r="HEP21" s="93"/>
      <c r="HEQ21" s="93"/>
      <c r="HER21" s="93"/>
      <c r="HES21" s="93"/>
      <c r="HET21" s="93"/>
      <c r="HEU21" s="93"/>
      <c r="HEV21" s="93"/>
      <c r="HEW21" s="93"/>
      <c r="HEX21" s="93"/>
      <c r="HEY21" s="93"/>
      <c r="HEZ21" s="93"/>
      <c r="HFA21" s="93"/>
      <c r="HFB21" s="93"/>
      <c r="HFC21" s="93"/>
      <c r="HFD21" s="93"/>
      <c r="HFE21" s="93"/>
      <c r="HFF21" s="93"/>
      <c r="HFG21" s="93"/>
      <c r="HFH21" s="93"/>
      <c r="HFI21" s="93"/>
      <c r="HFJ21" s="93"/>
      <c r="HFK21" s="93"/>
      <c r="HFL21" s="93"/>
      <c r="HFM21" s="93"/>
      <c r="HFN21" s="93"/>
      <c r="HFO21" s="93"/>
      <c r="HFP21" s="93"/>
      <c r="HFQ21" s="93"/>
      <c r="HFR21" s="93"/>
      <c r="HFS21" s="93"/>
      <c r="HFT21" s="93"/>
      <c r="HFU21" s="93"/>
      <c r="HFV21" s="93"/>
      <c r="HFW21" s="93"/>
      <c r="HFX21" s="93"/>
      <c r="HFY21" s="93"/>
      <c r="HFZ21" s="93"/>
      <c r="HGA21" s="93"/>
      <c r="HGB21" s="93"/>
      <c r="HGC21" s="93"/>
      <c r="HGD21" s="93"/>
      <c r="HGE21" s="93"/>
      <c r="HGF21" s="93"/>
      <c r="HGG21" s="93"/>
      <c r="HGH21" s="93"/>
      <c r="HGI21" s="93"/>
      <c r="HGJ21" s="93"/>
      <c r="HGK21" s="93"/>
      <c r="HGL21" s="93"/>
      <c r="HGM21" s="93"/>
      <c r="HGN21" s="93"/>
      <c r="HGO21" s="93"/>
      <c r="HGP21" s="93"/>
      <c r="HGQ21" s="93"/>
      <c r="HGR21" s="93"/>
      <c r="HGS21" s="93"/>
      <c r="HGT21" s="93"/>
      <c r="HGU21" s="93"/>
      <c r="HGV21" s="93"/>
      <c r="HGW21" s="93"/>
      <c r="HGX21" s="93"/>
      <c r="HGY21" s="93"/>
      <c r="HGZ21" s="93"/>
      <c r="HHA21" s="93"/>
      <c r="HHB21" s="93"/>
      <c r="HHC21" s="93"/>
      <c r="HHD21" s="93"/>
      <c r="HHE21" s="93"/>
      <c r="HHF21" s="93"/>
      <c r="HHG21" s="93"/>
      <c r="HHH21" s="93"/>
      <c r="HHI21" s="93"/>
      <c r="HHJ21" s="93"/>
      <c r="HHK21" s="93"/>
      <c r="HHL21" s="93"/>
      <c r="HHM21" s="93"/>
      <c r="HHN21" s="93"/>
      <c r="HHO21" s="93"/>
      <c r="HHP21" s="93"/>
      <c r="HHQ21" s="93"/>
      <c r="HHR21" s="93"/>
      <c r="HHS21" s="93"/>
      <c r="HHT21" s="93"/>
      <c r="HHU21" s="93"/>
      <c r="HHV21" s="93"/>
      <c r="HHW21" s="93"/>
      <c r="HHX21" s="93"/>
      <c r="HHY21" s="93"/>
      <c r="HHZ21" s="93"/>
      <c r="HIA21" s="93"/>
      <c r="HIB21" s="93"/>
      <c r="HIC21" s="93"/>
      <c r="HID21" s="93"/>
      <c r="HIE21" s="93"/>
      <c r="HIF21" s="93"/>
      <c r="HIG21" s="93"/>
      <c r="HIH21" s="93"/>
      <c r="HII21" s="93"/>
      <c r="HIJ21" s="93"/>
      <c r="HIK21" s="93"/>
      <c r="HIL21" s="93"/>
      <c r="HIM21" s="93"/>
      <c r="HIN21" s="93"/>
      <c r="HIO21" s="93"/>
      <c r="HIP21" s="93"/>
      <c r="HIQ21" s="93"/>
      <c r="HIR21" s="93"/>
      <c r="HIS21" s="93"/>
      <c r="HIT21" s="93"/>
      <c r="HIU21" s="93"/>
      <c r="HIV21" s="93"/>
      <c r="HIW21" s="93"/>
      <c r="HIX21" s="93"/>
      <c r="HIY21" s="93"/>
      <c r="HIZ21" s="93"/>
      <c r="HJA21" s="93"/>
      <c r="HJB21" s="93"/>
      <c r="HJC21" s="93"/>
      <c r="HJD21" s="93"/>
      <c r="HJE21" s="93"/>
      <c r="HJF21" s="93"/>
      <c r="HJG21" s="93"/>
      <c r="HJH21" s="93"/>
      <c r="HJI21" s="93"/>
      <c r="HJJ21" s="93"/>
      <c r="HJK21" s="93"/>
      <c r="HJL21" s="93"/>
      <c r="HJM21" s="93"/>
      <c r="HJN21" s="93"/>
      <c r="HJO21" s="93"/>
      <c r="HJP21" s="93"/>
      <c r="HJQ21" s="93"/>
      <c r="HJR21" s="93"/>
      <c r="HJS21" s="93"/>
      <c r="HJT21" s="93"/>
      <c r="HJU21" s="93"/>
      <c r="HJV21" s="93"/>
      <c r="HJW21" s="93"/>
      <c r="HJX21" s="93"/>
      <c r="HJY21" s="93"/>
      <c r="HJZ21" s="93"/>
      <c r="HKA21" s="93"/>
      <c r="HKB21" s="93"/>
      <c r="HKC21" s="93"/>
      <c r="HKD21" s="93"/>
      <c r="HKE21" s="93"/>
      <c r="HKF21" s="93"/>
      <c r="HKG21" s="93"/>
      <c r="HKH21" s="93"/>
      <c r="HKI21" s="93"/>
      <c r="HKJ21" s="93"/>
      <c r="HKK21" s="93"/>
      <c r="HKL21" s="93"/>
      <c r="HKM21" s="93"/>
      <c r="HKN21" s="93"/>
      <c r="HKO21" s="93"/>
      <c r="HKP21" s="93"/>
      <c r="HKQ21" s="93"/>
      <c r="HKR21" s="93"/>
      <c r="HKS21" s="93"/>
      <c r="HKT21" s="93"/>
      <c r="HKU21" s="93"/>
      <c r="HKV21" s="93"/>
      <c r="HKW21" s="93"/>
      <c r="HKX21" s="93"/>
      <c r="HKY21" s="93"/>
      <c r="HKZ21" s="93"/>
      <c r="HLA21" s="93"/>
      <c r="HLB21" s="93"/>
      <c r="HLC21" s="93"/>
      <c r="HLD21" s="93"/>
      <c r="HLE21" s="93"/>
      <c r="HLF21" s="93"/>
      <c r="HLG21" s="93"/>
      <c r="HLH21" s="93"/>
      <c r="HLI21" s="93"/>
      <c r="HLJ21" s="93"/>
      <c r="HLK21" s="93"/>
      <c r="HLL21" s="93"/>
      <c r="HLM21" s="93"/>
      <c r="HLN21" s="93"/>
      <c r="HLO21" s="93"/>
      <c r="HLP21" s="93"/>
      <c r="HLQ21" s="93"/>
      <c r="HLR21" s="93"/>
      <c r="HLS21" s="93"/>
      <c r="HLT21" s="93"/>
      <c r="HLU21" s="93"/>
      <c r="HLV21" s="93"/>
      <c r="HLW21" s="93"/>
      <c r="HLX21" s="93"/>
      <c r="HLY21" s="93"/>
      <c r="HLZ21" s="93"/>
      <c r="HMA21" s="93"/>
      <c r="HMB21" s="93"/>
      <c r="HMC21" s="93"/>
      <c r="HMD21" s="93"/>
      <c r="HME21" s="93"/>
      <c r="HMF21" s="93"/>
      <c r="HMG21" s="93"/>
      <c r="HMH21" s="93"/>
      <c r="HMI21" s="93"/>
      <c r="HMJ21" s="93"/>
      <c r="HMK21" s="93"/>
      <c r="HML21" s="93"/>
      <c r="HMM21" s="93"/>
      <c r="HMN21" s="93"/>
      <c r="HMO21" s="93"/>
      <c r="HMP21" s="93"/>
      <c r="HMQ21" s="93"/>
      <c r="HMR21" s="93"/>
      <c r="HMS21" s="93"/>
      <c r="HMT21" s="93"/>
      <c r="HMU21" s="93"/>
      <c r="HMV21" s="93"/>
      <c r="HMW21" s="93"/>
      <c r="HMX21" s="93"/>
      <c r="HMY21" s="93"/>
      <c r="HMZ21" s="93"/>
      <c r="HNA21" s="93"/>
      <c r="HNB21" s="93"/>
      <c r="HNC21" s="93"/>
      <c r="HND21" s="93"/>
      <c r="HNE21" s="93"/>
      <c r="HNF21" s="93"/>
      <c r="HNG21" s="93"/>
      <c r="HNH21" s="93"/>
      <c r="HNI21" s="93"/>
      <c r="HNJ21" s="93"/>
      <c r="HNK21" s="93"/>
      <c r="HNL21" s="93"/>
      <c r="HNM21" s="93"/>
      <c r="HNN21" s="93"/>
      <c r="HNO21" s="93"/>
      <c r="HNP21" s="93"/>
      <c r="HNQ21" s="93"/>
      <c r="HNR21" s="93"/>
      <c r="HNS21" s="93"/>
      <c r="HNT21" s="93"/>
      <c r="HNU21" s="93"/>
      <c r="HNV21" s="93"/>
      <c r="HNW21" s="93"/>
      <c r="HNX21" s="93"/>
      <c r="HNY21" s="93"/>
      <c r="HNZ21" s="93"/>
      <c r="HOA21" s="93"/>
      <c r="HOB21" s="93"/>
      <c r="HOC21" s="93"/>
      <c r="HOD21" s="93"/>
      <c r="HOE21" s="93"/>
      <c r="HOF21" s="93"/>
      <c r="HOG21" s="93"/>
      <c r="HOH21" s="93"/>
      <c r="HOI21" s="93"/>
      <c r="HOJ21" s="93"/>
      <c r="HOK21" s="93"/>
      <c r="HOL21" s="93"/>
      <c r="HOM21" s="93"/>
      <c r="HON21" s="93"/>
      <c r="HOO21" s="93"/>
      <c r="HOP21" s="93"/>
      <c r="HOQ21" s="93"/>
      <c r="HOR21" s="93"/>
      <c r="HOS21" s="93"/>
      <c r="HOT21" s="93"/>
      <c r="HOU21" s="93"/>
      <c r="HOV21" s="93"/>
      <c r="HOW21" s="93"/>
      <c r="HOX21" s="93"/>
      <c r="HOY21" s="93"/>
      <c r="HOZ21" s="93"/>
      <c r="HPA21" s="93"/>
      <c r="HPB21" s="93"/>
      <c r="HPC21" s="93"/>
      <c r="HPD21" s="93"/>
      <c r="HPE21" s="93"/>
      <c r="HPF21" s="93"/>
      <c r="HPG21" s="93"/>
      <c r="HPH21" s="93"/>
      <c r="HPI21" s="93"/>
      <c r="HPJ21" s="93"/>
      <c r="HPK21" s="93"/>
      <c r="HPL21" s="93"/>
      <c r="HPM21" s="93"/>
      <c r="HPN21" s="93"/>
      <c r="HPO21" s="93"/>
      <c r="HPP21" s="93"/>
      <c r="HPQ21" s="93"/>
      <c r="HPR21" s="93"/>
      <c r="HPS21" s="93"/>
      <c r="HPT21" s="93"/>
      <c r="HPU21" s="93"/>
      <c r="HPV21" s="93"/>
      <c r="HPW21" s="93"/>
      <c r="HPX21" s="93"/>
      <c r="HPY21" s="93"/>
      <c r="HPZ21" s="93"/>
      <c r="HQA21" s="93"/>
      <c r="HQB21" s="93"/>
      <c r="HQC21" s="93"/>
      <c r="HQD21" s="93"/>
      <c r="HQE21" s="93"/>
      <c r="HQF21" s="93"/>
      <c r="HQG21" s="93"/>
      <c r="HQH21" s="93"/>
      <c r="HQI21" s="93"/>
      <c r="HQJ21" s="93"/>
      <c r="HQK21" s="93"/>
      <c r="HQL21" s="93"/>
      <c r="HQM21" s="93"/>
      <c r="HQN21" s="93"/>
      <c r="HQO21" s="93"/>
      <c r="HQP21" s="93"/>
      <c r="HQQ21" s="93"/>
      <c r="HQR21" s="93"/>
      <c r="HQS21" s="93"/>
      <c r="HQT21" s="93"/>
      <c r="HQU21" s="93"/>
      <c r="HQV21" s="93"/>
      <c r="HQW21" s="93"/>
      <c r="HQX21" s="93"/>
      <c r="HQY21" s="93"/>
      <c r="HQZ21" s="93"/>
      <c r="HRA21" s="93"/>
      <c r="HRB21" s="93"/>
      <c r="HRC21" s="93"/>
      <c r="HRD21" s="93"/>
      <c r="HRE21" s="93"/>
      <c r="HRF21" s="93"/>
      <c r="HRG21" s="93"/>
      <c r="HRH21" s="93"/>
      <c r="HRI21" s="93"/>
      <c r="HRJ21" s="93"/>
      <c r="HRK21" s="93"/>
      <c r="HRL21" s="93"/>
      <c r="HRM21" s="93"/>
      <c r="HRN21" s="93"/>
      <c r="HRO21" s="93"/>
      <c r="HRP21" s="93"/>
      <c r="HRQ21" s="93"/>
      <c r="HRR21" s="93"/>
      <c r="HRS21" s="93"/>
      <c r="HRT21" s="93"/>
      <c r="HRU21" s="93"/>
      <c r="HRV21" s="93"/>
      <c r="HRW21" s="93"/>
      <c r="HRX21" s="93"/>
      <c r="HRY21" s="93"/>
      <c r="HRZ21" s="93"/>
      <c r="HSA21" s="93"/>
      <c r="HSB21" s="93"/>
      <c r="HSC21" s="93"/>
      <c r="HSD21" s="93"/>
      <c r="HSE21" s="93"/>
      <c r="HSF21" s="93"/>
      <c r="HSG21" s="93"/>
      <c r="HSH21" s="93"/>
      <c r="HSI21" s="93"/>
      <c r="HSJ21" s="93"/>
      <c r="HSK21" s="93"/>
      <c r="HSL21" s="93"/>
      <c r="HSM21" s="93"/>
      <c r="HSN21" s="93"/>
      <c r="HSO21" s="93"/>
      <c r="HSP21" s="93"/>
      <c r="HSQ21" s="93"/>
      <c r="HSR21" s="93"/>
      <c r="HSS21" s="93"/>
      <c r="HST21" s="93"/>
      <c r="HSU21" s="93"/>
      <c r="HSV21" s="93"/>
      <c r="HSW21" s="93"/>
      <c r="HSX21" s="93"/>
      <c r="HSY21" s="93"/>
      <c r="HSZ21" s="93"/>
      <c r="HTA21" s="93"/>
      <c r="HTB21" s="93"/>
      <c r="HTC21" s="93"/>
      <c r="HTD21" s="93"/>
      <c r="HTE21" s="93"/>
      <c r="HTF21" s="93"/>
      <c r="HTG21" s="93"/>
      <c r="HTH21" s="93"/>
      <c r="HTI21" s="93"/>
      <c r="HTJ21" s="93"/>
      <c r="HTK21" s="93"/>
      <c r="HTL21" s="93"/>
      <c r="HTM21" s="93"/>
      <c r="HTN21" s="93"/>
      <c r="HTO21" s="93"/>
      <c r="HTP21" s="93"/>
      <c r="HTQ21" s="93"/>
      <c r="HTR21" s="93"/>
      <c r="HTS21" s="93"/>
      <c r="HTT21" s="93"/>
      <c r="HTU21" s="93"/>
      <c r="HTV21" s="93"/>
      <c r="HTW21" s="93"/>
      <c r="HTX21" s="93"/>
      <c r="HTY21" s="93"/>
      <c r="HTZ21" s="93"/>
      <c r="HUA21" s="93"/>
      <c r="HUB21" s="93"/>
      <c r="HUC21" s="93"/>
      <c r="HUD21" s="93"/>
      <c r="HUE21" s="93"/>
      <c r="HUF21" s="93"/>
      <c r="HUG21" s="93"/>
      <c r="HUH21" s="93"/>
      <c r="HUI21" s="93"/>
      <c r="HUJ21" s="93"/>
      <c r="HUK21" s="93"/>
      <c r="HUL21" s="93"/>
      <c r="HUM21" s="93"/>
      <c r="HUN21" s="93"/>
      <c r="HUO21" s="93"/>
      <c r="HUP21" s="93"/>
      <c r="HUQ21" s="93"/>
      <c r="HUR21" s="93"/>
      <c r="HUS21" s="93"/>
      <c r="HUT21" s="93"/>
      <c r="HUU21" s="93"/>
      <c r="HUV21" s="93"/>
      <c r="HUW21" s="93"/>
      <c r="HUX21" s="93"/>
      <c r="HUY21" s="93"/>
      <c r="HUZ21" s="93"/>
      <c r="HVA21" s="93"/>
      <c r="HVB21" s="93"/>
      <c r="HVC21" s="93"/>
      <c r="HVD21" s="93"/>
      <c r="HVE21" s="93"/>
      <c r="HVF21" s="93"/>
      <c r="HVG21" s="93"/>
      <c r="HVH21" s="93"/>
      <c r="HVI21" s="93"/>
      <c r="HVJ21" s="93"/>
      <c r="HVK21" s="93"/>
      <c r="HVL21" s="93"/>
      <c r="HVM21" s="93"/>
      <c r="HVN21" s="93"/>
      <c r="HVO21" s="93"/>
      <c r="HVP21" s="93"/>
      <c r="HVQ21" s="93"/>
      <c r="HVR21" s="93"/>
      <c r="HVS21" s="93"/>
      <c r="HVT21" s="93"/>
      <c r="HVU21" s="93"/>
      <c r="HVV21" s="93"/>
      <c r="HVW21" s="93"/>
      <c r="HVX21" s="93"/>
      <c r="HVY21" s="93"/>
      <c r="HVZ21" s="93"/>
      <c r="HWA21" s="93"/>
      <c r="HWB21" s="93"/>
      <c r="HWC21" s="93"/>
      <c r="HWD21" s="93"/>
      <c r="HWE21" s="93"/>
      <c r="HWF21" s="93"/>
      <c r="HWG21" s="93"/>
      <c r="HWH21" s="93"/>
      <c r="HWI21" s="93"/>
      <c r="HWJ21" s="93"/>
      <c r="HWK21" s="93"/>
      <c r="HWL21" s="93"/>
      <c r="HWM21" s="93"/>
      <c r="HWN21" s="93"/>
      <c r="HWO21" s="93"/>
      <c r="HWP21" s="93"/>
      <c r="HWQ21" s="93"/>
      <c r="HWR21" s="93"/>
      <c r="HWS21" s="93"/>
      <c r="HWT21" s="93"/>
      <c r="HWU21" s="93"/>
      <c r="HWV21" s="93"/>
      <c r="HWW21" s="93"/>
      <c r="HWX21" s="93"/>
      <c r="HWY21" s="93"/>
      <c r="HWZ21" s="93"/>
      <c r="HXA21" s="93"/>
      <c r="HXB21" s="93"/>
      <c r="HXC21" s="93"/>
      <c r="HXD21" s="93"/>
      <c r="HXE21" s="93"/>
      <c r="HXF21" s="93"/>
      <c r="HXG21" s="93"/>
      <c r="HXH21" s="93"/>
      <c r="HXI21" s="93"/>
      <c r="HXJ21" s="93"/>
      <c r="HXK21" s="93"/>
      <c r="HXL21" s="93"/>
      <c r="HXM21" s="93"/>
      <c r="HXN21" s="93"/>
      <c r="HXO21" s="93"/>
      <c r="HXP21" s="93"/>
      <c r="HXQ21" s="93"/>
      <c r="HXR21" s="93"/>
      <c r="HXS21" s="93"/>
      <c r="HXT21" s="93"/>
      <c r="HXU21" s="93"/>
      <c r="HXV21" s="93"/>
      <c r="HXW21" s="93"/>
      <c r="HXX21" s="93"/>
      <c r="HXY21" s="93"/>
      <c r="HXZ21" s="93"/>
      <c r="HYA21" s="93"/>
      <c r="HYB21" s="93"/>
      <c r="HYC21" s="93"/>
      <c r="HYD21" s="93"/>
      <c r="HYE21" s="93"/>
      <c r="HYF21" s="93"/>
      <c r="HYG21" s="93"/>
      <c r="HYH21" s="93"/>
      <c r="HYI21" s="93"/>
      <c r="HYJ21" s="93"/>
      <c r="HYK21" s="93"/>
      <c r="HYL21" s="93"/>
      <c r="HYM21" s="93"/>
      <c r="HYN21" s="93"/>
      <c r="HYO21" s="93"/>
      <c r="HYP21" s="93"/>
      <c r="HYQ21" s="93"/>
      <c r="HYR21" s="93"/>
      <c r="HYS21" s="93"/>
      <c r="HYT21" s="93"/>
      <c r="HYU21" s="93"/>
      <c r="HYV21" s="93"/>
      <c r="HYW21" s="93"/>
      <c r="HYX21" s="93"/>
      <c r="HYY21" s="93"/>
      <c r="HYZ21" s="93"/>
      <c r="HZA21" s="93"/>
      <c r="HZB21" s="93"/>
      <c r="HZC21" s="93"/>
      <c r="HZD21" s="93"/>
      <c r="HZE21" s="93"/>
      <c r="HZF21" s="93"/>
      <c r="HZG21" s="93"/>
      <c r="HZH21" s="93"/>
      <c r="HZI21" s="93"/>
      <c r="HZJ21" s="93"/>
      <c r="HZK21" s="93"/>
      <c r="HZL21" s="93"/>
      <c r="HZM21" s="93"/>
      <c r="HZN21" s="93"/>
      <c r="HZO21" s="93"/>
      <c r="HZP21" s="93"/>
      <c r="HZQ21" s="93"/>
      <c r="HZR21" s="93"/>
      <c r="HZS21" s="93"/>
      <c r="HZT21" s="93"/>
      <c r="HZU21" s="93"/>
      <c r="HZV21" s="93"/>
      <c r="HZW21" s="93"/>
      <c r="HZX21" s="93"/>
      <c r="HZY21" s="93"/>
      <c r="HZZ21" s="93"/>
      <c r="IAA21" s="93"/>
      <c r="IAB21" s="93"/>
      <c r="IAC21" s="93"/>
      <c r="IAD21" s="93"/>
      <c r="IAE21" s="93"/>
      <c r="IAF21" s="93"/>
      <c r="IAG21" s="93"/>
      <c r="IAH21" s="93"/>
      <c r="IAI21" s="93"/>
      <c r="IAJ21" s="93"/>
      <c r="IAK21" s="93"/>
      <c r="IAL21" s="93"/>
      <c r="IAM21" s="93"/>
      <c r="IAN21" s="93"/>
      <c r="IAO21" s="93"/>
      <c r="IAP21" s="93"/>
      <c r="IAQ21" s="93"/>
      <c r="IAR21" s="93"/>
      <c r="IAS21" s="93"/>
      <c r="IAT21" s="93"/>
      <c r="IAU21" s="93"/>
      <c r="IAV21" s="93"/>
      <c r="IAW21" s="93"/>
      <c r="IAX21" s="93"/>
      <c r="IAY21" s="93"/>
      <c r="IAZ21" s="93"/>
      <c r="IBA21" s="93"/>
      <c r="IBB21" s="93"/>
      <c r="IBC21" s="93"/>
      <c r="IBD21" s="93"/>
      <c r="IBE21" s="93"/>
      <c r="IBF21" s="93"/>
      <c r="IBG21" s="93"/>
      <c r="IBH21" s="93"/>
      <c r="IBI21" s="93"/>
      <c r="IBJ21" s="93"/>
      <c r="IBK21" s="93"/>
      <c r="IBL21" s="93"/>
      <c r="IBM21" s="93"/>
      <c r="IBN21" s="93"/>
      <c r="IBO21" s="93"/>
      <c r="IBP21" s="93"/>
      <c r="IBQ21" s="93"/>
      <c r="IBR21" s="93"/>
      <c r="IBS21" s="93"/>
      <c r="IBT21" s="93"/>
      <c r="IBU21" s="93"/>
      <c r="IBV21" s="93"/>
      <c r="IBW21" s="93"/>
      <c r="IBX21" s="93"/>
      <c r="IBY21" s="93"/>
      <c r="IBZ21" s="93"/>
      <c r="ICA21" s="93"/>
      <c r="ICB21" s="93"/>
      <c r="ICC21" s="93"/>
      <c r="ICD21" s="93"/>
      <c r="ICE21" s="93"/>
      <c r="ICF21" s="93"/>
      <c r="ICG21" s="93"/>
      <c r="ICH21" s="93"/>
      <c r="ICI21" s="93"/>
      <c r="ICJ21" s="93"/>
      <c r="ICK21" s="93"/>
      <c r="ICL21" s="93"/>
      <c r="ICM21" s="93"/>
      <c r="ICN21" s="93"/>
      <c r="ICO21" s="93"/>
      <c r="ICP21" s="93"/>
      <c r="ICQ21" s="93"/>
      <c r="ICR21" s="93"/>
      <c r="ICS21" s="93"/>
      <c r="ICT21" s="93"/>
      <c r="ICU21" s="93"/>
      <c r="ICV21" s="93"/>
      <c r="ICW21" s="93"/>
      <c r="ICX21" s="93"/>
      <c r="ICY21" s="93"/>
      <c r="ICZ21" s="93"/>
      <c r="IDA21" s="93"/>
      <c r="IDB21" s="93"/>
      <c r="IDC21" s="93"/>
      <c r="IDD21" s="93"/>
      <c r="IDE21" s="93"/>
      <c r="IDF21" s="93"/>
      <c r="IDG21" s="93"/>
      <c r="IDH21" s="93"/>
      <c r="IDI21" s="93"/>
      <c r="IDJ21" s="93"/>
      <c r="IDK21" s="93"/>
      <c r="IDL21" s="93"/>
      <c r="IDM21" s="93"/>
      <c r="IDN21" s="93"/>
      <c r="IDO21" s="93"/>
      <c r="IDP21" s="93"/>
      <c r="IDQ21" s="93"/>
      <c r="IDR21" s="93"/>
      <c r="IDS21" s="93"/>
      <c r="IDT21" s="93"/>
      <c r="IDU21" s="93"/>
      <c r="IDV21" s="93"/>
      <c r="IDW21" s="93"/>
      <c r="IDX21" s="93"/>
      <c r="IDY21" s="93"/>
      <c r="IDZ21" s="93"/>
      <c r="IEA21" s="93"/>
      <c r="IEB21" s="93"/>
      <c r="IEC21" s="93"/>
      <c r="IED21" s="93"/>
      <c r="IEE21" s="93"/>
      <c r="IEF21" s="93"/>
      <c r="IEG21" s="93"/>
      <c r="IEH21" s="93"/>
      <c r="IEI21" s="93"/>
      <c r="IEJ21" s="93"/>
      <c r="IEK21" s="93"/>
      <c r="IEL21" s="93"/>
      <c r="IEM21" s="93"/>
      <c r="IEN21" s="93"/>
      <c r="IEO21" s="93"/>
      <c r="IEP21" s="93"/>
      <c r="IEQ21" s="93"/>
      <c r="IER21" s="93"/>
      <c r="IES21" s="93"/>
      <c r="IET21" s="93"/>
      <c r="IEU21" s="93"/>
      <c r="IEV21" s="93"/>
      <c r="IEW21" s="93"/>
      <c r="IEX21" s="93"/>
      <c r="IEY21" s="93"/>
      <c r="IEZ21" s="93"/>
      <c r="IFA21" s="93"/>
      <c r="IFB21" s="93"/>
      <c r="IFC21" s="93"/>
      <c r="IFD21" s="93"/>
      <c r="IFE21" s="93"/>
      <c r="IFF21" s="93"/>
      <c r="IFG21" s="93"/>
      <c r="IFH21" s="93"/>
      <c r="IFI21" s="93"/>
      <c r="IFJ21" s="93"/>
      <c r="IFK21" s="93"/>
      <c r="IFL21" s="93"/>
      <c r="IFM21" s="93"/>
      <c r="IFN21" s="93"/>
      <c r="IFO21" s="93"/>
      <c r="IFP21" s="93"/>
      <c r="IFQ21" s="93"/>
      <c r="IFR21" s="93"/>
      <c r="IFS21" s="93"/>
      <c r="IFT21" s="93"/>
      <c r="IFU21" s="93"/>
      <c r="IFV21" s="93"/>
      <c r="IFW21" s="93"/>
      <c r="IFX21" s="93"/>
      <c r="IFY21" s="93"/>
      <c r="IFZ21" s="93"/>
      <c r="IGA21" s="93"/>
      <c r="IGB21" s="93"/>
      <c r="IGC21" s="93"/>
      <c r="IGD21" s="93"/>
      <c r="IGE21" s="93"/>
      <c r="IGF21" s="93"/>
      <c r="IGG21" s="93"/>
      <c r="IGH21" s="93"/>
      <c r="IGI21" s="93"/>
      <c r="IGJ21" s="93"/>
      <c r="IGK21" s="93"/>
      <c r="IGL21" s="93"/>
      <c r="IGM21" s="93"/>
      <c r="IGN21" s="93"/>
      <c r="IGO21" s="93"/>
      <c r="IGP21" s="93"/>
      <c r="IGQ21" s="93"/>
      <c r="IGR21" s="93"/>
      <c r="IGS21" s="93"/>
      <c r="IGT21" s="93"/>
      <c r="IGU21" s="93"/>
      <c r="IGV21" s="93"/>
      <c r="IGW21" s="93"/>
      <c r="IGX21" s="93"/>
      <c r="IGY21" s="93"/>
      <c r="IGZ21" s="93"/>
      <c r="IHA21" s="93"/>
      <c r="IHB21" s="93"/>
      <c r="IHC21" s="93"/>
      <c r="IHD21" s="93"/>
      <c r="IHE21" s="93"/>
      <c r="IHF21" s="93"/>
      <c r="IHG21" s="93"/>
      <c r="IHH21" s="93"/>
      <c r="IHI21" s="93"/>
      <c r="IHJ21" s="93"/>
      <c r="IHK21" s="93"/>
      <c r="IHL21" s="93"/>
      <c r="IHM21" s="93"/>
      <c r="IHN21" s="93"/>
      <c r="IHO21" s="93"/>
      <c r="IHP21" s="93"/>
      <c r="IHQ21" s="93"/>
      <c r="IHR21" s="93"/>
      <c r="IHS21" s="93"/>
      <c r="IHT21" s="93"/>
      <c r="IHU21" s="93"/>
      <c r="IHV21" s="93"/>
      <c r="IHW21" s="93"/>
      <c r="IHX21" s="93"/>
      <c r="IHY21" s="93"/>
      <c r="IHZ21" s="93"/>
      <c r="IIA21" s="93"/>
      <c r="IIB21" s="93"/>
      <c r="IIC21" s="93"/>
      <c r="IID21" s="93"/>
      <c r="IIE21" s="93"/>
      <c r="IIF21" s="93"/>
      <c r="IIG21" s="93"/>
      <c r="IIH21" s="93"/>
      <c r="III21" s="93"/>
      <c r="IIJ21" s="93"/>
      <c r="IIK21" s="93"/>
      <c r="IIL21" s="93"/>
      <c r="IIM21" s="93"/>
      <c r="IIN21" s="93"/>
      <c r="IIO21" s="93"/>
      <c r="IIP21" s="93"/>
      <c r="IIQ21" s="93"/>
      <c r="IIR21" s="93"/>
      <c r="IIS21" s="93"/>
      <c r="IIT21" s="93"/>
      <c r="IIU21" s="93"/>
      <c r="IIV21" s="93"/>
      <c r="IIW21" s="93"/>
      <c r="IIX21" s="93"/>
      <c r="IIY21" s="93"/>
      <c r="IIZ21" s="93"/>
      <c r="IJA21" s="93"/>
      <c r="IJB21" s="93"/>
      <c r="IJC21" s="93"/>
      <c r="IJD21" s="93"/>
      <c r="IJE21" s="93"/>
      <c r="IJF21" s="93"/>
      <c r="IJG21" s="93"/>
      <c r="IJH21" s="93"/>
      <c r="IJI21" s="93"/>
      <c r="IJJ21" s="93"/>
      <c r="IJK21" s="93"/>
      <c r="IJL21" s="93"/>
      <c r="IJM21" s="93"/>
      <c r="IJN21" s="93"/>
      <c r="IJO21" s="93"/>
      <c r="IJP21" s="93"/>
      <c r="IJQ21" s="93"/>
      <c r="IJR21" s="93"/>
      <c r="IJS21" s="93"/>
      <c r="IJT21" s="93"/>
      <c r="IJU21" s="93"/>
      <c r="IJV21" s="93"/>
      <c r="IJW21" s="93"/>
      <c r="IJX21" s="93"/>
      <c r="IJY21" s="93"/>
      <c r="IJZ21" s="93"/>
      <c r="IKA21" s="93"/>
      <c r="IKB21" s="93"/>
      <c r="IKC21" s="93"/>
      <c r="IKD21" s="93"/>
      <c r="IKE21" s="93"/>
      <c r="IKF21" s="93"/>
      <c r="IKG21" s="93"/>
      <c r="IKH21" s="93"/>
      <c r="IKI21" s="93"/>
      <c r="IKJ21" s="93"/>
      <c r="IKK21" s="93"/>
      <c r="IKL21" s="93"/>
      <c r="IKM21" s="93"/>
      <c r="IKN21" s="93"/>
      <c r="IKO21" s="93"/>
      <c r="IKP21" s="93"/>
      <c r="IKQ21" s="93"/>
      <c r="IKR21" s="93"/>
      <c r="IKS21" s="93"/>
      <c r="IKT21" s="93"/>
      <c r="IKU21" s="93"/>
      <c r="IKV21" s="93"/>
      <c r="IKW21" s="93"/>
      <c r="IKX21" s="93"/>
      <c r="IKY21" s="93"/>
      <c r="IKZ21" s="93"/>
      <c r="ILA21" s="93"/>
      <c r="ILB21" s="93"/>
      <c r="ILC21" s="93"/>
      <c r="ILD21" s="93"/>
      <c r="ILE21" s="93"/>
      <c r="ILF21" s="93"/>
      <c r="ILG21" s="93"/>
      <c r="ILH21" s="93"/>
      <c r="ILI21" s="93"/>
      <c r="ILJ21" s="93"/>
      <c r="ILK21" s="93"/>
      <c r="ILL21" s="93"/>
      <c r="ILM21" s="93"/>
      <c r="ILN21" s="93"/>
      <c r="ILO21" s="93"/>
      <c r="ILP21" s="93"/>
      <c r="ILQ21" s="93"/>
      <c r="ILR21" s="93"/>
      <c r="ILS21" s="93"/>
      <c r="ILT21" s="93"/>
      <c r="ILU21" s="93"/>
      <c r="ILV21" s="93"/>
      <c r="ILW21" s="93"/>
      <c r="ILX21" s="93"/>
      <c r="ILY21" s="93"/>
      <c r="ILZ21" s="93"/>
      <c r="IMA21" s="93"/>
      <c r="IMB21" s="93"/>
      <c r="IMC21" s="93"/>
      <c r="IMD21" s="93"/>
      <c r="IME21" s="93"/>
      <c r="IMF21" s="93"/>
      <c r="IMG21" s="93"/>
      <c r="IMH21" s="93"/>
      <c r="IMI21" s="93"/>
      <c r="IMJ21" s="93"/>
      <c r="IMK21" s="93"/>
      <c r="IML21" s="93"/>
      <c r="IMM21" s="93"/>
      <c r="IMN21" s="93"/>
      <c r="IMO21" s="93"/>
      <c r="IMP21" s="93"/>
      <c r="IMQ21" s="93"/>
      <c r="IMR21" s="93"/>
      <c r="IMS21" s="93"/>
      <c r="IMT21" s="93"/>
      <c r="IMU21" s="93"/>
      <c r="IMV21" s="93"/>
      <c r="IMW21" s="93"/>
      <c r="IMX21" s="93"/>
      <c r="IMY21" s="93"/>
      <c r="IMZ21" s="93"/>
      <c r="INA21" s="93"/>
      <c r="INB21" s="93"/>
      <c r="INC21" s="93"/>
      <c r="IND21" s="93"/>
      <c r="INE21" s="93"/>
      <c r="INF21" s="93"/>
      <c r="ING21" s="93"/>
      <c r="INH21" s="93"/>
      <c r="INI21" s="93"/>
      <c r="INJ21" s="93"/>
      <c r="INK21" s="93"/>
      <c r="INL21" s="93"/>
      <c r="INM21" s="93"/>
      <c r="INN21" s="93"/>
      <c r="INO21" s="93"/>
      <c r="INP21" s="93"/>
      <c r="INQ21" s="93"/>
      <c r="INR21" s="93"/>
      <c r="INS21" s="93"/>
      <c r="INT21" s="93"/>
      <c r="INU21" s="93"/>
      <c r="INV21" s="93"/>
      <c r="INW21" s="93"/>
      <c r="INX21" s="93"/>
      <c r="INY21" s="93"/>
      <c r="INZ21" s="93"/>
      <c r="IOA21" s="93"/>
      <c r="IOB21" s="93"/>
      <c r="IOC21" s="93"/>
      <c r="IOD21" s="93"/>
      <c r="IOE21" s="93"/>
      <c r="IOF21" s="93"/>
      <c r="IOG21" s="93"/>
      <c r="IOH21" s="93"/>
      <c r="IOI21" s="93"/>
      <c r="IOJ21" s="93"/>
      <c r="IOK21" s="93"/>
      <c r="IOL21" s="93"/>
      <c r="IOM21" s="93"/>
      <c r="ION21" s="93"/>
      <c r="IOO21" s="93"/>
      <c r="IOP21" s="93"/>
      <c r="IOQ21" s="93"/>
      <c r="IOR21" s="93"/>
      <c r="IOS21" s="93"/>
      <c r="IOT21" s="93"/>
      <c r="IOU21" s="93"/>
      <c r="IOV21" s="93"/>
      <c r="IOW21" s="93"/>
      <c r="IOX21" s="93"/>
      <c r="IOY21" s="93"/>
      <c r="IOZ21" s="93"/>
      <c r="IPA21" s="93"/>
      <c r="IPB21" s="93"/>
      <c r="IPC21" s="93"/>
      <c r="IPD21" s="93"/>
      <c r="IPE21" s="93"/>
      <c r="IPF21" s="93"/>
      <c r="IPG21" s="93"/>
      <c r="IPH21" s="93"/>
      <c r="IPI21" s="93"/>
      <c r="IPJ21" s="93"/>
      <c r="IPK21" s="93"/>
      <c r="IPL21" s="93"/>
      <c r="IPM21" s="93"/>
      <c r="IPN21" s="93"/>
      <c r="IPO21" s="93"/>
      <c r="IPP21" s="93"/>
      <c r="IPQ21" s="93"/>
      <c r="IPR21" s="93"/>
      <c r="IPS21" s="93"/>
      <c r="IPT21" s="93"/>
      <c r="IPU21" s="93"/>
      <c r="IPV21" s="93"/>
      <c r="IPW21" s="93"/>
      <c r="IPX21" s="93"/>
      <c r="IPY21" s="93"/>
      <c r="IPZ21" s="93"/>
      <c r="IQA21" s="93"/>
      <c r="IQB21" s="93"/>
      <c r="IQC21" s="93"/>
      <c r="IQD21" s="93"/>
      <c r="IQE21" s="93"/>
      <c r="IQF21" s="93"/>
      <c r="IQG21" s="93"/>
      <c r="IQH21" s="93"/>
      <c r="IQI21" s="93"/>
      <c r="IQJ21" s="93"/>
      <c r="IQK21" s="93"/>
      <c r="IQL21" s="93"/>
      <c r="IQM21" s="93"/>
      <c r="IQN21" s="93"/>
      <c r="IQO21" s="93"/>
      <c r="IQP21" s="93"/>
      <c r="IQQ21" s="93"/>
      <c r="IQR21" s="93"/>
      <c r="IQS21" s="93"/>
      <c r="IQT21" s="93"/>
      <c r="IQU21" s="93"/>
      <c r="IQV21" s="93"/>
      <c r="IQW21" s="93"/>
      <c r="IQX21" s="93"/>
      <c r="IQY21" s="93"/>
      <c r="IQZ21" s="93"/>
      <c r="IRA21" s="93"/>
      <c r="IRB21" s="93"/>
      <c r="IRC21" s="93"/>
      <c r="IRD21" s="93"/>
      <c r="IRE21" s="93"/>
      <c r="IRF21" s="93"/>
      <c r="IRG21" s="93"/>
      <c r="IRH21" s="93"/>
      <c r="IRI21" s="93"/>
      <c r="IRJ21" s="93"/>
      <c r="IRK21" s="93"/>
      <c r="IRL21" s="93"/>
      <c r="IRM21" s="93"/>
      <c r="IRN21" s="93"/>
      <c r="IRO21" s="93"/>
      <c r="IRP21" s="93"/>
      <c r="IRQ21" s="93"/>
      <c r="IRR21" s="93"/>
      <c r="IRS21" s="93"/>
      <c r="IRT21" s="93"/>
      <c r="IRU21" s="93"/>
      <c r="IRV21" s="93"/>
      <c r="IRW21" s="93"/>
      <c r="IRX21" s="93"/>
      <c r="IRY21" s="93"/>
      <c r="IRZ21" s="93"/>
      <c r="ISA21" s="93"/>
      <c r="ISB21" s="93"/>
      <c r="ISC21" s="93"/>
      <c r="ISD21" s="93"/>
      <c r="ISE21" s="93"/>
      <c r="ISF21" s="93"/>
      <c r="ISG21" s="93"/>
      <c r="ISH21" s="93"/>
      <c r="ISI21" s="93"/>
      <c r="ISJ21" s="93"/>
      <c r="ISK21" s="93"/>
      <c r="ISL21" s="93"/>
      <c r="ISM21" s="93"/>
      <c r="ISN21" s="93"/>
      <c r="ISO21" s="93"/>
      <c r="ISP21" s="93"/>
      <c r="ISQ21" s="93"/>
      <c r="ISR21" s="93"/>
      <c r="ISS21" s="93"/>
      <c r="IST21" s="93"/>
      <c r="ISU21" s="93"/>
      <c r="ISV21" s="93"/>
      <c r="ISW21" s="93"/>
      <c r="ISX21" s="93"/>
      <c r="ISY21" s="93"/>
      <c r="ISZ21" s="93"/>
      <c r="ITA21" s="93"/>
      <c r="ITB21" s="93"/>
      <c r="ITC21" s="93"/>
      <c r="ITD21" s="93"/>
      <c r="ITE21" s="93"/>
      <c r="ITF21" s="93"/>
      <c r="ITG21" s="93"/>
      <c r="ITH21" s="93"/>
      <c r="ITI21" s="93"/>
      <c r="ITJ21" s="93"/>
      <c r="ITK21" s="93"/>
      <c r="ITL21" s="93"/>
      <c r="ITM21" s="93"/>
      <c r="ITN21" s="93"/>
      <c r="ITO21" s="93"/>
      <c r="ITP21" s="93"/>
      <c r="ITQ21" s="93"/>
      <c r="ITR21" s="93"/>
      <c r="ITS21" s="93"/>
      <c r="ITT21" s="93"/>
      <c r="ITU21" s="93"/>
      <c r="ITV21" s="93"/>
      <c r="ITW21" s="93"/>
      <c r="ITX21" s="93"/>
      <c r="ITY21" s="93"/>
      <c r="ITZ21" s="93"/>
      <c r="IUA21" s="93"/>
      <c r="IUB21" s="93"/>
      <c r="IUC21" s="93"/>
      <c r="IUD21" s="93"/>
      <c r="IUE21" s="93"/>
      <c r="IUF21" s="93"/>
      <c r="IUG21" s="93"/>
      <c r="IUH21" s="93"/>
      <c r="IUI21" s="93"/>
      <c r="IUJ21" s="93"/>
      <c r="IUK21" s="93"/>
      <c r="IUL21" s="93"/>
      <c r="IUM21" s="93"/>
      <c r="IUN21" s="93"/>
      <c r="IUO21" s="93"/>
      <c r="IUP21" s="93"/>
      <c r="IUQ21" s="93"/>
      <c r="IUR21" s="93"/>
      <c r="IUS21" s="93"/>
      <c r="IUT21" s="93"/>
      <c r="IUU21" s="93"/>
      <c r="IUV21" s="93"/>
      <c r="IUW21" s="93"/>
      <c r="IUX21" s="93"/>
      <c r="IUY21" s="93"/>
      <c r="IUZ21" s="93"/>
      <c r="IVA21" s="93"/>
      <c r="IVB21" s="93"/>
      <c r="IVC21" s="93"/>
      <c r="IVD21" s="93"/>
      <c r="IVE21" s="93"/>
      <c r="IVF21" s="93"/>
      <c r="IVG21" s="93"/>
      <c r="IVH21" s="93"/>
      <c r="IVI21" s="93"/>
      <c r="IVJ21" s="93"/>
      <c r="IVK21" s="93"/>
      <c r="IVL21" s="93"/>
      <c r="IVM21" s="93"/>
      <c r="IVN21" s="93"/>
      <c r="IVO21" s="93"/>
      <c r="IVP21" s="93"/>
      <c r="IVQ21" s="93"/>
      <c r="IVR21" s="93"/>
      <c r="IVS21" s="93"/>
      <c r="IVT21" s="93"/>
      <c r="IVU21" s="93"/>
      <c r="IVV21" s="93"/>
      <c r="IVW21" s="93"/>
      <c r="IVX21" s="93"/>
      <c r="IVY21" s="93"/>
      <c r="IVZ21" s="93"/>
      <c r="IWA21" s="93"/>
      <c r="IWB21" s="93"/>
      <c r="IWC21" s="93"/>
      <c r="IWD21" s="93"/>
      <c r="IWE21" s="93"/>
      <c r="IWF21" s="93"/>
      <c r="IWG21" s="93"/>
      <c r="IWH21" s="93"/>
      <c r="IWI21" s="93"/>
      <c r="IWJ21" s="93"/>
      <c r="IWK21" s="93"/>
      <c r="IWL21" s="93"/>
      <c r="IWM21" s="93"/>
      <c r="IWN21" s="93"/>
      <c r="IWO21" s="93"/>
      <c r="IWP21" s="93"/>
      <c r="IWQ21" s="93"/>
      <c r="IWR21" s="93"/>
      <c r="IWS21" s="93"/>
      <c r="IWT21" s="93"/>
      <c r="IWU21" s="93"/>
      <c r="IWV21" s="93"/>
      <c r="IWW21" s="93"/>
      <c r="IWX21" s="93"/>
      <c r="IWY21" s="93"/>
      <c r="IWZ21" s="93"/>
      <c r="IXA21" s="93"/>
      <c r="IXB21" s="93"/>
      <c r="IXC21" s="93"/>
      <c r="IXD21" s="93"/>
      <c r="IXE21" s="93"/>
      <c r="IXF21" s="93"/>
      <c r="IXG21" s="93"/>
      <c r="IXH21" s="93"/>
      <c r="IXI21" s="93"/>
      <c r="IXJ21" s="93"/>
      <c r="IXK21" s="93"/>
      <c r="IXL21" s="93"/>
      <c r="IXM21" s="93"/>
      <c r="IXN21" s="93"/>
      <c r="IXO21" s="93"/>
      <c r="IXP21" s="93"/>
      <c r="IXQ21" s="93"/>
      <c r="IXR21" s="93"/>
      <c r="IXS21" s="93"/>
      <c r="IXT21" s="93"/>
      <c r="IXU21" s="93"/>
      <c r="IXV21" s="93"/>
      <c r="IXW21" s="93"/>
      <c r="IXX21" s="93"/>
      <c r="IXY21" s="93"/>
      <c r="IXZ21" s="93"/>
      <c r="IYA21" s="93"/>
      <c r="IYB21" s="93"/>
      <c r="IYC21" s="93"/>
      <c r="IYD21" s="93"/>
      <c r="IYE21" s="93"/>
      <c r="IYF21" s="93"/>
      <c r="IYG21" s="93"/>
      <c r="IYH21" s="93"/>
      <c r="IYI21" s="93"/>
      <c r="IYJ21" s="93"/>
      <c r="IYK21" s="93"/>
      <c r="IYL21" s="93"/>
      <c r="IYM21" s="93"/>
      <c r="IYN21" s="93"/>
      <c r="IYO21" s="93"/>
      <c r="IYP21" s="93"/>
      <c r="IYQ21" s="93"/>
      <c r="IYR21" s="93"/>
      <c r="IYS21" s="93"/>
      <c r="IYT21" s="93"/>
      <c r="IYU21" s="93"/>
      <c r="IYV21" s="93"/>
      <c r="IYW21" s="93"/>
      <c r="IYX21" s="93"/>
      <c r="IYY21" s="93"/>
      <c r="IYZ21" s="93"/>
      <c r="IZA21" s="93"/>
      <c r="IZB21" s="93"/>
      <c r="IZC21" s="93"/>
      <c r="IZD21" s="93"/>
      <c r="IZE21" s="93"/>
      <c r="IZF21" s="93"/>
      <c r="IZG21" s="93"/>
      <c r="IZH21" s="93"/>
      <c r="IZI21" s="93"/>
      <c r="IZJ21" s="93"/>
      <c r="IZK21" s="93"/>
      <c r="IZL21" s="93"/>
      <c r="IZM21" s="93"/>
      <c r="IZN21" s="93"/>
      <c r="IZO21" s="93"/>
      <c r="IZP21" s="93"/>
      <c r="IZQ21" s="93"/>
      <c r="IZR21" s="93"/>
      <c r="IZS21" s="93"/>
      <c r="IZT21" s="93"/>
      <c r="IZU21" s="93"/>
      <c r="IZV21" s="93"/>
      <c r="IZW21" s="93"/>
      <c r="IZX21" s="93"/>
      <c r="IZY21" s="93"/>
      <c r="IZZ21" s="93"/>
      <c r="JAA21" s="93"/>
      <c r="JAB21" s="93"/>
      <c r="JAC21" s="93"/>
      <c r="JAD21" s="93"/>
      <c r="JAE21" s="93"/>
      <c r="JAF21" s="93"/>
      <c r="JAG21" s="93"/>
      <c r="JAH21" s="93"/>
      <c r="JAI21" s="93"/>
      <c r="JAJ21" s="93"/>
      <c r="JAK21" s="93"/>
      <c r="JAL21" s="93"/>
      <c r="JAM21" s="93"/>
      <c r="JAN21" s="93"/>
      <c r="JAO21" s="93"/>
      <c r="JAP21" s="93"/>
      <c r="JAQ21" s="93"/>
      <c r="JAR21" s="93"/>
      <c r="JAS21" s="93"/>
      <c r="JAT21" s="93"/>
      <c r="JAU21" s="93"/>
      <c r="JAV21" s="93"/>
      <c r="JAW21" s="93"/>
      <c r="JAX21" s="93"/>
      <c r="JAY21" s="93"/>
      <c r="JAZ21" s="93"/>
      <c r="JBA21" s="93"/>
      <c r="JBB21" s="93"/>
      <c r="JBC21" s="93"/>
      <c r="JBD21" s="93"/>
      <c r="JBE21" s="93"/>
      <c r="JBF21" s="93"/>
      <c r="JBG21" s="93"/>
      <c r="JBH21" s="93"/>
      <c r="JBI21" s="93"/>
      <c r="JBJ21" s="93"/>
      <c r="JBK21" s="93"/>
      <c r="JBL21" s="93"/>
      <c r="JBM21" s="93"/>
      <c r="JBN21" s="93"/>
      <c r="JBO21" s="93"/>
      <c r="JBP21" s="93"/>
      <c r="JBQ21" s="93"/>
      <c r="JBR21" s="93"/>
      <c r="JBS21" s="93"/>
      <c r="JBT21" s="93"/>
      <c r="JBU21" s="93"/>
      <c r="JBV21" s="93"/>
      <c r="JBW21" s="93"/>
      <c r="JBX21" s="93"/>
      <c r="JBY21" s="93"/>
      <c r="JBZ21" s="93"/>
      <c r="JCA21" s="93"/>
      <c r="JCB21" s="93"/>
      <c r="JCC21" s="93"/>
      <c r="JCD21" s="93"/>
      <c r="JCE21" s="93"/>
      <c r="JCF21" s="93"/>
      <c r="JCG21" s="93"/>
      <c r="JCH21" s="93"/>
      <c r="JCI21" s="93"/>
      <c r="JCJ21" s="93"/>
      <c r="JCK21" s="93"/>
      <c r="JCL21" s="93"/>
      <c r="JCM21" s="93"/>
      <c r="JCN21" s="93"/>
      <c r="JCO21" s="93"/>
      <c r="JCP21" s="93"/>
      <c r="JCQ21" s="93"/>
      <c r="JCR21" s="93"/>
      <c r="JCS21" s="93"/>
      <c r="JCT21" s="93"/>
      <c r="JCU21" s="93"/>
      <c r="JCV21" s="93"/>
      <c r="JCW21" s="93"/>
      <c r="JCX21" s="93"/>
      <c r="JCY21" s="93"/>
      <c r="JCZ21" s="93"/>
      <c r="JDA21" s="93"/>
      <c r="JDB21" s="93"/>
      <c r="JDC21" s="93"/>
      <c r="JDD21" s="93"/>
      <c r="JDE21" s="93"/>
      <c r="JDF21" s="93"/>
      <c r="JDG21" s="93"/>
      <c r="JDH21" s="93"/>
      <c r="JDI21" s="93"/>
      <c r="JDJ21" s="93"/>
      <c r="JDK21" s="93"/>
      <c r="JDL21" s="93"/>
      <c r="JDM21" s="93"/>
      <c r="JDN21" s="93"/>
      <c r="JDO21" s="93"/>
      <c r="JDP21" s="93"/>
      <c r="JDQ21" s="93"/>
      <c r="JDR21" s="93"/>
      <c r="JDS21" s="93"/>
      <c r="JDT21" s="93"/>
      <c r="JDU21" s="93"/>
      <c r="JDV21" s="93"/>
      <c r="JDW21" s="93"/>
      <c r="JDX21" s="93"/>
      <c r="JDY21" s="93"/>
      <c r="JDZ21" s="93"/>
      <c r="JEA21" s="93"/>
      <c r="JEB21" s="93"/>
      <c r="JEC21" s="93"/>
      <c r="JED21" s="93"/>
      <c r="JEE21" s="93"/>
      <c r="JEF21" s="93"/>
      <c r="JEG21" s="93"/>
      <c r="JEH21" s="93"/>
      <c r="JEI21" s="93"/>
      <c r="JEJ21" s="93"/>
      <c r="JEK21" s="93"/>
      <c r="JEL21" s="93"/>
      <c r="JEM21" s="93"/>
      <c r="JEN21" s="93"/>
      <c r="JEO21" s="93"/>
      <c r="JEP21" s="93"/>
      <c r="JEQ21" s="93"/>
      <c r="JER21" s="93"/>
      <c r="JES21" s="93"/>
      <c r="JET21" s="93"/>
      <c r="JEU21" s="93"/>
      <c r="JEV21" s="93"/>
      <c r="JEW21" s="93"/>
      <c r="JEX21" s="93"/>
      <c r="JEY21" s="93"/>
      <c r="JEZ21" s="93"/>
      <c r="JFA21" s="93"/>
      <c r="JFB21" s="93"/>
      <c r="JFC21" s="93"/>
      <c r="JFD21" s="93"/>
      <c r="JFE21" s="93"/>
      <c r="JFF21" s="93"/>
      <c r="JFG21" s="93"/>
      <c r="JFH21" s="93"/>
      <c r="JFI21" s="93"/>
      <c r="JFJ21" s="93"/>
      <c r="JFK21" s="93"/>
      <c r="JFL21" s="93"/>
      <c r="JFM21" s="93"/>
      <c r="JFN21" s="93"/>
      <c r="JFO21" s="93"/>
      <c r="JFP21" s="93"/>
      <c r="JFQ21" s="93"/>
      <c r="JFR21" s="93"/>
      <c r="JFS21" s="93"/>
      <c r="JFT21" s="93"/>
      <c r="JFU21" s="93"/>
      <c r="JFV21" s="93"/>
      <c r="JFW21" s="93"/>
      <c r="JFX21" s="93"/>
      <c r="JFY21" s="93"/>
      <c r="JFZ21" s="93"/>
      <c r="JGA21" s="93"/>
      <c r="JGB21" s="93"/>
      <c r="JGC21" s="93"/>
      <c r="JGD21" s="93"/>
      <c r="JGE21" s="93"/>
      <c r="JGF21" s="93"/>
      <c r="JGG21" s="93"/>
      <c r="JGH21" s="93"/>
      <c r="JGI21" s="93"/>
      <c r="JGJ21" s="93"/>
      <c r="JGK21" s="93"/>
      <c r="JGL21" s="93"/>
      <c r="JGM21" s="93"/>
      <c r="JGN21" s="93"/>
      <c r="JGO21" s="93"/>
      <c r="JGP21" s="93"/>
      <c r="JGQ21" s="93"/>
      <c r="JGR21" s="93"/>
      <c r="JGS21" s="93"/>
      <c r="JGT21" s="93"/>
      <c r="JGU21" s="93"/>
      <c r="JGV21" s="93"/>
      <c r="JGW21" s="93"/>
      <c r="JGX21" s="93"/>
      <c r="JGY21" s="93"/>
      <c r="JGZ21" s="93"/>
      <c r="JHA21" s="93"/>
      <c r="JHB21" s="93"/>
      <c r="JHC21" s="93"/>
      <c r="JHD21" s="93"/>
      <c r="JHE21" s="93"/>
      <c r="JHF21" s="93"/>
      <c r="JHG21" s="93"/>
      <c r="JHH21" s="93"/>
      <c r="JHI21" s="93"/>
      <c r="JHJ21" s="93"/>
      <c r="JHK21" s="93"/>
      <c r="JHL21" s="93"/>
      <c r="JHM21" s="93"/>
      <c r="JHN21" s="93"/>
      <c r="JHO21" s="93"/>
      <c r="JHP21" s="93"/>
      <c r="JHQ21" s="93"/>
      <c r="JHR21" s="93"/>
      <c r="JHS21" s="93"/>
      <c r="JHT21" s="93"/>
      <c r="JHU21" s="93"/>
      <c r="JHV21" s="93"/>
      <c r="JHW21" s="93"/>
      <c r="JHX21" s="93"/>
      <c r="JHY21" s="93"/>
      <c r="JHZ21" s="93"/>
      <c r="JIA21" s="93"/>
      <c r="JIB21" s="93"/>
      <c r="JIC21" s="93"/>
      <c r="JID21" s="93"/>
      <c r="JIE21" s="93"/>
      <c r="JIF21" s="93"/>
      <c r="JIG21" s="93"/>
      <c r="JIH21" s="93"/>
      <c r="JII21" s="93"/>
      <c r="JIJ21" s="93"/>
      <c r="JIK21" s="93"/>
      <c r="JIL21" s="93"/>
      <c r="JIM21" s="93"/>
      <c r="JIN21" s="93"/>
      <c r="JIO21" s="93"/>
      <c r="JIP21" s="93"/>
      <c r="JIQ21" s="93"/>
      <c r="JIR21" s="93"/>
      <c r="JIS21" s="93"/>
      <c r="JIT21" s="93"/>
      <c r="JIU21" s="93"/>
      <c r="JIV21" s="93"/>
      <c r="JIW21" s="93"/>
      <c r="JIX21" s="93"/>
      <c r="JIY21" s="93"/>
      <c r="JIZ21" s="93"/>
      <c r="JJA21" s="93"/>
      <c r="JJB21" s="93"/>
      <c r="JJC21" s="93"/>
      <c r="JJD21" s="93"/>
      <c r="JJE21" s="93"/>
      <c r="JJF21" s="93"/>
      <c r="JJG21" s="93"/>
      <c r="JJH21" s="93"/>
      <c r="JJI21" s="93"/>
      <c r="JJJ21" s="93"/>
      <c r="JJK21" s="93"/>
      <c r="JJL21" s="93"/>
      <c r="JJM21" s="93"/>
      <c r="JJN21" s="93"/>
      <c r="JJO21" s="93"/>
      <c r="JJP21" s="93"/>
      <c r="JJQ21" s="93"/>
      <c r="JJR21" s="93"/>
      <c r="JJS21" s="93"/>
      <c r="JJT21" s="93"/>
      <c r="JJU21" s="93"/>
      <c r="JJV21" s="93"/>
      <c r="JJW21" s="93"/>
      <c r="JJX21" s="93"/>
      <c r="JJY21" s="93"/>
      <c r="JJZ21" s="93"/>
      <c r="JKA21" s="93"/>
      <c r="JKB21" s="93"/>
      <c r="JKC21" s="93"/>
      <c r="JKD21" s="93"/>
      <c r="JKE21" s="93"/>
      <c r="JKF21" s="93"/>
      <c r="JKG21" s="93"/>
      <c r="JKH21" s="93"/>
      <c r="JKI21" s="93"/>
      <c r="JKJ21" s="93"/>
      <c r="JKK21" s="93"/>
      <c r="JKL21" s="93"/>
      <c r="JKM21" s="93"/>
      <c r="JKN21" s="93"/>
      <c r="JKO21" s="93"/>
      <c r="JKP21" s="93"/>
      <c r="JKQ21" s="93"/>
      <c r="JKR21" s="93"/>
      <c r="JKS21" s="93"/>
      <c r="JKT21" s="93"/>
      <c r="JKU21" s="93"/>
      <c r="JKV21" s="93"/>
      <c r="JKW21" s="93"/>
      <c r="JKX21" s="93"/>
      <c r="JKY21" s="93"/>
      <c r="JKZ21" s="93"/>
      <c r="JLA21" s="93"/>
      <c r="JLB21" s="93"/>
      <c r="JLC21" s="93"/>
      <c r="JLD21" s="93"/>
      <c r="JLE21" s="93"/>
      <c r="JLF21" s="93"/>
      <c r="JLG21" s="93"/>
      <c r="JLH21" s="93"/>
      <c r="JLI21" s="93"/>
      <c r="JLJ21" s="93"/>
      <c r="JLK21" s="93"/>
      <c r="JLL21" s="93"/>
      <c r="JLM21" s="93"/>
      <c r="JLN21" s="93"/>
      <c r="JLO21" s="93"/>
      <c r="JLP21" s="93"/>
      <c r="JLQ21" s="93"/>
      <c r="JLR21" s="93"/>
      <c r="JLS21" s="93"/>
      <c r="JLT21" s="93"/>
      <c r="JLU21" s="93"/>
      <c r="JLV21" s="93"/>
      <c r="JLW21" s="93"/>
      <c r="JLX21" s="93"/>
      <c r="JLY21" s="93"/>
      <c r="JLZ21" s="93"/>
      <c r="JMA21" s="93"/>
      <c r="JMB21" s="93"/>
      <c r="JMC21" s="93"/>
      <c r="JMD21" s="93"/>
      <c r="JME21" s="93"/>
      <c r="JMF21" s="93"/>
      <c r="JMG21" s="93"/>
      <c r="JMH21" s="93"/>
      <c r="JMI21" s="93"/>
      <c r="JMJ21" s="93"/>
      <c r="JMK21" s="93"/>
      <c r="JML21" s="93"/>
      <c r="JMM21" s="93"/>
      <c r="JMN21" s="93"/>
      <c r="JMO21" s="93"/>
      <c r="JMP21" s="93"/>
      <c r="JMQ21" s="93"/>
      <c r="JMR21" s="93"/>
      <c r="JMS21" s="93"/>
      <c r="JMT21" s="93"/>
      <c r="JMU21" s="93"/>
      <c r="JMV21" s="93"/>
      <c r="JMW21" s="93"/>
      <c r="JMX21" s="93"/>
      <c r="JMY21" s="93"/>
      <c r="JMZ21" s="93"/>
      <c r="JNA21" s="93"/>
      <c r="JNB21" s="93"/>
      <c r="JNC21" s="93"/>
      <c r="JND21" s="93"/>
      <c r="JNE21" s="93"/>
      <c r="JNF21" s="93"/>
      <c r="JNG21" s="93"/>
      <c r="JNH21" s="93"/>
      <c r="JNI21" s="93"/>
      <c r="JNJ21" s="93"/>
      <c r="JNK21" s="93"/>
      <c r="JNL21" s="93"/>
      <c r="JNM21" s="93"/>
      <c r="JNN21" s="93"/>
      <c r="JNO21" s="93"/>
      <c r="JNP21" s="93"/>
      <c r="JNQ21" s="93"/>
      <c r="JNR21" s="93"/>
      <c r="JNS21" s="93"/>
      <c r="JNT21" s="93"/>
      <c r="JNU21" s="93"/>
      <c r="JNV21" s="93"/>
      <c r="JNW21" s="93"/>
      <c r="JNX21" s="93"/>
      <c r="JNY21" s="93"/>
      <c r="JNZ21" s="93"/>
      <c r="JOA21" s="93"/>
      <c r="JOB21" s="93"/>
      <c r="JOC21" s="93"/>
      <c r="JOD21" s="93"/>
      <c r="JOE21" s="93"/>
      <c r="JOF21" s="93"/>
      <c r="JOG21" s="93"/>
      <c r="JOH21" s="93"/>
      <c r="JOI21" s="93"/>
      <c r="JOJ21" s="93"/>
      <c r="JOK21" s="93"/>
      <c r="JOL21" s="93"/>
      <c r="JOM21" s="93"/>
      <c r="JON21" s="93"/>
      <c r="JOO21" s="93"/>
      <c r="JOP21" s="93"/>
      <c r="JOQ21" s="93"/>
      <c r="JOR21" s="93"/>
      <c r="JOS21" s="93"/>
      <c r="JOT21" s="93"/>
      <c r="JOU21" s="93"/>
      <c r="JOV21" s="93"/>
      <c r="JOW21" s="93"/>
      <c r="JOX21" s="93"/>
      <c r="JOY21" s="93"/>
      <c r="JOZ21" s="93"/>
      <c r="JPA21" s="93"/>
      <c r="JPB21" s="93"/>
      <c r="JPC21" s="93"/>
      <c r="JPD21" s="93"/>
      <c r="JPE21" s="93"/>
      <c r="JPF21" s="93"/>
      <c r="JPG21" s="93"/>
      <c r="JPH21" s="93"/>
      <c r="JPI21" s="93"/>
      <c r="JPJ21" s="93"/>
      <c r="JPK21" s="93"/>
      <c r="JPL21" s="93"/>
      <c r="JPM21" s="93"/>
      <c r="JPN21" s="93"/>
      <c r="JPO21" s="93"/>
      <c r="JPP21" s="93"/>
      <c r="JPQ21" s="93"/>
      <c r="JPR21" s="93"/>
      <c r="JPS21" s="93"/>
      <c r="JPT21" s="93"/>
      <c r="JPU21" s="93"/>
      <c r="JPV21" s="93"/>
      <c r="JPW21" s="93"/>
      <c r="JPX21" s="93"/>
      <c r="JPY21" s="93"/>
      <c r="JPZ21" s="93"/>
      <c r="JQA21" s="93"/>
      <c r="JQB21" s="93"/>
      <c r="JQC21" s="93"/>
      <c r="JQD21" s="93"/>
      <c r="JQE21" s="93"/>
      <c r="JQF21" s="93"/>
      <c r="JQG21" s="93"/>
      <c r="JQH21" s="93"/>
      <c r="JQI21" s="93"/>
      <c r="JQJ21" s="93"/>
      <c r="JQK21" s="93"/>
      <c r="JQL21" s="93"/>
      <c r="JQM21" s="93"/>
      <c r="JQN21" s="93"/>
      <c r="JQO21" s="93"/>
      <c r="JQP21" s="93"/>
      <c r="JQQ21" s="93"/>
      <c r="JQR21" s="93"/>
      <c r="JQS21" s="93"/>
      <c r="JQT21" s="93"/>
      <c r="JQU21" s="93"/>
      <c r="JQV21" s="93"/>
      <c r="JQW21" s="93"/>
      <c r="JQX21" s="93"/>
      <c r="JQY21" s="93"/>
      <c r="JQZ21" s="93"/>
      <c r="JRA21" s="93"/>
      <c r="JRB21" s="93"/>
      <c r="JRC21" s="93"/>
      <c r="JRD21" s="93"/>
      <c r="JRE21" s="93"/>
      <c r="JRF21" s="93"/>
      <c r="JRG21" s="93"/>
      <c r="JRH21" s="93"/>
      <c r="JRI21" s="93"/>
      <c r="JRJ21" s="93"/>
      <c r="JRK21" s="93"/>
      <c r="JRL21" s="93"/>
      <c r="JRM21" s="93"/>
      <c r="JRN21" s="93"/>
      <c r="JRO21" s="93"/>
      <c r="JRP21" s="93"/>
      <c r="JRQ21" s="93"/>
      <c r="JRR21" s="93"/>
      <c r="JRS21" s="93"/>
      <c r="JRT21" s="93"/>
      <c r="JRU21" s="93"/>
      <c r="JRV21" s="93"/>
      <c r="JRW21" s="93"/>
      <c r="JRX21" s="93"/>
      <c r="JRY21" s="93"/>
      <c r="JRZ21" s="93"/>
      <c r="JSA21" s="93"/>
      <c r="JSB21" s="93"/>
      <c r="JSC21" s="93"/>
      <c r="JSD21" s="93"/>
      <c r="JSE21" s="93"/>
      <c r="JSF21" s="93"/>
      <c r="JSG21" s="93"/>
      <c r="JSH21" s="93"/>
      <c r="JSI21" s="93"/>
      <c r="JSJ21" s="93"/>
      <c r="JSK21" s="93"/>
      <c r="JSL21" s="93"/>
      <c r="JSM21" s="93"/>
      <c r="JSN21" s="93"/>
      <c r="JSO21" s="93"/>
      <c r="JSP21" s="93"/>
      <c r="JSQ21" s="93"/>
      <c r="JSR21" s="93"/>
      <c r="JSS21" s="93"/>
      <c r="JST21" s="93"/>
      <c r="JSU21" s="93"/>
      <c r="JSV21" s="93"/>
      <c r="JSW21" s="93"/>
      <c r="JSX21" s="93"/>
      <c r="JSY21" s="93"/>
      <c r="JSZ21" s="93"/>
      <c r="JTA21" s="93"/>
      <c r="JTB21" s="93"/>
      <c r="JTC21" s="93"/>
      <c r="JTD21" s="93"/>
      <c r="JTE21" s="93"/>
      <c r="JTF21" s="93"/>
      <c r="JTG21" s="93"/>
      <c r="JTH21" s="93"/>
      <c r="JTI21" s="93"/>
      <c r="JTJ21" s="93"/>
      <c r="JTK21" s="93"/>
      <c r="JTL21" s="93"/>
      <c r="JTM21" s="93"/>
      <c r="JTN21" s="93"/>
      <c r="JTO21" s="93"/>
      <c r="JTP21" s="93"/>
      <c r="JTQ21" s="93"/>
      <c r="JTR21" s="93"/>
      <c r="JTS21" s="93"/>
      <c r="JTT21" s="93"/>
      <c r="JTU21" s="93"/>
      <c r="JTV21" s="93"/>
      <c r="JTW21" s="93"/>
      <c r="JTX21" s="93"/>
      <c r="JTY21" s="93"/>
      <c r="JTZ21" s="93"/>
      <c r="JUA21" s="93"/>
      <c r="JUB21" s="93"/>
      <c r="JUC21" s="93"/>
      <c r="JUD21" s="93"/>
      <c r="JUE21" s="93"/>
      <c r="JUF21" s="93"/>
      <c r="JUG21" s="93"/>
      <c r="JUH21" s="93"/>
      <c r="JUI21" s="93"/>
      <c r="JUJ21" s="93"/>
      <c r="JUK21" s="93"/>
      <c r="JUL21" s="93"/>
      <c r="JUM21" s="93"/>
      <c r="JUN21" s="93"/>
      <c r="JUO21" s="93"/>
      <c r="JUP21" s="93"/>
      <c r="JUQ21" s="93"/>
      <c r="JUR21" s="93"/>
      <c r="JUS21" s="93"/>
      <c r="JUT21" s="93"/>
      <c r="JUU21" s="93"/>
      <c r="JUV21" s="93"/>
      <c r="JUW21" s="93"/>
      <c r="JUX21" s="93"/>
      <c r="JUY21" s="93"/>
      <c r="JUZ21" s="93"/>
      <c r="JVA21" s="93"/>
      <c r="JVB21" s="93"/>
      <c r="JVC21" s="93"/>
      <c r="JVD21" s="93"/>
      <c r="JVE21" s="93"/>
      <c r="JVF21" s="93"/>
      <c r="JVG21" s="93"/>
      <c r="JVH21" s="93"/>
      <c r="JVI21" s="93"/>
      <c r="JVJ21" s="93"/>
      <c r="JVK21" s="93"/>
      <c r="JVL21" s="93"/>
      <c r="JVM21" s="93"/>
      <c r="JVN21" s="93"/>
      <c r="JVO21" s="93"/>
      <c r="JVP21" s="93"/>
      <c r="JVQ21" s="93"/>
      <c r="JVR21" s="93"/>
      <c r="JVS21" s="93"/>
      <c r="JVT21" s="93"/>
      <c r="JVU21" s="93"/>
      <c r="JVV21" s="93"/>
      <c r="JVW21" s="93"/>
      <c r="JVX21" s="93"/>
      <c r="JVY21" s="93"/>
      <c r="JVZ21" s="93"/>
      <c r="JWA21" s="93"/>
      <c r="JWB21" s="93"/>
      <c r="JWC21" s="93"/>
      <c r="JWD21" s="93"/>
      <c r="JWE21" s="93"/>
      <c r="JWF21" s="93"/>
      <c r="JWG21" s="93"/>
      <c r="JWH21" s="93"/>
      <c r="JWI21" s="93"/>
      <c r="JWJ21" s="93"/>
      <c r="JWK21" s="93"/>
      <c r="JWL21" s="93"/>
      <c r="JWM21" s="93"/>
      <c r="JWN21" s="93"/>
      <c r="JWO21" s="93"/>
      <c r="JWP21" s="93"/>
      <c r="JWQ21" s="93"/>
      <c r="JWR21" s="93"/>
      <c r="JWS21" s="93"/>
      <c r="JWT21" s="93"/>
      <c r="JWU21" s="93"/>
      <c r="JWV21" s="93"/>
      <c r="JWW21" s="93"/>
      <c r="JWX21" s="93"/>
      <c r="JWY21" s="93"/>
      <c r="JWZ21" s="93"/>
      <c r="JXA21" s="93"/>
      <c r="JXB21" s="93"/>
      <c r="JXC21" s="93"/>
      <c r="JXD21" s="93"/>
      <c r="JXE21" s="93"/>
      <c r="JXF21" s="93"/>
      <c r="JXG21" s="93"/>
      <c r="JXH21" s="93"/>
      <c r="JXI21" s="93"/>
      <c r="JXJ21" s="93"/>
      <c r="JXK21" s="93"/>
      <c r="JXL21" s="93"/>
      <c r="JXM21" s="93"/>
      <c r="JXN21" s="93"/>
      <c r="JXO21" s="93"/>
      <c r="JXP21" s="93"/>
      <c r="JXQ21" s="93"/>
      <c r="JXR21" s="93"/>
      <c r="JXS21" s="93"/>
      <c r="JXT21" s="93"/>
      <c r="JXU21" s="93"/>
      <c r="JXV21" s="93"/>
      <c r="JXW21" s="93"/>
      <c r="JXX21" s="93"/>
      <c r="JXY21" s="93"/>
      <c r="JXZ21" s="93"/>
      <c r="JYA21" s="93"/>
      <c r="JYB21" s="93"/>
      <c r="JYC21" s="93"/>
      <c r="JYD21" s="93"/>
      <c r="JYE21" s="93"/>
      <c r="JYF21" s="93"/>
      <c r="JYG21" s="93"/>
      <c r="JYH21" s="93"/>
      <c r="JYI21" s="93"/>
      <c r="JYJ21" s="93"/>
      <c r="JYK21" s="93"/>
      <c r="JYL21" s="93"/>
      <c r="JYM21" s="93"/>
      <c r="JYN21" s="93"/>
      <c r="JYO21" s="93"/>
      <c r="JYP21" s="93"/>
      <c r="JYQ21" s="93"/>
      <c r="JYR21" s="93"/>
      <c r="JYS21" s="93"/>
      <c r="JYT21" s="93"/>
      <c r="JYU21" s="93"/>
      <c r="JYV21" s="93"/>
      <c r="JYW21" s="93"/>
      <c r="JYX21" s="93"/>
      <c r="JYY21" s="93"/>
      <c r="JYZ21" s="93"/>
      <c r="JZA21" s="93"/>
      <c r="JZB21" s="93"/>
      <c r="JZC21" s="93"/>
      <c r="JZD21" s="93"/>
      <c r="JZE21" s="93"/>
      <c r="JZF21" s="93"/>
      <c r="JZG21" s="93"/>
      <c r="JZH21" s="93"/>
      <c r="JZI21" s="93"/>
      <c r="JZJ21" s="93"/>
      <c r="JZK21" s="93"/>
      <c r="JZL21" s="93"/>
      <c r="JZM21" s="93"/>
      <c r="JZN21" s="93"/>
      <c r="JZO21" s="93"/>
      <c r="JZP21" s="93"/>
      <c r="JZQ21" s="93"/>
      <c r="JZR21" s="93"/>
      <c r="JZS21" s="93"/>
      <c r="JZT21" s="93"/>
      <c r="JZU21" s="93"/>
      <c r="JZV21" s="93"/>
      <c r="JZW21" s="93"/>
      <c r="JZX21" s="93"/>
      <c r="JZY21" s="93"/>
      <c r="JZZ21" s="93"/>
      <c r="KAA21" s="93"/>
      <c r="KAB21" s="93"/>
      <c r="KAC21" s="93"/>
      <c r="KAD21" s="93"/>
      <c r="KAE21" s="93"/>
      <c r="KAF21" s="93"/>
      <c r="KAG21" s="93"/>
      <c r="KAH21" s="93"/>
      <c r="KAI21" s="93"/>
      <c r="KAJ21" s="93"/>
      <c r="KAK21" s="93"/>
      <c r="KAL21" s="93"/>
      <c r="KAM21" s="93"/>
      <c r="KAN21" s="93"/>
      <c r="KAO21" s="93"/>
      <c r="KAP21" s="93"/>
      <c r="KAQ21" s="93"/>
      <c r="KAR21" s="93"/>
      <c r="KAS21" s="93"/>
      <c r="KAT21" s="93"/>
      <c r="KAU21" s="93"/>
      <c r="KAV21" s="93"/>
      <c r="KAW21" s="93"/>
      <c r="KAX21" s="93"/>
      <c r="KAY21" s="93"/>
      <c r="KAZ21" s="93"/>
      <c r="KBA21" s="93"/>
      <c r="KBB21" s="93"/>
      <c r="KBC21" s="93"/>
      <c r="KBD21" s="93"/>
      <c r="KBE21" s="93"/>
      <c r="KBF21" s="93"/>
      <c r="KBG21" s="93"/>
      <c r="KBH21" s="93"/>
      <c r="KBI21" s="93"/>
      <c r="KBJ21" s="93"/>
      <c r="KBK21" s="93"/>
      <c r="KBL21" s="93"/>
      <c r="KBM21" s="93"/>
      <c r="KBN21" s="93"/>
      <c r="KBO21" s="93"/>
      <c r="KBP21" s="93"/>
      <c r="KBQ21" s="93"/>
      <c r="KBR21" s="93"/>
      <c r="KBS21" s="93"/>
      <c r="KBT21" s="93"/>
      <c r="KBU21" s="93"/>
      <c r="KBV21" s="93"/>
      <c r="KBW21" s="93"/>
      <c r="KBX21" s="93"/>
      <c r="KBY21" s="93"/>
      <c r="KBZ21" s="93"/>
      <c r="KCA21" s="93"/>
      <c r="KCB21" s="93"/>
      <c r="KCC21" s="93"/>
      <c r="KCD21" s="93"/>
      <c r="KCE21" s="93"/>
      <c r="KCF21" s="93"/>
      <c r="KCG21" s="93"/>
      <c r="KCH21" s="93"/>
      <c r="KCI21" s="93"/>
      <c r="KCJ21" s="93"/>
      <c r="KCK21" s="93"/>
      <c r="KCL21" s="93"/>
      <c r="KCM21" s="93"/>
      <c r="KCN21" s="93"/>
      <c r="KCO21" s="93"/>
      <c r="KCP21" s="93"/>
      <c r="KCQ21" s="93"/>
      <c r="KCR21" s="93"/>
      <c r="KCS21" s="93"/>
      <c r="KCT21" s="93"/>
      <c r="KCU21" s="93"/>
      <c r="KCV21" s="93"/>
      <c r="KCW21" s="93"/>
      <c r="KCX21" s="93"/>
      <c r="KCY21" s="93"/>
      <c r="KCZ21" s="93"/>
      <c r="KDA21" s="93"/>
      <c r="KDB21" s="93"/>
      <c r="KDC21" s="93"/>
      <c r="KDD21" s="93"/>
      <c r="KDE21" s="93"/>
      <c r="KDF21" s="93"/>
      <c r="KDG21" s="93"/>
      <c r="KDH21" s="93"/>
      <c r="KDI21" s="93"/>
      <c r="KDJ21" s="93"/>
      <c r="KDK21" s="93"/>
      <c r="KDL21" s="93"/>
      <c r="KDM21" s="93"/>
      <c r="KDN21" s="93"/>
      <c r="KDO21" s="93"/>
      <c r="KDP21" s="93"/>
      <c r="KDQ21" s="93"/>
      <c r="KDR21" s="93"/>
      <c r="KDS21" s="93"/>
      <c r="KDT21" s="93"/>
      <c r="KDU21" s="93"/>
      <c r="KDV21" s="93"/>
      <c r="KDW21" s="93"/>
      <c r="KDX21" s="93"/>
      <c r="KDY21" s="93"/>
      <c r="KDZ21" s="93"/>
      <c r="KEA21" s="93"/>
      <c r="KEB21" s="93"/>
      <c r="KEC21" s="93"/>
      <c r="KED21" s="93"/>
      <c r="KEE21" s="93"/>
      <c r="KEF21" s="93"/>
      <c r="KEG21" s="93"/>
      <c r="KEH21" s="93"/>
      <c r="KEI21" s="93"/>
      <c r="KEJ21" s="93"/>
      <c r="KEK21" s="93"/>
      <c r="KEL21" s="93"/>
      <c r="KEM21" s="93"/>
      <c r="KEN21" s="93"/>
      <c r="KEO21" s="93"/>
      <c r="KEP21" s="93"/>
      <c r="KEQ21" s="93"/>
      <c r="KER21" s="93"/>
      <c r="KES21" s="93"/>
      <c r="KET21" s="93"/>
      <c r="KEU21" s="93"/>
      <c r="KEV21" s="93"/>
      <c r="KEW21" s="93"/>
      <c r="KEX21" s="93"/>
      <c r="KEY21" s="93"/>
      <c r="KEZ21" s="93"/>
      <c r="KFA21" s="93"/>
      <c r="KFB21" s="93"/>
      <c r="KFC21" s="93"/>
      <c r="KFD21" s="93"/>
      <c r="KFE21" s="93"/>
      <c r="KFF21" s="93"/>
      <c r="KFG21" s="93"/>
      <c r="KFH21" s="93"/>
      <c r="KFI21" s="93"/>
      <c r="KFJ21" s="93"/>
      <c r="KFK21" s="93"/>
      <c r="KFL21" s="93"/>
      <c r="KFM21" s="93"/>
      <c r="KFN21" s="93"/>
      <c r="KFO21" s="93"/>
      <c r="KFP21" s="93"/>
      <c r="KFQ21" s="93"/>
      <c r="KFR21" s="93"/>
      <c r="KFS21" s="93"/>
      <c r="KFT21" s="93"/>
      <c r="KFU21" s="93"/>
      <c r="KFV21" s="93"/>
      <c r="KFW21" s="93"/>
      <c r="KFX21" s="93"/>
      <c r="KFY21" s="93"/>
      <c r="KFZ21" s="93"/>
      <c r="KGA21" s="93"/>
      <c r="KGB21" s="93"/>
      <c r="KGC21" s="93"/>
      <c r="KGD21" s="93"/>
      <c r="KGE21" s="93"/>
      <c r="KGF21" s="93"/>
      <c r="KGG21" s="93"/>
      <c r="KGH21" s="93"/>
      <c r="KGI21" s="93"/>
      <c r="KGJ21" s="93"/>
      <c r="KGK21" s="93"/>
      <c r="KGL21" s="93"/>
      <c r="KGM21" s="93"/>
      <c r="KGN21" s="93"/>
      <c r="KGO21" s="93"/>
      <c r="KGP21" s="93"/>
      <c r="KGQ21" s="93"/>
      <c r="KGR21" s="93"/>
      <c r="KGS21" s="93"/>
      <c r="KGT21" s="93"/>
      <c r="KGU21" s="93"/>
      <c r="KGV21" s="93"/>
      <c r="KGW21" s="93"/>
      <c r="KGX21" s="93"/>
      <c r="KGY21" s="93"/>
      <c r="KGZ21" s="93"/>
      <c r="KHA21" s="93"/>
      <c r="KHB21" s="93"/>
      <c r="KHC21" s="93"/>
      <c r="KHD21" s="93"/>
      <c r="KHE21" s="93"/>
      <c r="KHF21" s="93"/>
      <c r="KHG21" s="93"/>
      <c r="KHH21" s="93"/>
      <c r="KHI21" s="93"/>
      <c r="KHJ21" s="93"/>
      <c r="KHK21" s="93"/>
      <c r="KHL21" s="93"/>
      <c r="KHM21" s="93"/>
      <c r="KHN21" s="93"/>
      <c r="KHO21" s="93"/>
      <c r="KHP21" s="93"/>
      <c r="KHQ21" s="93"/>
      <c r="KHR21" s="93"/>
      <c r="KHS21" s="93"/>
      <c r="KHT21" s="93"/>
      <c r="KHU21" s="93"/>
      <c r="KHV21" s="93"/>
      <c r="KHW21" s="93"/>
      <c r="KHX21" s="93"/>
      <c r="KHY21" s="93"/>
      <c r="KHZ21" s="93"/>
      <c r="KIA21" s="93"/>
      <c r="KIB21" s="93"/>
      <c r="KIC21" s="93"/>
      <c r="KID21" s="93"/>
      <c r="KIE21" s="93"/>
      <c r="KIF21" s="93"/>
      <c r="KIG21" s="93"/>
      <c r="KIH21" s="93"/>
      <c r="KII21" s="93"/>
      <c r="KIJ21" s="93"/>
      <c r="KIK21" s="93"/>
      <c r="KIL21" s="93"/>
      <c r="KIM21" s="93"/>
      <c r="KIN21" s="93"/>
      <c r="KIO21" s="93"/>
      <c r="KIP21" s="93"/>
      <c r="KIQ21" s="93"/>
      <c r="KIR21" s="93"/>
      <c r="KIS21" s="93"/>
      <c r="KIT21" s="93"/>
      <c r="KIU21" s="93"/>
      <c r="KIV21" s="93"/>
      <c r="KIW21" s="93"/>
      <c r="KIX21" s="93"/>
      <c r="KIY21" s="93"/>
      <c r="KIZ21" s="93"/>
      <c r="KJA21" s="93"/>
      <c r="KJB21" s="93"/>
      <c r="KJC21" s="93"/>
      <c r="KJD21" s="93"/>
      <c r="KJE21" s="93"/>
      <c r="KJF21" s="93"/>
      <c r="KJG21" s="93"/>
      <c r="KJH21" s="93"/>
      <c r="KJI21" s="93"/>
      <c r="KJJ21" s="93"/>
      <c r="KJK21" s="93"/>
      <c r="KJL21" s="93"/>
      <c r="KJM21" s="93"/>
      <c r="KJN21" s="93"/>
      <c r="KJO21" s="93"/>
      <c r="KJP21" s="93"/>
      <c r="KJQ21" s="93"/>
      <c r="KJR21" s="93"/>
      <c r="KJS21" s="93"/>
      <c r="KJT21" s="93"/>
      <c r="KJU21" s="93"/>
      <c r="KJV21" s="93"/>
      <c r="KJW21" s="93"/>
      <c r="KJX21" s="93"/>
      <c r="KJY21" s="93"/>
      <c r="KJZ21" s="93"/>
      <c r="KKA21" s="93"/>
      <c r="KKB21" s="93"/>
      <c r="KKC21" s="93"/>
      <c r="KKD21" s="93"/>
      <c r="KKE21" s="93"/>
      <c r="KKF21" s="93"/>
      <c r="KKG21" s="93"/>
      <c r="KKH21" s="93"/>
      <c r="KKI21" s="93"/>
      <c r="KKJ21" s="93"/>
      <c r="KKK21" s="93"/>
      <c r="KKL21" s="93"/>
      <c r="KKM21" s="93"/>
      <c r="KKN21" s="93"/>
      <c r="KKO21" s="93"/>
      <c r="KKP21" s="93"/>
      <c r="KKQ21" s="93"/>
      <c r="KKR21" s="93"/>
      <c r="KKS21" s="93"/>
      <c r="KKT21" s="93"/>
      <c r="KKU21" s="93"/>
      <c r="KKV21" s="93"/>
      <c r="KKW21" s="93"/>
      <c r="KKX21" s="93"/>
      <c r="KKY21" s="93"/>
      <c r="KKZ21" s="93"/>
      <c r="KLA21" s="93"/>
      <c r="KLB21" s="93"/>
      <c r="KLC21" s="93"/>
      <c r="KLD21" s="93"/>
      <c r="KLE21" s="93"/>
      <c r="KLF21" s="93"/>
      <c r="KLG21" s="93"/>
      <c r="KLH21" s="93"/>
      <c r="KLI21" s="93"/>
      <c r="KLJ21" s="93"/>
      <c r="KLK21" s="93"/>
      <c r="KLL21" s="93"/>
      <c r="KLM21" s="93"/>
      <c r="KLN21" s="93"/>
      <c r="KLO21" s="93"/>
      <c r="KLP21" s="93"/>
      <c r="KLQ21" s="93"/>
      <c r="KLR21" s="93"/>
      <c r="KLS21" s="93"/>
      <c r="KLT21" s="93"/>
      <c r="KLU21" s="93"/>
      <c r="KLV21" s="93"/>
      <c r="KLW21" s="93"/>
      <c r="KLX21" s="93"/>
      <c r="KLY21" s="93"/>
      <c r="KLZ21" s="93"/>
      <c r="KMA21" s="93"/>
      <c r="KMB21" s="93"/>
      <c r="KMC21" s="93"/>
      <c r="KMD21" s="93"/>
      <c r="KME21" s="93"/>
      <c r="KMF21" s="93"/>
      <c r="KMG21" s="93"/>
      <c r="KMH21" s="93"/>
      <c r="KMI21" s="93"/>
      <c r="KMJ21" s="93"/>
      <c r="KMK21" s="93"/>
      <c r="KML21" s="93"/>
      <c r="KMM21" s="93"/>
      <c r="KMN21" s="93"/>
      <c r="KMO21" s="93"/>
      <c r="KMP21" s="93"/>
      <c r="KMQ21" s="93"/>
      <c r="KMR21" s="93"/>
      <c r="KMS21" s="93"/>
      <c r="KMT21" s="93"/>
      <c r="KMU21" s="93"/>
      <c r="KMV21" s="93"/>
      <c r="KMW21" s="93"/>
      <c r="KMX21" s="93"/>
      <c r="KMY21" s="93"/>
      <c r="KMZ21" s="93"/>
      <c r="KNA21" s="93"/>
      <c r="KNB21" s="93"/>
      <c r="KNC21" s="93"/>
      <c r="KND21" s="93"/>
      <c r="KNE21" s="93"/>
      <c r="KNF21" s="93"/>
      <c r="KNG21" s="93"/>
      <c r="KNH21" s="93"/>
      <c r="KNI21" s="93"/>
      <c r="KNJ21" s="93"/>
      <c r="KNK21" s="93"/>
      <c r="KNL21" s="93"/>
      <c r="KNM21" s="93"/>
      <c r="KNN21" s="93"/>
      <c r="KNO21" s="93"/>
      <c r="KNP21" s="93"/>
      <c r="KNQ21" s="93"/>
      <c r="KNR21" s="93"/>
      <c r="KNS21" s="93"/>
      <c r="KNT21" s="93"/>
      <c r="KNU21" s="93"/>
      <c r="KNV21" s="93"/>
      <c r="KNW21" s="93"/>
      <c r="KNX21" s="93"/>
      <c r="KNY21" s="93"/>
      <c r="KNZ21" s="93"/>
      <c r="KOA21" s="93"/>
      <c r="KOB21" s="93"/>
      <c r="KOC21" s="93"/>
      <c r="KOD21" s="93"/>
      <c r="KOE21" s="93"/>
      <c r="KOF21" s="93"/>
      <c r="KOG21" s="93"/>
      <c r="KOH21" s="93"/>
      <c r="KOI21" s="93"/>
      <c r="KOJ21" s="93"/>
      <c r="KOK21" s="93"/>
      <c r="KOL21" s="93"/>
      <c r="KOM21" s="93"/>
      <c r="KON21" s="93"/>
      <c r="KOO21" s="93"/>
      <c r="KOP21" s="93"/>
      <c r="KOQ21" s="93"/>
      <c r="KOR21" s="93"/>
      <c r="KOS21" s="93"/>
      <c r="KOT21" s="93"/>
      <c r="KOU21" s="93"/>
      <c r="KOV21" s="93"/>
      <c r="KOW21" s="93"/>
      <c r="KOX21" s="93"/>
      <c r="KOY21" s="93"/>
      <c r="KOZ21" s="93"/>
      <c r="KPA21" s="93"/>
      <c r="KPB21" s="93"/>
      <c r="KPC21" s="93"/>
      <c r="KPD21" s="93"/>
      <c r="KPE21" s="93"/>
      <c r="KPF21" s="93"/>
      <c r="KPG21" s="93"/>
      <c r="KPH21" s="93"/>
      <c r="KPI21" s="93"/>
      <c r="KPJ21" s="93"/>
      <c r="KPK21" s="93"/>
      <c r="KPL21" s="93"/>
      <c r="KPM21" s="93"/>
      <c r="KPN21" s="93"/>
      <c r="KPO21" s="93"/>
      <c r="KPP21" s="93"/>
      <c r="KPQ21" s="93"/>
      <c r="KPR21" s="93"/>
      <c r="KPS21" s="93"/>
      <c r="KPT21" s="93"/>
      <c r="KPU21" s="93"/>
      <c r="KPV21" s="93"/>
      <c r="KPW21" s="93"/>
      <c r="KPX21" s="93"/>
      <c r="KPY21" s="93"/>
      <c r="KPZ21" s="93"/>
      <c r="KQA21" s="93"/>
      <c r="KQB21" s="93"/>
      <c r="KQC21" s="93"/>
      <c r="KQD21" s="93"/>
      <c r="KQE21" s="93"/>
      <c r="KQF21" s="93"/>
      <c r="KQG21" s="93"/>
      <c r="KQH21" s="93"/>
      <c r="KQI21" s="93"/>
      <c r="KQJ21" s="93"/>
      <c r="KQK21" s="93"/>
      <c r="KQL21" s="93"/>
      <c r="KQM21" s="93"/>
      <c r="KQN21" s="93"/>
      <c r="KQO21" s="93"/>
      <c r="KQP21" s="93"/>
      <c r="KQQ21" s="93"/>
      <c r="KQR21" s="93"/>
      <c r="KQS21" s="93"/>
      <c r="KQT21" s="93"/>
      <c r="KQU21" s="93"/>
      <c r="KQV21" s="93"/>
      <c r="KQW21" s="93"/>
      <c r="KQX21" s="93"/>
      <c r="KQY21" s="93"/>
      <c r="KQZ21" s="93"/>
      <c r="KRA21" s="93"/>
      <c r="KRB21" s="93"/>
      <c r="KRC21" s="93"/>
      <c r="KRD21" s="93"/>
      <c r="KRE21" s="93"/>
      <c r="KRF21" s="93"/>
      <c r="KRG21" s="93"/>
      <c r="KRH21" s="93"/>
      <c r="KRI21" s="93"/>
      <c r="KRJ21" s="93"/>
      <c r="KRK21" s="93"/>
      <c r="KRL21" s="93"/>
      <c r="KRM21" s="93"/>
      <c r="KRN21" s="93"/>
      <c r="KRO21" s="93"/>
      <c r="KRP21" s="93"/>
      <c r="KRQ21" s="93"/>
      <c r="KRR21" s="93"/>
      <c r="KRS21" s="93"/>
      <c r="KRT21" s="93"/>
      <c r="KRU21" s="93"/>
      <c r="KRV21" s="93"/>
      <c r="KRW21" s="93"/>
      <c r="KRX21" s="93"/>
      <c r="KRY21" s="93"/>
      <c r="KRZ21" s="93"/>
      <c r="KSA21" s="93"/>
      <c r="KSB21" s="93"/>
      <c r="KSC21" s="93"/>
      <c r="KSD21" s="93"/>
      <c r="KSE21" s="93"/>
      <c r="KSF21" s="93"/>
      <c r="KSG21" s="93"/>
      <c r="KSH21" s="93"/>
      <c r="KSI21" s="93"/>
      <c r="KSJ21" s="93"/>
      <c r="KSK21" s="93"/>
      <c r="KSL21" s="93"/>
      <c r="KSM21" s="93"/>
      <c r="KSN21" s="93"/>
      <c r="KSO21" s="93"/>
      <c r="KSP21" s="93"/>
      <c r="KSQ21" s="93"/>
      <c r="KSR21" s="93"/>
      <c r="KSS21" s="93"/>
      <c r="KST21" s="93"/>
      <c r="KSU21" s="93"/>
      <c r="KSV21" s="93"/>
      <c r="KSW21" s="93"/>
      <c r="KSX21" s="93"/>
      <c r="KSY21" s="93"/>
      <c r="KSZ21" s="93"/>
      <c r="KTA21" s="93"/>
      <c r="KTB21" s="93"/>
      <c r="KTC21" s="93"/>
      <c r="KTD21" s="93"/>
      <c r="KTE21" s="93"/>
      <c r="KTF21" s="93"/>
      <c r="KTG21" s="93"/>
      <c r="KTH21" s="93"/>
      <c r="KTI21" s="93"/>
      <c r="KTJ21" s="93"/>
      <c r="KTK21" s="93"/>
      <c r="KTL21" s="93"/>
      <c r="KTM21" s="93"/>
      <c r="KTN21" s="93"/>
      <c r="KTO21" s="93"/>
      <c r="KTP21" s="93"/>
      <c r="KTQ21" s="93"/>
      <c r="KTR21" s="93"/>
      <c r="KTS21" s="93"/>
      <c r="KTT21" s="93"/>
      <c r="KTU21" s="93"/>
      <c r="KTV21" s="93"/>
      <c r="KTW21" s="93"/>
      <c r="KTX21" s="93"/>
      <c r="KTY21" s="93"/>
      <c r="KTZ21" s="93"/>
      <c r="KUA21" s="93"/>
      <c r="KUB21" s="93"/>
      <c r="KUC21" s="93"/>
      <c r="KUD21" s="93"/>
      <c r="KUE21" s="93"/>
      <c r="KUF21" s="93"/>
      <c r="KUG21" s="93"/>
      <c r="KUH21" s="93"/>
      <c r="KUI21" s="93"/>
      <c r="KUJ21" s="93"/>
      <c r="KUK21" s="93"/>
      <c r="KUL21" s="93"/>
      <c r="KUM21" s="93"/>
      <c r="KUN21" s="93"/>
      <c r="KUO21" s="93"/>
      <c r="KUP21" s="93"/>
      <c r="KUQ21" s="93"/>
      <c r="KUR21" s="93"/>
      <c r="KUS21" s="93"/>
      <c r="KUT21" s="93"/>
      <c r="KUU21" s="93"/>
      <c r="KUV21" s="93"/>
      <c r="KUW21" s="93"/>
      <c r="KUX21" s="93"/>
      <c r="KUY21" s="93"/>
      <c r="KUZ21" s="93"/>
      <c r="KVA21" s="93"/>
      <c r="KVB21" s="93"/>
      <c r="KVC21" s="93"/>
      <c r="KVD21" s="93"/>
      <c r="KVE21" s="93"/>
      <c r="KVF21" s="93"/>
      <c r="KVG21" s="93"/>
      <c r="KVH21" s="93"/>
      <c r="KVI21" s="93"/>
      <c r="KVJ21" s="93"/>
      <c r="KVK21" s="93"/>
      <c r="KVL21" s="93"/>
      <c r="KVM21" s="93"/>
      <c r="KVN21" s="93"/>
      <c r="KVO21" s="93"/>
      <c r="KVP21" s="93"/>
      <c r="KVQ21" s="93"/>
      <c r="KVR21" s="93"/>
      <c r="KVS21" s="93"/>
      <c r="KVT21" s="93"/>
      <c r="KVU21" s="93"/>
      <c r="KVV21" s="93"/>
      <c r="KVW21" s="93"/>
      <c r="KVX21" s="93"/>
      <c r="KVY21" s="93"/>
      <c r="KVZ21" s="93"/>
      <c r="KWA21" s="93"/>
      <c r="KWB21" s="93"/>
      <c r="KWC21" s="93"/>
      <c r="KWD21" s="93"/>
      <c r="KWE21" s="93"/>
      <c r="KWF21" s="93"/>
      <c r="KWG21" s="93"/>
      <c r="KWH21" s="93"/>
      <c r="KWI21" s="93"/>
      <c r="KWJ21" s="93"/>
      <c r="KWK21" s="93"/>
      <c r="KWL21" s="93"/>
      <c r="KWM21" s="93"/>
      <c r="KWN21" s="93"/>
      <c r="KWO21" s="93"/>
      <c r="KWP21" s="93"/>
      <c r="KWQ21" s="93"/>
      <c r="KWR21" s="93"/>
      <c r="KWS21" s="93"/>
      <c r="KWT21" s="93"/>
      <c r="KWU21" s="93"/>
      <c r="KWV21" s="93"/>
      <c r="KWW21" s="93"/>
      <c r="KWX21" s="93"/>
      <c r="KWY21" s="93"/>
      <c r="KWZ21" s="93"/>
      <c r="KXA21" s="93"/>
      <c r="KXB21" s="93"/>
      <c r="KXC21" s="93"/>
      <c r="KXD21" s="93"/>
      <c r="KXE21" s="93"/>
      <c r="KXF21" s="93"/>
      <c r="KXG21" s="93"/>
      <c r="KXH21" s="93"/>
      <c r="KXI21" s="93"/>
      <c r="KXJ21" s="93"/>
      <c r="KXK21" s="93"/>
      <c r="KXL21" s="93"/>
      <c r="KXM21" s="93"/>
      <c r="KXN21" s="93"/>
      <c r="KXO21" s="93"/>
      <c r="KXP21" s="93"/>
      <c r="KXQ21" s="93"/>
      <c r="KXR21" s="93"/>
      <c r="KXS21" s="93"/>
      <c r="KXT21" s="93"/>
      <c r="KXU21" s="93"/>
      <c r="KXV21" s="93"/>
      <c r="KXW21" s="93"/>
      <c r="KXX21" s="93"/>
      <c r="KXY21" s="93"/>
      <c r="KXZ21" s="93"/>
      <c r="KYA21" s="93"/>
      <c r="KYB21" s="93"/>
      <c r="KYC21" s="93"/>
      <c r="KYD21" s="93"/>
      <c r="KYE21" s="93"/>
      <c r="KYF21" s="93"/>
      <c r="KYG21" s="93"/>
      <c r="KYH21" s="93"/>
      <c r="KYI21" s="93"/>
      <c r="KYJ21" s="93"/>
      <c r="KYK21" s="93"/>
      <c r="KYL21" s="93"/>
      <c r="KYM21" s="93"/>
      <c r="KYN21" s="93"/>
      <c r="KYO21" s="93"/>
      <c r="KYP21" s="93"/>
      <c r="KYQ21" s="93"/>
      <c r="KYR21" s="93"/>
      <c r="KYS21" s="93"/>
      <c r="KYT21" s="93"/>
      <c r="KYU21" s="93"/>
      <c r="KYV21" s="93"/>
      <c r="KYW21" s="93"/>
      <c r="KYX21" s="93"/>
      <c r="KYY21" s="93"/>
      <c r="KYZ21" s="93"/>
      <c r="KZA21" s="93"/>
      <c r="KZB21" s="93"/>
      <c r="KZC21" s="93"/>
      <c r="KZD21" s="93"/>
      <c r="KZE21" s="93"/>
      <c r="KZF21" s="93"/>
      <c r="KZG21" s="93"/>
      <c r="KZH21" s="93"/>
      <c r="KZI21" s="93"/>
      <c r="KZJ21" s="93"/>
      <c r="KZK21" s="93"/>
      <c r="KZL21" s="93"/>
      <c r="KZM21" s="93"/>
      <c r="KZN21" s="93"/>
      <c r="KZO21" s="93"/>
      <c r="KZP21" s="93"/>
      <c r="KZQ21" s="93"/>
      <c r="KZR21" s="93"/>
      <c r="KZS21" s="93"/>
      <c r="KZT21" s="93"/>
      <c r="KZU21" s="93"/>
      <c r="KZV21" s="93"/>
      <c r="KZW21" s="93"/>
      <c r="KZX21" s="93"/>
      <c r="KZY21" s="93"/>
      <c r="KZZ21" s="93"/>
      <c r="LAA21" s="93"/>
      <c r="LAB21" s="93"/>
      <c r="LAC21" s="93"/>
      <c r="LAD21" s="93"/>
      <c r="LAE21" s="93"/>
      <c r="LAF21" s="93"/>
      <c r="LAG21" s="93"/>
      <c r="LAH21" s="93"/>
      <c r="LAI21" s="93"/>
      <c r="LAJ21" s="93"/>
      <c r="LAK21" s="93"/>
      <c r="LAL21" s="93"/>
      <c r="LAM21" s="93"/>
      <c r="LAN21" s="93"/>
      <c r="LAO21" s="93"/>
      <c r="LAP21" s="93"/>
      <c r="LAQ21" s="93"/>
      <c r="LAR21" s="93"/>
      <c r="LAS21" s="93"/>
      <c r="LAT21" s="93"/>
      <c r="LAU21" s="93"/>
      <c r="LAV21" s="93"/>
      <c r="LAW21" s="93"/>
      <c r="LAX21" s="93"/>
      <c r="LAY21" s="93"/>
      <c r="LAZ21" s="93"/>
      <c r="LBA21" s="93"/>
      <c r="LBB21" s="93"/>
      <c r="LBC21" s="93"/>
      <c r="LBD21" s="93"/>
      <c r="LBE21" s="93"/>
      <c r="LBF21" s="93"/>
      <c r="LBG21" s="93"/>
      <c r="LBH21" s="93"/>
      <c r="LBI21" s="93"/>
      <c r="LBJ21" s="93"/>
      <c r="LBK21" s="93"/>
      <c r="LBL21" s="93"/>
      <c r="LBM21" s="93"/>
      <c r="LBN21" s="93"/>
      <c r="LBO21" s="93"/>
      <c r="LBP21" s="93"/>
      <c r="LBQ21" s="93"/>
      <c r="LBR21" s="93"/>
      <c r="LBS21" s="93"/>
      <c r="LBT21" s="93"/>
      <c r="LBU21" s="93"/>
      <c r="LBV21" s="93"/>
      <c r="LBW21" s="93"/>
      <c r="LBX21" s="93"/>
      <c r="LBY21" s="93"/>
      <c r="LBZ21" s="93"/>
      <c r="LCA21" s="93"/>
      <c r="LCB21" s="93"/>
      <c r="LCC21" s="93"/>
      <c r="LCD21" s="93"/>
      <c r="LCE21" s="93"/>
      <c r="LCF21" s="93"/>
      <c r="LCG21" s="93"/>
      <c r="LCH21" s="93"/>
      <c r="LCI21" s="93"/>
      <c r="LCJ21" s="93"/>
      <c r="LCK21" s="93"/>
      <c r="LCL21" s="93"/>
      <c r="LCM21" s="93"/>
      <c r="LCN21" s="93"/>
      <c r="LCO21" s="93"/>
      <c r="LCP21" s="93"/>
      <c r="LCQ21" s="93"/>
      <c r="LCR21" s="93"/>
      <c r="LCS21" s="93"/>
      <c r="LCT21" s="93"/>
      <c r="LCU21" s="93"/>
      <c r="LCV21" s="93"/>
      <c r="LCW21" s="93"/>
      <c r="LCX21" s="93"/>
      <c r="LCY21" s="93"/>
      <c r="LCZ21" s="93"/>
      <c r="LDA21" s="93"/>
      <c r="LDB21" s="93"/>
      <c r="LDC21" s="93"/>
      <c r="LDD21" s="93"/>
      <c r="LDE21" s="93"/>
      <c r="LDF21" s="93"/>
      <c r="LDG21" s="93"/>
      <c r="LDH21" s="93"/>
      <c r="LDI21" s="93"/>
      <c r="LDJ21" s="93"/>
      <c r="LDK21" s="93"/>
      <c r="LDL21" s="93"/>
      <c r="LDM21" s="93"/>
      <c r="LDN21" s="93"/>
      <c r="LDO21" s="93"/>
      <c r="LDP21" s="93"/>
      <c r="LDQ21" s="93"/>
      <c r="LDR21" s="93"/>
      <c r="LDS21" s="93"/>
      <c r="LDT21" s="93"/>
      <c r="LDU21" s="93"/>
      <c r="LDV21" s="93"/>
      <c r="LDW21" s="93"/>
      <c r="LDX21" s="93"/>
      <c r="LDY21" s="93"/>
      <c r="LDZ21" s="93"/>
      <c r="LEA21" s="93"/>
      <c r="LEB21" s="93"/>
      <c r="LEC21" s="93"/>
      <c r="LED21" s="93"/>
      <c r="LEE21" s="93"/>
      <c r="LEF21" s="93"/>
      <c r="LEG21" s="93"/>
      <c r="LEH21" s="93"/>
      <c r="LEI21" s="93"/>
      <c r="LEJ21" s="93"/>
      <c r="LEK21" s="93"/>
      <c r="LEL21" s="93"/>
      <c r="LEM21" s="93"/>
      <c r="LEN21" s="93"/>
      <c r="LEO21" s="93"/>
      <c r="LEP21" s="93"/>
      <c r="LEQ21" s="93"/>
      <c r="LER21" s="93"/>
      <c r="LES21" s="93"/>
      <c r="LET21" s="93"/>
      <c r="LEU21" s="93"/>
      <c r="LEV21" s="93"/>
      <c r="LEW21" s="93"/>
      <c r="LEX21" s="93"/>
      <c r="LEY21" s="93"/>
      <c r="LEZ21" s="93"/>
      <c r="LFA21" s="93"/>
      <c r="LFB21" s="93"/>
      <c r="LFC21" s="93"/>
      <c r="LFD21" s="93"/>
      <c r="LFE21" s="93"/>
      <c r="LFF21" s="93"/>
      <c r="LFG21" s="93"/>
      <c r="LFH21" s="93"/>
      <c r="LFI21" s="93"/>
      <c r="LFJ21" s="93"/>
      <c r="LFK21" s="93"/>
      <c r="LFL21" s="93"/>
      <c r="LFM21" s="93"/>
      <c r="LFN21" s="93"/>
      <c r="LFO21" s="93"/>
      <c r="LFP21" s="93"/>
      <c r="LFQ21" s="93"/>
      <c r="LFR21" s="93"/>
      <c r="LFS21" s="93"/>
      <c r="LFT21" s="93"/>
      <c r="LFU21" s="93"/>
      <c r="LFV21" s="93"/>
      <c r="LFW21" s="93"/>
      <c r="LFX21" s="93"/>
      <c r="LFY21" s="93"/>
      <c r="LFZ21" s="93"/>
      <c r="LGA21" s="93"/>
      <c r="LGB21" s="93"/>
      <c r="LGC21" s="93"/>
      <c r="LGD21" s="93"/>
      <c r="LGE21" s="93"/>
      <c r="LGF21" s="93"/>
      <c r="LGG21" s="93"/>
      <c r="LGH21" s="93"/>
      <c r="LGI21" s="93"/>
      <c r="LGJ21" s="93"/>
      <c r="LGK21" s="93"/>
      <c r="LGL21" s="93"/>
      <c r="LGM21" s="93"/>
      <c r="LGN21" s="93"/>
      <c r="LGO21" s="93"/>
      <c r="LGP21" s="93"/>
      <c r="LGQ21" s="93"/>
      <c r="LGR21" s="93"/>
      <c r="LGS21" s="93"/>
      <c r="LGT21" s="93"/>
      <c r="LGU21" s="93"/>
      <c r="LGV21" s="93"/>
      <c r="LGW21" s="93"/>
      <c r="LGX21" s="93"/>
      <c r="LGY21" s="93"/>
      <c r="LGZ21" s="93"/>
      <c r="LHA21" s="93"/>
      <c r="LHB21" s="93"/>
      <c r="LHC21" s="93"/>
      <c r="LHD21" s="93"/>
      <c r="LHE21" s="93"/>
      <c r="LHF21" s="93"/>
      <c r="LHG21" s="93"/>
      <c r="LHH21" s="93"/>
      <c r="LHI21" s="93"/>
      <c r="LHJ21" s="93"/>
      <c r="LHK21" s="93"/>
      <c r="LHL21" s="93"/>
      <c r="LHM21" s="93"/>
      <c r="LHN21" s="93"/>
      <c r="LHO21" s="93"/>
      <c r="LHP21" s="93"/>
      <c r="LHQ21" s="93"/>
      <c r="LHR21" s="93"/>
      <c r="LHS21" s="93"/>
      <c r="LHT21" s="93"/>
      <c r="LHU21" s="93"/>
      <c r="LHV21" s="93"/>
      <c r="LHW21" s="93"/>
      <c r="LHX21" s="93"/>
      <c r="LHY21" s="93"/>
      <c r="LHZ21" s="93"/>
      <c r="LIA21" s="93"/>
      <c r="LIB21" s="93"/>
      <c r="LIC21" s="93"/>
      <c r="LID21" s="93"/>
      <c r="LIE21" s="93"/>
      <c r="LIF21" s="93"/>
      <c r="LIG21" s="93"/>
      <c r="LIH21" s="93"/>
      <c r="LII21" s="93"/>
      <c r="LIJ21" s="93"/>
      <c r="LIK21" s="93"/>
      <c r="LIL21" s="93"/>
      <c r="LIM21" s="93"/>
      <c r="LIN21" s="93"/>
      <c r="LIO21" s="93"/>
      <c r="LIP21" s="93"/>
      <c r="LIQ21" s="93"/>
      <c r="LIR21" s="93"/>
      <c r="LIS21" s="93"/>
      <c r="LIT21" s="93"/>
      <c r="LIU21" s="93"/>
      <c r="LIV21" s="93"/>
      <c r="LIW21" s="93"/>
      <c r="LIX21" s="93"/>
      <c r="LIY21" s="93"/>
      <c r="LIZ21" s="93"/>
      <c r="LJA21" s="93"/>
      <c r="LJB21" s="93"/>
      <c r="LJC21" s="93"/>
      <c r="LJD21" s="93"/>
      <c r="LJE21" s="93"/>
      <c r="LJF21" s="93"/>
      <c r="LJG21" s="93"/>
      <c r="LJH21" s="93"/>
      <c r="LJI21" s="93"/>
      <c r="LJJ21" s="93"/>
      <c r="LJK21" s="93"/>
      <c r="LJL21" s="93"/>
      <c r="LJM21" s="93"/>
      <c r="LJN21" s="93"/>
      <c r="LJO21" s="93"/>
      <c r="LJP21" s="93"/>
      <c r="LJQ21" s="93"/>
      <c r="LJR21" s="93"/>
      <c r="LJS21" s="93"/>
      <c r="LJT21" s="93"/>
      <c r="LJU21" s="93"/>
      <c r="LJV21" s="93"/>
      <c r="LJW21" s="93"/>
      <c r="LJX21" s="93"/>
      <c r="LJY21" s="93"/>
      <c r="LJZ21" s="93"/>
      <c r="LKA21" s="93"/>
      <c r="LKB21" s="93"/>
      <c r="LKC21" s="93"/>
      <c r="LKD21" s="93"/>
      <c r="LKE21" s="93"/>
      <c r="LKF21" s="93"/>
      <c r="LKG21" s="93"/>
      <c r="LKH21" s="93"/>
      <c r="LKI21" s="93"/>
      <c r="LKJ21" s="93"/>
      <c r="LKK21" s="93"/>
      <c r="LKL21" s="93"/>
      <c r="LKM21" s="93"/>
      <c r="LKN21" s="93"/>
      <c r="LKO21" s="93"/>
      <c r="LKP21" s="93"/>
      <c r="LKQ21" s="93"/>
      <c r="LKR21" s="93"/>
      <c r="LKS21" s="93"/>
      <c r="LKT21" s="93"/>
      <c r="LKU21" s="93"/>
      <c r="LKV21" s="93"/>
      <c r="LKW21" s="93"/>
      <c r="LKX21" s="93"/>
      <c r="LKY21" s="93"/>
      <c r="LKZ21" s="93"/>
      <c r="LLA21" s="93"/>
      <c r="LLB21" s="93"/>
      <c r="LLC21" s="93"/>
      <c r="LLD21" s="93"/>
      <c r="LLE21" s="93"/>
      <c r="LLF21" s="93"/>
      <c r="LLG21" s="93"/>
      <c r="LLH21" s="93"/>
      <c r="LLI21" s="93"/>
      <c r="LLJ21" s="93"/>
      <c r="LLK21" s="93"/>
      <c r="LLL21" s="93"/>
      <c r="LLM21" s="93"/>
      <c r="LLN21" s="93"/>
      <c r="LLO21" s="93"/>
      <c r="LLP21" s="93"/>
      <c r="LLQ21" s="93"/>
      <c r="LLR21" s="93"/>
      <c r="LLS21" s="93"/>
      <c r="LLT21" s="93"/>
      <c r="LLU21" s="93"/>
      <c r="LLV21" s="93"/>
      <c r="LLW21" s="93"/>
      <c r="LLX21" s="93"/>
      <c r="LLY21" s="93"/>
      <c r="LLZ21" s="93"/>
      <c r="LMA21" s="93"/>
      <c r="LMB21" s="93"/>
      <c r="LMC21" s="93"/>
      <c r="LMD21" s="93"/>
      <c r="LME21" s="93"/>
      <c r="LMF21" s="93"/>
      <c r="LMG21" s="93"/>
      <c r="LMH21" s="93"/>
      <c r="LMI21" s="93"/>
      <c r="LMJ21" s="93"/>
      <c r="LMK21" s="93"/>
      <c r="LML21" s="93"/>
      <c r="LMM21" s="93"/>
      <c r="LMN21" s="93"/>
      <c r="LMO21" s="93"/>
      <c r="LMP21" s="93"/>
      <c r="LMQ21" s="93"/>
      <c r="LMR21" s="93"/>
      <c r="LMS21" s="93"/>
      <c r="LMT21" s="93"/>
      <c r="LMU21" s="93"/>
      <c r="LMV21" s="93"/>
      <c r="LMW21" s="93"/>
      <c r="LMX21" s="93"/>
      <c r="LMY21" s="93"/>
      <c r="LMZ21" s="93"/>
      <c r="LNA21" s="93"/>
      <c r="LNB21" s="93"/>
      <c r="LNC21" s="93"/>
      <c r="LND21" s="93"/>
      <c r="LNE21" s="93"/>
      <c r="LNF21" s="93"/>
      <c r="LNG21" s="93"/>
      <c r="LNH21" s="93"/>
      <c r="LNI21" s="93"/>
      <c r="LNJ21" s="93"/>
      <c r="LNK21" s="93"/>
      <c r="LNL21" s="93"/>
      <c r="LNM21" s="93"/>
      <c r="LNN21" s="93"/>
      <c r="LNO21" s="93"/>
      <c r="LNP21" s="93"/>
      <c r="LNQ21" s="93"/>
      <c r="LNR21" s="93"/>
      <c r="LNS21" s="93"/>
      <c r="LNT21" s="93"/>
      <c r="LNU21" s="93"/>
      <c r="LNV21" s="93"/>
      <c r="LNW21" s="93"/>
      <c r="LNX21" s="93"/>
      <c r="LNY21" s="93"/>
      <c r="LNZ21" s="93"/>
      <c r="LOA21" s="93"/>
      <c r="LOB21" s="93"/>
      <c r="LOC21" s="93"/>
      <c r="LOD21" s="93"/>
      <c r="LOE21" s="93"/>
      <c r="LOF21" s="93"/>
      <c r="LOG21" s="93"/>
      <c r="LOH21" s="93"/>
      <c r="LOI21" s="93"/>
      <c r="LOJ21" s="93"/>
      <c r="LOK21" s="93"/>
      <c r="LOL21" s="93"/>
      <c r="LOM21" s="93"/>
      <c r="LON21" s="93"/>
      <c r="LOO21" s="93"/>
      <c r="LOP21" s="93"/>
      <c r="LOQ21" s="93"/>
      <c r="LOR21" s="93"/>
      <c r="LOS21" s="93"/>
      <c r="LOT21" s="93"/>
      <c r="LOU21" s="93"/>
      <c r="LOV21" s="93"/>
      <c r="LOW21" s="93"/>
      <c r="LOX21" s="93"/>
      <c r="LOY21" s="93"/>
      <c r="LOZ21" s="93"/>
      <c r="LPA21" s="93"/>
      <c r="LPB21" s="93"/>
      <c r="LPC21" s="93"/>
      <c r="LPD21" s="93"/>
      <c r="LPE21" s="93"/>
      <c r="LPF21" s="93"/>
      <c r="LPG21" s="93"/>
      <c r="LPH21" s="93"/>
      <c r="LPI21" s="93"/>
      <c r="LPJ21" s="93"/>
      <c r="LPK21" s="93"/>
      <c r="LPL21" s="93"/>
      <c r="LPM21" s="93"/>
      <c r="LPN21" s="93"/>
      <c r="LPO21" s="93"/>
      <c r="LPP21" s="93"/>
      <c r="LPQ21" s="93"/>
      <c r="LPR21" s="93"/>
      <c r="LPS21" s="93"/>
      <c r="LPT21" s="93"/>
      <c r="LPU21" s="93"/>
      <c r="LPV21" s="93"/>
      <c r="LPW21" s="93"/>
      <c r="LPX21" s="93"/>
      <c r="LPY21" s="93"/>
      <c r="LPZ21" s="93"/>
      <c r="LQA21" s="93"/>
      <c r="LQB21" s="93"/>
      <c r="LQC21" s="93"/>
      <c r="LQD21" s="93"/>
      <c r="LQE21" s="93"/>
      <c r="LQF21" s="93"/>
      <c r="LQG21" s="93"/>
      <c r="LQH21" s="93"/>
      <c r="LQI21" s="93"/>
      <c r="LQJ21" s="93"/>
      <c r="LQK21" s="93"/>
      <c r="LQL21" s="93"/>
      <c r="LQM21" s="93"/>
      <c r="LQN21" s="93"/>
      <c r="LQO21" s="93"/>
      <c r="LQP21" s="93"/>
      <c r="LQQ21" s="93"/>
      <c r="LQR21" s="93"/>
      <c r="LQS21" s="93"/>
      <c r="LQT21" s="93"/>
      <c r="LQU21" s="93"/>
      <c r="LQV21" s="93"/>
      <c r="LQW21" s="93"/>
      <c r="LQX21" s="93"/>
      <c r="LQY21" s="93"/>
      <c r="LQZ21" s="93"/>
      <c r="LRA21" s="93"/>
      <c r="LRB21" s="93"/>
      <c r="LRC21" s="93"/>
      <c r="LRD21" s="93"/>
      <c r="LRE21" s="93"/>
      <c r="LRF21" s="93"/>
      <c r="LRG21" s="93"/>
      <c r="LRH21" s="93"/>
      <c r="LRI21" s="93"/>
      <c r="LRJ21" s="93"/>
      <c r="LRK21" s="93"/>
      <c r="LRL21" s="93"/>
      <c r="LRM21" s="93"/>
      <c r="LRN21" s="93"/>
      <c r="LRO21" s="93"/>
      <c r="LRP21" s="93"/>
      <c r="LRQ21" s="93"/>
      <c r="LRR21" s="93"/>
      <c r="LRS21" s="93"/>
      <c r="LRT21" s="93"/>
      <c r="LRU21" s="93"/>
      <c r="LRV21" s="93"/>
      <c r="LRW21" s="93"/>
      <c r="LRX21" s="93"/>
      <c r="LRY21" s="93"/>
      <c r="LRZ21" s="93"/>
      <c r="LSA21" s="93"/>
      <c r="LSB21" s="93"/>
      <c r="LSC21" s="93"/>
      <c r="LSD21" s="93"/>
      <c r="LSE21" s="93"/>
      <c r="LSF21" s="93"/>
      <c r="LSG21" s="93"/>
      <c r="LSH21" s="93"/>
      <c r="LSI21" s="93"/>
      <c r="LSJ21" s="93"/>
      <c r="LSK21" s="93"/>
      <c r="LSL21" s="93"/>
      <c r="LSM21" s="93"/>
      <c r="LSN21" s="93"/>
      <c r="LSO21" s="93"/>
      <c r="LSP21" s="93"/>
      <c r="LSQ21" s="93"/>
      <c r="LSR21" s="93"/>
      <c r="LSS21" s="93"/>
      <c r="LST21" s="93"/>
      <c r="LSU21" s="93"/>
      <c r="LSV21" s="93"/>
      <c r="LSW21" s="93"/>
      <c r="LSX21" s="93"/>
      <c r="LSY21" s="93"/>
      <c r="LSZ21" s="93"/>
      <c r="LTA21" s="93"/>
      <c r="LTB21" s="93"/>
      <c r="LTC21" s="93"/>
      <c r="LTD21" s="93"/>
      <c r="LTE21" s="93"/>
      <c r="LTF21" s="93"/>
      <c r="LTG21" s="93"/>
      <c r="LTH21" s="93"/>
      <c r="LTI21" s="93"/>
      <c r="LTJ21" s="93"/>
      <c r="LTK21" s="93"/>
      <c r="LTL21" s="93"/>
      <c r="LTM21" s="93"/>
      <c r="LTN21" s="93"/>
      <c r="LTO21" s="93"/>
      <c r="LTP21" s="93"/>
      <c r="LTQ21" s="93"/>
      <c r="LTR21" s="93"/>
      <c r="LTS21" s="93"/>
      <c r="LTT21" s="93"/>
      <c r="LTU21" s="93"/>
      <c r="LTV21" s="93"/>
      <c r="LTW21" s="93"/>
      <c r="LTX21" s="93"/>
      <c r="LTY21" s="93"/>
      <c r="LTZ21" s="93"/>
      <c r="LUA21" s="93"/>
      <c r="LUB21" s="93"/>
      <c r="LUC21" s="93"/>
      <c r="LUD21" s="93"/>
      <c r="LUE21" s="93"/>
      <c r="LUF21" s="93"/>
      <c r="LUG21" s="93"/>
      <c r="LUH21" s="93"/>
      <c r="LUI21" s="93"/>
      <c r="LUJ21" s="93"/>
      <c r="LUK21" s="93"/>
      <c r="LUL21" s="93"/>
      <c r="LUM21" s="93"/>
      <c r="LUN21" s="93"/>
      <c r="LUO21" s="93"/>
      <c r="LUP21" s="93"/>
      <c r="LUQ21" s="93"/>
      <c r="LUR21" s="93"/>
      <c r="LUS21" s="93"/>
      <c r="LUT21" s="93"/>
      <c r="LUU21" s="93"/>
      <c r="LUV21" s="93"/>
      <c r="LUW21" s="93"/>
      <c r="LUX21" s="93"/>
      <c r="LUY21" s="93"/>
      <c r="LUZ21" s="93"/>
      <c r="LVA21" s="93"/>
      <c r="LVB21" s="93"/>
      <c r="LVC21" s="93"/>
      <c r="LVD21" s="93"/>
      <c r="LVE21" s="93"/>
      <c r="LVF21" s="93"/>
      <c r="LVG21" s="93"/>
      <c r="LVH21" s="93"/>
      <c r="LVI21" s="93"/>
      <c r="LVJ21" s="93"/>
      <c r="LVK21" s="93"/>
      <c r="LVL21" s="93"/>
      <c r="LVM21" s="93"/>
      <c r="LVN21" s="93"/>
      <c r="LVO21" s="93"/>
      <c r="LVP21" s="93"/>
      <c r="LVQ21" s="93"/>
      <c r="LVR21" s="93"/>
      <c r="LVS21" s="93"/>
      <c r="LVT21" s="93"/>
      <c r="LVU21" s="93"/>
      <c r="LVV21" s="93"/>
      <c r="LVW21" s="93"/>
      <c r="LVX21" s="93"/>
      <c r="LVY21" s="93"/>
      <c r="LVZ21" s="93"/>
      <c r="LWA21" s="93"/>
      <c r="LWB21" s="93"/>
      <c r="LWC21" s="93"/>
      <c r="LWD21" s="93"/>
      <c r="LWE21" s="93"/>
      <c r="LWF21" s="93"/>
      <c r="LWG21" s="93"/>
      <c r="LWH21" s="93"/>
      <c r="LWI21" s="93"/>
      <c r="LWJ21" s="93"/>
      <c r="LWK21" s="93"/>
      <c r="LWL21" s="93"/>
      <c r="LWM21" s="93"/>
      <c r="LWN21" s="93"/>
      <c r="LWO21" s="93"/>
      <c r="LWP21" s="93"/>
      <c r="LWQ21" s="93"/>
      <c r="LWR21" s="93"/>
      <c r="LWS21" s="93"/>
      <c r="LWT21" s="93"/>
      <c r="LWU21" s="93"/>
      <c r="LWV21" s="93"/>
      <c r="LWW21" s="93"/>
      <c r="LWX21" s="93"/>
      <c r="LWY21" s="93"/>
      <c r="LWZ21" s="93"/>
      <c r="LXA21" s="93"/>
      <c r="LXB21" s="93"/>
      <c r="LXC21" s="93"/>
      <c r="LXD21" s="93"/>
      <c r="LXE21" s="93"/>
      <c r="LXF21" s="93"/>
      <c r="LXG21" s="93"/>
      <c r="LXH21" s="93"/>
      <c r="LXI21" s="93"/>
      <c r="LXJ21" s="93"/>
      <c r="LXK21" s="93"/>
      <c r="LXL21" s="93"/>
      <c r="LXM21" s="93"/>
      <c r="LXN21" s="93"/>
      <c r="LXO21" s="93"/>
      <c r="LXP21" s="93"/>
      <c r="LXQ21" s="93"/>
      <c r="LXR21" s="93"/>
      <c r="LXS21" s="93"/>
      <c r="LXT21" s="93"/>
      <c r="LXU21" s="93"/>
      <c r="LXV21" s="93"/>
      <c r="LXW21" s="93"/>
      <c r="LXX21" s="93"/>
      <c r="LXY21" s="93"/>
      <c r="LXZ21" s="93"/>
      <c r="LYA21" s="93"/>
      <c r="LYB21" s="93"/>
      <c r="LYC21" s="93"/>
      <c r="LYD21" s="93"/>
      <c r="LYE21" s="93"/>
      <c r="LYF21" s="93"/>
      <c r="LYG21" s="93"/>
      <c r="LYH21" s="93"/>
      <c r="LYI21" s="93"/>
      <c r="LYJ21" s="93"/>
      <c r="LYK21" s="93"/>
      <c r="LYL21" s="93"/>
      <c r="LYM21" s="93"/>
      <c r="LYN21" s="93"/>
      <c r="LYO21" s="93"/>
      <c r="LYP21" s="93"/>
      <c r="LYQ21" s="93"/>
      <c r="LYR21" s="93"/>
      <c r="LYS21" s="93"/>
      <c r="LYT21" s="93"/>
      <c r="LYU21" s="93"/>
      <c r="LYV21" s="93"/>
      <c r="LYW21" s="93"/>
      <c r="LYX21" s="93"/>
      <c r="LYY21" s="93"/>
      <c r="LYZ21" s="93"/>
      <c r="LZA21" s="93"/>
      <c r="LZB21" s="93"/>
      <c r="LZC21" s="93"/>
      <c r="LZD21" s="93"/>
      <c r="LZE21" s="93"/>
      <c r="LZF21" s="93"/>
      <c r="LZG21" s="93"/>
      <c r="LZH21" s="93"/>
      <c r="LZI21" s="93"/>
      <c r="LZJ21" s="93"/>
      <c r="LZK21" s="93"/>
      <c r="LZL21" s="93"/>
      <c r="LZM21" s="93"/>
      <c r="LZN21" s="93"/>
      <c r="LZO21" s="93"/>
      <c r="LZP21" s="93"/>
      <c r="LZQ21" s="93"/>
      <c r="LZR21" s="93"/>
      <c r="LZS21" s="93"/>
      <c r="LZT21" s="93"/>
      <c r="LZU21" s="93"/>
      <c r="LZV21" s="93"/>
      <c r="LZW21" s="93"/>
      <c r="LZX21" s="93"/>
      <c r="LZY21" s="93"/>
      <c r="LZZ21" s="93"/>
      <c r="MAA21" s="93"/>
      <c r="MAB21" s="93"/>
      <c r="MAC21" s="93"/>
      <c r="MAD21" s="93"/>
      <c r="MAE21" s="93"/>
      <c r="MAF21" s="93"/>
      <c r="MAG21" s="93"/>
      <c r="MAH21" s="93"/>
      <c r="MAI21" s="93"/>
      <c r="MAJ21" s="93"/>
      <c r="MAK21" s="93"/>
      <c r="MAL21" s="93"/>
      <c r="MAM21" s="93"/>
      <c r="MAN21" s="93"/>
      <c r="MAO21" s="93"/>
      <c r="MAP21" s="93"/>
      <c r="MAQ21" s="93"/>
      <c r="MAR21" s="93"/>
      <c r="MAS21" s="93"/>
      <c r="MAT21" s="93"/>
      <c r="MAU21" s="93"/>
      <c r="MAV21" s="93"/>
      <c r="MAW21" s="93"/>
      <c r="MAX21" s="93"/>
      <c r="MAY21" s="93"/>
      <c r="MAZ21" s="93"/>
      <c r="MBA21" s="93"/>
      <c r="MBB21" s="93"/>
      <c r="MBC21" s="93"/>
      <c r="MBD21" s="93"/>
      <c r="MBE21" s="93"/>
      <c r="MBF21" s="93"/>
      <c r="MBG21" s="93"/>
      <c r="MBH21" s="93"/>
      <c r="MBI21" s="93"/>
      <c r="MBJ21" s="93"/>
      <c r="MBK21" s="93"/>
      <c r="MBL21" s="93"/>
      <c r="MBM21" s="93"/>
      <c r="MBN21" s="93"/>
      <c r="MBO21" s="93"/>
      <c r="MBP21" s="93"/>
      <c r="MBQ21" s="93"/>
      <c r="MBR21" s="93"/>
      <c r="MBS21" s="93"/>
      <c r="MBT21" s="93"/>
      <c r="MBU21" s="93"/>
      <c r="MBV21" s="93"/>
      <c r="MBW21" s="93"/>
      <c r="MBX21" s="93"/>
      <c r="MBY21" s="93"/>
      <c r="MBZ21" s="93"/>
      <c r="MCA21" s="93"/>
      <c r="MCB21" s="93"/>
      <c r="MCC21" s="93"/>
      <c r="MCD21" s="93"/>
      <c r="MCE21" s="93"/>
      <c r="MCF21" s="93"/>
      <c r="MCG21" s="93"/>
      <c r="MCH21" s="93"/>
      <c r="MCI21" s="93"/>
      <c r="MCJ21" s="93"/>
      <c r="MCK21" s="93"/>
      <c r="MCL21" s="93"/>
      <c r="MCM21" s="93"/>
      <c r="MCN21" s="93"/>
      <c r="MCO21" s="93"/>
      <c r="MCP21" s="93"/>
      <c r="MCQ21" s="93"/>
      <c r="MCR21" s="93"/>
      <c r="MCS21" s="93"/>
      <c r="MCT21" s="93"/>
      <c r="MCU21" s="93"/>
      <c r="MCV21" s="93"/>
      <c r="MCW21" s="93"/>
      <c r="MCX21" s="93"/>
      <c r="MCY21" s="93"/>
      <c r="MCZ21" s="93"/>
      <c r="MDA21" s="93"/>
      <c r="MDB21" s="93"/>
      <c r="MDC21" s="93"/>
      <c r="MDD21" s="93"/>
      <c r="MDE21" s="93"/>
      <c r="MDF21" s="93"/>
      <c r="MDG21" s="93"/>
      <c r="MDH21" s="93"/>
      <c r="MDI21" s="93"/>
      <c r="MDJ21" s="93"/>
      <c r="MDK21" s="93"/>
      <c r="MDL21" s="93"/>
      <c r="MDM21" s="93"/>
      <c r="MDN21" s="93"/>
      <c r="MDO21" s="93"/>
      <c r="MDP21" s="93"/>
      <c r="MDQ21" s="93"/>
      <c r="MDR21" s="93"/>
      <c r="MDS21" s="93"/>
      <c r="MDT21" s="93"/>
      <c r="MDU21" s="93"/>
      <c r="MDV21" s="93"/>
      <c r="MDW21" s="93"/>
      <c r="MDX21" s="93"/>
      <c r="MDY21" s="93"/>
      <c r="MDZ21" s="93"/>
      <c r="MEA21" s="93"/>
      <c r="MEB21" s="93"/>
      <c r="MEC21" s="93"/>
      <c r="MED21" s="93"/>
      <c r="MEE21" s="93"/>
      <c r="MEF21" s="93"/>
      <c r="MEG21" s="93"/>
      <c r="MEH21" s="93"/>
      <c r="MEI21" s="93"/>
      <c r="MEJ21" s="93"/>
      <c r="MEK21" s="93"/>
      <c r="MEL21" s="93"/>
      <c r="MEM21" s="93"/>
      <c r="MEN21" s="93"/>
      <c r="MEO21" s="93"/>
      <c r="MEP21" s="93"/>
      <c r="MEQ21" s="93"/>
      <c r="MER21" s="93"/>
      <c r="MES21" s="93"/>
      <c r="MET21" s="93"/>
      <c r="MEU21" s="93"/>
      <c r="MEV21" s="93"/>
      <c r="MEW21" s="93"/>
      <c r="MEX21" s="93"/>
      <c r="MEY21" s="93"/>
      <c r="MEZ21" s="93"/>
      <c r="MFA21" s="93"/>
      <c r="MFB21" s="93"/>
      <c r="MFC21" s="93"/>
      <c r="MFD21" s="93"/>
      <c r="MFE21" s="93"/>
      <c r="MFF21" s="93"/>
      <c r="MFG21" s="93"/>
      <c r="MFH21" s="93"/>
      <c r="MFI21" s="93"/>
      <c r="MFJ21" s="93"/>
      <c r="MFK21" s="93"/>
      <c r="MFL21" s="93"/>
      <c r="MFM21" s="93"/>
      <c r="MFN21" s="93"/>
      <c r="MFO21" s="93"/>
      <c r="MFP21" s="93"/>
      <c r="MFQ21" s="93"/>
      <c r="MFR21" s="93"/>
      <c r="MFS21" s="93"/>
      <c r="MFT21" s="93"/>
      <c r="MFU21" s="93"/>
      <c r="MFV21" s="93"/>
      <c r="MFW21" s="93"/>
      <c r="MFX21" s="93"/>
      <c r="MFY21" s="93"/>
      <c r="MFZ21" s="93"/>
      <c r="MGA21" s="93"/>
      <c r="MGB21" s="93"/>
      <c r="MGC21" s="93"/>
      <c r="MGD21" s="93"/>
      <c r="MGE21" s="93"/>
      <c r="MGF21" s="93"/>
      <c r="MGG21" s="93"/>
      <c r="MGH21" s="93"/>
      <c r="MGI21" s="93"/>
      <c r="MGJ21" s="93"/>
      <c r="MGK21" s="93"/>
      <c r="MGL21" s="93"/>
      <c r="MGM21" s="93"/>
      <c r="MGN21" s="93"/>
      <c r="MGO21" s="93"/>
      <c r="MGP21" s="93"/>
      <c r="MGQ21" s="93"/>
      <c r="MGR21" s="93"/>
      <c r="MGS21" s="93"/>
      <c r="MGT21" s="93"/>
      <c r="MGU21" s="93"/>
      <c r="MGV21" s="93"/>
      <c r="MGW21" s="93"/>
      <c r="MGX21" s="93"/>
      <c r="MGY21" s="93"/>
      <c r="MGZ21" s="93"/>
      <c r="MHA21" s="93"/>
      <c r="MHB21" s="93"/>
      <c r="MHC21" s="93"/>
      <c r="MHD21" s="93"/>
      <c r="MHE21" s="93"/>
      <c r="MHF21" s="93"/>
      <c r="MHG21" s="93"/>
      <c r="MHH21" s="93"/>
      <c r="MHI21" s="93"/>
      <c r="MHJ21" s="93"/>
      <c r="MHK21" s="93"/>
      <c r="MHL21" s="93"/>
      <c r="MHM21" s="93"/>
      <c r="MHN21" s="93"/>
      <c r="MHO21" s="93"/>
      <c r="MHP21" s="93"/>
      <c r="MHQ21" s="93"/>
      <c r="MHR21" s="93"/>
      <c r="MHS21" s="93"/>
      <c r="MHT21" s="93"/>
      <c r="MHU21" s="93"/>
      <c r="MHV21" s="93"/>
      <c r="MHW21" s="93"/>
      <c r="MHX21" s="93"/>
      <c r="MHY21" s="93"/>
      <c r="MHZ21" s="93"/>
      <c r="MIA21" s="93"/>
      <c r="MIB21" s="93"/>
      <c r="MIC21" s="93"/>
      <c r="MID21" s="93"/>
      <c r="MIE21" s="93"/>
      <c r="MIF21" s="93"/>
      <c r="MIG21" s="93"/>
      <c r="MIH21" s="93"/>
      <c r="MII21" s="93"/>
      <c r="MIJ21" s="93"/>
      <c r="MIK21" s="93"/>
      <c r="MIL21" s="93"/>
      <c r="MIM21" s="93"/>
      <c r="MIN21" s="93"/>
      <c r="MIO21" s="93"/>
      <c r="MIP21" s="93"/>
      <c r="MIQ21" s="93"/>
      <c r="MIR21" s="93"/>
      <c r="MIS21" s="93"/>
      <c r="MIT21" s="93"/>
      <c r="MIU21" s="93"/>
      <c r="MIV21" s="93"/>
      <c r="MIW21" s="93"/>
      <c r="MIX21" s="93"/>
      <c r="MIY21" s="93"/>
      <c r="MIZ21" s="93"/>
      <c r="MJA21" s="93"/>
      <c r="MJB21" s="93"/>
      <c r="MJC21" s="93"/>
      <c r="MJD21" s="93"/>
      <c r="MJE21" s="93"/>
      <c r="MJF21" s="93"/>
      <c r="MJG21" s="93"/>
      <c r="MJH21" s="93"/>
      <c r="MJI21" s="93"/>
      <c r="MJJ21" s="93"/>
      <c r="MJK21" s="93"/>
      <c r="MJL21" s="93"/>
      <c r="MJM21" s="93"/>
      <c r="MJN21" s="93"/>
      <c r="MJO21" s="93"/>
      <c r="MJP21" s="93"/>
      <c r="MJQ21" s="93"/>
      <c r="MJR21" s="93"/>
      <c r="MJS21" s="93"/>
      <c r="MJT21" s="93"/>
      <c r="MJU21" s="93"/>
      <c r="MJV21" s="93"/>
      <c r="MJW21" s="93"/>
      <c r="MJX21" s="93"/>
      <c r="MJY21" s="93"/>
      <c r="MJZ21" s="93"/>
      <c r="MKA21" s="93"/>
      <c r="MKB21" s="93"/>
      <c r="MKC21" s="93"/>
      <c r="MKD21" s="93"/>
      <c r="MKE21" s="93"/>
      <c r="MKF21" s="93"/>
      <c r="MKG21" s="93"/>
      <c r="MKH21" s="93"/>
      <c r="MKI21" s="93"/>
      <c r="MKJ21" s="93"/>
      <c r="MKK21" s="93"/>
      <c r="MKL21" s="93"/>
      <c r="MKM21" s="93"/>
      <c r="MKN21" s="93"/>
      <c r="MKO21" s="93"/>
      <c r="MKP21" s="93"/>
      <c r="MKQ21" s="93"/>
      <c r="MKR21" s="93"/>
      <c r="MKS21" s="93"/>
      <c r="MKT21" s="93"/>
      <c r="MKU21" s="93"/>
      <c r="MKV21" s="93"/>
      <c r="MKW21" s="93"/>
      <c r="MKX21" s="93"/>
      <c r="MKY21" s="93"/>
      <c r="MKZ21" s="93"/>
      <c r="MLA21" s="93"/>
      <c r="MLB21" s="93"/>
      <c r="MLC21" s="93"/>
      <c r="MLD21" s="93"/>
      <c r="MLE21" s="93"/>
      <c r="MLF21" s="93"/>
      <c r="MLG21" s="93"/>
      <c r="MLH21" s="93"/>
      <c r="MLI21" s="93"/>
      <c r="MLJ21" s="93"/>
      <c r="MLK21" s="93"/>
      <c r="MLL21" s="93"/>
      <c r="MLM21" s="93"/>
      <c r="MLN21" s="93"/>
      <c r="MLO21" s="93"/>
      <c r="MLP21" s="93"/>
      <c r="MLQ21" s="93"/>
      <c r="MLR21" s="93"/>
      <c r="MLS21" s="93"/>
      <c r="MLT21" s="93"/>
      <c r="MLU21" s="93"/>
      <c r="MLV21" s="93"/>
      <c r="MLW21" s="93"/>
      <c r="MLX21" s="93"/>
      <c r="MLY21" s="93"/>
      <c r="MLZ21" s="93"/>
      <c r="MMA21" s="93"/>
      <c r="MMB21" s="93"/>
      <c r="MMC21" s="93"/>
      <c r="MMD21" s="93"/>
      <c r="MME21" s="93"/>
      <c r="MMF21" s="93"/>
      <c r="MMG21" s="93"/>
      <c r="MMH21" s="93"/>
      <c r="MMI21" s="93"/>
      <c r="MMJ21" s="93"/>
      <c r="MMK21" s="93"/>
      <c r="MML21" s="93"/>
      <c r="MMM21" s="93"/>
      <c r="MMN21" s="93"/>
      <c r="MMO21" s="93"/>
      <c r="MMP21" s="93"/>
      <c r="MMQ21" s="93"/>
      <c r="MMR21" s="93"/>
      <c r="MMS21" s="93"/>
      <c r="MMT21" s="93"/>
      <c r="MMU21" s="93"/>
      <c r="MMV21" s="93"/>
      <c r="MMW21" s="93"/>
      <c r="MMX21" s="93"/>
      <c r="MMY21" s="93"/>
      <c r="MMZ21" s="93"/>
      <c r="MNA21" s="93"/>
      <c r="MNB21" s="93"/>
      <c r="MNC21" s="93"/>
      <c r="MND21" s="93"/>
      <c r="MNE21" s="93"/>
      <c r="MNF21" s="93"/>
      <c r="MNG21" s="93"/>
      <c r="MNH21" s="93"/>
      <c r="MNI21" s="93"/>
      <c r="MNJ21" s="93"/>
      <c r="MNK21" s="93"/>
      <c r="MNL21" s="93"/>
      <c r="MNM21" s="93"/>
      <c r="MNN21" s="93"/>
      <c r="MNO21" s="93"/>
      <c r="MNP21" s="93"/>
      <c r="MNQ21" s="93"/>
      <c r="MNR21" s="93"/>
      <c r="MNS21" s="93"/>
      <c r="MNT21" s="93"/>
      <c r="MNU21" s="93"/>
      <c r="MNV21" s="93"/>
      <c r="MNW21" s="93"/>
      <c r="MNX21" s="93"/>
      <c r="MNY21" s="93"/>
      <c r="MNZ21" s="93"/>
      <c r="MOA21" s="93"/>
      <c r="MOB21" s="93"/>
      <c r="MOC21" s="93"/>
      <c r="MOD21" s="93"/>
      <c r="MOE21" s="93"/>
      <c r="MOF21" s="93"/>
      <c r="MOG21" s="93"/>
      <c r="MOH21" s="93"/>
      <c r="MOI21" s="93"/>
      <c r="MOJ21" s="93"/>
      <c r="MOK21" s="93"/>
      <c r="MOL21" s="93"/>
      <c r="MOM21" s="93"/>
      <c r="MON21" s="93"/>
      <c r="MOO21" s="93"/>
      <c r="MOP21" s="93"/>
      <c r="MOQ21" s="93"/>
      <c r="MOR21" s="93"/>
      <c r="MOS21" s="93"/>
      <c r="MOT21" s="93"/>
      <c r="MOU21" s="93"/>
      <c r="MOV21" s="93"/>
      <c r="MOW21" s="93"/>
      <c r="MOX21" s="93"/>
      <c r="MOY21" s="93"/>
      <c r="MOZ21" s="93"/>
      <c r="MPA21" s="93"/>
      <c r="MPB21" s="93"/>
      <c r="MPC21" s="93"/>
      <c r="MPD21" s="93"/>
      <c r="MPE21" s="93"/>
      <c r="MPF21" s="93"/>
      <c r="MPG21" s="93"/>
      <c r="MPH21" s="93"/>
      <c r="MPI21" s="93"/>
      <c r="MPJ21" s="93"/>
      <c r="MPK21" s="93"/>
      <c r="MPL21" s="93"/>
      <c r="MPM21" s="93"/>
      <c r="MPN21" s="93"/>
      <c r="MPO21" s="93"/>
      <c r="MPP21" s="93"/>
      <c r="MPQ21" s="93"/>
      <c r="MPR21" s="93"/>
      <c r="MPS21" s="93"/>
      <c r="MPT21" s="93"/>
      <c r="MPU21" s="93"/>
      <c r="MPV21" s="93"/>
      <c r="MPW21" s="93"/>
      <c r="MPX21" s="93"/>
      <c r="MPY21" s="93"/>
      <c r="MPZ21" s="93"/>
      <c r="MQA21" s="93"/>
      <c r="MQB21" s="93"/>
      <c r="MQC21" s="93"/>
      <c r="MQD21" s="93"/>
      <c r="MQE21" s="93"/>
      <c r="MQF21" s="93"/>
      <c r="MQG21" s="93"/>
      <c r="MQH21" s="93"/>
      <c r="MQI21" s="93"/>
      <c r="MQJ21" s="93"/>
      <c r="MQK21" s="93"/>
      <c r="MQL21" s="93"/>
      <c r="MQM21" s="93"/>
      <c r="MQN21" s="93"/>
      <c r="MQO21" s="93"/>
      <c r="MQP21" s="93"/>
      <c r="MQQ21" s="93"/>
      <c r="MQR21" s="93"/>
      <c r="MQS21" s="93"/>
      <c r="MQT21" s="93"/>
      <c r="MQU21" s="93"/>
      <c r="MQV21" s="93"/>
      <c r="MQW21" s="93"/>
      <c r="MQX21" s="93"/>
      <c r="MQY21" s="93"/>
      <c r="MQZ21" s="93"/>
      <c r="MRA21" s="93"/>
      <c r="MRB21" s="93"/>
      <c r="MRC21" s="93"/>
      <c r="MRD21" s="93"/>
      <c r="MRE21" s="93"/>
      <c r="MRF21" s="93"/>
      <c r="MRG21" s="93"/>
      <c r="MRH21" s="93"/>
      <c r="MRI21" s="93"/>
      <c r="MRJ21" s="93"/>
      <c r="MRK21" s="93"/>
      <c r="MRL21" s="93"/>
      <c r="MRM21" s="93"/>
      <c r="MRN21" s="93"/>
      <c r="MRO21" s="93"/>
      <c r="MRP21" s="93"/>
      <c r="MRQ21" s="93"/>
      <c r="MRR21" s="93"/>
      <c r="MRS21" s="93"/>
      <c r="MRT21" s="93"/>
      <c r="MRU21" s="93"/>
      <c r="MRV21" s="93"/>
      <c r="MRW21" s="93"/>
      <c r="MRX21" s="93"/>
      <c r="MRY21" s="93"/>
      <c r="MRZ21" s="93"/>
      <c r="MSA21" s="93"/>
      <c r="MSB21" s="93"/>
      <c r="MSC21" s="93"/>
      <c r="MSD21" s="93"/>
      <c r="MSE21" s="93"/>
      <c r="MSF21" s="93"/>
      <c r="MSG21" s="93"/>
      <c r="MSH21" s="93"/>
      <c r="MSI21" s="93"/>
      <c r="MSJ21" s="93"/>
      <c r="MSK21" s="93"/>
      <c r="MSL21" s="93"/>
      <c r="MSM21" s="93"/>
      <c r="MSN21" s="93"/>
      <c r="MSO21" s="93"/>
      <c r="MSP21" s="93"/>
      <c r="MSQ21" s="93"/>
      <c r="MSR21" s="93"/>
      <c r="MSS21" s="93"/>
      <c r="MST21" s="93"/>
      <c r="MSU21" s="93"/>
      <c r="MSV21" s="93"/>
      <c r="MSW21" s="93"/>
      <c r="MSX21" s="93"/>
      <c r="MSY21" s="93"/>
      <c r="MSZ21" s="93"/>
      <c r="MTA21" s="93"/>
      <c r="MTB21" s="93"/>
      <c r="MTC21" s="93"/>
      <c r="MTD21" s="93"/>
      <c r="MTE21" s="93"/>
      <c r="MTF21" s="93"/>
      <c r="MTG21" s="93"/>
      <c r="MTH21" s="93"/>
      <c r="MTI21" s="93"/>
      <c r="MTJ21" s="93"/>
      <c r="MTK21" s="93"/>
      <c r="MTL21" s="93"/>
      <c r="MTM21" s="93"/>
      <c r="MTN21" s="93"/>
      <c r="MTO21" s="93"/>
      <c r="MTP21" s="93"/>
      <c r="MTQ21" s="93"/>
      <c r="MTR21" s="93"/>
      <c r="MTS21" s="93"/>
      <c r="MTT21" s="93"/>
      <c r="MTU21" s="93"/>
      <c r="MTV21" s="93"/>
      <c r="MTW21" s="93"/>
      <c r="MTX21" s="93"/>
      <c r="MTY21" s="93"/>
      <c r="MTZ21" s="93"/>
      <c r="MUA21" s="93"/>
      <c r="MUB21" s="93"/>
      <c r="MUC21" s="93"/>
      <c r="MUD21" s="93"/>
      <c r="MUE21" s="93"/>
      <c r="MUF21" s="93"/>
      <c r="MUG21" s="93"/>
      <c r="MUH21" s="93"/>
      <c r="MUI21" s="93"/>
      <c r="MUJ21" s="93"/>
      <c r="MUK21" s="93"/>
      <c r="MUL21" s="93"/>
      <c r="MUM21" s="93"/>
      <c r="MUN21" s="93"/>
      <c r="MUO21" s="93"/>
      <c r="MUP21" s="93"/>
      <c r="MUQ21" s="93"/>
      <c r="MUR21" s="93"/>
      <c r="MUS21" s="93"/>
      <c r="MUT21" s="93"/>
      <c r="MUU21" s="93"/>
      <c r="MUV21" s="93"/>
      <c r="MUW21" s="93"/>
      <c r="MUX21" s="93"/>
      <c r="MUY21" s="93"/>
      <c r="MUZ21" s="93"/>
      <c r="MVA21" s="93"/>
      <c r="MVB21" s="93"/>
      <c r="MVC21" s="93"/>
      <c r="MVD21" s="93"/>
      <c r="MVE21" s="93"/>
      <c r="MVF21" s="93"/>
      <c r="MVG21" s="93"/>
      <c r="MVH21" s="93"/>
      <c r="MVI21" s="93"/>
      <c r="MVJ21" s="93"/>
      <c r="MVK21" s="93"/>
      <c r="MVL21" s="93"/>
      <c r="MVM21" s="93"/>
      <c r="MVN21" s="93"/>
      <c r="MVO21" s="93"/>
      <c r="MVP21" s="93"/>
      <c r="MVQ21" s="93"/>
      <c r="MVR21" s="93"/>
      <c r="MVS21" s="93"/>
      <c r="MVT21" s="93"/>
      <c r="MVU21" s="93"/>
      <c r="MVV21" s="93"/>
      <c r="MVW21" s="93"/>
      <c r="MVX21" s="93"/>
      <c r="MVY21" s="93"/>
      <c r="MVZ21" s="93"/>
      <c r="MWA21" s="93"/>
      <c r="MWB21" s="93"/>
      <c r="MWC21" s="93"/>
      <c r="MWD21" s="93"/>
      <c r="MWE21" s="93"/>
      <c r="MWF21" s="93"/>
      <c r="MWG21" s="93"/>
      <c r="MWH21" s="93"/>
      <c r="MWI21" s="93"/>
      <c r="MWJ21" s="93"/>
      <c r="MWK21" s="93"/>
      <c r="MWL21" s="93"/>
      <c r="MWM21" s="93"/>
      <c r="MWN21" s="93"/>
      <c r="MWO21" s="93"/>
      <c r="MWP21" s="93"/>
      <c r="MWQ21" s="93"/>
      <c r="MWR21" s="93"/>
      <c r="MWS21" s="93"/>
      <c r="MWT21" s="93"/>
      <c r="MWU21" s="93"/>
      <c r="MWV21" s="93"/>
      <c r="MWW21" s="93"/>
      <c r="MWX21" s="93"/>
      <c r="MWY21" s="93"/>
      <c r="MWZ21" s="93"/>
      <c r="MXA21" s="93"/>
      <c r="MXB21" s="93"/>
      <c r="MXC21" s="93"/>
      <c r="MXD21" s="93"/>
      <c r="MXE21" s="93"/>
      <c r="MXF21" s="93"/>
      <c r="MXG21" s="93"/>
      <c r="MXH21" s="93"/>
      <c r="MXI21" s="93"/>
      <c r="MXJ21" s="93"/>
      <c r="MXK21" s="93"/>
      <c r="MXL21" s="93"/>
      <c r="MXM21" s="93"/>
      <c r="MXN21" s="93"/>
      <c r="MXO21" s="93"/>
      <c r="MXP21" s="93"/>
      <c r="MXQ21" s="93"/>
      <c r="MXR21" s="93"/>
      <c r="MXS21" s="93"/>
      <c r="MXT21" s="93"/>
      <c r="MXU21" s="93"/>
      <c r="MXV21" s="93"/>
      <c r="MXW21" s="93"/>
      <c r="MXX21" s="93"/>
      <c r="MXY21" s="93"/>
      <c r="MXZ21" s="93"/>
      <c r="MYA21" s="93"/>
      <c r="MYB21" s="93"/>
      <c r="MYC21" s="93"/>
      <c r="MYD21" s="93"/>
      <c r="MYE21" s="93"/>
      <c r="MYF21" s="93"/>
      <c r="MYG21" s="93"/>
      <c r="MYH21" s="93"/>
      <c r="MYI21" s="93"/>
      <c r="MYJ21" s="93"/>
      <c r="MYK21" s="93"/>
      <c r="MYL21" s="93"/>
      <c r="MYM21" s="93"/>
      <c r="MYN21" s="93"/>
      <c r="MYO21" s="93"/>
      <c r="MYP21" s="93"/>
      <c r="MYQ21" s="93"/>
      <c r="MYR21" s="93"/>
      <c r="MYS21" s="93"/>
      <c r="MYT21" s="93"/>
      <c r="MYU21" s="93"/>
      <c r="MYV21" s="93"/>
      <c r="MYW21" s="93"/>
      <c r="MYX21" s="93"/>
      <c r="MYY21" s="93"/>
      <c r="MYZ21" s="93"/>
      <c r="MZA21" s="93"/>
      <c r="MZB21" s="93"/>
      <c r="MZC21" s="93"/>
      <c r="MZD21" s="93"/>
      <c r="MZE21" s="93"/>
      <c r="MZF21" s="93"/>
      <c r="MZG21" s="93"/>
      <c r="MZH21" s="93"/>
      <c r="MZI21" s="93"/>
      <c r="MZJ21" s="93"/>
      <c r="MZK21" s="93"/>
      <c r="MZL21" s="93"/>
      <c r="MZM21" s="93"/>
      <c r="MZN21" s="93"/>
      <c r="MZO21" s="93"/>
      <c r="MZP21" s="93"/>
      <c r="MZQ21" s="93"/>
      <c r="MZR21" s="93"/>
      <c r="MZS21" s="93"/>
      <c r="MZT21" s="93"/>
      <c r="MZU21" s="93"/>
      <c r="MZV21" s="93"/>
      <c r="MZW21" s="93"/>
      <c r="MZX21" s="93"/>
      <c r="MZY21" s="93"/>
      <c r="MZZ21" s="93"/>
      <c r="NAA21" s="93"/>
      <c r="NAB21" s="93"/>
      <c r="NAC21" s="93"/>
      <c r="NAD21" s="93"/>
      <c r="NAE21" s="93"/>
      <c r="NAF21" s="93"/>
      <c r="NAG21" s="93"/>
      <c r="NAH21" s="93"/>
      <c r="NAI21" s="93"/>
      <c r="NAJ21" s="93"/>
      <c r="NAK21" s="93"/>
      <c r="NAL21" s="93"/>
      <c r="NAM21" s="93"/>
      <c r="NAN21" s="93"/>
      <c r="NAO21" s="93"/>
      <c r="NAP21" s="93"/>
      <c r="NAQ21" s="93"/>
      <c r="NAR21" s="93"/>
      <c r="NAS21" s="93"/>
      <c r="NAT21" s="93"/>
      <c r="NAU21" s="93"/>
      <c r="NAV21" s="93"/>
      <c r="NAW21" s="93"/>
      <c r="NAX21" s="93"/>
      <c r="NAY21" s="93"/>
      <c r="NAZ21" s="93"/>
      <c r="NBA21" s="93"/>
      <c r="NBB21" s="93"/>
      <c r="NBC21" s="93"/>
      <c r="NBD21" s="93"/>
      <c r="NBE21" s="93"/>
      <c r="NBF21" s="93"/>
      <c r="NBG21" s="93"/>
      <c r="NBH21" s="93"/>
      <c r="NBI21" s="93"/>
      <c r="NBJ21" s="93"/>
      <c r="NBK21" s="93"/>
      <c r="NBL21" s="93"/>
      <c r="NBM21" s="93"/>
      <c r="NBN21" s="93"/>
      <c r="NBO21" s="93"/>
      <c r="NBP21" s="93"/>
      <c r="NBQ21" s="93"/>
      <c r="NBR21" s="93"/>
      <c r="NBS21" s="93"/>
      <c r="NBT21" s="93"/>
      <c r="NBU21" s="93"/>
      <c r="NBV21" s="93"/>
      <c r="NBW21" s="93"/>
      <c r="NBX21" s="93"/>
      <c r="NBY21" s="93"/>
      <c r="NBZ21" s="93"/>
      <c r="NCA21" s="93"/>
      <c r="NCB21" s="93"/>
      <c r="NCC21" s="93"/>
      <c r="NCD21" s="93"/>
      <c r="NCE21" s="93"/>
      <c r="NCF21" s="93"/>
      <c r="NCG21" s="93"/>
      <c r="NCH21" s="93"/>
      <c r="NCI21" s="93"/>
      <c r="NCJ21" s="93"/>
      <c r="NCK21" s="93"/>
      <c r="NCL21" s="93"/>
      <c r="NCM21" s="93"/>
      <c r="NCN21" s="93"/>
      <c r="NCO21" s="93"/>
      <c r="NCP21" s="93"/>
      <c r="NCQ21" s="93"/>
      <c r="NCR21" s="93"/>
      <c r="NCS21" s="93"/>
      <c r="NCT21" s="93"/>
      <c r="NCU21" s="93"/>
      <c r="NCV21" s="93"/>
      <c r="NCW21" s="93"/>
      <c r="NCX21" s="93"/>
      <c r="NCY21" s="93"/>
      <c r="NCZ21" s="93"/>
      <c r="NDA21" s="93"/>
      <c r="NDB21" s="93"/>
      <c r="NDC21" s="93"/>
      <c r="NDD21" s="93"/>
      <c r="NDE21" s="93"/>
      <c r="NDF21" s="93"/>
      <c r="NDG21" s="93"/>
      <c r="NDH21" s="93"/>
      <c r="NDI21" s="93"/>
      <c r="NDJ21" s="93"/>
      <c r="NDK21" s="93"/>
      <c r="NDL21" s="93"/>
      <c r="NDM21" s="93"/>
      <c r="NDN21" s="93"/>
      <c r="NDO21" s="93"/>
      <c r="NDP21" s="93"/>
      <c r="NDQ21" s="93"/>
      <c r="NDR21" s="93"/>
      <c r="NDS21" s="93"/>
      <c r="NDT21" s="93"/>
      <c r="NDU21" s="93"/>
      <c r="NDV21" s="93"/>
      <c r="NDW21" s="93"/>
      <c r="NDX21" s="93"/>
      <c r="NDY21" s="93"/>
      <c r="NDZ21" s="93"/>
      <c r="NEA21" s="93"/>
      <c r="NEB21" s="93"/>
      <c r="NEC21" s="93"/>
      <c r="NED21" s="93"/>
      <c r="NEE21" s="93"/>
      <c r="NEF21" s="93"/>
      <c r="NEG21" s="93"/>
      <c r="NEH21" s="93"/>
      <c r="NEI21" s="93"/>
      <c r="NEJ21" s="93"/>
      <c r="NEK21" s="93"/>
      <c r="NEL21" s="93"/>
      <c r="NEM21" s="93"/>
      <c r="NEN21" s="93"/>
      <c r="NEO21" s="93"/>
      <c r="NEP21" s="93"/>
      <c r="NEQ21" s="93"/>
      <c r="NER21" s="93"/>
      <c r="NES21" s="93"/>
      <c r="NET21" s="93"/>
      <c r="NEU21" s="93"/>
      <c r="NEV21" s="93"/>
      <c r="NEW21" s="93"/>
      <c r="NEX21" s="93"/>
      <c r="NEY21" s="93"/>
      <c r="NEZ21" s="93"/>
      <c r="NFA21" s="93"/>
      <c r="NFB21" s="93"/>
      <c r="NFC21" s="93"/>
      <c r="NFD21" s="93"/>
      <c r="NFE21" s="93"/>
      <c r="NFF21" s="93"/>
      <c r="NFG21" s="93"/>
      <c r="NFH21" s="93"/>
      <c r="NFI21" s="93"/>
      <c r="NFJ21" s="93"/>
      <c r="NFK21" s="93"/>
      <c r="NFL21" s="93"/>
      <c r="NFM21" s="93"/>
      <c r="NFN21" s="93"/>
      <c r="NFO21" s="93"/>
      <c r="NFP21" s="93"/>
      <c r="NFQ21" s="93"/>
      <c r="NFR21" s="93"/>
      <c r="NFS21" s="93"/>
      <c r="NFT21" s="93"/>
      <c r="NFU21" s="93"/>
      <c r="NFV21" s="93"/>
      <c r="NFW21" s="93"/>
      <c r="NFX21" s="93"/>
      <c r="NFY21" s="93"/>
      <c r="NFZ21" s="93"/>
      <c r="NGA21" s="93"/>
      <c r="NGB21" s="93"/>
      <c r="NGC21" s="93"/>
      <c r="NGD21" s="93"/>
      <c r="NGE21" s="93"/>
      <c r="NGF21" s="93"/>
      <c r="NGG21" s="93"/>
      <c r="NGH21" s="93"/>
      <c r="NGI21" s="93"/>
      <c r="NGJ21" s="93"/>
      <c r="NGK21" s="93"/>
      <c r="NGL21" s="93"/>
      <c r="NGM21" s="93"/>
      <c r="NGN21" s="93"/>
      <c r="NGO21" s="93"/>
      <c r="NGP21" s="93"/>
      <c r="NGQ21" s="93"/>
      <c r="NGR21" s="93"/>
      <c r="NGS21" s="93"/>
      <c r="NGT21" s="93"/>
      <c r="NGU21" s="93"/>
      <c r="NGV21" s="93"/>
      <c r="NGW21" s="93"/>
      <c r="NGX21" s="93"/>
      <c r="NGY21" s="93"/>
      <c r="NGZ21" s="93"/>
      <c r="NHA21" s="93"/>
      <c r="NHB21" s="93"/>
      <c r="NHC21" s="93"/>
      <c r="NHD21" s="93"/>
      <c r="NHE21" s="93"/>
      <c r="NHF21" s="93"/>
      <c r="NHG21" s="93"/>
      <c r="NHH21" s="93"/>
      <c r="NHI21" s="93"/>
      <c r="NHJ21" s="93"/>
      <c r="NHK21" s="93"/>
      <c r="NHL21" s="93"/>
      <c r="NHM21" s="93"/>
      <c r="NHN21" s="93"/>
      <c r="NHO21" s="93"/>
      <c r="NHP21" s="93"/>
      <c r="NHQ21" s="93"/>
      <c r="NHR21" s="93"/>
      <c r="NHS21" s="93"/>
      <c r="NHT21" s="93"/>
      <c r="NHU21" s="93"/>
      <c r="NHV21" s="93"/>
      <c r="NHW21" s="93"/>
      <c r="NHX21" s="93"/>
      <c r="NHY21" s="93"/>
      <c r="NHZ21" s="93"/>
      <c r="NIA21" s="93"/>
      <c r="NIB21" s="93"/>
      <c r="NIC21" s="93"/>
      <c r="NID21" s="93"/>
      <c r="NIE21" s="93"/>
      <c r="NIF21" s="93"/>
      <c r="NIG21" s="93"/>
      <c r="NIH21" s="93"/>
      <c r="NII21" s="93"/>
      <c r="NIJ21" s="93"/>
      <c r="NIK21" s="93"/>
      <c r="NIL21" s="93"/>
      <c r="NIM21" s="93"/>
      <c r="NIN21" s="93"/>
      <c r="NIO21" s="93"/>
      <c r="NIP21" s="93"/>
      <c r="NIQ21" s="93"/>
      <c r="NIR21" s="93"/>
      <c r="NIS21" s="93"/>
      <c r="NIT21" s="93"/>
      <c r="NIU21" s="93"/>
      <c r="NIV21" s="93"/>
      <c r="NIW21" s="93"/>
      <c r="NIX21" s="93"/>
      <c r="NIY21" s="93"/>
      <c r="NIZ21" s="93"/>
      <c r="NJA21" s="93"/>
      <c r="NJB21" s="93"/>
      <c r="NJC21" s="93"/>
      <c r="NJD21" s="93"/>
      <c r="NJE21" s="93"/>
      <c r="NJF21" s="93"/>
      <c r="NJG21" s="93"/>
      <c r="NJH21" s="93"/>
      <c r="NJI21" s="93"/>
      <c r="NJJ21" s="93"/>
      <c r="NJK21" s="93"/>
      <c r="NJL21" s="93"/>
      <c r="NJM21" s="93"/>
      <c r="NJN21" s="93"/>
      <c r="NJO21" s="93"/>
      <c r="NJP21" s="93"/>
      <c r="NJQ21" s="93"/>
      <c r="NJR21" s="93"/>
      <c r="NJS21" s="93"/>
      <c r="NJT21" s="93"/>
      <c r="NJU21" s="93"/>
      <c r="NJV21" s="93"/>
      <c r="NJW21" s="93"/>
      <c r="NJX21" s="93"/>
      <c r="NJY21" s="93"/>
      <c r="NJZ21" s="93"/>
      <c r="NKA21" s="93"/>
      <c r="NKB21" s="93"/>
      <c r="NKC21" s="93"/>
      <c r="NKD21" s="93"/>
      <c r="NKE21" s="93"/>
      <c r="NKF21" s="93"/>
      <c r="NKG21" s="93"/>
      <c r="NKH21" s="93"/>
      <c r="NKI21" s="93"/>
      <c r="NKJ21" s="93"/>
      <c r="NKK21" s="93"/>
      <c r="NKL21" s="93"/>
      <c r="NKM21" s="93"/>
      <c r="NKN21" s="93"/>
      <c r="NKO21" s="93"/>
      <c r="NKP21" s="93"/>
      <c r="NKQ21" s="93"/>
      <c r="NKR21" s="93"/>
      <c r="NKS21" s="93"/>
      <c r="NKT21" s="93"/>
      <c r="NKU21" s="93"/>
      <c r="NKV21" s="93"/>
      <c r="NKW21" s="93"/>
      <c r="NKX21" s="93"/>
      <c r="NKY21" s="93"/>
      <c r="NKZ21" s="93"/>
      <c r="NLA21" s="93"/>
      <c r="NLB21" s="93"/>
      <c r="NLC21" s="93"/>
      <c r="NLD21" s="93"/>
      <c r="NLE21" s="93"/>
      <c r="NLF21" s="93"/>
      <c r="NLG21" s="93"/>
      <c r="NLH21" s="93"/>
      <c r="NLI21" s="93"/>
      <c r="NLJ21" s="93"/>
      <c r="NLK21" s="93"/>
      <c r="NLL21" s="93"/>
      <c r="NLM21" s="93"/>
      <c r="NLN21" s="93"/>
      <c r="NLO21" s="93"/>
      <c r="NLP21" s="93"/>
      <c r="NLQ21" s="93"/>
      <c r="NLR21" s="93"/>
      <c r="NLS21" s="93"/>
      <c r="NLT21" s="93"/>
      <c r="NLU21" s="93"/>
      <c r="NLV21" s="93"/>
      <c r="NLW21" s="93"/>
      <c r="NLX21" s="93"/>
      <c r="NLY21" s="93"/>
      <c r="NLZ21" s="93"/>
      <c r="NMA21" s="93"/>
      <c r="NMB21" s="93"/>
      <c r="NMC21" s="93"/>
      <c r="NMD21" s="93"/>
      <c r="NME21" s="93"/>
      <c r="NMF21" s="93"/>
      <c r="NMG21" s="93"/>
      <c r="NMH21" s="93"/>
      <c r="NMI21" s="93"/>
      <c r="NMJ21" s="93"/>
      <c r="NMK21" s="93"/>
      <c r="NML21" s="93"/>
      <c r="NMM21" s="93"/>
      <c r="NMN21" s="93"/>
      <c r="NMO21" s="93"/>
      <c r="NMP21" s="93"/>
      <c r="NMQ21" s="93"/>
      <c r="NMR21" s="93"/>
      <c r="NMS21" s="93"/>
      <c r="NMT21" s="93"/>
      <c r="NMU21" s="93"/>
      <c r="NMV21" s="93"/>
      <c r="NMW21" s="93"/>
      <c r="NMX21" s="93"/>
      <c r="NMY21" s="93"/>
      <c r="NMZ21" s="93"/>
      <c r="NNA21" s="93"/>
      <c r="NNB21" s="93"/>
      <c r="NNC21" s="93"/>
      <c r="NND21" s="93"/>
      <c r="NNE21" s="93"/>
      <c r="NNF21" s="93"/>
      <c r="NNG21" s="93"/>
      <c r="NNH21" s="93"/>
      <c r="NNI21" s="93"/>
      <c r="NNJ21" s="93"/>
      <c r="NNK21" s="93"/>
      <c r="NNL21" s="93"/>
      <c r="NNM21" s="93"/>
      <c r="NNN21" s="93"/>
      <c r="NNO21" s="93"/>
      <c r="NNP21" s="93"/>
      <c r="NNQ21" s="93"/>
      <c r="NNR21" s="93"/>
      <c r="NNS21" s="93"/>
      <c r="NNT21" s="93"/>
      <c r="NNU21" s="93"/>
      <c r="NNV21" s="93"/>
      <c r="NNW21" s="93"/>
      <c r="NNX21" s="93"/>
      <c r="NNY21" s="93"/>
      <c r="NNZ21" s="93"/>
      <c r="NOA21" s="93"/>
      <c r="NOB21" s="93"/>
      <c r="NOC21" s="93"/>
      <c r="NOD21" s="93"/>
      <c r="NOE21" s="93"/>
      <c r="NOF21" s="93"/>
      <c r="NOG21" s="93"/>
      <c r="NOH21" s="93"/>
      <c r="NOI21" s="93"/>
      <c r="NOJ21" s="93"/>
      <c r="NOK21" s="93"/>
      <c r="NOL21" s="93"/>
      <c r="NOM21" s="93"/>
      <c r="NON21" s="93"/>
      <c r="NOO21" s="93"/>
      <c r="NOP21" s="93"/>
      <c r="NOQ21" s="93"/>
      <c r="NOR21" s="93"/>
      <c r="NOS21" s="93"/>
      <c r="NOT21" s="93"/>
      <c r="NOU21" s="93"/>
      <c r="NOV21" s="93"/>
      <c r="NOW21" s="93"/>
      <c r="NOX21" s="93"/>
      <c r="NOY21" s="93"/>
      <c r="NOZ21" s="93"/>
      <c r="NPA21" s="93"/>
      <c r="NPB21" s="93"/>
      <c r="NPC21" s="93"/>
      <c r="NPD21" s="93"/>
      <c r="NPE21" s="93"/>
      <c r="NPF21" s="93"/>
      <c r="NPG21" s="93"/>
      <c r="NPH21" s="93"/>
      <c r="NPI21" s="93"/>
      <c r="NPJ21" s="93"/>
      <c r="NPK21" s="93"/>
      <c r="NPL21" s="93"/>
      <c r="NPM21" s="93"/>
      <c r="NPN21" s="93"/>
      <c r="NPO21" s="93"/>
      <c r="NPP21" s="93"/>
      <c r="NPQ21" s="93"/>
      <c r="NPR21" s="93"/>
      <c r="NPS21" s="93"/>
      <c r="NPT21" s="93"/>
      <c r="NPU21" s="93"/>
      <c r="NPV21" s="93"/>
      <c r="NPW21" s="93"/>
      <c r="NPX21" s="93"/>
      <c r="NPY21" s="93"/>
      <c r="NPZ21" s="93"/>
      <c r="NQA21" s="93"/>
      <c r="NQB21" s="93"/>
      <c r="NQC21" s="93"/>
      <c r="NQD21" s="93"/>
      <c r="NQE21" s="93"/>
      <c r="NQF21" s="93"/>
      <c r="NQG21" s="93"/>
      <c r="NQH21" s="93"/>
      <c r="NQI21" s="93"/>
      <c r="NQJ21" s="93"/>
      <c r="NQK21" s="93"/>
      <c r="NQL21" s="93"/>
      <c r="NQM21" s="93"/>
      <c r="NQN21" s="93"/>
      <c r="NQO21" s="93"/>
      <c r="NQP21" s="93"/>
      <c r="NQQ21" s="93"/>
      <c r="NQR21" s="93"/>
      <c r="NQS21" s="93"/>
      <c r="NQT21" s="93"/>
      <c r="NQU21" s="93"/>
      <c r="NQV21" s="93"/>
      <c r="NQW21" s="93"/>
      <c r="NQX21" s="93"/>
      <c r="NQY21" s="93"/>
      <c r="NQZ21" s="93"/>
      <c r="NRA21" s="93"/>
      <c r="NRB21" s="93"/>
      <c r="NRC21" s="93"/>
      <c r="NRD21" s="93"/>
      <c r="NRE21" s="93"/>
      <c r="NRF21" s="93"/>
      <c r="NRG21" s="93"/>
      <c r="NRH21" s="93"/>
      <c r="NRI21" s="93"/>
      <c r="NRJ21" s="93"/>
      <c r="NRK21" s="93"/>
      <c r="NRL21" s="93"/>
      <c r="NRM21" s="93"/>
      <c r="NRN21" s="93"/>
      <c r="NRO21" s="93"/>
      <c r="NRP21" s="93"/>
      <c r="NRQ21" s="93"/>
      <c r="NRR21" s="93"/>
      <c r="NRS21" s="93"/>
      <c r="NRT21" s="93"/>
      <c r="NRU21" s="93"/>
      <c r="NRV21" s="93"/>
      <c r="NRW21" s="93"/>
      <c r="NRX21" s="93"/>
      <c r="NRY21" s="93"/>
      <c r="NRZ21" s="93"/>
      <c r="NSA21" s="93"/>
      <c r="NSB21" s="93"/>
      <c r="NSC21" s="93"/>
      <c r="NSD21" s="93"/>
      <c r="NSE21" s="93"/>
      <c r="NSF21" s="93"/>
      <c r="NSG21" s="93"/>
      <c r="NSH21" s="93"/>
      <c r="NSI21" s="93"/>
      <c r="NSJ21" s="93"/>
      <c r="NSK21" s="93"/>
      <c r="NSL21" s="93"/>
      <c r="NSM21" s="93"/>
      <c r="NSN21" s="93"/>
      <c r="NSO21" s="93"/>
      <c r="NSP21" s="93"/>
      <c r="NSQ21" s="93"/>
      <c r="NSR21" s="93"/>
      <c r="NSS21" s="93"/>
      <c r="NST21" s="93"/>
      <c r="NSU21" s="93"/>
      <c r="NSV21" s="93"/>
      <c r="NSW21" s="93"/>
      <c r="NSX21" s="93"/>
      <c r="NSY21" s="93"/>
      <c r="NSZ21" s="93"/>
      <c r="NTA21" s="93"/>
      <c r="NTB21" s="93"/>
      <c r="NTC21" s="93"/>
      <c r="NTD21" s="93"/>
      <c r="NTE21" s="93"/>
      <c r="NTF21" s="93"/>
      <c r="NTG21" s="93"/>
      <c r="NTH21" s="93"/>
      <c r="NTI21" s="93"/>
      <c r="NTJ21" s="93"/>
      <c r="NTK21" s="93"/>
      <c r="NTL21" s="93"/>
      <c r="NTM21" s="93"/>
      <c r="NTN21" s="93"/>
      <c r="NTO21" s="93"/>
      <c r="NTP21" s="93"/>
      <c r="NTQ21" s="93"/>
      <c r="NTR21" s="93"/>
      <c r="NTS21" s="93"/>
      <c r="NTT21" s="93"/>
      <c r="NTU21" s="93"/>
      <c r="NTV21" s="93"/>
      <c r="NTW21" s="93"/>
      <c r="NTX21" s="93"/>
      <c r="NTY21" s="93"/>
      <c r="NTZ21" s="93"/>
      <c r="NUA21" s="93"/>
      <c r="NUB21" s="93"/>
      <c r="NUC21" s="93"/>
      <c r="NUD21" s="93"/>
      <c r="NUE21" s="93"/>
      <c r="NUF21" s="93"/>
      <c r="NUG21" s="93"/>
      <c r="NUH21" s="93"/>
      <c r="NUI21" s="93"/>
      <c r="NUJ21" s="93"/>
      <c r="NUK21" s="93"/>
      <c r="NUL21" s="93"/>
      <c r="NUM21" s="93"/>
      <c r="NUN21" s="93"/>
      <c r="NUO21" s="93"/>
      <c r="NUP21" s="93"/>
      <c r="NUQ21" s="93"/>
      <c r="NUR21" s="93"/>
      <c r="NUS21" s="93"/>
      <c r="NUT21" s="93"/>
      <c r="NUU21" s="93"/>
      <c r="NUV21" s="93"/>
      <c r="NUW21" s="93"/>
      <c r="NUX21" s="93"/>
      <c r="NUY21" s="93"/>
      <c r="NUZ21" s="93"/>
      <c r="NVA21" s="93"/>
      <c r="NVB21" s="93"/>
      <c r="NVC21" s="93"/>
      <c r="NVD21" s="93"/>
      <c r="NVE21" s="93"/>
      <c r="NVF21" s="93"/>
      <c r="NVG21" s="93"/>
      <c r="NVH21" s="93"/>
      <c r="NVI21" s="93"/>
      <c r="NVJ21" s="93"/>
      <c r="NVK21" s="93"/>
      <c r="NVL21" s="93"/>
      <c r="NVM21" s="93"/>
      <c r="NVN21" s="93"/>
      <c r="NVO21" s="93"/>
      <c r="NVP21" s="93"/>
      <c r="NVQ21" s="93"/>
      <c r="NVR21" s="93"/>
      <c r="NVS21" s="93"/>
      <c r="NVT21" s="93"/>
      <c r="NVU21" s="93"/>
      <c r="NVV21" s="93"/>
      <c r="NVW21" s="93"/>
      <c r="NVX21" s="93"/>
      <c r="NVY21" s="93"/>
      <c r="NVZ21" s="93"/>
      <c r="NWA21" s="93"/>
      <c r="NWB21" s="93"/>
      <c r="NWC21" s="93"/>
      <c r="NWD21" s="93"/>
      <c r="NWE21" s="93"/>
      <c r="NWF21" s="93"/>
      <c r="NWG21" s="93"/>
      <c r="NWH21" s="93"/>
      <c r="NWI21" s="93"/>
      <c r="NWJ21" s="93"/>
      <c r="NWK21" s="93"/>
      <c r="NWL21" s="93"/>
      <c r="NWM21" s="93"/>
      <c r="NWN21" s="93"/>
      <c r="NWO21" s="93"/>
      <c r="NWP21" s="93"/>
      <c r="NWQ21" s="93"/>
      <c r="NWR21" s="93"/>
      <c r="NWS21" s="93"/>
      <c r="NWT21" s="93"/>
      <c r="NWU21" s="93"/>
      <c r="NWV21" s="93"/>
      <c r="NWW21" s="93"/>
      <c r="NWX21" s="93"/>
      <c r="NWY21" s="93"/>
      <c r="NWZ21" s="93"/>
      <c r="NXA21" s="93"/>
      <c r="NXB21" s="93"/>
      <c r="NXC21" s="93"/>
      <c r="NXD21" s="93"/>
      <c r="NXE21" s="93"/>
      <c r="NXF21" s="93"/>
      <c r="NXG21" s="93"/>
      <c r="NXH21" s="93"/>
      <c r="NXI21" s="93"/>
      <c r="NXJ21" s="93"/>
      <c r="NXK21" s="93"/>
      <c r="NXL21" s="93"/>
      <c r="NXM21" s="93"/>
      <c r="NXN21" s="93"/>
      <c r="NXO21" s="93"/>
      <c r="NXP21" s="93"/>
      <c r="NXQ21" s="93"/>
      <c r="NXR21" s="93"/>
      <c r="NXS21" s="93"/>
      <c r="NXT21" s="93"/>
      <c r="NXU21" s="93"/>
      <c r="NXV21" s="93"/>
      <c r="NXW21" s="93"/>
      <c r="NXX21" s="93"/>
      <c r="NXY21" s="93"/>
      <c r="NXZ21" s="93"/>
      <c r="NYA21" s="93"/>
      <c r="NYB21" s="93"/>
      <c r="NYC21" s="93"/>
      <c r="NYD21" s="93"/>
      <c r="NYE21" s="93"/>
      <c r="NYF21" s="93"/>
      <c r="NYG21" s="93"/>
      <c r="NYH21" s="93"/>
      <c r="NYI21" s="93"/>
      <c r="NYJ21" s="93"/>
      <c r="NYK21" s="93"/>
      <c r="NYL21" s="93"/>
      <c r="NYM21" s="93"/>
      <c r="NYN21" s="93"/>
      <c r="NYO21" s="93"/>
      <c r="NYP21" s="93"/>
      <c r="NYQ21" s="93"/>
      <c r="NYR21" s="93"/>
      <c r="NYS21" s="93"/>
      <c r="NYT21" s="93"/>
      <c r="NYU21" s="93"/>
      <c r="NYV21" s="93"/>
      <c r="NYW21" s="93"/>
      <c r="NYX21" s="93"/>
      <c r="NYY21" s="93"/>
      <c r="NYZ21" s="93"/>
      <c r="NZA21" s="93"/>
      <c r="NZB21" s="93"/>
      <c r="NZC21" s="93"/>
      <c r="NZD21" s="93"/>
      <c r="NZE21" s="93"/>
      <c r="NZF21" s="93"/>
      <c r="NZG21" s="93"/>
      <c r="NZH21" s="93"/>
      <c r="NZI21" s="93"/>
      <c r="NZJ21" s="93"/>
      <c r="NZK21" s="93"/>
      <c r="NZL21" s="93"/>
      <c r="NZM21" s="93"/>
      <c r="NZN21" s="93"/>
      <c r="NZO21" s="93"/>
      <c r="NZP21" s="93"/>
      <c r="NZQ21" s="93"/>
      <c r="NZR21" s="93"/>
      <c r="NZS21" s="93"/>
      <c r="NZT21" s="93"/>
      <c r="NZU21" s="93"/>
      <c r="NZV21" s="93"/>
      <c r="NZW21" s="93"/>
      <c r="NZX21" s="93"/>
      <c r="NZY21" s="93"/>
      <c r="NZZ21" s="93"/>
      <c r="OAA21" s="93"/>
      <c r="OAB21" s="93"/>
      <c r="OAC21" s="93"/>
      <c r="OAD21" s="93"/>
      <c r="OAE21" s="93"/>
      <c r="OAF21" s="93"/>
      <c r="OAG21" s="93"/>
      <c r="OAH21" s="93"/>
      <c r="OAI21" s="93"/>
      <c r="OAJ21" s="93"/>
      <c r="OAK21" s="93"/>
      <c r="OAL21" s="93"/>
      <c r="OAM21" s="93"/>
      <c r="OAN21" s="93"/>
      <c r="OAO21" s="93"/>
      <c r="OAP21" s="93"/>
      <c r="OAQ21" s="93"/>
      <c r="OAR21" s="93"/>
      <c r="OAS21" s="93"/>
      <c r="OAT21" s="93"/>
      <c r="OAU21" s="93"/>
      <c r="OAV21" s="93"/>
      <c r="OAW21" s="93"/>
      <c r="OAX21" s="93"/>
      <c r="OAY21" s="93"/>
      <c r="OAZ21" s="93"/>
      <c r="OBA21" s="93"/>
      <c r="OBB21" s="93"/>
      <c r="OBC21" s="93"/>
      <c r="OBD21" s="93"/>
      <c r="OBE21" s="93"/>
      <c r="OBF21" s="93"/>
      <c r="OBG21" s="93"/>
      <c r="OBH21" s="93"/>
      <c r="OBI21" s="93"/>
      <c r="OBJ21" s="93"/>
      <c r="OBK21" s="93"/>
      <c r="OBL21" s="93"/>
      <c r="OBM21" s="93"/>
      <c r="OBN21" s="93"/>
      <c r="OBO21" s="93"/>
      <c r="OBP21" s="93"/>
      <c r="OBQ21" s="93"/>
      <c r="OBR21" s="93"/>
      <c r="OBS21" s="93"/>
      <c r="OBT21" s="93"/>
      <c r="OBU21" s="93"/>
      <c r="OBV21" s="93"/>
      <c r="OBW21" s="93"/>
      <c r="OBX21" s="93"/>
      <c r="OBY21" s="93"/>
      <c r="OBZ21" s="93"/>
      <c r="OCA21" s="93"/>
      <c r="OCB21" s="93"/>
      <c r="OCC21" s="93"/>
      <c r="OCD21" s="93"/>
      <c r="OCE21" s="93"/>
      <c r="OCF21" s="93"/>
      <c r="OCG21" s="93"/>
      <c r="OCH21" s="93"/>
      <c r="OCI21" s="93"/>
      <c r="OCJ21" s="93"/>
      <c r="OCK21" s="93"/>
      <c r="OCL21" s="93"/>
      <c r="OCM21" s="93"/>
      <c r="OCN21" s="93"/>
      <c r="OCO21" s="93"/>
      <c r="OCP21" s="93"/>
      <c r="OCQ21" s="93"/>
      <c r="OCR21" s="93"/>
      <c r="OCS21" s="93"/>
      <c r="OCT21" s="93"/>
      <c r="OCU21" s="93"/>
      <c r="OCV21" s="93"/>
      <c r="OCW21" s="93"/>
      <c r="OCX21" s="93"/>
      <c r="OCY21" s="93"/>
      <c r="OCZ21" s="93"/>
      <c r="ODA21" s="93"/>
      <c r="ODB21" s="93"/>
      <c r="ODC21" s="93"/>
      <c r="ODD21" s="93"/>
      <c r="ODE21" s="93"/>
      <c r="ODF21" s="93"/>
      <c r="ODG21" s="93"/>
      <c r="ODH21" s="93"/>
      <c r="ODI21" s="93"/>
      <c r="ODJ21" s="93"/>
      <c r="ODK21" s="93"/>
      <c r="ODL21" s="93"/>
      <c r="ODM21" s="93"/>
      <c r="ODN21" s="93"/>
      <c r="ODO21" s="93"/>
      <c r="ODP21" s="93"/>
      <c r="ODQ21" s="93"/>
      <c r="ODR21" s="93"/>
      <c r="ODS21" s="93"/>
      <c r="ODT21" s="93"/>
      <c r="ODU21" s="93"/>
      <c r="ODV21" s="93"/>
      <c r="ODW21" s="93"/>
      <c r="ODX21" s="93"/>
      <c r="ODY21" s="93"/>
      <c r="ODZ21" s="93"/>
      <c r="OEA21" s="93"/>
      <c r="OEB21" s="93"/>
      <c r="OEC21" s="93"/>
      <c r="OED21" s="93"/>
      <c r="OEE21" s="93"/>
      <c r="OEF21" s="93"/>
      <c r="OEG21" s="93"/>
      <c r="OEH21" s="93"/>
      <c r="OEI21" s="93"/>
      <c r="OEJ21" s="93"/>
      <c r="OEK21" s="93"/>
      <c r="OEL21" s="93"/>
      <c r="OEM21" s="93"/>
      <c r="OEN21" s="93"/>
      <c r="OEO21" s="93"/>
      <c r="OEP21" s="93"/>
      <c r="OEQ21" s="93"/>
      <c r="OER21" s="93"/>
      <c r="OES21" s="93"/>
      <c r="OET21" s="93"/>
      <c r="OEU21" s="93"/>
      <c r="OEV21" s="93"/>
      <c r="OEW21" s="93"/>
      <c r="OEX21" s="93"/>
      <c r="OEY21" s="93"/>
      <c r="OEZ21" s="93"/>
      <c r="OFA21" s="93"/>
      <c r="OFB21" s="93"/>
      <c r="OFC21" s="93"/>
      <c r="OFD21" s="93"/>
      <c r="OFE21" s="93"/>
      <c r="OFF21" s="93"/>
      <c r="OFG21" s="93"/>
      <c r="OFH21" s="93"/>
      <c r="OFI21" s="93"/>
      <c r="OFJ21" s="93"/>
      <c r="OFK21" s="93"/>
      <c r="OFL21" s="93"/>
      <c r="OFM21" s="93"/>
      <c r="OFN21" s="93"/>
      <c r="OFO21" s="93"/>
      <c r="OFP21" s="93"/>
      <c r="OFQ21" s="93"/>
      <c r="OFR21" s="93"/>
      <c r="OFS21" s="93"/>
      <c r="OFT21" s="93"/>
      <c r="OFU21" s="93"/>
      <c r="OFV21" s="93"/>
      <c r="OFW21" s="93"/>
      <c r="OFX21" s="93"/>
      <c r="OFY21" s="93"/>
      <c r="OFZ21" s="93"/>
      <c r="OGA21" s="93"/>
      <c r="OGB21" s="93"/>
      <c r="OGC21" s="93"/>
      <c r="OGD21" s="93"/>
      <c r="OGE21" s="93"/>
      <c r="OGF21" s="93"/>
      <c r="OGG21" s="93"/>
      <c r="OGH21" s="93"/>
      <c r="OGI21" s="93"/>
      <c r="OGJ21" s="93"/>
      <c r="OGK21" s="93"/>
      <c r="OGL21" s="93"/>
      <c r="OGM21" s="93"/>
      <c r="OGN21" s="93"/>
      <c r="OGO21" s="93"/>
      <c r="OGP21" s="93"/>
      <c r="OGQ21" s="93"/>
      <c r="OGR21" s="93"/>
      <c r="OGS21" s="93"/>
      <c r="OGT21" s="93"/>
      <c r="OGU21" s="93"/>
      <c r="OGV21" s="93"/>
      <c r="OGW21" s="93"/>
      <c r="OGX21" s="93"/>
      <c r="OGY21" s="93"/>
      <c r="OGZ21" s="93"/>
      <c r="OHA21" s="93"/>
      <c r="OHB21" s="93"/>
      <c r="OHC21" s="93"/>
      <c r="OHD21" s="93"/>
      <c r="OHE21" s="93"/>
      <c r="OHF21" s="93"/>
      <c r="OHG21" s="93"/>
      <c r="OHH21" s="93"/>
      <c r="OHI21" s="93"/>
      <c r="OHJ21" s="93"/>
      <c r="OHK21" s="93"/>
      <c r="OHL21" s="93"/>
      <c r="OHM21" s="93"/>
      <c r="OHN21" s="93"/>
      <c r="OHO21" s="93"/>
      <c r="OHP21" s="93"/>
      <c r="OHQ21" s="93"/>
      <c r="OHR21" s="93"/>
      <c r="OHS21" s="93"/>
      <c r="OHT21" s="93"/>
      <c r="OHU21" s="93"/>
      <c r="OHV21" s="93"/>
      <c r="OHW21" s="93"/>
      <c r="OHX21" s="93"/>
      <c r="OHY21" s="93"/>
      <c r="OHZ21" s="93"/>
      <c r="OIA21" s="93"/>
      <c r="OIB21" s="93"/>
      <c r="OIC21" s="93"/>
      <c r="OID21" s="93"/>
      <c r="OIE21" s="93"/>
      <c r="OIF21" s="93"/>
      <c r="OIG21" s="93"/>
      <c r="OIH21" s="93"/>
      <c r="OII21" s="93"/>
      <c r="OIJ21" s="93"/>
      <c r="OIK21" s="93"/>
      <c r="OIL21" s="93"/>
      <c r="OIM21" s="93"/>
      <c r="OIN21" s="93"/>
      <c r="OIO21" s="93"/>
      <c r="OIP21" s="93"/>
      <c r="OIQ21" s="93"/>
      <c r="OIR21" s="93"/>
      <c r="OIS21" s="93"/>
      <c r="OIT21" s="93"/>
      <c r="OIU21" s="93"/>
      <c r="OIV21" s="93"/>
      <c r="OIW21" s="93"/>
      <c r="OIX21" s="93"/>
      <c r="OIY21" s="93"/>
      <c r="OIZ21" s="93"/>
      <c r="OJA21" s="93"/>
      <c r="OJB21" s="93"/>
      <c r="OJC21" s="93"/>
      <c r="OJD21" s="93"/>
      <c r="OJE21" s="93"/>
      <c r="OJF21" s="93"/>
      <c r="OJG21" s="93"/>
      <c r="OJH21" s="93"/>
      <c r="OJI21" s="93"/>
      <c r="OJJ21" s="93"/>
      <c r="OJK21" s="93"/>
      <c r="OJL21" s="93"/>
      <c r="OJM21" s="93"/>
      <c r="OJN21" s="93"/>
      <c r="OJO21" s="93"/>
      <c r="OJP21" s="93"/>
      <c r="OJQ21" s="93"/>
      <c r="OJR21" s="93"/>
      <c r="OJS21" s="93"/>
      <c r="OJT21" s="93"/>
      <c r="OJU21" s="93"/>
      <c r="OJV21" s="93"/>
      <c r="OJW21" s="93"/>
      <c r="OJX21" s="93"/>
      <c r="OJY21" s="93"/>
      <c r="OJZ21" s="93"/>
      <c r="OKA21" s="93"/>
      <c r="OKB21" s="93"/>
      <c r="OKC21" s="93"/>
      <c r="OKD21" s="93"/>
      <c r="OKE21" s="93"/>
      <c r="OKF21" s="93"/>
      <c r="OKG21" s="93"/>
      <c r="OKH21" s="93"/>
      <c r="OKI21" s="93"/>
      <c r="OKJ21" s="93"/>
      <c r="OKK21" s="93"/>
      <c r="OKL21" s="93"/>
      <c r="OKM21" s="93"/>
      <c r="OKN21" s="93"/>
      <c r="OKO21" s="93"/>
      <c r="OKP21" s="93"/>
      <c r="OKQ21" s="93"/>
      <c r="OKR21" s="93"/>
      <c r="OKS21" s="93"/>
      <c r="OKT21" s="93"/>
      <c r="OKU21" s="93"/>
      <c r="OKV21" s="93"/>
      <c r="OKW21" s="93"/>
      <c r="OKX21" s="93"/>
      <c r="OKY21" s="93"/>
      <c r="OKZ21" s="93"/>
      <c r="OLA21" s="93"/>
      <c r="OLB21" s="93"/>
      <c r="OLC21" s="93"/>
      <c r="OLD21" s="93"/>
      <c r="OLE21" s="93"/>
      <c r="OLF21" s="93"/>
      <c r="OLG21" s="93"/>
      <c r="OLH21" s="93"/>
      <c r="OLI21" s="93"/>
      <c r="OLJ21" s="93"/>
      <c r="OLK21" s="93"/>
      <c r="OLL21" s="93"/>
      <c r="OLM21" s="93"/>
      <c r="OLN21" s="93"/>
      <c r="OLO21" s="93"/>
      <c r="OLP21" s="93"/>
      <c r="OLQ21" s="93"/>
      <c r="OLR21" s="93"/>
      <c r="OLS21" s="93"/>
      <c r="OLT21" s="93"/>
      <c r="OLU21" s="93"/>
      <c r="OLV21" s="93"/>
      <c r="OLW21" s="93"/>
      <c r="OLX21" s="93"/>
      <c r="OLY21" s="93"/>
      <c r="OLZ21" s="93"/>
      <c r="OMA21" s="93"/>
      <c r="OMB21" s="93"/>
      <c r="OMC21" s="93"/>
      <c r="OMD21" s="93"/>
      <c r="OME21" s="93"/>
      <c r="OMF21" s="93"/>
      <c r="OMG21" s="93"/>
      <c r="OMH21" s="93"/>
      <c r="OMI21" s="93"/>
      <c r="OMJ21" s="93"/>
      <c r="OMK21" s="93"/>
      <c r="OML21" s="93"/>
      <c r="OMM21" s="93"/>
      <c r="OMN21" s="93"/>
      <c r="OMO21" s="93"/>
      <c r="OMP21" s="93"/>
      <c r="OMQ21" s="93"/>
      <c r="OMR21" s="93"/>
      <c r="OMS21" s="93"/>
      <c r="OMT21" s="93"/>
      <c r="OMU21" s="93"/>
      <c r="OMV21" s="93"/>
      <c r="OMW21" s="93"/>
      <c r="OMX21" s="93"/>
      <c r="OMY21" s="93"/>
      <c r="OMZ21" s="93"/>
      <c r="ONA21" s="93"/>
      <c r="ONB21" s="93"/>
      <c r="ONC21" s="93"/>
      <c r="OND21" s="93"/>
      <c r="ONE21" s="93"/>
      <c r="ONF21" s="93"/>
      <c r="ONG21" s="93"/>
      <c r="ONH21" s="93"/>
      <c r="ONI21" s="93"/>
      <c r="ONJ21" s="93"/>
      <c r="ONK21" s="93"/>
      <c r="ONL21" s="93"/>
      <c r="ONM21" s="93"/>
      <c r="ONN21" s="93"/>
      <c r="ONO21" s="93"/>
      <c r="ONP21" s="93"/>
      <c r="ONQ21" s="93"/>
      <c r="ONR21" s="93"/>
      <c r="ONS21" s="93"/>
      <c r="ONT21" s="93"/>
      <c r="ONU21" s="93"/>
      <c r="ONV21" s="93"/>
      <c r="ONW21" s="93"/>
      <c r="ONX21" s="93"/>
      <c r="ONY21" s="93"/>
      <c r="ONZ21" s="93"/>
      <c r="OOA21" s="93"/>
      <c r="OOB21" s="93"/>
      <c r="OOC21" s="93"/>
      <c r="OOD21" s="93"/>
      <c r="OOE21" s="93"/>
      <c r="OOF21" s="93"/>
      <c r="OOG21" s="93"/>
      <c r="OOH21" s="93"/>
      <c r="OOI21" s="93"/>
      <c r="OOJ21" s="93"/>
      <c r="OOK21" s="93"/>
      <c r="OOL21" s="93"/>
      <c r="OOM21" s="93"/>
      <c r="OON21" s="93"/>
      <c r="OOO21" s="93"/>
      <c r="OOP21" s="93"/>
      <c r="OOQ21" s="93"/>
      <c r="OOR21" s="93"/>
      <c r="OOS21" s="93"/>
      <c r="OOT21" s="93"/>
      <c r="OOU21" s="93"/>
      <c r="OOV21" s="93"/>
      <c r="OOW21" s="93"/>
      <c r="OOX21" s="93"/>
      <c r="OOY21" s="93"/>
      <c r="OOZ21" s="93"/>
      <c r="OPA21" s="93"/>
      <c r="OPB21" s="93"/>
      <c r="OPC21" s="93"/>
      <c r="OPD21" s="93"/>
      <c r="OPE21" s="93"/>
      <c r="OPF21" s="93"/>
      <c r="OPG21" s="93"/>
      <c r="OPH21" s="93"/>
      <c r="OPI21" s="93"/>
      <c r="OPJ21" s="93"/>
      <c r="OPK21" s="93"/>
      <c r="OPL21" s="93"/>
      <c r="OPM21" s="93"/>
      <c r="OPN21" s="93"/>
      <c r="OPO21" s="93"/>
      <c r="OPP21" s="93"/>
      <c r="OPQ21" s="93"/>
      <c r="OPR21" s="93"/>
      <c r="OPS21" s="93"/>
      <c r="OPT21" s="93"/>
      <c r="OPU21" s="93"/>
      <c r="OPV21" s="93"/>
      <c r="OPW21" s="93"/>
      <c r="OPX21" s="93"/>
      <c r="OPY21" s="93"/>
      <c r="OPZ21" s="93"/>
      <c r="OQA21" s="93"/>
      <c r="OQB21" s="93"/>
      <c r="OQC21" s="93"/>
      <c r="OQD21" s="93"/>
      <c r="OQE21" s="93"/>
      <c r="OQF21" s="93"/>
      <c r="OQG21" s="93"/>
      <c r="OQH21" s="93"/>
      <c r="OQI21" s="93"/>
      <c r="OQJ21" s="93"/>
      <c r="OQK21" s="93"/>
      <c r="OQL21" s="93"/>
      <c r="OQM21" s="93"/>
      <c r="OQN21" s="93"/>
      <c r="OQO21" s="93"/>
      <c r="OQP21" s="93"/>
      <c r="OQQ21" s="93"/>
      <c r="OQR21" s="93"/>
      <c r="OQS21" s="93"/>
      <c r="OQT21" s="93"/>
      <c r="OQU21" s="93"/>
      <c r="OQV21" s="93"/>
      <c r="OQW21" s="93"/>
      <c r="OQX21" s="93"/>
      <c r="OQY21" s="93"/>
      <c r="OQZ21" s="93"/>
      <c r="ORA21" s="93"/>
      <c r="ORB21" s="93"/>
      <c r="ORC21" s="93"/>
      <c r="ORD21" s="93"/>
      <c r="ORE21" s="93"/>
      <c r="ORF21" s="93"/>
      <c r="ORG21" s="93"/>
      <c r="ORH21" s="93"/>
      <c r="ORI21" s="93"/>
      <c r="ORJ21" s="93"/>
      <c r="ORK21" s="93"/>
      <c r="ORL21" s="93"/>
      <c r="ORM21" s="93"/>
      <c r="ORN21" s="93"/>
      <c r="ORO21" s="93"/>
      <c r="ORP21" s="93"/>
      <c r="ORQ21" s="93"/>
      <c r="ORR21" s="93"/>
      <c r="ORS21" s="93"/>
      <c r="ORT21" s="93"/>
      <c r="ORU21" s="93"/>
      <c r="ORV21" s="93"/>
      <c r="ORW21" s="93"/>
      <c r="ORX21" s="93"/>
      <c r="ORY21" s="93"/>
      <c r="ORZ21" s="93"/>
      <c r="OSA21" s="93"/>
      <c r="OSB21" s="93"/>
      <c r="OSC21" s="93"/>
      <c r="OSD21" s="93"/>
      <c r="OSE21" s="93"/>
      <c r="OSF21" s="93"/>
      <c r="OSG21" s="93"/>
      <c r="OSH21" s="93"/>
      <c r="OSI21" s="93"/>
      <c r="OSJ21" s="93"/>
      <c r="OSK21" s="93"/>
      <c r="OSL21" s="93"/>
      <c r="OSM21" s="93"/>
      <c r="OSN21" s="93"/>
      <c r="OSO21" s="93"/>
      <c r="OSP21" s="93"/>
      <c r="OSQ21" s="93"/>
      <c r="OSR21" s="93"/>
      <c r="OSS21" s="93"/>
      <c r="OST21" s="93"/>
      <c r="OSU21" s="93"/>
      <c r="OSV21" s="93"/>
      <c r="OSW21" s="93"/>
      <c r="OSX21" s="93"/>
      <c r="OSY21" s="93"/>
      <c r="OSZ21" s="93"/>
      <c r="OTA21" s="93"/>
      <c r="OTB21" s="93"/>
      <c r="OTC21" s="93"/>
      <c r="OTD21" s="93"/>
      <c r="OTE21" s="93"/>
      <c r="OTF21" s="93"/>
      <c r="OTG21" s="93"/>
      <c r="OTH21" s="93"/>
      <c r="OTI21" s="93"/>
      <c r="OTJ21" s="93"/>
      <c r="OTK21" s="93"/>
      <c r="OTL21" s="93"/>
      <c r="OTM21" s="93"/>
      <c r="OTN21" s="93"/>
      <c r="OTO21" s="93"/>
      <c r="OTP21" s="93"/>
      <c r="OTQ21" s="93"/>
      <c r="OTR21" s="93"/>
      <c r="OTS21" s="93"/>
      <c r="OTT21" s="93"/>
      <c r="OTU21" s="93"/>
      <c r="OTV21" s="93"/>
      <c r="OTW21" s="93"/>
      <c r="OTX21" s="93"/>
      <c r="OTY21" s="93"/>
      <c r="OTZ21" s="93"/>
      <c r="OUA21" s="93"/>
      <c r="OUB21" s="93"/>
      <c r="OUC21" s="93"/>
      <c r="OUD21" s="93"/>
      <c r="OUE21" s="93"/>
      <c r="OUF21" s="93"/>
      <c r="OUG21" s="93"/>
      <c r="OUH21" s="93"/>
      <c r="OUI21" s="93"/>
      <c r="OUJ21" s="93"/>
      <c r="OUK21" s="93"/>
      <c r="OUL21" s="93"/>
      <c r="OUM21" s="93"/>
      <c r="OUN21" s="93"/>
      <c r="OUO21" s="93"/>
      <c r="OUP21" s="93"/>
      <c r="OUQ21" s="93"/>
      <c r="OUR21" s="93"/>
      <c r="OUS21" s="93"/>
      <c r="OUT21" s="93"/>
      <c r="OUU21" s="93"/>
      <c r="OUV21" s="93"/>
      <c r="OUW21" s="93"/>
      <c r="OUX21" s="93"/>
      <c r="OUY21" s="93"/>
      <c r="OUZ21" s="93"/>
      <c r="OVA21" s="93"/>
      <c r="OVB21" s="93"/>
      <c r="OVC21" s="93"/>
      <c r="OVD21" s="93"/>
      <c r="OVE21" s="93"/>
      <c r="OVF21" s="93"/>
      <c r="OVG21" s="93"/>
      <c r="OVH21" s="93"/>
      <c r="OVI21" s="93"/>
      <c r="OVJ21" s="93"/>
      <c r="OVK21" s="93"/>
      <c r="OVL21" s="93"/>
      <c r="OVM21" s="93"/>
      <c r="OVN21" s="93"/>
      <c r="OVO21" s="93"/>
      <c r="OVP21" s="93"/>
      <c r="OVQ21" s="93"/>
      <c r="OVR21" s="93"/>
      <c r="OVS21" s="93"/>
      <c r="OVT21" s="93"/>
      <c r="OVU21" s="93"/>
      <c r="OVV21" s="93"/>
      <c r="OVW21" s="93"/>
      <c r="OVX21" s="93"/>
      <c r="OVY21" s="93"/>
      <c r="OVZ21" s="93"/>
      <c r="OWA21" s="93"/>
      <c r="OWB21" s="93"/>
      <c r="OWC21" s="93"/>
      <c r="OWD21" s="93"/>
      <c r="OWE21" s="93"/>
      <c r="OWF21" s="93"/>
      <c r="OWG21" s="93"/>
      <c r="OWH21" s="93"/>
      <c r="OWI21" s="93"/>
      <c r="OWJ21" s="93"/>
      <c r="OWK21" s="93"/>
      <c r="OWL21" s="93"/>
      <c r="OWM21" s="93"/>
      <c r="OWN21" s="93"/>
      <c r="OWO21" s="93"/>
      <c r="OWP21" s="93"/>
      <c r="OWQ21" s="93"/>
      <c r="OWR21" s="93"/>
      <c r="OWS21" s="93"/>
      <c r="OWT21" s="93"/>
      <c r="OWU21" s="93"/>
      <c r="OWV21" s="93"/>
      <c r="OWW21" s="93"/>
      <c r="OWX21" s="93"/>
      <c r="OWY21" s="93"/>
      <c r="OWZ21" s="93"/>
      <c r="OXA21" s="93"/>
      <c r="OXB21" s="93"/>
      <c r="OXC21" s="93"/>
      <c r="OXD21" s="93"/>
      <c r="OXE21" s="93"/>
      <c r="OXF21" s="93"/>
      <c r="OXG21" s="93"/>
      <c r="OXH21" s="93"/>
      <c r="OXI21" s="93"/>
      <c r="OXJ21" s="93"/>
      <c r="OXK21" s="93"/>
      <c r="OXL21" s="93"/>
      <c r="OXM21" s="93"/>
      <c r="OXN21" s="93"/>
      <c r="OXO21" s="93"/>
      <c r="OXP21" s="93"/>
      <c r="OXQ21" s="93"/>
      <c r="OXR21" s="93"/>
      <c r="OXS21" s="93"/>
      <c r="OXT21" s="93"/>
      <c r="OXU21" s="93"/>
      <c r="OXV21" s="93"/>
      <c r="OXW21" s="93"/>
      <c r="OXX21" s="93"/>
      <c r="OXY21" s="93"/>
      <c r="OXZ21" s="93"/>
      <c r="OYA21" s="93"/>
      <c r="OYB21" s="93"/>
      <c r="OYC21" s="93"/>
      <c r="OYD21" s="93"/>
      <c r="OYE21" s="93"/>
      <c r="OYF21" s="93"/>
      <c r="OYG21" s="93"/>
      <c r="OYH21" s="93"/>
      <c r="OYI21" s="93"/>
      <c r="OYJ21" s="93"/>
      <c r="OYK21" s="93"/>
      <c r="OYL21" s="93"/>
      <c r="OYM21" s="93"/>
      <c r="OYN21" s="93"/>
      <c r="OYO21" s="93"/>
      <c r="OYP21" s="93"/>
      <c r="OYQ21" s="93"/>
      <c r="OYR21" s="93"/>
      <c r="OYS21" s="93"/>
      <c r="OYT21" s="93"/>
      <c r="OYU21" s="93"/>
      <c r="OYV21" s="93"/>
      <c r="OYW21" s="93"/>
      <c r="OYX21" s="93"/>
      <c r="OYY21" s="93"/>
      <c r="OYZ21" s="93"/>
      <c r="OZA21" s="93"/>
      <c r="OZB21" s="93"/>
      <c r="OZC21" s="93"/>
      <c r="OZD21" s="93"/>
      <c r="OZE21" s="93"/>
      <c r="OZF21" s="93"/>
      <c r="OZG21" s="93"/>
      <c r="OZH21" s="93"/>
      <c r="OZI21" s="93"/>
      <c r="OZJ21" s="93"/>
      <c r="OZK21" s="93"/>
      <c r="OZL21" s="93"/>
      <c r="OZM21" s="93"/>
      <c r="OZN21" s="93"/>
      <c r="OZO21" s="93"/>
      <c r="OZP21" s="93"/>
      <c r="OZQ21" s="93"/>
      <c r="OZR21" s="93"/>
      <c r="OZS21" s="93"/>
      <c r="OZT21" s="93"/>
      <c r="OZU21" s="93"/>
      <c r="OZV21" s="93"/>
      <c r="OZW21" s="93"/>
      <c r="OZX21" s="93"/>
      <c r="OZY21" s="93"/>
      <c r="OZZ21" s="93"/>
      <c r="PAA21" s="93"/>
      <c r="PAB21" s="93"/>
      <c r="PAC21" s="93"/>
      <c r="PAD21" s="93"/>
      <c r="PAE21" s="93"/>
      <c r="PAF21" s="93"/>
      <c r="PAG21" s="93"/>
      <c r="PAH21" s="93"/>
      <c r="PAI21" s="93"/>
      <c r="PAJ21" s="93"/>
      <c r="PAK21" s="93"/>
      <c r="PAL21" s="93"/>
      <c r="PAM21" s="93"/>
      <c r="PAN21" s="93"/>
      <c r="PAO21" s="93"/>
      <c r="PAP21" s="93"/>
      <c r="PAQ21" s="93"/>
      <c r="PAR21" s="93"/>
      <c r="PAS21" s="93"/>
      <c r="PAT21" s="93"/>
      <c r="PAU21" s="93"/>
      <c r="PAV21" s="93"/>
      <c r="PAW21" s="93"/>
      <c r="PAX21" s="93"/>
      <c r="PAY21" s="93"/>
      <c r="PAZ21" s="93"/>
      <c r="PBA21" s="93"/>
      <c r="PBB21" s="93"/>
      <c r="PBC21" s="93"/>
      <c r="PBD21" s="93"/>
      <c r="PBE21" s="93"/>
      <c r="PBF21" s="93"/>
      <c r="PBG21" s="93"/>
      <c r="PBH21" s="93"/>
      <c r="PBI21" s="93"/>
      <c r="PBJ21" s="93"/>
      <c r="PBK21" s="93"/>
      <c r="PBL21" s="93"/>
      <c r="PBM21" s="93"/>
      <c r="PBN21" s="93"/>
      <c r="PBO21" s="93"/>
      <c r="PBP21" s="93"/>
      <c r="PBQ21" s="93"/>
      <c r="PBR21" s="93"/>
      <c r="PBS21" s="93"/>
      <c r="PBT21" s="93"/>
      <c r="PBU21" s="93"/>
      <c r="PBV21" s="93"/>
      <c r="PBW21" s="93"/>
      <c r="PBX21" s="93"/>
      <c r="PBY21" s="93"/>
      <c r="PBZ21" s="93"/>
      <c r="PCA21" s="93"/>
      <c r="PCB21" s="93"/>
      <c r="PCC21" s="93"/>
      <c r="PCD21" s="93"/>
      <c r="PCE21" s="93"/>
      <c r="PCF21" s="93"/>
      <c r="PCG21" s="93"/>
      <c r="PCH21" s="93"/>
      <c r="PCI21" s="93"/>
      <c r="PCJ21" s="93"/>
      <c r="PCK21" s="93"/>
      <c r="PCL21" s="93"/>
      <c r="PCM21" s="93"/>
      <c r="PCN21" s="93"/>
      <c r="PCO21" s="93"/>
      <c r="PCP21" s="93"/>
      <c r="PCQ21" s="93"/>
      <c r="PCR21" s="93"/>
      <c r="PCS21" s="93"/>
      <c r="PCT21" s="93"/>
      <c r="PCU21" s="93"/>
      <c r="PCV21" s="93"/>
      <c r="PCW21" s="93"/>
      <c r="PCX21" s="93"/>
      <c r="PCY21" s="93"/>
      <c r="PCZ21" s="93"/>
      <c r="PDA21" s="93"/>
      <c r="PDB21" s="93"/>
      <c r="PDC21" s="93"/>
      <c r="PDD21" s="93"/>
      <c r="PDE21" s="93"/>
      <c r="PDF21" s="93"/>
      <c r="PDG21" s="93"/>
      <c r="PDH21" s="93"/>
      <c r="PDI21" s="93"/>
      <c r="PDJ21" s="93"/>
      <c r="PDK21" s="93"/>
      <c r="PDL21" s="93"/>
      <c r="PDM21" s="93"/>
      <c r="PDN21" s="93"/>
      <c r="PDO21" s="93"/>
      <c r="PDP21" s="93"/>
      <c r="PDQ21" s="93"/>
      <c r="PDR21" s="93"/>
      <c r="PDS21" s="93"/>
      <c r="PDT21" s="93"/>
      <c r="PDU21" s="93"/>
      <c r="PDV21" s="93"/>
      <c r="PDW21" s="93"/>
      <c r="PDX21" s="93"/>
      <c r="PDY21" s="93"/>
      <c r="PDZ21" s="93"/>
      <c r="PEA21" s="93"/>
      <c r="PEB21" s="93"/>
      <c r="PEC21" s="93"/>
      <c r="PED21" s="93"/>
      <c r="PEE21" s="93"/>
      <c r="PEF21" s="93"/>
      <c r="PEG21" s="93"/>
      <c r="PEH21" s="93"/>
      <c r="PEI21" s="93"/>
      <c r="PEJ21" s="93"/>
      <c r="PEK21" s="93"/>
      <c r="PEL21" s="93"/>
      <c r="PEM21" s="93"/>
      <c r="PEN21" s="93"/>
      <c r="PEO21" s="93"/>
      <c r="PEP21" s="93"/>
      <c r="PEQ21" s="93"/>
      <c r="PER21" s="93"/>
      <c r="PES21" s="93"/>
      <c r="PET21" s="93"/>
      <c r="PEU21" s="93"/>
      <c r="PEV21" s="93"/>
      <c r="PEW21" s="93"/>
      <c r="PEX21" s="93"/>
      <c r="PEY21" s="93"/>
      <c r="PEZ21" s="93"/>
      <c r="PFA21" s="93"/>
      <c r="PFB21" s="93"/>
      <c r="PFC21" s="93"/>
      <c r="PFD21" s="93"/>
      <c r="PFE21" s="93"/>
      <c r="PFF21" s="93"/>
      <c r="PFG21" s="93"/>
      <c r="PFH21" s="93"/>
      <c r="PFI21" s="93"/>
      <c r="PFJ21" s="93"/>
      <c r="PFK21" s="93"/>
      <c r="PFL21" s="93"/>
      <c r="PFM21" s="93"/>
      <c r="PFN21" s="93"/>
      <c r="PFO21" s="93"/>
      <c r="PFP21" s="93"/>
      <c r="PFQ21" s="93"/>
      <c r="PFR21" s="93"/>
      <c r="PFS21" s="93"/>
      <c r="PFT21" s="93"/>
      <c r="PFU21" s="93"/>
      <c r="PFV21" s="93"/>
      <c r="PFW21" s="93"/>
      <c r="PFX21" s="93"/>
      <c r="PFY21" s="93"/>
      <c r="PFZ21" s="93"/>
      <c r="PGA21" s="93"/>
      <c r="PGB21" s="93"/>
      <c r="PGC21" s="93"/>
      <c r="PGD21" s="93"/>
      <c r="PGE21" s="93"/>
      <c r="PGF21" s="93"/>
      <c r="PGG21" s="93"/>
      <c r="PGH21" s="93"/>
      <c r="PGI21" s="93"/>
      <c r="PGJ21" s="93"/>
      <c r="PGK21" s="93"/>
      <c r="PGL21" s="93"/>
      <c r="PGM21" s="93"/>
      <c r="PGN21" s="93"/>
      <c r="PGO21" s="93"/>
      <c r="PGP21" s="93"/>
      <c r="PGQ21" s="93"/>
      <c r="PGR21" s="93"/>
      <c r="PGS21" s="93"/>
      <c r="PGT21" s="93"/>
      <c r="PGU21" s="93"/>
      <c r="PGV21" s="93"/>
      <c r="PGW21" s="93"/>
      <c r="PGX21" s="93"/>
      <c r="PGY21" s="93"/>
      <c r="PGZ21" s="93"/>
      <c r="PHA21" s="93"/>
      <c r="PHB21" s="93"/>
      <c r="PHC21" s="93"/>
      <c r="PHD21" s="93"/>
      <c r="PHE21" s="93"/>
      <c r="PHF21" s="93"/>
      <c r="PHG21" s="93"/>
      <c r="PHH21" s="93"/>
      <c r="PHI21" s="93"/>
      <c r="PHJ21" s="93"/>
      <c r="PHK21" s="93"/>
      <c r="PHL21" s="93"/>
      <c r="PHM21" s="93"/>
      <c r="PHN21" s="93"/>
      <c r="PHO21" s="93"/>
      <c r="PHP21" s="93"/>
      <c r="PHQ21" s="93"/>
      <c r="PHR21" s="93"/>
      <c r="PHS21" s="93"/>
      <c r="PHT21" s="93"/>
      <c r="PHU21" s="93"/>
      <c r="PHV21" s="93"/>
      <c r="PHW21" s="93"/>
      <c r="PHX21" s="93"/>
      <c r="PHY21" s="93"/>
      <c r="PHZ21" s="93"/>
      <c r="PIA21" s="93"/>
      <c r="PIB21" s="93"/>
      <c r="PIC21" s="93"/>
      <c r="PID21" s="93"/>
      <c r="PIE21" s="93"/>
      <c r="PIF21" s="93"/>
      <c r="PIG21" s="93"/>
      <c r="PIH21" s="93"/>
      <c r="PII21" s="93"/>
      <c r="PIJ21" s="93"/>
      <c r="PIK21" s="93"/>
      <c r="PIL21" s="93"/>
      <c r="PIM21" s="93"/>
      <c r="PIN21" s="93"/>
      <c r="PIO21" s="93"/>
      <c r="PIP21" s="93"/>
      <c r="PIQ21" s="93"/>
      <c r="PIR21" s="93"/>
      <c r="PIS21" s="93"/>
      <c r="PIT21" s="93"/>
      <c r="PIU21" s="93"/>
      <c r="PIV21" s="93"/>
      <c r="PIW21" s="93"/>
      <c r="PIX21" s="93"/>
      <c r="PIY21" s="93"/>
      <c r="PIZ21" s="93"/>
      <c r="PJA21" s="93"/>
      <c r="PJB21" s="93"/>
      <c r="PJC21" s="93"/>
      <c r="PJD21" s="93"/>
      <c r="PJE21" s="93"/>
      <c r="PJF21" s="93"/>
      <c r="PJG21" s="93"/>
      <c r="PJH21" s="93"/>
      <c r="PJI21" s="93"/>
      <c r="PJJ21" s="93"/>
      <c r="PJK21" s="93"/>
      <c r="PJL21" s="93"/>
      <c r="PJM21" s="93"/>
      <c r="PJN21" s="93"/>
      <c r="PJO21" s="93"/>
      <c r="PJP21" s="93"/>
      <c r="PJQ21" s="93"/>
      <c r="PJR21" s="93"/>
      <c r="PJS21" s="93"/>
      <c r="PJT21" s="93"/>
      <c r="PJU21" s="93"/>
      <c r="PJV21" s="93"/>
      <c r="PJW21" s="93"/>
      <c r="PJX21" s="93"/>
      <c r="PJY21" s="93"/>
      <c r="PJZ21" s="93"/>
      <c r="PKA21" s="93"/>
      <c r="PKB21" s="93"/>
      <c r="PKC21" s="93"/>
      <c r="PKD21" s="93"/>
      <c r="PKE21" s="93"/>
      <c r="PKF21" s="93"/>
      <c r="PKG21" s="93"/>
      <c r="PKH21" s="93"/>
      <c r="PKI21" s="93"/>
      <c r="PKJ21" s="93"/>
      <c r="PKK21" s="93"/>
      <c r="PKL21" s="93"/>
      <c r="PKM21" s="93"/>
      <c r="PKN21" s="93"/>
      <c r="PKO21" s="93"/>
      <c r="PKP21" s="93"/>
      <c r="PKQ21" s="93"/>
      <c r="PKR21" s="93"/>
      <c r="PKS21" s="93"/>
      <c r="PKT21" s="93"/>
      <c r="PKU21" s="93"/>
      <c r="PKV21" s="93"/>
      <c r="PKW21" s="93"/>
      <c r="PKX21" s="93"/>
      <c r="PKY21" s="93"/>
      <c r="PKZ21" s="93"/>
      <c r="PLA21" s="93"/>
      <c r="PLB21" s="93"/>
      <c r="PLC21" s="93"/>
      <c r="PLD21" s="93"/>
      <c r="PLE21" s="93"/>
      <c r="PLF21" s="93"/>
      <c r="PLG21" s="93"/>
      <c r="PLH21" s="93"/>
      <c r="PLI21" s="93"/>
      <c r="PLJ21" s="93"/>
      <c r="PLK21" s="93"/>
      <c r="PLL21" s="93"/>
      <c r="PLM21" s="93"/>
      <c r="PLN21" s="93"/>
      <c r="PLO21" s="93"/>
      <c r="PLP21" s="93"/>
      <c r="PLQ21" s="93"/>
      <c r="PLR21" s="93"/>
      <c r="PLS21" s="93"/>
      <c r="PLT21" s="93"/>
      <c r="PLU21" s="93"/>
      <c r="PLV21" s="93"/>
      <c r="PLW21" s="93"/>
      <c r="PLX21" s="93"/>
      <c r="PLY21" s="93"/>
      <c r="PLZ21" s="93"/>
      <c r="PMA21" s="93"/>
      <c r="PMB21" s="93"/>
      <c r="PMC21" s="93"/>
      <c r="PMD21" s="93"/>
      <c r="PME21" s="93"/>
      <c r="PMF21" s="93"/>
      <c r="PMG21" s="93"/>
      <c r="PMH21" s="93"/>
      <c r="PMI21" s="93"/>
      <c r="PMJ21" s="93"/>
      <c r="PMK21" s="93"/>
      <c r="PML21" s="93"/>
      <c r="PMM21" s="93"/>
      <c r="PMN21" s="93"/>
      <c r="PMO21" s="93"/>
      <c r="PMP21" s="93"/>
      <c r="PMQ21" s="93"/>
      <c r="PMR21" s="93"/>
      <c r="PMS21" s="93"/>
      <c r="PMT21" s="93"/>
      <c r="PMU21" s="93"/>
      <c r="PMV21" s="93"/>
      <c r="PMW21" s="93"/>
      <c r="PMX21" s="93"/>
      <c r="PMY21" s="93"/>
      <c r="PMZ21" s="93"/>
      <c r="PNA21" s="93"/>
      <c r="PNB21" s="93"/>
      <c r="PNC21" s="93"/>
      <c r="PND21" s="93"/>
      <c r="PNE21" s="93"/>
      <c r="PNF21" s="93"/>
      <c r="PNG21" s="93"/>
      <c r="PNH21" s="93"/>
      <c r="PNI21" s="93"/>
      <c r="PNJ21" s="93"/>
      <c r="PNK21" s="93"/>
      <c r="PNL21" s="93"/>
      <c r="PNM21" s="93"/>
      <c r="PNN21" s="93"/>
      <c r="PNO21" s="93"/>
      <c r="PNP21" s="93"/>
      <c r="PNQ21" s="93"/>
      <c r="PNR21" s="93"/>
      <c r="PNS21" s="93"/>
      <c r="PNT21" s="93"/>
      <c r="PNU21" s="93"/>
      <c r="PNV21" s="93"/>
      <c r="PNW21" s="93"/>
      <c r="PNX21" s="93"/>
      <c r="PNY21" s="93"/>
      <c r="PNZ21" s="93"/>
      <c r="POA21" s="93"/>
      <c r="POB21" s="93"/>
      <c r="POC21" s="93"/>
      <c r="POD21" s="93"/>
      <c r="POE21" s="93"/>
      <c r="POF21" s="93"/>
      <c r="POG21" s="93"/>
      <c r="POH21" s="93"/>
      <c r="POI21" s="93"/>
      <c r="POJ21" s="93"/>
      <c r="POK21" s="93"/>
      <c r="POL21" s="93"/>
      <c r="POM21" s="93"/>
      <c r="PON21" s="93"/>
      <c r="POO21" s="93"/>
      <c r="POP21" s="93"/>
      <c r="POQ21" s="93"/>
      <c r="POR21" s="93"/>
      <c r="POS21" s="93"/>
      <c r="POT21" s="93"/>
      <c r="POU21" s="93"/>
      <c r="POV21" s="93"/>
      <c r="POW21" s="93"/>
      <c r="POX21" s="93"/>
      <c r="POY21" s="93"/>
      <c r="POZ21" s="93"/>
      <c r="PPA21" s="93"/>
      <c r="PPB21" s="93"/>
      <c r="PPC21" s="93"/>
      <c r="PPD21" s="93"/>
      <c r="PPE21" s="93"/>
      <c r="PPF21" s="93"/>
      <c r="PPG21" s="93"/>
      <c r="PPH21" s="93"/>
      <c r="PPI21" s="93"/>
      <c r="PPJ21" s="93"/>
      <c r="PPK21" s="93"/>
      <c r="PPL21" s="93"/>
      <c r="PPM21" s="93"/>
      <c r="PPN21" s="93"/>
      <c r="PPO21" s="93"/>
      <c r="PPP21" s="93"/>
      <c r="PPQ21" s="93"/>
      <c r="PPR21" s="93"/>
      <c r="PPS21" s="93"/>
      <c r="PPT21" s="93"/>
      <c r="PPU21" s="93"/>
      <c r="PPV21" s="93"/>
      <c r="PPW21" s="93"/>
      <c r="PPX21" s="93"/>
      <c r="PPY21" s="93"/>
      <c r="PPZ21" s="93"/>
      <c r="PQA21" s="93"/>
      <c r="PQB21" s="93"/>
      <c r="PQC21" s="93"/>
      <c r="PQD21" s="93"/>
      <c r="PQE21" s="93"/>
      <c r="PQF21" s="93"/>
      <c r="PQG21" s="93"/>
      <c r="PQH21" s="93"/>
      <c r="PQI21" s="93"/>
      <c r="PQJ21" s="93"/>
      <c r="PQK21" s="93"/>
      <c r="PQL21" s="93"/>
      <c r="PQM21" s="93"/>
      <c r="PQN21" s="93"/>
      <c r="PQO21" s="93"/>
      <c r="PQP21" s="93"/>
      <c r="PQQ21" s="93"/>
      <c r="PQR21" s="93"/>
      <c r="PQS21" s="93"/>
      <c r="PQT21" s="93"/>
      <c r="PQU21" s="93"/>
      <c r="PQV21" s="93"/>
      <c r="PQW21" s="93"/>
      <c r="PQX21" s="93"/>
      <c r="PQY21" s="93"/>
      <c r="PQZ21" s="93"/>
      <c r="PRA21" s="93"/>
      <c r="PRB21" s="93"/>
      <c r="PRC21" s="93"/>
      <c r="PRD21" s="93"/>
      <c r="PRE21" s="93"/>
      <c r="PRF21" s="93"/>
      <c r="PRG21" s="93"/>
      <c r="PRH21" s="93"/>
      <c r="PRI21" s="93"/>
      <c r="PRJ21" s="93"/>
      <c r="PRK21" s="93"/>
      <c r="PRL21" s="93"/>
      <c r="PRM21" s="93"/>
      <c r="PRN21" s="93"/>
      <c r="PRO21" s="93"/>
      <c r="PRP21" s="93"/>
      <c r="PRQ21" s="93"/>
      <c r="PRR21" s="93"/>
      <c r="PRS21" s="93"/>
      <c r="PRT21" s="93"/>
      <c r="PRU21" s="93"/>
      <c r="PRV21" s="93"/>
      <c r="PRW21" s="93"/>
      <c r="PRX21" s="93"/>
      <c r="PRY21" s="93"/>
      <c r="PRZ21" s="93"/>
      <c r="PSA21" s="93"/>
      <c r="PSB21" s="93"/>
      <c r="PSC21" s="93"/>
      <c r="PSD21" s="93"/>
      <c r="PSE21" s="93"/>
      <c r="PSF21" s="93"/>
      <c r="PSG21" s="93"/>
      <c r="PSH21" s="93"/>
      <c r="PSI21" s="93"/>
      <c r="PSJ21" s="93"/>
      <c r="PSK21" s="93"/>
      <c r="PSL21" s="93"/>
      <c r="PSM21" s="93"/>
      <c r="PSN21" s="93"/>
      <c r="PSO21" s="93"/>
      <c r="PSP21" s="93"/>
      <c r="PSQ21" s="93"/>
      <c r="PSR21" s="93"/>
      <c r="PSS21" s="93"/>
      <c r="PST21" s="93"/>
      <c r="PSU21" s="93"/>
      <c r="PSV21" s="93"/>
      <c r="PSW21" s="93"/>
      <c r="PSX21" s="93"/>
      <c r="PSY21" s="93"/>
      <c r="PSZ21" s="93"/>
      <c r="PTA21" s="93"/>
      <c r="PTB21" s="93"/>
      <c r="PTC21" s="93"/>
      <c r="PTD21" s="93"/>
      <c r="PTE21" s="93"/>
      <c r="PTF21" s="93"/>
      <c r="PTG21" s="93"/>
      <c r="PTH21" s="93"/>
      <c r="PTI21" s="93"/>
      <c r="PTJ21" s="93"/>
      <c r="PTK21" s="93"/>
      <c r="PTL21" s="93"/>
      <c r="PTM21" s="93"/>
      <c r="PTN21" s="93"/>
      <c r="PTO21" s="93"/>
      <c r="PTP21" s="93"/>
      <c r="PTQ21" s="93"/>
      <c r="PTR21" s="93"/>
      <c r="PTS21" s="93"/>
      <c r="PTT21" s="93"/>
      <c r="PTU21" s="93"/>
      <c r="PTV21" s="93"/>
      <c r="PTW21" s="93"/>
      <c r="PTX21" s="93"/>
      <c r="PTY21" s="93"/>
      <c r="PTZ21" s="93"/>
      <c r="PUA21" s="93"/>
      <c r="PUB21" s="93"/>
      <c r="PUC21" s="93"/>
      <c r="PUD21" s="93"/>
      <c r="PUE21" s="93"/>
      <c r="PUF21" s="93"/>
      <c r="PUG21" s="93"/>
      <c r="PUH21" s="93"/>
      <c r="PUI21" s="93"/>
      <c r="PUJ21" s="93"/>
      <c r="PUK21" s="93"/>
      <c r="PUL21" s="93"/>
      <c r="PUM21" s="93"/>
      <c r="PUN21" s="93"/>
      <c r="PUO21" s="93"/>
      <c r="PUP21" s="93"/>
      <c r="PUQ21" s="93"/>
      <c r="PUR21" s="93"/>
      <c r="PUS21" s="93"/>
      <c r="PUT21" s="93"/>
      <c r="PUU21" s="93"/>
      <c r="PUV21" s="93"/>
      <c r="PUW21" s="93"/>
      <c r="PUX21" s="93"/>
      <c r="PUY21" s="93"/>
      <c r="PUZ21" s="93"/>
      <c r="PVA21" s="93"/>
      <c r="PVB21" s="93"/>
      <c r="PVC21" s="93"/>
      <c r="PVD21" s="93"/>
      <c r="PVE21" s="93"/>
      <c r="PVF21" s="93"/>
      <c r="PVG21" s="93"/>
      <c r="PVH21" s="93"/>
      <c r="PVI21" s="93"/>
      <c r="PVJ21" s="93"/>
      <c r="PVK21" s="93"/>
      <c r="PVL21" s="93"/>
      <c r="PVM21" s="93"/>
      <c r="PVN21" s="93"/>
      <c r="PVO21" s="93"/>
      <c r="PVP21" s="93"/>
      <c r="PVQ21" s="93"/>
      <c r="PVR21" s="93"/>
      <c r="PVS21" s="93"/>
      <c r="PVT21" s="93"/>
      <c r="PVU21" s="93"/>
      <c r="PVV21" s="93"/>
      <c r="PVW21" s="93"/>
      <c r="PVX21" s="93"/>
      <c r="PVY21" s="93"/>
      <c r="PVZ21" s="93"/>
      <c r="PWA21" s="93"/>
      <c r="PWB21" s="93"/>
      <c r="PWC21" s="93"/>
      <c r="PWD21" s="93"/>
      <c r="PWE21" s="93"/>
      <c r="PWF21" s="93"/>
      <c r="PWG21" s="93"/>
      <c r="PWH21" s="93"/>
      <c r="PWI21" s="93"/>
      <c r="PWJ21" s="93"/>
      <c r="PWK21" s="93"/>
      <c r="PWL21" s="93"/>
      <c r="PWM21" s="93"/>
      <c r="PWN21" s="93"/>
      <c r="PWO21" s="93"/>
      <c r="PWP21" s="93"/>
      <c r="PWQ21" s="93"/>
      <c r="PWR21" s="93"/>
      <c r="PWS21" s="93"/>
      <c r="PWT21" s="93"/>
      <c r="PWU21" s="93"/>
      <c r="PWV21" s="93"/>
      <c r="PWW21" s="93"/>
      <c r="PWX21" s="93"/>
      <c r="PWY21" s="93"/>
      <c r="PWZ21" s="93"/>
      <c r="PXA21" s="93"/>
      <c r="PXB21" s="93"/>
      <c r="PXC21" s="93"/>
      <c r="PXD21" s="93"/>
      <c r="PXE21" s="93"/>
      <c r="PXF21" s="93"/>
      <c r="PXG21" s="93"/>
      <c r="PXH21" s="93"/>
      <c r="PXI21" s="93"/>
      <c r="PXJ21" s="93"/>
      <c r="PXK21" s="93"/>
      <c r="PXL21" s="93"/>
      <c r="PXM21" s="93"/>
      <c r="PXN21" s="93"/>
      <c r="PXO21" s="93"/>
      <c r="PXP21" s="93"/>
      <c r="PXQ21" s="93"/>
      <c r="PXR21" s="93"/>
      <c r="PXS21" s="93"/>
      <c r="PXT21" s="93"/>
      <c r="PXU21" s="93"/>
      <c r="PXV21" s="93"/>
      <c r="PXW21" s="93"/>
      <c r="PXX21" s="93"/>
      <c r="PXY21" s="93"/>
      <c r="PXZ21" s="93"/>
      <c r="PYA21" s="93"/>
      <c r="PYB21" s="93"/>
      <c r="PYC21" s="93"/>
      <c r="PYD21" s="93"/>
      <c r="PYE21" s="93"/>
      <c r="PYF21" s="93"/>
      <c r="PYG21" s="93"/>
      <c r="PYH21" s="93"/>
      <c r="PYI21" s="93"/>
      <c r="PYJ21" s="93"/>
      <c r="PYK21" s="93"/>
      <c r="PYL21" s="93"/>
      <c r="PYM21" s="93"/>
      <c r="PYN21" s="93"/>
      <c r="PYO21" s="93"/>
      <c r="PYP21" s="93"/>
      <c r="PYQ21" s="93"/>
      <c r="PYR21" s="93"/>
      <c r="PYS21" s="93"/>
      <c r="PYT21" s="93"/>
      <c r="PYU21" s="93"/>
      <c r="PYV21" s="93"/>
      <c r="PYW21" s="93"/>
      <c r="PYX21" s="93"/>
      <c r="PYY21" s="93"/>
      <c r="PYZ21" s="93"/>
      <c r="PZA21" s="93"/>
      <c r="PZB21" s="93"/>
      <c r="PZC21" s="93"/>
      <c r="PZD21" s="93"/>
      <c r="PZE21" s="93"/>
      <c r="PZF21" s="93"/>
      <c r="PZG21" s="93"/>
      <c r="PZH21" s="93"/>
      <c r="PZI21" s="93"/>
      <c r="PZJ21" s="93"/>
      <c r="PZK21" s="93"/>
      <c r="PZL21" s="93"/>
      <c r="PZM21" s="93"/>
      <c r="PZN21" s="93"/>
      <c r="PZO21" s="93"/>
      <c r="PZP21" s="93"/>
      <c r="PZQ21" s="93"/>
      <c r="PZR21" s="93"/>
      <c r="PZS21" s="93"/>
      <c r="PZT21" s="93"/>
      <c r="PZU21" s="93"/>
      <c r="PZV21" s="93"/>
      <c r="PZW21" s="93"/>
      <c r="PZX21" s="93"/>
      <c r="PZY21" s="93"/>
      <c r="PZZ21" s="93"/>
      <c r="QAA21" s="93"/>
      <c r="QAB21" s="93"/>
      <c r="QAC21" s="93"/>
      <c r="QAD21" s="93"/>
      <c r="QAE21" s="93"/>
      <c r="QAF21" s="93"/>
      <c r="QAG21" s="93"/>
      <c r="QAH21" s="93"/>
      <c r="QAI21" s="93"/>
      <c r="QAJ21" s="93"/>
      <c r="QAK21" s="93"/>
      <c r="QAL21" s="93"/>
      <c r="QAM21" s="93"/>
      <c r="QAN21" s="93"/>
      <c r="QAO21" s="93"/>
      <c r="QAP21" s="93"/>
      <c r="QAQ21" s="93"/>
      <c r="QAR21" s="93"/>
      <c r="QAS21" s="93"/>
      <c r="QAT21" s="93"/>
      <c r="QAU21" s="93"/>
      <c r="QAV21" s="93"/>
      <c r="QAW21" s="93"/>
      <c r="QAX21" s="93"/>
      <c r="QAY21" s="93"/>
      <c r="QAZ21" s="93"/>
      <c r="QBA21" s="93"/>
      <c r="QBB21" s="93"/>
      <c r="QBC21" s="93"/>
      <c r="QBD21" s="93"/>
      <c r="QBE21" s="93"/>
      <c r="QBF21" s="93"/>
      <c r="QBG21" s="93"/>
      <c r="QBH21" s="93"/>
      <c r="QBI21" s="93"/>
      <c r="QBJ21" s="93"/>
      <c r="QBK21" s="93"/>
      <c r="QBL21" s="93"/>
      <c r="QBM21" s="93"/>
      <c r="QBN21" s="93"/>
      <c r="QBO21" s="93"/>
      <c r="QBP21" s="93"/>
      <c r="QBQ21" s="93"/>
      <c r="QBR21" s="93"/>
      <c r="QBS21" s="93"/>
      <c r="QBT21" s="93"/>
      <c r="QBU21" s="93"/>
      <c r="QBV21" s="93"/>
      <c r="QBW21" s="93"/>
      <c r="QBX21" s="93"/>
      <c r="QBY21" s="93"/>
      <c r="QBZ21" s="93"/>
      <c r="QCA21" s="93"/>
      <c r="QCB21" s="93"/>
      <c r="QCC21" s="93"/>
      <c r="QCD21" s="93"/>
      <c r="QCE21" s="93"/>
      <c r="QCF21" s="93"/>
      <c r="QCG21" s="93"/>
      <c r="QCH21" s="93"/>
      <c r="QCI21" s="93"/>
      <c r="QCJ21" s="93"/>
      <c r="QCK21" s="93"/>
      <c r="QCL21" s="93"/>
      <c r="QCM21" s="93"/>
      <c r="QCN21" s="93"/>
      <c r="QCO21" s="93"/>
      <c r="QCP21" s="93"/>
      <c r="QCQ21" s="93"/>
      <c r="QCR21" s="93"/>
      <c r="QCS21" s="93"/>
      <c r="QCT21" s="93"/>
      <c r="QCU21" s="93"/>
      <c r="QCV21" s="93"/>
      <c r="QCW21" s="93"/>
      <c r="QCX21" s="93"/>
      <c r="QCY21" s="93"/>
      <c r="QCZ21" s="93"/>
      <c r="QDA21" s="93"/>
      <c r="QDB21" s="93"/>
      <c r="QDC21" s="93"/>
      <c r="QDD21" s="93"/>
      <c r="QDE21" s="93"/>
      <c r="QDF21" s="93"/>
      <c r="QDG21" s="93"/>
      <c r="QDH21" s="93"/>
      <c r="QDI21" s="93"/>
      <c r="QDJ21" s="93"/>
      <c r="QDK21" s="93"/>
      <c r="QDL21" s="93"/>
      <c r="QDM21" s="93"/>
      <c r="QDN21" s="93"/>
      <c r="QDO21" s="93"/>
      <c r="QDP21" s="93"/>
      <c r="QDQ21" s="93"/>
      <c r="QDR21" s="93"/>
      <c r="QDS21" s="93"/>
      <c r="QDT21" s="93"/>
      <c r="QDU21" s="93"/>
      <c r="QDV21" s="93"/>
      <c r="QDW21" s="93"/>
      <c r="QDX21" s="93"/>
      <c r="QDY21" s="93"/>
      <c r="QDZ21" s="93"/>
      <c r="QEA21" s="93"/>
      <c r="QEB21" s="93"/>
      <c r="QEC21" s="93"/>
      <c r="QED21" s="93"/>
      <c r="QEE21" s="93"/>
      <c r="QEF21" s="93"/>
      <c r="QEG21" s="93"/>
      <c r="QEH21" s="93"/>
      <c r="QEI21" s="93"/>
      <c r="QEJ21" s="93"/>
      <c r="QEK21" s="93"/>
      <c r="QEL21" s="93"/>
      <c r="QEM21" s="93"/>
      <c r="QEN21" s="93"/>
      <c r="QEO21" s="93"/>
      <c r="QEP21" s="93"/>
      <c r="QEQ21" s="93"/>
      <c r="QER21" s="93"/>
      <c r="QES21" s="93"/>
      <c r="QET21" s="93"/>
      <c r="QEU21" s="93"/>
      <c r="QEV21" s="93"/>
      <c r="QEW21" s="93"/>
      <c r="QEX21" s="93"/>
      <c r="QEY21" s="93"/>
      <c r="QEZ21" s="93"/>
      <c r="QFA21" s="93"/>
      <c r="QFB21" s="93"/>
      <c r="QFC21" s="93"/>
      <c r="QFD21" s="93"/>
      <c r="QFE21" s="93"/>
      <c r="QFF21" s="93"/>
      <c r="QFG21" s="93"/>
      <c r="QFH21" s="93"/>
      <c r="QFI21" s="93"/>
      <c r="QFJ21" s="93"/>
      <c r="QFK21" s="93"/>
      <c r="QFL21" s="93"/>
      <c r="QFM21" s="93"/>
      <c r="QFN21" s="93"/>
      <c r="QFO21" s="93"/>
      <c r="QFP21" s="93"/>
      <c r="QFQ21" s="93"/>
      <c r="QFR21" s="93"/>
      <c r="QFS21" s="93"/>
      <c r="QFT21" s="93"/>
      <c r="QFU21" s="93"/>
      <c r="QFV21" s="93"/>
      <c r="QFW21" s="93"/>
      <c r="QFX21" s="93"/>
      <c r="QFY21" s="93"/>
      <c r="QFZ21" s="93"/>
      <c r="QGA21" s="93"/>
      <c r="QGB21" s="93"/>
      <c r="QGC21" s="93"/>
      <c r="QGD21" s="93"/>
      <c r="QGE21" s="93"/>
      <c r="QGF21" s="93"/>
      <c r="QGG21" s="93"/>
      <c r="QGH21" s="93"/>
      <c r="QGI21" s="93"/>
      <c r="QGJ21" s="93"/>
      <c r="QGK21" s="93"/>
      <c r="QGL21" s="93"/>
      <c r="QGM21" s="93"/>
      <c r="QGN21" s="93"/>
      <c r="QGO21" s="93"/>
      <c r="QGP21" s="93"/>
      <c r="QGQ21" s="93"/>
      <c r="QGR21" s="93"/>
      <c r="QGS21" s="93"/>
      <c r="QGT21" s="93"/>
      <c r="QGU21" s="93"/>
      <c r="QGV21" s="93"/>
      <c r="QGW21" s="93"/>
      <c r="QGX21" s="93"/>
      <c r="QGY21" s="93"/>
      <c r="QGZ21" s="93"/>
      <c r="QHA21" s="93"/>
      <c r="QHB21" s="93"/>
      <c r="QHC21" s="93"/>
      <c r="QHD21" s="93"/>
      <c r="QHE21" s="93"/>
      <c r="QHF21" s="93"/>
      <c r="QHG21" s="93"/>
      <c r="QHH21" s="93"/>
      <c r="QHI21" s="93"/>
      <c r="QHJ21" s="93"/>
      <c r="QHK21" s="93"/>
      <c r="QHL21" s="93"/>
      <c r="QHM21" s="93"/>
      <c r="QHN21" s="93"/>
      <c r="QHO21" s="93"/>
      <c r="QHP21" s="93"/>
      <c r="QHQ21" s="93"/>
      <c r="QHR21" s="93"/>
      <c r="QHS21" s="93"/>
      <c r="QHT21" s="93"/>
      <c r="QHU21" s="93"/>
      <c r="QHV21" s="93"/>
      <c r="QHW21" s="93"/>
      <c r="QHX21" s="93"/>
      <c r="QHY21" s="93"/>
      <c r="QHZ21" s="93"/>
      <c r="QIA21" s="93"/>
      <c r="QIB21" s="93"/>
      <c r="QIC21" s="93"/>
      <c r="QID21" s="93"/>
      <c r="QIE21" s="93"/>
      <c r="QIF21" s="93"/>
      <c r="QIG21" s="93"/>
      <c r="QIH21" s="93"/>
      <c r="QII21" s="93"/>
      <c r="QIJ21" s="93"/>
      <c r="QIK21" s="93"/>
      <c r="QIL21" s="93"/>
      <c r="QIM21" s="93"/>
      <c r="QIN21" s="93"/>
      <c r="QIO21" s="93"/>
      <c r="QIP21" s="93"/>
      <c r="QIQ21" s="93"/>
      <c r="QIR21" s="93"/>
      <c r="QIS21" s="93"/>
      <c r="QIT21" s="93"/>
      <c r="QIU21" s="93"/>
      <c r="QIV21" s="93"/>
      <c r="QIW21" s="93"/>
      <c r="QIX21" s="93"/>
      <c r="QIY21" s="93"/>
      <c r="QIZ21" s="93"/>
      <c r="QJA21" s="93"/>
      <c r="QJB21" s="93"/>
      <c r="QJC21" s="93"/>
      <c r="QJD21" s="93"/>
      <c r="QJE21" s="93"/>
      <c r="QJF21" s="93"/>
      <c r="QJG21" s="93"/>
      <c r="QJH21" s="93"/>
      <c r="QJI21" s="93"/>
      <c r="QJJ21" s="93"/>
      <c r="QJK21" s="93"/>
      <c r="QJL21" s="93"/>
      <c r="QJM21" s="93"/>
      <c r="QJN21" s="93"/>
      <c r="QJO21" s="93"/>
      <c r="QJP21" s="93"/>
      <c r="QJQ21" s="93"/>
      <c r="QJR21" s="93"/>
      <c r="QJS21" s="93"/>
      <c r="QJT21" s="93"/>
      <c r="QJU21" s="93"/>
      <c r="QJV21" s="93"/>
      <c r="QJW21" s="93"/>
      <c r="QJX21" s="93"/>
      <c r="QJY21" s="93"/>
      <c r="QJZ21" s="93"/>
      <c r="QKA21" s="93"/>
      <c r="QKB21" s="93"/>
      <c r="QKC21" s="93"/>
      <c r="QKD21" s="93"/>
      <c r="QKE21" s="93"/>
      <c r="QKF21" s="93"/>
      <c r="QKG21" s="93"/>
      <c r="QKH21" s="93"/>
      <c r="QKI21" s="93"/>
      <c r="QKJ21" s="93"/>
      <c r="QKK21" s="93"/>
      <c r="QKL21" s="93"/>
      <c r="QKM21" s="93"/>
      <c r="QKN21" s="93"/>
      <c r="QKO21" s="93"/>
      <c r="QKP21" s="93"/>
      <c r="QKQ21" s="93"/>
      <c r="QKR21" s="93"/>
      <c r="QKS21" s="93"/>
      <c r="QKT21" s="93"/>
      <c r="QKU21" s="93"/>
      <c r="QKV21" s="93"/>
      <c r="QKW21" s="93"/>
      <c r="QKX21" s="93"/>
      <c r="QKY21" s="93"/>
      <c r="QKZ21" s="93"/>
      <c r="QLA21" s="93"/>
      <c r="QLB21" s="93"/>
      <c r="QLC21" s="93"/>
      <c r="QLD21" s="93"/>
      <c r="QLE21" s="93"/>
      <c r="QLF21" s="93"/>
      <c r="QLG21" s="93"/>
      <c r="QLH21" s="93"/>
      <c r="QLI21" s="93"/>
      <c r="QLJ21" s="93"/>
      <c r="QLK21" s="93"/>
      <c r="QLL21" s="93"/>
      <c r="QLM21" s="93"/>
      <c r="QLN21" s="93"/>
      <c r="QLO21" s="93"/>
      <c r="QLP21" s="93"/>
      <c r="QLQ21" s="93"/>
      <c r="QLR21" s="93"/>
      <c r="QLS21" s="93"/>
      <c r="QLT21" s="93"/>
      <c r="QLU21" s="93"/>
      <c r="QLV21" s="93"/>
      <c r="QLW21" s="93"/>
      <c r="QLX21" s="93"/>
      <c r="QLY21" s="93"/>
      <c r="QLZ21" s="93"/>
      <c r="QMA21" s="93"/>
      <c r="QMB21" s="93"/>
      <c r="QMC21" s="93"/>
      <c r="QMD21" s="93"/>
      <c r="QME21" s="93"/>
      <c r="QMF21" s="93"/>
      <c r="QMG21" s="93"/>
      <c r="QMH21" s="93"/>
      <c r="QMI21" s="93"/>
      <c r="QMJ21" s="93"/>
      <c r="QMK21" s="93"/>
      <c r="QML21" s="93"/>
      <c r="QMM21" s="93"/>
      <c r="QMN21" s="93"/>
      <c r="QMO21" s="93"/>
      <c r="QMP21" s="93"/>
      <c r="QMQ21" s="93"/>
      <c r="QMR21" s="93"/>
      <c r="QMS21" s="93"/>
      <c r="QMT21" s="93"/>
      <c r="QMU21" s="93"/>
      <c r="QMV21" s="93"/>
      <c r="QMW21" s="93"/>
      <c r="QMX21" s="93"/>
      <c r="QMY21" s="93"/>
      <c r="QMZ21" s="93"/>
      <c r="QNA21" s="93"/>
      <c r="QNB21" s="93"/>
      <c r="QNC21" s="93"/>
      <c r="QND21" s="93"/>
      <c r="QNE21" s="93"/>
      <c r="QNF21" s="93"/>
      <c r="QNG21" s="93"/>
      <c r="QNH21" s="93"/>
      <c r="QNI21" s="93"/>
      <c r="QNJ21" s="93"/>
      <c r="QNK21" s="93"/>
      <c r="QNL21" s="93"/>
      <c r="QNM21" s="93"/>
      <c r="QNN21" s="93"/>
      <c r="QNO21" s="93"/>
      <c r="QNP21" s="93"/>
      <c r="QNQ21" s="93"/>
      <c r="QNR21" s="93"/>
      <c r="QNS21" s="93"/>
      <c r="QNT21" s="93"/>
      <c r="QNU21" s="93"/>
      <c r="QNV21" s="93"/>
      <c r="QNW21" s="93"/>
      <c r="QNX21" s="93"/>
      <c r="QNY21" s="93"/>
      <c r="QNZ21" s="93"/>
      <c r="QOA21" s="93"/>
      <c r="QOB21" s="93"/>
      <c r="QOC21" s="93"/>
      <c r="QOD21" s="93"/>
      <c r="QOE21" s="93"/>
      <c r="QOF21" s="93"/>
      <c r="QOG21" s="93"/>
      <c r="QOH21" s="93"/>
      <c r="QOI21" s="93"/>
      <c r="QOJ21" s="93"/>
      <c r="QOK21" s="93"/>
      <c r="QOL21" s="93"/>
      <c r="QOM21" s="93"/>
      <c r="QON21" s="93"/>
      <c r="QOO21" s="93"/>
      <c r="QOP21" s="93"/>
      <c r="QOQ21" s="93"/>
      <c r="QOR21" s="93"/>
      <c r="QOS21" s="93"/>
      <c r="QOT21" s="93"/>
      <c r="QOU21" s="93"/>
      <c r="QOV21" s="93"/>
      <c r="QOW21" s="93"/>
      <c r="QOX21" s="93"/>
      <c r="QOY21" s="93"/>
      <c r="QOZ21" s="93"/>
      <c r="QPA21" s="93"/>
      <c r="QPB21" s="93"/>
      <c r="QPC21" s="93"/>
      <c r="QPD21" s="93"/>
      <c r="QPE21" s="93"/>
      <c r="QPF21" s="93"/>
      <c r="QPG21" s="93"/>
      <c r="QPH21" s="93"/>
      <c r="QPI21" s="93"/>
      <c r="QPJ21" s="93"/>
      <c r="QPK21" s="93"/>
      <c r="QPL21" s="93"/>
      <c r="QPM21" s="93"/>
      <c r="QPN21" s="93"/>
      <c r="QPO21" s="93"/>
      <c r="QPP21" s="93"/>
      <c r="QPQ21" s="93"/>
      <c r="QPR21" s="93"/>
      <c r="QPS21" s="93"/>
      <c r="QPT21" s="93"/>
      <c r="QPU21" s="93"/>
      <c r="QPV21" s="93"/>
      <c r="QPW21" s="93"/>
      <c r="QPX21" s="93"/>
      <c r="QPY21" s="93"/>
      <c r="QPZ21" s="93"/>
      <c r="QQA21" s="93"/>
      <c r="QQB21" s="93"/>
      <c r="QQC21" s="93"/>
      <c r="QQD21" s="93"/>
      <c r="QQE21" s="93"/>
      <c r="QQF21" s="93"/>
      <c r="QQG21" s="93"/>
      <c r="QQH21" s="93"/>
      <c r="QQI21" s="93"/>
      <c r="QQJ21" s="93"/>
      <c r="QQK21" s="93"/>
      <c r="QQL21" s="93"/>
      <c r="QQM21" s="93"/>
      <c r="QQN21" s="93"/>
      <c r="QQO21" s="93"/>
      <c r="QQP21" s="93"/>
      <c r="QQQ21" s="93"/>
      <c r="QQR21" s="93"/>
      <c r="QQS21" s="93"/>
      <c r="QQT21" s="93"/>
      <c r="QQU21" s="93"/>
      <c r="QQV21" s="93"/>
      <c r="QQW21" s="93"/>
      <c r="QQX21" s="93"/>
      <c r="QQY21" s="93"/>
      <c r="QQZ21" s="93"/>
      <c r="QRA21" s="93"/>
      <c r="QRB21" s="93"/>
      <c r="QRC21" s="93"/>
      <c r="QRD21" s="93"/>
      <c r="QRE21" s="93"/>
      <c r="QRF21" s="93"/>
      <c r="QRG21" s="93"/>
      <c r="QRH21" s="93"/>
      <c r="QRI21" s="93"/>
      <c r="QRJ21" s="93"/>
      <c r="QRK21" s="93"/>
      <c r="QRL21" s="93"/>
      <c r="QRM21" s="93"/>
      <c r="QRN21" s="93"/>
      <c r="QRO21" s="93"/>
      <c r="QRP21" s="93"/>
      <c r="QRQ21" s="93"/>
      <c r="QRR21" s="93"/>
      <c r="QRS21" s="93"/>
      <c r="QRT21" s="93"/>
      <c r="QRU21" s="93"/>
      <c r="QRV21" s="93"/>
      <c r="QRW21" s="93"/>
      <c r="QRX21" s="93"/>
      <c r="QRY21" s="93"/>
      <c r="QRZ21" s="93"/>
      <c r="QSA21" s="93"/>
      <c r="QSB21" s="93"/>
      <c r="QSC21" s="93"/>
      <c r="QSD21" s="93"/>
      <c r="QSE21" s="93"/>
      <c r="QSF21" s="93"/>
      <c r="QSG21" s="93"/>
      <c r="QSH21" s="93"/>
      <c r="QSI21" s="93"/>
      <c r="QSJ21" s="93"/>
      <c r="QSK21" s="93"/>
      <c r="QSL21" s="93"/>
      <c r="QSM21" s="93"/>
      <c r="QSN21" s="93"/>
      <c r="QSO21" s="93"/>
      <c r="QSP21" s="93"/>
      <c r="QSQ21" s="93"/>
      <c r="QSR21" s="93"/>
      <c r="QSS21" s="93"/>
      <c r="QST21" s="93"/>
      <c r="QSU21" s="93"/>
      <c r="QSV21" s="93"/>
      <c r="QSW21" s="93"/>
      <c r="QSX21" s="93"/>
      <c r="QSY21" s="93"/>
      <c r="QSZ21" s="93"/>
      <c r="QTA21" s="93"/>
      <c r="QTB21" s="93"/>
      <c r="QTC21" s="93"/>
      <c r="QTD21" s="93"/>
      <c r="QTE21" s="93"/>
      <c r="QTF21" s="93"/>
      <c r="QTG21" s="93"/>
      <c r="QTH21" s="93"/>
      <c r="QTI21" s="93"/>
      <c r="QTJ21" s="93"/>
      <c r="QTK21" s="93"/>
      <c r="QTL21" s="93"/>
      <c r="QTM21" s="93"/>
      <c r="QTN21" s="93"/>
      <c r="QTO21" s="93"/>
      <c r="QTP21" s="93"/>
      <c r="QTQ21" s="93"/>
      <c r="QTR21" s="93"/>
      <c r="QTS21" s="93"/>
      <c r="QTT21" s="93"/>
      <c r="QTU21" s="93"/>
      <c r="QTV21" s="93"/>
      <c r="QTW21" s="93"/>
      <c r="QTX21" s="93"/>
      <c r="QTY21" s="93"/>
      <c r="QTZ21" s="93"/>
      <c r="QUA21" s="93"/>
      <c r="QUB21" s="93"/>
      <c r="QUC21" s="93"/>
      <c r="QUD21" s="93"/>
      <c r="QUE21" s="93"/>
      <c r="QUF21" s="93"/>
      <c r="QUG21" s="93"/>
      <c r="QUH21" s="93"/>
      <c r="QUI21" s="93"/>
      <c r="QUJ21" s="93"/>
      <c r="QUK21" s="93"/>
      <c r="QUL21" s="93"/>
      <c r="QUM21" s="93"/>
      <c r="QUN21" s="93"/>
      <c r="QUO21" s="93"/>
      <c r="QUP21" s="93"/>
      <c r="QUQ21" s="93"/>
      <c r="QUR21" s="93"/>
      <c r="QUS21" s="93"/>
      <c r="QUT21" s="93"/>
      <c r="QUU21" s="93"/>
      <c r="QUV21" s="93"/>
      <c r="QUW21" s="93"/>
      <c r="QUX21" s="93"/>
      <c r="QUY21" s="93"/>
      <c r="QUZ21" s="93"/>
      <c r="QVA21" s="93"/>
      <c r="QVB21" s="93"/>
      <c r="QVC21" s="93"/>
      <c r="QVD21" s="93"/>
      <c r="QVE21" s="93"/>
      <c r="QVF21" s="93"/>
      <c r="QVG21" s="93"/>
      <c r="QVH21" s="93"/>
      <c r="QVI21" s="93"/>
      <c r="QVJ21" s="93"/>
      <c r="QVK21" s="93"/>
      <c r="QVL21" s="93"/>
      <c r="QVM21" s="93"/>
      <c r="QVN21" s="93"/>
      <c r="QVO21" s="93"/>
      <c r="QVP21" s="93"/>
      <c r="QVQ21" s="93"/>
      <c r="QVR21" s="93"/>
      <c r="QVS21" s="93"/>
      <c r="QVT21" s="93"/>
      <c r="QVU21" s="93"/>
      <c r="QVV21" s="93"/>
      <c r="QVW21" s="93"/>
      <c r="QVX21" s="93"/>
      <c r="QVY21" s="93"/>
      <c r="QVZ21" s="93"/>
      <c r="QWA21" s="93"/>
      <c r="QWB21" s="93"/>
      <c r="QWC21" s="93"/>
      <c r="QWD21" s="93"/>
      <c r="QWE21" s="93"/>
      <c r="QWF21" s="93"/>
      <c r="QWG21" s="93"/>
      <c r="QWH21" s="93"/>
      <c r="QWI21" s="93"/>
      <c r="QWJ21" s="93"/>
      <c r="QWK21" s="93"/>
      <c r="QWL21" s="93"/>
      <c r="QWM21" s="93"/>
      <c r="QWN21" s="93"/>
      <c r="QWO21" s="93"/>
      <c r="QWP21" s="93"/>
      <c r="QWQ21" s="93"/>
      <c r="QWR21" s="93"/>
      <c r="QWS21" s="93"/>
      <c r="QWT21" s="93"/>
      <c r="QWU21" s="93"/>
      <c r="QWV21" s="93"/>
      <c r="QWW21" s="93"/>
      <c r="QWX21" s="93"/>
      <c r="QWY21" s="93"/>
      <c r="QWZ21" s="93"/>
      <c r="QXA21" s="93"/>
      <c r="QXB21" s="93"/>
      <c r="QXC21" s="93"/>
      <c r="QXD21" s="93"/>
      <c r="QXE21" s="93"/>
      <c r="QXF21" s="93"/>
      <c r="QXG21" s="93"/>
      <c r="QXH21" s="93"/>
      <c r="QXI21" s="93"/>
      <c r="QXJ21" s="93"/>
      <c r="QXK21" s="93"/>
      <c r="QXL21" s="93"/>
      <c r="QXM21" s="93"/>
      <c r="QXN21" s="93"/>
      <c r="QXO21" s="93"/>
      <c r="QXP21" s="93"/>
      <c r="QXQ21" s="93"/>
      <c r="QXR21" s="93"/>
      <c r="QXS21" s="93"/>
      <c r="QXT21" s="93"/>
      <c r="QXU21" s="93"/>
      <c r="QXV21" s="93"/>
      <c r="QXW21" s="93"/>
      <c r="QXX21" s="93"/>
      <c r="QXY21" s="93"/>
      <c r="QXZ21" s="93"/>
      <c r="QYA21" s="93"/>
      <c r="QYB21" s="93"/>
      <c r="QYC21" s="93"/>
      <c r="QYD21" s="93"/>
      <c r="QYE21" s="93"/>
      <c r="QYF21" s="93"/>
      <c r="QYG21" s="93"/>
      <c r="QYH21" s="93"/>
      <c r="QYI21" s="93"/>
      <c r="QYJ21" s="93"/>
      <c r="QYK21" s="93"/>
      <c r="QYL21" s="93"/>
      <c r="QYM21" s="93"/>
      <c r="QYN21" s="93"/>
      <c r="QYO21" s="93"/>
      <c r="QYP21" s="93"/>
      <c r="QYQ21" s="93"/>
      <c r="QYR21" s="93"/>
      <c r="QYS21" s="93"/>
      <c r="QYT21" s="93"/>
      <c r="QYU21" s="93"/>
      <c r="QYV21" s="93"/>
      <c r="QYW21" s="93"/>
      <c r="QYX21" s="93"/>
      <c r="QYY21" s="93"/>
      <c r="QYZ21" s="93"/>
      <c r="QZA21" s="93"/>
      <c r="QZB21" s="93"/>
      <c r="QZC21" s="93"/>
      <c r="QZD21" s="93"/>
      <c r="QZE21" s="93"/>
      <c r="QZF21" s="93"/>
      <c r="QZG21" s="93"/>
      <c r="QZH21" s="93"/>
      <c r="QZI21" s="93"/>
      <c r="QZJ21" s="93"/>
      <c r="QZK21" s="93"/>
      <c r="QZL21" s="93"/>
      <c r="QZM21" s="93"/>
      <c r="QZN21" s="93"/>
      <c r="QZO21" s="93"/>
      <c r="QZP21" s="93"/>
      <c r="QZQ21" s="93"/>
      <c r="QZR21" s="93"/>
      <c r="QZS21" s="93"/>
      <c r="QZT21" s="93"/>
      <c r="QZU21" s="93"/>
      <c r="QZV21" s="93"/>
      <c r="QZW21" s="93"/>
      <c r="QZX21" s="93"/>
      <c r="QZY21" s="93"/>
      <c r="QZZ21" s="93"/>
      <c r="RAA21" s="93"/>
      <c r="RAB21" s="93"/>
      <c r="RAC21" s="93"/>
      <c r="RAD21" s="93"/>
      <c r="RAE21" s="93"/>
      <c r="RAF21" s="93"/>
      <c r="RAG21" s="93"/>
      <c r="RAH21" s="93"/>
      <c r="RAI21" s="93"/>
      <c r="RAJ21" s="93"/>
      <c r="RAK21" s="93"/>
      <c r="RAL21" s="93"/>
      <c r="RAM21" s="93"/>
      <c r="RAN21" s="93"/>
      <c r="RAO21" s="93"/>
      <c r="RAP21" s="93"/>
      <c r="RAQ21" s="93"/>
      <c r="RAR21" s="93"/>
      <c r="RAS21" s="93"/>
      <c r="RAT21" s="93"/>
      <c r="RAU21" s="93"/>
      <c r="RAV21" s="93"/>
      <c r="RAW21" s="93"/>
      <c r="RAX21" s="93"/>
      <c r="RAY21" s="93"/>
      <c r="RAZ21" s="93"/>
      <c r="RBA21" s="93"/>
      <c r="RBB21" s="93"/>
      <c r="RBC21" s="93"/>
      <c r="RBD21" s="93"/>
      <c r="RBE21" s="93"/>
      <c r="RBF21" s="93"/>
      <c r="RBG21" s="93"/>
      <c r="RBH21" s="93"/>
      <c r="RBI21" s="93"/>
      <c r="RBJ21" s="93"/>
      <c r="RBK21" s="93"/>
      <c r="RBL21" s="93"/>
      <c r="RBM21" s="93"/>
      <c r="RBN21" s="93"/>
      <c r="RBO21" s="93"/>
      <c r="RBP21" s="93"/>
      <c r="RBQ21" s="93"/>
      <c r="RBR21" s="93"/>
      <c r="RBS21" s="93"/>
      <c r="RBT21" s="93"/>
      <c r="RBU21" s="93"/>
      <c r="RBV21" s="93"/>
      <c r="RBW21" s="93"/>
      <c r="RBX21" s="93"/>
      <c r="RBY21" s="93"/>
      <c r="RBZ21" s="93"/>
      <c r="RCA21" s="93"/>
      <c r="RCB21" s="93"/>
      <c r="RCC21" s="93"/>
      <c r="RCD21" s="93"/>
      <c r="RCE21" s="93"/>
      <c r="RCF21" s="93"/>
      <c r="RCG21" s="93"/>
      <c r="RCH21" s="93"/>
      <c r="RCI21" s="93"/>
      <c r="RCJ21" s="93"/>
      <c r="RCK21" s="93"/>
      <c r="RCL21" s="93"/>
      <c r="RCM21" s="93"/>
      <c r="RCN21" s="93"/>
      <c r="RCO21" s="93"/>
      <c r="RCP21" s="93"/>
      <c r="RCQ21" s="93"/>
      <c r="RCR21" s="93"/>
      <c r="RCS21" s="93"/>
      <c r="RCT21" s="93"/>
      <c r="RCU21" s="93"/>
      <c r="RCV21" s="93"/>
      <c r="RCW21" s="93"/>
      <c r="RCX21" s="93"/>
      <c r="RCY21" s="93"/>
      <c r="RCZ21" s="93"/>
      <c r="RDA21" s="93"/>
      <c r="RDB21" s="93"/>
      <c r="RDC21" s="93"/>
      <c r="RDD21" s="93"/>
      <c r="RDE21" s="93"/>
      <c r="RDF21" s="93"/>
      <c r="RDG21" s="93"/>
      <c r="RDH21" s="93"/>
      <c r="RDI21" s="93"/>
      <c r="RDJ21" s="93"/>
      <c r="RDK21" s="93"/>
      <c r="RDL21" s="93"/>
      <c r="RDM21" s="93"/>
      <c r="RDN21" s="93"/>
      <c r="RDO21" s="93"/>
      <c r="RDP21" s="93"/>
      <c r="RDQ21" s="93"/>
      <c r="RDR21" s="93"/>
      <c r="RDS21" s="93"/>
      <c r="RDT21" s="93"/>
      <c r="RDU21" s="93"/>
      <c r="RDV21" s="93"/>
      <c r="RDW21" s="93"/>
      <c r="RDX21" s="93"/>
      <c r="RDY21" s="93"/>
      <c r="RDZ21" s="93"/>
      <c r="REA21" s="93"/>
      <c r="REB21" s="93"/>
      <c r="REC21" s="93"/>
      <c r="RED21" s="93"/>
      <c r="REE21" s="93"/>
      <c r="REF21" s="93"/>
      <c r="REG21" s="93"/>
      <c r="REH21" s="93"/>
      <c r="REI21" s="93"/>
      <c r="REJ21" s="93"/>
      <c r="REK21" s="93"/>
      <c r="REL21" s="93"/>
      <c r="REM21" s="93"/>
      <c r="REN21" s="93"/>
      <c r="REO21" s="93"/>
      <c r="REP21" s="93"/>
      <c r="REQ21" s="93"/>
      <c r="RER21" s="93"/>
      <c r="RES21" s="93"/>
      <c r="RET21" s="93"/>
      <c r="REU21" s="93"/>
      <c r="REV21" s="93"/>
      <c r="REW21" s="93"/>
      <c r="REX21" s="93"/>
      <c r="REY21" s="93"/>
      <c r="REZ21" s="93"/>
      <c r="RFA21" s="93"/>
      <c r="RFB21" s="93"/>
      <c r="RFC21" s="93"/>
      <c r="RFD21" s="93"/>
      <c r="RFE21" s="93"/>
      <c r="RFF21" s="93"/>
      <c r="RFG21" s="93"/>
      <c r="RFH21" s="93"/>
      <c r="RFI21" s="93"/>
      <c r="RFJ21" s="93"/>
      <c r="RFK21" s="93"/>
      <c r="RFL21" s="93"/>
      <c r="RFM21" s="93"/>
      <c r="RFN21" s="93"/>
      <c r="RFO21" s="93"/>
      <c r="RFP21" s="93"/>
      <c r="RFQ21" s="93"/>
      <c r="RFR21" s="93"/>
      <c r="RFS21" s="93"/>
      <c r="RFT21" s="93"/>
      <c r="RFU21" s="93"/>
      <c r="RFV21" s="93"/>
      <c r="RFW21" s="93"/>
      <c r="RFX21" s="93"/>
      <c r="RFY21" s="93"/>
      <c r="RFZ21" s="93"/>
      <c r="RGA21" s="93"/>
      <c r="RGB21" s="93"/>
      <c r="RGC21" s="93"/>
      <c r="RGD21" s="93"/>
      <c r="RGE21" s="93"/>
      <c r="RGF21" s="93"/>
      <c r="RGG21" s="93"/>
      <c r="RGH21" s="93"/>
      <c r="RGI21" s="93"/>
      <c r="RGJ21" s="93"/>
      <c r="RGK21" s="93"/>
      <c r="RGL21" s="93"/>
      <c r="RGM21" s="93"/>
      <c r="RGN21" s="93"/>
      <c r="RGO21" s="93"/>
      <c r="RGP21" s="93"/>
      <c r="RGQ21" s="93"/>
      <c r="RGR21" s="93"/>
      <c r="RGS21" s="93"/>
      <c r="RGT21" s="93"/>
      <c r="RGU21" s="93"/>
      <c r="RGV21" s="93"/>
      <c r="RGW21" s="93"/>
      <c r="RGX21" s="93"/>
      <c r="RGY21" s="93"/>
      <c r="RGZ21" s="93"/>
      <c r="RHA21" s="93"/>
      <c r="RHB21" s="93"/>
      <c r="RHC21" s="93"/>
      <c r="RHD21" s="93"/>
      <c r="RHE21" s="93"/>
      <c r="RHF21" s="93"/>
      <c r="RHG21" s="93"/>
      <c r="RHH21" s="93"/>
      <c r="RHI21" s="93"/>
      <c r="RHJ21" s="93"/>
      <c r="RHK21" s="93"/>
      <c r="RHL21" s="93"/>
      <c r="RHM21" s="93"/>
      <c r="RHN21" s="93"/>
      <c r="RHO21" s="93"/>
      <c r="RHP21" s="93"/>
      <c r="RHQ21" s="93"/>
      <c r="RHR21" s="93"/>
      <c r="RHS21" s="93"/>
      <c r="RHT21" s="93"/>
      <c r="RHU21" s="93"/>
      <c r="RHV21" s="93"/>
      <c r="RHW21" s="93"/>
      <c r="RHX21" s="93"/>
      <c r="RHY21" s="93"/>
      <c r="RHZ21" s="93"/>
      <c r="RIA21" s="93"/>
      <c r="RIB21" s="93"/>
      <c r="RIC21" s="93"/>
      <c r="RID21" s="93"/>
      <c r="RIE21" s="93"/>
      <c r="RIF21" s="93"/>
      <c r="RIG21" s="93"/>
      <c r="RIH21" s="93"/>
      <c r="RII21" s="93"/>
      <c r="RIJ21" s="93"/>
      <c r="RIK21" s="93"/>
      <c r="RIL21" s="93"/>
      <c r="RIM21" s="93"/>
      <c r="RIN21" s="93"/>
      <c r="RIO21" s="93"/>
      <c r="RIP21" s="93"/>
      <c r="RIQ21" s="93"/>
      <c r="RIR21" s="93"/>
      <c r="RIS21" s="93"/>
      <c r="RIT21" s="93"/>
      <c r="RIU21" s="93"/>
      <c r="RIV21" s="93"/>
      <c r="RIW21" s="93"/>
      <c r="RIX21" s="93"/>
      <c r="RIY21" s="93"/>
      <c r="RIZ21" s="93"/>
      <c r="RJA21" s="93"/>
      <c r="RJB21" s="93"/>
      <c r="RJC21" s="93"/>
      <c r="RJD21" s="93"/>
      <c r="RJE21" s="93"/>
      <c r="RJF21" s="93"/>
      <c r="RJG21" s="93"/>
      <c r="RJH21" s="93"/>
      <c r="RJI21" s="93"/>
      <c r="RJJ21" s="93"/>
      <c r="RJK21" s="93"/>
      <c r="RJL21" s="93"/>
      <c r="RJM21" s="93"/>
      <c r="RJN21" s="93"/>
      <c r="RJO21" s="93"/>
      <c r="RJP21" s="93"/>
      <c r="RJQ21" s="93"/>
      <c r="RJR21" s="93"/>
      <c r="RJS21" s="93"/>
      <c r="RJT21" s="93"/>
      <c r="RJU21" s="93"/>
      <c r="RJV21" s="93"/>
      <c r="RJW21" s="93"/>
      <c r="RJX21" s="93"/>
      <c r="RJY21" s="93"/>
      <c r="RJZ21" s="93"/>
      <c r="RKA21" s="93"/>
      <c r="RKB21" s="93"/>
      <c r="RKC21" s="93"/>
      <c r="RKD21" s="93"/>
      <c r="RKE21" s="93"/>
      <c r="RKF21" s="93"/>
      <c r="RKG21" s="93"/>
      <c r="RKH21" s="93"/>
      <c r="RKI21" s="93"/>
      <c r="RKJ21" s="93"/>
      <c r="RKK21" s="93"/>
      <c r="RKL21" s="93"/>
      <c r="RKM21" s="93"/>
      <c r="RKN21" s="93"/>
      <c r="RKO21" s="93"/>
      <c r="RKP21" s="93"/>
      <c r="RKQ21" s="93"/>
      <c r="RKR21" s="93"/>
      <c r="RKS21" s="93"/>
      <c r="RKT21" s="93"/>
      <c r="RKU21" s="93"/>
      <c r="RKV21" s="93"/>
      <c r="RKW21" s="93"/>
      <c r="RKX21" s="93"/>
      <c r="RKY21" s="93"/>
      <c r="RKZ21" s="93"/>
      <c r="RLA21" s="93"/>
      <c r="RLB21" s="93"/>
      <c r="RLC21" s="93"/>
      <c r="RLD21" s="93"/>
      <c r="RLE21" s="93"/>
      <c r="RLF21" s="93"/>
      <c r="RLG21" s="93"/>
      <c r="RLH21" s="93"/>
      <c r="RLI21" s="93"/>
      <c r="RLJ21" s="93"/>
      <c r="RLK21" s="93"/>
      <c r="RLL21" s="93"/>
      <c r="RLM21" s="93"/>
      <c r="RLN21" s="93"/>
      <c r="RLO21" s="93"/>
      <c r="RLP21" s="93"/>
      <c r="RLQ21" s="93"/>
      <c r="RLR21" s="93"/>
      <c r="RLS21" s="93"/>
      <c r="RLT21" s="93"/>
      <c r="RLU21" s="93"/>
      <c r="RLV21" s="93"/>
      <c r="RLW21" s="93"/>
      <c r="RLX21" s="93"/>
      <c r="RLY21" s="93"/>
      <c r="RLZ21" s="93"/>
      <c r="RMA21" s="93"/>
      <c r="RMB21" s="93"/>
      <c r="RMC21" s="93"/>
      <c r="RMD21" s="93"/>
      <c r="RME21" s="93"/>
      <c r="RMF21" s="93"/>
      <c r="RMG21" s="93"/>
      <c r="RMH21" s="93"/>
      <c r="RMI21" s="93"/>
      <c r="RMJ21" s="93"/>
      <c r="RMK21" s="93"/>
      <c r="RML21" s="93"/>
      <c r="RMM21" s="93"/>
      <c r="RMN21" s="93"/>
      <c r="RMO21" s="93"/>
      <c r="RMP21" s="93"/>
      <c r="RMQ21" s="93"/>
      <c r="RMR21" s="93"/>
      <c r="RMS21" s="93"/>
      <c r="RMT21" s="93"/>
      <c r="RMU21" s="93"/>
      <c r="RMV21" s="93"/>
      <c r="RMW21" s="93"/>
      <c r="RMX21" s="93"/>
      <c r="RMY21" s="93"/>
      <c r="RMZ21" s="93"/>
      <c r="RNA21" s="93"/>
      <c r="RNB21" s="93"/>
      <c r="RNC21" s="93"/>
      <c r="RND21" s="93"/>
      <c r="RNE21" s="93"/>
      <c r="RNF21" s="93"/>
      <c r="RNG21" s="93"/>
      <c r="RNH21" s="93"/>
      <c r="RNI21" s="93"/>
      <c r="RNJ21" s="93"/>
      <c r="RNK21" s="93"/>
      <c r="RNL21" s="93"/>
      <c r="RNM21" s="93"/>
      <c r="RNN21" s="93"/>
      <c r="RNO21" s="93"/>
      <c r="RNP21" s="93"/>
      <c r="RNQ21" s="93"/>
      <c r="RNR21" s="93"/>
      <c r="RNS21" s="93"/>
      <c r="RNT21" s="93"/>
      <c r="RNU21" s="93"/>
      <c r="RNV21" s="93"/>
      <c r="RNW21" s="93"/>
      <c r="RNX21" s="93"/>
      <c r="RNY21" s="93"/>
      <c r="RNZ21" s="93"/>
      <c r="ROA21" s="93"/>
      <c r="ROB21" s="93"/>
      <c r="ROC21" s="93"/>
      <c r="ROD21" s="93"/>
      <c r="ROE21" s="93"/>
      <c r="ROF21" s="93"/>
      <c r="ROG21" s="93"/>
      <c r="ROH21" s="93"/>
      <c r="ROI21" s="93"/>
      <c r="ROJ21" s="93"/>
      <c r="ROK21" s="93"/>
      <c r="ROL21" s="93"/>
      <c r="ROM21" s="93"/>
      <c r="RON21" s="93"/>
      <c r="ROO21" s="93"/>
      <c r="ROP21" s="93"/>
      <c r="ROQ21" s="93"/>
      <c r="ROR21" s="93"/>
      <c r="ROS21" s="93"/>
      <c r="ROT21" s="93"/>
      <c r="ROU21" s="93"/>
      <c r="ROV21" s="93"/>
      <c r="ROW21" s="93"/>
      <c r="ROX21" s="93"/>
      <c r="ROY21" s="93"/>
      <c r="ROZ21" s="93"/>
      <c r="RPA21" s="93"/>
      <c r="RPB21" s="93"/>
      <c r="RPC21" s="93"/>
      <c r="RPD21" s="93"/>
      <c r="RPE21" s="93"/>
      <c r="RPF21" s="93"/>
      <c r="RPG21" s="93"/>
      <c r="RPH21" s="93"/>
      <c r="RPI21" s="93"/>
      <c r="RPJ21" s="93"/>
      <c r="RPK21" s="93"/>
      <c r="RPL21" s="93"/>
      <c r="RPM21" s="93"/>
      <c r="RPN21" s="93"/>
      <c r="RPO21" s="93"/>
      <c r="RPP21" s="93"/>
      <c r="RPQ21" s="93"/>
      <c r="RPR21" s="93"/>
      <c r="RPS21" s="93"/>
      <c r="RPT21" s="93"/>
      <c r="RPU21" s="93"/>
      <c r="RPV21" s="93"/>
      <c r="RPW21" s="93"/>
      <c r="RPX21" s="93"/>
      <c r="RPY21" s="93"/>
      <c r="RPZ21" s="93"/>
      <c r="RQA21" s="93"/>
      <c r="RQB21" s="93"/>
      <c r="RQC21" s="93"/>
      <c r="RQD21" s="93"/>
      <c r="RQE21" s="93"/>
      <c r="RQF21" s="93"/>
      <c r="RQG21" s="93"/>
      <c r="RQH21" s="93"/>
      <c r="RQI21" s="93"/>
      <c r="RQJ21" s="93"/>
      <c r="RQK21" s="93"/>
      <c r="RQL21" s="93"/>
      <c r="RQM21" s="93"/>
      <c r="RQN21" s="93"/>
      <c r="RQO21" s="93"/>
      <c r="RQP21" s="93"/>
      <c r="RQQ21" s="93"/>
      <c r="RQR21" s="93"/>
      <c r="RQS21" s="93"/>
      <c r="RQT21" s="93"/>
      <c r="RQU21" s="93"/>
      <c r="RQV21" s="93"/>
      <c r="RQW21" s="93"/>
      <c r="RQX21" s="93"/>
      <c r="RQY21" s="93"/>
      <c r="RQZ21" s="93"/>
      <c r="RRA21" s="93"/>
      <c r="RRB21" s="93"/>
      <c r="RRC21" s="93"/>
      <c r="RRD21" s="93"/>
      <c r="RRE21" s="93"/>
      <c r="RRF21" s="93"/>
      <c r="RRG21" s="93"/>
      <c r="RRH21" s="93"/>
      <c r="RRI21" s="93"/>
      <c r="RRJ21" s="93"/>
      <c r="RRK21" s="93"/>
      <c r="RRL21" s="93"/>
      <c r="RRM21" s="93"/>
      <c r="RRN21" s="93"/>
      <c r="RRO21" s="93"/>
      <c r="RRP21" s="93"/>
      <c r="RRQ21" s="93"/>
      <c r="RRR21" s="93"/>
      <c r="RRS21" s="93"/>
      <c r="RRT21" s="93"/>
      <c r="RRU21" s="93"/>
      <c r="RRV21" s="93"/>
      <c r="RRW21" s="93"/>
      <c r="RRX21" s="93"/>
      <c r="RRY21" s="93"/>
      <c r="RRZ21" s="93"/>
      <c r="RSA21" s="93"/>
      <c r="RSB21" s="93"/>
      <c r="RSC21" s="93"/>
      <c r="RSD21" s="93"/>
      <c r="RSE21" s="93"/>
      <c r="RSF21" s="93"/>
      <c r="RSG21" s="93"/>
      <c r="RSH21" s="93"/>
      <c r="RSI21" s="93"/>
      <c r="RSJ21" s="93"/>
      <c r="RSK21" s="93"/>
      <c r="RSL21" s="93"/>
      <c r="RSM21" s="93"/>
      <c r="RSN21" s="93"/>
      <c r="RSO21" s="93"/>
      <c r="RSP21" s="93"/>
      <c r="RSQ21" s="93"/>
      <c r="RSR21" s="93"/>
      <c r="RSS21" s="93"/>
      <c r="RST21" s="93"/>
      <c r="RSU21" s="93"/>
      <c r="RSV21" s="93"/>
      <c r="RSW21" s="93"/>
      <c r="RSX21" s="93"/>
      <c r="RSY21" s="93"/>
      <c r="RSZ21" s="93"/>
      <c r="RTA21" s="93"/>
      <c r="RTB21" s="93"/>
      <c r="RTC21" s="93"/>
      <c r="RTD21" s="93"/>
      <c r="RTE21" s="93"/>
      <c r="RTF21" s="93"/>
      <c r="RTG21" s="93"/>
      <c r="RTH21" s="93"/>
      <c r="RTI21" s="93"/>
      <c r="RTJ21" s="93"/>
      <c r="RTK21" s="93"/>
      <c r="RTL21" s="93"/>
      <c r="RTM21" s="93"/>
      <c r="RTN21" s="93"/>
      <c r="RTO21" s="93"/>
      <c r="RTP21" s="93"/>
      <c r="RTQ21" s="93"/>
      <c r="RTR21" s="93"/>
      <c r="RTS21" s="93"/>
      <c r="RTT21" s="93"/>
      <c r="RTU21" s="93"/>
      <c r="RTV21" s="93"/>
      <c r="RTW21" s="93"/>
      <c r="RTX21" s="93"/>
      <c r="RTY21" s="93"/>
      <c r="RTZ21" s="93"/>
      <c r="RUA21" s="93"/>
      <c r="RUB21" s="93"/>
      <c r="RUC21" s="93"/>
      <c r="RUD21" s="93"/>
      <c r="RUE21" s="93"/>
      <c r="RUF21" s="93"/>
      <c r="RUG21" s="93"/>
      <c r="RUH21" s="93"/>
      <c r="RUI21" s="93"/>
      <c r="RUJ21" s="93"/>
      <c r="RUK21" s="93"/>
      <c r="RUL21" s="93"/>
      <c r="RUM21" s="93"/>
      <c r="RUN21" s="93"/>
      <c r="RUO21" s="93"/>
      <c r="RUP21" s="93"/>
      <c r="RUQ21" s="93"/>
      <c r="RUR21" s="93"/>
      <c r="RUS21" s="93"/>
      <c r="RUT21" s="93"/>
      <c r="RUU21" s="93"/>
      <c r="RUV21" s="93"/>
      <c r="RUW21" s="93"/>
      <c r="RUX21" s="93"/>
      <c r="RUY21" s="93"/>
      <c r="RUZ21" s="93"/>
      <c r="RVA21" s="93"/>
      <c r="RVB21" s="93"/>
      <c r="RVC21" s="93"/>
      <c r="RVD21" s="93"/>
      <c r="RVE21" s="93"/>
      <c r="RVF21" s="93"/>
      <c r="RVG21" s="93"/>
      <c r="RVH21" s="93"/>
      <c r="RVI21" s="93"/>
      <c r="RVJ21" s="93"/>
      <c r="RVK21" s="93"/>
      <c r="RVL21" s="93"/>
      <c r="RVM21" s="93"/>
      <c r="RVN21" s="93"/>
      <c r="RVO21" s="93"/>
      <c r="RVP21" s="93"/>
      <c r="RVQ21" s="93"/>
      <c r="RVR21" s="93"/>
      <c r="RVS21" s="93"/>
      <c r="RVT21" s="93"/>
      <c r="RVU21" s="93"/>
      <c r="RVV21" s="93"/>
      <c r="RVW21" s="93"/>
      <c r="RVX21" s="93"/>
      <c r="RVY21" s="93"/>
      <c r="RVZ21" s="93"/>
      <c r="RWA21" s="93"/>
      <c r="RWB21" s="93"/>
      <c r="RWC21" s="93"/>
      <c r="RWD21" s="93"/>
      <c r="RWE21" s="93"/>
      <c r="RWF21" s="93"/>
      <c r="RWG21" s="93"/>
      <c r="RWH21" s="93"/>
      <c r="RWI21" s="93"/>
      <c r="RWJ21" s="93"/>
      <c r="RWK21" s="93"/>
      <c r="RWL21" s="93"/>
      <c r="RWM21" s="93"/>
      <c r="RWN21" s="93"/>
      <c r="RWO21" s="93"/>
      <c r="RWP21" s="93"/>
      <c r="RWQ21" s="93"/>
      <c r="RWR21" s="93"/>
      <c r="RWS21" s="93"/>
      <c r="RWT21" s="93"/>
      <c r="RWU21" s="93"/>
      <c r="RWV21" s="93"/>
      <c r="RWW21" s="93"/>
      <c r="RWX21" s="93"/>
      <c r="RWY21" s="93"/>
      <c r="RWZ21" s="93"/>
      <c r="RXA21" s="93"/>
      <c r="RXB21" s="93"/>
      <c r="RXC21" s="93"/>
      <c r="RXD21" s="93"/>
      <c r="RXE21" s="93"/>
      <c r="RXF21" s="93"/>
      <c r="RXG21" s="93"/>
      <c r="RXH21" s="93"/>
      <c r="RXI21" s="93"/>
      <c r="RXJ21" s="93"/>
      <c r="RXK21" s="93"/>
      <c r="RXL21" s="93"/>
      <c r="RXM21" s="93"/>
      <c r="RXN21" s="93"/>
      <c r="RXO21" s="93"/>
      <c r="RXP21" s="93"/>
      <c r="RXQ21" s="93"/>
      <c r="RXR21" s="93"/>
      <c r="RXS21" s="93"/>
      <c r="RXT21" s="93"/>
      <c r="RXU21" s="93"/>
      <c r="RXV21" s="93"/>
      <c r="RXW21" s="93"/>
      <c r="RXX21" s="93"/>
      <c r="RXY21" s="93"/>
      <c r="RXZ21" s="93"/>
      <c r="RYA21" s="93"/>
      <c r="RYB21" s="93"/>
      <c r="RYC21" s="93"/>
      <c r="RYD21" s="93"/>
      <c r="RYE21" s="93"/>
      <c r="RYF21" s="93"/>
      <c r="RYG21" s="93"/>
      <c r="RYH21" s="93"/>
      <c r="RYI21" s="93"/>
      <c r="RYJ21" s="93"/>
      <c r="RYK21" s="93"/>
      <c r="RYL21" s="93"/>
      <c r="RYM21" s="93"/>
      <c r="RYN21" s="93"/>
      <c r="RYO21" s="93"/>
      <c r="RYP21" s="93"/>
      <c r="RYQ21" s="93"/>
      <c r="RYR21" s="93"/>
      <c r="RYS21" s="93"/>
      <c r="RYT21" s="93"/>
      <c r="RYU21" s="93"/>
      <c r="RYV21" s="93"/>
      <c r="RYW21" s="93"/>
      <c r="RYX21" s="93"/>
      <c r="RYY21" s="93"/>
      <c r="RYZ21" s="93"/>
      <c r="RZA21" s="93"/>
      <c r="RZB21" s="93"/>
      <c r="RZC21" s="93"/>
      <c r="RZD21" s="93"/>
      <c r="RZE21" s="93"/>
      <c r="RZF21" s="93"/>
      <c r="RZG21" s="93"/>
      <c r="RZH21" s="93"/>
      <c r="RZI21" s="93"/>
      <c r="RZJ21" s="93"/>
      <c r="RZK21" s="93"/>
      <c r="RZL21" s="93"/>
      <c r="RZM21" s="93"/>
      <c r="RZN21" s="93"/>
      <c r="RZO21" s="93"/>
      <c r="RZP21" s="93"/>
      <c r="RZQ21" s="93"/>
      <c r="RZR21" s="93"/>
      <c r="RZS21" s="93"/>
      <c r="RZT21" s="93"/>
      <c r="RZU21" s="93"/>
      <c r="RZV21" s="93"/>
      <c r="RZW21" s="93"/>
      <c r="RZX21" s="93"/>
      <c r="RZY21" s="93"/>
      <c r="RZZ21" s="93"/>
      <c r="SAA21" s="93"/>
      <c r="SAB21" s="93"/>
      <c r="SAC21" s="93"/>
      <c r="SAD21" s="93"/>
      <c r="SAE21" s="93"/>
      <c r="SAF21" s="93"/>
      <c r="SAG21" s="93"/>
      <c r="SAH21" s="93"/>
      <c r="SAI21" s="93"/>
      <c r="SAJ21" s="93"/>
      <c r="SAK21" s="93"/>
      <c r="SAL21" s="93"/>
      <c r="SAM21" s="93"/>
      <c r="SAN21" s="93"/>
      <c r="SAO21" s="93"/>
      <c r="SAP21" s="93"/>
      <c r="SAQ21" s="93"/>
      <c r="SAR21" s="93"/>
      <c r="SAS21" s="93"/>
      <c r="SAT21" s="93"/>
      <c r="SAU21" s="93"/>
      <c r="SAV21" s="93"/>
      <c r="SAW21" s="93"/>
      <c r="SAX21" s="93"/>
      <c r="SAY21" s="93"/>
      <c r="SAZ21" s="93"/>
      <c r="SBA21" s="93"/>
      <c r="SBB21" s="93"/>
      <c r="SBC21" s="93"/>
      <c r="SBD21" s="93"/>
      <c r="SBE21" s="93"/>
      <c r="SBF21" s="93"/>
      <c r="SBG21" s="93"/>
      <c r="SBH21" s="93"/>
      <c r="SBI21" s="93"/>
      <c r="SBJ21" s="93"/>
      <c r="SBK21" s="93"/>
      <c r="SBL21" s="93"/>
      <c r="SBM21" s="93"/>
      <c r="SBN21" s="93"/>
      <c r="SBO21" s="93"/>
      <c r="SBP21" s="93"/>
      <c r="SBQ21" s="93"/>
      <c r="SBR21" s="93"/>
      <c r="SBS21" s="93"/>
      <c r="SBT21" s="93"/>
      <c r="SBU21" s="93"/>
      <c r="SBV21" s="93"/>
      <c r="SBW21" s="93"/>
      <c r="SBX21" s="93"/>
      <c r="SBY21" s="93"/>
      <c r="SBZ21" s="93"/>
      <c r="SCA21" s="93"/>
      <c r="SCB21" s="93"/>
      <c r="SCC21" s="93"/>
      <c r="SCD21" s="93"/>
      <c r="SCE21" s="93"/>
      <c r="SCF21" s="93"/>
      <c r="SCG21" s="93"/>
      <c r="SCH21" s="93"/>
      <c r="SCI21" s="93"/>
      <c r="SCJ21" s="93"/>
      <c r="SCK21" s="93"/>
      <c r="SCL21" s="93"/>
      <c r="SCM21" s="93"/>
      <c r="SCN21" s="93"/>
      <c r="SCO21" s="93"/>
      <c r="SCP21" s="93"/>
      <c r="SCQ21" s="93"/>
      <c r="SCR21" s="93"/>
      <c r="SCS21" s="93"/>
      <c r="SCT21" s="93"/>
      <c r="SCU21" s="93"/>
      <c r="SCV21" s="93"/>
      <c r="SCW21" s="93"/>
      <c r="SCX21" s="93"/>
      <c r="SCY21" s="93"/>
      <c r="SCZ21" s="93"/>
      <c r="SDA21" s="93"/>
      <c r="SDB21" s="93"/>
      <c r="SDC21" s="93"/>
      <c r="SDD21" s="93"/>
      <c r="SDE21" s="93"/>
      <c r="SDF21" s="93"/>
      <c r="SDG21" s="93"/>
      <c r="SDH21" s="93"/>
      <c r="SDI21" s="93"/>
      <c r="SDJ21" s="93"/>
      <c r="SDK21" s="93"/>
      <c r="SDL21" s="93"/>
      <c r="SDM21" s="93"/>
      <c r="SDN21" s="93"/>
      <c r="SDO21" s="93"/>
      <c r="SDP21" s="93"/>
      <c r="SDQ21" s="93"/>
      <c r="SDR21" s="93"/>
      <c r="SDS21" s="93"/>
      <c r="SDT21" s="93"/>
      <c r="SDU21" s="93"/>
      <c r="SDV21" s="93"/>
      <c r="SDW21" s="93"/>
      <c r="SDX21" s="93"/>
      <c r="SDY21" s="93"/>
      <c r="SDZ21" s="93"/>
      <c r="SEA21" s="93"/>
      <c r="SEB21" s="93"/>
      <c r="SEC21" s="93"/>
      <c r="SED21" s="93"/>
      <c r="SEE21" s="93"/>
      <c r="SEF21" s="93"/>
      <c r="SEG21" s="93"/>
      <c r="SEH21" s="93"/>
      <c r="SEI21" s="93"/>
      <c r="SEJ21" s="93"/>
      <c r="SEK21" s="93"/>
      <c r="SEL21" s="93"/>
      <c r="SEM21" s="93"/>
      <c r="SEN21" s="93"/>
      <c r="SEO21" s="93"/>
      <c r="SEP21" s="93"/>
      <c r="SEQ21" s="93"/>
      <c r="SER21" s="93"/>
      <c r="SES21" s="93"/>
      <c r="SET21" s="93"/>
      <c r="SEU21" s="93"/>
      <c r="SEV21" s="93"/>
      <c r="SEW21" s="93"/>
      <c r="SEX21" s="93"/>
      <c r="SEY21" s="93"/>
      <c r="SEZ21" s="93"/>
      <c r="SFA21" s="93"/>
      <c r="SFB21" s="93"/>
      <c r="SFC21" s="93"/>
      <c r="SFD21" s="93"/>
      <c r="SFE21" s="93"/>
      <c r="SFF21" s="93"/>
      <c r="SFG21" s="93"/>
      <c r="SFH21" s="93"/>
      <c r="SFI21" s="93"/>
      <c r="SFJ21" s="93"/>
      <c r="SFK21" s="93"/>
      <c r="SFL21" s="93"/>
      <c r="SFM21" s="93"/>
      <c r="SFN21" s="93"/>
      <c r="SFO21" s="93"/>
      <c r="SFP21" s="93"/>
      <c r="SFQ21" s="93"/>
      <c r="SFR21" s="93"/>
      <c r="SFS21" s="93"/>
      <c r="SFT21" s="93"/>
      <c r="SFU21" s="93"/>
      <c r="SFV21" s="93"/>
      <c r="SFW21" s="93"/>
      <c r="SFX21" s="93"/>
      <c r="SFY21" s="93"/>
      <c r="SFZ21" s="93"/>
      <c r="SGA21" s="93"/>
      <c r="SGB21" s="93"/>
      <c r="SGC21" s="93"/>
      <c r="SGD21" s="93"/>
      <c r="SGE21" s="93"/>
      <c r="SGF21" s="93"/>
      <c r="SGG21" s="93"/>
      <c r="SGH21" s="93"/>
      <c r="SGI21" s="93"/>
      <c r="SGJ21" s="93"/>
      <c r="SGK21" s="93"/>
      <c r="SGL21" s="93"/>
      <c r="SGM21" s="93"/>
      <c r="SGN21" s="93"/>
      <c r="SGO21" s="93"/>
      <c r="SGP21" s="93"/>
      <c r="SGQ21" s="93"/>
      <c r="SGR21" s="93"/>
      <c r="SGS21" s="93"/>
      <c r="SGT21" s="93"/>
      <c r="SGU21" s="93"/>
      <c r="SGV21" s="93"/>
      <c r="SGW21" s="93"/>
      <c r="SGX21" s="93"/>
      <c r="SGY21" s="93"/>
      <c r="SGZ21" s="93"/>
      <c r="SHA21" s="93"/>
      <c r="SHB21" s="93"/>
      <c r="SHC21" s="93"/>
      <c r="SHD21" s="93"/>
      <c r="SHE21" s="93"/>
      <c r="SHF21" s="93"/>
      <c r="SHG21" s="93"/>
      <c r="SHH21" s="93"/>
      <c r="SHI21" s="93"/>
      <c r="SHJ21" s="93"/>
      <c r="SHK21" s="93"/>
      <c r="SHL21" s="93"/>
      <c r="SHM21" s="93"/>
      <c r="SHN21" s="93"/>
      <c r="SHO21" s="93"/>
      <c r="SHP21" s="93"/>
      <c r="SHQ21" s="93"/>
      <c r="SHR21" s="93"/>
      <c r="SHS21" s="93"/>
      <c r="SHT21" s="93"/>
      <c r="SHU21" s="93"/>
      <c r="SHV21" s="93"/>
      <c r="SHW21" s="93"/>
      <c r="SHX21" s="93"/>
      <c r="SHY21" s="93"/>
      <c r="SHZ21" s="93"/>
      <c r="SIA21" s="93"/>
      <c r="SIB21" s="93"/>
      <c r="SIC21" s="93"/>
      <c r="SID21" s="93"/>
      <c r="SIE21" s="93"/>
      <c r="SIF21" s="93"/>
      <c r="SIG21" s="93"/>
      <c r="SIH21" s="93"/>
      <c r="SII21" s="93"/>
      <c r="SIJ21" s="93"/>
      <c r="SIK21" s="93"/>
      <c r="SIL21" s="93"/>
      <c r="SIM21" s="93"/>
      <c r="SIN21" s="93"/>
      <c r="SIO21" s="93"/>
      <c r="SIP21" s="93"/>
      <c r="SIQ21" s="93"/>
      <c r="SIR21" s="93"/>
      <c r="SIS21" s="93"/>
      <c r="SIT21" s="93"/>
      <c r="SIU21" s="93"/>
      <c r="SIV21" s="93"/>
      <c r="SIW21" s="93"/>
      <c r="SIX21" s="93"/>
      <c r="SIY21" s="93"/>
      <c r="SIZ21" s="93"/>
      <c r="SJA21" s="93"/>
      <c r="SJB21" s="93"/>
      <c r="SJC21" s="93"/>
      <c r="SJD21" s="93"/>
      <c r="SJE21" s="93"/>
      <c r="SJF21" s="93"/>
      <c r="SJG21" s="93"/>
      <c r="SJH21" s="93"/>
      <c r="SJI21" s="93"/>
      <c r="SJJ21" s="93"/>
      <c r="SJK21" s="93"/>
      <c r="SJL21" s="93"/>
      <c r="SJM21" s="93"/>
      <c r="SJN21" s="93"/>
      <c r="SJO21" s="93"/>
      <c r="SJP21" s="93"/>
      <c r="SJQ21" s="93"/>
      <c r="SJR21" s="93"/>
      <c r="SJS21" s="93"/>
      <c r="SJT21" s="93"/>
      <c r="SJU21" s="93"/>
      <c r="SJV21" s="93"/>
      <c r="SJW21" s="93"/>
      <c r="SJX21" s="93"/>
      <c r="SJY21" s="93"/>
      <c r="SJZ21" s="93"/>
      <c r="SKA21" s="93"/>
      <c r="SKB21" s="93"/>
      <c r="SKC21" s="93"/>
      <c r="SKD21" s="93"/>
      <c r="SKE21" s="93"/>
      <c r="SKF21" s="93"/>
      <c r="SKG21" s="93"/>
      <c r="SKH21" s="93"/>
      <c r="SKI21" s="93"/>
      <c r="SKJ21" s="93"/>
      <c r="SKK21" s="93"/>
      <c r="SKL21" s="93"/>
      <c r="SKM21" s="93"/>
      <c r="SKN21" s="93"/>
      <c r="SKO21" s="93"/>
      <c r="SKP21" s="93"/>
      <c r="SKQ21" s="93"/>
      <c r="SKR21" s="93"/>
      <c r="SKS21" s="93"/>
      <c r="SKT21" s="93"/>
      <c r="SKU21" s="93"/>
      <c r="SKV21" s="93"/>
      <c r="SKW21" s="93"/>
      <c r="SKX21" s="93"/>
      <c r="SKY21" s="93"/>
      <c r="SKZ21" s="93"/>
      <c r="SLA21" s="93"/>
      <c r="SLB21" s="93"/>
      <c r="SLC21" s="93"/>
      <c r="SLD21" s="93"/>
      <c r="SLE21" s="93"/>
      <c r="SLF21" s="93"/>
      <c r="SLG21" s="93"/>
      <c r="SLH21" s="93"/>
      <c r="SLI21" s="93"/>
      <c r="SLJ21" s="93"/>
      <c r="SLK21" s="93"/>
      <c r="SLL21" s="93"/>
      <c r="SLM21" s="93"/>
      <c r="SLN21" s="93"/>
      <c r="SLO21" s="93"/>
      <c r="SLP21" s="93"/>
      <c r="SLQ21" s="93"/>
      <c r="SLR21" s="93"/>
      <c r="SLS21" s="93"/>
      <c r="SLT21" s="93"/>
      <c r="SLU21" s="93"/>
      <c r="SLV21" s="93"/>
      <c r="SLW21" s="93"/>
      <c r="SLX21" s="93"/>
      <c r="SLY21" s="93"/>
      <c r="SLZ21" s="93"/>
      <c r="SMA21" s="93"/>
      <c r="SMB21" s="93"/>
      <c r="SMC21" s="93"/>
      <c r="SMD21" s="93"/>
      <c r="SME21" s="93"/>
      <c r="SMF21" s="93"/>
      <c r="SMG21" s="93"/>
      <c r="SMH21" s="93"/>
      <c r="SMI21" s="93"/>
      <c r="SMJ21" s="93"/>
      <c r="SMK21" s="93"/>
      <c r="SML21" s="93"/>
      <c r="SMM21" s="93"/>
      <c r="SMN21" s="93"/>
      <c r="SMO21" s="93"/>
      <c r="SMP21" s="93"/>
      <c r="SMQ21" s="93"/>
      <c r="SMR21" s="93"/>
      <c r="SMS21" s="93"/>
      <c r="SMT21" s="93"/>
      <c r="SMU21" s="93"/>
      <c r="SMV21" s="93"/>
      <c r="SMW21" s="93"/>
      <c r="SMX21" s="93"/>
      <c r="SMY21" s="93"/>
      <c r="SMZ21" s="93"/>
      <c r="SNA21" s="93"/>
      <c r="SNB21" s="93"/>
      <c r="SNC21" s="93"/>
      <c r="SND21" s="93"/>
      <c r="SNE21" s="93"/>
      <c r="SNF21" s="93"/>
      <c r="SNG21" s="93"/>
      <c r="SNH21" s="93"/>
      <c r="SNI21" s="93"/>
      <c r="SNJ21" s="93"/>
      <c r="SNK21" s="93"/>
      <c r="SNL21" s="93"/>
      <c r="SNM21" s="93"/>
      <c r="SNN21" s="93"/>
      <c r="SNO21" s="93"/>
      <c r="SNP21" s="93"/>
      <c r="SNQ21" s="93"/>
      <c r="SNR21" s="93"/>
      <c r="SNS21" s="93"/>
      <c r="SNT21" s="93"/>
      <c r="SNU21" s="93"/>
      <c r="SNV21" s="93"/>
      <c r="SNW21" s="93"/>
      <c r="SNX21" s="93"/>
      <c r="SNY21" s="93"/>
      <c r="SNZ21" s="93"/>
      <c r="SOA21" s="93"/>
      <c r="SOB21" s="93"/>
      <c r="SOC21" s="93"/>
      <c r="SOD21" s="93"/>
      <c r="SOE21" s="93"/>
      <c r="SOF21" s="93"/>
      <c r="SOG21" s="93"/>
      <c r="SOH21" s="93"/>
      <c r="SOI21" s="93"/>
      <c r="SOJ21" s="93"/>
      <c r="SOK21" s="93"/>
      <c r="SOL21" s="93"/>
      <c r="SOM21" s="93"/>
      <c r="SON21" s="93"/>
      <c r="SOO21" s="93"/>
      <c r="SOP21" s="93"/>
      <c r="SOQ21" s="93"/>
      <c r="SOR21" s="93"/>
      <c r="SOS21" s="93"/>
      <c r="SOT21" s="93"/>
      <c r="SOU21" s="93"/>
      <c r="SOV21" s="93"/>
      <c r="SOW21" s="93"/>
      <c r="SOX21" s="93"/>
      <c r="SOY21" s="93"/>
      <c r="SOZ21" s="93"/>
      <c r="SPA21" s="93"/>
      <c r="SPB21" s="93"/>
      <c r="SPC21" s="93"/>
      <c r="SPD21" s="93"/>
      <c r="SPE21" s="93"/>
      <c r="SPF21" s="93"/>
      <c r="SPG21" s="93"/>
      <c r="SPH21" s="93"/>
      <c r="SPI21" s="93"/>
      <c r="SPJ21" s="93"/>
      <c r="SPK21" s="93"/>
      <c r="SPL21" s="93"/>
      <c r="SPM21" s="93"/>
      <c r="SPN21" s="93"/>
      <c r="SPO21" s="93"/>
      <c r="SPP21" s="93"/>
      <c r="SPQ21" s="93"/>
      <c r="SPR21" s="93"/>
      <c r="SPS21" s="93"/>
      <c r="SPT21" s="93"/>
      <c r="SPU21" s="93"/>
      <c r="SPV21" s="93"/>
      <c r="SPW21" s="93"/>
      <c r="SPX21" s="93"/>
      <c r="SPY21" s="93"/>
      <c r="SPZ21" s="93"/>
      <c r="SQA21" s="93"/>
      <c r="SQB21" s="93"/>
      <c r="SQC21" s="93"/>
      <c r="SQD21" s="93"/>
      <c r="SQE21" s="93"/>
      <c r="SQF21" s="93"/>
      <c r="SQG21" s="93"/>
      <c r="SQH21" s="93"/>
      <c r="SQI21" s="93"/>
      <c r="SQJ21" s="93"/>
      <c r="SQK21" s="93"/>
      <c r="SQL21" s="93"/>
      <c r="SQM21" s="93"/>
      <c r="SQN21" s="93"/>
      <c r="SQO21" s="93"/>
      <c r="SQP21" s="93"/>
      <c r="SQQ21" s="93"/>
      <c r="SQR21" s="93"/>
      <c r="SQS21" s="93"/>
      <c r="SQT21" s="93"/>
      <c r="SQU21" s="93"/>
      <c r="SQV21" s="93"/>
      <c r="SQW21" s="93"/>
      <c r="SQX21" s="93"/>
      <c r="SQY21" s="93"/>
      <c r="SQZ21" s="93"/>
      <c r="SRA21" s="93"/>
      <c r="SRB21" s="93"/>
      <c r="SRC21" s="93"/>
      <c r="SRD21" s="93"/>
      <c r="SRE21" s="93"/>
      <c r="SRF21" s="93"/>
      <c r="SRG21" s="93"/>
      <c r="SRH21" s="93"/>
      <c r="SRI21" s="93"/>
      <c r="SRJ21" s="93"/>
      <c r="SRK21" s="93"/>
      <c r="SRL21" s="93"/>
      <c r="SRM21" s="93"/>
      <c r="SRN21" s="93"/>
      <c r="SRO21" s="93"/>
      <c r="SRP21" s="93"/>
      <c r="SRQ21" s="93"/>
      <c r="SRR21" s="93"/>
      <c r="SRS21" s="93"/>
      <c r="SRT21" s="93"/>
      <c r="SRU21" s="93"/>
      <c r="SRV21" s="93"/>
      <c r="SRW21" s="93"/>
      <c r="SRX21" s="93"/>
      <c r="SRY21" s="93"/>
      <c r="SRZ21" s="93"/>
      <c r="SSA21" s="93"/>
      <c r="SSB21" s="93"/>
      <c r="SSC21" s="93"/>
      <c r="SSD21" s="93"/>
      <c r="SSE21" s="93"/>
      <c r="SSF21" s="93"/>
      <c r="SSG21" s="93"/>
      <c r="SSH21" s="93"/>
      <c r="SSI21" s="93"/>
      <c r="SSJ21" s="93"/>
      <c r="SSK21" s="93"/>
      <c r="SSL21" s="93"/>
      <c r="SSM21" s="93"/>
      <c r="SSN21" s="93"/>
      <c r="SSO21" s="93"/>
      <c r="SSP21" s="93"/>
      <c r="SSQ21" s="93"/>
      <c r="SSR21" s="93"/>
      <c r="SSS21" s="93"/>
      <c r="SST21" s="93"/>
      <c r="SSU21" s="93"/>
      <c r="SSV21" s="93"/>
      <c r="SSW21" s="93"/>
      <c r="SSX21" s="93"/>
      <c r="SSY21" s="93"/>
      <c r="SSZ21" s="93"/>
      <c r="STA21" s="93"/>
      <c r="STB21" s="93"/>
      <c r="STC21" s="93"/>
      <c r="STD21" s="93"/>
      <c r="STE21" s="93"/>
      <c r="STF21" s="93"/>
      <c r="STG21" s="93"/>
      <c r="STH21" s="93"/>
      <c r="STI21" s="93"/>
      <c r="STJ21" s="93"/>
      <c r="STK21" s="93"/>
      <c r="STL21" s="93"/>
      <c r="STM21" s="93"/>
      <c r="STN21" s="93"/>
      <c r="STO21" s="93"/>
      <c r="STP21" s="93"/>
      <c r="STQ21" s="93"/>
      <c r="STR21" s="93"/>
      <c r="STS21" s="93"/>
      <c r="STT21" s="93"/>
      <c r="STU21" s="93"/>
      <c r="STV21" s="93"/>
      <c r="STW21" s="93"/>
      <c r="STX21" s="93"/>
      <c r="STY21" s="93"/>
      <c r="STZ21" s="93"/>
      <c r="SUA21" s="93"/>
      <c r="SUB21" s="93"/>
      <c r="SUC21" s="93"/>
      <c r="SUD21" s="93"/>
      <c r="SUE21" s="93"/>
      <c r="SUF21" s="93"/>
      <c r="SUG21" s="93"/>
      <c r="SUH21" s="93"/>
      <c r="SUI21" s="93"/>
      <c r="SUJ21" s="93"/>
      <c r="SUK21" s="93"/>
      <c r="SUL21" s="93"/>
      <c r="SUM21" s="93"/>
      <c r="SUN21" s="93"/>
      <c r="SUO21" s="93"/>
      <c r="SUP21" s="93"/>
      <c r="SUQ21" s="93"/>
      <c r="SUR21" s="93"/>
      <c r="SUS21" s="93"/>
      <c r="SUT21" s="93"/>
      <c r="SUU21" s="93"/>
      <c r="SUV21" s="93"/>
      <c r="SUW21" s="93"/>
      <c r="SUX21" s="93"/>
      <c r="SUY21" s="93"/>
      <c r="SUZ21" s="93"/>
      <c r="SVA21" s="93"/>
      <c r="SVB21" s="93"/>
      <c r="SVC21" s="93"/>
      <c r="SVD21" s="93"/>
      <c r="SVE21" s="93"/>
      <c r="SVF21" s="93"/>
      <c r="SVG21" s="93"/>
      <c r="SVH21" s="93"/>
      <c r="SVI21" s="93"/>
      <c r="SVJ21" s="93"/>
      <c r="SVK21" s="93"/>
      <c r="SVL21" s="93"/>
      <c r="SVM21" s="93"/>
      <c r="SVN21" s="93"/>
      <c r="SVO21" s="93"/>
      <c r="SVP21" s="93"/>
      <c r="SVQ21" s="93"/>
      <c r="SVR21" s="93"/>
      <c r="SVS21" s="93"/>
      <c r="SVT21" s="93"/>
      <c r="SVU21" s="93"/>
      <c r="SVV21" s="93"/>
      <c r="SVW21" s="93"/>
      <c r="SVX21" s="93"/>
      <c r="SVY21" s="93"/>
      <c r="SVZ21" s="93"/>
      <c r="SWA21" s="93"/>
      <c r="SWB21" s="93"/>
      <c r="SWC21" s="93"/>
      <c r="SWD21" s="93"/>
      <c r="SWE21" s="93"/>
      <c r="SWF21" s="93"/>
      <c r="SWG21" s="93"/>
      <c r="SWH21" s="93"/>
      <c r="SWI21" s="93"/>
      <c r="SWJ21" s="93"/>
      <c r="SWK21" s="93"/>
      <c r="SWL21" s="93"/>
      <c r="SWM21" s="93"/>
      <c r="SWN21" s="93"/>
      <c r="SWO21" s="93"/>
      <c r="SWP21" s="93"/>
      <c r="SWQ21" s="93"/>
      <c r="SWR21" s="93"/>
      <c r="SWS21" s="93"/>
      <c r="SWT21" s="93"/>
      <c r="SWU21" s="93"/>
      <c r="SWV21" s="93"/>
      <c r="SWW21" s="93"/>
      <c r="SWX21" s="93"/>
      <c r="SWY21" s="93"/>
      <c r="SWZ21" s="93"/>
      <c r="SXA21" s="93"/>
      <c r="SXB21" s="93"/>
      <c r="SXC21" s="93"/>
      <c r="SXD21" s="93"/>
      <c r="SXE21" s="93"/>
      <c r="SXF21" s="93"/>
      <c r="SXG21" s="93"/>
      <c r="SXH21" s="93"/>
      <c r="SXI21" s="93"/>
      <c r="SXJ21" s="93"/>
      <c r="SXK21" s="93"/>
      <c r="SXL21" s="93"/>
      <c r="SXM21" s="93"/>
      <c r="SXN21" s="93"/>
      <c r="SXO21" s="93"/>
      <c r="SXP21" s="93"/>
      <c r="SXQ21" s="93"/>
      <c r="SXR21" s="93"/>
      <c r="SXS21" s="93"/>
      <c r="SXT21" s="93"/>
      <c r="SXU21" s="93"/>
      <c r="SXV21" s="93"/>
      <c r="SXW21" s="93"/>
      <c r="SXX21" s="93"/>
      <c r="SXY21" s="93"/>
      <c r="SXZ21" s="93"/>
      <c r="SYA21" s="93"/>
      <c r="SYB21" s="93"/>
      <c r="SYC21" s="93"/>
      <c r="SYD21" s="93"/>
      <c r="SYE21" s="93"/>
      <c r="SYF21" s="93"/>
      <c r="SYG21" s="93"/>
      <c r="SYH21" s="93"/>
      <c r="SYI21" s="93"/>
      <c r="SYJ21" s="93"/>
      <c r="SYK21" s="93"/>
      <c r="SYL21" s="93"/>
      <c r="SYM21" s="93"/>
      <c r="SYN21" s="93"/>
      <c r="SYO21" s="93"/>
      <c r="SYP21" s="93"/>
      <c r="SYQ21" s="93"/>
      <c r="SYR21" s="93"/>
      <c r="SYS21" s="93"/>
      <c r="SYT21" s="93"/>
      <c r="SYU21" s="93"/>
      <c r="SYV21" s="93"/>
      <c r="SYW21" s="93"/>
      <c r="SYX21" s="93"/>
      <c r="SYY21" s="93"/>
      <c r="SYZ21" s="93"/>
      <c r="SZA21" s="93"/>
      <c r="SZB21" s="93"/>
      <c r="SZC21" s="93"/>
      <c r="SZD21" s="93"/>
      <c r="SZE21" s="93"/>
      <c r="SZF21" s="93"/>
      <c r="SZG21" s="93"/>
      <c r="SZH21" s="93"/>
      <c r="SZI21" s="93"/>
      <c r="SZJ21" s="93"/>
      <c r="SZK21" s="93"/>
      <c r="SZL21" s="93"/>
      <c r="SZM21" s="93"/>
      <c r="SZN21" s="93"/>
      <c r="SZO21" s="93"/>
      <c r="SZP21" s="93"/>
      <c r="SZQ21" s="93"/>
      <c r="SZR21" s="93"/>
      <c r="SZS21" s="93"/>
      <c r="SZT21" s="93"/>
      <c r="SZU21" s="93"/>
      <c r="SZV21" s="93"/>
      <c r="SZW21" s="93"/>
      <c r="SZX21" s="93"/>
      <c r="SZY21" s="93"/>
      <c r="SZZ21" s="93"/>
      <c r="TAA21" s="93"/>
      <c r="TAB21" s="93"/>
      <c r="TAC21" s="93"/>
      <c r="TAD21" s="93"/>
      <c r="TAE21" s="93"/>
      <c r="TAF21" s="93"/>
      <c r="TAG21" s="93"/>
      <c r="TAH21" s="93"/>
      <c r="TAI21" s="93"/>
      <c r="TAJ21" s="93"/>
      <c r="TAK21" s="93"/>
      <c r="TAL21" s="93"/>
      <c r="TAM21" s="93"/>
      <c r="TAN21" s="93"/>
      <c r="TAO21" s="93"/>
      <c r="TAP21" s="93"/>
      <c r="TAQ21" s="93"/>
      <c r="TAR21" s="93"/>
      <c r="TAS21" s="93"/>
      <c r="TAT21" s="93"/>
      <c r="TAU21" s="93"/>
      <c r="TAV21" s="93"/>
      <c r="TAW21" s="93"/>
      <c r="TAX21" s="93"/>
      <c r="TAY21" s="93"/>
      <c r="TAZ21" s="93"/>
      <c r="TBA21" s="93"/>
      <c r="TBB21" s="93"/>
      <c r="TBC21" s="93"/>
      <c r="TBD21" s="93"/>
      <c r="TBE21" s="93"/>
      <c r="TBF21" s="93"/>
      <c r="TBG21" s="93"/>
      <c r="TBH21" s="93"/>
      <c r="TBI21" s="93"/>
      <c r="TBJ21" s="93"/>
      <c r="TBK21" s="93"/>
      <c r="TBL21" s="93"/>
      <c r="TBM21" s="93"/>
      <c r="TBN21" s="93"/>
      <c r="TBO21" s="93"/>
      <c r="TBP21" s="93"/>
      <c r="TBQ21" s="93"/>
      <c r="TBR21" s="93"/>
      <c r="TBS21" s="93"/>
      <c r="TBT21" s="93"/>
      <c r="TBU21" s="93"/>
      <c r="TBV21" s="93"/>
      <c r="TBW21" s="93"/>
      <c r="TBX21" s="93"/>
      <c r="TBY21" s="93"/>
      <c r="TBZ21" s="93"/>
      <c r="TCA21" s="93"/>
      <c r="TCB21" s="93"/>
      <c r="TCC21" s="93"/>
      <c r="TCD21" s="93"/>
      <c r="TCE21" s="93"/>
      <c r="TCF21" s="93"/>
      <c r="TCG21" s="93"/>
      <c r="TCH21" s="93"/>
      <c r="TCI21" s="93"/>
      <c r="TCJ21" s="93"/>
      <c r="TCK21" s="93"/>
      <c r="TCL21" s="93"/>
      <c r="TCM21" s="93"/>
      <c r="TCN21" s="93"/>
      <c r="TCO21" s="93"/>
      <c r="TCP21" s="93"/>
      <c r="TCQ21" s="93"/>
      <c r="TCR21" s="93"/>
      <c r="TCS21" s="93"/>
      <c r="TCT21" s="93"/>
      <c r="TCU21" s="93"/>
      <c r="TCV21" s="93"/>
      <c r="TCW21" s="93"/>
      <c r="TCX21" s="93"/>
      <c r="TCY21" s="93"/>
      <c r="TCZ21" s="93"/>
      <c r="TDA21" s="93"/>
      <c r="TDB21" s="93"/>
      <c r="TDC21" s="93"/>
      <c r="TDD21" s="93"/>
      <c r="TDE21" s="93"/>
      <c r="TDF21" s="93"/>
      <c r="TDG21" s="93"/>
      <c r="TDH21" s="93"/>
      <c r="TDI21" s="93"/>
      <c r="TDJ21" s="93"/>
      <c r="TDK21" s="93"/>
      <c r="TDL21" s="93"/>
      <c r="TDM21" s="93"/>
      <c r="TDN21" s="93"/>
      <c r="TDO21" s="93"/>
      <c r="TDP21" s="93"/>
      <c r="TDQ21" s="93"/>
      <c r="TDR21" s="93"/>
      <c r="TDS21" s="93"/>
      <c r="TDT21" s="93"/>
      <c r="TDU21" s="93"/>
      <c r="TDV21" s="93"/>
      <c r="TDW21" s="93"/>
      <c r="TDX21" s="93"/>
      <c r="TDY21" s="93"/>
      <c r="TDZ21" s="93"/>
      <c r="TEA21" s="93"/>
      <c r="TEB21" s="93"/>
      <c r="TEC21" s="93"/>
      <c r="TED21" s="93"/>
      <c r="TEE21" s="93"/>
      <c r="TEF21" s="93"/>
      <c r="TEG21" s="93"/>
      <c r="TEH21" s="93"/>
      <c r="TEI21" s="93"/>
      <c r="TEJ21" s="93"/>
      <c r="TEK21" s="93"/>
      <c r="TEL21" s="93"/>
      <c r="TEM21" s="93"/>
      <c r="TEN21" s="93"/>
      <c r="TEO21" s="93"/>
      <c r="TEP21" s="93"/>
      <c r="TEQ21" s="93"/>
      <c r="TER21" s="93"/>
      <c r="TES21" s="93"/>
      <c r="TET21" s="93"/>
      <c r="TEU21" s="93"/>
      <c r="TEV21" s="93"/>
      <c r="TEW21" s="93"/>
      <c r="TEX21" s="93"/>
      <c r="TEY21" s="93"/>
      <c r="TEZ21" s="93"/>
      <c r="TFA21" s="93"/>
      <c r="TFB21" s="93"/>
      <c r="TFC21" s="93"/>
      <c r="TFD21" s="93"/>
      <c r="TFE21" s="93"/>
      <c r="TFF21" s="93"/>
      <c r="TFG21" s="93"/>
      <c r="TFH21" s="93"/>
      <c r="TFI21" s="93"/>
      <c r="TFJ21" s="93"/>
      <c r="TFK21" s="93"/>
      <c r="TFL21" s="93"/>
      <c r="TFM21" s="93"/>
      <c r="TFN21" s="93"/>
      <c r="TFO21" s="93"/>
      <c r="TFP21" s="93"/>
      <c r="TFQ21" s="93"/>
      <c r="TFR21" s="93"/>
      <c r="TFS21" s="93"/>
      <c r="TFT21" s="93"/>
      <c r="TFU21" s="93"/>
      <c r="TFV21" s="93"/>
      <c r="TFW21" s="93"/>
      <c r="TFX21" s="93"/>
      <c r="TFY21" s="93"/>
      <c r="TFZ21" s="93"/>
      <c r="TGA21" s="93"/>
      <c r="TGB21" s="93"/>
      <c r="TGC21" s="93"/>
      <c r="TGD21" s="93"/>
      <c r="TGE21" s="93"/>
      <c r="TGF21" s="93"/>
      <c r="TGG21" s="93"/>
      <c r="TGH21" s="93"/>
      <c r="TGI21" s="93"/>
      <c r="TGJ21" s="93"/>
      <c r="TGK21" s="93"/>
      <c r="TGL21" s="93"/>
      <c r="TGM21" s="93"/>
      <c r="TGN21" s="93"/>
      <c r="TGO21" s="93"/>
      <c r="TGP21" s="93"/>
      <c r="TGQ21" s="93"/>
      <c r="TGR21" s="93"/>
      <c r="TGS21" s="93"/>
      <c r="TGT21" s="93"/>
      <c r="TGU21" s="93"/>
      <c r="TGV21" s="93"/>
      <c r="TGW21" s="93"/>
      <c r="TGX21" s="93"/>
      <c r="TGY21" s="93"/>
      <c r="TGZ21" s="93"/>
      <c r="THA21" s="93"/>
      <c r="THB21" s="93"/>
      <c r="THC21" s="93"/>
      <c r="THD21" s="93"/>
      <c r="THE21" s="93"/>
      <c r="THF21" s="93"/>
      <c r="THG21" s="93"/>
      <c r="THH21" s="93"/>
      <c r="THI21" s="93"/>
      <c r="THJ21" s="93"/>
      <c r="THK21" s="93"/>
      <c r="THL21" s="93"/>
      <c r="THM21" s="93"/>
      <c r="THN21" s="93"/>
      <c r="THO21" s="93"/>
      <c r="THP21" s="93"/>
      <c r="THQ21" s="93"/>
      <c r="THR21" s="93"/>
      <c r="THS21" s="93"/>
      <c r="THT21" s="93"/>
      <c r="THU21" s="93"/>
      <c r="THV21" s="93"/>
      <c r="THW21" s="93"/>
      <c r="THX21" s="93"/>
      <c r="THY21" s="93"/>
      <c r="THZ21" s="93"/>
      <c r="TIA21" s="93"/>
      <c r="TIB21" s="93"/>
      <c r="TIC21" s="93"/>
      <c r="TID21" s="93"/>
      <c r="TIE21" s="93"/>
      <c r="TIF21" s="93"/>
      <c r="TIG21" s="93"/>
      <c r="TIH21" s="93"/>
      <c r="TII21" s="93"/>
      <c r="TIJ21" s="93"/>
      <c r="TIK21" s="93"/>
      <c r="TIL21" s="93"/>
      <c r="TIM21" s="93"/>
      <c r="TIN21" s="93"/>
      <c r="TIO21" s="93"/>
      <c r="TIP21" s="93"/>
      <c r="TIQ21" s="93"/>
      <c r="TIR21" s="93"/>
      <c r="TIS21" s="93"/>
      <c r="TIT21" s="93"/>
      <c r="TIU21" s="93"/>
      <c r="TIV21" s="93"/>
      <c r="TIW21" s="93"/>
      <c r="TIX21" s="93"/>
      <c r="TIY21" s="93"/>
      <c r="TIZ21" s="93"/>
      <c r="TJA21" s="93"/>
      <c r="TJB21" s="93"/>
      <c r="TJC21" s="93"/>
      <c r="TJD21" s="93"/>
      <c r="TJE21" s="93"/>
      <c r="TJF21" s="93"/>
      <c r="TJG21" s="93"/>
      <c r="TJH21" s="93"/>
      <c r="TJI21" s="93"/>
      <c r="TJJ21" s="93"/>
      <c r="TJK21" s="93"/>
      <c r="TJL21" s="93"/>
      <c r="TJM21" s="93"/>
      <c r="TJN21" s="93"/>
      <c r="TJO21" s="93"/>
      <c r="TJP21" s="93"/>
      <c r="TJQ21" s="93"/>
      <c r="TJR21" s="93"/>
      <c r="TJS21" s="93"/>
      <c r="TJT21" s="93"/>
      <c r="TJU21" s="93"/>
      <c r="TJV21" s="93"/>
      <c r="TJW21" s="93"/>
      <c r="TJX21" s="93"/>
      <c r="TJY21" s="93"/>
      <c r="TJZ21" s="93"/>
      <c r="TKA21" s="93"/>
      <c r="TKB21" s="93"/>
      <c r="TKC21" s="93"/>
      <c r="TKD21" s="93"/>
      <c r="TKE21" s="93"/>
      <c r="TKF21" s="93"/>
      <c r="TKG21" s="93"/>
      <c r="TKH21" s="93"/>
      <c r="TKI21" s="93"/>
      <c r="TKJ21" s="93"/>
      <c r="TKK21" s="93"/>
      <c r="TKL21" s="93"/>
      <c r="TKM21" s="93"/>
      <c r="TKN21" s="93"/>
      <c r="TKO21" s="93"/>
      <c r="TKP21" s="93"/>
      <c r="TKQ21" s="93"/>
      <c r="TKR21" s="93"/>
      <c r="TKS21" s="93"/>
      <c r="TKT21" s="93"/>
      <c r="TKU21" s="93"/>
      <c r="TKV21" s="93"/>
      <c r="TKW21" s="93"/>
      <c r="TKX21" s="93"/>
      <c r="TKY21" s="93"/>
      <c r="TKZ21" s="93"/>
      <c r="TLA21" s="93"/>
      <c r="TLB21" s="93"/>
      <c r="TLC21" s="93"/>
      <c r="TLD21" s="93"/>
      <c r="TLE21" s="93"/>
      <c r="TLF21" s="93"/>
      <c r="TLG21" s="93"/>
      <c r="TLH21" s="93"/>
      <c r="TLI21" s="93"/>
      <c r="TLJ21" s="93"/>
      <c r="TLK21" s="93"/>
      <c r="TLL21" s="93"/>
      <c r="TLM21" s="93"/>
      <c r="TLN21" s="93"/>
      <c r="TLO21" s="93"/>
      <c r="TLP21" s="93"/>
      <c r="TLQ21" s="93"/>
      <c r="TLR21" s="93"/>
      <c r="TLS21" s="93"/>
      <c r="TLT21" s="93"/>
      <c r="TLU21" s="93"/>
      <c r="TLV21" s="93"/>
      <c r="TLW21" s="93"/>
      <c r="TLX21" s="93"/>
      <c r="TLY21" s="93"/>
      <c r="TLZ21" s="93"/>
      <c r="TMA21" s="93"/>
      <c r="TMB21" s="93"/>
      <c r="TMC21" s="93"/>
      <c r="TMD21" s="93"/>
      <c r="TME21" s="93"/>
      <c r="TMF21" s="93"/>
      <c r="TMG21" s="93"/>
      <c r="TMH21" s="93"/>
      <c r="TMI21" s="93"/>
      <c r="TMJ21" s="93"/>
      <c r="TMK21" s="93"/>
      <c r="TML21" s="93"/>
      <c r="TMM21" s="93"/>
      <c r="TMN21" s="93"/>
      <c r="TMO21" s="93"/>
      <c r="TMP21" s="93"/>
      <c r="TMQ21" s="93"/>
      <c r="TMR21" s="93"/>
      <c r="TMS21" s="93"/>
      <c r="TMT21" s="93"/>
      <c r="TMU21" s="93"/>
      <c r="TMV21" s="93"/>
      <c r="TMW21" s="93"/>
      <c r="TMX21" s="93"/>
      <c r="TMY21" s="93"/>
      <c r="TMZ21" s="93"/>
      <c r="TNA21" s="93"/>
      <c r="TNB21" s="93"/>
      <c r="TNC21" s="93"/>
      <c r="TND21" s="93"/>
      <c r="TNE21" s="93"/>
      <c r="TNF21" s="93"/>
      <c r="TNG21" s="93"/>
      <c r="TNH21" s="93"/>
      <c r="TNI21" s="93"/>
      <c r="TNJ21" s="93"/>
      <c r="TNK21" s="93"/>
      <c r="TNL21" s="93"/>
      <c r="TNM21" s="93"/>
      <c r="TNN21" s="93"/>
      <c r="TNO21" s="93"/>
      <c r="TNP21" s="93"/>
      <c r="TNQ21" s="93"/>
      <c r="TNR21" s="93"/>
      <c r="TNS21" s="93"/>
      <c r="TNT21" s="93"/>
      <c r="TNU21" s="93"/>
      <c r="TNV21" s="93"/>
      <c r="TNW21" s="93"/>
      <c r="TNX21" s="93"/>
      <c r="TNY21" s="93"/>
      <c r="TNZ21" s="93"/>
      <c r="TOA21" s="93"/>
      <c r="TOB21" s="93"/>
      <c r="TOC21" s="93"/>
      <c r="TOD21" s="93"/>
      <c r="TOE21" s="93"/>
      <c r="TOF21" s="93"/>
      <c r="TOG21" s="93"/>
      <c r="TOH21" s="93"/>
      <c r="TOI21" s="93"/>
      <c r="TOJ21" s="93"/>
      <c r="TOK21" s="93"/>
      <c r="TOL21" s="93"/>
      <c r="TOM21" s="93"/>
      <c r="TON21" s="93"/>
      <c r="TOO21" s="93"/>
      <c r="TOP21" s="93"/>
      <c r="TOQ21" s="93"/>
      <c r="TOR21" s="93"/>
      <c r="TOS21" s="93"/>
      <c r="TOT21" s="93"/>
      <c r="TOU21" s="93"/>
      <c r="TOV21" s="93"/>
      <c r="TOW21" s="93"/>
      <c r="TOX21" s="93"/>
      <c r="TOY21" s="93"/>
      <c r="TOZ21" s="93"/>
      <c r="TPA21" s="93"/>
      <c r="TPB21" s="93"/>
      <c r="TPC21" s="93"/>
      <c r="TPD21" s="93"/>
      <c r="TPE21" s="93"/>
      <c r="TPF21" s="93"/>
      <c r="TPG21" s="93"/>
      <c r="TPH21" s="93"/>
      <c r="TPI21" s="93"/>
      <c r="TPJ21" s="93"/>
      <c r="TPK21" s="93"/>
      <c r="TPL21" s="93"/>
      <c r="TPM21" s="93"/>
      <c r="TPN21" s="93"/>
      <c r="TPO21" s="93"/>
      <c r="TPP21" s="93"/>
      <c r="TPQ21" s="93"/>
      <c r="TPR21" s="93"/>
      <c r="TPS21" s="93"/>
      <c r="TPT21" s="93"/>
      <c r="TPU21" s="93"/>
      <c r="TPV21" s="93"/>
      <c r="TPW21" s="93"/>
      <c r="TPX21" s="93"/>
      <c r="TPY21" s="93"/>
      <c r="TPZ21" s="93"/>
      <c r="TQA21" s="93"/>
      <c r="TQB21" s="93"/>
      <c r="TQC21" s="93"/>
      <c r="TQD21" s="93"/>
      <c r="TQE21" s="93"/>
      <c r="TQF21" s="93"/>
      <c r="TQG21" s="93"/>
      <c r="TQH21" s="93"/>
      <c r="TQI21" s="93"/>
      <c r="TQJ21" s="93"/>
      <c r="TQK21" s="93"/>
      <c r="TQL21" s="93"/>
      <c r="TQM21" s="93"/>
      <c r="TQN21" s="93"/>
      <c r="TQO21" s="93"/>
      <c r="TQP21" s="93"/>
      <c r="TQQ21" s="93"/>
      <c r="TQR21" s="93"/>
      <c r="TQS21" s="93"/>
      <c r="TQT21" s="93"/>
      <c r="TQU21" s="93"/>
      <c r="TQV21" s="93"/>
      <c r="TQW21" s="93"/>
      <c r="TQX21" s="93"/>
      <c r="TQY21" s="93"/>
      <c r="TQZ21" s="93"/>
      <c r="TRA21" s="93"/>
      <c r="TRB21" s="93"/>
      <c r="TRC21" s="93"/>
      <c r="TRD21" s="93"/>
      <c r="TRE21" s="93"/>
      <c r="TRF21" s="93"/>
      <c r="TRG21" s="93"/>
      <c r="TRH21" s="93"/>
      <c r="TRI21" s="93"/>
      <c r="TRJ21" s="93"/>
      <c r="TRK21" s="93"/>
      <c r="TRL21" s="93"/>
      <c r="TRM21" s="93"/>
      <c r="TRN21" s="93"/>
      <c r="TRO21" s="93"/>
      <c r="TRP21" s="93"/>
      <c r="TRQ21" s="93"/>
      <c r="TRR21" s="93"/>
      <c r="TRS21" s="93"/>
      <c r="TRT21" s="93"/>
      <c r="TRU21" s="93"/>
      <c r="TRV21" s="93"/>
      <c r="TRW21" s="93"/>
      <c r="TRX21" s="93"/>
      <c r="TRY21" s="93"/>
      <c r="TRZ21" s="93"/>
      <c r="TSA21" s="93"/>
      <c r="TSB21" s="93"/>
      <c r="TSC21" s="93"/>
      <c r="TSD21" s="93"/>
      <c r="TSE21" s="93"/>
      <c r="TSF21" s="93"/>
      <c r="TSG21" s="93"/>
      <c r="TSH21" s="93"/>
      <c r="TSI21" s="93"/>
      <c r="TSJ21" s="93"/>
      <c r="TSK21" s="93"/>
      <c r="TSL21" s="93"/>
      <c r="TSM21" s="93"/>
      <c r="TSN21" s="93"/>
      <c r="TSO21" s="93"/>
      <c r="TSP21" s="93"/>
      <c r="TSQ21" s="93"/>
      <c r="TSR21" s="93"/>
      <c r="TSS21" s="93"/>
      <c r="TST21" s="93"/>
      <c r="TSU21" s="93"/>
      <c r="TSV21" s="93"/>
      <c r="TSW21" s="93"/>
      <c r="TSX21" s="93"/>
      <c r="TSY21" s="93"/>
      <c r="TSZ21" s="93"/>
      <c r="TTA21" s="93"/>
      <c r="TTB21" s="93"/>
      <c r="TTC21" s="93"/>
      <c r="TTD21" s="93"/>
      <c r="TTE21" s="93"/>
      <c r="TTF21" s="93"/>
      <c r="TTG21" s="93"/>
      <c r="TTH21" s="93"/>
      <c r="TTI21" s="93"/>
      <c r="TTJ21" s="93"/>
      <c r="TTK21" s="93"/>
      <c r="TTL21" s="93"/>
      <c r="TTM21" s="93"/>
      <c r="TTN21" s="93"/>
      <c r="TTO21" s="93"/>
      <c r="TTP21" s="93"/>
      <c r="TTQ21" s="93"/>
      <c r="TTR21" s="93"/>
      <c r="TTS21" s="93"/>
      <c r="TTT21" s="93"/>
      <c r="TTU21" s="93"/>
      <c r="TTV21" s="93"/>
      <c r="TTW21" s="93"/>
      <c r="TTX21" s="93"/>
      <c r="TTY21" s="93"/>
      <c r="TTZ21" s="93"/>
      <c r="TUA21" s="93"/>
      <c r="TUB21" s="93"/>
      <c r="TUC21" s="93"/>
      <c r="TUD21" s="93"/>
      <c r="TUE21" s="93"/>
      <c r="TUF21" s="93"/>
      <c r="TUG21" s="93"/>
      <c r="TUH21" s="93"/>
      <c r="TUI21" s="93"/>
      <c r="TUJ21" s="93"/>
      <c r="TUK21" s="93"/>
      <c r="TUL21" s="93"/>
      <c r="TUM21" s="93"/>
      <c r="TUN21" s="93"/>
      <c r="TUO21" s="93"/>
      <c r="TUP21" s="93"/>
      <c r="TUQ21" s="93"/>
      <c r="TUR21" s="93"/>
      <c r="TUS21" s="93"/>
      <c r="TUT21" s="93"/>
      <c r="TUU21" s="93"/>
      <c r="TUV21" s="93"/>
      <c r="TUW21" s="93"/>
      <c r="TUX21" s="93"/>
      <c r="TUY21" s="93"/>
      <c r="TUZ21" s="93"/>
      <c r="TVA21" s="93"/>
      <c r="TVB21" s="93"/>
      <c r="TVC21" s="93"/>
      <c r="TVD21" s="93"/>
      <c r="TVE21" s="93"/>
      <c r="TVF21" s="93"/>
      <c r="TVG21" s="93"/>
      <c r="TVH21" s="93"/>
      <c r="TVI21" s="93"/>
      <c r="TVJ21" s="93"/>
      <c r="TVK21" s="93"/>
      <c r="TVL21" s="93"/>
      <c r="TVM21" s="93"/>
      <c r="TVN21" s="93"/>
      <c r="TVO21" s="93"/>
      <c r="TVP21" s="93"/>
      <c r="TVQ21" s="93"/>
      <c r="TVR21" s="93"/>
      <c r="TVS21" s="93"/>
      <c r="TVT21" s="93"/>
      <c r="TVU21" s="93"/>
      <c r="TVV21" s="93"/>
      <c r="TVW21" s="93"/>
      <c r="TVX21" s="93"/>
      <c r="TVY21" s="93"/>
      <c r="TVZ21" s="93"/>
      <c r="TWA21" s="93"/>
      <c r="TWB21" s="93"/>
      <c r="TWC21" s="93"/>
      <c r="TWD21" s="93"/>
      <c r="TWE21" s="93"/>
      <c r="TWF21" s="93"/>
      <c r="TWG21" s="93"/>
      <c r="TWH21" s="93"/>
      <c r="TWI21" s="93"/>
      <c r="TWJ21" s="93"/>
      <c r="TWK21" s="93"/>
      <c r="TWL21" s="93"/>
      <c r="TWM21" s="93"/>
      <c r="TWN21" s="93"/>
      <c r="TWO21" s="93"/>
      <c r="TWP21" s="93"/>
      <c r="TWQ21" s="93"/>
      <c r="TWR21" s="93"/>
      <c r="TWS21" s="93"/>
      <c r="TWT21" s="93"/>
      <c r="TWU21" s="93"/>
      <c r="TWV21" s="93"/>
      <c r="TWW21" s="93"/>
      <c r="TWX21" s="93"/>
      <c r="TWY21" s="93"/>
      <c r="TWZ21" s="93"/>
      <c r="TXA21" s="93"/>
      <c r="TXB21" s="93"/>
      <c r="TXC21" s="93"/>
      <c r="TXD21" s="93"/>
      <c r="TXE21" s="93"/>
      <c r="TXF21" s="93"/>
      <c r="TXG21" s="93"/>
      <c r="TXH21" s="93"/>
      <c r="TXI21" s="93"/>
      <c r="TXJ21" s="93"/>
      <c r="TXK21" s="93"/>
      <c r="TXL21" s="93"/>
      <c r="TXM21" s="93"/>
      <c r="TXN21" s="93"/>
      <c r="TXO21" s="93"/>
      <c r="TXP21" s="93"/>
      <c r="TXQ21" s="93"/>
      <c r="TXR21" s="93"/>
      <c r="TXS21" s="93"/>
      <c r="TXT21" s="93"/>
      <c r="TXU21" s="93"/>
      <c r="TXV21" s="93"/>
      <c r="TXW21" s="93"/>
      <c r="TXX21" s="93"/>
      <c r="TXY21" s="93"/>
      <c r="TXZ21" s="93"/>
      <c r="TYA21" s="93"/>
      <c r="TYB21" s="93"/>
      <c r="TYC21" s="93"/>
      <c r="TYD21" s="93"/>
      <c r="TYE21" s="93"/>
      <c r="TYF21" s="93"/>
      <c r="TYG21" s="93"/>
      <c r="TYH21" s="93"/>
      <c r="TYI21" s="93"/>
      <c r="TYJ21" s="93"/>
      <c r="TYK21" s="93"/>
      <c r="TYL21" s="93"/>
      <c r="TYM21" s="93"/>
      <c r="TYN21" s="93"/>
      <c r="TYO21" s="93"/>
      <c r="TYP21" s="93"/>
      <c r="TYQ21" s="93"/>
      <c r="TYR21" s="93"/>
      <c r="TYS21" s="93"/>
      <c r="TYT21" s="93"/>
      <c r="TYU21" s="93"/>
      <c r="TYV21" s="93"/>
      <c r="TYW21" s="93"/>
      <c r="TYX21" s="93"/>
      <c r="TYY21" s="93"/>
      <c r="TYZ21" s="93"/>
      <c r="TZA21" s="93"/>
      <c r="TZB21" s="93"/>
      <c r="TZC21" s="93"/>
      <c r="TZD21" s="93"/>
      <c r="TZE21" s="93"/>
      <c r="TZF21" s="93"/>
      <c r="TZG21" s="93"/>
      <c r="TZH21" s="93"/>
      <c r="TZI21" s="93"/>
      <c r="TZJ21" s="93"/>
      <c r="TZK21" s="93"/>
      <c r="TZL21" s="93"/>
      <c r="TZM21" s="93"/>
      <c r="TZN21" s="93"/>
      <c r="TZO21" s="93"/>
      <c r="TZP21" s="93"/>
      <c r="TZQ21" s="93"/>
      <c r="TZR21" s="93"/>
      <c r="TZS21" s="93"/>
      <c r="TZT21" s="93"/>
      <c r="TZU21" s="93"/>
      <c r="TZV21" s="93"/>
      <c r="TZW21" s="93"/>
      <c r="TZX21" s="93"/>
      <c r="TZY21" s="93"/>
      <c r="TZZ21" s="93"/>
      <c r="UAA21" s="93"/>
      <c r="UAB21" s="93"/>
      <c r="UAC21" s="93"/>
      <c r="UAD21" s="93"/>
      <c r="UAE21" s="93"/>
      <c r="UAF21" s="93"/>
      <c r="UAG21" s="93"/>
      <c r="UAH21" s="93"/>
      <c r="UAI21" s="93"/>
      <c r="UAJ21" s="93"/>
      <c r="UAK21" s="93"/>
      <c r="UAL21" s="93"/>
      <c r="UAM21" s="93"/>
      <c r="UAN21" s="93"/>
      <c r="UAO21" s="93"/>
      <c r="UAP21" s="93"/>
      <c r="UAQ21" s="93"/>
      <c r="UAR21" s="93"/>
      <c r="UAS21" s="93"/>
      <c r="UAT21" s="93"/>
      <c r="UAU21" s="93"/>
      <c r="UAV21" s="93"/>
      <c r="UAW21" s="93"/>
      <c r="UAX21" s="93"/>
      <c r="UAY21" s="93"/>
      <c r="UAZ21" s="93"/>
      <c r="UBA21" s="93"/>
      <c r="UBB21" s="93"/>
      <c r="UBC21" s="93"/>
      <c r="UBD21" s="93"/>
      <c r="UBE21" s="93"/>
      <c r="UBF21" s="93"/>
      <c r="UBG21" s="93"/>
      <c r="UBH21" s="93"/>
      <c r="UBI21" s="93"/>
      <c r="UBJ21" s="93"/>
      <c r="UBK21" s="93"/>
      <c r="UBL21" s="93"/>
      <c r="UBM21" s="93"/>
      <c r="UBN21" s="93"/>
      <c r="UBO21" s="93"/>
      <c r="UBP21" s="93"/>
      <c r="UBQ21" s="93"/>
      <c r="UBR21" s="93"/>
      <c r="UBS21" s="93"/>
      <c r="UBT21" s="93"/>
      <c r="UBU21" s="93"/>
      <c r="UBV21" s="93"/>
      <c r="UBW21" s="93"/>
      <c r="UBX21" s="93"/>
      <c r="UBY21" s="93"/>
      <c r="UBZ21" s="93"/>
      <c r="UCA21" s="93"/>
      <c r="UCB21" s="93"/>
      <c r="UCC21" s="93"/>
      <c r="UCD21" s="93"/>
      <c r="UCE21" s="93"/>
      <c r="UCF21" s="93"/>
      <c r="UCG21" s="93"/>
      <c r="UCH21" s="93"/>
      <c r="UCI21" s="93"/>
      <c r="UCJ21" s="93"/>
      <c r="UCK21" s="93"/>
      <c r="UCL21" s="93"/>
      <c r="UCM21" s="93"/>
      <c r="UCN21" s="93"/>
      <c r="UCO21" s="93"/>
      <c r="UCP21" s="93"/>
      <c r="UCQ21" s="93"/>
      <c r="UCR21" s="93"/>
      <c r="UCS21" s="93"/>
      <c r="UCT21" s="93"/>
      <c r="UCU21" s="93"/>
      <c r="UCV21" s="93"/>
      <c r="UCW21" s="93"/>
      <c r="UCX21" s="93"/>
      <c r="UCY21" s="93"/>
      <c r="UCZ21" s="93"/>
      <c r="UDA21" s="93"/>
      <c r="UDB21" s="93"/>
      <c r="UDC21" s="93"/>
      <c r="UDD21" s="93"/>
      <c r="UDE21" s="93"/>
      <c r="UDF21" s="93"/>
      <c r="UDG21" s="93"/>
      <c r="UDH21" s="93"/>
      <c r="UDI21" s="93"/>
      <c r="UDJ21" s="93"/>
      <c r="UDK21" s="93"/>
      <c r="UDL21" s="93"/>
      <c r="UDM21" s="93"/>
      <c r="UDN21" s="93"/>
      <c r="UDO21" s="93"/>
      <c r="UDP21" s="93"/>
      <c r="UDQ21" s="93"/>
      <c r="UDR21" s="93"/>
      <c r="UDS21" s="93"/>
      <c r="UDT21" s="93"/>
      <c r="UDU21" s="93"/>
      <c r="UDV21" s="93"/>
      <c r="UDW21" s="93"/>
      <c r="UDX21" s="93"/>
      <c r="UDY21" s="93"/>
      <c r="UDZ21" s="93"/>
      <c r="UEA21" s="93"/>
      <c r="UEB21" s="93"/>
      <c r="UEC21" s="93"/>
      <c r="UED21" s="93"/>
      <c r="UEE21" s="93"/>
      <c r="UEF21" s="93"/>
      <c r="UEG21" s="93"/>
      <c r="UEH21" s="93"/>
      <c r="UEI21" s="93"/>
      <c r="UEJ21" s="93"/>
      <c r="UEK21" s="93"/>
      <c r="UEL21" s="93"/>
      <c r="UEM21" s="93"/>
      <c r="UEN21" s="93"/>
      <c r="UEO21" s="93"/>
      <c r="UEP21" s="93"/>
      <c r="UEQ21" s="93"/>
      <c r="UER21" s="93"/>
      <c r="UES21" s="93"/>
      <c r="UET21" s="93"/>
      <c r="UEU21" s="93"/>
      <c r="UEV21" s="93"/>
      <c r="UEW21" s="93"/>
      <c r="UEX21" s="93"/>
      <c r="UEY21" s="93"/>
      <c r="UEZ21" s="93"/>
      <c r="UFA21" s="93"/>
      <c r="UFB21" s="93"/>
      <c r="UFC21" s="93"/>
      <c r="UFD21" s="93"/>
      <c r="UFE21" s="93"/>
      <c r="UFF21" s="93"/>
      <c r="UFG21" s="93"/>
      <c r="UFH21" s="93"/>
      <c r="UFI21" s="93"/>
      <c r="UFJ21" s="93"/>
      <c r="UFK21" s="93"/>
      <c r="UFL21" s="93"/>
      <c r="UFM21" s="93"/>
      <c r="UFN21" s="93"/>
      <c r="UFO21" s="93"/>
      <c r="UFP21" s="93"/>
      <c r="UFQ21" s="93"/>
      <c r="UFR21" s="93"/>
      <c r="UFS21" s="93"/>
      <c r="UFT21" s="93"/>
      <c r="UFU21" s="93"/>
      <c r="UFV21" s="93"/>
      <c r="UFW21" s="93"/>
      <c r="UFX21" s="93"/>
      <c r="UFY21" s="93"/>
      <c r="UFZ21" s="93"/>
      <c r="UGA21" s="93"/>
      <c r="UGB21" s="93"/>
      <c r="UGC21" s="93"/>
      <c r="UGD21" s="93"/>
      <c r="UGE21" s="93"/>
      <c r="UGF21" s="93"/>
      <c r="UGG21" s="93"/>
      <c r="UGH21" s="93"/>
      <c r="UGI21" s="93"/>
      <c r="UGJ21" s="93"/>
      <c r="UGK21" s="93"/>
      <c r="UGL21" s="93"/>
      <c r="UGM21" s="93"/>
      <c r="UGN21" s="93"/>
      <c r="UGO21" s="93"/>
      <c r="UGP21" s="93"/>
      <c r="UGQ21" s="93"/>
      <c r="UGR21" s="93"/>
      <c r="UGS21" s="93"/>
      <c r="UGT21" s="93"/>
      <c r="UGU21" s="93"/>
      <c r="UGV21" s="93"/>
      <c r="UGW21" s="93"/>
      <c r="UGX21" s="93"/>
      <c r="UGY21" s="93"/>
      <c r="UGZ21" s="93"/>
      <c r="UHA21" s="93"/>
      <c r="UHB21" s="93"/>
      <c r="UHC21" s="93"/>
      <c r="UHD21" s="93"/>
      <c r="UHE21" s="93"/>
      <c r="UHF21" s="93"/>
      <c r="UHG21" s="93"/>
      <c r="UHH21" s="93"/>
      <c r="UHI21" s="93"/>
      <c r="UHJ21" s="93"/>
      <c r="UHK21" s="93"/>
      <c r="UHL21" s="93"/>
      <c r="UHM21" s="93"/>
      <c r="UHN21" s="93"/>
      <c r="UHO21" s="93"/>
      <c r="UHP21" s="93"/>
      <c r="UHQ21" s="93"/>
      <c r="UHR21" s="93"/>
      <c r="UHS21" s="93"/>
      <c r="UHT21" s="93"/>
      <c r="UHU21" s="93"/>
      <c r="UHV21" s="93"/>
      <c r="UHW21" s="93"/>
      <c r="UHX21" s="93"/>
      <c r="UHY21" s="93"/>
      <c r="UHZ21" s="93"/>
      <c r="UIA21" s="93"/>
      <c r="UIB21" s="93"/>
      <c r="UIC21" s="93"/>
      <c r="UID21" s="93"/>
      <c r="UIE21" s="93"/>
      <c r="UIF21" s="93"/>
      <c r="UIG21" s="93"/>
      <c r="UIH21" s="93"/>
      <c r="UII21" s="93"/>
      <c r="UIJ21" s="93"/>
      <c r="UIK21" s="93"/>
      <c r="UIL21" s="93"/>
      <c r="UIM21" s="93"/>
      <c r="UIN21" s="93"/>
      <c r="UIO21" s="93"/>
      <c r="UIP21" s="93"/>
      <c r="UIQ21" s="93"/>
      <c r="UIR21" s="93"/>
      <c r="UIS21" s="93"/>
      <c r="UIT21" s="93"/>
      <c r="UIU21" s="93"/>
      <c r="UIV21" s="93"/>
      <c r="UIW21" s="93"/>
      <c r="UIX21" s="93"/>
      <c r="UIY21" s="93"/>
      <c r="UIZ21" s="93"/>
      <c r="UJA21" s="93"/>
      <c r="UJB21" s="93"/>
      <c r="UJC21" s="93"/>
      <c r="UJD21" s="93"/>
      <c r="UJE21" s="93"/>
      <c r="UJF21" s="93"/>
      <c r="UJG21" s="93"/>
      <c r="UJH21" s="93"/>
      <c r="UJI21" s="93"/>
      <c r="UJJ21" s="93"/>
      <c r="UJK21" s="93"/>
      <c r="UJL21" s="93"/>
      <c r="UJM21" s="93"/>
      <c r="UJN21" s="93"/>
      <c r="UJO21" s="93"/>
      <c r="UJP21" s="93"/>
      <c r="UJQ21" s="93"/>
      <c r="UJR21" s="93"/>
      <c r="UJS21" s="93"/>
      <c r="UJT21" s="93"/>
      <c r="UJU21" s="93"/>
      <c r="UJV21" s="93"/>
      <c r="UJW21" s="93"/>
      <c r="UJX21" s="93"/>
      <c r="UJY21" s="93"/>
      <c r="UJZ21" s="93"/>
      <c r="UKA21" s="93"/>
      <c r="UKB21" s="93"/>
      <c r="UKC21" s="93"/>
      <c r="UKD21" s="93"/>
      <c r="UKE21" s="93"/>
      <c r="UKF21" s="93"/>
      <c r="UKG21" s="93"/>
      <c r="UKH21" s="93"/>
      <c r="UKI21" s="93"/>
      <c r="UKJ21" s="93"/>
      <c r="UKK21" s="93"/>
      <c r="UKL21" s="93"/>
      <c r="UKM21" s="93"/>
      <c r="UKN21" s="93"/>
      <c r="UKO21" s="93"/>
      <c r="UKP21" s="93"/>
      <c r="UKQ21" s="93"/>
      <c r="UKR21" s="93"/>
      <c r="UKS21" s="93"/>
      <c r="UKT21" s="93"/>
      <c r="UKU21" s="93"/>
      <c r="UKV21" s="93"/>
      <c r="UKW21" s="93"/>
      <c r="UKX21" s="93"/>
      <c r="UKY21" s="93"/>
      <c r="UKZ21" s="93"/>
      <c r="ULA21" s="93"/>
      <c r="ULB21" s="93"/>
      <c r="ULC21" s="93"/>
      <c r="ULD21" s="93"/>
      <c r="ULE21" s="93"/>
      <c r="ULF21" s="93"/>
      <c r="ULG21" s="93"/>
      <c r="ULH21" s="93"/>
      <c r="ULI21" s="93"/>
      <c r="ULJ21" s="93"/>
      <c r="ULK21" s="93"/>
      <c r="ULL21" s="93"/>
      <c r="ULM21" s="93"/>
      <c r="ULN21" s="93"/>
      <c r="ULO21" s="93"/>
      <c r="ULP21" s="93"/>
      <c r="ULQ21" s="93"/>
      <c r="ULR21" s="93"/>
      <c r="ULS21" s="93"/>
      <c r="ULT21" s="93"/>
      <c r="ULU21" s="93"/>
      <c r="ULV21" s="93"/>
      <c r="ULW21" s="93"/>
      <c r="ULX21" s="93"/>
      <c r="ULY21" s="93"/>
      <c r="ULZ21" s="93"/>
      <c r="UMA21" s="93"/>
      <c r="UMB21" s="93"/>
      <c r="UMC21" s="93"/>
      <c r="UMD21" s="93"/>
      <c r="UME21" s="93"/>
      <c r="UMF21" s="93"/>
      <c r="UMG21" s="93"/>
      <c r="UMH21" s="93"/>
      <c r="UMI21" s="93"/>
      <c r="UMJ21" s="93"/>
      <c r="UMK21" s="93"/>
      <c r="UML21" s="93"/>
      <c r="UMM21" s="93"/>
      <c r="UMN21" s="93"/>
      <c r="UMO21" s="93"/>
      <c r="UMP21" s="93"/>
      <c r="UMQ21" s="93"/>
      <c r="UMR21" s="93"/>
      <c r="UMS21" s="93"/>
      <c r="UMT21" s="93"/>
      <c r="UMU21" s="93"/>
      <c r="UMV21" s="93"/>
      <c r="UMW21" s="93"/>
      <c r="UMX21" s="93"/>
      <c r="UMY21" s="93"/>
      <c r="UMZ21" s="93"/>
      <c r="UNA21" s="93"/>
      <c r="UNB21" s="93"/>
      <c r="UNC21" s="93"/>
      <c r="UND21" s="93"/>
      <c r="UNE21" s="93"/>
      <c r="UNF21" s="93"/>
      <c r="UNG21" s="93"/>
      <c r="UNH21" s="93"/>
      <c r="UNI21" s="93"/>
      <c r="UNJ21" s="93"/>
      <c r="UNK21" s="93"/>
      <c r="UNL21" s="93"/>
      <c r="UNM21" s="93"/>
      <c r="UNN21" s="93"/>
      <c r="UNO21" s="93"/>
      <c r="UNP21" s="93"/>
      <c r="UNQ21" s="93"/>
      <c r="UNR21" s="93"/>
      <c r="UNS21" s="93"/>
      <c r="UNT21" s="93"/>
      <c r="UNU21" s="93"/>
      <c r="UNV21" s="93"/>
      <c r="UNW21" s="93"/>
      <c r="UNX21" s="93"/>
      <c r="UNY21" s="93"/>
      <c r="UNZ21" s="93"/>
      <c r="UOA21" s="93"/>
      <c r="UOB21" s="93"/>
      <c r="UOC21" s="93"/>
      <c r="UOD21" s="93"/>
      <c r="UOE21" s="93"/>
      <c r="UOF21" s="93"/>
      <c r="UOG21" s="93"/>
      <c r="UOH21" s="93"/>
      <c r="UOI21" s="93"/>
      <c r="UOJ21" s="93"/>
      <c r="UOK21" s="93"/>
      <c r="UOL21" s="93"/>
      <c r="UOM21" s="93"/>
      <c r="UON21" s="93"/>
      <c r="UOO21" s="93"/>
      <c r="UOP21" s="93"/>
      <c r="UOQ21" s="93"/>
      <c r="UOR21" s="93"/>
      <c r="UOS21" s="93"/>
      <c r="UOT21" s="93"/>
      <c r="UOU21" s="93"/>
      <c r="UOV21" s="93"/>
      <c r="UOW21" s="93"/>
      <c r="UOX21" s="93"/>
      <c r="UOY21" s="93"/>
      <c r="UOZ21" s="93"/>
      <c r="UPA21" s="93"/>
      <c r="UPB21" s="93"/>
      <c r="UPC21" s="93"/>
      <c r="UPD21" s="93"/>
      <c r="UPE21" s="93"/>
      <c r="UPF21" s="93"/>
      <c r="UPG21" s="93"/>
      <c r="UPH21" s="93"/>
      <c r="UPI21" s="93"/>
      <c r="UPJ21" s="93"/>
      <c r="UPK21" s="93"/>
      <c r="UPL21" s="93"/>
      <c r="UPM21" s="93"/>
      <c r="UPN21" s="93"/>
      <c r="UPO21" s="93"/>
      <c r="UPP21" s="93"/>
      <c r="UPQ21" s="93"/>
      <c r="UPR21" s="93"/>
      <c r="UPS21" s="93"/>
      <c r="UPT21" s="93"/>
      <c r="UPU21" s="93"/>
      <c r="UPV21" s="93"/>
      <c r="UPW21" s="93"/>
      <c r="UPX21" s="93"/>
      <c r="UPY21" s="93"/>
      <c r="UPZ21" s="93"/>
      <c r="UQA21" s="93"/>
      <c r="UQB21" s="93"/>
      <c r="UQC21" s="93"/>
      <c r="UQD21" s="93"/>
      <c r="UQE21" s="93"/>
      <c r="UQF21" s="93"/>
      <c r="UQG21" s="93"/>
      <c r="UQH21" s="93"/>
      <c r="UQI21" s="93"/>
      <c r="UQJ21" s="93"/>
      <c r="UQK21" s="93"/>
      <c r="UQL21" s="93"/>
      <c r="UQM21" s="93"/>
      <c r="UQN21" s="93"/>
      <c r="UQO21" s="93"/>
      <c r="UQP21" s="93"/>
      <c r="UQQ21" s="93"/>
      <c r="UQR21" s="93"/>
      <c r="UQS21" s="93"/>
      <c r="UQT21" s="93"/>
      <c r="UQU21" s="93"/>
      <c r="UQV21" s="93"/>
      <c r="UQW21" s="93"/>
      <c r="UQX21" s="93"/>
      <c r="UQY21" s="93"/>
      <c r="UQZ21" s="93"/>
      <c r="URA21" s="93"/>
      <c r="URB21" s="93"/>
      <c r="URC21" s="93"/>
      <c r="URD21" s="93"/>
      <c r="URE21" s="93"/>
      <c r="URF21" s="93"/>
      <c r="URG21" s="93"/>
      <c r="URH21" s="93"/>
      <c r="URI21" s="93"/>
      <c r="URJ21" s="93"/>
      <c r="URK21" s="93"/>
      <c r="URL21" s="93"/>
      <c r="URM21" s="93"/>
      <c r="URN21" s="93"/>
      <c r="URO21" s="93"/>
      <c r="URP21" s="93"/>
      <c r="URQ21" s="93"/>
      <c r="URR21" s="93"/>
      <c r="URS21" s="93"/>
      <c r="URT21" s="93"/>
      <c r="URU21" s="93"/>
      <c r="URV21" s="93"/>
      <c r="URW21" s="93"/>
      <c r="URX21" s="93"/>
      <c r="URY21" s="93"/>
      <c r="URZ21" s="93"/>
      <c r="USA21" s="93"/>
      <c r="USB21" s="93"/>
      <c r="USC21" s="93"/>
      <c r="USD21" s="93"/>
      <c r="USE21" s="93"/>
      <c r="USF21" s="93"/>
      <c r="USG21" s="93"/>
      <c r="USH21" s="93"/>
      <c r="USI21" s="93"/>
      <c r="USJ21" s="93"/>
      <c r="USK21" s="93"/>
      <c r="USL21" s="93"/>
      <c r="USM21" s="93"/>
      <c r="USN21" s="93"/>
      <c r="USO21" s="93"/>
      <c r="USP21" s="93"/>
      <c r="USQ21" s="93"/>
      <c r="USR21" s="93"/>
      <c r="USS21" s="93"/>
      <c r="UST21" s="93"/>
      <c r="USU21" s="93"/>
      <c r="USV21" s="93"/>
      <c r="USW21" s="93"/>
      <c r="USX21" s="93"/>
      <c r="USY21" s="93"/>
      <c r="USZ21" s="93"/>
      <c r="UTA21" s="93"/>
      <c r="UTB21" s="93"/>
      <c r="UTC21" s="93"/>
      <c r="UTD21" s="93"/>
      <c r="UTE21" s="93"/>
      <c r="UTF21" s="93"/>
      <c r="UTG21" s="93"/>
      <c r="UTH21" s="93"/>
      <c r="UTI21" s="93"/>
      <c r="UTJ21" s="93"/>
      <c r="UTK21" s="93"/>
      <c r="UTL21" s="93"/>
      <c r="UTM21" s="93"/>
      <c r="UTN21" s="93"/>
      <c r="UTO21" s="93"/>
      <c r="UTP21" s="93"/>
      <c r="UTQ21" s="93"/>
      <c r="UTR21" s="93"/>
      <c r="UTS21" s="93"/>
      <c r="UTT21" s="93"/>
      <c r="UTU21" s="93"/>
      <c r="UTV21" s="93"/>
      <c r="UTW21" s="93"/>
      <c r="UTX21" s="93"/>
      <c r="UTY21" s="93"/>
      <c r="UTZ21" s="93"/>
      <c r="UUA21" s="93"/>
      <c r="UUB21" s="93"/>
      <c r="UUC21" s="93"/>
      <c r="UUD21" s="93"/>
      <c r="UUE21" s="93"/>
      <c r="UUF21" s="93"/>
      <c r="UUG21" s="93"/>
      <c r="UUH21" s="93"/>
      <c r="UUI21" s="93"/>
      <c r="UUJ21" s="93"/>
      <c r="UUK21" s="93"/>
      <c r="UUL21" s="93"/>
      <c r="UUM21" s="93"/>
      <c r="UUN21" s="93"/>
      <c r="UUO21" s="93"/>
      <c r="UUP21" s="93"/>
      <c r="UUQ21" s="93"/>
      <c r="UUR21" s="93"/>
      <c r="UUS21" s="93"/>
      <c r="UUT21" s="93"/>
      <c r="UUU21" s="93"/>
      <c r="UUV21" s="93"/>
      <c r="UUW21" s="93"/>
      <c r="UUX21" s="93"/>
      <c r="UUY21" s="93"/>
      <c r="UUZ21" s="93"/>
      <c r="UVA21" s="93"/>
      <c r="UVB21" s="93"/>
      <c r="UVC21" s="93"/>
      <c r="UVD21" s="93"/>
      <c r="UVE21" s="93"/>
      <c r="UVF21" s="93"/>
      <c r="UVG21" s="93"/>
      <c r="UVH21" s="93"/>
      <c r="UVI21" s="93"/>
      <c r="UVJ21" s="93"/>
      <c r="UVK21" s="93"/>
      <c r="UVL21" s="93"/>
      <c r="UVM21" s="93"/>
      <c r="UVN21" s="93"/>
      <c r="UVO21" s="93"/>
      <c r="UVP21" s="93"/>
      <c r="UVQ21" s="93"/>
      <c r="UVR21" s="93"/>
      <c r="UVS21" s="93"/>
      <c r="UVT21" s="93"/>
      <c r="UVU21" s="93"/>
      <c r="UVV21" s="93"/>
      <c r="UVW21" s="93"/>
      <c r="UVX21" s="93"/>
      <c r="UVY21" s="93"/>
      <c r="UVZ21" s="93"/>
      <c r="UWA21" s="93"/>
      <c r="UWB21" s="93"/>
      <c r="UWC21" s="93"/>
      <c r="UWD21" s="93"/>
      <c r="UWE21" s="93"/>
      <c r="UWF21" s="93"/>
      <c r="UWG21" s="93"/>
      <c r="UWH21" s="93"/>
      <c r="UWI21" s="93"/>
      <c r="UWJ21" s="93"/>
      <c r="UWK21" s="93"/>
      <c r="UWL21" s="93"/>
      <c r="UWM21" s="93"/>
      <c r="UWN21" s="93"/>
      <c r="UWO21" s="93"/>
      <c r="UWP21" s="93"/>
      <c r="UWQ21" s="93"/>
      <c r="UWR21" s="93"/>
      <c r="UWS21" s="93"/>
      <c r="UWT21" s="93"/>
      <c r="UWU21" s="93"/>
      <c r="UWV21" s="93"/>
      <c r="UWW21" s="93"/>
      <c r="UWX21" s="93"/>
      <c r="UWY21" s="93"/>
      <c r="UWZ21" s="93"/>
      <c r="UXA21" s="93"/>
      <c r="UXB21" s="93"/>
      <c r="UXC21" s="93"/>
      <c r="UXD21" s="93"/>
      <c r="UXE21" s="93"/>
      <c r="UXF21" s="93"/>
      <c r="UXG21" s="93"/>
      <c r="UXH21" s="93"/>
      <c r="UXI21" s="93"/>
      <c r="UXJ21" s="93"/>
      <c r="UXK21" s="93"/>
      <c r="UXL21" s="93"/>
      <c r="UXM21" s="93"/>
      <c r="UXN21" s="93"/>
      <c r="UXO21" s="93"/>
      <c r="UXP21" s="93"/>
      <c r="UXQ21" s="93"/>
      <c r="UXR21" s="93"/>
      <c r="UXS21" s="93"/>
      <c r="UXT21" s="93"/>
      <c r="UXU21" s="93"/>
      <c r="UXV21" s="93"/>
      <c r="UXW21" s="93"/>
      <c r="UXX21" s="93"/>
      <c r="UXY21" s="93"/>
      <c r="UXZ21" s="93"/>
      <c r="UYA21" s="93"/>
      <c r="UYB21" s="93"/>
      <c r="UYC21" s="93"/>
      <c r="UYD21" s="93"/>
      <c r="UYE21" s="93"/>
      <c r="UYF21" s="93"/>
      <c r="UYG21" s="93"/>
      <c r="UYH21" s="93"/>
      <c r="UYI21" s="93"/>
      <c r="UYJ21" s="93"/>
      <c r="UYK21" s="93"/>
      <c r="UYL21" s="93"/>
      <c r="UYM21" s="93"/>
      <c r="UYN21" s="93"/>
      <c r="UYO21" s="93"/>
      <c r="UYP21" s="93"/>
      <c r="UYQ21" s="93"/>
      <c r="UYR21" s="93"/>
      <c r="UYS21" s="93"/>
      <c r="UYT21" s="93"/>
      <c r="UYU21" s="93"/>
      <c r="UYV21" s="93"/>
      <c r="UYW21" s="93"/>
      <c r="UYX21" s="93"/>
      <c r="UYY21" s="93"/>
      <c r="UYZ21" s="93"/>
      <c r="UZA21" s="93"/>
      <c r="UZB21" s="93"/>
      <c r="UZC21" s="93"/>
      <c r="UZD21" s="93"/>
      <c r="UZE21" s="93"/>
      <c r="UZF21" s="93"/>
      <c r="UZG21" s="93"/>
      <c r="UZH21" s="93"/>
      <c r="UZI21" s="93"/>
      <c r="UZJ21" s="93"/>
      <c r="UZK21" s="93"/>
      <c r="UZL21" s="93"/>
      <c r="UZM21" s="93"/>
      <c r="UZN21" s="93"/>
      <c r="UZO21" s="93"/>
      <c r="UZP21" s="93"/>
      <c r="UZQ21" s="93"/>
      <c r="UZR21" s="93"/>
      <c r="UZS21" s="93"/>
      <c r="UZT21" s="93"/>
      <c r="UZU21" s="93"/>
      <c r="UZV21" s="93"/>
      <c r="UZW21" s="93"/>
      <c r="UZX21" s="93"/>
      <c r="UZY21" s="93"/>
      <c r="UZZ21" s="93"/>
      <c r="VAA21" s="93"/>
      <c r="VAB21" s="93"/>
      <c r="VAC21" s="93"/>
      <c r="VAD21" s="93"/>
      <c r="VAE21" s="93"/>
      <c r="VAF21" s="93"/>
      <c r="VAG21" s="93"/>
      <c r="VAH21" s="93"/>
      <c r="VAI21" s="93"/>
      <c r="VAJ21" s="93"/>
      <c r="VAK21" s="93"/>
      <c r="VAL21" s="93"/>
      <c r="VAM21" s="93"/>
      <c r="VAN21" s="93"/>
      <c r="VAO21" s="93"/>
      <c r="VAP21" s="93"/>
      <c r="VAQ21" s="93"/>
      <c r="VAR21" s="93"/>
      <c r="VAS21" s="93"/>
      <c r="VAT21" s="93"/>
      <c r="VAU21" s="93"/>
      <c r="VAV21" s="93"/>
      <c r="VAW21" s="93"/>
      <c r="VAX21" s="93"/>
      <c r="VAY21" s="93"/>
      <c r="VAZ21" s="93"/>
      <c r="VBA21" s="93"/>
      <c r="VBB21" s="93"/>
      <c r="VBC21" s="93"/>
      <c r="VBD21" s="93"/>
      <c r="VBE21" s="93"/>
      <c r="VBF21" s="93"/>
      <c r="VBG21" s="93"/>
      <c r="VBH21" s="93"/>
      <c r="VBI21" s="93"/>
      <c r="VBJ21" s="93"/>
      <c r="VBK21" s="93"/>
      <c r="VBL21" s="93"/>
      <c r="VBM21" s="93"/>
      <c r="VBN21" s="93"/>
      <c r="VBO21" s="93"/>
      <c r="VBP21" s="93"/>
      <c r="VBQ21" s="93"/>
      <c r="VBR21" s="93"/>
      <c r="VBS21" s="93"/>
      <c r="VBT21" s="93"/>
      <c r="VBU21" s="93"/>
      <c r="VBV21" s="93"/>
      <c r="VBW21" s="93"/>
      <c r="VBX21" s="93"/>
      <c r="VBY21" s="93"/>
      <c r="VBZ21" s="93"/>
      <c r="VCA21" s="93"/>
      <c r="VCB21" s="93"/>
      <c r="VCC21" s="93"/>
      <c r="VCD21" s="93"/>
      <c r="VCE21" s="93"/>
      <c r="VCF21" s="93"/>
      <c r="VCG21" s="93"/>
      <c r="VCH21" s="93"/>
      <c r="VCI21" s="93"/>
      <c r="VCJ21" s="93"/>
      <c r="VCK21" s="93"/>
      <c r="VCL21" s="93"/>
      <c r="VCM21" s="93"/>
      <c r="VCN21" s="93"/>
      <c r="VCO21" s="93"/>
      <c r="VCP21" s="93"/>
      <c r="VCQ21" s="93"/>
      <c r="VCR21" s="93"/>
      <c r="VCS21" s="93"/>
      <c r="VCT21" s="93"/>
      <c r="VCU21" s="93"/>
      <c r="VCV21" s="93"/>
      <c r="VCW21" s="93"/>
      <c r="VCX21" s="93"/>
      <c r="VCY21" s="93"/>
      <c r="VCZ21" s="93"/>
      <c r="VDA21" s="93"/>
      <c r="VDB21" s="93"/>
      <c r="VDC21" s="93"/>
      <c r="VDD21" s="93"/>
      <c r="VDE21" s="93"/>
      <c r="VDF21" s="93"/>
      <c r="VDG21" s="93"/>
      <c r="VDH21" s="93"/>
      <c r="VDI21" s="93"/>
      <c r="VDJ21" s="93"/>
      <c r="VDK21" s="93"/>
      <c r="VDL21" s="93"/>
      <c r="VDM21" s="93"/>
      <c r="VDN21" s="93"/>
      <c r="VDO21" s="93"/>
      <c r="VDP21" s="93"/>
      <c r="VDQ21" s="93"/>
      <c r="VDR21" s="93"/>
      <c r="VDS21" s="93"/>
      <c r="VDT21" s="93"/>
      <c r="VDU21" s="93"/>
      <c r="VDV21" s="93"/>
      <c r="VDW21" s="93"/>
      <c r="VDX21" s="93"/>
      <c r="VDY21" s="93"/>
      <c r="VDZ21" s="93"/>
      <c r="VEA21" s="93"/>
      <c r="VEB21" s="93"/>
      <c r="VEC21" s="93"/>
      <c r="VED21" s="93"/>
      <c r="VEE21" s="93"/>
      <c r="VEF21" s="93"/>
      <c r="VEG21" s="93"/>
      <c r="VEH21" s="93"/>
      <c r="VEI21" s="93"/>
      <c r="VEJ21" s="93"/>
      <c r="VEK21" s="93"/>
      <c r="VEL21" s="93"/>
      <c r="VEM21" s="93"/>
      <c r="VEN21" s="93"/>
      <c r="VEO21" s="93"/>
      <c r="VEP21" s="93"/>
      <c r="VEQ21" s="93"/>
      <c r="VER21" s="93"/>
      <c r="VES21" s="93"/>
      <c r="VET21" s="93"/>
      <c r="VEU21" s="93"/>
      <c r="VEV21" s="93"/>
      <c r="VEW21" s="93"/>
      <c r="VEX21" s="93"/>
      <c r="VEY21" s="93"/>
      <c r="VEZ21" s="93"/>
      <c r="VFA21" s="93"/>
      <c r="VFB21" s="93"/>
      <c r="VFC21" s="93"/>
      <c r="VFD21" s="93"/>
      <c r="VFE21" s="93"/>
      <c r="VFF21" s="93"/>
      <c r="VFG21" s="93"/>
      <c r="VFH21" s="93"/>
      <c r="VFI21" s="93"/>
      <c r="VFJ21" s="93"/>
      <c r="VFK21" s="93"/>
      <c r="VFL21" s="93"/>
      <c r="VFM21" s="93"/>
      <c r="VFN21" s="93"/>
      <c r="VFO21" s="93"/>
      <c r="VFP21" s="93"/>
      <c r="VFQ21" s="93"/>
      <c r="VFR21" s="93"/>
      <c r="VFS21" s="93"/>
      <c r="VFT21" s="93"/>
      <c r="VFU21" s="93"/>
      <c r="VFV21" s="93"/>
      <c r="VFW21" s="93"/>
      <c r="VFX21" s="93"/>
      <c r="VFY21" s="93"/>
      <c r="VFZ21" s="93"/>
      <c r="VGA21" s="93"/>
      <c r="VGB21" s="93"/>
      <c r="VGC21" s="93"/>
      <c r="VGD21" s="93"/>
      <c r="VGE21" s="93"/>
      <c r="VGF21" s="93"/>
      <c r="VGG21" s="93"/>
      <c r="VGH21" s="93"/>
      <c r="VGI21" s="93"/>
      <c r="VGJ21" s="93"/>
      <c r="VGK21" s="93"/>
      <c r="VGL21" s="93"/>
      <c r="VGM21" s="93"/>
      <c r="VGN21" s="93"/>
      <c r="VGO21" s="93"/>
      <c r="VGP21" s="93"/>
      <c r="VGQ21" s="93"/>
      <c r="VGR21" s="93"/>
      <c r="VGS21" s="93"/>
      <c r="VGT21" s="93"/>
      <c r="VGU21" s="93"/>
      <c r="VGV21" s="93"/>
      <c r="VGW21" s="93"/>
      <c r="VGX21" s="93"/>
      <c r="VGY21" s="93"/>
      <c r="VGZ21" s="93"/>
      <c r="VHA21" s="93"/>
      <c r="VHB21" s="93"/>
      <c r="VHC21" s="93"/>
      <c r="VHD21" s="93"/>
      <c r="VHE21" s="93"/>
      <c r="VHF21" s="93"/>
      <c r="VHG21" s="93"/>
      <c r="VHH21" s="93"/>
      <c r="VHI21" s="93"/>
      <c r="VHJ21" s="93"/>
      <c r="VHK21" s="93"/>
      <c r="VHL21" s="93"/>
      <c r="VHM21" s="93"/>
      <c r="VHN21" s="93"/>
      <c r="VHO21" s="93"/>
      <c r="VHP21" s="93"/>
      <c r="VHQ21" s="93"/>
      <c r="VHR21" s="93"/>
      <c r="VHS21" s="93"/>
      <c r="VHT21" s="93"/>
      <c r="VHU21" s="93"/>
      <c r="VHV21" s="93"/>
      <c r="VHW21" s="93"/>
      <c r="VHX21" s="93"/>
      <c r="VHY21" s="93"/>
      <c r="VHZ21" s="93"/>
      <c r="VIA21" s="93"/>
      <c r="VIB21" s="93"/>
      <c r="VIC21" s="93"/>
      <c r="VID21" s="93"/>
      <c r="VIE21" s="93"/>
      <c r="VIF21" s="93"/>
      <c r="VIG21" s="93"/>
      <c r="VIH21" s="93"/>
      <c r="VII21" s="93"/>
      <c r="VIJ21" s="93"/>
      <c r="VIK21" s="93"/>
      <c r="VIL21" s="93"/>
      <c r="VIM21" s="93"/>
      <c r="VIN21" s="93"/>
      <c r="VIO21" s="93"/>
      <c r="VIP21" s="93"/>
      <c r="VIQ21" s="93"/>
      <c r="VIR21" s="93"/>
      <c r="VIS21" s="93"/>
      <c r="VIT21" s="93"/>
      <c r="VIU21" s="93"/>
      <c r="VIV21" s="93"/>
      <c r="VIW21" s="93"/>
      <c r="VIX21" s="93"/>
      <c r="VIY21" s="93"/>
      <c r="VIZ21" s="93"/>
      <c r="VJA21" s="93"/>
      <c r="VJB21" s="93"/>
      <c r="VJC21" s="93"/>
      <c r="VJD21" s="93"/>
      <c r="VJE21" s="93"/>
      <c r="VJF21" s="93"/>
      <c r="VJG21" s="93"/>
      <c r="VJH21" s="93"/>
      <c r="VJI21" s="93"/>
      <c r="VJJ21" s="93"/>
      <c r="VJK21" s="93"/>
      <c r="VJL21" s="93"/>
      <c r="VJM21" s="93"/>
      <c r="VJN21" s="93"/>
      <c r="VJO21" s="93"/>
      <c r="VJP21" s="93"/>
      <c r="VJQ21" s="93"/>
      <c r="VJR21" s="93"/>
      <c r="VJS21" s="93"/>
      <c r="VJT21" s="93"/>
      <c r="VJU21" s="93"/>
      <c r="VJV21" s="93"/>
      <c r="VJW21" s="93"/>
      <c r="VJX21" s="93"/>
      <c r="VJY21" s="93"/>
      <c r="VJZ21" s="93"/>
      <c r="VKA21" s="93"/>
      <c r="VKB21" s="93"/>
      <c r="VKC21" s="93"/>
      <c r="VKD21" s="93"/>
      <c r="VKE21" s="93"/>
      <c r="VKF21" s="93"/>
      <c r="VKG21" s="93"/>
      <c r="VKH21" s="93"/>
      <c r="VKI21" s="93"/>
      <c r="VKJ21" s="93"/>
      <c r="VKK21" s="93"/>
      <c r="VKL21" s="93"/>
      <c r="VKM21" s="93"/>
      <c r="VKN21" s="93"/>
      <c r="VKO21" s="93"/>
      <c r="VKP21" s="93"/>
      <c r="VKQ21" s="93"/>
      <c r="VKR21" s="93"/>
      <c r="VKS21" s="93"/>
      <c r="VKT21" s="93"/>
      <c r="VKU21" s="93"/>
      <c r="VKV21" s="93"/>
      <c r="VKW21" s="93"/>
      <c r="VKX21" s="93"/>
      <c r="VKY21" s="93"/>
      <c r="VKZ21" s="93"/>
      <c r="VLA21" s="93"/>
      <c r="VLB21" s="93"/>
      <c r="VLC21" s="93"/>
      <c r="VLD21" s="93"/>
      <c r="VLE21" s="93"/>
      <c r="VLF21" s="93"/>
      <c r="VLG21" s="93"/>
      <c r="VLH21" s="93"/>
      <c r="VLI21" s="93"/>
      <c r="VLJ21" s="93"/>
      <c r="VLK21" s="93"/>
      <c r="VLL21" s="93"/>
      <c r="VLM21" s="93"/>
      <c r="VLN21" s="93"/>
      <c r="VLO21" s="93"/>
      <c r="VLP21" s="93"/>
      <c r="VLQ21" s="93"/>
      <c r="VLR21" s="93"/>
      <c r="VLS21" s="93"/>
      <c r="VLT21" s="93"/>
      <c r="VLU21" s="93"/>
      <c r="VLV21" s="93"/>
      <c r="VLW21" s="93"/>
      <c r="VLX21" s="93"/>
      <c r="VLY21" s="93"/>
      <c r="VLZ21" s="93"/>
      <c r="VMA21" s="93"/>
      <c r="VMB21" s="93"/>
      <c r="VMC21" s="93"/>
      <c r="VMD21" s="93"/>
      <c r="VME21" s="93"/>
      <c r="VMF21" s="93"/>
      <c r="VMG21" s="93"/>
      <c r="VMH21" s="93"/>
      <c r="VMI21" s="93"/>
      <c r="VMJ21" s="93"/>
      <c r="VMK21" s="93"/>
      <c r="VML21" s="93"/>
      <c r="VMM21" s="93"/>
      <c r="VMN21" s="93"/>
      <c r="VMO21" s="93"/>
      <c r="VMP21" s="93"/>
      <c r="VMQ21" s="93"/>
      <c r="VMR21" s="93"/>
      <c r="VMS21" s="93"/>
      <c r="VMT21" s="93"/>
      <c r="VMU21" s="93"/>
      <c r="VMV21" s="93"/>
      <c r="VMW21" s="93"/>
      <c r="VMX21" s="93"/>
      <c r="VMY21" s="93"/>
      <c r="VMZ21" s="93"/>
      <c r="VNA21" s="93"/>
      <c r="VNB21" s="93"/>
      <c r="VNC21" s="93"/>
      <c r="VND21" s="93"/>
      <c r="VNE21" s="93"/>
      <c r="VNF21" s="93"/>
      <c r="VNG21" s="93"/>
      <c r="VNH21" s="93"/>
      <c r="VNI21" s="93"/>
      <c r="VNJ21" s="93"/>
      <c r="VNK21" s="93"/>
      <c r="VNL21" s="93"/>
      <c r="VNM21" s="93"/>
      <c r="VNN21" s="93"/>
      <c r="VNO21" s="93"/>
      <c r="VNP21" s="93"/>
      <c r="VNQ21" s="93"/>
      <c r="VNR21" s="93"/>
      <c r="VNS21" s="93"/>
      <c r="VNT21" s="93"/>
      <c r="VNU21" s="93"/>
      <c r="VNV21" s="93"/>
      <c r="VNW21" s="93"/>
      <c r="VNX21" s="93"/>
      <c r="VNY21" s="93"/>
      <c r="VNZ21" s="93"/>
      <c r="VOA21" s="93"/>
      <c r="VOB21" s="93"/>
      <c r="VOC21" s="93"/>
      <c r="VOD21" s="93"/>
      <c r="VOE21" s="93"/>
      <c r="VOF21" s="93"/>
      <c r="VOG21" s="93"/>
      <c r="VOH21" s="93"/>
      <c r="VOI21" s="93"/>
      <c r="VOJ21" s="93"/>
      <c r="VOK21" s="93"/>
      <c r="VOL21" s="93"/>
      <c r="VOM21" s="93"/>
      <c r="VON21" s="93"/>
      <c r="VOO21" s="93"/>
      <c r="VOP21" s="93"/>
      <c r="VOQ21" s="93"/>
      <c r="VOR21" s="93"/>
      <c r="VOS21" s="93"/>
      <c r="VOT21" s="93"/>
      <c r="VOU21" s="93"/>
      <c r="VOV21" s="93"/>
      <c r="VOW21" s="93"/>
      <c r="VOX21" s="93"/>
      <c r="VOY21" s="93"/>
      <c r="VOZ21" s="93"/>
      <c r="VPA21" s="93"/>
      <c r="VPB21" s="93"/>
      <c r="VPC21" s="93"/>
      <c r="VPD21" s="93"/>
      <c r="VPE21" s="93"/>
      <c r="VPF21" s="93"/>
      <c r="VPG21" s="93"/>
      <c r="VPH21" s="93"/>
      <c r="VPI21" s="93"/>
      <c r="VPJ21" s="93"/>
      <c r="VPK21" s="93"/>
      <c r="VPL21" s="93"/>
      <c r="VPM21" s="93"/>
      <c r="VPN21" s="93"/>
      <c r="VPO21" s="93"/>
      <c r="VPP21" s="93"/>
      <c r="VPQ21" s="93"/>
      <c r="VPR21" s="93"/>
      <c r="VPS21" s="93"/>
      <c r="VPT21" s="93"/>
      <c r="VPU21" s="93"/>
      <c r="VPV21" s="93"/>
      <c r="VPW21" s="93"/>
      <c r="VPX21" s="93"/>
      <c r="VPY21" s="93"/>
      <c r="VPZ21" s="93"/>
      <c r="VQA21" s="93"/>
      <c r="VQB21" s="93"/>
      <c r="VQC21" s="93"/>
      <c r="VQD21" s="93"/>
      <c r="VQE21" s="93"/>
      <c r="VQF21" s="93"/>
      <c r="VQG21" s="93"/>
      <c r="VQH21" s="93"/>
      <c r="VQI21" s="93"/>
      <c r="VQJ21" s="93"/>
      <c r="VQK21" s="93"/>
      <c r="VQL21" s="93"/>
      <c r="VQM21" s="93"/>
      <c r="VQN21" s="93"/>
      <c r="VQO21" s="93"/>
      <c r="VQP21" s="93"/>
      <c r="VQQ21" s="93"/>
      <c r="VQR21" s="93"/>
      <c r="VQS21" s="93"/>
      <c r="VQT21" s="93"/>
      <c r="VQU21" s="93"/>
      <c r="VQV21" s="93"/>
      <c r="VQW21" s="93"/>
      <c r="VQX21" s="93"/>
      <c r="VQY21" s="93"/>
      <c r="VQZ21" s="93"/>
      <c r="VRA21" s="93"/>
      <c r="VRB21" s="93"/>
      <c r="VRC21" s="93"/>
      <c r="VRD21" s="93"/>
      <c r="VRE21" s="93"/>
      <c r="VRF21" s="93"/>
      <c r="VRG21" s="93"/>
      <c r="VRH21" s="93"/>
      <c r="VRI21" s="93"/>
      <c r="VRJ21" s="93"/>
      <c r="VRK21" s="93"/>
      <c r="VRL21" s="93"/>
      <c r="VRM21" s="93"/>
      <c r="VRN21" s="93"/>
      <c r="VRO21" s="93"/>
      <c r="VRP21" s="93"/>
      <c r="VRQ21" s="93"/>
      <c r="VRR21" s="93"/>
      <c r="VRS21" s="93"/>
      <c r="VRT21" s="93"/>
      <c r="VRU21" s="93"/>
      <c r="VRV21" s="93"/>
      <c r="VRW21" s="93"/>
      <c r="VRX21" s="93"/>
      <c r="VRY21" s="93"/>
      <c r="VRZ21" s="93"/>
      <c r="VSA21" s="93"/>
      <c r="VSB21" s="93"/>
      <c r="VSC21" s="93"/>
      <c r="VSD21" s="93"/>
      <c r="VSE21" s="93"/>
      <c r="VSF21" s="93"/>
      <c r="VSG21" s="93"/>
      <c r="VSH21" s="93"/>
      <c r="VSI21" s="93"/>
      <c r="VSJ21" s="93"/>
      <c r="VSK21" s="93"/>
      <c r="VSL21" s="93"/>
      <c r="VSM21" s="93"/>
      <c r="VSN21" s="93"/>
      <c r="VSO21" s="93"/>
      <c r="VSP21" s="93"/>
      <c r="VSQ21" s="93"/>
      <c r="VSR21" s="93"/>
      <c r="VSS21" s="93"/>
      <c r="VST21" s="93"/>
      <c r="VSU21" s="93"/>
      <c r="VSV21" s="93"/>
      <c r="VSW21" s="93"/>
      <c r="VSX21" s="93"/>
      <c r="VSY21" s="93"/>
      <c r="VSZ21" s="93"/>
      <c r="VTA21" s="93"/>
      <c r="VTB21" s="93"/>
      <c r="VTC21" s="93"/>
      <c r="VTD21" s="93"/>
      <c r="VTE21" s="93"/>
      <c r="VTF21" s="93"/>
      <c r="VTG21" s="93"/>
      <c r="VTH21" s="93"/>
      <c r="VTI21" s="93"/>
      <c r="VTJ21" s="93"/>
      <c r="VTK21" s="93"/>
      <c r="VTL21" s="93"/>
      <c r="VTM21" s="93"/>
      <c r="VTN21" s="93"/>
      <c r="VTO21" s="93"/>
      <c r="VTP21" s="93"/>
      <c r="VTQ21" s="93"/>
      <c r="VTR21" s="93"/>
      <c r="VTS21" s="93"/>
      <c r="VTT21" s="93"/>
      <c r="VTU21" s="93"/>
      <c r="VTV21" s="93"/>
      <c r="VTW21" s="93"/>
      <c r="VTX21" s="93"/>
      <c r="VTY21" s="93"/>
      <c r="VTZ21" s="93"/>
      <c r="VUA21" s="93"/>
      <c r="VUB21" s="93"/>
      <c r="VUC21" s="93"/>
      <c r="VUD21" s="93"/>
      <c r="VUE21" s="93"/>
      <c r="VUF21" s="93"/>
      <c r="VUG21" s="93"/>
      <c r="VUH21" s="93"/>
      <c r="VUI21" s="93"/>
      <c r="VUJ21" s="93"/>
      <c r="VUK21" s="93"/>
      <c r="VUL21" s="93"/>
      <c r="VUM21" s="93"/>
      <c r="VUN21" s="93"/>
      <c r="VUO21" s="93"/>
      <c r="VUP21" s="93"/>
      <c r="VUQ21" s="93"/>
      <c r="VUR21" s="93"/>
      <c r="VUS21" s="93"/>
      <c r="VUT21" s="93"/>
      <c r="VUU21" s="93"/>
      <c r="VUV21" s="93"/>
      <c r="VUW21" s="93"/>
      <c r="VUX21" s="93"/>
      <c r="VUY21" s="93"/>
      <c r="VUZ21" s="93"/>
      <c r="VVA21" s="93"/>
      <c r="VVB21" s="93"/>
      <c r="VVC21" s="93"/>
      <c r="VVD21" s="93"/>
      <c r="VVE21" s="93"/>
      <c r="VVF21" s="93"/>
      <c r="VVG21" s="93"/>
      <c r="VVH21" s="93"/>
      <c r="VVI21" s="93"/>
      <c r="VVJ21" s="93"/>
      <c r="VVK21" s="93"/>
      <c r="VVL21" s="93"/>
      <c r="VVM21" s="93"/>
      <c r="VVN21" s="93"/>
      <c r="VVO21" s="93"/>
      <c r="VVP21" s="93"/>
      <c r="VVQ21" s="93"/>
      <c r="VVR21" s="93"/>
      <c r="VVS21" s="93"/>
      <c r="VVT21" s="93"/>
      <c r="VVU21" s="93"/>
      <c r="VVV21" s="93"/>
      <c r="VVW21" s="93"/>
      <c r="VVX21" s="93"/>
      <c r="VVY21" s="93"/>
      <c r="VVZ21" s="93"/>
      <c r="VWA21" s="93"/>
      <c r="VWB21" s="93"/>
      <c r="VWC21" s="93"/>
      <c r="VWD21" s="93"/>
      <c r="VWE21" s="93"/>
      <c r="VWF21" s="93"/>
      <c r="VWG21" s="93"/>
      <c r="VWH21" s="93"/>
      <c r="VWI21" s="93"/>
      <c r="VWJ21" s="93"/>
      <c r="VWK21" s="93"/>
      <c r="VWL21" s="93"/>
      <c r="VWM21" s="93"/>
      <c r="VWN21" s="93"/>
      <c r="VWO21" s="93"/>
      <c r="VWP21" s="93"/>
      <c r="VWQ21" s="93"/>
      <c r="VWR21" s="93"/>
      <c r="VWS21" s="93"/>
      <c r="VWT21" s="93"/>
      <c r="VWU21" s="93"/>
      <c r="VWV21" s="93"/>
      <c r="VWW21" s="93"/>
      <c r="VWX21" s="93"/>
      <c r="VWY21" s="93"/>
      <c r="VWZ21" s="93"/>
      <c r="VXA21" s="93"/>
      <c r="VXB21" s="93"/>
      <c r="VXC21" s="93"/>
      <c r="VXD21" s="93"/>
      <c r="VXE21" s="93"/>
      <c r="VXF21" s="93"/>
      <c r="VXG21" s="93"/>
      <c r="VXH21" s="93"/>
      <c r="VXI21" s="93"/>
      <c r="VXJ21" s="93"/>
      <c r="VXK21" s="93"/>
      <c r="VXL21" s="93"/>
      <c r="VXM21" s="93"/>
      <c r="VXN21" s="93"/>
      <c r="VXO21" s="93"/>
      <c r="VXP21" s="93"/>
      <c r="VXQ21" s="93"/>
      <c r="VXR21" s="93"/>
      <c r="VXS21" s="93"/>
      <c r="VXT21" s="93"/>
      <c r="VXU21" s="93"/>
      <c r="VXV21" s="93"/>
      <c r="VXW21" s="93"/>
      <c r="VXX21" s="93"/>
      <c r="VXY21" s="93"/>
      <c r="VXZ21" s="93"/>
      <c r="VYA21" s="93"/>
      <c r="VYB21" s="93"/>
      <c r="VYC21" s="93"/>
      <c r="VYD21" s="93"/>
      <c r="VYE21" s="93"/>
      <c r="VYF21" s="93"/>
      <c r="VYG21" s="93"/>
      <c r="VYH21" s="93"/>
      <c r="VYI21" s="93"/>
      <c r="VYJ21" s="93"/>
      <c r="VYK21" s="93"/>
      <c r="VYL21" s="93"/>
      <c r="VYM21" s="93"/>
      <c r="VYN21" s="93"/>
      <c r="VYO21" s="93"/>
      <c r="VYP21" s="93"/>
      <c r="VYQ21" s="93"/>
      <c r="VYR21" s="93"/>
      <c r="VYS21" s="93"/>
      <c r="VYT21" s="93"/>
      <c r="VYU21" s="93"/>
      <c r="VYV21" s="93"/>
      <c r="VYW21" s="93"/>
      <c r="VYX21" s="93"/>
      <c r="VYY21" s="93"/>
      <c r="VYZ21" s="93"/>
      <c r="VZA21" s="93"/>
      <c r="VZB21" s="93"/>
      <c r="VZC21" s="93"/>
      <c r="VZD21" s="93"/>
      <c r="VZE21" s="93"/>
      <c r="VZF21" s="93"/>
      <c r="VZG21" s="93"/>
      <c r="VZH21" s="93"/>
      <c r="VZI21" s="93"/>
      <c r="VZJ21" s="93"/>
      <c r="VZK21" s="93"/>
      <c r="VZL21" s="93"/>
      <c r="VZM21" s="93"/>
      <c r="VZN21" s="93"/>
      <c r="VZO21" s="93"/>
      <c r="VZP21" s="93"/>
      <c r="VZQ21" s="93"/>
      <c r="VZR21" s="93"/>
      <c r="VZS21" s="93"/>
      <c r="VZT21" s="93"/>
      <c r="VZU21" s="93"/>
      <c r="VZV21" s="93"/>
      <c r="VZW21" s="93"/>
      <c r="VZX21" s="93"/>
      <c r="VZY21" s="93"/>
      <c r="VZZ21" s="93"/>
      <c r="WAA21" s="93"/>
      <c r="WAB21" s="93"/>
      <c r="WAC21" s="93"/>
      <c r="WAD21" s="93"/>
      <c r="WAE21" s="93"/>
      <c r="WAF21" s="93"/>
      <c r="WAG21" s="93"/>
      <c r="WAH21" s="93"/>
      <c r="WAI21" s="93"/>
      <c r="WAJ21" s="93"/>
      <c r="WAK21" s="93"/>
      <c r="WAL21" s="93"/>
      <c r="WAM21" s="93"/>
      <c r="WAN21" s="93"/>
      <c r="WAO21" s="93"/>
      <c r="WAP21" s="93"/>
      <c r="WAQ21" s="93"/>
      <c r="WAR21" s="93"/>
      <c r="WAS21" s="93"/>
      <c r="WAT21" s="93"/>
      <c r="WAU21" s="93"/>
      <c r="WAV21" s="93"/>
      <c r="WAW21" s="93"/>
      <c r="WAX21" s="93"/>
      <c r="WAY21" s="93"/>
      <c r="WAZ21" s="93"/>
      <c r="WBA21" s="93"/>
      <c r="WBB21" s="93"/>
      <c r="WBC21" s="93"/>
      <c r="WBD21" s="93"/>
      <c r="WBE21" s="93"/>
      <c r="WBF21" s="93"/>
      <c r="WBG21" s="93"/>
      <c r="WBH21" s="93"/>
      <c r="WBI21" s="93"/>
      <c r="WBJ21" s="93"/>
      <c r="WBK21" s="93"/>
      <c r="WBL21" s="93"/>
      <c r="WBM21" s="93"/>
      <c r="WBN21" s="93"/>
      <c r="WBO21" s="93"/>
      <c r="WBP21" s="93"/>
      <c r="WBQ21" s="93"/>
      <c r="WBR21" s="93"/>
      <c r="WBS21" s="93"/>
      <c r="WBT21" s="93"/>
      <c r="WBU21" s="93"/>
      <c r="WBV21" s="93"/>
      <c r="WBW21" s="93"/>
      <c r="WBX21" s="93"/>
      <c r="WBY21" s="93"/>
      <c r="WBZ21" s="93"/>
      <c r="WCA21" s="93"/>
      <c r="WCB21" s="93"/>
      <c r="WCC21" s="93"/>
      <c r="WCD21" s="93"/>
      <c r="WCE21" s="93"/>
      <c r="WCF21" s="93"/>
      <c r="WCG21" s="93"/>
      <c r="WCH21" s="93"/>
      <c r="WCI21" s="93"/>
      <c r="WCJ21" s="93"/>
      <c r="WCK21" s="93"/>
      <c r="WCL21" s="93"/>
      <c r="WCM21" s="93"/>
      <c r="WCN21" s="93"/>
      <c r="WCO21" s="93"/>
      <c r="WCP21" s="93"/>
      <c r="WCQ21" s="93"/>
      <c r="WCR21" s="93"/>
      <c r="WCS21" s="93"/>
      <c r="WCT21" s="93"/>
      <c r="WCU21" s="93"/>
      <c r="WCV21" s="93"/>
      <c r="WCW21" s="93"/>
      <c r="WCX21" s="93"/>
      <c r="WCY21" s="93"/>
      <c r="WCZ21" s="93"/>
      <c r="WDA21" s="93"/>
      <c r="WDB21" s="93"/>
      <c r="WDC21" s="93"/>
      <c r="WDD21" s="93"/>
      <c r="WDE21" s="93"/>
      <c r="WDF21" s="93"/>
      <c r="WDG21" s="93"/>
      <c r="WDH21" s="93"/>
      <c r="WDI21" s="93"/>
      <c r="WDJ21" s="93"/>
      <c r="WDK21" s="93"/>
      <c r="WDL21" s="93"/>
      <c r="WDM21" s="93"/>
      <c r="WDN21" s="93"/>
      <c r="WDO21" s="93"/>
      <c r="WDP21" s="93"/>
      <c r="WDQ21" s="93"/>
      <c r="WDR21" s="93"/>
      <c r="WDS21" s="93"/>
      <c r="WDT21" s="93"/>
      <c r="WDU21" s="93"/>
      <c r="WDV21" s="93"/>
      <c r="WDW21" s="93"/>
      <c r="WDX21" s="93"/>
      <c r="WDY21" s="93"/>
      <c r="WDZ21" s="93"/>
      <c r="WEA21" s="93"/>
      <c r="WEB21" s="93"/>
      <c r="WEC21" s="93"/>
      <c r="WED21" s="93"/>
      <c r="WEE21" s="93"/>
      <c r="WEF21" s="93"/>
      <c r="WEG21" s="93"/>
      <c r="WEH21" s="93"/>
      <c r="WEI21" s="93"/>
      <c r="WEJ21" s="93"/>
      <c r="WEK21" s="93"/>
      <c r="WEL21" s="93"/>
      <c r="WEM21" s="93"/>
      <c r="WEN21" s="93"/>
      <c r="WEO21" s="93"/>
      <c r="WEP21" s="93"/>
      <c r="WEQ21" s="93"/>
      <c r="WER21" s="93"/>
      <c r="WES21" s="93"/>
      <c r="WET21" s="93"/>
      <c r="WEU21" s="93"/>
      <c r="WEV21" s="93"/>
      <c r="WEW21" s="93"/>
      <c r="WEX21" s="93"/>
      <c r="WEY21" s="93"/>
      <c r="WEZ21" s="93"/>
      <c r="WFA21" s="93"/>
      <c r="WFB21" s="93"/>
      <c r="WFC21" s="93"/>
      <c r="WFD21" s="93"/>
      <c r="WFE21" s="93"/>
      <c r="WFF21" s="93"/>
      <c r="WFG21" s="93"/>
      <c r="WFH21" s="93"/>
      <c r="WFI21" s="93"/>
      <c r="WFJ21" s="93"/>
      <c r="WFK21" s="93"/>
      <c r="WFL21" s="93"/>
      <c r="WFM21" s="93"/>
      <c r="WFN21" s="93"/>
      <c r="WFO21" s="93"/>
      <c r="WFP21" s="93"/>
      <c r="WFQ21" s="93"/>
      <c r="WFR21" s="93"/>
      <c r="WFS21" s="93"/>
      <c r="WFT21" s="93"/>
      <c r="WFU21" s="93"/>
      <c r="WFV21" s="93"/>
      <c r="WFW21" s="93"/>
      <c r="WFX21" s="93"/>
      <c r="WFY21" s="93"/>
      <c r="WFZ21" s="93"/>
      <c r="WGA21" s="93"/>
      <c r="WGB21" s="93"/>
      <c r="WGC21" s="93"/>
      <c r="WGD21" s="93"/>
      <c r="WGE21" s="93"/>
      <c r="WGF21" s="93"/>
      <c r="WGG21" s="93"/>
      <c r="WGH21" s="93"/>
      <c r="WGI21" s="93"/>
      <c r="WGJ21" s="93"/>
      <c r="WGK21" s="93"/>
      <c r="WGL21" s="93"/>
      <c r="WGM21" s="93"/>
      <c r="WGN21" s="93"/>
      <c r="WGO21" s="93"/>
      <c r="WGP21" s="93"/>
      <c r="WGQ21" s="93"/>
      <c r="WGR21" s="93"/>
      <c r="WGS21" s="93"/>
      <c r="WGT21" s="93"/>
      <c r="WGU21" s="93"/>
      <c r="WGV21" s="93"/>
      <c r="WGW21" s="93"/>
      <c r="WGX21" s="93"/>
      <c r="WGY21" s="93"/>
      <c r="WGZ21" s="93"/>
      <c r="WHA21" s="93"/>
      <c r="WHB21" s="93"/>
      <c r="WHC21" s="93"/>
      <c r="WHD21" s="93"/>
      <c r="WHE21" s="93"/>
      <c r="WHF21" s="93"/>
      <c r="WHG21" s="93"/>
      <c r="WHH21" s="93"/>
      <c r="WHI21" s="93"/>
      <c r="WHJ21" s="93"/>
      <c r="WHK21" s="93"/>
      <c r="WHL21" s="93"/>
      <c r="WHM21" s="93"/>
      <c r="WHN21" s="93"/>
      <c r="WHO21" s="93"/>
      <c r="WHP21" s="93"/>
      <c r="WHQ21" s="93"/>
      <c r="WHR21" s="93"/>
      <c r="WHS21" s="93"/>
      <c r="WHT21" s="93"/>
      <c r="WHU21" s="93"/>
      <c r="WHV21" s="93"/>
      <c r="WHW21" s="93"/>
      <c r="WHX21" s="93"/>
      <c r="WHY21" s="93"/>
      <c r="WHZ21" s="93"/>
      <c r="WIA21" s="93"/>
      <c r="WIB21" s="93"/>
      <c r="WIC21" s="93"/>
      <c r="WID21" s="93"/>
      <c r="WIE21" s="93"/>
      <c r="WIF21" s="93"/>
      <c r="WIG21" s="93"/>
      <c r="WIH21" s="93"/>
      <c r="WII21" s="93"/>
      <c r="WIJ21" s="93"/>
      <c r="WIK21" s="93"/>
      <c r="WIL21" s="93"/>
      <c r="WIM21" s="93"/>
      <c r="WIN21" s="93"/>
      <c r="WIO21" s="93"/>
      <c r="WIP21" s="93"/>
      <c r="WIQ21" s="93"/>
      <c r="WIR21" s="93"/>
      <c r="WIS21" s="93"/>
      <c r="WIT21" s="93"/>
      <c r="WIU21" s="93"/>
      <c r="WIV21" s="93"/>
      <c r="WIW21" s="93"/>
      <c r="WIX21" s="93"/>
      <c r="WIY21" s="93"/>
      <c r="WIZ21" s="93"/>
      <c r="WJA21" s="93"/>
      <c r="WJB21" s="93"/>
      <c r="WJC21" s="93"/>
      <c r="WJD21" s="93"/>
      <c r="WJE21" s="93"/>
      <c r="WJF21" s="93"/>
      <c r="WJG21" s="93"/>
      <c r="WJH21" s="93"/>
      <c r="WJI21" s="93"/>
      <c r="WJJ21" s="93"/>
      <c r="WJK21" s="93"/>
      <c r="WJL21" s="93"/>
      <c r="WJM21" s="93"/>
      <c r="WJN21" s="93"/>
      <c r="WJO21" s="93"/>
      <c r="WJP21" s="93"/>
      <c r="WJQ21" s="93"/>
      <c r="WJR21" s="93"/>
      <c r="WJS21" s="93"/>
      <c r="WJT21" s="93"/>
      <c r="WJU21" s="93"/>
      <c r="WJV21" s="93"/>
      <c r="WJW21" s="93"/>
      <c r="WJX21" s="93"/>
      <c r="WJY21" s="93"/>
      <c r="WJZ21" s="93"/>
      <c r="WKA21" s="93"/>
      <c r="WKB21" s="93"/>
      <c r="WKC21" s="93"/>
      <c r="WKD21" s="93"/>
      <c r="WKE21" s="93"/>
      <c r="WKF21" s="93"/>
      <c r="WKG21" s="93"/>
      <c r="WKH21" s="93"/>
      <c r="WKI21" s="93"/>
      <c r="WKJ21" s="93"/>
      <c r="WKK21" s="93"/>
      <c r="WKL21" s="93"/>
      <c r="WKM21" s="93"/>
      <c r="WKN21" s="93"/>
      <c r="WKO21" s="93"/>
      <c r="WKP21" s="93"/>
      <c r="WKQ21" s="93"/>
      <c r="WKR21" s="93"/>
      <c r="WKS21" s="93"/>
      <c r="WKT21" s="93"/>
      <c r="WKU21" s="93"/>
      <c r="WKV21" s="93"/>
      <c r="WKW21" s="93"/>
      <c r="WKX21" s="93"/>
      <c r="WKY21" s="93"/>
      <c r="WKZ21" s="93"/>
      <c r="WLA21" s="93"/>
      <c r="WLB21" s="93"/>
      <c r="WLC21" s="93"/>
      <c r="WLD21" s="93"/>
      <c r="WLE21" s="93"/>
      <c r="WLF21" s="93"/>
      <c r="WLG21" s="93"/>
      <c r="WLH21" s="93"/>
      <c r="WLI21" s="93"/>
      <c r="WLJ21" s="93"/>
      <c r="WLK21" s="93"/>
      <c r="WLL21" s="93"/>
      <c r="WLM21" s="93"/>
      <c r="WLN21" s="93"/>
      <c r="WLO21" s="93"/>
      <c r="WLP21" s="93"/>
      <c r="WLQ21" s="93"/>
      <c r="WLR21" s="93"/>
      <c r="WLS21" s="93"/>
      <c r="WLT21" s="93"/>
      <c r="WLU21" s="93"/>
      <c r="WLV21" s="93"/>
      <c r="WLW21" s="93"/>
      <c r="WLX21" s="93"/>
      <c r="WLY21" s="93"/>
      <c r="WLZ21" s="93"/>
      <c r="WMA21" s="93"/>
      <c r="WMB21" s="93"/>
      <c r="WMC21" s="93"/>
      <c r="WMD21" s="93"/>
      <c r="WME21" s="93"/>
      <c r="WMF21" s="93"/>
      <c r="WMG21" s="93"/>
      <c r="WMH21" s="93"/>
      <c r="WMI21" s="93"/>
      <c r="WMJ21" s="93"/>
      <c r="WMK21" s="93"/>
      <c r="WML21" s="93"/>
      <c r="WMM21" s="93"/>
      <c r="WMN21" s="93"/>
      <c r="WMO21" s="93"/>
      <c r="WMP21" s="93"/>
      <c r="WMQ21" s="93"/>
      <c r="WMR21" s="93"/>
      <c r="WMS21" s="93"/>
      <c r="WMT21" s="93"/>
      <c r="WMU21" s="93"/>
      <c r="WMV21" s="93"/>
      <c r="WMW21" s="93"/>
      <c r="WMX21" s="93"/>
      <c r="WMY21" s="93"/>
      <c r="WMZ21" s="93"/>
      <c r="WNA21" s="93"/>
      <c r="WNB21" s="93"/>
      <c r="WNC21" s="93"/>
      <c r="WND21" s="93"/>
      <c r="WNE21" s="93"/>
      <c r="WNF21" s="93"/>
      <c r="WNG21" s="93"/>
      <c r="WNH21" s="93"/>
      <c r="WNI21" s="93"/>
      <c r="WNJ21" s="93"/>
      <c r="WNK21" s="93"/>
      <c r="WNL21" s="93"/>
      <c r="WNM21" s="93"/>
      <c r="WNN21" s="93"/>
      <c r="WNO21" s="93"/>
      <c r="WNP21" s="93"/>
      <c r="WNQ21" s="93"/>
      <c r="WNR21" s="93"/>
      <c r="WNS21" s="93"/>
      <c r="WNT21" s="93"/>
      <c r="WNU21" s="93"/>
      <c r="WNV21" s="93"/>
      <c r="WNW21" s="93"/>
      <c r="WNX21" s="93"/>
      <c r="WNY21" s="93"/>
      <c r="WNZ21" s="93"/>
      <c r="WOA21" s="93"/>
      <c r="WOB21" s="93"/>
      <c r="WOC21" s="93"/>
      <c r="WOD21" s="93"/>
      <c r="WOE21" s="93"/>
      <c r="WOF21" s="93"/>
      <c r="WOG21" s="93"/>
      <c r="WOH21" s="93"/>
      <c r="WOI21" s="93"/>
      <c r="WOJ21" s="93"/>
      <c r="WOK21" s="93"/>
      <c r="WOL21" s="93"/>
      <c r="WOM21" s="93"/>
      <c r="WON21" s="93"/>
      <c r="WOO21" s="93"/>
      <c r="WOP21" s="93"/>
      <c r="WOQ21" s="93"/>
      <c r="WOR21" s="93"/>
      <c r="WOS21" s="93"/>
      <c r="WOT21" s="93"/>
      <c r="WOU21" s="93"/>
      <c r="WOV21" s="93"/>
      <c r="WOW21" s="93"/>
      <c r="WOX21" s="93"/>
      <c r="WOY21" s="93"/>
      <c r="WOZ21" s="93"/>
      <c r="WPA21" s="93"/>
      <c r="WPB21" s="93"/>
      <c r="WPC21" s="93"/>
      <c r="WPD21" s="93"/>
      <c r="WPE21" s="93"/>
      <c r="WPF21" s="93"/>
      <c r="WPG21" s="93"/>
      <c r="WPH21" s="93"/>
      <c r="WPI21" s="93"/>
      <c r="WPJ21" s="93"/>
      <c r="WPK21" s="93"/>
      <c r="WPL21" s="93"/>
      <c r="WPM21" s="93"/>
      <c r="WPN21" s="93"/>
      <c r="WPO21" s="93"/>
      <c r="WPP21" s="93"/>
      <c r="WPQ21" s="93"/>
      <c r="WPR21" s="93"/>
      <c r="WPS21" s="93"/>
      <c r="WPT21" s="93"/>
      <c r="WPU21" s="93"/>
      <c r="WPV21" s="93"/>
      <c r="WPW21" s="93"/>
      <c r="WPX21" s="93"/>
      <c r="WPY21" s="93"/>
      <c r="WPZ21" s="93"/>
      <c r="WQA21" s="93"/>
      <c r="WQB21" s="93"/>
      <c r="WQC21" s="93"/>
      <c r="WQD21" s="93"/>
      <c r="WQE21" s="93"/>
      <c r="WQF21" s="93"/>
      <c r="WQG21" s="93"/>
      <c r="WQH21" s="93"/>
      <c r="WQI21" s="93"/>
      <c r="WQJ21" s="93"/>
      <c r="WQK21" s="93"/>
      <c r="WQL21" s="93"/>
      <c r="WQM21" s="93"/>
      <c r="WQN21" s="93"/>
      <c r="WQO21" s="93"/>
      <c r="WQP21" s="93"/>
      <c r="WQQ21" s="93"/>
      <c r="WQR21" s="93"/>
      <c r="WQS21" s="93"/>
      <c r="WQT21" s="93"/>
      <c r="WQU21" s="93"/>
      <c r="WQV21" s="93"/>
      <c r="WQW21" s="93"/>
      <c r="WQX21" s="93"/>
      <c r="WQY21" s="93"/>
      <c r="WQZ21" s="93"/>
      <c r="WRA21" s="93"/>
      <c r="WRB21" s="93"/>
      <c r="WRC21" s="93"/>
      <c r="WRD21" s="93"/>
      <c r="WRE21" s="93"/>
      <c r="WRF21" s="93"/>
      <c r="WRG21" s="93"/>
      <c r="WRH21" s="93"/>
      <c r="WRI21" s="93"/>
      <c r="WRJ21" s="93"/>
      <c r="WRK21" s="93"/>
      <c r="WRL21" s="93"/>
      <c r="WRM21" s="93"/>
      <c r="WRN21" s="93"/>
      <c r="WRO21" s="93"/>
      <c r="WRP21" s="93"/>
      <c r="WRQ21" s="93"/>
      <c r="WRR21" s="93"/>
      <c r="WRS21" s="93"/>
      <c r="WRT21" s="93"/>
      <c r="WRU21" s="93"/>
      <c r="WRV21" s="93"/>
      <c r="WRW21" s="93"/>
      <c r="WRX21" s="93"/>
      <c r="WRY21" s="93"/>
      <c r="WRZ21" s="93"/>
      <c r="WSA21" s="93"/>
      <c r="WSB21" s="93"/>
      <c r="WSC21" s="93"/>
      <c r="WSD21" s="93"/>
      <c r="WSE21" s="93"/>
      <c r="WSF21" s="93"/>
      <c r="WSG21" s="93"/>
      <c r="WSH21" s="93"/>
      <c r="WSI21" s="93"/>
      <c r="WSJ21" s="93"/>
      <c r="WSK21" s="93"/>
      <c r="WSL21" s="93"/>
      <c r="WSM21" s="93"/>
      <c r="WSN21" s="93"/>
      <c r="WSO21" s="93"/>
      <c r="WSP21" s="93"/>
      <c r="WSQ21" s="93"/>
      <c r="WSR21" s="93"/>
      <c r="WSS21" s="93"/>
      <c r="WST21" s="93"/>
      <c r="WSU21" s="93"/>
      <c r="WSV21" s="93"/>
      <c r="WSW21" s="93"/>
      <c r="WSX21" s="93"/>
      <c r="WSY21" s="93"/>
      <c r="WSZ21" s="93"/>
      <c r="WTA21" s="93"/>
      <c r="WTB21" s="93"/>
      <c r="WTC21" s="93"/>
      <c r="WTD21" s="93"/>
      <c r="WTE21" s="93"/>
      <c r="WTF21" s="93"/>
      <c r="WTG21" s="93"/>
      <c r="WTH21" s="93"/>
      <c r="WTI21" s="93"/>
      <c r="WTJ21" s="93"/>
      <c r="WTK21" s="93"/>
      <c r="WTL21" s="93"/>
      <c r="WTM21" s="93"/>
      <c r="WTN21" s="93"/>
      <c r="WTO21" s="93"/>
      <c r="WTP21" s="93"/>
      <c r="WTQ21" s="93"/>
      <c r="WTR21" s="93"/>
      <c r="WTS21" s="93"/>
      <c r="WTT21" s="93"/>
      <c r="WTU21" s="93"/>
      <c r="WTV21" s="93"/>
      <c r="WTW21" s="93"/>
      <c r="WTX21" s="93"/>
      <c r="WTY21" s="93"/>
      <c r="WTZ21" s="93"/>
      <c r="WUA21" s="93"/>
      <c r="WUB21" s="93"/>
      <c r="WUC21" s="93"/>
      <c r="WUD21" s="93"/>
      <c r="WUE21" s="93"/>
      <c r="WUF21" s="93"/>
      <c r="WUG21" s="93"/>
      <c r="WUH21" s="93"/>
      <c r="WUI21" s="93"/>
      <c r="WUJ21" s="93"/>
      <c r="WUK21" s="93"/>
      <c r="WUL21" s="93"/>
      <c r="WUM21" s="93"/>
      <c r="WUN21" s="93"/>
      <c r="WUO21" s="93"/>
      <c r="WUP21" s="93"/>
      <c r="WUQ21" s="93"/>
      <c r="WUR21" s="93"/>
      <c r="WUS21" s="93"/>
      <c r="WUT21" s="93"/>
      <c r="WUU21" s="93"/>
      <c r="WUV21" s="93"/>
      <c r="WUW21" s="93"/>
      <c r="WUX21" s="93"/>
      <c r="WUY21" s="93"/>
      <c r="WUZ21" s="93"/>
      <c r="WVA21" s="93"/>
      <c r="WVB21" s="93"/>
      <c r="WVC21" s="93"/>
      <c r="WVD21" s="93"/>
      <c r="WVE21" s="93"/>
      <c r="WVF21" s="93"/>
      <c r="WVG21" s="93"/>
      <c r="WVH21" s="93"/>
      <c r="WVI21" s="93"/>
      <c r="WVJ21" s="93"/>
      <c r="WVK21" s="93"/>
      <c r="WVL21" s="93"/>
      <c r="WVM21" s="93"/>
      <c r="WVN21" s="93"/>
      <c r="WVO21" s="93"/>
      <c r="WVP21" s="93"/>
      <c r="WVQ21" s="93"/>
      <c r="WVR21" s="93"/>
      <c r="WVS21" s="93"/>
      <c r="WVT21" s="93"/>
      <c r="WVU21" s="93"/>
      <c r="WVV21" s="93"/>
      <c r="WVW21" s="93"/>
      <c r="WVX21" s="93"/>
      <c r="WVY21" s="93"/>
      <c r="WVZ21" s="93"/>
      <c r="WWA21" s="93"/>
      <c r="WWB21" s="93"/>
      <c r="WWC21" s="93"/>
      <c r="WWD21" s="93"/>
      <c r="WWE21" s="93"/>
      <c r="WWF21" s="93"/>
      <c r="WWG21" s="93"/>
      <c r="WWH21" s="93"/>
      <c r="WWI21" s="93"/>
      <c r="WWJ21" s="93"/>
      <c r="WWK21" s="93"/>
      <c r="WWL21" s="93"/>
      <c r="WWM21" s="93"/>
      <c r="WWN21" s="93"/>
      <c r="WWO21" s="93"/>
      <c r="WWP21" s="93"/>
      <c r="WWQ21" s="93"/>
      <c r="WWR21" s="93"/>
      <c r="WWS21" s="93"/>
      <c r="WWT21" s="93"/>
      <c r="WWU21" s="93"/>
      <c r="WWV21" s="93"/>
      <c r="WWW21" s="93"/>
      <c r="WWX21" s="93"/>
      <c r="WWY21" s="93"/>
      <c r="WWZ21" s="93"/>
      <c r="WXA21" s="93"/>
      <c r="WXB21" s="93"/>
      <c r="WXC21" s="93"/>
      <c r="WXD21" s="93"/>
      <c r="WXE21" s="93"/>
      <c r="WXF21" s="93"/>
      <c r="WXG21" s="93"/>
      <c r="WXH21" s="93"/>
      <c r="WXI21" s="93"/>
      <c r="WXJ21" s="93"/>
      <c r="WXK21" s="93"/>
      <c r="WXL21" s="93"/>
      <c r="WXM21" s="93"/>
      <c r="WXN21" s="93"/>
      <c r="WXO21" s="93"/>
      <c r="WXP21" s="93"/>
      <c r="WXQ21" s="93"/>
      <c r="WXR21" s="93"/>
      <c r="WXS21" s="93"/>
      <c r="WXT21" s="93"/>
      <c r="WXU21" s="93"/>
      <c r="WXV21" s="93"/>
      <c r="WXW21" s="93"/>
      <c r="WXX21" s="93"/>
      <c r="WXY21" s="93"/>
      <c r="WXZ21" s="93"/>
      <c r="WYA21" s="93"/>
      <c r="WYB21" s="93"/>
      <c r="WYC21" s="93"/>
      <c r="WYD21" s="93"/>
      <c r="WYE21" s="93"/>
      <c r="WYF21" s="93"/>
      <c r="WYG21" s="93"/>
      <c r="WYH21" s="93"/>
      <c r="WYI21" s="93"/>
      <c r="WYJ21" s="93"/>
      <c r="WYK21" s="93"/>
      <c r="WYL21" s="93"/>
      <c r="WYM21" s="93"/>
      <c r="WYN21" s="93"/>
      <c r="WYO21" s="93"/>
      <c r="WYP21" s="93"/>
      <c r="WYQ21" s="93"/>
      <c r="WYR21" s="93"/>
      <c r="WYS21" s="93"/>
      <c r="WYT21" s="93"/>
      <c r="WYU21" s="93"/>
      <c r="WYV21" s="93"/>
      <c r="WYW21" s="93"/>
      <c r="WYX21" s="93"/>
      <c r="WYY21" s="93"/>
      <c r="WYZ21" s="93"/>
      <c r="WZA21" s="93"/>
      <c r="WZB21" s="93"/>
      <c r="WZC21" s="93"/>
      <c r="WZD21" s="93"/>
      <c r="WZE21" s="93"/>
      <c r="WZF21" s="93"/>
      <c r="WZG21" s="93"/>
      <c r="WZH21" s="93"/>
      <c r="WZI21" s="93"/>
      <c r="WZJ21" s="93"/>
      <c r="WZK21" s="93"/>
      <c r="WZL21" s="93"/>
      <c r="WZM21" s="93"/>
      <c r="WZN21" s="93"/>
      <c r="WZO21" s="93"/>
      <c r="WZP21" s="93"/>
      <c r="WZQ21" s="93"/>
      <c r="WZR21" s="93"/>
      <c r="WZS21" s="93"/>
      <c r="WZT21" s="93"/>
      <c r="WZU21" s="93"/>
      <c r="WZV21" s="93"/>
      <c r="WZW21" s="93"/>
      <c r="WZX21" s="93"/>
      <c r="WZY21" s="93"/>
      <c r="WZZ21" s="93"/>
      <c r="XAA21" s="93"/>
      <c r="XAB21" s="93"/>
      <c r="XAC21" s="93"/>
      <c r="XAD21" s="93"/>
      <c r="XAE21" s="93"/>
      <c r="XAF21" s="93"/>
      <c r="XAG21" s="93"/>
      <c r="XAH21" s="93"/>
      <c r="XAI21" s="93"/>
      <c r="XAJ21" s="93"/>
      <c r="XAK21" s="93"/>
      <c r="XAL21" s="93"/>
      <c r="XAM21" s="93"/>
      <c r="XAN21" s="93"/>
      <c r="XAO21" s="93"/>
      <c r="XAP21" s="93"/>
      <c r="XAQ21" s="93"/>
      <c r="XAR21" s="93"/>
      <c r="XAS21" s="93"/>
      <c r="XAT21" s="93"/>
      <c r="XAU21" s="93"/>
      <c r="XAV21" s="93"/>
      <c r="XAW21" s="93"/>
      <c r="XAX21" s="93"/>
      <c r="XAY21" s="93"/>
      <c r="XAZ21" s="93"/>
      <c r="XBA21" s="93"/>
      <c r="XBB21" s="93"/>
      <c r="XBC21" s="93"/>
      <c r="XBD21" s="93"/>
      <c r="XBE21" s="93"/>
      <c r="XBF21" s="93"/>
      <c r="XBG21" s="93"/>
      <c r="XBH21" s="93"/>
      <c r="XBI21" s="93"/>
      <c r="XBJ21" s="93"/>
      <c r="XBK21" s="93"/>
      <c r="XBL21" s="93"/>
      <c r="XBM21" s="93"/>
      <c r="XBN21" s="93"/>
      <c r="XBO21" s="93"/>
      <c r="XBP21" s="93"/>
      <c r="XBQ21" s="93"/>
      <c r="XBR21" s="93"/>
      <c r="XBS21" s="93"/>
      <c r="XBT21" s="93"/>
      <c r="XBU21" s="93"/>
      <c r="XBV21" s="93"/>
      <c r="XBW21" s="93"/>
      <c r="XBX21" s="93"/>
      <c r="XBY21" s="93"/>
      <c r="XBZ21" s="93"/>
      <c r="XCA21" s="93"/>
      <c r="XCB21" s="93"/>
      <c r="XCC21" s="93"/>
      <c r="XCD21" s="93"/>
      <c r="XCE21" s="93"/>
      <c r="XCF21" s="93"/>
      <c r="XCG21" s="93"/>
      <c r="XCH21" s="93"/>
      <c r="XCI21" s="93"/>
      <c r="XCJ21" s="93"/>
      <c r="XCK21" s="93"/>
      <c r="XCL21" s="93"/>
      <c r="XCM21" s="93"/>
      <c r="XCN21" s="93"/>
      <c r="XCO21" s="93"/>
      <c r="XCP21" s="93"/>
      <c r="XCQ21" s="93"/>
      <c r="XCR21" s="93"/>
      <c r="XCS21" s="93"/>
      <c r="XCT21" s="93"/>
      <c r="XCU21" s="93"/>
      <c r="XCV21" s="93"/>
      <c r="XCW21" s="93"/>
      <c r="XCX21" s="93"/>
      <c r="XCY21" s="93"/>
      <c r="XCZ21" s="93"/>
      <c r="XDA21" s="93"/>
      <c r="XDB21" s="93"/>
      <c r="XDC21" s="93"/>
      <c r="XDD21" s="93"/>
      <c r="XDE21" s="93"/>
      <c r="XDF21" s="93"/>
      <c r="XDG21" s="93"/>
      <c r="XDH21" s="93"/>
      <c r="XDI21" s="93"/>
      <c r="XDJ21" s="93"/>
      <c r="XDK21" s="93"/>
      <c r="XDL21" s="93"/>
      <c r="XDM21" s="93"/>
      <c r="XDN21" s="93"/>
      <c r="XDO21" s="93"/>
      <c r="XDP21" s="93"/>
      <c r="XDQ21" s="93"/>
      <c r="XDR21" s="93"/>
      <c r="XDS21" s="93"/>
      <c r="XDT21" s="93"/>
      <c r="XDU21" s="93"/>
      <c r="XDV21" s="93"/>
      <c r="XDW21" s="93"/>
      <c r="XDX21" s="93"/>
      <c r="XDY21" s="92"/>
      <c r="XDZ21" s="92"/>
      <c r="XEA21" s="93"/>
      <c r="XEB21" s="94"/>
      <c r="XEC21" s="93"/>
    </row>
    <row r="22" spans="1:16357" x14ac:dyDescent="0.25">
      <c r="A22" s="92" t="str">
        <f>_xlfn.CONCAT(stableR[[#This Row],[group_0_no]:[order_no]])</f>
        <v>1111</v>
      </c>
      <c r="B22" s="92" t="s">
        <v>78</v>
      </c>
      <c r="C22" s="94" t="s">
        <v>1093</v>
      </c>
      <c r="D22" s="94" t="s">
        <v>1093</v>
      </c>
      <c r="E22" s="94" t="s">
        <v>1093</v>
      </c>
      <c r="F22" s="94" t="s">
        <v>1093</v>
      </c>
      <c r="G22" s="93" t="s">
        <v>1108</v>
      </c>
      <c r="H22" s="93" t="b">
        <v>0</v>
      </c>
      <c r="I22" s="93" t="b">
        <v>1</v>
      </c>
      <c r="J22" s="93" t="b">
        <v>0</v>
      </c>
      <c r="K22" s="93" t="b">
        <v>0</v>
      </c>
      <c r="L22" s="93" t="b">
        <v>1</v>
      </c>
      <c r="M22" s="93" t="b">
        <v>1</v>
      </c>
      <c r="N22" s="93" t="b">
        <v>0</v>
      </c>
      <c r="O22" s="93" t="b">
        <v>0</v>
      </c>
      <c r="P22" s="93" t="b">
        <v>0</v>
      </c>
      <c r="Q22" s="93" t="b">
        <v>0</v>
      </c>
      <c r="R22" s="93" t="b">
        <v>0</v>
      </c>
      <c r="S22" s="94">
        <f>COUNTIFS(stableR[q_group],stableR[[#This Row],[q_group]])</f>
        <v>1</v>
      </c>
      <c r="T22" s="93" t="b">
        <v>1</v>
      </c>
      <c r="U22" s="93" t="b">
        <v>0</v>
      </c>
      <c r="V22" s="93" t="b">
        <v>0</v>
      </c>
      <c r="W22" s="93" t="b">
        <v>0</v>
      </c>
      <c r="X22" s="93" t="str">
        <f>_xlfn.TEXTJOIN(", ",TRUE,stableR[[#This Row],[ans_opt_1]:[ans_opt_14]])</f>
        <v/>
      </c>
      <c r="Y22" s="93"/>
      <c r="Z22" s="93"/>
      <c r="AA22" s="93"/>
      <c r="AB22" s="93"/>
      <c r="AC22" s="93"/>
      <c r="AD22" s="93"/>
      <c r="AE22" s="93"/>
      <c r="AF22" s="93"/>
      <c r="AG22" s="93"/>
      <c r="AH22" s="93"/>
      <c r="AI22" s="93"/>
      <c r="AJ22" s="93"/>
      <c r="AK22" s="93"/>
      <c r="AL22" s="93"/>
      <c r="AM22" s="209" t="b">
        <v>0</v>
      </c>
      <c r="AN22" s="209" t="b">
        <v>0</v>
      </c>
      <c r="AO22" s="209" t="b">
        <v>0</v>
      </c>
      <c r="AP22" s="209" t="b">
        <v>0</v>
      </c>
      <c r="AQ22" s="209" t="b">
        <v>0</v>
      </c>
      <c r="AR22" s="209" t="b">
        <v>0</v>
      </c>
      <c r="AS22" s="209" t="b">
        <v>0</v>
      </c>
      <c r="AT22" s="209" t="b">
        <v>0</v>
      </c>
      <c r="AU22" s="93"/>
      <c r="AV22" s="93"/>
      <c r="AW22" s="93"/>
      <c r="AX22" s="93"/>
      <c r="AY22" s="93"/>
      <c r="AZ22" s="93"/>
      <c r="BA22" s="93"/>
      <c r="BB22" s="93"/>
      <c r="BC22" s="93"/>
      <c r="BD22" s="93"/>
      <c r="BE22" s="93"/>
      <c r="BF22" s="93"/>
      <c r="BG22" s="93"/>
      <c r="BH22" s="93"/>
      <c r="BI22" s="93"/>
      <c r="BJ22" s="93"/>
      <c r="BK22" s="93"/>
      <c r="BL22" s="93"/>
      <c r="BM22" s="93"/>
      <c r="BN22" s="93"/>
      <c r="BO22" s="93"/>
      <c r="BP22" s="93"/>
      <c r="BQ22" s="93"/>
      <c r="BR22" s="93"/>
      <c r="BS22" s="93"/>
      <c r="BT22" s="93"/>
      <c r="BU22" s="93"/>
      <c r="BV22" s="93"/>
      <c r="BW22" s="93"/>
      <c r="BX22" s="93"/>
      <c r="BY22" s="93"/>
      <c r="BZ22" s="93"/>
      <c r="CA22" s="93"/>
      <c r="CB22" s="93"/>
      <c r="CC22" s="93"/>
      <c r="CD22" s="93"/>
      <c r="CE22" s="93"/>
      <c r="CF22" s="93"/>
      <c r="CG22" s="93"/>
      <c r="CH22" s="93"/>
      <c r="CI22" s="93"/>
      <c r="CJ22" s="93"/>
      <c r="CK22" s="93"/>
      <c r="CL22" s="93"/>
      <c r="CM22" s="93"/>
      <c r="CN22" s="93"/>
      <c r="CO22" s="93"/>
      <c r="CP22" s="93"/>
      <c r="CQ22" s="93"/>
      <c r="CR22" s="93"/>
      <c r="CS22" s="93"/>
      <c r="CT22" s="93"/>
      <c r="CU22" s="93"/>
      <c r="CV22" s="93"/>
      <c r="CW22" s="93"/>
      <c r="CX22" s="93"/>
      <c r="CY22" s="93"/>
      <c r="CZ22" s="93"/>
      <c r="DA22" s="93"/>
      <c r="DB22" s="93"/>
      <c r="DC22" s="93"/>
      <c r="DD22" s="93"/>
      <c r="DE22" s="93"/>
      <c r="DF22" s="93"/>
      <c r="DG22" s="93"/>
      <c r="DH22" s="93"/>
      <c r="DI22" s="93"/>
      <c r="DJ22" s="93"/>
      <c r="DK22" s="93"/>
      <c r="DL22" s="93"/>
      <c r="DM22" s="93"/>
      <c r="DN22" s="93"/>
      <c r="DO22" s="93"/>
      <c r="DP22" s="93"/>
      <c r="DQ22" s="93"/>
      <c r="DR22" s="93"/>
      <c r="DS22" s="93"/>
      <c r="DT22" s="93"/>
      <c r="DU22" s="93"/>
      <c r="DV22" s="93"/>
      <c r="DW22" s="93"/>
      <c r="DX22" s="93"/>
      <c r="DY22" s="93"/>
      <c r="DZ22" s="93"/>
      <c r="EA22" s="93"/>
      <c r="EB22" s="93"/>
      <c r="EC22" s="93"/>
      <c r="ED22" s="93"/>
      <c r="EE22" s="93"/>
      <c r="EF22" s="93"/>
      <c r="EG22" s="93"/>
      <c r="EH22" s="93"/>
      <c r="EI22" s="93"/>
      <c r="EJ22" s="93"/>
      <c r="EK22" s="93"/>
      <c r="EL22" s="93"/>
      <c r="EM22" s="93"/>
      <c r="EN22" s="93"/>
      <c r="EO22" s="93"/>
      <c r="EP22" s="93"/>
      <c r="EQ22" s="93"/>
      <c r="ER22" s="93"/>
      <c r="ES22" s="93"/>
      <c r="ET22" s="93"/>
      <c r="EU22" s="93"/>
      <c r="EV22" s="93"/>
      <c r="EW22" s="93"/>
      <c r="EX22" s="93"/>
      <c r="EY22" s="93"/>
      <c r="EZ22" s="93"/>
      <c r="FA22" s="93"/>
      <c r="FB22" s="93"/>
      <c r="FC22" s="93"/>
      <c r="FD22" s="93"/>
      <c r="FE22" s="93"/>
      <c r="FF22" s="93"/>
      <c r="FG22" s="93"/>
      <c r="FH22" s="93"/>
      <c r="FI22" s="93"/>
      <c r="FJ22" s="93"/>
      <c r="FK22" s="93"/>
      <c r="FL22" s="93"/>
      <c r="FM22" s="93"/>
      <c r="FN22" s="93"/>
      <c r="FO22" s="93"/>
      <c r="FP22" s="93"/>
      <c r="FQ22" s="93"/>
      <c r="FR22" s="93"/>
      <c r="FS22" s="93"/>
      <c r="FT22" s="93"/>
      <c r="FU22" s="93"/>
      <c r="FV22" s="93"/>
      <c r="FW22" s="93"/>
      <c r="FX22" s="93"/>
      <c r="FY22" s="93"/>
      <c r="FZ22" s="93"/>
      <c r="GA22" s="93"/>
      <c r="GB22" s="93"/>
      <c r="GC22" s="93"/>
      <c r="GD22" s="93"/>
      <c r="GE22" s="93"/>
      <c r="GF22" s="93"/>
      <c r="GG22" s="93"/>
      <c r="GH22" s="93"/>
      <c r="GI22" s="93"/>
      <c r="GJ22" s="93"/>
      <c r="GK22" s="93"/>
      <c r="GL22" s="93"/>
      <c r="GM22" s="93"/>
      <c r="GN22" s="93"/>
      <c r="GO22" s="93"/>
      <c r="GP22" s="93"/>
      <c r="GQ22" s="93"/>
      <c r="GR22" s="93"/>
      <c r="GS22" s="93"/>
      <c r="GT22" s="93"/>
      <c r="GU22" s="93"/>
      <c r="GV22" s="93"/>
      <c r="GW22" s="93"/>
      <c r="GX22" s="93"/>
      <c r="GY22" s="93"/>
      <c r="GZ22" s="93"/>
      <c r="HA22" s="93"/>
      <c r="HB22" s="93"/>
      <c r="HC22" s="93"/>
      <c r="HD22" s="93"/>
      <c r="HE22" s="93"/>
      <c r="HF22" s="93"/>
      <c r="HG22" s="93"/>
      <c r="HH22" s="93"/>
      <c r="HI22" s="93"/>
      <c r="HJ22" s="93"/>
      <c r="HK22" s="93"/>
      <c r="HL22" s="93"/>
      <c r="HM22" s="93"/>
      <c r="HN22" s="93"/>
      <c r="HO22" s="93"/>
      <c r="HP22" s="93"/>
      <c r="HQ22" s="93"/>
      <c r="HR22" s="93"/>
      <c r="HS22" s="93"/>
      <c r="HT22" s="93"/>
      <c r="HU22" s="93"/>
      <c r="HV22" s="93"/>
      <c r="HW22" s="93"/>
      <c r="HX22" s="93"/>
      <c r="HY22" s="93"/>
      <c r="HZ22" s="93"/>
      <c r="IA22" s="93"/>
      <c r="IB22" s="93"/>
      <c r="IC22" s="93"/>
      <c r="ID22" s="93"/>
      <c r="IE22" s="93"/>
      <c r="IF22" s="93"/>
      <c r="IG22" s="93"/>
      <c r="IH22" s="93"/>
      <c r="II22" s="93"/>
      <c r="IJ22" s="93"/>
      <c r="IK22" s="93"/>
      <c r="IL22" s="93"/>
      <c r="IM22" s="93"/>
      <c r="IN22" s="93"/>
      <c r="IO22" s="93"/>
      <c r="IP22" s="93"/>
      <c r="IQ22" s="93"/>
      <c r="IR22" s="93"/>
      <c r="IS22" s="93"/>
      <c r="IT22" s="93"/>
      <c r="IU22" s="93"/>
      <c r="IV22" s="93"/>
      <c r="IW22" s="93"/>
      <c r="IX22" s="93"/>
      <c r="IY22" s="93"/>
      <c r="IZ22" s="93"/>
      <c r="JA22" s="93"/>
      <c r="JB22" s="93"/>
      <c r="JC22" s="93"/>
      <c r="JD22" s="93"/>
      <c r="JE22" s="93"/>
      <c r="JF22" s="93"/>
      <c r="JG22" s="93"/>
      <c r="JH22" s="93"/>
      <c r="JI22" s="93"/>
      <c r="JJ22" s="93"/>
      <c r="JK22" s="93"/>
      <c r="JL22" s="93"/>
      <c r="JM22" s="93"/>
      <c r="JN22" s="93"/>
      <c r="JO22" s="93"/>
      <c r="JP22" s="93"/>
      <c r="JQ22" s="93"/>
      <c r="JR22" s="93"/>
      <c r="JS22" s="93"/>
      <c r="JT22" s="93"/>
      <c r="JU22" s="93"/>
      <c r="JV22" s="93"/>
      <c r="JW22" s="93"/>
      <c r="JX22" s="93"/>
      <c r="JY22" s="93"/>
      <c r="JZ22" s="93"/>
      <c r="KA22" s="93"/>
      <c r="KB22" s="93"/>
      <c r="KC22" s="93"/>
      <c r="KD22" s="93"/>
      <c r="KE22" s="93"/>
      <c r="KF22" s="93"/>
      <c r="KG22" s="93"/>
      <c r="KH22" s="93"/>
      <c r="KI22" s="93"/>
      <c r="KJ22" s="93"/>
      <c r="KK22" s="93"/>
      <c r="KL22" s="93"/>
      <c r="KM22" s="93"/>
      <c r="KN22" s="93"/>
      <c r="KO22" s="93"/>
      <c r="KP22" s="93"/>
      <c r="KQ22" s="93"/>
      <c r="KR22" s="93"/>
      <c r="KS22" s="93"/>
      <c r="KT22" s="93"/>
      <c r="KU22" s="93"/>
      <c r="KV22" s="93"/>
      <c r="KW22" s="93"/>
      <c r="KX22" s="93"/>
      <c r="KY22" s="93"/>
      <c r="KZ22" s="93"/>
      <c r="LA22" s="93"/>
      <c r="LB22" s="93"/>
      <c r="LC22" s="93"/>
      <c r="LD22" s="93"/>
      <c r="LE22" s="93"/>
      <c r="LF22" s="93"/>
      <c r="LG22" s="93"/>
      <c r="LH22" s="93"/>
      <c r="LI22" s="93"/>
      <c r="LJ22" s="93"/>
      <c r="LK22" s="93"/>
      <c r="LL22" s="93"/>
      <c r="LM22" s="93"/>
      <c r="LN22" s="93"/>
      <c r="LO22" s="93"/>
      <c r="LP22" s="93"/>
      <c r="LQ22" s="93"/>
      <c r="LR22" s="93"/>
      <c r="LS22" s="93"/>
      <c r="LT22" s="93"/>
      <c r="LU22" s="93"/>
      <c r="LV22" s="93"/>
      <c r="LW22" s="93"/>
      <c r="LX22" s="93"/>
      <c r="LY22" s="93"/>
      <c r="LZ22" s="93"/>
      <c r="MA22" s="93"/>
      <c r="MB22" s="93"/>
      <c r="MC22" s="93"/>
      <c r="MD22" s="93"/>
      <c r="ME22" s="93"/>
      <c r="MF22" s="93"/>
      <c r="MG22" s="93"/>
      <c r="MH22" s="93"/>
      <c r="MI22" s="93"/>
      <c r="MJ22" s="93"/>
      <c r="MK22" s="93"/>
      <c r="ML22" s="93"/>
      <c r="MM22" s="93"/>
      <c r="MN22" s="93"/>
      <c r="MO22" s="93"/>
      <c r="MP22" s="93"/>
      <c r="MQ22" s="93"/>
      <c r="MR22" s="93"/>
      <c r="MS22" s="93"/>
      <c r="MT22" s="93"/>
      <c r="MU22" s="93"/>
      <c r="MV22" s="93"/>
      <c r="MW22" s="93"/>
      <c r="MX22" s="93"/>
      <c r="MY22" s="93"/>
      <c r="MZ22" s="93"/>
      <c r="NA22" s="93"/>
      <c r="NB22" s="93"/>
      <c r="NC22" s="93"/>
      <c r="ND22" s="93"/>
      <c r="NE22" s="93"/>
      <c r="NF22" s="93"/>
      <c r="NG22" s="93"/>
      <c r="NH22" s="93"/>
      <c r="NI22" s="93"/>
      <c r="NJ22" s="93"/>
      <c r="NK22" s="93"/>
      <c r="NL22" s="93"/>
      <c r="NM22" s="93"/>
      <c r="NN22" s="93"/>
      <c r="NO22" s="93"/>
      <c r="NP22" s="93"/>
      <c r="NQ22" s="93"/>
      <c r="NR22" s="93"/>
      <c r="NS22" s="93"/>
      <c r="NT22" s="93"/>
      <c r="NU22" s="93"/>
      <c r="NV22" s="93"/>
      <c r="NW22" s="93"/>
      <c r="NX22" s="93"/>
      <c r="NY22" s="93"/>
      <c r="NZ22" s="93"/>
      <c r="OA22" s="93"/>
      <c r="OB22" s="93"/>
      <c r="OC22" s="93"/>
      <c r="OD22" s="93"/>
      <c r="OE22" s="93"/>
      <c r="OF22" s="93"/>
      <c r="OG22" s="93"/>
      <c r="OH22" s="93"/>
      <c r="OI22" s="93"/>
      <c r="OJ22" s="93"/>
      <c r="OK22" s="93"/>
      <c r="OL22" s="93"/>
      <c r="OM22" s="93"/>
      <c r="ON22" s="93"/>
      <c r="OO22" s="93"/>
      <c r="OP22" s="93"/>
      <c r="OQ22" s="93"/>
      <c r="OR22" s="93"/>
      <c r="OS22" s="93"/>
      <c r="OT22" s="93"/>
      <c r="OU22" s="93"/>
      <c r="OV22" s="93"/>
      <c r="OW22" s="93"/>
      <c r="OX22" s="93"/>
      <c r="OY22" s="93"/>
      <c r="OZ22" s="93"/>
      <c r="PA22" s="93"/>
      <c r="PB22" s="93"/>
      <c r="PC22" s="93"/>
      <c r="PD22" s="93"/>
      <c r="PE22" s="93"/>
      <c r="PF22" s="93"/>
      <c r="PG22" s="93"/>
      <c r="PH22" s="93"/>
      <c r="PI22" s="93"/>
      <c r="PJ22" s="93"/>
      <c r="PK22" s="93"/>
      <c r="PL22" s="93"/>
      <c r="PM22" s="93"/>
      <c r="PN22" s="93"/>
      <c r="PO22" s="93"/>
      <c r="PP22" s="93"/>
      <c r="PQ22" s="93"/>
      <c r="PR22" s="93"/>
      <c r="PS22" s="93"/>
      <c r="PT22" s="93"/>
      <c r="PU22" s="93"/>
      <c r="PV22" s="93"/>
      <c r="PW22" s="93"/>
      <c r="PX22" s="93"/>
      <c r="PY22" s="93"/>
      <c r="PZ22" s="93"/>
      <c r="QA22" s="93"/>
      <c r="QB22" s="93"/>
      <c r="QC22" s="93"/>
      <c r="QD22" s="93"/>
      <c r="QE22" s="93"/>
      <c r="QF22" s="93"/>
      <c r="QG22" s="93"/>
      <c r="QH22" s="93"/>
      <c r="QI22" s="93"/>
      <c r="QJ22" s="93"/>
      <c r="QK22" s="93"/>
      <c r="QL22" s="93"/>
      <c r="QM22" s="93"/>
      <c r="QN22" s="93"/>
      <c r="QO22" s="93"/>
      <c r="QP22" s="93"/>
      <c r="QQ22" s="93"/>
      <c r="QR22" s="93"/>
      <c r="QS22" s="93"/>
      <c r="QT22" s="93"/>
      <c r="QU22" s="93"/>
      <c r="QV22" s="93"/>
      <c r="QW22" s="93"/>
      <c r="QX22" s="93"/>
      <c r="QY22" s="93"/>
      <c r="QZ22" s="93"/>
      <c r="RA22" s="93"/>
      <c r="RB22" s="93"/>
      <c r="RC22" s="93"/>
      <c r="RD22" s="93"/>
      <c r="RE22" s="93"/>
      <c r="RF22" s="93"/>
      <c r="RG22" s="93"/>
      <c r="RH22" s="93"/>
      <c r="RI22" s="93"/>
      <c r="RJ22" s="93"/>
      <c r="RK22" s="93"/>
      <c r="RL22" s="93"/>
      <c r="RM22" s="93"/>
      <c r="RN22" s="93"/>
      <c r="RO22" s="93"/>
      <c r="RP22" s="93"/>
      <c r="RQ22" s="93"/>
      <c r="RR22" s="93"/>
      <c r="RS22" s="93"/>
      <c r="RT22" s="93"/>
      <c r="RU22" s="93"/>
      <c r="RV22" s="93"/>
      <c r="RW22" s="93"/>
      <c r="RX22" s="93"/>
      <c r="RY22" s="93"/>
      <c r="RZ22" s="93"/>
      <c r="SA22" s="93"/>
      <c r="SB22" s="93"/>
      <c r="SC22" s="93"/>
      <c r="SD22" s="93"/>
      <c r="SE22" s="93"/>
      <c r="SF22" s="93"/>
      <c r="SG22" s="93"/>
      <c r="SH22" s="93"/>
      <c r="SI22" s="93"/>
      <c r="SJ22" s="93"/>
      <c r="SK22" s="93"/>
      <c r="SL22" s="93"/>
      <c r="SM22" s="93"/>
      <c r="SN22" s="93"/>
      <c r="SO22" s="93"/>
      <c r="SP22" s="93"/>
      <c r="SQ22" s="93"/>
      <c r="SR22" s="93"/>
      <c r="SS22" s="93"/>
      <c r="ST22" s="93"/>
      <c r="SU22" s="93"/>
      <c r="SV22" s="93"/>
      <c r="SW22" s="93"/>
      <c r="SX22" s="93"/>
      <c r="SY22" s="93"/>
      <c r="SZ22" s="93"/>
      <c r="TA22" s="93"/>
      <c r="TB22" s="93"/>
      <c r="TC22" s="93"/>
      <c r="TD22" s="93"/>
      <c r="TE22" s="93"/>
      <c r="TF22" s="93"/>
      <c r="TG22" s="93"/>
      <c r="TH22" s="93"/>
      <c r="TI22" s="93"/>
      <c r="TJ22" s="93"/>
      <c r="TK22" s="93"/>
      <c r="TL22" s="93"/>
      <c r="TM22" s="93"/>
      <c r="TN22" s="93"/>
      <c r="TO22" s="93"/>
      <c r="TP22" s="93"/>
      <c r="TQ22" s="93"/>
      <c r="TR22" s="93"/>
      <c r="TS22" s="93"/>
      <c r="TT22" s="93"/>
      <c r="TU22" s="93"/>
      <c r="TV22" s="93"/>
      <c r="TW22" s="93"/>
      <c r="TX22" s="93"/>
      <c r="TY22" s="93"/>
      <c r="TZ22" s="93"/>
      <c r="UA22" s="93"/>
      <c r="UB22" s="93"/>
      <c r="UC22" s="93"/>
      <c r="UD22" s="93"/>
      <c r="UE22" s="93"/>
      <c r="UF22" s="93"/>
      <c r="UG22" s="93"/>
      <c r="UH22" s="93"/>
      <c r="UI22" s="93"/>
      <c r="UJ22" s="93"/>
      <c r="UK22" s="93"/>
      <c r="UL22" s="93"/>
      <c r="UM22" s="93"/>
      <c r="UN22" s="93"/>
      <c r="UO22" s="93"/>
      <c r="UP22" s="93"/>
      <c r="UQ22" s="93"/>
      <c r="UR22" s="93"/>
      <c r="US22" s="93"/>
      <c r="UT22" s="93"/>
      <c r="UU22" s="93"/>
      <c r="UV22" s="93"/>
      <c r="UW22" s="93"/>
      <c r="UX22" s="93"/>
      <c r="UY22" s="93"/>
      <c r="UZ22" s="93"/>
      <c r="VA22" s="93"/>
      <c r="VB22" s="93"/>
      <c r="VC22" s="93"/>
      <c r="VD22" s="93"/>
      <c r="VE22" s="93"/>
      <c r="VF22" s="93"/>
      <c r="VG22" s="93"/>
      <c r="VH22" s="93"/>
      <c r="VI22" s="93"/>
      <c r="VJ22" s="93"/>
      <c r="VK22" s="93"/>
      <c r="VL22" s="93"/>
      <c r="VM22" s="93"/>
      <c r="VN22" s="93"/>
      <c r="VO22" s="93"/>
      <c r="VP22" s="93"/>
      <c r="VQ22" s="93"/>
      <c r="VR22" s="93"/>
      <c r="VS22" s="93"/>
      <c r="VT22" s="93"/>
      <c r="VU22" s="93"/>
      <c r="VV22" s="93"/>
      <c r="VW22" s="93"/>
      <c r="VX22" s="93"/>
      <c r="VY22" s="93"/>
      <c r="VZ22" s="93"/>
      <c r="WA22" s="93"/>
      <c r="WB22" s="93"/>
      <c r="WC22" s="93"/>
      <c r="WD22" s="93"/>
      <c r="WE22" s="93"/>
      <c r="WF22" s="93"/>
      <c r="WG22" s="93"/>
      <c r="WH22" s="93"/>
      <c r="WI22" s="93"/>
      <c r="WJ22" s="93"/>
      <c r="WK22" s="93"/>
      <c r="WL22" s="93"/>
      <c r="WM22" s="93"/>
      <c r="WN22" s="93"/>
      <c r="WO22" s="93"/>
      <c r="WP22" s="93"/>
      <c r="WQ22" s="93"/>
      <c r="WR22" s="93"/>
      <c r="WS22" s="93"/>
      <c r="WT22" s="93"/>
      <c r="WU22" s="93"/>
      <c r="WV22" s="93"/>
      <c r="WW22" s="93"/>
      <c r="WX22" s="93"/>
      <c r="WY22" s="93"/>
      <c r="WZ22" s="93"/>
      <c r="XA22" s="93"/>
      <c r="XB22" s="93"/>
      <c r="XC22" s="93"/>
      <c r="XD22" s="93"/>
      <c r="XE22" s="93"/>
      <c r="XF22" s="93"/>
      <c r="XG22" s="93"/>
      <c r="XH22" s="93"/>
      <c r="XI22" s="93"/>
      <c r="XJ22" s="93"/>
      <c r="XK22" s="93"/>
      <c r="XL22" s="93"/>
      <c r="XM22" s="93"/>
      <c r="XN22" s="93"/>
      <c r="XO22" s="93"/>
      <c r="XP22" s="93"/>
      <c r="XQ22" s="93"/>
      <c r="XR22" s="93"/>
      <c r="XS22" s="93"/>
      <c r="XT22" s="93"/>
      <c r="XU22" s="93"/>
      <c r="XV22" s="93"/>
      <c r="XW22" s="93"/>
      <c r="XX22" s="93"/>
      <c r="XY22" s="93"/>
      <c r="XZ22" s="93"/>
      <c r="YA22" s="93"/>
      <c r="YB22" s="93"/>
      <c r="YC22" s="93"/>
      <c r="YD22" s="93"/>
      <c r="YE22" s="93"/>
      <c r="YF22" s="93"/>
      <c r="YG22" s="93"/>
      <c r="YH22" s="93"/>
      <c r="YI22" s="93"/>
      <c r="YJ22" s="93"/>
      <c r="YK22" s="93"/>
      <c r="YL22" s="93"/>
      <c r="YM22" s="93"/>
      <c r="YN22" s="93"/>
      <c r="YO22" s="93"/>
      <c r="YP22" s="93"/>
      <c r="YQ22" s="93"/>
      <c r="YR22" s="93"/>
      <c r="YS22" s="93"/>
      <c r="YT22" s="93"/>
      <c r="YU22" s="93"/>
      <c r="YV22" s="93"/>
      <c r="YW22" s="93"/>
      <c r="YX22" s="93"/>
      <c r="YY22" s="93"/>
      <c r="YZ22" s="93"/>
      <c r="ZA22" s="93"/>
      <c r="ZB22" s="93"/>
      <c r="ZC22" s="93"/>
      <c r="ZD22" s="93"/>
      <c r="ZE22" s="93"/>
      <c r="ZF22" s="93"/>
      <c r="ZG22" s="93"/>
      <c r="ZH22" s="93"/>
      <c r="ZI22" s="93"/>
      <c r="ZJ22" s="93"/>
      <c r="ZK22" s="93"/>
      <c r="ZL22" s="93"/>
      <c r="ZM22" s="93"/>
      <c r="ZN22" s="93"/>
      <c r="ZO22" s="93"/>
      <c r="ZP22" s="93"/>
      <c r="ZQ22" s="93"/>
      <c r="ZR22" s="93"/>
      <c r="ZS22" s="93"/>
      <c r="ZT22" s="93"/>
      <c r="ZU22" s="93"/>
      <c r="ZV22" s="93"/>
      <c r="ZW22" s="93"/>
      <c r="ZX22" s="93"/>
      <c r="ZY22" s="93"/>
      <c r="ZZ22" s="93"/>
      <c r="AAA22" s="93"/>
      <c r="AAB22" s="93"/>
      <c r="AAC22" s="93"/>
      <c r="AAD22" s="93"/>
      <c r="AAE22" s="93"/>
      <c r="AAF22" s="93"/>
      <c r="AAG22" s="93"/>
      <c r="AAH22" s="93"/>
      <c r="AAI22" s="93"/>
      <c r="AAJ22" s="93"/>
      <c r="AAK22" s="93"/>
      <c r="AAL22" s="93"/>
      <c r="AAM22" s="93"/>
      <c r="AAN22" s="93"/>
      <c r="AAO22" s="93"/>
      <c r="AAP22" s="93"/>
      <c r="AAQ22" s="93"/>
      <c r="AAR22" s="93"/>
      <c r="AAS22" s="93"/>
      <c r="AAT22" s="93"/>
      <c r="AAU22" s="93"/>
      <c r="AAV22" s="93"/>
      <c r="AAW22" s="93"/>
      <c r="AAX22" s="93"/>
      <c r="AAY22" s="93"/>
      <c r="AAZ22" s="93"/>
      <c r="ABA22" s="93"/>
      <c r="ABB22" s="93"/>
      <c r="ABC22" s="93"/>
      <c r="ABD22" s="93"/>
      <c r="ABE22" s="93"/>
      <c r="ABF22" s="93"/>
      <c r="ABG22" s="93"/>
      <c r="ABH22" s="93"/>
      <c r="ABI22" s="93"/>
      <c r="ABJ22" s="93"/>
      <c r="ABK22" s="93"/>
      <c r="ABL22" s="93"/>
      <c r="ABM22" s="93"/>
      <c r="ABN22" s="93"/>
      <c r="ABO22" s="93"/>
      <c r="ABP22" s="93"/>
      <c r="ABQ22" s="93"/>
      <c r="ABR22" s="93"/>
      <c r="ABS22" s="93"/>
      <c r="ABT22" s="93"/>
      <c r="ABU22" s="93"/>
      <c r="ABV22" s="93"/>
      <c r="ABW22" s="93"/>
      <c r="ABX22" s="93"/>
      <c r="ABY22" s="93"/>
      <c r="ABZ22" s="93"/>
      <c r="ACA22" s="93"/>
      <c r="ACB22" s="93"/>
      <c r="ACC22" s="93"/>
      <c r="ACD22" s="93"/>
      <c r="ACE22" s="93"/>
      <c r="ACF22" s="93"/>
      <c r="ACG22" s="93"/>
      <c r="ACH22" s="93"/>
      <c r="ACI22" s="93"/>
      <c r="ACJ22" s="93"/>
      <c r="ACK22" s="93"/>
      <c r="ACL22" s="93"/>
      <c r="ACM22" s="93"/>
      <c r="ACN22" s="93"/>
      <c r="ACO22" s="93"/>
      <c r="ACP22" s="93"/>
      <c r="ACQ22" s="93"/>
      <c r="ACR22" s="93"/>
      <c r="ACS22" s="93"/>
      <c r="ACT22" s="93"/>
      <c r="ACU22" s="93"/>
      <c r="ACV22" s="93"/>
      <c r="ACW22" s="93"/>
      <c r="ACX22" s="93"/>
      <c r="ACY22" s="93"/>
      <c r="ACZ22" s="93"/>
      <c r="ADA22" s="93"/>
      <c r="ADB22" s="93"/>
      <c r="ADC22" s="93"/>
      <c r="ADD22" s="93"/>
      <c r="ADE22" s="93"/>
      <c r="ADF22" s="93"/>
      <c r="ADG22" s="93"/>
      <c r="ADH22" s="93"/>
      <c r="ADI22" s="93"/>
      <c r="ADJ22" s="93"/>
      <c r="ADK22" s="93"/>
      <c r="ADL22" s="93"/>
      <c r="ADM22" s="93"/>
      <c r="ADN22" s="93"/>
      <c r="ADO22" s="93"/>
      <c r="ADP22" s="93"/>
      <c r="ADQ22" s="93"/>
      <c r="ADR22" s="93"/>
      <c r="ADS22" s="93"/>
      <c r="ADT22" s="93"/>
      <c r="ADU22" s="93"/>
      <c r="ADV22" s="93"/>
      <c r="ADW22" s="93"/>
      <c r="ADX22" s="93"/>
      <c r="ADY22" s="93"/>
      <c r="ADZ22" s="93"/>
      <c r="AEA22" s="93"/>
      <c r="AEB22" s="93"/>
      <c r="AEC22" s="93"/>
      <c r="AED22" s="93"/>
      <c r="AEE22" s="93"/>
      <c r="AEF22" s="93"/>
      <c r="AEG22" s="93"/>
      <c r="AEH22" s="93"/>
      <c r="AEI22" s="93"/>
      <c r="AEJ22" s="93"/>
      <c r="AEK22" s="93"/>
      <c r="AEL22" s="93"/>
      <c r="AEM22" s="93"/>
      <c r="AEN22" s="93"/>
      <c r="AEO22" s="93"/>
      <c r="AEP22" s="93"/>
      <c r="AEQ22" s="93"/>
      <c r="AER22" s="93"/>
      <c r="AES22" s="93"/>
      <c r="AET22" s="93"/>
      <c r="AEU22" s="93"/>
      <c r="AEV22" s="93"/>
      <c r="AEW22" s="93"/>
      <c r="AEX22" s="93"/>
      <c r="AEY22" s="93"/>
      <c r="AEZ22" s="93"/>
      <c r="AFA22" s="93"/>
      <c r="AFB22" s="93"/>
      <c r="AFC22" s="93"/>
      <c r="AFD22" s="93"/>
      <c r="AFE22" s="93"/>
      <c r="AFF22" s="93"/>
      <c r="AFG22" s="93"/>
      <c r="AFH22" s="93"/>
      <c r="AFI22" s="93"/>
      <c r="AFJ22" s="93"/>
      <c r="AFK22" s="93"/>
      <c r="AFL22" s="93"/>
      <c r="AFM22" s="93"/>
      <c r="AFN22" s="93"/>
      <c r="AFO22" s="93"/>
      <c r="AFP22" s="93"/>
      <c r="AFQ22" s="93"/>
      <c r="AFR22" s="93"/>
      <c r="AFS22" s="93"/>
      <c r="AFT22" s="93"/>
      <c r="AFU22" s="93"/>
      <c r="AFV22" s="93"/>
      <c r="AFW22" s="93"/>
      <c r="AFX22" s="93"/>
      <c r="AFY22" s="93"/>
      <c r="AFZ22" s="93"/>
      <c r="AGA22" s="93"/>
      <c r="AGB22" s="93"/>
      <c r="AGC22" s="93"/>
      <c r="AGD22" s="93"/>
      <c r="AGE22" s="93"/>
      <c r="AGF22" s="93"/>
      <c r="AGG22" s="93"/>
      <c r="AGH22" s="93"/>
      <c r="AGI22" s="93"/>
      <c r="AGJ22" s="93"/>
      <c r="AGK22" s="93"/>
      <c r="AGL22" s="93"/>
      <c r="AGM22" s="93"/>
      <c r="AGN22" s="93"/>
      <c r="AGO22" s="93"/>
      <c r="AGP22" s="93"/>
      <c r="AGQ22" s="93"/>
      <c r="AGR22" s="93"/>
      <c r="AGS22" s="93"/>
      <c r="AGT22" s="93"/>
      <c r="AGU22" s="93"/>
      <c r="AGV22" s="93"/>
      <c r="AGW22" s="93"/>
      <c r="AGX22" s="93"/>
      <c r="AGY22" s="93"/>
      <c r="AGZ22" s="93"/>
      <c r="AHA22" s="93"/>
      <c r="AHB22" s="93"/>
      <c r="AHC22" s="93"/>
      <c r="AHD22" s="93"/>
      <c r="AHE22" s="93"/>
      <c r="AHF22" s="93"/>
      <c r="AHG22" s="93"/>
      <c r="AHH22" s="93"/>
      <c r="AHI22" s="93"/>
      <c r="AHJ22" s="93"/>
      <c r="AHK22" s="93"/>
      <c r="AHL22" s="93"/>
      <c r="AHM22" s="93"/>
      <c r="AHN22" s="93"/>
      <c r="AHO22" s="93"/>
      <c r="AHP22" s="93"/>
      <c r="AHQ22" s="93"/>
      <c r="AHR22" s="93"/>
      <c r="AHS22" s="93"/>
      <c r="AHT22" s="93"/>
      <c r="AHU22" s="93"/>
      <c r="AHV22" s="93"/>
      <c r="AHW22" s="93"/>
      <c r="AHX22" s="93"/>
      <c r="AHY22" s="93"/>
      <c r="AHZ22" s="93"/>
      <c r="AIA22" s="93"/>
      <c r="AIB22" s="93"/>
      <c r="AIC22" s="93"/>
      <c r="AID22" s="93"/>
      <c r="AIE22" s="93"/>
      <c r="AIF22" s="93"/>
      <c r="AIG22" s="93"/>
      <c r="AIH22" s="93"/>
      <c r="AII22" s="93"/>
      <c r="AIJ22" s="93"/>
      <c r="AIK22" s="93"/>
      <c r="AIL22" s="93"/>
      <c r="AIM22" s="93"/>
      <c r="AIN22" s="93"/>
      <c r="AIO22" s="93"/>
      <c r="AIP22" s="93"/>
      <c r="AIQ22" s="93"/>
      <c r="AIR22" s="93"/>
      <c r="AIS22" s="93"/>
      <c r="AIT22" s="93"/>
      <c r="AIU22" s="93"/>
      <c r="AIV22" s="93"/>
      <c r="AIW22" s="93"/>
      <c r="AIX22" s="93"/>
      <c r="AIY22" s="93"/>
      <c r="AIZ22" s="93"/>
      <c r="AJA22" s="93"/>
      <c r="AJB22" s="93"/>
      <c r="AJC22" s="93"/>
      <c r="AJD22" s="93"/>
      <c r="AJE22" s="93"/>
      <c r="AJF22" s="93"/>
      <c r="AJG22" s="93"/>
      <c r="AJH22" s="93"/>
      <c r="AJI22" s="93"/>
      <c r="AJJ22" s="93"/>
      <c r="AJK22" s="93"/>
      <c r="AJL22" s="93"/>
      <c r="AJM22" s="93"/>
      <c r="AJN22" s="93"/>
      <c r="AJO22" s="93"/>
      <c r="AJP22" s="93"/>
      <c r="AJQ22" s="93"/>
      <c r="AJR22" s="93"/>
      <c r="AJS22" s="93"/>
      <c r="AJT22" s="93"/>
      <c r="AJU22" s="93"/>
      <c r="AJV22" s="93"/>
      <c r="AJW22" s="93"/>
      <c r="AJX22" s="93"/>
      <c r="AJY22" s="93"/>
      <c r="AJZ22" s="93"/>
      <c r="AKA22" s="93"/>
      <c r="AKB22" s="93"/>
      <c r="AKC22" s="93"/>
      <c r="AKD22" s="93"/>
      <c r="AKE22" s="93"/>
      <c r="AKF22" s="93"/>
      <c r="AKG22" s="93"/>
      <c r="AKH22" s="93"/>
      <c r="AKI22" s="93"/>
      <c r="AKJ22" s="93"/>
      <c r="AKK22" s="93"/>
      <c r="AKL22" s="93"/>
      <c r="AKM22" s="93"/>
      <c r="AKN22" s="93"/>
      <c r="AKO22" s="93"/>
      <c r="AKP22" s="93"/>
      <c r="AKQ22" s="93"/>
      <c r="AKR22" s="93"/>
      <c r="AKS22" s="93"/>
      <c r="AKT22" s="93"/>
      <c r="AKU22" s="93"/>
      <c r="AKV22" s="93"/>
      <c r="AKW22" s="93"/>
      <c r="AKX22" s="93"/>
      <c r="AKY22" s="93"/>
      <c r="AKZ22" s="93"/>
      <c r="ALA22" s="93"/>
      <c r="ALB22" s="93"/>
      <c r="ALC22" s="93"/>
      <c r="ALD22" s="93"/>
      <c r="ALE22" s="93"/>
      <c r="ALF22" s="93"/>
      <c r="ALG22" s="93"/>
      <c r="ALH22" s="93"/>
      <c r="ALI22" s="93"/>
      <c r="ALJ22" s="93"/>
      <c r="ALK22" s="93"/>
      <c r="ALL22" s="93"/>
      <c r="ALM22" s="93"/>
      <c r="ALN22" s="93"/>
      <c r="ALO22" s="93"/>
      <c r="ALP22" s="93"/>
      <c r="ALQ22" s="93"/>
      <c r="ALR22" s="93"/>
      <c r="ALS22" s="93"/>
      <c r="ALT22" s="93"/>
      <c r="ALU22" s="93"/>
      <c r="ALV22" s="93"/>
      <c r="ALW22" s="93"/>
      <c r="ALX22" s="93"/>
      <c r="ALY22" s="93"/>
      <c r="ALZ22" s="93"/>
      <c r="AMA22" s="93"/>
      <c r="AMB22" s="93"/>
      <c r="AMC22" s="93"/>
      <c r="AMD22" s="93"/>
      <c r="AME22" s="93"/>
      <c r="AMF22" s="93"/>
      <c r="AMG22" s="93"/>
      <c r="AMH22" s="93"/>
      <c r="AMI22" s="93"/>
      <c r="AMJ22" s="93"/>
      <c r="AMK22" s="93"/>
      <c r="AML22" s="93"/>
      <c r="AMM22" s="93"/>
      <c r="AMN22" s="93"/>
      <c r="AMO22" s="93"/>
      <c r="AMP22" s="93"/>
      <c r="AMQ22" s="93"/>
      <c r="AMR22" s="93"/>
      <c r="AMS22" s="93"/>
      <c r="AMT22" s="93"/>
      <c r="AMU22" s="93"/>
      <c r="AMV22" s="93"/>
      <c r="AMW22" s="93"/>
      <c r="AMX22" s="93"/>
      <c r="AMY22" s="93"/>
      <c r="AMZ22" s="93"/>
      <c r="ANA22" s="93"/>
      <c r="ANB22" s="93"/>
      <c r="ANC22" s="93"/>
      <c r="AND22" s="93"/>
      <c r="ANE22" s="93"/>
      <c r="ANF22" s="93"/>
      <c r="ANG22" s="93"/>
      <c r="ANH22" s="93"/>
      <c r="ANI22" s="93"/>
      <c r="ANJ22" s="93"/>
      <c r="ANK22" s="93"/>
      <c r="ANL22" s="93"/>
      <c r="ANM22" s="93"/>
      <c r="ANN22" s="93"/>
      <c r="ANO22" s="93"/>
      <c r="ANP22" s="93"/>
      <c r="ANQ22" s="93"/>
      <c r="ANR22" s="93"/>
      <c r="ANS22" s="93"/>
      <c r="ANT22" s="93"/>
      <c r="ANU22" s="93"/>
      <c r="ANV22" s="93"/>
      <c r="ANW22" s="93"/>
      <c r="ANX22" s="93"/>
      <c r="ANY22" s="93"/>
      <c r="ANZ22" s="93"/>
      <c r="AOA22" s="93"/>
      <c r="AOB22" s="93"/>
      <c r="AOC22" s="93"/>
      <c r="AOD22" s="93"/>
      <c r="AOE22" s="93"/>
      <c r="AOF22" s="93"/>
      <c r="AOG22" s="93"/>
      <c r="AOH22" s="93"/>
      <c r="AOI22" s="93"/>
      <c r="AOJ22" s="93"/>
      <c r="AOK22" s="93"/>
      <c r="AOL22" s="93"/>
      <c r="AOM22" s="93"/>
      <c r="AON22" s="93"/>
      <c r="AOO22" s="93"/>
      <c r="AOP22" s="93"/>
      <c r="AOQ22" s="93"/>
      <c r="AOR22" s="93"/>
      <c r="AOS22" s="93"/>
      <c r="AOT22" s="93"/>
      <c r="AOU22" s="93"/>
      <c r="AOV22" s="93"/>
      <c r="AOW22" s="93"/>
      <c r="AOX22" s="93"/>
      <c r="AOY22" s="93"/>
      <c r="AOZ22" s="93"/>
      <c r="APA22" s="93"/>
      <c r="APB22" s="93"/>
      <c r="APC22" s="93"/>
      <c r="APD22" s="93"/>
      <c r="APE22" s="93"/>
      <c r="APF22" s="93"/>
      <c r="APG22" s="93"/>
      <c r="APH22" s="93"/>
      <c r="API22" s="93"/>
      <c r="APJ22" s="93"/>
      <c r="APK22" s="93"/>
      <c r="APL22" s="93"/>
      <c r="APM22" s="93"/>
      <c r="APN22" s="93"/>
      <c r="APO22" s="93"/>
      <c r="APP22" s="93"/>
      <c r="APQ22" s="93"/>
      <c r="APR22" s="93"/>
      <c r="APS22" s="93"/>
      <c r="APT22" s="93"/>
      <c r="APU22" s="93"/>
      <c r="APV22" s="93"/>
      <c r="APW22" s="93"/>
      <c r="APX22" s="93"/>
      <c r="APY22" s="93"/>
      <c r="APZ22" s="93"/>
      <c r="AQA22" s="93"/>
      <c r="AQB22" s="93"/>
      <c r="AQC22" s="93"/>
      <c r="AQD22" s="93"/>
      <c r="AQE22" s="93"/>
      <c r="AQF22" s="93"/>
      <c r="AQG22" s="93"/>
      <c r="AQH22" s="93"/>
      <c r="AQI22" s="93"/>
      <c r="AQJ22" s="93"/>
      <c r="AQK22" s="93"/>
      <c r="AQL22" s="93"/>
      <c r="AQM22" s="93"/>
      <c r="AQN22" s="93"/>
      <c r="AQO22" s="93"/>
      <c r="AQP22" s="93"/>
      <c r="AQQ22" s="93"/>
      <c r="AQR22" s="93"/>
      <c r="AQS22" s="93"/>
      <c r="AQT22" s="93"/>
      <c r="AQU22" s="93"/>
      <c r="AQV22" s="93"/>
      <c r="AQW22" s="93"/>
      <c r="AQX22" s="93"/>
      <c r="AQY22" s="93"/>
      <c r="AQZ22" s="93"/>
      <c r="ARA22" s="93"/>
      <c r="ARB22" s="93"/>
      <c r="ARC22" s="93"/>
      <c r="ARD22" s="93"/>
      <c r="ARE22" s="93"/>
      <c r="ARF22" s="93"/>
      <c r="ARG22" s="93"/>
      <c r="ARH22" s="93"/>
      <c r="ARI22" s="93"/>
      <c r="ARJ22" s="93"/>
      <c r="ARK22" s="93"/>
      <c r="ARL22" s="93"/>
      <c r="ARM22" s="93"/>
      <c r="ARN22" s="93"/>
      <c r="ARO22" s="93"/>
      <c r="ARP22" s="93"/>
      <c r="ARQ22" s="93"/>
      <c r="ARR22" s="93"/>
      <c r="ARS22" s="93"/>
      <c r="ART22" s="93"/>
      <c r="ARU22" s="93"/>
      <c r="ARV22" s="93"/>
      <c r="ARW22" s="93"/>
      <c r="ARX22" s="93"/>
      <c r="ARY22" s="93"/>
      <c r="ARZ22" s="93"/>
      <c r="ASA22" s="93"/>
      <c r="ASB22" s="93"/>
      <c r="ASC22" s="93"/>
      <c r="ASD22" s="93"/>
      <c r="ASE22" s="93"/>
      <c r="ASF22" s="93"/>
      <c r="ASG22" s="93"/>
      <c r="ASH22" s="93"/>
      <c r="ASI22" s="93"/>
      <c r="ASJ22" s="93"/>
      <c r="ASK22" s="93"/>
      <c r="ASL22" s="93"/>
      <c r="ASM22" s="93"/>
      <c r="ASN22" s="93"/>
      <c r="ASO22" s="93"/>
      <c r="ASP22" s="93"/>
      <c r="ASQ22" s="93"/>
      <c r="ASR22" s="93"/>
      <c r="ASS22" s="93"/>
      <c r="AST22" s="93"/>
      <c r="ASU22" s="93"/>
      <c r="ASV22" s="93"/>
      <c r="ASW22" s="93"/>
      <c r="ASX22" s="93"/>
      <c r="ASY22" s="93"/>
      <c r="ASZ22" s="93"/>
      <c r="ATA22" s="93"/>
      <c r="ATB22" s="93"/>
      <c r="ATC22" s="93"/>
      <c r="ATD22" s="93"/>
      <c r="ATE22" s="93"/>
      <c r="ATF22" s="93"/>
      <c r="ATG22" s="93"/>
      <c r="ATH22" s="93"/>
      <c r="ATI22" s="93"/>
      <c r="ATJ22" s="93"/>
      <c r="ATK22" s="93"/>
      <c r="ATL22" s="93"/>
      <c r="ATM22" s="93"/>
      <c r="ATN22" s="93"/>
      <c r="ATO22" s="93"/>
      <c r="ATP22" s="93"/>
      <c r="ATQ22" s="93"/>
      <c r="ATR22" s="93"/>
      <c r="ATS22" s="93"/>
      <c r="ATT22" s="93"/>
      <c r="ATU22" s="93"/>
      <c r="ATV22" s="93"/>
      <c r="ATW22" s="93"/>
      <c r="ATX22" s="93"/>
      <c r="ATY22" s="93"/>
      <c r="ATZ22" s="93"/>
      <c r="AUA22" s="93"/>
      <c r="AUB22" s="93"/>
      <c r="AUC22" s="93"/>
      <c r="AUD22" s="93"/>
      <c r="AUE22" s="93"/>
      <c r="AUF22" s="93"/>
      <c r="AUG22" s="93"/>
      <c r="AUH22" s="93"/>
      <c r="AUI22" s="93"/>
      <c r="AUJ22" s="93"/>
      <c r="AUK22" s="93"/>
      <c r="AUL22" s="93"/>
      <c r="AUM22" s="93"/>
      <c r="AUN22" s="93"/>
      <c r="AUO22" s="93"/>
      <c r="AUP22" s="93"/>
      <c r="AUQ22" s="93"/>
      <c r="AUR22" s="93"/>
      <c r="AUS22" s="93"/>
      <c r="AUT22" s="93"/>
      <c r="AUU22" s="93"/>
      <c r="AUV22" s="93"/>
      <c r="AUW22" s="93"/>
      <c r="AUX22" s="93"/>
      <c r="AUY22" s="93"/>
      <c r="AUZ22" s="93"/>
      <c r="AVA22" s="93"/>
      <c r="AVB22" s="93"/>
      <c r="AVC22" s="93"/>
      <c r="AVD22" s="93"/>
      <c r="AVE22" s="93"/>
      <c r="AVF22" s="93"/>
      <c r="AVG22" s="93"/>
      <c r="AVH22" s="93"/>
      <c r="AVI22" s="93"/>
      <c r="AVJ22" s="93"/>
      <c r="AVK22" s="93"/>
      <c r="AVL22" s="93"/>
      <c r="AVM22" s="93"/>
      <c r="AVN22" s="93"/>
      <c r="AVO22" s="93"/>
      <c r="AVP22" s="93"/>
      <c r="AVQ22" s="93"/>
      <c r="AVR22" s="93"/>
      <c r="AVS22" s="93"/>
      <c r="AVT22" s="93"/>
      <c r="AVU22" s="93"/>
      <c r="AVV22" s="93"/>
      <c r="AVW22" s="93"/>
      <c r="AVX22" s="93"/>
      <c r="AVY22" s="93"/>
      <c r="AVZ22" s="93"/>
      <c r="AWA22" s="93"/>
      <c r="AWB22" s="93"/>
      <c r="AWC22" s="93"/>
      <c r="AWD22" s="93"/>
      <c r="AWE22" s="93"/>
      <c r="AWF22" s="93"/>
      <c r="AWG22" s="93"/>
      <c r="AWH22" s="93"/>
      <c r="AWI22" s="93"/>
      <c r="AWJ22" s="93"/>
      <c r="AWK22" s="93"/>
      <c r="AWL22" s="93"/>
      <c r="AWM22" s="93"/>
      <c r="AWN22" s="93"/>
      <c r="AWO22" s="93"/>
      <c r="AWP22" s="93"/>
      <c r="AWQ22" s="93"/>
      <c r="AWR22" s="93"/>
      <c r="AWS22" s="93"/>
      <c r="AWT22" s="93"/>
      <c r="AWU22" s="93"/>
      <c r="AWV22" s="93"/>
      <c r="AWW22" s="93"/>
      <c r="AWX22" s="93"/>
      <c r="AWY22" s="93"/>
      <c r="AWZ22" s="93"/>
      <c r="AXA22" s="93"/>
      <c r="AXB22" s="93"/>
      <c r="AXC22" s="93"/>
      <c r="AXD22" s="93"/>
      <c r="AXE22" s="93"/>
      <c r="AXF22" s="93"/>
      <c r="AXG22" s="93"/>
      <c r="AXH22" s="93"/>
      <c r="AXI22" s="93"/>
      <c r="AXJ22" s="93"/>
      <c r="AXK22" s="93"/>
      <c r="AXL22" s="93"/>
      <c r="AXM22" s="93"/>
      <c r="AXN22" s="93"/>
      <c r="AXO22" s="93"/>
      <c r="AXP22" s="93"/>
      <c r="AXQ22" s="93"/>
      <c r="AXR22" s="93"/>
      <c r="AXS22" s="93"/>
      <c r="AXT22" s="93"/>
      <c r="AXU22" s="93"/>
      <c r="AXV22" s="93"/>
      <c r="AXW22" s="93"/>
      <c r="AXX22" s="93"/>
      <c r="AXY22" s="93"/>
      <c r="AXZ22" s="93"/>
      <c r="AYA22" s="93"/>
      <c r="AYB22" s="93"/>
      <c r="AYC22" s="93"/>
      <c r="AYD22" s="93"/>
      <c r="AYE22" s="93"/>
      <c r="AYF22" s="93"/>
      <c r="AYG22" s="93"/>
      <c r="AYH22" s="93"/>
      <c r="AYI22" s="93"/>
      <c r="AYJ22" s="93"/>
      <c r="AYK22" s="93"/>
      <c r="AYL22" s="93"/>
      <c r="AYM22" s="93"/>
      <c r="AYN22" s="93"/>
      <c r="AYO22" s="93"/>
      <c r="AYP22" s="93"/>
      <c r="AYQ22" s="93"/>
      <c r="AYR22" s="93"/>
      <c r="AYS22" s="93"/>
      <c r="AYT22" s="93"/>
      <c r="AYU22" s="93"/>
      <c r="AYV22" s="93"/>
      <c r="AYW22" s="93"/>
      <c r="AYX22" s="93"/>
      <c r="AYY22" s="93"/>
      <c r="AYZ22" s="93"/>
      <c r="AZA22" s="93"/>
      <c r="AZB22" s="93"/>
      <c r="AZC22" s="93"/>
      <c r="AZD22" s="93"/>
      <c r="AZE22" s="93"/>
      <c r="AZF22" s="93"/>
      <c r="AZG22" s="93"/>
      <c r="AZH22" s="93"/>
      <c r="AZI22" s="93"/>
      <c r="AZJ22" s="93"/>
      <c r="AZK22" s="93"/>
      <c r="AZL22" s="93"/>
      <c r="AZM22" s="93"/>
      <c r="AZN22" s="93"/>
      <c r="AZO22" s="93"/>
      <c r="AZP22" s="93"/>
      <c r="AZQ22" s="93"/>
      <c r="AZR22" s="93"/>
      <c r="AZS22" s="93"/>
      <c r="AZT22" s="93"/>
      <c r="AZU22" s="93"/>
      <c r="AZV22" s="93"/>
      <c r="AZW22" s="93"/>
      <c r="AZX22" s="93"/>
      <c r="AZY22" s="93"/>
      <c r="AZZ22" s="93"/>
      <c r="BAA22" s="93"/>
      <c r="BAB22" s="93"/>
      <c r="BAC22" s="93"/>
      <c r="BAD22" s="93"/>
      <c r="BAE22" s="93"/>
      <c r="BAF22" s="93"/>
      <c r="BAG22" s="93"/>
      <c r="BAH22" s="93"/>
      <c r="BAI22" s="93"/>
      <c r="BAJ22" s="93"/>
      <c r="BAK22" s="93"/>
      <c r="BAL22" s="93"/>
      <c r="BAM22" s="93"/>
      <c r="BAN22" s="93"/>
      <c r="BAO22" s="93"/>
      <c r="BAP22" s="93"/>
      <c r="BAQ22" s="93"/>
      <c r="BAR22" s="93"/>
      <c r="BAS22" s="93"/>
      <c r="BAT22" s="93"/>
      <c r="BAU22" s="93"/>
      <c r="BAV22" s="93"/>
      <c r="BAW22" s="93"/>
      <c r="BAX22" s="93"/>
      <c r="BAY22" s="93"/>
      <c r="BAZ22" s="93"/>
      <c r="BBA22" s="93"/>
      <c r="BBB22" s="93"/>
      <c r="BBC22" s="93"/>
      <c r="BBD22" s="93"/>
      <c r="BBE22" s="93"/>
      <c r="BBF22" s="93"/>
      <c r="BBG22" s="93"/>
      <c r="BBH22" s="93"/>
      <c r="BBI22" s="93"/>
      <c r="BBJ22" s="93"/>
      <c r="BBK22" s="93"/>
      <c r="BBL22" s="93"/>
      <c r="BBM22" s="93"/>
      <c r="BBN22" s="93"/>
      <c r="BBO22" s="93"/>
      <c r="BBP22" s="93"/>
      <c r="BBQ22" s="93"/>
      <c r="BBR22" s="93"/>
      <c r="BBS22" s="93"/>
      <c r="BBT22" s="93"/>
      <c r="BBU22" s="93"/>
      <c r="BBV22" s="93"/>
      <c r="BBW22" s="93"/>
      <c r="BBX22" s="93"/>
      <c r="BBY22" s="93"/>
      <c r="BBZ22" s="93"/>
      <c r="BCA22" s="93"/>
      <c r="BCB22" s="93"/>
      <c r="BCC22" s="93"/>
      <c r="BCD22" s="93"/>
      <c r="BCE22" s="93"/>
      <c r="BCF22" s="93"/>
      <c r="BCG22" s="93"/>
      <c r="BCH22" s="93"/>
      <c r="BCI22" s="93"/>
      <c r="BCJ22" s="93"/>
      <c r="BCK22" s="93"/>
      <c r="BCL22" s="93"/>
      <c r="BCM22" s="93"/>
      <c r="BCN22" s="93"/>
      <c r="BCO22" s="93"/>
      <c r="BCP22" s="93"/>
      <c r="BCQ22" s="93"/>
      <c r="BCR22" s="93"/>
      <c r="BCS22" s="93"/>
      <c r="BCT22" s="93"/>
      <c r="BCU22" s="93"/>
      <c r="BCV22" s="93"/>
      <c r="BCW22" s="93"/>
      <c r="BCX22" s="93"/>
      <c r="BCY22" s="93"/>
      <c r="BCZ22" s="93"/>
      <c r="BDA22" s="93"/>
      <c r="BDB22" s="93"/>
      <c r="BDC22" s="93"/>
      <c r="BDD22" s="93"/>
      <c r="BDE22" s="93"/>
      <c r="BDF22" s="93"/>
      <c r="BDG22" s="93"/>
      <c r="BDH22" s="93"/>
      <c r="BDI22" s="93"/>
      <c r="BDJ22" s="93"/>
      <c r="BDK22" s="93"/>
      <c r="BDL22" s="93"/>
      <c r="BDM22" s="93"/>
      <c r="BDN22" s="93"/>
      <c r="BDO22" s="93"/>
      <c r="BDP22" s="93"/>
      <c r="BDQ22" s="93"/>
      <c r="BDR22" s="93"/>
      <c r="BDS22" s="93"/>
      <c r="BDT22" s="93"/>
      <c r="BDU22" s="93"/>
      <c r="BDV22" s="93"/>
      <c r="BDW22" s="93"/>
      <c r="BDX22" s="93"/>
      <c r="BDY22" s="93"/>
      <c r="BDZ22" s="93"/>
      <c r="BEA22" s="93"/>
      <c r="BEB22" s="93"/>
      <c r="BEC22" s="93"/>
      <c r="BED22" s="93"/>
      <c r="BEE22" s="93"/>
      <c r="BEF22" s="93"/>
      <c r="BEG22" s="93"/>
      <c r="BEH22" s="93"/>
      <c r="BEI22" s="93"/>
      <c r="BEJ22" s="93"/>
      <c r="BEK22" s="93"/>
      <c r="BEL22" s="93"/>
      <c r="BEM22" s="93"/>
      <c r="BEN22" s="93"/>
      <c r="BEO22" s="93"/>
      <c r="BEP22" s="93"/>
      <c r="BEQ22" s="93"/>
      <c r="BER22" s="93"/>
      <c r="BES22" s="93"/>
      <c r="BET22" s="93"/>
      <c r="BEU22" s="93"/>
      <c r="BEV22" s="93"/>
      <c r="BEW22" s="93"/>
      <c r="BEX22" s="93"/>
      <c r="BEY22" s="93"/>
      <c r="BEZ22" s="93"/>
      <c r="BFA22" s="93"/>
      <c r="BFB22" s="93"/>
      <c r="BFC22" s="93"/>
      <c r="BFD22" s="93"/>
      <c r="BFE22" s="93"/>
      <c r="BFF22" s="93"/>
      <c r="BFG22" s="93"/>
      <c r="BFH22" s="93"/>
      <c r="BFI22" s="93"/>
      <c r="BFJ22" s="93"/>
      <c r="BFK22" s="93"/>
      <c r="BFL22" s="93"/>
      <c r="BFM22" s="93"/>
      <c r="BFN22" s="93"/>
      <c r="BFO22" s="93"/>
      <c r="BFP22" s="93"/>
      <c r="BFQ22" s="93"/>
      <c r="BFR22" s="93"/>
      <c r="BFS22" s="93"/>
      <c r="BFT22" s="93"/>
      <c r="BFU22" s="93"/>
      <c r="BFV22" s="93"/>
      <c r="BFW22" s="93"/>
      <c r="BFX22" s="93"/>
      <c r="BFY22" s="93"/>
      <c r="BFZ22" s="93"/>
      <c r="BGA22" s="93"/>
      <c r="BGB22" s="93"/>
      <c r="BGC22" s="93"/>
      <c r="BGD22" s="93"/>
      <c r="BGE22" s="93"/>
      <c r="BGF22" s="93"/>
      <c r="BGG22" s="93"/>
      <c r="BGH22" s="93"/>
      <c r="BGI22" s="93"/>
      <c r="BGJ22" s="93"/>
      <c r="BGK22" s="93"/>
      <c r="BGL22" s="93"/>
      <c r="BGM22" s="93"/>
      <c r="BGN22" s="93"/>
      <c r="BGO22" s="93"/>
      <c r="BGP22" s="93"/>
      <c r="BGQ22" s="93"/>
      <c r="BGR22" s="93"/>
      <c r="BGS22" s="93"/>
      <c r="BGT22" s="93"/>
      <c r="BGU22" s="93"/>
      <c r="BGV22" s="93"/>
      <c r="BGW22" s="93"/>
      <c r="BGX22" s="93"/>
      <c r="BGY22" s="93"/>
      <c r="BGZ22" s="93"/>
      <c r="BHA22" s="93"/>
      <c r="BHB22" s="93"/>
      <c r="BHC22" s="93"/>
      <c r="BHD22" s="93"/>
      <c r="BHE22" s="93"/>
      <c r="BHF22" s="93"/>
      <c r="BHG22" s="93"/>
      <c r="BHH22" s="93"/>
      <c r="BHI22" s="93"/>
      <c r="BHJ22" s="93"/>
      <c r="BHK22" s="93"/>
      <c r="BHL22" s="93"/>
      <c r="BHM22" s="93"/>
      <c r="BHN22" s="93"/>
      <c r="BHO22" s="93"/>
      <c r="BHP22" s="93"/>
      <c r="BHQ22" s="93"/>
      <c r="BHR22" s="93"/>
      <c r="BHS22" s="93"/>
      <c r="BHT22" s="93"/>
      <c r="BHU22" s="93"/>
      <c r="BHV22" s="93"/>
      <c r="BHW22" s="93"/>
      <c r="BHX22" s="93"/>
      <c r="BHY22" s="93"/>
      <c r="BHZ22" s="93"/>
      <c r="BIA22" s="93"/>
      <c r="BIB22" s="93"/>
      <c r="BIC22" s="93"/>
      <c r="BID22" s="93"/>
      <c r="BIE22" s="93"/>
      <c r="BIF22" s="93"/>
      <c r="BIG22" s="93"/>
      <c r="BIH22" s="93"/>
      <c r="BII22" s="93"/>
      <c r="BIJ22" s="93"/>
      <c r="BIK22" s="93"/>
      <c r="BIL22" s="93"/>
      <c r="BIM22" s="93"/>
      <c r="BIN22" s="93"/>
      <c r="BIO22" s="93"/>
      <c r="BIP22" s="93"/>
      <c r="BIQ22" s="93"/>
      <c r="BIR22" s="93"/>
      <c r="BIS22" s="93"/>
      <c r="BIT22" s="93"/>
      <c r="BIU22" s="93"/>
      <c r="BIV22" s="93"/>
      <c r="BIW22" s="93"/>
      <c r="BIX22" s="93"/>
      <c r="BIY22" s="93"/>
      <c r="BIZ22" s="93"/>
      <c r="BJA22" s="93"/>
      <c r="BJB22" s="93"/>
      <c r="BJC22" s="93"/>
      <c r="BJD22" s="93"/>
      <c r="BJE22" s="93"/>
      <c r="BJF22" s="93"/>
      <c r="BJG22" s="93"/>
      <c r="BJH22" s="93"/>
      <c r="BJI22" s="93"/>
      <c r="BJJ22" s="93"/>
      <c r="BJK22" s="93"/>
      <c r="BJL22" s="93"/>
      <c r="BJM22" s="93"/>
      <c r="BJN22" s="93"/>
      <c r="BJO22" s="93"/>
      <c r="BJP22" s="93"/>
      <c r="BJQ22" s="93"/>
      <c r="BJR22" s="93"/>
      <c r="BJS22" s="93"/>
      <c r="BJT22" s="93"/>
      <c r="BJU22" s="93"/>
      <c r="BJV22" s="93"/>
      <c r="BJW22" s="93"/>
      <c r="BJX22" s="93"/>
      <c r="BJY22" s="93"/>
      <c r="BJZ22" s="93"/>
      <c r="BKA22" s="93"/>
      <c r="BKB22" s="93"/>
      <c r="BKC22" s="93"/>
      <c r="BKD22" s="93"/>
      <c r="BKE22" s="93"/>
      <c r="BKF22" s="93"/>
      <c r="BKG22" s="93"/>
      <c r="BKH22" s="93"/>
      <c r="BKI22" s="93"/>
      <c r="BKJ22" s="93"/>
      <c r="BKK22" s="93"/>
      <c r="BKL22" s="93"/>
      <c r="BKM22" s="93"/>
      <c r="BKN22" s="93"/>
      <c r="BKO22" s="93"/>
      <c r="BKP22" s="93"/>
      <c r="BKQ22" s="93"/>
      <c r="BKR22" s="93"/>
      <c r="BKS22" s="93"/>
      <c r="BKT22" s="93"/>
      <c r="BKU22" s="93"/>
      <c r="BKV22" s="93"/>
      <c r="BKW22" s="93"/>
      <c r="BKX22" s="93"/>
      <c r="BKY22" s="93"/>
      <c r="BKZ22" s="93"/>
      <c r="BLA22" s="93"/>
      <c r="BLB22" s="93"/>
      <c r="BLC22" s="93"/>
      <c r="BLD22" s="93"/>
      <c r="BLE22" s="93"/>
      <c r="BLF22" s="93"/>
      <c r="BLG22" s="93"/>
      <c r="BLH22" s="93"/>
      <c r="BLI22" s="93"/>
      <c r="BLJ22" s="93"/>
      <c r="BLK22" s="93"/>
      <c r="BLL22" s="93"/>
      <c r="BLM22" s="93"/>
      <c r="BLN22" s="93"/>
      <c r="BLO22" s="93"/>
      <c r="BLP22" s="93"/>
      <c r="BLQ22" s="93"/>
      <c r="BLR22" s="93"/>
      <c r="BLS22" s="93"/>
      <c r="BLT22" s="93"/>
      <c r="BLU22" s="93"/>
      <c r="BLV22" s="93"/>
      <c r="BLW22" s="93"/>
      <c r="BLX22" s="93"/>
      <c r="BLY22" s="93"/>
      <c r="BLZ22" s="93"/>
      <c r="BMA22" s="93"/>
      <c r="BMB22" s="93"/>
      <c r="BMC22" s="93"/>
      <c r="BMD22" s="93"/>
      <c r="BME22" s="93"/>
      <c r="BMF22" s="93"/>
      <c r="BMG22" s="93"/>
      <c r="BMH22" s="93"/>
      <c r="BMI22" s="93"/>
      <c r="BMJ22" s="93"/>
      <c r="BMK22" s="93"/>
      <c r="BML22" s="93"/>
      <c r="BMM22" s="93"/>
      <c r="BMN22" s="93"/>
      <c r="BMO22" s="93"/>
      <c r="BMP22" s="93"/>
      <c r="BMQ22" s="93"/>
      <c r="BMR22" s="93"/>
      <c r="BMS22" s="93"/>
      <c r="BMT22" s="93"/>
      <c r="BMU22" s="93"/>
      <c r="BMV22" s="93"/>
      <c r="BMW22" s="93"/>
      <c r="BMX22" s="93"/>
      <c r="BMY22" s="93"/>
      <c r="BMZ22" s="93"/>
      <c r="BNA22" s="93"/>
      <c r="BNB22" s="93"/>
      <c r="BNC22" s="93"/>
      <c r="BND22" s="93"/>
      <c r="BNE22" s="93"/>
      <c r="BNF22" s="93"/>
      <c r="BNG22" s="93"/>
      <c r="BNH22" s="93"/>
      <c r="BNI22" s="93"/>
      <c r="BNJ22" s="93"/>
      <c r="BNK22" s="93"/>
      <c r="BNL22" s="93"/>
      <c r="BNM22" s="93"/>
      <c r="BNN22" s="93"/>
      <c r="BNO22" s="93"/>
      <c r="BNP22" s="93"/>
      <c r="BNQ22" s="93"/>
      <c r="BNR22" s="93"/>
      <c r="BNS22" s="93"/>
      <c r="BNT22" s="93"/>
      <c r="BNU22" s="93"/>
      <c r="BNV22" s="93"/>
      <c r="BNW22" s="93"/>
      <c r="BNX22" s="93"/>
      <c r="BNY22" s="93"/>
      <c r="BNZ22" s="93"/>
      <c r="BOA22" s="93"/>
      <c r="BOB22" s="93"/>
      <c r="BOC22" s="93"/>
      <c r="BOD22" s="93"/>
      <c r="BOE22" s="93"/>
      <c r="BOF22" s="93"/>
      <c r="BOG22" s="93"/>
      <c r="BOH22" s="93"/>
      <c r="BOI22" s="93"/>
      <c r="BOJ22" s="93"/>
      <c r="BOK22" s="93"/>
      <c r="BOL22" s="93"/>
      <c r="BOM22" s="93"/>
      <c r="BON22" s="93"/>
      <c r="BOO22" s="93"/>
      <c r="BOP22" s="93"/>
      <c r="BOQ22" s="93"/>
      <c r="BOR22" s="93"/>
      <c r="BOS22" s="93"/>
      <c r="BOT22" s="93"/>
      <c r="BOU22" s="93"/>
      <c r="BOV22" s="93"/>
      <c r="BOW22" s="93"/>
      <c r="BOX22" s="93"/>
      <c r="BOY22" s="93"/>
      <c r="BOZ22" s="93"/>
      <c r="BPA22" s="93"/>
      <c r="BPB22" s="93"/>
      <c r="BPC22" s="93"/>
      <c r="BPD22" s="93"/>
      <c r="BPE22" s="93"/>
      <c r="BPF22" s="93"/>
      <c r="BPG22" s="93"/>
      <c r="BPH22" s="93"/>
      <c r="BPI22" s="93"/>
      <c r="BPJ22" s="93"/>
      <c r="BPK22" s="93"/>
      <c r="BPL22" s="93"/>
      <c r="BPM22" s="93"/>
      <c r="BPN22" s="93"/>
      <c r="BPO22" s="93"/>
      <c r="BPP22" s="93"/>
      <c r="BPQ22" s="93"/>
      <c r="BPR22" s="93"/>
      <c r="BPS22" s="93"/>
      <c r="BPT22" s="93"/>
      <c r="BPU22" s="93"/>
      <c r="BPV22" s="93"/>
      <c r="BPW22" s="93"/>
      <c r="BPX22" s="93"/>
      <c r="BPY22" s="93"/>
      <c r="BPZ22" s="93"/>
      <c r="BQA22" s="93"/>
      <c r="BQB22" s="93"/>
      <c r="BQC22" s="93"/>
      <c r="BQD22" s="93"/>
      <c r="BQE22" s="93"/>
      <c r="BQF22" s="93"/>
      <c r="BQG22" s="93"/>
      <c r="BQH22" s="93"/>
      <c r="BQI22" s="93"/>
      <c r="BQJ22" s="93"/>
      <c r="BQK22" s="93"/>
      <c r="BQL22" s="93"/>
      <c r="BQM22" s="93"/>
      <c r="BQN22" s="93"/>
      <c r="BQO22" s="93"/>
      <c r="BQP22" s="93"/>
      <c r="BQQ22" s="93"/>
      <c r="BQR22" s="93"/>
      <c r="BQS22" s="93"/>
      <c r="BQT22" s="93"/>
      <c r="BQU22" s="93"/>
      <c r="BQV22" s="93"/>
      <c r="BQW22" s="93"/>
      <c r="BQX22" s="93"/>
      <c r="BQY22" s="93"/>
      <c r="BQZ22" s="93"/>
      <c r="BRA22" s="93"/>
      <c r="BRB22" s="93"/>
      <c r="BRC22" s="93"/>
      <c r="BRD22" s="93"/>
      <c r="BRE22" s="93"/>
      <c r="BRF22" s="93"/>
      <c r="BRG22" s="93"/>
      <c r="BRH22" s="93"/>
      <c r="BRI22" s="93"/>
      <c r="BRJ22" s="93"/>
      <c r="BRK22" s="93"/>
      <c r="BRL22" s="93"/>
      <c r="BRM22" s="93"/>
      <c r="BRN22" s="93"/>
      <c r="BRO22" s="93"/>
      <c r="BRP22" s="93"/>
      <c r="BRQ22" s="93"/>
      <c r="BRR22" s="93"/>
      <c r="BRS22" s="93"/>
      <c r="BRT22" s="93"/>
      <c r="BRU22" s="93"/>
      <c r="BRV22" s="93"/>
      <c r="BRW22" s="93"/>
      <c r="BRX22" s="93"/>
      <c r="BRY22" s="93"/>
      <c r="BRZ22" s="93"/>
      <c r="BSA22" s="93"/>
      <c r="BSB22" s="93"/>
      <c r="BSC22" s="93"/>
      <c r="BSD22" s="93"/>
      <c r="BSE22" s="93"/>
      <c r="BSF22" s="93"/>
      <c r="BSG22" s="93"/>
      <c r="BSH22" s="93"/>
      <c r="BSI22" s="93"/>
      <c r="BSJ22" s="93"/>
      <c r="BSK22" s="93"/>
      <c r="BSL22" s="93"/>
      <c r="BSM22" s="93"/>
      <c r="BSN22" s="93"/>
      <c r="BSO22" s="93"/>
      <c r="BSP22" s="93"/>
      <c r="BSQ22" s="93"/>
      <c r="BSR22" s="93"/>
      <c r="BSS22" s="93"/>
      <c r="BST22" s="93"/>
      <c r="BSU22" s="93"/>
      <c r="BSV22" s="93"/>
      <c r="BSW22" s="93"/>
      <c r="BSX22" s="93"/>
      <c r="BSY22" s="93"/>
      <c r="BSZ22" s="93"/>
      <c r="BTA22" s="93"/>
      <c r="BTB22" s="93"/>
      <c r="BTC22" s="93"/>
      <c r="BTD22" s="93"/>
      <c r="BTE22" s="93"/>
      <c r="BTF22" s="93"/>
      <c r="BTG22" s="93"/>
      <c r="BTH22" s="93"/>
      <c r="BTI22" s="93"/>
      <c r="BTJ22" s="93"/>
      <c r="BTK22" s="93"/>
      <c r="BTL22" s="93"/>
      <c r="BTM22" s="93"/>
      <c r="BTN22" s="93"/>
      <c r="BTO22" s="93"/>
      <c r="BTP22" s="93"/>
      <c r="BTQ22" s="93"/>
      <c r="BTR22" s="93"/>
      <c r="BTS22" s="93"/>
      <c r="BTT22" s="93"/>
      <c r="BTU22" s="93"/>
      <c r="BTV22" s="93"/>
      <c r="BTW22" s="93"/>
      <c r="BTX22" s="93"/>
      <c r="BTY22" s="93"/>
      <c r="BTZ22" s="93"/>
      <c r="BUA22" s="93"/>
      <c r="BUB22" s="93"/>
      <c r="BUC22" s="93"/>
      <c r="BUD22" s="93"/>
      <c r="BUE22" s="93"/>
      <c r="BUF22" s="93"/>
      <c r="BUG22" s="93"/>
      <c r="BUH22" s="93"/>
      <c r="BUI22" s="93"/>
      <c r="BUJ22" s="93"/>
      <c r="BUK22" s="93"/>
      <c r="BUL22" s="93"/>
      <c r="BUM22" s="93"/>
      <c r="BUN22" s="93"/>
      <c r="BUO22" s="93"/>
      <c r="BUP22" s="93"/>
      <c r="BUQ22" s="93"/>
      <c r="BUR22" s="93"/>
      <c r="BUS22" s="93"/>
      <c r="BUT22" s="93"/>
      <c r="BUU22" s="93"/>
      <c r="BUV22" s="93"/>
      <c r="BUW22" s="93"/>
      <c r="BUX22" s="93"/>
      <c r="BUY22" s="93"/>
      <c r="BUZ22" s="93"/>
      <c r="BVA22" s="93"/>
      <c r="BVB22" s="93"/>
      <c r="BVC22" s="93"/>
      <c r="BVD22" s="93"/>
      <c r="BVE22" s="93"/>
      <c r="BVF22" s="93"/>
      <c r="BVG22" s="93"/>
      <c r="BVH22" s="93"/>
      <c r="BVI22" s="93"/>
      <c r="BVJ22" s="93"/>
      <c r="BVK22" s="93"/>
      <c r="BVL22" s="93"/>
      <c r="BVM22" s="93"/>
      <c r="BVN22" s="93"/>
      <c r="BVO22" s="93"/>
      <c r="BVP22" s="93"/>
      <c r="BVQ22" s="93"/>
      <c r="BVR22" s="93"/>
      <c r="BVS22" s="93"/>
      <c r="BVT22" s="93"/>
      <c r="BVU22" s="93"/>
      <c r="BVV22" s="93"/>
      <c r="BVW22" s="93"/>
      <c r="BVX22" s="93"/>
      <c r="BVY22" s="93"/>
      <c r="BVZ22" s="93"/>
      <c r="BWA22" s="93"/>
      <c r="BWB22" s="93"/>
      <c r="BWC22" s="93"/>
      <c r="BWD22" s="93"/>
      <c r="BWE22" s="93"/>
      <c r="BWF22" s="93"/>
      <c r="BWG22" s="93"/>
      <c r="BWH22" s="93"/>
      <c r="BWI22" s="93"/>
      <c r="BWJ22" s="93"/>
      <c r="BWK22" s="93"/>
      <c r="BWL22" s="93"/>
      <c r="BWM22" s="93"/>
      <c r="BWN22" s="93"/>
      <c r="BWO22" s="93"/>
      <c r="BWP22" s="93"/>
      <c r="BWQ22" s="93"/>
      <c r="BWR22" s="93"/>
      <c r="BWS22" s="93"/>
      <c r="BWT22" s="93"/>
      <c r="BWU22" s="93"/>
      <c r="BWV22" s="93"/>
      <c r="BWW22" s="93"/>
      <c r="BWX22" s="93"/>
      <c r="BWY22" s="93"/>
      <c r="BWZ22" s="93"/>
      <c r="BXA22" s="93"/>
      <c r="BXB22" s="93"/>
      <c r="BXC22" s="93"/>
      <c r="BXD22" s="93"/>
      <c r="BXE22" s="93"/>
      <c r="BXF22" s="93"/>
      <c r="BXG22" s="93"/>
      <c r="BXH22" s="93"/>
      <c r="BXI22" s="93"/>
      <c r="BXJ22" s="93"/>
      <c r="BXK22" s="93"/>
      <c r="BXL22" s="93"/>
      <c r="BXM22" s="93"/>
      <c r="BXN22" s="93"/>
      <c r="BXO22" s="93"/>
      <c r="BXP22" s="93"/>
      <c r="BXQ22" s="93"/>
      <c r="BXR22" s="93"/>
      <c r="BXS22" s="93"/>
      <c r="BXT22" s="93"/>
      <c r="BXU22" s="93"/>
      <c r="BXV22" s="93"/>
      <c r="BXW22" s="93"/>
      <c r="BXX22" s="93"/>
      <c r="BXY22" s="93"/>
      <c r="BXZ22" s="93"/>
      <c r="BYA22" s="93"/>
      <c r="BYB22" s="93"/>
      <c r="BYC22" s="93"/>
      <c r="BYD22" s="93"/>
      <c r="BYE22" s="93"/>
      <c r="BYF22" s="93"/>
      <c r="BYG22" s="93"/>
      <c r="BYH22" s="93"/>
      <c r="BYI22" s="93"/>
      <c r="BYJ22" s="93"/>
      <c r="BYK22" s="93"/>
      <c r="BYL22" s="93"/>
      <c r="BYM22" s="93"/>
      <c r="BYN22" s="93"/>
      <c r="BYO22" s="93"/>
      <c r="BYP22" s="93"/>
      <c r="BYQ22" s="93"/>
      <c r="BYR22" s="93"/>
      <c r="BYS22" s="93"/>
      <c r="BYT22" s="93"/>
      <c r="BYU22" s="93"/>
      <c r="BYV22" s="93"/>
      <c r="BYW22" s="93"/>
      <c r="BYX22" s="93"/>
      <c r="BYY22" s="93"/>
      <c r="BYZ22" s="93"/>
      <c r="BZA22" s="93"/>
      <c r="BZB22" s="93"/>
      <c r="BZC22" s="93"/>
      <c r="BZD22" s="93"/>
      <c r="BZE22" s="93"/>
      <c r="BZF22" s="93"/>
      <c r="BZG22" s="93"/>
      <c r="BZH22" s="93"/>
      <c r="BZI22" s="93"/>
      <c r="BZJ22" s="93"/>
      <c r="BZK22" s="93"/>
      <c r="BZL22" s="93"/>
      <c r="BZM22" s="93"/>
      <c r="BZN22" s="93"/>
      <c r="BZO22" s="93"/>
      <c r="BZP22" s="93"/>
      <c r="BZQ22" s="93"/>
      <c r="BZR22" s="93"/>
      <c r="BZS22" s="93"/>
      <c r="BZT22" s="93"/>
      <c r="BZU22" s="93"/>
      <c r="BZV22" s="93"/>
      <c r="BZW22" s="93"/>
      <c r="BZX22" s="93"/>
      <c r="BZY22" s="93"/>
      <c r="BZZ22" s="93"/>
      <c r="CAA22" s="93"/>
      <c r="CAB22" s="93"/>
      <c r="CAC22" s="93"/>
      <c r="CAD22" s="93"/>
      <c r="CAE22" s="93"/>
      <c r="CAF22" s="93"/>
      <c r="CAG22" s="93"/>
      <c r="CAH22" s="93"/>
      <c r="CAI22" s="93"/>
      <c r="CAJ22" s="93"/>
      <c r="CAK22" s="93"/>
      <c r="CAL22" s="93"/>
      <c r="CAM22" s="93"/>
      <c r="CAN22" s="93"/>
      <c r="CAO22" s="93"/>
      <c r="CAP22" s="93"/>
      <c r="CAQ22" s="93"/>
      <c r="CAR22" s="93"/>
      <c r="CAS22" s="93"/>
      <c r="CAT22" s="93"/>
      <c r="CAU22" s="93"/>
      <c r="CAV22" s="93"/>
      <c r="CAW22" s="93"/>
      <c r="CAX22" s="93"/>
      <c r="CAY22" s="93"/>
      <c r="CAZ22" s="93"/>
      <c r="CBA22" s="93"/>
      <c r="CBB22" s="93"/>
      <c r="CBC22" s="93"/>
      <c r="CBD22" s="93"/>
      <c r="CBE22" s="93"/>
      <c r="CBF22" s="93"/>
      <c r="CBG22" s="93"/>
      <c r="CBH22" s="93"/>
      <c r="CBI22" s="93"/>
      <c r="CBJ22" s="93"/>
      <c r="CBK22" s="93"/>
      <c r="CBL22" s="93"/>
      <c r="CBM22" s="93"/>
      <c r="CBN22" s="93"/>
      <c r="CBO22" s="93"/>
      <c r="CBP22" s="93"/>
      <c r="CBQ22" s="93"/>
      <c r="CBR22" s="93"/>
      <c r="CBS22" s="93"/>
      <c r="CBT22" s="93"/>
      <c r="CBU22" s="93"/>
      <c r="CBV22" s="93"/>
      <c r="CBW22" s="93"/>
      <c r="CBX22" s="93"/>
      <c r="CBY22" s="93"/>
      <c r="CBZ22" s="93"/>
      <c r="CCA22" s="93"/>
      <c r="CCB22" s="93"/>
      <c r="CCC22" s="93"/>
      <c r="CCD22" s="93"/>
      <c r="CCE22" s="93"/>
      <c r="CCF22" s="93"/>
      <c r="CCG22" s="93"/>
      <c r="CCH22" s="93"/>
      <c r="CCI22" s="93"/>
      <c r="CCJ22" s="93"/>
      <c r="CCK22" s="93"/>
      <c r="CCL22" s="93"/>
      <c r="CCM22" s="93"/>
      <c r="CCN22" s="93"/>
      <c r="CCO22" s="93"/>
      <c r="CCP22" s="93"/>
      <c r="CCQ22" s="93"/>
      <c r="CCR22" s="93"/>
      <c r="CCS22" s="93"/>
      <c r="CCT22" s="93"/>
      <c r="CCU22" s="93"/>
      <c r="CCV22" s="93"/>
      <c r="CCW22" s="93"/>
      <c r="CCX22" s="93"/>
      <c r="CCY22" s="93"/>
      <c r="CCZ22" s="93"/>
      <c r="CDA22" s="93"/>
      <c r="CDB22" s="93"/>
      <c r="CDC22" s="93"/>
      <c r="CDD22" s="93"/>
      <c r="CDE22" s="93"/>
      <c r="CDF22" s="93"/>
      <c r="CDG22" s="93"/>
      <c r="CDH22" s="93"/>
      <c r="CDI22" s="93"/>
      <c r="CDJ22" s="93"/>
      <c r="CDK22" s="93"/>
      <c r="CDL22" s="93"/>
      <c r="CDM22" s="93"/>
      <c r="CDN22" s="93"/>
      <c r="CDO22" s="93"/>
      <c r="CDP22" s="93"/>
      <c r="CDQ22" s="93"/>
      <c r="CDR22" s="93"/>
      <c r="CDS22" s="93"/>
      <c r="CDT22" s="93"/>
      <c r="CDU22" s="93"/>
      <c r="CDV22" s="93"/>
      <c r="CDW22" s="93"/>
      <c r="CDX22" s="93"/>
      <c r="CDY22" s="93"/>
      <c r="CDZ22" s="93"/>
      <c r="CEA22" s="93"/>
      <c r="CEB22" s="93"/>
      <c r="CEC22" s="93"/>
      <c r="CED22" s="93"/>
      <c r="CEE22" s="93"/>
      <c r="CEF22" s="93"/>
      <c r="CEG22" s="93"/>
      <c r="CEH22" s="93"/>
      <c r="CEI22" s="93"/>
      <c r="CEJ22" s="93"/>
      <c r="CEK22" s="93"/>
      <c r="CEL22" s="93"/>
      <c r="CEM22" s="93"/>
      <c r="CEN22" s="93"/>
      <c r="CEO22" s="93"/>
      <c r="CEP22" s="93"/>
      <c r="CEQ22" s="93"/>
      <c r="CER22" s="93"/>
      <c r="CES22" s="93"/>
      <c r="CET22" s="93"/>
      <c r="CEU22" s="93"/>
      <c r="CEV22" s="93"/>
      <c r="CEW22" s="93"/>
      <c r="CEX22" s="93"/>
      <c r="CEY22" s="93"/>
      <c r="CEZ22" s="93"/>
      <c r="CFA22" s="93"/>
      <c r="CFB22" s="93"/>
      <c r="CFC22" s="93"/>
      <c r="CFD22" s="93"/>
      <c r="CFE22" s="93"/>
      <c r="CFF22" s="93"/>
      <c r="CFG22" s="93"/>
      <c r="CFH22" s="93"/>
      <c r="CFI22" s="93"/>
      <c r="CFJ22" s="93"/>
      <c r="CFK22" s="93"/>
      <c r="CFL22" s="93"/>
      <c r="CFM22" s="93"/>
      <c r="CFN22" s="93"/>
      <c r="CFO22" s="93"/>
      <c r="CFP22" s="93"/>
      <c r="CFQ22" s="93"/>
      <c r="CFR22" s="93"/>
      <c r="CFS22" s="93"/>
      <c r="CFT22" s="93"/>
      <c r="CFU22" s="93"/>
      <c r="CFV22" s="93"/>
      <c r="CFW22" s="93"/>
      <c r="CFX22" s="93"/>
      <c r="CFY22" s="93"/>
      <c r="CFZ22" s="93"/>
      <c r="CGA22" s="93"/>
      <c r="CGB22" s="93"/>
      <c r="CGC22" s="93"/>
      <c r="CGD22" s="93"/>
      <c r="CGE22" s="93"/>
      <c r="CGF22" s="93"/>
      <c r="CGG22" s="93"/>
      <c r="CGH22" s="93"/>
      <c r="CGI22" s="93"/>
      <c r="CGJ22" s="93"/>
      <c r="CGK22" s="93"/>
      <c r="CGL22" s="93"/>
      <c r="CGM22" s="93"/>
      <c r="CGN22" s="93"/>
      <c r="CGO22" s="93"/>
      <c r="CGP22" s="93"/>
      <c r="CGQ22" s="93"/>
      <c r="CGR22" s="93"/>
      <c r="CGS22" s="93"/>
      <c r="CGT22" s="93"/>
      <c r="CGU22" s="93"/>
      <c r="CGV22" s="93"/>
      <c r="CGW22" s="93"/>
      <c r="CGX22" s="93"/>
      <c r="CGY22" s="93"/>
      <c r="CGZ22" s="93"/>
      <c r="CHA22" s="93"/>
      <c r="CHB22" s="93"/>
      <c r="CHC22" s="93"/>
      <c r="CHD22" s="93"/>
      <c r="CHE22" s="93"/>
      <c r="CHF22" s="93"/>
      <c r="CHG22" s="93"/>
      <c r="CHH22" s="93"/>
      <c r="CHI22" s="93"/>
      <c r="CHJ22" s="93"/>
      <c r="CHK22" s="93"/>
      <c r="CHL22" s="93"/>
      <c r="CHM22" s="93"/>
      <c r="CHN22" s="93"/>
      <c r="CHO22" s="93"/>
      <c r="CHP22" s="93"/>
      <c r="CHQ22" s="93"/>
      <c r="CHR22" s="93"/>
      <c r="CHS22" s="93"/>
      <c r="CHT22" s="93"/>
      <c r="CHU22" s="93"/>
      <c r="CHV22" s="93"/>
      <c r="CHW22" s="93"/>
      <c r="CHX22" s="93"/>
      <c r="CHY22" s="93"/>
      <c r="CHZ22" s="93"/>
      <c r="CIA22" s="93"/>
      <c r="CIB22" s="93"/>
      <c r="CIC22" s="93"/>
      <c r="CID22" s="93"/>
      <c r="CIE22" s="93"/>
      <c r="CIF22" s="93"/>
      <c r="CIG22" s="93"/>
      <c r="CIH22" s="93"/>
      <c r="CII22" s="93"/>
      <c r="CIJ22" s="93"/>
      <c r="CIK22" s="93"/>
      <c r="CIL22" s="93"/>
      <c r="CIM22" s="93"/>
      <c r="CIN22" s="93"/>
      <c r="CIO22" s="93"/>
      <c r="CIP22" s="93"/>
      <c r="CIQ22" s="93"/>
      <c r="CIR22" s="93"/>
      <c r="CIS22" s="93"/>
      <c r="CIT22" s="93"/>
      <c r="CIU22" s="93"/>
      <c r="CIV22" s="93"/>
      <c r="CIW22" s="93"/>
      <c r="CIX22" s="93"/>
      <c r="CIY22" s="93"/>
      <c r="CIZ22" s="93"/>
      <c r="CJA22" s="93"/>
      <c r="CJB22" s="93"/>
      <c r="CJC22" s="93"/>
      <c r="CJD22" s="93"/>
      <c r="CJE22" s="93"/>
      <c r="CJF22" s="93"/>
      <c r="CJG22" s="93"/>
      <c r="CJH22" s="93"/>
      <c r="CJI22" s="93"/>
      <c r="CJJ22" s="93"/>
      <c r="CJK22" s="93"/>
      <c r="CJL22" s="93"/>
      <c r="CJM22" s="93"/>
      <c r="CJN22" s="93"/>
      <c r="CJO22" s="93"/>
      <c r="CJP22" s="93"/>
      <c r="CJQ22" s="93"/>
      <c r="CJR22" s="93"/>
      <c r="CJS22" s="93"/>
      <c r="CJT22" s="93"/>
      <c r="CJU22" s="93"/>
      <c r="CJV22" s="93"/>
      <c r="CJW22" s="93"/>
      <c r="CJX22" s="93"/>
      <c r="CJY22" s="93"/>
      <c r="CJZ22" s="93"/>
      <c r="CKA22" s="93"/>
      <c r="CKB22" s="93"/>
      <c r="CKC22" s="93"/>
      <c r="CKD22" s="93"/>
      <c r="CKE22" s="93"/>
      <c r="CKF22" s="93"/>
      <c r="CKG22" s="93"/>
      <c r="CKH22" s="93"/>
      <c r="CKI22" s="93"/>
      <c r="CKJ22" s="93"/>
      <c r="CKK22" s="93"/>
      <c r="CKL22" s="93"/>
      <c r="CKM22" s="93"/>
      <c r="CKN22" s="93"/>
      <c r="CKO22" s="93"/>
      <c r="CKP22" s="93"/>
      <c r="CKQ22" s="93"/>
      <c r="CKR22" s="93"/>
      <c r="CKS22" s="93"/>
      <c r="CKT22" s="93"/>
      <c r="CKU22" s="93"/>
      <c r="CKV22" s="93"/>
      <c r="CKW22" s="93"/>
      <c r="CKX22" s="93"/>
      <c r="CKY22" s="93"/>
      <c r="CKZ22" s="93"/>
      <c r="CLA22" s="93"/>
      <c r="CLB22" s="93"/>
      <c r="CLC22" s="93"/>
      <c r="CLD22" s="93"/>
      <c r="CLE22" s="93"/>
      <c r="CLF22" s="93"/>
      <c r="CLG22" s="93"/>
      <c r="CLH22" s="93"/>
      <c r="CLI22" s="93"/>
      <c r="CLJ22" s="93"/>
      <c r="CLK22" s="93"/>
      <c r="CLL22" s="93"/>
      <c r="CLM22" s="93"/>
      <c r="CLN22" s="93"/>
      <c r="CLO22" s="93"/>
      <c r="CLP22" s="93"/>
      <c r="CLQ22" s="93"/>
      <c r="CLR22" s="93"/>
      <c r="CLS22" s="93"/>
      <c r="CLT22" s="93"/>
      <c r="CLU22" s="93"/>
      <c r="CLV22" s="93"/>
      <c r="CLW22" s="93"/>
      <c r="CLX22" s="93"/>
      <c r="CLY22" s="93"/>
      <c r="CLZ22" s="93"/>
      <c r="CMA22" s="93"/>
      <c r="CMB22" s="93"/>
      <c r="CMC22" s="93"/>
      <c r="CMD22" s="93"/>
      <c r="CME22" s="93"/>
      <c r="CMF22" s="93"/>
      <c r="CMG22" s="93"/>
      <c r="CMH22" s="93"/>
      <c r="CMI22" s="93"/>
      <c r="CMJ22" s="93"/>
      <c r="CMK22" s="93"/>
      <c r="CML22" s="93"/>
      <c r="CMM22" s="93"/>
      <c r="CMN22" s="93"/>
      <c r="CMO22" s="93"/>
      <c r="CMP22" s="93"/>
      <c r="CMQ22" s="93"/>
      <c r="CMR22" s="93"/>
      <c r="CMS22" s="93"/>
      <c r="CMT22" s="93"/>
      <c r="CMU22" s="93"/>
      <c r="CMV22" s="93"/>
      <c r="CMW22" s="93"/>
      <c r="CMX22" s="93"/>
      <c r="CMY22" s="93"/>
      <c r="CMZ22" s="93"/>
      <c r="CNA22" s="93"/>
      <c r="CNB22" s="93"/>
      <c r="CNC22" s="93"/>
      <c r="CND22" s="93"/>
      <c r="CNE22" s="93"/>
      <c r="CNF22" s="93"/>
      <c r="CNG22" s="93"/>
      <c r="CNH22" s="93"/>
      <c r="CNI22" s="93"/>
      <c r="CNJ22" s="93"/>
      <c r="CNK22" s="93"/>
      <c r="CNL22" s="93"/>
      <c r="CNM22" s="93"/>
      <c r="CNN22" s="93"/>
      <c r="CNO22" s="93"/>
      <c r="CNP22" s="93"/>
      <c r="CNQ22" s="93"/>
      <c r="CNR22" s="93"/>
      <c r="CNS22" s="93"/>
      <c r="CNT22" s="93"/>
      <c r="CNU22" s="93"/>
      <c r="CNV22" s="93"/>
      <c r="CNW22" s="93"/>
      <c r="CNX22" s="93"/>
      <c r="CNY22" s="93"/>
      <c r="CNZ22" s="93"/>
      <c r="COA22" s="93"/>
      <c r="COB22" s="93"/>
      <c r="COC22" s="93"/>
      <c r="COD22" s="93"/>
      <c r="COE22" s="93"/>
      <c r="COF22" s="93"/>
      <c r="COG22" s="93"/>
      <c r="COH22" s="93"/>
      <c r="COI22" s="93"/>
      <c r="COJ22" s="93"/>
      <c r="COK22" s="93"/>
      <c r="COL22" s="93"/>
      <c r="COM22" s="93"/>
      <c r="CON22" s="93"/>
      <c r="COO22" s="93"/>
      <c r="COP22" s="93"/>
      <c r="COQ22" s="93"/>
      <c r="COR22" s="93"/>
      <c r="COS22" s="93"/>
      <c r="COT22" s="93"/>
      <c r="COU22" s="93"/>
      <c r="COV22" s="93"/>
      <c r="COW22" s="93"/>
      <c r="COX22" s="93"/>
      <c r="COY22" s="93"/>
      <c r="COZ22" s="93"/>
      <c r="CPA22" s="93"/>
      <c r="CPB22" s="93"/>
      <c r="CPC22" s="93"/>
      <c r="CPD22" s="93"/>
      <c r="CPE22" s="93"/>
      <c r="CPF22" s="93"/>
      <c r="CPG22" s="93"/>
      <c r="CPH22" s="93"/>
      <c r="CPI22" s="93"/>
      <c r="CPJ22" s="93"/>
      <c r="CPK22" s="93"/>
      <c r="CPL22" s="93"/>
      <c r="CPM22" s="93"/>
      <c r="CPN22" s="93"/>
      <c r="CPO22" s="93"/>
      <c r="CPP22" s="93"/>
      <c r="CPQ22" s="93"/>
      <c r="CPR22" s="93"/>
      <c r="CPS22" s="93"/>
      <c r="CPT22" s="93"/>
      <c r="CPU22" s="93"/>
      <c r="CPV22" s="93"/>
      <c r="CPW22" s="93"/>
      <c r="CPX22" s="93"/>
      <c r="CPY22" s="93"/>
      <c r="CPZ22" s="93"/>
      <c r="CQA22" s="93"/>
      <c r="CQB22" s="93"/>
      <c r="CQC22" s="93"/>
      <c r="CQD22" s="93"/>
      <c r="CQE22" s="93"/>
      <c r="CQF22" s="93"/>
      <c r="CQG22" s="93"/>
      <c r="CQH22" s="93"/>
      <c r="CQI22" s="93"/>
      <c r="CQJ22" s="93"/>
      <c r="CQK22" s="93"/>
      <c r="CQL22" s="93"/>
      <c r="CQM22" s="93"/>
      <c r="CQN22" s="93"/>
      <c r="CQO22" s="93"/>
      <c r="CQP22" s="93"/>
      <c r="CQQ22" s="93"/>
      <c r="CQR22" s="93"/>
      <c r="CQS22" s="93"/>
      <c r="CQT22" s="93"/>
      <c r="CQU22" s="93"/>
      <c r="CQV22" s="93"/>
      <c r="CQW22" s="93"/>
      <c r="CQX22" s="93"/>
      <c r="CQY22" s="93"/>
      <c r="CQZ22" s="93"/>
      <c r="CRA22" s="93"/>
      <c r="CRB22" s="93"/>
      <c r="CRC22" s="93"/>
      <c r="CRD22" s="93"/>
      <c r="CRE22" s="93"/>
      <c r="CRF22" s="93"/>
      <c r="CRG22" s="93"/>
      <c r="CRH22" s="93"/>
      <c r="CRI22" s="93"/>
      <c r="CRJ22" s="93"/>
      <c r="CRK22" s="93"/>
      <c r="CRL22" s="93"/>
      <c r="CRM22" s="93"/>
      <c r="CRN22" s="93"/>
      <c r="CRO22" s="93"/>
      <c r="CRP22" s="93"/>
      <c r="CRQ22" s="93"/>
      <c r="CRR22" s="93"/>
      <c r="CRS22" s="93"/>
      <c r="CRT22" s="93"/>
      <c r="CRU22" s="93"/>
      <c r="CRV22" s="93"/>
      <c r="CRW22" s="93"/>
      <c r="CRX22" s="93"/>
      <c r="CRY22" s="93"/>
      <c r="CRZ22" s="93"/>
      <c r="CSA22" s="93"/>
      <c r="CSB22" s="93"/>
      <c r="CSC22" s="93"/>
      <c r="CSD22" s="93"/>
      <c r="CSE22" s="93"/>
      <c r="CSF22" s="93"/>
      <c r="CSG22" s="93"/>
      <c r="CSH22" s="93"/>
      <c r="CSI22" s="93"/>
      <c r="CSJ22" s="93"/>
      <c r="CSK22" s="93"/>
      <c r="CSL22" s="93"/>
      <c r="CSM22" s="93"/>
      <c r="CSN22" s="93"/>
      <c r="CSO22" s="93"/>
      <c r="CSP22" s="93"/>
      <c r="CSQ22" s="93"/>
      <c r="CSR22" s="93"/>
      <c r="CSS22" s="93"/>
      <c r="CST22" s="93"/>
      <c r="CSU22" s="93"/>
      <c r="CSV22" s="93"/>
      <c r="CSW22" s="93"/>
      <c r="CSX22" s="93"/>
      <c r="CSY22" s="93"/>
      <c r="CSZ22" s="93"/>
      <c r="CTA22" s="93"/>
      <c r="CTB22" s="93"/>
      <c r="CTC22" s="93"/>
      <c r="CTD22" s="93"/>
      <c r="CTE22" s="93"/>
      <c r="CTF22" s="93"/>
      <c r="CTG22" s="93"/>
      <c r="CTH22" s="93"/>
      <c r="CTI22" s="93"/>
      <c r="CTJ22" s="93"/>
      <c r="CTK22" s="93"/>
      <c r="CTL22" s="93"/>
      <c r="CTM22" s="93"/>
      <c r="CTN22" s="93"/>
      <c r="CTO22" s="93"/>
      <c r="CTP22" s="93"/>
      <c r="CTQ22" s="93"/>
      <c r="CTR22" s="93"/>
      <c r="CTS22" s="93"/>
      <c r="CTT22" s="93"/>
      <c r="CTU22" s="93"/>
      <c r="CTV22" s="93"/>
      <c r="CTW22" s="93"/>
      <c r="CTX22" s="93"/>
      <c r="CTY22" s="93"/>
      <c r="CTZ22" s="93"/>
      <c r="CUA22" s="93"/>
      <c r="CUB22" s="93"/>
      <c r="CUC22" s="93"/>
      <c r="CUD22" s="93"/>
      <c r="CUE22" s="93"/>
      <c r="CUF22" s="93"/>
      <c r="CUG22" s="93"/>
      <c r="CUH22" s="93"/>
      <c r="CUI22" s="93"/>
      <c r="CUJ22" s="93"/>
      <c r="CUK22" s="93"/>
      <c r="CUL22" s="93"/>
      <c r="CUM22" s="93"/>
      <c r="CUN22" s="93"/>
      <c r="CUO22" s="93"/>
      <c r="CUP22" s="93"/>
      <c r="CUQ22" s="93"/>
      <c r="CUR22" s="93"/>
      <c r="CUS22" s="93"/>
      <c r="CUT22" s="93"/>
      <c r="CUU22" s="93"/>
      <c r="CUV22" s="93"/>
      <c r="CUW22" s="93"/>
      <c r="CUX22" s="93"/>
      <c r="CUY22" s="93"/>
      <c r="CUZ22" s="93"/>
      <c r="CVA22" s="93"/>
      <c r="CVB22" s="93"/>
      <c r="CVC22" s="93"/>
      <c r="CVD22" s="93"/>
      <c r="CVE22" s="93"/>
      <c r="CVF22" s="93"/>
      <c r="CVG22" s="93"/>
      <c r="CVH22" s="93"/>
      <c r="CVI22" s="93"/>
      <c r="CVJ22" s="93"/>
      <c r="CVK22" s="93"/>
      <c r="CVL22" s="93"/>
      <c r="CVM22" s="93"/>
      <c r="CVN22" s="93"/>
      <c r="CVO22" s="93"/>
      <c r="CVP22" s="93"/>
      <c r="CVQ22" s="93"/>
      <c r="CVR22" s="93"/>
      <c r="CVS22" s="93"/>
      <c r="CVT22" s="93"/>
      <c r="CVU22" s="93"/>
      <c r="CVV22" s="93"/>
      <c r="CVW22" s="93"/>
      <c r="CVX22" s="93"/>
      <c r="CVY22" s="93"/>
      <c r="CVZ22" s="93"/>
      <c r="CWA22" s="93"/>
      <c r="CWB22" s="93"/>
      <c r="CWC22" s="93"/>
      <c r="CWD22" s="93"/>
      <c r="CWE22" s="93"/>
      <c r="CWF22" s="93"/>
      <c r="CWG22" s="93"/>
      <c r="CWH22" s="93"/>
      <c r="CWI22" s="93"/>
      <c r="CWJ22" s="93"/>
      <c r="CWK22" s="93"/>
      <c r="CWL22" s="93"/>
      <c r="CWM22" s="93"/>
      <c r="CWN22" s="93"/>
      <c r="CWO22" s="93"/>
      <c r="CWP22" s="93"/>
      <c r="CWQ22" s="93"/>
      <c r="CWR22" s="93"/>
      <c r="CWS22" s="93"/>
      <c r="CWT22" s="93"/>
      <c r="CWU22" s="93"/>
      <c r="CWV22" s="93"/>
      <c r="CWW22" s="93"/>
      <c r="CWX22" s="93"/>
      <c r="CWY22" s="93"/>
      <c r="CWZ22" s="93"/>
      <c r="CXA22" s="93"/>
      <c r="CXB22" s="93"/>
      <c r="CXC22" s="93"/>
      <c r="CXD22" s="93"/>
      <c r="CXE22" s="93"/>
      <c r="CXF22" s="93"/>
      <c r="CXG22" s="93"/>
      <c r="CXH22" s="93"/>
      <c r="CXI22" s="93"/>
      <c r="CXJ22" s="93"/>
      <c r="CXK22" s="93"/>
      <c r="CXL22" s="93"/>
      <c r="CXM22" s="93"/>
      <c r="CXN22" s="93"/>
      <c r="CXO22" s="93"/>
      <c r="CXP22" s="93"/>
      <c r="CXQ22" s="93"/>
      <c r="CXR22" s="93"/>
      <c r="CXS22" s="93"/>
      <c r="CXT22" s="93"/>
      <c r="CXU22" s="93"/>
      <c r="CXV22" s="93"/>
      <c r="CXW22" s="93"/>
      <c r="CXX22" s="93"/>
      <c r="CXY22" s="93"/>
      <c r="CXZ22" s="93"/>
      <c r="CYA22" s="93"/>
      <c r="CYB22" s="93"/>
      <c r="CYC22" s="93"/>
      <c r="CYD22" s="93"/>
      <c r="CYE22" s="93"/>
      <c r="CYF22" s="93"/>
      <c r="CYG22" s="93"/>
      <c r="CYH22" s="93"/>
      <c r="CYI22" s="93"/>
      <c r="CYJ22" s="93"/>
      <c r="CYK22" s="93"/>
      <c r="CYL22" s="93"/>
      <c r="CYM22" s="93"/>
      <c r="CYN22" s="93"/>
      <c r="CYO22" s="93"/>
      <c r="CYP22" s="93"/>
      <c r="CYQ22" s="93"/>
      <c r="CYR22" s="93"/>
      <c r="CYS22" s="93"/>
      <c r="CYT22" s="93"/>
      <c r="CYU22" s="93"/>
      <c r="CYV22" s="93"/>
      <c r="CYW22" s="93"/>
      <c r="CYX22" s="93"/>
      <c r="CYY22" s="93"/>
      <c r="CYZ22" s="93"/>
      <c r="CZA22" s="93"/>
      <c r="CZB22" s="93"/>
      <c r="CZC22" s="93"/>
      <c r="CZD22" s="93"/>
      <c r="CZE22" s="93"/>
      <c r="CZF22" s="93"/>
      <c r="CZG22" s="93"/>
      <c r="CZH22" s="93"/>
      <c r="CZI22" s="93"/>
      <c r="CZJ22" s="93"/>
      <c r="CZK22" s="93"/>
      <c r="CZL22" s="93"/>
      <c r="CZM22" s="93"/>
      <c r="CZN22" s="93"/>
      <c r="CZO22" s="93"/>
      <c r="CZP22" s="93"/>
      <c r="CZQ22" s="93"/>
      <c r="CZR22" s="93"/>
      <c r="CZS22" s="93"/>
      <c r="CZT22" s="93"/>
      <c r="CZU22" s="93"/>
      <c r="CZV22" s="93"/>
      <c r="CZW22" s="93"/>
      <c r="CZX22" s="93"/>
      <c r="CZY22" s="93"/>
      <c r="CZZ22" s="93"/>
      <c r="DAA22" s="93"/>
      <c r="DAB22" s="93"/>
      <c r="DAC22" s="93"/>
      <c r="DAD22" s="93"/>
      <c r="DAE22" s="93"/>
      <c r="DAF22" s="93"/>
      <c r="DAG22" s="93"/>
      <c r="DAH22" s="93"/>
      <c r="DAI22" s="93"/>
      <c r="DAJ22" s="93"/>
      <c r="DAK22" s="93"/>
      <c r="DAL22" s="93"/>
      <c r="DAM22" s="93"/>
      <c r="DAN22" s="93"/>
      <c r="DAO22" s="93"/>
      <c r="DAP22" s="93"/>
      <c r="DAQ22" s="93"/>
      <c r="DAR22" s="93"/>
      <c r="DAS22" s="93"/>
      <c r="DAT22" s="93"/>
      <c r="DAU22" s="93"/>
      <c r="DAV22" s="93"/>
      <c r="DAW22" s="93"/>
      <c r="DAX22" s="93"/>
      <c r="DAY22" s="93"/>
      <c r="DAZ22" s="93"/>
      <c r="DBA22" s="93"/>
      <c r="DBB22" s="93"/>
      <c r="DBC22" s="93"/>
      <c r="DBD22" s="93"/>
      <c r="DBE22" s="93"/>
      <c r="DBF22" s="93"/>
      <c r="DBG22" s="93"/>
      <c r="DBH22" s="93"/>
      <c r="DBI22" s="93"/>
      <c r="DBJ22" s="93"/>
      <c r="DBK22" s="93"/>
      <c r="DBL22" s="93"/>
      <c r="DBM22" s="93"/>
      <c r="DBN22" s="93"/>
      <c r="DBO22" s="93"/>
      <c r="DBP22" s="93"/>
      <c r="DBQ22" s="93"/>
      <c r="DBR22" s="93"/>
      <c r="DBS22" s="93"/>
      <c r="DBT22" s="93"/>
      <c r="DBU22" s="93"/>
      <c r="DBV22" s="93"/>
      <c r="DBW22" s="93"/>
      <c r="DBX22" s="93"/>
      <c r="DBY22" s="93"/>
      <c r="DBZ22" s="93"/>
      <c r="DCA22" s="93"/>
      <c r="DCB22" s="93"/>
      <c r="DCC22" s="93"/>
      <c r="DCD22" s="93"/>
      <c r="DCE22" s="93"/>
      <c r="DCF22" s="93"/>
      <c r="DCG22" s="93"/>
      <c r="DCH22" s="93"/>
      <c r="DCI22" s="93"/>
      <c r="DCJ22" s="93"/>
      <c r="DCK22" s="93"/>
      <c r="DCL22" s="93"/>
      <c r="DCM22" s="93"/>
      <c r="DCN22" s="93"/>
      <c r="DCO22" s="93"/>
      <c r="DCP22" s="93"/>
      <c r="DCQ22" s="93"/>
      <c r="DCR22" s="93"/>
      <c r="DCS22" s="93"/>
      <c r="DCT22" s="93"/>
      <c r="DCU22" s="93"/>
      <c r="DCV22" s="93"/>
      <c r="DCW22" s="93"/>
      <c r="DCX22" s="93"/>
      <c r="DCY22" s="93"/>
      <c r="DCZ22" s="93"/>
      <c r="DDA22" s="93"/>
      <c r="DDB22" s="93"/>
      <c r="DDC22" s="93"/>
      <c r="DDD22" s="93"/>
      <c r="DDE22" s="93"/>
      <c r="DDF22" s="93"/>
      <c r="DDG22" s="93"/>
      <c r="DDH22" s="93"/>
      <c r="DDI22" s="93"/>
      <c r="DDJ22" s="93"/>
      <c r="DDK22" s="93"/>
      <c r="DDL22" s="93"/>
      <c r="DDM22" s="93"/>
      <c r="DDN22" s="93"/>
      <c r="DDO22" s="93"/>
      <c r="DDP22" s="93"/>
      <c r="DDQ22" s="93"/>
      <c r="DDR22" s="93"/>
      <c r="DDS22" s="93"/>
      <c r="DDT22" s="93"/>
      <c r="DDU22" s="93"/>
      <c r="DDV22" s="93"/>
      <c r="DDW22" s="93"/>
      <c r="DDX22" s="93"/>
      <c r="DDY22" s="93"/>
      <c r="DDZ22" s="93"/>
      <c r="DEA22" s="93"/>
      <c r="DEB22" s="93"/>
      <c r="DEC22" s="93"/>
      <c r="DED22" s="93"/>
      <c r="DEE22" s="93"/>
      <c r="DEF22" s="93"/>
      <c r="DEG22" s="93"/>
      <c r="DEH22" s="93"/>
      <c r="DEI22" s="93"/>
      <c r="DEJ22" s="93"/>
      <c r="DEK22" s="93"/>
      <c r="DEL22" s="93"/>
      <c r="DEM22" s="93"/>
      <c r="DEN22" s="93"/>
      <c r="DEO22" s="93"/>
      <c r="DEP22" s="93"/>
      <c r="DEQ22" s="93"/>
      <c r="DER22" s="93"/>
      <c r="DES22" s="93"/>
      <c r="DET22" s="93"/>
      <c r="DEU22" s="93"/>
      <c r="DEV22" s="93"/>
      <c r="DEW22" s="93"/>
      <c r="DEX22" s="93"/>
      <c r="DEY22" s="93"/>
      <c r="DEZ22" s="93"/>
      <c r="DFA22" s="93"/>
      <c r="DFB22" s="93"/>
      <c r="DFC22" s="93"/>
      <c r="DFD22" s="93"/>
      <c r="DFE22" s="93"/>
      <c r="DFF22" s="93"/>
      <c r="DFG22" s="93"/>
      <c r="DFH22" s="93"/>
      <c r="DFI22" s="93"/>
      <c r="DFJ22" s="93"/>
      <c r="DFK22" s="93"/>
      <c r="DFL22" s="93"/>
      <c r="DFM22" s="93"/>
      <c r="DFN22" s="93"/>
      <c r="DFO22" s="93"/>
      <c r="DFP22" s="93"/>
      <c r="DFQ22" s="93"/>
      <c r="DFR22" s="93"/>
      <c r="DFS22" s="93"/>
      <c r="DFT22" s="93"/>
      <c r="DFU22" s="93"/>
      <c r="DFV22" s="93"/>
      <c r="DFW22" s="93"/>
      <c r="DFX22" s="93"/>
      <c r="DFY22" s="93"/>
      <c r="DFZ22" s="93"/>
      <c r="DGA22" s="93"/>
      <c r="DGB22" s="93"/>
      <c r="DGC22" s="93"/>
      <c r="DGD22" s="93"/>
      <c r="DGE22" s="93"/>
      <c r="DGF22" s="93"/>
      <c r="DGG22" s="93"/>
      <c r="DGH22" s="93"/>
      <c r="DGI22" s="93"/>
      <c r="DGJ22" s="93"/>
      <c r="DGK22" s="93"/>
      <c r="DGL22" s="93"/>
      <c r="DGM22" s="93"/>
      <c r="DGN22" s="93"/>
      <c r="DGO22" s="93"/>
      <c r="DGP22" s="93"/>
      <c r="DGQ22" s="93"/>
      <c r="DGR22" s="93"/>
      <c r="DGS22" s="93"/>
      <c r="DGT22" s="93"/>
      <c r="DGU22" s="93"/>
      <c r="DGV22" s="93"/>
      <c r="DGW22" s="93"/>
      <c r="DGX22" s="93"/>
      <c r="DGY22" s="93"/>
      <c r="DGZ22" s="93"/>
      <c r="DHA22" s="93"/>
      <c r="DHB22" s="93"/>
      <c r="DHC22" s="93"/>
      <c r="DHD22" s="93"/>
      <c r="DHE22" s="93"/>
      <c r="DHF22" s="93"/>
      <c r="DHG22" s="93"/>
      <c r="DHH22" s="93"/>
      <c r="DHI22" s="93"/>
      <c r="DHJ22" s="93"/>
      <c r="DHK22" s="93"/>
      <c r="DHL22" s="93"/>
      <c r="DHM22" s="93"/>
      <c r="DHN22" s="93"/>
      <c r="DHO22" s="93"/>
      <c r="DHP22" s="93"/>
      <c r="DHQ22" s="93"/>
      <c r="DHR22" s="93"/>
      <c r="DHS22" s="93"/>
      <c r="DHT22" s="93"/>
      <c r="DHU22" s="93"/>
      <c r="DHV22" s="93"/>
      <c r="DHW22" s="93"/>
      <c r="DHX22" s="93"/>
      <c r="DHY22" s="93"/>
      <c r="DHZ22" s="93"/>
      <c r="DIA22" s="93"/>
      <c r="DIB22" s="93"/>
      <c r="DIC22" s="93"/>
      <c r="DID22" s="93"/>
      <c r="DIE22" s="93"/>
      <c r="DIF22" s="93"/>
      <c r="DIG22" s="93"/>
      <c r="DIH22" s="93"/>
      <c r="DII22" s="93"/>
      <c r="DIJ22" s="93"/>
      <c r="DIK22" s="93"/>
      <c r="DIL22" s="93"/>
      <c r="DIM22" s="93"/>
      <c r="DIN22" s="93"/>
      <c r="DIO22" s="93"/>
      <c r="DIP22" s="93"/>
      <c r="DIQ22" s="93"/>
      <c r="DIR22" s="93"/>
      <c r="DIS22" s="93"/>
      <c r="DIT22" s="93"/>
      <c r="DIU22" s="93"/>
      <c r="DIV22" s="93"/>
      <c r="DIW22" s="93"/>
      <c r="DIX22" s="93"/>
      <c r="DIY22" s="93"/>
      <c r="DIZ22" s="93"/>
      <c r="DJA22" s="93"/>
      <c r="DJB22" s="93"/>
      <c r="DJC22" s="93"/>
      <c r="DJD22" s="93"/>
      <c r="DJE22" s="93"/>
      <c r="DJF22" s="93"/>
      <c r="DJG22" s="93"/>
      <c r="DJH22" s="93"/>
      <c r="DJI22" s="93"/>
      <c r="DJJ22" s="93"/>
      <c r="DJK22" s="93"/>
      <c r="DJL22" s="93"/>
      <c r="DJM22" s="93"/>
      <c r="DJN22" s="93"/>
      <c r="DJO22" s="93"/>
      <c r="DJP22" s="93"/>
      <c r="DJQ22" s="93"/>
      <c r="DJR22" s="93"/>
      <c r="DJS22" s="93"/>
      <c r="DJT22" s="93"/>
      <c r="DJU22" s="93"/>
      <c r="DJV22" s="93"/>
      <c r="DJW22" s="93"/>
      <c r="DJX22" s="93"/>
      <c r="DJY22" s="93"/>
      <c r="DJZ22" s="93"/>
      <c r="DKA22" s="93"/>
      <c r="DKB22" s="93"/>
      <c r="DKC22" s="93"/>
      <c r="DKD22" s="93"/>
      <c r="DKE22" s="93"/>
      <c r="DKF22" s="93"/>
      <c r="DKG22" s="93"/>
      <c r="DKH22" s="93"/>
      <c r="DKI22" s="93"/>
      <c r="DKJ22" s="93"/>
      <c r="DKK22" s="93"/>
      <c r="DKL22" s="93"/>
      <c r="DKM22" s="93"/>
      <c r="DKN22" s="93"/>
      <c r="DKO22" s="93"/>
      <c r="DKP22" s="93"/>
      <c r="DKQ22" s="93"/>
      <c r="DKR22" s="93"/>
      <c r="DKS22" s="93"/>
      <c r="DKT22" s="93"/>
      <c r="DKU22" s="93"/>
      <c r="DKV22" s="93"/>
      <c r="DKW22" s="93"/>
      <c r="DKX22" s="93"/>
      <c r="DKY22" s="93"/>
      <c r="DKZ22" s="93"/>
      <c r="DLA22" s="93"/>
      <c r="DLB22" s="93"/>
      <c r="DLC22" s="93"/>
      <c r="DLD22" s="93"/>
      <c r="DLE22" s="93"/>
      <c r="DLF22" s="93"/>
      <c r="DLG22" s="93"/>
      <c r="DLH22" s="93"/>
      <c r="DLI22" s="93"/>
      <c r="DLJ22" s="93"/>
      <c r="DLK22" s="93"/>
      <c r="DLL22" s="93"/>
      <c r="DLM22" s="93"/>
      <c r="DLN22" s="93"/>
      <c r="DLO22" s="93"/>
      <c r="DLP22" s="93"/>
      <c r="DLQ22" s="93"/>
      <c r="DLR22" s="93"/>
      <c r="DLS22" s="93"/>
      <c r="DLT22" s="93"/>
      <c r="DLU22" s="93"/>
      <c r="DLV22" s="93"/>
      <c r="DLW22" s="93"/>
      <c r="DLX22" s="93"/>
      <c r="DLY22" s="93"/>
      <c r="DLZ22" s="93"/>
      <c r="DMA22" s="93"/>
      <c r="DMB22" s="93"/>
      <c r="DMC22" s="93"/>
      <c r="DMD22" s="93"/>
      <c r="DME22" s="93"/>
      <c r="DMF22" s="93"/>
      <c r="DMG22" s="93"/>
      <c r="DMH22" s="93"/>
      <c r="DMI22" s="93"/>
      <c r="DMJ22" s="93"/>
      <c r="DMK22" s="93"/>
      <c r="DML22" s="93"/>
      <c r="DMM22" s="93"/>
      <c r="DMN22" s="93"/>
      <c r="DMO22" s="93"/>
      <c r="DMP22" s="93"/>
      <c r="DMQ22" s="93"/>
      <c r="DMR22" s="93"/>
      <c r="DMS22" s="93"/>
      <c r="DMT22" s="93"/>
      <c r="DMU22" s="93"/>
      <c r="DMV22" s="93"/>
      <c r="DMW22" s="93"/>
      <c r="DMX22" s="93"/>
      <c r="DMY22" s="93"/>
      <c r="DMZ22" s="93"/>
      <c r="DNA22" s="93"/>
      <c r="DNB22" s="93"/>
      <c r="DNC22" s="93"/>
      <c r="DND22" s="93"/>
      <c r="DNE22" s="93"/>
      <c r="DNF22" s="93"/>
      <c r="DNG22" s="93"/>
      <c r="DNH22" s="93"/>
      <c r="DNI22" s="93"/>
      <c r="DNJ22" s="93"/>
      <c r="DNK22" s="93"/>
      <c r="DNL22" s="93"/>
      <c r="DNM22" s="93"/>
      <c r="DNN22" s="93"/>
      <c r="DNO22" s="93"/>
      <c r="DNP22" s="93"/>
      <c r="DNQ22" s="93"/>
      <c r="DNR22" s="93"/>
      <c r="DNS22" s="93"/>
      <c r="DNT22" s="93"/>
      <c r="DNU22" s="93"/>
      <c r="DNV22" s="93"/>
      <c r="DNW22" s="93"/>
      <c r="DNX22" s="93"/>
      <c r="DNY22" s="93"/>
      <c r="DNZ22" s="93"/>
      <c r="DOA22" s="93"/>
      <c r="DOB22" s="93"/>
      <c r="DOC22" s="93"/>
      <c r="DOD22" s="93"/>
      <c r="DOE22" s="93"/>
      <c r="DOF22" s="93"/>
      <c r="DOG22" s="93"/>
      <c r="DOH22" s="93"/>
      <c r="DOI22" s="93"/>
      <c r="DOJ22" s="93"/>
      <c r="DOK22" s="93"/>
      <c r="DOL22" s="93"/>
      <c r="DOM22" s="93"/>
      <c r="DON22" s="93"/>
      <c r="DOO22" s="93"/>
      <c r="DOP22" s="93"/>
      <c r="DOQ22" s="93"/>
      <c r="DOR22" s="93"/>
      <c r="DOS22" s="93"/>
      <c r="DOT22" s="93"/>
      <c r="DOU22" s="93"/>
      <c r="DOV22" s="93"/>
      <c r="DOW22" s="93"/>
      <c r="DOX22" s="93"/>
      <c r="DOY22" s="93"/>
      <c r="DOZ22" s="93"/>
      <c r="DPA22" s="93"/>
      <c r="DPB22" s="93"/>
      <c r="DPC22" s="93"/>
      <c r="DPD22" s="93"/>
      <c r="DPE22" s="93"/>
      <c r="DPF22" s="93"/>
      <c r="DPG22" s="93"/>
      <c r="DPH22" s="93"/>
      <c r="DPI22" s="93"/>
      <c r="DPJ22" s="93"/>
      <c r="DPK22" s="93"/>
      <c r="DPL22" s="93"/>
      <c r="DPM22" s="93"/>
      <c r="DPN22" s="93"/>
      <c r="DPO22" s="93"/>
      <c r="DPP22" s="93"/>
      <c r="DPQ22" s="93"/>
      <c r="DPR22" s="93"/>
      <c r="DPS22" s="93"/>
      <c r="DPT22" s="93"/>
      <c r="DPU22" s="93"/>
      <c r="DPV22" s="93"/>
      <c r="DPW22" s="93"/>
      <c r="DPX22" s="93"/>
      <c r="DPY22" s="93"/>
      <c r="DPZ22" s="93"/>
      <c r="DQA22" s="93"/>
      <c r="DQB22" s="93"/>
      <c r="DQC22" s="93"/>
      <c r="DQD22" s="93"/>
      <c r="DQE22" s="93"/>
      <c r="DQF22" s="93"/>
      <c r="DQG22" s="93"/>
      <c r="DQH22" s="93"/>
      <c r="DQI22" s="93"/>
      <c r="DQJ22" s="93"/>
      <c r="DQK22" s="93"/>
      <c r="DQL22" s="93"/>
      <c r="DQM22" s="93"/>
      <c r="DQN22" s="93"/>
      <c r="DQO22" s="93"/>
      <c r="DQP22" s="93"/>
      <c r="DQQ22" s="93"/>
      <c r="DQR22" s="93"/>
      <c r="DQS22" s="93"/>
      <c r="DQT22" s="93"/>
      <c r="DQU22" s="93"/>
      <c r="DQV22" s="93"/>
      <c r="DQW22" s="93"/>
      <c r="DQX22" s="93"/>
      <c r="DQY22" s="93"/>
      <c r="DQZ22" s="93"/>
      <c r="DRA22" s="93"/>
      <c r="DRB22" s="93"/>
      <c r="DRC22" s="93"/>
      <c r="DRD22" s="93"/>
      <c r="DRE22" s="93"/>
      <c r="DRF22" s="93"/>
      <c r="DRG22" s="93"/>
      <c r="DRH22" s="93"/>
      <c r="DRI22" s="93"/>
      <c r="DRJ22" s="93"/>
      <c r="DRK22" s="93"/>
      <c r="DRL22" s="93"/>
      <c r="DRM22" s="93"/>
      <c r="DRN22" s="93"/>
      <c r="DRO22" s="93"/>
      <c r="DRP22" s="93"/>
      <c r="DRQ22" s="93"/>
      <c r="DRR22" s="93"/>
      <c r="DRS22" s="93"/>
      <c r="DRT22" s="93"/>
      <c r="DRU22" s="93"/>
      <c r="DRV22" s="93"/>
      <c r="DRW22" s="93"/>
      <c r="DRX22" s="93"/>
      <c r="DRY22" s="93"/>
      <c r="DRZ22" s="93"/>
      <c r="DSA22" s="93"/>
      <c r="DSB22" s="93"/>
      <c r="DSC22" s="93"/>
      <c r="DSD22" s="93"/>
      <c r="DSE22" s="93"/>
      <c r="DSF22" s="93"/>
      <c r="DSG22" s="93"/>
      <c r="DSH22" s="93"/>
      <c r="DSI22" s="93"/>
      <c r="DSJ22" s="93"/>
      <c r="DSK22" s="93"/>
      <c r="DSL22" s="93"/>
      <c r="DSM22" s="93"/>
      <c r="DSN22" s="93"/>
      <c r="DSO22" s="93"/>
      <c r="DSP22" s="93"/>
      <c r="DSQ22" s="93"/>
      <c r="DSR22" s="93"/>
      <c r="DSS22" s="93"/>
      <c r="DST22" s="93"/>
      <c r="DSU22" s="93"/>
      <c r="DSV22" s="93"/>
      <c r="DSW22" s="93"/>
      <c r="DSX22" s="93"/>
      <c r="DSY22" s="93"/>
      <c r="DSZ22" s="93"/>
      <c r="DTA22" s="93"/>
      <c r="DTB22" s="93"/>
      <c r="DTC22" s="93"/>
      <c r="DTD22" s="93"/>
      <c r="DTE22" s="93"/>
      <c r="DTF22" s="93"/>
      <c r="DTG22" s="93"/>
      <c r="DTH22" s="93"/>
      <c r="DTI22" s="93"/>
      <c r="DTJ22" s="93"/>
      <c r="DTK22" s="93"/>
      <c r="DTL22" s="93"/>
      <c r="DTM22" s="93"/>
      <c r="DTN22" s="93"/>
      <c r="DTO22" s="93"/>
      <c r="DTP22" s="93"/>
      <c r="DTQ22" s="93"/>
      <c r="DTR22" s="93"/>
      <c r="DTS22" s="93"/>
      <c r="DTT22" s="93"/>
      <c r="DTU22" s="93"/>
      <c r="DTV22" s="93"/>
      <c r="DTW22" s="93"/>
      <c r="DTX22" s="93"/>
      <c r="DTY22" s="93"/>
      <c r="DTZ22" s="93"/>
      <c r="DUA22" s="93"/>
      <c r="DUB22" s="93"/>
      <c r="DUC22" s="93"/>
      <c r="DUD22" s="93"/>
      <c r="DUE22" s="93"/>
      <c r="DUF22" s="93"/>
      <c r="DUG22" s="93"/>
      <c r="DUH22" s="93"/>
      <c r="DUI22" s="93"/>
      <c r="DUJ22" s="93"/>
      <c r="DUK22" s="93"/>
      <c r="DUL22" s="93"/>
      <c r="DUM22" s="93"/>
      <c r="DUN22" s="93"/>
      <c r="DUO22" s="93"/>
      <c r="DUP22" s="93"/>
      <c r="DUQ22" s="93"/>
      <c r="DUR22" s="93"/>
      <c r="DUS22" s="93"/>
      <c r="DUT22" s="93"/>
      <c r="DUU22" s="93"/>
      <c r="DUV22" s="93"/>
      <c r="DUW22" s="93"/>
      <c r="DUX22" s="93"/>
      <c r="DUY22" s="93"/>
      <c r="DUZ22" s="93"/>
      <c r="DVA22" s="93"/>
      <c r="DVB22" s="93"/>
      <c r="DVC22" s="93"/>
      <c r="DVD22" s="93"/>
      <c r="DVE22" s="93"/>
      <c r="DVF22" s="93"/>
      <c r="DVG22" s="93"/>
      <c r="DVH22" s="93"/>
      <c r="DVI22" s="93"/>
      <c r="DVJ22" s="93"/>
      <c r="DVK22" s="93"/>
      <c r="DVL22" s="93"/>
      <c r="DVM22" s="93"/>
      <c r="DVN22" s="93"/>
      <c r="DVO22" s="93"/>
      <c r="DVP22" s="93"/>
      <c r="DVQ22" s="93"/>
      <c r="DVR22" s="93"/>
      <c r="DVS22" s="93"/>
      <c r="DVT22" s="93"/>
      <c r="DVU22" s="93"/>
      <c r="DVV22" s="93"/>
      <c r="DVW22" s="93"/>
      <c r="DVX22" s="93"/>
      <c r="DVY22" s="93"/>
      <c r="DVZ22" s="93"/>
      <c r="DWA22" s="93"/>
      <c r="DWB22" s="93"/>
      <c r="DWC22" s="93"/>
      <c r="DWD22" s="93"/>
      <c r="DWE22" s="93"/>
      <c r="DWF22" s="93"/>
      <c r="DWG22" s="93"/>
      <c r="DWH22" s="93"/>
      <c r="DWI22" s="93"/>
      <c r="DWJ22" s="93"/>
      <c r="DWK22" s="93"/>
      <c r="DWL22" s="93"/>
      <c r="DWM22" s="93"/>
      <c r="DWN22" s="93"/>
      <c r="DWO22" s="93"/>
      <c r="DWP22" s="93"/>
      <c r="DWQ22" s="93"/>
      <c r="DWR22" s="93"/>
      <c r="DWS22" s="93"/>
      <c r="DWT22" s="93"/>
      <c r="DWU22" s="93"/>
      <c r="DWV22" s="93"/>
      <c r="DWW22" s="93"/>
      <c r="DWX22" s="93"/>
      <c r="DWY22" s="93"/>
      <c r="DWZ22" s="93"/>
      <c r="DXA22" s="93"/>
      <c r="DXB22" s="93"/>
      <c r="DXC22" s="93"/>
      <c r="DXD22" s="93"/>
      <c r="DXE22" s="93"/>
      <c r="DXF22" s="93"/>
      <c r="DXG22" s="93"/>
      <c r="DXH22" s="93"/>
      <c r="DXI22" s="93"/>
      <c r="DXJ22" s="93"/>
      <c r="DXK22" s="93"/>
      <c r="DXL22" s="93"/>
      <c r="DXM22" s="93"/>
      <c r="DXN22" s="93"/>
      <c r="DXO22" s="93"/>
      <c r="DXP22" s="93"/>
      <c r="DXQ22" s="93"/>
      <c r="DXR22" s="93"/>
      <c r="DXS22" s="93"/>
      <c r="DXT22" s="93"/>
      <c r="DXU22" s="93"/>
      <c r="DXV22" s="93"/>
      <c r="DXW22" s="93"/>
      <c r="DXX22" s="93"/>
      <c r="DXY22" s="93"/>
      <c r="DXZ22" s="93"/>
      <c r="DYA22" s="93"/>
      <c r="DYB22" s="93"/>
      <c r="DYC22" s="93"/>
      <c r="DYD22" s="93"/>
      <c r="DYE22" s="93"/>
      <c r="DYF22" s="93"/>
      <c r="DYG22" s="93"/>
      <c r="DYH22" s="93"/>
      <c r="DYI22" s="93"/>
      <c r="DYJ22" s="93"/>
      <c r="DYK22" s="93"/>
      <c r="DYL22" s="93"/>
      <c r="DYM22" s="93"/>
      <c r="DYN22" s="93"/>
      <c r="DYO22" s="93"/>
      <c r="DYP22" s="93"/>
      <c r="DYQ22" s="93"/>
      <c r="DYR22" s="93"/>
      <c r="DYS22" s="93"/>
      <c r="DYT22" s="93"/>
      <c r="DYU22" s="93"/>
      <c r="DYV22" s="93"/>
      <c r="DYW22" s="93"/>
      <c r="DYX22" s="93"/>
      <c r="DYY22" s="93"/>
      <c r="DYZ22" s="93"/>
      <c r="DZA22" s="93"/>
      <c r="DZB22" s="93"/>
      <c r="DZC22" s="93"/>
      <c r="DZD22" s="93"/>
      <c r="DZE22" s="93"/>
      <c r="DZF22" s="93"/>
      <c r="DZG22" s="93"/>
      <c r="DZH22" s="93"/>
      <c r="DZI22" s="93"/>
      <c r="DZJ22" s="93"/>
      <c r="DZK22" s="93"/>
      <c r="DZL22" s="93"/>
      <c r="DZM22" s="93"/>
      <c r="DZN22" s="93"/>
      <c r="DZO22" s="93"/>
      <c r="DZP22" s="93"/>
      <c r="DZQ22" s="93"/>
      <c r="DZR22" s="93"/>
      <c r="DZS22" s="93"/>
      <c r="DZT22" s="93"/>
      <c r="DZU22" s="93"/>
      <c r="DZV22" s="93"/>
      <c r="DZW22" s="93"/>
      <c r="DZX22" s="93"/>
      <c r="DZY22" s="93"/>
      <c r="DZZ22" s="93"/>
      <c r="EAA22" s="93"/>
      <c r="EAB22" s="93"/>
      <c r="EAC22" s="93"/>
      <c r="EAD22" s="93"/>
      <c r="EAE22" s="93"/>
      <c r="EAF22" s="93"/>
      <c r="EAG22" s="93"/>
      <c r="EAH22" s="93"/>
      <c r="EAI22" s="93"/>
      <c r="EAJ22" s="93"/>
      <c r="EAK22" s="93"/>
      <c r="EAL22" s="93"/>
      <c r="EAM22" s="93"/>
      <c r="EAN22" s="93"/>
      <c r="EAO22" s="93"/>
      <c r="EAP22" s="93"/>
      <c r="EAQ22" s="93"/>
      <c r="EAR22" s="93"/>
      <c r="EAS22" s="93"/>
      <c r="EAT22" s="93"/>
      <c r="EAU22" s="93"/>
      <c r="EAV22" s="93"/>
      <c r="EAW22" s="93"/>
      <c r="EAX22" s="93"/>
      <c r="EAY22" s="93"/>
      <c r="EAZ22" s="93"/>
      <c r="EBA22" s="93"/>
      <c r="EBB22" s="93"/>
      <c r="EBC22" s="93"/>
      <c r="EBD22" s="93"/>
      <c r="EBE22" s="93"/>
      <c r="EBF22" s="93"/>
      <c r="EBG22" s="93"/>
      <c r="EBH22" s="93"/>
      <c r="EBI22" s="93"/>
      <c r="EBJ22" s="93"/>
      <c r="EBK22" s="93"/>
      <c r="EBL22" s="93"/>
      <c r="EBM22" s="93"/>
      <c r="EBN22" s="93"/>
      <c r="EBO22" s="93"/>
      <c r="EBP22" s="93"/>
      <c r="EBQ22" s="93"/>
      <c r="EBR22" s="93"/>
      <c r="EBS22" s="93"/>
      <c r="EBT22" s="93"/>
      <c r="EBU22" s="93"/>
      <c r="EBV22" s="93"/>
      <c r="EBW22" s="93"/>
      <c r="EBX22" s="93"/>
      <c r="EBY22" s="93"/>
      <c r="EBZ22" s="93"/>
      <c r="ECA22" s="93"/>
      <c r="ECB22" s="93"/>
      <c r="ECC22" s="93"/>
      <c r="ECD22" s="93"/>
      <c r="ECE22" s="93"/>
      <c r="ECF22" s="93"/>
      <c r="ECG22" s="93"/>
      <c r="ECH22" s="93"/>
      <c r="ECI22" s="93"/>
      <c r="ECJ22" s="93"/>
      <c r="ECK22" s="93"/>
      <c r="ECL22" s="93"/>
      <c r="ECM22" s="93"/>
      <c r="ECN22" s="93"/>
      <c r="ECO22" s="93"/>
      <c r="ECP22" s="93"/>
      <c r="ECQ22" s="93"/>
      <c r="ECR22" s="93"/>
      <c r="ECS22" s="93"/>
      <c r="ECT22" s="93"/>
      <c r="ECU22" s="93"/>
      <c r="ECV22" s="93"/>
      <c r="ECW22" s="93"/>
      <c r="ECX22" s="93"/>
      <c r="ECY22" s="93"/>
      <c r="ECZ22" s="93"/>
      <c r="EDA22" s="93"/>
      <c r="EDB22" s="93"/>
      <c r="EDC22" s="93"/>
      <c r="EDD22" s="93"/>
      <c r="EDE22" s="93"/>
      <c r="EDF22" s="93"/>
      <c r="EDG22" s="93"/>
      <c r="EDH22" s="93"/>
      <c r="EDI22" s="93"/>
      <c r="EDJ22" s="93"/>
      <c r="EDK22" s="93"/>
      <c r="EDL22" s="93"/>
      <c r="EDM22" s="93"/>
      <c r="EDN22" s="93"/>
      <c r="EDO22" s="93"/>
      <c r="EDP22" s="93"/>
      <c r="EDQ22" s="93"/>
      <c r="EDR22" s="93"/>
      <c r="EDS22" s="93"/>
      <c r="EDT22" s="93"/>
      <c r="EDU22" s="93"/>
      <c r="EDV22" s="93"/>
      <c r="EDW22" s="93"/>
      <c r="EDX22" s="93"/>
      <c r="EDY22" s="93"/>
      <c r="EDZ22" s="93"/>
      <c r="EEA22" s="93"/>
      <c r="EEB22" s="93"/>
      <c r="EEC22" s="93"/>
      <c r="EED22" s="93"/>
      <c r="EEE22" s="93"/>
      <c r="EEF22" s="93"/>
      <c r="EEG22" s="93"/>
      <c r="EEH22" s="93"/>
      <c r="EEI22" s="93"/>
      <c r="EEJ22" s="93"/>
      <c r="EEK22" s="93"/>
      <c r="EEL22" s="93"/>
      <c r="EEM22" s="93"/>
      <c r="EEN22" s="93"/>
      <c r="EEO22" s="93"/>
      <c r="EEP22" s="93"/>
      <c r="EEQ22" s="93"/>
      <c r="EER22" s="93"/>
      <c r="EES22" s="93"/>
      <c r="EET22" s="93"/>
      <c r="EEU22" s="93"/>
      <c r="EEV22" s="93"/>
      <c r="EEW22" s="93"/>
      <c r="EEX22" s="93"/>
      <c r="EEY22" s="93"/>
      <c r="EEZ22" s="93"/>
      <c r="EFA22" s="93"/>
      <c r="EFB22" s="93"/>
      <c r="EFC22" s="93"/>
      <c r="EFD22" s="93"/>
      <c r="EFE22" s="93"/>
      <c r="EFF22" s="93"/>
      <c r="EFG22" s="93"/>
      <c r="EFH22" s="93"/>
      <c r="EFI22" s="93"/>
      <c r="EFJ22" s="93"/>
      <c r="EFK22" s="93"/>
      <c r="EFL22" s="93"/>
      <c r="EFM22" s="93"/>
      <c r="EFN22" s="93"/>
      <c r="EFO22" s="93"/>
      <c r="EFP22" s="93"/>
      <c r="EFQ22" s="93"/>
      <c r="EFR22" s="93"/>
      <c r="EFS22" s="93"/>
      <c r="EFT22" s="93"/>
      <c r="EFU22" s="93"/>
      <c r="EFV22" s="93"/>
      <c r="EFW22" s="93"/>
      <c r="EFX22" s="93"/>
      <c r="EFY22" s="93"/>
      <c r="EFZ22" s="93"/>
      <c r="EGA22" s="93"/>
      <c r="EGB22" s="93"/>
      <c r="EGC22" s="93"/>
      <c r="EGD22" s="93"/>
      <c r="EGE22" s="93"/>
      <c r="EGF22" s="93"/>
      <c r="EGG22" s="93"/>
      <c r="EGH22" s="93"/>
      <c r="EGI22" s="93"/>
      <c r="EGJ22" s="93"/>
      <c r="EGK22" s="93"/>
      <c r="EGL22" s="93"/>
      <c r="EGM22" s="93"/>
      <c r="EGN22" s="93"/>
      <c r="EGO22" s="93"/>
      <c r="EGP22" s="93"/>
      <c r="EGQ22" s="93"/>
      <c r="EGR22" s="93"/>
      <c r="EGS22" s="93"/>
      <c r="EGT22" s="93"/>
      <c r="EGU22" s="93"/>
      <c r="EGV22" s="93"/>
      <c r="EGW22" s="93"/>
      <c r="EGX22" s="93"/>
      <c r="EGY22" s="93"/>
      <c r="EGZ22" s="93"/>
      <c r="EHA22" s="93"/>
      <c r="EHB22" s="93"/>
      <c r="EHC22" s="93"/>
      <c r="EHD22" s="93"/>
      <c r="EHE22" s="93"/>
      <c r="EHF22" s="93"/>
      <c r="EHG22" s="93"/>
      <c r="EHH22" s="93"/>
      <c r="EHI22" s="93"/>
      <c r="EHJ22" s="93"/>
      <c r="EHK22" s="93"/>
      <c r="EHL22" s="93"/>
      <c r="EHM22" s="93"/>
      <c r="EHN22" s="93"/>
      <c r="EHO22" s="93"/>
      <c r="EHP22" s="93"/>
      <c r="EHQ22" s="93"/>
      <c r="EHR22" s="93"/>
      <c r="EHS22" s="93"/>
      <c r="EHT22" s="93"/>
      <c r="EHU22" s="93"/>
      <c r="EHV22" s="93"/>
      <c r="EHW22" s="93"/>
      <c r="EHX22" s="93"/>
      <c r="EHY22" s="93"/>
      <c r="EHZ22" s="93"/>
      <c r="EIA22" s="93"/>
      <c r="EIB22" s="93"/>
      <c r="EIC22" s="93"/>
      <c r="EID22" s="93"/>
      <c r="EIE22" s="93"/>
      <c r="EIF22" s="93"/>
      <c r="EIG22" s="93"/>
      <c r="EIH22" s="93"/>
      <c r="EII22" s="93"/>
      <c r="EIJ22" s="93"/>
      <c r="EIK22" s="93"/>
      <c r="EIL22" s="93"/>
      <c r="EIM22" s="93"/>
      <c r="EIN22" s="93"/>
      <c r="EIO22" s="93"/>
      <c r="EIP22" s="93"/>
      <c r="EIQ22" s="93"/>
      <c r="EIR22" s="93"/>
      <c r="EIS22" s="93"/>
      <c r="EIT22" s="93"/>
      <c r="EIU22" s="93"/>
      <c r="EIV22" s="93"/>
      <c r="EIW22" s="93"/>
      <c r="EIX22" s="93"/>
      <c r="EIY22" s="93"/>
      <c r="EIZ22" s="93"/>
      <c r="EJA22" s="93"/>
      <c r="EJB22" s="93"/>
      <c r="EJC22" s="93"/>
      <c r="EJD22" s="93"/>
      <c r="EJE22" s="93"/>
      <c r="EJF22" s="93"/>
      <c r="EJG22" s="93"/>
      <c r="EJH22" s="93"/>
      <c r="EJI22" s="93"/>
      <c r="EJJ22" s="93"/>
      <c r="EJK22" s="93"/>
      <c r="EJL22" s="93"/>
      <c r="EJM22" s="93"/>
      <c r="EJN22" s="93"/>
      <c r="EJO22" s="93"/>
      <c r="EJP22" s="93"/>
      <c r="EJQ22" s="93"/>
      <c r="EJR22" s="93"/>
      <c r="EJS22" s="93"/>
      <c r="EJT22" s="93"/>
      <c r="EJU22" s="93"/>
      <c r="EJV22" s="93"/>
      <c r="EJW22" s="93"/>
      <c r="EJX22" s="93"/>
      <c r="EJY22" s="93"/>
      <c r="EJZ22" s="93"/>
      <c r="EKA22" s="93"/>
      <c r="EKB22" s="93"/>
      <c r="EKC22" s="93"/>
      <c r="EKD22" s="93"/>
      <c r="EKE22" s="93"/>
      <c r="EKF22" s="93"/>
      <c r="EKG22" s="93"/>
      <c r="EKH22" s="93"/>
      <c r="EKI22" s="93"/>
      <c r="EKJ22" s="93"/>
      <c r="EKK22" s="93"/>
      <c r="EKL22" s="93"/>
      <c r="EKM22" s="93"/>
      <c r="EKN22" s="93"/>
      <c r="EKO22" s="93"/>
      <c r="EKP22" s="93"/>
      <c r="EKQ22" s="93"/>
      <c r="EKR22" s="93"/>
      <c r="EKS22" s="93"/>
      <c r="EKT22" s="93"/>
      <c r="EKU22" s="93"/>
      <c r="EKV22" s="93"/>
      <c r="EKW22" s="93"/>
      <c r="EKX22" s="93"/>
      <c r="EKY22" s="93"/>
      <c r="EKZ22" s="93"/>
      <c r="ELA22" s="93"/>
      <c r="ELB22" s="93"/>
      <c r="ELC22" s="93"/>
      <c r="ELD22" s="93"/>
      <c r="ELE22" s="93"/>
      <c r="ELF22" s="93"/>
      <c r="ELG22" s="93"/>
      <c r="ELH22" s="93"/>
      <c r="ELI22" s="93"/>
      <c r="ELJ22" s="93"/>
      <c r="ELK22" s="93"/>
      <c r="ELL22" s="93"/>
      <c r="ELM22" s="93"/>
      <c r="ELN22" s="93"/>
      <c r="ELO22" s="93"/>
      <c r="ELP22" s="93"/>
      <c r="ELQ22" s="93"/>
      <c r="ELR22" s="93"/>
      <c r="ELS22" s="93"/>
      <c r="ELT22" s="93"/>
      <c r="ELU22" s="93"/>
      <c r="ELV22" s="93"/>
      <c r="ELW22" s="93"/>
      <c r="ELX22" s="93"/>
      <c r="ELY22" s="93"/>
      <c r="ELZ22" s="93"/>
      <c r="EMA22" s="93"/>
      <c r="EMB22" s="93"/>
      <c r="EMC22" s="93"/>
      <c r="EMD22" s="93"/>
      <c r="EME22" s="93"/>
      <c r="EMF22" s="93"/>
      <c r="EMG22" s="93"/>
      <c r="EMH22" s="93"/>
      <c r="EMI22" s="93"/>
      <c r="EMJ22" s="93"/>
      <c r="EMK22" s="93"/>
      <c r="EML22" s="93"/>
      <c r="EMM22" s="93"/>
      <c r="EMN22" s="93"/>
      <c r="EMO22" s="93"/>
      <c r="EMP22" s="93"/>
      <c r="EMQ22" s="93"/>
      <c r="EMR22" s="93"/>
      <c r="EMS22" s="93"/>
      <c r="EMT22" s="93"/>
      <c r="EMU22" s="93"/>
      <c r="EMV22" s="93"/>
      <c r="EMW22" s="93"/>
      <c r="EMX22" s="93"/>
      <c r="EMY22" s="93"/>
      <c r="EMZ22" s="93"/>
      <c r="ENA22" s="93"/>
      <c r="ENB22" s="93"/>
      <c r="ENC22" s="93"/>
      <c r="END22" s="93"/>
      <c r="ENE22" s="93"/>
      <c r="ENF22" s="93"/>
      <c r="ENG22" s="93"/>
      <c r="ENH22" s="93"/>
      <c r="ENI22" s="93"/>
      <c r="ENJ22" s="93"/>
      <c r="ENK22" s="93"/>
      <c r="ENL22" s="93"/>
      <c r="ENM22" s="93"/>
      <c r="ENN22" s="93"/>
      <c r="ENO22" s="93"/>
      <c r="ENP22" s="93"/>
      <c r="ENQ22" s="93"/>
      <c r="ENR22" s="93"/>
      <c r="ENS22" s="93"/>
      <c r="ENT22" s="93"/>
      <c r="ENU22" s="93"/>
      <c r="ENV22" s="93"/>
      <c r="ENW22" s="93"/>
      <c r="ENX22" s="93"/>
      <c r="ENY22" s="93"/>
      <c r="ENZ22" s="93"/>
      <c r="EOA22" s="93"/>
      <c r="EOB22" s="93"/>
      <c r="EOC22" s="93"/>
      <c r="EOD22" s="93"/>
      <c r="EOE22" s="93"/>
      <c r="EOF22" s="93"/>
      <c r="EOG22" s="93"/>
      <c r="EOH22" s="93"/>
      <c r="EOI22" s="93"/>
      <c r="EOJ22" s="93"/>
      <c r="EOK22" s="93"/>
      <c r="EOL22" s="93"/>
      <c r="EOM22" s="93"/>
      <c r="EON22" s="93"/>
      <c r="EOO22" s="93"/>
      <c r="EOP22" s="93"/>
      <c r="EOQ22" s="93"/>
      <c r="EOR22" s="93"/>
      <c r="EOS22" s="93"/>
      <c r="EOT22" s="93"/>
      <c r="EOU22" s="93"/>
      <c r="EOV22" s="93"/>
      <c r="EOW22" s="93"/>
      <c r="EOX22" s="93"/>
      <c r="EOY22" s="93"/>
      <c r="EOZ22" s="93"/>
      <c r="EPA22" s="93"/>
      <c r="EPB22" s="93"/>
      <c r="EPC22" s="93"/>
      <c r="EPD22" s="93"/>
      <c r="EPE22" s="93"/>
      <c r="EPF22" s="93"/>
      <c r="EPG22" s="93"/>
      <c r="EPH22" s="93"/>
      <c r="EPI22" s="93"/>
      <c r="EPJ22" s="93"/>
      <c r="EPK22" s="93"/>
      <c r="EPL22" s="93"/>
      <c r="EPM22" s="93"/>
      <c r="EPN22" s="93"/>
      <c r="EPO22" s="93"/>
      <c r="EPP22" s="93"/>
      <c r="EPQ22" s="93"/>
      <c r="EPR22" s="93"/>
      <c r="EPS22" s="93"/>
      <c r="EPT22" s="93"/>
      <c r="EPU22" s="93"/>
      <c r="EPV22" s="93"/>
      <c r="EPW22" s="93"/>
      <c r="EPX22" s="93"/>
      <c r="EPY22" s="93"/>
      <c r="EPZ22" s="93"/>
      <c r="EQA22" s="93"/>
      <c r="EQB22" s="93"/>
      <c r="EQC22" s="93"/>
      <c r="EQD22" s="93"/>
      <c r="EQE22" s="93"/>
      <c r="EQF22" s="93"/>
      <c r="EQG22" s="93"/>
      <c r="EQH22" s="93"/>
      <c r="EQI22" s="93"/>
      <c r="EQJ22" s="93"/>
      <c r="EQK22" s="93"/>
      <c r="EQL22" s="93"/>
      <c r="EQM22" s="93"/>
      <c r="EQN22" s="93"/>
      <c r="EQO22" s="93"/>
      <c r="EQP22" s="93"/>
      <c r="EQQ22" s="93"/>
      <c r="EQR22" s="93"/>
      <c r="EQS22" s="93"/>
      <c r="EQT22" s="93"/>
      <c r="EQU22" s="93"/>
      <c r="EQV22" s="93"/>
      <c r="EQW22" s="93"/>
      <c r="EQX22" s="93"/>
      <c r="EQY22" s="93"/>
      <c r="EQZ22" s="93"/>
      <c r="ERA22" s="93"/>
      <c r="ERB22" s="93"/>
      <c r="ERC22" s="93"/>
      <c r="ERD22" s="93"/>
      <c r="ERE22" s="93"/>
      <c r="ERF22" s="93"/>
      <c r="ERG22" s="93"/>
      <c r="ERH22" s="93"/>
      <c r="ERI22" s="93"/>
      <c r="ERJ22" s="93"/>
      <c r="ERK22" s="93"/>
      <c r="ERL22" s="93"/>
      <c r="ERM22" s="93"/>
      <c r="ERN22" s="93"/>
      <c r="ERO22" s="93"/>
      <c r="ERP22" s="93"/>
      <c r="ERQ22" s="93"/>
      <c r="ERR22" s="93"/>
      <c r="ERS22" s="93"/>
      <c r="ERT22" s="93"/>
      <c r="ERU22" s="93"/>
      <c r="ERV22" s="93"/>
      <c r="ERW22" s="93"/>
      <c r="ERX22" s="93"/>
      <c r="ERY22" s="93"/>
      <c r="ERZ22" s="93"/>
      <c r="ESA22" s="93"/>
      <c r="ESB22" s="93"/>
      <c r="ESC22" s="93"/>
      <c r="ESD22" s="93"/>
      <c r="ESE22" s="93"/>
      <c r="ESF22" s="93"/>
      <c r="ESG22" s="93"/>
      <c r="ESH22" s="93"/>
      <c r="ESI22" s="93"/>
      <c r="ESJ22" s="93"/>
      <c r="ESK22" s="93"/>
      <c r="ESL22" s="93"/>
      <c r="ESM22" s="93"/>
      <c r="ESN22" s="93"/>
      <c r="ESO22" s="93"/>
      <c r="ESP22" s="93"/>
      <c r="ESQ22" s="93"/>
      <c r="ESR22" s="93"/>
      <c r="ESS22" s="93"/>
      <c r="EST22" s="93"/>
      <c r="ESU22" s="93"/>
      <c r="ESV22" s="93"/>
      <c r="ESW22" s="93"/>
      <c r="ESX22" s="93"/>
      <c r="ESY22" s="93"/>
      <c r="ESZ22" s="93"/>
      <c r="ETA22" s="93"/>
      <c r="ETB22" s="93"/>
      <c r="ETC22" s="93"/>
      <c r="ETD22" s="93"/>
      <c r="ETE22" s="93"/>
      <c r="ETF22" s="93"/>
      <c r="ETG22" s="93"/>
      <c r="ETH22" s="93"/>
      <c r="ETI22" s="93"/>
      <c r="ETJ22" s="93"/>
      <c r="ETK22" s="93"/>
      <c r="ETL22" s="93"/>
      <c r="ETM22" s="93"/>
      <c r="ETN22" s="93"/>
      <c r="ETO22" s="93"/>
      <c r="ETP22" s="93"/>
      <c r="ETQ22" s="93"/>
      <c r="ETR22" s="93"/>
      <c r="ETS22" s="93"/>
      <c r="ETT22" s="93"/>
      <c r="ETU22" s="93"/>
      <c r="ETV22" s="93"/>
      <c r="ETW22" s="93"/>
      <c r="ETX22" s="93"/>
      <c r="ETY22" s="93"/>
      <c r="ETZ22" s="93"/>
      <c r="EUA22" s="93"/>
      <c r="EUB22" s="93"/>
      <c r="EUC22" s="93"/>
      <c r="EUD22" s="93"/>
      <c r="EUE22" s="93"/>
      <c r="EUF22" s="93"/>
      <c r="EUG22" s="93"/>
      <c r="EUH22" s="93"/>
      <c r="EUI22" s="93"/>
      <c r="EUJ22" s="93"/>
      <c r="EUK22" s="93"/>
      <c r="EUL22" s="93"/>
      <c r="EUM22" s="93"/>
      <c r="EUN22" s="93"/>
      <c r="EUO22" s="93"/>
      <c r="EUP22" s="93"/>
      <c r="EUQ22" s="93"/>
      <c r="EUR22" s="93"/>
      <c r="EUS22" s="93"/>
      <c r="EUT22" s="93"/>
      <c r="EUU22" s="93"/>
      <c r="EUV22" s="93"/>
      <c r="EUW22" s="93"/>
      <c r="EUX22" s="93"/>
      <c r="EUY22" s="93"/>
      <c r="EUZ22" s="93"/>
      <c r="EVA22" s="93"/>
      <c r="EVB22" s="93"/>
      <c r="EVC22" s="93"/>
      <c r="EVD22" s="93"/>
      <c r="EVE22" s="93"/>
      <c r="EVF22" s="93"/>
      <c r="EVG22" s="93"/>
      <c r="EVH22" s="93"/>
      <c r="EVI22" s="93"/>
      <c r="EVJ22" s="93"/>
      <c r="EVK22" s="93"/>
      <c r="EVL22" s="93"/>
      <c r="EVM22" s="93"/>
      <c r="EVN22" s="93"/>
      <c r="EVO22" s="93"/>
      <c r="EVP22" s="93"/>
      <c r="EVQ22" s="93"/>
      <c r="EVR22" s="93"/>
      <c r="EVS22" s="93"/>
      <c r="EVT22" s="93"/>
      <c r="EVU22" s="93"/>
      <c r="EVV22" s="93"/>
      <c r="EVW22" s="93"/>
      <c r="EVX22" s="93"/>
      <c r="EVY22" s="93"/>
      <c r="EVZ22" s="93"/>
      <c r="EWA22" s="93"/>
      <c r="EWB22" s="93"/>
      <c r="EWC22" s="93"/>
      <c r="EWD22" s="93"/>
      <c r="EWE22" s="93"/>
      <c r="EWF22" s="93"/>
      <c r="EWG22" s="93"/>
      <c r="EWH22" s="93"/>
      <c r="EWI22" s="93"/>
      <c r="EWJ22" s="93"/>
      <c r="EWK22" s="93"/>
      <c r="EWL22" s="93"/>
      <c r="EWM22" s="93"/>
      <c r="EWN22" s="93"/>
      <c r="EWO22" s="93"/>
      <c r="EWP22" s="93"/>
      <c r="EWQ22" s="93"/>
      <c r="EWR22" s="93"/>
      <c r="EWS22" s="93"/>
      <c r="EWT22" s="93"/>
      <c r="EWU22" s="93"/>
      <c r="EWV22" s="93"/>
      <c r="EWW22" s="93"/>
      <c r="EWX22" s="93"/>
      <c r="EWY22" s="93"/>
      <c r="EWZ22" s="93"/>
      <c r="EXA22" s="93"/>
      <c r="EXB22" s="93"/>
      <c r="EXC22" s="93"/>
      <c r="EXD22" s="93"/>
      <c r="EXE22" s="93"/>
      <c r="EXF22" s="93"/>
      <c r="EXG22" s="93"/>
      <c r="EXH22" s="93"/>
      <c r="EXI22" s="93"/>
      <c r="EXJ22" s="93"/>
      <c r="EXK22" s="93"/>
      <c r="EXL22" s="93"/>
      <c r="EXM22" s="93"/>
      <c r="EXN22" s="93"/>
      <c r="EXO22" s="93"/>
      <c r="EXP22" s="93"/>
      <c r="EXQ22" s="93"/>
      <c r="EXR22" s="93"/>
      <c r="EXS22" s="93"/>
      <c r="EXT22" s="93"/>
      <c r="EXU22" s="93"/>
      <c r="EXV22" s="93"/>
      <c r="EXW22" s="93"/>
      <c r="EXX22" s="93"/>
      <c r="EXY22" s="93"/>
      <c r="EXZ22" s="93"/>
      <c r="EYA22" s="93"/>
      <c r="EYB22" s="93"/>
      <c r="EYC22" s="93"/>
      <c r="EYD22" s="93"/>
      <c r="EYE22" s="93"/>
      <c r="EYF22" s="93"/>
      <c r="EYG22" s="93"/>
      <c r="EYH22" s="93"/>
      <c r="EYI22" s="93"/>
      <c r="EYJ22" s="93"/>
      <c r="EYK22" s="93"/>
      <c r="EYL22" s="93"/>
      <c r="EYM22" s="93"/>
      <c r="EYN22" s="93"/>
      <c r="EYO22" s="93"/>
      <c r="EYP22" s="93"/>
      <c r="EYQ22" s="93"/>
      <c r="EYR22" s="93"/>
      <c r="EYS22" s="93"/>
      <c r="EYT22" s="93"/>
      <c r="EYU22" s="93"/>
      <c r="EYV22" s="93"/>
      <c r="EYW22" s="93"/>
      <c r="EYX22" s="93"/>
      <c r="EYY22" s="93"/>
      <c r="EYZ22" s="93"/>
      <c r="EZA22" s="93"/>
      <c r="EZB22" s="93"/>
      <c r="EZC22" s="93"/>
      <c r="EZD22" s="93"/>
      <c r="EZE22" s="93"/>
      <c r="EZF22" s="93"/>
      <c r="EZG22" s="93"/>
      <c r="EZH22" s="93"/>
      <c r="EZI22" s="93"/>
      <c r="EZJ22" s="93"/>
      <c r="EZK22" s="93"/>
      <c r="EZL22" s="93"/>
      <c r="EZM22" s="93"/>
      <c r="EZN22" s="93"/>
      <c r="EZO22" s="93"/>
      <c r="EZP22" s="93"/>
      <c r="EZQ22" s="93"/>
      <c r="EZR22" s="93"/>
      <c r="EZS22" s="93"/>
      <c r="EZT22" s="93"/>
      <c r="EZU22" s="93"/>
      <c r="EZV22" s="93"/>
      <c r="EZW22" s="93"/>
      <c r="EZX22" s="93"/>
      <c r="EZY22" s="93"/>
      <c r="EZZ22" s="93"/>
      <c r="FAA22" s="93"/>
      <c r="FAB22" s="93"/>
      <c r="FAC22" s="93"/>
      <c r="FAD22" s="93"/>
      <c r="FAE22" s="93"/>
      <c r="FAF22" s="93"/>
      <c r="FAG22" s="93"/>
      <c r="FAH22" s="93"/>
      <c r="FAI22" s="93"/>
      <c r="FAJ22" s="93"/>
      <c r="FAK22" s="93"/>
      <c r="FAL22" s="93"/>
      <c r="FAM22" s="93"/>
      <c r="FAN22" s="93"/>
      <c r="FAO22" s="93"/>
      <c r="FAP22" s="93"/>
      <c r="FAQ22" s="93"/>
      <c r="FAR22" s="93"/>
      <c r="FAS22" s="93"/>
      <c r="FAT22" s="93"/>
      <c r="FAU22" s="93"/>
      <c r="FAV22" s="93"/>
      <c r="FAW22" s="93"/>
      <c r="FAX22" s="93"/>
      <c r="FAY22" s="93"/>
      <c r="FAZ22" s="93"/>
      <c r="FBA22" s="93"/>
      <c r="FBB22" s="93"/>
      <c r="FBC22" s="93"/>
      <c r="FBD22" s="93"/>
      <c r="FBE22" s="93"/>
      <c r="FBF22" s="93"/>
      <c r="FBG22" s="93"/>
      <c r="FBH22" s="93"/>
      <c r="FBI22" s="93"/>
      <c r="FBJ22" s="93"/>
      <c r="FBK22" s="93"/>
      <c r="FBL22" s="93"/>
      <c r="FBM22" s="93"/>
      <c r="FBN22" s="93"/>
      <c r="FBO22" s="93"/>
      <c r="FBP22" s="93"/>
      <c r="FBQ22" s="93"/>
      <c r="FBR22" s="93"/>
      <c r="FBS22" s="93"/>
      <c r="FBT22" s="93"/>
      <c r="FBU22" s="93"/>
      <c r="FBV22" s="93"/>
      <c r="FBW22" s="93"/>
      <c r="FBX22" s="93"/>
      <c r="FBY22" s="93"/>
      <c r="FBZ22" s="93"/>
      <c r="FCA22" s="93"/>
      <c r="FCB22" s="93"/>
      <c r="FCC22" s="93"/>
      <c r="FCD22" s="93"/>
      <c r="FCE22" s="93"/>
      <c r="FCF22" s="93"/>
      <c r="FCG22" s="93"/>
      <c r="FCH22" s="93"/>
      <c r="FCI22" s="93"/>
      <c r="FCJ22" s="93"/>
      <c r="FCK22" s="93"/>
      <c r="FCL22" s="93"/>
      <c r="FCM22" s="93"/>
      <c r="FCN22" s="93"/>
      <c r="FCO22" s="93"/>
      <c r="FCP22" s="93"/>
      <c r="FCQ22" s="93"/>
      <c r="FCR22" s="93"/>
      <c r="FCS22" s="93"/>
      <c r="FCT22" s="93"/>
      <c r="FCU22" s="93"/>
      <c r="FCV22" s="93"/>
      <c r="FCW22" s="93"/>
      <c r="FCX22" s="93"/>
      <c r="FCY22" s="93"/>
      <c r="FCZ22" s="93"/>
      <c r="FDA22" s="93"/>
      <c r="FDB22" s="93"/>
      <c r="FDC22" s="93"/>
      <c r="FDD22" s="93"/>
      <c r="FDE22" s="93"/>
      <c r="FDF22" s="93"/>
      <c r="FDG22" s="93"/>
      <c r="FDH22" s="93"/>
      <c r="FDI22" s="93"/>
      <c r="FDJ22" s="93"/>
      <c r="FDK22" s="93"/>
      <c r="FDL22" s="93"/>
      <c r="FDM22" s="93"/>
      <c r="FDN22" s="93"/>
      <c r="FDO22" s="93"/>
      <c r="FDP22" s="93"/>
      <c r="FDQ22" s="93"/>
      <c r="FDR22" s="93"/>
      <c r="FDS22" s="93"/>
      <c r="FDT22" s="93"/>
      <c r="FDU22" s="93"/>
      <c r="FDV22" s="93"/>
      <c r="FDW22" s="93"/>
      <c r="FDX22" s="93"/>
      <c r="FDY22" s="93"/>
      <c r="FDZ22" s="93"/>
      <c r="FEA22" s="93"/>
      <c r="FEB22" s="93"/>
      <c r="FEC22" s="93"/>
      <c r="FED22" s="93"/>
      <c r="FEE22" s="93"/>
      <c r="FEF22" s="93"/>
      <c r="FEG22" s="93"/>
      <c r="FEH22" s="93"/>
      <c r="FEI22" s="93"/>
      <c r="FEJ22" s="93"/>
      <c r="FEK22" s="93"/>
      <c r="FEL22" s="93"/>
      <c r="FEM22" s="93"/>
      <c r="FEN22" s="93"/>
      <c r="FEO22" s="93"/>
      <c r="FEP22" s="93"/>
      <c r="FEQ22" s="93"/>
      <c r="FER22" s="93"/>
      <c r="FES22" s="93"/>
      <c r="FET22" s="93"/>
      <c r="FEU22" s="93"/>
      <c r="FEV22" s="93"/>
      <c r="FEW22" s="93"/>
      <c r="FEX22" s="93"/>
      <c r="FEY22" s="93"/>
      <c r="FEZ22" s="93"/>
      <c r="FFA22" s="93"/>
      <c r="FFB22" s="93"/>
      <c r="FFC22" s="93"/>
      <c r="FFD22" s="93"/>
      <c r="FFE22" s="93"/>
      <c r="FFF22" s="93"/>
      <c r="FFG22" s="93"/>
      <c r="FFH22" s="93"/>
      <c r="FFI22" s="93"/>
      <c r="FFJ22" s="93"/>
      <c r="FFK22" s="93"/>
      <c r="FFL22" s="93"/>
      <c r="FFM22" s="93"/>
      <c r="FFN22" s="93"/>
      <c r="FFO22" s="93"/>
      <c r="FFP22" s="93"/>
      <c r="FFQ22" s="93"/>
      <c r="FFR22" s="93"/>
      <c r="FFS22" s="93"/>
      <c r="FFT22" s="93"/>
      <c r="FFU22" s="93"/>
      <c r="FFV22" s="93"/>
      <c r="FFW22" s="93"/>
      <c r="FFX22" s="93"/>
      <c r="FFY22" s="93"/>
      <c r="FFZ22" s="93"/>
      <c r="FGA22" s="93"/>
      <c r="FGB22" s="93"/>
      <c r="FGC22" s="93"/>
      <c r="FGD22" s="93"/>
      <c r="FGE22" s="93"/>
      <c r="FGF22" s="93"/>
      <c r="FGG22" s="93"/>
      <c r="FGH22" s="93"/>
      <c r="FGI22" s="93"/>
      <c r="FGJ22" s="93"/>
      <c r="FGK22" s="93"/>
      <c r="FGL22" s="93"/>
      <c r="FGM22" s="93"/>
      <c r="FGN22" s="93"/>
      <c r="FGO22" s="93"/>
      <c r="FGP22" s="93"/>
      <c r="FGQ22" s="93"/>
      <c r="FGR22" s="93"/>
      <c r="FGS22" s="93"/>
      <c r="FGT22" s="93"/>
      <c r="FGU22" s="93"/>
      <c r="FGV22" s="93"/>
      <c r="FGW22" s="93"/>
      <c r="FGX22" s="93"/>
      <c r="FGY22" s="93"/>
      <c r="FGZ22" s="93"/>
      <c r="FHA22" s="93"/>
      <c r="FHB22" s="93"/>
      <c r="FHC22" s="93"/>
      <c r="FHD22" s="93"/>
      <c r="FHE22" s="93"/>
      <c r="FHF22" s="93"/>
      <c r="FHG22" s="93"/>
      <c r="FHH22" s="93"/>
      <c r="FHI22" s="93"/>
      <c r="FHJ22" s="93"/>
      <c r="FHK22" s="93"/>
      <c r="FHL22" s="93"/>
      <c r="FHM22" s="93"/>
      <c r="FHN22" s="93"/>
      <c r="FHO22" s="93"/>
      <c r="FHP22" s="93"/>
      <c r="FHQ22" s="93"/>
      <c r="FHR22" s="93"/>
      <c r="FHS22" s="93"/>
      <c r="FHT22" s="93"/>
      <c r="FHU22" s="93"/>
      <c r="FHV22" s="93"/>
      <c r="FHW22" s="93"/>
      <c r="FHX22" s="93"/>
      <c r="FHY22" s="93"/>
      <c r="FHZ22" s="93"/>
      <c r="FIA22" s="93"/>
      <c r="FIB22" s="93"/>
      <c r="FIC22" s="93"/>
      <c r="FID22" s="93"/>
      <c r="FIE22" s="93"/>
      <c r="FIF22" s="93"/>
      <c r="FIG22" s="93"/>
      <c r="FIH22" s="93"/>
      <c r="FII22" s="93"/>
      <c r="FIJ22" s="93"/>
      <c r="FIK22" s="93"/>
      <c r="FIL22" s="93"/>
      <c r="FIM22" s="93"/>
      <c r="FIN22" s="93"/>
      <c r="FIO22" s="93"/>
      <c r="FIP22" s="93"/>
      <c r="FIQ22" s="93"/>
      <c r="FIR22" s="93"/>
      <c r="FIS22" s="93"/>
      <c r="FIT22" s="93"/>
      <c r="FIU22" s="93"/>
      <c r="FIV22" s="93"/>
      <c r="FIW22" s="93"/>
      <c r="FIX22" s="93"/>
      <c r="FIY22" s="93"/>
      <c r="FIZ22" s="93"/>
      <c r="FJA22" s="93"/>
      <c r="FJB22" s="93"/>
      <c r="FJC22" s="93"/>
      <c r="FJD22" s="93"/>
      <c r="FJE22" s="93"/>
      <c r="FJF22" s="93"/>
      <c r="FJG22" s="93"/>
      <c r="FJH22" s="93"/>
      <c r="FJI22" s="93"/>
      <c r="FJJ22" s="93"/>
      <c r="FJK22" s="93"/>
      <c r="FJL22" s="93"/>
      <c r="FJM22" s="93"/>
      <c r="FJN22" s="93"/>
      <c r="FJO22" s="93"/>
      <c r="FJP22" s="93"/>
      <c r="FJQ22" s="93"/>
      <c r="FJR22" s="93"/>
      <c r="FJS22" s="93"/>
      <c r="FJT22" s="93"/>
      <c r="FJU22" s="93"/>
      <c r="FJV22" s="93"/>
      <c r="FJW22" s="93"/>
      <c r="FJX22" s="93"/>
      <c r="FJY22" s="93"/>
      <c r="FJZ22" s="93"/>
      <c r="FKA22" s="93"/>
      <c r="FKB22" s="93"/>
      <c r="FKC22" s="93"/>
      <c r="FKD22" s="93"/>
      <c r="FKE22" s="93"/>
      <c r="FKF22" s="93"/>
      <c r="FKG22" s="93"/>
      <c r="FKH22" s="93"/>
      <c r="FKI22" s="93"/>
      <c r="FKJ22" s="93"/>
      <c r="FKK22" s="93"/>
      <c r="FKL22" s="93"/>
      <c r="FKM22" s="93"/>
      <c r="FKN22" s="93"/>
      <c r="FKO22" s="93"/>
      <c r="FKP22" s="93"/>
      <c r="FKQ22" s="93"/>
      <c r="FKR22" s="93"/>
      <c r="FKS22" s="93"/>
      <c r="FKT22" s="93"/>
      <c r="FKU22" s="93"/>
      <c r="FKV22" s="93"/>
      <c r="FKW22" s="93"/>
      <c r="FKX22" s="93"/>
      <c r="FKY22" s="93"/>
      <c r="FKZ22" s="93"/>
      <c r="FLA22" s="93"/>
      <c r="FLB22" s="93"/>
      <c r="FLC22" s="93"/>
      <c r="FLD22" s="93"/>
      <c r="FLE22" s="93"/>
      <c r="FLF22" s="93"/>
      <c r="FLG22" s="93"/>
      <c r="FLH22" s="93"/>
      <c r="FLI22" s="93"/>
      <c r="FLJ22" s="93"/>
      <c r="FLK22" s="93"/>
      <c r="FLL22" s="93"/>
      <c r="FLM22" s="93"/>
      <c r="FLN22" s="93"/>
      <c r="FLO22" s="93"/>
      <c r="FLP22" s="93"/>
      <c r="FLQ22" s="93"/>
      <c r="FLR22" s="93"/>
      <c r="FLS22" s="93"/>
      <c r="FLT22" s="93"/>
      <c r="FLU22" s="93"/>
      <c r="FLV22" s="93"/>
      <c r="FLW22" s="93"/>
      <c r="FLX22" s="93"/>
      <c r="FLY22" s="93"/>
      <c r="FLZ22" s="93"/>
      <c r="FMA22" s="93"/>
      <c r="FMB22" s="93"/>
      <c r="FMC22" s="93"/>
      <c r="FMD22" s="93"/>
      <c r="FME22" s="93"/>
      <c r="FMF22" s="93"/>
      <c r="FMG22" s="93"/>
      <c r="FMH22" s="93"/>
      <c r="FMI22" s="93"/>
      <c r="FMJ22" s="93"/>
      <c r="FMK22" s="93"/>
      <c r="FML22" s="93"/>
      <c r="FMM22" s="93"/>
      <c r="FMN22" s="93"/>
      <c r="FMO22" s="93"/>
      <c r="FMP22" s="93"/>
      <c r="FMQ22" s="93"/>
      <c r="FMR22" s="93"/>
      <c r="FMS22" s="93"/>
      <c r="FMT22" s="93"/>
      <c r="FMU22" s="93"/>
      <c r="FMV22" s="93"/>
      <c r="FMW22" s="93"/>
      <c r="FMX22" s="93"/>
      <c r="FMY22" s="93"/>
      <c r="FMZ22" s="93"/>
      <c r="FNA22" s="93"/>
      <c r="FNB22" s="93"/>
      <c r="FNC22" s="93"/>
      <c r="FND22" s="93"/>
      <c r="FNE22" s="93"/>
      <c r="FNF22" s="93"/>
      <c r="FNG22" s="93"/>
      <c r="FNH22" s="93"/>
      <c r="FNI22" s="93"/>
      <c r="FNJ22" s="93"/>
      <c r="FNK22" s="93"/>
      <c r="FNL22" s="93"/>
      <c r="FNM22" s="93"/>
      <c r="FNN22" s="93"/>
      <c r="FNO22" s="93"/>
      <c r="FNP22" s="93"/>
      <c r="FNQ22" s="93"/>
      <c r="FNR22" s="93"/>
      <c r="FNS22" s="93"/>
      <c r="FNT22" s="93"/>
      <c r="FNU22" s="93"/>
      <c r="FNV22" s="93"/>
      <c r="FNW22" s="93"/>
      <c r="FNX22" s="93"/>
      <c r="FNY22" s="93"/>
      <c r="FNZ22" s="93"/>
      <c r="FOA22" s="93"/>
      <c r="FOB22" s="93"/>
      <c r="FOC22" s="93"/>
      <c r="FOD22" s="93"/>
      <c r="FOE22" s="93"/>
      <c r="FOF22" s="93"/>
      <c r="FOG22" s="93"/>
      <c r="FOH22" s="93"/>
      <c r="FOI22" s="93"/>
      <c r="FOJ22" s="93"/>
      <c r="FOK22" s="93"/>
      <c r="FOL22" s="93"/>
      <c r="FOM22" s="93"/>
      <c r="FON22" s="93"/>
      <c r="FOO22" s="93"/>
      <c r="FOP22" s="93"/>
      <c r="FOQ22" s="93"/>
      <c r="FOR22" s="93"/>
      <c r="FOS22" s="93"/>
      <c r="FOT22" s="93"/>
      <c r="FOU22" s="93"/>
      <c r="FOV22" s="93"/>
      <c r="FOW22" s="93"/>
      <c r="FOX22" s="93"/>
      <c r="FOY22" s="93"/>
      <c r="FOZ22" s="93"/>
      <c r="FPA22" s="93"/>
      <c r="FPB22" s="93"/>
      <c r="FPC22" s="93"/>
      <c r="FPD22" s="93"/>
      <c r="FPE22" s="93"/>
      <c r="FPF22" s="93"/>
      <c r="FPG22" s="93"/>
      <c r="FPH22" s="93"/>
      <c r="FPI22" s="93"/>
      <c r="FPJ22" s="93"/>
      <c r="FPK22" s="93"/>
      <c r="FPL22" s="93"/>
      <c r="FPM22" s="93"/>
      <c r="FPN22" s="93"/>
      <c r="FPO22" s="93"/>
      <c r="FPP22" s="93"/>
      <c r="FPQ22" s="93"/>
      <c r="FPR22" s="93"/>
      <c r="FPS22" s="93"/>
      <c r="FPT22" s="93"/>
      <c r="FPU22" s="93"/>
      <c r="FPV22" s="93"/>
      <c r="FPW22" s="93"/>
      <c r="FPX22" s="93"/>
      <c r="FPY22" s="93"/>
      <c r="FPZ22" s="93"/>
      <c r="FQA22" s="93"/>
      <c r="FQB22" s="93"/>
      <c r="FQC22" s="93"/>
      <c r="FQD22" s="93"/>
      <c r="FQE22" s="93"/>
      <c r="FQF22" s="93"/>
      <c r="FQG22" s="93"/>
      <c r="FQH22" s="93"/>
      <c r="FQI22" s="93"/>
      <c r="FQJ22" s="93"/>
      <c r="FQK22" s="93"/>
      <c r="FQL22" s="93"/>
      <c r="FQM22" s="93"/>
      <c r="FQN22" s="93"/>
      <c r="FQO22" s="93"/>
      <c r="FQP22" s="93"/>
      <c r="FQQ22" s="93"/>
      <c r="FQR22" s="93"/>
      <c r="FQS22" s="93"/>
      <c r="FQT22" s="93"/>
      <c r="FQU22" s="93"/>
      <c r="FQV22" s="93"/>
      <c r="FQW22" s="93"/>
      <c r="FQX22" s="93"/>
      <c r="FQY22" s="93"/>
      <c r="FQZ22" s="93"/>
      <c r="FRA22" s="93"/>
      <c r="FRB22" s="93"/>
      <c r="FRC22" s="93"/>
      <c r="FRD22" s="93"/>
      <c r="FRE22" s="93"/>
      <c r="FRF22" s="93"/>
      <c r="FRG22" s="93"/>
      <c r="FRH22" s="93"/>
      <c r="FRI22" s="93"/>
      <c r="FRJ22" s="93"/>
      <c r="FRK22" s="93"/>
      <c r="FRL22" s="93"/>
      <c r="FRM22" s="93"/>
      <c r="FRN22" s="93"/>
      <c r="FRO22" s="93"/>
      <c r="FRP22" s="93"/>
      <c r="FRQ22" s="93"/>
      <c r="FRR22" s="93"/>
      <c r="FRS22" s="93"/>
      <c r="FRT22" s="93"/>
      <c r="FRU22" s="93"/>
      <c r="FRV22" s="93"/>
      <c r="FRW22" s="93"/>
      <c r="FRX22" s="93"/>
      <c r="FRY22" s="93"/>
      <c r="FRZ22" s="93"/>
      <c r="FSA22" s="93"/>
      <c r="FSB22" s="93"/>
      <c r="FSC22" s="93"/>
      <c r="FSD22" s="93"/>
      <c r="FSE22" s="93"/>
      <c r="FSF22" s="93"/>
      <c r="FSG22" s="93"/>
      <c r="FSH22" s="93"/>
      <c r="FSI22" s="93"/>
      <c r="FSJ22" s="93"/>
      <c r="FSK22" s="93"/>
      <c r="FSL22" s="93"/>
      <c r="FSM22" s="93"/>
      <c r="FSN22" s="93"/>
      <c r="FSO22" s="93"/>
      <c r="FSP22" s="93"/>
      <c r="FSQ22" s="93"/>
      <c r="FSR22" s="93"/>
      <c r="FSS22" s="93"/>
      <c r="FST22" s="93"/>
      <c r="FSU22" s="93"/>
      <c r="FSV22" s="93"/>
      <c r="FSW22" s="93"/>
      <c r="FSX22" s="93"/>
      <c r="FSY22" s="93"/>
      <c r="FSZ22" s="93"/>
      <c r="FTA22" s="93"/>
      <c r="FTB22" s="93"/>
      <c r="FTC22" s="93"/>
      <c r="FTD22" s="93"/>
      <c r="FTE22" s="93"/>
      <c r="FTF22" s="93"/>
      <c r="FTG22" s="93"/>
      <c r="FTH22" s="93"/>
      <c r="FTI22" s="93"/>
      <c r="FTJ22" s="93"/>
      <c r="FTK22" s="93"/>
      <c r="FTL22" s="93"/>
      <c r="FTM22" s="93"/>
      <c r="FTN22" s="93"/>
      <c r="FTO22" s="93"/>
      <c r="FTP22" s="93"/>
      <c r="FTQ22" s="93"/>
      <c r="FTR22" s="93"/>
      <c r="FTS22" s="93"/>
      <c r="FTT22" s="93"/>
      <c r="FTU22" s="93"/>
      <c r="FTV22" s="93"/>
      <c r="FTW22" s="93"/>
      <c r="FTX22" s="93"/>
      <c r="FTY22" s="93"/>
      <c r="FTZ22" s="93"/>
      <c r="FUA22" s="93"/>
      <c r="FUB22" s="93"/>
      <c r="FUC22" s="93"/>
      <c r="FUD22" s="93"/>
      <c r="FUE22" s="93"/>
      <c r="FUF22" s="93"/>
      <c r="FUG22" s="93"/>
      <c r="FUH22" s="93"/>
      <c r="FUI22" s="93"/>
      <c r="FUJ22" s="93"/>
      <c r="FUK22" s="93"/>
      <c r="FUL22" s="93"/>
      <c r="FUM22" s="93"/>
      <c r="FUN22" s="93"/>
      <c r="FUO22" s="93"/>
      <c r="FUP22" s="93"/>
      <c r="FUQ22" s="93"/>
      <c r="FUR22" s="93"/>
      <c r="FUS22" s="93"/>
      <c r="FUT22" s="93"/>
      <c r="FUU22" s="93"/>
      <c r="FUV22" s="93"/>
      <c r="FUW22" s="93"/>
      <c r="FUX22" s="93"/>
      <c r="FUY22" s="93"/>
      <c r="FUZ22" s="93"/>
      <c r="FVA22" s="93"/>
      <c r="FVB22" s="93"/>
      <c r="FVC22" s="93"/>
      <c r="FVD22" s="93"/>
      <c r="FVE22" s="93"/>
      <c r="FVF22" s="93"/>
      <c r="FVG22" s="93"/>
      <c r="FVH22" s="93"/>
      <c r="FVI22" s="93"/>
      <c r="FVJ22" s="93"/>
      <c r="FVK22" s="93"/>
      <c r="FVL22" s="93"/>
      <c r="FVM22" s="93"/>
      <c r="FVN22" s="93"/>
      <c r="FVO22" s="93"/>
      <c r="FVP22" s="93"/>
      <c r="FVQ22" s="93"/>
      <c r="FVR22" s="93"/>
      <c r="FVS22" s="93"/>
      <c r="FVT22" s="93"/>
      <c r="FVU22" s="93"/>
      <c r="FVV22" s="93"/>
      <c r="FVW22" s="93"/>
      <c r="FVX22" s="93"/>
      <c r="FVY22" s="93"/>
      <c r="FVZ22" s="93"/>
      <c r="FWA22" s="93"/>
      <c r="FWB22" s="93"/>
      <c r="FWC22" s="93"/>
      <c r="FWD22" s="93"/>
      <c r="FWE22" s="93"/>
      <c r="FWF22" s="93"/>
      <c r="FWG22" s="93"/>
      <c r="FWH22" s="93"/>
      <c r="FWI22" s="93"/>
      <c r="FWJ22" s="93"/>
      <c r="FWK22" s="93"/>
      <c r="FWL22" s="93"/>
      <c r="FWM22" s="93"/>
      <c r="FWN22" s="93"/>
      <c r="FWO22" s="93"/>
      <c r="FWP22" s="93"/>
      <c r="FWQ22" s="93"/>
      <c r="FWR22" s="93"/>
      <c r="FWS22" s="93"/>
      <c r="FWT22" s="93"/>
      <c r="FWU22" s="93"/>
      <c r="FWV22" s="93"/>
      <c r="FWW22" s="93"/>
      <c r="FWX22" s="93"/>
      <c r="FWY22" s="93"/>
      <c r="FWZ22" s="93"/>
      <c r="FXA22" s="93"/>
      <c r="FXB22" s="93"/>
      <c r="FXC22" s="93"/>
      <c r="FXD22" s="93"/>
      <c r="FXE22" s="93"/>
      <c r="FXF22" s="93"/>
      <c r="FXG22" s="93"/>
      <c r="FXH22" s="93"/>
      <c r="FXI22" s="93"/>
      <c r="FXJ22" s="93"/>
      <c r="FXK22" s="93"/>
      <c r="FXL22" s="93"/>
      <c r="FXM22" s="93"/>
      <c r="FXN22" s="93"/>
      <c r="FXO22" s="93"/>
      <c r="FXP22" s="93"/>
      <c r="FXQ22" s="93"/>
      <c r="FXR22" s="93"/>
      <c r="FXS22" s="93"/>
      <c r="FXT22" s="93"/>
      <c r="FXU22" s="93"/>
      <c r="FXV22" s="93"/>
      <c r="FXW22" s="93"/>
      <c r="FXX22" s="93"/>
      <c r="FXY22" s="93"/>
      <c r="FXZ22" s="93"/>
      <c r="FYA22" s="93"/>
      <c r="FYB22" s="93"/>
      <c r="FYC22" s="93"/>
      <c r="FYD22" s="93"/>
      <c r="FYE22" s="93"/>
      <c r="FYF22" s="93"/>
      <c r="FYG22" s="93"/>
      <c r="FYH22" s="93"/>
      <c r="FYI22" s="93"/>
      <c r="FYJ22" s="93"/>
      <c r="FYK22" s="93"/>
      <c r="FYL22" s="93"/>
      <c r="FYM22" s="93"/>
      <c r="FYN22" s="93"/>
      <c r="FYO22" s="93"/>
      <c r="FYP22" s="93"/>
      <c r="FYQ22" s="93"/>
      <c r="FYR22" s="93"/>
      <c r="FYS22" s="93"/>
      <c r="FYT22" s="93"/>
      <c r="FYU22" s="93"/>
      <c r="FYV22" s="93"/>
      <c r="FYW22" s="93"/>
      <c r="FYX22" s="93"/>
      <c r="FYY22" s="93"/>
      <c r="FYZ22" s="93"/>
      <c r="FZA22" s="93"/>
      <c r="FZB22" s="93"/>
      <c r="FZC22" s="93"/>
      <c r="FZD22" s="93"/>
      <c r="FZE22" s="93"/>
      <c r="FZF22" s="93"/>
      <c r="FZG22" s="93"/>
      <c r="FZH22" s="93"/>
      <c r="FZI22" s="93"/>
      <c r="FZJ22" s="93"/>
      <c r="FZK22" s="93"/>
      <c r="FZL22" s="93"/>
      <c r="FZM22" s="93"/>
      <c r="FZN22" s="93"/>
      <c r="FZO22" s="93"/>
      <c r="FZP22" s="93"/>
      <c r="FZQ22" s="93"/>
      <c r="FZR22" s="93"/>
      <c r="FZS22" s="93"/>
      <c r="FZT22" s="93"/>
      <c r="FZU22" s="93"/>
      <c r="FZV22" s="93"/>
      <c r="FZW22" s="93"/>
      <c r="FZX22" s="93"/>
      <c r="FZY22" s="93"/>
      <c r="FZZ22" s="93"/>
      <c r="GAA22" s="93"/>
      <c r="GAB22" s="93"/>
      <c r="GAC22" s="93"/>
      <c r="GAD22" s="93"/>
      <c r="GAE22" s="93"/>
      <c r="GAF22" s="93"/>
      <c r="GAG22" s="93"/>
      <c r="GAH22" s="93"/>
      <c r="GAI22" s="93"/>
      <c r="GAJ22" s="93"/>
      <c r="GAK22" s="93"/>
      <c r="GAL22" s="93"/>
      <c r="GAM22" s="93"/>
      <c r="GAN22" s="93"/>
      <c r="GAO22" s="93"/>
      <c r="GAP22" s="93"/>
      <c r="GAQ22" s="93"/>
      <c r="GAR22" s="93"/>
      <c r="GAS22" s="93"/>
      <c r="GAT22" s="93"/>
      <c r="GAU22" s="93"/>
      <c r="GAV22" s="93"/>
      <c r="GAW22" s="93"/>
      <c r="GAX22" s="93"/>
      <c r="GAY22" s="93"/>
      <c r="GAZ22" s="93"/>
      <c r="GBA22" s="93"/>
      <c r="GBB22" s="93"/>
      <c r="GBC22" s="93"/>
      <c r="GBD22" s="93"/>
      <c r="GBE22" s="93"/>
      <c r="GBF22" s="93"/>
      <c r="GBG22" s="93"/>
      <c r="GBH22" s="93"/>
      <c r="GBI22" s="93"/>
      <c r="GBJ22" s="93"/>
      <c r="GBK22" s="93"/>
      <c r="GBL22" s="93"/>
      <c r="GBM22" s="93"/>
      <c r="GBN22" s="93"/>
      <c r="GBO22" s="93"/>
      <c r="GBP22" s="93"/>
      <c r="GBQ22" s="93"/>
      <c r="GBR22" s="93"/>
      <c r="GBS22" s="93"/>
      <c r="GBT22" s="93"/>
      <c r="GBU22" s="93"/>
      <c r="GBV22" s="93"/>
      <c r="GBW22" s="93"/>
      <c r="GBX22" s="93"/>
      <c r="GBY22" s="93"/>
      <c r="GBZ22" s="93"/>
      <c r="GCA22" s="93"/>
      <c r="GCB22" s="93"/>
      <c r="GCC22" s="93"/>
      <c r="GCD22" s="93"/>
      <c r="GCE22" s="93"/>
      <c r="GCF22" s="93"/>
      <c r="GCG22" s="93"/>
      <c r="GCH22" s="93"/>
      <c r="GCI22" s="93"/>
      <c r="GCJ22" s="93"/>
      <c r="GCK22" s="93"/>
      <c r="GCL22" s="93"/>
      <c r="GCM22" s="93"/>
      <c r="GCN22" s="93"/>
      <c r="GCO22" s="93"/>
      <c r="GCP22" s="93"/>
      <c r="GCQ22" s="93"/>
      <c r="GCR22" s="93"/>
      <c r="GCS22" s="93"/>
      <c r="GCT22" s="93"/>
      <c r="GCU22" s="93"/>
      <c r="GCV22" s="93"/>
      <c r="GCW22" s="93"/>
      <c r="GCX22" s="93"/>
      <c r="GCY22" s="93"/>
      <c r="GCZ22" s="93"/>
      <c r="GDA22" s="93"/>
      <c r="GDB22" s="93"/>
      <c r="GDC22" s="93"/>
      <c r="GDD22" s="93"/>
      <c r="GDE22" s="93"/>
      <c r="GDF22" s="93"/>
      <c r="GDG22" s="93"/>
      <c r="GDH22" s="93"/>
      <c r="GDI22" s="93"/>
      <c r="GDJ22" s="93"/>
      <c r="GDK22" s="93"/>
      <c r="GDL22" s="93"/>
      <c r="GDM22" s="93"/>
      <c r="GDN22" s="93"/>
      <c r="GDO22" s="93"/>
      <c r="GDP22" s="93"/>
      <c r="GDQ22" s="93"/>
      <c r="GDR22" s="93"/>
      <c r="GDS22" s="93"/>
      <c r="GDT22" s="93"/>
      <c r="GDU22" s="93"/>
      <c r="GDV22" s="93"/>
      <c r="GDW22" s="93"/>
      <c r="GDX22" s="93"/>
      <c r="GDY22" s="93"/>
      <c r="GDZ22" s="93"/>
      <c r="GEA22" s="93"/>
      <c r="GEB22" s="93"/>
      <c r="GEC22" s="93"/>
      <c r="GED22" s="93"/>
      <c r="GEE22" s="93"/>
      <c r="GEF22" s="93"/>
      <c r="GEG22" s="93"/>
      <c r="GEH22" s="93"/>
      <c r="GEI22" s="93"/>
      <c r="GEJ22" s="93"/>
      <c r="GEK22" s="93"/>
      <c r="GEL22" s="93"/>
      <c r="GEM22" s="93"/>
      <c r="GEN22" s="93"/>
      <c r="GEO22" s="93"/>
      <c r="GEP22" s="93"/>
      <c r="GEQ22" s="93"/>
      <c r="GER22" s="93"/>
      <c r="GES22" s="93"/>
      <c r="GET22" s="93"/>
      <c r="GEU22" s="93"/>
      <c r="GEV22" s="93"/>
      <c r="GEW22" s="93"/>
      <c r="GEX22" s="93"/>
      <c r="GEY22" s="93"/>
      <c r="GEZ22" s="93"/>
      <c r="GFA22" s="93"/>
      <c r="GFB22" s="93"/>
      <c r="GFC22" s="93"/>
      <c r="GFD22" s="93"/>
      <c r="GFE22" s="93"/>
      <c r="GFF22" s="93"/>
      <c r="GFG22" s="93"/>
      <c r="GFH22" s="93"/>
      <c r="GFI22" s="93"/>
      <c r="GFJ22" s="93"/>
      <c r="GFK22" s="93"/>
      <c r="GFL22" s="93"/>
      <c r="GFM22" s="93"/>
      <c r="GFN22" s="93"/>
      <c r="GFO22" s="93"/>
      <c r="GFP22" s="93"/>
      <c r="GFQ22" s="93"/>
      <c r="GFR22" s="93"/>
      <c r="GFS22" s="93"/>
      <c r="GFT22" s="93"/>
      <c r="GFU22" s="93"/>
      <c r="GFV22" s="93"/>
      <c r="GFW22" s="93"/>
      <c r="GFX22" s="93"/>
      <c r="GFY22" s="93"/>
      <c r="GFZ22" s="93"/>
      <c r="GGA22" s="93"/>
      <c r="GGB22" s="93"/>
      <c r="GGC22" s="93"/>
      <c r="GGD22" s="93"/>
      <c r="GGE22" s="93"/>
      <c r="GGF22" s="93"/>
      <c r="GGG22" s="93"/>
      <c r="GGH22" s="93"/>
      <c r="GGI22" s="93"/>
      <c r="GGJ22" s="93"/>
      <c r="GGK22" s="93"/>
      <c r="GGL22" s="93"/>
      <c r="GGM22" s="93"/>
      <c r="GGN22" s="93"/>
      <c r="GGO22" s="93"/>
      <c r="GGP22" s="93"/>
      <c r="GGQ22" s="93"/>
      <c r="GGR22" s="93"/>
      <c r="GGS22" s="93"/>
      <c r="GGT22" s="93"/>
      <c r="GGU22" s="93"/>
      <c r="GGV22" s="93"/>
      <c r="GGW22" s="93"/>
      <c r="GGX22" s="93"/>
      <c r="GGY22" s="93"/>
      <c r="GGZ22" s="93"/>
      <c r="GHA22" s="93"/>
      <c r="GHB22" s="93"/>
      <c r="GHC22" s="93"/>
      <c r="GHD22" s="93"/>
      <c r="GHE22" s="93"/>
      <c r="GHF22" s="93"/>
      <c r="GHG22" s="93"/>
      <c r="GHH22" s="93"/>
      <c r="GHI22" s="93"/>
      <c r="GHJ22" s="93"/>
      <c r="GHK22" s="93"/>
      <c r="GHL22" s="93"/>
      <c r="GHM22" s="93"/>
      <c r="GHN22" s="93"/>
      <c r="GHO22" s="93"/>
      <c r="GHP22" s="93"/>
      <c r="GHQ22" s="93"/>
      <c r="GHR22" s="93"/>
      <c r="GHS22" s="93"/>
      <c r="GHT22" s="93"/>
      <c r="GHU22" s="93"/>
      <c r="GHV22" s="93"/>
      <c r="GHW22" s="93"/>
      <c r="GHX22" s="93"/>
      <c r="GHY22" s="93"/>
      <c r="GHZ22" s="93"/>
      <c r="GIA22" s="93"/>
      <c r="GIB22" s="93"/>
      <c r="GIC22" s="93"/>
      <c r="GID22" s="93"/>
      <c r="GIE22" s="93"/>
      <c r="GIF22" s="93"/>
      <c r="GIG22" s="93"/>
      <c r="GIH22" s="93"/>
      <c r="GII22" s="93"/>
      <c r="GIJ22" s="93"/>
      <c r="GIK22" s="93"/>
      <c r="GIL22" s="93"/>
      <c r="GIM22" s="93"/>
      <c r="GIN22" s="93"/>
      <c r="GIO22" s="93"/>
      <c r="GIP22" s="93"/>
      <c r="GIQ22" s="93"/>
      <c r="GIR22" s="93"/>
      <c r="GIS22" s="93"/>
      <c r="GIT22" s="93"/>
      <c r="GIU22" s="93"/>
      <c r="GIV22" s="93"/>
      <c r="GIW22" s="93"/>
      <c r="GIX22" s="93"/>
      <c r="GIY22" s="93"/>
      <c r="GIZ22" s="93"/>
      <c r="GJA22" s="93"/>
      <c r="GJB22" s="93"/>
      <c r="GJC22" s="93"/>
      <c r="GJD22" s="93"/>
      <c r="GJE22" s="93"/>
      <c r="GJF22" s="93"/>
      <c r="GJG22" s="93"/>
      <c r="GJH22" s="93"/>
      <c r="GJI22" s="93"/>
      <c r="GJJ22" s="93"/>
      <c r="GJK22" s="93"/>
      <c r="GJL22" s="93"/>
      <c r="GJM22" s="93"/>
      <c r="GJN22" s="93"/>
      <c r="GJO22" s="93"/>
      <c r="GJP22" s="93"/>
      <c r="GJQ22" s="93"/>
      <c r="GJR22" s="93"/>
      <c r="GJS22" s="93"/>
      <c r="GJT22" s="93"/>
      <c r="GJU22" s="93"/>
      <c r="GJV22" s="93"/>
      <c r="GJW22" s="93"/>
      <c r="GJX22" s="93"/>
      <c r="GJY22" s="93"/>
      <c r="GJZ22" s="93"/>
      <c r="GKA22" s="93"/>
      <c r="GKB22" s="93"/>
      <c r="GKC22" s="93"/>
      <c r="GKD22" s="93"/>
      <c r="GKE22" s="93"/>
      <c r="GKF22" s="93"/>
      <c r="GKG22" s="93"/>
      <c r="GKH22" s="93"/>
      <c r="GKI22" s="93"/>
      <c r="GKJ22" s="93"/>
      <c r="GKK22" s="93"/>
      <c r="GKL22" s="93"/>
      <c r="GKM22" s="93"/>
      <c r="GKN22" s="93"/>
      <c r="GKO22" s="93"/>
      <c r="GKP22" s="93"/>
      <c r="GKQ22" s="93"/>
      <c r="GKR22" s="93"/>
      <c r="GKS22" s="93"/>
      <c r="GKT22" s="93"/>
      <c r="GKU22" s="93"/>
      <c r="GKV22" s="93"/>
      <c r="GKW22" s="93"/>
      <c r="GKX22" s="93"/>
      <c r="GKY22" s="93"/>
      <c r="GKZ22" s="93"/>
      <c r="GLA22" s="93"/>
      <c r="GLB22" s="93"/>
      <c r="GLC22" s="93"/>
      <c r="GLD22" s="93"/>
      <c r="GLE22" s="93"/>
      <c r="GLF22" s="93"/>
      <c r="GLG22" s="93"/>
      <c r="GLH22" s="93"/>
      <c r="GLI22" s="93"/>
      <c r="GLJ22" s="93"/>
      <c r="GLK22" s="93"/>
      <c r="GLL22" s="93"/>
      <c r="GLM22" s="93"/>
      <c r="GLN22" s="93"/>
      <c r="GLO22" s="93"/>
      <c r="GLP22" s="93"/>
      <c r="GLQ22" s="93"/>
      <c r="GLR22" s="93"/>
      <c r="GLS22" s="93"/>
      <c r="GLT22" s="93"/>
      <c r="GLU22" s="93"/>
      <c r="GLV22" s="93"/>
      <c r="GLW22" s="93"/>
      <c r="GLX22" s="93"/>
      <c r="GLY22" s="93"/>
      <c r="GLZ22" s="93"/>
      <c r="GMA22" s="93"/>
      <c r="GMB22" s="93"/>
      <c r="GMC22" s="93"/>
      <c r="GMD22" s="93"/>
      <c r="GME22" s="93"/>
      <c r="GMF22" s="93"/>
      <c r="GMG22" s="93"/>
      <c r="GMH22" s="93"/>
      <c r="GMI22" s="93"/>
      <c r="GMJ22" s="93"/>
      <c r="GMK22" s="93"/>
      <c r="GML22" s="93"/>
      <c r="GMM22" s="93"/>
      <c r="GMN22" s="93"/>
      <c r="GMO22" s="93"/>
      <c r="GMP22" s="93"/>
      <c r="GMQ22" s="93"/>
      <c r="GMR22" s="93"/>
      <c r="GMS22" s="93"/>
      <c r="GMT22" s="93"/>
      <c r="GMU22" s="93"/>
      <c r="GMV22" s="93"/>
      <c r="GMW22" s="93"/>
      <c r="GMX22" s="93"/>
      <c r="GMY22" s="93"/>
      <c r="GMZ22" s="93"/>
      <c r="GNA22" s="93"/>
      <c r="GNB22" s="93"/>
      <c r="GNC22" s="93"/>
      <c r="GND22" s="93"/>
      <c r="GNE22" s="93"/>
      <c r="GNF22" s="93"/>
      <c r="GNG22" s="93"/>
      <c r="GNH22" s="93"/>
      <c r="GNI22" s="93"/>
      <c r="GNJ22" s="93"/>
      <c r="GNK22" s="93"/>
      <c r="GNL22" s="93"/>
      <c r="GNM22" s="93"/>
      <c r="GNN22" s="93"/>
      <c r="GNO22" s="93"/>
      <c r="GNP22" s="93"/>
      <c r="GNQ22" s="93"/>
      <c r="GNR22" s="93"/>
      <c r="GNS22" s="93"/>
      <c r="GNT22" s="93"/>
      <c r="GNU22" s="93"/>
      <c r="GNV22" s="93"/>
      <c r="GNW22" s="93"/>
      <c r="GNX22" s="93"/>
      <c r="GNY22" s="93"/>
      <c r="GNZ22" s="93"/>
      <c r="GOA22" s="93"/>
      <c r="GOB22" s="93"/>
      <c r="GOC22" s="93"/>
      <c r="GOD22" s="93"/>
      <c r="GOE22" s="93"/>
      <c r="GOF22" s="93"/>
      <c r="GOG22" s="93"/>
      <c r="GOH22" s="93"/>
      <c r="GOI22" s="93"/>
      <c r="GOJ22" s="93"/>
      <c r="GOK22" s="93"/>
      <c r="GOL22" s="93"/>
      <c r="GOM22" s="93"/>
      <c r="GON22" s="93"/>
      <c r="GOO22" s="93"/>
      <c r="GOP22" s="93"/>
      <c r="GOQ22" s="93"/>
      <c r="GOR22" s="93"/>
      <c r="GOS22" s="93"/>
      <c r="GOT22" s="93"/>
      <c r="GOU22" s="93"/>
      <c r="GOV22" s="93"/>
      <c r="GOW22" s="93"/>
      <c r="GOX22" s="93"/>
      <c r="GOY22" s="93"/>
      <c r="GOZ22" s="93"/>
      <c r="GPA22" s="93"/>
      <c r="GPB22" s="93"/>
      <c r="GPC22" s="93"/>
      <c r="GPD22" s="93"/>
      <c r="GPE22" s="93"/>
      <c r="GPF22" s="93"/>
      <c r="GPG22" s="93"/>
      <c r="GPH22" s="93"/>
      <c r="GPI22" s="93"/>
      <c r="GPJ22" s="93"/>
      <c r="GPK22" s="93"/>
      <c r="GPL22" s="93"/>
      <c r="GPM22" s="93"/>
      <c r="GPN22" s="93"/>
      <c r="GPO22" s="93"/>
      <c r="GPP22" s="93"/>
      <c r="GPQ22" s="93"/>
      <c r="GPR22" s="93"/>
      <c r="GPS22" s="93"/>
      <c r="GPT22" s="93"/>
      <c r="GPU22" s="93"/>
      <c r="GPV22" s="93"/>
      <c r="GPW22" s="93"/>
      <c r="GPX22" s="93"/>
      <c r="GPY22" s="93"/>
      <c r="GPZ22" s="93"/>
      <c r="GQA22" s="93"/>
      <c r="GQB22" s="93"/>
      <c r="GQC22" s="93"/>
      <c r="GQD22" s="93"/>
      <c r="GQE22" s="93"/>
      <c r="GQF22" s="93"/>
      <c r="GQG22" s="93"/>
      <c r="GQH22" s="93"/>
      <c r="GQI22" s="93"/>
      <c r="GQJ22" s="93"/>
      <c r="GQK22" s="93"/>
      <c r="GQL22" s="93"/>
      <c r="GQM22" s="93"/>
      <c r="GQN22" s="93"/>
      <c r="GQO22" s="93"/>
      <c r="GQP22" s="93"/>
      <c r="GQQ22" s="93"/>
      <c r="GQR22" s="93"/>
      <c r="GQS22" s="93"/>
      <c r="GQT22" s="93"/>
      <c r="GQU22" s="93"/>
      <c r="GQV22" s="93"/>
      <c r="GQW22" s="93"/>
      <c r="GQX22" s="93"/>
      <c r="GQY22" s="93"/>
      <c r="GQZ22" s="93"/>
      <c r="GRA22" s="93"/>
      <c r="GRB22" s="93"/>
      <c r="GRC22" s="93"/>
      <c r="GRD22" s="93"/>
      <c r="GRE22" s="93"/>
      <c r="GRF22" s="93"/>
      <c r="GRG22" s="93"/>
      <c r="GRH22" s="93"/>
      <c r="GRI22" s="93"/>
      <c r="GRJ22" s="93"/>
      <c r="GRK22" s="93"/>
      <c r="GRL22" s="93"/>
      <c r="GRM22" s="93"/>
      <c r="GRN22" s="93"/>
      <c r="GRO22" s="93"/>
      <c r="GRP22" s="93"/>
      <c r="GRQ22" s="93"/>
      <c r="GRR22" s="93"/>
      <c r="GRS22" s="93"/>
      <c r="GRT22" s="93"/>
      <c r="GRU22" s="93"/>
      <c r="GRV22" s="93"/>
      <c r="GRW22" s="93"/>
      <c r="GRX22" s="93"/>
      <c r="GRY22" s="93"/>
      <c r="GRZ22" s="93"/>
      <c r="GSA22" s="93"/>
      <c r="GSB22" s="93"/>
      <c r="GSC22" s="93"/>
      <c r="GSD22" s="93"/>
      <c r="GSE22" s="93"/>
      <c r="GSF22" s="93"/>
      <c r="GSG22" s="93"/>
      <c r="GSH22" s="93"/>
      <c r="GSI22" s="93"/>
      <c r="GSJ22" s="93"/>
      <c r="GSK22" s="93"/>
      <c r="GSL22" s="93"/>
      <c r="GSM22" s="93"/>
      <c r="GSN22" s="93"/>
      <c r="GSO22" s="93"/>
      <c r="GSP22" s="93"/>
      <c r="GSQ22" s="93"/>
      <c r="GSR22" s="93"/>
      <c r="GSS22" s="93"/>
      <c r="GST22" s="93"/>
      <c r="GSU22" s="93"/>
      <c r="GSV22" s="93"/>
      <c r="GSW22" s="93"/>
      <c r="GSX22" s="93"/>
      <c r="GSY22" s="93"/>
      <c r="GSZ22" s="93"/>
      <c r="GTA22" s="93"/>
      <c r="GTB22" s="93"/>
      <c r="GTC22" s="93"/>
      <c r="GTD22" s="93"/>
      <c r="GTE22" s="93"/>
      <c r="GTF22" s="93"/>
      <c r="GTG22" s="93"/>
      <c r="GTH22" s="93"/>
      <c r="GTI22" s="93"/>
      <c r="GTJ22" s="93"/>
      <c r="GTK22" s="93"/>
      <c r="GTL22" s="93"/>
      <c r="GTM22" s="93"/>
      <c r="GTN22" s="93"/>
      <c r="GTO22" s="93"/>
      <c r="GTP22" s="93"/>
      <c r="GTQ22" s="93"/>
      <c r="GTR22" s="93"/>
      <c r="GTS22" s="93"/>
      <c r="GTT22" s="93"/>
      <c r="GTU22" s="93"/>
      <c r="GTV22" s="93"/>
      <c r="GTW22" s="93"/>
      <c r="GTX22" s="93"/>
      <c r="GTY22" s="93"/>
      <c r="GTZ22" s="93"/>
      <c r="GUA22" s="93"/>
      <c r="GUB22" s="93"/>
      <c r="GUC22" s="93"/>
      <c r="GUD22" s="93"/>
      <c r="GUE22" s="93"/>
      <c r="GUF22" s="93"/>
      <c r="GUG22" s="93"/>
      <c r="GUH22" s="93"/>
      <c r="GUI22" s="93"/>
      <c r="GUJ22" s="93"/>
      <c r="GUK22" s="93"/>
      <c r="GUL22" s="93"/>
      <c r="GUM22" s="93"/>
      <c r="GUN22" s="93"/>
      <c r="GUO22" s="93"/>
      <c r="GUP22" s="93"/>
      <c r="GUQ22" s="93"/>
      <c r="GUR22" s="93"/>
      <c r="GUS22" s="93"/>
      <c r="GUT22" s="93"/>
      <c r="GUU22" s="93"/>
      <c r="GUV22" s="93"/>
      <c r="GUW22" s="93"/>
      <c r="GUX22" s="93"/>
      <c r="GUY22" s="93"/>
      <c r="GUZ22" s="93"/>
      <c r="GVA22" s="93"/>
      <c r="GVB22" s="93"/>
      <c r="GVC22" s="93"/>
      <c r="GVD22" s="93"/>
      <c r="GVE22" s="93"/>
      <c r="GVF22" s="93"/>
      <c r="GVG22" s="93"/>
      <c r="GVH22" s="93"/>
      <c r="GVI22" s="93"/>
      <c r="GVJ22" s="93"/>
      <c r="GVK22" s="93"/>
      <c r="GVL22" s="93"/>
      <c r="GVM22" s="93"/>
      <c r="GVN22" s="93"/>
      <c r="GVO22" s="93"/>
      <c r="GVP22" s="93"/>
      <c r="GVQ22" s="93"/>
      <c r="GVR22" s="93"/>
      <c r="GVS22" s="93"/>
      <c r="GVT22" s="93"/>
      <c r="GVU22" s="93"/>
      <c r="GVV22" s="93"/>
      <c r="GVW22" s="93"/>
      <c r="GVX22" s="93"/>
      <c r="GVY22" s="93"/>
      <c r="GVZ22" s="93"/>
      <c r="GWA22" s="93"/>
      <c r="GWB22" s="93"/>
      <c r="GWC22" s="93"/>
      <c r="GWD22" s="93"/>
      <c r="GWE22" s="93"/>
      <c r="GWF22" s="93"/>
      <c r="GWG22" s="93"/>
      <c r="GWH22" s="93"/>
      <c r="GWI22" s="93"/>
      <c r="GWJ22" s="93"/>
      <c r="GWK22" s="93"/>
      <c r="GWL22" s="93"/>
      <c r="GWM22" s="93"/>
      <c r="GWN22" s="93"/>
      <c r="GWO22" s="93"/>
      <c r="GWP22" s="93"/>
      <c r="GWQ22" s="93"/>
      <c r="GWR22" s="93"/>
      <c r="GWS22" s="93"/>
      <c r="GWT22" s="93"/>
      <c r="GWU22" s="93"/>
      <c r="GWV22" s="93"/>
      <c r="GWW22" s="93"/>
      <c r="GWX22" s="93"/>
      <c r="GWY22" s="93"/>
      <c r="GWZ22" s="93"/>
      <c r="GXA22" s="93"/>
      <c r="GXB22" s="93"/>
      <c r="GXC22" s="93"/>
      <c r="GXD22" s="93"/>
      <c r="GXE22" s="93"/>
      <c r="GXF22" s="93"/>
      <c r="GXG22" s="93"/>
      <c r="GXH22" s="93"/>
      <c r="GXI22" s="93"/>
      <c r="GXJ22" s="93"/>
      <c r="GXK22" s="93"/>
      <c r="GXL22" s="93"/>
      <c r="GXM22" s="93"/>
      <c r="GXN22" s="93"/>
      <c r="GXO22" s="93"/>
      <c r="GXP22" s="93"/>
      <c r="GXQ22" s="93"/>
      <c r="GXR22" s="93"/>
      <c r="GXS22" s="93"/>
      <c r="GXT22" s="93"/>
      <c r="GXU22" s="93"/>
      <c r="GXV22" s="93"/>
      <c r="GXW22" s="93"/>
      <c r="GXX22" s="93"/>
      <c r="GXY22" s="93"/>
      <c r="GXZ22" s="93"/>
      <c r="GYA22" s="93"/>
      <c r="GYB22" s="93"/>
      <c r="GYC22" s="93"/>
      <c r="GYD22" s="93"/>
      <c r="GYE22" s="93"/>
      <c r="GYF22" s="93"/>
      <c r="GYG22" s="93"/>
      <c r="GYH22" s="93"/>
      <c r="GYI22" s="93"/>
      <c r="GYJ22" s="93"/>
      <c r="GYK22" s="93"/>
      <c r="GYL22" s="93"/>
      <c r="GYM22" s="93"/>
      <c r="GYN22" s="93"/>
      <c r="GYO22" s="93"/>
      <c r="GYP22" s="93"/>
      <c r="GYQ22" s="93"/>
      <c r="GYR22" s="93"/>
      <c r="GYS22" s="93"/>
      <c r="GYT22" s="93"/>
      <c r="GYU22" s="93"/>
      <c r="GYV22" s="93"/>
      <c r="GYW22" s="93"/>
      <c r="GYX22" s="93"/>
      <c r="GYY22" s="93"/>
      <c r="GYZ22" s="93"/>
      <c r="GZA22" s="93"/>
      <c r="GZB22" s="93"/>
      <c r="GZC22" s="93"/>
      <c r="GZD22" s="93"/>
      <c r="GZE22" s="93"/>
      <c r="GZF22" s="93"/>
      <c r="GZG22" s="93"/>
      <c r="GZH22" s="93"/>
      <c r="GZI22" s="93"/>
      <c r="GZJ22" s="93"/>
      <c r="GZK22" s="93"/>
      <c r="GZL22" s="93"/>
      <c r="GZM22" s="93"/>
      <c r="GZN22" s="93"/>
      <c r="GZO22" s="93"/>
      <c r="GZP22" s="93"/>
      <c r="GZQ22" s="93"/>
      <c r="GZR22" s="93"/>
      <c r="GZS22" s="93"/>
      <c r="GZT22" s="93"/>
      <c r="GZU22" s="93"/>
      <c r="GZV22" s="93"/>
      <c r="GZW22" s="93"/>
      <c r="GZX22" s="93"/>
      <c r="GZY22" s="93"/>
      <c r="GZZ22" s="93"/>
      <c r="HAA22" s="93"/>
      <c r="HAB22" s="93"/>
      <c r="HAC22" s="93"/>
      <c r="HAD22" s="93"/>
      <c r="HAE22" s="93"/>
      <c r="HAF22" s="93"/>
      <c r="HAG22" s="93"/>
      <c r="HAH22" s="93"/>
      <c r="HAI22" s="93"/>
      <c r="HAJ22" s="93"/>
      <c r="HAK22" s="93"/>
      <c r="HAL22" s="93"/>
      <c r="HAM22" s="93"/>
      <c r="HAN22" s="93"/>
      <c r="HAO22" s="93"/>
      <c r="HAP22" s="93"/>
      <c r="HAQ22" s="93"/>
      <c r="HAR22" s="93"/>
      <c r="HAS22" s="93"/>
      <c r="HAT22" s="93"/>
      <c r="HAU22" s="93"/>
      <c r="HAV22" s="93"/>
      <c r="HAW22" s="93"/>
      <c r="HAX22" s="93"/>
      <c r="HAY22" s="93"/>
      <c r="HAZ22" s="93"/>
      <c r="HBA22" s="93"/>
      <c r="HBB22" s="93"/>
      <c r="HBC22" s="93"/>
      <c r="HBD22" s="93"/>
      <c r="HBE22" s="93"/>
      <c r="HBF22" s="93"/>
      <c r="HBG22" s="93"/>
      <c r="HBH22" s="93"/>
      <c r="HBI22" s="93"/>
      <c r="HBJ22" s="93"/>
      <c r="HBK22" s="93"/>
      <c r="HBL22" s="93"/>
      <c r="HBM22" s="93"/>
      <c r="HBN22" s="93"/>
      <c r="HBO22" s="93"/>
      <c r="HBP22" s="93"/>
      <c r="HBQ22" s="93"/>
      <c r="HBR22" s="93"/>
      <c r="HBS22" s="93"/>
      <c r="HBT22" s="93"/>
      <c r="HBU22" s="93"/>
      <c r="HBV22" s="93"/>
      <c r="HBW22" s="93"/>
      <c r="HBX22" s="93"/>
      <c r="HBY22" s="93"/>
      <c r="HBZ22" s="93"/>
      <c r="HCA22" s="93"/>
      <c r="HCB22" s="93"/>
      <c r="HCC22" s="93"/>
      <c r="HCD22" s="93"/>
      <c r="HCE22" s="93"/>
      <c r="HCF22" s="93"/>
      <c r="HCG22" s="93"/>
      <c r="HCH22" s="93"/>
      <c r="HCI22" s="93"/>
      <c r="HCJ22" s="93"/>
      <c r="HCK22" s="93"/>
      <c r="HCL22" s="93"/>
      <c r="HCM22" s="93"/>
      <c r="HCN22" s="93"/>
      <c r="HCO22" s="93"/>
      <c r="HCP22" s="93"/>
      <c r="HCQ22" s="93"/>
      <c r="HCR22" s="93"/>
      <c r="HCS22" s="93"/>
      <c r="HCT22" s="93"/>
      <c r="HCU22" s="93"/>
      <c r="HCV22" s="93"/>
      <c r="HCW22" s="93"/>
      <c r="HCX22" s="93"/>
      <c r="HCY22" s="93"/>
      <c r="HCZ22" s="93"/>
      <c r="HDA22" s="93"/>
      <c r="HDB22" s="93"/>
      <c r="HDC22" s="93"/>
      <c r="HDD22" s="93"/>
      <c r="HDE22" s="93"/>
      <c r="HDF22" s="93"/>
      <c r="HDG22" s="93"/>
      <c r="HDH22" s="93"/>
      <c r="HDI22" s="93"/>
      <c r="HDJ22" s="93"/>
      <c r="HDK22" s="93"/>
      <c r="HDL22" s="93"/>
      <c r="HDM22" s="93"/>
      <c r="HDN22" s="93"/>
      <c r="HDO22" s="93"/>
      <c r="HDP22" s="93"/>
      <c r="HDQ22" s="93"/>
      <c r="HDR22" s="93"/>
      <c r="HDS22" s="93"/>
      <c r="HDT22" s="93"/>
      <c r="HDU22" s="93"/>
      <c r="HDV22" s="93"/>
      <c r="HDW22" s="93"/>
      <c r="HDX22" s="93"/>
      <c r="HDY22" s="93"/>
      <c r="HDZ22" s="93"/>
      <c r="HEA22" s="93"/>
      <c r="HEB22" s="93"/>
      <c r="HEC22" s="93"/>
      <c r="HED22" s="93"/>
      <c r="HEE22" s="93"/>
      <c r="HEF22" s="93"/>
      <c r="HEG22" s="93"/>
      <c r="HEH22" s="93"/>
      <c r="HEI22" s="93"/>
      <c r="HEJ22" s="93"/>
      <c r="HEK22" s="93"/>
      <c r="HEL22" s="93"/>
      <c r="HEM22" s="93"/>
      <c r="HEN22" s="93"/>
      <c r="HEO22" s="93"/>
      <c r="HEP22" s="93"/>
      <c r="HEQ22" s="93"/>
      <c r="HER22" s="93"/>
      <c r="HES22" s="93"/>
      <c r="HET22" s="93"/>
      <c r="HEU22" s="93"/>
      <c r="HEV22" s="93"/>
      <c r="HEW22" s="93"/>
      <c r="HEX22" s="93"/>
      <c r="HEY22" s="93"/>
      <c r="HEZ22" s="93"/>
      <c r="HFA22" s="93"/>
      <c r="HFB22" s="93"/>
      <c r="HFC22" s="93"/>
      <c r="HFD22" s="93"/>
      <c r="HFE22" s="93"/>
      <c r="HFF22" s="93"/>
      <c r="HFG22" s="93"/>
      <c r="HFH22" s="93"/>
      <c r="HFI22" s="93"/>
      <c r="HFJ22" s="93"/>
      <c r="HFK22" s="93"/>
      <c r="HFL22" s="93"/>
      <c r="HFM22" s="93"/>
      <c r="HFN22" s="93"/>
      <c r="HFO22" s="93"/>
      <c r="HFP22" s="93"/>
      <c r="HFQ22" s="93"/>
      <c r="HFR22" s="93"/>
      <c r="HFS22" s="93"/>
      <c r="HFT22" s="93"/>
      <c r="HFU22" s="93"/>
      <c r="HFV22" s="93"/>
      <c r="HFW22" s="93"/>
      <c r="HFX22" s="93"/>
      <c r="HFY22" s="93"/>
      <c r="HFZ22" s="93"/>
      <c r="HGA22" s="93"/>
      <c r="HGB22" s="93"/>
      <c r="HGC22" s="93"/>
      <c r="HGD22" s="93"/>
      <c r="HGE22" s="93"/>
      <c r="HGF22" s="93"/>
      <c r="HGG22" s="93"/>
      <c r="HGH22" s="93"/>
      <c r="HGI22" s="93"/>
      <c r="HGJ22" s="93"/>
      <c r="HGK22" s="93"/>
      <c r="HGL22" s="93"/>
      <c r="HGM22" s="93"/>
      <c r="HGN22" s="93"/>
      <c r="HGO22" s="93"/>
      <c r="HGP22" s="93"/>
      <c r="HGQ22" s="93"/>
      <c r="HGR22" s="93"/>
      <c r="HGS22" s="93"/>
      <c r="HGT22" s="93"/>
      <c r="HGU22" s="93"/>
      <c r="HGV22" s="93"/>
      <c r="HGW22" s="93"/>
      <c r="HGX22" s="93"/>
      <c r="HGY22" s="93"/>
      <c r="HGZ22" s="93"/>
      <c r="HHA22" s="93"/>
      <c r="HHB22" s="93"/>
      <c r="HHC22" s="93"/>
      <c r="HHD22" s="93"/>
      <c r="HHE22" s="93"/>
      <c r="HHF22" s="93"/>
      <c r="HHG22" s="93"/>
      <c r="HHH22" s="93"/>
      <c r="HHI22" s="93"/>
      <c r="HHJ22" s="93"/>
      <c r="HHK22" s="93"/>
      <c r="HHL22" s="93"/>
      <c r="HHM22" s="93"/>
      <c r="HHN22" s="93"/>
      <c r="HHO22" s="93"/>
      <c r="HHP22" s="93"/>
      <c r="HHQ22" s="93"/>
      <c r="HHR22" s="93"/>
      <c r="HHS22" s="93"/>
      <c r="HHT22" s="93"/>
      <c r="HHU22" s="93"/>
      <c r="HHV22" s="93"/>
      <c r="HHW22" s="93"/>
      <c r="HHX22" s="93"/>
      <c r="HHY22" s="93"/>
      <c r="HHZ22" s="93"/>
      <c r="HIA22" s="93"/>
      <c r="HIB22" s="93"/>
      <c r="HIC22" s="93"/>
      <c r="HID22" s="93"/>
      <c r="HIE22" s="93"/>
      <c r="HIF22" s="93"/>
      <c r="HIG22" s="93"/>
      <c r="HIH22" s="93"/>
      <c r="HII22" s="93"/>
      <c r="HIJ22" s="93"/>
      <c r="HIK22" s="93"/>
      <c r="HIL22" s="93"/>
      <c r="HIM22" s="93"/>
      <c r="HIN22" s="93"/>
      <c r="HIO22" s="93"/>
      <c r="HIP22" s="93"/>
      <c r="HIQ22" s="93"/>
      <c r="HIR22" s="93"/>
      <c r="HIS22" s="93"/>
      <c r="HIT22" s="93"/>
      <c r="HIU22" s="93"/>
      <c r="HIV22" s="93"/>
      <c r="HIW22" s="93"/>
      <c r="HIX22" s="93"/>
      <c r="HIY22" s="93"/>
      <c r="HIZ22" s="93"/>
      <c r="HJA22" s="93"/>
      <c r="HJB22" s="93"/>
      <c r="HJC22" s="93"/>
      <c r="HJD22" s="93"/>
      <c r="HJE22" s="93"/>
      <c r="HJF22" s="93"/>
      <c r="HJG22" s="93"/>
      <c r="HJH22" s="93"/>
      <c r="HJI22" s="93"/>
      <c r="HJJ22" s="93"/>
      <c r="HJK22" s="93"/>
      <c r="HJL22" s="93"/>
      <c r="HJM22" s="93"/>
      <c r="HJN22" s="93"/>
      <c r="HJO22" s="93"/>
      <c r="HJP22" s="93"/>
      <c r="HJQ22" s="93"/>
      <c r="HJR22" s="93"/>
      <c r="HJS22" s="93"/>
      <c r="HJT22" s="93"/>
      <c r="HJU22" s="93"/>
      <c r="HJV22" s="93"/>
      <c r="HJW22" s="93"/>
      <c r="HJX22" s="93"/>
      <c r="HJY22" s="93"/>
      <c r="HJZ22" s="93"/>
      <c r="HKA22" s="93"/>
      <c r="HKB22" s="93"/>
      <c r="HKC22" s="93"/>
      <c r="HKD22" s="93"/>
      <c r="HKE22" s="93"/>
      <c r="HKF22" s="93"/>
      <c r="HKG22" s="93"/>
      <c r="HKH22" s="93"/>
      <c r="HKI22" s="93"/>
      <c r="HKJ22" s="93"/>
      <c r="HKK22" s="93"/>
      <c r="HKL22" s="93"/>
      <c r="HKM22" s="93"/>
      <c r="HKN22" s="93"/>
      <c r="HKO22" s="93"/>
      <c r="HKP22" s="93"/>
      <c r="HKQ22" s="93"/>
      <c r="HKR22" s="93"/>
      <c r="HKS22" s="93"/>
      <c r="HKT22" s="93"/>
      <c r="HKU22" s="93"/>
      <c r="HKV22" s="93"/>
      <c r="HKW22" s="93"/>
      <c r="HKX22" s="93"/>
      <c r="HKY22" s="93"/>
      <c r="HKZ22" s="93"/>
      <c r="HLA22" s="93"/>
      <c r="HLB22" s="93"/>
      <c r="HLC22" s="93"/>
      <c r="HLD22" s="93"/>
      <c r="HLE22" s="93"/>
      <c r="HLF22" s="93"/>
      <c r="HLG22" s="93"/>
      <c r="HLH22" s="93"/>
      <c r="HLI22" s="93"/>
      <c r="HLJ22" s="93"/>
      <c r="HLK22" s="93"/>
      <c r="HLL22" s="93"/>
      <c r="HLM22" s="93"/>
      <c r="HLN22" s="93"/>
      <c r="HLO22" s="93"/>
      <c r="HLP22" s="93"/>
      <c r="HLQ22" s="93"/>
      <c r="HLR22" s="93"/>
      <c r="HLS22" s="93"/>
      <c r="HLT22" s="93"/>
      <c r="HLU22" s="93"/>
      <c r="HLV22" s="93"/>
      <c r="HLW22" s="93"/>
      <c r="HLX22" s="93"/>
      <c r="HLY22" s="93"/>
      <c r="HLZ22" s="93"/>
      <c r="HMA22" s="93"/>
      <c r="HMB22" s="93"/>
      <c r="HMC22" s="93"/>
      <c r="HMD22" s="93"/>
      <c r="HME22" s="93"/>
      <c r="HMF22" s="93"/>
      <c r="HMG22" s="93"/>
      <c r="HMH22" s="93"/>
      <c r="HMI22" s="93"/>
      <c r="HMJ22" s="93"/>
      <c r="HMK22" s="93"/>
      <c r="HML22" s="93"/>
      <c r="HMM22" s="93"/>
      <c r="HMN22" s="93"/>
      <c r="HMO22" s="93"/>
      <c r="HMP22" s="93"/>
      <c r="HMQ22" s="93"/>
      <c r="HMR22" s="93"/>
      <c r="HMS22" s="93"/>
      <c r="HMT22" s="93"/>
      <c r="HMU22" s="93"/>
      <c r="HMV22" s="93"/>
      <c r="HMW22" s="93"/>
      <c r="HMX22" s="93"/>
      <c r="HMY22" s="93"/>
      <c r="HMZ22" s="93"/>
      <c r="HNA22" s="93"/>
      <c r="HNB22" s="93"/>
      <c r="HNC22" s="93"/>
      <c r="HND22" s="93"/>
      <c r="HNE22" s="93"/>
      <c r="HNF22" s="93"/>
      <c r="HNG22" s="93"/>
      <c r="HNH22" s="93"/>
      <c r="HNI22" s="93"/>
      <c r="HNJ22" s="93"/>
      <c r="HNK22" s="93"/>
      <c r="HNL22" s="93"/>
      <c r="HNM22" s="93"/>
      <c r="HNN22" s="93"/>
      <c r="HNO22" s="93"/>
      <c r="HNP22" s="93"/>
      <c r="HNQ22" s="93"/>
      <c r="HNR22" s="93"/>
      <c r="HNS22" s="93"/>
      <c r="HNT22" s="93"/>
      <c r="HNU22" s="93"/>
      <c r="HNV22" s="93"/>
      <c r="HNW22" s="93"/>
      <c r="HNX22" s="93"/>
      <c r="HNY22" s="93"/>
      <c r="HNZ22" s="93"/>
      <c r="HOA22" s="93"/>
      <c r="HOB22" s="93"/>
      <c r="HOC22" s="93"/>
      <c r="HOD22" s="93"/>
      <c r="HOE22" s="93"/>
      <c r="HOF22" s="93"/>
      <c r="HOG22" s="93"/>
      <c r="HOH22" s="93"/>
      <c r="HOI22" s="93"/>
      <c r="HOJ22" s="93"/>
      <c r="HOK22" s="93"/>
      <c r="HOL22" s="93"/>
      <c r="HOM22" s="93"/>
      <c r="HON22" s="93"/>
      <c r="HOO22" s="93"/>
      <c r="HOP22" s="93"/>
      <c r="HOQ22" s="93"/>
      <c r="HOR22" s="93"/>
      <c r="HOS22" s="93"/>
      <c r="HOT22" s="93"/>
      <c r="HOU22" s="93"/>
      <c r="HOV22" s="93"/>
      <c r="HOW22" s="93"/>
      <c r="HOX22" s="93"/>
      <c r="HOY22" s="93"/>
      <c r="HOZ22" s="93"/>
      <c r="HPA22" s="93"/>
      <c r="HPB22" s="93"/>
      <c r="HPC22" s="93"/>
      <c r="HPD22" s="93"/>
      <c r="HPE22" s="93"/>
      <c r="HPF22" s="93"/>
      <c r="HPG22" s="93"/>
      <c r="HPH22" s="93"/>
      <c r="HPI22" s="93"/>
      <c r="HPJ22" s="93"/>
      <c r="HPK22" s="93"/>
      <c r="HPL22" s="93"/>
      <c r="HPM22" s="93"/>
      <c r="HPN22" s="93"/>
      <c r="HPO22" s="93"/>
      <c r="HPP22" s="93"/>
      <c r="HPQ22" s="93"/>
      <c r="HPR22" s="93"/>
      <c r="HPS22" s="93"/>
      <c r="HPT22" s="93"/>
      <c r="HPU22" s="93"/>
      <c r="HPV22" s="93"/>
      <c r="HPW22" s="93"/>
      <c r="HPX22" s="93"/>
      <c r="HPY22" s="93"/>
      <c r="HPZ22" s="93"/>
      <c r="HQA22" s="93"/>
      <c r="HQB22" s="93"/>
      <c r="HQC22" s="93"/>
      <c r="HQD22" s="93"/>
      <c r="HQE22" s="93"/>
      <c r="HQF22" s="93"/>
      <c r="HQG22" s="93"/>
      <c r="HQH22" s="93"/>
      <c r="HQI22" s="93"/>
      <c r="HQJ22" s="93"/>
      <c r="HQK22" s="93"/>
      <c r="HQL22" s="93"/>
      <c r="HQM22" s="93"/>
      <c r="HQN22" s="93"/>
      <c r="HQO22" s="93"/>
      <c r="HQP22" s="93"/>
      <c r="HQQ22" s="93"/>
      <c r="HQR22" s="93"/>
      <c r="HQS22" s="93"/>
      <c r="HQT22" s="93"/>
      <c r="HQU22" s="93"/>
      <c r="HQV22" s="93"/>
      <c r="HQW22" s="93"/>
      <c r="HQX22" s="93"/>
      <c r="HQY22" s="93"/>
      <c r="HQZ22" s="93"/>
      <c r="HRA22" s="93"/>
      <c r="HRB22" s="93"/>
      <c r="HRC22" s="93"/>
      <c r="HRD22" s="93"/>
      <c r="HRE22" s="93"/>
      <c r="HRF22" s="93"/>
      <c r="HRG22" s="93"/>
      <c r="HRH22" s="93"/>
      <c r="HRI22" s="93"/>
      <c r="HRJ22" s="93"/>
      <c r="HRK22" s="93"/>
      <c r="HRL22" s="93"/>
      <c r="HRM22" s="93"/>
      <c r="HRN22" s="93"/>
      <c r="HRO22" s="93"/>
      <c r="HRP22" s="93"/>
      <c r="HRQ22" s="93"/>
      <c r="HRR22" s="93"/>
      <c r="HRS22" s="93"/>
      <c r="HRT22" s="93"/>
      <c r="HRU22" s="93"/>
      <c r="HRV22" s="93"/>
      <c r="HRW22" s="93"/>
      <c r="HRX22" s="93"/>
      <c r="HRY22" s="93"/>
      <c r="HRZ22" s="93"/>
      <c r="HSA22" s="93"/>
      <c r="HSB22" s="93"/>
      <c r="HSC22" s="93"/>
      <c r="HSD22" s="93"/>
      <c r="HSE22" s="93"/>
      <c r="HSF22" s="93"/>
      <c r="HSG22" s="93"/>
      <c r="HSH22" s="93"/>
      <c r="HSI22" s="93"/>
      <c r="HSJ22" s="93"/>
      <c r="HSK22" s="93"/>
      <c r="HSL22" s="93"/>
      <c r="HSM22" s="93"/>
      <c r="HSN22" s="93"/>
      <c r="HSO22" s="93"/>
      <c r="HSP22" s="93"/>
      <c r="HSQ22" s="93"/>
      <c r="HSR22" s="93"/>
      <c r="HSS22" s="93"/>
      <c r="HST22" s="93"/>
      <c r="HSU22" s="93"/>
      <c r="HSV22" s="93"/>
      <c r="HSW22" s="93"/>
      <c r="HSX22" s="93"/>
      <c r="HSY22" s="93"/>
      <c r="HSZ22" s="93"/>
      <c r="HTA22" s="93"/>
      <c r="HTB22" s="93"/>
      <c r="HTC22" s="93"/>
      <c r="HTD22" s="93"/>
      <c r="HTE22" s="93"/>
      <c r="HTF22" s="93"/>
      <c r="HTG22" s="93"/>
      <c r="HTH22" s="93"/>
      <c r="HTI22" s="93"/>
      <c r="HTJ22" s="93"/>
      <c r="HTK22" s="93"/>
      <c r="HTL22" s="93"/>
      <c r="HTM22" s="93"/>
      <c r="HTN22" s="93"/>
      <c r="HTO22" s="93"/>
      <c r="HTP22" s="93"/>
      <c r="HTQ22" s="93"/>
      <c r="HTR22" s="93"/>
      <c r="HTS22" s="93"/>
      <c r="HTT22" s="93"/>
      <c r="HTU22" s="93"/>
      <c r="HTV22" s="93"/>
      <c r="HTW22" s="93"/>
      <c r="HTX22" s="93"/>
      <c r="HTY22" s="93"/>
      <c r="HTZ22" s="93"/>
      <c r="HUA22" s="93"/>
      <c r="HUB22" s="93"/>
      <c r="HUC22" s="93"/>
      <c r="HUD22" s="93"/>
      <c r="HUE22" s="93"/>
      <c r="HUF22" s="93"/>
      <c r="HUG22" s="93"/>
      <c r="HUH22" s="93"/>
      <c r="HUI22" s="93"/>
      <c r="HUJ22" s="93"/>
      <c r="HUK22" s="93"/>
      <c r="HUL22" s="93"/>
      <c r="HUM22" s="93"/>
      <c r="HUN22" s="93"/>
      <c r="HUO22" s="93"/>
      <c r="HUP22" s="93"/>
      <c r="HUQ22" s="93"/>
      <c r="HUR22" s="93"/>
      <c r="HUS22" s="93"/>
      <c r="HUT22" s="93"/>
      <c r="HUU22" s="93"/>
      <c r="HUV22" s="93"/>
      <c r="HUW22" s="93"/>
      <c r="HUX22" s="93"/>
      <c r="HUY22" s="93"/>
      <c r="HUZ22" s="93"/>
      <c r="HVA22" s="93"/>
      <c r="HVB22" s="93"/>
      <c r="HVC22" s="93"/>
      <c r="HVD22" s="93"/>
      <c r="HVE22" s="93"/>
      <c r="HVF22" s="93"/>
      <c r="HVG22" s="93"/>
      <c r="HVH22" s="93"/>
      <c r="HVI22" s="93"/>
      <c r="HVJ22" s="93"/>
      <c r="HVK22" s="93"/>
      <c r="HVL22" s="93"/>
      <c r="HVM22" s="93"/>
      <c r="HVN22" s="93"/>
      <c r="HVO22" s="93"/>
      <c r="HVP22" s="93"/>
      <c r="HVQ22" s="93"/>
      <c r="HVR22" s="93"/>
      <c r="HVS22" s="93"/>
      <c r="HVT22" s="93"/>
      <c r="HVU22" s="93"/>
      <c r="HVV22" s="93"/>
      <c r="HVW22" s="93"/>
      <c r="HVX22" s="93"/>
      <c r="HVY22" s="93"/>
      <c r="HVZ22" s="93"/>
      <c r="HWA22" s="93"/>
      <c r="HWB22" s="93"/>
      <c r="HWC22" s="93"/>
      <c r="HWD22" s="93"/>
      <c r="HWE22" s="93"/>
      <c r="HWF22" s="93"/>
      <c r="HWG22" s="93"/>
      <c r="HWH22" s="93"/>
      <c r="HWI22" s="93"/>
      <c r="HWJ22" s="93"/>
      <c r="HWK22" s="93"/>
      <c r="HWL22" s="93"/>
      <c r="HWM22" s="93"/>
      <c r="HWN22" s="93"/>
      <c r="HWO22" s="93"/>
      <c r="HWP22" s="93"/>
      <c r="HWQ22" s="93"/>
      <c r="HWR22" s="93"/>
      <c r="HWS22" s="93"/>
      <c r="HWT22" s="93"/>
      <c r="HWU22" s="93"/>
      <c r="HWV22" s="93"/>
      <c r="HWW22" s="93"/>
      <c r="HWX22" s="93"/>
      <c r="HWY22" s="93"/>
      <c r="HWZ22" s="93"/>
      <c r="HXA22" s="93"/>
      <c r="HXB22" s="93"/>
      <c r="HXC22" s="93"/>
      <c r="HXD22" s="93"/>
      <c r="HXE22" s="93"/>
      <c r="HXF22" s="93"/>
      <c r="HXG22" s="93"/>
      <c r="HXH22" s="93"/>
      <c r="HXI22" s="93"/>
      <c r="HXJ22" s="93"/>
      <c r="HXK22" s="93"/>
      <c r="HXL22" s="93"/>
      <c r="HXM22" s="93"/>
      <c r="HXN22" s="93"/>
      <c r="HXO22" s="93"/>
      <c r="HXP22" s="93"/>
      <c r="HXQ22" s="93"/>
      <c r="HXR22" s="93"/>
      <c r="HXS22" s="93"/>
      <c r="HXT22" s="93"/>
      <c r="HXU22" s="93"/>
      <c r="HXV22" s="93"/>
      <c r="HXW22" s="93"/>
      <c r="HXX22" s="93"/>
      <c r="HXY22" s="93"/>
      <c r="HXZ22" s="93"/>
      <c r="HYA22" s="93"/>
      <c r="HYB22" s="93"/>
      <c r="HYC22" s="93"/>
      <c r="HYD22" s="93"/>
      <c r="HYE22" s="93"/>
      <c r="HYF22" s="93"/>
      <c r="HYG22" s="93"/>
      <c r="HYH22" s="93"/>
      <c r="HYI22" s="93"/>
      <c r="HYJ22" s="93"/>
      <c r="HYK22" s="93"/>
      <c r="HYL22" s="93"/>
      <c r="HYM22" s="93"/>
      <c r="HYN22" s="93"/>
      <c r="HYO22" s="93"/>
      <c r="HYP22" s="93"/>
      <c r="HYQ22" s="93"/>
      <c r="HYR22" s="93"/>
      <c r="HYS22" s="93"/>
      <c r="HYT22" s="93"/>
      <c r="HYU22" s="93"/>
      <c r="HYV22" s="93"/>
      <c r="HYW22" s="93"/>
      <c r="HYX22" s="93"/>
      <c r="HYY22" s="93"/>
      <c r="HYZ22" s="93"/>
      <c r="HZA22" s="93"/>
      <c r="HZB22" s="93"/>
      <c r="HZC22" s="93"/>
      <c r="HZD22" s="93"/>
      <c r="HZE22" s="93"/>
      <c r="HZF22" s="93"/>
      <c r="HZG22" s="93"/>
      <c r="HZH22" s="93"/>
      <c r="HZI22" s="93"/>
      <c r="HZJ22" s="93"/>
      <c r="HZK22" s="93"/>
      <c r="HZL22" s="93"/>
      <c r="HZM22" s="93"/>
      <c r="HZN22" s="93"/>
      <c r="HZO22" s="93"/>
      <c r="HZP22" s="93"/>
      <c r="HZQ22" s="93"/>
      <c r="HZR22" s="93"/>
      <c r="HZS22" s="93"/>
      <c r="HZT22" s="93"/>
      <c r="HZU22" s="93"/>
      <c r="HZV22" s="93"/>
      <c r="HZW22" s="93"/>
      <c r="HZX22" s="93"/>
      <c r="HZY22" s="93"/>
      <c r="HZZ22" s="93"/>
      <c r="IAA22" s="93"/>
      <c r="IAB22" s="93"/>
      <c r="IAC22" s="93"/>
      <c r="IAD22" s="93"/>
      <c r="IAE22" s="93"/>
      <c r="IAF22" s="93"/>
      <c r="IAG22" s="93"/>
      <c r="IAH22" s="93"/>
      <c r="IAI22" s="93"/>
      <c r="IAJ22" s="93"/>
      <c r="IAK22" s="93"/>
      <c r="IAL22" s="93"/>
      <c r="IAM22" s="93"/>
      <c r="IAN22" s="93"/>
      <c r="IAO22" s="93"/>
      <c r="IAP22" s="93"/>
      <c r="IAQ22" s="93"/>
      <c r="IAR22" s="93"/>
      <c r="IAS22" s="93"/>
      <c r="IAT22" s="93"/>
      <c r="IAU22" s="93"/>
      <c r="IAV22" s="93"/>
      <c r="IAW22" s="93"/>
      <c r="IAX22" s="93"/>
      <c r="IAY22" s="93"/>
      <c r="IAZ22" s="93"/>
      <c r="IBA22" s="93"/>
      <c r="IBB22" s="93"/>
      <c r="IBC22" s="93"/>
      <c r="IBD22" s="93"/>
      <c r="IBE22" s="93"/>
      <c r="IBF22" s="93"/>
      <c r="IBG22" s="93"/>
      <c r="IBH22" s="93"/>
      <c r="IBI22" s="93"/>
      <c r="IBJ22" s="93"/>
      <c r="IBK22" s="93"/>
      <c r="IBL22" s="93"/>
      <c r="IBM22" s="93"/>
      <c r="IBN22" s="93"/>
      <c r="IBO22" s="93"/>
      <c r="IBP22" s="93"/>
      <c r="IBQ22" s="93"/>
      <c r="IBR22" s="93"/>
      <c r="IBS22" s="93"/>
      <c r="IBT22" s="93"/>
      <c r="IBU22" s="93"/>
      <c r="IBV22" s="93"/>
      <c r="IBW22" s="93"/>
      <c r="IBX22" s="93"/>
      <c r="IBY22" s="93"/>
      <c r="IBZ22" s="93"/>
      <c r="ICA22" s="93"/>
      <c r="ICB22" s="93"/>
      <c r="ICC22" s="93"/>
      <c r="ICD22" s="93"/>
      <c r="ICE22" s="93"/>
      <c r="ICF22" s="93"/>
      <c r="ICG22" s="93"/>
      <c r="ICH22" s="93"/>
      <c r="ICI22" s="93"/>
      <c r="ICJ22" s="93"/>
      <c r="ICK22" s="93"/>
      <c r="ICL22" s="93"/>
      <c r="ICM22" s="93"/>
      <c r="ICN22" s="93"/>
      <c r="ICO22" s="93"/>
      <c r="ICP22" s="93"/>
      <c r="ICQ22" s="93"/>
      <c r="ICR22" s="93"/>
      <c r="ICS22" s="93"/>
      <c r="ICT22" s="93"/>
      <c r="ICU22" s="93"/>
      <c r="ICV22" s="93"/>
      <c r="ICW22" s="93"/>
      <c r="ICX22" s="93"/>
      <c r="ICY22" s="93"/>
      <c r="ICZ22" s="93"/>
      <c r="IDA22" s="93"/>
      <c r="IDB22" s="93"/>
      <c r="IDC22" s="93"/>
      <c r="IDD22" s="93"/>
      <c r="IDE22" s="93"/>
      <c r="IDF22" s="93"/>
      <c r="IDG22" s="93"/>
      <c r="IDH22" s="93"/>
      <c r="IDI22" s="93"/>
      <c r="IDJ22" s="93"/>
      <c r="IDK22" s="93"/>
      <c r="IDL22" s="93"/>
      <c r="IDM22" s="93"/>
      <c r="IDN22" s="93"/>
      <c r="IDO22" s="93"/>
      <c r="IDP22" s="93"/>
      <c r="IDQ22" s="93"/>
      <c r="IDR22" s="93"/>
      <c r="IDS22" s="93"/>
      <c r="IDT22" s="93"/>
      <c r="IDU22" s="93"/>
      <c r="IDV22" s="93"/>
      <c r="IDW22" s="93"/>
      <c r="IDX22" s="93"/>
      <c r="IDY22" s="93"/>
      <c r="IDZ22" s="93"/>
      <c r="IEA22" s="93"/>
      <c r="IEB22" s="93"/>
      <c r="IEC22" s="93"/>
      <c r="IED22" s="93"/>
      <c r="IEE22" s="93"/>
      <c r="IEF22" s="93"/>
      <c r="IEG22" s="93"/>
      <c r="IEH22" s="93"/>
      <c r="IEI22" s="93"/>
      <c r="IEJ22" s="93"/>
      <c r="IEK22" s="93"/>
      <c r="IEL22" s="93"/>
      <c r="IEM22" s="93"/>
      <c r="IEN22" s="93"/>
      <c r="IEO22" s="93"/>
      <c r="IEP22" s="93"/>
      <c r="IEQ22" s="93"/>
      <c r="IER22" s="93"/>
      <c r="IES22" s="93"/>
      <c r="IET22" s="93"/>
      <c r="IEU22" s="93"/>
      <c r="IEV22" s="93"/>
      <c r="IEW22" s="93"/>
      <c r="IEX22" s="93"/>
      <c r="IEY22" s="93"/>
      <c r="IEZ22" s="93"/>
      <c r="IFA22" s="93"/>
      <c r="IFB22" s="93"/>
      <c r="IFC22" s="93"/>
      <c r="IFD22" s="93"/>
      <c r="IFE22" s="93"/>
      <c r="IFF22" s="93"/>
      <c r="IFG22" s="93"/>
      <c r="IFH22" s="93"/>
      <c r="IFI22" s="93"/>
      <c r="IFJ22" s="93"/>
      <c r="IFK22" s="93"/>
      <c r="IFL22" s="93"/>
      <c r="IFM22" s="93"/>
      <c r="IFN22" s="93"/>
      <c r="IFO22" s="93"/>
      <c r="IFP22" s="93"/>
      <c r="IFQ22" s="93"/>
      <c r="IFR22" s="93"/>
      <c r="IFS22" s="93"/>
      <c r="IFT22" s="93"/>
      <c r="IFU22" s="93"/>
      <c r="IFV22" s="93"/>
      <c r="IFW22" s="93"/>
      <c r="IFX22" s="93"/>
      <c r="IFY22" s="93"/>
      <c r="IFZ22" s="93"/>
      <c r="IGA22" s="93"/>
      <c r="IGB22" s="93"/>
      <c r="IGC22" s="93"/>
      <c r="IGD22" s="93"/>
      <c r="IGE22" s="93"/>
      <c r="IGF22" s="93"/>
      <c r="IGG22" s="93"/>
      <c r="IGH22" s="93"/>
      <c r="IGI22" s="93"/>
      <c r="IGJ22" s="93"/>
      <c r="IGK22" s="93"/>
      <c r="IGL22" s="93"/>
      <c r="IGM22" s="93"/>
      <c r="IGN22" s="93"/>
      <c r="IGO22" s="93"/>
      <c r="IGP22" s="93"/>
      <c r="IGQ22" s="93"/>
      <c r="IGR22" s="93"/>
      <c r="IGS22" s="93"/>
      <c r="IGT22" s="93"/>
      <c r="IGU22" s="93"/>
      <c r="IGV22" s="93"/>
      <c r="IGW22" s="93"/>
      <c r="IGX22" s="93"/>
      <c r="IGY22" s="93"/>
      <c r="IGZ22" s="93"/>
      <c r="IHA22" s="93"/>
      <c r="IHB22" s="93"/>
      <c r="IHC22" s="93"/>
      <c r="IHD22" s="93"/>
      <c r="IHE22" s="93"/>
      <c r="IHF22" s="93"/>
      <c r="IHG22" s="93"/>
      <c r="IHH22" s="93"/>
      <c r="IHI22" s="93"/>
      <c r="IHJ22" s="93"/>
      <c r="IHK22" s="93"/>
      <c r="IHL22" s="93"/>
      <c r="IHM22" s="93"/>
      <c r="IHN22" s="93"/>
      <c r="IHO22" s="93"/>
      <c r="IHP22" s="93"/>
      <c r="IHQ22" s="93"/>
      <c r="IHR22" s="93"/>
      <c r="IHS22" s="93"/>
      <c r="IHT22" s="93"/>
      <c r="IHU22" s="93"/>
      <c r="IHV22" s="93"/>
      <c r="IHW22" s="93"/>
      <c r="IHX22" s="93"/>
      <c r="IHY22" s="93"/>
      <c r="IHZ22" s="93"/>
      <c r="IIA22" s="93"/>
      <c r="IIB22" s="93"/>
      <c r="IIC22" s="93"/>
      <c r="IID22" s="93"/>
      <c r="IIE22" s="93"/>
      <c r="IIF22" s="93"/>
      <c r="IIG22" s="93"/>
      <c r="IIH22" s="93"/>
      <c r="III22" s="93"/>
      <c r="IIJ22" s="93"/>
      <c r="IIK22" s="93"/>
      <c r="IIL22" s="93"/>
      <c r="IIM22" s="93"/>
      <c r="IIN22" s="93"/>
      <c r="IIO22" s="93"/>
      <c r="IIP22" s="93"/>
      <c r="IIQ22" s="93"/>
      <c r="IIR22" s="93"/>
      <c r="IIS22" s="93"/>
      <c r="IIT22" s="93"/>
      <c r="IIU22" s="93"/>
      <c r="IIV22" s="93"/>
      <c r="IIW22" s="93"/>
      <c r="IIX22" s="93"/>
      <c r="IIY22" s="93"/>
      <c r="IIZ22" s="93"/>
      <c r="IJA22" s="93"/>
      <c r="IJB22" s="93"/>
      <c r="IJC22" s="93"/>
      <c r="IJD22" s="93"/>
      <c r="IJE22" s="93"/>
      <c r="IJF22" s="93"/>
      <c r="IJG22" s="93"/>
      <c r="IJH22" s="93"/>
      <c r="IJI22" s="93"/>
      <c r="IJJ22" s="93"/>
      <c r="IJK22" s="93"/>
      <c r="IJL22" s="93"/>
      <c r="IJM22" s="93"/>
      <c r="IJN22" s="93"/>
      <c r="IJO22" s="93"/>
      <c r="IJP22" s="93"/>
      <c r="IJQ22" s="93"/>
      <c r="IJR22" s="93"/>
      <c r="IJS22" s="93"/>
      <c r="IJT22" s="93"/>
      <c r="IJU22" s="93"/>
      <c r="IJV22" s="93"/>
      <c r="IJW22" s="93"/>
      <c r="IJX22" s="93"/>
      <c r="IJY22" s="93"/>
      <c r="IJZ22" s="93"/>
      <c r="IKA22" s="93"/>
      <c r="IKB22" s="93"/>
      <c r="IKC22" s="93"/>
      <c r="IKD22" s="93"/>
      <c r="IKE22" s="93"/>
      <c r="IKF22" s="93"/>
      <c r="IKG22" s="93"/>
      <c r="IKH22" s="93"/>
      <c r="IKI22" s="93"/>
      <c r="IKJ22" s="93"/>
      <c r="IKK22" s="93"/>
      <c r="IKL22" s="93"/>
      <c r="IKM22" s="93"/>
      <c r="IKN22" s="93"/>
      <c r="IKO22" s="93"/>
      <c r="IKP22" s="93"/>
      <c r="IKQ22" s="93"/>
      <c r="IKR22" s="93"/>
      <c r="IKS22" s="93"/>
      <c r="IKT22" s="93"/>
      <c r="IKU22" s="93"/>
      <c r="IKV22" s="93"/>
      <c r="IKW22" s="93"/>
      <c r="IKX22" s="93"/>
      <c r="IKY22" s="93"/>
      <c r="IKZ22" s="93"/>
      <c r="ILA22" s="93"/>
      <c r="ILB22" s="93"/>
      <c r="ILC22" s="93"/>
      <c r="ILD22" s="93"/>
      <c r="ILE22" s="93"/>
      <c r="ILF22" s="93"/>
      <c r="ILG22" s="93"/>
      <c r="ILH22" s="93"/>
      <c r="ILI22" s="93"/>
      <c r="ILJ22" s="93"/>
      <c r="ILK22" s="93"/>
      <c r="ILL22" s="93"/>
      <c r="ILM22" s="93"/>
      <c r="ILN22" s="93"/>
      <c r="ILO22" s="93"/>
      <c r="ILP22" s="93"/>
      <c r="ILQ22" s="93"/>
      <c r="ILR22" s="93"/>
      <c r="ILS22" s="93"/>
      <c r="ILT22" s="93"/>
      <c r="ILU22" s="93"/>
      <c r="ILV22" s="93"/>
      <c r="ILW22" s="93"/>
      <c r="ILX22" s="93"/>
      <c r="ILY22" s="93"/>
      <c r="ILZ22" s="93"/>
      <c r="IMA22" s="93"/>
      <c r="IMB22" s="93"/>
      <c r="IMC22" s="93"/>
      <c r="IMD22" s="93"/>
      <c r="IME22" s="93"/>
      <c r="IMF22" s="93"/>
      <c r="IMG22" s="93"/>
      <c r="IMH22" s="93"/>
      <c r="IMI22" s="93"/>
      <c r="IMJ22" s="93"/>
      <c r="IMK22" s="93"/>
      <c r="IML22" s="93"/>
      <c r="IMM22" s="93"/>
      <c r="IMN22" s="93"/>
      <c r="IMO22" s="93"/>
      <c r="IMP22" s="93"/>
      <c r="IMQ22" s="93"/>
      <c r="IMR22" s="93"/>
      <c r="IMS22" s="93"/>
      <c r="IMT22" s="93"/>
      <c r="IMU22" s="93"/>
      <c r="IMV22" s="93"/>
      <c r="IMW22" s="93"/>
      <c r="IMX22" s="93"/>
      <c r="IMY22" s="93"/>
      <c r="IMZ22" s="93"/>
      <c r="INA22" s="93"/>
      <c r="INB22" s="93"/>
      <c r="INC22" s="93"/>
      <c r="IND22" s="93"/>
      <c r="INE22" s="93"/>
      <c r="INF22" s="93"/>
      <c r="ING22" s="93"/>
      <c r="INH22" s="93"/>
      <c r="INI22" s="93"/>
      <c r="INJ22" s="93"/>
      <c r="INK22" s="93"/>
      <c r="INL22" s="93"/>
      <c r="INM22" s="93"/>
      <c r="INN22" s="93"/>
      <c r="INO22" s="93"/>
      <c r="INP22" s="93"/>
      <c r="INQ22" s="93"/>
      <c r="INR22" s="93"/>
      <c r="INS22" s="93"/>
      <c r="INT22" s="93"/>
      <c r="INU22" s="93"/>
      <c r="INV22" s="93"/>
      <c r="INW22" s="93"/>
      <c r="INX22" s="93"/>
      <c r="INY22" s="93"/>
      <c r="INZ22" s="93"/>
      <c r="IOA22" s="93"/>
      <c r="IOB22" s="93"/>
      <c r="IOC22" s="93"/>
      <c r="IOD22" s="93"/>
      <c r="IOE22" s="93"/>
      <c r="IOF22" s="93"/>
      <c r="IOG22" s="93"/>
      <c r="IOH22" s="93"/>
      <c r="IOI22" s="93"/>
      <c r="IOJ22" s="93"/>
      <c r="IOK22" s="93"/>
      <c r="IOL22" s="93"/>
      <c r="IOM22" s="93"/>
      <c r="ION22" s="93"/>
      <c r="IOO22" s="93"/>
      <c r="IOP22" s="93"/>
      <c r="IOQ22" s="93"/>
      <c r="IOR22" s="93"/>
      <c r="IOS22" s="93"/>
      <c r="IOT22" s="93"/>
      <c r="IOU22" s="93"/>
      <c r="IOV22" s="93"/>
      <c r="IOW22" s="93"/>
      <c r="IOX22" s="93"/>
      <c r="IOY22" s="93"/>
      <c r="IOZ22" s="93"/>
      <c r="IPA22" s="93"/>
      <c r="IPB22" s="93"/>
      <c r="IPC22" s="93"/>
      <c r="IPD22" s="93"/>
      <c r="IPE22" s="93"/>
      <c r="IPF22" s="93"/>
      <c r="IPG22" s="93"/>
      <c r="IPH22" s="93"/>
      <c r="IPI22" s="93"/>
      <c r="IPJ22" s="93"/>
      <c r="IPK22" s="93"/>
      <c r="IPL22" s="93"/>
      <c r="IPM22" s="93"/>
      <c r="IPN22" s="93"/>
      <c r="IPO22" s="93"/>
      <c r="IPP22" s="93"/>
      <c r="IPQ22" s="93"/>
      <c r="IPR22" s="93"/>
      <c r="IPS22" s="93"/>
      <c r="IPT22" s="93"/>
      <c r="IPU22" s="93"/>
      <c r="IPV22" s="93"/>
      <c r="IPW22" s="93"/>
      <c r="IPX22" s="93"/>
      <c r="IPY22" s="93"/>
      <c r="IPZ22" s="93"/>
      <c r="IQA22" s="93"/>
      <c r="IQB22" s="93"/>
      <c r="IQC22" s="93"/>
      <c r="IQD22" s="93"/>
      <c r="IQE22" s="93"/>
      <c r="IQF22" s="93"/>
      <c r="IQG22" s="93"/>
      <c r="IQH22" s="93"/>
      <c r="IQI22" s="93"/>
      <c r="IQJ22" s="93"/>
      <c r="IQK22" s="93"/>
      <c r="IQL22" s="93"/>
      <c r="IQM22" s="93"/>
      <c r="IQN22" s="93"/>
      <c r="IQO22" s="93"/>
      <c r="IQP22" s="93"/>
      <c r="IQQ22" s="93"/>
      <c r="IQR22" s="93"/>
      <c r="IQS22" s="93"/>
      <c r="IQT22" s="93"/>
      <c r="IQU22" s="93"/>
      <c r="IQV22" s="93"/>
      <c r="IQW22" s="93"/>
      <c r="IQX22" s="93"/>
      <c r="IQY22" s="93"/>
      <c r="IQZ22" s="93"/>
      <c r="IRA22" s="93"/>
      <c r="IRB22" s="93"/>
      <c r="IRC22" s="93"/>
      <c r="IRD22" s="93"/>
      <c r="IRE22" s="93"/>
      <c r="IRF22" s="93"/>
      <c r="IRG22" s="93"/>
      <c r="IRH22" s="93"/>
      <c r="IRI22" s="93"/>
      <c r="IRJ22" s="93"/>
      <c r="IRK22" s="93"/>
      <c r="IRL22" s="93"/>
      <c r="IRM22" s="93"/>
      <c r="IRN22" s="93"/>
      <c r="IRO22" s="93"/>
      <c r="IRP22" s="93"/>
      <c r="IRQ22" s="93"/>
      <c r="IRR22" s="93"/>
      <c r="IRS22" s="93"/>
      <c r="IRT22" s="93"/>
      <c r="IRU22" s="93"/>
      <c r="IRV22" s="93"/>
      <c r="IRW22" s="93"/>
      <c r="IRX22" s="93"/>
      <c r="IRY22" s="93"/>
      <c r="IRZ22" s="93"/>
      <c r="ISA22" s="93"/>
      <c r="ISB22" s="93"/>
      <c r="ISC22" s="93"/>
      <c r="ISD22" s="93"/>
      <c r="ISE22" s="93"/>
      <c r="ISF22" s="93"/>
      <c r="ISG22" s="93"/>
      <c r="ISH22" s="93"/>
      <c r="ISI22" s="93"/>
      <c r="ISJ22" s="93"/>
      <c r="ISK22" s="93"/>
      <c r="ISL22" s="93"/>
      <c r="ISM22" s="93"/>
      <c r="ISN22" s="93"/>
      <c r="ISO22" s="93"/>
      <c r="ISP22" s="93"/>
      <c r="ISQ22" s="93"/>
      <c r="ISR22" s="93"/>
      <c r="ISS22" s="93"/>
      <c r="IST22" s="93"/>
      <c r="ISU22" s="93"/>
      <c r="ISV22" s="93"/>
      <c r="ISW22" s="93"/>
      <c r="ISX22" s="93"/>
      <c r="ISY22" s="93"/>
      <c r="ISZ22" s="93"/>
      <c r="ITA22" s="93"/>
      <c r="ITB22" s="93"/>
      <c r="ITC22" s="93"/>
      <c r="ITD22" s="93"/>
      <c r="ITE22" s="93"/>
      <c r="ITF22" s="93"/>
      <c r="ITG22" s="93"/>
      <c r="ITH22" s="93"/>
      <c r="ITI22" s="93"/>
      <c r="ITJ22" s="93"/>
      <c r="ITK22" s="93"/>
      <c r="ITL22" s="93"/>
      <c r="ITM22" s="93"/>
      <c r="ITN22" s="93"/>
      <c r="ITO22" s="93"/>
      <c r="ITP22" s="93"/>
      <c r="ITQ22" s="93"/>
      <c r="ITR22" s="93"/>
      <c r="ITS22" s="93"/>
      <c r="ITT22" s="93"/>
      <c r="ITU22" s="93"/>
      <c r="ITV22" s="93"/>
      <c r="ITW22" s="93"/>
      <c r="ITX22" s="93"/>
      <c r="ITY22" s="93"/>
      <c r="ITZ22" s="93"/>
      <c r="IUA22" s="93"/>
      <c r="IUB22" s="93"/>
      <c r="IUC22" s="93"/>
      <c r="IUD22" s="93"/>
      <c r="IUE22" s="93"/>
      <c r="IUF22" s="93"/>
      <c r="IUG22" s="93"/>
      <c r="IUH22" s="93"/>
      <c r="IUI22" s="93"/>
      <c r="IUJ22" s="93"/>
      <c r="IUK22" s="93"/>
      <c r="IUL22" s="93"/>
      <c r="IUM22" s="93"/>
      <c r="IUN22" s="93"/>
      <c r="IUO22" s="93"/>
      <c r="IUP22" s="93"/>
      <c r="IUQ22" s="93"/>
      <c r="IUR22" s="93"/>
      <c r="IUS22" s="93"/>
      <c r="IUT22" s="93"/>
      <c r="IUU22" s="93"/>
      <c r="IUV22" s="93"/>
      <c r="IUW22" s="93"/>
      <c r="IUX22" s="93"/>
      <c r="IUY22" s="93"/>
      <c r="IUZ22" s="93"/>
      <c r="IVA22" s="93"/>
      <c r="IVB22" s="93"/>
      <c r="IVC22" s="93"/>
      <c r="IVD22" s="93"/>
      <c r="IVE22" s="93"/>
      <c r="IVF22" s="93"/>
      <c r="IVG22" s="93"/>
      <c r="IVH22" s="93"/>
      <c r="IVI22" s="93"/>
      <c r="IVJ22" s="93"/>
      <c r="IVK22" s="93"/>
      <c r="IVL22" s="93"/>
      <c r="IVM22" s="93"/>
      <c r="IVN22" s="93"/>
      <c r="IVO22" s="93"/>
      <c r="IVP22" s="93"/>
      <c r="IVQ22" s="93"/>
      <c r="IVR22" s="93"/>
      <c r="IVS22" s="93"/>
      <c r="IVT22" s="93"/>
      <c r="IVU22" s="93"/>
      <c r="IVV22" s="93"/>
      <c r="IVW22" s="93"/>
      <c r="IVX22" s="93"/>
      <c r="IVY22" s="93"/>
      <c r="IVZ22" s="93"/>
      <c r="IWA22" s="93"/>
      <c r="IWB22" s="93"/>
      <c r="IWC22" s="93"/>
      <c r="IWD22" s="93"/>
      <c r="IWE22" s="93"/>
      <c r="IWF22" s="93"/>
      <c r="IWG22" s="93"/>
      <c r="IWH22" s="93"/>
      <c r="IWI22" s="93"/>
      <c r="IWJ22" s="93"/>
      <c r="IWK22" s="93"/>
      <c r="IWL22" s="93"/>
      <c r="IWM22" s="93"/>
      <c r="IWN22" s="93"/>
      <c r="IWO22" s="93"/>
      <c r="IWP22" s="93"/>
      <c r="IWQ22" s="93"/>
      <c r="IWR22" s="93"/>
      <c r="IWS22" s="93"/>
      <c r="IWT22" s="93"/>
      <c r="IWU22" s="93"/>
      <c r="IWV22" s="93"/>
      <c r="IWW22" s="93"/>
      <c r="IWX22" s="93"/>
      <c r="IWY22" s="93"/>
      <c r="IWZ22" s="93"/>
      <c r="IXA22" s="93"/>
      <c r="IXB22" s="93"/>
      <c r="IXC22" s="93"/>
      <c r="IXD22" s="93"/>
      <c r="IXE22" s="93"/>
      <c r="IXF22" s="93"/>
      <c r="IXG22" s="93"/>
      <c r="IXH22" s="93"/>
      <c r="IXI22" s="93"/>
      <c r="IXJ22" s="93"/>
      <c r="IXK22" s="93"/>
      <c r="IXL22" s="93"/>
      <c r="IXM22" s="93"/>
      <c r="IXN22" s="93"/>
      <c r="IXO22" s="93"/>
      <c r="IXP22" s="93"/>
      <c r="IXQ22" s="93"/>
      <c r="IXR22" s="93"/>
      <c r="IXS22" s="93"/>
      <c r="IXT22" s="93"/>
      <c r="IXU22" s="93"/>
      <c r="IXV22" s="93"/>
      <c r="IXW22" s="93"/>
      <c r="IXX22" s="93"/>
      <c r="IXY22" s="93"/>
      <c r="IXZ22" s="93"/>
      <c r="IYA22" s="93"/>
      <c r="IYB22" s="93"/>
      <c r="IYC22" s="93"/>
      <c r="IYD22" s="93"/>
      <c r="IYE22" s="93"/>
      <c r="IYF22" s="93"/>
      <c r="IYG22" s="93"/>
      <c r="IYH22" s="93"/>
      <c r="IYI22" s="93"/>
      <c r="IYJ22" s="93"/>
      <c r="IYK22" s="93"/>
      <c r="IYL22" s="93"/>
      <c r="IYM22" s="93"/>
      <c r="IYN22" s="93"/>
      <c r="IYO22" s="93"/>
      <c r="IYP22" s="93"/>
      <c r="IYQ22" s="93"/>
      <c r="IYR22" s="93"/>
      <c r="IYS22" s="93"/>
      <c r="IYT22" s="93"/>
      <c r="IYU22" s="93"/>
      <c r="IYV22" s="93"/>
      <c r="IYW22" s="93"/>
      <c r="IYX22" s="93"/>
      <c r="IYY22" s="93"/>
      <c r="IYZ22" s="93"/>
      <c r="IZA22" s="93"/>
      <c r="IZB22" s="93"/>
      <c r="IZC22" s="93"/>
      <c r="IZD22" s="93"/>
      <c r="IZE22" s="93"/>
      <c r="IZF22" s="93"/>
      <c r="IZG22" s="93"/>
      <c r="IZH22" s="93"/>
      <c r="IZI22" s="93"/>
      <c r="IZJ22" s="93"/>
      <c r="IZK22" s="93"/>
      <c r="IZL22" s="93"/>
      <c r="IZM22" s="93"/>
      <c r="IZN22" s="93"/>
      <c r="IZO22" s="93"/>
      <c r="IZP22" s="93"/>
      <c r="IZQ22" s="93"/>
      <c r="IZR22" s="93"/>
      <c r="IZS22" s="93"/>
      <c r="IZT22" s="93"/>
      <c r="IZU22" s="93"/>
      <c r="IZV22" s="93"/>
      <c r="IZW22" s="93"/>
      <c r="IZX22" s="93"/>
      <c r="IZY22" s="93"/>
      <c r="IZZ22" s="93"/>
      <c r="JAA22" s="93"/>
      <c r="JAB22" s="93"/>
      <c r="JAC22" s="93"/>
      <c r="JAD22" s="93"/>
      <c r="JAE22" s="93"/>
      <c r="JAF22" s="93"/>
      <c r="JAG22" s="93"/>
      <c r="JAH22" s="93"/>
      <c r="JAI22" s="93"/>
      <c r="JAJ22" s="93"/>
      <c r="JAK22" s="93"/>
      <c r="JAL22" s="93"/>
      <c r="JAM22" s="93"/>
      <c r="JAN22" s="93"/>
      <c r="JAO22" s="93"/>
      <c r="JAP22" s="93"/>
      <c r="JAQ22" s="93"/>
      <c r="JAR22" s="93"/>
      <c r="JAS22" s="93"/>
      <c r="JAT22" s="93"/>
      <c r="JAU22" s="93"/>
      <c r="JAV22" s="93"/>
      <c r="JAW22" s="93"/>
      <c r="JAX22" s="93"/>
      <c r="JAY22" s="93"/>
      <c r="JAZ22" s="93"/>
      <c r="JBA22" s="93"/>
      <c r="JBB22" s="93"/>
      <c r="JBC22" s="93"/>
      <c r="JBD22" s="93"/>
      <c r="JBE22" s="93"/>
      <c r="JBF22" s="93"/>
      <c r="JBG22" s="93"/>
      <c r="JBH22" s="93"/>
      <c r="JBI22" s="93"/>
      <c r="JBJ22" s="93"/>
      <c r="JBK22" s="93"/>
      <c r="JBL22" s="93"/>
      <c r="JBM22" s="93"/>
      <c r="JBN22" s="93"/>
      <c r="JBO22" s="93"/>
      <c r="JBP22" s="93"/>
      <c r="JBQ22" s="93"/>
      <c r="JBR22" s="93"/>
      <c r="JBS22" s="93"/>
      <c r="JBT22" s="93"/>
      <c r="JBU22" s="93"/>
      <c r="JBV22" s="93"/>
      <c r="JBW22" s="93"/>
      <c r="JBX22" s="93"/>
      <c r="JBY22" s="93"/>
      <c r="JBZ22" s="93"/>
      <c r="JCA22" s="93"/>
      <c r="JCB22" s="93"/>
      <c r="JCC22" s="93"/>
      <c r="JCD22" s="93"/>
      <c r="JCE22" s="93"/>
      <c r="JCF22" s="93"/>
      <c r="JCG22" s="93"/>
      <c r="JCH22" s="93"/>
      <c r="JCI22" s="93"/>
      <c r="JCJ22" s="93"/>
      <c r="JCK22" s="93"/>
      <c r="JCL22" s="93"/>
      <c r="JCM22" s="93"/>
      <c r="JCN22" s="93"/>
      <c r="JCO22" s="93"/>
      <c r="JCP22" s="93"/>
      <c r="JCQ22" s="93"/>
      <c r="JCR22" s="93"/>
      <c r="JCS22" s="93"/>
      <c r="JCT22" s="93"/>
      <c r="JCU22" s="93"/>
      <c r="JCV22" s="93"/>
      <c r="JCW22" s="93"/>
      <c r="JCX22" s="93"/>
      <c r="JCY22" s="93"/>
      <c r="JCZ22" s="93"/>
      <c r="JDA22" s="93"/>
      <c r="JDB22" s="93"/>
      <c r="JDC22" s="93"/>
      <c r="JDD22" s="93"/>
      <c r="JDE22" s="93"/>
      <c r="JDF22" s="93"/>
      <c r="JDG22" s="93"/>
      <c r="JDH22" s="93"/>
      <c r="JDI22" s="93"/>
      <c r="JDJ22" s="93"/>
      <c r="JDK22" s="93"/>
      <c r="JDL22" s="93"/>
      <c r="JDM22" s="93"/>
      <c r="JDN22" s="93"/>
      <c r="JDO22" s="93"/>
      <c r="JDP22" s="93"/>
      <c r="JDQ22" s="93"/>
      <c r="JDR22" s="93"/>
      <c r="JDS22" s="93"/>
      <c r="JDT22" s="93"/>
      <c r="JDU22" s="93"/>
      <c r="JDV22" s="93"/>
      <c r="JDW22" s="93"/>
      <c r="JDX22" s="93"/>
      <c r="JDY22" s="93"/>
      <c r="JDZ22" s="93"/>
      <c r="JEA22" s="93"/>
      <c r="JEB22" s="93"/>
      <c r="JEC22" s="93"/>
      <c r="JED22" s="93"/>
      <c r="JEE22" s="93"/>
      <c r="JEF22" s="93"/>
      <c r="JEG22" s="93"/>
      <c r="JEH22" s="93"/>
      <c r="JEI22" s="93"/>
      <c r="JEJ22" s="93"/>
      <c r="JEK22" s="93"/>
      <c r="JEL22" s="93"/>
      <c r="JEM22" s="93"/>
      <c r="JEN22" s="93"/>
      <c r="JEO22" s="93"/>
      <c r="JEP22" s="93"/>
      <c r="JEQ22" s="93"/>
      <c r="JER22" s="93"/>
      <c r="JES22" s="93"/>
      <c r="JET22" s="93"/>
      <c r="JEU22" s="93"/>
      <c r="JEV22" s="93"/>
      <c r="JEW22" s="93"/>
      <c r="JEX22" s="93"/>
      <c r="JEY22" s="93"/>
      <c r="JEZ22" s="93"/>
      <c r="JFA22" s="93"/>
      <c r="JFB22" s="93"/>
      <c r="JFC22" s="93"/>
      <c r="JFD22" s="93"/>
      <c r="JFE22" s="93"/>
      <c r="JFF22" s="93"/>
      <c r="JFG22" s="93"/>
      <c r="JFH22" s="93"/>
      <c r="JFI22" s="93"/>
      <c r="JFJ22" s="93"/>
      <c r="JFK22" s="93"/>
      <c r="JFL22" s="93"/>
      <c r="JFM22" s="93"/>
      <c r="JFN22" s="93"/>
      <c r="JFO22" s="93"/>
      <c r="JFP22" s="93"/>
      <c r="JFQ22" s="93"/>
      <c r="JFR22" s="93"/>
      <c r="JFS22" s="93"/>
      <c r="JFT22" s="93"/>
      <c r="JFU22" s="93"/>
      <c r="JFV22" s="93"/>
      <c r="JFW22" s="93"/>
      <c r="JFX22" s="93"/>
      <c r="JFY22" s="93"/>
      <c r="JFZ22" s="93"/>
      <c r="JGA22" s="93"/>
      <c r="JGB22" s="93"/>
      <c r="JGC22" s="93"/>
      <c r="JGD22" s="93"/>
      <c r="JGE22" s="93"/>
      <c r="JGF22" s="93"/>
      <c r="JGG22" s="93"/>
      <c r="JGH22" s="93"/>
      <c r="JGI22" s="93"/>
      <c r="JGJ22" s="93"/>
      <c r="JGK22" s="93"/>
      <c r="JGL22" s="93"/>
      <c r="JGM22" s="93"/>
      <c r="JGN22" s="93"/>
      <c r="JGO22" s="93"/>
      <c r="JGP22" s="93"/>
      <c r="JGQ22" s="93"/>
      <c r="JGR22" s="93"/>
      <c r="JGS22" s="93"/>
      <c r="JGT22" s="93"/>
      <c r="JGU22" s="93"/>
      <c r="JGV22" s="93"/>
      <c r="JGW22" s="93"/>
      <c r="JGX22" s="93"/>
      <c r="JGY22" s="93"/>
      <c r="JGZ22" s="93"/>
      <c r="JHA22" s="93"/>
      <c r="JHB22" s="93"/>
      <c r="JHC22" s="93"/>
      <c r="JHD22" s="93"/>
      <c r="JHE22" s="93"/>
      <c r="JHF22" s="93"/>
      <c r="JHG22" s="93"/>
      <c r="JHH22" s="93"/>
      <c r="JHI22" s="93"/>
      <c r="JHJ22" s="93"/>
      <c r="JHK22" s="93"/>
      <c r="JHL22" s="93"/>
      <c r="JHM22" s="93"/>
      <c r="JHN22" s="93"/>
      <c r="JHO22" s="93"/>
      <c r="JHP22" s="93"/>
      <c r="JHQ22" s="93"/>
      <c r="JHR22" s="93"/>
      <c r="JHS22" s="93"/>
      <c r="JHT22" s="93"/>
      <c r="JHU22" s="93"/>
      <c r="JHV22" s="93"/>
      <c r="JHW22" s="93"/>
      <c r="JHX22" s="93"/>
      <c r="JHY22" s="93"/>
      <c r="JHZ22" s="93"/>
      <c r="JIA22" s="93"/>
      <c r="JIB22" s="93"/>
      <c r="JIC22" s="93"/>
      <c r="JID22" s="93"/>
      <c r="JIE22" s="93"/>
      <c r="JIF22" s="93"/>
      <c r="JIG22" s="93"/>
      <c r="JIH22" s="93"/>
      <c r="JII22" s="93"/>
      <c r="JIJ22" s="93"/>
      <c r="JIK22" s="93"/>
      <c r="JIL22" s="93"/>
      <c r="JIM22" s="93"/>
      <c r="JIN22" s="93"/>
      <c r="JIO22" s="93"/>
      <c r="JIP22" s="93"/>
      <c r="JIQ22" s="93"/>
      <c r="JIR22" s="93"/>
      <c r="JIS22" s="93"/>
      <c r="JIT22" s="93"/>
      <c r="JIU22" s="93"/>
      <c r="JIV22" s="93"/>
      <c r="JIW22" s="93"/>
      <c r="JIX22" s="93"/>
      <c r="JIY22" s="93"/>
      <c r="JIZ22" s="93"/>
      <c r="JJA22" s="93"/>
      <c r="JJB22" s="93"/>
      <c r="JJC22" s="93"/>
      <c r="JJD22" s="93"/>
      <c r="JJE22" s="93"/>
      <c r="JJF22" s="93"/>
      <c r="JJG22" s="93"/>
      <c r="JJH22" s="93"/>
      <c r="JJI22" s="93"/>
      <c r="JJJ22" s="93"/>
      <c r="JJK22" s="93"/>
      <c r="JJL22" s="93"/>
      <c r="JJM22" s="93"/>
      <c r="JJN22" s="93"/>
      <c r="JJO22" s="93"/>
      <c r="JJP22" s="93"/>
      <c r="JJQ22" s="93"/>
      <c r="JJR22" s="93"/>
      <c r="JJS22" s="93"/>
      <c r="JJT22" s="93"/>
      <c r="JJU22" s="93"/>
      <c r="JJV22" s="93"/>
      <c r="JJW22" s="93"/>
      <c r="JJX22" s="93"/>
      <c r="JJY22" s="93"/>
      <c r="JJZ22" s="93"/>
      <c r="JKA22" s="93"/>
      <c r="JKB22" s="93"/>
      <c r="JKC22" s="93"/>
      <c r="JKD22" s="93"/>
      <c r="JKE22" s="93"/>
      <c r="JKF22" s="93"/>
      <c r="JKG22" s="93"/>
      <c r="JKH22" s="93"/>
      <c r="JKI22" s="93"/>
      <c r="JKJ22" s="93"/>
      <c r="JKK22" s="93"/>
      <c r="JKL22" s="93"/>
      <c r="JKM22" s="93"/>
      <c r="JKN22" s="93"/>
      <c r="JKO22" s="93"/>
      <c r="JKP22" s="93"/>
      <c r="JKQ22" s="93"/>
      <c r="JKR22" s="93"/>
      <c r="JKS22" s="93"/>
      <c r="JKT22" s="93"/>
      <c r="JKU22" s="93"/>
      <c r="JKV22" s="93"/>
      <c r="JKW22" s="93"/>
      <c r="JKX22" s="93"/>
      <c r="JKY22" s="93"/>
      <c r="JKZ22" s="93"/>
      <c r="JLA22" s="93"/>
      <c r="JLB22" s="93"/>
      <c r="JLC22" s="93"/>
      <c r="JLD22" s="93"/>
      <c r="JLE22" s="93"/>
      <c r="JLF22" s="93"/>
      <c r="JLG22" s="93"/>
      <c r="JLH22" s="93"/>
      <c r="JLI22" s="93"/>
      <c r="JLJ22" s="93"/>
      <c r="JLK22" s="93"/>
      <c r="JLL22" s="93"/>
      <c r="JLM22" s="93"/>
      <c r="JLN22" s="93"/>
      <c r="JLO22" s="93"/>
      <c r="JLP22" s="93"/>
      <c r="JLQ22" s="93"/>
      <c r="JLR22" s="93"/>
      <c r="JLS22" s="93"/>
      <c r="JLT22" s="93"/>
      <c r="JLU22" s="93"/>
      <c r="JLV22" s="93"/>
      <c r="JLW22" s="93"/>
      <c r="JLX22" s="93"/>
      <c r="JLY22" s="93"/>
      <c r="JLZ22" s="93"/>
      <c r="JMA22" s="93"/>
      <c r="JMB22" s="93"/>
      <c r="JMC22" s="93"/>
      <c r="JMD22" s="93"/>
      <c r="JME22" s="93"/>
      <c r="JMF22" s="93"/>
      <c r="JMG22" s="93"/>
      <c r="JMH22" s="93"/>
      <c r="JMI22" s="93"/>
      <c r="JMJ22" s="93"/>
      <c r="JMK22" s="93"/>
      <c r="JML22" s="93"/>
      <c r="JMM22" s="93"/>
      <c r="JMN22" s="93"/>
      <c r="JMO22" s="93"/>
      <c r="JMP22" s="93"/>
      <c r="JMQ22" s="93"/>
      <c r="JMR22" s="93"/>
      <c r="JMS22" s="93"/>
      <c r="JMT22" s="93"/>
      <c r="JMU22" s="93"/>
      <c r="JMV22" s="93"/>
      <c r="JMW22" s="93"/>
      <c r="JMX22" s="93"/>
      <c r="JMY22" s="93"/>
      <c r="JMZ22" s="93"/>
      <c r="JNA22" s="93"/>
      <c r="JNB22" s="93"/>
      <c r="JNC22" s="93"/>
      <c r="JND22" s="93"/>
      <c r="JNE22" s="93"/>
      <c r="JNF22" s="93"/>
      <c r="JNG22" s="93"/>
      <c r="JNH22" s="93"/>
      <c r="JNI22" s="93"/>
      <c r="JNJ22" s="93"/>
      <c r="JNK22" s="93"/>
      <c r="JNL22" s="93"/>
      <c r="JNM22" s="93"/>
      <c r="JNN22" s="93"/>
      <c r="JNO22" s="93"/>
      <c r="JNP22" s="93"/>
      <c r="JNQ22" s="93"/>
      <c r="JNR22" s="93"/>
      <c r="JNS22" s="93"/>
      <c r="JNT22" s="93"/>
      <c r="JNU22" s="93"/>
      <c r="JNV22" s="93"/>
      <c r="JNW22" s="93"/>
      <c r="JNX22" s="93"/>
      <c r="JNY22" s="93"/>
      <c r="JNZ22" s="93"/>
      <c r="JOA22" s="93"/>
      <c r="JOB22" s="93"/>
      <c r="JOC22" s="93"/>
      <c r="JOD22" s="93"/>
      <c r="JOE22" s="93"/>
      <c r="JOF22" s="93"/>
      <c r="JOG22" s="93"/>
      <c r="JOH22" s="93"/>
      <c r="JOI22" s="93"/>
      <c r="JOJ22" s="93"/>
      <c r="JOK22" s="93"/>
      <c r="JOL22" s="93"/>
      <c r="JOM22" s="93"/>
      <c r="JON22" s="93"/>
      <c r="JOO22" s="93"/>
      <c r="JOP22" s="93"/>
      <c r="JOQ22" s="93"/>
      <c r="JOR22" s="93"/>
      <c r="JOS22" s="93"/>
      <c r="JOT22" s="93"/>
      <c r="JOU22" s="93"/>
      <c r="JOV22" s="93"/>
      <c r="JOW22" s="93"/>
      <c r="JOX22" s="93"/>
      <c r="JOY22" s="93"/>
      <c r="JOZ22" s="93"/>
      <c r="JPA22" s="93"/>
      <c r="JPB22" s="93"/>
      <c r="JPC22" s="93"/>
      <c r="JPD22" s="93"/>
      <c r="JPE22" s="93"/>
      <c r="JPF22" s="93"/>
      <c r="JPG22" s="93"/>
      <c r="JPH22" s="93"/>
      <c r="JPI22" s="93"/>
      <c r="JPJ22" s="93"/>
      <c r="JPK22" s="93"/>
      <c r="JPL22" s="93"/>
      <c r="JPM22" s="93"/>
      <c r="JPN22" s="93"/>
      <c r="JPO22" s="93"/>
      <c r="JPP22" s="93"/>
      <c r="JPQ22" s="93"/>
      <c r="JPR22" s="93"/>
      <c r="JPS22" s="93"/>
      <c r="JPT22" s="93"/>
      <c r="JPU22" s="93"/>
      <c r="JPV22" s="93"/>
      <c r="JPW22" s="93"/>
      <c r="JPX22" s="93"/>
      <c r="JPY22" s="93"/>
      <c r="JPZ22" s="93"/>
      <c r="JQA22" s="93"/>
      <c r="JQB22" s="93"/>
      <c r="JQC22" s="93"/>
      <c r="JQD22" s="93"/>
      <c r="JQE22" s="93"/>
      <c r="JQF22" s="93"/>
      <c r="JQG22" s="93"/>
      <c r="JQH22" s="93"/>
      <c r="JQI22" s="93"/>
      <c r="JQJ22" s="93"/>
      <c r="JQK22" s="93"/>
      <c r="JQL22" s="93"/>
      <c r="JQM22" s="93"/>
      <c r="JQN22" s="93"/>
      <c r="JQO22" s="93"/>
      <c r="JQP22" s="93"/>
      <c r="JQQ22" s="93"/>
      <c r="JQR22" s="93"/>
      <c r="JQS22" s="93"/>
      <c r="JQT22" s="93"/>
      <c r="JQU22" s="93"/>
      <c r="JQV22" s="93"/>
      <c r="JQW22" s="93"/>
      <c r="JQX22" s="93"/>
      <c r="JQY22" s="93"/>
      <c r="JQZ22" s="93"/>
      <c r="JRA22" s="93"/>
      <c r="JRB22" s="93"/>
      <c r="JRC22" s="93"/>
      <c r="JRD22" s="93"/>
      <c r="JRE22" s="93"/>
      <c r="JRF22" s="93"/>
      <c r="JRG22" s="93"/>
      <c r="JRH22" s="93"/>
      <c r="JRI22" s="93"/>
      <c r="JRJ22" s="93"/>
      <c r="JRK22" s="93"/>
      <c r="JRL22" s="93"/>
      <c r="JRM22" s="93"/>
      <c r="JRN22" s="93"/>
      <c r="JRO22" s="93"/>
      <c r="JRP22" s="93"/>
      <c r="JRQ22" s="93"/>
      <c r="JRR22" s="93"/>
      <c r="JRS22" s="93"/>
      <c r="JRT22" s="93"/>
      <c r="JRU22" s="93"/>
      <c r="JRV22" s="93"/>
      <c r="JRW22" s="93"/>
      <c r="JRX22" s="93"/>
      <c r="JRY22" s="93"/>
      <c r="JRZ22" s="93"/>
      <c r="JSA22" s="93"/>
      <c r="JSB22" s="93"/>
      <c r="JSC22" s="93"/>
      <c r="JSD22" s="93"/>
      <c r="JSE22" s="93"/>
      <c r="JSF22" s="93"/>
      <c r="JSG22" s="93"/>
      <c r="JSH22" s="93"/>
      <c r="JSI22" s="93"/>
      <c r="JSJ22" s="93"/>
      <c r="JSK22" s="93"/>
      <c r="JSL22" s="93"/>
      <c r="JSM22" s="93"/>
      <c r="JSN22" s="93"/>
      <c r="JSO22" s="93"/>
      <c r="JSP22" s="93"/>
      <c r="JSQ22" s="93"/>
      <c r="JSR22" s="93"/>
      <c r="JSS22" s="93"/>
      <c r="JST22" s="93"/>
      <c r="JSU22" s="93"/>
      <c r="JSV22" s="93"/>
      <c r="JSW22" s="93"/>
      <c r="JSX22" s="93"/>
      <c r="JSY22" s="93"/>
      <c r="JSZ22" s="93"/>
      <c r="JTA22" s="93"/>
      <c r="JTB22" s="93"/>
      <c r="JTC22" s="93"/>
      <c r="JTD22" s="93"/>
      <c r="JTE22" s="93"/>
      <c r="JTF22" s="93"/>
      <c r="JTG22" s="93"/>
      <c r="JTH22" s="93"/>
      <c r="JTI22" s="93"/>
      <c r="JTJ22" s="93"/>
      <c r="JTK22" s="93"/>
      <c r="JTL22" s="93"/>
      <c r="JTM22" s="93"/>
      <c r="JTN22" s="93"/>
      <c r="JTO22" s="93"/>
      <c r="JTP22" s="93"/>
      <c r="JTQ22" s="93"/>
      <c r="JTR22" s="93"/>
      <c r="JTS22" s="93"/>
      <c r="JTT22" s="93"/>
      <c r="JTU22" s="93"/>
      <c r="JTV22" s="93"/>
      <c r="JTW22" s="93"/>
      <c r="JTX22" s="93"/>
      <c r="JTY22" s="93"/>
      <c r="JTZ22" s="93"/>
      <c r="JUA22" s="93"/>
      <c r="JUB22" s="93"/>
      <c r="JUC22" s="93"/>
      <c r="JUD22" s="93"/>
      <c r="JUE22" s="93"/>
      <c r="JUF22" s="93"/>
      <c r="JUG22" s="93"/>
      <c r="JUH22" s="93"/>
      <c r="JUI22" s="93"/>
      <c r="JUJ22" s="93"/>
      <c r="JUK22" s="93"/>
      <c r="JUL22" s="93"/>
      <c r="JUM22" s="93"/>
      <c r="JUN22" s="93"/>
      <c r="JUO22" s="93"/>
      <c r="JUP22" s="93"/>
      <c r="JUQ22" s="93"/>
      <c r="JUR22" s="93"/>
      <c r="JUS22" s="93"/>
      <c r="JUT22" s="93"/>
      <c r="JUU22" s="93"/>
      <c r="JUV22" s="93"/>
      <c r="JUW22" s="93"/>
      <c r="JUX22" s="93"/>
      <c r="JUY22" s="93"/>
      <c r="JUZ22" s="93"/>
      <c r="JVA22" s="93"/>
      <c r="JVB22" s="93"/>
      <c r="JVC22" s="93"/>
      <c r="JVD22" s="93"/>
      <c r="JVE22" s="93"/>
      <c r="JVF22" s="93"/>
      <c r="JVG22" s="93"/>
      <c r="JVH22" s="93"/>
      <c r="JVI22" s="93"/>
      <c r="JVJ22" s="93"/>
      <c r="JVK22" s="93"/>
      <c r="JVL22" s="93"/>
      <c r="JVM22" s="93"/>
      <c r="JVN22" s="93"/>
      <c r="JVO22" s="93"/>
      <c r="JVP22" s="93"/>
      <c r="JVQ22" s="93"/>
      <c r="JVR22" s="93"/>
      <c r="JVS22" s="93"/>
      <c r="JVT22" s="93"/>
      <c r="JVU22" s="93"/>
      <c r="JVV22" s="93"/>
      <c r="JVW22" s="93"/>
      <c r="JVX22" s="93"/>
      <c r="JVY22" s="93"/>
      <c r="JVZ22" s="93"/>
      <c r="JWA22" s="93"/>
      <c r="JWB22" s="93"/>
      <c r="JWC22" s="93"/>
      <c r="JWD22" s="93"/>
      <c r="JWE22" s="93"/>
      <c r="JWF22" s="93"/>
      <c r="JWG22" s="93"/>
      <c r="JWH22" s="93"/>
      <c r="JWI22" s="93"/>
      <c r="JWJ22" s="93"/>
      <c r="JWK22" s="93"/>
      <c r="JWL22" s="93"/>
      <c r="JWM22" s="93"/>
      <c r="JWN22" s="93"/>
      <c r="JWO22" s="93"/>
      <c r="JWP22" s="93"/>
      <c r="JWQ22" s="93"/>
      <c r="JWR22" s="93"/>
      <c r="JWS22" s="93"/>
      <c r="JWT22" s="93"/>
      <c r="JWU22" s="93"/>
      <c r="JWV22" s="93"/>
      <c r="JWW22" s="93"/>
      <c r="JWX22" s="93"/>
      <c r="JWY22" s="93"/>
      <c r="JWZ22" s="93"/>
      <c r="JXA22" s="93"/>
      <c r="JXB22" s="93"/>
      <c r="JXC22" s="93"/>
      <c r="JXD22" s="93"/>
      <c r="JXE22" s="93"/>
      <c r="JXF22" s="93"/>
      <c r="JXG22" s="93"/>
      <c r="JXH22" s="93"/>
      <c r="JXI22" s="93"/>
      <c r="JXJ22" s="93"/>
      <c r="JXK22" s="93"/>
      <c r="JXL22" s="93"/>
      <c r="JXM22" s="93"/>
      <c r="JXN22" s="93"/>
      <c r="JXO22" s="93"/>
      <c r="JXP22" s="93"/>
      <c r="JXQ22" s="93"/>
      <c r="JXR22" s="93"/>
      <c r="JXS22" s="93"/>
      <c r="JXT22" s="93"/>
      <c r="JXU22" s="93"/>
      <c r="JXV22" s="93"/>
      <c r="JXW22" s="93"/>
      <c r="JXX22" s="93"/>
      <c r="JXY22" s="93"/>
      <c r="JXZ22" s="93"/>
      <c r="JYA22" s="93"/>
      <c r="JYB22" s="93"/>
      <c r="JYC22" s="93"/>
      <c r="JYD22" s="93"/>
      <c r="JYE22" s="93"/>
      <c r="JYF22" s="93"/>
      <c r="JYG22" s="93"/>
      <c r="JYH22" s="93"/>
      <c r="JYI22" s="93"/>
      <c r="JYJ22" s="93"/>
      <c r="JYK22" s="93"/>
      <c r="JYL22" s="93"/>
      <c r="JYM22" s="93"/>
      <c r="JYN22" s="93"/>
      <c r="JYO22" s="93"/>
      <c r="JYP22" s="93"/>
      <c r="JYQ22" s="93"/>
      <c r="JYR22" s="93"/>
      <c r="JYS22" s="93"/>
      <c r="JYT22" s="93"/>
      <c r="JYU22" s="93"/>
      <c r="JYV22" s="93"/>
      <c r="JYW22" s="93"/>
      <c r="JYX22" s="93"/>
      <c r="JYY22" s="93"/>
      <c r="JYZ22" s="93"/>
      <c r="JZA22" s="93"/>
      <c r="JZB22" s="93"/>
      <c r="JZC22" s="93"/>
      <c r="JZD22" s="93"/>
      <c r="JZE22" s="93"/>
      <c r="JZF22" s="93"/>
      <c r="JZG22" s="93"/>
      <c r="JZH22" s="93"/>
      <c r="JZI22" s="93"/>
      <c r="JZJ22" s="93"/>
      <c r="JZK22" s="93"/>
      <c r="JZL22" s="93"/>
      <c r="JZM22" s="93"/>
      <c r="JZN22" s="93"/>
      <c r="JZO22" s="93"/>
      <c r="JZP22" s="93"/>
      <c r="JZQ22" s="93"/>
      <c r="JZR22" s="93"/>
      <c r="JZS22" s="93"/>
      <c r="JZT22" s="93"/>
      <c r="JZU22" s="93"/>
      <c r="JZV22" s="93"/>
      <c r="JZW22" s="93"/>
      <c r="JZX22" s="93"/>
      <c r="JZY22" s="93"/>
      <c r="JZZ22" s="93"/>
      <c r="KAA22" s="93"/>
      <c r="KAB22" s="93"/>
      <c r="KAC22" s="93"/>
      <c r="KAD22" s="93"/>
      <c r="KAE22" s="93"/>
      <c r="KAF22" s="93"/>
      <c r="KAG22" s="93"/>
      <c r="KAH22" s="93"/>
      <c r="KAI22" s="93"/>
      <c r="KAJ22" s="93"/>
      <c r="KAK22" s="93"/>
      <c r="KAL22" s="93"/>
      <c r="KAM22" s="93"/>
      <c r="KAN22" s="93"/>
      <c r="KAO22" s="93"/>
      <c r="KAP22" s="93"/>
      <c r="KAQ22" s="93"/>
      <c r="KAR22" s="93"/>
      <c r="KAS22" s="93"/>
      <c r="KAT22" s="93"/>
      <c r="KAU22" s="93"/>
      <c r="KAV22" s="93"/>
      <c r="KAW22" s="93"/>
      <c r="KAX22" s="93"/>
      <c r="KAY22" s="93"/>
      <c r="KAZ22" s="93"/>
      <c r="KBA22" s="93"/>
      <c r="KBB22" s="93"/>
      <c r="KBC22" s="93"/>
      <c r="KBD22" s="93"/>
      <c r="KBE22" s="93"/>
      <c r="KBF22" s="93"/>
      <c r="KBG22" s="93"/>
      <c r="KBH22" s="93"/>
      <c r="KBI22" s="93"/>
      <c r="KBJ22" s="93"/>
      <c r="KBK22" s="93"/>
      <c r="KBL22" s="93"/>
      <c r="KBM22" s="93"/>
      <c r="KBN22" s="93"/>
      <c r="KBO22" s="93"/>
      <c r="KBP22" s="93"/>
      <c r="KBQ22" s="93"/>
      <c r="KBR22" s="93"/>
      <c r="KBS22" s="93"/>
      <c r="KBT22" s="93"/>
      <c r="KBU22" s="93"/>
      <c r="KBV22" s="93"/>
      <c r="KBW22" s="93"/>
      <c r="KBX22" s="93"/>
      <c r="KBY22" s="93"/>
      <c r="KBZ22" s="93"/>
      <c r="KCA22" s="93"/>
      <c r="KCB22" s="93"/>
      <c r="KCC22" s="93"/>
      <c r="KCD22" s="93"/>
      <c r="KCE22" s="93"/>
      <c r="KCF22" s="93"/>
      <c r="KCG22" s="93"/>
      <c r="KCH22" s="93"/>
      <c r="KCI22" s="93"/>
      <c r="KCJ22" s="93"/>
      <c r="KCK22" s="93"/>
      <c r="KCL22" s="93"/>
      <c r="KCM22" s="93"/>
      <c r="KCN22" s="93"/>
      <c r="KCO22" s="93"/>
      <c r="KCP22" s="93"/>
      <c r="KCQ22" s="93"/>
      <c r="KCR22" s="93"/>
      <c r="KCS22" s="93"/>
      <c r="KCT22" s="93"/>
      <c r="KCU22" s="93"/>
      <c r="KCV22" s="93"/>
      <c r="KCW22" s="93"/>
      <c r="KCX22" s="93"/>
      <c r="KCY22" s="93"/>
      <c r="KCZ22" s="93"/>
      <c r="KDA22" s="93"/>
      <c r="KDB22" s="93"/>
      <c r="KDC22" s="93"/>
      <c r="KDD22" s="93"/>
      <c r="KDE22" s="93"/>
      <c r="KDF22" s="93"/>
      <c r="KDG22" s="93"/>
      <c r="KDH22" s="93"/>
      <c r="KDI22" s="93"/>
      <c r="KDJ22" s="93"/>
      <c r="KDK22" s="93"/>
      <c r="KDL22" s="93"/>
      <c r="KDM22" s="93"/>
      <c r="KDN22" s="93"/>
      <c r="KDO22" s="93"/>
      <c r="KDP22" s="93"/>
      <c r="KDQ22" s="93"/>
      <c r="KDR22" s="93"/>
      <c r="KDS22" s="93"/>
      <c r="KDT22" s="93"/>
      <c r="KDU22" s="93"/>
      <c r="KDV22" s="93"/>
      <c r="KDW22" s="93"/>
      <c r="KDX22" s="93"/>
      <c r="KDY22" s="93"/>
      <c r="KDZ22" s="93"/>
      <c r="KEA22" s="93"/>
      <c r="KEB22" s="93"/>
      <c r="KEC22" s="93"/>
      <c r="KED22" s="93"/>
      <c r="KEE22" s="93"/>
      <c r="KEF22" s="93"/>
      <c r="KEG22" s="93"/>
      <c r="KEH22" s="93"/>
      <c r="KEI22" s="93"/>
      <c r="KEJ22" s="93"/>
      <c r="KEK22" s="93"/>
      <c r="KEL22" s="93"/>
      <c r="KEM22" s="93"/>
      <c r="KEN22" s="93"/>
      <c r="KEO22" s="93"/>
      <c r="KEP22" s="93"/>
      <c r="KEQ22" s="93"/>
      <c r="KER22" s="93"/>
      <c r="KES22" s="93"/>
      <c r="KET22" s="93"/>
      <c r="KEU22" s="93"/>
      <c r="KEV22" s="93"/>
      <c r="KEW22" s="93"/>
      <c r="KEX22" s="93"/>
      <c r="KEY22" s="93"/>
      <c r="KEZ22" s="93"/>
      <c r="KFA22" s="93"/>
      <c r="KFB22" s="93"/>
      <c r="KFC22" s="93"/>
      <c r="KFD22" s="93"/>
      <c r="KFE22" s="93"/>
      <c r="KFF22" s="93"/>
      <c r="KFG22" s="93"/>
      <c r="KFH22" s="93"/>
      <c r="KFI22" s="93"/>
      <c r="KFJ22" s="93"/>
      <c r="KFK22" s="93"/>
      <c r="KFL22" s="93"/>
      <c r="KFM22" s="93"/>
      <c r="KFN22" s="93"/>
      <c r="KFO22" s="93"/>
      <c r="KFP22" s="93"/>
      <c r="KFQ22" s="93"/>
      <c r="KFR22" s="93"/>
      <c r="KFS22" s="93"/>
      <c r="KFT22" s="93"/>
      <c r="KFU22" s="93"/>
      <c r="KFV22" s="93"/>
      <c r="KFW22" s="93"/>
      <c r="KFX22" s="93"/>
      <c r="KFY22" s="93"/>
      <c r="KFZ22" s="93"/>
      <c r="KGA22" s="93"/>
      <c r="KGB22" s="93"/>
      <c r="KGC22" s="93"/>
      <c r="KGD22" s="93"/>
      <c r="KGE22" s="93"/>
      <c r="KGF22" s="93"/>
      <c r="KGG22" s="93"/>
      <c r="KGH22" s="93"/>
      <c r="KGI22" s="93"/>
      <c r="KGJ22" s="93"/>
      <c r="KGK22" s="93"/>
      <c r="KGL22" s="93"/>
      <c r="KGM22" s="93"/>
      <c r="KGN22" s="93"/>
      <c r="KGO22" s="93"/>
      <c r="KGP22" s="93"/>
      <c r="KGQ22" s="93"/>
      <c r="KGR22" s="93"/>
      <c r="KGS22" s="93"/>
      <c r="KGT22" s="93"/>
      <c r="KGU22" s="93"/>
      <c r="KGV22" s="93"/>
      <c r="KGW22" s="93"/>
      <c r="KGX22" s="93"/>
      <c r="KGY22" s="93"/>
      <c r="KGZ22" s="93"/>
      <c r="KHA22" s="93"/>
      <c r="KHB22" s="93"/>
      <c r="KHC22" s="93"/>
      <c r="KHD22" s="93"/>
      <c r="KHE22" s="93"/>
      <c r="KHF22" s="93"/>
      <c r="KHG22" s="93"/>
      <c r="KHH22" s="93"/>
      <c r="KHI22" s="93"/>
      <c r="KHJ22" s="93"/>
      <c r="KHK22" s="93"/>
      <c r="KHL22" s="93"/>
      <c r="KHM22" s="93"/>
      <c r="KHN22" s="93"/>
      <c r="KHO22" s="93"/>
      <c r="KHP22" s="93"/>
      <c r="KHQ22" s="93"/>
      <c r="KHR22" s="93"/>
      <c r="KHS22" s="93"/>
      <c r="KHT22" s="93"/>
      <c r="KHU22" s="93"/>
      <c r="KHV22" s="93"/>
      <c r="KHW22" s="93"/>
      <c r="KHX22" s="93"/>
      <c r="KHY22" s="93"/>
      <c r="KHZ22" s="93"/>
      <c r="KIA22" s="93"/>
      <c r="KIB22" s="93"/>
      <c r="KIC22" s="93"/>
      <c r="KID22" s="93"/>
      <c r="KIE22" s="93"/>
      <c r="KIF22" s="93"/>
      <c r="KIG22" s="93"/>
      <c r="KIH22" s="93"/>
      <c r="KII22" s="93"/>
      <c r="KIJ22" s="93"/>
      <c r="KIK22" s="93"/>
      <c r="KIL22" s="93"/>
      <c r="KIM22" s="93"/>
      <c r="KIN22" s="93"/>
      <c r="KIO22" s="93"/>
      <c r="KIP22" s="93"/>
      <c r="KIQ22" s="93"/>
      <c r="KIR22" s="93"/>
      <c r="KIS22" s="93"/>
      <c r="KIT22" s="93"/>
      <c r="KIU22" s="93"/>
      <c r="KIV22" s="93"/>
      <c r="KIW22" s="93"/>
      <c r="KIX22" s="93"/>
      <c r="KIY22" s="93"/>
      <c r="KIZ22" s="93"/>
      <c r="KJA22" s="93"/>
      <c r="KJB22" s="93"/>
      <c r="KJC22" s="93"/>
      <c r="KJD22" s="93"/>
      <c r="KJE22" s="93"/>
      <c r="KJF22" s="93"/>
      <c r="KJG22" s="93"/>
      <c r="KJH22" s="93"/>
      <c r="KJI22" s="93"/>
      <c r="KJJ22" s="93"/>
      <c r="KJK22" s="93"/>
      <c r="KJL22" s="93"/>
      <c r="KJM22" s="93"/>
      <c r="KJN22" s="93"/>
      <c r="KJO22" s="93"/>
      <c r="KJP22" s="93"/>
      <c r="KJQ22" s="93"/>
      <c r="KJR22" s="93"/>
      <c r="KJS22" s="93"/>
      <c r="KJT22" s="93"/>
      <c r="KJU22" s="93"/>
      <c r="KJV22" s="93"/>
      <c r="KJW22" s="93"/>
      <c r="KJX22" s="93"/>
      <c r="KJY22" s="93"/>
      <c r="KJZ22" s="93"/>
      <c r="KKA22" s="93"/>
      <c r="KKB22" s="93"/>
      <c r="KKC22" s="93"/>
      <c r="KKD22" s="93"/>
      <c r="KKE22" s="93"/>
      <c r="KKF22" s="93"/>
      <c r="KKG22" s="93"/>
      <c r="KKH22" s="93"/>
      <c r="KKI22" s="93"/>
      <c r="KKJ22" s="93"/>
      <c r="KKK22" s="93"/>
      <c r="KKL22" s="93"/>
      <c r="KKM22" s="93"/>
      <c r="KKN22" s="93"/>
      <c r="KKO22" s="93"/>
      <c r="KKP22" s="93"/>
      <c r="KKQ22" s="93"/>
      <c r="KKR22" s="93"/>
      <c r="KKS22" s="93"/>
      <c r="KKT22" s="93"/>
      <c r="KKU22" s="93"/>
      <c r="KKV22" s="93"/>
      <c r="KKW22" s="93"/>
      <c r="KKX22" s="93"/>
      <c r="KKY22" s="93"/>
      <c r="KKZ22" s="93"/>
      <c r="KLA22" s="93"/>
      <c r="KLB22" s="93"/>
      <c r="KLC22" s="93"/>
      <c r="KLD22" s="93"/>
      <c r="KLE22" s="93"/>
      <c r="KLF22" s="93"/>
      <c r="KLG22" s="93"/>
      <c r="KLH22" s="93"/>
      <c r="KLI22" s="93"/>
      <c r="KLJ22" s="93"/>
      <c r="KLK22" s="93"/>
      <c r="KLL22" s="93"/>
      <c r="KLM22" s="93"/>
      <c r="KLN22" s="93"/>
      <c r="KLO22" s="93"/>
      <c r="KLP22" s="93"/>
      <c r="KLQ22" s="93"/>
      <c r="KLR22" s="93"/>
      <c r="KLS22" s="93"/>
      <c r="KLT22" s="93"/>
      <c r="KLU22" s="93"/>
      <c r="KLV22" s="93"/>
      <c r="KLW22" s="93"/>
      <c r="KLX22" s="93"/>
      <c r="KLY22" s="93"/>
      <c r="KLZ22" s="93"/>
      <c r="KMA22" s="93"/>
      <c r="KMB22" s="93"/>
      <c r="KMC22" s="93"/>
      <c r="KMD22" s="93"/>
      <c r="KME22" s="93"/>
      <c r="KMF22" s="93"/>
      <c r="KMG22" s="93"/>
      <c r="KMH22" s="93"/>
      <c r="KMI22" s="93"/>
      <c r="KMJ22" s="93"/>
      <c r="KMK22" s="93"/>
      <c r="KML22" s="93"/>
      <c r="KMM22" s="93"/>
      <c r="KMN22" s="93"/>
      <c r="KMO22" s="93"/>
      <c r="KMP22" s="93"/>
      <c r="KMQ22" s="93"/>
      <c r="KMR22" s="93"/>
      <c r="KMS22" s="93"/>
      <c r="KMT22" s="93"/>
      <c r="KMU22" s="93"/>
      <c r="KMV22" s="93"/>
      <c r="KMW22" s="93"/>
      <c r="KMX22" s="93"/>
      <c r="KMY22" s="93"/>
      <c r="KMZ22" s="93"/>
      <c r="KNA22" s="93"/>
      <c r="KNB22" s="93"/>
      <c r="KNC22" s="93"/>
      <c r="KND22" s="93"/>
      <c r="KNE22" s="93"/>
      <c r="KNF22" s="93"/>
      <c r="KNG22" s="93"/>
      <c r="KNH22" s="93"/>
      <c r="KNI22" s="93"/>
      <c r="KNJ22" s="93"/>
      <c r="KNK22" s="93"/>
      <c r="KNL22" s="93"/>
      <c r="KNM22" s="93"/>
      <c r="KNN22" s="93"/>
      <c r="KNO22" s="93"/>
      <c r="KNP22" s="93"/>
      <c r="KNQ22" s="93"/>
      <c r="KNR22" s="93"/>
      <c r="KNS22" s="93"/>
      <c r="KNT22" s="93"/>
      <c r="KNU22" s="93"/>
      <c r="KNV22" s="93"/>
      <c r="KNW22" s="93"/>
      <c r="KNX22" s="93"/>
      <c r="KNY22" s="93"/>
      <c r="KNZ22" s="93"/>
      <c r="KOA22" s="93"/>
      <c r="KOB22" s="93"/>
      <c r="KOC22" s="93"/>
      <c r="KOD22" s="93"/>
      <c r="KOE22" s="93"/>
      <c r="KOF22" s="93"/>
      <c r="KOG22" s="93"/>
      <c r="KOH22" s="93"/>
      <c r="KOI22" s="93"/>
      <c r="KOJ22" s="93"/>
      <c r="KOK22" s="93"/>
      <c r="KOL22" s="93"/>
      <c r="KOM22" s="93"/>
      <c r="KON22" s="93"/>
      <c r="KOO22" s="93"/>
      <c r="KOP22" s="93"/>
      <c r="KOQ22" s="93"/>
      <c r="KOR22" s="93"/>
      <c r="KOS22" s="93"/>
      <c r="KOT22" s="93"/>
      <c r="KOU22" s="93"/>
      <c r="KOV22" s="93"/>
      <c r="KOW22" s="93"/>
      <c r="KOX22" s="93"/>
      <c r="KOY22" s="93"/>
      <c r="KOZ22" s="93"/>
      <c r="KPA22" s="93"/>
      <c r="KPB22" s="93"/>
      <c r="KPC22" s="93"/>
      <c r="KPD22" s="93"/>
      <c r="KPE22" s="93"/>
      <c r="KPF22" s="93"/>
      <c r="KPG22" s="93"/>
      <c r="KPH22" s="93"/>
      <c r="KPI22" s="93"/>
      <c r="KPJ22" s="93"/>
      <c r="KPK22" s="93"/>
      <c r="KPL22" s="93"/>
      <c r="KPM22" s="93"/>
      <c r="KPN22" s="93"/>
      <c r="KPO22" s="93"/>
      <c r="KPP22" s="93"/>
      <c r="KPQ22" s="93"/>
      <c r="KPR22" s="93"/>
      <c r="KPS22" s="93"/>
      <c r="KPT22" s="93"/>
      <c r="KPU22" s="93"/>
      <c r="KPV22" s="93"/>
      <c r="KPW22" s="93"/>
      <c r="KPX22" s="93"/>
      <c r="KPY22" s="93"/>
      <c r="KPZ22" s="93"/>
      <c r="KQA22" s="93"/>
      <c r="KQB22" s="93"/>
      <c r="KQC22" s="93"/>
      <c r="KQD22" s="93"/>
      <c r="KQE22" s="93"/>
      <c r="KQF22" s="93"/>
      <c r="KQG22" s="93"/>
      <c r="KQH22" s="93"/>
      <c r="KQI22" s="93"/>
      <c r="KQJ22" s="93"/>
      <c r="KQK22" s="93"/>
      <c r="KQL22" s="93"/>
      <c r="KQM22" s="93"/>
      <c r="KQN22" s="93"/>
      <c r="KQO22" s="93"/>
      <c r="KQP22" s="93"/>
      <c r="KQQ22" s="93"/>
      <c r="KQR22" s="93"/>
      <c r="KQS22" s="93"/>
      <c r="KQT22" s="93"/>
      <c r="KQU22" s="93"/>
      <c r="KQV22" s="93"/>
      <c r="KQW22" s="93"/>
      <c r="KQX22" s="93"/>
      <c r="KQY22" s="93"/>
      <c r="KQZ22" s="93"/>
      <c r="KRA22" s="93"/>
      <c r="KRB22" s="93"/>
      <c r="KRC22" s="93"/>
      <c r="KRD22" s="93"/>
      <c r="KRE22" s="93"/>
      <c r="KRF22" s="93"/>
      <c r="KRG22" s="93"/>
      <c r="KRH22" s="93"/>
      <c r="KRI22" s="93"/>
      <c r="KRJ22" s="93"/>
      <c r="KRK22" s="93"/>
      <c r="KRL22" s="93"/>
      <c r="KRM22" s="93"/>
      <c r="KRN22" s="93"/>
      <c r="KRO22" s="93"/>
      <c r="KRP22" s="93"/>
      <c r="KRQ22" s="93"/>
      <c r="KRR22" s="93"/>
      <c r="KRS22" s="93"/>
      <c r="KRT22" s="93"/>
      <c r="KRU22" s="93"/>
      <c r="KRV22" s="93"/>
      <c r="KRW22" s="93"/>
      <c r="KRX22" s="93"/>
      <c r="KRY22" s="93"/>
      <c r="KRZ22" s="93"/>
      <c r="KSA22" s="93"/>
      <c r="KSB22" s="93"/>
      <c r="KSC22" s="93"/>
      <c r="KSD22" s="93"/>
      <c r="KSE22" s="93"/>
      <c r="KSF22" s="93"/>
      <c r="KSG22" s="93"/>
      <c r="KSH22" s="93"/>
      <c r="KSI22" s="93"/>
      <c r="KSJ22" s="93"/>
      <c r="KSK22" s="93"/>
      <c r="KSL22" s="93"/>
      <c r="KSM22" s="93"/>
      <c r="KSN22" s="93"/>
      <c r="KSO22" s="93"/>
      <c r="KSP22" s="93"/>
      <c r="KSQ22" s="93"/>
      <c r="KSR22" s="93"/>
      <c r="KSS22" s="93"/>
      <c r="KST22" s="93"/>
      <c r="KSU22" s="93"/>
      <c r="KSV22" s="93"/>
      <c r="KSW22" s="93"/>
      <c r="KSX22" s="93"/>
      <c r="KSY22" s="93"/>
      <c r="KSZ22" s="93"/>
      <c r="KTA22" s="93"/>
      <c r="KTB22" s="93"/>
      <c r="KTC22" s="93"/>
      <c r="KTD22" s="93"/>
      <c r="KTE22" s="93"/>
      <c r="KTF22" s="93"/>
      <c r="KTG22" s="93"/>
      <c r="KTH22" s="93"/>
      <c r="KTI22" s="93"/>
      <c r="KTJ22" s="93"/>
      <c r="KTK22" s="93"/>
      <c r="KTL22" s="93"/>
      <c r="KTM22" s="93"/>
      <c r="KTN22" s="93"/>
      <c r="KTO22" s="93"/>
      <c r="KTP22" s="93"/>
      <c r="KTQ22" s="93"/>
      <c r="KTR22" s="93"/>
      <c r="KTS22" s="93"/>
      <c r="KTT22" s="93"/>
      <c r="KTU22" s="93"/>
      <c r="KTV22" s="93"/>
      <c r="KTW22" s="93"/>
      <c r="KTX22" s="93"/>
      <c r="KTY22" s="93"/>
      <c r="KTZ22" s="93"/>
      <c r="KUA22" s="93"/>
      <c r="KUB22" s="93"/>
      <c r="KUC22" s="93"/>
      <c r="KUD22" s="93"/>
      <c r="KUE22" s="93"/>
      <c r="KUF22" s="93"/>
      <c r="KUG22" s="93"/>
      <c r="KUH22" s="93"/>
      <c r="KUI22" s="93"/>
      <c r="KUJ22" s="93"/>
      <c r="KUK22" s="93"/>
      <c r="KUL22" s="93"/>
      <c r="KUM22" s="93"/>
      <c r="KUN22" s="93"/>
      <c r="KUO22" s="93"/>
      <c r="KUP22" s="93"/>
      <c r="KUQ22" s="93"/>
      <c r="KUR22" s="93"/>
      <c r="KUS22" s="93"/>
      <c r="KUT22" s="93"/>
      <c r="KUU22" s="93"/>
      <c r="KUV22" s="93"/>
      <c r="KUW22" s="93"/>
      <c r="KUX22" s="93"/>
      <c r="KUY22" s="93"/>
      <c r="KUZ22" s="93"/>
      <c r="KVA22" s="93"/>
      <c r="KVB22" s="93"/>
      <c r="KVC22" s="93"/>
      <c r="KVD22" s="93"/>
      <c r="KVE22" s="93"/>
      <c r="KVF22" s="93"/>
      <c r="KVG22" s="93"/>
      <c r="KVH22" s="93"/>
      <c r="KVI22" s="93"/>
      <c r="KVJ22" s="93"/>
      <c r="KVK22" s="93"/>
      <c r="KVL22" s="93"/>
      <c r="KVM22" s="93"/>
      <c r="KVN22" s="93"/>
      <c r="KVO22" s="93"/>
      <c r="KVP22" s="93"/>
      <c r="KVQ22" s="93"/>
      <c r="KVR22" s="93"/>
      <c r="KVS22" s="93"/>
      <c r="KVT22" s="93"/>
      <c r="KVU22" s="93"/>
      <c r="KVV22" s="93"/>
      <c r="KVW22" s="93"/>
      <c r="KVX22" s="93"/>
      <c r="KVY22" s="93"/>
      <c r="KVZ22" s="93"/>
      <c r="KWA22" s="93"/>
      <c r="KWB22" s="93"/>
      <c r="KWC22" s="93"/>
      <c r="KWD22" s="93"/>
      <c r="KWE22" s="93"/>
      <c r="KWF22" s="93"/>
      <c r="KWG22" s="93"/>
      <c r="KWH22" s="93"/>
      <c r="KWI22" s="93"/>
      <c r="KWJ22" s="93"/>
      <c r="KWK22" s="93"/>
      <c r="KWL22" s="93"/>
      <c r="KWM22" s="93"/>
      <c r="KWN22" s="93"/>
      <c r="KWO22" s="93"/>
      <c r="KWP22" s="93"/>
      <c r="KWQ22" s="93"/>
      <c r="KWR22" s="93"/>
      <c r="KWS22" s="93"/>
      <c r="KWT22" s="93"/>
      <c r="KWU22" s="93"/>
      <c r="KWV22" s="93"/>
      <c r="KWW22" s="93"/>
      <c r="KWX22" s="93"/>
      <c r="KWY22" s="93"/>
      <c r="KWZ22" s="93"/>
      <c r="KXA22" s="93"/>
      <c r="KXB22" s="93"/>
      <c r="KXC22" s="93"/>
      <c r="KXD22" s="93"/>
      <c r="KXE22" s="93"/>
      <c r="KXF22" s="93"/>
      <c r="KXG22" s="93"/>
      <c r="KXH22" s="93"/>
      <c r="KXI22" s="93"/>
      <c r="KXJ22" s="93"/>
      <c r="KXK22" s="93"/>
      <c r="KXL22" s="93"/>
      <c r="KXM22" s="93"/>
      <c r="KXN22" s="93"/>
      <c r="KXO22" s="93"/>
      <c r="KXP22" s="93"/>
      <c r="KXQ22" s="93"/>
      <c r="KXR22" s="93"/>
      <c r="KXS22" s="93"/>
      <c r="KXT22" s="93"/>
      <c r="KXU22" s="93"/>
      <c r="KXV22" s="93"/>
      <c r="KXW22" s="93"/>
      <c r="KXX22" s="93"/>
      <c r="KXY22" s="93"/>
      <c r="KXZ22" s="93"/>
      <c r="KYA22" s="93"/>
      <c r="KYB22" s="93"/>
      <c r="KYC22" s="93"/>
      <c r="KYD22" s="93"/>
      <c r="KYE22" s="93"/>
      <c r="KYF22" s="93"/>
      <c r="KYG22" s="93"/>
      <c r="KYH22" s="93"/>
      <c r="KYI22" s="93"/>
      <c r="KYJ22" s="93"/>
      <c r="KYK22" s="93"/>
      <c r="KYL22" s="93"/>
      <c r="KYM22" s="93"/>
      <c r="KYN22" s="93"/>
      <c r="KYO22" s="93"/>
      <c r="KYP22" s="93"/>
      <c r="KYQ22" s="93"/>
      <c r="KYR22" s="93"/>
      <c r="KYS22" s="93"/>
      <c r="KYT22" s="93"/>
      <c r="KYU22" s="93"/>
      <c r="KYV22" s="93"/>
      <c r="KYW22" s="93"/>
      <c r="KYX22" s="93"/>
      <c r="KYY22" s="93"/>
      <c r="KYZ22" s="93"/>
      <c r="KZA22" s="93"/>
      <c r="KZB22" s="93"/>
      <c r="KZC22" s="93"/>
      <c r="KZD22" s="93"/>
      <c r="KZE22" s="93"/>
      <c r="KZF22" s="93"/>
      <c r="KZG22" s="93"/>
      <c r="KZH22" s="93"/>
      <c r="KZI22" s="93"/>
      <c r="KZJ22" s="93"/>
      <c r="KZK22" s="93"/>
      <c r="KZL22" s="93"/>
      <c r="KZM22" s="93"/>
      <c r="KZN22" s="93"/>
      <c r="KZO22" s="93"/>
      <c r="KZP22" s="93"/>
      <c r="KZQ22" s="93"/>
      <c r="KZR22" s="93"/>
      <c r="KZS22" s="93"/>
      <c r="KZT22" s="93"/>
      <c r="KZU22" s="93"/>
      <c r="KZV22" s="93"/>
      <c r="KZW22" s="93"/>
      <c r="KZX22" s="93"/>
      <c r="KZY22" s="93"/>
      <c r="KZZ22" s="93"/>
      <c r="LAA22" s="93"/>
      <c r="LAB22" s="93"/>
      <c r="LAC22" s="93"/>
      <c r="LAD22" s="93"/>
      <c r="LAE22" s="93"/>
      <c r="LAF22" s="93"/>
      <c r="LAG22" s="93"/>
      <c r="LAH22" s="93"/>
      <c r="LAI22" s="93"/>
      <c r="LAJ22" s="93"/>
      <c r="LAK22" s="93"/>
      <c r="LAL22" s="93"/>
      <c r="LAM22" s="93"/>
      <c r="LAN22" s="93"/>
      <c r="LAO22" s="93"/>
      <c r="LAP22" s="93"/>
      <c r="LAQ22" s="93"/>
      <c r="LAR22" s="93"/>
      <c r="LAS22" s="93"/>
      <c r="LAT22" s="93"/>
      <c r="LAU22" s="93"/>
      <c r="LAV22" s="93"/>
      <c r="LAW22" s="93"/>
      <c r="LAX22" s="93"/>
      <c r="LAY22" s="93"/>
      <c r="LAZ22" s="93"/>
      <c r="LBA22" s="93"/>
      <c r="LBB22" s="93"/>
      <c r="LBC22" s="93"/>
      <c r="LBD22" s="93"/>
      <c r="LBE22" s="93"/>
      <c r="LBF22" s="93"/>
      <c r="LBG22" s="93"/>
      <c r="LBH22" s="93"/>
      <c r="LBI22" s="93"/>
      <c r="LBJ22" s="93"/>
      <c r="LBK22" s="93"/>
      <c r="LBL22" s="93"/>
      <c r="LBM22" s="93"/>
      <c r="LBN22" s="93"/>
      <c r="LBO22" s="93"/>
      <c r="LBP22" s="93"/>
      <c r="LBQ22" s="93"/>
      <c r="LBR22" s="93"/>
      <c r="LBS22" s="93"/>
      <c r="LBT22" s="93"/>
      <c r="LBU22" s="93"/>
      <c r="LBV22" s="93"/>
      <c r="LBW22" s="93"/>
      <c r="LBX22" s="93"/>
      <c r="LBY22" s="93"/>
      <c r="LBZ22" s="93"/>
      <c r="LCA22" s="93"/>
      <c r="LCB22" s="93"/>
      <c r="LCC22" s="93"/>
      <c r="LCD22" s="93"/>
      <c r="LCE22" s="93"/>
      <c r="LCF22" s="93"/>
      <c r="LCG22" s="93"/>
      <c r="LCH22" s="93"/>
      <c r="LCI22" s="93"/>
      <c r="LCJ22" s="93"/>
      <c r="LCK22" s="93"/>
      <c r="LCL22" s="93"/>
      <c r="LCM22" s="93"/>
      <c r="LCN22" s="93"/>
      <c r="LCO22" s="93"/>
      <c r="LCP22" s="93"/>
      <c r="LCQ22" s="93"/>
      <c r="LCR22" s="93"/>
      <c r="LCS22" s="93"/>
      <c r="LCT22" s="93"/>
      <c r="LCU22" s="93"/>
      <c r="LCV22" s="93"/>
      <c r="LCW22" s="93"/>
      <c r="LCX22" s="93"/>
      <c r="LCY22" s="93"/>
      <c r="LCZ22" s="93"/>
      <c r="LDA22" s="93"/>
      <c r="LDB22" s="93"/>
      <c r="LDC22" s="93"/>
      <c r="LDD22" s="93"/>
      <c r="LDE22" s="93"/>
      <c r="LDF22" s="93"/>
      <c r="LDG22" s="93"/>
      <c r="LDH22" s="93"/>
      <c r="LDI22" s="93"/>
      <c r="LDJ22" s="93"/>
      <c r="LDK22" s="93"/>
      <c r="LDL22" s="93"/>
      <c r="LDM22" s="93"/>
      <c r="LDN22" s="93"/>
      <c r="LDO22" s="93"/>
      <c r="LDP22" s="93"/>
      <c r="LDQ22" s="93"/>
      <c r="LDR22" s="93"/>
      <c r="LDS22" s="93"/>
      <c r="LDT22" s="93"/>
      <c r="LDU22" s="93"/>
      <c r="LDV22" s="93"/>
      <c r="LDW22" s="93"/>
      <c r="LDX22" s="93"/>
      <c r="LDY22" s="93"/>
      <c r="LDZ22" s="93"/>
      <c r="LEA22" s="93"/>
      <c r="LEB22" s="93"/>
      <c r="LEC22" s="93"/>
      <c r="LED22" s="93"/>
      <c r="LEE22" s="93"/>
      <c r="LEF22" s="93"/>
      <c r="LEG22" s="93"/>
      <c r="LEH22" s="93"/>
      <c r="LEI22" s="93"/>
      <c r="LEJ22" s="93"/>
      <c r="LEK22" s="93"/>
      <c r="LEL22" s="93"/>
      <c r="LEM22" s="93"/>
      <c r="LEN22" s="93"/>
      <c r="LEO22" s="93"/>
      <c r="LEP22" s="93"/>
      <c r="LEQ22" s="93"/>
      <c r="LER22" s="93"/>
      <c r="LES22" s="93"/>
      <c r="LET22" s="93"/>
      <c r="LEU22" s="93"/>
      <c r="LEV22" s="93"/>
      <c r="LEW22" s="93"/>
      <c r="LEX22" s="93"/>
      <c r="LEY22" s="93"/>
      <c r="LEZ22" s="93"/>
      <c r="LFA22" s="93"/>
      <c r="LFB22" s="93"/>
      <c r="LFC22" s="93"/>
      <c r="LFD22" s="93"/>
      <c r="LFE22" s="93"/>
      <c r="LFF22" s="93"/>
      <c r="LFG22" s="93"/>
      <c r="LFH22" s="93"/>
      <c r="LFI22" s="93"/>
      <c r="LFJ22" s="93"/>
      <c r="LFK22" s="93"/>
      <c r="LFL22" s="93"/>
      <c r="LFM22" s="93"/>
      <c r="LFN22" s="93"/>
      <c r="LFO22" s="93"/>
      <c r="LFP22" s="93"/>
      <c r="LFQ22" s="93"/>
      <c r="LFR22" s="93"/>
      <c r="LFS22" s="93"/>
      <c r="LFT22" s="93"/>
      <c r="LFU22" s="93"/>
      <c r="LFV22" s="93"/>
      <c r="LFW22" s="93"/>
      <c r="LFX22" s="93"/>
      <c r="LFY22" s="93"/>
      <c r="LFZ22" s="93"/>
      <c r="LGA22" s="93"/>
      <c r="LGB22" s="93"/>
      <c r="LGC22" s="93"/>
      <c r="LGD22" s="93"/>
      <c r="LGE22" s="93"/>
      <c r="LGF22" s="93"/>
      <c r="LGG22" s="93"/>
      <c r="LGH22" s="93"/>
      <c r="LGI22" s="93"/>
      <c r="LGJ22" s="93"/>
      <c r="LGK22" s="93"/>
      <c r="LGL22" s="93"/>
      <c r="LGM22" s="93"/>
      <c r="LGN22" s="93"/>
      <c r="LGO22" s="93"/>
      <c r="LGP22" s="93"/>
      <c r="LGQ22" s="93"/>
      <c r="LGR22" s="93"/>
      <c r="LGS22" s="93"/>
      <c r="LGT22" s="93"/>
      <c r="LGU22" s="93"/>
      <c r="LGV22" s="93"/>
      <c r="LGW22" s="93"/>
      <c r="LGX22" s="93"/>
      <c r="LGY22" s="93"/>
      <c r="LGZ22" s="93"/>
      <c r="LHA22" s="93"/>
      <c r="LHB22" s="93"/>
      <c r="LHC22" s="93"/>
      <c r="LHD22" s="93"/>
      <c r="LHE22" s="93"/>
      <c r="LHF22" s="93"/>
      <c r="LHG22" s="93"/>
      <c r="LHH22" s="93"/>
      <c r="LHI22" s="93"/>
      <c r="LHJ22" s="93"/>
      <c r="LHK22" s="93"/>
      <c r="LHL22" s="93"/>
      <c r="LHM22" s="93"/>
      <c r="LHN22" s="93"/>
      <c r="LHO22" s="93"/>
      <c r="LHP22" s="93"/>
      <c r="LHQ22" s="93"/>
      <c r="LHR22" s="93"/>
      <c r="LHS22" s="93"/>
      <c r="LHT22" s="93"/>
      <c r="LHU22" s="93"/>
      <c r="LHV22" s="93"/>
      <c r="LHW22" s="93"/>
      <c r="LHX22" s="93"/>
      <c r="LHY22" s="93"/>
      <c r="LHZ22" s="93"/>
      <c r="LIA22" s="93"/>
      <c r="LIB22" s="93"/>
      <c r="LIC22" s="93"/>
      <c r="LID22" s="93"/>
      <c r="LIE22" s="93"/>
      <c r="LIF22" s="93"/>
      <c r="LIG22" s="93"/>
      <c r="LIH22" s="93"/>
      <c r="LII22" s="93"/>
      <c r="LIJ22" s="93"/>
      <c r="LIK22" s="93"/>
      <c r="LIL22" s="93"/>
      <c r="LIM22" s="93"/>
      <c r="LIN22" s="93"/>
      <c r="LIO22" s="93"/>
      <c r="LIP22" s="93"/>
      <c r="LIQ22" s="93"/>
      <c r="LIR22" s="93"/>
      <c r="LIS22" s="93"/>
      <c r="LIT22" s="93"/>
      <c r="LIU22" s="93"/>
      <c r="LIV22" s="93"/>
      <c r="LIW22" s="93"/>
      <c r="LIX22" s="93"/>
      <c r="LIY22" s="93"/>
      <c r="LIZ22" s="93"/>
      <c r="LJA22" s="93"/>
      <c r="LJB22" s="93"/>
      <c r="LJC22" s="93"/>
      <c r="LJD22" s="93"/>
      <c r="LJE22" s="93"/>
      <c r="LJF22" s="93"/>
      <c r="LJG22" s="93"/>
      <c r="LJH22" s="93"/>
      <c r="LJI22" s="93"/>
      <c r="LJJ22" s="93"/>
      <c r="LJK22" s="93"/>
      <c r="LJL22" s="93"/>
      <c r="LJM22" s="93"/>
      <c r="LJN22" s="93"/>
      <c r="LJO22" s="93"/>
      <c r="LJP22" s="93"/>
      <c r="LJQ22" s="93"/>
      <c r="LJR22" s="93"/>
      <c r="LJS22" s="93"/>
      <c r="LJT22" s="93"/>
      <c r="LJU22" s="93"/>
      <c r="LJV22" s="93"/>
      <c r="LJW22" s="93"/>
      <c r="LJX22" s="93"/>
      <c r="LJY22" s="93"/>
      <c r="LJZ22" s="93"/>
      <c r="LKA22" s="93"/>
      <c r="LKB22" s="93"/>
      <c r="LKC22" s="93"/>
      <c r="LKD22" s="93"/>
      <c r="LKE22" s="93"/>
      <c r="LKF22" s="93"/>
      <c r="LKG22" s="93"/>
      <c r="LKH22" s="93"/>
      <c r="LKI22" s="93"/>
      <c r="LKJ22" s="93"/>
      <c r="LKK22" s="93"/>
      <c r="LKL22" s="93"/>
      <c r="LKM22" s="93"/>
      <c r="LKN22" s="93"/>
      <c r="LKO22" s="93"/>
      <c r="LKP22" s="93"/>
      <c r="LKQ22" s="93"/>
      <c r="LKR22" s="93"/>
      <c r="LKS22" s="93"/>
      <c r="LKT22" s="93"/>
      <c r="LKU22" s="93"/>
      <c r="LKV22" s="93"/>
      <c r="LKW22" s="93"/>
      <c r="LKX22" s="93"/>
      <c r="LKY22" s="93"/>
      <c r="LKZ22" s="93"/>
      <c r="LLA22" s="93"/>
      <c r="LLB22" s="93"/>
      <c r="LLC22" s="93"/>
      <c r="LLD22" s="93"/>
      <c r="LLE22" s="93"/>
      <c r="LLF22" s="93"/>
      <c r="LLG22" s="93"/>
      <c r="LLH22" s="93"/>
      <c r="LLI22" s="93"/>
      <c r="LLJ22" s="93"/>
      <c r="LLK22" s="93"/>
      <c r="LLL22" s="93"/>
      <c r="LLM22" s="93"/>
      <c r="LLN22" s="93"/>
      <c r="LLO22" s="93"/>
      <c r="LLP22" s="93"/>
      <c r="LLQ22" s="93"/>
      <c r="LLR22" s="93"/>
      <c r="LLS22" s="93"/>
      <c r="LLT22" s="93"/>
      <c r="LLU22" s="93"/>
      <c r="LLV22" s="93"/>
      <c r="LLW22" s="93"/>
      <c r="LLX22" s="93"/>
      <c r="LLY22" s="93"/>
      <c r="LLZ22" s="93"/>
      <c r="LMA22" s="93"/>
      <c r="LMB22" s="93"/>
      <c r="LMC22" s="93"/>
      <c r="LMD22" s="93"/>
      <c r="LME22" s="93"/>
      <c r="LMF22" s="93"/>
      <c r="LMG22" s="93"/>
      <c r="LMH22" s="93"/>
      <c r="LMI22" s="93"/>
      <c r="LMJ22" s="93"/>
      <c r="LMK22" s="93"/>
      <c r="LML22" s="93"/>
      <c r="LMM22" s="93"/>
      <c r="LMN22" s="93"/>
      <c r="LMO22" s="93"/>
      <c r="LMP22" s="93"/>
      <c r="LMQ22" s="93"/>
      <c r="LMR22" s="93"/>
      <c r="LMS22" s="93"/>
      <c r="LMT22" s="93"/>
      <c r="LMU22" s="93"/>
      <c r="LMV22" s="93"/>
      <c r="LMW22" s="93"/>
      <c r="LMX22" s="93"/>
      <c r="LMY22" s="93"/>
      <c r="LMZ22" s="93"/>
      <c r="LNA22" s="93"/>
      <c r="LNB22" s="93"/>
      <c r="LNC22" s="93"/>
      <c r="LND22" s="93"/>
      <c r="LNE22" s="93"/>
      <c r="LNF22" s="93"/>
      <c r="LNG22" s="93"/>
      <c r="LNH22" s="93"/>
      <c r="LNI22" s="93"/>
      <c r="LNJ22" s="93"/>
      <c r="LNK22" s="93"/>
      <c r="LNL22" s="93"/>
      <c r="LNM22" s="93"/>
      <c r="LNN22" s="93"/>
      <c r="LNO22" s="93"/>
      <c r="LNP22" s="93"/>
      <c r="LNQ22" s="93"/>
      <c r="LNR22" s="93"/>
      <c r="LNS22" s="93"/>
      <c r="LNT22" s="93"/>
      <c r="LNU22" s="93"/>
      <c r="LNV22" s="93"/>
      <c r="LNW22" s="93"/>
      <c r="LNX22" s="93"/>
      <c r="LNY22" s="93"/>
      <c r="LNZ22" s="93"/>
      <c r="LOA22" s="93"/>
      <c r="LOB22" s="93"/>
      <c r="LOC22" s="93"/>
      <c r="LOD22" s="93"/>
      <c r="LOE22" s="93"/>
      <c r="LOF22" s="93"/>
      <c r="LOG22" s="93"/>
      <c r="LOH22" s="93"/>
      <c r="LOI22" s="93"/>
      <c r="LOJ22" s="93"/>
      <c r="LOK22" s="93"/>
      <c r="LOL22" s="93"/>
      <c r="LOM22" s="93"/>
      <c r="LON22" s="93"/>
      <c r="LOO22" s="93"/>
      <c r="LOP22" s="93"/>
      <c r="LOQ22" s="93"/>
      <c r="LOR22" s="93"/>
      <c r="LOS22" s="93"/>
      <c r="LOT22" s="93"/>
      <c r="LOU22" s="93"/>
      <c r="LOV22" s="93"/>
      <c r="LOW22" s="93"/>
      <c r="LOX22" s="93"/>
      <c r="LOY22" s="93"/>
      <c r="LOZ22" s="93"/>
      <c r="LPA22" s="93"/>
      <c r="LPB22" s="93"/>
      <c r="LPC22" s="93"/>
      <c r="LPD22" s="93"/>
      <c r="LPE22" s="93"/>
      <c r="LPF22" s="93"/>
      <c r="LPG22" s="93"/>
      <c r="LPH22" s="93"/>
      <c r="LPI22" s="93"/>
      <c r="LPJ22" s="93"/>
      <c r="LPK22" s="93"/>
      <c r="LPL22" s="93"/>
      <c r="LPM22" s="93"/>
      <c r="LPN22" s="93"/>
      <c r="LPO22" s="93"/>
      <c r="LPP22" s="93"/>
      <c r="LPQ22" s="93"/>
      <c r="LPR22" s="93"/>
      <c r="LPS22" s="93"/>
      <c r="LPT22" s="93"/>
      <c r="LPU22" s="93"/>
      <c r="LPV22" s="93"/>
      <c r="LPW22" s="93"/>
      <c r="LPX22" s="93"/>
      <c r="LPY22" s="93"/>
      <c r="LPZ22" s="93"/>
      <c r="LQA22" s="93"/>
      <c r="LQB22" s="93"/>
      <c r="LQC22" s="93"/>
      <c r="LQD22" s="93"/>
      <c r="LQE22" s="93"/>
      <c r="LQF22" s="93"/>
      <c r="LQG22" s="93"/>
      <c r="LQH22" s="93"/>
      <c r="LQI22" s="93"/>
      <c r="LQJ22" s="93"/>
      <c r="LQK22" s="93"/>
      <c r="LQL22" s="93"/>
      <c r="LQM22" s="93"/>
      <c r="LQN22" s="93"/>
      <c r="LQO22" s="93"/>
      <c r="LQP22" s="93"/>
      <c r="LQQ22" s="93"/>
      <c r="LQR22" s="93"/>
      <c r="LQS22" s="93"/>
      <c r="LQT22" s="93"/>
      <c r="LQU22" s="93"/>
      <c r="LQV22" s="93"/>
      <c r="LQW22" s="93"/>
      <c r="LQX22" s="93"/>
      <c r="LQY22" s="93"/>
      <c r="LQZ22" s="93"/>
      <c r="LRA22" s="93"/>
      <c r="LRB22" s="93"/>
      <c r="LRC22" s="93"/>
      <c r="LRD22" s="93"/>
      <c r="LRE22" s="93"/>
      <c r="LRF22" s="93"/>
      <c r="LRG22" s="93"/>
      <c r="LRH22" s="93"/>
      <c r="LRI22" s="93"/>
      <c r="LRJ22" s="93"/>
      <c r="LRK22" s="93"/>
      <c r="LRL22" s="93"/>
      <c r="LRM22" s="93"/>
      <c r="LRN22" s="93"/>
      <c r="LRO22" s="93"/>
      <c r="LRP22" s="93"/>
      <c r="LRQ22" s="93"/>
      <c r="LRR22" s="93"/>
      <c r="LRS22" s="93"/>
      <c r="LRT22" s="93"/>
      <c r="LRU22" s="93"/>
      <c r="LRV22" s="93"/>
      <c r="LRW22" s="93"/>
      <c r="LRX22" s="93"/>
      <c r="LRY22" s="93"/>
      <c r="LRZ22" s="93"/>
      <c r="LSA22" s="93"/>
      <c r="LSB22" s="93"/>
      <c r="LSC22" s="93"/>
      <c r="LSD22" s="93"/>
      <c r="LSE22" s="93"/>
      <c r="LSF22" s="93"/>
      <c r="LSG22" s="93"/>
      <c r="LSH22" s="93"/>
      <c r="LSI22" s="93"/>
      <c r="LSJ22" s="93"/>
      <c r="LSK22" s="93"/>
      <c r="LSL22" s="93"/>
      <c r="LSM22" s="93"/>
      <c r="LSN22" s="93"/>
      <c r="LSO22" s="93"/>
      <c r="LSP22" s="93"/>
      <c r="LSQ22" s="93"/>
      <c r="LSR22" s="93"/>
      <c r="LSS22" s="93"/>
      <c r="LST22" s="93"/>
      <c r="LSU22" s="93"/>
      <c r="LSV22" s="93"/>
      <c r="LSW22" s="93"/>
      <c r="LSX22" s="93"/>
      <c r="LSY22" s="93"/>
      <c r="LSZ22" s="93"/>
      <c r="LTA22" s="93"/>
      <c r="LTB22" s="93"/>
      <c r="LTC22" s="93"/>
      <c r="LTD22" s="93"/>
      <c r="LTE22" s="93"/>
      <c r="LTF22" s="93"/>
      <c r="LTG22" s="93"/>
      <c r="LTH22" s="93"/>
      <c r="LTI22" s="93"/>
      <c r="LTJ22" s="93"/>
      <c r="LTK22" s="93"/>
      <c r="LTL22" s="93"/>
      <c r="LTM22" s="93"/>
      <c r="LTN22" s="93"/>
      <c r="LTO22" s="93"/>
      <c r="LTP22" s="93"/>
      <c r="LTQ22" s="93"/>
      <c r="LTR22" s="93"/>
      <c r="LTS22" s="93"/>
      <c r="LTT22" s="93"/>
      <c r="LTU22" s="93"/>
      <c r="LTV22" s="93"/>
      <c r="LTW22" s="93"/>
      <c r="LTX22" s="93"/>
      <c r="LTY22" s="93"/>
      <c r="LTZ22" s="93"/>
      <c r="LUA22" s="93"/>
      <c r="LUB22" s="93"/>
      <c r="LUC22" s="93"/>
      <c r="LUD22" s="93"/>
      <c r="LUE22" s="93"/>
      <c r="LUF22" s="93"/>
      <c r="LUG22" s="93"/>
      <c r="LUH22" s="93"/>
      <c r="LUI22" s="93"/>
      <c r="LUJ22" s="93"/>
      <c r="LUK22" s="93"/>
      <c r="LUL22" s="93"/>
      <c r="LUM22" s="93"/>
      <c r="LUN22" s="93"/>
      <c r="LUO22" s="93"/>
      <c r="LUP22" s="93"/>
      <c r="LUQ22" s="93"/>
      <c r="LUR22" s="93"/>
      <c r="LUS22" s="93"/>
      <c r="LUT22" s="93"/>
      <c r="LUU22" s="93"/>
      <c r="LUV22" s="93"/>
      <c r="LUW22" s="93"/>
      <c r="LUX22" s="93"/>
      <c r="LUY22" s="93"/>
      <c r="LUZ22" s="93"/>
      <c r="LVA22" s="93"/>
      <c r="LVB22" s="93"/>
      <c r="LVC22" s="93"/>
      <c r="LVD22" s="93"/>
      <c r="LVE22" s="93"/>
      <c r="LVF22" s="93"/>
      <c r="LVG22" s="93"/>
      <c r="LVH22" s="93"/>
      <c r="LVI22" s="93"/>
      <c r="LVJ22" s="93"/>
      <c r="LVK22" s="93"/>
      <c r="LVL22" s="93"/>
      <c r="LVM22" s="93"/>
      <c r="LVN22" s="93"/>
      <c r="LVO22" s="93"/>
      <c r="LVP22" s="93"/>
      <c r="LVQ22" s="93"/>
      <c r="LVR22" s="93"/>
      <c r="LVS22" s="93"/>
      <c r="LVT22" s="93"/>
      <c r="LVU22" s="93"/>
      <c r="LVV22" s="93"/>
      <c r="LVW22" s="93"/>
      <c r="LVX22" s="93"/>
      <c r="LVY22" s="93"/>
      <c r="LVZ22" s="93"/>
      <c r="LWA22" s="93"/>
      <c r="LWB22" s="93"/>
      <c r="LWC22" s="93"/>
      <c r="LWD22" s="93"/>
      <c r="LWE22" s="93"/>
      <c r="LWF22" s="93"/>
      <c r="LWG22" s="93"/>
      <c r="LWH22" s="93"/>
      <c r="LWI22" s="93"/>
      <c r="LWJ22" s="93"/>
      <c r="LWK22" s="93"/>
      <c r="LWL22" s="93"/>
      <c r="LWM22" s="93"/>
      <c r="LWN22" s="93"/>
      <c r="LWO22" s="93"/>
      <c r="LWP22" s="93"/>
      <c r="LWQ22" s="93"/>
      <c r="LWR22" s="93"/>
      <c r="LWS22" s="93"/>
      <c r="LWT22" s="93"/>
      <c r="LWU22" s="93"/>
      <c r="LWV22" s="93"/>
      <c r="LWW22" s="93"/>
      <c r="LWX22" s="93"/>
      <c r="LWY22" s="93"/>
      <c r="LWZ22" s="93"/>
      <c r="LXA22" s="93"/>
      <c r="LXB22" s="93"/>
      <c r="LXC22" s="93"/>
      <c r="LXD22" s="93"/>
      <c r="LXE22" s="93"/>
      <c r="LXF22" s="93"/>
      <c r="LXG22" s="93"/>
      <c r="LXH22" s="93"/>
      <c r="LXI22" s="93"/>
      <c r="LXJ22" s="93"/>
      <c r="LXK22" s="93"/>
      <c r="LXL22" s="93"/>
      <c r="LXM22" s="93"/>
      <c r="LXN22" s="93"/>
      <c r="LXO22" s="93"/>
      <c r="LXP22" s="93"/>
      <c r="LXQ22" s="93"/>
      <c r="LXR22" s="93"/>
      <c r="LXS22" s="93"/>
      <c r="LXT22" s="93"/>
      <c r="LXU22" s="93"/>
      <c r="LXV22" s="93"/>
      <c r="LXW22" s="93"/>
      <c r="LXX22" s="93"/>
      <c r="LXY22" s="93"/>
      <c r="LXZ22" s="93"/>
      <c r="LYA22" s="93"/>
      <c r="LYB22" s="93"/>
      <c r="LYC22" s="93"/>
      <c r="LYD22" s="93"/>
      <c r="LYE22" s="93"/>
      <c r="LYF22" s="93"/>
      <c r="LYG22" s="93"/>
      <c r="LYH22" s="93"/>
      <c r="LYI22" s="93"/>
      <c r="LYJ22" s="93"/>
      <c r="LYK22" s="93"/>
      <c r="LYL22" s="93"/>
      <c r="LYM22" s="93"/>
      <c r="LYN22" s="93"/>
      <c r="LYO22" s="93"/>
      <c r="LYP22" s="93"/>
      <c r="LYQ22" s="93"/>
      <c r="LYR22" s="93"/>
      <c r="LYS22" s="93"/>
      <c r="LYT22" s="93"/>
      <c r="LYU22" s="93"/>
      <c r="LYV22" s="93"/>
      <c r="LYW22" s="93"/>
      <c r="LYX22" s="93"/>
      <c r="LYY22" s="93"/>
      <c r="LYZ22" s="93"/>
      <c r="LZA22" s="93"/>
      <c r="LZB22" s="93"/>
      <c r="LZC22" s="93"/>
      <c r="LZD22" s="93"/>
      <c r="LZE22" s="93"/>
      <c r="LZF22" s="93"/>
      <c r="LZG22" s="93"/>
      <c r="LZH22" s="93"/>
      <c r="LZI22" s="93"/>
      <c r="LZJ22" s="93"/>
      <c r="LZK22" s="93"/>
      <c r="LZL22" s="93"/>
      <c r="LZM22" s="93"/>
      <c r="LZN22" s="93"/>
      <c r="LZO22" s="93"/>
      <c r="LZP22" s="93"/>
      <c r="LZQ22" s="93"/>
      <c r="LZR22" s="93"/>
      <c r="LZS22" s="93"/>
      <c r="LZT22" s="93"/>
      <c r="LZU22" s="93"/>
      <c r="LZV22" s="93"/>
      <c r="LZW22" s="93"/>
      <c r="LZX22" s="93"/>
      <c r="LZY22" s="93"/>
      <c r="LZZ22" s="93"/>
      <c r="MAA22" s="93"/>
      <c r="MAB22" s="93"/>
      <c r="MAC22" s="93"/>
      <c r="MAD22" s="93"/>
      <c r="MAE22" s="93"/>
      <c r="MAF22" s="93"/>
      <c r="MAG22" s="93"/>
      <c r="MAH22" s="93"/>
      <c r="MAI22" s="93"/>
      <c r="MAJ22" s="93"/>
      <c r="MAK22" s="93"/>
      <c r="MAL22" s="93"/>
      <c r="MAM22" s="93"/>
      <c r="MAN22" s="93"/>
      <c r="MAO22" s="93"/>
      <c r="MAP22" s="93"/>
      <c r="MAQ22" s="93"/>
      <c r="MAR22" s="93"/>
      <c r="MAS22" s="93"/>
      <c r="MAT22" s="93"/>
      <c r="MAU22" s="93"/>
      <c r="MAV22" s="93"/>
      <c r="MAW22" s="93"/>
      <c r="MAX22" s="93"/>
      <c r="MAY22" s="93"/>
      <c r="MAZ22" s="93"/>
      <c r="MBA22" s="93"/>
      <c r="MBB22" s="93"/>
      <c r="MBC22" s="93"/>
      <c r="MBD22" s="93"/>
      <c r="MBE22" s="93"/>
      <c r="MBF22" s="93"/>
      <c r="MBG22" s="93"/>
      <c r="MBH22" s="93"/>
      <c r="MBI22" s="93"/>
      <c r="MBJ22" s="93"/>
      <c r="MBK22" s="93"/>
      <c r="MBL22" s="93"/>
      <c r="MBM22" s="93"/>
      <c r="MBN22" s="93"/>
      <c r="MBO22" s="93"/>
      <c r="MBP22" s="93"/>
      <c r="MBQ22" s="93"/>
      <c r="MBR22" s="93"/>
      <c r="MBS22" s="93"/>
      <c r="MBT22" s="93"/>
      <c r="MBU22" s="93"/>
      <c r="MBV22" s="93"/>
      <c r="MBW22" s="93"/>
      <c r="MBX22" s="93"/>
      <c r="MBY22" s="93"/>
      <c r="MBZ22" s="93"/>
      <c r="MCA22" s="93"/>
      <c r="MCB22" s="93"/>
      <c r="MCC22" s="93"/>
      <c r="MCD22" s="93"/>
      <c r="MCE22" s="93"/>
      <c r="MCF22" s="93"/>
      <c r="MCG22" s="93"/>
      <c r="MCH22" s="93"/>
      <c r="MCI22" s="93"/>
      <c r="MCJ22" s="93"/>
      <c r="MCK22" s="93"/>
      <c r="MCL22" s="93"/>
      <c r="MCM22" s="93"/>
      <c r="MCN22" s="93"/>
      <c r="MCO22" s="93"/>
      <c r="MCP22" s="93"/>
      <c r="MCQ22" s="93"/>
      <c r="MCR22" s="93"/>
      <c r="MCS22" s="93"/>
      <c r="MCT22" s="93"/>
      <c r="MCU22" s="93"/>
      <c r="MCV22" s="93"/>
      <c r="MCW22" s="93"/>
      <c r="MCX22" s="93"/>
      <c r="MCY22" s="93"/>
      <c r="MCZ22" s="93"/>
      <c r="MDA22" s="93"/>
      <c r="MDB22" s="93"/>
      <c r="MDC22" s="93"/>
      <c r="MDD22" s="93"/>
      <c r="MDE22" s="93"/>
      <c r="MDF22" s="93"/>
      <c r="MDG22" s="93"/>
      <c r="MDH22" s="93"/>
      <c r="MDI22" s="93"/>
      <c r="MDJ22" s="93"/>
      <c r="MDK22" s="93"/>
      <c r="MDL22" s="93"/>
      <c r="MDM22" s="93"/>
      <c r="MDN22" s="93"/>
      <c r="MDO22" s="93"/>
      <c r="MDP22" s="93"/>
      <c r="MDQ22" s="93"/>
      <c r="MDR22" s="93"/>
      <c r="MDS22" s="93"/>
      <c r="MDT22" s="93"/>
      <c r="MDU22" s="93"/>
      <c r="MDV22" s="93"/>
      <c r="MDW22" s="93"/>
      <c r="MDX22" s="93"/>
      <c r="MDY22" s="93"/>
      <c r="MDZ22" s="93"/>
      <c r="MEA22" s="93"/>
      <c r="MEB22" s="93"/>
      <c r="MEC22" s="93"/>
      <c r="MED22" s="93"/>
      <c r="MEE22" s="93"/>
      <c r="MEF22" s="93"/>
      <c r="MEG22" s="93"/>
      <c r="MEH22" s="93"/>
      <c r="MEI22" s="93"/>
      <c r="MEJ22" s="93"/>
      <c r="MEK22" s="93"/>
      <c r="MEL22" s="93"/>
      <c r="MEM22" s="93"/>
      <c r="MEN22" s="93"/>
      <c r="MEO22" s="93"/>
      <c r="MEP22" s="93"/>
      <c r="MEQ22" s="93"/>
      <c r="MER22" s="93"/>
      <c r="MES22" s="93"/>
      <c r="MET22" s="93"/>
      <c r="MEU22" s="93"/>
      <c r="MEV22" s="93"/>
      <c r="MEW22" s="93"/>
      <c r="MEX22" s="93"/>
      <c r="MEY22" s="93"/>
      <c r="MEZ22" s="93"/>
      <c r="MFA22" s="93"/>
      <c r="MFB22" s="93"/>
      <c r="MFC22" s="93"/>
      <c r="MFD22" s="93"/>
      <c r="MFE22" s="93"/>
      <c r="MFF22" s="93"/>
      <c r="MFG22" s="93"/>
      <c r="MFH22" s="93"/>
      <c r="MFI22" s="93"/>
      <c r="MFJ22" s="93"/>
      <c r="MFK22" s="93"/>
      <c r="MFL22" s="93"/>
      <c r="MFM22" s="93"/>
      <c r="MFN22" s="93"/>
      <c r="MFO22" s="93"/>
      <c r="MFP22" s="93"/>
      <c r="MFQ22" s="93"/>
      <c r="MFR22" s="93"/>
      <c r="MFS22" s="93"/>
      <c r="MFT22" s="93"/>
      <c r="MFU22" s="93"/>
      <c r="MFV22" s="93"/>
      <c r="MFW22" s="93"/>
      <c r="MFX22" s="93"/>
      <c r="MFY22" s="93"/>
      <c r="MFZ22" s="93"/>
      <c r="MGA22" s="93"/>
      <c r="MGB22" s="93"/>
      <c r="MGC22" s="93"/>
      <c r="MGD22" s="93"/>
      <c r="MGE22" s="93"/>
      <c r="MGF22" s="93"/>
      <c r="MGG22" s="93"/>
      <c r="MGH22" s="93"/>
      <c r="MGI22" s="93"/>
      <c r="MGJ22" s="93"/>
      <c r="MGK22" s="93"/>
      <c r="MGL22" s="93"/>
      <c r="MGM22" s="93"/>
      <c r="MGN22" s="93"/>
      <c r="MGO22" s="93"/>
      <c r="MGP22" s="93"/>
      <c r="MGQ22" s="93"/>
      <c r="MGR22" s="93"/>
      <c r="MGS22" s="93"/>
      <c r="MGT22" s="93"/>
      <c r="MGU22" s="93"/>
      <c r="MGV22" s="93"/>
      <c r="MGW22" s="93"/>
      <c r="MGX22" s="93"/>
      <c r="MGY22" s="93"/>
      <c r="MGZ22" s="93"/>
      <c r="MHA22" s="93"/>
      <c r="MHB22" s="93"/>
      <c r="MHC22" s="93"/>
      <c r="MHD22" s="93"/>
      <c r="MHE22" s="93"/>
      <c r="MHF22" s="93"/>
      <c r="MHG22" s="93"/>
      <c r="MHH22" s="93"/>
      <c r="MHI22" s="93"/>
      <c r="MHJ22" s="93"/>
      <c r="MHK22" s="93"/>
      <c r="MHL22" s="93"/>
      <c r="MHM22" s="93"/>
      <c r="MHN22" s="93"/>
      <c r="MHO22" s="93"/>
      <c r="MHP22" s="93"/>
      <c r="MHQ22" s="93"/>
      <c r="MHR22" s="93"/>
      <c r="MHS22" s="93"/>
      <c r="MHT22" s="93"/>
      <c r="MHU22" s="93"/>
      <c r="MHV22" s="93"/>
      <c r="MHW22" s="93"/>
      <c r="MHX22" s="93"/>
      <c r="MHY22" s="93"/>
      <c r="MHZ22" s="93"/>
      <c r="MIA22" s="93"/>
      <c r="MIB22" s="93"/>
      <c r="MIC22" s="93"/>
      <c r="MID22" s="93"/>
      <c r="MIE22" s="93"/>
      <c r="MIF22" s="93"/>
      <c r="MIG22" s="93"/>
      <c r="MIH22" s="93"/>
      <c r="MII22" s="93"/>
      <c r="MIJ22" s="93"/>
      <c r="MIK22" s="93"/>
      <c r="MIL22" s="93"/>
      <c r="MIM22" s="93"/>
      <c r="MIN22" s="93"/>
      <c r="MIO22" s="93"/>
      <c r="MIP22" s="93"/>
      <c r="MIQ22" s="93"/>
      <c r="MIR22" s="93"/>
      <c r="MIS22" s="93"/>
      <c r="MIT22" s="93"/>
      <c r="MIU22" s="93"/>
      <c r="MIV22" s="93"/>
      <c r="MIW22" s="93"/>
      <c r="MIX22" s="93"/>
      <c r="MIY22" s="93"/>
      <c r="MIZ22" s="93"/>
      <c r="MJA22" s="93"/>
      <c r="MJB22" s="93"/>
      <c r="MJC22" s="93"/>
      <c r="MJD22" s="93"/>
      <c r="MJE22" s="93"/>
      <c r="MJF22" s="93"/>
      <c r="MJG22" s="93"/>
      <c r="MJH22" s="93"/>
      <c r="MJI22" s="93"/>
      <c r="MJJ22" s="93"/>
      <c r="MJK22" s="93"/>
      <c r="MJL22" s="93"/>
      <c r="MJM22" s="93"/>
      <c r="MJN22" s="93"/>
      <c r="MJO22" s="93"/>
      <c r="MJP22" s="93"/>
      <c r="MJQ22" s="93"/>
      <c r="MJR22" s="93"/>
      <c r="MJS22" s="93"/>
      <c r="MJT22" s="93"/>
      <c r="MJU22" s="93"/>
      <c r="MJV22" s="93"/>
      <c r="MJW22" s="93"/>
      <c r="MJX22" s="93"/>
      <c r="MJY22" s="93"/>
      <c r="MJZ22" s="93"/>
      <c r="MKA22" s="93"/>
      <c r="MKB22" s="93"/>
      <c r="MKC22" s="93"/>
      <c r="MKD22" s="93"/>
      <c r="MKE22" s="93"/>
      <c r="MKF22" s="93"/>
      <c r="MKG22" s="93"/>
      <c r="MKH22" s="93"/>
      <c r="MKI22" s="93"/>
      <c r="MKJ22" s="93"/>
      <c r="MKK22" s="93"/>
      <c r="MKL22" s="93"/>
      <c r="MKM22" s="93"/>
      <c r="MKN22" s="93"/>
      <c r="MKO22" s="93"/>
      <c r="MKP22" s="93"/>
      <c r="MKQ22" s="93"/>
      <c r="MKR22" s="93"/>
      <c r="MKS22" s="93"/>
      <c r="MKT22" s="93"/>
      <c r="MKU22" s="93"/>
      <c r="MKV22" s="93"/>
      <c r="MKW22" s="93"/>
      <c r="MKX22" s="93"/>
      <c r="MKY22" s="93"/>
      <c r="MKZ22" s="93"/>
      <c r="MLA22" s="93"/>
      <c r="MLB22" s="93"/>
      <c r="MLC22" s="93"/>
      <c r="MLD22" s="93"/>
      <c r="MLE22" s="93"/>
      <c r="MLF22" s="93"/>
      <c r="MLG22" s="93"/>
      <c r="MLH22" s="93"/>
      <c r="MLI22" s="93"/>
      <c r="MLJ22" s="93"/>
      <c r="MLK22" s="93"/>
      <c r="MLL22" s="93"/>
      <c r="MLM22" s="93"/>
      <c r="MLN22" s="93"/>
      <c r="MLO22" s="93"/>
      <c r="MLP22" s="93"/>
      <c r="MLQ22" s="93"/>
      <c r="MLR22" s="93"/>
      <c r="MLS22" s="93"/>
      <c r="MLT22" s="93"/>
      <c r="MLU22" s="93"/>
      <c r="MLV22" s="93"/>
      <c r="MLW22" s="93"/>
      <c r="MLX22" s="93"/>
      <c r="MLY22" s="93"/>
      <c r="MLZ22" s="93"/>
      <c r="MMA22" s="93"/>
      <c r="MMB22" s="93"/>
      <c r="MMC22" s="93"/>
      <c r="MMD22" s="93"/>
      <c r="MME22" s="93"/>
      <c r="MMF22" s="93"/>
      <c r="MMG22" s="93"/>
      <c r="MMH22" s="93"/>
      <c r="MMI22" s="93"/>
      <c r="MMJ22" s="93"/>
      <c r="MMK22" s="93"/>
      <c r="MML22" s="93"/>
      <c r="MMM22" s="93"/>
      <c r="MMN22" s="93"/>
      <c r="MMO22" s="93"/>
      <c r="MMP22" s="93"/>
      <c r="MMQ22" s="93"/>
      <c r="MMR22" s="93"/>
      <c r="MMS22" s="93"/>
      <c r="MMT22" s="93"/>
      <c r="MMU22" s="93"/>
      <c r="MMV22" s="93"/>
      <c r="MMW22" s="93"/>
      <c r="MMX22" s="93"/>
      <c r="MMY22" s="93"/>
      <c r="MMZ22" s="93"/>
      <c r="MNA22" s="93"/>
      <c r="MNB22" s="93"/>
      <c r="MNC22" s="93"/>
      <c r="MND22" s="93"/>
      <c r="MNE22" s="93"/>
      <c r="MNF22" s="93"/>
      <c r="MNG22" s="93"/>
      <c r="MNH22" s="93"/>
      <c r="MNI22" s="93"/>
      <c r="MNJ22" s="93"/>
      <c r="MNK22" s="93"/>
      <c r="MNL22" s="93"/>
      <c r="MNM22" s="93"/>
      <c r="MNN22" s="93"/>
      <c r="MNO22" s="93"/>
      <c r="MNP22" s="93"/>
      <c r="MNQ22" s="93"/>
      <c r="MNR22" s="93"/>
      <c r="MNS22" s="93"/>
      <c r="MNT22" s="93"/>
      <c r="MNU22" s="93"/>
      <c r="MNV22" s="93"/>
      <c r="MNW22" s="93"/>
      <c r="MNX22" s="93"/>
      <c r="MNY22" s="93"/>
      <c r="MNZ22" s="93"/>
      <c r="MOA22" s="93"/>
      <c r="MOB22" s="93"/>
      <c r="MOC22" s="93"/>
      <c r="MOD22" s="93"/>
      <c r="MOE22" s="93"/>
      <c r="MOF22" s="93"/>
      <c r="MOG22" s="93"/>
      <c r="MOH22" s="93"/>
      <c r="MOI22" s="93"/>
      <c r="MOJ22" s="93"/>
      <c r="MOK22" s="93"/>
      <c r="MOL22" s="93"/>
      <c r="MOM22" s="93"/>
      <c r="MON22" s="93"/>
      <c r="MOO22" s="93"/>
      <c r="MOP22" s="93"/>
      <c r="MOQ22" s="93"/>
      <c r="MOR22" s="93"/>
      <c r="MOS22" s="93"/>
      <c r="MOT22" s="93"/>
      <c r="MOU22" s="93"/>
      <c r="MOV22" s="93"/>
      <c r="MOW22" s="93"/>
      <c r="MOX22" s="93"/>
      <c r="MOY22" s="93"/>
      <c r="MOZ22" s="93"/>
      <c r="MPA22" s="93"/>
      <c r="MPB22" s="93"/>
      <c r="MPC22" s="93"/>
      <c r="MPD22" s="93"/>
      <c r="MPE22" s="93"/>
      <c r="MPF22" s="93"/>
      <c r="MPG22" s="93"/>
      <c r="MPH22" s="93"/>
      <c r="MPI22" s="93"/>
      <c r="MPJ22" s="93"/>
      <c r="MPK22" s="93"/>
      <c r="MPL22" s="93"/>
      <c r="MPM22" s="93"/>
      <c r="MPN22" s="93"/>
      <c r="MPO22" s="93"/>
      <c r="MPP22" s="93"/>
      <c r="MPQ22" s="93"/>
      <c r="MPR22" s="93"/>
      <c r="MPS22" s="93"/>
      <c r="MPT22" s="93"/>
      <c r="MPU22" s="93"/>
      <c r="MPV22" s="93"/>
      <c r="MPW22" s="93"/>
      <c r="MPX22" s="93"/>
      <c r="MPY22" s="93"/>
      <c r="MPZ22" s="93"/>
      <c r="MQA22" s="93"/>
      <c r="MQB22" s="93"/>
      <c r="MQC22" s="93"/>
      <c r="MQD22" s="93"/>
      <c r="MQE22" s="93"/>
      <c r="MQF22" s="93"/>
      <c r="MQG22" s="93"/>
      <c r="MQH22" s="93"/>
      <c r="MQI22" s="93"/>
      <c r="MQJ22" s="93"/>
      <c r="MQK22" s="93"/>
      <c r="MQL22" s="93"/>
      <c r="MQM22" s="93"/>
      <c r="MQN22" s="93"/>
      <c r="MQO22" s="93"/>
      <c r="MQP22" s="93"/>
      <c r="MQQ22" s="93"/>
      <c r="MQR22" s="93"/>
      <c r="MQS22" s="93"/>
      <c r="MQT22" s="93"/>
      <c r="MQU22" s="93"/>
      <c r="MQV22" s="93"/>
      <c r="MQW22" s="93"/>
      <c r="MQX22" s="93"/>
      <c r="MQY22" s="93"/>
      <c r="MQZ22" s="93"/>
      <c r="MRA22" s="93"/>
      <c r="MRB22" s="93"/>
      <c r="MRC22" s="93"/>
      <c r="MRD22" s="93"/>
      <c r="MRE22" s="93"/>
      <c r="MRF22" s="93"/>
      <c r="MRG22" s="93"/>
      <c r="MRH22" s="93"/>
      <c r="MRI22" s="93"/>
      <c r="MRJ22" s="93"/>
      <c r="MRK22" s="93"/>
      <c r="MRL22" s="93"/>
      <c r="MRM22" s="93"/>
      <c r="MRN22" s="93"/>
      <c r="MRO22" s="93"/>
      <c r="MRP22" s="93"/>
      <c r="MRQ22" s="93"/>
      <c r="MRR22" s="93"/>
      <c r="MRS22" s="93"/>
      <c r="MRT22" s="93"/>
      <c r="MRU22" s="93"/>
      <c r="MRV22" s="93"/>
      <c r="MRW22" s="93"/>
      <c r="MRX22" s="93"/>
      <c r="MRY22" s="93"/>
      <c r="MRZ22" s="93"/>
      <c r="MSA22" s="93"/>
      <c r="MSB22" s="93"/>
      <c r="MSC22" s="93"/>
      <c r="MSD22" s="93"/>
      <c r="MSE22" s="93"/>
      <c r="MSF22" s="93"/>
      <c r="MSG22" s="93"/>
      <c r="MSH22" s="93"/>
      <c r="MSI22" s="93"/>
      <c r="MSJ22" s="93"/>
      <c r="MSK22" s="93"/>
      <c r="MSL22" s="93"/>
      <c r="MSM22" s="93"/>
      <c r="MSN22" s="93"/>
      <c r="MSO22" s="93"/>
      <c r="MSP22" s="93"/>
      <c r="MSQ22" s="93"/>
      <c r="MSR22" s="93"/>
      <c r="MSS22" s="93"/>
      <c r="MST22" s="93"/>
      <c r="MSU22" s="93"/>
      <c r="MSV22" s="93"/>
      <c r="MSW22" s="93"/>
      <c r="MSX22" s="93"/>
      <c r="MSY22" s="93"/>
      <c r="MSZ22" s="93"/>
      <c r="MTA22" s="93"/>
      <c r="MTB22" s="93"/>
      <c r="MTC22" s="93"/>
      <c r="MTD22" s="93"/>
      <c r="MTE22" s="93"/>
      <c r="MTF22" s="93"/>
      <c r="MTG22" s="93"/>
      <c r="MTH22" s="93"/>
      <c r="MTI22" s="93"/>
      <c r="MTJ22" s="93"/>
      <c r="MTK22" s="93"/>
      <c r="MTL22" s="93"/>
      <c r="MTM22" s="93"/>
      <c r="MTN22" s="93"/>
      <c r="MTO22" s="93"/>
      <c r="MTP22" s="93"/>
      <c r="MTQ22" s="93"/>
      <c r="MTR22" s="93"/>
      <c r="MTS22" s="93"/>
      <c r="MTT22" s="93"/>
      <c r="MTU22" s="93"/>
      <c r="MTV22" s="93"/>
      <c r="MTW22" s="93"/>
      <c r="MTX22" s="93"/>
      <c r="MTY22" s="93"/>
      <c r="MTZ22" s="93"/>
      <c r="MUA22" s="93"/>
      <c r="MUB22" s="93"/>
      <c r="MUC22" s="93"/>
      <c r="MUD22" s="93"/>
      <c r="MUE22" s="93"/>
      <c r="MUF22" s="93"/>
      <c r="MUG22" s="93"/>
      <c r="MUH22" s="93"/>
      <c r="MUI22" s="93"/>
      <c r="MUJ22" s="93"/>
      <c r="MUK22" s="93"/>
      <c r="MUL22" s="93"/>
      <c r="MUM22" s="93"/>
      <c r="MUN22" s="93"/>
      <c r="MUO22" s="93"/>
      <c r="MUP22" s="93"/>
      <c r="MUQ22" s="93"/>
      <c r="MUR22" s="93"/>
      <c r="MUS22" s="93"/>
      <c r="MUT22" s="93"/>
      <c r="MUU22" s="93"/>
      <c r="MUV22" s="93"/>
      <c r="MUW22" s="93"/>
      <c r="MUX22" s="93"/>
      <c r="MUY22" s="93"/>
      <c r="MUZ22" s="93"/>
      <c r="MVA22" s="93"/>
      <c r="MVB22" s="93"/>
      <c r="MVC22" s="93"/>
      <c r="MVD22" s="93"/>
      <c r="MVE22" s="93"/>
      <c r="MVF22" s="93"/>
      <c r="MVG22" s="93"/>
      <c r="MVH22" s="93"/>
      <c r="MVI22" s="93"/>
      <c r="MVJ22" s="93"/>
      <c r="MVK22" s="93"/>
      <c r="MVL22" s="93"/>
      <c r="MVM22" s="93"/>
      <c r="MVN22" s="93"/>
      <c r="MVO22" s="93"/>
      <c r="MVP22" s="93"/>
      <c r="MVQ22" s="93"/>
      <c r="MVR22" s="93"/>
      <c r="MVS22" s="93"/>
      <c r="MVT22" s="93"/>
      <c r="MVU22" s="93"/>
      <c r="MVV22" s="93"/>
      <c r="MVW22" s="93"/>
      <c r="MVX22" s="93"/>
      <c r="MVY22" s="93"/>
      <c r="MVZ22" s="93"/>
      <c r="MWA22" s="93"/>
      <c r="MWB22" s="93"/>
      <c r="MWC22" s="93"/>
      <c r="MWD22" s="93"/>
      <c r="MWE22" s="93"/>
      <c r="MWF22" s="93"/>
      <c r="MWG22" s="93"/>
      <c r="MWH22" s="93"/>
      <c r="MWI22" s="93"/>
      <c r="MWJ22" s="93"/>
      <c r="MWK22" s="93"/>
      <c r="MWL22" s="93"/>
      <c r="MWM22" s="93"/>
      <c r="MWN22" s="93"/>
      <c r="MWO22" s="93"/>
      <c r="MWP22" s="93"/>
      <c r="MWQ22" s="93"/>
      <c r="MWR22" s="93"/>
      <c r="MWS22" s="93"/>
      <c r="MWT22" s="93"/>
      <c r="MWU22" s="93"/>
      <c r="MWV22" s="93"/>
      <c r="MWW22" s="93"/>
      <c r="MWX22" s="93"/>
      <c r="MWY22" s="93"/>
      <c r="MWZ22" s="93"/>
      <c r="MXA22" s="93"/>
      <c r="MXB22" s="93"/>
      <c r="MXC22" s="93"/>
      <c r="MXD22" s="93"/>
      <c r="MXE22" s="93"/>
      <c r="MXF22" s="93"/>
      <c r="MXG22" s="93"/>
      <c r="MXH22" s="93"/>
      <c r="MXI22" s="93"/>
      <c r="MXJ22" s="93"/>
      <c r="MXK22" s="93"/>
      <c r="MXL22" s="93"/>
      <c r="MXM22" s="93"/>
      <c r="MXN22" s="93"/>
      <c r="MXO22" s="93"/>
      <c r="MXP22" s="93"/>
      <c r="MXQ22" s="93"/>
      <c r="MXR22" s="93"/>
      <c r="MXS22" s="93"/>
      <c r="MXT22" s="93"/>
      <c r="MXU22" s="93"/>
      <c r="MXV22" s="93"/>
      <c r="MXW22" s="93"/>
      <c r="MXX22" s="93"/>
      <c r="MXY22" s="93"/>
      <c r="MXZ22" s="93"/>
      <c r="MYA22" s="93"/>
      <c r="MYB22" s="93"/>
      <c r="MYC22" s="93"/>
      <c r="MYD22" s="93"/>
      <c r="MYE22" s="93"/>
      <c r="MYF22" s="93"/>
      <c r="MYG22" s="93"/>
      <c r="MYH22" s="93"/>
      <c r="MYI22" s="93"/>
      <c r="MYJ22" s="93"/>
      <c r="MYK22" s="93"/>
      <c r="MYL22" s="93"/>
      <c r="MYM22" s="93"/>
      <c r="MYN22" s="93"/>
      <c r="MYO22" s="93"/>
      <c r="MYP22" s="93"/>
      <c r="MYQ22" s="93"/>
      <c r="MYR22" s="93"/>
      <c r="MYS22" s="93"/>
      <c r="MYT22" s="93"/>
      <c r="MYU22" s="93"/>
      <c r="MYV22" s="93"/>
      <c r="MYW22" s="93"/>
      <c r="MYX22" s="93"/>
      <c r="MYY22" s="93"/>
      <c r="MYZ22" s="93"/>
      <c r="MZA22" s="93"/>
      <c r="MZB22" s="93"/>
      <c r="MZC22" s="93"/>
      <c r="MZD22" s="93"/>
      <c r="MZE22" s="93"/>
      <c r="MZF22" s="93"/>
      <c r="MZG22" s="93"/>
      <c r="MZH22" s="93"/>
      <c r="MZI22" s="93"/>
      <c r="MZJ22" s="93"/>
      <c r="MZK22" s="93"/>
      <c r="MZL22" s="93"/>
      <c r="MZM22" s="93"/>
      <c r="MZN22" s="93"/>
      <c r="MZO22" s="93"/>
      <c r="MZP22" s="93"/>
      <c r="MZQ22" s="93"/>
      <c r="MZR22" s="93"/>
      <c r="MZS22" s="93"/>
      <c r="MZT22" s="93"/>
      <c r="MZU22" s="93"/>
      <c r="MZV22" s="93"/>
      <c r="MZW22" s="93"/>
      <c r="MZX22" s="93"/>
      <c r="MZY22" s="93"/>
      <c r="MZZ22" s="93"/>
      <c r="NAA22" s="93"/>
      <c r="NAB22" s="93"/>
      <c r="NAC22" s="93"/>
      <c r="NAD22" s="93"/>
      <c r="NAE22" s="93"/>
      <c r="NAF22" s="93"/>
      <c r="NAG22" s="93"/>
      <c r="NAH22" s="93"/>
      <c r="NAI22" s="93"/>
      <c r="NAJ22" s="93"/>
      <c r="NAK22" s="93"/>
      <c r="NAL22" s="93"/>
      <c r="NAM22" s="93"/>
      <c r="NAN22" s="93"/>
      <c r="NAO22" s="93"/>
      <c r="NAP22" s="93"/>
      <c r="NAQ22" s="93"/>
      <c r="NAR22" s="93"/>
      <c r="NAS22" s="93"/>
      <c r="NAT22" s="93"/>
      <c r="NAU22" s="93"/>
      <c r="NAV22" s="93"/>
      <c r="NAW22" s="93"/>
      <c r="NAX22" s="93"/>
      <c r="NAY22" s="93"/>
      <c r="NAZ22" s="93"/>
      <c r="NBA22" s="93"/>
      <c r="NBB22" s="93"/>
      <c r="NBC22" s="93"/>
      <c r="NBD22" s="93"/>
      <c r="NBE22" s="93"/>
      <c r="NBF22" s="93"/>
      <c r="NBG22" s="93"/>
      <c r="NBH22" s="93"/>
      <c r="NBI22" s="93"/>
      <c r="NBJ22" s="93"/>
      <c r="NBK22" s="93"/>
      <c r="NBL22" s="93"/>
      <c r="NBM22" s="93"/>
      <c r="NBN22" s="93"/>
      <c r="NBO22" s="93"/>
      <c r="NBP22" s="93"/>
      <c r="NBQ22" s="93"/>
      <c r="NBR22" s="93"/>
      <c r="NBS22" s="93"/>
      <c r="NBT22" s="93"/>
      <c r="NBU22" s="93"/>
      <c r="NBV22" s="93"/>
      <c r="NBW22" s="93"/>
      <c r="NBX22" s="93"/>
      <c r="NBY22" s="93"/>
      <c r="NBZ22" s="93"/>
      <c r="NCA22" s="93"/>
      <c r="NCB22" s="93"/>
      <c r="NCC22" s="93"/>
      <c r="NCD22" s="93"/>
      <c r="NCE22" s="93"/>
      <c r="NCF22" s="93"/>
      <c r="NCG22" s="93"/>
      <c r="NCH22" s="93"/>
      <c r="NCI22" s="93"/>
      <c r="NCJ22" s="93"/>
      <c r="NCK22" s="93"/>
      <c r="NCL22" s="93"/>
      <c r="NCM22" s="93"/>
      <c r="NCN22" s="93"/>
      <c r="NCO22" s="93"/>
      <c r="NCP22" s="93"/>
      <c r="NCQ22" s="93"/>
      <c r="NCR22" s="93"/>
      <c r="NCS22" s="93"/>
      <c r="NCT22" s="93"/>
      <c r="NCU22" s="93"/>
      <c r="NCV22" s="93"/>
      <c r="NCW22" s="93"/>
      <c r="NCX22" s="93"/>
      <c r="NCY22" s="93"/>
      <c r="NCZ22" s="93"/>
      <c r="NDA22" s="93"/>
      <c r="NDB22" s="93"/>
      <c r="NDC22" s="93"/>
      <c r="NDD22" s="93"/>
      <c r="NDE22" s="93"/>
      <c r="NDF22" s="93"/>
      <c r="NDG22" s="93"/>
      <c r="NDH22" s="93"/>
      <c r="NDI22" s="93"/>
      <c r="NDJ22" s="93"/>
      <c r="NDK22" s="93"/>
      <c r="NDL22" s="93"/>
      <c r="NDM22" s="93"/>
      <c r="NDN22" s="93"/>
      <c r="NDO22" s="93"/>
      <c r="NDP22" s="93"/>
      <c r="NDQ22" s="93"/>
      <c r="NDR22" s="93"/>
      <c r="NDS22" s="93"/>
      <c r="NDT22" s="93"/>
      <c r="NDU22" s="93"/>
      <c r="NDV22" s="93"/>
      <c r="NDW22" s="93"/>
      <c r="NDX22" s="93"/>
      <c r="NDY22" s="93"/>
      <c r="NDZ22" s="93"/>
      <c r="NEA22" s="93"/>
      <c r="NEB22" s="93"/>
      <c r="NEC22" s="93"/>
      <c r="NED22" s="93"/>
      <c r="NEE22" s="93"/>
      <c r="NEF22" s="93"/>
      <c r="NEG22" s="93"/>
      <c r="NEH22" s="93"/>
      <c r="NEI22" s="93"/>
      <c r="NEJ22" s="93"/>
      <c r="NEK22" s="93"/>
      <c r="NEL22" s="93"/>
      <c r="NEM22" s="93"/>
      <c r="NEN22" s="93"/>
      <c r="NEO22" s="93"/>
      <c r="NEP22" s="93"/>
      <c r="NEQ22" s="93"/>
      <c r="NER22" s="93"/>
      <c r="NES22" s="93"/>
      <c r="NET22" s="93"/>
      <c r="NEU22" s="93"/>
      <c r="NEV22" s="93"/>
      <c r="NEW22" s="93"/>
      <c r="NEX22" s="93"/>
      <c r="NEY22" s="93"/>
      <c r="NEZ22" s="93"/>
      <c r="NFA22" s="93"/>
      <c r="NFB22" s="93"/>
      <c r="NFC22" s="93"/>
      <c r="NFD22" s="93"/>
      <c r="NFE22" s="93"/>
      <c r="NFF22" s="93"/>
      <c r="NFG22" s="93"/>
      <c r="NFH22" s="93"/>
      <c r="NFI22" s="93"/>
      <c r="NFJ22" s="93"/>
      <c r="NFK22" s="93"/>
      <c r="NFL22" s="93"/>
      <c r="NFM22" s="93"/>
      <c r="NFN22" s="93"/>
      <c r="NFO22" s="93"/>
      <c r="NFP22" s="93"/>
      <c r="NFQ22" s="93"/>
      <c r="NFR22" s="93"/>
      <c r="NFS22" s="93"/>
      <c r="NFT22" s="93"/>
      <c r="NFU22" s="93"/>
      <c r="NFV22" s="93"/>
      <c r="NFW22" s="93"/>
      <c r="NFX22" s="93"/>
      <c r="NFY22" s="93"/>
      <c r="NFZ22" s="93"/>
      <c r="NGA22" s="93"/>
      <c r="NGB22" s="93"/>
      <c r="NGC22" s="93"/>
      <c r="NGD22" s="93"/>
      <c r="NGE22" s="93"/>
      <c r="NGF22" s="93"/>
      <c r="NGG22" s="93"/>
      <c r="NGH22" s="93"/>
      <c r="NGI22" s="93"/>
      <c r="NGJ22" s="93"/>
      <c r="NGK22" s="93"/>
      <c r="NGL22" s="93"/>
      <c r="NGM22" s="93"/>
      <c r="NGN22" s="93"/>
      <c r="NGO22" s="93"/>
      <c r="NGP22" s="93"/>
      <c r="NGQ22" s="93"/>
      <c r="NGR22" s="93"/>
      <c r="NGS22" s="93"/>
      <c r="NGT22" s="93"/>
      <c r="NGU22" s="93"/>
      <c r="NGV22" s="93"/>
      <c r="NGW22" s="93"/>
      <c r="NGX22" s="93"/>
      <c r="NGY22" s="93"/>
      <c r="NGZ22" s="93"/>
      <c r="NHA22" s="93"/>
      <c r="NHB22" s="93"/>
      <c r="NHC22" s="93"/>
      <c r="NHD22" s="93"/>
      <c r="NHE22" s="93"/>
      <c r="NHF22" s="93"/>
      <c r="NHG22" s="93"/>
      <c r="NHH22" s="93"/>
      <c r="NHI22" s="93"/>
      <c r="NHJ22" s="93"/>
      <c r="NHK22" s="93"/>
      <c r="NHL22" s="93"/>
      <c r="NHM22" s="93"/>
      <c r="NHN22" s="93"/>
      <c r="NHO22" s="93"/>
      <c r="NHP22" s="93"/>
      <c r="NHQ22" s="93"/>
      <c r="NHR22" s="93"/>
      <c r="NHS22" s="93"/>
      <c r="NHT22" s="93"/>
      <c r="NHU22" s="93"/>
      <c r="NHV22" s="93"/>
      <c r="NHW22" s="93"/>
      <c r="NHX22" s="93"/>
      <c r="NHY22" s="93"/>
      <c r="NHZ22" s="93"/>
      <c r="NIA22" s="93"/>
      <c r="NIB22" s="93"/>
      <c r="NIC22" s="93"/>
      <c r="NID22" s="93"/>
      <c r="NIE22" s="93"/>
      <c r="NIF22" s="93"/>
      <c r="NIG22" s="93"/>
      <c r="NIH22" s="93"/>
      <c r="NII22" s="93"/>
      <c r="NIJ22" s="93"/>
      <c r="NIK22" s="93"/>
      <c r="NIL22" s="93"/>
      <c r="NIM22" s="93"/>
      <c r="NIN22" s="93"/>
      <c r="NIO22" s="93"/>
      <c r="NIP22" s="93"/>
      <c r="NIQ22" s="93"/>
      <c r="NIR22" s="93"/>
      <c r="NIS22" s="93"/>
      <c r="NIT22" s="93"/>
      <c r="NIU22" s="93"/>
      <c r="NIV22" s="93"/>
      <c r="NIW22" s="93"/>
      <c r="NIX22" s="93"/>
      <c r="NIY22" s="93"/>
      <c r="NIZ22" s="93"/>
      <c r="NJA22" s="93"/>
      <c r="NJB22" s="93"/>
      <c r="NJC22" s="93"/>
      <c r="NJD22" s="93"/>
      <c r="NJE22" s="93"/>
      <c r="NJF22" s="93"/>
      <c r="NJG22" s="93"/>
      <c r="NJH22" s="93"/>
      <c r="NJI22" s="93"/>
      <c r="NJJ22" s="93"/>
      <c r="NJK22" s="93"/>
      <c r="NJL22" s="93"/>
      <c r="NJM22" s="93"/>
      <c r="NJN22" s="93"/>
      <c r="NJO22" s="93"/>
      <c r="NJP22" s="93"/>
      <c r="NJQ22" s="93"/>
      <c r="NJR22" s="93"/>
      <c r="NJS22" s="93"/>
      <c r="NJT22" s="93"/>
      <c r="NJU22" s="93"/>
      <c r="NJV22" s="93"/>
      <c r="NJW22" s="93"/>
      <c r="NJX22" s="93"/>
      <c r="NJY22" s="93"/>
      <c r="NJZ22" s="93"/>
      <c r="NKA22" s="93"/>
      <c r="NKB22" s="93"/>
      <c r="NKC22" s="93"/>
      <c r="NKD22" s="93"/>
      <c r="NKE22" s="93"/>
      <c r="NKF22" s="93"/>
      <c r="NKG22" s="93"/>
      <c r="NKH22" s="93"/>
      <c r="NKI22" s="93"/>
      <c r="NKJ22" s="93"/>
      <c r="NKK22" s="93"/>
      <c r="NKL22" s="93"/>
      <c r="NKM22" s="93"/>
      <c r="NKN22" s="93"/>
      <c r="NKO22" s="93"/>
      <c r="NKP22" s="93"/>
      <c r="NKQ22" s="93"/>
      <c r="NKR22" s="93"/>
      <c r="NKS22" s="93"/>
      <c r="NKT22" s="93"/>
      <c r="NKU22" s="93"/>
      <c r="NKV22" s="93"/>
      <c r="NKW22" s="93"/>
      <c r="NKX22" s="93"/>
      <c r="NKY22" s="93"/>
      <c r="NKZ22" s="93"/>
      <c r="NLA22" s="93"/>
      <c r="NLB22" s="93"/>
      <c r="NLC22" s="93"/>
      <c r="NLD22" s="93"/>
      <c r="NLE22" s="93"/>
      <c r="NLF22" s="93"/>
      <c r="NLG22" s="93"/>
      <c r="NLH22" s="93"/>
      <c r="NLI22" s="93"/>
      <c r="NLJ22" s="93"/>
      <c r="NLK22" s="93"/>
      <c r="NLL22" s="93"/>
      <c r="NLM22" s="93"/>
      <c r="NLN22" s="93"/>
      <c r="NLO22" s="93"/>
      <c r="NLP22" s="93"/>
      <c r="NLQ22" s="93"/>
      <c r="NLR22" s="93"/>
      <c r="NLS22" s="93"/>
      <c r="NLT22" s="93"/>
      <c r="NLU22" s="93"/>
      <c r="NLV22" s="93"/>
      <c r="NLW22" s="93"/>
      <c r="NLX22" s="93"/>
      <c r="NLY22" s="93"/>
      <c r="NLZ22" s="93"/>
      <c r="NMA22" s="93"/>
      <c r="NMB22" s="93"/>
      <c r="NMC22" s="93"/>
      <c r="NMD22" s="93"/>
      <c r="NME22" s="93"/>
      <c r="NMF22" s="93"/>
      <c r="NMG22" s="93"/>
      <c r="NMH22" s="93"/>
      <c r="NMI22" s="93"/>
      <c r="NMJ22" s="93"/>
      <c r="NMK22" s="93"/>
      <c r="NML22" s="93"/>
      <c r="NMM22" s="93"/>
      <c r="NMN22" s="93"/>
      <c r="NMO22" s="93"/>
      <c r="NMP22" s="93"/>
      <c r="NMQ22" s="93"/>
      <c r="NMR22" s="93"/>
      <c r="NMS22" s="93"/>
      <c r="NMT22" s="93"/>
      <c r="NMU22" s="93"/>
      <c r="NMV22" s="93"/>
      <c r="NMW22" s="93"/>
      <c r="NMX22" s="93"/>
      <c r="NMY22" s="93"/>
      <c r="NMZ22" s="93"/>
      <c r="NNA22" s="93"/>
      <c r="NNB22" s="93"/>
      <c r="NNC22" s="93"/>
      <c r="NND22" s="93"/>
      <c r="NNE22" s="93"/>
      <c r="NNF22" s="93"/>
      <c r="NNG22" s="93"/>
      <c r="NNH22" s="93"/>
      <c r="NNI22" s="93"/>
      <c r="NNJ22" s="93"/>
      <c r="NNK22" s="93"/>
      <c r="NNL22" s="93"/>
      <c r="NNM22" s="93"/>
      <c r="NNN22" s="93"/>
      <c r="NNO22" s="93"/>
      <c r="NNP22" s="93"/>
      <c r="NNQ22" s="93"/>
      <c r="NNR22" s="93"/>
      <c r="NNS22" s="93"/>
      <c r="NNT22" s="93"/>
      <c r="NNU22" s="93"/>
      <c r="NNV22" s="93"/>
      <c r="NNW22" s="93"/>
      <c r="NNX22" s="93"/>
      <c r="NNY22" s="93"/>
      <c r="NNZ22" s="93"/>
      <c r="NOA22" s="93"/>
      <c r="NOB22" s="93"/>
      <c r="NOC22" s="93"/>
      <c r="NOD22" s="93"/>
      <c r="NOE22" s="93"/>
      <c r="NOF22" s="93"/>
      <c r="NOG22" s="93"/>
      <c r="NOH22" s="93"/>
      <c r="NOI22" s="93"/>
      <c r="NOJ22" s="93"/>
      <c r="NOK22" s="93"/>
      <c r="NOL22" s="93"/>
      <c r="NOM22" s="93"/>
      <c r="NON22" s="93"/>
      <c r="NOO22" s="93"/>
      <c r="NOP22" s="93"/>
      <c r="NOQ22" s="93"/>
      <c r="NOR22" s="93"/>
      <c r="NOS22" s="93"/>
      <c r="NOT22" s="93"/>
      <c r="NOU22" s="93"/>
      <c r="NOV22" s="93"/>
      <c r="NOW22" s="93"/>
      <c r="NOX22" s="93"/>
      <c r="NOY22" s="93"/>
      <c r="NOZ22" s="93"/>
      <c r="NPA22" s="93"/>
      <c r="NPB22" s="93"/>
      <c r="NPC22" s="93"/>
      <c r="NPD22" s="93"/>
      <c r="NPE22" s="93"/>
      <c r="NPF22" s="93"/>
      <c r="NPG22" s="93"/>
      <c r="NPH22" s="93"/>
      <c r="NPI22" s="93"/>
      <c r="NPJ22" s="93"/>
      <c r="NPK22" s="93"/>
      <c r="NPL22" s="93"/>
      <c r="NPM22" s="93"/>
      <c r="NPN22" s="93"/>
      <c r="NPO22" s="93"/>
      <c r="NPP22" s="93"/>
      <c r="NPQ22" s="93"/>
      <c r="NPR22" s="93"/>
      <c r="NPS22" s="93"/>
      <c r="NPT22" s="93"/>
      <c r="NPU22" s="93"/>
      <c r="NPV22" s="93"/>
      <c r="NPW22" s="93"/>
      <c r="NPX22" s="93"/>
      <c r="NPY22" s="93"/>
      <c r="NPZ22" s="93"/>
      <c r="NQA22" s="93"/>
      <c r="NQB22" s="93"/>
      <c r="NQC22" s="93"/>
      <c r="NQD22" s="93"/>
      <c r="NQE22" s="93"/>
      <c r="NQF22" s="93"/>
      <c r="NQG22" s="93"/>
      <c r="NQH22" s="93"/>
      <c r="NQI22" s="93"/>
      <c r="NQJ22" s="93"/>
      <c r="NQK22" s="93"/>
      <c r="NQL22" s="93"/>
      <c r="NQM22" s="93"/>
      <c r="NQN22" s="93"/>
      <c r="NQO22" s="93"/>
      <c r="NQP22" s="93"/>
      <c r="NQQ22" s="93"/>
      <c r="NQR22" s="93"/>
      <c r="NQS22" s="93"/>
      <c r="NQT22" s="93"/>
      <c r="NQU22" s="93"/>
      <c r="NQV22" s="93"/>
      <c r="NQW22" s="93"/>
      <c r="NQX22" s="93"/>
      <c r="NQY22" s="93"/>
      <c r="NQZ22" s="93"/>
      <c r="NRA22" s="93"/>
      <c r="NRB22" s="93"/>
      <c r="NRC22" s="93"/>
      <c r="NRD22" s="93"/>
      <c r="NRE22" s="93"/>
      <c r="NRF22" s="93"/>
      <c r="NRG22" s="93"/>
      <c r="NRH22" s="93"/>
      <c r="NRI22" s="93"/>
      <c r="NRJ22" s="93"/>
      <c r="NRK22" s="93"/>
      <c r="NRL22" s="93"/>
      <c r="NRM22" s="93"/>
      <c r="NRN22" s="93"/>
      <c r="NRO22" s="93"/>
      <c r="NRP22" s="93"/>
      <c r="NRQ22" s="93"/>
      <c r="NRR22" s="93"/>
      <c r="NRS22" s="93"/>
      <c r="NRT22" s="93"/>
      <c r="NRU22" s="93"/>
      <c r="NRV22" s="93"/>
      <c r="NRW22" s="93"/>
      <c r="NRX22" s="93"/>
      <c r="NRY22" s="93"/>
      <c r="NRZ22" s="93"/>
      <c r="NSA22" s="93"/>
      <c r="NSB22" s="93"/>
      <c r="NSC22" s="93"/>
      <c r="NSD22" s="93"/>
      <c r="NSE22" s="93"/>
      <c r="NSF22" s="93"/>
      <c r="NSG22" s="93"/>
      <c r="NSH22" s="93"/>
      <c r="NSI22" s="93"/>
      <c r="NSJ22" s="93"/>
      <c r="NSK22" s="93"/>
      <c r="NSL22" s="93"/>
      <c r="NSM22" s="93"/>
      <c r="NSN22" s="93"/>
      <c r="NSO22" s="93"/>
      <c r="NSP22" s="93"/>
      <c r="NSQ22" s="93"/>
      <c r="NSR22" s="93"/>
      <c r="NSS22" s="93"/>
      <c r="NST22" s="93"/>
      <c r="NSU22" s="93"/>
      <c r="NSV22" s="93"/>
      <c r="NSW22" s="93"/>
      <c r="NSX22" s="93"/>
      <c r="NSY22" s="93"/>
      <c r="NSZ22" s="93"/>
      <c r="NTA22" s="93"/>
      <c r="NTB22" s="93"/>
      <c r="NTC22" s="93"/>
      <c r="NTD22" s="93"/>
      <c r="NTE22" s="93"/>
      <c r="NTF22" s="93"/>
      <c r="NTG22" s="93"/>
      <c r="NTH22" s="93"/>
      <c r="NTI22" s="93"/>
      <c r="NTJ22" s="93"/>
      <c r="NTK22" s="93"/>
      <c r="NTL22" s="93"/>
      <c r="NTM22" s="93"/>
      <c r="NTN22" s="93"/>
      <c r="NTO22" s="93"/>
      <c r="NTP22" s="93"/>
      <c r="NTQ22" s="93"/>
      <c r="NTR22" s="93"/>
      <c r="NTS22" s="93"/>
      <c r="NTT22" s="93"/>
      <c r="NTU22" s="93"/>
      <c r="NTV22" s="93"/>
      <c r="NTW22" s="93"/>
      <c r="NTX22" s="93"/>
      <c r="NTY22" s="93"/>
      <c r="NTZ22" s="93"/>
      <c r="NUA22" s="93"/>
      <c r="NUB22" s="93"/>
      <c r="NUC22" s="93"/>
      <c r="NUD22" s="93"/>
      <c r="NUE22" s="93"/>
      <c r="NUF22" s="93"/>
      <c r="NUG22" s="93"/>
      <c r="NUH22" s="93"/>
      <c r="NUI22" s="93"/>
      <c r="NUJ22" s="93"/>
      <c r="NUK22" s="93"/>
      <c r="NUL22" s="93"/>
      <c r="NUM22" s="93"/>
      <c r="NUN22" s="93"/>
      <c r="NUO22" s="93"/>
      <c r="NUP22" s="93"/>
      <c r="NUQ22" s="93"/>
      <c r="NUR22" s="93"/>
      <c r="NUS22" s="93"/>
      <c r="NUT22" s="93"/>
      <c r="NUU22" s="93"/>
      <c r="NUV22" s="93"/>
      <c r="NUW22" s="93"/>
      <c r="NUX22" s="93"/>
      <c r="NUY22" s="93"/>
      <c r="NUZ22" s="93"/>
      <c r="NVA22" s="93"/>
      <c r="NVB22" s="93"/>
      <c r="NVC22" s="93"/>
      <c r="NVD22" s="93"/>
      <c r="NVE22" s="93"/>
      <c r="NVF22" s="93"/>
      <c r="NVG22" s="93"/>
      <c r="NVH22" s="93"/>
      <c r="NVI22" s="93"/>
      <c r="NVJ22" s="93"/>
      <c r="NVK22" s="93"/>
      <c r="NVL22" s="93"/>
      <c r="NVM22" s="93"/>
      <c r="NVN22" s="93"/>
      <c r="NVO22" s="93"/>
      <c r="NVP22" s="93"/>
      <c r="NVQ22" s="93"/>
      <c r="NVR22" s="93"/>
      <c r="NVS22" s="93"/>
      <c r="NVT22" s="93"/>
      <c r="NVU22" s="93"/>
      <c r="NVV22" s="93"/>
      <c r="NVW22" s="93"/>
      <c r="NVX22" s="93"/>
      <c r="NVY22" s="93"/>
      <c r="NVZ22" s="93"/>
      <c r="NWA22" s="93"/>
      <c r="NWB22" s="93"/>
      <c r="NWC22" s="93"/>
      <c r="NWD22" s="93"/>
      <c r="NWE22" s="93"/>
      <c r="NWF22" s="93"/>
      <c r="NWG22" s="93"/>
      <c r="NWH22" s="93"/>
      <c r="NWI22" s="93"/>
      <c r="NWJ22" s="93"/>
      <c r="NWK22" s="93"/>
      <c r="NWL22" s="93"/>
      <c r="NWM22" s="93"/>
      <c r="NWN22" s="93"/>
      <c r="NWO22" s="93"/>
      <c r="NWP22" s="93"/>
      <c r="NWQ22" s="93"/>
      <c r="NWR22" s="93"/>
      <c r="NWS22" s="93"/>
      <c r="NWT22" s="93"/>
      <c r="NWU22" s="93"/>
      <c r="NWV22" s="93"/>
      <c r="NWW22" s="93"/>
      <c r="NWX22" s="93"/>
      <c r="NWY22" s="93"/>
      <c r="NWZ22" s="93"/>
      <c r="NXA22" s="93"/>
      <c r="NXB22" s="93"/>
      <c r="NXC22" s="93"/>
      <c r="NXD22" s="93"/>
      <c r="NXE22" s="93"/>
      <c r="NXF22" s="93"/>
      <c r="NXG22" s="93"/>
      <c r="NXH22" s="93"/>
      <c r="NXI22" s="93"/>
      <c r="NXJ22" s="93"/>
      <c r="NXK22" s="93"/>
      <c r="NXL22" s="93"/>
      <c r="NXM22" s="93"/>
      <c r="NXN22" s="93"/>
      <c r="NXO22" s="93"/>
      <c r="NXP22" s="93"/>
      <c r="NXQ22" s="93"/>
      <c r="NXR22" s="93"/>
      <c r="NXS22" s="93"/>
      <c r="NXT22" s="93"/>
      <c r="NXU22" s="93"/>
      <c r="NXV22" s="93"/>
      <c r="NXW22" s="93"/>
      <c r="NXX22" s="93"/>
      <c r="NXY22" s="93"/>
      <c r="NXZ22" s="93"/>
      <c r="NYA22" s="93"/>
      <c r="NYB22" s="93"/>
      <c r="NYC22" s="93"/>
      <c r="NYD22" s="93"/>
      <c r="NYE22" s="93"/>
      <c r="NYF22" s="93"/>
      <c r="NYG22" s="93"/>
      <c r="NYH22" s="93"/>
      <c r="NYI22" s="93"/>
      <c r="NYJ22" s="93"/>
      <c r="NYK22" s="93"/>
      <c r="NYL22" s="93"/>
      <c r="NYM22" s="93"/>
      <c r="NYN22" s="93"/>
      <c r="NYO22" s="93"/>
      <c r="NYP22" s="93"/>
      <c r="NYQ22" s="93"/>
      <c r="NYR22" s="93"/>
      <c r="NYS22" s="93"/>
      <c r="NYT22" s="93"/>
      <c r="NYU22" s="93"/>
      <c r="NYV22" s="93"/>
      <c r="NYW22" s="93"/>
      <c r="NYX22" s="93"/>
      <c r="NYY22" s="93"/>
      <c r="NYZ22" s="93"/>
      <c r="NZA22" s="93"/>
      <c r="NZB22" s="93"/>
      <c r="NZC22" s="93"/>
      <c r="NZD22" s="93"/>
      <c r="NZE22" s="93"/>
      <c r="NZF22" s="93"/>
      <c r="NZG22" s="93"/>
      <c r="NZH22" s="93"/>
      <c r="NZI22" s="93"/>
      <c r="NZJ22" s="93"/>
      <c r="NZK22" s="93"/>
      <c r="NZL22" s="93"/>
      <c r="NZM22" s="93"/>
      <c r="NZN22" s="93"/>
      <c r="NZO22" s="93"/>
      <c r="NZP22" s="93"/>
      <c r="NZQ22" s="93"/>
      <c r="NZR22" s="93"/>
      <c r="NZS22" s="93"/>
      <c r="NZT22" s="93"/>
      <c r="NZU22" s="93"/>
      <c r="NZV22" s="93"/>
      <c r="NZW22" s="93"/>
      <c r="NZX22" s="93"/>
      <c r="NZY22" s="93"/>
      <c r="NZZ22" s="93"/>
      <c r="OAA22" s="93"/>
      <c r="OAB22" s="93"/>
      <c r="OAC22" s="93"/>
      <c r="OAD22" s="93"/>
      <c r="OAE22" s="93"/>
      <c r="OAF22" s="93"/>
      <c r="OAG22" s="93"/>
      <c r="OAH22" s="93"/>
      <c r="OAI22" s="93"/>
      <c r="OAJ22" s="93"/>
      <c r="OAK22" s="93"/>
      <c r="OAL22" s="93"/>
      <c r="OAM22" s="93"/>
      <c r="OAN22" s="93"/>
      <c r="OAO22" s="93"/>
      <c r="OAP22" s="93"/>
      <c r="OAQ22" s="93"/>
      <c r="OAR22" s="93"/>
      <c r="OAS22" s="93"/>
      <c r="OAT22" s="93"/>
      <c r="OAU22" s="93"/>
      <c r="OAV22" s="93"/>
      <c r="OAW22" s="93"/>
      <c r="OAX22" s="93"/>
      <c r="OAY22" s="93"/>
      <c r="OAZ22" s="93"/>
      <c r="OBA22" s="93"/>
      <c r="OBB22" s="93"/>
      <c r="OBC22" s="93"/>
      <c r="OBD22" s="93"/>
      <c r="OBE22" s="93"/>
      <c r="OBF22" s="93"/>
      <c r="OBG22" s="93"/>
      <c r="OBH22" s="93"/>
      <c r="OBI22" s="93"/>
      <c r="OBJ22" s="93"/>
      <c r="OBK22" s="93"/>
      <c r="OBL22" s="93"/>
      <c r="OBM22" s="93"/>
      <c r="OBN22" s="93"/>
      <c r="OBO22" s="93"/>
      <c r="OBP22" s="93"/>
      <c r="OBQ22" s="93"/>
      <c r="OBR22" s="93"/>
      <c r="OBS22" s="93"/>
      <c r="OBT22" s="93"/>
      <c r="OBU22" s="93"/>
      <c r="OBV22" s="93"/>
      <c r="OBW22" s="93"/>
      <c r="OBX22" s="93"/>
      <c r="OBY22" s="93"/>
      <c r="OBZ22" s="93"/>
      <c r="OCA22" s="93"/>
      <c r="OCB22" s="93"/>
      <c r="OCC22" s="93"/>
      <c r="OCD22" s="93"/>
      <c r="OCE22" s="93"/>
      <c r="OCF22" s="93"/>
      <c r="OCG22" s="93"/>
      <c r="OCH22" s="93"/>
      <c r="OCI22" s="93"/>
      <c r="OCJ22" s="93"/>
      <c r="OCK22" s="93"/>
      <c r="OCL22" s="93"/>
      <c r="OCM22" s="93"/>
      <c r="OCN22" s="93"/>
      <c r="OCO22" s="93"/>
      <c r="OCP22" s="93"/>
      <c r="OCQ22" s="93"/>
      <c r="OCR22" s="93"/>
      <c r="OCS22" s="93"/>
      <c r="OCT22" s="93"/>
      <c r="OCU22" s="93"/>
      <c r="OCV22" s="93"/>
      <c r="OCW22" s="93"/>
      <c r="OCX22" s="93"/>
      <c r="OCY22" s="93"/>
      <c r="OCZ22" s="93"/>
      <c r="ODA22" s="93"/>
      <c r="ODB22" s="93"/>
      <c r="ODC22" s="93"/>
      <c r="ODD22" s="93"/>
      <c r="ODE22" s="93"/>
      <c r="ODF22" s="93"/>
      <c r="ODG22" s="93"/>
      <c r="ODH22" s="93"/>
      <c r="ODI22" s="93"/>
      <c r="ODJ22" s="93"/>
      <c r="ODK22" s="93"/>
      <c r="ODL22" s="93"/>
      <c r="ODM22" s="93"/>
      <c r="ODN22" s="93"/>
      <c r="ODO22" s="93"/>
      <c r="ODP22" s="93"/>
      <c r="ODQ22" s="93"/>
      <c r="ODR22" s="93"/>
      <c r="ODS22" s="93"/>
      <c r="ODT22" s="93"/>
      <c r="ODU22" s="93"/>
      <c r="ODV22" s="93"/>
      <c r="ODW22" s="93"/>
      <c r="ODX22" s="93"/>
      <c r="ODY22" s="93"/>
      <c r="ODZ22" s="93"/>
      <c r="OEA22" s="93"/>
      <c r="OEB22" s="93"/>
      <c r="OEC22" s="93"/>
      <c r="OED22" s="93"/>
      <c r="OEE22" s="93"/>
      <c r="OEF22" s="93"/>
      <c r="OEG22" s="93"/>
      <c r="OEH22" s="93"/>
      <c r="OEI22" s="93"/>
      <c r="OEJ22" s="93"/>
      <c r="OEK22" s="93"/>
      <c r="OEL22" s="93"/>
      <c r="OEM22" s="93"/>
      <c r="OEN22" s="93"/>
      <c r="OEO22" s="93"/>
      <c r="OEP22" s="93"/>
      <c r="OEQ22" s="93"/>
      <c r="OER22" s="93"/>
      <c r="OES22" s="93"/>
      <c r="OET22" s="93"/>
      <c r="OEU22" s="93"/>
      <c r="OEV22" s="93"/>
      <c r="OEW22" s="93"/>
      <c r="OEX22" s="93"/>
      <c r="OEY22" s="93"/>
      <c r="OEZ22" s="93"/>
      <c r="OFA22" s="93"/>
      <c r="OFB22" s="93"/>
      <c r="OFC22" s="93"/>
      <c r="OFD22" s="93"/>
      <c r="OFE22" s="93"/>
      <c r="OFF22" s="93"/>
      <c r="OFG22" s="93"/>
      <c r="OFH22" s="93"/>
      <c r="OFI22" s="93"/>
      <c r="OFJ22" s="93"/>
      <c r="OFK22" s="93"/>
      <c r="OFL22" s="93"/>
      <c r="OFM22" s="93"/>
      <c r="OFN22" s="93"/>
      <c r="OFO22" s="93"/>
      <c r="OFP22" s="93"/>
      <c r="OFQ22" s="93"/>
      <c r="OFR22" s="93"/>
      <c r="OFS22" s="93"/>
      <c r="OFT22" s="93"/>
      <c r="OFU22" s="93"/>
      <c r="OFV22" s="93"/>
      <c r="OFW22" s="93"/>
      <c r="OFX22" s="93"/>
      <c r="OFY22" s="93"/>
      <c r="OFZ22" s="93"/>
      <c r="OGA22" s="93"/>
      <c r="OGB22" s="93"/>
      <c r="OGC22" s="93"/>
      <c r="OGD22" s="93"/>
      <c r="OGE22" s="93"/>
      <c r="OGF22" s="93"/>
      <c r="OGG22" s="93"/>
      <c r="OGH22" s="93"/>
      <c r="OGI22" s="93"/>
      <c r="OGJ22" s="93"/>
      <c r="OGK22" s="93"/>
      <c r="OGL22" s="93"/>
      <c r="OGM22" s="93"/>
      <c r="OGN22" s="93"/>
      <c r="OGO22" s="93"/>
      <c r="OGP22" s="93"/>
      <c r="OGQ22" s="93"/>
      <c r="OGR22" s="93"/>
      <c r="OGS22" s="93"/>
      <c r="OGT22" s="93"/>
      <c r="OGU22" s="93"/>
      <c r="OGV22" s="93"/>
      <c r="OGW22" s="93"/>
      <c r="OGX22" s="93"/>
      <c r="OGY22" s="93"/>
      <c r="OGZ22" s="93"/>
      <c r="OHA22" s="93"/>
      <c r="OHB22" s="93"/>
      <c r="OHC22" s="93"/>
      <c r="OHD22" s="93"/>
      <c r="OHE22" s="93"/>
      <c r="OHF22" s="93"/>
      <c r="OHG22" s="93"/>
      <c r="OHH22" s="93"/>
      <c r="OHI22" s="93"/>
      <c r="OHJ22" s="93"/>
      <c r="OHK22" s="93"/>
      <c r="OHL22" s="93"/>
      <c r="OHM22" s="93"/>
      <c r="OHN22" s="93"/>
      <c r="OHO22" s="93"/>
      <c r="OHP22" s="93"/>
      <c r="OHQ22" s="93"/>
      <c r="OHR22" s="93"/>
      <c r="OHS22" s="93"/>
      <c r="OHT22" s="93"/>
      <c r="OHU22" s="93"/>
      <c r="OHV22" s="93"/>
      <c r="OHW22" s="93"/>
      <c r="OHX22" s="93"/>
      <c r="OHY22" s="93"/>
      <c r="OHZ22" s="93"/>
      <c r="OIA22" s="93"/>
      <c r="OIB22" s="93"/>
      <c r="OIC22" s="93"/>
      <c r="OID22" s="93"/>
      <c r="OIE22" s="93"/>
      <c r="OIF22" s="93"/>
      <c r="OIG22" s="93"/>
      <c r="OIH22" s="93"/>
      <c r="OII22" s="93"/>
      <c r="OIJ22" s="93"/>
      <c r="OIK22" s="93"/>
      <c r="OIL22" s="93"/>
      <c r="OIM22" s="93"/>
      <c r="OIN22" s="93"/>
      <c r="OIO22" s="93"/>
      <c r="OIP22" s="93"/>
      <c r="OIQ22" s="93"/>
      <c r="OIR22" s="93"/>
      <c r="OIS22" s="93"/>
      <c r="OIT22" s="93"/>
      <c r="OIU22" s="93"/>
      <c r="OIV22" s="93"/>
      <c r="OIW22" s="93"/>
      <c r="OIX22" s="93"/>
      <c r="OIY22" s="93"/>
      <c r="OIZ22" s="93"/>
      <c r="OJA22" s="93"/>
      <c r="OJB22" s="93"/>
      <c r="OJC22" s="93"/>
      <c r="OJD22" s="93"/>
      <c r="OJE22" s="93"/>
      <c r="OJF22" s="93"/>
      <c r="OJG22" s="93"/>
      <c r="OJH22" s="93"/>
      <c r="OJI22" s="93"/>
      <c r="OJJ22" s="93"/>
      <c r="OJK22" s="93"/>
      <c r="OJL22" s="93"/>
      <c r="OJM22" s="93"/>
      <c r="OJN22" s="93"/>
      <c r="OJO22" s="93"/>
      <c r="OJP22" s="93"/>
      <c r="OJQ22" s="93"/>
      <c r="OJR22" s="93"/>
      <c r="OJS22" s="93"/>
      <c r="OJT22" s="93"/>
      <c r="OJU22" s="93"/>
      <c r="OJV22" s="93"/>
      <c r="OJW22" s="93"/>
      <c r="OJX22" s="93"/>
      <c r="OJY22" s="93"/>
      <c r="OJZ22" s="93"/>
      <c r="OKA22" s="93"/>
      <c r="OKB22" s="93"/>
      <c r="OKC22" s="93"/>
      <c r="OKD22" s="93"/>
      <c r="OKE22" s="93"/>
      <c r="OKF22" s="93"/>
      <c r="OKG22" s="93"/>
      <c r="OKH22" s="93"/>
      <c r="OKI22" s="93"/>
      <c r="OKJ22" s="93"/>
      <c r="OKK22" s="93"/>
      <c r="OKL22" s="93"/>
      <c r="OKM22" s="93"/>
      <c r="OKN22" s="93"/>
      <c r="OKO22" s="93"/>
      <c r="OKP22" s="93"/>
      <c r="OKQ22" s="93"/>
      <c r="OKR22" s="93"/>
      <c r="OKS22" s="93"/>
      <c r="OKT22" s="93"/>
      <c r="OKU22" s="93"/>
      <c r="OKV22" s="93"/>
      <c r="OKW22" s="93"/>
      <c r="OKX22" s="93"/>
      <c r="OKY22" s="93"/>
      <c r="OKZ22" s="93"/>
      <c r="OLA22" s="93"/>
      <c r="OLB22" s="93"/>
      <c r="OLC22" s="93"/>
      <c r="OLD22" s="93"/>
      <c r="OLE22" s="93"/>
      <c r="OLF22" s="93"/>
      <c r="OLG22" s="93"/>
      <c r="OLH22" s="93"/>
      <c r="OLI22" s="93"/>
      <c r="OLJ22" s="93"/>
      <c r="OLK22" s="93"/>
      <c r="OLL22" s="93"/>
      <c r="OLM22" s="93"/>
      <c r="OLN22" s="93"/>
      <c r="OLO22" s="93"/>
      <c r="OLP22" s="93"/>
      <c r="OLQ22" s="93"/>
      <c r="OLR22" s="93"/>
      <c r="OLS22" s="93"/>
      <c r="OLT22" s="93"/>
      <c r="OLU22" s="93"/>
      <c r="OLV22" s="93"/>
      <c r="OLW22" s="93"/>
      <c r="OLX22" s="93"/>
      <c r="OLY22" s="93"/>
      <c r="OLZ22" s="93"/>
      <c r="OMA22" s="93"/>
      <c r="OMB22" s="93"/>
      <c r="OMC22" s="93"/>
      <c r="OMD22" s="93"/>
      <c r="OME22" s="93"/>
      <c r="OMF22" s="93"/>
      <c r="OMG22" s="93"/>
      <c r="OMH22" s="93"/>
      <c r="OMI22" s="93"/>
      <c r="OMJ22" s="93"/>
      <c r="OMK22" s="93"/>
      <c r="OML22" s="93"/>
      <c r="OMM22" s="93"/>
      <c r="OMN22" s="93"/>
      <c r="OMO22" s="93"/>
      <c r="OMP22" s="93"/>
      <c r="OMQ22" s="93"/>
      <c r="OMR22" s="93"/>
      <c r="OMS22" s="93"/>
      <c r="OMT22" s="93"/>
      <c r="OMU22" s="93"/>
      <c r="OMV22" s="93"/>
      <c r="OMW22" s="93"/>
      <c r="OMX22" s="93"/>
      <c r="OMY22" s="93"/>
      <c r="OMZ22" s="93"/>
      <c r="ONA22" s="93"/>
      <c r="ONB22" s="93"/>
      <c r="ONC22" s="93"/>
      <c r="OND22" s="93"/>
      <c r="ONE22" s="93"/>
      <c r="ONF22" s="93"/>
      <c r="ONG22" s="93"/>
      <c r="ONH22" s="93"/>
      <c r="ONI22" s="93"/>
      <c r="ONJ22" s="93"/>
      <c r="ONK22" s="93"/>
      <c r="ONL22" s="93"/>
      <c r="ONM22" s="93"/>
      <c r="ONN22" s="93"/>
      <c r="ONO22" s="93"/>
      <c r="ONP22" s="93"/>
      <c r="ONQ22" s="93"/>
      <c r="ONR22" s="93"/>
      <c r="ONS22" s="93"/>
      <c r="ONT22" s="93"/>
      <c r="ONU22" s="93"/>
      <c r="ONV22" s="93"/>
      <c r="ONW22" s="93"/>
      <c r="ONX22" s="93"/>
      <c r="ONY22" s="93"/>
      <c r="ONZ22" s="93"/>
      <c r="OOA22" s="93"/>
      <c r="OOB22" s="93"/>
      <c r="OOC22" s="93"/>
      <c r="OOD22" s="93"/>
      <c r="OOE22" s="93"/>
      <c r="OOF22" s="93"/>
      <c r="OOG22" s="93"/>
      <c r="OOH22" s="93"/>
      <c r="OOI22" s="93"/>
      <c r="OOJ22" s="93"/>
      <c r="OOK22" s="93"/>
      <c r="OOL22" s="93"/>
      <c r="OOM22" s="93"/>
      <c r="OON22" s="93"/>
      <c r="OOO22" s="93"/>
      <c r="OOP22" s="93"/>
      <c r="OOQ22" s="93"/>
      <c r="OOR22" s="93"/>
      <c r="OOS22" s="93"/>
      <c r="OOT22" s="93"/>
      <c r="OOU22" s="93"/>
      <c r="OOV22" s="93"/>
      <c r="OOW22" s="93"/>
      <c r="OOX22" s="93"/>
      <c r="OOY22" s="93"/>
      <c r="OOZ22" s="93"/>
      <c r="OPA22" s="93"/>
      <c r="OPB22" s="93"/>
      <c r="OPC22" s="93"/>
      <c r="OPD22" s="93"/>
      <c r="OPE22" s="93"/>
      <c r="OPF22" s="93"/>
      <c r="OPG22" s="93"/>
      <c r="OPH22" s="93"/>
      <c r="OPI22" s="93"/>
      <c r="OPJ22" s="93"/>
      <c r="OPK22" s="93"/>
      <c r="OPL22" s="93"/>
      <c r="OPM22" s="93"/>
      <c r="OPN22" s="93"/>
      <c r="OPO22" s="93"/>
      <c r="OPP22" s="93"/>
      <c r="OPQ22" s="93"/>
      <c r="OPR22" s="93"/>
      <c r="OPS22" s="93"/>
      <c r="OPT22" s="93"/>
      <c r="OPU22" s="93"/>
      <c r="OPV22" s="93"/>
      <c r="OPW22" s="93"/>
      <c r="OPX22" s="93"/>
      <c r="OPY22" s="93"/>
      <c r="OPZ22" s="93"/>
      <c r="OQA22" s="93"/>
      <c r="OQB22" s="93"/>
      <c r="OQC22" s="93"/>
      <c r="OQD22" s="93"/>
      <c r="OQE22" s="93"/>
      <c r="OQF22" s="93"/>
      <c r="OQG22" s="93"/>
      <c r="OQH22" s="93"/>
      <c r="OQI22" s="93"/>
      <c r="OQJ22" s="93"/>
      <c r="OQK22" s="93"/>
      <c r="OQL22" s="93"/>
      <c r="OQM22" s="93"/>
      <c r="OQN22" s="93"/>
      <c r="OQO22" s="93"/>
      <c r="OQP22" s="93"/>
      <c r="OQQ22" s="93"/>
      <c r="OQR22" s="93"/>
      <c r="OQS22" s="93"/>
      <c r="OQT22" s="93"/>
      <c r="OQU22" s="93"/>
      <c r="OQV22" s="93"/>
      <c r="OQW22" s="93"/>
      <c r="OQX22" s="93"/>
      <c r="OQY22" s="93"/>
      <c r="OQZ22" s="93"/>
      <c r="ORA22" s="93"/>
      <c r="ORB22" s="93"/>
      <c r="ORC22" s="93"/>
      <c r="ORD22" s="93"/>
      <c r="ORE22" s="93"/>
      <c r="ORF22" s="93"/>
      <c r="ORG22" s="93"/>
      <c r="ORH22" s="93"/>
      <c r="ORI22" s="93"/>
      <c r="ORJ22" s="93"/>
      <c r="ORK22" s="93"/>
      <c r="ORL22" s="93"/>
      <c r="ORM22" s="93"/>
      <c r="ORN22" s="93"/>
      <c r="ORO22" s="93"/>
      <c r="ORP22" s="93"/>
      <c r="ORQ22" s="93"/>
      <c r="ORR22" s="93"/>
      <c r="ORS22" s="93"/>
      <c r="ORT22" s="93"/>
      <c r="ORU22" s="93"/>
      <c r="ORV22" s="93"/>
      <c r="ORW22" s="93"/>
      <c r="ORX22" s="93"/>
      <c r="ORY22" s="93"/>
      <c r="ORZ22" s="93"/>
      <c r="OSA22" s="93"/>
      <c r="OSB22" s="93"/>
      <c r="OSC22" s="93"/>
      <c r="OSD22" s="93"/>
      <c r="OSE22" s="93"/>
      <c r="OSF22" s="93"/>
      <c r="OSG22" s="93"/>
      <c r="OSH22" s="93"/>
      <c r="OSI22" s="93"/>
      <c r="OSJ22" s="93"/>
      <c r="OSK22" s="93"/>
      <c r="OSL22" s="93"/>
      <c r="OSM22" s="93"/>
      <c r="OSN22" s="93"/>
      <c r="OSO22" s="93"/>
      <c r="OSP22" s="93"/>
      <c r="OSQ22" s="93"/>
      <c r="OSR22" s="93"/>
      <c r="OSS22" s="93"/>
      <c r="OST22" s="93"/>
      <c r="OSU22" s="93"/>
      <c r="OSV22" s="93"/>
      <c r="OSW22" s="93"/>
      <c r="OSX22" s="93"/>
      <c r="OSY22" s="93"/>
      <c r="OSZ22" s="93"/>
      <c r="OTA22" s="93"/>
      <c r="OTB22" s="93"/>
      <c r="OTC22" s="93"/>
      <c r="OTD22" s="93"/>
      <c r="OTE22" s="93"/>
      <c r="OTF22" s="93"/>
      <c r="OTG22" s="93"/>
      <c r="OTH22" s="93"/>
      <c r="OTI22" s="93"/>
      <c r="OTJ22" s="93"/>
      <c r="OTK22" s="93"/>
      <c r="OTL22" s="93"/>
      <c r="OTM22" s="93"/>
      <c r="OTN22" s="93"/>
      <c r="OTO22" s="93"/>
      <c r="OTP22" s="93"/>
      <c r="OTQ22" s="93"/>
      <c r="OTR22" s="93"/>
      <c r="OTS22" s="93"/>
      <c r="OTT22" s="93"/>
      <c r="OTU22" s="93"/>
      <c r="OTV22" s="93"/>
      <c r="OTW22" s="93"/>
      <c r="OTX22" s="93"/>
      <c r="OTY22" s="93"/>
      <c r="OTZ22" s="93"/>
      <c r="OUA22" s="93"/>
      <c r="OUB22" s="93"/>
      <c r="OUC22" s="93"/>
      <c r="OUD22" s="93"/>
      <c r="OUE22" s="93"/>
      <c r="OUF22" s="93"/>
      <c r="OUG22" s="93"/>
      <c r="OUH22" s="93"/>
      <c r="OUI22" s="93"/>
      <c r="OUJ22" s="93"/>
      <c r="OUK22" s="93"/>
      <c r="OUL22" s="93"/>
      <c r="OUM22" s="93"/>
      <c r="OUN22" s="93"/>
      <c r="OUO22" s="93"/>
      <c r="OUP22" s="93"/>
      <c r="OUQ22" s="93"/>
      <c r="OUR22" s="93"/>
      <c r="OUS22" s="93"/>
      <c r="OUT22" s="93"/>
      <c r="OUU22" s="93"/>
      <c r="OUV22" s="93"/>
      <c r="OUW22" s="93"/>
      <c r="OUX22" s="93"/>
      <c r="OUY22" s="93"/>
      <c r="OUZ22" s="93"/>
      <c r="OVA22" s="93"/>
      <c r="OVB22" s="93"/>
      <c r="OVC22" s="93"/>
      <c r="OVD22" s="93"/>
      <c r="OVE22" s="93"/>
      <c r="OVF22" s="93"/>
      <c r="OVG22" s="93"/>
      <c r="OVH22" s="93"/>
      <c r="OVI22" s="93"/>
      <c r="OVJ22" s="93"/>
      <c r="OVK22" s="93"/>
      <c r="OVL22" s="93"/>
      <c r="OVM22" s="93"/>
      <c r="OVN22" s="93"/>
      <c r="OVO22" s="93"/>
      <c r="OVP22" s="93"/>
      <c r="OVQ22" s="93"/>
      <c r="OVR22" s="93"/>
      <c r="OVS22" s="93"/>
      <c r="OVT22" s="93"/>
      <c r="OVU22" s="93"/>
      <c r="OVV22" s="93"/>
      <c r="OVW22" s="93"/>
      <c r="OVX22" s="93"/>
      <c r="OVY22" s="93"/>
      <c r="OVZ22" s="93"/>
      <c r="OWA22" s="93"/>
      <c r="OWB22" s="93"/>
      <c r="OWC22" s="93"/>
      <c r="OWD22" s="93"/>
      <c r="OWE22" s="93"/>
      <c r="OWF22" s="93"/>
      <c r="OWG22" s="93"/>
      <c r="OWH22" s="93"/>
      <c r="OWI22" s="93"/>
      <c r="OWJ22" s="93"/>
      <c r="OWK22" s="93"/>
      <c r="OWL22" s="93"/>
      <c r="OWM22" s="93"/>
      <c r="OWN22" s="93"/>
      <c r="OWO22" s="93"/>
      <c r="OWP22" s="93"/>
      <c r="OWQ22" s="93"/>
      <c r="OWR22" s="93"/>
      <c r="OWS22" s="93"/>
      <c r="OWT22" s="93"/>
      <c r="OWU22" s="93"/>
      <c r="OWV22" s="93"/>
      <c r="OWW22" s="93"/>
      <c r="OWX22" s="93"/>
      <c r="OWY22" s="93"/>
      <c r="OWZ22" s="93"/>
      <c r="OXA22" s="93"/>
      <c r="OXB22" s="93"/>
      <c r="OXC22" s="93"/>
      <c r="OXD22" s="93"/>
      <c r="OXE22" s="93"/>
      <c r="OXF22" s="93"/>
      <c r="OXG22" s="93"/>
      <c r="OXH22" s="93"/>
      <c r="OXI22" s="93"/>
      <c r="OXJ22" s="93"/>
      <c r="OXK22" s="93"/>
      <c r="OXL22" s="93"/>
      <c r="OXM22" s="93"/>
      <c r="OXN22" s="93"/>
      <c r="OXO22" s="93"/>
      <c r="OXP22" s="93"/>
      <c r="OXQ22" s="93"/>
      <c r="OXR22" s="93"/>
      <c r="OXS22" s="93"/>
      <c r="OXT22" s="93"/>
      <c r="OXU22" s="93"/>
      <c r="OXV22" s="93"/>
      <c r="OXW22" s="93"/>
      <c r="OXX22" s="93"/>
      <c r="OXY22" s="93"/>
      <c r="OXZ22" s="93"/>
      <c r="OYA22" s="93"/>
      <c r="OYB22" s="93"/>
      <c r="OYC22" s="93"/>
      <c r="OYD22" s="93"/>
      <c r="OYE22" s="93"/>
      <c r="OYF22" s="93"/>
      <c r="OYG22" s="93"/>
      <c r="OYH22" s="93"/>
      <c r="OYI22" s="93"/>
      <c r="OYJ22" s="93"/>
      <c r="OYK22" s="93"/>
      <c r="OYL22" s="93"/>
      <c r="OYM22" s="93"/>
      <c r="OYN22" s="93"/>
      <c r="OYO22" s="93"/>
      <c r="OYP22" s="93"/>
      <c r="OYQ22" s="93"/>
      <c r="OYR22" s="93"/>
      <c r="OYS22" s="93"/>
      <c r="OYT22" s="93"/>
      <c r="OYU22" s="93"/>
      <c r="OYV22" s="93"/>
      <c r="OYW22" s="93"/>
      <c r="OYX22" s="93"/>
      <c r="OYY22" s="93"/>
      <c r="OYZ22" s="93"/>
      <c r="OZA22" s="93"/>
      <c r="OZB22" s="93"/>
      <c r="OZC22" s="93"/>
      <c r="OZD22" s="93"/>
      <c r="OZE22" s="93"/>
      <c r="OZF22" s="93"/>
      <c r="OZG22" s="93"/>
      <c r="OZH22" s="93"/>
      <c r="OZI22" s="93"/>
      <c r="OZJ22" s="93"/>
      <c r="OZK22" s="93"/>
      <c r="OZL22" s="93"/>
      <c r="OZM22" s="93"/>
      <c r="OZN22" s="93"/>
      <c r="OZO22" s="93"/>
      <c r="OZP22" s="93"/>
      <c r="OZQ22" s="93"/>
      <c r="OZR22" s="93"/>
      <c r="OZS22" s="93"/>
      <c r="OZT22" s="93"/>
      <c r="OZU22" s="93"/>
      <c r="OZV22" s="93"/>
      <c r="OZW22" s="93"/>
      <c r="OZX22" s="93"/>
      <c r="OZY22" s="93"/>
      <c r="OZZ22" s="93"/>
      <c r="PAA22" s="93"/>
      <c r="PAB22" s="93"/>
      <c r="PAC22" s="93"/>
      <c r="PAD22" s="93"/>
      <c r="PAE22" s="93"/>
      <c r="PAF22" s="93"/>
      <c r="PAG22" s="93"/>
      <c r="PAH22" s="93"/>
      <c r="PAI22" s="93"/>
      <c r="PAJ22" s="93"/>
      <c r="PAK22" s="93"/>
      <c r="PAL22" s="93"/>
      <c r="PAM22" s="93"/>
      <c r="PAN22" s="93"/>
      <c r="PAO22" s="93"/>
      <c r="PAP22" s="93"/>
      <c r="PAQ22" s="93"/>
      <c r="PAR22" s="93"/>
      <c r="PAS22" s="93"/>
      <c r="PAT22" s="93"/>
      <c r="PAU22" s="93"/>
      <c r="PAV22" s="93"/>
      <c r="PAW22" s="93"/>
      <c r="PAX22" s="93"/>
      <c r="PAY22" s="93"/>
      <c r="PAZ22" s="93"/>
      <c r="PBA22" s="93"/>
      <c r="PBB22" s="93"/>
      <c r="PBC22" s="93"/>
      <c r="PBD22" s="93"/>
      <c r="PBE22" s="93"/>
      <c r="PBF22" s="93"/>
      <c r="PBG22" s="93"/>
      <c r="PBH22" s="93"/>
      <c r="PBI22" s="93"/>
      <c r="PBJ22" s="93"/>
      <c r="PBK22" s="93"/>
      <c r="PBL22" s="93"/>
      <c r="PBM22" s="93"/>
      <c r="PBN22" s="93"/>
      <c r="PBO22" s="93"/>
      <c r="PBP22" s="93"/>
      <c r="PBQ22" s="93"/>
      <c r="PBR22" s="93"/>
      <c r="PBS22" s="93"/>
      <c r="PBT22" s="93"/>
      <c r="PBU22" s="93"/>
      <c r="PBV22" s="93"/>
      <c r="PBW22" s="93"/>
      <c r="PBX22" s="93"/>
      <c r="PBY22" s="93"/>
      <c r="PBZ22" s="93"/>
      <c r="PCA22" s="93"/>
      <c r="PCB22" s="93"/>
      <c r="PCC22" s="93"/>
      <c r="PCD22" s="93"/>
      <c r="PCE22" s="93"/>
      <c r="PCF22" s="93"/>
      <c r="PCG22" s="93"/>
      <c r="PCH22" s="93"/>
      <c r="PCI22" s="93"/>
      <c r="PCJ22" s="93"/>
      <c r="PCK22" s="93"/>
      <c r="PCL22" s="93"/>
      <c r="PCM22" s="93"/>
      <c r="PCN22" s="93"/>
      <c r="PCO22" s="93"/>
      <c r="PCP22" s="93"/>
      <c r="PCQ22" s="93"/>
      <c r="PCR22" s="93"/>
      <c r="PCS22" s="93"/>
      <c r="PCT22" s="93"/>
      <c r="PCU22" s="93"/>
      <c r="PCV22" s="93"/>
      <c r="PCW22" s="93"/>
      <c r="PCX22" s="93"/>
      <c r="PCY22" s="93"/>
      <c r="PCZ22" s="93"/>
      <c r="PDA22" s="93"/>
      <c r="PDB22" s="93"/>
      <c r="PDC22" s="93"/>
      <c r="PDD22" s="93"/>
      <c r="PDE22" s="93"/>
      <c r="PDF22" s="93"/>
      <c r="PDG22" s="93"/>
      <c r="PDH22" s="93"/>
      <c r="PDI22" s="93"/>
      <c r="PDJ22" s="93"/>
      <c r="PDK22" s="93"/>
      <c r="PDL22" s="93"/>
      <c r="PDM22" s="93"/>
      <c r="PDN22" s="93"/>
      <c r="PDO22" s="93"/>
      <c r="PDP22" s="93"/>
      <c r="PDQ22" s="93"/>
      <c r="PDR22" s="93"/>
      <c r="PDS22" s="93"/>
      <c r="PDT22" s="93"/>
      <c r="PDU22" s="93"/>
      <c r="PDV22" s="93"/>
      <c r="PDW22" s="93"/>
      <c r="PDX22" s="93"/>
      <c r="PDY22" s="93"/>
      <c r="PDZ22" s="93"/>
      <c r="PEA22" s="93"/>
      <c r="PEB22" s="93"/>
      <c r="PEC22" s="93"/>
      <c r="PED22" s="93"/>
      <c r="PEE22" s="93"/>
      <c r="PEF22" s="93"/>
      <c r="PEG22" s="93"/>
      <c r="PEH22" s="93"/>
      <c r="PEI22" s="93"/>
      <c r="PEJ22" s="93"/>
      <c r="PEK22" s="93"/>
      <c r="PEL22" s="93"/>
      <c r="PEM22" s="93"/>
      <c r="PEN22" s="93"/>
      <c r="PEO22" s="93"/>
      <c r="PEP22" s="93"/>
      <c r="PEQ22" s="93"/>
      <c r="PER22" s="93"/>
      <c r="PES22" s="93"/>
      <c r="PET22" s="93"/>
      <c r="PEU22" s="93"/>
      <c r="PEV22" s="93"/>
      <c r="PEW22" s="93"/>
      <c r="PEX22" s="93"/>
      <c r="PEY22" s="93"/>
      <c r="PEZ22" s="93"/>
      <c r="PFA22" s="93"/>
      <c r="PFB22" s="93"/>
      <c r="PFC22" s="93"/>
      <c r="PFD22" s="93"/>
      <c r="PFE22" s="93"/>
      <c r="PFF22" s="93"/>
      <c r="PFG22" s="93"/>
      <c r="PFH22" s="93"/>
      <c r="PFI22" s="93"/>
      <c r="PFJ22" s="93"/>
      <c r="PFK22" s="93"/>
      <c r="PFL22" s="93"/>
      <c r="PFM22" s="93"/>
      <c r="PFN22" s="93"/>
      <c r="PFO22" s="93"/>
      <c r="PFP22" s="93"/>
      <c r="PFQ22" s="93"/>
      <c r="PFR22" s="93"/>
      <c r="PFS22" s="93"/>
      <c r="PFT22" s="93"/>
      <c r="PFU22" s="93"/>
      <c r="PFV22" s="93"/>
      <c r="PFW22" s="93"/>
      <c r="PFX22" s="93"/>
      <c r="PFY22" s="93"/>
      <c r="PFZ22" s="93"/>
      <c r="PGA22" s="93"/>
      <c r="PGB22" s="93"/>
      <c r="PGC22" s="93"/>
      <c r="PGD22" s="93"/>
      <c r="PGE22" s="93"/>
      <c r="PGF22" s="93"/>
      <c r="PGG22" s="93"/>
      <c r="PGH22" s="93"/>
      <c r="PGI22" s="93"/>
      <c r="PGJ22" s="93"/>
      <c r="PGK22" s="93"/>
      <c r="PGL22" s="93"/>
      <c r="PGM22" s="93"/>
      <c r="PGN22" s="93"/>
      <c r="PGO22" s="93"/>
      <c r="PGP22" s="93"/>
      <c r="PGQ22" s="93"/>
      <c r="PGR22" s="93"/>
      <c r="PGS22" s="93"/>
      <c r="PGT22" s="93"/>
      <c r="PGU22" s="93"/>
      <c r="PGV22" s="93"/>
      <c r="PGW22" s="93"/>
      <c r="PGX22" s="93"/>
      <c r="PGY22" s="93"/>
      <c r="PGZ22" s="93"/>
      <c r="PHA22" s="93"/>
      <c r="PHB22" s="93"/>
      <c r="PHC22" s="93"/>
      <c r="PHD22" s="93"/>
      <c r="PHE22" s="93"/>
      <c r="PHF22" s="93"/>
      <c r="PHG22" s="93"/>
      <c r="PHH22" s="93"/>
      <c r="PHI22" s="93"/>
      <c r="PHJ22" s="93"/>
      <c r="PHK22" s="93"/>
      <c r="PHL22" s="93"/>
      <c r="PHM22" s="93"/>
      <c r="PHN22" s="93"/>
      <c r="PHO22" s="93"/>
      <c r="PHP22" s="93"/>
      <c r="PHQ22" s="93"/>
      <c r="PHR22" s="93"/>
      <c r="PHS22" s="93"/>
      <c r="PHT22" s="93"/>
      <c r="PHU22" s="93"/>
      <c r="PHV22" s="93"/>
      <c r="PHW22" s="93"/>
      <c r="PHX22" s="93"/>
      <c r="PHY22" s="93"/>
      <c r="PHZ22" s="93"/>
      <c r="PIA22" s="93"/>
      <c r="PIB22" s="93"/>
      <c r="PIC22" s="93"/>
      <c r="PID22" s="93"/>
      <c r="PIE22" s="93"/>
      <c r="PIF22" s="93"/>
      <c r="PIG22" s="93"/>
      <c r="PIH22" s="93"/>
      <c r="PII22" s="93"/>
      <c r="PIJ22" s="93"/>
      <c r="PIK22" s="93"/>
      <c r="PIL22" s="93"/>
      <c r="PIM22" s="93"/>
      <c r="PIN22" s="93"/>
      <c r="PIO22" s="93"/>
      <c r="PIP22" s="93"/>
      <c r="PIQ22" s="93"/>
      <c r="PIR22" s="93"/>
      <c r="PIS22" s="93"/>
      <c r="PIT22" s="93"/>
      <c r="PIU22" s="93"/>
      <c r="PIV22" s="93"/>
      <c r="PIW22" s="93"/>
      <c r="PIX22" s="93"/>
      <c r="PIY22" s="93"/>
      <c r="PIZ22" s="93"/>
      <c r="PJA22" s="93"/>
      <c r="PJB22" s="93"/>
      <c r="PJC22" s="93"/>
      <c r="PJD22" s="93"/>
      <c r="PJE22" s="93"/>
      <c r="PJF22" s="93"/>
      <c r="PJG22" s="93"/>
      <c r="PJH22" s="93"/>
      <c r="PJI22" s="93"/>
      <c r="PJJ22" s="93"/>
      <c r="PJK22" s="93"/>
      <c r="PJL22" s="93"/>
      <c r="PJM22" s="93"/>
      <c r="PJN22" s="93"/>
      <c r="PJO22" s="93"/>
      <c r="PJP22" s="93"/>
      <c r="PJQ22" s="93"/>
      <c r="PJR22" s="93"/>
      <c r="PJS22" s="93"/>
      <c r="PJT22" s="93"/>
      <c r="PJU22" s="93"/>
      <c r="PJV22" s="93"/>
      <c r="PJW22" s="93"/>
      <c r="PJX22" s="93"/>
      <c r="PJY22" s="93"/>
      <c r="PJZ22" s="93"/>
      <c r="PKA22" s="93"/>
      <c r="PKB22" s="93"/>
      <c r="PKC22" s="93"/>
      <c r="PKD22" s="93"/>
      <c r="PKE22" s="93"/>
      <c r="PKF22" s="93"/>
      <c r="PKG22" s="93"/>
      <c r="PKH22" s="93"/>
      <c r="PKI22" s="93"/>
      <c r="PKJ22" s="93"/>
      <c r="PKK22" s="93"/>
      <c r="PKL22" s="93"/>
      <c r="PKM22" s="93"/>
      <c r="PKN22" s="93"/>
      <c r="PKO22" s="93"/>
      <c r="PKP22" s="93"/>
      <c r="PKQ22" s="93"/>
      <c r="PKR22" s="93"/>
      <c r="PKS22" s="93"/>
      <c r="PKT22" s="93"/>
      <c r="PKU22" s="93"/>
      <c r="PKV22" s="93"/>
      <c r="PKW22" s="93"/>
      <c r="PKX22" s="93"/>
      <c r="PKY22" s="93"/>
      <c r="PKZ22" s="93"/>
      <c r="PLA22" s="93"/>
      <c r="PLB22" s="93"/>
      <c r="PLC22" s="93"/>
      <c r="PLD22" s="93"/>
      <c r="PLE22" s="93"/>
      <c r="PLF22" s="93"/>
      <c r="PLG22" s="93"/>
      <c r="PLH22" s="93"/>
      <c r="PLI22" s="93"/>
      <c r="PLJ22" s="93"/>
      <c r="PLK22" s="93"/>
      <c r="PLL22" s="93"/>
      <c r="PLM22" s="93"/>
      <c r="PLN22" s="93"/>
      <c r="PLO22" s="93"/>
      <c r="PLP22" s="93"/>
      <c r="PLQ22" s="93"/>
      <c r="PLR22" s="93"/>
      <c r="PLS22" s="93"/>
      <c r="PLT22" s="93"/>
      <c r="PLU22" s="93"/>
      <c r="PLV22" s="93"/>
      <c r="PLW22" s="93"/>
      <c r="PLX22" s="93"/>
      <c r="PLY22" s="93"/>
      <c r="PLZ22" s="93"/>
      <c r="PMA22" s="93"/>
      <c r="PMB22" s="93"/>
      <c r="PMC22" s="93"/>
      <c r="PMD22" s="93"/>
      <c r="PME22" s="93"/>
      <c r="PMF22" s="93"/>
      <c r="PMG22" s="93"/>
      <c r="PMH22" s="93"/>
      <c r="PMI22" s="93"/>
      <c r="PMJ22" s="93"/>
      <c r="PMK22" s="93"/>
      <c r="PML22" s="93"/>
      <c r="PMM22" s="93"/>
      <c r="PMN22" s="93"/>
      <c r="PMO22" s="93"/>
      <c r="PMP22" s="93"/>
      <c r="PMQ22" s="93"/>
      <c r="PMR22" s="93"/>
      <c r="PMS22" s="93"/>
      <c r="PMT22" s="93"/>
      <c r="PMU22" s="93"/>
      <c r="PMV22" s="93"/>
      <c r="PMW22" s="93"/>
      <c r="PMX22" s="93"/>
      <c r="PMY22" s="93"/>
      <c r="PMZ22" s="93"/>
      <c r="PNA22" s="93"/>
      <c r="PNB22" s="93"/>
      <c r="PNC22" s="93"/>
      <c r="PND22" s="93"/>
      <c r="PNE22" s="93"/>
      <c r="PNF22" s="93"/>
      <c r="PNG22" s="93"/>
      <c r="PNH22" s="93"/>
      <c r="PNI22" s="93"/>
      <c r="PNJ22" s="93"/>
      <c r="PNK22" s="93"/>
      <c r="PNL22" s="93"/>
      <c r="PNM22" s="93"/>
      <c r="PNN22" s="93"/>
      <c r="PNO22" s="93"/>
      <c r="PNP22" s="93"/>
      <c r="PNQ22" s="93"/>
      <c r="PNR22" s="93"/>
      <c r="PNS22" s="93"/>
      <c r="PNT22" s="93"/>
      <c r="PNU22" s="93"/>
      <c r="PNV22" s="93"/>
      <c r="PNW22" s="93"/>
      <c r="PNX22" s="93"/>
      <c r="PNY22" s="93"/>
      <c r="PNZ22" s="93"/>
      <c r="POA22" s="93"/>
      <c r="POB22" s="93"/>
      <c r="POC22" s="93"/>
      <c r="POD22" s="93"/>
      <c r="POE22" s="93"/>
      <c r="POF22" s="93"/>
      <c r="POG22" s="93"/>
      <c r="POH22" s="93"/>
      <c r="POI22" s="93"/>
      <c r="POJ22" s="93"/>
      <c r="POK22" s="93"/>
      <c r="POL22" s="93"/>
      <c r="POM22" s="93"/>
      <c r="PON22" s="93"/>
      <c r="POO22" s="93"/>
      <c r="POP22" s="93"/>
      <c r="POQ22" s="93"/>
      <c r="POR22" s="93"/>
      <c r="POS22" s="93"/>
      <c r="POT22" s="93"/>
      <c r="POU22" s="93"/>
      <c r="POV22" s="93"/>
      <c r="POW22" s="93"/>
      <c r="POX22" s="93"/>
      <c r="POY22" s="93"/>
      <c r="POZ22" s="93"/>
      <c r="PPA22" s="93"/>
      <c r="PPB22" s="93"/>
      <c r="PPC22" s="93"/>
      <c r="PPD22" s="93"/>
      <c r="PPE22" s="93"/>
      <c r="PPF22" s="93"/>
      <c r="PPG22" s="93"/>
      <c r="PPH22" s="93"/>
      <c r="PPI22" s="93"/>
      <c r="PPJ22" s="93"/>
      <c r="PPK22" s="93"/>
      <c r="PPL22" s="93"/>
      <c r="PPM22" s="93"/>
      <c r="PPN22" s="93"/>
      <c r="PPO22" s="93"/>
      <c r="PPP22" s="93"/>
      <c r="PPQ22" s="93"/>
      <c r="PPR22" s="93"/>
      <c r="PPS22" s="93"/>
      <c r="PPT22" s="93"/>
      <c r="PPU22" s="93"/>
      <c r="PPV22" s="93"/>
      <c r="PPW22" s="93"/>
      <c r="PPX22" s="93"/>
      <c r="PPY22" s="93"/>
      <c r="PPZ22" s="93"/>
      <c r="PQA22" s="93"/>
      <c r="PQB22" s="93"/>
      <c r="PQC22" s="93"/>
      <c r="PQD22" s="93"/>
      <c r="PQE22" s="93"/>
      <c r="PQF22" s="93"/>
      <c r="PQG22" s="93"/>
      <c r="PQH22" s="93"/>
      <c r="PQI22" s="93"/>
      <c r="PQJ22" s="93"/>
      <c r="PQK22" s="93"/>
      <c r="PQL22" s="93"/>
      <c r="PQM22" s="93"/>
      <c r="PQN22" s="93"/>
      <c r="PQO22" s="93"/>
      <c r="PQP22" s="93"/>
      <c r="PQQ22" s="93"/>
      <c r="PQR22" s="93"/>
      <c r="PQS22" s="93"/>
      <c r="PQT22" s="93"/>
      <c r="PQU22" s="93"/>
      <c r="PQV22" s="93"/>
      <c r="PQW22" s="93"/>
      <c r="PQX22" s="93"/>
      <c r="PQY22" s="93"/>
      <c r="PQZ22" s="93"/>
      <c r="PRA22" s="93"/>
      <c r="PRB22" s="93"/>
      <c r="PRC22" s="93"/>
      <c r="PRD22" s="93"/>
      <c r="PRE22" s="93"/>
      <c r="PRF22" s="93"/>
      <c r="PRG22" s="93"/>
      <c r="PRH22" s="93"/>
      <c r="PRI22" s="93"/>
      <c r="PRJ22" s="93"/>
      <c r="PRK22" s="93"/>
      <c r="PRL22" s="93"/>
      <c r="PRM22" s="93"/>
      <c r="PRN22" s="93"/>
      <c r="PRO22" s="93"/>
      <c r="PRP22" s="93"/>
      <c r="PRQ22" s="93"/>
      <c r="PRR22" s="93"/>
      <c r="PRS22" s="93"/>
      <c r="PRT22" s="93"/>
      <c r="PRU22" s="93"/>
      <c r="PRV22" s="93"/>
      <c r="PRW22" s="93"/>
      <c r="PRX22" s="93"/>
      <c r="PRY22" s="93"/>
      <c r="PRZ22" s="93"/>
      <c r="PSA22" s="93"/>
      <c r="PSB22" s="93"/>
      <c r="PSC22" s="93"/>
      <c r="PSD22" s="93"/>
      <c r="PSE22" s="93"/>
      <c r="PSF22" s="93"/>
      <c r="PSG22" s="93"/>
      <c r="PSH22" s="93"/>
      <c r="PSI22" s="93"/>
      <c r="PSJ22" s="93"/>
      <c r="PSK22" s="93"/>
      <c r="PSL22" s="93"/>
      <c r="PSM22" s="93"/>
      <c r="PSN22" s="93"/>
      <c r="PSO22" s="93"/>
      <c r="PSP22" s="93"/>
      <c r="PSQ22" s="93"/>
      <c r="PSR22" s="93"/>
      <c r="PSS22" s="93"/>
      <c r="PST22" s="93"/>
      <c r="PSU22" s="93"/>
      <c r="PSV22" s="93"/>
      <c r="PSW22" s="93"/>
      <c r="PSX22" s="93"/>
      <c r="PSY22" s="93"/>
      <c r="PSZ22" s="93"/>
      <c r="PTA22" s="93"/>
      <c r="PTB22" s="93"/>
      <c r="PTC22" s="93"/>
      <c r="PTD22" s="93"/>
      <c r="PTE22" s="93"/>
      <c r="PTF22" s="93"/>
      <c r="PTG22" s="93"/>
      <c r="PTH22" s="93"/>
      <c r="PTI22" s="93"/>
      <c r="PTJ22" s="93"/>
      <c r="PTK22" s="93"/>
      <c r="PTL22" s="93"/>
      <c r="PTM22" s="93"/>
      <c r="PTN22" s="93"/>
      <c r="PTO22" s="93"/>
      <c r="PTP22" s="93"/>
      <c r="PTQ22" s="93"/>
      <c r="PTR22" s="93"/>
      <c r="PTS22" s="93"/>
      <c r="PTT22" s="93"/>
      <c r="PTU22" s="93"/>
      <c r="PTV22" s="93"/>
      <c r="PTW22" s="93"/>
      <c r="PTX22" s="93"/>
      <c r="PTY22" s="93"/>
      <c r="PTZ22" s="93"/>
      <c r="PUA22" s="93"/>
      <c r="PUB22" s="93"/>
      <c r="PUC22" s="93"/>
      <c r="PUD22" s="93"/>
      <c r="PUE22" s="93"/>
      <c r="PUF22" s="93"/>
      <c r="PUG22" s="93"/>
      <c r="PUH22" s="93"/>
      <c r="PUI22" s="93"/>
      <c r="PUJ22" s="93"/>
      <c r="PUK22" s="93"/>
      <c r="PUL22" s="93"/>
      <c r="PUM22" s="93"/>
      <c r="PUN22" s="93"/>
      <c r="PUO22" s="93"/>
      <c r="PUP22" s="93"/>
      <c r="PUQ22" s="93"/>
      <c r="PUR22" s="93"/>
      <c r="PUS22" s="93"/>
      <c r="PUT22" s="93"/>
      <c r="PUU22" s="93"/>
      <c r="PUV22" s="93"/>
      <c r="PUW22" s="93"/>
      <c r="PUX22" s="93"/>
      <c r="PUY22" s="93"/>
      <c r="PUZ22" s="93"/>
      <c r="PVA22" s="93"/>
      <c r="PVB22" s="93"/>
      <c r="PVC22" s="93"/>
      <c r="PVD22" s="93"/>
      <c r="PVE22" s="93"/>
      <c r="PVF22" s="93"/>
      <c r="PVG22" s="93"/>
      <c r="PVH22" s="93"/>
      <c r="PVI22" s="93"/>
      <c r="PVJ22" s="93"/>
      <c r="PVK22" s="93"/>
      <c r="PVL22" s="93"/>
      <c r="PVM22" s="93"/>
      <c r="PVN22" s="93"/>
      <c r="PVO22" s="93"/>
      <c r="PVP22" s="93"/>
      <c r="PVQ22" s="93"/>
      <c r="PVR22" s="93"/>
      <c r="PVS22" s="93"/>
      <c r="PVT22" s="93"/>
      <c r="PVU22" s="93"/>
      <c r="PVV22" s="93"/>
      <c r="PVW22" s="93"/>
      <c r="PVX22" s="93"/>
      <c r="PVY22" s="93"/>
      <c r="PVZ22" s="93"/>
      <c r="PWA22" s="93"/>
      <c r="PWB22" s="93"/>
      <c r="PWC22" s="93"/>
      <c r="PWD22" s="93"/>
      <c r="PWE22" s="93"/>
      <c r="PWF22" s="93"/>
      <c r="PWG22" s="93"/>
      <c r="PWH22" s="93"/>
      <c r="PWI22" s="93"/>
      <c r="PWJ22" s="93"/>
      <c r="PWK22" s="93"/>
      <c r="PWL22" s="93"/>
      <c r="PWM22" s="93"/>
      <c r="PWN22" s="93"/>
      <c r="PWO22" s="93"/>
      <c r="PWP22" s="93"/>
      <c r="PWQ22" s="93"/>
      <c r="PWR22" s="93"/>
      <c r="PWS22" s="93"/>
      <c r="PWT22" s="93"/>
      <c r="PWU22" s="93"/>
      <c r="PWV22" s="93"/>
      <c r="PWW22" s="93"/>
      <c r="PWX22" s="93"/>
      <c r="PWY22" s="93"/>
      <c r="PWZ22" s="93"/>
      <c r="PXA22" s="93"/>
      <c r="PXB22" s="93"/>
      <c r="PXC22" s="93"/>
      <c r="PXD22" s="93"/>
      <c r="PXE22" s="93"/>
      <c r="PXF22" s="93"/>
      <c r="PXG22" s="93"/>
      <c r="PXH22" s="93"/>
      <c r="PXI22" s="93"/>
      <c r="PXJ22" s="93"/>
      <c r="PXK22" s="93"/>
      <c r="PXL22" s="93"/>
      <c r="PXM22" s="93"/>
      <c r="PXN22" s="93"/>
      <c r="PXO22" s="93"/>
      <c r="PXP22" s="93"/>
      <c r="PXQ22" s="93"/>
      <c r="PXR22" s="93"/>
      <c r="PXS22" s="93"/>
      <c r="PXT22" s="93"/>
      <c r="PXU22" s="93"/>
      <c r="PXV22" s="93"/>
      <c r="PXW22" s="93"/>
      <c r="PXX22" s="93"/>
      <c r="PXY22" s="93"/>
      <c r="PXZ22" s="93"/>
      <c r="PYA22" s="93"/>
      <c r="PYB22" s="93"/>
      <c r="PYC22" s="93"/>
      <c r="PYD22" s="93"/>
      <c r="PYE22" s="93"/>
      <c r="PYF22" s="93"/>
      <c r="PYG22" s="93"/>
      <c r="PYH22" s="93"/>
      <c r="PYI22" s="93"/>
      <c r="PYJ22" s="93"/>
      <c r="PYK22" s="93"/>
      <c r="PYL22" s="93"/>
      <c r="PYM22" s="93"/>
      <c r="PYN22" s="93"/>
      <c r="PYO22" s="93"/>
      <c r="PYP22" s="93"/>
      <c r="PYQ22" s="93"/>
      <c r="PYR22" s="93"/>
      <c r="PYS22" s="93"/>
      <c r="PYT22" s="93"/>
      <c r="PYU22" s="93"/>
      <c r="PYV22" s="93"/>
      <c r="PYW22" s="93"/>
      <c r="PYX22" s="93"/>
      <c r="PYY22" s="93"/>
      <c r="PYZ22" s="93"/>
      <c r="PZA22" s="93"/>
      <c r="PZB22" s="93"/>
      <c r="PZC22" s="93"/>
      <c r="PZD22" s="93"/>
      <c r="PZE22" s="93"/>
      <c r="PZF22" s="93"/>
      <c r="PZG22" s="93"/>
      <c r="PZH22" s="93"/>
      <c r="PZI22" s="93"/>
      <c r="PZJ22" s="93"/>
      <c r="PZK22" s="93"/>
      <c r="PZL22" s="93"/>
      <c r="PZM22" s="93"/>
      <c r="PZN22" s="93"/>
      <c r="PZO22" s="93"/>
      <c r="PZP22" s="93"/>
      <c r="PZQ22" s="93"/>
      <c r="PZR22" s="93"/>
      <c r="PZS22" s="93"/>
      <c r="PZT22" s="93"/>
      <c r="PZU22" s="93"/>
      <c r="PZV22" s="93"/>
      <c r="PZW22" s="93"/>
      <c r="PZX22" s="93"/>
      <c r="PZY22" s="93"/>
      <c r="PZZ22" s="93"/>
      <c r="QAA22" s="93"/>
      <c r="QAB22" s="93"/>
      <c r="QAC22" s="93"/>
      <c r="QAD22" s="93"/>
      <c r="QAE22" s="93"/>
      <c r="QAF22" s="93"/>
      <c r="QAG22" s="93"/>
      <c r="QAH22" s="93"/>
      <c r="QAI22" s="93"/>
      <c r="QAJ22" s="93"/>
      <c r="QAK22" s="93"/>
      <c r="QAL22" s="93"/>
      <c r="QAM22" s="93"/>
      <c r="QAN22" s="93"/>
      <c r="QAO22" s="93"/>
      <c r="QAP22" s="93"/>
      <c r="QAQ22" s="93"/>
      <c r="QAR22" s="93"/>
      <c r="QAS22" s="93"/>
      <c r="QAT22" s="93"/>
      <c r="QAU22" s="93"/>
      <c r="QAV22" s="93"/>
      <c r="QAW22" s="93"/>
      <c r="QAX22" s="93"/>
      <c r="QAY22" s="93"/>
      <c r="QAZ22" s="93"/>
      <c r="QBA22" s="93"/>
      <c r="QBB22" s="93"/>
      <c r="QBC22" s="93"/>
      <c r="QBD22" s="93"/>
      <c r="QBE22" s="93"/>
      <c r="QBF22" s="93"/>
      <c r="QBG22" s="93"/>
      <c r="QBH22" s="93"/>
      <c r="QBI22" s="93"/>
      <c r="QBJ22" s="93"/>
      <c r="QBK22" s="93"/>
      <c r="QBL22" s="93"/>
      <c r="QBM22" s="93"/>
      <c r="QBN22" s="93"/>
      <c r="QBO22" s="93"/>
      <c r="QBP22" s="93"/>
      <c r="QBQ22" s="93"/>
      <c r="QBR22" s="93"/>
      <c r="QBS22" s="93"/>
      <c r="QBT22" s="93"/>
      <c r="QBU22" s="93"/>
      <c r="QBV22" s="93"/>
      <c r="QBW22" s="93"/>
      <c r="QBX22" s="93"/>
      <c r="QBY22" s="93"/>
      <c r="QBZ22" s="93"/>
      <c r="QCA22" s="93"/>
      <c r="QCB22" s="93"/>
      <c r="QCC22" s="93"/>
      <c r="QCD22" s="93"/>
      <c r="QCE22" s="93"/>
      <c r="QCF22" s="93"/>
      <c r="QCG22" s="93"/>
      <c r="QCH22" s="93"/>
      <c r="QCI22" s="93"/>
      <c r="QCJ22" s="93"/>
      <c r="QCK22" s="93"/>
      <c r="QCL22" s="93"/>
      <c r="QCM22" s="93"/>
      <c r="QCN22" s="93"/>
      <c r="QCO22" s="93"/>
      <c r="QCP22" s="93"/>
      <c r="QCQ22" s="93"/>
      <c r="QCR22" s="93"/>
      <c r="QCS22" s="93"/>
      <c r="QCT22" s="93"/>
      <c r="QCU22" s="93"/>
      <c r="QCV22" s="93"/>
      <c r="QCW22" s="93"/>
      <c r="QCX22" s="93"/>
      <c r="QCY22" s="93"/>
      <c r="QCZ22" s="93"/>
      <c r="QDA22" s="93"/>
      <c r="QDB22" s="93"/>
      <c r="QDC22" s="93"/>
      <c r="QDD22" s="93"/>
      <c r="QDE22" s="93"/>
      <c r="QDF22" s="93"/>
      <c r="QDG22" s="93"/>
      <c r="QDH22" s="93"/>
      <c r="QDI22" s="93"/>
      <c r="QDJ22" s="93"/>
      <c r="QDK22" s="93"/>
      <c r="QDL22" s="93"/>
      <c r="QDM22" s="93"/>
      <c r="QDN22" s="93"/>
      <c r="QDO22" s="93"/>
      <c r="QDP22" s="93"/>
      <c r="QDQ22" s="93"/>
      <c r="QDR22" s="93"/>
      <c r="QDS22" s="93"/>
      <c r="QDT22" s="93"/>
      <c r="QDU22" s="93"/>
      <c r="QDV22" s="93"/>
      <c r="QDW22" s="93"/>
      <c r="QDX22" s="93"/>
      <c r="QDY22" s="93"/>
      <c r="QDZ22" s="93"/>
      <c r="QEA22" s="93"/>
      <c r="QEB22" s="93"/>
      <c r="QEC22" s="93"/>
      <c r="QED22" s="93"/>
      <c r="QEE22" s="93"/>
      <c r="QEF22" s="93"/>
      <c r="QEG22" s="93"/>
      <c r="QEH22" s="93"/>
      <c r="QEI22" s="93"/>
      <c r="QEJ22" s="93"/>
      <c r="QEK22" s="93"/>
      <c r="QEL22" s="93"/>
      <c r="QEM22" s="93"/>
      <c r="QEN22" s="93"/>
      <c r="QEO22" s="93"/>
      <c r="QEP22" s="93"/>
      <c r="QEQ22" s="93"/>
      <c r="QER22" s="93"/>
      <c r="QES22" s="93"/>
      <c r="QET22" s="93"/>
      <c r="QEU22" s="93"/>
      <c r="QEV22" s="93"/>
      <c r="QEW22" s="93"/>
      <c r="QEX22" s="93"/>
      <c r="QEY22" s="93"/>
      <c r="QEZ22" s="93"/>
      <c r="QFA22" s="93"/>
      <c r="QFB22" s="93"/>
      <c r="QFC22" s="93"/>
      <c r="QFD22" s="93"/>
      <c r="QFE22" s="93"/>
      <c r="QFF22" s="93"/>
      <c r="QFG22" s="93"/>
      <c r="QFH22" s="93"/>
      <c r="QFI22" s="93"/>
      <c r="QFJ22" s="93"/>
      <c r="QFK22" s="93"/>
      <c r="QFL22" s="93"/>
      <c r="QFM22" s="93"/>
      <c r="QFN22" s="93"/>
      <c r="QFO22" s="93"/>
      <c r="QFP22" s="93"/>
      <c r="QFQ22" s="93"/>
      <c r="QFR22" s="93"/>
      <c r="QFS22" s="93"/>
      <c r="QFT22" s="93"/>
      <c r="QFU22" s="93"/>
      <c r="QFV22" s="93"/>
      <c r="QFW22" s="93"/>
      <c r="QFX22" s="93"/>
      <c r="QFY22" s="93"/>
      <c r="QFZ22" s="93"/>
      <c r="QGA22" s="93"/>
      <c r="QGB22" s="93"/>
      <c r="QGC22" s="93"/>
      <c r="QGD22" s="93"/>
      <c r="QGE22" s="93"/>
      <c r="QGF22" s="93"/>
      <c r="QGG22" s="93"/>
      <c r="QGH22" s="93"/>
      <c r="QGI22" s="93"/>
      <c r="QGJ22" s="93"/>
      <c r="QGK22" s="93"/>
      <c r="QGL22" s="93"/>
      <c r="QGM22" s="93"/>
      <c r="QGN22" s="93"/>
      <c r="QGO22" s="93"/>
      <c r="QGP22" s="93"/>
      <c r="QGQ22" s="93"/>
      <c r="QGR22" s="93"/>
      <c r="QGS22" s="93"/>
      <c r="QGT22" s="93"/>
      <c r="QGU22" s="93"/>
      <c r="QGV22" s="93"/>
      <c r="QGW22" s="93"/>
      <c r="QGX22" s="93"/>
      <c r="QGY22" s="93"/>
      <c r="QGZ22" s="93"/>
      <c r="QHA22" s="93"/>
      <c r="QHB22" s="93"/>
      <c r="QHC22" s="93"/>
      <c r="QHD22" s="93"/>
      <c r="QHE22" s="93"/>
      <c r="QHF22" s="93"/>
      <c r="QHG22" s="93"/>
      <c r="QHH22" s="93"/>
      <c r="QHI22" s="93"/>
      <c r="QHJ22" s="93"/>
      <c r="QHK22" s="93"/>
      <c r="QHL22" s="93"/>
      <c r="QHM22" s="93"/>
      <c r="QHN22" s="93"/>
      <c r="QHO22" s="93"/>
      <c r="QHP22" s="93"/>
      <c r="QHQ22" s="93"/>
      <c r="QHR22" s="93"/>
      <c r="QHS22" s="93"/>
      <c r="QHT22" s="93"/>
      <c r="QHU22" s="93"/>
      <c r="QHV22" s="93"/>
      <c r="QHW22" s="93"/>
      <c r="QHX22" s="93"/>
      <c r="QHY22" s="93"/>
      <c r="QHZ22" s="93"/>
      <c r="QIA22" s="93"/>
      <c r="QIB22" s="93"/>
      <c r="QIC22" s="93"/>
      <c r="QID22" s="93"/>
      <c r="QIE22" s="93"/>
      <c r="QIF22" s="93"/>
      <c r="QIG22" s="93"/>
      <c r="QIH22" s="93"/>
      <c r="QII22" s="93"/>
      <c r="QIJ22" s="93"/>
      <c r="QIK22" s="93"/>
      <c r="QIL22" s="93"/>
      <c r="QIM22" s="93"/>
      <c r="QIN22" s="93"/>
      <c r="QIO22" s="93"/>
      <c r="QIP22" s="93"/>
      <c r="QIQ22" s="93"/>
      <c r="QIR22" s="93"/>
      <c r="QIS22" s="93"/>
      <c r="QIT22" s="93"/>
      <c r="QIU22" s="93"/>
      <c r="QIV22" s="93"/>
      <c r="QIW22" s="93"/>
      <c r="QIX22" s="93"/>
      <c r="QIY22" s="93"/>
      <c r="QIZ22" s="93"/>
      <c r="QJA22" s="93"/>
      <c r="QJB22" s="93"/>
      <c r="QJC22" s="93"/>
      <c r="QJD22" s="93"/>
      <c r="QJE22" s="93"/>
      <c r="QJF22" s="93"/>
      <c r="QJG22" s="93"/>
      <c r="QJH22" s="93"/>
      <c r="QJI22" s="93"/>
      <c r="QJJ22" s="93"/>
      <c r="QJK22" s="93"/>
      <c r="QJL22" s="93"/>
      <c r="QJM22" s="93"/>
      <c r="QJN22" s="93"/>
      <c r="QJO22" s="93"/>
      <c r="QJP22" s="93"/>
      <c r="QJQ22" s="93"/>
      <c r="QJR22" s="93"/>
      <c r="QJS22" s="93"/>
      <c r="QJT22" s="93"/>
      <c r="QJU22" s="93"/>
      <c r="QJV22" s="93"/>
      <c r="QJW22" s="93"/>
      <c r="QJX22" s="93"/>
      <c r="QJY22" s="93"/>
      <c r="QJZ22" s="93"/>
      <c r="QKA22" s="93"/>
      <c r="QKB22" s="93"/>
      <c r="QKC22" s="93"/>
      <c r="QKD22" s="93"/>
      <c r="QKE22" s="93"/>
      <c r="QKF22" s="93"/>
      <c r="QKG22" s="93"/>
      <c r="QKH22" s="93"/>
      <c r="QKI22" s="93"/>
      <c r="QKJ22" s="93"/>
      <c r="QKK22" s="93"/>
      <c r="QKL22" s="93"/>
      <c r="QKM22" s="93"/>
      <c r="QKN22" s="93"/>
      <c r="QKO22" s="93"/>
      <c r="QKP22" s="93"/>
      <c r="QKQ22" s="93"/>
      <c r="QKR22" s="93"/>
      <c r="QKS22" s="93"/>
      <c r="QKT22" s="93"/>
      <c r="QKU22" s="93"/>
      <c r="QKV22" s="93"/>
      <c r="QKW22" s="93"/>
      <c r="QKX22" s="93"/>
      <c r="QKY22" s="93"/>
      <c r="QKZ22" s="93"/>
      <c r="QLA22" s="93"/>
      <c r="QLB22" s="93"/>
      <c r="QLC22" s="93"/>
      <c r="QLD22" s="93"/>
      <c r="QLE22" s="93"/>
      <c r="QLF22" s="93"/>
      <c r="QLG22" s="93"/>
      <c r="QLH22" s="93"/>
      <c r="QLI22" s="93"/>
      <c r="QLJ22" s="93"/>
      <c r="QLK22" s="93"/>
      <c r="QLL22" s="93"/>
      <c r="QLM22" s="93"/>
      <c r="QLN22" s="93"/>
      <c r="QLO22" s="93"/>
      <c r="QLP22" s="93"/>
      <c r="QLQ22" s="93"/>
      <c r="QLR22" s="93"/>
      <c r="QLS22" s="93"/>
      <c r="QLT22" s="93"/>
      <c r="QLU22" s="93"/>
      <c r="QLV22" s="93"/>
      <c r="QLW22" s="93"/>
      <c r="QLX22" s="93"/>
      <c r="QLY22" s="93"/>
      <c r="QLZ22" s="93"/>
      <c r="QMA22" s="93"/>
      <c r="QMB22" s="93"/>
      <c r="QMC22" s="93"/>
      <c r="QMD22" s="93"/>
      <c r="QME22" s="93"/>
      <c r="QMF22" s="93"/>
      <c r="QMG22" s="93"/>
      <c r="QMH22" s="93"/>
      <c r="QMI22" s="93"/>
      <c r="QMJ22" s="93"/>
      <c r="QMK22" s="93"/>
      <c r="QML22" s="93"/>
      <c r="QMM22" s="93"/>
      <c r="QMN22" s="93"/>
      <c r="QMO22" s="93"/>
      <c r="QMP22" s="93"/>
      <c r="QMQ22" s="93"/>
      <c r="QMR22" s="93"/>
      <c r="QMS22" s="93"/>
      <c r="QMT22" s="93"/>
      <c r="QMU22" s="93"/>
      <c r="QMV22" s="93"/>
      <c r="QMW22" s="93"/>
      <c r="QMX22" s="93"/>
      <c r="QMY22" s="93"/>
      <c r="QMZ22" s="93"/>
      <c r="QNA22" s="93"/>
      <c r="QNB22" s="93"/>
      <c r="QNC22" s="93"/>
      <c r="QND22" s="93"/>
      <c r="QNE22" s="93"/>
      <c r="QNF22" s="93"/>
      <c r="QNG22" s="93"/>
      <c r="QNH22" s="93"/>
      <c r="QNI22" s="93"/>
      <c r="QNJ22" s="93"/>
      <c r="QNK22" s="93"/>
      <c r="QNL22" s="93"/>
      <c r="QNM22" s="93"/>
      <c r="QNN22" s="93"/>
      <c r="QNO22" s="93"/>
      <c r="QNP22" s="93"/>
      <c r="QNQ22" s="93"/>
      <c r="QNR22" s="93"/>
      <c r="QNS22" s="93"/>
      <c r="QNT22" s="93"/>
      <c r="QNU22" s="93"/>
      <c r="QNV22" s="93"/>
      <c r="QNW22" s="93"/>
      <c r="QNX22" s="93"/>
      <c r="QNY22" s="93"/>
      <c r="QNZ22" s="93"/>
      <c r="QOA22" s="93"/>
      <c r="QOB22" s="93"/>
      <c r="QOC22" s="93"/>
      <c r="QOD22" s="93"/>
      <c r="QOE22" s="93"/>
      <c r="QOF22" s="93"/>
      <c r="QOG22" s="93"/>
      <c r="QOH22" s="93"/>
      <c r="QOI22" s="93"/>
      <c r="QOJ22" s="93"/>
      <c r="QOK22" s="93"/>
      <c r="QOL22" s="93"/>
      <c r="QOM22" s="93"/>
      <c r="QON22" s="93"/>
      <c r="QOO22" s="93"/>
      <c r="QOP22" s="93"/>
      <c r="QOQ22" s="93"/>
      <c r="QOR22" s="93"/>
      <c r="QOS22" s="93"/>
      <c r="QOT22" s="93"/>
      <c r="QOU22" s="93"/>
      <c r="QOV22" s="93"/>
      <c r="QOW22" s="93"/>
      <c r="QOX22" s="93"/>
      <c r="QOY22" s="93"/>
      <c r="QOZ22" s="93"/>
      <c r="QPA22" s="93"/>
      <c r="QPB22" s="93"/>
      <c r="QPC22" s="93"/>
      <c r="QPD22" s="93"/>
      <c r="QPE22" s="93"/>
      <c r="QPF22" s="93"/>
      <c r="QPG22" s="93"/>
      <c r="QPH22" s="93"/>
      <c r="QPI22" s="93"/>
      <c r="QPJ22" s="93"/>
      <c r="QPK22" s="93"/>
      <c r="QPL22" s="93"/>
      <c r="QPM22" s="93"/>
      <c r="QPN22" s="93"/>
      <c r="QPO22" s="93"/>
      <c r="QPP22" s="93"/>
      <c r="QPQ22" s="93"/>
      <c r="QPR22" s="93"/>
      <c r="QPS22" s="93"/>
      <c r="QPT22" s="93"/>
      <c r="QPU22" s="93"/>
      <c r="QPV22" s="93"/>
      <c r="QPW22" s="93"/>
      <c r="QPX22" s="93"/>
      <c r="QPY22" s="93"/>
      <c r="QPZ22" s="93"/>
      <c r="QQA22" s="93"/>
      <c r="QQB22" s="93"/>
      <c r="QQC22" s="93"/>
      <c r="QQD22" s="93"/>
      <c r="QQE22" s="93"/>
      <c r="QQF22" s="93"/>
      <c r="QQG22" s="93"/>
      <c r="QQH22" s="93"/>
      <c r="QQI22" s="93"/>
      <c r="QQJ22" s="93"/>
      <c r="QQK22" s="93"/>
      <c r="QQL22" s="93"/>
      <c r="QQM22" s="93"/>
      <c r="QQN22" s="93"/>
      <c r="QQO22" s="93"/>
      <c r="QQP22" s="93"/>
      <c r="QQQ22" s="93"/>
      <c r="QQR22" s="93"/>
      <c r="QQS22" s="93"/>
      <c r="QQT22" s="93"/>
      <c r="QQU22" s="93"/>
      <c r="QQV22" s="93"/>
      <c r="QQW22" s="93"/>
      <c r="QQX22" s="93"/>
      <c r="QQY22" s="93"/>
      <c r="QQZ22" s="93"/>
      <c r="QRA22" s="93"/>
      <c r="QRB22" s="93"/>
      <c r="QRC22" s="93"/>
      <c r="QRD22" s="93"/>
      <c r="QRE22" s="93"/>
      <c r="QRF22" s="93"/>
      <c r="QRG22" s="93"/>
      <c r="QRH22" s="93"/>
      <c r="QRI22" s="93"/>
      <c r="QRJ22" s="93"/>
      <c r="QRK22" s="93"/>
      <c r="QRL22" s="93"/>
      <c r="QRM22" s="93"/>
      <c r="QRN22" s="93"/>
      <c r="QRO22" s="93"/>
      <c r="QRP22" s="93"/>
      <c r="QRQ22" s="93"/>
      <c r="QRR22" s="93"/>
      <c r="QRS22" s="93"/>
      <c r="QRT22" s="93"/>
      <c r="QRU22" s="93"/>
      <c r="QRV22" s="93"/>
      <c r="QRW22" s="93"/>
      <c r="QRX22" s="93"/>
      <c r="QRY22" s="93"/>
      <c r="QRZ22" s="93"/>
      <c r="QSA22" s="93"/>
      <c r="QSB22" s="93"/>
      <c r="QSC22" s="93"/>
      <c r="QSD22" s="93"/>
      <c r="QSE22" s="93"/>
      <c r="QSF22" s="93"/>
      <c r="QSG22" s="93"/>
      <c r="QSH22" s="93"/>
      <c r="QSI22" s="93"/>
      <c r="QSJ22" s="93"/>
      <c r="QSK22" s="93"/>
      <c r="QSL22" s="93"/>
      <c r="QSM22" s="93"/>
      <c r="QSN22" s="93"/>
      <c r="QSO22" s="93"/>
      <c r="QSP22" s="93"/>
      <c r="QSQ22" s="93"/>
      <c r="QSR22" s="93"/>
      <c r="QSS22" s="93"/>
      <c r="QST22" s="93"/>
      <c r="QSU22" s="93"/>
      <c r="QSV22" s="93"/>
      <c r="QSW22" s="93"/>
      <c r="QSX22" s="93"/>
      <c r="QSY22" s="93"/>
      <c r="QSZ22" s="93"/>
      <c r="QTA22" s="93"/>
      <c r="QTB22" s="93"/>
      <c r="QTC22" s="93"/>
      <c r="QTD22" s="93"/>
      <c r="QTE22" s="93"/>
      <c r="QTF22" s="93"/>
      <c r="QTG22" s="93"/>
      <c r="QTH22" s="93"/>
      <c r="QTI22" s="93"/>
      <c r="QTJ22" s="93"/>
      <c r="QTK22" s="93"/>
      <c r="QTL22" s="93"/>
      <c r="QTM22" s="93"/>
      <c r="QTN22" s="93"/>
      <c r="QTO22" s="93"/>
      <c r="QTP22" s="93"/>
      <c r="QTQ22" s="93"/>
      <c r="QTR22" s="93"/>
      <c r="QTS22" s="93"/>
      <c r="QTT22" s="93"/>
      <c r="QTU22" s="93"/>
      <c r="QTV22" s="93"/>
      <c r="QTW22" s="93"/>
      <c r="QTX22" s="93"/>
      <c r="QTY22" s="93"/>
      <c r="QTZ22" s="93"/>
      <c r="QUA22" s="93"/>
      <c r="QUB22" s="93"/>
      <c r="QUC22" s="93"/>
      <c r="QUD22" s="93"/>
      <c r="QUE22" s="93"/>
      <c r="QUF22" s="93"/>
      <c r="QUG22" s="93"/>
      <c r="QUH22" s="93"/>
      <c r="QUI22" s="93"/>
      <c r="QUJ22" s="93"/>
      <c r="QUK22" s="93"/>
      <c r="QUL22" s="93"/>
      <c r="QUM22" s="93"/>
      <c r="QUN22" s="93"/>
      <c r="QUO22" s="93"/>
      <c r="QUP22" s="93"/>
      <c r="QUQ22" s="93"/>
      <c r="QUR22" s="93"/>
      <c r="QUS22" s="93"/>
      <c r="QUT22" s="93"/>
      <c r="QUU22" s="93"/>
      <c r="QUV22" s="93"/>
      <c r="QUW22" s="93"/>
      <c r="QUX22" s="93"/>
      <c r="QUY22" s="93"/>
      <c r="QUZ22" s="93"/>
      <c r="QVA22" s="93"/>
      <c r="QVB22" s="93"/>
      <c r="QVC22" s="93"/>
      <c r="QVD22" s="93"/>
      <c r="QVE22" s="93"/>
      <c r="QVF22" s="93"/>
      <c r="QVG22" s="93"/>
      <c r="QVH22" s="93"/>
      <c r="QVI22" s="93"/>
      <c r="QVJ22" s="93"/>
      <c r="QVK22" s="93"/>
      <c r="QVL22" s="93"/>
      <c r="QVM22" s="93"/>
      <c r="QVN22" s="93"/>
      <c r="QVO22" s="93"/>
      <c r="QVP22" s="93"/>
      <c r="QVQ22" s="93"/>
      <c r="QVR22" s="93"/>
      <c r="QVS22" s="93"/>
      <c r="QVT22" s="93"/>
      <c r="QVU22" s="93"/>
      <c r="QVV22" s="93"/>
      <c r="QVW22" s="93"/>
      <c r="QVX22" s="93"/>
      <c r="QVY22" s="93"/>
      <c r="QVZ22" s="93"/>
      <c r="QWA22" s="93"/>
      <c r="QWB22" s="93"/>
      <c r="QWC22" s="93"/>
      <c r="QWD22" s="93"/>
      <c r="QWE22" s="93"/>
      <c r="QWF22" s="93"/>
      <c r="QWG22" s="93"/>
      <c r="QWH22" s="93"/>
      <c r="QWI22" s="93"/>
      <c r="QWJ22" s="93"/>
      <c r="QWK22" s="93"/>
      <c r="QWL22" s="93"/>
      <c r="QWM22" s="93"/>
      <c r="QWN22" s="93"/>
      <c r="QWO22" s="93"/>
      <c r="QWP22" s="93"/>
      <c r="QWQ22" s="93"/>
      <c r="QWR22" s="93"/>
      <c r="QWS22" s="93"/>
      <c r="QWT22" s="93"/>
      <c r="QWU22" s="93"/>
      <c r="QWV22" s="93"/>
      <c r="QWW22" s="93"/>
      <c r="QWX22" s="93"/>
      <c r="QWY22" s="93"/>
      <c r="QWZ22" s="93"/>
      <c r="QXA22" s="93"/>
      <c r="QXB22" s="93"/>
      <c r="QXC22" s="93"/>
      <c r="QXD22" s="93"/>
      <c r="QXE22" s="93"/>
      <c r="QXF22" s="93"/>
      <c r="QXG22" s="93"/>
      <c r="QXH22" s="93"/>
      <c r="QXI22" s="93"/>
      <c r="QXJ22" s="93"/>
      <c r="QXK22" s="93"/>
      <c r="QXL22" s="93"/>
      <c r="QXM22" s="93"/>
      <c r="QXN22" s="93"/>
      <c r="QXO22" s="93"/>
      <c r="QXP22" s="93"/>
      <c r="QXQ22" s="93"/>
      <c r="QXR22" s="93"/>
      <c r="QXS22" s="93"/>
      <c r="QXT22" s="93"/>
      <c r="QXU22" s="93"/>
      <c r="QXV22" s="93"/>
      <c r="QXW22" s="93"/>
      <c r="QXX22" s="93"/>
      <c r="QXY22" s="93"/>
      <c r="QXZ22" s="93"/>
      <c r="QYA22" s="93"/>
      <c r="QYB22" s="93"/>
      <c r="QYC22" s="93"/>
      <c r="QYD22" s="93"/>
      <c r="QYE22" s="93"/>
      <c r="QYF22" s="93"/>
      <c r="QYG22" s="93"/>
      <c r="QYH22" s="93"/>
      <c r="QYI22" s="93"/>
      <c r="QYJ22" s="93"/>
      <c r="QYK22" s="93"/>
      <c r="QYL22" s="93"/>
      <c r="QYM22" s="93"/>
      <c r="QYN22" s="93"/>
      <c r="QYO22" s="93"/>
      <c r="QYP22" s="93"/>
      <c r="QYQ22" s="93"/>
      <c r="QYR22" s="93"/>
      <c r="QYS22" s="93"/>
      <c r="QYT22" s="93"/>
      <c r="QYU22" s="93"/>
      <c r="QYV22" s="93"/>
      <c r="QYW22" s="93"/>
      <c r="QYX22" s="93"/>
      <c r="QYY22" s="93"/>
      <c r="QYZ22" s="93"/>
      <c r="QZA22" s="93"/>
      <c r="QZB22" s="93"/>
      <c r="QZC22" s="93"/>
      <c r="QZD22" s="93"/>
      <c r="QZE22" s="93"/>
      <c r="QZF22" s="93"/>
      <c r="QZG22" s="93"/>
      <c r="QZH22" s="93"/>
      <c r="QZI22" s="93"/>
      <c r="QZJ22" s="93"/>
      <c r="QZK22" s="93"/>
      <c r="QZL22" s="93"/>
      <c r="QZM22" s="93"/>
      <c r="QZN22" s="93"/>
      <c r="QZO22" s="93"/>
      <c r="QZP22" s="93"/>
      <c r="QZQ22" s="93"/>
      <c r="QZR22" s="93"/>
      <c r="QZS22" s="93"/>
      <c r="QZT22" s="93"/>
      <c r="QZU22" s="93"/>
      <c r="QZV22" s="93"/>
      <c r="QZW22" s="93"/>
      <c r="QZX22" s="93"/>
      <c r="QZY22" s="93"/>
      <c r="QZZ22" s="93"/>
      <c r="RAA22" s="93"/>
      <c r="RAB22" s="93"/>
      <c r="RAC22" s="93"/>
      <c r="RAD22" s="93"/>
      <c r="RAE22" s="93"/>
      <c r="RAF22" s="93"/>
      <c r="RAG22" s="93"/>
      <c r="RAH22" s="93"/>
      <c r="RAI22" s="93"/>
      <c r="RAJ22" s="93"/>
      <c r="RAK22" s="93"/>
      <c r="RAL22" s="93"/>
      <c r="RAM22" s="93"/>
      <c r="RAN22" s="93"/>
      <c r="RAO22" s="93"/>
      <c r="RAP22" s="93"/>
      <c r="RAQ22" s="93"/>
      <c r="RAR22" s="93"/>
      <c r="RAS22" s="93"/>
      <c r="RAT22" s="93"/>
      <c r="RAU22" s="93"/>
      <c r="RAV22" s="93"/>
      <c r="RAW22" s="93"/>
      <c r="RAX22" s="93"/>
      <c r="RAY22" s="93"/>
      <c r="RAZ22" s="93"/>
      <c r="RBA22" s="93"/>
      <c r="RBB22" s="93"/>
      <c r="RBC22" s="93"/>
      <c r="RBD22" s="93"/>
      <c r="RBE22" s="93"/>
      <c r="RBF22" s="93"/>
      <c r="RBG22" s="93"/>
      <c r="RBH22" s="93"/>
      <c r="RBI22" s="93"/>
      <c r="RBJ22" s="93"/>
      <c r="RBK22" s="93"/>
      <c r="RBL22" s="93"/>
      <c r="RBM22" s="93"/>
      <c r="RBN22" s="93"/>
      <c r="RBO22" s="93"/>
      <c r="RBP22" s="93"/>
      <c r="RBQ22" s="93"/>
      <c r="RBR22" s="93"/>
      <c r="RBS22" s="93"/>
      <c r="RBT22" s="93"/>
      <c r="RBU22" s="93"/>
      <c r="RBV22" s="93"/>
      <c r="RBW22" s="93"/>
      <c r="RBX22" s="93"/>
      <c r="RBY22" s="93"/>
      <c r="RBZ22" s="93"/>
      <c r="RCA22" s="93"/>
      <c r="RCB22" s="93"/>
      <c r="RCC22" s="93"/>
      <c r="RCD22" s="93"/>
      <c r="RCE22" s="93"/>
      <c r="RCF22" s="93"/>
      <c r="RCG22" s="93"/>
      <c r="RCH22" s="93"/>
      <c r="RCI22" s="93"/>
      <c r="RCJ22" s="93"/>
      <c r="RCK22" s="93"/>
      <c r="RCL22" s="93"/>
      <c r="RCM22" s="93"/>
      <c r="RCN22" s="93"/>
      <c r="RCO22" s="93"/>
      <c r="RCP22" s="93"/>
      <c r="RCQ22" s="93"/>
      <c r="RCR22" s="93"/>
      <c r="RCS22" s="93"/>
      <c r="RCT22" s="93"/>
      <c r="RCU22" s="93"/>
      <c r="RCV22" s="93"/>
      <c r="RCW22" s="93"/>
      <c r="RCX22" s="93"/>
      <c r="RCY22" s="93"/>
      <c r="RCZ22" s="93"/>
      <c r="RDA22" s="93"/>
      <c r="RDB22" s="93"/>
      <c r="RDC22" s="93"/>
      <c r="RDD22" s="93"/>
      <c r="RDE22" s="93"/>
      <c r="RDF22" s="93"/>
      <c r="RDG22" s="93"/>
      <c r="RDH22" s="93"/>
      <c r="RDI22" s="93"/>
      <c r="RDJ22" s="93"/>
      <c r="RDK22" s="93"/>
      <c r="RDL22" s="93"/>
      <c r="RDM22" s="93"/>
      <c r="RDN22" s="93"/>
      <c r="RDO22" s="93"/>
      <c r="RDP22" s="93"/>
      <c r="RDQ22" s="93"/>
      <c r="RDR22" s="93"/>
      <c r="RDS22" s="93"/>
      <c r="RDT22" s="93"/>
      <c r="RDU22" s="93"/>
      <c r="RDV22" s="93"/>
      <c r="RDW22" s="93"/>
      <c r="RDX22" s="93"/>
      <c r="RDY22" s="93"/>
      <c r="RDZ22" s="93"/>
      <c r="REA22" s="93"/>
      <c r="REB22" s="93"/>
      <c r="REC22" s="93"/>
      <c r="RED22" s="93"/>
      <c r="REE22" s="93"/>
      <c r="REF22" s="93"/>
      <c r="REG22" s="93"/>
      <c r="REH22" s="93"/>
      <c r="REI22" s="93"/>
      <c r="REJ22" s="93"/>
      <c r="REK22" s="93"/>
      <c r="REL22" s="93"/>
      <c r="REM22" s="93"/>
      <c r="REN22" s="93"/>
      <c r="REO22" s="93"/>
      <c r="REP22" s="93"/>
      <c r="REQ22" s="93"/>
      <c r="RER22" s="93"/>
      <c r="RES22" s="93"/>
      <c r="RET22" s="93"/>
      <c r="REU22" s="93"/>
      <c r="REV22" s="93"/>
      <c r="REW22" s="93"/>
      <c r="REX22" s="93"/>
      <c r="REY22" s="93"/>
      <c r="REZ22" s="93"/>
      <c r="RFA22" s="93"/>
      <c r="RFB22" s="93"/>
      <c r="RFC22" s="93"/>
      <c r="RFD22" s="93"/>
      <c r="RFE22" s="93"/>
      <c r="RFF22" s="93"/>
      <c r="RFG22" s="93"/>
      <c r="RFH22" s="93"/>
      <c r="RFI22" s="93"/>
      <c r="RFJ22" s="93"/>
      <c r="RFK22" s="93"/>
      <c r="RFL22" s="93"/>
      <c r="RFM22" s="93"/>
      <c r="RFN22" s="93"/>
      <c r="RFO22" s="93"/>
      <c r="RFP22" s="93"/>
      <c r="RFQ22" s="93"/>
      <c r="RFR22" s="93"/>
      <c r="RFS22" s="93"/>
      <c r="RFT22" s="93"/>
      <c r="RFU22" s="93"/>
      <c r="RFV22" s="93"/>
      <c r="RFW22" s="93"/>
      <c r="RFX22" s="93"/>
      <c r="RFY22" s="93"/>
      <c r="RFZ22" s="93"/>
      <c r="RGA22" s="93"/>
      <c r="RGB22" s="93"/>
      <c r="RGC22" s="93"/>
      <c r="RGD22" s="93"/>
      <c r="RGE22" s="93"/>
      <c r="RGF22" s="93"/>
      <c r="RGG22" s="93"/>
      <c r="RGH22" s="93"/>
      <c r="RGI22" s="93"/>
      <c r="RGJ22" s="93"/>
      <c r="RGK22" s="93"/>
      <c r="RGL22" s="93"/>
      <c r="RGM22" s="93"/>
      <c r="RGN22" s="93"/>
      <c r="RGO22" s="93"/>
      <c r="RGP22" s="93"/>
      <c r="RGQ22" s="93"/>
      <c r="RGR22" s="93"/>
      <c r="RGS22" s="93"/>
      <c r="RGT22" s="93"/>
      <c r="RGU22" s="93"/>
      <c r="RGV22" s="93"/>
      <c r="RGW22" s="93"/>
      <c r="RGX22" s="93"/>
      <c r="RGY22" s="93"/>
      <c r="RGZ22" s="93"/>
      <c r="RHA22" s="93"/>
      <c r="RHB22" s="93"/>
      <c r="RHC22" s="93"/>
      <c r="RHD22" s="93"/>
      <c r="RHE22" s="93"/>
      <c r="RHF22" s="93"/>
      <c r="RHG22" s="93"/>
      <c r="RHH22" s="93"/>
      <c r="RHI22" s="93"/>
      <c r="RHJ22" s="93"/>
      <c r="RHK22" s="93"/>
      <c r="RHL22" s="93"/>
      <c r="RHM22" s="93"/>
      <c r="RHN22" s="93"/>
      <c r="RHO22" s="93"/>
      <c r="RHP22" s="93"/>
      <c r="RHQ22" s="93"/>
      <c r="RHR22" s="93"/>
      <c r="RHS22" s="93"/>
      <c r="RHT22" s="93"/>
      <c r="RHU22" s="93"/>
      <c r="RHV22" s="93"/>
      <c r="RHW22" s="93"/>
      <c r="RHX22" s="93"/>
      <c r="RHY22" s="93"/>
      <c r="RHZ22" s="93"/>
      <c r="RIA22" s="93"/>
      <c r="RIB22" s="93"/>
      <c r="RIC22" s="93"/>
      <c r="RID22" s="93"/>
      <c r="RIE22" s="93"/>
      <c r="RIF22" s="93"/>
      <c r="RIG22" s="93"/>
      <c r="RIH22" s="93"/>
      <c r="RII22" s="93"/>
      <c r="RIJ22" s="93"/>
      <c r="RIK22" s="93"/>
      <c r="RIL22" s="93"/>
      <c r="RIM22" s="93"/>
      <c r="RIN22" s="93"/>
      <c r="RIO22" s="93"/>
      <c r="RIP22" s="93"/>
      <c r="RIQ22" s="93"/>
      <c r="RIR22" s="93"/>
      <c r="RIS22" s="93"/>
      <c r="RIT22" s="93"/>
      <c r="RIU22" s="93"/>
      <c r="RIV22" s="93"/>
      <c r="RIW22" s="93"/>
      <c r="RIX22" s="93"/>
      <c r="RIY22" s="93"/>
      <c r="RIZ22" s="93"/>
      <c r="RJA22" s="93"/>
      <c r="RJB22" s="93"/>
      <c r="RJC22" s="93"/>
      <c r="RJD22" s="93"/>
      <c r="RJE22" s="93"/>
      <c r="RJF22" s="93"/>
      <c r="RJG22" s="93"/>
      <c r="RJH22" s="93"/>
      <c r="RJI22" s="93"/>
      <c r="RJJ22" s="93"/>
      <c r="RJK22" s="93"/>
      <c r="RJL22" s="93"/>
      <c r="RJM22" s="93"/>
      <c r="RJN22" s="93"/>
      <c r="RJO22" s="93"/>
      <c r="RJP22" s="93"/>
      <c r="RJQ22" s="93"/>
      <c r="RJR22" s="93"/>
      <c r="RJS22" s="93"/>
      <c r="RJT22" s="93"/>
      <c r="RJU22" s="93"/>
      <c r="RJV22" s="93"/>
      <c r="RJW22" s="93"/>
      <c r="RJX22" s="93"/>
      <c r="RJY22" s="93"/>
      <c r="RJZ22" s="93"/>
      <c r="RKA22" s="93"/>
      <c r="RKB22" s="93"/>
      <c r="RKC22" s="93"/>
      <c r="RKD22" s="93"/>
      <c r="RKE22" s="93"/>
      <c r="RKF22" s="93"/>
      <c r="RKG22" s="93"/>
      <c r="RKH22" s="93"/>
      <c r="RKI22" s="93"/>
      <c r="RKJ22" s="93"/>
      <c r="RKK22" s="93"/>
      <c r="RKL22" s="93"/>
      <c r="RKM22" s="93"/>
      <c r="RKN22" s="93"/>
      <c r="RKO22" s="93"/>
      <c r="RKP22" s="93"/>
      <c r="RKQ22" s="93"/>
      <c r="RKR22" s="93"/>
      <c r="RKS22" s="93"/>
      <c r="RKT22" s="93"/>
      <c r="RKU22" s="93"/>
      <c r="RKV22" s="93"/>
      <c r="RKW22" s="93"/>
      <c r="RKX22" s="93"/>
      <c r="RKY22" s="93"/>
      <c r="RKZ22" s="93"/>
      <c r="RLA22" s="93"/>
      <c r="RLB22" s="93"/>
      <c r="RLC22" s="93"/>
      <c r="RLD22" s="93"/>
      <c r="RLE22" s="93"/>
      <c r="RLF22" s="93"/>
      <c r="RLG22" s="93"/>
      <c r="RLH22" s="93"/>
      <c r="RLI22" s="93"/>
      <c r="RLJ22" s="93"/>
      <c r="RLK22" s="93"/>
      <c r="RLL22" s="93"/>
      <c r="RLM22" s="93"/>
      <c r="RLN22" s="93"/>
      <c r="RLO22" s="93"/>
      <c r="RLP22" s="93"/>
      <c r="RLQ22" s="93"/>
      <c r="RLR22" s="93"/>
      <c r="RLS22" s="93"/>
      <c r="RLT22" s="93"/>
      <c r="RLU22" s="93"/>
      <c r="RLV22" s="93"/>
      <c r="RLW22" s="93"/>
      <c r="RLX22" s="93"/>
      <c r="RLY22" s="93"/>
      <c r="RLZ22" s="93"/>
      <c r="RMA22" s="93"/>
      <c r="RMB22" s="93"/>
      <c r="RMC22" s="93"/>
      <c r="RMD22" s="93"/>
      <c r="RME22" s="93"/>
      <c r="RMF22" s="93"/>
      <c r="RMG22" s="93"/>
      <c r="RMH22" s="93"/>
      <c r="RMI22" s="93"/>
      <c r="RMJ22" s="93"/>
      <c r="RMK22" s="93"/>
      <c r="RML22" s="93"/>
      <c r="RMM22" s="93"/>
      <c r="RMN22" s="93"/>
      <c r="RMO22" s="93"/>
      <c r="RMP22" s="93"/>
      <c r="RMQ22" s="93"/>
      <c r="RMR22" s="93"/>
      <c r="RMS22" s="93"/>
      <c r="RMT22" s="93"/>
      <c r="RMU22" s="93"/>
      <c r="RMV22" s="93"/>
      <c r="RMW22" s="93"/>
      <c r="RMX22" s="93"/>
      <c r="RMY22" s="93"/>
      <c r="RMZ22" s="93"/>
      <c r="RNA22" s="93"/>
      <c r="RNB22" s="93"/>
      <c r="RNC22" s="93"/>
      <c r="RND22" s="93"/>
      <c r="RNE22" s="93"/>
      <c r="RNF22" s="93"/>
      <c r="RNG22" s="93"/>
      <c r="RNH22" s="93"/>
      <c r="RNI22" s="93"/>
      <c r="RNJ22" s="93"/>
      <c r="RNK22" s="93"/>
      <c r="RNL22" s="93"/>
      <c r="RNM22" s="93"/>
      <c r="RNN22" s="93"/>
      <c r="RNO22" s="93"/>
      <c r="RNP22" s="93"/>
      <c r="RNQ22" s="93"/>
      <c r="RNR22" s="93"/>
      <c r="RNS22" s="93"/>
      <c r="RNT22" s="93"/>
      <c r="RNU22" s="93"/>
      <c r="RNV22" s="93"/>
      <c r="RNW22" s="93"/>
      <c r="RNX22" s="93"/>
      <c r="RNY22" s="93"/>
      <c r="RNZ22" s="93"/>
      <c r="ROA22" s="93"/>
      <c r="ROB22" s="93"/>
      <c r="ROC22" s="93"/>
      <c r="ROD22" s="93"/>
      <c r="ROE22" s="93"/>
      <c r="ROF22" s="93"/>
      <c r="ROG22" s="93"/>
      <c r="ROH22" s="93"/>
      <c r="ROI22" s="93"/>
      <c r="ROJ22" s="93"/>
      <c r="ROK22" s="93"/>
      <c r="ROL22" s="93"/>
      <c r="ROM22" s="93"/>
      <c r="RON22" s="93"/>
      <c r="ROO22" s="93"/>
      <c r="ROP22" s="93"/>
      <c r="ROQ22" s="93"/>
      <c r="ROR22" s="93"/>
      <c r="ROS22" s="93"/>
      <c r="ROT22" s="93"/>
      <c r="ROU22" s="93"/>
      <c r="ROV22" s="93"/>
      <c r="ROW22" s="93"/>
      <c r="ROX22" s="93"/>
      <c r="ROY22" s="93"/>
      <c r="ROZ22" s="93"/>
      <c r="RPA22" s="93"/>
      <c r="RPB22" s="93"/>
      <c r="RPC22" s="93"/>
      <c r="RPD22" s="93"/>
      <c r="RPE22" s="93"/>
      <c r="RPF22" s="93"/>
      <c r="RPG22" s="93"/>
      <c r="RPH22" s="93"/>
      <c r="RPI22" s="93"/>
      <c r="RPJ22" s="93"/>
      <c r="RPK22" s="93"/>
      <c r="RPL22" s="93"/>
      <c r="RPM22" s="93"/>
      <c r="RPN22" s="93"/>
      <c r="RPO22" s="93"/>
      <c r="RPP22" s="93"/>
      <c r="RPQ22" s="93"/>
      <c r="RPR22" s="93"/>
      <c r="RPS22" s="93"/>
      <c r="RPT22" s="93"/>
      <c r="RPU22" s="93"/>
      <c r="RPV22" s="93"/>
      <c r="RPW22" s="93"/>
      <c r="RPX22" s="93"/>
      <c r="RPY22" s="93"/>
      <c r="RPZ22" s="93"/>
      <c r="RQA22" s="93"/>
      <c r="RQB22" s="93"/>
      <c r="RQC22" s="93"/>
      <c r="RQD22" s="93"/>
      <c r="RQE22" s="93"/>
      <c r="RQF22" s="93"/>
      <c r="RQG22" s="93"/>
      <c r="RQH22" s="93"/>
      <c r="RQI22" s="93"/>
      <c r="RQJ22" s="93"/>
      <c r="RQK22" s="93"/>
      <c r="RQL22" s="93"/>
      <c r="RQM22" s="93"/>
      <c r="RQN22" s="93"/>
      <c r="RQO22" s="93"/>
      <c r="RQP22" s="93"/>
      <c r="RQQ22" s="93"/>
      <c r="RQR22" s="93"/>
      <c r="RQS22" s="93"/>
      <c r="RQT22" s="93"/>
      <c r="RQU22" s="93"/>
      <c r="RQV22" s="93"/>
      <c r="RQW22" s="93"/>
      <c r="RQX22" s="93"/>
      <c r="RQY22" s="93"/>
      <c r="RQZ22" s="93"/>
      <c r="RRA22" s="93"/>
      <c r="RRB22" s="93"/>
      <c r="RRC22" s="93"/>
      <c r="RRD22" s="93"/>
      <c r="RRE22" s="93"/>
      <c r="RRF22" s="93"/>
      <c r="RRG22" s="93"/>
      <c r="RRH22" s="93"/>
      <c r="RRI22" s="93"/>
      <c r="RRJ22" s="93"/>
      <c r="RRK22" s="93"/>
      <c r="RRL22" s="93"/>
      <c r="RRM22" s="93"/>
      <c r="RRN22" s="93"/>
      <c r="RRO22" s="93"/>
      <c r="RRP22" s="93"/>
      <c r="RRQ22" s="93"/>
      <c r="RRR22" s="93"/>
      <c r="RRS22" s="93"/>
      <c r="RRT22" s="93"/>
      <c r="RRU22" s="93"/>
      <c r="RRV22" s="93"/>
      <c r="RRW22" s="93"/>
      <c r="RRX22" s="93"/>
      <c r="RRY22" s="93"/>
      <c r="RRZ22" s="93"/>
      <c r="RSA22" s="93"/>
      <c r="RSB22" s="93"/>
      <c r="RSC22" s="93"/>
      <c r="RSD22" s="93"/>
      <c r="RSE22" s="93"/>
      <c r="RSF22" s="93"/>
      <c r="RSG22" s="93"/>
      <c r="RSH22" s="93"/>
      <c r="RSI22" s="93"/>
      <c r="RSJ22" s="93"/>
      <c r="RSK22" s="93"/>
      <c r="RSL22" s="93"/>
      <c r="RSM22" s="93"/>
      <c r="RSN22" s="93"/>
      <c r="RSO22" s="93"/>
      <c r="RSP22" s="93"/>
      <c r="RSQ22" s="93"/>
      <c r="RSR22" s="93"/>
      <c r="RSS22" s="93"/>
      <c r="RST22" s="93"/>
      <c r="RSU22" s="93"/>
      <c r="RSV22" s="93"/>
      <c r="RSW22" s="93"/>
      <c r="RSX22" s="93"/>
      <c r="RSY22" s="93"/>
      <c r="RSZ22" s="93"/>
      <c r="RTA22" s="93"/>
      <c r="RTB22" s="93"/>
      <c r="RTC22" s="93"/>
      <c r="RTD22" s="93"/>
      <c r="RTE22" s="93"/>
      <c r="RTF22" s="93"/>
      <c r="RTG22" s="93"/>
      <c r="RTH22" s="93"/>
      <c r="RTI22" s="93"/>
      <c r="RTJ22" s="93"/>
      <c r="RTK22" s="93"/>
      <c r="RTL22" s="93"/>
      <c r="RTM22" s="93"/>
      <c r="RTN22" s="93"/>
      <c r="RTO22" s="93"/>
      <c r="RTP22" s="93"/>
      <c r="RTQ22" s="93"/>
      <c r="RTR22" s="93"/>
      <c r="RTS22" s="93"/>
      <c r="RTT22" s="93"/>
      <c r="RTU22" s="93"/>
      <c r="RTV22" s="93"/>
      <c r="RTW22" s="93"/>
      <c r="RTX22" s="93"/>
      <c r="RTY22" s="93"/>
      <c r="RTZ22" s="93"/>
      <c r="RUA22" s="93"/>
      <c r="RUB22" s="93"/>
      <c r="RUC22" s="93"/>
      <c r="RUD22" s="93"/>
      <c r="RUE22" s="93"/>
      <c r="RUF22" s="93"/>
      <c r="RUG22" s="93"/>
      <c r="RUH22" s="93"/>
      <c r="RUI22" s="93"/>
      <c r="RUJ22" s="93"/>
      <c r="RUK22" s="93"/>
      <c r="RUL22" s="93"/>
      <c r="RUM22" s="93"/>
      <c r="RUN22" s="93"/>
      <c r="RUO22" s="93"/>
      <c r="RUP22" s="93"/>
      <c r="RUQ22" s="93"/>
      <c r="RUR22" s="93"/>
      <c r="RUS22" s="93"/>
      <c r="RUT22" s="93"/>
      <c r="RUU22" s="93"/>
      <c r="RUV22" s="93"/>
      <c r="RUW22" s="93"/>
      <c r="RUX22" s="93"/>
      <c r="RUY22" s="93"/>
      <c r="RUZ22" s="93"/>
      <c r="RVA22" s="93"/>
      <c r="RVB22" s="93"/>
      <c r="RVC22" s="93"/>
      <c r="RVD22" s="93"/>
      <c r="RVE22" s="93"/>
      <c r="RVF22" s="93"/>
      <c r="RVG22" s="93"/>
      <c r="RVH22" s="93"/>
      <c r="RVI22" s="93"/>
      <c r="RVJ22" s="93"/>
      <c r="RVK22" s="93"/>
      <c r="RVL22" s="93"/>
      <c r="RVM22" s="93"/>
      <c r="RVN22" s="93"/>
      <c r="RVO22" s="93"/>
      <c r="RVP22" s="93"/>
      <c r="RVQ22" s="93"/>
      <c r="RVR22" s="93"/>
      <c r="RVS22" s="93"/>
      <c r="RVT22" s="93"/>
      <c r="RVU22" s="93"/>
      <c r="RVV22" s="93"/>
      <c r="RVW22" s="93"/>
      <c r="RVX22" s="93"/>
      <c r="RVY22" s="93"/>
      <c r="RVZ22" s="93"/>
      <c r="RWA22" s="93"/>
      <c r="RWB22" s="93"/>
      <c r="RWC22" s="93"/>
      <c r="RWD22" s="93"/>
      <c r="RWE22" s="93"/>
      <c r="RWF22" s="93"/>
      <c r="RWG22" s="93"/>
      <c r="RWH22" s="93"/>
      <c r="RWI22" s="93"/>
      <c r="RWJ22" s="93"/>
      <c r="RWK22" s="93"/>
      <c r="RWL22" s="93"/>
      <c r="RWM22" s="93"/>
      <c r="RWN22" s="93"/>
      <c r="RWO22" s="93"/>
      <c r="RWP22" s="93"/>
      <c r="RWQ22" s="93"/>
      <c r="RWR22" s="93"/>
      <c r="RWS22" s="93"/>
      <c r="RWT22" s="93"/>
      <c r="RWU22" s="93"/>
      <c r="RWV22" s="93"/>
      <c r="RWW22" s="93"/>
      <c r="RWX22" s="93"/>
      <c r="RWY22" s="93"/>
      <c r="RWZ22" s="93"/>
      <c r="RXA22" s="93"/>
      <c r="RXB22" s="93"/>
      <c r="RXC22" s="93"/>
      <c r="RXD22" s="93"/>
      <c r="RXE22" s="93"/>
      <c r="RXF22" s="93"/>
      <c r="RXG22" s="93"/>
      <c r="RXH22" s="93"/>
      <c r="RXI22" s="93"/>
      <c r="RXJ22" s="93"/>
      <c r="RXK22" s="93"/>
      <c r="RXL22" s="93"/>
      <c r="RXM22" s="93"/>
      <c r="RXN22" s="93"/>
      <c r="RXO22" s="93"/>
      <c r="RXP22" s="93"/>
      <c r="RXQ22" s="93"/>
      <c r="RXR22" s="93"/>
      <c r="RXS22" s="93"/>
      <c r="RXT22" s="93"/>
      <c r="RXU22" s="93"/>
      <c r="RXV22" s="93"/>
      <c r="RXW22" s="93"/>
      <c r="RXX22" s="93"/>
      <c r="RXY22" s="93"/>
      <c r="RXZ22" s="93"/>
      <c r="RYA22" s="93"/>
      <c r="RYB22" s="93"/>
      <c r="RYC22" s="93"/>
      <c r="RYD22" s="93"/>
      <c r="RYE22" s="93"/>
      <c r="RYF22" s="93"/>
      <c r="RYG22" s="93"/>
      <c r="RYH22" s="93"/>
      <c r="RYI22" s="93"/>
      <c r="RYJ22" s="93"/>
      <c r="RYK22" s="93"/>
      <c r="RYL22" s="93"/>
      <c r="RYM22" s="93"/>
      <c r="RYN22" s="93"/>
      <c r="RYO22" s="93"/>
      <c r="RYP22" s="93"/>
      <c r="RYQ22" s="93"/>
      <c r="RYR22" s="93"/>
      <c r="RYS22" s="93"/>
      <c r="RYT22" s="93"/>
      <c r="RYU22" s="93"/>
      <c r="RYV22" s="93"/>
      <c r="RYW22" s="93"/>
      <c r="RYX22" s="93"/>
      <c r="RYY22" s="93"/>
      <c r="RYZ22" s="93"/>
      <c r="RZA22" s="93"/>
      <c r="RZB22" s="93"/>
      <c r="RZC22" s="93"/>
      <c r="RZD22" s="93"/>
      <c r="RZE22" s="93"/>
      <c r="RZF22" s="93"/>
      <c r="RZG22" s="93"/>
      <c r="RZH22" s="93"/>
      <c r="RZI22" s="93"/>
      <c r="RZJ22" s="93"/>
      <c r="RZK22" s="93"/>
      <c r="RZL22" s="93"/>
      <c r="RZM22" s="93"/>
      <c r="RZN22" s="93"/>
      <c r="RZO22" s="93"/>
      <c r="RZP22" s="93"/>
      <c r="RZQ22" s="93"/>
      <c r="RZR22" s="93"/>
      <c r="RZS22" s="93"/>
      <c r="RZT22" s="93"/>
      <c r="RZU22" s="93"/>
      <c r="RZV22" s="93"/>
      <c r="RZW22" s="93"/>
      <c r="RZX22" s="93"/>
      <c r="RZY22" s="93"/>
      <c r="RZZ22" s="93"/>
      <c r="SAA22" s="93"/>
      <c r="SAB22" s="93"/>
      <c r="SAC22" s="93"/>
      <c r="SAD22" s="93"/>
      <c r="SAE22" s="93"/>
      <c r="SAF22" s="93"/>
      <c r="SAG22" s="93"/>
      <c r="SAH22" s="93"/>
      <c r="SAI22" s="93"/>
      <c r="SAJ22" s="93"/>
      <c r="SAK22" s="93"/>
      <c r="SAL22" s="93"/>
      <c r="SAM22" s="93"/>
      <c r="SAN22" s="93"/>
      <c r="SAO22" s="93"/>
      <c r="SAP22" s="93"/>
      <c r="SAQ22" s="93"/>
      <c r="SAR22" s="93"/>
      <c r="SAS22" s="93"/>
      <c r="SAT22" s="93"/>
      <c r="SAU22" s="93"/>
      <c r="SAV22" s="93"/>
      <c r="SAW22" s="93"/>
      <c r="SAX22" s="93"/>
      <c r="SAY22" s="93"/>
      <c r="SAZ22" s="93"/>
      <c r="SBA22" s="93"/>
      <c r="SBB22" s="93"/>
      <c r="SBC22" s="93"/>
      <c r="SBD22" s="93"/>
      <c r="SBE22" s="93"/>
      <c r="SBF22" s="93"/>
      <c r="SBG22" s="93"/>
      <c r="SBH22" s="93"/>
      <c r="SBI22" s="93"/>
      <c r="SBJ22" s="93"/>
      <c r="SBK22" s="93"/>
      <c r="SBL22" s="93"/>
      <c r="SBM22" s="93"/>
      <c r="SBN22" s="93"/>
      <c r="SBO22" s="93"/>
      <c r="SBP22" s="93"/>
      <c r="SBQ22" s="93"/>
      <c r="SBR22" s="93"/>
      <c r="SBS22" s="93"/>
      <c r="SBT22" s="93"/>
      <c r="SBU22" s="93"/>
      <c r="SBV22" s="93"/>
      <c r="SBW22" s="93"/>
      <c r="SBX22" s="93"/>
      <c r="SBY22" s="93"/>
      <c r="SBZ22" s="93"/>
      <c r="SCA22" s="93"/>
      <c r="SCB22" s="93"/>
      <c r="SCC22" s="93"/>
      <c r="SCD22" s="93"/>
      <c r="SCE22" s="93"/>
      <c r="SCF22" s="93"/>
      <c r="SCG22" s="93"/>
      <c r="SCH22" s="93"/>
      <c r="SCI22" s="93"/>
      <c r="SCJ22" s="93"/>
      <c r="SCK22" s="93"/>
      <c r="SCL22" s="93"/>
      <c r="SCM22" s="93"/>
      <c r="SCN22" s="93"/>
      <c r="SCO22" s="93"/>
      <c r="SCP22" s="93"/>
      <c r="SCQ22" s="93"/>
      <c r="SCR22" s="93"/>
      <c r="SCS22" s="93"/>
      <c r="SCT22" s="93"/>
      <c r="SCU22" s="93"/>
      <c r="SCV22" s="93"/>
      <c r="SCW22" s="93"/>
      <c r="SCX22" s="93"/>
      <c r="SCY22" s="93"/>
      <c r="SCZ22" s="93"/>
      <c r="SDA22" s="93"/>
      <c r="SDB22" s="93"/>
      <c r="SDC22" s="93"/>
      <c r="SDD22" s="93"/>
      <c r="SDE22" s="93"/>
      <c r="SDF22" s="93"/>
      <c r="SDG22" s="93"/>
      <c r="SDH22" s="93"/>
      <c r="SDI22" s="93"/>
      <c r="SDJ22" s="93"/>
      <c r="SDK22" s="93"/>
      <c r="SDL22" s="93"/>
      <c r="SDM22" s="93"/>
      <c r="SDN22" s="93"/>
      <c r="SDO22" s="93"/>
      <c r="SDP22" s="93"/>
      <c r="SDQ22" s="93"/>
      <c r="SDR22" s="93"/>
      <c r="SDS22" s="93"/>
      <c r="SDT22" s="93"/>
      <c r="SDU22" s="93"/>
      <c r="SDV22" s="93"/>
      <c r="SDW22" s="93"/>
      <c r="SDX22" s="93"/>
      <c r="SDY22" s="93"/>
      <c r="SDZ22" s="93"/>
      <c r="SEA22" s="93"/>
      <c r="SEB22" s="93"/>
      <c r="SEC22" s="93"/>
      <c r="SED22" s="93"/>
      <c r="SEE22" s="93"/>
      <c r="SEF22" s="93"/>
      <c r="SEG22" s="93"/>
      <c r="SEH22" s="93"/>
      <c r="SEI22" s="93"/>
      <c r="SEJ22" s="93"/>
      <c r="SEK22" s="93"/>
      <c r="SEL22" s="93"/>
      <c r="SEM22" s="93"/>
      <c r="SEN22" s="93"/>
      <c r="SEO22" s="93"/>
      <c r="SEP22" s="93"/>
      <c r="SEQ22" s="93"/>
      <c r="SER22" s="93"/>
      <c r="SES22" s="93"/>
      <c r="SET22" s="93"/>
      <c r="SEU22" s="93"/>
      <c r="SEV22" s="93"/>
      <c r="SEW22" s="93"/>
      <c r="SEX22" s="93"/>
      <c r="SEY22" s="93"/>
      <c r="SEZ22" s="93"/>
      <c r="SFA22" s="93"/>
      <c r="SFB22" s="93"/>
      <c r="SFC22" s="93"/>
      <c r="SFD22" s="93"/>
      <c r="SFE22" s="93"/>
      <c r="SFF22" s="93"/>
      <c r="SFG22" s="93"/>
      <c r="SFH22" s="93"/>
      <c r="SFI22" s="93"/>
      <c r="SFJ22" s="93"/>
      <c r="SFK22" s="93"/>
      <c r="SFL22" s="93"/>
      <c r="SFM22" s="93"/>
      <c r="SFN22" s="93"/>
      <c r="SFO22" s="93"/>
      <c r="SFP22" s="93"/>
      <c r="SFQ22" s="93"/>
      <c r="SFR22" s="93"/>
      <c r="SFS22" s="93"/>
      <c r="SFT22" s="93"/>
      <c r="SFU22" s="93"/>
      <c r="SFV22" s="93"/>
      <c r="SFW22" s="93"/>
      <c r="SFX22" s="93"/>
      <c r="SFY22" s="93"/>
      <c r="SFZ22" s="93"/>
      <c r="SGA22" s="93"/>
      <c r="SGB22" s="93"/>
      <c r="SGC22" s="93"/>
      <c r="SGD22" s="93"/>
      <c r="SGE22" s="93"/>
      <c r="SGF22" s="93"/>
      <c r="SGG22" s="93"/>
      <c r="SGH22" s="93"/>
      <c r="SGI22" s="93"/>
      <c r="SGJ22" s="93"/>
      <c r="SGK22" s="93"/>
      <c r="SGL22" s="93"/>
      <c r="SGM22" s="93"/>
      <c r="SGN22" s="93"/>
      <c r="SGO22" s="93"/>
      <c r="SGP22" s="93"/>
      <c r="SGQ22" s="93"/>
      <c r="SGR22" s="93"/>
      <c r="SGS22" s="93"/>
      <c r="SGT22" s="93"/>
      <c r="SGU22" s="93"/>
      <c r="SGV22" s="93"/>
      <c r="SGW22" s="93"/>
      <c r="SGX22" s="93"/>
      <c r="SGY22" s="93"/>
      <c r="SGZ22" s="93"/>
      <c r="SHA22" s="93"/>
      <c r="SHB22" s="93"/>
      <c r="SHC22" s="93"/>
      <c r="SHD22" s="93"/>
      <c r="SHE22" s="93"/>
      <c r="SHF22" s="93"/>
      <c r="SHG22" s="93"/>
      <c r="SHH22" s="93"/>
      <c r="SHI22" s="93"/>
      <c r="SHJ22" s="93"/>
      <c r="SHK22" s="93"/>
      <c r="SHL22" s="93"/>
      <c r="SHM22" s="93"/>
      <c r="SHN22" s="93"/>
      <c r="SHO22" s="93"/>
      <c r="SHP22" s="93"/>
      <c r="SHQ22" s="93"/>
      <c r="SHR22" s="93"/>
      <c r="SHS22" s="93"/>
      <c r="SHT22" s="93"/>
      <c r="SHU22" s="93"/>
      <c r="SHV22" s="93"/>
      <c r="SHW22" s="93"/>
      <c r="SHX22" s="93"/>
      <c r="SHY22" s="93"/>
      <c r="SHZ22" s="93"/>
      <c r="SIA22" s="93"/>
      <c r="SIB22" s="93"/>
      <c r="SIC22" s="93"/>
      <c r="SID22" s="93"/>
      <c r="SIE22" s="93"/>
      <c r="SIF22" s="93"/>
      <c r="SIG22" s="93"/>
      <c r="SIH22" s="93"/>
      <c r="SII22" s="93"/>
      <c r="SIJ22" s="93"/>
      <c r="SIK22" s="93"/>
      <c r="SIL22" s="93"/>
      <c r="SIM22" s="93"/>
      <c r="SIN22" s="93"/>
      <c r="SIO22" s="93"/>
      <c r="SIP22" s="93"/>
      <c r="SIQ22" s="93"/>
      <c r="SIR22" s="93"/>
      <c r="SIS22" s="93"/>
      <c r="SIT22" s="93"/>
      <c r="SIU22" s="93"/>
      <c r="SIV22" s="93"/>
      <c r="SIW22" s="93"/>
      <c r="SIX22" s="93"/>
      <c r="SIY22" s="93"/>
      <c r="SIZ22" s="93"/>
      <c r="SJA22" s="93"/>
      <c r="SJB22" s="93"/>
      <c r="SJC22" s="93"/>
      <c r="SJD22" s="93"/>
      <c r="SJE22" s="93"/>
      <c r="SJF22" s="93"/>
      <c r="SJG22" s="93"/>
      <c r="SJH22" s="93"/>
      <c r="SJI22" s="93"/>
      <c r="SJJ22" s="93"/>
      <c r="SJK22" s="93"/>
      <c r="SJL22" s="93"/>
      <c r="SJM22" s="93"/>
      <c r="SJN22" s="93"/>
      <c r="SJO22" s="93"/>
      <c r="SJP22" s="93"/>
      <c r="SJQ22" s="93"/>
      <c r="SJR22" s="93"/>
      <c r="SJS22" s="93"/>
      <c r="SJT22" s="93"/>
      <c r="SJU22" s="93"/>
      <c r="SJV22" s="93"/>
      <c r="SJW22" s="93"/>
      <c r="SJX22" s="93"/>
      <c r="SJY22" s="93"/>
      <c r="SJZ22" s="93"/>
      <c r="SKA22" s="93"/>
      <c r="SKB22" s="93"/>
      <c r="SKC22" s="93"/>
      <c r="SKD22" s="93"/>
      <c r="SKE22" s="93"/>
      <c r="SKF22" s="93"/>
      <c r="SKG22" s="93"/>
      <c r="SKH22" s="93"/>
      <c r="SKI22" s="93"/>
      <c r="SKJ22" s="93"/>
      <c r="SKK22" s="93"/>
      <c r="SKL22" s="93"/>
      <c r="SKM22" s="93"/>
      <c r="SKN22" s="93"/>
      <c r="SKO22" s="93"/>
      <c r="SKP22" s="93"/>
      <c r="SKQ22" s="93"/>
      <c r="SKR22" s="93"/>
      <c r="SKS22" s="93"/>
      <c r="SKT22" s="93"/>
      <c r="SKU22" s="93"/>
      <c r="SKV22" s="93"/>
      <c r="SKW22" s="93"/>
      <c r="SKX22" s="93"/>
      <c r="SKY22" s="93"/>
      <c r="SKZ22" s="93"/>
      <c r="SLA22" s="93"/>
      <c r="SLB22" s="93"/>
      <c r="SLC22" s="93"/>
      <c r="SLD22" s="93"/>
      <c r="SLE22" s="93"/>
      <c r="SLF22" s="93"/>
      <c r="SLG22" s="93"/>
      <c r="SLH22" s="93"/>
      <c r="SLI22" s="93"/>
      <c r="SLJ22" s="93"/>
      <c r="SLK22" s="93"/>
      <c r="SLL22" s="93"/>
      <c r="SLM22" s="93"/>
      <c r="SLN22" s="93"/>
      <c r="SLO22" s="93"/>
      <c r="SLP22" s="93"/>
      <c r="SLQ22" s="93"/>
      <c r="SLR22" s="93"/>
      <c r="SLS22" s="93"/>
      <c r="SLT22" s="93"/>
      <c r="SLU22" s="93"/>
      <c r="SLV22" s="93"/>
      <c r="SLW22" s="93"/>
      <c r="SLX22" s="93"/>
      <c r="SLY22" s="93"/>
      <c r="SLZ22" s="93"/>
      <c r="SMA22" s="93"/>
      <c r="SMB22" s="93"/>
      <c r="SMC22" s="93"/>
      <c r="SMD22" s="93"/>
      <c r="SME22" s="93"/>
      <c r="SMF22" s="93"/>
      <c r="SMG22" s="93"/>
      <c r="SMH22" s="93"/>
      <c r="SMI22" s="93"/>
      <c r="SMJ22" s="93"/>
      <c r="SMK22" s="93"/>
      <c r="SML22" s="93"/>
      <c r="SMM22" s="93"/>
      <c r="SMN22" s="93"/>
      <c r="SMO22" s="93"/>
      <c r="SMP22" s="93"/>
      <c r="SMQ22" s="93"/>
      <c r="SMR22" s="93"/>
      <c r="SMS22" s="93"/>
      <c r="SMT22" s="93"/>
      <c r="SMU22" s="93"/>
      <c r="SMV22" s="93"/>
      <c r="SMW22" s="93"/>
      <c r="SMX22" s="93"/>
      <c r="SMY22" s="93"/>
      <c r="SMZ22" s="93"/>
      <c r="SNA22" s="93"/>
      <c r="SNB22" s="93"/>
      <c r="SNC22" s="93"/>
      <c r="SND22" s="93"/>
      <c r="SNE22" s="93"/>
      <c r="SNF22" s="93"/>
      <c r="SNG22" s="93"/>
      <c r="SNH22" s="93"/>
      <c r="SNI22" s="93"/>
      <c r="SNJ22" s="93"/>
      <c r="SNK22" s="93"/>
      <c r="SNL22" s="93"/>
      <c r="SNM22" s="93"/>
      <c r="SNN22" s="93"/>
      <c r="SNO22" s="93"/>
      <c r="SNP22" s="93"/>
      <c r="SNQ22" s="93"/>
      <c r="SNR22" s="93"/>
      <c r="SNS22" s="93"/>
      <c r="SNT22" s="93"/>
      <c r="SNU22" s="93"/>
      <c r="SNV22" s="93"/>
      <c r="SNW22" s="93"/>
      <c r="SNX22" s="93"/>
      <c r="SNY22" s="93"/>
      <c r="SNZ22" s="93"/>
      <c r="SOA22" s="93"/>
      <c r="SOB22" s="93"/>
      <c r="SOC22" s="93"/>
      <c r="SOD22" s="93"/>
      <c r="SOE22" s="93"/>
      <c r="SOF22" s="93"/>
      <c r="SOG22" s="93"/>
      <c r="SOH22" s="93"/>
      <c r="SOI22" s="93"/>
      <c r="SOJ22" s="93"/>
      <c r="SOK22" s="93"/>
      <c r="SOL22" s="93"/>
      <c r="SOM22" s="93"/>
      <c r="SON22" s="93"/>
      <c r="SOO22" s="93"/>
      <c r="SOP22" s="93"/>
      <c r="SOQ22" s="93"/>
      <c r="SOR22" s="93"/>
      <c r="SOS22" s="93"/>
      <c r="SOT22" s="93"/>
      <c r="SOU22" s="93"/>
      <c r="SOV22" s="93"/>
      <c r="SOW22" s="93"/>
      <c r="SOX22" s="93"/>
      <c r="SOY22" s="93"/>
      <c r="SOZ22" s="93"/>
      <c r="SPA22" s="93"/>
      <c r="SPB22" s="93"/>
      <c r="SPC22" s="93"/>
      <c r="SPD22" s="93"/>
      <c r="SPE22" s="93"/>
      <c r="SPF22" s="93"/>
      <c r="SPG22" s="93"/>
      <c r="SPH22" s="93"/>
      <c r="SPI22" s="93"/>
      <c r="SPJ22" s="93"/>
      <c r="SPK22" s="93"/>
      <c r="SPL22" s="93"/>
      <c r="SPM22" s="93"/>
      <c r="SPN22" s="93"/>
      <c r="SPO22" s="93"/>
      <c r="SPP22" s="93"/>
      <c r="SPQ22" s="93"/>
      <c r="SPR22" s="93"/>
      <c r="SPS22" s="93"/>
      <c r="SPT22" s="93"/>
      <c r="SPU22" s="93"/>
      <c r="SPV22" s="93"/>
      <c r="SPW22" s="93"/>
      <c r="SPX22" s="93"/>
      <c r="SPY22" s="93"/>
      <c r="SPZ22" s="93"/>
      <c r="SQA22" s="93"/>
      <c r="SQB22" s="93"/>
      <c r="SQC22" s="93"/>
      <c r="SQD22" s="93"/>
      <c r="SQE22" s="93"/>
      <c r="SQF22" s="93"/>
      <c r="SQG22" s="93"/>
      <c r="SQH22" s="93"/>
      <c r="SQI22" s="93"/>
      <c r="SQJ22" s="93"/>
      <c r="SQK22" s="93"/>
      <c r="SQL22" s="93"/>
      <c r="SQM22" s="93"/>
      <c r="SQN22" s="93"/>
      <c r="SQO22" s="93"/>
      <c r="SQP22" s="93"/>
      <c r="SQQ22" s="93"/>
      <c r="SQR22" s="93"/>
      <c r="SQS22" s="93"/>
      <c r="SQT22" s="93"/>
      <c r="SQU22" s="93"/>
      <c r="SQV22" s="93"/>
      <c r="SQW22" s="93"/>
      <c r="SQX22" s="93"/>
      <c r="SQY22" s="93"/>
      <c r="SQZ22" s="93"/>
      <c r="SRA22" s="93"/>
      <c r="SRB22" s="93"/>
      <c r="SRC22" s="93"/>
      <c r="SRD22" s="93"/>
      <c r="SRE22" s="93"/>
      <c r="SRF22" s="93"/>
      <c r="SRG22" s="93"/>
      <c r="SRH22" s="93"/>
      <c r="SRI22" s="93"/>
      <c r="SRJ22" s="93"/>
      <c r="SRK22" s="93"/>
      <c r="SRL22" s="93"/>
      <c r="SRM22" s="93"/>
      <c r="SRN22" s="93"/>
      <c r="SRO22" s="93"/>
      <c r="SRP22" s="93"/>
      <c r="SRQ22" s="93"/>
      <c r="SRR22" s="93"/>
      <c r="SRS22" s="93"/>
      <c r="SRT22" s="93"/>
      <c r="SRU22" s="93"/>
      <c r="SRV22" s="93"/>
      <c r="SRW22" s="93"/>
      <c r="SRX22" s="93"/>
      <c r="SRY22" s="93"/>
      <c r="SRZ22" s="93"/>
      <c r="SSA22" s="93"/>
      <c r="SSB22" s="93"/>
      <c r="SSC22" s="93"/>
      <c r="SSD22" s="93"/>
      <c r="SSE22" s="93"/>
      <c r="SSF22" s="93"/>
      <c r="SSG22" s="93"/>
      <c r="SSH22" s="93"/>
      <c r="SSI22" s="93"/>
      <c r="SSJ22" s="93"/>
      <c r="SSK22" s="93"/>
      <c r="SSL22" s="93"/>
      <c r="SSM22" s="93"/>
      <c r="SSN22" s="93"/>
      <c r="SSO22" s="93"/>
      <c r="SSP22" s="93"/>
      <c r="SSQ22" s="93"/>
      <c r="SSR22" s="93"/>
      <c r="SSS22" s="93"/>
      <c r="SST22" s="93"/>
      <c r="SSU22" s="93"/>
      <c r="SSV22" s="93"/>
      <c r="SSW22" s="93"/>
      <c r="SSX22" s="93"/>
      <c r="SSY22" s="93"/>
      <c r="SSZ22" s="93"/>
      <c r="STA22" s="93"/>
      <c r="STB22" s="93"/>
      <c r="STC22" s="93"/>
      <c r="STD22" s="93"/>
      <c r="STE22" s="93"/>
      <c r="STF22" s="93"/>
      <c r="STG22" s="93"/>
      <c r="STH22" s="93"/>
      <c r="STI22" s="93"/>
      <c r="STJ22" s="93"/>
      <c r="STK22" s="93"/>
      <c r="STL22" s="93"/>
      <c r="STM22" s="93"/>
      <c r="STN22" s="93"/>
      <c r="STO22" s="93"/>
      <c r="STP22" s="93"/>
      <c r="STQ22" s="93"/>
      <c r="STR22" s="93"/>
      <c r="STS22" s="93"/>
      <c r="STT22" s="93"/>
      <c r="STU22" s="93"/>
      <c r="STV22" s="93"/>
      <c r="STW22" s="93"/>
      <c r="STX22" s="93"/>
      <c r="STY22" s="93"/>
      <c r="STZ22" s="93"/>
      <c r="SUA22" s="93"/>
      <c r="SUB22" s="93"/>
      <c r="SUC22" s="93"/>
      <c r="SUD22" s="93"/>
      <c r="SUE22" s="93"/>
      <c r="SUF22" s="93"/>
      <c r="SUG22" s="93"/>
      <c r="SUH22" s="93"/>
      <c r="SUI22" s="93"/>
      <c r="SUJ22" s="93"/>
      <c r="SUK22" s="93"/>
      <c r="SUL22" s="93"/>
      <c r="SUM22" s="93"/>
      <c r="SUN22" s="93"/>
      <c r="SUO22" s="93"/>
      <c r="SUP22" s="93"/>
      <c r="SUQ22" s="93"/>
      <c r="SUR22" s="93"/>
      <c r="SUS22" s="93"/>
      <c r="SUT22" s="93"/>
      <c r="SUU22" s="93"/>
      <c r="SUV22" s="93"/>
      <c r="SUW22" s="93"/>
      <c r="SUX22" s="93"/>
      <c r="SUY22" s="93"/>
      <c r="SUZ22" s="93"/>
      <c r="SVA22" s="93"/>
      <c r="SVB22" s="93"/>
      <c r="SVC22" s="93"/>
      <c r="SVD22" s="93"/>
      <c r="SVE22" s="93"/>
      <c r="SVF22" s="93"/>
      <c r="SVG22" s="93"/>
      <c r="SVH22" s="93"/>
      <c r="SVI22" s="93"/>
      <c r="SVJ22" s="93"/>
      <c r="SVK22" s="93"/>
      <c r="SVL22" s="93"/>
      <c r="SVM22" s="93"/>
      <c r="SVN22" s="93"/>
      <c r="SVO22" s="93"/>
      <c r="SVP22" s="93"/>
      <c r="SVQ22" s="93"/>
      <c r="SVR22" s="93"/>
      <c r="SVS22" s="93"/>
      <c r="SVT22" s="93"/>
      <c r="SVU22" s="93"/>
      <c r="SVV22" s="93"/>
      <c r="SVW22" s="93"/>
      <c r="SVX22" s="93"/>
      <c r="SVY22" s="93"/>
      <c r="SVZ22" s="93"/>
      <c r="SWA22" s="93"/>
      <c r="SWB22" s="93"/>
      <c r="SWC22" s="93"/>
      <c r="SWD22" s="93"/>
      <c r="SWE22" s="93"/>
      <c r="SWF22" s="93"/>
      <c r="SWG22" s="93"/>
      <c r="SWH22" s="93"/>
      <c r="SWI22" s="93"/>
      <c r="SWJ22" s="93"/>
      <c r="SWK22" s="93"/>
      <c r="SWL22" s="93"/>
      <c r="SWM22" s="93"/>
      <c r="SWN22" s="93"/>
      <c r="SWO22" s="93"/>
      <c r="SWP22" s="93"/>
      <c r="SWQ22" s="93"/>
      <c r="SWR22" s="93"/>
      <c r="SWS22" s="93"/>
      <c r="SWT22" s="93"/>
      <c r="SWU22" s="93"/>
      <c r="SWV22" s="93"/>
      <c r="SWW22" s="93"/>
      <c r="SWX22" s="93"/>
      <c r="SWY22" s="93"/>
      <c r="SWZ22" s="93"/>
      <c r="SXA22" s="93"/>
      <c r="SXB22" s="93"/>
      <c r="SXC22" s="93"/>
      <c r="SXD22" s="93"/>
      <c r="SXE22" s="93"/>
      <c r="SXF22" s="93"/>
      <c r="SXG22" s="93"/>
      <c r="SXH22" s="93"/>
      <c r="SXI22" s="93"/>
      <c r="SXJ22" s="93"/>
      <c r="SXK22" s="93"/>
      <c r="SXL22" s="93"/>
      <c r="SXM22" s="93"/>
      <c r="SXN22" s="93"/>
      <c r="SXO22" s="93"/>
      <c r="SXP22" s="93"/>
      <c r="SXQ22" s="93"/>
      <c r="SXR22" s="93"/>
      <c r="SXS22" s="93"/>
      <c r="SXT22" s="93"/>
      <c r="SXU22" s="93"/>
      <c r="SXV22" s="93"/>
      <c r="SXW22" s="93"/>
      <c r="SXX22" s="93"/>
      <c r="SXY22" s="93"/>
      <c r="SXZ22" s="93"/>
      <c r="SYA22" s="93"/>
      <c r="SYB22" s="93"/>
      <c r="SYC22" s="93"/>
      <c r="SYD22" s="93"/>
      <c r="SYE22" s="93"/>
      <c r="SYF22" s="93"/>
      <c r="SYG22" s="93"/>
      <c r="SYH22" s="93"/>
      <c r="SYI22" s="93"/>
      <c r="SYJ22" s="93"/>
      <c r="SYK22" s="93"/>
      <c r="SYL22" s="93"/>
      <c r="SYM22" s="93"/>
      <c r="SYN22" s="93"/>
      <c r="SYO22" s="93"/>
      <c r="SYP22" s="93"/>
      <c r="SYQ22" s="93"/>
      <c r="SYR22" s="93"/>
      <c r="SYS22" s="93"/>
      <c r="SYT22" s="93"/>
      <c r="SYU22" s="93"/>
      <c r="SYV22" s="93"/>
      <c r="SYW22" s="93"/>
      <c r="SYX22" s="93"/>
      <c r="SYY22" s="93"/>
      <c r="SYZ22" s="93"/>
      <c r="SZA22" s="93"/>
      <c r="SZB22" s="93"/>
      <c r="SZC22" s="93"/>
      <c r="SZD22" s="93"/>
      <c r="SZE22" s="93"/>
      <c r="SZF22" s="93"/>
      <c r="SZG22" s="93"/>
      <c r="SZH22" s="93"/>
      <c r="SZI22" s="93"/>
      <c r="SZJ22" s="93"/>
      <c r="SZK22" s="93"/>
      <c r="SZL22" s="93"/>
      <c r="SZM22" s="93"/>
      <c r="SZN22" s="93"/>
      <c r="SZO22" s="93"/>
      <c r="SZP22" s="93"/>
      <c r="SZQ22" s="93"/>
      <c r="SZR22" s="93"/>
      <c r="SZS22" s="93"/>
      <c r="SZT22" s="93"/>
      <c r="SZU22" s="93"/>
      <c r="SZV22" s="93"/>
      <c r="SZW22" s="93"/>
      <c r="SZX22" s="93"/>
      <c r="SZY22" s="93"/>
      <c r="SZZ22" s="93"/>
      <c r="TAA22" s="93"/>
      <c r="TAB22" s="93"/>
      <c r="TAC22" s="93"/>
      <c r="TAD22" s="93"/>
      <c r="TAE22" s="93"/>
      <c r="TAF22" s="93"/>
      <c r="TAG22" s="93"/>
      <c r="TAH22" s="93"/>
      <c r="TAI22" s="93"/>
      <c r="TAJ22" s="93"/>
      <c r="TAK22" s="93"/>
      <c r="TAL22" s="93"/>
      <c r="TAM22" s="93"/>
      <c r="TAN22" s="93"/>
      <c r="TAO22" s="93"/>
      <c r="TAP22" s="93"/>
      <c r="TAQ22" s="93"/>
      <c r="TAR22" s="93"/>
      <c r="TAS22" s="93"/>
      <c r="TAT22" s="93"/>
      <c r="TAU22" s="93"/>
      <c r="TAV22" s="93"/>
      <c r="TAW22" s="93"/>
      <c r="TAX22" s="93"/>
      <c r="TAY22" s="93"/>
      <c r="TAZ22" s="93"/>
      <c r="TBA22" s="93"/>
      <c r="TBB22" s="93"/>
      <c r="TBC22" s="93"/>
      <c r="TBD22" s="93"/>
      <c r="TBE22" s="93"/>
      <c r="TBF22" s="93"/>
      <c r="TBG22" s="93"/>
      <c r="TBH22" s="93"/>
      <c r="TBI22" s="93"/>
      <c r="TBJ22" s="93"/>
      <c r="TBK22" s="93"/>
      <c r="TBL22" s="93"/>
      <c r="TBM22" s="93"/>
      <c r="TBN22" s="93"/>
      <c r="TBO22" s="93"/>
      <c r="TBP22" s="93"/>
      <c r="TBQ22" s="93"/>
      <c r="TBR22" s="93"/>
      <c r="TBS22" s="93"/>
      <c r="TBT22" s="93"/>
      <c r="TBU22" s="93"/>
      <c r="TBV22" s="93"/>
      <c r="TBW22" s="93"/>
      <c r="TBX22" s="93"/>
      <c r="TBY22" s="93"/>
      <c r="TBZ22" s="93"/>
      <c r="TCA22" s="93"/>
      <c r="TCB22" s="93"/>
      <c r="TCC22" s="93"/>
      <c r="TCD22" s="93"/>
      <c r="TCE22" s="93"/>
      <c r="TCF22" s="93"/>
      <c r="TCG22" s="93"/>
      <c r="TCH22" s="93"/>
      <c r="TCI22" s="93"/>
      <c r="TCJ22" s="93"/>
      <c r="TCK22" s="93"/>
      <c r="TCL22" s="93"/>
      <c r="TCM22" s="93"/>
      <c r="TCN22" s="93"/>
      <c r="TCO22" s="93"/>
      <c r="TCP22" s="93"/>
      <c r="TCQ22" s="93"/>
      <c r="TCR22" s="93"/>
      <c r="TCS22" s="93"/>
      <c r="TCT22" s="93"/>
      <c r="TCU22" s="93"/>
      <c r="TCV22" s="93"/>
      <c r="TCW22" s="93"/>
      <c r="TCX22" s="93"/>
      <c r="TCY22" s="93"/>
      <c r="TCZ22" s="93"/>
      <c r="TDA22" s="93"/>
      <c r="TDB22" s="93"/>
      <c r="TDC22" s="93"/>
      <c r="TDD22" s="93"/>
      <c r="TDE22" s="93"/>
      <c r="TDF22" s="93"/>
      <c r="TDG22" s="93"/>
      <c r="TDH22" s="93"/>
      <c r="TDI22" s="93"/>
      <c r="TDJ22" s="93"/>
      <c r="TDK22" s="93"/>
      <c r="TDL22" s="93"/>
      <c r="TDM22" s="93"/>
      <c r="TDN22" s="93"/>
      <c r="TDO22" s="93"/>
      <c r="TDP22" s="93"/>
      <c r="TDQ22" s="93"/>
      <c r="TDR22" s="93"/>
      <c r="TDS22" s="93"/>
      <c r="TDT22" s="93"/>
      <c r="TDU22" s="93"/>
      <c r="TDV22" s="93"/>
      <c r="TDW22" s="93"/>
      <c r="TDX22" s="93"/>
      <c r="TDY22" s="93"/>
      <c r="TDZ22" s="93"/>
      <c r="TEA22" s="93"/>
      <c r="TEB22" s="93"/>
      <c r="TEC22" s="93"/>
      <c r="TED22" s="93"/>
      <c r="TEE22" s="93"/>
      <c r="TEF22" s="93"/>
      <c r="TEG22" s="93"/>
      <c r="TEH22" s="93"/>
      <c r="TEI22" s="93"/>
      <c r="TEJ22" s="93"/>
      <c r="TEK22" s="93"/>
      <c r="TEL22" s="93"/>
      <c r="TEM22" s="93"/>
      <c r="TEN22" s="93"/>
      <c r="TEO22" s="93"/>
      <c r="TEP22" s="93"/>
      <c r="TEQ22" s="93"/>
      <c r="TER22" s="93"/>
      <c r="TES22" s="93"/>
      <c r="TET22" s="93"/>
      <c r="TEU22" s="93"/>
      <c r="TEV22" s="93"/>
      <c r="TEW22" s="93"/>
      <c r="TEX22" s="93"/>
      <c r="TEY22" s="93"/>
      <c r="TEZ22" s="93"/>
      <c r="TFA22" s="93"/>
      <c r="TFB22" s="93"/>
      <c r="TFC22" s="93"/>
      <c r="TFD22" s="93"/>
      <c r="TFE22" s="93"/>
      <c r="TFF22" s="93"/>
      <c r="TFG22" s="93"/>
      <c r="TFH22" s="93"/>
      <c r="TFI22" s="93"/>
      <c r="TFJ22" s="93"/>
      <c r="TFK22" s="93"/>
      <c r="TFL22" s="93"/>
      <c r="TFM22" s="93"/>
      <c r="TFN22" s="93"/>
      <c r="TFO22" s="93"/>
      <c r="TFP22" s="93"/>
      <c r="TFQ22" s="93"/>
      <c r="TFR22" s="93"/>
      <c r="TFS22" s="93"/>
      <c r="TFT22" s="93"/>
      <c r="TFU22" s="93"/>
      <c r="TFV22" s="93"/>
      <c r="TFW22" s="93"/>
      <c r="TFX22" s="93"/>
      <c r="TFY22" s="93"/>
      <c r="TFZ22" s="93"/>
      <c r="TGA22" s="93"/>
      <c r="TGB22" s="93"/>
      <c r="TGC22" s="93"/>
      <c r="TGD22" s="93"/>
      <c r="TGE22" s="93"/>
      <c r="TGF22" s="93"/>
      <c r="TGG22" s="93"/>
      <c r="TGH22" s="93"/>
      <c r="TGI22" s="93"/>
      <c r="TGJ22" s="93"/>
      <c r="TGK22" s="93"/>
      <c r="TGL22" s="93"/>
      <c r="TGM22" s="93"/>
      <c r="TGN22" s="93"/>
      <c r="TGO22" s="93"/>
      <c r="TGP22" s="93"/>
      <c r="TGQ22" s="93"/>
      <c r="TGR22" s="93"/>
      <c r="TGS22" s="93"/>
      <c r="TGT22" s="93"/>
      <c r="TGU22" s="93"/>
      <c r="TGV22" s="93"/>
      <c r="TGW22" s="93"/>
      <c r="TGX22" s="93"/>
      <c r="TGY22" s="93"/>
      <c r="TGZ22" s="93"/>
      <c r="THA22" s="93"/>
      <c r="THB22" s="93"/>
      <c r="THC22" s="93"/>
      <c r="THD22" s="93"/>
      <c r="THE22" s="93"/>
      <c r="THF22" s="93"/>
      <c r="THG22" s="93"/>
      <c r="THH22" s="93"/>
      <c r="THI22" s="93"/>
      <c r="THJ22" s="93"/>
      <c r="THK22" s="93"/>
      <c r="THL22" s="93"/>
      <c r="THM22" s="93"/>
      <c r="THN22" s="93"/>
      <c r="THO22" s="93"/>
      <c r="THP22" s="93"/>
      <c r="THQ22" s="93"/>
      <c r="THR22" s="93"/>
      <c r="THS22" s="93"/>
      <c r="THT22" s="93"/>
      <c r="THU22" s="93"/>
      <c r="THV22" s="93"/>
      <c r="THW22" s="93"/>
      <c r="THX22" s="93"/>
      <c r="THY22" s="93"/>
      <c r="THZ22" s="93"/>
      <c r="TIA22" s="93"/>
      <c r="TIB22" s="93"/>
      <c r="TIC22" s="93"/>
      <c r="TID22" s="93"/>
      <c r="TIE22" s="93"/>
      <c r="TIF22" s="93"/>
      <c r="TIG22" s="93"/>
      <c r="TIH22" s="93"/>
      <c r="TII22" s="93"/>
      <c r="TIJ22" s="93"/>
      <c r="TIK22" s="93"/>
      <c r="TIL22" s="93"/>
      <c r="TIM22" s="93"/>
      <c r="TIN22" s="93"/>
      <c r="TIO22" s="93"/>
      <c r="TIP22" s="93"/>
      <c r="TIQ22" s="93"/>
      <c r="TIR22" s="93"/>
      <c r="TIS22" s="93"/>
      <c r="TIT22" s="93"/>
      <c r="TIU22" s="93"/>
      <c r="TIV22" s="93"/>
      <c r="TIW22" s="93"/>
      <c r="TIX22" s="93"/>
      <c r="TIY22" s="93"/>
      <c r="TIZ22" s="93"/>
      <c r="TJA22" s="93"/>
      <c r="TJB22" s="93"/>
      <c r="TJC22" s="93"/>
      <c r="TJD22" s="93"/>
      <c r="TJE22" s="93"/>
      <c r="TJF22" s="93"/>
      <c r="TJG22" s="93"/>
      <c r="TJH22" s="93"/>
      <c r="TJI22" s="93"/>
      <c r="TJJ22" s="93"/>
      <c r="TJK22" s="93"/>
      <c r="TJL22" s="93"/>
      <c r="TJM22" s="93"/>
      <c r="TJN22" s="93"/>
      <c r="TJO22" s="93"/>
      <c r="TJP22" s="93"/>
      <c r="TJQ22" s="93"/>
      <c r="TJR22" s="93"/>
      <c r="TJS22" s="93"/>
      <c r="TJT22" s="93"/>
      <c r="TJU22" s="93"/>
      <c r="TJV22" s="93"/>
      <c r="TJW22" s="93"/>
      <c r="TJX22" s="93"/>
      <c r="TJY22" s="93"/>
      <c r="TJZ22" s="93"/>
      <c r="TKA22" s="93"/>
      <c r="TKB22" s="93"/>
      <c r="TKC22" s="93"/>
      <c r="TKD22" s="93"/>
      <c r="TKE22" s="93"/>
      <c r="TKF22" s="93"/>
      <c r="TKG22" s="93"/>
      <c r="TKH22" s="93"/>
      <c r="TKI22" s="93"/>
      <c r="TKJ22" s="93"/>
      <c r="TKK22" s="93"/>
      <c r="TKL22" s="93"/>
      <c r="TKM22" s="93"/>
      <c r="TKN22" s="93"/>
      <c r="TKO22" s="93"/>
      <c r="TKP22" s="93"/>
      <c r="TKQ22" s="93"/>
      <c r="TKR22" s="93"/>
      <c r="TKS22" s="93"/>
      <c r="TKT22" s="93"/>
      <c r="TKU22" s="93"/>
      <c r="TKV22" s="93"/>
      <c r="TKW22" s="93"/>
      <c r="TKX22" s="93"/>
      <c r="TKY22" s="93"/>
      <c r="TKZ22" s="93"/>
      <c r="TLA22" s="93"/>
      <c r="TLB22" s="93"/>
      <c r="TLC22" s="93"/>
      <c r="TLD22" s="93"/>
      <c r="TLE22" s="93"/>
      <c r="TLF22" s="93"/>
      <c r="TLG22" s="93"/>
      <c r="TLH22" s="93"/>
      <c r="TLI22" s="93"/>
      <c r="TLJ22" s="93"/>
      <c r="TLK22" s="93"/>
      <c r="TLL22" s="93"/>
      <c r="TLM22" s="93"/>
      <c r="TLN22" s="93"/>
      <c r="TLO22" s="93"/>
      <c r="TLP22" s="93"/>
      <c r="TLQ22" s="93"/>
      <c r="TLR22" s="93"/>
      <c r="TLS22" s="93"/>
      <c r="TLT22" s="93"/>
      <c r="TLU22" s="93"/>
      <c r="TLV22" s="93"/>
      <c r="TLW22" s="93"/>
      <c r="TLX22" s="93"/>
      <c r="TLY22" s="93"/>
      <c r="TLZ22" s="93"/>
      <c r="TMA22" s="93"/>
      <c r="TMB22" s="93"/>
      <c r="TMC22" s="93"/>
      <c r="TMD22" s="93"/>
      <c r="TME22" s="93"/>
      <c r="TMF22" s="93"/>
      <c r="TMG22" s="93"/>
      <c r="TMH22" s="93"/>
      <c r="TMI22" s="93"/>
      <c r="TMJ22" s="93"/>
      <c r="TMK22" s="93"/>
      <c r="TML22" s="93"/>
      <c r="TMM22" s="93"/>
      <c r="TMN22" s="93"/>
      <c r="TMO22" s="93"/>
      <c r="TMP22" s="93"/>
      <c r="TMQ22" s="93"/>
      <c r="TMR22" s="93"/>
      <c r="TMS22" s="93"/>
      <c r="TMT22" s="93"/>
      <c r="TMU22" s="93"/>
      <c r="TMV22" s="93"/>
      <c r="TMW22" s="93"/>
      <c r="TMX22" s="93"/>
      <c r="TMY22" s="93"/>
      <c r="TMZ22" s="93"/>
      <c r="TNA22" s="93"/>
      <c r="TNB22" s="93"/>
      <c r="TNC22" s="93"/>
      <c r="TND22" s="93"/>
      <c r="TNE22" s="93"/>
      <c r="TNF22" s="93"/>
      <c r="TNG22" s="93"/>
      <c r="TNH22" s="93"/>
      <c r="TNI22" s="93"/>
      <c r="TNJ22" s="93"/>
      <c r="TNK22" s="93"/>
      <c r="TNL22" s="93"/>
      <c r="TNM22" s="93"/>
      <c r="TNN22" s="93"/>
      <c r="TNO22" s="93"/>
      <c r="TNP22" s="93"/>
      <c r="TNQ22" s="93"/>
      <c r="TNR22" s="93"/>
      <c r="TNS22" s="93"/>
      <c r="TNT22" s="93"/>
      <c r="TNU22" s="93"/>
      <c r="TNV22" s="93"/>
      <c r="TNW22" s="93"/>
      <c r="TNX22" s="93"/>
      <c r="TNY22" s="93"/>
      <c r="TNZ22" s="93"/>
      <c r="TOA22" s="93"/>
      <c r="TOB22" s="93"/>
      <c r="TOC22" s="93"/>
      <c r="TOD22" s="93"/>
      <c r="TOE22" s="93"/>
      <c r="TOF22" s="93"/>
      <c r="TOG22" s="93"/>
      <c r="TOH22" s="93"/>
      <c r="TOI22" s="93"/>
      <c r="TOJ22" s="93"/>
      <c r="TOK22" s="93"/>
      <c r="TOL22" s="93"/>
      <c r="TOM22" s="93"/>
      <c r="TON22" s="93"/>
      <c r="TOO22" s="93"/>
      <c r="TOP22" s="93"/>
      <c r="TOQ22" s="93"/>
      <c r="TOR22" s="93"/>
      <c r="TOS22" s="93"/>
      <c r="TOT22" s="93"/>
      <c r="TOU22" s="93"/>
      <c r="TOV22" s="93"/>
      <c r="TOW22" s="93"/>
      <c r="TOX22" s="93"/>
      <c r="TOY22" s="93"/>
      <c r="TOZ22" s="93"/>
      <c r="TPA22" s="93"/>
      <c r="TPB22" s="93"/>
      <c r="TPC22" s="93"/>
      <c r="TPD22" s="93"/>
      <c r="TPE22" s="93"/>
      <c r="TPF22" s="93"/>
      <c r="TPG22" s="93"/>
      <c r="TPH22" s="93"/>
      <c r="TPI22" s="93"/>
      <c r="TPJ22" s="93"/>
      <c r="TPK22" s="93"/>
      <c r="TPL22" s="93"/>
      <c r="TPM22" s="93"/>
      <c r="TPN22" s="93"/>
      <c r="TPO22" s="93"/>
      <c r="TPP22" s="93"/>
      <c r="TPQ22" s="93"/>
      <c r="TPR22" s="93"/>
      <c r="TPS22" s="93"/>
      <c r="TPT22" s="93"/>
      <c r="TPU22" s="93"/>
      <c r="TPV22" s="93"/>
      <c r="TPW22" s="93"/>
      <c r="TPX22" s="93"/>
      <c r="TPY22" s="93"/>
      <c r="TPZ22" s="93"/>
      <c r="TQA22" s="93"/>
      <c r="TQB22" s="93"/>
      <c r="TQC22" s="93"/>
      <c r="TQD22" s="93"/>
      <c r="TQE22" s="93"/>
      <c r="TQF22" s="93"/>
      <c r="TQG22" s="93"/>
      <c r="TQH22" s="93"/>
      <c r="TQI22" s="93"/>
      <c r="TQJ22" s="93"/>
      <c r="TQK22" s="93"/>
      <c r="TQL22" s="93"/>
      <c r="TQM22" s="93"/>
      <c r="TQN22" s="93"/>
      <c r="TQO22" s="93"/>
      <c r="TQP22" s="93"/>
      <c r="TQQ22" s="93"/>
      <c r="TQR22" s="93"/>
      <c r="TQS22" s="93"/>
      <c r="TQT22" s="93"/>
      <c r="TQU22" s="93"/>
      <c r="TQV22" s="93"/>
      <c r="TQW22" s="93"/>
      <c r="TQX22" s="93"/>
      <c r="TQY22" s="93"/>
      <c r="TQZ22" s="93"/>
      <c r="TRA22" s="93"/>
      <c r="TRB22" s="93"/>
      <c r="TRC22" s="93"/>
      <c r="TRD22" s="93"/>
      <c r="TRE22" s="93"/>
      <c r="TRF22" s="93"/>
      <c r="TRG22" s="93"/>
      <c r="TRH22" s="93"/>
      <c r="TRI22" s="93"/>
      <c r="TRJ22" s="93"/>
      <c r="TRK22" s="93"/>
      <c r="TRL22" s="93"/>
      <c r="TRM22" s="93"/>
      <c r="TRN22" s="93"/>
      <c r="TRO22" s="93"/>
      <c r="TRP22" s="93"/>
      <c r="TRQ22" s="93"/>
      <c r="TRR22" s="93"/>
      <c r="TRS22" s="93"/>
      <c r="TRT22" s="93"/>
      <c r="TRU22" s="93"/>
      <c r="TRV22" s="93"/>
      <c r="TRW22" s="93"/>
      <c r="TRX22" s="93"/>
      <c r="TRY22" s="93"/>
      <c r="TRZ22" s="93"/>
      <c r="TSA22" s="93"/>
      <c r="TSB22" s="93"/>
      <c r="TSC22" s="93"/>
      <c r="TSD22" s="93"/>
      <c r="TSE22" s="93"/>
      <c r="TSF22" s="93"/>
      <c r="TSG22" s="93"/>
      <c r="TSH22" s="93"/>
      <c r="TSI22" s="93"/>
      <c r="TSJ22" s="93"/>
      <c r="TSK22" s="93"/>
      <c r="TSL22" s="93"/>
      <c r="TSM22" s="93"/>
      <c r="TSN22" s="93"/>
      <c r="TSO22" s="93"/>
      <c r="TSP22" s="93"/>
      <c r="TSQ22" s="93"/>
      <c r="TSR22" s="93"/>
      <c r="TSS22" s="93"/>
      <c r="TST22" s="93"/>
      <c r="TSU22" s="93"/>
      <c r="TSV22" s="93"/>
      <c r="TSW22" s="93"/>
      <c r="TSX22" s="93"/>
      <c r="TSY22" s="93"/>
      <c r="TSZ22" s="93"/>
      <c r="TTA22" s="93"/>
      <c r="TTB22" s="93"/>
      <c r="TTC22" s="93"/>
      <c r="TTD22" s="93"/>
      <c r="TTE22" s="93"/>
      <c r="TTF22" s="93"/>
      <c r="TTG22" s="93"/>
      <c r="TTH22" s="93"/>
      <c r="TTI22" s="93"/>
      <c r="TTJ22" s="93"/>
      <c r="TTK22" s="93"/>
      <c r="TTL22" s="93"/>
      <c r="TTM22" s="93"/>
      <c r="TTN22" s="93"/>
      <c r="TTO22" s="93"/>
      <c r="TTP22" s="93"/>
      <c r="TTQ22" s="93"/>
      <c r="TTR22" s="93"/>
      <c r="TTS22" s="93"/>
      <c r="TTT22" s="93"/>
      <c r="TTU22" s="93"/>
      <c r="TTV22" s="93"/>
      <c r="TTW22" s="93"/>
      <c r="TTX22" s="93"/>
      <c r="TTY22" s="93"/>
      <c r="TTZ22" s="93"/>
      <c r="TUA22" s="93"/>
      <c r="TUB22" s="93"/>
      <c r="TUC22" s="93"/>
      <c r="TUD22" s="93"/>
      <c r="TUE22" s="93"/>
      <c r="TUF22" s="93"/>
      <c r="TUG22" s="93"/>
      <c r="TUH22" s="93"/>
      <c r="TUI22" s="93"/>
      <c r="TUJ22" s="93"/>
      <c r="TUK22" s="93"/>
      <c r="TUL22" s="93"/>
      <c r="TUM22" s="93"/>
      <c r="TUN22" s="93"/>
      <c r="TUO22" s="93"/>
      <c r="TUP22" s="93"/>
      <c r="TUQ22" s="93"/>
      <c r="TUR22" s="93"/>
      <c r="TUS22" s="93"/>
      <c r="TUT22" s="93"/>
      <c r="TUU22" s="93"/>
      <c r="TUV22" s="93"/>
      <c r="TUW22" s="93"/>
      <c r="TUX22" s="93"/>
      <c r="TUY22" s="93"/>
      <c r="TUZ22" s="93"/>
      <c r="TVA22" s="93"/>
      <c r="TVB22" s="93"/>
      <c r="TVC22" s="93"/>
      <c r="TVD22" s="93"/>
      <c r="TVE22" s="93"/>
      <c r="TVF22" s="93"/>
      <c r="TVG22" s="93"/>
      <c r="TVH22" s="93"/>
      <c r="TVI22" s="93"/>
      <c r="TVJ22" s="93"/>
      <c r="TVK22" s="93"/>
      <c r="TVL22" s="93"/>
      <c r="TVM22" s="93"/>
      <c r="TVN22" s="93"/>
      <c r="TVO22" s="93"/>
      <c r="TVP22" s="93"/>
      <c r="TVQ22" s="93"/>
      <c r="TVR22" s="93"/>
      <c r="TVS22" s="93"/>
      <c r="TVT22" s="93"/>
      <c r="TVU22" s="93"/>
      <c r="TVV22" s="93"/>
      <c r="TVW22" s="93"/>
      <c r="TVX22" s="93"/>
      <c r="TVY22" s="93"/>
      <c r="TVZ22" s="93"/>
      <c r="TWA22" s="93"/>
      <c r="TWB22" s="93"/>
      <c r="TWC22" s="93"/>
      <c r="TWD22" s="93"/>
      <c r="TWE22" s="93"/>
      <c r="TWF22" s="93"/>
      <c r="TWG22" s="93"/>
      <c r="TWH22" s="93"/>
      <c r="TWI22" s="93"/>
      <c r="TWJ22" s="93"/>
      <c r="TWK22" s="93"/>
      <c r="TWL22" s="93"/>
      <c r="TWM22" s="93"/>
      <c r="TWN22" s="93"/>
      <c r="TWO22" s="93"/>
      <c r="TWP22" s="93"/>
      <c r="TWQ22" s="93"/>
      <c r="TWR22" s="93"/>
      <c r="TWS22" s="93"/>
      <c r="TWT22" s="93"/>
      <c r="TWU22" s="93"/>
      <c r="TWV22" s="93"/>
      <c r="TWW22" s="93"/>
      <c r="TWX22" s="93"/>
      <c r="TWY22" s="93"/>
      <c r="TWZ22" s="93"/>
      <c r="TXA22" s="93"/>
      <c r="TXB22" s="93"/>
      <c r="TXC22" s="93"/>
      <c r="TXD22" s="93"/>
      <c r="TXE22" s="93"/>
      <c r="TXF22" s="93"/>
      <c r="TXG22" s="93"/>
      <c r="TXH22" s="93"/>
      <c r="TXI22" s="93"/>
      <c r="TXJ22" s="93"/>
      <c r="TXK22" s="93"/>
      <c r="TXL22" s="93"/>
      <c r="TXM22" s="93"/>
      <c r="TXN22" s="93"/>
      <c r="TXO22" s="93"/>
      <c r="TXP22" s="93"/>
      <c r="TXQ22" s="93"/>
      <c r="TXR22" s="93"/>
      <c r="TXS22" s="93"/>
      <c r="TXT22" s="93"/>
      <c r="TXU22" s="93"/>
      <c r="TXV22" s="93"/>
      <c r="TXW22" s="93"/>
      <c r="TXX22" s="93"/>
      <c r="TXY22" s="93"/>
      <c r="TXZ22" s="93"/>
      <c r="TYA22" s="93"/>
      <c r="TYB22" s="93"/>
      <c r="TYC22" s="93"/>
      <c r="TYD22" s="93"/>
      <c r="TYE22" s="93"/>
      <c r="TYF22" s="93"/>
      <c r="TYG22" s="93"/>
      <c r="TYH22" s="93"/>
      <c r="TYI22" s="93"/>
      <c r="TYJ22" s="93"/>
      <c r="TYK22" s="93"/>
      <c r="TYL22" s="93"/>
      <c r="TYM22" s="93"/>
      <c r="TYN22" s="93"/>
      <c r="TYO22" s="93"/>
      <c r="TYP22" s="93"/>
      <c r="TYQ22" s="93"/>
      <c r="TYR22" s="93"/>
      <c r="TYS22" s="93"/>
      <c r="TYT22" s="93"/>
      <c r="TYU22" s="93"/>
      <c r="TYV22" s="93"/>
      <c r="TYW22" s="93"/>
      <c r="TYX22" s="93"/>
      <c r="TYY22" s="93"/>
      <c r="TYZ22" s="93"/>
      <c r="TZA22" s="93"/>
      <c r="TZB22" s="93"/>
      <c r="TZC22" s="93"/>
      <c r="TZD22" s="93"/>
      <c r="TZE22" s="93"/>
      <c r="TZF22" s="93"/>
      <c r="TZG22" s="93"/>
      <c r="TZH22" s="93"/>
      <c r="TZI22" s="93"/>
      <c r="TZJ22" s="93"/>
      <c r="TZK22" s="93"/>
      <c r="TZL22" s="93"/>
      <c r="TZM22" s="93"/>
      <c r="TZN22" s="93"/>
      <c r="TZO22" s="93"/>
      <c r="TZP22" s="93"/>
      <c r="TZQ22" s="93"/>
      <c r="TZR22" s="93"/>
      <c r="TZS22" s="93"/>
      <c r="TZT22" s="93"/>
      <c r="TZU22" s="93"/>
      <c r="TZV22" s="93"/>
      <c r="TZW22" s="93"/>
      <c r="TZX22" s="93"/>
      <c r="TZY22" s="93"/>
      <c r="TZZ22" s="93"/>
      <c r="UAA22" s="93"/>
      <c r="UAB22" s="93"/>
      <c r="UAC22" s="93"/>
      <c r="UAD22" s="93"/>
      <c r="UAE22" s="93"/>
      <c r="UAF22" s="93"/>
      <c r="UAG22" s="93"/>
      <c r="UAH22" s="93"/>
      <c r="UAI22" s="93"/>
      <c r="UAJ22" s="93"/>
      <c r="UAK22" s="93"/>
      <c r="UAL22" s="93"/>
      <c r="UAM22" s="93"/>
      <c r="UAN22" s="93"/>
      <c r="UAO22" s="93"/>
      <c r="UAP22" s="93"/>
      <c r="UAQ22" s="93"/>
      <c r="UAR22" s="93"/>
      <c r="UAS22" s="93"/>
      <c r="UAT22" s="93"/>
      <c r="UAU22" s="93"/>
      <c r="UAV22" s="93"/>
      <c r="UAW22" s="93"/>
      <c r="UAX22" s="93"/>
      <c r="UAY22" s="93"/>
      <c r="UAZ22" s="93"/>
      <c r="UBA22" s="93"/>
      <c r="UBB22" s="93"/>
      <c r="UBC22" s="93"/>
      <c r="UBD22" s="93"/>
      <c r="UBE22" s="93"/>
      <c r="UBF22" s="93"/>
      <c r="UBG22" s="93"/>
      <c r="UBH22" s="93"/>
      <c r="UBI22" s="93"/>
      <c r="UBJ22" s="93"/>
      <c r="UBK22" s="93"/>
      <c r="UBL22" s="93"/>
      <c r="UBM22" s="93"/>
      <c r="UBN22" s="93"/>
      <c r="UBO22" s="93"/>
      <c r="UBP22" s="93"/>
      <c r="UBQ22" s="93"/>
      <c r="UBR22" s="93"/>
      <c r="UBS22" s="93"/>
      <c r="UBT22" s="93"/>
      <c r="UBU22" s="93"/>
      <c r="UBV22" s="93"/>
      <c r="UBW22" s="93"/>
      <c r="UBX22" s="93"/>
      <c r="UBY22" s="93"/>
      <c r="UBZ22" s="93"/>
      <c r="UCA22" s="93"/>
      <c r="UCB22" s="93"/>
      <c r="UCC22" s="93"/>
      <c r="UCD22" s="93"/>
      <c r="UCE22" s="93"/>
      <c r="UCF22" s="93"/>
      <c r="UCG22" s="93"/>
      <c r="UCH22" s="93"/>
      <c r="UCI22" s="93"/>
      <c r="UCJ22" s="93"/>
      <c r="UCK22" s="93"/>
      <c r="UCL22" s="93"/>
      <c r="UCM22" s="93"/>
      <c r="UCN22" s="93"/>
      <c r="UCO22" s="93"/>
      <c r="UCP22" s="93"/>
      <c r="UCQ22" s="93"/>
      <c r="UCR22" s="93"/>
      <c r="UCS22" s="93"/>
      <c r="UCT22" s="93"/>
      <c r="UCU22" s="93"/>
      <c r="UCV22" s="93"/>
      <c r="UCW22" s="93"/>
      <c r="UCX22" s="93"/>
      <c r="UCY22" s="93"/>
      <c r="UCZ22" s="93"/>
      <c r="UDA22" s="93"/>
      <c r="UDB22" s="93"/>
      <c r="UDC22" s="93"/>
      <c r="UDD22" s="93"/>
      <c r="UDE22" s="93"/>
      <c r="UDF22" s="93"/>
      <c r="UDG22" s="93"/>
      <c r="UDH22" s="93"/>
      <c r="UDI22" s="93"/>
      <c r="UDJ22" s="93"/>
      <c r="UDK22" s="93"/>
      <c r="UDL22" s="93"/>
      <c r="UDM22" s="93"/>
      <c r="UDN22" s="93"/>
      <c r="UDO22" s="93"/>
      <c r="UDP22" s="93"/>
      <c r="UDQ22" s="93"/>
      <c r="UDR22" s="93"/>
      <c r="UDS22" s="93"/>
      <c r="UDT22" s="93"/>
      <c r="UDU22" s="93"/>
      <c r="UDV22" s="93"/>
      <c r="UDW22" s="93"/>
      <c r="UDX22" s="93"/>
      <c r="UDY22" s="93"/>
      <c r="UDZ22" s="93"/>
      <c r="UEA22" s="93"/>
      <c r="UEB22" s="93"/>
      <c r="UEC22" s="93"/>
      <c r="UED22" s="93"/>
      <c r="UEE22" s="93"/>
      <c r="UEF22" s="93"/>
      <c r="UEG22" s="93"/>
      <c r="UEH22" s="93"/>
      <c r="UEI22" s="93"/>
      <c r="UEJ22" s="93"/>
      <c r="UEK22" s="93"/>
      <c r="UEL22" s="93"/>
      <c r="UEM22" s="93"/>
      <c r="UEN22" s="93"/>
      <c r="UEO22" s="93"/>
      <c r="UEP22" s="93"/>
      <c r="UEQ22" s="93"/>
      <c r="UER22" s="93"/>
      <c r="UES22" s="93"/>
      <c r="UET22" s="93"/>
      <c r="UEU22" s="93"/>
      <c r="UEV22" s="93"/>
      <c r="UEW22" s="93"/>
      <c r="UEX22" s="93"/>
      <c r="UEY22" s="93"/>
      <c r="UEZ22" s="93"/>
      <c r="UFA22" s="93"/>
      <c r="UFB22" s="93"/>
      <c r="UFC22" s="93"/>
      <c r="UFD22" s="93"/>
      <c r="UFE22" s="93"/>
      <c r="UFF22" s="93"/>
      <c r="UFG22" s="93"/>
      <c r="UFH22" s="93"/>
      <c r="UFI22" s="93"/>
      <c r="UFJ22" s="93"/>
      <c r="UFK22" s="93"/>
      <c r="UFL22" s="93"/>
      <c r="UFM22" s="93"/>
      <c r="UFN22" s="93"/>
      <c r="UFO22" s="93"/>
      <c r="UFP22" s="93"/>
      <c r="UFQ22" s="93"/>
      <c r="UFR22" s="93"/>
      <c r="UFS22" s="93"/>
      <c r="UFT22" s="93"/>
      <c r="UFU22" s="93"/>
      <c r="UFV22" s="93"/>
      <c r="UFW22" s="93"/>
      <c r="UFX22" s="93"/>
      <c r="UFY22" s="93"/>
      <c r="UFZ22" s="93"/>
      <c r="UGA22" s="93"/>
      <c r="UGB22" s="93"/>
      <c r="UGC22" s="93"/>
      <c r="UGD22" s="93"/>
      <c r="UGE22" s="93"/>
      <c r="UGF22" s="93"/>
      <c r="UGG22" s="93"/>
      <c r="UGH22" s="93"/>
      <c r="UGI22" s="93"/>
      <c r="UGJ22" s="93"/>
      <c r="UGK22" s="93"/>
      <c r="UGL22" s="93"/>
      <c r="UGM22" s="93"/>
      <c r="UGN22" s="93"/>
      <c r="UGO22" s="93"/>
      <c r="UGP22" s="93"/>
      <c r="UGQ22" s="93"/>
      <c r="UGR22" s="93"/>
      <c r="UGS22" s="93"/>
      <c r="UGT22" s="93"/>
      <c r="UGU22" s="93"/>
      <c r="UGV22" s="93"/>
      <c r="UGW22" s="93"/>
      <c r="UGX22" s="93"/>
      <c r="UGY22" s="93"/>
      <c r="UGZ22" s="93"/>
      <c r="UHA22" s="93"/>
      <c r="UHB22" s="93"/>
      <c r="UHC22" s="93"/>
      <c r="UHD22" s="93"/>
      <c r="UHE22" s="93"/>
      <c r="UHF22" s="93"/>
      <c r="UHG22" s="93"/>
      <c r="UHH22" s="93"/>
      <c r="UHI22" s="93"/>
      <c r="UHJ22" s="93"/>
      <c r="UHK22" s="93"/>
      <c r="UHL22" s="93"/>
      <c r="UHM22" s="93"/>
      <c r="UHN22" s="93"/>
      <c r="UHO22" s="93"/>
      <c r="UHP22" s="93"/>
      <c r="UHQ22" s="93"/>
      <c r="UHR22" s="93"/>
      <c r="UHS22" s="93"/>
      <c r="UHT22" s="93"/>
      <c r="UHU22" s="93"/>
      <c r="UHV22" s="93"/>
      <c r="UHW22" s="93"/>
      <c r="UHX22" s="93"/>
      <c r="UHY22" s="93"/>
      <c r="UHZ22" s="93"/>
      <c r="UIA22" s="93"/>
      <c r="UIB22" s="93"/>
      <c r="UIC22" s="93"/>
      <c r="UID22" s="93"/>
      <c r="UIE22" s="93"/>
      <c r="UIF22" s="93"/>
      <c r="UIG22" s="93"/>
      <c r="UIH22" s="93"/>
      <c r="UII22" s="93"/>
      <c r="UIJ22" s="93"/>
      <c r="UIK22" s="93"/>
      <c r="UIL22" s="93"/>
      <c r="UIM22" s="93"/>
      <c r="UIN22" s="93"/>
      <c r="UIO22" s="93"/>
      <c r="UIP22" s="93"/>
      <c r="UIQ22" s="93"/>
      <c r="UIR22" s="93"/>
      <c r="UIS22" s="93"/>
      <c r="UIT22" s="93"/>
      <c r="UIU22" s="93"/>
      <c r="UIV22" s="93"/>
      <c r="UIW22" s="93"/>
      <c r="UIX22" s="93"/>
      <c r="UIY22" s="93"/>
      <c r="UIZ22" s="93"/>
      <c r="UJA22" s="93"/>
      <c r="UJB22" s="93"/>
      <c r="UJC22" s="93"/>
      <c r="UJD22" s="93"/>
      <c r="UJE22" s="93"/>
      <c r="UJF22" s="93"/>
      <c r="UJG22" s="93"/>
      <c r="UJH22" s="93"/>
      <c r="UJI22" s="93"/>
      <c r="UJJ22" s="93"/>
      <c r="UJK22" s="93"/>
      <c r="UJL22" s="93"/>
      <c r="UJM22" s="93"/>
      <c r="UJN22" s="93"/>
      <c r="UJO22" s="93"/>
      <c r="UJP22" s="93"/>
      <c r="UJQ22" s="93"/>
      <c r="UJR22" s="93"/>
      <c r="UJS22" s="93"/>
      <c r="UJT22" s="93"/>
      <c r="UJU22" s="93"/>
      <c r="UJV22" s="93"/>
      <c r="UJW22" s="93"/>
      <c r="UJX22" s="93"/>
      <c r="UJY22" s="93"/>
      <c r="UJZ22" s="93"/>
      <c r="UKA22" s="93"/>
      <c r="UKB22" s="93"/>
      <c r="UKC22" s="93"/>
      <c r="UKD22" s="93"/>
      <c r="UKE22" s="93"/>
      <c r="UKF22" s="93"/>
      <c r="UKG22" s="93"/>
      <c r="UKH22" s="93"/>
      <c r="UKI22" s="93"/>
      <c r="UKJ22" s="93"/>
      <c r="UKK22" s="93"/>
      <c r="UKL22" s="93"/>
      <c r="UKM22" s="93"/>
      <c r="UKN22" s="93"/>
      <c r="UKO22" s="93"/>
      <c r="UKP22" s="93"/>
      <c r="UKQ22" s="93"/>
      <c r="UKR22" s="93"/>
      <c r="UKS22" s="93"/>
      <c r="UKT22" s="93"/>
      <c r="UKU22" s="93"/>
      <c r="UKV22" s="93"/>
      <c r="UKW22" s="93"/>
      <c r="UKX22" s="93"/>
      <c r="UKY22" s="93"/>
      <c r="UKZ22" s="93"/>
      <c r="ULA22" s="93"/>
      <c r="ULB22" s="93"/>
      <c r="ULC22" s="93"/>
      <c r="ULD22" s="93"/>
      <c r="ULE22" s="93"/>
      <c r="ULF22" s="93"/>
      <c r="ULG22" s="93"/>
      <c r="ULH22" s="93"/>
      <c r="ULI22" s="93"/>
      <c r="ULJ22" s="93"/>
      <c r="ULK22" s="93"/>
      <c r="ULL22" s="93"/>
      <c r="ULM22" s="93"/>
      <c r="ULN22" s="93"/>
      <c r="ULO22" s="93"/>
      <c r="ULP22" s="93"/>
      <c r="ULQ22" s="93"/>
      <c r="ULR22" s="93"/>
      <c r="ULS22" s="93"/>
      <c r="ULT22" s="93"/>
      <c r="ULU22" s="93"/>
      <c r="ULV22" s="93"/>
      <c r="ULW22" s="93"/>
      <c r="ULX22" s="93"/>
      <c r="ULY22" s="93"/>
      <c r="ULZ22" s="93"/>
      <c r="UMA22" s="93"/>
      <c r="UMB22" s="93"/>
      <c r="UMC22" s="93"/>
      <c r="UMD22" s="93"/>
      <c r="UME22" s="93"/>
      <c r="UMF22" s="93"/>
      <c r="UMG22" s="93"/>
      <c r="UMH22" s="93"/>
      <c r="UMI22" s="93"/>
      <c r="UMJ22" s="93"/>
      <c r="UMK22" s="93"/>
      <c r="UML22" s="93"/>
      <c r="UMM22" s="93"/>
      <c r="UMN22" s="93"/>
      <c r="UMO22" s="93"/>
      <c r="UMP22" s="93"/>
      <c r="UMQ22" s="93"/>
      <c r="UMR22" s="93"/>
      <c r="UMS22" s="93"/>
      <c r="UMT22" s="93"/>
      <c r="UMU22" s="93"/>
      <c r="UMV22" s="93"/>
      <c r="UMW22" s="93"/>
      <c r="UMX22" s="93"/>
      <c r="UMY22" s="93"/>
      <c r="UMZ22" s="93"/>
      <c r="UNA22" s="93"/>
      <c r="UNB22" s="93"/>
      <c r="UNC22" s="93"/>
      <c r="UND22" s="93"/>
      <c r="UNE22" s="93"/>
      <c r="UNF22" s="93"/>
      <c r="UNG22" s="93"/>
      <c r="UNH22" s="93"/>
      <c r="UNI22" s="93"/>
      <c r="UNJ22" s="93"/>
      <c r="UNK22" s="93"/>
      <c r="UNL22" s="93"/>
      <c r="UNM22" s="93"/>
      <c r="UNN22" s="93"/>
      <c r="UNO22" s="93"/>
      <c r="UNP22" s="93"/>
      <c r="UNQ22" s="93"/>
      <c r="UNR22" s="93"/>
      <c r="UNS22" s="93"/>
      <c r="UNT22" s="93"/>
      <c r="UNU22" s="93"/>
      <c r="UNV22" s="93"/>
      <c r="UNW22" s="93"/>
      <c r="UNX22" s="93"/>
      <c r="UNY22" s="93"/>
      <c r="UNZ22" s="93"/>
      <c r="UOA22" s="93"/>
      <c r="UOB22" s="93"/>
      <c r="UOC22" s="93"/>
      <c r="UOD22" s="93"/>
      <c r="UOE22" s="93"/>
      <c r="UOF22" s="93"/>
      <c r="UOG22" s="93"/>
      <c r="UOH22" s="93"/>
      <c r="UOI22" s="93"/>
      <c r="UOJ22" s="93"/>
      <c r="UOK22" s="93"/>
      <c r="UOL22" s="93"/>
      <c r="UOM22" s="93"/>
      <c r="UON22" s="93"/>
      <c r="UOO22" s="93"/>
      <c r="UOP22" s="93"/>
      <c r="UOQ22" s="93"/>
      <c r="UOR22" s="93"/>
      <c r="UOS22" s="93"/>
      <c r="UOT22" s="93"/>
      <c r="UOU22" s="93"/>
      <c r="UOV22" s="93"/>
      <c r="UOW22" s="93"/>
      <c r="UOX22" s="93"/>
      <c r="UOY22" s="93"/>
      <c r="UOZ22" s="93"/>
      <c r="UPA22" s="93"/>
      <c r="UPB22" s="93"/>
      <c r="UPC22" s="93"/>
      <c r="UPD22" s="93"/>
      <c r="UPE22" s="93"/>
      <c r="UPF22" s="93"/>
      <c r="UPG22" s="93"/>
      <c r="UPH22" s="93"/>
      <c r="UPI22" s="93"/>
      <c r="UPJ22" s="93"/>
      <c r="UPK22" s="93"/>
      <c r="UPL22" s="93"/>
      <c r="UPM22" s="93"/>
      <c r="UPN22" s="93"/>
      <c r="UPO22" s="93"/>
      <c r="UPP22" s="93"/>
      <c r="UPQ22" s="93"/>
      <c r="UPR22" s="93"/>
      <c r="UPS22" s="93"/>
      <c r="UPT22" s="93"/>
      <c r="UPU22" s="93"/>
      <c r="UPV22" s="93"/>
      <c r="UPW22" s="93"/>
      <c r="UPX22" s="93"/>
      <c r="UPY22" s="93"/>
      <c r="UPZ22" s="93"/>
      <c r="UQA22" s="93"/>
      <c r="UQB22" s="93"/>
      <c r="UQC22" s="93"/>
      <c r="UQD22" s="93"/>
      <c r="UQE22" s="93"/>
      <c r="UQF22" s="93"/>
      <c r="UQG22" s="93"/>
      <c r="UQH22" s="93"/>
      <c r="UQI22" s="93"/>
      <c r="UQJ22" s="93"/>
      <c r="UQK22" s="93"/>
      <c r="UQL22" s="93"/>
      <c r="UQM22" s="93"/>
      <c r="UQN22" s="93"/>
      <c r="UQO22" s="93"/>
      <c r="UQP22" s="93"/>
      <c r="UQQ22" s="93"/>
      <c r="UQR22" s="93"/>
      <c r="UQS22" s="93"/>
      <c r="UQT22" s="93"/>
      <c r="UQU22" s="93"/>
      <c r="UQV22" s="93"/>
      <c r="UQW22" s="93"/>
      <c r="UQX22" s="93"/>
      <c r="UQY22" s="93"/>
      <c r="UQZ22" s="93"/>
      <c r="URA22" s="93"/>
      <c r="URB22" s="93"/>
      <c r="URC22" s="93"/>
      <c r="URD22" s="93"/>
      <c r="URE22" s="93"/>
      <c r="URF22" s="93"/>
      <c r="URG22" s="93"/>
      <c r="URH22" s="93"/>
      <c r="URI22" s="93"/>
      <c r="URJ22" s="93"/>
      <c r="URK22" s="93"/>
      <c r="URL22" s="93"/>
      <c r="URM22" s="93"/>
      <c r="URN22" s="93"/>
      <c r="URO22" s="93"/>
      <c r="URP22" s="93"/>
      <c r="URQ22" s="93"/>
      <c r="URR22" s="93"/>
      <c r="URS22" s="93"/>
      <c r="URT22" s="93"/>
      <c r="URU22" s="93"/>
      <c r="URV22" s="93"/>
      <c r="URW22" s="93"/>
      <c r="URX22" s="93"/>
      <c r="URY22" s="93"/>
      <c r="URZ22" s="93"/>
      <c r="USA22" s="93"/>
      <c r="USB22" s="93"/>
      <c r="USC22" s="93"/>
      <c r="USD22" s="93"/>
      <c r="USE22" s="93"/>
      <c r="USF22" s="93"/>
      <c r="USG22" s="93"/>
      <c r="USH22" s="93"/>
      <c r="USI22" s="93"/>
      <c r="USJ22" s="93"/>
      <c r="USK22" s="93"/>
      <c r="USL22" s="93"/>
      <c r="USM22" s="93"/>
      <c r="USN22" s="93"/>
      <c r="USO22" s="93"/>
      <c r="USP22" s="93"/>
      <c r="USQ22" s="93"/>
      <c r="USR22" s="93"/>
      <c r="USS22" s="93"/>
      <c r="UST22" s="93"/>
      <c r="USU22" s="93"/>
      <c r="USV22" s="93"/>
      <c r="USW22" s="93"/>
      <c r="USX22" s="93"/>
      <c r="USY22" s="93"/>
      <c r="USZ22" s="93"/>
      <c r="UTA22" s="93"/>
      <c r="UTB22" s="93"/>
      <c r="UTC22" s="93"/>
      <c r="UTD22" s="93"/>
      <c r="UTE22" s="93"/>
      <c r="UTF22" s="93"/>
      <c r="UTG22" s="93"/>
      <c r="UTH22" s="93"/>
      <c r="UTI22" s="93"/>
      <c r="UTJ22" s="93"/>
      <c r="UTK22" s="93"/>
      <c r="UTL22" s="93"/>
      <c r="UTM22" s="93"/>
      <c r="UTN22" s="93"/>
      <c r="UTO22" s="93"/>
      <c r="UTP22" s="93"/>
      <c r="UTQ22" s="93"/>
      <c r="UTR22" s="93"/>
      <c r="UTS22" s="93"/>
      <c r="UTT22" s="93"/>
      <c r="UTU22" s="93"/>
      <c r="UTV22" s="93"/>
      <c r="UTW22" s="93"/>
      <c r="UTX22" s="93"/>
      <c r="UTY22" s="93"/>
      <c r="UTZ22" s="93"/>
      <c r="UUA22" s="93"/>
      <c r="UUB22" s="93"/>
      <c r="UUC22" s="93"/>
      <c r="UUD22" s="93"/>
      <c r="UUE22" s="93"/>
      <c r="UUF22" s="93"/>
      <c r="UUG22" s="93"/>
      <c r="UUH22" s="93"/>
      <c r="UUI22" s="93"/>
      <c r="UUJ22" s="93"/>
      <c r="UUK22" s="93"/>
      <c r="UUL22" s="93"/>
      <c r="UUM22" s="93"/>
      <c r="UUN22" s="93"/>
      <c r="UUO22" s="93"/>
      <c r="UUP22" s="93"/>
      <c r="UUQ22" s="93"/>
      <c r="UUR22" s="93"/>
      <c r="UUS22" s="93"/>
      <c r="UUT22" s="93"/>
      <c r="UUU22" s="93"/>
      <c r="UUV22" s="93"/>
      <c r="UUW22" s="93"/>
      <c r="UUX22" s="93"/>
      <c r="UUY22" s="93"/>
      <c r="UUZ22" s="93"/>
      <c r="UVA22" s="93"/>
      <c r="UVB22" s="93"/>
      <c r="UVC22" s="93"/>
      <c r="UVD22" s="93"/>
      <c r="UVE22" s="93"/>
      <c r="UVF22" s="93"/>
      <c r="UVG22" s="93"/>
      <c r="UVH22" s="93"/>
      <c r="UVI22" s="93"/>
      <c r="UVJ22" s="93"/>
      <c r="UVK22" s="93"/>
      <c r="UVL22" s="93"/>
      <c r="UVM22" s="93"/>
      <c r="UVN22" s="93"/>
      <c r="UVO22" s="93"/>
      <c r="UVP22" s="93"/>
      <c r="UVQ22" s="93"/>
      <c r="UVR22" s="93"/>
      <c r="UVS22" s="93"/>
      <c r="UVT22" s="93"/>
      <c r="UVU22" s="93"/>
      <c r="UVV22" s="93"/>
      <c r="UVW22" s="93"/>
      <c r="UVX22" s="93"/>
      <c r="UVY22" s="93"/>
      <c r="UVZ22" s="93"/>
      <c r="UWA22" s="93"/>
      <c r="UWB22" s="93"/>
      <c r="UWC22" s="93"/>
      <c r="UWD22" s="93"/>
      <c r="UWE22" s="93"/>
      <c r="UWF22" s="93"/>
      <c r="UWG22" s="93"/>
      <c r="UWH22" s="93"/>
      <c r="UWI22" s="93"/>
      <c r="UWJ22" s="93"/>
      <c r="UWK22" s="93"/>
      <c r="UWL22" s="93"/>
      <c r="UWM22" s="93"/>
      <c r="UWN22" s="93"/>
      <c r="UWO22" s="93"/>
      <c r="UWP22" s="93"/>
      <c r="UWQ22" s="93"/>
      <c r="UWR22" s="93"/>
      <c r="UWS22" s="93"/>
      <c r="UWT22" s="93"/>
      <c r="UWU22" s="93"/>
      <c r="UWV22" s="93"/>
      <c r="UWW22" s="93"/>
      <c r="UWX22" s="93"/>
      <c r="UWY22" s="93"/>
      <c r="UWZ22" s="93"/>
      <c r="UXA22" s="93"/>
      <c r="UXB22" s="93"/>
      <c r="UXC22" s="93"/>
      <c r="UXD22" s="93"/>
      <c r="UXE22" s="93"/>
      <c r="UXF22" s="93"/>
      <c r="UXG22" s="93"/>
      <c r="UXH22" s="93"/>
      <c r="UXI22" s="93"/>
      <c r="UXJ22" s="93"/>
      <c r="UXK22" s="93"/>
      <c r="UXL22" s="93"/>
      <c r="UXM22" s="93"/>
      <c r="UXN22" s="93"/>
      <c r="UXO22" s="93"/>
      <c r="UXP22" s="93"/>
      <c r="UXQ22" s="93"/>
      <c r="UXR22" s="93"/>
      <c r="UXS22" s="93"/>
      <c r="UXT22" s="93"/>
      <c r="UXU22" s="93"/>
      <c r="UXV22" s="93"/>
      <c r="UXW22" s="93"/>
      <c r="UXX22" s="93"/>
      <c r="UXY22" s="93"/>
      <c r="UXZ22" s="93"/>
      <c r="UYA22" s="93"/>
      <c r="UYB22" s="93"/>
      <c r="UYC22" s="93"/>
      <c r="UYD22" s="93"/>
      <c r="UYE22" s="93"/>
      <c r="UYF22" s="93"/>
      <c r="UYG22" s="93"/>
      <c r="UYH22" s="93"/>
      <c r="UYI22" s="93"/>
      <c r="UYJ22" s="93"/>
      <c r="UYK22" s="93"/>
      <c r="UYL22" s="93"/>
      <c r="UYM22" s="93"/>
      <c r="UYN22" s="93"/>
      <c r="UYO22" s="93"/>
      <c r="UYP22" s="93"/>
      <c r="UYQ22" s="93"/>
      <c r="UYR22" s="93"/>
      <c r="UYS22" s="93"/>
      <c r="UYT22" s="93"/>
      <c r="UYU22" s="93"/>
      <c r="UYV22" s="93"/>
      <c r="UYW22" s="93"/>
      <c r="UYX22" s="93"/>
      <c r="UYY22" s="93"/>
      <c r="UYZ22" s="93"/>
      <c r="UZA22" s="93"/>
      <c r="UZB22" s="93"/>
      <c r="UZC22" s="93"/>
      <c r="UZD22" s="93"/>
      <c r="UZE22" s="93"/>
      <c r="UZF22" s="93"/>
      <c r="UZG22" s="93"/>
      <c r="UZH22" s="93"/>
      <c r="UZI22" s="93"/>
      <c r="UZJ22" s="93"/>
      <c r="UZK22" s="93"/>
      <c r="UZL22" s="93"/>
      <c r="UZM22" s="93"/>
      <c r="UZN22" s="93"/>
      <c r="UZO22" s="93"/>
      <c r="UZP22" s="93"/>
      <c r="UZQ22" s="93"/>
      <c r="UZR22" s="93"/>
      <c r="UZS22" s="93"/>
      <c r="UZT22" s="93"/>
      <c r="UZU22" s="93"/>
      <c r="UZV22" s="93"/>
      <c r="UZW22" s="93"/>
      <c r="UZX22" s="93"/>
      <c r="UZY22" s="93"/>
      <c r="UZZ22" s="93"/>
      <c r="VAA22" s="93"/>
      <c r="VAB22" s="93"/>
      <c r="VAC22" s="93"/>
      <c r="VAD22" s="93"/>
      <c r="VAE22" s="93"/>
      <c r="VAF22" s="93"/>
      <c r="VAG22" s="93"/>
      <c r="VAH22" s="93"/>
      <c r="VAI22" s="93"/>
      <c r="VAJ22" s="93"/>
      <c r="VAK22" s="93"/>
      <c r="VAL22" s="93"/>
      <c r="VAM22" s="93"/>
      <c r="VAN22" s="93"/>
      <c r="VAO22" s="93"/>
      <c r="VAP22" s="93"/>
      <c r="VAQ22" s="93"/>
      <c r="VAR22" s="93"/>
      <c r="VAS22" s="93"/>
      <c r="VAT22" s="93"/>
      <c r="VAU22" s="93"/>
      <c r="VAV22" s="93"/>
      <c r="VAW22" s="93"/>
      <c r="VAX22" s="93"/>
      <c r="VAY22" s="93"/>
      <c r="VAZ22" s="93"/>
      <c r="VBA22" s="93"/>
      <c r="VBB22" s="93"/>
      <c r="VBC22" s="93"/>
      <c r="VBD22" s="93"/>
      <c r="VBE22" s="93"/>
      <c r="VBF22" s="93"/>
      <c r="VBG22" s="93"/>
      <c r="VBH22" s="93"/>
      <c r="VBI22" s="93"/>
      <c r="VBJ22" s="93"/>
      <c r="VBK22" s="93"/>
      <c r="VBL22" s="93"/>
      <c r="VBM22" s="93"/>
      <c r="VBN22" s="93"/>
      <c r="VBO22" s="93"/>
      <c r="VBP22" s="93"/>
      <c r="VBQ22" s="93"/>
      <c r="VBR22" s="93"/>
      <c r="VBS22" s="93"/>
      <c r="VBT22" s="93"/>
      <c r="VBU22" s="93"/>
      <c r="VBV22" s="93"/>
      <c r="VBW22" s="93"/>
      <c r="VBX22" s="93"/>
      <c r="VBY22" s="93"/>
      <c r="VBZ22" s="93"/>
      <c r="VCA22" s="93"/>
      <c r="VCB22" s="93"/>
      <c r="VCC22" s="93"/>
      <c r="VCD22" s="93"/>
      <c r="VCE22" s="93"/>
      <c r="VCF22" s="93"/>
      <c r="VCG22" s="93"/>
      <c r="VCH22" s="93"/>
      <c r="VCI22" s="93"/>
      <c r="VCJ22" s="93"/>
      <c r="VCK22" s="93"/>
      <c r="VCL22" s="93"/>
      <c r="VCM22" s="93"/>
      <c r="VCN22" s="93"/>
      <c r="VCO22" s="93"/>
      <c r="VCP22" s="93"/>
      <c r="VCQ22" s="93"/>
      <c r="VCR22" s="93"/>
      <c r="VCS22" s="93"/>
      <c r="VCT22" s="93"/>
      <c r="VCU22" s="93"/>
      <c r="VCV22" s="93"/>
      <c r="VCW22" s="93"/>
      <c r="VCX22" s="93"/>
      <c r="VCY22" s="93"/>
      <c r="VCZ22" s="93"/>
      <c r="VDA22" s="93"/>
      <c r="VDB22" s="93"/>
      <c r="VDC22" s="93"/>
      <c r="VDD22" s="93"/>
      <c r="VDE22" s="93"/>
      <c r="VDF22" s="93"/>
      <c r="VDG22" s="93"/>
      <c r="VDH22" s="93"/>
      <c r="VDI22" s="93"/>
      <c r="VDJ22" s="93"/>
      <c r="VDK22" s="93"/>
      <c r="VDL22" s="93"/>
      <c r="VDM22" s="93"/>
      <c r="VDN22" s="93"/>
      <c r="VDO22" s="93"/>
      <c r="VDP22" s="93"/>
      <c r="VDQ22" s="93"/>
      <c r="VDR22" s="93"/>
      <c r="VDS22" s="93"/>
      <c r="VDT22" s="93"/>
      <c r="VDU22" s="93"/>
      <c r="VDV22" s="93"/>
      <c r="VDW22" s="93"/>
      <c r="VDX22" s="93"/>
      <c r="VDY22" s="93"/>
      <c r="VDZ22" s="93"/>
      <c r="VEA22" s="93"/>
      <c r="VEB22" s="93"/>
      <c r="VEC22" s="93"/>
      <c r="VED22" s="93"/>
      <c r="VEE22" s="93"/>
      <c r="VEF22" s="93"/>
      <c r="VEG22" s="93"/>
      <c r="VEH22" s="93"/>
      <c r="VEI22" s="93"/>
      <c r="VEJ22" s="93"/>
      <c r="VEK22" s="93"/>
      <c r="VEL22" s="93"/>
      <c r="VEM22" s="93"/>
      <c r="VEN22" s="93"/>
      <c r="VEO22" s="93"/>
      <c r="VEP22" s="93"/>
      <c r="VEQ22" s="93"/>
      <c r="VER22" s="93"/>
      <c r="VES22" s="93"/>
      <c r="VET22" s="93"/>
      <c r="VEU22" s="93"/>
      <c r="VEV22" s="93"/>
      <c r="VEW22" s="93"/>
      <c r="VEX22" s="93"/>
      <c r="VEY22" s="93"/>
      <c r="VEZ22" s="93"/>
      <c r="VFA22" s="93"/>
      <c r="VFB22" s="93"/>
      <c r="VFC22" s="93"/>
      <c r="VFD22" s="93"/>
      <c r="VFE22" s="93"/>
      <c r="VFF22" s="93"/>
      <c r="VFG22" s="93"/>
      <c r="VFH22" s="93"/>
      <c r="VFI22" s="93"/>
      <c r="VFJ22" s="93"/>
      <c r="VFK22" s="93"/>
      <c r="VFL22" s="93"/>
      <c r="VFM22" s="93"/>
      <c r="VFN22" s="93"/>
      <c r="VFO22" s="93"/>
      <c r="VFP22" s="93"/>
      <c r="VFQ22" s="93"/>
      <c r="VFR22" s="93"/>
      <c r="VFS22" s="93"/>
      <c r="VFT22" s="93"/>
      <c r="VFU22" s="93"/>
      <c r="VFV22" s="93"/>
      <c r="VFW22" s="93"/>
      <c r="VFX22" s="93"/>
      <c r="VFY22" s="93"/>
      <c r="VFZ22" s="93"/>
      <c r="VGA22" s="93"/>
      <c r="VGB22" s="93"/>
      <c r="VGC22" s="93"/>
      <c r="VGD22" s="93"/>
      <c r="VGE22" s="93"/>
      <c r="VGF22" s="93"/>
      <c r="VGG22" s="93"/>
      <c r="VGH22" s="93"/>
      <c r="VGI22" s="93"/>
      <c r="VGJ22" s="93"/>
      <c r="VGK22" s="93"/>
      <c r="VGL22" s="93"/>
      <c r="VGM22" s="93"/>
      <c r="VGN22" s="93"/>
      <c r="VGO22" s="93"/>
      <c r="VGP22" s="93"/>
      <c r="VGQ22" s="93"/>
      <c r="VGR22" s="93"/>
      <c r="VGS22" s="93"/>
      <c r="VGT22" s="93"/>
      <c r="VGU22" s="93"/>
      <c r="VGV22" s="93"/>
      <c r="VGW22" s="93"/>
      <c r="VGX22" s="93"/>
      <c r="VGY22" s="93"/>
      <c r="VGZ22" s="93"/>
      <c r="VHA22" s="93"/>
      <c r="VHB22" s="93"/>
      <c r="VHC22" s="93"/>
      <c r="VHD22" s="93"/>
      <c r="VHE22" s="93"/>
      <c r="VHF22" s="93"/>
      <c r="VHG22" s="93"/>
      <c r="VHH22" s="93"/>
      <c r="VHI22" s="93"/>
      <c r="VHJ22" s="93"/>
      <c r="VHK22" s="93"/>
      <c r="VHL22" s="93"/>
      <c r="VHM22" s="93"/>
      <c r="VHN22" s="93"/>
      <c r="VHO22" s="93"/>
      <c r="VHP22" s="93"/>
      <c r="VHQ22" s="93"/>
      <c r="VHR22" s="93"/>
      <c r="VHS22" s="93"/>
      <c r="VHT22" s="93"/>
      <c r="VHU22" s="93"/>
      <c r="VHV22" s="93"/>
      <c r="VHW22" s="93"/>
      <c r="VHX22" s="93"/>
      <c r="VHY22" s="93"/>
      <c r="VHZ22" s="93"/>
      <c r="VIA22" s="93"/>
      <c r="VIB22" s="93"/>
      <c r="VIC22" s="93"/>
      <c r="VID22" s="93"/>
      <c r="VIE22" s="93"/>
      <c r="VIF22" s="93"/>
      <c r="VIG22" s="93"/>
      <c r="VIH22" s="93"/>
      <c r="VII22" s="93"/>
      <c r="VIJ22" s="93"/>
      <c r="VIK22" s="93"/>
      <c r="VIL22" s="93"/>
      <c r="VIM22" s="93"/>
      <c r="VIN22" s="93"/>
      <c r="VIO22" s="93"/>
      <c r="VIP22" s="93"/>
      <c r="VIQ22" s="93"/>
      <c r="VIR22" s="93"/>
      <c r="VIS22" s="93"/>
      <c r="VIT22" s="93"/>
      <c r="VIU22" s="93"/>
      <c r="VIV22" s="93"/>
      <c r="VIW22" s="93"/>
      <c r="VIX22" s="93"/>
      <c r="VIY22" s="93"/>
      <c r="VIZ22" s="93"/>
      <c r="VJA22" s="93"/>
      <c r="VJB22" s="93"/>
      <c r="VJC22" s="93"/>
      <c r="VJD22" s="93"/>
      <c r="VJE22" s="93"/>
      <c r="VJF22" s="93"/>
      <c r="VJG22" s="93"/>
      <c r="VJH22" s="93"/>
      <c r="VJI22" s="93"/>
      <c r="VJJ22" s="93"/>
      <c r="VJK22" s="93"/>
      <c r="VJL22" s="93"/>
      <c r="VJM22" s="93"/>
      <c r="VJN22" s="93"/>
      <c r="VJO22" s="93"/>
      <c r="VJP22" s="93"/>
      <c r="VJQ22" s="93"/>
      <c r="VJR22" s="93"/>
      <c r="VJS22" s="93"/>
      <c r="VJT22" s="93"/>
      <c r="VJU22" s="93"/>
      <c r="VJV22" s="93"/>
      <c r="VJW22" s="93"/>
      <c r="VJX22" s="93"/>
      <c r="VJY22" s="93"/>
      <c r="VJZ22" s="93"/>
      <c r="VKA22" s="93"/>
      <c r="VKB22" s="93"/>
      <c r="VKC22" s="93"/>
      <c r="VKD22" s="93"/>
      <c r="VKE22" s="93"/>
      <c r="VKF22" s="93"/>
      <c r="VKG22" s="93"/>
      <c r="VKH22" s="93"/>
      <c r="VKI22" s="93"/>
      <c r="VKJ22" s="93"/>
      <c r="VKK22" s="93"/>
      <c r="VKL22" s="93"/>
      <c r="VKM22" s="93"/>
      <c r="VKN22" s="93"/>
      <c r="VKO22" s="93"/>
      <c r="VKP22" s="93"/>
      <c r="VKQ22" s="93"/>
      <c r="VKR22" s="93"/>
      <c r="VKS22" s="93"/>
      <c r="VKT22" s="93"/>
      <c r="VKU22" s="93"/>
      <c r="VKV22" s="93"/>
      <c r="VKW22" s="93"/>
      <c r="VKX22" s="93"/>
      <c r="VKY22" s="93"/>
      <c r="VKZ22" s="93"/>
      <c r="VLA22" s="93"/>
      <c r="VLB22" s="93"/>
      <c r="VLC22" s="93"/>
      <c r="VLD22" s="93"/>
      <c r="VLE22" s="93"/>
      <c r="VLF22" s="93"/>
      <c r="VLG22" s="93"/>
      <c r="VLH22" s="93"/>
      <c r="VLI22" s="93"/>
      <c r="VLJ22" s="93"/>
      <c r="VLK22" s="93"/>
      <c r="VLL22" s="93"/>
      <c r="VLM22" s="93"/>
      <c r="VLN22" s="93"/>
      <c r="VLO22" s="93"/>
      <c r="VLP22" s="93"/>
      <c r="VLQ22" s="93"/>
      <c r="VLR22" s="93"/>
      <c r="VLS22" s="93"/>
      <c r="VLT22" s="93"/>
      <c r="VLU22" s="93"/>
      <c r="VLV22" s="93"/>
      <c r="VLW22" s="93"/>
      <c r="VLX22" s="93"/>
      <c r="VLY22" s="93"/>
      <c r="VLZ22" s="93"/>
      <c r="VMA22" s="93"/>
      <c r="VMB22" s="93"/>
      <c r="VMC22" s="93"/>
      <c r="VMD22" s="93"/>
      <c r="VME22" s="93"/>
      <c r="VMF22" s="93"/>
      <c r="VMG22" s="93"/>
      <c r="VMH22" s="93"/>
      <c r="VMI22" s="93"/>
      <c r="VMJ22" s="93"/>
      <c r="VMK22" s="93"/>
      <c r="VML22" s="93"/>
      <c r="VMM22" s="93"/>
      <c r="VMN22" s="93"/>
      <c r="VMO22" s="93"/>
      <c r="VMP22" s="93"/>
      <c r="VMQ22" s="93"/>
      <c r="VMR22" s="93"/>
      <c r="VMS22" s="93"/>
      <c r="VMT22" s="93"/>
      <c r="VMU22" s="93"/>
      <c r="VMV22" s="93"/>
      <c r="VMW22" s="93"/>
      <c r="VMX22" s="93"/>
      <c r="VMY22" s="93"/>
      <c r="VMZ22" s="93"/>
      <c r="VNA22" s="93"/>
      <c r="VNB22" s="93"/>
      <c r="VNC22" s="93"/>
      <c r="VND22" s="93"/>
      <c r="VNE22" s="93"/>
      <c r="VNF22" s="93"/>
      <c r="VNG22" s="93"/>
      <c r="VNH22" s="93"/>
      <c r="VNI22" s="93"/>
      <c r="VNJ22" s="93"/>
      <c r="VNK22" s="93"/>
      <c r="VNL22" s="93"/>
      <c r="VNM22" s="93"/>
      <c r="VNN22" s="93"/>
      <c r="VNO22" s="93"/>
      <c r="VNP22" s="93"/>
      <c r="VNQ22" s="93"/>
      <c r="VNR22" s="93"/>
      <c r="VNS22" s="93"/>
      <c r="VNT22" s="93"/>
      <c r="VNU22" s="93"/>
      <c r="VNV22" s="93"/>
      <c r="VNW22" s="93"/>
      <c r="VNX22" s="93"/>
      <c r="VNY22" s="93"/>
      <c r="VNZ22" s="93"/>
      <c r="VOA22" s="93"/>
      <c r="VOB22" s="93"/>
      <c r="VOC22" s="93"/>
      <c r="VOD22" s="93"/>
      <c r="VOE22" s="93"/>
      <c r="VOF22" s="93"/>
      <c r="VOG22" s="93"/>
      <c r="VOH22" s="93"/>
      <c r="VOI22" s="93"/>
      <c r="VOJ22" s="93"/>
      <c r="VOK22" s="93"/>
      <c r="VOL22" s="93"/>
      <c r="VOM22" s="93"/>
      <c r="VON22" s="93"/>
      <c r="VOO22" s="93"/>
      <c r="VOP22" s="93"/>
      <c r="VOQ22" s="93"/>
      <c r="VOR22" s="93"/>
      <c r="VOS22" s="93"/>
      <c r="VOT22" s="93"/>
      <c r="VOU22" s="93"/>
      <c r="VOV22" s="93"/>
      <c r="VOW22" s="93"/>
      <c r="VOX22" s="93"/>
      <c r="VOY22" s="93"/>
      <c r="VOZ22" s="93"/>
      <c r="VPA22" s="93"/>
      <c r="VPB22" s="93"/>
      <c r="VPC22" s="93"/>
      <c r="VPD22" s="93"/>
      <c r="VPE22" s="93"/>
      <c r="VPF22" s="93"/>
      <c r="VPG22" s="93"/>
      <c r="VPH22" s="93"/>
      <c r="VPI22" s="93"/>
      <c r="VPJ22" s="93"/>
      <c r="VPK22" s="93"/>
      <c r="VPL22" s="93"/>
      <c r="VPM22" s="93"/>
      <c r="VPN22" s="93"/>
      <c r="VPO22" s="93"/>
      <c r="VPP22" s="93"/>
      <c r="VPQ22" s="93"/>
      <c r="VPR22" s="93"/>
      <c r="VPS22" s="93"/>
      <c r="VPT22" s="93"/>
      <c r="VPU22" s="93"/>
      <c r="VPV22" s="93"/>
      <c r="VPW22" s="93"/>
      <c r="VPX22" s="93"/>
      <c r="VPY22" s="93"/>
      <c r="VPZ22" s="93"/>
      <c r="VQA22" s="93"/>
      <c r="VQB22" s="93"/>
      <c r="VQC22" s="93"/>
      <c r="VQD22" s="93"/>
      <c r="VQE22" s="93"/>
      <c r="VQF22" s="93"/>
      <c r="VQG22" s="93"/>
      <c r="VQH22" s="93"/>
      <c r="VQI22" s="93"/>
      <c r="VQJ22" s="93"/>
      <c r="VQK22" s="93"/>
      <c r="VQL22" s="93"/>
      <c r="VQM22" s="93"/>
      <c r="VQN22" s="93"/>
      <c r="VQO22" s="93"/>
      <c r="VQP22" s="93"/>
      <c r="VQQ22" s="93"/>
      <c r="VQR22" s="93"/>
      <c r="VQS22" s="93"/>
      <c r="VQT22" s="93"/>
      <c r="VQU22" s="93"/>
      <c r="VQV22" s="93"/>
      <c r="VQW22" s="93"/>
      <c r="VQX22" s="93"/>
      <c r="VQY22" s="93"/>
      <c r="VQZ22" s="93"/>
      <c r="VRA22" s="93"/>
      <c r="VRB22" s="93"/>
      <c r="VRC22" s="93"/>
      <c r="VRD22" s="93"/>
      <c r="VRE22" s="93"/>
      <c r="VRF22" s="93"/>
      <c r="VRG22" s="93"/>
      <c r="VRH22" s="93"/>
      <c r="VRI22" s="93"/>
      <c r="VRJ22" s="93"/>
      <c r="VRK22" s="93"/>
      <c r="VRL22" s="93"/>
      <c r="VRM22" s="93"/>
      <c r="VRN22" s="93"/>
      <c r="VRO22" s="93"/>
      <c r="VRP22" s="93"/>
      <c r="VRQ22" s="93"/>
      <c r="VRR22" s="93"/>
      <c r="VRS22" s="93"/>
      <c r="VRT22" s="93"/>
      <c r="VRU22" s="93"/>
      <c r="VRV22" s="93"/>
      <c r="VRW22" s="93"/>
      <c r="VRX22" s="93"/>
      <c r="VRY22" s="93"/>
      <c r="VRZ22" s="93"/>
      <c r="VSA22" s="93"/>
      <c r="VSB22" s="93"/>
      <c r="VSC22" s="93"/>
      <c r="VSD22" s="93"/>
      <c r="VSE22" s="93"/>
      <c r="VSF22" s="93"/>
      <c r="VSG22" s="93"/>
      <c r="VSH22" s="93"/>
      <c r="VSI22" s="93"/>
      <c r="VSJ22" s="93"/>
      <c r="VSK22" s="93"/>
      <c r="VSL22" s="93"/>
      <c r="VSM22" s="93"/>
      <c r="VSN22" s="93"/>
      <c r="VSO22" s="93"/>
      <c r="VSP22" s="93"/>
      <c r="VSQ22" s="93"/>
      <c r="VSR22" s="93"/>
      <c r="VSS22" s="93"/>
      <c r="VST22" s="93"/>
      <c r="VSU22" s="93"/>
      <c r="VSV22" s="93"/>
      <c r="VSW22" s="93"/>
      <c r="VSX22" s="93"/>
      <c r="VSY22" s="93"/>
      <c r="VSZ22" s="93"/>
      <c r="VTA22" s="93"/>
      <c r="VTB22" s="93"/>
      <c r="VTC22" s="93"/>
      <c r="VTD22" s="93"/>
      <c r="VTE22" s="93"/>
      <c r="VTF22" s="93"/>
      <c r="VTG22" s="93"/>
      <c r="VTH22" s="93"/>
      <c r="VTI22" s="93"/>
      <c r="VTJ22" s="93"/>
      <c r="VTK22" s="93"/>
      <c r="VTL22" s="93"/>
      <c r="VTM22" s="93"/>
      <c r="VTN22" s="93"/>
      <c r="VTO22" s="93"/>
      <c r="VTP22" s="93"/>
      <c r="VTQ22" s="93"/>
      <c r="VTR22" s="93"/>
      <c r="VTS22" s="93"/>
      <c r="VTT22" s="93"/>
      <c r="VTU22" s="93"/>
      <c r="VTV22" s="93"/>
      <c r="VTW22" s="93"/>
      <c r="VTX22" s="93"/>
      <c r="VTY22" s="93"/>
      <c r="VTZ22" s="93"/>
      <c r="VUA22" s="93"/>
      <c r="VUB22" s="93"/>
      <c r="VUC22" s="93"/>
      <c r="VUD22" s="93"/>
      <c r="VUE22" s="93"/>
      <c r="VUF22" s="93"/>
      <c r="VUG22" s="93"/>
      <c r="VUH22" s="93"/>
      <c r="VUI22" s="93"/>
      <c r="VUJ22" s="93"/>
      <c r="VUK22" s="93"/>
      <c r="VUL22" s="93"/>
      <c r="VUM22" s="93"/>
      <c r="VUN22" s="93"/>
      <c r="VUO22" s="93"/>
      <c r="VUP22" s="93"/>
      <c r="VUQ22" s="93"/>
      <c r="VUR22" s="93"/>
      <c r="VUS22" s="93"/>
      <c r="VUT22" s="93"/>
      <c r="VUU22" s="93"/>
      <c r="VUV22" s="93"/>
      <c r="VUW22" s="93"/>
      <c r="VUX22" s="93"/>
      <c r="VUY22" s="93"/>
      <c r="VUZ22" s="93"/>
      <c r="VVA22" s="93"/>
      <c r="VVB22" s="93"/>
      <c r="VVC22" s="93"/>
      <c r="VVD22" s="93"/>
      <c r="VVE22" s="93"/>
      <c r="VVF22" s="93"/>
      <c r="VVG22" s="93"/>
      <c r="VVH22" s="93"/>
      <c r="VVI22" s="93"/>
      <c r="VVJ22" s="93"/>
      <c r="VVK22" s="93"/>
      <c r="VVL22" s="93"/>
      <c r="VVM22" s="93"/>
      <c r="VVN22" s="93"/>
      <c r="VVO22" s="93"/>
      <c r="VVP22" s="93"/>
      <c r="VVQ22" s="93"/>
      <c r="VVR22" s="93"/>
      <c r="VVS22" s="93"/>
      <c r="VVT22" s="93"/>
      <c r="VVU22" s="93"/>
      <c r="VVV22" s="93"/>
      <c r="VVW22" s="93"/>
      <c r="VVX22" s="93"/>
      <c r="VVY22" s="93"/>
      <c r="VVZ22" s="93"/>
      <c r="VWA22" s="93"/>
      <c r="VWB22" s="93"/>
      <c r="VWC22" s="93"/>
      <c r="VWD22" s="93"/>
      <c r="VWE22" s="93"/>
      <c r="VWF22" s="93"/>
      <c r="VWG22" s="93"/>
      <c r="VWH22" s="93"/>
      <c r="VWI22" s="93"/>
      <c r="VWJ22" s="93"/>
      <c r="VWK22" s="93"/>
      <c r="VWL22" s="93"/>
      <c r="VWM22" s="93"/>
      <c r="VWN22" s="93"/>
      <c r="VWO22" s="93"/>
      <c r="VWP22" s="93"/>
      <c r="VWQ22" s="93"/>
      <c r="VWR22" s="93"/>
      <c r="VWS22" s="93"/>
      <c r="VWT22" s="93"/>
      <c r="VWU22" s="93"/>
      <c r="VWV22" s="93"/>
      <c r="VWW22" s="93"/>
      <c r="VWX22" s="93"/>
      <c r="VWY22" s="93"/>
      <c r="VWZ22" s="93"/>
      <c r="VXA22" s="93"/>
      <c r="VXB22" s="93"/>
      <c r="VXC22" s="93"/>
      <c r="VXD22" s="93"/>
      <c r="VXE22" s="93"/>
      <c r="VXF22" s="93"/>
      <c r="VXG22" s="93"/>
      <c r="VXH22" s="93"/>
      <c r="VXI22" s="93"/>
      <c r="VXJ22" s="93"/>
      <c r="VXK22" s="93"/>
      <c r="VXL22" s="93"/>
      <c r="VXM22" s="93"/>
      <c r="VXN22" s="93"/>
      <c r="VXO22" s="93"/>
      <c r="VXP22" s="93"/>
      <c r="VXQ22" s="93"/>
      <c r="VXR22" s="93"/>
      <c r="VXS22" s="93"/>
      <c r="VXT22" s="93"/>
      <c r="VXU22" s="93"/>
      <c r="VXV22" s="93"/>
      <c r="VXW22" s="93"/>
      <c r="VXX22" s="93"/>
      <c r="VXY22" s="93"/>
      <c r="VXZ22" s="93"/>
      <c r="VYA22" s="93"/>
      <c r="VYB22" s="93"/>
      <c r="VYC22" s="93"/>
      <c r="VYD22" s="93"/>
      <c r="VYE22" s="93"/>
      <c r="VYF22" s="93"/>
      <c r="VYG22" s="93"/>
      <c r="VYH22" s="93"/>
      <c r="VYI22" s="93"/>
      <c r="VYJ22" s="93"/>
      <c r="VYK22" s="93"/>
      <c r="VYL22" s="93"/>
      <c r="VYM22" s="93"/>
      <c r="VYN22" s="93"/>
      <c r="VYO22" s="93"/>
      <c r="VYP22" s="93"/>
      <c r="VYQ22" s="93"/>
      <c r="VYR22" s="93"/>
      <c r="VYS22" s="93"/>
      <c r="VYT22" s="93"/>
      <c r="VYU22" s="93"/>
      <c r="VYV22" s="93"/>
      <c r="VYW22" s="93"/>
      <c r="VYX22" s="93"/>
      <c r="VYY22" s="93"/>
      <c r="VYZ22" s="93"/>
      <c r="VZA22" s="93"/>
      <c r="VZB22" s="93"/>
      <c r="VZC22" s="93"/>
      <c r="VZD22" s="93"/>
      <c r="VZE22" s="93"/>
      <c r="VZF22" s="93"/>
      <c r="VZG22" s="93"/>
      <c r="VZH22" s="93"/>
      <c r="VZI22" s="93"/>
      <c r="VZJ22" s="93"/>
      <c r="VZK22" s="93"/>
      <c r="VZL22" s="93"/>
      <c r="VZM22" s="93"/>
      <c r="VZN22" s="93"/>
      <c r="VZO22" s="93"/>
      <c r="VZP22" s="93"/>
      <c r="VZQ22" s="93"/>
      <c r="VZR22" s="93"/>
      <c r="VZS22" s="93"/>
      <c r="VZT22" s="93"/>
      <c r="VZU22" s="93"/>
      <c r="VZV22" s="93"/>
      <c r="VZW22" s="93"/>
      <c r="VZX22" s="93"/>
      <c r="VZY22" s="93"/>
      <c r="VZZ22" s="93"/>
      <c r="WAA22" s="93"/>
      <c r="WAB22" s="93"/>
      <c r="WAC22" s="93"/>
      <c r="WAD22" s="93"/>
      <c r="WAE22" s="93"/>
      <c r="WAF22" s="93"/>
      <c r="WAG22" s="93"/>
      <c r="WAH22" s="93"/>
      <c r="WAI22" s="93"/>
      <c r="WAJ22" s="93"/>
      <c r="WAK22" s="93"/>
      <c r="WAL22" s="93"/>
      <c r="WAM22" s="93"/>
      <c r="WAN22" s="93"/>
      <c r="WAO22" s="93"/>
      <c r="WAP22" s="93"/>
      <c r="WAQ22" s="93"/>
      <c r="WAR22" s="93"/>
      <c r="WAS22" s="93"/>
      <c r="WAT22" s="93"/>
      <c r="WAU22" s="93"/>
      <c r="WAV22" s="93"/>
      <c r="WAW22" s="93"/>
      <c r="WAX22" s="93"/>
      <c r="WAY22" s="93"/>
      <c r="WAZ22" s="93"/>
      <c r="WBA22" s="93"/>
      <c r="WBB22" s="93"/>
      <c r="WBC22" s="93"/>
      <c r="WBD22" s="93"/>
      <c r="WBE22" s="93"/>
      <c r="WBF22" s="93"/>
      <c r="WBG22" s="93"/>
      <c r="WBH22" s="93"/>
      <c r="WBI22" s="93"/>
      <c r="WBJ22" s="93"/>
      <c r="WBK22" s="93"/>
      <c r="WBL22" s="93"/>
      <c r="WBM22" s="93"/>
      <c r="WBN22" s="93"/>
      <c r="WBO22" s="93"/>
      <c r="WBP22" s="93"/>
      <c r="WBQ22" s="93"/>
      <c r="WBR22" s="93"/>
      <c r="WBS22" s="93"/>
      <c r="WBT22" s="93"/>
      <c r="WBU22" s="93"/>
      <c r="WBV22" s="93"/>
      <c r="WBW22" s="93"/>
      <c r="WBX22" s="93"/>
      <c r="WBY22" s="93"/>
      <c r="WBZ22" s="93"/>
      <c r="WCA22" s="93"/>
      <c r="WCB22" s="93"/>
      <c r="WCC22" s="93"/>
      <c r="WCD22" s="93"/>
      <c r="WCE22" s="93"/>
      <c r="WCF22" s="93"/>
      <c r="WCG22" s="93"/>
      <c r="WCH22" s="93"/>
      <c r="WCI22" s="93"/>
      <c r="WCJ22" s="93"/>
      <c r="WCK22" s="93"/>
      <c r="WCL22" s="93"/>
      <c r="WCM22" s="93"/>
      <c r="WCN22" s="93"/>
      <c r="WCO22" s="93"/>
      <c r="WCP22" s="93"/>
      <c r="WCQ22" s="93"/>
      <c r="WCR22" s="93"/>
      <c r="WCS22" s="93"/>
      <c r="WCT22" s="93"/>
      <c r="WCU22" s="93"/>
      <c r="WCV22" s="93"/>
      <c r="WCW22" s="93"/>
      <c r="WCX22" s="93"/>
      <c r="WCY22" s="93"/>
      <c r="WCZ22" s="93"/>
      <c r="WDA22" s="93"/>
      <c r="WDB22" s="93"/>
      <c r="WDC22" s="93"/>
      <c r="WDD22" s="93"/>
      <c r="WDE22" s="93"/>
      <c r="WDF22" s="93"/>
      <c r="WDG22" s="93"/>
      <c r="WDH22" s="93"/>
      <c r="WDI22" s="93"/>
      <c r="WDJ22" s="93"/>
      <c r="WDK22" s="93"/>
      <c r="WDL22" s="93"/>
      <c r="WDM22" s="93"/>
      <c r="WDN22" s="93"/>
      <c r="WDO22" s="93"/>
      <c r="WDP22" s="93"/>
      <c r="WDQ22" s="93"/>
      <c r="WDR22" s="93"/>
      <c r="WDS22" s="93"/>
      <c r="WDT22" s="93"/>
      <c r="WDU22" s="93"/>
      <c r="WDV22" s="93"/>
      <c r="WDW22" s="93"/>
      <c r="WDX22" s="93"/>
      <c r="WDY22" s="93"/>
      <c r="WDZ22" s="93"/>
      <c r="WEA22" s="93"/>
      <c r="WEB22" s="93"/>
      <c r="WEC22" s="93"/>
      <c r="WED22" s="93"/>
      <c r="WEE22" s="93"/>
      <c r="WEF22" s="93"/>
      <c r="WEG22" s="93"/>
      <c r="WEH22" s="93"/>
      <c r="WEI22" s="93"/>
      <c r="WEJ22" s="93"/>
      <c r="WEK22" s="93"/>
      <c r="WEL22" s="93"/>
      <c r="WEM22" s="93"/>
      <c r="WEN22" s="93"/>
      <c r="WEO22" s="93"/>
      <c r="WEP22" s="93"/>
      <c r="WEQ22" s="93"/>
      <c r="WER22" s="93"/>
      <c r="WES22" s="93"/>
      <c r="WET22" s="93"/>
      <c r="WEU22" s="93"/>
      <c r="WEV22" s="93"/>
      <c r="WEW22" s="93"/>
      <c r="WEX22" s="93"/>
      <c r="WEY22" s="93"/>
      <c r="WEZ22" s="93"/>
      <c r="WFA22" s="93"/>
      <c r="WFB22" s="93"/>
      <c r="WFC22" s="93"/>
      <c r="WFD22" s="93"/>
      <c r="WFE22" s="93"/>
      <c r="WFF22" s="93"/>
      <c r="WFG22" s="93"/>
      <c r="WFH22" s="93"/>
      <c r="WFI22" s="93"/>
      <c r="WFJ22" s="93"/>
      <c r="WFK22" s="93"/>
      <c r="WFL22" s="93"/>
      <c r="WFM22" s="93"/>
      <c r="WFN22" s="93"/>
      <c r="WFO22" s="93"/>
      <c r="WFP22" s="93"/>
      <c r="WFQ22" s="93"/>
      <c r="WFR22" s="93"/>
      <c r="WFS22" s="93"/>
      <c r="WFT22" s="93"/>
      <c r="WFU22" s="93"/>
      <c r="WFV22" s="93"/>
      <c r="WFW22" s="93"/>
      <c r="WFX22" s="93"/>
      <c r="WFY22" s="93"/>
      <c r="WFZ22" s="93"/>
      <c r="WGA22" s="93"/>
      <c r="WGB22" s="93"/>
      <c r="WGC22" s="93"/>
      <c r="WGD22" s="93"/>
      <c r="WGE22" s="93"/>
      <c r="WGF22" s="93"/>
      <c r="WGG22" s="93"/>
      <c r="WGH22" s="93"/>
      <c r="WGI22" s="93"/>
      <c r="WGJ22" s="93"/>
      <c r="WGK22" s="93"/>
      <c r="WGL22" s="93"/>
      <c r="WGM22" s="93"/>
      <c r="WGN22" s="93"/>
      <c r="WGO22" s="93"/>
      <c r="WGP22" s="93"/>
      <c r="WGQ22" s="93"/>
      <c r="WGR22" s="93"/>
      <c r="WGS22" s="93"/>
      <c r="WGT22" s="93"/>
      <c r="WGU22" s="93"/>
      <c r="WGV22" s="93"/>
      <c r="WGW22" s="93"/>
      <c r="WGX22" s="93"/>
      <c r="WGY22" s="93"/>
      <c r="WGZ22" s="93"/>
      <c r="WHA22" s="93"/>
      <c r="WHB22" s="93"/>
      <c r="WHC22" s="93"/>
      <c r="WHD22" s="93"/>
      <c r="WHE22" s="93"/>
      <c r="WHF22" s="93"/>
      <c r="WHG22" s="93"/>
      <c r="WHH22" s="93"/>
      <c r="WHI22" s="93"/>
      <c r="WHJ22" s="93"/>
      <c r="WHK22" s="93"/>
      <c r="WHL22" s="93"/>
      <c r="WHM22" s="93"/>
      <c r="WHN22" s="93"/>
      <c r="WHO22" s="93"/>
      <c r="WHP22" s="93"/>
      <c r="WHQ22" s="93"/>
      <c r="WHR22" s="93"/>
      <c r="WHS22" s="93"/>
      <c r="WHT22" s="93"/>
      <c r="WHU22" s="93"/>
      <c r="WHV22" s="93"/>
      <c r="WHW22" s="93"/>
      <c r="WHX22" s="93"/>
      <c r="WHY22" s="93"/>
      <c r="WHZ22" s="93"/>
      <c r="WIA22" s="93"/>
      <c r="WIB22" s="93"/>
      <c r="WIC22" s="93"/>
      <c r="WID22" s="93"/>
      <c r="WIE22" s="93"/>
      <c r="WIF22" s="93"/>
      <c r="WIG22" s="93"/>
      <c r="WIH22" s="93"/>
      <c r="WII22" s="93"/>
      <c r="WIJ22" s="93"/>
      <c r="WIK22" s="93"/>
      <c r="WIL22" s="93"/>
      <c r="WIM22" s="93"/>
      <c r="WIN22" s="93"/>
      <c r="WIO22" s="93"/>
      <c r="WIP22" s="93"/>
      <c r="WIQ22" s="93"/>
      <c r="WIR22" s="93"/>
      <c r="WIS22" s="93"/>
      <c r="WIT22" s="93"/>
      <c r="WIU22" s="93"/>
      <c r="WIV22" s="93"/>
      <c r="WIW22" s="93"/>
      <c r="WIX22" s="93"/>
      <c r="WIY22" s="93"/>
      <c r="WIZ22" s="93"/>
      <c r="WJA22" s="93"/>
      <c r="WJB22" s="93"/>
      <c r="WJC22" s="93"/>
      <c r="WJD22" s="93"/>
      <c r="WJE22" s="93"/>
      <c r="WJF22" s="93"/>
      <c r="WJG22" s="93"/>
      <c r="WJH22" s="93"/>
      <c r="WJI22" s="93"/>
      <c r="WJJ22" s="93"/>
      <c r="WJK22" s="93"/>
      <c r="WJL22" s="93"/>
      <c r="WJM22" s="93"/>
      <c r="WJN22" s="93"/>
      <c r="WJO22" s="93"/>
      <c r="WJP22" s="93"/>
      <c r="WJQ22" s="93"/>
      <c r="WJR22" s="93"/>
      <c r="WJS22" s="93"/>
      <c r="WJT22" s="93"/>
      <c r="WJU22" s="93"/>
      <c r="WJV22" s="93"/>
      <c r="WJW22" s="93"/>
      <c r="WJX22" s="93"/>
      <c r="WJY22" s="93"/>
      <c r="WJZ22" s="93"/>
      <c r="WKA22" s="93"/>
      <c r="WKB22" s="93"/>
      <c r="WKC22" s="93"/>
      <c r="WKD22" s="93"/>
      <c r="WKE22" s="93"/>
      <c r="WKF22" s="93"/>
      <c r="WKG22" s="93"/>
      <c r="WKH22" s="93"/>
      <c r="WKI22" s="93"/>
      <c r="WKJ22" s="93"/>
      <c r="WKK22" s="93"/>
      <c r="WKL22" s="93"/>
      <c r="WKM22" s="93"/>
      <c r="WKN22" s="93"/>
      <c r="WKO22" s="93"/>
      <c r="WKP22" s="93"/>
      <c r="WKQ22" s="93"/>
      <c r="WKR22" s="93"/>
      <c r="WKS22" s="93"/>
      <c r="WKT22" s="93"/>
      <c r="WKU22" s="93"/>
      <c r="WKV22" s="93"/>
      <c r="WKW22" s="93"/>
      <c r="WKX22" s="93"/>
      <c r="WKY22" s="93"/>
      <c r="WKZ22" s="93"/>
      <c r="WLA22" s="93"/>
      <c r="WLB22" s="93"/>
      <c r="WLC22" s="93"/>
      <c r="WLD22" s="93"/>
      <c r="WLE22" s="93"/>
      <c r="WLF22" s="93"/>
      <c r="WLG22" s="93"/>
      <c r="WLH22" s="93"/>
      <c r="WLI22" s="93"/>
      <c r="WLJ22" s="93"/>
      <c r="WLK22" s="93"/>
      <c r="WLL22" s="93"/>
      <c r="WLM22" s="93"/>
      <c r="WLN22" s="93"/>
      <c r="WLO22" s="93"/>
      <c r="WLP22" s="93"/>
      <c r="WLQ22" s="93"/>
      <c r="WLR22" s="93"/>
      <c r="WLS22" s="93"/>
      <c r="WLT22" s="93"/>
      <c r="WLU22" s="93"/>
      <c r="WLV22" s="93"/>
      <c r="WLW22" s="93"/>
      <c r="WLX22" s="93"/>
      <c r="WLY22" s="93"/>
      <c r="WLZ22" s="93"/>
      <c r="WMA22" s="93"/>
      <c r="WMB22" s="93"/>
      <c r="WMC22" s="93"/>
      <c r="WMD22" s="93"/>
      <c r="WME22" s="93"/>
      <c r="WMF22" s="93"/>
      <c r="WMG22" s="93"/>
      <c r="WMH22" s="93"/>
      <c r="WMI22" s="93"/>
      <c r="WMJ22" s="93"/>
      <c r="WMK22" s="93"/>
      <c r="WML22" s="93"/>
      <c r="WMM22" s="93"/>
      <c r="WMN22" s="93"/>
      <c r="WMO22" s="93"/>
      <c r="WMP22" s="93"/>
      <c r="WMQ22" s="93"/>
      <c r="WMR22" s="93"/>
      <c r="WMS22" s="93"/>
      <c r="WMT22" s="93"/>
      <c r="WMU22" s="93"/>
      <c r="WMV22" s="93"/>
      <c r="WMW22" s="93"/>
      <c r="WMX22" s="93"/>
      <c r="WMY22" s="93"/>
      <c r="WMZ22" s="93"/>
      <c r="WNA22" s="93"/>
      <c r="WNB22" s="93"/>
      <c r="WNC22" s="93"/>
      <c r="WND22" s="93"/>
      <c r="WNE22" s="93"/>
      <c r="WNF22" s="93"/>
      <c r="WNG22" s="93"/>
      <c r="WNH22" s="93"/>
      <c r="WNI22" s="93"/>
      <c r="WNJ22" s="93"/>
      <c r="WNK22" s="93"/>
      <c r="WNL22" s="93"/>
      <c r="WNM22" s="93"/>
      <c r="WNN22" s="93"/>
      <c r="WNO22" s="93"/>
      <c r="WNP22" s="93"/>
      <c r="WNQ22" s="93"/>
      <c r="WNR22" s="93"/>
      <c r="WNS22" s="93"/>
      <c r="WNT22" s="93"/>
      <c r="WNU22" s="93"/>
      <c r="WNV22" s="93"/>
      <c r="WNW22" s="93"/>
      <c r="WNX22" s="93"/>
      <c r="WNY22" s="93"/>
      <c r="WNZ22" s="93"/>
      <c r="WOA22" s="93"/>
      <c r="WOB22" s="93"/>
      <c r="WOC22" s="93"/>
      <c r="WOD22" s="93"/>
      <c r="WOE22" s="93"/>
      <c r="WOF22" s="93"/>
      <c r="WOG22" s="93"/>
      <c r="WOH22" s="93"/>
      <c r="WOI22" s="93"/>
      <c r="WOJ22" s="93"/>
      <c r="WOK22" s="93"/>
      <c r="WOL22" s="93"/>
      <c r="WOM22" s="93"/>
      <c r="WON22" s="93"/>
      <c r="WOO22" s="93"/>
      <c r="WOP22" s="93"/>
      <c r="WOQ22" s="93"/>
      <c r="WOR22" s="93"/>
      <c r="WOS22" s="93"/>
      <c r="WOT22" s="93"/>
      <c r="WOU22" s="93"/>
      <c r="WOV22" s="93"/>
      <c r="WOW22" s="93"/>
      <c r="WOX22" s="93"/>
      <c r="WOY22" s="93"/>
      <c r="WOZ22" s="93"/>
      <c r="WPA22" s="93"/>
      <c r="WPB22" s="93"/>
      <c r="WPC22" s="93"/>
      <c r="WPD22" s="93"/>
      <c r="WPE22" s="93"/>
      <c r="WPF22" s="93"/>
      <c r="WPG22" s="93"/>
      <c r="WPH22" s="93"/>
      <c r="WPI22" s="93"/>
      <c r="WPJ22" s="93"/>
      <c r="WPK22" s="93"/>
      <c r="WPL22" s="93"/>
      <c r="WPM22" s="93"/>
      <c r="WPN22" s="93"/>
      <c r="WPO22" s="93"/>
      <c r="WPP22" s="93"/>
      <c r="WPQ22" s="93"/>
      <c r="WPR22" s="93"/>
      <c r="WPS22" s="93"/>
      <c r="WPT22" s="93"/>
      <c r="WPU22" s="93"/>
      <c r="WPV22" s="93"/>
      <c r="WPW22" s="93"/>
      <c r="WPX22" s="93"/>
      <c r="WPY22" s="93"/>
      <c r="WPZ22" s="93"/>
      <c r="WQA22" s="93"/>
      <c r="WQB22" s="93"/>
      <c r="WQC22" s="93"/>
      <c r="WQD22" s="93"/>
      <c r="WQE22" s="93"/>
      <c r="WQF22" s="93"/>
      <c r="WQG22" s="93"/>
      <c r="WQH22" s="93"/>
      <c r="WQI22" s="93"/>
      <c r="WQJ22" s="93"/>
      <c r="WQK22" s="93"/>
      <c r="WQL22" s="93"/>
      <c r="WQM22" s="93"/>
      <c r="WQN22" s="93"/>
      <c r="WQO22" s="93"/>
      <c r="WQP22" s="93"/>
      <c r="WQQ22" s="93"/>
      <c r="WQR22" s="93"/>
      <c r="WQS22" s="93"/>
      <c r="WQT22" s="93"/>
      <c r="WQU22" s="93"/>
      <c r="WQV22" s="93"/>
      <c r="WQW22" s="93"/>
      <c r="WQX22" s="93"/>
      <c r="WQY22" s="93"/>
      <c r="WQZ22" s="93"/>
      <c r="WRA22" s="93"/>
      <c r="WRB22" s="93"/>
      <c r="WRC22" s="93"/>
      <c r="WRD22" s="93"/>
      <c r="WRE22" s="93"/>
      <c r="WRF22" s="93"/>
      <c r="WRG22" s="93"/>
      <c r="WRH22" s="93"/>
      <c r="WRI22" s="93"/>
      <c r="WRJ22" s="93"/>
      <c r="WRK22" s="93"/>
      <c r="WRL22" s="93"/>
      <c r="WRM22" s="93"/>
      <c r="WRN22" s="93"/>
      <c r="WRO22" s="93"/>
      <c r="WRP22" s="93"/>
      <c r="WRQ22" s="93"/>
      <c r="WRR22" s="93"/>
      <c r="WRS22" s="93"/>
      <c r="WRT22" s="93"/>
      <c r="WRU22" s="93"/>
      <c r="WRV22" s="93"/>
      <c r="WRW22" s="93"/>
      <c r="WRX22" s="93"/>
      <c r="WRY22" s="93"/>
      <c r="WRZ22" s="93"/>
      <c r="WSA22" s="93"/>
      <c r="WSB22" s="93"/>
      <c r="WSC22" s="93"/>
      <c r="WSD22" s="93"/>
      <c r="WSE22" s="93"/>
      <c r="WSF22" s="93"/>
      <c r="WSG22" s="93"/>
      <c r="WSH22" s="93"/>
      <c r="WSI22" s="93"/>
      <c r="WSJ22" s="93"/>
      <c r="WSK22" s="93"/>
      <c r="WSL22" s="93"/>
      <c r="WSM22" s="93"/>
      <c r="WSN22" s="93"/>
      <c r="WSO22" s="93"/>
      <c r="WSP22" s="93"/>
      <c r="WSQ22" s="93"/>
      <c r="WSR22" s="93"/>
      <c r="WSS22" s="93"/>
      <c r="WST22" s="93"/>
      <c r="WSU22" s="93"/>
      <c r="WSV22" s="93"/>
      <c r="WSW22" s="93"/>
      <c r="WSX22" s="93"/>
      <c r="WSY22" s="93"/>
      <c r="WSZ22" s="93"/>
      <c r="WTA22" s="93"/>
      <c r="WTB22" s="93"/>
      <c r="WTC22" s="93"/>
      <c r="WTD22" s="93"/>
      <c r="WTE22" s="93"/>
      <c r="WTF22" s="93"/>
      <c r="WTG22" s="93"/>
      <c r="WTH22" s="93"/>
      <c r="WTI22" s="93"/>
      <c r="WTJ22" s="93"/>
      <c r="WTK22" s="93"/>
      <c r="WTL22" s="93"/>
      <c r="WTM22" s="93"/>
      <c r="WTN22" s="93"/>
      <c r="WTO22" s="93"/>
      <c r="WTP22" s="93"/>
      <c r="WTQ22" s="93"/>
      <c r="WTR22" s="93"/>
      <c r="WTS22" s="93"/>
      <c r="WTT22" s="93"/>
      <c r="WTU22" s="93"/>
      <c r="WTV22" s="93"/>
      <c r="WTW22" s="93"/>
      <c r="WTX22" s="93"/>
      <c r="WTY22" s="93"/>
      <c r="WTZ22" s="93"/>
      <c r="WUA22" s="93"/>
      <c r="WUB22" s="93"/>
      <c r="WUC22" s="93"/>
      <c r="WUD22" s="93"/>
      <c r="WUE22" s="93"/>
      <c r="WUF22" s="93"/>
      <c r="WUG22" s="93"/>
      <c r="WUH22" s="93"/>
      <c r="WUI22" s="93"/>
      <c r="WUJ22" s="93"/>
      <c r="WUK22" s="93"/>
      <c r="WUL22" s="93"/>
      <c r="WUM22" s="93"/>
      <c r="WUN22" s="93"/>
      <c r="WUO22" s="93"/>
      <c r="WUP22" s="93"/>
      <c r="WUQ22" s="93"/>
      <c r="WUR22" s="93"/>
      <c r="WUS22" s="93"/>
      <c r="WUT22" s="93"/>
      <c r="WUU22" s="93"/>
      <c r="WUV22" s="93"/>
      <c r="WUW22" s="93"/>
      <c r="WUX22" s="93"/>
      <c r="WUY22" s="93"/>
      <c r="WUZ22" s="93"/>
      <c r="WVA22" s="93"/>
      <c r="WVB22" s="93"/>
      <c r="WVC22" s="93"/>
      <c r="WVD22" s="93"/>
      <c r="WVE22" s="93"/>
      <c r="WVF22" s="93"/>
      <c r="WVG22" s="93"/>
      <c r="WVH22" s="93"/>
      <c r="WVI22" s="93"/>
      <c r="WVJ22" s="93"/>
      <c r="WVK22" s="93"/>
      <c r="WVL22" s="93"/>
      <c r="WVM22" s="93"/>
      <c r="WVN22" s="93"/>
      <c r="WVO22" s="93"/>
      <c r="WVP22" s="93"/>
      <c r="WVQ22" s="93"/>
      <c r="WVR22" s="93"/>
      <c r="WVS22" s="93"/>
      <c r="WVT22" s="93"/>
      <c r="WVU22" s="93"/>
      <c r="WVV22" s="93"/>
      <c r="WVW22" s="93"/>
      <c r="WVX22" s="93"/>
      <c r="WVY22" s="93"/>
      <c r="WVZ22" s="93"/>
      <c r="WWA22" s="93"/>
      <c r="WWB22" s="93"/>
      <c r="WWC22" s="93"/>
      <c r="WWD22" s="93"/>
      <c r="WWE22" s="93"/>
      <c r="WWF22" s="93"/>
      <c r="WWG22" s="93"/>
      <c r="WWH22" s="93"/>
      <c r="WWI22" s="93"/>
      <c r="WWJ22" s="93"/>
      <c r="WWK22" s="93"/>
      <c r="WWL22" s="93"/>
      <c r="WWM22" s="93"/>
      <c r="WWN22" s="93"/>
      <c r="WWO22" s="93"/>
      <c r="WWP22" s="93"/>
      <c r="WWQ22" s="93"/>
      <c r="WWR22" s="93"/>
      <c r="WWS22" s="93"/>
      <c r="WWT22" s="93"/>
      <c r="WWU22" s="93"/>
      <c r="WWV22" s="93"/>
      <c r="WWW22" s="93"/>
      <c r="WWX22" s="93"/>
      <c r="WWY22" s="93"/>
      <c r="WWZ22" s="93"/>
      <c r="WXA22" s="93"/>
      <c r="WXB22" s="93"/>
      <c r="WXC22" s="93"/>
      <c r="WXD22" s="93"/>
      <c r="WXE22" s="93"/>
      <c r="WXF22" s="93"/>
      <c r="WXG22" s="93"/>
      <c r="WXH22" s="93"/>
      <c r="WXI22" s="93"/>
      <c r="WXJ22" s="93"/>
      <c r="WXK22" s="93"/>
      <c r="WXL22" s="93"/>
      <c r="WXM22" s="93"/>
      <c r="WXN22" s="93"/>
      <c r="WXO22" s="93"/>
      <c r="WXP22" s="93"/>
      <c r="WXQ22" s="93"/>
      <c r="WXR22" s="93"/>
      <c r="WXS22" s="93"/>
      <c r="WXT22" s="93"/>
      <c r="WXU22" s="93"/>
      <c r="WXV22" s="93"/>
      <c r="WXW22" s="93"/>
      <c r="WXX22" s="93"/>
      <c r="WXY22" s="93"/>
      <c r="WXZ22" s="93"/>
      <c r="WYA22" s="93"/>
      <c r="WYB22" s="93"/>
      <c r="WYC22" s="93"/>
      <c r="WYD22" s="93"/>
      <c r="WYE22" s="93"/>
      <c r="WYF22" s="93"/>
      <c r="WYG22" s="93"/>
      <c r="WYH22" s="93"/>
      <c r="WYI22" s="93"/>
      <c r="WYJ22" s="93"/>
      <c r="WYK22" s="93"/>
      <c r="WYL22" s="93"/>
      <c r="WYM22" s="93"/>
      <c r="WYN22" s="93"/>
      <c r="WYO22" s="93"/>
      <c r="WYP22" s="93"/>
      <c r="WYQ22" s="93"/>
      <c r="WYR22" s="93"/>
      <c r="WYS22" s="93"/>
      <c r="WYT22" s="93"/>
      <c r="WYU22" s="93"/>
      <c r="WYV22" s="93"/>
      <c r="WYW22" s="93"/>
      <c r="WYX22" s="93"/>
      <c r="WYY22" s="93"/>
      <c r="WYZ22" s="93"/>
      <c r="WZA22" s="93"/>
      <c r="WZB22" s="93"/>
      <c r="WZC22" s="93"/>
      <c r="WZD22" s="93"/>
      <c r="WZE22" s="93"/>
      <c r="WZF22" s="93"/>
      <c r="WZG22" s="93"/>
      <c r="WZH22" s="93"/>
      <c r="WZI22" s="93"/>
      <c r="WZJ22" s="93"/>
      <c r="WZK22" s="93"/>
      <c r="WZL22" s="93"/>
      <c r="WZM22" s="93"/>
      <c r="WZN22" s="93"/>
      <c r="WZO22" s="93"/>
      <c r="WZP22" s="93"/>
      <c r="WZQ22" s="93"/>
      <c r="WZR22" s="93"/>
      <c r="WZS22" s="93"/>
      <c r="WZT22" s="93"/>
      <c r="WZU22" s="93"/>
      <c r="WZV22" s="93"/>
      <c r="WZW22" s="93"/>
      <c r="WZX22" s="93"/>
      <c r="WZY22" s="93"/>
      <c r="WZZ22" s="93"/>
      <c r="XAA22" s="93"/>
      <c r="XAB22" s="93"/>
      <c r="XAC22" s="93"/>
      <c r="XAD22" s="93"/>
      <c r="XAE22" s="93"/>
      <c r="XAF22" s="93"/>
      <c r="XAG22" s="93"/>
      <c r="XAH22" s="93"/>
      <c r="XAI22" s="93"/>
      <c r="XAJ22" s="93"/>
      <c r="XAK22" s="93"/>
      <c r="XAL22" s="93"/>
      <c r="XAM22" s="93"/>
      <c r="XAN22" s="93"/>
      <c r="XAO22" s="93"/>
      <c r="XAP22" s="93"/>
      <c r="XAQ22" s="93"/>
      <c r="XAR22" s="93"/>
      <c r="XAS22" s="93"/>
      <c r="XAT22" s="93"/>
      <c r="XAU22" s="93"/>
      <c r="XAV22" s="93"/>
      <c r="XAW22" s="93"/>
      <c r="XAX22" s="93"/>
      <c r="XAY22" s="93"/>
      <c r="XAZ22" s="93"/>
      <c r="XBA22" s="93"/>
      <c r="XBB22" s="93"/>
      <c r="XBC22" s="93"/>
      <c r="XBD22" s="93"/>
      <c r="XBE22" s="93"/>
      <c r="XBF22" s="93"/>
      <c r="XBG22" s="93"/>
      <c r="XBH22" s="93"/>
      <c r="XBI22" s="93"/>
      <c r="XBJ22" s="93"/>
      <c r="XBK22" s="93"/>
      <c r="XBL22" s="93"/>
      <c r="XBM22" s="93"/>
      <c r="XBN22" s="93"/>
      <c r="XBO22" s="93"/>
      <c r="XBP22" s="93"/>
      <c r="XBQ22" s="93"/>
      <c r="XBR22" s="93"/>
      <c r="XBS22" s="93"/>
      <c r="XBT22" s="93"/>
      <c r="XBU22" s="93"/>
      <c r="XBV22" s="93"/>
      <c r="XBW22" s="93"/>
      <c r="XBX22" s="93"/>
      <c r="XBY22" s="93"/>
      <c r="XBZ22" s="93"/>
      <c r="XCA22" s="93"/>
      <c r="XCB22" s="93"/>
      <c r="XCC22" s="93"/>
      <c r="XCD22" s="93"/>
      <c r="XCE22" s="93"/>
      <c r="XCF22" s="93"/>
      <c r="XCG22" s="93"/>
      <c r="XCH22" s="93"/>
      <c r="XCI22" s="93"/>
      <c r="XCJ22" s="93"/>
      <c r="XCK22" s="93"/>
      <c r="XCL22" s="93"/>
      <c r="XCM22" s="93"/>
      <c r="XCN22" s="93"/>
      <c r="XCO22" s="93"/>
      <c r="XCP22" s="93"/>
      <c r="XCQ22" s="93"/>
      <c r="XCR22" s="93"/>
      <c r="XCS22" s="92"/>
      <c r="XCT22" s="92"/>
      <c r="XCU22" s="93"/>
      <c r="XCV22" s="94"/>
      <c r="XCW22" s="93"/>
    </row>
    <row r="23" spans="1:16357" s="92" customFormat="1" x14ac:dyDescent="0.25">
      <c r="A23" s="92" t="str">
        <f>_xlfn.CONCAT(stableR[[#This Row],[group_0_no]:[order_no]])</f>
        <v>1112</v>
      </c>
      <c r="B23" s="92" t="s">
        <v>80</v>
      </c>
      <c r="C23" s="209" t="s">
        <v>1093</v>
      </c>
      <c r="D23" s="209" t="s">
        <v>1093</v>
      </c>
      <c r="E23" s="209" t="s">
        <v>1093</v>
      </c>
      <c r="F23" s="209" t="s">
        <v>1097</v>
      </c>
      <c r="G23" s="92" t="s">
        <v>1109</v>
      </c>
      <c r="H23" s="93" t="b">
        <v>0</v>
      </c>
      <c r="I23" s="92" t="b">
        <v>1</v>
      </c>
      <c r="J23" s="92" t="b">
        <v>0</v>
      </c>
      <c r="K23" s="92" t="b">
        <v>0</v>
      </c>
      <c r="L23" s="92" t="b">
        <v>1</v>
      </c>
      <c r="M23" s="92" t="b">
        <v>1</v>
      </c>
      <c r="N23" s="92" t="b">
        <v>0</v>
      </c>
      <c r="O23" s="92" t="b">
        <v>0</v>
      </c>
      <c r="P23" s="92" t="b">
        <v>0</v>
      </c>
      <c r="Q23" s="92" t="b">
        <v>0</v>
      </c>
      <c r="R23" s="92" t="b">
        <v>0</v>
      </c>
      <c r="S23" s="209">
        <f>COUNTIFS(stableR[q_group],stableR[[#This Row],[q_group]])</f>
        <v>1</v>
      </c>
      <c r="T23" s="92" t="b">
        <v>1</v>
      </c>
      <c r="U23" s="92" t="b">
        <v>0</v>
      </c>
      <c r="V23" s="92" t="b">
        <v>0</v>
      </c>
      <c r="W23" s="92" t="b">
        <v>0</v>
      </c>
      <c r="X23" s="92" t="str">
        <f>_xlfn.TEXTJOIN(", ",TRUE,stableR[[#This Row],[ans_opt_1]:[ans_opt_14]])</f>
        <v/>
      </c>
      <c r="AM23" s="209" t="b">
        <v>0</v>
      </c>
      <c r="AN23" s="209" t="b">
        <v>0</v>
      </c>
      <c r="AO23" s="209" t="b">
        <v>0</v>
      </c>
      <c r="AP23" s="209" t="b">
        <v>0</v>
      </c>
      <c r="AQ23" s="209" t="b">
        <v>0</v>
      </c>
      <c r="AR23" s="209" t="b">
        <v>0</v>
      </c>
      <c r="AS23" s="209" t="b">
        <v>0</v>
      </c>
      <c r="AT23" s="209" t="b">
        <v>0</v>
      </c>
    </row>
    <row r="24" spans="1:16357" x14ac:dyDescent="0.25">
      <c r="A24" s="15" t="str">
        <f>_xlfn.CONCAT(stableR[[#This Row],[group_0_no]:[order_no]])</f>
        <v>1200</v>
      </c>
      <c r="B24" s="15" t="s">
        <v>82</v>
      </c>
      <c r="C24" s="213" t="s">
        <v>1093</v>
      </c>
      <c r="D24" s="213" t="s">
        <v>1097</v>
      </c>
      <c r="E24" s="213" t="s">
        <v>1094</v>
      </c>
      <c r="F24" s="213" t="s">
        <v>1094</v>
      </c>
      <c r="G24" s="9" t="s">
        <v>1110</v>
      </c>
      <c r="H24" s="9" t="b">
        <v>1</v>
      </c>
      <c r="I24" s="9" t="b">
        <v>1</v>
      </c>
      <c r="J24" s="9" t="b">
        <v>0</v>
      </c>
      <c r="K24" s="9" t="b">
        <v>0</v>
      </c>
      <c r="L24" s="9" t="b">
        <v>1</v>
      </c>
      <c r="M24" s="9" t="b">
        <v>1</v>
      </c>
      <c r="N24" s="9" t="b">
        <v>0</v>
      </c>
      <c r="O24" s="9" t="b">
        <v>0</v>
      </c>
      <c r="P24" s="9" t="b">
        <v>0</v>
      </c>
      <c r="Q24" s="9" t="b">
        <v>0</v>
      </c>
      <c r="R24" s="9" t="b">
        <v>0</v>
      </c>
      <c r="S24" s="16">
        <f>COUNTIFS(stableR[q_group],stableR[[#This Row],[q_group]])</f>
        <v>1</v>
      </c>
      <c r="T24" s="9" t="b">
        <v>1</v>
      </c>
      <c r="U24" s="9" t="b">
        <v>0</v>
      </c>
      <c r="V24" s="9" t="b">
        <v>0</v>
      </c>
      <c r="W24" s="9" t="b">
        <v>0</v>
      </c>
      <c r="X24" s="9" t="str">
        <f>_xlfn.TEXTJOIN(", ",TRUE,stableR[[#This Row],[ans_opt_1]:[ans_opt_14]])</f>
        <v/>
      </c>
      <c r="AM24" s="16" t="b">
        <v>1</v>
      </c>
      <c r="AN24" s="16" t="b">
        <f>COUNTIFS(questions[qno],stableR[[#This Row],[qno]],questions[year_of_survey],2025,questions[origin],"Kenya")&gt;0</f>
        <v>1</v>
      </c>
      <c r="AO24" s="16" t="b">
        <f>COUNTIFS(questions[qno],stableR[[#This Row],[qno]],questions[year_of_survey],2025,questions[origin],"Rwanda")&gt;0</f>
        <v>1</v>
      </c>
      <c r="AP24" s="16" t="b">
        <f>COUNTIFS(questions[qno],stableR[[#This Row],[qno]],questions[year_of_survey],2026,questions[origin],"Burundi")&gt;0</f>
        <v>1</v>
      </c>
      <c r="AQ24" s="16" t="b">
        <f>COUNTIFS(questions[qno],stableR[[#This Row],[qno]],questions[year_of_survey],"",questions[origin],"Indonesia")&gt;0</f>
        <v>1</v>
      </c>
      <c r="AR24" s="16" t="b">
        <f>COUNTIFS(questions[qno],stableR[[#This Row],[qno]],questions[year_of_survey],2025,questions[origin],"Vietnam")&gt;0</f>
        <v>1</v>
      </c>
      <c r="AS24" s="16" t="b">
        <v>1</v>
      </c>
      <c r="AT24" s="16" t="b">
        <v>1</v>
      </c>
    </row>
    <row r="25" spans="1:16357" x14ac:dyDescent="0.25">
      <c r="A25" s="15" t="str">
        <f>_xlfn.CONCAT(stableR[[#This Row],[group_0_no]:[order_no]])</f>
        <v>1201</v>
      </c>
      <c r="B25" s="15" t="s">
        <v>84</v>
      </c>
      <c r="C25" s="213" t="s">
        <v>1093</v>
      </c>
      <c r="D25" s="213" t="s">
        <v>1097</v>
      </c>
      <c r="E25" s="213" t="s">
        <v>1094</v>
      </c>
      <c r="F25" s="213" t="s">
        <v>1093</v>
      </c>
      <c r="G25" s="9" t="s">
        <v>1111</v>
      </c>
      <c r="H25" s="9" t="b">
        <v>1</v>
      </c>
      <c r="I25" s="9" t="b">
        <v>1</v>
      </c>
      <c r="J25" s="9" t="b">
        <v>0</v>
      </c>
      <c r="K25" s="9" t="b">
        <v>0</v>
      </c>
      <c r="L25" s="9" t="b">
        <v>1</v>
      </c>
      <c r="M25" s="9" t="b">
        <v>1</v>
      </c>
      <c r="N25" s="9" t="b">
        <v>0</v>
      </c>
      <c r="O25" s="9" t="b">
        <v>0</v>
      </c>
      <c r="P25" s="9" t="b">
        <v>0</v>
      </c>
      <c r="Q25" s="9" t="b">
        <v>0</v>
      </c>
      <c r="R25" s="9" t="b">
        <v>0</v>
      </c>
      <c r="S25" s="16">
        <f>COUNTIFS(stableR[q_group],stableR[[#This Row],[q_group]])</f>
        <v>1</v>
      </c>
      <c r="T25" s="9" t="b">
        <v>1</v>
      </c>
      <c r="U25" s="9" t="b">
        <v>0</v>
      </c>
      <c r="V25" s="9" t="b">
        <v>0</v>
      </c>
      <c r="W25" s="9" t="b">
        <v>0</v>
      </c>
      <c r="X25" s="9" t="str">
        <f>_xlfn.TEXTJOIN(", ",TRUE,stableR[[#This Row],[ans_opt_1]:[ans_opt_14]])</f>
        <v/>
      </c>
      <c r="AM25" s="16" t="b">
        <v>1</v>
      </c>
      <c r="AN25" s="16" t="b">
        <f>COUNTIFS(questions[qno],stableR[[#This Row],[qno]],questions[year_of_survey],2025,questions[origin],"Kenya")&gt;0</f>
        <v>1</v>
      </c>
      <c r="AO25" s="16" t="b">
        <f>COUNTIFS(questions[qno],stableR[[#This Row],[qno]],questions[year_of_survey],2025,questions[origin],"Rwanda")&gt;0</f>
        <v>1</v>
      </c>
      <c r="AP25" s="16" t="b">
        <f>COUNTIFS(questions[qno],stableR[[#This Row],[qno]],questions[year_of_survey],2026,questions[origin],"Burundi")&gt;0</f>
        <v>1</v>
      </c>
      <c r="AQ25" s="16" t="b">
        <f>COUNTIFS(questions[qno],stableR[[#This Row],[qno]],questions[year_of_survey],"",questions[origin],"Indonesia")&gt;0</f>
        <v>1</v>
      </c>
      <c r="AR25" s="16" t="b">
        <f>COUNTIFS(questions[qno],stableR[[#This Row],[qno]],questions[year_of_survey],2025,questions[origin],"Vietnam")&gt;0</f>
        <v>1</v>
      </c>
      <c r="AS25" s="16" t="b">
        <v>1</v>
      </c>
      <c r="AT25" s="16" t="b">
        <v>1</v>
      </c>
    </row>
    <row r="26" spans="1:16357" s="92" customFormat="1" x14ac:dyDescent="0.25">
      <c r="A26" s="92" t="str">
        <f>_xlfn.CONCAT(stableR[[#This Row],[group_0_no]:[order_no]])</f>
        <v>1202</v>
      </c>
      <c r="B26" s="92" t="s">
        <v>86</v>
      </c>
      <c r="C26" s="209" t="s">
        <v>1093</v>
      </c>
      <c r="D26" s="209" t="s">
        <v>1097</v>
      </c>
      <c r="E26" s="209" t="s">
        <v>1094</v>
      </c>
      <c r="F26" s="209" t="s">
        <v>1097</v>
      </c>
      <c r="G26" s="92" t="s">
        <v>1112</v>
      </c>
      <c r="H26" s="93" t="b">
        <v>0</v>
      </c>
      <c r="I26" s="92" t="b">
        <v>1</v>
      </c>
      <c r="J26" s="92" t="b">
        <v>0</v>
      </c>
      <c r="K26" s="92" t="b">
        <v>0</v>
      </c>
      <c r="L26" s="92" t="b">
        <v>1</v>
      </c>
      <c r="M26" s="92" t="b">
        <v>1</v>
      </c>
      <c r="N26" s="92" t="b">
        <v>0</v>
      </c>
      <c r="O26" s="92" t="b">
        <v>0</v>
      </c>
      <c r="P26" s="92" t="b">
        <v>0</v>
      </c>
      <c r="Q26" s="92" t="b">
        <v>0</v>
      </c>
      <c r="R26" s="92" t="b">
        <v>0</v>
      </c>
      <c r="S26" s="209">
        <f>COUNTIFS(stableR[q_group],stableR[[#This Row],[q_group]])</f>
        <v>1</v>
      </c>
      <c r="T26" s="92" t="b">
        <v>1</v>
      </c>
      <c r="U26" s="92" t="b">
        <v>0</v>
      </c>
      <c r="V26" s="92" t="b">
        <v>0</v>
      </c>
      <c r="W26" s="92" t="b">
        <v>0</v>
      </c>
      <c r="X26" s="92" t="str">
        <f>_xlfn.TEXTJOIN(", ",TRUE,stableR[[#This Row],[ans_opt_1]:[ans_opt_14]])</f>
        <v/>
      </c>
      <c r="AM26" s="209" t="b">
        <v>0</v>
      </c>
      <c r="AN26" s="209" t="b">
        <v>0</v>
      </c>
      <c r="AO26" s="209" t="b">
        <v>0</v>
      </c>
      <c r="AP26" s="209" t="b">
        <v>0</v>
      </c>
      <c r="AQ26" s="209" t="b">
        <v>0</v>
      </c>
      <c r="AR26" s="209" t="b">
        <v>0</v>
      </c>
      <c r="AS26" s="209" t="b">
        <v>0</v>
      </c>
      <c r="AT26" s="209" t="b">
        <v>0</v>
      </c>
    </row>
    <row r="27" spans="1:16357" s="92" customFormat="1" x14ac:dyDescent="0.25">
      <c r="A27" s="92" t="str">
        <f>_xlfn.CONCAT(stableR[[#This Row],[group_0_no]:[order_no]])</f>
        <v>1203</v>
      </c>
      <c r="B27" s="92" t="s">
        <v>88</v>
      </c>
      <c r="C27" s="209" t="s">
        <v>1093</v>
      </c>
      <c r="D27" s="209" t="s">
        <v>1097</v>
      </c>
      <c r="E27" s="209" t="s">
        <v>1094</v>
      </c>
      <c r="F27" s="209" t="s">
        <v>1099</v>
      </c>
      <c r="G27" s="92" t="s">
        <v>1113</v>
      </c>
      <c r="H27" s="93" t="b">
        <v>0</v>
      </c>
      <c r="I27" s="92" t="b">
        <v>1</v>
      </c>
      <c r="J27" s="92" t="b">
        <v>0</v>
      </c>
      <c r="K27" s="92" t="b">
        <v>0</v>
      </c>
      <c r="L27" s="92" t="b">
        <v>1</v>
      </c>
      <c r="M27" s="92" t="b">
        <v>1</v>
      </c>
      <c r="N27" s="92" t="b">
        <v>0</v>
      </c>
      <c r="O27" s="92" t="b">
        <v>0</v>
      </c>
      <c r="P27" s="92" t="b">
        <v>0</v>
      </c>
      <c r="Q27" s="92" t="b">
        <v>0</v>
      </c>
      <c r="R27" s="92" t="b">
        <v>0</v>
      </c>
      <c r="S27" s="209">
        <f>COUNTIFS(stableR[q_group],stableR[[#This Row],[q_group]])</f>
        <v>1</v>
      </c>
      <c r="T27" s="92" t="b">
        <v>1</v>
      </c>
      <c r="U27" s="92" t="b">
        <v>0</v>
      </c>
      <c r="V27" s="92" t="b">
        <v>0</v>
      </c>
      <c r="W27" s="92" t="b">
        <v>0</v>
      </c>
      <c r="X27" s="92" t="str">
        <f>_xlfn.TEXTJOIN(", ",TRUE,stableR[[#This Row],[ans_opt_1]:[ans_opt_14]])</f>
        <v/>
      </c>
      <c r="AM27" s="209" t="b">
        <v>0</v>
      </c>
      <c r="AN27" s="209" t="b">
        <v>0</v>
      </c>
      <c r="AO27" s="209" t="b">
        <v>0</v>
      </c>
      <c r="AP27" s="209" t="b">
        <v>0</v>
      </c>
      <c r="AQ27" s="209" t="b">
        <v>0</v>
      </c>
      <c r="AR27" s="209" t="b">
        <v>0</v>
      </c>
      <c r="AS27" s="209" t="b">
        <v>0</v>
      </c>
      <c r="AT27" s="209" t="b">
        <v>0</v>
      </c>
    </row>
    <row r="28" spans="1:16357" s="92" customFormat="1" x14ac:dyDescent="0.25">
      <c r="A28" s="92" t="str">
        <f>_xlfn.CONCAT(stableR[[#This Row],[group_0_no]:[order_no]])</f>
        <v>1210</v>
      </c>
      <c r="B28" s="92" t="s">
        <v>90</v>
      </c>
      <c r="C28" s="209" t="s">
        <v>1093</v>
      </c>
      <c r="D28" s="209" t="s">
        <v>1097</v>
      </c>
      <c r="E28" s="209" t="s">
        <v>1093</v>
      </c>
      <c r="F28" s="209" t="s">
        <v>1094</v>
      </c>
      <c r="G28" s="92" t="s">
        <v>1114</v>
      </c>
      <c r="H28" s="93" t="b">
        <v>0</v>
      </c>
      <c r="I28" s="92" t="b">
        <v>1</v>
      </c>
      <c r="J28" s="92" t="b">
        <v>0</v>
      </c>
      <c r="K28" s="92" t="b">
        <v>0</v>
      </c>
      <c r="L28" s="92" t="b">
        <v>1</v>
      </c>
      <c r="M28" s="92" t="b">
        <v>1</v>
      </c>
      <c r="N28" s="92" t="b">
        <v>0</v>
      </c>
      <c r="O28" s="92" t="b">
        <v>0</v>
      </c>
      <c r="P28" s="92" t="b">
        <v>0</v>
      </c>
      <c r="Q28" s="92" t="b">
        <v>0</v>
      </c>
      <c r="R28" s="92" t="b">
        <v>0</v>
      </c>
      <c r="S28" s="209">
        <f>COUNTIFS(stableR[q_group],stableR[[#This Row],[q_group]])</f>
        <v>1</v>
      </c>
      <c r="T28" s="92" t="b">
        <v>1</v>
      </c>
      <c r="U28" s="92" t="b">
        <v>0</v>
      </c>
      <c r="V28" s="92" t="b">
        <v>0</v>
      </c>
      <c r="W28" s="92" t="b">
        <v>0</v>
      </c>
      <c r="X28" s="92" t="str">
        <f>_xlfn.TEXTJOIN(", ",TRUE,stableR[[#This Row],[ans_opt_1]:[ans_opt_14]])</f>
        <v/>
      </c>
      <c r="AM28" s="209" t="b">
        <v>0</v>
      </c>
      <c r="AN28" s="209" t="b">
        <v>0</v>
      </c>
      <c r="AO28" s="209" t="b">
        <v>0</v>
      </c>
      <c r="AP28" s="209" t="b">
        <v>0</v>
      </c>
      <c r="AQ28" s="209" t="b">
        <v>0</v>
      </c>
      <c r="AR28" s="209" t="b">
        <v>0</v>
      </c>
      <c r="AS28" s="209" t="b">
        <v>0</v>
      </c>
      <c r="AT28" s="209" t="b">
        <v>0</v>
      </c>
    </row>
    <row r="29" spans="1:16357" s="92" customFormat="1" x14ac:dyDescent="0.25">
      <c r="A29" s="92" t="str">
        <f>_xlfn.CONCAT(stableR[[#This Row],[group_0_no]:[order_no]])</f>
        <v>1211</v>
      </c>
      <c r="B29" s="92" t="s">
        <v>92</v>
      </c>
      <c r="C29" s="209" t="s">
        <v>1093</v>
      </c>
      <c r="D29" s="209" t="s">
        <v>1097</v>
      </c>
      <c r="E29" s="209" t="s">
        <v>1093</v>
      </c>
      <c r="F29" s="209" t="s">
        <v>1093</v>
      </c>
      <c r="G29" s="92" t="s">
        <v>1115</v>
      </c>
      <c r="H29" s="93" t="b">
        <v>0</v>
      </c>
      <c r="I29" s="92" t="b">
        <v>1</v>
      </c>
      <c r="J29" s="92" t="b">
        <v>0</v>
      </c>
      <c r="K29" s="92" t="b">
        <v>0</v>
      </c>
      <c r="L29" s="92" t="b">
        <v>1</v>
      </c>
      <c r="M29" s="92" t="b">
        <v>1</v>
      </c>
      <c r="N29" s="92" t="b">
        <v>0</v>
      </c>
      <c r="O29" s="92" t="b">
        <v>0</v>
      </c>
      <c r="P29" s="92" t="b">
        <v>0</v>
      </c>
      <c r="Q29" s="92" t="b">
        <v>0</v>
      </c>
      <c r="R29" s="92" t="b">
        <v>0</v>
      </c>
      <c r="S29" s="209">
        <f>COUNTIFS(stableR[q_group],stableR[[#This Row],[q_group]])</f>
        <v>1</v>
      </c>
      <c r="T29" s="92" t="b">
        <v>1</v>
      </c>
      <c r="U29" s="92" t="b">
        <v>0</v>
      </c>
      <c r="V29" s="92" t="b">
        <v>0</v>
      </c>
      <c r="W29" s="92" t="b">
        <v>0</v>
      </c>
      <c r="X29" s="92" t="str">
        <f>_xlfn.TEXTJOIN(", ",TRUE,stableR[[#This Row],[ans_opt_1]:[ans_opt_14]])</f>
        <v/>
      </c>
      <c r="AM29" s="209" t="b">
        <v>0</v>
      </c>
      <c r="AN29" s="209" t="b">
        <v>0</v>
      </c>
      <c r="AO29" s="209" t="b">
        <v>0</v>
      </c>
      <c r="AP29" s="209" t="b">
        <v>0</v>
      </c>
      <c r="AQ29" s="209" t="b">
        <v>0</v>
      </c>
      <c r="AR29" s="209" t="b">
        <v>0</v>
      </c>
      <c r="AS29" s="209" t="b">
        <v>0</v>
      </c>
      <c r="AT29" s="209" t="b">
        <v>0</v>
      </c>
    </row>
    <row r="30" spans="1:16357" x14ac:dyDescent="0.25">
      <c r="A30" s="92" t="str">
        <f>_xlfn.CONCAT(stableR[[#This Row],[group_0_no]:[order_no]])</f>
        <v>1212</v>
      </c>
      <c r="B30" s="92" t="s">
        <v>94</v>
      </c>
      <c r="C30" s="209" t="s">
        <v>1093</v>
      </c>
      <c r="D30" s="209" t="s">
        <v>1097</v>
      </c>
      <c r="E30" s="209" t="s">
        <v>1093</v>
      </c>
      <c r="F30" s="209" t="s">
        <v>1097</v>
      </c>
      <c r="G30" s="93" t="s">
        <v>1116</v>
      </c>
      <c r="H30" s="93" t="b">
        <v>0</v>
      </c>
      <c r="I30" s="93" t="b">
        <v>1</v>
      </c>
      <c r="J30" s="93" t="b">
        <v>0</v>
      </c>
      <c r="K30" s="93" t="b">
        <v>0</v>
      </c>
      <c r="L30" s="93" t="b">
        <v>1</v>
      </c>
      <c r="M30" s="93" t="b">
        <v>1</v>
      </c>
      <c r="N30" s="93" t="b">
        <v>0</v>
      </c>
      <c r="O30" s="93" t="b">
        <v>1</v>
      </c>
      <c r="P30" s="93" t="b">
        <v>0</v>
      </c>
      <c r="Q30" s="93" t="b">
        <v>0</v>
      </c>
      <c r="R30" s="93" t="b">
        <v>0</v>
      </c>
      <c r="S30" s="94">
        <f>COUNTIFS(stableR[q_group],stableR[[#This Row],[q_group]])</f>
        <v>1</v>
      </c>
      <c r="T30" s="93" t="b">
        <v>1</v>
      </c>
      <c r="U30" s="93" t="b">
        <v>0</v>
      </c>
      <c r="V30" s="93" t="b">
        <v>0</v>
      </c>
      <c r="W30" s="93" t="b">
        <v>0</v>
      </c>
      <c r="X30" s="93" t="str">
        <f>_xlfn.TEXTJOIN(", ",TRUE,stableR[[#This Row],[ans_opt_1]:[ans_opt_14]])</f>
        <v/>
      </c>
      <c r="Y30" s="93"/>
      <c r="Z30" s="93"/>
      <c r="AA30" s="93"/>
      <c r="AB30" s="93"/>
      <c r="AC30" s="93"/>
      <c r="AD30" s="93"/>
      <c r="AE30" s="93"/>
      <c r="AF30" s="93"/>
      <c r="AG30" s="93"/>
      <c r="AH30" s="93"/>
      <c r="AI30" s="93"/>
      <c r="AJ30" s="93"/>
      <c r="AK30" s="93"/>
      <c r="AL30" s="93"/>
      <c r="AM30" s="209" t="b">
        <v>0</v>
      </c>
      <c r="AN30" s="209" t="b">
        <v>0</v>
      </c>
      <c r="AO30" s="209" t="b">
        <v>0</v>
      </c>
      <c r="AP30" s="209" t="b">
        <v>0</v>
      </c>
      <c r="AQ30" s="209" t="b">
        <v>0</v>
      </c>
      <c r="AR30" s="209" t="b">
        <v>0</v>
      </c>
      <c r="AS30" s="209" t="b">
        <v>0</v>
      </c>
      <c r="AT30" s="209" t="b">
        <v>0</v>
      </c>
    </row>
    <row r="31" spans="1:16357" x14ac:dyDescent="0.25">
      <c r="A31" s="92" t="str">
        <f>_xlfn.CONCAT(stableR[[#This Row],[group_0_no]:[order_no]])</f>
        <v>1213</v>
      </c>
      <c r="B31" s="92" t="s">
        <v>96</v>
      </c>
      <c r="C31" s="209" t="s">
        <v>1093</v>
      </c>
      <c r="D31" s="209" t="s">
        <v>1097</v>
      </c>
      <c r="E31" s="209" t="s">
        <v>1093</v>
      </c>
      <c r="F31" s="209" t="s">
        <v>1099</v>
      </c>
      <c r="G31" s="93" t="s">
        <v>1117</v>
      </c>
      <c r="H31" s="93" t="b">
        <v>0</v>
      </c>
      <c r="I31" s="93" t="b">
        <v>1</v>
      </c>
      <c r="J31" s="93" t="b">
        <v>0</v>
      </c>
      <c r="K31" s="93" t="b">
        <v>0</v>
      </c>
      <c r="L31" s="93" t="b">
        <v>1</v>
      </c>
      <c r="M31" s="93" t="b">
        <v>1</v>
      </c>
      <c r="N31" s="93" t="b">
        <v>0</v>
      </c>
      <c r="O31" s="93" t="b">
        <v>1</v>
      </c>
      <c r="P31" s="93" t="b">
        <v>0</v>
      </c>
      <c r="Q31" s="93" t="b">
        <v>0</v>
      </c>
      <c r="R31" s="93" t="b">
        <v>0</v>
      </c>
      <c r="S31" s="94">
        <f>COUNTIFS(stableR[q_group],stableR[[#This Row],[q_group]])</f>
        <v>1</v>
      </c>
      <c r="T31" s="93" t="b">
        <v>1</v>
      </c>
      <c r="U31" s="93" t="b">
        <v>0</v>
      </c>
      <c r="V31" s="93" t="b">
        <v>0</v>
      </c>
      <c r="W31" s="93" t="b">
        <v>0</v>
      </c>
      <c r="X31" s="93" t="str">
        <f>_xlfn.TEXTJOIN(", ",TRUE,stableR[[#This Row],[ans_opt_1]:[ans_opt_14]])</f>
        <v/>
      </c>
      <c r="Y31" s="93"/>
      <c r="Z31" s="93"/>
      <c r="AA31" s="93"/>
      <c r="AB31" s="93"/>
      <c r="AC31" s="93"/>
      <c r="AD31" s="93"/>
      <c r="AE31" s="93"/>
      <c r="AF31" s="93"/>
      <c r="AG31" s="93"/>
      <c r="AH31" s="93"/>
      <c r="AI31" s="93"/>
      <c r="AJ31" s="93"/>
      <c r="AK31" s="93"/>
      <c r="AL31" s="93"/>
      <c r="AM31" s="209" t="b">
        <v>0</v>
      </c>
      <c r="AN31" s="209" t="b">
        <v>0</v>
      </c>
      <c r="AO31" s="209" t="b">
        <v>0</v>
      </c>
      <c r="AP31" s="209" t="b">
        <v>0</v>
      </c>
      <c r="AQ31" s="209" t="b">
        <v>0</v>
      </c>
      <c r="AR31" s="209" t="b">
        <v>0</v>
      </c>
      <c r="AS31" s="209" t="b">
        <v>0</v>
      </c>
      <c r="AT31" s="209" t="b">
        <v>0</v>
      </c>
    </row>
    <row r="32" spans="1:16357" x14ac:dyDescent="0.25">
      <c r="A32" s="92" t="str">
        <f>_xlfn.CONCAT(stableR[[#This Row],[group_0_no]:[order_no]])</f>
        <v>1214</v>
      </c>
      <c r="B32" s="92" t="s">
        <v>1027</v>
      </c>
      <c r="C32" s="209" t="s">
        <v>1093</v>
      </c>
      <c r="D32" s="209" t="s">
        <v>1097</v>
      </c>
      <c r="E32" s="209" t="s">
        <v>1093</v>
      </c>
      <c r="F32" s="209" t="s">
        <v>1101</v>
      </c>
      <c r="G32" s="93" t="s">
        <v>1118</v>
      </c>
      <c r="H32" s="93" t="b">
        <v>0</v>
      </c>
      <c r="I32" s="93" t="b">
        <v>1</v>
      </c>
      <c r="J32" s="93" t="b">
        <v>0</v>
      </c>
      <c r="K32" s="93" t="b">
        <v>0</v>
      </c>
      <c r="L32" s="93" t="b">
        <v>1</v>
      </c>
      <c r="M32" s="93" t="b">
        <v>1</v>
      </c>
      <c r="N32" s="93" t="b">
        <v>0</v>
      </c>
      <c r="O32" s="93" t="b">
        <v>1</v>
      </c>
      <c r="P32" s="93" t="b">
        <v>0</v>
      </c>
      <c r="Q32" s="93" t="b">
        <v>0</v>
      </c>
      <c r="R32" s="93" t="b">
        <v>0</v>
      </c>
      <c r="S32" s="94">
        <f>COUNTIFS(stableR[q_group],stableR[[#This Row],[q_group]])</f>
        <v>1</v>
      </c>
      <c r="T32" s="93" t="b">
        <v>1</v>
      </c>
      <c r="U32" s="93" t="b">
        <v>0</v>
      </c>
      <c r="V32" s="93" t="b">
        <v>0</v>
      </c>
      <c r="W32" s="93" t="b">
        <v>0</v>
      </c>
      <c r="X32" s="93" t="str">
        <f>_xlfn.TEXTJOIN(", ",TRUE,stableR[[#This Row],[ans_opt_1]:[ans_opt_14]])</f>
        <v/>
      </c>
      <c r="Y32" s="93"/>
      <c r="Z32" s="93"/>
      <c r="AA32" s="93"/>
      <c r="AB32" s="93"/>
      <c r="AC32" s="93"/>
      <c r="AD32" s="93"/>
      <c r="AE32" s="93"/>
      <c r="AF32" s="93"/>
      <c r="AG32" s="93"/>
      <c r="AH32" s="93"/>
      <c r="AI32" s="93"/>
      <c r="AJ32" s="93"/>
      <c r="AK32" s="93"/>
      <c r="AL32" s="93"/>
      <c r="AM32" s="94" t="b">
        <v>0</v>
      </c>
      <c r="AN32" s="94" t="b">
        <f>COUNTIFS(questions[qno],stableR[[#This Row],[qno]],questions[year_of_survey],2025,questions[origin],"Kenya")&gt;0</f>
        <v>0</v>
      </c>
      <c r="AO32" s="94" t="b">
        <f>COUNTIFS(questions[qno],stableR[[#This Row],[qno]],questions[year_of_survey],2025,questions[origin],"Rwanda")&gt;0</f>
        <v>0</v>
      </c>
      <c r="AP32" s="94" t="b">
        <f>COUNTIFS(questions[qno],stableR[[#This Row],[qno]],questions[year_of_survey],2026,questions[origin],"Burundi")&gt;0</f>
        <v>0</v>
      </c>
      <c r="AQ32" s="94" t="b">
        <f>COUNTIFS(questions[qno],stableR[[#This Row],[qno]],questions[year_of_survey],"",questions[origin],"Indonesia")&gt;0</f>
        <v>0</v>
      </c>
      <c r="AR32" s="94" t="b">
        <f>COUNTIFS(questions[qno],stableR[[#This Row],[qno]],questions[year_of_survey],2025,questions[origin],"Vietnam")&gt;0</f>
        <v>0</v>
      </c>
      <c r="AS32" s="94" t="b">
        <v>0</v>
      </c>
      <c r="AT32" s="94" t="b">
        <v>0</v>
      </c>
    </row>
    <row r="33" spans="1:46" x14ac:dyDescent="0.25">
      <c r="A33" s="92" t="str">
        <f>_xlfn.CONCAT(stableR[[#This Row],[group_0_no]:[order_no]])</f>
        <v>1215</v>
      </c>
      <c r="B33" s="92" t="s">
        <v>1119</v>
      </c>
      <c r="C33" s="209" t="s">
        <v>1093</v>
      </c>
      <c r="D33" s="209" t="s">
        <v>1097</v>
      </c>
      <c r="E33" s="209" t="s">
        <v>1093</v>
      </c>
      <c r="F33" s="209" t="s">
        <v>1103</v>
      </c>
      <c r="G33" s="93" t="s">
        <v>1120</v>
      </c>
      <c r="H33" s="93" t="b">
        <v>0</v>
      </c>
      <c r="I33" s="93" t="b">
        <v>1</v>
      </c>
      <c r="J33" s="93" t="b">
        <v>0</v>
      </c>
      <c r="K33" s="93" t="b">
        <v>0</v>
      </c>
      <c r="L33" s="93" t="b">
        <v>1</v>
      </c>
      <c r="M33" s="93" t="b">
        <v>1</v>
      </c>
      <c r="N33" s="93" t="b">
        <v>0</v>
      </c>
      <c r="O33" s="93" t="b">
        <v>1</v>
      </c>
      <c r="P33" s="93" t="b">
        <v>0</v>
      </c>
      <c r="Q33" s="93" t="b">
        <v>0</v>
      </c>
      <c r="R33" s="93" t="b">
        <v>0</v>
      </c>
      <c r="S33" s="94">
        <f>COUNTIFS(stableR[q_group],stableR[[#This Row],[q_group]])</f>
        <v>1</v>
      </c>
      <c r="T33" s="93" t="b">
        <v>1</v>
      </c>
      <c r="U33" s="93" t="b">
        <v>0</v>
      </c>
      <c r="V33" s="93" t="b">
        <v>0</v>
      </c>
      <c r="W33" s="93" t="b">
        <v>0</v>
      </c>
      <c r="X33" s="93" t="str">
        <f>_xlfn.TEXTJOIN(", ",TRUE,stableR[[#This Row],[ans_opt_1]:[ans_opt_14]])</f>
        <v/>
      </c>
      <c r="Y33" s="93"/>
      <c r="Z33" s="93"/>
      <c r="AA33" s="93"/>
      <c r="AB33" s="93"/>
      <c r="AC33" s="93"/>
      <c r="AD33" s="93"/>
      <c r="AE33" s="93"/>
      <c r="AF33" s="93"/>
      <c r="AG33" s="93"/>
      <c r="AH33" s="93"/>
      <c r="AI33" s="93"/>
      <c r="AJ33" s="93"/>
      <c r="AK33" s="93"/>
      <c r="AL33" s="93"/>
      <c r="AM33" s="94" t="b">
        <v>0</v>
      </c>
      <c r="AN33" s="94" t="b">
        <f>COUNTIFS(questions[qno],stableR[[#This Row],[qno]],questions[year_of_survey],2025,questions[origin],"Kenya")&gt;0</f>
        <v>0</v>
      </c>
      <c r="AO33" s="94" t="b">
        <f>COUNTIFS(questions[qno],stableR[[#This Row],[qno]],questions[year_of_survey],2025,questions[origin],"Rwanda")&gt;0</f>
        <v>0</v>
      </c>
      <c r="AP33" s="94" t="b">
        <f>COUNTIFS(questions[qno],stableR[[#This Row],[qno]],questions[year_of_survey],2026,questions[origin],"Burundi")&gt;0</f>
        <v>0</v>
      </c>
      <c r="AQ33" s="94" t="b">
        <f>COUNTIFS(questions[qno],stableR[[#This Row],[qno]],questions[year_of_survey],"",questions[origin],"Indonesia")&gt;0</f>
        <v>0</v>
      </c>
      <c r="AR33" s="94" t="b">
        <f>COUNTIFS(questions[qno],stableR[[#This Row],[qno]],questions[year_of_survey],2025,questions[origin],"Vietnam")&gt;0</f>
        <v>0</v>
      </c>
      <c r="AS33" s="94" t="b">
        <v>0</v>
      </c>
      <c r="AT33" s="94" t="b">
        <v>0</v>
      </c>
    </row>
    <row r="34" spans="1:46" x14ac:dyDescent="0.25">
      <c r="A34" s="15" t="str">
        <f>_xlfn.CONCAT(stableR[[#This Row],[group_0_no]:[order_no]])</f>
        <v>1216</v>
      </c>
      <c r="B34" s="15" t="s">
        <v>98</v>
      </c>
      <c r="C34" s="213" t="s">
        <v>1093</v>
      </c>
      <c r="D34" s="213" t="s">
        <v>1097</v>
      </c>
      <c r="E34" s="213" t="s">
        <v>1093</v>
      </c>
      <c r="F34" s="213" t="s">
        <v>1105</v>
      </c>
      <c r="G34" s="9" t="s">
        <v>1121</v>
      </c>
      <c r="H34" s="9" t="b">
        <v>1</v>
      </c>
      <c r="I34" s="9" t="b">
        <v>1</v>
      </c>
      <c r="J34" s="9" t="b">
        <v>0</v>
      </c>
      <c r="K34" s="9" t="b">
        <v>0</v>
      </c>
      <c r="L34" s="9" t="b">
        <v>1</v>
      </c>
      <c r="M34" s="9" t="b">
        <v>1</v>
      </c>
      <c r="N34" s="9" t="b">
        <v>0</v>
      </c>
      <c r="O34" s="9" t="b">
        <v>0</v>
      </c>
      <c r="P34" s="9" t="b">
        <v>0</v>
      </c>
      <c r="Q34" s="9" t="b">
        <v>0</v>
      </c>
      <c r="R34" s="9" t="b">
        <v>0</v>
      </c>
      <c r="S34" s="16">
        <f>COUNTIFS(stableR[q_group],stableR[[#This Row],[q_group]])</f>
        <v>1</v>
      </c>
      <c r="T34" s="9" t="b">
        <v>1</v>
      </c>
      <c r="U34" s="9" t="b">
        <v>0</v>
      </c>
      <c r="V34" s="9" t="b">
        <v>0</v>
      </c>
      <c r="W34" s="9" t="b">
        <v>0</v>
      </c>
      <c r="X34" s="9" t="str">
        <f>_xlfn.TEXTJOIN(", ",TRUE,stableR[[#This Row],[ans_opt_1]:[ans_opt_14]])</f>
        <v/>
      </c>
      <c r="AM34" s="16" t="b">
        <v>1</v>
      </c>
      <c r="AN34" s="16" t="b">
        <f>COUNTIFS(questions[qno],stableR[[#This Row],[qno]],questions[year_of_survey],2025,questions[origin],"Kenya")&gt;0</f>
        <v>1</v>
      </c>
      <c r="AO34" s="16" t="b">
        <f>COUNTIFS(questions[qno],stableR[[#This Row],[qno]],questions[year_of_survey],2025,questions[origin],"Rwanda")&gt;0</f>
        <v>1</v>
      </c>
      <c r="AP34" s="16" t="b">
        <f>COUNTIFS(questions[qno],stableR[[#This Row],[qno]],questions[year_of_survey],2026,questions[origin],"Burundi")&gt;0</f>
        <v>1</v>
      </c>
      <c r="AQ34" s="16" t="b">
        <f>COUNTIFS(questions[qno],stableR[[#This Row],[qno]],questions[year_of_survey],"",questions[origin],"Indonesia")&gt;0</f>
        <v>1</v>
      </c>
      <c r="AR34" s="16" t="b">
        <f>COUNTIFS(questions[qno],stableR[[#This Row],[qno]],questions[year_of_survey],2025,questions[origin],"Vietnam")&gt;0</f>
        <v>1</v>
      </c>
      <c r="AS34" s="16" t="b">
        <v>1</v>
      </c>
      <c r="AT34" s="16" t="b">
        <v>1</v>
      </c>
    </row>
    <row r="35" spans="1:46" x14ac:dyDescent="0.25">
      <c r="A35" s="15" t="str">
        <f>_xlfn.CONCAT(stableR[[#This Row],[group_0_no]:[order_no]])</f>
        <v>2000</v>
      </c>
      <c r="B35" s="15" t="s">
        <v>100</v>
      </c>
      <c r="C35" s="213" t="s">
        <v>1097</v>
      </c>
      <c r="D35" s="213" t="s">
        <v>1094</v>
      </c>
      <c r="E35" s="213" t="s">
        <v>1094</v>
      </c>
      <c r="F35" s="213" t="s">
        <v>1094</v>
      </c>
      <c r="G35" s="9" t="s">
        <v>1122</v>
      </c>
      <c r="H35" s="9" t="b">
        <v>1</v>
      </c>
      <c r="I35" s="9" t="b">
        <v>1</v>
      </c>
      <c r="J35" s="9" t="b">
        <v>0</v>
      </c>
      <c r="K35" s="9" t="b">
        <v>0</v>
      </c>
      <c r="L35" s="9" t="b">
        <v>1</v>
      </c>
      <c r="M35" s="9" t="b">
        <v>0</v>
      </c>
      <c r="N35" s="9" t="b">
        <v>0</v>
      </c>
      <c r="O35" s="9" t="b">
        <v>0</v>
      </c>
      <c r="P35" s="9" t="b">
        <v>0</v>
      </c>
      <c r="Q35" s="9" t="b">
        <v>1</v>
      </c>
      <c r="R35" s="9" t="b">
        <v>0</v>
      </c>
      <c r="S35" s="16">
        <f>COUNTIFS(stableR[q_group],stableR[[#This Row],[q_group]])</f>
        <v>1</v>
      </c>
      <c r="T35" s="9" t="b">
        <v>1</v>
      </c>
      <c r="U35" s="9" t="b">
        <v>0</v>
      </c>
      <c r="V35" s="9" t="b">
        <v>0</v>
      </c>
      <c r="W35" s="9" t="b">
        <v>0</v>
      </c>
      <c r="X35" s="9" t="str">
        <f>_xlfn.TEXTJOIN(", ",TRUE,stableR[[#This Row],[ans_opt_1]:[ans_opt_14]])</f>
        <v>Wife, Husband, Wife and Husband, Other important household member</v>
      </c>
      <c r="Y35" s="9" t="s">
        <v>101</v>
      </c>
      <c r="Z35" s="9" t="s">
        <v>102</v>
      </c>
      <c r="AA35" s="9" t="s">
        <v>1356</v>
      </c>
      <c r="AB35" s="9" t="s">
        <v>103</v>
      </c>
      <c r="AM35" s="16" t="b">
        <v>1</v>
      </c>
      <c r="AN35" s="16" t="b">
        <f>COUNTIFS(questions[qno],stableR[[#This Row],[qno]],questions[year_of_survey],2025,questions[origin],"Kenya")&gt;0</f>
        <v>1</v>
      </c>
      <c r="AO35" s="16" t="b">
        <f>COUNTIFS(questions[qno],stableR[[#This Row],[qno]],questions[year_of_survey],2025,questions[origin],"Rwanda")&gt;0</f>
        <v>1</v>
      </c>
      <c r="AP35" s="16" t="b">
        <f>COUNTIFS(questions[qno],stableR[[#This Row],[qno]],questions[year_of_survey],2026,questions[origin],"Burundi")&gt;0</f>
        <v>1</v>
      </c>
      <c r="AQ35" s="16" t="b">
        <f>COUNTIFS(questions[qno],stableR[[#This Row],[qno]],questions[year_of_survey],"",questions[origin],"Indonesia")&gt;0</f>
        <v>1</v>
      </c>
      <c r="AR35" s="16" t="b">
        <f>COUNTIFS(questions[qno],stableR[[#This Row],[qno]],questions[year_of_survey],2025,questions[origin],"Vietnam")&gt;0</f>
        <v>1</v>
      </c>
      <c r="AS35" s="16" t="b">
        <v>1</v>
      </c>
      <c r="AT35" s="16" t="b">
        <v>1</v>
      </c>
    </row>
    <row r="36" spans="1:46" x14ac:dyDescent="0.25">
      <c r="A36" s="15" t="str">
        <f>_xlfn.CONCAT(stableR[[#This Row],[group_0_no]:[order_no]])</f>
        <v>2001</v>
      </c>
      <c r="B36" s="15" t="s">
        <v>1357</v>
      </c>
      <c r="C36" s="213" t="s">
        <v>1097</v>
      </c>
      <c r="D36" s="213" t="s">
        <v>1094</v>
      </c>
      <c r="E36" s="213" t="s">
        <v>1094</v>
      </c>
      <c r="F36" s="213" t="s">
        <v>1093</v>
      </c>
      <c r="G36" s="9" t="s">
        <v>1123</v>
      </c>
      <c r="H36" s="9" t="b">
        <v>1</v>
      </c>
      <c r="I36" s="9" t="b">
        <v>1</v>
      </c>
      <c r="J36" s="9" t="b">
        <v>0</v>
      </c>
      <c r="K36" s="9" t="b">
        <v>0</v>
      </c>
      <c r="L36" s="9" t="b">
        <v>1</v>
      </c>
      <c r="M36" s="9" t="b">
        <v>0</v>
      </c>
      <c r="N36" s="9" t="b">
        <v>0</v>
      </c>
      <c r="O36" s="9" t="b">
        <v>0</v>
      </c>
      <c r="P36" s="9" t="b">
        <v>1</v>
      </c>
      <c r="Q36" s="9" t="b">
        <v>0</v>
      </c>
      <c r="R36" s="9" t="b">
        <v>0</v>
      </c>
      <c r="S36" s="16">
        <f>COUNTIFS(stableR[q_group],stableR[[#This Row],[q_group]])</f>
        <v>1</v>
      </c>
      <c r="T36" s="9" t="b">
        <v>1</v>
      </c>
      <c r="U36" s="9" t="b">
        <v>0</v>
      </c>
      <c r="V36" s="9" t="b">
        <v>0</v>
      </c>
      <c r="W36" s="9" t="b">
        <v>0</v>
      </c>
      <c r="X36" s="9" t="str">
        <f>_xlfn.TEXTJOIN(", ",TRUE,stableR[[#This Row],[ans_opt_1]:[ans_opt_14]])</f>
        <v>Female, Male</v>
      </c>
      <c r="Y36" s="9" t="s">
        <v>106</v>
      </c>
      <c r="Z36" s="9" t="s">
        <v>107</v>
      </c>
      <c r="AM36" s="16" t="b">
        <v>1</v>
      </c>
      <c r="AN36" s="16" t="b">
        <f>COUNTIFS(questions[qno],stableR[[#This Row],[qno]],questions[year_of_survey],2025,questions[origin],"Kenya")&gt;0</f>
        <v>1</v>
      </c>
      <c r="AO36" s="16" t="b">
        <f>COUNTIFS(questions[qno],stableR[[#This Row],[qno]],questions[year_of_survey],2025,questions[origin],"Rwanda")&gt;0</f>
        <v>1</v>
      </c>
      <c r="AP36" s="16" t="b">
        <f>COUNTIFS(questions[qno],stableR[[#This Row],[qno]],questions[year_of_survey],2026,questions[origin],"Burundi")&gt;0</f>
        <v>1</v>
      </c>
      <c r="AQ36" s="16" t="b">
        <f>COUNTIFS(questions[qno],stableR[[#This Row],[qno]],questions[year_of_survey],"",questions[origin],"Indonesia")&gt;0</f>
        <v>1</v>
      </c>
      <c r="AR36" s="16" t="b">
        <f>COUNTIFS(questions[qno],stableR[[#This Row],[qno]],questions[year_of_survey],2025,questions[origin],"Vietnam")&gt;0</f>
        <v>1</v>
      </c>
      <c r="AS36" s="16" t="b">
        <v>1</v>
      </c>
      <c r="AT36" s="16" t="b">
        <v>1</v>
      </c>
    </row>
    <row r="37" spans="1:46" x14ac:dyDescent="0.25">
      <c r="A37" s="15" t="str">
        <f>_xlfn.CONCAT(stableR[[#This Row],[group_0_no]:[order_no]])</f>
        <v>2002</v>
      </c>
      <c r="B37" s="15" t="s">
        <v>109</v>
      </c>
      <c r="C37" s="213" t="s">
        <v>1097</v>
      </c>
      <c r="D37" s="213" t="s">
        <v>1094</v>
      </c>
      <c r="E37" s="213" t="s">
        <v>1094</v>
      </c>
      <c r="F37" s="213" t="s">
        <v>1097</v>
      </c>
      <c r="G37" s="9" t="s">
        <v>1124</v>
      </c>
      <c r="H37" s="9" t="b">
        <v>1</v>
      </c>
      <c r="I37" s="9" t="b">
        <v>1</v>
      </c>
      <c r="J37" s="9" t="b">
        <v>0</v>
      </c>
      <c r="K37" s="9" t="b">
        <v>0</v>
      </c>
      <c r="L37" s="9" t="b">
        <v>1</v>
      </c>
      <c r="M37" s="9" t="b">
        <v>0</v>
      </c>
      <c r="N37" s="9" t="b">
        <v>0</v>
      </c>
      <c r="O37" s="9" t="b">
        <v>0</v>
      </c>
      <c r="P37" s="9" t="b">
        <v>1</v>
      </c>
      <c r="Q37" s="9" t="b">
        <v>0</v>
      </c>
      <c r="R37" s="9" t="b">
        <v>0</v>
      </c>
      <c r="S37" s="16">
        <f>COUNTIFS(stableR[q_group],stableR[[#This Row],[q_group]])</f>
        <v>1</v>
      </c>
      <c r="T37" s="9" t="b">
        <v>1</v>
      </c>
      <c r="U37" s="9" t="b">
        <v>0</v>
      </c>
      <c r="V37" s="9" t="b">
        <v>0</v>
      </c>
      <c r="W37" s="9" t="b">
        <v>0</v>
      </c>
      <c r="X37" s="9" t="str">
        <f>_xlfn.TEXTJOIN(", ",TRUE,stableR[[#This Row],[ans_opt_1]:[ans_opt_14]])</f>
        <v>Female headed, Male headed, Other</v>
      </c>
      <c r="Y37" s="9" t="s">
        <v>111</v>
      </c>
      <c r="Z37" s="9" t="s">
        <v>110</v>
      </c>
      <c r="AL37" s="9" t="s">
        <v>112</v>
      </c>
      <c r="AM37" s="16" t="b">
        <v>1</v>
      </c>
      <c r="AN37" s="16" t="b">
        <f>COUNTIFS(questions[qno],stableR[[#This Row],[qno]],questions[year_of_survey],2025,questions[origin],"Kenya")&gt;0</f>
        <v>1</v>
      </c>
      <c r="AO37" s="16" t="b">
        <f>COUNTIFS(questions[qno],stableR[[#This Row],[qno]],questions[year_of_survey],2025,questions[origin],"Rwanda")&gt;0</f>
        <v>1</v>
      </c>
      <c r="AP37" s="16" t="b">
        <f>COUNTIFS(questions[qno],stableR[[#This Row],[qno]],questions[year_of_survey],2026,questions[origin],"Burundi")&gt;0</f>
        <v>1</v>
      </c>
      <c r="AQ37" s="16" t="b">
        <f>COUNTIFS(questions[qno],stableR[[#This Row],[qno]],questions[year_of_survey],"",questions[origin],"Indonesia")&gt;0</f>
        <v>1</v>
      </c>
      <c r="AR37" s="16" t="b">
        <f>COUNTIFS(questions[qno],stableR[[#This Row],[qno]],questions[year_of_survey],2025,questions[origin],"Vietnam")&gt;0</f>
        <v>1</v>
      </c>
      <c r="AS37" s="16" t="b">
        <v>0</v>
      </c>
      <c r="AT37" s="16" t="b">
        <v>0</v>
      </c>
    </row>
    <row r="38" spans="1:46" x14ac:dyDescent="0.25">
      <c r="A38" s="15" t="str">
        <f>_xlfn.CONCAT(stableR[[#This Row],[group_0_no]:[order_no]])</f>
        <v>2003</v>
      </c>
      <c r="B38" s="71" t="s">
        <v>1358</v>
      </c>
      <c r="C38" s="213" t="s">
        <v>1097</v>
      </c>
      <c r="D38" s="213" t="s">
        <v>1094</v>
      </c>
      <c r="E38" s="213" t="s">
        <v>1094</v>
      </c>
      <c r="F38" s="213" t="s">
        <v>1099</v>
      </c>
      <c r="G38" s="9" t="s">
        <v>1125</v>
      </c>
      <c r="H38" s="9" t="b">
        <v>1</v>
      </c>
      <c r="I38" s="9" t="b">
        <v>1</v>
      </c>
      <c r="J38" s="9" t="b">
        <v>0</v>
      </c>
      <c r="K38" s="9" t="b">
        <v>0</v>
      </c>
      <c r="L38" s="9" t="b">
        <v>1</v>
      </c>
      <c r="M38" s="9" t="b">
        <v>0</v>
      </c>
      <c r="N38" s="9" t="b">
        <v>0</v>
      </c>
      <c r="O38" s="9" t="b">
        <v>1</v>
      </c>
      <c r="P38" s="9" t="b">
        <v>0</v>
      </c>
      <c r="Q38" s="9" t="b">
        <v>0</v>
      </c>
      <c r="R38" s="9" t="b">
        <v>0</v>
      </c>
      <c r="S38" s="16">
        <f>COUNTIFS(stableR[q_group],stableR[[#This Row],[q_group]])</f>
        <v>1</v>
      </c>
      <c r="T38" s="9" t="b">
        <v>1</v>
      </c>
      <c r="U38" s="9" t="b">
        <v>0</v>
      </c>
      <c r="V38" s="9" t="b">
        <v>0</v>
      </c>
      <c r="W38" s="9" t="b">
        <v>0</v>
      </c>
      <c r="X38" s="9" t="str">
        <f>_xlfn.TEXTJOIN(", ",TRUE,stableR[[#This Row],[ans_opt_1]:[ans_opt_14]])</f>
        <v/>
      </c>
      <c r="AM38" s="16" t="b">
        <v>1</v>
      </c>
      <c r="AN38" s="16" t="b">
        <f>COUNTIFS(questions[qno],stableR[[#This Row],[qno]],questions[year_of_survey],2025,questions[origin],"Kenya")&gt;0</f>
        <v>1</v>
      </c>
      <c r="AO38" s="16" t="b">
        <f>COUNTIFS(questions[qno],stableR[[#This Row],[qno]],questions[year_of_survey],2025,questions[origin],"Rwanda")&gt;0</f>
        <v>1</v>
      </c>
      <c r="AP38" s="16" t="b">
        <f>COUNTIFS(questions[qno],stableR[[#This Row],[qno]],questions[year_of_survey],2026,questions[origin],"Burundi")&gt;0</f>
        <v>1</v>
      </c>
      <c r="AQ38" s="16" t="b">
        <f>COUNTIFS(questions[qno],stableR[[#This Row],[qno]],questions[year_of_survey],"",questions[origin],"Indonesia")&gt;0</f>
        <v>1</v>
      </c>
      <c r="AR38" s="16" t="b">
        <f>COUNTIFS(questions[qno],stableR[[#This Row],[qno]],questions[year_of_survey],2025,questions[origin],"Vietnam")&gt;0</f>
        <v>1</v>
      </c>
      <c r="AS38" s="16" t="b">
        <v>0</v>
      </c>
      <c r="AT38" s="16" t="b">
        <v>0</v>
      </c>
    </row>
    <row r="39" spans="1:46" x14ac:dyDescent="0.25">
      <c r="A39" s="15" t="str">
        <f>_xlfn.CONCAT(stableR[[#This Row],[group_0_no]:[order_no]])</f>
        <v>2004</v>
      </c>
      <c r="B39" s="15" t="s">
        <v>1359</v>
      </c>
      <c r="C39" s="213" t="s">
        <v>1097</v>
      </c>
      <c r="D39" s="213" t="s">
        <v>1094</v>
      </c>
      <c r="E39" s="213" t="s">
        <v>1094</v>
      </c>
      <c r="F39" s="213" t="s">
        <v>1101</v>
      </c>
      <c r="G39" s="9" t="s">
        <v>1126</v>
      </c>
      <c r="H39" s="9" t="b">
        <v>1</v>
      </c>
      <c r="I39" s="9" t="b">
        <v>1</v>
      </c>
      <c r="J39" s="9" t="b">
        <v>0</v>
      </c>
      <c r="K39" s="9" t="b">
        <v>0</v>
      </c>
      <c r="L39" s="9" t="b">
        <v>1</v>
      </c>
      <c r="M39" s="9" t="b">
        <v>0</v>
      </c>
      <c r="N39" s="9" t="b">
        <v>0</v>
      </c>
      <c r="O39" s="9" t="b">
        <v>1</v>
      </c>
      <c r="P39" s="9" t="b">
        <v>0</v>
      </c>
      <c r="Q39" s="9" t="b">
        <v>0</v>
      </c>
      <c r="R39" s="9" t="b">
        <v>0</v>
      </c>
      <c r="S39" s="16">
        <f>COUNTIFS(stableR[q_group],stableR[[#This Row],[q_group]])</f>
        <v>1</v>
      </c>
      <c r="T39" s="9" t="b">
        <v>1</v>
      </c>
      <c r="U39" s="9" t="b">
        <v>0</v>
      </c>
      <c r="V39" s="9" t="b">
        <v>0</v>
      </c>
      <c r="W39" s="9" t="b">
        <v>0</v>
      </c>
      <c r="X39" s="9" t="str">
        <f>_xlfn.TEXTJOIN(", ",TRUE,stableR[[#This Row],[ans_opt_1]:[ans_opt_14]])</f>
        <v/>
      </c>
      <c r="AM39" s="16" t="b">
        <v>1</v>
      </c>
      <c r="AN39" s="16" t="b">
        <f>COUNTIFS(questions[qno],stableR[[#This Row],[qno]],questions[year_of_survey],2025,questions[origin],"Kenya")&gt;0</f>
        <v>1</v>
      </c>
      <c r="AO39" s="16" t="b">
        <f>COUNTIFS(questions[qno],stableR[[#This Row],[qno]],questions[year_of_survey],2025,questions[origin],"Rwanda")&gt;0</f>
        <v>1</v>
      </c>
      <c r="AP39" s="16" t="b">
        <f>COUNTIFS(questions[qno],stableR[[#This Row],[qno]],questions[year_of_survey],2026,questions[origin],"Burundi")&gt;0</f>
        <v>1</v>
      </c>
      <c r="AQ39" s="16" t="b">
        <f>COUNTIFS(questions[qno],stableR[[#This Row],[qno]],questions[year_of_survey],"",questions[origin],"Indonesia")&gt;0</f>
        <v>1</v>
      </c>
      <c r="AR39" s="16" t="b">
        <f>COUNTIFS(questions[qno],stableR[[#This Row],[qno]],questions[year_of_survey],2025,questions[origin],"Vietnam")&gt;0</f>
        <v>1</v>
      </c>
      <c r="AS39" s="16" t="b">
        <v>0</v>
      </c>
      <c r="AT39" s="16" t="b">
        <v>0</v>
      </c>
    </row>
    <row r="40" spans="1:46" x14ac:dyDescent="0.25">
      <c r="A40" s="15" t="str">
        <f>_xlfn.CONCAT(stableR[[#This Row],[group_0_no]:[order_no]])</f>
        <v>2100</v>
      </c>
      <c r="B40" s="15" t="s">
        <v>1360</v>
      </c>
      <c r="C40" s="213" t="s">
        <v>1097</v>
      </c>
      <c r="D40" s="213" t="s">
        <v>1093</v>
      </c>
      <c r="E40" s="213" t="s">
        <v>1094</v>
      </c>
      <c r="F40" s="213" t="s">
        <v>1094</v>
      </c>
      <c r="G40" s="9" t="s">
        <v>1127</v>
      </c>
      <c r="H40" s="9" t="b">
        <v>1</v>
      </c>
      <c r="I40" s="9" t="b">
        <v>1</v>
      </c>
      <c r="J40" s="9" t="b">
        <v>0</v>
      </c>
      <c r="K40" s="9" t="b">
        <v>0</v>
      </c>
      <c r="L40" s="9" t="b">
        <v>1</v>
      </c>
      <c r="M40" s="9" t="b">
        <v>0</v>
      </c>
      <c r="N40" s="9" t="b">
        <v>0</v>
      </c>
      <c r="O40" s="9" t="b">
        <v>0</v>
      </c>
      <c r="P40" s="9" t="b">
        <v>0</v>
      </c>
      <c r="Q40" s="9" t="b">
        <v>1</v>
      </c>
      <c r="R40" s="9" t="b">
        <v>1</v>
      </c>
      <c r="S40" s="16">
        <f>COUNTIFS(stableR[q_group],stableR[[#This Row],[q_group]])</f>
        <v>1</v>
      </c>
      <c r="T40" s="9" t="b">
        <v>0</v>
      </c>
      <c r="U40" s="9" t="b">
        <v>0</v>
      </c>
      <c r="V40" s="9" t="b">
        <v>0</v>
      </c>
      <c r="W40" s="9" t="b">
        <v>1</v>
      </c>
      <c r="X40" s="9" t="str">
        <f>_xlfn.TEXTJOIN(", ",TRUE,stableR[[#This Row],[ans_opt_1]:[ans_opt_14]])</f>
        <v>No, IMPACT, 4C, Fair Trade, Organic, Rainforest Alliance, CAFÉ Practices, RegenAgri, Nespresso AAA, Other</v>
      </c>
      <c r="Y40" s="9" t="s">
        <v>119</v>
      </c>
      <c r="Z40" s="9" t="s">
        <v>120</v>
      </c>
      <c r="AA40" s="9" t="s">
        <v>121</v>
      </c>
      <c r="AB40" s="9" t="s">
        <v>122</v>
      </c>
      <c r="AC40" s="9" t="s">
        <v>124</v>
      </c>
      <c r="AD40" s="9" t="s">
        <v>123</v>
      </c>
      <c r="AE40" s="9" t="s">
        <v>1361</v>
      </c>
      <c r="AF40" s="9" t="s">
        <v>126</v>
      </c>
      <c r="AG40" s="9" t="s">
        <v>866</v>
      </c>
      <c r="AL40" s="9" t="s">
        <v>112</v>
      </c>
      <c r="AM40" s="16" t="b">
        <v>1</v>
      </c>
      <c r="AN40" s="16" t="b">
        <f>COUNTIFS(questions[qno],stableR[[#This Row],[qno]],questions[year_of_survey],2025,questions[origin],"Kenya")&gt;0</f>
        <v>1</v>
      </c>
      <c r="AO40" s="16" t="b">
        <f>COUNTIFS(questions[qno],stableR[[#This Row],[qno]],questions[year_of_survey],2025,questions[origin],"Rwanda")&gt;0</f>
        <v>1</v>
      </c>
      <c r="AP40" s="16" t="b">
        <f>COUNTIFS(questions[qno],stableR[[#This Row],[qno]],questions[year_of_survey],2026,questions[origin],"Burundi")&gt;0</f>
        <v>1</v>
      </c>
      <c r="AQ40" s="16" t="b">
        <f>COUNTIFS(questions[qno],stableR[[#This Row],[qno]],questions[year_of_survey],"",questions[origin],"Indonesia")&gt;0</f>
        <v>1</v>
      </c>
      <c r="AR40" s="16" t="b">
        <f>COUNTIFS(questions[qno],stableR[[#This Row],[qno]],questions[year_of_survey],2025,questions[origin],"Vietnam")&gt;0</f>
        <v>1</v>
      </c>
      <c r="AS40" s="16" t="b">
        <v>1</v>
      </c>
      <c r="AT40" s="16" t="b">
        <v>1</v>
      </c>
    </row>
    <row r="41" spans="1:46" x14ac:dyDescent="0.25">
      <c r="A41" s="15" t="str">
        <f>_xlfn.CONCAT(stableR[[#This Row],[group_0_no]:[order_no]])</f>
        <v>2101</v>
      </c>
      <c r="B41" s="15" t="s">
        <v>1362</v>
      </c>
      <c r="C41" s="213" t="s">
        <v>1097</v>
      </c>
      <c r="D41" s="213" t="s">
        <v>1093</v>
      </c>
      <c r="E41" s="213" t="s">
        <v>1094</v>
      </c>
      <c r="F41" s="213" t="s">
        <v>1093</v>
      </c>
      <c r="G41" s="9" t="s">
        <v>1128</v>
      </c>
      <c r="H41" s="9" t="b">
        <v>1</v>
      </c>
      <c r="I41" s="9" t="b">
        <v>1</v>
      </c>
      <c r="J41" s="9" t="b">
        <v>0</v>
      </c>
      <c r="K41" s="9" t="b">
        <v>0</v>
      </c>
      <c r="L41" s="9" t="b">
        <v>0</v>
      </c>
      <c r="M41" s="9" t="b">
        <v>0</v>
      </c>
      <c r="N41" s="9" t="b">
        <v>0</v>
      </c>
      <c r="O41" s="9" t="b">
        <v>0</v>
      </c>
      <c r="P41" s="9" t="b">
        <v>1</v>
      </c>
      <c r="Q41" s="9" t="b">
        <v>0</v>
      </c>
      <c r="R41" s="9" t="b">
        <v>1</v>
      </c>
      <c r="S41" s="16">
        <f>COUNTIFS(stableR[q_group],stableR[[#This Row],[q_group]])</f>
        <v>1</v>
      </c>
      <c r="T41" s="9" t="b">
        <v>0</v>
      </c>
      <c r="U41" s="9" t="b">
        <v>0</v>
      </c>
      <c r="V41" s="9" t="b">
        <v>0</v>
      </c>
      <c r="W41" s="9" t="b">
        <v>1</v>
      </c>
      <c r="X41" s="9" t="str">
        <f>_xlfn.TEXTJOIN(", ",TRUE,stableR[[#This Row],[ans_opt_1]:[ans_opt_14]])</f>
        <v>1-2 years, 3-4 years, &gt;=5 years</v>
      </c>
      <c r="Y41" s="9" t="s">
        <v>129</v>
      </c>
      <c r="Z41" s="9" t="s">
        <v>130</v>
      </c>
      <c r="AA41" s="9" t="s">
        <v>131</v>
      </c>
      <c r="AM41" s="16" t="b">
        <v>1</v>
      </c>
      <c r="AN41" s="16" t="b">
        <f>COUNTIFS(questions[qno],stableR[[#This Row],[qno]],questions[year_of_survey],2025,questions[origin],"Kenya")&gt;0</f>
        <v>1</v>
      </c>
      <c r="AO41" s="16" t="b">
        <f>COUNTIFS(questions[qno],stableR[[#This Row],[qno]],questions[year_of_survey],2025,questions[origin],"Rwanda")&gt;0</f>
        <v>1</v>
      </c>
      <c r="AP41" s="16" t="b">
        <f>COUNTIFS(questions[qno],stableR[[#This Row],[qno]],questions[year_of_survey],2026,questions[origin],"Burundi")&gt;0</f>
        <v>1</v>
      </c>
      <c r="AQ41" s="16" t="b">
        <f>COUNTIFS(questions[qno],stableR[[#This Row],[qno]],questions[year_of_survey],"",questions[origin],"Indonesia")&gt;0</f>
        <v>1</v>
      </c>
      <c r="AR41" s="16" t="b">
        <f>COUNTIFS(questions[qno],stableR[[#This Row],[qno]],questions[year_of_survey],2025,questions[origin],"Vietnam")&gt;0</f>
        <v>1</v>
      </c>
      <c r="AS41" s="16" t="b">
        <v>1</v>
      </c>
      <c r="AT41" s="16" t="b">
        <v>1</v>
      </c>
    </row>
    <row r="42" spans="1:46" s="230" customFormat="1" x14ac:dyDescent="0.25">
      <c r="A42" s="228" t="str">
        <f>_xlfn.CONCAT(stableR[[#This Row],[group_0_no]:[order_no]])</f>
        <v>2200</v>
      </c>
      <c r="B42" s="228" t="s">
        <v>1363</v>
      </c>
      <c r="C42" s="229" t="s">
        <v>1097</v>
      </c>
      <c r="D42" s="229" t="s">
        <v>1097</v>
      </c>
      <c r="E42" s="229" t="s">
        <v>1094</v>
      </c>
      <c r="F42" s="229" t="s">
        <v>1094</v>
      </c>
      <c r="G42" s="230" t="s">
        <v>1129</v>
      </c>
      <c r="H42" s="230" t="b">
        <v>1</v>
      </c>
      <c r="I42" s="230" t="b">
        <v>0</v>
      </c>
      <c r="J42" s="230" t="b">
        <v>1</v>
      </c>
      <c r="K42" s="230" t="b">
        <v>0</v>
      </c>
      <c r="L42" s="230" t="b">
        <v>1</v>
      </c>
      <c r="M42" s="230" t="b">
        <v>0</v>
      </c>
      <c r="N42" s="230" t="b">
        <v>0</v>
      </c>
      <c r="O42" s="230" t="b">
        <v>0</v>
      </c>
      <c r="P42" s="230" t="b">
        <v>1</v>
      </c>
      <c r="Q42" s="230" t="b">
        <v>0</v>
      </c>
      <c r="R42" s="230" t="b">
        <v>0</v>
      </c>
      <c r="S42" s="231">
        <f>COUNTIFS(stableR[q_group],stableR[[#This Row],[q_group]])</f>
        <v>1</v>
      </c>
      <c r="T42" s="230" t="b">
        <v>1</v>
      </c>
      <c r="U42" s="230" t="b">
        <v>0</v>
      </c>
      <c r="V42" s="230" t="b">
        <v>0</v>
      </c>
      <c r="W42" s="230" t="b">
        <v>0</v>
      </c>
      <c r="X42" s="230" t="str">
        <f>_xlfn.TEXTJOIN(", ",TRUE,stableR[[#This Row],[ans_opt_1]:[ans_opt_14]])</f>
        <v/>
      </c>
      <c r="AM42" s="231" t="b">
        <v>1</v>
      </c>
      <c r="AN42" s="231" t="b">
        <f>COUNTIFS(questions[qno],stableR[[#This Row],[qno]],questions[year_of_survey],2025,questions[origin],"Kenya")&gt;0</f>
        <v>1</v>
      </c>
      <c r="AO42" s="231" t="b">
        <f>COUNTIFS(questions[qno],stableR[[#This Row],[qno]],questions[year_of_survey],2025,questions[origin],"Rwanda")&gt;0</f>
        <v>1</v>
      </c>
      <c r="AP42" s="231" t="b">
        <f>COUNTIFS(questions[qno],stableR[[#This Row],[qno]],questions[year_of_survey],2026,questions[origin],"Burundi")&gt;0</f>
        <v>1</v>
      </c>
      <c r="AQ42" s="231" t="b">
        <f>COUNTIFS(questions[qno],stableR[[#This Row],[qno]],questions[year_of_survey],"",questions[origin],"Indonesia")&gt;0</f>
        <v>1</v>
      </c>
      <c r="AR42" s="231" t="b">
        <f>COUNTIFS(questions[qno],stableR[[#This Row],[qno]],questions[year_of_survey],2025,questions[origin],"Vietnam")&gt;0</f>
        <v>1</v>
      </c>
      <c r="AS42" s="231" t="b">
        <v>0</v>
      </c>
      <c r="AT42" s="231" t="b">
        <v>1</v>
      </c>
    </row>
    <row r="43" spans="1:46" s="33" customFormat="1" x14ac:dyDescent="0.25">
      <c r="A43" s="238" t="str">
        <f>_xlfn.CONCAT(stableR[[#This Row],[group_0_no]:[order_no]])</f>
        <v>3000</v>
      </c>
      <c r="B43" s="238" t="s">
        <v>521</v>
      </c>
      <c r="C43" s="213" t="s">
        <v>1099</v>
      </c>
      <c r="D43" s="213" t="s">
        <v>1094</v>
      </c>
      <c r="E43" s="213" t="s">
        <v>1094</v>
      </c>
      <c r="F43" s="213" t="s">
        <v>1094</v>
      </c>
      <c r="G43" s="240" t="s">
        <v>1130</v>
      </c>
      <c r="H43" s="240" t="b">
        <v>1</v>
      </c>
      <c r="I43" s="240" t="b">
        <v>0</v>
      </c>
      <c r="J43" s="240" t="b">
        <v>1</v>
      </c>
      <c r="K43" s="240" t="b">
        <v>0</v>
      </c>
      <c r="L43" s="240" t="b">
        <v>0</v>
      </c>
      <c r="M43" s="240" t="b">
        <v>0</v>
      </c>
      <c r="N43" s="240" t="b">
        <v>0</v>
      </c>
      <c r="O43" s="240" t="b">
        <v>0</v>
      </c>
      <c r="P43" s="240" t="b">
        <v>0</v>
      </c>
      <c r="Q43" s="240" t="b">
        <v>1</v>
      </c>
      <c r="R43" s="240" t="b">
        <v>0</v>
      </c>
      <c r="S43" s="241">
        <f>COUNTIFS(stableR[q_group],stableR[[#This Row],[q_group]])</f>
        <v>1</v>
      </c>
      <c r="T43" s="9" t="b">
        <v>0</v>
      </c>
      <c r="U43" s="9" t="b">
        <v>1</v>
      </c>
      <c r="V43" s="9" t="b">
        <v>1</v>
      </c>
      <c r="W43" s="9" t="b">
        <v>1</v>
      </c>
      <c r="X43" s="240" t="str">
        <f>_xlfn.TEXTJOIN(", ",TRUE,stableR[[#This Row],[ans_opt_1]:[ans_opt_14]])</f>
        <v>Fresh cherries, Dried cherries, Hulled beans, Dried parchment, Green beans</v>
      </c>
      <c r="Y43" s="240" t="s">
        <v>522</v>
      </c>
      <c r="Z43" s="240" t="s">
        <v>523</v>
      </c>
      <c r="AA43" s="240" t="s">
        <v>524</v>
      </c>
      <c r="AB43" s="240" t="s">
        <v>1364</v>
      </c>
      <c r="AC43" s="240" t="s">
        <v>525</v>
      </c>
      <c r="AD43" s="240"/>
      <c r="AE43" s="240"/>
      <c r="AF43" s="240"/>
      <c r="AG43" s="240"/>
      <c r="AH43" s="240"/>
      <c r="AI43" s="240"/>
      <c r="AJ43" s="240"/>
      <c r="AK43" s="240"/>
      <c r="AL43" s="240"/>
      <c r="AM43" s="241" t="b">
        <v>1</v>
      </c>
      <c r="AN43" s="241" t="b">
        <f>COUNTIFS(questions[qno],stableR[[#This Row],[qno]],questions[year_of_survey],2025,questions[origin],"Kenya")&gt;0</f>
        <v>1</v>
      </c>
      <c r="AO43" s="241" t="b">
        <f>COUNTIFS(questions[qno],stableR[[#This Row],[qno]],questions[year_of_survey],2025,questions[origin],"Rwanda")&gt;0</f>
        <v>0</v>
      </c>
      <c r="AP43" s="241" t="b">
        <f>COUNTIFS(questions[qno],stableR[[#This Row],[qno]],questions[year_of_survey],2026,questions[origin],"Burundi")&gt;0</f>
        <v>0</v>
      </c>
      <c r="AQ43" s="241" t="b">
        <f>COUNTIFS(questions[qno],stableR[[#This Row],[qno]],questions[year_of_survey],"",questions[origin],"Indonesia")&gt;0</f>
        <v>0</v>
      </c>
      <c r="AR43" s="241" t="b">
        <f>COUNTIFS(questions[qno],stableR[[#This Row],[qno]],questions[year_of_survey],2025,questions[origin],"Vietnam")&gt;0</f>
        <v>0</v>
      </c>
      <c r="AS43" s="241" t="b">
        <v>0</v>
      </c>
      <c r="AT43" s="241" t="b">
        <v>0</v>
      </c>
    </row>
    <row r="44" spans="1:46" x14ac:dyDescent="0.25">
      <c r="A44" s="15" t="str">
        <f>_xlfn.CONCAT(stableR[[#This Row],[group_0_no]:[order_no]])</f>
        <v>3100</v>
      </c>
      <c r="B44" s="15" t="s">
        <v>1365</v>
      </c>
      <c r="C44" s="213" t="s">
        <v>1099</v>
      </c>
      <c r="D44" s="213" t="s">
        <v>1093</v>
      </c>
      <c r="E44" s="213" t="s">
        <v>1094</v>
      </c>
      <c r="F44" s="213" t="s">
        <v>1094</v>
      </c>
      <c r="G44" s="9" t="s">
        <v>1131</v>
      </c>
      <c r="H44" s="9" t="b">
        <v>1</v>
      </c>
      <c r="I44" s="9" t="b">
        <v>0</v>
      </c>
      <c r="J44" s="9" t="b">
        <v>1</v>
      </c>
      <c r="K44" s="9" t="b">
        <v>0</v>
      </c>
      <c r="L44" s="9" t="b">
        <v>0</v>
      </c>
      <c r="M44" s="9" t="b">
        <v>0</v>
      </c>
      <c r="N44" s="9" t="b">
        <v>0</v>
      </c>
      <c r="O44" s="9" t="b">
        <v>1</v>
      </c>
      <c r="P44" s="9" t="b">
        <v>0</v>
      </c>
      <c r="Q44" s="9" t="b">
        <v>0</v>
      </c>
      <c r="R44" s="9" t="b">
        <v>0</v>
      </c>
      <c r="S44" s="16">
        <f>COUNTIFS(stableR[q_group],stableR[[#This Row],[q_group]])</f>
        <v>1</v>
      </c>
      <c r="T44" s="9" t="b">
        <v>0</v>
      </c>
      <c r="U44" s="9" t="b">
        <v>1</v>
      </c>
      <c r="V44" s="9" t="b">
        <v>1</v>
      </c>
      <c r="W44" s="9" t="b">
        <v>1</v>
      </c>
      <c r="X44" s="9" t="str">
        <f>_xlfn.TEXTJOIN(", ",TRUE,stableR[[#This Row],[ans_opt_1]:[ans_opt_14]])</f>
        <v/>
      </c>
      <c r="AM44" s="16" t="b">
        <v>1</v>
      </c>
      <c r="AN44" s="16" t="b">
        <f>COUNTIFS(questions[qno],stableR[[#This Row],[qno]],questions[year_of_survey],2025,questions[origin],"Kenya")&gt;0</f>
        <v>1</v>
      </c>
      <c r="AO44" s="16" t="b">
        <f>COUNTIFS(questions[qno],stableR[[#This Row],[qno]],questions[year_of_survey],2025,questions[origin],"Rwanda")&gt;0</f>
        <v>0</v>
      </c>
      <c r="AP44" s="16" t="b">
        <f>COUNTIFS(questions[qno],stableR[[#This Row],[qno]],questions[year_of_survey],2026,questions[origin],"Burundi")&gt;0</f>
        <v>0</v>
      </c>
      <c r="AQ44" s="16" t="b">
        <f>COUNTIFS(questions[qno],stableR[[#This Row],[qno]],questions[year_of_survey],"",questions[origin],"Indonesia")&gt;0</f>
        <v>0</v>
      </c>
      <c r="AR44" s="16" t="b">
        <f>COUNTIFS(questions[qno],stableR[[#This Row],[qno]],questions[year_of_survey],2025,questions[origin],"Vietnam")&gt;0</f>
        <v>0</v>
      </c>
      <c r="AS44" s="16" t="b">
        <v>0</v>
      </c>
      <c r="AT44" s="16" t="b">
        <v>0</v>
      </c>
    </row>
    <row r="45" spans="1:46" x14ac:dyDescent="0.25">
      <c r="A45" s="15" t="str">
        <f>_xlfn.CONCAT(stableR[[#This Row],[group_0_no]:[order_no]])</f>
        <v>3101</v>
      </c>
      <c r="B45" s="15" t="s">
        <v>1366</v>
      </c>
      <c r="C45" s="213" t="s">
        <v>1099</v>
      </c>
      <c r="D45" s="213" t="s">
        <v>1093</v>
      </c>
      <c r="E45" s="213" t="s">
        <v>1094</v>
      </c>
      <c r="F45" s="213" t="s">
        <v>1093</v>
      </c>
      <c r="G45" s="9" t="s">
        <v>1133</v>
      </c>
      <c r="H45" s="9" t="b">
        <v>1</v>
      </c>
      <c r="I45" s="9" t="b">
        <v>0</v>
      </c>
      <c r="J45" s="9" t="b">
        <v>1</v>
      </c>
      <c r="K45" s="9" t="b">
        <v>0</v>
      </c>
      <c r="L45" s="9" t="b">
        <v>0</v>
      </c>
      <c r="M45" s="9" t="b">
        <v>0</v>
      </c>
      <c r="N45" s="9" t="b">
        <v>0</v>
      </c>
      <c r="O45" s="9" t="b">
        <v>1</v>
      </c>
      <c r="P45" s="9" t="b">
        <v>0</v>
      </c>
      <c r="Q45" s="9" t="b">
        <v>0</v>
      </c>
      <c r="R45" s="9" t="b">
        <v>0</v>
      </c>
      <c r="S45" s="16">
        <f>COUNTIFS(stableR[q_group],stableR[[#This Row],[q_group]])</f>
        <v>1</v>
      </c>
      <c r="T45" s="9" t="b">
        <v>0</v>
      </c>
      <c r="U45" s="9" t="b">
        <v>1</v>
      </c>
      <c r="V45" s="9" t="b">
        <v>0</v>
      </c>
      <c r="W45" s="9" t="b">
        <v>0</v>
      </c>
      <c r="X45" s="9" t="str">
        <f>_xlfn.TEXTJOIN(", ",TRUE,stableR[[#This Row],[ans_opt_1]:[ans_opt_14]])</f>
        <v/>
      </c>
      <c r="AM45" s="16" t="b">
        <v>1</v>
      </c>
      <c r="AN45" s="16" t="b">
        <f>COUNTIFS(questions[qno],stableR[[#This Row],[qno]],questions[year_of_survey],2025,questions[origin],"Kenya")&gt;0</f>
        <v>1</v>
      </c>
      <c r="AO45" s="16" t="b">
        <f>COUNTIFS(questions[qno],stableR[[#This Row],[qno]],questions[year_of_survey],2025,questions[origin],"Rwanda")&gt;0</f>
        <v>0</v>
      </c>
      <c r="AP45" s="16" t="b">
        <f>COUNTIFS(questions[qno],stableR[[#This Row],[qno]],questions[year_of_survey],2026,questions[origin],"Burundi")&gt;0</f>
        <v>0</v>
      </c>
      <c r="AQ45" s="16" t="b">
        <f>COUNTIFS(questions[qno],stableR[[#This Row],[qno]],questions[year_of_survey],"",questions[origin],"Indonesia")&gt;0</f>
        <v>0</v>
      </c>
      <c r="AR45" s="16" t="b">
        <f>COUNTIFS(questions[qno],stableR[[#This Row],[qno]],questions[year_of_survey],2025,questions[origin],"Vietnam")&gt;0</f>
        <v>0</v>
      </c>
      <c r="AS45" s="16" t="b">
        <v>0</v>
      </c>
      <c r="AT45" s="16" t="b">
        <v>0</v>
      </c>
    </row>
    <row r="46" spans="1:46" x14ac:dyDescent="0.25">
      <c r="A46" s="15" t="str">
        <f>_xlfn.CONCAT(stableR[[#This Row],[group_0_no]:[order_no]])</f>
        <v>3110</v>
      </c>
      <c r="B46" s="15" t="s">
        <v>1367</v>
      </c>
      <c r="C46" s="213" t="s">
        <v>1099</v>
      </c>
      <c r="D46" s="213" t="s">
        <v>1093</v>
      </c>
      <c r="E46" s="213" t="s">
        <v>1093</v>
      </c>
      <c r="F46" s="213" t="s">
        <v>1094</v>
      </c>
      <c r="G46" s="9" t="s">
        <v>1135</v>
      </c>
      <c r="H46" s="9" t="b">
        <v>1</v>
      </c>
      <c r="I46" s="9" t="b">
        <v>0</v>
      </c>
      <c r="J46" s="9" t="b">
        <v>0</v>
      </c>
      <c r="K46" s="9" t="b">
        <v>1</v>
      </c>
      <c r="L46" s="9" t="b">
        <v>0</v>
      </c>
      <c r="M46" s="9" t="b">
        <v>0</v>
      </c>
      <c r="N46" s="9" t="b">
        <v>0</v>
      </c>
      <c r="O46" s="9" t="b">
        <v>1</v>
      </c>
      <c r="P46" s="9" t="b">
        <v>0</v>
      </c>
      <c r="Q46" s="9" t="b">
        <v>0</v>
      </c>
      <c r="R46" s="9" t="b">
        <v>0</v>
      </c>
      <c r="S46" s="16">
        <f>COUNTIFS(stableR[q_group],stableR[[#This Row],[q_group]])</f>
        <v>1</v>
      </c>
      <c r="T46" s="9" t="b">
        <v>0</v>
      </c>
      <c r="U46" s="9" t="b">
        <v>1</v>
      </c>
      <c r="V46" s="9" t="b">
        <v>1</v>
      </c>
      <c r="W46" s="9" t="b">
        <v>1</v>
      </c>
      <c r="X46" s="9" t="str">
        <f>_xlfn.TEXTJOIN(", ",TRUE,stableR[[#This Row],[ans_opt_1]:[ans_opt_14]])</f>
        <v/>
      </c>
      <c r="AM46" s="16" t="b">
        <v>1</v>
      </c>
      <c r="AN46" s="16" t="b">
        <f>COUNTIFS(questions[qno],stableR[[#This Row],[qno]],questions[year_of_survey],2025,questions[origin],"Kenya")&gt;0</f>
        <v>0</v>
      </c>
      <c r="AO46" s="16" t="b">
        <f>COUNTIFS(questions[qno],stableR[[#This Row],[qno]],questions[year_of_survey],2025,questions[origin],"Rwanda")&gt;0</f>
        <v>0</v>
      </c>
      <c r="AP46" s="16" t="b">
        <f>COUNTIFS(questions[qno],stableR[[#This Row],[qno]],questions[year_of_survey],2026,questions[origin],"Burundi")&gt;0</f>
        <v>0</v>
      </c>
      <c r="AQ46" s="16" t="b">
        <f>COUNTIFS(questions[qno],stableR[[#This Row],[qno]],questions[year_of_survey],"",questions[origin],"Indonesia")&gt;0</f>
        <v>0</v>
      </c>
      <c r="AR46" s="16" t="b">
        <f>COUNTIFS(questions[qno],stableR[[#This Row],[qno]],questions[year_of_survey],2025,questions[origin],"Vietnam")&gt;0</f>
        <v>0</v>
      </c>
      <c r="AS46" s="16" t="b">
        <v>0</v>
      </c>
      <c r="AT46" s="16" t="b">
        <v>0</v>
      </c>
    </row>
    <row r="47" spans="1:46" x14ac:dyDescent="0.25">
      <c r="A47" s="15" t="str">
        <f>_xlfn.CONCAT(stableR[[#This Row],[group_0_no]:[order_no]])</f>
        <v>3111</v>
      </c>
      <c r="B47" s="15" t="s">
        <v>1368</v>
      </c>
      <c r="C47" s="213" t="s">
        <v>1099</v>
      </c>
      <c r="D47" s="213" t="s">
        <v>1093</v>
      </c>
      <c r="E47" s="213" t="s">
        <v>1093</v>
      </c>
      <c r="F47" s="213" t="s">
        <v>1093</v>
      </c>
      <c r="G47" s="9" t="s">
        <v>1137</v>
      </c>
      <c r="H47" s="9" t="b">
        <v>1</v>
      </c>
      <c r="I47" s="9" t="b">
        <v>0</v>
      </c>
      <c r="J47" s="9" t="b">
        <v>0</v>
      </c>
      <c r="K47" s="9" t="b">
        <v>1</v>
      </c>
      <c r="L47" s="9" t="b">
        <v>0</v>
      </c>
      <c r="M47" s="9" t="b">
        <v>0</v>
      </c>
      <c r="N47" s="9" t="b">
        <v>0</v>
      </c>
      <c r="O47" s="9" t="b">
        <v>1</v>
      </c>
      <c r="P47" s="9" t="b">
        <v>0</v>
      </c>
      <c r="Q47" s="9" t="b">
        <v>0</v>
      </c>
      <c r="R47" s="9" t="b">
        <v>0</v>
      </c>
      <c r="S47" s="16">
        <f>COUNTIFS(stableR[q_group],stableR[[#This Row],[q_group]])</f>
        <v>1</v>
      </c>
      <c r="T47" s="9" t="b">
        <v>0</v>
      </c>
      <c r="U47" s="9" t="b">
        <v>1</v>
      </c>
      <c r="V47" s="9" t="b">
        <v>0</v>
      </c>
      <c r="W47" s="9" t="b">
        <v>0</v>
      </c>
      <c r="X47" s="9" t="str">
        <f>_xlfn.TEXTJOIN(", ",TRUE,stableR[[#This Row],[ans_opt_1]:[ans_opt_14]])</f>
        <v/>
      </c>
      <c r="AM47" s="16" t="b">
        <v>1</v>
      </c>
      <c r="AN47" s="16" t="b">
        <f>COUNTIFS(questions[qno],stableR[[#This Row],[qno]],questions[year_of_survey],2025,questions[origin],"Kenya")&gt;0</f>
        <v>0</v>
      </c>
      <c r="AO47" s="16" t="b">
        <f>COUNTIFS(questions[qno],stableR[[#This Row],[qno]],questions[year_of_survey],2025,questions[origin],"Rwanda")&gt;0</f>
        <v>0</v>
      </c>
      <c r="AP47" s="16" t="b">
        <f>COUNTIFS(questions[qno],stableR[[#This Row],[qno]],questions[year_of_survey],2026,questions[origin],"Burundi")&gt;0</f>
        <v>0</v>
      </c>
      <c r="AQ47" s="16" t="b">
        <f>COUNTIFS(questions[qno],stableR[[#This Row],[qno]],questions[year_of_survey],"",questions[origin],"Indonesia")&gt;0</f>
        <v>0</v>
      </c>
      <c r="AR47" s="16" t="b">
        <f>COUNTIFS(questions[qno],stableR[[#This Row],[qno]],questions[year_of_survey],2025,questions[origin],"Vietnam")&gt;0</f>
        <v>0</v>
      </c>
      <c r="AS47" s="16" t="b">
        <v>0</v>
      </c>
      <c r="AT47" s="16" t="b">
        <v>0</v>
      </c>
    </row>
    <row r="48" spans="1:46" x14ac:dyDescent="0.25">
      <c r="A48" s="15" t="str">
        <f>_xlfn.CONCAT(stableR[[#This Row],[group_0_no]:[order_no]])</f>
        <v>3120</v>
      </c>
      <c r="B48" s="15" t="s">
        <v>1369</v>
      </c>
      <c r="C48" s="213" t="s">
        <v>1099</v>
      </c>
      <c r="D48" s="213" t="s">
        <v>1093</v>
      </c>
      <c r="E48" s="213" t="s">
        <v>1097</v>
      </c>
      <c r="F48" s="213" t="s">
        <v>1094</v>
      </c>
      <c r="G48" s="9" t="s">
        <v>1139</v>
      </c>
      <c r="H48" s="9" t="b">
        <v>1</v>
      </c>
      <c r="I48" s="9" t="b">
        <v>0</v>
      </c>
      <c r="J48" s="9" t="b">
        <v>0</v>
      </c>
      <c r="K48" s="9" t="b">
        <v>1</v>
      </c>
      <c r="L48" s="9" t="b">
        <v>0</v>
      </c>
      <c r="M48" s="9" t="b">
        <v>0</v>
      </c>
      <c r="N48" s="9" t="b">
        <v>0</v>
      </c>
      <c r="O48" s="9" t="b">
        <v>1</v>
      </c>
      <c r="P48" s="9" t="b">
        <v>0</v>
      </c>
      <c r="Q48" s="9" t="b">
        <v>0</v>
      </c>
      <c r="R48" s="9" t="b">
        <v>0</v>
      </c>
      <c r="S48" s="16">
        <f>COUNTIFS(stableR[q_group],stableR[[#This Row],[q_group]])</f>
        <v>1</v>
      </c>
      <c r="T48" s="9" t="b">
        <v>0</v>
      </c>
      <c r="U48" s="9" t="b">
        <v>1</v>
      </c>
      <c r="V48" s="9" t="b">
        <v>1</v>
      </c>
      <c r="W48" s="9" t="b">
        <v>1</v>
      </c>
      <c r="X48" s="9" t="str">
        <f>_xlfn.TEXTJOIN(", ",TRUE,stableR[[#This Row],[ans_opt_1]:[ans_opt_14]])</f>
        <v/>
      </c>
      <c r="AM48" s="16" t="b">
        <v>1</v>
      </c>
      <c r="AN48" s="16" t="b">
        <f>COUNTIFS(questions[qno],stableR[[#This Row],[qno]],questions[year_of_survey],2025,questions[origin],"Kenya")&gt;0</f>
        <v>1</v>
      </c>
      <c r="AO48" s="16" t="b">
        <f>COUNTIFS(questions[qno],stableR[[#This Row],[qno]],questions[year_of_survey],2025,questions[origin],"Rwanda")&gt;0</f>
        <v>0</v>
      </c>
      <c r="AP48" s="16" t="b">
        <f>COUNTIFS(questions[qno],stableR[[#This Row],[qno]],questions[year_of_survey],2026,questions[origin],"Burundi")&gt;0</f>
        <v>0</v>
      </c>
      <c r="AQ48" s="16" t="b">
        <f>COUNTIFS(questions[qno],stableR[[#This Row],[qno]],questions[year_of_survey],"",questions[origin],"Indonesia")&gt;0</f>
        <v>0</v>
      </c>
      <c r="AR48" s="16" t="b">
        <f>COUNTIFS(questions[qno],stableR[[#This Row],[qno]],questions[year_of_survey],2025,questions[origin],"Vietnam")&gt;0</f>
        <v>0</v>
      </c>
      <c r="AS48" s="16" t="b">
        <v>0</v>
      </c>
      <c r="AT48" s="16" t="b">
        <v>0</v>
      </c>
    </row>
    <row r="49" spans="1:46" x14ac:dyDescent="0.25">
      <c r="A49" s="15" t="str">
        <f>_xlfn.CONCAT(stableR[[#This Row],[group_0_no]:[order_no]])</f>
        <v>3121</v>
      </c>
      <c r="B49" s="15" t="s">
        <v>1370</v>
      </c>
      <c r="C49" s="213" t="s">
        <v>1099</v>
      </c>
      <c r="D49" s="213" t="s">
        <v>1093</v>
      </c>
      <c r="E49" s="213" t="s">
        <v>1097</v>
      </c>
      <c r="F49" s="213" t="s">
        <v>1093</v>
      </c>
      <c r="G49" s="9" t="s">
        <v>1141</v>
      </c>
      <c r="H49" s="9" t="b">
        <v>1</v>
      </c>
      <c r="I49" s="9" t="b">
        <v>0</v>
      </c>
      <c r="J49" s="9" t="b">
        <v>0</v>
      </c>
      <c r="K49" s="9" t="b">
        <v>1</v>
      </c>
      <c r="L49" s="9" t="b">
        <v>0</v>
      </c>
      <c r="M49" s="9" t="b">
        <v>0</v>
      </c>
      <c r="N49" s="9" t="b">
        <v>0</v>
      </c>
      <c r="O49" s="9" t="b">
        <v>1</v>
      </c>
      <c r="P49" s="9" t="b">
        <v>0</v>
      </c>
      <c r="Q49" s="9" t="b">
        <v>0</v>
      </c>
      <c r="R49" s="9" t="b">
        <v>0</v>
      </c>
      <c r="S49" s="16">
        <f>COUNTIFS(stableR[q_group],stableR[[#This Row],[q_group]])</f>
        <v>1</v>
      </c>
      <c r="T49" s="9" t="b">
        <v>0</v>
      </c>
      <c r="U49" s="9" t="b">
        <v>1</v>
      </c>
      <c r="V49" s="9" t="b">
        <v>0</v>
      </c>
      <c r="W49" s="9" t="b">
        <v>0</v>
      </c>
      <c r="X49" s="9" t="str">
        <f>_xlfn.TEXTJOIN(", ",TRUE,stableR[[#This Row],[ans_opt_1]:[ans_opt_14]])</f>
        <v/>
      </c>
      <c r="AM49" s="16" t="b">
        <v>1</v>
      </c>
      <c r="AN49" s="16" t="b">
        <f>COUNTIFS(questions[qno],stableR[[#This Row],[qno]],questions[year_of_survey],2025,questions[origin],"Kenya")&gt;0</f>
        <v>1</v>
      </c>
      <c r="AO49" s="16" t="b">
        <f>COUNTIFS(questions[qno],stableR[[#This Row],[qno]],questions[year_of_survey],2025,questions[origin],"Rwanda")&gt;0</f>
        <v>0</v>
      </c>
      <c r="AP49" s="16" t="b">
        <f>COUNTIFS(questions[qno],stableR[[#This Row],[qno]],questions[year_of_survey],2026,questions[origin],"Burundi")&gt;0</f>
        <v>0</v>
      </c>
      <c r="AQ49" s="16" t="b">
        <f>COUNTIFS(questions[qno],stableR[[#This Row],[qno]],questions[year_of_survey],"",questions[origin],"Indonesia")&gt;0</f>
        <v>0</v>
      </c>
      <c r="AR49" s="16" t="b">
        <f>COUNTIFS(questions[qno],stableR[[#This Row],[qno]],questions[year_of_survey],2025,questions[origin],"Vietnam")&gt;0</f>
        <v>0</v>
      </c>
      <c r="AS49" s="16" t="b">
        <v>0</v>
      </c>
      <c r="AT49" s="16" t="b">
        <v>0</v>
      </c>
    </row>
    <row r="50" spans="1:46" x14ac:dyDescent="0.25">
      <c r="A50" s="21" t="str">
        <f>_xlfn.CONCAT(stableR[[#This Row],[group_0_no]:[order_no]])</f>
        <v>3198</v>
      </c>
      <c r="B50" s="21" t="s">
        <v>1371</v>
      </c>
      <c r="C50" s="232" t="s">
        <v>1099</v>
      </c>
      <c r="D50" s="232" t="s">
        <v>1093</v>
      </c>
      <c r="E50" s="232" t="s">
        <v>1142</v>
      </c>
      <c r="F50" s="232" t="s">
        <v>1143</v>
      </c>
      <c r="G50" s="22" t="s">
        <v>1144</v>
      </c>
      <c r="H50" s="22" t="b">
        <v>1</v>
      </c>
      <c r="I50" s="22" t="b">
        <v>1</v>
      </c>
      <c r="J50" s="22" t="b">
        <v>0</v>
      </c>
      <c r="K50" s="22" t="b">
        <v>0</v>
      </c>
      <c r="L50" s="22" t="b">
        <v>0</v>
      </c>
      <c r="M50" s="22" t="b">
        <v>0</v>
      </c>
      <c r="N50" s="22" t="b">
        <v>0</v>
      </c>
      <c r="O50" s="22" t="b">
        <v>1</v>
      </c>
      <c r="P50" s="22" t="b">
        <v>0</v>
      </c>
      <c r="Q50" s="22" t="b">
        <v>0</v>
      </c>
      <c r="R50" s="22" t="b">
        <v>0</v>
      </c>
      <c r="S50" s="29">
        <f>COUNTIFS(stableR[q_group],stableR[[#This Row],[q_group]])</f>
        <v>1</v>
      </c>
      <c r="T50" s="22" t="b">
        <v>0</v>
      </c>
      <c r="U50" s="22" t="b">
        <v>1</v>
      </c>
      <c r="V50" s="22" t="b">
        <v>1</v>
      </c>
      <c r="W50" s="22" t="b">
        <v>1</v>
      </c>
      <c r="X50" s="22" t="str">
        <f>_xlfn.TEXTJOIN(", ",TRUE,stableR[[#This Row],[ans_opt_1]:[ans_opt_14]])</f>
        <v/>
      </c>
      <c r="Y50" s="22"/>
      <c r="Z50" s="22"/>
      <c r="AA50" s="22"/>
      <c r="AB50" s="22"/>
      <c r="AC50" s="22"/>
      <c r="AD50" s="22"/>
      <c r="AE50" s="22"/>
      <c r="AF50" s="22"/>
      <c r="AG50" s="22"/>
      <c r="AH50" s="22"/>
      <c r="AI50" s="22"/>
      <c r="AJ50" s="22"/>
      <c r="AK50" s="22"/>
      <c r="AL50" s="22"/>
      <c r="AM50" s="29" t="b">
        <v>0</v>
      </c>
      <c r="AN50" s="29" t="b">
        <f>COUNTIFS(questions[qno],stableR[[#This Row],[qno]],questions[year_of_survey],2025,questions[origin],"Kenya")&gt;0</f>
        <v>0</v>
      </c>
      <c r="AO50" s="29" t="b">
        <f>COUNTIFS(questions[qno],stableR[[#This Row],[qno]],questions[year_of_survey],2025,questions[origin],"Rwanda")&gt;0</f>
        <v>0</v>
      </c>
      <c r="AP50" s="29" t="b">
        <f>COUNTIFS(questions[qno],stableR[[#This Row],[qno]],questions[year_of_survey],2026,questions[origin],"Burundi")&gt;0</f>
        <v>0</v>
      </c>
      <c r="AQ50" s="29" t="b">
        <f>COUNTIFS(questions[qno],stableR[[#This Row],[qno]],questions[year_of_survey],"",questions[origin],"Indonesia")&gt;0</f>
        <v>0</v>
      </c>
      <c r="AR50" s="29" t="b">
        <f>COUNTIFS(questions[qno],stableR[[#This Row],[qno]],questions[year_of_survey],2025,questions[origin],"Vietnam")&gt;0</f>
        <v>0</v>
      </c>
      <c r="AS50" s="29" t="b">
        <v>0</v>
      </c>
      <c r="AT50" s="29" t="b">
        <v>0</v>
      </c>
    </row>
    <row r="51" spans="1:46" x14ac:dyDescent="0.25">
      <c r="A51" s="21" t="str">
        <f>_xlfn.CONCAT(stableR[[#This Row],[group_0_no]:[order_no]])</f>
        <v>3199</v>
      </c>
      <c r="B51" s="21" t="s">
        <v>1372</v>
      </c>
      <c r="C51" s="232" t="s">
        <v>1099</v>
      </c>
      <c r="D51" s="232" t="s">
        <v>1093</v>
      </c>
      <c r="E51" s="232" t="s">
        <v>1142</v>
      </c>
      <c r="F51" s="232" t="s">
        <v>1142</v>
      </c>
      <c r="G51" s="22" t="s">
        <v>1145</v>
      </c>
      <c r="H51" s="22" t="b">
        <v>1</v>
      </c>
      <c r="I51" s="22" t="b">
        <v>1</v>
      </c>
      <c r="J51" s="22" t="b">
        <v>0</v>
      </c>
      <c r="K51" s="22" t="b">
        <v>0</v>
      </c>
      <c r="L51" s="22" t="b">
        <v>0</v>
      </c>
      <c r="M51" s="22" t="b">
        <v>0</v>
      </c>
      <c r="N51" s="22" t="b">
        <v>1</v>
      </c>
      <c r="O51" s="22" t="b">
        <v>0</v>
      </c>
      <c r="P51" s="22" t="b">
        <v>0</v>
      </c>
      <c r="Q51" s="22" t="b">
        <v>0</v>
      </c>
      <c r="R51" s="22" t="b">
        <v>0</v>
      </c>
      <c r="S51" s="29">
        <f>COUNTIFS(stableR[q_group],stableR[[#This Row],[q_group]])</f>
        <v>1</v>
      </c>
      <c r="T51" s="22" t="b">
        <v>0</v>
      </c>
      <c r="U51" s="22" t="b">
        <v>1</v>
      </c>
      <c r="V51" s="22" t="b">
        <v>1</v>
      </c>
      <c r="W51" s="22" t="b">
        <v>1</v>
      </c>
      <c r="X51" s="22" t="str">
        <f>_xlfn.TEXTJOIN(", ",TRUE,stableR[[#This Row],[ans_opt_1]:[ans_opt_14]])</f>
        <v/>
      </c>
      <c r="Y51" s="22"/>
      <c r="Z51" s="22"/>
      <c r="AA51" s="22"/>
      <c r="AB51" s="22"/>
      <c r="AC51" s="22"/>
      <c r="AD51" s="22"/>
      <c r="AE51" s="22"/>
      <c r="AF51" s="22"/>
      <c r="AG51" s="22"/>
      <c r="AH51" s="22"/>
      <c r="AI51" s="22"/>
      <c r="AJ51" s="22"/>
      <c r="AK51" s="22"/>
      <c r="AL51" s="22"/>
      <c r="AM51" s="29" t="b">
        <v>0</v>
      </c>
      <c r="AN51" s="29" t="b">
        <f>COUNTIFS(questions[qno],stableR[[#This Row],[qno]],questions[year_of_survey],2025,questions[origin],"Kenya")&gt;0</f>
        <v>0</v>
      </c>
      <c r="AO51" s="29" t="b">
        <f>COUNTIFS(questions[qno],stableR[[#This Row],[qno]],questions[year_of_survey],2025,questions[origin],"Rwanda")&gt;0</f>
        <v>0</v>
      </c>
      <c r="AP51" s="29" t="b">
        <f>COUNTIFS(questions[qno],stableR[[#This Row],[qno]],questions[year_of_survey],2026,questions[origin],"Burundi")&gt;0</f>
        <v>0</v>
      </c>
      <c r="AQ51" s="29" t="b">
        <f>COUNTIFS(questions[qno],stableR[[#This Row],[qno]],questions[year_of_survey],"",questions[origin],"Indonesia")&gt;0</f>
        <v>0</v>
      </c>
      <c r="AR51" s="29" t="b">
        <f>COUNTIFS(questions[qno],stableR[[#This Row],[qno]],questions[year_of_survey],2025,questions[origin],"Vietnam")&gt;0</f>
        <v>0</v>
      </c>
      <c r="AS51" s="29" t="b">
        <v>0</v>
      </c>
      <c r="AT51" s="29" t="b">
        <v>0</v>
      </c>
    </row>
    <row r="52" spans="1:46" s="22" customFormat="1" x14ac:dyDescent="0.25">
      <c r="A52" s="15" t="str">
        <f>_xlfn.CONCAT(stableR[[#This Row],[group_0_no]:[order_no]])</f>
        <v>3200</v>
      </c>
      <c r="B52" s="15" t="s">
        <v>1373</v>
      </c>
      <c r="C52" s="213" t="s">
        <v>1099</v>
      </c>
      <c r="D52" s="213" t="s">
        <v>1097</v>
      </c>
      <c r="E52" s="213" t="s">
        <v>1094</v>
      </c>
      <c r="F52" s="213" t="s">
        <v>1094</v>
      </c>
      <c r="G52" s="9" t="s">
        <v>1146</v>
      </c>
      <c r="H52" s="9" t="b">
        <v>1</v>
      </c>
      <c r="I52" s="9" t="b">
        <v>0</v>
      </c>
      <c r="J52" s="9" t="b">
        <v>1</v>
      </c>
      <c r="K52" s="9" t="b">
        <v>0</v>
      </c>
      <c r="L52" s="9" t="b">
        <v>0</v>
      </c>
      <c r="M52" s="9" t="b">
        <v>0</v>
      </c>
      <c r="N52" s="9" t="b">
        <v>0</v>
      </c>
      <c r="O52" s="9" t="b">
        <v>1</v>
      </c>
      <c r="P52" s="9" t="b">
        <v>0</v>
      </c>
      <c r="Q52" s="9" t="b">
        <v>0</v>
      </c>
      <c r="R52" s="9" t="b">
        <v>0</v>
      </c>
      <c r="S52" s="16">
        <f>COUNTIFS(stableR[q_group],stableR[[#This Row],[q_group]])</f>
        <v>1</v>
      </c>
      <c r="T52" s="9" t="b">
        <v>0</v>
      </c>
      <c r="U52" s="9" t="b">
        <v>1</v>
      </c>
      <c r="V52" s="9" t="b">
        <v>1</v>
      </c>
      <c r="W52" s="9" t="b">
        <v>1</v>
      </c>
      <c r="X52" s="9" t="str">
        <f>_xlfn.TEXTJOIN(", ",TRUE,stableR[[#This Row],[ans_opt_1]:[ans_opt_14]])</f>
        <v/>
      </c>
      <c r="Y52" s="9"/>
      <c r="Z52" s="9"/>
      <c r="AA52" s="9"/>
      <c r="AB52" s="9"/>
      <c r="AC52" s="9"/>
      <c r="AD52" s="9"/>
      <c r="AE52" s="9"/>
      <c r="AF52" s="9"/>
      <c r="AG52" s="9"/>
      <c r="AH52" s="9"/>
      <c r="AI52" s="9"/>
      <c r="AJ52" s="9"/>
      <c r="AK52" s="9"/>
      <c r="AL52" s="9"/>
      <c r="AM52" s="16" t="b">
        <v>1</v>
      </c>
      <c r="AN52" s="16" t="b">
        <f>COUNTIFS(questions[qno],stableR[[#This Row],[qno]],questions[year_of_survey],2025,questions[origin],"Kenya")&gt;0</f>
        <v>1</v>
      </c>
      <c r="AO52" s="16" t="b">
        <f>COUNTIFS(questions[qno],stableR[[#This Row],[qno]],questions[year_of_survey],2025,questions[origin],"Rwanda")&gt;0</f>
        <v>0</v>
      </c>
      <c r="AP52" s="16" t="b">
        <f>COUNTIFS(questions[qno],stableR[[#This Row],[qno]],questions[year_of_survey],2026,questions[origin],"Burundi")&gt;0</f>
        <v>0</v>
      </c>
      <c r="AQ52" s="16" t="b">
        <f>COUNTIFS(questions[qno],stableR[[#This Row],[qno]],questions[year_of_survey],"",questions[origin],"Indonesia")&gt;0</f>
        <v>0</v>
      </c>
      <c r="AR52" s="16" t="b">
        <f>COUNTIFS(questions[qno],stableR[[#This Row],[qno]],questions[year_of_survey],2025,questions[origin],"Vietnam")&gt;0</f>
        <v>0</v>
      </c>
      <c r="AS52" s="16" t="b">
        <v>0</v>
      </c>
      <c r="AT52" s="16" t="b">
        <v>0</v>
      </c>
    </row>
    <row r="53" spans="1:46" s="22" customFormat="1" x14ac:dyDescent="0.25">
      <c r="A53" s="15" t="str">
        <f>_xlfn.CONCAT(stableR[[#This Row],[group_0_no]:[order_no]])</f>
        <v>3201</v>
      </c>
      <c r="B53" s="15" t="s">
        <v>1374</v>
      </c>
      <c r="C53" s="213" t="s">
        <v>1099</v>
      </c>
      <c r="D53" s="213" t="s">
        <v>1097</v>
      </c>
      <c r="E53" s="213" t="s">
        <v>1094</v>
      </c>
      <c r="F53" s="213" t="s">
        <v>1093</v>
      </c>
      <c r="G53" s="9" t="s">
        <v>1148</v>
      </c>
      <c r="H53" s="9" t="b">
        <v>1</v>
      </c>
      <c r="I53" s="9" t="b">
        <v>0</v>
      </c>
      <c r="J53" s="9" t="b">
        <v>1</v>
      </c>
      <c r="K53" s="9" t="b">
        <v>0</v>
      </c>
      <c r="L53" s="9" t="b">
        <v>0</v>
      </c>
      <c r="M53" s="9" t="b">
        <v>0</v>
      </c>
      <c r="N53" s="9" t="b">
        <v>0</v>
      </c>
      <c r="O53" s="9" t="b">
        <v>1</v>
      </c>
      <c r="P53" s="9" t="b">
        <v>0</v>
      </c>
      <c r="Q53" s="9" t="b">
        <v>0</v>
      </c>
      <c r="R53" s="9" t="b">
        <v>0</v>
      </c>
      <c r="S53" s="16">
        <f>COUNTIFS(stableR[q_group],stableR[[#This Row],[q_group]])</f>
        <v>1</v>
      </c>
      <c r="T53" s="9" t="b">
        <v>0</v>
      </c>
      <c r="U53" s="9" t="b">
        <v>1</v>
      </c>
      <c r="V53" s="9" t="b">
        <v>0</v>
      </c>
      <c r="W53" s="9" t="b">
        <v>0</v>
      </c>
      <c r="X53" s="9" t="str">
        <f>_xlfn.TEXTJOIN(", ",TRUE,stableR[[#This Row],[ans_opt_1]:[ans_opt_14]])</f>
        <v/>
      </c>
      <c r="Y53" s="9"/>
      <c r="Z53" s="9"/>
      <c r="AA53" s="9"/>
      <c r="AB53" s="9"/>
      <c r="AC53" s="9"/>
      <c r="AD53" s="9"/>
      <c r="AE53" s="9"/>
      <c r="AF53" s="9"/>
      <c r="AG53" s="9"/>
      <c r="AH53" s="9"/>
      <c r="AI53" s="9"/>
      <c r="AJ53" s="9"/>
      <c r="AK53" s="9"/>
      <c r="AL53" s="9"/>
      <c r="AM53" s="16" t="b">
        <v>1</v>
      </c>
      <c r="AN53" s="16" t="b">
        <f>COUNTIFS(questions[qno],stableR[[#This Row],[qno]],questions[year_of_survey],2025,questions[origin],"Kenya")&gt;0</f>
        <v>1</v>
      </c>
      <c r="AO53" s="16" t="b">
        <f>COUNTIFS(questions[qno],stableR[[#This Row],[qno]],questions[year_of_survey],2025,questions[origin],"Rwanda")&gt;0</f>
        <v>0</v>
      </c>
      <c r="AP53" s="16" t="b">
        <f>COUNTIFS(questions[qno],stableR[[#This Row],[qno]],questions[year_of_survey],2026,questions[origin],"Burundi")&gt;0</f>
        <v>0</v>
      </c>
      <c r="AQ53" s="16" t="b">
        <f>COUNTIFS(questions[qno],stableR[[#This Row],[qno]],questions[year_of_survey],"",questions[origin],"Indonesia")&gt;0</f>
        <v>0</v>
      </c>
      <c r="AR53" s="16" t="b">
        <f>COUNTIFS(questions[qno],stableR[[#This Row],[qno]],questions[year_of_survey],2025,questions[origin],"Vietnam")&gt;0</f>
        <v>0</v>
      </c>
      <c r="AS53" s="16" t="b">
        <v>0</v>
      </c>
      <c r="AT53" s="16" t="b">
        <v>0</v>
      </c>
    </row>
    <row r="54" spans="1:46" x14ac:dyDescent="0.25">
      <c r="A54" s="15" t="str">
        <f>_xlfn.CONCAT(stableR[[#This Row],[group_0_no]:[order_no]])</f>
        <v>3210</v>
      </c>
      <c r="B54" s="15" t="s">
        <v>1375</v>
      </c>
      <c r="C54" s="213" t="s">
        <v>1099</v>
      </c>
      <c r="D54" s="213" t="s">
        <v>1097</v>
      </c>
      <c r="E54" s="213" t="s">
        <v>1093</v>
      </c>
      <c r="F54" s="213" t="s">
        <v>1094</v>
      </c>
      <c r="G54" s="9" t="s">
        <v>1149</v>
      </c>
      <c r="H54" s="9" t="b">
        <v>1</v>
      </c>
      <c r="I54" s="9" t="b">
        <v>0</v>
      </c>
      <c r="J54" s="9" t="b">
        <v>0</v>
      </c>
      <c r="K54" s="9" t="b">
        <v>1</v>
      </c>
      <c r="L54" s="9" t="b">
        <v>0</v>
      </c>
      <c r="M54" s="9" t="b">
        <v>0</v>
      </c>
      <c r="N54" s="9" t="b">
        <v>0</v>
      </c>
      <c r="O54" s="9" t="b">
        <v>1</v>
      </c>
      <c r="P54" s="9" t="b">
        <v>0</v>
      </c>
      <c r="Q54" s="9" t="b">
        <v>0</v>
      </c>
      <c r="R54" s="9" t="b">
        <v>0</v>
      </c>
      <c r="S54" s="16">
        <f>COUNTIFS(stableR[q_group],stableR[[#This Row],[q_group]])</f>
        <v>1</v>
      </c>
      <c r="T54" s="9" t="b">
        <v>0</v>
      </c>
      <c r="U54" s="9" t="b">
        <v>1</v>
      </c>
      <c r="V54" s="9" t="b">
        <v>1</v>
      </c>
      <c r="W54" s="9" t="b">
        <v>1</v>
      </c>
      <c r="X54" s="9" t="str">
        <f>_xlfn.TEXTJOIN(", ",TRUE,stableR[[#This Row],[ans_opt_1]:[ans_opt_14]])</f>
        <v/>
      </c>
      <c r="AM54" s="16" t="b">
        <v>1</v>
      </c>
      <c r="AN54" s="16" t="b">
        <f>COUNTIFS(questions[qno],stableR[[#This Row],[qno]],questions[year_of_survey],2025,questions[origin],"Kenya")&gt;0</f>
        <v>0</v>
      </c>
      <c r="AO54" s="16" t="b">
        <f>COUNTIFS(questions[qno],stableR[[#This Row],[qno]],questions[year_of_survey],2025,questions[origin],"Rwanda")&gt;0</f>
        <v>0</v>
      </c>
      <c r="AP54" s="16" t="b">
        <f>COUNTIFS(questions[qno],stableR[[#This Row],[qno]],questions[year_of_survey],2026,questions[origin],"Burundi")&gt;0</f>
        <v>0</v>
      </c>
      <c r="AQ54" s="16" t="b">
        <f>COUNTIFS(questions[qno],stableR[[#This Row],[qno]],questions[year_of_survey],"",questions[origin],"Indonesia")&gt;0</f>
        <v>0</v>
      </c>
      <c r="AR54" s="16" t="b">
        <f>COUNTIFS(questions[qno],stableR[[#This Row],[qno]],questions[year_of_survey],2025,questions[origin],"Vietnam")&gt;0</f>
        <v>0</v>
      </c>
      <c r="AS54" s="16" t="b">
        <v>0</v>
      </c>
      <c r="AT54" s="16" t="b">
        <v>0</v>
      </c>
    </row>
    <row r="55" spans="1:46" x14ac:dyDescent="0.25">
      <c r="A55" s="15" t="str">
        <f>_xlfn.CONCAT(stableR[[#This Row],[group_0_no]:[order_no]])</f>
        <v>3211</v>
      </c>
      <c r="B55" s="15" t="s">
        <v>1376</v>
      </c>
      <c r="C55" s="213" t="s">
        <v>1099</v>
      </c>
      <c r="D55" s="213" t="s">
        <v>1097</v>
      </c>
      <c r="E55" s="213" t="s">
        <v>1093</v>
      </c>
      <c r="F55" s="213" t="s">
        <v>1093</v>
      </c>
      <c r="G55" s="9" t="s">
        <v>1151</v>
      </c>
      <c r="H55" s="9" t="b">
        <v>1</v>
      </c>
      <c r="I55" s="9" t="b">
        <v>0</v>
      </c>
      <c r="J55" s="9" t="b">
        <v>0</v>
      </c>
      <c r="K55" s="9" t="b">
        <v>1</v>
      </c>
      <c r="L55" s="9" t="b">
        <v>0</v>
      </c>
      <c r="M55" s="9" t="b">
        <v>0</v>
      </c>
      <c r="N55" s="9" t="b">
        <v>0</v>
      </c>
      <c r="O55" s="9" t="b">
        <v>1</v>
      </c>
      <c r="P55" s="9" t="b">
        <v>0</v>
      </c>
      <c r="Q55" s="9" t="b">
        <v>0</v>
      </c>
      <c r="R55" s="9" t="b">
        <v>0</v>
      </c>
      <c r="S55" s="16">
        <f>COUNTIFS(stableR[q_group],stableR[[#This Row],[q_group]])</f>
        <v>1</v>
      </c>
      <c r="T55" s="9" t="b">
        <v>0</v>
      </c>
      <c r="U55" s="9" t="b">
        <v>1</v>
      </c>
      <c r="V55" s="9" t="b">
        <v>0</v>
      </c>
      <c r="W55" s="9" t="b">
        <v>0</v>
      </c>
      <c r="X55" s="9" t="str">
        <f>_xlfn.TEXTJOIN(", ",TRUE,stableR[[#This Row],[ans_opt_1]:[ans_opt_14]])</f>
        <v/>
      </c>
      <c r="AM55" s="16" t="b">
        <v>1</v>
      </c>
      <c r="AN55" s="16" t="b">
        <f>COUNTIFS(questions[qno],stableR[[#This Row],[qno]],questions[year_of_survey],2025,questions[origin],"Kenya")&gt;0</f>
        <v>0</v>
      </c>
      <c r="AO55" s="16" t="b">
        <f>COUNTIFS(questions[qno],stableR[[#This Row],[qno]],questions[year_of_survey],2025,questions[origin],"Rwanda")&gt;0</f>
        <v>0</v>
      </c>
      <c r="AP55" s="16" t="b">
        <f>COUNTIFS(questions[qno],stableR[[#This Row],[qno]],questions[year_of_survey],2026,questions[origin],"Burundi")&gt;0</f>
        <v>0</v>
      </c>
      <c r="AQ55" s="16" t="b">
        <f>COUNTIFS(questions[qno],stableR[[#This Row],[qno]],questions[year_of_survey],"",questions[origin],"Indonesia")&gt;0</f>
        <v>0</v>
      </c>
      <c r="AR55" s="16" t="b">
        <f>COUNTIFS(questions[qno],stableR[[#This Row],[qno]],questions[year_of_survey],2025,questions[origin],"Vietnam")&gt;0</f>
        <v>0</v>
      </c>
      <c r="AS55" s="16" t="b">
        <v>0</v>
      </c>
      <c r="AT55" s="16" t="b">
        <v>0</v>
      </c>
    </row>
    <row r="56" spans="1:46" x14ac:dyDescent="0.25">
      <c r="A56" s="15" t="str">
        <f>_xlfn.CONCAT(stableR[[#This Row],[group_0_no]:[order_no]])</f>
        <v>3220</v>
      </c>
      <c r="B56" s="15" t="s">
        <v>1152</v>
      </c>
      <c r="C56" s="213" t="s">
        <v>1099</v>
      </c>
      <c r="D56" s="213" t="s">
        <v>1097</v>
      </c>
      <c r="E56" s="213" t="s">
        <v>1097</v>
      </c>
      <c r="F56" s="213" t="s">
        <v>1094</v>
      </c>
      <c r="G56" s="9" t="s">
        <v>1153</v>
      </c>
      <c r="H56" s="9" t="b">
        <v>1</v>
      </c>
      <c r="I56" s="9" t="b">
        <v>0</v>
      </c>
      <c r="J56" s="9" t="b">
        <v>0</v>
      </c>
      <c r="K56" s="9" t="b">
        <v>1</v>
      </c>
      <c r="L56" s="9" t="b">
        <v>0</v>
      </c>
      <c r="M56" s="9" t="b">
        <v>0</v>
      </c>
      <c r="N56" s="9" t="b">
        <v>0</v>
      </c>
      <c r="O56" s="9" t="b">
        <v>1</v>
      </c>
      <c r="P56" s="9" t="b">
        <v>0</v>
      </c>
      <c r="Q56" s="9" t="b">
        <v>0</v>
      </c>
      <c r="R56" s="9" t="b">
        <v>0</v>
      </c>
      <c r="S56" s="16">
        <f>COUNTIFS(stableR[q_group],stableR[[#This Row],[q_group]])</f>
        <v>1</v>
      </c>
      <c r="T56" s="9" t="b">
        <v>0</v>
      </c>
      <c r="U56" s="9" t="b">
        <v>1</v>
      </c>
      <c r="V56" s="9" t="b">
        <v>1</v>
      </c>
      <c r="W56" s="9" t="b">
        <v>1</v>
      </c>
      <c r="X56" s="9" t="str">
        <f>_xlfn.TEXTJOIN(", ",TRUE,stableR[[#This Row],[ans_opt_1]:[ans_opt_14]])</f>
        <v/>
      </c>
      <c r="AM56" s="16" t="b">
        <v>1</v>
      </c>
      <c r="AN56" s="16" t="b">
        <f>COUNTIFS(questions[qno],stableR[[#This Row],[qno]],questions[year_of_survey],2025,questions[origin],"Kenya")&gt;0</f>
        <v>1</v>
      </c>
      <c r="AO56" s="16" t="b">
        <f>COUNTIFS(questions[qno],stableR[[#This Row],[qno]],questions[year_of_survey],2025,questions[origin],"Rwanda")&gt;0</f>
        <v>0</v>
      </c>
      <c r="AP56" s="16" t="b">
        <f>COUNTIFS(questions[qno],stableR[[#This Row],[qno]],questions[year_of_survey],2026,questions[origin],"Burundi")&gt;0</f>
        <v>0</v>
      </c>
      <c r="AQ56" s="16" t="b">
        <f>COUNTIFS(questions[qno],stableR[[#This Row],[qno]],questions[year_of_survey],"",questions[origin],"Indonesia")&gt;0</f>
        <v>0</v>
      </c>
      <c r="AR56" s="16" t="b">
        <f>COUNTIFS(questions[qno],stableR[[#This Row],[qno]],questions[year_of_survey],2025,questions[origin],"Vietnam")&gt;0</f>
        <v>0</v>
      </c>
      <c r="AS56" s="16" t="b">
        <v>0</v>
      </c>
      <c r="AT56" s="16" t="b">
        <v>0</v>
      </c>
    </row>
    <row r="57" spans="1:46" x14ac:dyDescent="0.25">
      <c r="A57" s="15" t="str">
        <f>_xlfn.CONCAT(stableR[[#This Row],[group_0_no]:[order_no]])</f>
        <v>3221</v>
      </c>
      <c r="B57" s="15" t="s">
        <v>1377</v>
      </c>
      <c r="C57" s="213" t="s">
        <v>1099</v>
      </c>
      <c r="D57" s="213" t="s">
        <v>1097</v>
      </c>
      <c r="E57" s="213" t="s">
        <v>1097</v>
      </c>
      <c r="F57" s="213" t="s">
        <v>1093</v>
      </c>
      <c r="G57" s="9" t="s">
        <v>1155</v>
      </c>
      <c r="H57" s="9" t="b">
        <v>1</v>
      </c>
      <c r="I57" s="9" t="b">
        <v>0</v>
      </c>
      <c r="J57" s="9" t="b">
        <v>0</v>
      </c>
      <c r="K57" s="9" t="b">
        <v>1</v>
      </c>
      <c r="L57" s="9" t="b">
        <v>0</v>
      </c>
      <c r="M57" s="9" t="b">
        <v>0</v>
      </c>
      <c r="N57" s="9" t="b">
        <v>0</v>
      </c>
      <c r="O57" s="9" t="b">
        <v>1</v>
      </c>
      <c r="P57" s="9" t="b">
        <v>0</v>
      </c>
      <c r="Q57" s="9" t="b">
        <v>0</v>
      </c>
      <c r="R57" s="9" t="b">
        <v>0</v>
      </c>
      <c r="S57" s="16">
        <f>COUNTIFS(stableR[q_group],stableR[[#This Row],[q_group]])</f>
        <v>1</v>
      </c>
      <c r="T57" s="9" t="b">
        <v>0</v>
      </c>
      <c r="U57" s="9" t="b">
        <v>1</v>
      </c>
      <c r="V57" s="9" t="b">
        <v>0</v>
      </c>
      <c r="W57" s="9" t="b">
        <v>0</v>
      </c>
      <c r="X57" s="9" t="str">
        <f>_xlfn.TEXTJOIN(", ",TRUE,stableR[[#This Row],[ans_opt_1]:[ans_opt_14]])</f>
        <v/>
      </c>
      <c r="AM57" s="16" t="b">
        <v>1</v>
      </c>
      <c r="AN57" s="16" t="b">
        <f>COUNTIFS(questions[qno],stableR[[#This Row],[qno]],questions[year_of_survey],2025,questions[origin],"Kenya")&gt;0</f>
        <v>1</v>
      </c>
      <c r="AO57" s="16" t="b">
        <f>COUNTIFS(questions[qno],stableR[[#This Row],[qno]],questions[year_of_survey],2025,questions[origin],"Rwanda")&gt;0</f>
        <v>0</v>
      </c>
      <c r="AP57" s="16" t="b">
        <f>COUNTIFS(questions[qno],stableR[[#This Row],[qno]],questions[year_of_survey],2026,questions[origin],"Burundi")&gt;0</f>
        <v>0</v>
      </c>
      <c r="AQ57" s="16" t="b">
        <f>COUNTIFS(questions[qno],stableR[[#This Row],[qno]],questions[year_of_survey],"",questions[origin],"Indonesia")&gt;0</f>
        <v>0</v>
      </c>
      <c r="AR57" s="16" t="b">
        <f>COUNTIFS(questions[qno],stableR[[#This Row],[qno]],questions[year_of_survey],2025,questions[origin],"Vietnam")&gt;0</f>
        <v>0</v>
      </c>
      <c r="AS57" s="16" t="b">
        <v>0</v>
      </c>
      <c r="AT57" s="16" t="b">
        <v>0</v>
      </c>
    </row>
    <row r="58" spans="1:46" x14ac:dyDescent="0.25">
      <c r="A58" s="21" t="str">
        <f>_xlfn.CONCAT(stableR[[#This Row],[group_0_no]:[order_no]])</f>
        <v>3298</v>
      </c>
      <c r="B58" s="21" t="s">
        <v>555</v>
      </c>
      <c r="C58" s="232" t="s">
        <v>1099</v>
      </c>
      <c r="D58" s="232" t="s">
        <v>1097</v>
      </c>
      <c r="E58" s="232" t="s">
        <v>1142</v>
      </c>
      <c r="F58" s="232" t="s">
        <v>1143</v>
      </c>
      <c r="G58" s="22" t="s">
        <v>1156</v>
      </c>
      <c r="H58" s="22" t="b">
        <v>1</v>
      </c>
      <c r="I58" s="22" t="b">
        <v>1</v>
      </c>
      <c r="J58" s="22" t="b">
        <v>0</v>
      </c>
      <c r="K58" s="22" t="b">
        <v>0</v>
      </c>
      <c r="L58" s="22" t="b">
        <v>0</v>
      </c>
      <c r="M58" s="22" t="b">
        <v>0</v>
      </c>
      <c r="N58" s="22" t="b">
        <v>0</v>
      </c>
      <c r="O58" s="22" t="b">
        <v>1</v>
      </c>
      <c r="P58" s="22" t="b">
        <v>0</v>
      </c>
      <c r="Q58" s="22" t="b">
        <v>0</v>
      </c>
      <c r="R58" s="22" t="b">
        <v>0</v>
      </c>
      <c r="S58" s="29">
        <f>COUNTIFS(stableR[q_group],stableR[[#This Row],[q_group]])</f>
        <v>1</v>
      </c>
      <c r="T58" s="22" t="b">
        <v>0</v>
      </c>
      <c r="U58" s="22" t="b">
        <v>1</v>
      </c>
      <c r="V58" s="22" t="b">
        <v>1</v>
      </c>
      <c r="W58" s="22" t="b">
        <v>1</v>
      </c>
      <c r="X58" s="22" t="str">
        <f>_xlfn.TEXTJOIN(", ",TRUE,stableR[[#This Row],[ans_opt_1]:[ans_opt_14]])</f>
        <v/>
      </c>
      <c r="Y58" s="22"/>
      <c r="Z58" s="22"/>
      <c r="AA58" s="22"/>
      <c r="AB58" s="22"/>
      <c r="AC58" s="22"/>
      <c r="AD58" s="22"/>
      <c r="AE58" s="22"/>
      <c r="AF58" s="22"/>
      <c r="AG58" s="22"/>
      <c r="AH58" s="22"/>
      <c r="AI58" s="22"/>
      <c r="AJ58" s="22"/>
      <c r="AK58" s="22"/>
      <c r="AL58" s="22"/>
      <c r="AM58" s="29" t="b">
        <v>0</v>
      </c>
      <c r="AN58" s="29" t="b">
        <f>COUNTIFS(questions[qno],stableR[[#This Row],[qno]],questions[year_of_survey],2025,questions[origin],"Kenya")&gt;0</f>
        <v>0</v>
      </c>
      <c r="AO58" s="29" t="b">
        <f>COUNTIFS(questions[qno],stableR[[#This Row],[qno]],questions[year_of_survey],2025,questions[origin],"Rwanda")&gt;0</f>
        <v>0</v>
      </c>
      <c r="AP58" s="29" t="b">
        <f>COUNTIFS(questions[qno],stableR[[#This Row],[qno]],questions[year_of_survey],2026,questions[origin],"Burundi")&gt;0</f>
        <v>0</v>
      </c>
      <c r="AQ58" s="29" t="b">
        <f>COUNTIFS(questions[qno],stableR[[#This Row],[qno]],questions[year_of_survey],"",questions[origin],"Indonesia")&gt;0</f>
        <v>0</v>
      </c>
      <c r="AR58" s="29" t="b">
        <f>COUNTIFS(questions[qno],stableR[[#This Row],[qno]],questions[year_of_survey],2025,questions[origin],"Vietnam")&gt;0</f>
        <v>0</v>
      </c>
      <c r="AS58" s="29" t="b">
        <v>0</v>
      </c>
      <c r="AT58" s="29" t="b">
        <v>0</v>
      </c>
    </row>
    <row r="59" spans="1:46" x14ac:dyDescent="0.25">
      <c r="A59" s="21" t="str">
        <f>_xlfn.CONCAT(stableR[[#This Row],[group_0_no]:[order_no]])</f>
        <v>3299</v>
      </c>
      <c r="B59" s="21" t="s">
        <v>1378</v>
      </c>
      <c r="C59" s="232" t="s">
        <v>1099</v>
      </c>
      <c r="D59" s="232" t="s">
        <v>1097</v>
      </c>
      <c r="E59" s="232" t="s">
        <v>1142</v>
      </c>
      <c r="F59" s="232" t="s">
        <v>1142</v>
      </c>
      <c r="G59" s="22" t="s">
        <v>1157</v>
      </c>
      <c r="H59" s="22" t="b">
        <v>1</v>
      </c>
      <c r="I59" s="22" t="b">
        <v>1</v>
      </c>
      <c r="J59" s="22" t="b">
        <v>0</v>
      </c>
      <c r="K59" s="22" t="b">
        <v>0</v>
      </c>
      <c r="L59" s="22" t="b">
        <v>0</v>
      </c>
      <c r="M59" s="22" t="b">
        <v>0</v>
      </c>
      <c r="N59" s="22" t="b">
        <v>1</v>
      </c>
      <c r="O59" s="22" t="b">
        <v>0</v>
      </c>
      <c r="P59" s="22" t="b">
        <v>0</v>
      </c>
      <c r="Q59" s="22" t="b">
        <v>0</v>
      </c>
      <c r="R59" s="22" t="b">
        <v>0</v>
      </c>
      <c r="S59" s="29">
        <f>COUNTIFS(stableR[q_group],stableR[[#This Row],[q_group]])</f>
        <v>1</v>
      </c>
      <c r="T59" s="22" t="b">
        <v>0</v>
      </c>
      <c r="U59" s="22" t="b">
        <v>1</v>
      </c>
      <c r="V59" s="22" t="b">
        <v>1</v>
      </c>
      <c r="W59" s="22" t="b">
        <v>1</v>
      </c>
      <c r="X59" s="22" t="str">
        <f>_xlfn.TEXTJOIN(", ",TRUE,stableR[[#This Row],[ans_opt_1]:[ans_opt_14]])</f>
        <v/>
      </c>
      <c r="Y59" s="22"/>
      <c r="Z59" s="22"/>
      <c r="AA59" s="22"/>
      <c r="AB59" s="22"/>
      <c r="AC59" s="22"/>
      <c r="AD59" s="22"/>
      <c r="AE59" s="22"/>
      <c r="AF59" s="22"/>
      <c r="AG59" s="22"/>
      <c r="AH59" s="22"/>
      <c r="AI59" s="22"/>
      <c r="AJ59" s="22"/>
      <c r="AK59" s="22"/>
      <c r="AL59" s="22"/>
      <c r="AM59" s="29" t="b">
        <v>0</v>
      </c>
      <c r="AN59" s="29" t="b">
        <f>COUNTIFS(questions[qno],stableR[[#This Row],[qno]],questions[year_of_survey],2025,questions[origin],"Kenya")&gt;0</f>
        <v>0</v>
      </c>
      <c r="AO59" s="29" t="b">
        <f>COUNTIFS(questions[qno],stableR[[#This Row],[qno]],questions[year_of_survey],2025,questions[origin],"Rwanda")&gt;0</f>
        <v>0</v>
      </c>
      <c r="AP59" s="29" t="b">
        <f>COUNTIFS(questions[qno],stableR[[#This Row],[qno]],questions[year_of_survey],2026,questions[origin],"Burundi")&gt;0</f>
        <v>0</v>
      </c>
      <c r="AQ59" s="29" t="b">
        <f>COUNTIFS(questions[qno],stableR[[#This Row],[qno]],questions[year_of_survey],"",questions[origin],"Indonesia")&gt;0</f>
        <v>0</v>
      </c>
      <c r="AR59" s="29" t="b">
        <f>COUNTIFS(questions[qno],stableR[[#This Row],[qno]],questions[year_of_survey],2025,questions[origin],"Vietnam")&gt;0</f>
        <v>0</v>
      </c>
      <c r="AS59" s="29" t="b">
        <v>0</v>
      </c>
      <c r="AT59" s="29" t="b">
        <v>0</v>
      </c>
    </row>
    <row r="60" spans="1:46" s="22" customFormat="1" x14ac:dyDescent="0.25">
      <c r="A60" s="15" t="str">
        <f>_xlfn.CONCAT(stableR[[#This Row],[group_0_no]:[order_no]])</f>
        <v>3300</v>
      </c>
      <c r="B60" s="15" t="s">
        <v>1158</v>
      </c>
      <c r="C60" s="213" t="s">
        <v>1099</v>
      </c>
      <c r="D60" s="213" t="s">
        <v>1099</v>
      </c>
      <c r="E60" s="213" t="s">
        <v>1094</v>
      </c>
      <c r="F60" s="213" t="s">
        <v>1094</v>
      </c>
      <c r="G60" s="9" t="s">
        <v>1159</v>
      </c>
      <c r="H60" s="9" t="b">
        <v>1</v>
      </c>
      <c r="I60" s="9" t="b">
        <v>0</v>
      </c>
      <c r="J60" s="9" t="b">
        <v>1</v>
      </c>
      <c r="K60" s="9" t="b">
        <v>0</v>
      </c>
      <c r="L60" s="9" t="b">
        <v>0</v>
      </c>
      <c r="M60" s="9" t="b">
        <v>0</v>
      </c>
      <c r="N60" s="9" t="b">
        <v>0</v>
      </c>
      <c r="O60" s="9" t="b">
        <v>1</v>
      </c>
      <c r="P60" s="9" t="b">
        <v>0</v>
      </c>
      <c r="Q60" s="9" t="b">
        <v>0</v>
      </c>
      <c r="R60" s="9" t="b">
        <v>0</v>
      </c>
      <c r="S60" s="16">
        <f>COUNTIFS(stableR[q_group],stableR[[#This Row],[q_group]])</f>
        <v>1</v>
      </c>
      <c r="T60" s="9" t="b">
        <v>0</v>
      </c>
      <c r="U60" s="9" t="b">
        <v>1</v>
      </c>
      <c r="V60" s="9" t="b">
        <v>1</v>
      </c>
      <c r="W60" s="9" t="b">
        <v>1</v>
      </c>
      <c r="X60" s="9" t="str">
        <f>_xlfn.TEXTJOIN(", ",TRUE,stableR[[#This Row],[ans_opt_1]:[ans_opt_14]])</f>
        <v/>
      </c>
      <c r="Y60" s="9"/>
      <c r="Z60" s="9"/>
      <c r="AA60" s="9"/>
      <c r="AB60" s="9"/>
      <c r="AC60" s="9"/>
      <c r="AD60" s="9"/>
      <c r="AE60" s="9"/>
      <c r="AF60" s="9"/>
      <c r="AG60" s="9"/>
      <c r="AH60" s="9"/>
      <c r="AI60" s="9"/>
      <c r="AJ60" s="9"/>
      <c r="AK60" s="9"/>
      <c r="AL60" s="9"/>
      <c r="AM60" s="16" t="b">
        <v>0</v>
      </c>
      <c r="AN60" s="16" t="b">
        <f>COUNTIFS(questions[qno],stableR[[#This Row],[qno]],questions[year_of_survey],2025,questions[origin],"Kenya")&gt;0</f>
        <v>0</v>
      </c>
      <c r="AO60" s="16" t="b">
        <f>COUNTIFS(questions[qno],stableR[[#This Row],[qno]],questions[year_of_survey],2025,questions[origin],"Rwanda")&gt;0</f>
        <v>1</v>
      </c>
      <c r="AP60" s="16" t="b">
        <f>COUNTIFS(questions[qno],stableR[[#This Row],[qno]],questions[year_of_survey],2026,questions[origin],"Burundi")&gt;0</f>
        <v>1</v>
      </c>
      <c r="AQ60" s="16" t="b">
        <f>COUNTIFS(questions[qno],stableR[[#This Row],[qno]],questions[year_of_survey],"",questions[origin],"Indonesia")&gt;0</f>
        <v>1</v>
      </c>
      <c r="AR60" s="16" t="b">
        <f>COUNTIFS(questions[qno],stableR[[#This Row],[qno]],questions[year_of_survey],2025,questions[origin],"Vietnam")&gt;0</f>
        <v>0</v>
      </c>
      <c r="AS60" s="16" t="b">
        <v>0</v>
      </c>
      <c r="AT60" s="16" t="b">
        <v>0</v>
      </c>
    </row>
    <row r="61" spans="1:46" s="22" customFormat="1" x14ac:dyDescent="0.25">
      <c r="A61" s="15" t="str">
        <f>_xlfn.CONCAT(stableR[[#This Row],[group_0_no]:[order_no]])</f>
        <v>3301</v>
      </c>
      <c r="B61" s="15" t="s">
        <v>1379</v>
      </c>
      <c r="C61" s="213" t="s">
        <v>1099</v>
      </c>
      <c r="D61" s="213" t="s">
        <v>1099</v>
      </c>
      <c r="E61" s="213" t="s">
        <v>1094</v>
      </c>
      <c r="F61" s="213" t="s">
        <v>1093</v>
      </c>
      <c r="G61" s="9" t="s">
        <v>1161</v>
      </c>
      <c r="H61" s="9" t="b">
        <v>1</v>
      </c>
      <c r="I61" s="9" t="b">
        <v>0</v>
      </c>
      <c r="J61" s="9" t="b">
        <v>1</v>
      </c>
      <c r="K61" s="9" t="b">
        <v>0</v>
      </c>
      <c r="L61" s="9" t="b">
        <v>0</v>
      </c>
      <c r="M61" s="9" t="b">
        <v>0</v>
      </c>
      <c r="N61" s="9" t="b">
        <v>0</v>
      </c>
      <c r="O61" s="9" t="b">
        <v>1</v>
      </c>
      <c r="P61" s="9" t="b">
        <v>0</v>
      </c>
      <c r="Q61" s="9" t="b">
        <v>0</v>
      </c>
      <c r="R61" s="9" t="b">
        <v>0</v>
      </c>
      <c r="S61" s="16">
        <f>COUNTIFS(stableR[q_group],stableR[[#This Row],[q_group]])</f>
        <v>1</v>
      </c>
      <c r="T61" s="9" t="b">
        <v>0</v>
      </c>
      <c r="U61" s="9" t="b">
        <v>1</v>
      </c>
      <c r="V61" s="9" t="b">
        <v>0</v>
      </c>
      <c r="W61" s="9" t="b">
        <v>0</v>
      </c>
      <c r="X61" s="9" t="str">
        <f>_xlfn.TEXTJOIN(", ",TRUE,stableR[[#This Row],[ans_opt_1]:[ans_opt_14]])</f>
        <v/>
      </c>
      <c r="Y61" s="9"/>
      <c r="Z61" s="9"/>
      <c r="AA61" s="9"/>
      <c r="AB61" s="9"/>
      <c r="AC61" s="9"/>
      <c r="AD61" s="9"/>
      <c r="AE61" s="9"/>
      <c r="AF61" s="9"/>
      <c r="AG61" s="9"/>
      <c r="AH61" s="9"/>
      <c r="AI61" s="9"/>
      <c r="AJ61" s="9"/>
      <c r="AK61" s="9"/>
      <c r="AL61" s="9"/>
      <c r="AM61" s="16" t="b">
        <v>0</v>
      </c>
      <c r="AN61" s="16" t="b">
        <f>COUNTIFS(questions[qno],stableR[[#This Row],[qno]],questions[year_of_survey],2025,questions[origin],"Kenya")&gt;0</f>
        <v>0</v>
      </c>
      <c r="AO61" s="16" t="b">
        <f>COUNTIFS(questions[qno],stableR[[#This Row],[qno]],questions[year_of_survey],2025,questions[origin],"Rwanda")&gt;0</f>
        <v>1</v>
      </c>
      <c r="AP61" s="16" t="b">
        <f>COUNTIFS(questions[qno],stableR[[#This Row],[qno]],questions[year_of_survey],2026,questions[origin],"Burundi")&gt;0</f>
        <v>1</v>
      </c>
      <c r="AQ61" s="16" t="b">
        <f>COUNTIFS(questions[qno],stableR[[#This Row],[qno]],questions[year_of_survey],"",questions[origin],"Indonesia")&gt;0</f>
        <v>1</v>
      </c>
      <c r="AR61" s="16" t="b">
        <f>COUNTIFS(questions[qno],stableR[[#This Row],[qno]],questions[year_of_survey],2025,questions[origin],"Vietnam")&gt;0</f>
        <v>0</v>
      </c>
      <c r="AS61" s="16" t="b">
        <v>0</v>
      </c>
      <c r="AT61" s="16" t="b">
        <v>0</v>
      </c>
    </row>
    <row r="62" spans="1:46" x14ac:dyDescent="0.25">
      <c r="A62" s="15" t="str">
        <f>_xlfn.CONCAT(stableR[[#This Row],[group_0_no]:[order_no]])</f>
        <v>3309</v>
      </c>
      <c r="B62" s="15" t="s">
        <v>1380</v>
      </c>
      <c r="C62" s="213" t="s">
        <v>1099</v>
      </c>
      <c r="D62" s="213" t="s">
        <v>1099</v>
      </c>
      <c r="E62" s="213" t="s">
        <v>1094</v>
      </c>
      <c r="F62" s="213" t="s">
        <v>1142</v>
      </c>
      <c r="G62" s="9" t="s">
        <v>1162</v>
      </c>
      <c r="H62" s="9" t="b">
        <v>1</v>
      </c>
      <c r="I62" s="9" t="b">
        <v>0</v>
      </c>
      <c r="J62" s="9" t="b">
        <v>1</v>
      </c>
      <c r="K62" s="9" t="b">
        <v>1</v>
      </c>
      <c r="L62" s="9" t="b">
        <v>0</v>
      </c>
      <c r="M62" s="9" t="b">
        <v>0</v>
      </c>
      <c r="N62" s="9" t="b">
        <v>0</v>
      </c>
      <c r="O62" s="9" t="b">
        <v>1</v>
      </c>
      <c r="P62" s="9" t="b">
        <v>0</v>
      </c>
      <c r="Q62" s="9" t="b">
        <v>0</v>
      </c>
      <c r="R62" s="9" t="b">
        <v>0</v>
      </c>
      <c r="S62" s="16">
        <f>COUNTIFS(stableR[q_group],stableR[[#This Row],[q_group]])</f>
        <v>1</v>
      </c>
      <c r="T62" s="9" t="b">
        <v>0</v>
      </c>
      <c r="U62" s="9" t="b">
        <v>1</v>
      </c>
      <c r="V62" s="9" t="b">
        <v>1</v>
      </c>
      <c r="W62" s="9" t="b">
        <v>1</v>
      </c>
      <c r="X62" s="9" t="str">
        <f>_xlfn.TEXTJOIN(", ",TRUE,stableR[[#This Row],[ans_opt_1]:[ans_opt_14]])</f>
        <v/>
      </c>
      <c r="AM62" s="16" t="b">
        <v>0</v>
      </c>
      <c r="AN62" s="16" t="b">
        <f>COUNTIFS(questions[qno],stableR[[#This Row],[qno]],questions[year_of_survey],2025,questions[origin],"Kenya")&gt;0</f>
        <v>0</v>
      </c>
      <c r="AO62" s="16" t="b">
        <f>COUNTIFS(questions[qno],stableR[[#This Row],[qno]],questions[year_of_survey],2025,questions[origin],"Rwanda")&gt;0</f>
        <v>0</v>
      </c>
      <c r="AP62" s="16" t="b">
        <f>COUNTIFS(questions[qno],stableR[[#This Row],[qno]],questions[year_of_survey],2026,questions[origin],"Burundi")&gt;0</f>
        <v>0</v>
      </c>
      <c r="AQ62" s="16" t="b">
        <f>COUNTIFS(questions[qno],stableR[[#This Row],[qno]],questions[year_of_survey],"",questions[origin],"Indonesia")&gt;0</f>
        <v>1</v>
      </c>
      <c r="AR62" s="16" t="b">
        <f>COUNTIFS(questions[qno],stableR[[#This Row],[qno]],questions[year_of_survey],2025,questions[origin],"Vietnam")&gt;0</f>
        <v>0</v>
      </c>
      <c r="AS62" s="16" t="b">
        <v>0</v>
      </c>
      <c r="AT62" s="16" t="b">
        <v>0</v>
      </c>
    </row>
    <row r="63" spans="1:46" x14ac:dyDescent="0.25">
      <c r="A63" s="15" t="str">
        <f>_xlfn.CONCAT(stableR[[#This Row],[group_0_no]:[order_no]])</f>
        <v>3310</v>
      </c>
      <c r="B63" s="15" t="s">
        <v>1028</v>
      </c>
      <c r="C63" s="213" t="s">
        <v>1099</v>
      </c>
      <c r="D63" s="213" t="s">
        <v>1099</v>
      </c>
      <c r="E63" s="213">
        <v>1</v>
      </c>
      <c r="F63" s="213" t="s">
        <v>1094</v>
      </c>
      <c r="G63" s="9" t="s">
        <v>1163</v>
      </c>
      <c r="H63" s="9" t="b">
        <v>1</v>
      </c>
      <c r="I63" s="9" t="b">
        <v>0</v>
      </c>
      <c r="J63" s="9" t="b">
        <v>1</v>
      </c>
      <c r="K63" s="9" t="b">
        <v>0</v>
      </c>
      <c r="L63" s="9" t="b">
        <v>0</v>
      </c>
      <c r="M63" s="9" t="b">
        <v>0</v>
      </c>
      <c r="N63" s="9" t="b">
        <v>0</v>
      </c>
      <c r="O63" s="9" t="b">
        <v>1</v>
      </c>
      <c r="P63" s="9" t="b">
        <v>0</v>
      </c>
      <c r="Q63" s="9" t="b">
        <v>0</v>
      </c>
      <c r="R63" s="9" t="b">
        <v>0</v>
      </c>
      <c r="S63" s="16">
        <f>COUNTIFS(stableR[q_group],stableR[[#This Row],[q_group]])</f>
        <v>1</v>
      </c>
      <c r="T63" s="9" t="b">
        <v>0</v>
      </c>
      <c r="U63" s="9" t="b">
        <v>1</v>
      </c>
      <c r="V63" s="9" t="b">
        <v>1</v>
      </c>
      <c r="W63" s="9" t="b">
        <v>1</v>
      </c>
      <c r="X63" s="9" t="str">
        <f>_xlfn.TEXTJOIN(", ",TRUE,stableR[[#This Row],[ans_opt_1]:[ans_opt_14]])</f>
        <v/>
      </c>
      <c r="AM63" s="16" t="b">
        <v>0</v>
      </c>
      <c r="AN63" s="16" t="b">
        <f>COUNTIFS(questions[qno],stableR[[#This Row],[qno]],questions[year_of_survey],2025,questions[origin],"Kenya")&gt;0</f>
        <v>0</v>
      </c>
      <c r="AO63" s="16" t="b">
        <f>COUNTIFS(questions[qno],stableR[[#This Row],[qno]],questions[year_of_survey],2025,questions[origin],"Rwanda")&gt;0</f>
        <v>0</v>
      </c>
      <c r="AP63" s="16" t="b">
        <f>COUNTIFS(questions[qno],stableR[[#This Row],[qno]],questions[year_of_survey],2026,questions[origin],"Burundi")&gt;0</f>
        <v>0</v>
      </c>
      <c r="AQ63" s="16" t="b">
        <f>COUNTIFS(questions[qno],stableR[[#This Row],[qno]],questions[year_of_survey],"",questions[origin],"Indonesia")&gt;0</f>
        <v>0</v>
      </c>
      <c r="AR63" s="16" t="b">
        <f>COUNTIFS(questions[qno],stableR[[#This Row],[qno]],questions[year_of_survey],2025,questions[origin],"Vietnam")&gt;0</f>
        <v>1</v>
      </c>
      <c r="AS63" s="16" t="b">
        <v>1</v>
      </c>
      <c r="AT63" s="16" t="b">
        <v>0</v>
      </c>
    </row>
    <row r="64" spans="1:46" x14ac:dyDescent="0.25">
      <c r="A64" s="15" t="str">
        <f>_xlfn.CONCAT(stableR[[#This Row],[group_0_no]:[order_no]])</f>
        <v>3311</v>
      </c>
      <c r="B64" s="15" t="s">
        <v>1381</v>
      </c>
      <c r="C64" s="213" t="s">
        <v>1099</v>
      </c>
      <c r="D64" s="213" t="s">
        <v>1099</v>
      </c>
      <c r="E64" s="213">
        <v>1</v>
      </c>
      <c r="F64" s="213" t="s">
        <v>1093</v>
      </c>
      <c r="G64" s="9" t="s">
        <v>1165</v>
      </c>
      <c r="H64" s="9" t="b">
        <v>1</v>
      </c>
      <c r="I64" s="9" t="b">
        <v>0</v>
      </c>
      <c r="J64" s="9" t="b">
        <v>1</v>
      </c>
      <c r="K64" s="9" t="b">
        <v>0</v>
      </c>
      <c r="L64" s="9" t="b">
        <v>0</v>
      </c>
      <c r="M64" s="9" t="b">
        <v>0</v>
      </c>
      <c r="N64" s="9" t="b">
        <v>0</v>
      </c>
      <c r="O64" s="9" t="b">
        <v>1</v>
      </c>
      <c r="P64" s="9" t="b">
        <v>0</v>
      </c>
      <c r="Q64" s="9" t="b">
        <v>0</v>
      </c>
      <c r="R64" s="9" t="b">
        <v>0</v>
      </c>
      <c r="S64" s="16">
        <f>COUNTIFS(stableR[q_group],stableR[[#This Row],[q_group]])</f>
        <v>1</v>
      </c>
      <c r="T64" s="9" t="b">
        <v>0</v>
      </c>
      <c r="U64" s="9" t="b">
        <v>1</v>
      </c>
      <c r="V64" s="9" t="b">
        <v>0</v>
      </c>
      <c r="W64" s="9" t="b">
        <v>0</v>
      </c>
      <c r="X64" s="9" t="str">
        <f>_xlfn.TEXTJOIN(", ",TRUE,stableR[[#This Row],[ans_opt_1]:[ans_opt_14]])</f>
        <v/>
      </c>
      <c r="AM64" s="16" t="b">
        <v>0</v>
      </c>
      <c r="AN64" s="16" t="b">
        <f>COUNTIFS(questions[qno],stableR[[#This Row],[qno]],questions[year_of_survey],2025,questions[origin],"Kenya")&gt;0</f>
        <v>0</v>
      </c>
      <c r="AO64" s="16" t="b">
        <f>COUNTIFS(questions[qno],stableR[[#This Row],[qno]],questions[year_of_survey],2025,questions[origin],"Rwanda")&gt;0</f>
        <v>0</v>
      </c>
      <c r="AP64" s="16" t="b">
        <f>COUNTIFS(questions[qno],stableR[[#This Row],[qno]],questions[year_of_survey],2026,questions[origin],"Burundi")&gt;0</f>
        <v>0</v>
      </c>
      <c r="AQ64" s="16" t="b">
        <f>COUNTIFS(questions[qno],stableR[[#This Row],[qno]],questions[year_of_survey],"",questions[origin],"Indonesia")&gt;0</f>
        <v>0</v>
      </c>
      <c r="AR64" s="16" t="b">
        <f>COUNTIFS(questions[qno],stableR[[#This Row],[qno]],questions[year_of_survey],2025,questions[origin],"Vietnam")&gt;0</f>
        <v>1</v>
      </c>
      <c r="AS64" s="16" t="b">
        <v>0</v>
      </c>
      <c r="AT64" s="16" t="b">
        <v>0</v>
      </c>
    </row>
    <row r="65" spans="1:46" x14ac:dyDescent="0.25">
      <c r="A65" s="238" t="str">
        <f>_xlfn.CONCAT(stableR[[#This Row],[group_0_no]:[order_no]])</f>
        <v>4000</v>
      </c>
      <c r="B65" s="238" t="s">
        <v>1382</v>
      </c>
      <c r="C65" s="213" t="s">
        <v>1101</v>
      </c>
      <c r="D65" s="213" t="s">
        <v>1094</v>
      </c>
      <c r="E65" s="213" t="s">
        <v>1094</v>
      </c>
      <c r="F65" s="213" t="s">
        <v>1094</v>
      </c>
      <c r="G65" s="240" t="s">
        <v>1166</v>
      </c>
      <c r="H65" s="240" t="b">
        <v>1</v>
      </c>
      <c r="I65" s="240" t="b">
        <v>1</v>
      </c>
      <c r="J65" s="240" t="b">
        <v>0</v>
      </c>
      <c r="K65" s="240" t="b">
        <v>0</v>
      </c>
      <c r="L65" s="240" t="b">
        <v>1</v>
      </c>
      <c r="M65" s="240" t="b">
        <v>0</v>
      </c>
      <c r="N65" s="240" t="b">
        <v>0</v>
      </c>
      <c r="O65" s="240" t="b">
        <v>1</v>
      </c>
      <c r="P65" s="240" t="b">
        <v>0</v>
      </c>
      <c r="Q65" s="240" t="b">
        <v>0</v>
      </c>
      <c r="R65" s="240" t="b">
        <v>0</v>
      </c>
      <c r="S65" s="241">
        <f>COUNTIFS(stableR[q_group],stableR[[#This Row],[q_group]])</f>
        <v>1</v>
      </c>
      <c r="T65" s="9" t="b">
        <v>0</v>
      </c>
      <c r="U65" s="9" t="b">
        <v>1</v>
      </c>
      <c r="V65" s="9" t="b">
        <v>1</v>
      </c>
      <c r="W65" s="9" t="b">
        <v>1</v>
      </c>
      <c r="X65" s="240" t="str">
        <f>_xlfn.TEXTJOIN(", ",TRUE,stableR[[#This Row],[ans_opt_1]:[ans_opt_14]])</f>
        <v/>
      </c>
      <c r="Y65" s="240"/>
      <c r="Z65" s="240"/>
      <c r="AA65" s="240"/>
      <c r="AB65" s="240"/>
      <c r="AC65" s="240"/>
      <c r="AD65" s="240"/>
      <c r="AE65" s="240"/>
      <c r="AF65" s="240"/>
      <c r="AG65" s="240"/>
      <c r="AH65" s="240"/>
      <c r="AI65" s="240"/>
      <c r="AJ65" s="240"/>
      <c r="AK65" s="240"/>
      <c r="AL65" s="240"/>
      <c r="AM65" s="241" t="b">
        <v>1</v>
      </c>
      <c r="AN65" s="241" t="b">
        <f>COUNTIFS(questions[qno],stableR[[#This Row],[qno]],questions[year_of_survey],2025,questions[origin],"Kenya")&gt;0</f>
        <v>1</v>
      </c>
      <c r="AO65" s="241" t="b">
        <f>COUNTIFS(questions[qno],stableR[[#This Row],[qno]],questions[year_of_survey],2025,questions[origin],"Rwanda")&gt;0</f>
        <v>1</v>
      </c>
      <c r="AP65" s="241" t="b">
        <f>COUNTIFS(questions[qno],stableR[[#This Row],[qno]],questions[year_of_survey],2026,questions[origin],"Burundi")&gt;0</f>
        <v>1</v>
      </c>
      <c r="AQ65" s="241" t="b">
        <f>COUNTIFS(questions[qno],stableR[[#This Row],[qno]],questions[year_of_survey],"",questions[origin],"Indonesia")&gt;0</f>
        <v>1</v>
      </c>
      <c r="AR65" s="241" t="b">
        <f>COUNTIFS(questions[qno],stableR[[#This Row],[qno]],questions[year_of_survey],2025,questions[origin],"Vietnam")&gt;0</f>
        <v>1</v>
      </c>
      <c r="AS65" s="241" t="b">
        <v>1</v>
      </c>
      <c r="AT65" s="241" t="b">
        <v>1</v>
      </c>
    </row>
    <row r="66" spans="1:46" x14ac:dyDescent="0.25">
      <c r="A66" s="92" t="str">
        <f>_xlfn.CONCAT(stableR[[#This Row],[group_0_no]:[order_no]])</f>
        <v>4100</v>
      </c>
      <c r="B66" s="92" t="s">
        <v>146</v>
      </c>
      <c r="C66" s="209" t="s">
        <v>1101</v>
      </c>
      <c r="D66" s="209" t="s">
        <v>1093</v>
      </c>
      <c r="E66" s="209" t="s">
        <v>1094</v>
      </c>
      <c r="F66" s="209" t="s">
        <v>1094</v>
      </c>
      <c r="G66" s="93" t="s">
        <v>1167</v>
      </c>
      <c r="H66" s="93" t="b">
        <v>0</v>
      </c>
      <c r="I66" s="93" t="b">
        <v>1</v>
      </c>
      <c r="J66" s="93" t="b">
        <v>0</v>
      </c>
      <c r="K66" s="93" t="b">
        <v>0</v>
      </c>
      <c r="L66" s="93" t="b">
        <v>1</v>
      </c>
      <c r="M66" s="93" t="b">
        <v>0</v>
      </c>
      <c r="N66" s="93" t="b">
        <v>0</v>
      </c>
      <c r="O66" s="93" t="b">
        <v>1</v>
      </c>
      <c r="P66" s="93" t="b">
        <v>0</v>
      </c>
      <c r="Q66" s="93" t="b">
        <v>0</v>
      </c>
      <c r="R66" s="93" t="b">
        <v>0</v>
      </c>
      <c r="S66" s="94">
        <f>COUNTIFS(stableR[q_group],stableR[[#This Row],[q_group]])</f>
        <v>1</v>
      </c>
      <c r="T66" s="93" t="b">
        <v>0</v>
      </c>
      <c r="U66" s="93" t="b">
        <v>1</v>
      </c>
      <c r="V66" s="93" t="b">
        <v>1</v>
      </c>
      <c r="W66" s="93" t="b">
        <v>1</v>
      </c>
      <c r="X66" s="93" t="str">
        <f>_xlfn.TEXTJOIN(", ",TRUE,stableR[[#This Row],[ans_opt_1]:[ans_opt_14]])</f>
        <v/>
      </c>
      <c r="Y66" s="93"/>
      <c r="Z66" s="93"/>
      <c r="AA66" s="93"/>
      <c r="AB66" s="93"/>
      <c r="AC66" s="93"/>
      <c r="AD66" s="93"/>
      <c r="AE66" s="93"/>
      <c r="AF66" s="93"/>
      <c r="AG66" s="93"/>
      <c r="AH66" s="93"/>
      <c r="AI66" s="93"/>
      <c r="AJ66" s="93"/>
      <c r="AK66" s="93"/>
      <c r="AL66" s="93"/>
      <c r="AM66" s="94" t="b">
        <v>0</v>
      </c>
      <c r="AN66" s="94" t="b">
        <v>0</v>
      </c>
      <c r="AO66" s="94" t="b">
        <v>0</v>
      </c>
      <c r="AP66" s="94" t="b">
        <v>0</v>
      </c>
      <c r="AQ66" s="94" t="b">
        <v>0</v>
      </c>
      <c r="AR66" s="94" t="b">
        <v>0</v>
      </c>
      <c r="AS66" s="94" t="b">
        <v>0</v>
      </c>
      <c r="AT66" s="94" t="b">
        <v>0</v>
      </c>
    </row>
    <row r="67" spans="1:46" x14ac:dyDescent="0.25">
      <c r="A67" s="92" t="str">
        <f>_xlfn.CONCAT(stableR[[#This Row],[group_0_no]:[order_no]])</f>
        <v>4101</v>
      </c>
      <c r="B67" s="92" t="s">
        <v>148</v>
      </c>
      <c r="C67" s="209" t="s">
        <v>1101</v>
      </c>
      <c r="D67" s="209" t="s">
        <v>1093</v>
      </c>
      <c r="E67" s="209" t="s">
        <v>1094</v>
      </c>
      <c r="F67" s="209" t="s">
        <v>1093</v>
      </c>
      <c r="G67" s="93" t="s">
        <v>1168</v>
      </c>
      <c r="H67" s="93" t="b">
        <v>0</v>
      </c>
      <c r="I67" s="93" t="b">
        <v>1</v>
      </c>
      <c r="J67" s="93" t="b">
        <v>0</v>
      </c>
      <c r="K67" s="93" t="b">
        <v>0</v>
      </c>
      <c r="L67" s="93" t="b">
        <v>1</v>
      </c>
      <c r="M67" s="93" t="b">
        <v>0</v>
      </c>
      <c r="N67" s="93" t="b">
        <v>0</v>
      </c>
      <c r="O67" s="93" t="b">
        <v>0</v>
      </c>
      <c r="P67" s="93" t="b">
        <v>1</v>
      </c>
      <c r="Q67" s="93" t="b">
        <v>0</v>
      </c>
      <c r="R67" s="93" t="b">
        <v>1</v>
      </c>
      <c r="S67" s="94">
        <f>COUNTIFS(stableR[q_group],stableR[[#This Row],[q_group]])</f>
        <v>1</v>
      </c>
      <c r="T67" s="93" t="b">
        <v>0</v>
      </c>
      <c r="U67" s="93" t="b">
        <v>1</v>
      </c>
      <c r="V67" s="93" t="b">
        <v>1</v>
      </c>
      <c r="W67" s="93" t="b">
        <v>1</v>
      </c>
      <c r="X67" s="93" t="str">
        <f>_xlfn.TEXTJOIN(", ",TRUE,stableR[[#This Row],[ans_opt_1]:[ans_opt_14]])</f>
        <v>No, Yes</v>
      </c>
      <c r="Y67" s="93" t="s">
        <v>119</v>
      </c>
      <c r="Z67" s="93" t="s">
        <v>149</v>
      </c>
      <c r="AA67" s="93"/>
      <c r="AB67" s="93"/>
      <c r="AC67" s="93"/>
      <c r="AD67" s="93"/>
      <c r="AE67" s="93"/>
      <c r="AF67" s="93"/>
      <c r="AG67" s="93"/>
      <c r="AH67" s="93"/>
      <c r="AI67" s="93"/>
      <c r="AJ67" s="93"/>
      <c r="AK67" s="93"/>
      <c r="AL67" s="93"/>
      <c r="AM67" s="209" t="b">
        <v>0</v>
      </c>
      <c r="AN67" s="209" t="b">
        <v>0</v>
      </c>
      <c r="AO67" s="209" t="b">
        <v>0</v>
      </c>
      <c r="AP67" s="209" t="b">
        <v>0</v>
      </c>
      <c r="AQ67" s="209" t="b">
        <v>0</v>
      </c>
      <c r="AR67" s="209" t="b">
        <v>0</v>
      </c>
      <c r="AS67" s="209" t="b">
        <v>0</v>
      </c>
      <c r="AT67" s="209" t="b">
        <v>0</v>
      </c>
    </row>
    <row r="68" spans="1:46" s="93" customFormat="1" x14ac:dyDescent="0.25">
      <c r="A68" s="92" t="str">
        <f>_xlfn.CONCAT(stableR[[#This Row],[group_0_no]:[order_no]])</f>
        <v>4102</v>
      </c>
      <c r="B68" s="92" t="s">
        <v>1383</v>
      </c>
      <c r="C68" s="209" t="s">
        <v>1101</v>
      </c>
      <c r="D68" s="209" t="s">
        <v>1093</v>
      </c>
      <c r="E68" s="209" t="s">
        <v>1094</v>
      </c>
      <c r="F68" s="209" t="s">
        <v>1097</v>
      </c>
      <c r="G68" s="93" t="s">
        <v>1169</v>
      </c>
      <c r="H68" s="93" t="b">
        <v>0</v>
      </c>
      <c r="I68" s="93" t="b">
        <v>1</v>
      </c>
      <c r="J68" s="93" t="b">
        <v>0</v>
      </c>
      <c r="K68" s="93" t="b">
        <v>0</v>
      </c>
      <c r="L68" s="93" t="b">
        <v>0</v>
      </c>
      <c r="M68" s="93" t="b">
        <v>0</v>
      </c>
      <c r="N68" s="93" t="b">
        <v>0</v>
      </c>
      <c r="O68" s="93" t="b">
        <v>0</v>
      </c>
      <c r="P68" s="93" t="b">
        <v>1</v>
      </c>
      <c r="Q68" s="93" t="b">
        <v>0</v>
      </c>
      <c r="R68" s="93" t="b">
        <v>1</v>
      </c>
      <c r="S68" s="94">
        <f>COUNTIFS(stableR[q_group],stableR[[#This Row],[q_group]])</f>
        <v>1</v>
      </c>
      <c r="T68" s="93" t="b">
        <v>0</v>
      </c>
      <c r="U68" s="93" t="b">
        <v>1</v>
      </c>
      <c r="V68" s="93" t="b">
        <v>1</v>
      </c>
      <c r="W68" s="93" t="b">
        <v>1</v>
      </c>
      <c r="X68" s="93" t="str">
        <f>_xlfn.TEXTJOIN(", ",TRUE,stableR[[#This Row],[ans_opt_1]:[ans_opt_14]])</f>
        <v>Too far, Farmer not wlling, Other</v>
      </c>
      <c r="Y68" s="93" t="s">
        <v>152</v>
      </c>
      <c r="Z68" s="93" t="s">
        <v>1384</v>
      </c>
      <c r="AL68" s="93" t="s">
        <v>112</v>
      </c>
      <c r="AM68" s="209" t="b">
        <v>0</v>
      </c>
      <c r="AN68" s="209" t="b">
        <v>0</v>
      </c>
      <c r="AO68" s="209" t="b">
        <v>0</v>
      </c>
      <c r="AP68" s="209" t="b">
        <v>0</v>
      </c>
      <c r="AQ68" s="209" t="b">
        <v>0</v>
      </c>
      <c r="AR68" s="209" t="b">
        <v>0</v>
      </c>
      <c r="AS68" s="209" t="b">
        <v>0</v>
      </c>
      <c r="AT68" s="209" t="b">
        <v>0</v>
      </c>
    </row>
    <row r="69" spans="1:46" x14ac:dyDescent="0.25">
      <c r="A69" s="92" t="str">
        <f>_xlfn.CONCAT(stableR[[#This Row],[group_0_no]:[order_no]])</f>
        <v>4103</v>
      </c>
      <c r="B69" s="92" t="s">
        <v>1385</v>
      </c>
      <c r="C69" s="209" t="s">
        <v>1101</v>
      </c>
      <c r="D69" s="209" t="s">
        <v>1093</v>
      </c>
      <c r="E69" s="209" t="s">
        <v>1094</v>
      </c>
      <c r="F69" s="209" t="s">
        <v>1099</v>
      </c>
      <c r="G69" s="93" t="s">
        <v>1170</v>
      </c>
      <c r="H69" s="93" t="b">
        <v>0</v>
      </c>
      <c r="I69" s="93" t="b">
        <v>1</v>
      </c>
      <c r="J69" s="93" t="b">
        <v>0</v>
      </c>
      <c r="K69" s="93" t="b">
        <v>0</v>
      </c>
      <c r="L69" s="93" t="b">
        <v>0</v>
      </c>
      <c r="M69" s="93" t="b">
        <v>0</v>
      </c>
      <c r="N69" s="93" t="b">
        <v>0</v>
      </c>
      <c r="O69" s="93" t="b">
        <v>1</v>
      </c>
      <c r="P69" s="93" t="b">
        <v>0</v>
      </c>
      <c r="Q69" s="93" t="b">
        <v>0</v>
      </c>
      <c r="R69" s="93" t="b">
        <v>0</v>
      </c>
      <c r="S69" s="94">
        <f>COUNTIFS(stableR[q_group],stableR[[#This Row],[q_group]])</f>
        <v>1</v>
      </c>
      <c r="T69" s="93" t="b">
        <v>0</v>
      </c>
      <c r="U69" s="93" t="b">
        <v>1</v>
      </c>
      <c r="V69" s="93" t="b">
        <v>1</v>
      </c>
      <c r="W69" s="93" t="b">
        <v>1</v>
      </c>
      <c r="X69" s="93" t="str">
        <f>_xlfn.TEXTJOIN(", ",TRUE,stableR[[#This Row],[ans_opt_1]:[ans_opt_14]])</f>
        <v/>
      </c>
      <c r="Y69" s="93"/>
      <c r="Z69" s="93"/>
      <c r="AA69" s="93"/>
      <c r="AB69" s="93"/>
      <c r="AC69" s="93"/>
      <c r="AD69" s="93"/>
      <c r="AE69" s="93"/>
      <c r="AF69" s="93"/>
      <c r="AG69" s="93"/>
      <c r="AH69" s="93"/>
      <c r="AI69" s="93"/>
      <c r="AJ69" s="93"/>
      <c r="AK69" s="93"/>
      <c r="AL69" s="93"/>
      <c r="AM69" s="209" t="b">
        <v>0</v>
      </c>
      <c r="AN69" s="209" t="b">
        <v>0</v>
      </c>
      <c r="AO69" s="209" t="b">
        <v>0</v>
      </c>
      <c r="AP69" s="209" t="b">
        <v>0</v>
      </c>
      <c r="AQ69" s="209" t="b">
        <v>0</v>
      </c>
      <c r="AR69" s="209" t="b">
        <v>0</v>
      </c>
      <c r="AS69" s="209" t="b">
        <v>0</v>
      </c>
      <c r="AT69" s="209" t="b">
        <v>0</v>
      </c>
    </row>
    <row r="70" spans="1:46" x14ac:dyDescent="0.25">
      <c r="A70" s="92" t="str">
        <f>_xlfn.CONCAT(stableR[[#This Row],[group_0_no]:[order_no]])</f>
        <v>4104</v>
      </c>
      <c r="B70" s="92" t="s">
        <v>1386</v>
      </c>
      <c r="C70" s="209" t="s">
        <v>1101</v>
      </c>
      <c r="D70" s="209" t="s">
        <v>1093</v>
      </c>
      <c r="E70" s="209" t="s">
        <v>1094</v>
      </c>
      <c r="F70" s="209" t="s">
        <v>1101</v>
      </c>
      <c r="G70" s="93" t="s">
        <v>1171</v>
      </c>
      <c r="H70" s="93" t="b">
        <v>0</v>
      </c>
      <c r="I70" s="93" t="b">
        <v>1</v>
      </c>
      <c r="J70" s="93" t="b">
        <v>0</v>
      </c>
      <c r="K70" s="93" t="b">
        <v>0</v>
      </c>
      <c r="L70" s="93" t="b">
        <v>0</v>
      </c>
      <c r="M70" s="93" t="b">
        <v>0</v>
      </c>
      <c r="N70" s="93" t="b">
        <v>0</v>
      </c>
      <c r="O70" s="93" t="b">
        <v>1</v>
      </c>
      <c r="P70" s="93" t="b">
        <v>0</v>
      </c>
      <c r="Q70" s="93" t="b">
        <v>0</v>
      </c>
      <c r="R70" s="93" t="b">
        <v>0</v>
      </c>
      <c r="S70" s="94">
        <f>COUNTIFS(stableR[q_group],stableR[[#This Row],[q_group]])</f>
        <v>1</v>
      </c>
      <c r="T70" s="93" t="b">
        <v>0</v>
      </c>
      <c r="U70" s="93" t="b">
        <v>1</v>
      </c>
      <c r="V70" s="93" t="b">
        <v>1</v>
      </c>
      <c r="W70" s="93" t="b">
        <v>1</v>
      </c>
      <c r="X70" s="93" t="str">
        <f>_xlfn.TEXTJOIN(", ",TRUE,stableR[[#This Row],[ans_opt_1]:[ans_opt_14]])</f>
        <v/>
      </c>
      <c r="Y70" s="93"/>
      <c r="Z70" s="93"/>
      <c r="AA70" s="93"/>
      <c r="AB70" s="93"/>
      <c r="AC70" s="93"/>
      <c r="AD70" s="93"/>
      <c r="AE70" s="93"/>
      <c r="AF70" s="93"/>
      <c r="AG70" s="93"/>
      <c r="AH70" s="93"/>
      <c r="AI70" s="93"/>
      <c r="AJ70" s="93"/>
      <c r="AK70" s="93"/>
      <c r="AL70" s="93"/>
      <c r="AM70" s="209" t="b">
        <v>0</v>
      </c>
      <c r="AN70" s="209" t="b">
        <v>0</v>
      </c>
      <c r="AO70" s="209" t="b">
        <v>0</v>
      </c>
      <c r="AP70" s="209" t="b">
        <v>0</v>
      </c>
      <c r="AQ70" s="209" t="b">
        <v>0</v>
      </c>
      <c r="AR70" s="209" t="b">
        <v>0</v>
      </c>
      <c r="AS70" s="209" t="b">
        <v>0</v>
      </c>
      <c r="AT70" s="209" t="b">
        <v>0</v>
      </c>
    </row>
    <row r="71" spans="1:46" x14ac:dyDescent="0.25">
      <c r="A71" s="92" t="str">
        <f>_xlfn.CONCAT(stableR[[#This Row],[group_0_no]:[order_no]])</f>
        <v>4105</v>
      </c>
      <c r="B71" s="92" t="s">
        <v>1387</v>
      </c>
      <c r="C71" s="209" t="s">
        <v>1101</v>
      </c>
      <c r="D71" s="209" t="s">
        <v>1093</v>
      </c>
      <c r="E71" s="209" t="s">
        <v>1094</v>
      </c>
      <c r="F71" s="209" t="s">
        <v>1103</v>
      </c>
      <c r="G71" s="92" t="s">
        <v>1172</v>
      </c>
      <c r="H71" s="93" t="b">
        <v>0</v>
      </c>
      <c r="I71" s="92" t="b">
        <v>1</v>
      </c>
      <c r="J71" s="92" t="b">
        <v>0</v>
      </c>
      <c r="K71" s="92" t="b">
        <v>0</v>
      </c>
      <c r="L71" s="92" t="b">
        <v>0</v>
      </c>
      <c r="M71" s="92" t="b">
        <v>0</v>
      </c>
      <c r="N71" s="92" t="b">
        <v>0</v>
      </c>
      <c r="O71" s="92" t="b">
        <v>1</v>
      </c>
      <c r="P71" s="92" t="b">
        <v>0</v>
      </c>
      <c r="Q71" s="92" t="b">
        <v>0</v>
      </c>
      <c r="R71" s="92" t="b">
        <v>0</v>
      </c>
      <c r="S71" s="209">
        <f>COUNTIFS(stableR[q_group],stableR[[#This Row],[q_group]])</f>
        <v>1</v>
      </c>
      <c r="T71" s="92" t="b">
        <v>0</v>
      </c>
      <c r="U71" s="92" t="b">
        <v>1</v>
      </c>
      <c r="V71" s="92" t="b">
        <v>1</v>
      </c>
      <c r="W71" s="92" t="b">
        <v>1</v>
      </c>
      <c r="X71" s="92" t="str">
        <f>_xlfn.TEXTJOIN(", ",TRUE,stableR[[#This Row],[ans_opt_1]:[ans_opt_14]])</f>
        <v/>
      </c>
      <c r="Y71" s="92"/>
      <c r="Z71" s="92"/>
      <c r="AA71" s="92"/>
      <c r="AB71" s="92"/>
      <c r="AC71" s="92"/>
      <c r="AD71" s="92"/>
      <c r="AE71" s="92"/>
      <c r="AF71" s="92"/>
      <c r="AG71" s="92"/>
      <c r="AH71" s="92"/>
      <c r="AI71" s="92"/>
      <c r="AJ71" s="92"/>
      <c r="AK71" s="92"/>
      <c r="AL71" s="92"/>
      <c r="AM71" s="209" t="b">
        <v>0</v>
      </c>
      <c r="AN71" s="209" t="b">
        <f>COUNTIFS(questions[qno],stableR[[#This Row],[qno]],questions[year_of_survey],2025,questions[origin],"Kenya")&gt;0</f>
        <v>0</v>
      </c>
      <c r="AO71" s="209" t="b">
        <f>COUNTIFS(questions[qno],stableR[[#This Row],[qno]],questions[year_of_survey],2025,questions[origin],"Rwanda")&gt;0</f>
        <v>0</v>
      </c>
      <c r="AP71" s="209" t="b">
        <f>COUNTIFS(questions[qno],stableR[[#This Row],[qno]],questions[year_of_survey],2026,questions[origin],"Burundi")&gt;0</f>
        <v>0</v>
      </c>
      <c r="AQ71" s="94" t="b">
        <f>COUNTIFS(questions[qno],stableR[[#This Row],[qno]],questions[year_of_survey],"",questions[origin],"Indonesia")&gt;0</f>
        <v>0</v>
      </c>
      <c r="AR71" s="94" t="b">
        <v>0</v>
      </c>
      <c r="AS71" s="94" t="b">
        <v>0</v>
      </c>
      <c r="AT71" s="94" t="b">
        <v>0</v>
      </c>
    </row>
    <row r="72" spans="1:46" x14ac:dyDescent="0.25">
      <c r="A72" s="15" t="str">
        <f>_xlfn.CONCAT(stableR[[#This Row],[group_0_no]:[order_no]])</f>
        <v>5000</v>
      </c>
      <c r="B72" s="15" t="s">
        <v>160</v>
      </c>
      <c r="C72" s="213" t="s">
        <v>1103</v>
      </c>
      <c r="D72" s="213" t="s">
        <v>1094</v>
      </c>
      <c r="E72" s="213" t="s">
        <v>1094</v>
      </c>
      <c r="F72" s="213" t="s">
        <v>1094</v>
      </c>
      <c r="G72" s="9" t="s">
        <v>1173</v>
      </c>
      <c r="H72" s="9" t="b">
        <v>1</v>
      </c>
      <c r="I72" s="9" t="b">
        <v>1</v>
      </c>
      <c r="J72" s="9" t="b">
        <v>0</v>
      </c>
      <c r="K72" s="9" t="b">
        <v>0</v>
      </c>
      <c r="L72" s="9" t="b">
        <v>1</v>
      </c>
      <c r="M72" s="9" t="b">
        <v>0</v>
      </c>
      <c r="N72" s="9" t="b">
        <v>0</v>
      </c>
      <c r="O72" s="9" t="b">
        <v>0</v>
      </c>
      <c r="P72" s="9" t="b">
        <v>1</v>
      </c>
      <c r="Q72" s="9" t="b">
        <v>0</v>
      </c>
      <c r="R72" s="9" t="b">
        <v>1</v>
      </c>
      <c r="S72" s="16">
        <f>COUNTIFS(stableR[q_group],stableR[[#This Row],[q_group]])</f>
        <v>1</v>
      </c>
      <c r="T72" s="9" t="b">
        <v>0</v>
      </c>
      <c r="U72" s="9" t="b">
        <v>1</v>
      </c>
      <c r="V72" s="9" t="b">
        <v>1</v>
      </c>
      <c r="W72" s="9" t="b">
        <v>0</v>
      </c>
      <c r="X72" s="9" t="str">
        <f>_xlfn.TEXTJOIN(", ",TRUE,stableR[[#This Row],[ans_opt_1]:[ans_opt_14]])</f>
        <v>No, Yes</v>
      </c>
      <c r="Y72" s="9" t="s">
        <v>119</v>
      </c>
      <c r="Z72" s="9" t="s">
        <v>149</v>
      </c>
      <c r="AM72" s="16" t="b">
        <v>1</v>
      </c>
      <c r="AN72" s="16" t="b">
        <f>COUNTIFS(questions[qno],stableR[[#This Row],[qno]],questions[year_of_survey],2025,questions[origin],"Kenya")&gt;0</f>
        <v>1</v>
      </c>
      <c r="AO72" s="16" t="b">
        <f>COUNTIFS(questions[qno],stableR[[#This Row],[qno]],questions[year_of_survey],2025,questions[origin],"Rwanda")&gt;0</f>
        <v>1</v>
      </c>
      <c r="AP72" s="16" t="b">
        <f>COUNTIFS(questions[qno],stableR[[#This Row],[qno]],questions[year_of_survey],2026,questions[origin],"Burundi")&gt;0</f>
        <v>1</v>
      </c>
      <c r="AQ72" s="16" t="b">
        <f>COUNTIFS(questions[qno],stableR[[#This Row],[qno]],questions[year_of_survey],"",questions[origin],"Indonesia")&gt;0</f>
        <v>1</v>
      </c>
      <c r="AR72" s="16" t="b">
        <f>COUNTIFS(questions[qno],stableR[[#This Row],[qno]],questions[year_of_survey],2025,questions[origin],"Vietnam")&gt;0</f>
        <v>1</v>
      </c>
      <c r="AS72" s="16" t="b">
        <v>1</v>
      </c>
      <c r="AT72" s="16" t="b">
        <v>1</v>
      </c>
    </row>
    <row r="73" spans="1:46" s="92" customFormat="1" x14ac:dyDescent="0.25">
      <c r="A73" s="15" t="str">
        <f>_xlfn.CONCAT(stableR[[#This Row],[group_0_no]:[order_no]])</f>
        <v>5001</v>
      </c>
      <c r="B73" s="15" t="s">
        <v>162</v>
      </c>
      <c r="C73" s="213" t="s">
        <v>1103</v>
      </c>
      <c r="D73" s="213" t="s">
        <v>1094</v>
      </c>
      <c r="E73" s="213" t="s">
        <v>1094</v>
      </c>
      <c r="F73" s="213" t="s">
        <v>1093</v>
      </c>
      <c r="G73" s="9" t="s">
        <v>1174</v>
      </c>
      <c r="H73" s="9" t="b">
        <v>1</v>
      </c>
      <c r="I73" s="9" t="b">
        <v>1</v>
      </c>
      <c r="J73" s="9" t="b">
        <v>0</v>
      </c>
      <c r="K73" s="9" t="b">
        <v>0</v>
      </c>
      <c r="L73" s="9" t="b">
        <v>0</v>
      </c>
      <c r="M73" s="9" t="b">
        <v>0</v>
      </c>
      <c r="N73" s="9" t="b">
        <v>0</v>
      </c>
      <c r="O73" s="9" t="b">
        <v>1</v>
      </c>
      <c r="P73" s="9" t="b">
        <v>0</v>
      </c>
      <c r="Q73" s="9" t="b">
        <v>0</v>
      </c>
      <c r="R73" s="9" t="b">
        <v>1</v>
      </c>
      <c r="S73" s="16">
        <f>COUNTIFS(stableR[q_group],stableR[[#This Row],[q_group]])</f>
        <v>1</v>
      </c>
      <c r="T73" s="9" t="b">
        <v>0</v>
      </c>
      <c r="U73" s="9" t="b">
        <v>1</v>
      </c>
      <c r="V73" s="9" t="b">
        <v>1</v>
      </c>
      <c r="W73" s="9" t="b">
        <v>0</v>
      </c>
      <c r="X73" s="9" t="str">
        <f>_xlfn.TEXTJOIN(", ",TRUE,stableR[[#This Row],[ans_opt_1]:[ans_opt_14]])</f>
        <v/>
      </c>
      <c r="Y73" s="9"/>
      <c r="Z73" s="9"/>
      <c r="AA73" s="9"/>
      <c r="AB73" s="9"/>
      <c r="AC73" s="9"/>
      <c r="AD73" s="9"/>
      <c r="AE73" s="9"/>
      <c r="AF73" s="9"/>
      <c r="AG73" s="9"/>
      <c r="AH73" s="9"/>
      <c r="AI73" s="9"/>
      <c r="AJ73" s="9"/>
      <c r="AK73" s="9"/>
      <c r="AL73" s="9"/>
      <c r="AM73" s="16" t="b">
        <v>1</v>
      </c>
      <c r="AN73" s="16" t="b">
        <f>COUNTIFS(questions[qno],stableR[[#This Row],[qno]],questions[year_of_survey],2025,questions[origin],"Kenya")&gt;0</f>
        <v>1</v>
      </c>
      <c r="AO73" s="16" t="b">
        <f>COUNTIFS(questions[qno],stableR[[#This Row],[qno]],questions[year_of_survey],2025,questions[origin],"Rwanda")&gt;0</f>
        <v>1</v>
      </c>
      <c r="AP73" s="16" t="b">
        <f>COUNTIFS(questions[qno],stableR[[#This Row],[qno]],questions[year_of_survey],2026,questions[origin],"Burundi")&gt;0</f>
        <v>1</v>
      </c>
      <c r="AQ73" s="16" t="b">
        <f>COUNTIFS(questions[qno],stableR[[#This Row],[qno]],questions[year_of_survey],"",questions[origin],"Indonesia")&gt;0</f>
        <v>1</v>
      </c>
      <c r="AR73" s="16" t="b">
        <f>COUNTIFS(questions[qno],stableR[[#This Row],[qno]],questions[year_of_survey],2025,questions[origin],"Vietnam")&gt;0</f>
        <v>1</v>
      </c>
      <c r="AS73" s="16" t="b">
        <v>1</v>
      </c>
      <c r="AT73" s="16" t="b">
        <v>1</v>
      </c>
    </row>
    <row r="74" spans="1:46" x14ac:dyDescent="0.25">
      <c r="A74" s="228" t="str">
        <f>_xlfn.CONCAT(stableR[[#This Row],[group_0_no]:[order_no]])</f>
        <v>5100</v>
      </c>
      <c r="B74" s="233" t="s">
        <v>1388</v>
      </c>
      <c r="C74" s="229" t="s">
        <v>1103</v>
      </c>
      <c r="D74" s="229" t="s">
        <v>1093</v>
      </c>
      <c r="E74" s="229" t="s">
        <v>1094</v>
      </c>
      <c r="F74" s="229" t="s">
        <v>1094</v>
      </c>
      <c r="G74" s="230" t="s">
        <v>1176</v>
      </c>
      <c r="H74" s="230" t="b">
        <v>1</v>
      </c>
      <c r="I74" s="230" t="b">
        <v>0</v>
      </c>
      <c r="J74" s="230" t="b">
        <v>1</v>
      </c>
      <c r="K74" s="230" t="b">
        <v>0</v>
      </c>
      <c r="L74" s="230" t="b">
        <v>0</v>
      </c>
      <c r="M74" s="230" t="b">
        <v>0</v>
      </c>
      <c r="N74" s="230" t="b">
        <v>0</v>
      </c>
      <c r="O74" s="230" t="b">
        <v>0</v>
      </c>
      <c r="P74" s="230" t="b">
        <v>1</v>
      </c>
      <c r="Q74" s="230" t="b">
        <v>0</v>
      </c>
      <c r="R74" s="230" t="b">
        <v>1</v>
      </c>
      <c r="S74" s="231">
        <f>COUNTIFS(stableR[q_group],stableR[[#This Row],[q_group]])</f>
        <v>1</v>
      </c>
      <c r="T74" s="230" t="b">
        <v>0</v>
      </c>
      <c r="U74" s="230" t="b">
        <v>1</v>
      </c>
      <c r="V74" s="230" t="b">
        <v>1</v>
      </c>
      <c r="W74" s="230" t="b">
        <v>0</v>
      </c>
      <c r="X74" s="230" t="str">
        <f>_xlfn.TEXTJOIN(", ",TRUE,stableR[[#This Row],[ans_opt_1]:[ans_opt_14]])</f>
        <v/>
      </c>
      <c r="Y74" s="230"/>
      <c r="Z74" s="230"/>
      <c r="AA74" s="230"/>
      <c r="AB74" s="230"/>
      <c r="AC74" s="230"/>
      <c r="AD74" s="230"/>
      <c r="AE74" s="230"/>
      <c r="AF74" s="230"/>
      <c r="AG74" s="230"/>
      <c r="AH74" s="230"/>
      <c r="AI74" s="230"/>
      <c r="AJ74" s="230"/>
      <c r="AK74" s="230"/>
      <c r="AL74" s="230"/>
      <c r="AM74" s="231" t="b">
        <v>1</v>
      </c>
      <c r="AN74" s="231" t="b">
        <f>COUNTIFS(questions[qno],stableR[[#This Row],[qno]],questions[year_of_survey],2025,questions[origin],"Kenya")&gt;0</f>
        <v>1</v>
      </c>
      <c r="AO74" s="231" t="b">
        <f>COUNTIFS(questions[qno],stableR[[#This Row],[qno]],questions[year_of_survey],2025,questions[origin],"Rwanda")&gt;0</f>
        <v>1</v>
      </c>
      <c r="AP74" s="231" t="b">
        <f>COUNTIFS(questions[qno],stableR[[#This Row],[qno]],questions[year_of_survey],2026,questions[origin],"Burundi")&gt;0</f>
        <v>1</v>
      </c>
      <c r="AQ74" s="231" t="b">
        <f>COUNTIFS(questions[qno],stableR[[#This Row],[qno]],questions[year_of_survey],"",questions[origin],"Indonesia")&gt;0</f>
        <v>1</v>
      </c>
      <c r="AR74" s="231" t="b">
        <f>COUNTIFS(questions[qno],stableR[[#This Row],[qno]],questions[year_of_survey],2025,questions[origin],"Vietnam")&gt;0</f>
        <v>1</v>
      </c>
      <c r="AS74" s="231" t="b">
        <v>1</v>
      </c>
      <c r="AT74" s="231" t="b">
        <v>1</v>
      </c>
    </row>
    <row r="75" spans="1:46" x14ac:dyDescent="0.25">
      <c r="A75" s="15" t="str">
        <f>_xlfn.CONCAT(stableR[[#This Row],[group_0_no]:[order_no]])</f>
        <v>5101</v>
      </c>
      <c r="B75" s="18" t="s">
        <v>1389</v>
      </c>
      <c r="C75" s="213" t="s">
        <v>1103</v>
      </c>
      <c r="D75" s="213" t="s">
        <v>1093</v>
      </c>
      <c r="E75" s="213" t="s">
        <v>1094</v>
      </c>
      <c r="F75" s="213" t="s">
        <v>1093</v>
      </c>
      <c r="G75" s="9" t="s">
        <v>1177</v>
      </c>
      <c r="H75" s="9" t="b">
        <v>1</v>
      </c>
      <c r="I75" s="9" t="b">
        <v>0</v>
      </c>
      <c r="J75" s="9" t="b">
        <v>1</v>
      </c>
      <c r="K75" s="9" t="b">
        <v>0</v>
      </c>
      <c r="L75" s="9" t="b">
        <v>0</v>
      </c>
      <c r="M75" s="9" t="b">
        <v>0</v>
      </c>
      <c r="N75" s="9" t="b">
        <v>0</v>
      </c>
      <c r="O75" s="9" t="b">
        <v>1</v>
      </c>
      <c r="P75" s="9" t="b">
        <v>0</v>
      </c>
      <c r="Q75" s="9" t="b">
        <v>0</v>
      </c>
      <c r="R75" s="9" t="b">
        <v>1</v>
      </c>
      <c r="S75" s="16">
        <f>COUNTIFS(stableR[q_group],stableR[[#This Row],[q_group]])</f>
        <v>1</v>
      </c>
      <c r="T75" s="9" t="b">
        <v>0</v>
      </c>
      <c r="U75" s="9" t="b">
        <v>1</v>
      </c>
      <c r="V75" s="9" t="b">
        <v>1</v>
      </c>
      <c r="W75" s="9" t="b">
        <v>0</v>
      </c>
      <c r="X75" s="9" t="str">
        <f>_xlfn.TEXTJOIN(", ",TRUE,stableR[[#This Row],[ans_opt_1]:[ans_opt_14]])</f>
        <v/>
      </c>
      <c r="AM75" s="16" t="b">
        <v>1</v>
      </c>
      <c r="AN75" s="16" t="b">
        <f>COUNTIFS(questions[qno],stableR[[#This Row],[qno]],questions[year_of_survey],2025,questions[origin],"Kenya")&gt;0</f>
        <v>1</v>
      </c>
      <c r="AO75" s="16" t="b">
        <f>COUNTIFS(questions[qno],stableR[[#This Row],[qno]],questions[year_of_survey],2025,questions[origin],"Rwanda")&gt;0</f>
        <v>1</v>
      </c>
      <c r="AP75" s="16" t="b">
        <f>COUNTIFS(questions[qno],stableR[[#This Row],[qno]],questions[year_of_survey],2026,questions[origin],"Burundi")&gt;0</f>
        <v>1</v>
      </c>
      <c r="AQ75" s="16" t="b">
        <f>COUNTIFS(questions[qno],stableR[[#This Row],[qno]],questions[year_of_survey],"",questions[origin],"Indonesia")&gt;0</f>
        <v>1</v>
      </c>
      <c r="AR75" s="16" t="b">
        <f>COUNTIFS(questions[qno],stableR[[#This Row],[qno]],questions[year_of_survey],2025,questions[origin],"Vietnam")&gt;0</f>
        <v>1</v>
      </c>
      <c r="AS75" s="16" t="b">
        <v>1</v>
      </c>
      <c r="AT75" s="16" t="b">
        <v>1</v>
      </c>
    </row>
    <row r="76" spans="1:46" s="230" customFormat="1" x14ac:dyDescent="0.25">
      <c r="A76" s="92" t="str">
        <f>_xlfn.CONCAT(stableR[[#This Row],[group_0_no]:[order_no]])</f>
        <v>5102</v>
      </c>
      <c r="B76" s="92" t="s">
        <v>561</v>
      </c>
      <c r="C76" s="209" t="s">
        <v>1103</v>
      </c>
      <c r="D76" s="209" t="s">
        <v>1093</v>
      </c>
      <c r="E76" s="209" t="s">
        <v>1094</v>
      </c>
      <c r="F76" s="209" t="s">
        <v>1097</v>
      </c>
      <c r="G76" s="93" t="s">
        <v>1178</v>
      </c>
      <c r="H76" s="93" t="b">
        <v>0</v>
      </c>
      <c r="I76" s="93" t="b">
        <v>0</v>
      </c>
      <c r="J76" s="93" t="b">
        <v>1</v>
      </c>
      <c r="K76" s="93" t="b">
        <v>0</v>
      </c>
      <c r="L76" s="93" t="b">
        <v>0</v>
      </c>
      <c r="M76" s="93" t="b">
        <v>0</v>
      </c>
      <c r="N76" s="93" t="b">
        <v>0</v>
      </c>
      <c r="O76" s="93" t="b">
        <v>0</v>
      </c>
      <c r="P76" s="93" t="b">
        <v>1</v>
      </c>
      <c r="Q76" s="93" t="b">
        <v>0</v>
      </c>
      <c r="R76" s="93" t="b">
        <v>1</v>
      </c>
      <c r="S76" s="94">
        <f>COUNTIFS(stable[q_group],stable[[#This Row],[q_group]])</f>
        <v>1</v>
      </c>
      <c r="T76" s="93" t="b">
        <v>0</v>
      </c>
      <c r="U76" s="93" t="b">
        <v>1</v>
      </c>
      <c r="V76" s="93" t="b">
        <v>1</v>
      </c>
      <c r="W76" s="93" t="b">
        <v>0</v>
      </c>
      <c r="X76" s="93" t="str">
        <f>_xlfn.TEXTJOIN(", ",TRUE,stableR[[#This Row],[ans_opt_1]:[ans_opt_14]])</f>
        <v/>
      </c>
      <c r="Y76" s="93"/>
      <c r="Z76" s="93"/>
      <c r="AA76" s="93"/>
      <c r="AB76" s="93"/>
      <c r="AC76" s="93"/>
      <c r="AD76" s="93"/>
      <c r="AE76" s="93"/>
      <c r="AF76" s="93"/>
      <c r="AG76" s="93"/>
      <c r="AH76" s="93"/>
      <c r="AI76" s="93"/>
      <c r="AJ76" s="93"/>
      <c r="AK76" s="93"/>
      <c r="AL76" s="93"/>
      <c r="AM76" s="209" t="b">
        <v>0</v>
      </c>
      <c r="AN76" s="209" t="b">
        <v>0</v>
      </c>
      <c r="AO76" s="209" t="b">
        <v>0</v>
      </c>
      <c r="AP76" s="209" t="b">
        <v>0</v>
      </c>
      <c r="AQ76" s="209" t="b">
        <v>0</v>
      </c>
      <c r="AR76" s="209" t="b">
        <v>0</v>
      </c>
      <c r="AS76" s="209" t="b">
        <v>0</v>
      </c>
      <c r="AT76" s="209" t="b">
        <v>0</v>
      </c>
    </row>
    <row r="77" spans="1:46" x14ac:dyDescent="0.25">
      <c r="A77" s="228" t="str">
        <f>_xlfn.CONCAT(stableR[[#This Row],[group_0_no]:[order_no]])</f>
        <v>5110</v>
      </c>
      <c r="B77" s="234" t="s">
        <v>1390</v>
      </c>
      <c r="C77" s="229" t="s">
        <v>1103</v>
      </c>
      <c r="D77" s="229" t="s">
        <v>1093</v>
      </c>
      <c r="E77" s="229" t="s">
        <v>1093</v>
      </c>
      <c r="F77" s="229" t="s">
        <v>1094</v>
      </c>
      <c r="G77" s="230" t="s">
        <v>1180</v>
      </c>
      <c r="H77" s="230" t="b">
        <v>1</v>
      </c>
      <c r="I77" s="230" t="b">
        <v>0</v>
      </c>
      <c r="J77" s="230" t="b">
        <v>1</v>
      </c>
      <c r="K77" s="230" t="b">
        <v>0</v>
      </c>
      <c r="L77" s="230" t="b">
        <v>0</v>
      </c>
      <c r="M77" s="230" t="b">
        <v>0</v>
      </c>
      <c r="N77" s="230" t="b">
        <v>0</v>
      </c>
      <c r="O77" s="230" t="b">
        <v>0</v>
      </c>
      <c r="P77" s="230" t="b">
        <v>1</v>
      </c>
      <c r="Q77" s="230" t="b">
        <v>0</v>
      </c>
      <c r="R77" s="230" t="b">
        <v>1</v>
      </c>
      <c r="S77" s="231">
        <f>COUNTIFS(stableR[q_group],stableR[[#This Row],[q_group]])</f>
        <v>1</v>
      </c>
      <c r="T77" s="230" t="b">
        <v>0</v>
      </c>
      <c r="U77" s="230" t="b">
        <v>1</v>
      </c>
      <c r="V77" s="230" t="b">
        <v>1</v>
      </c>
      <c r="W77" s="230" t="b">
        <v>0</v>
      </c>
      <c r="X77" s="230" t="str">
        <f>_xlfn.TEXTJOIN(", ",TRUE,stableR[[#This Row],[ans_opt_1]:[ans_opt_14]])</f>
        <v/>
      </c>
      <c r="Y77" s="230"/>
      <c r="Z77" s="230"/>
      <c r="AA77" s="230"/>
      <c r="AB77" s="230"/>
      <c r="AC77" s="230"/>
      <c r="AD77" s="230"/>
      <c r="AE77" s="230"/>
      <c r="AF77" s="230"/>
      <c r="AG77" s="230"/>
      <c r="AH77" s="230"/>
      <c r="AI77" s="230"/>
      <c r="AJ77" s="230"/>
      <c r="AK77" s="230"/>
      <c r="AL77" s="230"/>
      <c r="AM77" s="231" t="b">
        <v>1</v>
      </c>
      <c r="AN77" s="231" t="b">
        <f>COUNTIFS(questions[qno],stableR[[#This Row],[qno]],questions[year_of_survey],2025,questions[origin],"Kenya")&gt;0</f>
        <v>1</v>
      </c>
      <c r="AO77" s="231" t="b">
        <f>COUNTIFS(questions[qno],stableR[[#This Row],[qno]],questions[year_of_survey],2025,questions[origin],"Rwanda")&gt;0</f>
        <v>1</v>
      </c>
      <c r="AP77" s="231" t="b">
        <f>COUNTIFS(questions[qno],stableR[[#This Row],[qno]],questions[year_of_survey],2026,questions[origin],"Burundi")&gt;0</f>
        <v>1</v>
      </c>
      <c r="AQ77" s="231" t="b">
        <f>COUNTIFS(questions[qno],stableR[[#This Row],[qno]],questions[year_of_survey],"",questions[origin],"Indonesia")&gt;0</f>
        <v>1</v>
      </c>
      <c r="AR77" s="231" t="b">
        <f>COUNTIFS(questions[qno],stableR[[#This Row],[qno]],questions[year_of_survey],2025,questions[origin],"Vietnam")&gt;0</f>
        <v>1</v>
      </c>
      <c r="AS77" s="231" t="b">
        <v>1</v>
      </c>
      <c r="AT77" s="231" t="b">
        <v>1</v>
      </c>
    </row>
    <row r="78" spans="1:46" s="210" customFormat="1" x14ac:dyDescent="0.25">
      <c r="A78" s="15" t="str">
        <f>_xlfn.CONCAT(stableR[[#This Row],[group_0_no]:[order_no]])</f>
        <v>5111</v>
      </c>
      <c r="B78" s="18" t="s">
        <v>1391</v>
      </c>
      <c r="C78" s="213" t="s">
        <v>1103</v>
      </c>
      <c r="D78" s="213" t="s">
        <v>1093</v>
      </c>
      <c r="E78" s="213" t="s">
        <v>1093</v>
      </c>
      <c r="F78" s="213" t="s">
        <v>1093</v>
      </c>
      <c r="G78" s="9" t="s">
        <v>1181</v>
      </c>
      <c r="H78" s="9" t="b">
        <v>1</v>
      </c>
      <c r="I78" s="9" t="b">
        <v>0</v>
      </c>
      <c r="J78" s="9" t="b">
        <v>1</v>
      </c>
      <c r="K78" s="9" t="b">
        <v>0</v>
      </c>
      <c r="L78" s="9" t="b">
        <v>0</v>
      </c>
      <c r="M78" s="9" t="b">
        <v>0</v>
      </c>
      <c r="N78" s="9" t="b">
        <v>0</v>
      </c>
      <c r="O78" s="9" t="b">
        <v>1</v>
      </c>
      <c r="P78" s="9" t="b">
        <v>0</v>
      </c>
      <c r="Q78" s="9" t="b">
        <v>0</v>
      </c>
      <c r="R78" s="9" t="b">
        <v>1</v>
      </c>
      <c r="S78" s="16">
        <f>COUNTIFS(stableR[q_group],stableR[[#This Row],[q_group]])</f>
        <v>1</v>
      </c>
      <c r="T78" s="9" t="b">
        <v>0</v>
      </c>
      <c r="U78" s="9" t="b">
        <v>1</v>
      </c>
      <c r="V78" s="9" t="b">
        <v>1</v>
      </c>
      <c r="W78" s="9" t="b">
        <v>0</v>
      </c>
      <c r="X78" s="9" t="str">
        <f>_xlfn.TEXTJOIN(", ",TRUE,stableR[[#This Row],[ans_opt_1]:[ans_opt_14]])</f>
        <v/>
      </c>
      <c r="Y78" s="9"/>
      <c r="Z78" s="9"/>
      <c r="AA78" s="9"/>
      <c r="AB78" s="9"/>
      <c r="AC78" s="9"/>
      <c r="AD78" s="9"/>
      <c r="AE78" s="9"/>
      <c r="AF78" s="9"/>
      <c r="AG78" s="9"/>
      <c r="AH78" s="9"/>
      <c r="AI78" s="9"/>
      <c r="AJ78" s="9"/>
      <c r="AK78" s="9"/>
      <c r="AL78" s="9"/>
      <c r="AM78" s="16" t="b">
        <v>1</v>
      </c>
      <c r="AN78" s="16" t="b">
        <f>COUNTIFS(questions[qno],stableR[[#This Row],[qno]],questions[year_of_survey],2025,questions[origin],"Kenya")&gt;0</f>
        <v>1</v>
      </c>
      <c r="AO78" s="16" t="b">
        <f>COUNTIFS(questions[qno],stableR[[#This Row],[qno]],questions[year_of_survey],2025,questions[origin],"Rwanda")&gt;0</f>
        <v>1</v>
      </c>
      <c r="AP78" s="16" t="b">
        <f>COUNTIFS(questions[qno],stableR[[#This Row],[qno]],questions[year_of_survey],2026,questions[origin],"Burundi")&gt;0</f>
        <v>1</v>
      </c>
      <c r="AQ78" s="16" t="b">
        <f>COUNTIFS(questions[qno],stableR[[#This Row],[qno]],questions[year_of_survey],"",questions[origin],"Indonesia")&gt;0</f>
        <v>1</v>
      </c>
      <c r="AR78" s="16" t="b">
        <f>COUNTIFS(questions[qno],stableR[[#This Row],[qno]],questions[year_of_survey],2025,questions[origin],"Vietnam")&gt;0</f>
        <v>1</v>
      </c>
      <c r="AS78" s="16" t="b">
        <v>1</v>
      </c>
      <c r="AT78" s="16" t="b">
        <v>1</v>
      </c>
    </row>
    <row r="79" spans="1:46" x14ac:dyDescent="0.25">
      <c r="A79" s="92" t="str">
        <f>_xlfn.CONCAT(stableR[[#This Row],[group_0_no]:[order_no]])</f>
        <v>5112</v>
      </c>
      <c r="B79" s="92" t="s">
        <v>568</v>
      </c>
      <c r="C79" s="209" t="s">
        <v>1103</v>
      </c>
      <c r="D79" s="209" t="s">
        <v>1093</v>
      </c>
      <c r="E79" s="209" t="s">
        <v>1093</v>
      </c>
      <c r="F79" s="209" t="s">
        <v>1097</v>
      </c>
      <c r="G79" s="93" t="s">
        <v>1182</v>
      </c>
      <c r="H79" s="93" t="b">
        <v>0</v>
      </c>
      <c r="I79" s="93" t="b">
        <v>0</v>
      </c>
      <c r="J79" s="93" t="b">
        <v>1</v>
      </c>
      <c r="K79" s="93" t="b">
        <v>0</v>
      </c>
      <c r="L79" s="93" t="b">
        <v>0</v>
      </c>
      <c r="M79" s="93" t="b">
        <v>0</v>
      </c>
      <c r="N79" s="93" t="b">
        <v>0</v>
      </c>
      <c r="O79" s="93" t="b">
        <v>0</v>
      </c>
      <c r="P79" s="93" t="b">
        <v>1</v>
      </c>
      <c r="Q79" s="93" t="b">
        <v>0</v>
      </c>
      <c r="R79" s="93" t="b">
        <v>1</v>
      </c>
      <c r="S79" s="94">
        <f>COUNTIFS(stable[q_group],stable[[#This Row],[q_group]])</f>
        <v>1</v>
      </c>
      <c r="T79" s="93" t="b">
        <v>0</v>
      </c>
      <c r="U79" s="93" t="b">
        <v>1</v>
      </c>
      <c r="V79" s="93" t="b">
        <v>1</v>
      </c>
      <c r="W79" s="93" t="b">
        <v>0</v>
      </c>
      <c r="X79" s="93" t="str">
        <f>_xlfn.TEXTJOIN(", ",TRUE,stableR[[#This Row],[ans_opt_1]:[ans_opt_14]])</f>
        <v/>
      </c>
      <c r="Y79" s="93"/>
      <c r="Z79" s="93"/>
      <c r="AA79" s="93"/>
      <c r="AB79" s="93"/>
      <c r="AC79" s="93"/>
      <c r="AD79" s="93"/>
      <c r="AE79" s="93"/>
      <c r="AF79" s="93"/>
      <c r="AG79" s="93"/>
      <c r="AH79" s="93"/>
      <c r="AI79" s="93"/>
      <c r="AJ79" s="93"/>
      <c r="AK79" s="93"/>
      <c r="AL79" s="93"/>
      <c r="AM79" s="209" t="b">
        <v>0</v>
      </c>
      <c r="AN79" s="209" t="b">
        <v>0</v>
      </c>
      <c r="AO79" s="209" t="b">
        <v>0</v>
      </c>
      <c r="AP79" s="209" t="b">
        <v>0</v>
      </c>
      <c r="AQ79" s="209" t="b">
        <v>0</v>
      </c>
      <c r="AR79" s="209" t="b">
        <v>0</v>
      </c>
      <c r="AS79" s="209" t="b">
        <v>0</v>
      </c>
      <c r="AT79" s="209" t="b">
        <v>0</v>
      </c>
    </row>
    <row r="80" spans="1:46" s="230" customFormat="1" x14ac:dyDescent="0.25">
      <c r="A80" s="228" t="str">
        <f>_xlfn.CONCAT(stableR[[#This Row],[group_0_no]:[order_no]])</f>
        <v>5120</v>
      </c>
      <c r="B80" s="234" t="s">
        <v>1392</v>
      </c>
      <c r="C80" s="229" t="s">
        <v>1103</v>
      </c>
      <c r="D80" s="229" t="s">
        <v>1093</v>
      </c>
      <c r="E80" s="229">
        <v>2</v>
      </c>
      <c r="F80" s="229" t="s">
        <v>1094</v>
      </c>
      <c r="G80" s="230" t="s">
        <v>1183</v>
      </c>
      <c r="H80" s="230" t="b">
        <v>1</v>
      </c>
      <c r="I80" s="230" t="b">
        <v>0</v>
      </c>
      <c r="J80" s="230" t="b">
        <v>1</v>
      </c>
      <c r="K80" s="230" t="b">
        <v>1</v>
      </c>
      <c r="L80" s="230" t="b">
        <v>0</v>
      </c>
      <c r="M80" s="230" t="b">
        <v>0</v>
      </c>
      <c r="N80" s="230" t="b">
        <v>1</v>
      </c>
      <c r="O80" s="230" t="b">
        <v>0</v>
      </c>
      <c r="P80" s="230" t="b">
        <v>0</v>
      </c>
      <c r="Q80" s="230" t="b">
        <v>0</v>
      </c>
      <c r="R80" s="230" t="b">
        <v>1</v>
      </c>
      <c r="S80" s="231">
        <f>COUNTIFS(stableR[q_group],stableR[[#This Row],[q_group]])</f>
        <v>1</v>
      </c>
      <c r="T80" s="230" t="b">
        <v>0</v>
      </c>
      <c r="U80" s="230" t="b">
        <v>1</v>
      </c>
      <c r="V80" s="230" t="b">
        <v>1</v>
      </c>
      <c r="W80" s="230" t="b">
        <v>0</v>
      </c>
      <c r="X80" s="230" t="str">
        <f>_xlfn.TEXTJOIN(", ",TRUE,stableR[[#This Row],[ans_opt_1]:[ans_opt_14]])</f>
        <v/>
      </c>
      <c r="AM80" s="231" t="b">
        <v>0</v>
      </c>
      <c r="AN80" s="231" t="b">
        <f>COUNTIFS(questions[qno],stableR[[#This Row],[qno]],questions[year_of_survey],2025,questions[origin],"Kenya")&gt;0</f>
        <v>1</v>
      </c>
      <c r="AO80" s="231" t="b">
        <f>COUNTIFS(questions[qno],stableR[[#This Row],[qno]],questions[year_of_survey],2025,questions[origin],"Rwanda")&gt;0</f>
        <v>1</v>
      </c>
      <c r="AP80" s="231" t="b">
        <f>COUNTIFS(questions[qno],stableR[[#This Row],[qno]],questions[year_of_survey],2026,questions[origin],"Burundi")&gt;0</f>
        <v>1</v>
      </c>
      <c r="AQ80" s="231" t="b">
        <f>COUNTIFS(questions[qno],stableR[[#This Row],[qno]],questions[year_of_survey],"",questions[origin],"Indonesia")&gt;0</f>
        <v>0</v>
      </c>
      <c r="AR80" s="231" t="b">
        <f>COUNTIFS(questions[qno],stableR[[#This Row],[qno]],questions[year_of_survey],2025,questions[origin],"Vietnam")&gt;0</f>
        <v>1</v>
      </c>
      <c r="AS80" s="231" t="b">
        <v>1</v>
      </c>
      <c r="AT80" s="231" t="b">
        <v>1</v>
      </c>
    </row>
    <row r="81" spans="1:46" x14ac:dyDescent="0.25">
      <c r="A81" s="15" t="str">
        <f>_xlfn.CONCAT(stableR[[#This Row],[group_0_no]:[order_no]])</f>
        <v>5121</v>
      </c>
      <c r="B81" s="18" t="s">
        <v>1393</v>
      </c>
      <c r="C81" s="213" t="s">
        <v>1103</v>
      </c>
      <c r="D81" s="213" t="s">
        <v>1093</v>
      </c>
      <c r="E81" s="213">
        <v>2</v>
      </c>
      <c r="F81" s="213" t="s">
        <v>1093</v>
      </c>
      <c r="G81" s="9" t="s">
        <v>1184</v>
      </c>
      <c r="H81" s="9" t="b">
        <v>1</v>
      </c>
      <c r="I81" s="9" t="b">
        <v>0</v>
      </c>
      <c r="J81" s="9" t="b">
        <v>1</v>
      </c>
      <c r="K81" s="9" t="b">
        <v>1</v>
      </c>
      <c r="L81" s="9" t="b">
        <v>0</v>
      </c>
      <c r="M81" s="9" t="b">
        <v>0</v>
      </c>
      <c r="N81" s="9" t="b">
        <v>0</v>
      </c>
      <c r="O81" s="9" t="b">
        <v>1</v>
      </c>
      <c r="P81" s="9" t="b">
        <v>0</v>
      </c>
      <c r="Q81" s="9" t="b">
        <v>0</v>
      </c>
      <c r="R81" s="9" t="b">
        <v>1</v>
      </c>
      <c r="S81" s="16">
        <f>COUNTIFS(stableR[q_group],stableR[[#This Row],[q_group]])</f>
        <v>1</v>
      </c>
      <c r="T81" s="9" t="b">
        <v>0</v>
      </c>
      <c r="U81" s="9" t="b">
        <v>1</v>
      </c>
      <c r="V81" s="9" t="b">
        <v>1</v>
      </c>
      <c r="W81" s="9" t="b">
        <v>0</v>
      </c>
      <c r="X81" s="9" t="str">
        <f>_xlfn.TEXTJOIN(", ",TRUE,stableR[[#This Row],[ans_opt_1]:[ans_opt_14]])</f>
        <v/>
      </c>
      <c r="AM81" s="16" t="b">
        <v>0</v>
      </c>
      <c r="AN81" s="16" t="b">
        <f>COUNTIFS(questions[qno],stableR[[#This Row],[qno]],questions[year_of_survey],2025,questions[origin],"Kenya")&gt;0</f>
        <v>1</v>
      </c>
      <c r="AO81" s="16" t="b">
        <f>COUNTIFS(questions[qno],stableR[[#This Row],[qno]],questions[year_of_survey],2025,questions[origin],"Rwanda")&gt;0</f>
        <v>1</v>
      </c>
      <c r="AP81" s="16" t="b">
        <f>COUNTIFS(questions[qno],stableR[[#This Row],[qno]],questions[year_of_survey],2026,questions[origin],"Burundi")&gt;0</f>
        <v>1</v>
      </c>
      <c r="AQ81" s="16" t="b">
        <f>COUNTIFS(questions[qno],stableR[[#This Row],[qno]],questions[year_of_survey],"",questions[origin],"Indonesia")&gt;0</f>
        <v>1</v>
      </c>
      <c r="AR81" s="16" t="b">
        <f>COUNTIFS(questions[qno],stableR[[#This Row],[qno]],questions[year_of_survey],2025,questions[origin],"Vietnam")&gt;0</f>
        <v>1</v>
      </c>
      <c r="AS81" s="16" t="b">
        <v>1</v>
      </c>
      <c r="AT81" s="16" t="b">
        <v>1</v>
      </c>
    </row>
    <row r="82" spans="1:46" s="230" customFormat="1" x14ac:dyDescent="0.25">
      <c r="A82" s="92" t="str">
        <f>_xlfn.CONCAT(stableR[[#This Row],[group_0_no]:[order_no]])</f>
        <v>5122</v>
      </c>
      <c r="B82" s="92" t="s">
        <v>1185</v>
      </c>
      <c r="C82" s="209" t="s">
        <v>1103</v>
      </c>
      <c r="D82" s="209" t="s">
        <v>1093</v>
      </c>
      <c r="E82" s="209">
        <v>2</v>
      </c>
      <c r="F82" s="209" t="s">
        <v>1097</v>
      </c>
      <c r="G82" s="93" t="s">
        <v>1186</v>
      </c>
      <c r="H82" s="93" t="b">
        <v>0</v>
      </c>
      <c r="I82" s="93" t="b">
        <v>0</v>
      </c>
      <c r="J82" s="93" t="b">
        <v>1</v>
      </c>
      <c r="K82" s="93" t="b">
        <v>1</v>
      </c>
      <c r="L82" s="93" t="b">
        <v>0</v>
      </c>
      <c r="M82" s="93" t="b">
        <v>0</v>
      </c>
      <c r="N82" s="93" t="b">
        <v>0</v>
      </c>
      <c r="O82" s="93" t="b">
        <v>0</v>
      </c>
      <c r="P82" s="93" t="b">
        <v>1</v>
      </c>
      <c r="Q82" s="93" t="b">
        <v>0</v>
      </c>
      <c r="R82" s="93" t="b">
        <v>1</v>
      </c>
      <c r="S82" s="94">
        <f>COUNTIFS(stable[q_group],stable[[#This Row],[q_group]])</f>
        <v>1</v>
      </c>
      <c r="T82" s="93" t="b">
        <v>0</v>
      </c>
      <c r="U82" s="93" t="b">
        <v>1</v>
      </c>
      <c r="V82" s="93" t="b">
        <v>1</v>
      </c>
      <c r="W82" s="93" t="b">
        <v>0</v>
      </c>
      <c r="X82" s="93" t="str">
        <f>_xlfn.TEXTJOIN(", ",TRUE,stableR[[#This Row],[ans_opt_1]:[ans_opt_14]])</f>
        <v/>
      </c>
      <c r="Y82" s="93"/>
      <c r="Z82" s="93"/>
      <c r="AA82" s="93"/>
      <c r="AB82" s="93"/>
      <c r="AC82" s="93"/>
      <c r="AD82" s="93"/>
      <c r="AE82" s="93"/>
      <c r="AF82" s="93"/>
      <c r="AG82" s="93"/>
      <c r="AH82" s="93"/>
      <c r="AI82" s="93"/>
      <c r="AJ82" s="93"/>
      <c r="AK82" s="93"/>
      <c r="AL82" s="93"/>
      <c r="AM82" s="209" t="b">
        <v>0</v>
      </c>
      <c r="AN82" s="209" t="b">
        <v>0</v>
      </c>
      <c r="AO82" s="209" t="b">
        <v>0</v>
      </c>
      <c r="AP82" s="209" t="b">
        <v>0</v>
      </c>
      <c r="AQ82" s="209" t="b">
        <v>0</v>
      </c>
      <c r="AR82" s="209" t="b">
        <v>0</v>
      </c>
      <c r="AS82" s="209" t="b">
        <v>0</v>
      </c>
      <c r="AT82" s="209" t="b">
        <v>0</v>
      </c>
    </row>
    <row r="83" spans="1:46" x14ac:dyDescent="0.25">
      <c r="A83" s="228" t="str">
        <f>_xlfn.CONCAT(stableR[[#This Row],[group_0_no]:[order_no]])</f>
        <v>5130</v>
      </c>
      <c r="B83" s="234" t="s">
        <v>1394</v>
      </c>
      <c r="C83" s="229" t="s">
        <v>1103</v>
      </c>
      <c r="D83" s="229" t="s">
        <v>1093</v>
      </c>
      <c r="E83" s="229">
        <v>3</v>
      </c>
      <c r="F83" s="229" t="s">
        <v>1094</v>
      </c>
      <c r="G83" s="230" t="s">
        <v>1188</v>
      </c>
      <c r="H83" s="230" t="b">
        <v>1</v>
      </c>
      <c r="I83" s="230" t="b">
        <v>0</v>
      </c>
      <c r="J83" s="230" t="b">
        <v>1</v>
      </c>
      <c r="K83" s="230" t="b">
        <v>0</v>
      </c>
      <c r="L83" s="230" t="b">
        <v>0</v>
      </c>
      <c r="M83" s="230" t="b">
        <v>0</v>
      </c>
      <c r="N83" s="230" t="b">
        <v>1</v>
      </c>
      <c r="O83" s="230" t="b">
        <v>0</v>
      </c>
      <c r="P83" s="230" t="b">
        <v>0</v>
      </c>
      <c r="Q83" s="230" t="b">
        <v>0</v>
      </c>
      <c r="R83" s="230" t="b">
        <v>1</v>
      </c>
      <c r="S83" s="231">
        <f>COUNTIFS(stableR[q_group],stableR[[#This Row],[q_group]])</f>
        <v>1</v>
      </c>
      <c r="T83" s="230" t="b">
        <v>0</v>
      </c>
      <c r="U83" s="230" t="b">
        <v>1</v>
      </c>
      <c r="V83" s="230" t="b">
        <v>1</v>
      </c>
      <c r="W83" s="230" t="b">
        <v>0</v>
      </c>
      <c r="X83" s="230" t="str">
        <f>_xlfn.TEXTJOIN(", ",TRUE,stableR[[#This Row],[ans_opt_1]:[ans_opt_14]])</f>
        <v/>
      </c>
      <c r="Y83" s="230"/>
      <c r="Z83" s="230"/>
      <c r="AA83" s="230"/>
      <c r="AB83" s="230"/>
      <c r="AC83" s="230"/>
      <c r="AD83" s="230"/>
      <c r="AE83" s="230"/>
      <c r="AF83" s="230"/>
      <c r="AG83" s="230"/>
      <c r="AH83" s="230"/>
      <c r="AI83" s="230"/>
      <c r="AJ83" s="230"/>
      <c r="AK83" s="230"/>
      <c r="AL83" s="230"/>
      <c r="AM83" s="231" t="b">
        <v>0</v>
      </c>
      <c r="AN83" s="231" t="b">
        <f>COUNTIFS(questions[qno],stableR[[#This Row],[qno]],questions[year_of_survey],2025,questions[origin],"Kenya")&gt;0</f>
        <v>0</v>
      </c>
      <c r="AO83" s="231" t="b">
        <f>COUNTIFS(questions[qno],stableR[[#This Row],[qno]],questions[year_of_survey],2025,questions[origin],"Rwanda")&gt;0</f>
        <v>0</v>
      </c>
      <c r="AP83" s="231" t="b">
        <f>COUNTIFS(questions[qno],stableR[[#This Row],[qno]],questions[year_of_survey],2026,questions[origin],"Burundi")&gt;0</f>
        <v>0</v>
      </c>
      <c r="AQ83" s="231" t="b">
        <f>COUNTIFS(questions[qno],stableR[[#This Row],[qno]],questions[year_of_survey],"",questions[origin],"Indonesia")&gt;0</f>
        <v>0</v>
      </c>
      <c r="AR83" s="231" t="b">
        <f>COUNTIFS(questions[qno],stableR[[#This Row],[qno]],questions[year_of_survey],2025,questions[origin],"Vietnam")&gt;0</f>
        <v>1</v>
      </c>
      <c r="AS83" s="231" t="b">
        <v>1</v>
      </c>
      <c r="AT83" s="231" t="b">
        <v>1</v>
      </c>
    </row>
    <row r="84" spans="1:46" x14ac:dyDescent="0.25">
      <c r="A84" s="15" t="str">
        <f>_xlfn.CONCAT(stableR[[#This Row],[group_0_no]:[order_no]])</f>
        <v>5131</v>
      </c>
      <c r="B84" s="18" t="s">
        <v>1395</v>
      </c>
      <c r="C84" s="213" t="s">
        <v>1103</v>
      </c>
      <c r="D84" s="213" t="s">
        <v>1093</v>
      </c>
      <c r="E84" s="213">
        <v>3</v>
      </c>
      <c r="F84" s="213" t="s">
        <v>1093</v>
      </c>
      <c r="G84" s="9" t="s">
        <v>1189</v>
      </c>
      <c r="H84" s="9" t="b">
        <v>1</v>
      </c>
      <c r="I84" s="9" t="b">
        <v>0</v>
      </c>
      <c r="J84" s="9" t="b">
        <v>1</v>
      </c>
      <c r="K84" s="9" t="b">
        <v>0</v>
      </c>
      <c r="L84" s="9" t="b">
        <v>0</v>
      </c>
      <c r="M84" s="9" t="b">
        <v>0</v>
      </c>
      <c r="N84" s="9" t="b">
        <v>0</v>
      </c>
      <c r="O84" s="9" t="b">
        <v>1</v>
      </c>
      <c r="P84" s="9" t="b">
        <v>0</v>
      </c>
      <c r="Q84" s="9" t="b">
        <v>0</v>
      </c>
      <c r="R84" s="9" t="b">
        <v>1</v>
      </c>
      <c r="S84" s="16">
        <f>COUNTIFS(stableR[q_group],stableR[[#This Row],[q_group]])</f>
        <v>1</v>
      </c>
      <c r="T84" s="9" t="b">
        <v>0</v>
      </c>
      <c r="U84" s="9" t="b">
        <v>1</v>
      </c>
      <c r="V84" s="9" t="b">
        <v>1</v>
      </c>
      <c r="W84" s="9" t="b">
        <v>0</v>
      </c>
      <c r="X84" s="9" t="str">
        <f>_xlfn.TEXTJOIN(", ",TRUE,stableR[[#This Row],[ans_opt_1]:[ans_opt_14]])</f>
        <v/>
      </c>
      <c r="AM84" s="16" t="b">
        <v>0</v>
      </c>
      <c r="AN84" s="16" t="b">
        <f>COUNTIFS(questions[qno],stableR[[#This Row],[qno]],questions[year_of_survey],2025,questions[origin],"Kenya")&gt;0</f>
        <v>0</v>
      </c>
      <c r="AO84" s="16" t="b">
        <f>COUNTIFS(questions[qno],stableR[[#This Row],[qno]],questions[year_of_survey],2025,questions[origin],"Rwanda")&gt;0</f>
        <v>0</v>
      </c>
      <c r="AP84" s="16" t="b">
        <f>COUNTIFS(questions[qno],stableR[[#This Row],[qno]],questions[year_of_survey],2026,questions[origin],"Burundi")&gt;0</f>
        <v>0</v>
      </c>
      <c r="AQ84" s="16" t="b">
        <f>COUNTIFS(questions[qno],stableR[[#This Row],[qno]],questions[year_of_survey],"",questions[origin],"Indonesia")&gt;0</f>
        <v>0</v>
      </c>
      <c r="AR84" s="16" t="b">
        <f>COUNTIFS(questions[qno],stableR[[#This Row],[qno]],questions[year_of_survey],2025,questions[origin],"Vietnam")&gt;0</f>
        <v>1</v>
      </c>
      <c r="AS84" s="16" t="b">
        <v>1</v>
      </c>
      <c r="AT84" s="16" t="b">
        <v>1</v>
      </c>
    </row>
    <row r="85" spans="1:46" x14ac:dyDescent="0.25">
      <c r="A85" s="92" t="str">
        <f>_xlfn.CONCAT(stableR[[#This Row],[group_0_no]:[order_no]])</f>
        <v>5132</v>
      </c>
      <c r="B85" s="92" t="s">
        <v>1190</v>
      </c>
      <c r="C85" s="209" t="s">
        <v>1103</v>
      </c>
      <c r="D85" s="209" t="s">
        <v>1093</v>
      </c>
      <c r="E85" s="209">
        <v>3</v>
      </c>
      <c r="F85" s="209" t="s">
        <v>1097</v>
      </c>
      <c r="G85" s="93" t="s">
        <v>1191</v>
      </c>
      <c r="H85" s="93" t="b">
        <v>0</v>
      </c>
      <c r="I85" s="93" t="b">
        <v>0</v>
      </c>
      <c r="J85" s="93" t="b">
        <v>1</v>
      </c>
      <c r="K85" s="93" t="b">
        <v>0</v>
      </c>
      <c r="L85" s="93" t="b">
        <v>0</v>
      </c>
      <c r="M85" s="93" t="b">
        <v>0</v>
      </c>
      <c r="N85" s="93" t="b">
        <v>0</v>
      </c>
      <c r="O85" s="93" t="b">
        <v>0</v>
      </c>
      <c r="P85" s="93" t="b">
        <v>1</v>
      </c>
      <c r="Q85" s="93" t="b">
        <v>0</v>
      </c>
      <c r="R85" s="93" t="b">
        <v>1</v>
      </c>
      <c r="S85" s="94">
        <f>COUNTIFS(stable[q_group],stable[[#This Row],[q_group]])</f>
        <v>1</v>
      </c>
      <c r="T85" s="93" t="b">
        <v>0</v>
      </c>
      <c r="U85" s="93" t="b">
        <v>1</v>
      </c>
      <c r="V85" s="93" t="b">
        <v>1</v>
      </c>
      <c r="W85" s="93" t="b">
        <v>0</v>
      </c>
      <c r="X85" s="93" t="str">
        <f>_xlfn.TEXTJOIN(", ",TRUE,stableR[[#This Row],[ans_opt_1]:[ans_opt_14]])</f>
        <v/>
      </c>
      <c r="Y85" s="93"/>
      <c r="Z85" s="93"/>
      <c r="AA85" s="93"/>
      <c r="AB85" s="93"/>
      <c r="AC85" s="93"/>
      <c r="AD85" s="93"/>
      <c r="AE85" s="93"/>
      <c r="AF85" s="93"/>
      <c r="AG85" s="93"/>
      <c r="AH85" s="93"/>
      <c r="AI85" s="93"/>
      <c r="AJ85" s="93"/>
      <c r="AK85" s="93"/>
      <c r="AL85" s="93"/>
      <c r="AM85" s="94" t="b">
        <v>0</v>
      </c>
      <c r="AN85" s="94" t="b">
        <f>COUNTIFS(questions[qno],stableR[[#This Row],[qno]],questions[year_of_survey],2025,questions[origin],"Kenya")&gt;0</f>
        <v>0</v>
      </c>
      <c r="AO85" s="94" t="b">
        <f>COUNTIFS(questions[qno],stableR[[#This Row],[qno]],questions[year_of_survey],2025,questions[origin],"Rwanda")&gt;0</f>
        <v>0</v>
      </c>
      <c r="AP85" s="94" t="b">
        <f>COUNTIFS(questions[qno],stableR[[#This Row],[qno]],questions[year_of_survey],2026,questions[origin],"Burundi")&gt;0</f>
        <v>0</v>
      </c>
      <c r="AQ85" s="94" t="b">
        <f>COUNTIFS(questions[qno],stableR[[#This Row],[qno]],questions[year_of_survey],"",questions[origin],"Indonesia")&gt;0</f>
        <v>0</v>
      </c>
      <c r="AR85" s="94" t="b">
        <v>0</v>
      </c>
      <c r="AS85" s="94" t="b">
        <v>0</v>
      </c>
      <c r="AT85" s="94" t="b">
        <v>0</v>
      </c>
    </row>
    <row r="86" spans="1:46" x14ac:dyDescent="0.25">
      <c r="A86" s="21" t="str">
        <f>_xlfn.CONCAT(stableR[[#This Row],[group_0_no]:[order_no]])</f>
        <v>5140</v>
      </c>
      <c r="B86" s="242" t="s">
        <v>966</v>
      </c>
      <c r="C86" s="232" t="s">
        <v>1103</v>
      </c>
      <c r="D86" s="232" t="s">
        <v>1093</v>
      </c>
      <c r="E86" s="232" t="s">
        <v>1101</v>
      </c>
      <c r="F86" s="232" t="s">
        <v>1094</v>
      </c>
      <c r="G86" s="22" t="s">
        <v>1396</v>
      </c>
      <c r="H86" s="22" t="b">
        <v>1</v>
      </c>
      <c r="I86" s="22" t="b">
        <v>1</v>
      </c>
      <c r="J86" s="22" t="b">
        <v>1</v>
      </c>
      <c r="K86" s="22" t="b">
        <v>0</v>
      </c>
      <c r="L86" s="22" t="b">
        <v>1</v>
      </c>
      <c r="M86" s="22" t="b">
        <v>0</v>
      </c>
      <c r="N86" s="22" t="b">
        <v>0</v>
      </c>
      <c r="O86" s="22" t="b">
        <v>0</v>
      </c>
      <c r="P86" s="22" t="b">
        <v>1</v>
      </c>
      <c r="Q86" s="22" t="b">
        <v>0</v>
      </c>
      <c r="R86" s="22" t="b">
        <v>1</v>
      </c>
      <c r="S86" s="29">
        <f>COUNTIFS(stableR[q_group],stableR[[#This Row],[q_group]])</f>
        <v>1</v>
      </c>
      <c r="T86" s="22" t="b">
        <v>0</v>
      </c>
      <c r="U86" s="22" t="b">
        <v>1</v>
      </c>
      <c r="V86" s="22" t="b">
        <v>1</v>
      </c>
      <c r="W86" s="22" t="b">
        <v>0</v>
      </c>
      <c r="X86" s="22" t="str">
        <f>_xlfn.TEXTJOIN(", ",TRUE,stableR[[#This Row],[ans_opt_1]:[ans_opt_14]])</f>
        <v>No, Limestone, Dolomitic Limestone (Dolomite)</v>
      </c>
      <c r="Y86" s="22" t="s">
        <v>119</v>
      </c>
      <c r="Z86" s="22" t="s">
        <v>967</v>
      </c>
      <c r="AA86" s="22" t="s">
        <v>968</v>
      </c>
      <c r="AB86" s="22"/>
      <c r="AC86" s="22"/>
      <c r="AD86" s="22"/>
      <c r="AE86" s="22"/>
      <c r="AF86" s="22"/>
      <c r="AG86" s="22"/>
      <c r="AH86" s="22"/>
      <c r="AI86" s="22"/>
      <c r="AJ86" s="22"/>
      <c r="AK86" s="22"/>
      <c r="AL86" s="22"/>
      <c r="AM86" s="29" t="b">
        <v>1</v>
      </c>
      <c r="AN86" s="29" t="b">
        <f>COUNTIFS(questions[qno],stableR[[#This Row],[qno]],questions[year_of_survey],2025,questions[origin],"Kenya")&gt;0</f>
        <v>1</v>
      </c>
      <c r="AO86" s="29" t="b">
        <f>COUNTIFS(questions[qno],stableR[[#This Row],[qno]],questions[year_of_survey],2025,questions[origin],"Rwanda")&gt;0</f>
        <v>1</v>
      </c>
      <c r="AP86" s="29" t="b">
        <f>COUNTIFS(questions[qno],stableR[[#This Row],[qno]],questions[year_of_survey],2026,questions[origin],"Burundi")&gt;0</f>
        <v>1</v>
      </c>
      <c r="AQ86" s="29" t="b">
        <f>COUNTIFS(questions[qno],stableR[[#This Row],[qno]],questions[year_of_survey],"",questions[origin],"Indonesia")&gt;0</f>
        <v>1</v>
      </c>
      <c r="AR86" s="29" t="b">
        <f>COUNTIFS(questions[qno],stableR[[#This Row],[qno]],questions[year_of_survey],2025,questions[origin],"Vietnam")&gt;0</f>
        <v>1</v>
      </c>
      <c r="AS86" s="29" t="b">
        <v>1</v>
      </c>
      <c r="AT86" s="29" t="b">
        <v>1</v>
      </c>
    </row>
    <row r="87" spans="1:46" s="93" customFormat="1" x14ac:dyDescent="0.25">
      <c r="A87" s="15" t="str">
        <f>_xlfn.CONCAT(stableR[[#This Row],[group_0_no]:[order_no]])</f>
        <v>5141</v>
      </c>
      <c r="B87" s="18" t="s">
        <v>1397</v>
      </c>
      <c r="C87" s="213" t="s">
        <v>1103</v>
      </c>
      <c r="D87" s="213" t="s">
        <v>1093</v>
      </c>
      <c r="E87" s="213" t="s">
        <v>1101</v>
      </c>
      <c r="F87" s="213" t="s">
        <v>1093</v>
      </c>
      <c r="G87" s="22" t="s">
        <v>1398</v>
      </c>
      <c r="H87" s="9" t="b">
        <v>1</v>
      </c>
      <c r="I87" s="9" t="b">
        <v>0</v>
      </c>
      <c r="J87" s="9" t="b">
        <v>1</v>
      </c>
      <c r="K87" s="9" t="b">
        <v>0</v>
      </c>
      <c r="L87" s="9" t="b">
        <v>0</v>
      </c>
      <c r="M87" s="9" t="b">
        <v>0</v>
      </c>
      <c r="N87" s="9" t="b">
        <v>0</v>
      </c>
      <c r="O87" s="9" t="b">
        <v>1</v>
      </c>
      <c r="P87" s="9" t="b">
        <v>0</v>
      </c>
      <c r="Q87" s="9" t="b">
        <v>0</v>
      </c>
      <c r="R87" s="9" t="b">
        <v>1</v>
      </c>
      <c r="S87" s="16">
        <f>COUNTIFS(stableR[q_group],stableR[[#This Row],[q_group]])</f>
        <v>1</v>
      </c>
      <c r="T87" s="9" t="b">
        <v>0</v>
      </c>
      <c r="U87" s="9" t="b">
        <v>1</v>
      </c>
      <c r="V87" s="9" t="b">
        <v>1</v>
      </c>
      <c r="W87" s="9" t="b">
        <v>0</v>
      </c>
      <c r="X87" s="9" t="str">
        <f>_xlfn.TEXTJOIN(", ",TRUE,stableR[[#This Row],[ans_opt_1]:[ans_opt_14]])</f>
        <v/>
      </c>
      <c r="Y87" s="9"/>
      <c r="Z87" s="9"/>
      <c r="AA87" s="9"/>
      <c r="AB87" s="9"/>
      <c r="AC87" s="9"/>
      <c r="AD87" s="9"/>
      <c r="AE87" s="9"/>
      <c r="AF87" s="9"/>
      <c r="AG87" s="9"/>
      <c r="AH87" s="9"/>
      <c r="AI87" s="9"/>
      <c r="AJ87" s="9"/>
      <c r="AK87" s="9"/>
      <c r="AL87" s="9"/>
      <c r="AM87" s="16" t="b">
        <v>1</v>
      </c>
      <c r="AN87" s="16" t="b">
        <f>COUNTIFS(questions[qno],stableR[[#This Row],[qno]],questions[year_of_survey],2025,questions[origin],"Kenya")&gt;0</f>
        <v>1</v>
      </c>
      <c r="AO87" s="16" t="b">
        <f>COUNTIFS(questions[qno],stableR[[#This Row],[qno]],questions[year_of_survey],2025,questions[origin],"Rwanda")&gt;0</f>
        <v>1</v>
      </c>
      <c r="AP87" s="16" t="b">
        <f>COUNTIFS(questions[qno],stableR[[#This Row],[qno]],questions[year_of_survey],2026,questions[origin],"Burundi")&gt;0</f>
        <v>1</v>
      </c>
      <c r="AQ87" s="16" t="b">
        <f>COUNTIFS(questions[qno],stableR[[#This Row],[qno]],questions[year_of_survey],"",questions[origin],"Indonesia")&gt;0</f>
        <v>0</v>
      </c>
      <c r="AR87" s="16" t="b">
        <f>COUNTIFS(questions[qno],stableR[[#This Row],[qno]],questions[year_of_survey],2025,questions[origin],"Vietnam")&gt;0</f>
        <v>1</v>
      </c>
      <c r="AS87" s="16" t="b">
        <v>1</v>
      </c>
      <c r="AT87" s="16" t="b">
        <v>1</v>
      </c>
    </row>
    <row r="88" spans="1:46" s="22" customFormat="1" x14ac:dyDescent="0.25">
      <c r="A88" s="92" t="str">
        <f>_xlfn.CONCAT(stableR[[#This Row],[group_0_no]:[order_no]])</f>
        <v>5142</v>
      </c>
      <c r="B88" s="92" t="s">
        <v>1399</v>
      </c>
      <c r="C88" s="209" t="s">
        <v>1103</v>
      </c>
      <c r="D88" s="209" t="s">
        <v>1093</v>
      </c>
      <c r="E88" s="209" t="s">
        <v>1101</v>
      </c>
      <c r="F88" s="209" t="s">
        <v>1097</v>
      </c>
      <c r="G88" s="93" t="s">
        <v>1196</v>
      </c>
      <c r="H88" s="93" t="b">
        <v>0</v>
      </c>
      <c r="I88" s="93" t="b">
        <v>0</v>
      </c>
      <c r="J88" s="93" t="b">
        <v>1</v>
      </c>
      <c r="K88" s="93" t="b">
        <v>0</v>
      </c>
      <c r="L88" s="93" t="b">
        <v>0</v>
      </c>
      <c r="M88" s="93" t="b">
        <v>0</v>
      </c>
      <c r="N88" s="93" t="b">
        <v>0</v>
      </c>
      <c r="O88" s="93" t="b">
        <v>0</v>
      </c>
      <c r="P88" s="93" t="b">
        <v>1</v>
      </c>
      <c r="Q88" s="93" t="b">
        <v>0</v>
      </c>
      <c r="R88" s="93" t="b">
        <v>1</v>
      </c>
      <c r="S88" s="94">
        <f>COUNTIFS(stable[q_group],stable[[#This Row],[q_group]])</f>
        <v>1</v>
      </c>
      <c r="T88" s="93" t="b">
        <v>0</v>
      </c>
      <c r="U88" s="93" t="b">
        <v>1</v>
      </c>
      <c r="V88" s="93" t="b">
        <v>1</v>
      </c>
      <c r="W88" s="93" t="b">
        <v>0</v>
      </c>
      <c r="X88" s="93" t="str">
        <f>_xlfn.TEXTJOIN(", ",TRUE,stableR[[#This Row],[ans_opt_1]:[ans_opt_14]])</f>
        <v/>
      </c>
      <c r="Y88" s="93"/>
      <c r="Z88" s="93"/>
      <c r="AA88" s="93"/>
      <c r="AB88" s="93"/>
      <c r="AC88" s="93"/>
      <c r="AD88" s="93"/>
      <c r="AE88" s="93"/>
      <c r="AF88" s="93"/>
      <c r="AG88" s="93"/>
      <c r="AH88" s="93"/>
      <c r="AI88" s="93"/>
      <c r="AJ88" s="93"/>
      <c r="AK88" s="93"/>
      <c r="AL88" s="93"/>
      <c r="AM88" s="209" t="b">
        <v>0</v>
      </c>
      <c r="AN88" s="209" t="b">
        <v>0</v>
      </c>
      <c r="AO88" s="209" t="b">
        <v>0</v>
      </c>
      <c r="AP88" s="209" t="b">
        <v>0</v>
      </c>
      <c r="AQ88" s="209" t="b">
        <v>0</v>
      </c>
      <c r="AR88" s="209" t="b">
        <v>0</v>
      </c>
      <c r="AS88" s="209" t="b">
        <v>0</v>
      </c>
      <c r="AT88" s="209" t="b">
        <v>0</v>
      </c>
    </row>
    <row r="89" spans="1:46" s="92" customFormat="1" x14ac:dyDescent="0.25">
      <c r="A89" s="15" t="str">
        <f>_xlfn.CONCAT(stableR[[#This Row],[group_0_no]:[order_no]])</f>
        <v>5400</v>
      </c>
      <c r="B89" s="15" t="s">
        <v>176</v>
      </c>
      <c r="C89" s="213" t="s">
        <v>1103</v>
      </c>
      <c r="D89" s="213" t="s">
        <v>1101</v>
      </c>
      <c r="E89" s="213" t="s">
        <v>1094</v>
      </c>
      <c r="F89" s="213" t="s">
        <v>1094</v>
      </c>
      <c r="G89" s="9" t="s">
        <v>1197</v>
      </c>
      <c r="H89" s="9" t="b">
        <v>1</v>
      </c>
      <c r="I89" s="9" t="b">
        <v>1</v>
      </c>
      <c r="J89" s="9" t="b">
        <v>0</v>
      </c>
      <c r="K89" s="9" t="b">
        <v>0</v>
      </c>
      <c r="L89" s="9" t="b">
        <v>1</v>
      </c>
      <c r="M89" s="9" t="b">
        <v>0</v>
      </c>
      <c r="N89" s="9" t="b">
        <v>0</v>
      </c>
      <c r="O89" s="9" t="b">
        <v>0</v>
      </c>
      <c r="P89" s="9" t="b">
        <v>1</v>
      </c>
      <c r="Q89" s="9" t="b">
        <v>0</v>
      </c>
      <c r="R89" s="9" t="b">
        <v>1</v>
      </c>
      <c r="S89" s="16">
        <f>COUNTIFS(stableR[q_group],stableR[[#This Row],[q_group]])</f>
        <v>1</v>
      </c>
      <c r="T89" s="9" t="b">
        <v>0</v>
      </c>
      <c r="U89" s="9" t="b">
        <v>1</v>
      </c>
      <c r="V89" s="9" t="b">
        <v>1</v>
      </c>
      <c r="W89" s="9" t="b">
        <v>0</v>
      </c>
      <c r="X89" s="9" t="str">
        <f>_xlfn.TEXTJOIN(", ",TRUE,stableR[[#This Row],[ans_opt_1]:[ans_opt_14]])</f>
        <v>No, Yes</v>
      </c>
      <c r="Y89" s="9" t="s">
        <v>119</v>
      </c>
      <c r="Z89" s="9" t="s">
        <v>149</v>
      </c>
      <c r="AA89" s="9"/>
      <c r="AB89" s="9"/>
      <c r="AC89" s="9"/>
      <c r="AD89" s="9"/>
      <c r="AE89" s="9"/>
      <c r="AF89" s="9"/>
      <c r="AG89" s="9"/>
      <c r="AH89" s="9"/>
      <c r="AI89" s="9"/>
      <c r="AJ89" s="9"/>
      <c r="AK89" s="9"/>
      <c r="AL89" s="9"/>
      <c r="AM89" s="16" t="b">
        <v>1</v>
      </c>
      <c r="AN89" s="16" t="b">
        <f>COUNTIFS(questions[qno],stableR[[#This Row],[qno]],questions[year_of_survey],2025,questions[origin],"Kenya")&gt;0</f>
        <v>1</v>
      </c>
      <c r="AO89" s="16" t="b">
        <f>COUNTIFS(questions[qno],stableR[[#This Row],[qno]],questions[year_of_survey],2025,questions[origin],"Rwanda")&gt;0</f>
        <v>1</v>
      </c>
      <c r="AP89" s="16" t="b">
        <f>COUNTIFS(questions[qno],stableR[[#This Row],[qno]],questions[year_of_survey],2026,questions[origin],"Burundi")&gt;0</f>
        <v>1</v>
      </c>
      <c r="AQ89" s="16" t="b">
        <f>COUNTIFS(questions[qno],stableR[[#This Row],[qno]],questions[year_of_survey],"",questions[origin],"Indonesia")&gt;0</f>
        <v>1</v>
      </c>
      <c r="AR89" s="16" t="b">
        <f>COUNTIFS(questions[qno],stableR[[#This Row],[qno]],questions[year_of_survey],2025,questions[origin],"Vietnam")&gt;0</f>
        <v>1</v>
      </c>
      <c r="AS89" s="16" t="b">
        <v>1</v>
      </c>
      <c r="AT89" s="16" t="b">
        <v>1</v>
      </c>
    </row>
    <row r="90" spans="1:46" s="93" customFormat="1" x14ac:dyDescent="0.25">
      <c r="A90" s="15" t="str">
        <f>_xlfn.CONCAT(stableR[[#This Row],[group_0_no]:[order_no]])</f>
        <v>5401</v>
      </c>
      <c r="B90" s="18" t="s">
        <v>1400</v>
      </c>
      <c r="C90" s="213" t="s">
        <v>1103</v>
      </c>
      <c r="D90" s="213" t="s">
        <v>1101</v>
      </c>
      <c r="E90" s="213" t="s">
        <v>1094</v>
      </c>
      <c r="F90" s="213" t="s">
        <v>1093</v>
      </c>
      <c r="G90" s="9" t="s">
        <v>1199</v>
      </c>
      <c r="H90" s="9" t="b">
        <v>1</v>
      </c>
      <c r="I90" s="9" t="b">
        <v>0</v>
      </c>
      <c r="J90" s="9" t="b">
        <v>0</v>
      </c>
      <c r="K90" s="9" t="b">
        <v>0</v>
      </c>
      <c r="L90" s="9" t="b">
        <v>0</v>
      </c>
      <c r="M90" s="9" t="b">
        <v>0</v>
      </c>
      <c r="N90" s="9" t="b">
        <v>1</v>
      </c>
      <c r="O90" s="9" t="b">
        <v>0</v>
      </c>
      <c r="P90" s="9" t="b">
        <v>1</v>
      </c>
      <c r="Q90" s="9" t="b">
        <v>0</v>
      </c>
      <c r="R90" s="9" t="b">
        <v>1</v>
      </c>
      <c r="S90" s="16">
        <f>COUNTIFS(stableR[q_group],stableR[[#This Row],[q_group]])</f>
        <v>1</v>
      </c>
      <c r="T90" s="9" t="b">
        <v>0</v>
      </c>
      <c r="U90" s="9" t="b">
        <v>1</v>
      </c>
      <c r="V90" s="9" t="b">
        <v>1</v>
      </c>
      <c r="W90" s="9" t="b">
        <v>0</v>
      </c>
      <c r="X90" s="9" t="str">
        <f>_xlfn.TEXTJOIN(", ",TRUE,stableR[[#This Row],[ans_opt_1]:[ans_opt_14]])</f>
        <v>Coffee-related organic fertilizer, Commercial organic fertilizer, Organic manure sheep, Organic manure poultry, Organic manure horse, Organic manure swine, Goat manure mixed with grass, Composted from rubbish, Organic manure cattle</v>
      </c>
      <c r="Y90" s="9" t="s">
        <v>1037</v>
      </c>
      <c r="Z90" s="9" t="s">
        <v>972</v>
      </c>
      <c r="AA90" s="9" t="s">
        <v>973</v>
      </c>
      <c r="AB90" s="9" t="s">
        <v>974</v>
      </c>
      <c r="AC90" s="9" t="s">
        <v>975</v>
      </c>
      <c r="AD90" s="9" t="s">
        <v>976</v>
      </c>
      <c r="AE90" s="9" t="s">
        <v>977</v>
      </c>
      <c r="AF90" s="9" t="s">
        <v>978</v>
      </c>
      <c r="AG90" s="9" t="s">
        <v>979</v>
      </c>
      <c r="AH90" s="9"/>
      <c r="AI90" s="9"/>
      <c r="AJ90" s="9"/>
      <c r="AK90" s="9"/>
      <c r="AL90" s="9"/>
      <c r="AM90" s="16" t="b">
        <v>1</v>
      </c>
      <c r="AN90" s="16" t="b">
        <f>COUNTIFS(questions[qno],stableR[[#This Row],[qno]],questions[year_of_survey],2025,questions[origin],"Kenya")&gt;0</f>
        <v>1</v>
      </c>
      <c r="AO90" s="16" t="b">
        <f>COUNTIFS(questions[qno],stableR[[#This Row],[qno]],questions[year_of_survey],2025,questions[origin],"Rwanda")&gt;0</f>
        <v>1</v>
      </c>
      <c r="AP90" s="16" t="b">
        <f>COUNTIFS(questions[qno],stableR[[#This Row],[qno]],questions[year_of_survey],2026,questions[origin],"Burundi")&gt;0</f>
        <v>1</v>
      </c>
      <c r="AQ90" s="16" t="b">
        <f>COUNTIFS(questions[qno],stableR[[#This Row],[qno]],questions[year_of_survey],"",questions[origin],"Indonesia")&gt;0</f>
        <v>1</v>
      </c>
      <c r="AR90" s="16" t="b">
        <f>COUNTIFS(questions[qno],stableR[[#This Row],[qno]],questions[year_of_survey],2025,questions[origin],"Vietnam")&gt;0</f>
        <v>1</v>
      </c>
      <c r="AS90" s="16" t="b">
        <v>1</v>
      </c>
      <c r="AT90" s="16" t="b">
        <v>1</v>
      </c>
    </row>
    <row r="91" spans="1:46" x14ac:dyDescent="0.25">
      <c r="A91" s="15" t="str">
        <f>_xlfn.CONCAT(stableR[[#This Row],[group_0_no]:[order_no]])</f>
        <v>5402</v>
      </c>
      <c r="B91" s="15" t="s">
        <v>1401</v>
      </c>
      <c r="C91" s="213" t="s">
        <v>1103</v>
      </c>
      <c r="D91" s="213" t="s">
        <v>1101</v>
      </c>
      <c r="E91" s="213" t="s">
        <v>1094</v>
      </c>
      <c r="F91" s="213" t="s">
        <v>1097</v>
      </c>
      <c r="G91" s="9" t="s">
        <v>1200</v>
      </c>
      <c r="H91" s="9" t="b">
        <v>1</v>
      </c>
      <c r="I91" s="9" t="b">
        <v>1</v>
      </c>
      <c r="J91" s="9" t="b">
        <v>0</v>
      </c>
      <c r="K91" s="9" t="b">
        <v>0</v>
      </c>
      <c r="L91" s="9" t="b">
        <v>0</v>
      </c>
      <c r="M91" s="9" t="b">
        <v>0</v>
      </c>
      <c r="N91" s="9" t="b">
        <v>0</v>
      </c>
      <c r="O91" s="9" t="b">
        <v>1</v>
      </c>
      <c r="P91" s="9" t="b">
        <v>0</v>
      </c>
      <c r="Q91" s="9" t="b">
        <v>0</v>
      </c>
      <c r="R91" s="9" t="b">
        <v>1</v>
      </c>
      <c r="S91" s="16">
        <f>COUNTIFS(stableR[q_group],stableR[[#This Row],[q_group]])</f>
        <v>1</v>
      </c>
      <c r="T91" s="9" t="b">
        <v>0</v>
      </c>
      <c r="U91" s="9" t="b">
        <v>1</v>
      </c>
      <c r="V91" s="9" t="b">
        <v>1</v>
      </c>
      <c r="W91" s="9" t="b">
        <v>0</v>
      </c>
      <c r="X91" s="9" t="str">
        <f>_xlfn.TEXTJOIN(", ",TRUE,stableR[[#This Row],[ans_opt_1]:[ans_opt_14]])</f>
        <v/>
      </c>
      <c r="AM91" s="16" t="b">
        <v>1</v>
      </c>
      <c r="AN91" s="16" t="b">
        <f>COUNTIFS(questions[qno],stableR[[#This Row],[qno]],questions[year_of_survey],2025,questions[origin],"Kenya")&gt;0</f>
        <v>1</v>
      </c>
      <c r="AO91" s="16" t="b">
        <f>COUNTIFS(questions[qno],stableR[[#This Row],[qno]],questions[year_of_survey],2025,questions[origin],"Rwanda")&gt;0</f>
        <v>1</v>
      </c>
      <c r="AP91" s="16" t="b">
        <f>COUNTIFS(questions[qno],stableR[[#This Row],[qno]],questions[year_of_survey],2026,questions[origin],"Burundi")&gt;0</f>
        <v>1</v>
      </c>
      <c r="AQ91" s="16" t="b">
        <f>COUNTIFS(questions[qno],stableR[[#This Row],[qno]],questions[year_of_survey],"",questions[origin],"Indonesia")&gt;0</f>
        <v>1</v>
      </c>
      <c r="AR91" s="16" t="b">
        <f>COUNTIFS(questions[qno],stableR[[#This Row],[qno]],questions[year_of_survey],2025,questions[origin],"Vietnam")&gt;0</f>
        <v>1</v>
      </c>
      <c r="AS91" s="16" t="b">
        <v>1</v>
      </c>
      <c r="AT91" s="16" t="b">
        <v>1</v>
      </c>
    </row>
    <row r="92" spans="1:46" x14ac:dyDescent="0.25">
      <c r="A92" s="92" t="str">
        <f>_xlfn.CONCAT(stableR[[#This Row],[group_0_no]:[order_no]])</f>
        <v>5403</v>
      </c>
      <c r="B92" s="92" t="s">
        <v>182</v>
      </c>
      <c r="C92" s="209" t="s">
        <v>1103</v>
      </c>
      <c r="D92" s="209" t="s">
        <v>1101</v>
      </c>
      <c r="E92" s="209" t="s">
        <v>1094</v>
      </c>
      <c r="F92" s="209" t="s">
        <v>1099</v>
      </c>
      <c r="G92" s="92" t="s">
        <v>1201</v>
      </c>
      <c r="H92" s="93" t="b">
        <v>0</v>
      </c>
      <c r="I92" s="92" t="b">
        <v>1</v>
      </c>
      <c r="J92" s="92" t="b">
        <v>0</v>
      </c>
      <c r="K92" s="92" t="b">
        <v>0</v>
      </c>
      <c r="L92" s="92" t="b">
        <v>0</v>
      </c>
      <c r="M92" s="92" t="b">
        <v>0</v>
      </c>
      <c r="N92" s="92" t="b">
        <v>1</v>
      </c>
      <c r="O92" s="92" t="b">
        <v>0</v>
      </c>
      <c r="P92" s="92" t="b">
        <v>0</v>
      </c>
      <c r="Q92" s="92" t="b">
        <v>0</v>
      </c>
      <c r="R92" s="92" t="b">
        <v>1</v>
      </c>
      <c r="S92" s="209">
        <f>COUNTIFS(stableR[q_group],stableR[[#This Row],[q_group]])</f>
        <v>1</v>
      </c>
      <c r="T92" s="92" t="b">
        <v>0</v>
      </c>
      <c r="U92" s="92" t="b">
        <v>1</v>
      </c>
      <c r="V92" s="92" t="b">
        <v>1</v>
      </c>
      <c r="W92" s="92" t="b">
        <v>0</v>
      </c>
      <c r="X92" s="92" t="str">
        <f>_xlfn.TEXTJOIN(", ",TRUE,stableR[[#This Row],[ans_opt_1]:[ans_opt_14]])</f>
        <v/>
      </c>
      <c r="Y92" s="92"/>
      <c r="Z92" s="92"/>
      <c r="AA92" s="92"/>
      <c r="AB92" s="92"/>
      <c r="AC92" s="92"/>
      <c r="AD92" s="92"/>
      <c r="AE92" s="92"/>
      <c r="AF92" s="92"/>
      <c r="AG92" s="92"/>
      <c r="AH92" s="92"/>
      <c r="AI92" s="92"/>
      <c r="AJ92" s="92"/>
      <c r="AK92" s="92"/>
      <c r="AL92" s="92"/>
      <c r="AM92" s="209" t="b">
        <v>0</v>
      </c>
      <c r="AN92" s="209" t="b">
        <v>0</v>
      </c>
      <c r="AO92" s="209" t="b">
        <v>0</v>
      </c>
      <c r="AP92" s="209" t="b">
        <v>0</v>
      </c>
      <c r="AQ92" s="209" t="b">
        <v>0</v>
      </c>
      <c r="AR92" s="209" t="b">
        <v>0</v>
      </c>
      <c r="AS92" s="209" t="b">
        <v>0</v>
      </c>
      <c r="AT92" s="209" t="b">
        <v>0</v>
      </c>
    </row>
    <row r="93" spans="1:46" s="92" customFormat="1" x14ac:dyDescent="0.25">
      <c r="A93" s="15" t="str">
        <f>_xlfn.CONCAT(stableR[[#This Row],[group_0_no]:[order_no]])</f>
        <v>5404</v>
      </c>
      <c r="B93" s="15" t="s">
        <v>1402</v>
      </c>
      <c r="C93" s="213" t="s">
        <v>1103</v>
      </c>
      <c r="D93" s="213" t="s">
        <v>1101</v>
      </c>
      <c r="E93" s="213" t="s">
        <v>1094</v>
      </c>
      <c r="F93" s="213" t="s">
        <v>1101</v>
      </c>
      <c r="G93" s="9" t="s">
        <v>1202</v>
      </c>
      <c r="H93" s="9" t="b">
        <v>1</v>
      </c>
      <c r="I93" s="9" t="b">
        <v>1</v>
      </c>
      <c r="J93" s="9" t="b">
        <v>0</v>
      </c>
      <c r="K93" s="9" t="b">
        <v>0</v>
      </c>
      <c r="L93" s="9" t="b">
        <v>0</v>
      </c>
      <c r="M93" s="9" t="b">
        <v>0</v>
      </c>
      <c r="N93" s="9" t="b">
        <v>0</v>
      </c>
      <c r="O93" s="9" t="b">
        <v>0</v>
      </c>
      <c r="P93" s="9" t="b">
        <v>1</v>
      </c>
      <c r="Q93" s="9" t="b">
        <v>0</v>
      </c>
      <c r="R93" s="9" t="b">
        <v>1</v>
      </c>
      <c r="S93" s="16">
        <f>COUNTIFS(stableR[q_group],stableR[[#This Row],[q_group]])</f>
        <v>1</v>
      </c>
      <c r="T93" s="9" t="b">
        <v>0</v>
      </c>
      <c r="U93" s="9" t="b">
        <v>1</v>
      </c>
      <c r="V93" s="9" t="b">
        <v>1</v>
      </c>
      <c r="W93" s="9" t="b">
        <v>0</v>
      </c>
      <c r="X93" s="9" t="str">
        <f>_xlfn.TEXTJOIN(", ",TRUE,stableR[[#This Row],[ans_opt_1]:[ans_opt_14]])</f>
        <v>Bought, From own farm, Received for free, Both from own farm &amp; bought/received from outside the farm</v>
      </c>
      <c r="Y93" s="9" t="s">
        <v>185</v>
      </c>
      <c r="Z93" s="9" t="s">
        <v>186</v>
      </c>
      <c r="AA93" s="9" t="s">
        <v>187</v>
      </c>
      <c r="AB93" s="9" t="s">
        <v>188</v>
      </c>
      <c r="AC93" s="9"/>
      <c r="AD93" s="9"/>
      <c r="AE93" s="9"/>
      <c r="AF93" s="9"/>
      <c r="AG93" s="9"/>
      <c r="AH93" s="9"/>
      <c r="AI93" s="9"/>
      <c r="AJ93" s="9"/>
      <c r="AK93" s="9"/>
      <c r="AL93" s="9"/>
      <c r="AM93" s="16" t="b">
        <v>1</v>
      </c>
      <c r="AN93" s="16" t="b">
        <f>COUNTIFS(questions[qno],stableR[[#This Row],[qno]],questions[year_of_survey],2025,questions[origin],"Kenya")&gt;0</f>
        <v>1</v>
      </c>
      <c r="AO93" s="16" t="b">
        <f>COUNTIFS(questions[qno],stableR[[#This Row],[qno]],questions[year_of_survey],2025,questions[origin],"Rwanda")&gt;0</f>
        <v>1</v>
      </c>
      <c r="AP93" s="16" t="b">
        <f>COUNTIFS(questions[qno],stableR[[#This Row],[qno]],questions[year_of_survey],2026,questions[origin],"Burundi")&gt;0</f>
        <v>1</v>
      </c>
      <c r="AQ93" s="16" t="b">
        <f>COUNTIFS(questions[qno],stableR[[#This Row],[qno]],questions[year_of_survey],"",questions[origin],"Indonesia")&gt;0</f>
        <v>1</v>
      </c>
      <c r="AR93" s="16" t="b">
        <f>COUNTIFS(questions[qno],stableR[[#This Row],[qno]],questions[year_of_survey],2025,questions[origin],"Vietnam")&gt;0</f>
        <v>1</v>
      </c>
      <c r="AS93" s="16" t="b">
        <v>1</v>
      </c>
      <c r="AT93" s="16" t="b">
        <v>1</v>
      </c>
    </row>
    <row r="94" spans="1:46" x14ac:dyDescent="0.25">
      <c r="A94" s="15" t="str">
        <f>_xlfn.CONCAT(stableR[[#This Row],[group_0_no]:[order_no]])</f>
        <v>5410</v>
      </c>
      <c r="B94" s="18" t="s">
        <v>1403</v>
      </c>
      <c r="C94" s="213" t="s">
        <v>1103</v>
      </c>
      <c r="D94" s="213" t="s">
        <v>1101</v>
      </c>
      <c r="E94" s="213" t="s">
        <v>1093</v>
      </c>
      <c r="F94" s="213" t="s">
        <v>1094</v>
      </c>
      <c r="G94" s="9" t="s">
        <v>1204</v>
      </c>
      <c r="H94" s="9" t="b">
        <v>1</v>
      </c>
      <c r="I94" s="9" t="b">
        <v>1</v>
      </c>
      <c r="J94" s="9" t="b">
        <v>0</v>
      </c>
      <c r="K94" s="9" t="b">
        <v>0</v>
      </c>
      <c r="L94" s="9" t="b">
        <v>0</v>
      </c>
      <c r="M94" s="9" t="b">
        <v>0</v>
      </c>
      <c r="N94" s="9" t="b">
        <v>0</v>
      </c>
      <c r="O94" s="9" t="b">
        <v>0</v>
      </c>
      <c r="P94" s="9" t="b">
        <v>1</v>
      </c>
      <c r="Q94" s="9" t="b">
        <v>0</v>
      </c>
      <c r="R94" s="9" t="b">
        <v>1</v>
      </c>
      <c r="S94" s="16">
        <f>COUNTIFS(stableR[q_group],stableR[[#This Row],[q_group]])</f>
        <v>1</v>
      </c>
      <c r="T94" s="9" t="b">
        <v>0</v>
      </c>
      <c r="U94" s="9" t="b">
        <v>1</v>
      </c>
      <c r="V94" s="9" t="b">
        <v>1</v>
      </c>
      <c r="W94" s="9" t="b">
        <v>0</v>
      </c>
      <c r="X94" s="9" t="str">
        <f>_xlfn.TEXTJOIN(", ",TRUE,stableR[[#This Row],[ans_opt_1]:[ans_opt_14]])</f>
        <v>Coffee-related organic fertilizer, Commercial organic fertilizer, Organic manure sheep, Organic manure poultry, Organic manure horse, Organic manure swine, Goat manure mixed with grass, Composted from rubbish, Organic manure cattle</v>
      </c>
      <c r="Y94" s="9" t="s">
        <v>1037</v>
      </c>
      <c r="Z94" s="9" t="s">
        <v>972</v>
      </c>
      <c r="AA94" s="9" t="s">
        <v>973</v>
      </c>
      <c r="AB94" s="9" t="s">
        <v>974</v>
      </c>
      <c r="AC94" s="9" t="s">
        <v>975</v>
      </c>
      <c r="AD94" s="9" t="s">
        <v>976</v>
      </c>
      <c r="AE94" s="9" t="s">
        <v>977</v>
      </c>
      <c r="AF94" s="9" t="s">
        <v>978</v>
      </c>
      <c r="AG94" s="9" t="s">
        <v>979</v>
      </c>
      <c r="AM94" s="16" t="b">
        <v>1</v>
      </c>
      <c r="AN94" s="16" t="b">
        <f>COUNTIFS(questions[qno],stableR[[#This Row],[qno]],questions[year_of_survey],2025,questions[origin],"Kenya")&gt;0</f>
        <v>1</v>
      </c>
      <c r="AO94" s="16" t="b">
        <f>COUNTIFS(questions[qno],stableR[[#This Row],[qno]],questions[year_of_survey],2025,questions[origin],"Rwanda")&gt;0</f>
        <v>1</v>
      </c>
      <c r="AP94" s="16" t="b">
        <f>COUNTIFS(questions[qno],stableR[[#This Row],[qno]],questions[year_of_survey],2026,questions[origin],"Burundi")&gt;0</f>
        <v>1</v>
      </c>
      <c r="AQ94" s="16" t="b">
        <f>COUNTIFS(questions[qno],stableR[[#This Row],[qno]],questions[year_of_survey],"",questions[origin],"Indonesia")&gt;0</f>
        <v>1</v>
      </c>
      <c r="AR94" s="16" t="b">
        <f>COUNTIFS(questions[qno],stableR[[#This Row],[qno]],questions[year_of_survey],2025,questions[origin],"Vietnam")&gt;0</f>
        <v>1</v>
      </c>
      <c r="AS94" s="16" t="b">
        <v>1</v>
      </c>
      <c r="AT94" s="16" t="b">
        <v>1</v>
      </c>
    </row>
    <row r="95" spans="1:46" x14ac:dyDescent="0.25">
      <c r="A95" s="15" t="str">
        <f>_xlfn.CONCAT(stableR[[#This Row],[group_0_no]:[order_no]])</f>
        <v>5411</v>
      </c>
      <c r="B95" s="71" t="s">
        <v>1404</v>
      </c>
      <c r="C95" s="213" t="s">
        <v>1103</v>
      </c>
      <c r="D95" s="213" t="s">
        <v>1101</v>
      </c>
      <c r="E95" s="213" t="s">
        <v>1093</v>
      </c>
      <c r="F95" s="213" t="s">
        <v>1093</v>
      </c>
      <c r="G95" s="9" t="s">
        <v>1205</v>
      </c>
      <c r="H95" s="9" t="b">
        <v>1</v>
      </c>
      <c r="I95" s="9" t="b">
        <v>1</v>
      </c>
      <c r="J95" s="9" t="b">
        <v>0</v>
      </c>
      <c r="K95" s="9" t="b">
        <v>0</v>
      </c>
      <c r="L95" s="9" t="b">
        <v>0</v>
      </c>
      <c r="M95" s="9" t="b">
        <v>0</v>
      </c>
      <c r="N95" s="9" t="b">
        <v>0</v>
      </c>
      <c r="O95" s="9" t="b">
        <v>1</v>
      </c>
      <c r="P95" s="9" t="b">
        <v>0</v>
      </c>
      <c r="Q95" s="9" t="b">
        <v>0</v>
      </c>
      <c r="R95" s="9" t="b">
        <v>1</v>
      </c>
      <c r="S95" s="16">
        <f>COUNTIFS(stableR[q_group],stableR[[#This Row],[q_group]])</f>
        <v>1</v>
      </c>
      <c r="T95" s="9" t="b">
        <v>0</v>
      </c>
      <c r="U95" s="9" t="b">
        <v>1</v>
      </c>
      <c r="V95" s="9" t="b">
        <v>1</v>
      </c>
      <c r="W95" s="9" t="b">
        <v>0</v>
      </c>
      <c r="X95" s="9" t="str">
        <f>_xlfn.TEXTJOIN(", ",TRUE,stableR[[#This Row],[ans_opt_1]:[ans_opt_14]])</f>
        <v/>
      </c>
      <c r="AM95" s="16" t="b">
        <v>1</v>
      </c>
      <c r="AN95" s="16" t="b">
        <f>COUNTIFS(questions[qno],stableR[[#This Row],[qno]],questions[year_of_survey],2025,questions[origin],"Kenya")&gt;0</f>
        <v>1</v>
      </c>
      <c r="AO95" s="16" t="b">
        <f>COUNTIFS(questions[qno],stableR[[#This Row],[qno]],questions[year_of_survey],2025,questions[origin],"Rwanda")&gt;0</f>
        <v>1</v>
      </c>
      <c r="AP95" s="16" t="b">
        <f>COUNTIFS(questions[qno],stableR[[#This Row],[qno]],questions[year_of_survey],2026,questions[origin],"Burundi")&gt;0</f>
        <v>1</v>
      </c>
      <c r="AQ95" s="16" t="b">
        <f>COUNTIFS(questions[qno],stableR[[#This Row],[qno]],questions[year_of_survey],"",questions[origin],"Indonesia")&gt;0</f>
        <v>1</v>
      </c>
      <c r="AR95" s="16" t="b">
        <f>COUNTIFS(questions[qno],stableR[[#This Row],[qno]],questions[year_of_survey],2025,questions[origin],"Vietnam")&gt;0</f>
        <v>1</v>
      </c>
      <c r="AS95" s="16" t="b">
        <v>1</v>
      </c>
      <c r="AT95" s="16" t="b">
        <v>1</v>
      </c>
    </row>
    <row r="96" spans="1:46" x14ac:dyDescent="0.25">
      <c r="A96" s="92" t="str">
        <f>_xlfn.CONCAT(stableR[[#This Row],[group_0_no]:[order_no]])</f>
        <v>5412</v>
      </c>
      <c r="B96" s="92" t="s">
        <v>194</v>
      </c>
      <c r="C96" s="209" t="s">
        <v>1103</v>
      </c>
      <c r="D96" s="209" t="s">
        <v>1101</v>
      </c>
      <c r="E96" s="209" t="s">
        <v>1093</v>
      </c>
      <c r="F96" s="209" t="s">
        <v>1097</v>
      </c>
      <c r="G96" s="92" t="s">
        <v>1206</v>
      </c>
      <c r="H96" s="93" t="b">
        <v>0</v>
      </c>
      <c r="I96" s="92" t="b">
        <v>1</v>
      </c>
      <c r="J96" s="92" t="b">
        <v>0</v>
      </c>
      <c r="K96" s="92" t="b">
        <v>0</v>
      </c>
      <c r="L96" s="92" t="b">
        <v>0</v>
      </c>
      <c r="M96" s="92" t="b">
        <v>0</v>
      </c>
      <c r="N96" s="92" t="b">
        <v>1</v>
      </c>
      <c r="O96" s="92" t="b">
        <v>0</v>
      </c>
      <c r="P96" s="92" t="b">
        <v>0</v>
      </c>
      <c r="Q96" s="92" t="b">
        <v>0</v>
      </c>
      <c r="R96" s="92" t="b">
        <v>1</v>
      </c>
      <c r="S96" s="209">
        <f>COUNTIFS(stableR[q_group],stableR[[#This Row],[q_group]])</f>
        <v>1</v>
      </c>
      <c r="T96" s="92" t="b">
        <v>0</v>
      </c>
      <c r="U96" s="92" t="b">
        <v>1</v>
      </c>
      <c r="V96" s="92" t="b">
        <v>1</v>
      </c>
      <c r="W96" s="92" t="b">
        <v>0</v>
      </c>
      <c r="X96" s="92" t="str">
        <f>_xlfn.TEXTJOIN(", ",TRUE,stableR[[#This Row],[ans_opt_1]:[ans_opt_14]])</f>
        <v/>
      </c>
      <c r="Y96" s="92"/>
      <c r="Z96" s="92"/>
      <c r="AA96" s="92"/>
      <c r="AB96" s="92"/>
      <c r="AC96" s="92"/>
      <c r="AD96" s="92"/>
      <c r="AE96" s="92"/>
      <c r="AF96" s="92"/>
      <c r="AG96" s="92"/>
      <c r="AH96" s="92"/>
      <c r="AI96" s="92"/>
      <c r="AJ96" s="92"/>
      <c r="AK96" s="92"/>
      <c r="AL96" s="92"/>
      <c r="AM96" s="209" t="b">
        <v>0</v>
      </c>
      <c r="AN96" s="209" t="b">
        <v>0</v>
      </c>
      <c r="AO96" s="209" t="b">
        <v>0</v>
      </c>
      <c r="AP96" s="209" t="b">
        <v>0</v>
      </c>
      <c r="AQ96" s="209" t="b">
        <v>0</v>
      </c>
      <c r="AR96" s="209" t="b">
        <v>0</v>
      </c>
      <c r="AS96" s="209" t="b">
        <v>0</v>
      </c>
      <c r="AT96" s="209" t="b">
        <v>0</v>
      </c>
    </row>
    <row r="97" spans="1:56" x14ac:dyDescent="0.25">
      <c r="A97" s="15" t="str">
        <f>_xlfn.CONCAT(stableR[[#This Row],[group_0_no]:[order_no]])</f>
        <v>5413</v>
      </c>
      <c r="B97" s="15" t="s">
        <v>1405</v>
      </c>
      <c r="C97" s="213" t="s">
        <v>1103</v>
      </c>
      <c r="D97" s="213" t="s">
        <v>1101</v>
      </c>
      <c r="E97" s="213" t="s">
        <v>1093</v>
      </c>
      <c r="F97" s="213" t="s">
        <v>1099</v>
      </c>
      <c r="G97" s="9" t="s">
        <v>1207</v>
      </c>
      <c r="H97" s="9" t="b">
        <v>1</v>
      </c>
      <c r="I97" s="9" t="b">
        <v>1</v>
      </c>
      <c r="J97" s="9" t="b">
        <v>0</v>
      </c>
      <c r="K97" s="9" t="b">
        <v>0</v>
      </c>
      <c r="L97" s="9" t="b">
        <v>0</v>
      </c>
      <c r="M97" s="9" t="b">
        <v>0</v>
      </c>
      <c r="N97" s="9" t="b">
        <v>0</v>
      </c>
      <c r="O97" s="9" t="b">
        <v>0</v>
      </c>
      <c r="P97" s="9" t="b">
        <v>1</v>
      </c>
      <c r="Q97" s="9" t="b">
        <v>0</v>
      </c>
      <c r="R97" s="9" t="b">
        <v>1</v>
      </c>
      <c r="S97" s="16">
        <f>COUNTIFS(stableR[q_group],stableR[[#This Row],[q_group]])</f>
        <v>1</v>
      </c>
      <c r="T97" s="9" t="b">
        <v>0</v>
      </c>
      <c r="U97" s="9" t="b">
        <v>1</v>
      </c>
      <c r="V97" s="9" t="b">
        <v>1</v>
      </c>
      <c r="W97" s="9" t="b">
        <v>0</v>
      </c>
      <c r="X97" s="9" t="str">
        <f>_xlfn.TEXTJOIN(", ",TRUE,stableR[[#This Row],[ans_opt_1]:[ans_opt_14]])</f>
        <v>Bought, From own farm, Received for free, Both from own farm &amp; bought/received from outside the farm</v>
      </c>
      <c r="Y97" s="9" t="s">
        <v>185</v>
      </c>
      <c r="Z97" s="9" t="s">
        <v>186</v>
      </c>
      <c r="AA97" s="9" t="s">
        <v>187</v>
      </c>
      <c r="AB97" s="9" t="s">
        <v>188</v>
      </c>
      <c r="AM97" s="16" t="b">
        <v>1</v>
      </c>
      <c r="AN97" s="16" t="b">
        <f>COUNTIFS(questions[qno],stableR[[#This Row],[qno]],questions[year_of_survey],2025,questions[origin],"Kenya")&gt;0</f>
        <v>1</v>
      </c>
      <c r="AO97" s="16" t="b">
        <f>COUNTIFS(questions[qno],stableR[[#This Row],[qno]],questions[year_of_survey],2025,questions[origin],"Rwanda")&gt;0</f>
        <v>1</v>
      </c>
      <c r="AP97" s="16" t="b">
        <f>COUNTIFS(questions[qno],stableR[[#This Row],[qno]],questions[year_of_survey],2026,questions[origin],"Burundi")&gt;0</f>
        <v>1</v>
      </c>
      <c r="AQ97" s="16" t="b">
        <f>COUNTIFS(questions[qno],stableR[[#This Row],[qno]],questions[year_of_survey],"",questions[origin],"Indonesia")&gt;0</f>
        <v>1</v>
      </c>
      <c r="AR97" s="16" t="b">
        <f>COUNTIFS(questions[qno],stableR[[#This Row],[qno]],questions[year_of_survey],2025,questions[origin],"Vietnam")&gt;0</f>
        <v>1</v>
      </c>
      <c r="AS97" s="16" t="b">
        <v>1</v>
      </c>
      <c r="AT97" s="16" t="b">
        <v>1</v>
      </c>
    </row>
    <row r="98" spans="1:56" s="92" customFormat="1" x14ac:dyDescent="0.25">
      <c r="A98" s="15" t="str">
        <f>_xlfn.CONCAT(stableR[[#This Row],[group_0_no]:[order_no]])</f>
        <v>5500</v>
      </c>
      <c r="B98" s="15" t="s">
        <v>198</v>
      </c>
      <c r="C98" s="213" t="s">
        <v>1103</v>
      </c>
      <c r="D98" s="213" t="s">
        <v>1103</v>
      </c>
      <c r="E98" s="213" t="s">
        <v>1094</v>
      </c>
      <c r="F98" s="213" t="s">
        <v>1094</v>
      </c>
      <c r="G98" s="9" t="s">
        <v>1208</v>
      </c>
      <c r="H98" s="9" t="b">
        <v>1</v>
      </c>
      <c r="I98" s="9" t="b">
        <v>1</v>
      </c>
      <c r="J98" s="9" t="b">
        <v>0</v>
      </c>
      <c r="K98" s="9" t="b">
        <v>0</v>
      </c>
      <c r="L98" s="9" t="b">
        <v>1</v>
      </c>
      <c r="M98" s="9" t="b">
        <v>0</v>
      </c>
      <c r="N98" s="9" t="b">
        <v>0</v>
      </c>
      <c r="O98" s="9" t="b">
        <v>0</v>
      </c>
      <c r="P98" s="9" t="b">
        <v>1</v>
      </c>
      <c r="Q98" s="9" t="b">
        <v>0</v>
      </c>
      <c r="R98" s="9" t="b">
        <v>1</v>
      </c>
      <c r="S98" s="16">
        <f>COUNTIFS(stableR[q_group],stableR[[#This Row],[q_group]])</f>
        <v>1</v>
      </c>
      <c r="T98" s="9" t="b">
        <v>0</v>
      </c>
      <c r="U98" s="9" t="b">
        <v>1</v>
      </c>
      <c r="V98" s="9" t="b">
        <v>1</v>
      </c>
      <c r="W98" s="9" t="b">
        <v>0</v>
      </c>
      <c r="X98" s="9" t="str">
        <f>_xlfn.TEXTJOIN(", ",TRUE,stableR[[#This Row],[ans_opt_1]:[ans_opt_14]])</f>
        <v>No, Yes</v>
      </c>
      <c r="Y98" s="9" t="s">
        <v>119</v>
      </c>
      <c r="Z98" s="9" t="s">
        <v>149</v>
      </c>
      <c r="AA98" s="9"/>
      <c r="AB98" s="9"/>
      <c r="AC98" s="9"/>
      <c r="AD98" s="9"/>
      <c r="AE98" s="9"/>
      <c r="AF98" s="9"/>
      <c r="AG98" s="9"/>
      <c r="AH98" s="9"/>
      <c r="AI98" s="9"/>
      <c r="AJ98" s="9"/>
      <c r="AK98" s="9"/>
      <c r="AL98" s="9"/>
      <c r="AM98" s="16" t="b">
        <v>1</v>
      </c>
      <c r="AN98" s="16" t="b">
        <f>COUNTIFS(questions[qno],stableR[[#This Row],[qno]],questions[year_of_survey],2025,questions[origin],"Kenya")&gt;0</f>
        <v>1</v>
      </c>
      <c r="AO98" s="16" t="b">
        <f>COUNTIFS(questions[qno],stableR[[#This Row],[qno]],questions[year_of_survey],2025,questions[origin],"Rwanda")&gt;0</f>
        <v>1</v>
      </c>
      <c r="AP98" s="16" t="b">
        <f>COUNTIFS(questions[qno],stableR[[#This Row],[qno]],questions[year_of_survey],2026,questions[origin],"Burundi")&gt;0</f>
        <v>1</v>
      </c>
      <c r="AQ98" s="16" t="b">
        <f>COUNTIFS(questions[qno],stableR[[#This Row],[qno]],questions[year_of_survey],"",questions[origin],"Indonesia")&gt;0</f>
        <v>1</v>
      </c>
      <c r="AR98" s="16" t="b">
        <f>COUNTIFS(questions[qno],stableR[[#This Row],[qno]],questions[year_of_survey],2025,questions[origin],"Vietnam")&gt;0</f>
        <v>1</v>
      </c>
      <c r="AS98" s="16" t="b">
        <v>1</v>
      </c>
      <c r="AT98" s="16" t="b">
        <v>1</v>
      </c>
    </row>
    <row r="99" spans="1:56" x14ac:dyDescent="0.25">
      <c r="A99" s="15" t="str">
        <f>_xlfn.CONCAT(stableR[[#This Row],[group_0_no]:[order_no]])</f>
        <v>5501</v>
      </c>
      <c r="B99" s="15" t="s">
        <v>1406</v>
      </c>
      <c r="C99" s="213" t="s">
        <v>1103</v>
      </c>
      <c r="D99" s="213" t="s">
        <v>1103</v>
      </c>
      <c r="E99" s="213" t="s">
        <v>1094</v>
      </c>
      <c r="F99" s="213" t="s">
        <v>1093</v>
      </c>
      <c r="G99" s="9" t="s">
        <v>1209</v>
      </c>
      <c r="H99" s="9" t="b">
        <v>1</v>
      </c>
      <c r="I99" s="9" t="b">
        <v>1</v>
      </c>
      <c r="J99" s="9" t="b">
        <v>0</v>
      </c>
      <c r="K99" s="9" t="b">
        <v>0</v>
      </c>
      <c r="L99" s="9" t="b">
        <v>0</v>
      </c>
      <c r="M99" s="9" t="b">
        <v>0</v>
      </c>
      <c r="N99" s="9" t="b">
        <v>0</v>
      </c>
      <c r="O99" s="9" t="b">
        <v>0</v>
      </c>
      <c r="P99" s="9" t="b">
        <v>0</v>
      </c>
      <c r="Q99" s="9" t="b">
        <v>1</v>
      </c>
      <c r="R99" s="9" t="b">
        <v>1</v>
      </c>
      <c r="S99" s="16">
        <f>COUNTIFS(stableR[q_group],stableR[[#This Row],[q_group]])</f>
        <v>1</v>
      </c>
      <c r="T99" s="9" t="b">
        <v>0</v>
      </c>
      <c r="U99" s="9" t="b">
        <v>1</v>
      </c>
      <c r="V99" s="9" t="b">
        <v>1</v>
      </c>
      <c r="W99" s="9" t="b">
        <v>0</v>
      </c>
      <c r="X99" s="9" t="str">
        <f>_xlfn.TEXTJOIN(", ",TRUE,stableR[[#This Row],[ans_opt_1]:[ans_opt_14]])</f>
        <v>Crop residues (e.g., maize stalks, bean husks), Tree leaves and branches (e.g., pruned branches, dry leaves, twigs), Grasses (e.g., Napier grass, lawn clippings)</v>
      </c>
      <c r="Y99" s="9" t="s">
        <v>986</v>
      </c>
      <c r="Z99" s="9" t="s">
        <v>987</v>
      </c>
      <c r="AA99" s="9" t="s">
        <v>988</v>
      </c>
      <c r="AM99" s="16" t="b">
        <v>1</v>
      </c>
      <c r="AN99" s="16" t="b">
        <f>COUNTIFS(questions[qno],stableR[[#This Row],[qno]],questions[year_of_survey],2025,questions[origin],"Kenya")&gt;0</f>
        <v>1</v>
      </c>
      <c r="AO99" s="16" t="b">
        <f>COUNTIFS(questions[qno],stableR[[#This Row],[qno]],questions[year_of_survey],2025,questions[origin],"Rwanda")&gt;0</f>
        <v>1</v>
      </c>
      <c r="AP99" s="16" t="b">
        <f>COUNTIFS(questions[qno],stableR[[#This Row],[qno]],questions[year_of_survey],2026,questions[origin],"Burundi")&gt;0</f>
        <v>1</v>
      </c>
      <c r="AQ99" s="16" t="b">
        <f>COUNTIFS(questions[qno],stableR[[#This Row],[qno]],questions[year_of_survey],"",questions[origin],"Indonesia")&gt;0</f>
        <v>1</v>
      </c>
      <c r="AR99" s="16" t="b">
        <f>COUNTIFS(questions[qno],stableR[[#This Row],[qno]],questions[year_of_survey],2025,questions[origin],"Vietnam")&gt;0</f>
        <v>1</v>
      </c>
      <c r="AS99" s="16" t="b">
        <v>1</v>
      </c>
      <c r="AT99" s="16" t="b">
        <v>1</v>
      </c>
    </row>
    <row r="100" spans="1:56" x14ac:dyDescent="0.25">
      <c r="A100" s="15" t="str">
        <f>_xlfn.CONCAT(stableR[[#This Row],[group_0_no]:[order_no]])</f>
        <v>5502</v>
      </c>
      <c r="B100" s="15" t="s">
        <v>1407</v>
      </c>
      <c r="C100" s="213" t="s">
        <v>1103</v>
      </c>
      <c r="D100" s="213" t="s">
        <v>1103</v>
      </c>
      <c r="E100" s="213" t="s">
        <v>1094</v>
      </c>
      <c r="F100" s="213" t="s">
        <v>1097</v>
      </c>
      <c r="G100" s="9" t="s">
        <v>1210</v>
      </c>
      <c r="H100" s="9" t="b">
        <v>1</v>
      </c>
      <c r="I100" s="9" t="b">
        <v>1</v>
      </c>
      <c r="J100" s="9" t="b">
        <v>0</v>
      </c>
      <c r="K100" s="9" t="b">
        <v>0</v>
      </c>
      <c r="L100" s="9" t="b">
        <v>0</v>
      </c>
      <c r="M100" s="9" t="b">
        <v>0</v>
      </c>
      <c r="N100" s="9" t="b">
        <v>0</v>
      </c>
      <c r="O100" s="9" t="b">
        <v>1</v>
      </c>
      <c r="P100" s="9" t="b">
        <v>0</v>
      </c>
      <c r="Q100" s="9" t="b">
        <v>0</v>
      </c>
      <c r="R100" s="9" t="b">
        <v>1</v>
      </c>
      <c r="S100" s="16">
        <f>COUNTIFS(stableR[q_group],stableR[[#This Row],[q_group]])</f>
        <v>1</v>
      </c>
      <c r="T100" s="9" t="b">
        <v>0</v>
      </c>
      <c r="U100" s="9" t="b">
        <v>1</v>
      </c>
      <c r="V100" s="9" t="b">
        <v>1</v>
      </c>
      <c r="W100" s="9" t="b">
        <v>0</v>
      </c>
      <c r="X100" s="9" t="str">
        <f>_xlfn.TEXTJOIN(", ",TRUE,stableR[[#This Row],[ans_opt_1]:[ans_opt_14]])</f>
        <v/>
      </c>
      <c r="AM100" s="16" t="b">
        <v>1</v>
      </c>
      <c r="AN100" s="16" t="b">
        <f>COUNTIFS(questions[qno],stableR[[#This Row],[qno]],questions[year_of_survey],2025,questions[origin],"Kenya")&gt;0</f>
        <v>1</v>
      </c>
      <c r="AO100" s="16" t="b">
        <f>COUNTIFS(questions[qno],stableR[[#This Row],[qno]],questions[year_of_survey],2025,questions[origin],"Rwanda")&gt;0</f>
        <v>1</v>
      </c>
      <c r="AP100" s="16" t="b">
        <f>COUNTIFS(questions[qno],stableR[[#This Row],[qno]],questions[year_of_survey],2026,questions[origin],"Burundi")&gt;0</f>
        <v>1</v>
      </c>
      <c r="AQ100" s="16" t="b">
        <f>COUNTIFS(questions[qno],stableR[[#This Row],[qno]],questions[year_of_survey],"",questions[origin],"Indonesia")&gt;0</f>
        <v>1</v>
      </c>
      <c r="AR100" s="16" t="b">
        <f>COUNTIFS(questions[qno],stableR[[#This Row],[qno]],questions[year_of_survey],2025,questions[origin],"Vietnam")&gt;0</f>
        <v>1</v>
      </c>
      <c r="AS100" s="16" t="b">
        <v>1</v>
      </c>
      <c r="AT100" s="16" t="b">
        <v>1</v>
      </c>
    </row>
    <row r="101" spans="1:56" x14ac:dyDescent="0.25">
      <c r="A101" s="92" t="str">
        <f>_xlfn.CONCAT(stableR[[#This Row],[group_0_no]:[order_no]])</f>
        <v>5503</v>
      </c>
      <c r="B101" s="92" t="s">
        <v>204</v>
      </c>
      <c r="C101" s="209" t="s">
        <v>1103</v>
      </c>
      <c r="D101" s="209" t="s">
        <v>1103</v>
      </c>
      <c r="E101" s="209" t="s">
        <v>1094</v>
      </c>
      <c r="F101" s="209" t="s">
        <v>1099</v>
      </c>
      <c r="G101" s="92" t="s">
        <v>1211</v>
      </c>
      <c r="H101" s="93" t="b">
        <v>0</v>
      </c>
      <c r="I101" s="92" t="b">
        <v>1</v>
      </c>
      <c r="J101" s="92" t="b">
        <v>0</v>
      </c>
      <c r="K101" s="92" t="b">
        <v>0</v>
      </c>
      <c r="L101" s="92" t="b">
        <v>0</v>
      </c>
      <c r="M101" s="92" t="b">
        <v>0</v>
      </c>
      <c r="N101" s="92" t="b">
        <v>1</v>
      </c>
      <c r="O101" s="92" t="b">
        <v>0</v>
      </c>
      <c r="P101" s="92" t="b">
        <v>0</v>
      </c>
      <c r="Q101" s="92" t="b">
        <v>0</v>
      </c>
      <c r="R101" s="92" t="b">
        <v>1</v>
      </c>
      <c r="S101" s="209">
        <f>COUNTIFS(stableR[q_group],stableR[[#This Row],[q_group]])</f>
        <v>1</v>
      </c>
      <c r="T101" s="92" t="b">
        <v>0</v>
      </c>
      <c r="U101" s="92" t="b">
        <v>1</v>
      </c>
      <c r="V101" s="92" t="b">
        <v>1</v>
      </c>
      <c r="W101" s="92" t="b">
        <v>0</v>
      </c>
      <c r="X101" s="92" t="str">
        <f>_xlfn.TEXTJOIN(", ",TRUE,stableR[[#This Row],[ans_opt_1]:[ans_opt_14]])</f>
        <v/>
      </c>
      <c r="Y101" s="92"/>
      <c r="Z101" s="92"/>
      <c r="AA101" s="92"/>
      <c r="AB101" s="92"/>
      <c r="AC101" s="92"/>
      <c r="AD101" s="92"/>
      <c r="AE101" s="92"/>
      <c r="AF101" s="92"/>
      <c r="AG101" s="92"/>
      <c r="AH101" s="92"/>
      <c r="AI101" s="92"/>
      <c r="AJ101" s="92"/>
      <c r="AK101" s="92"/>
      <c r="AL101" s="92"/>
      <c r="AM101" s="209" t="b">
        <v>0</v>
      </c>
      <c r="AN101" s="209" t="b">
        <v>0</v>
      </c>
      <c r="AO101" s="209" t="b">
        <v>0</v>
      </c>
      <c r="AP101" s="209" t="b">
        <v>0</v>
      </c>
      <c r="AQ101" s="209" t="b">
        <v>0</v>
      </c>
      <c r="AR101" s="209" t="b">
        <v>0</v>
      </c>
      <c r="AS101" s="209" t="b">
        <v>0</v>
      </c>
      <c r="AT101" s="209" t="b">
        <v>0</v>
      </c>
    </row>
    <row r="102" spans="1:56" s="92" customFormat="1" x14ac:dyDescent="0.25">
      <c r="A102" s="15" t="str">
        <f>_xlfn.CONCAT(stableR[[#This Row],[group_0_no]:[order_no]])</f>
        <v>5504</v>
      </c>
      <c r="B102" s="15" t="s">
        <v>1408</v>
      </c>
      <c r="C102" s="213" t="s">
        <v>1103</v>
      </c>
      <c r="D102" s="213" t="s">
        <v>1103</v>
      </c>
      <c r="E102" s="213" t="s">
        <v>1094</v>
      </c>
      <c r="F102" s="213" t="s">
        <v>1101</v>
      </c>
      <c r="G102" s="9" t="s">
        <v>1212</v>
      </c>
      <c r="H102" s="9" t="b">
        <v>1</v>
      </c>
      <c r="I102" s="9" t="b">
        <v>1</v>
      </c>
      <c r="J102" s="9" t="b">
        <v>0</v>
      </c>
      <c r="K102" s="9" t="b">
        <v>0</v>
      </c>
      <c r="L102" s="9" t="b">
        <v>0</v>
      </c>
      <c r="M102" s="9" t="b">
        <v>0</v>
      </c>
      <c r="N102" s="9" t="b">
        <v>0</v>
      </c>
      <c r="O102" s="9" t="b">
        <v>0</v>
      </c>
      <c r="P102" s="9" t="b">
        <v>1</v>
      </c>
      <c r="Q102" s="9" t="b">
        <v>0</v>
      </c>
      <c r="R102" s="9" t="b">
        <v>1</v>
      </c>
      <c r="S102" s="16">
        <f>COUNTIFS(stableR[q_group],stableR[[#This Row],[q_group]])</f>
        <v>1</v>
      </c>
      <c r="T102" s="9" t="b">
        <v>0</v>
      </c>
      <c r="U102" s="9" t="b">
        <v>1</v>
      </c>
      <c r="V102" s="9" t="b">
        <v>1</v>
      </c>
      <c r="W102" s="9" t="b">
        <v>0</v>
      </c>
      <c r="X102" s="9" t="str">
        <f>_xlfn.TEXTJOIN(", ",TRUE,stableR[[#This Row],[ans_opt_1]:[ans_opt_14]])</f>
        <v>Outside the coffee plot, Inside the coffee plot, Both from inside and outside the coffee plot</v>
      </c>
      <c r="Y102" s="9" t="s">
        <v>207</v>
      </c>
      <c r="Z102" s="9" t="s">
        <v>208</v>
      </c>
      <c r="AA102" s="9" t="s">
        <v>209</v>
      </c>
      <c r="AB102" s="9"/>
      <c r="AC102" s="9"/>
      <c r="AD102" s="9"/>
      <c r="AE102" s="9"/>
      <c r="AF102" s="9"/>
      <c r="AG102" s="9"/>
      <c r="AH102" s="9"/>
      <c r="AI102" s="9"/>
      <c r="AJ102" s="9"/>
      <c r="AK102" s="9"/>
      <c r="AL102" s="9"/>
      <c r="AM102" s="16" t="b">
        <v>1</v>
      </c>
      <c r="AN102" s="16" t="b">
        <f>COUNTIFS(questions[qno],stableR[[#This Row],[qno]],questions[year_of_survey],2025,questions[origin],"Kenya")&gt;0</f>
        <v>1</v>
      </c>
      <c r="AO102" s="16" t="b">
        <f>COUNTIFS(questions[qno],stableR[[#This Row],[qno]],questions[year_of_survey],2025,questions[origin],"Rwanda")&gt;0</f>
        <v>1</v>
      </c>
      <c r="AP102" s="16" t="b">
        <f>COUNTIFS(questions[qno],stableR[[#This Row],[qno]],questions[year_of_survey],2026,questions[origin],"Burundi")&gt;0</f>
        <v>1</v>
      </c>
      <c r="AQ102" s="16" t="b">
        <f>COUNTIFS(questions[qno],stableR[[#This Row],[qno]],questions[year_of_survey],"",questions[origin],"Indonesia")&gt;0</f>
        <v>1</v>
      </c>
      <c r="AR102" s="16" t="b">
        <f>COUNTIFS(questions[qno],stableR[[#This Row],[qno]],questions[year_of_survey],2025,questions[origin],"Vietnam")&gt;0</f>
        <v>1</v>
      </c>
      <c r="AS102" s="16" t="b">
        <v>1</v>
      </c>
      <c r="AT102" s="16" t="b">
        <v>1</v>
      </c>
    </row>
    <row r="103" spans="1:56" x14ac:dyDescent="0.25">
      <c r="A103" s="15" t="str">
        <f>_xlfn.CONCAT(stableR[[#This Row],[group_0_no]:[order_no]])</f>
        <v>5505</v>
      </c>
      <c r="B103" s="15" t="s">
        <v>769</v>
      </c>
      <c r="C103" s="213" t="s">
        <v>1103</v>
      </c>
      <c r="D103" s="213" t="s">
        <v>1103</v>
      </c>
      <c r="E103" s="213" t="s">
        <v>1094</v>
      </c>
      <c r="F103" s="213" t="s">
        <v>1103</v>
      </c>
      <c r="G103" s="9" t="s">
        <v>1213</v>
      </c>
      <c r="H103" s="9" t="b">
        <v>1</v>
      </c>
      <c r="I103" s="9" t="b">
        <v>1</v>
      </c>
      <c r="J103" s="9" t="b">
        <v>0</v>
      </c>
      <c r="K103" s="9" t="b">
        <v>0</v>
      </c>
      <c r="L103" s="9" t="b">
        <v>0</v>
      </c>
      <c r="M103" s="9" t="b">
        <v>0</v>
      </c>
      <c r="N103" s="9" t="b">
        <v>0</v>
      </c>
      <c r="O103" s="9" t="b">
        <v>0</v>
      </c>
      <c r="P103" s="9" t="b">
        <v>1</v>
      </c>
      <c r="Q103" s="9" t="b">
        <v>0</v>
      </c>
      <c r="R103" s="9" t="b">
        <v>1</v>
      </c>
      <c r="S103" s="16">
        <f>COUNTIFS(stableR[q_group],stableR[[#This Row],[q_group]])</f>
        <v>1</v>
      </c>
      <c r="T103" s="9" t="b">
        <v>0</v>
      </c>
      <c r="U103" s="9" t="b">
        <v>1</v>
      </c>
      <c r="V103" s="9" t="b">
        <v>1</v>
      </c>
      <c r="W103" s="9" t="b">
        <v>0</v>
      </c>
      <c r="X103" s="9" t="str">
        <f>_xlfn.TEXTJOIN(", ",TRUE,stableR[[#This Row],[ans_opt_1]:[ans_opt_14]])</f>
        <v>Bought, From own farm, Received for free, Both from own farm &amp; bought/received from outside the farm</v>
      </c>
      <c r="Y103" s="9" t="s">
        <v>185</v>
      </c>
      <c r="Z103" s="9" t="s">
        <v>186</v>
      </c>
      <c r="AA103" s="9" t="s">
        <v>187</v>
      </c>
      <c r="AB103" s="9" t="s">
        <v>188</v>
      </c>
      <c r="AM103" s="16" t="b">
        <v>1</v>
      </c>
      <c r="AN103" s="16" t="b">
        <f>COUNTIFS(questions[qno],stableR[[#This Row],[qno]],questions[year_of_survey],2025,questions[origin],"Kenya")&gt;0</f>
        <v>1</v>
      </c>
      <c r="AO103" s="16" t="b">
        <f>COUNTIFS(questions[qno],stableR[[#This Row],[qno]],questions[year_of_survey],2025,questions[origin],"Rwanda")&gt;0</f>
        <v>1</v>
      </c>
      <c r="AP103" s="16" t="b">
        <f>COUNTIFS(questions[qno],stableR[[#This Row],[qno]],questions[year_of_survey],2026,questions[origin],"Burundi")&gt;0</f>
        <v>1</v>
      </c>
      <c r="AQ103" s="16" t="b">
        <f>COUNTIFS(questions[qno],stableR[[#This Row],[qno]],questions[year_of_survey],"",questions[origin],"Indonesia")&gt;0</f>
        <v>1</v>
      </c>
      <c r="AR103" s="16" t="b">
        <f>COUNTIFS(questions[qno],stableR[[#This Row],[qno]],questions[year_of_survey],2025,questions[origin],"Vietnam")&gt;0</f>
        <v>1</v>
      </c>
      <c r="AS103" s="16" t="b">
        <v>1</v>
      </c>
      <c r="AT103" s="16" t="b">
        <v>1</v>
      </c>
    </row>
    <row r="104" spans="1:56" x14ac:dyDescent="0.25">
      <c r="A104" s="15" t="str">
        <f>_xlfn.CONCAT(stableR[[#This Row],[group_0_no]:[order_no]])</f>
        <v>5600</v>
      </c>
      <c r="B104" s="18" t="s">
        <v>1214</v>
      </c>
      <c r="C104" s="213" t="s">
        <v>1103</v>
      </c>
      <c r="D104" s="213" t="s">
        <v>1105</v>
      </c>
      <c r="E104" s="213" t="s">
        <v>1094</v>
      </c>
      <c r="F104" s="213" t="s">
        <v>1094</v>
      </c>
      <c r="G104" s="9" t="s">
        <v>1215</v>
      </c>
      <c r="H104" s="9" t="b">
        <v>1</v>
      </c>
      <c r="I104" s="9" t="b">
        <v>1</v>
      </c>
      <c r="J104" s="9" t="b">
        <v>0</v>
      </c>
      <c r="K104" s="9" t="b">
        <v>0</v>
      </c>
      <c r="L104" s="9" t="b">
        <v>1</v>
      </c>
      <c r="M104" s="9" t="b">
        <v>0</v>
      </c>
      <c r="N104" s="9" t="b">
        <v>0</v>
      </c>
      <c r="O104" s="9" t="b">
        <v>0</v>
      </c>
      <c r="P104" s="9" t="b">
        <v>1</v>
      </c>
      <c r="Q104" s="9" t="b">
        <v>0</v>
      </c>
      <c r="R104" s="9" t="b">
        <v>1</v>
      </c>
      <c r="S104" s="16">
        <f>COUNTIFS(stableR[q_group],stableR[[#This Row],[q_group]])</f>
        <v>1</v>
      </c>
      <c r="T104" s="9" t="b">
        <v>0</v>
      </c>
      <c r="U104" s="9" t="b">
        <v>1</v>
      </c>
      <c r="V104" s="9" t="b">
        <v>1</v>
      </c>
      <c r="W104" s="9" t="b">
        <v>0</v>
      </c>
      <c r="X104" s="9" t="str">
        <f>_xlfn.TEXTJOIN(", ",TRUE,stableR[[#This Row],[ans_opt_1]:[ans_opt_14]])</f>
        <v>No, Yes</v>
      </c>
      <c r="Y104" s="9" t="s">
        <v>119</v>
      </c>
      <c r="Z104" s="9" t="s">
        <v>149</v>
      </c>
      <c r="AM104" s="16" t="b">
        <v>1</v>
      </c>
      <c r="AN104" s="16" t="b">
        <f>COUNTIFS(questions[qno],stableR[[#This Row],[qno]],questions[year_of_survey],2025,questions[origin],"Kenya")&gt;0</f>
        <v>1</v>
      </c>
      <c r="AO104" s="16" t="b">
        <f>COUNTIFS(questions[qno],stableR[[#This Row],[qno]],questions[year_of_survey],2025,questions[origin],"Rwanda")&gt;0</f>
        <v>1</v>
      </c>
      <c r="AP104" s="16" t="b">
        <f>COUNTIFS(questions[qno],stableR[[#This Row],[qno]],questions[year_of_survey],2026,questions[origin],"Burundi")&gt;0</f>
        <v>1</v>
      </c>
      <c r="AQ104" s="16" t="b">
        <f>COUNTIFS(questions[qno],stableR[[#This Row],[qno]],questions[year_of_survey],"",questions[origin],"Indonesia")&gt;0</f>
        <v>1</v>
      </c>
      <c r="AR104" s="16" t="b">
        <f>COUNTIFS(questions[qno],stableR[[#This Row],[qno]],questions[year_of_survey],2025,questions[origin],"Vietnam")&gt;0</f>
        <v>1</v>
      </c>
      <c r="AS104" s="16" t="b">
        <v>1</v>
      </c>
      <c r="AT104" s="16" t="b">
        <v>1</v>
      </c>
    </row>
    <row r="105" spans="1:56" x14ac:dyDescent="0.25">
      <c r="A105" s="92" t="str">
        <f>_xlfn.CONCAT(stableR[[#This Row],[group_0_no]:[order_no]])</f>
        <v>5601</v>
      </c>
      <c r="B105" s="92" t="s">
        <v>1216</v>
      </c>
      <c r="C105" s="209" t="s">
        <v>1103</v>
      </c>
      <c r="D105" s="209" t="s">
        <v>1105</v>
      </c>
      <c r="E105" s="209" t="s">
        <v>1094</v>
      </c>
      <c r="F105" s="209" t="s">
        <v>1093</v>
      </c>
      <c r="G105" s="92" t="s">
        <v>1217</v>
      </c>
      <c r="H105" s="93" t="b">
        <v>0</v>
      </c>
      <c r="I105" s="92" t="b">
        <v>1</v>
      </c>
      <c r="J105" s="92" t="b">
        <v>0</v>
      </c>
      <c r="K105" s="92" t="b">
        <v>0</v>
      </c>
      <c r="L105" s="92" t="b">
        <v>0</v>
      </c>
      <c r="M105" s="92" t="b">
        <v>0</v>
      </c>
      <c r="N105" s="92" t="b">
        <v>0</v>
      </c>
      <c r="O105" s="92" t="b">
        <v>1</v>
      </c>
      <c r="P105" s="92" t="b">
        <v>0</v>
      </c>
      <c r="Q105" s="92" t="b">
        <v>0</v>
      </c>
      <c r="R105" s="92" t="b">
        <v>1</v>
      </c>
      <c r="S105" s="209">
        <f>COUNTIFS(stableR[q_group],stableR[[#This Row],[q_group]])</f>
        <v>1</v>
      </c>
      <c r="T105" s="92" t="b">
        <v>0</v>
      </c>
      <c r="U105" s="92" t="b">
        <v>1</v>
      </c>
      <c r="V105" s="92" t="b">
        <v>1</v>
      </c>
      <c r="W105" s="92" t="b">
        <v>0</v>
      </c>
      <c r="X105" s="92" t="str">
        <f>_xlfn.TEXTJOIN(", ",TRUE,stableR[[#This Row],[ans_opt_1]:[ans_opt_14]])</f>
        <v/>
      </c>
      <c r="Y105" s="92"/>
      <c r="Z105" s="92"/>
      <c r="AA105" s="92"/>
      <c r="AB105" s="92"/>
      <c r="AC105" s="92"/>
      <c r="AD105" s="92"/>
      <c r="AE105" s="92"/>
      <c r="AF105" s="92"/>
      <c r="AG105" s="92"/>
      <c r="AH105" s="92"/>
      <c r="AI105" s="92"/>
      <c r="AJ105" s="92"/>
      <c r="AK105" s="92"/>
      <c r="AL105" s="92"/>
      <c r="AM105" s="209" t="b">
        <v>0</v>
      </c>
      <c r="AN105" s="209" t="b">
        <v>0</v>
      </c>
      <c r="AO105" s="209" t="b">
        <v>0</v>
      </c>
      <c r="AP105" s="209" t="b">
        <v>0</v>
      </c>
      <c r="AQ105" s="209" t="b">
        <v>0</v>
      </c>
      <c r="AR105" s="209" t="b">
        <v>0</v>
      </c>
      <c r="AS105" s="209" t="b">
        <v>0</v>
      </c>
      <c r="AT105" s="209" t="b">
        <v>0</v>
      </c>
    </row>
    <row r="106" spans="1:56" x14ac:dyDescent="0.25">
      <c r="A106" s="15" t="str">
        <f>_xlfn.CONCAT(stableR[[#This Row],[group_0_no]:[order_no]])</f>
        <v>5610</v>
      </c>
      <c r="B106" s="71" t="s">
        <v>1409</v>
      </c>
      <c r="C106" s="213" t="s">
        <v>1103</v>
      </c>
      <c r="D106" s="213" t="s">
        <v>1105</v>
      </c>
      <c r="E106" s="213" t="s">
        <v>1093</v>
      </c>
      <c r="F106" s="213" t="s">
        <v>1094</v>
      </c>
      <c r="G106" s="9" t="s">
        <v>1218</v>
      </c>
      <c r="H106" s="9" t="b">
        <v>1</v>
      </c>
      <c r="I106" s="9" t="b">
        <v>1</v>
      </c>
      <c r="J106" s="9" t="b">
        <v>0</v>
      </c>
      <c r="K106" s="9" t="b">
        <v>0</v>
      </c>
      <c r="L106" s="9" t="b">
        <v>0</v>
      </c>
      <c r="M106" s="9" t="b">
        <v>0</v>
      </c>
      <c r="N106" s="9" t="b">
        <v>1</v>
      </c>
      <c r="O106" s="9" t="b">
        <v>0</v>
      </c>
      <c r="P106" s="9" t="b">
        <v>0</v>
      </c>
      <c r="Q106" s="9" t="b">
        <v>0</v>
      </c>
      <c r="R106" s="9" t="b">
        <v>1</v>
      </c>
      <c r="S106" s="16">
        <f>COUNTIFS(stableR[q_group],stableR[[#This Row],[q_group]])</f>
        <v>1</v>
      </c>
      <c r="T106" s="9" t="b">
        <v>0</v>
      </c>
      <c r="U106" s="9" t="b">
        <v>1</v>
      </c>
      <c r="V106" s="9" t="b">
        <v>1</v>
      </c>
      <c r="W106" s="9" t="b">
        <v>0</v>
      </c>
      <c r="X106" s="9" t="str">
        <f>_xlfn.TEXTJOIN(", ",TRUE,stableR[[#This Row],[ans_opt_1]:[ans_opt_14]])</f>
        <v/>
      </c>
      <c r="AM106" s="16" t="b">
        <v>1</v>
      </c>
      <c r="AN106" s="16" t="b">
        <f>COUNTIFS(questions[qno],stableR[[#This Row],[qno]],questions[year_of_survey],2025,questions[origin],"Kenya")&gt;0</f>
        <v>1</v>
      </c>
      <c r="AO106" s="16" t="b">
        <f>COUNTIFS(questions[qno],stableR[[#This Row],[qno]],questions[year_of_survey],2025,questions[origin],"Rwanda")&gt;0</f>
        <v>1</v>
      </c>
      <c r="AP106" s="16" t="b">
        <f>COUNTIFS(questions[qno],stableR[[#This Row],[qno]],questions[year_of_survey],2026,questions[origin],"Burundi")&gt;0</f>
        <v>1</v>
      </c>
      <c r="AQ106" s="16" t="b">
        <f>COUNTIFS(questions[qno],stableR[[#This Row],[qno]],questions[year_of_survey],"",questions[origin],"Indonesia")&gt;0</f>
        <v>1</v>
      </c>
      <c r="AR106" s="16" t="b">
        <f>COUNTIFS(questions[qno],stableR[[#This Row],[qno]],questions[year_of_survey],2025,questions[origin],"Vietnam")&gt;0</f>
        <v>1</v>
      </c>
      <c r="AS106" s="16" t="b">
        <v>1</v>
      </c>
      <c r="AT106" s="16" t="b">
        <v>1</v>
      </c>
    </row>
    <row r="107" spans="1:56" x14ac:dyDescent="0.25">
      <c r="A107" s="15" t="str">
        <f>_xlfn.CONCAT(stableR[[#This Row],[group_0_no]:[order_no]])</f>
        <v>5611</v>
      </c>
      <c r="B107" s="15" t="s">
        <v>219</v>
      </c>
      <c r="C107" s="213" t="s">
        <v>1103</v>
      </c>
      <c r="D107" s="213" t="s">
        <v>1105</v>
      </c>
      <c r="E107" s="213" t="s">
        <v>1093</v>
      </c>
      <c r="F107" s="213" t="s">
        <v>1093</v>
      </c>
      <c r="G107" s="9" t="s">
        <v>1219</v>
      </c>
      <c r="H107" s="9" t="b">
        <v>1</v>
      </c>
      <c r="I107" s="9" t="b">
        <v>1</v>
      </c>
      <c r="J107" s="9" t="b">
        <v>0</v>
      </c>
      <c r="K107" s="9" t="b">
        <v>0</v>
      </c>
      <c r="L107" s="9" t="b">
        <v>0</v>
      </c>
      <c r="M107" s="9" t="b">
        <v>0</v>
      </c>
      <c r="N107" s="9" t="b">
        <v>0</v>
      </c>
      <c r="O107" s="9" t="b">
        <v>1</v>
      </c>
      <c r="P107" s="9" t="b">
        <v>0</v>
      </c>
      <c r="Q107" s="9" t="b">
        <v>0</v>
      </c>
      <c r="R107" s="9" t="b">
        <v>1</v>
      </c>
      <c r="S107" s="16">
        <f>COUNTIFS(stableR[q_group],stableR[[#This Row],[q_group]])</f>
        <v>1</v>
      </c>
      <c r="T107" s="9" t="b">
        <v>0</v>
      </c>
      <c r="U107" s="9" t="b">
        <v>1</v>
      </c>
      <c r="V107" s="9" t="b">
        <v>1</v>
      </c>
      <c r="W107" s="9" t="b">
        <v>0</v>
      </c>
      <c r="X107" s="9" t="str">
        <f>_xlfn.TEXTJOIN(", ",TRUE,stableR[[#This Row],[ans_opt_1]:[ans_opt_14]])</f>
        <v/>
      </c>
      <c r="AM107" s="16" t="b">
        <v>1</v>
      </c>
      <c r="AN107" s="16" t="b">
        <f>COUNTIFS(questions[qno],stableR[[#This Row],[qno]],questions[year_of_survey],2025,questions[origin],"Kenya")&gt;0</f>
        <v>1</v>
      </c>
      <c r="AO107" s="16" t="b">
        <f>COUNTIFS(questions[qno],stableR[[#This Row],[qno]],questions[year_of_survey],2025,questions[origin],"Rwanda")&gt;0</f>
        <v>1</v>
      </c>
      <c r="AP107" s="16" t="b">
        <f>COUNTIFS(questions[qno],stableR[[#This Row],[qno]],questions[year_of_survey],2026,questions[origin],"Burundi")&gt;0</f>
        <v>1</v>
      </c>
      <c r="AQ107" s="16" t="b">
        <f>COUNTIFS(questions[qno],stableR[[#This Row],[qno]],questions[year_of_survey],"",questions[origin],"Indonesia")&gt;0</f>
        <v>1</v>
      </c>
      <c r="AR107" s="16" t="b">
        <f>COUNTIFS(questions[qno],stableR[[#This Row],[qno]],questions[year_of_survey],2025,questions[origin],"Vietnam")&gt;0</f>
        <v>1</v>
      </c>
      <c r="AS107" s="16" t="b">
        <v>1</v>
      </c>
      <c r="AT107" s="16" t="b">
        <v>1</v>
      </c>
    </row>
    <row r="108" spans="1:56" x14ac:dyDescent="0.25">
      <c r="A108" s="15" t="str">
        <f>_xlfn.CONCAT(stableR[[#This Row],[group_0_no]:[order_no]])</f>
        <v>5612</v>
      </c>
      <c r="B108" s="15" t="s">
        <v>772</v>
      </c>
      <c r="C108" s="213" t="s">
        <v>1103</v>
      </c>
      <c r="D108" s="213" t="s">
        <v>1105</v>
      </c>
      <c r="E108" s="213" t="s">
        <v>1093</v>
      </c>
      <c r="F108" s="213" t="s">
        <v>1097</v>
      </c>
      <c r="G108" s="9" t="s">
        <v>1220</v>
      </c>
      <c r="H108" s="9" t="b">
        <v>1</v>
      </c>
      <c r="I108" s="9" t="b">
        <v>1</v>
      </c>
      <c r="J108" s="9" t="b">
        <v>0</v>
      </c>
      <c r="K108" s="9" t="b">
        <v>0</v>
      </c>
      <c r="L108" s="9" t="b">
        <v>0</v>
      </c>
      <c r="M108" s="9" t="b">
        <v>0</v>
      </c>
      <c r="N108" s="9" t="b">
        <v>0</v>
      </c>
      <c r="O108" s="9" t="b">
        <v>0</v>
      </c>
      <c r="P108" s="9" t="b">
        <v>1</v>
      </c>
      <c r="Q108" s="9" t="b">
        <v>0</v>
      </c>
      <c r="R108" s="9" t="b">
        <v>1</v>
      </c>
      <c r="S108" s="16">
        <f>COUNTIFS(stableR[q_group],stableR[[#This Row],[q_group]])</f>
        <v>1</v>
      </c>
      <c r="T108" s="9" t="b">
        <v>0</v>
      </c>
      <c r="U108" s="9" t="b">
        <v>1</v>
      </c>
      <c r="V108" s="9" t="b">
        <v>1</v>
      </c>
      <c r="W108" s="9" t="b">
        <v>0</v>
      </c>
      <c r="X108" s="9" t="str">
        <f>_xlfn.TEXTJOIN(", ",TRUE,stableR[[#This Row],[ans_opt_1]:[ans_opt_14]])</f>
        <v>Kgs, Grams, Liters, Mililiters</v>
      </c>
      <c r="Y108" s="9" t="s">
        <v>222</v>
      </c>
      <c r="Z108" s="9" t="s">
        <v>223</v>
      </c>
      <c r="AA108" s="9" t="s">
        <v>224</v>
      </c>
      <c r="AB108" s="9" t="s">
        <v>225</v>
      </c>
      <c r="AM108" s="16" t="b">
        <v>1</v>
      </c>
      <c r="AN108" s="16" t="b">
        <f>COUNTIFS(questions[qno],stableR[[#This Row],[qno]],questions[year_of_survey],2025,questions[origin],"Kenya")&gt;0</f>
        <v>1</v>
      </c>
      <c r="AO108" s="16" t="b">
        <f>COUNTIFS(questions[qno],stableR[[#This Row],[qno]],questions[year_of_survey],2025,questions[origin],"Rwanda")&gt;0</f>
        <v>1</v>
      </c>
      <c r="AP108" s="16" t="b">
        <f>COUNTIFS(questions[qno],stableR[[#This Row],[qno]],questions[year_of_survey],2026,questions[origin],"Burundi")&gt;0</f>
        <v>1</v>
      </c>
      <c r="AQ108" s="16" t="b">
        <f>COUNTIFS(questions[qno],stableR[[#This Row],[qno]],questions[year_of_survey],"",questions[origin],"Indonesia")&gt;0</f>
        <v>1</v>
      </c>
      <c r="AR108" s="16" t="b">
        <f>COUNTIFS(questions[qno],stableR[[#This Row],[qno]],questions[year_of_survey],2025,questions[origin],"Vietnam")&gt;0</f>
        <v>1</v>
      </c>
      <c r="AS108" s="16" t="b">
        <v>1</v>
      </c>
      <c r="AT108" s="16" t="b">
        <v>1</v>
      </c>
    </row>
    <row r="109" spans="1:56" x14ac:dyDescent="0.25">
      <c r="A109" s="15" t="str">
        <f>_xlfn.CONCAT(stableR[[#This Row],[group_0_no]:[order_no]])</f>
        <v>5620</v>
      </c>
      <c r="B109" s="71" t="s">
        <v>1410</v>
      </c>
      <c r="C109" s="213" t="s">
        <v>1103</v>
      </c>
      <c r="D109" s="213" t="s">
        <v>1105</v>
      </c>
      <c r="E109" s="213" t="s">
        <v>1097</v>
      </c>
      <c r="F109" s="213" t="s">
        <v>1094</v>
      </c>
      <c r="G109" s="9" t="s">
        <v>1221</v>
      </c>
      <c r="H109" s="9" t="b">
        <v>1</v>
      </c>
      <c r="I109" s="9" t="b">
        <v>1</v>
      </c>
      <c r="J109" s="9" t="b">
        <v>0</v>
      </c>
      <c r="K109" s="9" t="b">
        <v>0</v>
      </c>
      <c r="L109" s="9" t="b">
        <v>0</v>
      </c>
      <c r="M109" s="9" t="b">
        <v>0</v>
      </c>
      <c r="N109" s="9" t="b">
        <v>1</v>
      </c>
      <c r="O109" s="9" t="b">
        <v>0</v>
      </c>
      <c r="P109" s="9" t="b">
        <v>0</v>
      </c>
      <c r="Q109" s="9" t="b">
        <v>0</v>
      </c>
      <c r="R109" s="9" t="b">
        <v>1</v>
      </c>
      <c r="S109" s="16">
        <f>COUNTIFS(stableR[q_group],stableR[[#This Row],[q_group]])</f>
        <v>1</v>
      </c>
      <c r="T109" s="9" t="b">
        <v>0</v>
      </c>
      <c r="U109" s="9" t="b">
        <v>1</v>
      </c>
      <c r="V109" s="9" t="b">
        <v>1</v>
      </c>
      <c r="W109" s="9" t="b">
        <v>0</v>
      </c>
      <c r="X109" s="9" t="str">
        <f>_xlfn.TEXTJOIN(", ",TRUE,stableR[[#This Row],[ans_opt_1]:[ans_opt_14]])</f>
        <v/>
      </c>
      <c r="AM109" s="16" t="b">
        <v>1</v>
      </c>
      <c r="AN109" s="16" t="b">
        <f>COUNTIFS(questions[qno],stableR[[#This Row],[qno]],questions[year_of_survey],2025,questions[origin],"Kenya")&gt;0</f>
        <v>1</v>
      </c>
      <c r="AO109" s="16" t="b">
        <f>COUNTIFS(questions[qno],stableR[[#This Row],[qno]],questions[year_of_survey],2025,questions[origin],"Rwanda")&gt;0</f>
        <v>1</v>
      </c>
      <c r="AP109" s="16" t="b">
        <f>COUNTIFS(questions[qno],stableR[[#This Row],[qno]],questions[year_of_survey],2026,questions[origin],"Burundi")&gt;0</f>
        <v>1</v>
      </c>
      <c r="AQ109" s="16" t="b">
        <f>COUNTIFS(questions[qno],stableR[[#This Row],[qno]],questions[year_of_survey],"",questions[origin],"Indonesia")&gt;0</f>
        <v>1</v>
      </c>
      <c r="AR109" s="16" t="b">
        <f>COUNTIFS(questions[qno],stableR[[#This Row],[qno]],questions[year_of_survey],2025,questions[origin],"Vietnam")&gt;0</f>
        <v>1</v>
      </c>
      <c r="AS109" s="16" t="b">
        <v>1</v>
      </c>
      <c r="AT109" s="16" t="b">
        <v>1</v>
      </c>
    </row>
    <row r="110" spans="1:56" x14ac:dyDescent="0.25">
      <c r="A110" s="15" t="str">
        <f>_xlfn.CONCAT(stableR[[#This Row],[group_0_no]:[order_no]])</f>
        <v>5621</v>
      </c>
      <c r="B110" s="15" t="s">
        <v>229</v>
      </c>
      <c r="C110" s="213" t="s">
        <v>1103</v>
      </c>
      <c r="D110" s="213" t="s">
        <v>1105</v>
      </c>
      <c r="E110" s="213" t="s">
        <v>1097</v>
      </c>
      <c r="F110" s="213" t="s">
        <v>1093</v>
      </c>
      <c r="G110" s="15" t="s">
        <v>1222</v>
      </c>
      <c r="H110" s="9" t="b">
        <v>1</v>
      </c>
      <c r="I110" s="15" t="b">
        <v>1</v>
      </c>
      <c r="J110" s="15" t="b">
        <v>0</v>
      </c>
      <c r="K110" s="15" t="b">
        <v>0</v>
      </c>
      <c r="L110" s="15" t="b">
        <v>0</v>
      </c>
      <c r="M110" s="15" t="b">
        <v>0</v>
      </c>
      <c r="N110" s="15" t="b">
        <v>0</v>
      </c>
      <c r="O110" s="15" t="b">
        <v>1</v>
      </c>
      <c r="P110" s="15" t="b">
        <v>0</v>
      </c>
      <c r="Q110" s="15" t="b">
        <v>0</v>
      </c>
      <c r="R110" s="15" t="b">
        <v>1</v>
      </c>
      <c r="S110" s="213">
        <f>COUNTIFS(stableR[q_group],stableR[[#This Row],[q_group]])</f>
        <v>1</v>
      </c>
      <c r="T110" s="235" t="b">
        <v>0</v>
      </c>
      <c r="U110" s="235" t="b">
        <v>1</v>
      </c>
      <c r="V110" s="235" t="b">
        <v>1</v>
      </c>
      <c r="W110" s="235" t="b">
        <v>0</v>
      </c>
      <c r="X110" s="9" t="str">
        <f>_xlfn.TEXTJOIN(", ",TRUE,stableR[[#This Row],[ans_opt_1]:[ans_opt_14]])</f>
        <v/>
      </c>
      <c r="AM110" s="16" t="b">
        <v>1</v>
      </c>
      <c r="AN110" s="16" t="b">
        <f>COUNTIFS(questions[qno],stableR[[#This Row],[qno]],questions[year_of_survey],2025,questions[origin],"Kenya")&gt;0</f>
        <v>1</v>
      </c>
      <c r="AO110" s="16" t="b">
        <f>COUNTIFS(questions[qno],stableR[[#This Row],[qno]],questions[year_of_survey],2025,questions[origin],"Rwanda")&gt;0</f>
        <v>1</v>
      </c>
      <c r="AP110" s="16" t="b">
        <f>COUNTIFS(questions[qno],stableR[[#This Row],[qno]],questions[year_of_survey],2026,questions[origin],"Burundi")&gt;0</f>
        <v>1</v>
      </c>
      <c r="AQ110" s="16" t="b">
        <f>COUNTIFS(questions[qno],stableR[[#This Row],[qno]],questions[year_of_survey],"",questions[origin],"Indonesia")&gt;0</f>
        <v>1</v>
      </c>
      <c r="AR110" s="16" t="b">
        <f>COUNTIFS(questions[qno],stableR[[#This Row],[qno]],questions[year_of_survey],2025,questions[origin],"Vietnam")&gt;0</f>
        <v>1</v>
      </c>
      <c r="AS110" s="16" t="b">
        <v>1</v>
      </c>
      <c r="AT110" s="16" t="b">
        <v>1</v>
      </c>
    </row>
    <row r="111" spans="1:56" x14ac:dyDescent="0.25">
      <c r="A111" s="15" t="str">
        <f>_xlfn.CONCAT(stableR[[#This Row],[group_0_no]:[order_no]])</f>
        <v>5622</v>
      </c>
      <c r="B111" s="15" t="s">
        <v>774</v>
      </c>
      <c r="C111" s="213" t="s">
        <v>1103</v>
      </c>
      <c r="D111" s="213" t="s">
        <v>1105</v>
      </c>
      <c r="E111" s="213" t="s">
        <v>1097</v>
      </c>
      <c r="F111" s="213" t="s">
        <v>1097</v>
      </c>
      <c r="G111" s="9" t="s">
        <v>1223</v>
      </c>
      <c r="H111" s="9" t="b">
        <v>1</v>
      </c>
      <c r="I111" s="9" t="b">
        <v>1</v>
      </c>
      <c r="J111" s="9" t="b">
        <v>0</v>
      </c>
      <c r="K111" s="9" t="b">
        <v>0</v>
      </c>
      <c r="L111" s="9" t="b">
        <v>0</v>
      </c>
      <c r="M111" s="9" t="b">
        <v>0</v>
      </c>
      <c r="N111" s="9" t="b">
        <v>0</v>
      </c>
      <c r="O111" s="9" t="b">
        <v>0</v>
      </c>
      <c r="P111" s="9" t="b">
        <v>1</v>
      </c>
      <c r="Q111" s="9" t="b">
        <v>0</v>
      </c>
      <c r="R111" s="9" t="b">
        <v>1</v>
      </c>
      <c r="S111" s="16">
        <f>COUNTIFS(stableR[q_group],stableR[[#This Row],[q_group]])</f>
        <v>1</v>
      </c>
      <c r="T111" s="9" t="b">
        <v>0</v>
      </c>
      <c r="U111" s="9" t="b">
        <v>1</v>
      </c>
      <c r="V111" s="9" t="b">
        <v>1</v>
      </c>
      <c r="W111" s="9" t="b">
        <v>0</v>
      </c>
      <c r="X111" s="9" t="str">
        <f>_xlfn.TEXTJOIN(", ",TRUE,stableR[[#This Row],[ans_opt_1]:[ans_opt_14]])</f>
        <v>Kgs, Grams, Liters, Mililiters</v>
      </c>
      <c r="Y111" s="9" t="s">
        <v>222</v>
      </c>
      <c r="Z111" s="9" t="s">
        <v>223</v>
      </c>
      <c r="AA111" s="9" t="s">
        <v>224</v>
      </c>
      <c r="AB111" s="9" t="s">
        <v>225</v>
      </c>
      <c r="AM111" s="16" t="b">
        <v>1</v>
      </c>
      <c r="AN111" s="16" t="b">
        <f>COUNTIFS(questions[qno],stableR[[#This Row],[qno]],questions[year_of_survey],2025,questions[origin],"Kenya")&gt;0</f>
        <v>1</v>
      </c>
      <c r="AO111" s="16" t="b">
        <f>COUNTIFS(questions[qno],stableR[[#This Row],[qno]],questions[year_of_survey],2025,questions[origin],"Rwanda")&gt;0</f>
        <v>1</v>
      </c>
      <c r="AP111" s="16" t="b">
        <f>COUNTIFS(questions[qno],stableR[[#This Row],[qno]],questions[year_of_survey],2026,questions[origin],"Burundi")&gt;0</f>
        <v>1</v>
      </c>
      <c r="AQ111" s="16" t="b">
        <f>COUNTIFS(questions[qno],stableR[[#This Row],[qno]],questions[year_of_survey],"",questions[origin],"Indonesia")&gt;0</f>
        <v>1</v>
      </c>
      <c r="AR111" s="16" t="b">
        <f>COUNTIFS(questions[qno],stableR[[#This Row],[qno]],questions[year_of_survey],2025,questions[origin],"Vietnam")&gt;0</f>
        <v>1</v>
      </c>
      <c r="AS111" s="16" t="b">
        <v>1</v>
      </c>
      <c r="AT111" s="16" t="b">
        <v>1</v>
      </c>
    </row>
    <row r="112" spans="1:56" s="22" customFormat="1" x14ac:dyDescent="0.25">
      <c r="A112" s="15" t="str">
        <f>_xlfn.CONCAT(stableR[[#This Row],[group_0_no]:[order_no]])</f>
        <v>5630</v>
      </c>
      <c r="B112" s="18" t="s">
        <v>1411</v>
      </c>
      <c r="C112" s="213" t="s">
        <v>1103</v>
      </c>
      <c r="D112" s="213" t="s">
        <v>1105</v>
      </c>
      <c r="E112" s="213" t="s">
        <v>1099</v>
      </c>
      <c r="F112" s="213" t="s">
        <v>1094</v>
      </c>
      <c r="G112" s="9" t="s">
        <v>1224</v>
      </c>
      <c r="H112" s="9" t="b">
        <v>1</v>
      </c>
      <c r="I112" s="9" t="b">
        <v>1</v>
      </c>
      <c r="J112" s="9" t="b">
        <v>0</v>
      </c>
      <c r="K112" s="9" t="b">
        <v>0</v>
      </c>
      <c r="L112" s="9" t="b">
        <v>0</v>
      </c>
      <c r="M112" s="9" t="b">
        <v>0</v>
      </c>
      <c r="N112" s="9" t="b">
        <v>1</v>
      </c>
      <c r="O112" s="9" t="b">
        <v>0</v>
      </c>
      <c r="P112" s="9" t="b">
        <v>0</v>
      </c>
      <c r="Q112" s="9" t="b">
        <v>0</v>
      </c>
      <c r="R112" s="9" t="b">
        <v>1</v>
      </c>
      <c r="S112" s="16">
        <f>COUNTIFS(stableR[q_group],stableR[[#This Row],[q_group]])</f>
        <v>1</v>
      </c>
      <c r="T112" s="9" t="b">
        <v>0</v>
      </c>
      <c r="U112" s="9" t="b">
        <v>1</v>
      </c>
      <c r="V112" s="9" t="b">
        <v>1</v>
      </c>
      <c r="W112" s="9" t="b">
        <v>0</v>
      </c>
      <c r="X112" s="9" t="str">
        <f>_xlfn.TEXTJOIN(", ",TRUE,stableR[[#This Row],[ans_opt_1]:[ans_opt_14]])</f>
        <v/>
      </c>
      <c r="Y112" s="9"/>
      <c r="Z112" s="9"/>
      <c r="AA112" s="9"/>
      <c r="AB112" s="9"/>
      <c r="AC112" s="9"/>
      <c r="AD112" s="9"/>
      <c r="AE112" s="9"/>
      <c r="AF112" s="9"/>
      <c r="AG112" s="9"/>
      <c r="AH112" s="9"/>
      <c r="AI112" s="9"/>
      <c r="AJ112" s="9"/>
      <c r="AK112" s="9"/>
      <c r="AL112" s="9"/>
      <c r="AM112" s="16" t="b">
        <v>1</v>
      </c>
      <c r="AN112" s="16" t="b">
        <f>COUNTIFS(questions[qno],stableR[[#This Row],[qno]],questions[year_of_survey],2025,questions[origin],"Kenya")&gt;0</f>
        <v>1</v>
      </c>
      <c r="AO112" s="16" t="b">
        <f>COUNTIFS(questions[qno],stableR[[#This Row],[qno]],questions[year_of_survey],2025,questions[origin],"Rwanda")&gt;0</f>
        <v>1</v>
      </c>
      <c r="AP112" s="16" t="b">
        <f>COUNTIFS(questions[qno],stableR[[#This Row],[qno]],questions[year_of_survey],2026,questions[origin],"Burundi")&gt;0</f>
        <v>1</v>
      </c>
      <c r="AQ112" s="16" t="b">
        <f>COUNTIFS(questions[qno],stableR[[#This Row],[qno]],questions[year_of_survey],"",questions[origin],"Indonesia")&gt;0</f>
        <v>1</v>
      </c>
      <c r="AR112" s="16" t="b">
        <f>COUNTIFS(questions[qno],stableR[[#This Row],[qno]],questions[year_of_survey],2025,questions[origin],"Vietnam")&gt;0</f>
        <v>1</v>
      </c>
      <c r="AS112" s="16" t="b">
        <v>1</v>
      </c>
      <c r="AT112" s="16" t="b">
        <v>1</v>
      </c>
      <c r="AU112" s="9"/>
      <c r="AV112" s="9"/>
      <c r="AW112" s="9"/>
      <c r="AX112" s="9"/>
      <c r="AY112" s="9"/>
      <c r="AZ112" s="9"/>
      <c r="BA112" s="9"/>
      <c r="BB112" s="9"/>
      <c r="BC112" s="9"/>
      <c r="BD112" s="9"/>
    </row>
    <row r="113" spans="1:46" x14ac:dyDescent="0.25">
      <c r="A113" s="15" t="str">
        <f>_xlfn.CONCAT(stableR[[#This Row],[group_0_no]:[order_no]])</f>
        <v>5631</v>
      </c>
      <c r="B113" s="15" t="s">
        <v>235</v>
      </c>
      <c r="C113" s="213" t="s">
        <v>1103</v>
      </c>
      <c r="D113" s="213" t="s">
        <v>1105</v>
      </c>
      <c r="E113" s="213" t="s">
        <v>1099</v>
      </c>
      <c r="F113" s="213" t="s">
        <v>1093</v>
      </c>
      <c r="G113" s="9" t="s">
        <v>1225</v>
      </c>
      <c r="H113" s="9" t="b">
        <v>1</v>
      </c>
      <c r="I113" s="9" t="b">
        <v>1</v>
      </c>
      <c r="J113" s="9" t="b">
        <v>0</v>
      </c>
      <c r="K113" s="9" t="b">
        <v>0</v>
      </c>
      <c r="L113" s="9" t="b">
        <v>0</v>
      </c>
      <c r="M113" s="9" t="b">
        <v>0</v>
      </c>
      <c r="N113" s="9" t="b">
        <v>0</v>
      </c>
      <c r="O113" s="9" t="b">
        <v>1</v>
      </c>
      <c r="P113" s="9" t="b">
        <v>0</v>
      </c>
      <c r="Q113" s="9" t="b">
        <v>0</v>
      </c>
      <c r="R113" s="9" t="b">
        <v>1</v>
      </c>
      <c r="S113" s="16">
        <f>COUNTIFS(stableR[q_group],stableR[[#This Row],[q_group]])</f>
        <v>1</v>
      </c>
      <c r="T113" s="9" t="b">
        <v>0</v>
      </c>
      <c r="U113" s="9" t="b">
        <v>1</v>
      </c>
      <c r="V113" s="9" t="b">
        <v>1</v>
      </c>
      <c r="W113" s="9" t="b">
        <v>0</v>
      </c>
      <c r="X113" s="9" t="str">
        <f>_xlfn.TEXTJOIN(", ",TRUE,stableR[[#This Row],[ans_opt_1]:[ans_opt_14]])</f>
        <v/>
      </c>
      <c r="AM113" s="16" t="b">
        <v>1</v>
      </c>
      <c r="AN113" s="16" t="b">
        <f>COUNTIFS(questions[qno],stableR[[#This Row],[qno]],questions[year_of_survey],2025,questions[origin],"Kenya")&gt;0</f>
        <v>1</v>
      </c>
      <c r="AO113" s="16" t="b">
        <f>COUNTIFS(questions[qno],stableR[[#This Row],[qno]],questions[year_of_survey],2025,questions[origin],"Rwanda")&gt;0</f>
        <v>1</v>
      </c>
      <c r="AP113" s="16" t="b">
        <f>COUNTIFS(questions[qno],stableR[[#This Row],[qno]],questions[year_of_survey],2026,questions[origin],"Burundi")&gt;0</f>
        <v>1</v>
      </c>
      <c r="AQ113" s="16" t="b">
        <f>COUNTIFS(questions[qno],stableR[[#This Row],[qno]],questions[year_of_survey],"",questions[origin],"Indonesia")&gt;0</f>
        <v>1</v>
      </c>
      <c r="AR113" s="16" t="b">
        <f>COUNTIFS(questions[qno],stableR[[#This Row],[qno]],questions[year_of_survey],2025,questions[origin],"Vietnam")&gt;0</f>
        <v>1</v>
      </c>
      <c r="AS113" s="16" t="b">
        <v>1</v>
      </c>
      <c r="AT113" s="16" t="b">
        <v>1</v>
      </c>
    </row>
    <row r="114" spans="1:46" x14ac:dyDescent="0.25">
      <c r="A114" s="15" t="str">
        <f>_xlfn.CONCAT(stableR[[#This Row],[group_0_no]:[order_no]])</f>
        <v>5632</v>
      </c>
      <c r="B114" s="15" t="s">
        <v>237</v>
      </c>
      <c r="C114" s="213" t="s">
        <v>1103</v>
      </c>
      <c r="D114" s="213" t="s">
        <v>1105</v>
      </c>
      <c r="E114" s="213" t="s">
        <v>1099</v>
      </c>
      <c r="F114" s="213" t="s">
        <v>1097</v>
      </c>
      <c r="G114" s="9" t="s">
        <v>1226</v>
      </c>
      <c r="H114" s="9" t="b">
        <v>1</v>
      </c>
      <c r="I114" s="9" t="b">
        <v>1</v>
      </c>
      <c r="J114" s="9" t="b">
        <v>0</v>
      </c>
      <c r="K114" s="9" t="b">
        <v>0</v>
      </c>
      <c r="L114" s="9" t="b">
        <v>0</v>
      </c>
      <c r="M114" s="9" t="b">
        <v>0</v>
      </c>
      <c r="N114" s="9" t="b">
        <v>0</v>
      </c>
      <c r="O114" s="9" t="b">
        <v>0</v>
      </c>
      <c r="P114" s="9" t="b">
        <v>1</v>
      </c>
      <c r="Q114" s="9" t="b">
        <v>0</v>
      </c>
      <c r="R114" s="9" t="b">
        <v>1</v>
      </c>
      <c r="S114" s="16">
        <f>COUNTIFS(stableR[q_group],stableR[[#This Row],[q_group]])</f>
        <v>1</v>
      </c>
      <c r="T114" s="9" t="b">
        <v>0</v>
      </c>
      <c r="U114" s="9" t="b">
        <v>1</v>
      </c>
      <c r="V114" s="9" t="b">
        <v>1</v>
      </c>
      <c r="W114" s="9" t="b">
        <v>0</v>
      </c>
      <c r="X114" s="9" t="str">
        <f>_xlfn.TEXTJOIN(", ",TRUE,stableR[[#This Row],[ans_opt_1]:[ans_opt_14]])</f>
        <v>Kgs, Grams, Liters, Mililiters</v>
      </c>
      <c r="Y114" s="9" t="s">
        <v>222</v>
      </c>
      <c r="Z114" s="9" t="s">
        <v>223</v>
      </c>
      <c r="AA114" s="9" t="s">
        <v>224</v>
      </c>
      <c r="AB114" s="9" t="s">
        <v>225</v>
      </c>
      <c r="AM114" s="16" t="b">
        <v>1</v>
      </c>
      <c r="AN114" s="16" t="b">
        <f>COUNTIFS(questions[qno],stableR[[#This Row],[qno]],questions[year_of_survey],2025,questions[origin],"Kenya")&gt;0</f>
        <v>1</v>
      </c>
      <c r="AO114" s="16" t="b">
        <f>COUNTIFS(questions[qno],stableR[[#This Row],[qno]],questions[year_of_survey],2025,questions[origin],"Rwanda")&gt;0</f>
        <v>1</v>
      </c>
      <c r="AP114" s="16" t="b">
        <f>COUNTIFS(questions[qno],stableR[[#This Row],[qno]],questions[year_of_survey],2026,questions[origin],"Burundi")&gt;0</f>
        <v>1</v>
      </c>
      <c r="AQ114" s="16" t="b">
        <f>COUNTIFS(questions[qno],stableR[[#This Row],[qno]],questions[year_of_survey],"",questions[origin],"Indonesia")&gt;0</f>
        <v>1</v>
      </c>
      <c r="AR114" s="16" t="b">
        <f>COUNTIFS(questions[qno],stableR[[#This Row],[qno]],questions[year_of_survey],2025,questions[origin],"Vietnam")&gt;0</f>
        <v>1</v>
      </c>
      <c r="AS114" s="16" t="b">
        <v>1</v>
      </c>
      <c r="AT114" s="16" t="b">
        <v>1</v>
      </c>
    </row>
    <row r="115" spans="1:46" x14ac:dyDescent="0.25">
      <c r="A115" s="15" t="str">
        <f>_xlfn.CONCAT(stableR[[#This Row],[group_0_no]:[order_no]])</f>
        <v>6000</v>
      </c>
      <c r="B115" s="15" t="s">
        <v>239</v>
      </c>
      <c r="C115" s="213" t="s">
        <v>1105</v>
      </c>
      <c r="D115" s="213" t="s">
        <v>1094</v>
      </c>
      <c r="E115" s="213" t="s">
        <v>1094</v>
      </c>
      <c r="F115" s="213" t="s">
        <v>1094</v>
      </c>
      <c r="G115" s="9" t="s">
        <v>1227</v>
      </c>
      <c r="H115" s="9" t="b">
        <v>1</v>
      </c>
      <c r="I115" s="9" t="b">
        <v>1</v>
      </c>
      <c r="J115" s="9" t="b">
        <v>0</v>
      </c>
      <c r="K115" s="9" t="b">
        <v>0</v>
      </c>
      <c r="L115" s="9" t="b">
        <v>1</v>
      </c>
      <c r="M115" s="9" t="b">
        <v>0</v>
      </c>
      <c r="N115" s="9" t="b">
        <v>0</v>
      </c>
      <c r="O115" s="9" t="b">
        <v>0</v>
      </c>
      <c r="P115" s="9" t="b">
        <v>1</v>
      </c>
      <c r="Q115" s="9" t="b">
        <v>0</v>
      </c>
      <c r="R115" s="9" t="b">
        <v>1</v>
      </c>
      <c r="S115" s="16">
        <f>COUNTIFS(stableR[q_group],stableR[[#This Row],[q_group]])</f>
        <v>1</v>
      </c>
      <c r="T115" s="9" t="b">
        <v>0</v>
      </c>
      <c r="U115" s="9" t="b">
        <v>1</v>
      </c>
      <c r="V115" s="9" t="b">
        <v>0</v>
      </c>
      <c r="W115" s="9" t="b">
        <v>0</v>
      </c>
      <c r="X115" s="9" t="str">
        <f>_xlfn.TEXTJOIN(", ",TRUE,stableR[[#This Row],[ans_opt_1]:[ans_opt_14]])</f>
        <v>No, Yes</v>
      </c>
      <c r="Y115" s="9" t="s">
        <v>119</v>
      </c>
      <c r="Z115" s="9" t="s">
        <v>149</v>
      </c>
      <c r="AM115" s="16" t="b">
        <v>1</v>
      </c>
      <c r="AN115" s="16" t="b">
        <f>COUNTIFS(questions[qno],stableR[[#This Row],[qno]],questions[year_of_survey],2025,questions[origin],"Kenya")&gt;0</f>
        <v>1</v>
      </c>
      <c r="AO115" s="16" t="b">
        <f>COUNTIFS(questions[qno],stableR[[#This Row],[qno]],questions[year_of_survey],2025,questions[origin],"Rwanda")&gt;0</f>
        <v>1</v>
      </c>
      <c r="AP115" s="16" t="b">
        <f>COUNTIFS(questions[qno],stableR[[#This Row],[qno]],questions[year_of_survey],2026,questions[origin],"Burundi")&gt;0</f>
        <v>1</v>
      </c>
      <c r="AQ115" s="16" t="b">
        <f>COUNTIFS(questions[qno],stableR[[#This Row],[qno]],questions[year_of_survey],"",questions[origin],"Indonesia")&gt;0</f>
        <v>1</v>
      </c>
      <c r="AR115" s="16" t="b">
        <f>COUNTIFS(questions[qno],stableR[[#This Row],[qno]],questions[year_of_survey],2025,questions[origin],"Vietnam")&gt;0</f>
        <v>1</v>
      </c>
      <c r="AS115" s="16" t="b">
        <v>0</v>
      </c>
      <c r="AT115" s="16" t="b">
        <v>0</v>
      </c>
    </row>
    <row r="116" spans="1:46" x14ac:dyDescent="0.25">
      <c r="A116" s="15" t="str">
        <f>_xlfn.CONCAT(stableR[[#This Row],[group_0_no]:[order_no]])</f>
        <v>6001</v>
      </c>
      <c r="B116" s="15" t="s">
        <v>1412</v>
      </c>
      <c r="C116" s="213" t="s">
        <v>1105</v>
      </c>
      <c r="D116" s="213" t="s">
        <v>1094</v>
      </c>
      <c r="E116" s="213" t="s">
        <v>1094</v>
      </c>
      <c r="F116" s="213" t="s">
        <v>1093</v>
      </c>
      <c r="G116" s="9" t="s">
        <v>1228</v>
      </c>
      <c r="H116" s="9" t="b">
        <v>1</v>
      </c>
      <c r="I116" s="9" t="b">
        <v>1</v>
      </c>
      <c r="J116" s="9" t="b">
        <v>0</v>
      </c>
      <c r="K116" s="9" t="b">
        <v>0</v>
      </c>
      <c r="L116" s="9" t="b">
        <v>0</v>
      </c>
      <c r="M116" s="9" t="b">
        <v>0</v>
      </c>
      <c r="N116" s="9" t="b">
        <v>0</v>
      </c>
      <c r="O116" s="9" t="b">
        <v>1</v>
      </c>
      <c r="P116" s="9" t="b">
        <v>0</v>
      </c>
      <c r="Q116" s="9" t="b">
        <v>0</v>
      </c>
      <c r="R116" s="9" t="b">
        <v>1</v>
      </c>
      <c r="S116" s="16">
        <f>COUNTIFS(stableR[q_group],stableR[[#This Row],[q_group]])</f>
        <v>1</v>
      </c>
      <c r="T116" s="9" t="b">
        <v>0</v>
      </c>
      <c r="U116" s="9" t="b">
        <v>1</v>
      </c>
      <c r="V116" s="9" t="b">
        <v>0</v>
      </c>
      <c r="W116" s="9" t="b">
        <v>0</v>
      </c>
      <c r="X116" s="9" t="str">
        <f>_xlfn.TEXTJOIN(", ",TRUE,stableR[[#This Row],[ans_opt_1]:[ans_opt_14]])</f>
        <v/>
      </c>
      <c r="AM116" s="16" t="b">
        <v>1</v>
      </c>
      <c r="AN116" s="16" t="b">
        <f>COUNTIFS(questions[qno],stableR[[#This Row],[qno]],questions[year_of_survey],2025,questions[origin],"Kenya")&gt;0</f>
        <v>1</v>
      </c>
      <c r="AO116" s="16" t="b">
        <f>COUNTIFS(questions[qno],stableR[[#This Row],[qno]],questions[year_of_survey],2025,questions[origin],"Rwanda")&gt;0</f>
        <v>1</v>
      </c>
      <c r="AP116" s="16" t="b">
        <f>COUNTIFS(questions[qno],stableR[[#This Row],[qno]],questions[year_of_survey],2026,questions[origin],"Burundi")&gt;0</f>
        <v>1</v>
      </c>
      <c r="AQ116" s="16" t="b">
        <f>COUNTIFS(questions[qno],stableR[[#This Row],[qno]],questions[year_of_survey],"",questions[origin],"Indonesia")&gt;0</f>
        <v>1</v>
      </c>
      <c r="AR116" s="16" t="b">
        <f>COUNTIFS(questions[qno],stableR[[#This Row],[qno]],questions[year_of_survey],2025,questions[origin],"Vietnam")&gt;0</f>
        <v>1</v>
      </c>
      <c r="AS116" s="16" t="b">
        <v>0</v>
      </c>
      <c r="AT116" s="16" t="b">
        <v>0</v>
      </c>
    </row>
    <row r="117" spans="1:46" x14ac:dyDescent="0.25">
      <c r="A117" s="247" t="str">
        <f>_xlfn.CONCAT(stableR[[#This Row],[group_0_no]:[order_no]])</f>
        <v>6007</v>
      </c>
      <c r="B117" s="247" t="s">
        <v>695</v>
      </c>
      <c r="C117" s="248" t="s">
        <v>1105</v>
      </c>
      <c r="D117" s="248" t="s">
        <v>1094</v>
      </c>
      <c r="E117" s="248">
        <v>0</v>
      </c>
      <c r="F117" s="248">
        <v>7</v>
      </c>
      <c r="G117" s="249" t="s">
        <v>1229</v>
      </c>
      <c r="H117" s="249" t="b">
        <v>1</v>
      </c>
      <c r="I117" s="249" t="b">
        <v>0</v>
      </c>
      <c r="J117" s="249" t="b">
        <v>1</v>
      </c>
      <c r="K117" s="249" t="b">
        <v>0</v>
      </c>
      <c r="L117" s="249" t="b">
        <v>1</v>
      </c>
      <c r="M117" s="249" t="b">
        <v>0</v>
      </c>
      <c r="N117" s="249" t="b">
        <v>0</v>
      </c>
      <c r="O117" s="249" t="b">
        <v>0</v>
      </c>
      <c r="P117" s="249" t="b">
        <v>1</v>
      </c>
      <c r="Q117" s="249" t="b">
        <v>0</v>
      </c>
      <c r="R117" s="249" t="b">
        <v>1</v>
      </c>
      <c r="S117" s="250">
        <f>COUNTIFS(stableR[q_group],stableR[[#This Row],[q_group]])</f>
        <v>1</v>
      </c>
      <c r="T117" s="249" t="b">
        <v>0</v>
      </c>
      <c r="U117" s="249" t="b">
        <v>1</v>
      </c>
      <c r="V117" s="249" t="b">
        <v>0</v>
      </c>
      <c r="W117" s="249" t="b">
        <v>0</v>
      </c>
      <c r="X117" s="249" t="str">
        <f>_xlfn.TEXTJOIN(", ",TRUE,stableR[[#This Row],[ans_opt_1]:[ans_opt_14]])</f>
        <v/>
      </c>
      <c r="Y117" s="249"/>
      <c r="Z117" s="249"/>
      <c r="AA117" s="249"/>
      <c r="AB117" s="249"/>
      <c r="AC117" s="249"/>
      <c r="AD117" s="249"/>
      <c r="AE117" s="249"/>
      <c r="AF117" s="249"/>
      <c r="AG117" s="249"/>
      <c r="AH117" s="249"/>
      <c r="AI117" s="249"/>
      <c r="AJ117" s="249"/>
      <c r="AK117" s="249"/>
      <c r="AL117" s="249"/>
      <c r="AM117" s="250" t="b">
        <v>0</v>
      </c>
      <c r="AN117" s="250" t="b">
        <f>COUNTIFS(questions[qno],stableR[[#This Row],[qno]],questions[year_of_survey],2025,questions[origin],"Kenya")&gt;0</f>
        <v>0</v>
      </c>
      <c r="AO117" s="250" t="b">
        <f>COUNTIFS(questions[qno],stableR[[#This Row],[qno]],questions[year_of_survey],2025,questions[origin],"Rwanda")&gt;0</f>
        <v>0</v>
      </c>
      <c r="AP117" s="250" t="b">
        <f>COUNTIFS(questions[qno],stableR[[#This Row],[qno]],questions[year_of_survey],2026,questions[origin],"Burundi")&gt;0</f>
        <v>0</v>
      </c>
      <c r="AQ117" s="250" t="b">
        <f>COUNTIFS(questions[qno],stableR[[#This Row],[qno]],questions[year_of_survey],"",questions[origin],"Indonesia")&gt;0</f>
        <v>0</v>
      </c>
      <c r="AR117" s="250" t="b">
        <f>COUNTIFS(questions[qno],stableR[[#This Row],[qno]],questions[year_of_survey],2025,questions[origin],"Vietnam")&gt;0</f>
        <v>0</v>
      </c>
      <c r="AS117" s="250" t="b">
        <v>0</v>
      </c>
      <c r="AT117" s="250" t="b">
        <v>0</v>
      </c>
    </row>
    <row r="118" spans="1:46" x14ac:dyDescent="0.25">
      <c r="A118" s="247" t="str">
        <f>_xlfn.CONCAT(stableR[[#This Row],[group_0_no]:[order_no]])</f>
        <v>6008</v>
      </c>
      <c r="B118" s="247" t="s">
        <v>1413</v>
      </c>
      <c r="C118" s="248" t="s">
        <v>1105</v>
      </c>
      <c r="D118" s="248" t="s">
        <v>1094</v>
      </c>
      <c r="E118" s="248">
        <v>0</v>
      </c>
      <c r="F118" s="248">
        <v>8</v>
      </c>
      <c r="G118" s="249" t="s">
        <v>1230</v>
      </c>
      <c r="H118" s="249" t="b">
        <v>1</v>
      </c>
      <c r="I118" s="249" t="b">
        <v>0</v>
      </c>
      <c r="J118" s="249" t="b">
        <v>1</v>
      </c>
      <c r="K118" s="249" t="b">
        <v>0</v>
      </c>
      <c r="L118" s="249" t="b">
        <v>0</v>
      </c>
      <c r="M118" s="249" t="b">
        <v>0</v>
      </c>
      <c r="N118" s="249" t="b">
        <v>0</v>
      </c>
      <c r="O118" s="249" t="b">
        <v>1</v>
      </c>
      <c r="P118" s="249" t="b">
        <v>0</v>
      </c>
      <c r="Q118" s="249" t="b">
        <v>0</v>
      </c>
      <c r="R118" s="249" t="b">
        <v>1</v>
      </c>
      <c r="S118" s="250">
        <f>COUNTIFS(stableR[q_group],stableR[[#This Row],[q_group]])</f>
        <v>1</v>
      </c>
      <c r="T118" s="249" t="b">
        <v>0</v>
      </c>
      <c r="U118" s="249" t="b">
        <v>1</v>
      </c>
      <c r="V118" s="249" t="b">
        <v>0</v>
      </c>
      <c r="W118" s="249" t="b">
        <v>0</v>
      </c>
      <c r="X118" s="249" t="str">
        <f>_xlfn.TEXTJOIN(", ",TRUE,stableR[[#This Row],[ans_opt_1]:[ans_opt_14]])</f>
        <v/>
      </c>
      <c r="Y118" s="249"/>
      <c r="Z118" s="249"/>
      <c r="AA118" s="249"/>
      <c r="AB118" s="249"/>
      <c r="AC118" s="249"/>
      <c r="AD118" s="249"/>
      <c r="AE118" s="249"/>
      <c r="AF118" s="249"/>
      <c r="AG118" s="249"/>
      <c r="AH118" s="249"/>
      <c r="AI118" s="249"/>
      <c r="AJ118" s="249"/>
      <c r="AK118" s="249"/>
      <c r="AL118" s="249"/>
      <c r="AM118" s="250" t="b">
        <v>0</v>
      </c>
      <c r="AN118" s="250" t="b">
        <f>COUNTIFS(questions[qno],stableR[[#This Row],[qno]],questions[year_of_survey],2025,questions[origin],"Kenya")&gt;0</f>
        <v>0</v>
      </c>
      <c r="AO118" s="250" t="b">
        <f>COUNTIFS(questions[qno],stableR[[#This Row],[qno]],questions[year_of_survey],2025,questions[origin],"Rwanda")&gt;0</f>
        <v>0</v>
      </c>
      <c r="AP118" s="250" t="b">
        <f>COUNTIFS(questions[qno],stableR[[#This Row],[qno]],questions[year_of_survey],2026,questions[origin],"Burundi")&gt;0</f>
        <v>0</v>
      </c>
      <c r="AQ118" s="250" t="b">
        <f>COUNTIFS(questions[qno],stableR[[#This Row],[qno]],questions[year_of_survey],"",questions[origin],"Indonesia")&gt;0</f>
        <v>0</v>
      </c>
      <c r="AR118" s="250" t="b">
        <f>COUNTIFS(questions[qno],stableR[[#This Row],[qno]],questions[year_of_survey],2025,questions[origin],"Vietnam")&gt;0</f>
        <v>0</v>
      </c>
      <c r="AS118" s="250" t="b">
        <v>0</v>
      </c>
      <c r="AT118" s="250" t="b">
        <v>0</v>
      </c>
    </row>
    <row r="119" spans="1:46" s="249" customFormat="1" x14ac:dyDescent="0.25">
      <c r="A119" s="247" t="str">
        <f>_xlfn.CONCAT(stableR[[#This Row],[group_0_no]:[order_no]])</f>
        <v>6009</v>
      </c>
      <c r="B119" s="247" t="s">
        <v>1414</v>
      </c>
      <c r="C119" s="248" t="s">
        <v>1105</v>
      </c>
      <c r="D119" s="248" t="s">
        <v>1094</v>
      </c>
      <c r="E119" s="248">
        <v>0</v>
      </c>
      <c r="F119" s="248">
        <v>9</v>
      </c>
      <c r="G119" s="249" t="s">
        <v>1232</v>
      </c>
      <c r="H119" s="249" t="b">
        <v>1</v>
      </c>
      <c r="I119" s="249" t="b">
        <v>0</v>
      </c>
      <c r="J119" s="249" t="b">
        <v>1</v>
      </c>
      <c r="K119" s="249" t="b">
        <v>0</v>
      </c>
      <c r="L119" s="249" t="b">
        <v>0</v>
      </c>
      <c r="M119" s="249" t="b">
        <v>0</v>
      </c>
      <c r="N119" s="249" t="b">
        <v>0</v>
      </c>
      <c r="O119" s="249" t="b">
        <v>1</v>
      </c>
      <c r="P119" s="249" t="b">
        <v>0</v>
      </c>
      <c r="Q119" s="249" t="b">
        <v>0</v>
      </c>
      <c r="R119" s="249" t="b">
        <v>1</v>
      </c>
      <c r="S119" s="250">
        <f>COUNTIFS(stableR[q_group],stableR[[#This Row],[q_group]])</f>
        <v>1</v>
      </c>
      <c r="T119" s="249" t="b">
        <v>0</v>
      </c>
      <c r="U119" s="249" t="b">
        <v>1</v>
      </c>
      <c r="V119" s="249" t="b">
        <v>0</v>
      </c>
      <c r="W119" s="249" t="b">
        <v>0</v>
      </c>
      <c r="X119" s="249" t="str">
        <f>_xlfn.TEXTJOIN(", ",TRUE,stableR[[#This Row],[ans_opt_1]:[ans_opt_14]])</f>
        <v/>
      </c>
      <c r="AM119" s="250" t="b">
        <v>0</v>
      </c>
      <c r="AN119" s="250" t="b">
        <f>COUNTIFS(questions[qno],stableR[[#This Row],[qno]],questions[year_of_survey],2025,questions[origin],"Kenya")&gt;0</f>
        <v>0</v>
      </c>
      <c r="AO119" s="250" t="b">
        <f>COUNTIFS(questions[qno],stableR[[#This Row],[qno]],questions[year_of_survey],2025,questions[origin],"Rwanda")&gt;0</f>
        <v>0</v>
      </c>
      <c r="AP119" s="250" t="b">
        <f>COUNTIFS(questions[qno],stableR[[#This Row],[qno]],questions[year_of_survey],2026,questions[origin],"Burundi")&gt;0</f>
        <v>0</v>
      </c>
      <c r="AQ119" s="250" t="b">
        <f>COUNTIFS(questions[qno],stableR[[#This Row],[qno]],questions[year_of_survey],"",questions[origin],"Indonesia")&gt;0</f>
        <v>0</v>
      </c>
      <c r="AR119" s="250" t="b">
        <f>COUNTIFS(questions[qno],stableR[[#This Row],[qno]],questions[year_of_survey],2025,questions[origin],"Vietnam")&gt;0</f>
        <v>0</v>
      </c>
      <c r="AS119" s="250" t="b">
        <v>0</v>
      </c>
      <c r="AT119" s="250" t="b">
        <v>0</v>
      </c>
    </row>
    <row r="120" spans="1:46" s="249" customFormat="1" x14ac:dyDescent="0.25">
      <c r="A120" s="247" t="str">
        <f>_xlfn.CONCAT(stableR[[#This Row],[group_0_no]:[order_no]])</f>
        <v>6010</v>
      </c>
      <c r="B120" s="247" t="s">
        <v>573</v>
      </c>
      <c r="C120" s="248" t="s">
        <v>1105</v>
      </c>
      <c r="D120" s="248" t="s">
        <v>1094</v>
      </c>
      <c r="E120" s="248" t="s">
        <v>1093</v>
      </c>
      <c r="F120" s="248" t="s">
        <v>1094</v>
      </c>
      <c r="G120" s="249" t="s">
        <v>1234</v>
      </c>
      <c r="H120" s="249" t="b">
        <v>1</v>
      </c>
      <c r="I120" s="249" t="b">
        <v>0</v>
      </c>
      <c r="J120" s="249" t="b">
        <v>1</v>
      </c>
      <c r="K120" s="249" t="b">
        <v>0</v>
      </c>
      <c r="L120" s="249" t="b">
        <v>1</v>
      </c>
      <c r="M120" s="249" t="b">
        <v>0</v>
      </c>
      <c r="N120" s="249" t="b">
        <v>0</v>
      </c>
      <c r="O120" s="249" t="b">
        <v>0</v>
      </c>
      <c r="P120" s="249" t="b">
        <v>1</v>
      </c>
      <c r="Q120" s="249" t="b">
        <v>0</v>
      </c>
      <c r="R120" s="249" t="b">
        <v>1</v>
      </c>
      <c r="S120" s="250">
        <f>COUNTIFS(stableR[q_group],stableR[[#This Row],[q_group]])</f>
        <v>1</v>
      </c>
      <c r="T120" s="249" t="b">
        <v>0</v>
      </c>
      <c r="U120" s="249" t="b">
        <v>1</v>
      </c>
      <c r="V120" s="249" t="b">
        <v>0</v>
      </c>
      <c r="W120" s="249" t="b">
        <v>0</v>
      </c>
      <c r="X120" s="249" t="str">
        <f>_xlfn.TEXTJOIN(", ",TRUE,stableR[[#This Row],[ans_opt_1]:[ans_opt_14]])</f>
        <v>No, Yes</v>
      </c>
      <c r="Y120" s="249" t="s">
        <v>119</v>
      </c>
      <c r="Z120" s="249" t="s">
        <v>149</v>
      </c>
      <c r="AM120" s="250" t="b">
        <v>1</v>
      </c>
      <c r="AN120" s="250" t="b">
        <v>0</v>
      </c>
      <c r="AO120" s="250" t="b">
        <f>COUNTIFS(questions[qno],stableR[[#This Row],[qno]],questions[year_of_survey],2025,questions[origin],"Rwanda")&gt;0</f>
        <v>0</v>
      </c>
      <c r="AP120" s="250" t="b">
        <f>COUNTIFS(questions[qno],stableR[[#This Row],[qno]],questions[year_of_survey],2026,questions[origin],"Burundi")&gt;0</f>
        <v>0</v>
      </c>
      <c r="AQ120" s="250" t="b">
        <f>COUNTIFS(questions[qno],stableR[[#This Row],[qno]],questions[year_of_survey],"",questions[origin],"Indonesia")&gt;0</f>
        <v>0</v>
      </c>
      <c r="AR120" s="250" t="b">
        <f>COUNTIFS(questions[qno],stableR[[#This Row],[qno]],questions[year_of_survey],2025,questions[origin],"Vietnam")&gt;0</f>
        <v>0</v>
      </c>
      <c r="AS120" s="250" t="b">
        <v>0</v>
      </c>
      <c r="AT120" s="250" t="b">
        <v>0</v>
      </c>
    </row>
    <row r="121" spans="1:46" s="249" customFormat="1" x14ac:dyDescent="0.25">
      <c r="A121" s="247" t="str">
        <f>_xlfn.CONCAT(stableR[[#This Row],[group_0_no]:[order_no]])</f>
        <v>6011</v>
      </c>
      <c r="B121" s="247" t="s">
        <v>1415</v>
      </c>
      <c r="C121" s="248" t="s">
        <v>1105</v>
      </c>
      <c r="D121" s="248" t="s">
        <v>1094</v>
      </c>
      <c r="E121" s="248" t="s">
        <v>1093</v>
      </c>
      <c r="F121" s="248" t="s">
        <v>1093</v>
      </c>
      <c r="G121" s="249" t="s">
        <v>1235</v>
      </c>
      <c r="H121" s="249" t="b">
        <v>1</v>
      </c>
      <c r="I121" s="249" t="b">
        <v>0</v>
      </c>
      <c r="J121" s="249" t="b">
        <v>1</v>
      </c>
      <c r="K121" s="249" t="b">
        <v>0</v>
      </c>
      <c r="L121" s="249" t="b">
        <v>0</v>
      </c>
      <c r="M121" s="249" t="b">
        <v>0</v>
      </c>
      <c r="N121" s="249" t="b">
        <v>0</v>
      </c>
      <c r="O121" s="249" t="b">
        <v>0</v>
      </c>
      <c r="P121" s="249" t="b">
        <v>0</v>
      </c>
      <c r="Q121" s="249" t="b">
        <v>1</v>
      </c>
      <c r="R121" s="249" t="b">
        <v>1</v>
      </c>
      <c r="S121" s="250">
        <f>COUNTIFS(stableR[q_group],stableR[[#This Row],[q_group]])</f>
        <v>1</v>
      </c>
      <c r="T121" s="249" t="b">
        <v>0</v>
      </c>
      <c r="U121" s="249" t="b">
        <v>1</v>
      </c>
      <c r="V121" s="249" t="b">
        <v>0</v>
      </c>
      <c r="W121" s="249" t="b">
        <v>0</v>
      </c>
      <c r="X121" s="249" t="str">
        <f>_xlfn.TEXTJOIN(", ",TRUE,stableR[[#This Row],[ans_opt_1]:[ans_opt_14]])</f>
        <v>Harvesting, Pruning, Weeding, Spraying, Planting new trees, Other</v>
      </c>
      <c r="Y121" s="249" t="s">
        <v>246</v>
      </c>
      <c r="Z121" s="249" t="s">
        <v>247</v>
      </c>
      <c r="AA121" s="249" t="s">
        <v>248</v>
      </c>
      <c r="AB121" s="249" t="s">
        <v>249</v>
      </c>
      <c r="AC121" s="249" t="s">
        <v>250</v>
      </c>
      <c r="AL121" s="249" t="s">
        <v>112</v>
      </c>
      <c r="AM121" s="250" t="b">
        <v>1</v>
      </c>
      <c r="AN121" s="250" t="b">
        <v>0</v>
      </c>
      <c r="AO121" s="250" t="b">
        <f>COUNTIFS(questions[qno],stableR[[#This Row],[qno]],questions[year_of_survey],2025,questions[origin],"Rwanda")&gt;0</f>
        <v>0</v>
      </c>
      <c r="AP121" s="250" t="b">
        <f>COUNTIFS(questions[qno],stableR[[#This Row],[qno]],questions[year_of_survey],2026,questions[origin],"Burundi")&gt;0</f>
        <v>0</v>
      </c>
      <c r="AQ121" s="250" t="b">
        <f>COUNTIFS(questions[qno],stableR[[#This Row],[qno]],questions[year_of_survey],"",questions[origin],"Indonesia")&gt;0</f>
        <v>0</v>
      </c>
      <c r="AR121" s="250" t="b">
        <f>COUNTIFS(questions[qno],stableR[[#This Row],[qno]],questions[year_of_survey],2025,questions[origin],"Vietnam")&gt;0</f>
        <v>0</v>
      </c>
      <c r="AS121" s="250" t="b">
        <v>0</v>
      </c>
      <c r="AT121" s="250" t="b">
        <v>0</v>
      </c>
    </row>
    <row r="122" spans="1:46" s="249" customFormat="1" x14ac:dyDescent="0.25">
      <c r="A122" s="247" t="str">
        <f>_xlfn.CONCAT(stableR[[#This Row],[group_0_no]:[order_no]])</f>
        <v>6012</v>
      </c>
      <c r="B122" s="247" t="s">
        <v>1416</v>
      </c>
      <c r="C122" s="248" t="s">
        <v>1105</v>
      </c>
      <c r="D122" s="248" t="s">
        <v>1094</v>
      </c>
      <c r="E122" s="248" t="s">
        <v>1093</v>
      </c>
      <c r="F122" s="248" t="s">
        <v>1097</v>
      </c>
      <c r="G122" s="249" t="s">
        <v>1236</v>
      </c>
      <c r="H122" s="249" t="b">
        <v>1</v>
      </c>
      <c r="I122" s="249" t="b">
        <v>0</v>
      </c>
      <c r="J122" s="249" t="b">
        <v>1</v>
      </c>
      <c r="K122" s="249" t="b">
        <v>0</v>
      </c>
      <c r="L122" s="249" t="b">
        <v>0</v>
      </c>
      <c r="M122" s="249" t="b">
        <v>0</v>
      </c>
      <c r="N122" s="249" t="b">
        <v>0</v>
      </c>
      <c r="O122" s="249" t="b">
        <v>1</v>
      </c>
      <c r="P122" s="249" t="b">
        <v>0</v>
      </c>
      <c r="Q122" s="249" t="b">
        <v>0</v>
      </c>
      <c r="R122" s="249" t="b">
        <v>1</v>
      </c>
      <c r="S122" s="250">
        <f>COUNTIFS(stableR[q_group],stableR[[#This Row],[q_group]])</f>
        <v>1</v>
      </c>
      <c r="T122" s="249" t="b">
        <v>0</v>
      </c>
      <c r="U122" s="249" t="b">
        <v>1</v>
      </c>
      <c r="V122" s="249" t="b">
        <v>0</v>
      </c>
      <c r="W122" s="249" t="b">
        <v>0</v>
      </c>
      <c r="X122" s="249" t="str">
        <f>_xlfn.TEXTJOIN(", ",TRUE,stableR[[#This Row],[ans_opt_1]:[ans_opt_14]])</f>
        <v/>
      </c>
      <c r="AM122" s="250" t="b">
        <v>1</v>
      </c>
      <c r="AN122" s="250" t="b">
        <v>0</v>
      </c>
      <c r="AO122" s="250" t="b">
        <f>COUNTIFS(questions[qno],stableR[[#This Row],[qno]],questions[year_of_survey],2025,questions[origin],"Rwanda")&gt;0</f>
        <v>0</v>
      </c>
      <c r="AP122" s="250" t="b">
        <f>COUNTIFS(questions[qno],stableR[[#This Row],[qno]],questions[year_of_survey],2026,questions[origin],"Burundi")&gt;0</f>
        <v>0</v>
      </c>
      <c r="AQ122" s="250" t="b">
        <f>COUNTIFS(questions[qno],stableR[[#This Row],[qno]],questions[year_of_survey],"",questions[origin],"Indonesia")&gt;0</f>
        <v>0</v>
      </c>
      <c r="AR122" s="250" t="b">
        <f>COUNTIFS(questions[qno],stableR[[#This Row],[qno]],questions[year_of_survey],2025,questions[origin],"Vietnam")&gt;0</f>
        <v>0</v>
      </c>
      <c r="AS122" s="250" t="b">
        <v>0</v>
      </c>
      <c r="AT122" s="250" t="b">
        <v>0</v>
      </c>
    </row>
    <row r="123" spans="1:46" s="249" customFormat="1" x14ac:dyDescent="0.25">
      <c r="A123" s="247" t="str">
        <f>_xlfn.CONCAT(stableR[[#This Row],[group_0_no]:[order_no]])</f>
        <v>6013</v>
      </c>
      <c r="B123" s="247" t="s">
        <v>1417</v>
      </c>
      <c r="C123" s="248" t="s">
        <v>1105</v>
      </c>
      <c r="D123" s="248" t="s">
        <v>1094</v>
      </c>
      <c r="E123" s="248" t="s">
        <v>1093</v>
      </c>
      <c r="F123" s="248" t="s">
        <v>1099</v>
      </c>
      <c r="G123" s="249" t="s">
        <v>1237</v>
      </c>
      <c r="H123" s="249" t="b">
        <v>1</v>
      </c>
      <c r="I123" s="249" t="b">
        <v>0</v>
      </c>
      <c r="J123" s="249" t="b">
        <v>1</v>
      </c>
      <c r="K123" s="249" t="b">
        <v>0</v>
      </c>
      <c r="L123" s="249" t="b">
        <v>0</v>
      </c>
      <c r="M123" s="249" t="b">
        <v>0</v>
      </c>
      <c r="N123" s="249" t="b">
        <v>0</v>
      </c>
      <c r="O123" s="249" t="b">
        <v>1</v>
      </c>
      <c r="P123" s="249" t="b">
        <v>0</v>
      </c>
      <c r="Q123" s="249" t="b">
        <v>0</v>
      </c>
      <c r="R123" s="249" t="b">
        <v>1</v>
      </c>
      <c r="S123" s="250">
        <f>COUNTIFS(stableR[q_group],stableR[[#This Row],[q_group]])</f>
        <v>1</v>
      </c>
      <c r="T123" s="249" t="b">
        <v>0</v>
      </c>
      <c r="U123" s="249" t="b">
        <v>1</v>
      </c>
      <c r="V123" s="249" t="b">
        <v>0</v>
      </c>
      <c r="W123" s="249" t="b">
        <v>0</v>
      </c>
      <c r="X123" s="249" t="str">
        <f>_xlfn.TEXTJOIN(", ",TRUE,stableR[[#This Row],[ans_opt_1]:[ans_opt_14]])</f>
        <v/>
      </c>
      <c r="AM123" s="250" t="b">
        <v>1</v>
      </c>
      <c r="AN123" s="250" t="b">
        <v>0</v>
      </c>
      <c r="AO123" s="250" t="b">
        <f>COUNTIFS(questions[qno],stableR[[#This Row],[qno]],questions[year_of_survey],2025,questions[origin],"Rwanda")&gt;0</f>
        <v>0</v>
      </c>
      <c r="AP123" s="250" t="b">
        <f>COUNTIFS(questions[qno],stableR[[#This Row],[qno]],questions[year_of_survey],2026,questions[origin],"Burundi")&gt;0</f>
        <v>0</v>
      </c>
      <c r="AQ123" s="250" t="b">
        <f>COUNTIFS(questions[qno],stableR[[#This Row],[qno]],questions[year_of_survey],"",questions[origin],"Indonesia")&gt;0</f>
        <v>0</v>
      </c>
      <c r="AR123" s="250" t="b">
        <f>COUNTIFS(questions[qno],stableR[[#This Row],[qno]],questions[year_of_survey],2025,questions[origin],"Vietnam")&gt;0</f>
        <v>0</v>
      </c>
      <c r="AS123" s="250" t="b">
        <v>0</v>
      </c>
      <c r="AT123" s="250" t="b">
        <v>0</v>
      </c>
    </row>
    <row r="124" spans="1:46" s="249" customFormat="1" x14ac:dyDescent="0.25">
      <c r="A124" s="247" t="str">
        <f>_xlfn.CONCAT(stableR[[#This Row],[group_0_no]:[order_no]])</f>
        <v>6020</v>
      </c>
      <c r="B124" s="247" t="s">
        <v>581</v>
      </c>
      <c r="C124" s="248" t="s">
        <v>1105</v>
      </c>
      <c r="D124" s="248" t="s">
        <v>1094</v>
      </c>
      <c r="E124" s="248" t="s">
        <v>1097</v>
      </c>
      <c r="F124" s="248" t="s">
        <v>1094</v>
      </c>
      <c r="G124" s="249" t="s">
        <v>1239</v>
      </c>
      <c r="H124" s="249" t="b">
        <v>1</v>
      </c>
      <c r="I124" s="249" t="b">
        <v>0</v>
      </c>
      <c r="J124" s="249" t="b">
        <v>0</v>
      </c>
      <c r="K124" s="249" t="b">
        <v>1</v>
      </c>
      <c r="L124" s="249" t="b">
        <v>1</v>
      </c>
      <c r="M124" s="249" t="b">
        <v>0</v>
      </c>
      <c r="N124" s="249" t="b">
        <v>0</v>
      </c>
      <c r="O124" s="249" t="b">
        <v>0</v>
      </c>
      <c r="P124" s="249" t="b">
        <v>1</v>
      </c>
      <c r="Q124" s="249" t="b">
        <v>0</v>
      </c>
      <c r="R124" s="249" t="b">
        <v>1</v>
      </c>
      <c r="S124" s="250">
        <f>COUNTIFS(stableR[q_group],stableR[[#This Row],[q_group]])</f>
        <v>1</v>
      </c>
      <c r="T124" s="249" t="b">
        <v>0</v>
      </c>
      <c r="U124" s="249" t="b">
        <v>1</v>
      </c>
      <c r="V124" s="249" t="b">
        <v>0</v>
      </c>
      <c r="W124" s="249" t="b">
        <v>0</v>
      </c>
      <c r="X124" s="249" t="str">
        <f>_xlfn.TEXTJOIN(", ",TRUE,stableR[[#This Row],[ans_opt_1]:[ans_opt_14]])</f>
        <v>No, Yes</v>
      </c>
      <c r="Y124" s="249" t="s">
        <v>119</v>
      </c>
      <c r="Z124" s="249" t="s">
        <v>149</v>
      </c>
      <c r="AM124" s="250" t="b">
        <v>1</v>
      </c>
      <c r="AN124" s="250" t="b">
        <v>0</v>
      </c>
      <c r="AO124" s="250" t="b">
        <f>COUNTIFS(questions[qno],stableR[[#This Row],[qno]],questions[year_of_survey],2025,questions[origin],"Rwanda")&gt;0</f>
        <v>0</v>
      </c>
      <c r="AP124" s="250" t="b">
        <f>COUNTIFS(questions[qno],stableR[[#This Row],[qno]],questions[year_of_survey],2026,questions[origin],"Burundi")&gt;0</f>
        <v>0</v>
      </c>
      <c r="AQ124" s="250" t="b">
        <f>COUNTIFS(questions[qno],stableR[[#This Row],[qno]],questions[year_of_survey],"",questions[origin],"Indonesia")&gt;0</f>
        <v>0</v>
      </c>
      <c r="AR124" s="250" t="b">
        <f>COUNTIFS(questions[qno],stableR[[#This Row],[qno]],questions[year_of_survey],2025,questions[origin],"Vietnam")&gt;0</f>
        <v>0</v>
      </c>
      <c r="AS124" s="250" t="b">
        <v>0</v>
      </c>
      <c r="AT124" s="250" t="b">
        <v>0</v>
      </c>
    </row>
    <row r="125" spans="1:46" s="249" customFormat="1" x14ac:dyDescent="0.25">
      <c r="A125" s="247" t="str">
        <f>_xlfn.CONCAT(stableR[[#This Row],[group_0_no]:[order_no]])</f>
        <v>6021</v>
      </c>
      <c r="B125" s="247" t="s">
        <v>1418</v>
      </c>
      <c r="C125" s="248" t="s">
        <v>1105</v>
      </c>
      <c r="D125" s="248" t="s">
        <v>1094</v>
      </c>
      <c r="E125" s="248" t="s">
        <v>1097</v>
      </c>
      <c r="F125" s="248" t="s">
        <v>1093</v>
      </c>
      <c r="G125" s="249" t="s">
        <v>1240</v>
      </c>
      <c r="H125" s="249" t="b">
        <v>1</v>
      </c>
      <c r="I125" s="249" t="b">
        <v>0</v>
      </c>
      <c r="J125" s="249" t="b">
        <v>0</v>
      </c>
      <c r="K125" s="249" t="b">
        <v>1</v>
      </c>
      <c r="L125" s="249" t="b">
        <v>0</v>
      </c>
      <c r="M125" s="249" t="b">
        <v>0</v>
      </c>
      <c r="N125" s="249" t="b">
        <v>0</v>
      </c>
      <c r="O125" s="249" t="b">
        <v>0</v>
      </c>
      <c r="P125" s="249" t="b">
        <v>0</v>
      </c>
      <c r="Q125" s="249" t="b">
        <v>1</v>
      </c>
      <c r="R125" s="249" t="b">
        <v>1</v>
      </c>
      <c r="S125" s="250">
        <f>COUNTIFS(stableR[q_group],stableR[[#This Row],[q_group]])</f>
        <v>1</v>
      </c>
      <c r="T125" s="249" t="b">
        <v>0</v>
      </c>
      <c r="U125" s="249" t="b">
        <v>1</v>
      </c>
      <c r="V125" s="249" t="b">
        <v>0</v>
      </c>
      <c r="W125" s="249" t="b">
        <v>0</v>
      </c>
      <c r="X125" s="249" t="str">
        <f>_xlfn.TEXTJOIN(", ",TRUE,stableR[[#This Row],[ans_opt_1]:[ans_opt_14]])</f>
        <v>Harvesting, Pruning, Weeding, Spraying, Planting new trees, Other</v>
      </c>
      <c r="Y125" s="249" t="s">
        <v>246</v>
      </c>
      <c r="Z125" s="249" t="s">
        <v>247</v>
      </c>
      <c r="AA125" s="249" t="s">
        <v>248</v>
      </c>
      <c r="AB125" s="249" t="s">
        <v>249</v>
      </c>
      <c r="AC125" s="249" t="s">
        <v>250</v>
      </c>
      <c r="AL125" s="249" t="s">
        <v>112</v>
      </c>
      <c r="AM125" s="250" t="b">
        <v>1</v>
      </c>
      <c r="AN125" s="250" t="b">
        <v>0</v>
      </c>
      <c r="AO125" s="250" t="b">
        <f>COUNTIFS(questions[qno],stableR[[#This Row],[qno]],questions[year_of_survey],2025,questions[origin],"Rwanda")&gt;0</f>
        <v>0</v>
      </c>
      <c r="AP125" s="250" t="b">
        <f>COUNTIFS(questions[qno],stableR[[#This Row],[qno]],questions[year_of_survey],2026,questions[origin],"Burundi")&gt;0</f>
        <v>0</v>
      </c>
      <c r="AQ125" s="250" t="b">
        <f>COUNTIFS(questions[qno],stableR[[#This Row],[qno]],questions[year_of_survey],"",questions[origin],"Indonesia")&gt;0</f>
        <v>0</v>
      </c>
      <c r="AR125" s="250" t="b">
        <f>COUNTIFS(questions[qno],stableR[[#This Row],[qno]],questions[year_of_survey],2025,questions[origin],"Vietnam")&gt;0</f>
        <v>0</v>
      </c>
      <c r="AS125" s="250" t="b">
        <v>0</v>
      </c>
      <c r="AT125" s="250" t="b">
        <v>0</v>
      </c>
    </row>
    <row r="126" spans="1:46" s="249" customFormat="1" x14ac:dyDescent="0.25">
      <c r="A126" s="247" t="str">
        <f>_xlfn.CONCAT(stableR[[#This Row],[group_0_no]:[order_no]])</f>
        <v>6022</v>
      </c>
      <c r="B126" s="247" t="s">
        <v>1419</v>
      </c>
      <c r="C126" s="248" t="s">
        <v>1105</v>
      </c>
      <c r="D126" s="248" t="s">
        <v>1094</v>
      </c>
      <c r="E126" s="248" t="s">
        <v>1097</v>
      </c>
      <c r="F126" s="248" t="s">
        <v>1097</v>
      </c>
      <c r="G126" s="249" t="s">
        <v>1241</v>
      </c>
      <c r="H126" s="249" t="b">
        <v>1</v>
      </c>
      <c r="I126" s="249" t="b">
        <v>0</v>
      </c>
      <c r="J126" s="249" t="b">
        <v>0</v>
      </c>
      <c r="K126" s="249" t="b">
        <v>1</v>
      </c>
      <c r="L126" s="249" t="b">
        <v>0</v>
      </c>
      <c r="M126" s="249" t="b">
        <v>0</v>
      </c>
      <c r="N126" s="249" t="b">
        <v>0</v>
      </c>
      <c r="O126" s="249" t="b">
        <v>1</v>
      </c>
      <c r="P126" s="249" t="b">
        <v>0</v>
      </c>
      <c r="Q126" s="249" t="b">
        <v>0</v>
      </c>
      <c r="R126" s="249" t="b">
        <v>1</v>
      </c>
      <c r="S126" s="250">
        <f>COUNTIFS(stableR[q_group],stableR[[#This Row],[q_group]])</f>
        <v>1</v>
      </c>
      <c r="T126" s="249" t="b">
        <v>0</v>
      </c>
      <c r="U126" s="249" t="b">
        <v>1</v>
      </c>
      <c r="V126" s="249" t="b">
        <v>0</v>
      </c>
      <c r="W126" s="249" t="b">
        <v>0</v>
      </c>
      <c r="X126" s="249" t="str">
        <f>_xlfn.TEXTJOIN(", ",TRUE,stableR[[#This Row],[ans_opt_1]:[ans_opt_14]])</f>
        <v/>
      </c>
      <c r="AM126" s="250" t="b">
        <v>1</v>
      </c>
      <c r="AN126" s="250" t="b">
        <v>0</v>
      </c>
      <c r="AO126" s="250" t="b">
        <f>COUNTIFS(questions[qno],stableR[[#This Row],[qno]],questions[year_of_survey],2025,questions[origin],"Rwanda")&gt;0</f>
        <v>0</v>
      </c>
      <c r="AP126" s="250" t="b">
        <f>COUNTIFS(questions[qno],stableR[[#This Row],[qno]],questions[year_of_survey],2026,questions[origin],"Burundi")&gt;0</f>
        <v>0</v>
      </c>
      <c r="AQ126" s="250" t="b">
        <f>COUNTIFS(questions[qno],stableR[[#This Row],[qno]],questions[year_of_survey],"",questions[origin],"Indonesia")&gt;0</f>
        <v>0</v>
      </c>
      <c r="AR126" s="250" t="b">
        <f>COUNTIFS(questions[qno],stableR[[#This Row],[qno]],questions[year_of_survey],2025,questions[origin],"Vietnam")&gt;0</f>
        <v>0</v>
      </c>
      <c r="AS126" s="250" t="b">
        <v>0</v>
      </c>
      <c r="AT126" s="250" t="b">
        <v>0</v>
      </c>
    </row>
    <row r="127" spans="1:46" s="249" customFormat="1" x14ac:dyDescent="0.25">
      <c r="A127" s="247" t="str">
        <f>_xlfn.CONCAT(stableR[[#This Row],[group_0_no]:[order_no]])</f>
        <v>6023</v>
      </c>
      <c r="B127" s="247" t="s">
        <v>1420</v>
      </c>
      <c r="C127" s="248" t="s">
        <v>1105</v>
      </c>
      <c r="D127" s="248" t="s">
        <v>1094</v>
      </c>
      <c r="E127" s="248" t="s">
        <v>1097</v>
      </c>
      <c r="F127" s="248" t="s">
        <v>1099</v>
      </c>
      <c r="G127" s="249" t="s">
        <v>1243</v>
      </c>
      <c r="H127" s="249" t="b">
        <v>1</v>
      </c>
      <c r="I127" s="249" t="b">
        <v>0</v>
      </c>
      <c r="J127" s="249" t="b">
        <v>0</v>
      </c>
      <c r="K127" s="249" t="b">
        <v>1</v>
      </c>
      <c r="L127" s="249" t="b">
        <v>0</v>
      </c>
      <c r="M127" s="249" t="b">
        <v>0</v>
      </c>
      <c r="N127" s="249" t="b">
        <v>0</v>
      </c>
      <c r="O127" s="249" t="b">
        <v>1</v>
      </c>
      <c r="P127" s="249" t="b">
        <v>0</v>
      </c>
      <c r="Q127" s="249" t="b">
        <v>0</v>
      </c>
      <c r="R127" s="249" t="b">
        <v>1</v>
      </c>
      <c r="S127" s="250">
        <f>COUNTIFS(stableR[q_group],stableR[[#This Row],[q_group]])</f>
        <v>1</v>
      </c>
      <c r="T127" s="249" t="b">
        <v>0</v>
      </c>
      <c r="U127" s="249" t="b">
        <v>1</v>
      </c>
      <c r="V127" s="249" t="b">
        <v>0</v>
      </c>
      <c r="W127" s="249" t="b">
        <v>0</v>
      </c>
      <c r="X127" s="249" t="str">
        <f>_xlfn.TEXTJOIN(", ",TRUE,stableR[[#This Row],[ans_opt_1]:[ans_opt_14]])</f>
        <v/>
      </c>
      <c r="AM127" s="250" t="b">
        <v>1</v>
      </c>
      <c r="AN127" s="250" t="b">
        <v>0</v>
      </c>
      <c r="AO127" s="250" t="b">
        <f>COUNTIFS(questions[qno],stableR[[#This Row],[qno]],questions[year_of_survey],2025,questions[origin],"Rwanda")&gt;0</f>
        <v>0</v>
      </c>
      <c r="AP127" s="250" t="b">
        <f>COUNTIFS(questions[qno],stableR[[#This Row],[qno]],questions[year_of_survey],2026,questions[origin],"Burundi")&gt;0</f>
        <v>0</v>
      </c>
      <c r="AQ127" s="250" t="b">
        <f>COUNTIFS(questions[qno],stableR[[#This Row],[qno]],questions[year_of_survey],"",questions[origin],"Indonesia")&gt;0</f>
        <v>0</v>
      </c>
      <c r="AR127" s="250" t="b">
        <f>COUNTIFS(questions[qno],stableR[[#This Row],[qno]],questions[year_of_survey],2025,questions[origin],"Vietnam")&gt;0</f>
        <v>0</v>
      </c>
      <c r="AS127" s="250" t="b">
        <v>0</v>
      </c>
      <c r="AT127" s="250" t="b">
        <v>0</v>
      </c>
    </row>
    <row r="128" spans="1:46" s="249" customFormat="1" x14ac:dyDescent="0.25">
      <c r="A128" s="84" t="str">
        <f>_xlfn.CONCAT(stableR[[#This Row],[group_0_no]:[order_no]])</f>
        <v>6030</v>
      </c>
      <c r="B128" s="84" t="s">
        <v>1421</v>
      </c>
      <c r="C128" s="236" t="s">
        <v>1105</v>
      </c>
      <c r="D128" s="236" t="s">
        <v>1094</v>
      </c>
      <c r="E128" s="236" t="s">
        <v>1099</v>
      </c>
      <c r="F128" s="236" t="s">
        <v>1094</v>
      </c>
      <c r="G128" s="211" t="s">
        <v>1245</v>
      </c>
      <c r="H128" s="211" t="b">
        <v>1</v>
      </c>
      <c r="I128" s="211" t="b">
        <v>0</v>
      </c>
      <c r="J128" s="211" t="b">
        <v>1</v>
      </c>
      <c r="K128" s="211" t="b">
        <v>0</v>
      </c>
      <c r="L128" s="211" t="b">
        <v>1</v>
      </c>
      <c r="M128" s="211" t="b">
        <v>0</v>
      </c>
      <c r="N128" s="211" t="b">
        <v>0</v>
      </c>
      <c r="O128" s="211" t="b">
        <v>0</v>
      </c>
      <c r="P128" s="211" t="b">
        <v>1</v>
      </c>
      <c r="Q128" s="211" t="b">
        <v>0</v>
      </c>
      <c r="R128" s="211" t="b">
        <v>1</v>
      </c>
      <c r="S128" s="212">
        <f>COUNTIFS(stableR[q_group],stableR[[#This Row],[q_group]])</f>
        <v>1</v>
      </c>
      <c r="T128" s="211" t="b">
        <v>0</v>
      </c>
      <c r="U128" s="211" t="b">
        <v>1</v>
      </c>
      <c r="V128" s="211" t="b">
        <v>0</v>
      </c>
      <c r="W128" s="211" t="b">
        <v>0</v>
      </c>
      <c r="X128" s="211" t="str">
        <f>_xlfn.TEXTJOIN(", ",TRUE,stableR[[#This Row],[ans_opt_1]:[ans_opt_14]])</f>
        <v>No, Yes</v>
      </c>
      <c r="Y128" s="211" t="s">
        <v>119</v>
      </c>
      <c r="Z128" s="211" t="s">
        <v>149</v>
      </c>
      <c r="AA128" s="211"/>
      <c r="AB128" s="211"/>
      <c r="AC128" s="211"/>
      <c r="AD128" s="211"/>
      <c r="AE128" s="211"/>
      <c r="AF128" s="211"/>
      <c r="AG128" s="211"/>
      <c r="AH128" s="211"/>
      <c r="AI128" s="211"/>
      <c r="AJ128" s="211"/>
      <c r="AK128" s="211"/>
      <c r="AL128" s="211"/>
      <c r="AM128" s="212" t="b">
        <v>0</v>
      </c>
      <c r="AN128" s="212" t="b">
        <v>1</v>
      </c>
      <c r="AO128" s="212" t="b">
        <f>COUNTIFS(questions[qno],stableR[[#This Row],[qno]],questions[year_of_survey],2025,questions[origin],"Rwanda")&gt;0</f>
        <v>1</v>
      </c>
      <c r="AP128" s="212" t="b">
        <f>COUNTIFS(questions[qno],stableR[[#This Row],[qno]],questions[year_of_survey],2026,questions[origin],"Burundi")&gt;0</f>
        <v>1</v>
      </c>
      <c r="AQ128" s="212" t="b">
        <f>COUNTIFS(questions[qno],stableR[[#This Row],[qno]],questions[year_of_survey],"",questions[origin],"Indonesia")&gt;0</f>
        <v>1</v>
      </c>
      <c r="AR128" s="212" t="b">
        <f>COUNTIFS(questions[qno],stableR[[#This Row],[qno]],questions[year_of_survey],2025,questions[origin],"Vietnam")&gt;0</f>
        <v>1</v>
      </c>
      <c r="AS128" s="212" t="b">
        <v>0</v>
      </c>
      <c r="AT128" s="212" t="b">
        <v>0</v>
      </c>
    </row>
    <row r="129" spans="1:46" s="249" customFormat="1" x14ac:dyDescent="0.25">
      <c r="A129" s="84" t="str">
        <f>_xlfn.CONCAT(stableR[[#This Row],[group_0_no]:[order_no]])</f>
        <v>6031</v>
      </c>
      <c r="B129" s="84" t="s">
        <v>1422</v>
      </c>
      <c r="C129" s="236" t="s">
        <v>1105</v>
      </c>
      <c r="D129" s="236" t="s">
        <v>1094</v>
      </c>
      <c r="E129" s="236" t="s">
        <v>1099</v>
      </c>
      <c r="F129" s="236" t="s">
        <v>1093</v>
      </c>
      <c r="G129" s="211" t="s">
        <v>1246</v>
      </c>
      <c r="H129" s="211" t="b">
        <v>1</v>
      </c>
      <c r="I129" s="211" t="b">
        <v>0</v>
      </c>
      <c r="J129" s="211" t="b">
        <v>1</v>
      </c>
      <c r="K129" s="211" t="b">
        <v>0</v>
      </c>
      <c r="L129" s="211" t="b">
        <v>0</v>
      </c>
      <c r="M129" s="211" t="b">
        <v>0</v>
      </c>
      <c r="N129" s="211" t="b">
        <v>0</v>
      </c>
      <c r="O129" s="211" t="b">
        <v>0</v>
      </c>
      <c r="P129" s="211" t="b">
        <v>0</v>
      </c>
      <c r="Q129" s="211" t="b">
        <v>1</v>
      </c>
      <c r="R129" s="211" t="b">
        <v>1</v>
      </c>
      <c r="S129" s="212">
        <f>COUNTIFS(stableR[q_group],stableR[[#This Row],[q_group]])</f>
        <v>1</v>
      </c>
      <c r="T129" s="211" t="b">
        <v>0</v>
      </c>
      <c r="U129" s="211" t="b">
        <v>1</v>
      </c>
      <c r="V129" s="211" t="b">
        <v>0</v>
      </c>
      <c r="W129" s="211" t="b">
        <v>0</v>
      </c>
      <c r="X129" s="211" t="str">
        <f>_xlfn.TEXTJOIN(", ",TRUE,stableR[[#This Row],[ans_opt_1]:[ans_opt_14]])</f>
        <v>Harvesting, Pruning, Weeding, Spraying, Planting new trees, Other</v>
      </c>
      <c r="Y129" s="211" t="s">
        <v>246</v>
      </c>
      <c r="Z129" s="211" t="s">
        <v>247</v>
      </c>
      <c r="AA129" s="211" t="s">
        <v>248</v>
      </c>
      <c r="AB129" s="211" t="s">
        <v>249</v>
      </c>
      <c r="AC129" s="211" t="s">
        <v>250</v>
      </c>
      <c r="AD129" s="211"/>
      <c r="AE129" s="211"/>
      <c r="AF129" s="211"/>
      <c r="AG129" s="211"/>
      <c r="AH129" s="211"/>
      <c r="AI129" s="211"/>
      <c r="AJ129" s="211"/>
      <c r="AK129" s="211"/>
      <c r="AL129" s="211" t="s">
        <v>112</v>
      </c>
      <c r="AM129" s="212" t="b">
        <v>0</v>
      </c>
      <c r="AN129" s="212" t="b">
        <v>1</v>
      </c>
      <c r="AO129" s="212" t="b">
        <f>COUNTIFS(questions[qno],stableR[[#This Row],[qno]],questions[year_of_survey],2025,questions[origin],"Rwanda")&gt;0</f>
        <v>1</v>
      </c>
      <c r="AP129" s="212" t="b">
        <f>COUNTIFS(questions[qno],stableR[[#This Row],[qno]],questions[year_of_survey],2026,questions[origin],"Burundi")&gt;0</f>
        <v>1</v>
      </c>
      <c r="AQ129" s="212" t="b">
        <f>COUNTIFS(questions[qno],stableR[[#This Row],[qno]],questions[year_of_survey],"",questions[origin],"Indonesia")&gt;0</f>
        <v>1</v>
      </c>
      <c r="AR129" s="212" t="b">
        <f>COUNTIFS(questions[qno],stableR[[#This Row],[qno]],questions[year_of_survey],2025,questions[origin],"Vietnam")&gt;0</f>
        <v>1</v>
      </c>
      <c r="AS129" s="212" t="b">
        <v>0</v>
      </c>
      <c r="AT129" s="212" t="b">
        <v>0</v>
      </c>
    </row>
    <row r="130" spans="1:46" s="211" customFormat="1" x14ac:dyDescent="0.25">
      <c r="A130" s="84" t="str">
        <f>_xlfn.CONCAT(stableR[[#This Row],[group_0_no]:[order_no]])</f>
        <v>6032</v>
      </c>
      <c r="B130" s="84" t="s">
        <v>1423</v>
      </c>
      <c r="C130" s="236" t="s">
        <v>1105</v>
      </c>
      <c r="D130" s="236" t="s">
        <v>1094</v>
      </c>
      <c r="E130" s="236" t="s">
        <v>1099</v>
      </c>
      <c r="F130" s="236" t="s">
        <v>1097</v>
      </c>
      <c r="G130" s="211" t="s">
        <v>1247</v>
      </c>
      <c r="H130" s="211" t="b">
        <v>1</v>
      </c>
      <c r="I130" s="211" t="b">
        <v>0</v>
      </c>
      <c r="J130" s="211" t="b">
        <v>1</v>
      </c>
      <c r="K130" s="211" t="b">
        <v>0</v>
      </c>
      <c r="L130" s="211" t="b">
        <v>0</v>
      </c>
      <c r="M130" s="211" t="b">
        <v>0</v>
      </c>
      <c r="N130" s="211" t="b">
        <v>0</v>
      </c>
      <c r="O130" s="211" t="b">
        <v>1</v>
      </c>
      <c r="P130" s="211" t="b">
        <v>0</v>
      </c>
      <c r="Q130" s="211" t="b">
        <v>0</v>
      </c>
      <c r="R130" s="211" t="b">
        <v>1</v>
      </c>
      <c r="S130" s="212">
        <f>COUNTIFS(stableR[q_group],stableR[[#This Row],[q_group]])</f>
        <v>1</v>
      </c>
      <c r="T130" s="211" t="b">
        <v>0</v>
      </c>
      <c r="U130" s="211" t="b">
        <v>1</v>
      </c>
      <c r="V130" s="211" t="b">
        <v>0</v>
      </c>
      <c r="W130" s="211" t="b">
        <v>0</v>
      </c>
      <c r="X130" s="211" t="str">
        <f>_xlfn.TEXTJOIN(", ",TRUE,stableR[[#This Row],[ans_opt_1]:[ans_opt_14]])</f>
        <v/>
      </c>
      <c r="AM130" s="212" t="b">
        <v>0</v>
      </c>
      <c r="AN130" s="212" t="b">
        <v>1</v>
      </c>
      <c r="AO130" s="212" t="b">
        <f>COUNTIFS(questions[qno],stableR[[#This Row],[qno]],questions[year_of_survey],2025,questions[origin],"Rwanda")&gt;0</f>
        <v>1</v>
      </c>
      <c r="AP130" s="212" t="b">
        <f>COUNTIFS(questions[qno],stableR[[#This Row],[qno]],questions[year_of_survey],2026,questions[origin],"Burundi")&gt;0</f>
        <v>1</v>
      </c>
      <c r="AQ130" s="212" t="b">
        <f>COUNTIFS(questions[qno],stableR[[#This Row],[qno]],questions[year_of_survey],"",questions[origin],"Indonesia")&gt;0</f>
        <v>1</v>
      </c>
      <c r="AR130" s="212" t="b">
        <f>COUNTIFS(questions[qno],stableR[[#This Row],[qno]],questions[year_of_survey],2025,questions[origin],"Vietnam")&gt;0</f>
        <v>1</v>
      </c>
      <c r="AS130" s="212" t="b">
        <v>0</v>
      </c>
      <c r="AT130" s="212" t="b">
        <v>0</v>
      </c>
    </row>
    <row r="131" spans="1:46" s="211" customFormat="1" x14ac:dyDescent="0.25">
      <c r="A131" s="84" t="str">
        <f>_xlfn.CONCAT(stableR[[#This Row],[group_0_no]:[order_no]])</f>
        <v>6033</v>
      </c>
      <c r="B131" s="84" t="s">
        <v>1424</v>
      </c>
      <c r="C131" s="236" t="s">
        <v>1105</v>
      </c>
      <c r="D131" s="236" t="s">
        <v>1094</v>
      </c>
      <c r="E131" s="236" t="s">
        <v>1099</v>
      </c>
      <c r="F131" s="236" t="s">
        <v>1099</v>
      </c>
      <c r="G131" s="211" t="s">
        <v>1248</v>
      </c>
      <c r="H131" s="211" t="b">
        <v>1</v>
      </c>
      <c r="I131" s="211" t="b">
        <v>0</v>
      </c>
      <c r="J131" s="211" t="b">
        <v>1</v>
      </c>
      <c r="K131" s="211" t="b">
        <v>0</v>
      </c>
      <c r="L131" s="211" t="b">
        <v>0</v>
      </c>
      <c r="M131" s="211" t="b">
        <v>0</v>
      </c>
      <c r="N131" s="211" t="b">
        <v>0</v>
      </c>
      <c r="O131" s="211" t="b">
        <v>1</v>
      </c>
      <c r="P131" s="211" t="b">
        <v>0</v>
      </c>
      <c r="Q131" s="211" t="b">
        <v>0</v>
      </c>
      <c r="R131" s="211" t="b">
        <v>1</v>
      </c>
      <c r="S131" s="212">
        <f>COUNTIFS(stableR[q_group],stableR[[#This Row],[q_group]])</f>
        <v>1</v>
      </c>
      <c r="T131" s="211" t="b">
        <v>0</v>
      </c>
      <c r="U131" s="211" t="b">
        <v>1</v>
      </c>
      <c r="V131" s="211" t="b">
        <v>0</v>
      </c>
      <c r="W131" s="211" t="b">
        <v>0</v>
      </c>
      <c r="X131" s="211" t="str">
        <f>_xlfn.TEXTJOIN(", ",TRUE,stableR[[#This Row],[ans_opt_1]:[ans_opt_14]])</f>
        <v/>
      </c>
      <c r="AM131" s="212" t="b">
        <v>0</v>
      </c>
      <c r="AN131" s="212" t="b">
        <v>1</v>
      </c>
      <c r="AO131" s="212" t="b">
        <f>COUNTIFS(questions[qno],stableR[[#This Row],[qno]],questions[year_of_survey],2025,questions[origin],"Rwanda")&gt;0</f>
        <v>1</v>
      </c>
      <c r="AP131" s="212" t="b">
        <f>COUNTIFS(questions[qno],stableR[[#This Row],[qno]],questions[year_of_survey],2026,questions[origin],"Burundi")&gt;0</f>
        <v>1</v>
      </c>
      <c r="AQ131" s="212" t="b">
        <f>COUNTIFS(questions[qno],stableR[[#This Row],[qno]],questions[year_of_survey],"",questions[origin],"Indonesia")&gt;0</f>
        <v>1</v>
      </c>
      <c r="AR131" s="212" t="b">
        <f>COUNTIFS(questions[qno],stableR[[#This Row],[qno]],questions[year_of_survey],2025,questions[origin],"Vietnam")&gt;0</f>
        <v>1</v>
      </c>
      <c r="AS131" s="212" t="b">
        <v>0</v>
      </c>
      <c r="AT131" s="212" t="b">
        <v>0</v>
      </c>
    </row>
    <row r="132" spans="1:46" s="211" customFormat="1" x14ac:dyDescent="0.25">
      <c r="A132" s="15" t="str">
        <f>_xlfn.CONCAT(stableR[[#This Row],[group_0_no]:[order_no]])</f>
        <v>6100</v>
      </c>
      <c r="B132" s="18" t="s">
        <v>1001</v>
      </c>
      <c r="C132" s="213" t="s">
        <v>1105</v>
      </c>
      <c r="D132" s="213" t="s">
        <v>1093</v>
      </c>
      <c r="E132" s="213" t="s">
        <v>1094</v>
      </c>
      <c r="F132" s="213" t="s">
        <v>1094</v>
      </c>
      <c r="G132" s="9" t="s">
        <v>1249</v>
      </c>
      <c r="H132" s="9" t="b">
        <v>1</v>
      </c>
      <c r="I132" s="9" t="b">
        <v>1</v>
      </c>
      <c r="J132" s="9" t="b">
        <v>0</v>
      </c>
      <c r="K132" s="9" t="b">
        <v>0</v>
      </c>
      <c r="L132" s="9" t="b">
        <v>1</v>
      </c>
      <c r="M132" s="9" t="b">
        <v>0</v>
      </c>
      <c r="N132" s="9" t="b">
        <v>0</v>
      </c>
      <c r="O132" s="9" t="b">
        <v>0</v>
      </c>
      <c r="P132" s="9" t="b">
        <v>1</v>
      </c>
      <c r="Q132" s="9" t="b">
        <v>0</v>
      </c>
      <c r="R132" s="9" t="b">
        <v>1</v>
      </c>
      <c r="S132" s="16">
        <f>COUNTIFS(stableR[q_group],stableR[[#This Row],[q_group]])</f>
        <v>1</v>
      </c>
      <c r="T132" s="9" t="b">
        <v>0</v>
      </c>
      <c r="U132" s="9" t="b">
        <v>1</v>
      </c>
      <c r="V132" s="9" t="b">
        <v>0</v>
      </c>
      <c r="W132" s="9" t="b">
        <v>0</v>
      </c>
      <c r="X132" s="9" t="str">
        <f>_xlfn.TEXTJOIN(", ",TRUE,stableR[[#This Row],[ans_opt_1]:[ans_opt_14]])</f>
        <v>No, Yes</v>
      </c>
      <c r="Y132" s="9" t="s">
        <v>119</v>
      </c>
      <c r="Z132" s="9" t="s">
        <v>149</v>
      </c>
      <c r="AA132" s="9"/>
      <c r="AB132" s="9"/>
      <c r="AC132" s="9"/>
      <c r="AD132" s="9"/>
      <c r="AE132" s="9"/>
      <c r="AF132" s="9"/>
      <c r="AG132" s="9"/>
      <c r="AH132" s="9"/>
      <c r="AI132" s="9"/>
      <c r="AJ132" s="9"/>
      <c r="AK132" s="9"/>
      <c r="AL132" s="9"/>
      <c r="AM132" s="16" t="b">
        <v>1</v>
      </c>
      <c r="AN132" s="16" t="b">
        <f>COUNTIFS(questions[qno],stableR[[#This Row],[qno]],questions[year_of_survey],2025,questions[origin],"Kenya")&gt;0</f>
        <v>1</v>
      </c>
      <c r="AO132" s="16" t="b">
        <f>COUNTIFS(questions[qno],stableR[[#This Row],[qno]],questions[year_of_survey],2025,questions[origin],"Rwanda")&gt;0</f>
        <v>1</v>
      </c>
      <c r="AP132" s="16" t="b">
        <f>COUNTIFS(questions[qno],stableR[[#This Row],[qno]],questions[year_of_survey],2026,questions[origin],"Burundi")&gt;0</f>
        <v>1</v>
      </c>
      <c r="AQ132" s="16" t="b">
        <f>COUNTIFS(questions[qno],stableR[[#This Row],[qno]],questions[year_of_survey],"",questions[origin],"Indonesia")&gt;0</f>
        <v>1</v>
      </c>
      <c r="AR132" s="16" t="b">
        <f>COUNTIFS(questions[qno],stableR[[#This Row],[qno]],questions[year_of_survey],2025,questions[origin],"Vietnam")&gt;0</f>
        <v>1</v>
      </c>
      <c r="AS132" s="16" t="b">
        <v>0</v>
      </c>
      <c r="AT132" s="16" t="b">
        <v>0</v>
      </c>
    </row>
    <row r="133" spans="1:46" s="211" customFormat="1" x14ac:dyDescent="0.25">
      <c r="A133" s="238" t="str">
        <f>_xlfn.CONCAT(stableR[[#This Row],[group_0_no]:[order_no]])</f>
        <v>6101</v>
      </c>
      <c r="B133" s="238" t="s">
        <v>1425</v>
      </c>
      <c r="C133" s="239" t="s">
        <v>1105</v>
      </c>
      <c r="D133" s="239" t="s">
        <v>1093</v>
      </c>
      <c r="E133" s="239" t="s">
        <v>1094</v>
      </c>
      <c r="F133" s="239" t="s">
        <v>1093</v>
      </c>
      <c r="G133" s="240" t="s">
        <v>1252</v>
      </c>
      <c r="H133" s="9" t="b">
        <v>1</v>
      </c>
      <c r="I133" s="77" t="b">
        <v>0</v>
      </c>
      <c r="J133" s="77" t="b">
        <v>1</v>
      </c>
      <c r="K133" s="77" t="b">
        <v>0</v>
      </c>
      <c r="L133" s="77" t="b">
        <v>0</v>
      </c>
      <c r="M133" s="77" t="b">
        <v>0</v>
      </c>
      <c r="N133" s="77" t="b">
        <v>0</v>
      </c>
      <c r="O133" s="77" t="b">
        <v>1</v>
      </c>
      <c r="P133" s="77" t="b">
        <v>0</v>
      </c>
      <c r="Q133" s="77" t="b">
        <v>0</v>
      </c>
      <c r="R133" s="77" t="b">
        <v>1</v>
      </c>
      <c r="S133" s="241">
        <f>COUNTIFS(stableR[q_group],stableR[[#This Row],[q_group]])</f>
        <v>1</v>
      </c>
      <c r="T133" s="77" t="b">
        <v>0</v>
      </c>
      <c r="U133" s="77" t="b">
        <v>1</v>
      </c>
      <c r="V133" s="77" t="b">
        <v>0</v>
      </c>
      <c r="W133" s="77" t="b">
        <v>0</v>
      </c>
      <c r="X133" s="240" t="str">
        <f>_xlfn.TEXTJOIN(", ",TRUE,stableR[[#This Row],[ans_opt_1]:[ans_opt_14]])</f>
        <v/>
      </c>
      <c r="Y133" s="9"/>
      <c r="Z133" s="9"/>
      <c r="AA133" s="9"/>
      <c r="AB133" s="9"/>
      <c r="AC133" s="9"/>
      <c r="AD133" s="9"/>
      <c r="AE133" s="9"/>
      <c r="AF133" s="9"/>
      <c r="AG133" s="9"/>
      <c r="AH133" s="9"/>
      <c r="AI133" s="9"/>
      <c r="AJ133" s="9"/>
      <c r="AK133" s="9"/>
      <c r="AL133" s="9"/>
      <c r="AM133" s="241" t="b">
        <v>1</v>
      </c>
      <c r="AN133" s="241" t="b">
        <f>COUNTIFS(questions[qno],stableR[[#This Row],[qno]],questions[year_of_survey],2025,questions[origin],"Kenya")&gt;0</f>
        <v>1</v>
      </c>
      <c r="AO133" s="241" t="b">
        <f>COUNTIFS(questions[qno],stableR[[#This Row],[qno]],questions[year_of_survey],2025,questions[origin],"Rwanda")&gt;0</f>
        <v>1</v>
      </c>
      <c r="AP133" s="241" t="b">
        <f>COUNTIFS(questions[qno],stableR[[#This Row],[qno]],questions[year_of_survey],2026,questions[origin],"Burundi")&gt;0</f>
        <v>1</v>
      </c>
      <c r="AQ133" s="241" t="b">
        <f>COUNTIFS(questions[qno],stableR[[#This Row],[qno]],questions[year_of_survey],"",questions[origin],"Indonesia")&gt;0</f>
        <v>1</v>
      </c>
      <c r="AR133" s="241" t="b">
        <f>COUNTIFS(questions[qno],stableR[[#This Row],[qno]],questions[year_of_survey],2025,questions[origin],"Vietnam")&gt;0</f>
        <v>1</v>
      </c>
      <c r="AS133" s="241" t="b">
        <v>0</v>
      </c>
      <c r="AT133" s="241" t="b">
        <v>0</v>
      </c>
    </row>
    <row r="134" spans="1:46" x14ac:dyDescent="0.25">
      <c r="A134" s="238" t="str">
        <f>_xlfn.CONCAT(stableR[[#This Row],[group_0_no]:[order_no]])</f>
        <v>6102</v>
      </c>
      <c r="B134" s="238" t="s">
        <v>1426</v>
      </c>
      <c r="C134" s="239" t="s">
        <v>1105</v>
      </c>
      <c r="D134" s="239" t="s">
        <v>1093</v>
      </c>
      <c r="E134" s="239" t="s">
        <v>1094</v>
      </c>
      <c r="F134" s="239" t="s">
        <v>1097</v>
      </c>
      <c r="G134" s="240" t="s">
        <v>1250</v>
      </c>
      <c r="H134" s="9" t="b">
        <v>1</v>
      </c>
      <c r="I134" s="77" t="b">
        <v>1</v>
      </c>
      <c r="J134" s="77" t="b">
        <v>0</v>
      </c>
      <c r="K134" s="77" t="b">
        <v>0</v>
      </c>
      <c r="L134" s="77" t="b">
        <v>0</v>
      </c>
      <c r="M134" s="77" t="b">
        <v>0</v>
      </c>
      <c r="N134" s="77" t="b">
        <v>0</v>
      </c>
      <c r="O134" s="77" t="b">
        <v>0</v>
      </c>
      <c r="P134" s="77" t="b">
        <v>0</v>
      </c>
      <c r="Q134" s="77" t="b">
        <v>1</v>
      </c>
      <c r="R134" s="77" t="b">
        <v>1</v>
      </c>
      <c r="S134" s="241">
        <f>COUNTIFS(stableR[q_group],stableR[[#This Row],[q_group]])</f>
        <v>1</v>
      </c>
      <c r="T134" s="77" t="b">
        <v>0</v>
      </c>
      <c r="U134" s="77" t="b">
        <v>1</v>
      </c>
      <c r="V134" s="77" t="b">
        <v>0</v>
      </c>
      <c r="W134" s="77" t="b">
        <v>0</v>
      </c>
      <c r="X134" s="240" t="str">
        <f>_xlfn.TEXTJOIN(", ",TRUE,stableR[[#This Row],[ans_opt_1]:[ans_opt_14]])</f>
        <v>Cash, Cherries, Other</v>
      </c>
      <c r="Y134" s="9" t="s">
        <v>1002</v>
      </c>
      <c r="Z134" s="9" t="s">
        <v>1003</v>
      </c>
      <c r="AL134" s="9" t="s">
        <v>112</v>
      </c>
      <c r="AM134" s="241" t="b">
        <v>1</v>
      </c>
      <c r="AN134" s="241" t="b">
        <f>COUNTIFS(questions[qno],stableR[[#This Row],[qno]],questions[year_of_survey],2025,questions[origin],"Kenya")&gt;0</f>
        <v>1</v>
      </c>
      <c r="AO134" s="241" t="b">
        <f>COUNTIFS(questions[qno],stableR[[#This Row],[qno]],questions[year_of_survey],2025,questions[origin],"Rwanda")&gt;0</f>
        <v>1</v>
      </c>
      <c r="AP134" s="241" t="b">
        <f>COUNTIFS(questions[qno],stableR[[#This Row],[qno]],questions[year_of_survey],2026,questions[origin],"Burundi")&gt;0</f>
        <v>1</v>
      </c>
      <c r="AQ134" s="241" t="b">
        <f>COUNTIFS(questions[qno],stableR[[#This Row],[qno]],questions[year_of_survey],"",questions[origin],"Indonesia")&gt;0</f>
        <v>1</v>
      </c>
      <c r="AR134" s="241" t="b">
        <f>COUNTIFS(questions[qno],stableR[[#This Row],[qno]],questions[year_of_survey],2025,questions[origin],"Vietnam")&gt;0</f>
        <v>1</v>
      </c>
      <c r="AS134" s="241" t="b">
        <v>0</v>
      </c>
      <c r="AT134" s="241" t="b">
        <v>0</v>
      </c>
    </row>
    <row r="135" spans="1:46" x14ac:dyDescent="0.25">
      <c r="A135" s="15" t="str">
        <f>_xlfn.CONCAT(stableR[[#This Row],[group_0_no]:[order_no]])</f>
        <v>6103</v>
      </c>
      <c r="B135" s="15" t="s">
        <v>1427</v>
      </c>
      <c r="C135" s="213" t="s">
        <v>1105</v>
      </c>
      <c r="D135" s="213" t="s">
        <v>1093</v>
      </c>
      <c r="E135" s="213" t="s">
        <v>1094</v>
      </c>
      <c r="F135" s="213" t="s">
        <v>1099</v>
      </c>
      <c r="G135" s="9" t="s">
        <v>1253</v>
      </c>
      <c r="H135" s="9" t="b">
        <v>1</v>
      </c>
      <c r="I135" s="9" t="b">
        <v>0</v>
      </c>
      <c r="J135" s="9" t="b">
        <v>1</v>
      </c>
      <c r="K135" s="9" t="b">
        <v>0</v>
      </c>
      <c r="L135" s="9" t="b">
        <v>0</v>
      </c>
      <c r="M135" s="9" t="b">
        <v>0</v>
      </c>
      <c r="N135" s="9" t="b">
        <v>0</v>
      </c>
      <c r="O135" s="9" t="b">
        <v>1</v>
      </c>
      <c r="P135" s="9" t="b">
        <v>0</v>
      </c>
      <c r="Q135" s="9" t="b">
        <v>0</v>
      </c>
      <c r="R135" s="9" t="b">
        <v>1</v>
      </c>
      <c r="S135" s="16">
        <f>COUNTIFS(stableR[q_group],stableR[[#This Row],[q_group]])</f>
        <v>1</v>
      </c>
      <c r="T135" s="9" t="b">
        <v>0</v>
      </c>
      <c r="U135" s="9" t="b">
        <v>1</v>
      </c>
      <c r="V135" s="9" t="b">
        <v>0</v>
      </c>
      <c r="W135" s="9" t="b">
        <v>0</v>
      </c>
      <c r="X135" s="9" t="str">
        <f>_xlfn.TEXTJOIN(", ",TRUE,stableR[[#This Row],[ans_opt_1]:[ans_opt_14]])</f>
        <v/>
      </c>
      <c r="AM135" s="16" t="b">
        <v>1</v>
      </c>
      <c r="AN135" s="16" t="b">
        <f>COUNTIFS(questions[qno],stableR[[#This Row],[qno]],questions[year_of_survey],2025,questions[origin],"Kenya")&gt;0</f>
        <v>1</v>
      </c>
      <c r="AO135" s="16" t="b">
        <f>COUNTIFS(questions[qno],stableR[[#This Row],[qno]],questions[year_of_survey],2025,questions[origin],"Rwanda")&gt;0</f>
        <v>1</v>
      </c>
      <c r="AP135" s="16" t="b">
        <f>COUNTIFS(questions[qno],stableR[[#This Row],[qno]],questions[year_of_survey],2026,questions[origin],"Burundi")&gt;0</f>
        <v>1</v>
      </c>
      <c r="AQ135" s="16" t="b">
        <f>COUNTIFS(questions[qno],stableR[[#This Row],[qno]],questions[year_of_survey],"",questions[origin],"Indonesia")&gt;0</f>
        <v>1</v>
      </c>
      <c r="AR135" s="16" t="b">
        <f>COUNTIFS(questions[qno],stableR[[#This Row],[qno]],questions[year_of_survey],2025,questions[origin],"Vietnam")&gt;0</f>
        <v>1</v>
      </c>
      <c r="AS135" s="16" t="b">
        <v>0</v>
      </c>
      <c r="AT135" s="16" t="b">
        <v>0</v>
      </c>
    </row>
    <row r="136" spans="1:46" x14ac:dyDescent="0.25">
      <c r="A136" s="15" t="str">
        <f>_xlfn.CONCAT(stableR[[#This Row],[group_0_no]:[order_no]])</f>
        <v>6190</v>
      </c>
      <c r="B136" s="15" t="s">
        <v>591</v>
      </c>
      <c r="C136" s="213" t="s">
        <v>1105</v>
      </c>
      <c r="D136" s="213" t="s">
        <v>1093</v>
      </c>
      <c r="E136" s="213" t="s">
        <v>1142</v>
      </c>
      <c r="F136" s="213" t="s">
        <v>1094</v>
      </c>
      <c r="G136" s="9" t="s">
        <v>1254</v>
      </c>
      <c r="H136" s="9" t="b">
        <v>1</v>
      </c>
      <c r="I136" s="9" t="b">
        <v>0</v>
      </c>
      <c r="J136" s="9" t="b">
        <v>1</v>
      </c>
      <c r="K136" s="9" t="b">
        <v>0</v>
      </c>
      <c r="L136" s="9" t="b">
        <v>1</v>
      </c>
      <c r="M136" s="9" t="b">
        <v>0</v>
      </c>
      <c r="N136" s="9" t="b">
        <v>0</v>
      </c>
      <c r="O136" s="9" t="b">
        <v>0</v>
      </c>
      <c r="P136" s="9" t="b">
        <v>1</v>
      </c>
      <c r="Q136" s="9" t="b">
        <v>0</v>
      </c>
      <c r="R136" s="9" t="b">
        <v>1</v>
      </c>
      <c r="S136" s="16">
        <f>COUNTIFS(stableR[q_group],stableR[[#This Row],[q_group]])</f>
        <v>1</v>
      </c>
      <c r="T136" s="9" t="b">
        <v>0</v>
      </c>
      <c r="U136" s="9" t="b">
        <v>1</v>
      </c>
      <c r="V136" s="9" t="b">
        <v>0</v>
      </c>
      <c r="W136" s="9" t="b">
        <v>0</v>
      </c>
      <c r="X136" s="9" t="str">
        <f>_xlfn.TEXTJOIN(", ",TRUE,stableR[[#This Row],[ans_opt_1]:[ans_opt_14]])</f>
        <v>No, Yes</v>
      </c>
      <c r="Y136" s="9" t="s">
        <v>119</v>
      </c>
      <c r="Z136" s="9" t="s">
        <v>149</v>
      </c>
      <c r="AM136" s="16" t="b">
        <v>0</v>
      </c>
      <c r="AN136" s="16" t="b">
        <f>COUNTIFS(questions[qno],stableR[[#This Row],[qno]],questions[year_of_survey],2025,questions[origin],"Kenya")&gt;0</f>
        <v>0</v>
      </c>
      <c r="AO136" s="16" t="b">
        <f>COUNTIFS(questions[qno],stableR[[#This Row],[qno]],questions[year_of_survey],2025,questions[origin],"Rwanda")&gt;0</f>
        <v>0</v>
      </c>
      <c r="AP136" s="16" t="b">
        <f>COUNTIFS(questions[qno],stableR[[#This Row],[qno]],questions[year_of_survey],2026,questions[origin],"Burundi")&gt;0</f>
        <v>0</v>
      </c>
      <c r="AQ136" s="16" t="b">
        <f>COUNTIFS(questions[qno],stableR[[#This Row],[qno]],questions[year_of_survey],"",questions[origin],"Indonesia")&gt;0</f>
        <v>0</v>
      </c>
      <c r="AR136" s="16" t="b">
        <f>COUNTIFS(questions[qno],stableR[[#This Row],[qno]],questions[year_of_survey],2025,questions[origin],"Vietnam")&gt;0</f>
        <v>0</v>
      </c>
      <c r="AS136" s="16" t="b">
        <v>0</v>
      </c>
      <c r="AT136" s="16" t="b">
        <v>0</v>
      </c>
    </row>
    <row r="137" spans="1:46" x14ac:dyDescent="0.25">
      <c r="A137" s="15" t="str">
        <f>_xlfn.CONCAT(stableR[[#This Row],[group_0_no]:[order_no]])</f>
        <v>6191</v>
      </c>
      <c r="B137" s="15" t="s">
        <v>1428</v>
      </c>
      <c r="C137" s="213" t="s">
        <v>1105</v>
      </c>
      <c r="D137" s="213" t="s">
        <v>1093</v>
      </c>
      <c r="E137" s="213" t="s">
        <v>1142</v>
      </c>
      <c r="F137" s="213" t="s">
        <v>1093</v>
      </c>
      <c r="G137" s="9" t="s">
        <v>1255</v>
      </c>
      <c r="H137" s="9" t="b">
        <v>1</v>
      </c>
      <c r="I137" s="9" t="b">
        <v>0</v>
      </c>
      <c r="J137" s="9" t="b">
        <v>1</v>
      </c>
      <c r="K137" s="9" t="b">
        <v>0</v>
      </c>
      <c r="L137" s="9" t="b">
        <v>0</v>
      </c>
      <c r="M137" s="9" t="b">
        <v>0</v>
      </c>
      <c r="N137" s="9" t="b">
        <v>1</v>
      </c>
      <c r="O137" s="9" t="b">
        <v>0</v>
      </c>
      <c r="P137" s="9" t="b">
        <v>0</v>
      </c>
      <c r="Q137" s="9" t="b">
        <v>0</v>
      </c>
      <c r="R137" s="9" t="b">
        <v>1</v>
      </c>
      <c r="S137" s="16">
        <f>COUNTIFS(stableR[q_group],stableR[[#This Row],[q_group]])</f>
        <v>1</v>
      </c>
      <c r="T137" s="9" t="b">
        <v>0</v>
      </c>
      <c r="U137" s="9" t="b">
        <v>1</v>
      </c>
      <c r="V137" s="9" t="b">
        <v>0</v>
      </c>
      <c r="W137" s="9" t="b">
        <v>0</v>
      </c>
      <c r="X137" s="9" t="str">
        <f>_xlfn.TEXTJOIN(", ",TRUE,stableR[[#This Row],[ans_opt_1]:[ans_opt_14]])</f>
        <v/>
      </c>
      <c r="AM137" s="16" t="b">
        <v>0</v>
      </c>
      <c r="AN137" s="16" t="b">
        <f>COUNTIFS(questions[qno],stableR[[#This Row],[qno]],questions[year_of_survey],2025,questions[origin],"Kenya")&gt;0</f>
        <v>0</v>
      </c>
      <c r="AO137" s="16" t="b">
        <f>COUNTIFS(questions[qno],stableR[[#This Row],[qno]],questions[year_of_survey],2025,questions[origin],"Rwanda")&gt;0</f>
        <v>0</v>
      </c>
      <c r="AP137" s="16" t="b">
        <f>COUNTIFS(questions[qno],stableR[[#This Row],[qno]],questions[year_of_survey],2026,questions[origin],"Burundi")&gt;0</f>
        <v>0</v>
      </c>
      <c r="AQ137" s="16" t="b">
        <f>COUNTIFS(questions[qno],stableR[[#This Row],[qno]],questions[year_of_survey],"",questions[origin],"Indonesia")&gt;0</f>
        <v>0</v>
      </c>
      <c r="AR137" s="16" t="b">
        <f>COUNTIFS(questions[qno],stableR[[#This Row],[qno]],questions[year_of_survey],2025,questions[origin],"Vietnam")&gt;0</f>
        <v>0</v>
      </c>
      <c r="AS137" s="16" t="b">
        <v>0</v>
      </c>
      <c r="AT137" s="16" t="b">
        <v>0</v>
      </c>
    </row>
    <row r="138" spans="1:46" x14ac:dyDescent="0.25">
      <c r="A138" s="15" t="str">
        <f>_xlfn.CONCAT(stableR[[#This Row],[group_0_no]:[order_no]])</f>
        <v>6192</v>
      </c>
      <c r="B138" s="15" t="s">
        <v>595</v>
      </c>
      <c r="C138" s="213" t="s">
        <v>1105</v>
      </c>
      <c r="D138" s="213" t="s">
        <v>1093</v>
      </c>
      <c r="E138" s="213" t="s">
        <v>1142</v>
      </c>
      <c r="F138" s="213" t="s">
        <v>1097</v>
      </c>
      <c r="G138" s="9" t="s">
        <v>1256</v>
      </c>
      <c r="H138" s="9" t="b">
        <v>1</v>
      </c>
      <c r="I138" s="9" t="b">
        <v>0</v>
      </c>
      <c r="J138" s="9" t="b">
        <v>1</v>
      </c>
      <c r="K138" s="9" t="b">
        <v>0</v>
      </c>
      <c r="L138" s="9" t="b">
        <v>0</v>
      </c>
      <c r="M138" s="9" t="b">
        <v>0</v>
      </c>
      <c r="N138" s="9" t="b">
        <v>1</v>
      </c>
      <c r="O138" s="9" t="b">
        <v>0</v>
      </c>
      <c r="P138" s="9" t="b">
        <v>0</v>
      </c>
      <c r="Q138" s="9" t="b">
        <v>0</v>
      </c>
      <c r="R138" s="9" t="b">
        <v>1</v>
      </c>
      <c r="S138" s="16">
        <f>COUNTIFS(stableR[q_group],stableR[[#This Row],[q_group]])</f>
        <v>1</v>
      </c>
      <c r="T138" s="9" t="b">
        <v>0</v>
      </c>
      <c r="U138" s="9" t="b">
        <v>1</v>
      </c>
      <c r="V138" s="9" t="b">
        <v>0</v>
      </c>
      <c r="W138" s="9" t="b">
        <v>0</v>
      </c>
      <c r="X138" s="9" t="str">
        <f>_xlfn.TEXTJOIN(", ",TRUE,stableR[[#This Row],[ans_opt_1]:[ans_opt_14]])</f>
        <v/>
      </c>
      <c r="AM138" s="16" t="b">
        <v>0</v>
      </c>
      <c r="AN138" s="16" t="b">
        <f>COUNTIFS(questions[qno],stableR[[#This Row],[qno]],questions[year_of_survey],2025,questions[origin],"Kenya")&gt;0</f>
        <v>0</v>
      </c>
      <c r="AO138" s="16" t="b">
        <f>COUNTIFS(questions[qno],stableR[[#This Row],[qno]],questions[year_of_survey],2025,questions[origin],"Rwanda")&gt;0</f>
        <v>0</v>
      </c>
      <c r="AP138" s="16" t="b">
        <f>COUNTIFS(questions[qno],stableR[[#This Row],[qno]],questions[year_of_survey],2026,questions[origin],"Burundi")&gt;0</f>
        <v>0</v>
      </c>
      <c r="AQ138" s="16" t="b">
        <f>COUNTIFS(questions[qno],stableR[[#This Row],[qno]],questions[year_of_survey],"",questions[origin],"Indonesia")&gt;0</f>
        <v>0</v>
      </c>
      <c r="AR138" s="16" t="b">
        <f>COUNTIFS(questions[qno],stableR[[#This Row],[qno]],questions[year_of_survey],2025,questions[origin],"Vietnam")&gt;0</f>
        <v>0</v>
      </c>
      <c r="AS138" s="16" t="b">
        <v>0</v>
      </c>
      <c r="AT138" s="16" t="b">
        <v>0</v>
      </c>
    </row>
    <row r="139" spans="1:46" x14ac:dyDescent="0.25">
      <c r="A139" s="15" t="str">
        <f>_xlfn.CONCAT(stableR[[#This Row],[group_0_no]:[order_no]])</f>
        <v>6200</v>
      </c>
      <c r="B139" s="15" t="s">
        <v>597</v>
      </c>
      <c r="C139" s="213" t="s">
        <v>1105</v>
      </c>
      <c r="D139" s="213" t="s">
        <v>1097</v>
      </c>
      <c r="E139" s="213" t="s">
        <v>1094</v>
      </c>
      <c r="F139" s="213" t="s">
        <v>1094</v>
      </c>
      <c r="G139" s="9" t="s">
        <v>1257</v>
      </c>
      <c r="H139" s="9" t="b">
        <v>1</v>
      </c>
      <c r="I139" s="9" t="b">
        <v>0</v>
      </c>
      <c r="J139" s="9" t="b">
        <v>0</v>
      </c>
      <c r="K139" s="9" t="b">
        <v>1</v>
      </c>
      <c r="L139" s="9" t="b">
        <v>1</v>
      </c>
      <c r="M139" s="9" t="b">
        <v>0</v>
      </c>
      <c r="N139" s="9" t="b">
        <v>0</v>
      </c>
      <c r="O139" s="9" t="b">
        <v>0</v>
      </c>
      <c r="P139" s="9" t="b">
        <v>1</v>
      </c>
      <c r="Q139" s="9" t="b">
        <v>0</v>
      </c>
      <c r="R139" s="9" t="b">
        <v>1</v>
      </c>
      <c r="S139" s="16">
        <f>COUNTIFS(stableR[q_group],stableR[[#This Row],[q_group]])</f>
        <v>1</v>
      </c>
      <c r="T139" s="9" t="b">
        <v>0</v>
      </c>
      <c r="U139" s="9" t="b">
        <v>1</v>
      </c>
      <c r="V139" s="9" t="b">
        <v>0</v>
      </c>
      <c r="W139" s="9" t="b">
        <v>0</v>
      </c>
      <c r="X139" s="9" t="str">
        <f>_xlfn.TEXTJOIN(", ",TRUE,stableR[[#This Row],[ans_opt_1]:[ans_opt_14]])</f>
        <v>No, Yes</v>
      </c>
      <c r="Y139" s="9" t="s">
        <v>119</v>
      </c>
      <c r="Z139" s="9" t="s">
        <v>149</v>
      </c>
      <c r="AM139" s="16" t="b">
        <v>1</v>
      </c>
      <c r="AN139" s="16" t="b">
        <f>COUNTIFS(questions[qno],stableR[[#This Row],[qno]],questions[year_of_survey],2025,questions[origin],"Kenya")&gt;0</f>
        <v>0</v>
      </c>
      <c r="AO139" s="16" t="b">
        <f>COUNTIFS(questions[qno],stableR[[#This Row],[qno]],questions[year_of_survey],2025,questions[origin],"Rwanda")&gt;0</f>
        <v>0</v>
      </c>
      <c r="AP139" s="16" t="b">
        <f>COUNTIFS(questions[qno],stableR[[#This Row],[qno]],questions[year_of_survey],2026,questions[origin],"Burundi")&gt;0</f>
        <v>0</v>
      </c>
      <c r="AQ139" s="16" t="b">
        <f>COUNTIFS(questions[qno],stableR[[#This Row],[qno]],questions[year_of_survey],"",questions[origin],"Indonesia")&gt;0</f>
        <v>0</v>
      </c>
      <c r="AR139" s="16" t="b">
        <f>COUNTIFS(questions[qno],stableR[[#This Row],[qno]],questions[year_of_survey],2025,questions[origin],"Vietnam")&gt;0</f>
        <v>0</v>
      </c>
      <c r="AS139" s="16" t="b">
        <v>0</v>
      </c>
      <c r="AT139" s="16" t="b">
        <v>0</v>
      </c>
    </row>
    <row r="140" spans="1:46" x14ac:dyDescent="0.25">
      <c r="A140" s="15" t="str">
        <f>_xlfn.CONCAT(stableR[[#This Row],[group_0_no]:[order_no]])</f>
        <v>6201</v>
      </c>
      <c r="B140" s="15" t="s">
        <v>1429</v>
      </c>
      <c r="C140" s="213" t="s">
        <v>1105</v>
      </c>
      <c r="D140" s="213" t="s">
        <v>1097</v>
      </c>
      <c r="E140" s="213" t="s">
        <v>1094</v>
      </c>
      <c r="F140" s="213" t="s">
        <v>1093</v>
      </c>
      <c r="G140" s="9" t="s">
        <v>1259</v>
      </c>
      <c r="H140" s="9" t="b">
        <v>1</v>
      </c>
      <c r="I140" s="9" t="b">
        <v>0</v>
      </c>
      <c r="J140" s="9" t="b">
        <v>0</v>
      </c>
      <c r="K140" s="9" t="b">
        <v>1</v>
      </c>
      <c r="L140" s="9" t="b">
        <v>0</v>
      </c>
      <c r="M140" s="9" t="b">
        <v>0</v>
      </c>
      <c r="N140" s="9" t="b">
        <v>0</v>
      </c>
      <c r="O140" s="9" t="b">
        <v>1</v>
      </c>
      <c r="P140" s="9" t="b">
        <v>0</v>
      </c>
      <c r="Q140" s="9" t="b">
        <v>0</v>
      </c>
      <c r="R140" s="9" t="b">
        <v>1</v>
      </c>
      <c r="S140" s="16">
        <f>COUNTIFS(stableR[q_group],stableR[[#This Row],[q_group]])</f>
        <v>1</v>
      </c>
      <c r="T140" s="9" t="b">
        <v>0</v>
      </c>
      <c r="U140" s="9" t="b">
        <v>1</v>
      </c>
      <c r="V140" s="9" t="b">
        <v>0</v>
      </c>
      <c r="W140" s="9" t="b">
        <v>0</v>
      </c>
      <c r="X140" s="9" t="str">
        <f>_xlfn.TEXTJOIN(", ",TRUE,stableR[[#This Row],[ans_opt_1]:[ans_opt_14]])</f>
        <v/>
      </c>
      <c r="AM140" s="16" t="b">
        <v>1</v>
      </c>
      <c r="AN140" s="16" t="b">
        <f>COUNTIFS(questions[qno],stableR[[#This Row],[qno]],questions[year_of_survey],2025,questions[origin],"Kenya")&gt;0</f>
        <v>0</v>
      </c>
      <c r="AO140" s="16" t="b">
        <f>COUNTIFS(questions[qno],stableR[[#This Row],[qno]],questions[year_of_survey],2025,questions[origin],"Rwanda")&gt;0</f>
        <v>0</v>
      </c>
      <c r="AP140" s="16" t="b">
        <f>COUNTIFS(questions[qno],stableR[[#This Row],[qno]],questions[year_of_survey],2026,questions[origin],"Burundi")&gt;0</f>
        <v>0</v>
      </c>
      <c r="AQ140" s="16" t="b">
        <f>COUNTIFS(questions[qno],stableR[[#This Row],[qno]],questions[year_of_survey],"",questions[origin],"Indonesia")&gt;0</f>
        <v>0</v>
      </c>
      <c r="AR140" s="16" t="b">
        <f>COUNTIFS(questions[qno],stableR[[#This Row],[qno]],questions[year_of_survey],2025,questions[origin],"Vietnam")&gt;0</f>
        <v>0</v>
      </c>
      <c r="AS140" s="16" t="b">
        <v>0</v>
      </c>
      <c r="AT140" s="16" t="b">
        <v>0</v>
      </c>
    </row>
    <row r="141" spans="1:46" x14ac:dyDescent="0.25">
      <c r="A141" s="15" t="str">
        <f>_xlfn.CONCAT(stableR[[#This Row],[group_0_no]:[order_no]])</f>
        <v>6210</v>
      </c>
      <c r="B141" s="15" t="s">
        <v>1430</v>
      </c>
      <c r="C141" s="213" t="s">
        <v>1105</v>
      </c>
      <c r="D141" s="213" t="s">
        <v>1097</v>
      </c>
      <c r="E141" s="213" t="s">
        <v>1093</v>
      </c>
      <c r="F141" s="213" t="s">
        <v>1094</v>
      </c>
      <c r="G141" s="9" t="s">
        <v>1260</v>
      </c>
      <c r="H141" s="9" t="b">
        <v>1</v>
      </c>
      <c r="I141" s="9" t="b">
        <v>0</v>
      </c>
      <c r="J141" s="9" t="b">
        <v>1</v>
      </c>
      <c r="K141" s="9" t="b">
        <v>1</v>
      </c>
      <c r="L141" s="9" t="b">
        <v>1</v>
      </c>
      <c r="M141" s="9" t="b">
        <v>0</v>
      </c>
      <c r="N141" s="9" t="b">
        <v>0</v>
      </c>
      <c r="O141" s="9" t="b">
        <v>0</v>
      </c>
      <c r="P141" s="9" t="b">
        <v>1</v>
      </c>
      <c r="Q141" s="9" t="b">
        <v>0</v>
      </c>
      <c r="R141" s="9" t="b">
        <v>1</v>
      </c>
      <c r="S141" s="16">
        <f>COUNTIFS(stableR[q_group],stableR[[#This Row],[q_group]])</f>
        <v>1</v>
      </c>
      <c r="T141" s="9" t="b">
        <v>0</v>
      </c>
      <c r="U141" s="9" t="b">
        <v>1</v>
      </c>
      <c r="V141" s="9" t="b">
        <v>0</v>
      </c>
      <c r="W141" s="9" t="b">
        <v>0</v>
      </c>
      <c r="X141" s="9" t="str">
        <f>_xlfn.TEXTJOIN(", ",TRUE,stableR[[#This Row],[ans_opt_1]:[ans_opt_14]])</f>
        <v>No, Yes</v>
      </c>
      <c r="Y141" s="9" t="s">
        <v>119</v>
      </c>
      <c r="Z141" s="9" t="s">
        <v>149</v>
      </c>
      <c r="AM141" s="16" t="b">
        <v>0</v>
      </c>
      <c r="AN141" s="16" t="b">
        <f>COUNTIFS(questions[qno],stableR[[#This Row],[qno]],questions[year_of_survey],2025,questions[origin],"Kenya")&gt;0</f>
        <v>0</v>
      </c>
      <c r="AO141" s="16" t="b">
        <f>COUNTIFS(questions[qno],stableR[[#This Row],[qno]],questions[year_of_survey],2025,questions[origin],"Rwanda")&gt;0</f>
        <v>0</v>
      </c>
      <c r="AP141" s="16" t="b">
        <f>COUNTIFS(questions[qno],stableR[[#This Row],[qno]],questions[year_of_survey],2026,questions[origin],"Burundi")&gt;0</f>
        <v>0</v>
      </c>
      <c r="AQ141" s="16" t="b">
        <f>COUNTIFS(questions[qno],stableR[[#This Row],[qno]],questions[year_of_survey],"",questions[origin],"Indonesia")&gt;0</f>
        <v>1</v>
      </c>
      <c r="AR141" s="16" t="b">
        <f>COUNTIFS(questions[qno],stableR[[#This Row],[qno]],questions[year_of_survey],2025,questions[origin],"Vietnam")&gt;0</f>
        <v>0</v>
      </c>
      <c r="AS141" s="16" t="b">
        <v>0</v>
      </c>
      <c r="AT141" s="16" t="b">
        <v>0</v>
      </c>
    </row>
    <row r="142" spans="1:46" s="230" customFormat="1" x14ac:dyDescent="0.25">
      <c r="A142" s="15" t="str">
        <f>_xlfn.CONCAT(stableR[[#This Row],[group_0_no]:[order_no]])</f>
        <v>6211</v>
      </c>
      <c r="B142" s="15" t="s">
        <v>1431</v>
      </c>
      <c r="C142" s="213" t="s">
        <v>1105</v>
      </c>
      <c r="D142" s="213" t="s">
        <v>1097</v>
      </c>
      <c r="E142" s="213" t="s">
        <v>1093</v>
      </c>
      <c r="F142" s="213" t="s">
        <v>1093</v>
      </c>
      <c r="G142" s="9" t="s">
        <v>1262</v>
      </c>
      <c r="H142" s="9" t="b">
        <v>1</v>
      </c>
      <c r="I142" s="9" t="b">
        <v>0</v>
      </c>
      <c r="J142" s="9" t="b">
        <v>1</v>
      </c>
      <c r="K142" s="9" t="b">
        <v>1</v>
      </c>
      <c r="L142" s="9" t="b">
        <v>0</v>
      </c>
      <c r="M142" s="9" t="b">
        <v>0</v>
      </c>
      <c r="N142" s="9" t="b">
        <v>1</v>
      </c>
      <c r="O142" s="9" t="b">
        <v>0</v>
      </c>
      <c r="P142" s="9" t="b">
        <v>0</v>
      </c>
      <c r="Q142" s="9" t="b">
        <v>0</v>
      </c>
      <c r="R142" s="9" t="b">
        <v>1</v>
      </c>
      <c r="S142" s="16">
        <f>COUNTIFS(stableR[q_group],stableR[[#This Row],[q_group]])</f>
        <v>1</v>
      </c>
      <c r="T142" s="9" t="b">
        <v>0</v>
      </c>
      <c r="U142" s="9" t="b">
        <v>1</v>
      </c>
      <c r="V142" s="9" t="b">
        <v>0</v>
      </c>
      <c r="W142" s="9" t="b">
        <v>0</v>
      </c>
      <c r="X142" s="9" t="str">
        <f>_xlfn.TEXTJOIN(", ",TRUE,stableR[[#This Row],[ans_opt_1]:[ans_opt_14]])</f>
        <v/>
      </c>
      <c r="Y142" s="9"/>
      <c r="Z142" s="9"/>
      <c r="AA142" s="9"/>
      <c r="AB142" s="9"/>
      <c r="AC142" s="9"/>
      <c r="AD142" s="9"/>
      <c r="AE142" s="9"/>
      <c r="AF142" s="9"/>
      <c r="AG142" s="9"/>
      <c r="AH142" s="9"/>
      <c r="AI142" s="9"/>
      <c r="AJ142" s="9"/>
      <c r="AK142" s="9"/>
      <c r="AL142" s="9"/>
      <c r="AM142" s="16" t="b">
        <v>0</v>
      </c>
      <c r="AN142" s="16" t="b">
        <f>COUNTIFS(questions[qno],stableR[[#This Row],[qno]],questions[year_of_survey],2025,questions[origin],"Kenya")&gt;0</f>
        <v>0</v>
      </c>
      <c r="AO142" s="16" t="b">
        <f>COUNTIFS(questions[qno],stableR[[#This Row],[qno]],questions[year_of_survey],2025,questions[origin],"Rwanda")&gt;0</f>
        <v>0</v>
      </c>
      <c r="AP142" s="16" t="b">
        <f>COUNTIFS(questions[qno],stableR[[#This Row],[qno]],questions[year_of_survey],2026,questions[origin],"Burundi")&gt;0</f>
        <v>0</v>
      </c>
      <c r="AQ142" s="16" t="b">
        <f>COUNTIFS(questions[qno],stableR[[#This Row],[qno]],questions[year_of_survey],"",questions[origin],"Indonesia")&gt;0</f>
        <v>1</v>
      </c>
      <c r="AR142" s="16" t="b">
        <f>COUNTIFS(questions[qno],stableR[[#This Row],[qno]],questions[year_of_survey],2025,questions[origin],"Vietnam")&gt;0</f>
        <v>0</v>
      </c>
      <c r="AS142" s="16" t="b">
        <v>0</v>
      </c>
      <c r="AT142" s="16" t="b">
        <v>0</v>
      </c>
    </row>
    <row r="143" spans="1:46" x14ac:dyDescent="0.25">
      <c r="A143" s="15" t="str">
        <f>_xlfn.CONCAT(stableR[[#This Row],[group_0_no]:[order_no]])</f>
        <v>6220</v>
      </c>
      <c r="B143" s="15" t="s">
        <v>707</v>
      </c>
      <c r="C143" s="213">
        <v>6</v>
      </c>
      <c r="D143" s="213">
        <v>2</v>
      </c>
      <c r="E143" s="213">
        <v>2</v>
      </c>
      <c r="F143" s="213">
        <v>0</v>
      </c>
      <c r="G143" s="9" t="s">
        <v>1263</v>
      </c>
      <c r="H143" s="9" t="b">
        <v>1</v>
      </c>
      <c r="I143" s="9" t="b">
        <v>0</v>
      </c>
      <c r="J143" s="9" t="b">
        <v>1</v>
      </c>
      <c r="K143" s="9" t="b">
        <v>1</v>
      </c>
      <c r="L143" s="9" t="b">
        <v>1</v>
      </c>
      <c r="M143" s="9" t="b">
        <v>0</v>
      </c>
      <c r="N143" s="9" t="b">
        <v>0</v>
      </c>
      <c r="O143" s="9" t="b">
        <v>0</v>
      </c>
      <c r="P143" s="9" t="b">
        <v>0</v>
      </c>
      <c r="Q143" s="9" t="b">
        <v>1</v>
      </c>
      <c r="R143" s="9" t="b">
        <v>1</v>
      </c>
      <c r="S143" s="16">
        <f>COUNTIFS(stableR[q_group],stableR[[#This Row],[q_group]])</f>
        <v>1</v>
      </c>
      <c r="T143" s="9" t="b">
        <v>0</v>
      </c>
      <c r="U143" s="9" t="b">
        <v>1</v>
      </c>
      <c r="V143" s="9" t="b">
        <v>0</v>
      </c>
      <c r="W143" s="9" t="b">
        <v>0</v>
      </c>
      <c r="X143" s="9" t="str">
        <f>_xlfn.TEXTJOIN(", ",TRUE,stableR[[#This Row],[ans_opt_1]:[ans_opt_14]])</f>
        <v>Dry mill, Water pump (irrigation), Spray pump (insecticide/fungicide/herbicide application), Weed/grass trimmer, Two-wheeled tractor, Four wheeled tractor, Other</v>
      </c>
      <c r="Y143" s="9" t="s">
        <v>708</v>
      </c>
      <c r="Z143" s="9" t="s">
        <v>709</v>
      </c>
      <c r="AA143" s="9" t="s">
        <v>710</v>
      </c>
      <c r="AB143" s="9" t="s">
        <v>711</v>
      </c>
      <c r="AC143" s="9" t="s">
        <v>712</v>
      </c>
      <c r="AD143" s="9" t="s">
        <v>713</v>
      </c>
      <c r="AL143" s="9" t="s">
        <v>112</v>
      </c>
      <c r="AM143" s="16" t="b">
        <v>0</v>
      </c>
      <c r="AN143" s="16" t="b">
        <f>COUNTIFS(questions[qno],stableR[[#This Row],[qno]],questions[year_of_survey],2025,questions[origin],"Kenya")&gt;0</f>
        <v>0</v>
      </c>
      <c r="AO143" s="16" t="b">
        <f>COUNTIFS(questions[qno],stableR[[#This Row],[qno]],questions[year_of_survey],2025,questions[origin],"Rwanda")&gt;0</f>
        <v>0</v>
      </c>
      <c r="AP143" s="16" t="b">
        <f>COUNTIFS(questions[qno],stableR[[#This Row],[qno]],questions[year_of_survey],2026,questions[origin],"Burundi")&gt;0</f>
        <v>0</v>
      </c>
      <c r="AQ143" s="16" t="b">
        <f>COUNTIFS(questions[qno],stableR[[#This Row],[qno]],questions[year_of_survey],"",questions[origin],"Indonesia")&gt;0</f>
        <v>0</v>
      </c>
      <c r="AR143" s="16" t="b">
        <f>COUNTIFS(questions[qno],stableR[[#This Row],[qno]],questions[year_of_survey],2025,questions[origin],"Vietnam")&gt;0</f>
        <v>1</v>
      </c>
      <c r="AS143" s="16" t="b">
        <v>0</v>
      </c>
      <c r="AT143" s="16" t="b">
        <v>0</v>
      </c>
    </row>
    <row r="144" spans="1:46" x14ac:dyDescent="0.25">
      <c r="A144" s="15" t="str">
        <f>_xlfn.CONCAT(stableR[[#This Row],[group_0_no]:[order_no]])</f>
        <v>6300</v>
      </c>
      <c r="B144" s="15" t="s">
        <v>1006</v>
      </c>
      <c r="C144" s="213" t="s">
        <v>1105</v>
      </c>
      <c r="D144" s="213" t="s">
        <v>1099</v>
      </c>
      <c r="E144" s="213" t="s">
        <v>1094</v>
      </c>
      <c r="F144" s="213" t="s">
        <v>1094</v>
      </c>
      <c r="G144" s="9" t="s">
        <v>1264</v>
      </c>
      <c r="H144" s="9" t="b">
        <v>1</v>
      </c>
      <c r="I144" s="9" t="b">
        <v>1</v>
      </c>
      <c r="J144" s="9" t="b">
        <v>0</v>
      </c>
      <c r="K144" s="9" t="b">
        <v>0</v>
      </c>
      <c r="L144" s="9" t="b">
        <v>1</v>
      </c>
      <c r="M144" s="9" t="b">
        <v>0</v>
      </c>
      <c r="N144" s="9" t="b">
        <v>0</v>
      </c>
      <c r="O144" s="9" t="b">
        <v>0</v>
      </c>
      <c r="P144" s="9" t="b">
        <v>1</v>
      </c>
      <c r="Q144" s="9" t="b">
        <v>0</v>
      </c>
      <c r="R144" s="9" t="b">
        <v>1</v>
      </c>
      <c r="S144" s="16">
        <f>COUNTIFS(stableR[q_group],stableR[[#This Row],[q_group]])</f>
        <v>1</v>
      </c>
      <c r="T144" s="9" t="b">
        <v>0</v>
      </c>
      <c r="U144" s="9" t="b">
        <v>1</v>
      </c>
      <c r="V144" s="9" t="b">
        <v>0</v>
      </c>
      <c r="W144" s="9" t="b">
        <v>0</v>
      </c>
      <c r="X144" s="9" t="str">
        <f>_xlfn.TEXTJOIN(", ",TRUE,stableR[[#This Row],[ans_opt_1]:[ans_opt_14]])</f>
        <v>No, Yes</v>
      </c>
      <c r="Y144" s="9" t="s">
        <v>119</v>
      </c>
      <c r="Z144" s="9" t="s">
        <v>149</v>
      </c>
      <c r="AM144" s="16" t="b">
        <v>1</v>
      </c>
      <c r="AN144" s="16" t="b">
        <f>COUNTIFS(questions[qno],stableR[[#This Row],[qno]],questions[year_of_survey],2025,questions[origin],"Kenya")&gt;0</f>
        <v>1</v>
      </c>
      <c r="AO144" s="16" t="b">
        <f>COUNTIFS(questions[qno],stableR[[#This Row],[qno]],questions[year_of_survey],2025,questions[origin],"Rwanda")&gt;0</f>
        <v>1</v>
      </c>
      <c r="AP144" s="16" t="b">
        <f>COUNTIFS(questions[qno],stableR[[#This Row],[qno]],questions[year_of_survey],2026,questions[origin],"Burundi")&gt;0</f>
        <v>1</v>
      </c>
      <c r="AQ144" s="16" t="b">
        <f>COUNTIFS(questions[qno],stableR[[#This Row],[qno]],questions[year_of_survey],"",questions[origin],"Indonesia")&gt;0</f>
        <v>1</v>
      </c>
      <c r="AR144" s="16" t="b">
        <f>COUNTIFS(questions[qno],stableR[[#This Row],[qno]],questions[year_of_survey],2025,questions[origin],"Vietnam")&gt;0</f>
        <v>1</v>
      </c>
      <c r="AS144" s="16" t="b">
        <v>0</v>
      </c>
      <c r="AT144" s="16" t="b">
        <v>0</v>
      </c>
    </row>
    <row r="145" spans="1:46" x14ac:dyDescent="0.25">
      <c r="A145" s="228" t="str">
        <f>_xlfn.CONCAT(stableR[[#This Row],[group_0_no]:[order_no]])</f>
        <v>6301</v>
      </c>
      <c r="B145" s="228" t="s">
        <v>1432</v>
      </c>
      <c r="C145" s="229" t="s">
        <v>1105</v>
      </c>
      <c r="D145" s="229" t="s">
        <v>1099</v>
      </c>
      <c r="E145" s="229" t="s">
        <v>1094</v>
      </c>
      <c r="F145" s="229" t="s">
        <v>1093</v>
      </c>
      <c r="G145" s="230" t="s">
        <v>1265</v>
      </c>
      <c r="H145" s="230" t="b">
        <v>1</v>
      </c>
      <c r="I145" s="230" t="b">
        <v>1</v>
      </c>
      <c r="J145" s="230" t="b">
        <v>0</v>
      </c>
      <c r="K145" s="230" t="b">
        <v>0</v>
      </c>
      <c r="L145" s="230" t="b">
        <v>0</v>
      </c>
      <c r="M145" s="230" t="b">
        <v>0</v>
      </c>
      <c r="N145" s="230" t="b">
        <v>0</v>
      </c>
      <c r="O145" s="230" t="b">
        <v>0</v>
      </c>
      <c r="P145" s="230" t="b">
        <v>1</v>
      </c>
      <c r="Q145" s="230" t="b">
        <v>0</v>
      </c>
      <c r="R145" s="230" t="b">
        <v>1</v>
      </c>
      <c r="S145" s="231">
        <f>COUNTIFS(stableR[q_group],stableR[[#This Row],[q_group]])</f>
        <v>1</v>
      </c>
      <c r="T145" s="230" t="b">
        <v>0</v>
      </c>
      <c r="U145" s="230" t="b">
        <v>1</v>
      </c>
      <c r="V145" s="230" t="b">
        <v>0</v>
      </c>
      <c r="W145" s="230" t="b">
        <v>0</v>
      </c>
      <c r="X145" s="230" t="str">
        <f>_xlfn.TEXTJOIN(", ",TRUE,stableR[[#This Row],[ans_opt_1]:[ans_opt_14]])</f>
        <v/>
      </c>
      <c r="Y145" s="230"/>
      <c r="Z145" s="230"/>
      <c r="AA145" s="230"/>
      <c r="AB145" s="230"/>
      <c r="AC145" s="230"/>
      <c r="AD145" s="230"/>
      <c r="AE145" s="230"/>
      <c r="AF145" s="230"/>
      <c r="AG145" s="230"/>
      <c r="AH145" s="230"/>
      <c r="AI145" s="230"/>
      <c r="AJ145" s="230"/>
      <c r="AK145" s="230"/>
      <c r="AL145" s="230"/>
      <c r="AM145" s="231" t="b">
        <v>1</v>
      </c>
      <c r="AN145" s="231" t="b">
        <f>COUNTIFS(questions[qno],stableR[[#This Row],[qno]],questions[year_of_survey],2025,questions[origin],"Kenya")&gt;0</f>
        <v>1</v>
      </c>
      <c r="AO145" s="231" t="b">
        <f>COUNTIFS(questions[qno],stableR[[#This Row],[qno]],questions[year_of_survey],2025,questions[origin],"Rwanda")&gt;0</f>
        <v>1</v>
      </c>
      <c r="AP145" s="231" t="b">
        <f>COUNTIFS(questions[qno],stableR[[#This Row],[qno]],questions[year_of_survey],2026,questions[origin],"Burundi")&gt;0</f>
        <v>1</v>
      </c>
      <c r="AQ145" s="231" t="b">
        <f>COUNTIFS(questions[qno],stableR[[#This Row],[qno]],questions[year_of_survey],"",questions[origin],"Indonesia")&gt;0</f>
        <v>1</v>
      </c>
      <c r="AR145" s="231" t="b">
        <f>COUNTIFS(questions[qno],stableR[[#This Row],[qno]],questions[year_of_survey],2025,questions[origin],"Vietnam")&gt;0</f>
        <v>1</v>
      </c>
      <c r="AS145" s="231" t="b">
        <v>0</v>
      </c>
      <c r="AT145" s="231" t="b">
        <v>0</v>
      </c>
    </row>
    <row r="146" spans="1:46" x14ac:dyDescent="0.25">
      <c r="A146" s="15" t="str">
        <f>_xlfn.CONCAT(stableR[[#This Row],[group_0_no]:[order_no]])</f>
        <v>6302</v>
      </c>
      <c r="B146" s="15" t="s">
        <v>283</v>
      </c>
      <c r="C146" s="213" t="s">
        <v>1105</v>
      </c>
      <c r="D146" s="213" t="s">
        <v>1099</v>
      </c>
      <c r="E146" s="213" t="s">
        <v>1094</v>
      </c>
      <c r="F146" s="213" t="s">
        <v>1097</v>
      </c>
      <c r="G146" s="9" t="s">
        <v>1266</v>
      </c>
      <c r="H146" s="9" t="b">
        <v>1</v>
      </c>
      <c r="I146" s="9" t="b">
        <v>1</v>
      </c>
      <c r="J146" s="9" t="b">
        <v>0</v>
      </c>
      <c r="K146" s="9" t="b">
        <v>0</v>
      </c>
      <c r="L146" s="9" t="b">
        <v>0</v>
      </c>
      <c r="M146" s="9" t="b">
        <v>0</v>
      </c>
      <c r="N146" s="9" t="b">
        <v>0</v>
      </c>
      <c r="O146" s="9" t="b">
        <v>1</v>
      </c>
      <c r="P146" s="9" t="b">
        <v>0</v>
      </c>
      <c r="Q146" s="9" t="b">
        <v>0</v>
      </c>
      <c r="R146" s="9" t="b">
        <v>1</v>
      </c>
      <c r="S146" s="16">
        <f>COUNTIFS(stableR[q_group],stableR[[#This Row],[q_group]])</f>
        <v>1</v>
      </c>
      <c r="T146" s="9" t="b">
        <v>0</v>
      </c>
      <c r="U146" s="9" t="b">
        <v>1</v>
      </c>
      <c r="V146" s="9" t="b">
        <v>0</v>
      </c>
      <c r="W146" s="9" t="b">
        <v>0</v>
      </c>
      <c r="X146" s="9" t="str">
        <f>_xlfn.TEXTJOIN(", ",TRUE,stableR[[#This Row],[ans_opt_1]:[ans_opt_14]])</f>
        <v/>
      </c>
      <c r="AM146" s="16" t="b">
        <v>1</v>
      </c>
      <c r="AN146" s="16" t="b">
        <f>COUNTIFS(questions[qno],stableR[[#This Row],[qno]],questions[year_of_survey],2025,questions[origin],"Kenya")&gt;0</f>
        <v>1</v>
      </c>
      <c r="AO146" s="16" t="b">
        <f>COUNTIFS(questions[qno],stableR[[#This Row],[qno]],questions[year_of_survey],2025,questions[origin],"Rwanda")&gt;0</f>
        <v>1</v>
      </c>
      <c r="AP146" s="16" t="b">
        <f>COUNTIFS(questions[qno],stableR[[#This Row],[qno]],questions[year_of_survey],2026,questions[origin],"Burundi")&gt;0</f>
        <v>1</v>
      </c>
      <c r="AQ146" s="16" t="b">
        <f>COUNTIFS(questions[qno],stableR[[#This Row],[qno]],questions[year_of_survey],"",questions[origin],"Indonesia")&gt;0</f>
        <v>1</v>
      </c>
      <c r="AR146" s="16" t="b">
        <f>COUNTIFS(questions[qno],stableR[[#This Row],[qno]],questions[year_of_survey],2025,questions[origin],"Vietnam")&gt;0</f>
        <v>1</v>
      </c>
      <c r="AS146" s="16" t="b">
        <v>0</v>
      </c>
      <c r="AT146" s="16" t="b">
        <v>0</v>
      </c>
    </row>
    <row r="147" spans="1:46" x14ac:dyDescent="0.25">
      <c r="A147" s="15" t="str">
        <f>_xlfn.CONCAT(stableR[[#This Row],[group_0_no]:[order_no]])</f>
        <v>6400</v>
      </c>
      <c r="B147" s="15" t="s">
        <v>1433</v>
      </c>
      <c r="C147" s="213" t="s">
        <v>1105</v>
      </c>
      <c r="D147" s="213" t="s">
        <v>1101</v>
      </c>
      <c r="E147" s="213" t="s">
        <v>1094</v>
      </c>
      <c r="F147" s="213" t="s">
        <v>1094</v>
      </c>
      <c r="G147" s="9" t="s">
        <v>1267</v>
      </c>
      <c r="H147" s="9" t="b">
        <v>1</v>
      </c>
      <c r="I147" s="9" t="b">
        <v>1</v>
      </c>
      <c r="J147" s="9" t="b">
        <v>0</v>
      </c>
      <c r="K147" s="9" t="b">
        <v>0</v>
      </c>
      <c r="L147" s="9" t="b">
        <v>1</v>
      </c>
      <c r="M147" s="9" t="b">
        <v>0</v>
      </c>
      <c r="N147" s="9" t="b">
        <v>0</v>
      </c>
      <c r="O147" s="9" t="b">
        <v>0</v>
      </c>
      <c r="P147" s="9" t="b">
        <v>1</v>
      </c>
      <c r="Q147" s="9" t="b">
        <v>0</v>
      </c>
      <c r="R147" s="9" t="b">
        <v>1</v>
      </c>
      <c r="S147" s="16">
        <f>COUNTIFS(stableR[q_group],stableR[[#This Row],[q_group]])</f>
        <v>1</v>
      </c>
      <c r="T147" s="9" t="b">
        <v>0</v>
      </c>
      <c r="U147" s="9" t="b">
        <v>1</v>
      </c>
      <c r="V147" s="9" t="b">
        <v>0</v>
      </c>
      <c r="W147" s="9" t="b">
        <v>0</v>
      </c>
      <c r="X147" s="9" t="str">
        <f>_xlfn.TEXTJOIN(", ",TRUE,stableR[[#This Row],[ans_opt_1]:[ans_opt_14]])</f>
        <v>No, Yes</v>
      </c>
      <c r="Y147" s="9" t="s">
        <v>119</v>
      </c>
      <c r="Z147" s="9" t="s">
        <v>149</v>
      </c>
      <c r="AM147" s="16" t="b">
        <v>1</v>
      </c>
      <c r="AN147" s="16" t="b">
        <f>COUNTIFS(questions[qno],stableR[[#This Row],[qno]],questions[year_of_survey],2025,questions[origin],"Kenya")&gt;0</f>
        <v>1</v>
      </c>
      <c r="AO147" s="16" t="b">
        <f>COUNTIFS(questions[qno],stableR[[#This Row],[qno]],questions[year_of_survey],2025,questions[origin],"Rwanda")&gt;0</f>
        <v>0</v>
      </c>
      <c r="AP147" s="16" t="b">
        <f>COUNTIFS(questions[qno],stableR[[#This Row],[qno]],questions[year_of_survey],2026,questions[origin],"Burundi")&gt;0</f>
        <v>0</v>
      </c>
      <c r="AQ147" s="16" t="b">
        <f>COUNTIFS(questions[qno],stableR[[#This Row],[qno]],questions[year_of_survey],"",questions[origin],"Indonesia")&gt;0</f>
        <v>1</v>
      </c>
      <c r="AR147" s="16" t="b">
        <f>COUNTIFS(questions[qno],stableR[[#This Row],[qno]],questions[year_of_survey],2025,questions[origin],"Vietnam")&gt;0</f>
        <v>1</v>
      </c>
      <c r="AS147" s="16" t="b">
        <v>0</v>
      </c>
      <c r="AT147" s="16" t="b">
        <v>0</v>
      </c>
    </row>
    <row r="148" spans="1:46" x14ac:dyDescent="0.25">
      <c r="A148" s="15" t="str">
        <f>_xlfn.CONCAT(stableR[[#This Row],[group_0_no]:[order_no]])</f>
        <v>6401</v>
      </c>
      <c r="B148" s="15" t="s">
        <v>1434</v>
      </c>
      <c r="C148" s="213" t="s">
        <v>1105</v>
      </c>
      <c r="D148" s="213" t="s">
        <v>1101</v>
      </c>
      <c r="E148" s="213" t="s">
        <v>1094</v>
      </c>
      <c r="F148" s="213" t="s">
        <v>1093</v>
      </c>
      <c r="G148" s="9" t="s">
        <v>1268</v>
      </c>
      <c r="H148" s="9" t="b">
        <v>1</v>
      </c>
      <c r="I148" s="9" t="b">
        <v>1</v>
      </c>
      <c r="J148" s="9" t="b">
        <v>0</v>
      </c>
      <c r="K148" s="9" t="b">
        <v>0</v>
      </c>
      <c r="L148" s="9" t="b">
        <v>0</v>
      </c>
      <c r="M148" s="9" t="b">
        <v>0</v>
      </c>
      <c r="N148" s="9" t="b">
        <v>0</v>
      </c>
      <c r="O148" s="9" t="b">
        <v>1</v>
      </c>
      <c r="P148" s="9" t="b">
        <v>0</v>
      </c>
      <c r="Q148" s="9" t="b">
        <v>0</v>
      </c>
      <c r="R148" s="9" t="b">
        <v>1</v>
      </c>
      <c r="S148" s="16">
        <f>COUNTIFS(stableR[q_group],stableR[[#This Row],[q_group]])</f>
        <v>1</v>
      </c>
      <c r="T148" s="9" t="b">
        <v>0</v>
      </c>
      <c r="U148" s="9" t="b">
        <v>1</v>
      </c>
      <c r="V148" s="9" t="b">
        <v>0</v>
      </c>
      <c r="W148" s="9" t="b">
        <v>0</v>
      </c>
      <c r="X148" s="9" t="str">
        <f>_xlfn.TEXTJOIN(", ",TRUE,stableR[[#This Row],[ans_opt_1]:[ans_opt_14]])</f>
        <v/>
      </c>
      <c r="AM148" s="16" t="b">
        <v>1</v>
      </c>
      <c r="AN148" s="16" t="b">
        <f>COUNTIFS(questions[qno],stableR[[#This Row],[qno]],questions[year_of_survey],2025,questions[origin],"Kenya")&gt;0</f>
        <v>1</v>
      </c>
      <c r="AO148" s="16" t="b">
        <f>COUNTIFS(questions[qno],stableR[[#This Row],[qno]],questions[year_of_survey],2025,questions[origin],"Rwanda")&gt;0</f>
        <v>0</v>
      </c>
      <c r="AP148" s="16" t="b">
        <f>COUNTIFS(questions[qno],stableR[[#This Row],[qno]],questions[year_of_survey],2026,questions[origin],"Burundi")&gt;0</f>
        <v>0</v>
      </c>
      <c r="AQ148" s="16" t="b">
        <f>COUNTIFS(questions[qno],stableR[[#This Row],[qno]],questions[year_of_survey],"",questions[origin],"Indonesia")&gt;0</f>
        <v>1</v>
      </c>
      <c r="AR148" s="16" t="b">
        <f>COUNTIFS(questions[qno],stableR[[#This Row],[qno]],questions[year_of_survey],2025,questions[origin],"Vietnam")&gt;0</f>
        <v>1</v>
      </c>
      <c r="AS148" s="16" t="b">
        <v>0</v>
      </c>
      <c r="AT148" s="16" t="b">
        <v>0</v>
      </c>
    </row>
    <row r="149" spans="1:46" x14ac:dyDescent="0.25">
      <c r="A149" s="15" t="str">
        <f>_xlfn.CONCAT(stableR[[#This Row],[group_0_no]:[order_no]])</f>
        <v>6402</v>
      </c>
      <c r="B149" s="15" t="s">
        <v>1435</v>
      </c>
      <c r="C149" s="213" t="s">
        <v>1105</v>
      </c>
      <c r="D149" s="213" t="s">
        <v>1101</v>
      </c>
      <c r="E149" s="213" t="s">
        <v>1094</v>
      </c>
      <c r="F149" s="213" t="s">
        <v>1097</v>
      </c>
      <c r="G149" s="9" t="s">
        <v>1269</v>
      </c>
      <c r="H149" s="9" t="b">
        <v>1</v>
      </c>
      <c r="I149" s="9" t="b">
        <v>0</v>
      </c>
      <c r="J149" s="9" t="b">
        <v>1</v>
      </c>
      <c r="K149" s="9" t="b">
        <v>0</v>
      </c>
      <c r="L149" s="9" t="b">
        <v>0</v>
      </c>
      <c r="M149" s="9" t="b">
        <v>0</v>
      </c>
      <c r="N149" s="9" t="b">
        <v>0</v>
      </c>
      <c r="O149" s="9" t="b">
        <v>1</v>
      </c>
      <c r="P149" s="9" t="b">
        <v>0</v>
      </c>
      <c r="Q149" s="9" t="b">
        <v>0</v>
      </c>
      <c r="R149" s="9" t="b">
        <v>1</v>
      </c>
      <c r="S149" s="16">
        <f>COUNTIFS(stableR[q_group],stableR[[#This Row],[q_group]])</f>
        <v>1</v>
      </c>
      <c r="T149" s="9" t="b">
        <v>0</v>
      </c>
      <c r="U149" s="9" t="b">
        <v>1</v>
      </c>
      <c r="V149" s="9" t="b">
        <v>0</v>
      </c>
      <c r="W149" s="9" t="b">
        <v>0</v>
      </c>
      <c r="X149" s="9" t="str">
        <f>_xlfn.TEXTJOIN(", ",TRUE,stableR[[#This Row],[ans_opt_1]:[ans_opt_14]])</f>
        <v/>
      </c>
      <c r="AM149" s="16" t="b">
        <v>1</v>
      </c>
      <c r="AN149" s="16" t="b">
        <f>COUNTIFS(questions[qno],stableR[[#This Row],[qno]],questions[year_of_survey],2025,questions[origin],"Kenya")&gt;0</f>
        <v>1</v>
      </c>
      <c r="AO149" s="16" t="b">
        <f>COUNTIFS(questions[qno],stableR[[#This Row],[qno]],questions[year_of_survey],2025,questions[origin],"Rwanda")&gt;0</f>
        <v>0</v>
      </c>
      <c r="AP149" s="16" t="b">
        <f>COUNTIFS(questions[qno],stableR[[#This Row],[qno]],questions[year_of_survey],2026,questions[origin],"Burundi")&gt;0</f>
        <v>0</v>
      </c>
      <c r="AQ149" s="16" t="b">
        <f>COUNTIFS(questions[qno],stableR[[#This Row],[qno]],questions[year_of_survey],"",questions[origin],"Indonesia")&gt;0</f>
        <v>1</v>
      </c>
      <c r="AR149" s="16" t="b">
        <f>COUNTIFS(questions[qno],stableR[[#This Row],[qno]],questions[year_of_survey],2025,questions[origin],"Vietnam")&gt;0</f>
        <v>1</v>
      </c>
      <c r="AS149" s="16" t="b">
        <v>0</v>
      </c>
      <c r="AT149" s="16" t="b">
        <v>0</v>
      </c>
    </row>
    <row r="150" spans="1:46" x14ac:dyDescent="0.25">
      <c r="A150" s="15" t="str">
        <f>_xlfn.CONCAT(stableR[[#This Row],[group_0_no]:[order_no]])</f>
        <v>6500</v>
      </c>
      <c r="B150" s="15" t="s">
        <v>291</v>
      </c>
      <c r="C150" s="213" t="s">
        <v>1105</v>
      </c>
      <c r="D150" s="213" t="s">
        <v>1103</v>
      </c>
      <c r="E150" s="213" t="s">
        <v>1094</v>
      </c>
      <c r="F150" s="213" t="s">
        <v>1094</v>
      </c>
      <c r="G150" s="9" t="s">
        <v>1270</v>
      </c>
      <c r="H150" s="9" t="b">
        <v>1</v>
      </c>
      <c r="I150" s="9" t="b">
        <v>1</v>
      </c>
      <c r="J150" s="9" t="b">
        <v>0</v>
      </c>
      <c r="K150" s="9" t="b">
        <v>0</v>
      </c>
      <c r="L150" s="9" t="b">
        <v>1</v>
      </c>
      <c r="M150" s="9" t="b">
        <v>0</v>
      </c>
      <c r="N150" s="9" t="b">
        <v>0</v>
      </c>
      <c r="O150" s="9" t="b">
        <v>0</v>
      </c>
      <c r="P150" s="9" t="b">
        <v>0</v>
      </c>
      <c r="Q150" s="9" t="b">
        <v>1</v>
      </c>
      <c r="R150" s="9" t="b">
        <v>1</v>
      </c>
      <c r="S150" s="16">
        <f>COUNTIFS(stableR[q_group],stableR[[#This Row],[q_group]])</f>
        <v>1</v>
      </c>
      <c r="T150" s="9" t="b">
        <v>0</v>
      </c>
      <c r="U150" s="9" t="b">
        <v>1</v>
      </c>
      <c r="V150" s="9" t="b">
        <v>0</v>
      </c>
      <c r="W150" s="9" t="b">
        <v>0</v>
      </c>
      <c r="X150" s="9" t="str">
        <f>_xlfn.TEXTJOIN(", ",TRUE,stableR[[#This Row],[ans_opt_1]:[ans_opt_14]])</f>
        <v>Coffee, Cropping, Livestock, Casual labor in agriculture, Casual labor off-farm, Other business, Salaried job, Pension, Remittances</v>
      </c>
      <c r="Y150" s="9" t="s">
        <v>292</v>
      </c>
      <c r="Z150" s="9" t="s">
        <v>293</v>
      </c>
      <c r="AA150" s="9" t="s">
        <v>294</v>
      </c>
      <c r="AB150" s="9" t="s">
        <v>295</v>
      </c>
      <c r="AC150" s="9" t="s">
        <v>296</v>
      </c>
      <c r="AD150" s="9" t="s">
        <v>297</v>
      </c>
      <c r="AE150" s="9" t="s">
        <v>298</v>
      </c>
      <c r="AF150" s="9" t="s">
        <v>299</v>
      </c>
      <c r="AG150" s="9" t="s">
        <v>300</v>
      </c>
      <c r="AM150" s="16" t="b">
        <v>1</v>
      </c>
      <c r="AN150" s="16" t="b">
        <f>COUNTIFS(questions[qno],stableR[[#This Row],[qno]],questions[year_of_survey],2025,questions[origin],"Kenya")&gt;0</f>
        <v>1</v>
      </c>
      <c r="AO150" s="16" t="b">
        <f>COUNTIFS(questions[qno],stableR[[#This Row],[qno]],questions[year_of_survey],2025,questions[origin],"Rwanda")&gt;0</f>
        <v>1</v>
      </c>
      <c r="AP150" s="16" t="b">
        <f>COUNTIFS(questions[qno],stableR[[#This Row],[qno]],questions[year_of_survey],2026,questions[origin],"Burundi")&gt;0</f>
        <v>1</v>
      </c>
      <c r="AQ150" s="16" t="b">
        <f>COUNTIFS(questions[qno],stableR[[#This Row],[qno]],questions[year_of_survey],"",questions[origin],"Indonesia")&gt;0</f>
        <v>1</v>
      </c>
      <c r="AR150" s="16" t="b">
        <f>COUNTIFS(questions[qno],stableR[[#This Row],[qno]],questions[year_of_survey],2025,questions[origin],"Vietnam")&gt;0</f>
        <v>1</v>
      </c>
      <c r="AS150" s="16" t="b">
        <v>0</v>
      </c>
      <c r="AT150" s="16" t="b">
        <v>0</v>
      </c>
    </row>
    <row r="151" spans="1:46" x14ac:dyDescent="0.25">
      <c r="A151" s="15" t="str">
        <f>_xlfn.CONCAT(stableR[[#This Row],[group_0_no]:[order_no]])</f>
        <v>6501</v>
      </c>
      <c r="B151" s="24" t="s">
        <v>1010</v>
      </c>
      <c r="C151" s="213" t="s">
        <v>1105</v>
      </c>
      <c r="D151" s="213" t="s">
        <v>1103</v>
      </c>
      <c r="E151" s="213" t="s">
        <v>1094</v>
      </c>
      <c r="F151" s="213" t="s">
        <v>1093</v>
      </c>
      <c r="G151" s="9" t="s">
        <v>1271</v>
      </c>
      <c r="H151" s="9" t="b">
        <v>1</v>
      </c>
      <c r="I151" s="9" t="b">
        <v>1</v>
      </c>
      <c r="J151" s="9" t="b">
        <v>0</v>
      </c>
      <c r="K151" s="9" t="b">
        <v>0</v>
      </c>
      <c r="L151" s="9" t="b">
        <v>1</v>
      </c>
      <c r="M151" s="9" t="b">
        <v>1</v>
      </c>
      <c r="N151" s="9" t="b">
        <v>0</v>
      </c>
      <c r="O151" s="9" t="b">
        <v>0</v>
      </c>
      <c r="P151" s="9" t="b">
        <v>0</v>
      </c>
      <c r="Q151" s="9" t="b">
        <v>0</v>
      </c>
      <c r="R151" s="9" t="b">
        <v>0</v>
      </c>
      <c r="S151" s="16">
        <f>COUNTIFS(stableR[q_group],stableR[[#This Row],[q_group]])</f>
        <v>1</v>
      </c>
      <c r="T151" s="9" t="b">
        <v>0</v>
      </c>
      <c r="U151" s="9" t="b">
        <v>1</v>
      </c>
      <c r="V151" s="9" t="b">
        <v>0</v>
      </c>
      <c r="W151" s="9" t="b">
        <v>0</v>
      </c>
      <c r="X151" s="9" t="str">
        <f>_xlfn.TEXTJOIN(", ",TRUE,stableR[[#This Row],[ans_opt_1]:[ans_opt_14]])</f>
        <v/>
      </c>
      <c r="AM151" s="16" t="b">
        <v>1</v>
      </c>
      <c r="AN151" s="16" t="b">
        <f>COUNTIFS(questions[qno],stableR[[#This Row],[qno]],questions[year_of_survey],2025,questions[origin],"Kenya")&gt;0</f>
        <v>1</v>
      </c>
      <c r="AO151" s="16" t="b">
        <f>COUNTIFS(questions[qno],stableR[[#This Row],[qno]],questions[year_of_survey],2025,questions[origin],"Rwanda")&gt;0</f>
        <v>1</v>
      </c>
      <c r="AP151" s="16" t="b">
        <f>COUNTIFS(questions[qno],stableR[[#This Row],[qno]],questions[year_of_survey],2026,questions[origin],"Burundi")&gt;0</f>
        <v>1</v>
      </c>
      <c r="AQ151" s="16" t="b">
        <f>COUNTIFS(questions[qno],stableR[[#This Row],[qno]],questions[year_of_survey],"",questions[origin],"Indonesia")&gt;0</f>
        <v>1</v>
      </c>
      <c r="AR151" s="16" t="b">
        <f>COUNTIFS(questions[qno],stableR[[#This Row],[qno]],questions[year_of_survey],2025,questions[origin],"Vietnam")&gt;0</f>
        <v>1</v>
      </c>
      <c r="AS151" s="16" t="b">
        <v>0</v>
      </c>
      <c r="AT151" s="16" t="b">
        <v>0</v>
      </c>
    </row>
    <row r="152" spans="1:46" x14ac:dyDescent="0.25">
      <c r="A152" s="15" t="str">
        <f>_xlfn.CONCAT(stableR[[#This Row],[group_0_no]:[order_no]])</f>
        <v>6510</v>
      </c>
      <c r="B152" s="15" t="s">
        <v>304</v>
      </c>
      <c r="C152" s="213" t="s">
        <v>1105</v>
      </c>
      <c r="D152" s="213" t="s">
        <v>1103</v>
      </c>
      <c r="E152" s="213" t="s">
        <v>1093</v>
      </c>
      <c r="F152" s="213" t="s">
        <v>1094</v>
      </c>
      <c r="G152" s="9" t="s">
        <v>1272</v>
      </c>
      <c r="H152" s="9" t="b">
        <v>1</v>
      </c>
      <c r="I152" s="9" t="b">
        <v>1</v>
      </c>
      <c r="J152" s="9" t="b">
        <v>0</v>
      </c>
      <c r="K152" s="9" t="b">
        <v>0</v>
      </c>
      <c r="L152" s="9" t="b">
        <v>0</v>
      </c>
      <c r="M152" s="9" t="b">
        <v>0</v>
      </c>
      <c r="N152" s="9" t="b">
        <v>0</v>
      </c>
      <c r="O152" s="9" t="b">
        <v>0</v>
      </c>
      <c r="P152" s="9" t="b">
        <v>1</v>
      </c>
      <c r="Q152" s="9" t="b">
        <v>0</v>
      </c>
      <c r="R152" s="9" t="b">
        <v>0</v>
      </c>
      <c r="S152" s="16">
        <f>COUNTIFS(stableR[q_group],stableR[[#This Row],[q_group]])</f>
        <v>1</v>
      </c>
      <c r="T152" s="9" t="b">
        <v>0</v>
      </c>
      <c r="U152" s="9" t="b">
        <v>1</v>
      </c>
      <c r="V152" s="9" t="b">
        <v>0</v>
      </c>
      <c r="W152" s="9" t="b">
        <v>0</v>
      </c>
      <c r="X152" s="9" t="str">
        <f>_xlfn.TEXTJOIN(", ",TRUE,stableR[[#This Row],[ans_opt_1]:[ans_opt_14]])</f>
        <v>All or nearly all - 80-100%, More than half of it  - 60-80%, About half of it - 40-60%, Less than half of it - 20-40%, A small amount - 0-20%</v>
      </c>
      <c r="Y152" s="9" t="s">
        <v>305</v>
      </c>
      <c r="Z152" s="9" t="s">
        <v>306</v>
      </c>
      <c r="AA152" s="9" t="s">
        <v>307</v>
      </c>
      <c r="AB152" s="9" t="s">
        <v>308</v>
      </c>
      <c r="AC152" s="9" t="s">
        <v>309</v>
      </c>
      <c r="AM152" s="16" t="b">
        <v>1</v>
      </c>
      <c r="AN152" s="16" t="b">
        <f>COUNTIFS(questions[qno],stableR[[#This Row],[qno]],questions[year_of_survey],2025,questions[origin],"Kenya")&gt;0</f>
        <v>1</v>
      </c>
      <c r="AO152" s="16" t="b">
        <f>COUNTIFS(questions[qno],stableR[[#This Row],[qno]],questions[year_of_survey],2025,questions[origin],"Rwanda")&gt;0</f>
        <v>1</v>
      </c>
      <c r="AP152" s="16" t="b">
        <f>COUNTIFS(questions[qno],stableR[[#This Row],[qno]],questions[year_of_survey],2026,questions[origin],"Burundi")&gt;0</f>
        <v>1</v>
      </c>
      <c r="AQ152" s="16" t="b">
        <f>COUNTIFS(questions[qno],stableR[[#This Row],[qno]],questions[year_of_survey],"",questions[origin],"Indonesia")&gt;0</f>
        <v>1</v>
      </c>
      <c r="AR152" s="16" t="b">
        <f>COUNTIFS(questions[qno],stableR[[#This Row],[qno]],questions[year_of_survey],2025,questions[origin],"Vietnam")&gt;0</f>
        <v>1</v>
      </c>
      <c r="AS152" s="16" t="b">
        <v>0</v>
      </c>
      <c r="AT152" s="16" t="b">
        <v>0</v>
      </c>
    </row>
    <row r="153" spans="1:46" x14ac:dyDescent="0.25">
      <c r="A153" s="15" t="str">
        <f>_xlfn.CONCAT(stableR[[#This Row],[group_0_no]:[order_no]])</f>
        <v>6511</v>
      </c>
      <c r="B153" s="15" t="s">
        <v>311</v>
      </c>
      <c r="C153" s="213" t="s">
        <v>1105</v>
      </c>
      <c r="D153" s="213" t="s">
        <v>1103</v>
      </c>
      <c r="E153" s="213" t="s">
        <v>1093</v>
      </c>
      <c r="F153" s="213" t="s">
        <v>1093</v>
      </c>
      <c r="G153" s="9" t="s">
        <v>1273</v>
      </c>
      <c r="H153" s="9" t="b">
        <v>1</v>
      </c>
      <c r="I153" s="9" t="b">
        <v>1</v>
      </c>
      <c r="J153" s="9" t="b">
        <v>0</v>
      </c>
      <c r="K153" s="9" t="b">
        <v>0</v>
      </c>
      <c r="L153" s="9" t="b">
        <v>0</v>
      </c>
      <c r="M153" s="9" t="b">
        <v>0</v>
      </c>
      <c r="N153" s="9" t="b">
        <v>0</v>
      </c>
      <c r="O153" s="9" t="b">
        <v>0</v>
      </c>
      <c r="P153" s="9" t="b">
        <v>1</v>
      </c>
      <c r="Q153" s="9" t="b">
        <v>0</v>
      </c>
      <c r="R153" s="9" t="b">
        <v>0</v>
      </c>
      <c r="S153" s="16">
        <f>COUNTIFS(stableR[q_group],stableR[[#This Row],[q_group]])</f>
        <v>1</v>
      </c>
      <c r="T153" s="9" t="b">
        <v>0</v>
      </c>
      <c r="U153" s="9" t="b">
        <v>1</v>
      </c>
      <c r="V153" s="9" t="b">
        <v>0</v>
      </c>
      <c r="W153" s="9" t="b">
        <v>0</v>
      </c>
      <c r="X153" s="9" t="str">
        <f>_xlfn.TEXTJOIN(", ",TRUE,stableR[[#This Row],[ans_opt_1]:[ans_opt_14]])</f>
        <v>All or nearly all - 80-100%, More than half of it  - 60-80%, About half of it - 40-60%, Less than half of it - 20-40%, A small amount - 0-20%</v>
      </c>
      <c r="Y153" s="9" t="s">
        <v>305</v>
      </c>
      <c r="Z153" s="9" t="s">
        <v>306</v>
      </c>
      <c r="AA153" s="9" t="s">
        <v>307</v>
      </c>
      <c r="AB153" s="9" t="s">
        <v>308</v>
      </c>
      <c r="AC153" s="9" t="s">
        <v>309</v>
      </c>
      <c r="AM153" s="16" t="b">
        <v>1</v>
      </c>
      <c r="AN153" s="16" t="b">
        <f>COUNTIFS(questions[qno],stableR[[#This Row],[qno]],questions[year_of_survey],2025,questions[origin],"Kenya")&gt;0</f>
        <v>1</v>
      </c>
      <c r="AO153" s="16" t="b">
        <f>COUNTIFS(questions[qno],stableR[[#This Row],[qno]],questions[year_of_survey],2025,questions[origin],"Rwanda")&gt;0</f>
        <v>1</v>
      </c>
      <c r="AP153" s="16" t="b">
        <f>COUNTIFS(questions[qno],stableR[[#This Row],[qno]],questions[year_of_survey],2026,questions[origin],"Burundi")&gt;0</f>
        <v>1</v>
      </c>
      <c r="AQ153" s="16" t="b">
        <f>COUNTIFS(questions[qno],stableR[[#This Row],[qno]],questions[year_of_survey],"",questions[origin],"Indonesia")&gt;0</f>
        <v>1</v>
      </c>
      <c r="AR153" s="16" t="b">
        <f>COUNTIFS(questions[qno],stableR[[#This Row],[qno]],questions[year_of_survey],2025,questions[origin],"Vietnam")&gt;0</f>
        <v>1</v>
      </c>
      <c r="AS153" s="16" t="b">
        <v>0</v>
      </c>
      <c r="AT153" s="16" t="b">
        <v>0</v>
      </c>
    </row>
    <row r="154" spans="1:46" x14ac:dyDescent="0.25">
      <c r="A154" s="15" t="str">
        <f>_xlfn.CONCAT(stableR[[#This Row],[group_0_no]:[order_no]])</f>
        <v>6512</v>
      </c>
      <c r="B154" s="15" t="s">
        <v>313</v>
      </c>
      <c r="C154" s="213" t="s">
        <v>1105</v>
      </c>
      <c r="D154" s="213" t="s">
        <v>1103</v>
      </c>
      <c r="E154" s="213" t="s">
        <v>1093</v>
      </c>
      <c r="F154" s="213" t="s">
        <v>1097</v>
      </c>
      <c r="G154" s="9" t="s">
        <v>1274</v>
      </c>
      <c r="H154" s="9" t="b">
        <v>1</v>
      </c>
      <c r="I154" s="9" t="b">
        <v>1</v>
      </c>
      <c r="J154" s="9" t="b">
        <v>0</v>
      </c>
      <c r="K154" s="9" t="b">
        <v>0</v>
      </c>
      <c r="L154" s="9" t="b">
        <v>0</v>
      </c>
      <c r="M154" s="9" t="b">
        <v>0</v>
      </c>
      <c r="N154" s="9" t="b">
        <v>0</v>
      </c>
      <c r="O154" s="9" t="b">
        <v>0</v>
      </c>
      <c r="P154" s="9" t="b">
        <v>1</v>
      </c>
      <c r="Q154" s="9" t="b">
        <v>0</v>
      </c>
      <c r="R154" s="9" t="b">
        <v>0</v>
      </c>
      <c r="S154" s="16">
        <f>COUNTIFS(stableR[q_group],stableR[[#This Row],[q_group]])</f>
        <v>1</v>
      </c>
      <c r="T154" s="9" t="b">
        <v>0</v>
      </c>
      <c r="U154" s="9" t="b">
        <v>1</v>
      </c>
      <c r="V154" s="9" t="b">
        <v>0</v>
      </c>
      <c r="W154" s="9" t="b">
        <v>0</v>
      </c>
      <c r="X154" s="9" t="str">
        <f>_xlfn.TEXTJOIN(", ",TRUE,stableR[[#This Row],[ans_opt_1]:[ans_opt_14]])</f>
        <v>All or nearly all - 80-100%, More than half of it  - 60-80%, About half of it - 40-60%, Less than half of it - 20-40%, A small amount - 0-20%</v>
      </c>
      <c r="Y154" s="9" t="s">
        <v>305</v>
      </c>
      <c r="Z154" s="9" t="s">
        <v>306</v>
      </c>
      <c r="AA154" s="9" t="s">
        <v>307</v>
      </c>
      <c r="AB154" s="9" t="s">
        <v>308</v>
      </c>
      <c r="AC154" s="9" t="s">
        <v>309</v>
      </c>
      <c r="AM154" s="16" t="b">
        <v>1</v>
      </c>
      <c r="AN154" s="16" t="b">
        <f>COUNTIFS(questions[qno],stableR[[#This Row],[qno]],questions[year_of_survey],2025,questions[origin],"Kenya")&gt;0</f>
        <v>1</v>
      </c>
      <c r="AO154" s="16" t="b">
        <f>COUNTIFS(questions[qno],stableR[[#This Row],[qno]],questions[year_of_survey],2025,questions[origin],"Rwanda")&gt;0</f>
        <v>1</v>
      </c>
      <c r="AP154" s="16" t="b">
        <f>COUNTIFS(questions[qno],stableR[[#This Row],[qno]],questions[year_of_survey],2026,questions[origin],"Burundi")&gt;0</f>
        <v>1</v>
      </c>
      <c r="AQ154" s="16" t="b">
        <f>COUNTIFS(questions[qno],stableR[[#This Row],[qno]],questions[year_of_survey],"",questions[origin],"Indonesia")&gt;0</f>
        <v>1</v>
      </c>
      <c r="AR154" s="16" t="b">
        <f>COUNTIFS(questions[qno],stableR[[#This Row],[qno]],questions[year_of_survey],2025,questions[origin],"Vietnam")&gt;0</f>
        <v>1</v>
      </c>
      <c r="AS154" s="16" t="b">
        <v>0</v>
      </c>
      <c r="AT154" s="16" t="b">
        <v>0</v>
      </c>
    </row>
    <row r="155" spans="1:46" x14ac:dyDescent="0.25">
      <c r="A155" s="15" t="str">
        <f>_xlfn.CONCAT(stableR[[#This Row],[group_0_no]:[order_no]])</f>
        <v>6513</v>
      </c>
      <c r="B155" s="15" t="s">
        <v>315</v>
      </c>
      <c r="C155" s="213" t="s">
        <v>1105</v>
      </c>
      <c r="D155" s="213" t="s">
        <v>1103</v>
      </c>
      <c r="E155" s="213" t="s">
        <v>1093</v>
      </c>
      <c r="F155" s="213" t="s">
        <v>1099</v>
      </c>
      <c r="G155" s="9" t="s">
        <v>1275</v>
      </c>
      <c r="H155" s="9" t="b">
        <v>1</v>
      </c>
      <c r="I155" s="9" t="b">
        <v>1</v>
      </c>
      <c r="J155" s="9" t="b">
        <v>0</v>
      </c>
      <c r="K155" s="9" t="b">
        <v>0</v>
      </c>
      <c r="L155" s="9" t="b">
        <v>0</v>
      </c>
      <c r="M155" s="9" t="b">
        <v>0</v>
      </c>
      <c r="N155" s="9" t="b">
        <v>0</v>
      </c>
      <c r="O155" s="9" t="b">
        <v>0</v>
      </c>
      <c r="P155" s="9" t="b">
        <v>1</v>
      </c>
      <c r="Q155" s="9" t="b">
        <v>0</v>
      </c>
      <c r="R155" s="9" t="b">
        <v>0</v>
      </c>
      <c r="S155" s="16">
        <f>COUNTIFS(stableR[q_group],stableR[[#This Row],[q_group]])</f>
        <v>1</v>
      </c>
      <c r="T155" s="9" t="b">
        <v>0</v>
      </c>
      <c r="U155" s="9" t="b">
        <v>1</v>
      </c>
      <c r="V155" s="9" t="b">
        <v>0</v>
      </c>
      <c r="W155" s="9" t="b">
        <v>0</v>
      </c>
      <c r="X155" s="9" t="str">
        <f>_xlfn.TEXTJOIN(", ",TRUE,stableR[[#This Row],[ans_opt_1]:[ans_opt_14]])</f>
        <v>All or nearly all - 80-100%, More than half of it  - 60-80%, About half of it - 40-60%, Less than half of it - 20-40%, A small amount - 0-20%</v>
      </c>
      <c r="Y155" s="9" t="s">
        <v>305</v>
      </c>
      <c r="Z155" s="9" t="s">
        <v>306</v>
      </c>
      <c r="AA155" s="9" t="s">
        <v>307</v>
      </c>
      <c r="AB155" s="9" t="s">
        <v>308</v>
      </c>
      <c r="AC155" s="9" t="s">
        <v>309</v>
      </c>
      <c r="AM155" s="16" t="b">
        <v>1</v>
      </c>
      <c r="AN155" s="16" t="b">
        <f>COUNTIFS(questions[qno],stableR[[#This Row],[qno]],questions[year_of_survey],2025,questions[origin],"Kenya")&gt;0</f>
        <v>1</v>
      </c>
      <c r="AO155" s="16" t="b">
        <f>COUNTIFS(questions[qno],stableR[[#This Row],[qno]],questions[year_of_survey],2025,questions[origin],"Rwanda")&gt;0</f>
        <v>1</v>
      </c>
      <c r="AP155" s="16" t="b">
        <f>COUNTIFS(questions[qno],stableR[[#This Row],[qno]],questions[year_of_survey],2026,questions[origin],"Burundi")&gt;0</f>
        <v>1</v>
      </c>
      <c r="AQ155" s="16" t="b">
        <f>COUNTIFS(questions[qno],stableR[[#This Row],[qno]],questions[year_of_survey],"",questions[origin],"Indonesia")&gt;0</f>
        <v>1</v>
      </c>
      <c r="AR155" s="16" t="b">
        <f>COUNTIFS(questions[qno],stableR[[#This Row],[qno]],questions[year_of_survey],2025,questions[origin],"Vietnam")&gt;0</f>
        <v>1</v>
      </c>
      <c r="AS155" s="16" t="b">
        <v>0</v>
      </c>
      <c r="AT155" s="16" t="b">
        <v>0</v>
      </c>
    </row>
    <row r="156" spans="1:46" x14ac:dyDescent="0.25">
      <c r="A156" s="15" t="str">
        <f>_xlfn.CONCAT(stableR[[#This Row],[group_0_no]:[order_no]])</f>
        <v>6514</v>
      </c>
      <c r="B156" s="15" t="s">
        <v>317</v>
      </c>
      <c r="C156" s="213" t="s">
        <v>1105</v>
      </c>
      <c r="D156" s="213" t="s">
        <v>1103</v>
      </c>
      <c r="E156" s="213" t="s">
        <v>1093</v>
      </c>
      <c r="F156" s="213" t="s">
        <v>1101</v>
      </c>
      <c r="G156" s="9" t="s">
        <v>1276</v>
      </c>
      <c r="H156" s="9" t="b">
        <v>1</v>
      </c>
      <c r="I156" s="9" t="b">
        <v>1</v>
      </c>
      <c r="J156" s="9" t="b">
        <v>0</v>
      </c>
      <c r="K156" s="9" t="b">
        <v>0</v>
      </c>
      <c r="L156" s="9" t="b">
        <v>0</v>
      </c>
      <c r="M156" s="9" t="b">
        <v>0</v>
      </c>
      <c r="N156" s="9" t="b">
        <v>0</v>
      </c>
      <c r="O156" s="9" t="b">
        <v>0</v>
      </c>
      <c r="P156" s="9" t="b">
        <v>1</v>
      </c>
      <c r="Q156" s="9" t="b">
        <v>0</v>
      </c>
      <c r="R156" s="9" t="b">
        <v>0</v>
      </c>
      <c r="S156" s="16">
        <f>COUNTIFS(stableR[q_group],stableR[[#This Row],[q_group]])</f>
        <v>1</v>
      </c>
      <c r="T156" s="9" t="b">
        <v>0</v>
      </c>
      <c r="U156" s="9" t="b">
        <v>1</v>
      </c>
      <c r="V156" s="9" t="b">
        <v>0</v>
      </c>
      <c r="W156" s="9" t="b">
        <v>0</v>
      </c>
      <c r="X156" s="9" t="str">
        <f>_xlfn.TEXTJOIN(", ",TRUE,stableR[[#This Row],[ans_opt_1]:[ans_opt_14]])</f>
        <v>All or nearly all - 80-100%, More than half of it  - 60-80%, About half of it - 40-60%, Less than half of it - 20-40%, A small amount - 0-20%</v>
      </c>
      <c r="Y156" s="9" t="s">
        <v>305</v>
      </c>
      <c r="Z156" s="9" t="s">
        <v>306</v>
      </c>
      <c r="AA156" s="9" t="s">
        <v>307</v>
      </c>
      <c r="AB156" s="9" t="s">
        <v>308</v>
      </c>
      <c r="AC156" s="9" t="s">
        <v>309</v>
      </c>
      <c r="AM156" s="16" t="b">
        <v>1</v>
      </c>
      <c r="AN156" s="16" t="b">
        <f>COUNTIFS(questions[qno],stableR[[#This Row],[qno]],questions[year_of_survey],2025,questions[origin],"Kenya")&gt;0</f>
        <v>1</v>
      </c>
      <c r="AO156" s="16" t="b">
        <f>COUNTIFS(questions[qno],stableR[[#This Row],[qno]],questions[year_of_survey],2025,questions[origin],"Rwanda")&gt;0</f>
        <v>1</v>
      </c>
      <c r="AP156" s="16" t="b">
        <f>COUNTIFS(questions[qno],stableR[[#This Row],[qno]],questions[year_of_survey],2026,questions[origin],"Burundi")&gt;0</f>
        <v>1</v>
      </c>
      <c r="AQ156" s="16" t="b">
        <f>COUNTIFS(questions[qno],stableR[[#This Row],[qno]],questions[year_of_survey],"",questions[origin],"Indonesia")&gt;0</f>
        <v>1</v>
      </c>
      <c r="AR156" s="16" t="b">
        <f>COUNTIFS(questions[qno],stableR[[#This Row],[qno]],questions[year_of_survey],2025,questions[origin],"Vietnam")&gt;0</f>
        <v>1</v>
      </c>
      <c r="AS156" s="16" t="b">
        <v>0</v>
      </c>
      <c r="AT156" s="16" t="b">
        <v>0</v>
      </c>
    </row>
    <row r="157" spans="1:46" x14ac:dyDescent="0.25">
      <c r="A157" s="15" t="str">
        <f>_xlfn.CONCAT(stableR[[#This Row],[group_0_no]:[order_no]])</f>
        <v>6515</v>
      </c>
      <c r="B157" s="15" t="s">
        <v>319</v>
      </c>
      <c r="C157" s="213" t="s">
        <v>1105</v>
      </c>
      <c r="D157" s="213" t="s">
        <v>1103</v>
      </c>
      <c r="E157" s="213" t="s">
        <v>1093</v>
      </c>
      <c r="F157" s="213" t="s">
        <v>1103</v>
      </c>
      <c r="G157" s="9" t="s">
        <v>1277</v>
      </c>
      <c r="H157" s="9" t="b">
        <v>1</v>
      </c>
      <c r="I157" s="9" t="b">
        <v>1</v>
      </c>
      <c r="J157" s="9" t="b">
        <v>0</v>
      </c>
      <c r="K157" s="9" t="b">
        <v>0</v>
      </c>
      <c r="L157" s="9" t="b">
        <v>0</v>
      </c>
      <c r="M157" s="9" t="b">
        <v>0</v>
      </c>
      <c r="N157" s="9" t="b">
        <v>0</v>
      </c>
      <c r="O157" s="9" t="b">
        <v>0</v>
      </c>
      <c r="P157" s="9" t="b">
        <v>1</v>
      </c>
      <c r="Q157" s="9" t="b">
        <v>0</v>
      </c>
      <c r="R157" s="9" t="b">
        <v>0</v>
      </c>
      <c r="S157" s="16">
        <f>COUNTIFS(stableR[q_group],stableR[[#This Row],[q_group]])</f>
        <v>1</v>
      </c>
      <c r="T157" s="9" t="b">
        <v>0</v>
      </c>
      <c r="U157" s="9" t="b">
        <v>1</v>
      </c>
      <c r="V157" s="9" t="b">
        <v>0</v>
      </c>
      <c r="W157" s="9" t="b">
        <v>0</v>
      </c>
      <c r="X157" s="9" t="str">
        <f>_xlfn.TEXTJOIN(", ",TRUE,stableR[[#This Row],[ans_opt_1]:[ans_opt_14]])</f>
        <v>All or nearly all - 80-100%, More than half of it  - 60-80%, About half of it - 40-60%, Less than half of it - 20-40%, A small amount - 0-20%</v>
      </c>
      <c r="Y157" s="9" t="s">
        <v>305</v>
      </c>
      <c r="Z157" s="9" t="s">
        <v>306</v>
      </c>
      <c r="AA157" s="9" t="s">
        <v>307</v>
      </c>
      <c r="AB157" s="9" t="s">
        <v>308</v>
      </c>
      <c r="AC157" s="9" t="s">
        <v>309</v>
      </c>
      <c r="AM157" s="16" t="b">
        <v>1</v>
      </c>
      <c r="AN157" s="16" t="b">
        <f>COUNTIFS(questions[qno],stableR[[#This Row],[qno]],questions[year_of_survey],2025,questions[origin],"Kenya")&gt;0</f>
        <v>1</v>
      </c>
      <c r="AO157" s="16" t="b">
        <f>COUNTIFS(questions[qno],stableR[[#This Row],[qno]],questions[year_of_survey],2025,questions[origin],"Rwanda")&gt;0</f>
        <v>1</v>
      </c>
      <c r="AP157" s="16" t="b">
        <f>COUNTIFS(questions[qno],stableR[[#This Row],[qno]],questions[year_of_survey],2026,questions[origin],"Burundi")&gt;0</f>
        <v>1</v>
      </c>
      <c r="AQ157" s="16" t="b">
        <f>COUNTIFS(questions[qno],stableR[[#This Row],[qno]],questions[year_of_survey],"",questions[origin],"Indonesia")&gt;0</f>
        <v>1</v>
      </c>
      <c r="AR157" s="16" t="b">
        <f>COUNTIFS(questions[qno],stableR[[#This Row],[qno]],questions[year_of_survey],2025,questions[origin],"Vietnam")&gt;0</f>
        <v>1</v>
      </c>
      <c r="AS157" s="16" t="b">
        <v>0</v>
      </c>
      <c r="AT157" s="16" t="b">
        <v>0</v>
      </c>
    </row>
    <row r="158" spans="1:46" x14ac:dyDescent="0.25">
      <c r="A158" s="15" t="str">
        <f>_xlfn.CONCAT(stableR[[#This Row],[group_0_no]:[order_no]])</f>
        <v>6516</v>
      </c>
      <c r="B158" s="15" t="s">
        <v>321</v>
      </c>
      <c r="C158" s="213" t="s">
        <v>1105</v>
      </c>
      <c r="D158" s="213" t="s">
        <v>1103</v>
      </c>
      <c r="E158" s="213" t="s">
        <v>1093</v>
      </c>
      <c r="F158" s="213" t="s">
        <v>1105</v>
      </c>
      <c r="G158" s="9" t="s">
        <v>1278</v>
      </c>
      <c r="H158" s="9" t="b">
        <v>1</v>
      </c>
      <c r="I158" s="9" t="b">
        <v>1</v>
      </c>
      <c r="J158" s="9" t="b">
        <v>0</v>
      </c>
      <c r="K158" s="9" t="b">
        <v>0</v>
      </c>
      <c r="L158" s="9" t="b">
        <v>0</v>
      </c>
      <c r="M158" s="9" t="b">
        <v>0</v>
      </c>
      <c r="N158" s="9" t="b">
        <v>0</v>
      </c>
      <c r="O158" s="9" t="b">
        <v>0</v>
      </c>
      <c r="P158" s="9" t="b">
        <v>1</v>
      </c>
      <c r="Q158" s="9" t="b">
        <v>0</v>
      </c>
      <c r="R158" s="9" t="b">
        <v>0</v>
      </c>
      <c r="S158" s="16">
        <f>COUNTIFS(stableR[q_group],stableR[[#This Row],[q_group]])</f>
        <v>1</v>
      </c>
      <c r="T158" s="9" t="b">
        <v>0</v>
      </c>
      <c r="U158" s="9" t="b">
        <v>1</v>
      </c>
      <c r="V158" s="9" t="b">
        <v>0</v>
      </c>
      <c r="W158" s="9" t="b">
        <v>0</v>
      </c>
      <c r="X158" s="9" t="str">
        <f>_xlfn.TEXTJOIN(", ",TRUE,stableR[[#This Row],[ans_opt_1]:[ans_opt_14]])</f>
        <v>All or nearly all - 80-100%, More than half of it  - 60-80%, About half of it - 40-60%, Less than half of it - 20-40%, A small amount - 0-20%</v>
      </c>
      <c r="Y158" s="9" t="s">
        <v>305</v>
      </c>
      <c r="Z158" s="9" t="s">
        <v>306</v>
      </c>
      <c r="AA158" s="9" t="s">
        <v>307</v>
      </c>
      <c r="AB158" s="9" t="s">
        <v>308</v>
      </c>
      <c r="AC158" s="9" t="s">
        <v>309</v>
      </c>
      <c r="AM158" s="16" t="b">
        <v>1</v>
      </c>
      <c r="AN158" s="16" t="b">
        <f>COUNTIFS(questions[qno],stableR[[#This Row],[qno]],questions[year_of_survey],2025,questions[origin],"Kenya")&gt;0</f>
        <v>1</v>
      </c>
      <c r="AO158" s="16" t="b">
        <f>COUNTIFS(questions[qno],stableR[[#This Row],[qno]],questions[year_of_survey],2025,questions[origin],"Rwanda")&gt;0</f>
        <v>1</v>
      </c>
      <c r="AP158" s="16" t="b">
        <f>COUNTIFS(questions[qno],stableR[[#This Row],[qno]],questions[year_of_survey],2026,questions[origin],"Burundi")&gt;0</f>
        <v>1</v>
      </c>
      <c r="AQ158" s="16" t="b">
        <f>COUNTIFS(questions[qno],stableR[[#This Row],[qno]],questions[year_of_survey],"",questions[origin],"Indonesia")&gt;0</f>
        <v>1</v>
      </c>
      <c r="AR158" s="16" t="b">
        <f>COUNTIFS(questions[qno],stableR[[#This Row],[qno]],questions[year_of_survey],2025,questions[origin],"Vietnam")&gt;0</f>
        <v>1</v>
      </c>
      <c r="AS158" s="16" t="b">
        <v>0</v>
      </c>
      <c r="AT158" s="16" t="b">
        <v>0</v>
      </c>
    </row>
    <row r="159" spans="1:46" x14ac:dyDescent="0.25">
      <c r="A159" s="15" t="str">
        <f>_xlfn.CONCAT(stableR[[#This Row],[group_0_no]:[order_no]])</f>
        <v>6517</v>
      </c>
      <c r="B159" s="15" t="s">
        <v>323</v>
      </c>
      <c r="C159" s="213" t="s">
        <v>1105</v>
      </c>
      <c r="D159" s="213" t="s">
        <v>1103</v>
      </c>
      <c r="E159" s="213" t="s">
        <v>1093</v>
      </c>
      <c r="F159" s="213" t="s">
        <v>1279</v>
      </c>
      <c r="G159" s="9" t="s">
        <v>1280</v>
      </c>
      <c r="H159" s="9" t="b">
        <v>1</v>
      </c>
      <c r="I159" s="9" t="b">
        <v>1</v>
      </c>
      <c r="J159" s="9" t="b">
        <v>0</v>
      </c>
      <c r="K159" s="9" t="b">
        <v>0</v>
      </c>
      <c r="L159" s="9" t="b">
        <v>0</v>
      </c>
      <c r="M159" s="9" t="b">
        <v>0</v>
      </c>
      <c r="N159" s="9" t="b">
        <v>0</v>
      </c>
      <c r="O159" s="9" t="b">
        <v>0</v>
      </c>
      <c r="P159" s="9" t="b">
        <v>1</v>
      </c>
      <c r="Q159" s="9" t="b">
        <v>0</v>
      </c>
      <c r="R159" s="9" t="b">
        <v>0</v>
      </c>
      <c r="S159" s="16">
        <f>COUNTIFS(stableR[q_group],stableR[[#This Row],[q_group]])</f>
        <v>1</v>
      </c>
      <c r="T159" s="9" t="b">
        <v>0</v>
      </c>
      <c r="U159" s="9" t="b">
        <v>1</v>
      </c>
      <c r="V159" s="9" t="b">
        <v>0</v>
      </c>
      <c r="W159" s="9" t="b">
        <v>0</v>
      </c>
      <c r="X159" s="9" t="str">
        <f>_xlfn.TEXTJOIN(", ",TRUE,stableR[[#This Row],[ans_opt_1]:[ans_opt_14]])</f>
        <v>All or nearly all - 80-100%, More than half of it  - 60-80%, About half of it - 40-60%, Less than half of it - 20-40%, A small amount - 0-20%</v>
      </c>
      <c r="Y159" s="9" t="s">
        <v>305</v>
      </c>
      <c r="Z159" s="9" t="s">
        <v>306</v>
      </c>
      <c r="AA159" s="9" t="s">
        <v>307</v>
      </c>
      <c r="AB159" s="9" t="s">
        <v>308</v>
      </c>
      <c r="AC159" s="9" t="s">
        <v>309</v>
      </c>
      <c r="AM159" s="16" t="b">
        <v>1</v>
      </c>
      <c r="AN159" s="16" t="b">
        <f>COUNTIFS(questions[qno],stableR[[#This Row],[qno]],questions[year_of_survey],2025,questions[origin],"Kenya")&gt;0</f>
        <v>1</v>
      </c>
      <c r="AO159" s="16" t="b">
        <f>COUNTIFS(questions[qno],stableR[[#This Row],[qno]],questions[year_of_survey],2025,questions[origin],"Rwanda")&gt;0</f>
        <v>1</v>
      </c>
      <c r="AP159" s="16" t="b">
        <f>COUNTIFS(questions[qno],stableR[[#This Row],[qno]],questions[year_of_survey],2026,questions[origin],"Burundi")&gt;0</f>
        <v>1</v>
      </c>
      <c r="AQ159" s="16" t="b">
        <f>COUNTIFS(questions[qno],stableR[[#This Row],[qno]],questions[year_of_survey],"",questions[origin],"Indonesia")&gt;0</f>
        <v>1</v>
      </c>
      <c r="AR159" s="16" t="b">
        <f>COUNTIFS(questions[qno],stableR[[#This Row],[qno]],questions[year_of_survey],2025,questions[origin],"Vietnam")&gt;0</f>
        <v>1</v>
      </c>
      <c r="AS159" s="16" t="b">
        <v>0</v>
      </c>
      <c r="AT159" s="16" t="b">
        <v>0</v>
      </c>
    </row>
    <row r="160" spans="1:46" x14ac:dyDescent="0.25">
      <c r="A160" s="15" t="str">
        <f>_xlfn.CONCAT(stableR[[#This Row],[group_0_no]:[order_no]])</f>
        <v>6518</v>
      </c>
      <c r="B160" s="15" t="s">
        <v>325</v>
      </c>
      <c r="C160" s="213" t="s">
        <v>1105</v>
      </c>
      <c r="D160" s="213" t="s">
        <v>1103</v>
      </c>
      <c r="E160" s="213" t="s">
        <v>1093</v>
      </c>
      <c r="F160" s="213" t="s">
        <v>1143</v>
      </c>
      <c r="G160" s="9" t="s">
        <v>1281</v>
      </c>
      <c r="H160" s="9" t="b">
        <v>1</v>
      </c>
      <c r="I160" s="9" t="b">
        <v>1</v>
      </c>
      <c r="J160" s="9" t="b">
        <v>0</v>
      </c>
      <c r="K160" s="9" t="b">
        <v>0</v>
      </c>
      <c r="L160" s="9" t="b">
        <v>0</v>
      </c>
      <c r="M160" s="9" t="b">
        <v>0</v>
      </c>
      <c r="N160" s="9" t="b">
        <v>0</v>
      </c>
      <c r="O160" s="9" t="b">
        <v>0</v>
      </c>
      <c r="P160" s="9" t="b">
        <v>1</v>
      </c>
      <c r="Q160" s="9" t="b">
        <v>0</v>
      </c>
      <c r="R160" s="9" t="b">
        <v>0</v>
      </c>
      <c r="S160" s="16">
        <f>COUNTIFS(stableR[q_group],stableR[[#This Row],[q_group]])</f>
        <v>1</v>
      </c>
      <c r="T160" s="9" t="b">
        <v>0</v>
      </c>
      <c r="U160" s="9" t="b">
        <v>1</v>
      </c>
      <c r="V160" s="9" t="b">
        <v>0</v>
      </c>
      <c r="W160" s="9" t="b">
        <v>0</v>
      </c>
      <c r="X160" s="9" t="str">
        <f>_xlfn.TEXTJOIN(", ",TRUE,stableR[[#This Row],[ans_opt_1]:[ans_opt_14]])</f>
        <v>All or nearly all - 80-100%, More than half of it  - 60-80%, About half of it - 40-60%, Less than half of it - 20-40%, A small amount - 0-20%</v>
      </c>
      <c r="Y160" s="9" t="s">
        <v>305</v>
      </c>
      <c r="Z160" s="9" t="s">
        <v>306</v>
      </c>
      <c r="AA160" s="9" t="s">
        <v>307</v>
      </c>
      <c r="AB160" s="9" t="s">
        <v>308</v>
      </c>
      <c r="AC160" s="9" t="s">
        <v>309</v>
      </c>
      <c r="AM160" s="16" t="b">
        <v>1</v>
      </c>
      <c r="AN160" s="16" t="b">
        <f>COUNTIFS(questions[qno],stableR[[#This Row],[qno]],questions[year_of_survey],2025,questions[origin],"Kenya")&gt;0</f>
        <v>1</v>
      </c>
      <c r="AO160" s="16" t="b">
        <f>COUNTIFS(questions[qno],stableR[[#This Row],[qno]],questions[year_of_survey],2025,questions[origin],"Rwanda")&gt;0</f>
        <v>1</v>
      </c>
      <c r="AP160" s="16" t="b">
        <f>COUNTIFS(questions[qno],stableR[[#This Row],[qno]],questions[year_of_survey],2026,questions[origin],"Burundi")&gt;0</f>
        <v>1</v>
      </c>
      <c r="AQ160" s="16" t="b">
        <f>COUNTIFS(questions[qno],stableR[[#This Row],[qno]],questions[year_of_survey],"",questions[origin],"Indonesia")&gt;0</f>
        <v>1</v>
      </c>
      <c r="AR160" s="16" t="b">
        <f>COUNTIFS(questions[qno],stableR[[#This Row],[qno]],questions[year_of_survey],2025,questions[origin],"Vietnam")&gt;0</f>
        <v>1</v>
      </c>
      <c r="AS160" s="16" t="b">
        <v>0</v>
      </c>
      <c r="AT160" s="16" t="b">
        <v>0</v>
      </c>
    </row>
    <row r="161" spans="1:56" x14ac:dyDescent="0.25">
      <c r="A161" s="15" t="str">
        <f>_xlfn.CONCAT(stableR[[#This Row],[group_0_no]:[order_no]])</f>
        <v>6900</v>
      </c>
      <c r="B161" s="15" t="s">
        <v>608</v>
      </c>
      <c r="C161" s="213" t="s">
        <v>1105</v>
      </c>
      <c r="D161" s="213" t="s">
        <v>1142</v>
      </c>
      <c r="E161" s="213" t="s">
        <v>1094</v>
      </c>
      <c r="F161" s="213" t="s">
        <v>1094</v>
      </c>
      <c r="G161" s="9" t="s">
        <v>1282</v>
      </c>
      <c r="H161" s="9" t="b">
        <v>1</v>
      </c>
      <c r="I161" s="9" t="b">
        <v>1</v>
      </c>
      <c r="J161" s="9" t="b">
        <v>0</v>
      </c>
      <c r="K161" s="9" t="b">
        <v>0</v>
      </c>
      <c r="L161" s="9" t="b">
        <v>1</v>
      </c>
      <c r="M161" s="9" t="b">
        <v>0</v>
      </c>
      <c r="N161" s="9" t="b">
        <v>1</v>
      </c>
      <c r="O161" s="9" t="b">
        <v>0</v>
      </c>
      <c r="P161" s="9" t="b">
        <v>0</v>
      </c>
      <c r="Q161" s="9" t="b">
        <v>0</v>
      </c>
      <c r="R161" s="9" t="b">
        <v>0</v>
      </c>
      <c r="S161" s="16">
        <f>COUNTIFS(stableR[q_group],stableR[[#This Row],[q_group]])</f>
        <v>1</v>
      </c>
      <c r="T161" s="9" t="b">
        <v>0</v>
      </c>
      <c r="U161" s="9" t="b">
        <v>0</v>
      </c>
      <c r="V161" s="9" t="b">
        <v>0</v>
      </c>
      <c r="W161" s="9" t="b">
        <v>0</v>
      </c>
      <c r="X161" s="9" t="str">
        <f>_xlfn.TEXTJOIN(", ",TRUE,stableR[[#This Row],[ans_opt_1]:[ans_opt_14]])</f>
        <v/>
      </c>
      <c r="AM161" s="16" t="b">
        <v>0</v>
      </c>
      <c r="AN161" s="16" t="b">
        <f>COUNTIFS(questions[qno],stableR[[#This Row],[qno]],questions[year_of_survey],2025,questions[origin],"Kenya")&gt;0</f>
        <v>0</v>
      </c>
      <c r="AO161" s="16" t="b">
        <f>COUNTIFS(questions[qno],stableR[[#This Row],[qno]],questions[year_of_survey],2025,questions[origin],"Rwanda")&gt;0</f>
        <v>0</v>
      </c>
      <c r="AP161" s="16" t="b">
        <f>COUNTIFS(questions[qno],stableR[[#This Row],[qno]],questions[year_of_survey],2026,questions[origin],"Burundi")&gt;0</f>
        <v>0</v>
      </c>
      <c r="AQ161" s="16" t="b">
        <f>COUNTIFS(questions[qno],stableR[[#This Row],[qno]],questions[year_of_survey],"",questions[origin],"Indonesia")&gt;0</f>
        <v>0</v>
      </c>
      <c r="AR161" s="16" t="b">
        <f>COUNTIFS(questions[qno],stableR[[#This Row],[qno]],questions[year_of_survey],2025,questions[origin],"Vietnam")&gt;0</f>
        <v>0</v>
      </c>
      <c r="AS161" s="16" t="b">
        <v>0</v>
      </c>
      <c r="AT161" s="16" t="b">
        <v>0</v>
      </c>
    </row>
    <row r="162" spans="1:56" x14ac:dyDescent="0.25">
      <c r="A162" s="15" t="str">
        <f>_xlfn.CONCAT(stableR[[#This Row],[group_0_no]:[order_no]])</f>
        <v>6901</v>
      </c>
      <c r="B162" s="15" t="s">
        <v>610</v>
      </c>
      <c r="C162" s="213" t="s">
        <v>1105</v>
      </c>
      <c r="D162" s="213" t="s">
        <v>1142</v>
      </c>
      <c r="E162" s="213" t="s">
        <v>1094</v>
      </c>
      <c r="F162" s="213" t="s">
        <v>1093</v>
      </c>
      <c r="G162" s="9" t="s">
        <v>1283</v>
      </c>
      <c r="H162" s="9" t="b">
        <v>1</v>
      </c>
      <c r="I162" s="9" t="b">
        <v>1</v>
      </c>
      <c r="J162" s="9" t="b">
        <v>0</v>
      </c>
      <c r="K162" s="9" t="b">
        <v>0</v>
      </c>
      <c r="L162" s="9" t="b">
        <v>1</v>
      </c>
      <c r="M162" s="9" t="b">
        <v>0</v>
      </c>
      <c r="N162" s="9" t="b">
        <v>1</v>
      </c>
      <c r="O162" s="9" t="b">
        <v>0</v>
      </c>
      <c r="P162" s="9" t="b">
        <v>0</v>
      </c>
      <c r="Q162" s="9" t="b">
        <v>0</v>
      </c>
      <c r="R162" s="9" t="b">
        <v>0</v>
      </c>
      <c r="S162" s="16">
        <f>COUNTIFS(stableR[q_group],stableR[[#This Row],[q_group]])</f>
        <v>1</v>
      </c>
      <c r="T162" s="9" t="b">
        <v>0</v>
      </c>
      <c r="U162" s="9" t="b">
        <v>0</v>
      </c>
      <c r="V162" s="9" t="b">
        <v>0</v>
      </c>
      <c r="W162" s="9" t="b">
        <v>0</v>
      </c>
      <c r="X162" s="9" t="str">
        <f>_xlfn.TEXTJOIN(", ",TRUE,stableR[[#This Row],[ans_opt_1]:[ans_opt_14]])</f>
        <v/>
      </c>
      <c r="AM162" s="16" t="b">
        <v>0</v>
      </c>
      <c r="AN162" s="16" t="b">
        <f>COUNTIFS(questions[qno],stableR[[#This Row],[qno]],questions[year_of_survey],2025,questions[origin],"Kenya")&gt;0</f>
        <v>0</v>
      </c>
      <c r="AO162" s="16" t="b">
        <f>COUNTIFS(questions[qno],stableR[[#This Row],[qno]],questions[year_of_survey],2025,questions[origin],"Rwanda")&gt;0</f>
        <v>0</v>
      </c>
      <c r="AP162" s="16" t="b">
        <f>COUNTIFS(questions[qno],stableR[[#This Row],[qno]],questions[year_of_survey],2026,questions[origin],"Burundi")&gt;0</f>
        <v>0</v>
      </c>
      <c r="AQ162" s="16" t="b">
        <f>COUNTIFS(questions[qno],stableR[[#This Row],[qno]],questions[year_of_survey],"",questions[origin],"Indonesia")&gt;0</f>
        <v>0</v>
      </c>
      <c r="AR162" s="16" t="b">
        <f>COUNTIFS(questions[qno],stableR[[#This Row],[qno]],questions[year_of_survey],2025,questions[origin],"Vietnam")&gt;0</f>
        <v>0</v>
      </c>
      <c r="AS162" s="16" t="b">
        <v>0</v>
      </c>
      <c r="AT162" s="16" t="b">
        <v>0</v>
      </c>
    </row>
    <row r="163" spans="1:56" x14ac:dyDescent="0.25">
      <c r="A163" s="15" t="str">
        <f>_xlfn.CONCAT(stableR[[#This Row],[group_0_no]:[order_no]])</f>
        <v>6902</v>
      </c>
      <c r="B163" s="15" t="s">
        <v>612</v>
      </c>
      <c r="C163" s="213" t="s">
        <v>1105</v>
      </c>
      <c r="D163" s="213" t="s">
        <v>1142</v>
      </c>
      <c r="E163" s="213" t="s">
        <v>1094</v>
      </c>
      <c r="F163" s="213" t="s">
        <v>1097</v>
      </c>
      <c r="G163" s="9" t="s">
        <v>1284</v>
      </c>
      <c r="H163" s="9" t="b">
        <v>1</v>
      </c>
      <c r="I163" s="9" t="b">
        <v>1</v>
      </c>
      <c r="J163" s="9" t="b">
        <v>0</v>
      </c>
      <c r="K163" s="9" t="b">
        <v>0</v>
      </c>
      <c r="L163" s="9" t="b">
        <v>1</v>
      </c>
      <c r="M163" s="9" t="b">
        <v>0</v>
      </c>
      <c r="N163" s="9" t="b">
        <v>1</v>
      </c>
      <c r="O163" s="9" t="b">
        <v>0</v>
      </c>
      <c r="P163" s="9" t="b">
        <v>0</v>
      </c>
      <c r="Q163" s="9" t="b">
        <v>0</v>
      </c>
      <c r="R163" s="9" t="b">
        <v>0</v>
      </c>
      <c r="S163" s="16">
        <f>COUNTIFS(stableR[q_group],stableR[[#This Row],[q_group]])</f>
        <v>1</v>
      </c>
      <c r="T163" s="9" t="b">
        <v>0</v>
      </c>
      <c r="U163" s="9" t="b">
        <v>0</v>
      </c>
      <c r="V163" s="9" t="b">
        <v>0</v>
      </c>
      <c r="W163" s="9" t="b">
        <v>0</v>
      </c>
      <c r="X163" s="9" t="str">
        <f>_xlfn.TEXTJOIN(", ",TRUE,stableR[[#This Row],[ans_opt_1]:[ans_opt_14]])</f>
        <v/>
      </c>
      <c r="AM163" s="16" t="b">
        <v>0</v>
      </c>
      <c r="AN163" s="16" t="b">
        <f>COUNTIFS(questions[qno],stableR[[#This Row],[qno]],questions[year_of_survey],2025,questions[origin],"Kenya")&gt;0</f>
        <v>0</v>
      </c>
      <c r="AO163" s="16" t="b">
        <f>COUNTIFS(questions[qno],stableR[[#This Row],[qno]],questions[year_of_survey],2025,questions[origin],"Rwanda")&gt;0</f>
        <v>0</v>
      </c>
      <c r="AP163" s="16" t="b">
        <f>COUNTIFS(questions[qno],stableR[[#This Row],[qno]],questions[year_of_survey],2026,questions[origin],"Burundi")&gt;0</f>
        <v>0</v>
      </c>
      <c r="AQ163" s="16" t="b">
        <f>COUNTIFS(questions[qno],stableR[[#This Row],[qno]],questions[year_of_survey],"",questions[origin],"Indonesia")&gt;0</f>
        <v>0</v>
      </c>
      <c r="AR163" s="16" t="b">
        <f>COUNTIFS(questions[qno],stableR[[#This Row],[qno]],questions[year_of_survey],2025,questions[origin],"Vietnam")&gt;0</f>
        <v>0</v>
      </c>
      <c r="AS163" s="16" t="b">
        <v>0</v>
      </c>
      <c r="AT163" s="16" t="b">
        <v>0</v>
      </c>
    </row>
    <row r="164" spans="1:56" x14ac:dyDescent="0.25">
      <c r="A164" s="15" t="str">
        <f>_xlfn.CONCAT(stableR[[#This Row],[group_0_no]:[order_no]])</f>
        <v>7000</v>
      </c>
      <c r="B164" s="24" t="s">
        <v>327</v>
      </c>
      <c r="C164" s="213" t="s">
        <v>1279</v>
      </c>
      <c r="D164" s="213" t="s">
        <v>1094</v>
      </c>
      <c r="E164" s="213" t="s">
        <v>1094</v>
      </c>
      <c r="F164" s="213" t="s">
        <v>1094</v>
      </c>
      <c r="G164" s="9" t="s">
        <v>1285</v>
      </c>
      <c r="H164" s="9" t="b">
        <v>1</v>
      </c>
      <c r="I164" s="9" t="b">
        <v>1</v>
      </c>
      <c r="J164" s="9" t="b">
        <v>0</v>
      </c>
      <c r="K164" s="9" t="b">
        <v>0</v>
      </c>
      <c r="L164" s="9" t="b">
        <v>1</v>
      </c>
      <c r="M164" s="9" t="b">
        <v>0</v>
      </c>
      <c r="N164" s="9" t="b">
        <v>0</v>
      </c>
      <c r="O164" s="9" t="b">
        <v>0</v>
      </c>
      <c r="P164" s="9" t="b">
        <v>1</v>
      </c>
      <c r="Q164" s="9" t="b">
        <v>0</v>
      </c>
      <c r="R164" s="9" t="b">
        <v>1</v>
      </c>
      <c r="S164" s="16">
        <f>COUNTIFS(stableR[q_group],stableR[[#This Row],[q_group]])</f>
        <v>1</v>
      </c>
      <c r="T164" s="9" t="b">
        <v>0</v>
      </c>
      <c r="U164" s="9" t="b">
        <v>0</v>
      </c>
      <c r="V164" s="9" t="b">
        <v>0</v>
      </c>
      <c r="W164" s="9" t="b">
        <v>1</v>
      </c>
      <c r="X164" s="9" t="str">
        <f>_xlfn.TEXTJOIN(", ",TRUE,stableR[[#This Row],[ans_opt_1]:[ans_opt_14]])</f>
        <v>No, Yes</v>
      </c>
      <c r="Y164" s="9" t="s">
        <v>119</v>
      </c>
      <c r="Z164" s="9" t="s">
        <v>149</v>
      </c>
      <c r="AM164" s="16" t="b">
        <v>1</v>
      </c>
      <c r="AN164" s="16" t="b">
        <f>COUNTIFS(questions[qno],stableR[[#This Row],[qno]],questions[year_of_survey],2025,questions[origin],"Kenya")&gt;0</f>
        <v>1</v>
      </c>
      <c r="AO164" s="16" t="b">
        <f>COUNTIFS(questions[qno],stableR[[#This Row],[qno]],questions[year_of_survey],2025,questions[origin],"Rwanda")&gt;0</f>
        <v>1</v>
      </c>
      <c r="AP164" s="16" t="b">
        <f>COUNTIFS(questions[qno],stableR[[#This Row],[qno]],questions[year_of_survey],2026,questions[origin],"Burundi")&gt;0</f>
        <v>1</v>
      </c>
      <c r="AQ164" s="16" t="b">
        <f>COUNTIFS(questions[qno],stableR[[#This Row],[qno]],questions[year_of_survey],"",questions[origin],"Indonesia")&gt;0</f>
        <v>1</v>
      </c>
      <c r="AR164" s="16" t="b">
        <f>COUNTIFS(questions[qno],stableR[[#This Row],[qno]],questions[year_of_survey],2025,questions[origin],"Vietnam")&gt;0</f>
        <v>1</v>
      </c>
      <c r="AS164" s="16" t="b">
        <v>1</v>
      </c>
      <c r="AT164" s="16" t="b">
        <v>1</v>
      </c>
    </row>
    <row r="165" spans="1:56" x14ac:dyDescent="0.25">
      <c r="A165" s="15" t="str">
        <f>_xlfn.CONCAT(stableR[[#This Row],[group_0_no]:[order_no]])</f>
        <v>7001</v>
      </c>
      <c r="B165" s="15" t="s">
        <v>329</v>
      </c>
      <c r="C165" s="213" t="s">
        <v>1279</v>
      </c>
      <c r="D165" s="213" t="s">
        <v>1094</v>
      </c>
      <c r="E165" s="213" t="s">
        <v>1094</v>
      </c>
      <c r="F165" s="213" t="s">
        <v>1093</v>
      </c>
      <c r="G165" s="9" t="s">
        <v>1286</v>
      </c>
      <c r="H165" s="9" t="b">
        <v>1</v>
      </c>
      <c r="I165" s="9" t="b">
        <v>1</v>
      </c>
      <c r="J165" s="9" t="b">
        <v>0</v>
      </c>
      <c r="K165" s="9" t="b">
        <v>0</v>
      </c>
      <c r="L165" s="9" t="b">
        <v>0</v>
      </c>
      <c r="M165" s="9" t="b">
        <v>0</v>
      </c>
      <c r="N165" s="9" t="b">
        <v>0</v>
      </c>
      <c r="O165" s="9" t="b">
        <v>0</v>
      </c>
      <c r="P165" s="9" t="b">
        <v>1</v>
      </c>
      <c r="Q165" s="9" t="b">
        <v>0</v>
      </c>
      <c r="R165" s="9" t="b">
        <v>1</v>
      </c>
      <c r="S165" s="16">
        <f>COUNTIFS(stableR[q_group],stableR[[#This Row],[q_group]])</f>
        <v>1</v>
      </c>
      <c r="T165" s="9" t="b">
        <v>0</v>
      </c>
      <c r="U165" s="9" t="b">
        <v>0</v>
      </c>
      <c r="V165" s="9" t="b">
        <v>0</v>
      </c>
      <c r="W165" s="9" t="b">
        <v>1</v>
      </c>
      <c r="X165" s="9" t="str">
        <f>_xlfn.TEXTJOIN(", ",TRUE,stableR[[#This Row],[ans_opt_1]:[ans_opt_14]])</f>
        <v>No, Yes</v>
      </c>
      <c r="Y165" s="9" t="s">
        <v>119</v>
      </c>
      <c r="Z165" s="9" t="s">
        <v>149</v>
      </c>
      <c r="AM165" s="16" t="b">
        <v>1</v>
      </c>
      <c r="AN165" s="16" t="b">
        <f>COUNTIFS(questions[qno],stableR[[#This Row],[qno]],questions[year_of_survey],2025,questions[origin],"Kenya")&gt;0</f>
        <v>1</v>
      </c>
      <c r="AO165" s="16" t="b">
        <f>COUNTIFS(questions[qno],stableR[[#This Row],[qno]],questions[year_of_survey],2025,questions[origin],"Rwanda")&gt;0</f>
        <v>1</v>
      </c>
      <c r="AP165" s="16" t="b">
        <f>COUNTIFS(questions[qno],stableR[[#This Row],[qno]],questions[year_of_survey],2026,questions[origin],"Burundi")&gt;0</f>
        <v>1</v>
      </c>
      <c r="AQ165" s="16" t="b">
        <f>COUNTIFS(questions[qno],stableR[[#This Row],[qno]],questions[year_of_survey],"",questions[origin],"Indonesia")&gt;0</f>
        <v>1</v>
      </c>
      <c r="AR165" s="16" t="b">
        <f>COUNTIFS(questions[qno],stableR[[#This Row],[qno]],questions[year_of_survey],2025,questions[origin],"Vietnam")&gt;0</f>
        <v>1</v>
      </c>
      <c r="AS165" s="16" t="b">
        <v>1</v>
      </c>
      <c r="AT165" s="16" t="b">
        <v>1</v>
      </c>
    </row>
    <row r="166" spans="1:56" s="22" customFormat="1" x14ac:dyDescent="0.25">
      <c r="A166" s="15" t="str">
        <f>_xlfn.CONCAT(stableR[[#This Row],[group_0_no]:[order_no]])</f>
        <v>7100</v>
      </c>
      <c r="B166" s="15" t="s">
        <v>331</v>
      </c>
      <c r="C166" s="213" t="s">
        <v>1279</v>
      </c>
      <c r="D166" s="213" t="s">
        <v>1093</v>
      </c>
      <c r="E166" s="213" t="s">
        <v>1094</v>
      </c>
      <c r="F166" s="213" t="s">
        <v>1094</v>
      </c>
      <c r="G166" s="9" t="s">
        <v>1287</v>
      </c>
      <c r="H166" s="9" t="b">
        <v>1</v>
      </c>
      <c r="I166" s="9" t="b">
        <v>1</v>
      </c>
      <c r="J166" s="9" t="b">
        <v>0</v>
      </c>
      <c r="K166" s="9" t="b">
        <v>0</v>
      </c>
      <c r="L166" s="9" t="b">
        <v>1</v>
      </c>
      <c r="M166" s="9" t="b">
        <v>0</v>
      </c>
      <c r="N166" s="9" t="b">
        <v>0</v>
      </c>
      <c r="O166" s="9" t="b">
        <v>0</v>
      </c>
      <c r="P166" s="9" t="b">
        <v>1</v>
      </c>
      <c r="Q166" s="9" t="b">
        <v>0</v>
      </c>
      <c r="R166" s="9" t="b">
        <v>1</v>
      </c>
      <c r="S166" s="16">
        <f>COUNTIFS(stableR[q_group],stableR[[#This Row],[q_group]])</f>
        <v>1</v>
      </c>
      <c r="T166" s="9" t="b">
        <v>0</v>
      </c>
      <c r="U166" s="9" t="b">
        <v>0</v>
      </c>
      <c r="V166" s="9" t="b">
        <v>0</v>
      </c>
      <c r="W166" s="9" t="b">
        <v>1</v>
      </c>
      <c r="X166" s="9" t="str">
        <f>_xlfn.TEXTJOIN(", ",TRUE,stableR[[#This Row],[ans_opt_1]:[ans_opt_14]])</f>
        <v>No, Yes-Crop residues mulching, Yes-Other mulching, Yes-Cover crops, Yes-Cover crops &amp; Mulching</v>
      </c>
      <c r="Y166" s="9" t="s">
        <v>119</v>
      </c>
      <c r="Z166" s="9" t="s">
        <v>332</v>
      </c>
      <c r="AA166" s="9" t="s">
        <v>333</v>
      </c>
      <c r="AB166" s="9" t="s">
        <v>334</v>
      </c>
      <c r="AC166" s="9" t="s">
        <v>335</v>
      </c>
      <c r="AD166" s="9"/>
      <c r="AE166" s="9"/>
      <c r="AF166" s="9"/>
      <c r="AG166" s="9"/>
      <c r="AH166" s="9"/>
      <c r="AI166" s="9"/>
      <c r="AJ166" s="9"/>
      <c r="AK166" s="9"/>
      <c r="AL166" s="9"/>
      <c r="AM166" s="16" t="b">
        <v>1</v>
      </c>
      <c r="AN166" s="16" t="b">
        <f>COUNTIFS(questions[qno],stableR[[#This Row],[qno]],questions[year_of_survey],2025,questions[origin],"Kenya")&gt;0</f>
        <v>1</v>
      </c>
      <c r="AO166" s="16" t="b">
        <f>COUNTIFS(questions[qno],stableR[[#This Row],[qno]],questions[year_of_survey],2025,questions[origin],"Rwanda")&gt;0</f>
        <v>1</v>
      </c>
      <c r="AP166" s="16" t="b">
        <f>COUNTIFS(questions[qno],stableR[[#This Row],[qno]],questions[year_of_survey],2026,questions[origin],"Burundi")&gt;0</f>
        <v>1</v>
      </c>
      <c r="AQ166" s="16" t="b">
        <f>COUNTIFS(questions[qno],stableR[[#This Row],[qno]],questions[year_of_survey],"",questions[origin],"Indonesia")&gt;0</f>
        <v>1</v>
      </c>
      <c r="AR166" s="16" t="b">
        <f>COUNTIFS(questions[qno],stableR[[#This Row],[qno]],questions[year_of_survey],2025,questions[origin],"Vietnam")&gt;0</f>
        <v>1</v>
      </c>
      <c r="AS166" s="16" t="b">
        <v>1</v>
      </c>
      <c r="AT166" s="16" t="b">
        <v>1</v>
      </c>
      <c r="AU166" s="9"/>
      <c r="AV166" s="9"/>
      <c r="AW166" s="9"/>
      <c r="AX166" s="9"/>
      <c r="AY166" s="9"/>
      <c r="AZ166" s="9"/>
      <c r="BA166" s="9"/>
      <c r="BB166" s="9"/>
      <c r="BC166" s="9"/>
      <c r="BD166" s="9"/>
    </row>
    <row r="167" spans="1:56" x14ac:dyDescent="0.25">
      <c r="A167" s="15" t="str">
        <f>_xlfn.CONCAT(stableR[[#This Row],[group_0_no]:[order_no]])</f>
        <v>7101</v>
      </c>
      <c r="B167" s="15" t="s">
        <v>337</v>
      </c>
      <c r="C167" s="213" t="s">
        <v>1279</v>
      </c>
      <c r="D167" s="213" t="s">
        <v>1093</v>
      </c>
      <c r="E167" s="213" t="s">
        <v>1094</v>
      </c>
      <c r="F167" s="213" t="s">
        <v>1093</v>
      </c>
      <c r="G167" s="9" t="s">
        <v>1288</v>
      </c>
      <c r="H167" s="9" t="b">
        <v>1</v>
      </c>
      <c r="I167" s="9" t="b">
        <v>1</v>
      </c>
      <c r="J167" s="9" t="b">
        <v>0</v>
      </c>
      <c r="K167" s="9" t="b">
        <v>0</v>
      </c>
      <c r="L167" s="9" t="b">
        <v>0</v>
      </c>
      <c r="M167" s="9" t="b">
        <v>0</v>
      </c>
      <c r="N167" s="9" t="b">
        <v>0</v>
      </c>
      <c r="O167" s="9" t="b">
        <v>0</v>
      </c>
      <c r="P167" s="9" t="b">
        <v>1</v>
      </c>
      <c r="Q167" s="9" t="b">
        <v>0</v>
      </c>
      <c r="R167" s="9" t="b">
        <v>1</v>
      </c>
      <c r="S167" s="16">
        <f>COUNTIFS(stableR[q_group],stableR[[#This Row],[q_group]])</f>
        <v>1</v>
      </c>
      <c r="T167" s="9" t="b">
        <v>0</v>
      </c>
      <c r="U167" s="9" t="b">
        <v>0</v>
      </c>
      <c r="V167" s="9" t="b">
        <v>0</v>
      </c>
      <c r="W167" s="9" t="b">
        <v>1</v>
      </c>
      <c r="X167" s="9" t="str">
        <f>_xlfn.TEXTJOIN(", ",TRUE,stableR[[#This Row],[ans_opt_1]:[ans_opt_14]])</f>
        <v>1% to 25% - little to a quarter, 26% to 50% - less than half, 51% to 75% - more than half, 76% to 100% - almost all</v>
      </c>
      <c r="Y167" s="9" t="s">
        <v>338</v>
      </c>
      <c r="Z167" s="9" t="s">
        <v>339</v>
      </c>
      <c r="AA167" s="9" t="s">
        <v>340</v>
      </c>
      <c r="AB167" s="9" t="s">
        <v>341</v>
      </c>
      <c r="AM167" s="16" t="b">
        <v>1</v>
      </c>
      <c r="AN167" s="16" t="b">
        <f>COUNTIFS(questions[qno],stableR[[#This Row],[qno]],questions[year_of_survey],2025,questions[origin],"Kenya")&gt;0</f>
        <v>1</v>
      </c>
      <c r="AO167" s="16" t="b">
        <f>COUNTIFS(questions[qno],stableR[[#This Row],[qno]],questions[year_of_survey],2025,questions[origin],"Rwanda")&gt;0</f>
        <v>1</v>
      </c>
      <c r="AP167" s="16" t="b">
        <f>COUNTIFS(questions[qno],stableR[[#This Row],[qno]],questions[year_of_survey],2026,questions[origin],"Burundi")&gt;0</f>
        <v>1</v>
      </c>
      <c r="AQ167" s="16" t="b">
        <f>COUNTIFS(questions[qno],stableR[[#This Row],[qno]],questions[year_of_survey],"",questions[origin],"Indonesia")&gt;0</f>
        <v>1</v>
      </c>
      <c r="AR167" s="16" t="b">
        <f>COUNTIFS(questions[qno],stableR[[#This Row],[qno]],questions[year_of_survey],2025,questions[origin],"Vietnam")&gt;0</f>
        <v>1</v>
      </c>
      <c r="AS167" s="16" t="b">
        <v>1</v>
      </c>
      <c r="AT167" s="16" t="b">
        <v>1</v>
      </c>
    </row>
    <row r="168" spans="1:56" x14ac:dyDescent="0.25">
      <c r="A168" s="15" t="str">
        <f>_xlfn.CONCAT(stableR[[#This Row],[group_0_no]:[order_no]])</f>
        <v>7102</v>
      </c>
      <c r="B168" s="15" t="s">
        <v>861</v>
      </c>
      <c r="C168" s="213" t="s">
        <v>1279</v>
      </c>
      <c r="D168" s="213" t="s">
        <v>1093</v>
      </c>
      <c r="E168" s="213" t="s">
        <v>1094</v>
      </c>
      <c r="F168" s="213" t="s">
        <v>1097</v>
      </c>
      <c r="G168" s="9" t="s">
        <v>1289</v>
      </c>
      <c r="H168" s="9" t="b">
        <v>1</v>
      </c>
      <c r="I168" s="9" t="b">
        <v>1</v>
      </c>
      <c r="J168" s="9" t="b">
        <v>0</v>
      </c>
      <c r="K168" s="9" t="b">
        <v>0</v>
      </c>
      <c r="L168" s="9" t="b">
        <v>0</v>
      </c>
      <c r="M168" s="9" t="b">
        <v>0</v>
      </c>
      <c r="N168" s="9" t="b">
        <v>0</v>
      </c>
      <c r="O168" s="9" t="b">
        <v>0</v>
      </c>
      <c r="P168" s="9" t="b">
        <v>1</v>
      </c>
      <c r="Q168" s="9" t="b">
        <v>0</v>
      </c>
      <c r="R168" s="9" t="b">
        <v>1</v>
      </c>
      <c r="S168" s="16">
        <f>COUNTIFS(stableR[q_group],stableR[[#This Row],[q_group]])</f>
        <v>1</v>
      </c>
      <c r="T168" s="9" t="b">
        <v>0</v>
      </c>
      <c r="U168" s="9" t="b">
        <v>0</v>
      </c>
      <c r="V168" s="9" t="b">
        <v>0</v>
      </c>
      <c r="W168" s="9" t="b">
        <v>1</v>
      </c>
      <c r="X168" s="9" t="str">
        <f>_xlfn.TEXTJOIN(", ",TRUE,stableR[[#This Row],[ans_opt_1]:[ans_opt_14]])</f>
        <v>&lt;6 months, 6-8 months, &gt;8 months</v>
      </c>
      <c r="Y168" s="9" t="s">
        <v>344</v>
      </c>
      <c r="Z168" s="9" t="s">
        <v>345</v>
      </c>
      <c r="AA168" s="9" t="s">
        <v>346</v>
      </c>
      <c r="AM168" s="16" t="b">
        <v>1</v>
      </c>
      <c r="AN168" s="16" t="b">
        <f>COUNTIFS(questions[qno],stableR[[#This Row],[qno]],questions[year_of_survey],2025,questions[origin],"Kenya")&gt;0</f>
        <v>1</v>
      </c>
      <c r="AO168" s="16" t="b">
        <f>COUNTIFS(questions[qno],stableR[[#This Row],[qno]],questions[year_of_survey],2025,questions[origin],"Rwanda")&gt;0</f>
        <v>1</v>
      </c>
      <c r="AP168" s="16" t="b">
        <f>COUNTIFS(questions[qno],stableR[[#This Row],[qno]],questions[year_of_survey],2026,questions[origin],"Burundi")&gt;0</f>
        <v>1</v>
      </c>
      <c r="AQ168" s="16" t="b">
        <f>COUNTIFS(questions[qno],stableR[[#This Row],[qno]],questions[year_of_survey],"",questions[origin],"Indonesia")&gt;0</f>
        <v>1</v>
      </c>
      <c r="AR168" s="16" t="b">
        <f>COUNTIFS(questions[qno],stableR[[#This Row],[qno]],questions[year_of_survey],2025,questions[origin],"Vietnam")&gt;0</f>
        <v>1</v>
      </c>
      <c r="AS168" s="16" t="b">
        <v>1</v>
      </c>
      <c r="AT168" s="16" t="b">
        <v>1</v>
      </c>
    </row>
    <row r="169" spans="1:56" s="22" customFormat="1" x14ac:dyDescent="0.25">
      <c r="A169" s="15" t="str">
        <f>_xlfn.CONCAT(stableR[[#This Row],[group_0_no]:[order_no]])</f>
        <v>7113</v>
      </c>
      <c r="B169" s="15" t="s">
        <v>348</v>
      </c>
      <c r="C169" s="213" t="s">
        <v>1279</v>
      </c>
      <c r="D169" s="213" t="s">
        <v>1093</v>
      </c>
      <c r="E169" s="213" t="s">
        <v>1093</v>
      </c>
      <c r="F169" s="213" t="s">
        <v>1099</v>
      </c>
      <c r="G169" s="9" t="s">
        <v>1290</v>
      </c>
      <c r="H169" s="9" t="b">
        <v>1</v>
      </c>
      <c r="I169" s="9" t="b">
        <v>1</v>
      </c>
      <c r="J169" s="9" t="b">
        <v>0</v>
      </c>
      <c r="K169" s="9" t="b">
        <v>0</v>
      </c>
      <c r="L169" s="9" t="b">
        <v>1</v>
      </c>
      <c r="M169" s="9" t="b">
        <v>0</v>
      </c>
      <c r="N169" s="9" t="b">
        <v>0</v>
      </c>
      <c r="O169" s="9" t="b">
        <v>0</v>
      </c>
      <c r="P169" s="9" t="b">
        <v>1</v>
      </c>
      <c r="Q169" s="9" t="b">
        <v>0</v>
      </c>
      <c r="R169" s="9" t="b">
        <v>1</v>
      </c>
      <c r="S169" s="16">
        <f>COUNTIFS(stableR[q_group],stableR[[#This Row],[q_group]])</f>
        <v>1</v>
      </c>
      <c r="T169" s="9" t="b">
        <v>0</v>
      </c>
      <c r="U169" s="9" t="b">
        <v>0</v>
      </c>
      <c r="V169" s="9" t="b">
        <v>0</v>
      </c>
      <c r="W169" s="9" t="b">
        <v>1</v>
      </c>
      <c r="X169" s="9" t="str">
        <f>_xlfn.TEXTJOIN(", ",TRUE,stableR[[#This Row],[ans_opt_1]:[ans_opt_14]])</f>
        <v>No, Yes</v>
      </c>
      <c r="Y169" s="9" t="s">
        <v>119</v>
      </c>
      <c r="Z169" s="9" t="s">
        <v>149</v>
      </c>
      <c r="AA169" s="9"/>
      <c r="AB169" s="9"/>
      <c r="AC169" s="9"/>
      <c r="AD169" s="9"/>
      <c r="AE169" s="9"/>
      <c r="AF169" s="9"/>
      <c r="AG169" s="9"/>
      <c r="AH169" s="9"/>
      <c r="AI169" s="9"/>
      <c r="AJ169" s="9"/>
      <c r="AK169" s="9"/>
      <c r="AL169" s="9"/>
      <c r="AM169" s="16" t="b">
        <v>1</v>
      </c>
      <c r="AN169" s="16" t="b">
        <f>COUNTIFS(questions[qno],stableR[[#This Row],[qno]],questions[year_of_survey],2025,questions[origin],"Kenya")&gt;0</f>
        <v>1</v>
      </c>
      <c r="AO169" s="16" t="b">
        <f>COUNTIFS(questions[qno],stableR[[#This Row],[qno]],questions[year_of_survey],2025,questions[origin],"Rwanda")&gt;0</f>
        <v>1</v>
      </c>
      <c r="AP169" s="16" t="b">
        <f>COUNTIFS(questions[qno],stableR[[#This Row],[qno]],questions[year_of_survey],2026,questions[origin],"Burundi")&gt;0</f>
        <v>1</v>
      </c>
      <c r="AQ169" s="16" t="b">
        <f>COUNTIFS(questions[qno],stableR[[#This Row],[qno]],questions[year_of_survey],"",questions[origin],"Indonesia")&gt;0</f>
        <v>1</v>
      </c>
      <c r="AR169" s="16" t="b">
        <f>COUNTIFS(questions[qno],stableR[[#This Row],[qno]],questions[year_of_survey],2025,questions[origin],"Vietnam")&gt;0</f>
        <v>1</v>
      </c>
      <c r="AS169" s="16" t="b">
        <v>1</v>
      </c>
      <c r="AT169" s="16" t="b">
        <v>1</v>
      </c>
      <c r="AU169" s="9"/>
      <c r="AV169" s="9"/>
      <c r="AW169" s="9"/>
      <c r="AX169" s="9"/>
      <c r="AY169" s="9"/>
      <c r="AZ169" s="9"/>
      <c r="BA169" s="9"/>
      <c r="BB169" s="9"/>
      <c r="BC169" s="9"/>
      <c r="BD169" s="9"/>
    </row>
    <row r="170" spans="1:56" x14ac:dyDescent="0.25">
      <c r="A170" s="15" t="str">
        <f>_xlfn.CONCAT(stableR[[#This Row],[group_0_no]:[order_no]])</f>
        <v>7114</v>
      </c>
      <c r="B170" s="15" t="s">
        <v>350</v>
      </c>
      <c r="C170" s="213" t="s">
        <v>1279</v>
      </c>
      <c r="D170" s="213" t="s">
        <v>1093</v>
      </c>
      <c r="E170" s="213" t="s">
        <v>1093</v>
      </c>
      <c r="F170" s="213" t="s">
        <v>1101</v>
      </c>
      <c r="G170" s="9" t="s">
        <v>1291</v>
      </c>
      <c r="H170" s="9" t="b">
        <v>1</v>
      </c>
      <c r="I170" s="9" t="b">
        <v>1</v>
      </c>
      <c r="J170" s="9" t="b">
        <v>0</v>
      </c>
      <c r="K170" s="9" t="b">
        <v>0</v>
      </c>
      <c r="L170" s="9" t="b">
        <v>0</v>
      </c>
      <c r="M170" s="9" t="b">
        <v>0</v>
      </c>
      <c r="N170" s="9" t="b">
        <v>0</v>
      </c>
      <c r="O170" s="9" t="b">
        <v>0</v>
      </c>
      <c r="P170" s="9" t="b">
        <v>1</v>
      </c>
      <c r="Q170" s="9" t="b">
        <v>0</v>
      </c>
      <c r="R170" s="9" t="b">
        <v>1</v>
      </c>
      <c r="S170" s="16">
        <f>COUNTIFS(stableR[q_group],stableR[[#This Row],[q_group]])</f>
        <v>1</v>
      </c>
      <c r="T170" s="9" t="b">
        <v>0</v>
      </c>
      <c r="U170" s="9" t="b">
        <v>0</v>
      </c>
      <c r="V170" s="9" t="b">
        <v>0</v>
      </c>
      <c r="W170" s="9" t="b">
        <v>1</v>
      </c>
      <c r="X170" s="9" t="str">
        <f>_xlfn.TEXTJOIN(", ",TRUE,stableR[[#This Row],[ans_opt_1]:[ans_opt_14]])</f>
        <v>No, Yes-Terracing, Yes-Trenches, Yes-Windbreaks, Yes-Mulching, Yes-Cover Crops, Yes-Water dykes, Yes-Contour Planting, Yes-A combination of previous practices, Yes-Other practices</v>
      </c>
      <c r="Y170" s="9" t="s">
        <v>119</v>
      </c>
      <c r="Z170" s="9" t="s">
        <v>351</v>
      </c>
      <c r="AA170" s="9" t="s">
        <v>352</v>
      </c>
      <c r="AB170" s="9" t="s">
        <v>353</v>
      </c>
      <c r="AC170" s="9" t="s">
        <v>354</v>
      </c>
      <c r="AD170" s="9" t="s">
        <v>355</v>
      </c>
      <c r="AE170" s="9" t="s">
        <v>356</v>
      </c>
      <c r="AF170" s="9" t="s">
        <v>357</v>
      </c>
      <c r="AG170" s="9" t="s">
        <v>358</v>
      </c>
      <c r="AH170" s="9" t="s">
        <v>359</v>
      </c>
      <c r="AM170" s="16" t="b">
        <v>1</v>
      </c>
      <c r="AN170" s="16" t="b">
        <f>COUNTIFS(questions[qno],stableR[[#This Row],[qno]],questions[year_of_survey],2025,questions[origin],"Kenya")&gt;0</f>
        <v>1</v>
      </c>
      <c r="AO170" s="16" t="b">
        <f>COUNTIFS(questions[qno],stableR[[#This Row],[qno]],questions[year_of_survey],2025,questions[origin],"Rwanda")&gt;0</f>
        <v>1</v>
      </c>
      <c r="AP170" s="16" t="b">
        <f>COUNTIFS(questions[qno],stableR[[#This Row],[qno]],questions[year_of_survey],2026,questions[origin],"Burundi")&gt;0</f>
        <v>1</v>
      </c>
      <c r="AQ170" s="16" t="b">
        <f>COUNTIFS(questions[qno],stableR[[#This Row],[qno]],questions[year_of_survey],"",questions[origin],"Indonesia")&gt;0</f>
        <v>1</v>
      </c>
      <c r="AR170" s="16" t="b">
        <f>COUNTIFS(questions[qno],stableR[[#This Row],[qno]],questions[year_of_survey],2025,questions[origin],"Vietnam")&gt;0</f>
        <v>1</v>
      </c>
      <c r="AS170" s="16" t="b">
        <v>1</v>
      </c>
      <c r="AT170" s="16" t="b">
        <v>1</v>
      </c>
    </row>
    <row r="171" spans="1:56" x14ac:dyDescent="0.25">
      <c r="A171" s="15" t="str">
        <f>_xlfn.CONCAT(stableR[[#This Row],[group_0_no]:[order_no]])</f>
        <v>7115</v>
      </c>
      <c r="B171" s="15" t="s">
        <v>361</v>
      </c>
      <c r="C171" s="213" t="s">
        <v>1279</v>
      </c>
      <c r="D171" s="213" t="s">
        <v>1093</v>
      </c>
      <c r="E171" s="213" t="s">
        <v>1093</v>
      </c>
      <c r="F171" s="213" t="s">
        <v>1103</v>
      </c>
      <c r="G171" s="9" t="s">
        <v>1292</v>
      </c>
      <c r="H171" s="9" t="b">
        <v>1</v>
      </c>
      <c r="I171" s="9" t="b">
        <v>1</v>
      </c>
      <c r="J171" s="9" t="b">
        <v>0</v>
      </c>
      <c r="K171" s="9" t="b">
        <v>0</v>
      </c>
      <c r="L171" s="9" t="b">
        <v>0</v>
      </c>
      <c r="M171" s="9" t="b">
        <v>0</v>
      </c>
      <c r="N171" s="9" t="b">
        <v>0</v>
      </c>
      <c r="O171" s="9" t="b">
        <v>0</v>
      </c>
      <c r="P171" s="9" t="b">
        <v>1</v>
      </c>
      <c r="Q171" s="9" t="b">
        <v>0</v>
      </c>
      <c r="R171" s="9" t="b">
        <v>1</v>
      </c>
      <c r="S171" s="16">
        <f>COUNTIFS(stableR[q_group],stableR[[#This Row],[q_group]])</f>
        <v>1</v>
      </c>
      <c r="T171" s="9" t="b">
        <v>0</v>
      </c>
      <c r="U171" s="9" t="b">
        <v>0</v>
      </c>
      <c r="V171" s="9" t="b">
        <v>0</v>
      </c>
      <c r="W171" s="9" t="b">
        <v>1</v>
      </c>
      <c r="X171" s="9" t="str">
        <f>_xlfn.TEXTJOIN(", ",TRUE,stableR[[#This Row],[ans_opt_1]:[ans_opt_14]])</f>
        <v>0% - none, 1% to 25% - little to a quarter, 26% to 50% - less than half, 51% to 75% - more than half, 76% to 100% - almost all</v>
      </c>
      <c r="Y171" s="9" t="s">
        <v>362</v>
      </c>
      <c r="Z171" s="9" t="s">
        <v>338</v>
      </c>
      <c r="AA171" s="9" t="s">
        <v>339</v>
      </c>
      <c r="AB171" s="9" t="s">
        <v>340</v>
      </c>
      <c r="AC171" s="9" t="s">
        <v>341</v>
      </c>
      <c r="AM171" s="16" t="b">
        <v>1</v>
      </c>
      <c r="AN171" s="16" t="b">
        <f>COUNTIFS(questions[qno],stableR[[#This Row],[qno]],questions[year_of_survey],2025,questions[origin],"Kenya")&gt;0</f>
        <v>1</v>
      </c>
      <c r="AO171" s="16" t="b">
        <f>COUNTIFS(questions[qno],stableR[[#This Row],[qno]],questions[year_of_survey],2025,questions[origin],"Rwanda")&gt;0</f>
        <v>1</v>
      </c>
      <c r="AP171" s="16" t="b">
        <f>COUNTIFS(questions[qno],stableR[[#This Row],[qno]],questions[year_of_survey],2026,questions[origin],"Burundi")&gt;0</f>
        <v>1</v>
      </c>
      <c r="AQ171" s="16" t="b">
        <f>COUNTIFS(questions[qno],stableR[[#This Row],[qno]],questions[year_of_survey],"",questions[origin],"Indonesia")&gt;0</f>
        <v>1</v>
      </c>
      <c r="AR171" s="16" t="b">
        <f>COUNTIFS(questions[qno],stableR[[#This Row],[qno]],questions[year_of_survey],2025,questions[origin],"Vietnam")&gt;0</f>
        <v>1</v>
      </c>
      <c r="AS171" s="16" t="b">
        <v>1</v>
      </c>
      <c r="AT171" s="16" t="b">
        <v>1</v>
      </c>
    </row>
    <row r="172" spans="1:56" s="22" customFormat="1" x14ac:dyDescent="0.25">
      <c r="A172" s="15" t="str">
        <f>_xlfn.CONCAT(stableR[[#This Row],[group_0_no]:[order_no]])</f>
        <v>7126</v>
      </c>
      <c r="B172" s="15" t="s">
        <v>364</v>
      </c>
      <c r="C172" s="213" t="s">
        <v>1279</v>
      </c>
      <c r="D172" s="213" t="s">
        <v>1093</v>
      </c>
      <c r="E172" s="213" t="s">
        <v>1097</v>
      </c>
      <c r="F172" s="213" t="s">
        <v>1105</v>
      </c>
      <c r="G172" s="9" t="s">
        <v>1293</v>
      </c>
      <c r="H172" s="9" t="b">
        <v>1</v>
      </c>
      <c r="I172" s="9" t="b">
        <v>1</v>
      </c>
      <c r="J172" s="9" t="b">
        <v>0</v>
      </c>
      <c r="K172" s="9" t="b">
        <v>0</v>
      </c>
      <c r="L172" s="9" t="b">
        <v>1</v>
      </c>
      <c r="M172" s="9" t="b">
        <v>0</v>
      </c>
      <c r="N172" s="9" t="b">
        <v>0</v>
      </c>
      <c r="O172" s="9" t="b">
        <v>0</v>
      </c>
      <c r="P172" s="9" t="b">
        <v>1</v>
      </c>
      <c r="Q172" s="9" t="b">
        <v>0</v>
      </c>
      <c r="R172" s="9" t="b">
        <v>1</v>
      </c>
      <c r="S172" s="16">
        <f>COUNTIFS(stableR[q_group],stableR[[#This Row],[q_group]])</f>
        <v>1</v>
      </c>
      <c r="T172" s="9" t="b">
        <v>0</v>
      </c>
      <c r="U172" s="9" t="b">
        <v>0</v>
      </c>
      <c r="V172" s="9" t="b">
        <v>0</v>
      </c>
      <c r="W172" s="9" t="b">
        <v>1</v>
      </c>
      <c r="X172" s="9" t="str">
        <f>_xlfn.TEXTJOIN(", ",TRUE,stableR[[#This Row],[ans_opt_1]:[ans_opt_14]])</f>
        <v>No, Yes-every year, Yes-every 2 years, Yes-every 3 years, Yes-every &gt; 3 years</v>
      </c>
      <c r="Y172" s="9" t="s">
        <v>119</v>
      </c>
      <c r="Z172" s="9" t="s">
        <v>365</v>
      </c>
      <c r="AA172" s="9" t="s">
        <v>366</v>
      </c>
      <c r="AB172" s="9" t="s">
        <v>367</v>
      </c>
      <c r="AC172" s="9" t="s">
        <v>368</v>
      </c>
      <c r="AD172" s="9"/>
      <c r="AE172" s="9"/>
      <c r="AF172" s="9"/>
      <c r="AG172" s="9"/>
      <c r="AH172" s="9"/>
      <c r="AI172" s="9"/>
      <c r="AJ172" s="9"/>
      <c r="AK172" s="9"/>
      <c r="AL172" s="9"/>
      <c r="AM172" s="16" t="b">
        <v>1</v>
      </c>
      <c r="AN172" s="16" t="b">
        <f>COUNTIFS(questions[qno],stableR[[#This Row],[qno]],questions[year_of_survey],2025,questions[origin],"Kenya")&gt;0</f>
        <v>1</v>
      </c>
      <c r="AO172" s="16" t="b">
        <f>COUNTIFS(questions[qno],stableR[[#This Row],[qno]],questions[year_of_survey],2025,questions[origin],"Rwanda")&gt;0</f>
        <v>1</v>
      </c>
      <c r="AP172" s="16" t="b">
        <f>COUNTIFS(questions[qno],stableR[[#This Row],[qno]],questions[year_of_survey],2026,questions[origin],"Burundi")&gt;0</f>
        <v>1</v>
      </c>
      <c r="AQ172" s="16" t="b">
        <f>COUNTIFS(questions[qno],stableR[[#This Row],[qno]],questions[year_of_survey],"",questions[origin],"Indonesia")&gt;0</f>
        <v>1</v>
      </c>
      <c r="AR172" s="16" t="b">
        <f>COUNTIFS(questions[qno],stableR[[#This Row],[qno]],questions[year_of_survey],2025,questions[origin],"Vietnam")&gt;0</f>
        <v>1</v>
      </c>
      <c r="AS172" s="16" t="b">
        <v>1</v>
      </c>
      <c r="AT172" s="16" t="b">
        <v>1</v>
      </c>
      <c r="AU172" s="9"/>
      <c r="AV172" s="9"/>
      <c r="AW172" s="9"/>
      <c r="AX172" s="9"/>
      <c r="AY172" s="9"/>
      <c r="AZ172" s="9"/>
      <c r="BA172" s="9"/>
      <c r="BB172" s="9"/>
      <c r="BC172" s="9"/>
      <c r="BD172" s="9"/>
    </row>
    <row r="173" spans="1:56" x14ac:dyDescent="0.25">
      <c r="A173" s="15" t="str">
        <f>_xlfn.CONCAT(stableR[[#This Row],[group_0_no]:[order_no]])</f>
        <v>7127</v>
      </c>
      <c r="B173" s="15" t="s">
        <v>370</v>
      </c>
      <c r="C173" s="213" t="s">
        <v>1279</v>
      </c>
      <c r="D173" s="213" t="s">
        <v>1093</v>
      </c>
      <c r="E173" s="213" t="s">
        <v>1097</v>
      </c>
      <c r="F173" s="213" t="s">
        <v>1279</v>
      </c>
      <c r="G173" s="9" t="s">
        <v>1294</v>
      </c>
      <c r="H173" s="9" t="b">
        <v>1</v>
      </c>
      <c r="I173" s="9" t="b">
        <v>1</v>
      </c>
      <c r="J173" s="9" t="b">
        <v>0</v>
      </c>
      <c r="K173" s="9" t="b">
        <v>0</v>
      </c>
      <c r="L173" s="9" t="b">
        <v>0</v>
      </c>
      <c r="M173" s="9" t="b">
        <v>0</v>
      </c>
      <c r="N173" s="9" t="b">
        <v>0</v>
      </c>
      <c r="O173" s="9" t="b">
        <v>0</v>
      </c>
      <c r="P173" s="9" t="b">
        <v>1</v>
      </c>
      <c r="Q173" s="9" t="b">
        <v>0</v>
      </c>
      <c r="R173" s="9" t="b">
        <v>1</v>
      </c>
      <c r="S173" s="16">
        <f>COUNTIFS(stableR[q_group],stableR[[#This Row],[q_group]])</f>
        <v>1</v>
      </c>
      <c r="T173" s="9" t="b">
        <v>0</v>
      </c>
      <c r="U173" s="9" t="b">
        <v>0</v>
      </c>
      <c r="V173" s="9" t="b">
        <v>0</v>
      </c>
      <c r="W173" s="9" t="b">
        <v>1</v>
      </c>
      <c r="X173" s="9" t="str">
        <f>_xlfn.TEXTJOIN(", ",TRUE,stableR[[#This Row],[ans_opt_1]:[ans_opt_14]])</f>
        <v>No, Yes</v>
      </c>
      <c r="Y173" s="9" t="s">
        <v>119</v>
      </c>
      <c r="Z173" s="9" t="s">
        <v>149</v>
      </c>
      <c r="AM173" s="16" t="b">
        <v>1</v>
      </c>
      <c r="AN173" s="16" t="b">
        <f>COUNTIFS(questions[qno],stableR[[#This Row],[qno]],questions[year_of_survey],2025,questions[origin],"Kenya")&gt;0</f>
        <v>1</v>
      </c>
      <c r="AO173" s="16" t="b">
        <f>COUNTIFS(questions[qno],stableR[[#This Row],[qno]],questions[year_of_survey],2025,questions[origin],"Rwanda")&gt;0</f>
        <v>1</v>
      </c>
      <c r="AP173" s="16" t="b">
        <f>COUNTIFS(questions[qno],stableR[[#This Row],[qno]],questions[year_of_survey],2026,questions[origin],"Burundi")&gt;0</f>
        <v>1</v>
      </c>
      <c r="AQ173" s="16" t="b">
        <f>COUNTIFS(questions[qno],stableR[[#This Row],[qno]],questions[year_of_survey],"",questions[origin],"Indonesia")&gt;0</f>
        <v>1</v>
      </c>
      <c r="AR173" s="16" t="b">
        <f>COUNTIFS(questions[qno],stableR[[#This Row],[qno]],questions[year_of_survey],2025,questions[origin],"Vietnam")&gt;0</f>
        <v>1</v>
      </c>
      <c r="AS173" s="16" t="b">
        <v>1</v>
      </c>
      <c r="AT173" s="16" t="b">
        <v>1</v>
      </c>
    </row>
    <row r="174" spans="1:56" x14ac:dyDescent="0.25">
      <c r="A174" s="15" t="str">
        <f>_xlfn.CONCAT(stableR[[#This Row],[group_0_no]:[order_no]])</f>
        <v>7128</v>
      </c>
      <c r="B174" s="15" t="s">
        <v>372</v>
      </c>
      <c r="C174" s="213" t="s">
        <v>1279</v>
      </c>
      <c r="D174" s="213" t="s">
        <v>1093</v>
      </c>
      <c r="E174" s="213" t="s">
        <v>1097</v>
      </c>
      <c r="F174" s="213" t="s">
        <v>1143</v>
      </c>
      <c r="G174" s="9" t="s">
        <v>1295</v>
      </c>
      <c r="H174" s="9" t="b">
        <v>1</v>
      </c>
      <c r="I174" s="9" t="b">
        <v>1</v>
      </c>
      <c r="J174" s="9" t="b">
        <v>0</v>
      </c>
      <c r="K174" s="9" t="b">
        <v>0</v>
      </c>
      <c r="L174" s="9" t="b">
        <v>1</v>
      </c>
      <c r="M174" s="9" t="b">
        <v>0</v>
      </c>
      <c r="N174" s="9" t="b">
        <v>0</v>
      </c>
      <c r="O174" s="9" t="b">
        <v>0</v>
      </c>
      <c r="P174" s="9" t="b">
        <v>1</v>
      </c>
      <c r="Q174" s="9" t="b">
        <v>0</v>
      </c>
      <c r="R174" s="9" t="b">
        <v>0</v>
      </c>
      <c r="S174" s="16">
        <f>COUNTIFS(stableR[q_group],stableR[[#This Row],[q_group]])</f>
        <v>1</v>
      </c>
      <c r="T174" s="9" t="b">
        <v>0</v>
      </c>
      <c r="U174" s="9" t="b">
        <v>0</v>
      </c>
      <c r="V174" s="9" t="b">
        <v>0</v>
      </c>
      <c r="W174" s="9" t="b">
        <v>1</v>
      </c>
      <c r="X174" s="9" t="str">
        <f>_xlfn.TEXTJOIN(", ",TRUE,stableR[[#This Row],[ans_opt_1]:[ans_opt_14]])</f>
        <v>Based on my own judgment-experience, Based on what I can afford, I always use the same fertilization, Based on soil analysis or soil knowledge, Based on soil analysis or soil knowledge and the expected yield of the crop, Based on recommendations from experts (agronomists, field officers, extension services...) , Based on recommendations from input suppliers, I don't use organic or synthetic fertilizers, based on other reasons then the above options</v>
      </c>
      <c r="Y174" s="9" t="s">
        <v>373</v>
      </c>
      <c r="Z174" s="9" t="s">
        <v>374</v>
      </c>
      <c r="AA174" s="9" t="s">
        <v>375</v>
      </c>
      <c r="AB174" s="9" t="s">
        <v>376</v>
      </c>
      <c r="AC174" s="9" t="s">
        <v>377</v>
      </c>
      <c r="AD174" s="9" t="s">
        <v>796</v>
      </c>
      <c r="AE174" s="9" t="s">
        <v>379</v>
      </c>
      <c r="AF174" s="9" t="s">
        <v>380</v>
      </c>
      <c r="AM174" s="16" t="b">
        <v>1</v>
      </c>
      <c r="AN174" s="16" t="b">
        <f>COUNTIFS(questions[qno],stableR[[#This Row],[qno]],questions[year_of_survey],2025,questions[origin],"Kenya")&gt;0</f>
        <v>1</v>
      </c>
      <c r="AO174" s="16" t="b">
        <f>COUNTIFS(questions[qno],stableR[[#This Row],[qno]],questions[year_of_survey],2025,questions[origin],"Rwanda")&gt;0</f>
        <v>1</v>
      </c>
      <c r="AP174" s="16" t="b">
        <f>COUNTIFS(questions[qno],stableR[[#This Row],[qno]],questions[year_of_survey],2026,questions[origin],"Burundi")&gt;0</f>
        <v>1</v>
      </c>
      <c r="AQ174" s="16" t="b">
        <f>COUNTIFS(questions[qno],stableR[[#This Row],[qno]],questions[year_of_survey],"",questions[origin],"Indonesia")&gt;0</f>
        <v>1</v>
      </c>
      <c r="AR174" s="16" t="b">
        <f>COUNTIFS(questions[qno],stableR[[#This Row],[qno]],questions[year_of_survey],2025,questions[origin],"Vietnam")&gt;0</f>
        <v>1</v>
      </c>
      <c r="AS174" s="16" t="b">
        <v>1</v>
      </c>
      <c r="AT174" s="16" t="b">
        <v>1</v>
      </c>
    </row>
    <row r="175" spans="1:56" x14ac:dyDescent="0.25">
      <c r="A175" s="15" t="str">
        <f>_xlfn.CONCAT(stableR[[#This Row],[group_0_no]:[order_no]])</f>
        <v>7131</v>
      </c>
      <c r="B175" s="15" t="s">
        <v>382</v>
      </c>
      <c r="C175" s="213" t="s">
        <v>1279</v>
      </c>
      <c r="D175" s="213" t="s">
        <v>1093</v>
      </c>
      <c r="E175" s="213" t="s">
        <v>1099</v>
      </c>
      <c r="F175" s="213" t="s">
        <v>1093</v>
      </c>
      <c r="G175" s="9" t="s">
        <v>1296</v>
      </c>
      <c r="H175" s="9" t="b">
        <v>1</v>
      </c>
      <c r="I175" s="9" t="b">
        <v>1</v>
      </c>
      <c r="J175" s="9" t="b">
        <v>0</v>
      </c>
      <c r="K175" s="9" t="b">
        <v>0</v>
      </c>
      <c r="L175" s="9" t="b">
        <v>1</v>
      </c>
      <c r="M175" s="9" t="b">
        <v>0</v>
      </c>
      <c r="N175" s="9" t="b">
        <v>0</v>
      </c>
      <c r="O175" s="9" t="b">
        <v>0</v>
      </c>
      <c r="P175" s="9" t="b">
        <v>1</v>
      </c>
      <c r="Q175" s="9" t="b">
        <v>0</v>
      </c>
      <c r="R175" s="9" t="b">
        <v>0</v>
      </c>
      <c r="S175" s="16">
        <f>COUNTIFS(stableR[q_group],stableR[[#This Row],[q_group]])</f>
        <v>1</v>
      </c>
      <c r="T175" s="9" t="b">
        <v>0</v>
      </c>
      <c r="U175" s="9" t="b">
        <v>0</v>
      </c>
      <c r="V175" s="9" t="b">
        <v>0</v>
      </c>
      <c r="W175" s="9" t="b">
        <v>1</v>
      </c>
      <c r="X175" s="9" t="str">
        <f>_xlfn.TEXTJOIN(", ",TRUE,stableR[[#This Row],[ans_opt_1]:[ans_opt_14]])</f>
        <v>I don't apply, I apply once per season, I apply multiple times throughout the season</v>
      </c>
      <c r="Y175" s="9" t="s">
        <v>383</v>
      </c>
      <c r="Z175" s="9" t="s">
        <v>384</v>
      </c>
      <c r="AA175" s="9" t="s">
        <v>385</v>
      </c>
      <c r="AM175" s="16" t="b">
        <v>1</v>
      </c>
      <c r="AN175" s="16" t="b">
        <f>COUNTIFS(questions[qno],stableR[[#This Row],[qno]],questions[year_of_survey],2025,questions[origin],"Kenya")&gt;0</f>
        <v>1</v>
      </c>
      <c r="AO175" s="16" t="b">
        <f>COUNTIFS(questions[qno],stableR[[#This Row],[qno]],questions[year_of_survey],2025,questions[origin],"Rwanda")&gt;0</f>
        <v>1</v>
      </c>
      <c r="AP175" s="16" t="b">
        <f>COUNTIFS(questions[qno],stableR[[#This Row],[qno]],questions[year_of_survey],2026,questions[origin],"Burundi")&gt;0</f>
        <v>1</v>
      </c>
      <c r="AQ175" s="16" t="b">
        <f>COUNTIFS(questions[qno],stableR[[#This Row],[qno]],questions[year_of_survey],"",questions[origin],"Indonesia")&gt;0</f>
        <v>1</v>
      </c>
      <c r="AR175" s="16" t="b">
        <f>COUNTIFS(questions[qno],stableR[[#This Row],[qno]],questions[year_of_survey],2025,questions[origin],"Vietnam")&gt;0</f>
        <v>1</v>
      </c>
      <c r="AS175" s="16" t="b">
        <v>1</v>
      </c>
      <c r="AT175" s="16" t="b">
        <v>1</v>
      </c>
    </row>
    <row r="176" spans="1:56" x14ac:dyDescent="0.25">
      <c r="A176" s="15" t="str">
        <f>_xlfn.CONCAT(stableR[[#This Row],[group_0_no]:[order_no]])</f>
        <v>7132</v>
      </c>
      <c r="B176" s="15" t="s">
        <v>387</v>
      </c>
      <c r="C176" s="213" t="s">
        <v>1279</v>
      </c>
      <c r="D176" s="213" t="s">
        <v>1093</v>
      </c>
      <c r="E176" s="213" t="s">
        <v>1099</v>
      </c>
      <c r="F176" s="213" t="s">
        <v>1097</v>
      </c>
      <c r="G176" s="9" t="s">
        <v>1297</v>
      </c>
      <c r="H176" s="9" t="b">
        <v>1</v>
      </c>
      <c r="I176" s="9" t="b">
        <v>1</v>
      </c>
      <c r="J176" s="9" t="b">
        <v>0</v>
      </c>
      <c r="K176" s="9" t="b">
        <v>0</v>
      </c>
      <c r="L176" s="9" t="b">
        <v>0</v>
      </c>
      <c r="M176" s="9" t="b">
        <v>0</v>
      </c>
      <c r="N176" s="9" t="b">
        <v>0</v>
      </c>
      <c r="O176" s="9" t="b">
        <v>0</v>
      </c>
      <c r="P176" s="9" t="b">
        <v>1</v>
      </c>
      <c r="Q176" s="9" t="b">
        <v>0</v>
      </c>
      <c r="R176" s="9" t="b">
        <v>0</v>
      </c>
      <c r="S176" s="16">
        <f>COUNTIFS(stableR[q_group],stableR[[#This Row],[q_group]])</f>
        <v>1</v>
      </c>
      <c r="T176" s="9" t="b">
        <v>0</v>
      </c>
      <c r="U176" s="9" t="b">
        <v>0</v>
      </c>
      <c r="V176" s="9" t="b">
        <v>0</v>
      </c>
      <c r="W176" s="9" t="b">
        <v>1</v>
      </c>
      <c r="X176" s="9" t="str">
        <f>_xlfn.TEXTJOIN(", ",TRUE,stableR[[#This Row],[ans_opt_1]:[ans_opt_14]])</f>
        <v>Around the tree , In bands close to the trees, Broadcasted in all the field, Through the irrigation system (e.g. drip), Around the tree , In bands close to the trees, Broadcasted in all the field, Through the irrigation system (e.g. drip)</v>
      </c>
      <c r="Y176" s="9" t="s">
        <v>1436</v>
      </c>
      <c r="Z176" s="9" t="s">
        <v>797</v>
      </c>
      <c r="AA176" s="9" t="s">
        <v>389</v>
      </c>
      <c r="AB176" s="9" t="s">
        <v>390</v>
      </c>
      <c r="AC176" s="9" t="s">
        <v>391</v>
      </c>
      <c r="AM176" s="16" t="b">
        <v>1</v>
      </c>
      <c r="AN176" s="16" t="b">
        <f>COUNTIFS(questions[qno],stableR[[#This Row],[qno]],questions[year_of_survey],2025,questions[origin],"Kenya")&gt;0</f>
        <v>1</v>
      </c>
      <c r="AO176" s="16" t="b">
        <f>COUNTIFS(questions[qno],stableR[[#This Row],[qno]],questions[year_of_survey],2025,questions[origin],"Rwanda")&gt;0</f>
        <v>1</v>
      </c>
      <c r="AP176" s="16" t="b">
        <f>COUNTIFS(questions[qno],stableR[[#This Row],[qno]],questions[year_of_survey],2026,questions[origin],"Burundi")&gt;0</f>
        <v>1</v>
      </c>
      <c r="AQ176" s="16" t="b">
        <f>COUNTIFS(questions[qno],stableR[[#This Row],[qno]],questions[year_of_survey],"",questions[origin],"Indonesia")&gt;0</f>
        <v>1</v>
      </c>
      <c r="AR176" s="16" t="b">
        <f>COUNTIFS(questions[qno],stableR[[#This Row],[qno]],questions[year_of_survey],2025,questions[origin],"Vietnam")&gt;0</f>
        <v>1</v>
      </c>
      <c r="AS176" s="16" t="b">
        <v>1</v>
      </c>
      <c r="AT176" s="16" t="b">
        <v>1</v>
      </c>
    </row>
    <row r="177" spans="1:46" x14ac:dyDescent="0.25">
      <c r="A177" s="15" t="str">
        <f>_xlfn.CONCAT(stableR[[#This Row],[group_0_no]:[order_no]])</f>
        <v>7133</v>
      </c>
      <c r="B177" s="15" t="s">
        <v>393</v>
      </c>
      <c r="C177" s="213" t="s">
        <v>1279</v>
      </c>
      <c r="D177" s="213" t="s">
        <v>1093</v>
      </c>
      <c r="E177" s="213" t="s">
        <v>1099</v>
      </c>
      <c r="F177" s="213" t="s">
        <v>1099</v>
      </c>
      <c r="G177" s="9" t="s">
        <v>1298</v>
      </c>
      <c r="H177" s="9" t="b">
        <v>1</v>
      </c>
      <c r="I177" s="9" t="b">
        <v>1</v>
      </c>
      <c r="J177" s="9" t="b">
        <v>0</v>
      </c>
      <c r="K177" s="9" t="b">
        <v>0</v>
      </c>
      <c r="L177" s="9" t="b">
        <v>1</v>
      </c>
      <c r="M177" s="9" t="b">
        <v>0</v>
      </c>
      <c r="N177" s="9" t="b">
        <v>0</v>
      </c>
      <c r="O177" s="9" t="b">
        <v>0</v>
      </c>
      <c r="P177" s="9" t="b">
        <v>1</v>
      </c>
      <c r="Q177" s="9" t="b">
        <v>0</v>
      </c>
      <c r="R177" s="9" t="b">
        <v>0</v>
      </c>
      <c r="S177" s="16">
        <f>COUNTIFS(stableR[q_group],stableR[[#This Row],[q_group]])</f>
        <v>1</v>
      </c>
      <c r="T177" s="9" t="b">
        <v>0</v>
      </c>
      <c r="U177" s="9" t="b">
        <v>0</v>
      </c>
      <c r="V177" s="9" t="b">
        <v>0</v>
      </c>
      <c r="W177" s="9" t="b">
        <v>1</v>
      </c>
      <c r="X177" s="9" t="str">
        <f>_xlfn.TEXTJOIN(", ",TRUE,stableR[[#This Row],[ans_opt_1]:[ans_opt_14]])</f>
        <v>No, Yes</v>
      </c>
      <c r="Y177" s="9" t="s">
        <v>119</v>
      </c>
      <c r="Z177" s="9" t="s">
        <v>149</v>
      </c>
      <c r="AM177" s="16" t="b">
        <v>1</v>
      </c>
      <c r="AN177" s="16" t="b">
        <f>COUNTIFS(questions[qno],stableR[[#This Row],[qno]],questions[year_of_survey],2025,questions[origin],"Kenya")&gt;0</f>
        <v>1</v>
      </c>
      <c r="AO177" s="16" t="b">
        <f>COUNTIFS(questions[qno],stableR[[#This Row],[qno]],questions[year_of_survey],2025,questions[origin],"Rwanda")&gt;0</f>
        <v>1</v>
      </c>
      <c r="AP177" s="16" t="b">
        <f>COUNTIFS(questions[qno],stableR[[#This Row],[qno]],questions[year_of_survey],2026,questions[origin],"Burundi")&gt;0</f>
        <v>1</v>
      </c>
      <c r="AQ177" s="16" t="b">
        <f>COUNTIFS(questions[qno],stableR[[#This Row],[qno]],questions[year_of_survey],"",questions[origin],"Indonesia")&gt;0</f>
        <v>1</v>
      </c>
      <c r="AR177" s="16" t="b">
        <f>COUNTIFS(questions[qno],stableR[[#This Row],[qno]],questions[year_of_survey],2025,questions[origin],"Vietnam")&gt;0</f>
        <v>1</v>
      </c>
      <c r="AS177" s="16" t="b">
        <v>1</v>
      </c>
      <c r="AT177" s="16" t="b">
        <v>1</v>
      </c>
    </row>
    <row r="178" spans="1:46" x14ac:dyDescent="0.25">
      <c r="A178" s="15" t="str">
        <f>_xlfn.CONCAT(stableR[[#This Row],[group_0_no]:[order_no]])</f>
        <v>7240</v>
      </c>
      <c r="B178" s="71" t="s">
        <v>1437</v>
      </c>
      <c r="C178" s="213" t="s">
        <v>1279</v>
      </c>
      <c r="D178" s="213" t="s">
        <v>1097</v>
      </c>
      <c r="E178" s="213" t="s">
        <v>1101</v>
      </c>
      <c r="F178" s="213" t="s">
        <v>1094</v>
      </c>
      <c r="G178" s="9" t="s">
        <v>1300</v>
      </c>
      <c r="H178" s="9" t="b">
        <v>1</v>
      </c>
      <c r="I178" s="9" t="b">
        <v>1</v>
      </c>
      <c r="J178" s="9" t="b">
        <v>0</v>
      </c>
      <c r="K178" s="9" t="b">
        <v>0</v>
      </c>
      <c r="L178" s="9" t="b">
        <v>1</v>
      </c>
      <c r="M178" s="9" t="b">
        <v>0</v>
      </c>
      <c r="N178" s="9" t="b">
        <v>0</v>
      </c>
      <c r="O178" s="9" t="b">
        <v>0</v>
      </c>
      <c r="P178" s="9" t="b">
        <v>1</v>
      </c>
      <c r="Q178" s="9" t="b">
        <v>0</v>
      </c>
      <c r="R178" s="9" t="b">
        <v>1</v>
      </c>
      <c r="S178" s="16">
        <f>COUNTIFS(stableR[q_group],stableR[[#This Row],[q_group]])</f>
        <v>1</v>
      </c>
      <c r="T178" s="9" t="b">
        <v>0</v>
      </c>
      <c r="U178" s="9" t="b">
        <v>0</v>
      </c>
      <c r="V178" s="9" t="b">
        <v>0</v>
      </c>
      <c r="W178" s="9" t="b">
        <v>1</v>
      </c>
      <c r="X178" s="9" t="str">
        <f>_xlfn.TEXTJOIN(", ",TRUE,stableR[[#This Row],[ans_opt_1]:[ans_opt_14]])</f>
        <v>No, Yes / 1-3 active ingredients, Yes / 4-5 active ingredients, Yes / &gt; 5 active ingredients</v>
      </c>
      <c r="Y178" s="9" t="s">
        <v>119</v>
      </c>
      <c r="Z178" s="9" t="s">
        <v>1042</v>
      </c>
      <c r="AA178" s="9" t="s">
        <v>1043</v>
      </c>
      <c r="AB178" s="9" t="s">
        <v>1044</v>
      </c>
      <c r="AM178" s="16" t="b">
        <v>1</v>
      </c>
      <c r="AN178" s="16" t="b">
        <f>COUNTIFS(questions[qno],stableR[[#This Row],[qno]],questions[year_of_survey],2025,questions[origin],"Kenya")&gt;0</f>
        <v>1</v>
      </c>
      <c r="AO178" s="16" t="b">
        <f>COUNTIFS(questions[qno],stableR[[#This Row],[qno]],questions[year_of_survey],2025,questions[origin],"Rwanda")&gt;0</f>
        <v>1</v>
      </c>
      <c r="AP178" s="16" t="b">
        <f>COUNTIFS(questions[qno],stableR[[#This Row],[qno]],questions[year_of_survey],2026,questions[origin],"Burundi")&gt;0</f>
        <v>1</v>
      </c>
      <c r="AQ178" s="16" t="b">
        <f>COUNTIFS(questions[qno],stableR[[#This Row],[qno]],questions[year_of_survey],"",questions[origin],"Indonesia")&gt;0</f>
        <v>1</v>
      </c>
      <c r="AR178" s="16" t="b">
        <f>COUNTIFS(questions[qno],stableR[[#This Row],[qno]],questions[year_of_survey],2025,questions[origin],"Vietnam")&gt;0</f>
        <v>1</v>
      </c>
      <c r="AS178" s="16" t="b">
        <v>1</v>
      </c>
      <c r="AT178" s="16" t="b">
        <v>1</v>
      </c>
    </row>
    <row r="179" spans="1:46" x14ac:dyDescent="0.25">
      <c r="A179" s="84" t="str">
        <f>_xlfn.CONCAT(stableR[[#This Row],[group_0_no]:[order_no]])</f>
        <v>7241</v>
      </c>
      <c r="B179" s="84" t="s">
        <v>1046</v>
      </c>
      <c r="C179" s="236" t="s">
        <v>1279</v>
      </c>
      <c r="D179" s="236" t="s">
        <v>1097</v>
      </c>
      <c r="E179" s="236" t="s">
        <v>1101</v>
      </c>
      <c r="F179" s="236" t="s">
        <v>1093</v>
      </c>
      <c r="G179" s="211" t="s">
        <v>1301</v>
      </c>
      <c r="H179" s="211" t="b">
        <v>1</v>
      </c>
      <c r="I179" s="211" t="b">
        <v>1</v>
      </c>
      <c r="J179" s="211" t="b">
        <v>0</v>
      </c>
      <c r="K179" s="211" t="b">
        <v>0</v>
      </c>
      <c r="L179" s="211" t="b">
        <v>1</v>
      </c>
      <c r="M179" s="211" t="b">
        <v>0</v>
      </c>
      <c r="N179" s="211" t="b">
        <v>1</v>
      </c>
      <c r="O179" s="211" t="b">
        <v>0</v>
      </c>
      <c r="P179" s="211" t="b">
        <v>0</v>
      </c>
      <c r="Q179" s="211" t="b">
        <v>0</v>
      </c>
      <c r="R179" s="211" t="b">
        <v>1</v>
      </c>
      <c r="S179" s="212">
        <f>COUNTIFS(stableR[q_group],stableR[[#This Row],[q_group]])</f>
        <v>1</v>
      </c>
      <c r="T179" s="211" t="b">
        <v>0</v>
      </c>
      <c r="U179" s="211" t="b">
        <v>0</v>
      </c>
      <c r="V179" s="211" t="b">
        <v>0</v>
      </c>
      <c r="W179" s="211" t="b">
        <v>1</v>
      </c>
      <c r="X179" s="211" t="str">
        <f>_xlfn.TEXTJOIN(", ",TRUE,stableR[[#This Row],[ans_opt_1]:[ans_opt_14]])</f>
        <v/>
      </c>
      <c r="Y179" s="211"/>
      <c r="Z179" s="211"/>
      <c r="AA179" s="211"/>
      <c r="AB179" s="211"/>
      <c r="AC179" s="211"/>
      <c r="AD179" s="211"/>
      <c r="AE179" s="211"/>
      <c r="AF179" s="211"/>
      <c r="AG179" s="211"/>
      <c r="AH179" s="211"/>
      <c r="AI179" s="211"/>
      <c r="AJ179" s="211"/>
      <c r="AK179" s="211"/>
      <c r="AL179" s="211"/>
      <c r="AM179" s="212" t="b">
        <v>1</v>
      </c>
      <c r="AN179" s="212" t="b">
        <v>1</v>
      </c>
      <c r="AO179" s="212" t="b">
        <v>1</v>
      </c>
      <c r="AP179" s="212" t="b">
        <v>1</v>
      </c>
      <c r="AQ179" s="212" t="b">
        <v>1</v>
      </c>
      <c r="AR179" s="212" t="b">
        <v>1</v>
      </c>
      <c r="AS179" s="212" t="b">
        <v>1</v>
      </c>
      <c r="AT179" s="212" t="b">
        <v>1</v>
      </c>
    </row>
    <row r="180" spans="1:46" x14ac:dyDescent="0.25">
      <c r="A180" s="15" t="str">
        <f>_xlfn.CONCAT(stableR[[#This Row],[group_0_no]:[order_no]])</f>
        <v>7242</v>
      </c>
      <c r="B180" s="15" t="s">
        <v>1047</v>
      </c>
      <c r="C180" s="213" t="s">
        <v>1279</v>
      </c>
      <c r="D180" s="213" t="s">
        <v>1097</v>
      </c>
      <c r="E180" s="213" t="s">
        <v>1101</v>
      </c>
      <c r="F180" s="213" t="s">
        <v>1097</v>
      </c>
      <c r="G180" s="9" t="s">
        <v>1302</v>
      </c>
      <c r="H180" s="9" t="b">
        <v>1</v>
      </c>
      <c r="I180" s="9" t="b">
        <v>1</v>
      </c>
      <c r="J180" s="9" t="b">
        <v>0</v>
      </c>
      <c r="K180" s="9" t="b">
        <v>0</v>
      </c>
      <c r="L180" s="9" t="b">
        <v>0</v>
      </c>
      <c r="M180" s="9" t="b">
        <v>0</v>
      </c>
      <c r="N180" s="9" t="b">
        <v>0</v>
      </c>
      <c r="O180" s="9" t="b">
        <v>0</v>
      </c>
      <c r="P180" s="9" t="b">
        <v>1</v>
      </c>
      <c r="Q180" s="9" t="b">
        <v>0</v>
      </c>
      <c r="R180" s="9" t="b">
        <v>1</v>
      </c>
      <c r="S180" s="16">
        <f>COUNTIFS(stableR[q_group],stableR[[#This Row],[q_group]])</f>
        <v>1</v>
      </c>
      <c r="T180" s="9" t="b">
        <v>0</v>
      </c>
      <c r="U180" s="9" t="b">
        <v>0</v>
      </c>
      <c r="V180" s="9" t="b">
        <v>0</v>
      </c>
      <c r="W180" s="9" t="b">
        <v>1</v>
      </c>
      <c r="X180" s="9" t="str">
        <f>_xlfn.TEXTJOIN(", ",TRUE,stableR[[#This Row],[ans_opt_1]:[ans_opt_14]])</f>
        <v>No, Yes</v>
      </c>
      <c r="Y180" s="9" t="s">
        <v>119</v>
      </c>
      <c r="Z180" s="9" t="s">
        <v>149</v>
      </c>
      <c r="AM180" s="16" t="b">
        <v>1</v>
      </c>
      <c r="AN180" s="16" t="b">
        <f>COUNTIFS(questions[qno],stableR[[#This Row],[qno]],questions[year_of_survey],2025,questions[origin],"Kenya")&gt;0</f>
        <v>1</v>
      </c>
      <c r="AO180" s="16" t="b">
        <f>COUNTIFS(questions[qno],stableR[[#This Row],[qno]],questions[year_of_survey],2025,questions[origin],"Rwanda")&gt;0</f>
        <v>1</v>
      </c>
      <c r="AP180" s="16" t="b">
        <f>COUNTIFS(questions[qno],stableR[[#This Row],[qno]],questions[year_of_survey],2026,questions[origin],"Burundi")&gt;0</f>
        <v>1</v>
      </c>
      <c r="AQ180" s="16" t="b">
        <f>COUNTIFS(questions[qno],stableR[[#This Row],[qno]],questions[year_of_survey],"",questions[origin],"Indonesia")&gt;0</f>
        <v>1</v>
      </c>
      <c r="AR180" s="16" t="b">
        <f>COUNTIFS(questions[qno],stableR[[#This Row],[qno]],questions[year_of_survey],2025,questions[origin],"Vietnam")&gt;0</f>
        <v>1</v>
      </c>
      <c r="AS180" s="16" t="b">
        <v>1</v>
      </c>
      <c r="AT180" s="16" t="b">
        <v>1</v>
      </c>
    </row>
    <row r="181" spans="1:46" s="211" customFormat="1" x14ac:dyDescent="0.25">
      <c r="A181" s="15" t="str">
        <f>_xlfn.CONCAT(stableR[[#This Row],[group_0_no]:[order_no]])</f>
        <v>7243</v>
      </c>
      <c r="B181" s="15" t="s">
        <v>1048</v>
      </c>
      <c r="C181" s="213" t="s">
        <v>1279</v>
      </c>
      <c r="D181" s="213" t="s">
        <v>1097</v>
      </c>
      <c r="E181" s="213" t="s">
        <v>1101</v>
      </c>
      <c r="F181" s="213" t="s">
        <v>1099</v>
      </c>
      <c r="G181" s="9" t="s">
        <v>1303</v>
      </c>
      <c r="H181" s="9" t="b">
        <v>1</v>
      </c>
      <c r="I181" s="9" t="b">
        <v>1</v>
      </c>
      <c r="J181" s="9" t="b">
        <v>0</v>
      </c>
      <c r="K181" s="9" t="b">
        <v>0</v>
      </c>
      <c r="L181" s="9" t="b">
        <v>0</v>
      </c>
      <c r="M181" s="9" t="b">
        <v>0</v>
      </c>
      <c r="N181" s="9" t="b">
        <v>0</v>
      </c>
      <c r="O181" s="9" t="b">
        <v>0</v>
      </c>
      <c r="P181" s="9" t="b">
        <v>1</v>
      </c>
      <c r="Q181" s="9" t="b">
        <v>0</v>
      </c>
      <c r="R181" s="9" t="b">
        <v>1</v>
      </c>
      <c r="S181" s="16">
        <f>COUNTIFS(stableR[q_group],stableR[[#This Row],[q_group]])</f>
        <v>1</v>
      </c>
      <c r="T181" s="9" t="b">
        <v>0</v>
      </c>
      <c r="U181" s="9" t="b">
        <v>0</v>
      </c>
      <c r="V181" s="9" t="b">
        <v>0</v>
      </c>
      <c r="W181" s="9" t="b">
        <v>1</v>
      </c>
      <c r="X181" s="9" t="str">
        <f>_xlfn.TEXTJOIN(", ",TRUE,stableR[[#This Row],[ans_opt_1]:[ans_opt_14]])</f>
        <v>No, Yes</v>
      </c>
      <c r="Y181" s="9" t="s">
        <v>119</v>
      </c>
      <c r="Z181" s="9" t="s">
        <v>149</v>
      </c>
      <c r="AA181" s="9"/>
      <c r="AB181" s="9"/>
      <c r="AC181" s="9"/>
      <c r="AD181" s="9"/>
      <c r="AE181" s="9"/>
      <c r="AF181" s="9"/>
      <c r="AG181" s="9"/>
      <c r="AH181" s="9"/>
      <c r="AI181" s="9"/>
      <c r="AJ181" s="9"/>
      <c r="AK181" s="9"/>
      <c r="AL181" s="9"/>
      <c r="AM181" s="16" t="b">
        <v>1</v>
      </c>
      <c r="AN181" s="16" t="b">
        <f>COUNTIFS(questions[qno],stableR[[#This Row],[qno]],questions[year_of_survey],2025,questions[origin],"Kenya")&gt;0</f>
        <v>1</v>
      </c>
      <c r="AO181" s="16" t="b">
        <f>COUNTIFS(questions[qno],stableR[[#This Row],[qno]],questions[year_of_survey],2025,questions[origin],"Rwanda")&gt;0</f>
        <v>1</v>
      </c>
      <c r="AP181" s="16" t="b">
        <f>COUNTIFS(questions[qno],stableR[[#This Row],[qno]],questions[year_of_survey],2026,questions[origin],"Burundi")&gt;0</f>
        <v>1</v>
      </c>
      <c r="AQ181" s="16" t="b">
        <f>COUNTIFS(questions[qno],stableR[[#This Row],[qno]],questions[year_of_survey],"",questions[origin],"Indonesia")&gt;0</f>
        <v>1</v>
      </c>
      <c r="AR181" s="16" t="b">
        <f>COUNTIFS(questions[qno],stableR[[#This Row],[qno]],questions[year_of_survey],2025,questions[origin],"Vietnam")&gt;0</f>
        <v>1</v>
      </c>
      <c r="AS181" s="16" t="b">
        <v>1</v>
      </c>
      <c r="AT181" s="16" t="b">
        <v>1</v>
      </c>
    </row>
    <row r="182" spans="1:46" x14ac:dyDescent="0.25">
      <c r="A182" s="15" t="str">
        <f>_xlfn.CONCAT(stableR[[#This Row],[group_0_no]:[order_no]])</f>
        <v>7244</v>
      </c>
      <c r="B182" s="15" t="s">
        <v>1049</v>
      </c>
      <c r="C182" s="213" t="s">
        <v>1279</v>
      </c>
      <c r="D182" s="213" t="s">
        <v>1097</v>
      </c>
      <c r="E182" s="213" t="s">
        <v>1101</v>
      </c>
      <c r="F182" s="213" t="s">
        <v>1101</v>
      </c>
      <c r="G182" s="9" t="s">
        <v>1304</v>
      </c>
      <c r="H182" s="9" t="b">
        <v>1</v>
      </c>
      <c r="I182" s="9" t="b">
        <v>1</v>
      </c>
      <c r="J182" s="9" t="b">
        <v>0</v>
      </c>
      <c r="K182" s="9" t="b">
        <v>0</v>
      </c>
      <c r="L182" s="9" t="b">
        <v>0</v>
      </c>
      <c r="M182" s="9" t="b">
        <v>0</v>
      </c>
      <c r="N182" s="9" t="b">
        <v>0</v>
      </c>
      <c r="O182" s="9" t="b">
        <v>0</v>
      </c>
      <c r="P182" s="9" t="b">
        <v>1</v>
      </c>
      <c r="Q182" s="9" t="b">
        <v>0</v>
      </c>
      <c r="R182" s="9" t="b">
        <v>1</v>
      </c>
      <c r="S182" s="16">
        <f>COUNTIFS(stableR[q_group],stableR[[#This Row],[q_group]])</f>
        <v>1</v>
      </c>
      <c r="T182" s="9" t="b">
        <v>0</v>
      </c>
      <c r="U182" s="9" t="b">
        <v>0</v>
      </c>
      <c r="V182" s="9" t="b">
        <v>0</v>
      </c>
      <c r="W182" s="9" t="b">
        <v>1</v>
      </c>
      <c r="X182" s="9" t="str">
        <f>_xlfn.TEXTJOIN(", ",TRUE,stableR[[#This Row],[ans_opt_1]:[ans_opt_14]])</f>
        <v>No, Yes</v>
      </c>
      <c r="Y182" s="9" t="s">
        <v>119</v>
      </c>
      <c r="Z182" s="9" t="s">
        <v>149</v>
      </c>
      <c r="AM182" s="16" t="b">
        <v>1</v>
      </c>
      <c r="AN182" s="16" t="b">
        <f>COUNTIFS(questions[qno],stableR[[#This Row],[qno]],questions[year_of_survey],2025,questions[origin],"Kenya")&gt;0</f>
        <v>1</v>
      </c>
      <c r="AO182" s="16" t="b">
        <f>COUNTIFS(questions[qno],stableR[[#This Row],[qno]],questions[year_of_survey],2025,questions[origin],"Rwanda")&gt;0</f>
        <v>1</v>
      </c>
      <c r="AP182" s="16" t="b">
        <f>COUNTIFS(questions[qno],stableR[[#This Row],[qno]],questions[year_of_survey],2026,questions[origin],"Burundi")&gt;0</f>
        <v>1</v>
      </c>
      <c r="AQ182" s="16" t="b">
        <f>COUNTIFS(questions[qno],stableR[[#This Row],[qno]],questions[year_of_survey],"",questions[origin],"Indonesia")&gt;0</f>
        <v>1</v>
      </c>
      <c r="AR182" s="16" t="b">
        <f>COUNTIFS(questions[qno],stableR[[#This Row],[qno]],questions[year_of_survey],2025,questions[origin],"Vietnam")&gt;0</f>
        <v>1</v>
      </c>
      <c r="AS182" s="16" t="b">
        <v>1</v>
      </c>
      <c r="AT182" s="16" t="b">
        <v>1</v>
      </c>
    </row>
    <row r="183" spans="1:46" x14ac:dyDescent="0.25">
      <c r="A183" s="15" t="str">
        <f>_xlfn.CONCAT(stableR[[#This Row],[group_0_no]:[order_no]])</f>
        <v>7245</v>
      </c>
      <c r="B183" s="15" t="s">
        <v>1050</v>
      </c>
      <c r="C183" s="213" t="s">
        <v>1279</v>
      </c>
      <c r="D183" s="213" t="s">
        <v>1097</v>
      </c>
      <c r="E183" s="213" t="s">
        <v>1101</v>
      </c>
      <c r="F183" s="213" t="s">
        <v>1103</v>
      </c>
      <c r="G183" s="9" t="s">
        <v>1305</v>
      </c>
      <c r="H183" s="9" t="b">
        <v>1</v>
      </c>
      <c r="I183" s="9" t="b">
        <v>1</v>
      </c>
      <c r="J183" s="9" t="b">
        <v>0</v>
      </c>
      <c r="K183" s="9" t="b">
        <v>0</v>
      </c>
      <c r="L183" s="9" t="b">
        <v>0</v>
      </c>
      <c r="M183" s="9" t="b">
        <v>0</v>
      </c>
      <c r="N183" s="9" t="b">
        <v>0</v>
      </c>
      <c r="O183" s="9" t="b">
        <v>0</v>
      </c>
      <c r="P183" s="9" t="b">
        <v>1</v>
      </c>
      <c r="Q183" s="9" t="b">
        <v>0</v>
      </c>
      <c r="R183" s="9" t="b">
        <v>1</v>
      </c>
      <c r="S183" s="16">
        <f>COUNTIFS(stableR[q_group],stableR[[#This Row],[q_group]])</f>
        <v>1</v>
      </c>
      <c r="T183" s="9" t="b">
        <v>0</v>
      </c>
      <c r="U183" s="9" t="b">
        <v>0</v>
      </c>
      <c r="V183" s="9" t="b">
        <v>0</v>
      </c>
      <c r="W183" s="9" t="b">
        <v>1</v>
      </c>
      <c r="X183" s="9" t="str">
        <f>_xlfn.TEXTJOIN(", ",TRUE,stableR[[#This Row],[ans_opt_1]:[ans_opt_14]])</f>
        <v>1, 2, 3, 4, 5, &gt;5</v>
      </c>
      <c r="Y183" s="9">
        <v>1</v>
      </c>
      <c r="Z183" s="9">
        <v>2</v>
      </c>
      <c r="AA183" s="9">
        <v>3</v>
      </c>
      <c r="AB183" s="9">
        <v>4</v>
      </c>
      <c r="AC183" s="9">
        <v>5</v>
      </c>
      <c r="AD183" s="9" t="s">
        <v>404</v>
      </c>
      <c r="AM183" s="16" t="b">
        <v>1</v>
      </c>
      <c r="AN183" s="16" t="b">
        <f>COUNTIFS(questions[qno],stableR[[#This Row],[qno]],questions[year_of_survey],2025,questions[origin],"Kenya")&gt;0</f>
        <v>1</v>
      </c>
      <c r="AO183" s="16" t="b">
        <f>COUNTIFS(questions[qno],stableR[[#This Row],[qno]],questions[year_of_survey],2025,questions[origin],"Rwanda")&gt;0</f>
        <v>1</v>
      </c>
      <c r="AP183" s="16" t="b">
        <f>COUNTIFS(questions[qno],stableR[[#This Row],[qno]],questions[year_of_survey],2026,questions[origin],"Burundi")&gt;0</f>
        <v>1</v>
      </c>
      <c r="AQ183" s="16" t="b">
        <f>COUNTIFS(questions[qno],stableR[[#This Row],[qno]],questions[year_of_survey],"",questions[origin],"Indonesia")&gt;0</f>
        <v>1</v>
      </c>
      <c r="AR183" s="16" t="b">
        <f>COUNTIFS(questions[qno],stableR[[#This Row],[qno]],questions[year_of_survey],2025,questions[origin],"Vietnam")&gt;0</f>
        <v>1</v>
      </c>
      <c r="AS183" s="16" t="b">
        <v>1</v>
      </c>
      <c r="AT183" s="16" t="b">
        <v>1</v>
      </c>
    </row>
    <row r="184" spans="1:46" x14ac:dyDescent="0.25">
      <c r="A184" s="15" t="str">
        <f>_xlfn.CONCAT(stableR[[#This Row],[group_0_no]:[order_no]])</f>
        <v>7246</v>
      </c>
      <c r="B184" s="15" t="s">
        <v>1051</v>
      </c>
      <c r="C184" s="213" t="s">
        <v>1279</v>
      </c>
      <c r="D184" s="213" t="s">
        <v>1097</v>
      </c>
      <c r="E184" s="213" t="s">
        <v>1101</v>
      </c>
      <c r="F184" s="213" t="s">
        <v>1105</v>
      </c>
      <c r="G184" s="9" t="s">
        <v>1306</v>
      </c>
      <c r="H184" s="9" t="b">
        <v>1</v>
      </c>
      <c r="I184" s="9" t="b">
        <v>1</v>
      </c>
      <c r="J184" s="9" t="b">
        <v>0</v>
      </c>
      <c r="K184" s="9" t="b">
        <v>0</v>
      </c>
      <c r="L184" s="9" t="b">
        <v>0</v>
      </c>
      <c r="M184" s="9" t="b">
        <v>0</v>
      </c>
      <c r="N184" s="9" t="b">
        <v>0</v>
      </c>
      <c r="O184" s="9" t="b">
        <v>0</v>
      </c>
      <c r="P184" s="9" t="b">
        <v>1</v>
      </c>
      <c r="Q184" s="9" t="b">
        <v>0</v>
      </c>
      <c r="R184" s="9" t="b">
        <v>1</v>
      </c>
      <c r="S184" s="16">
        <f>COUNTIFS(stableR[q_group],stableR[[#This Row],[q_group]])</f>
        <v>1</v>
      </c>
      <c r="T184" s="9" t="b">
        <v>0</v>
      </c>
      <c r="U184" s="9" t="b">
        <v>0</v>
      </c>
      <c r="V184" s="9" t="b">
        <v>0</v>
      </c>
      <c r="W184" s="9" t="b">
        <v>1</v>
      </c>
      <c r="X184" s="9" t="str">
        <f>_xlfn.TEXTJOIN(", ",TRUE,stableR[[#This Row],[ans_opt_1]:[ans_opt_14]])</f>
        <v>Increased - pest/disease pressure, Increased - weather conditions, Increased - pest/disease resistance, Decreased - pest/disease pressure, Decreased - adverse weather conditions, Decreased - increased cost, Decreased - replaced by regenerative agriculture</v>
      </c>
      <c r="Y184" s="9" t="s">
        <v>407</v>
      </c>
      <c r="Z184" s="9" t="s">
        <v>408</v>
      </c>
      <c r="AA184" s="9" t="s">
        <v>409</v>
      </c>
      <c r="AB184" s="9" t="s">
        <v>410</v>
      </c>
      <c r="AC184" s="9" t="s">
        <v>411</v>
      </c>
      <c r="AD184" s="9" t="s">
        <v>412</v>
      </c>
      <c r="AE184" s="9" t="s">
        <v>413</v>
      </c>
      <c r="AM184" s="16" t="b">
        <v>1</v>
      </c>
      <c r="AN184" s="16" t="b">
        <v>1</v>
      </c>
      <c r="AO184" s="16" t="b">
        <v>1</v>
      </c>
      <c r="AP184" s="16" t="b">
        <v>1</v>
      </c>
      <c r="AQ184" s="16" t="b">
        <v>1</v>
      </c>
      <c r="AR184" s="16" t="b">
        <v>1</v>
      </c>
      <c r="AS184" s="16" t="b">
        <v>1</v>
      </c>
      <c r="AT184" s="16" t="b">
        <v>1</v>
      </c>
    </row>
    <row r="185" spans="1:46" x14ac:dyDescent="0.25">
      <c r="A185" s="15" t="str">
        <f>_xlfn.CONCAT(stableR[[#This Row],[group_0_no]:[order_no]])</f>
        <v>7250</v>
      </c>
      <c r="B185" s="71" t="s">
        <v>1438</v>
      </c>
      <c r="C185" s="213" t="s">
        <v>1279</v>
      </c>
      <c r="D185" s="213" t="s">
        <v>1097</v>
      </c>
      <c r="E185" s="213" t="s">
        <v>1103</v>
      </c>
      <c r="F185" s="213" t="s">
        <v>1094</v>
      </c>
      <c r="G185" s="9" t="s">
        <v>1308</v>
      </c>
      <c r="H185" s="9" t="b">
        <v>1</v>
      </c>
      <c r="I185" s="9" t="b">
        <v>1</v>
      </c>
      <c r="J185" s="9" t="b">
        <v>0</v>
      </c>
      <c r="K185" s="9" t="b">
        <v>0</v>
      </c>
      <c r="L185" s="9" t="b">
        <v>1</v>
      </c>
      <c r="M185" s="9" t="b">
        <v>0</v>
      </c>
      <c r="N185" s="9" t="b">
        <v>0</v>
      </c>
      <c r="O185" s="9" t="b">
        <v>0</v>
      </c>
      <c r="P185" s="9" t="b">
        <v>1</v>
      </c>
      <c r="Q185" s="9" t="b">
        <v>0</v>
      </c>
      <c r="R185" s="9" t="b">
        <v>1</v>
      </c>
      <c r="S185" s="16">
        <f>COUNTIFS(stableR[q_group],stableR[[#This Row],[q_group]])</f>
        <v>1</v>
      </c>
      <c r="T185" s="9" t="b">
        <v>0</v>
      </c>
      <c r="U185" s="9" t="b">
        <v>0</v>
      </c>
      <c r="V185" s="9" t="b">
        <v>0</v>
      </c>
      <c r="W185" s="9" t="b">
        <v>1</v>
      </c>
      <c r="X185" s="9" t="str">
        <f>_xlfn.TEXTJOIN(", ",TRUE,stableR[[#This Row],[ans_opt_1]:[ans_opt_14]])</f>
        <v>No, Yes / 1-2 herbicides (active ingredients), Yes / 3-4 herbicides (active ingredients), Yes / &gt;=5 herbicides (active ingredients)</v>
      </c>
      <c r="Y185" s="9" t="s">
        <v>119</v>
      </c>
      <c r="Z185" s="9" t="s">
        <v>416</v>
      </c>
      <c r="AA185" s="9" t="s">
        <v>417</v>
      </c>
      <c r="AB185" s="9" t="s">
        <v>418</v>
      </c>
      <c r="AM185" s="16" t="b">
        <v>1</v>
      </c>
      <c r="AN185" s="16" t="b">
        <f>COUNTIFS(questions[qno],stableR[[#This Row],[qno]],questions[year_of_survey],2025,questions[origin],"Kenya")&gt;0</f>
        <v>1</v>
      </c>
      <c r="AO185" s="16" t="b">
        <f>COUNTIFS(questions[qno],stableR[[#This Row],[qno]],questions[year_of_survey],2025,questions[origin],"Rwanda")&gt;0</f>
        <v>1</v>
      </c>
      <c r="AP185" s="16" t="b">
        <f>COUNTIFS(questions[qno],stableR[[#This Row],[qno]],questions[year_of_survey],2026,questions[origin],"Burundi")&gt;0</f>
        <v>1</v>
      </c>
      <c r="AQ185" s="16" t="b">
        <f>COUNTIFS(questions[qno],stableR[[#This Row],[qno]],questions[year_of_survey],"",questions[origin],"Indonesia")&gt;0</f>
        <v>1</v>
      </c>
      <c r="AR185" s="16" t="b">
        <f>COUNTIFS(questions[qno],stableR[[#This Row],[qno]],questions[year_of_survey],2025,questions[origin],"Vietnam")&gt;0</f>
        <v>1</v>
      </c>
      <c r="AS185" s="16" t="b">
        <v>1</v>
      </c>
      <c r="AT185" s="16" t="b">
        <v>1</v>
      </c>
    </row>
    <row r="186" spans="1:46" x14ac:dyDescent="0.25">
      <c r="A186" s="84" t="str">
        <f>_xlfn.CONCAT(stableR[[#This Row],[group_0_no]:[order_no]])</f>
        <v>7251</v>
      </c>
      <c r="B186" s="84" t="s">
        <v>1053</v>
      </c>
      <c r="C186" s="236" t="s">
        <v>1279</v>
      </c>
      <c r="D186" s="236" t="s">
        <v>1097</v>
      </c>
      <c r="E186" s="236" t="s">
        <v>1103</v>
      </c>
      <c r="F186" s="236" t="s">
        <v>1093</v>
      </c>
      <c r="G186" s="211" t="s">
        <v>1309</v>
      </c>
      <c r="H186" s="211" t="b">
        <v>1</v>
      </c>
      <c r="I186" s="211" t="b">
        <v>1</v>
      </c>
      <c r="J186" s="211" t="b">
        <v>0</v>
      </c>
      <c r="K186" s="211" t="b">
        <v>0</v>
      </c>
      <c r="L186" s="211" t="b">
        <v>1</v>
      </c>
      <c r="M186" s="211" t="b">
        <v>0</v>
      </c>
      <c r="N186" s="211" t="b">
        <v>1</v>
      </c>
      <c r="O186" s="211" t="b">
        <v>0</v>
      </c>
      <c r="P186" s="211" t="b">
        <v>0</v>
      </c>
      <c r="Q186" s="211" t="b">
        <v>0</v>
      </c>
      <c r="R186" s="211" t="b">
        <v>1</v>
      </c>
      <c r="S186" s="212">
        <f>COUNTIFS(stableR[q_group],stableR[[#This Row],[q_group]])</f>
        <v>1</v>
      </c>
      <c r="T186" s="211" t="b">
        <v>0</v>
      </c>
      <c r="U186" s="211" t="b">
        <v>0</v>
      </c>
      <c r="V186" s="211" t="b">
        <v>0</v>
      </c>
      <c r="W186" s="211" t="b">
        <v>1</v>
      </c>
      <c r="X186" s="211" t="str">
        <f>_xlfn.TEXTJOIN(", ",TRUE,stableR[[#This Row],[ans_opt_1]:[ans_opt_14]])</f>
        <v/>
      </c>
      <c r="Y186" s="211"/>
      <c r="Z186" s="211"/>
      <c r="AA186" s="211"/>
      <c r="AB186" s="211"/>
      <c r="AC186" s="211"/>
      <c r="AD186" s="211"/>
      <c r="AE186" s="211"/>
      <c r="AF186" s="211"/>
      <c r="AG186" s="211"/>
      <c r="AH186" s="211"/>
      <c r="AI186" s="211"/>
      <c r="AJ186" s="211"/>
      <c r="AK186" s="211"/>
      <c r="AL186" s="211"/>
      <c r="AM186" s="212" t="b">
        <v>1</v>
      </c>
      <c r="AN186" s="212" t="b">
        <v>1</v>
      </c>
      <c r="AO186" s="212" t="b">
        <v>1</v>
      </c>
      <c r="AP186" s="212" t="b">
        <v>1</v>
      </c>
      <c r="AQ186" s="212" t="b">
        <v>1</v>
      </c>
      <c r="AR186" s="212" t="b">
        <v>1</v>
      </c>
      <c r="AS186" s="212" t="b">
        <v>1</v>
      </c>
      <c r="AT186" s="212" t="b">
        <v>1</v>
      </c>
    </row>
    <row r="187" spans="1:46" x14ac:dyDescent="0.25">
      <c r="A187" s="15" t="str">
        <f>_xlfn.CONCAT(stableR[[#This Row],[group_0_no]:[order_no]])</f>
        <v>7252</v>
      </c>
      <c r="B187" s="18" t="s">
        <v>1054</v>
      </c>
      <c r="C187" s="213" t="s">
        <v>1279</v>
      </c>
      <c r="D187" s="213" t="s">
        <v>1097</v>
      </c>
      <c r="E187" s="213" t="s">
        <v>1103</v>
      </c>
      <c r="F187" s="213" t="s">
        <v>1097</v>
      </c>
      <c r="G187" s="9" t="s">
        <v>1311</v>
      </c>
      <c r="H187" s="9" t="b">
        <v>1</v>
      </c>
      <c r="I187" s="9" t="b">
        <v>1</v>
      </c>
      <c r="J187" s="9" t="b">
        <v>0</v>
      </c>
      <c r="K187" s="9" t="b">
        <v>0</v>
      </c>
      <c r="L187" s="9" t="b">
        <v>0</v>
      </c>
      <c r="M187" s="9" t="b">
        <v>0</v>
      </c>
      <c r="N187" s="9" t="b">
        <v>0</v>
      </c>
      <c r="O187" s="9" t="b">
        <v>0</v>
      </c>
      <c r="P187" s="9" t="b">
        <v>1</v>
      </c>
      <c r="Q187" s="9" t="b">
        <v>0</v>
      </c>
      <c r="R187" s="9" t="b">
        <v>1</v>
      </c>
      <c r="S187" s="16">
        <f>COUNTIFS(stableR[q_group],stableR[[#This Row],[q_group]])</f>
        <v>1</v>
      </c>
      <c r="T187" s="9" t="b">
        <v>0</v>
      </c>
      <c r="U187" s="9" t="b">
        <v>0</v>
      </c>
      <c r="V187" s="9" t="b">
        <v>0</v>
      </c>
      <c r="W187" s="9" t="b">
        <v>1</v>
      </c>
      <c r="X187" s="9" t="str">
        <f>_xlfn.TEXTJOIN(", ",TRUE,stableR[[#This Row],[ans_opt_1]:[ans_opt_14]])</f>
        <v>1% to 10% - very little, 11% to 20% - little, 21% to 50% - less than half, 51% to 75% - more than half, 76% to 100% - almost all</v>
      </c>
      <c r="Y187" s="9" t="s">
        <v>421</v>
      </c>
      <c r="Z187" s="9" t="s">
        <v>422</v>
      </c>
      <c r="AA187" s="9" t="s">
        <v>423</v>
      </c>
      <c r="AB187" s="9" t="s">
        <v>340</v>
      </c>
      <c r="AC187" s="9" t="s">
        <v>341</v>
      </c>
      <c r="AM187" s="16" t="b">
        <v>1</v>
      </c>
      <c r="AN187" s="16" t="b">
        <f>COUNTIFS(questions[qno],stableR[[#This Row],[qno]],questions[year_of_survey],2025,questions[origin],"Kenya")&gt;0</f>
        <v>1</v>
      </c>
      <c r="AO187" s="16" t="b">
        <f>COUNTIFS(questions[qno],stableR[[#This Row],[qno]],questions[year_of_survey],2025,questions[origin],"Rwanda")&gt;0</f>
        <v>1</v>
      </c>
      <c r="AP187" s="16" t="b">
        <f>COUNTIFS(questions[qno],stableR[[#This Row],[qno]],questions[year_of_survey],2026,questions[origin],"Burundi")&gt;0</f>
        <v>1</v>
      </c>
      <c r="AQ187" s="16" t="b">
        <f>COUNTIFS(questions[qno],stableR[[#This Row],[qno]],questions[year_of_survey],"",questions[origin],"Indonesia")&gt;0</f>
        <v>1</v>
      </c>
      <c r="AR187" s="16" t="b">
        <f>COUNTIFS(questions[qno],stableR[[#This Row],[qno]],questions[year_of_survey],2025,questions[origin],"Vietnam")&gt;0</f>
        <v>1</v>
      </c>
      <c r="AS187" s="16" t="b">
        <v>1</v>
      </c>
      <c r="AT187" s="16" t="b">
        <v>1</v>
      </c>
    </row>
    <row r="188" spans="1:46" s="211" customFormat="1" x14ac:dyDescent="0.25">
      <c r="A188" s="15" t="str">
        <f>_xlfn.CONCAT(stableR[[#This Row],[group_0_no]:[order_no]])</f>
        <v>7253</v>
      </c>
      <c r="B188" s="15" t="s">
        <v>1312</v>
      </c>
      <c r="C188" s="213" t="s">
        <v>1279</v>
      </c>
      <c r="D188" s="213" t="s">
        <v>1097</v>
      </c>
      <c r="E188" s="213" t="s">
        <v>1103</v>
      </c>
      <c r="F188" s="213" t="s">
        <v>1099</v>
      </c>
      <c r="G188" s="9" t="s">
        <v>1313</v>
      </c>
      <c r="H188" s="9" t="b">
        <v>1</v>
      </c>
      <c r="I188" s="9" t="b">
        <v>1</v>
      </c>
      <c r="J188" s="9" t="b">
        <v>0</v>
      </c>
      <c r="K188" s="9" t="b">
        <v>0</v>
      </c>
      <c r="L188" s="9" t="b">
        <v>0</v>
      </c>
      <c r="M188" s="9" t="b">
        <v>0</v>
      </c>
      <c r="N188" s="9" t="b">
        <v>0</v>
      </c>
      <c r="O188" s="9" t="b">
        <v>0</v>
      </c>
      <c r="P188" s="9" t="b">
        <v>1</v>
      </c>
      <c r="Q188" s="9" t="b">
        <v>0</v>
      </c>
      <c r="R188" s="9" t="b">
        <v>1</v>
      </c>
      <c r="S188" s="16">
        <f>COUNTIFS(stableR[q_group],stableR[[#This Row],[q_group]])</f>
        <v>1</v>
      </c>
      <c r="T188" s="9" t="b">
        <v>0</v>
      </c>
      <c r="U188" s="9" t="b">
        <v>0</v>
      </c>
      <c r="V188" s="9" t="b">
        <v>0</v>
      </c>
      <c r="W188" s="9" t="b">
        <v>1</v>
      </c>
      <c r="X188" s="9" t="str">
        <f>_xlfn.TEXTJOIN(", ",TRUE,stableR[[#This Row],[ans_opt_1]:[ans_opt_14]])</f>
        <v>No, Yes</v>
      </c>
      <c r="Y188" s="9" t="s">
        <v>119</v>
      </c>
      <c r="Z188" s="9" t="s">
        <v>149</v>
      </c>
      <c r="AA188" s="9"/>
      <c r="AB188" s="9"/>
      <c r="AC188" s="9"/>
      <c r="AD188" s="9"/>
      <c r="AE188" s="9"/>
      <c r="AF188" s="9"/>
      <c r="AG188" s="9"/>
      <c r="AH188" s="9"/>
      <c r="AI188" s="9"/>
      <c r="AJ188" s="9"/>
      <c r="AK188" s="9"/>
      <c r="AL188" s="9"/>
      <c r="AM188" s="16" t="b">
        <v>1</v>
      </c>
      <c r="AN188" s="16" t="b">
        <f>COUNTIFS(questions[qno],stableR[[#This Row],[qno]],questions[year_of_survey],2025,questions[origin],"Kenya")&gt;0</f>
        <v>1</v>
      </c>
      <c r="AO188" s="16" t="b">
        <f>COUNTIFS(questions[qno],stableR[[#This Row],[qno]],questions[year_of_survey],2025,questions[origin],"Rwanda")&gt;0</f>
        <v>1</v>
      </c>
      <c r="AP188" s="16" t="b">
        <f>COUNTIFS(questions[qno],stableR[[#This Row],[qno]],questions[year_of_survey],2026,questions[origin],"Burundi")&gt;0</f>
        <v>1</v>
      </c>
      <c r="AQ188" s="16" t="b">
        <f>COUNTIFS(questions[qno],stableR[[#This Row],[qno]],questions[year_of_survey],"",questions[origin],"Indonesia")&gt;0</f>
        <v>1</v>
      </c>
      <c r="AR188" s="16" t="b">
        <f>COUNTIFS(questions[qno],stableR[[#This Row],[qno]],questions[year_of_survey],2025,questions[origin],"Vietnam")&gt;0</f>
        <v>1</v>
      </c>
      <c r="AS188" s="16" t="b">
        <v>1</v>
      </c>
      <c r="AT188" s="16" t="b">
        <v>1</v>
      </c>
    </row>
    <row r="189" spans="1:46" x14ac:dyDescent="0.25">
      <c r="A189" s="15" t="str">
        <f>_xlfn.CONCAT(stableR[[#This Row],[group_0_no]:[order_no]])</f>
        <v>7254</v>
      </c>
      <c r="B189" s="15" t="s">
        <v>427</v>
      </c>
      <c r="C189" s="213" t="s">
        <v>1279</v>
      </c>
      <c r="D189" s="213" t="s">
        <v>1097</v>
      </c>
      <c r="E189" s="213" t="s">
        <v>1103</v>
      </c>
      <c r="F189" s="213" t="s">
        <v>1101</v>
      </c>
      <c r="G189" s="9" t="s">
        <v>1314</v>
      </c>
      <c r="H189" s="9" t="b">
        <v>1</v>
      </c>
      <c r="I189" s="9" t="b">
        <v>1</v>
      </c>
      <c r="J189" s="9" t="b">
        <v>0</v>
      </c>
      <c r="K189" s="9" t="b">
        <v>0</v>
      </c>
      <c r="L189" s="9" t="b">
        <v>1</v>
      </c>
      <c r="M189" s="9" t="b">
        <v>0</v>
      </c>
      <c r="N189" s="9" t="b">
        <v>0</v>
      </c>
      <c r="O189" s="9" t="b">
        <v>0</v>
      </c>
      <c r="P189" s="9" t="b">
        <v>1</v>
      </c>
      <c r="Q189" s="9" t="b">
        <v>0</v>
      </c>
      <c r="R189" s="9" t="b">
        <v>1</v>
      </c>
      <c r="S189" s="16">
        <f>COUNTIFS(stableR[q_group],stableR[[#This Row],[q_group]])</f>
        <v>1</v>
      </c>
      <c r="T189" s="9" t="b">
        <v>0</v>
      </c>
      <c r="U189" s="9" t="b">
        <v>0</v>
      </c>
      <c r="V189" s="9" t="b">
        <v>0</v>
      </c>
      <c r="W189" s="9" t="b">
        <v>1</v>
      </c>
      <c r="X189" s="9" t="str">
        <f>_xlfn.TEXTJOIN(", ",TRUE,stableR[[#This Row],[ans_opt_1]:[ans_opt_14]])</f>
        <v>Manual removal, Mechanical removal, Mulching, Cover crops, Cover crops, Amix of different systems</v>
      </c>
      <c r="Y189" s="9" t="s">
        <v>428</v>
      </c>
      <c r="Z189" s="9" t="s">
        <v>429</v>
      </c>
      <c r="AA189" s="9" t="s">
        <v>430</v>
      </c>
      <c r="AB189" s="9" t="s">
        <v>431</v>
      </c>
      <c r="AC189" s="9" t="s">
        <v>431</v>
      </c>
      <c r="AD189" s="9" t="s">
        <v>806</v>
      </c>
      <c r="AM189" s="16" t="b">
        <v>1</v>
      </c>
      <c r="AN189" s="16" t="b">
        <v>1</v>
      </c>
      <c r="AO189" s="16" t="b">
        <v>1</v>
      </c>
      <c r="AP189" s="16" t="b">
        <v>1</v>
      </c>
      <c r="AQ189" s="16" t="b">
        <v>1</v>
      </c>
      <c r="AR189" s="16" t="b">
        <v>1</v>
      </c>
      <c r="AS189" s="16" t="b">
        <v>1</v>
      </c>
      <c r="AT189" s="16" t="b">
        <v>1</v>
      </c>
    </row>
    <row r="190" spans="1:46" x14ac:dyDescent="0.25">
      <c r="A190" s="15" t="str">
        <f>_xlfn.CONCAT(stableR[[#This Row],[group_0_no]:[order_no]])</f>
        <v>7300</v>
      </c>
      <c r="B190" s="15" t="s">
        <v>1011</v>
      </c>
      <c r="C190" s="213" t="s">
        <v>1279</v>
      </c>
      <c r="D190" s="213" t="s">
        <v>1099</v>
      </c>
      <c r="E190" s="213" t="s">
        <v>1094</v>
      </c>
      <c r="F190" s="213" t="s">
        <v>1094</v>
      </c>
      <c r="G190" s="9" t="s">
        <v>1315</v>
      </c>
      <c r="H190" s="9" t="b">
        <v>1</v>
      </c>
      <c r="I190" s="9" t="b">
        <v>1</v>
      </c>
      <c r="J190" s="9" t="b">
        <v>0</v>
      </c>
      <c r="K190" s="9" t="b">
        <v>0</v>
      </c>
      <c r="L190" s="9" t="b">
        <v>1</v>
      </c>
      <c r="M190" s="9" t="b">
        <v>0</v>
      </c>
      <c r="N190" s="9" t="b">
        <v>0</v>
      </c>
      <c r="O190" s="9" t="b">
        <v>0</v>
      </c>
      <c r="P190" s="9" t="b">
        <v>1</v>
      </c>
      <c r="Q190" s="9" t="b">
        <v>0</v>
      </c>
      <c r="R190" s="9" t="b">
        <v>0</v>
      </c>
      <c r="S190" s="16">
        <f>COUNTIFS(stableR[q_group],stableR[[#This Row],[q_group]])</f>
        <v>1</v>
      </c>
      <c r="T190" s="9" t="b">
        <v>0</v>
      </c>
      <c r="U190" s="9" t="b">
        <v>0</v>
      </c>
      <c r="V190" s="9" t="b">
        <v>0</v>
      </c>
      <c r="W190" s="9" t="b">
        <v>1</v>
      </c>
      <c r="X190" s="9" t="str">
        <f>_xlfn.TEXTJOIN(", ",TRUE,stableR[[#This Row],[ans_opt_1]:[ans_opt_14]])</f>
        <v>No, Yes / drip irrigation, Yes / minisprinkler irrigation, Yes / overhead irrigation (sprinklers, pivot, rain gun), Yes / flood-furrow-hose pipe irrigation</v>
      </c>
      <c r="Y190" s="9" t="s">
        <v>119</v>
      </c>
      <c r="Z190" s="9" t="s">
        <v>435</v>
      </c>
      <c r="AA190" s="9" t="s">
        <v>436</v>
      </c>
      <c r="AB190" s="9" t="s">
        <v>437</v>
      </c>
      <c r="AC190" s="9" t="s">
        <v>438</v>
      </c>
      <c r="AM190" s="16" t="b">
        <v>1</v>
      </c>
      <c r="AN190" s="16" t="b">
        <f>COUNTIFS(questions[qno],stableR[[#This Row],[qno]],questions[year_of_survey],2025,questions[origin],"Kenya")&gt;0</f>
        <v>1</v>
      </c>
      <c r="AO190" s="16" t="b">
        <f>COUNTIFS(questions[qno],stableR[[#This Row],[qno]],questions[year_of_survey],2025,questions[origin],"Rwanda")&gt;0</f>
        <v>1</v>
      </c>
      <c r="AP190" s="16" t="b">
        <f>COUNTIFS(questions[qno],stableR[[#This Row],[qno]],questions[year_of_survey],2026,questions[origin],"Burundi")&gt;0</f>
        <v>1</v>
      </c>
      <c r="AQ190" s="16" t="b">
        <f>COUNTIFS(questions[qno],stableR[[#This Row],[qno]],questions[year_of_survey],"",questions[origin],"Indonesia")&gt;0</f>
        <v>1</v>
      </c>
      <c r="AR190" s="16" t="b">
        <f>COUNTIFS(questions[qno],stableR[[#This Row],[qno]],questions[year_of_survey],2025,questions[origin],"Vietnam")&gt;0</f>
        <v>1</v>
      </c>
      <c r="AS190" s="16" t="b">
        <v>1</v>
      </c>
      <c r="AT190" s="16" t="b">
        <v>1</v>
      </c>
    </row>
    <row r="191" spans="1:46" x14ac:dyDescent="0.25">
      <c r="A191" s="15" t="str">
        <f>_xlfn.CONCAT(stableR[[#This Row],[group_0_no]:[order_no]])</f>
        <v>7301</v>
      </c>
      <c r="B191" s="15" t="s">
        <v>440</v>
      </c>
      <c r="C191" s="213" t="s">
        <v>1279</v>
      </c>
      <c r="D191" s="213" t="s">
        <v>1099</v>
      </c>
      <c r="E191" s="213" t="s">
        <v>1094</v>
      </c>
      <c r="F191" s="213" t="s">
        <v>1093</v>
      </c>
      <c r="G191" s="9" t="s">
        <v>1316</v>
      </c>
      <c r="H191" s="9" t="b">
        <v>1</v>
      </c>
      <c r="I191" s="9" t="b">
        <v>1</v>
      </c>
      <c r="J191" s="9" t="b">
        <v>0</v>
      </c>
      <c r="K191" s="9" t="b">
        <v>0</v>
      </c>
      <c r="L191" s="9" t="b">
        <v>0</v>
      </c>
      <c r="M191" s="9" t="b">
        <v>0</v>
      </c>
      <c r="N191" s="9" t="b">
        <v>0</v>
      </c>
      <c r="O191" s="9" t="b">
        <v>0</v>
      </c>
      <c r="P191" s="9" t="b">
        <v>1</v>
      </c>
      <c r="Q191" s="9" t="b">
        <v>0</v>
      </c>
      <c r="R191" s="9" t="b">
        <v>0</v>
      </c>
      <c r="S191" s="16">
        <f>COUNTIFS(stableR[q_group],stableR[[#This Row],[q_group]])</f>
        <v>1</v>
      </c>
      <c r="T191" s="9" t="b">
        <v>0</v>
      </c>
      <c r="U191" s="9" t="b">
        <v>0</v>
      </c>
      <c r="V191" s="9" t="b">
        <v>0</v>
      </c>
      <c r="W191" s="9" t="b">
        <v>1</v>
      </c>
      <c r="X191" s="9" t="str">
        <f>_xlfn.TEXTJOIN(", ",TRUE,stableR[[#This Row],[ans_opt_1]:[ans_opt_14]])</f>
        <v>No, Yes</v>
      </c>
      <c r="Y191" s="9" t="s">
        <v>119</v>
      </c>
      <c r="Z191" s="9" t="s">
        <v>149</v>
      </c>
      <c r="AM191" s="16" t="b">
        <v>1</v>
      </c>
      <c r="AN191" s="16" t="b">
        <f>COUNTIFS(questions[qno],stableR[[#This Row],[qno]],questions[year_of_survey],2025,questions[origin],"Kenya")&gt;0</f>
        <v>1</v>
      </c>
      <c r="AO191" s="16" t="b">
        <f>COUNTIFS(questions[qno],stableR[[#This Row],[qno]],questions[year_of_survey],2025,questions[origin],"Rwanda")&gt;0</f>
        <v>1</v>
      </c>
      <c r="AP191" s="16" t="b">
        <f>COUNTIFS(questions[qno],stableR[[#This Row],[qno]],questions[year_of_survey],2026,questions[origin],"Burundi")&gt;0</f>
        <v>1</v>
      </c>
      <c r="AQ191" s="16" t="b">
        <f>COUNTIFS(questions[qno],stableR[[#This Row],[qno]],questions[year_of_survey],"",questions[origin],"Indonesia")&gt;0</f>
        <v>1</v>
      </c>
      <c r="AR191" s="16" t="b">
        <f>COUNTIFS(questions[qno],stableR[[#This Row],[qno]],questions[year_of_survey],2025,questions[origin],"Vietnam")&gt;0</f>
        <v>1</v>
      </c>
      <c r="AS191" s="16" t="b">
        <v>1</v>
      </c>
      <c r="AT191" s="16" t="b">
        <v>1</v>
      </c>
    </row>
    <row r="192" spans="1:46" x14ac:dyDescent="0.25">
      <c r="A192" s="15" t="str">
        <f>_xlfn.CONCAT(stableR[[#This Row],[group_0_no]:[order_no]])</f>
        <v>7400</v>
      </c>
      <c r="B192" s="15" t="s">
        <v>1012</v>
      </c>
      <c r="C192" s="213" t="s">
        <v>1279</v>
      </c>
      <c r="D192" s="213" t="s">
        <v>1101</v>
      </c>
      <c r="E192" s="213" t="s">
        <v>1094</v>
      </c>
      <c r="F192" s="213" t="s">
        <v>1094</v>
      </c>
      <c r="G192" s="9" t="s">
        <v>1317</v>
      </c>
      <c r="H192" s="9" t="b">
        <v>1</v>
      </c>
      <c r="I192" s="9" t="b">
        <v>1</v>
      </c>
      <c r="J192" s="9" t="b">
        <v>0</v>
      </c>
      <c r="K192" s="9" t="b">
        <v>0</v>
      </c>
      <c r="L192" s="9" t="b">
        <v>1</v>
      </c>
      <c r="M192" s="9" t="b">
        <v>0</v>
      </c>
      <c r="N192" s="9" t="b">
        <v>0</v>
      </c>
      <c r="O192" s="9" t="b">
        <v>0</v>
      </c>
      <c r="P192" s="9" t="b">
        <v>1</v>
      </c>
      <c r="Q192" s="9" t="b">
        <v>0</v>
      </c>
      <c r="R192" s="9" t="b">
        <v>1</v>
      </c>
      <c r="S192" s="16">
        <f>COUNTIFS(stableR[q_group],stableR[[#This Row],[q_group]])</f>
        <v>1</v>
      </c>
      <c r="T192" s="9" t="b">
        <v>0</v>
      </c>
      <c r="U192" s="9" t="b">
        <v>0</v>
      </c>
      <c r="V192" s="9" t="b">
        <v>0</v>
      </c>
      <c r="W192" s="9" t="b">
        <v>1</v>
      </c>
      <c r="X192" s="9" t="str">
        <f>_xlfn.TEXTJOIN(", ",TRUE,stableR[[#This Row],[ans_opt_1]:[ans_opt_14]])</f>
        <v>No, Yes</v>
      </c>
      <c r="Y192" s="9" t="s">
        <v>119</v>
      </c>
      <c r="Z192" s="9" t="s">
        <v>149</v>
      </c>
      <c r="AM192" s="16" t="b">
        <v>1</v>
      </c>
      <c r="AN192" s="16" t="b">
        <f>COUNTIFS(questions[qno],stableR[[#This Row],[qno]],questions[year_of_survey],2025,questions[origin],"Kenya")&gt;0</f>
        <v>1</v>
      </c>
      <c r="AO192" s="16" t="b">
        <f>COUNTIFS(questions[qno],stableR[[#This Row],[qno]],questions[year_of_survey],2025,questions[origin],"Rwanda")&gt;0</f>
        <v>1</v>
      </c>
      <c r="AP192" s="16" t="b">
        <f>COUNTIFS(questions[qno],stableR[[#This Row],[qno]],questions[year_of_survey],2026,questions[origin],"Burundi")&gt;0</f>
        <v>1</v>
      </c>
      <c r="AQ192" s="16" t="b">
        <f>COUNTIFS(questions[qno],stableR[[#This Row],[qno]],questions[year_of_survey],"",questions[origin],"Indonesia")&gt;0</f>
        <v>1</v>
      </c>
      <c r="AR192" s="16" t="b">
        <f>COUNTIFS(questions[qno],stableR[[#This Row],[qno]],questions[year_of_survey],2025,questions[origin],"Vietnam")&gt;0</f>
        <v>1</v>
      </c>
      <c r="AS192" s="16" t="b">
        <v>1</v>
      </c>
      <c r="AT192" s="16" t="b">
        <v>1</v>
      </c>
    </row>
    <row r="193" spans="1:46" s="22" customFormat="1" x14ac:dyDescent="0.25">
      <c r="A193" s="21" t="str">
        <f>_xlfn.CONCAT(stableR[[#This Row],[group_0_no]:[order_no]])</f>
        <v>7401</v>
      </c>
      <c r="B193" s="21" t="s">
        <v>444</v>
      </c>
      <c r="C193" s="232" t="s">
        <v>1279</v>
      </c>
      <c r="D193" s="232" t="s">
        <v>1101</v>
      </c>
      <c r="E193" s="232" t="s">
        <v>1094</v>
      </c>
      <c r="F193" s="232" t="s">
        <v>1093</v>
      </c>
      <c r="G193" s="22" t="s">
        <v>1318</v>
      </c>
      <c r="H193" s="22" t="b">
        <v>1</v>
      </c>
      <c r="I193" s="22" t="b">
        <v>1</v>
      </c>
      <c r="J193" s="22" t="b">
        <v>0</v>
      </c>
      <c r="K193" s="22" t="b">
        <v>0</v>
      </c>
      <c r="L193" s="22" t="b">
        <v>0</v>
      </c>
      <c r="M193" s="22" t="b">
        <v>0</v>
      </c>
      <c r="N193" s="22" t="b">
        <v>0</v>
      </c>
      <c r="O193" s="22" t="b">
        <v>0</v>
      </c>
      <c r="P193" s="22" t="b">
        <v>1</v>
      </c>
      <c r="Q193" s="22" t="b">
        <v>0</v>
      </c>
      <c r="R193" s="22" t="b">
        <v>1</v>
      </c>
      <c r="S193" s="29">
        <f>COUNTIFS(stableR[q_group],stableR[[#This Row],[q_group]])</f>
        <v>1</v>
      </c>
      <c r="T193" s="22" t="b">
        <v>0</v>
      </c>
      <c r="U193" s="22" t="b">
        <v>0</v>
      </c>
      <c r="V193" s="22" t="b">
        <v>0</v>
      </c>
      <c r="W193" s="22" t="b">
        <v>1</v>
      </c>
      <c r="X193" s="22" t="str">
        <f>_xlfn.TEXTJOIN(", ",TRUE,stableR[[#This Row],[ans_opt_1]:[ans_opt_14]])</f>
        <v>1% to 10% - very little, 11% to 20% - little, 21% to 50% - less than half, 51% to 75% - more than half, 76% to 100% - almost all</v>
      </c>
      <c r="Y193" s="22" t="s">
        <v>421</v>
      </c>
      <c r="Z193" s="22" t="s">
        <v>422</v>
      </c>
      <c r="AA193" s="22" t="s">
        <v>423</v>
      </c>
      <c r="AB193" s="22" t="s">
        <v>340</v>
      </c>
      <c r="AC193" s="22" t="s">
        <v>341</v>
      </c>
      <c r="AM193" s="29" t="b">
        <v>1</v>
      </c>
      <c r="AN193" s="29" t="b">
        <f>COUNTIFS(questions[qno],stableR[[#This Row],[qno]],questions[year_of_survey],2025,questions[origin],"Kenya")&gt;0</f>
        <v>1</v>
      </c>
      <c r="AO193" s="29" t="b">
        <f>COUNTIFS(questions[qno],stableR[[#This Row],[qno]],questions[year_of_survey],2025,questions[origin],"Rwanda")&gt;0</f>
        <v>1</v>
      </c>
      <c r="AP193" s="29" t="b">
        <f>COUNTIFS(questions[qno],stableR[[#This Row],[qno]],questions[year_of_survey],2026,questions[origin],"Burundi")&gt;0</f>
        <v>1</v>
      </c>
      <c r="AQ193" s="29" t="b">
        <f>COUNTIFS(questions[qno],stableR[[#This Row],[qno]],questions[year_of_survey],"",questions[origin],"Indonesia")&gt;0</f>
        <v>1</v>
      </c>
      <c r="AR193" s="29" t="b">
        <f>COUNTIFS(questions[qno],stableR[[#This Row],[qno]],questions[year_of_survey],2025,questions[origin],"Vietnam")&gt;0</f>
        <v>1</v>
      </c>
      <c r="AS193" s="29" t="b">
        <v>1</v>
      </c>
      <c r="AT193" s="29" t="b">
        <v>1</v>
      </c>
    </row>
    <row r="194" spans="1:46" x14ac:dyDescent="0.25">
      <c r="A194" s="15" t="str">
        <f>_xlfn.CONCAT(stableR[[#This Row],[group_0_no]:[order_no]])</f>
        <v>7402</v>
      </c>
      <c r="B194" s="15" t="s">
        <v>446</v>
      </c>
      <c r="C194" s="213" t="s">
        <v>1279</v>
      </c>
      <c r="D194" s="213" t="s">
        <v>1101</v>
      </c>
      <c r="E194" s="213" t="s">
        <v>1094</v>
      </c>
      <c r="F194" s="213" t="s">
        <v>1097</v>
      </c>
      <c r="G194" s="9" t="s">
        <v>1319</v>
      </c>
      <c r="H194" s="9" t="b">
        <v>1</v>
      </c>
      <c r="I194" s="9" t="b">
        <v>1</v>
      </c>
      <c r="J194" s="9" t="b">
        <v>0</v>
      </c>
      <c r="K194" s="9" t="b">
        <v>0</v>
      </c>
      <c r="L194" s="9" t="b">
        <v>0</v>
      </c>
      <c r="M194" s="9" t="b">
        <v>0</v>
      </c>
      <c r="N194" s="9" t="b">
        <v>0</v>
      </c>
      <c r="O194" s="9" t="b">
        <v>0</v>
      </c>
      <c r="P194" s="9" t="b">
        <v>1</v>
      </c>
      <c r="Q194" s="9" t="b">
        <v>0</v>
      </c>
      <c r="R194" s="9" t="b">
        <v>1</v>
      </c>
      <c r="S194" s="16">
        <f>COUNTIFS(stableR[q_group],stableR[[#This Row],[q_group]])</f>
        <v>1</v>
      </c>
      <c r="T194" s="9" t="b">
        <v>0</v>
      </c>
      <c r="U194" s="9" t="b">
        <v>0</v>
      </c>
      <c r="V194" s="9" t="b">
        <v>0</v>
      </c>
      <c r="W194" s="9" t="b">
        <v>1</v>
      </c>
      <c r="X194" s="9" t="str">
        <f>_xlfn.TEXTJOIN(", ",TRUE,stableR[[#This Row],[ans_opt_1]:[ans_opt_14]])</f>
        <v>full stumping, partial stumping, capping, side pruning, capping and side prunning, uprooting and planting new trees</v>
      </c>
      <c r="Y194" s="9" t="s">
        <v>447</v>
      </c>
      <c r="Z194" s="9" t="s">
        <v>448</v>
      </c>
      <c r="AA194" s="9" t="s">
        <v>449</v>
      </c>
      <c r="AB194" s="9" t="s">
        <v>450</v>
      </c>
      <c r="AC194" s="9" t="s">
        <v>451</v>
      </c>
      <c r="AD194" s="9" t="s">
        <v>452</v>
      </c>
      <c r="AM194" s="16" t="b">
        <v>1</v>
      </c>
      <c r="AN194" s="16" t="b">
        <f>COUNTIFS(questions[qno],stableR[[#This Row],[qno]],questions[year_of_survey],2025,questions[origin],"Kenya")&gt;0</f>
        <v>1</v>
      </c>
      <c r="AO194" s="16" t="b">
        <f>COUNTIFS(questions[qno],stableR[[#This Row],[qno]],questions[year_of_survey],2025,questions[origin],"Rwanda")&gt;0</f>
        <v>1</v>
      </c>
      <c r="AP194" s="16" t="b">
        <f>COUNTIFS(questions[qno],stableR[[#This Row],[qno]],questions[year_of_survey],2026,questions[origin],"Burundi")&gt;0</f>
        <v>1</v>
      </c>
      <c r="AQ194" s="16" t="b">
        <f>COUNTIFS(questions[qno],stableR[[#This Row],[qno]],questions[year_of_survey],"",questions[origin],"Indonesia")&gt;0</f>
        <v>1</v>
      </c>
      <c r="AR194" s="16" t="b">
        <f>COUNTIFS(questions[qno],stableR[[#This Row],[qno]],questions[year_of_survey],2025,questions[origin],"Vietnam")&gt;0</f>
        <v>1</v>
      </c>
      <c r="AS194" s="16" t="b">
        <v>1</v>
      </c>
      <c r="AT194" s="16" t="b">
        <v>1</v>
      </c>
    </row>
    <row r="195" spans="1:46" x14ac:dyDescent="0.25">
      <c r="A195" s="15" t="str">
        <f>_xlfn.CONCAT(stableR[[#This Row],[group_0_no]:[order_no]])</f>
        <v>7410</v>
      </c>
      <c r="B195" s="15" t="s">
        <v>454</v>
      </c>
      <c r="C195" s="213" t="s">
        <v>1279</v>
      </c>
      <c r="D195" s="213" t="s">
        <v>1101</v>
      </c>
      <c r="E195" s="213" t="s">
        <v>1093</v>
      </c>
      <c r="F195" s="213" t="s">
        <v>1094</v>
      </c>
      <c r="G195" s="9" t="s">
        <v>1320</v>
      </c>
      <c r="H195" s="9" t="b">
        <v>1</v>
      </c>
      <c r="I195" s="9" t="b">
        <v>1</v>
      </c>
      <c r="J195" s="9" t="b">
        <v>0</v>
      </c>
      <c r="K195" s="9" t="b">
        <v>0</v>
      </c>
      <c r="L195" s="9" t="b">
        <v>1</v>
      </c>
      <c r="M195" s="9" t="b">
        <v>0</v>
      </c>
      <c r="N195" s="9" t="b">
        <v>0</v>
      </c>
      <c r="O195" s="9" t="b">
        <v>0</v>
      </c>
      <c r="P195" s="9" t="b">
        <v>1</v>
      </c>
      <c r="Q195" s="9" t="b">
        <v>0</v>
      </c>
      <c r="R195" s="9" t="b">
        <v>1</v>
      </c>
      <c r="S195" s="16">
        <f>COUNTIFS(stableR[q_group],stableR[[#This Row],[q_group]])</f>
        <v>1</v>
      </c>
      <c r="T195" s="9" t="b">
        <v>0</v>
      </c>
      <c r="U195" s="9" t="b">
        <v>0</v>
      </c>
      <c r="V195" s="9" t="b">
        <v>0</v>
      </c>
      <c r="W195" s="9" t="b">
        <v>1</v>
      </c>
      <c r="X195" s="9" t="str">
        <f>_xlfn.TEXTJOIN(", ",TRUE,stableR[[#This Row],[ans_opt_1]:[ans_opt_14]])</f>
        <v>1, 2, 3, 4, 5, &gt;5</v>
      </c>
      <c r="Y195" s="9">
        <v>1</v>
      </c>
      <c r="Z195" s="9">
        <v>2</v>
      </c>
      <c r="AA195" s="9">
        <v>3</v>
      </c>
      <c r="AB195" s="9">
        <v>4</v>
      </c>
      <c r="AC195" s="9">
        <v>5</v>
      </c>
      <c r="AD195" s="9" t="s">
        <v>404</v>
      </c>
      <c r="AM195" s="16" t="b">
        <v>1</v>
      </c>
      <c r="AN195" s="16" t="b">
        <f>COUNTIFS(questions[qno],stableR[[#This Row],[qno]],questions[year_of_survey],2025,questions[origin],"Kenya")&gt;0</f>
        <v>1</v>
      </c>
      <c r="AO195" s="16" t="b">
        <f>COUNTIFS(questions[qno],stableR[[#This Row],[qno]],questions[year_of_survey],2025,questions[origin],"Rwanda")&gt;0</f>
        <v>1</v>
      </c>
      <c r="AP195" s="16" t="b">
        <f>COUNTIFS(questions[qno],stableR[[#This Row],[qno]],questions[year_of_survey],2026,questions[origin],"Burundi")&gt;0</f>
        <v>1</v>
      </c>
      <c r="AQ195" s="16" t="b">
        <f>COUNTIFS(questions[qno],stableR[[#This Row],[qno]],questions[year_of_survey],"",questions[origin],"Indonesia")&gt;0</f>
        <v>1</v>
      </c>
      <c r="AR195" s="16" t="b">
        <f>COUNTIFS(questions[qno],stableR[[#This Row],[qno]],questions[year_of_survey],2025,questions[origin],"Vietnam")&gt;0</f>
        <v>1</v>
      </c>
      <c r="AS195" s="16" t="b">
        <v>1</v>
      </c>
      <c r="AT195" s="16" t="b">
        <v>1</v>
      </c>
    </row>
    <row r="196" spans="1:46" x14ac:dyDescent="0.25">
      <c r="A196" s="15" t="str">
        <f>_xlfn.CONCAT(stableR[[#This Row],[group_0_no]:[order_no]])</f>
        <v>7411</v>
      </c>
      <c r="B196" s="15" t="s">
        <v>1024</v>
      </c>
      <c r="C196" s="213" t="s">
        <v>1279</v>
      </c>
      <c r="D196" s="213" t="s">
        <v>1101</v>
      </c>
      <c r="E196" s="213" t="s">
        <v>1093</v>
      </c>
      <c r="F196" s="213" t="s">
        <v>1093</v>
      </c>
      <c r="G196" s="9" t="s">
        <v>1321</v>
      </c>
      <c r="H196" s="9" t="b">
        <v>1</v>
      </c>
      <c r="I196" s="9" t="b">
        <v>1</v>
      </c>
      <c r="J196" s="9" t="b">
        <v>0</v>
      </c>
      <c r="K196" s="9" t="b">
        <v>0</v>
      </c>
      <c r="L196" s="9" t="b">
        <v>1</v>
      </c>
      <c r="M196" s="9" t="b">
        <v>0</v>
      </c>
      <c r="N196" s="9" t="b">
        <v>0</v>
      </c>
      <c r="O196" s="9" t="b">
        <v>0</v>
      </c>
      <c r="P196" s="9" t="b">
        <v>1</v>
      </c>
      <c r="Q196" s="9" t="b">
        <v>0</v>
      </c>
      <c r="R196" s="9" t="b">
        <v>1</v>
      </c>
      <c r="S196" s="16">
        <f>COUNTIFS(stableR[q_group],stableR[[#This Row],[q_group]])</f>
        <v>1</v>
      </c>
      <c r="T196" s="9" t="b">
        <v>0</v>
      </c>
      <c r="U196" s="9" t="b">
        <v>0</v>
      </c>
      <c r="V196" s="9" t="b">
        <v>0</v>
      </c>
      <c r="W196" s="9" t="b">
        <v>1</v>
      </c>
      <c r="X196" s="9" t="str">
        <f>_xlfn.TEXTJOIN(", ",TRUE,stableR[[#This Row],[ans_opt_1]:[ans_opt_14]])</f>
        <v>1% to 25% - little to a quarter, 26% to 50% - less than half, 51% to 75% - more than half, 76% to 100% - almost all</v>
      </c>
      <c r="Y196" s="9" t="s">
        <v>338</v>
      </c>
      <c r="Z196" s="9" t="s">
        <v>339</v>
      </c>
      <c r="AA196" s="9" t="s">
        <v>340</v>
      </c>
      <c r="AB196" s="9" t="s">
        <v>341</v>
      </c>
      <c r="AM196" s="16" t="b">
        <v>1</v>
      </c>
      <c r="AN196" s="16" t="b">
        <f>COUNTIFS(questions[qno],stableR[[#This Row],[qno]],questions[year_of_survey],2025,questions[origin],"Kenya")&gt;0</f>
        <v>1</v>
      </c>
      <c r="AO196" s="16" t="b">
        <f>COUNTIFS(questions[qno],stableR[[#This Row],[qno]],questions[year_of_survey],2025,questions[origin],"Rwanda")&gt;0</f>
        <v>1</v>
      </c>
      <c r="AP196" s="16" t="b">
        <f>COUNTIFS(questions[qno],stableR[[#This Row],[qno]],questions[year_of_survey],2026,questions[origin],"Burundi")&gt;0</f>
        <v>1</v>
      </c>
      <c r="AQ196" s="16" t="b">
        <f>COUNTIFS(questions[qno],stableR[[#This Row],[qno]],questions[year_of_survey],"",questions[origin],"Indonesia")&gt;0</f>
        <v>1</v>
      </c>
      <c r="AR196" s="16" t="b">
        <f>COUNTIFS(questions[qno],stableR[[#This Row],[qno]],questions[year_of_survey],2025,questions[origin],"Vietnam")&gt;0</f>
        <v>1</v>
      </c>
      <c r="AS196" s="16" t="b">
        <v>1</v>
      </c>
      <c r="AT196" s="16" t="b">
        <v>1</v>
      </c>
    </row>
    <row r="197" spans="1:46" x14ac:dyDescent="0.25">
      <c r="A197" s="15" t="str">
        <f>_xlfn.CONCAT(stableR[[#This Row],[group_0_no]:[order_no]])</f>
        <v>7412</v>
      </c>
      <c r="B197" s="15" t="s">
        <v>458</v>
      </c>
      <c r="C197" s="213" t="s">
        <v>1279</v>
      </c>
      <c r="D197" s="213" t="s">
        <v>1101</v>
      </c>
      <c r="E197" s="213" t="s">
        <v>1093</v>
      </c>
      <c r="F197" s="213" t="s">
        <v>1097</v>
      </c>
      <c r="G197" s="9" t="s">
        <v>1322</v>
      </c>
      <c r="H197" s="9" t="b">
        <v>1</v>
      </c>
      <c r="I197" s="9" t="b">
        <v>1</v>
      </c>
      <c r="J197" s="9" t="b">
        <v>0</v>
      </c>
      <c r="K197" s="9" t="b">
        <v>0</v>
      </c>
      <c r="L197" s="9" t="b">
        <v>0</v>
      </c>
      <c r="M197" s="9" t="b">
        <v>0</v>
      </c>
      <c r="N197" s="9" t="b">
        <v>0</v>
      </c>
      <c r="O197" s="9" t="b">
        <v>0</v>
      </c>
      <c r="P197" s="9" t="b">
        <v>1</v>
      </c>
      <c r="Q197" s="9" t="b">
        <v>0</v>
      </c>
      <c r="R197" s="9" t="b">
        <v>1</v>
      </c>
      <c r="S197" s="16">
        <f>COUNTIFS(stableR[q_group],stableR[[#This Row],[q_group]])</f>
        <v>1</v>
      </c>
      <c r="T197" s="9" t="b">
        <v>0</v>
      </c>
      <c r="U197" s="9" t="b">
        <v>0</v>
      </c>
      <c r="V197" s="9" t="b">
        <v>0</v>
      </c>
      <c r="W197" s="9" t="b">
        <v>1</v>
      </c>
      <c r="X197" s="9" t="str">
        <f>_xlfn.TEXTJOIN(", ",TRUE,stableR[[#This Row],[ans_opt_1]:[ans_opt_14]])</f>
        <v>1-5 years, 6-10 years, 11-15 years, 15-20 years, 20-30 years, &gt;30 years</v>
      </c>
      <c r="Y197" s="9" t="s">
        <v>459</v>
      </c>
      <c r="Z197" s="9" t="s">
        <v>460</v>
      </c>
      <c r="AA197" s="9" t="s">
        <v>461</v>
      </c>
      <c r="AB197" s="9" t="s">
        <v>462</v>
      </c>
      <c r="AC197" s="9" t="s">
        <v>463</v>
      </c>
      <c r="AD197" s="9" t="s">
        <v>464</v>
      </c>
      <c r="AM197" s="16" t="b">
        <v>1</v>
      </c>
      <c r="AN197" s="16" t="b">
        <f>COUNTIFS(questions[qno],stableR[[#This Row],[qno]],questions[year_of_survey],2025,questions[origin],"Kenya")&gt;0</f>
        <v>1</v>
      </c>
      <c r="AO197" s="16" t="b">
        <f>COUNTIFS(questions[qno],stableR[[#This Row],[qno]],questions[year_of_survey],2025,questions[origin],"Rwanda")&gt;0</f>
        <v>1</v>
      </c>
      <c r="AP197" s="16" t="b">
        <f>COUNTIFS(questions[qno],stableR[[#This Row],[qno]],questions[year_of_survey],2026,questions[origin],"Burundi")&gt;0</f>
        <v>1</v>
      </c>
      <c r="AQ197" s="16" t="b">
        <f>COUNTIFS(questions[qno],stableR[[#This Row],[qno]],questions[year_of_survey],"",questions[origin],"Indonesia")&gt;0</f>
        <v>1</v>
      </c>
      <c r="AR197" s="16" t="b">
        <f>COUNTIFS(questions[qno],stableR[[#This Row],[qno]],questions[year_of_survey],2025,questions[origin],"Vietnam")&gt;0</f>
        <v>1</v>
      </c>
      <c r="AS197" s="16" t="b">
        <v>1</v>
      </c>
      <c r="AT197" s="16" t="b">
        <v>1</v>
      </c>
    </row>
    <row r="198" spans="1:46" x14ac:dyDescent="0.25">
      <c r="A198" s="15" t="str">
        <f>_xlfn.CONCAT(stableR[[#This Row],[group_0_no]:[order_no]])</f>
        <v>7500</v>
      </c>
      <c r="B198" s="15" t="s">
        <v>1055</v>
      </c>
      <c r="C198" s="213" t="s">
        <v>1279</v>
      </c>
      <c r="D198" s="213" t="s">
        <v>1103</v>
      </c>
      <c r="E198" s="213" t="s">
        <v>1094</v>
      </c>
      <c r="F198" s="213" t="s">
        <v>1094</v>
      </c>
      <c r="G198" s="9" t="s">
        <v>1323</v>
      </c>
      <c r="H198" s="9" t="b">
        <v>1</v>
      </c>
      <c r="I198" s="9" t="b">
        <v>0</v>
      </c>
      <c r="J198" s="9" t="b">
        <v>1</v>
      </c>
      <c r="K198" s="9" t="b">
        <v>0</v>
      </c>
      <c r="L198" s="9" t="b">
        <v>1</v>
      </c>
      <c r="M198" s="9" t="b">
        <v>0</v>
      </c>
      <c r="N198" s="9" t="b">
        <v>0</v>
      </c>
      <c r="O198" s="9" t="b">
        <v>0</v>
      </c>
      <c r="P198" s="9" t="b">
        <v>1</v>
      </c>
      <c r="Q198" s="9" t="b">
        <v>0</v>
      </c>
      <c r="R198" s="9" t="b">
        <v>1</v>
      </c>
      <c r="S198" s="16">
        <f>COUNTIFS(stableR[q_group],stableR[[#This Row],[q_group]])</f>
        <v>1</v>
      </c>
      <c r="T198" s="9" t="b">
        <v>0</v>
      </c>
      <c r="U198" s="9" t="b">
        <v>0</v>
      </c>
      <c r="V198" s="9" t="b">
        <v>0</v>
      </c>
      <c r="W198" s="9" t="b">
        <v>1</v>
      </c>
      <c r="X198" s="9" t="str">
        <f>_xlfn.TEXTJOIN(", ",TRUE,stableR[[#This Row],[ans_opt_1]:[ans_opt_14]])</f>
        <v>No, Yes - forest shade trees, Yes - fruit trees, Yes - mix of forest shade trees and fruit trees</v>
      </c>
      <c r="Y198" s="9" t="s">
        <v>119</v>
      </c>
      <c r="Z198" s="9" t="s">
        <v>467</v>
      </c>
      <c r="AA198" s="9" t="s">
        <v>468</v>
      </c>
      <c r="AB198" s="9" t="s">
        <v>469</v>
      </c>
      <c r="AM198" s="16" t="b">
        <v>1</v>
      </c>
      <c r="AN198" s="16" t="b">
        <f>COUNTIFS(questions[qno],stableR[[#This Row],[qno]],questions[year_of_survey],2025,questions[origin],"Kenya")&gt;0</f>
        <v>1</v>
      </c>
      <c r="AO198" s="16" t="b">
        <f>COUNTIFS(questions[qno],stableR[[#This Row],[qno]],questions[year_of_survey],2025,questions[origin],"Rwanda")&gt;0</f>
        <v>1</v>
      </c>
      <c r="AP198" s="16" t="b">
        <f>COUNTIFS(questions[qno],stableR[[#This Row],[qno]],questions[year_of_survey],2026,questions[origin],"Burundi")&gt;0</f>
        <v>1</v>
      </c>
      <c r="AQ198" s="16" t="b">
        <f>COUNTIFS(questions[qno],stableR[[#This Row],[qno]],questions[year_of_survey],"",questions[origin],"Indonesia")&gt;0</f>
        <v>1</v>
      </c>
      <c r="AR198" s="16" t="b">
        <f>COUNTIFS(questions[qno],stableR[[#This Row],[qno]],questions[year_of_survey],2025,questions[origin],"Vietnam")&gt;0</f>
        <v>1</v>
      </c>
      <c r="AS198" s="16" t="b">
        <v>1</v>
      </c>
      <c r="AT198" s="16" t="b">
        <v>1</v>
      </c>
    </row>
    <row r="199" spans="1:46" x14ac:dyDescent="0.25">
      <c r="A199" s="15" t="str">
        <f>_xlfn.CONCAT(stableR[[#This Row],[group_0_no]:[order_no]])</f>
        <v>7501</v>
      </c>
      <c r="B199" s="78" t="s">
        <v>471</v>
      </c>
      <c r="C199" s="213" t="s">
        <v>1279</v>
      </c>
      <c r="D199" s="213" t="s">
        <v>1103</v>
      </c>
      <c r="E199" s="213" t="s">
        <v>1094</v>
      </c>
      <c r="F199" s="213" t="s">
        <v>1093</v>
      </c>
      <c r="G199" s="77" t="s">
        <v>1324</v>
      </c>
      <c r="H199" s="9" t="b">
        <v>1</v>
      </c>
      <c r="I199" s="9" t="b">
        <v>1</v>
      </c>
      <c r="J199" s="9" t="b">
        <v>0</v>
      </c>
      <c r="K199" s="9" t="b">
        <v>0</v>
      </c>
      <c r="L199" s="9" t="b">
        <v>0</v>
      </c>
      <c r="M199" s="9" t="b">
        <v>0</v>
      </c>
      <c r="N199" s="9" t="b">
        <v>0</v>
      </c>
      <c r="O199" s="9" t="b">
        <v>0</v>
      </c>
      <c r="P199" s="9" t="b">
        <v>1</v>
      </c>
      <c r="Q199" s="9" t="b">
        <v>0</v>
      </c>
      <c r="R199" s="9" t="b">
        <v>1</v>
      </c>
      <c r="S199" s="16">
        <f>COUNTIFS(stableR[q_group],stableR[[#This Row],[q_group]])</f>
        <v>1</v>
      </c>
      <c r="T199" s="9" t="b">
        <v>0</v>
      </c>
      <c r="U199" s="9" t="b">
        <v>0</v>
      </c>
      <c r="V199" s="9" t="b">
        <v>0</v>
      </c>
      <c r="W199" s="9" t="b">
        <v>1</v>
      </c>
      <c r="X199" s="9" t="str">
        <f>_xlfn.TEXTJOIN(", ",TRUE,stableR[[#This Row],[ans_opt_1]:[ans_opt_14]])</f>
        <v>1% to 25% - little to a quarter, 26% to 50% - less than half, 51% to 75% - more than half, 76% to 100% - almost all</v>
      </c>
      <c r="Y199" s="9" t="s">
        <v>338</v>
      </c>
      <c r="Z199" s="9" t="s">
        <v>339</v>
      </c>
      <c r="AA199" s="9" t="s">
        <v>340</v>
      </c>
      <c r="AB199" s="9" t="s">
        <v>341</v>
      </c>
      <c r="AM199" s="16" t="b">
        <v>1</v>
      </c>
      <c r="AN199" s="16" t="b">
        <f>COUNTIFS(questions[qno],stableR[[#This Row],[qno]],questions[year_of_survey],2025,questions[origin],"Kenya")&gt;0</f>
        <v>1</v>
      </c>
      <c r="AO199" s="16" t="b">
        <f>COUNTIFS(questions[qno],stableR[[#This Row],[qno]],questions[year_of_survey],2025,questions[origin],"Rwanda")&gt;0</f>
        <v>1</v>
      </c>
      <c r="AP199" s="16" t="b">
        <f>COUNTIFS(questions[qno],stableR[[#This Row],[qno]],questions[year_of_survey],2026,questions[origin],"Burundi")&gt;0</f>
        <v>1</v>
      </c>
      <c r="AQ199" s="16" t="b">
        <f>COUNTIFS(questions[qno],stableR[[#This Row],[qno]],questions[year_of_survey],"",questions[origin],"Indonesia")&gt;0</f>
        <v>1</v>
      </c>
      <c r="AR199" s="16" t="b">
        <f>COUNTIFS(questions[qno],stableR[[#This Row],[qno]],questions[year_of_survey],2025,questions[origin],"Vietnam")&gt;0</f>
        <v>1</v>
      </c>
      <c r="AS199" s="16" t="b">
        <v>1</v>
      </c>
      <c r="AT199" s="16" t="b">
        <v>1</v>
      </c>
    </row>
    <row r="200" spans="1:46" x14ac:dyDescent="0.25">
      <c r="A200" s="15" t="str">
        <f>_xlfn.CONCAT(stableR[[#This Row],[group_0_no]:[order_no]])</f>
        <v>7502</v>
      </c>
      <c r="B200" s="15" t="s">
        <v>473</v>
      </c>
      <c r="C200" s="213" t="s">
        <v>1279</v>
      </c>
      <c r="D200" s="213" t="s">
        <v>1103</v>
      </c>
      <c r="E200" s="213" t="s">
        <v>1094</v>
      </c>
      <c r="F200" s="213" t="s">
        <v>1097</v>
      </c>
      <c r="G200" s="9" t="s">
        <v>1325</v>
      </c>
      <c r="H200" s="9" t="b">
        <v>1</v>
      </c>
      <c r="I200" s="9" t="b">
        <v>1</v>
      </c>
      <c r="J200" s="9" t="b">
        <v>0</v>
      </c>
      <c r="K200" s="9" t="b">
        <v>0</v>
      </c>
      <c r="L200" s="9" t="b">
        <v>0</v>
      </c>
      <c r="M200" s="9" t="b">
        <v>0</v>
      </c>
      <c r="N200" s="9" t="b">
        <v>0</v>
      </c>
      <c r="O200" s="9" t="b">
        <v>1</v>
      </c>
      <c r="P200" s="9" t="b">
        <v>0</v>
      </c>
      <c r="Q200" s="9" t="b">
        <v>0</v>
      </c>
      <c r="R200" s="9" t="b">
        <v>0</v>
      </c>
      <c r="S200" s="16">
        <f>COUNTIFS(stableR[q_group],stableR[[#This Row],[q_group]])</f>
        <v>1</v>
      </c>
      <c r="T200" s="9" t="b">
        <v>0</v>
      </c>
      <c r="U200" s="9" t="b">
        <v>0</v>
      </c>
      <c r="V200" s="9" t="b">
        <v>0</v>
      </c>
      <c r="W200" s="9" t="b">
        <v>1</v>
      </c>
      <c r="X200" s="9" t="str">
        <f>_xlfn.TEXTJOIN(", ",TRUE,stableR[[#This Row],[ans_opt_1]:[ans_opt_14]])</f>
        <v/>
      </c>
      <c r="AM200" s="16" t="b">
        <v>1</v>
      </c>
      <c r="AN200" s="16" t="b">
        <f>COUNTIFS(questions[qno],stableR[[#This Row],[qno]],questions[year_of_survey],2025,questions[origin],"Kenya")&gt;0</f>
        <v>1</v>
      </c>
      <c r="AO200" s="16" t="b">
        <f>COUNTIFS(questions[qno],stableR[[#This Row],[qno]],questions[year_of_survey],2025,questions[origin],"Rwanda")&gt;0</f>
        <v>1</v>
      </c>
      <c r="AP200" s="16" t="b">
        <f>COUNTIFS(questions[qno],stableR[[#This Row],[qno]],questions[year_of_survey],2026,questions[origin],"Burundi")&gt;0</f>
        <v>1</v>
      </c>
      <c r="AQ200" s="16" t="b">
        <f>COUNTIFS(questions[qno],stableR[[#This Row],[qno]],questions[year_of_survey],"",questions[origin],"Indonesia")&gt;0</f>
        <v>1</v>
      </c>
      <c r="AR200" s="16" t="b">
        <f>COUNTIFS(questions[qno],stableR[[#This Row],[qno]],questions[year_of_survey],2025,questions[origin],"Vietnam")&gt;0</f>
        <v>1</v>
      </c>
      <c r="AS200" s="16" t="b">
        <v>1</v>
      </c>
      <c r="AT200" s="16" t="b">
        <v>1</v>
      </c>
    </row>
    <row r="201" spans="1:46" x14ac:dyDescent="0.25">
      <c r="A201" s="15" t="str">
        <f>_xlfn.CONCAT(stableR[[#This Row],[group_0_no]:[order_no]])</f>
        <v>7503</v>
      </c>
      <c r="B201" s="15" t="s">
        <v>475</v>
      </c>
      <c r="C201" s="213" t="s">
        <v>1279</v>
      </c>
      <c r="D201" s="213" t="s">
        <v>1103</v>
      </c>
      <c r="E201" s="213" t="s">
        <v>1094</v>
      </c>
      <c r="F201" s="213" t="s">
        <v>1099</v>
      </c>
      <c r="G201" s="9" t="s">
        <v>1326</v>
      </c>
      <c r="H201" s="9" t="b">
        <v>1</v>
      </c>
      <c r="I201" s="9" t="b">
        <v>1</v>
      </c>
      <c r="J201" s="9" t="b">
        <v>0</v>
      </c>
      <c r="K201" s="9" t="b">
        <v>0</v>
      </c>
      <c r="L201" s="9" t="b">
        <v>0</v>
      </c>
      <c r="M201" s="9" t="b">
        <v>0</v>
      </c>
      <c r="N201" s="9" t="b">
        <v>0</v>
      </c>
      <c r="O201" s="9" t="b">
        <v>1</v>
      </c>
      <c r="P201" s="9" t="b">
        <v>0</v>
      </c>
      <c r="Q201" s="9" t="b">
        <v>0</v>
      </c>
      <c r="R201" s="9" t="b">
        <v>0</v>
      </c>
      <c r="S201" s="16">
        <f>COUNTIFS(stableR[q_group],stableR[[#This Row],[q_group]])</f>
        <v>1</v>
      </c>
      <c r="T201" s="9" t="b">
        <v>0</v>
      </c>
      <c r="U201" s="9" t="b">
        <v>0</v>
      </c>
      <c r="V201" s="9" t="b">
        <v>0</v>
      </c>
      <c r="W201" s="9" t="b">
        <v>1</v>
      </c>
      <c r="X201" s="9" t="str">
        <f>_xlfn.TEXTJOIN(", ",TRUE,stableR[[#This Row],[ans_opt_1]:[ans_opt_14]])</f>
        <v/>
      </c>
      <c r="AM201" s="16" t="b">
        <v>1</v>
      </c>
      <c r="AN201" s="16" t="b">
        <f>COUNTIFS(questions[qno],stableR[[#This Row],[qno]],questions[year_of_survey],2025,questions[origin],"Kenya")&gt;0</f>
        <v>1</v>
      </c>
      <c r="AO201" s="16" t="b">
        <f>COUNTIFS(questions[qno],stableR[[#This Row],[qno]],questions[year_of_survey],2025,questions[origin],"Rwanda")&gt;0</f>
        <v>1</v>
      </c>
      <c r="AP201" s="16" t="b">
        <f>COUNTIFS(questions[qno],stableR[[#This Row],[qno]],questions[year_of_survey],2026,questions[origin],"Burundi")&gt;0</f>
        <v>1</v>
      </c>
      <c r="AQ201" s="16" t="b">
        <f>COUNTIFS(questions[qno],stableR[[#This Row],[qno]],questions[year_of_survey],"",questions[origin],"Indonesia")&gt;0</f>
        <v>1</v>
      </c>
      <c r="AR201" s="16" t="b">
        <f>COUNTIFS(questions[qno],stableR[[#This Row],[qno]],questions[year_of_survey],2025,questions[origin],"Vietnam")&gt;0</f>
        <v>1</v>
      </c>
      <c r="AS201" s="16" t="b">
        <v>1</v>
      </c>
      <c r="AT201" s="16" t="b">
        <v>1</v>
      </c>
    </row>
    <row r="202" spans="1:46" x14ac:dyDescent="0.25">
      <c r="A202" s="15" t="str">
        <f>_xlfn.CONCAT(stableR[[#This Row],[group_0_no]:[order_no]])</f>
        <v>7504</v>
      </c>
      <c r="B202" s="15" t="s">
        <v>477</v>
      </c>
      <c r="C202" s="213" t="s">
        <v>1279</v>
      </c>
      <c r="D202" s="213" t="s">
        <v>1103</v>
      </c>
      <c r="E202" s="213" t="s">
        <v>1094</v>
      </c>
      <c r="F202" s="213" t="s">
        <v>1101</v>
      </c>
      <c r="G202" s="9" t="s">
        <v>1327</v>
      </c>
      <c r="H202" s="9" t="b">
        <v>1</v>
      </c>
      <c r="I202" s="9" t="b">
        <v>1</v>
      </c>
      <c r="J202" s="9" t="b">
        <v>0</v>
      </c>
      <c r="K202" s="9" t="b">
        <v>0</v>
      </c>
      <c r="L202" s="9" t="b">
        <v>0</v>
      </c>
      <c r="M202" s="9" t="b">
        <v>0</v>
      </c>
      <c r="N202" s="9" t="b">
        <v>0</v>
      </c>
      <c r="O202" s="9" t="b">
        <v>0</v>
      </c>
      <c r="P202" s="9" t="b">
        <v>1</v>
      </c>
      <c r="Q202" s="9" t="b">
        <v>0</v>
      </c>
      <c r="R202" s="9" t="b">
        <v>0</v>
      </c>
      <c r="S202" s="16">
        <f>COUNTIFS(stableR[q_group],stableR[[#This Row],[q_group]])</f>
        <v>1</v>
      </c>
      <c r="T202" s="9" t="b">
        <v>0</v>
      </c>
      <c r="U202" s="9" t="b">
        <v>0</v>
      </c>
      <c r="V202" s="9" t="b">
        <v>0</v>
      </c>
      <c r="W202" s="9" t="b">
        <v>1</v>
      </c>
      <c r="X202" s="9" t="str">
        <f>_xlfn.TEXTJOIN(", ",TRUE,stableR[[#This Row],[ans_opt_1]:[ans_opt_14]])</f>
        <v>Big sized, full grown, shade trees, Medium sized shade trees, including fruit trees, Multipurpose mix of trees (different types and sizes)</v>
      </c>
      <c r="Y202" s="9" t="s">
        <v>478</v>
      </c>
      <c r="Z202" s="9" t="s">
        <v>812</v>
      </c>
      <c r="AA202" s="9" t="s">
        <v>813</v>
      </c>
      <c r="AM202" s="16" t="b">
        <v>1</v>
      </c>
      <c r="AN202" s="16" t="b">
        <f>COUNTIFS(questions[qno],stableR[[#This Row],[qno]],questions[year_of_survey],2025,questions[origin],"Kenya")&gt;0</f>
        <v>1</v>
      </c>
      <c r="AO202" s="16" t="b">
        <f>COUNTIFS(questions[qno],stableR[[#This Row],[qno]],questions[year_of_survey],2025,questions[origin],"Rwanda")&gt;0</f>
        <v>1</v>
      </c>
      <c r="AP202" s="16" t="b">
        <f>COUNTIFS(questions[qno],stableR[[#This Row],[qno]],questions[year_of_survey],2026,questions[origin],"Burundi")&gt;0</f>
        <v>1</v>
      </c>
      <c r="AQ202" s="16" t="b">
        <f>COUNTIFS(questions[qno],stableR[[#This Row],[qno]],questions[year_of_survey],"",questions[origin],"Indonesia")&gt;0</f>
        <v>1</v>
      </c>
      <c r="AR202" s="16" t="b">
        <f>COUNTIFS(questions[qno],stableR[[#This Row],[qno]],questions[year_of_survey],2025,questions[origin],"Vietnam")&gt;0</f>
        <v>1</v>
      </c>
      <c r="AS202" s="16" t="b">
        <v>1</v>
      </c>
      <c r="AT202" s="16" t="b">
        <v>1</v>
      </c>
    </row>
    <row r="203" spans="1:46" x14ac:dyDescent="0.25">
      <c r="A203" s="15" t="str">
        <f>_xlfn.CONCAT(stableR[[#This Row],[group_0_no]:[order_no]])</f>
        <v>7505</v>
      </c>
      <c r="B203" s="15" t="s">
        <v>615</v>
      </c>
      <c r="C203" s="213" t="s">
        <v>1279</v>
      </c>
      <c r="D203" s="213" t="s">
        <v>1103</v>
      </c>
      <c r="E203" s="213" t="s">
        <v>1094</v>
      </c>
      <c r="F203" s="213" t="s">
        <v>1103</v>
      </c>
      <c r="G203" s="9" t="s">
        <v>1328</v>
      </c>
      <c r="H203" s="9" t="b">
        <v>1</v>
      </c>
      <c r="I203" s="9" t="b">
        <v>0</v>
      </c>
      <c r="J203" s="9" t="b">
        <v>0</v>
      </c>
      <c r="K203" s="9" t="b">
        <v>1</v>
      </c>
      <c r="L203" s="9" t="b">
        <v>0</v>
      </c>
      <c r="M203" s="9" t="b">
        <v>0</v>
      </c>
      <c r="N203" s="9" t="b">
        <v>0</v>
      </c>
      <c r="O203" s="9" t="b">
        <v>0</v>
      </c>
      <c r="P203" s="9" t="b">
        <v>1</v>
      </c>
      <c r="Q203" s="9" t="b">
        <v>0</v>
      </c>
      <c r="R203" s="9" t="b">
        <v>0</v>
      </c>
      <c r="S203" s="16">
        <f>COUNTIFS(stableR[q_group],stableR[[#This Row],[q_group]])</f>
        <v>1</v>
      </c>
      <c r="T203" s="9" t="b">
        <v>0</v>
      </c>
      <c r="U203" s="9" t="b">
        <v>0</v>
      </c>
      <c r="V203" s="9" t="b">
        <v>0</v>
      </c>
      <c r="W203" s="9" t="b">
        <v>1</v>
      </c>
      <c r="X203" s="9" t="str">
        <f>_xlfn.TEXTJOIN(", ",TRUE,stableR[[#This Row],[ans_opt_1]:[ans_opt_14]])</f>
        <v>No, Yes</v>
      </c>
      <c r="Y203" s="9" t="s">
        <v>119</v>
      </c>
      <c r="Z203" s="9" t="s">
        <v>149</v>
      </c>
      <c r="AM203" s="16" t="b">
        <v>0</v>
      </c>
      <c r="AN203" s="16" t="b">
        <f>COUNTIFS(questions[qno],stableR[[#This Row],[qno]],questions[year_of_survey],2025,questions[origin],"Kenya")&gt;0</f>
        <v>0</v>
      </c>
      <c r="AO203" s="16" t="b">
        <f>COUNTIFS(questions[qno],stableR[[#This Row],[qno]],questions[year_of_survey],2025,questions[origin],"Rwanda")&gt;0</f>
        <v>0</v>
      </c>
      <c r="AP203" s="16" t="b">
        <f>COUNTIFS(questions[qno],stableR[[#This Row],[qno]],questions[year_of_survey],2026,questions[origin],"Burundi")&gt;0</f>
        <v>0</v>
      </c>
      <c r="AQ203" s="16" t="b">
        <f>COUNTIFS(questions[qno],stableR[[#This Row],[qno]],questions[year_of_survey],"",questions[origin],"Indonesia")&gt;0</f>
        <v>0</v>
      </c>
      <c r="AR203" s="16" t="b">
        <f>COUNTIFS(questions[qno],stableR[[#This Row],[qno]],questions[year_of_survey],2025,questions[origin],"Vietnam")&gt;0</f>
        <v>0</v>
      </c>
      <c r="AS203" s="16" t="b">
        <v>1</v>
      </c>
      <c r="AT203" s="16" t="b">
        <v>1</v>
      </c>
    </row>
    <row r="204" spans="1:46" x14ac:dyDescent="0.25">
      <c r="A204" s="15" t="str">
        <f>_xlfn.CONCAT(stableR[[#This Row],[group_0_no]:[order_no]])</f>
        <v>7600</v>
      </c>
      <c r="B204" s="15" t="s">
        <v>482</v>
      </c>
      <c r="C204" s="213" t="s">
        <v>1279</v>
      </c>
      <c r="D204" s="213" t="s">
        <v>1105</v>
      </c>
      <c r="E204" s="213" t="s">
        <v>1094</v>
      </c>
      <c r="F204" s="213" t="s">
        <v>1094</v>
      </c>
      <c r="G204" s="9" t="s">
        <v>1329</v>
      </c>
      <c r="H204" s="9" t="b">
        <v>1</v>
      </c>
      <c r="I204" s="9" t="b">
        <v>1</v>
      </c>
      <c r="J204" s="9" t="b">
        <v>0</v>
      </c>
      <c r="K204" s="9" t="b">
        <v>0</v>
      </c>
      <c r="L204" s="9" t="b">
        <v>1</v>
      </c>
      <c r="M204" s="9" t="b">
        <v>0</v>
      </c>
      <c r="N204" s="9" t="b">
        <v>0</v>
      </c>
      <c r="O204" s="9" t="b">
        <v>0</v>
      </c>
      <c r="P204" s="9" t="b">
        <v>1</v>
      </c>
      <c r="Q204" s="9" t="b">
        <v>0</v>
      </c>
      <c r="R204" s="9" t="b">
        <v>0</v>
      </c>
      <c r="S204" s="16">
        <f>COUNTIFS(stableR[q_group],stableR[[#This Row],[q_group]])</f>
        <v>1</v>
      </c>
      <c r="T204" s="9" t="b">
        <v>0</v>
      </c>
      <c r="U204" s="9" t="b">
        <v>0</v>
      </c>
      <c r="V204" s="9" t="b">
        <v>0</v>
      </c>
      <c r="W204" s="9" t="b">
        <v>1</v>
      </c>
      <c r="X204" s="9" t="str">
        <f>_xlfn.TEXTJOIN(", ",TRUE,stableR[[#This Row],[ans_opt_1]:[ans_opt_14]])</f>
        <v>No, Yes</v>
      </c>
      <c r="Y204" s="9" t="s">
        <v>119</v>
      </c>
      <c r="Z204" s="9" t="s">
        <v>149</v>
      </c>
      <c r="AM204" s="16" t="b">
        <v>1</v>
      </c>
      <c r="AN204" s="16" t="b">
        <f>COUNTIFS(questions[qno],stableR[[#This Row],[qno]],questions[year_of_survey],2025,questions[origin],"Kenya")&gt;0</f>
        <v>1</v>
      </c>
      <c r="AO204" s="16" t="b">
        <f>COUNTIFS(questions[qno],stableR[[#This Row],[qno]],questions[year_of_survey],2025,questions[origin],"Rwanda")&gt;0</f>
        <v>1</v>
      </c>
      <c r="AP204" s="16" t="b">
        <f>COUNTIFS(questions[qno],stableR[[#This Row],[qno]],questions[year_of_survey],2026,questions[origin],"Burundi")&gt;0</f>
        <v>1</v>
      </c>
      <c r="AQ204" s="16" t="b">
        <f>COUNTIFS(questions[qno],stableR[[#This Row],[qno]],questions[year_of_survey],"",questions[origin],"Indonesia")&gt;0</f>
        <v>1</v>
      </c>
      <c r="AR204" s="16" t="b">
        <f>COUNTIFS(questions[qno],stableR[[#This Row],[qno]],questions[year_of_survey],2025,questions[origin],"Vietnam")&gt;0</f>
        <v>1</v>
      </c>
      <c r="AS204" s="16" t="b">
        <v>1</v>
      </c>
      <c r="AT204" s="16" t="b">
        <v>1</v>
      </c>
    </row>
    <row r="205" spans="1:46" x14ac:dyDescent="0.25">
      <c r="A205" s="243" t="str">
        <f>_xlfn.CONCAT(stableR[[#This Row],[group_0_no]:[order_no]])</f>
        <v>7700</v>
      </c>
      <c r="B205" s="243" t="s">
        <v>484</v>
      </c>
      <c r="C205" s="244" t="s">
        <v>1279</v>
      </c>
      <c r="D205" s="244" t="s">
        <v>1279</v>
      </c>
      <c r="E205" s="244" t="s">
        <v>1094</v>
      </c>
      <c r="F205" s="244" t="s">
        <v>1094</v>
      </c>
      <c r="G205" s="245" t="s">
        <v>1330</v>
      </c>
      <c r="H205" s="245" t="b">
        <v>1</v>
      </c>
      <c r="I205" s="245" t="b">
        <v>1</v>
      </c>
      <c r="J205" s="245" t="b">
        <v>0</v>
      </c>
      <c r="K205" s="245" t="b">
        <v>0</v>
      </c>
      <c r="L205" s="245" t="b">
        <v>1</v>
      </c>
      <c r="M205" s="245" t="b">
        <v>0</v>
      </c>
      <c r="N205" s="245" t="b">
        <v>0</v>
      </c>
      <c r="O205" s="245" t="b">
        <v>0</v>
      </c>
      <c r="P205" s="245" t="b">
        <v>1</v>
      </c>
      <c r="Q205" s="245" t="b">
        <v>0</v>
      </c>
      <c r="R205" s="245" t="b">
        <v>1</v>
      </c>
      <c r="S205" s="246">
        <f>COUNTIFS(stableR[q_group],stableR[[#This Row],[q_group]])</f>
        <v>1</v>
      </c>
      <c r="T205" s="245" t="b">
        <v>0</v>
      </c>
      <c r="U205" s="245" t="b">
        <v>0</v>
      </c>
      <c r="V205" s="245" t="b">
        <v>0</v>
      </c>
      <c r="W205" s="245" t="b">
        <v>1</v>
      </c>
      <c r="X205" s="245" t="str">
        <f>_xlfn.TEXTJOIN(", ",TRUE,stableR[[#This Row],[ans_opt_1]:[ans_opt_14]])</f>
        <v>No, Yes -1 stream/river, Yes -2 streams/rivers, Yes -3 streams/rivers, Yes -4 streams/rivers, Yes -5 streams/rivers</v>
      </c>
      <c r="Y205" s="245" t="s">
        <v>119</v>
      </c>
      <c r="Z205" s="245" t="s">
        <v>485</v>
      </c>
      <c r="AA205" s="245" t="s">
        <v>486</v>
      </c>
      <c r="AB205" s="245" t="s">
        <v>487</v>
      </c>
      <c r="AC205" s="245" t="s">
        <v>488</v>
      </c>
      <c r="AD205" s="245" t="s">
        <v>489</v>
      </c>
      <c r="AE205" s="245"/>
      <c r="AF205" s="245"/>
      <c r="AG205" s="245"/>
      <c r="AH205" s="245"/>
      <c r="AI205" s="245"/>
      <c r="AJ205" s="245"/>
      <c r="AK205" s="245"/>
      <c r="AL205" s="245"/>
      <c r="AM205" s="246" t="b">
        <v>1</v>
      </c>
      <c r="AN205" s="246" t="b">
        <f>COUNTIFS(questions[qno],stableR[[#This Row],[qno]],questions[year_of_survey],2025,questions[origin],"Kenya")&gt;0</f>
        <v>1</v>
      </c>
      <c r="AO205" s="246" t="b">
        <f>COUNTIFS(questions[qno],stableR[[#This Row],[qno]],questions[year_of_survey],2025,questions[origin],"Rwanda")&gt;0</f>
        <v>1</v>
      </c>
      <c r="AP205" s="246" t="b">
        <f>COUNTIFS(questions[qno],stableR[[#This Row],[qno]],questions[year_of_survey],2026,questions[origin],"Burundi")&gt;0</f>
        <v>1</v>
      </c>
      <c r="AQ205" s="246" t="b">
        <f>COUNTIFS(questions[qno],stableR[[#This Row],[qno]],questions[year_of_survey],"",questions[origin],"Indonesia")&gt;0</f>
        <v>1</v>
      </c>
      <c r="AR205" s="246" t="b">
        <f>COUNTIFS(questions[qno],stableR[[#This Row],[qno]],questions[year_of_survey],2025,questions[origin],"Vietnam")&gt;0</f>
        <v>1</v>
      </c>
      <c r="AS205" s="246" t="b">
        <v>1</v>
      </c>
      <c r="AT205" s="246" t="b">
        <v>1</v>
      </c>
    </row>
    <row r="206" spans="1:46" x14ac:dyDescent="0.25">
      <c r="A206" s="15" t="str">
        <f>_xlfn.CONCAT(stableR[[#This Row],[group_0_no]:[order_no]])</f>
        <v>7701</v>
      </c>
      <c r="B206" s="15" t="s">
        <v>491</v>
      </c>
      <c r="C206" s="213" t="s">
        <v>1279</v>
      </c>
      <c r="D206" s="213" t="s">
        <v>1279</v>
      </c>
      <c r="E206" s="213" t="s">
        <v>1094</v>
      </c>
      <c r="F206" s="213" t="s">
        <v>1093</v>
      </c>
      <c r="G206" s="9" t="s">
        <v>1331</v>
      </c>
      <c r="H206" s="9" t="b">
        <v>1</v>
      </c>
      <c r="I206" s="9" t="b">
        <v>1</v>
      </c>
      <c r="J206" s="9" t="b">
        <v>0</v>
      </c>
      <c r="K206" s="9" t="b">
        <v>0</v>
      </c>
      <c r="L206" s="9" t="b">
        <v>0</v>
      </c>
      <c r="M206" s="9" t="b">
        <v>0</v>
      </c>
      <c r="N206" s="9" t="b">
        <v>0</v>
      </c>
      <c r="O206" s="9" t="b">
        <v>0</v>
      </c>
      <c r="P206" s="9" t="b">
        <v>1</v>
      </c>
      <c r="Q206" s="9" t="b">
        <v>0</v>
      </c>
      <c r="R206" s="9" t="b">
        <v>1</v>
      </c>
      <c r="S206" s="16">
        <f>COUNTIFS(stableR[q_group],stableR[[#This Row],[q_group]])</f>
        <v>1</v>
      </c>
      <c r="T206" s="9" t="b">
        <v>0</v>
      </c>
      <c r="U206" s="9" t="b">
        <v>0</v>
      </c>
      <c r="V206" s="9" t="b">
        <v>0</v>
      </c>
      <c r="W206" s="9" t="b">
        <v>1</v>
      </c>
      <c r="X206" s="9" t="str">
        <f>_xlfn.TEXTJOIN(", ",TRUE,stableR[[#This Row],[ans_opt_1]:[ans_opt_14]])</f>
        <v>All, Some</v>
      </c>
      <c r="Y206" s="9" t="s">
        <v>492</v>
      </c>
      <c r="Z206" s="9" t="s">
        <v>493</v>
      </c>
      <c r="AM206" s="16" t="b">
        <v>1</v>
      </c>
      <c r="AN206" s="16" t="b">
        <f>COUNTIFS(questions[qno],stableR[[#This Row],[qno]],questions[year_of_survey],2025,questions[origin],"Kenya")&gt;0</f>
        <v>1</v>
      </c>
      <c r="AO206" s="16" t="b">
        <f>COUNTIFS(questions[qno],stableR[[#This Row],[qno]],questions[year_of_survey],2025,questions[origin],"Rwanda")&gt;0</f>
        <v>1</v>
      </c>
      <c r="AP206" s="16" t="b">
        <f>COUNTIFS(questions[qno],stableR[[#This Row],[qno]],questions[year_of_survey],2026,questions[origin],"Burundi")&gt;0</f>
        <v>1</v>
      </c>
      <c r="AQ206" s="16" t="b">
        <f>COUNTIFS(questions[qno],stableR[[#This Row],[qno]],questions[year_of_survey],"",questions[origin],"Indonesia")&gt;0</f>
        <v>1</v>
      </c>
      <c r="AR206" s="16" t="b">
        <f>COUNTIFS(questions[qno],stableR[[#This Row],[qno]],questions[year_of_survey],2025,questions[origin],"Vietnam")&gt;0</f>
        <v>1</v>
      </c>
      <c r="AS206" s="16" t="b">
        <v>1</v>
      </c>
      <c r="AT206" s="16" t="b">
        <v>1</v>
      </c>
    </row>
    <row r="207" spans="1:46" x14ac:dyDescent="0.25">
      <c r="A207" s="15" t="str">
        <f>_xlfn.CONCAT(stableR[[#This Row],[group_0_no]:[order_no]])</f>
        <v>8000</v>
      </c>
      <c r="B207" s="15" t="s">
        <v>495</v>
      </c>
      <c r="C207" s="213" t="s">
        <v>1143</v>
      </c>
      <c r="D207" s="213" t="s">
        <v>1094</v>
      </c>
      <c r="E207" s="213" t="s">
        <v>1094</v>
      </c>
      <c r="F207" s="213" t="s">
        <v>1094</v>
      </c>
      <c r="G207" s="9" t="s">
        <v>1332</v>
      </c>
      <c r="H207" s="9" t="b">
        <v>1</v>
      </c>
      <c r="I207" s="9" t="b">
        <v>1</v>
      </c>
      <c r="J207" s="9" t="b">
        <v>0</v>
      </c>
      <c r="K207" s="9" t="b">
        <v>0</v>
      </c>
      <c r="L207" s="9" t="b">
        <v>1</v>
      </c>
      <c r="M207" s="9" t="b">
        <v>0</v>
      </c>
      <c r="N207" s="9" t="b">
        <v>0</v>
      </c>
      <c r="O207" s="9" t="b">
        <v>0</v>
      </c>
      <c r="P207" s="9" t="b">
        <v>1</v>
      </c>
      <c r="Q207" s="9" t="b">
        <v>0</v>
      </c>
      <c r="R207" s="9" t="b">
        <v>0</v>
      </c>
      <c r="S207" s="16">
        <f>COUNTIFS(stableR[q_group],stableR[[#This Row],[q_group]])</f>
        <v>1</v>
      </c>
      <c r="T207" s="9" t="b">
        <v>0</v>
      </c>
      <c r="U207" s="9" t="b">
        <v>0</v>
      </c>
      <c r="V207" s="9" t="b">
        <v>0</v>
      </c>
      <c r="W207" s="9" t="b">
        <v>1</v>
      </c>
      <c r="X207" s="9" t="str">
        <f>_xlfn.TEXTJOIN(", ",TRUE,stableR[[#This Row],[ans_opt_1]:[ans_opt_14]])</f>
        <v>High activity clay soils , Low activity clay soils, Sandy soils, Loamy soils, Volcanic soils, Wetland soils, Organic soils</v>
      </c>
      <c r="Y207" s="9" t="s">
        <v>817</v>
      </c>
      <c r="Z207" s="9" t="s">
        <v>497</v>
      </c>
      <c r="AA207" s="9" t="s">
        <v>498</v>
      </c>
      <c r="AB207" s="9" t="s">
        <v>499</v>
      </c>
      <c r="AC207" s="9" t="s">
        <v>500</v>
      </c>
      <c r="AD207" s="9" t="s">
        <v>501</v>
      </c>
      <c r="AE207" s="9" t="s">
        <v>502</v>
      </c>
      <c r="AM207" s="16" t="b">
        <v>1</v>
      </c>
      <c r="AN207" s="16" t="b">
        <f>COUNTIFS(questions[qno],stableR[[#This Row],[qno]],questions[year_of_survey],2025,questions[origin],"Kenya")&gt;0</f>
        <v>1</v>
      </c>
      <c r="AO207" s="16" t="b">
        <f>COUNTIFS(questions[qno],stableR[[#This Row],[qno]],questions[year_of_survey],2025,questions[origin],"Rwanda")&gt;0</f>
        <v>1</v>
      </c>
      <c r="AP207" s="16" t="b">
        <f>COUNTIFS(questions[qno],stableR[[#This Row],[qno]],questions[year_of_survey],2026,questions[origin],"Burundi")&gt;0</f>
        <v>1</v>
      </c>
      <c r="AQ207" s="16" t="b">
        <f>COUNTIFS(questions[qno],stableR[[#This Row],[qno]],questions[year_of_survey],"",questions[origin],"Indonesia")&gt;0</f>
        <v>1</v>
      </c>
      <c r="AR207" s="16" t="b">
        <f>COUNTIFS(questions[qno],stableR[[#This Row],[qno]],questions[year_of_survey],2025,questions[origin],"Vietnam")&gt;0</f>
        <v>1</v>
      </c>
      <c r="AS207" s="16" t="b">
        <v>1</v>
      </c>
      <c r="AT207" s="16" t="b">
        <v>1</v>
      </c>
    </row>
    <row r="208" spans="1:46" x14ac:dyDescent="0.25">
      <c r="A208" s="15" t="str">
        <f>_xlfn.CONCAT(stableR[[#This Row],[group_0_no]:[order_no]])</f>
        <v>8010</v>
      </c>
      <c r="B208" s="15" t="s">
        <v>504</v>
      </c>
      <c r="C208" s="213" t="s">
        <v>1143</v>
      </c>
      <c r="D208" s="213" t="s">
        <v>1094</v>
      </c>
      <c r="E208" s="213" t="s">
        <v>1093</v>
      </c>
      <c r="F208" s="213" t="s">
        <v>1094</v>
      </c>
      <c r="G208" s="9" t="s">
        <v>1333</v>
      </c>
      <c r="H208" s="9" t="b">
        <v>1</v>
      </c>
      <c r="I208" s="9" t="b">
        <v>1</v>
      </c>
      <c r="J208" s="9" t="b">
        <v>0</v>
      </c>
      <c r="K208" s="9" t="b">
        <v>0</v>
      </c>
      <c r="L208" s="9" t="b">
        <v>1</v>
      </c>
      <c r="M208" s="9" t="b">
        <v>0</v>
      </c>
      <c r="N208" s="9" t="b">
        <v>0</v>
      </c>
      <c r="O208" s="9" t="b">
        <v>0</v>
      </c>
      <c r="P208" s="9" t="b">
        <v>1</v>
      </c>
      <c r="Q208" s="9" t="b">
        <v>0</v>
      </c>
      <c r="R208" s="9" t="b">
        <v>0</v>
      </c>
      <c r="S208" s="16">
        <f>COUNTIFS(stableR[q_group],stableR[[#This Row],[q_group]])</f>
        <v>1</v>
      </c>
      <c r="T208" s="9" t="b">
        <v>0</v>
      </c>
      <c r="U208" s="9" t="b">
        <v>0</v>
      </c>
      <c r="V208" s="9" t="b">
        <v>0</v>
      </c>
      <c r="W208" s="9" t="b">
        <v>1</v>
      </c>
      <c r="X208" s="9" t="str">
        <f>_xlfn.TEXTJOIN(", ",TRUE,stableR[[#This Row],[ans_opt_1]:[ans_opt_14]])</f>
        <v>Full-tillage, Reduced tillage, No till</v>
      </c>
      <c r="Y208" s="9" t="s">
        <v>505</v>
      </c>
      <c r="Z208" s="9" t="s">
        <v>506</v>
      </c>
      <c r="AA208" s="9" t="s">
        <v>507</v>
      </c>
      <c r="AM208" s="16" t="b">
        <v>1</v>
      </c>
      <c r="AN208" s="16" t="b">
        <f>COUNTIFS(questions[qno],stableR[[#This Row],[qno]],questions[year_of_survey],2025,questions[origin],"Kenya")&gt;0</f>
        <v>1</v>
      </c>
      <c r="AO208" s="16" t="b">
        <f>COUNTIFS(questions[qno],stableR[[#This Row],[qno]],questions[year_of_survey],2025,questions[origin],"Rwanda")&gt;0</f>
        <v>1</v>
      </c>
      <c r="AP208" s="16" t="b">
        <f>COUNTIFS(questions[qno],stableR[[#This Row],[qno]],questions[year_of_survey],2026,questions[origin],"Burundi")&gt;0</f>
        <v>1</v>
      </c>
      <c r="AQ208" s="16" t="b">
        <f>COUNTIFS(questions[qno],stableR[[#This Row],[qno]],questions[year_of_survey],"",questions[origin],"Indonesia")&gt;0</f>
        <v>1</v>
      </c>
      <c r="AR208" s="16" t="b">
        <f>COUNTIFS(questions[qno],stableR[[#This Row],[qno]],questions[year_of_survey],2025,questions[origin],"Vietnam")&gt;0</f>
        <v>1</v>
      </c>
      <c r="AS208" s="16" t="b">
        <v>1</v>
      </c>
      <c r="AT208" s="16" t="b">
        <v>1</v>
      </c>
    </row>
    <row r="209" spans="1:46" x14ac:dyDescent="0.25">
      <c r="A209" s="15" t="str">
        <f>_xlfn.CONCAT(stableR[[#This Row],[group_0_no]:[order_no]])</f>
        <v>8100</v>
      </c>
      <c r="B209" s="18" t="s">
        <v>715</v>
      </c>
      <c r="C209" s="213" t="s">
        <v>1143</v>
      </c>
      <c r="D209" s="213" t="s">
        <v>1093</v>
      </c>
      <c r="E209" s="213" t="s">
        <v>1094</v>
      </c>
      <c r="F209" s="213" t="s">
        <v>1094</v>
      </c>
      <c r="G209" s="9" t="s">
        <v>1334</v>
      </c>
      <c r="H209" s="9" t="b">
        <v>1</v>
      </c>
      <c r="I209" s="9" t="b">
        <v>0</v>
      </c>
      <c r="J209" s="9" t="b">
        <v>1</v>
      </c>
      <c r="K209" s="9" t="b">
        <v>1</v>
      </c>
      <c r="L209" s="9" t="b">
        <v>1</v>
      </c>
      <c r="M209" s="9" t="b">
        <v>0</v>
      </c>
      <c r="N209" s="9" t="b">
        <v>0</v>
      </c>
      <c r="O209" s="9" t="b">
        <v>0</v>
      </c>
      <c r="P209" s="9" t="b">
        <v>1</v>
      </c>
      <c r="Q209" s="9" t="b">
        <v>0</v>
      </c>
      <c r="R209" s="9" t="b">
        <v>0</v>
      </c>
      <c r="S209" s="16">
        <f>COUNTIFS(stableR[q_group],stableR[[#This Row],[q_group]])</f>
        <v>1</v>
      </c>
      <c r="T209" s="9" t="b">
        <v>0</v>
      </c>
      <c r="U209" s="9" t="b">
        <v>0</v>
      </c>
      <c r="V209" s="9" t="b">
        <v>1</v>
      </c>
      <c r="W209" s="9" t="b">
        <v>0</v>
      </c>
      <c r="X209" s="9" t="str">
        <f>_xlfn.TEXTJOIN(", ",TRUE,stableR[[#This Row],[ans_opt_1]:[ans_opt_14]])</f>
        <v>Apply to coffee farms within the supply chain, right after processing (e.g. after de-pulping in wet processing and after de-husking in dry processing) without composting, Apply to other crops without composting, Compost and add to coffee farms within the supply chain, Compost and add to other farms outside the supply chain, Temporarily left untreated in a heap/pit (max. 6 months), after which it is applied to the coffee farms within the supply chain, Temporarily left untreated in a heap/pit (max. 6 months), after which it sold or given away (outside the supply chain), Leave them in a pile untreated (min. 6 months or longer) and then applied to the coffee farms within the supply chain, Leave them in a pile untreated (min. 6 months or longer), no other management, Burn on farm, Sell to a buyer or given away (outside the supply chain)</v>
      </c>
      <c r="Y209" s="9" t="s">
        <v>1439</v>
      </c>
      <c r="Z209" s="9" t="s">
        <v>619</v>
      </c>
      <c r="AA209" s="9" t="s">
        <v>620</v>
      </c>
      <c r="AB209" s="9" t="s">
        <v>621</v>
      </c>
      <c r="AC209" s="9" t="s">
        <v>622</v>
      </c>
      <c r="AD209" s="9" t="s">
        <v>623</v>
      </c>
      <c r="AE209" s="9" t="s">
        <v>624</v>
      </c>
      <c r="AF209" s="9" t="s">
        <v>625</v>
      </c>
      <c r="AG209" s="9" t="s">
        <v>626</v>
      </c>
      <c r="AH209" s="9" t="s">
        <v>627</v>
      </c>
      <c r="AM209" s="16" t="b">
        <v>0</v>
      </c>
      <c r="AN209" s="16" t="b">
        <f>COUNTIFS(questions[qno],stableR[[#This Row],[qno]],questions[year_of_survey],2025,questions[origin],"Kenya")&gt;0</f>
        <v>0</v>
      </c>
      <c r="AO209" s="16" t="b">
        <f>COUNTIFS(questions[qno],stableR[[#This Row],[qno]],questions[year_of_survey],2025,questions[origin],"Rwanda")&gt;0</f>
        <v>0</v>
      </c>
      <c r="AP209" s="16" t="b">
        <f>COUNTIFS(questions[qno],stableR[[#This Row],[qno]],questions[year_of_survey],2026,questions[origin],"Burundi")&gt;0</f>
        <v>0</v>
      </c>
      <c r="AQ209" s="16" t="b">
        <f>COUNTIFS(questions[qno],stableR[[#This Row],[qno]],questions[year_of_survey],"",questions[origin],"Indonesia")&gt;0</f>
        <v>0</v>
      </c>
      <c r="AR209" s="16" t="b">
        <f>COUNTIFS(questions[qno],stableR[[#This Row],[qno]],questions[year_of_survey],2025,questions[origin],"Vietnam")&gt;0</f>
        <v>1</v>
      </c>
      <c r="AS209" s="16" t="b">
        <v>1</v>
      </c>
      <c r="AT209" s="16" t="b">
        <v>1</v>
      </c>
    </row>
    <row r="210" spans="1:46" x14ac:dyDescent="0.25">
      <c r="A210" s="15" t="str">
        <f>_xlfn.CONCAT(stableR[[#This Row],[group_0_no]:[order_no]])</f>
        <v>8101</v>
      </c>
      <c r="B210" s="15" t="s">
        <v>1440</v>
      </c>
      <c r="C210" s="213">
        <v>8</v>
      </c>
      <c r="D210" s="213">
        <v>1</v>
      </c>
      <c r="E210" s="213">
        <v>0</v>
      </c>
      <c r="F210" s="213">
        <v>1</v>
      </c>
      <c r="G210" s="9" t="s">
        <v>1335</v>
      </c>
      <c r="H210" s="9" t="b">
        <v>1</v>
      </c>
      <c r="I210" s="9" t="b">
        <v>0</v>
      </c>
      <c r="J210" s="9" t="b">
        <v>1</v>
      </c>
      <c r="K210" s="9" t="b">
        <v>1</v>
      </c>
      <c r="L210" s="9" t="b">
        <v>1</v>
      </c>
      <c r="M210" s="9" t="b">
        <v>0</v>
      </c>
      <c r="N210" s="9" t="b">
        <v>0</v>
      </c>
      <c r="O210" s="9" t="b">
        <v>1</v>
      </c>
      <c r="P210" s="9" t="b">
        <v>0</v>
      </c>
      <c r="Q210" s="9" t="b">
        <v>0</v>
      </c>
      <c r="R210" s="9" t="b">
        <v>0</v>
      </c>
      <c r="S210" s="16">
        <f>COUNTIFS(stableR[q_group],stableR[[#This Row],[q_group]])</f>
        <v>1</v>
      </c>
      <c r="T210" s="9" t="b">
        <v>0</v>
      </c>
      <c r="U210" s="9" t="b">
        <v>0</v>
      </c>
      <c r="V210" s="9" t="b">
        <v>1</v>
      </c>
      <c r="W210" s="9" t="b">
        <v>0</v>
      </c>
      <c r="X210" s="9" t="str">
        <f>_xlfn.TEXTJOIN(", ",TRUE,stableR[[#This Row],[ans_opt_1]:[ans_opt_14]])</f>
        <v/>
      </c>
      <c r="AM210" s="16" t="b">
        <v>0</v>
      </c>
      <c r="AN210" s="16" t="b">
        <f>COUNTIFS(questions[qno],stableR[[#This Row],[qno]],questions[year_of_survey],2025,questions[origin],"Kenya")&gt;0</f>
        <v>0</v>
      </c>
      <c r="AO210" s="16" t="b">
        <f>COUNTIFS(questions[qno],stableR[[#This Row],[qno]],questions[year_of_survey],2025,questions[origin],"Rwanda")&gt;0</f>
        <v>0</v>
      </c>
      <c r="AP210" s="16" t="b">
        <f>COUNTIFS(questions[qno],stableR[[#This Row],[qno]],questions[year_of_survey],2026,questions[origin],"Burundi")&gt;0</f>
        <v>0</v>
      </c>
      <c r="AQ210" s="16" t="b">
        <f>COUNTIFS(questions[qno],stableR[[#This Row],[qno]],questions[year_of_survey],"",questions[origin],"Indonesia")&gt;0</f>
        <v>0</v>
      </c>
      <c r="AR210" s="16" t="b">
        <f>COUNTIFS(questions[qno],stableR[[#This Row],[qno]],questions[year_of_survey],2025,questions[origin],"Vietnam")&gt;0</f>
        <v>1</v>
      </c>
      <c r="AS210" s="16" t="b">
        <v>0</v>
      </c>
      <c r="AT210" s="16" t="b">
        <v>0</v>
      </c>
    </row>
    <row r="211" spans="1:46" x14ac:dyDescent="0.25">
      <c r="A211" s="15" t="str">
        <f>_xlfn.CONCAT(stableR[[#This Row],[group_0_no]:[order_no]])</f>
        <v>8200</v>
      </c>
      <c r="B211" s="15" t="s">
        <v>629</v>
      </c>
      <c r="C211" s="213" t="s">
        <v>1143</v>
      </c>
      <c r="D211" s="213" t="s">
        <v>1097</v>
      </c>
      <c r="E211" s="213" t="s">
        <v>1094</v>
      </c>
      <c r="F211" s="213" t="s">
        <v>1094</v>
      </c>
      <c r="G211" s="9" t="s">
        <v>1336</v>
      </c>
      <c r="H211" s="9" t="b">
        <v>1</v>
      </c>
      <c r="I211" s="9" t="b">
        <v>0</v>
      </c>
      <c r="J211" s="9" t="b">
        <v>0</v>
      </c>
      <c r="K211" s="9" t="b">
        <v>1</v>
      </c>
      <c r="L211" s="9" t="b">
        <v>1</v>
      </c>
      <c r="M211" s="9" t="b">
        <v>0</v>
      </c>
      <c r="N211" s="9" t="b">
        <v>0</v>
      </c>
      <c r="O211" s="9" t="b">
        <v>0</v>
      </c>
      <c r="P211" s="9" t="b">
        <v>1</v>
      </c>
      <c r="Q211" s="9" t="b">
        <v>0</v>
      </c>
      <c r="R211" s="9" t="b">
        <v>1</v>
      </c>
      <c r="S211" s="16">
        <f>COUNTIFS(stableR[q_group],stableR[[#This Row],[q_group]])</f>
        <v>1</v>
      </c>
      <c r="T211" s="9" t="b">
        <v>0</v>
      </c>
      <c r="U211" s="9" t="b">
        <v>0</v>
      </c>
      <c r="V211" s="9" t="b">
        <v>1</v>
      </c>
      <c r="W211" s="9" t="b">
        <v>0</v>
      </c>
      <c r="X211" s="9" t="str">
        <f>_xlfn.TEXTJOIN(", ",TRUE,stableR[[#This Row],[ans_opt_1]:[ans_opt_14]])</f>
        <v>No, Yes</v>
      </c>
      <c r="Y211" s="9" t="s">
        <v>119</v>
      </c>
      <c r="Z211" s="9" t="s">
        <v>149</v>
      </c>
      <c r="AM211" s="16" t="b">
        <v>0</v>
      </c>
      <c r="AN211" s="16" t="b">
        <f>COUNTIFS(questions[qno],stableR[[#This Row],[qno]],questions[year_of_survey],2025,questions[origin],"Kenya")&gt;0</f>
        <v>0</v>
      </c>
      <c r="AO211" s="16" t="b">
        <f>COUNTIFS(questions[qno],stableR[[#This Row],[qno]],questions[year_of_survey],2025,questions[origin],"Rwanda")&gt;0</f>
        <v>0</v>
      </c>
      <c r="AP211" s="16" t="b">
        <f>COUNTIFS(questions[qno],stableR[[#This Row],[qno]],questions[year_of_survey],2026,questions[origin],"Burundi")&gt;0</f>
        <v>0</v>
      </c>
      <c r="AQ211" s="16" t="b">
        <f>COUNTIFS(questions[qno],stableR[[#This Row],[qno]],questions[year_of_survey],"",questions[origin],"Indonesia")&gt;0</f>
        <v>0</v>
      </c>
      <c r="AR211" s="16" t="b">
        <f>COUNTIFS(questions[qno],stableR[[#This Row],[qno]],questions[year_of_survey],2025,questions[origin],"Vietnam")&gt;0</f>
        <v>1</v>
      </c>
      <c r="AS211" s="16" t="b">
        <v>1</v>
      </c>
      <c r="AT211" s="16" t="b">
        <v>1</v>
      </c>
    </row>
    <row r="212" spans="1:46" x14ac:dyDescent="0.25">
      <c r="A212" s="15" t="str">
        <f>_xlfn.CONCAT(stableR[[#This Row],[group_0_no]:[order_no]])</f>
        <v>8201</v>
      </c>
      <c r="B212" s="15" t="s">
        <v>631</v>
      </c>
      <c r="C212" s="213" t="s">
        <v>1143</v>
      </c>
      <c r="D212" s="213" t="s">
        <v>1097</v>
      </c>
      <c r="E212" s="213" t="s">
        <v>1094</v>
      </c>
      <c r="F212" s="213" t="s">
        <v>1093</v>
      </c>
      <c r="G212" s="9" t="s">
        <v>1337</v>
      </c>
      <c r="H212" s="9" t="b">
        <v>1</v>
      </c>
      <c r="I212" s="9" t="b">
        <v>0</v>
      </c>
      <c r="J212" s="9" t="b">
        <v>0</v>
      </c>
      <c r="K212" s="9" t="b">
        <v>1</v>
      </c>
      <c r="L212" s="9" t="b">
        <v>0</v>
      </c>
      <c r="M212" s="9" t="b">
        <v>0</v>
      </c>
      <c r="N212" s="9" t="b">
        <v>0</v>
      </c>
      <c r="O212" s="9" t="b">
        <v>0</v>
      </c>
      <c r="P212" s="9" t="b">
        <v>1</v>
      </c>
      <c r="Q212" s="9" t="b">
        <v>0</v>
      </c>
      <c r="R212" s="9" t="b">
        <v>1</v>
      </c>
      <c r="S212" s="16">
        <f>COUNTIFS(stableR[q_group],stableR[[#This Row],[q_group]])</f>
        <v>1</v>
      </c>
      <c r="T212" s="9" t="b">
        <v>0</v>
      </c>
      <c r="U212" s="9" t="b">
        <v>0</v>
      </c>
      <c r="V212" s="9" t="b">
        <v>1</v>
      </c>
      <c r="W212" s="9" t="b">
        <v>0</v>
      </c>
      <c r="X212" s="9" t="str">
        <f>_xlfn.TEXTJOIN(", ",TRUE,stableR[[#This Row],[ans_opt_1]:[ans_opt_14]])</f>
        <v>Tap water, Natural stream, Rain water, Ground water, Other</v>
      </c>
      <c r="Y212" s="9" t="s">
        <v>632</v>
      </c>
      <c r="Z212" s="9" t="s">
        <v>633</v>
      </c>
      <c r="AA212" s="9" t="s">
        <v>634</v>
      </c>
      <c r="AB212" s="9" t="s">
        <v>635</v>
      </c>
      <c r="AL212" s="9" t="s">
        <v>112</v>
      </c>
      <c r="AM212" s="16" t="b">
        <v>0</v>
      </c>
      <c r="AN212" s="16" t="b">
        <f>COUNTIFS(questions[qno],stableR[[#This Row],[qno]],questions[year_of_survey],2025,questions[origin],"Kenya")&gt;0</f>
        <v>0</v>
      </c>
      <c r="AO212" s="16" t="b">
        <f>COUNTIFS(questions[qno],stableR[[#This Row],[qno]],questions[year_of_survey],2025,questions[origin],"Rwanda")&gt;0</f>
        <v>0</v>
      </c>
      <c r="AP212" s="16" t="b">
        <f>COUNTIFS(questions[qno],stableR[[#This Row],[qno]],questions[year_of_survey],2026,questions[origin],"Burundi")&gt;0</f>
        <v>0</v>
      </c>
      <c r="AQ212" s="16" t="b">
        <f>COUNTIFS(questions[qno],stableR[[#This Row],[qno]],questions[year_of_survey],"",questions[origin],"Indonesia")&gt;0</f>
        <v>0</v>
      </c>
      <c r="AR212" s="16" t="b">
        <f>COUNTIFS(questions[qno],stableR[[#This Row],[qno]],questions[year_of_survey],2025,questions[origin],"Vietnam")&gt;0</f>
        <v>1</v>
      </c>
      <c r="AS212" s="16" t="b">
        <v>1</v>
      </c>
      <c r="AT212" s="16" t="b">
        <v>1</v>
      </c>
    </row>
    <row r="213" spans="1:46" x14ac:dyDescent="0.25">
      <c r="A213" s="15" t="str">
        <f>_xlfn.CONCAT(stableR[[#This Row],[group_0_no]:[order_no]])</f>
        <v>8202</v>
      </c>
      <c r="B213" s="15" t="s">
        <v>637</v>
      </c>
      <c r="C213" s="213" t="s">
        <v>1143</v>
      </c>
      <c r="D213" s="213" t="s">
        <v>1097</v>
      </c>
      <c r="E213" s="213" t="s">
        <v>1094</v>
      </c>
      <c r="F213" s="213" t="s">
        <v>1097</v>
      </c>
      <c r="G213" s="9" t="s">
        <v>1338</v>
      </c>
      <c r="H213" s="9" t="b">
        <v>1</v>
      </c>
      <c r="I213" s="9" t="b">
        <v>0</v>
      </c>
      <c r="J213" s="9" t="b">
        <v>0</v>
      </c>
      <c r="K213" s="9" t="b">
        <v>1</v>
      </c>
      <c r="L213" s="9" t="b">
        <v>0</v>
      </c>
      <c r="M213" s="9" t="b">
        <v>0</v>
      </c>
      <c r="N213" s="9" t="b">
        <v>0</v>
      </c>
      <c r="O213" s="9" t="b">
        <v>1</v>
      </c>
      <c r="P213" s="9" t="b">
        <v>0</v>
      </c>
      <c r="Q213" s="9" t="b">
        <v>0</v>
      </c>
      <c r="R213" s="9" t="b">
        <v>1</v>
      </c>
      <c r="S213" s="16">
        <f>COUNTIFS(stableR[q_group],stableR[[#This Row],[q_group]])</f>
        <v>1</v>
      </c>
      <c r="T213" s="9" t="b">
        <v>0</v>
      </c>
      <c r="U213" s="9" t="b">
        <v>0</v>
      </c>
      <c r="V213" s="9" t="b">
        <v>1</v>
      </c>
      <c r="W213" s="9" t="b">
        <v>0</v>
      </c>
      <c r="X213" s="9" t="str">
        <f>_xlfn.TEXTJOIN(", ",TRUE,stableR[[#This Row],[ans_opt_1]:[ans_opt_14]])</f>
        <v/>
      </c>
      <c r="AM213" s="16" t="b">
        <v>0</v>
      </c>
      <c r="AN213" s="16" t="b">
        <f>COUNTIFS(questions[qno],stableR[[#This Row],[qno]],questions[year_of_survey],2025,questions[origin],"Kenya")&gt;0</f>
        <v>0</v>
      </c>
      <c r="AO213" s="16" t="b">
        <f>COUNTIFS(questions[qno],stableR[[#This Row],[qno]],questions[year_of_survey],2025,questions[origin],"Rwanda")&gt;0</f>
        <v>0</v>
      </c>
      <c r="AP213" s="16" t="b">
        <f>COUNTIFS(questions[qno],stableR[[#This Row],[qno]],questions[year_of_survey],2026,questions[origin],"Burundi")&gt;0</f>
        <v>0</v>
      </c>
      <c r="AQ213" s="16" t="b">
        <f>COUNTIFS(questions[qno],stableR[[#This Row],[qno]],questions[year_of_survey],"",questions[origin],"Indonesia")&gt;0</f>
        <v>0</v>
      </c>
      <c r="AR213" s="16" t="b">
        <f>COUNTIFS(questions[qno],stableR[[#This Row],[qno]],questions[year_of_survey],2025,questions[origin],"Vietnam")&gt;0</f>
        <v>1</v>
      </c>
      <c r="AS213" s="16" t="b">
        <v>1</v>
      </c>
      <c r="AT213" s="16" t="b">
        <v>1</v>
      </c>
    </row>
    <row r="214" spans="1:46" x14ac:dyDescent="0.25">
      <c r="A214" s="15" t="str">
        <f>_xlfn.CONCAT(stableR[[#This Row],[group_0_no]:[order_no]])</f>
        <v>8203</v>
      </c>
      <c r="B214" s="15" t="s">
        <v>639</v>
      </c>
      <c r="C214" s="213" t="s">
        <v>1143</v>
      </c>
      <c r="D214" s="213" t="s">
        <v>1097</v>
      </c>
      <c r="E214" s="213" t="s">
        <v>1094</v>
      </c>
      <c r="F214" s="213" t="s">
        <v>1099</v>
      </c>
      <c r="G214" s="9" t="s">
        <v>1339</v>
      </c>
      <c r="H214" s="9" t="b">
        <v>1</v>
      </c>
      <c r="I214" s="9" t="b">
        <v>0</v>
      </c>
      <c r="J214" s="9" t="b">
        <v>0</v>
      </c>
      <c r="K214" s="9" t="b">
        <v>1</v>
      </c>
      <c r="L214" s="9" t="b">
        <v>0</v>
      </c>
      <c r="M214" s="9" t="b">
        <v>0</v>
      </c>
      <c r="N214" s="9" t="b">
        <v>0</v>
      </c>
      <c r="O214" s="9" t="b">
        <v>1</v>
      </c>
      <c r="P214" s="9" t="b">
        <v>0</v>
      </c>
      <c r="Q214" s="9" t="b">
        <v>0</v>
      </c>
      <c r="R214" s="9" t="b">
        <v>1</v>
      </c>
      <c r="S214" s="16">
        <f>COUNTIFS(stableR[q_group],stableR[[#This Row],[q_group]])</f>
        <v>1</v>
      </c>
      <c r="T214" s="9" t="b">
        <v>0</v>
      </c>
      <c r="U214" s="9" t="b">
        <v>0</v>
      </c>
      <c r="V214" s="9" t="b">
        <v>1</v>
      </c>
      <c r="W214" s="9" t="b">
        <v>0</v>
      </c>
      <c r="X214" s="9" t="str">
        <f>_xlfn.TEXTJOIN(", ",TRUE,stableR[[#This Row],[ans_opt_1]:[ans_opt_14]])</f>
        <v/>
      </c>
      <c r="AM214" s="16" t="b">
        <v>0</v>
      </c>
      <c r="AN214" s="16" t="b">
        <f>COUNTIFS(questions[qno],stableR[[#This Row],[qno]],questions[year_of_survey],2025,questions[origin],"Kenya")&gt;0</f>
        <v>0</v>
      </c>
      <c r="AO214" s="16" t="b">
        <f>COUNTIFS(questions[qno],stableR[[#This Row],[qno]],questions[year_of_survey],2025,questions[origin],"Rwanda")&gt;0</f>
        <v>0</v>
      </c>
      <c r="AP214" s="16" t="b">
        <f>COUNTIFS(questions[qno],stableR[[#This Row],[qno]],questions[year_of_survey],2026,questions[origin],"Burundi")&gt;0</f>
        <v>0</v>
      </c>
      <c r="AQ214" s="16" t="b">
        <f>COUNTIFS(questions[qno],stableR[[#This Row],[qno]],questions[year_of_survey],"",questions[origin],"Indonesia")&gt;0</f>
        <v>0</v>
      </c>
      <c r="AR214" s="16" t="b">
        <f>COUNTIFS(questions[qno],stableR[[#This Row],[qno]],questions[year_of_survey],2025,questions[origin],"Vietnam")&gt;0</f>
        <v>1</v>
      </c>
      <c r="AS214" s="16" t="b">
        <v>1</v>
      </c>
      <c r="AT214" s="16" t="b">
        <v>1</v>
      </c>
    </row>
    <row r="215" spans="1:46" x14ac:dyDescent="0.25">
      <c r="A215" s="15" t="str">
        <f>_xlfn.CONCAT(stableR[[#This Row],[group_0_no]:[order_no]])</f>
        <v>8204</v>
      </c>
      <c r="B215" s="15" t="s">
        <v>641</v>
      </c>
      <c r="C215" s="213" t="s">
        <v>1143</v>
      </c>
      <c r="D215" s="213" t="s">
        <v>1097</v>
      </c>
      <c r="E215" s="213" t="s">
        <v>1094</v>
      </c>
      <c r="F215" s="213" t="s">
        <v>1101</v>
      </c>
      <c r="G215" s="9" t="s">
        <v>1340</v>
      </c>
      <c r="H215" s="9" t="b">
        <v>1</v>
      </c>
      <c r="I215" s="9" t="b">
        <v>0</v>
      </c>
      <c r="J215" s="9" t="b">
        <v>0</v>
      </c>
      <c r="K215" s="9" t="b">
        <v>1</v>
      </c>
      <c r="L215" s="9" t="b">
        <v>0</v>
      </c>
      <c r="M215" s="9" t="b">
        <v>0</v>
      </c>
      <c r="N215" s="9" t="b">
        <v>1</v>
      </c>
      <c r="O215" s="9" t="b">
        <v>0</v>
      </c>
      <c r="P215" s="9" t="b">
        <v>0</v>
      </c>
      <c r="Q215" s="9" t="b">
        <v>0</v>
      </c>
      <c r="R215" s="9" t="b">
        <v>1</v>
      </c>
      <c r="S215" s="16">
        <f>COUNTIFS(stableR[q_group],stableR[[#This Row],[q_group]])</f>
        <v>1</v>
      </c>
      <c r="T215" s="9" t="b">
        <v>0</v>
      </c>
      <c r="U215" s="9" t="b">
        <v>0</v>
      </c>
      <c r="V215" s="9" t="b">
        <v>1</v>
      </c>
      <c r="W215" s="9" t="b">
        <v>0</v>
      </c>
      <c r="X215" s="9" t="str">
        <f>_xlfn.TEXTJOIN(", ",TRUE,stableR[[#This Row],[ans_opt_1]:[ans_opt_14]])</f>
        <v/>
      </c>
      <c r="AM215" s="16" t="b">
        <v>0</v>
      </c>
      <c r="AN215" s="16" t="b">
        <f>COUNTIFS(questions[qno],stableR[[#This Row],[qno]],questions[year_of_survey],2025,questions[origin],"Kenya")&gt;0</f>
        <v>0</v>
      </c>
      <c r="AO215" s="16" t="b">
        <f>COUNTIFS(questions[qno],stableR[[#This Row],[qno]],questions[year_of_survey],2025,questions[origin],"Rwanda")&gt;0</f>
        <v>0</v>
      </c>
      <c r="AP215" s="16" t="b">
        <f>COUNTIFS(questions[qno],stableR[[#This Row],[qno]],questions[year_of_survey],2026,questions[origin],"Burundi")&gt;0</f>
        <v>0</v>
      </c>
      <c r="AQ215" s="16" t="b">
        <f>COUNTIFS(questions[qno],stableR[[#This Row],[qno]],questions[year_of_survey],"",questions[origin],"Indonesia")&gt;0</f>
        <v>0</v>
      </c>
      <c r="AR215" s="16" t="b">
        <f>COUNTIFS(questions[qno],stableR[[#This Row],[qno]],questions[year_of_survey],2025,questions[origin],"Vietnam")&gt;0</f>
        <v>1</v>
      </c>
      <c r="AS215" s="16" t="b">
        <v>1</v>
      </c>
      <c r="AT215" s="16" t="b">
        <v>1</v>
      </c>
    </row>
    <row r="216" spans="1:46" x14ac:dyDescent="0.25">
      <c r="A216" s="15" t="str">
        <f>_xlfn.CONCAT(stableR[[#This Row],[group_0_no]:[order_no]])</f>
        <v>8300</v>
      </c>
      <c r="B216" s="15" t="s">
        <v>643</v>
      </c>
      <c r="C216" s="213" t="s">
        <v>1143</v>
      </c>
      <c r="D216" s="213" t="s">
        <v>1099</v>
      </c>
      <c r="E216" s="213" t="s">
        <v>1094</v>
      </c>
      <c r="F216" s="213" t="s">
        <v>1094</v>
      </c>
      <c r="G216" s="9" t="s">
        <v>1341</v>
      </c>
      <c r="H216" s="9" t="b">
        <v>1</v>
      </c>
      <c r="I216" s="9" t="b">
        <v>0</v>
      </c>
      <c r="J216" s="9" t="b">
        <v>0</v>
      </c>
      <c r="K216" s="9" t="b">
        <v>1</v>
      </c>
      <c r="L216" s="9" t="b">
        <v>1</v>
      </c>
      <c r="M216" s="9" t="b">
        <v>0</v>
      </c>
      <c r="N216" s="9" t="b">
        <v>0</v>
      </c>
      <c r="O216" s="9" t="b">
        <v>0</v>
      </c>
      <c r="P216" s="9" t="b">
        <v>1</v>
      </c>
      <c r="Q216" s="9" t="b">
        <v>0</v>
      </c>
      <c r="R216" s="9" t="b">
        <v>1</v>
      </c>
      <c r="S216" s="16">
        <f>COUNTIFS(stableR[q_group],stableR[[#This Row],[q_group]])</f>
        <v>1</v>
      </c>
      <c r="T216" s="9" t="b">
        <v>0</v>
      </c>
      <c r="U216" s="9" t="b">
        <v>0</v>
      </c>
      <c r="V216" s="9" t="b">
        <v>1</v>
      </c>
      <c r="W216" s="9" t="b">
        <v>0</v>
      </c>
      <c r="X216" s="9" t="str">
        <f>_xlfn.TEXTJOIN(", ",TRUE,stableR[[#This Row],[ans_opt_1]:[ans_opt_14]])</f>
        <v>No, Yes</v>
      </c>
      <c r="Y216" s="9" t="s">
        <v>119</v>
      </c>
      <c r="Z216" s="9" t="s">
        <v>149</v>
      </c>
      <c r="AM216" s="16" t="b">
        <v>0</v>
      </c>
      <c r="AN216" s="16" t="b">
        <f>COUNTIFS(questions[qno],stableR[[#This Row],[qno]],questions[year_of_survey],2025,questions[origin],"Kenya")&gt;0</f>
        <v>0</v>
      </c>
      <c r="AO216" s="16" t="b">
        <f>COUNTIFS(questions[qno],stableR[[#This Row],[qno]],questions[year_of_survey],2025,questions[origin],"Rwanda")&gt;0</f>
        <v>0</v>
      </c>
      <c r="AP216" s="16" t="b">
        <f>COUNTIFS(questions[qno],stableR[[#This Row],[qno]],questions[year_of_survey],2026,questions[origin],"Burundi")&gt;0</f>
        <v>0</v>
      </c>
      <c r="AQ216" s="16" t="b">
        <f>COUNTIFS(questions[qno],stableR[[#This Row],[qno]],questions[year_of_survey],"",questions[origin],"Indonesia")&gt;0</f>
        <v>0</v>
      </c>
      <c r="AR216" s="16" t="b">
        <f>COUNTIFS(questions[qno],stableR[[#This Row],[qno]],questions[year_of_survey],2025,questions[origin],"Vietnam")&gt;0</f>
        <v>1</v>
      </c>
      <c r="AS216" s="16" t="b">
        <v>1</v>
      </c>
      <c r="AT216" s="16" t="b">
        <v>1</v>
      </c>
    </row>
    <row r="217" spans="1:46" x14ac:dyDescent="0.25">
      <c r="A217" s="15" t="str">
        <f>_xlfn.CONCAT(stableR[[#This Row],[group_0_no]:[order_no]])</f>
        <v>8301</v>
      </c>
      <c r="B217" s="15" t="s">
        <v>1441</v>
      </c>
      <c r="C217" s="213" t="s">
        <v>1143</v>
      </c>
      <c r="D217" s="213" t="s">
        <v>1099</v>
      </c>
      <c r="E217" s="213" t="s">
        <v>1094</v>
      </c>
      <c r="F217" s="213" t="s">
        <v>1093</v>
      </c>
      <c r="G217" s="9" t="s">
        <v>1342</v>
      </c>
      <c r="H217" s="9" t="b">
        <v>1</v>
      </c>
      <c r="I217" s="9" t="b">
        <v>0</v>
      </c>
      <c r="J217" s="9" t="b">
        <v>0</v>
      </c>
      <c r="K217" s="9" t="b">
        <v>1</v>
      </c>
      <c r="L217" s="9" t="b">
        <v>1</v>
      </c>
      <c r="M217" s="9" t="b">
        <v>0</v>
      </c>
      <c r="N217" s="9" t="b">
        <v>0</v>
      </c>
      <c r="O217" s="9" t="b">
        <v>0</v>
      </c>
      <c r="P217" s="9" t="b">
        <v>0</v>
      </c>
      <c r="Q217" s="9" t="b">
        <v>1</v>
      </c>
      <c r="R217" s="9" t="b">
        <v>1</v>
      </c>
      <c r="S217" s="16">
        <f>COUNTIFS(stableR[q_group],stableR[[#This Row],[q_group]])</f>
        <v>1</v>
      </c>
      <c r="T217" s="9" t="b">
        <v>0</v>
      </c>
      <c r="U217" s="9" t="b">
        <v>0</v>
      </c>
      <c r="V217" s="9" t="b">
        <v>1</v>
      </c>
      <c r="W217" s="9" t="b">
        <v>0</v>
      </c>
      <c r="X217" s="9" t="str">
        <f>_xlfn.TEXTJOIN(", ",TRUE,stableR[[#This Row],[ans_opt_1]:[ans_opt_14]])</f>
        <v>Processing, Transport, Power Generator, Irrigation, Weed cutter, Other</v>
      </c>
      <c r="Y217" s="9" t="s">
        <v>646</v>
      </c>
      <c r="Z217" s="9" t="s">
        <v>647</v>
      </c>
      <c r="AA217" s="9" t="s">
        <v>648</v>
      </c>
      <c r="AB217" s="9" t="s">
        <v>649</v>
      </c>
      <c r="AC217" s="9" t="s">
        <v>658</v>
      </c>
      <c r="AL217" s="9" t="s">
        <v>112</v>
      </c>
      <c r="AM217" s="16" t="b">
        <v>0</v>
      </c>
      <c r="AN217" s="16" t="b">
        <f>COUNTIFS(questions[qno],stableR[[#This Row],[qno]],questions[year_of_survey],2025,questions[origin],"Kenya")&gt;0</f>
        <v>0</v>
      </c>
      <c r="AO217" s="16" t="b">
        <f>COUNTIFS(questions[qno],stableR[[#This Row],[qno]],questions[year_of_survey],2025,questions[origin],"Rwanda")&gt;0</f>
        <v>0</v>
      </c>
      <c r="AP217" s="16" t="b">
        <f>COUNTIFS(questions[qno],stableR[[#This Row],[qno]],questions[year_of_survey],2026,questions[origin],"Burundi")&gt;0</f>
        <v>0</v>
      </c>
      <c r="AQ217" s="16" t="b">
        <f>COUNTIFS(questions[qno],stableR[[#This Row],[qno]],questions[year_of_survey],"",questions[origin],"Indonesia")&gt;0</f>
        <v>0</v>
      </c>
      <c r="AR217" s="16" t="b">
        <f>COUNTIFS(questions[qno],stableR[[#This Row],[qno]],questions[year_of_survey],2025,questions[origin],"Vietnam")&gt;0</f>
        <v>1</v>
      </c>
      <c r="AS217" s="16" t="b">
        <v>1</v>
      </c>
      <c r="AT217" s="16" t="b">
        <v>1</v>
      </c>
    </row>
    <row r="218" spans="1:46" x14ac:dyDescent="0.25">
      <c r="A218" s="15" t="str">
        <f>_xlfn.CONCAT(stableR[[#This Row],[group_0_no]:[order_no]])</f>
        <v>8302</v>
      </c>
      <c r="B218" s="15" t="s">
        <v>651</v>
      </c>
      <c r="C218" s="213" t="s">
        <v>1143</v>
      </c>
      <c r="D218" s="213" t="s">
        <v>1099</v>
      </c>
      <c r="E218" s="213" t="s">
        <v>1094</v>
      </c>
      <c r="F218" s="213" t="s">
        <v>1097</v>
      </c>
      <c r="G218" s="9" t="s">
        <v>1343</v>
      </c>
      <c r="H218" s="9" t="b">
        <v>1</v>
      </c>
      <c r="I218" s="9" t="b">
        <v>0</v>
      </c>
      <c r="J218" s="9" t="b">
        <v>0</v>
      </c>
      <c r="K218" s="9" t="b">
        <v>1</v>
      </c>
      <c r="L218" s="9" t="b">
        <v>1</v>
      </c>
      <c r="M218" s="9" t="b">
        <v>0</v>
      </c>
      <c r="N218" s="9" t="b">
        <v>0</v>
      </c>
      <c r="O218" s="9" t="b">
        <v>1</v>
      </c>
      <c r="P218" s="9" t="b">
        <v>0</v>
      </c>
      <c r="Q218" s="9" t="b">
        <v>0</v>
      </c>
      <c r="R218" s="9" t="b">
        <v>1</v>
      </c>
      <c r="S218" s="16">
        <f>COUNTIFS(stableR[q_group],stableR[[#This Row],[q_group]])</f>
        <v>1</v>
      </c>
      <c r="T218" s="9" t="b">
        <v>0</v>
      </c>
      <c r="U218" s="9" t="b">
        <v>0</v>
      </c>
      <c r="V218" s="9" t="b">
        <v>1</v>
      </c>
      <c r="W218" s="9" t="b">
        <v>0</v>
      </c>
      <c r="X218" s="9" t="str">
        <f>_xlfn.TEXTJOIN(", ",TRUE,stableR[[#This Row],[ans_opt_1]:[ans_opt_14]])</f>
        <v/>
      </c>
      <c r="AM218" s="16" t="b">
        <v>0</v>
      </c>
      <c r="AN218" s="16" t="b">
        <f>COUNTIFS(questions[qno],stableR[[#This Row],[qno]],questions[year_of_survey],2025,questions[origin],"Kenya")&gt;0</f>
        <v>0</v>
      </c>
      <c r="AO218" s="16" t="b">
        <f>COUNTIFS(questions[qno],stableR[[#This Row],[qno]],questions[year_of_survey],2025,questions[origin],"Rwanda")&gt;0</f>
        <v>0</v>
      </c>
      <c r="AP218" s="16" t="b">
        <f>COUNTIFS(questions[qno],stableR[[#This Row],[qno]],questions[year_of_survey],2026,questions[origin],"Burundi")&gt;0</f>
        <v>0</v>
      </c>
      <c r="AQ218" s="16" t="b">
        <f>COUNTIFS(questions[qno],stableR[[#This Row],[qno]],questions[year_of_survey],"",questions[origin],"Indonesia")&gt;0</f>
        <v>0</v>
      </c>
      <c r="AR218" s="16" t="b">
        <f>COUNTIFS(questions[qno],stableR[[#This Row],[qno]],questions[year_of_survey],2025,questions[origin],"Vietnam")&gt;0</f>
        <v>1</v>
      </c>
      <c r="AS218" s="16" t="b">
        <v>1</v>
      </c>
      <c r="AT218" s="16" t="b">
        <v>1</v>
      </c>
    </row>
    <row r="219" spans="1:46" x14ac:dyDescent="0.25">
      <c r="A219" s="15" t="str">
        <f>_xlfn.CONCAT(stableR[[#This Row],[group_0_no]:[order_no]])</f>
        <v>8303</v>
      </c>
      <c r="B219" s="15" t="s">
        <v>653</v>
      </c>
      <c r="C219" s="213" t="s">
        <v>1143</v>
      </c>
      <c r="D219" s="213" t="s">
        <v>1099</v>
      </c>
      <c r="E219" s="213" t="s">
        <v>1094</v>
      </c>
      <c r="F219" s="213" t="s">
        <v>1099</v>
      </c>
      <c r="G219" s="9" t="s">
        <v>1344</v>
      </c>
      <c r="H219" s="9" t="b">
        <v>1</v>
      </c>
      <c r="I219" s="9" t="b">
        <v>0</v>
      </c>
      <c r="J219" s="9" t="b">
        <v>0</v>
      </c>
      <c r="K219" s="9" t="b">
        <v>1</v>
      </c>
      <c r="L219" s="9" t="b">
        <v>1</v>
      </c>
      <c r="M219" s="9" t="b">
        <v>0</v>
      </c>
      <c r="N219" s="9" t="b">
        <v>0</v>
      </c>
      <c r="O219" s="9" t="b">
        <v>1</v>
      </c>
      <c r="P219" s="9" t="b">
        <v>0</v>
      </c>
      <c r="Q219" s="9" t="b">
        <v>0</v>
      </c>
      <c r="R219" s="9" t="b">
        <v>1</v>
      </c>
      <c r="S219" s="16">
        <f>COUNTIFS(stableR[q_group],stableR[[#This Row],[q_group]])</f>
        <v>1</v>
      </c>
      <c r="T219" s="9" t="b">
        <v>0</v>
      </c>
      <c r="U219" s="9" t="b">
        <v>0</v>
      </c>
      <c r="V219" s="9" t="b">
        <v>1</v>
      </c>
      <c r="W219" s="9" t="b">
        <v>0</v>
      </c>
      <c r="X219" s="9" t="str">
        <f>_xlfn.TEXTJOIN(", ",TRUE,stableR[[#This Row],[ans_opt_1]:[ans_opt_14]])</f>
        <v/>
      </c>
      <c r="AM219" s="16" t="b">
        <v>0</v>
      </c>
      <c r="AN219" s="16" t="b">
        <f>COUNTIFS(questions[qno],stableR[[#This Row],[qno]],questions[year_of_survey],2025,questions[origin],"Kenya")&gt;0</f>
        <v>0</v>
      </c>
      <c r="AO219" s="16" t="b">
        <f>COUNTIFS(questions[qno],stableR[[#This Row],[qno]],questions[year_of_survey],2025,questions[origin],"Rwanda")&gt;0</f>
        <v>0</v>
      </c>
      <c r="AP219" s="16" t="b">
        <f>COUNTIFS(questions[qno],stableR[[#This Row],[qno]],questions[year_of_survey],2026,questions[origin],"Burundi")&gt;0</f>
        <v>0</v>
      </c>
      <c r="AQ219" s="16" t="b">
        <f>COUNTIFS(questions[qno],stableR[[#This Row],[qno]],questions[year_of_survey],"",questions[origin],"Indonesia")&gt;0</f>
        <v>0</v>
      </c>
      <c r="AR219" s="16" t="b">
        <f>COUNTIFS(questions[qno],stableR[[#This Row],[qno]],questions[year_of_survey],2025,questions[origin],"Vietnam")&gt;0</f>
        <v>1</v>
      </c>
      <c r="AS219" s="16" t="b">
        <v>1</v>
      </c>
      <c r="AT219" s="16" t="b">
        <v>1</v>
      </c>
    </row>
    <row r="220" spans="1:46" x14ac:dyDescent="0.25">
      <c r="A220" s="15" t="str">
        <f>_xlfn.CONCAT(stableR[[#This Row],[group_0_no]:[order_no]])</f>
        <v>8400</v>
      </c>
      <c r="B220" s="15" t="s">
        <v>655</v>
      </c>
      <c r="C220" s="213" t="s">
        <v>1143</v>
      </c>
      <c r="D220" s="213" t="s">
        <v>1101</v>
      </c>
      <c r="E220" s="213" t="s">
        <v>1094</v>
      </c>
      <c r="F220" s="213" t="s">
        <v>1094</v>
      </c>
      <c r="G220" s="9" t="s">
        <v>1345</v>
      </c>
      <c r="H220" s="9" t="b">
        <v>1</v>
      </c>
      <c r="I220" s="9" t="b">
        <v>0</v>
      </c>
      <c r="J220" s="9" t="b">
        <v>0</v>
      </c>
      <c r="K220" s="9" t="b">
        <v>1</v>
      </c>
      <c r="L220" s="9" t="b">
        <v>1</v>
      </c>
      <c r="M220" s="9" t="b">
        <v>0</v>
      </c>
      <c r="N220" s="9" t="b">
        <v>0</v>
      </c>
      <c r="O220" s="9" t="b">
        <v>0</v>
      </c>
      <c r="P220" s="9" t="b">
        <v>1</v>
      </c>
      <c r="Q220" s="9" t="b">
        <v>0</v>
      </c>
      <c r="R220" s="9" t="b">
        <v>1</v>
      </c>
      <c r="S220" s="16">
        <f>COUNTIFS(stableR[q_group],stableR[[#This Row],[q_group]])</f>
        <v>1</v>
      </c>
      <c r="T220" s="9" t="b">
        <v>0</v>
      </c>
      <c r="U220" s="9" t="b">
        <v>0</v>
      </c>
      <c r="V220" s="9" t="b">
        <v>1</v>
      </c>
      <c r="W220" s="9" t="b">
        <v>0</v>
      </c>
      <c r="X220" s="9" t="str">
        <f>_xlfn.TEXTJOIN(", ",TRUE,stableR[[#This Row],[ans_opt_1]:[ans_opt_14]])</f>
        <v>No, Yes</v>
      </c>
      <c r="Y220" s="9" t="s">
        <v>119</v>
      </c>
      <c r="Z220" s="9" t="s">
        <v>149</v>
      </c>
      <c r="AM220" s="16" t="b">
        <v>0</v>
      </c>
      <c r="AN220" s="16" t="b">
        <f>COUNTIFS(questions[qno],stableR[[#This Row],[qno]],questions[year_of_survey],2025,questions[origin],"Kenya")&gt;0</f>
        <v>0</v>
      </c>
      <c r="AO220" s="16" t="b">
        <f>COUNTIFS(questions[qno],stableR[[#This Row],[qno]],questions[year_of_survey],2025,questions[origin],"Rwanda")&gt;0</f>
        <v>0</v>
      </c>
      <c r="AP220" s="16" t="b">
        <f>COUNTIFS(questions[qno],stableR[[#This Row],[qno]],questions[year_of_survey],2026,questions[origin],"Burundi")&gt;0</f>
        <v>0</v>
      </c>
      <c r="AQ220" s="16" t="b">
        <f>COUNTIFS(questions[qno],stableR[[#This Row],[qno]],questions[year_of_survey],"",questions[origin],"Indonesia")&gt;0</f>
        <v>0</v>
      </c>
      <c r="AR220" s="16" t="b">
        <f>COUNTIFS(questions[qno],stableR[[#This Row],[qno]],questions[year_of_survey],2025,questions[origin],"Vietnam")&gt;0</f>
        <v>1</v>
      </c>
      <c r="AS220" s="16" t="b">
        <v>1</v>
      </c>
      <c r="AT220" s="16" t="b">
        <v>1</v>
      </c>
    </row>
    <row r="221" spans="1:46" x14ac:dyDescent="0.25">
      <c r="A221" s="15" t="str">
        <f>_xlfn.CONCAT(stableR[[#This Row],[group_0_no]:[order_no]])</f>
        <v>8401</v>
      </c>
      <c r="B221" s="15" t="s">
        <v>657</v>
      </c>
      <c r="C221" s="213" t="s">
        <v>1143</v>
      </c>
      <c r="D221" s="213" t="s">
        <v>1101</v>
      </c>
      <c r="E221" s="213" t="s">
        <v>1094</v>
      </c>
      <c r="F221" s="213" t="s">
        <v>1093</v>
      </c>
      <c r="G221" s="9" t="s">
        <v>1346</v>
      </c>
      <c r="H221" s="9" t="b">
        <v>1</v>
      </c>
      <c r="I221" s="9" t="b">
        <v>0</v>
      </c>
      <c r="J221" s="9" t="b">
        <v>0</v>
      </c>
      <c r="K221" s="9" t="b">
        <v>1</v>
      </c>
      <c r="L221" s="9" t="b">
        <v>1</v>
      </c>
      <c r="M221" s="9" t="b">
        <v>0</v>
      </c>
      <c r="N221" s="9" t="b">
        <v>0</v>
      </c>
      <c r="O221" s="9" t="b">
        <v>0</v>
      </c>
      <c r="P221" s="9" t="b">
        <v>0</v>
      </c>
      <c r="Q221" s="9" t="b">
        <v>1</v>
      </c>
      <c r="R221" s="9" t="b">
        <v>1</v>
      </c>
      <c r="S221" s="16">
        <f>COUNTIFS(stableR[q_group],stableR[[#This Row],[q_group]])</f>
        <v>1</v>
      </c>
      <c r="T221" s="9" t="b">
        <v>0</v>
      </c>
      <c r="U221" s="9" t="b">
        <v>0</v>
      </c>
      <c r="V221" s="9" t="b">
        <v>1</v>
      </c>
      <c r="W221" s="9" t="b">
        <v>0</v>
      </c>
      <c r="X221" s="9" t="str">
        <f>_xlfn.TEXTJOIN(", ",TRUE,stableR[[#This Row],[ans_opt_1]:[ans_opt_14]])</f>
        <v>Processing, Transport, Power Generator, Irrigation, Weed cutter</v>
      </c>
      <c r="Y221" s="9" t="s">
        <v>646</v>
      </c>
      <c r="Z221" s="9" t="s">
        <v>647</v>
      </c>
      <c r="AA221" s="9" t="s">
        <v>648</v>
      </c>
      <c r="AB221" s="9" t="s">
        <v>649</v>
      </c>
      <c r="AC221" s="9" t="s">
        <v>658</v>
      </c>
      <c r="AM221" s="16" t="b">
        <v>0</v>
      </c>
      <c r="AN221" s="16" t="b">
        <f>COUNTIFS(questions[qno],stableR[[#This Row],[qno]],questions[year_of_survey],2025,questions[origin],"Kenya")&gt;0</f>
        <v>0</v>
      </c>
      <c r="AO221" s="16" t="b">
        <f>COUNTIFS(questions[qno],stableR[[#This Row],[qno]],questions[year_of_survey],2025,questions[origin],"Rwanda")&gt;0</f>
        <v>0</v>
      </c>
      <c r="AP221" s="16" t="b">
        <f>COUNTIFS(questions[qno],stableR[[#This Row],[qno]],questions[year_of_survey],2026,questions[origin],"Burundi")&gt;0</f>
        <v>0</v>
      </c>
      <c r="AQ221" s="16" t="b">
        <f>COUNTIFS(questions[qno],stableR[[#This Row],[qno]],questions[year_of_survey],"",questions[origin],"Indonesia")&gt;0</f>
        <v>0</v>
      </c>
      <c r="AR221" s="16" t="b">
        <f>COUNTIFS(questions[qno],stableR[[#This Row],[qno]],questions[year_of_survey],2025,questions[origin],"Vietnam")&gt;0</f>
        <v>1</v>
      </c>
      <c r="AS221" s="16" t="b">
        <v>1</v>
      </c>
      <c r="AT221" s="16" t="b">
        <v>1</v>
      </c>
    </row>
    <row r="222" spans="1:46" x14ac:dyDescent="0.25">
      <c r="A222" s="15" t="str">
        <f>_xlfn.CONCAT(stableR[[#This Row],[group_0_no]:[order_no]])</f>
        <v>8402</v>
      </c>
      <c r="B222" s="15" t="s">
        <v>651</v>
      </c>
      <c r="C222" s="213" t="s">
        <v>1143</v>
      </c>
      <c r="D222" s="213" t="s">
        <v>1101</v>
      </c>
      <c r="E222" s="213" t="s">
        <v>1094</v>
      </c>
      <c r="F222" s="213" t="s">
        <v>1097</v>
      </c>
      <c r="G222" s="9" t="s">
        <v>1347</v>
      </c>
      <c r="H222" s="9" t="b">
        <v>1</v>
      </c>
      <c r="I222" s="9" t="b">
        <v>0</v>
      </c>
      <c r="J222" s="9" t="b">
        <v>0</v>
      </c>
      <c r="K222" s="9" t="b">
        <v>1</v>
      </c>
      <c r="L222" s="9" t="b">
        <v>1</v>
      </c>
      <c r="M222" s="9" t="b">
        <v>0</v>
      </c>
      <c r="N222" s="9" t="b">
        <v>0</v>
      </c>
      <c r="O222" s="9" t="b">
        <v>1</v>
      </c>
      <c r="P222" s="9" t="b">
        <v>0</v>
      </c>
      <c r="Q222" s="9" t="b">
        <v>0</v>
      </c>
      <c r="R222" s="9" t="b">
        <v>1</v>
      </c>
      <c r="S222" s="16">
        <f>COUNTIFS(stableR[q_group],stableR[[#This Row],[q_group]])</f>
        <v>1</v>
      </c>
      <c r="T222" s="9" t="b">
        <v>0</v>
      </c>
      <c r="U222" s="9" t="b">
        <v>0</v>
      </c>
      <c r="V222" s="9" t="b">
        <v>1</v>
      </c>
      <c r="W222" s="9" t="b">
        <v>0</v>
      </c>
      <c r="X222" s="9" t="str">
        <f>_xlfn.TEXTJOIN(", ",TRUE,stableR[[#This Row],[ans_opt_1]:[ans_opt_14]])</f>
        <v/>
      </c>
      <c r="AM222" s="16" t="b">
        <v>0</v>
      </c>
      <c r="AN222" s="16" t="b">
        <f>COUNTIFS(questions[qno],stableR[[#This Row],[qno]],questions[year_of_survey],2025,questions[origin],"Kenya")&gt;0</f>
        <v>0</v>
      </c>
      <c r="AO222" s="16" t="b">
        <f>COUNTIFS(questions[qno],stableR[[#This Row],[qno]],questions[year_of_survey],2025,questions[origin],"Rwanda")&gt;0</f>
        <v>0</v>
      </c>
      <c r="AP222" s="16" t="b">
        <f>COUNTIFS(questions[qno],stableR[[#This Row],[qno]],questions[year_of_survey],2026,questions[origin],"Burundi")&gt;0</f>
        <v>0</v>
      </c>
      <c r="AQ222" s="16" t="b">
        <f>COUNTIFS(questions[qno],stableR[[#This Row],[qno]],questions[year_of_survey],"",questions[origin],"Indonesia")&gt;0</f>
        <v>0</v>
      </c>
      <c r="AR222" s="16" t="b">
        <f>COUNTIFS(questions[qno],stableR[[#This Row],[qno]],questions[year_of_survey],2025,questions[origin],"Vietnam")&gt;0</f>
        <v>1</v>
      </c>
      <c r="AS222" s="16" t="b">
        <v>1</v>
      </c>
      <c r="AT222" s="16" t="b">
        <v>1</v>
      </c>
    </row>
    <row r="223" spans="1:46" x14ac:dyDescent="0.25">
      <c r="A223" s="15" t="str">
        <f>_xlfn.CONCAT(stableR[[#This Row],[group_0_no]:[order_no]])</f>
        <v>8403</v>
      </c>
      <c r="B223" s="15" t="s">
        <v>1442</v>
      </c>
      <c r="C223" s="213" t="s">
        <v>1143</v>
      </c>
      <c r="D223" s="213" t="s">
        <v>1101</v>
      </c>
      <c r="E223" s="213" t="s">
        <v>1094</v>
      </c>
      <c r="F223" s="213" t="s">
        <v>1099</v>
      </c>
      <c r="G223" s="9" t="s">
        <v>1348</v>
      </c>
      <c r="H223" s="9" t="b">
        <v>1</v>
      </c>
      <c r="I223" s="9" t="b">
        <v>0</v>
      </c>
      <c r="J223" s="9" t="b">
        <v>0</v>
      </c>
      <c r="K223" s="9" t="b">
        <v>1</v>
      </c>
      <c r="L223" s="9" t="b">
        <v>1</v>
      </c>
      <c r="M223" s="9" t="b">
        <v>0</v>
      </c>
      <c r="N223" s="9" t="b">
        <v>0</v>
      </c>
      <c r="O223" s="9" t="b">
        <v>1</v>
      </c>
      <c r="P223" s="9" t="b">
        <v>0</v>
      </c>
      <c r="Q223" s="9" t="b">
        <v>0</v>
      </c>
      <c r="R223" s="9" t="b">
        <v>1</v>
      </c>
      <c r="S223" s="16">
        <f>COUNTIFS(stableR[q_group],stableR[[#This Row],[q_group]])</f>
        <v>1</v>
      </c>
      <c r="T223" s="9" t="b">
        <v>0</v>
      </c>
      <c r="U223" s="9" t="b">
        <v>0</v>
      </c>
      <c r="V223" s="9" t="b">
        <v>1</v>
      </c>
      <c r="W223" s="9" t="b">
        <v>0</v>
      </c>
      <c r="X223" s="9" t="str">
        <f>_xlfn.TEXTJOIN(", ",TRUE,stableR[[#This Row],[ans_opt_1]:[ans_opt_14]])</f>
        <v/>
      </c>
      <c r="AM223" s="16" t="b">
        <v>0</v>
      </c>
      <c r="AN223" s="16" t="b">
        <f>COUNTIFS(questions[qno],stableR[[#This Row],[qno]],questions[year_of_survey],2025,questions[origin],"Kenya")&gt;0</f>
        <v>0</v>
      </c>
      <c r="AO223" s="16" t="b">
        <f>COUNTIFS(questions[qno],stableR[[#This Row],[qno]],questions[year_of_survey],2025,questions[origin],"Rwanda")&gt;0</f>
        <v>0</v>
      </c>
      <c r="AP223" s="16" t="b">
        <f>COUNTIFS(questions[qno],stableR[[#This Row],[qno]],questions[year_of_survey],2026,questions[origin],"Burundi")&gt;0</f>
        <v>0</v>
      </c>
      <c r="AQ223" s="16" t="b">
        <f>COUNTIFS(questions[qno],stableR[[#This Row],[qno]],questions[year_of_survey],"",questions[origin],"Indonesia")&gt;0</f>
        <v>0</v>
      </c>
      <c r="AR223" s="16" t="b">
        <f>COUNTIFS(questions[qno],stableR[[#This Row],[qno]],questions[year_of_survey],2025,questions[origin],"Vietnam")&gt;0</f>
        <v>1</v>
      </c>
      <c r="AS223" s="16" t="b">
        <v>1</v>
      </c>
      <c r="AT223" s="16" t="b">
        <v>1</v>
      </c>
    </row>
    <row r="224" spans="1:46" x14ac:dyDescent="0.25">
      <c r="A224" s="15" t="str">
        <f>_xlfn.CONCAT(stableR[[#This Row],[group_0_no]:[order_no]])</f>
        <v>8500</v>
      </c>
      <c r="B224" s="15" t="s">
        <v>945</v>
      </c>
      <c r="C224" s="213" t="s">
        <v>1143</v>
      </c>
      <c r="D224" s="213" t="s">
        <v>1103</v>
      </c>
      <c r="E224" s="213" t="s">
        <v>1094</v>
      </c>
      <c r="F224" s="213" t="s">
        <v>1094</v>
      </c>
      <c r="G224" s="9" t="s">
        <v>1349</v>
      </c>
      <c r="H224" s="9" t="b">
        <v>1</v>
      </c>
      <c r="I224" s="9" t="b">
        <v>0</v>
      </c>
      <c r="J224" s="9" t="b">
        <v>0</v>
      </c>
      <c r="K224" s="9" t="b">
        <v>1</v>
      </c>
      <c r="L224" s="9" t="b">
        <v>1</v>
      </c>
      <c r="M224" s="9" t="b">
        <v>0</v>
      </c>
      <c r="N224" s="9" t="b">
        <v>0</v>
      </c>
      <c r="O224" s="9" t="b">
        <v>0</v>
      </c>
      <c r="P224" s="9" t="b">
        <v>1</v>
      </c>
      <c r="Q224" s="9" t="b">
        <v>0</v>
      </c>
      <c r="R224" s="9" t="b">
        <v>1</v>
      </c>
      <c r="S224" s="16">
        <f>COUNTIFS(stableR[q_group],stableR[[#This Row],[q_group]])</f>
        <v>1</v>
      </c>
      <c r="T224" s="9" t="b">
        <v>0</v>
      </c>
      <c r="U224" s="9" t="b">
        <v>0</v>
      </c>
      <c r="V224" s="9" t="b">
        <v>1</v>
      </c>
      <c r="W224" s="9" t="b">
        <v>0</v>
      </c>
      <c r="X224" s="9" t="str">
        <f>_xlfn.TEXTJOIN(", ",TRUE,stableR[[#This Row],[ans_opt_1]:[ans_opt_14]])</f>
        <v>No, Yes</v>
      </c>
      <c r="Y224" s="9" t="s">
        <v>119</v>
      </c>
      <c r="Z224" s="9" t="s">
        <v>149</v>
      </c>
      <c r="AM224" s="16" t="b">
        <v>0</v>
      </c>
      <c r="AN224" s="16" t="b">
        <f>COUNTIFS(questions[qno],stableR[[#This Row],[qno]],questions[year_of_survey],2025,questions[origin],"Kenya")&gt;0</f>
        <v>0</v>
      </c>
      <c r="AO224" s="16" t="b">
        <f>COUNTIFS(questions[qno],stableR[[#This Row],[qno]],questions[year_of_survey],2025,questions[origin],"Rwanda")&gt;0</f>
        <v>0</v>
      </c>
      <c r="AP224" s="16" t="b">
        <f>COUNTIFS(questions[qno],stableR[[#This Row],[qno]],questions[year_of_survey],2026,questions[origin],"Burundi")&gt;0</f>
        <v>0</v>
      </c>
      <c r="AQ224" s="16" t="b">
        <f>COUNTIFS(questions[qno],stableR[[#This Row],[qno]],questions[year_of_survey],"",questions[origin],"Indonesia")&gt;0</f>
        <v>0</v>
      </c>
      <c r="AR224" s="16" t="b">
        <f>COUNTIFS(questions[qno],stableR[[#This Row],[qno]],questions[year_of_survey],2025,questions[origin],"Vietnam")&gt;0</f>
        <v>1</v>
      </c>
      <c r="AS224" s="16" t="b">
        <v>1</v>
      </c>
      <c r="AT224" s="16" t="b">
        <v>1</v>
      </c>
    </row>
    <row r="225" spans="1:46" x14ac:dyDescent="0.25">
      <c r="A225" s="15" t="str">
        <f>_xlfn.CONCAT(stableR[[#This Row],[group_0_no]:[order_no]])</f>
        <v>8501</v>
      </c>
      <c r="B225" s="15" t="s">
        <v>946</v>
      </c>
      <c r="C225" s="213" t="s">
        <v>1143</v>
      </c>
      <c r="D225" s="213" t="s">
        <v>1103</v>
      </c>
      <c r="E225" s="213" t="s">
        <v>1094</v>
      </c>
      <c r="F225" s="213" t="s">
        <v>1093</v>
      </c>
      <c r="G225" s="9" t="s">
        <v>1350</v>
      </c>
      <c r="H225" s="9" t="b">
        <v>1</v>
      </c>
      <c r="I225" s="9" t="b">
        <v>0</v>
      </c>
      <c r="J225" s="9" t="b">
        <v>0</v>
      </c>
      <c r="K225" s="9" t="b">
        <v>1</v>
      </c>
      <c r="L225" s="9" t="b">
        <v>1</v>
      </c>
      <c r="M225" s="9" t="b">
        <v>0</v>
      </c>
      <c r="N225" s="9" t="b">
        <v>0</v>
      </c>
      <c r="O225" s="9" t="b">
        <v>0</v>
      </c>
      <c r="P225" s="9" t="b">
        <v>0</v>
      </c>
      <c r="Q225" s="9" t="b">
        <v>1</v>
      </c>
      <c r="R225" s="9" t="b">
        <v>1</v>
      </c>
      <c r="S225" s="16">
        <f>COUNTIFS(stableR[q_group],stableR[[#This Row],[q_group]])</f>
        <v>1</v>
      </c>
      <c r="T225" s="9" t="b">
        <v>0</v>
      </c>
      <c r="U225" s="9" t="b">
        <v>0</v>
      </c>
      <c r="V225" s="9" t="b">
        <v>1</v>
      </c>
      <c r="W225" s="9" t="b">
        <v>0</v>
      </c>
      <c r="X225" s="9" t="str">
        <f>_xlfn.TEXTJOIN(", ",TRUE,stableR[[#This Row],[ans_opt_1]:[ans_opt_14]])</f>
        <v>Local grid, Solar power, Generator petrol, Generator diesel</v>
      </c>
      <c r="Y225" s="9" t="s">
        <v>665</v>
      </c>
      <c r="Z225" s="9" t="s">
        <v>666</v>
      </c>
      <c r="AA225" s="9" t="s">
        <v>667</v>
      </c>
      <c r="AB225" s="9" t="s">
        <v>668</v>
      </c>
      <c r="AM225" s="16" t="b">
        <v>0</v>
      </c>
      <c r="AN225" s="16" t="b">
        <f>COUNTIFS(questions[qno],stableR[[#This Row],[qno]],questions[year_of_survey],2025,questions[origin],"Kenya")&gt;0</f>
        <v>0</v>
      </c>
      <c r="AO225" s="16" t="b">
        <f>COUNTIFS(questions[qno],stableR[[#This Row],[qno]],questions[year_of_survey],2025,questions[origin],"Rwanda")&gt;0</f>
        <v>0</v>
      </c>
      <c r="AP225" s="16" t="b">
        <f>COUNTIFS(questions[qno],stableR[[#This Row],[qno]],questions[year_of_survey],2026,questions[origin],"Burundi")&gt;0</f>
        <v>0</v>
      </c>
      <c r="AQ225" s="16" t="b">
        <f>COUNTIFS(questions[qno],stableR[[#This Row],[qno]],questions[year_of_survey],"",questions[origin],"Indonesia")&gt;0</f>
        <v>0</v>
      </c>
      <c r="AR225" s="16" t="b">
        <f>COUNTIFS(questions[qno],stableR[[#This Row],[qno]],questions[year_of_survey],2025,questions[origin],"Vietnam")&gt;0</f>
        <v>1</v>
      </c>
      <c r="AS225" s="16" t="b">
        <v>1</v>
      </c>
      <c r="AT225" s="16" t="b">
        <v>1</v>
      </c>
    </row>
    <row r="226" spans="1:46" x14ac:dyDescent="0.25">
      <c r="A226" s="21" t="str">
        <f>_xlfn.CONCAT(stableR[[#This Row],[group_0_no]:[order_no]])</f>
        <v>8502</v>
      </c>
      <c r="B226" s="21" t="s">
        <v>1443</v>
      </c>
      <c r="C226" s="232" t="s">
        <v>1143</v>
      </c>
      <c r="D226" s="232" t="s">
        <v>1103</v>
      </c>
      <c r="E226" s="232" t="s">
        <v>1094</v>
      </c>
      <c r="F226" s="232" t="s">
        <v>1097</v>
      </c>
      <c r="G226" s="22" t="s">
        <v>1351</v>
      </c>
      <c r="H226" s="9" t="b">
        <v>1</v>
      </c>
      <c r="I226" s="9" t="b">
        <v>0</v>
      </c>
      <c r="J226" s="9" t="b">
        <v>0</v>
      </c>
      <c r="K226" s="9" t="b">
        <v>1</v>
      </c>
      <c r="L226" s="9" t="b">
        <v>1</v>
      </c>
      <c r="M226" s="9" t="b">
        <v>0</v>
      </c>
      <c r="N226" s="9" t="b">
        <v>0</v>
      </c>
      <c r="O226" s="9" t="b">
        <v>1</v>
      </c>
      <c r="P226" s="9" t="b">
        <v>0</v>
      </c>
      <c r="Q226" s="9" t="b">
        <v>0</v>
      </c>
      <c r="R226" s="9" t="b">
        <v>1</v>
      </c>
      <c r="S226" s="16">
        <f>COUNTIFS(stableR[q_group],stableR[[#This Row],[q_group]])</f>
        <v>1</v>
      </c>
      <c r="T226" s="9" t="b">
        <v>0</v>
      </c>
      <c r="U226" s="9" t="b">
        <v>0</v>
      </c>
      <c r="V226" s="9" t="b">
        <v>1</v>
      </c>
      <c r="W226" s="9" t="b">
        <v>0</v>
      </c>
      <c r="X226" s="9" t="str">
        <f>_xlfn.TEXTJOIN(", ",TRUE,stableR[[#This Row],[ans_opt_1]:[ans_opt_14]])</f>
        <v/>
      </c>
      <c r="AM226" s="16" t="b">
        <v>0</v>
      </c>
      <c r="AN226" s="16" t="b">
        <f>COUNTIFS(questions[qno],stableR[[#This Row],[qno]],questions[year_of_survey],2025,questions[origin],"Kenya")&gt;0</f>
        <v>0</v>
      </c>
      <c r="AO226" s="16" t="b">
        <f>COUNTIFS(questions[qno],stableR[[#This Row],[qno]],questions[year_of_survey],2025,questions[origin],"Rwanda")&gt;0</f>
        <v>0</v>
      </c>
      <c r="AP226" s="16" t="b">
        <f>COUNTIFS(questions[qno],stableR[[#This Row],[qno]],questions[year_of_survey],2026,questions[origin],"Burundi")&gt;0</f>
        <v>0</v>
      </c>
      <c r="AQ226" s="16" t="b">
        <f>COUNTIFS(questions[qno],stableR[[#This Row],[qno]],questions[year_of_survey],"",questions[origin],"Indonesia")&gt;0</f>
        <v>0</v>
      </c>
      <c r="AR226" s="16" t="b">
        <f>COUNTIFS(questions[qno],stableR[[#This Row],[qno]],questions[year_of_survey],2025,questions[origin],"Vietnam")&gt;0</f>
        <v>1</v>
      </c>
      <c r="AS226" s="16" t="b">
        <v>1</v>
      </c>
      <c r="AT226" s="16" t="b">
        <v>1</v>
      </c>
    </row>
    <row r="227" spans="1:46" x14ac:dyDescent="0.25">
      <c r="A227" s="15" t="str">
        <f>_xlfn.CONCAT(stableR[[#This Row],[group_0_no]:[order_no]])</f>
        <v>8503</v>
      </c>
      <c r="B227" s="15" t="s">
        <v>947</v>
      </c>
      <c r="C227" s="213" t="s">
        <v>1143</v>
      </c>
      <c r="D227" s="213" t="s">
        <v>1103</v>
      </c>
      <c r="E227" s="213" t="s">
        <v>1094</v>
      </c>
      <c r="F227" s="213" t="s">
        <v>1099</v>
      </c>
      <c r="G227" s="9" t="s">
        <v>1352</v>
      </c>
      <c r="H227" s="9" t="b">
        <v>1</v>
      </c>
      <c r="I227" s="9" t="b">
        <v>0</v>
      </c>
      <c r="J227" s="9" t="b">
        <v>0</v>
      </c>
      <c r="K227" s="9" t="b">
        <v>1</v>
      </c>
      <c r="L227" s="9" t="b">
        <v>1</v>
      </c>
      <c r="M227" s="9" t="b">
        <v>0</v>
      </c>
      <c r="N227" s="9" t="b">
        <v>0</v>
      </c>
      <c r="O227" s="9" t="b">
        <v>0</v>
      </c>
      <c r="P227" s="9" t="b">
        <v>1</v>
      </c>
      <c r="Q227" s="9" t="b">
        <v>0</v>
      </c>
      <c r="R227" s="9" t="b">
        <v>1</v>
      </c>
      <c r="S227" s="16">
        <f>COUNTIFS(stableR[q_group],stableR[[#This Row],[q_group]])</f>
        <v>1</v>
      </c>
      <c r="T227" s="9" t="b">
        <v>0</v>
      </c>
      <c r="U227" s="9" t="b">
        <v>0</v>
      </c>
      <c r="V227" s="9" t="b">
        <v>1</v>
      </c>
      <c r="W227" s="9" t="b">
        <v>0</v>
      </c>
      <c r="X227" s="9" t="str">
        <f>_xlfn.TEXTJOIN(", ",TRUE,stableR[[#This Row],[ans_opt_1]:[ans_opt_14]])</f>
        <v>All or nearly all - 80-100%, More than half of it  - 60-80%, About half of it - 40-60%, Less than half of it - 20-40%, A small amount - 0-20%</v>
      </c>
      <c r="Y227" s="9" t="s">
        <v>305</v>
      </c>
      <c r="Z227" s="9" t="s">
        <v>306</v>
      </c>
      <c r="AA227" s="9" t="s">
        <v>307</v>
      </c>
      <c r="AB227" s="9" t="s">
        <v>308</v>
      </c>
      <c r="AC227" s="9" t="s">
        <v>309</v>
      </c>
      <c r="AM227" s="16" t="b">
        <v>0</v>
      </c>
      <c r="AN227" s="16" t="b">
        <f>COUNTIFS(questions[qno],stableR[[#This Row],[qno]],questions[year_of_survey],2025,questions[origin],"Kenya")&gt;0</f>
        <v>0</v>
      </c>
      <c r="AO227" s="16" t="b">
        <f>COUNTIFS(questions[qno],stableR[[#This Row],[qno]],questions[year_of_survey],2025,questions[origin],"Rwanda")&gt;0</f>
        <v>0</v>
      </c>
      <c r="AP227" s="16" t="b">
        <f>COUNTIFS(questions[qno],stableR[[#This Row],[qno]],questions[year_of_survey],2026,questions[origin],"Burundi")&gt;0</f>
        <v>0</v>
      </c>
      <c r="AQ227" s="16" t="b">
        <f>COUNTIFS(questions[qno],stableR[[#This Row],[qno]],questions[year_of_survey],"",questions[origin],"Indonesia")&gt;0</f>
        <v>0</v>
      </c>
      <c r="AR227" s="16" t="b">
        <f>COUNTIFS(questions[qno],stableR[[#This Row],[qno]],questions[year_of_survey],2025,questions[origin],"Vietnam")&gt;0</f>
        <v>1</v>
      </c>
      <c r="AS227" s="16" t="b">
        <v>1</v>
      </c>
      <c r="AT227" s="16" t="b">
        <v>1</v>
      </c>
    </row>
    <row r="228" spans="1:46" x14ac:dyDescent="0.25">
      <c r="A228" s="15" t="str">
        <f>_xlfn.CONCAT(stableR[[#This Row],[group_0_no]:[order_no]])</f>
        <v>9000</v>
      </c>
      <c r="B228" s="15" t="s">
        <v>509</v>
      </c>
      <c r="C228" s="213" t="s">
        <v>1142</v>
      </c>
      <c r="D228" s="213" t="s">
        <v>1094</v>
      </c>
      <c r="E228" s="213" t="s">
        <v>1094</v>
      </c>
      <c r="F228" s="213" t="s">
        <v>1094</v>
      </c>
      <c r="G228" s="9" t="s">
        <v>1353</v>
      </c>
      <c r="H228" s="9" t="b">
        <v>1</v>
      </c>
      <c r="I228" s="9" t="b">
        <v>1</v>
      </c>
      <c r="J228" s="9" t="b">
        <v>0</v>
      </c>
      <c r="K228" s="9" t="b">
        <v>0</v>
      </c>
      <c r="L228" s="9" t="b">
        <v>1</v>
      </c>
      <c r="M228" s="9" t="b">
        <v>0</v>
      </c>
      <c r="N228" s="9" t="b">
        <v>0</v>
      </c>
      <c r="O228" s="9" t="b">
        <v>0</v>
      </c>
      <c r="P228" s="9" t="b">
        <v>1</v>
      </c>
      <c r="Q228" s="9" t="b">
        <v>0</v>
      </c>
      <c r="R228" s="9" t="b">
        <v>0</v>
      </c>
      <c r="S228" s="16">
        <f>COUNTIFS(stableR[q_group],stableR[[#This Row],[q_group]])</f>
        <v>1</v>
      </c>
      <c r="T228" s="9" t="b">
        <v>0</v>
      </c>
      <c r="U228" s="9" t="b">
        <v>0</v>
      </c>
      <c r="V228" s="9" t="b">
        <v>0</v>
      </c>
      <c r="W228" s="9" t="b">
        <v>1</v>
      </c>
      <c r="X228" s="9" t="str">
        <f>_xlfn.TEXTJOIN(", ",TRUE,stableR[[#This Row],[ans_opt_1]:[ans_opt_14]])</f>
        <v>No, Yes, Not possible</v>
      </c>
      <c r="Y228" s="9" t="s">
        <v>119</v>
      </c>
      <c r="Z228" s="9" t="s">
        <v>149</v>
      </c>
      <c r="AA228" s="9" t="s">
        <v>510</v>
      </c>
      <c r="AM228" s="16" t="b">
        <v>1</v>
      </c>
      <c r="AN228" s="16" t="b">
        <f>COUNTIFS(questions[qno],stableR[[#This Row],[qno]],questions[year_of_survey],2025,questions[origin],"Kenya")&gt;0</f>
        <v>1</v>
      </c>
      <c r="AO228" s="16" t="b">
        <f>COUNTIFS(questions[qno],stableR[[#This Row],[qno]],questions[year_of_survey],2025,questions[origin],"Rwanda")&gt;0</f>
        <v>1</v>
      </c>
      <c r="AP228" s="16" t="b">
        <f>COUNTIFS(questions[qno],stableR[[#This Row],[qno]],questions[year_of_survey],2026,questions[origin],"Burundi")&gt;0</f>
        <v>1</v>
      </c>
      <c r="AQ228" s="16" t="b">
        <f>COUNTIFS(questions[qno],stableR[[#This Row],[qno]],questions[year_of_survey],"",questions[origin],"Indonesia")&gt;0</f>
        <v>1</v>
      </c>
      <c r="AR228" s="16" t="b">
        <f>COUNTIFS(questions[qno],stableR[[#This Row],[qno]],questions[year_of_survey],2025,questions[origin],"Vietnam")&gt;0</f>
        <v>1</v>
      </c>
      <c r="AS228" s="16" t="b">
        <v>1</v>
      </c>
      <c r="AT228" s="16" t="b">
        <v>1</v>
      </c>
    </row>
  </sheetData>
  <phoneticPr fontId="4" type="noConversion"/>
  <dataValidations count="1">
    <dataValidation type="list" allowBlank="1" showInputMessage="1" showErrorMessage="1" sqref="B164" xr:uid="{4FA68FE0-B346-49B5-9B56-87A03934B637}">
      <formula1>$A$14:$A390</formula1>
    </dataValidation>
  </dataValidations>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F6651-CE81-475A-8B6A-2A47979FD572}">
  <dimension ref="B2:C11"/>
  <sheetViews>
    <sheetView workbookViewId="0">
      <selection activeCell="B5" sqref="B5"/>
    </sheetView>
  </sheetViews>
  <sheetFormatPr defaultRowHeight="15.75" x14ac:dyDescent="0.25"/>
  <cols>
    <col min="1" max="1" width="9" style="9"/>
    <col min="2" max="2" width="20" style="9" customWidth="1"/>
    <col min="3" max="3" width="19.875" style="9" bestFit="1" customWidth="1"/>
    <col min="4" max="16384" width="9" style="9"/>
  </cols>
  <sheetData>
    <row r="2" spans="2:3" x14ac:dyDescent="0.25">
      <c r="B2" s="12" t="s">
        <v>1444</v>
      </c>
      <c r="C2" s="12" t="s">
        <v>1445</v>
      </c>
    </row>
    <row r="3" spans="2:3" x14ac:dyDescent="0.25">
      <c r="B3" s="13" t="s">
        <v>1446</v>
      </c>
      <c r="C3" s="14" t="s">
        <v>1447</v>
      </c>
    </row>
    <row r="4" spans="2:3" x14ac:dyDescent="0.25">
      <c r="B4" s="9" t="str" cm="1">
        <f t="array" ref="B4:B11">_xlfn._xlws.SORT(TRANSPOSE(_xlfn.DROP(stableR[#Headers],,_xlfn.XMATCH("Uganda",stableR[#Headers])-1)))</f>
        <v>Brazil</v>
      </c>
      <c r="C4" s="9" t="b">
        <v>1</v>
      </c>
    </row>
    <row r="5" spans="2:3" x14ac:dyDescent="0.25">
      <c r="B5" s="9" t="str">
        <v>Burundi</v>
      </c>
      <c r="C5" s="9" t="b">
        <v>0</v>
      </c>
    </row>
    <row r="6" spans="2:3" x14ac:dyDescent="0.25">
      <c r="B6" s="9" t="str">
        <v>Colombia</v>
      </c>
    </row>
    <row r="7" spans="2:3" x14ac:dyDescent="0.25">
      <c r="B7" s="9" t="str">
        <v>Indonesia</v>
      </c>
    </row>
    <row r="8" spans="2:3" x14ac:dyDescent="0.25">
      <c r="B8" s="9" t="str">
        <v>Kenya</v>
      </c>
    </row>
    <row r="9" spans="2:3" x14ac:dyDescent="0.25">
      <c r="B9" s="9" t="str">
        <v>Rwanda</v>
      </c>
    </row>
    <row r="10" spans="2:3" x14ac:dyDescent="0.25">
      <c r="B10" s="9" t="str">
        <v>Uganda</v>
      </c>
    </row>
    <row r="11" spans="2:3" x14ac:dyDescent="0.25">
      <c r="B11" s="9" t="str">
        <v>Vietnam</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06debbe-1671-4583-a078-13eeeb4d81ca">
      <Terms xmlns="http://schemas.microsoft.com/office/infopath/2007/PartnerControls"/>
    </lcf76f155ced4ddcb4097134ff3c332f>
    <TaxCatchAll xmlns="1a1dad5f-d5ea-42b2-83e8-b5d58c28640a" xsi:nil="true"/>
    <SharedWithUsers xmlns="1a1dad5f-d5ea-42b2-83e8-b5d58c28640a">
      <UserInfo>
        <DisplayName>Eddy Kiryama</DisplayName>
        <AccountId>291</AccountId>
        <AccountType/>
      </UserInfo>
    </SharedWithUsers>
    <DLCPolicyLabelClientValue xmlns="b06debbe-1671-4583-a078-13eeeb4d81ca">{_UIVersionString}</DLCPolicyLabelClientValue>
    <DLCPolicyLabelLock xmlns="b06debbe-1671-4583-a078-13eeeb4d81ca" xsi:nil="true"/>
    <DLCPolicyLabelValue xmlns="b06debbe-1671-4583-a078-13eeeb4d81ca">130.0</DLCPolicyLabelValue>
    <Date xmlns="b06debbe-1671-4583-a078-13eeeb4d81ca">2025-11-10T07:52:35+00:00</Dat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PolicyDirtyBag xmlns="microsoft.office.server.policy.changes">
  <Microsoft.Office.RecordsManagement.PolicyFeatures.PolicyLabel op="Change"/>
</PolicyDirtyBag>
</file>

<file path=customXml/item4.xml><?xml version="1.0" encoding="utf-8"?>
<?mso-contentType ?>
<p:Policy xmlns:p="office.server.policy" id="" local="true">
  <p:Name>Document</p:Name>
  <p:Description/>
  <p:Statement/>
  <p:PolicyItems>
    <p:PolicyItem featureId="Microsoft.Office.RecordsManagement.PolicyFeatures.PolicyLabel" staticId="0x01010001788554C62A994387F8615E5B1EE75E|801092262" UniqueId="be525b69-c2af-4b40-aeb6-7bceacdb413b">
      <p:Name>Labels</p:Name>
      <p:Description>Generates labels that can be inserted in Microsoft Office documents to ensure that document properties or other important information are included when documents are printed. Labels can also be used to search for documents.</p:Description>
      <p:CustomData>
        <label>
          <segment type="metadata">_UIVersionString</segment>
        </label>
      </p:CustomData>
    </p:PolicyItem>
  </p:PolicyItems>
</p:Policy>
</file>

<file path=customXml/item5.xml><?xml version="1.0" encoding="utf-8"?>
<ct:contentTypeSchema xmlns:ct="http://schemas.microsoft.com/office/2006/metadata/contentType" xmlns:ma="http://schemas.microsoft.com/office/2006/metadata/properties/metaAttributes" ct:_="" ma:_="" ma:contentTypeName="Document" ma:contentTypeID="0x01010001788554C62A994387F8615E5B1EE75E" ma:contentTypeVersion="24" ma:contentTypeDescription="Create a new document." ma:contentTypeScope="" ma:versionID="209b7e8bc5d4e0642f3cd842e8512797">
  <xsd:schema xmlns:xsd="http://www.w3.org/2001/XMLSchema" xmlns:xs="http://www.w3.org/2001/XMLSchema" xmlns:p="http://schemas.microsoft.com/office/2006/metadata/properties" xmlns:ns1="http://schemas.microsoft.com/sharepoint/v3" xmlns:ns2="b06debbe-1671-4583-a078-13eeeb4d81ca" xmlns:ns3="1a1dad5f-d5ea-42b2-83e8-b5d58c28640a" targetNamespace="http://schemas.microsoft.com/office/2006/metadata/properties" ma:root="true" ma:fieldsID="00696f330e8e2ab5dcd27580b87838b9" ns1:_="" ns2:_="" ns3:_="">
    <xsd:import namespace="http://schemas.microsoft.com/sharepoint/v3"/>
    <xsd:import namespace="b06debbe-1671-4583-a078-13eeeb4d81ca"/>
    <xsd:import namespace="1a1dad5f-d5ea-42b2-83e8-b5d58c28640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AutoKeyPoints" minOccurs="0"/>
                <xsd:element ref="ns2:MediaServiceKeyPoints" minOccurs="0"/>
                <xsd:element ref="ns2:lcf76f155ced4ddcb4097134ff3c332f" minOccurs="0"/>
                <xsd:element ref="ns3:TaxCatchAll" minOccurs="0"/>
                <xsd:element ref="ns2:MediaLengthInSeconds" minOccurs="0"/>
                <xsd:element ref="ns2:MediaServiceLocation" minOccurs="0"/>
                <xsd:element ref="ns2:MediaServiceSearchProperties" minOccurs="0"/>
                <xsd:element ref="ns2:MediaServiceObjectDetectorVersions" minOccurs="0"/>
                <xsd:element ref="ns1:_dlc_Exempt" minOccurs="0"/>
                <xsd:element ref="ns2:DLCPolicyLabelValue" minOccurs="0"/>
                <xsd:element ref="ns2:DLCPolicyLabelClientValue" minOccurs="0"/>
                <xsd:element ref="ns2:DLCPolicyLabelLock" minOccurs="0"/>
                <xsd:element ref="ns2:MediaServiceBillingMetadata" minOccurs="0"/>
                <xsd:element ref="ns2: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6" nillable="true" ma:displayName="Exempt from Policy" ma:hidden="true" ma:internalName="_dlc_Exempt"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06debbe-1671-4583-a078-13eeeb4d81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9af6215-1db3-42ac-a07f-ea8c3653189a"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DLCPolicyLabelValue" ma:index="27" nillable="true" ma:displayName="Label" ma:description="Stores the current value of the label." ma:internalName="DLCPolicyLabelValue" ma:readOnly="true">
      <xsd:simpleType>
        <xsd:restriction base="dms:Note">
          <xsd:maxLength value="255"/>
        </xsd:restriction>
      </xsd:simpleType>
    </xsd:element>
    <xsd:element name="DLCPolicyLabelClientValue" ma:index="28" nillable="true" ma:displayName="Client Label Value" ma:description="Stores the last label value computed on the client." ma:hidden="true" ma:internalName="DLCPolicyLabelClientValue" ma:readOnly="false">
      <xsd:simpleType>
        <xsd:restriction base="dms:Note"/>
      </xsd:simpleType>
    </xsd:element>
    <xsd:element name="DLCPolicyLabelLock" ma:index="29" nillable="true" ma:displayName="Label Locked" ma:description="Indicates whether the label should be updated when item properties are modified." ma:hidden="true" ma:internalName="DLCPolicyLabelLock" ma:readOnly="false">
      <xsd:simpleType>
        <xsd:restriction base="dms:Text"/>
      </xsd:simpleType>
    </xsd:element>
    <xsd:element name="MediaServiceBillingMetadata" ma:index="30" nillable="true" ma:displayName="MediaServiceBillingMetadata" ma:hidden="true" ma:internalName="MediaServiceBillingMetadata" ma:readOnly="true">
      <xsd:simpleType>
        <xsd:restriction base="dms:Note"/>
      </xsd:simpleType>
    </xsd:element>
    <xsd:element name="Date" ma:index="31" nillable="true" ma:displayName="Date" ma:default="[today]" ma:format="DateTime" ma:internalName="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1a1dad5f-d5ea-42b2-83e8-b5d58c28640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94cab32-5a7d-46ac-8f6c-03deef52d1af}" ma:internalName="TaxCatchAll" ma:showField="CatchAllData" ma:web="1a1dad5f-d5ea-42b2-83e8-b5d58c2864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9BC3CF-66DF-44B9-8FE4-EB57D51F3415}">
  <ds:schemaRefs>
    <ds:schemaRef ds:uri="http://schemas.microsoft.com/office/2006/metadata/properties"/>
    <ds:schemaRef ds:uri="http://schemas.microsoft.com/office/infopath/2007/PartnerControls"/>
    <ds:schemaRef ds:uri="b06debbe-1671-4583-a078-13eeeb4d81ca"/>
    <ds:schemaRef ds:uri="1a1dad5f-d5ea-42b2-83e8-b5d58c28640a"/>
  </ds:schemaRefs>
</ds:datastoreItem>
</file>

<file path=customXml/itemProps2.xml><?xml version="1.0" encoding="utf-8"?>
<ds:datastoreItem xmlns:ds="http://schemas.openxmlformats.org/officeDocument/2006/customXml" ds:itemID="{6A0877E2-2B67-4EC8-9020-E9A957D4A4CC}">
  <ds:schemaRefs>
    <ds:schemaRef ds:uri="http://schemas.microsoft.com/sharepoint/v3/contenttype/forms"/>
  </ds:schemaRefs>
</ds:datastoreItem>
</file>

<file path=customXml/itemProps3.xml><?xml version="1.0" encoding="utf-8"?>
<ds:datastoreItem xmlns:ds="http://schemas.openxmlformats.org/officeDocument/2006/customXml" ds:itemID="{67CFED88-E2C9-4B2E-93B0-82E82EEA68EB}">
  <ds:schemaRefs>
    <ds:schemaRef ds:uri="microsoft.office.server.policy.changes"/>
  </ds:schemaRefs>
</ds:datastoreItem>
</file>

<file path=customXml/itemProps4.xml><?xml version="1.0" encoding="utf-8"?>
<ds:datastoreItem xmlns:ds="http://schemas.openxmlformats.org/officeDocument/2006/customXml" ds:itemID="{59BCAC67-345D-4D1E-A5C7-BFC09A1323DE}">
  <ds:schemaRefs>
    <ds:schemaRef ds:uri="office.server.policy"/>
  </ds:schemaRefs>
</ds:datastoreItem>
</file>

<file path=customXml/itemProps5.xml><?xml version="1.0" encoding="utf-8"?>
<ds:datastoreItem xmlns:ds="http://schemas.openxmlformats.org/officeDocument/2006/customXml" ds:itemID="{FE25DFB9-92EB-427A-BA38-77B776AA58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06debbe-1671-4583-a078-13eeeb4d81ca"/>
    <ds:schemaRef ds:uri="1a1dad5f-d5ea-42b2-83e8-b5d58c2864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questions</vt:lpstr>
      <vt:lpstr>instruction</vt:lpstr>
      <vt:lpstr>stability</vt:lpstr>
      <vt:lpstr>stability_2.0</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Yasin Toparlar</dc:creator>
  <cp:keywords/>
  <dc:description/>
  <cp:lastModifiedBy>Isaac Etungu</cp:lastModifiedBy>
  <cp:revision/>
  <dcterms:created xsi:type="dcterms:W3CDTF">2023-10-15T18:45:59Z</dcterms:created>
  <dcterms:modified xsi:type="dcterms:W3CDTF">2026-10-23T10:09:05Z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0x01010001788554C62A994387F8615E5B1EE75E</vt:lpwstr>
  </property>
  <property fmtid="{D5CDD505-2E9C-101B-9397-08002B2CF9AE}" pid="3" name="MediaServiceImageTags">
    <vt:lpwstr/>
  </property>
</Properties>
</file>